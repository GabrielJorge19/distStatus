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  <Override ContentType="application/vnd.openxmlformats-officedocument.spreadsheetml.worksheet+xml" PartName="/xl/worksheets/sheet372.xml"/>
  <Override ContentType="application/vnd.openxmlformats-officedocument.spreadsheetml.worksheet+xml" PartName="/xl/worksheets/sheet373.xml"/>
  <Override ContentType="application/vnd.openxmlformats-officedocument.spreadsheetml.worksheet+xml" PartName="/xl/worksheets/sheet374.xml"/>
  <Override ContentType="application/vnd.openxmlformats-officedocument.spreadsheetml.worksheet+xml" PartName="/xl/worksheets/sheet375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378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0.xml"/>
  <Override ContentType="application/vnd.openxmlformats-officedocument.spreadsheetml.worksheet+xml" PartName="/xl/worksheets/sheet381.xml"/>
  <Override ContentType="application/vnd.openxmlformats-officedocument.spreadsheetml.worksheet+xml" PartName="/xl/worksheets/sheet382.xml"/>
  <Override ContentType="application/vnd.openxmlformats-officedocument.spreadsheetml.worksheet+xml" PartName="/xl/worksheets/sheet383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8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389.xml"/>
  <Override ContentType="application/vnd.openxmlformats-officedocument.spreadsheetml.worksheet+xml" PartName="/xl/worksheets/sheet390.xml"/>
  <Override ContentType="application/vnd.openxmlformats-officedocument.spreadsheetml.worksheet+xml" PartName="/xl/worksheets/sheet391.xml"/>
  <Override ContentType="application/vnd.openxmlformats-officedocument.spreadsheetml.worksheet+xml" PartName="/xl/worksheets/sheet392.xml"/>
  <Override ContentType="application/vnd.openxmlformats-officedocument.spreadsheetml.worksheet+xml" PartName="/xl/worksheets/sheet393.xml"/>
  <Override ContentType="application/vnd.openxmlformats-officedocument.spreadsheetml.worksheet+xml" PartName="/xl/worksheets/sheet394.xml"/>
  <Override ContentType="application/vnd.openxmlformats-officedocument.spreadsheetml.worksheet+xml" PartName="/xl/worksheets/sheet395.xml"/>
  <Override ContentType="application/vnd.openxmlformats-officedocument.spreadsheetml.worksheet+xml" PartName="/xl/worksheets/sheet396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98.xml"/>
  <Override ContentType="application/vnd.openxmlformats-officedocument.spreadsheetml.worksheet+xml" PartName="/xl/worksheets/sheet399.xml"/>
  <Override ContentType="application/vnd.openxmlformats-officedocument.spreadsheetml.worksheet+xml" PartName="/xl/worksheets/sheet400.xml"/>
  <Override ContentType="application/vnd.openxmlformats-officedocument.spreadsheetml.worksheet+xml" PartName="/xl/worksheets/sheet401.xml"/>
  <Override ContentType="application/vnd.openxmlformats-officedocument.spreadsheetml.worksheet+xml" PartName="/xl/worksheets/sheet402.xml"/>
  <Override ContentType="application/vnd.openxmlformats-officedocument.spreadsheetml.worksheet+xml" PartName="/xl/worksheets/sheet403.xml"/>
  <Override ContentType="application/vnd.openxmlformats-officedocument.spreadsheetml.worksheet+xml" PartName="/xl/worksheets/sheet404.xml"/>
  <Override ContentType="application/vnd.openxmlformats-officedocument.spreadsheetml.worksheet+xml" PartName="/xl/worksheets/sheet405.xml"/>
  <Override ContentType="application/vnd.openxmlformats-officedocument.spreadsheetml.worksheet+xml" PartName="/xl/worksheets/sheet406.xml"/>
  <Override ContentType="application/vnd.openxmlformats-officedocument.spreadsheetml.worksheet+xml" PartName="/xl/worksheets/sheet407.xml"/>
  <Override ContentType="application/vnd.openxmlformats-officedocument.spreadsheetml.worksheet+xml" PartName="/xl/worksheets/sheet408.xml"/>
  <Override ContentType="application/vnd.openxmlformats-officedocument.spreadsheetml.worksheet+xml" PartName="/xl/worksheets/sheet409.xml"/>
  <Override ContentType="application/vnd.openxmlformats-officedocument.spreadsheetml.worksheet+xml" PartName="/xl/worksheets/sheet410.xml"/>
  <Override ContentType="application/vnd.openxmlformats-officedocument.spreadsheetml.worksheet+xml" PartName="/xl/worksheets/sheet411.xml"/>
  <Override ContentType="application/vnd.openxmlformats-officedocument.spreadsheetml.worksheet+xml" PartName="/xl/worksheets/sheet412.xml"/>
  <Override ContentType="application/vnd.openxmlformats-officedocument.spreadsheetml.worksheet+xml" PartName="/xl/worksheets/sheet413.xml"/>
  <Override ContentType="application/vnd.openxmlformats-officedocument.spreadsheetml.worksheet+xml" PartName="/xl/worksheets/sheet414.xml"/>
  <Override ContentType="application/vnd.openxmlformats-officedocument.spreadsheetml.worksheet+xml" PartName="/xl/worksheets/sheet415.xml"/>
  <Override ContentType="application/vnd.openxmlformats-officedocument.spreadsheetml.worksheet+xml" PartName="/xl/worksheets/sheet416.xml"/>
  <Override ContentType="application/vnd.openxmlformats-officedocument.spreadsheetml.worksheet+xml" PartName="/xl/worksheets/sheet417.xml"/>
  <Override ContentType="application/vnd.openxmlformats-officedocument.spreadsheetml.worksheet+xml" PartName="/xl/worksheets/sheet418.xml"/>
  <Override ContentType="application/vnd.openxmlformats-officedocument.spreadsheetml.worksheet+xml" PartName="/xl/worksheets/sheet419.xml"/>
  <Override ContentType="application/vnd.openxmlformats-officedocument.spreadsheetml.worksheet+xml" PartName="/xl/worksheets/sheet420.xml"/>
  <Override ContentType="application/vnd.openxmlformats-officedocument.spreadsheetml.worksheet+xml" PartName="/xl/worksheets/sheet421.xml"/>
  <Override ContentType="application/vnd.openxmlformats-officedocument.spreadsheetml.worksheet+xml" PartName="/xl/worksheets/sheet422.xml"/>
  <Override ContentType="application/vnd.openxmlformats-officedocument.spreadsheetml.worksheet+xml" PartName="/xl/worksheets/sheet423.xml"/>
  <Override ContentType="application/vnd.openxmlformats-officedocument.spreadsheetml.worksheet+xml" PartName="/xl/worksheets/sheet424.xml"/>
  <Override ContentType="application/vnd.openxmlformats-officedocument.spreadsheetml.worksheet+xml" PartName="/xl/worksheets/sheet425.xml"/>
  <Override ContentType="application/vnd.openxmlformats-officedocument.spreadsheetml.worksheet+xml" PartName="/xl/worksheets/sheet426.xml"/>
  <Override ContentType="application/vnd.openxmlformats-officedocument.spreadsheetml.worksheet+xml" PartName="/xl/worksheets/sheet427.xml"/>
  <Override ContentType="application/vnd.openxmlformats-officedocument.spreadsheetml.worksheet+xml" PartName="/xl/worksheets/sheet428.xml"/>
  <Override ContentType="application/vnd.openxmlformats-officedocument.spreadsheetml.worksheet+xml" PartName="/xl/worksheets/sheet429.xml"/>
  <Override ContentType="application/vnd.openxmlformats-officedocument.spreadsheetml.worksheet+xml" PartName="/xl/worksheets/sheet430.xml"/>
  <Override ContentType="application/vnd.openxmlformats-officedocument.spreadsheetml.worksheet+xml" PartName="/xl/worksheets/sheet431.xml"/>
  <Override ContentType="application/vnd.openxmlformats-officedocument.spreadsheetml.worksheet+xml" PartName="/xl/worksheets/sheet432.xml"/>
  <Override ContentType="application/vnd.openxmlformats-officedocument.spreadsheetml.worksheet+xml" PartName="/xl/worksheets/sheet433.xml"/>
  <Override ContentType="application/vnd.openxmlformats-officedocument.spreadsheetml.worksheet+xml" PartName="/xl/worksheets/sheet434.xml"/>
  <Override ContentType="application/vnd.openxmlformats-officedocument.spreadsheetml.worksheet+xml" PartName="/xl/worksheets/sheet435.xml"/>
  <Override ContentType="application/vnd.openxmlformats-officedocument.spreadsheetml.worksheet+xml" PartName="/xl/worksheets/sheet436.xml"/>
  <Override ContentType="application/vnd.openxmlformats-officedocument.spreadsheetml.worksheet+xml" PartName="/xl/worksheets/sheet437.xml"/>
  <Override ContentType="application/vnd.openxmlformats-officedocument.spreadsheetml.worksheet+xml" PartName="/xl/worksheets/sheet438.xml"/>
  <Override ContentType="application/vnd.openxmlformats-officedocument.spreadsheetml.worksheet+xml" PartName="/xl/worksheets/sheet439.xml"/>
  <Override ContentType="application/vnd.openxmlformats-officedocument.spreadsheetml.worksheet+xml" PartName="/xl/worksheets/sheet440.xml"/>
  <Override ContentType="application/vnd.openxmlformats-officedocument.spreadsheetml.worksheet+xml" PartName="/xl/worksheets/sheet441.xml"/>
  <Override ContentType="application/vnd.openxmlformats-officedocument.spreadsheetml.worksheet+xml" PartName="/xl/worksheets/sheet442.xml"/>
  <Override ContentType="application/vnd.openxmlformats-officedocument.spreadsheetml.worksheet+xml" PartName="/xl/worksheets/sheet443.xml"/>
  <Override ContentType="application/vnd.openxmlformats-officedocument.spreadsheetml.worksheet+xml" PartName="/xl/worksheets/sheet444.xml"/>
  <Override ContentType="application/vnd.openxmlformats-officedocument.spreadsheetml.worksheet+xml" PartName="/xl/worksheets/sheet445.xml"/>
  <Override ContentType="application/vnd.openxmlformats-officedocument.spreadsheetml.worksheet+xml" PartName="/xl/worksheets/sheet446.xml"/>
  <Override ContentType="application/vnd.openxmlformats-officedocument.spreadsheetml.worksheet+xml" PartName="/xl/worksheets/sheet447.xml"/>
  <Override ContentType="application/vnd.openxmlformats-officedocument.spreadsheetml.worksheet+xml" PartName="/xl/worksheets/sheet448.xml"/>
  <Override ContentType="application/vnd.openxmlformats-officedocument.spreadsheetml.worksheet+xml" PartName="/xl/worksheets/sheet449.xml"/>
  <Override ContentType="application/vnd.openxmlformats-officedocument.spreadsheetml.worksheet+xml" PartName="/xl/worksheets/sheet450.xml"/>
  <Override ContentType="application/vnd.openxmlformats-officedocument.spreadsheetml.worksheet+xml" PartName="/xl/worksheets/sheet451.xml"/>
  <Override ContentType="application/vnd.openxmlformats-officedocument.spreadsheetml.worksheet+xml" PartName="/xl/worksheets/sheet452.xml"/>
  <Override ContentType="application/vnd.openxmlformats-officedocument.spreadsheetml.worksheet+xml" PartName="/xl/worksheets/sheet453.xml"/>
  <Override ContentType="application/vnd.openxmlformats-officedocument.spreadsheetml.worksheet+xml" PartName="/xl/worksheets/sheet454.xml"/>
  <Override ContentType="application/vnd.openxmlformats-officedocument.spreadsheetml.worksheet+xml" PartName="/xl/worksheets/sheet455.xml"/>
  <Override ContentType="application/vnd.openxmlformats-officedocument.spreadsheetml.worksheet+xml" PartName="/xl/worksheets/sheet456.xml"/>
  <Override ContentType="application/vnd.openxmlformats-officedocument.spreadsheetml.worksheet+xml" PartName="/xl/worksheets/sheet457.xml"/>
  <Override ContentType="application/vnd.openxmlformats-officedocument.spreadsheetml.worksheet+xml" PartName="/xl/worksheets/sheet458.xml"/>
  <Override ContentType="application/vnd.openxmlformats-officedocument.spreadsheetml.worksheet+xml" PartName="/xl/worksheets/sheet459.xml"/>
  <Override ContentType="application/vnd.openxmlformats-officedocument.spreadsheetml.worksheet+xml" PartName="/xl/worksheets/sheet460.xml"/>
  <Override ContentType="application/vnd.openxmlformats-officedocument.spreadsheetml.worksheet+xml" PartName="/xl/worksheets/sheet461.xml"/>
  <Override ContentType="application/vnd.openxmlformats-officedocument.spreadsheetml.worksheet+xml" PartName="/xl/worksheets/sheet462.xml"/>
  <Override ContentType="application/vnd.openxmlformats-officedocument.spreadsheetml.worksheet+xml" PartName="/xl/worksheets/sheet463.xml"/>
  <Override ContentType="application/vnd.openxmlformats-officedocument.spreadsheetml.worksheet+xml" PartName="/xl/worksheets/sheet464.xml"/>
  <Override ContentType="application/vnd.openxmlformats-officedocument.spreadsheetml.worksheet+xml" PartName="/xl/worksheets/sheet465.xml"/>
  <Override ContentType="application/vnd.openxmlformats-officedocument.spreadsheetml.worksheet+xml" PartName="/xl/worksheets/sheet466.xml"/>
  <Override ContentType="application/vnd.openxmlformats-officedocument.spreadsheetml.worksheet+xml" PartName="/xl/worksheets/sheet467.xml"/>
  <Override ContentType="application/vnd.openxmlformats-officedocument.spreadsheetml.worksheet+xml" PartName="/xl/worksheets/sheet468.xml"/>
  <Override ContentType="application/vnd.openxmlformats-officedocument.spreadsheetml.worksheet+xml" PartName="/xl/worksheets/sheet469.xml"/>
  <Override ContentType="application/vnd.openxmlformats-officedocument.spreadsheetml.worksheet+xml" PartName="/xl/worksheets/sheet470.xml"/>
  <Override ContentType="application/vnd.openxmlformats-officedocument.spreadsheetml.worksheet+xml" PartName="/xl/worksheets/sheet471.xml"/>
  <Override ContentType="application/vnd.openxmlformats-officedocument.spreadsheetml.worksheet+xml" PartName="/xl/worksheets/sheet472.xml"/>
  <Override ContentType="application/vnd.openxmlformats-officedocument.spreadsheetml.worksheet+xml" PartName="/xl/worksheets/sheet473.xml"/>
  <Override ContentType="application/vnd.openxmlformats-officedocument.spreadsheetml.worksheet+xml" PartName="/xl/worksheets/sheet474.xml"/>
  <Override ContentType="application/vnd.openxmlformats-officedocument.spreadsheetml.worksheet+xml" PartName="/xl/worksheets/sheet475.xml"/>
  <Override ContentType="application/vnd.openxmlformats-officedocument.spreadsheetml.worksheet+xml" PartName="/xl/worksheets/sheet476.xml"/>
  <Override ContentType="application/vnd.openxmlformats-officedocument.spreadsheetml.worksheet+xml" PartName="/xl/worksheets/sheet477.xml"/>
  <Override ContentType="application/vnd.openxmlformats-officedocument.spreadsheetml.worksheet+xml" PartName="/xl/worksheets/sheet478.xml"/>
  <Override ContentType="application/vnd.openxmlformats-officedocument.spreadsheetml.worksheet+xml" PartName="/xl/worksheets/sheet479.xml"/>
  <Override ContentType="application/vnd.openxmlformats-officedocument.spreadsheetml.worksheet+xml" PartName="/xl/worksheets/sheet480.xml"/>
  <Override ContentType="application/vnd.openxmlformats-officedocument.spreadsheetml.worksheet+xml" PartName="/xl/worksheets/sheet481.xml"/>
  <Override ContentType="application/vnd.openxmlformats-officedocument.spreadsheetml.worksheet+xml" PartName="/xl/worksheets/sheet482.xml"/>
  <Override ContentType="application/vnd.openxmlformats-officedocument.spreadsheetml.worksheet+xml" PartName="/xl/worksheets/sheet483.xml"/>
  <Override ContentType="application/vnd.openxmlformats-officedocument.spreadsheetml.worksheet+xml" PartName="/xl/worksheets/sheet484.xml"/>
  <Override ContentType="application/vnd.openxmlformats-officedocument.spreadsheetml.worksheet+xml" PartName="/xl/worksheets/sheet485.xml"/>
  <Override ContentType="application/vnd.openxmlformats-officedocument.spreadsheetml.worksheet+xml" PartName="/xl/worksheets/sheet486.xml"/>
  <Override ContentType="application/vnd.openxmlformats-officedocument.spreadsheetml.worksheet+xml" PartName="/xl/worksheets/sheet487.xml"/>
  <Override ContentType="application/vnd.openxmlformats-officedocument.spreadsheetml.worksheet+xml" PartName="/xl/worksheets/sheet488.xml"/>
  <Override ContentType="application/vnd.openxmlformats-officedocument.spreadsheetml.worksheet+xml" PartName="/xl/worksheets/sheet489.xml"/>
  <Override ContentType="application/vnd.openxmlformats-officedocument.spreadsheetml.worksheet+xml" PartName="/xl/worksheets/sheet490.xml"/>
  <Override ContentType="application/vnd.openxmlformats-officedocument.spreadsheetml.worksheet+xml" PartName="/xl/worksheets/sheet491.xml"/>
  <Override ContentType="application/vnd.openxmlformats-officedocument.spreadsheetml.worksheet+xml" PartName="/xl/worksheets/sheet492.xml"/>
  <Override ContentType="application/vnd.openxmlformats-officedocument.spreadsheetml.worksheet+xml" PartName="/xl/worksheets/sheet493.xml"/>
  <Override ContentType="application/vnd.openxmlformats-officedocument.spreadsheetml.worksheet+xml" PartName="/xl/worksheets/sheet494.xml"/>
  <Override ContentType="application/vnd.openxmlformats-officedocument.spreadsheetml.worksheet+xml" PartName="/xl/worksheets/sheet495.xml"/>
  <Override ContentType="application/vnd.openxmlformats-officedocument.spreadsheetml.worksheet+xml" PartName="/xl/worksheets/sheet496.xml"/>
  <Override ContentType="application/vnd.openxmlformats-officedocument.spreadsheetml.worksheet+xml" PartName="/xl/worksheets/sheet497.xml"/>
  <Override ContentType="application/vnd.openxmlformats-officedocument.spreadsheetml.worksheet+xml" PartName="/xl/worksheets/sheet498.xml"/>
  <Override ContentType="application/vnd.openxmlformats-officedocument.spreadsheetml.worksheet+xml" PartName="/xl/worksheets/sheet499.xml"/>
  <Override ContentType="application/vnd.openxmlformats-officedocument.spreadsheetml.worksheet+xml" PartName="/xl/worksheets/sheet500.xml"/>
  <Override ContentType="application/vnd.openxmlformats-officedocument.spreadsheetml.worksheet+xml" PartName="/xl/worksheets/sheet501.xml"/>
  <Override ContentType="application/vnd.openxmlformats-officedocument.spreadsheetml.worksheet+xml" PartName="/xl/worksheets/sheet502.xml"/>
  <Override ContentType="application/vnd.openxmlformats-officedocument.spreadsheetml.worksheet+xml" PartName="/xl/worksheets/sheet503.xml"/>
  <Override ContentType="application/vnd.openxmlformats-officedocument.spreadsheetml.worksheet+xml" PartName="/xl/worksheets/sheet504.xml"/>
  <Override ContentType="application/vnd.openxmlformats-officedocument.spreadsheetml.worksheet+xml" PartName="/xl/worksheets/sheet505.xml"/>
  <Override ContentType="application/vnd.openxmlformats-officedocument.spreadsheetml.worksheet+xml" PartName="/xl/worksheets/sheet506.xml"/>
  <Override ContentType="application/vnd.openxmlformats-officedocument.spreadsheetml.worksheet+xml" PartName="/xl/worksheets/sheet507.xml"/>
  <Override ContentType="application/vnd.openxmlformats-officedocument.spreadsheetml.worksheet+xml" PartName="/xl/worksheets/sheet508.xml"/>
  <Override ContentType="application/vnd.openxmlformats-officedocument.spreadsheetml.worksheet+xml" PartName="/xl/worksheets/sheet509.xml"/>
  <Override ContentType="application/vnd.openxmlformats-officedocument.spreadsheetml.worksheet+xml" PartName="/xl/worksheets/sheet510.xml"/>
  <Override ContentType="application/vnd.openxmlformats-officedocument.spreadsheetml.worksheet+xml" PartName="/xl/worksheets/sheet511.xml"/>
  <Override ContentType="application/vnd.openxmlformats-officedocument.spreadsheetml.worksheet+xml" PartName="/xl/worksheets/sheet512.xml"/>
  <Override ContentType="application/vnd.openxmlformats-officedocument.spreadsheetml.worksheet+xml" PartName="/xl/worksheets/sheet513.xml"/>
  <Override ContentType="application/vnd.openxmlformats-officedocument.spreadsheetml.worksheet+xml" PartName="/xl/worksheets/sheet514.xml"/>
  <Override ContentType="application/vnd.openxmlformats-officedocument.spreadsheetml.worksheet+xml" PartName="/xl/worksheets/sheet515.xml"/>
  <Override ContentType="application/vnd.openxmlformats-officedocument.spreadsheetml.worksheet+xml" PartName="/xl/worksheets/sheet516.xml"/>
  <Override ContentType="application/vnd.openxmlformats-officedocument.spreadsheetml.worksheet+xml" PartName="/xl/worksheets/sheet517.xml"/>
  <Override ContentType="application/vnd.openxmlformats-officedocument.spreadsheetml.worksheet+xml" PartName="/xl/worksheets/sheet518.xml"/>
  <Override ContentType="application/vnd.openxmlformats-officedocument.spreadsheetml.worksheet+xml" PartName="/xl/worksheets/sheet519.xml"/>
  <Override ContentType="application/vnd.openxmlformats-officedocument.spreadsheetml.worksheet+xml" PartName="/xl/worksheets/sheet520.xml"/>
  <Override ContentType="application/vnd.openxmlformats-officedocument.spreadsheetml.worksheet+xml" PartName="/xl/worksheets/sheet521.xml"/>
  <Override ContentType="application/vnd.openxmlformats-officedocument.spreadsheetml.worksheet+xml" PartName="/xl/worksheets/sheet522.xml"/>
  <Override ContentType="application/vnd.openxmlformats-officedocument.spreadsheetml.worksheet+xml" PartName="/xl/worksheets/sheet523.xml"/>
  <Override ContentType="application/vnd.openxmlformats-officedocument.spreadsheetml.worksheet+xml" PartName="/xl/worksheets/sheet524.xml"/>
  <Override ContentType="application/vnd.openxmlformats-officedocument.spreadsheetml.worksheet+xml" PartName="/xl/worksheets/sheet525.xml"/>
  <Override ContentType="application/vnd.openxmlformats-officedocument.spreadsheetml.worksheet+xml" PartName="/xl/worksheets/sheet526.xml"/>
  <Override ContentType="application/vnd.openxmlformats-officedocument.spreadsheetml.worksheet+xml" PartName="/xl/worksheets/sheet527.xml"/>
  <Override ContentType="application/vnd.openxmlformats-officedocument.spreadsheetml.worksheet+xml" PartName="/xl/worksheets/sheet528.xml"/>
  <Override ContentType="application/vnd.openxmlformats-officedocument.spreadsheetml.worksheet+xml" PartName="/xl/worksheets/sheet529.xml"/>
  <Override ContentType="application/vnd.openxmlformats-officedocument.spreadsheetml.worksheet+xml" PartName="/xl/worksheets/sheet530.xml"/>
  <Override ContentType="application/vnd.openxmlformats-officedocument.spreadsheetml.worksheet+xml" PartName="/xl/worksheets/sheet531.xml"/>
  <Override ContentType="application/vnd.openxmlformats-officedocument.spreadsheetml.worksheet+xml" PartName="/xl/worksheets/sheet532.xml"/>
  <Override ContentType="application/vnd.openxmlformats-officedocument.spreadsheetml.worksheet+xml" PartName="/xl/worksheets/sheet533.xml"/>
  <Override ContentType="application/vnd.openxmlformats-officedocument.spreadsheetml.worksheet+xml" PartName="/xl/worksheets/sheet534.xml"/>
  <Override ContentType="application/vnd.openxmlformats-officedocument.spreadsheetml.worksheet+xml" PartName="/xl/worksheets/sheet535.xml"/>
  <Override ContentType="application/vnd.openxmlformats-officedocument.spreadsheetml.worksheet+xml" PartName="/xl/worksheets/sheet536.xml"/>
  <Override ContentType="application/vnd.openxmlformats-officedocument.spreadsheetml.worksheet+xml" PartName="/xl/worksheets/sheet537.xml"/>
  <Override ContentType="application/vnd.openxmlformats-officedocument.spreadsheetml.worksheet+xml" PartName="/xl/worksheets/sheet538.xml"/>
  <Override ContentType="application/vnd.openxmlformats-officedocument.spreadsheetml.worksheet+xml" PartName="/xl/worksheets/sheet539.xml"/>
  <Override ContentType="application/vnd.openxmlformats-officedocument.spreadsheetml.worksheet+xml" PartName="/xl/worksheets/sheet540.xml"/>
  <Override ContentType="application/vnd.openxmlformats-officedocument.spreadsheetml.worksheet+xml" PartName="/xl/worksheets/sheet541.xml"/>
  <Override ContentType="application/vnd.openxmlformats-officedocument.spreadsheetml.worksheet+xml" PartName="/xl/worksheets/sheet542.xml"/>
  <Override ContentType="application/vnd.openxmlformats-officedocument.spreadsheetml.worksheet+xml" PartName="/xl/worksheets/sheet543.xml"/>
  <Override ContentType="application/vnd.openxmlformats-officedocument.spreadsheetml.worksheet+xml" PartName="/xl/worksheets/sheet544.xml"/>
  <Override ContentType="application/vnd.openxmlformats-officedocument.spreadsheetml.worksheet+xml" PartName="/xl/worksheets/sheet545.xml"/>
  <Override ContentType="application/vnd.openxmlformats-officedocument.spreadsheetml.worksheet+xml" PartName="/xl/worksheets/sheet546.xml"/>
  <Override ContentType="application/vnd.openxmlformats-officedocument.spreadsheetml.worksheet+xml" PartName="/xl/worksheets/sheet547.xml"/>
  <Override ContentType="application/vnd.openxmlformats-officedocument.spreadsheetml.worksheet+xml" PartName="/xl/worksheets/sheet548.xml"/>
  <Override ContentType="application/vnd.openxmlformats-officedocument.spreadsheetml.worksheet+xml" PartName="/xl/worksheets/sheet549.xml"/>
  <Override ContentType="application/vnd.openxmlformats-officedocument.spreadsheetml.worksheet+xml" PartName="/xl/worksheets/sheet550.xml"/>
  <Override ContentType="application/vnd.openxmlformats-officedocument.spreadsheetml.worksheet+xml" PartName="/xl/worksheets/sheet551.xml"/>
  <Override ContentType="application/vnd.openxmlformats-officedocument.spreadsheetml.worksheet+xml" PartName="/xl/worksheets/sheet552.xml"/>
  <Override ContentType="application/vnd.openxmlformats-officedocument.spreadsheetml.worksheet+xml" PartName="/xl/worksheets/sheet553.xml"/>
  <Override ContentType="application/vnd.openxmlformats-officedocument.spreadsheetml.worksheet+xml" PartName="/xl/worksheets/sheet554.xml"/>
  <Override ContentType="application/vnd.openxmlformats-officedocument.spreadsheetml.worksheet+xml" PartName="/xl/worksheets/sheet555.xml"/>
  <Override ContentType="application/vnd.openxmlformats-officedocument.spreadsheetml.worksheet+xml" PartName="/xl/worksheets/sheet556.xml"/>
  <Override ContentType="application/vnd.openxmlformats-officedocument.spreadsheetml.worksheet+xml" PartName="/xl/worksheets/sheet557.xml"/>
  <Override ContentType="application/vnd.openxmlformats-officedocument.spreadsheetml.worksheet+xml" PartName="/xl/worksheets/sheet558.xml"/>
  <Override ContentType="application/vnd.openxmlformats-officedocument.spreadsheetml.worksheet+xml" PartName="/xl/worksheets/sheet559.xml"/>
  <Override ContentType="application/vnd.openxmlformats-officedocument.spreadsheetml.worksheet+xml" PartName="/xl/worksheets/sheet560.xml"/>
  <Override ContentType="application/vnd.openxmlformats-officedocument.spreadsheetml.worksheet+xml" PartName="/xl/worksheets/sheet561.xml"/>
  <Override ContentType="application/vnd.openxmlformats-officedocument.spreadsheetml.worksheet+xml" PartName="/xl/worksheets/sheet562.xml"/>
  <Override ContentType="application/vnd.openxmlformats-officedocument.spreadsheetml.worksheet+xml" PartName="/xl/worksheets/sheet563.xml"/>
  <Override ContentType="application/vnd.openxmlformats-officedocument.spreadsheetml.worksheet+xml" PartName="/xl/worksheets/sheet564.xml"/>
  <Override ContentType="application/vnd.openxmlformats-officedocument.spreadsheetml.worksheet+xml" PartName="/xl/worksheets/sheet565.xml"/>
  <Override ContentType="application/vnd.openxmlformats-officedocument.spreadsheetml.worksheet+xml" PartName="/xl/worksheets/sheet566.xml"/>
  <Override ContentType="application/vnd.openxmlformats-officedocument.spreadsheetml.worksheet+xml" PartName="/xl/worksheets/sheet567.xml"/>
  <Override ContentType="application/vnd.openxmlformats-officedocument.spreadsheetml.worksheet+xml" PartName="/xl/worksheets/sheet568.xml"/>
  <Override ContentType="application/vnd.openxmlformats-officedocument.spreadsheetml.worksheet+xml" PartName="/xl/worksheets/sheet569.xml"/>
  <Override ContentType="application/vnd.openxmlformats-officedocument.spreadsheetml.worksheet+xml" PartName="/xl/worksheets/sheet570.xml"/>
  <Override ContentType="application/vnd.openxmlformats-officedocument.spreadsheetml.worksheet+xml" PartName="/xl/worksheets/sheet571.xml"/>
  <Override ContentType="application/vnd.openxmlformats-officedocument.spreadsheetml.worksheet+xml" PartName="/xl/worksheets/sheet572.xml"/>
  <Override ContentType="application/vnd.openxmlformats-officedocument.spreadsheetml.worksheet+xml" PartName="/xl/worksheets/sheet573.xml"/>
  <Override ContentType="application/vnd.openxmlformats-officedocument.spreadsheetml.worksheet+xml" PartName="/xl/worksheets/sheet574.xml"/>
  <Override ContentType="application/vnd.openxmlformats-officedocument.spreadsheetml.worksheet+xml" PartName="/xl/worksheets/sheet575.xml"/>
  <Override ContentType="application/vnd.openxmlformats-officedocument.spreadsheetml.worksheet+xml" PartName="/xl/worksheets/sheet576.xml"/>
  <Override ContentType="application/vnd.openxmlformats-officedocument.spreadsheetml.worksheet+xml" PartName="/xl/worksheets/sheet577.xml"/>
  <Override ContentType="application/vnd.openxmlformats-officedocument.spreadsheetml.worksheet+xml" PartName="/xl/worksheets/sheet578.xml"/>
  <Override ContentType="application/vnd.openxmlformats-officedocument.spreadsheetml.worksheet+xml" PartName="/xl/worksheets/sheet579.xml"/>
  <Override ContentType="application/vnd.openxmlformats-officedocument.spreadsheetml.worksheet+xml" PartName="/xl/worksheets/sheet580.xml"/>
  <Override ContentType="application/vnd.openxmlformats-officedocument.spreadsheetml.worksheet+xml" PartName="/xl/worksheets/sheet581.xml"/>
  <Override ContentType="application/vnd.openxmlformats-officedocument.spreadsheetml.worksheet+xml" PartName="/xl/worksheets/sheet582.xml"/>
  <Override ContentType="application/vnd.openxmlformats-officedocument.spreadsheetml.worksheet+xml" PartName="/xl/worksheets/sheet583.xml"/>
  <Override ContentType="application/vnd.openxmlformats-officedocument.spreadsheetml.worksheet+xml" PartName="/xl/worksheets/sheet584.xml"/>
  <Override ContentType="application/vnd.openxmlformats-officedocument.spreadsheetml.worksheet+xml" PartName="/xl/worksheets/sheet585.xml"/>
  <Override ContentType="application/vnd.openxmlformats-officedocument.spreadsheetml.worksheet+xml" PartName="/xl/worksheets/sheet586.xml"/>
  <Override ContentType="application/vnd.openxmlformats-officedocument.spreadsheetml.worksheet+xml" PartName="/xl/worksheets/sheet587.xml"/>
  <Override ContentType="application/vnd.openxmlformats-officedocument.spreadsheetml.worksheet+xml" PartName="/xl/worksheets/sheet588.xml"/>
  <Override ContentType="application/vnd.openxmlformats-officedocument.spreadsheetml.worksheet+xml" PartName="/xl/worksheets/sheet589.xml"/>
  <Override ContentType="application/vnd.openxmlformats-officedocument.spreadsheetml.worksheet+xml" PartName="/xl/worksheets/sheet590.xml"/>
  <Override ContentType="application/vnd.openxmlformats-officedocument.spreadsheetml.worksheet+xml" PartName="/xl/worksheets/sheet591.xml"/>
  <Override ContentType="application/vnd.openxmlformats-officedocument.spreadsheetml.worksheet+xml" PartName="/xl/worksheets/sheet592.xml"/>
  <Override ContentType="application/vnd.openxmlformats-officedocument.spreadsheetml.worksheet+xml" PartName="/xl/worksheets/sheet593.xml"/>
  <Override ContentType="application/vnd.openxmlformats-officedocument.spreadsheetml.worksheet+xml" PartName="/xl/worksheets/sheet594.xml"/>
  <Override ContentType="application/vnd.openxmlformats-officedocument.spreadsheetml.worksheet+xml" PartName="/xl/worksheets/sheet595.xml"/>
  <Override ContentType="application/vnd.openxmlformats-officedocument.spreadsheetml.worksheet+xml" PartName="/xl/worksheets/sheet596.xml"/>
  <Override ContentType="application/vnd.openxmlformats-officedocument.spreadsheetml.worksheet+xml" PartName="/xl/worksheets/sheet597.xml"/>
  <Override ContentType="application/vnd.openxmlformats-officedocument.spreadsheetml.worksheet+xml" PartName="/xl/worksheets/sheet598.xml"/>
  <Override ContentType="application/vnd.openxmlformats-officedocument.spreadsheetml.worksheet+xml" PartName="/xl/worksheets/sheet599.xml"/>
  <Override ContentType="application/vnd.openxmlformats-officedocument.spreadsheetml.worksheet+xml" PartName="/xl/worksheets/sheet600.xml"/>
  <Override ContentType="application/vnd.openxmlformats-officedocument.spreadsheetml.worksheet+xml" PartName="/xl/worksheets/sheet601.xml"/>
  <Override ContentType="application/vnd.openxmlformats-officedocument.spreadsheetml.worksheet+xml" PartName="/xl/worksheets/sheet602.xml"/>
  <Override ContentType="application/vnd.openxmlformats-officedocument.spreadsheetml.worksheet+xml" PartName="/xl/worksheets/sheet603.xml"/>
  <Override ContentType="application/vnd.openxmlformats-officedocument.spreadsheetml.worksheet+xml" PartName="/xl/worksheets/sheet604.xml"/>
  <Override ContentType="application/vnd.openxmlformats-officedocument.spreadsheetml.worksheet+xml" PartName="/xl/worksheets/sheet605.xml"/>
  <Override ContentType="application/vnd.openxmlformats-officedocument.spreadsheetml.worksheet+xml" PartName="/xl/worksheets/sheet606.xml"/>
  <Override ContentType="application/vnd.openxmlformats-officedocument.spreadsheetml.worksheet+xml" PartName="/xl/worksheets/sheet607.xml"/>
  <Override ContentType="application/vnd.openxmlformats-officedocument.spreadsheetml.worksheet+xml" PartName="/xl/worksheets/sheet608.xml"/>
  <Override ContentType="application/vnd.openxmlformats-officedocument.spreadsheetml.worksheet+xml" PartName="/xl/worksheets/sheet609.xml"/>
  <Override ContentType="application/vnd.openxmlformats-officedocument.spreadsheetml.worksheet+xml" PartName="/xl/worksheets/sheet610.xml"/>
  <Override ContentType="application/vnd.openxmlformats-officedocument.spreadsheetml.worksheet+xml" PartName="/xl/worksheets/sheet611.xml"/>
  <Override ContentType="application/vnd.openxmlformats-officedocument.spreadsheetml.worksheet+xml" PartName="/xl/worksheets/sheet612.xml"/>
  <Override ContentType="application/vnd.openxmlformats-officedocument.spreadsheetml.worksheet+xml" PartName="/xl/worksheets/sheet613.xml"/>
  <Override ContentType="application/vnd.openxmlformats-officedocument.spreadsheetml.worksheet+xml" PartName="/xl/worksheets/sheet614.xml"/>
  <Override ContentType="application/vnd.openxmlformats-officedocument.spreadsheetml.worksheet+xml" PartName="/xl/worksheets/sheet615.xml"/>
  <Override ContentType="application/vnd.openxmlformats-officedocument.spreadsheetml.worksheet+xml" PartName="/xl/worksheets/sheet616.xml"/>
  <Override ContentType="application/vnd.openxmlformats-officedocument.spreadsheetml.worksheet+xml" PartName="/xl/worksheets/sheet617.xml"/>
  <Override ContentType="application/vnd.openxmlformats-officedocument.spreadsheetml.worksheet+xml" PartName="/xl/worksheets/sheet618.xml"/>
  <Override ContentType="application/vnd.openxmlformats-officedocument.spreadsheetml.worksheet+xml" PartName="/xl/worksheets/sheet619.xml"/>
  <Override ContentType="application/vnd.openxmlformats-officedocument.spreadsheetml.worksheet+xml" PartName="/xl/worksheets/sheet620.xml"/>
  <Override ContentType="application/vnd.openxmlformats-officedocument.spreadsheetml.worksheet+xml" PartName="/xl/worksheets/sheet621.xml"/>
  <Override ContentType="application/vnd.openxmlformats-officedocument.spreadsheetml.worksheet+xml" PartName="/xl/worksheets/sheet622.xml"/>
  <Override ContentType="application/vnd.openxmlformats-officedocument.spreadsheetml.worksheet+xml" PartName="/xl/worksheets/sheet623.xml"/>
  <Override ContentType="application/vnd.openxmlformats-officedocument.spreadsheetml.worksheet+xml" PartName="/xl/worksheets/sheet624.xml"/>
  <Override ContentType="application/vnd.openxmlformats-officedocument.spreadsheetml.worksheet+xml" PartName="/xl/worksheets/sheet625.xml"/>
  <Override ContentType="application/vnd.openxmlformats-officedocument.spreadsheetml.worksheet+xml" PartName="/xl/worksheets/sheet626.xml"/>
  <Override ContentType="application/vnd.openxmlformats-officedocument.spreadsheetml.worksheet+xml" PartName="/xl/worksheets/sheet627.xml"/>
  <Override ContentType="application/vnd.openxmlformats-officedocument.spreadsheetml.worksheet+xml" PartName="/xl/worksheets/sheet628.xml"/>
  <Override ContentType="application/vnd.openxmlformats-officedocument.spreadsheetml.worksheet+xml" PartName="/xl/worksheets/sheet629.xml"/>
  <Override ContentType="application/vnd.openxmlformats-officedocument.spreadsheetml.worksheet+xml" PartName="/xl/worksheets/sheet630.xml"/>
  <Override ContentType="application/vnd.openxmlformats-officedocument.spreadsheetml.worksheet+xml" PartName="/xl/worksheets/sheet631.xml"/>
  <Override ContentType="application/vnd.openxmlformats-officedocument.spreadsheetml.worksheet+xml" PartName="/xl/worksheets/sheet632.xml"/>
  <Override ContentType="application/vnd.openxmlformats-officedocument.spreadsheetml.worksheet+xml" PartName="/xl/worksheets/sheet633.xml"/>
  <Override ContentType="application/vnd.openxmlformats-officedocument.spreadsheetml.worksheet+xml" PartName="/xl/worksheets/sheet634.xml"/>
  <Override ContentType="application/vnd.openxmlformats-officedocument.spreadsheetml.worksheet+xml" PartName="/xl/worksheets/sheet635.xml"/>
  <Override ContentType="application/vnd.openxmlformats-officedocument.spreadsheetml.worksheet+xml" PartName="/xl/worksheets/sheet636.xml"/>
  <Override ContentType="application/vnd.openxmlformats-officedocument.spreadsheetml.worksheet+xml" PartName="/xl/worksheets/sheet637.xml"/>
  <Override ContentType="application/vnd.openxmlformats-officedocument.spreadsheetml.worksheet+xml" PartName="/xl/worksheets/sheet638.xml"/>
  <Override ContentType="application/vnd.openxmlformats-officedocument.spreadsheetml.worksheet+xml" PartName="/xl/worksheets/sheet639.xml"/>
  <Override ContentType="application/vnd.openxmlformats-officedocument.spreadsheetml.worksheet+xml" PartName="/xl/worksheets/sheet640.xml"/>
  <Override ContentType="application/vnd.openxmlformats-officedocument.spreadsheetml.worksheet+xml" PartName="/xl/worksheets/sheet641.xml"/>
  <Override ContentType="application/vnd.openxmlformats-officedocument.spreadsheetml.worksheet+xml" PartName="/xl/worksheets/sheet642.xml"/>
  <Override ContentType="application/vnd.openxmlformats-officedocument.spreadsheetml.worksheet+xml" PartName="/xl/worksheets/sheet643.xml"/>
  <Override ContentType="application/vnd.openxmlformats-officedocument.spreadsheetml.worksheet+xml" PartName="/xl/worksheets/sheet644.xml"/>
  <Override ContentType="application/vnd.openxmlformats-officedocument.spreadsheetml.worksheet+xml" PartName="/xl/worksheets/sheet645.xml"/>
  <Override ContentType="application/vnd.openxmlformats-officedocument.spreadsheetml.worksheet+xml" PartName="/xl/worksheets/sheet646.xml"/>
  <Override ContentType="application/vnd.openxmlformats-officedocument.spreadsheetml.worksheet+xml" PartName="/xl/worksheets/sheet647.xml"/>
  <Override ContentType="application/vnd.openxmlformats-officedocument.spreadsheetml.worksheet+xml" PartName="/xl/worksheets/sheet648.xml"/>
  <Override ContentType="application/vnd.openxmlformats-officedocument.spreadsheetml.worksheet+xml" PartName="/xl/worksheets/sheet649.xml"/>
  <Override ContentType="application/vnd.openxmlformats-officedocument.spreadsheetml.worksheet+xml" PartName="/xl/worksheets/sheet650.xml"/>
  <Override ContentType="application/vnd.openxmlformats-officedocument.spreadsheetml.worksheet+xml" PartName="/xl/worksheets/sheet651.xml"/>
  <Override ContentType="application/vnd.openxmlformats-officedocument.spreadsheetml.worksheet+xml" PartName="/xl/worksheets/sheet652.xml"/>
  <Override ContentType="application/vnd.openxmlformats-officedocument.spreadsheetml.worksheet+xml" PartName="/xl/worksheets/sheet653.xml"/>
  <Override ContentType="application/vnd.openxmlformats-officedocument.spreadsheetml.worksheet+xml" PartName="/xl/worksheets/sheet654.xml"/>
  <Override ContentType="application/vnd.openxmlformats-officedocument.spreadsheetml.worksheet+xml" PartName="/xl/worksheets/sheet655.xml"/>
  <Override ContentType="application/vnd.openxmlformats-officedocument.spreadsheetml.worksheet+xml" PartName="/xl/worksheets/sheet656.xml"/>
  <Override ContentType="application/vnd.openxmlformats-officedocument.spreadsheetml.worksheet+xml" PartName="/xl/worksheets/sheet657.xml"/>
  <Override ContentType="application/vnd.openxmlformats-officedocument.spreadsheetml.worksheet+xml" PartName="/xl/worksheets/sheet658.xml"/>
  <Override ContentType="application/vnd.openxmlformats-officedocument.spreadsheetml.worksheet+xml" PartName="/xl/worksheets/sheet659.xml"/>
  <Override ContentType="application/vnd.openxmlformats-officedocument.spreadsheetml.worksheet+xml" PartName="/xl/worksheets/sheet660.xml"/>
  <Override ContentType="application/vnd.openxmlformats-officedocument.spreadsheetml.worksheet+xml" PartName="/xl/worksheets/sheet661.xml"/>
  <Override ContentType="application/vnd.openxmlformats-officedocument.spreadsheetml.worksheet+xml" PartName="/xl/worksheets/sheet662.xml"/>
  <Override ContentType="application/vnd.openxmlformats-officedocument.spreadsheetml.worksheet+xml" PartName="/xl/worksheets/sheet663.xml"/>
  <Override ContentType="application/vnd.openxmlformats-officedocument.spreadsheetml.worksheet+xml" PartName="/xl/worksheets/sheet664.xml"/>
  <Override ContentType="application/vnd.openxmlformats-officedocument.spreadsheetml.worksheet+xml" PartName="/xl/worksheets/sheet665.xml"/>
  <Override ContentType="application/vnd.openxmlformats-officedocument.spreadsheetml.worksheet+xml" PartName="/xl/worksheets/sheet666.xml"/>
  <Override ContentType="application/vnd.openxmlformats-officedocument.spreadsheetml.worksheet+xml" PartName="/xl/worksheets/sheet667.xml"/>
  <Override ContentType="application/vnd.openxmlformats-officedocument.spreadsheetml.worksheet+xml" PartName="/xl/worksheets/sheet668.xml"/>
  <Override ContentType="application/vnd.openxmlformats-officedocument.spreadsheetml.worksheet+xml" PartName="/xl/worksheets/sheet669.xml"/>
  <Override ContentType="application/vnd.openxmlformats-officedocument.spreadsheetml.worksheet+xml" PartName="/xl/worksheets/sheet670.xml"/>
  <Override ContentType="application/vnd.openxmlformats-officedocument.spreadsheetml.worksheet+xml" PartName="/xl/worksheets/sheet671.xml"/>
  <Override ContentType="application/vnd.openxmlformats-officedocument.spreadsheetml.worksheet+xml" PartName="/xl/worksheets/sheet672.xml"/>
  <Override ContentType="application/vnd.openxmlformats-officedocument.spreadsheetml.worksheet+xml" PartName="/xl/worksheets/sheet673.xml"/>
  <Override ContentType="application/vnd.openxmlformats-officedocument.spreadsheetml.worksheet+xml" PartName="/xl/worksheets/sheet674.xml"/>
  <Override ContentType="application/vnd.openxmlformats-officedocument.spreadsheetml.worksheet+xml" PartName="/xl/worksheets/sheet675.xml"/>
  <Override ContentType="application/vnd.openxmlformats-officedocument.spreadsheetml.worksheet+xml" PartName="/xl/worksheets/sheet676.xml"/>
  <Override ContentType="application/vnd.openxmlformats-officedocument.spreadsheetml.worksheet+xml" PartName="/xl/worksheets/sheet677.xml"/>
  <Override ContentType="application/vnd.openxmlformats-officedocument.spreadsheetml.worksheet+xml" PartName="/xl/worksheets/sheet678.xml"/>
  <Override ContentType="application/vnd.openxmlformats-officedocument.spreadsheetml.worksheet+xml" PartName="/xl/worksheets/sheet679.xml"/>
  <Override ContentType="application/vnd.openxmlformats-officedocument.spreadsheetml.worksheet+xml" PartName="/xl/worksheets/sheet680.xml"/>
  <Override ContentType="application/vnd.openxmlformats-officedocument.spreadsheetml.worksheet+xml" PartName="/xl/worksheets/sheet681.xml"/>
  <Override ContentType="application/vnd.openxmlformats-officedocument.spreadsheetml.worksheet+xml" PartName="/xl/worksheets/sheet682.xml"/>
  <Override ContentType="application/vnd.openxmlformats-officedocument.spreadsheetml.worksheet+xml" PartName="/xl/worksheets/sheet683.xml"/>
  <Override ContentType="application/vnd.openxmlformats-officedocument.spreadsheetml.worksheet+xml" PartName="/xl/worksheets/sheet684.xml"/>
  <Override ContentType="application/vnd.openxmlformats-officedocument.spreadsheetml.worksheet+xml" PartName="/xl/worksheets/sheet685.xml"/>
  <Override ContentType="application/vnd.openxmlformats-officedocument.spreadsheetml.worksheet+xml" PartName="/xl/worksheets/sheet686.xml"/>
  <Override ContentType="application/vnd.openxmlformats-officedocument.spreadsheetml.worksheet+xml" PartName="/xl/worksheets/sheet687.xml"/>
  <Override ContentType="application/vnd.openxmlformats-officedocument.spreadsheetml.worksheet+xml" PartName="/xl/worksheets/sheet688.xml"/>
  <Override ContentType="application/vnd.openxmlformats-officedocument.spreadsheetml.worksheet+xml" PartName="/xl/worksheets/sheet689.xml"/>
  <Override ContentType="application/vnd.openxmlformats-officedocument.spreadsheetml.worksheet+xml" PartName="/xl/worksheets/sheet690.xml"/>
  <Override ContentType="application/vnd.openxmlformats-officedocument.spreadsheetml.worksheet+xml" PartName="/xl/worksheets/sheet691.xml"/>
  <Override ContentType="application/vnd.openxmlformats-officedocument.spreadsheetml.worksheet+xml" PartName="/xl/worksheets/sheet692.xml"/>
  <Override ContentType="application/vnd.openxmlformats-officedocument.spreadsheetml.worksheet+xml" PartName="/xl/worksheets/sheet693.xml"/>
  <Override ContentType="application/vnd.openxmlformats-officedocument.spreadsheetml.worksheet+xml" PartName="/xl/worksheets/sheet694.xml"/>
  <Override ContentType="application/vnd.openxmlformats-officedocument.spreadsheetml.worksheet+xml" PartName="/xl/worksheets/sheet695.xml"/>
  <Override ContentType="application/vnd.openxmlformats-officedocument.spreadsheetml.worksheet+xml" PartName="/xl/worksheets/sheet696.xml"/>
  <Override ContentType="application/vnd.openxmlformats-officedocument.spreadsheetml.worksheet+xml" PartName="/xl/worksheets/sheet697.xml"/>
  <Override ContentType="application/vnd.openxmlformats-officedocument.spreadsheetml.worksheet+xml" PartName="/xl/worksheets/sheet698.xml"/>
  <Override ContentType="application/vnd.openxmlformats-officedocument.spreadsheetml.worksheet+xml" PartName="/xl/worksheets/sheet699.xml"/>
  <Override ContentType="application/vnd.openxmlformats-officedocument.spreadsheetml.worksheet+xml" PartName="/xl/worksheets/sheet700.xml"/>
  <Override ContentType="application/vnd.openxmlformats-officedocument.spreadsheetml.worksheet+xml" PartName="/xl/worksheets/sheet701.xml"/>
  <Override ContentType="application/vnd.openxmlformats-officedocument.spreadsheetml.worksheet+xml" PartName="/xl/worksheets/sheet702.xml"/>
  <Override ContentType="application/vnd.openxmlformats-officedocument.spreadsheetml.worksheet+xml" PartName="/xl/worksheets/sheet703.xml"/>
  <Override ContentType="application/vnd.openxmlformats-officedocument.spreadsheetml.worksheet+xml" PartName="/xl/worksheets/sheet704.xml"/>
  <Override ContentType="application/vnd.openxmlformats-officedocument.spreadsheetml.worksheet+xml" PartName="/xl/worksheets/sheet705.xml"/>
  <Override ContentType="application/vnd.openxmlformats-officedocument.spreadsheetml.worksheet+xml" PartName="/xl/worksheets/sheet706.xml"/>
  <Override ContentType="application/vnd.openxmlformats-officedocument.spreadsheetml.worksheet+xml" PartName="/xl/worksheets/sheet707.xml"/>
  <Override ContentType="application/vnd.openxmlformats-officedocument.spreadsheetml.worksheet+xml" PartName="/xl/worksheets/sheet708.xml"/>
  <Override ContentType="application/vnd.openxmlformats-officedocument.spreadsheetml.worksheet+xml" PartName="/xl/worksheets/sheet709.xml"/>
  <Override ContentType="application/vnd.openxmlformats-officedocument.spreadsheetml.worksheet+xml" PartName="/xl/worksheets/sheet710.xml"/>
  <Override ContentType="application/vnd.openxmlformats-officedocument.spreadsheetml.worksheet+xml" PartName="/xl/worksheets/sheet711.xml"/>
  <Override ContentType="application/vnd.openxmlformats-officedocument.spreadsheetml.worksheet+xml" PartName="/xl/worksheets/sheet712.xml"/>
  <Override ContentType="application/vnd.openxmlformats-officedocument.spreadsheetml.worksheet+xml" PartName="/xl/worksheets/sheet713.xml"/>
  <Override ContentType="application/vnd.openxmlformats-officedocument.spreadsheetml.worksheet+xml" PartName="/xl/worksheets/sheet714.xml"/>
  <Override ContentType="application/vnd.openxmlformats-officedocument.spreadsheetml.worksheet+xml" PartName="/xl/worksheets/sheet715.xml"/>
  <Override ContentType="application/vnd.openxmlformats-officedocument.spreadsheetml.worksheet+xml" PartName="/xl/worksheets/sheet716.xml"/>
  <Override ContentType="application/vnd.openxmlformats-officedocument.spreadsheetml.worksheet+xml" PartName="/xl/worksheets/sheet717.xml"/>
  <Override ContentType="application/vnd.openxmlformats-officedocument.spreadsheetml.worksheet+xml" PartName="/xl/worksheets/sheet718.xml"/>
  <Override ContentType="application/vnd.openxmlformats-officedocument.spreadsheetml.worksheet+xml" PartName="/xl/worksheets/sheet719.xml"/>
  <Override ContentType="application/vnd.openxmlformats-officedocument.spreadsheetml.worksheet+xml" PartName="/xl/worksheets/sheet720.xml"/>
  <Override ContentType="application/vnd.openxmlformats-officedocument.spreadsheetml.worksheet+xml" PartName="/xl/worksheets/sheet721.xml"/>
  <Override ContentType="application/vnd.openxmlformats-officedocument.spreadsheetml.worksheet+xml" PartName="/xl/worksheets/sheet722.xml"/>
  <Override ContentType="application/vnd.openxmlformats-officedocument.spreadsheetml.worksheet+xml" PartName="/xl/worksheets/sheet723.xml"/>
  <Override ContentType="application/vnd.openxmlformats-officedocument.spreadsheetml.worksheet+xml" PartName="/xl/worksheets/sheet724.xml"/>
  <Override ContentType="application/vnd.openxmlformats-officedocument.spreadsheetml.worksheet+xml" PartName="/xl/worksheets/sheet725.xml"/>
  <Override ContentType="application/vnd.openxmlformats-officedocument.spreadsheetml.worksheet+xml" PartName="/xl/worksheets/sheet726.xml"/>
  <Override ContentType="application/vnd.openxmlformats-officedocument.spreadsheetml.worksheet+xml" PartName="/xl/worksheets/sheet727.xml"/>
  <Override ContentType="application/vnd.openxmlformats-officedocument.spreadsheetml.worksheet+xml" PartName="/xl/worksheets/sheet728.xml"/>
  <Override ContentType="application/vnd.openxmlformats-officedocument.spreadsheetml.worksheet+xml" PartName="/xl/worksheets/sheet729.xml"/>
  <Override ContentType="application/vnd.openxmlformats-officedocument.spreadsheetml.worksheet+xml" PartName="/xl/worksheets/sheet730.xml"/>
  <Override ContentType="application/vnd.openxmlformats-officedocument.spreadsheetml.worksheet+xml" PartName="/xl/worksheets/sheet731.xml"/>
  <Override ContentType="application/vnd.openxmlformats-officedocument.spreadsheetml.worksheet+xml" PartName="/xl/worksheets/sheet732.xml"/>
  <Override ContentType="application/vnd.openxmlformats-officedocument.spreadsheetml.worksheet+xml" PartName="/xl/worksheets/sheet733.xml"/>
  <Override ContentType="application/vnd.openxmlformats-officedocument.spreadsheetml.worksheet+xml" PartName="/xl/worksheets/sheet734.xml"/>
  <Override ContentType="application/vnd.openxmlformats-officedocument.spreadsheetml.worksheet+xml" PartName="/xl/worksheets/sheet735.xml"/>
  <Override ContentType="application/vnd.openxmlformats-officedocument.spreadsheetml.worksheet+xml" PartName="/xl/worksheets/sheet736.xml"/>
  <Override ContentType="application/vnd.openxmlformats-officedocument.spreadsheetml.worksheet+xml" PartName="/xl/worksheets/sheet737.xml"/>
  <Override ContentType="application/vnd.openxmlformats-officedocument.spreadsheetml.worksheet+xml" PartName="/xl/worksheets/sheet738.xml"/>
  <Override ContentType="application/vnd.openxmlformats-officedocument.spreadsheetml.worksheet+xml" PartName="/xl/worksheets/sheet739.xml"/>
  <Override ContentType="application/vnd.openxmlformats-officedocument.spreadsheetml.worksheet+xml" PartName="/xl/worksheets/sheet740.xml"/>
  <Override ContentType="application/vnd.openxmlformats-officedocument.spreadsheetml.worksheet+xml" PartName="/xl/worksheets/sheet741.xml"/>
  <Override ContentType="application/vnd.openxmlformats-officedocument.spreadsheetml.worksheet+xml" PartName="/xl/worksheets/sheet742.xml"/>
  <Override ContentType="application/vnd.openxmlformats-officedocument.spreadsheetml.worksheet+xml" PartName="/xl/worksheets/sheet743.xml"/>
  <Override ContentType="application/vnd.openxmlformats-officedocument.spreadsheetml.worksheet+xml" PartName="/xl/worksheets/sheet744.xml"/>
  <Override ContentType="application/vnd.openxmlformats-officedocument.spreadsheetml.worksheet+xml" PartName="/xl/worksheets/sheet745.xml"/>
  <Override ContentType="application/vnd.openxmlformats-officedocument.spreadsheetml.worksheet+xml" PartName="/xl/worksheets/sheet746.xml"/>
  <Override ContentType="application/vnd.openxmlformats-officedocument.spreadsheetml.worksheet+xml" PartName="/xl/worksheets/sheet747.xml"/>
  <Override ContentType="application/vnd.openxmlformats-officedocument.spreadsheetml.worksheet+xml" PartName="/xl/worksheets/sheet748.xml"/>
  <Override ContentType="application/vnd.openxmlformats-officedocument.spreadsheetml.worksheet+xml" PartName="/xl/worksheets/sheet749.xml"/>
  <Override ContentType="application/vnd.openxmlformats-officedocument.spreadsheetml.worksheet+xml" PartName="/xl/worksheets/sheet750.xml"/>
  <Override ContentType="application/vnd.openxmlformats-officedocument.spreadsheetml.worksheet+xml" PartName="/xl/worksheets/sheet751.xml"/>
  <Override ContentType="application/vnd.openxmlformats-officedocument.spreadsheetml.worksheet+xml" PartName="/xl/worksheets/sheet752.xml"/>
  <Override ContentType="application/vnd.openxmlformats-officedocument.spreadsheetml.worksheet+xml" PartName="/xl/worksheets/sheet753.xml"/>
  <Override ContentType="application/vnd.openxmlformats-officedocument.spreadsheetml.worksheet+xml" PartName="/xl/worksheets/sheet754.xml"/>
  <Override ContentType="application/vnd.openxmlformats-officedocument.spreadsheetml.worksheet+xml" PartName="/xl/worksheets/sheet755.xml"/>
  <Override ContentType="application/vnd.openxmlformats-officedocument.spreadsheetml.worksheet+xml" PartName="/xl/worksheets/sheet756.xml"/>
  <Override ContentType="application/vnd.openxmlformats-officedocument.spreadsheetml.worksheet+xml" PartName="/xl/worksheets/sheet757.xml"/>
  <Override ContentType="application/vnd.openxmlformats-officedocument.spreadsheetml.worksheet+xml" PartName="/xl/worksheets/sheet758.xml"/>
  <Override ContentType="application/vnd.openxmlformats-officedocument.spreadsheetml.worksheet+xml" PartName="/xl/worksheets/sheet759.xml"/>
  <Override ContentType="application/vnd.openxmlformats-officedocument.spreadsheetml.worksheet+xml" PartName="/xl/worksheets/sheet760.xml"/>
  <Override ContentType="application/vnd.openxmlformats-officedocument.spreadsheetml.worksheet+xml" PartName="/xl/worksheets/sheet761.xml"/>
  <Override ContentType="application/vnd.openxmlformats-officedocument.spreadsheetml.worksheet+xml" PartName="/xl/worksheets/sheet762.xml"/>
  <Override ContentType="application/vnd.openxmlformats-officedocument.spreadsheetml.worksheet+xml" PartName="/xl/worksheets/sheet763.xml"/>
  <Override ContentType="application/vnd.openxmlformats-officedocument.spreadsheetml.worksheet+xml" PartName="/xl/worksheets/sheet764.xml"/>
  <Override ContentType="application/vnd.openxmlformats-officedocument.spreadsheetml.worksheet+xml" PartName="/xl/worksheets/sheet765.xml"/>
  <Override ContentType="application/vnd.openxmlformats-officedocument.spreadsheetml.worksheet+xml" PartName="/xl/worksheets/sheet766.xml"/>
  <Override ContentType="application/vnd.openxmlformats-officedocument.spreadsheetml.worksheet+xml" PartName="/xl/worksheets/sheet767.xml"/>
  <Override ContentType="application/vnd.openxmlformats-officedocument.spreadsheetml.worksheet+xml" PartName="/xl/worksheets/sheet768.xml"/>
  <Override ContentType="application/vnd.openxmlformats-officedocument.spreadsheetml.worksheet+xml" PartName="/xl/worksheets/sheet769.xml"/>
  <Override ContentType="application/vnd.openxmlformats-officedocument.spreadsheetml.worksheet+xml" PartName="/xl/worksheets/sheet770.xml"/>
  <Override ContentType="application/vnd.openxmlformats-officedocument.spreadsheetml.worksheet+xml" PartName="/xl/worksheets/sheet771.xml"/>
  <Override ContentType="application/vnd.openxmlformats-officedocument.spreadsheetml.worksheet+xml" PartName="/xl/worksheets/sheet772.xml"/>
  <Override ContentType="application/vnd.openxmlformats-officedocument.spreadsheetml.worksheet+xml" PartName="/xl/worksheets/sheet773.xml"/>
  <Override ContentType="application/vnd.openxmlformats-officedocument.spreadsheetml.worksheet+xml" PartName="/xl/worksheets/sheet774.xml"/>
  <Override ContentType="application/vnd.openxmlformats-officedocument.spreadsheetml.worksheet+xml" PartName="/xl/worksheets/sheet775.xml"/>
  <Override ContentType="application/vnd.openxmlformats-officedocument.spreadsheetml.worksheet+xml" PartName="/xl/worksheets/sheet776.xml"/>
  <Override ContentType="application/vnd.openxmlformats-officedocument.spreadsheetml.worksheet+xml" PartName="/xl/worksheets/sheet777.xml"/>
  <Override ContentType="application/vnd.openxmlformats-officedocument.spreadsheetml.worksheet+xml" PartName="/xl/worksheets/sheet778.xml"/>
  <Override ContentType="application/vnd.openxmlformats-officedocument.spreadsheetml.worksheet+xml" PartName="/xl/worksheets/sheet779.xml"/>
  <Override ContentType="application/vnd.openxmlformats-officedocument.spreadsheetml.worksheet+xml" PartName="/xl/worksheets/sheet780.xml"/>
  <Override ContentType="application/vnd.openxmlformats-officedocument.spreadsheetml.worksheet+xml" PartName="/xl/worksheets/sheet781.xml"/>
  <Override ContentType="application/vnd.openxmlformats-officedocument.spreadsheetml.worksheet+xml" PartName="/xl/worksheets/sheet782.xml"/>
  <Override ContentType="application/vnd.openxmlformats-officedocument.spreadsheetml.worksheet+xml" PartName="/xl/worksheets/sheet783.xml"/>
  <Override ContentType="application/vnd.openxmlformats-officedocument.spreadsheetml.worksheet+xml" PartName="/xl/worksheets/sheet784.xml"/>
  <Override ContentType="application/vnd.openxmlformats-officedocument.spreadsheetml.worksheet+xml" PartName="/xl/worksheets/sheet785.xml"/>
  <Override ContentType="application/vnd.openxmlformats-officedocument.spreadsheetml.worksheet+xml" PartName="/xl/worksheets/sheet786.xml"/>
  <Override ContentType="application/vnd.openxmlformats-officedocument.spreadsheetml.worksheet+xml" PartName="/xl/worksheets/sheet787.xml"/>
  <Override ContentType="application/vnd.openxmlformats-officedocument.spreadsheetml.worksheet+xml" PartName="/xl/worksheets/sheet788.xml"/>
  <Override ContentType="application/vnd.openxmlformats-officedocument.spreadsheetml.worksheet+xml" PartName="/xl/worksheets/sheet789.xml"/>
  <Override ContentType="application/vnd.openxmlformats-officedocument.spreadsheetml.worksheet+xml" PartName="/xl/worksheets/sheet790.xml"/>
  <Override ContentType="application/vnd.openxmlformats-officedocument.spreadsheetml.worksheet+xml" PartName="/xl/worksheets/sheet791.xml"/>
  <Override ContentType="application/vnd.openxmlformats-officedocument.spreadsheetml.worksheet+xml" PartName="/xl/worksheets/sheet792.xml"/>
  <Override ContentType="application/vnd.openxmlformats-officedocument.spreadsheetml.worksheet+xml" PartName="/xl/worksheets/sheet793.xml"/>
  <Override ContentType="application/vnd.openxmlformats-officedocument.spreadsheetml.worksheet+xml" PartName="/xl/worksheets/sheet794.xml"/>
  <Override ContentType="application/vnd.openxmlformats-officedocument.spreadsheetml.worksheet+xml" PartName="/xl/worksheets/sheet795.xml"/>
  <Override ContentType="application/vnd.openxmlformats-officedocument.spreadsheetml.worksheet+xml" PartName="/xl/worksheets/sheet796.xml"/>
  <Override ContentType="application/vnd.openxmlformats-officedocument.spreadsheetml.worksheet+xml" PartName="/xl/worksheets/sheet797.xml"/>
  <Override ContentType="application/vnd.openxmlformats-officedocument.spreadsheetml.worksheet+xml" PartName="/xl/worksheets/sheet798.xml"/>
  <Override ContentType="application/vnd.openxmlformats-officedocument.spreadsheetml.worksheet+xml" PartName="/xl/worksheets/sheet799.xml"/>
  <Override ContentType="application/vnd.openxmlformats-officedocument.spreadsheetml.worksheet+xml" PartName="/xl/worksheets/sheet800.xml"/>
  <Override ContentType="application/vnd.openxmlformats-officedocument.spreadsheetml.worksheet+xml" PartName="/xl/worksheets/sheet801.xml"/>
  <Override ContentType="application/vnd.openxmlformats-officedocument.spreadsheetml.worksheet+xml" PartName="/xl/worksheets/sheet802.xml"/>
  <Override ContentType="application/vnd.openxmlformats-officedocument.spreadsheetml.worksheet+xml" PartName="/xl/worksheets/sheet803.xml"/>
  <Override ContentType="application/vnd.openxmlformats-officedocument.spreadsheetml.worksheet+xml" PartName="/xl/worksheets/sheet804.xml"/>
  <Override ContentType="application/vnd.openxmlformats-officedocument.spreadsheetml.worksheet+xml" PartName="/xl/worksheets/sheet805.xml"/>
  <Override ContentType="application/vnd.openxmlformats-officedocument.spreadsheetml.worksheet+xml" PartName="/xl/worksheets/sheet806.xml"/>
  <Override ContentType="application/vnd.openxmlformats-officedocument.spreadsheetml.worksheet+xml" PartName="/xl/worksheets/sheet807.xml"/>
  <Override ContentType="application/vnd.openxmlformats-officedocument.spreadsheetml.worksheet+xml" PartName="/xl/worksheets/sheet808.xml"/>
  <Override ContentType="application/vnd.openxmlformats-officedocument.spreadsheetml.worksheet+xml" PartName="/xl/worksheets/sheet809.xml"/>
  <Override ContentType="application/vnd.openxmlformats-officedocument.spreadsheetml.worksheet+xml" PartName="/xl/worksheets/sheet810.xml"/>
  <Override ContentType="application/vnd.openxmlformats-officedocument.spreadsheetml.worksheet+xml" PartName="/xl/worksheets/sheet811.xml"/>
  <Override ContentType="application/vnd.openxmlformats-officedocument.spreadsheetml.worksheet+xml" PartName="/xl/worksheets/sheet812.xml"/>
  <Override ContentType="application/vnd.openxmlformats-officedocument.spreadsheetml.worksheet+xml" PartName="/xl/worksheets/sheet813.xml"/>
  <Override ContentType="application/vnd.openxmlformats-officedocument.spreadsheetml.worksheet+xml" PartName="/xl/worksheets/sheet814.xml"/>
  <Override ContentType="application/vnd.openxmlformats-officedocument.spreadsheetml.worksheet+xml" PartName="/xl/worksheets/sheet815.xml"/>
  <Override ContentType="application/vnd.openxmlformats-officedocument.spreadsheetml.worksheet+xml" PartName="/xl/worksheets/sheet816.xml"/>
  <Override ContentType="application/vnd.openxmlformats-officedocument.spreadsheetml.worksheet+xml" PartName="/xl/worksheets/sheet817.xml"/>
  <Override ContentType="application/vnd.openxmlformats-officedocument.spreadsheetml.worksheet+xml" PartName="/xl/worksheets/sheet818.xml"/>
  <Override ContentType="application/vnd.openxmlformats-officedocument.spreadsheetml.worksheet+xml" PartName="/xl/worksheets/sheet819.xml"/>
  <Override ContentType="application/vnd.openxmlformats-officedocument.spreadsheetml.worksheet+xml" PartName="/xl/worksheets/sheet820.xml"/>
  <Override ContentType="application/vnd.openxmlformats-officedocument.spreadsheetml.worksheet+xml" PartName="/xl/worksheets/sheet821.xml"/>
  <Override ContentType="application/vnd.openxmlformats-officedocument.spreadsheetml.worksheet+xml" PartName="/xl/worksheets/sheet822.xml"/>
  <Override ContentType="application/vnd.openxmlformats-officedocument.spreadsheetml.worksheet+xml" PartName="/xl/worksheets/sheet823.xml"/>
  <Override ContentType="application/vnd.openxmlformats-officedocument.spreadsheetml.worksheet+xml" PartName="/xl/worksheets/sheet824.xml"/>
  <Override ContentType="application/vnd.openxmlformats-officedocument.spreadsheetml.worksheet+xml" PartName="/xl/worksheets/sheet825.xml"/>
  <Override ContentType="application/vnd.openxmlformats-officedocument.spreadsheetml.worksheet+xml" PartName="/xl/worksheets/sheet826.xml"/>
  <Override ContentType="application/vnd.openxmlformats-officedocument.spreadsheetml.worksheet+xml" PartName="/xl/worksheets/sheet827.xml"/>
  <Override ContentType="application/vnd.openxmlformats-officedocument.spreadsheetml.worksheet+xml" PartName="/xl/worksheets/sheet828.xml"/>
  <Override ContentType="application/vnd.openxmlformats-officedocument.spreadsheetml.worksheet+xml" PartName="/xl/worksheets/sheet829.xml"/>
  <Override ContentType="application/vnd.openxmlformats-officedocument.spreadsheetml.worksheet+xml" PartName="/xl/worksheets/sheet830.xml"/>
  <Override ContentType="application/vnd.openxmlformats-officedocument.spreadsheetml.worksheet+xml" PartName="/xl/worksheets/sheet831.xml"/>
  <Override ContentType="application/vnd.openxmlformats-officedocument.spreadsheetml.worksheet+xml" PartName="/xl/worksheets/sheet832.xml"/>
  <Override ContentType="application/vnd.openxmlformats-officedocument.spreadsheetml.worksheet+xml" PartName="/xl/worksheets/sheet833.xml"/>
  <Override ContentType="application/vnd.openxmlformats-officedocument.spreadsheetml.worksheet+xml" PartName="/xl/worksheets/sheet834.xml"/>
  <Override ContentType="application/vnd.openxmlformats-officedocument.spreadsheetml.worksheet+xml" PartName="/xl/worksheets/sheet835.xml"/>
  <Override ContentType="application/vnd.openxmlformats-officedocument.spreadsheetml.worksheet+xml" PartName="/xl/worksheets/sheet836.xml"/>
  <Override ContentType="application/vnd.openxmlformats-officedocument.spreadsheetml.worksheet+xml" PartName="/xl/worksheets/sheet837.xml"/>
  <Override ContentType="application/vnd.openxmlformats-officedocument.spreadsheetml.worksheet+xml" PartName="/xl/worksheets/sheet838.xml"/>
  <Override ContentType="application/vnd.openxmlformats-officedocument.spreadsheetml.worksheet+xml" PartName="/xl/worksheets/sheet839.xml"/>
  <Override ContentType="application/vnd.openxmlformats-officedocument.spreadsheetml.worksheet+xml" PartName="/xl/worksheets/sheet840.xml"/>
  <Override ContentType="application/vnd.openxmlformats-officedocument.spreadsheetml.worksheet+xml" PartName="/xl/worksheets/sheet841.xml"/>
  <Override ContentType="application/vnd.openxmlformats-officedocument.spreadsheetml.worksheet+xml" PartName="/xl/worksheets/sheet842.xml"/>
  <Override ContentType="application/vnd.openxmlformats-officedocument.spreadsheetml.worksheet+xml" PartName="/xl/worksheets/sheet843.xml"/>
  <Override ContentType="application/vnd.openxmlformats-officedocument.spreadsheetml.worksheet+xml" PartName="/xl/worksheets/sheet844.xml"/>
  <Override ContentType="application/vnd.openxmlformats-officedocument.spreadsheetml.worksheet+xml" PartName="/xl/worksheets/sheet845.xml"/>
  <Override ContentType="application/vnd.openxmlformats-officedocument.spreadsheetml.worksheet+xml" PartName="/xl/worksheets/sheet846.xml"/>
  <Override ContentType="application/vnd.openxmlformats-officedocument.spreadsheetml.worksheet+xml" PartName="/xl/worksheets/sheet847.xml"/>
  <Override ContentType="application/vnd.openxmlformats-officedocument.spreadsheetml.worksheet+xml" PartName="/xl/worksheets/sheet848.xml"/>
  <Override ContentType="application/vnd.openxmlformats-officedocument.spreadsheetml.worksheet+xml" PartName="/xl/worksheets/sheet849.xml"/>
  <Override ContentType="application/vnd.openxmlformats-officedocument.spreadsheetml.worksheet+xml" PartName="/xl/worksheets/sheet850.xml"/>
  <Override ContentType="application/vnd.openxmlformats-officedocument.spreadsheetml.worksheet+xml" PartName="/xl/worksheets/sheet851.xml"/>
  <Override ContentType="application/vnd.openxmlformats-officedocument.spreadsheetml.worksheet+xml" PartName="/xl/worksheets/sheet852.xml"/>
  <Override ContentType="application/vnd.openxmlformats-officedocument.spreadsheetml.worksheet+xml" PartName="/xl/worksheets/sheet853.xml"/>
  <Override ContentType="application/vnd.openxmlformats-officedocument.spreadsheetml.worksheet+xml" PartName="/xl/worksheets/sheet854.xml"/>
  <Override ContentType="application/vnd.openxmlformats-officedocument.spreadsheetml.worksheet+xml" PartName="/xl/worksheets/sheet855.xml"/>
  <Override ContentType="application/vnd.openxmlformats-officedocument.spreadsheetml.worksheet+xml" PartName="/xl/worksheets/sheet856.xml"/>
  <Override ContentType="application/vnd.openxmlformats-officedocument.spreadsheetml.worksheet+xml" PartName="/xl/worksheets/sheet857.xml"/>
  <Override ContentType="application/vnd.openxmlformats-officedocument.spreadsheetml.worksheet+xml" PartName="/xl/worksheets/sheet858.xml"/>
  <Override ContentType="application/vnd.openxmlformats-officedocument.spreadsheetml.worksheet+xml" PartName="/xl/worksheets/sheet859.xml"/>
  <Override ContentType="application/vnd.openxmlformats-officedocument.spreadsheetml.worksheet+xml" PartName="/xl/worksheets/sheet860.xml"/>
  <Override ContentType="application/vnd.openxmlformats-officedocument.spreadsheetml.worksheet+xml" PartName="/xl/worksheets/sheet861.xml"/>
  <Override ContentType="application/vnd.openxmlformats-officedocument.spreadsheetml.worksheet+xml" PartName="/xl/worksheets/sheet862.xml"/>
  <Override ContentType="application/vnd.openxmlformats-officedocument.spreadsheetml.worksheet+xml" PartName="/xl/worksheets/sheet863.xml"/>
  <Override ContentType="application/vnd.openxmlformats-officedocument.spreadsheetml.worksheet+xml" PartName="/xl/worksheets/sheet864.xml"/>
  <Override ContentType="application/vnd.openxmlformats-officedocument.spreadsheetml.worksheet+xml" PartName="/xl/worksheets/sheet865.xml"/>
  <Override ContentType="application/vnd.openxmlformats-officedocument.spreadsheetml.worksheet+xml" PartName="/xl/worksheets/sheet866.xml"/>
  <Override ContentType="application/vnd.openxmlformats-officedocument.spreadsheetml.worksheet+xml" PartName="/xl/worksheets/sheet867.xml"/>
  <Override ContentType="application/vnd.openxmlformats-officedocument.spreadsheetml.worksheet+xml" PartName="/xl/worksheets/sheet868.xml"/>
  <Override ContentType="application/vnd.openxmlformats-officedocument.spreadsheetml.worksheet+xml" PartName="/xl/worksheets/sheet869.xml"/>
  <Override ContentType="application/vnd.openxmlformats-officedocument.spreadsheetml.worksheet+xml" PartName="/xl/worksheets/sheet870.xml"/>
  <Override ContentType="application/vnd.openxmlformats-officedocument.spreadsheetml.worksheet+xml" PartName="/xl/worksheets/sheet871.xml"/>
  <Override ContentType="application/vnd.openxmlformats-officedocument.spreadsheetml.worksheet+xml" PartName="/xl/worksheets/sheet872.xml"/>
  <Override ContentType="application/vnd.openxmlformats-officedocument.spreadsheetml.worksheet+xml" PartName="/xl/worksheets/sheet873.xml"/>
  <Override ContentType="application/vnd.openxmlformats-officedocument.spreadsheetml.worksheet+xml" PartName="/xl/worksheets/sheet874.xml"/>
  <Override ContentType="application/vnd.openxmlformats-officedocument.spreadsheetml.worksheet+xml" PartName="/xl/worksheets/sheet875.xml"/>
  <Override ContentType="application/vnd.openxmlformats-officedocument.spreadsheetml.worksheet+xml" PartName="/xl/worksheets/sheet876.xml"/>
  <Override ContentType="application/vnd.openxmlformats-officedocument.spreadsheetml.worksheet+xml" PartName="/xl/worksheets/sheet877.xml"/>
  <Override ContentType="application/vnd.openxmlformats-officedocument.spreadsheetml.worksheet+xml" PartName="/xl/worksheets/sheet878.xml"/>
  <Override ContentType="application/vnd.openxmlformats-officedocument.spreadsheetml.worksheet+xml" PartName="/xl/worksheets/sheet879.xml"/>
  <Override ContentType="application/vnd.openxmlformats-officedocument.spreadsheetml.worksheet+xml" PartName="/xl/worksheets/sheet880.xml"/>
  <Override ContentType="application/vnd.openxmlformats-officedocument.spreadsheetml.worksheet+xml" PartName="/xl/worksheets/sheet881.xml"/>
  <Override ContentType="application/vnd.openxmlformats-officedocument.spreadsheetml.worksheet+xml" PartName="/xl/worksheets/sheet882.xml"/>
  <Override ContentType="application/vnd.openxmlformats-officedocument.spreadsheetml.worksheet+xml" PartName="/xl/worksheets/sheet883.xml"/>
  <Override ContentType="application/vnd.openxmlformats-officedocument.spreadsheetml.worksheet+xml" PartName="/xl/worksheets/sheet884.xml"/>
  <Override ContentType="application/vnd.openxmlformats-officedocument.spreadsheetml.worksheet+xml" PartName="/xl/worksheets/sheet885.xml"/>
  <Override ContentType="application/vnd.openxmlformats-officedocument.spreadsheetml.worksheet+xml" PartName="/xl/worksheets/sheet886.xml"/>
  <Override ContentType="application/vnd.openxmlformats-officedocument.spreadsheetml.worksheet+xml" PartName="/xl/worksheets/sheet887.xml"/>
  <Override ContentType="application/vnd.openxmlformats-officedocument.spreadsheetml.worksheet+xml" PartName="/xl/worksheets/sheet888.xml"/>
  <Override ContentType="application/vnd.openxmlformats-officedocument.spreadsheetml.worksheet+xml" PartName="/xl/worksheets/sheet889.xml"/>
  <Override ContentType="application/vnd.openxmlformats-officedocument.spreadsheetml.worksheet+xml" PartName="/xl/worksheets/sheet890.xml"/>
  <Override ContentType="application/vnd.openxmlformats-officedocument.spreadsheetml.worksheet+xml" PartName="/xl/worksheets/sheet891.xml"/>
  <Override ContentType="application/vnd.openxmlformats-officedocument.spreadsheetml.worksheet+xml" PartName="/xl/worksheets/sheet892.xml"/>
  <Override ContentType="application/vnd.openxmlformats-officedocument.spreadsheetml.worksheet+xml" PartName="/xl/worksheets/sheet893.xml"/>
  <Override ContentType="application/vnd.openxmlformats-officedocument.spreadsheetml.worksheet+xml" PartName="/xl/worksheets/sheet894.xml"/>
  <Override ContentType="application/vnd.openxmlformats-officedocument.spreadsheetml.worksheet+xml" PartName="/xl/worksheets/sheet895.xml"/>
  <Override ContentType="application/vnd.openxmlformats-officedocument.spreadsheetml.worksheet+xml" PartName="/xl/worksheets/sheet896.xml"/>
  <Override ContentType="application/vnd.openxmlformats-officedocument.spreadsheetml.worksheet+xml" PartName="/xl/worksheets/sheet897.xml"/>
  <Override ContentType="application/vnd.openxmlformats-officedocument.spreadsheetml.worksheet+xml" PartName="/xl/worksheets/sheet898.xml"/>
  <Override ContentType="application/vnd.openxmlformats-officedocument.spreadsheetml.worksheet+xml" PartName="/xl/worksheets/sheet899.xml"/>
  <Override ContentType="application/vnd.openxmlformats-officedocument.spreadsheetml.worksheet+xml" PartName="/xl/worksheets/sheet900.xml"/>
  <Override ContentType="application/vnd.openxmlformats-officedocument.spreadsheetml.worksheet+xml" PartName="/xl/worksheets/sheet901.xml"/>
  <Override ContentType="application/vnd.openxmlformats-officedocument.spreadsheetml.worksheet+xml" PartName="/xl/worksheets/sheet902.xml"/>
  <Override ContentType="application/vnd.openxmlformats-officedocument.spreadsheetml.worksheet+xml" PartName="/xl/worksheets/sheet903.xml"/>
  <Override ContentType="application/vnd.openxmlformats-officedocument.spreadsheetml.worksheet+xml" PartName="/xl/worksheets/sheet904.xml"/>
  <Override ContentType="application/vnd.openxmlformats-officedocument.spreadsheetml.worksheet+xml" PartName="/xl/worksheets/sheet905.xml"/>
  <Override ContentType="application/vnd.openxmlformats-officedocument.spreadsheetml.worksheet+xml" PartName="/xl/worksheets/sheet906.xml"/>
  <Override ContentType="application/vnd.openxmlformats-officedocument.spreadsheetml.worksheet+xml" PartName="/xl/worksheets/sheet907.xml"/>
  <Override ContentType="application/vnd.openxmlformats-officedocument.spreadsheetml.worksheet+xml" PartName="/xl/worksheets/sheet908.xml"/>
  <Override ContentType="application/vnd.openxmlformats-officedocument.spreadsheetml.worksheet+xml" PartName="/xl/worksheets/sheet909.xml"/>
  <Override ContentType="application/vnd.openxmlformats-officedocument.spreadsheetml.worksheet+xml" PartName="/xl/worksheets/sheet910.xml"/>
  <Override ContentType="application/vnd.openxmlformats-officedocument.spreadsheetml.worksheet+xml" PartName="/xl/worksheets/sheet911.xml"/>
  <Override ContentType="application/vnd.openxmlformats-officedocument.spreadsheetml.worksheet+xml" PartName="/xl/worksheets/sheet912.xml"/>
  <Override ContentType="application/vnd.openxmlformats-officedocument.spreadsheetml.worksheet+xml" PartName="/xl/worksheets/sheet913.xml"/>
  <Override ContentType="application/vnd.openxmlformats-officedocument.spreadsheetml.worksheet+xml" PartName="/xl/worksheets/sheet914.xml"/>
  <Override ContentType="application/vnd.openxmlformats-officedocument.spreadsheetml.worksheet+xml" PartName="/xl/worksheets/sheet915.xml"/>
  <Override ContentType="application/vnd.openxmlformats-officedocument.spreadsheetml.worksheet+xml" PartName="/xl/worksheets/sheet916.xml"/>
  <Override ContentType="application/vnd.openxmlformats-officedocument.spreadsheetml.worksheet+xml" PartName="/xl/worksheets/sheet917.xml"/>
  <Override ContentType="application/vnd.openxmlformats-officedocument.spreadsheetml.worksheet+xml" PartName="/xl/worksheets/sheet918.xml"/>
  <Override ContentType="application/vnd.openxmlformats-officedocument.spreadsheetml.worksheet+xml" PartName="/xl/worksheets/sheet919.xml"/>
  <Override ContentType="application/vnd.openxmlformats-officedocument.spreadsheetml.worksheet+xml" PartName="/xl/worksheets/sheet920.xml"/>
  <Override ContentType="application/vnd.openxmlformats-officedocument.spreadsheetml.worksheet+xml" PartName="/xl/worksheets/sheet921.xml"/>
  <Override ContentType="application/vnd.openxmlformats-officedocument.spreadsheetml.worksheet+xml" PartName="/xl/worksheets/sheet922.xml"/>
  <Override ContentType="application/vnd.openxmlformats-officedocument.spreadsheetml.worksheet+xml" PartName="/xl/worksheets/sheet923.xml"/>
  <Override ContentType="application/vnd.openxmlformats-officedocument.spreadsheetml.worksheet+xml" PartName="/xl/worksheets/sheet924.xml"/>
  <Override ContentType="application/vnd.openxmlformats-officedocument.spreadsheetml.worksheet+xml" PartName="/xl/worksheets/sheet925.xml"/>
  <Override ContentType="application/vnd.openxmlformats-officedocument.spreadsheetml.worksheet+xml" PartName="/xl/worksheets/sheet926.xml"/>
  <Override ContentType="application/vnd.openxmlformats-officedocument.spreadsheetml.worksheet+xml" PartName="/xl/worksheets/sheet927.xml"/>
  <Override ContentType="application/vnd.openxmlformats-officedocument.spreadsheetml.worksheet+xml" PartName="/xl/worksheets/sheet928.xml"/>
  <Override ContentType="application/vnd.openxmlformats-officedocument.spreadsheetml.worksheet+xml" PartName="/xl/worksheets/sheet929.xml"/>
  <Override ContentType="application/vnd.openxmlformats-officedocument.spreadsheetml.worksheet+xml" PartName="/xl/worksheets/sheet930.xml"/>
  <Override ContentType="application/vnd.openxmlformats-officedocument.spreadsheetml.worksheet+xml" PartName="/xl/worksheets/sheet931.xml"/>
  <Override ContentType="application/vnd.openxmlformats-officedocument.spreadsheetml.worksheet+xml" PartName="/xl/worksheets/sheet932.xml"/>
  <Override ContentType="application/vnd.openxmlformats-officedocument.spreadsheetml.worksheet+xml" PartName="/xl/worksheets/sheet933.xml"/>
  <Override ContentType="application/vnd.openxmlformats-officedocument.spreadsheetml.worksheet+xml" PartName="/xl/worksheets/sheet934.xml"/>
  <Override ContentType="application/vnd.openxmlformats-officedocument.spreadsheetml.worksheet+xml" PartName="/xl/worksheets/sheet935.xml"/>
  <Override ContentType="application/vnd.openxmlformats-officedocument.spreadsheetml.worksheet+xml" PartName="/xl/worksheets/sheet936.xml"/>
  <Override ContentType="application/vnd.openxmlformats-officedocument.spreadsheetml.worksheet+xml" PartName="/xl/worksheets/sheet937.xml"/>
  <Override ContentType="application/vnd.openxmlformats-officedocument.spreadsheetml.worksheet+xml" PartName="/xl/worksheets/sheet938.xml"/>
  <Override ContentType="application/vnd.openxmlformats-officedocument.spreadsheetml.worksheet+xml" PartName="/xl/worksheets/sheet939.xml"/>
  <Override ContentType="application/vnd.openxmlformats-officedocument.spreadsheetml.worksheet+xml" PartName="/xl/worksheets/sheet940.xml"/>
  <Override ContentType="application/vnd.openxmlformats-officedocument.spreadsheetml.worksheet+xml" PartName="/xl/worksheets/sheet941.xml"/>
  <Override ContentType="application/vnd.openxmlformats-officedocument.spreadsheetml.worksheet+xml" PartName="/xl/worksheets/sheet942.xml"/>
  <Override ContentType="application/vnd.openxmlformats-officedocument.spreadsheetml.worksheet+xml" PartName="/xl/worksheets/sheet943.xml"/>
  <Override ContentType="application/vnd.openxmlformats-officedocument.spreadsheetml.worksheet+xml" PartName="/xl/worksheets/sheet944.xml"/>
  <Override ContentType="application/vnd.openxmlformats-officedocument.spreadsheetml.worksheet+xml" PartName="/xl/worksheets/sheet945.xml"/>
  <Override ContentType="application/vnd.openxmlformats-officedocument.spreadsheetml.worksheet+xml" PartName="/xl/worksheets/sheet946.xml"/>
  <Override ContentType="application/vnd.openxmlformats-officedocument.spreadsheetml.worksheet+xml" PartName="/xl/worksheets/sheet947.xml"/>
  <Override ContentType="application/vnd.openxmlformats-officedocument.spreadsheetml.worksheet+xml" PartName="/xl/worksheets/sheet948.xml"/>
  <Override ContentType="application/vnd.openxmlformats-officedocument.spreadsheetml.worksheet+xml" PartName="/xl/worksheets/sheet949.xml"/>
  <Override ContentType="application/vnd.openxmlformats-officedocument.spreadsheetml.worksheet+xml" PartName="/xl/worksheets/sheet950.xml"/>
  <Override ContentType="application/vnd.openxmlformats-officedocument.spreadsheetml.worksheet+xml" PartName="/xl/worksheets/sheet951.xml"/>
  <Override ContentType="application/vnd.openxmlformats-officedocument.spreadsheetml.worksheet+xml" PartName="/xl/worksheets/sheet952.xml"/>
  <Override ContentType="application/vnd.openxmlformats-officedocument.spreadsheetml.worksheet+xml" PartName="/xl/worksheets/sheet953.xml"/>
  <Override ContentType="application/vnd.openxmlformats-officedocument.spreadsheetml.worksheet+xml" PartName="/xl/worksheets/sheet954.xml"/>
  <Override ContentType="application/vnd.openxmlformats-officedocument.spreadsheetml.worksheet+xml" PartName="/xl/worksheets/sheet955.xml"/>
  <Override ContentType="application/vnd.openxmlformats-officedocument.spreadsheetml.worksheet+xml" PartName="/xl/worksheets/sheet956.xml"/>
  <Override ContentType="application/vnd.openxmlformats-officedocument.spreadsheetml.worksheet+xml" PartName="/xl/worksheets/sheet957.xml"/>
  <Override ContentType="application/vnd.openxmlformats-officedocument.spreadsheetml.worksheet+xml" PartName="/xl/worksheets/sheet958.xml"/>
  <Override ContentType="application/vnd.openxmlformats-officedocument.spreadsheetml.worksheet+xml" PartName="/xl/worksheets/sheet959.xml"/>
  <Override ContentType="application/vnd.openxmlformats-officedocument.spreadsheetml.worksheet+xml" PartName="/xl/worksheets/sheet960.xml"/>
  <Override ContentType="application/vnd.openxmlformats-officedocument.spreadsheetml.worksheet+xml" PartName="/xl/worksheets/sheet961.xml"/>
  <Override ContentType="application/vnd.openxmlformats-officedocument.spreadsheetml.worksheet+xml" PartName="/xl/worksheets/sheet962.xml"/>
  <Override ContentType="application/vnd.openxmlformats-officedocument.spreadsheetml.worksheet+xml" PartName="/xl/worksheets/sheet963.xml"/>
  <Override ContentType="application/vnd.openxmlformats-officedocument.spreadsheetml.worksheet+xml" PartName="/xl/worksheets/sheet964.xml"/>
  <Override ContentType="application/vnd.openxmlformats-officedocument.spreadsheetml.worksheet+xml" PartName="/xl/worksheets/sheet965.xml"/>
  <Override ContentType="application/vnd.openxmlformats-officedocument.spreadsheetml.worksheet+xml" PartName="/xl/worksheets/sheet966.xml"/>
  <Override ContentType="application/vnd.openxmlformats-officedocument.spreadsheetml.worksheet+xml" PartName="/xl/worksheets/sheet967.xml"/>
  <Override ContentType="application/vnd.openxmlformats-officedocument.spreadsheetml.worksheet+xml" PartName="/xl/worksheets/sheet968.xml"/>
  <Override ContentType="application/vnd.openxmlformats-officedocument.spreadsheetml.worksheet+xml" PartName="/xl/worksheets/sheet969.xml"/>
  <Override ContentType="application/vnd.openxmlformats-officedocument.spreadsheetml.worksheet+xml" PartName="/xl/worksheets/sheet970.xml"/>
  <Override ContentType="application/vnd.openxmlformats-officedocument.spreadsheetml.worksheet+xml" PartName="/xl/worksheets/sheet971.xml"/>
  <Override ContentType="application/vnd.openxmlformats-officedocument.spreadsheetml.worksheet+xml" PartName="/xl/worksheets/sheet972.xml"/>
  <Override ContentType="application/vnd.openxmlformats-officedocument.spreadsheetml.worksheet+xml" PartName="/xl/worksheets/sheet973.xml"/>
  <Override ContentType="application/vnd.openxmlformats-officedocument.spreadsheetml.worksheet+xml" PartName="/xl/worksheets/sheet974.xml"/>
  <Override ContentType="application/vnd.openxmlformats-officedocument.spreadsheetml.worksheet+xml" PartName="/xl/worksheets/sheet975.xml"/>
  <Override ContentType="application/vnd.openxmlformats-officedocument.spreadsheetml.worksheet+xml" PartName="/xl/worksheets/sheet976.xml"/>
  <Override ContentType="application/vnd.openxmlformats-officedocument.spreadsheetml.worksheet+xml" PartName="/xl/worksheets/sheet977.xml"/>
  <Override ContentType="application/vnd.openxmlformats-officedocument.spreadsheetml.worksheet+xml" PartName="/xl/worksheets/sheet978.xml"/>
  <Override ContentType="application/vnd.openxmlformats-officedocument.spreadsheetml.worksheet+xml" PartName="/xl/worksheets/sheet979.xml"/>
  <Override ContentType="application/vnd.openxmlformats-officedocument.spreadsheetml.worksheet+xml" PartName="/xl/worksheets/sheet980.xml"/>
  <Override ContentType="application/vnd.openxmlformats-officedocument.spreadsheetml.worksheet+xml" PartName="/xl/worksheets/sheet981.xml"/>
  <Override ContentType="application/vnd.openxmlformats-officedocument.spreadsheetml.worksheet+xml" PartName="/xl/worksheets/sheet982.xml"/>
  <Override ContentType="application/vnd.openxmlformats-officedocument.spreadsheetml.worksheet+xml" PartName="/xl/worksheets/sheet983.xml"/>
  <Override ContentType="application/vnd.openxmlformats-officedocument.spreadsheetml.worksheet+xml" PartName="/xl/worksheets/sheet984.xml"/>
  <Override ContentType="application/vnd.openxmlformats-officedocument.spreadsheetml.worksheet+xml" PartName="/xl/worksheets/sheet985.xml"/>
  <Override ContentType="application/vnd.openxmlformats-officedocument.spreadsheetml.worksheet+xml" PartName="/xl/worksheets/sheet986.xml"/>
  <Override ContentType="application/vnd.openxmlformats-officedocument.spreadsheetml.worksheet+xml" PartName="/xl/worksheets/sheet987.xml"/>
  <Override ContentType="application/vnd.openxmlformats-officedocument.spreadsheetml.worksheet+xml" PartName="/xl/worksheets/sheet988.xml"/>
  <Override ContentType="application/vnd.openxmlformats-officedocument.spreadsheetml.worksheet+xml" PartName="/xl/worksheets/sheet989.xml"/>
  <Override ContentType="application/vnd.openxmlformats-officedocument.spreadsheetml.worksheet+xml" PartName="/xl/worksheets/sheet990.xml"/>
  <Override ContentType="application/vnd.openxmlformats-officedocument.spreadsheetml.worksheet+xml" PartName="/xl/worksheets/sheet991.xml"/>
  <Override ContentType="application/vnd.openxmlformats-officedocument.spreadsheetml.worksheet+xml" PartName="/xl/worksheets/sheet992.xml"/>
  <Override ContentType="application/vnd.openxmlformats-officedocument.spreadsheetml.worksheet+xml" PartName="/xl/worksheets/sheet993.xml"/>
  <Override ContentType="application/vnd.openxmlformats-officedocument.spreadsheetml.worksheet+xml" PartName="/xl/worksheets/sheet994.xml"/>
  <Override ContentType="application/vnd.openxmlformats-officedocument.spreadsheetml.worksheet+xml" PartName="/xl/worksheets/sheet995.xml"/>
  <Override ContentType="application/vnd.openxmlformats-officedocument.spreadsheetml.worksheet+xml" PartName="/xl/worksheets/sheet996.xml"/>
  <Override ContentType="application/vnd.openxmlformats-officedocument.spreadsheetml.worksheet+xml" PartName="/xl/worksheets/sheet997.xml"/>
  <Override ContentType="application/vnd.openxmlformats-officedocument.spreadsheetml.worksheet+xml" PartName="/xl/worksheets/sheet998.xml"/>
  <Override ContentType="application/vnd.openxmlformats-officedocument.spreadsheetml.worksheet+xml" PartName="/xl/worksheets/sheet999.xml"/>
  <Override ContentType="application/vnd.openxmlformats-officedocument.spreadsheetml.worksheet+xml" PartName="/xl/worksheets/sheet1000.xml"/>
  <Override ContentType="application/vnd.openxmlformats-officedocument.spreadsheetml.worksheet+xml" PartName="/xl/worksheets/sheet1001.xml"/>
  <Override ContentType="application/vnd.openxmlformats-officedocument.spreadsheetml.worksheet+xml" PartName="/xl/worksheets/sheet1002.xml"/>
  <Override ContentType="application/vnd.openxmlformats-officedocument.spreadsheetml.worksheet+xml" PartName="/xl/worksheets/sheet1003.xml"/>
  <Override ContentType="application/vnd.openxmlformats-officedocument.spreadsheetml.worksheet+xml" PartName="/xl/worksheets/sheet1004.xml"/>
  <Override ContentType="application/vnd.openxmlformats-officedocument.spreadsheetml.worksheet+xml" PartName="/xl/worksheets/sheet1005.xml"/>
  <Override ContentType="application/vnd.openxmlformats-officedocument.spreadsheetml.worksheet+xml" PartName="/xl/worksheets/sheet1006.xml"/>
  <Override ContentType="application/vnd.openxmlformats-officedocument.spreadsheetml.worksheet+xml" PartName="/xl/worksheets/sheet1007.xml"/>
  <Override ContentType="application/vnd.openxmlformats-officedocument.spreadsheetml.worksheet+xml" PartName="/xl/worksheets/sheet1008.xml"/>
  <Override ContentType="application/vnd.openxmlformats-officedocument.spreadsheetml.worksheet+xml" PartName="/xl/worksheets/sheet1009.xml"/>
  <Override ContentType="application/vnd.openxmlformats-officedocument.spreadsheetml.worksheet+xml" PartName="/xl/worksheets/sheet1010.xml"/>
  <Override ContentType="application/vnd.openxmlformats-officedocument.spreadsheetml.worksheet+xml" PartName="/xl/worksheets/sheet1011.xml"/>
  <Override ContentType="application/vnd.openxmlformats-officedocument.spreadsheetml.worksheet+xml" PartName="/xl/worksheets/sheet1012.xml"/>
  <Override ContentType="application/vnd.openxmlformats-officedocument.spreadsheetml.worksheet+xml" PartName="/xl/worksheets/sheet1013.xml"/>
  <Override ContentType="application/vnd.openxmlformats-officedocument.spreadsheetml.worksheet+xml" PartName="/xl/worksheets/sheet1014.xml"/>
  <Override ContentType="application/vnd.openxmlformats-officedocument.spreadsheetml.worksheet+xml" PartName="/xl/worksheets/sheet1015.xml"/>
  <Override ContentType="application/vnd.openxmlformats-officedocument.spreadsheetml.worksheet+xml" PartName="/xl/worksheets/sheet1016.xml"/>
  <Override ContentType="application/vnd.openxmlformats-officedocument.spreadsheetml.worksheet+xml" PartName="/xl/worksheets/sheet1017.xml"/>
  <Override ContentType="application/vnd.openxmlformats-officedocument.spreadsheetml.worksheet+xml" PartName="/xl/worksheets/sheet1018.xml"/>
  <Override ContentType="application/vnd.openxmlformats-officedocument.spreadsheetml.worksheet+xml" PartName="/xl/worksheets/sheet1019.xml"/>
  <Override ContentType="application/vnd.openxmlformats-officedocument.spreadsheetml.worksheet+xml" PartName="/xl/worksheets/sheet1020.xml"/>
  <Override ContentType="application/vnd.openxmlformats-officedocument.spreadsheetml.worksheet+xml" PartName="/xl/worksheets/sheet1021.xml"/>
  <Override ContentType="application/vnd.openxmlformats-officedocument.spreadsheetml.worksheet+xml" PartName="/xl/worksheets/sheet1022.xml"/>
  <Override ContentType="application/vnd.openxmlformats-officedocument.spreadsheetml.worksheet+xml" PartName="/xl/worksheets/sheet1023.xml"/>
  <Override ContentType="application/vnd.openxmlformats-officedocument.spreadsheetml.worksheet+xml" PartName="/xl/worksheets/sheet1024.xml"/>
  <Override ContentType="application/vnd.openxmlformats-officedocument.spreadsheetml.worksheet+xml" PartName="/xl/worksheets/sheet1025.xml"/>
  <Override ContentType="application/vnd.openxmlformats-officedocument.spreadsheetml.worksheet+xml" PartName="/xl/worksheets/sheet1026.xml"/>
  <Override ContentType="application/vnd.openxmlformats-officedocument.spreadsheetml.worksheet+xml" PartName="/xl/worksheets/sheet1027.xml"/>
  <Override ContentType="application/vnd.openxmlformats-officedocument.spreadsheetml.worksheet+xml" PartName="/xl/worksheets/sheet1028.xml"/>
  <Override ContentType="application/vnd.openxmlformats-officedocument.spreadsheetml.worksheet+xml" PartName="/xl/worksheets/sheet1029.xml"/>
  <Override ContentType="application/vnd.openxmlformats-officedocument.spreadsheetml.worksheet+xml" PartName="/xl/worksheets/sheet1030.xml"/>
  <Override ContentType="application/vnd.openxmlformats-officedocument.spreadsheetml.worksheet+xml" PartName="/xl/worksheets/sheet1031.xml"/>
  <Override ContentType="application/vnd.openxmlformats-officedocument.spreadsheetml.worksheet+xml" PartName="/xl/worksheets/sheet1032.xml"/>
  <Override ContentType="application/vnd.openxmlformats-officedocument.spreadsheetml.worksheet+xml" PartName="/xl/worksheets/sheet1033.xml"/>
  <Override ContentType="application/vnd.openxmlformats-officedocument.spreadsheetml.worksheet+xml" PartName="/xl/worksheets/sheet1034.xml"/>
  <Override ContentType="application/vnd.openxmlformats-officedocument.spreadsheetml.worksheet+xml" PartName="/xl/worksheets/sheet1035.xml"/>
  <Override ContentType="application/vnd.openxmlformats-officedocument.spreadsheetml.worksheet+xml" PartName="/xl/worksheets/sheet1036.xml"/>
  <Override ContentType="application/vnd.openxmlformats-officedocument.spreadsheetml.worksheet+xml" PartName="/xl/worksheets/sheet1037.xml"/>
  <Override ContentType="application/vnd.openxmlformats-officedocument.spreadsheetml.worksheet+xml" PartName="/xl/worksheets/sheet1038.xml"/>
  <Override ContentType="application/vnd.openxmlformats-officedocument.spreadsheetml.worksheet+xml" PartName="/xl/worksheets/sheet1039.xml"/>
  <Override ContentType="application/vnd.openxmlformats-officedocument.spreadsheetml.worksheet+xml" PartName="/xl/worksheets/sheet1040.xml"/>
  <Override ContentType="application/vnd.openxmlformats-officedocument.spreadsheetml.worksheet+xml" PartName="/xl/worksheets/sheet1041.xml"/>
  <Override ContentType="application/vnd.openxmlformats-officedocument.spreadsheetml.worksheet+xml" PartName="/xl/worksheets/sheet1042.xml"/>
  <Override ContentType="application/vnd.openxmlformats-officedocument.spreadsheetml.worksheet+xml" PartName="/xl/worksheets/sheet1043.xml"/>
  <Override ContentType="application/vnd.openxmlformats-officedocument.spreadsheetml.worksheet+xml" PartName="/xl/worksheets/sheet1044.xml"/>
  <Override ContentType="application/vnd.openxmlformats-officedocument.spreadsheetml.worksheet+xml" PartName="/xl/worksheets/sheet1045.xml"/>
  <Override ContentType="application/vnd.openxmlformats-officedocument.spreadsheetml.worksheet+xml" PartName="/xl/worksheets/sheet1046.xml"/>
  <Override ContentType="application/vnd.openxmlformats-officedocument.spreadsheetml.worksheet+xml" PartName="/xl/worksheets/sheet1047.xml"/>
  <Override ContentType="application/vnd.openxmlformats-officedocument.spreadsheetml.worksheet+xml" PartName="/xl/worksheets/sheet1048.xml"/>
  <Override ContentType="application/vnd.openxmlformats-officedocument.spreadsheetml.worksheet+xml" PartName="/xl/worksheets/sheet1049.xml"/>
  <Override ContentType="application/vnd.openxmlformats-officedocument.spreadsheetml.worksheet+xml" PartName="/xl/worksheets/sheet1050.xml"/>
  <Override ContentType="application/vnd.openxmlformats-officedocument.spreadsheetml.worksheet+xml" PartName="/xl/worksheets/sheet1051.xml"/>
  <Override ContentType="application/vnd.openxmlformats-officedocument.spreadsheetml.worksheet+xml" PartName="/xl/worksheets/sheet1052.xml"/>
  <Override ContentType="application/vnd.openxmlformats-officedocument.spreadsheetml.worksheet+xml" PartName="/xl/worksheets/sheet1053.xml"/>
  <Override ContentType="application/vnd.openxmlformats-officedocument.spreadsheetml.worksheet+xml" PartName="/xl/worksheets/sheet1054.xml"/>
  <Override ContentType="application/vnd.openxmlformats-officedocument.spreadsheetml.worksheet+xml" PartName="/xl/worksheets/sheet1055.xml"/>
  <Override ContentType="application/vnd.openxmlformats-officedocument.spreadsheetml.worksheet+xml" PartName="/xl/worksheets/sheet1056.xml"/>
  <Override ContentType="application/vnd.openxmlformats-officedocument.spreadsheetml.worksheet+xml" PartName="/xl/worksheets/sheet1057.xml"/>
  <Override ContentType="application/vnd.openxmlformats-officedocument.spreadsheetml.worksheet+xml" PartName="/xl/worksheets/sheet1058.xml"/>
  <Override ContentType="application/vnd.openxmlformats-officedocument.spreadsheetml.worksheet+xml" PartName="/xl/worksheets/sheet1059.xml"/>
  <Override ContentType="application/vnd.openxmlformats-officedocument.spreadsheetml.worksheet+xml" PartName="/xl/worksheets/sheet1060.xml"/>
  <Override ContentType="application/vnd.openxmlformats-officedocument.spreadsheetml.worksheet+xml" PartName="/xl/worksheets/sheet1061.xml"/>
  <Override ContentType="application/vnd.openxmlformats-officedocument.spreadsheetml.worksheet+xml" PartName="/xl/worksheets/sheet1062.xml"/>
  <Override ContentType="application/vnd.openxmlformats-officedocument.spreadsheetml.worksheet+xml" PartName="/xl/worksheets/sheet1063.xml"/>
  <Override ContentType="application/vnd.openxmlformats-officedocument.spreadsheetml.worksheet+xml" PartName="/xl/worksheets/sheet1064.xml"/>
  <Override ContentType="application/vnd.openxmlformats-officedocument.spreadsheetml.worksheet+xml" PartName="/xl/worksheets/sheet1065.xml"/>
  <Override ContentType="application/vnd.openxmlformats-officedocument.spreadsheetml.worksheet+xml" PartName="/xl/worksheets/sheet1066.xml"/>
  <Override ContentType="application/vnd.openxmlformats-officedocument.spreadsheetml.worksheet+xml" PartName="/xl/worksheets/sheet1067.xml"/>
  <Override ContentType="application/vnd.openxmlformats-officedocument.spreadsheetml.worksheet+xml" PartName="/xl/worksheets/sheet1068.xml"/>
  <Override ContentType="application/vnd.openxmlformats-officedocument.spreadsheetml.worksheet+xml" PartName="/xl/worksheets/sheet1069.xml"/>
  <Override ContentType="application/vnd.openxmlformats-officedocument.spreadsheetml.worksheet+xml" PartName="/xl/worksheets/sheet1070.xml"/>
  <Override ContentType="application/vnd.openxmlformats-officedocument.spreadsheetml.worksheet+xml" PartName="/xl/worksheets/sheet1071.xml"/>
  <Override ContentType="application/vnd.openxmlformats-officedocument.spreadsheetml.worksheet+xml" PartName="/xl/worksheets/sheet1072.xml"/>
  <Override ContentType="application/vnd.openxmlformats-officedocument.spreadsheetml.worksheet+xml" PartName="/xl/worksheets/sheet1073.xml"/>
  <Override ContentType="application/vnd.openxmlformats-officedocument.spreadsheetml.worksheet+xml" PartName="/xl/worksheets/sheet1074.xml"/>
  <Override ContentType="application/vnd.openxmlformats-officedocument.spreadsheetml.worksheet+xml" PartName="/xl/worksheets/sheet1075.xml"/>
  <Override ContentType="application/vnd.openxmlformats-officedocument.spreadsheetml.worksheet+xml" PartName="/xl/worksheets/sheet1076.xml"/>
  <Override ContentType="application/vnd.openxmlformats-officedocument.spreadsheetml.worksheet+xml" PartName="/xl/worksheets/sheet1077.xml"/>
  <Override ContentType="application/vnd.openxmlformats-officedocument.spreadsheetml.worksheet+xml" PartName="/xl/worksheets/sheet1078.xml"/>
  <Override ContentType="application/vnd.openxmlformats-officedocument.spreadsheetml.worksheet+xml" PartName="/xl/worksheets/sheet1079.xml"/>
  <Override ContentType="application/vnd.openxmlformats-officedocument.spreadsheetml.worksheet+xml" PartName="/xl/worksheets/sheet1080.xml"/>
  <Override ContentType="application/vnd.openxmlformats-officedocument.spreadsheetml.worksheet+xml" PartName="/xl/worksheets/sheet1081.xml"/>
  <Override ContentType="application/vnd.openxmlformats-officedocument.spreadsheetml.worksheet+xml" PartName="/xl/worksheets/sheet1082.xml"/>
  <Override ContentType="application/vnd.openxmlformats-officedocument.spreadsheetml.worksheet+xml" PartName="/xl/worksheets/sheet1083.xml"/>
  <Override ContentType="application/vnd.openxmlformats-officedocument.spreadsheetml.worksheet+xml" PartName="/xl/worksheets/sheet1084.xml"/>
  <Override ContentType="application/vnd.openxmlformats-officedocument.spreadsheetml.worksheet+xml" PartName="/xl/worksheets/sheet1085.xml"/>
  <Override ContentType="application/vnd.openxmlformats-officedocument.spreadsheetml.worksheet+xml" PartName="/xl/worksheets/sheet1086.xml"/>
  <Override ContentType="application/vnd.openxmlformats-officedocument.spreadsheetml.worksheet+xml" PartName="/xl/worksheets/sheet1087.xml"/>
  <Override ContentType="application/vnd.openxmlformats-officedocument.spreadsheetml.worksheet+xml" PartName="/xl/worksheets/sheet1088.xml"/>
  <Override ContentType="application/vnd.openxmlformats-officedocument.spreadsheetml.worksheet+xml" PartName="/xl/worksheets/sheet1089.xml"/>
  <Override ContentType="application/vnd.openxmlformats-officedocument.spreadsheetml.worksheet+xml" PartName="/xl/worksheets/sheet1090.xml"/>
  <Override ContentType="application/vnd.openxmlformats-officedocument.spreadsheetml.worksheet+xml" PartName="/xl/worksheets/sheet1091.xml"/>
  <Override ContentType="application/vnd.openxmlformats-officedocument.spreadsheetml.worksheet+xml" PartName="/xl/worksheets/sheet1092.xml"/>
  <Override ContentType="application/vnd.openxmlformats-officedocument.spreadsheetml.worksheet+xml" PartName="/xl/worksheets/sheet1093.xml"/>
  <Override ContentType="application/vnd.openxmlformats-officedocument.spreadsheetml.worksheet+xml" PartName="/xl/worksheets/sheet1094.xml"/>
  <Override ContentType="application/vnd.openxmlformats-officedocument.spreadsheetml.worksheet+xml" PartName="/xl/worksheets/sheet1095.xml"/>
  <Override ContentType="application/vnd.openxmlformats-officedocument.spreadsheetml.worksheet+xml" PartName="/xl/worksheets/sheet1096.xml"/>
  <Override ContentType="application/vnd.openxmlformats-officedocument.spreadsheetml.worksheet+xml" PartName="/xl/worksheets/sheet1097.xml"/>
  <Override ContentType="application/vnd.openxmlformats-officedocument.spreadsheetml.worksheet+xml" PartName="/xl/worksheets/sheet1098.xml"/>
  <Override ContentType="application/vnd.openxmlformats-officedocument.spreadsheetml.worksheet+xml" PartName="/xl/worksheets/sheet1099.xml"/>
  <Override ContentType="application/vnd.openxmlformats-officedocument.spreadsheetml.worksheet+xml" PartName="/xl/worksheets/sheet1100.xml"/>
  <Override ContentType="application/vnd.openxmlformats-officedocument.spreadsheetml.worksheet+xml" PartName="/xl/worksheets/sheet1101.xml"/>
  <Override ContentType="application/vnd.openxmlformats-officedocument.spreadsheetml.worksheet+xml" PartName="/xl/worksheets/sheet1102.xml"/>
  <Override ContentType="application/vnd.openxmlformats-officedocument.spreadsheetml.worksheet+xml" PartName="/xl/worksheets/sheet1103.xml"/>
  <Override ContentType="application/vnd.openxmlformats-officedocument.spreadsheetml.worksheet+xml" PartName="/xl/worksheets/sheet1104.xml"/>
  <Override ContentType="application/vnd.openxmlformats-officedocument.spreadsheetml.worksheet+xml" PartName="/xl/worksheets/sheet1105.xml"/>
  <Override ContentType="application/vnd.openxmlformats-officedocument.spreadsheetml.worksheet+xml" PartName="/xl/worksheets/sheet1106.xml"/>
  <Override ContentType="application/vnd.openxmlformats-officedocument.spreadsheetml.worksheet+xml" PartName="/xl/worksheets/sheet1107.xml"/>
  <Override ContentType="application/vnd.openxmlformats-officedocument.spreadsheetml.worksheet+xml" PartName="/xl/worksheets/sheet1108.xml"/>
  <Override ContentType="application/vnd.openxmlformats-officedocument.spreadsheetml.worksheet+xml" PartName="/xl/worksheets/sheet1109.xml"/>
  <Override ContentType="application/vnd.openxmlformats-officedocument.spreadsheetml.worksheet+xml" PartName="/xl/worksheets/sheet1110.xml"/>
  <Override ContentType="application/vnd.openxmlformats-officedocument.spreadsheetml.worksheet+xml" PartName="/xl/worksheets/sheet1111.xml"/>
  <Override ContentType="application/vnd.openxmlformats-officedocument.spreadsheetml.worksheet+xml" PartName="/xl/worksheets/sheet1112.xml"/>
  <Override ContentType="application/vnd.openxmlformats-officedocument.spreadsheetml.worksheet+xml" PartName="/xl/worksheets/sheet1113.xml"/>
  <Override ContentType="application/vnd.openxmlformats-officedocument.spreadsheetml.worksheet+xml" PartName="/xl/worksheets/sheet1114.xml"/>
  <Override ContentType="application/vnd.openxmlformats-officedocument.spreadsheetml.worksheet+xml" PartName="/xl/worksheets/sheet1115.xml"/>
  <Override ContentType="application/vnd.openxmlformats-officedocument.spreadsheetml.worksheet+xml" PartName="/xl/worksheets/sheet1116.xml"/>
  <Override ContentType="application/vnd.openxmlformats-officedocument.spreadsheetml.worksheet+xml" PartName="/xl/worksheets/sheet1117.xml"/>
  <Override ContentType="application/vnd.openxmlformats-officedocument.spreadsheetml.worksheet+xml" PartName="/xl/worksheets/sheet1118.xml"/>
  <Override ContentType="application/vnd.openxmlformats-officedocument.spreadsheetml.worksheet+xml" PartName="/xl/worksheets/sheet1119.xml"/>
  <Override ContentType="application/vnd.openxmlformats-officedocument.spreadsheetml.worksheet+xml" PartName="/xl/worksheets/sheet1120.xml"/>
  <Override ContentType="application/vnd.openxmlformats-officedocument.spreadsheetml.worksheet+xml" PartName="/xl/worksheets/sheet1121.xml"/>
  <Override ContentType="application/vnd.openxmlformats-officedocument.spreadsheetml.worksheet+xml" PartName="/xl/worksheets/sheet1122.xml"/>
  <Override ContentType="application/vnd.openxmlformats-officedocument.spreadsheetml.worksheet+xml" PartName="/xl/worksheets/sheet1123.xml"/>
  <Override ContentType="application/vnd.openxmlformats-officedocument.spreadsheetml.worksheet+xml" PartName="/xl/worksheets/sheet1124.xml"/>
  <Override ContentType="application/vnd.openxmlformats-officedocument.spreadsheetml.worksheet+xml" PartName="/xl/worksheets/sheet1125.xml"/>
  <Override ContentType="application/vnd.openxmlformats-officedocument.spreadsheetml.worksheet+xml" PartName="/xl/worksheets/sheet1126.xml"/>
  <Override ContentType="application/vnd.openxmlformats-officedocument.spreadsheetml.worksheet+xml" PartName="/xl/worksheets/sheet1127.xml"/>
  <Override ContentType="application/vnd.openxmlformats-officedocument.spreadsheetml.worksheet+xml" PartName="/xl/worksheets/sheet1128.xml"/>
  <Override ContentType="application/vnd.openxmlformats-officedocument.spreadsheetml.worksheet+xml" PartName="/xl/worksheets/sheet1129.xml"/>
  <Override ContentType="application/vnd.openxmlformats-officedocument.spreadsheetml.worksheet+xml" PartName="/xl/worksheets/sheet1130.xml"/>
  <Override ContentType="application/vnd.openxmlformats-officedocument.spreadsheetml.worksheet+xml" PartName="/xl/worksheets/sheet1131.xml"/>
  <Override ContentType="application/vnd.openxmlformats-officedocument.spreadsheetml.worksheet+xml" PartName="/xl/worksheets/sheet1132.xml"/>
  <Override ContentType="application/vnd.openxmlformats-officedocument.spreadsheetml.worksheet+xml" PartName="/xl/worksheets/sheet1133.xml"/>
  <Override ContentType="application/vnd.openxmlformats-officedocument.spreadsheetml.worksheet+xml" PartName="/xl/worksheets/sheet1134.xml"/>
  <Override ContentType="application/vnd.openxmlformats-officedocument.spreadsheetml.worksheet+xml" PartName="/xl/worksheets/sheet1135.xml"/>
  <Override ContentType="application/vnd.openxmlformats-officedocument.spreadsheetml.worksheet+xml" PartName="/xl/worksheets/sheet1136.xml"/>
  <Override ContentType="application/vnd.openxmlformats-officedocument.spreadsheetml.worksheet+xml" PartName="/xl/worksheets/sheet1137.xml"/>
  <Override ContentType="application/vnd.openxmlformats-officedocument.spreadsheetml.worksheet+xml" PartName="/xl/worksheets/sheet1138.xml"/>
  <Override ContentType="application/vnd.openxmlformats-officedocument.spreadsheetml.worksheet+xml" PartName="/xl/worksheets/sheet1139.xml"/>
  <Override ContentType="application/vnd.openxmlformats-officedocument.spreadsheetml.worksheet+xml" PartName="/xl/worksheets/sheet1140.xml"/>
  <Override ContentType="application/vnd.openxmlformats-officedocument.spreadsheetml.worksheet+xml" PartName="/xl/worksheets/sheet1141.xml"/>
  <Override ContentType="application/vnd.openxmlformats-officedocument.spreadsheetml.worksheet+xml" PartName="/xl/worksheets/sheet1142.xml"/>
  <Override ContentType="application/vnd.openxmlformats-officedocument.spreadsheetml.worksheet+xml" PartName="/xl/worksheets/sheet1143.xml"/>
  <Override ContentType="application/vnd.openxmlformats-officedocument.spreadsheetml.worksheet+xml" PartName="/xl/worksheets/sheet1144.xml"/>
  <Override ContentType="application/vnd.openxmlformats-officedocument.spreadsheetml.worksheet+xml" PartName="/xl/worksheets/sheet1145.xml"/>
  <Override ContentType="application/vnd.openxmlformats-officedocument.spreadsheetml.worksheet+xml" PartName="/xl/worksheets/sheet1146.xml"/>
  <Override ContentType="application/vnd.openxmlformats-officedocument.spreadsheetml.worksheet+xml" PartName="/xl/worksheets/sheet1147.xml"/>
  <Override ContentType="application/vnd.openxmlformats-officedocument.spreadsheetml.worksheet+xml" PartName="/xl/worksheets/sheet1148.xml"/>
  <Override ContentType="application/vnd.openxmlformats-officedocument.spreadsheetml.worksheet+xml" PartName="/xl/worksheets/sheet1149.xml"/>
  <Override ContentType="application/vnd.openxmlformats-officedocument.spreadsheetml.worksheet+xml" PartName="/xl/worksheets/sheet1150.xml"/>
  <Override ContentType="application/vnd.openxmlformats-officedocument.spreadsheetml.worksheet+xml" PartName="/xl/worksheets/sheet1151.xml"/>
  <Override ContentType="application/vnd.openxmlformats-officedocument.spreadsheetml.worksheet+xml" PartName="/xl/worksheets/sheet1152.xml"/>
  <Override ContentType="application/vnd.openxmlformats-officedocument.spreadsheetml.worksheet+xml" PartName="/xl/worksheets/sheet1153.xml"/>
  <Override ContentType="application/vnd.openxmlformats-officedocument.spreadsheetml.worksheet+xml" PartName="/xl/worksheets/sheet1154.xml"/>
  <Override ContentType="application/vnd.openxmlformats-officedocument.spreadsheetml.worksheet+xml" PartName="/xl/worksheets/sheet1155.xml"/>
  <Override ContentType="application/vnd.openxmlformats-officedocument.spreadsheetml.worksheet+xml" PartName="/xl/worksheets/sheet1156.xml"/>
  <Override ContentType="application/vnd.openxmlformats-officedocument.spreadsheetml.worksheet+xml" PartName="/xl/worksheets/sheet1157.xml"/>
  <Override ContentType="application/vnd.openxmlformats-officedocument.spreadsheetml.worksheet+xml" PartName="/xl/worksheets/sheet1158.xml"/>
  <Override ContentType="application/vnd.openxmlformats-officedocument.spreadsheetml.worksheet+xml" PartName="/xl/worksheets/sheet1159.xml"/>
  <Override ContentType="application/vnd.openxmlformats-officedocument.spreadsheetml.worksheet+xml" PartName="/xl/worksheets/sheet1160.xml"/>
  <Override ContentType="application/vnd.openxmlformats-officedocument.spreadsheetml.worksheet+xml" PartName="/xl/worksheets/sheet1161.xml"/>
  <Override ContentType="application/vnd.openxmlformats-officedocument.spreadsheetml.worksheet+xml" PartName="/xl/worksheets/sheet1162.xml"/>
  <Override ContentType="application/vnd.openxmlformats-officedocument.spreadsheetml.worksheet+xml" PartName="/xl/worksheets/sheet1163.xml"/>
  <Override ContentType="application/vnd.openxmlformats-officedocument.spreadsheetml.worksheet+xml" PartName="/xl/worksheets/sheet1164.xml"/>
  <Override ContentType="application/vnd.openxmlformats-officedocument.spreadsheetml.worksheet+xml" PartName="/xl/worksheets/sheet1165.xml"/>
  <Override ContentType="application/vnd.openxmlformats-officedocument.spreadsheetml.worksheet+xml" PartName="/xl/worksheets/sheet1166.xml"/>
  <Override ContentType="application/vnd.openxmlformats-officedocument.spreadsheetml.worksheet+xml" PartName="/xl/worksheets/sheet1167.xml"/>
  <Override ContentType="application/vnd.openxmlformats-officedocument.spreadsheetml.worksheet+xml" PartName="/xl/worksheets/sheet1168.xml"/>
  <Override ContentType="application/vnd.openxmlformats-officedocument.spreadsheetml.worksheet+xml" PartName="/xl/worksheets/sheet1169.xml"/>
  <Override ContentType="application/vnd.openxmlformats-officedocument.spreadsheetml.worksheet+xml" PartName="/xl/worksheets/sheet1170.xml"/>
  <Override ContentType="application/vnd.openxmlformats-officedocument.spreadsheetml.worksheet+xml" PartName="/xl/worksheets/sheet1171.xml"/>
  <Override ContentType="application/vnd.openxmlformats-officedocument.spreadsheetml.worksheet+xml" PartName="/xl/worksheets/sheet1172.xml"/>
  <Override ContentType="application/vnd.openxmlformats-officedocument.spreadsheetml.worksheet+xml" PartName="/xl/worksheets/sheet1173.xml"/>
  <Override ContentType="application/vnd.openxmlformats-officedocument.spreadsheetml.worksheet+xml" PartName="/xl/worksheets/sheet1174.xml"/>
  <Override ContentType="application/vnd.openxmlformats-officedocument.spreadsheetml.worksheet+xml" PartName="/xl/worksheets/sheet1175.xml"/>
  <Override ContentType="application/vnd.openxmlformats-officedocument.spreadsheetml.worksheet+xml" PartName="/xl/worksheets/sheet1176.xml"/>
  <Override ContentType="application/vnd.openxmlformats-officedocument.spreadsheetml.worksheet+xml" PartName="/xl/worksheets/sheet1177.xml"/>
  <Override ContentType="application/vnd.openxmlformats-officedocument.spreadsheetml.worksheet+xml" PartName="/xl/worksheets/sheet1178.xml"/>
  <Override ContentType="application/vnd.openxmlformats-officedocument.spreadsheetml.worksheet+xml" PartName="/xl/worksheets/sheet1179.xml"/>
  <Override ContentType="application/vnd.openxmlformats-officedocument.spreadsheetml.worksheet+xml" PartName="/xl/worksheets/sheet1180.xml"/>
  <Override ContentType="application/vnd.openxmlformats-officedocument.spreadsheetml.worksheet+xml" PartName="/xl/worksheets/sheet1181.xml"/>
  <Override ContentType="application/vnd.openxmlformats-officedocument.spreadsheetml.worksheet+xml" PartName="/xl/worksheets/sheet1182.xml"/>
  <Override ContentType="application/vnd.openxmlformats-officedocument.spreadsheetml.worksheet+xml" PartName="/xl/worksheets/sheet1183.xml"/>
  <Override ContentType="application/vnd.openxmlformats-officedocument.spreadsheetml.worksheet+xml" PartName="/xl/worksheets/sheet1184.xml"/>
  <Override ContentType="application/vnd.openxmlformats-officedocument.spreadsheetml.worksheet+xml" PartName="/xl/worksheets/sheet1185.xml"/>
  <Override ContentType="application/vnd.openxmlformats-officedocument.spreadsheetml.worksheet+xml" PartName="/xl/worksheets/sheet1186.xml"/>
  <Override ContentType="application/vnd.openxmlformats-officedocument.spreadsheetml.worksheet+xml" PartName="/xl/worksheets/sheet1187.xml"/>
  <Override ContentType="application/vnd.openxmlformats-officedocument.spreadsheetml.worksheet+xml" PartName="/xl/worksheets/sheet1188.xml"/>
  <Override ContentType="application/vnd.openxmlformats-officedocument.spreadsheetml.worksheet+xml" PartName="/xl/worksheets/sheet1189.xml"/>
  <Override ContentType="application/vnd.openxmlformats-officedocument.spreadsheetml.worksheet+xml" PartName="/xl/worksheets/sheet1190.xml"/>
  <Override ContentType="application/vnd.openxmlformats-officedocument.spreadsheetml.worksheet+xml" PartName="/xl/worksheets/sheet1191.xml"/>
  <Override ContentType="application/vnd.openxmlformats-officedocument.spreadsheetml.worksheet+xml" PartName="/xl/worksheets/sheet1192.xml"/>
  <Override ContentType="application/vnd.openxmlformats-officedocument.spreadsheetml.worksheet+xml" PartName="/xl/worksheets/sheet1193.xml"/>
  <Override ContentType="application/vnd.openxmlformats-officedocument.spreadsheetml.worksheet+xml" PartName="/xl/worksheets/sheet1194.xml"/>
  <Override ContentType="application/vnd.openxmlformats-officedocument.spreadsheetml.worksheet+xml" PartName="/xl/worksheets/sheet1195.xml"/>
  <Override ContentType="application/vnd.openxmlformats-officedocument.spreadsheetml.worksheet+xml" PartName="/xl/worksheets/sheet1196.xml"/>
  <Override ContentType="application/vnd.openxmlformats-officedocument.spreadsheetml.worksheet+xml" PartName="/xl/worksheets/sheet1197.xml"/>
  <Override ContentType="application/vnd.openxmlformats-officedocument.spreadsheetml.worksheet+xml" PartName="/xl/worksheets/sheet1198.xml"/>
  <Override ContentType="application/vnd.openxmlformats-officedocument.spreadsheetml.worksheet+xml" PartName="/xl/worksheets/sheet1199.xml"/>
  <Override ContentType="application/vnd.openxmlformats-officedocument.spreadsheetml.worksheet+xml" PartName="/xl/worksheets/sheet1200.xml"/>
  <Override ContentType="application/vnd.openxmlformats-officedocument.spreadsheetml.worksheet+xml" PartName="/xl/worksheets/sheet1201.xml"/>
  <Override ContentType="application/vnd.openxmlformats-officedocument.spreadsheetml.worksheet+xml" PartName="/xl/worksheets/sheet1202.xml"/>
  <Override ContentType="application/vnd.openxmlformats-officedocument.spreadsheetml.worksheet+xml" PartName="/xl/worksheets/sheet1203.xml"/>
  <Override ContentType="application/vnd.openxmlformats-officedocument.spreadsheetml.worksheet+xml" PartName="/xl/worksheets/sheet1204.xml"/>
  <Override ContentType="application/vnd.openxmlformats-officedocument.spreadsheetml.worksheet+xml" PartName="/xl/worksheets/sheet1205.xml"/>
  <Override ContentType="application/vnd.openxmlformats-officedocument.spreadsheetml.worksheet+xml" PartName="/xl/worksheets/sheet1206.xml"/>
  <Override ContentType="application/vnd.openxmlformats-officedocument.spreadsheetml.worksheet+xml" PartName="/xl/worksheets/sheet1207.xml"/>
  <Override ContentType="application/vnd.openxmlformats-officedocument.spreadsheetml.worksheet+xml" PartName="/xl/worksheets/sheet1208.xml"/>
  <Override ContentType="application/vnd.openxmlformats-officedocument.spreadsheetml.worksheet+xml" PartName="/xl/worksheets/sheet1209.xml"/>
  <Override ContentType="application/vnd.openxmlformats-officedocument.spreadsheetml.worksheet+xml" PartName="/xl/worksheets/sheet1210.xml"/>
  <Override ContentType="application/vnd.openxmlformats-officedocument.spreadsheetml.worksheet+xml" PartName="/xl/worksheets/sheet1211.xml"/>
  <Override ContentType="application/vnd.openxmlformats-officedocument.spreadsheetml.worksheet+xml" PartName="/xl/worksheets/sheet1212.xml"/>
  <Override ContentType="application/vnd.openxmlformats-officedocument.spreadsheetml.worksheet+xml" PartName="/xl/worksheets/sheet1213.xml"/>
  <Override ContentType="application/vnd.openxmlformats-officedocument.spreadsheetml.worksheet+xml" PartName="/xl/worksheets/sheet1214.xml"/>
  <Override ContentType="application/vnd.openxmlformats-officedocument.spreadsheetml.worksheet+xml" PartName="/xl/worksheets/sheet1215.xml"/>
  <Override ContentType="application/vnd.openxmlformats-officedocument.spreadsheetml.worksheet+xml" PartName="/xl/worksheets/sheet1216.xml"/>
  <Override ContentType="application/vnd.openxmlformats-officedocument.spreadsheetml.worksheet+xml" PartName="/xl/worksheets/sheet1217.xml"/>
  <Override ContentType="application/vnd.openxmlformats-officedocument.spreadsheetml.worksheet+xml" PartName="/xl/worksheets/sheet1218.xml"/>
  <Override ContentType="application/vnd.openxmlformats-officedocument.spreadsheetml.worksheet+xml" PartName="/xl/worksheets/sheet1219.xml"/>
  <Override ContentType="application/vnd.openxmlformats-officedocument.spreadsheetml.worksheet+xml" PartName="/xl/worksheets/sheet1220.xml"/>
  <Override ContentType="application/vnd.openxmlformats-officedocument.spreadsheetml.worksheet+xml" PartName="/xl/worksheets/sheet1221.xml"/>
  <Override ContentType="application/vnd.openxmlformats-officedocument.spreadsheetml.worksheet+xml" PartName="/xl/worksheets/sheet1222.xml"/>
  <Override ContentType="application/vnd.openxmlformats-officedocument.spreadsheetml.worksheet+xml" PartName="/xl/worksheets/sheet1223.xml"/>
  <Override ContentType="application/vnd.openxmlformats-officedocument.spreadsheetml.worksheet+xml" PartName="/xl/worksheets/sheet1224.xml"/>
  <Override ContentType="application/vnd.openxmlformats-officedocument.spreadsheetml.worksheet+xml" PartName="/xl/worksheets/sheet1225.xml"/>
  <Override ContentType="application/vnd.openxmlformats-officedocument.spreadsheetml.worksheet+xml" PartName="/xl/worksheets/sheet1226.xml"/>
  <Override ContentType="application/vnd.openxmlformats-officedocument.spreadsheetml.worksheet+xml" PartName="/xl/worksheets/sheet1227.xml"/>
  <Override ContentType="application/vnd.openxmlformats-officedocument.spreadsheetml.worksheet+xml" PartName="/xl/worksheets/sheet1228.xml"/>
  <Override ContentType="application/vnd.openxmlformats-officedocument.spreadsheetml.worksheet+xml" PartName="/xl/worksheets/sheet1229.xml"/>
  <Override ContentType="application/vnd.openxmlformats-officedocument.spreadsheetml.worksheet+xml" PartName="/xl/worksheets/sheet1230.xml"/>
  <Override ContentType="application/vnd.openxmlformats-officedocument.spreadsheetml.worksheet+xml" PartName="/xl/worksheets/sheet1231.xml"/>
  <Override ContentType="application/vnd.openxmlformats-officedocument.spreadsheetml.worksheet+xml" PartName="/xl/worksheets/sheet1232.xml"/>
  <Override ContentType="application/vnd.openxmlformats-officedocument.spreadsheetml.worksheet+xml" PartName="/xl/worksheets/sheet1233.xml"/>
  <Override ContentType="application/vnd.openxmlformats-officedocument.spreadsheetml.worksheet+xml" PartName="/xl/worksheets/sheet1234.xml"/>
  <Override ContentType="application/vnd.openxmlformats-officedocument.spreadsheetml.worksheet+xml" PartName="/xl/worksheets/sheet1235.xml"/>
  <Override ContentType="application/vnd.openxmlformats-officedocument.spreadsheetml.worksheet+xml" PartName="/xl/worksheets/sheet1236.xml"/>
  <Override ContentType="application/vnd.openxmlformats-officedocument.spreadsheetml.worksheet+xml" PartName="/xl/worksheets/sheet1237.xml"/>
  <Override ContentType="application/vnd.openxmlformats-officedocument.spreadsheetml.worksheet+xml" PartName="/xl/worksheets/sheet1238.xml"/>
  <Override ContentType="application/vnd.openxmlformats-officedocument.spreadsheetml.worksheet+xml" PartName="/xl/worksheets/sheet1239.xml"/>
  <Override ContentType="application/vnd.openxmlformats-officedocument.spreadsheetml.worksheet+xml" PartName="/xl/worksheets/sheet1240.xml"/>
  <Override ContentType="application/vnd.openxmlformats-officedocument.spreadsheetml.worksheet+xml" PartName="/xl/worksheets/sheet1241.xml"/>
  <Override ContentType="application/vnd.openxmlformats-officedocument.spreadsheetml.worksheet+xml" PartName="/xl/worksheets/sheet1242.xml"/>
  <Override ContentType="application/vnd.openxmlformats-officedocument.spreadsheetml.worksheet+xml" PartName="/xl/worksheets/sheet1243.xml"/>
  <Override ContentType="application/vnd.openxmlformats-officedocument.spreadsheetml.worksheet+xml" PartName="/xl/worksheets/sheet1244.xml"/>
  <Override ContentType="application/vnd.openxmlformats-officedocument.spreadsheetml.worksheet+xml" PartName="/xl/worksheets/sheet1245.xml"/>
  <Override ContentType="application/vnd.openxmlformats-officedocument.spreadsheetml.worksheet+xml" PartName="/xl/worksheets/sheet1246.xml"/>
  <Override ContentType="application/vnd.openxmlformats-officedocument.spreadsheetml.worksheet+xml" PartName="/xl/worksheets/sheet1247.xml"/>
  <Override ContentType="application/vnd.openxmlformats-officedocument.spreadsheetml.worksheet+xml" PartName="/xl/worksheets/sheet1248.xml"/>
  <Override ContentType="application/vnd.openxmlformats-officedocument.spreadsheetml.worksheet+xml" PartName="/xl/worksheets/sheet1249.xml"/>
  <Override ContentType="application/vnd.openxmlformats-officedocument.spreadsheetml.worksheet+xml" PartName="/xl/worksheets/sheet1250.xml"/>
  <Override ContentType="application/vnd.openxmlformats-officedocument.spreadsheetml.worksheet+xml" PartName="/xl/worksheets/sheet1251.xml"/>
  <Override ContentType="application/vnd.openxmlformats-officedocument.spreadsheetml.worksheet+xml" PartName="/xl/worksheets/sheet1252.xml"/>
  <Override ContentType="application/vnd.openxmlformats-officedocument.spreadsheetml.worksheet+xml" PartName="/xl/worksheets/sheet1253.xml"/>
  <Override ContentType="application/vnd.openxmlformats-officedocument.spreadsheetml.worksheet+xml" PartName="/xl/worksheets/sheet1254.xml"/>
  <Override ContentType="application/vnd.openxmlformats-officedocument.spreadsheetml.worksheet+xml" PartName="/xl/worksheets/sheet1255.xml"/>
  <Override ContentType="application/vnd.openxmlformats-officedocument.spreadsheetml.worksheet+xml" PartName="/xl/worksheets/sheet1256.xml"/>
  <Override ContentType="application/vnd.openxmlformats-officedocument.spreadsheetml.worksheet+xml" PartName="/xl/worksheets/sheet1257.xml"/>
  <Override ContentType="application/vnd.openxmlformats-officedocument.spreadsheetml.worksheet+xml" PartName="/xl/worksheets/sheet1258.xml"/>
  <Override ContentType="application/vnd.openxmlformats-officedocument.spreadsheetml.worksheet+xml" PartName="/xl/worksheets/sheet1259.xml"/>
  <Override ContentType="application/vnd.openxmlformats-officedocument.spreadsheetml.worksheet+xml" PartName="/xl/worksheets/sheet1260.xml"/>
  <Override ContentType="application/vnd.openxmlformats-officedocument.spreadsheetml.worksheet+xml" PartName="/xl/worksheets/sheet1261.xml"/>
  <Override ContentType="application/vnd.openxmlformats-officedocument.spreadsheetml.worksheet+xml" PartName="/xl/worksheets/sheet1262.xml"/>
  <Override ContentType="application/vnd.openxmlformats-officedocument.spreadsheetml.worksheet+xml" PartName="/xl/worksheets/sheet1263.xml"/>
  <Override ContentType="application/vnd.openxmlformats-officedocument.spreadsheetml.worksheet+xml" PartName="/xl/worksheets/sheet1264.xml"/>
  <Override ContentType="application/vnd.openxmlformats-officedocument.spreadsheetml.worksheet+xml" PartName="/xl/worksheets/sheet1265.xml"/>
  <Override ContentType="application/vnd.openxmlformats-officedocument.spreadsheetml.worksheet+xml" PartName="/xl/worksheets/sheet1266.xml"/>
  <Override ContentType="application/vnd.openxmlformats-officedocument.spreadsheetml.worksheet+xml" PartName="/xl/worksheets/sheet1267.xml"/>
  <Override ContentType="application/vnd.openxmlformats-officedocument.spreadsheetml.worksheet+xml" PartName="/xl/worksheets/sheet1268.xml"/>
  <Override ContentType="application/vnd.openxmlformats-officedocument.spreadsheetml.worksheet+xml" PartName="/xl/worksheets/sheet1269.xml"/>
  <Override ContentType="application/vnd.openxmlformats-officedocument.spreadsheetml.worksheet+xml" PartName="/xl/worksheets/sheet1270.xml"/>
  <Override ContentType="application/vnd.openxmlformats-officedocument.spreadsheetml.worksheet+xml" PartName="/xl/worksheets/sheet1271.xml"/>
  <Override ContentType="application/vnd.openxmlformats-officedocument.spreadsheetml.worksheet+xml" PartName="/xl/worksheets/sheet1272.xml"/>
  <Override ContentType="application/vnd.openxmlformats-officedocument.spreadsheetml.worksheet+xml" PartName="/xl/worksheets/sheet1273.xml"/>
  <Override ContentType="application/vnd.openxmlformats-officedocument.spreadsheetml.worksheet+xml" PartName="/xl/worksheets/sheet1274.xml"/>
  <Override ContentType="application/vnd.openxmlformats-officedocument.spreadsheetml.worksheet+xml" PartName="/xl/worksheets/sheet1275.xml"/>
  <Override ContentType="application/vnd.openxmlformats-officedocument.spreadsheetml.worksheet+xml" PartName="/xl/worksheets/sheet1276.xml"/>
  <Override ContentType="application/vnd.openxmlformats-officedocument.spreadsheetml.worksheet+xml" PartName="/xl/worksheets/sheet1277.xml"/>
  <Override ContentType="application/vnd.openxmlformats-officedocument.spreadsheetml.worksheet+xml" PartName="/xl/worksheets/sheet1278.xml"/>
  <Override ContentType="application/vnd.openxmlformats-officedocument.spreadsheetml.worksheet+xml" PartName="/xl/worksheets/sheet1279.xml"/>
  <Override ContentType="application/vnd.openxmlformats-officedocument.spreadsheetml.worksheet+xml" PartName="/xl/worksheets/sheet1280.xml"/>
  <Override ContentType="application/vnd.openxmlformats-officedocument.spreadsheetml.worksheet+xml" PartName="/xl/worksheets/sheet1281.xml"/>
  <Override ContentType="application/vnd.openxmlformats-officedocument.spreadsheetml.worksheet+xml" PartName="/xl/worksheets/sheet1282.xml"/>
  <Override ContentType="application/vnd.openxmlformats-officedocument.spreadsheetml.worksheet+xml" PartName="/xl/worksheets/sheet1283.xml"/>
  <Override ContentType="application/vnd.openxmlformats-officedocument.spreadsheetml.worksheet+xml" PartName="/xl/worksheets/sheet1284.xml"/>
  <Override ContentType="application/vnd.openxmlformats-officedocument.spreadsheetml.worksheet+xml" PartName="/xl/worksheets/sheet1285.xml"/>
  <Override ContentType="application/vnd.openxmlformats-officedocument.spreadsheetml.worksheet+xml" PartName="/xl/worksheets/sheet1286.xml"/>
  <Override ContentType="application/vnd.openxmlformats-officedocument.spreadsheetml.worksheet+xml" PartName="/xl/worksheets/sheet1287.xml"/>
  <Override ContentType="application/vnd.openxmlformats-officedocument.spreadsheetml.worksheet+xml" PartName="/xl/worksheets/sheet1288.xml"/>
  <Override ContentType="application/vnd.openxmlformats-officedocument.spreadsheetml.worksheet+xml" PartName="/xl/worksheets/sheet1289.xml"/>
  <Override ContentType="application/vnd.openxmlformats-officedocument.spreadsheetml.worksheet+xml" PartName="/xl/worksheets/sheet1290.xml"/>
  <Override ContentType="application/vnd.openxmlformats-officedocument.spreadsheetml.worksheet+xml" PartName="/xl/worksheets/sheet1291.xml"/>
  <Override ContentType="application/vnd.openxmlformats-officedocument.spreadsheetml.worksheet+xml" PartName="/xl/worksheets/sheet1292.xml"/>
  <Override ContentType="application/vnd.openxmlformats-officedocument.spreadsheetml.worksheet+xml" PartName="/xl/worksheets/sheet1293.xml"/>
  <Override ContentType="application/vnd.openxmlformats-officedocument.spreadsheetml.worksheet+xml" PartName="/xl/worksheets/sheet1294.xml"/>
  <Override ContentType="application/vnd.openxmlformats-officedocument.spreadsheetml.worksheet+xml" PartName="/xl/worksheets/sheet1295.xml"/>
  <Override ContentType="application/vnd.openxmlformats-officedocument.spreadsheetml.worksheet+xml" PartName="/xl/worksheets/sheet1296.xml"/>
  <Override ContentType="application/vnd.openxmlformats-officedocument.spreadsheetml.worksheet+xml" PartName="/xl/worksheets/sheet1297.xml"/>
  <Override ContentType="application/vnd.openxmlformats-officedocument.spreadsheetml.worksheet+xml" PartName="/xl/worksheets/sheet1298.xml"/>
  <Override ContentType="application/vnd.openxmlformats-officedocument.spreadsheetml.worksheet+xml" PartName="/xl/worksheets/sheet1299.xml"/>
  <Override ContentType="application/vnd.openxmlformats-officedocument.spreadsheetml.worksheet+xml" PartName="/xl/worksheets/sheet1300.xml"/>
  <Override ContentType="application/vnd.openxmlformats-officedocument.spreadsheetml.worksheet+xml" PartName="/xl/worksheets/sheet1301.xml"/>
  <Override ContentType="application/vnd.openxmlformats-officedocument.spreadsheetml.worksheet+xml" PartName="/xl/worksheets/sheet1302.xml"/>
  <Override ContentType="application/vnd.openxmlformats-officedocument.spreadsheetml.worksheet+xml" PartName="/xl/worksheets/sheet1303.xml"/>
  <Override ContentType="application/vnd.openxmlformats-officedocument.spreadsheetml.worksheet+xml" PartName="/xl/worksheets/sheet1304.xml"/>
  <Override ContentType="application/vnd.openxmlformats-officedocument.spreadsheetml.worksheet+xml" PartName="/xl/worksheets/sheet1305.xml"/>
  <Override ContentType="application/vnd.openxmlformats-officedocument.spreadsheetml.worksheet+xml" PartName="/xl/worksheets/sheet1306.xml"/>
  <Override ContentType="application/vnd.openxmlformats-officedocument.spreadsheetml.worksheet+xml" PartName="/xl/worksheets/sheet1307.xml"/>
  <Override ContentType="application/vnd.openxmlformats-officedocument.spreadsheetml.worksheet+xml" PartName="/xl/worksheets/sheet1308.xml"/>
  <Override ContentType="application/vnd.openxmlformats-officedocument.spreadsheetml.worksheet+xml" PartName="/xl/worksheets/sheet1309.xml"/>
  <Override ContentType="application/vnd.openxmlformats-officedocument.spreadsheetml.worksheet+xml" PartName="/xl/worksheets/sheet1310.xml"/>
  <Override ContentType="application/vnd.openxmlformats-officedocument.spreadsheetml.worksheet+xml" PartName="/xl/worksheets/sheet1311.xml"/>
  <Override ContentType="application/vnd.openxmlformats-officedocument.spreadsheetml.worksheet+xml" PartName="/xl/worksheets/sheet1312.xml"/>
  <Override ContentType="application/vnd.openxmlformats-officedocument.spreadsheetml.worksheet+xml" PartName="/xl/worksheets/sheet1313.xml"/>
  <Override ContentType="application/vnd.openxmlformats-officedocument.spreadsheetml.worksheet+xml" PartName="/xl/worksheets/sheet1314.xml"/>
  <Override ContentType="application/vnd.openxmlformats-officedocument.spreadsheetml.worksheet+xml" PartName="/xl/worksheets/sheet1315.xml"/>
  <Override ContentType="application/vnd.openxmlformats-officedocument.spreadsheetml.worksheet+xml" PartName="/xl/worksheets/sheet1316.xml"/>
  <Override ContentType="application/vnd.openxmlformats-officedocument.spreadsheetml.worksheet+xml" PartName="/xl/worksheets/sheet1317.xml"/>
  <Override ContentType="application/vnd.openxmlformats-officedocument.spreadsheetml.worksheet+xml" PartName="/xl/worksheets/sheet1318.xml"/>
  <Override ContentType="application/vnd.openxmlformats-officedocument.spreadsheetml.worksheet+xml" PartName="/xl/worksheets/sheet1319.xml"/>
  <Override ContentType="application/vnd.openxmlformats-officedocument.spreadsheetml.worksheet+xml" PartName="/xl/worksheets/sheet1320.xml"/>
  <Override ContentType="application/vnd.openxmlformats-officedocument.spreadsheetml.worksheet+xml" PartName="/xl/worksheets/sheet1321.xml"/>
  <Override ContentType="application/vnd.openxmlformats-officedocument.spreadsheetml.worksheet+xml" PartName="/xl/worksheets/sheet1322.xml"/>
  <Override ContentType="application/vnd.openxmlformats-officedocument.spreadsheetml.worksheet+xml" PartName="/xl/worksheets/sheet1323.xml"/>
  <Override ContentType="application/vnd.openxmlformats-officedocument.spreadsheetml.worksheet+xml" PartName="/xl/worksheets/sheet1324.xml"/>
  <Override ContentType="application/vnd.openxmlformats-officedocument.spreadsheetml.worksheet+xml" PartName="/xl/worksheets/sheet1325.xml"/>
  <Override ContentType="application/vnd.openxmlformats-officedocument.spreadsheetml.worksheet+xml" PartName="/xl/worksheets/sheet1326.xml"/>
  <Override ContentType="application/vnd.openxmlformats-officedocument.spreadsheetml.worksheet+xml" PartName="/xl/worksheets/sheet1327.xml"/>
  <Override ContentType="application/vnd.openxmlformats-officedocument.spreadsheetml.worksheet+xml" PartName="/xl/worksheets/sheet1328.xml"/>
  <Override ContentType="application/vnd.openxmlformats-officedocument.spreadsheetml.worksheet+xml" PartName="/xl/worksheets/sheet1329.xml"/>
  <Override ContentType="application/vnd.openxmlformats-officedocument.spreadsheetml.worksheet+xml" PartName="/xl/worksheets/sheet1330.xml"/>
  <Override ContentType="application/vnd.openxmlformats-officedocument.spreadsheetml.worksheet+xml" PartName="/xl/worksheets/sheet1331.xml"/>
  <Override ContentType="application/vnd.openxmlformats-officedocument.spreadsheetml.worksheet+xml" PartName="/xl/worksheets/sheet1332.xml"/>
  <Override ContentType="application/vnd.openxmlformats-officedocument.spreadsheetml.worksheet+xml" PartName="/xl/worksheets/sheet1333.xml"/>
  <Override ContentType="application/vnd.openxmlformats-officedocument.spreadsheetml.worksheet+xml" PartName="/xl/worksheets/sheet1334.xml"/>
  <Override ContentType="application/vnd.openxmlformats-officedocument.spreadsheetml.worksheet+xml" PartName="/xl/worksheets/sheet1335.xml"/>
  <Override ContentType="application/vnd.openxmlformats-officedocument.spreadsheetml.worksheet+xml" PartName="/xl/worksheets/sheet1336.xml"/>
  <Override ContentType="application/vnd.openxmlformats-officedocument.spreadsheetml.worksheet+xml" PartName="/xl/worksheets/sheet1337.xml"/>
  <Override ContentType="application/vnd.openxmlformats-officedocument.spreadsheetml.worksheet+xml" PartName="/xl/worksheets/sheet1338.xml"/>
  <Override ContentType="application/vnd.openxmlformats-officedocument.spreadsheetml.worksheet+xml" PartName="/xl/worksheets/sheet1339.xml"/>
  <Override ContentType="application/vnd.openxmlformats-officedocument.spreadsheetml.worksheet+xml" PartName="/xl/worksheets/sheet1340.xml"/>
  <Override ContentType="application/vnd.openxmlformats-officedocument.spreadsheetml.worksheet+xml" PartName="/xl/worksheets/sheet1341.xml"/>
  <Override ContentType="application/vnd.openxmlformats-officedocument.spreadsheetml.worksheet+xml" PartName="/xl/worksheets/sheet1342.xml"/>
  <Override ContentType="application/vnd.openxmlformats-officedocument.spreadsheetml.worksheet+xml" PartName="/xl/worksheets/sheet1343.xml"/>
  <Override ContentType="application/vnd.openxmlformats-officedocument.spreadsheetml.worksheet+xml" PartName="/xl/worksheets/sheet1344.xml"/>
  <Override ContentType="application/vnd.openxmlformats-officedocument.spreadsheetml.worksheet+xml" PartName="/xl/worksheets/sheet1345.xml"/>
  <Override ContentType="application/vnd.openxmlformats-officedocument.spreadsheetml.worksheet+xml" PartName="/xl/worksheets/sheet1346.xml"/>
  <Override ContentType="application/vnd.openxmlformats-officedocument.spreadsheetml.worksheet+xml" PartName="/xl/worksheets/sheet1347.xml"/>
  <Override ContentType="application/vnd.openxmlformats-officedocument.spreadsheetml.worksheet+xml" PartName="/xl/worksheets/sheet1348.xml"/>
  <Override ContentType="application/vnd.openxmlformats-officedocument.spreadsheetml.worksheet+xml" PartName="/xl/worksheets/sheet1349.xml"/>
  <Override ContentType="application/vnd.openxmlformats-officedocument.spreadsheetml.worksheet+xml" PartName="/xl/worksheets/sheet1350.xml"/>
  <Override ContentType="application/vnd.openxmlformats-officedocument.spreadsheetml.worksheet+xml" PartName="/xl/worksheets/sheet1351.xml"/>
  <Override ContentType="application/vnd.openxmlformats-officedocument.spreadsheetml.worksheet+xml" PartName="/xl/worksheets/sheet1352.xml"/>
  <Override ContentType="application/vnd.openxmlformats-officedocument.spreadsheetml.worksheet+xml" PartName="/xl/worksheets/sheet1353.xml"/>
  <Override ContentType="application/vnd.openxmlformats-officedocument.spreadsheetml.worksheet+xml" PartName="/xl/worksheets/sheet1354.xml"/>
  <Override ContentType="application/vnd.openxmlformats-officedocument.spreadsheetml.worksheet+xml" PartName="/xl/worksheets/sheet1355.xml"/>
  <Override ContentType="application/vnd.openxmlformats-officedocument.spreadsheetml.worksheet+xml" PartName="/xl/worksheets/sheet1356.xml"/>
  <Override ContentType="application/vnd.openxmlformats-officedocument.spreadsheetml.worksheet+xml" PartName="/xl/worksheets/sheet1357.xml"/>
  <Override ContentType="application/vnd.openxmlformats-officedocument.spreadsheetml.worksheet+xml" PartName="/xl/worksheets/sheet1358.xml"/>
  <Override ContentType="application/vnd.openxmlformats-officedocument.spreadsheetml.worksheet+xml" PartName="/xl/worksheets/sheet1359.xml"/>
  <Override ContentType="application/vnd.openxmlformats-officedocument.spreadsheetml.worksheet+xml" PartName="/xl/worksheets/sheet1360.xml"/>
  <Override ContentType="application/vnd.openxmlformats-officedocument.spreadsheetml.worksheet+xml" PartName="/xl/worksheets/sheet1361.xml"/>
  <Override ContentType="application/vnd.openxmlformats-officedocument.spreadsheetml.worksheet+xml" PartName="/xl/worksheets/sheet1362.xml"/>
  <Override ContentType="application/vnd.openxmlformats-officedocument.spreadsheetml.worksheet+xml" PartName="/xl/worksheets/sheet1363.xml"/>
  <Override ContentType="application/vnd.openxmlformats-officedocument.spreadsheetml.worksheet+xml" PartName="/xl/worksheets/sheet1364.xml"/>
  <Override ContentType="application/vnd.openxmlformats-officedocument.spreadsheetml.worksheet+xml" PartName="/xl/worksheets/sheet1365.xml"/>
  <Override ContentType="application/vnd.openxmlformats-officedocument.spreadsheetml.worksheet+xml" PartName="/xl/worksheets/sheet1366.xml"/>
  <Override ContentType="application/vnd.openxmlformats-officedocument.spreadsheetml.worksheet+xml" PartName="/xl/worksheets/sheet1367.xml"/>
  <Override ContentType="application/vnd.openxmlformats-officedocument.spreadsheetml.worksheet+xml" PartName="/xl/worksheets/sheet1368.xml"/>
  <Override ContentType="application/vnd.openxmlformats-officedocument.spreadsheetml.worksheet+xml" PartName="/xl/worksheets/sheet1369.xml"/>
  <Override ContentType="application/vnd.openxmlformats-officedocument.spreadsheetml.worksheet+xml" PartName="/xl/worksheets/sheet1370.xml"/>
  <Override ContentType="application/vnd.openxmlformats-officedocument.spreadsheetml.worksheet+xml" PartName="/xl/worksheets/sheet1371.xml"/>
  <Override ContentType="application/vnd.openxmlformats-officedocument.spreadsheetml.worksheet+xml" PartName="/xl/worksheets/sheet1372.xml"/>
  <Override ContentType="application/vnd.openxmlformats-officedocument.spreadsheetml.worksheet+xml" PartName="/xl/worksheets/sheet1373.xml"/>
  <Override ContentType="application/vnd.openxmlformats-officedocument.spreadsheetml.worksheet+xml" PartName="/xl/worksheets/sheet1374.xml"/>
  <Override ContentType="application/vnd.openxmlformats-officedocument.spreadsheetml.worksheet+xml" PartName="/xl/worksheets/sheet1375.xml"/>
  <Override ContentType="application/vnd.openxmlformats-officedocument.spreadsheetml.worksheet+xml" PartName="/xl/worksheets/sheet1376.xml"/>
  <Override ContentType="application/vnd.openxmlformats-officedocument.spreadsheetml.worksheet+xml" PartName="/xl/worksheets/sheet1377.xml"/>
  <Override ContentType="application/vnd.openxmlformats-officedocument.spreadsheetml.worksheet+xml" PartName="/xl/worksheets/sheet1378.xml"/>
  <Override ContentType="application/vnd.openxmlformats-officedocument.spreadsheetml.worksheet+xml" PartName="/xl/worksheets/sheet1379.xml"/>
  <Override ContentType="application/vnd.openxmlformats-officedocument.spreadsheetml.worksheet+xml" PartName="/xl/worksheets/sheet1380.xml"/>
  <Override ContentType="application/vnd.openxmlformats-officedocument.spreadsheetml.worksheet+xml" PartName="/xl/worksheets/sheet1381.xml"/>
  <Override ContentType="application/vnd.openxmlformats-officedocument.spreadsheetml.worksheet+xml" PartName="/xl/worksheets/sheet1382.xml"/>
  <Override ContentType="application/vnd.openxmlformats-officedocument.spreadsheetml.worksheet+xml" PartName="/xl/worksheets/sheet1383.xml"/>
  <Override ContentType="application/vnd.openxmlformats-officedocument.spreadsheetml.worksheet+xml" PartName="/xl/worksheets/sheet1384.xml"/>
  <Override ContentType="application/vnd.openxmlformats-officedocument.spreadsheetml.worksheet+xml" PartName="/xl/worksheets/sheet1385.xml"/>
  <Override ContentType="application/vnd.openxmlformats-officedocument.spreadsheetml.worksheet+xml" PartName="/xl/worksheets/sheet1386.xml"/>
  <Override ContentType="application/vnd.openxmlformats-officedocument.spreadsheetml.worksheet+xml" PartName="/xl/worksheets/sheet1387.xml"/>
  <Override ContentType="application/vnd.openxmlformats-officedocument.spreadsheetml.worksheet+xml" PartName="/xl/worksheets/sheet1388.xml"/>
  <Override ContentType="application/vnd.openxmlformats-officedocument.spreadsheetml.worksheet+xml" PartName="/xl/worksheets/sheet1389.xml"/>
  <Override ContentType="application/vnd.openxmlformats-officedocument.spreadsheetml.worksheet+xml" PartName="/xl/worksheets/sheet1390.xml"/>
  <Override ContentType="application/vnd.openxmlformats-officedocument.spreadsheetml.worksheet+xml" PartName="/xl/worksheets/sheet1391.xml"/>
  <Override ContentType="application/vnd.openxmlformats-officedocument.spreadsheetml.worksheet+xml" PartName="/xl/worksheets/sheet1392.xml"/>
  <Override ContentType="application/vnd.openxmlformats-officedocument.spreadsheetml.worksheet+xml" PartName="/xl/worksheets/sheet1393.xml"/>
  <Override ContentType="application/vnd.openxmlformats-officedocument.spreadsheetml.worksheet+xml" PartName="/xl/worksheets/sheet1394.xml"/>
  <Override ContentType="application/vnd.openxmlformats-officedocument.spreadsheetml.worksheet+xml" PartName="/xl/worksheets/sheet1395.xml"/>
  <Override ContentType="application/vnd.openxmlformats-officedocument.spreadsheetml.worksheet+xml" PartName="/xl/worksheets/sheet1396.xml"/>
  <Override ContentType="application/vnd.openxmlformats-officedocument.spreadsheetml.worksheet+xml" PartName="/xl/worksheets/sheet1397.xml"/>
  <Override ContentType="application/vnd.openxmlformats-officedocument.spreadsheetml.worksheet+xml" PartName="/xl/worksheets/sheet1398.xml"/>
  <Override ContentType="application/vnd.openxmlformats-officedocument.spreadsheetml.worksheet+xml" PartName="/xl/worksheets/sheet1399.xml"/>
  <Override ContentType="application/vnd.openxmlformats-officedocument.spreadsheetml.worksheet+xml" PartName="/xl/worksheets/sheet1400.xml"/>
  <Override ContentType="application/vnd.openxmlformats-officedocument.spreadsheetml.worksheet+xml" PartName="/xl/worksheets/sheet1401.xml"/>
  <Override ContentType="application/vnd.openxmlformats-officedocument.spreadsheetml.worksheet+xml" PartName="/xl/worksheets/sheet1402.xml"/>
  <Override ContentType="application/vnd.openxmlformats-officedocument.spreadsheetml.worksheet+xml" PartName="/xl/worksheets/sheet1403.xml"/>
  <Override ContentType="application/vnd.openxmlformats-officedocument.spreadsheetml.worksheet+xml" PartName="/xl/worksheets/sheet1404.xml"/>
  <Override ContentType="application/vnd.openxmlformats-officedocument.spreadsheetml.worksheet+xml" PartName="/xl/worksheets/sheet1405.xml"/>
  <Override ContentType="application/vnd.openxmlformats-officedocument.spreadsheetml.worksheet+xml" PartName="/xl/worksheets/sheet1406.xml"/>
  <Override ContentType="application/vnd.openxmlformats-officedocument.spreadsheetml.worksheet+xml" PartName="/xl/worksheets/sheet1407.xml"/>
  <Override ContentType="application/vnd.openxmlformats-officedocument.spreadsheetml.worksheet+xml" PartName="/xl/worksheets/sheet1408.xml"/>
  <Override ContentType="application/vnd.openxmlformats-officedocument.spreadsheetml.worksheet+xml" PartName="/xl/worksheets/sheet1409.xml"/>
  <Override ContentType="application/vnd.openxmlformats-officedocument.spreadsheetml.worksheet+xml" PartName="/xl/worksheets/sheet1410.xml"/>
  <Override ContentType="application/vnd.openxmlformats-officedocument.spreadsheetml.worksheet+xml" PartName="/xl/worksheets/sheet1411.xml"/>
  <Override ContentType="application/vnd.openxmlformats-officedocument.spreadsheetml.worksheet+xml" PartName="/xl/worksheets/sheet1412.xml"/>
  <Override ContentType="application/vnd.openxmlformats-officedocument.spreadsheetml.worksheet+xml" PartName="/xl/worksheets/sheet1413.xml"/>
  <Override ContentType="application/vnd.openxmlformats-officedocument.spreadsheetml.worksheet+xml" PartName="/xl/worksheets/sheet1414.xml"/>
  <Override ContentType="application/vnd.openxmlformats-officedocument.spreadsheetml.worksheet+xml" PartName="/xl/worksheets/sheet1415.xml"/>
  <Override ContentType="application/vnd.openxmlformats-officedocument.spreadsheetml.worksheet+xml" PartName="/xl/worksheets/sheet1416.xml"/>
  <Override ContentType="application/vnd.openxmlformats-officedocument.spreadsheetml.worksheet+xml" PartName="/xl/worksheets/sheet1417.xml"/>
  <Override ContentType="application/vnd.openxmlformats-officedocument.spreadsheetml.worksheet+xml" PartName="/xl/worksheets/sheet1418.xml"/>
  <Override ContentType="application/vnd.openxmlformats-officedocument.spreadsheetml.worksheet+xml" PartName="/xl/worksheets/sheet1419.xml"/>
  <Override ContentType="application/vnd.openxmlformats-officedocument.spreadsheetml.worksheet+xml" PartName="/xl/worksheets/sheet1420.xml"/>
  <Override ContentType="application/vnd.openxmlformats-officedocument.spreadsheetml.worksheet+xml" PartName="/xl/worksheets/sheet1421.xml"/>
  <Override ContentType="application/vnd.openxmlformats-officedocument.spreadsheetml.worksheet+xml" PartName="/xl/worksheets/sheet1422.xml"/>
  <Override ContentType="application/vnd.openxmlformats-officedocument.spreadsheetml.worksheet+xml" PartName="/xl/worksheets/sheet1423.xml"/>
  <Override ContentType="application/vnd.openxmlformats-officedocument.spreadsheetml.worksheet+xml" PartName="/xl/worksheets/sheet1424.xml"/>
  <Override ContentType="application/vnd.openxmlformats-officedocument.spreadsheetml.worksheet+xml" PartName="/xl/worksheets/sheet1425.xml"/>
  <Override ContentType="application/vnd.openxmlformats-officedocument.spreadsheetml.worksheet+xml" PartName="/xl/worksheets/sheet1426.xml"/>
  <Override ContentType="application/vnd.openxmlformats-officedocument.spreadsheetml.worksheet+xml" PartName="/xl/worksheets/sheet1427.xml"/>
  <Override ContentType="application/vnd.openxmlformats-officedocument.spreadsheetml.worksheet+xml" PartName="/xl/worksheets/sheet1428.xml"/>
  <Override ContentType="application/vnd.openxmlformats-officedocument.spreadsheetml.worksheet+xml" PartName="/xl/worksheets/sheet1429.xml"/>
  <Override ContentType="application/vnd.openxmlformats-officedocument.spreadsheetml.worksheet+xml" PartName="/xl/worksheets/sheet1430.xml"/>
  <Override ContentType="application/vnd.openxmlformats-officedocument.spreadsheetml.worksheet+xml" PartName="/xl/worksheets/sheet1431.xml"/>
  <Override ContentType="application/vnd.openxmlformats-officedocument.spreadsheetml.worksheet+xml" PartName="/xl/worksheets/sheet1432.xml"/>
  <Override ContentType="application/vnd.openxmlformats-officedocument.spreadsheetml.worksheet+xml" PartName="/xl/worksheets/sheet1433.xml"/>
  <Override ContentType="application/vnd.openxmlformats-officedocument.spreadsheetml.worksheet+xml" PartName="/xl/worksheets/sheet1434.xml"/>
  <Override ContentType="application/vnd.openxmlformats-officedocument.spreadsheetml.worksheet+xml" PartName="/xl/worksheets/sheet1435.xml"/>
  <Override ContentType="application/vnd.openxmlformats-officedocument.spreadsheetml.worksheet+xml" PartName="/xl/worksheets/sheet1436.xml"/>
  <Override ContentType="application/vnd.openxmlformats-officedocument.spreadsheetml.worksheet+xml" PartName="/xl/worksheets/sheet1437.xml"/>
  <Override ContentType="application/vnd.openxmlformats-officedocument.spreadsheetml.worksheet+xml" PartName="/xl/worksheets/sheet1438.xml"/>
  <Override ContentType="application/vnd.openxmlformats-officedocument.spreadsheetml.worksheet+xml" PartName="/xl/worksheets/sheet1439.xml"/>
  <Override ContentType="application/vnd.openxmlformats-officedocument.spreadsheetml.worksheet+xml" PartName="/xl/worksheets/sheet1440.xml"/>
  <Override ContentType="application/vnd.openxmlformats-officedocument.spreadsheetml.worksheet+xml" PartName="/xl/worksheets/sheet1441.xml"/>
  <Override ContentType="application/vnd.openxmlformats-officedocument.spreadsheetml.worksheet+xml" PartName="/xl/worksheets/sheet1442.xml"/>
  <Override ContentType="application/vnd.openxmlformats-officedocument.spreadsheetml.worksheet+xml" PartName="/xl/worksheets/sheet1443.xml"/>
  <Override ContentType="application/vnd.openxmlformats-officedocument.spreadsheetml.worksheet+xml" PartName="/xl/worksheets/sheet1444.xml"/>
  <Override ContentType="application/vnd.openxmlformats-officedocument.spreadsheetml.worksheet+xml" PartName="/xl/worksheets/sheet1445.xml"/>
  <Override ContentType="application/vnd.openxmlformats-officedocument.spreadsheetml.worksheet+xml" PartName="/xl/worksheets/sheet1446.xml"/>
  <Override ContentType="application/vnd.openxmlformats-officedocument.spreadsheetml.worksheet+xml" PartName="/xl/worksheets/sheet1447.xml"/>
  <Override ContentType="application/vnd.openxmlformats-officedocument.spreadsheetml.worksheet+xml" PartName="/xl/worksheets/sheet1448.xml"/>
  <Override ContentType="application/vnd.openxmlformats-officedocument.spreadsheetml.worksheet+xml" PartName="/xl/worksheets/sheet1449.xml"/>
  <Override ContentType="application/vnd.openxmlformats-officedocument.spreadsheetml.worksheet+xml" PartName="/xl/worksheets/sheet1450.xml"/>
  <Override ContentType="application/vnd.openxmlformats-officedocument.spreadsheetml.worksheet+xml" PartName="/xl/worksheets/sheet1451.xml"/>
  <Override ContentType="application/vnd.openxmlformats-officedocument.spreadsheetml.worksheet+xml" PartName="/xl/worksheets/sheet1452.xml"/>
  <Override ContentType="application/vnd.openxmlformats-officedocument.spreadsheetml.worksheet+xml" PartName="/xl/worksheets/sheet1453.xml"/>
  <Override ContentType="application/vnd.openxmlformats-officedocument.spreadsheetml.worksheet+xml" PartName="/xl/worksheets/sheet1454.xml"/>
  <Override ContentType="application/vnd.openxmlformats-officedocument.spreadsheetml.worksheet+xml" PartName="/xl/worksheets/sheet1455.xml"/>
  <Override ContentType="application/vnd.openxmlformats-officedocument.spreadsheetml.worksheet+xml" PartName="/xl/worksheets/sheet1456.xml"/>
  <Override ContentType="application/vnd.openxmlformats-officedocument.spreadsheetml.worksheet+xml" PartName="/xl/worksheets/sheet1457.xml"/>
  <Override ContentType="application/vnd.openxmlformats-officedocument.spreadsheetml.worksheet+xml" PartName="/xl/worksheets/sheet1458.xml"/>
  <Override ContentType="application/vnd.openxmlformats-officedocument.spreadsheetml.worksheet+xml" PartName="/xl/worksheets/sheet1459.xml"/>
  <Override ContentType="application/vnd.openxmlformats-officedocument.spreadsheetml.worksheet+xml" PartName="/xl/worksheets/sheet1460.xml"/>
  <Override ContentType="application/vnd.openxmlformats-officedocument.spreadsheetml.worksheet+xml" PartName="/xl/worksheets/sheet1461.xml"/>
  <Override ContentType="application/vnd.openxmlformats-officedocument.spreadsheetml.worksheet+xml" PartName="/xl/worksheets/sheet1462.xml"/>
  <Override ContentType="application/vnd.openxmlformats-officedocument.spreadsheetml.worksheet+xml" PartName="/xl/worksheets/sheet1463.xml"/>
  <Override ContentType="application/vnd.openxmlformats-officedocument.spreadsheetml.worksheet+xml" PartName="/xl/worksheets/sheet1464.xml"/>
  <Override ContentType="application/vnd.openxmlformats-officedocument.spreadsheetml.worksheet+xml" PartName="/xl/worksheets/sheet1465.xml"/>
  <Override ContentType="application/vnd.openxmlformats-officedocument.spreadsheetml.worksheet+xml" PartName="/xl/worksheets/sheet1466.xml"/>
  <Override ContentType="application/vnd.openxmlformats-officedocument.spreadsheetml.worksheet+xml" PartName="/xl/worksheets/sheet1467.xml"/>
  <Override ContentType="application/vnd.openxmlformats-officedocument.spreadsheetml.worksheet+xml" PartName="/xl/worksheets/sheet1468.xml"/>
  <Override ContentType="application/vnd.openxmlformats-officedocument.spreadsheetml.worksheet+xml" PartName="/xl/worksheets/sheet1469.xml"/>
  <Override ContentType="application/vnd.openxmlformats-officedocument.spreadsheetml.worksheet+xml" PartName="/xl/worksheets/sheet1470.xml"/>
  <Override ContentType="application/vnd.openxmlformats-officedocument.spreadsheetml.worksheet+xml" PartName="/xl/worksheets/sheet1471.xml"/>
  <Override ContentType="application/vnd.openxmlformats-officedocument.spreadsheetml.worksheet+xml" PartName="/xl/worksheets/sheet1472.xml"/>
  <Override ContentType="application/vnd.openxmlformats-officedocument.spreadsheetml.worksheet+xml" PartName="/xl/worksheets/sheet1473.xml"/>
  <Override ContentType="application/vnd.openxmlformats-officedocument.spreadsheetml.worksheet+xml" PartName="/xl/worksheets/sheet1474.xml"/>
  <Override ContentType="application/vnd.openxmlformats-officedocument.spreadsheetml.worksheet+xml" PartName="/xl/worksheets/sheet1475.xml"/>
  <Override ContentType="application/vnd.openxmlformats-officedocument.spreadsheetml.worksheet+xml" PartName="/xl/worksheets/sheet1476.xml"/>
  <Override ContentType="application/vnd.openxmlformats-officedocument.spreadsheetml.worksheet+xml" PartName="/xl/worksheets/sheet1477.xml"/>
  <Override ContentType="application/vnd.openxmlformats-officedocument.spreadsheetml.worksheet+xml" PartName="/xl/worksheets/sheet1478.xml"/>
  <Override ContentType="application/vnd.openxmlformats-officedocument.spreadsheetml.worksheet+xml" PartName="/xl/worksheets/sheet1479.xml"/>
  <Override ContentType="application/vnd.openxmlformats-officedocument.spreadsheetml.worksheet+xml" PartName="/xl/worksheets/sheet1480.xml"/>
  <Override ContentType="application/vnd.openxmlformats-officedocument.spreadsheetml.worksheet+xml" PartName="/xl/worksheets/sheet1481.xml"/>
  <Override ContentType="application/vnd.openxmlformats-officedocument.spreadsheetml.worksheet+xml" PartName="/xl/worksheets/sheet1482.xml"/>
  <Override ContentType="application/vnd.openxmlformats-officedocument.spreadsheetml.worksheet+xml" PartName="/xl/worksheets/sheet1483.xml"/>
  <Override ContentType="application/vnd.openxmlformats-officedocument.spreadsheetml.worksheet+xml" PartName="/xl/worksheets/sheet1484.xml"/>
  <Override ContentType="application/vnd.openxmlformats-officedocument.spreadsheetml.worksheet+xml" PartName="/xl/worksheets/sheet1485.xml"/>
  <Override ContentType="application/vnd.openxmlformats-officedocument.spreadsheetml.worksheet+xml" PartName="/xl/worksheets/sheet1486.xml"/>
  <Override ContentType="application/vnd.openxmlformats-officedocument.spreadsheetml.worksheet+xml" PartName="/xl/worksheets/sheet1487.xml"/>
  <Override ContentType="application/vnd.openxmlformats-officedocument.spreadsheetml.worksheet+xml" PartName="/xl/worksheets/sheet1488.xml"/>
  <Override ContentType="application/vnd.openxmlformats-officedocument.spreadsheetml.worksheet+xml" PartName="/xl/worksheets/sheet1489.xml"/>
  <Override ContentType="application/vnd.openxmlformats-officedocument.spreadsheetml.worksheet+xml" PartName="/xl/worksheets/sheet1490.xml"/>
  <Override ContentType="application/vnd.openxmlformats-officedocument.spreadsheetml.worksheet+xml" PartName="/xl/worksheets/sheet1491.xml"/>
  <Override ContentType="application/vnd.openxmlformats-officedocument.spreadsheetml.worksheet+xml" PartName="/xl/worksheets/sheet1492.xml"/>
  <Override ContentType="application/vnd.openxmlformats-officedocument.spreadsheetml.worksheet+xml" PartName="/xl/worksheets/sheet1493.xml"/>
  <Override ContentType="application/vnd.openxmlformats-officedocument.spreadsheetml.worksheet+xml" PartName="/xl/worksheets/sheet1494.xml"/>
  <Override ContentType="application/vnd.openxmlformats-officedocument.spreadsheetml.worksheet+xml" PartName="/xl/worksheets/sheet1495.xml"/>
  <Override ContentType="application/vnd.openxmlformats-officedocument.spreadsheetml.worksheet+xml" PartName="/xl/worksheets/sheet1496.xml"/>
  <Override ContentType="application/vnd.openxmlformats-officedocument.spreadsheetml.worksheet+xml" PartName="/xl/worksheets/sheet1497.xml"/>
  <Override ContentType="application/vnd.openxmlformats-officedocument.spreadsheetml.worksheet+xml" PartName="/xl/worksheets/sheet1498.xml"/>
  <Override ContentType="application/vnd.openxmlformats-officedocument.spreadsheetml.worksheet+xml" PartName="/xl/worksheets/sheet1499.xml"/>
  <Override ContentType="application/vnd.openxmlformats-officedocument.spreadsheetml.worksheet+xml" PartName="/xl/worksheets/sheet1500.xml"/>
  <Override ContentType="application/vnd.openxmlformats-officedocument.spreadsheetml.worksheet+xml" PartName="/xl/worksheets/sheet1501.xml"/>
  <Override ContentType="application/vnd.openxmlformats-officedocument.spreadsheetml.worksheet+xml" PartName="/xl/worksheets/sheet1502.xml"/>
  <Override ContentType="application/vnd.openxmlformats-officedocument.spreadsheetml.worksheet+xml" PartName="/xl/worksheets/sheet1503.xml"/>
  <Override ContentType="application/vnd.openxmlformats-officedocument.spreadsheetml.worksheet+xml" PartName="/xl/worksheets/sheet1504.xml"/>
  <Override ContentType="application/vnd.openxmlformats-officedocument.spreadsheetml.worksheet+xml" PartName="/xl/worksheets/sheet1505.xml"/>
  <Override ContentType="application/vnd.openxmlformats-officedocument.spreadsheetml.worksheet+xml" PartName="/xl/worksheets/sheet1506.xml"/>
  <Override ContentType="application/vnd.openxmlformats-officedocument.spreadsheetml.worksheet+xml" PartName="/xl/worksheets/sheet1507.xml"/>
  <Override ContentType="application/vnd.openxmlformats-officedocument.spreadsheetml.worksheet+xml" PartName="/xl/worksheets/sheet1508.xml"/>
  <Override ContentType="application/vnd.openxmlformats-officedocument.spreadsheetml.worksheet+xml" PartName="/xl/worksheets/sheet1509.xml"/>
  <Override ContentType="application/vnd.openxmlformats-officedocument.spreadsheetml.worksheet+xml" PartName="/xl/worksheets/sheet1510.xml"/>
  <Override ContentType="application/vnd.openxmlformats-officedocument.spreadsheetml.worksheet+xml" PartName="/xl/worksheets/sheet1511.xml"/>
  <Override ContentType="application/vnd.openxmlformats-officedocument.spreadsheetml.worksheet+xml" PartName="/xl/worksheets/sheet1512.xml"/>
  <Override ContentType="application/vnd.openxmlformats-officedocument.spreadsheetml.worksheet+xml" PartName="/xl/worksheets/sheet1513.xml"/>
  <Override ContentType="application/vnd.openxmlformats-officedocument.spreadsheetml.worksheet+xml" PartName="/xl/worksheets/sheet1514.xml"/>
  <Override ContentType="application/vnd.openxmlformats-officedocument.spreadsheetml.worksheet+xml" PartName="/xl/worksheets/sheet1515.xml"/>
  <Override ContentType="application/vnd.openxmlformats-officedocument.spreadsheetml.worksheet+xml" PartName="/xl/worksheets/sheet1516.xml"/>
  <Override ContentType="application/vnd.openxmlformats-officedocument.spreadsheetml.worksheet+xml" PartName="/xl/worksheets/sheet1517.xml"/>
  <Override ContentType="application/vnd.openxmlformats-officedocument.spreadsheetml.worksheet+xml" PartName="/xl/worksheets/sheet1518.xml"/>
  <Override ContentType="application/vnd.openxmlformats-officedocument.spreadsheetml.worksheet+xml" PartName="/xl/worksheets/sheet1519.xml"/>
  <Override ContentType="application/vnd.openxmlformats-officedocument.spreadsheetml.worksheet+xml" PartName="/xl/worksheets/sheet1520.xml"/>
  <Override ContentType="application/vnd.openxmlformats-officedocument.spreadsheetml.worksheet+xml" PartName="/xl/worksheets/sheet1521.xml"/>
  <Override ContentType="application/vnd.openxmlformats-officedocument.spreadsheetml.worksheet+xml" PartName="/xl/worksheets/sheet1522.xml"/>
  <Override ContentType="application/vnd.openxmlformats-officedocument.spreadsheetml.worksheet+xml" PartName="/xl/worksheets/sheet1523.xml"/>
  <Override ContentType="application/vnd.openxmlformats-officedocument.spreadsheetml.worksheet+xml" PartName="/xl/worksheets/sheet1524.xml"/>
  <Override ContentType="application/vnd.openxmlformats-officedocument.spreadsheetml.worksheet+xml" PartName="/xl/worksheets/sheet1525.xml"/>
  <Override ContentType="application/vnd.openxmlformats-officedocument.spreadsheetml.worksheet+xml" PartName="/xl/worksheets/sheet1526.xml"/>
  <Override ContentType="application/vnd.openxmlformats-officedocument.spreadsheetml.worksheet+xml" PartName="/xl/worksheets/sheet1527.xml"/>
  <Override ContentType="application/vnd.openxmlformats-officedocument.spreadsheetml.worksheet+xml" PartName="/xl/worksheets/sheet1528.xml"/>
  <Override ContentType="application/vnd.openxmlformats-officedocument.spreadsheetml.worksheet+xml" PartName="/xl/worksheets/sheet1529.xml"/>
  <Override ContentType="application/vnd.openxmlformats-officedocument.spreadsheetml.worksheet+xml" PartName="/xl/worksheets/sheet1530.xml"/>
  <Override ContentType="application/vnd.openxmlformats-officedocument.spreadsheetml.worksheet+xml" PartName="/xl/worksheets/sheet1531.xml"/>
  <Override ContentType="application/vnd.openxmlformats-officedocument.spreadsheetml.worksheet+xml" PartName="/xl/worksheets/sheet1532.xml"/>
  <Override ContentType="application/vnd.openxmlformats-officedocument.spreadsheetml.worksheet+xml" PartName="/xl/worksheets/sheet1533.xml"/>
  <Override ContentType="application/vnd.openxmlformats-officedocument.spreadsheetml.worksheet+xml" PartName="/xl/worksheets/sheet1534.xml"/>
  <Override ContentType="application/vnd.openxmlformats-officedocument.spreadsheetml.worksheet+xml" PartName="/xl/worksheets/sheet1535.xml"/>
  <Override ContentType="application/vnd.openxmlformats-officedocument.spreadsheetml.worksheet+xml" PartName="/xl/worksheets/sheet1536.xml"/>
  <Override ContentType="application/vnd.openxmlformats-officedocument.spreadsheetml.worksheet+xml" PartName="/xl/worksheets/sheet1537.xml"/>
  <Override ContentType="application/vnd.openxmlformats-officedocument.spreadsheetml.worksheet+xml" PartName="/xl/worksheets/sheet1538.xml"/>
  <Override ContentType="application/vnd.openxmlformats-officedocument.spreadsheetml.worksheet+xml" PartName="/xl/worksheets/sheet1539.xml"/>
  <Override ContentType="application/vnd.openxmlformats-officedocument.spreadsheetml.worksheet+xml" PartName="/xl/worksheets/sheet1540.xml"/>
  <Override ContentType="application/vnd.openxmlformats-officedocument.spreadsheetml.worksheet+xml" PartName="/xl/worksheets/sheet1541.xml"/>
  <Override ContentType="application/vnd.openxmlformats-officedocument.spreadsheetml.worksheet+xml" PartName="/xl/worksheets/sheet1542.xml"/>
  <Override ContentType="application/vnd.openxmlformats-officedocument.spreadsheetml.worksheet+xml" PartName="/xl/worksheets/sheet1543.xml"/>
  <Override ContentType="application/vnd.openxmlformats-officedocument.spreadsheetml.worksheet+xml" PartName="/xl/worksheets/sheet1544.xml"/>
  <Override ContentType="application/vnd.openxmlformats-officedocument.spreadsheetml.worksheet+xml" PartName="/xl/worksheets/sheet1545.xml"/>
  <Override ContentType="application/vnd.openxmlformats-officedocument.spreadsheetml.worksheet+xml" PartName="/xl/worksheets/sheet1546.xml"/>
  <Override ContentType="application/vnd.openxmlformats-officedocument.spreadsheetml.worksheet+xml" PartName="/xl/worksheets/sheet1547.xml"/>
  <Override ContentType="application/vnd.openxmlformats-officedocument.spreadsheetml.worksheet+xml" PartName="/xl/worksheets/sheet1548.xml"/>
  <Override ContentType="application/vnd.openxmlformats-officedocument.spreadsheetml.worksheet+xml" PartName="/xl/worksheets/sheet1549.xml"/>
  <Override ContentType="application/vnd.openxmlformats-officedocument.spreadsheetml.worksheet+xml" PartName="/xl/worksheets/sheet1550.xml"/>
  <Override ContentType="application/vnd.openxmlformats-officedocument.spreadsheetml.worksheet+xml" PartName="/xl/worksheets/sheet1551.xml"/>
  <Override ContentType="application/vnd.openxmlformats-officedocument.spreadsheetml.worksheet+xml" PartName="/xl/worksheets/sheet1552.xml"/>
  <Override ContentType="application/vnd.openxmlformats-officedocument.spreadsheetml.worksheet+xml" PartName="/xl/worksheets/sheet1553.xml"/>
  <Override ContentType="application/vnd.openxmlformats-officedocument.spreadsheetml.worksheet+xml" PartName="/xl/worksheets/sheet1554.xml"/>
  <Override ContentType="application/vnd.openxmlformats-officedocument.spreadsheetml.worksheet+xml" PartName="/xl/worksheets/sheet1555.xml"/>
  <Override ContentType="application/vnd.openxmlformats-officedocument.spreadsheetml.worksheet+xml" PartName="/xl/worksheets/sheet1556.xml"/>
  <Override ContentType="application/vnd.openxmlformats-officedocument.spreadsheetml.worksheet+xml" PartName="/xl/worksheets/sheet1557.xml"/>
  <Override ContentType="application/vnd.openxmlformats-officedocument.spreadsheetml.worksheet+xml" PartName="/xl/worksheets/sheet1558.xml"/>
  <Override ContentType="application/vnd.openxmlformats-officedocument.spreadsheetml.worksheet+xml" PartName="/xl/worksheets/sheet1559.xml"/>
  <Override ContentType="application/vnd.openxmlformats-officedocument.spreadsheetml.worksheet+xml" PartName="/xl/worksheets/sheet1560.xml"/>
  <Override ContentType="application/vnd.openxmlformats-officedocument.spreadsheetml.worksheet+xml" PartName="/xl/worksheets/sheet1561.xml"/>
  <Override ContentType="application/vnd.openxmlformats-officedocument.spreadsheetml.worksheet+xml" PartName="/xl/worksheets/sheet1562.xml"/>
  <Override ContentType="application/vnd.openxmlformats-officedocument.spreadsheetml.worksheet+xml" PartName="/xl/worksheets/sheet1563.xml"/>
  <Override ContentType="application/vnd.openxmlformats-officedocument.spreadsheetml.worksheet+xml" PartName="/xl/worksheets/sheet1564.xml"/>
  <Override ContentType="application/vnd.openxmlformats-officedocument.spreadsheetml.worksheet+xml" PartName="/xl/worksheets/sheet1565.xml"/>
  <Override ContentType="application/vnd.openxmlformats-officedocument.spreadsheetml.worksheet+xml" PartName="/xl/worksheets/sheet1566.xml"/>
  <Override ContentType="application/vnd.openxmlformats-officedocument.spreadsheetml.worksheet+xml" PartName="/xl/worksheets/sheet1567.xml"/>
  <Override ContentType="application/vnd.openxmlformats-officedocument.spreadsheetml.worksheet+xml" PartName="/xl/worksheets/sheet1568.xml"/>
  <Override ContentType="application/vnd.openxmlformats-officedocument.spreadsheetml.worksheet+xml" PartName="/xl/worksheets/sheet1569.xml"/>
  <Override ContentType="application/vnd.openxmlformats-officedocument.spreadsheetml.worksheet+xml" PartName="/xl/worksheets/sheet1570.xml"/>
  <Override ContentType="application/vnd.openxmlformats-officedocument.spreadsheetml.worksheet+xml" PartName="/xl/worksheets/sheet1571.xml"/>
  <Override ContentType="application/vnd.openxmlformats-officedocument.spreadsheetml.worksheet+xml" PartName="/xl/worksheets/sheet1572.xml"/>
  <Override ContentType="application/vnd.openxmlformats-officedocument.spreadsheetml.worksheet+xml" PartName="/xl/worksheets/sheet1573.xml"/>
  <Override ContentType="application/vnd.openxmlformats-officedocument.spreadsheetml.worksheet+xml" PartName="/xl/worksheets/sheet1574.xml"/>
  <Override ContentType="application/vnd.openxmlformats-officedocument.spreadsheetml.worksheet+xml" PartName="/xl/worksheets/sheet1575.xml"/>
  <Override ContentType="application/vnd.openxmlformats-officedocument.spreadsheetml.worksheet+xml" PartName="/xl/worksheets/sheet1576.xml"/>
  <Override ContentType="application/vnd.openxmlformats-officedocument.spreadsheetml.worksheet+xml" PartName="/xl/worksheets/sheet1577.xml"/>
  <Override ContentType="application/vnd.openxmlformats-officedocument.spreadsheetml.worksheet+xml" PartName="/xl/worksheets/sheet1578.xml"/>
  <Override ContentType="application/vnd.openxmlformats-officedocument.spreadsheetml.worksheet+xml" PartName="/xl/worksheets/sheet1579.xml"/>
  <Override ContentType="application/vnd.openxmlformats-officedocument.spreadsheetml.worksheet+xml" PartName="/xl/worksheets/sheet1580.xml"/>
  <Override ContentType="application/vnd.openxmlformats-officedocument.spreadsheetml.worksheet+xml" PartName="/xl/worksheets/sheet1581.xml"/>
  <Override ContentType="application/vnd.openxmlformats-officedocument.spreadsheetml.worksheet+xml" PartName="/xl/worksheets/sheet1582.xml"/>
  <Override ContentType="application/vnd.openxmlformats-officedocument.spreadsheetml.worksheet+xml" PartName="/xl/worksheets/sheet1583.xml"/>
  <Override ContentType="application/vnd.openxmlformats-officedocument.spreadsheetml.worksheet+xml" PartName="/xl/worksheets/sheet1584.xml"/>
  <Override ContentType="application/vnd.openxmlformats-officedocument.spreadsheetml.worksheet+xml" PartName="/xl/worksheets/sheet1585.xml"/>
  <Override ContentType="application/vnd.openxmlformats-officedocument.spreadsheetml.worksheet+xml" PartName="/xl/worksheets/sheet1586.xml"/>
  <Override ContentType="application/vnd.openxmlformats-officedocument.spreadsheetml.worksheet+xml" PartName="/xl/worksheets/sheet1587.xml"/>
  <Override ContentType="application/vnd.openxmlformats-officedocument.spreadsheetml.worksheet+xml" PartName="/xl/worksheets/sheet1588.xml"/>
  <Override ContentType="application/vnd.openxmlformats-officedocument.spreadsheetml.worksheet+xml" PartName="/xl/worksheets/sheet1589.xml"/>
  <Override ContentType="application/vnd.openxmlformats-officedocument.spreadsheetml.worksheet+xml" PartName="/xl/worksheets/sheet1590.xml"/>
  <Override ContentType="application/vnd.openxmlformats-officedocument.spreadsheetml.worksheet+xml" PartName="/xl/worksheets/sheet1591.xml"/>
  <Override ContentType="application/vnd.openxmlformats-officedocument.spreadsheetml.worksheet+xml" PartName="/xl/worksheets/sheet1592.xml"/>
  <Override ContentType="application/vnd.openxmlformats-officedocument.spreadsheetml.worksheet+xml" PartName="/xl/worksheets/sheet1593.xml"/>
  <Override ContentType="application/vnd.openxmlformats-officedocument.spreadsheetml.worksheet+xml" PartName="/xl/worksheets/sheet1594.xml"/>
  <Override ContentType="application/vnd.openxmlformats-officedocument.spreadsheetml.worksheet+xml" PartName="/xl/worksheets/sheet1595.xml"/>
  <Override ContentType="application/vnd.openxmlformats-officedocument.spreadsheetml.worksheet+xml" PartName="/xl/worksheets/sheet1596.xml"/>
  <Override ContentType="application/vnd.openxmlformats-officedocument.spreadsheetml.worksheet+xml" PartName="/xl/worksheets/sheet1597.xml"/>
  <Override ContentType="application/vnd.openxmlformats-officedocument.spreadsheetml.worksheet+xml" PartName="/xl/worksheets/sheet1598.xml"/>
  <Override ContentType="application/vnd.openxmlformats-officedocument.spreadsheetml.worksheet+xml" PartName="/xl/worksheets/sheet1599.xml"/>
  <Override ContentType="application/vnd.openxmlformats-officedocument.spreadsheetml.worksheet+xml" PartName="/xl/worksheets/sheet1600.xml"/>
  <Override ContentType="application/vnd.openxmlformats-officedocument.spreadsheetml.worksheet+xml" PartName="/xl/worksheets/sheet1601.xml"/>
  <Override ContentType="application/vnd.openxmlformats-officedocument.spreadsheetml.worksheet+xml" PartName="/xl/worksheets/sheet1602.xml"/>
  <Override ContentType="application/vnd.openxmlformats-officedocument.spreadsheetml.worksheet+xml" PartName="/xl/worksheets/sheet1603.xml"/>
  <Override ContentType="application/vnd.openxmlformats-officedocument.spreadsheetml.worksheet+xml" PartName="/xl/worksheets/sheet1604.xml"/>
  <Override ContentType="application/vnd.openxmlformats-officedocument.spreadsheetml.worksheet+xml" PartName="/xl/worksheets/sheet1605.xml"/>
  <Override ContentType="application/vnd.openxmlformats-officedocument.spreadsheetml.worksheet+xml" PartName="/xl/worksheets/sheet1606.xml"/>
  <Override ContentType="application/vnd.openxmlformats-officedocument.spreadsheetml.worksheet+xml" PartName="/xl/worksheets/sheet1607.xml"/>
  <Override ContentType="application/vnd.openxmlformats-officedocument.spreadsheetml.worksheet+xml" PartName="/xl/worksheets/sheet1608.xml"/>
  <Override ContentType="application/vnd.openxmlformats-officedocument.spreadsheetml.worksheet+xml" PartName="/xl/worksheets/sheet1609.xml"/>
  <Override ContentType="application/vnd.openxmlformats-officedocument.spreadsheetml.worksheet+xml" PartName="/xl/worksheets/sheet1610.xml"/>
  <Override ContentType="application/vnd.openxmlformats-officedocument.spreadsheetml.worksheet+xml" PartName="/xl/worksheets/sheet1611.xml"/>
  <Override ContentType="application/vnd.openxmlformats-officedocument.spreadsheetml.worksheet+xml" PartName="/xl/worksheets/sheet1612.xml"/>
  <Override ContentType="application/vnd.openxmlformats-officedocument.spreadsheetml.worksheet+xml" PartName="/xl/worksheets/sheet1613.xml"/>
  <Override ContentType="application/vnd.openxmlformats-officedocument.spreadsheetml.worksheet+xml" PartName="/xl/worksheets/sheet1614.xml"/>
  <Override ContentType="application/vnd.openxmlformats-officedocument.spreadsheetml.worksheet+xml" PartName="/xl/worksheets/sheet1615.xml"/>
  <Override ContentType="application/vnd.openxmlformats-officedocument.spreadsheetml.worksheet+xml" PartName="/xl/worksheets/sheet1616.xml"/>
  <Override ContentType="application/vnd.openxmlformats-officedocument.spreadsheetml.worksheet+xml" PartName="/xl/worksheets/sheet1617.xml"/>
  <Override ContentType="application/vnd.openxmlformats-officedocument.spreadsheetml.worksheet+xml" PartName="/xl/worksheets/sheet1618.xml"/>
  <Override ContentType="application/vnd.openxmlformats-officedocument.spreadsheetml.worksheet+xml" PartName="/xl/worksheets/sheet1619.xml"/>
  <Override ContentType="application/vnd.openxmlformats-officedocument.spreadsheetml.worksheet+xml" PartName="/xl/worksheets/sheet1620.xml"/>
  <Override ContentType="application/vnd.openxmlformats-officedocument.spreadsheetml.worksheet+xml" PartName="/xl/worksheets/sheet1621.xml"/>
  <Override ContentType="application/vnd.openxmlformats-officedocument.spreadsheetml.worksheet+xml" PartName="/xl/worksheets/sheet1622.xml"/>
  <Override ContentType="application/vnd.openxmlformats-officedocument.spreadsheetml.worksheet+xml" PartName="/xl/worksheets/sheet1623.xml"/>
  <Override ContentType="application/vnd.openxmlformats-officedocument.spreadsheetml.worksheet+xml" PartName="/xl/worksheets/sheet1624.xml"/>
  <Override ContentType="application/vnd.openxmlformats-officedocument.spreadsheetml.worksheet+xml" PartName="/xl/worksheets/sheet1625.xml"/>
  <Override ContentType="application/vnd.openxmlformats-officedocument.spreadsheetml.worksheet+xml" PartName="/xl/worksheets/sheet1626.xml"/>
  <Override ContentType="application/vnd.openxmlformats-officedocument.spreadsheetml.worksheet+xml" PartName="/xl/worksheets/sheet1627.xml"/>
  <Override ContentType="application/vnd.openxmlformats-officedocument.spreadsheetml.worksheet+xml" PartName="/xl/worksheets/sheet1628.xml"/>
  <Override ContentType="application/vnd.openxmlformats-officedocument.spreadsheetml.worksheet+xml" PartName="/xl/worksheets/sheet1629.xml"/>
  <Override ContentType="application/vnd.openxmlformats-officedocument.spreadsheetml.worksheet+xml" PartName="/xl/worksheets/sheet1630.xml"/>
  <Override ContentType="application/vnd.openxmlformats-officedocument.spreadsheetml.worksheet+xml" PartName="/xl/worksheets/sheet1631.xml"/>
  <Override ContentType="application/vnd.openxmlformats-officedocument.spreadsheetml.worksheet+xml" PartName="/xl/worksheets/sheet1632.xml"/>
  <Override ContentType="application/vnd.openxmlformats-officedocument.spreadsheetml.worksheet+xml" PartName="/xl/worksheets/sheet1633.xml"/>
  <Override ContentType="application/vnd.openxmlformats-officedocument.spreadsheetml.worksheet+xml" PartName="/xl/worksheets/sheet1634.xml"/>
  <Override ContentType="application/vnd.openxmlformats-officedocument.spreadsheetml.worksheet+xml" PartName="/xl/worksheets/sheet1635.xml"/>
  <Override ContentType="application/vnd.openxmlformats-officedocument.spreadsheetml.worksheet+xml" PartName="/xl/worksheets/sheet1636.xml"/>
  <Override ContentType="application/vnd.openxmlformats-officedocument.spreadsheetml.worksheet+xml" PartName="/xl/worksheets/sheet1637.xml"/>
  <Override ContentType="application/vnd.openxmlformats-officedocument.spreadsheetml.worksheet+xml" PartName="/xl/worksheets/sheet1638.xml"/>
  <Override ContentType="application/vnd.openxmlformats-officedocument.spreadsheetml.worksheet+xml" PartName="/xl/worksheets/sheet1639.xml"/>
  <Override ContentType="application/vnd.openxmlformats-officedocument.spreadsheetml.worksheet+xml" PartName="/xl/worksheets/sheet1640.xml"/>
  <Override ContentType="application/vnd.openxmlformats-officedocument.spreadsheetml.worksheet+xml" PartName="/xl/worksheets/sheet1641.xml"/>
  <Override ContentType="application/vnd.openxmlformats-officedocument.spreadsheetml.worksheet+xml" PartName="/xl/worksheets/sheet1642.xml"/>
  <Override ContentType="application/vnd.openxmlformats-officedocument.spreadsheetml.worksheet+xml" PartName="/xl/worksheets/sheet1643.xml"/>
  <Override ContentType="application/vnd.openxmlformats-officedocument.spreadsheetml.worksheet+xml" PartName="/xl/worksheets/sheet1644.xml"/>
  <Override ContentType="application/vnd.openxmlformats-officedocument.spreadsheetml.worksheet+xml" PartName="/xl/worksheets/sheet1645.xml"/>
  <Override ContentType="application/vnd.openxmlformats-officedocument.spreadsheetml.worksheet+xml" PartName="/xl/worksheets/sheet1646.xml"/>
  <Override ContentType="application/vnd.openxmlformats-officedocument.spreadsheetml.worksheet+xml" PartName="/xl/worksheets/sheet1647.xml"/>
  <Override ContentType="application/vnd.openxmlformats-officedocument.spreadsheetml.worksheet+xml" PartName="/xl/worksheets/sheet1648.xml"/>
  <Override ContentType="application/vnd.openxmlformats-officedocument.spreadsheetml.worksheet+xml" PartName="/xl/worksheets/sheet1649.xml"/>
  <Override ContentType="application/vnd.openxmlformats-officedocument.spreadsheetml.worksheet+xml" PartName="/xl/worksheets/sheet1650.xml"/>
  <Override ContentType="application/vnd.openxmlformats-officedocument.spreadsheetml.worksheet+xml" PartName="/xl/worksheets/sheet1651.xml"/>
  <Override ContentType="application/vnd.openxmlformats-officedocument.spreadsheetml.worksheet+xml" PartName="/xl/worksheets/sheet1652.xml"/>
  <Override ContentType="application/vnd.openxmlformats-officedocument.spreadsheetml.worksheet+xml" PartName="/xl/worksheets/sheet1653.xml"/>
  <Override ContentType="application/vnd.openxmlformats-officedocument.spreadsheetml.worksheet+xml" PartName="/xl/worksheets/sheet1654.xml"/>
  <Override ContentType="application/vnd.openxmlformats-officedocument.spreadsheetml.worksheet+xml" PartName="/xl/worksheets/sheet1655.xml"/>
  <Override ContentType="application/vnd.openxmlformats-officedocument.spreadsheetml.worksheet+xml" PartName="/xl/worksheets/sheet1656.xml"/>
  <Override ContentType="application/vnd.openxmlformats-officedocument.spreadsheetml.worksheet+xml" PartName="/xl/worksheets/sheet1657.xml"/>
  <Override ContentType="application/vnd.openxmlformats-officedocument.spreadsheetml.worksheet+xml" PartName="/xl/worksheets/sheet1658.xml"/>
  <Override ContentType="application/vnd.openxmlformats-officedocument.spreadsheetml.worksheet+xml" PartName="/xl/worksheets/sheet1659.xml"/>
  <Override ContentType="application/vnd.openxmlformats-officedocument.spreadsheetml.worksheet+xml" PartName="/xl/worksheets/sheet1660.xml"/>
  <Override ContentType="application/vnd.openxmlformats-officedocument.spreadsheetml.worksheet+xml" PartName="/xl/worksheets/sheet1661.xml"/>
  <Override ContentType="application/vnd.openxmlformats-officedocument.spreadsheetml.worksheet+xml" PartName="/xl/worksheets/sheet1662.xml"/>
  <Override ContentType="application/vnd.openxmlformats-officedocument.spreadsheetml.worksheet+xml" PartName="/xl/worksheets/sheet1663.xml"/>
  <Override ContentType="application/vnd.openxmlformats-officedocument.spreadsheetml.worksheet+xml" PartName="/xl/worksheets/sheet1664.xml"/>
  <Override ContentType="application/vnd.openxmlformats-officedocument.spreadsheetml.worksheet+xml" PartName="/xl/worksheets/sheet1665.xml"/>
  <Override ContentType="application/vnd.openxmlformats-officedocument.spreadsheetml.worksheet+xml" PartName="/xl/worksheets/sheet1666.xml"/>
  <Override ContentType="application/vnd.openxmlformats-officedocument.spreadsheetml.worksheet+xml" PartName="/xl/worksheets/sheet1667.xml"/>
  <Override ContentType="application/vnd.openxmlformats-officedocument.spreadsheetml.worksheet+xml" PartName="/xl/worksheets/sheet1668.xml"/>
  <Override ContentType="application/vnd.openxmlformats-officedocument.spreadsheetml.worksheet+xml" PartName="/xl/worksheets/sheet1669.xml"/>
  <Override ContentType="application/vnd.openxmlformats-officedocument.spreadsheetml.worksheet+xml" PartName="/xl/worksheets/sheet1670.xml"/>
  <Override ContentType="application/vnd.openxmlformats-officedocument.spreadsheetml.worksheet+xml" PartName="/xl/worksheets/sheet1671.xml"/>
  <Override ContentType="application/vnd.openxmlformats-officedocument.spreadsheetml.worksheet+xml" PartName="/xl/worksheets/sheet1672.xml"/>
  <Override ContentType="application/vnd.openxmlformats-officedocument.spreadsheetml.worksheet+xml" PartName="/xl/worksheets/sheet1673.xml"/>
  <Override ContentType="application/vnd.openxmlformats-officedocument.spreadsheetml.worksheet+xml" PartName="/xl/worksheets/sheet1674.xml"/>
  <Override ContentType="application/vnd.openxmlformats-officedocument.spreadsheetml.worksheet+xml" PartName="/xl/worksheets/sheet1675.xml"/>
  <Override ContentType="application/vnd.openxmlformats-officedocument.spreadsheetml.worksheet+xml" PartName="/xl/worksheets/sheet1676.xml"/>
  <Override ContentType="application/vnd.openxmlformats-officedocument.spreadsheetml.worksheet+xml" PartName="/xl/worksheets/sheet1677.xml"/>
  <Override ContentType="application/vnd.openxmlformats-officedocument.spreadsheetml.worksheet+xml" PartName="/xl/worksheets/sheet1678.xml"/>
  <Override ContentType="application/vnd.openxmlformats-officedocument.spreadsheetml.worksheet+xml" PartName="/xl/worksheets/sheet1679.xml"/>
  <Override ContentType="application/vnd.openxmlformats-officedocument.spreadsheetml.worksheet+xml" PartName="/xl/worksheets/sheet1680.xml"/>
  <Override ContentType="application/vnd.openxmlformats-officedocument.spreadsheetml.worksheet+xml" PartName="/xl/worksheets/sheet1681.xml"/>
  <Override ContentType="application/vnd.openxmlformats-officedocument.spreadsheetml.worksheet+xml" PartName="/xl/worksheets/sheet1682.xml"/>
  <Override ContentType="application/vnd.openxmlformats-officedocument.spreadsheetml.worksheet+xml" PartName="/xl/worksheets/sheet1683.xml"/>
  <Override ContentType="application/vnd.openxmlformats-officedocument.spreadsheetml.worksheet+xml" PartName="/xl/worksheets/sheet1684.xml"/>
  <Override ContentType="application/vnd.openxmlformats-officedocument.spreadsheetml.worksheet+xml" PartName="/xl/worksheets/sheet1685.xml"/>
  <Override ContentType="application/vnd.openxmlformats-officedocument.spreadsheetml.worksheet+xml" PartName="/xl/worksheets/sheet1686.xml"/>
  <Override ContentType="application/vnd.openxmlformats-officedocument.spreadsheetml.worksheet+xml" PartName="/xl/worksheets/sheet1687.xml"/>
  <Override ContentType="application/vnd.openxmlformats-officedocument.spreadsheetml.worksheet+xml" PartName="/xl/worksheets/sheet1688.xml"/>
  <Override ContentType="application/vnd.openxmlformats-officedocument.spreadsheetml.worksheet+xml" PartName="/xl/worksheets/sheet1689.xml"/>
  <Override ContentType="application/vnd.openxmlformats-officedocument.spreadsheetml.worksheet+xml" PartName="/xl/worksheets/sheet1690.xml"/>
  <Override ContentType="application/vnd.openxmlformats-officedocument.spreadsheetml.worksheet+xml" PartName="/xl/worksheets/sheet1691.xml"/>
  <Override ContentType="application/vnd.openxmlformats-officedocument.spreadsheetml.worksheet+xml" PartName="/xl/worksheets/sheet1692.xml"/>
  <Override ContentType="application/vnd.openxmlformats-officedocument.spreadsheetml.worksheet+xml" PartName="/xl/worksheets/sheet1693.xml"/>
  <Override ContentType="application/vnd.openxmlformats-officedocument.spreadsheetml.worksheet+xml" PartName="/xl/worksheets/sheet1694.xml"/>
  <Override ContentType="application/vnd.openxmlformats-officedocument.spreadsheetml.worksheet+xml" PartName="/xl/worksheets/sheet1695.xml"/>
  <Override ContentType="application/vnd.openxmlformats-officedocument.spreadsheetml.worksheet+xml" PartName="/xl/worksheets/sheet1696.xml"/>
  <Override ContentType="application/vnd.openxmlformats-officedocument.spreadsheetml.worksheet+xml" PartName="/xl/worksheets/sheet1697.xml"/>
  <Override ContentType="application/vnd.openxmlformats-officedocument.spreadsheetml.worksheet+xml" PartName="/xl/worksheets/sheet1698.xml"/>
  <Override ContentType="application/vnd.openxmlformats-officedocument.spreadsheetml.worksheet+xml" PartName="/xl/worksheets/sheet1699.xml"/>
  <Override ContentType="application/vnd.openxmlformats-officedocument.spreadsheetml.worksheet+xml" PartName="/xl/worksheets/sheet1700.xml"/>
  <Override ContentType="application/vnd.openxmlformats-officedocument.spreadsheetml.worksheet+xml" PartName="/xl/worksheets/sheet1701.xml"/>
  <Override ContentType="application/vnd.openxmlformats-officedocument.spreadsheetml.worksheet+xml" PartName="/xl/worksheets/sheet1702.xml"/>
  <Override ContentType="application/vnd.openxmlformats-officedocument.spreadsheetml.worksheet+xml" PartName="/xl/worksheets/sheet1703.xml"/>
  <Override ContentType="application/vnd.openxmlformats-officedocument.spreadsheetml.worksheet+xml" PartName="/xl/worksheets/sheet1704.xml"/>
  <Override ContentType="application/vnd.openxmlformats-officedocument.spreadsheetml.worksheet+xml" PartName="/xl/worksheets/sheet1705.xml"/>
  <Override ContentType="application/vnd.openxmlformats-officedocument.spreadsheetml.worksheet+xml" PartName="/xl/worksheets/sheet1706.xml"/>
  <Override ContentType="application/vnd.openxmlformats-officedocument.spreadsheetml.worksheet+xml" PartName="/xl/worksheets/sheet1707.xml"/>
  <Override ContentType="application/vnd.openxmlformats-officedocument.spreadsheetml.worksheet+xml" PartName="/xl/worksheets/sheet1708.xml"/>
  <Override ContentType="application/vnd.openxmlformats-officedocument.spreadsheetml.worksheet+xml" PartName="/xl/worksheets/sheet1709.xml"/>
  <Override ContentType="application/vnd.openxmlformats-officedocument.spreadsheetml.worksheet+xml" PartName="/xl/worksheets/sheet1710.xml"/>
  <Override ContentType="application/vnd.openxmlformats-officedocument.spreadsheetml.worksheet+xml" PartName="/xl/worksheets/sheet1711.xml"/>
  <Override ContentType="application/vnd.openxmlformats-officedocument.spreadsheetml.worksheet+xml" PartName="/xl/worksheets/sheet1712.xml"/>
  <Override ContentType="application/vnd.openxmlformats-officedocument.spreadsheetml.worksheet+xml" PartName="/xl/worksheets/sheet1713.xml"/>
  <Override ContentType="application/vnd.openxmlformats-officedocument.spreadsheetml.worksheet+xml" PartName="/xl/worksheets/sheet1714.xml"/>
  <Override ContentType="application/vnd.openxmlformats-officedocument.spreadsheetml.worksheet+xml" PartName="/xl/worksheets/sheet1715.xml"/>
  <Override ContentType="application/vnd.openxmlformats-officedocument.spreadsheetml.worksheet+xml" PartName="/xl/worksheets/sheet1716.xml"/>
  <Override ContentType="application/vnd.openxmlformats-officedocument.spreadsheetml.worksheet+xml" PartName="/xl/worksheets/sheet1717.xml"/>
  <Override ContentType="application/vnd.openxmlformats-officedocument.spreadsheetml.worksheet+xml" PartName="/xl/worksheets/sheet1718.xml"/>
  <Override ContentType="application/vnd.openxmlformats-officedocument.spreadsheetml.worksheet+xml" PartName="/xl/worksheets/sheet1719.xml"/>
  <Override ContentType="application/vnd.openxmlformats-officedocument.spreadsheetml.worksheet+xml" PartName="/xl/worksheets/sheet1720.xml"/>
  <Override ContentType="application/vnd.openxmlformats-officedocument.spreadsheetml.worksheet+xml" PartName="/xl/worksheets/sheet1721.xml"/>
  <Override ContentType="application/vnd.openxmlformats-officedocument.spreadsheetml.worksheet+xml" PartName="/xl/worksheets/sheet1722.xml"/>
  <Override ContentType="application/vnd.openxmlformats-officedocument.spreadsheetml.worksheet+xml" PartName="/xl/worksheets/sheet1723.xml"/>
  <Override ContentType="application/vnd.openxmlformats-officedocument.spreadsheetml.worksheet+xml" PartName="/xl/worksheets/sheet1724.xml"/>
  <Override ContentType="application/vnd.openxmlformats-officedocument.spreadsheetml.worksheet+xml" PartName="/xl/worksheets/sheet1725.xml"/>
  <Override ContentType="application/vnd.openxmlformats-officedocument.spreadsheetml.worksheet+xml" PartName="/xl/worksheets/sheet1726.xml"/>
  <Override ContentType="application/vnd.openxmlformats-officedocument.spreadsheetml.worksheet+xml" PartName="/xl/worksheets/sheet1727.xml"/>
  <Override ContentType="application/vnd.openxmlformats-officedocument.spreadsheetml.worksheet+xml" PartName="/xl/worksheets/sheet1728.xml"/>
  <Override ContentType="application/vnd.openxmlformats-officedocument.spreadsheetml.worksheet+xml" PartName="/xl/worksheets/sheet1729.xml"/>
  <Override ContentType="application/vnd.openxmlformats-officedocument.spreadsheetml.worksheet+xml" PartName="/xl/worksheets/sheet1730.xml"/>
  <Override ContentType="application/vnd.openxmlformats-officedocument.spreadsheetml.worksheet+xml" PartName="/xl/worksheets/sheet1731.xml"/>
  <Override ContentType="application/vnd.openxmlformats-officedocument.spreadsheetml.worksheet+xml" PartName="/xl/worksheets/sheet1732.xml"/>
  <Override ContentType="application/vnd.openxmlformats-officedocument.spreadsheetml.worksheet+xml" PartName="/xl/worksheets/sheet1733.xml"/>
  <Override ContentType="application/vnd.openxmlformats-officedocument.spreadsheetml.worksheet+xml" PartName="/xl/worksheets/sheet1734.xml"/>
  <Override ContentType="application/vnd.openxmlformats-officedocument.spreadsheetml.worksheet+xml" PartName="/xl/worksheets/sheet1735.xml"/>
  <Override ContentType="application/vnd.openxmlformats-officedocument.spreadsheetml.worksheet+xml" PartName="/xl/worksheets/sheet1736.xml"/>
  <Override ContentType="application/vnd.openxmlformats-officedocument.spreadsheetml.worksheet+xml" PartName="/xl/worksheets/sheet1737.xml"/>
  <Override ContentType="application/vnd.openxmlformats-officedocument.spreadsheetml.worksheet+xml" PartName="/xl/worksheets/sheet1738.xml"/>
  <Override ContentType="application/vnd.openxmlformats-officedocument.spreadsheetml.worksheet+xml" PartName="/xl/worksheets/sheet1739.xml"/>
  <Override ContentType="application/vnd.openxmlformats-officedocument.spreadsheetml.worksheet+xml" PartName="/xl/worksheets/sheet1740.xml"/>
  <Override ContentType="application/vnd.openxmlformats-officedocument.spreadsheetml.worksheet+xml" PartName="/xl/worksheets/sheet1741.xml"/>
  <Override ContentType="application/vnd.openxmlformats-officedocument.spreadsheetml.worksheet+xml" PartName="/xl/worksheets/sheet1742.xml"/>
  <Override ContentType="application/vnd.openxmlformats-officedocument.spreadsheetml.worksheet+xml" PartName="/xl/worksheets/sheet1743.xml"/>
  <Override ContentType="application/vnd.openxmlformats-officedocument.spreadsheetml.worksheet+xml" PartName="/xl/worksheets/sheet1744.xml"/>
  <Override ContentType="application/vnd.openxmlformats-officedocument.spreadsheetml.worksheet+xml" PartName="/xl/worksheets/sheet1745.xml"/>
  <Override ContentType="application/vnd.openxmlformats-officedocument.spreadsheetml.worksheet+xml" PartName="/xl/worksheets/sheet1746.xml"/>
  <Override ContentType="application/vnd.openxmlformats-officedocument.spreadsheetml.worksheet+xml" PartName="/xl/worksheets/sheet1747.xml"/>
  <Override ContentType="application/vnd.openxmlformats-officedocument.spreadsheetml.worksheet+xml" PartName="/xl/worksheets/sheet1748.xml"/>
  <Override ContentType="application/vnd.openxmlformats-officedocument.spreadsheetml.worksheet+xml" PartName="/xl/worksheets/sheet1749.xml"/>
  <Override ContentType="application/vnd.openxmlformats-officedocument.spreadsheetml.worksheet+xml" PartName="/xl/worksheets/sheet1750.xml"/>
  <Override ContentType="application/vnd.openxmlformats-officedocument.spreadsheetml.worksheet+xml" PartName="/xl/worksheets/sheet1751.xml"/>
  <Override ContentType="application/vnd.openxmlformats-officedocument.spreadsheetml.worksheet+xml" PartName="/xl/worksheets/sheet1752.xml"/>
  <Override ContentType="application/vnd.openxmlformats-officedocument.spreadsheetml.worksheet+xml" PartName="/xl/worksheets/sheet1753.xml"/>
  <Override ContentType="application/vnd.openxmlformats-officedocument.spreadsheetml.worksheet+xml" PartName="/xl/worksheets/sheet1754.xml"/>
  <Override ContentType="application/vnd.openxmlformats-officedocument.spreadsheetml.worksheet+xml" PartName="/xl/worksheets/sheet1755.xml"/>
  <Override ContentType="application/vnd.openxmlformats-officedocument.spreadsheetml.worksheet+xml" PartName="/xl/worksheets/sheet1756.xml"/>
  <Override ContentType="application/vnd.openxmlformats-officedocument.spreadsheetml.worksheet+xml" PartName="/xl/worksheets/sheet1757.xml"/>
  <Override ContentType="application/vnd.openxmlformats-officedocument.spreadsheetml.worksheet+xml" PartName="/xl/worksheets/sheet1758.xml"/>
  <Override ContentType="application/vnd.openxmlformats-officedocument.spreadsheetml.worksheet+xml" PartName="/xl/worksheets/sheet1759.xml"/>
  <Override ContentType="application/vnd.openxmlformats-officedocument.spreadsheetml.worksheet+xml" PartName="/xl/worksheets/sheet1760.xml"/>
  <Override ContentType="application/vnd.openxmlformats-officedocument.spreadsheetml.worksheet+xml" PartName="/xl/worksheets/sheet1761.xml"/>
  <Override ContentType="application/vnd.openxmlformats-officedocument.spreadsheetml.worksheet+xml" PartName="/xl/worksheets/sheet1762.xml"/>
  <Override ContentType="application/vnd.openxmlformats-officedocument.spreadsheetml.worksheet+xml" PartName="/xl/worksheets/sheet1763.xml"/>
  <Override ContentType="application/vnd.openxmlformats-officedocument.spreadsheetml.worksheet+xml" PartName="/xl/worksheets/sheet1764.xml"/>
  <Override ContentType="application/vnd.openxmlformats-officedocument.spreadsheetml.worksheet+xml" PartName="/xl/worksheets/sheet1765.xml"/>
  <Override ContentType="application/vnd.openxmlformats-officedocument.spreadsheetml.worksheet+xml" PartName="/xl/worksheets/sheet1766.xml"/>
  <Override ContentType="application/vnd.openxmlformats-officedocument.spreadsheetml.worksheet+xml" PartName="/xl/worksheets/sheet1767.xml"/>
  <Override ContentType="application/vnd.openxmlformats-officedocument.spreadsheetml.worksheet+xml" PartName="/xl/worksheets/sheet1768.xml"/>
  <Override ContentType="application/vnd.openxmlformats-officedocument.spreadsheetml.worksheet+xml" PartName="/xl/worksheets/sheet1769.xml"/>
  <Override ContentType="application/vnd.openxmlformats-officedocument.spreadsheetml.worksheet+xml" PartName="/xl/worksheets/sheet1770.xml"/>
  <Override ContentType="application/vnd.openxmlformats-officedocument.spreadsheetml.worksheet+xml" PartName="/xl/worksheets/sheet1771.xml"/>
  <Override ContentType="application/vnd.openxmlformats-officedocument.spreadsheetml.worksheet+xml" PartName="/xl/worksheets/sheet1772.xml"/>
  <Override ContentType="application/vnd.openxmlformats-officedocument.spreadsheetml.worksheet+xml" PartName="/xl/worksheets/sheet1773.xml"/>
  <Override ContentType="application/vnd.openxmlformats-officedocument.spreadsheetml.worksheet+xml" PartName="/xl/worksheets/sheet1774.xml"/>
  <Override ContentType="application/vnd.openxmlformats-officedocument.spreadsheetml.worksheet+xml" PartName="/xl/worksheets/sheet1775.xml"/>
  <Override ContentType="application/vnd.openxmlformats-officedocument.spreadsheetml.worksheet+xml" PartName="/xl/worksheets/sheet1776.xml"/>
  <Override ContentType="application/vnd.openxmlformats-officedocument.spreadsheetml.worksheet+xml" PartName="/xl/worksheets/sheet1777.xml"/>
  <Override ContentType="application/vnd.openxmlformats-officedocument.spreadsheetml.worksheet+xml" PartName="/xl/worksheets/sheet1778.xml"/>
  <Override ContentType="application/vnd.openxmlformats-officedocument.spreadsheetml.worksheet+xml" PartName="/xl/worksheets/sheet1779.xml"/>
  <Override ContentType="application/vnd.openxmlformats-officedocument.spreadsheetml.worksheet+xml" PartName="/xl/worksheets/sheet1780.xml"/>
  <Override ContentType="application/vnd.openxmlformats-officedocument.spreadsheetml.worksheet+xml" PartName="/xl/worksheets/sheet1781.xml"/>
  <Override ContentType="application/vnd.openxmlformats-officedocument.spreadsheetml.worksheet+xml" PartName="/xl/worksheets/sheet1782.xml"/>
  <Override ContentType="application/vnd.openxmlformats-officedocument.spreadsheetml.worksheet+xml" PartName="/xl/worksheets/sheet1783.xml"/>
  <Override ContentType="application/vnd.openxmlformats-officedocument.spreadsheetml.worksheet+xml" PartName="/xl/worksheets/sheet1784.xml"/>
  <Override ContentType="application/vnd.openxmlformats-officedocument.spreadsheetml.worksheet+xml" PartName="/xl/worksheets/sheet1785.xml"/>
  <Override ContentType="application/vnd.openxmlformats-officedocument.spreadsheetml.worksheet+xml" PartName="/xl/worksheets/sheet1786.xml"/>
  <Override ContentType="application/vnd.openxmlformats-officedocument.spreadsheetml.worksheet+xml" PartName="/xl/worksheets/sheet1787.xml"/>
  <Override ContentType="application/vnd.openxmlformats-officedocument.spreadsheetml.worksheet+xml" PartName="/xl/worksheets/sheet1788.xml"/>
  <Override ContentType="application/vnd.openxmlformats-officedocument.spreadsheetml.worksheet+xml" PartName="/xl/worksheets/sheet1789.xml"/>
  <Override ContentType="application/vnd.openxmlformats-officedocument.spreadsheetml.worksheet+xml" PartName="/xl/worksheets/sheet1790.xml"/>
  <Override ContentType="application/vnd.openxmlformats-officedocument.spreadsheetml.worksheet+xml" PartName="/xl/worksheets/sheet1791.xml"/>
  <Override ContentType="application/vnd.openxmlformats-officedocument.spreadsheetml.worksheet+xml" PartName="/xl/worksheets/sheet1792.xml"/>
  <Override ContentType="application/vnd.openxmlformats-officedocument.spreadsheetml.worksheet+xml" PartName="/xl/worksheets/sheet1793.xml"/>
  <Override ContentType="application/vnd.openxmlformats-officedocument.spreadsheetml.worksheet+xml" PartName="/xl/worksheets/sheet1794.xml"/>
  <Override ContentType="application/vnd.openxmlformats-officedocument.spreadsheetml.worksheet+xml" PartName="/xl/worksheets/sheet1795.xml"/>
  <Override ContentType="application/vnd.openxmlformats-officedocument.spreadsheetml.worksheet+xml" PartName="/xl/worksheets/sheet1796.xml"/>
  <Override ContentType="application/vnd.openxmlformats-officedocument.spreadsheetml.worksheet+xml" PartName="/xl/worksheets/sheet1797.xml"/>
  <Override ContentType="application/vnd.openxmlformats-officedocument.spreadsheetml.worksheet+xml" PartName="/xl/worksheets/sheet1798.xml"/>
  <Override ContentType="application/vnd.openxmlformats-officedocument.spreadsheetml.worksheet+xml" PartName="/xl/worksheets/sheet1799.xml"/>
  <Override ContentType="application/vnd.openxmlformats-officedocument.spreadsheetml.worksheet+xml" PartName="/xl/worksheets/sheet1800.xml"/>
  <Override ContentType="application/vnd.openxmlformats-officedocument.spreadsheetml.worksheet+xml" PartName="/xl/worksheets/sheet1801.xml"/>
  <Override ContentType="application/vnd.openxmlformats-officedocument.spreadsheetml.worksheet+xml" PartName="/xl/worksheets/sheet1802.xml"/>
  <Override ContentType="application/vnd.openxmlformats-officedocument.spreadsheetml.worksheet+xml" PartName="/xl/worksheets/sheet1803.xml"/>
  <Override ContentType="application/vnd.openxmlformats-officedocument.spreadsheetml.worksheet+xml" PartName="/xl/worksheets/sheet1804.xml"/>
  <Override ContentType="application/vnd.openxmlformats-officedocument.spreadsheetml.worksheet+xml" PartName="/xl/worksheets/sheet1805.xml"/>
  <Override ContentType="application/vnd.openxmlformats-officedocument.spreadsheetml.worksheet+xml" PartName="/xl/worksheets/sheet1806.xml"/>
  <Override ContentType="application/vnd.openxmlformats-officedocument.spreadsheetml.worksheet+xml" PartName="/xl/worksheets/sheet1807.xml"/>
  <Override ContentType="application/vnd.openxmlformats-officedocument.spreadsheetml.worksheet+xml" PartName="/xl/worksheets/sheet1808.xml"/>
  <Override ContentType="application/vnd.openxmlformats-officedocument.spreadsheetml.worksheet+xml" PartName="/xl/worksheets/sheet1809.xml"/>
  <Override ContentType="application/vnd.openxmlformats-officedocument.spreadsheetml.worksheet+xml" PartName="/xl/worksheets/sheet1810.xml"/>
  <Override ContentType="application/vnd.openxmlformats-officedocument.spreadsheetml.worksheet+xml" PartName="/xl/worksheets/sheet1811.xml"/>
  <Override ContentType="application/vnd.openxmlformats-officedocument.spreadsheetml.worksheet+xml" PartName="/xl/worksheets/sheet1812.xml"/>
  <Override ContentType="application/vnd.openxmlformats-officedocument.spreadsheetml.worksheet+xml" PartName="/xl/worksheets/sheet1813.xml"/>
  <Override ContentType="application/vnd.openxmlformats-officedocument.spreadsheetml.worksheet+xml" PartName="/xl/worksheets/sheet1814.xml"/>
  <Override ContentType="application/vnd.openxmlformats-officedocument.spreadsheetml.worksheet+xml" PartName="/xl/worksheets/sheet1815.xml"/>
  <Override ContentType="application/vnd.openxmlformats-officedocument.spreadsheetml.worksheet+xml" PartName="/xl/worksheets/sheet1816.xml"/>
  <Override ContentType="application/vnd.openxmlformats-officedocument.spreadsheetml.worksheet+xml" PartName="/xl/worksheets/sheet1817.xml"/>
  <Override ContentType="application/vnd.openxmlformats-officedocument.spreadsheetml.worksheet+xml" PartName="/xl/worksheets/sheet1818.xml"/>
  <Override ContentType="application/vnd.openxmlformats-officedocument.spreadsheetml.worksheet+xml" PartName="/xl/worksheets/sheet1819.xml"/>
  <Override ContentType="application/vnd.openxmlformats-officedocument.spreadsheetml.worksheet+xml" PartName="/xl/worksheets/sheet1820.xml"/>
  <Override ContentType="application/vnd.openxmlformats-officedocument.spreadsheetml.worksheet+xml" PartName="/xl/worksheets/sheet1821.xml"/>
  <Override ContentType="application/vnd.openxmlformats-officedocument.spreadsheetml.worksheet+xml" PartName="/xl/worksheets/sheet1822.xml"/>
  <Override ContentType="application/vnd.openxmlformats-officedocument.spreadsheetml.worksheet+xml" PartName="/xl/worksheets/sheet1823.xml"/>
  <Override ContentType="application/vnd.openxmlformats-officedocument.spreadsheetml.worksheet+xml" PartName="/xl/worksheets/sheet1824.xml"/>
  <Override ContentType="application/vnd.openxmlformats-officedocument.spreadsheetml.worksheet+xml" PartName="/xl/worksheets/sheet1825.xml"/>
  <Override ContentType="application/vnd.openxmlformats-officedocument.spreadsheetml.worksheet+xml" PartName="/xl/worksheets/sheet1826.xml"/>
  <Override ContentType="application/vnd.openxmlformats-officedocument.spreadsheetml.worksheet+xml" PartName="/xl/worksheets/sheet1827.xml"/>
  <Override ContentType="application/vnd.openxmlformats-officedocument.spreadsheetml.worksheet+xml" PartName="/xl/worksheets/sheet1828.xml"/>
  <Override ContentType="application/vnd.openxmlformats-officedocument.spreadsheetml.worksheet+xml" PartName="/xl/worksheets/sheet1829.xml"/>
  <Override ContentType="application/vnd.openxmlformats-officedocument.spreadsheetml.worksheet+xml" PartName="/xl/worksheets/sheet1830.xml"/>
  <Override ContentType="application/vnd.openxmlformats-officedocument.spreadsheetml.worksheet+xml" PartName="/xl/worksheets/sheet1831.xml"/>
  <Override ContentType="application/vnd.openxmlformats-officedocument.spreadsheetml.worksheet+xml" PartName="/xl/worksheets/sheet1832.xml"/>
  <Override ContentType="application/vnd.openxmlformats-officedocument.spreadsheetml.worksheet+xml" PartName="/xl/worksheets/sheet1833.xml"/>
  <Override ContentType="application/vnd.openxmlformats-officedocument.spreadsheetml.worksheet+xml" PartName="/xl/worksheets/sheet1834.xml"/>
  <Override ContentType="application/vnd.openxmlformats-officedocument.spreadsheetml.worksheet+xml" PartName="/xl/worksheets/sheet1835.xml"/>
  <Override ContentType="application/vnd.openxmlformats-officedocument.spreadsheetml.worksheet+xml" PartName="/xl/worksheets/sheet1836.xml"/>
  <Override ContentType="application/vnd.openxmlformats-officedocument.spreadsheetml.worksheet+xml" PartName="/xl/worksheets/sheet1837.xml"/>
  <Override ContentType="application/vnd.openxmlformats-officedocument.spreadsheetml.worksheet+xml" PartName="/xl/worksheets/sheet1838.xml"/>
  <Override ContentType="application/vnd.openxmlformats-officedocument.spreadsheetml.worksheet+xml" PartName="/xl/worksheets/sheet1839.xml"/>
  <Override ContentType="application/vnd.openxmlformats-officedocument.spreadsheetml.worksheet+xml" PartName="/xl/worksheets/sheet1840.xml"/>
  <Override ContentType="application/vnd.openxmlformats-officedocument.spreadsheetml.worksheet+xml" PartName="/xl/worksheets/sheet1841.xml"/>
  <Override ContentType="application/vnd.openxmlformats-officedocument.spreadsheetml.worksheet+xml" PartName="/xl/worksheets/sheet1842.xml"/>
  <Override ContentType="application/vnd.openxmlformats-officedocument.spreadsheetml.worksheet+xml" PartName="/xl/worksheets/sheet1843.xml"/>
  <Override ContentType="application/vnd.openxmlformats-officedocument.spreadsheetml.worksheet+xml" PartName="/xl/worksheets/sheet1844.xml"/>
  <Override ContentType="application/vnd.openxmlformats-officedocument.spreadsheetml.worksheet+xml" PartName="/xl/worksheets/sheet1845.xml"/>
  <Override ContentType="application/vnd.openxmlformats-officedocument.spreadsheetml.worksheet+xml" PartName="/xl/worksheets/sheet1846.xml"/>
  <Override ContentType="application/vnd.openxmlformats-officedocument.spreadsheetml.worksheet+xml" PartName="/xl/worksheets/sheet1847.xml"/>
  <Override ContentType="application/vnd.openxmlformats-officedocument.spreadsheetml.worksheet+xml" PartName="/xl/worksheets/sheet1848.xml"/>
  <Override ContentType="application/vnd.openxmlformats-officedocument.spreadsheetml.worksheet+xml" PartName="/xl/worksheets/sheet1849.xml"/>
  <Override ContentType="application/vnd.openxmlformats-officedocument.spreadsheetml.worksheet+xml" PartName="/xl/worksheets/sheet1850.xml"/>
  <Override ContentType="application/vnd.openxmlformats-officedocument.spreadsheetml.worksheet+xml" PartName="/xl/worksheets/sheet1851.xml"/>
  <Override ContentType="application/vnd.openxmlformats-officedocument.spreadsheetml.worksheet+xml" PartName="/xl/worksheets/sheet1852.xml"/>
  <Override ContentType="application/vnd.openxmlformats-officedocument.spreadsheetml.worksheet+xml" PartName="/xl/worksheets/sheet1853.xml"/>
  <Override ContentType="application/vnd.openxmlformats-officedocument.spreadsheetml.worksheet+xml" PartName="/xl/worksheets/sheet1854.xml"/>
  <Override ContentType="application/vnd.openxmlformats-officedocument.spreadsheetml.worksheet+xml" PartName="/xl/worksheets/sheet1855.xml"/>
  <Override ContentType="application/vnd.openxmlformats-officedocument.spreadsheetml.worksheet+xml" PartName="/xl/worksheets/sheet1856.xml"/>
  <Override ContentType="application/vnd.openxmlformats-officedocument.spreadsheetml.worksheet+xml" PartName="/xl/worksheets/sheet1857.xml"/>
  <Override ContentType="application/vnd.openxmlformats-officedocument.spreadsheetml.worksheet+xml" PartName="/xl/worksheets/sheet1858.xml"/>
  <Override ContentType="application/vnd.openxmlformats-officedocument.spreadsheetml.worksheet+xml" PartName="/xl/worksheets/sheet1859.xml"/>
  <Override ContentType="application/vnd.openxmlformats-officedocument.spreadsheetml.worksheet+xml" PartName="/xl/worksheets/sheet1860.xml"/>
  <Override ContentType="application/vnd.openxmlformats-officedocument.spreadsheetml.worksheet+xml" PartName="/xl/worksheets/sheet1861.xml"/>
  <Override ContentType="application/vnd.openxmlformats-officedocument.spreadsheetml.worksheet+xml" PartName="/xl/worksheets/sheet1862.xml"/>
  <Override ContentType="application/vnd.openxmlformats-officedocument.spreadsheetml.worksheet+xml" PartName="/xl/worksheets/sheet1863.xml"/>
  <Override ContentType="application/vnd.openxmlformats-officedocument.spreadsheetml.worksheet+xml" PartName="/xl/worksheets/sheet1864.xml"/>
  <Override ContentType="application/vnd.openxmlformats-officedocument.spreadsheetml.worksheet+xml" PartName="/xl/worksheets/sheet1865.xml"/>
  <Override ContentType="application/vnd.openxmlformats-officedocument.spreadsheetml.worksheet+xml" PartName="/xl/worksheets/sheet1866.xml"/>
  <Override ContentType="application/vnd.openxmlformats-officedocument.spreadsheetml.worksheet+xml" PartName="/xl/worksheets/sheet1867.xml"/>
  <Override ContentType="application/vnd.openxmlformats-officedocument.spreadsheetml.worksheet+xml" PartName="/xl/worksheets/sheet1868.xml"/>
  <Override ContentType="application/vnd.openxmlformats-officedocument.spreadsheetml.worksheet+xml" PartName="/xl/worksheets/sheet1869.xml"/>
  <Override ContentType="application/vnd.openxmlformats-officedocument.spreadsheetml.worksheet+xml" PartName="/xl/worksheets/sheet1870.xml"/>
  <Override ContentType="application/vnd.openxmlformats-officedocument.spreadsheetml.worksheet+xml" PartName="/xl/worksheets/sheet1871.xml"/>
  <Override ContentType="application/vnd.openxmlformats-officedocument.spreadsheetml.worksheet+xml" PartName="/xl/worksheets/sheet1872.xml"/>
  <Override ContentType="application/vnd.openxmlformats-officedocument.spreadsheetml.worksheet+xml" PartName="/xl/worksheets/sheet1873.xml"/>
  <Override ContentType="application/vnd.openxmlformats-officedocument.spreadsheetml.worksheet+xml" PartName="/xl/worksheets/sheet1874.xml"/>
  <Override ContentType="application/vnd.openxmlformats-officedocument.spreadsheetml.worksheet+xml" PartName="/xl/worksheets/sheet1875.xml"/>
  <Override ContentType="application/vnd.openxmlformats-officedocument.spreadsheetml.worksheet+xml" PartName="/xl/worksheets/sheet1876.xml"/>
  <Override ContentType="application/vnd.openxmlformats-officedocument.spreadsheetml.worksheet+xml" PartName="/xl/worksheets/sheet1877.xml"/>
  <Override ContentType="application/vnd.openxmlformats-officedocument.spreadsheetml.worksheet+xml" PartName="/xl/worksheets/sheet1878.xml"/>
  <Override ContentType="application/vnd.openxmlformats-officedocument.spreadsheetml.worksheet+xml" PartName="/xl/worksheets/sheet1879.xml"/>
  <Override ContentType="application/vnd.openxmlformats-officedocument.spreadsheetml.worksheet+xml" PartName="/xl/worksheets/sheet1880.xml"/>
  <Override ContentType="application/vnd.openxmlformats-officedocument.spreadsheetml.worksheet+xml" PartName="/xl/worksheets/sheet1881.xml"/>
  <Override ContentType="application/vnd.openxmlformats-officedocument.spreadsheetml.worksheet+xml" PartName="/xl/worksheets/sheet1882.xml"/>
  <Override ContentType="application/vnd.openxmlformats-officedocument.spreadsheetml.worksheet+xml" PartName="/xl/worksheets/sheet1883.xml"/>
  <Override ContentType="application/vnd.openxmlformats-officedocument.spreadsheetml.worksheet+xml" PartName="/xl/worksheets/sheet1884.xml"/>
  <Override ContentType="application/vnd.openxmlformats-officedocument.spreadsheetml.worksheet+xml" PartName="/xl/worksheets/sheet1885.xml"/>
  <Override ContentType="application/vnd.openxmlformats-officedocument.spreadsheetml.worksheet+xml" PartName="/xl/worksheets/sheet1886.xml"/>
  <Override ContentType="application/vnd.openxmlformats-officedocument.spreadsheetml.worksheet+xml" PartName="/xl/worksheets/sheet1887.xml"/>
  <Override ContentType="application/vnd.openxmlformats-officedocument.spreadsheetml.worksheet+xml" PartName="/xl/worksheets/sheet1888.xml"/>
  <Override ContentType="application/vnd.openxmlformats-officedocument.spreadsheetml.worksheet+xml" PartName="/xl/worksheets/sheet1889.xml"/>
  <Override ContentType="application/vnd.openxmlformats-officedocument.spreadsheetml.worksheet+xml" PartName="/xl/worksheets/sheet1890.xml"/>
  <Override ContentType="application/vnd.openxmlformats-officedocument.spreadsheetml.worksheet+xml" PartName="/xl/worksheets/sheet1891.xml"/>
  <Override ContentType="application/vnd.openxmlformats-officedocument.spreadsheetml.worksheet+xml" PartName="/xl/worksheets/sheet1892.xml"/>
  <Override ContentType="application/vnd.openxmlformats-officedocument.spreadsheetml.worksheet+xml" PartName="/xl/worksheets/sheet1893.xml"/>
  <Override ContentType="application/vnd.openxmlformats-officedocument.spreadsheetml.worksheet+xml" PartName="/xl/worksheets/sheet1894.xml"/>
  <Override ContentType="application/vnd.openxmlformats-officedocument.spreadsheetml.worksheet+xml" PartName="/xl/worksheets/sheet1895.xml"/>
  <Override ContentType="application/vnd.openxmlformats-officedocument.spreadsheetml.worksheet+xml" PartName="/xl/worksheets/sheet1896.xml"/>
  <Override ContentType="application/vnd.openxmlformats-officedocument.spreadsheetml.worksheet+xml" PartName="/xl/worksheets/sheet1897.xml"/>
  <Override ContentType="application/vnd.openxmlformats-officedocument.spreadsheetml.worksheet+xml" PartName="/xl/worksheets/sheet1898.xml"/>
  <Override ContentType="application/vnd.openxmlformats-officedocument.spreadsheetml.worksheet+xml" PartName="/xl/worksheets/sheet1899.xml"/>
  <Override ContentType="application/vnd.openxmlformats-officedocument.spreadsheetml.worksheet+xml" PartName="/xl/worksheets/sheet1900.xml"/>
  <Override ContentType="application/vnd.openxmlformats-officedocument.spreadsheetml.worksheet+xml" PartName="/xl/worksheets/sheet1901.xml"/>
  <Override ContentType="application/vnd.openxmlformats-officedocument.spreadsheetml.worksheet+xml" PartName="/xl/worksheets/sheet1902.xml"/>
  <Override ContentType="application/vnd.openxmlformats-officedocument.spreadsheetml.worksheet+xml" PartName="/xl/worksheets/sheet1903.xml"/>
  <Override ContentType="application/vnd.openxmlformats-officedocument.spreadsheetml.worksheet+xml" PartName="/xl/worksheets/sheet1904.xml"/>
  <Override ContentType="application/vnd.openxmlformats-officedocument.spreadsheetml.worksheet+xml" PartName="/xl/worksheets/sheet1905.xml"/>
  <Override ContentType="application/vnd.openxmlformats-officedocument.spreadsheetml.worksheet+xml" PartName="/xl/worksheets/sheet1906.xml"/>
  <Override ContentType="application/vnd.openxmlformats-officedocument.spreadsheetml.worksheet+xml" PartName="/xl/worksheets/sheet1907.xml"/>
  <Override ContentType="application/vnd.openxmlformats-officedocument.spreadsheetml.worksheet+xml" PartName="/xl/worksheets/sheet1908.xml"/>
  <Override ContentType="application/vnd.openxmlformats-officedocument.spreadsheetml.worksheet+xml" PartName="/xl/worksheets/sheet1909.xml"/>
  <Override ContentType="application/vnd.openxmlformats-officedocument.spreadsheetml.worksheet+xml" PartName="/xl/worksheets/sheet1910.xml"/>
  <Override ContentType="application/vnd.openxmlformats-officedocument.spreadsheetml.worksheet+xml" PartName="/xl/worksheets/sheet1911.xml"/>
  <Override ContentType="application/vnd.openxmlformats-officedocument.spreadsheetml.worksheet+xml" PartName="/xl/worksheets/sheet1912.xml"/>
  <Override ContentType="application/vnd.openxmlformats-officedocument.spreadsheetml.worksheet+xml" PartName="/xl/worksheets/sheet1913.xml"/>
  <Override ContentType="application/vnd.openxmlformats-officedocument.spreadsheetml.worksheet+xml" PartName="/xl/worksheets/sheet1914.xml"/>
  <Override ContentType="application/vnd.openxmlformats-officedocument.spreadsheetml.worksheet+xml" PartName="/xl/worksheets/sheet1915.xml"/>
  <Override ContentType="application/vnd.openxmlformats-officedocument.spreadsheetml.worksheet+xml" PartName="/xl/worksheets/sheet1916.xml"/>
  <Override ContentType="application/vnd.openxmlformats-officedocument.spreadsheetml.worksheet+xml" PartName="/xl/worksheets/sheet1917.xml"/>
  <Override ContentType="application/vnd.openxmlformats-officedocument.spreadsheetml.worksheet+xml" PartName="/xl/worksheets/sheet1918.xml"/>
  <Override ContentType="application/vnd.openxmlformats-officedocument.spreadsheetml.worksheet+xml" PartName="/xl/worksheets/sheet1919.xml"/>
  <Override ContentType="application/vnd.openxmlformats-officedocument.spreadsheetml.worksheet+xml" PartName="/xl/worksheets/sheet1920.xml"/>
  <Override ContentType="application/vnd.openxmlformats-officedocument.spreadsheetml.worksheet+xml" PartName="/xl/worksheets/sheet1921.xml"/>
  <Override ContentType="application/vnd.openxmlformats-officedocument.spreadsheetml.worksheet+xml" PartName="/xl/worksheets/sheet1922.xml"/>
  <Override ContentType="application/vnd.openxmlformats-officedocument.spreadsheetml.worksheet+xml" PartName="/xl/worksheets/sheet1923.xml"/>
  <Override ContentType="application/vnd.openxmlformats-officedocument.spreadsheetml.worksheet+xml" PartName="/xl/worksheets/sheet1924.xml"/>
  <Override ContentType="application/vnd.openxmlformats-officedocument.spreadsheetml.worksheet+xml" PartName="/xl/worksheets/sheet1925.xml"/>
  <Override ContentType="application/vnd.openxmlformats-officedocument.spreadsheetml.worksheet+xml" PartName="/xl/worksheets/sheet1926.xml"/>
  <Override ContentType="application/vnd.openxmlformats-officedocument.spreadsheetml.worksheet+xml" PartName="/xl/worksheets/sheet1927.xml"/>
  <Override ContentType="application/vnd.openxmlformats-officedocument.spreadsheetml.worksheet+xml" PartName="/xl/worksheets/sheet1928.xml"/>
  <Override ContentType="application/vnd.openxmlformats-officedocument.spreadsheetml.worksheet+xml" PartName="/xl/worksheets/sheet1929.xml"/>
  <Override ContentType="application/vnd.openxmlformats-officedocument.spreadsheetml.worksheet+xml" PartName="/xl/worksheets/sheet1930.xml"/>
  <Override ContentType="application/vnd.openxmlformats-officedocument.spreadsheetml.worksheet+xml" PartName="/xl/worksheets/sheet1931.xml"/>
  <Override ContentType="application/vnd.openxmlformats-officedocument.spreadsheetml.worksheet+xml" PartName="/xl/worksheets/sheet1932.xml"/>
  <Override ContentType="application/vnd.openxmlformats-officedocument.spreadsheetml.worksheet+xml" PartName="/xl/worksheets/sheet1933.xml"/>
  <Override ContentType="application/vnd.openxmlformats-officedocument.spreadsheetml.worksheet+xml" PartName="/xl/worksheets/sheet1934.xml"/>
  <Override ContentType="application/vnd.openxmlformats-officedocument.spreadsheetml.worksheet+xml" PartName="/xl/worksheets/sheet1935.xml"/>
  <Override ContentType="application/vnd.openxmlformats-officedocument.spreadsheetml.worksheet+xml" PartName="/xl/worksheets/sheet1936.xml"/>
  <Override ContentType="application/vnd.openxmlformats-officedocument.spreadsheetml.worksheet+xml" PartName="/xl/worksheets/sheet1937.xml"/>
  <Override ContentType="application/vnd.openxmlformats-officedocument.spreadsheetml.worksheet+xml" PartName="/xl/worksheets/sheet1938.xml"/>
  <Override ContentType="application/vnd.openxmlformats-officedocument.spreadsheetml.worksheet+xml" PartName="/xl/worksheets/sheet1939.xml"/>
  <Override ContentType="application/vnd.openxmlformats-officedocument.spreadsheetml.worksheet+xml" PartName="/xl/worksheets/sheet1940.xml"/>
  <Override ContentType="application/vnd.openxmlformats-officedocument.spreadsheetml.worksheet+xml" PartName="/xl/worksheets/sheet1941.xml"/>
  <Override ContentType="application/vnd.openxmlformats-officedocument.spreadsheetml.worksheet+xml" PartName="/xl/worksheets/sheet1942.xml"/>
  <Override ContentType="application/vnd.openxmlformats-officedocument.spreadsheetml.worksheet+xml" PartName="/xl/worksheets/sheet1943.xml"/>
  <Override ContentType="application/vnd.openxmlformats-officedocument.spreadsheetml.worksheet+xml" PartName="/xl/worksheets/sheet1944.xml"/>
  <Override ContentType="application/vnd.openxmlformats-officedocument.spreadsheetml.worksheet+xml" PartName="/xl/worksheets/sheet1945.xml"/>
  <Override ContentType="application/vnd.openxmlformats-officedocument.spreadsheetml.worksheet+xml" PartName="/xl/worksheets/sheet1946.xml"/>
  <Override ContentType="application/vnd.openxmlformats-officedocument.spreadsheetml.worksheet+xml" PartName="/xl/worksheets/sheet1947.xml"/>
  <Override ContentType="application/vnd.openxmlformats-officedocument.spreadsheetml.worksheet+xml" PartName="/xl/worksheets/sheet1948.xml"/>
  <Override ContentType="application/vnd.openxmlformats-officedocument.spreadsheetml.worksheet+xml" PartName="/xl/worksheets/sheet1949.xml"/>
  <Override ContentType="application/vnd.openxmlformats-officedocument.spreadsheetml.worksheet+xml" PartName="/xl/worksheets/sheet1950.xml"/>
  <Override ContentType="application/vnd.openxmlformats-officedocument.spreadsheetml.worksheet+xml" PartName="/xl/worksheets/sheet1951.xml"/>
  <Override ContentType="application/vnd.openxmlformats-officedocument.spreadsheetml.worksheet+xml" PartName="/xl/worksheets/sheet1952.xml"/>
  <Override ContentType="application/vnd.openxmlformats-officedocument.spreadsheetml.worksheet+xml" PartName="/xl/worksheets/sheet1953.xml"/>
  <Override ContentType="application/vnd.openxmlformats-officedocument.spreadsheetml.worksheet+xml" PartName="/xl/worksheets/sheet1954.xml"/>
  <Override ContentType="application/vnd.openxmlformats-officedocument.spreadsheetml.worksheet+xml" PartName="/xl/worksheets/sheet1955.xml"/>
  <Override ContentType="application/vnd.openxmlformats-officedocument.spreadsheetml.worksheet+xml" PartName="/xl/worksheets/sheet1956.xml"/>
  <Override ContentType="application/vnd.openxmlformats-officedocument.spreadsheetml.worksheet+xml" PartName="/xl/worksheets/sheet1957.xml"/>
  <Override ContentType="application/vnd.openxmlformats-officedocument.spreadsheetml.worksheet+xml" PartName="/xl/worksheets/sheet1958.xml"/>
  <Override ContentType="application/vnd.openxmlformats-officedocument.spreadsheetml.worksheet+xml" PartName="/xl/worksheets/sheet1959.xml"/>
  <Override ContentType="application/vnd.openxmlformats-officedocument.spreadsheetml.worksheet+xml" PartName="/xl/worksheets/sheet1960.xml"/>
  <Override ContentType="application/vnd.openxmlformats-officedocument.spreadsheetml.worksheet+xml" PartName="/xl/worksheets/sheet1961.xml"/>
  <Override ContentType="application/vnd.openxmlformats-officedocument.spreadsheetml.worksheet+xml" PartName="/xl/worksheets/sheet1962.xml"/>
  <Override ContentType="application/vnd.openxmlformats-officedocument.spreadsheetml.worksheet+xml" PartName="/xl/worksheets/sheet1963.xml"/>
  <Override ContentType="application/vnd.openxmlformats-officedocument.spreadsheetml.worksheet+xml" PartName="/xl/worksheets/sheet1964.xml"/>
  <Override ContentType="application/vnd.openxmlformats-officedocument.spreadsheetml.worksheet+xml" PartName="/xl/worksheets/sheet1965.xml"/>
  <Override ContentType="application/vnd.openxmlformats-officedocument.spreadsheetml.worksheet+xml" PartName="/xl/worksheets/sheet1966.xml"/>
  <Override ContentType="application/vnd.openxmlformats-officedocument.spreadsheetml.worksheet+xml" PartName="/xl/worksheets/sheet1967.xml"/>
  <Override ContentType="application/vnd.openxmlformats-officedocument.spreadsheetml.worksheet+xml" PartName="/xl/worksheets/sheet1968.xml"/>
  <Override ContentType="application/vnd.openxmlformats-officedocument.spreadsheetml.worksheet+xml" PartName="/xl/worksheets/sheet1969.xml"/>
  <Override ContentType="application/vnd.openxmlformats-officedocument.spreadsheetml.worksheet+xml" PartName="/xl/worksheets/sheet1970.xml"/>
  <Override ContentType="application/vnd.openxmlformats-officedocument.spreadsheetml.worksheet+xml" PartName="/xl/worksheets/sheet1971.xml"/>
  <Override ContentType="application/vnd.openxmlformats-officedocument.spreadsheetml.worksheet+xml" PartName="/xl/worksheets/sheet1972.xml"/>
  <Override ContentType="application/vnd.openxmlformats-officedocument.spreadsheetml.worksheet+xml" PartName="/xl/worksheets/sheet1973.xml"/>
  <Override ContentType="application/vnd.openxmlformats-officedocument.spreadsheetml.worksheet+xml" PartName="/xl/worksheets/sheet1974.xml"/>
  <Override ContentType="application/vnd.openxmlformats-officedocument.spreadsheetml.worksheet+xml" PartName="/xl/worksheets/sheet1975.xml"/>
  <Override ContentType="application/vnd.openxmlformats-officedocument.spreadsheetml.worksheet+xml" PartName="/xl/worksheets/sheet1976.xml"/>
  <Override ContentType="application/vnd.openxmlformats-officedocument.spreadsheetml.worksheet+xml" PartName="/xl/worksheets/sheet1977.xml"/>
  <Override ContentType="application/vnd.openxmlformats-officedocument.spreadsheetml.worksheet+xml" PartName="/xl/worksheets/sheet1978.xml"/>
  <Override ContentType="application/vnd.openxmlformats-officedocument.spreadsheetml.worksheet+xml" PartName="/xl/worksheets/sheet1979.xml"/>
  <Override ContentType="application/vnd.openxmlformats-officedocument.spreadsheetml.worksheet+xml" PartName="/xl/worksheets/sheet1980.xml"/>
  <Override ContentType="application/vnd.openxmlformats-officedocument.spreadsheetml.worksheet+xml" PartName="/xl/worksheets/sheet1981.xml"/>
  <Override ContentType="application/vnd.openxmlformats-officedocument.spreadsheetml.worksheet+xml" PartName="/xl/worksheets/sheet1982.xml"/>
  <Override ContentType="application/vnd.openxmlformats-officedocument.spreadsheetml.worksheet+xml" PartName="/xl/worksheets/sheet1983.xml"/>
  <Override ContentType="application/vnd.openxmlformats-officedocument.spreadsheetml.worksheet+xml" PartName="/xl/worksheets/sheet1984.xml"/>
  <Override ContentType="application/vnd.openxmlformats-officedocument.spreadsheetml.worksheet+xml" PartName="/xl/worksheets/sheet1985.xml"/>
  <Override ContentType="application/vnd.openxmlformats-officedocument.spreadsheetml.worksheet+xml" PartName="/xl/worksheets/sheet1986.xml"/>
  <Override ContentType="application/vnd.openxmlformats-officedocument.spreadsheetml.worksheet+xml" PartName="/xl/worksheets/sheet1987.xml"/>
  <Override ContentType="application/vnd.openxmlformats-officedocument.spreadsheetml.worksheet+xml" PartName="/xl/worksheets/sheet1988.xml"/>
  <Override ContentType="application/vnd.openxmlformats-officedocument.spreadsheetml.worksheet+xml" PartName="/xl/worksheets/sheet1989.xml"/>
  <Override ContentType="application/vnd.openxmlformats-officedocument.spreadsheetml.worksheet+xml" PartName="/xl/worksheets/sheet1990.xml"/>
  <Override ContentType="application/vnd.openxmlformats-officedocument.spreadsheetml.worksheet+xml" PartName="/xl/worksheets/sheet1991.xml"/>
  <Override ContentType="application/vnd.openxmlformats-officedocument.spreadsheetml.worksheet+xml" PartName="/xl/worksheets/sheet1992.xml"/>
  <Override ContentType="application/vnd.openxmlformats-officedocument.spreadsheetml.worksheet+xml" PartName="/xl/worksheets/sheet1993.xml"/>
  <Override ContentType="application/vnd.openxmlformats-officedocument.spreadsheetml.worksheet+xml" PartName="/xl/worksheets/sheet1994.xml"/>
  <Override ContentType="application/vnd.openxmlformats-officedocument.spreadsheetml.worksheet+xml" PartName="/xl/worksheets/sheet1995.xml"/>
  <Override ContentType="application/vnd.openxmlformats-officedocument.spreadsheetml.worksheet+xml" PartName="/xl/worksheets/sheet1996.xml"/>
  <Override ContentType="application/vnd.openxmlformats-officedocument.spreadsheetml.worksheet+xml" PartName="/xl/worksheets/sheet1997.xml"/>
  <Override ContentType="application/vnd.openxmlformats-officedocument.spreadsheetml.worksheet+xml" PartName="/xl/worksheets/sheet1998.xml"/>
  <Override ContentType="application/vnd.openxmlformats-officedocument.spreadsheetml.worksheet+xml" PartName="/xl/worksheets/sheet1999.xml"/>
  <Override ContentType="application/vnd.openxmlformats-officedocument.spreadsheetml.worksheet+xml" PartName="/xl/worksheets/sheet2000.xml"/>
  <Override ContentType="application/vnd.openxmlformats-officedocument.spreadsheetml.worksheet+xml" PartName="/xl/worksheets/sheet2001.xml"/>
  <Override ContentType="application/vnd.openxmlformats-officedocument.spreadsheetml.worksheet+xml" PartName="/xl/worksheets/sheet2002.xml"/>
  <Override ContentType="application/vnd.openxmlformats-officedocument.spreadsheetml.worksheet+xml" PartName="/xl/worksheets/sheet2003.xml"/>
  <Override ContentType="application/vnd.openxmlformats-officedocument.spreadsheetml.worksheet+xml" PartName="/xl/worksheets/sheet2004.xml"/>
  <Override ContentType="application/vnd.openxmlformats-officedocument.spreadsheetml.worksheet+xml" PartName="/xl/worksheets/sheet2005.xml"/>
  <Override ContentType="application/vnd.openxmlformats-officedocument.spreadsheetml.worksheet+xml" PartName="/xl/worksheets/sheet2006.xml"/>
  <Override ContentType="application/vnd.openxmlformats-officedocument.spreadsheetml.worksheet+xml" PartName="/xl/worksheets/sheet2007.xml"/>
  <Override ContentType="application/vnd.openxmlformats-officedocument.spreadsheetml.worksheet+xml" PartName="/xl/worksheets/sheet2008.xml"/>
  <Override ContentType="application/vnd.openxmlformats-officedocument.spreadsheetml.worksheet+xml" PartName="/xl/worksheets/sheet2009.xml"/>
  <Override ContentType="application/vnd.openxmlformats-officedocument.spreadsheetml.worksheet+xml" PartName="/xl/worksheets/sheet2010.xml"/>
  <Override ContentType="application/vnd.openxmlformats-officedocument.spreadsheetml.worksheet+xml" PartName="/xl/worksheets/sheet2011.xml"/>
  <Override ContentType="application/vnd.openxmlformats-officedocument.spreadsheetml.worksheet+xml" PartName="/xl/worksheets/sheet2012.xml"/>
  <Override ContentType="application/vnd.openxmlformats-officedocument.spreadsheetml.worksheet+xml" PartName="/xl/worksheets/sheet2013.xml"/>
  <Override ContentType="application/vnd.openxmlformats-officedocument.spreadsheetml.worksheet+xml" PartName="/xl/worksheets/sheet2014.xml"/>
  <Override ContentType="application/vnd.openxmlformats-officedocument.spreadsheetml.worksheet+xml" PartName="/xl/worksheets/sheet2015.xml"/>
  <Override ContentType="application/vnd.openxmlformats-officedocument.spreadsheetml.worksheet+xml" PartName="/xl/worksheets/sheet2016.xml"/>
  <Override ContentType="application/vnd.openxmlformats-officedocument.spreadsheetml.worksheet+xml" PartName="/xl/worksheets/sheet2017.xml"/>
  <Override ContentType="application/vnd.openxmlformats-officedocument.spreadsheetml.worksheet+xml" PartName="/xl/worksheets/sheet2018.xml"/>
  <Override ContentType="application/vnd.openxmlformats-officedocument.spreadsheetml.worksheet+xml" PartName="/xl/worksheets/sheet2019.xml"/>
  <Override ContentType="application/vnd.openxmlformats-officedocument.spreadsheetml.worksheet+xml" PartName="/xl/worksheets/sheet2020.xml"/>
  <Override ContentType="application/vnd.openxmlformats-officedocument.spreadsheetml.worksheet+xml" PartName="/xl/worksheets/sheet2021.xml"/>
  <Override ContentType="application/vnd.openxmlformats-officedocument.spreadsheetml.worksheet+xml" PartName="/xl/worksheets/sheet2022.xml"/>
  <Override ContentType="application/vnd.openxmlformats-officedocument.spreadsheetml.worksheet+xml" PartName="/xl/worksheets/sheet2023.xml"/>
  <Override ContentType="application/vnd.openxmlformats-officedocument.spreadsheetml.worksheet+xml" PartName="/xl/worksheets/sheet2024.xml"/>
  <Override ContentType="application/vnd.openxmlformats-officedocument.spreadsheetml.worksheet+xml" PartName="/xl/worksheets/sheet2025.xml"/>
  <Override ContentType="application/vnd.openxmlformats-officedocument.spreadsheetml.worksheet+xml" PartName="/xl/worksheets/sheet2026.xml"/>
  <Override ContentType="application/vnd.openxmlformats-officedocument.spreadsheetml.worksheet+xml" PartName="/xl/worksheets/sheet2027.xml"/>
  <Override ContentType="application/vnd.openxmlformats-officedocument.spreadsheetml.worksheet+xml" PartName="/xl/worksheets/sheet2028.xml"/>
  <Override ContentType="application/vnd.openxmlformats-officedocument.spreadsheetml.worksheet+xml" PartName="/xl/worksheets/sheet2029.xml"/>
  <Override ContentType="application/vnd.openxmlformats-officedocument.spreadsheetml.worksheet+xml" PartName="/xl/worksheets/sheet2030.xml"/>
  <Override ContentType="application/vnd.openxmlformats-officedocument.spreadsheetml.worksheet+xml" PartName="/xl/worksheets/sheet2031.xml"/>
  <Override ContentType="application/vnd.openxmlformats-officedocument.spreadsheetml.worksheet+xml" PartName="/xl/worksheets/sheet2032.xml"/>
  <Override ContentType="application/vnd.openxmlformats-officedocument.spreadsheetml.worksheet+xml" PartName="/xl/worksheets/sheet2033.xml"/>
  <Override ContentType="application/vnd.openxmlformats-officedocument.spreadsheetml.worksheet+xml" PartName="/xl/worksheets/sheet2034.xml"/>
  <Override ContentType="application/vnd.openxmlformats-officedocument.spreadsheetml.worksheet+xml" PartName="/xl/worksheets/sheet2035.xml"/>
  <Override ContentType="application/vnd.openxmlformats-officedocument.spreadsheetml.worksheet+xml" PartName="/xl/worksheets/sheet2036.xml"/>
  <Override ContentType="application/vnd.openxmlformats-officedocument.spreadsheetml.worksheet+xml" PartName="/xl/worksheets/sheet2037.xml"/>
  <Override ContentType="application/vnd.openxmlformats-officedocument.spreadsheetml.worksheet+xml" PartName="/xl/worksheets/sheet2038.xml"/>
  <Override ContentType="application/vnd.openxmlformats-officedocument.spreadsheetml.worksheet+xml" PartName="/xl/worksheets/sheet2039.xml"/>
  <Override ContentType="application/vnd.openxmlformats-officedocument.spreadsheetml.worksheet+xml" PartName="/xl/worksheets/sheet2040.xml"/>
  <Override ContentType="application/vnd.openxmlformats-officedocument.spreadsheetml.worksheet+xml" PartName="/xl/worksheets/sheet2041.xml"/>
  <Override ContentType="application/vnd.openxmlformats-officedocument.spreadsheetml.worksheet+xml" PartName="/xl/worksheets/sheet2042.xml"/>
  <Override ContentType="application/vnd.openxmlformats-officedocument.spreadsheetml.worksheet+xml" PartName="/xl/worksheets/sheet2043.xml"/>
  <Override ContentType="application/vnd.openxmlformats-officedocument.spreadsheetml.worksheet+xml" PartName="/xl/worksheets/sheet2044.xml"/>
  <Override ContentType="application/vnd.openxmlformats-officedocument.spreadsheetml.worksheet+xml" PartName="/xl/worksheets/sheet2045.xml"/>
  <Override ContentType="application/vnd.openxmlformats-officedocument.spreadsheetml.worksheet+xml" PartName="/xl/worksheets/sheet2046.xml"/>
  <Override ContentType="application/vnd.openxmlformats-officedocument.spreadsheetml.worksheet+xml" PartName="/xl/worksheets/sheet2047.xml"/>
  <Override ContentType="application/vnd.openxmlformats-officedocument.spreadsheetml.worksheet+xml" PartName="/xl/worksheets/sheet2048.xml"/>
  <Override ContentType="application/vnd.openxmlformats-officedocument.spreadsheetml.worksheet+xml" PartName="/xl/worksheets/sheet2049.xml"/>
  <Override ContentType="application/vnd.openxmlformats-officedocument.spreadsheetml.worksheet+xml" PartName="/xl/worksheets/sheet2050.xml"/>
  <Override ContentType="application/vnd.openxmlformats-officedocument.spreadsheetml.worksheet+xml" PartName="/xl/worksheets/sheet2051.xml"/>
  <Override ContentType="application/vnd.openxmlformats-officedocument.spreadsheetml.worksheet+xml" PartName="/xl/worksheets/sheet2052.xml"/>
  <Override ContentType="application/vnd.openxmlformats-officedocument.spreadsheetml.worksheet+xml" PartName="/xl/worksheets/sheet2053.xml"/>
  <Override ContentType="application/vnd.openxmlformats-officedocument.spreadsheetml.worksheet+xml" PartName="/xl/worksheets/sheet2054.xml"/>
  <Override ContentType="application/vnd.openxmlformats-officedocument.spreadsheetml.worksheet+xml" PartName="/xl/worksheets/sheet2055.xml"/>
  <Override ContentType="application/vnd.openxmlformats-officedocument.spreadsheetml.worksheet+xml" PartName="/xl/worksheets/sheet2056.xml"/>
  <Override ContentType="application/vnd.openxmlformats-officedocument.spreadsheetml.worksheet+xml" PartName="/xl/worksheets/sheet2057.xml"/>
  <Override ContentType="application/vnd.openxmlformats-officedocument.spreadsheetml.worksheet+xml" PartName="/xl/worksheets/sheet2058.xml"/>
  <Override ContentType="application/vnd.openxmlformats-officedocument.spreadsheetml.worksheet+xml" PartName="/xl/worksheets/sheet2059.xml"/>
  <Override ContentType="application/vnd.openxmlformats-officedocument.spreadsheetml.worksheet+xml" PartName="/xl/worksheets/sheet2060.xml"/>
  <Override ContentType="application/vnd.openxmlformats-officedocument.spreadsheetml.worksheet+xml" PartName="/xl/worksheets/sheet2061.xml"/>
  <Override ContentType="application/vnd.openxmlformats-officedocument.spreadsheetml.worksheet+xml" PartName="/xl/worksheets/sheet2062.xml"/>
  <Override ContentType="application/vnd.openxmlformats-officedocument.spreadsheetml.worksheet+xml" PartName="/xl/worksheets/sheet2063.xml"/>
  <Override ContentType="application/vnd.openxmlformats-officedocument.spreadsheetml.worksheet+xml" PartName="/xl/worksheets/sheet2064.xml"/>
  <Override ContentType="application/vnd.openxmlformats-officedocument.spreadsheetml.worksheet+xml" PartName="/xl/worksheets/sheet2065.xml"/>
  <Override ContentType="application/vnd.openxmlformats-officedocument.spreadsheetml.worksheet+xml" PartName="/xl/worksheets/sheet2066.xml"/>
  <Override ContentType="application/vnd.openxmlformats-officedocument.spreadsheetml.worksheet+xml" PartName="/xl/worksheets/sheet2067.xml"/>
  <Override ContentType="application/vnd.openxmlformats-officedocument.spreadsheetml.worksheet+xml" PartName="/xl/worksheets/sheet2068.xml"/>
  <Override ContentType="application/vnd.openxmlformats-officedocument.spreadsheetml.worksheet+xml" PartName="/xl/worksheets/sheet2069.xml"/>
  <Override ContentType="application/vnd.openxmlformats-officedocument.spreadsheetml.worksheet+xml" PartName="/xl/worksheets/sheet2070.xml"/>
  <Override ContentType="application/vnd.openxmlformats-officedocument.spreadsheetml.worksheet+xml" PartName="/xl/worksheets/sheet2071.xml"/>
  <Override ContentType="application/vnd.openxmlformats-officedocument.spreadsheetml.worksheet+xml" PartName="/xl/worksheets/sheet2072.xml"/>
  <Override ContentType="application/vnd.openxmlformats-officedocument.spreadsheetml.worksheet+xml" PartName="/xl/worksheets/sheet2073.xml"/>
  <Override ContentType="application/vnd.openxmlformats-officedocument.spreadsheetml.worksheet+xml" PartName="/xl/worksheets/sheet2074.xml"/>
  <Override ContentType="application/vnd.openxmlformats-officedocument.spreadsheetml.worksheet+xml" PartName="/xl/worksheets/sheet2075.xml"/>
  <Override ContentType="application/vnd.openxmlformats-officedocument.spreadsheetml.worksheet+xml" PartName="/xl/worksheets/sheet2076.xml"/>
  <Override ContentType="application/vnd.openxmlformats-officedocument.spreadsheetml.worksheet+xml" PartName="/xl/worksheets/sheet2077.xml"/>
  <Override ContentType="application/vnd.openxmlformats-officedocument.spreadsheetml.worksheet+xml" PartName="/xl/worksheets/sheet2078.xml"/>
  <Override ContentType="application/vnd.openxmlformats-officedocument.spreadsheetml.worksheet+xml" PartName="/xl/worksheets/sheet2079.xml"/>
  <Override ContentType="application/vnd.openxmlformats-officedocument.spreadsheetml.worksheet+xml" PartName="/xl/worksheets/sheet2080.xml"/>
  <Override ContentType="application/vnd.openxmlformats-officedocument.spreadsheetml.worksheet+xml" PartName="/xl/worksheets/sheet2081.xml"/>
  <Override ContentType="application/vnd.openxmlformats-officedocument.spreadsheetml.worksheet+xml" PartName="/xl/worksheets/sheet2082.xml"/>
  <Override ContentType="application/vnd.openxmlformats-officedocument.spreadsheetml.worksheet+xml" PartName="/xl/worksheets/sheet2083.xml"/>
  <Override ContentType="application/vnd.openxmlformats-officedocument.spreadsheetml.worksheet+xml" PartName="/xl/worksheets/sheet2084.xml"/>
  <Override ContentType="application/vnd.openxmlformats-officedocument.spreadsheetml.worksheet+xml" PartName="/xl/worksheets/sheet2085.xml"/>
  <Override ContentType="application/vnd.openxmlformats-officedocument.spreadsheetml.worksheet+xml" PartName="/xl/worksheets/sheet2086.xml"/>
  <Override ContentType="application/vnd.openxmlformats-officedocument.spreadsheetml.worksheet+xml" PartName="/xl/worksheets/sheet2087.xml"/>
  <Override ContentType="application/vnd.openxmlformats-officedocument.spreadsheetml.worksheet+xml" PartName="/xl/worksheets/sheet2088.xml"/>
  <Override ContentType="application/vnd.openxmlformats-officedocument.spreadsheetml.worksheet+xml" PartName="/xl/worksheets/sheet2089.xml"/>
  <Override ContentType="application/vnd.openxmlformats-officedocument.spreadsheetml.worksheet+xml" PartName="/xl/worksheets/sheet2090.xml"/>
  <Override ContentType="application/vnd.openxmlformats-officedocument.spreadsheetml.worksheet+xml" PartName="/xl/worksheets/sheet2091.xml"/>
  <Override ContentType="application/vnd.openxmlformats-officedocument.spreadsheetml.worksheet+xml" PartName="/xl/worksheets/sheet2092.xml"/>
  <Override ContentType="application/vnd.openxmlformats-officedocument.spreadsheetml.worksheet+xml" PartName="/xl/worksheets/sheet2093.xml"/>
  <Override ContentType="application/vnd.openxmlformats-officedocument.spreadsheetml.worksheet+xml" PartName="/xl/worksheets/sheet2094.xml"/>
  <Override ContentType="application/vnd.openxmlformats-officedocument.spreadsheetml.worksheet+xml" PartName="/xl/worksheets/sheet2095.xml"/>
  <Override ContentType="application/vnd.openxmlformats-officedocument.spreadsheetml.worksheet+xml" PartName="/xl/worksheets/sheet2096.xml"/>
  <Override ContentType="application/vnd.openxmlformats-officedocument.spreadsheetml.worksheet+xml" PartName="/xl/worksheets/sheet2097.xml"/>
  <Override ContentType="application/vnd.openxmlformats-officedocument.spreadsheetml.worksheet+xml" PartName="/xl/worksheets/sheet2098.xml"/>
  <Override ContentType="application/vnd.openxmlformats-officedocument.spreadsheetml.worksheet+xml" PartName="/xl/worksheets/sheet2099.xml"/>
  <Override ContentType="application/vnd.openxmlformats-officedocument.spreadsheetml.worksheet+xml" PartName="/xl/worksheets/sheet2100.xml"/>
  <Override ContentType="application/vnd.openxmlformats-officedocument.spreadsheetml.worksheet+xml" PartName="/xl/worksheets/sheet2101.xml"/>
  <Override ContentType="application/vnd.openxmlformats-officedocument.spreadsheetml.worksheet+xml" PartName="/xl/worksheets/sheet2102.xml"/>
  <Override ContentType="application/vnd.openxmlformats-officedocument.spreadsheetml.worksheet+xml" PartName="/xl/worksheets/sheet2103.xml"/>
  <Override ContentType="application/vnd.openxmlformats-officedocument.spreadsheetml.worksheet+xml" PartName="/xl/worksheets/sheet2104.xml"/>
  <Override ContentType="application/vnd.openxmlformats-officedocument.spreadsheetml.worksheet+xml" PartName="/xl/worksheets/sheet2105.xml"/>
  <Override ContentType="application/vnd.openxmlformats-officedocument.spreadsheetml.worksheet+xml" PartName="/xl/worksheets/sheet2106.xml"/>
  <Override ContentType="application/vnd.openxmlformats-officedocument.spreadsheetml.worksheet+xml" PartName="/xl/worksheets/sheet2107.xml"/>
  <Override ContentType="application/vnd.openxmlformats-officedocument.spreadsheetml.worksheet+xml" PartName="/xl/worksheets/sheet2108.xml"/>
  <Override ContentType="application/vnd.openxmlformats-officedocument.spreadsheetml.worksheet+xml" PartName="/xl/worksheets/sheet2109.xml"/>
  <Override ContentType="application/vnd.openxmlformats-officedocument.spreadsheetml.worksheet+xml" PartName="/xl/worksheets/sheet2110.xml"/>
  <Override ContentType="application/vnd.openxmlformats-officedocument.spreadsheetml.worksheet+xml" PartName="/xl/worksheets/sheet2111.xml"/>
  <Override ContentType="application/vnd.openxmlformats-officedocument.spreadsheetml.worksheet+xml" PartName="/xl/worksheets/sheet2112.xml"/>
  <Override ContentType="application/vnd.openxmlformats-officedocument.spreadsheetml.worksheet+xml" PartName="/xl/worksheets/sheet2113.xml"/>
  <Override ContentType="application/vnd.openxmlformats-officedocument.spreadsheetml.worksheet+xml" PartName="/xl/worksheets/sheet2114.xml"/>
  <Override ContentType="application/vnd.openxmlformats-officedocument.spreadsheetml.worksheet+xml" PartName="/xl/worksheets/sheet2115.xml"/>
  <Override ContentType="application/vnd.openxmlformats-officedocument.spreadsheetml.worksheet+xml" PartName="/xl/worksheets/sheet2116.xml"/>
  <Override ContentType="application/vnd.openxmlformats-officedocument.spreadsheetml.worksheet+xml" PartName="/xl/worksheets/sheet2117.xml"/>
  <Override ContentType="application/vnd.openxmlformats-officedocument.spreadsheetml.worksheet+xml" PartName="/xl/worksheets/sheet2118.xml"/>
  <Override ContentType="application/vnd.openxmlformats-officedocument.spreadsheetml.worksheet+xml" PartName="/xl/worksheets/sheet2119.xml"/>
  <Override ContentType="application/vnd.openxmlformats-officedocument.spreadsheetml.worksheet+xml" PartName="/xl/worksheets/sheet2120.xml"/>
  <Override ContentType="application/vnd.openxmlformats-officedocument.spreadsheetml.worksheet+xml" PartName="/xl/worksheets/sheet2121.xml"/>
  <Override ContentType="application/vnd.openxmlformats-officedocument.spreadsheetml.worksheet+xml" PartName="/xl/worksheets/sheet2122.xml"/>
  <Override ContentType="application/vnd.openxmlformats-officedocument.spreadsheetml.worksheet+xml" PartName="/xl/worksheets/sheet2123.xml"/>
  <Override ContentType="application/vnd.openxmlformats-officedocument.spreadsheetml.worksheet+xml" PartName="/xl/worksheets/sheet2124.xml"/>
  <Override ContentType="application/vnd.openxmlformats-officedocument.spreadsheetml.worksheet+xml" PartName="/xl/worksheets/sheet2125.xml"/>
  <Override ContentType="application/vnd.openxmlformats-officedocument.spreadsheetml.worksheet+xml" PartName="/xl/worksheets/sheet2126.xml"/>
  <Override ContentType="application/vnd.openxmlformats-officedocument.spreadsheetml.worksheet+xml" PartName="/xl/worksheets/sheet2127.xml"/>
  <Override ContentType="application/vnd.openxmlformats-officedocument.spreadsheetml.worksheet+xml" PartName="/xl/worksheets/sheet2128.xml"/>
  <Override ContentType="application/vnd.openxmlformats-officedocument.spreadsheetml.worksheet+xml" PartName="/xl/worksheets/sheet2129.xml"/>
  <Override ContentType="application/vnd.openxmlformats-officedocument.spreadsheetml.worksheet+xml" PartName="/xl/worksheets/sheet2130.xml"/>
  <Override ContentType="application/vnd.openxmlformats-officedocument.spreadsheetml.worksheet+xml" PartName="/xl/worksheets/sheet2131.xml"/>
  <Override ContentType="application/vnd.openxmlformats-officedocument.spreadsheetml.worksheet+xml" PartName="/xl/worksheets/sheet2132.xml"/>
  <Override ContentType="application/vnd.openxmlformats-officedocument.spreadsheetml.worksheet+xml" PartName="/xl/worksheets/sheet2133.xml"/>
  <Override ContentType="application/vnd.openxmlformats-officedocument.spreadsheetml.worksheet+xml" PartName="/xl/worksheets/sheet2134.xml"/>
  <Override ContentType="application/vnd.openxmlformats-officedocument.spreadsheetml.worksheet+xml" PartName="/xl/worksheets/sheet2135.xml"/>
  <Override ContentType="application/vnd.openxmlformats-officedocument.spreadsheetml.worksheet+xml" PartName="/xl/worksheets/sheet2136.xml"/>
  <Override ContentType="application/vnd.openxmlformats-officedocument.spreadsheetml.worksheet+xml" PartName="/xl/worksheets/sheet2137.xml"/>
  <Override ContentType="application/vnd.openxmlformats-officedocument.spreadsheetml.worksheet+xml" PartName="/xl/worksheets/sheet2138.xml"/>
  <Override ContentType="application/vnd.openxmlformats-officedocument.spreadsheetml.worksheet+xml" PartName="/xl/worksheets/sheet2139.xml"/>
  <Override ContentType="application/vnd.openxmlformats-officedocument.spreadsheetml.worksheet+xml" PartName="/xl/worksheets/sheet2140.xml"/>
  <Override ContentType="application/vnd.openxmlformats-officedocument.spreadsheetml.worksheet+xml" PartName="/xl/worksheets/sheet2141.xml"/>
  <Override ContentType="application/vnd.openxmlformats-officedocument.spreadsheetml.worksheet+xml" PartName="/xl/worksheets/sheet2142.xml"/>
  <Override ContentType="application/vnd.openxmlformats-officedocument.spreadsheetml.worksheet+xml" PartName="/xl/worksheets/sheet2143.xml"/>
  <Override ContentType="application/vnd.openxmlformats-officedocument.spreadsheetml.worksheet+xml" PartName="/xl/worksheets/sheet2144.xml"/>
  <Override ContentType="application/vnd.openxmlformats-officedocument.spreadsheetml.worksheet+xml" PartName="/xl/worksheets/sheet2145.xml"/>
  <Override ContentType="application/vnd.openxmlformats-officedocument.spreadsheetml.worksheet+xml" PartName="/xl/worksheets/sheet2146.xml"/>
  <Override ContentType="application/vnd.openxmlformats-officedocument.spreadsheetml.worksheet+xml" PartName="/xl/worksheets/sheet2147.xml"/>
  <Override ContentType="application/vnd.openxmlformats-officedocument.spreadsheetml.worksheet+xml" PartName="/xl/worksheets/sheet2148.xml"/>
  <Override ContentType="application/vnd.openxmlformats-officedocument.spreadsheetml.worksheet+xml" PartName="/xl/worksheets/sheet2149.xml"/>
  <Override ContentType="application/vnd.openxmlformats-officedocument.spreadsheetml.worksheet+xml" PartName="/xl/worksheets/sheet2150.xml"/>
  <Override ContentType="application/vnd.openxmlformats-officedocument.spreadsheetml.worksheet+xml" PartName="/xl/worksheets/sheet2151.xml"/>
  <Override ContentType="application/vnd.openxmlformats-officedocument.spreadsheetml.worksheet+xml" PartName="/xl/worksheets/sheet2152.xml"/>
  <Override ContentType="application/vnd.openxmlformats-officedocument.spreadsheetml.worksheet+xml" PartName="/xl/worksheets/sheet2153.xml"/>
  <Override ContentType="application/vnd.openxmlformats-officedocument.spreadsheetml.worksheet+xml" PartName="/xl/worksheets/sheet2154.xml"/>
  <Override ContentType="application/vnd.openxmlformats-officedocument.spreadsheetml.worksheet+xml" PartName="/xl/worksheets/sheet2155.xml"/>
  <Override ContentType="application/vnd.openxmlformats-officedocument.spreadsheetml.worksheet+xml" PartName="/xl/worksheets/sheet2156.xml"/>
  <Override ContentType="application/vnd.openxmlformats-officedocument.spreadsheetml.worksheet+xml" PartName="/xl/worksheets/sheet2157.xml"/>
  <Override ContentType="application/vnd.openxmlformats-officedocument.spreadsheetml.worksheet+xml" PartName="/xl/worksheets/sheet2158.xml"/>
  <Override ContentType="application/vnd.openxmlformats-officedocument.spreadsheetml.worksheet+xml" PartName="/xl/worksheets/sheet2159.xml"/>
  <Override ContentType="application/vnd.openxmlformats-officedocument.spreadsheetml.worksheet+xml" PartName="/xl/worksheets/sheet2160.xml"/>
  <Override ContentType="application/vnd.openxmlformats-officedocument.spreadsheetml.worksheet+xml" PartName="/xl/worksheets/sheet2161.xml"/>
  <Override ContentType="application/vnd.openxmlformats-officedocument.spreadsheetml.worksheet+xml" PartName="/xl/worksheets/sheet2162.xml"/>
  <Override ContentType="application/vnd.openxmlformats-officedocument.spreadsheetml.worksheet+xml" PartName="/xl/worksheets/sheet2163.xml"/>
  <Override ContentType="application/vnd.openxmlformats-officedocument.spreadsheetml.worksheet+xml" PartName="/xl/worksheets/sheet2164.xml"/>
  <Override ContentType="application/vnd.openxmlformats-officedocument.spreadsheetml.worksheet+xml" PartName="/xl/worksheets/sheet2165.xml"/>
  <Override ContentType="application/vnd.openxmlformats-officedocument.spreadsheetml.worksheet+xml" PartName="/xl/worksheets/sheet2166.xml"/>
  <Override ContentType="application/vnd.openxmlformats-officedocument.spreadsheetml.worksheet+xml" PartName="/xl/worksheets/sheet2167.xml"/>
  <Override ContentType="application/vnd.openxmlformats-officedocument.spreadsheetml.worksheet+xml" PartName="/xl/worksheets/sheet2168.xml"/>
  <Override ContentType="application/vnd.openxmlformats-officedocument.spreadsheetml.worksheet+xml" PartName="/xl/worksheets/sheet2169.xml"/>
  <Override ContentType="application/vnd.openxmlformats-officedocument.spreadsheetml.worksheet+xml" PartName="/xl/worksheets/sheet2170.xml"/>
  <Override ContentType="application/vnd.openxmlformats-officedocument.spreadsheetml.worksheet+xml" PartName="/xl/worksheets/sheet2171.xml"/>
  <Override ContentType="application/vnd.openxmlformats-officedocument.spreadsheetml.worksheet+xml" PartName="/xl/worksheets/sheet2172.xml"/>
  <Override ContentType="application/vnd.openxmlformats-officedocument.spreadsheetml.worksheet+xml" PartName="/xl/worksheets/sheet2173.xml"/>
  <Override ContentType="application/vnd.openxmlformats-officedocument.spreadsheetml.worksheet+xml" PartName="/xl/worksheets/sheet2174.xml"/>
  <Override ContentType="application/vnd.openxmlformats-officedocument.spreadsheetml.worksheet+xml" PartName="/xl/worksheets/sheet2175.xml"/>
  <Override ContentType="application/vnd.openxmlformats-officedocument.spreadsheetml.worksheet+xml" PartName="/xl/worksheets/sheet2176.xml"/>
  <Override ContentType="application/vnd.openxmlformats-officedocument.spreadsheetml.worksheet+xml" PartName="/xl/worksheets/sheet2177.xml"/>
  <Override ContentType="application/vnd.openxmlformats-officedocument.spreadsheetml.worksheet+xml" PartName="/xl/worksheets/sheet2178.xml"/>
  <Override ContentType="application/vnd.openxmlformats-officedocument.spreadsheetml.worksheet+xml" PartName="/xl/worksheets/sheet2179.xml"/>
  <Override ContentType="application/vnd.openxmlformats-officedocument.spreadsheetml.worksheet+xml" PartName="/xl/worksheets/sheet2180.xml"/>
  <Override ContentType="application/vnd.openxmlformats-officedocument.spreadsheetml.worksheet+xml" PartName="/xl/worksheets/sheet2181.xml"/>
  <Override ContentType="application/vnd.openxmlformats-officedocument.spreadsheetml.worksheet+xml" PartName="/xl/worksheets/sheet2182.xml"/>
  <Override ContentType="application/vnd.openxmlformats-officedocument.spreadsheetml.worksheet+xml" PartName="/xl/worksheets/sheet2183.xml"/>
  <Override ContentType="application/vnd.openxmlformats-officedocument.spreadsheetml.worksheet+xml" PartName="/xl/worksheets/sheet2184.xml"/>
  <Override ContentType="application/vnd.openxmlformats-officedocument.spreadsheetml.worksheet+xml" PartName="/xl/worksheets/sheet2185.xml"/>
  <Override ContentType="application/vnd.openxmlformats-officedocument.spreadsheetml.worksheet+xml" PartName="/xl/worksheets/sheet2186.xml"/>
  <Override ContentType="application/vnd.openxmlformats-officedocument.spreadsheetml.worksheet+xml" PartName="/xl/worksheets/sheet2187.xml"/>
  <Override ContentType="application/vnd.openxmlformats-officedocument.spreadsheetml.worksheet+xml" PartName="/xl/worksheets/sheet2188.xml"/>
  <Override ContentType="application/vnd.openxmlformats-officedocument.spreadsheetml.worksheet+xml" PartName="/xl/worksheets/sheet2189.xml"/>
  <Override ContentType="application/vnd.openxmlformats-officedocument.spreadsheetml.worksheet+xml" PartName="/xl/worksheets/sheet2190.xml"/>
  <Override ContentType="application/vnd.openxmlformats-officedocument.spreadsheetml.worksheet+xml" PartName="/xl/worksheets/sheet2191.xml"/>
  <Override ContentType="application/vnd.openxmlformats-officedocument.spreadsheetml.worksheet+xml" PartName="/xl/worksheets/sheet2192.xml"/>
  <Override ContentType="application/vnd.openxmlformats-officedocument.spreadsheetml.worksheet+xml" PartName="/xl/worksheets/sheet2193.xml"/>
  <Override ContentType="application/vnd.openxmlformats-officedocument.spreadsheetml.worksheet+xml" PartName="/xl/worksheets/sheet2194.xml"/>
  <Override ContentType="application/vnd.openxmlformats-officedocument.spreadsheetml.worksheet+xml" PartName="/xl/worksheets/sheet2195.xml"/>
  <Override ContentType="application/vnd.openxmlformats-officedocument.spreadsheetml.worksheet+xml" PartName="/xl/worksheets/sheet2196.xml"/>
  <Override ContentType="application/vnd.openxmlformats-officedocument.spreadsheetml.worksheet+xml" PartName="/xl/worksheets/sheet2197.xml"/>
  <Override ContentType="application/vnd.openxmlformats-officedocument.spreadsheetml.worksheet+xml" PartName="/xl/worksheets/sheet2198.xml"/>
  <Override ContentType="application/vnd.openxmlformats-officedocument.spreadsheetml.worksheet+xml" PartName="/xl/worksheets/sheet2199.xml"/>
  <Override ContentType="application/vnd.openxmlformats-officedocument.spreadsheetml.worksheet+xml" PartName="/xl/worksheets/sheet2200.xml"/>
  <Override ContentType="application/vnd.openxmlformats-officedocument.spreadsheetml.worksheet+xml" PartName="/xl/worksheets/sheet2201.xml"/>
  <Override ContentType="application/vnd.openxmlformats-officedocument.spreadsheetml.worksheet+xml" PartName="/xl/worksheets/sheet2202.xml"/>
  <Override ContentType="application/vnd.openxmlformats-officedocument.spreadsheetml.worksheet+xml" PartName="/xl/worksheets/sheet2203.xml"/>
  <Override ContentType="application/vnd.openxmlformats-officedocument.spreadsheetml.worksheet+xml" PartName="/xl/worksheets/sheet2204.xml"/>
  <Override ContentType="application/vnd.openxmlformats-officedocument.spreadsheetml.worksheet+xml" PartName="/xl/worksheets/sheet2205.xml"/>
  <Override ContentType="application/vnd.openxmlformats-officedocument.spreadsheetml.worksheet+xml" PartName="/xl/worksheets/sheet2206.xml"/>
  <Override ContentType="application/vnd.openxmlformats-officedocument.spreadsheetml.worksheet+xml" PartName="/xl/worksheets/sheet2207.xml"/>
  <Override ContentType="application/vnd.openxmlformats-officedocument.spreadsheetml.worksheet+xml" PartName="/xl/worksheets/sheet2208.xml"/>
  <Override ContentType="application/vnd.openxmlformats-officedocument.spreadsheetml.worksheet+xml" PartName="/xl/worksheets/sheet2209.xml"/>
  <Override ContentType="application/vnd.openxmlformats-officedocument.spreadsheetml.worksheet+xml" PartName="/xl/worksheets/sheet2210.xml"/>
  <Override ContentType="application/vnd.openxmlformats-officedocument.spreadsheetml.worksheet+xml" PartName="/xl/worksheets/sheet2211.xml"/>
  <Override ContentType="application/vnd.openxmlformats-officedocument.spreadsheetml.worksheet+xml" PartName="/xl/worksheets/sheet2212.xml"/>
  <Override ContentType="application/vnd.openxmlformats-officedocument.spreadsheetml.worksheet+xml" PartName="/xl/worksheets/sheet2213.xml"/>
  <Override ContentType="application/vnd.openxmlformats-officedocument.spreadsheetml.worksheet+xml" PartName="/xl/worksheets/sheet2214.xml"/>
  <Override ContentType="application/vnd.openxmlformats-officedocument.spreadsheetml.worksheet+xml" PartName="/xl/worksheets/sheet2215.xml"/>
  <Override ContentType="application/vnd.openxmlformats-officedocument.spreadsheetml.worksheet+xml" PartName="/xl/worksheets/sheet2216.xml"/>
  <Override ContentType="application/vnd.openxmlformats-officedocument.spreadsheetml.worksheet+xml" PartName="/xl/worksheets/sheet2217.xml"/>
  <Override ContentType="application/vnd.openxmlformats-officedocument.spreadsheetml.worksheet+xml" PartName="/xl/worksheets/sheet2218.xml"/>
  <Override ContentType="application/vnd.openxmlformats-officedocument.spreadsheetml.worksheet+xml" PartName="/xl/worksheets/sheet2219.xml"/>
  <Override ContentType="application/vnd.openxmlformats-officedocument.spreadsheetml.worksheet+xml" PartName="/xl/worksheets/sheet2220.xml"/>
  <Override ContentType="application/vnd.openxmlformats-officedocument.spreadsheetml.worksheet+xml" PartName="/xl/worksheets/sheet2221.xml"/>
  <Override ContentType="application/vnd.openxmlformats-officedocument.spreadsheetml.worksheet+xml" PartName="/xl/worksheets/sheet2222.xml"/>
  <Override ContentType="application/vnd.openxmlformats-officedocument.spreadsheetml.worksheet+xml" PartName="/xl/worksheets/sheet2223.xml"/>
  <Override ContentType="application/vnd.openxmlformats-officedocument.spreadsheetml.worksheet+xml" PartName="/xl/worksheets/sheet2224.xml"/>
  <Override ContentType="application/vnd.openxmlformats-officedocument.spreadsheetml.worksheet+xml" PartName="/xl/worksheets/sheet2225.xml"/>
  <Override ContentType="application/vnd.openxmlformats-officedocument.spreadsheetml.worksheet+xml" PartName="/xl/worksheets/sheet2226.xml"/>
  <Override ContentType="application/vnd.openxmlformats-officedocument.spreadsheetml.worksheet+xml" PartName="/xl/worksheets/sheet2227.xml"/>
  <Override ContentType="application/vnd.openxmlformats-officedocument.spreadsheetml.worksheet+xml" PartName="/xl/worksheets/sheet2228.xml"/>
  <Override ContentType="application/vnd.openxmlformats-officedocument.spreadsheetml.worksheet+xml" PartName="/xl/worksheets/sheet2229.xml"/>
  <Override ContentType="application/vnd.openxmlformats-officedocument.spreadsheetml.worksheet+xml" PartName="/xl/worksheets/sheet2230.xml"/>
  <Override ContentType="application/vnd.openxmlformats-officedocument.spreadsheetml.worksheet+xml" PartName="/xl/worksheets/sheet2231.xml"/>
  <Override ContentType="application/vnd.openxmlformats-officedocument.spreadsheetml.worksheet+xml" PartName="/xl/worksheets/sheet2232.xml"/>
  <Override ContentType="application/vnd.openxmlformats-officedocument.spreadsheetml.worksheet+xml" PartName="/xl/worksheets/sheet2233.xml"/>
  <Override ContentType="application/vnd.openxmlformats-officedocument.spreadsheetml.worksheet+xml" PartName="/xl/worksheets/sheet2234.xml"/>
  <Override ContentType="application/vnd.openxmlformats-officedocument.spreadsheetml.worksheet+xml" PartName="/xl/worksheets/sheet2235.xml"/>
  <Override ContentType="application/vnd.openxmlformats-officedocument.spreadsheetml.worksheet+xml" PartName="/xl/worksheets/sheet2236.xml"/>
  <Override ContentType="application/vnd.openxmlformats-officedocument.spreadsheetml.worksheet+xml" PartName="/xl/worksheets/sheet2237.xml"/>
  <Override ContentType="application/vnd.openxmlformats-officedocument.spreadsheetml.worksheet+xml" PartName="/xl/worksheets/sheet2238.xml"/>
  <Override ContentType="application/vnd.openxmlformats-officedocument.spreadsheetml.worksheet+xml" PartName="/xl/worksheets/sheet2239.xml"/>
  <Override ContentType="application/vnd.openxmlformats-officedocument.spreadsheetml.worksheet+xml" PartName="/xl/worksheets/sheet2240.xml"/>
  <Override ContentType="application/vnd.openxmlformats-officedocument.spreadsheetml.worksheet+xml" PartName="/xl/worksheets/sheet2241.xml"/>
  <Override ContentType="application/vnd.openxmlformats-officedocument.spreadsheetml.worksheet+xml" PartName="/xl/worksheets/sheet2242.xml"/>
  <Override ContentType="application/vnd.openxmlformats-officedocument.spreadsheetml.worksheet+xml" PartName="/xl/worksheets/sheet2243.xml"/>
  <Override ContentType="application/vnd.openxmlformats-officedocument.spreadsheetml.worksheet+xml" PartName="/xl/worksheets/sheet2244.xml"/>
  <Override ContentType="application/vnd.openxmlformats-officedocument.spreadsheetml.worksheet+xml" PartName="/xl/worksheets/sheet2245.xml"/>
  <Override ContentType="application/vnd.openxmlformats-officedocument.spreadsheetml.worksheet+xml" PartName="/xl/worksheets/sheet2246.xml"/>
  <Override ContentType="application/vnd.openxmlformats-officedocument.spreadsheetml.worksheet+xml" PartName="/xl/worksheets/sheet2247.xml"/>
  <Override ContentType="application/vnd.openxmlformats-officedocument.spreadsheetml.worksheet+xml" PartName="/xl/worksheets/sheet2248.xml"/>
  <Override ContentType="application/vnd.openxmlformats-officedocument.spreadsheetml.worksheet+xml" PartName="/xl/worksheets/sheet2249.xml"/>
  <Override ContentType="application/vnd.openxmlformats-officedocument.spreadsheetml.worksheet+xml" PartName="/xl/worksheets/sheet2250.xml"/>
  <Override ContentType="application/vnd.openxmlformats-officedocument.spreadsheetml.worksheet+xml" PartName="/xl/worksheets/sheet2251.xml"/>
  <Override ContentType="application/vnd.openxmlformats-officedocument.spreadsheetml.worksheet+xml" PartName="/xl/worksheets/sheet2252.xml"/>
  <Override ContentType="application/vnd.openxmlformats-officedocument.spreadsheetml.worksheet+xml" PartName="/xl/worksheets/sheet2253.xml"/>
  <Override ContentType="application/vnd.openxmlformats-officedocument.spreadsheetml.worksheet+xml" PartName="/xl/worksheets/sheet2254.xml"/>
  <Override ContentType="application/vnd.openxmlformats-officedocument.spreadsheetml.worksheet+xml" PartName="/xl/worksheets/sheet2255.xml"/>
  <Override ContentType="application/vnd.openxmlformats-officedocument.spreadsheetml.worksheet+xml" PartName="/xl/worksheets/sheet2256.xml"/>
  <Override ContentType="application/vnd.openxmlformats-officedocument.spreadsheetml.worksheet+xml" PartName="/xl/worksheets/sheet2257.xml"/>
  <Override ContentType="application/vnd.openxmlformats-officedocument.spreadsheetml.worksheet+xml" PartName="/xl/worksheets/sheet2258.xml"/>
  <Override ContentType="application/vnd.openxmlformats-officedocument.spreadsheetml.worksheet+xml" PartName="/xl/worksheets/sheet2259.xml"/>
  <Override ContentType="application/vnd.openxmlformats-officedocument.spreadsheetml.worksheet+xml" PartName="/xl/worksheets/sheet2260.xml"/>
  <Override ContentType="application/vnd.openxmlformats-officedocument.spreadsheetml.worksheet+xml" PartName="/xl/worksheets/sheet2261.xml"/>
  <Override ContentType="application/vnd.openxmlformats-officedocument.spreadsheetml.worksheet+xml" PartName="/xl/worksheets/sheet2262.xml"/>
  <Override ContentType="application/vnd.openxmlformats-officedocument.spreadsheetml.worksheet+xml" PartName="/xl/worksheets/sheet2263.xml"/>
  <Override ContentType="application/vnd.openxmlformats-officedocument.spreadsheetml.worksheet+xml" PartName="/xl/worksheets/sheet2264.xml"/>
  <Override ContentType="application/vnd.openxmlformats-officedocument.spreadsheetml.worksheet+xml" PartName="/xl/worksheets/sheet2265.xml"/>
  <Override ContentType="application/vnd.openxmlformats-officedocument.spreadsheetml.worksheet+xml" PartName="/xl/worksheets/sheet2266.xml"/>
  <Override ContentType="application/vnd.openxmlformats-officedocument.spreadsheetml.worksheet+xml" PartName="/xl/worksheets/sheet2267.xml"/>
  <Override ContentType="application/vnd.openxmlformats-officedocument.spreadsheetml.worksheet+xml" PartName="/xl/worksheets/sheet2268.xml"/>
  <Override ContentType="application/vnd.openxmlformats-officedocument.spreadsheetml.worksheet+xml" PartName="/xl/worksheets/sheet2269.xml"/>
  <Override ContentType="application/vnd.openxmlformats-officedocument.spreadsheetml.worksheet+xml" PartName="/xl/worksheets/sheet2270.xml"/>
  <Override ContentType="application/vnd.openxmlformats-officedocument.spreadsheetml.worksheet+xml" PartName="/xl/worksheets/sheet2271.xml"/>
  <Override ContentType="application/vnd.openxmlformats-officedocument.spreadsheetml.worksheet+xml" PartName="/xl/worksheets/sheet2272.xml"/>
  <Override ContentType="application/vnd.openxmlformats-officedocument.spreadsheetml.worksheet+xml" PartName="/xl/worksheets/sheet2273.xml"/>
  <Override ContentType="application/vnd.openxmlformats-officedocument.spreadsheetml.worksheet+xml" PartName="/xl/worksheets/sheet2274.xml"/>
  <Override ContentType="application/vnd.openxmlformats-officedocument.spreadsheetml.worksheet+xml" PartName="/xl/worksheets/sheet2275.xml"/>
  <Override ContentType="application/vnd.openxmlformats-officedocument.spreadsheetml.worksheet+xml" PartName="/xl/worksheets/sheet2276.xml"/>
  <Override ContentType="application/vnd.openxmlformats-officedocument.spreadsheetml.worksheet+xml" PartName="/xl/worksheets/sheet2277.xml"/>
  <Override ContentType="application/vnd.openxmlformats-officedocument.spreadsheetml.worksheet+xml" PartName="/xl/worksheets/sheet2278.xml"/>
  <Override ContentType="application/vnd.openxmlformats-officedocument.spreadsheetml.worksheet+xml" PartName="/xl/worksheets/sheet2279.xml"/>
  <Override ContentType="application/vnd.openxmlformats-officedocument.spreadsheetml.worksheet+xml" PartName="/xl/worksheets/sheet2280.xml"/>
  <Override ContentType="application/vnd.openxmlformats-officedocument.spreadsheetml.worksheet+xml" PartName="/xl/worksheets/sheet2281.xml"/>
  <Override ContentType="application/vnd.openxmlformats-officedocument.spreadsheetml.worksheet+xml" PartName="/xl/worksheets/sheet2282.xml"/>
  <Override ContentType="application/vnd.openxmlformats-officedocument.spreadsheetml.worksheet+xml" PartName="/xl/worksheets/sheet2283.xml"/>
  <Override ContentType="application/vnd.openxmlformats-officedocument.spreadsheetml.worksheet+xml" PartName="/xl/worksheets/sheet2284.xml"/>
  <Override ContentType="application/vnd.openxmlformats-officedocument.spreadsheetml.worksheet+xml" PartName="/xl/worksheets/sheet2285.xml"/>
  <Override ContentType="application/vnd.openxmlformats-officedocument.spreadsheetml.worksheet+xml" PartName="/xl/worksheets/sheet2286.xml"/>
  <Override ContentType="application/vnd.openxmlformats-officedocument.spreadsheetml.worksheet+xml" PartName="/xl/worksheets/sheet2287.xml"/>
  <Override ContentType="application/vnd.openxmlformats-officedocument.spreadsheetml.worksheet+xml" PartName="/xl/worksheets/sheet2288.xml"/>
  <Override ContentType="application/vnd.openxmlformats-officedocument.spreadsheetml.worksheet+xml" PartName="/xl/worksheets/sheet2289.xml"/>
  <Override ContentType="application/vnd.openxmlformats-officedocument.spreadsheetml.worksheet+xml" PartName="/xl/worksheets/sheet2290.xml"/>
  <Override ContentType="application/vnd.openxmlformats-officedocument.spreadsheetml.worksheet+xml" PartName="/xl/worksheets/sheet2291.xml"/>
  <Override ContentType="application/vnd.openxmlformats-officedocument.spreadsheetml.worksheet+xml" PartName="/xl/worksheets/sheet2292.xml"/>
  <Override ContentType="application/vnd.openxmlformats-officedocument.spreadsheetml.worksheet+xml" PartName="/xl/worksheets/sheet2293.xml"/>
  <Override ContentType="application/vnd.openxmlformats-officedocument.spreadsheetml.worksheet+xml" PartName="/xl/worksheets/sheet2294.xml"/>
  <Override ContentType="application/vnd.openxmlformats-officedocument.spreadsheetml.worksheet+xml" PartName="/xl/worksheets/sheet2295.xml"/>
  <Override ContentType="application/vnd.openxmlformats-officedocument.spreadsheetml.worksheet+xml" PartName="/xl/worksheets/sheet2296.xml"/>
  <Override ContentType="application/vnd.openxmlformats-officedocument.spreadsheetml.worksheet+xml" PartName="/xl/worksheets/sheet2297.xml"/>
  <Override ContentType="application/vnd.openxmlformats-officedocument.spreadsheetml.worksheet+xml" PartName="/xl/worksheets/sheet2298.xml"/>
  <Override ContentType="application/vnd.openxmlformats-officedocument.spreadsheetml.worksheet+xml" PartName="/xl/worksheets/sheet2299.xml"/>
  <Override ContentType="application/vnd.openxmlformats-officedocument.spreadsheetml.worksheet+xml" PartName="/xl/worksheets/sheet2300.xml"/>
  <Override ContentType="application/vnd.openxmlformats-officedocument.spreadsheetml.worksheet+xml" PartName="/xl/worksheets/sheet2301.xml"/>
  <Override ContentType="application/vnd.openxmlformats-officedocument.spreadsheetml.worksheet+xml" PartName="/xl/worksheets/sheet2302.xml"/>
  <Override ContentType="application/vnd.openxmlformats-officedocument.spreadsheetml.worksheet+xml" PartName="/xl/worksheets/sheet2303.xml"/>
  <Override ContentType="application/vnd.openxmlformats-officedocument.spreadsheetml.worksheet+xml" PartName="/xl/worksheets/sheet2304.xml"/>
  <Override ContentType="application/vnd.openxmlformats-officedocument.spreadsheetml.worksheet+xml" PartName="/xl/worksheets/sheet2305.xml"/>
  <Override ContentType="application/vnd.openxmlformats-officedocument.spreadsheetml.worksheet+xml" PartName="/xl/worksheets/sheet2306.xml"/>
  <Override ContentType="application/vnd.openxmlformats-officedocument.spreadsheetml.worksheet+xml" PartName="/xl/worksheets/sheet2307.xml"/>
  <Override ContentType="application/vnd.openxmlformats-officedocument.spreadsheetml.worksheet+xml" PartName="/xl/worksheets/sheet2308.xml"/>
  <Override ContentType="application/vnd.openxmlformats-officedocument.spreadsheetml.worksheet+xml" PartName="/xl/worksheets/sheet2309.xml"/>
  <Override ContentType="application/vnd.openxmlformats-officedocument.spreadsheetml.worksheet+xml" PartName="/xl/worksheets/sheet2310.xml"/>
  <Override ContentType="application/vnd.openxmlformats-officedocument.spreadsheetml.worksheet+xml" PartName="/xl/worksheets/sheet2311.xml"/>
  <Override ContentType="application/vnd.openxmlformats-officedocument.spreadsheetml.worksheet+xml" PartName="/xl/worksheets/sheet2312.xml"/>
  <Override ContentType="application/vnd.openxmlformats-officedocument.spreadsheetml.worksheet+xml" PartName="/xl/worksheets/sheet2313.xml"/>
  <Override ContentType="application/vnd.openxmlformats-officedocument.spreadsheetml.worksheet+xml" PartName="/xl/worksheets/sheet2314.xml"/>
  <Override ContentType="application/vnd.openxmlformats-officedocument.spreadsheetml.worksheet+xml" PartName="/xl/worksheets/sheet2315.xml"/>
  <Override ContentType="application/vnd.openxmlformats-officedocument.spreadsheetml.worksheet+xml" PartName="/xl/worksheets/sheet2316.xml"/>
  <Override ContentType="application/vnd.openxmlformats-officedocument.spreadsheetml.worksheet+xml" PartName="/xl/worksheets/sheet2317.xml"/>
  <Override ContentType="application/vnd.openxmlformats-officedocument.spreadsheetml.worksheet+xml" PartName="/xl/worksheets/sheet2318.xml"/>
  <Override ContentType="application/vnd.openxmlformats-officedocument.spreadsheetml.worksheet+xml" PartName="/xl/worksheets/sheet2319.xml"/>
  <Override ContentType="application/vnd.openxmlformats-officedocument.spreadsheetml.worksheet+xml" PartName="/xl/worksheets/sheet2320.xml"/>
  <Override ContentType="application/vnd.openxmlformats-officedocument.spreadsheetml.worksheet+xml" PartName="/xl/worksheets/sheet2321.xml"/>
  <Override ContentType="application/vnd.openxmlformats-officedocument.spreadsheetml.worksheet+xml" PartName="/xl/worksheets/sheet2322.xml"/>
  <Override ContentType="application/vnd.openxmlformats-officedocument.spreadsheetml.worksheet+xml" PartName="/xl/worksheets/sheet2323.xml"/>
  <Override ContentType="application/vnd.openxmlformats-officedocument.spreadsheetml.worksheet+xml" PartName="/xl/worksheets/sheet2324.xml"/>
  <Override ContentType="application/vnd.openxmlformats-officedocument.spreadsheetml.worksheet+xml" PartName="/xl/worksheets/sheet2325.xml"/>
  <Override ContentType="application/vnd.openxmlformats-officedocument.spreadsheetml.worksheet+xml" PartName="/xl/worksheets/sheet2326.xml"/>
  <Override ContentType="application/vnd.openxmlformats-officedocument.spreadsheetml.worksheet+xml" PartName="/xl/worksheets/sheet2327.xml"/>
  <Override ContentType="application/vnd.openxmlformats-officedocument.spreadsheetml.worksheet+xml" PartName="/xl/worksheets/sheet2328.xml"/>
  <Override ContentType="application/vnd.openxmlformats-officedocument.spreadsheetml.worksheet+xml" PartName="/xl/worksheets/sheet2329.xml"/>
  <Override ContentType="application/vnd.openxmlformats-officedocument.spreadsheetml.worksheet+xml" PartName="/xl/worksheets/sheet2330.xml"/>
  <Override ContentType="application/vnd.openxmlformats-officedocument.spreadsheetml.worksheet+xml" PartName="/xl/worksheets/sheet2331.xml"/>
  <Override ContentType="application/vnd.openxmlformats-officedocument.spreadsheetml.worksheet+xml" PartName="/xl/worksheets/sheet2332.xml"/>
  <Override ContentType="application/vnd.openxmlformats-officedocument.spreadsheetml.worksheet+xml" PartName="/xl/worksheets/sheet2333.xml"/>
  <Override ContentType="application/vnd.openxmlformats-officedocument.spreadsheetml.worksheet+xml" PartName="/xl/worksheets/sheet2334.xml"/>
  <Override ContentType="application/vnd.openxmlformats-officedocument.spreadsheetml.worksheet+xml" PartName="/xl/worksheets/sheet2335.xml"/>
  <Override ContentType="application/vnd.openxmlformats-officedocument.spreadsheetml.worksheet+xml" PartName="/xl/worksheets/sheet2336.xml"/>
  <Override ContentType="application/vnd.openxmlformats-officedocument.spreadsheetml.worksheet+xml" PartName="/xl/worksheets/sheet2337.xml"/>
  <Override ContentType="application/vnd.openxmlformats-officedocument.spreadsheetml.worksheet+xml" PartName="/xl/worksheets/sheet2338.xml"/>
  <Override ContentType="application/vnd.openxmlformats-officedocument.spreadsheetml.worksheet+xml" PartName="/xl/worksheets/sheet2339.xml"/>
  <Override ContentType="application/vnd.openxmlformats-officedocument.spreadsheetml.worksheet+xml" PartName="/xl/worksheets/sheet2340.xml"/>
  <Override ContentType="application/vnd.openxmlformats-officedocument.spreadsheetml.worksheet+xml" PartName="/xl/worksheets/sheet2341.xml"/>
  <Override ContentType="application/vnd.openxmlformats-officedocument.spreadsheetml.worksheet+xml" PartName="/xl/worksheets/sheet2342.xml"/>
  <Override ContentType="application/vnd.openxmlformats-officedocument.spreadsheetml.worksheet+xml" PartName="/xl/worksheets/sheet2343.xml"/>
  <Override ContentType="application/vnd.openxmlformats-officedocument.spreadsheetml.worksheet+xml" PartName="/xl/worksheets/sheet2344.xml"/>
  <Override ContentType="application/vnd.openxmlformats-officedocument.spreadsheetml.worksheet+xml" PartName="/xl/worksheets/sheet2345.xml"/>
  <Override ContentType="application/vnd.openxmlformats-officedocument.spreadsheetml.worksheet+xml" PartName="/xl/worksheets/sheet2346.xml"/>
  <Override ContentType="application/vnd.openxmlformats-officedocument.spreadsheetml.worksheet+xml" PartName="/xl/worksheets/sheet2347.xml"/>
  <Override ContentType="application/vnd.openxmlformats-officedocument.spreadsheetml.worksheet+xml" PartName="/xl/worksheets/sheet2348.xml"/>
  <Override ContentType="application/vnd.openxmlformats-officedocument.spreadsheetml.worksheet+xml" PartName="/xl/worksheets/sheet2349.xml"/>
  <Override ContentType="application/vnd.openxmlformats-officedocument.spreadsheetml.worksheet+xml" PartName="/xl/worksheets/sheet2350.xml"/>
  <Override ContentType="application/vnd.openxmlformats-officedocument.spreadsheetml.worksheet+xml" PartName="/xl/worksheets/sheet2351.xml"/>
  <Override ContentType="application/vnd.openxmlformats-officedocument.spreadsheetml.worksheet+xml" PartName="/xl/worksheets/sheet2352.xml"/>
  <Override ContentType="application/vnd.openxmlformats-officedocument.spreadsheetml.worksheet+xml" PartName="/xl/worksheets/sheet2353.xml"/>
  <Override ContentType="application/vnd.openxmlformats-officedocument.spreadsheetml.worksheet+xml" PartName="/xl/worksheets/sheet2354.xml"/>
  <Override ContentType="application/vnd.openxmlformats-officedocument.spreadsheetml.worksheet+xml" PartName="/xl/worksheets/sheet2355.xml"/>
  <Override ContentType="application/vnd.openxmlformats-officedocument.spreadsheetml.worksheet+xml" PartName="/xl/worksheets/sheet2356.xml"/>
  <Override ContentType="application/vnd.openxmlformats-officedocument.spreadsheetml.worksheet+xml" PartName="/xl/worksheets/sheet2357.xml"/>
  <Override ContentType="application/vnd.openxmlformats-officedocument.spreadsheetml.worksheet+xml" PartName="/xl/worksheets/sheet2358.xml"/>
  <Override ContentType="application/vnd.openxmlformats-officedocument.spreadsheetml.worksheet+xml" PartName="/xl/worksheets/sheet2359.xml"/>
  <Override ContentType="application/vnd.openxmlformats-officedocument.spreadsheetml.worksheet+xml" PartName="/xl/worksheets/sheet2360.xml"/>
  <Override ContentType="application/vnd.openxmlformats-officedocument.spreadsheetml.worksheet+xml" PartName="/xl/worksheets/sheet2361.xml"/>
  <Override ContentType="application/vnd.openxmlformats-officedocument.spreadsheetml.worksheet+xml" PartName="/xl/worksheets/sheet2362.xml"/>
  <Override ContentType="application/vnd.openxmlformats-officedocument.spreadsheetml.worksheet+xml" PartName="/xl/worksheets/sheet2363.xml"/>
  <Override ContentType="application/vnd.openxmlformats-officedocument.spreadsheetml.worksheet+xml" PartName="/xl/worksheets/sheet2364.xml"/>
  <Override ContentType="application/vnd.openxmlformats-officedocument.spreadsheetml.worksheet+xml" PartName="/xl/worksheets/sheet2365.xml"/>
  <Override ContentType="application/vnd.openxmlformats-officedocument.spreadsheetml.worksheet+xml" PartName="/xl/worksheets/sheet2366.xml"/>
  <Override ContentType="application/vnd.openxmlformats-officedocument.spreadsheetml.worksheet+xml" PartName="/xl/worksheets/sheet2367.xml"/>
  <Override ContentType="application/vnd.openxmlformats-officedocument.spreadsheetml.worksheet+xml" PartName="/xl/worksheets/sheet2368.xml"/>
  <Override ContentType="application/vnd.openxmlformats-officedocument.spreadsheetml.worksheet+xml" PartName="/xl/worksheets/sheet2369.xml"/>
  <Override ContentType="application/vnd.openxmlformats-officedocument.spreadsheetml.worksheet+xml" PartName="/xl/worksheets/sheet2370.xml"/>
  <Override ContentType="application/vnd.openxmlformats-officedocument.spreadsheetml.worksheet+xml" PartName="/xl/worksheets/sheet2371.xml"/>
  <Override ContentType="application/vnd.openxmlformats-officedocument.spreadsheetml.worksheet+xml" PartName="/xl/worksheets/sheet2372.xml"/>
  <Override ContentType="application/vnd.openxmlformats-officedocument.spreadsheetml.worksheet+xml" PartName="/xl/worksheets/sheet2373.xml"/>
  <Override ContentType="application/vnd.openxmlformats-officedocument.spreadsheetml.worksheet+xml" PartName="/xl/worksheets/sheet2374.xml"/>
  <Override ContentType="application/vnd.openxmlformats-officedocument.spreadsheetml.worksheet+xml" PartName="/xl/worksheets/sheet2375.xml"/>
  <Override ContentType="application/vnd.openxmlformats-officedocument.spreadsheetml.worksheet+xml" PartName="/xl/worksheets/sheet2376.xml"/>
  <Override ContentType="application/vnd.openxmlformats-officedocument.spreadsheetml.worksheet+xml" PartName="/xl/worksheets/sheet2377.xml"/>
  <Override ContentType="application/vnd.openxmlformats-officedocument.spreadsheetml.worksheet+xml" PartName="/xl/worksheets/sheet2378.xml"/>
  <Override ContentType="application/vnd.openxmlformats-officedocument.spreadsheetml.worksheet+xml" PartName="/xl/worksheets/sheet2379.xml"/>
  <Override ContentType="application/vnd.openxmlformats-officedocument.spreadsheetml.worksheet+xml" PartName="/xl/worksheets/sheet2380.xml"/>
  <Override ContentType="application/vnd.openxmlformats-officedocument.spreadsheetml.worksheet+xml" PartName="/xl/worksheets/sheet2381.xml"/>
  <Override ContentType="application/vnd.openxmlformats-officedocument.spreadsheetml.worksheet+xml" PartName="/xl/worksheets/sheet2382.xml"/>
  <Override ContentType="application/vnd.openxmlformats-officedocument.spreadsheetml.worksheet+xml" PartName="/xl/worksheets/sheet2383.xml"/>
  <Override ContentType="application/vnd.openxmlformats-officedocument.spreadsheetml.worksheet+xml" PartName="/xl/worksheets/sheet2384.xml"/>
  <Override ContentType="application/vnd.openxmlformats-officedocument.spreadsheetml.worksheet+xml" PartName="/xl/worksheets/sheet2385.xml"/>
  <Override ContentType="application/vnd.openxmlformats-officedocument.spreadsheetml.worksheet+xml" PartName="/xl/worksheets/sheet2386.xml"/>
  <Override ContentType="application/vnd.openxmlformats-officedocument.spreadsheetml.worksheet+xml" PartName="/xl/worksheets/sheet2387.xml"/>
  <Override ContentType="application/vnd.openxmlformats-officedocument.spreadsheetml.worksheet+xml" PartName="/xl/worksheets/sheet2388.xml"/>
  <Override ContentType="application/vnd.openxmlformats-officedocument.spreadsheetml.worksheet+xml" PartName="/xl/worksheets/sheet2389.xml"/>
  <Override ContentType="application/vnd.openxmlformats-officedocument.spreadsheetml.worksheet+xml" PartName="/xl/worksheets/sheet2390.xml"/>
  <Override ContentType="application/vnd.openxmlformats-officedocument.spreadsheetml.worksheet+xml" PartName="/xl/worksheets/sheet2391.xml"/>
  <Override ContentType="application/vnd.openxmlformats-officedocument.spreadsheetml.worksheet+xml" PartName="/xl/worksheets/sheet2392.xml"/>
  <Override ContentType="application/vnd.openxmlformats-officedocument.spreadsheetml.worksheet+xml" PartName="/xl/worksheets/sheet2393.xml"/>
  <Override ContentType="application/vnd.openxmlformats-officedocument.spreadsheetml.worksheet+xml" PartName="/xl/worksheets/sheet2394.xml"/>
  <Override ContentType="application/vnd.openxmlformats-officedocument.spreadsheetml.worksheet+xml" PartName="/xl/worksheets/sheet2395.xml"/>
  <Override ContentType="application/vnd.openxmlformats-officedocument.spreadsheetml.worksheet+xml" PartName="/xl/worksheets/sheet2396.xml"/>
  <Override ContentType="application/vnd.openxmlformats-officedocument.spreadsheetml.worksheet+xml" PartName="/xl/worksheets/sheet2397.xml"/>
  <Override ContentType="application/vnd.openxmlformats-officedocument.spreadsheetml.worksheet+xml" PartName="/xl/worksheets/sheet2398.xml"/>
  <Override ContentType="application/vnd.openxmlformats-officedocument.spreadsheetml.worksheet+xml" PartName="/xl/worksheets/sheet2399.xml"/>
  <Override ContentType="application/vnd.openxmlformats-officedocument.spreadsheetml.worksheet+xml" PartName="/xl/worksheets/sheet2400.xml"/>
  <Override ContentType="application/vnd.openxmlformats-officedocument.spreadsheetml.worksheet+xml" PartName="/xl/worksheets/sheet2401.xml"/>
  <Override ContentType="application/vnd.openxmlformats-officedocument.spreadsheetml.worksheet+xml" PartName="/xl/worksheets/sheet2402.xml"/>
  <Override ContentType="application/vnd.openxmlformats-officedocument.spreadsheetml.worksheet+xml" PartName="/xl/worksheets/sheet2403.xml"/>
  <Override ContentType="application/vnd.openxmlformats-officedocument.spreadsheetml.worksheet+xml" PartName="/xl/worksheets/sheet2404.xml"/>
  <Override ContentType="application/vnd.openxmlformats-officedocument.spreadsheetml.worksheet+xml" PartName="/xl/worksheets/sheet2405.xml"/>
  <Override ContentType="application/vnd.openxmlformats-officedocument.spreadsheetml.worksheet+xml" PartName="/xl/worksheets/sheet2406.xml"/>
  <Override ContentType="application/vnd.openxmlformats-officedocument.spreadsheetml.worksheet+xml" PartName="/xl/worksheets/sheet2407.xml"/>
  <Override ContentType="application/vnd.openxmlformats-officedocument.spreadsheetml.worksheet+xml" PartName="/xl/worksheets/sheet2408.xml"/>
  <Override ContentType="application/vnd.openxmlformats-officedocument.spreadsheetml.worksheet+xml" PartName="/xl/worksheets/sheet2409.xml"/>
  <Override ContentType="application/vnd.openxmlformats-officedocument.spreadsheetml.worksheet+xml" PartName="/xl/worksheets/sheet2410.xml"/>
  <Override ContentType="application/vnd.openxmlformats-officedocument.spreadsheetml.worksheet+xml" PartName="/xl/worksheets/sheet2411.xml"/>
  <Override ContentType="application/vnd.openxmlformats-officedocument.spreadsheetml.worksheet+xml" PartName="/xl/worksheets/sheet2412.xml"/>
  <Override ContentType="application/vnd.openxmlformats-officedocument.spreadsheetml.worksheet+xml" PartName="/xl/worksheets/sheet2413.xml"/>
  <Override ContentType="application/vnd.openxmlformats-officedocument.spreadsheetml.worksheet+xml" PartName="/xl/worksheets/sheet2414.xml"/>
  <Override ContentType="application/vnd.openxmlformats-officedocument.spreadsheetml.worksheet+xml" PartName="/xl/worksheets/sheet2415.xml"/>
  <Override ContentType="application/vnd.openxmlformats-officedocument.spreadsheetml.worksheet+xml" PartName="/xl/worksheets/sheet2416.xml"/>
  <Override ContentType="application/vnd.openxmlformats-officedocument.spreadsheetml.worksheet+xml" PartName="/xl/worksheets/sheet2417.xml"/>
  <Override ContentType="application/vnd.openxmlformats-officedocument.spreadsheetml.worksheet+xml" PartName="/xl/worksheets/sheet2418.xml"/>
  <Override ContentType="application/vnd.openxmlformats-officedocument.spreadsheetml.worksheet+xml" PartName="/xl/worksheets/sheet2419.xml"/>
  <Override ContentType="application/vnd.openxmlformats-officedocument.spreadsheetml.worksheet+xml" PartName="/xl/worksheets/sheet2420.xml"/>
  <Override ContentType="application/vnd.openxmlformats-officedocument.spreadsheetml.worksheet+xml" PartName="/xl/worksheets/sheet2421.xml"/>
  <Override ContentType="application/vnd.openxmlformats-officedocument.spreadsheetml.worksheet+xml" PartName="/xl/worksheets/sheet2422.xml"/>
  <Override ContentType="application/vnd.openxmlformats-officedocument.spreadsheetml.worksheet+xml" PartName="/xl/worksheets/sheet2423.xml"/>
  <Override ContentType="application/vnd.openxmlformats-officedocument.spreadsheetml.worksheet+xml" PartName="/xl/worksheets/sheet2424.xml"/>
  <Override ContentType="application/vnd.openxmlformats-officedocument.spreadsheetml.worksheet+xml" PartName="/xl/worksheets/sheet2425.xml"/>
  <Override ContentType="application/vnd.openxmlformats-officedocument.spreadsheetml.worksheet+xml" PartName="/xl/worksheets/sheet2426.xml"/>
  <Override ContentType="application/vnd.openxmlformats-officedocument.spreadsheetml.worksheet+xml" PartName="/xl/worksheets/sheet2427.xml"/>
  <Override ContentType="application/vnd.openxmlformats-officedocument.spreadsheetml.worksheet+xml" PartName="/xl/worksheets/sheet2428.xml"/>
  <Override ContentType="application/vnd.openxmlformats-officedocument.spreadsheetml.worksheet+xml" PartName="/xl/worksheets/sheet2429.xml"/>
  <Override ContentType="application/vnd.openxmlformats-officedocument.spreadsheetml.worksheet+xml" PartName="/xl/worksheets/sheet2430.xml"/>
  <Override ContentType="application/vnd.openxmlformats-officedocument.spreadsheetml.worksheet+xml" PartName="/xl/worksheets/sheet2431.xml"/>
  <Override ContentType="application/vnd.openxmlformats-officedocument.spreadsheetml.worksheet+xml" PartName="/xl/worksheets/sheet2432.xml"/>
  <Override ContentType="application/vnd.openxmlformats-officedocument.spreadsheetml.worksheet+xml" PartName="/xl/worksheets/sheet2433.xml"/>
  <Override ContentType="application/vnd.openxmlformats-officedocument.spreadsheetml.worksheet+xml" PartName="/xl/worksheets/sheet2434.xml"/>
  <Override ContentType="application/vnd.openxmlformats-officedocument.spreadsheetml.worksheet+xml" PartName="/xl/worksheets/sheet2435.xml"/>
  <Override ContentType="application/vnd.openxmlformats-officedocument.spreadsheetml.worksheet+xml" PartName="/xl/worksheets/sheet2436.xml"/>
  <Override ContentType="application/vnd.openxmlformats-officedocument.spreadsheetml.worksheet+xml" PartName="/xl/worksheets/sheet2437.xml"/>
  <Override ContentType="application/vnd.openxmlformats-officedocument.spreadsheetml.worksheet+xml" PartName="/xl/worksheets/sheet2438.xml"/>
  <Override ContentType="application/vnd.openxmlformats-officedocument.spreadsheetml.worksheet+xml" PartName="/xl/worksheets/sheet2439.xml"/>
  <Override ContentType="application/vnd.openxmlformats-officedocument.spreadsheetml.worksheet+xml" PartName="/xl/worksheets/sheet2440.xml"/>
  <Override ContentType="application/vnd.openxmlformats-officedocument.spreadsheetml.worksheet+xml" PartName="/xl/worksheets/sheet2441.xml"/>
  <Override ContentType="application/vnd.openxmlformats-officedocument.spreadsheetml.worksheet+xml" PartName="/xl/worksheets/sheet2442.xml"/>
  <Override ContentType="application/vnd.openxmlformats-officedocument.spreadsheetml.worksheet+xml" PartName="/xl/worksheets/sheet2443.xml"/>
  <Override ContentType="application/vnd.openxmlformats-officedocument.spreadsheetml.worksheet+xml" PartName="/xl/worksheets/sheet2444.xml"/>
  <Override ContentType="application/vnd.openxmlformats-officedocument.spreadsheetml.worksheet+xml" PartName="/xl/worksheets/sheet2445.xml"/>
  <Override ContentType="application/vnd.openxmlformats-officedocument.spreadsheetml.worksheet+xml" PartName="/xl/worksheets/sheet2446.xml"/>
  <Override ContentType="application/vnd.openxmlformats-officedocument.spreadsheetml.worksheet+xml" PartName="/xl/worksheets/sheet2447.xml"/>
  <Override ContentType="application/vnd.openxmlformats-officedocument.spreadsheetml.worksheet+xml" PartName="/xl/worksheets/sheet2448.xml"/>
  <Override ContentType="application/vnd.openxmlformats-officedocument.spreadsheetml.worksheet+xml" PartName="/xl/worksheets/sheet2449.xml"/>
  <Override ContentType="application/vnd.openxmlformats-officedocument.spreadsheetml.worksheet+xml" PartName="/xl/worksheets/sheet2450.xml"/>
  <Override ContentType="application/vnd.openxmlformats-officedocument.spreadsheetml.worksheet+xml" PartName="/xl/worksheets/sheet2451.xml"/>
  <Override ContentType="application/vnd.openxmlformats-officedocument.spreadsheetml.worksheet+xml" PartName="/xl/worksheets/sheet2452.xml"/>
  <Override ContentType="application/vnd.openxmlformats-officedocument.spreadsheetml.worksheet+xml" PartName="/xl/worksheets/sheet2453.xml"/>
  <Override ContentType="application/vnd.openxmlformats-officedocument.spreadsheetml.worksheet+xml" PartName="/xl/worksheets/sheet2454.xml"/>
  <Override ContentType="application/vnd.openxmlformats-officedocument.spreadsheetml.worksheet+xml" PartName="/xl/worksheets/sheet2455.xml"/>
  <Override ContentType="application/vnd.openxmlformats-officedocument.spreadsheetml.worksheet+xml" PartName="/xl/worksheets/sheet2456.xml"/>
  <Override ContentType="application/vnd.openxmlformats-officedocument.spreadsheetml.worksheet+xml" PartName="/xl/worksheets/sheet2457.xml"/>
  <Override ContentType="application/vnd.openxmlformats-officedocument.spreadsheetml.worksheet+xml" PartName="/xl/worksheets/sheet2458.xml"/>
  <Override ContentType="application/vnd.openxmlformats-officedocument.spreadsheetml.worksheet+xml" PartName="/xl/worksheets/sheet2459.xml"/>
  <Override ContentType="application/vnd.openxmlformats-officedocument.spreadsheetml.worksheet+xml" PartName="/xl/worksheets/sheet2460.xml"/>
  <Override ContentType="application/vnd.openxmlformats-officedocument.spreadsheetml.worksheet+xml" PartName="/xl/worksheets/sheet2461.xml"/>
  <Override ContentType="application/vnd.openxmlformats-officedocument.spreadsheetml.worksheet+xml" PartName="/xl/worksheets/sheet2462.xml"/>
  <Override ContentType="application/vnd.openxmlformats-officedocument.spreadsheetml.worksheet+xml" PartName="/xl/worksheets/sheet2463.xml"/>
  <Override ContentType="application/vnd.openxmlformats-officedocument.spreadsheetml.worksheet+xml" PartName="/xl/worksheets/sheet2464.xml"/>
  <Override ContentType="application/vnd.openxmlformats-officedocument.spreadsheetml.worksheet+xml" PartName="/xl/worksheets/sheet2465.xml"/>
  <Override ContentType="application/vnd.openxmlformats-officedocument.spreadsheetml.worksheet+xml" PartName="/xl/worksheets/sheet2466.xml"/>
  <Override ContentType="application/vnd.openxmlformats-officedocument.spreadsheetml.worksheet+xml" PartName="/xl/worksheets/sheet2467.xml"/>
  <Override ContentType="application/vnd.openxmlformats-officedocument.spreadsheetml.worksheet+xml" PartName="/xl/worksheets/sheet2468.xml"/>
  <Override ContentType="application/vnd.openxmlformats-officedocument.spreadsheetml.worksheet+xml" PartName="/xl/worksheets/sheet2469.xml"/>
  <Override ContentType="application/vnd.openxmlformats-officedocument.spreadsheetml.worksheet+xml" PartName="/xl/worksheets/sheet2470.xml"/>
  <Override ContentType="application/vnd.openxmlformats-officedocument.spreadsheetml.worksheet+xml" PartName="/xl/worksheets/sheet2471.xml"/>
  <Override ContentType="application/vnd.openxmlformats-officedocument.spreadsheetml.worksheet+xml" PartName="/xl/worksheets/sheet2472.xml"/>
  <Override ContentType="application/vnd.openxmlformats-officedocument.spreadsheetml.worksheet+xml" PartName="/xl/worksheets/sheet2473.xml"/>
  <Override ContentType="application/vnd.openxmlformats-officedocument.spreadsheetml.worksheet+xml" PartName="/xl/worksheets/sheet2474.xml"/>
  <Override ContentType="application/vnd.openxmlformats-officedocument.spreadsheetml.worksheet+xml" PartName="/xl/worksheets/sheet2475.xml"/>
  <Override ContentType="application/vnd.openxmlformats-officedocument.spreadsheetml.worksheet+xml" PartName="/xl/worksheets/sheet2476.xml"/>
  <Override ContentType="application/vnd.openxmlformats-officedocument.spreadsheetml.worksheet+xml" PartName="/xl/worksheets/sheet2477.xml"/>
  <Override ContentType="application/vnd.openxmlformats-officedocument.spreadsheetml.worksheet+xml" PartName="/xl/worksheets/sheet2478.xml"/>
  <Override ContentType="application/vnd.openxmlformats-officedocument.spreadsheetml.worksheet+xml" PartName="/xl/worksheets/sheet2479.xml"/>
  <Override ContentType="application/vnd.openxmlformats-officedocument.spreadsheetml.worksheet+xml" PartName="/xl/worksheets/sheet2480.xml"/>
  <Override ContentType="application/vnd.openxmlformats-officedocument.spreadsheetml.worksheet+xml" PartName="/xl/worksheets/sheet2481.xml"/>
  <Override ContentType="application/vnd.openxmlformats-officedocument.spreadsheetml.worksheet+xml" PartName="/xl/worksheets/sheet2482.xml"/>
  <Override ContentType="application/vnd.openxmlformats-officedocument.spreadsheetml.worksheet+xml" PartName="/xl/worksheets/sheet2483.xml"/>
  <Override ContentType="application/vnd.openxmlformats-officedocument.spreadsheetml.worksheet+xml" PartName="/xl/worksheets/sheet2484.xml"/>
  <Override ContentType="application/vnd.openxmlformats-officedocument.spreadsheetml.worksheet+xml" PartName="/xl/worksheets/sheet2485.xml"/>
  <Override ContentType="application/vnd.openxmlformats-officedocument.spreadsheetml.worksheet+xml" PartName="/xl/worksheets/sheet2486.xml"/>
  <Override ContentType="application/vnd.openxmlformats-officedocument.spreadsheetml.worksheet+xml" PartName="/xl/worksheets/sheet2487.xml"/>
  <Override ContentType="application/vnd.openxmlformats-officedocument.spreadsheetml.worksheet+xml" PartName="/xl/worksheets/sheet2488.xml"/>
  <Override ContentType="application/vnd.openxmlformats-officedocument.spreadsheetml.worksheet+xml" PartName="/xl/worksheets/sheet2489.xml"/>
  <Override ContentType="application/vnd.openxmlformats-officedocument.spreadsheetml.worksheet+xml" PartName="/xl/worksheets/sheet2490.xml"/>
  <Override ContentType="application/vnd.openxmlformats-officedocument.spreadsheetml.worksheet+xml" PartName="/xl/worksheets/sheet2491.xml"/>
  <Override ContentType="application/vnd.openxmlformats-officedocument.spreadsheetml.worksheet+xml" PartName="/xl/worksheets/sheet2492.xml"/>
  <Override ContentType="application/vnd.openxmlformats-officedocument.spreadsheetml.worksheet+xml" PartName="/xl/worksheets/sheet2493.xml"/>
  <Override ContentType="application/vnd.openxmlformats-officedocument.spreadsheetml.worksheet+xml" PartName="/xl/worksheets/sheet2494.xml"/>
  <Override ContentType="application/vnd.openxmlformats-officedocument.spreadsheetml.worksheet+xml" PartName="/xl/worksheets/sheet2495.xml"/>
  <Override ContentType="application/vnd.openxmlformats-officedocument.spreadsheetml.worksheet+xml" PartName="/xl/worksheets/sheet2496.xml"/>
  <Override ContentType="application/vnd.openxmlformats-officedocument.spreadsheetml.worksheet+xml" PartName="/xl/worksheets/sheet2497.xml"/>
  <Override ContentType="application/vnd.openxmlformats-officedocument.spreadsheetml.worksheet+xml" PartName="/xl/worksheets/sheet2498.xml"/>
  <Override ContentType="application/vnd.openxmlformats-officedocument.spreadsheetml.worksheet+xml" PartName="/xl/worksheets/sheet2499.xml"/>
  <Override ContentType="application/vnd.openxmlformats-officedocument.spreadsheetml.worksheet+xml" PartName="/xl/worksheets/sheet2500.xml"/>
  <Override ContentType="application/vnd.openxmlformats-officedocument.spreadsheetml.worksheet+xml" PartName="/xl/worksheets/sheet2501.xml"/>
  <Override ContentType="application/vnd.openxmlformats-officedocument.spreadsheetml.worksheet+xml" PartName="/xl/worksheets/sheet2502.xml"/>
  <Override ContentType="application/vnd.openxmlformats-officedocument.spreadsheetml.worksheet+xml" PartName="/xl/worksheets/sheet2503.xml"/>
  <Override ContentType="application/vnd.openxmlformats-officedocument.spreadsheetml.worksheet+xml" PartName="/xl/worksheets/sheet2504.xml"/>
  <Override ContentType="application/vnd.openxmlformats-officedocument.spreadsheetml.worksheet+xml" PartName="/xl/worksheets/sheet2505.xml"/>
  <Override ContentType="application/vnd.openxmlformats-officedocument.spreadsheetml.worksheet+xml" PartName="/xl/worksheets/sheet2506.xml"/>
  <Override ContentType="application/vnd.openxmlformats-officedocument.spreadsheetml.worksheet+xml" PartName="/xl/worksheets/sheet2507.xml"/>
  <Override ContentType="application/vnd.openxmlformats-officedocument.spreadsheetml.worksheet+xml" PartName="/xl/worksheets/sheet2508.xml"/>
  <Override ContentType="application/vnd.openxmlformats-officedocument.spreadsheetml.worksheet+xml" PartName="/xl/worksheets/sheet2509.xml"/>
  <Override ContentType="application/vnd.openxmlformats-officedocument.spreadsheetml.worksheet+xml" PartName="/xl/worksheets/sheet2510.xml"/>
  <Override ContentType="application/vnd.openxmlformats-officedocument.spreadsheetml.worksheet+xml" PartName="/xl/worksheets/sheet2511.xml"/>
  <Override ContentType="application/vnd.openxmlformats-officedocument.spreadsheetml.worksheet+xml" PartName="/xl/worksheets/sheet2512.xml"/>
  <Override ContentType="application/vnd.openxmlformats-officedocument.spreadsheetml.worksheet+xml" PartName="/xl/worksheets/sheet2513.xml"/>
  <Override ContentType="application/vnd.openxmlformats-officedocument.spreadsheetml.worksheet+xml" PartName="/xl/worksheets/sheet2514.xml"/>
  <Override ContentType="application/vnd.openxmlformats-officedocument.spreadsheetml.worksheet+xml" PartName="/xl/worksheets/sheet2515.xml"/>
  <Override ContentType="application/vnd.openxmlformats-officedocument.spreadsheetml.worksheet+xml" PartName="/xl/worksheets/sheet2516.xml"/>
  <Override ContentType="application/vnd.openxmlformats-officedocument.spreadsheetml.worksheet+xml" PartName="/xl/worksheets/sheet2517.xml"/>
  <Override ContentType="application/vnd.openxmlformats-officedocument.spreadsheetml.worksheet+xml" PartName="/xl/worksheets/sheet2518.xml"/>
  <Override ContentType="application/vnd.openxmlformats-officedocument.spreadsheetml.worksheet+xml" PartName="/xl/worksheets/sheet2519.xml"/>
  <Override ContentType="application/vnd.openxmlformats-officedocument.spreadsheetml.worksheet+xml" PartName="/xl/worksheets/sheet2520.xml"/>
  <Override ContentType="application/vnd.openxmlformats-officedocument.spreadsheetml.worksheet+xml" PartName="/xl/worksheets/sheet2521.xml"/>
  <Override ContentType="application/vnd.openxmlformats-officedocument.spreadsheetml.worksheet+xml" PartName="/xl/worksheets/sheet2522.xml"/>
  <Override ContentType="application/vnd.openxmlformats-officedocument.spreadsheetml.worksheet+xml" PartName="/xl/worksheets/sheet2523.xml"/>
  <Override ContentType="application/vnd.openxmlformats-officedocument.spreadsheetml.worksheet+xml" PartName="/xl/worksheets/sheet2524.xml"/>
  <Override ContentType="application/vnd.openxmlformats-officedocument.spreadsheetml.worksheet+xml" PartName="/xl/worksheets/sheet2525.xml"/>
  <Override ContentType="application/vnd.openxmlformats-officedocument.spreadsheetml.worksheet+xml" PartName="/xl/worksheets/sheet2526.xml"/>
  <Override ContentType="application/vnd.openxmlformats-officedocument.spreadsheetml.worksheet+xml" PartName="/xl/worksheets/sheet2527.xml"/>
  <Override ContentType="application/vnd.openxmlformats-officedocument.spreadsheetml.worksheet+xml" PartName="/xl/worksheets/sheet2528.xml"/>
  <Override ContentType="application/vnd.openxmlformats-officedocument.spreadsheetml.worksheet+xml" PartName="/xl/worksheets/sheet2529.xml"/>
  <Override ContentType="application/vnd.openxmlformats-officedocument.spreadsheetml.worksheet+xml" PartName="/xl/worksheets/sheet2530.xml"/>
  <Override ContentType="application/vnd.openxmlformats-officedocument.spreadsheetml.worksheet+xml" PartName="/xl/worksheets/sheet2531.xml"/>
  <Override ContentType="application/vnd.openxmlformats-officedocument.spreadsheetml.worksheet+xml" PartName="/xl/worksheets/sheet2532.xml"/>
  <Override ContentType="application/vnd.openxmlformats-officedocument.spreadsheetml.worksheet+xml" PartName="/xl/worksheets/sheet2533.xml"/>
  <Override ContentType="application/vnd.openxmlformats-officedocument.spreadsheetml.worksheet+xml" PartName="/xl/worksheets/sheet2534.xml"/>
  <Override ContentType="application/vnd.openxmlformats-officedocument.spreadsheetml.worksheet+xml" PartName="/xl/worksheets/sheet2535.xml"/>
  <Override ContentType="application/vnd.openxmlformats-officedocument.spreadsheetml.worksheet+xml" PartName="/xl/worksheets/sheet2536.xml"/>
  <Override ContentType="application/vnd.openxmlformats-officedocument.spreadsheetml.worksheet+xml" PartName="/xl/worksheets/sheet2537.xml"/>
  <Override ContentType="application/vnd.openxmlformats-officedocument.spreadsheetml.worksheet+xml" PartName="/xl/worksheets/sheet2538.xml"/>
  <Override ContentType="application/vnd.openxmlformats-officedocument.spreadsheetml.worksheet+xml" PartName="/xl/worksheets/sheet2539.xml"/>
  <Override ContentType="application/vnd.openxmlformats-officedocument.spreadsheetml.worksheet+xml" PartName="/xl/worksheets/sheet2540.xml"/>
  <Override ContentType="application/vnd.openxmlformats-officedocument.spreadsheetml.worksheet+xml" PartName="/xl/worksheets/sheet2541.xml"/>
  <Override ContentType="application/vnd.openxmlformats-officedocument.spreadsheetml.worksheet+xml" PartName="/xl/worksheets/sheet2542.xml"/>
  <Override ContentType="application/vnd.openxmlformats-officedocument.spreadsheetml.worksheet+xml" PartName="/xl/worksheets/sheet2543.xml"/>
  <Override ContentType="application/vnd.openxmlformats-officedocument.spreadsheetml.worksheet+xml" PartName="/xl/worksheets/sheet2544.xml"/>
  <Override ContentType="application/vnd.openxmlformats-officedocument.spreadsheetml.worksheet+xml" PartName="/xl/worksheets/sheet2545.xml"/>
  <Override ContentType="application/vnd.openxmlformats-officedocument.spreadsheetml.worksheet+xml" PartName="/xl/worksheets/sheet2546.xml"/>
  <Override ContentType="application/vnd.openxmlformats-officedocument.spreadsheetml.worksheet+xml" PartName="/xl/worksheets/sheet2547.xml"/>
  <Override ContentType="application/vnd.openxmlformats-officedocument.spreadsheetml.worksheet+xml" PartName="/xl/worksheets/sheet2548.xml"/>
  <Override ContentType="application/vnd.openxmlformats-officedocument.spreadsheetml.worksheet+xml" PartName="/xl/worksheets/sheet2549.xml"/>
  <Override ContentType="application/vnd.openxmlformats-officedocument.spreadsheetml.worksheet+xml" PartName="/xl/worksheets/sheet2550.xml"/>
  <Override ContentType="application/vnd.openxmlformats-officedocument.spreadsheetml.worksheet+xml" PartName="/xl/worksheets/sheet2551.xml"/>
  <Override ContentType="application/vnd.openxmlformats-officedocument.spreadsheetml.worksheet+xml" PartName="/xl/worksheets/sheet2552.xml"/>
  <Override ContentType="application/vnd.openxmlformats-officedocument.spreadsheetml.worksheet+xml" PartName="/xl/worksheets/sheet2553.xml"/>
  <Override ContentType="application/vnd.openxmlformats-officedocument.spreadsheetml.worksheet+xml" PartName="/xl/worksheets/sheet2554.xml"/>
  <Override ContentType="application/vnd.openxmlformats-officedocument.spreadsheetml.worksheet+xml" PartName="/xl/worksheets/sheet2555.xml"/>
  <Override ContentType="application/vnd.openxmlformats-officedocument.spreadsheetml.worksheet+xml" PartName="/xl/worksheets/sheet2556.xml"/>
  <Override ContentType="application/vnd.openxmlformats-officedocument.spreadsheetml.worksheet+xml" PartName="/xl/worksheets/sheet2557.xml"/>
  <Override ContentType="application/vnd.openxmlformats-officedocument.spreadsheetml.worksheet+xml" PartName="/xl/worksheets/sheet2558.xml"/>
  <Override ContentType="application/vnd.openxmlformats-officedocument.spreadsheetml.worksheet+xml" PartName="/xl/worksheets/sheet2559.xml"/>
  <Override ContentType="application/vnd.openxmlformats-officedocument.spreadsheetml.worksheet+xml" PartName="/xl/worksheets/sheet2560.xml"/>
  <Override ContentType="application/vnd.openxmlformats-officedocument.spreadsheetml.worksheet+xml" PartName="/xl/worksheets/sheet2561.xml"/>
  <Override ContentType="application/vnd.openxmlformats-officedocument.spreadsheetml.worksheet+xml" PartName="/xl/worksheets/sheet2562.xml"/>
  <Override ContentType="application/vnd.openxmlformats-officedocument.spreadsheetml.worksheet+xml" PartName="/xl/worksheets/sheet2563.xml"/>
  <Override ContentType="application/vnd.openxmlformats-officedocument.spreadsheetml.worksheet+xml" PartName="/xl/worksheets/sheet2564.xml"/>
  <Override ContentType="application/vnd.openxmlformats-officedocument.spreadsheetml.worksheet+xml" PartName="/xl/worksheets/sheet2565.xml"/>
  <Override ContentType="application/vnd.openxmlformats-officedocument.spreadsheetml.worksheet+xml" PartName="/xl/worksheets/sheet2566.xml"/>
  <Override ContentType="application/vnd.openxmlformats-officedocument.spreadsheetml.worksheet+xml" PartName="/xl/worksheets/sheet2567.xml"/>
  <Override ContentType="application/vnd.openxmlformats-officedocument.spreadsheetml.worksheet+xml" PartName="/xl/worksheets/sheet2568.xml"/>
  <Override ContentType="application/vnd.openxmlformats-officedocument.spreadsheetml.worksheet+xml" PartName="/xl/worksheets/sheet2569.xml"/>
  <Override ContentType="application/vnd.openxmlformats-officedocument.spreadsheetml.worksheet+xml" PartName="/xl/worksheets/sheet2570.xml"/>
  <Override ContentType="application/vnd.openxmlformats-officedocument.spreadsheetml.worksheet+xml" PartName="/xl/worksheets/sheet2571.xml"/>
  <Override ContentType="application/vnd.openxmlformats-officedocument.spreadsheetml.worksheet+xml" PartName="/xl/worksheets/sheet2572.xml"/>
  <Override ContentType="application/vnd.openxmlformats-officedocument.spreadsheetml.worksheet+xml" PartName="/xl/worksheets/sheet2573.xml"/>
  <Override ContentType="application/vnd.openxmlformats-officedocument.spreadsheetml.worksheet+xml" PartName="/xl/worksheets/sheet2574.xml"/>
  <Override ContentType="application/vnd.openxmlformats-officedocument.spreadsheetml.worksheet+xml" PartName="/xl/worksheets/sheet2575.xml"/>
  <Override ContentType="application/vnd.openxmlformats-officedocument.spreadsheetml.worksheet+xml" PartName="/xl/worksheets/sheet2576.xml"/>
  <Override ContentType="application/vnd.openxmlformats-officedocument.spreadsheetml.worksheet+xml" PartName="/xl/worksheets/sheet2577.xml"/>
  <Override ContentType="application/vnd.openxmlformats-officedocument.spreadsheetml.worksheet+xml" PartName="/xl/worksheets/sheet2578.xml"/>
  <Override ContentType="application/vnd.openxmlformats-officedocument.spreadsheetml.worksheet+xml" PartName="/xl/worksheets/sheet2579.xml"/>
  <Override ContentType="application/vnd.openxmlformats-officedocument.spreadsheetml.worksheet+xml" PartName="/xl/worksheets/sheet2580.xml"/>
  <Override ContentType="application/vnd.openxmlformats-officedocument.spreadsheetml.worksheet+xml" PartName="/xl/worksheets/sheet2581.xml"/>
  <Override ContentType="application/vnd.openxmlformats-officedocument.spreadsheetml.worksheet+xml" PartName="/xl/worksheets/sheet2582.xml"/>
  <Override ContentType="application/vnd.openxmlformats-officedocument.spreadsheetml.worksheet+xml" PartName="/xl/worksheets/sheet2583.xml"/>
  <Override ContentType="application/vnd.openxmlformats-officedocument.spreadsheetml.worksheet+xml" PartName="/xl/worksheets/sheet2584.xml"/>
  <Override ContentType="application/vnd.openxmlformats-officedocument.spreadsheetml.worksheet+xml" PartName="/xl/worksheets/sheet2585.xml"/>
  <Override ContentType="application/vnd.openxmlformats-officedocument.spreadsheetml.worksheet+xml" PartName="/xl/worksheets/sheet2586.xml"/>
  <Override ContentType="application/vnd.openxmlformats-officedocument.spreadsheetml.worksheet+xml" PartName="/xl/worksheets/sheet2587.xml"/>
  <Override ContentType="application/vnd.openxmlformats-officedocument.spreadsheetml.worksheet+xml" PartName="/xl/worksheets/sheet2588.xml"/>
  <Override ContentType="application/vnd.openxmlformats-officedocument.spreadsheetml.worksheet+xml" PartName="/xl/worksheets/sheet2589.xml"/>
  <Override ContentType="application/vnd.openxmlformats-officedocument.spreadsheetml.worksheet+xml" PartName="/xl/worksheets/sheet2590.xml"/>
  <Override ContentType="application/vnd.openxmlformats-officedocument.spreadsheetml.worksheet+xml" PartName="/xl/worksheets/sheet2591.xml"/>
  <Override ContentType="application/vnd.openxmlformats-officedocument.spreadsheetml.worksheet+xml" PartName="/xl/worksheets/sheet2592.xml"/>
  <Override ContentType="application/vnd.openxmlformats-officedocument.spreadsheetml.worksheet+xml" PartName="/xl/worksheets/sheet2593.xml"/>
  <Override ContentType="application/vnd.openxmlformats-officedocument.spreadsheetml.worksheet+xml" PartName="/xl/worksheets/sheet2594.xml"/>
  <Override ContentType="application/vnd.openxmlformats-officedocument.spreadsheetml.worksheet+xml" PartName="/xl/worksheets/sheet2595.xml"/>
  <Override ContentType="application/vnd.openxmlformats-officedocument.spreadsheetml.worksheet+xml" PartName="/xl/worksheets/sheet2596.xml"/>
  <Override ContentType="application/vnd.openxmlformats-officedocument.spreadsheetml.worksheet+xml" PartName="/xl/worksheets/sheet2597.xml"/>
  <Override ContentType="application/vnd.openxmlformats-officedocument.spreadsheetml.worksheet+xml" PartName="/xl/worksheets/sheet2598.xml"/>
  <Override ContentType="application/vnd.openxmlformats-officedocument.spreadsheetml.worksheet+xml" PartName="/xl/worksheets/sheet2599.xml"/>
  <Override ContentType="application/vnd.openxmlformats-officedocument.spreadsheetml.worksheet+xml" PartName="/xl/worksheets/sheet2600.xml"/>
  <Override ContentType="application/vnd.openxmlformats-officedocument.spreadsheetml.worksheet+xml" PartName="/xl/worksheets/sheet2601.xml"/>
  <Override ContentType="application/vnd.openxmlformats-officedocument.spreadsheetml.worksheet+xml" PartName="/xl/worksheets/sheet2602.xml"/>
  <Override ContentType="application/vnd.openxmlformats-officedocument.spreadsheetml.worksheet+xml" PartName="/xl/worksheets/sheet2603.xml"/>
  <Override ContentType="application/vnd.openxmlformats-officedocument.spreadsheetml.worksheet+xml" PartName="/xl/worksheets/sheet2604.xml"/>
  <Override ContentType="application/vnd.openxmlformats-officedocument.spreadsheetml.worksheet+xml" PartName="/xl/worksheets/sheet2605.xml"/>
  <Override ContentType="application/vnd.openxmlformats-officedocument.spreadsheetml.worksheet+xml" PartName="/xl/worksheets/sheet2606.xml"/>
  <Override ContentType="application/vnd.openxmlformats-officedocument.spreadsheetml.worksheet+xml" PartName="/xl/worksheets/sheet2607.xml"/>
  <Override ContentType="application/vnd.openxmlformats-officedocument.spreadsheetml.worksheet+xml" PartName="/xl/worksheets/sheet2608.xml"/>
  <Override ContentType="application/vnd.openxmlformats-officedocument.spreadsheetml.worksheet+xml" PartName="/xl/worksheets/sheet2609.xml"/>
  <Override ContentType="application/vnd.openxmlformats-officedocument.spreadsheetml.worksheet+xml" PartName="/xl/worksheets/sheet2610.xml"/>
  <Override ContentType="application/vnd.openxmlformats-officedocument.spreadsheetml.worksheet+xml" PartName="/xl/worksheets/sheet2611.xml"/>
  <Override ContentType="application/vnd.openxmlformats-officedocument.spreadsheetml.worksheet+xml" PartName="/xl/worksheets/sheet2612.xml"/>
  <Override ContentType="application/vnd.openxmlformats-officedocument.spreadsheetml.worksheet+xml" PartName="/xl/worksheets/sheet2613.xml"/>
  <Override ContentType="application/vnd.openxmlformats-officedocument.spreadsheetml.worksheet+xml" PartName="/xl/worksheets/sheet2614.xml"/>
  <Override ContentType="application/vnd.openxmlformats-officedocument.spreadsheetml.worksheet+xml" PartName="/xl/worksheets/sheet2615.xml"/>
  <Override ContentType="application/vnd.openxmlformats-officedocument.spreadsheetml.worksheet+xml" PartName="/xl/worksheets/sheet2616.xml"/>
  <Override ContentType="application/vnd.openxmlformats-officedocument.spreadsheetml.worksheet+xml" PartName="/xl/worksheets/sheet2617.xml"/>
  <Override ContentType="application/vnd.openxmlformats-officedocument.spreadsheetml.worksheet+xml" PartName="/xl/worksheets/sheet2618.xml"/>
  <Override ContentType="application/vnd.openxmlformats-officedocument.spreadsheetml.worksheet+xml" PartName="/xl/worksheets/sheet2619.xml"/>
  <Override ContentType="application/vnd.openxmlformats-officedocument.spreadsheetml.worksheet+xml" PartName="/xl/worksheets/sheet2620.xml"/>
  <Override ContentType="application/vnd.openxmlformats-officedocument.spreadsheetml.worksheet+xml" PartName="/xl/worksheets/sheet2621.xml"/>
  <Override ContentType="application/vnd.openxmlformats-officedocument.spreadsheetml.worksheet+xml" PartName="/xl/worksheets/sheet2622.xml"/>
  <Override ContentType="application/vnd.openxmlformats-officedocument.spreadsheetml.worksheet+xml" PartName="/xl/worksheets/sheet2623.xml"/>
  <Override ContentType="application/vnd.openxmlformats-officedocument.spreadsheetml.worksheet+xml" PartName="/xl/worksheets/sheet2624.xml"/>
  <Override ContentType="application/vnd.openxmlformats-officedocument.spreadsheetml.worksheet+xml" PartName="/xl/worksheets/sheet2625.xml"/>
  <Override ContentType="application/vnd.openxmlformats-officedocument.spreadsheetml.worksheet+xml" PartName="/xl/worksheets/sheet2626.xml"/>
  <Override ContentType="application/vnd.openxmlformats-officedocument.spreadsheetml.worksheet+xml" PartName="/xl/worksheets/sheet2627.xml"/>
  <Override ContentType="application/vnd.openxmlformats-officedocument.spreadsheetml.worksheet+xml" PartName="/xl/worksheets/sheet2628.xml"/>
  <Override ContentType="application/vnd.openxmlformats-officedocument.spreadsheetml.worksheet+xml" PartName="/xl/worksheets/sheet2629.xml"/>
  <Override ContentType="application/vnd.openxmlformats-officedocument.spreadsheetml.worksheet+xml" PartName="/xl/worksheets/sheet2630.xml"/>
  <Override ContentType="application/vnd.openxmlformats-officedocument.spreadsheetml.worksheet+xml" PartName="/xl/worksheets/sheet2631.xml"/>
  <Override ContentType="application/vnd.openxmlformats-officedocument.spreadsheetml.worksheet+xml" PartName="/xl/worksheets/sheet2632.xml"/>
  <Override ContentType="application/vnd.openxmlformats-officedocument.spreadsheetml.worksheet+xml" PartName="/xl/worksheets/sheet2633.xml"/>
  <Override ContentType="application/vnd.openxmlformats-officedocument.spreadsheetml.worksheet+xml" PartName="/xl/worksheets/sheet2634.xml"/>
  <Override ContentType="application/vnd.openxmlformats-officedocument.spreadsheetml.worksheet+xml" PartName="/xl/worksheets/sheet2635.xml"/>
  <Override ContentType="application/vnd.openxmlformats-officedocument.spreadsheetml.worksheet+xml" PartName="/xl/worksheets/sheet2636.xml"/>
  <Override ContentType="application/vnd.openxmlformats-officedocument.spreadsheetml.worksheet+xml" PartName="/xl/worksheets/sheet2637.xml"/>
  <Override ContentType="application/vnd.openxmlformats-officedocument.spreadsheetml.worksheet+xml" PartName="/xl/worksheets/sheet2638.xml"/>
  <Override ContentType="application/vnd.openxmlformats-officedocument.spreadsheetml.worksheet+xml" PartName="/xl/worksheets/sheet2639.xml"/>
  <Override ContentType="application/vnd.openxmlformats-officedocument.spreadsheetml.worksheet+xml" PartName="/xl/worksheets/sheet2640.xml"/>
  <Override ContentType="application/vnd.openxmlformats-officedocument.spreadsheetml.worksheet+xml" PartName="/xl/worksheets/sheet2641.xml"/>
  <Override ContentType="application/vnd.openxmlformats-officedocument.spreadsheetml.worksheet+xml" PartName="/xl/worksheets/sheet2642.xml"/>
  <Override ContentType="application/vnd.openxmlformats-officedocument.spreadsheetml.worksheet+xml" PartName="/xl/worksheets/sheet2643.xml"/>
  <Override ContentType="application/vnd.openxmlformats-officedocument.spreadsheetml.worksheet+xml" PartName="/xl/worksheets/sheet2644.xml"/>
  <Override ContentType="application/vnd.openxmlformats-officedocument.spreadsheetml.worksheet+xml" PartName="/xl/worksheets/sheet2645.xml"/>
  <Override ContentType="application/vnd.openxmlformats-officedocument.spreadsheetml.worksheet+xml" PartName="/xl/worksheets/sheet2646.xml"/>
  <Override ContentType="application/vnd.openxmlformats-officedocument.spreadsheetml.worksheet+xml" PartName="/xl/worksheets/sheet2647.xml"/>
  <Override ContentType="application/vnd.openxmlformats-officedocument.spreadsheetml.worksheet+xml" PartName="/xl/worksheets/sheet2648.xml"/>
  <Override ContentType="application/vnd.openxmlformats-officedocument.spreadsheetml.worksheet+xml" PartName="/xl/worksheets/sheet2649.xml"/>
  <Override ContentType="application/vnd.openxmlformats-officedocument.spreadsheetml.worksheet+xml" PartName="/xl/worksheets/sheet2650.xml"/>
  <Override ContentType="application/vnd.openxmlformats-officedocument.spreadsheetml.worksheet+xml" PartName="/xl/worksheets/sheet2651.xml"/>
  <Override ContentType="application/vnd.openxmlformats-officedocument.spreadsheetml.worksheet+xml" PartName="/xl/worksheets/sheet2652.xml"/>
  <Override ContentType="application/vnd.openxmlformats-officedocument.spreadsheetml.worksheet+xml" PartName="/xl/worksheets/sheet2653.xml"/>
  <Override ContentType="application/vnd.openxmlformats-officedocument.spreadsheetml.worksheet+xml" PartName="/xl/worksheets/sheet2654.xml"/>
  <Override ContentType="application/vnd.openxmlformats-officedocument.spreadsheetml.worksheet+xml" PartName="/xl/worksheets/sheet2655.xml"/>
  <Override ContentType="application/vnd.openxmlformats-officedocument.spreadsheetml.worksheet+xml" PartName="/xl/worksheets/sheet2656.xml"/>
  <Override ContentType="application/vnd.openxmlformats-officedocument.spreadsheetml.worksheet+xml" PartName="/xl/worksheets/sheet2657.xml"/>
  <Override ContentType="application/vnd.openxmlformats-officedocument.spreadsheetml.worksheet+xml" PartName="/xl/worksheets/sheet2658.xml"/>
  <Override ContentType="application/vnd.openxmlformats-officedocument.spreadsheetml.worksheet+xml" PartName="/xl/worksheets/sheet2659.xml"/>
  <Override ContentType="application/vnd.openxmlformats-officedocument.spreadsheetml.worksheet+xml" PartName="/xl/worksheets/sheet2660.xml"/>
  <Override ContentType="application/vnd.openxmlformats-officedocument.spreadsheetml.worksheet+xml" PartName="/xl/worksheets/sheet2661.xml"/>
  <Override ContentType="application/vnd.openxmlformats-officedocument.spreadsheetml.worksheet+xml" PartName="/xl/worksheets/sheet2662.xml"/>
  <Override ContentType="application/vnd.openxmlformats-officedocument.spreadsheetml.worksheet+xml" PartName="/xl/worksheets/sheet2663.xml"/>
  <Override ContentType="application/vnd.openxmlformats-officedocument.spreadsheetml.worksheet+xml" PartName="/xl/worksheets/sheet2664.xml"/>
  <Override ContentType="application/vnd.openxmlformats-officedocument.spreadsheetml.worksheet+xml" PartName="/xl/worksheets/sheet2665.xml"/>
  <Override ContentType="application/vnd.openxmlformats-officedocument.spreadsheetml.worksheet+xml" PartName="/xl/worksheets/sheet2666.xml"/>
  <Override ContentType="application/vnd.openxmlformats-officedocument.spreadsheetml.worksheet+xml" PartName="/xl/worksheets/sheet2667.xml"/>
  <Override ContentType="application/vnd.openxmlformats-officedocument.spreadsheetml.worksheet+xml" PartName="/xl/worksheets/sheet2668.xml"/>
  <Override ContentType="application/vnd.openxmlformats-officedocument.spreadsheetml.worksheet+xml" PartName="/xl/worksheets/sheet2669.xml"/>
  <Override ContentType="application/vnd.openxmlformats-officedocument.spreadsheetml.worksheet+xml" PartName="/xl/worksheets/sheet2670.xml"/>
  <Override ContentType="application/vnd.openxmlformats-officedocument.spreadsheetml.worksheet+xml" PartName="/xl/worksheets/sheet2671.xml"/>
  <Override ContentType="application/vnd.openxmlformats-officedocument.spreadsheetml.worksheet+xml" PartName="/xl/worksheets/sheet2672.xml"/>
  <Override ContentType="application/vnd.openxmlformats-officedocument.spreadsheetml.worksheet+xml" PartName="/xl/worksheets/sheet2673.xml"/>
  <Override ContentType="application/vnd.openxmlformats-officedocument.spreadsheetml.worksheet+xml" PartName="/xl/worksheets/sheet2674.xml"/>
  <Override ContentType="application/vnd.openxmlformats-officedocument.spreadsheetml.worksheet+xml" PartName="/xl/worksheets/sheet2675.xml"/>
  <Override ContentType="application/vnd.openxmlformats-officedocument.spreadsheetml.worksheet+xml" PartName="/xl/worksheets/sheet2676.xml"/>
  <Override ContentType="application/vnd.openxmlformats-officedocument.spreadsheetml.worksheet+xml" PartName="/xl/worksheets/sheet2677.xml"/>
  <Override ContentType="application/vnd.openxmlformats-officedocument.spreadsheetml.worksheet+xml" PartName="/xl/worksheets/sheet2678.xml"/>
  <Override ContentType="application/vnd.openxmlformats-officedocument.spreadsheetml.worksheet+xml" PartName="/xl/worksheets/sheet2679.xml"/>
  <Override ContentType="application/vnd.openxmlformats-officedocument.spreadsheetml.worksheet+xml" PartName="/xl/worksheets/sheet2680.xml"/>
  <Override ContentType="application/vnd.openxmlformats-officedocument.spreadsheetml.worksheet+xml" PartName="/xl/worksheets/sheet2681.xml"/>
  <Override ContentType="application/vnd.openxmlformats-officedocument.spreadsheetml.worksheet+xml" PartName="/xl/worksheets/sheet2682.xml"/>
  <Override ContentType="application/vnd.openxmlformats-officedocument.spreadsheetml.worksheet+xml" PartName="/xl/worksheets/sheet2683.xml"/>
  <Override ContentType="application/vnd.openxmlformats-officedocument.spreadsheetml.worksheet+xml" PartName="/xl/worksheets/sheet2684.xml"/>
  <Override ContentType="application/vnd.openxmlformats-officedocument.spreadsheetml.worksheet+xml" PartName="/xl/worksheets/sheet2685.xml"/>
  <Override ContentType="application/vnd.openxmlformats-officedocument.spreadsheetml.worksheet+xml" PartName="/xl/worksheets/sheet2686.xml"/>
  <Override ContentType="application/vnd.openxmlformats-officedocument.spreadsheetml.worksheet+xml" PartName="/xl/worksheets/sheet2687.xml"/>
  <Override ContentType="application/vnd.openxmlformats-officedocument.spreadsheetml.worksheet+xml" PartName="/xl/worksheets/sheet2688.xml"/>
  <Override ContentType="application/vnd.openxmlformats-officedocument.spreadsheetml.worksheet+xml" PartName="/xl/worksheets/sheet2689.xml"/>
  <Override ContentType="application/vnd.openxmlformats-officedocument.spreadsheetml.worksheet+xml" PartName="/xl/worksheets/sheet2690.xml"/>
  <Override ContentType="application/vnd.openxmlformats-officedocument.spreadsheetml.worksheet+xml" PartName="/xl/worksheets/sheet2691.xml"/>
  <Override ContentType="application/vnd.openxmlformats-officedocument.spreadsheetml.worksheet+xml" PartName="/xl/worksheets/sheet2692.xml"/>
  <Override ContentType="application/vnd.openxmlformats-officedocument.spreadsheetml.worksheet+xml" PartName="/xl/worksheets/sheet2693.xml"/>
  <Override ContentType="application/vnd.openxmlformats-officedocument.spreadsheetml.worksheet+xml" PartName="/xl/worksheets/sheet2694.xml"/>
  <Override ContentType="application/vnd.openxmlformats-officedocument.spreadsheetml.worksheet+xml" PartName="/xl/worksheets/sheet2695.xml"/>
  <Override ContentType="application/vnd.openxmlformats-officedocument.spreadsheetml.worksheet+xml" PartName="/xl/worksheets/sheet2696.xml"/>
  <Override ContentType="application/vnd.openxmlformats-officedocument.spreadsheetml.worksheet+xml" PartName="/xl/worksheets/sheet2697.xml"/>
  <Override ContentType="application/vnd.openxmlformats-officedocument.spreadsheetml.worksheet+xml" PartName="/xl/worksheets/sheet2698.xml"/>
  <Override ContentType="application/vnd.openxmlformats-officedocument.spreadsheetml.worksheet+xml" PartName="/xl/worksheets/sheet2699.xml"/>
  <Override ContentType="application/vnd.openxmlformats-officedocument.spreadsheetml.worksheet+xml" PartName="/xl/worksheets/sheet2700.xml"/>
  <Override ContentType="application/vnd.openxmlformats-officedocument.spreadsheetml.worksheet+xml" PartName="/xl/worksheets/sheet2701.xml"/>
  <Override ContentType="application/vnd.openxmlformats-officedocument.spreadsheetml.worksheet+xml" PartName="/xl/worksheets/sheet2702.xml"/>
  <Override ContentType="application/vnd.openxmlformats-officedocument.spreadsheetml.worksheet+xml" PartName="/xl/worksheets/sheet2703.xml"/>
  <Override ContentType="application/vnd.openxmlformats-officedocument.spreadsheetml.worksheet+xml" PartName="/xl/worksheets/sheet2704.xml"/>
  <Override ContentType="application/vnd.openxmlformats-officedocument.spreadsheetml.worksheet+xml" PartName="/xl/worksheets/sheet2705.xml"/>
  <Override ContentType="application/vnd.openxmlformats-officedocument.spreadsheetml.worksheet+xml" PartName="/xl/worksheets/sheet2706.xml"/>
  <Override ContentType="application/vnd.openxmlformats-officedocument.spreadsheetml.worksheet+xml" PartName="/xl/worksheets/sheet2707.xml"/>
  <Override ContentType="application/vnd.openxmlformats-officedocument.spreadsheetml.worksheet+xml" PartName="/xl/worksheets/sheet2708.xml"/>
  <Override ContentType="application/vnd.openxmlformats-officedocument.spreadsheetml.worksheet+xml" PartName="/xl/worksheets/sheet2709.xml"/>
  <Override ContentType="application/vnd.openxmlformats-officedocument.spreadsheetml.worksheet+xml" PartName="/xl/worksheets/sheet2710.xml"/>
  <Override ContentType="application/vnd.openxmlformats-officedocument.spreadsheetml.worksheet+xml" PartName="/xl/worksheets/sheet2711.xml"/>
  <Override ContentType="application/vnd.openxmlformats-officedocument.spreadsheetml.worksheet+xml" PartName="/xl/worksheets/sheet2712.xml"/>
  <Override ContentType="application/vnd.openxmlformats-officedocument.spreadsheetml.worksheet+xml" PartName="/xl/worksheets/sheet2713.xml"/>
  <Override ContentType="application/vnd.openxmlformats-officedocument.spreadsheetml.worksheet+xml" PartName="/xl/worksheets/sheet2714.xml"/>
  <Override ContentType="application/vnd.openxmlformats-officedocument.spreadsheetml.worksheet+xml" PartName="/xl/worksheets/sheet2715.xml"/>
  <Override ContentType="application/vnd.openxmlformats-officedocument.spreadsheetml.worksheet+xml" PartName="/xl/worksheets/sheet2716.xml"/>
  <Override ContentType="application/vnd.openxmlformats-officedocument.spreadsheetml.worksheet+xml" PartName="/xl/worksheets/sheet2717.xml"/>
  <Override ContentType="application/vnd.openxmlformats-officedocument.spreadsheetml.worksheet+xml" PartName="/xl/worksheets/sheet2718.xml"/>
  <Override ContentType="application/vnd.openxmlformats-officedocument.spreadsheetml.worksheet+xml" PartName="/xl/worksheets/sheet2719.xml"/>
  <Override ContentType="application/vnd.openxmlformats-officedocument.spreadsheetml.worksheet+xml" PartName="/xl/worksheets/sheet2720.xml"/>
  <Override ContentType="application/vnd.openxmlformats-officedocument.spreadsheetml.worksheet+xml" PartName="/xl/worksheets/sheet2721.xml"/>
  <Override ContentType="application/vnd.openxmlformats-officedocument.spreadsheetml.worksheet+xml" PartName="/xl/worksheets/sheet2722.xml"/>
  <Override ContentType="application/vnd.openxmlformats-officedocument.spreadsheetml.worksheet+xml" PartName="/xl/worksheets/sheet2723.xml"/>
  <Override ContentType="application/vnd.openxmlformats-officedocument.spreadsheetml.worksheet+xml" PartName="/xl/worksheets/sheet2724.xml"/>
  <Override ContentType="application/vnd.openxmlformats-officedocument.spreadsheetml.worksheet+xml" PartName="/xl/worksheets/sheet2725.xml"/>
  <Override ContentType="application/vnd.openxmlformats-officedocument.spreadsheetml.worksheet+xml" PartName="/xl/worksheets/sheet2726.xml"/>
  <Override ContentType="application/vnd.openxmlformats-officedocument.spreadsheetml.worksheet+xml" PartName="/xl/worksheets/sheet2727.xml"/>
  <Override ContentType="application/vnd.openxmlformats-officedocument.spreadsheetml.worksheet+xml" PartName="/xl/worksheets/sheet2728.xml"/>
  <Override ContentType="application/vnd.openxmlformats-officedocument.spreadsheetml.worksheet+xml" PartName="/xl/worksheets/sheet2729.xml"/>
  <Override ContentType="application/vnd.openxmlformats-officedocument.spreadsheetml.worksheet+xml" PartName="/xl/worksheets/sheet2730.xml"/>
  <Override ContentType="application/vnd.openxmlformats-officedocument.spreadsheetml.worksheet+xml" PartName="/xl/worksheets/sheet2731.xml"/>
  <Override ContentType="application/vnd.openxmlformats-officedocument.spreadsheetml.worksheet+xml" PartName="/xl/worksheets/sheet2732.xml"/>
  <Override ContentType="application/vnd.openxmlformats-officedocument.spreadsheetml.worksheet+xml" PartName="/xl/worksheets/sheet2733.xml"/>
  <Override ContentType="application/vnd.openxmlformats-officedocument.spreadsheetml.worksheet+xml" PartName="/xl/worksheets/sheet2734.xml"/>
  <Override ContentType="application/vnd.openxmlformats-officedocument.spreadsheetml.worksheet+xml" PartName="/xl/worksheets/sheet2735.xml"/>
  <Override ContentType="application/vnd.openxmlformats-officedocument.spreadsheetml.worksheet+xml" PartName="/xl/worksheets/sheet2736.xml"/>
  <Override ContentType="application/vnd.openxmlformats-officedocument.spreadsheetml.worksheet+xml" PartName="/xl/worksheets/sheet2737.xml"/>
  <Override ContentType="application/vnd.openxmlformats-officedocument.spreadsheetml.worksheet+xml" PartName="/xl/worksheets/sheet2738.xml"/>
  <Override ContentType="application/vnd.openxmlformats-officedocument.spreadsheetml.worksheet+xml" PartName="/xl/worksheets/sheet2739.xml"/>
  <Override ContentType="application/vnd.openxmlformats-officedocument.spreadsheetml.worksheet+xml" PartName="/xl/worksheets/sheet2740.xml"/>
  <Override ContentType="application/vnd.openxmlformats-officedocument.spreadsheetml.worksheet+xml" PartName="/xl/worksheets/sheet2741.xml"/>
  <Override ContentType="application/vnd.openxmlformats-officedocument.spreadsheetml.worksheet+xml" PartName="/xl/worksheets/sheet2742.xml"/>
  <Override ContentType="application/vnd.openxmlformats-officedocument.spreadsheetml.worksheet+xml" PartName="/xl/worksheets/sheet2743.xml"/>
  <Override ContentType="application/vnd.openxmlformats-officedocument.spreadsheetml.worksheet+xml" PartName="/xl/worksheets/sheet2744.xml"/>
  <Override ContentType="application/vnd.openxmlformats-officedocument.spreadsheetml.worksheet+xml" PartName="/xl/worksheets/sheet2745.xml"/>
  <Override ContentType="application/vnd.openxmlformats-officedocument.spreadsheetml.worksheet+xml" PartName="/xl/worksheets/sheet2746.xml"/>
  <Override ContentType="application/vnd.openxmlformats-officedocument.spreadsheetml.worksheet+xml" PartName="/xl/worksheets/sheet2747.xml"/>
  <Override ContentType="application/vnd.openxmlformats-officedocument.spreadsheetml.worksheet+xml" PartName="/xl/worksheets/sheet2748.xml"/>
  <Override ContentType="application/vnd.openxmlformats-officedocument.spreadsheetml.worksheet+xml" PartName="/xl/worksheets/sheet2749.xml"/>
  <Override ContentType="application/vnd.openxmlformats-officedocument.spreadsheetml.worksheet+xml" PartName="/xl/worksheets/sheet2750.xml"/>
  <Override ContentType="application/vnd.openxmlformats-officedocument.spreadsheetml.worksheet+xml" PartName="/xl/worksheets/sheet2751.xml"/>
  <Override ContentType="application/vnd.openxmlformats-officedocument.spreadsheetml.worksheet+xml" PartName="/xl/worksheets/sheet2752.xml"/>
  <Override ContentType="application/vnd.openxmlformats-officedocument.spreadsheetml.worksheet+xml" PartName="/xl/worksheets/sheet2753.xml"/>
  <Override ContentType="application/vnd.openxmlformats-officedocument.spreadsheetml.worksheet+xml" PartName="/xl/worksheets/sheet2754.xml"/>
  <Override ContentType="application/vnd.openxmlformats-officedocument.spreadsheetml.worksheet+xml" PartName="/xl/worksheets/sheet2755.xml"/>
  <Override ContentType="application/vnd.openxmlformats-officedocument.spreadsheetml.worksheet+xml" PartName="/xl/worksheets/sheet2756.xml"/>
  <Override ContentType="application/vnd.openxmlformats-officedocument.spreadsheetml.worksheet+xml" PartName="/xl/worksheets/sheet2757.xml"/>
  <Override ContentType="application/vnd.openxmlformats-officedocument.spreadsheetml.worksheet+xml" PartName="/xl/worksheets/sheet2758.xml"/>
  <Override ContentType="application/vnd.openxmlformats-officedocument.spreadsheetml.worksheet+xml" PartName="/xl/worksheets/sheet2759.xml"/>
  <Override ContentType="application/vnd.openxmlformats-officedocument.spreadsheetml.worksheet+xml" PartName="/xl/worksheets/sheet2760.xml"/>
  <Override ContentType="application/vnd.openxmlformats-officedocument.spreadsheetml.worksheet+xml" PartName="/xl/worksheets/sheet2761.xml"/>
  <Override ContentType="application/vnd.openxmlformats-officedocument.spreadsheetml.worksheet+xml" PartName="/xl/worksheets/sheet2762.xml"/>
  <Override ContentType="application/vnd.openxmlformats-officedocument.spreadsheetml.worksheet+xml" PartName="/xl/worksheets/sheet2763.xml"/>
  <Override ContentType="application/vnd.openxmlformats-officedocument.spreadsheetml.worksheet+xml" PartName="/xl/worksheets/sheet2764.xml"/>
  <Override ContentType="application/vnd.openxmlformats-officedocument.spreadsheetml.worksheet+xml" PartName="/xl/worksheets/sheet2765.xml"/>
  <Override ContentType="application/vnd.openxmlformats-officedocument.spreadsheetml.worksheet+xml" PartName="/xl/worksheets/sheet2766.xml"/>
  <Override ContentType="application/vnd.openxmlformats-officedocument.spreadsheetml.worksheet+xml" PartName="/xl/worksheets/sheet2767.xml"/>
  <Override ContentType="application/vnd.openxmlformats-officedocument.spreadsheetml.worksheet+xml" PartName="/xl/worksheets/sheet2768.xml"/>
  <Override ContentType="application/vnd.openxmlformats-officedocument.spreadsheetml.worksheet+xml" PartName="/xl/worksheets/sheet2769.xml"/>
  <Override ContentType="application/vnd.openxmlformats-officedocument.spreadsheetml.worksheet+xml" PartName="/xl/worksheets/sheet2770.xml"/>
  <Override ContentType="application/vnd.openxmlformats-officedocument.spreadsheetml.worksheet+xml" PartName="/xl/worksheets/sheet2771.xml"/>
  <Override ContentType="application/vnd.openxmlformats-officedocument.spreadsheetml.worksheet+xml" PartName="/xl/worksheets/sheet2772.xml"/>
  <Override ContentType="application/vnd.openxmlformats-officedocument.spreadsheetml.worksheet+xml" PartName="/xl/worksheets/sheet2773.xml"/>
  <Override ContentType="application/vnd.openxmlformats-officedocument.spreadsheetml.worksheet+xml" PartName="/xl/worksheets/sheet2774.xml"/>
  <Override ContentType="application/vnd.openxmlformats-officedocument.spreadsheetml.worksheet+xml" PartName="/xl/worksheets/sheet2775.xml"/>
  <Override ContentType="application/vnd.openxmlformats-officedocument.spreadsheetml.worksheet+xml" PartName="/xl/worksheets/sheet2776.xml"/>
  <Override ContentType="application/vnd.openxmlformats-officedocument.spreadsheetml.worksheet+xml" PartName="/xl/worksheets/sheet2777.xml"/>
  <Override ContentType="application/vnd.openxmlformats-officedocument.spreadsheetml.worksheet+xml" PartName="/xl/worksheets/sheet2778.xml"/>
  <Override ContentType="application/vnd.openxmlformats-officedocument.spreadsheetml.worksheet+xml" PartName="/xl/worksheets/sheet2779.xml"/>
  <Override ContentType="application/vnd.openxmlformats-officedocument.spreadsheetml.worksheet+xml" PartName="/xl/worksheets/sheet2780.xml"/>
  <Override ContentType="application/vnd.openxmlformats-officedocument.spreadsheetml.worksheet+xml" PartName="/xl/worksheets/sheet2781.xml"/>
  <Override ContentType="application/vnd.openxmlformats-officedocument.spreadsheetml.worksheet+xml" PartName="/xl/worksheets/sheet2782.xml"/>
  <Override ContentType="application/vnd.openxmlformats-officedocument.spreadsheetml.worksheet+xml" PartName="/xl/worksheets/sheet2783.xml"/>
  <Override ContentType="application/vnd.openxmlformats-officedocument.spreadsheetml.worksheet+xml" PartName="/xl/worksheets/sheet2784.xml"/>
  <Override ContentType="application/vnd.openxmlformats-officedocument.spreadsheetml.worksheet+xml" PartName="/xl/worksheets/sheet2785.xml"/>
  <Override ContentType="application/vnd.openxmlformats-officedocument.spreadsheetml.worksheet+xml" PartName="/xl/worksheets/sheet2786.xml"/>
  <Override ContentType="application/vnd.openxmlformats-officedocument.spreadsheetml.worksheet+xml" PartName="/xl/worksheets/sheet2787.xml"/>
  <Override ContentType="application/vnd.openxmlformats-officedocument.spreadsheetml.worksheet+xml" PartName="/xl/worksheets/sheet2788.xml"/>
  <Override ContentType="application/vnd.openxmlformats-officedocument.spreadsheetml.worksheet+xml" PartName="/xl/worksheets/sheet2789.xml"/>
  <Override ContentType="application/vnd.openxmlformats-officedocument.spreadsheetml.worksheet+xml" PartName="/xl/worksheets/sheet2790.xml"/>
  <Override ContentType="application/vnd.openxmlformats-officedocument.spreadsheetml.worksheet+xml" PartName="/xl/worksheets/sheet2791.xml"/>
  <Override ContentType="application/vnd.openxmlformats-officedocument.spreadsheetml.worksheet+xml" PartName="/xl/worksheets/sheet2792.xml"/>
  <Override ContentType="application/vnd.openxmlformats-officedocument.spreadsheetml.worksheet+xml" PartName="/xl/worksheets/sheet2793.xml"/>
  <Override ContentType="application/vnd.openxmlformats-officedocument.spreadsheetml.worksheet+xml" PartName="/xl/worksheets/sheet2794.xml"/>
  <Override ContentType="application/vnd.openxmlformats-officedocument.spreadsheetml.worksheet+xml" PartName="/xl/worksheets/sheet2795.xml"/>
  <Override ContentType="application/vnd.openxmlformats-officedocument.spreadsheetml.worksheet+xml" PartName="/xl/worksheets/sheet2796.xml"/>
  <Override ContentType="application/vnd.openxmlformats-officedocument.spreadsheetml.worksheet+xml" PartName="/xl/worksheets/sheet2797.xml"/>
  <Override ContentType="application/vnd.openxmlformats-officedocument.spreadsheetml.worksheet+xml" PartName="/xl/worksheets/sheet2798.xml"/>
  <Override ContentType="application/vnd.openxmlformats-officedocument.spreadsheetml.worksheet+xml" PartName="/xl/worksheets/sheet2799.xml"/>
  <Override ContentType="application/vnd.openxmlformats-officedocument.spreadsheetml.worksheet+xml" PartName="/xl/worksheets/sheet2800.xml"/>
  <Override ContentType="application/vnd.openxmlformats-officedocument.spreadsheetml.worksheet+xml" PartName="/xl/worksheets/sheet2801.xml"/>
  <Override ContentType="application/vnd.openxmlformats-officedocument.spreadsheetml.worksheet+xml" PartName="/xl/worksheets/sheet2802.xml"/>
  <Override ContentType="application/vnd.openxmlformats-officedocument.spreadsheetml.worksheet+xml" PartName="/xl/worksheets/sheet2803.xml"/>
  <Override ContentType="application/vnd.openxmlformats-officedocument.spreadsheetml.worksheet+xml" PartName="/xl/worksheets/sheet2804.xml"/>
  <Override ContentType="application/vnd.openxmlformats-officedocument.spreadsheetml.worksheet+xml" PartName="/xl/worksheets/sheet2805.xml"/>
  <Override ContentType="application/vnd.openxmlformats-officedocument.spreadsheetml.worksheet+xml" PartName="/xl/worksheets/sheet2806.xml"/>
  <Override ContentType="application/vnd.openxmlformats-officedocument.spreadsheetml.worksheet+xml" PartName="/xl/worksheets/sheet2807.xml"/>
  <Override ContentType="application/vnd.openxmlformats-officedocument.spreadsheetml.worksheet+xml" PartName="/xl/worksheets/sheet2808.xml"/>
  <Override ContentType="application/vnd.openxmlformats-officedocument.spreadsheetml.worksheet+xml" PartName="/xl/worksheets/sheet2809.xml"/>
  <Override ContentType="application/vnd.openxmlformats-officedocument.spreadsheetml.worksheet+xml" PartName="/xl/worksheets/sheet2810.xml"/>
  <Override ContentType="application/vnd.openxmlformats-officedocument.spreadsheetml.worksheet+xml" PartName="/xl/worksheets/sheet2811.xml"/>
  <Override ContentType="application/vnd.openxmlformats-officedocument.spreadsheetml.worksheet+xml" PartName="/xl/worksheets/sheet2812.xml"/>
  <Override ContentType="application/vnd.openxmlformats-officedocument.spreadsheetml.worksheet+xml" PartName="/xl/worksheets/sheet2813.xml"/>
  <Override ContentType="application/vnd.openxmlformats-officedocument.spreadsheetml.worksheet+xml" PartName="/xl/worksheets/sheet2814.xml"/>
  <Override ContentType="application/vnd.openxmlformats-officedocument.spreadsheetml.worksheet+xml" PartName="/xl/worksheets/sheet2815.xml"/>
  <Override ContentType="application/vnd.openxmlformats-officedocument.spreadsheetml.worksheet+xml" PartName="/xl/worksheets/sheet2816.xml"/>
  <Override ContentType="application/vnd.openxmlformats-officedocument.spreadsheetml.worksheet+xml" PartName="/xl/worksheets/sheet2817.xml"/>
  <Override ContentType="application/vnd.openxmlformats-officedocument.spreadsheetml.worksheet+xml" PartName="/xl/worksheets/sheet2818.xml"/>
  <Override ContentType="application/vnd.openxmlformats-officedocument.spreadsheetml.worksheet+xml" PartName="/xl/worksheets/sheet2819.xml"/>
  <Override ContentType="application/vnd.openxmlformats-officedocument.spreadsheetml.worksheet+xml" PartName="/xl/worksheets/sheet2820.xml"/>
  <Override ContentType="application/vnd.openxmlformats-officedocument.spreadsheetml.worksheet+xml" PartName="/xl/worksheets/sheet2821.xml"/>
  <Override ContentType="application/vnd.openxmlformats-officedocument.spreadsheetml.worksheet+xml" PartName="/xl/worksheets/sheet2822.xml"/>
  <Override ContentType="application/vnd.openxmlformats-officedocument.spreadsheetml.worksheet+xml" PartName="/xl/worksheets/sheet2823.xml"/>
  <Override ContentType="application/vnd.openxmlformats-officedocument.spreadsheetml.worksheet+xml" PartName="/xl/worksheets/sheet2824.xml"/>
  <Override ContentType="application/vnd.openxmlformats-officedocument.spreadsheetml.worksheet+xml" PartName="/xl/worksheets/sheet2825.xml"/>
  <Override ContentType="application/vnd.openxmlformats-officedocument.spreadsheetml.worksheet+xml" PartName="/xl/worksheets/sheet2826.xml"/>
  <Override ContentType="application/vnd.openxmlformats-officedocument.spreadsheetml.worksheet+xml" PartName="/xl/worksheets/sheet2827.xml"/>
  <Override ContentType="application/vnd.openxmlformats-officedocument.spreadsheetml.worksheet+xml" PartName="/xl/worksheets/sheet2828.xml"/>
  <Override ContentType="application/vnd.openxmlformats-officedocument.spreadsheetml.worksheet+xml" PartName="/xl/worksheets/sheet2829.xml"/>
  <Override ContentType="application/vnd.openxmlformats-officedocument.spreadsheetml.worksheet+xml" PartName="/xl/worksheets/sheet2830.xml"/>
  <Override ContentType="application/vnd.openxmlformats-officedocument.spreadsheetml.worksheet+xml" PartName="/xl/worksheets/sheet2831.xml"/>
  <Override ContentType="application/vnd.openxmlformats-officedocument.spreadsheetml.worksheet+xml" PartName="/xl/worksheets/sheet2832.xml"/>
  <Override ContentType="application/vnd.openxmlformats-officedocument.spreadsheetml.worksheet+xml" PartName="/xl/worksheets/sheet2833.xml"/>
  <Override ContentType="application/vnd.openxmlformats-officedocument.spreadsheetml.worksheet+xml" PartName="/xl/worksheets/sheet2834.xml"/>
  <Override ContentType="application/vnd.openxmlformats-officedocument.spreadsheetml.worksheet+xml" PartName="/xl/worksheets/sheet2835.xml"/>
  <Override ContentType="application/vnd.openxmlformats-officedocument.spreadsheetml.worksheet+xml" PartName="/xl/worksheets/sheet2836.xml"/>
  <Override ContentType="application/vnd.openxmlformats-officedocument.spreadsheetml.worksheet+xml" PartName="/xl/worksheets/sheet2837.xml"/>
  <Override ContentType="application/vnd.openxmlformats-officedocument.spreadsheetml.worksheet+xml" PartName="/xl/worksheets/sheet2838.xml"/>
  <Override ContentType="application/vnd.openxmlformats-officedocument.spreadsheetml.worksheet+xml" PartName="/xl/worksheets/sheet2839.xml"/>
  <Override ContentType="application/vnd.openxmlformats-officedocument.spreadsheetml.worksheet+xml" PartName="/xl/worksheets/sheet2840.xml"/>
  <Override ContentType="application/vnd.openxmlformats-officedocument.spreadsheetml.worksheet+xml" PartName="/xl/worksheets/sheet2841.xml"/>
  <Override ContentType="application/vnd.openxmlformats-officedocument.spreadsheetml.worksheet+xml" PartName="/xl/worksheets/sheet2842.xml"/>
  <Override ContentType="application/vnd.openxmlformats-officedocument.spreadsheetml.worksheet+xml" PartName="/xl/worksheets/sheet2843.xml"/>
  <Override ContentType="application/vnd.openxmlformats-officedocument.spreadsheetml.worksheet+xml" PartName="/xl/worksheets/sheet2844.xml"/>
  <Override ContentType="application/vnd.openxmlformats-officedocument.spreadsheetml.worksheet+xml" PartName="/xl/worksheets/sheet2845.xml"/>
  <Override ContentType="application/vnd.openxmlformats-officedocument.spreadsheetml.worksheet+xml" PartName="/xl/worksheets/sheet2846.xml"/>
  <Override ContentType="application/vnd.openxmlformats-officedocument.spreadsheetml.worksheet+xml" PartName="/xl/worksheets/sheet2847.xml"/>
  <Override ContentType="application/vnd.openxmlformats-officedocument.spreadsheetml.worksheet+xml" PartName="/xl/worksheets/sheet2848.xml"/>
  <Override ContentType="application/vnd.openxmlformats-officedocument.spreadsheetml.worksheet+xml" PartName="/xl/worksheets/sheet2849.xml"/>
  <Override ContentType="application/vnd.openxmlformats-officedocument.spreadsheetml.worksheet+xml" PartName="/xl/worksheets/sheet2850.xml"/>
  <Override ContentType="application/vnd.openxmlformats-officedocument.spreadsheetml.worksheet+xml" PartName="/xl/worksheets/sheet2851.xml"/>
  <Override ContentType="application/vnd.openxmlformats-officedocument.spreadsheetml.worksheet+xml" PartName="/xl/worksheets/sheet2852.xml"/>
  <Override ContentType="application/vnd.openxmlformats-officedocument.spreadsheetml.worksheet+xml" PartName="/xl/worksheets/sheet2853.xml"/>
  <Override ContentType="application/vnd.openxmlformats-officedocument.spreadsheetml.worksheet+xml" PartName="/xl/worksheets/sheet2854.xml"/>
  <Override ContentType="application/vnd.openxmlformats-officedocument.spreadsheetml.worksheet+xml" PartName="/xl/worksheets/sheet2855.xml"/>
  <Override ContentType="application/vnd.openxmlformats-officedocument.spreadsheetml.worksheet+xml" PartName="/xl/worksheets/sheet2856.xml"/>
  <Override ContentType="application/vnd.openxmlformats-officedocument.spreadsheetml.worksheet+xml" PartName="/xl/worksheets/sheet2857.xml"/>
  <Override ContentType="application/vnd.openxmlformats-officedocument.spreadsheetml.worksheet+xml" PartName="/xl/worksheets/sheet2858.xml"/>
  <Override ContentType="application/vnd.openxmlformats-officedocument.spreadsheetml.worksheet+xml" PartName="/xl/worksheets/sheet2859.xml"/>
  <Override ContentType="application/vnd.openxmlformats-officedocument.spreadsheetml.worksheet+xml" PartName="/xl/worksheets/sheet2860.xml"/>
  <Override ContentType="application/vnd.openxmlformats-officedocument.spreadsheetml.worksheet+xml" PartName="/xl/worksheets/sheet2861.xml"/>
  <Override ContentType="application/vnd.openxmlformats-officedocument.spreadsheetml.worksheet+xml" PartName="/xl/worksheets/sheet2862.xml"/>
  <Override ContentType="application/vnd.openxmlformats-officedocument.spreadsheetml.worksheet+xml" PartName="/xl/worksheets/sheet2863.xml"/>
  <Override ContentType="application/vnd.openxmlformats-officedocument.spreadsheetml.worksheet+xml" PartName="/xl/worksheets/sheet2864.xml"/>
  <Override ContentType="application/vnd.openxmlformats-officedocument.spreadsheetml.worksheet+xml" PartName="/xl/worksheets/sheet2865.xml"/>
  <Override ContentType="application/vnd.openxmlformats-officedocument.spreadsheetml.worksheet+xml" PartName="/xl/worksheets/sheet2866.xml"/>
  <Override ContentType="application/vnd.openxmlformats-officedocument.spreadsheetml.worksheet+xml" PartName="/xl/worksheets/sheet2867.xml"/>
  <Override ContentType="application/vnd.openxmlformats-officedocument.spreadsheetml.worksheet+xml" PartName="/xl/worksheets/sheet2868.xml"/>
  <Override ContentType="application/vnd.openxmlformats-officedocument.spreadsheetml.worksheet+xml" PartName="/xl/worksheets/sheet2869.xml"/>
  <Override ContentType="application/vnd.openxmlformats-officedocument.spreadsheetml.worksheet+xml" PartName="/xl/worksheets/sheet2870.xml"/>
  <Override ContentType="application/vnd.openxmlformats-officedocument.spreadsheetml.worksheet+xml" PartName="/xl/worksheets/sheet2871.xml"/>
  <Override ContentType="application/vnd.openxmlformats-officedocument.spreadsheetml.worksheet+xml" PartName="/xl/worksheets/sheet2872.xml"/>
  <Override ContentType="application/vnd.openxmlformats-officedocument.spreadsheetml.worksheet+xml" PartName="/xl/worksheets/sheet2873.xml"/>
  <Override ContentType="application/vnd.openxmlformats-officedocument.spreadsheetml.worksheet+xml" PartName="/xl/worksheets/sheet2874.xml"/>
  <Override ContentType="application/vnd.openxmlformats-officedocument.spreadsheetml.worksheet+xml" PartName="/xl/worksheets/sheet2875.xml"/>
  <Override ContentType="application/vnd.openxmlformats-officedocument.spreadsheetml.worksheet+xml" PartName="/xl/worksheets/sheet2876.xml"/>
  <Override ContentType="application/vnd.openxmlformats-officedocument.spreadsheetml.worksheet+xml" PartName="/xl/worksheets/sheet2877.xml"/>
  <Override ContentType="application/vnd.openxmlformats-officedocument.spreadsheetml.worksheet+xml" PartName="/xl/worksheets/sheet2878.xml"/>
  <Override ContentType="application/vnd.openxmlformats-officedocument.spreadsheetml.worksheet+xml" PartName="/xl/worksheets/sheet2879.xml"/>
  <Override ContentType="application/vnd.openxmlformats-officedocument.spreadsheetml.worksheet+xml" PartName="/xl/worksheets/sheet2880.xml"/>
  <Override ContentType="application/vnd.openxmlformats-officedocument.spreadsheetml.worksheet+xml" PartName="/xl/worksheets/sheet2881.xml"/>
  <Override ContentType="application/vnd.openxmlformats-officedocument.spreadsheetml.worksheet+xml" PartName="/xl/worksheets/sheet2882.xml"/>
  <Override ContentType="application/vnd.openxmlformats-officedocument.spreadsheetml.worksheet+xml" PartName="/xl/worksheets/sheet2883.xml"/>
  <Override ContentType="application/vnd.openxmlformats-officedocument.spreadsheetml.worksheet+xml" PartName="/xl/worksheets/sheet2884.xml"/>
  <Override ContentType="application/vnd.openxmlformats-officedocument.spreadsheetml.worksheet+xml" PartName="/xl/worksheets/sheet2885.xml"/>
  <Override ContentType="application/vnd.openxmlformats-officedocument.spreadsheetml.worksheet+xml" PartName="/xl/worksheets/sheet2886.xml"/>
  <Override ContentType="application/vnd.openxmlformats-officedocument.spreadsheetml.worksheet+xml" PartName="/xl/worksheets/sheet2887.xml"/>
  <Override ContentType="application/vnd.openxmlformats-officedocument.spreadsheetml.worksheet+xml" PartName="/xl/worksheets/sheet2888.xml"/>
  <Override ContentType="application/vnd.openxmlformats-officedocument.spreadsheetml.worksheet+xml" PartName="/xl/worksheets/sheet2889.xml"/>
  <Override ContentType="application/vnd.openxmlformats-officedocument.spreadsheetml.worksheet+xml" PartName="/xl/worksheets/sheet2890.xml"/>
  <Override ContentType="application/vnd.openxmlformats-officedocument.spreadsheetml.worksheet+xml" PartName="/xl/worksheets/sheet2891.xml"/>
  <Override ContentType="application/vnd.openxmlformats-officedocument.spreadsheetml.worksheet+xml" PartName="/xl/worksheets/sheet2892.xml"/>
  <Override ContentType="application/vnd.openxmlformats-officedocument.spreadsheetml.worksheet+xml" PartName="/xl/worksheets/sheet2893.xml"/>
  <Override ContentType="application/vnd.openxmlformats-officedocument.spreadsheetml.worksheet+xml" PartName="/xl/worksheets/sheet2894.xml"/>
  <Override ContentType="application/vnd.openxmlformats-officedocument.spreadsheetml.worksheet+xml" PartName="/xl/worksheets/sheet2895.xml"/>
  <Override ContentType="application/vnd.openxmlformats-officedocument.spreadsheetml.worksheet+xml" PartName="/xl/worksheets/sheet2896.xml"/>
  <Override ContentType="application/vnd.openxmlformats-officedocument.spreadsheetml.worksheet+xml" PartName="/xl/worksheets/sheet2897.xml"/>
  <Override ContentType="application/vnd.openxmlformats-officedocument.spreadsheetml.worksheet+xml" PartName="/xl/worksheets/sheet2898.xml"/>
  <Override ContentType="application/vnd.openxmlformats-officedocument.spreadsheetml.worksheet+xml" PartName="/xl/worksheets/sheet2899.xml"/>
  <Override ContentType="application/vnd.openxmlformats-officedocument.spreadsheetml.worksheet+xml" PartName="/xl/worksheets/sheet2900.xml"/>
  <Override ContentType="application/vnd.openxmlformats-officedocument.spreadsheetml.worksheet+xml" PartName="/xl/worksheets/sheet2901.xml"/>
  <Override ContentType="application/vnd.openxmlformats-officedocument.spreadsheetml.worksheet+xml" PartName="/xl/worksheets/sheet2902.xml"/>
  <Override ContentType="application/vnd.openxmlformats-officedocument.spreadsheetml.worksheet+xml" PartName="/xl/worksheets/sheet2903.xml"/>
  <Override ContentType="application/vnd.openxmlformats-officedocument.spreadsheetml.worksheet+xml" PartName="/xl/worksheets/sheet2904.xml"/>
  <Override ContentType="application/vnd.openxmlformats-officedocument.spreadsheetml.worksheet+xml" PartName="/xl/worksheets/sheet2905.xml"/>
  <Override ContentType="application/vnd.openxmlformats-officedocument.spreadsheetml.worksheet+xml" PartName="/xl/worksheets/sheet2906.xml"/>
  <Override ContentType="application/vnd.openxmlformats-officedocument.spreadsheetml.worksheet+xml" PartName="/xl/worksheets/sheet2907.xml"/>
  <Override ContentType="application/vnd.openxmlformats-officedocument.spreadsheetml.worksheet+xml" PartName="/xl/worksheets/sheet2908.xml"/>
  <Override ContentType="application/vnd.openxmlformats-officedocument.spreadsheetml.worksheet+xml" PartName="/xl/worksheets/sheet2909.xml"/>
  <Override ContentType="application/vnd.openxmlformats-officedocument.spreadsheetml.worksheet+xml" PartName="/xl/worksheets/sheet2910.xml"/>
  <Override ContentType="application/vnd.openxmlformats-officedocument.spreadsheetml.worksheet+xml" PartName="/xl/worksheets/sheet2911.xml"/>
  <Override ContentType="application/vnd.openxmlformats-officedocument.spreadsheetml.worksheet+xml" PartName="/xl/worksheets/sheet2912.xml"/>
  <Override ContentType="application/vnd.openxmlformats-officedocument.spreadsheetml.worksheet+xml" PartName="/xl/worksheets/sheet2913.xml"/>
  <Override ContentType="application/vnd.openxmlformats-officedocument.spreadsheetml.worksheet+xml" PartName="/xl/worksheets/sheet2914.xml"/>
  <Override ContentType="application/vnd.openxmlformats-officedocument.spreadsheetml.worksheet+xml" PartName="/xl/worksheets/sheet2915.xml"/>
  <Override ContentType="application/vnd.openxmlformats-officedocument.spreadsheetml.worksheet+xml" PartName="/xl/worksheets/sheet2916.xml"/>
  <Override ContentType="application/vnd.openxmlformats-officedocument.spreadsheetml.worksheet+xml" PartName="/xl/worksheets/sheet2917.xml"/>
  <Override ContentType="application/vnd.openxmlformats-officedocument.spreadsheetml.worksheet+xml" PartName="/xl/worksheets/sheet2918.xml"/>
  <Override ContentType="application/vnd.openxmlformats-officedocument.spreadsheetml.worksheet+xml" PartName="/xl/worksheets/sheet2919.xml"/>
  <Override ContentType="application/vnd.openxmlformats-officedocument.spreadsheetml.worksheet+xml" PartName="/xl/worksheets/sheet2920.xml"/>
  <Override ContentType="application/vnd.openxmlformats-officedocument.spreadsheetml.worksheet+xml" PartName="/xl/worksheets/sheet2921.xml"/>
  <Override ContentType="application/vnd.openxmlformats-officedocument.spreadsheetml.worksheet+xml" PartName="/xl/worksheets/sheet2922.xml"/>
  <Override ContentType="application/vnd.openxmlformats-officedocument.spreadsheetml.worksheet+xml" PartName="/xl/worksheets/sheet2923.xml"/>
  <Override ContentType="application/vnd.openxmlformats-officedocument.spreadsheetml.worksheet+xml" PartName="/xl/worksheets/sheet2924.xml"/>
  <Override ContentType="application/vnd.openxmlformats-officedocument.spreadsheetml.worksheet+xml" PartName="/xl/worksheets/sheet2925.xml"/>
  <Override ContentType="application/vnd.openxmlformats-officedocument.spreadsheetml.worksheet+xml" PartName="/xl/worksheets/sheet2926.xml"/>
  <Override ContentType="application/vnd.openxmlformats-officedocument.spreadsheetml.worksheet+xml" PartName="/xl/worksheets/sheet2927.xml"/>
  <Override ContentType="application/vnd.openxmlformats-officedocument.spreadsheetml.worksheet+xml" PartName="/xl/worksheets/sheet2928.xml"/>
  <Override ContentType="application/vnd.openxmlformats-officedocument.spreadsheetml.worksheet+xml" PartName="/xl/worksheets/sheet2929.xml"/>
  <Override ContentType="application/vnd.openxmlformats-officedocument.spreadsheetml.worksheet+xml" PartName="/xl/worksheets/sheet2930.xml"/>
  <Override ContentType="application/vnd.openxmlformats-officedocument.spreadsheetml.worksheet+xml" PartName="/xl/worksheets/sheet2931.xml"/>
  <Override ContentType="application/vnd.openxmlformats-officedocument.spreadsheetml.worksheet+xml" PartName="/xl/worksheets/sheet2932.xml"/>
  <Override ContentType="application/vnd.openxmlformats-officedocument.spreadsheetml.worksheet+xml" PartName="/xl/worksheets/sheet2933.xml"/>
  <Override ContentType="application/vnd.openxmlformats-officedocument.spreadsheetml.worksheet+xml" PartName="/xl/worksheets/sheet2934.xml"/>
  <Override ContentType="application/vnd.openxmlformats-officedocument.spreadsheetml.worksheet+xml" PartName="/xl/worksheets/sheet2935.xml"/>
  <Override ContentType="application/vnd.openxmlformats-officedocument.spreadsheetml.worksheet+xml" PartName="/xl/worksheets/sheet2936.xml"/>
  <Override ContentType="application/vnd.openxmlformats-officedocument.spreadsheetml.worksheet+xml" PartName="/xl/worksheets/sheet2937.xml"/>
  <Override ContentType="application/vnd.openxmlformats-officedocument.spreadsheetml.worksheet+xml" PartName="/xl/worksheets/sheet2938.xml"/>
  <Override ContentType="application/vnd.openxmlformats-officedocument.spreadsheetml.worksheet+xml" PartName="/xl/worksheets/sheet2939.xml"/>
  <Override ContentType="application/vnd.openxmlformats-officedocument.spreadsheetml.worksheet+xml" PartName="/xl/worksheets/sheet2940.xml"/>
  <Override ContentType="application/vnd.openxmlformats-officedocument.spreadsheetml.worksheet+xml" PartName="/xl/worksheets/sheet2941.xml"/>
  <Override ContentType="application/vnd.openxmlformats-officedocument.spreadsheetml.worksheet+xml" PartName="/xl/worksheets/sheet2942.xml"/>
  <Override ContentType="application/vnd.openxmlformats-officedocument.spreadsheetml.worksheet+xml" PartName="/xl/worksheets/sheet2943.xml"/>
  <Override ContentType="application/vnd.openxmlformats-officedocument.spreadsheetml.worksheet+xml" PartName="/xl/worksheets/sheet2944.xml"/>
  <Override ContentType="application/vnd.openxmlformats-officedocument.spreadsheetml.worksheet+xml" PartName="/xl/worksheets/sheet2945.xml"/>
  <Override ContentType="application/vnd.openxmlformats-officedocument.spreadsheetml.worksheet+xml" PartName="/xl/worksheets/sheet2946.xml"/>
  <Override ContentType="application/vnd.openxmlformats-officedocument.spreadsheetml.worksheet+xml" PartName="/xl/worksheets/sheet2947.xml"/>
  <Override ContentType="application/vnd.openxmlformats-officedocument.spreadsheetml.worksheet+xml" PartName="/xl/worksheets/sheet2948.xml"/>
  <Override ContentType="application/vnd.openxmlformats-officedocument.spreadsheetml.worksheet+xml" PartName="/xl/worksheets/sheet2949.xml"/>
  <Override ContentType="application/vnd.openxmlformats-officedocument.spreadsheetml.worksheet+xml" PartName="/xl/worksheets/sheet2950.xml"/>
  <Override ContentType="application/vnd.openxmlformats-officedocument.spreadsheetml.worksheet+xml" PartName="/xl/worksheets/sheet2951.xml"/>
  <Override ContentType="application/vnd.openxmlformats-officedocument.spreadsheetml.worksheet+xml" PartName="/xl/worksheets/sheet2952.xml"/>
  <Override ContentType="application/vnd.openxmlformats-officedocument.spreadsheetml.worksheet+xml" PartName="/xl/worksheets/sheet2953.xml"/>
  <Override ContentType="application/vnd.openxmlformats-officedocument.spreadsheetml.worksheet+xml" PartName="/xl/worksheets/sheet2954.xml"/>
  <Override ContentType="application/vnd.openxmlformats-officedocument.spreadsheetml.worksheet+xml" PartName="/xl/worksheets/sheet2955.xml"/>
  <Override ContentType="application/vnd.openxmlformats-officedocument.spreadsheetml.worksheet+xml" PartName="/xl/worksheets/sheet2956.xml"/>
  <Override ContentType="application/vnd.openxmlformats-officedocument.spreadsheetml.worksheet+xml" PartName="/xl/worksheets/sheet2957.xml"/>
  <Override ContentType="application/vnd.openxmlformats-officedocument.spreadsheetml.worksheet+xml" PartName="/xl/worksheets/sheet2958.xml"/>
  <Override ContentType="application/vnd.openxmlformats-officedocument.spreadsheetml.worksheet+xml" PartName="/xl/worksheets/sheet2959.xml"/>
  <Override ContentType="application/vnd.openxmlformats-officedocument.spreadsheetml.worksheet+xml" PartName="/xl/worksheets/sheet2960.xml"/>
  <Override ContentType="application/vnd.openxmlformats-officedocument.spreadsheetml.worksheet+xml" PartName="/xl/worksheets/sheet2961.xml"/>
  <Override ContentType="application/vnd.openxmlformats-officedocument.spreadsheetml.worksheet+xml" PartName="/xl/worksheets/sheet2962.xml"/>
  <Override ContentType="application/vnd.openxmlformats-officedocument.spreadsheetml.worksheet+xml" PartName="/xl/worksheets/sheet2963.xml"/>
  <Override ContentType="application/vnd.openxmlformats-officedocument.spreadsheetml.worksheet+xml" PartName="/xl/worksheets/sheet2964.xml"/>
  <Override ContentType="application/vnd.openxmlformats-officedocument.spreadsheetml.worksheet+xml" PartName="/xl/worksheets/sheet2965.xml"/>
  <Override ContentType="application/vnd.openxmlformats-officedocument.spreadsheetml.worksheet+xml" PartName="/xl/worksheets/sheet2966.xml"/>
  <Override ContentType="application/vnd.openxmlformats-officedocument.spreadsheetml.worksheet+xml" PartName="/xl/worksheets/sheet2967.xml"/>
  <Override ContentType="application/vnd.openxmlformats-officedocument.spreadsheetml.worksheet+xml" PartName="/xl/worksheets/sheet2968.xml"/>
  <Override ContentType="application/vnd.openxmlformats-officedocument.spreadsheetml.worksheet+xml" PartName="/xl/worksheets/sheet2969.xml"/>
  <Override ContentType="application/vnd.openxmlformats-officedocument.spreadsheetml.worksheet+xml" PartName="/xl/worksheets/sheet2970.xml"/>
  <Override ContentType="application/vnd.openxmlformats-officedocument.spreadsheetml.worksheet+xml" PartName="/xl/worksheets/sheet2971.xml"/>
  <Override ContentType="application/vnd.openxmlformats-officedocument.spreadsheetml.worksheet+xml" PartName="/xl/worksheets/sheet2972.xml"/>
  <Override ContentType="application/vnd.openxmlformats-officedocument.spreadsheetml.worksheet+xml" PartName="/xl/worksheets/sheet2973.xml"/>
  <Override ContentType="application/vnd.openxmlformats-officedocument.spreadsheetml.worksheet+xml" PartName="/xl/worksheets/sheet2974.xml"/>
  <Override ContentType="application/vnd.openxmlformats-officedocument.spreadsheetml.worksheet+xml" PartName="/xl/worksheets/sheet2975.xml"/>
  <Override ContentType="application/vnd.openxmlformats-officedocument.spreadsheetml.worksheet+xml" PartName="/xl/worksheets/sheet2976.xml"/>
  <Override ContentType="application/vnd.openxmlformats-officedocument.spreadsheetml.worksheet+xml" PartName="/xl/worksheets/sheet2977.xml"/>
  <Override ContentType="application/vnd.openxmlformats-officedocument.spreadsheetml.worksheet+xml" PartName="/xl/worksheets/sheet2978.xml"/>
  <Override ContentType="application/vnd.openxmlformats-officedocument.spreadsheetml.worksheet+xml" PartName="/xl/worksheets/sheet2979.xml"/>
  <Override ContentType="application/vnd.openxmlformats-officedocument.spreadsheetml.worksheet+xml" PartName="/xl/worksheets/sheet2980.xml"/>
  <Override ContentType="application/vnd.openxmlformats-officedocument.spreadsheetml.worksheet+xml" PartName="/xl/worksheets/sheet2981.xml"/>
  <Override ContentType="application/vnd.openxmlformats-officedocument.spreadsheetml.worksheet+xml" PartName="/xl/worksheets/sheet2982.xml"/>
  <Override ContentType="application/vnd.openxmlformats-officedocument.spreadsheetml.worksheet+xml" PartName="/xl/worksheets/sheet2983.xml"/>
  <Override ContentType="application/vnd.openxmlformats-officedocument.spreadsheetml.worksheet+xml" PartName="/xl/worksheets/sheet2984.xml"/>
  <Override ContentType="application/vnd.openxmlformats-officedocument.spreadsheetml.worksheet+xml" PartName="/xl/worksheets/sheet2985.xml"/>
  <Override ContentType="application/vnd.openxmlformats-officedocument.spreadsheetml.worksheet+xml" PartName="/xl/worksheets/sheet2986.xml"/>
  <Override ContentType="application/vnd.openxmlformats-officedocument.spreadsheetml.worksheet+xml" PartName="/xl/worksheets/sheet2987.xml"/>
  <Override ContentType="application/vnd.openxmlformats-officedocument.spreadsheetml.worksheet+xml" PartName="/xl/worksheets/sheet2988.xml"/>
  <Override ContentType="application/vnd.openxmlformats-officedocument.spreadsheetml.worksheet+xml" PartName="/xl/worksheets/sheet2989.xml"/>
  <Override ContentType="application/vnd.openxmlformats-officedocument.spreadsheetml.worksheet+xml" PartName="/xl/worksheets/sheet2990.xml"/>
  <Override ContentType="application/vnd.openxmlformats-officedocument.spreadsheetml.worksheet+xml" PartName="/xl/worksheets/sheet2991.xml"/>
  <Override ContentType="application/vnd.openxmlformats-officedocument.spreadsheetml.worksheet+xml" PartName="/xl/worksheets/sheet2992.xml"/>
  <Override ContentType="application/vnd.openxmlformats-officedocument.spreadsheetml.worksheet+xml" PartName="/xl/worksheets/sheet2993.xml"/>
  <Override ContentType="application/vnd.openxmlformats-officedocument.spreadsheetml.worksheet+xml" PartName="/xl/worksheets/sheet2994.xml"/>
  <Override ContentType="application/vnd.openxmlformats-officedocument.spreadsheetml.worksheet+xml" PartName="/xl/worksheets/sheet2995.xml"/>
  <Override ContentType="application/vnd.openxmlformats-officedocument.spreadsheetml.worksheet+xml" PartName="/xl/worksheets/sheet2996.xml"/>
  <Override ContentType="application/vnd.openxmlformats-officedocument.spreadsheetml.worksheet+xml" PartName="/xl/worksheets/sheet2997.xml"/>
  <Override ContentType="application/vnd.openxmlformats-officedocument.spreadsheetml.worksheet+xml" PartName="/xl/worksheets/sheet2998.xml"/>
  <Override ContentType="application/vnd.openxmlformats-officedocument.spreadsheetml.worksheet+xml" PartName="/xl/worksheets/sheet2999.xml"/>
  <Override ContentType="application/vnd.openxmlformats-officedocument.spreadsheetml.worksheet+xml" PartName="/xl/worksheets/sheet3000.xml"/>
  <Override ContentType="application/vnd.openxmlformats-officedocument.spreadsheetml.worksheet+xml" PartName="/xl/worksheets/sheet3001.xml"/>
  <Override ContentType="application/vnd.openxmlformats-officedocument.spreadsheetml.worksheet+xml" PartName="/xl/worksheets/sheet3002.xml"/>
  <Override ContentType="application/vnd.openxmlformats-officedocument.spreadsheetml.worksheet+xml" PartName="/xl/worksheets/sheet3003.xml"/>
  <Override ContentType="application/vnd.openxmlformats-officedocument.spreadsheetml.worksheet+xml" PartName="/xl/worksheets/sheet3004.xml"/>
  <Override ContentType="application/vnd.openxmlformats-officedocument.spreadsheetml.worksheet+xml" PartName="/xl/worksheets/sheet3005.xml"/>
  <Override ContentType="application/vnd.openxmlformats-officedocument.spreadsheetml.worksheet+xml" PartName="/xl/worksheets/sheet3006.xml"/>
  <Override ContentType="application/vnd.openxmlformats-officedocument.spreadsheetml.worksheet+xml" PartName="/xl/worksheets/sheet3007.xml"/>
  <Override ContentType="application/vnd.openxmlformats-officedocument.spreadsheetml.worksheet+xml" PartName="/xl/worksheets/sheet3008.xml"/>
  <Override ContentType="application/vnd.openxmlformats-officedocument.spreadsheetml.worksheet+xml" PartName="/xl/worksheets/sheet3009.xml"/>
  <Override ContentType="application/vnd.openxmlformats-officedocument.spreadsheetml.worksheet+xml" PartName="/xl/worksheets/sheet3010.xml"/>
  <Override ContentType="application/vnd.openxmlformats-officedocument.spreadsheetml.worksheet+xml" PartName="/xl/worksheets/sheet3011.xml"/>
  <Override ContentType="application/vnd.openxmlformats-officedocument.spreadsheetml.worksheet+xml" PartName="/xl/worksheets/sheet3012.xml"/>
  <Override ContentType="application/vnd.openxmlformats-officedocument.spreadsheetml.worksheet+xml" PartName="/xl/worksheets/sheet3013.xml"/>
  <Override ContentType="application/vnd.openxmlformats-officedocument.spreadsheetml.worksheet+xml" PartName="/xl/worksheets/sheet3014.xml"/>
  <Override ContentType="application/vnd.openxmlformats-officedocument.spreadsheetml.worksheet+xml" PartName="/xl/worksheets/sheet3015.xml"/>
  <Override ContentType="application/vnd.openxmlformats-officedocument.spreadsheetml.worksheet+xml" PartName="/xl/worksheets/sheet3016.xml"/>
  <Override ContentType="application/vnd.openxmlformats-officedocument.spreadsheetml.worksheet+xml" PartName="/xl/worksheets/sheet3017.xml"/>
  <Override ContentType="application/vnd.openxmlformats-officedocument.spreadsheetml.worksheet+xml" PartName="/xl/worksheets/sheet3018.xml"/>
  <Override ContentType="application/vnd.openxmlformats-officedocument.spreadsheetml.worksheet+xml" PartName="/xl/worksheets/sheet3019.xml"/>
  <Override ContentType="application/vnd.openxmlformats-officedocument.spreadsheetml.worksheet+xml" PartName="/xl/worksheets/sheet3020.xml"/>
  <Override ContentType="application/vnd.openxmlformats-officedocument.spreadsheetml.worksheet+xml" PartName="/xl/worksheets/sheet3021.xml"/>
  <Override ContentType="application/vnd.openxmlformats-officedocument.spreadsheetml.worksheet+xml" PartName="/xl/worksheets/sheet3022.xml"/>
  <Override ContentType="application/vnd.openxmlformats-officedocument.spreadsheetml.worksheet+xml" PartName="/xl/worksheets/sheet3023.xml"/>
  <Override ContentType="application/vnd.openxmlformats-officedocument.spreadsheetml.worksheet+xml" PartName="/xl/worksheets/sheet3024.xml"/>
  <Override ContentType="application/vnd.openxmlformats-officedocument.spreadsheetml.worksheet+xml" PartName="/xl/worksheets/sheet3025.xml"/>
  <Override ContentType="application/vnd.openxmlformats-officedocument.spreadsheetml.worksheet+xml" PartName="/xl/worksheets/sheet3026.xml"/>
  <Override ContentType="application/vnd.openxmlformats-officedocument.spreadsheetml.worksheet+xml" PartName="/xl/worksheets/sheet3027.xml"/>
  <Override ContentType="application/vnd.openxmlformats-officedocument.spreadsheetml.worksheet+xml" PartName="/xl/worksheets/sheet3028.xml"/>
  <Override ContentType="application/vnd.openxmlformats-officedocument.spreadsheetml.worksheet+xml" PartName="/xl/worksheets/sheet3029.xml"/>
  <Override ContentType="application/vnd.openxmlformats-officedocument.spreadsheetml.worksheet+xml" PartName="/xl/worksheets/sheet3030.xml"/>
  <Override ContentType="application/vnd.openxmlformats-officedocument.spreadsheetml.worksheet+xml" PartName="/xl/worksheets/sheet3031.xml"/>
  <Override ContentType="application/vnd.openxmlformats-officedocument.spreadsheetml.worksheet+xml" PartName="/xl/worksheets/sheet3032.xml"/>
  <Override ContentType="application/vnd.openxmlformats-officedocument.spreadsheetml.worksheet+xml" PartName="/xl/worksheets/sheet3033.xml"/>
  <Override ContentType="application/vnd.openxmlformats-officedocument.spreadsheetml.worksheet+xml" PartName="/xl/worksheets/sheet3034.xml"/>
  <Override ContentType="application/vnd.openxmlformats-officedocument.spreadsheetml.worksheet+xml" PartName="/xl/worksheets/sheet3035.xml"/>
  <Override ContentType="application/vnd.openxmlformats-officedocument.spreadsheetml.worksheet+xml" PartName="/xl/worksheets/sheet3036.xml"/>
  <Override ContentType="application/vnd.openxmlformats-officedocument.spreadsheetml.worksheet+xml" PartName="/xl/worksheets/sheet3037.xml"/>
  <Override ContentType="application/vnd.openxmlformats-officedocument.spreadsheetml.worksheet+xml" PartName="/xl/worksheets/sheet3038.xml"/>
  <Override ContentType="application/vnd.openxmlformats-officedocument.spreadsheetml.worksheet+xml" PartName="/xl/worksheets/sheet3039.xml"/>
  <Override ContentType="application/vnd.openxmlformats-officedocument.spreadsheetml.worksheet+xml" PartName="/xl/worksheets/sheet3040.xml"/>
  <Override ContentType="application/vnd.openxmlformats-officedocument.spreadsheetml.worksheet+xml" PartName="/xl/worksheets/sheet3041.xml"/>
  <Override ContentType="application/vnd.openxmlformats-officedocument.spreadsheetml.worksheet+xml" PartName="/xl/worksheets/sheet3042.xml"/>
  <Override ContentType="application/vnd.openxmlformats-officedocument.spreadsheetml.worksheet+xml" PartName="/xl/worksheets/sheet3043.xml"/>
  <Override ContentType="application/vnd.openxmlformats-officedocument.spreadsheetml.worksheet+xml" PartName="/xl/worksheets/sheet3044.xml"/>
  <Override ContentType="application/vnd.openxmlformats-officedocument.spreadsheetml.worksheet+xml" PartName="/xl/worksheets/sheet3045.xml"/>
  <Override ContentType="application/vnd.openxmlformats-officedocument.spreadsheetml.worksheet+xml" PartName="/xl/worksheets/sheet3046.xml"/>
  <Override ContentType="application/vnd.openxmlformats-officedocument.spreadsheetml.worksheet+xml" PartName="/xl/worksheets/sheet3047.xml"/>
  <Override ContentType="application/vnd.openxmlformats-officedocument.spreadsheetml.worksheet+xml" PartName="/xl/worksheets/sheet3048.xml"/>
  <Override ContentType="application/vnd.openxmlformats-officedocument.spreadsheetml.worksheet+xml" PartName="/xl/worksheets/sheet3049.xml"/>
  <Override ContentType="application/vnd.openxmlformats-officedocument.spreadsheetml.worksheet+xml" PartName="/xl/worksheets/sheet3050.xml"/>
  <Override ContentType="application/vnd.openxmlformats-officedocument.spreadsheetml.worksheet+xml" PartName="/xl/worksheets/sheet3051.xml"/>
  <Override ContentType="application/vnd.openxmlformats-officedocument.spreadsheetml.worksheet+xml" PartName="/xl/worksheets/sheet3052.xml"/>
  <Override ContentType="application/vnd.openxmlformats-officedocument.spreadsheetml.worksheet+xml" PartName="/xl/worksheets/sheet3053.xml"/>
  <Override ContentType="application/vnd.openxmlformats-officedocument.spreadsheetml.worksheet+xml" PartName="/xl/worksheets/sheet3054.xml"/>
  <Override ContentType="application/vnd.openxmlformats-officedocument.spreadsheetml.worksheet+xml" PartName="/xl/worksheets/sheet3055.xml"/>
  <Override ContentType="application/vnd.openxmlformats-officedocument.spreadsheetml.worksheet+xml" PartName="/xl/worksheets/sheet3056.xml"/>
  <Override ContentType="application/vnd.openxmlformats-officedocument.spreadsheetml.worksheet+xml" PartName="/xl/worksheets/sheet3057.xml"/>
  <Override ContentType="application/vnd.openxmlformats-officedocument.spreadsheetml.worksheet+xml" PartName="/xl/worksheets/sheet3058.xml"/>
  <Override ContentType="application/vnd.openxmlformats-officedocument.spreadsheetml.worksheet+xml" PartName="/xl/worksheets/sheet3059.xml"/>
  <Override ContentType="application/vnd.openxmlformats-officedocument.spreadsheetml.worksheet+xml" PartName="/xl/worksheets/sheet3060.xml"/>
  <Override ContentType="application/vnd.openxmlformats-officedocument.spreadsheetml.worksheet+xml" PartName="/xl/worksheets/sheet3061.xml"/>
  <Override ContentType="application/vnd.openxmlformats-officedocument.spreadsheetml.worksheet+xml" PartName="/xl/worksheets/sheet3062.xml"/>
  <Override ContentType="application/vnd.openxmlformats-officedocument.spreadsheetml.worksheet+xml" PartName="/xl/worksheets/sheet3063.xml"/>
  <Override ContentType="application/vnd.openxmlformats-officedocument.spreadsheetml.worksheet+xml" PartName="/xl/worksheets/sheet3064.xml"/>
  <Override ContentType="application/vnd.openxmlformats-officedocument.spreadsheetml.worksheet+xml" PartName="/xl/worksheets/sheet3065.xml"/>
  <Override ContentType="application/vnd.openxmlformats-officedocument.spreadsheetml.worksheet+xml" PartName="/xl/worksheets/sheet3066.xml"/>
  <Override ContentType="application/vnd.openxmlformats-officedocument.spreadsheetml.worksheet+xml" PartName="/xl/worksheets/sheet3067.xml"/>
  <Override ContentType="application/vnd.openxmlformats-officedocument.spreadsheetml.worksheet+xml" PartName="/xl/worksheets/sheet3068.xml"/>
  <Override ContentType="application/vnd.openxmlformats-officedocument.spreadsheetml.worksheet+xml" PartName="/xl/worksheets/sheet3069.xml"/>
  <Override ContentType="application/vnd.openxmlformats-officedocument.spreadsheetml.worksheet+xml" PartName="/xl/worksheets/sheet3070.xml"/>
  <Override ContentType="application/vnd.openxmlformats-officedocument.spreadsheetml.worksheet+xml" PartName="/xl/worksheets/sheet3071.xml"/>
  <Override ContentType="application/vnd.openxmlformats-officedocument.spreadsheetml.worksheet+xml" PartName="/xl/worksheets/sheet3072.xml"/>
  <Override ContentType="application/vnd.openxmlformats-officedocument.spreadsheetml.worksheet+xml" PartName="/xl/worksheets/sheet3073.xml"/>
  <Override ContentType="application/vnd.openxmlformats-officedocument.spreadsheetml.worksheet+xml" PartName="/xl/worksheets/sheet3074.xml"/>
  <Override ContentType="application/vnd.openxmlformats-officedocument.spreadsheetml.worksheet+xml" PartName="/xl/worksheets/sheet3075.xml"/>
  <Override ContentType="application/vnd.openxmlformats-officedocument.spreadsheetml.worksheet+xml" PartName="/xl/worksheets/sheet3076.xml"/>
  <Override ContentType="application/vnd.openxmlformats-officedocument.spreadsheetml.worksheet+xml" PartName="/xl/worksheets/sheet3077.xml"/>
  <Override ContentType="application/vnd.openxmlformats-officedocument.spreadsheetml.worksheet+xml" PartName="/xl/worksheets/sheet3078.xml"/>
  <Override ContentType="application/vnd.openxmlformats-officedocument.spreadsheetml.worksheet+xml" PartName="/xl/worksheets/sheet3079.xml"/>
  <Override ContentType="application/vnd.openxmlformats-officedocument.spreadsheetml.worksheet+xml" PartName="/xl/worksheets/sheet3080.xml"/>
  <Override ContentType="application/vnd.openxmlformats-officedocument.spreadsheetml.worksheet+xml" PartName="/xl/worksheets/sheet3081.xml"/>
  <Override ContentType="application/vnd.openxmlformats-officedocument.spreadsheetml.worksheet+xml" PartName="/xl/worksheets/sheet3082.xml"/>
  <Override ContentType="application/vnd.openxmlformats-officedocument.spreadsheetml.worksheet+xml" PartName="/xl/worksheets/sheet3083.xml"/>
  <Override ContentType="application/vnd.openxmlformats-officedocument.spreadsheetml.worksheet+xml" PartName="/xl/worksheets/sheet3084.xml"/>
  <Override ContentType="application/vnd.openxmlformats-officedocument.spreadsheetml.worksheet+xml" PartName="/xl/worksheets/sheet3085.xml"/>
  <Override ContentType="application/vnd.openxmlformats-officedocument.spreadsheetml.worksheet+xml" PartName="/xl/worksheets/sheet3086.xml"/>
  <Override ContentType="application/vnd.openxmlformats-officedocument.spreadsheetml.worksheet+xml" PartName="/xl/worksheets/sheet3087.xml"/>
  <Override ContentType="application/vnd.openxmlformats-officedocument.spreadsheetml.worksheet+xml" PartName="/xl/worksheets/sheet3088.xml"/>
  <Override ContentType="application/vnd.openxmlformats-officedocument.spreadsheetml.worksheet+xml" PartName="/xl/worksheets/sheet3089.xml"/>
  <Override ContentType="application/vnd.openxmlformats-officedocument.spreadsheetml.worksheet+xml" PartName="/xl/worksheets/sheet3090.xml"/>
  <Override ContentType="application/vnd.openxmlformats-officedocument.spreadsheetml.worksheet+xml" PartName="/xl/worksheets/sheet3091.xml"/>
  <Override ContentType="application/vnd.openxmlformats-officedocument.spreadsheetml.worksheet+xml" PartName="/xl/worksheets/sheet3092.xml"/>
  <Override ContentType="application/vnd.openxmlformats-officedocument.spreadsheetml.worksheet+xml" PartName="/xl/worksheets/sheet3093.xml"/>
  <Override ContentType="application/vnd.openxmlformats-officedocument.spreadsheetml.worksheet+xml" PartName="/xl/worksheets/sheet3094.xml"/>
  <Override ContentType="application/vnd.openxmlformats-officedocument.spreadsheetml.worksheet+xml" PartName="/xl/worksheets/sheet3095.xml"/>
  <Override ContentType="application/vnd.openxmlformats-officedocument.spreadsheetml.worksheet+xml" PartName="/xl/worksheets/sheet3096.xml"/>
  <Override ContentType="application/vnd.openxmlformats-officedocument.spreadsheetml.worksheet+xml" PartName="/xl/worksheets/sheet3097.xml"/>
  <Override ContentType="application/vnd.openxmlformats-officedocument.spreadsheetml.worksheet+xml" PartName="/xl/worksheets/sheet3098.xml"/>
  <Override ContentType="application/vnd.openxmlformats-officedocument.spreadsheetml.worksheet+xml" PartName="/xl/worksheets/sheet3099.xml"/>
  <Override ContentType="application/vnd.openxmlformats-officedocument.spreadsheetml.worksheet+xml" PartName="/xl/worksheets/sheet3100.xml"/>
  <Override ContentType="application/vnd.openxmlformats-officedocument.spreadsheetml.worksheet+xml" PartName="/xl/worksheets/sheet3101.xml"/>
  <Override ContentType="application/vnd.openxmlformats-officedocument.spreadsheetml.worksheet+xml" PartName="/xl/worksheets/sheet3102.xml"/>
  <Override ContentType="application/vnd.openxmlformats-officedocument.spreadsheetml.worksheet+xml" PartName="/xl/worksheets/sheet3103.xml"/>
  <Override ContentType="application/vnd.openxmlformats-officedocument.spreadsheetml.worksheet+xml" PartName="/xl/worksheets/sheet3104.xml"/>
  <Override ContentType="application/vnd.openxmlformats-officedocument.spreadsheetml.worksheet+xml" PartName="/xl/worksheets/sheet3105.xml"/>
  <Override ContentType="application/vnd.openxmlformats-officedocument.spreadsheetml.worksheet+xml" PartName="/xl/worksheets/sheet3106.xml"/>
  <Override ContentType="application/vnd.openxmlformats-officedocument.spreadsheetml.worksheet+xml" PartName="/xl/worksheets/sheet3107.xml"/>
  <Override ContentType="application/vnd.openxmlformats-officedocument.spreadsheetml.worksheet+xml" PartName="/xl/worksheets/sheet3108.xml"/>
  <Override ContentType="application/vnd.openxmlformats-officedocument.spreadsheetml.worksheet+xml" PartName="/xl/worksheets/sheet3109.xml"/>
  <Override ContentType="application/vnd.openxmlformats-officedocument.spreadsheetml.worksheet+xml" PartName="/xl/worksheets/sheet3110.xml"/>
  <Override ContentType="application/vnd.openxmlformats-officedocument.spreadsheetml.worksheet+xml" PartName="/xl/worksheets/sheet3111.xml"/>
  <Override ContentType="application/vnd.openxmlformats-officedocument.spreadsheetml.worksheet+xml" PartName="/xl/worksheets/sheet3112.xml"/>
  <Override ContentType="application/vnd.openxmlformats-officedocument.spreadsheetml.worksheet+xml" PartName="/xl/worksheets/sheet3113.xml"/>
  <Override ContentType="application/vnd.openxmlformats-officedocument.spreadsheetml.worksheet+xml" PartName="/xl/worksheets/sheet3114.xml"/>
  <Override ContentType="application/vnd.openxmlformats-officedocument.spreadsheetml.worksheet+xml" PartName="/xl/worksheets/sheet3115.xml"/>
  <Override ContentType="application/vnd.openxmlformats-officedocument.spreadsheetml.worksheet+xml" PartName="/xl/worksheets/sheet3116.xml"/>
  <Override ContentType="application/vnd.openxmlformats-officedocument.spreadsheetml.worksheet+xml" PartName="/xl/worksheets/sheet3117.xml"/>
  <Override ContentType="application/vnd.openxmlformats-officedocument.spreadsheetml.worksheet+xml" PartName="/xl/worksheets/sheet3118.xml"/>
  <Override ContentType="application/vnd.openxmlformats-officedocument.spreadsheetml.worksheet+xml" PartName="/xl/worksheets/sheet3119.xml"/>
  <Override ContentType="application/vnd.openxmlformats-officedocument.spreadsheetml.worksheet+xml" PartName="/xl/worksheets/sheet3120.xml"/>
  <Override ContentType="application/vnd.openxmlformats-officedocument.spreadsheetml.worksheet+xml" PartName="/xl/worksheets/sheet3121.xml"/>
  <Override ContentType="application/vnd.openxmlformats-officedocument.spreadsheetml.worksheet+xml" PartName="/xl/worksheets/sheet3122.xml"/>
  <Override ContentType="application/vnd.openxmlformats-officedocument.spreadsheetml.worksheet+xml" PartName="/xl/worksheets/sheet3123.xml"/>
  <Override ContentType="application/vnd.openxmlformats-officedocument.spreadsheetml.worksheet+xml" PartName="/xl/worksheets/sheet3124.xml"/>
  <Override ContentType="application/vnd.openxmlformats-officedocument.spreadsheetml.worksheet+xml" PartName="/xl/worksheets/sheet3125.xml"/>
  <Override ContentType="application/vnd.openxmlformats-officedocument.spreadsheetml.worksheet+xml" PartName="/xl/worksheets/sheet3126.xml"/>
  <Override ContentType="application/vnd.openxmlformats-officedocument.spreadsheetml.worksheet+xml" PartName="/xl/worksheets/sheet3127.xml"/>
  <Override ContentType="application/vnd.openxmlformats-officedocument.spreadsheetml.worksheet+xml" PartName="/xl/worksheets/sheet3128.xml"/>
  <Override ContentType="application/vnd.openxmlformats-officedocument.spreadsheetml.worksheet+xml" PartName="/xl/worksheets/sheet3129.xml"/>
  <Override ContentType="application/vnd.openxmlformats-officedocument.spreadsheetml.worksheet+xml" PartName="/xl/worksheets/sheet3130.xml"/>
  <Override ContentType="application/vnd.openxmlformats-officedocument.spreadsheetml.worksheet+xml" PartName="/xl/worksheets/sheet3131.xml"/>
  <Override ContentType="application/vnd.openxmlformats-officedocument.spreadsheetml.worksheet+xml" PartName="/xl/worksheets/sheet3132.xml"/>
  <Override ContentType="application/vnd.openxmlformats-officedocument.spreadsheetml.worksheet+xml" PartName="/xl/worksheets/sheet3133.xml"/>
  <Override ContentType="application/vnd.openxmlformats-officedocument.spreadsheetml.worksheet+xml" PartName="/xl/worksheets/sheet3134.xml"/>
  <Override ContentType="application/vnd.openxmlformats-officedocument.spreadsheetml.worksheet+xml" PartName="/xl/worksheets/sheet3135.xml"/>
  <Override ContentType="application/vnd.openxmlformats-officedocument.spreadsheetml.worksheet+xml" PartName="/xl/worksheets/sheet3136.xml"/>
  <Override ContentType="application/vnd.openxmlformats-officedocument.spreadsheetml.worksheet+xml" PartName="/xl/worksheets/sheet3137.xml"/>
  <Override ContentType="application/vnd.openxmlformats-officedocument.spreadsheetml.worksheet+xml" PartName="/xl/worksheets/sheet3138.xml"/>
  <Override ContentType="application/vnd.openxmlformats-officedocument.spreadsheetml.worksheet+xml" PartName="/xl/worksheets/sheet3139.xml"/>
  <Override ContentType="application/vnd.openxmlformats-officedocument.spreadsheetml.worksheet+xml" PartName="/xl/worksheets/sheet3140.xml"/>
  <Override ContentType="application/vnd.openxmlformats-officedocument.spreadsheetml.worksheet+xml" PartName="/xl/worksheets/sheet3141.xml"/>
  <Override ContentType="application/vnd.openxmlformats-officedocument.spreadsheetml.worksheet+xml" PartName="/xl/worksheets/sheet3142.xml"/>
  <Override ContentType="application/vnd.openxmlformats-officedocument.spreadsheetml.worksheet+xml" PartName="/xl/worksheets/sheet3143.xml"/>
  <Override ContentType="application/vnd.openxmlformats-officedocument.spreadsheetml.worksheet+xml" PartName="/xl/worksheets/sheet3144.xml"/>
  <Override ContentType="application/vnd.openxmlformats-officedocument.spreadsheetml.worksheet+xml" PartName="/xl/worksheets/sheet3145.xml"/>
  <Override ContentType="application/vnd.openxmlformats-officedocument.spreadsheetml.worksheet+xml" PartName="/xl/worksheets/sheet3146.xml"/>
  <Override ContentType="application/vnd.openxmlformats-officedocument.spreadsheetml.worksheet+xml" PartName="/xl/worksheets/sheet3147.xml"/>
  <Override ContentType="application/vnd.openxmlformats-officedocument.spreadsheetml.worksheet+xml" PartName="/xl/worksheets/sheet3148.xml"/>
  <Override ContentType="application/vnd.openxmlformats-officedocument.spreadsheetml.worksheet+xml" PartName="/xl/worksheets/sheet3149.xml"/>
  <Override ContentType="application/vnd.openxmlformats-officedocument.spreadsheetml.worksheet+xml" PartName="/xl/worksheets/sheet3150.xml"/>
  <Override ContentType="application/vnd.openxmlformats-officedocument.spreadsheetml.worksheet+xml" PartName="/xl/worksheets/sheet3151.xml"/>
  <Override ContentType="application/vnd.openxmlformats-officedocument.spreadsheetml.worksheet+xml" PartName="/xl/worksheets/sheet3152.xml"/>
  <Override ContentType="application/vnd.openxmlformats-officedocument.spreadsheetml.worksheet+xml" PartName="/xl/worksheets/sheet3153.xml"/>
  <Override ContentType="application/vnd.openxmlformats-officedocument.spreadsheetml.worksheet+xml" PartName="/xl/worksheets/sheet3154.xml"/>
  <Override ContentType="application/vnd.openxmlformats-officedocument.spreadsheetml.worksheet+xml" PartName="/xl/worksheets/sheet3155.xml"/>
  <Override ContentType="application/vnd.openxmlformats-officedocument.spreadsheetml.worksheet+xml" PartName="/xl/worksheets/sheet3156.xml"/>
  <Override ContentType="application/vnd.openxmlformats-officedocument.spreadsheetml.worksheet+xml" PartName="/xl/worksheets/sheet3157.xml"/>
  <Override ContentType="application/vnd.openxmlformats-officedocument.spreadsheetml.worksheet+xml" PartName="/xl/worksheets/sheet3158.xml"/>
  <Override ContentType="application/vnd.openxmlformats-officedocument.spreadsheetml.worksheet+xml" PartName="/xl/worksheets/sheet3159.xml"/>
  <Override ContentType="application/vnd.openxmlformats-officedocument.spreadsheetml.worksheet+xml" PartName="/xl/worksheets/sheet3160.xml"/>
  <Override ContentType="application/vnd.openxmlformats-officedocument.spreadsheetml.worksheet+xml" PartName="/xl/worksheets/sheet3161.xml"/>
  <Override ContentType="application/vnd.openxmlformats-officedocument.spreadsheetml.worksheet+xml" PartName="/xl/worksheets/sheet3162.xml"/>
  <Override ContentType="application/vnd.openxmlformats-officedocument.spreadsheetml.worksheet+xml" PartName="/xl/worksheets/sheet3163.xml"/>
  <Override ContentType="application/vnd.openxmlformats-officedocument.spreadsheetml.worksheet+xml" PartName="/xl/worksheets/sheet3164.xml"/>
  <Override ContentType="application/vnd.openxmlformats-officedocument.spreadsheetml.worksheet+xml" PartName="/xl/worksheets/sheet3165.xml"/>
  <Override ContentType="application/vnd.openxmlformats-officedocument.spreadsheetml.worksheet+xml" PartName="/xl/worksheets/sheet3166.xml"/>
  <Override ContentType="application/vnd.openxmlformats-officedocument.spreadsheetml.worksheet+xml" PartName="/xl/worksheets/sheet3167.xml"/>
  <Override ContentType="application/vnd.openxmlformats-officedocument.spreadsheetml.worksheet+xml" PartName="/xl/worksheets/sheet3168.xml"/>
  <Override ContentType="application/vnd.openxmlformats-officedocument.spreadsheetml.worksheet+xml" PartName="/xl/worksheets/sheet3169.xml"/>
  <Override ContentType="application/vnd.openxmlformats-officedocument.spreadsheetml.worksheet+xml" PartName="/xl/worksheets/sheet3170.xml"/>
  <Override ContentType="application/vnd.openxmlformats-officedocument.spreadsheetml.worksheet+xml" PartName="/xl/worksheets/sheet3171.xml"/>
  <Override ContentType="application/vnd.openxmlformats-officedocument.spreadsheetml.worksheet+xml" PartName="/xl/worksheets/sheet3172.xml"/>
  <Override ContentType="application/vnd.openxmlformats-officedocument.spreadsheetml.worksheet+xml" PartName="/xl/worksheets/sheet3173.xml"/>
  <Override ContentType="application/vnd.openxmlformats-officedocument.spreadsheetml.worksheet+xml" PartName="/xl/worksheets/sheet3174.xml"/>
  <Override ContentType="application/vnd.openxmlformats-officedocument.spreadsheetml.worksheet+xml" PartName="/xl/worksheets/sheet3175.xml"/>
  <Override ContentType="application/vnd.openxmlformats-officedocument.spreadsheetml.worksheet+xml" PartName="/xl/worksheets/sheet3176.xml"/>
  <Override ContentType="application/vnd.openxmlformats-officedocument.spreadsheetml.worksheet+xml" PartName="/xl/worksheets/sheet3177.xml"/>
  <Override ContentType="application/vnd.openxmlformats-officedocument.spreadsheetml.worksheet+xml" PartName="/xl/worksheets/sheet3178.xml"/>
  <Override ContentType="application/vnd.openxmlformats-officedocument.spreadsheetml.worksheet+xml" PartName="/xl/worksheets/sheet3179.xml"/>
  <Override ContentType="application/vnd.openxmlformats-officedocument.spreadsheetml.worksheet+xml" PartName="/xl/worksheets/sheet3180.xml"/>
  <Override ContentType="application/vnd.openxmlformats-officedocument.spreadsheetml.worksheet+xml" PartName="/xl/worksheets/sheet3181.xml"/>
  <Override ContentType="application/vnd.openxmlformats-officedocument.spreadsheetml.worksheet+xml" PartName="/xl/worksheets/sheet3182.xml"/>
  <Override ContentType="application/vnd.openxmlformats-officedocument.spreadsheetml.worksheet+xml" PartName="/xl/worksheets/sheet3183.xml"/>
  <Override ContentType="application/vnd.openxmlformats-officedocument.spreadsheetml.worksheet+xml" PartName="/xl/worksheets/sheet3184.xml"/>
  <Override ContentType="application/vnd.openxmlformats-officedocument.spreadsheetml.worksheet+xml" PartName="/xl/worksheets/sheet3185.xml"/>
  <Override ContentType="application/vnd.openxmlformats-officedocument.spreadsheetml.worksheet+xml" PartName="/xl/worksheets/sheet3186.xml"/>
  <Override ContentType="application/vnd.openxmlformats-officedocument.spreadsheetml.worksheet+xml" PartName="/xl/worksheets/sheet3187.xml"/>
  <Override ContentType="application/vnd.openxmlformats-officedocument.spreadsheetml.worksheet+xml" PartName="/xl/worksheets/sheet3188.xml"/>
  <Override ContentType="application/vnd.openxmlformats-officedocument.spreadsheetml.worksheet+xml" PartName="/xl/worksheets/sheet3189.xml"/>
  <Override ContentType="application/vnd.openxmlformats-officedocument.spreadsheetml.worksheet+xml" PartName="/xl/worksheets/sheet3190.xml"/>
  <Override ContentType="application/vnd.openxmlformats-officedocument.spreadsheetml.worksheet+xml" PartName="/xl/worksheets/sheet3191.xml"/>
  <Override ContentType="application/vnd.openxmlformats-officedocument.spreadsheetml.worksheet+xml" PartName="/xl/worksheets/sheet3192.xml"/>
  <Override ContentType="application/vnd.openxmlformats-officedocument.spreadsheetml.worksheet+xml" PartName="/xl/worksheets/sheet3193.xml"/>
  <Override ContentType="application/vnd.openxmlformats-officedocument.spreadsheetml.worksheet+xml" PartName="/xl/worksheets/sheet3194.xml"/>
  <Override ContentType="application/vnd.openxmlformats-officedocument.spreadsheetml.worksheet+xml" PartName="/xl/worksheets/sheet3195.xml"/>
  <Override ContentType="application/vnd.openxmlformats-officedocument.spreadsheetml.worksheet+xml" PartName="/xl/worksheets/sheet3196.xml"/>
  <Override ContentType="application/vnd.openxmlformats-officedocument.spreadsheetml.worksheet+xml" PartName="/xl/worksheets/sheet3197.xml"/>
  <Override ContentType="application/vnd.openxmlformats-officedocument.spreadsheetml.worksheet+xml" PartName="/xl/worksheets/sheet3198.xml"/>
  <Override ContentType="application/vnd.openxmlformats-officedocument.spreadsheetml.worksheet+xml" PartName="/xl/worksheets/sheet3199.xml"/>
  <Override ContentType="application/vnd.openxmlformats-officedocument.spreadsheetml.worksheet+xml" PartName="/xl/worksheets/sheet3200.xml"/>
  <Override ContentType="application/vnd.openxmlformats-officedocument.spreadsheetml.worksheet+xml" PartName="/xl/worksheets/sheet3201.xml"/>
  <Override ContentType="application/vnd.openxmlformats-officedocument.spreadsheetml.worksheet+xml" PartName="/xl/worksheets/sheet3202.xml"/>
  <Override ContentType="application/vnd.openxmlformats-officedocument.spreadsheetml.worksheet+xml" PartName="/xl/worksheets/sheet3203.xml"/>
  <Override ContentType="application/vnd.openxmlformats-officedocument.spreadsheetml.worksheet+xml" PartName="/xl/worksheets/sheet3204.xml"/>
  <Override ContentType="application/vnd.openxmlformats-officedocument.spreadsheetml.worksheet+xml" PartName="/xl/worksheets/sheet3205.xml"/>
  <Override ContentType="application/vnd.openxmlformats-officedocument.spreadsheetml.worksheet+xml" PartName="/xl/worksheets/sheet3206.xml"/>
  <Override ContentType="application/vnd.openxmlformats-officedocument.spreadsheetml.worksheet+xml" PartName="/xl/worksheets/sheet3207.xml"/>
  <Override ContentType="application/vnd.openxmlformats-officedocument.spreadsheetml.worksheet+xml" PartName="/xl/worksheets/sheet3208.xml"/>
  <Override ContentType="application/vnd.openxmlformats-officedocument.spreadsheetml.worksheet+xml" PartName="/xl/worksheets/sheet3209.xml"/>
  <Override ContentType="application/vnd.openxmlformats-officedocument.spreadsheetml.worksheet+xml" PartName="/xl/worksheets/sheet3210.xml"/>
  <Override ContentType="application/vnd.openxmlformats-officedocument.spreadsheetml.worksheet+xml" PartName="/xl/worksheets/sheet3211.xml"/>
  <Override ContentType="application/vnd.openxmlformats-officedocument.spreadsheetml.worksheet+xml" PartName="/xl/worksheets/sheet3212.xml"/>
  <Override ContentType="application/vnd.openxmlformats-officedocument.spreadsheetml.worksheet+xml" PartName="/xl/worksheets/sheet3213.xml"/>
  <Override ContentType="application/vnd.openxmlformats-officedocument.spreadsheetml.worksheet+xml" PartName="/xl/worksheets/sheet3214.xml"/>
  <Override ContentType="application/vnd.openxmlformats-officedocument.spreadsheetml.worksheet+xml" PartName="/xl/worksheets/sheet3215.xml"/>
  <Override ContentType="application/vnd.openxmlformats-officedocument.spreadsheetml.worksheet+xml" PartName="/xl/worksheets/sheet3216.xml"/>
  <Override ContentType="application/vnd.openxmlformats-officedocument.spreadsheetml.worksheet+xml" PartName="/xl/worksheets/sheet3217.xml"/>
  <Override ContentType="application/vnd.openxmlformats-officedocument.spreadsheetml.worksheet+xml" PartName="/xl/worksheets/sheet3218.xml"/>
  <Override ContentType="application/vnd.openxmlformats-officedocument.spreadsheetml.worksheet+xml" PartName="/xl/worksheets/sheet3219.xml"/>
  <Override ContentType="application/vnd.openxmlformats-officedocument.spreadsheetml.worksheet+xml" PartName="/xl/worksheets/sheet3220.xml"/>
  <Override ContentType="application/vnd.openxmlformats-officedocument.spreadsheetml.worksheet+xml" PartName="/xl/worksheets/sheet3221.xml"/>
  <Override ContentType="application/vnd.openxmlformats-officedocument.spreadsheetml.worksheet+xml" PartName="/xl/worksheets/sheet3222.xml"/>
  <Override ContentType="application/vnd.openxmlformats-officedocument.spreadsheetml.worksheet+xml" PartName="/xl/worksheets/sheet3223.xml"/>
  <Override ContentType="application/vnd.openxmlformats-officedocument.spreadsheetml.worksheet+xml" PartName="/xl/worksheets/sheet3224.xml"/>
  <Override ContentType="application/vnd.openxmlformats-officedocument.spreadsheetml.worksheet+xml" PartName="/xl/worksheets/sheet3225.xml"/>
  <Override ContentType="application/vnd.openxmlformats-officedocument.spreadsheetml.worksheet+xml" PartName="/xl/worksheets/sheet3226.xml"/>
  <Override ContentType="application/vnd.openxmlformats-officedocument.spreadsheetml.worksheet+xml" PartName="/xl/worksheets/sheet3227.xml"/>
  <Override ContentType="application/vnd.openxmlformats-officedocument.spreadsheetml.worksheet+xml" PartName="/xl/worksheets/sheet3228.xml"/>
  <Override ContentType="application/vnd.openxmlformats-officedocument.spreadsheetml.worksheet+xml" PartName="/xl/worksheets/sheet3229.xml"/>
  <Override ContentType="application/vnd.openxmlformats-officedocument.spreadsheetml.worksheet+xml" PartName="/xl/worksheets/sheet3230.xml"/>
  <Override ContentType="application/vnd.openxmlformats-officedocument.spreadsheetml.worksheet+xml" PartName="/xl/worksheets/sheet3231.xml"/>
  <Override ContentType="application/vnd.openxmlformats-officedocument.spreadsheetml.worksheet+xml" PartName="/xl/worksheets/sheet3232.xml"/>
  <Override ContentType="application/vnd.openxmlformats-officedocument.spreadsheetml.worksheet+xml" PartName="/xl/worksheets/sheet3233.xml"/>
  <Override ContentType="application/vnd.openxmlformats-officedocument.spreadsheetml.worksheet+xml" PartName="/xl/worksheets/sheet3234.xml"/>
  <Override ContentType="application/vnd.openxmlformats-officedocument.spreadsheetml.worksheet+xml" PartName="/xl/worksheets/sheet3235.xml"/>
  <Override ContentType="application/vnd.openxmlformats-officedocument.spreadsheetml.worksheet+xml" PartName="/xl/worksheets/sheet3236.xml"/>
  <Override ContentType="application/vnd.openxmlformats-officedocument.spreadsheetml.worksheet+xml" PartName="/xl/worksheets/sheet3237.xml"/>
  <Override ContentType="application/vnd.openxmlformats-officedocument.spreadsheetml.worksheet+xml" PartName="/xl/worksheets/sheet3238.xml"/>
  <Override ContentType="application/vnd.openxmlformats-officedocument.spreadsheetml.worksheet+xml" PartName="/xl/worksheets/sheet3239.xml"/>
  <Override ContentType="application/vnd.openxmlformats-officedocument.spreadsheetml.worksheet+xml" PartName="/xl/worksheets/sheet3240.xml"/>
  <Override ContentType="application/vnd.openxmlformats-officedocument.spreadsheetml.worksheet+xml" PartName="/xl/worksheets/sheet3241.xml"/>
  <Override ContentType="application/vnd.openxmlformats-officedocument.spreadsheetml.worksheet+xml" PartName="/xl/worksheets/sheet3242.xml"/>
  <Override ContentType="application/vnd.openxmlformats-officedocument.spreadsheetml.worksheet+xml" PartName="/xl/worksheets/sheet3243.xml"/>
  <Override ContentType="application/vnd.openxmlformats-officedocument.spreadsheetml.worksheet+xml" PartName="/xl/worksheets/sheet3244.xml"/>
  <Override ContentType="application/vnd.openxmlformats-officedocument.spreadsheetml.worksheet+xml" PartName="/xl/worksheets/sheet3245.xml"/>
  <Override ContentType="application/vnd.openxmlformats-officedocument.spreadsheetml.worksheet+xml" PartName="/xl/worksheets/sheet3246.xml"/>
  <Override ContentType="application/vnd.openxmlformats-officedocument.spreadsheetml.worksheet+xml" PartName="/xl/worksheets/sheet3247.xml"/>
  <Override ContentType="application/vnd.openxmlformats-officedocument.spreadsheetml.worksheet+xml" PartName="/xl/worksheets/sheet3248.xml"/>
  <Override ContentType="application/vnd.openxmlformats-officedocument.spreadsheetml.worksheet+xml" PartName="/xl/worksheets/sheet3249.xml"/>
  <Override ContentType="application/vnd.openxmlformats-officedocument.spreadsheetml.worksheet+xml" PartName="/xl/worksheets/sheet3250.xml"/>
  <Override ContentType="application/vnd.openxmlformats-officedocument.spreadsheetml.worksheet+xml" PartName="/xl/worksheets/sheet3251.xml"/>
  <Override ContentType="application/vnd.openxmlformats-officedocument.spreadsheetml.worksheet+xml" PartName="/xl/worksheets/sheet3252.xml"/>
  <Override ContentType="application/vnd.openxmlformats-officedocument.spreadsheetml.worksheet+xml" PartName="/xl/worksheets/sheet3253.xml"/>
  <Override ContentType="application/vnd.openxmlformats-officedocument.spreadsheetml.worksheet+xml" PartName="/xl/worksheets/sheet3254.xml"/>
  <Override ContentType="application/vnd.openxmlformats-officedocument.spreadsheetml.worksheet+xml" PartName="/xl/worksheets/sheet3255.xml"/>
  <Override ContentType="application/vnd.openxmlformats-officedocument.spreadsheetml.worksheet+xml" PartName="/xl/worksheets/sheet3256.xml"/>
  <Override ContentType="application/vnd.openxmlformats-officedocument.spreadsheetml.worksheet+xml" PartName="/xl/worksheets/sheet3257.xml"/>
  <Override ContentType="application/vnd.openxmlformats-officedocument.spreadsheetml.worksheet+xml" PartName="/xl/worksheets/sheet3258.xml"/>
  <Override ContentType="application/vnd.openxmlformats-officedocument.spreadsheetml.worksheet+xml" PartName="/xl/worksheets/sheet3259.xml"/>
  <Override ContentType="application/vnd.openxmlformats-officedocument.spreadsheetml.worksheet+xml" PartName="/xl/worksheets/sheet3260.xml"/>
  <Override ContentType="application/vnd.openxmlformats-officedocument.spreadsheetml.worksheet+xml" PartName="/xl/worksheets/sheet3261.xml"/>
  <Override ContentType="application/vnd.openxmlformats-officedocument.spreadsheetml.worksheet+xml" PartName="/xl/worksheets/sheet3262.xml"/>
  <Override ContentType="application/vnd.openxmlformats-officedocument.spreadsheetml.worksheet+xml" PartName="/xl/worksheets/sheet3263.xml"/>
  <Override ContentType="application/vnd.openxmlformats-officedocument.spreadsheetml.worksheet+xml" PartName="/xl/worksheets/sheet3264.xml"/>
  <Override ContentType="application/vnd.openxmlformats-officedocument.spreadsheetml.worksheet+xml" PartName="/xl/worksheets/sheet3265.xml"/>
  <Override ContentType="application/vnd.openxmlformats-officedocument.spreadsheetml.worksheet+xml" PartName="/xl/worksheets/sheet3266.xml"/>
  <Override ContentType="application/vnd.openxmlformats-officedocument.spreadsheetml.worksheet+xml" PartName="/xl/worksheets/sheet3267.xml"/>
  <Override ContentType="application/vnd.openxmlformats-officedocument.spreadsheetml.worksheet+xml" PartName="/xl/worksheets/sheet3268.xml"/>
  <Override ContentType="application/vnd.openxmlformats-officedocument.spreadsheetml.worksheet+xml" PartName="/xl/worksheets/sheet3269.xml"/>
  <Override ContentType="application/vnd.openxmlformats-officedocument.spreadsheetml.worksheet+xml" PartName="/xl/worksheets/sheet3270.xml"/>
  <Override ContentType="application/vnd.openxmlformats-officedocument.spreadsheetml.worksheet+xml" PartName="/xl/worksheets/sheet3271.xml"/>
  <Override ContentType="application/vnd.openxmlformats-officedocument.spreadsheetml.worksheet+xml" PartName="/xl/worksheets/sheet3272.xml"/>
  <Override ContentType="application/vnd.openxmlformats-officedocument.spreadsheetml.worksheet+xml" PartName="/xl/worksheets/sheet3273.xml"/>
  <Override ContentType="application/vnd.openxmlformats-officedocument.spreadsheetml.worksheet+xml" PartName="/xl/worksheets/sheet3274.xml"/>
  <Override ContentType="application/vnd.openxmlformats-officedocument.spreadsheetml.worksheet+xml" PartName="/xl/worksheets/sheet3275.xml"/>
  <Override ContentType="application/vnd.openxmlformats-officedocument.spreadsheetml.worksheet+xml" PartName="/xl/worksheets/sheet3276.xml"/>
  <Override ContentType="application/vnd.openxmlformats-officedocument.spreadsheetml.worksheet+xml" PartName="/xl/worksheets/sheet3277.xml"/>
  <Override ContentType="application/vnd.openxmlformats-officedocument.spreadsheetml.worksheet+xml" PartName="/xl/worksheets/sheet3278.xml"/>
  <Override ContentType="application/vnd.openxmlformats-officedocument.spreadsheetml.worksheet+xml" PartName="/xl/worksheets/sheet3279.xml"/>
  <Override ContentType="application/vnd.openxmlformats-officedocument.spreadsheetml.worksheet+xml" PartName="/xl/worksheets/sheet3280.xml"/>
  <Override ContentType="application/vnd.openxmlformats-officedocument.spreadsheetml.worksheet+xml" PartName="/xl/worksheets/sheet3281.xml"/>
  <Override ContentType="application/vnd.openxmlformats-officedocument.spreadsheetml.worksheet+xml" PartName="/xl/worksheets/sheet3282.xml"/>
  <Override ContentType="application/vnd.openxmlformats-officedocument.spreadsheetml.worksheet+xml" PartName="/xl/worksheets/sheet3283.xml"/>
  <Override ContentType="application/vnd.openxmlformats-officedocument.spreadsheetml.worksheet+xml" PartName="/xl/worksheets/sheet3284.xml"/>
  <Override ContentType="application/vnd.openxmlformats-officedocument.spreadsheetml.worksheet+xml" PartName="/xl/worksheets/sheet3285.xml"/>
  <Override ContentType="application/vnd.openxmlformats-officedocument.spreadsheetml.worksheet+xml" PartName="/xl/worksheets/sheet3286.xml"/>
  <Override ContentType="application/vnd.openxmlformats-officedocument.spreadsheetml.worksheet+xml" PartName="/xl/worksheets/sheet3287.xml"/>
  <Override ContentType="application/vnd.openxmlformats-officedocument.spreadsheetml.worksheet+xml" PartName="/xl/worksheets/sheet3288.xml"/>
  <Override ContentType="application/vnd.openxmlformats-officedocument.spreadsheetml.worksheet+xml" PartName="/xl/worksheets/sheet3289.xml"/>
  <Override ContentType="application/vnd.openxmlformats-officedocument.spreadsheetml.worksheet+xml" PartName="/xl/worksheets/sheet3290.xml"/>
  <Override ContentType="application/vnd.openxmlformats-officedocument.spreadsheetml.worksheet+xml" PartName="/xl/worksheets/sheet3291.xml"/>
  <Override ContentType="application/vnd.openxmlformats-officedocument.spreadsheetml.worksheet+xml" PartName="/xl/worksheets/sheet3292.xml"/>
  <Override ContentType="application/vnd.openxmlformats-officedocument.spreadsheetml.worksheet+xml" PartName="/xl/worksheets/sheet3293.xml"/>
  <Override ContentType="application/vnd.openxmlformats-officedocument.spreadsheetml.worksheet+xml" PartName="/xl/worksheets/sheet3294.xml"/>
  <Override ContentType="application/vnd.openxmlformats-officedocument.spreadsheetml.worksheet+xml" PartName="/xl/worksheets/sheet3295.xml"/>
  <Override ContentType="application/vnd.openxmlformats-officedocument.spreadsheetml.worksheet+xml" PartName="/xl/worksheets/sheet3296.xml"/>
  <Override ContentType="application/vnd.openxmlformats-officedocument.spreadsheetml.worksheet+xml" PartName="/xl/worksheets/sheet3297.xml"/>
  <Override ContentType="application/vnd.openxmlformats-officedocument.spreadsheetml.worksheet+xml" PartName="/xl/worksheets/sheet3298.xml"/>
  <Override ContentType="application/vnd.openxmlformats-officedocument.spreadsheetml.worksheet+xml" PartName="/xl/worksheets/sheet3299.xml"/>
  <Override ContentType="application/vnd.openxmlformats-officedocument.spreadsheetml.worksheet+xml" PartName="/xl/worksheets/sheet3300.xml"/>
  <Override ContentType="application/vnd.openxmlformats-officedocument.spreadsheetml.worksheet+xml" PartName="/xl/worksheets/sheet3301.xml"/>
  <Override ContentType="application/vnd.openxmlformats-officedocument.spreadsheetml.worksheet+xml" PartName="/xl/worksheets/sheet3302.xml"/>
  <Override ContentType="application/vnd.openxmlformats-officedocument.spreadsheetml.worksheet+xml" PartName="/xl/worksheets/sheet3303.xml"/>
  <Override ContentType="application/vnd.openxmlformats-officedocument.spreadsheetml.worksheet+xml" PartName="/xl/worksheets/sheet3304.xml"/>
  <Override ContentType="application/vnd.openxmlformats-officedocument.spreadsheetml.worksheet+xml" PartName="/xl/worksheets/sheet3305.xml"/>
  <Override ContentType="application/vnd.openxmlformats-officedocument.spreadsheetml.worksheet+xml" PartName="/xl/worksheets/sheet3306.xml"/>
  <Override ContentType="application/vnd.openxmlformats-officedocument.spreadsheetml.worksheet+xml" PartName="/xl/worksheets/sheet3307.xml"/>
  <Override ContentType="application/vnd.openxmlformats-officedocument.spreadsheetml.worksheet+xml" PartName="/xl/worksheets/sheet3308.xml"/>
  <Override ContentType="application/vnd.openxmlformats-officedocument.spreadsheetml.worksheet+xml" PartName="/xl/worksheets/sheet3309.xml"/>
  <Override ContentType="application/vnd.openxmlformats-officedocument.spreadsheetml.worksheet+xml" PartName="/xl/worksheets/sheet3310.xml"/>
  <Override ContentType="application/vnd.openxmlformats-officedocument.spreadsheetml.worksheet+xml" PartName="/xl/worksheets/sheet3311.xml"/>
  <Override ContentType="application/vnd.openxmlformats-officedocument.spreadsheetml.worksheet+xml" PartName="/xl/worksheets/sheet3312.xml"/>
  <Override ContentType="application/vnd.openxmlformats-officedocument.spreadsheetml.worksheet+xml" PartName="/xl/worksheets/sheet3313.xml"/>
  <Override ContentType="application/vnd.openxmlformats-officedocument.spreadsheetml.worksheet+xml" PartName="/xl/worksheets/sheet3314.xml"/>
  <Override ContentType="application/vnd.openxmlformats-officedocument.spreadsheetml.worksheet+xml" PartName="/xl/worksheets/sheet3315.xml"/>
  <Override ContentType="application/vnd.openxmlformats-officedocument.spreadsheetml.worksheet+xml" PartName="/xl/worksheets/sheet3316.xml"/>
  <Override ContentType="application/vnd.openxmlformats-officedocument.spreadsheetml.worksheet+xml" PartName="/xl/worksheets/sheet3317.xml"/>
  <Override ContentType="application/vnd.openxmlformats-officedocument.spreadsheetml.worksheet+xml" PartName="/xl/worksheets/sheet3318.xml"/>
  <Override ContentType="application/vnd.openxmlformats-officedocument.spreadsheetml.worksheet+xml" PartName="/xl/worksheets/sheet3319.xml"/>
  <Override ContentType="application/vnd.openxmlformats-officedocument.spreadsheetml.worksheet+xml" PartName="/xl/worksheets/sheet3320.xml"/>
  <Override ContentType="application/vnd.openxmlformats-officedocument.spreadsheetml.worksheet+xml" PartName="/xl/worksheets/sheet3321.xml"/>
  <Override ContentType="application/vnd.openxmlformats-officedocument.spreadsheetml.worksheet+xml" PartName="/xl/worksheets/sheet3322.xml"/>
  <Override ContentType="application/vnd.openxmlformats-officedocument.spreadsheetml.worksheet+xml" PartName="/xl/worksheets/sheet3323.xml"/>
  <Override ContentType="application/vnd.openxmlformats-officedocument.spreadsheetml.worksheet+xml" PartName="/xl/worksheets/sheet3324.xml"/>
  <Override ContentType="application/vnd.openxmlformats-officedocument.spreadsheetml.worksheet+xml" PartName="/xl/worksheets/sheet3325.xml"/>
  <Override ContentType="application/vnd.openxmlformats-officedocument.spreadsheetml.worksheet+xml" PartName="/xl/worksheets/sheet3326.xml"/>
  <Override ContentType="application/vnd.openxmlformats-officedocument.spreadsheetml.worksheet+xml" PartName="/xl/worksheets/sheet3327.xml"/>
  <Override ContentType="application/vnd.openxmlformats-officedocument.spreadsheetml.worksheet+xml" PartName="/xl/worksheets/sheet3328.xml"/>
  <Override ContentType="application/vnd.openxmlformats-officedocument.spreadsheetml.worksheet+xml" PartName="/xl/worksheets/sheet3329.xml"/>
  <Override ContentType="application/vnd.openxmlformats-officedocument.spreadsheetml.worksheet+xml" PartName="/xl/worksheets/sheet3330.xml"/>
  <Override ContentType="application/vnd.openxmlformats-officedocument.spreadsheetml.worksheet+xml" PartName="/xl/worksheets/sheet3331.xml"/>
  <Override ContentType="application/vnd.openxmlformats-officedocument.spreadsheetml.worksheet+xml" PartName="/xl/worksheets/sheet3332.xml"/>
  <Override ContentType="application/vnd.openxmlformats-officedocument.spreadsheetml.worksheet+xml" PartName="/xl/worksheets/sheet3333.xml"/>
  <Override ContentType="application/vnd.openxmlformats-officedocument.spreadsheetml.worksheet+xml" PartName="/xl/worksheets/sheet3334.xml"/>
  <Override ContentType="application/vnd.openxmlformats-officedocument.spreadsheetml.worksheet+xml" PartName="/xl/worksheets/sheet3335.xml"/>
  <Override ContentType="application/vnd.openxmlformats-officedocument.spreadsheetml.worksheet+xml" PartName="/xl/worksheets/sheet3336.xml"/>
  <Override ContentType="application/vnd.openxmlformats-officedocument.spreadsheetml.worksheet+xml" PartName="/xl/worksheets/sheet3337.xml"/>
  <Override ContentType="application/vnd.openxmlformats-officedocument.spreadsheetml.worksheet+xml" PartName="/xl/worksheets/sheet3338.xml"/>
  <Override ContentType="application/vnd.openxmlformats-officedocument.spreadsheetml.worksheet+xml" PartName="/xl/worksheets/sheet3339.xml"/>
  <Override ContentType="application/vnd.openxmlformats-officedocument.spreadsheetml.worksheet+xml" PartName="/xl/worksheets/sheet3340.xml"/>
  <Override ContentType="application/vnd.openxmlformats-officedocument.spreadsheetml.worksheet+xml" PartName="/xl/worksheets/sheet3341.xml"/>
  <Override ContentType="application/vnd.openxmlformats-officedocument.spreadsheetml.worksheet+xml" PartName="/xl/worksheets/sheet3342.xml"/>
  <Override ContentType="application/vnd.openxmlformats-officedocument.spreadsheetml.worksheet+xml" PartName="/xl/worksheets/sheet3343.xml"/>
  <Override ContentType="application/vnd.openxmlformats-officedocument.spreadsheetml.worksheet+xml" PartName="/xl/worksheets/sheet3344.xml"/>
  <Override ContentType="application/vnd.openxmlformats-officedocument.spreadsheetml.worksheet+xml" PartName="/xl/worksheets/sheet3345.xml"/>
  <Override ContentType="application/vnd.openxmlformats-officedocument.spreadsheetml.worksheet+xml" PartName="/xl/worksheets/sheet3346.xml"/>
  <Override ContentType="application/vnd.openxmlformats-officedocument.spreadsheetml.worksheet+xml" PartName="/xl/worksheets/sheet3347.xml"/>
  <Override ContentType="application/vnd.openxmlformats-officedocument.spreadsheetml.worksheet+xml" PartName="/xl/worksheets/sheet3348.xml"/>
  <Override ContentType="application/vnd.openxmlformats-officedocument.spreadsheetml.worksheet+xml" PartName="/xl/worksheets/sheet3349.xml"/>
  <Override ContentType="application/vnd.openxmlformats-officedocument.spreadsheetml.worksheet+xml" PartName="/xl/worksheets/sheet3350.xml"/>
  <Override ContentType="application/vnd.openxmlformats-officedocument.spreadsheetml.worksheet+xml" PartName="/xl/worksheets/sheet3351.xml"/>
  <Override ContentType="application/vnd.openxmlformats-officedocument.spreadsheetml.worksheet+xml" PartName="/xl/worksheets/sheet3352.xml"/>
  <Override ContentType="application/vnd.openxmlformats-officedocument.spreadsheetml.worksheet+xml" PartName="/xl/worksheets/sheet3353.xml"/>
  <Override ContentType="application/vnd.openxmlformats-officedocument.spreadsheetml.worksheet+xml" PartName="/xl/worksheets/sheet3354.xml"/>
  <Override ContentType="application/vnd.openxmlformats-officedocument.spreadsheetml.worksheet+xml" PartName="/xl/worksheets/sheet3355.xml"/>
  <Override ContentType="application/vnd.openxmlformats-officedocument.spreadsheetml.worksheet+xml" PartName="/xl/worksheets/sheet3356.xml"/>
  <Override ContentType="application/vnd.openxmlformats-officedocument.spreadsheetml.worksheet+xml" PartName="/xl/worksheets/sheet3357.xml"/>
  <Override ContentType="application/vnd.openxmlformats-officedocument.spreadsheetml.worksheet+xml" PartName="/xl/worksheets/sheet3358.xml"/>
  <Override ContentType="application/vnd.openxmlformats-officedocument.spreadsheetml.worksheet+xml" PartName="/xl/worksheets/sheet3359.xml"/>
  <Override ContentType="application/vnd.openxmlformats-officedocument.spreadsheetml.worksheet+xml" PartName="/xl/worksheets/sheet3360.xml"/>
  <Override ContentType="application/vnd.openxmlformats-officedocument.spreadsheetml.worksheet+xml" PartName="/xl/worksheets/sheet3361.xml"/>
  <Override ContentType="application/vnd.openxmlformats-officedocument.spreadsheetml.worksheet+xml" PartName="/xl/worksheets/sheet3362.xml"/>
  <Override ContentType="application/vnd.openxmlformats-officedocument.spreadsheetml.worksheet+xml" PartName="/xl/worksheets/sheet3363.xml"/>
  <Override ContentType="application/vnd.openxmlformats-officedocument.spreadsheetml.worksheet+xml" PartName="/xl/worksheets/sheet3364.xml"/>
  <Override ContentType="application/vnd.openxmlformats-officedocument.spreadsheetml.worksheet+xml" PartName="/xl/worksheets/sheet3365.xml"/>
  <Override ContentType="application/vnd.openxmlformats-officedocument.spreadsheetml.worksheet+xml" PartName="/xl/worksheets/sheet3366.xml"/>
  <Override ContentType="application/vnd.openxmlformats-officedocument.spreadsheetml.worksheet+xml" PartName="/xl/worksheets/sheet3367.xml"/>
  <Override ContentType="application/vnd.openxmlformats-officedocument.spreadsheetml.worksheet+xml" PartName="/xl/worksheets/sheet3368.xml"/>
  <Override ContentType="application/vnd.openxmlformats-officedocument.spreadsheetml.worksheet+xml" PartName="/xl/worksheets/sheet3369.xml"/>
  <Override ContentType="application/vnd.openxmlformats-officedocument.spreadsheetml.worksheet+xml" PartName="/xl/worksheets/sheet3370.xml"/>
  <Override ContentType="application/vnd.openxmlformats-officedocument.spreadsheetml.worksheet+xml" PartName="/xl/worksheets/sheet3371.xml"/>
  <Override ContentType="application/vnd.openxmlformats-officedocument.spreadsheetml.worksheet+xml" PartName="/xl/worksheets/sheet3372.xml"/>
  <Override ContentType="application/vnd.openxmlformats-officedocument.spreadsheetml.worksheet+xml" PartName="/xl/worksheets/sheet3373.xml"/>
  <Override ContentType="application/vnd.openxmlformats-officedocument.spreadsheetml.worksheet+xml" PartName="/xl/worksheets/sheet3374.xml"/>
  <Override ContentType="application/vnd.openxmlformats-officedocument.spreadsheetml.worksheet+xml" PartName="/xl/worksheets/sheet3375.xml"/>
  <Override ContentType="application/vnd.openxmlformats-officedocument.spreadsheetml.worksheet+xml" PartName="/xl/worksheets/sheet3376.xml"/>
  <Override ContentType="application/vnd.openxmlformats-officedocument.spreadsheetml.worksheet+xml" PartName="/xl/worksheets/sheet3377.xml"/>
  <Override ContentType="application/vnd.openxmlformats-officedocument.spreadsheetml.worksheet+xml" PartName="/xl/worksheets/sheet3378.xml"/>
  <Override ContentType="application/vnd.openxmlformats-officedocument.spreadsheetml.worksheet+xml" PartName="/xl/worksheets/sheet3379.xml"/>
  <Override ContentType="application/vnd.openxmlformats-officedocument.spreadsheetml.worksheet+xml" PartName="/xl/worksheets/sheet3380.xml"/>
  <Override ContentType="application/vnd.openxmlformats-officedocument.spreadsheetml.worksheet+xml" PartName="/xl/worksheets/sheet3381.xml"/>
  <Override ContentType="application/vnd.openxmlformats-officedocument.spreadsheetml.worksheet+xml" PartName="/xl/worksheets/sheet3382.xml"/>
  <Override ContentType="application/vnd.openxmlformats-officedocument.spreadsheetml.worksheet+xml" PartName="/xl/worksheets/sheet3383.xml"/>
  <Override ContentType="application/vnd.openxmlformats-officedocument.spreadsheetml.worksheet+xml" PartName="/xl/worksheets/sheet3384.xml"/>
  <Override ContentType="application/vnd.openxmlformats-officedocument.spreadsheetml.worksheet+xml" PartName="/xl/worksheets/sheet3385.xml"/>
  <Override ContentType="application/vnd.openxmlformats-officedocument.spreadsheetml.worksheet+xml" PartName="/xl/worksheets/sheet3386.xml"/>
  <Override ContentType="application/vnd.openxmlformats-officedocument.spreadsheetml.worksheet+xml" PartName="/xl/worksheets/sheet3387.xml"/>
  <Override ContentType="application/vnd.openxmlformats-officedocument.spreadsheetml.worksheet+xml" PartName="/xl/worksheets/sheet3388.xml"/>
  <Override ContentType="application/vnd.openxmlformats-officedocument.spreadsheetml.worksheet+xml" PartName="/xl/worksheets/sheet3389.xml"/>
  <Override ContentType="application/vnd.openxmlformats-officedocument.spreadsheetml.worksheet+xml" PartName="/xl/worksheets/sheet3390.xml"/>
  <Override ContentType="application/vnd.openxmlformats-officedocument.spreadsheetml.worksheet+xml" PartName="/xl/worksheets/sheet3391.xml"/>
  <Override ContentType="application/vnd.openxmlformats-officedocument.spreadsheetml.worksheet+xml" PartName="/xl/worksheets/sheet3392.xml"/>
  <Override ContentType="application/vnd.openxmlformats-officedocument.spreadsheetml.worksheet+xml" PartName="/xl/worksheets/sheet3393.xml"/>
  <Override ContentType="application/vnd.openxmlformats-officedocument.spreadsheetml.worksheet+xml" PartName="/xl/worksheets/sheet3394.xml"/>
  <Override ContentType="application/vnd.openxmlformats-officedocument.spreadsheetml.worksheet+xml" PartName="/xl/worksheets/sheet3395.xml"/>
  <Override ContentType="application/vnd.openxmlformats-officedocument.spreadsheetml.worksheet+xml" PartName="/xl/worksheets/sheet3396.xml"/>
  <Override ContentType="application/vnd.openxmlformats-officedocument.spreadsheetml.worksheet+xml" PartName="/xl/worksheets/sheet3397.xml"/>
  <Override ContentType="application/vnd.openxmlformats-officedocument.spreadsheetml.worksheet+xml" PartName="/xl/worksheets/sheet3398.xml"/>
  <Override ContentType="application/vnd.openxmlformats-officedocument.spreadsheetml.worksheet+xml" PartName="/xl/worksheets/sheet3399.xml"/>
  <Override ContentType="application/vnd.openxmlformats-officedocument.spreadsheetml.worksheet+xml" PartName="/xl/worksheets/sheet3400.xml"/>
  <Override ContentType="application/vnd.openxmlformats-officedocument.spreadsheetml.worksheet+xml" PartName="/xl/worksheets/sheet3401.xml"/>
  <Override ContentType="application/vnd.openxmlformats-officedocument.spreadsheetml.worksheet+xml" PartName="/xl/worksheets/sheet3402.xml"/>
  <Override ContentType="application/vnd.openxmlformats-officedocument.spreadsheetml.worksheet+xml" PartName="/xl/worksheets/sheet3403.xml"/>
  <Override ContentType="application/vnd.openxmlformats-officedocument.spreadsheetml.worksheet+xml" PartName="/xl/worksheets/sheet3404.xml"/>
  <Override ContentType="application/vnd.openxmlformats-officedocument.spreadsheetml.worksheet+xml" PartName="/xl/worksheets/sheet3405.xml"/>
  <Override ContentType="application/vnd.openxmlformats-officedocument.spreadsheetml.worksheet+xml" PartName="/xl/worksheets/sheet3406.xml"/>
  <Override ContentType="application/vnd.openxmlformats-officedocument.spreadsheetml.worksheet+xml" PartName="/xl/worksheets/sheet3407.xml"/>
  <Override ContentType="application/vnd.openxmlformats-officedocument.spreadsheetml.worksheet+xml" PartName="/xl/worksheets/sheet3408.xml"/>
  <Override ContentType="application/vnd.openxmlformats-officedocument.spreadsheetml.worksheet+xml" PartName="/xl/worksheets/sheet3409.xml"/>
  <Override ContentType="application/vnd.openxmlformats-officedocument.spreadsheetml.worksheet+xml" PartName="/xl/worksheets/sheet3410.xml"/>
  <Override ContentType="application/vnd.openxmlformats-officedocument.spreadsheetml.worksheet+xml" PartName="/xl/worksheets/sheet3411.xml"/>
  <Override ContentType="application/vnd.openxmlformats-officedocument.spreadsheetml.worksheet+xml" PartName="/xl/worksheets/sheet3412.xml"/>
  <Override ContentType="application/vnd.openxmlformats-officedocument.spreadsheetml.worksheet+xml" PartName="/xl/worksheets/sheet3413.xml"/>
  <Override ContentType="application/vnd.openxmlformats-officedocument.spreadsheetml.worksheet+xml" PartName="/xl/worksheets/sheet3414.xml"/>
  <Override ContentType="application/vnd.openxmlformats-officedocument.spreadsheetml.worksheet+xml" PartName="/xl/worksheets/sheet3415.xml"/>
  <Override ContentType="application/vnd.openxmlformats-officedocument.spreadsheetml.worksheet+xml" PartName="/xl/worksheets/sheet3416.xml"/>
  <Override ContentType="application/vnd.openxmlformats-officedocument.spreadsheetml.worksheet+xml" PartName="/xl/worksheets/sheet3417.xml"/>
  <Override ContentType="application/vnd.openxmlformats-officedocument.spreadsheetml.worksheet+xml" PartName="/xl/worksheets/sheet3418.xml"/>
  <Override ContentType="application/vnd.openxmlformats-officedocument.spreadsheetml.worksheet+xml" PartName="/xl/worksheets/sheet3419.xml"/>
  <Override ContentType="application/vnd.openxmlformats-officedocument.spreadsheetml.worksheet+xml" PartName="/xl/worksheets/sheet3420.xml"/>
  <Override ContentType="application/vnd.openxmlformats-officedocument.spreadsheetml.worksheet+xml" PartName="/xl/worksheets/sheet3421.xml"/>
  <Override ContentType="application/vnd.openxmlformats-officedocument.spreadsheetml.worksheet+xml" PartName="/xl/worksheets/sheet3422.xml"/>
  <Override ContentType="application/vnd.openxmlformats-officedocument.spreadsheetml.worksheet+xml" PartName="/xl/worksheets/sheet3423.xml"/>
  <Override ContentType="application/vnd.openxmlformats-officedocument.spreadsheetml.worksheet+xml" PartName="/xl/worksheets/sheet3424.xml"/>
  <Override ContentType="application/vnd.openxmlformats-officedocument.spreadsheetml.worksheet+xml" PartName="/xl/worksheets/sheet3425.xml"/>
  <Override ContentType="application/vnd.openxmlformats-officedocument.spreadsheetml.worksheet+xml" PartName="/xl/worksheets/sheet3426.xml"/>
  <Override ContentType="application/vnd.openxmlformats-officedocument.spreadsheetml.worksheet+xml" PartName="/xl/worksheets/sheet3427.xml"/>
  <Override ContentType="application/vnd.openxmlformats-officedocument.spreadsheetml.worksheet+xml" PartName="/xl/worksheets/sheet3428.xml"/>
  <Override ContentType="application/vnd.openxmlformats-officedocument.spreadsheetml.worksheet+xml" PartName="/xl/worksheets/sheet3429.xml"/>
  <Override ContentType="application/vnd.openxmlformats-officedocument.spreadsheetml.worksheet+xml" PartName="/xl/worksheets/sheet3430.xml"/>
  <Override ContentType="application/vnd.openxmlformats-officedocument.spreadsheetml.worksheet+xml" PartName="/xl/worksheets/sheet3431.xml"/>
  <Override ContentType="application/vnd.openxmlformats-officedocument.spreadsheetml.worksheet+xml" PartName="/xl/worksheets/sheet3432.xml"/>
  <Override ContentType="application/vnd.openxmlformats-officedocument.spreadsheetml.worksheet+xml" PartName="/xl/worksheets/sheet3433.xml"/>
  <Override ContentType="application/vnd.openxmlformats-officedocument.spreadsheetml.worksheet+xml" PartName="/xl/worksheets/sheet3434.xml"/>
  <Override ContentType="application/vnd.openxmlformats-officedocument.spreadsheetml.worksheet+xml" PartName="/xl/worksheets/sheet3435.xml"/>
  <Override ContentType="application/vnd.openxmlformats-officedocument.spreadsheetml.worksheet+xml" PartName="/xl/worksheets/sheet3436.xml"/>
  <Override ContentType="application/vnd.openxmlformats-officedocument.spreadsheetml.worksheet+xml" PartName="/xl/worksheets/sheet3437.xml"/>
  <Override ContentType="application/vnd.openxmlformats-officedocument.spreadsheetml.worksheet+xml" PartName="/xl/worksheets/sheet3438.xml"/>
  <Override ContentType="application/vnd.openxmlformats-officedocument.spreadsheetml.worksheet+xml" PartName="/xl/worksheets/sheet3439.xml"/>
  <Override ContentType="application/vnd.openxmlformats-officedocument.spreadsheetml.worksheet+xml" PartName="/xl/worksheets/sheet3440.xml"/>
  <Override ContentType="application/vnd.openxmlformats-officedocument.spreadsheetml.worksheet+xml" PartName="/xl/worksheets/sheet3441.xml"/>
  <Override ContentType="application/vnd.openxmlformats-officedocument.spreadsheetml.worksheet+xml" PartName="/xl/worksheets/sheet3442.xml"/>
  <Override ContentType="application/vnd.openxmlformats-officedocument.spreadsheetml.worksheet+xml" PartName="/xl/worksheets/sheet3443.xml"/>
  <Override ContentType="application/vnd.openxmlformats-officedocument.spreadsheetml.worksheet+xml" PartName="/xl/worksheets/sheet3444.xml"/>
  <Override ContentType="application/vnd.openxmlformats-officedocument.spreadsheetml.worksheet+xml" PartName="/xl/worksheets/sheet3445.xml"/>
  <Override ContentType="application/vnd.openxmlformats-officedocument.spreadsheetml.worksheet+xml" PartName="/xl/worksheets/sheet3446.xml"/>
  <Override ContentType="application/vnd.openxmlformats-officedocument.spreadsheetml.worksheet+xml" PartName="/xl/worksheets/sheet3447.xml"/>
  <Override ContentType="application/vnd.openxmlformats-officedocument.spreadsheetml.worksheet+xml" PartName="/xl/worksheets/sheet3448.xml"/>
  <Override ContentType="application/vnd.openxmlformats-officedocument.spreadsheetml.worksheet+xml" PartName="/xl/worksheets/sheet3449.xml"/>
  <Override ContentType="application/vnd.openxmlformats-officedocument.spreadsheetml.worksheet+xml" PartName="/xl/worksheets/sheet3450.xml"/>
  <Override ContentType="application/vnd.openxmlformats-officedocument.spreadsheetml.worksheet+xml" PartName="/xl/worksheets/sheet3451.xml"/>
  <Override ContentType="application/vnd.openxmlformats-officedocument.spreadsheetml.worksheet+xml" PartName="/xl/worksheets/sheet3452.xml"/>
  <Override ContentType="application/vnd.openxmlformats-officedocument.spreadsheetml.worksheet+xml" PartName="/xl/worksheets/sheet3453.xml"/>
  <Override ContentType="application/vnd.openxmlformats-officedocument.spreadsheetml.worksheet+xml" PartName="/xl/worksheets/sheet3454.xml"/>
  <Override ContentType="application/vnd.openxmlformats-officedocument.spreadsheetml.worksheet+xml" PartName="/xl/worksheets/sheet3455.xml"/>
  <Override ContentType="application/vnd.openxmlformats-officedocument.spreadsheetml.worksheet+xml" PartName="/xl/worksheets/sheet3456.xml"/>
  <Override ContentType="application/vnd.openxmlformats-officedocument.spreadsheetml.worksheet+xml" PartName="/xl/worksheets/sheet3457.xml"/>
  <Override ContentType="application/vnd.openxmlformats-officedocument.spreadsheetml.worksheet+xml" PartName="/xl/worksheets/sheet3458.xml"/>
  <Override ContentType="application/vnd.openxmlformats-officedocument.spreadsheetml.worksheet+xml" PartName="/xl/worksheets/sheet3459.xml"/>
  <Override ContentType="application/vnd.openxmlformats-officedocument.spreadsheetml.worksheet+xml" PartName="/xl/worksheets/sheet3460.xml"/>
  <Override ContentType="application/vnd.openxmlformats-officedocument.spreadsheetml.worksheet+xml" PartName="/xl/worksheets/sheet3461.xml"/>
  <Override ContentType="application/vnd.openxmlformats-officedocument.spreadsheetml.worksheet+xml" PartName="/xl/worksheets/sheet3462.xml"/>
  <Override ContentType="application/vnd.openxmlformats-officedocument.spreadsheetml.worksheet+xml" PartName="/xl/worksheets/sheet3463.xml"/>
  <Override ContentType="application/vnd.openxmlformats-officedocument.spreadsheetml.worksheet+xml" PartName="/xl/worksheets/sheet3464.xml"/>
  <Override ContentType="application/vnd.openxmlformats-officedocument.spreadsheetml.worksheet+xml" PartName="/xl/worksheets/sheet3465.xml"/>
  <Override ContentType="application/vnd.openxmlformats-officedocument.spreadsheetml.worksheet+xml" PartName="/xl/worksheets/sheet3466.xml"/>
  <Override ContentType="application/vnd.openxmlformats-officedocument.spreadsheetml.worksheet+xml" PartName="/xl/worksheets/sheet3467.xml"/>
  <Override ContentType="application/vnd.openxmlformats-officedocument.spreadsheetml.worksheet+xml" PartName="/xl/worksheets/sheet3468.xml"/>
  <Override ContentType="application/vnd.openxmlformats-officedocument.spreadsheetml.worksheet+xml" PartName="/xl/worksheets/sheet3469.xml"/>
  <Override ContentType="application/vnd.openxmlformats-officedocument.spreadsheetml.worksheet+xml" PartName="/xl/worksheets/sheet3470.xml"/>
  <Override ContentType="application/vnd.openxmlformats-officedocument.spreadsheetml.worksheet+xml" PartName="/xl/worksheets/sheet3471.xml"/>
  <Override ContentType="application/vnd.openxmlformats-officedocument.spreadsheetml.worksheet+xml" PartName="/xl/worksheets/sheet3472.xml"/>
  <Override ContentType="application/vnd.openxmlformats-officedocument.spreadsheetml.worksheet+xml" PartName="/xl/worksheets/sheet3473.xml"/>
  <Override ContentType="application/vnd.openxmlformats-officedocument.spreadsheetml.worksheet+xml" PartName="/xl/worksheets/sheet3474.xml"/>
  <Override ContentType="application/vnd.openxmlformats-officedocument.spreadsheetml.worksheet+xml" PartName="/xl/worksheets/sheet3475.xml"/>
  <Override ContentType="application/vnd.openxmlformats-officedocument.spreadsheetml.worksheet+xml" PartName="/xl/worksheets/sheet3476.xml"/>
  <Override ContentType="application/vnd.openxmlformats-officedocument.spreadsheetml.worksheet+xml" PartName="/xl/worksheets/sheet3477.xml"/>
  <Override ContentType="application/vnd.openxmlformats-officedocument.spreadsheetml.worksheet+xml" PartName="/xl/worksheets/sheet3478.xml"/>
  <Override ContentType="application/vnd.openxmlformats-officedocument.spreadsheetml.worksheet+xml" PartName="/xl/worksheets/sheet3479.xml"/>
  <Override ContentType="application/vnd.openxmlformats-officedocument.spreadsheetml.worksheet+xml" PartName="/xl/worksheets/sheet3480.xml"/>
  <Override ContentType="application/vnd.openxmlformats-officedocument.spreadsheetml.worksheet+xml" PartName="/xl/worksheets/sheet3481.xml"/>
  <Override ContentType="application/vnd.openxmlformats-officedocument.spreadsheetml.worksheet+xml" PartName="/xl/worksheets/sheet3482.xml"/>
  <Override ContentType="application/vnd.openxmlformats-officedocument.spreadsheetml.worksheet+xml" PartName="/xl/worksheets/sheet3483.xml"/>
  <Override ContentType="application/vnd.openxmlformats-officedocument.spreadsheetml.worksheet+xml" PartName="/xl/worksheets/sheet3484.xml"/>
  <Override ContentType="application/vnd.openxmlformats-officedocument.spreadsheetml.worksheet+xml" PartName="/xl/worksheets/sheet3485.xml"/>
  <Override ContentType="application/vnd.openxmlformats-officedocument.spreadsheetml.worksheet+xml" PartName="/xl/worksheets/sheet3486.xml"/>
  <Override ContentType="application/vnd.openxmlformats-officedocument.spreadsheetml.worksheet+xml" PartName="/xl/worksheets/sheet3487.xml"/>
  <Override ContentType="application/vnd.openxmlformats-officedocument.spreadsheetml.worksheet+xml" PartName="/xl/worksheets/sheet3488.xml"/>
  <Override ContentType="application/vnd.openxmlformats-officedocument.spreadsheetml.worksheet+xml" PartName="/xl/worksheets/sheet3489.xml"/>
  <Override ContentType="application/vnd.openxmlformats-officedocument.spreadsheetml.worksheet+xml" PartName="/xl/worksheets/sheet3490.xml"/>
  <Override ContentType="application/vnd.openxmlformats-officedocument.spreadsheetml.worksheet+xml" PartName="/xl/worksheets/sheet3491.xml"/>
  <Override ContentType="application/vnd.openxmlformats-officedocument.spreadsheetml.worksheet+xml" PartName="/xl/worksheets/sheet3492.xml"/>
  <Override ContentType="application/vnd.openxmlformats-officedocument.spreadsheetml.worksheet+xml" PartName="/xl/worksheets/sheet3493.xml"/>
  <Override ContentType="application/vnd.openxmlformats-officedocument.spreadsheetml.worksheet+xml" PartName="/xl/worksheets/sheet3494.xml"/>
  <Override ContentType="application/vnd.openxmlformats-officedocument.spreadsheetml.worksheet+xml" PartName="/xl/worksheets/sheet3495.xml"/>
  <Override ContentType="application/vnd.openxmlformats-officedocument.spreadsheetml.worksheet+xml" PartName="/xl/worksheets/sheet3496.xml"/>
  <Override ContentType="application/vnd.openxmlformats-officedocument.spreadsheetml.worksheet+xml" PartName="/xl/worksheets/sheet3497.xml"/>
  <Override ContentType="application/vnd.openxmlformats-officedocument.spreadsheetml.worksheet+xml" PartName="/xl/worksheets/sheet3498.xml"/>
  <Override ContentType="application/vnd.openxmlformats-officedocument.spreadsheetml.worksheet+xml" PartName="/xl/worksheets/sheet3499.xml"/>
  <Override ContentType="application/vnd.openxmlformats-officedocument.spreadsheetml.worksheet+xml" PartName="/xl/worksheets/sheet3500.xml"/>
  <Override ContentType="application/vnd.openxmlformats-officedocument.spreadsheetml.worksheet+xml" PartName="/xl/worksheets/sheet3501.xml"/>
  <Override ContentType="application/vnd.openxmlformats-officedocument.spreadsheetml.worksheet+xml" PartName="/xl/worksheets/sheet3502.xml"/>
  <Override ContentType="application/vnd.openxmlformats-officedocument.spreadsheetml.worksheet+xml" PartName="/xl/worksheets/sheet3503.xml"/>
  <Override ContentType="application/vnd.openxmlformats-officedocument.spreadsheetml.worksheet+xml" PartName="/xl/worksheets/sheet3504.xml"/>
  <Override ContentType="application/vnd.openxmlformats-officedocument.spreadsheetml.worksheet+xml" PartName="/xl/worksheets/sheet3505.xml"/>
  <Override ContentType="application/vnd.openxmlformats-officedocument.spreadsheetml.worksheet+xml" PartName="/xl/worksheets/sheet3506.xml"/>
  <Override ContentType="application/vnd.openxmlformats-officedocument.spreadsheetml.worksheet+xml" PartName="/xl/worksheets/sheet3507.xml"/>
  <Override ContentType="application/vnd.openxmlformats-officedocument.spreadsheetml.worksheet+xml" PartName="/xl/worksheets/sheet3508.xml"/>
  <Override ContentType="application/vnd.openxmlformats-officedocument.spreadsheetml.worksheet+xml" PartName="/xl/worksheets/sheet3509.xml"/>
  <Override ContentType="application/vnd.openxmlformats-officedocument.spreadsheetml.worksheet+xml" PartName="/xl/worksheets/sheet3510.xml"/>
  <Override ContentType="application/vnd.openxmlformats-officedocument.spreadsheetml.worksheet+xml" PartName="/xl/worksheets/sheet3511.xml"/>
  <Override ContentType="application/vnd.openxmlformats-officedocument.spreadsheetml.worksheet+xml" PartName="/xl/worksheets/sheet3512.xml"/>
  <Override ContentType="application/vnd.openxmlformats-officedocument.spreadsheetml.worksheet+xml" PartName="/xl/worksheets/sheet3513.xml"/>
  <Override ContentType="application/vnd.openxmlformats-officedocument.spreadsheetml.worksheet+xml" PartName="/xl/worksheets/sheet3514.xml"/>
  <Override ContentType="application/vnd.openxmlformats-officedocument.spreadsheetml.worksheet+xml" PartName="/xl/worksheets/sheet3515.xml"/>
  <Override ContentType="application/vnd.openxmlformats-officedocument.spreadsheetml.worksheet+xml" PartName="/xl/worksheets/sheet3516.xml"/>
  <Override ContentType="application/vnd.openxmlformats-officedocument.spreadsheetml.worksheet+xml" PartName="/xl/worksheets/sheet3517.xml"/>
  <Override ContentType="application/vnd.openxmlformats-officedocument.spreadsheetml.worksheet+xml" PartName="/xl/worksheets/sheet3518.xml"/>
  <Override ContentType="application/vnd.openxmlformats-officedocument.spreadsheetml.worksheet+xml" PartName="/xl/worksheets/sheet3519.xml"/>
  <Override ContentType="application/vnd.openxmlformats-officedocument.spreadsheetml.worksheet+xml" PartName="/xl/worksheets/sheet3520.xml"/>
  <Override ContentType="application/vnd.openxmlformats-officedocument.spreadsheetml.worksheet+xml" PartName="/xl/worksheets/sheet3521.xml"/>
  <Override ContentType="application/vnd.openxmlformats-officedocument.spreadsheetml.worksheet+xml" PartName="/xl/worksheets/sheet3522.xml"/>
  <Override ContentType="application/vnd.openxmlformats-officedocument.spreadsheetml.worksheet+xml" PartName="/xl/worksheets/sheet3523.xml"/>
  <Override ContentType="application/vnd.openxmlformats-officedocument.spreadsheetml.worksheet+xml" PartName="/xl/worksheets/sheet3524.xml"/>
  <Override ContentType="application/vnd.openxmlformats-officedocument.spreadsheetml.worksheet+xml" PartName="/xl/worksheets/sheet3525.xml"/>
  <Override ContentType="application/vnd.openxmlformats-officedocument.spreadsheetml.worksheet+xml" PartName="/xl/worksheets/sheet3526.xml"/>
  <Override ContentType="application/vnd.openxmlformats-officedocument.spreadsheetml.worksheet+xml" PartName="/xl/worksheets/sheet3527.xml"/>
  <Override ContentType="application/vnd.openxmlformats-officedocument.spreadsheetml.worksheet+xml" PartName="/xl/worksheets/sheet3528.xml"/>
  <Override ContentType="application/vnd.openxmlformats-officedocument.spreadsheetml.worksheet+xml" PartName="/xl/worksheets/sheet3529.xml"/>
  <Override ContentType="application/vnd.openxmlformats-officedocument.spreadsheetml.worksheet+xml" PartName="/xl/worksheets/sheet3530.xml"/>
  <Override ContentType="application/vnd.openxmlformats-officedocument.spreadsheetml.worksheet+xml" PartName="/xl/worksheets/sheet3531.xml"/>
  <Override ContentType="application/vnd.openxmlformats-officedocument.spreadsheetml.worksheet+xml" PartName="/xl/worksheets/sheet3532.xml"/>
  <Override ContentType="application/vnd.openxmlformats-officedocument.spreadsheetml.worksheet+xml" PartName="/xl/worksheets/sheet3533.xml"/>
  <Override ContentType="application/vnd.openxmlformats-officedocument.spreadsheetml.worksheet+xml" PartName="/xl/worksheets/sheet3534.xml"/>
  <Override ContentType="application/vnd.openxmlformats-officedocument.spreadsheetml.worksheet+xml" PartName="/xl/worksheets/sheet3535.xml"/>
  <Override ContentType="application/vnd.openxmlformats-officedocument.spreadsheetml.worksheet+xml" PartName="/xl/worksheets/sheet3536.xml"/>
  <Override ContentType="application/vnd.openxmlformats-officedocument.spreadsheetml.worksheet+xml" PartName="/xl/worksheets/sheet3537.xml"/>
  <Override ContentType="application/vnd.openxmlformats-officedocument.spreadsheetml.worksheet+xml" PartName="/xl/worksheets/sheet3538.xml"/>
  <Override ContentType="application/vnd.openxmlformats-officedocument.spreadsheetml.worksheet+xml" PartName="/xl/worksheets/sheet3539.xml"/>
  <Override ContentType="application/vnd.openxmlformats-officedocument.spreadsheetml.worksheet+xml" PartName="/xl/worksheets/sheet3540.xml"/>
  <Override ContentType="application/vnd.openxmlformats-officedocument.spreadsheetml.worksheet+xml" PartName="/xl/worksheets/sheet3541.xml"/>
  <Override ContentType="application/vnd.openxmlformats-officedocument.spreadsheetml.worksheet+xml" PartName="/xl/worksheets/sheet3542.xml"/>
  <Override ContentType="application/vnd.openxmlformats-officedocument.spreadsheetml.worksheet+xml" PartName="/xl/worksheets/sheet3543.xml"/>
  <Override ContentType="application/vnd.openxmlformats-officedocument.spreadsheetml.worksheet+xml" PartName="/xl/worksheets/sheet3544.xml"/>
  <Override ContentType="application/vnd.openxmlformats-officedocument.spreadsheetml.worksheet+xml" PartName="/xl/worksheets/sheet3545.xml"/>
  <Override ContentType="application/vnd.openxmlformats-officedocument.spreadsheetml.worksheet+xml" PartName="/xl/worksheets/sheet3546.xml"/>
  <Override ContentType="application/vnd.openxmlformats-officedocument.spreadsheetml.worksheet+xml" PartName="/xl/worksheets/sheet3547.xml"/>
  <Override ContentType="application/vnd.openxmlformats-officedocument.spreadsheetml.worksheet+xml" PartName="/xl/worksheets/sheet3548.xml"/>
  <Override ContentType="application/vnd.openxmlformats-officedocument.spreadsheetml.worksheet+xml" PartName="/xl/worksheets/sheet3549.xml"/>
  <Override ContentType="application/vnd.openxmlformats-officedocument.spreadsheetml.worksheet+xml" PartName="/xl/worksheets/sheet3550.xml"/>
  <Override ContentType="application/vnd.openxmlformats-officedocument.spreadsheetml.worksheet+xml" PartName="/xl/worksheets/sheet3551.xml"/>
  <Override ContentType="application/vnd.openxmlformats-officedocument.spreadsheetml.worksheet+xml" PartName="/xl/worksheets/sheet3552.xml"/>
  <Override ContentType="application/vnd.openxmlformats-officedocument.spreadsheetml.worksheet+xml" PartName="/xl/worksheets/sheet3553.xml"/>
  <Override ContentType="application/vnd.openxmlformats-officedocument.spreadsheetml.worksheet+xml" PartName="/xl/worksheets/sheet3554.xml"/>
  <Override ContentType="application/vnd.openxmlformats-officedocument.spreadsheetml.worksheet+xml" PartName="/xl/worksheets/sheet3555.xml"/>
  <Override ContentType="application/vnd.openxmlformats-officedocument.spreadsheetml.worksheet+xml" PartName="/xl/worksheets/sheet3556.xml"/>
  <Override ContentType="application/vnd.openxmlformats-officedocument.spreadsheetml.worksheet+xml" PartName="/xl/worksheets/sheet3557.xml"/>
  <Override ContentType="application/vnd.openxmlformats-officedocument.spreadsheetml.worksheet+xml" PartName="/xl/worksheets/sheet3558.xml"/>
  <Override ContentType="application/vnd.openxmlformats-officedocument.spreadsheetml.worksheet+xml" PartName="/xl/worksheets/sheet3559.xml"/>
  <Override ContentType="application/vnd.openxmlformats-officedocument.spreadsheetml.worksheet+xml" PartName="/xl/worksheets/sheet3560.xml"/>
  <Override ContentType="application/vnd.openxmlformats-officedocument.spreadsheetml.worksheet+xml" PartName="/xl/worksheets/sheet3561.xml"/>
  <Override ContentType="application/vnd.openxmlformats-officedocument.spreadsheetml.worksheet+xml" PartName="/xl/worksheets/sheet3562.xml"/>
  <Override ContentType="application/vnd.openxmlformats-officedocument.spreadsheetml.worksheet+xml" PartName="/xl/worksheets/sheet3563.xml"/>
  <Override ContentType="application/vnd.openxmlformats-officedocument.spreadsheetml.worksheet+xml" PartName="/xl/worksheets/sheet3564.xml"/>
  <Override ContentType="application/vnd.openxmlformats-officedocument.spreadsheetml.worksheet+xml" PartName="/xl/worksheets/sheet3565.xml"/>
  <Override ContentType="application/vnd.openxmlformats-officedocument.spreadsheetml.worksheet+xml" PartName="/xl/worksheets/sheet3566.xml"/>
  <Override ContentType="application/vnd.openxmlformats-officedocument.spreadsheetml.worksheet+xml" PartName="/xl/worksheets/sheet3567.xml"/>
  <Override ContentType="application/vnd.openxmlformats-officedocument.spreadsheetml.worksheet+xml" PartName="/xl/worksheets/sheet3568.xml"/>
  <Override ContentType="application/vnd.openxmlformats-officedocument.spreadsheetml.worksheet+xml" PartName="/xl/worksheets/sheet3569.xml"/>
  <Override ContentType="application/vnd.openxmlformats-officedocument.spreadsheetml.worksheet+xml" PartName="/xl/worksheets/sheet3570.xml"/>
  <Override ContentType="application/vnd.openxmlformats-officedocument.spreadsheetml.worksheet+xml" PartName="/xl/worksheets/sheet3571.xml"/>
  <Override ContentType="application/vnd.openxmlformats-officedocument.spreadsheetml.worksheet+xml" PartName="/xl/worksheets/sheet3572.xml"/>
  <Override ContentType="application/vnd.openxmlformats-officedocument.spreadsheetml.worksheet+xml" PartName="/xl/worksheets/sheet3573.xml"/>
  <Override ContentType="application/vnd.openxmlformats-officedocument.spreadsheetml.worksheet+xml" PartName="/xl/worksheets/sheet3574.xml"/>
  <Override ContentType="application/vnd.openxmlformats-officedocument.spreadsheetml.worksheet+xml" PartName="/xl/worksheets/sheet3575.xml"/>
  <Override ContentType="application/vnd.openxmlformats-officedocument.spreadsheetml.worksheet+xml" PartName="/xl/worksheets/sheet3576.xml"/>
  <Override ContentType="application/vnd.openxmlformats-officedocument.spreadsheetml.worksheet+xml" PartName="/xl/worksheets/sheet3577.xml"/>
  <Override ContentType="application/vnd.openxmlformats-officedocument.spreadsheetml.worksheet+xml" PartName="/xl/worksheets/sheet3578.xml"/>
  <Override ContentType="application/vnd.openxmlformats-officedocument.spreadsheetml.worksheet+xml" PartName="/xl/worksheets/sheet3579.xml"/>
  <Override ContentType="application/vnd.openxmlformats-officedocument.spreadsheetml.worksheet+xml" PartName="/xl/worksheets/sheet3580.xml"/>
  <Override ContentType="application/vnd.openxmlformats-officedocument.spreadsheetml.worksheet+xml" PartName="/xl/worksheets/sheet3581.xml"/>
  <Override ContentType="application/vnd.openxmlformats-officedocument.spreadsheetml.worksheet+xml" PartName="/xl/worksheets/sheet3582.xml"/>
  <Override ContentType="application/vnd.openxmlformats-officedocument.spreadsheetml.worksheet+xml" PartName="/xl/worksheets/sheet3583.xml"/>
  <Override ContentType="application/vnd.openxmlformats-officedocument.spreadsheetml.worksheet+xml" PartName="/xl/worksheets/sheet3584.xml"/>
  <Override ContentType="application/vnd.openxmlformats-officedocument.spreadsheetml.worksheet+xml" PartName="/xl/worksheets/sheet3585.xml"/>
  <Override ContentType="application/vnd.openxmlformats-officedocument.spreadsheetml.worksheet+xml" PartName="/xl/worksheets/sheet3586.xml"/>
  <Override ContentType="application/vnd.openxmlformats-officedocument.spreadsheetml.worksheet+xml" PartName="/xl/worksheets/sheet3587.xml"/>
  <Override ContentType="application/vnd.openxmlformats-officedocument.spreadsheetml.worksheet+xml" PartName="/xl/worksheets/sheet3588.xml"/>
  <Override ContentType="application/vnd.openxmlformats-officedocument.spreadsheetml.worksheet+xml" PartName="/xl/worksheets/sheet3589.xml"/>
  <Override ContentType="application/vnd.openxmlformats-officedocument.spreadsheetml.worksheet+xml" PartName="/xl/worksheets/sheet3590.xml"/>
  <Override ContentType="application/vnd.openxmlformats-officedocument.spreadsheetml.worksheet+xml" PartName="/xl/worksheets/sheet3591.xml"/>
  <Override ContentType="application/vnd.openxmlformats-officedocument.spreadsheetml.worksheet+xml" PartName="/xl/worksheets/sheet3592.xml"/>
  <Override ContentType="application/vnd.openxmlformats-officedocument.spreadsheetml.worksheet+xml" PartName="/xl/worksheets/sheet3593.xml"/>
  <Override ContentType="application/vnd.openxmlformats-officedocument.spreadsheetml.worksheet+xml" PartName="/xl/worksheets/sheet3594.xml"/>
  <Override ContentType="application/vnd.openxmlformats-officedocument.spreadsheetml.worksheet+xml" PartName="/xl/worksheets/sheet3595.xml"/>
  <Override ContentType="application/vnd.openxmlformats-officedocument.spreadsheetml.worksheet+xml" PartName="/xl/worksheets/sheet3596.xml"/>
  <Override ContentType="application/vnd.openxmlformats-officedocument.spreadsheetml.worksheet+xml" PartName="/xl/worksheets/sheet3597.xml"/>
  <Override ContentType="application/vnd.openxmlformats-officedocument.spreadsheetml.worksheet+xml" PartName="/xl/worksheets/sheet3598.xml"/>
  <Override ContentType="application/vnd.openxmlformats-officedocument.spreadsheetml.worksheet+xml" PartName="/xl/worksheets/sheet3599.xml"/>
  <Override ContentType="application/vnd.openxmlformats-officedocument.spreadsheetml.worksheet+xml" PartName="/xl/worksheets/sheet3600.xml"/>
  <Override ContentType="application/vnd.openxmlformats-officedocument.spreadsheetml.worksheet+xml" PartName="/xl/worksheets/sheet3601.xml"/>
  <Override ContentType="application/vnd.openxmlformats-officedocument.spreadsheetml.worksheet+xml" PartName="/xl/worksheets/sheet3602.xml"/>
  <Override ContentType="application/vnd.openxmlformats-officedocument.spreadsheetml.worksheet+xml" PartName="/xl/worksheets/sheet3603.xml"/>
  <Override ContentType="application/vnd.openxmlformats-officedocument.spreadsheetml.worksheet+xml" PartName="/xl/worksheets/sheet3604.xml"/>
  <Override ContentType="application/vnd.openxmlformats-officedocument.spreadsheetml.worksheet+xml" PartName="/xl/worksheets/sheet3605.xml"/>
  <Override ContentType="application/vnd.openxmlformats-officedocument.spreadsheetml.worksheet+xml" PartName="/xl/worksheets/sheet3606.xml"/>
  <Override ContentType="application/vnd.openxmlformats-officedocument.spreadsheetml.worksheet+xml" PartName="/xl/worksheets/sheet3607.xml"/>
  <Override ContentType="application/vnd.openxmlformats-officedocument.spreadsheetml.worksheet+xml" PartName="/xl/worksheets/sheet3608.xml"/>
  <Override ContentType="application/vnd.openxmlformats-officedocument.spreadsheetml.worksheet+xml" PartName="/xl/worksheets/sheet3609.xml"/>
  <Override ContentType="application/vnd.openxmlformats-officedocument.spreadsheetml.worksheet+xml" PartName="/xl/worksheets/sheet3610.xml"/>
  <Override ContentType="application/vnd.openxmlformats-officedocument.spreadsheetml.worksheet+xml" PartName="/xl/worksheets/sheet3611.xml"/>
  <Override ContentType="application/vnd.openxmlformats-officedocument.spreadsheetml.worksheet+xml" PartName="/xl/worksheets/sheet3612.xml"/>
  <Override ContentType="application/vnd.openxmlformats-officedocument.spreadsheetml.worksheet+xml" PartName="/xl/worksheets/sheet3613.xml"/>
  <Override ContentType="application/vnd.openxmlformats-officedocument.spreadsheetml.worksheet+xml" PartName="/xl/worksheets/sheet3614.xml"/>
  <Override ContentType="application/vnd.openxmlformats-officedocument.spreadsheetml.worksheet+xml" PartName="/xl/worksheets/sheet3615.xml"/>
  <Override ContentType="application/vnd.openxmlformats-officedocument.spreadsheetml.worksheet+xml" PartName="/xl/worksheets/sheet3616.xml"/>
  <Override ContentType="application/vnd.openxmlformats-officedocument.spreadsheetml.worksheet+xml" PartName="/xl/worksheets/sheet3617.xml"/>
  <Override ContentType="application/vnd.openxmlformats-officedocument.spreadsheetml.worksheet+xml" PartName="/xl/worksheets/sheet3618.xml"/>
  <Override ContentType="application/vnd.openxmlformats-officedocument.spreadsheetml.worksheet+xml" PartName="/xl/worksheets/sheet3619.xml"/>
  <Override ContentType="application/vnd.openxmlformats-officedocument.spreadsheetml.worksheet+xml" PartName="/xl/worksheets/sheet3620.xml"/>
  <Override ContentType="application/vnd.openxmlformats-officedocument.spreadsheetml.worksheet+xml" PartName="/xl/worksheets/sheet3621.xml"/>
  <Override ContentType="application/vnd.openxmlformats-officedocument.spreadsheetml.worksheet+xml" PartName="/xl/worksheets/sheet3622.xml"/>
  <Override ContentType="application/vnd.openxmlformats-officedocument.spreadsheetml.worksheet+xml" PartName="/xl/worksheets/sheet3623.xml"/>
  <Override ContentType="application/vnd.openxmlformats-officedocument.spreadsheetml.worksheet+xml" PartName="/xl/worksheets/sheet3624.xml"/>
  <Override ContentType="application/vnd.openxmlformats-officedocument.spreadsheetml.worksheet+xml" PartName="/xl/worksheets/sheet3625.xml"/>
  <Override ContentType="application/vnd.openxmlformats-officedocument.spreadsheetml.worksheet+xml" PartName="/xl/worksheets/sheet3626.xml"/>
  <Override ContentType="application/vnd.openxmlformats-officedocument.spreadsheetml.worksheet+xml" PartName="/xl/worksheets/sheet3627.xml"/>
  <Override ContentType="application/vnd.openxmlformats-officedocument.spreadsheetml.worksheet+xml" PartName="/xl/worksheets/sheet3628.xml"/>
  <Override ContentType="application/vnd.openxmlformats-officedocument.spreadsheetml.worksheet+xml" PartName="/xl/worksheets/sheet3629.xml"/>
  <Override ContentType="application/vnd.openxmlformats-officedocument.spreadsheetml.worksheet+xml" PartName="/xl/worksheets/sheet3630.xml"/>
  <Override ContentType="application/vnd.openxmlformats-officedocument.spreadsheetml.worksheet+xml" PartName="/xl/worksheets/sheet3631.xml"/>
  <Override ContentType="application/vnd.openxmlformats-officedocument.spreadsheetml.worksheet+xml" PartName="/xl/worksheets/sheet3632.xml"/>
  <Override ContentType="application/vnd.openxmlformats-officedocument.spreadsheetml.worksheet+xml" PartName="/xl/worksheets/sheet3633.xml"/>
  <Override ContentType="application/vnd.openxmlformats-officedocument.spreadsheetml.worksheet+xml" PartName="/xl/worksheets/sheet3634.xml"/>
  <Override ContentType="application/vnd.openxmlformats-officedocument.spreadsheetml.worksheet+xml" PartName="/xl/worksheets/sheet3635.xml"/>
  <Override ContentType="application/vnd.openxmlformats-officedocument.spreadsheetml.worksheet+xml" PartName="/xl/worksheets/sheet3636.xml"/>
  <Override ContentType="application/vnd.openxmlformats-officedocument.spreadsheetml.worksheet+xml" PartName="/xl/worksheets/sheet3637.xml"/>
  <Override ContentType="application/vnd.openxmlformats-officedocument.spreadsheetml.worksheet+xml" PartName="/xl/worksheets/sheet3638.xml"/>
  <Override ContentType="application/vnd.openxmlformats-officedocument.spreadsheetml.worksheet+xml" PartName="/xl/worksheets/sheet3639.xml"/>
  <Override ContentType="application/vnd.openxmlformats-officedocument.spreadsheetml.worksheet+xml" PartName="/xl/worksheets/sheet3640.xml"/>
  <Override ContentType="application/vnd.openxmlformats-officedocument.spreadsheetml.worksheet+xml" PartName="/xl/worksheets/sheet3641.xml"/>
  <Override ContentType="application/vnd.openxmlformats-officedocument.spreadsheetml.worksheet+xml" PartName="/xl/worksheets/sheet3642.xml"/>
  <Override ContentType="application/vnd.openxmlformats-officedocument.spreadsheetml.worksheet+xml" PartName="/xl/worksheets/sheet3643.xml"/>
  <Override ContentType="application/vnd.openxmlformats-officedocument.spreadsheetml.worksheet+xml" PartName="/xl/worksheets/sheet3644.xml"/>
  <Override ContentType="application/vnd.openxmlformats-officedocument.spreadsheetml.worksheet+xml" PartName="/xl/worksheets/sheet3645.xml"/>
  <Override ContentType="application/vnd.openxmlformats-officedocument.spreadsheetml.worksheet+xml" PartName="/xl/worksheets/sheet3646.xml"/>
  <Override ContentType="application/vnd.openxmlformats-officedocument.spreadsheetml.worksheet+xml" PartName="/xl/worksheets/sheet3647.xml"/>
  <Override ContentType="application/vnd.openxmlformats-officedocument.spreadsheetml.worksheet+xml" PartName="/xl/worksheets/sheet3648.xml"/>
  <Override ContentType="application/vnd.openxmlformats-officedocument.spreadsheetml.worksheet+xml" PartName="/xl/worksheets/sheet3649.xml"/>
  <Override ContentType="application/vnd.openxmlformats-officedocument.spreadsheetml.worksheet+xml" PartName="/xl/worksheets/sheet3650.xml"/>
  <Override ContentType="application/vnd.openxmlformats-officedocument.spreadsheetml.worksheet+xml" PartName="/xl/worksheets/sheet3651.xml"/>
  <Override ContentType="application/vnd.openxmlformats-officedocument.spreadsheetml.worksheet+xml" PartName="/xl/worksheets/sheet3652.xml"/>
  <Override ContentType="application/vnd.openxmlformats-officedocument.spreadsheetml.worksheet+xml" PartName="/xl/worksheets/sheet3653.xml"/>
  <Override ContentType="application/vnd.openxmlformats-officedocument.spreadsheetml.worksheet+xml" PartName="/xl/worksheets/sheet3654.xml"/>
  <Override ContentType="application/vnd.openxmlformats-officedocument.spreadsheetml.worksheet+xml" PartName="/xl/worksheets/sheet3655.xml"/>
  <Override ContentType="application/vnd.openxmlformats-officedocument.spreadsheetml.worksheet+xml" PartName="/xl/worksheets/sheet3656.xml"/>
  <Override ContentType="application/vnd.openxmlformats-officedocument.spreadsheetml.worksheet+xml" PartName="/xl/worksheets/sheet3657.xml"/>
  <Override ContentType="application/vnd.openxmlformats-officedocument.spreadsheetml.worksheet+xml" PartName="/xl/worksheets/sheet3658.xml"/>
  <Override ContentType="application/vnd.openxmlformats-officedocument.spreadsheetml.worksheet+xml" PartName="/xl/worksheets/sheet3659.xml"/>
  <Override ContentType="application/vnd.openxmlformats-officedocument.spreadsheetml.worksheet+xml" PartName="/xl/worksheets/sheet3660.xml"/>
  <Override ContentType="application/vnd.openxmlformats-officedocument.spreadsheetml.worksheet+xml" PartName="/xl/worksheets/sheet3661.xml"/>
  <Override ContentType="application/vnd.openxmlformats-officedocument.spreadsheetml.worksheet+xml" PartName="/xl/worksheets/sheet3662.xml"/>
  <Override ContentType="application/vnd.openxmlformats-officedocument.spreadsheetml.worksheet+xml" PartName="/xl/worksheets/sheet3663.xml"/>
  <Override ContentType="application/vnd.openxmlformats-officedocument.spreadsheetml.worksheet+xml" PartName="/xl/worksheets/sheet3664.xml"/>
  <Override ContentType="application/vnd.openxmlformats-officedocument.spreadsheetml.worksheet+xml" PartName="/xl/worksheets/sheet3665.xml"/>
  <Override ContentType="application/vnd.openxmlformats-officedocument.spreadsheetml.worksheet+xml" PartName="/xl/worksheets/sheet3666.xml"/>
  <Override ContentType="application/vnd.openxmlformats-officedocument.spreadsheetml.worksheet+xml" PartName="/xl/worksheets/sheet3667.xml"/>
  <Override ContentType="application/vnd.openxmlformats-officedocument.spreadsheetml.worksheet+xml" PartName="/xl/worksheets/sheet3668.xml"/>
  <Override ContentType="application/vnd.openxmlformats-officedocument.spreadsheetml.worksheet+xml" PartName="/xl/worksheets/sheet3669.xml"/>
  <Override ContentType="application/vnd.openxmlformats-officedocument.spreadsheetml.worksheet+xml" PartName="/xl/worksheets/sheet3670.xml"/>
  <Override ContentType="application/vnd.openxmlformats-officedocument.spreadsheetml.worksheet+xml" PartName="/xl/worksheets/sheet3671.xml"/>
  <Override ContentType="application/vnd.openxmlformats-officedocument.spreadsheetml.worksheet+xml" PartName="/xl/worksheets/sheet3672.xml"/>
  <Override ContentType="application/vnd.openxmlformats-officedocument.spreadsheetml.worksheet+xml" PartName="/xl/worksheets/sheet3673.xml"/>
  <Override ContentType="application/vnd.openxmlformats-officedocument.spreadsheetml.worksheet+xml" PartName="/xl/worksheets/sheet3674.xml"/>
  <Override ContentType="application/vnd.openxmlformats-officedocument.spreadsheetml.worksheet+xml" PartName="/xl/worksheets/sheet3675.xml"/>
  <Override ContentType="application/vnd.openxmlformats-officedocument.spreadsheetml.worksheet+xml" PartName="/xl/worksheets/sheet3676.xml"/>
  <Override ContentType="application/vnd.openxmlformats-officedocument.spreadsheetml.worksheet+xml" PartName="/xl/worksheets/sheet3677.xml"/>
  <Override ContentType="application/vnd.openxmlformats-officedocument.spreadsheetml.worksheet+xml" PartName="/xl/worksheets/sheet3678.xml"/>
  <Override ContentType="application/vnd.openxmlformats-officedocument.spreadsheetml.worksheet+xml" PartName="/xl/worksheets/sheet3679.xml"/>
  <Override ContentType="application/vnd.openxmlformats-officedocument.spreadsheetml.worksheet+xml" PartName="/xl/worksheets/sheet3680.xml"/>
  <Override ContentType="application/vnd.openxmlformats-officedocument.spreadsheetml.worksheet+xml" PartName="/xl/worksheets/sheet3681.xml"/>
  <Override ContentType="application/vnd.openxmlformats-officedocument.spreadsheetml.worksheet+xml" PartName="/xl/worksheets/sheet3682.xml"/>
  <Override ContentType="application/vnd.openxmlformats-officedocument.spreadsheetml.worksheet+xml" PartName="/xl/worksheets/sheet3683.xml"/>
  <Override ContentType="application/vnd.openxmlformats-officedocument.spreadsheetml.worksheet+xml" PartName="/xl/worksheets/sheet3684.xml"/>
  <Override ContentType="application/vnd.openxmlformats-officedocument.spreadsheetml.worksheet+xml" PartName="/xl/worksheets/sheet3685.xml"/>
  <Override ContentType="application/vnd.openxmlformats-officedocument.spreadsheetml.worksheet+xml" PartName="/xl/worksheets/sheet3686.xml"/>
  <Override ContentType="application/vnd.openxmlformats-officedocument.spreadsheetml.worksheet+xml" PartName="/xl/worksheets/sheet3687.xml"/>
  <Override ContentType="application/vnd.openxmlformats-officedocument.spreadsheetml.worksheet+xml" PartName="/xl/worksheets/sheet3688.xml"/>
  <Override ContentType="application/vnd.openxmlformats-officedocument.spreadsheetml.worksheet+xml" PartName="/xl/worksheets/sheet3689.xml"/>
  <Override ContentType="application/vnd.openxmlformats-officedocument.spreadsheetml.worksheet+xml" PartName="/xl/worksheets/sheet3690.xml"/>
  <Override ContentType="application/vnd.openxmlformats-officedocument.spreadsheetml.worksheet+xml" PartName="/xl/worksheets/sheet3691.xml"/>
  <Override ContentType="application/vnd.openxmlformats-officedocument.spreadsheetml.worksheet+xml" PartName="/xl/worksheets/sheet3692.xml"/>
  <Override ContentType="application/vnd.openxmlformats-officedocument.spreadsheetml.worksheet+xml" PartName="/xl/worksheets/sheet3693.xml"/>
  <Override ContentType="application/vnd.openxmlformats-officedocument.spreadsheetml.worksheet+xml" PartName="/xl/worksheets/sheet3694.xml"/>
  <Override ContentType="application/vnd.openxmlformats-officedocument.spreadsheetml.worksheet+xml" PartName="/xl/worksheets/sheet3695.xml"/>
  <Override ContentType="application/vnd.openxmlformats-officedocument.spreadsheetml.worksheet+xml" PartName="/xl/worksheets/sheet3696.xml"/>
  <Override ContentType="application/vnd.openxmlformats-officedocument.spreadsheetml.worksheet+xml" PartName="/xl/worksheets/sheet3697.xml"/>
  <Override ContentType="application/vnd.openxmlformats-officedocument.spreadsheetml.worksheet+xml" PartName="/xl/worksheets/sheet3698.xml"/>
  <Override ContentType="application/vnd.openxmlformats-officedocument.spreadsheetml.worksheet+xml" PartName="/xl/worksheets/sheet3699.xml"/>
  <Override ContentType="application/vnd.openxmlformats-officedocument.spreadsheetml.worksheet+xml" PartName="/xl/worksheets/sheet3700.xml"/>
  <Override ContentType="application/vnd.openxmlformats-officedocument.spreadsheetml.worksheet+xml" PartName="/xl/worksheets/sheet3701.xml"/>
  <Override ContentType="application/vnd.openxmlformats-officedocument.spreadsheetml.worksheet+xml" PartName="/xl/worksheets/sheet3702.xml"/>
  <Override ContentType="application/vnd.openxmlformats-officedocument.spreadsheetml.worksheet+xml" PartName="/xl/worksheets/sheet3703.xml"/>
  <Override ContentType="application/vnd.openxmlformats-officedocument.spreadsheetml.worksheet+xml" PartName="/xl/worksheets/sheet3704.xml"/>
  <Override ContentType="application/vnd.openxmlformats-officedocument.spreadsheetml.worksheet+xml" PartName="/xl/worksheets/sheet3705.xml"/>
  <Override ContentType="application/vnd.openxmlformats-officedocument.spreadsheetml.worksheet+xml" PartName="/xl/worksheets/sheet3706.xml"/>
  <Override ContentType="application/vnd.openxmlformats-officedocument.spreadsheetml.worksheet+xml" PartName="/xl/worksheets/sheet3707.xml"/>
  <Override ContentType="application/vnd.openxmlformats-officedocument.spreadsheetml.worksheet+xml" PartName="/xl/worksheets/sheet3708.xml"/>
  <Override ContentType="application/vnd.openxmlformats-officedocument.spreadsheetml.worksheet+xml" PartName="/xl/worksheets/sheet3709.xml"/>
  <Override ContentType="application/vnd.openxmlformats-officedocument.spreadsheetml.worksheet+xml" PartName="/xl/worksheets/sheet3710.xml"/>
  <Override ContentType="application/vnd.openxmlformats-officedocument.spreadsheetml.worksheet+xml" PartName="/xl/worksheets/sheet3711.xml"/>
  <Override ContentType="application/vnd.openxmlformats-officedocument.spreadsheetml.worksheet+xml" PartName="/xl/worksheets/sheet3712.xml"/>
  <Override ContentType="application/vnd.openxmlformats-officedocument.spreadsheetml.worksheet+xml" PartName="/xl/worksheets/sheet3713.xml"/>
  <Override ContentType="application/vnd.openxmlformats-officedocument.spreadsheetml.worksheet+xml" PartName="/xl/worksheets/sheet3714.xml"/>
  <Override ContentType="application/vnd.openxmlformats-officedocument.spreadsheetml.worksheet+xml" PartName="/xl/worksheets/sheet3715.xml"/>
  <Override ContentType="application/vnd.openxmlformats-officedocument.spreadsheetml.worksheet+xml" PartName="/xl/worksheets/sheet3716.xml"/>
  <Override ContentType="application/vnd.openxmlformats-officedocument.spreadsheetml.worksheet+xml" PartName="/xl/worksheets/sheet3717.xml"/>
  <Override ContentType="application/vnd.openxmlformats-officedocument.spreadsheetml.worksheet+xml" PartName="/xl/worksheets/sheet3718.xml"/>
  <Override ContentType="application/vnd.openxmlformats-officedocument.spreadsheetml.worksheet+xml" PartName="/xl/worksheets/sheet3719.xml"/>
  <Override ContentType="application/vnd.openxmlformats-officedocument.spreadsheetml.worksheet+xml" PartName="/xl/worksheets/sheet3720.xml"/>
  <Override ContentType="application/vnd.openxmlformats-officedocument.spreadsheetml.worksheet+xml" PartName="/xl/worksheets/sheet3721.xml"/>
  <Override ContentType="application/vnd.openxmlformats-officedocument.spreadsheetml.worksheet+xml" PartName="/xl/worksheets/sheet3722.xml"/>
  <Override ContentType="application/vnd.openxmlformats-officedocument.spreadsheetml.worksheet+xml" PartName="/xl/worksheets/sheet3723.xml"/>
  <Override ContentType="application/vnd.openxmlformats-officedocument.spreadsheetml.worksheet+xml" PartName="/xl/worksheets/sheet3724.xml"/>
  <Override ContentType="application/vnd.openxmlformats-officedocument.spreadsheetml.worksheet+xml" PartName="/xl/worksheets/sheet3725.xml"/>
  <Override ContentType="application/vnd.openxmlformats-officedocument.spreadsheetml.worksheet+xml" PartName="/xl/worksheets/sheet3726.xml"/>
  <Override ContentType="application/vnd.openxmlformats-officedocument.spreadsheetml.worksheet+xml" PartName="/xl/worksheets/sheet3727.xml"/>
  <Override ContentType="application/vnd.openxmlformats-officedocument.spreadsheetml.worksheet+xml" PartName="/xl/worksheets/sheet3728.xml"/>
  <Override ContentType="application/vnd.openxmlformats-officedocument.spreadsheetml.worksheet+xml" PartName="/xl/worksheets/sheet3729.xml"/>
  <Override ContentType="application/vnd.openxmlformats-officedocument.spreadsheetml.worksheet+xml" PartName="/xl/worksheets/sheet3730.xml"/>
  <Override ContentType="application/vnd.openxmlformats-officedocument.spreadsheetml.worksheet+xml" PartName="/xl/worksheets/sheet3731.xml"/>
  <Override ContentType="application/vnd.openxmlformats-officedocument.spreadsheetml.worksheet+xml" PartName="/xl/worksheets/sheet3732.xml"/>
  <Override ContentType="application/vnd.openxmlformats-officedocument.spreadsheetml.worksheet+xml" PartName="/xl/worksheets/sheet3733.xml"/>
  <Override ContentType="application/vnd.openxmlformats-officedocument.spreadsheetml.worksheet+xml" PartName="/xl/worksheets/sheet3734.xml"/>
  <Override ContentType="application/vnd.openxmlformats-officedocument.spreadsheetml.worksheet+xml" PartName="/xl/worksheets/sheet3735.xml"/>
  <Override ContentType="application/vnd.openxmlformats-officedocument.spreadsheetml.worksheet+xml" PartName="/xl/worksheets/sheet3736.xml"/>
  <Override ContentType="application/vnd.openxmlformats-officedocument.spreadsheetml.worksheet+xml" PartName="/xl/worksheets/sheet3737.xml"/>
  <Override ContentType="application/vnd.openxmlformats-officedocument.spreadsheetml.worksheet+xml" PartName="/xl/worksheets/sheet3738.xml"/>
  <Override ContentType="application/vnd.openxmlformats-officedocument.spreadsheetml.worksheet+xml" PartName="/xl/worksheets/sheet3739.xml"/>
  <Override ContentType="application/vnd.openxmlformats-officedocument.spreadsheetml.worksheet+xml" PartName="/xl/worksheets/sheet3740.xml"/>
  <Override ContentType="application/vnd.openxmlformats-officedocument.spreadsheetml.worksheet+xml" PartName="/xl/worksheets/sheet3741.xml"/>
  <Override ContentType="application/vnd.openxmlformats-officedocument.spreadsheetml.worksheet+xml" PartName="/xl/worksheets/sheet3742.xml"/>
  <Override ContentType="application/vnd.openxmlformats-officedocument.spreadsheetml.worksheet+xml" PartName="/xl/worksheets/sheet3743.xml"/>
  <Override ContentType="application/vnd.openxmlformats-officedocument.spreadsheetml.worksheet+xml" PartName="/xl/worksheets/sheet3744.xml"/>
  <Override ContentType="application/vnd.openxmlformats-officedocument.spreadsheetml.worksheet+xml" PartName="/xl/worksheets/sheet3745.xml"/>
  <Override ContentType="application/vnd.openxmlformats-officedocument.spreadsheetml.worksheet+xml" PartName="/xl/worksheets/sheet3746.xml"/>
  <Override ContentType="application/vnd.openxmlformats-officedocument.spreadsheetml.worksheet+xml" PartName="/xl/worksheets/sheet3747.xml"/>
  <Override ContentType="application/vnd.openxmlformats-officedocument.spreadsheetml.worksheet+xml" PartName="/xl/worksheets/sheet3748.xml"/>
  <Override ContentType="application/vnd.openxmlformats-officedocument.spreadsheetml.worksheet+xml" PartName="/xl/worksheets/sheet3749.xml"/>
  <Override ContentType="application/vnd.openxmlformats-officedocument.spreadsheetml.worksheet+xml" PartName="/xl/worksheets/sheet3750.xml"/>
  <Override ContentType="application/vnd.openxmlformats-officedocument.spreadsheetml.worksheet+xml" PartName="/xl/worksheets/sheet3751.xml"/>
  <Override ContentType="application/vnd.openxmlformats-officedocument.spreadsheetml.worksheet+xml" PartName="/xl/worksheets/sheet3752.xml"/>
  <Override ContentType="application/vnd.openxmlformats-officedocument.spreadsheetml.worksheet+xml" PartName="/xl/worksheets/sheet3753.xml"/>
  <Override ContentType="application/vnd.openxmlformats-officedocument.spreadsheetml.worksheet+xml" PartName="/xl/worksheets/sheet3754.xml"/>
  <Override ContentType="application/vnd.openxmlformats-officedocument.spreadsheetml.worksheet+xml" PartName="/xl/worksheets/sheet3755.xml"/>
  <Override ContentType="application/vnd.openxmlformats-officedocument.spreadsheetml.worksheet+xml" PartName="/xl/worksheets/sheet3756.xml"/>
  <Override ContentType="application/vnd.openxmlformats-officedocument.spreadsheetml.worksheet+xml" PartName="/xl/worksheets/sheet3757.xml"/>
  <Override ContentType="application/vnd.openxmlformats-officedocument.spreadsheetml.worksheet+xml" PartName="/xl/worksheets/sheet3758.xml"/>
  <Override ContentType="application/vnd.openxmlformats-officedocument.spreadsheetml.worksheet+xml" PartName="/xl/worksheets/sheet3759.xml"/>
  <Override ContentType="application/vnd.openxmlformats-officedocument.spreadsheetml.worksheet+xml" PartName="/xl/worksheets/sheet3760.xml"/>
  <Override ContentType="application/vnd.openxmlformats-officedocument.spreadsheetml.worksheet+xml" PartName="/xl/worksheets/sheet3761.xml"/>
  <Override ContentType="application/vnd.openxmlformats-officedocument.spreadsheetml.worksheet+xml" PartName="/xl/worksheets/sheet3762.xml"/>
  <Override ContentType="application/vnd.openxmlformats-officedocument.spreadsheetml.worksheet+xml" PartName="/xl/worksheets/sheet3763.xml"/>
  <Override ContentType="application/vnd.openxmlformats-officedocument.spreadsheetml.worksheet+xml" PartName="/xl/worksheets/sheet3764.xml"/>
  <Override ContentType="application/vnd.openxmlformats-officedocument.spreadsheetml.worksheet+xml" PartName="/xl/worksheets/sheet3765.xml"/>
  <Override ContentType="application/vnd.openxmlformats-officedocument.spreadsheetml.worksheet+xml" PartName="/xl/worksheets/sheet3766.xml"/>
  <Override ContentType="application/vnd.openxmlformats-officedocument.spreadsheetml.worksheet+xml" PartName="/xl/worksheets/sheet3767.xml"/>
  <Override ContentType="application/vnd.openxmlformats-officedocument.spreadsheetml.worksheet+xml" PartName="/xl/worksheets/sheet3768.xml"/>
  <Override ContentType="application/vnd.openxmlformats-officedocument.spreadsheetml.worksheet+xml" PartName="/xl/worksheets/sheet3769.xml"/>
  <Override ContentType="application/vnd.openxmlformats-officedocument.spreadsheetml.worksheet+xml" PartName="/xl/worksheets/sheet3770.xml"/>
  <Override ContentType="application/vnd.openxmlformats-officedocument.spreadsheetml.worksheet+xml" PartName="/xl/worksheets/sheet3771.xml"/>
  <Override ContentType="application/vnd.openxmlformats-officedocument.spreadsheetml.worksheet+xml" PartName="/xl/worksheets/sheet3772.xml"/>
  <Override ContentType="application/vnd.openxmlformats-officedocument.spreadsheetml.worksheet+xml" PartName="/xl/worksheets/sheet3773.xml"/>
  <Override ContentType="application/vnd.openxmlformats-officedocument.spreadsheetml.worksheet+xml" PartName="/xl/worksheets/sheet3774.xml"/>
  <Override ContentType="application/vnd.openxmlformats-officedocument.spreadsheetml.worksheet+xml" PartName="/xl/worksheets/sheet3775.xml"/>
  <Override ContentType="application/vnd.openxmlformats-officedocument.spreadsheetml.worksheet+xml" PartName="/xl/worksheets/sheet3776.xml"/>
  <Override ContentType="application/vnd.openxmlformats-officedocument.spreadsheetml.worksheet+xml" PartName="/xl/worksheets/sheet3777.xml"/>
  <Override ContentType="application/vnd.openxmlformats-officedocument.spreadsheetml.worksheet+xml" PartName="/xl/worksheets/sheet3778.xml"/>
  <Override ContentType="application/vnd.openxmlformats-officedocument.spreadsheetml.worksheet+xml" PartName="/xl/worksheets/sheet3779.xml"/>
  <Override ContentType="application/vnd.openxmlformats-officedocument.spreadsheetml.worksheet+xml" PartName="/xl/worksheets/sheet3780.xml"/>
  <Override ContentType="application/vnd.openxmlformats-officedocument.spreadsheetml.worksheet+xml" PartName="/xl/worksheets/sheet3781.xml"/>
  <Override ContentType="application/vnd.openxmlformats-officedocument.spreadsheetml.worksheet+xml" PartName="/xl/worksheets/sheet3782.xml"/>
  <Override ContentType="application/vnd.openxmlformats-officedocument.spreadsheetml.worksheet+xml" PartName="/xl/worksheets/sheet3783.xml"/>
  <Override ContentType="application/vnd.openxmlformats-officedocument.spreadsheetml.worksheet+xml" PartName="/xl/worksheets/sheet3784.xml"/>
  <Override ContentType="application/vnd.openxmlformats-officedocument.spreadsheetml.worksheet+xml" PartName="/xl/worksheets/sheet3785.xml"/>
  <Override ContentType="application/vnd.openxmlformats-officedocument.spreadsheetml.worksheet+xml" PartName="/xl/worksheets/sheet3786.xml"/>
  <Override ContentType="application/vnd.openxmlformats-officedocument.spreadsheetml.worksheet+xml" PartName="/xl/worksheets/sheet3787.xml"/>
  <Override ContentType="application/vnd.openxmlformats-officedocument.spreadsheetml.worksheet+xml" PartName="/xl/worksheets/sheet3788.xml"/>
  <Override ContentType="application/vnd.openxmlformats-officedocument.spreadsheetml.worksheet+xml" PartName="/xl/worksheets/sheet3789.xml"/>
  <Override ContentType="application/vnd.openxmlformats-officedocument.spreadsheetml.worksheet+xml" PartName="/xl/worksheets/sheet3790.xml"/>
  <Override ContentType="application/vnd.openxmlformats-officedocument.spreadsheetml.worksheet+xml" PartName="/xl/worksheets/sheet3791.xml"/>
  <Override ContentType="application/vnd.openxmlformats-officedocument.spreadsheetml.worksheet+xml" PartName="/xl/worksheets/sheet3792.xml"/>
  <Override ContentType="application/vnd.openxmlformats-officedocument.spreadsheetml.worksheet+xml" PartName="/xl/worksheets/sheet3793.xml"/>
  <Override ContentType="application/vnd.openxmlformats-officedocument.spreadsheetml.worksheet+xml" PartName="/xl/worksheets/sheet3794.xml"/>
  <Override ContentType="application/vnd.openxmlformats-officedocument.spreadsheetml.worksheet+xml" PartName="/xl/worksheets/sheet3795.xml"/>
  <Override ContentType="application/vnd.openxmlformats-officedocument.spreadsheetml.worksheet+xml" PartName="/xl/worksheets/sheet3796.xml"/>
  <Override ContentType="application/vnd.openxmlformats-officedocument.spreadsheetml.worksheet+xml" PartName="/xl/worksheets/sheet3797.xml"/>
  <Override ContentType="application/vnd.openxmlformats-officedocument.spreadsheetml.worksheet+xml" PartName="/xl/worksheets/sheet3798.xml"/>
  <Override ContentType="application/vnd.openxmlformats-officedocument.spreadsheetml.worksheet+xml" PartName="/xl/worksheets/sheet3799.xml"/>
  <Override ContentType="application/vnd.openxmlformats-officedocument.spreadsheetml.worksheet+xml" PartName="/xl/worksheets/sheet3800.xml"/>
  <Override ContentType="application/vnd.openxmlformats-officedocument.spreadsheetml.worksheet+xml" PartName="/xl/worksheets/sheet3801.xml"/>
  <Override ContentType="application/vnd.openxmlformats-officedocument.spreadsheetml.worksheet+xml" PartName="/xl/worksheets/sheet3802.xml"/>
  <Override ContentType="application/vnd.openxmlformats-officedocument.spreadsheetml.worksheet+xml" PartName="/xl/worksheets/sheet3803.xml"/>
  <Override ContentType="application/vnd.openxmlformats-officedocument.spreadsheetml.worksheet+xml" PartName="/xl/worksheets/sheet3804.xml"/>
  <Override ContentType="application/vnd.openxmlformats-officedocument.spreadsheetml.worksheet+xml" PartName="/xl/worksheets/sheet3805.xml"/>
  <Override ContentType="application/vnd.openxmlformats-officedocument.spreadsheetml.worksheet+xml" PartName="/xl/worksheets/sheet3806.xml"/>
  <Override ContentType="application/vnd.openxmlformats-officedocument.spreadsheetml.worksheet+xml" PartName="/xl/worksheets/sheet3807.xml"/>
  <Override ContentType="application/vnd.openxmlformats-officedocument.spreadsheetml.worksheet+xml" PartName="/xl/worksheets/sheet3808.xml"/>
  <Override ContentType="application/vnd.openxmlformats-officedocument.spreadsheetml.worksheet+xml" PartName="/xl/worksheets/sheet3809.xml"/>
  <Override ContentType="application/vnd.openxmlformats-officedocument.spreadsheetml.worksheet+xml" PartName="/xl/worksheets/sheet3810.xml"/>
  <Override ContentType="application/vnd.openxmlformats-officedocument.spreadsheetml.worksheet+xml" PartName="/xl/worksheets/sheet3811.xml"/>
  <Override ContentType="application/vnd.openxmlformats-officedocument.spreadsheetml.worksheet+xml" PartName="/xl/worksheets/sheet3812.xml"/>
  <Override ContentType="application/vnd.openxmlformats-officedocument.spreadsheetml.worksheet+xml" PartName="/xl/worksheets/sheet3813.xml"/>
  <Override ContentType="application/vnd.openxmlformats-officedocument.spreadsheetml.worksheet+xml" PartName="/xl/worksheets/sheet3814.xml"/>
  <Override ContentType="application/vnd.openxmlformats-officedocument.spreadsheetml.worksheet+xml" PartName="/xl/worksheets/sheet3815.xml"/>
  <Override ContentType="application/vnd.openxmlformats-officedocument.spreadsheetml.worksheet+xml" PartName="/xl/worksheets/sheet3816.xml"/>
  <Override ContentType="application/vnd.openxmlformats-officedocument.spreadsheetml.worksheet+xml" PartName="/xl/worksheets/sheet3817.xml"/>
  <Override ContentType="application/vnd.openxmlformats-officedocument.spreadsheetml.worksheet+xml" PartName="/xl/worksheets/sheet3818.xml"/>
  <Override ContentType="application/vnd.openxmlformats-officedocument.spreadsheetml.worksheet+xml" PartName="/xl/worksheets/sheet3819.xml"/>
  <Override ContentType="application/vnd.openxmlformats-officedocument.spreadsheetml.worksheet+xml" PartName="/xl/worksheets/sheet3820.xml"/>
  <Override ContentType="application/vnd.openxmlformats-officedocument.spreadsheetml.worksheet+xml" PartName="/xl/worksheets/sheet3821.xml"/>
  <Override ContentType="application/vnd.openxmlformats-officedocument.spreadsheetml.worksheet+xml" PartName="/xl/worksheets/sheet3822.xml"/>
  <Override ContentType="application/vnd.openxmlformats-officedocument.spreadsheetml.worksheet+xml" PartName="/xl/worksheets/sheet3823.xml"/>
  <Override ContentType="application/vnd.openxmlformats-officedocument.spreadsheetml.worksheet+xml" PartName="/xl/worksheets/sheet3824.xml"/>
  <Override ContentType="application/vnd.openxmlformats-officedocument.spreadsheetml.worksheet+xml" PartName="/xl/worksheets/sheet3825.xml"/>
  <Override ContentType="application/vnd.openxmlformats-officedocument.spreadsheetml.worksheet+xml" PartName="/xl/worksheets/sheet3826.xml"/>
  <Override ContentType="application/vnd.openxmlformats-officedocument.spreadsheetml.worksheet+xml" PartName="/xl/worksheets/sheet3827.xml"/>
  <Override ContentType="application/vnd.openxmlformats-officedocument.spreadsheetml.worksheet+xml" PartName="/xl/worksheets/sheet3828.xml"/>
  <Override ContentType="application/vnd.openxmlformats-officedocument.spreadsheetml.worksheet+xml" PartName="/xl/worksheets/sheet3829.xml"/>
  <Override ContentType="application/vnd.openxmlformats-officedocument.spreadsheetml.worksheet+xml" PartName="/xl/worksheets/sheet3830.xml"/>
  <Override ContentType="application/vnd.openxmlformats-officedocument.spreadsheetml.worksheet+xml" PartName="/xl/worksheets/sheet3831.xml"/>
  <Override ContentType="application/vnd.openxmlformats-officedocument.spreadsheetml.worksheet+xml" PartName="/xl/worksheets/sheet3832.xml"/>
  <Override ContentType="application/vnd.openxmlformats-officedocument.spreadsheetml.worksheet+xml" PartName="/xl/worksheets/sheet3833.xml"/>
  <Override ContentType="application/vnd.openxmlformats-officedocument.spreadsheetml.worksheet+xml" PartName="/xl/worksheets/sheet3834.xml"/>
  <Override ContentType="application/vnd.openxmlformats-officedocument.spreadsheetml.worksheet+xml" PartName="/xl/worksheets/sheet3835.xml"/>
  <Override ContentType="application/vnd.openxmlformats-officedocument.spreadsheetml.worksheet+xml" PartName="/xl/worksheets/sheet3836.xml"/>
  <Override ContentType="application/vnd.openxmlformats-officedocument.spreadsheetml.worksheet+xml" PartName="/xl/worksheets/sheet3837.xml"/>
  <Override ContentType="application/vnd.openxmlformats-officedocument.spreadsheetml.worksheet+xml" PartName="/xl/worksheets/sheet3838.xml"/>
  <Override ContentType="application/vnd.openxmlformats-officedocument.spreadsheetml.worksheet+xml" PartName="/xl/worksheets/sheet3839.xml"/>
  <Override ContentType="application/vnd.openxmlformats-officedocument.spreadsheetml.worksheet+xml" PartName="/xl/worksheets/sheet3840.xml"/>
  <Override ContentType="application/vnd.openxmlformats-officedocument.spreadsheetml.worksheet+xml" PartName="/xl/worksheets/sheet3841.xml"/>
  <Override ContentType="application/vnd.openxmlformats-officedocument.spreadsheetml.worksheet+xml" PartName="/xl/worksheets/sheet3842.xml"/>
  <Override ContentType="application/vnd.openxmlformats-officedocument.spreadsheetml.worksheet+xml" PartName="/xl/worksheets/sheet3843.xml"/>
  <Override ContentType="application/vnd.openxmlformats-officedocument.spreadsheetml.worksheet+xml" PartName="/xl/worksheets/sheet3844.xml"/>
  <Override ContentType="application/vnd.openxmlformats-officedocument.spreadsheetml.worksheet+xml" PartName="/xl/worksheets/sheet3845.xml"/>
  <Override ContentType="application/vnd.openxmlformats-officedocument.spreadsheetml.worksheet+xml" PartName="/xl/worksheets/sheet3846.xml"/>
  <Override ContentType="application/vnd.openxmlformats-officedocument.spreadsheetml.worksheet+xml" PartName="/xl/worksheets/sheet3847.xml"/>
  <Override ContentType="application/vnd.openxmlformats-officedocument.spreadsheetml.worksheet+xml" PartName="/xl/worksheets/sheet3848.xml"/>
  <Override ContentType="application/vnd.openxmlformats-officedocument.spreadsheetml.worksheet+xml" PartName="/xl/worksheets/sheet3849.xml"/>
  <Override ContentType="application/vnd.openxmlformats-officedocument.spreadsheetml.worksheet+xml" PartName="/xl/worksheets/sheet3850.xml"/>
  <Override ContentType="application/vnd.openxmlformats-officedocument.spreadsheetml.worksheet+xml" PartName="/xl/worksheets/sheet3851.xml"/>
  <Override ContentType="application/vnd.openxmlformats-officedocument.spreadsheetml.worksheet+xml" PartName="/xl/worksheets/sheet3852.xml"/>
  <Override ContentType="application/vnd.openxmlformats-officedocument.spreadsheetml.worksheet+xml" PartName="/xl/worksheets/sheet3853.xml"/>
  <Override ContentType="application/vnd.openxmlformats-officedocument.spreadsheetml.worksheet+xml" PartName="/xl/worksheets/sheet3854.xml"/>
  <Override ContentType="application/vnd.openxmlformats-officedocument.spreadsheetml.worksheet+xml" PartName="/xl/worksheets/sheet3855.xml"/>
  <Override ContentType="application/vnd.openxmlformats-officedocument.spreadsheetml.worksheet+xml" PartName="/xl/worksheets/sheet3856.xml"/>
  <Override ContentType="application/vnd.openxmlformats-officedocument.spreadsheetml.worksheet+xml" PartName="/xl/worksheets/sheet3857.xml"/>
  <Override ContentType="application/vnd.openxmlformats-officedocument.spreadsheetml.worksheet+xml" PartName="/xl/worksheets/sheet3858.xml"/>
  <Override ContentType="application/vnd.openxmlformats-officedocument.spreadsheetml.worksheet+xml" PartName="/xl/worksheets/sheet3859.xml"/>
  <Override ContentType="application/vnd.openxmlformats-officedocument.spreadsheetml.worksheet+xml" PartName="/xl/worksheets/sheet3860.xml"/>
  <Override ContentType="application/vnd.openxmlformats-officedocument.spreadsheetml.worksheet+xml" PartName="/xl/worksheets/sheet3861.xml"/>
  <Override ContentType="application/vnd.openxmlformats-officedocument.spreadsheetml.worksheet+xml" PartName="/xl/worksheets/sheet3862.xml"/>
  <Override ContentType="application/vnd.openxmlformats-officedocument.spreadsheetml.worksheet+xml" PartName="/xl/worksheets/sheet3863.xml"/>
  <Override ContentType="application/vnd.openxmlformats-officedocument.spreadsheetml.worksheet+xml" PartName="/xl/worksheets/sheet3864.xml"/>
  <Override ContentType="application/vnd.openxmlformats-officedocument.spreadsheetml.worksheet+xml" PartName="/xl/worksheets/sheet3865.xml"/>
  <Override ContentType="application/vnd.openxmlformats-officedocument.spreadsheetml.worksheet+xml" PartName="/xl/worksheets/sheet3866.xml"/>
  <Override ContentType="application/vnd.openxmlformats-officedocument.spreadsheetml.worksheet+xml" PartName="/xl/worksheets/sheet3867.xml"/>
  <Override ContentType="application/vnd.openxmlformats-officedocument.spreadsheetml.worksheet+xml" PartName="/xl/worksheets/sheet3868.xml"/>
  <Override ContentType="application/vnd.openxmlformats-officedocument.spreadsheetml.worksheet+xml" PartName="/xl/worksheets/sheet3869.xml"/>
  <Override ContentType="application/vnd.openxmlformats-officedocument.spreadsheetml.worksheet+xml" PartName="/xl/worksheets/sheet3870.xml"/>
  <Override ContentType="application/vnd.openxmlformats-officedocument.spreadsheetml.worksheet+xml" PartName="/xl/worksheets/sheet3871.xml"/>
  <Override ContentType="application/vnd.openxmlformats-officedocument.spreadsheetml.worksheet+xml" PartName="/xl/worksheets/sheet3872.xml"/>
  <Override ContentType="application/vnd.openxmlformats-officedocument.spreadsheetml.worksheet+xml" PartName="/xl/worksheets/sheet3873.xml"/>
  <Override ContentType="application/vnd.openxmlformats-officedocument.spreadsheetml.worksheet+xml" PartName="/xl/worksheets/sheet3874.xml"/>
  <Override ContentType="application/vnd.openxmlformats-officedocument.spreadsheetml.worksheet+xml" PartName="/xl/worksheets/sheet3875.xml"/>
  <Override ContentType="application/vnd.openxmlformats-officedocument.spreadsheetml.worksheet+xml" PartName="/xl/worksheets/sheet3876.xml"/>
  <Override ContentType="application/vnd.openxmlformats-officedocument.spreadsheetml.worksheet+xml" PartName="/xl/worksheets/sheet3877.xml"/>
  <Override ContentType="application/vnd.openxmlformats-officedocument.spreadsheetml.worksheet+xml" PartName="/xl/worksheets/sheet3878.xml"/>
  <Override ContentType="application/vnd.openxmlformats-officedocument.spreadsheetml.worksheet+xml" PartName="/xl/worksheets/sheet3879.xml"/>
  <Override ContentType="application/vnd.openxmlformats-officedocument.spreadsheetml.worksheet+xml" PartName="/xl/worksheets/sheet3880.xml"/>
  <Override ContentType="application/vnd.openxmlformats-officedocument.spreadsheetml.worksheet+xml" PartName="/xl/worksheets/sheet3881.xml"/>
  <Override ContentType="application/vnd.openxmlformats-officedocument.spreadsheetml.worksheet+xml" PartName="/xl/worksheets/sheet3882.xml"/>
  <Override ContentType="application/vnd.openxmlformats-officedocument.spreadsheetml.worksheet+xml" PartName="/xl/worksheets/sheet3883.xml"/>
  <Override ContentType="application/vnd.openxmlformats-officedocument.spreadsheetml.worksheet+xml" PartName="/xl/worksheets/sheet3884.xml"/>
  <Override ContentType="application/vnd.openxmlformats-officedocument.spreadsheetml.worksheet+xml" PartName="/xl/worksheets/sheet3885.xml"/>
  <Override ContentType="application/vnd.openxmlformats-officedocument.spreadsheetml.worksheet+xml" PartName="/xl/worksheets/sheet3886.xml"/>
  <Override ContentType="application/vnd.openxmlformats-officedocument.spreadsheetml.worksheet+xml" PartName="/xl/worksheets/sheet3887.xml"/>
  <Override ContentType="application/vnd.openxmlformats-officedocument.spreadsheetml.worksheet+xml" PartName="/xl/worksheets/sheet3888.xml"/>
  <Override ContentType="application/vnd.openxmlformats-officedocument.spreadsheetml.worksheet+xml" PartName="/xl/worksheets/sheet3889.xml"/>
  <Override ContentType="application/vnd.openxmlformats-officedocument.spreadsheetml.worksheet+xml" PartName="/xl/worksheets/sheet3890.xml"/>
  <Override ContentType="application/vnd.openxmlformats-officedocument.spreadsheetml.worksheet+xml" PartName="/xl/worksheets/sheet3891.xml"/>
  <Override ContentType="application/vnd.openxmlformats-officedocument.spreadsheetml.worksheet+xml" PartName="/xl/worksheets/sheet3892.xml"/>
  <Override ContentType="application/vnd.openxmlformats-officedocument.spreadsheetml.worksheet+xml" PartName="/xl/worksheets/sheet3893.xml"/>
  <Override ContentType="application/vnd.openxmlformats-officedocument.spreadsheetml.worksheet+xml" PartName="/xl/worksheets/sheet3894.xml"/>
  <Override ContentType="application/vnd.openxmlformats-officedocument.spreadsheetml.worksheet+xml" PartName="/xl/worksheets/sheet3895.xml"/>
  <Override ContentType="application/vnd.openxmlformats-officedocument.spreadsheetml.worksheet+xml" PartName="/xl/worksheets/sheet3896.xml"/>
  <Override ContentType="application/vnd.openxmlformats-officedocument.spreadsheetml.worksheet+xml" PartName="/xl/worksheets/sheet3897.xml"/>
  <Override ContentType="application/vnd.openxmlformats-officedocument.spreadsheetml.worksheet+xml" PartName="/xl/worksheets/sheet3898.xml"/>
  <Override ContentType="application/vnd.openxmlformats-officedocument.spreadsheetml.worksheet+xml" PartName="/xl/worksheets/sheet3899.xml"/>
  <Override ContentType="application/vnd.openxmlformats-officedocument.spreadsheetml.worksheet+xml" PartName="/xl/worksheets/sheet3900.xml"/>
  <Override ContentType="application/vnd.openxmlformats-officedocument.spreadsheetml.worksheet+xml" PartName="/xl/worksheets/sheet3901.xml"/>
  <Override ContentType="application/vnd.openxmlformats-officedocument.spreadsheetml.worksheet+xml" PartName="/xl/worksheets/sheet3902.xml"/>
  <Override ContentType="application/vnd.openxmlformats-officedocument.spreadsheetml.worksheet+xml" PartName="/xl/worksheets/sheet3903.xml"/>
  <Override ContentType="application/vnd.openxmlformats-officedocument.spreadsheetml.worksheet+xml" PartName="/xl/worksheets/sheet3904.xml"/>
  <Override ContentType="application/vnd.openxmlformats-officedocument.spreadsheetml.worksheet+xml" PartName="/xl/worksheets/sheet3905.xml"/>
  <Override ContentType="application/vnd.openxmlformats-officedocument.spreadsheetml.worksheet+xml" PartName="/xl/worksheets/sheet3906.xml"/>
  <Override ContentType="application/vnd.openxmlformats-officedocument.spreadsheetml.worksheet+xml" PartName="/xl/worksheets/sheet3907.xml"/>
  <Override ContentType="application/vnd.openxmlformats-officedocument.spreadsheetml.worksheet+xml" PartName="/xl/worksheets/sheet3908.xml"/>
  <Override ContentType="application/vnd.openxmlformats-officedocument.spreadsheetml.worksheet+xml" PartName="/xl/worksheets/sheet3909.xml"/>
  <Override ContentType="application/vnd.openxmlformats-officedocument.spreadsheetml.worksheet+xml" PartName="/xl/worksheets/sheet3910.xml"/>
  <Override ContentType="application/vnd.openxmlformats-officedocument.spreadsheetml.worksheet+xml" PartName="/xl/worksheets/sheet3911.xml"/>
  <Override ContentType="application/vnd.openxmlformats-officedocument.spreadsheetml.worksheet+xml" PartName="/xl/worksheets/sheet3912.xml"/>
  <Override ContentType="application/vnd.openxmlformats-officedocument.spreadsheetml.worksheet+xml" PartName="/xl/worksheets/sheet3913.xml"/>
  <Override ContentType="application/vnd.openxmlformats-officedocument.spreadsheetml.worksheet+xml" PartName="/xl/worksheets/sheet3914.xml"/>
  <Override ContentType="application/vnd.openxmlformats-officedocument.spreadsheetml.worksheet+xml" PartName="/xl/worksheets/sheet3915.xml"/>
  <Override ContentType="application/vnd.openxmlformats-officedocument.spreadsheetml.worksheet+xml" PartName="/xl/worksheets/sheet3916.xml"/>
  <Override ContentType="application/vnd.openxmlformats-officedocument.spreadsheetml.worksheet+xml" PartName="/xl/worksheets/sheet3917.xml"/>
  <Override ContentType="application/vnd.openxmlformats-officedocument.spreadsheetml.worksheet+xml" PartName="/xl/worksheets/sheet3918.xml"/>
  <Override ContentType="application/vnd.openxmlformats-officedocument.spreadsheetml.worksheet+xml" PartName="/xl/worksheets/sheet3919.xml"/>
  <Override ContentType="application/vnd.openxmlformats-officedocument.spreadsheetml.worksheet+xml" PartName="/xl/worksheets/sheet3920.xml"/>
  <Override ContentType="application/vnd.openxmlformats-officedocument.spreadsheetml.worksheet+xml" PartName="/xl/worksheets/sheet3921.xml"/>
  <Override ContentType="application/vnd.openxmlformats-officedocument.spreadsheetml.worksheet+xml" PartName="/xl/worksheets/sheet3922.xml"/>
  <Override ContentType="application/vnd.openxmlformats-officedocument.spreadsheetml.worksheet+xml" PartName="/xl/worksheets/sheet3923.xml"/>
  <Override ContentType="application/vnd.openxmlformats-officedocument.spreadsheetml.worksheet+xml" PartName="/xl/worksheets/sheet3924.xml"/>
  <Override ContentType="application/vnd.openxmlformats-officedocument.spreadsheetml.worksheet+xml" PartName="/xl/worksheets/sheet3925.xml"/>
  <Override ContentType="application/vnd.openxmlformats-officedocument.spreadsheetml.worksheet+xml" PartName="/xl/worksheets/sheet3926.xml"/>
  <Override ContentType="application/vnd.openxmlformats-officedocument.spreadsheetml.worksheet+xml" PartName="/xl/worksheets/sheet3927.xml"/>
  <Override ContentType="application/vnd.openxmlformats-officedocument.spreadsheetml.worksheet+xml" PartName="/xl/worksheets/sheet3928.xml"/>
  <Override ContentType="application/vnd.openxmlformats-officedocument.spreadsheetml.worksheet+xml" PartName="/xl/worksheets/sheet3929.xml"/>
  <Override ContentType="application/vnd.openxmlformats-officedocument.spreadsheetml.worksheet+xml" PartName="/xl/worksheets/sheet3930.xml"/>
  <Override ContentType="application/vnd.openxmlformats-officedocument.spreadsheetml.worksheet+xml" PartName="/xl/worksheets/sheet3931.xml"/>
  <Override ContentType="application/vnd.openxmlformats-officedocument.spreadsheetml.worksheet+xml" PartName="/xl/worksheets/sheet3932.xml"/>
  <Override ContentType="application/vnd.openxmlformats-officedocument.spreadsheetml.worksheet+xml" PartName="/xl/worksheets/sheet3933.xml"/>
  <Override ContentType="application/vnd.openxmlformats-officedocument.spreadsheetml.worksheet+xml" PartName="/xl/worksheets/sheet3934.xml"/>
  <Override ContentType="application/vnd.openxmlformats-officedocument.spreadsheetml.worksheet+xml" PartName="/xl/worksheets/sheet3935.xml"/>
  <Override ContentType="application/vnd.openxmlformats-officedocument.spreadsheetml.worksheet+xml" PartName="/xl/worksheets/sheet3936.xml"/>
  <Override ContentType="application/vnd.openxmlformats-officedocument.spreadsheetml.worksheet+xml" PartName="/xl/worksheets/sheet3937.xml"/>
  <Override ContentType="application/vnd.openxmlformats-officedocument.spreadsheetml.worksheet+xml" PartName="/xl/worksheets/sheet3938.xml"/>
  <Override ContentType="application/vnd.openxmlformats-officedocument.spreadsheetml.worksheet+xml" PartName="/xl/worksheets/sheet3939.xml"/>
  <Override ContentType="application/vnd.openxmlformats-officedocument.spreadsheetml.worksheet+xml" PartName="/xl/worksheets/sheet3940.xml"/>
  <Override ContentType="application/vnd.openxmlformats-officedocument.spreadsheetml.worksheet+xml" PartName="/xl/worksheets/sheet3941.xml"/>
  <Override ContentType="application/vnd.openxmlformats-officedocument.spreadsheetml.worksheet+xml" PartName="/xl/worksheets/sheet3942.xml"/>
  <Override ContentType="application/vnd.openxmlformats-officedocument.spreadsheetml.worksheet+xml" PartName="/xl/worksheets/sheet3943.xml"/>
  <Override ContentType="application/vnd.openxmlformats-officedocument.spreadsheetml.worksheet+xml" PartName="/xl/worksheets/sheet3944.xml"/>
  <Override ContentType="application/vnd.openxmlformats-officedocument.spreadsheetml.worksheet+xml" PartName="/xl/worksheets/sheet3945.xml"/>
  <Override ContentType="application/vnd.openxmlformats-officedocument.spreadsheetml.worksheet+xml" PartName="/xl/worksheets/sheet3946.xml"/>
  <Override ContentType="application/vnd.openxmlformats-officedocument.spreadsheetml.worksheet+xml" PartName="/xl/worksheets/sheet3947.xml"/>
  <Override ContentType="application/vnd.openxmlformats-officedocument.spreadsheetml.worksheet+xml" PartName="/xl/worksheets/sheet3948.xml"/>
  <Override ContentType="application/vnd.openxmlformats-officedocument.spreadsheetml.worksheet+xml" PartName="/xl/worksheets/sheet3949.xml"/>
  <Override ContentType="application/vnd.openxmlformats-officedocument.spreadsheetml.worksheet+xml" PartName="/xl/worksheets/sheet3950.xml"/>
  <Override ContentType="application/vnd.openxmlformats-officedocument.spreadsheetml.worksheet+xml" PartName="/xl/worksheets/sheet3951.xml"/>
  <Override ContentType="application/vnd.openxmlformats-officedocument.spreadsheetml.worksheet+xml" PartName="/xl/worksheets/sheet3952.xml"/>
  <Override ContentType="application/vnd.openxmlformats-officedocument.spreadsheetml.worksheet+xml" PartName="/xl/worksheets/sheet3953.xml"/>
  <Override ContentType="application/vnd.openxmlformats-officedocument.spreadsheetml.worksheet+xml" PartName="/xl/worksheets/sheet3954.xml"/>
  <Override ContentType="application/vnd.openxmlformats-officedocument.spreadsheetml.worksheet+xml" PartName="/xl/worksheets/sheet3955.xml"/>
  <Override ContentType="application/vnd.openxmlformats-officedocument.spreadsheetml.worksheet+xml" PartName="/xl/worksheets/sheet3956.xml"/>
  <Override ContentType="application/vnd.openxmlformats-officedocument.spreadsheetml.worksheet+xml" PartName="/xl/worksheets/sheet3957.xml"/>
  <Override ContentType="application/vnd.openxmlformats-officedocument.spreadsheetml.worksheet+xml" PartName="/xl/worksheets/sheet3958.xml"/>
  <Override ContentType="application/vnd.openxmlformats-officedocument.spreadsheetml.worksheet+xml" PartName="/xl/worksheets/sheet3959.xml"/>
  <Override ContentType="application/vnd.openxmlformats-officedocument.spreadsheetml.worksheet+xml" PartName="/xl/worksheets/sheet3960.xml"/>
  <Override ContentType="application/vnd.openxmlformats-officedocument.spreadsheetml.worksheet+xml" PartName="/xl/worksheets/sheet3961.xml"/>
  <Override ContentType="application/vnd.openxmlformats-officedocument.spreadsheetml.worksheet+xml" PartName="/xl/worksheets/sheet3962.xml"/>
  <Override ContentType="application/vnd.openxmlformats-officedocument.spreadsheetml.worksheet+xml" PartName="/xl/worksheets/sheet3963.xml"/>
  <Override ContentType="application/vnd.openxmlformats-officedocument.spreadsheetml.worksheet+xml" PartName="/xl/worksheets/sheet3964.xml"/>
  <Override ContentType="application/vnd.openxmlformats-officedocument.spreadsheetml.worksheet+xml" PartName="/xl/worksheets/sheet3965.xml"/>
  <Override ContentType="application/vnd.openxmlformats-officedocument.spreadsheetml.worksheet+xml" PartName="/xl/worksheets/sheet3966.xml"/>
  <Override ContentType="application/vnd.openxmlformats-officedocument.spreadsheetml.worksheet+xml" PartName="/xl/worksheets/sheet3967.xml"/>
  <Override ContentType="application/vnd.openxmlformats-officedocument.spreadsheetml.worksheet+xml" PartName="/xl/worksheets/sheet3968.xml"/>
  <Override ContentType="application/vnd.openxmlformats-officedocument.spreadsheetml.worksheet+xml" PartName="/xl/worksheets/sheet3969.xml"/>
  <Override ContentType="application/vnd.openxmlformats-officedocument.spreadsheetml.worksheet+xml" PartName="/xl/worksheets/sheet3970.xml"/>
  <Override ContentType="application/vnd.openxmlformats-officedocument.spreadsheetml.worksheet+xml" PartName="/xl/worksheets/sheet3971.xml"/>
  <Override ContentType="application/vnd.openxmlformats-officedocument.spreadsheetml.worksheet+xml" PartName="/xl/worksheets/sheet3972.xml"/>
  <Override ContentType="application/vnd.openxmlformats-officedocument.spreadsheetml.worksheet+xml" PartName="/xl/worksheets/sheet3973.xml"/>
  <Override ContentType="application/vnd.openxmlformats-officedocument.spreadsheetml.worksheet+xml" PartName="/xl/worksheets/sheet3974.xml"/>
  <Override ContentType="application/vnd.openxmlformats-officedocument.spreadsheetml.worksheet+xml" PartName="/xl/worksheets/sheet3975.xml"/>
  <Override ContentType="application/vnd.openxmlformats-officedocument.spreadsheetml.worksheet+xml" PartName="/xl/worksheets/sheet3976.xml"/>
  <Override ContentType="application/vnd.openxmlformats-officedocument.spreadsheetml.worksheet+xml" PartName="/xl/worksheets/sheet3977.xml"/>
  <Override ContentType="application/vnd.openxmlformats-officedocument.spreadsheetml.worksheet+xml" PartName="/xl/worksheets/sheet3978.xml"/>
  <Override ContentType="application/vnd.openxmlformats-officedocument.spreadsheetml.worksheet+xml" PartName="/xl/worksheets/sheet3979.xml"/>
  <Override ContentType="application/vnd.openxmlformats-officedocument.spreadsheetml.worksheet+xml" PartName="/xl/worksheets/sheet3980.xml"/>
  <Override ContentType="application/vnd.openxmlformats-officedocument.spreadsheetml.worksheet+xml" PartName="/xl/worksheets/sheet3981.xml"/>
  <Override ContentType="application/vnd.openxmlformats-officedocument.spreadsheetml.worksheet+xml" PartName="/xl/worksheets/sheet3982.xml"/>
  <Override ContentType="application/vnd.openxmlformats-officedocument.spreadsheetml.worksheet+xml" PartName="/xl/worksheets/sheet3983.xml"/>
  <Override ContentType="application/vnd.openxmlformats-officedocument.spreadsheetml.worksheet+xml" PartName="/xl/worksheets/sheet3984.xml"/>
  <Override ContentType="application/vnd.openxmlformats-officedocument.spreadsheetml.worksheet+xml" PartName="/xl/worksheets/sheet3985.xml"/>
  <Override ContentType="application/vnd.openxmlformats-officedocument.spreadsheetml.worksheet+xml" PartName="/xl/worksheets/sheet3986.xml"/>
  <Override ContentType="application/vnd.openxmlformats-officedocument.spreadsheetml.worksheet+xml" PartName="/xl/worksheets/sheet3987.xml"/>
  <Override ContentType="application/vnd.openxmlformats-officedocument.spreadsheetml.worksheet+xml" PartName="/xl/worksheets/sheet3988.xml"/>
  <Override ContentType="application/vnd.openxmlformats-officedocument.spreadsheetml.worksheet+xml" PartName="/xl/worksheets/sheet3989.xml"/>
  <Override ContentType="application/vnd.openxmlformats-officedocument.spreadsheetml.worksheet+xml" PartName="/xl/worksheets/sheet3990.xml"/>
  <Override ContentType="application/vnd.openxmlformats-officedocument.spreadsheetml.worksheet+xml" PartName="/xl/worksheets/sheet3991.xml"/>
  <Override ContentType="application/vnd.openxmlformats-officedocument.spreadsheetml.worksheet+xml" PartName="/xl/worksheets/sheet3992.xml"/>
  <Override ContentType="application/vnd.openxmlformats-officedocument.spreadsheetml.worksheet+xml" PartName="/xl/worksheets/sheet3993.xml"/>
  <Override ContentType="application/vnd.openxmlformats-officedocument.spreadsheetml.worksheet+xml" PartName="/xl/worksheets/sheet3994.xml"/>
  <Override ContentType="application/vnd.openxmlformats-officedocument.spreadsheetml.worksheet+xml" PartName="/xl/worksheets/sheet3995.xml"/>
  <Override ContentType="application/vnd.openxmlformats-officedocument.spreadsheetml.worksheet+xml" PartName="/xl/worksheets/sheet3996.xml"/>
  <Override ContentType="application/vnd.openxmlformats-officedocument.spreadsheetml.worksheet+xml" PartName="/xl/worksheets/sheet3997.xml"/>
  <Override ContentType="application/vnd.openxmlformats-officedocument.spreadsheetml.worksheet+xml" PartName="/xl/worksheets/sheet3998.xml"/>
  <Override ContentType="application/vnd.openxmlformats-officedocument.spreadsheetml.worksheet+xml" PartName="/xl/worksheets/sheet3999.xml"/>
  <Override ContentType="application/vnd.openxmlformats-officedocument.spreadsheetml.worksheet+xml" PartName="/xl/worksheets/sheet4000.xml"/>
  <Override ContentType="application/vnd.openxmlformats-officedocument.spreadsheetml.worksheet+xml" PartName="/xl/worksheets/sheet4001.xml"/>
  <Override ContentType="application/vnd.openxmlformats-officedocument.spreadsheetml.worksheet+xml" PartName="/xl/worksheets/sheet4002.xml"/>
  <Override ContentType="application/vnd.openxmlformats-officedocument.spreadsheetml.worksheet+xml" PartName="/xl/worksheets/sheet4003.xml"/>
  <Override ContentType="application/vnd.openxmlformats-officedocument.spreadsheetml.worksheet+xml" PartName="/xl/worksheets/sheet4004.xml"/>
  <Override ContentType="application/vnd.openxmlformats-officedocument.spreadsheetml.worksheet+xml" PartName="/xl/worksheets/sheet4005.xml"/>
  <Override ContentType="application/vnd.openxmlformats-officedocument.spreadsheetml.worksheet+xml" PartName="/xl/worksheets/sheet4006.xml"/>
  <Override ContentType="application/vnd.openxmlformats-officedocument.spreadsheetml.worksheet+xml" PartName="/xl/worksheets/sheet4007.xml"/>
  <Override ContentType="application/vnd.openxmlformats-officedocument.spreadsheetml.worksheet+xml" PartName="/xl/worksheets/sheet4008.xml"/>
  <Override ContentType="application/vnd.openxmlformats-officedocument.spreadsheetml.worksheet+xml" PartName="/xl/worksheets/sheet4009.xml"/>
  <Override ContentType="application/vnd.openxmlformats-officedocument.spreadsheetml.worksheet+xml" PartName="/xl/worksheets/sheet4010.xml"/>
  <Override ContentType="application/vnd.openxmlformats-officedocument.spreadsheetml.worksheet+xml" PartName="/xl/worksheets/sheet4011.xml"/>
  <Override ContentType="application/vnd.openxmlformats-officedocument.spreadsheetml.worksheet+xml" PartName="/xl/worksheets/sheet4012.xml"/>
  <Override ContentType="application/vnd.openxmlformats-officedocument.spreadsheetml.worksheet+xml" PartName="/xl/worksheets/sheet4013.xml"/>
  <Override ContentType="application/vnd.openxmlformats-officedocument.spreadsheetml.worksheet+xml" PartName="/xl/worksheets/sheet4014.xml"/>
  <Override ContentType="application/vnd.openxmlformats-officedocument.spreadsheetml.worksheet+xml" PartName="/xl/worksheets/sheet4015.xml"/>
  <Override ContentType="application/vnd.openxmlformats-officedocument.spreadsheetml.worksheet+xml" PartName="/xl/worksheets/sheet4016.xml"/>
  <Override ContentType="application/vnd.openxmlformats-officedocument.spreadsheetml.worksheet+xml" PartName="/xl/worksheets/sheet4017.xml"/>
  <Override ContentType="application/vnd.openxmlformats-officedocument.spreadsheetml.worksheet+xml" PartName="/xl/worksheets/sheet4018.xml"/>
  <Override ContentType="application/vnd.openxmlformats-officedocument.spreadsheetml.worksheet+xml" PartName="/xl/worksheets/sheet4019.xml"/>
  <Override ContentType="application/vnd.openxmlformats-officedocument.spreadsheetml.worksheet+xml" PartName="/xl/worksheets/sheet4020.xml"/>
  <Override ContentType="application/vnd.openxmlformats-officedocument.spreadsheetml.worksheet+xml" PartName="/xl/worksheets/sheet4021.xml"/>
  <Override ContentType="application/vnd.openxmlformats-officedocument.spreadsheetml.worksheet+xml" PartName="/xl/worksheets/sheet4022.xml"/>
  <Override ContentType="application/vnd.openxmlformats-officedocument.spreadsheetml.worksheet+xml" PartName="/xl/worksheets/sheet4023.xml"/>
  <Override ContentType="application/vnd.openxmlformats-officedocument.spreadsheetml.worksheet+xml" PartName="/xl/worksheets/sheet4024.xml"/>
  <Override ContentType="application/vnd.openxmlformats-officedocument.spreadsheetml.worksheet+xml" PartName="/xl/worksheets/sheet4025.xml"/>
  <Override ContentType="application/vnd.openxmlformats-officedocument.spreadsheetml.worksheet+xml" PartName="/xl/worksheets/sheet4026.xml"/>
  <Override ContentType="application/vnd.openxmlformats-officedocument.spreadsheetml.worksheet+xml" PartName="/xl/worksheets/sheet4027.xml"/>
  <Override ContentType="application/vnd.openxmlformats-officedocument.spreadsheetml.worksheet+xml" PartName="/xl/worksheets/sheet4028.xml"/>
  <Override ContentType="application/vnd.openxmlformats-officedocument.spreadsheetml.worksheet+xml" PartName="/xl/worksheets/sheet4029.xml"/>
  <Override ContentType="application/vnd.openxmlformats-officedocument.spreadsheetml.worksheet+xml" PartName="/xl/worksheets/sheet4030.xml"/>
  <Override ContentType="application/vnd.openxmlformats-officedocument.spreadsheetml.worksheet+xml" PartName="/xl/worksheets/sheet4031.xml"/>
  <Override ContentType="application/vnd.openxmlformats-officedocument.spreadsheetml.worksheet+xml" PartName="/xl/worksheets/sheet4032.xml"/>
  <Override ContentType="application/vnd.openxmlformats-officedocument.spreadsheetml.worksheet+xml" PartName="/xl/worksheets/sheet4033.xml"/>
  <Override ContentType="application/vnd.openxmlformats-officedocument.spreadsheetml.worksheet+xml" PartName="/xl/worksheets/sheet4034.xml"/>
  <Override ContentType="application/vnd.openxmlformats-officedocument.spreadsheetml.worksheet+xml" PartName="/xl/worksheets/sheet4035.xml"/>
  <Override ContentType="application/vnd.openxmlformats-officedocument.spreadsheetml.worksheet+xml" PartName="/xl/worksheets/sheet4036.xml"/>
  <Override ContentType="application/vnd.openxmlformats-officedocument.spreadsheetml.worksheet+xml" PartName="/xl/worksheets/sheet4037.xml"/>
  <Override ContentType="application/vnd.openxmlformats-officedocument.spreadsheetml.worksheet+xml" PartName="/xl/worksheets/sheet4038.xml"/>
  <Override ContentType="application/vnd.openxmlformats-officedocument.spreadsheetml.worksheet+xml" PartName="/xl/worksheets/sheet4039.xml"/>
  <Override ContentType="application/vnd.openxmlformats-officedocument.spreadsheetml.worksheet+xml" PartName="/xl/worksheets/sheet4040.xml"/>
  <Override ContentType="application/vnd.openxmlformats-officedocument.spreadsheetml.worksheet+xml" PartName="/xl/worksheets/sheet4041.xml"/>
  <Override ContentType="application/vnd.openxmlformats-officedocument.spreadsheetml.worksheet+xml" PartName="/xl/worksheets/sheet4042.xml"/>
  <Override ContentType="application/vnd.openxmlformats-officedocument.spreadsheetml.worksheet+xml" PartName="/xl/worksheets/sheet4043.xml"/>
  <Override ContentType="application/vnd.openxmlformats-officedocument.spreadsheetml.worksheet+xml" PartName="/xl/worksheets/sheet4044.xml"/>
  <Override ContentType="application/vnd.openxmlformats-officedocument.spreadsheetml.worksheet+xml" PartName="/xl/worksheets/sheet4045.xml"/>
  <Override ContentType="application/vnd.openxmlformats-officedocument.spreadsheetml.worksheet+xml" PartName="/xl/worksheets/sheet4046.xml"/>
  <Override ContentType="application/vnd.openxmlformats-officedocument.spreadsheetml.worksheet+xml" PartName="/xl/worksheets/sheet4047.xml"/>
  <Override ContentType="application/vnd.openxmlformats-officedocument.spreadsheetml.worksheet+xml" PartName="/xl/worksheets/sheet4048.xml"/>
  <Override ContentType="application/vnd.openxmlformats-officedocument.spreadsheetml.worksheet+xml" PartName="/xl/worksheets/sheet4049.xml"/>
  <Override ContentType="application/vnd.openxmlformats-officedocument.spreadsheetml.worksheet+xml" PartName="/xl/worksheets/sheet4050.xml"/>
  <Override ContentType="application/vnd.openxmlformats-officedocument.spreadsheetml.worksheet+xml" PartName="/xl/worksheets/sheet4051.xml"/>
  <Override ContentType="application/vnd.openxmlformats-officedocument.spreadsheetml.worksheet+xml" PartName="/xl/worksheets/sheet4052.xml"/>
  <Override ContentType="application/vnd.openxmlformats-officedocument.spreadsheetml.worksheet+xml" PartName="/xl/worksheets/sheet4053.xml"/>
  <Override ContentType="application/vnd.openxmlformats-officedocument.spreadsheetml.worksheet+xml" PartName="/xl/worksheets/sheet4054.xml"/>
  <Override ContentType="application/vnd.openxmlformats-officedocument.spreadsheetml.worksheet+xml" PartName="/xl/worksheets/sheet4055.xml"/>
  <Override ContentType="application/vnd.openxmlformats-officedocument.spreadsheetml.worksheet+xml" PartName="/xl/worksheets/sheet4056.xml"/>
  <Override ContentType="application/vnd.openxmlformats-officedocument.spreadsheetml.worksheet+xml" PartName="/xl/worksheets/sheet4057.xml"/>
  <Override ContentType="application/vnd.openxmlformats-officedocument.spreadsheetml.worksheet+xml" PartName="/xl/worksheets/sheet4058.xml"/>
  <Override ContentType="application/vnd.openxmlformats-officedocument.spreadsheetml.worksheet+xml" PartName="/xl/worksheets/sheet4059.xml"/>
  <Override ContentType="application/vnd.openxmlformats-officedocument.spreadsheetml.worksheet+xml" PartName="/xl/worksheets/sheet4060.xml"/>
  <Override ContentType="application/vnd.openxmlformats-officedocument.spreadsheetml.worksheet+xml" PartName="/xl/worksheets/sheet4061.xml"/>
  <Override ContentType="application/vnd.openxmlformats-officedocument.spreadsheetml.worksheet+xml" PartName="/xl/worksheets/sheet4062.xml"/>
  <Override ContentType="application/vnd.openxmlformats-officedocument.spreadsheetml.worksheet+xml" PartName="/xl/worksheets/sheet4063.xml"/>
  <Override ContentType="application/vnd.openxmlformats-officedocument.spreadsheetml.worksheet+xml" PartName="/xl/worksheets/sheet4064.xml"/>
  <Override ContentType="application/vnd.openxmlformats-officedocument.spreadsheetml.worksheet+xml" PartName="/xl/worksheets/sheet4065.xml"/>
  <Override ContentType="application/vnd.openxmlformats-officedocument.spreadsheetml.worksheet+xml" PartName="/xl/worksheets/sheet4066.xml"/>
  <Override ContentType="application/vnd.openxmlformats-officedocument.spreadsheetml.worksheet+xml" PartName="/xl/worksheets/sheet4067.xml"/>
  <Override ContentType="application/vnd.openxmlformats-officedocument.spreadsheetml.worksheet+xml" PartName="/xl/worksheets/sheet4068.xml"/>
  <Override ContentType="application/vnd.openxmlformats-officedocument.spreadsheetml.worksheet+xml" PartName="/xl/worksheets/sheet4069.xml"/>
  <Override ContentType="application/vnd.openxmlformats-officedocument.spreadsheetml.worksheet+xml" PartName="/xl/worksheets/sheet4070.xml"/>
  <Override ContentType="application/vnd.openxmlformats-officedocument.spreadsheetml.worksheet+xml" PartName="/xl/worksheets/sheet4071.xml"/>
  <Override ContentType="application/vnd.openxmlformats-officedocument.spreadsheetml.worksheet+xml" PartName="/xl/worksheets/sheet4072.xml"/>
  <Override ContentType="application/vnd.openxmlformats-officedocument.spreadsheetml.worksheet+xml" PartName="/xl/worksheets/sheet4073.xml"/>
  <Override ContentType="application/vnd.openxmlformats-officedocument.spreadsheetml.worksheet+xml" PartName="/xl/worksheets/sheet4074.xml"/>
  <Override ContentType="application/vnd.openxmlformats-officedocument.spreadsheetml.worksheet+xml" PartName="/xl/worksheets/sheet4075.xml"/>
  <Override ContentType="application/vnd.openxmlformats-officedocument.spreadsheetml.worksheet+xml" PartName="/xl/worksheets/sheet4076.xml"/>
  <Override ContentType="application/vnd.openxmlformats-officedocument.spreadsheetml.worksheet+xml" PartName="/xl/worksheets/sheet4077.xml"/>
  <Override ContentType="application/vnd.openxmlformats-officedocument.spreadsheetml.worksheet+xml" PartName="/xl/worksheets/sheet4078.xml"/>
  <Override ContentType="application/vnd.openxmlformats-officedocument.spreadsheetml.worksheet+xml" PartName="/xl/worksheets/sheet4079.xml"/>
  <Override ContentType="application/vnd.openxmlformats-officedocument.spreadsheetml.worksheet+xml" PartName="/xl/worksheets/sheet4080.xml"/>
  <Override ContentType="application/vnd.openxmlformats-officedocument.spreadsheetml.worksheet+xml" PartName="/xl/worksheets/sheet4081.xml"/>
  <Override ContentType="application/vnd.openxmlformats-officedocument.spreadsheetml.worksheet+xml" PartName="/xl/worksheets/sheet4082.xml"/>
  <Override ContentType="application/vnd.openxmlformats-officedocument.spreadsheetml.worksheet+xml" PartName="/xl/worksheets/sheet4083.xml"/>
  <Override ContentType="application/vnd.openxmlformats-officedocument.spreadsheetml.worksheet+xml" PartName="/xl/worksheets/sheet4084.xml"/>
  <Override ContentType="application/vnd.openxmlformats-officedocument.spreadsheetml.worksheet+xml" PartName="/xl/worksheets/sheet4085.xml"/>
  <Override ContentType="application/vnd.openxmlformats-officedocument.spreadsheetml.worksheet+xml" PartName="/xl/worksheets/sheet4086.xml"/>
  <Override ContentType="application/vnd.openxmlformats-officedocument.spreadsheetml.worksheet+xml" PartName="/xl/worksheets/sheet4087.xml"/>
  <Override ContentType="application/vnd.openxmlformats-officedocument.spreadsheetml.worksheet+xml" PartName="/xl/worksheets/sheet4088.xml"/>
  <Override ContentType="application/vnd.openxmlformats-officedocument.spreadsheetml.worksheet+xml" PartName="/xl/worksheets/sheet4089.xml"/>
  <Override ContentType="application/vnd.openxmlformats-officedocument.spreadsheetml.worksheet+xml" PartName="/xl/worksheets/sheet4090.xml"/>
  <Override ContentType="application/vnd.openxmlformats-officedocument.spreadsheetml.worksheet+xml" PartName="/xl/worksheets/sheet4091.xml"/>
  <Override ContentType="application/vnd.openxmlformats-officedocument.spreadsheetml.worksheet+xml" PartName="/xl/worksheets/sheet4092.xml"/>
  <Override ContentType="application/vnd.openxmlformats-officedocument.spreadsheetml.worksheet+xml" PartName="/xl/worksheets/sheet4093.xml"/>
  <Override ContentType="application/vnd.openxmlformats-officedocument.spreadsheetml.worksheet+xml" PartName="/xl/worksheets/sheet4094.xml"/>
  <Override ContentType="application/vnd.openxmlformats-officedocument.spreadsheetml.worksheet+xml" PartName="/xl/worksheets/sheet4095.xml"/>
  <Override ContentType="application/vnd.openxmlformats-officedocument.spreadsheetml.worksheet+xml" PartName="/xl/worksheets/sheet4096.xml"/>
  <Override ContentType="application/vnd.openxmlformats-officedocument.spreadsheetml.worksheet+xml" PartName="/xl/worksheets/sheet4097.xml"/>
  <Override ContentType="application/vnd.openxmlformats-officedocument.spreadsheetml.worksheet+xml" PartName="/xl/worksheets/sheet4098.xml"/>
  <Override ContentType="application/vnd.openxmlformats-officedocument.spreadsheetml.worksheet+xml" PartName="/xl/worksheets/sheet4099.xml"/>
  <Override ContentType="application/vnd.openxmlformats-officedocument.spreadsheetml.worksheet+xml" PartName="/xl/worksheets/sheet4100.xml"/>
  <Override ContentType="application/vnd.openxmlformats-officedocument.spreadsheetml.worksheet+xml" PartName="/xl/worksheets/sheet4101.xml"/>
  <Override ContentType="application/vnd.openxmlformats-officedocument.spreadsheetml.worksheet+xml" PartName="/xl/worksheets/sheet4102.xml"/>
  <Override ContentType="application/vnd.openxmlformats-officedocument.spreadsheetml.worksheet+xml" PartName="/xl/worksheets/sheet4103.xml"/>
  <Override ContentType="application/vnd.openxmlformats-officedocument.spreadsheetml.worksheet+xml" PartName="/xl/worksheets/sheet4104.xml"/>
  <Override ContentType="application/vnd.openxmlformats-officedocument.spreadsheetml.worksheet+xml" PartName="/xl/worksheets/sheet4105.xml"/>
  <Override ContentType="application/vnd.openxmlformats-officedocument.spreadsheetml.worksheet+xml" PartName="/xl/worksheets/sheet4106.xml"/>
  <Override ContentType="application/vnd.openxmlformats-officedocument.spreadsheetml.worksheet+xml" PartName="/xl/worksheets/sheet4107.xml"/>
  <Override ContentType="application/vnd.openxmlformats-officedocument.spreadsheetml.worksheet+xml" PartName="/xl/worksheets/sheet4108.xml"/>
  <Override ContentType="application/vnd.openxmlformats-officedocument.spreadsheetml.worksheet+xml" PartName="/xl/worksheets/sheet4109.xml"/>
  <Override ContentType="application/vnd.openxmlformats-officedocument.spreadsheetml.worksheet+xml" PartName="/xl/worksheets/sheet4110.xml"/>
  <Override ContentType="application/vnd.openxmlformats-officedocument.spreadsheetml.worksheet+xml" PartName="/xl/worksheets/sheet4111.xml"/>
  <Override ContentType="application/vnd.openxmlformats-officedocument.spreadsheetml.worksheet+xml" PartName="/xl/worksheets/sheet4112.xml"/>
  <Override ContentType="application/vnd.openxmlformats-officedocument.spreadsheetml.worksheet+xml" PartName="/xl/worksheets/sheet4113.xml"/>
  <Override ContentType="application/vnd.openxmlformats-officedocument.spreadsheetml.worksheet+xml" PartName="/xl/worksheets/sheet4114.xml"/>
  <Override ContentType="application/vnd.openxmlformats-officedocument.spreadsheetml.worksheet+xml" PartName="/xl/worksheets/sheet4115.xml"/>
  <Override ContentType="application/vnd.openxmlformats-officedocument.spreadsheetml.worksheet+xml" PartName="/xl/worksheets/sheet4116.xml"/>
  <Override ContentType="application/vnd.openxmlformats-officedocument.spreadsheetml.worksheet+xml" PartName="/xl/worksheets/sheet4117.xml"/>
  <Override ContentType="application/vnd.openxmlformats-officedocument.spreadsheetml.worksheet+xml" PartName="/xl/worksheets/sheet4118.xml"/>
  <Override ContentType="application/vnd.openxmlformats-officedocument.spreadsheetml.worksheet+xml" PartName="/xl/worksheets/sheet4119.xml"/>
  <Override ContentType="application/vnd.openxmlformats-officedocument.spreadsheetml.worksheet+xml" PartName="/xl/worksheets/sheet4120.xml"/>
  <Override ContentType="application/vnd.openxmlformats-officedocument.spreadsheetml.worksheet+xml" PartName="/xl/worksheets/sheet4121.xml"/>
  <Override ContentType="application/vnd.openxmlformats-officedocument.spreadsheetml.worksheet+xml" PartName="/xl/worksheets/sheet4122.xml"/>
  <Override ContentType="application/vnd.openxmlformats-officedocument.spreadsheetml.worksheet+xml" PartName="/xl/worksheets/sheet4123.xml"/>
  <Override ContentType="application/vnd.openxmlformats-officedocument.spreadsheetml.worksheet+xml" PartName="/xl/worksheets/sheet4124.xml"/>
  <Override ContentType="application/vnd.openxmlformats-officedocument.spreadsheetml.worksheet+xml" PartName="/xl/worksheets/sheet4125.xml"/>
  <Override ContentType="application/vnd.openxmlformats-officedocument.spreadsheetml.worksheet+xml" PartName="/xl/worksheets/sheet4126.xml"/>
  <Override ContentType="application/vnd.openxmlformats-officedocument.spreadsheetml.worksheet+xml" PartName="/xl/worksheets/sheet4127.xml"/>
  <Override ContentType="application/vnd.openxmlformats-officedocument.spreadsheetml.worksheet+xml" PartName="/xl/worksheets/sheet4128.xml"/>
  <Override ContentType="application/vnd.openxmlformats-officedocument.spreadsheetml.worksheet+xml" PartName="/xl/worksheets/sheet4129.xml"/>
  <Override ContentType="application/vnd.openxmlformats-officedocument.spreadsheetml.worksheet+xml" PartName="/xl/worksheets/sheet4130.xml"/>
  <Override ContentType="application/vnd.openxmlformats-officedocument.spreadsheetml.worksheet+xml" PartName="/xl/worksheets/sheet4131.xml"/>
  <Override ContentType="application/vnd.openxmlformats-officedocument.spreadsheetml.worksheet+xml" PartName="/xl/worksheets/sheet4132.xml"/>
  <Override ContentType="application/vnd.openxmlformats-officedocument.spreadsheetml.worksheet+xml" PartName="/xl/worksheets/sheet4133.xml"/>
  <Override ContentType="application/vnd.openxmlformats-officedocument.spreadsheetml.worksheet+xml" PartName="/xl/worksheets/sheet4134.xml"/>
  <Override ContentType="application/vnd.openxmlformats-officedocument.spreadsheetml.worksheet+xml" PartName="/xl/worksheets/sheet4135.xml"/>
  <Override ContentType="application/vnd.openxmlformats-officedocument.spreadsheetml.worksheet+xml" PartName="/xl/worksheets/sheet4136.xml"/>
  <Override ContentType="application/vnd.openxmlformats-officedocument.spreadsheetml.worksheet+xml" PartName="/xl/worksheets/sheet4137.xml"/>
  <Override ContentType="application/vnd.openxmlformats-officedocument.spreadsheetml.worksheet+xml" PartName="/xl/worksheets/sheet4138.xml"/>
  <Override ContentType="application/vnd.openxmlformats-officedocument.spreadsheetml.worksheet+xml" PartName="/xl/worksheets/sheet4139.xml"/>
  <Override ContentType="application/vnd.openxmlformats-officedocument.spreadsheetml.worksheet+xml" PartName="/xl/worksheets/sheet4140.xml"/>
  <Override ContentType="application/vnd.openxmlformats-officedocument.spreadsheetml.worksheet+xml" PartName="/xl/worksheets/sheet4141.xml"/>
  <Override ContentType="application/vnd.openxmlformats-officedocument.spreadsheetml.worksheet+xml" PartName="/xl/worksheets/sheet4142.xml"/>
  <Override ContentType="application/vnd.openxmlformats-officedocument.spreadsheetml.worksheet+xml" PartName="/xl/worksheets/sheet4143.xml"/>
  <Override ContentType="application/vnd.openxmlformats-officedocument.spreadsheetml.worksheet+xml" PartName="/xl/worksheets/sheet4144.xml"/>
  <Override ContentType="application/vnd.openxmlformats-officedocument.spreadsheetml.worksheet+xml" PartName="/xl/worksheets/sheet4145.xml"/>
  <Override ContentType="application/vnd.openxmlformats-officedocument.spreadsheetml.worksheet+xml" PartName="/xl/worksheets/sheet4146.xml"/>
  <Override ContentType="application/vnd.openxmlformats-officedocument.spreadsheetml.worksheet+xml" PartName="/xl/worksheets/sheet4147.xml"/>
  <Override ContentType="application/vnd.openxmlformats-officedocument.spreadsheetml.worksheet+xml" PartName="/xl/worksheets/sheet4148.xml"/>
  <Override ContentType="application/vnd.openxmlformats-officedocument.spreadsheetml.worksheet+xml" PartName="/xl/worksheets/sheet4149.xml"/>
  <Override ContentType="application/vnd.openxmlformats-officedocument.spreadsheetml.worksheet+xml" PartName="/xl/worksheets/sheet4150.xml"/>
  <Override ContentType="application/vnd.openxmlformats-officedocument.spreadsheetml.worksheet+xml" PartName="/xl/worksheets/sheet4151.xml"/>
  <Override ContentType="application/vnd.openxmlformats-officedocument.spreadsheetml.worksheet+xml" PartName="/xl/worksheets/sheet4152.xml"/>
  <Override ContentType="application/vnd.openxmlformats-officedocument.spreadsheetml.worksheet+xml" PartName="/xl/worksheets/sheet4153.xml"/>
  <Override ContentType="application/vnd.openxmlformats-officedocument.spreadsheetml.worksheet+xml" PartName="/xl/worksheets/sheet4154.xml"/>
  <Override ContentType="application/vnd.openxmlformats-officedocument.spreadsheetml.worksheet+xml" PartName="/xl/worksheets/sheet4155.xml"/>
  <Override ContentType="application/vnd.openxmlformats-officedocument.spreadsheetml.worksheet+xml" PartName="/xl/worksheets/sheet4156.xml"/>
  <Override ContentType="application/vnd.openxmlformats-officedocument.spreadsheetml.worksheet+xml" PartName="/xl/worksheets/sheet4157.xml"/>
  <Override ContentType="application/vnd.openxmlformats-officedocument.spreadsheetml.worksheet+xml" PartName="/xl/worksheets/sheet4158.xml"/>
  <Override ContentType="application/vnd.openxmlformats-officedocument.spreadsheetml.worksheet+xml" PartName="/xl/worksheets/sheet4159.xml"/>
  <Override ContentType="application/vnd.openxmlformats-officedocument.spreadsheetml.worksheet+xml" PartName="/xl/worksheets/sheet4160.xml"/>
  <Override ContentType="application/vnd.openxmlformats-officedocument.spreadsheetml.worksheet+xml" PartName="/xl/worksheets/sheet4161.xml"/>
  <Override ContentType="application/vnd.openxmlformats-officedocument.spreadsheetml.worksheet+xml" PartName="/xl/worksheets/sheet4162.xml"/>
  <Override ContentType="application/vnd.openxmlformats-officedocument.spreadsheetml.worksheet+xml" PartName="/xl/worksheets/sheet4163.xml"/>
  <Override ContentType="application/vnd.openxmlformats-officedocument.spreadsheetml.worksheet+xml" PartName="/xl/worksheets/sheet4164.xml"/>
  <Override ContentType="application/vnd.openxmlformats-officedocument.spreadsheetml.worksheet+xml" PartName="/xl/worksheets/sheet4165.xml"/>
  <Override ContentType="application/vnd.openxmlformats-officedocument.spreadsheetml.worksheet+xml" PartName="/xl/worksheets/sheet4166.xml"/>
  <Override ContentType="application/vnd.openxmlformats-officedocument.spreadsheetml.worksheet+xml" PartName="/xl/worksheets/sheet4167.xml"/>
  <Override ContentType="application/vnd.openxmlformats-officedocument.spreadsheetml.worksheet+xml" PartName="/xl/worksheets/sheet4168.xml"/>
  <Override ContentType="application/vnd.openxmlformats-officedocument.spreadsheetml.worksheet+xml" PartName="/xl/worksheets/sheet4169.xml"/>
  <Override ContentType="application/vnd.openxmlformats-officedocument.spreadsheetml.worksheet+xml" PartName="/xl/worksheets/sheet4170.xml"/>
  <Override ContentType="application/vnd.openxmlformats-officedocument.spreadsheetml.worksheet+xml" PartName="/xl/worksheets/sheet4171.xml"/>
  <Override ContentType="application/vnd.openxmlformats-officedocument.spreadsheetml.worksheet+xml" PartName="/xl/worksheets/sheet4172.xml"/>
  <Override ContentType="application/vnd.openxmlformats-officedocument.spreadsheetml.worksheet+xml" PartName="/xl/worksheets/sheet4173.xml"/>
  <Override ContentType="application/vnd.openxmlformats-officedocument.spreadsheetml.worksheet+xml" PartName="/xl/worksheets/sheet4174.xml"/>
  <Override ContentType="application/vnd.openxmlformats-officedocument.spreadsheetml.worksheet+xml" PartName="/xl/worksheets/sheet4175.xml"/>
  <Override ContentType="application/vnd.openxmlformats-officedocument.spreadsheetml.worksheet+xml" PartName="/xl/worksheets/sheet4176.xml"/>
  <Override ContentType="application/vnd.openxmlformats-officedocument.spreadsheetml.worksheet+xml" PartName="/xl/worksheets/sheet4177.xml"/>
  <Override ContentType="application/vnd.openxmlformats-officedocument.spreadsheetml.worksheet+xml" PartName="/xl/worksheets/sheet4178.xml"/>
  <Override ContentType="application/vnd.openxmlformats-officedocument.spreadsheetml.worksheet+xml" PartName="/xl/worksheets/sheet4179.xml"/>
  <Override ContentType="application/vnd.openxmlformats-officedocument.spreadsheetml.worksheet+xml" PartName="/xl/worksheets/sheet4180.xml"/>
  <Override ContentType="application/vnd.openxmlformats-officedocument.spreadsheetml.worksheet+xml" PartName="/xl/worksheets/sheet4181.xml"/>
  <Override ContentType="application/vnd.openxmlformats-officedocument.spreadsheetml.worksheet+xml" PartName="/xl/worksheets/sheet4182.xml"/>
  <Override ContentType="application/vnd.openxmlformats-officedocument.spreadsheetml.worksheet+xml" PartName="/xl/worksheets/sheet4183.xml"/>
  <Override ContentType="application/vnd.openxmlformats-officedocument.spreadsheetml.worksheet+xml" PartName="/xl/worksheets/sheet4184.xml"/>
  <Override ContentType="application/vnd.openxmlformats-officedocument.spreadsheetml.worksheet+xml" PartName="/xl/worksheets/sheet4185.xml"/>
  <Override ContentType="application/vnd.openxmlformats-officedocument.spreadsheetml.worksheet+xml" PartName="/xl/worksheets/sheet4186.xml"/>
  <Override ContentType="application/vnd.openxmlformats-officedocument.spreadsheetml.worksheet+xml" PartName="/xl/worksheets/sheet4187.xml"/>
  <Override ContentType="application/vnd.openxmlformats-officedocument.spreadsheetml.worksheet+xml" PartName="/xl/worksheets/sheet4188.xml"/>
  <Override ContentType="application/vnd.openxmlformats-officedocument.spreadsheetml.worksheet+xml" PartName="/xl/worksheets/sheet4189.xml"/>
  <Override ContentType="application/vnd.openxmlformats-officedocument.spreadsheetml.worksheet+xml" PartName="/xl/worksheets/sheet4190.xml"/>
  <Override ContentType="application/vnd.openxmlformats-officedocument.spreadsheetml.worksheet+xml" PartName="/xl/worksheets/sheet4191.xml"/>
  <Override ContentType="application/vnd.openxmlformats-officedocument.spreadsheetml.worksheet+xml" PartName="/xl/worksheets/sheet4192.xml"/>
  <Override ContentType="application/vnd.openxmlformats-officedocument.spreadsheetml.worksheet+xml" PartName="/xl/worksheets/sheet4193.xml"/>
  <Override ContentType="application/vnd.openxmlformats-officedocument.spreadsheetml.worksheet+xml" PartName="/xl/worksheets/sheet4194.xml"/>
  <Override ContentType="application/vnd.openxmlformats-officedocument.spreadsheetml.worksheet+xml" PartName="/xl/worksheets/sheet4195.xml"/>
  <Override ContentType="application/vnd.openxmlformats-officedocument.spreadsheetml.worksheet+xml" PartName="/xl/worksheets/sheet4196.xml"/>
  <Override ContentType="application/vnd.openxmlformats-officedocument.spreadsheetml.worksheet+xml" PartName="/xl/worksheets/sheet4197.xml"/>
  <Override ContentType="application/vnd.openxmlformats-officedocument.spreadsheetml.worksheet+xml" PartName="/xl/worksheets/sheet4198.xml"/>
  <Override ContentType="application/vnd.openxmlformats-officedocument.spreadsheetml.worksheet+xml" PartName="/xl/worksheets/sheet4199.xml"/>
  <Override ContentType="application/vnd.openxmlformats-officedocument.spreadsheetml.worksheet+xml" PartName="/xl/worksheets/sheet4200.xml"/>
  <Override ContentType="application/vnd.openxmlformats-officedocument.spreadsheetml.worksheet+xml" PartName="/xl/worksheets/sheet4201.xml"/>
  <Override ContentType="application/vnd.openxmlformats-officedocument.spreadsheetml.worksheet+xml" PartName="/xl/worksheets/sheet4202.xml"/>
  <Override ContentType="application/vnd.openxmlformats-officedocument.spreadsheetml.worksheet+xml" PartName="/xl/worksheets/sheet4203.xml"/>
  <Override ContentType="application/vnd.openxmlformats-officedocument.spreadsheetml.worksheet+xml" PartName="/xl/worksheets/sheet4204.xml"/>
  <Override ContentType="application/vnd.openxmlformats-officedocument.spreadsheetml.worksheet+xml" PartName="/xl/worksheets/sheet4205.xml"/>
  <Override ContentType="application/vnd.openxmlformats-officedocument.spreadsheetml.worksheet+xml" PartName="/xl/worksheets/sheet4206.xml"/>
  <Override ContentType="application/vnd.openxmlformats-officedocument.spreadsheetml.worksheet+xml" PartName="/xl/worksheets/sheet4207.xml"/>
  <Override ContentType="application/vnd.openxmlformats-officedocument.spreadsheetml.worksheet+xml" PartName="/xl/worksheets/sheet4208.xml"/>
  <Override ContentType="application/vnd.openxmlformats-officedocument.spreadsheetml.worksheet+xml" PartName="/xl/worksheets/sheet4209.xml"/>
  <Override ContentType="application/vnd.openxmlformats-officedocument.spreadsheetml.worksheet+xml" PartName="/xl/worksheets/sheet4210.xml"/>
  <Override ContentType="application/vnd.openxmlformats-officedocument.spreadsheetml.worksheet+xml" PartName="/xl/worksheets/sheet4211.xml"/>
  <Override ContentType="application/vnd.openxmlformats-officedocument.spreadsheetml.worksheet+xml" PartName="/xl/worksheets/sheet4212.xml"/>
  <Override ContentType="application/vnd.openxmlformats-officedocument.spreadsheetml.worksheet+xml" PartName="/xl/worksheets/sheet4213.xml"/>
  <Override ContentType="application/vnd.openxmlformats-officedocument.spreadsheetml.worksheet+xml" PartName="/xl/worksheets/sheet4214.xml"/>
  <Override ContentType="application/vnd.openxmlformats-officedocument.spreadsheetml.worksheet+xml" PartName="/xl/worksheets/sheet4215.xml"/>
  <Override ContentType="application/vnd.openxmlformats-officedocument.spreadsheetml.worksheet+xml" PartName="/xl/worksheets/sheet4216.xml"/>
  <Override ContentType="application/vnd.openxmlformats-officedocument.spreadsheetml.worksheet+xml" PartName="/xl/worksheets/sheet4217.xml"/>
  <Override ContentType="application/vnd.openxmlformats-officedocument.spreadsheetml.worksheet+xml" PartName="/xl/worksheets/sheet4218.xml"/>
  <Override ContentType="application/vnd.openxmlformats-officedocument.spreadsheetml.worksheet+xml" PartName="/xl/worksheets/sheet4219.xml"/>
  <Override ContentType="application/vnd.openxmlformats-officedocument.spreadsheetml.worksheet+xml" PartName="/xl/worksheets/sheet4220.xml"/>
  <Override ContentType="application/vnd.openxmlformats-officedocument.spreadsheetml.worksheet+xml" PartName="/xl/worksheets/sheet4221.xml"/>
  <Override ContentType="application/vnd.openxmlformats-officedocument.spreadsheetml.worksheet+xml" PartName="/xl/worksheets/sheet4222.xml"/>
  <Override ContentType="application/vnd.openxmlformats-officedocument.spreadsheetml.worksheet+xml" PartName="/xl/worksheets/sheet4223.xml"/>
  <Override ContentType="application/vnd.openxmlformats-officedocument.spreadsheetml.worksheet+xml" PartName="/xl/worksheets/sheet4224.xml"/>
  <Override ContentType="application/vnd.openxmlformats-officedocument.spreadsheetml.worksheet+xml" PartName="/xl/worksheets/sheet4225.xml"/>
  <Override ContentType="application/vnd.openxmlformats-officedocument.spreadsheetml.worksheet+xml" PartName="/xl/worksheets/sheet4226.xml"/>
  <Override ContentType="application/vnd.openxmlformats-officedocument.spreadsheetml.worksheet+xml" PartName="/xl/worksheets/sheet4227.xml"/>
  <Override ContentType="application/vnd.openxmlformats-officedocument.spreadsheetml.worksheet+xml" PartName="/xl/worksheets/sheet4228.xml"/>
  <Override ContentType="application/vnd.openxmlformats-officedocument.spreadsheetml.worksheet+xml" PartName="/xl/worksheets/sheet4229.xml"/>
  <Override ContentType="application/vnd.openxmlformats-officedocument.spreadsheetml.worksheet+xml" PartName="/xl/worksheets/sheet4230.xml"/>
  <Override ContentType="application/vnd.openxmlformats-officedocument.spreadsheetml.worksheet+xml" PartName="/xl/worksheets/sheet4231.xml"/>
  <Override ContentType="application/vnd.openxmlformats-officedocument.spreadsheetml.worksheet+xml" PartName="/xl/worksheets/sheet4232.xml"/>
  <Override ContentType="application/vnd.openxmlformats-officedocument.spreadsheetml.worksheet+xml" PartName="/xl/worksheets/sheet4233.xml"/>
  <Override ContentType="application/vnd.openxmlformats-officedocument.spreadsheetml.worksheet+xml" PartName="/xl/worksheets/sheet4234.xml"/>
  <Override ContentType="application/vnd.openxmlformats-officedocument.spreadsheetml.worksheet+xml" PartName="/xl/worksheets/sheet4235.xml"/>
  <Override ContentType="application/vnd.openxmlformats-officedocument.spreadsheetml.worksheet+xml" PartName="/xl/worksheets/sheet4236.xml"/>
  <Override ContentType="application/vnd.openxmlformats-officedocument.spreadsheetml.worksheet+xml" PartName="/xl/worksheets/sheet4237.xml"/>
  <Override ContentType="application/vnd.openxmlformats-officedocument.spreadsheetml.worksheet+xml" PartName="/xl/worksheets/sheet4238.xml"/>
  <Override ContentType="application/vnd.openxmlformats-officedocument.spreadsheetml.worksheet+xml" PartName="/xl/worksheets/sheet4239.xml"/>
  <Override ContentType="application/vnd.openxmlformats-officedocument.spreadsheetml.worksheet+xml" PartName="/xl/worksheets/sheet4240.xml"/>
  <Override ContentType="application/vnd.openxmlformats-officedocument.spreadsheetml.worksheet+xml" PartName="/xl/worksheets/sheet4241.xml"/>
  <Override ContentType="application/vnd.openxmlformats-officedocument.spreadsheetml.worksheet+xml" PartName="/xl/worksheets/sheet4242.xml"/>
  <Override ContentType="application/vnd.openxmlformats-officedocument.spreadsheetml.worksheet+xml" PartName="/xl/worksheets/sheet4243.xml"/>
  <Override ContentType="application/vnd.openxmlformats-officedocument.spreadsheetml.worksheet+xml" PartName="/xl/worksheets/sheet4244.xml"/>
  <Override ContentType="application/vnd.openxmlformats-officedocument.spreadsheetml.worksheet+xml" PartName="/xl/worksheets/sheet4245.xml"/>
  <Override ContentType="application/vnd.openxmlformats-officedocument.spreadsheetml.worksheet+xml" PartName="/xl/worksheets/sheet4246.xml"/>
  <Override ContentType="application/vnd.openxmlformats-officedocument.spreadsheetml.worksheet+xml" PartName="/xl/worksheets/sheet4247.xml"/>
  <Override ContentType="application/vnd.openxmlformats-officedocument.spreadsheetml.worksheet+xml" PartName="/xl/worksheets/sheet4248.xml"/>
  <Override ContentType="application/vnd.openxmlformats-officedocument.spreadsheetml.worksheet+xml" PartName="/xl/worksheets/sheet4249.xml"/>
  <Override ContentType="application/vnd.openxmlformats-officedocument.spreadsheetml.worksheet+xml" PartName="/xl/worksheets/sheet4250.xml"/>
  <Override ContentType="application/vnd.openxmlformats-officedocument.spreadsheetml.worksheet+xml" PartName="/xl/worksheets/sheet4251.xml"/>
  <Override ContentType="application/vnd.openxmlformats-officedocument.spreadsheetml.worksheet+xml" PartName="/xl/worksheets/sheet4252.xml"/>
  <Override ContentType="application/vnd.openxmlformats-officedocument.spreadsheetml.worksheet+xml" PartName="/xl/worksheets/sheet4253.xml"/>
  <Override ContentType="application/vnd.openxmlformats-officedocument.spreadsheetml.worksheet+xml" PartName="/xl/worksheets/sheet4254.xml"/>
  <Override ContentType="application/vnd.openxmlformats-officedocument.spreadsheetml.worksheet+xml" PartName="/xl/worksheets/sheet4255.xml"/>
  <Override ContentType="application/vnd.openxmlformats-officedocument.spreadsheetml.worksheet+xml" PartName="/xl/worksheets/sheet4256.xml"/>
  <Override ContentType="application/vnd.openxmlformats-officedocument.spreadsheetml.worksheet+xml" PartName="/xl/worksheets/sheet4257.xml"/>
  <Override ContentType="application/vnd.openxmlformats-officedocument.spreadsheetml.worksheet+xml" PartName="/xl/worksheets/sheet4258.xml"/>
  <Override ContentType="application/vnd.openxmlformats-officedocument.spreadsheetml.worksheet+xml" PartName="/xl/worksheets/sheet4259.xml"/>
  <Override ContentType="application/vnd.openxmlformats-officedocument.spreadsheetml.worksheet+xml" PartName="/xl/worksheets/sheet4260.xml"/>
  <Override ContentType="application/vnd.openxmlformats-officedocument.spreadsheetml.worksheet+xml" PartName="/xl/worksheets/sheet4261.xml"/>
  <Override ContentType="application/vnd.openxmlformats-officedocument.spreadsheetml.worksheet+xml" PartName="/xl/worksheets/sheet4262.xml"/>
  <Override ContentType="application/vnd.openxmlformats-officedocument.spreadsheetml.worksheet+xml" PartName="/xl/worksheets/sheet4263.xml"/>
  <Override ContentType="application/vnd.openxmlformats-officedocument.spreadsheetml.worksheet+xml" PartName="/xl/worksheets/sheet4264.xml"/>
  <Override ContentType="application/vnd.openxmlformats-officedocument.spreadsheetml.worksheet+xml" PartName="/xl/worksheets/sheet4265.xml"/>
  <Override ContentType="application/vnd.openxmlformats-officedocument.spreadsheetml.worksheet+xml" PartName="/xl/worksheets/sheet4266.xml"/>
  <Override ContentType="application/vnd.openxmlformats-officedocument.spreadsheetml.worksheet+xml" PartName="/xl/worksheets/sheet4267.xml"/>
  <Override ContentType="application/vnd.openxmlformats-officedocument.spreadsheetml.worksheet+xml" PartName="/xl/worksheets/sheet4268.xml"/>
  <Override ContentType="application/vnd.openxmlformats-officedocument.spreadsheetml.worksheet+xml" PartName="/xl/worksheets/sheet4269.xml"/>
  <Override ContentType="application/vnd.openxmlformats-officedocument.spreadsheetml.worksheet+xml" PartName="/xl/worksheets/sheet4270.xml"/>
  <Override ContentType="application/vnd.openxmlformats-officedocument.spreadsheetml.worksheet+xml" PartName="/xl/worksheets/sheet4271.xml"/>
  <Override ContentType="application/vnd.openxmlformats-officedocument.spreadsheetml.worksheet+xml" PartName="/xl/worksheets/sheet4272.xml"/>
  <Override ContentType="application/vnd.openxmlformats-officedocument.spreadsheetml.worksheet+xml" PartName="/xl/worksheets/sheet4273.xml"/>
  <Override ContentType="application/vnd.openxmlformats-officedocument.spreadsheetml.worksheet+xml" PartName="/xl/worksheets/sheet4274.xml"/>
  <Override ContentType="application/vnd.openxmlformats-officedocument.spreadsheetml.worksheet+xml" PartName="/xl/worksheets/sheet4275.xml"/>
  <Override ContentType="application/vnd.openxmlformats-officedocument.spreadsheetml.worksheet+xml" PartName="/xl/worksheets/sheet4276.xml"/>
  <Override ContentType="application/vnd.openxmlformats-officedocument.spreadsheetml.worksheet+xml" PartName="/xl/worksheets/sheet4277.xml"/>
  <Override ContentType="application/vnd.openxmlformats-officedocument.spreadsheetml.worksheet+xml" PartName="/xl/worksheets/sheet4278.xml"/>
  <Override ContentType="application/vnd.openxmlformats-officedocument.spreadsheetml.worksheet+xml" PartName="/xl/worksheets/sheet4279.xml"/>
  <Override ContentType="application/vnd.openxmlformats-officedocument.spreadsheetml.worksheet+xml" PartName="/xl/worksheets/sheet4280.xml"/>
  <Override ContentType="application/vnd.openxmlformats-officedocument.spreadsheetml.worksheet+xml" PartName="/xl/worksheets/sheet4281.xml"/>
  <Override ContentType="application/vnd.openxmlformats-officedocument.spreadsheetml.worksheet+xml" PartName="/xl/worksheets/sheet4282.xml"/>
  <Override ContentType="application/vnd.openxmlformats-officedocument.spreadsheetml.worksheet+xml" PartName="/xl/worksheets/sheet4283.xml"/>
  <Override ContentType="application/vnd.openxmlformats-officedocument.spreadsheetml.worksheet+xml" PartName="/xl/worksheets/sheet4284.xml"/>
  <Override ContentType="application/vnd.openxmlformats-officedocument.spreadsheetml.worksheet+xml" PartName="/xl/worksheets/sheet4285.xml"/>
  <Override ContentType="application/vnd.openxmlformats-officedocument.spreadsheetml.worksheet+xml" PartName="/xl/worksheets/sheet4286.xml"/>
  <Override ContentType="application/vnd.openxmlformats-officedocument.spreadsheetml.worksheet+xml" PartName="/xl/worksheets/sheet4287.xml"/>
  <Override ContentType="application/vnd.openxmlformats-officedocument.spreadsheetml.worksheet+xml" PartName="/xl/worksheets/sheet4288.xml"/>
  <Override ContentType="application/vnd.openxmlformats-officedocument.spreadsheetml.worksheet+xml" PartName="/xl/worksheets/sheet4289.xml"/>
  <Override ContentType="application/vnd.openxmlformats-officedocument.spreadsheetml.worksheet+xml" PartName="/xl/worksheets/sheet4290.xml"/>
  <Override ContentType="application/vnd.openxmlformats-officedocument.spreadsheetml.worksheet+xml" PartName="/xl/worksheets/sheet4291.xml"/>
  <Override ContentType="application/vnd.openxmlformats-officedocument.spreadsheetml.worksheet+xml" PartName="/xl/worksheets/sheet4292.xml"/>
  <Override ContentType="application/vnd.openxmlformats-officedocument.spreadsheetml.worksheet+xml" PartName="/xl/worksheets/sheet4293.xml"/>
  <Override ContentType="application/vnd.openxmlformats-officedocument.spreadsheetml.worksheet+xml" PartName="/xl/worksheets/sheet4294.xml"/>
  <Override ContentType="application/vnd.openxmlformats-officedocument.spreadsheetml.worksheet+xml" PartName="/xl/worksheets/sheet4295.xml"/>
  <Override ContentType="application/vnd.openxmlformats-officedocument.spreadsheetml.worksheet+xml" PartName="/xl/worksheets/sheet4296.xml"/>
  <Override ContentType="application/vnd.openxmlformats-officedocument.spreadsheetml.worksheet+xml" PartName="/xl/worksheets/sheet4297.xml"/>
  <Override ContentType="application/vnd.openxmlformats-officedocument.spreadsheetml.worksheet+xml" PartName="/xl/worksheets/sheet4298.xml"/>
  <Override ContentType="application/vnd.openxmlformats-officedocument.spreadsheetml.worksheet+xml" PartName="/xl/worksheets/sheet4299.xml"/>
  <Override ContentType="application/vnd.openxmlformats-officedocument.spreadsheetml.worksheet+xml" PartName="/xl/worksheets/sheet4300.xml"/>
  <Override ContentType="application/vnd.openxmlformats-officedocument.spreadsheetml.worksheet+xml" PartName="/xl/worksheets/sheet4301.xml"/>
  <Override ContentType="application/vnd.openxmlformats-officedocument.spreadsheetml.worksheet+xml" PartName="/xl/worksheets/sheet4302.xml"/>
  <Override ContentType="application/vnd.openxmlformats-officedocument.spreadsheetml.worksheet+xml" PartName="/xl/worksheets/sheet4303.xml"/>
  <Override ContentType="application/vnd.openxmlformats-officedocument.spreadsheetml.worksheet+xml" PartName="/xl/worksheets/sheet4304.xml"/>
  <Override ContentType="application/vnd.openxmlformats-officedocument.spreadsheetml.worksheet+xml" PartName="/xl/worksheets/sheet4305.xml"/>
  <Override ContentType="application/vnd.openxmlformats-officedocument.spreadsheetml.worksheet+xml" PartName="/xl/worksheets/sheet4306.xml"/>
  <Override ContentType="application/vnd.openxmlformats-officedocument.spreadsheetml.worksheet+xml" PartName="/xl/worksheets/sheet4307.xml"/>
  <Override ContentType="application/vnd.openxmlformats-officedocument.spreadsheetml.worksheet+xml" PartName="/xl/worksheets/sheet4308.xml"/>
  <Override ContentType="application/vnd.openxmlformats-officedocument.spreadsheetml.worksheet+xml" PartName="/xl/worksheets/sheet4309.xml"/>
  <Override ContentType="application/vnd.openxmlformats-officedocument.spreadsheetml.worksheet+xml" PartName="/xl/worksheets/sheet4310.xml"/>
  <Override ContentType="application/vnd.openxmlformats-officedocument.spreadsheetml.worksheet+xml" PartName="/xl/worksheets/sheet4311.xml"/>
  <Override ContentType="application/vnd.openxmlformats-officedocument.spreadsheetml.worksheet+xml" PartName="/xl/worksheets/sheet4312.xml"/>
  <Override ContentType="application/vnd.openxmlformats-officedocument.spreadsheetml.worksheet+xml" PartName="/xl/worksheets/sheet4313.xml"/>
  <Override ContentType="application/vnd.openxmlformats-officedocument.spreadsheetml.worksheet+xml" PartName="/xl/worksheets/sheet4314.xml"/>
  <Override ContentType="application/vnd.openxmlformats-officedocument.spreadsheetml.worksheet+xml" PartName="/xl/worksheets/sheet4315.xml"/>
  <Override ContentType="application/vnd.openxmlformats-officedocument.spreadsheetml.worksheet+xml" PartName="/xl/worksheets/sheet4316.xml"/>
  <Override ContentType="application/vnd.openxmlformats-officedocument.spreadsheetml.worksheet+xml" PartName="/xl/worksheets/sheet4317.xml"/>
  <Override ContentType="application/vnd.openxmlformats-officedocument.spreadsheetml.worksheet+xml" PartName="/xl/worksheets/sheet4318.xml"/>
  <Override ContentType="application/vnd.openxmlformats-officedocument.spreadsheetml.worksheet+xml" PartName="/xl/worksheets/sheet4319.xml"/>
  <Override ContentType="application/vnd.openxmlformats-officedocument.spreadsheetml.worksheet+xml" PartName="/xl/worksheets/sheet4320.xml"/>
  <Override ContentType="application/vnd.openxmlformats-officedocument.spreadsheetml.worksheet+xml" PartName="/xl/worksheets/sheet4321.xml"/>
  <Override ContentType="application/vnd.openxmlformats-officedocument.spreadsheetml.worksheet+xml" PartName="/xl/worksheets/sheet4322.xml"/>
  <Override ContentType="application/vnd.openxmlformats-officedocument.spreadsheetml.worksheet+xml" PartName="/xl/worksheets/sheet4323.xml"/>
  <Override ContentType="application/vnd.openxmlformats-officedocument.spreadsheetml.worksheet+xml" PartName="/xl/worksheets/sheet4324.xml"/>
  <Override ContentType="application/vnd.openxmlformats-officedocument.spreadsheetml.worksheet+xml" PartName="/xl/worksheets/sheet4325.xml"/>
  <Override ContentType="application/vnd.openxmlformats-officedocument.spreadsheetml.worksheet+xml" PartName="/xl/worksheets/sheet4326.xml"/>
  <Override ContentType="application/vnd.openxmlformats-officedocument.spreadsheetml.worksheet+xml" PartName="/xl/worksheets/sheet4327.xml"/>
  <Override ContentType="application/vnd.openxmlformats-officedocument.spreadsheetml.worksheet+xml" PartName="/xl/worksheets/sheet4328.xml"/>
  <Override ContentType="application/vnd.openxmlformats-officedocument.spreadsheetml.worksheet+xml" PartName="/xl/worksheets/sheet4329.xml"/>
  <Override ContentType="application/vnd.openxmlformats-officedocument.spreadsheetml.worksheet+xml" PartName="/xl/worksheets/sheet4330.xml"/>
  <Override ContentType="application/vnd.openxmlformats-officedocument.spreadsheetml.worksheet+xml" PartName="/xl/worksheets/sheet4331.xml"/>
  <Override ContentType="application/vnd.openxmlformats-officedocument.spreadsheetml.worksheet+xml" PartName="/xl/worksheets/sheet4332.xml"/>
  <Override ContentType="application/vnd.openxmlformats-officedocument.spreadsheetml.worksheet+xml" PartName="/xl/worksheets/sheet4333.xml"/>
  <Override ContentType="application/vnd.openxmlformats-officedocument.spreadsheetml.worksheet+xml" PartName="/xl/worksheets/sheet4334.xml"/>
  <Override ContentType="application/vnd.openxmlformats-officedocument.spreadsheetml.worksheet+xml" PartName="/xl/worksheets/sheet4335.xml"/>
  <Override ContentType="application/vnd.openxmlformats-officedocument.spreadsheetml.worksheet+xml" PartName="/xl/worksheets/sheet4336.xml"/>
  <Override ContentType="application/vnd.openxmlformats-officedocument.spreadsheetml.worksheet+xml" PartName="/xl/worksheets/sheet4337.xml"/>
  <Override ContentType="application/vnd.openxmlformats-officedocument.spreadsheetml.worksheet+xml" PartName="/xl/worksheets/sheet4338.xml"/>
  <Override ContentType="application/vnd.openxmlformats-officedocument.spreadsheetml.worksheet+xml" PartName="/xl/worksheets/sheet4339.xml"/>
  <Override ContentType="application/vnd.openxmlformats-officedocument.spreadsheetml.worksheet+xml" PartName="/xl/worksheets/sheet4340.xml"/>
  <Override ContentType="application/vnd.openxmlformats-officedocument.spreadsheetml.worksheet+xml" PartName="/xl/worksheets/sheet4341.xml"/>
  <Override ContentType="application/vnd.openxmlformats-officedocument.spreadsheetml.worksheet+xml" PartName="/xl/worksheets/sheet4342.xml"/>
  <Override ContentType="application/vnd.openxmlformats-officedocument.spreadsheetml.worksheet+xml" PartName="/xl/worksheets/sheet4343.xml"/>
  <Override ContentType="application/vnd.openxmlformats-officedocument.spreadsheetml.worksheet+xml" PartName="/xl/worksheets/sheet4344.xml"/>
  <Override ContentType="application/vnd.openxmlformats-officedocument.spreadsheetml.worksheet+xml" PartName="/xl/worksheets/sheet4345.xml"/>
  <Override ContentType="application/vnd.openxmlformats-officedocument.spreadsheetml.worksheet+xml" PartName="/xl/worksheets/sheet4346.xml"/>
  <Override ContentType="application/vnd.openxmlformats-officedocument.spreadsheetml.worksheet+xml" PartName="/xl/worksheets/sheet4347.xml"/>
  <Override ContentType="application/vnd.openxmlformats-officedocument.spreadsheetml.worksheet+xml" PartName="/xl/worksheets/sheet4348.xml"/>
  <Override ContentType="application/vnd.openxmlformats-officedocument.spreadsheetml.worksheet+xml" PartName="/xl/worksheets/sheet4349.xml"/>
  <Override ContentType="application/vnd.openxmlformats-officedocument.spreadsheetml.worksheet+xml" PartName="/xl/worksheets/sheet4350.xml"/>
  <Override ContentType="application/vnd.openxmlformats-officedocument.spreadsheetml.worksheet+xml" PartName="/xl/worksheets/sheet4351.xml"/>
  <Override ContentType="application/vnd.openxmlformats-officedocument.spreadsheetml.worksheet+xml" PartName="/xl/worksheets/sheet4352.xml"/>
  <Override ContentType="application/vnd.openxmlformats-officedocument.spreadsheetml.worksheet+xml" PartName="/xl/worksheets/sheet4353.xml"/>
  <Override ContentType="application/vnd.openxmlformats-officedocument.spreadsheetml.worksheet+xml" PartName="/xl/worksheets/sheet4354.xml"/>
  <Override ContentType="application/vnd.openxmlformats-officedocument.spreadsheetml.worksheet+xml" PartName="/xl/worksheets/sheet4355.xml"/>
  <Override ContentType="application/vnd.openxmlformats-officedocument.spreadsheetml.worksheet+xml" PartName="/xl/worksheets/sheet4356.xml"/>
  <Override ContentType="application/vnd.openxmlformats-officedocument.spreadsheetml.worksheet+xml" PartName="/xl/worksheets/sheet4357.xml"/>
  <Override ContentType="application/vnd.openxmlformats-officedocument.spreadsheetml.worksheet+xml" PartName="/xl/worksheets/sheet4358.xml"/>
  <Override ContentType="application/vnd.openxmlformats-officedocument.spreadsheetml.worksheet+xml" PartName="/xl/worksheets/sheet4359.xml"/>
  <Override ContentType="application/vnd.openxmlformats-officedocument.spreadsheetml.worksheet+xml" PartName="/xl/worksheets/sheet4360.xml"/>
  <Override ContentType="application/vnd.openxmlformats-officedocument.spreadsheetml.worksheet+xml" PartName="/xl/worksheets/sheet4361.xml"/>
  <Override ContentType="application/vnd.openxmlformats-officedocument.spreadsheetml.worksheet+xml" PartName="/xl/worksheets/sheet4362.xml"/>
  <Override ContentType="application/vnd.openxmlformats-officedocument.spreadsheetml.worksheet+xml" PartName="/xl/worksheets/sheet4363.xml"/>
  <Override ContentType="application/vnd.openxmlformats-officedocument.spreadsheetml.worksheet+xml" PartName="/xl/worksheets/sheet4364.xml"/>
  <Override ContentType="application/vnd.openxmlformats-officedocument.spreadsheetml.worksheet+xml" PartName="/xl/worksheets/sheet4365.xml"/>
  <Override ContentType="application/vnd.openxmlformats-officedocument.spreadsheetml.worksheet+xml" PartName="/xl/worksheets/sheet4366.xml"/>
  <Override ContentType="application/vnd.openxmlformats-officedocument.spreadsheetml.worksheet+xml" PartName="/xl/worksheets/sheet4367.xml"/>
  <Override ContentType="application/vnd.openxmlformats-officedocument.spreadsheetml.worksheet+xml" PartName="/xl/worksheets/sheet4368.xml"/>
  <Override ContentType="application/vnd.openxmlformats-officedocument.spreadsheetml.worksheet+xml" PartName="/xl/worksheets/sheet4369.xml"/>
  <Override ContentType="application/vnd.openxmlformats-officedocument.spreadsheetml.worksheet+xml" PartName="/xl/worksheets/sheet4370.xml"/>
  <Override ContentType="application/vnd.openxmlformats-officedocument.spreadsheetml.worksheet+xml" PartName="/xl/worksheets/sheet4371.xml"/>
  <Override ContentType="application/vnd.openxmlformats-officedocument.spreadsheetml.worksheet+xml" PartName="/xl/worksheets/sheet4372.xml"/>
  <Override ContentType="application/vnd.openxmlformats-officedocument.spreadsheetml.worksheet+xml" PartName="/xl/worksheets/sheet4373.xml"/>
  <Override ContentType="application/vnd.openxmlformats-officedocument.spreadsheetml.worksheet+xml" PartName="/xl/worksheets/sheet4374.xml"/>
  <Override ContentType="application/vnd.openxmlformats-officedocument.spreadsheetml.worksheet+xml" PartName="/xl/worksheets/sheet4375.xml"/>
  <Override ContentType="application/vnd.openxmlformats-officedocument.spreadsheetml.worksheet+xml" PartName="/xl/worksheets/sheet4376.xml"/>
  <Override ContentType="application/vnd.openxmlformats-officedocument.spreadsheetml.worksheet+xml" PartName="/xl/worksheets/sheet4377.xml"/>
  <Override ContentType="application/vnd.openxmlformats-officedocument.spreadsheetml.worksheet+xml" PartName="/xl/worksheets/sheet4378.xml"/>
  <Override ContentType="application/vnd.openxmlformats-officedocument.spreadsheetml.worksheet+xml" PartName="/xl/worksheets/sheet4379.xml"/>
  <Override ContentType="application/vnd.openxmlformats-officedocument.spreadsheetml.worksheet+xml" PartName="/xl/worksheets/sheet4380.xml"/>
  <Override ContentType="application/vnd.openxmlformats-officedocument.spreadsheetml.worksheet+xml" PartName="/xl/worksheets/sheet4381.xml"/>
  <Override ContentType="application/vnd.openxmlformats-officedocument.spreadsheetml.worksheet+xml" PartName="/xl/worksheets/sheet4382.xml"/>
  <Override ContentType="application/vnd.openxmlformats-officedocument.spreadsheetml.worksheet+xml" PartName="/xl/worksheets/sheet4383.xml"/>
  <Override ContentType="application/vnd.openxmlformats-officedocument.spreadsheetml.worksheet+xml" PartName="/xl/worksheets/sheet4384.xml"/>
  <Override ContentType="application/vnd.openxmlformats-officedocument.spreadsheetml.worksheet+xml" PartName="/xl/worksheets/sheet4385.xml"/>
  <Override ContentType="application/vnd.openxmlformats-officedocument.spreadsheetml.worksheet+xml" PartName="/xl/worksheets/sheet4386.xml"/>
  <Override ContentType="application/vnd.openxmlformats-officedocument.spreadsheetml.worksheet+xml" PartName="/xl/worksheets/sheet4387.xml"/>
  <Override ContentType="application/vnd.openxmlformats-officedocument.spreadsheetml.worksheet+xml" PartName="/xl/worksheets/sheet4388.xml"/>
  <Override ContentType="application/vnd.openxmlformats-officedocument.spreadsheetml.worksheet+xml" PartName="/xl/worksheets/sheet4389.xml"/>
  <Override ContentType="application/vnd.openxmlformats-officedocument.spreadsheetml.worksheet+xml" PartName="/xl/worksheets/sheet4390.xml"/>
  <Override ContentType="application/vnd.openxmlformats-officedocument.spreadsheetml.worksheet+xml" PartName="/xl/worksheets/sheet4391.xml"/>
  <Override ContentType="application/vnd.openxmlformats-officedocument.spreadsheetml.worksheet+xml" PartName="/xl/worksheets/sheet4392.xml"/>
  <Override ContentType="application/vnd.openxmlformats-officedocument.spreadsheetml.worksheet+xml" PartName="/xl/worksheets/sheet4393.xml"/>
  <Override ContentType="application/vnd.openxmlformats-officedocument.spreadsheetml.worksheet+xml" PartName="/xl/worksheets/sheet4394.xml"/>
  <Override ContentType="application/vnd.openxmlformats-officedocument.spreadsheetml.worksheet+xml" PartName="/xl/worksheets/sheet4395.xml"/>
  <Override ContentType="application/vnd.openxmlformats-officedocument.spreadsheetml.worksheet+xml" PartName="/xl/worksheets/sheet4396.xml"/>
  <Override ContentType="application/vnd.openxmlformats-officedocument.spreadsheetml.worksheet+xml" PartName="/xl/worksheets/sheet4397.xml"/>
  <Override ContentType="application/vnd.openxmlformats-officedocument.spreadsheetml.worksheet+xml" PartName="/xl/worksheets/sheet4398.xml"/>
  <Override ContentType="application/vnd.openxmlformats-officedocument.spreadsheetml.worksheet+xml" PartName="/xl/worksheets/sheet4399.xml"/>
  <Override ContentType="application/vnd.openxmlformats-officedocument.spreadsheetml.worksheet+xml" PartName="/xl/worksheets/sheet4400.xml"/>
  <Override ContentType="application/vnd.openxmlformats-officedocument.spreadsheetml.worksheet+xml" PartName="/xl/worksheets/sheet4401.xml"/>
  <Override ContentType="application/vnd.openxmlformats-officedocument.spreadsheetml.worksheet+xml" PartName="/xl/worksheets/sheet4402.xml"/>
  <Override ContentType="application/vnd.openxmlformats-officedocument.spreadsheetml.worksheet+xml" PartName="/xl/worksheets/sheet4403.xml"/>
  <Override ContentType="application/vnd.openxmlformats-officedocument.spreadsheetml.worksheet+xml" PartName="/xl/worksheets/sheet4404.xml"/>
  <Override ContentType="application/vnd.openxmlformats-officedocument.spreadsheetml.worksheet+xml" PartName="/xl/worksheets/sheet4405.xml"/>
  <Override ContentType="application/vnd.openxmlformats-officedocument.spreadsheetml.worksheet+xml" PartName="/xl/worksheets/sheet4406.xml"/>
  <Override ContentType="application/vnd.openxmlformats-officedocument.spreadsheetml.worksheet+xml" PartName="/xl/worksheets/sheet4407.xml"/>
  <Override ContentType="application/vnd.openxmlformats-officedocument.spreadsheetml.worksheet+xml" PartName="/xl/worksheets/sheet4408.xml"/>
  <Override ContentType="application/vnd.openxmlformats-officedocument.spreadsheetml.worksheet+xml" PartName="/xl/worksheets/sheet4409.xml"/>
  <Override ContentType="application/vnd.openxmlformats-officedocument.spreadsheetml.worksheet+xml" PartName="/xl/worksheets/sheet4410.xml"/>
  <Override ContentType="application/vnd.openxmlformats-officedocument.spreadsheetml.worksheet+xml" PartName="/xl/worksheets/sheet4411.xml"/>
  <Override ContentType="application/vnd.openxmlformats-officedocument.spreadsheetml.worksheet+xml" PartName="/xl/worksheets/sheet4412.xml"/>
  <Override ContentType="application/vnd.openxmlformats-officedocument.spreadsheetml.worksheet+xml" PartName="/xl/worksheets/sheet4413.xml"/>
  <Override ContentType="application/vnd.openxmlformats-officedocument.spreadsheetml.worksheet+xml" PartName="/xl/worksheets/sheet4414.xml"/>
  <Override ContentType="application/vnd.openxmlformats-officedocument.spreadsheetml.worksheet+xml" PartName="/xl/worksheets/sheet4415.xml"/>
  <Override ContentType="application/vnd.openxmlformats-officedocument.spreadsheetml.worksheet+xml" PartName="/xl/worksheets/sheet4416.xml"/>
  <Override ContentType="application/vnd.openxmlformats-officedocument.spreadsheetml.worksheet+xml" PartName="/xl/worksheets/sheet4417.xml"/>
  <Override ContentType="application/vnd.openxmlformats-officedocument.spreadsheetml.worksheet+xml" PartName="/xl/worksheets/sheet4418.xml"/>
  <Override ContentType="application/vnd.openxmlformats-officedocument.spreadsheetml.worksheet+xml" PartName="/xl/worksheets/sheet4419.xml"/>
  <Override ContentType="application/vnd.openxmlformats-officedocument.spreadsheetml.worksheet+xml" PartName="/xl/worksheets/sheet4420.xml"/>
  <Override ContentType="application/vnd.openxmlformats-officedocument.spreadsheetml.worksheet+xml" PartName="/xl/worksheets/sheet4421.xml"/>
  <Override ContentType="application/vnd.openxmlformats-officedocument.spreadsheetml.worksheet+xml" PartName="/xl/worksheets/sheet4422.xml"/>
  <Override ContentType="application/vnd.openxmlformats-officedocument.spreadsheetml.worksheet+xml" PartName="/xl/worksheets/sheet4423.xml"/>
  <Override ContentType="application/vnd.openxmlformats-officedocument.spreadsheetml.worksheet+xml" PartName="/xl/worksheets/sheet4424.xml"/>
  <Override ContentType="application/vnd.openxmlformats-officedocument.spreadsheetml.worksheet+xml" PartName="/xl/worksheets/sheet4425.xml"/>
  <Override ContentType="application/vnd.openxmlformats-officedocument.spreadsheetml.worksheet+xml" PartName="/xl/worksheets/sheet4426.xml"/>
  <Override ContentType="application/vnd.openxmlformats-officedocument.spreadsheetml.worksheet+xml" PartName="/xl/worksheets/sheet4427.xml"/>
  <Override ContentType="application/vnd.openxmlformats-officedocument.spreadsheetml.worksheet+xml" PartName="/xl/worksheets/sheet4428.xml"/>
  <Override ContentType="application/vnd.openxmlformats-officedocument.spreadsheetml.worksheet+xml" PartName="/xl/worksheets/sheet4429.xml"/>
  <Override ContentType="application/vnd.openxmlformats-officedocument.spreadsheetml.worksheet+xml" PartName="/xl/worksheets/sheet4430.xml"/>
  <Override ContentType="application/vnd.openxmlformats-officedocument.spreadsheetml.worksheet+xml" PartName="/xl/worksheets/sheet4431.xml"/>
  <Override ContentType="application/vnd.openxmlformats-officedocument.spreadsheetml.worksheet+xml" PartName="/xl/worksheets/sheet4432.xml"/>
  <Override ContentType="application/vnd.openxmlformats-officedocument.spreadsheetml.worksheet+xml" PartName="/xl/worksheets/sheet4433.xml"/>
  <Override ContentType="application/vnd.openxmlformats-officedocument.spreadsheetml.worksheet+xml" PartName="/xl/worksheets/sheet4434.xml"/>
  <Override ContentType="application/vnd.openxmlformats-officedocument.spreadsheetml.worksheet+xml" PartName="/xl/worksheets/sheet4435.xml"/>
  <Override ContentType="application/vnd.openxmlformats-officedocument.spreadsheetml.worksheet+xml" PartName="/xl/worksheets/sheet4436.xml"/>
  <Override ContentType="application/vnd.openxmlformats-officedocument.spreadsheetml.worksheet+xml" PartName="/xl/worksheets/sheet4437.xml"/>
  <Override ContentType="application/vnd.openxmlformats-officedocument.spreadsheetml.worksheet+xml" PartName="/xl/worksheets/sheet4438.xml"/>
  <Override ContentType="application/vnd.openxmlformats-officedocument.spreadsheetml.worksheet+xml" PartName="/xl/worksheets/sheet4439.xml"/>
  <Override ContentType="application/vnd.openxmlformats-officedocument.spreadsheetml.worksheet+xml" PartName="/xl/worksheets/sheet4440.xml"/>
  <Override ContentType="application/vnd.openxmlformats-officedocument.spreadsheetml.worksheet+xml" PartName="/xl/worksheets/sheet4441.xml"/>
  <Override ContentType="application/vnd.openxmlformats-officedocument.spreadsheetml.worksheet+xml" PartName="/xl/worksheets/sheet4442.xml"/>
  <Override ContentType="application/vnd.openxmlformats-officedocument.spreadsheetml.worksheet+xml" PartName="/xl/worksheets/sheet4443.xml"/>
  <Override ContentType="application/vnd.openxmlformats-officedocument.spreadsheetml.worksheet+xml" PartName="/xl/worksheets/sheet4444.xml"/>
  <Override ContentType="application/vnd.openxmlformats-officedocument.spreadsheetml.worksheet+xml" PartName="/xl/worksheets/sheet4445.xml"/>
  <Override ContentType="application/vnd.openxmlformats-officedocument.spreadsheetml.worksheet+xml" PartName="/xl/worksheets/sheet4446.xml"/>
  <Override ContentType="application/vnd.openxmlformats-officedocument.spreadsheetml.worksheet+xml" PartName="/xl/worksheets/sheet4447.xml"/>
  <Override ContentType="application/vnd.openxmlformats-officedocument.spreadsheetml.worksheet+xml" PartName="/xl/worksheets/sheet4448.xml"/>
  <Override ContentType="application/vnd.openxmlformats-officedocument.spreadsheetml.worksheet+xml" PartName="/xl/worksheets/sheet4449.xml"/>
  <Override ContentType="application/vnd.openxmlformats-officedocument.spreadsheetml.worksheet+xml" PartName="/xl/worksheets/sheet4450.xml"/>
  <Override ContentType="application/vnd.openxmlformats-officedocument.spreadsheetml.worksheet+xml" PartName="/xl/worksheets/sheet4451.xml"/>
  <Override ContentType="application/vnd.openxmlformats-officedocument.spreadsheetml.worksheet+xml" PartName="/xl/worksheets/sheet4452.xml"/>
  <Override ContentType="application/vnd.openxmlformats-officedocument.spreadsheetml.worksheet+xml" PartName="/xl/worksheets/sheet4453.xml"/>
  <Override ContentType="application/vnd.openxmlformats-officedocument.spreadsheetml.worksheet+xml" PartName="/xl/worksheets/sheet4454.xml"/>
  <Override ContentType="application/vnd.openxmlformats-officedocument.spreadsheetml.worksheet+xml" PartName="/xl/worksheets/sheet4455.xml"/>
  <Override ContentType="application/vnd.openxmlformats-officedocument.spreadsheetml.worksheet+xml" PartName="/xl/worksheets/sheet4456.xml"/>
  <Override ContentType="application/vnd.openxmlformats-officedocument.spreadsheetml.worksheet+xml" PartName="/xl/worksheets/sheet4457.xml"/>
  <Override ContentType="application/vnd.openxmlformats-officedocument.spreadsheetml.worksheet+xml" PartName="/xl/worksheets/sheet4458.xml"/>
  <Override ContentType="application/vnd.openxmlformats-officedocument.spreadsheetml.worksheet+xml" PartName="/xl/worksheets/sheet4459.xml"/>
  <Override ContentType="application/vnd.openxmlformats-officedocument.spreadsheetml.worksheet+xml" PartName="/xl/worksheets/sheet4460.xml"/>
  <Override ContentType="application/vnd.openxmlformats-officedocument.spreadsheetml.worksheet+xml" PartName="/xl/worksheets/sheet4461.xml"/>
  <Override ContentType="application/vnd.openxmlformats-officedocument.spreadsheetml.worksheet+xml" PartName="/xl/worksheets/sheet4462.xml"/>
  <Override ContentType="application/vnd.openxmlformats-officedocument.spreadsheetml.worksheet+xml" PartName="/xl/worksheets/sheet4463.xml"/>
  <Override ContentType="application/vnd.openxmlformats-officedocument.spreadsheetml.worksheet+xml" PartName="/xl/worksheets/sheet4464.xml"/>
  <Override ContentType="application/vnd.openxmlformats-officedocument.spreadsheetml.worksheet+xml" PartName="/xl/worksheets/sheet4465.xml"/>
  <Override ContentType="application/vnd.openxmlformats-officedocument.spreadsheetml.worksheet+xml" PartName="/xl/worksheets/sheet4466.xml"/>
  <Override ContentType="application/vnd.openxmlformats-officedocument.spreadsheetml.worksheet+xml" PartName="/xl/worksheets/sheet4467.xml"/>
  <Override ContentType="application/vnd.openxmlformats-officedocument.spreadsheetml.worksheet+xml" PartName="/xl/worksheets/sheet4468.xml"/>
  <Override ContentType="application/vnd.openxmlformats-officedocument.spreadsheetml.worksheet+xml" PartName="/xl/worksheets/sheet4469.xml"/>
  <Override ContentType="application/vnd.openxmlformats-officedocument.spreadsheetml.worksheet+xml" PartName="/xl/worksheets/sheet4470.xml"/>
  <Override ContentType="application/vnd.openxmlformats-officedocument.spreadsheetml.worksheet+xml" PartName="/xl/worksheets/sheet4471.xml"/>
  <Override ContentType="application/vnd.openxmlformats-officedocument.spreadsheetml.worksheet+xml" PartName="/xl/worksheets/sheet4472.xml"/>
  <Override ContentType="application/vnd.openxmlformats-officedocument.spreadsheetml.worksheet+xml" PartName="/xl/worksheets/sheet4473.xml"/>
  <Override ContentType="application/vnd.openxmlformats-officedocument.spreadsheetml.worksheet+xml" PartName="/xl/worksheets/sheet4474.xml"/>
  <Override ContentType="application/vnd.openxmlformats-officedocument.spreadsheetml.worksheet+xml" PartName="/xl/worksheets/sheet4475.xml"/>
  <Override ContentType="application/vnd.openxmlformats-officedocument.spreadsheetml.worksheet+xml" PartName="/xl/worksheets/sheet4476.xml"/>
  <Override ContentType="application/vnd.openxmlformats-officedocument.spreadsheetml.worksheet+xml" PartName="/xl/worksheets/sheet4477.xml"/>
  <Override ContentType="application/vnd.openxmlformats-officedocument.spreadsheetml.worksheet+xml" PartName="/xl/worksheets/sheet4478.xml"/>
  <Override ContentType="application/vnd.openxmlformats-officedocument.spreadsheetml.worksheet+xml" PartName="/xl/worksheets/sheet4479.xml"/>
  <Override ContentType="application/vnd.openxmlformats-officedocument.spreadsheetml.worksheet+xml" PartName="/xl/worksheets/sheet4480.xml"/>
  <Override ContentType="application/vnd.openxmlformats-officedocument.spreadsheetml.worksheet+xml" PartName="/xl/worksheets/sheet4481.xml"/>
  <Override ContentType="application/vnd.openxmlformats-officedocument.spreadsheetml.worksheet+xml" PartName="/xl/worksheets/sheet4482.xml"/>
  <Override ContentType="application/vnd.openxmlformats-officedocument.spreadsheetml.worksheet+xml" PartName="/xl/worksheets/sheet4483.xml"/>
  <Override ContentType="application/vnd.openxmlformats-officedocument.spreadsheetml.worksheet+xml" PartName="/xl/worksheets/sheet4484.xml"/>
  <Override ContentType="application/vnd.openxmlformats-officedocument.spreadsheetml.worksheet+xml" PartName="/xl/worksheets/sheet4485.xml"/>
  <Override ContentType="application/vnd.openxmlformats-officedocument.spreadsheetml.worksheet+xml" PartName="/xl/worksheets/sheet4486.xml"/>
  <Override ContentType="application/vnd.openxmlformats-officedocument.spreadsheetml.worksheet+xml" PartName="/xl/worksheets/sheet4487.xml"/>
  <Override ContentType="application/vnd.openxmlformats-officedocument.spreadsheetml.worksheet+xml" PartName="/xl/worksheets/sheet4488.xml"/>
  <Override ContentType="application/vnd.openxmlformats-officedocument.spreadsheetml.worksheet+xml" PartName="/xl/worksheets/sheet4489.xml"/>
  <Override ContentType="application/vnd.openxmlformats-officedocument.spreadsheetml.worksheet+xml" PartName="/xl/worksheets/sheet4490.xml"/>
  <Override ContentType="application/vnd.openxmlformats-officedocument.spreadsheetml.worksheet+xml" PartName="/xl/worksheets/sheet4491.xml"/>
  <Override ContentType="application/vnd.openxmlformats-officedocument.spreadsheetml.worksheet+xml" PartName="/xl/worksheets/sheet4492.xml"/>
  <Override ContentType="application/vnd.openxmlformats-officedocument.spreadsheetml.worksheet+xml" PartName="/xl/worksheets/sheet4493.xml"/>
  <Override ContentType="application/vnd.openxmlformats-officedocument.spreadsheetml.worksheet+xml" PartName="/xl/worksheets/sheet4494.xml"/>
  <Override ContentType="application/vnd.openxmlformats-officedocument.spreadsheetml.worksheet+xml" PartName="/xl/worksheets/sheet4495.xml"/>
  <Override ContentType="application/vnd.openxmlformats-officedocument.spreadsheetml.worksheet+xml" PartName="/xl/worksheets/sheet4496.xml"/>
  <Override ContentType="application/vnd.openxmlformats-officedocument.spreadsheetml.worksheet+xml" PartName="/xl/worksheets/sheet4497.xml"/>
  <Override ContentType="application/vnd.openxmlformats-officedocument.spreadsheetml.worksheet+xml" PartName="/xl/worksheets/sheet4498.xml"/>
  <Override ContentType="application/vnd.openxmlformats-officedocument.spreadsheetml.worksheet+xml" PartName="/xl/worksheets/sheet4499.xml"/>
  <Override ContentType="application/vnd.openxmlformats-officedocument.spreadsheetml.worksheet+xml" PartName="/xl/worksheets/sheet4500.xml"/>
  <Override ContentType="application/vnd.openxmlformats-officedocument.spreadsheetml.worksheet+xml" PartName="/xl/worksheets/sheet4501.xml"/>
  <Override ContentType="application/vnd.openxmlformats-officedocument.spreadsheetml.worksheet+xml" PartName="/xl/worksheets/sheet4502.xml"/>
  <Override ContentType="application/vnd.openxmlformats-officedocument.spreadsheetml.worksheet+xml" PartName="/xl/worksheets/sheet4503.xml"/>
  <Override ContentType="application/vnd.openxmlformats-officedocument.spreadsheetml.worksheet+xml" PartName="/xl/worksheets/sheet4504.xml"/>
  <Override ContentType="application/vnd.openxmlformats-officedocument.spreadsheetml.worksheet+xml" PartName="/xl/worksheets/sheet4505.xml"/>
  <Override ContentType="application/vnd.openxmlformats-officedocument.spreadsheetml.worksheet+xml" PartName="/xl/worksheets/sheet4506.xml"/>
  <Override ContentType="application/vnd.openxmlformats-officedocument.spreadsheetml.worksheet+xml" PartName="/xl/worksheets/sheet4507.xml"/>
  <Override ContentType="application/vnd.openxmlformats-officedocument.spreadsheetml.worksheet+xml" PartName="/xl/worksheets/sheet4508.xml"/>
  <Override ContentType="application/vnd.openxmlformats-officedocument.spreadsheetml.worksheet+xml" PartName="/xl/worksheets/sheet4509.xml"/>
  <Override ContentType="application/vnd.openxmlformats-officedocument.spreadsheetml.worksheet+xml" PartName="/xl/worksheets/sheet4510.xml"/>
  <Override ContentType="application/vnd.openxmlformats-officedocument.spreadsheetml.worksheet+xml" PartName="/xl/worksheets/sheet4511.xml"/>
  <Override ContentType="application/vnd.openxmlformats-officedocument.spreadsheetml.worksheet+xml" PartName="/xl/worksheets/sheet4512.xml"/>
  <Override ContentType="application/vnd.openxmlformats-officedocument.spreadsheetml.worksheet+xml" PartName="/xl/worksheets/sheet4513.xml"/>
  <Override ContentType="application/vnd.openxmlformats-officedocument.spreadsheetml.worksheet+xml" PartName="/xl/worksheets/sheet4514.xml"/>
  <Override ContentType="application/vnd.openxmlformats-officedocument.spreadsheetml.worksheet+xml" PartName="/xl/worksheets/sheet4515.xml"/>
  <Override ContentType="application/vnd.openxmlformats-officedocument.spreadsheetml.worksheet+xml" PartName="/xl/worksheets/sheet4516.xml"/>
  <Override ContentType="application/vnd.openxmlformats-officedocument.spreadsheetml.worksheet+xml" PartName="/xl/worksheets/sheet4517.xml"/>
  <Override ContentType="application/vnd.openxmlformats-officedocument.spreadsheetml.worksheet+xml" PartName="/xl/worksheets/sheet4518.xml"/>
  <Override ContentType="application/vnd.openxmlformats-officedocument.spreadsheetml.worksheet+xml" PartName="/xl/worksheets/sheet4519.xml"/>
  <Override ContentType="application/vnd.openxmlformats-officedocument.spreadsheetml.worksheet+xml" PartName="/xl/worksheets/sheet4520.xml"/>
  <Override ContentType="application/vnd.openxmlformats-officedocument.spreadsheetml.worksheet+xml" PartName="/xl/worksheets/sheet4521.xml"/>
  <Override ContentType="application/vnd.openxmlformats-officedocument.spreadsheetml.worksheet+xml" PartName="/xl/worksheets/sheet4522.xml"/>
  <Override ContentType="application/vnd.openxmlformats-officedocument.spreadsheetml.worksheet+xml" PartName="/xl/worksheets/sheet4523.xml"/>
  <Override ContentType="application/vnd.openxmlformats-officedocument.spreadsheetml.worksheet+xml" PartName="/xl/worksheets/sheet4524.xml"/>
  <Override ContentType="application/vnd.openxmlformats-officedocument.spreadsheetml.worksheet+xml" PartName="/xl/worksheets/sheet4525.xml"/>
  <Override ContentType="application/vnd.openxmlformats-officedocument.spreadsheetml.worksheet+xml" PartName="/xl/worksheets/sheet4526.xml"/>
  <Override ContentType="application/vnd.openxmlformats-officedocument.spreadsheetml.worksheet+xml" PartName="/xl/worksheets/sheet4527.xml"/>
  <Override ContentType="application/vnd.openxmlformats-officedocument.spreadsheetml.worksheet+xml" PartName="/xl/worksheets/sheet4528.xml"/>
  <Override ContentType="application/vnd.openxmlformats-officedocument.spreadsheetml.worksheet+xml" PartName="/xl/worksheets/sheet4529.xml"/>
  <Override ContentType="application/vnd.openxmlformats-officedocument.spreadsheetml.worksheet+xml" PartName="/xl/worksheets/sheet4530.xml"/>
  <Override ContentType="application/vnd.openxmlformats-officedocument.spreadsheetml.worksheet+xml" PartName="/xl/worksheets/sheet4531.xml"/>
  <Override ContentType="application/vnd.openxmlformats-officedocument.spreadsheetml.worksheet+xml" PartName="/xl/worksheets/sheet4532.xml"/>
  <Override ContentType="application/vnd.openxmlformats-officedocument.spreadsheetml.worksheet+xml" PartName="/xl/worksheets/sheet4533.xml"/>
  <Override ContentType="application/vnd.openxmlformats-officedocument.spreadsheetml.worksheet+xml" PartName="/xl/worksheets/sheet4534.xml"/>
  <Override ContentType="application/vnd.openxmlformats-officedocument.spreadsheetml.worksheet+xml" PartName="/xl/worksheets/sheet4535.xml"/>
  <Override ContentType="application/vnd.openxmlformats-officedocument.spreadsheetml.worksheet+xml" PartName="/xl/worksheets/sheet4536.xml"/>
  <Override ContentType="application/vnd.openxmlformats-officedocument.spreadsheetml.worksheet+xml" PartName="/xl/worksheets/sheet4537.xml"/>
  <Override ContentType="application/vnd.openxmlformats-officedocument.spreadsheetml.worksheet+xml" PartName="/xl/worksheets/sheet4538.xml"/>
  <Override ContentType="application/vnd.openxmlformats-officedocument.spreadsheetml.worksheet+xml" PartName="/xl/worksheets/sheet4539.xml"/>
  <Override ContentType="application/vnd.openxmlformats-officedocument.spreadsheetml.worksheet+xml" PartName="/xl/worksheets/sheet4540.xml"/>
  <Override ContentType="application/vnd.openxmlformats-officedocument.spreadsheetml.worksheet+xml" PartName="/xl/worksheets/sheet4541.xml"/>
  <Override ContentType="application/vnd.openxmlformats-officedocument.spreadsheetml.worksheet+xml" PartName="/xl/worksheets/sheet4542.xml"/>
  <Override ContentType="application/vnd.openxmlformats-officedocument.spreadsheetml.worksheet+xml" PartName="/xl/worksheets/sheet4543.xml"/>
  <Override ContentType="application/vnd.openxmlformats-officedocument.spreadsheetml.worksheet+xml" PartName="/xl/worksheets/sheet4544.xml"/>
  <Override ContentType="application/vnd.openxmlformats-officedocument.spreadsheetml.worksheet+xml" PartName="/xl/worksheets/sheet4545.xml"/>
  <Override ContentType="application/vnd.openxmlformats-officedocument.spreadsheetml.worksheet+xml" PartName="/xl/worksheets/sheet4546.xml"/>
  <Override ContentType="application/vnd.openxmlformats-officedocument.spreadsheetml.worksheet+xml" PartName="/xl/worksheets/sheet4547.xml"/>
  <Override ContentType="application/vnd.openxmlformats-officedocument.spreadsheetml.worksheet+xml" PartName="/xl/worksheets/sheet4548.xml"/>
  <Override ContentType="application/vnd.openxmlformats-officedocument.spreadsheetml.worksheet+xml" PartName="/xl/worksheets/sheet4549.xml"/>
  <Override ContentType="application/vnd.openxmlformats-officedocument.spreadsheetml.worksheet+xml" PartName="/xl/worksheets/sheet4550.xml"/>
  <Override ContentType="application/vnd.openxmlformats-officedocument.spreadsheetml.worksheet+xml" PartName="/xl/worksheets/sheet4551.xml"/>
  <Override ContentType="application/vnd.openxmlformats-officedocument.spreadsheetml.worksheet+xml" PartName="/xl/worksheets/sheet4552.xml"/>
  <Override ContentType="application/vnd.openxmlformats-officedocument.spreadsheetml.worksheet+xml" PartName="/xl/worksheets/sheet4553.xml"/>
  <Override ContentType="application/vnd.openxmlformats-officedocument.spreadsheetml.worksheet+xml" PartName="/xl/worksheets/sheet4554.xml"/>
  <Override ContentType="application/vnd.openxmlformats-officedocument.spreadsheetml.worksheet+xml" PartName="/xl/worksheets/sheet4555.xml"/>
  <Override ContentType="application/vnd.openxmlformats-officedocument.spreadsheetml.worksheet+xml" PartName="/xl/worksheets/sheet4556.xml"/>
  <Override ContentType="application/vnd.openxmlformats-officedocument.spreadsheetml.worksheet+xml" PartName="/xl/worksheets/sheet4557.xml"/>
  <Override ContentType="application/vnd.openxmlformats-officedocument.spreadsheetml.worksheet+xml" PartName="/xl/worksheets/sheet4558.xml"/>
  <Override ContentType="application/vnd.openxmlformats-officedocument.spreadsheetml.worksheet+xml" PartName="/xl/worksheets/sheet4559.xml"/>
  <Override ContentType="application/vnd.openxmlformats-officedocument.spreadsheetml.worksheet+xml" PartName="/xl/worksheets/sheet4560.xml"/>
  <Override ContentType="application/vnd.openxmlformats-officedocument.spreadsheetml.worksheet+xml" PartName="/xl/worksheets/sheet4561.xml"/>
  <Override ContentType="application/vnd.openxmlformats-officedocument.spreadsheetml.worksheet+xml" PartName="/xl/worksheets/sheet4562.xml"/>
  <Override ContentType="application/vnd.openxmlformats-officedocument.spreadsheetml.worksheet+xml" PartName="/xl/worksheets/sheet4563.xml"/>
  <Override ContentType="application/vnd.openxmlformats-officedocument.spreadsheetml.worksheet+xml" PartName="/xl/worksheets/sheet4564.xml"/>
  <Override ContentType="application/vnd.openxmlformats-officedocument.spreadsheetml.worksheet+xml" PartName="/xl/worksheets/sheet4565.xml"/>
  <Override ContentType="application/vnd.openxmlformats-officedocument.spreadsheetml.worksheet+xml" PartName="/xl/worksheets/sheet4566.xml"/>
  <Override ContentType="application/vnd.openxmlformats-officedocument.spreadsheetml.worksheet+xml" PartName="/xl/worksheets/sheet4567.xml"/>
  <Override ContentType="application/vnd.openxmlformats-officedocument.spreadsheetml.worksheet+xml" PartName="/xl/worksheets/sheet4568.xml"/>
  <Override ContentType="application/vnd.openxmlformats-officedocument.spreadsheetml.worksheet+xml" PartName="/xl/worksheets/sheet4569.xml"/>
  <Override ContentType="application/vnd.openxmlformats-officedocument.spreadsheetml.worksheet+xml" PartName="/xl/worksheets/sheet4570.xml"/>
  <Override ContentType="application/vnd.openxmlformats-officedocument.spreadsheetml.worksheet+xml" PartName="/xl/worksheets/sheet4571.xml"/>
  <Override ContentType="application/vnd.openxmlformats-officedocument.spreadsheetml.worksheet+xml" PartName="/xl/worksheets/sheet4572.xml"/>
  <Override ContentType="application/vnd.openxmlformats-officedocument.spreadsheetml.worksheet+xml" PartName="/xl/worksheets/sheet4573.xml"/>
  <Override ContentType="application/vnd.openxmlformats-officedocument.spreadsheetml.worksheet+xml" PartName="/xl/worksheets/sheet4574.xml"/>
  <Override ContentType="application/vnd.openxmlformats-officedocument.spreadsheetml.worksheet+xml" PartName="/xl/worksheets/sheet4575.xml"/>
  <Override ContentType="application/vnd.openxmlformats-officedocument.spreadsheetml.worksheet+xml" PartName="/xl/worksheets/sheet4576.xml"/>
  <Override ContentType="application/vnd.openxmlformats-officedocument.spreadsheetml.worksheet+xml" PartName="/xl/worksheets/sheet4577.xml"/>
  <Override ContentType="application/vnd.openxmlformats-officedocument.spreadsheetml.worksheet+xml" PartName="/xl/worksheets/sheet4578.xml"/>
  <Override ContentType="application/vnd.openxmlformats-officedocument.spreadsheetml.worksheet+xml" PartName="/xl/worksheets/sheet4579.xml"/>
  <Override ContentType="application/vnd.openxmlformats-officedocument.spreadsheetml.worksheet+xml" PartName="/xl/worksheets/sheet4580.xml"/>
  <Override ContentType="application/vnd.openxmlformats-officedocument.spreadsheetml.worksheet+xml" PartName="/xl/worksheets/sheet4581.xml"/>
  <Override ContentType="application/vnd.openxmlformats-officedocument.spreadsheetml.worksheet+xml" PartName="/xl/worksheets/sheet4582.xml"/>
  <Override ContentType="application/vnd.openxmlformats-officedocument.spreadsheetml.worksheet+xml" PartName="/xl/worksheets/sheet4583.xml"/>
  <Override ContentType="application/vnd.openxmlformats-officedocument.spreadsheetml.worksheet+xml" PartName="/xl/worksheets/sheet4584.xml"/>
  <Override ContentType="application/vnd.openxmlformats-officedocument.spreadsheetml.worksheet+xml" PartName="/xl/worksheets/sheet4585.xml"/>
  <Override ContentType="application/vnd.openxmlformats-officedocument.spreadsheetml.worksheet+xml" PartName="/xl/worksheets/sheet4586.xml"/>
  <Override ContentType="application/vnd.openxmlformats-officedocument.spreadsheetml.worksheet+xml" PartName="/xl/worksheets/sheet4587.xml"/>
  <Override ContentType="application/vnd.openxmlformats-officedocument.spreadsheetml.worksheet+xml" PartName="/xl/worksheets/sheet4588.xml"/>
  <Override ContentType="application/vnd.openxmlformats-officedocument.spreadsheetml.worksheet+xml" PartName="/xl/worksheets/sheet4589.xml"/>
  <Override ContentType="application/vnd.openxmlformats-officedocument.spreadsheetml.worksheet+xml" PartName="/xl/worksheets/sheet4590.xml"/>
  <Override ContentType="application/vnd.openxmlformats-officedocument.spreadsheetml.worksheet+xml" PartName="/xl/worksheets/sheet4591.xml"/>
  <Override ContentType="application/vnd.openxmlformats-officedocument.spreadsheetml.worksheet+xml" PartName="/xl/worksheets/sheet4592.xml"/>
  <Override ContentType="application/vnd.openxmlformats-officedocument.spreadsheetml.worksheet+xml" PartName="/xl/worksheets/sheet4593.xml"/>
  <Override ContentType="application/vnd.openxmlformats-officedocument.spreadsheetml.worksheet+xml" PartName="/xl/worksheets/sheet4594.xml"/>
  <Override ContentType="application/vnd.openxmlformats-officedocument.spreadsheetml.worksheet+xml" PartName="/xl/worksheets/sheet4595.xml"/>
  <Override ContentType="application/vnd.openxmlformats-officedocument.spreadsheetml.worksheet+xml" PartName="/xl/worksheets/sheet4596.xml"/>
  <Override ContentType="application/vnd.openxmlformats-officedocument.spreadsheetml.worksheet+xml" PartName="/xl/worksheets/sheet4597.xml"/>
  <Override ContentType="application/vnd.openxmlformats-officedocument.spreadsheetml.worksheet+xml" PartName="/xl/worksheets/sheet4598.xml"/>
  <Override ContentType="application/vnd.openxmlformats-officedocument.spreadsheetml.worksheet+xml" PartName="/xl/worksheets/sheet4599.xml"/>
  <Override ContentType="application/vnd.openxmlformats-officedocument.spreadsheetml.worksheet+xml" PartName="/xl/worksheets/sheet4600.xml"/>
  <Override ContentType="application/vnd.openxmlformats-officedocument.spreadsheetml.worksheet+xml" PartName="/xl/worksheets/sheet4601.xml"/>
  <Override ContentType="application/vnd.openxmlformats-officedocument.spreadsheetml.worksheet+xml" PartName="/xl/worksheets/sheet4602.xml"/>
  <Override ContentType="application/vnd.openxmlformats-officedocument.spreadsheetml.worksheet+xml" PartName="/xl/worksheets/sheet4603.xml"/>
  <Override ContentType="application/vnd.openxmlformats-officedocument.spreadsheetml.worksheet+xml" PartName="/xl/worksheets/sheet4604.xml"/>
  <Override ContentType="application/vnd.openxmlformats-officedocument.spreadsheetml.worksheet+xml" PartName="/xl/worksheets/sheet4605.xml"/>
  <Override ContentType="application/vnd.openxmlformats-officedocument.spreadsheetml.worksheet+xml" PartName="/xl/worksheets/sheet4606.xml"/>
  <Override ContentType="application/vnd.openxmlformats-officedocument.spreadsheetml.worksheet+xml" PartName="/xl/worksheets/sheet4607.xml"/>
  <Override ContentType="application/vnd.openxmlformats-officedocument.spreadsheetml.worksheet+xml" PartName="/xl/worksheets/sheet4608.xml"/>
  <Override ContentType="application/vnd.openxmlformats-officedocument.spreadsheetml.worksheet+xml" PartName="/xl/worksheets/sheet4609.xml"/>
  <Override ContentType="application/vnd.openxmlformats-officedocument.spreadsheetml.worksheet+xml" PartName="/xl/worksheets/sheet4610.xml"/>
  <Override ContentType="application/vnd.openxmlformats-officedocument.spreadsheetml.worksheet+xml" PartName="/xl/worksheets/sheet4611.xml"/>
  <Override ContentType="application/vnd.openxmlformats-officedocument.spreadsheetml.worksheet+xml" PartName="/xl/worksheets/sheet4612.xml"/>
  <Override ContentType="application/vnd.openxmlformats-officedocument.spreadsheetml.worksheet+xml" PartName="/xl/worksheets/sheet4613.xml"/>
  <Override ContentType="application/vnd.openxmlformats-officedocument.spreadsheetml.worksheet+xml" PartName="/xl/worksheets/sheet4614.xml"/>
  <Override ContentType="application/vnd.openxmlformats-officedocument.spreadsheetml.worksheet+xml" PartName="/xl/worksheets/sheet4615.xml"/>
  <Override ContentType="application/vnd.openxmlformats-officedocument.spreadsheetml.worksheet+xml" PartName="/xl/worksheets/sheet4616.xml"/>
  <Override ContentType="application/vnd.openxmlformats-officedocument.spreadsheetml.worksheet+xml" PartName="/xl/worksheets/sheet4617.xml"/>
  <Override ContentType="application/vnd.openxmlformats-officedocument.spreadsheetml.worksheet+xml" PartName="/xl/worksheets/sheet4618.xml"/>
  <Override ContentType="application/vnd.openxmlformats-officedocument.spreadsheetml.worksheet+xml" PartName="/xl/worksheets/sheet4619.xml"/>
  <Override ContentType="application/vnd.openxmlformats-officedocument.spreadsheetml.worksheet+xml" PartName="/xl/worksheets/sheet4620.xml"/>
  <Override ContentType="application/vnd.openxmlformats-officedocument.spreadsheetml.worksheet+xml" PartName="/xl/worksheets/sheet4621.xml"/>
  <Override ContentType="application/vnd.openxmlformats-officedocument.spreadsheetml.worksheet+xml" PartName="/xl/worksheets/sheet4622.xml"/>
  <Override ContentType="application/vnd.openxmlformats-officedocument.spreadsheetml.worksheet+xml" PartName="/xl/worksheets/sheet4623.xml"/>
  <Override ContentType="application/vnd.openxmlformats-officedocument.spreadsheetml.worksheet+xml" PartName="/xl/worksheets/sheet4624.xml"/>
  <Override ContentType="application/vnd.openxmlformats-officedocument.spreadsheetml.worksheet+xml" PartName="/xl/worksheets/sheet4625.xml"/>
  <Override ContentType="application/vnd.openxmlformats-officedocument.spreadsheetml.worksheet+xml" PartName="/xl/worksheets/sheet4626.xml"/>
  <Override ContentType="application/vnd.openxmlformats-officedocument.spreadsheetml.worksheet+xml" PartName="/xl/worksheets/sheet4627.xml"/>
  <Override ContentType="application/vnd.openxmlformats-officedocument.spreadsheetml.worksheet+xml" PartName="/xl/worksheets/sheet4628.xml"/>
  <Override ContentType="application/vnd.openxmlformats-officedocument.spreadsheetml.worksheet+xml" PartName="/xl/worksheets/sheet4629.xml"/>
  <Override ContentType="application/vnd.openxmlformats-officedocument.spreadsheetml.worksheet+xml" PartName="/xl/worksheets/sheet4630.xml"/>
  <Override ContentType="application/vnd.openxmlformats-officedocument.spreadsheetml.worksheet+xml" PartName="/xl/worksheets/sheet4631.xml"/>
  <Override ContentType="application/vnd.openxmlformats-officedocument.spreadsheetml.worksheet+xml" PartName="/xl/worksheets/sheet4632.xml"/>
  <Override ContentType="application/vnd.openxmlformats-officedocument.spreadsheetml.worksheet+xml" PartName="/xl/worksheets/sheet4633.xml"/>
  <Override ContentType="application/vnd.openxmlformats-officedocument.spreadsheetml.worksheet+xml" PartName="/xl/worksheets/sheet4634.xml"/>
  <Override ContentType="application/vnd.openxmlformats-officedocument.spreadsheetml.worksheet+xml" PartName="/xl/worksheets/sheet4635.xml"/>
  <Override ContentType="application/vnd.openxmlformats-officedocument.spreadsheetml.worksheet+xml" PartName="/xl/worksheets/sheet4636.xml"/>
  <Override ContentType="application/vnd.openxmlformats-officedocument.spreadsheetml.worksheet+xml" PartName="/xl/worksheets/sheet4637.xml"/>
  <Override ContentType="application/vnd.openxmlformats-officedocument.spreadsheetml.worksheet+xml" PartName="/xl/worksheets/sheet4638.xml"/>
  <Override ContentType="application/vnd.openxmlformats-officedocument.spreadsheetml.worksheet+xml" PartName="/xl/worksheets/sheet4639.xml"/>
  <Override ContentType="application/vnd.openxmlformats-officedocument.spreadsheetml.worksheet+xml" PartName="/xl/worksheets/sheet4640.xml"/>
  <Override ContentType="application/vnd.openxmlformats-officedocument.spreadsheetml.worksheet+xml" PartName="/xl/worksheets/sheet4641.xml"/>
  <Override ContentType="application/vnd.openxmlformats-officedocument.spreadsheetml.worksheet+xml" PartName="/xl/worksheets/sheet4642.xml"/>
  <Override ContentType="application/vnd.openxmlformats-officedocument.spreadsheetml.worksheet+xml" PartName="/xl/worksheets/sheet4643.xml"/>
  <Override ContentType="application/vnd.openxmlformats-officedocument.spreadsheetml.worksheet+xml" PartName="/xl/worksheets/sheet4644.xml"/>
  <Override ContentType="application/vnd.openxmlformats-officedocument.spreadsheetml.worksheet+xml" PartName="/xl/worksheets/sheet4645.xml"/>
  <Override ContentType="application/vnd.openxmlformats-officedocument.spreadsheetml.worksheet+xml" PartName="/xl/worksheets/sheet4646.xml"/>
  <Override ContentType="application/vnd.openxmlformats-officedocument.spreadsheetml.worksheet+xml" PartName="/xl/worksheets/sheet4647.xml"/>
  <Override ContentType="application/vnd.openxmlformats-officedocument.spreadsheetml.worksheet+xml" PartName="/xl/worksheets/sheet4648.xml"/>
  <Override ContentType="application/vnd.openxmlformats-officedocument.spreadsheetml.worksheet+xml" PartName="/xl/worksheets/sheet4649.xml"/>
  <Override ContentType="application/vnd.openxmlformats-officedocument.spreadsheetml.worksheet+xml" PartName="/xl/worksheets/sheet4650.xml"/>
  <Override ContentType="application/vnd.openxmlformats-officedocument.spreadsheetml.worksheet+xml" PartName="/xl/worksheets/sheet4651.xml"/>
  <Override ContentType="application/vnd.openxmlformats-officedocument.spreadsheetml.worksheet+xml" PartName="/xl/worksheets/sheet4652.xml"/>
  <Override ContentType="application/vnd.openxmlformats-officedocument.spreadsheetml.worksheet+xml" PartName="/xl/worksheets/sheet4653.xml"/>
  <Override ContentType="application/vnd.openxmlformats-officedocument.spreadsheetml.worksheet+xml" PartName="/xl/worksheets/sheet4654.xml"/>
  <Override ContentType="application/vnd.openxmlformats-officedocument.spreadsheetml.worksheet+xml" PartName="/xl/worksheets/sheet4655.xml"/>
  <Override ContentType="application/vnd.openxmlformats-officedocument.spreadsheetml.worksheet+xml" PartName="/xl/worksheets/sheet4656.xml"/>
  <Override ContentType="application/vnd.openxmlformats-officedocument.spreadsheetml.worksheet+xml" PartName="/xl/worksheets/sheet4657.xml"/>
  <Override ContentType="application/vnd.openxmlformats-officedocument.spreadsheetml.worksheet+xml" PartName="/xl/worksheets/sheet4658.xml"/>
  <Override ContentType="application/vnd.openxmlformats-officedocument.spreadsheetml.worksheet+xml" PartName="/xl/worksheets/sheet4659.xml"/>
  <Override ContentType="application/vnd.openxmlformats-officedocument.spreadsheetml.worksheet+xml" PartName="/xl/worksheets/sheet4660.xml"/>
  <Override ContentType="application/vnd.openxmlformats-officedocument.spreadsheetml.worksheet+xml" PartName="/xl/worksheets/sheet4661.xml"/>
  <Override ContentType="application/vnd.openxmlformats-officedocument.spreadsheetml.worksheet+xml" PartName="/xl/worksheets/sheet4662.xml"/>
  <Override ContentType="application/vnd.openxmlformats-officedocument.spreadsheetml.worksheet+xml" PartName="/xl/worksheets/sheet4663.xml"/>
  <Override ContentType="application/vnd.openxmlformats-officedocument.spreadsheetml.worksheet+xml" PartName="/xl/worksheets/sheet4664.xml"/>
  <Override ContentType="application/vnd.openxmlformats-officedocument.spreadsheetml.worksheet+xml" PartName="/xl/worksheets/sheet4665.xml"/>
  <Override ContentType="application/vnd.openxmlformats-officedocument.spreadsheetml.worksheet+xml" PartName="/xl/worksheets/sheet4666.xml"/>
  <Override ContentType="application/vnd.openxmlformats-officedocument.spreadsheetml.worksheet+xml" PartName="/xl/worksheets/sheet4667.xml"/>
  <Override ContentType="application/vnd.openxmlformats-officedocument.spreadsheetml.worksheet+xml" PartName="/xl/worksheets/sheet4668.xml"/>
  <Override ContentType="application/vnd.openxmlformats-officedocument.spreadsheetml.worksheet+xml" PartName="/xl/worksheets/sheet4669.xml"/>
  <Override ContentType="application/vnd.openxmlformats-officedocument.spreadsheetml.worksheet+xml" PartName="/xl/worksheets/sheet4670.xml"/>
  <Override ContentType="application/vnd.openxmlformats-officedocument.spreadsheetml.worksheet+xml" PartName="/xl/worksheets/sheet4671.xml"/>
  <Override ContentType="application/vnd.openxmlformats-officedocument.spreadsheetml.worksheet+xml" PartName="/xl/worksheets/sheet4672.xml"/>
  <Override ContentType="application/vnd.openxmlformats-officedocument.spreadsheetml.worksheet+xml" PartName="/xl/worksheets/sheet4673.xml"/>
  <Override ContentType="application/vnd.openxmlformats-officedocument.spreadsheetml.worksheet+xml" PartName="/xl/worksheets/sheet4674.xml"/>
  <Override ContentType="application/vnd.openxmlformats-officedocument.spreadsheetml.worksheet+xml" PartName="/xl/worksheets/sheet4675.xml"/>
  <Override ContentType="application/vnd.openxmlformats-officedocument.spreadsheetml.worksheet+xml" PartName="/xl/worksheets/sheet4676.xml"/>
  <Override ContentType="application/vnd.openxmlformats-officedocument.spreadsheetml.worksheet+xml" PartName="/xl/worksheets/sheet4677.xml"/>
  <Override ContentType="application/vnd.openxmlformats-officedocument.spreadsheetml.worksheet+xml" PartName="/xl/worksheets/sheet4678.xml"/>
  <Override ContentType="application/vnd.openxmlformats-officedocument.spreadsheetml.worksheet+xml" PartName="/xl/worksheets/sheet4679.xml"/>
  <Override ContentType="application/vnd.openxmlformats-officedocument.spreadsheetml.worksheet+xml" PartName="/xl/worksheets/sheet4680.xml"/>
  <Override ContentType="application/vnd.openxmlformats-officedocument.spreadsheetml.worksheet+xml" PartName="/xl/worksheets/sheet4681.xml"/>
  <Override ContentType="application/vnd.openxmlformats-officedocument.spreadsheetml.worksheet+xml" PartName="/xl/worksheets/sheet4682.xml"/>
  <Override ContentType="application/vnd.openxmlformats-officedocument.spreadsheetml.worksheet+xml" PartName="/xl/worksheets/sheet4683.xml"/>
  <Override ContentType="application/vnd.openxmlformats-officedocument.spreadsheetml.worksheet+xml" PartName="/xl/worksheets/sheet4684.xml"/>
  <Override ContentType="application/vnd.openxmlformats-officedocument.spreadsheetml.worksheet+xml" PartName="/xl/worksheets/sheet4685.xml"/>
  <Override ContentType="application/vnd.openxmlformats-officedocument.spreadsheetml.worksheet+xml" PartName="/xl/worksheets/sheet4686.xml"/>
  <Override ContentType="application/vnd.openxmlformats-officedocument.spreadsheetml.worksheet+xml" PartName="/xl/worksheets/sheet4687.xml"/>
  <Override ContentType="application/vnd.openxmlformats-officedocument.spreadsheetml.worksheet+xml" PartName="/xl/worksheets/sheet4688.xml"/>
  <Override ContentType="application/vnd.openxmlformats-officedocument.spreadsheetml.worksheet+xml" PartName="/xl/worksheets/sheet4689.xml"/>
  <Override ContentType="application/vnd.openxmlformats-officedocument.spreadsheetml.worksheet+xml" PartName="/xl/worksheets/sheet4690.xml"/>
  <Override ContentType="application/vnd.openxmlformats-officedocument.spreadsheetml.worksheet+xml" PartName="/xl/worksheets/sheet4691.xml"/>
  <Override ContentType="application/vnd.openxmlformats-officedocument.spreadsheetml.worksheet+xml" PartName="/xl/worksheets/sheet4692.xml"/>
  <Override ContentType="application/vnd.openxmlformats-officedocument.spreadsheetml.worksheet+xml" PartName="/xl/worksheets/sheet4693.xml"/>
  <Override ContentType="application/vnd.openxmlformats-officedocument.spreadsheetml.worksheet+xml" PartName="/xl/worksheets/sheet4694.xml"/>
  <Override ContentType="application/vnd.openxmlformats-officedocument.spreadsheetml.worksheet+xml" PartName="/xl/worksheets/sheet4695.xml"/>
  <Override ContentType="application/vnd.openxmlformats-officedocument.spreadsheetml.worksheet+xml" PartName="/xl/worksheets/sheet4696.xml"/>
  <Override ContentType="application/vnd.openxmlformats-officedocument.spreadsheetml.worksheet+xml" PartName="/xl/worksheets/sheet4697.xml"/>
  <Override ContentType="application/vnd.openxmlformats-officedocument.spreadsheetml.worksheet+xml" PartName="/xl/worksheets/sheet4698.xml"/>
  <Override ContentType="application/vnd.openxmlformats-officedocument.spreadsheetml.worksheet+xml" PartName="/xl/worksheets/sheet4699.xml"/>
  <Override ContentType="application/vnd.openxmlformats-officedocument.spreadsheetml.worksheet+xml" PartName="/xl/worksheets/sheet4700.xml"/>
  <Override ContentType="application/vnd.openxmlformats-officedocument.spreadsheetml.worksheet+xml" PartName="/xl/worksheets/sheet4701.xml"/>
  <Override ContentType="application/vnd.openxmlformats-officedocument.spreadsheetml.worksheet+xml" PartName="/xl/worksheets/sheet4702.xml"/>
  <Override ContentType="application/vnd.openxmlformats-officedocument.spreadsheetml.worksheet+xml" PartName="/xl/worksheets/sheet4703.xml"/>
  <Override ContentType="application/vnd.openxmlformats-officedocument.spreadsheetml.worksheet+xml" PartName="/xl/worksheets/sheet4704.xml"/>
  <Override ContentType="application/vnd.openxmlformats-officedocument.spreadsheetml.worksheet+xml" PartName="/xl/worksheets/sheet4705.xml"/>
  <Override ContentType="application/vnd.openxmlformats-officedocument.spreadsheetml.worksheet+xml" PartName="/xl/worksheets/sheet4706.xml"/>
  <Override ContentType="application/vnd.openxmlformats-officedocument.spreadsheetml.worksheet+xml" PartName="/xl/worksheets/sheet4707.xml"/>
  <Override ContentType="application/vnd.openxmlformats-officedocument.spreadsheetml.worksheet+xml" PartName="/xl/worksheets/sheet4708.xml"/>
  <Override ContentType="application/vnd.openxmlformats-officedocument.spreadsheetml.worksheet+xml" PartName="/xl/worksheets/sheet4709.xml"/>
  <Override ContentType="application/vnd.openxmlformats-officedocument.spreadsheetml.worksheet+xml" PartName="/xl/worksheets/sheet4710.xml"/>
  <Override ContentType="application/vnd.openxmlformats-officedocument.spreadsheetml.worksheet+xml" PartName="/xl/worksheets/sheet4711.xml"/>
  <Override ContentType="application/vnd.openxmlformats-officedocument.spreadsheetml.worksheet+xml" PartName="/xl/worksheets/sheet4712.xml"/>
  <Override ContentType="application/vnd.openxmlformats-officedocument.spreadsheetml.worksheet+xml" PartName="/xl/worksheets/sheet4713.xml"/>
  <Override ContentType="application/vnd.openxmlformats-officedocument.spreadsheetml.worksheet+xml" PartName="/xl/worksheets/sheet4714.xml"/>
  <Override ContentType="application/vnd.openxmlformats-officedocument.spreadsheetml.worksheet+xml" PartName="/xl/worksheets/sheet4715.xml"/>
  <Override ContentType="application/vnd.openxmlformats-officedocument.spreadsheetml.worksheet+xml" PartName="/xl/worksheets/sheet4716.xml"/>
  <Override ContentType="application/vnd.openxmlformats-officedocument.spreadsheetml.worksheet+xml" PartName="/xl/worksheets/sheet4717.xml"/>
  <Override ContentType="application/vnd.openxmlformats-officedocument.spreadsheetml.worksheet+xml" PartName="/xl/worksheets/sheet4718.xml"/>
  <Override ContentType="application/vnd.openxmlformats-officedocument.spreadsheetml.worksheet+xml" PartName="/xl/worksheets/sheet4719.xml"/>
  <Override ContentType="application/vnd.openxmlformats-officedocument.spreadsheetml.worksheet+xml" PartName="/xl/worksheets/sheet4720.xml"/>
  <Override ContentType="application/vnd.openxmlformats-officedocument.spreadsheetml.worksheet+xml" PartName="/xl/worksheets/sheet4721.xml"/>
  <Override ContentType="application/vnd.openxmlformats-officedocument.spreadsheetml.worksheet+xml" PartName="/xl/worksheets/sheet4722.xml"/>
  <Override ContentType="application/vnd.openxmlformats-officedocument.spreadsheetml.worksheet+xml" PartName="/xl/worksheets/sheet4723.xml"/>
  <Override ContentType="application/vnd.openxmlformats-officedocument.spreadsheetml.worksheet+xml" PartName="/xl/worksheets/sheet4724.xml"/>
  <Override ContentType="application/vnd.openxmlformats-officedocument.spreadsheetml.worksheet+xml" PartName="/xl/worksheets/sheet4725.xml"/>
  <Override ContentType="application/vnd.openxmlformats-officedocument.spreadsheetml.worksheet+xml" PartName="/xl/worksheets/sheet4726.xml"/>
  <Override ContentType="application/vnd.openxmlformats-officedocument.spreadsheetml.worksheet+xml" PartName="/xl/worksheets/sheet4727.xml"/>
  <Override ContentType="application/vnd.openxmlformats-officedocument.spreadsheetml.worksheet+xml" PartName="/xl/worksheets/sheet4728.xml"/>
  <Override ContentType="application/vnd.openxmlformats-officedocument.spreadsheetml.worksheet+xml" PartName="/xl/worksheets/sheet4729.xml"/>
  <Override ContentType="application/vnd.openxmlformats-officedocument.spreadsheetml.worksheet+xml" PartName="/xl/worksheets/sheet4730.xml"/>
  <Override ContentType="application/vnd.openxmlformats-officedocument.spreadsheetml.worksheet+xml" PartName="/xl/worksheets/sheet4731.xml"/>
  <Override ContentType="application/vnd.openxmlformats-officedocument.spreadsheetml.worksheet+xml" PartName="/xl/worksheets/sheet4732.xml"/>
  <Override ContentType="application/vnd.openxmlformats-officedocument.spreadsheetml.worksheet+xml" PartName="/xl/worksheets/sheet4733.xml"/>
  <Override ContentType="application/vnd.openxmlformats-officedocument.spreadsheetml.worksheet+xml" PartName="/xl/worksheets/sheet4734.xml"/>
  <Override ContentType="application/vnd.openxmlformats-officedocument.spreadsheetml.worksheet+xml" PartName="/xl/worksheets/sheet4735.xml"/>
  <Override ContentType="application/vnd.openxmlformats-officedocument.spreadsheetml.worksheet+xml" PartName="/xl/worksheets/sheet4736.xml"/>
  <Override ContentType="application/vnd.openxmlformats-officedocument.spreadsheetml.worksheet+xml" PartName="/xl/worksheets/sheet4737.xml"/>
  <Override ContentType="application/vnd.openxmlformats-officedocument.spreadsheetml.worksheet+xml" PartName="/xl/worksheets/sheet4738.xml"/>
  <Override ContentType="application/vnd.openxmlformats-officedocument.spreadsheetml.worksheet+xml" PartName="/xl/worksheets/sheet4739.xml"/>
  <Override ContentType="application/vnd.openxmlformats-officedocument.spreadsheetml.worksheet+xml" PartName="/xl/worksheets/sheet4740.xml"/>
  <Override ContentType="application/vnd.openxmlformats-officedocument.spreadsheetml.worksheet+xml" PartName="/xl/worksheets/sheet4741.xml"/>
  <Override ContentType="application/vnd.openxmlformats-officedocument.spreadsheetml.worksheet+xml" PartName="/xl/worksheets/sheet4742.xml"/>
  <Override ContentType="application/vnd.openxmlformats-officedocument.spreadsheetml.worksheet+xml" PartName="/xl/worksheets/sheet4743.xml"/>
  <Override ContentType="application/vnd.openxmlformats-officedocument.spreadsheetml.worksheet+xml" PartName="/xl/worksheets/sheet4744.xml"/>
  <Override ContentType="application/vnd.openxmlformats-officedocument.spreadsheetml.worksheet+xml" PartName="/xl/worksheets/sheet4745.xml"/>
  <Override ContentType="application/vnd.openxmlformats-officedocument.spreadsheetml.worksheet+xml" PartName="/xl/worksheets/sheet4746.xml"/>
  <Override ContentType="application/vnd.openxmlformats-officedocument.spreadsheetml.worksheet+xml" PartName="/xl/worksheets/sheet4747.xml"/>
  <Override ContentType="application/vnd.openxmlformats-officedocument.spreadsheetml.worksheet+xml" PartName="/xl/worksheets/sheet4748.xml"/>
  <Override ContentType="application/vnd.openxmlformats-officedocument.spreadsheetml.worksheet+xml" PartName="/xl/worksheets/sheet4749.xml"/>
  <Override ContentType="application/vnd.openxmlformats-officedocument.spreadsheetml.worksheet+xml" PartName="/xl/worksheets/sheet4750.xml"/>
  <Override ContentType="application/vnd.openxmlformats-officedocument.spreadsheetml.worksheet+xml" PartName="/xl/worksheets/sheet4751.xml"/>
  <Override ContentType="application/vnd.openxmlformats-officedocument.spreadsheetml.worksheet+xml" PartName="/xl/worksheets/sheet4752.xml"/>
  <Override ContentType="application/vnd.openxmlformats-officedocument.spreadsheetml.worksheet+xml" PartName="/xl/worksheets/sheet4753.xml"/>
  <Override ContentType="application/vnd.openxmlformats-officedocument.spreadsheetml.worksheet+xml" PartName="/xl/worksheets/sheet4754.xml"/>
  <Override ContentType="application/vnd.openxmlformats-officedocument.spreadsheetml.worksheet+xml" PartName="/xl/worksheets/sheet4755.xml"/>
  <Override ContentType="application/vnd.openxmlformats-officedocument.spreadsheetml.worksheet+xml" PartName="/xl/worksheets/sheet4756.xml"/>
  <Override ContentType="application/vnd.openxmlformats-officedocument.spreadsheetml.worksheet+xml" PartName="/xl/worksheets/sheet4757.xml"/>
  <Override ContentType="application/vnd.openxmlformats-officedocument.spreadsheetml.worksheet+xml" PartName="/xl/worksheets/sheet4758.xml"/>
  <Override ContentType="application/vnd.openxmlformats-officedocument.spreadsheetml.worksheet+xml" PartName="/xl/worksheets/sheet4759.xml"/>
  <Override ContentType="application/vnd.openxmlformats-officedocument.spreadsheetml.worksheet+xml" PartName="/xl/worksheets/sheet4760.xml"/>
  <Override ContentType="application/vnd.openxmlformats-officedocument.spreadsheetml.worksheet+xml" PartName="/xl/worksheets/sheet4761.xml"/>
  <Override ContentType="application/vnd.openxmlformats-officedocument.spreadsheetml.worksheet+xml" PartName="/xl/worksheets/sheet4762.xml"/>
  <Override ContentType="application/vnd.openxmlformats-officedocument.spreadsheetml.worksheet+xml" PartName="/xl/worksheets/sheet4763.xml"/>
  <Override ContentType="application/vnd.openxmlformats-officedocument.spreadsheetml.worksheet+xml" PartName="/xl/worksheets/sheet4764.xml"/>
  <Override ContentType="application/vnd.openxmlformats-officedocument.spreadsheetml.worksheet+xml" PartName="/xl/worksheets/sheet4765.xml"/>
  <Override ContentType="application/vnd.openxmlformats-officedocument.spreadsheetml.worksheet+xml" PartName="/xl/worksheets/sheet4766.xml"/>
  <Override ContentType="application/vnd.openxmlformats-officedocument.spreadsheetml.worksheet+xml" PartName="/xl/worksheets/sheet4767.xml"/>
  <Override ContentType="application/vnd.openxmlformats-officedocument.spreadsheetml.worksheet+xml" PartName="/xl/worksheets/sheet4768.xml"/>
  <Override ContentType="application/vnd.openxmlformats-officedocument.spreadsheetml.worksheet+xml" PartName="/xl/worksheets/sheet4769.xml"/>
  <Override ContentType="application/vnd.openxmlformats-officedocument.spreadsheetml.worksheet+xml" PartName="/xl/worksheets/sheet4770.xml"/>
  <Override ContentType="application/vnd.openxmlformats-officedocument.spreadsheetml.worksheet+xml" PartName="/xl/worksheets/sheet4771.xml"/>
  <Override ContentType="application/vnd.openxmlformats-officedocument.spreadsheetml.worksheet+xml" PartName="/xl/worksheets/sheet4772.xml"/>
  <Override ContentType="application/vnd.openxmlformats-officedocument.spreadsheetml.worksheet+xml" PartName="/xl/worksheets/sheet4773.xml"/>
  <Override ContentType="application/vnd.openxmlformats-officedocument.spreadsheetml.worksheet+xml" PartName="/xl/worksheets/sheet4774.xml"/>
  <Override ContentType="application/vnd.openxmlformats-officedocument.spreadsheetml.worksheet+xml" PartName="/xl/worksheets/sheet4775.xml"/>
  <Override ContentType="application/vnd.openxmlformats-officedocument.spreadsheetml.worksheet+xml" PartName="/xl/worksheets/sheet4776.xml"/>
  <Override ContentType="application/vnd.openxmlformats-officedocument.spreadsheetml.worksheet+xml" PartName="/xl/worksheets/sheet4777.xml"/>
  <Override ContentType="application/vnd.openxmlformats-officedocument.spreadsheetml.worksheet+xml" PartName="/xl/worksheets/sheet4778.xml"/>
  <Override ContentType="application/vnd.openxmlformats-officedocument.spreadsheetml.worksheet+xml" PartName="/xl/worksheets/sheet4779.xml"/>
  <Override ContentType="application/vnd.openxmlformats-officedocument.spreadsheetml.worksheet+xml" PartName="/xl/worksheets/sheet4780.xml"/>
  <Override ContentType="application/vnd.openxmlformats-officedocument.spreadsheetml.worksheet+xml" PartName="/xl/worksheets/sheet4781.xml"/>
  <Override ContentType="application/vnd.openxmlformats-officedocument.spreadsheetml.worksheet+xml" PartName="/xl/worksheets/sheet4782.xml"/>
  <Override ContentType="application/vnd.openxmlformats-officedocument.spreadsheetml.worksheet+xml" PartName="/xl/worksheets/sheet4783.xml"/>
  <Override ContentType="application/vnd.openxmlformats-officedocument.spreadsheetml.worksheet+xml" PartName="/xl/worksheets/sheet4784.xml"/>
  <Override ContentType="application/vnd.openxmlformats-officedocument.spreadsheetml.worksheet+xml" PartName="/xl/worksheets/sheet4785.xml"/>
  <Override ContentType="application/vnd.openxmlformats-officedocument.spreadsheetml.worksheet+xml" PartName="/xl/worksheets/sheet4786.xml"/>
  <Override ContentType="application/vnd.openxmlformats-officedocument.spreadsheetml.worksheet+xml" PartName="/xl/worksheets/sheet4787.xml"/>
  <Override ContentType="application/vnd.openxmlformats-officedocument.spreadsheetml.worksheet+xml" PartName="/xl/worksheets/sheet4788.xml"/>
  <Override ContentType="application/vnd.openxmlformats-officedocument.spreadsheetml.worksheet+xml" PartName="/xl/worksheets/sheet4789.xml"/>
  <Override ContentType="application/vnd.openxmlformats-officedocument.spreadsheetml.worksheet+xml" PartName="/xl/worksheets/sheet4790.xml"/>
  <Override ContentType="application/vnd.openxmlformats-officedocument.spreadsheetml.worksheet+xml" PartName="/xl/worksheets/sheet4791.xml"/>
  <Override ContentType="application/vnd.openxmlformats-officedocument.spreadsheetml.worksheet+xml" PartName="/xl/worksheets/sheet4792.xml"/>
  <Override ContentType="application/vnd.openxmlformats-officedocument.spreadsheetml.worksheet+xml" PartName="/xl/worksheets/sheet4793.xml"/>
  <Override ContentType="application/vnd.openxmlformats-officedocument.spreadsheetml.worksheet+xml" PartName="/xl/worksheets/sheet4794.xml"/>
  <Override ContentType="application/vnd.openxmlformats-officedocument.spreadsheetml.worksheet+xml" PartName="/xl/worksheets/sheet4795.xml"/>
  <Override ContentType="application/vnd.openxmlformats-officedocument.spreadsheetml.worksheet+xml" PartName="/xl/worksheets/sheet4796.xml"/>
  <Override ContentType="application/vnd.openxmlformats-officedocument.spreadsheetml.worksheet+xml" PartName="/xl/worksheets/sheet4797.xml"/>
  <Override ContentType="application/vnd.openxmlformats-officedocument.spreadsheetml.worksheet+xml" PartName="/xl/worksheets/sheet4798.xml"/>
  <Override ContentType="application/vnd.openxmlformats-officedocument.spreadsheetml.worksheet+xml" PartName="/xl/worksheets/sheet4799.xml"/>
  <Override ContentType="application/vnd.openxmlformats-officedocument.spreadsheetml.worksheet+xml" PartName="/xl/worksheets/sheet4800.xml"/>
  <Override ContentType="application/vnd.openxmlformats-officedocument.spreadsheetml.worksheet+xml" PartName="/xl/worksheets/sheet4801.xml"/>
  <Override ContentType="application/vnd.openxmlformats-officedocument.spreadsheetml.worksheet+xml" PartName="/xl/worksheets/sheet4802.xml"/>
  <Override ContentType="application/vnd.openxmlformats-officedocument.spreadsheetml.worksheet+xml" PartName="/xl/worksheets/sheet4803.xml"/>
  <Override ContentType="application/vnd.openxmlformats-officedocument.spreadsheetml.worksheet+xml" PartName="/xl/worksheets/sheet4804.xml"/>
  <Override ContentType="application/vnd.openxmlformats-officedocument.spreadsheetml.worksheet+xml" PartName="/xl/worksheets/sheet4805.xml"/>
  <Override ContentType="application/vnd.openxmlformats-officedocument.spreadsheetml.worksheet+xml" PartName="/xl/worksheets/sheet4806.xml"/>
  <Override ContentType="application/vnd.openxmlformats-officedocument.spreadsheetml.worksheet+xml" PartName="/xl/worksheets/sheet4807.xml"/>
  <Override ContentType="application/vnd.openxmlformats-officedocument.spreadsheetml.worksheet+xml" PartName="/xl/worksheets/sheet4808.xml"/>
  <Override ContentType="application/vnd.openxmlformats-officedocument.spreadsheetml.worksheet+xml" PartName="/xl/worksheets/sheet4809.xml"/>
  <Override ContentType="application/vnd.openxmlformats-officedocument.spreadsheetml.worksheet+xml" PartName="/xl/worksheets/sheet4810.xml"/>
  <Override ContentType="application/vnd.openxmlformats-officedocument.spreadsheetml.worksheet+xml" PartName="/xl/worksheets/sheet4811.xml"/>
  <Override ContentType="application/vnd.openxmlformats-officedocument.spreadsheetml.worksheet+xml" PartName="/xl/worksheets/sheet4812.xml"/>
  <Override ContentType="application/vnd.openxmlformats-officedocument.spreadsheetml.worksheet+xml" PartName="/xl/worksheets/sheet4813.xml"/>
  <Override ContentType="application/vnd.openxmlformats-officedocument.spreadsheetml.worksheet+xml" PartName="/xl/worksheets/sheet4814.xml"/>
  <Override ContentType="application/vnd.openxmlformats-officedocument.spreadsheetml.worksheet+xml" PartName="/xl/worksheets/sheet4815.xml"/>
  <Override ContentType="application/vnd.openxmlformats-officedocument.spreadsheetml.worksheet+xml" PartName="/xl/worksheets/sheet4816.xml"/>
  <Override ContentType="application/vnd.openxmlformats-officedocument.spreadsheetml.worksheet+xml" PartName="/xl/worksheets/sheet4817.xml"/>
  <Override ContentType="application/vnd.openxmlformats-officedocument.spreadsheetml.worksheet+xml" PartName="/xl/worksheets/sheet4818.xml"/>
  <Override ContentType="application/vnd.openxmlformats-officedocument.spreadsheetml.worksheet+xml" PartName="/xl/worksheets/sheet4819.xml"/>
  <Override ContentType="application/vnd.openxmlformats-officedocument.spreadsheetml.worksheet+xml" PartName="/xl/worksheets/sheet4820.xml"/>
  <Override ContentType="application/vnd.openxmlformats-officedocument.spreadsheetml.worksheet+xml" PartName="/xl/worksheets/sheet4821.xml"/>
  <Override ContentType="application/vnd.openxmlformats-officedocument.spreadsheetml.worksheet+xml" PartName="/xl/worksheets/sheet4822.xml"/>
  <Override ContentType="application/vnd.openxmlformats-officedocument.spreadsheetml.worksheet+xml" PartName="/xl/worksheets/sheet4823.xml"/>
  <Override ContentType="application/vnd.openxmlformats-officedocument.spreadsheetml.worksheet+xml" PartName="/xl/worksheets/sheet4824.xml"/>
  <Override ContentType="application/vnd.openxmlformats-officedocument.spreadsheetml.worksheet+xml" PartName="/xl/worksheets/sheet4825.xml"/>
  <Override ContentType="application/vnd.openxmlformats-officedocument.spreadsheetml.worksheet+xml" PartName="/xl/worksheets/sheet4826.xml"/>
  <Override ContentType="application/vnd.openxmlformats-officedocument.spreadsheetml.worksheet+xml" PartName="/xl/worksheets/sheet4827.xml"/>
  <Override ContentType="application/vnd.openxmlformats-officedocument.spreadsheetml.worksheet+xml" PartName="/xl/worksheets/sheet4828.xml"/>
  <Override ContentType="application/vnd.openxmlformats-officedocument.spreadsheetml.worksheet+xml" PartName="/xl/worksheets/sheet4829.xml"/>
  <Override ContentType="application/vnd.openxmlformats-officedocument.spreadsheetml.worksheet+xml" PartName="/xl/worksheets/sheet4830.xml"/>
  <Override ContentType="application/vnd.openxmlformats-officedocument.spreadsheetml.worksheet+xml" PartName="/xl/worksheets/sheet4831.xml"/>
  <Override ContentType="application/vnd.openxmlformats-officedocument.spreadsheetml.worksheet+xml" PartName="/xl/worksheets/sheet4832.xml"/>
  <Override ContentType="application/vnd.openxmlformats-officedocument.spreadsheetml.worksheet+xml" PartName="/xl/worksheets/sheet4833.xml"/>
  <Override ContentType="application/vnd.openxmlformats-officedocument.spreadsheetml.worksheet+xml" PartName="/xl/worksheets/sheet4834.xml"/>
  <Override ContentType="application/vnd.openxmlformats-officedocument.spreadsheetml.worksheet+xml" PartName="/xl/worksheets/sheet4835.xml"/>
  <Override ContentType="application/vnd.openxmlformats-officedocument.spreadsheetml.worksheet+xml" PartName="/xl/worksheets/sheet4836.xml"/>
  <Override ContentType="application/vnd.openxmlformats-officedocument.spreadsheetml.worksheet+xml" PartName="/xl/worksheets/sheet4837.xml"/>
  <Override ContentType="application/vnd.openxmlformats-officedocument.spreadsheetml.worksheet+xml" PartName="/xl/worksheets/sheet4838.xml"/>
  <Override ContentType="application/vnd.openxmlformats-officedocument.spreadsheetml.worksheet+xml" PartName="/xl/worksheets/sheet4839.xml"/>
  <Override ContentType="application/vnd.openxmlformats-officedocument.spreadsheetml.worksheet+xml" PartName="/xl/worksheets/sheet4840.xml"/>
  <Override ContentType="application/vnd.openxmlformats-officedocument.spreadsheetml.worksheet+xml" PartName="/xl/worksheets/sheet4841.xml"/>
  <Override ContentType="application/vnd.openxmlformats-officedocument.spreadsheetml.worksheet+xml" PartName="/xl/worksheets/sheet4842.xml"/>
  <Override ContentType="application/vnd.openxmlformats-officedocument.spreadsheetml.worksheet+xml" PartName="/xl/worksheets/sheet4843.xml"/>
  <Override ContentType="application/vnd.openxmlformats-officedocument.spreadsheetml.worksheet+xml" PartName="/xl/worksheets/sheet4844.xml"/>
  <Override ContentType="application/vnd.openxmlformats-officedocument.spreadsheetml.worksheet+xml" PartName="/xl/worksheets/sheet4845.xml"/>
  <Override ContentType="application/vnd.openxmlformats-officedocument.spreadsheetml.worksheet+xml" PartName="/xl/worksheets/sheet4846.xml"/>
  <Override ContentType="application/vnd.openxmlformats-officedocument.spreadsheetml.worksheet+xml" PartName="/xl/worksheets/sheet4847.xml"/>
  <Override ContentType="application/vnd.openxmlformats-officedocument.spreadsheetml.worksheet+xml" PartName="/xl/worksheets/sheet4848.xml"/>
  <Override ContentType="application/vnd.openxmlformats-officedocument.spreadsheetml.worksheet+xml" PartName="/xl/worksheets/sheet4849.xml"/>
  <Override ContentType="application/vnd.openxmlformats-officedocument.spreadsheetml.worksheet+xml" PartName="/xl/worksheets/sheet4850.xml"/>
  <Override ContentType="application/vnd.openxmlformats-officedocument.spreadsheetml.worksheet+xml" PartName="/xl/worksheets/sheet4851.xml"/>
  <Override ContentType="application/vnd.openxmlformats-officedocument.spreadsheetml.worksheet+xml" PartName="/xl/worksheets/sheet4852.xml"/>
  <Override ContentType="application/vnd.openxmlformats-officedocument.spreadsheetml.worksheet+xml" PartName="/xl/worksheets/sheet4853.xml"/>
  <Override ContentType="application/vnd.openxmlformats-officedocument.spreadsheetml.worksheet+xml" PartName="/xl/worksheets/sheet4854.xml"/>
  <Override ContentType="application/vnd.openxmlformats-officedocument.spreadsheetml.worksheet+xml" PartName="/xl/worksheets/sheet4855.xml"/>
  <Override ContentType="application/vnd.openxmlformats-officedocument.spreadsheetml.worksheet+xml" PartName="/xl/worksheets/sheet4856.xml"/>
  <Override ContentType="application/vnd.openxmlformats-officedocument.spreadsheetml.worksheet+xml" PartName="/xl/worksheets/sheet4857.xml"/>
  <Override ContentType="application/vnd.openxmlformats-officedocument.spreadsheetml.worksheet+xml" PartName="/xl/worksheets/sheet4858.xml"/>
  <Override ContentType="application/vnd.openxmlformats-officedocument.spreadsheetml.worksheet+xml" PartName="/xl/worksheets/sheet4859.xml"/>
  <Override ContentType="application/vnd.openxmlformats-officedocument.spreadsheetml.worksheet+xml" PartName="/xl/worksheets/sheet4860.xml"/>
  <Override ContentType="application/vnd.openxmlformats-officedocument.spreadsheetml.worksheet+xml" PartName="/xl/worksheets/sheet4861.xml"/>
  <Override ContentType="application/vnd.openxmlformats-officedocument.spreadsheetml.worksheet+xml" PartName="/xl/worksheets/sheet4862.xml"/>
  <Override ContentType="application/vnd.openxmlformats-officedocument.spreadsheetml.worksheet+xml" PartName="/xl/worksheets/sheet4863.xml"/>
  <Override ContentType="application/vnd.openxmlformats-officedocument.spreadsheetml.worksheet+xml" PartName="/xl/worksheets/sheet4864.xml"/>
  <Override ContentType="application/vnd.openxmlformats-officedocument.spreadsheetml.worksheet+xml" PartName="/xl/worksheets/sheet4865.xml"/>
  <Override ContentType="application/vnd.openxmlformats-officedocument.spreadsheetml.worksheet+xml" PartName="/xl/worksheets/sheet4866.xml"/>
  <Override ContentType="application/vnd.openxmlformats-officedocument.spreadsheetml.worksheet+xml" PartName="/xl/worksheets/sheet4867.xml"/>
  <Override ContentType="application/vnd.openxmlformats-officedocument.spreadsheetml.worksheet+xml" PartName="/xl/worksheets/sheet4868.xml"/>
  <Override ContentType="application/vnd.openxmlformats-officedocument.spreadsheetml.worksheet+xml" PartName="/xl/worksheets/sheet4869.xml"/>
  <Override ContentType="application/vnd.openxmlformats-officedocument.spreadsheetml.worksheet+xml" PartName="/xl/worksheets/sheet4870.xml"/>
  <Override ContentType="application/vnd.openxmlformats-officedocument.spreadsheetml.worksheet+xml" PartName="/xl/worksheets/sheet4871.xml"/>
  <Override ContentType="application/vnd.openxmlformats-officedocument.spreadsheetml.worksheet+xml" PartName="/xl/worksheets/sheet4872.xml"/>
  <Override ContentType="application/vnd.openxmlformats-officedocument.spreadsheetml.worksheet+xml" PartName="/xl/worksheets/sheet4873.xml"/>
  <Override ContentType="application/vnd.openxmlformats-officedocument.spreadsheetml.worksheet+xml" PartName="/xl/worksheets/sheet4874.xml"/>
  <Override ContentType="application/vnd.openxmlformats-officedocument.spreadsheetml.worksheet+xml" PartName="/xl/worksheets/sheet4875.xml"/>
  <Override ContentType="application/vnd.openxmlformats-officedocument.spreadsheetml.worksheet+xml" PartName="/xl/worksheets/sheet4876.xml"/>
  <Override ContentType="application/vnd.openxmlformats-officedocument.spreadsheetml.worksheet+xml" PartName="/xl/worksheets/sheet4877.xml"/>
  <Override ContentType="application/vnd.openxmlformats-officedocument.spreadsheetml.worksheet+xml" PartName="/xl/worksheets/sheet4878.xml"/>
  <Override ContentType="application/vnd.openxmlformats-officedocument.spreadsheetml.worksheet+xml" PartName="/xl/worksheets/sheet4879.xml"/>
  <Override ContentType="application/vnd.openxmlformats-officedocument.spreadsheetml.worksheet+xml" PartName="/xl/worksheets/sheet4880.xml"/>
  <Override ContentType="application/vnd.openxmlformats-officedocument.spreadsheetml.worksheet+xml" PartName="/xl/worksheets/sheet4881.xml"/>
  <Override ContentType="application/vnd.openxmlformats-officedocument.spreadsheetml.worksheet+xml" PartName="/xl/worksheets/sheet4882.xml"/>
  <Override ContentType="application/vnd.openxmlformats-officedocument.spreadsheetml.worksheet+xml" PartName="/xl/worksheets/sheet4883.xml"/>
  <Override ContentType="application/vnd.openxmlformats-officedocument.spreadsheetml.worksheet+xml" PartName="/xl/worksheets/sheet4884.xml"/>
  <Override ContentType="application/vnd.openxmlformats-officedocument.spreadsheetml.worksheet+xml" PartName="/xl/worksheets/sheet4885.xml"/>
  <Override ContentType="application/vnd.openxmlformats-officedocument.spreadsheetml.worksheet+xml" PartName="/xl/worksheets/sheet4886.xml"/>
  <Override ContentType="application/vnd.openxmlformats-officedocument.spreadsheetml.worksheet+xml" PartName="/xl/worksheets/sheet4887.xml"/>
  <Override ContentType="application/vnd.openxmlformats-officedocument.spreadsheetml.worksheet+xml" PartName="/xl/worksheets/sheet4888.xml"/>
  <Override ContentType="application/vnd.openxmlformats-officedocument.spreadsheetml.worksheet+xml" PartName="/xl/worksheets/sheet4889.xml"/>
  <Override ContentType="application/vnd.openxmlformats-officedocument.spreadsheetml.worksheet+xml" PartName="/xl/worksheets/sheet4890.xml"/>
  <Override ContentType="application/vnd.openxmlformats-officedocument.spreadsheetml.worksheet+xml" PartName="/xl/worksheets/sheet4891.xml"/>
  <Override ContentType="application/vnd.openxmlformats-officedocument.spreadsheetml.worksheet+xml" PartName="/xl/worksheets/sheet4892.xml"/>
  <Override ContentType="application/vnd.openxmlformats-officedocument.spreadsheetml.worksheet+xml" PartName="/xl/worksheets/sheet4893.xml"/>
  <Override ContentType="application/vnd.openxmlformats-officedocument.spreadsheetml.worksheet+xml" PartName="/xl/worksheets/sheet4894.xml"/>
  <Override ContentType="application/vnd.openxmlformats-officedocument.spreadsheetml.worksheet+xml" PartName="/xl/worksheets/sheet4895.xml"/>
  <Override ContentType="application/vnd.openxmlformats-officedocument.spreadsheetml.worksheet+xml" PartName="/xl/worksheets/sheet4896.xml"/>
  <Override ContentType="application/vnd.openxmlformats-officedocument.spreadsheetml.worksheet+xml" PartName="/xl/worksheets/sheet4897.xml"/>
  <Override ContentType="application/vnd.openxmlformats-officedocument.spreadsheetml.worksheet+xml" PartName="/xl/worksheets/sheet4898.xml"/>
  <Override ContentType="application/vnd.openxmlformats-officedocument.spreadsheetml.worksheet+xml" PartName="/xl/worksheets/sheet4899.xml"/>
  <Override ContentType="application/vnd.openxmlformats-officedocument.spreadsheetml.worksheet+xml" PartName="/xl/worksheets/sheet4900.xml"/>
  <Override ContentType="application/vnd.openxmlformats-officedocument.spreadsheetml.worksheet+xml" PartName="/xl/worksheets/sheet4901.xml"/>
  <Override ContentType="application/vnd.openxmlformats-officedocument.spreadsheetml.worksheet+xml" PartName="/xl/worksheets/sheet4902.xml"/>
  <Override ContentType="application/vnd.openxmlformats-officedocument.spreadsheetml.worksheet+xml" PartName="/xl/worksheets/sheet4903.xml"/>
  <Override ContentType="application/vnd.openxmlformats-officedocument.spreadsheetml.worksheet+xml" PartName="/xl/worksheets/sheet4904.xml"/>
  <Override ContentType="application/vnd.openxmlformats-officedocument.spreadsheetml.worksheet+xml" PartName="/xl/worksheets/sheet4905.xml"/>
  <Override ContentType="application/vnd.openxmlformats-officedocument.spreadsheetml.worksheet+xml" PartName="/xl/worksheets/sheet4906.xml"/>
  <Override ContentType="application/vnd.openxmlformats-officedocument.spreadsheetml.worksheet+xml" PartName="/xl/worksheets/sheet4907.xml"/>
  <Override ContentType="application/vnd.openxmlformats-officedocument.spreadsheetml.worksheet+xml" PartName="/xl/worksheets/sheet4908.xml"/>
  <Override ContentType="application/vnd.openxmlformats-officedocument.spreadsheetml.worksheet+xml" PartName="/xl/worksheets/sheet4909.xml"/>
  <Override ContentType="application/vnd.openxmlformats-officedocument.spreadsheetml.worksheet+xml" PartName="/xl/worksheets/sheet4910.xml"/>
  <Override ContentType="application/vnd.openxmlformats-officedocument.spreadsheetml.worksheet+xml" PartName="/xl/worksheets/sheet4911.xml"/>
  <Override ContentType="application/vnd.openxmlformats-officedocument.spreadsheetml.worksheet+xml" PartName="/xl/worksheets/sheet4912.xml"/>
  <Override ContentType="application/vnd.openxmlformats-officedocument.spreadsheetml.worksheet+xml" PartName="/xl/worksheets/sheet4913.xml"/>
  <Override ContentType="application/vnd.openxmlformats-officedocument.spreadsheetml.worksheet+xml" PartName="/xl/worksheets/sheet4914.xml"/>
  <Override ContentType="application/vnd.openxmlformats-officedocument.spreadsheetml.worksheet+xml" PartName="/xl/worksheets/sheet4915.xml"/>
  <Override ContentType="application/vnd.openxmlformats-officedocument.spreadsheetml.worksheet+xml" PartName="/xl/worksheets/sheet4916.xml"/>
  <Override ContentType="application/vnd.openxmlformats-officedocument.spreadsheetml.worksheet+xml" PartName="/xl/worksheets/sheet4917.xml"/>
  <Override ContentType="application/vnd.openxmlformats-officedocument.spreadsheetml.worksheet+xml" PartName="/xl/worksheets/sheet4918.xml"/>
  <Override ContentType="application/vnd.openxmlformats-officedocument.spreadsheetml.worksheet+xml" PartName="/xl/worksheets/sheet4919.xml"/>
  <Override ContentType="application/vnd.openxmlformats-officedocument.spreadsheetml.worksheet+xml" PartName="/xl/worksheets/sheet4920.xml"/>
  <Override ContentType="application/vnd.openxmlformats-officedocument.spreadsheetml.worksheet+xml" PartName="/xl/worksheets/sheet4921.xml"/>
  <Override ContentType="application/vnd.openxmlformats-officedocument.spreadsheetml.worksheet+xml" PartName="/xl/worksheets/sheet4922.xml"/>
  <Override ContentType="application/vnd.openxmlformats-officedocument.spreadsheetml.worksheet+xml" PartName="/xl/worksheets/sheet4923.xml"/>
  <Override ContentType="application/vnd.openxmlformats-officedocument.spreadsheetml.worksheet+xml" PartName="/xl/worksheets/sheet4924.xml"/>
  <Override ContentType="application/vnd.openxmlformats-officedocument.spreadsheetml.worksheet+xml" PartName="/xl/worksheets/sheet4925.xml"/>
  <Override ContentType="application/vnd.openxmlformats-officedocument.spreadsheetml.worksheet+xml" PartName="/xl/worksheets/sheet4926.xml"/>
  <Override ContentType="application/vnd.openxmlformats-officedocument.spreadsheetml.worksheet+xml" PartName="/xl/worksheets/sheet4927.xml"/>
  <Override ContentType="application/vnd.openxmlformats-officedocument.spreadsheetml.worksheet+xml" PartName="/xl/worksheets/sheet4928.xml"/>
  <Override ContentType="application/vnd.openxmlformats-officedocument.spreadsheetml.worksheet+xml" PartName="/xl/worksheets/sheet4929.xml"/>
  <Override ContentType="application/vnd.openxmlformats-officedocument.spreadsheetml.worksheet+xml" PartName="/xl/worksheets/sheet4930.xml"/>
  <Override ContentType="application/vnd.openxmlformats-officedocument.spreadsheetml.worksheet+xml" PartName="/xl/worksheets/sheet4931.xml"/>
  <Override ContentType="application/vnd.openxmlformats-officedocument.spreadsheetml.worksheet+xml" PartName="/xl/worksheets/sheet4932.xml"/>
  <Override ContentType="application/vnd.openxmlformats-officedocument.spreadsheetml.worksheet+xml" PartName="/xl/worksheets/sheet4933.xml"/>
  <Override ContentType="application/vnd.openxmlformats-officedocument.spreadsheetml.worksheet+xml" PartName="/xl/worksheets/sheet4934.xml"/>
  <Override ContentType="application/vnd.openxmlformats-officedocument.spreadsheetml.worksheet+xml" PartName="/xl/worksheets/sheet4935.xml"/>
  <Override ContentType="application/vnd.openxmlformats-officedocument.spreadsheetml.worksheet+xml" PartName="/xl/worksheets/sheet4936.xml"/>
  <Override ContentType="application/vnd.openxmlformats-officedocument.spreadsheetml.worksheet+xml" PartName="/xl/worksheets/sheet4937.xml"/>
  <Override ContentType="application/vnd.openxmlformats-officedocument.spreadsheetml.worksheet+xml" PartName="/xl/worksheets/sheet4938.xml"/>
  <Override ContentType="application/vnd.openxmlformats-officedocument.spreadsheetml.worksheet+xml" PartName="/xl/worksheets/sheet4939.xml"/>
  <Override ContentType="application/vnd.openxmlformats-officedocument.spreadsheetml.worksheet+xml" PartName="/xl/worksheets/sheet4940.xml"/>
  <Override ContentType="application/vnd.openxmlformats-officedocument.spreadsheetml.worksheet+xml" PartName="/xl/worksheets/sheet4941.xml"/>
  <Override ContentType="application/vnd.openxmlformats-officedocument.spreadsheetml.worksheet+xml" PartName="/xl/worksheets/sheet4942.xml"/>
  <Override ContentType="application/vnd.openxmlformats-officedocument.spreadsheetml.worksheet+xml" PartName="/xl/worksheets/sheet4943.xml"/>
  <Override ContentType="application/vnd.openxmlformats-officedocument.spreadsheetml.worksheet+xml" PartName="/xl/worksheets/sheet4944.xml"/>
  <Override ContentType="application/vnd.openxmlformats-officedocument.spreadsheetml.worksheet+xml" PartName="/xl/worksheets/sheet4945.xml"/>
  <Override ContentType="application/vnd.openxmlformats-officedocument.spreadsheetml.worksheet+xml" PartName="/xl/worksheets/sheet4946.xml"/>
  <Override ContentType="application/vnd.openxmlformats-officedocument.spreadsheetml.worksheet+xml" PartName="/xl/worksheets/sheet4947.xml"/>
  <Override ContentType="application/vnd.openxmlformats-officedocument.spreadsheetml.worksheet+xml" PartName="/xl/worksheets/sheet4948.xml"/>
  <Override ContentType="application/vnd.openxmlformats-officedocument.spreadsheetml.worksheet+xml" PartName="/xl/worksheets/sheet4949.xml"/>
  <Override ContentType="application/vnd.openxmlformats-officedocument.spreadsheetml.worksheet+xml" PartName="/xl/worksheets/sheet4950.xml"/>
  <Override ContentType="application/vnd.openxmlformats-officedocument.spreadsheetml.worksheet+xml" PartName="/xl/worksheets/sheet4951.xml"/>
  <Override ContentType="application/vnd.openxmlformats-officedocument.spreadsheetml.worksheet+xml" PartName="/xl/worksheets/sheet4952.xml"/>
  <Override ContentType="application/vnd.openxmlformats-officedocument.spreadsheetml.worksheet+xml" PartName="/xl/worksheets/sheet4953.xml"/>
  <Override ContentType="application/vnd.openxmlformats-officedocument.spreadsheetml.worksheet+xml" PartName="/xl/worksheets/sheet4954.xml"/>
  <Override ContentType="application/vnd.openxmlformats-officedocument.spreadsheetml.worksheet+xml" PartName="/xl/worksheets/sheet4955.xml"/>
  <Override ContentType="application/vnd.openxmlformats-officedocument.spreadsheetml.worksheet+xml" PartName="/xl/worksheets/sheet4956.xml"/>
  <Override ContentType="application/vnd.openxmlformats-officedocument.spreadsheetml.worksheet+xml" PartName="/xl/worksheets/sheet4957.xml"/>
  <Override ContentType="application/vnd.openxmlformats-officedocument.spreadsheetml.worksheet+xml" PartName="/xl/worksheets/sheet4958.xml"/>
  <Override ContentType="application/vnd.openxmlformats-officedocument.spreadsheetml.worksheet+xml" PartName="/xl/worksheets/sheet4959.xml"/>
  <Override ContentType="application/vnd.openxmlformats-officedocument.spreadsheetml.worksheet+xml" PartName="/xl/worksheets/sheet4960.xml"/>
  <Override ContentType="application/vnd.openxmlformats-officedocument.spreadsheetml.worksheet+xml" PartName="/xl/worksheets/sheet4961.xml"/>
  <Override ContentType="application/vnd.openxmlformats-officedocument.spreadsheetml.worksheet+xml" PartName="/xl/worksheets/sheet4962.xml"/>
  <Override ContentType="application/vnd.openxmlformats-officedocument.spreadsheetml.worksheet+xml" PartName="/xl/worksheets/sheet4963.xml"/>
  <Override ContentType="application/vnd.openxmlformats-officedocument.spreadsheetml.worksheet+xml" PartName="/xl/worksheets/sheet4964.xml"/>
  <Override ContentType="application/vnd.openxmlformats-officedocument.spreadsheetml.worksheet+xml" PartName="/xl/worksheets/sheet4965.xml"/>
  <Override ContentType="application/vnd.openxmlformats-officedocument.spreadsheetml.worksheet+xml" PartName="/xl/worksheets/sheet4966.xml"/>
  <Override ContentType="application/vnd.openxmlformats-officedocument.spreadsheetml.worksheet+xml" PartName="/xl/worksheets/sheet4967.xml"/>
  <Override ContentType="application/vnd.openxmlformats-officedocument.spreadsheetml.worksheet+xml" PartName="/xl/worksheets/sheet4968.xml"/>
  <Override ContentType="application/vnd.openxmlformats-officedocument.spreadsheetml.worksheet+xml" PartName="/xl/worksheets/sheet4969.xml"/>
  <Override ContentType="application/vnd.openxmlformats-officedocument.spreadsheetml.worksheet+xml" PartName="/xl/worksheets/sheet4970.xml"/>
  <Override ContentType="application/vnd.openxmlformats-officedocument.spreadsheetml.worksheet+xml" PartName="/xl/worksheets/sheet4971.xml"/>
  <Override ContentType="application/vnd.openxmlformats-officedocument.spreadsheetml.worksheet+xml" PartName="/xl/worksheets/sheet4972.xml"/>
  <Override ContentType="application/vnd.openxmlformats-officedocument.spreadsheetml.worksheet+xml" PartName="/xl/worksheets/sheet4973.xml"/>
  <Override ContentType="application/vnd.openxmlformats-officedocument.spreadsheetml.worksheet+xml" PartName="/xl/worksheets/sheet4974.xml"/>
  <Override ContentType="application/vnd.openxmlformats-officedocument.spreadsheetml.worksheet+xml" PartName="/xl/worksheets/sheet4975.xml"/>
  <Override ContentType="application/vnd.openxmlformats-officedocument.spreadsheetml.worksheet+xml" PartName="/xl/worksheets/sheet4976.xml"/>
  <Override ContentType="application/vnd.openxmlformats-officedocument.spreadsheetml.worksheet+xml" PartName="/xl/worksheets/sheet4977.xml"/>
  <Override ContentType="application/vnd.openxmlformats-officedocument.spreadsheetml.worksheet+xml" PartName="/xl/worksheets/sheet4978.xml"/>
  <Override ContentType="application/vnd.openxmlformats-officedocument.spreadsheetml.worksheet+xml" PartName="/xl/worksheets/sheet4979.xml"/>
  <Override ContentType="application/vnd.openxmlformats-officedocument.spreadsheetml.worksheet+xml" PartName="/xl/worksheets/sheet4980.xml"/>
  <Override ContentType="application/vnd.openxmlformats-officedocument.spreadsheetml.worksheet+xml" PartName="/xl/worksheets/sheet4981.xml"/>
  <Override ContentType="application/vnd.openxmlformats-officedocument.spreadsheetml.worksheet+xml" PartName="/xl/worksheets/sheet4982.xml"/>
  <Override ContentType="application/vnd.openxmlformats-officedocument.spreadsheetml.worksheet+xml" PartName="/xl/worksheets/sheet4983.xml"/>
  <Override ContentType="application/vnd.openxmlformats-officedocument.spreadsheetml.worksheet+xml" PartName="/xl/worksheets/sheet4984.xml"/>
  <Override ContentType="application/vnd.openxmlformats-officedocument.spreadsheetml.worksheet+xml" PartName="/xl/worksheets/sheet4985.xml"/>
  <Override ContentType="application/vnd.openxmlformats-officedocument.spreadsheetml.worksheet+xml" PartName="/xl/worksheets/sheet4986.xml"/>
  <Override ContentType="application/vnd.openxmlformats-officedocument.spreadsheetml.worksheet+xml" PartName="/xl/worksheets/sheet4987.xml"/>
  <Override ContentType="application/vnd.openxmlformats-officedocument.spreadsheetml.worksheet+xml" PartName="/xl/worksheets/sheet4988.xml"/>
  <Override ContentType="application/vnd.openxmlformats-officedocument.spreadsheetml.worksheet+xml" PartName="/xl/worksheets/sheet4989.xml"/>
  <Override ContentType="application/vnd.openxmlformats-officedocument.spreadsheetml.worksheet+xml" PartName="/xl/worksheets/sheet4990.xml"/>
  <Override ContentType="application/vnd.openxmlformats-officedocument.spreadsheetml.worksheet+xml" PartName="/xl/worksheets/sheet4991.xml"/>
  <Override ContentType="application/vnd.openxmlformats-officedocument.spreadsheetml.worksheet+xml" PartName="/xl/worksheets/sheet4992.xml"/>
  <Override ContentType="application/vnd.openxmlformats-officedocument.spreadsheetml.worksheet+xml" PartName="/xl/worksheets/sheet4993.xml"/>
  <Override ContentType="application/vnd.openxmlformats-officedocument.spreadsheetml.worksheet+xml" PartName="/xl/worksheets/sheet4994.xml"/>
  <Override ContentType="application/vnd.openxmlformats-officedocument.spreadsheetml.worksheet+xml" PartName="/xl/worksheets/sheet4995.xml"/>
  <Override ContentType="application/vnd.openxmlformats-officedocument.spreadsheetml.worksheet+xml" PartName="/xl/worksheets/sheet4996.xml"/>
  <Override ContentType="application/vnd.openxmlformats-officedocument.spreadsheetml.worksheet+xml" PartName="/xl/worksheets/sheet4997.xml"/>
  <Override ContentType="application/vnd.openxmlformats-officedocument.spreadsheetml.worksheet+xml" PartName="/xl/worksheets/sheet4998.xml"/>
  <Override ContentType="application/vnd.openxmlformats-officedocument.spreadsheetml.worksheet+xml" PartName="/xl/worksheets/sheet4999.xml"/>
  <Override ContentType="application/vnd.openxmlformats-officedocument.spreadsheetml.worksheet+xml" PartName="/xl/worksheets/sheet5000.xml"/>
  <Override ContentType="application/vnd.openxmlformats-officedocument.spreadsheetml.worksheet+xml" PartName="/xl/worksheets/sheet5001.xml"/>
  <Override ContentType="application/vnd.openxmlformats-officedocument.spreadsheetml.worksheet+xml" PartName="/xl/worksheets/sheet5002.xml"/>
  <Override ContentType="application/vnd.openxmlformats-officedocument.spreadsheetml.worksheet+xml" PartName="/xl/worksheets/sheet5003.xml"/>
  <Override ContentType="application/vnd.openxmlformats-officedocument.spreadsheetml.worksheet+xml" PartName="/xl/worksheets/sheet5004.xml"/>
  <Override ContentType="application/vnd.openxmlformats-officedocument.spreadsheetml.worksheet+xml" PartName="/xl/worksheets/sheet5005.xml"/>
  <Override ContentType="application/vnd.openxmlformats-officedocument.spreadsheetml.worksheet+xml" PartName="/xl/worksheets/sheet5006.xml"/>
  <Override ContentType="application/vnd.openxmlformats-officedocument.spreadsheetml.worksheet+xml" PartName="/xl/worksheets/sheet5007.xml"/>
  <Override ContentType="application/vnd.openxmlformats-officedocument.spreadsheetml.worksheet+xml" PartName="/xl/worksheets/sheet5008.xml"/>
  <Override ContentType="application/vnd.openxmlformats-officedocument.spreadsheetml.worksheet+xml" PartName="/xl/worksheets/sheet5009.xml"/>
  <Override ContentType="application/vnd.openxmlformats-officedocument.spreadsheetml.worksheet+xml" PartName="/xl/worksheets/sheet5010.xml"/>
  <Override ContentType="application/vnd.openxmlformats-officedocument.spreadsheetml.worksheet+xml" PartName="/xl/worksheets/sheet5011.xml"/>
  <Override ContentType="application/vnd.openxmlformats-officedocument.spreadsheetml.worksheet+xml" PartName="/xl/worksheets/sheet5012.xml"/>
  <Override ContentType="application/vnd.openxmlformats-officedocument.spreadsheetml.worksheet+xml" PartName="/xl/worksheets/sheet5013.xml"/>
  <Override ContentType="application/vnd.openxmlformats-officedocument.spreadsheetml.worksheet+xml" PartName="/xl/worksheets/sheet5014.xml"/>
  <Override ContentType="application/vnd.openxmlformats-officedocument.spreadsheetml.worksheet+xml" PartName="/xl/worksheets/sheet5015.xml"/>
  <Override ContentType="application/vnd.openxmlformats-officedocument.spreadsheetml.worksheet+xml" PartName="/xl/worksheets/sheet5016.xml"/>
  <Override ContentType="application/vnd.openxmlformats-officedocument.spreadsheetml.worksheet+xml" PartName="/xl/worksheets/sheet5017.xml"/>
  <Override ContentType="application/vnd.openxmlformats-officedocument.spreadsheetml.worksheet+xml" PartName="/xl/worksheets/sheet5018.xml"/>
  <Override ContentType="application/vnd.openxmlformats-officedocument.spreadsheetml.worksheet+xml" PartName="/xl/worksheets/sheet5019.xml"/>
  <Override ContentType="application/vnd.openxmlformats-officedocument.spreadsheetml.worksheet+xml" PartName="/xl/worksheets/sheet5020.xml"/>
  <Override ContentType="application/vnd.openxmlformats-officedocument.spreadsheetml.worksheet+xml" PartName="/xl/worksheets/sheet5021.xml"/>
  <Override ContentType="application/vnd.openxmlformats-officedocument.spreadsheetml.worksheet+xml" PartName="/xl/worksheets/sheet5022.xml"/>
  <Override ContentType="application/vnd.openxmlformats-officedocument.spreadsheetml.worksheet+xml" PartName="/xl/worksheets/sheet5023.xml"/>
  <Override ContentType="application/vnd.openxmlformats-officedocument.spreadsheetml.worksheet+xml" PartName="/xl/worksheets/sheet5024.xml"/>
  <Override ContentType="application/vnd.openxmlformats-officedocument.spreadsheetml.worksheet+xml" PartName="/xl/worksheets/sheet5025.xml"/>
  <Override ContentType="application/vnd.openxmlformats-officedocument.spreadsheetml.worksheet+xml" PartName="/xl/worksheets/sheet5026.xml"/>
  <Override ContentType="application/vnd.openxmlformats-officedocument.spreadsheetml.worksheet+xml" PartName="/xl/worksheets/sheet5027.xml"/>
  <Override ContentType="application/vnd.openxmlformats-officedocument.spreadsheetml.worksheet+xml" PartName="/xl/worksheets/sheet5028.xml"/>
  <Override ContentType="application/vnd.openxmlformats-officedocument.spreadsheetml.worksheet+xml" PartName="/xl/worksheets/sheet5029.xml"/>
  <Override ContentType="application/vnd.openxmlformats-officedocument.spreadsheetml.worksheet+xml" PartName="/xl/worksheets/sheet5030.xml"/>
  <Override ContentType="application/vnd.openxmlformats-officedocument.spreadsheetml.worksheet+xml" PartName="/xl/worksheets/sheet5031.xml"/>
  <Override ContentType="application/vnd.openxmlformats-officedocument.spreadsheetml.worksheet+xml" PartName="/xl/worksheets/sheet5032.xml"/>
  <Override ContentType="application/vnd.openxmlformats-officedocument.spreadsheetml.worksheet+xml" PartName="/xl/worksheets/sheet5033.xml"/>
  <Override ContentType="application/vnd.openxmlformats-officedocument.spreadsheetml.worksheet+xml" PartName="/xl/worksheets/sheet5034.xml"/>
  <Override ContentType="application/vnd.openxmlformats-officedocument.spreadsheetml.worksheet+xml" PartName="/xl/worksheets/sheet5035.xml"/>
  <Override ContentType="application/vnd.openxmlformats-officedocument.spreadsheetml.worksheet+xml" PartName="/xl/worksheets/sheet5036.xml"/>
  <Override ContentType="application/vnd.openxmlformats-officedocument.spreadsheetml.worksheet+xml" PartName="/xl/worksheets/sheet5037.xml"/>
  <Override ContentType="application/vnd.openxmlformats-officedocument.spreadsheetml.worksheet+xml" PartName="/xl/worksheets/sheet5038.xml"/>
  <Override ContentType="application/vnd.openxmlformats-officedocument.spreadsheetml.worksheet+xml" PartName="/xl/worksheets/sheet5039.xml"/>
  <Override ContentType="application/vnd.openxmlformats-officedocument.spreadsheetml.worksheet+xml" PartName="/xl/worksheets/sheet5040.xml"/>
  <Override ContentType="application/vnd.openxmlformats-officedocument.spreadsheetml.worksheet+xml" PartName="/xl/worksheets/sheet5041.xml"/>
  <Override ContentType="application/vnd.openxmlformats-officedocument.spreadsheetml.worksheet+xml" PartName="/xl/worksheets/sheet5042.xml"/>
  <Override ContentType="application/vnd.openxmlformats-officedocument.spreadsheetml.worksheet+xml" PartName="/xl/worksheets/sheet5043.xml"/>
  <Override ContentType="application/vnd.openxmlformats-officedocument.spreadsheetml.worksheet+xml" PartName="/xl/worksheets/sheet5044.xml"/>
  <Override ContentType="application/vnd.openxmlformats-officedocument.spreadsheetml.worksheet+xml" PartName="/xl/worksheets/sheet5045.xml"/>
  <Override ContentType="application/vnd.openxmlformats-officedocument.spreadsheetml.worksheet+xml" PartName="/xl/worksheets/sheet5046.xml"/>
  <Override ContentType="application/vnd.openxmlformats-officedocument.spreadsheetml.worksheet+xml" PartName="/xl/worksheets/sheet5047.xml"/>
  <Override ContentType="application/vnd.openxmlformats-officedocument.spreadsheetml.worksheet+xml" PartName="/xl/worksheets/sheet5048.xml"/>
  <Override ContentType="application/vnd.openxmlformats-officedocument.spreadsheetml.worksheet+xml" PartName="/xl/worksheets/sheet5049.xml"/>
  <Override ContentType="application/vnd.openxmlformats-officedocument.spreadsheetml.worksheet+xml" PartName="/xl/worksheets/sheet5050.xml"/>
  <Override ContentType="application/vnd.openxmlformats-officedocument.spreadsheetml.worksheet+xml" PartName="/xl/worksheets/sheet5051.xml"/>
  <Override ContentType="application/vnd.openxmlformats-officedocument.spreadsheetml.worksheet+xml" PartName="/xl/worksheets/sheet5052.xml"/>
  <Override ContentType="application/vnd.openxmlformats-officedocument.spreadsheetml.worksheet+xml" PartName="/xl/worksheets/sheet5053.xml"/>
  <Override ContentType="application/vnd.openxmlformats-officedocument.spreadsheetml.worksheet+xml" PartName="/xl/worksheets/sheet5054.xml"/>
  <Override ContentType="application/vnd.openxmlformats-officedocument.spreadsheetml.worksheet+xml" PartName="/xl/worksheets/sheet5055.xml"/>
  <Override ContentType="application/vnd.openxmlformats-officedocument.spreadsheetml.worksheet+xml" PartName="/xl/worksheets/sheet5056.xml"/>
  <Override ContentType="application/vnd.openxmlformats-officedocument.spreadsheetml.worksheet+xml" PartName="/xl/worksheets/sheet5057.xml"/>
  <Override ContentType="application/vnd.openxmlformats-officedocument.spreadsheetml.worksheet+xml" PartName="/xl/worksheets/sheet5058.xml"/>
  <Override ContentType="application/vnd.openxmlformats-officedocument.spreadsheetml.worksheet+xml" PartName="/xl/worksheets/sheet5059.xml"/>
  <Override ContentType="application/vnd.openxmlformats-officedocument.spreadsheetml.worksheet+xml" PartName="/xl/worksheets/sheet5060.xml"/>
  <Override ContentType="application/vnd.openxmlformats-officedocument.spreadsheetml.worksheet+xml" PartName="/xl/worksheets/sheet5061.xml"/>
  <Override ContentType="application/vnd.openxmlformats-officedocument.spreadsheetml.worksheet+xml" PartName="/xl/worksheets/sheet5062.xml"/>
  <Override ContentType="application/vnd.openxmlformats-officedocument.spreadsheetml.worksheet+xml" PartName="/xl/worksheets/sheet5063.xml"/>
  <Override ContentType="application/vnd.openxmlformats-officedocument.spreadsheetml.worksheet+xml" PartName="/xl/worksheets/sheet5064.xml"/>
  <Override ContentType="application/vnd.openxmlformats-officedocument.spreadsheetml.worksheet+xml" PartName="/xl/worksheets/sheet5065.xml"/>
  <Override ContentType="application/vnd.openxmlformats-officedocument.spreadsheetml.worksheet+xml" PartName="/xl/worksheets/sheet5066.xml"/>
  <Override ContentType="application/vnd.openxmlformats-officedocument.spreadsheetml.worksheet+xml" PartName="/xl/worksheets/sheet5067.xml"/>
  <Override ContentType="application/vnd.openxmlformats-officedocument.spreadsheetml.worksheet+xml" PartName="/xl/worksheets/sheet5068.xml"/>
  <Override ContentType="application/vnd.openxmlformats-officedocument.spreadsheetml.worksheet+xml" PartName="/xl/worksheets/sheet5069.xml"/>
  <Override ContentType="application/vnd.openxmlformats-officedocument.spreadsheetml.worksheet+xml" PartName="/xl/worksheets/sheet5070.xml"/>
  <Override ContentType="application/vnd.openxmlformats-officedocument.spreadsheetml.worksheet+xml" PartName="/xl/worksheets/sheet5071.xml"/>
  <Override ContentType="application/vnd.openxmlformats-officedocument.spreadsheetml.worksheet+xml" PartName="/xl/worksheets/sheet5072.xml"/>
  <Override ContentType="application/vnd.openxmlformats-officedocument.spreadsheetml.worksheet+xml" PartName="/xl/worksheets/sheet5073.xml"/>
  <Override ContentType="application/vnd.openxmlformats-officedocument.spreadsheetml.worksheet+xml" PartName="/xl/worksheets/sheet5074.xml"/>
  <Override ContentType="application/vnd.openxmlformats-officedocument.spreadsheetml.worksheet+xml" PartName="/xl/worksheets/sheet5075.xml"/>
  <Override ContentType="application/vnd.openxmlformats-officedocument.spreadsheetml.worksheet+xml" PartName="/xl/worksheets/sheet5076.xml"/>
  <Override ContentType="application/vnd.openxmlformats-officedocument.spreadsheetml.worksheet+xml" PartName="/xl/worksheets/sheet5077.xml"/>
  <Override ContentType="application/vnd.openxmlformats-officedocument.spreadsheetml.worksheet+xml" PartName="/xl/worksheets/sheet5078.xml"/>
  <Override ContentType="application/vnd.openxmlformats-officedocument.spreadsheetml.worksheet+xml" PartName="/xl/worksheets/sheet5079.xml"/>
  <Override ContentType="application/vnd.openxmlformats-officedocument.spreadsheetml.worksheet+xml" PartName="/xl/worksheets/sheet5080.xml"/>
  <Override ContentType="application/vnd.openxmlformats-officedocument.spreadsheetml.worksheet+xml" PartName="/xl/worksheets/sheet5081.xml"/>
  <Override ContentType="application/vnd.openxmlformats-officedocument.spreadsheetml.worksheet+xml" PartName="/xl/worksheets/sheet5082.xml"/>
  <Override ContentType="application/vnd.openxmlformats-officedocument.spreadsheetml.worksheet+xml" PartName="/xl/worksheets/sheet5083.xml"/>
  <Override ContentType="application/vnd.openxmlformats-officedocument.spreadsheetml.worksheet+xml" PartName="/xl/worksheets/sheet5084.xml"/>
  <Override ContentType="application/vnd.openxmlformats-officedocument.spreadsheetml.worksheet+xml" PartName="/xl/worksheets/sheet5085.xml"/>
  <Override ContentType="application/vnd.openxmlformats-officedocument.spreadsheetml.worksheet+xml" PartName="/xl/worksheets/sheet5086.xml"/>
  <Override ContentType="application/vnd.openxmlformats-officedocument.spreadsheetml.worksheet+xml" PartName="/xl/worksheets/sheet5087.xml"/>
  <Override ContentType="application/vnd.openxmlformats-officedocument.spreadsheetml.worksheet+xml" PartName="/xl/worksheets/sheet5088.xml"/>
  <Override ContentType="application/vnd.openxmlformats-officedocument.spreadsheetml.worksheet+xml" PartName="/xl/worksheets/sheet5089.xml"/>
  <Override ContentType="application/vnd.openxmlformats-officedocument.spreadsheetml.worksheet+xml" PartName="/xl/worksheets/sheet5090.xml"/>
  <Override ContentType="application/vnd.openxmlformats-officedocument.spreadsheetml.worksheet+xml" PartName="/xl/worksheets/sheet5091.xml"/>
  <Override ContentType="application/vnd.openxmlformats-officedocument.spreadsheetml.worksheet+xml" PartName="/xl/worksheets/sheet5092.xml"/>
  <Override ContentType="application/vnd.openxmlformats-officedocument.spreadsheetml.worksheet+xml" PartName="/xl/worksheets/sheet5093.xml"/>
  <Override ContentType="application/vnd.openxmlformats-officedocument.spreadsheetml.worksheet+xml" PartName="/xl/worksheets/sheet5094.xml"/>
  <Override ContentType="application/vnd.openxmlformats-officedocument.spreadsheetml.worksheet+xml" PartName="/xl/worksheets/sheet5095.xml"/>
  <Override ContentType="application/vnd.openxmlformats-officedocument.spreadsheetml.worksheet+xml" PartName="/xl/worksheets/sheet5096.xml"/>
  <Override ContentType="application/vnd.openxmlformats-officedocument.spreadsheetml.worksheet+xml" PartName="/xl/worksheets/sheet5097.xml"/>
  <Override ContentType="application/vnd.openxmlformats-officedocument.spreadsheetml.worksheet+xml" PartName="/xl/worksheets/sheet5098.xml"/>
  <Override ContentType="application/vnd.openxmlformats-officedocument.spreadsheetml.worksheet+xml" PartName="/xl/worksheets/sheet5099.xml"/>
  <Override ContentType="application/vnd.openxmlformats-officedocument.spreadsheetml.worksheet+xml" PartName="/xl/worksheets/sheet5100.xml"/>
  <Override ContentType="application/vnd.openxmlformats-officedocument.spreadsheetml.worksheet+xml" PartName="/xl/worksheets/sheet5101.xml"/>
  <Override ContentType="application/vnd.openxmlformats-officedocument.spreadsheetml.worksheet+xml" PartName="/xl/worksheets/sheet5102.xml"/>
  <Override ContentType="application/vnd.openxmlformats-officedocument.spreadsheetml.worksheet+xml" PartName="/xl/worksheets/sheet5103.xml"/>
  <Override ContentType="application/vnd.openxmlformats-officedocument.spreadsheetml.worksheet+xml" PartName="/xl/worksheets/sheet5104.xml"/>
  <Override ContentType="application/vnd.openxmlformats-officedocument.spreadsheetml.worksheet+xml" PartName="/xl/worksheets/sheet5105.xml"/>
  <Override ContentType="application/vnd.openxmlformats-officedocument.spreadsheetml.worksheet+xml" PartName="/xl/worksheets/sheet5106.xml"/>
  <Override ContentType="application/vnd.openxmlformats-officedocument.spreadsheetml.worksheet+xml" PartName="/xl/worksheets/sheet5107.xml"/>
  <Override ContentType="application/vnd.openxmlformats-officedocument.spreadsheetml.worksheet+xml" PartName="/xl/worksheets/sheet5108.xml"/>
  <Override ContentType="application/vnd.openxmlformats-officedocument.spreadsheetml.worksheet+xml" PartName="/xl/worksheets/sheet5109.xml"/>
  <Override ContentType="application/vnd.openxmlformats-officedocument.spreadsheetml.worksheet+xml" PartName="/xl/worksheets/sheet5110.xml"/>
  <Override ContentType="application/vnd.openxmlformats-officedocument.spreadsheetml.worksheet+xml" PartName="/xl/worksheets/sheet5111.xml"/>
  <Override ContentType="application/vnd.openxmlformats-officedocument.spreadsheetml.worksheet+xml" PartName="/xl/worksheets/sheet5112.xml"/>
  <Override ContentType="application/vnd.openxmlformats-officedocument.spreadsheetml.worksheet+xml" PartName="/xl/worksheets/sheet5113.xml"/>
  <Override ContentType="application/vnd.openxmlformats-officedocument.spreadsheetml.worksheet+xml" PartName="/xl/worksheets/sheet5114.xml"/>
  <Override ContentType="application/vnd.openxmlformats-officedocument.spreadsheetml.worksheet+xml" PartName="/xl/worksheets/sheet5115.xml"/>
  <Override ContentType="application/vnd.openxmlformats-officedocument.spreadsheetml.worksheet+xml" PartName="/xl/worksheets/sheet5116.xml"/>
  <Override ContentType="application/vnd.openxmlformats-officedocument.spreadsheetml.worksheet+xml" PartName="/xl/worksheets/sheet5117.xml"/>
  <Override ContentType="application/vnd.openxmlformats-officedocument.spreadsheetml.worksheet+xml" PartName="/xl/worksheets/sheet5118.xml"/>
  <Override ContentType="application/vnd.openxmlformats-officedocument.spreadsheetml.worksheet+xml" PartName="/xl/worksheets/sheet5119.xml"/>
  <Override ContentType="application/vnd.openxmlformats-officedocument.spreadsheetml.worksheet+xml" PartName="/xl/worksheets/sheet5120.xml"/>
  <Override ContentType="application/vnd.openxmlformats-officedocument.spreadsheetml.worksheet+xml" PartName="/xl/worksheets/sheet5121.xml"/>
  <Override ContentType="application/vnd.openxmlformats-officedocument.spreadsheetml.worksheet+xml" PartName="/xl/worksheets/sheet5122.xml"/>
  <Override ContentType="application/vnd.openxmlformats-officedocument.spreadsheetml.worksheet+xml" PartName="/xl/worksheets/sheet5123.xml"/>
  <Override ContentType="application/vnd.openxmlformats-officedocument.spreadsheetml.worksheet+xml" PartName="/xl/worksheets/sheet5124.xml"/>
  <Override ContentType="application/vnd.openxmlformats-officedocument.spreadsheetml.worksheet+xml" PartName="/xl/worksheets/sheet5125.xml"/>
  <Override ContentType="application/vnd.openxmlformats-officedocument.spreadsheetml.worksheet+xml" PartName="/xl/worksheets/sheet5126.xml"/>
  <Override ContentType="application/vnd.openxmlformats-officedocument.spreadsheetml.worksheet+xml" PartName="/xl/worksheets/sheet5127.xml"/>
  <Override ContentType="application/vnd.openxmlformats-officedocument.spreadsheetml.worksheet+xml" PartName="/xl/worksheets/sheet5128.xml"/>
  <Override ContentType="application/vnd.openxmlformats-officedocument.spreadsheetml.worksheet+xml" PartName="/xl/worksheets/sheet5129.xml"/>
  <Override ContentType="application/vnd.openxmlformats-officedocument.spreadsheetml.worksheet+xml" PartName="/xl/worksheets/sheet5130.xml"/>
  <Override ContentType="application/vnd.openxmlformats-officedocument.spreadsheetml.worksheet+xml" PartName="/xl/worksheets/sheet5131.xml"/>
  <Override ContentType="application/vnd.openxmlformats-officedocument.spreadsheetml.worksheet+xml" PartName="/xl/worksheets/sheet5132.xml"/>
  <Override ContentType="application/vnd.openxmlformats-officedocument.spreadsheetml.worksheet+xml" PartName="/xl/worksheets/sheet5133.xml"/>
  <Override ContentType="application/vnd.openxmlformats-officedocument.spreadsheetml.worksheet+xml" PartName="/xl/worksheets/sheet5134.xml"/>
  <Override ContentType="application/vnd.openxmlformats-officedocument.spreadsheetml.worksheet+xml" PartName="/xl/worksheets/sheet5135.xml"/>
  <Override ContentType="application/vnd.openxmlformats-officedocument.spreadsheetml.worksheet+xml" PartName="/xl/worksheets/sheet5136.xml"/>
  <Override ContentType="application/vnd.openxmlformats-officedocument.spreadsheetml.worksheet+xml" PartName="/xl/worksheets/sheet5137.xml"/>
  <Override ContentType="application/vnd.openxmlformats-officedocument.spreadsheetml.worksheet+xml" PartName="/xl/worksheets/sheet5138.xml"/>
  <Override ContentType="application/vnd.openxmlformats-officedocument.spreadsheetml.worksheet+xml" PartName="/xl/worksheets/sheet5139.xml"/>
  <Override ContentType="application/vnd.openxmlformats-officedocument.spreadsheetml.worksheet+xml" PartName="/xl/worksheets/sheet5140.xml"/>
  <Override ContentType="application/vnd.openxmlformats-officedocument.spreadsheetml.worksheet+xml" PartName="/xl/worksheets/sheet5141.xml"/>
  <Override ContentType="application/vnd.openxmlformats-officedocument.spreadsheetml.worksheet+xml" PartName="/xl/worksheets/sheet5142.xml"/>
  <Override ContentType="application/vnd.openxmlformats-officedocument.spreadsheetml.worksheet+xml" PartName="/xl/worksheets/sheet5143.xml"/>
  <Override ContentType="application/vnd.openxmlformats-officedocument.spreadsheetml.worksheet+xml" PartName="/xl/worksheets/sheet5144.xml"/>
  <Override ContentType="application/vnd.openxmlformats-officedocument.spreadsheetml.worksheet+xml" PartName="/xl/worksheets/sheet5145.xml"/>
  <Override ContentType="application/vnd.openxmlformats-officedocument.spreadsheetml.worksheet+xml" PartName="/xl/worksheets/sheet5146.xml"/>
  <Override ContentType="application/vnd.openxmlformats-officedocument.spreadsheetml.worksheet+xml" PartName="/xl/worksheets/sheet5147.xml"/>
  <Override ContentType="application/vnd.openxmlformats-officedocument.spreadsheetml.worksheet+xml" PartName="/xl/worksheets/sheet5148.xml"/>
  <Override ContentType="application/vnd.openxmlformats-officedocument.spreadsheetml.worksheet+xml" PartName="/xl/worksheets/sheet5149.xml"/>
  <Override ContentType="application/vnd.openxmlformats-officedocument.spreadsheetml.worksheet+xml" PartName="/xl/worksheets/sheet5150.xml"/>
  <Override ContentType="application/vnd.openxmlformats-officedocument.spreadsheetml.worksheet+xml" PartName="/xl/worksheets/sheet5151.xml"/>
  <Override ContentType="application/vnd.openxmlformats-officedocument.spreadsheetml.worksheet+xml" PartName="/xl/worksheets/sheet5152.xml"/>
  <Override ContentType="application/vnd.openxmlformats-officedocument.spreadsheetml.worksheet+xml" PartName="/xl/worksheets/sheet5153.xml"/>
  <Override ContentType="application/vnd.openxmlformats-officedocument.spreadsheetml.worksheet+xml" PartName="/xl/worksheets/sheet5154.xml"/>
  <Override ContentType="application/vnd.openxmlformats-officedocument.spreadsheetml.worksheet+xml" PartName="/xl/worksheets/sheet5155.xml"/>
  <Override ContentType="application/vnd.openxmlformats-officedocument.spreadsheetml.worksheet+xml" PartName="/xl/worksheets/sheet5156.xml"/>
  <Override ContentType="application/vnd.openxmlformats-officedocument.spreadsheetml.worksheet+xml" PartName="/xl/worksheets/sheet5157.xml"/>
  <Override ContentType="application/vnd.openxmlformats-officedocument.spreadsheetml.worksheet+xml" PartName="/xl/worksheets/sheet5158.xml"/>
  <Override ContentType="application/vnd.openxmlformats-officedocument.spreadsheetml.worksheet+xml" PartName="/xl/worksheets/sheet5159.xml"/>
  <Override ContentType="application/vnd.openxmlformats-officedocument.spreadsheetml.worksheet+xml" PartName="/xl/worksheets/sheet5160.xml"/>
  <Override ContentType="application/vnd.openxmlformats-officedocument.spreadsheetml.worksheet+xml" PartName="/xl/worksheets/sheet5161.xml"/>
  <Override ContentType="application/vnd.openxmlformats-officedocument.spreadsheetml.worksheet+xml" PartName="/xl/worksheets/sheet5162.xml"/>
  <Override ContentType="application/vnd.openxmlformats-officedocument.spreadsheetml.worksheet+xml" PartName="/xl/worksheets/sheet5163.xml"/>
  <Override ContentType="application/vnd.openxmlformats-officedocument.spreadsheetml.worksheet+xml" PartName="/xl/worksheets/sheet5164.xml"/>
  <Override ContentType="application/vnd.openxmlformats-officedocument.spreadsheetml.worksheet+xml" PartName="/xl/worksheets/sheet5165.xml"/>
  <Override ContentType="application/vnd.openxmlformats-officedocument.spreadsheetml.worksheet+xml" PartName="/xl/worksheets/sheet5166.xml"/>
  <Override ContentType="application/vnd.openxmlformats-officedocument.spreadsheetml.worksheet+xml" PartName="/xl/worksheets/sheet5167.xml"/>
  <Override ContentType="application/vnd.openxmlformats-officedocument.spreadsheetml.worksheet+xml" PartName="/xl/worksheets/sheet5168.xml"/>
  <Override ContentType="application/vnd.openxmlformats-officedocument.spreadsheetml.worksheet+xml" PartName="/xl/worksheets/sheet5169.xml"/>
  <Override ContentType="application/vnd.openxmlformats-officedocument.spreadsheetml.worksheet+xml" PartName="/xl/worksheets/sheet5170.xml"/>
  <Override ContentType="application/vnd.openxmlformats-officedocument.spreadsheetml.worksheet+xml" PartName="/xl/worksheets/sheet5171.xml"/>
  <Override ContentType="application/vnd.openxmlformats-officedocument.spreadsheetml.worksheet+xml" PartName="/xl/worksheets/sheet5172.xml"/>
  <Override ContentType="application/vnd.openxmlformats-officedocument.spreadsheetml.worksheet+xml" PartName="/xl/worksheets/sheet5173.xml"/>
  <Override ContentType="application/vnd.openxmlformats-officedocument.spreadsheetml.worksheet+xml" PartName="/xl/worksheets/sheet5174.xml"/>
  <Override ContentType="application/vnd.openxmlformats-officedocument.spreadsheetml.worksheet+xml" PartName="/xl/worksheets/sheet5175.xml"/>
  <Override ContentType="application/vnd.openxmlformats-officedocument.spreadsheetml.worksheet+xml" PartName="/xl/worksheets/sheet5176.xml"/>
  <Override ContentType="application/vnd.openxmlformats-officedocument.spreadsheetml.worksheet+xml" PartName="/xl/worksheets/sheet5177.xml"/>
  <Override ContentType="application/vnd.openxmlformats-officedocument.spreadsheetml.worksheet+xml" PartName="/xl/worksheets/sheet5178.xml"/>
  <Override ContentType="application/vnd.openxmlformats-officedocument.spreadsheetml.worksheet+xml" PartName="/xl/worksheets/sheet5179.xml"/>
  <Override ContentType="application/vnd.openxmlformats-officedocument.spreadsheetml.worksheet+xml" PartName="/xl/worksheets/sheet5180.xml"/>
  <Override ContentType="application/vnd.openxmlformats-officedocument.spreadsheetml.worksheet+xml" PartName="/xl/worksheets/sheet5181.xml"/>
  <Override ContentType="application/vnd.openxmlformats-officedocument.spreadsheetml.worksheet+xml" PartName="/xl/worksheets/sheet5182.xml"/>
  <Override ContentType="application/vnd.openxmlformats-officedocument.spreadsheetml.worksheet+xml" PartName="/xl/worksheets/sheet5183.xml"/>
  <Override ContentType="application/vnd.openxmlformats-officedocument.spreadsheetml.worksheet+xml" PartName="/xl/worksheets/sheet5184.xml"/>
  <Override ContentType="application/vnd.openxmlformats-officedocument.spreadsheetml.worksheet+xml" PartName="/xl/worksheets/sheet5185.xml"/>
  <Override ContentType="application/vnd.openxmlformats-officedocument.spreadsheetml.worksheet+xml" PartName="/xl/worksheets/sheet5186.xml"/>
  <Override ContentType="application/vnd.openxmlformats-officedocument.spreadsheetml.worksheet+xml" PartName="/xl/worksheets/sheet5187.xml"/>
  <Override ContentType="application/vnd.openxmlformats-officedocument.spreadsheetml.worksheet+xml" PartName="/xl/worksheets/sheet5188.xml"/>
  <Override ContentType="application/vnd.openxmlformats-officedocument.spreadsheetml.worksheet+xml" PartName="/xl/worksheets/sheet5189.xml"/>
  <Override ContentType="application/vnd.openxmlformats-officedocument.spreadsheetml.worksheet+xml" PartName="/xl/worksheets/sheet5190.xml"/>
  <Override ContentType="application/vnd.openxmlformats-officedocument.spreadsheetml.worksheet+xml" PartName="/xl/worksheets/sheet5191.xml"/>
  <Override ContentType="application/vnd.openxmlformats-officedocument.spreadsheetml.worksheet+xml" PartName="/xl/worksheets/sheet5192.xml"/>
  <Override ContentType="application/vnd.openxmlformats-officedocument.spreadsheetml.worksheet+xml" PartName="/xl/worksheets/sheet5193.xml"/>
  <Override ContentType="application/vnd.openxmlformats-officedocument.spreadsheetml.worksheet+xml" PartName="/xl/worksheets/sheet5194.xml"/>
  <Override ContentType="application/vnd.openxmlformats-officedocument.spreadsheetml.worksheet+xml" PartName="/xl/worksheets/sheet5195.xml"/>
  <Override ContentType="application/vnd.openxmlformats-officedocument.spreadsheetml.worksheet+xml" PartName="/xl/worksheets/sheet5196.xml"/>
  <Override ContentType="application/vnd.openxmlformats-officedocument.spreadsheetml.worksheet+xml" PartName="/xl/worksheets/sheet5197.xml"/>
  <Override ContentType="application/vnd.openxmlformats-officedocument.spreadsheetml.worksheet+xml" PartName="/xl/worksheets/sheet5198.xml"/>
  <Override ContentType="application/vnd.openxmlformats-officedocument.spreadsheetml.worksheet+xml" PartName="/xl/worksheets/sheet5199.xml"/>
  <Override ContentType="application/vnd.openxmlformats-officedocument.spreadsheetml.worksheet+xml" PartName="/xl/worksheets/sheet5200.xml"/>
  <Override ContentType="application/vnd.openxmlformats-officedocument.spreadsheetml.worksheet+xml" PartName="/xl/worksheets/sheet5201.xml"/>
  <Override ContentType="application/vnd.openxmlformats-officedocument.spreadsheetml.worksheet+xml" PartName="/xl/worksheets/sheet5202.xml"/>
  <Override ContentType="application/vnd.openxmlformats-officedocument.spreadsheetml.worksheet+xml" PartName="/xl/worksheets/sheet5203.xml"/>
  <Override ContentType="application/vnd.openxmlformats-officedocument.spreadsheetml.worksheet+xml" PartName="/xl/worksheets/sheet5204.xml"/>
  <Override ContentType="application/vnd.openxmlformats-officedocument.spreadsheetml.worksheet+xml" PartName="/xl/worksheets/sheet5205.xml"/>
  <Override ContentType="application/vnd.openxmlformats-officedocument.spreadsheetml.worksheet+xml" PartName="/xl/worksheets/sheet5206.xml"/>
  <Override ContentType="application/vnd.openxmlformats-officedocument.spreadsheetml.worksheet+xml" PartName="/xl/worksheets/sheet5207.xml"/>
  <Override ContentType="application/vnd.openxmlformats-officedocument.spreadsheetml.worksheet+xml" PartName="/xl/worksheets/sheet5208.xml"/>
  <Override ContentType="application/vnd.openxmlformats-officedocument.spreadsheetml.worksheet+xml" PartName="/xl/worksheets/sheet5209.xml"/>
  <Override ContentType="application/vnd.openxmlformats-officedocument.spreadsheetml.worksheet+xml" PartName="/xl/worksheets/sheet5210.xml"/>
  <Override ContentType="application/vnd.openxmlformats-officedocument.spreadsheetml.worksheet+xml" PartName="/xl/worksheets/sheet5211.xml"/>
  <Override ContentType="application/vnd.openxmlformats-officedocument.spreadsheetml.worksheet+xml" PartName="/xl/worksheets/sheet5212.xml"/>
  <Override ContentType="application/vnd.openxmlformats-officedocument.spreadsheetml.worksheet+xml" PartName="/xl/worksheets/sheet5213.xml"/>
  <Override ContentType="application/vnd.openxmlformats-officedocument.spreadsheetml.worksheet+xml" PartName="/xl/worksheets/sheet5214.xml"/>
  <Override ContentType="application/vnd.openxmlformats-officedocument.spreadsheetml.worksheet+xml" PartName="/xl/worksheets/sheet5215.xml"/>
  <Override ContentType="application/vnd.openxmlformats-officedocument.spreadsheetml.worksheet+xml" PartName="/xl/worksheets/sheet5216.xml"/>
  <Override ContentType="application/vnd.openxmlformats-officedocument.spreadsheetml.worksheet+xml" PartName="/xl/worksheets/sheet5217.xml"/>
  <Override ContentType="application/vnd.openxmlformats-officedocument.spreadsheetml.worksheet+xml" PartName="/xl/worksheets/sheet5218.xml"/>
  <Override ContentType="application/vnd.openxmlformats-officedocument.spreadsheetml.worksheet+xml" PartName="/xl/worksheets/sheet5219.xml"/>
  <Override ContentType="application/vnd.openxmlformats-officedocument.spreadsheetml.worksheet+xml" PartName="/xl/worksheets/sheet5220.xml"/>
  <Override ContentType="application/vnd.openxmlformats-officedocument.spreadsheetml.worksheet+xml" PartName="/xl/worksheets/sheet5221.xml"/>
  <Override ContentType="application/vnd.openxmlformats-officedocument.spreadsheetml.worksheet+xml" PartName="/xl/worksheets/sheet5222.xml"/>
  <Override ContentType="application/vnd.openxmlformats-officedocument.spreadsheetml.worksheet+xml" PartName="/xl/worksheets/sheet5223.xml"/>
  <Override ContentType="application/vnd.openxmlformats-officedocument.spreadsheetml.worksheet+xml" PartName="/xl/worksheets/sheet5224.xml"/>
  <Override ContentType="application/vnd.openxmlformats-officedocument.spreadsheetml.worksheet+xml" PartName="/xl/worksheets/sheet5225.xml"/>
  <Override ContentType="application/vnd.openxmlformats-officedocument.spreadsheetml.worksheet+xml" PartName="/xl/worksheets/sheet5226.xml"/>
  <Override ContentType="application/vnd.openxmlformats-officedocument.spreadsheetml.worksheet+xml" PartName="/xl/worksheets/sheet5227.xml"/>
  <Override ContentType="application/vnd.openxmlformats-officedocument.spreadsheetml.worksheet+xml" PartName="/xl/worksheets/sheet5228.xml"/>
  <Override ContentType="application/vnd.openxmlformats-officedocument.spreadsheetml.worksheet+xml" PartName="/xl/worksheets/sheet5229.xml"/>
  <Override ContentType="application/vnd.openxmlformats-officedocument.spreadsheetml.worksheet+xml" PartName="/xl/worksheets/sheet5230.xml"/>
  <Override ContentType="application/vnd.openxmlformats-officedocument.spreadsheetml.worksheet+xml" PartName="/xl/worksheets/sheet5231.xml"/>
  <Override ContentType="application/vnd.openxmlformats-officedocument.spreadsheetml.worksheet+xml" PartName="/xl/worksheets/sheet5232.xml"/>
  <Override ContentType="application/vnd.openxmlformats-officedocument.spreadsheetml.worksheet+xml" PartName="/xl/worksheets/sheet5233.xml"/>
  <Override ContentType="application/vnd.openxmlformats-officedocument.spreadsheetml.worksheet+xml" PartName="/xl/worksheets/sheet5234.xml"/>
  <Override ContentType="application/vnd.openxmlformats-officedocument.spreadsheetml.worksheet+xml" PartName="/xl/worksheets/sheet5235.xml"/>
  <Override ContentType="application/vnd.openxmlformats-officedocument.spreadsheetml.worksheet+xml" PartName="/xl/worksheets/sheet5236.xml"/>
  <Override ContentType="application/vnd.openxmlformats-officedocument.spreadsheetml.worksheet+xml" PartName="/xl/worksheets/sheet5237.xml"/>
  <Override ContentType="application/vnd.openxmlformats-officedocument.spreadsheetml.worksheet+xml" PartName="/xl/worksheets/sheet5238.xml"/>
  <Override ContentType="application/vnd.openxmlformats-officedocument.spreadsheetml.worksheet+xml" PartName="/xl/worksheets/sheet5239.xml"/>
  <Override ContentType="application/vnd.openxmlformats-officedocument.spreadsheetml.worksheet+xml" PartName="/xl/worksheets/sheet5240.xml"/>
  <Override ContentType="application/vnd.openxmlformats-officedocument.spreadsheetml.worksheet+xml" PartName="/xl/worksheets/sheet5241.xml"/>
  <Override ContentType="application/vnd.openxmlformats-officedocument.spreadsheetml.worksheet+xml" PartName="/xl/worksheets/sheet5242.xml"/>
  <Override ContentType="application/vnd.openxmlformats-officedocument.spreadsheetml.worksheet+xml" PartName="/xl/worksheets/sheet5243.xml"/>
  <Override ContentType="application/vnd.openxmlformats-officedocument.spreadsheetml.worksheet+xml" PartName="/xl/worksheets/sheet5244.xml"/>
  <Override ContentType="application/vnd.openxmlformats-officedocument.spreadsheetml.worksheet+xml" PartName="/xl/worksheets/sheet5245.xml"/>
  <Override ContentType="application/vnd.openxmlformats-officedocument.spreadsheetml.worksheet+xml" PartName="/xl/worksheets/sheet5246.xml"/>
  <Override ContentType="application/vnd.openxmlformats-officedocument.spreadsheetml.worksheet+xml" PartName="/xl/worksheets/sheet5247.xml"/>
  <Override ContentType="application/vnd.openxmlformats-officedocument.spreadsheetml.worksheet+xml" PartName="/xl/worksheets/sheet5248.xml"/>
  <Override ContentType="application/vnd.openxmlformats-officedocument.spreadsheetml.worksheet+xml" PartName="/xl/worksheets/sheet5249.xml"/>
  <Override ContentType="application/vnd.openxmlformats-officedocument.spreadsheetml.worksheet+xml" PartName="/xl/worksheets/sheet5250.xml"/>
  <Override ContentType="application/vnd.openxmlformats-officedocument.spreadsheetml.worksheet+xml" PartName="/xl/worksheets/sheet5251.xml"/>
  <Override ContentType="application/vnd.openxmlformats-officedocument.spreadsheetml.worksheet+xml" PartName="/xl/worksheets/sheet5252.xml"/>
  <Override ContentType="application/vnd.openxmlformats-officedocument.spreadsheetml.worksheet+xml" PartName="/xl/worksheets/sheet5253.xml"/>
  <Override ContentType="application/vnd.openxmlformats-officedocument.spreadsheetml.worksheet+xml" PartName="/xl/worksheets/sheet5254.xml"/>
  <Override ContentType="application/vnd.openxmlformats-officedocument.spreadsheetml.worksheet+xml" PartName="/xl/worksheets/sheet5255.xml"/>
  <Override ContentType="application/vnd.openxmlformats-officedocument.spreadsheetml.worksheet+xml" PartName="/xl/worksheets/sheet5256.xml"/>
  <Override ContentType="application/vnd.openxmlformats-officedocument.spreadsheetml.worksheet+xml" PartName="/xl/worksheets/sheet5257.xml"/>
  <Override ContentType="application/vnd.openxmlformats-officedocument.spreadsheetml.worksheet+xml" PartName="/xl/worksheets/sheet5258.xml"/>
  <Override ContentType="application/vnd.openxmlformats-officedocument.spreadsheetml.worksheet+xml" PartName="/xl/worksheets/sheet5259.xml"/>
  <Override ContentType="application/vnd.openxmlformats-officedocument.spreadsheetml.worksheet+xml" PartName="/xl/worksheets/sheet5260.xml"/>
  <Override ContentType="application/vnd.openxmlformats-officedocument.spreadsheetml.worksheet+xml" PartName="/xl/worksheets/sheet5261.xml"/>
  <Override ContentType="application/vnd.openxmlformats-officedocument.spreadsheetml.worksheet+xml" PartName="/xl/worksheets/sheet5262.xml"/>
  <Override ContentType="application/vnd.openxmlformats-officedocument.spreadsheetml.worksheet+xml" PartName="/xl/worksheets/sheet5263.xml"/>
  <Override ContentType="application/vnd.openxmlformats-officedocument.spreadsheetml.worksheet+xml" PartName="/xl/worksheets/sheet5264.xml"/>
  <Override ContentType="application/vnd.openxmlformats-officedocument.spreadsheetml.worksheet+xml" PartName="/xl/worksheets/sheet5265.xml"/>
  <Override ContentType="application/vnd.openxmlformats-officedocument.spreadsheetml.worksheet+xml" PartName="/xl/worksheets/sheet5266.xml"/>
  <Override ContentType="application/vnd.openxmlformats-officedocument.spreadsheetml.worksheet+xml" PartName="/xl/worksheets/sheet5267.xml"/>
  <Override ContentType="application/vnd.openxmlformats-officedocument.spreadsheetml.worksheet+xml" PartName="/xl/worksheets/sheet5268.xml"/>
  <Override ContentType="application/vnd.openxmlformats-officedocument.spreadsheetml.worksheet+xml" PartName="/xl/worksheets/sheet5269.xml"/>
  <Override ContentType="application/vnd.openxmlformats-officedocument.spreadsheetml.worksheet+xml" PartName="/xl/worksheets/sheet5270.xml"/>
  <Override ContentType="application/vnd.openxmlformats-officedocument.spreadsheetml.worksheet+xml" PartName="/xl/worksheets/sheet5271.xml"/>
  <Override ContentType="application/vnd.openxmlformats-officedocument.spreadsheetml.worksheet+xml" PartName="/xl/worksheets/sheet5272.xml"/>
  <Override ContentType="application/vnd.openxmlformats-officedocument.spreadsheetml.worksheet+xml" PartName="/xl/worksheets/sheet5273.xml"/>
  <Override ContentType="application/vnd.openxmlformats-officedocument.spreadsheetml.worksheet+xml" PartName="/xl/worksheets/sheet5274.xml"/>
  <Override ContentType="application/vnd.openxmlformats-officedocument.spreadsheetml.worksheet+xml" PartName="/xl/worksheets/sheet5275.xml"/>
  <Override ContentType="application/vnd.openxmlformats-officedocument.spreadsheetml.worksheet+xml" PartName="/xl/worksheets/sheet5276.xml"/>
  <Override ContentType="application/vnd.openxmlformats-officedocument.spreadsheetml.worksheet+xml" PartName="/xl/worksheets/sheet5277.xml"/>
  <Override ContentType="application/vnd.openxmlformats-officedocument.spreadsheetml.worksheet+xml" PartName="/xl/worksheets/sheet5278.xml"/>
  <Override ContentType="application/vnd.openxmlformats-officedocument.spreadsheetml.worksheet+xml" PartName="/xl/worksheets/sheet5279.xml"/>
  <Override ContentType="application/vnd.openxmlformats-officedocument.spreadsheetml.worksheet+xml" PartName="/xl/worksheets/sheet5280.xml"/>
  <Override ContentType="application/vnd.openxmlformats-officedocument.spreadsheetml.worksheet+xml" PartName="/xl/worksheets/sheet5281.xml"/>
  <Override ContentType="application/vnd.openxmlformats-officedocument.spreadsheetml.worksheet+xml" PartName="/xl/worksheets/sheet5282.xml"/>
  <Override ContentType="application/vnd.openxmlformats-officedocument.spreadsheetml.worksheet+xml" PartName="/xl/worksheets/sheet5283.xml"/>
  <Override ContentType="application/vnd.openxmlformats-officedocument.spreadsheetml.worksheet+xml" PartName="/xl/worksheets/sheet5284.xml"/>
  <Override ContentType="application/vnd.openxmlformats-officedocument.spreadsheetml.worksheet+xml" PartName="/xl/worksheets/sheet5285.xml"/>
  <Override ContentType="application/vnd.openxmlformats-officedocument.spreadsheetml.worksheet+xml" PartName="/xl/worksheets/sheet5286.xml"/>
  <Override ContentType="application/vnd.openxmlformats-officedocument.spreadsheetml.worksheet+xml" PartName="/xl/worksheets/sheet5287.xml"/>
  <Override ContentType="application/vnd.openxmlformats-officedocument.spreadsheetml.worksheet+xml" PartName="/xl/worksheets/sheet5288.xml"/>
  <Override ContentType="application/vnd.openxmlformats-officedocument.spreadsheetml.worksheet+xml" PartName="/xl/worksheets/sheet5289.xml"/>
  <Override ContentType="application/vnd.openxmlformats-officedocument.spreadsheetml.worksheet+xml" PartName="/xl/worksheets/sheet5290.xml"/>
  <Override ContentType="application/vnd.openxmlformats-officedocument.spreadsheetml.worksheet+xml" PartName="/xl/worksheets/sheet5291.xml"/>
  <Override ContentType="application/vnd.openxmlformats-officedocument.spreadsheetml.worksheet+xml" PartName="/xl/worksheets/sheet5292.xml"/>
  <Override ContentType="application/vnd.openxmlformats-officedocument.spreadsheetml.worksheet+xml" PartName="/xl/worksheets/sheet5293.xml"/>
  <Override ContentType="application/vnd.openxmlformats-officedocument.spreadsheetml.worksheet+xml" PartName="/xl/worksheets/sheet5294.xml"/>
  <Override ContentType="application/vnd.openxmlformats-officedocument.spreadsheetml.worksheet+xml" PartName="/xl/worksheets/sheet5295.xml"/>
  <Override ContentType="application/vnd.openxmlformats-officedocument.spreadsheetml.worksheet+xml" PartName="/xl/worksheets/sheet5296.xml"/>
  <Override ContentType="application/vnd.openxmlformats-officedocument.spreadsheetml.worksheet+xml" PartName="/xl/worksheets/sheet5297.xml"/>
  <Override ContentType="application/vnd.openxmlformats-officedocument.spreadsheetml.worksheet+xml" PartName="/xl/worksheets/sheet5298.xml"/>
  <Override ContentType="application/vnd.openxmlformats-officedocument.spreadsheetml.worksheet+xml" PartName="/xl/worksheets/sheet5299.xml"/>
  <Override ContentType="application/vnd.openxmlformats-officedocument.spreadsheetml.worksheet+xml" PartName="/xl/worksheets/sheet5300.xml"/>
  <Override ContentType="application/vnd.openxmlformats-officedocument.spreadsheetml.worksheet+xml" PartName="/xl/worksheets/sheet5301.xml"/>
  <Override ContentType="application/vnd.openxmlformats-officedocument.spreadsheetml.worksheet+xml" PartName="/xl/worksheets/sheet5302.xml"/>
  <Override ContentType="application/vnd.openxmlformats-officedocument.spreadsheetml.worksheet+xml" PartName="/xl/worksheets/sheet5303.xml"/>
  <Override ContentType="application/vnd.openxmlformats-officedocument.spreadsheetml.worksheet+xml" PartName="/xl/worksheets/sheet5304.xml"/>
  <Override ContentType="application/vnd.openxmlformats-officedocument.spreadsheetml.worksheet+xml" PartName="/xl/worksheets/sheet5305.xml"/>
  <Override ContentType="application/vnd.openxmlformats-officedocument.spreadsheetml.worksheet+xml" PartName="/xl/worksheets/sheet5306.xml"/>
  <Override ContentType="application/vnd.openxmlformats-officedocument.spreadsheetml.worksheet+xml" PartName="/xl/worksheets/sheet5307.xml"/>
  <Override ContentType="application/vnd.openxmlformats-officedocument.spreadsheetml.worksheet+xml" PartName="/xl/worksheets/sheet5308.xml"/>
  <Override ContentType="application/vnd.openxmlformats-officedocument.spreadsheetml.worksheet+xml" PartName="/xl/worksheets/sheet5309.xml"/>
  <Override ContentType="application/vnd.openxmlformats-officedocument.spreadsheetml.worksheet+xml" PartName="/xl/worksheets/sheet5310.xml"/>
  <Override ContentType="application/vnd.openxmlformats-officedocument.spreadsheetml.worksheet+xml" PartName="/xl/worksheets/sheet5311.xml"/>
  <Override ContentType="application/vnd.openxmlformats-officedocument.spreadsheetml.worksheet+xml" PartName="/xl/worksheets/sheet5312.xml"/>
  <Override ContentType="application/vnd.openxmlformats-officedocument.spreadsheetml.worksheet+xml" PartName="/xl/worksheets/sheet5313.xml"/>
  <Override ContentType="application/vnd.openxmlformats-officedocument.spreadsheetml.worksheet+xml" PartName="/xl/worksheets/sheet5314.xml"/>
  <Override ContentType="application/vnd.openxmlformats-officedocument.spreadsheetml.worksheet+xml" PartName="/xl/worksheets/sheet5315.xml"/>
  <Override ContentType="application/vnd.openxmlformats-officedocument.spreadsheetml.worksheet+xml" PartName="/xl/worksheets/sheet5316.xml"/>
  <Override ContentType="application/vnd.openxmlformats-officedocument.spreadsheetml.worksheet+xml" PartName="/xl/worksheets/sheet5317.xml"/>
  <Override ContentType="application/vnd.openxmlformats-officedocument.spreadsheetml.worksheet+xml" PartName="/xl/worksheets/sheet5318.xml"/>
  <Override ContentType="application/vnd.openxmlformats-officedocument.spreadsheetml.worksheet+xml" PartName="/xl/worksheets/sheet5319.xml"/>
  <Override ContentType="application/vnd.openxmlformats-officedocument.spreadsheetml.worksheet+xml" PartName="/xl/worksheets/sheet5320.xml"/>
  <Override ContentType="application/vnd.openxmlformats-officedocument.spreadsheetml.worksheet+xml" PartName="/xl/worksheets/sheet5321.xml"/>
  <Override ContentType="application/vnd.openxmlformats-officedocument.spreadsheetml.worksheet+xml" PartName="/xl/worksheets/sheet5322.xml"/>
  <Override ContentType="application/vnd.openxmlformats-officedocument.spreadsheetml.worksheet+xml" PartName="/xl/worksheets/sheet5323.xml"/>
  <Override ContentType="application/vnd.openxmlformats-officedocument.spreadsheetml.worksheet+xml" PartName="/xl/worksheets/sheet5324.xml"/>
  <Override ContentType="application/vnd.openxmlformats-officedocument.spreadsheetml.worksheet+xml" PartName="/xl/worksheets/sheet5325.xml"/>
  <Override ContentType="application/vnd.openxmlformats-officedocument.spreadsheetml.worksheet+xml" PartName="/xl/worksheets/sheet5326.xml"/>
  <Override ContentType="application/vnd.openxmlformats-officedocument.spreadsheetml.worksheet+xml" PartName="/xl/worksheets/sheet5327.xml"/>
  <Override ContentType="application/vnd.openxmlformats-officedocument.spreadsheetml.worksheet+xml" PartName="/xl/worksheets/sheet5328.xml"/>
  <Override ContentType="application/vnd.openxmlformats-officedocument.spreadsheetml.worksheet+xml" PartName="/xl/worksheets/sheet5329.xml"/>
  <Override ContentType="application/vnd.openxmlformats-officedocument.spreadsheetml.worksheet+xml" PartName="/xl/worksheets/sheet5330.xml"/>
  <Override ContentType="application/vnd.openxmlformats-officedocument.spreadsheetml.worksheet+xml" PartName="/xl/worksheets/sheet5331.xml"/>
  <Override ContentType="application/vnd.openxmlformats-officedocument.spreadsheetml.worksheet+xml" PartName="/xl/worksheets/sheet5332.xml"/>
  <Override ContentType="application/vnd.openxmlformats-officedocument.spreadsheetml.worksheet+xml" PartName="/xl/worksheets/sheet5333.xml"/>
  <Override ContentType="application/vnd.openxmlformats-officedocument.spreadsheetml.worksheet+xml" PartName="/xl/worksheets/sheet5334.xml"/>
  <Override ContentType="application/vnd.openxmlformats-officedocument.spreadsheetml.worksheet+xml" PartName="/xl/worksheets/sheet5335.xml"/>
  <Override ContentType="application/vnd.openxmlformats-officedocument.spreadsheetml.worksheet+xml" PartName="/xl/worksheets/sheet5336.xml"/>
  <Override ContentType="application/vnd.openxmlformats-officedocument.spreadsheetml.worksheet+xml" PartName="/xl/worksheets/sheet5337.xml"/>
  <Override ContentType="application/vnd.openxmlformats-officedocument.spreadsheetml.worksheet+xml" PartName="/xl/worksheets/sheet5338.xml"/>
  <Override ContentType="application/vnd.openxmlformats-officedocument.spreadsheetml.worksheet+xml" PartName="/xl/worksheets/sheet5339.xml"/>
  <Override ContentType="application/vnd.openxmlformats-officedocument.spreadsheetml.worksheet+xml" PartName="/xl/worksheets/sheet5340.xml"/>
  <Override ContentType="application/vnd.openxmlformats-officedocument.spreadsheetml.worksheet+xml" PartName="/xl/worksheets/sheet5341.xml"/>
  <Override ContentType="application/vnd.openxmlformats-officedocument.spreadsheetml.worksheet+xml" PartName="/xl/worksheets/sheet5342.xml"/>
  <Override ContentType="application/vnd.openxmlformats-officedocument.spreadsheetml.worksheet+xml" PartName="/xl/worksheets/sheet5343.xml"/>
  <Override ContentType="application/vnd.openxmlformats-officedocument.spreadsheetml.worksheet+xml" PartName="/xl/worksheets/sheet5344.xml"/>
  <Override ContentType="application/vnd.openxmlformats-officedocument.spreadsheetml.worksheet+xml" PartName="/xl/worksheets/sheet5345.xml"/>
  <Override ContentType="application/vnd.openxmlformats-officedocument.spreadsheetml.worksheet+xml" PartName="/xl/worksheets/sheet5346.xml"/>
  <Override ContentType="application/vnd.openxmlformats-officedocument.spreadsheetml.worksheet+xml" PartName="/xl/worksheets/sheet5347.xml"/>
  <Override ContentType="application/vnd.openxmlformats-officedocument.spreadsheetml.worksheet+xml" PartName="/xl/worksheets/sheet5348.xml"/>
  <Override ContentType="application/vnd.openxmlformats-officedocument.spreadsheetml.worksheet+xml" PartName="/xl/worksheets/sheet5349.xml"/>
  <Override ContentType="application/vnd.openxmlformats-officedocument.spreadsheetml.worksheet+xml" PartName="/xl/worksheets/sheet5350.xml"/>
  <Override ContentType="application/vnd.openxmlformats-officedocument.spreadsheetml.worksheet+xml" PartName="/xl/worksheets/sheet5351.xml"/>
  <Override ContentType="application/vnd.openxmlformats-officedocument.spreadsheetml.worksheet+xml" PartName="/xl/worksheets/sheet5352.xml"/>
  <Override ContentType="application/vnd.openxmlformats-officedocument.spreadsheetml.worksheet+xml" PartName="/xl/worksheets/sheet5353.xml"/>
  <Override ContentType="application/vnd.openxmlformats-officedocument.spreadsheetml.worksheet+xml" PartName="/xl/worksheets/sheet5354.xml"/>
  <Override ContentType="application/vnd.openxmlformats-officedocument.spreadsheetml.worksheet+xml" PartName="/xl/worksheets/sheet5355.xml"/>
  <Override ContentType="application/vnd.openxmlformats-officedocument.spreadsheetml.worksheet+xml" PartName="/xl/worksheets/sheet5356.xml"/>
  <Override ContentType="application/vnd.openxmlformats-officedocument.spreadsheetml.worksheet+xml" PartName="/xl/worksheets/sheet5357.xml"/>
  <Override ContentType="application/vnd.openxmlformats-officedocument.spreadsheetml.worksheet+xml" PartName="/xl/worksheets/sheet5358.xml"/>
  <Override ContentType="application/vnd.openxmlformats-officedocument.spreadsheetml.worksheet+xml" PartName="/xl/worksheets/sheet5359.xml"/>
  <Override ContentType="application/vnd.openxmlformats-officedocument.spreadsheetml.worksheet+xml" PartName="/xl/worksheets/sheet5360.xml"/>
  <Override ContentType="application/vnd.openxmlformats-officedocument.spreadsheetml.worksheet+xml" PartName="/xl/worksheets/sheet5361.xml"/>
  <Override ContentType="application/vnd.openxmlformats-officedocument.spreadsheetml.worksheet+xml" PartName="/xl/worksheets/sheet5362.xml"/>
  <Override ContentType="application/vnd.openxmlformats-officedocument.spreadsheetml.worksheet+xml" PartName="/xl/worksheets/sheet5363.xml"/>
  <Override ContentType="application/vnd.openxmlformats-officedocument.spreadsheetml.worksheet+xml" PartName="/xl/worksheets/sheet5364.xml"/>
  <Override ContentType="application/vnd.openxmlformats-officedocument.spreadsheetml.worksheet+xml" PartName="/xl/worksheets/sheet5365.xml"/>
  <Override ContentType="application/vnd.openxmlformats-officedocument.spreadsheetml.worksheet+xml" PartName="/xl/worksheets/sheet5366.xml"/>
  <Override ContentType="application/vnd.openxmlformats-officedocument.spreadsheetml.worksheet+xml" PartName="/xl/worksheets/sheet5367.xml"/>
  <Override ContentType="application/vnd.openxmlformats-officedocument.spreadsheetml.worksheet+xml" PartName="/xl/worksheets/sheet5368.xml"/>
  <Override ContentType="application/vnd.openxmlformats-officedocument.spreadsheetml.worksheet+xml" PartName="/xl/worksheets/sheet5369.xml"/>
  <Override ContentType="application/vnd.openxmlformats-officedocument.spreadsheetml.worksheet+xml" PartName="/xl/worksheets/sheet5370.xml"/>
  <Override ContentType="application/vnd.openxmlformats-officedocument.spreadsheetml.worksheet+xml" PartName="/xl/worksheets/sheet5371.xml"/>
  <Override ContentType="application/vnd.openxmlformats-officedocument.spreadsheetml.worksheet+xml" PartName="/xl/worksheets/sheet5372.xml"/>
  <Override ContentType="application/vnd.openxmlformats-officedocument.spreadsheetml.worksheet+xml" PartName="/xl/worksheets/sheet5373.xml"/>
  <Override ContentType="application/vnd.openxmlformats-officedocument.spreadsheetml.worksheet+xml" PartName="/xl/worksheets/sheet5374.xml"/>
  <Override ContentType="application/vnd.openxmlformats-officedocument.spreadsheetml.worksheet+xml" PartName="/xl/worksheets/sheet5375.xml"/>
  <Override ContentType="application/vnd.openxmlformats-officedocument.spreadsheetml.worksheet+xml" PartName="/xl/worksheets/sheet5376.xml"/>
  <Override ContentType="application/vnd.openxmlformats-officedocument.spreadsheetml.worksheet+xml" PartName="/xl/worksheets/sheet5377.xml"/>
  <Override ContentType="application/vnd.openxmlformats-officedocument.spreadsheetml.worksheet+xml" PartName="/xl/worksheets/sheet5378.xml"/>
  <Override ContentType="application/vnd.openxmlformats-officedocument.spreadsheetml.worksheet+xml" PartName="/xl/worksheets/sheet5379.xml"/>
  <Override ContentType="application/vnd.openxmlformats-officedocument.spreadsheetml.worksheet+xml" PartName="/xl/worksheets/sheet5380.xml"/>
  <Override ContentType="application/vnd.openxmlformats-officedocument.spreadsheetml.worksheet+xml" PartName="/xl/worksheets/sheet5381.xml"/>
  <Override ContentType="application/vnd.openxmlformats-officedocument.spreadsheetml.worksheet+xml" PartName="/xl/worksheets/sheet5382.xml"/>
  <Override ContentType="application/vnd.openxmlformats-officedocument.spreadsheetml.worksheet+xml" PartName="/xl/worksheets/sheet5383.xml"/>
  <Override ContentType="application/vnd.openxmlformats-officedocument.spreadsheetml.worksheet+xml" PartName="/xl/worksheets/sheet5384.xml"/>
  <Override ContentType="application/vnd.openxmlformats-officedocument.spreadsheetml.worksheet+xml" PartName="/xl/worksheets/sheet5385.xml"/>
  <Override ContentType="application/vnd.openxmlformats-officedocument.spreadsheetml.worksheet+xml" PartName="/xl/worksheets/sheet5386.xml"/>
  <Override ContentType="application/vnd.openxmlformats-officedocument.spreadsheetml.worksheet+xml" PartName="/xl/worksheets/sheet5387.xml"/>
  <Override ContentType="application/vnd.openxmlformats-officedocument.spreadsheetml.worksheet+xml" PartName="/xl/worksheets/sheet5388.xml"/>
  <Override ContentType="application/vnd.openxmlformats-officedocument.spreadsheetml.worksheet+xml" PartName="/xl/worksheets/sheet5389.xml"/>
  <Override ContentType="application/vnd.openxmlformats-officedocument.spreadsheetml.worksheet+xml" PartName="/xl/worksheets/sheet5390.xml"/>
  <Override ContentType="application/vnd.openxmlformats-officedocument.spreadsheetml.worksheet+xml" PartName="/xl/worksheets/sheet5391.xml"/>
  <Override ContentType="application/vnd.openxmlformats-officedocument.spreadsheetml.worksheet+xml" PartName="/xl/worksheets/sheet5392.xml"/>
  <Override ContentType="application/vnd.openxmlformats-officedocument.spreadsheetml.worksheet+xml" PartName="/xl/worksheets/sheet5393.xml"/>
  <Override ContentType="application/vnd.openxmlformats-officedocument.spreadsheetml.worksheet+xml" PartName="/xl/worksheets/sheet5394.xml"/>
  <Override ContentType="application/vnd.openxmlformats-officedocument.spreadsheetml.worksheet+xml" PartName="/xl/worksheets/sheet5395.xml"/>
  <Override ContentType="application/vnd.openxmlformats-officedocument.spreadsheetml.worksheet+xml" PartName="/xl/worksheets/sheet5396.xml"/>
  <Override ContentType="application/vnd.openxmlformats-officedocument.spreadsheetml.worksheet+xml" PartName="/xl/worksheets/sheet5397.xml"/>
  <Override ContentType="application/vnd.openxmlformats-officedocument.spreadsheetml.worksheet+xml" PartName="/xl/worksheets/sheet5398.xml"/>
  <Override ContentType="application/vnd.openxmlformats-officedocument.spreadsheetml.worksheet+xml" PartName="/xl/worksheets/sheet5399.xml"/>
  <Override ContentType="application/vnd.openxmlformats-officedocument.spreadsheetml.worksheet+xml" PartName="/xl/worksheets/sheet5400.xml"/>
  <Override ContentType="application/vnd.openxmlformats-officedocument.spreadsheetml.worksheet+xml" PartName="/xl/worksheets/sheet5401.xml"/>
  <Override ContentType="application/vnd.openxmlformats-officedocument.spreadsheetml.worksheet+xml" PartName="/xl/worksheets/sheet5402.xml"/>
  <Override ContentType="application/vnd.openxmlformats-officedocument.spreadsheetml.worksheet+xml" PartName="/xl/worksheets/sheet5403.xml"/>
  <Override ContentType="application/vnd.openxmlformats-officedocument.spreadsheetml.worksheet+xml" PartName="/xl/worksheets/sheet5404.xml"/>
  <Override ContentType="application/vnd.openxmlformats-officedocument.spreadsheetml.worksheet+xml" PartName="/xl/worksheets/sheet5405.xml"/>
  <Override ContentType="application/vnd.openxmlformats-officedocument.spreadsheetml.worksheet+xml" PartName="/xl/worksheets/sheet5406.xml"/>
  <Override ContentType="application/vnd.openxmlformats-officedocument.spreadsheetml.worksheet+xml" PartName="/xl/worksheets/sheet5407.xml"/>
  <Override ContentType="application/vnd.openxmlformats-officedocument.spreadsheetml.worksheet+xml" PartName="/xl/worksheets/sheet5408.xml"/>
  <Override ContentType="application/vnd.openxmlformats-officedocument.spreadsheetml.worksheet+xml" PartName="/xl/worksheets/sheet5409.xml"/>
  <Override ContentType="application/vnd.openxmlformats-officedocument.spreadsheetml.worksheet+xml" PartName="/xl/worksheets/sheet5410.xml"/>
  <Override ContentType="application/vnd.openxmlformats-officedocument.spreadsheetml.worksheet+xml" PartName="/xl/worksheets/sheet5411.xml"/>
  <Override ContentType="application/vnd.openxmlformats-officedocument.spreadsheetml.worksheet+xml" PartName="/xl/worksheets/sheet5412.xml"/>
  <Override ContentType="application/vnd.openxmlformats-officedocument.spreadsheetml.worksheet+xml" PartName="/xl/worksheets/sheet5413.xml"/>
  <Override ContentType="application/vnd.openxmlformats-officedocument.spreadsheetml.worksheet+xml" PartName="/xl/worksheets/sheet5414.xml"/>
  <Override ContentType="application/vnd.openxmlformats-officedocument.spreadsheetml.worksheet+xml" PartName="/xl/worksheets/sheet5415.xml"/>
  <Override ContentType="application/vnd.openxmlformats-officedocument.spreadsheetml.worksheet+xml" PartName="/xl/worksheets/sheet5416.xml"/>
  <Override ContentType="application/vnd.openxmlformats-officedocument.spreadsheetml.worksheet+xml" PartName="/xl/worksheets/sheet5417.xml"/>
  <Override ContentType="application/vnd.openxmlformats-officedocument.spreadsheetml.worksheet+xml" PartName="/xl/worksheets/sheet5418.xml"/>
  <Override ContentType="application/vnd.openxmlformats-officedocument.spreadsheetml.worksheet+xml" PartName="/xl/worksheets/sheet5419.xml"/>
  <Override ContentType="application/vnd.openxmlformats-officedocument.spreadsheetml.worksheet+xml" PartName="/xl/worksheets/sheet5420.xml"/>
  <Override ContentType="application/vnd.openxmlformats-officedocument.spreadsheetml.worksheet+xml" PartName="/xl/worksheets/sheet5421.xml"/>
  <Override ContentType="application/vnd.openxmlformats-officedocument.spreadsheetml.worksheet+xml" PartName="/xl/worksheets/sheet5422.xml"/>
  <Override ContentType="application/vnd.openxmlformats-officedocument.spreadsheetml.worksheet+xml" PartName="/xl/worksheets/sheet5423.xml"/>
  <Override ContentType="application/vnd.openxmlformats-officedocument.spreadsheetml.worksheet+xml" PartName="/xl/worksheets/sheet5424.xml"/>
  <Override ContentType="application/vnd.openxmlformats-officedocument.spreadsheetml.worksheet+xml" PartName="/xl/worksheets/sheet5425.xml"/>
  <Override ContentType="application/vnd.openxmlformats-officedocument.spreadsheetml.worksheet+xml" PartName="/xl/worksheets/sheet5426.xml"/>
  <Override ContentType="application/vnd.openxmlformats-officedocument.spreadsheetml.worksheet+xml" PartName="/xl/worksheets/sheet5427.xml"/>
  <Override ContentType="application/vnd.openxmlformats-officedocument.spreadsheetml.worksheet+xml" PartName="/xl/worksheets/sheet5428.xml"/>
  <Override ContentType="application/vnd.openxmlformats-officedocument.spreadsheetml.worksheet+xml" PartName="/xl/worksheets/sheet5429.xml"/>
  <Override ContentType="application/vnd.openxmlformats-officedocument.spreadsheetml.worksheet+xml" PartName="/xl/worksheets/sheet5430.xml"/>
  <Override ContentType="application/vnd.openxmlformats-officedocument.spreadsheetml.worksheet+xml" PartName="/xl/worksheets/sheet5431.xml"/>
  <Override ContentType="application/vnd.openxmlformats-officedocument.spreadsheetml.worksheet+xml" PartName="/xl/worksheets/sheet5432.xml"/>
  <Override ContentType="application/vnd.openxmlformats-officedocument.spreadsheetml.worksheet+xml" PartName="/xl/worksheets/sheet5433.xml"/>
  <Override ContentType="application/vnd.openxmlformats-officedocument.spreadsheetml.worksheet+xml" PartName="/xl/worksheets/sheet5434.xml"/>
  <Override ContentType="application/vnd.openxmlformats-officedocument.spreadsheetml.worksheet+xml" PartName="/xl/worksheets/sheet5435.xml"/>
  <Override ContentType="application/vnd.openxmlformats-officedocument.spreadsheetml.worksheet+xml" PartName="/xl/worksheets/sheet5436.xml"/>
  <Override ContentType="application/vnd.openxmlformats-officedocument.spreadsheetml.worksheet+xml" PartName="/xl/worksheets/sheet5437.xml"/>
  <Override ContentType="application/vnd.openxmlformats-officedocument.spreadsheetml.worksheet+xml" PartName="/xl/worksheets/sheet5438.xml"/>
  <Override ContentType="application/vnd.openxmlformats-officedocument.spreadsheetml.worksheet+xml" PartName="/xl/worksheets/sheet5439.xml"/>
  <Override ContentType="application/vnd.openxmlformats-officedocument.spreadsheetml.worksheet+xml" PartName="/xl/worksheets/sheet5440.xml"/>
  <Override ContentType="application/vnd.openxmlformats-officedocument.spreadsheetml.worksheet+xml" PartName="/xl/worksheets/sheet5441.xml"/>
  <Override ContentType="application/vnd.openxmlformats-officedocument.spreadsheetml.worksheet+xml" PartName="/xl/worksheets/sheet5442.xml"/>
  <Override ContentType="application/vnd.openxmlformats-officedocument.spreadsheetml.worksheet+xml" PartName="/xl/worksheets/sheet5443.xml"/>
  <Override ContentType="application/vnd.openxmlformats-officedocument.spreadsheetml.worksheet+xml" PartName="/xl/worksheets/sheet5444.xml"/>
  <Override ContentType="application/vnd.openxmlformats-officedocument.spreadsheetml.worksheet+xml" PartName="/xl/worksheets/sheet5445.xml"/>
  <Override ContentType="application/vnd.openxmlformats-officedocument.spreadsheetml.worksheet+xml" PartName="/xl/worksheets/sheet5446.xml"/>
  <Override ContentType="application/vnd.openxmlformats-officedocument.spreadsheetml.worksheet+xml" PartName="/xl/worksheets/sheet5447.xml"/>
  <Override ContentType="application/vnd.openxmlformats-officedocument.spreadsheetml.worksheet+xml" PartName="/xl/worksheets/sheet5448.xml"/>
  <Override ContentType="application/vnd.openxmlformats-officedocument.spreadsheetml.worksheet+xml" PartName="/xl/worksheets/sheet5449.xml"/>
  <Override ContentType="application/vnd.openxmlformats-officedocument.spreadsheetml.worksheet+xml" PartName="/xl/worksheets/sheet5450.xml"/>
  <Override ContentType="application/vnd.openxmlformats-officedocument.spreadsheetml.worksheet+xml" PartName="/xl/worksheets/sheet5451.xml"/>
  <Override ContentType="application/vnd.openxmlformats-officedocument.spreadsheetml.worksheet+xml" PartName="/xl/worksheets/sheet5452.xml"/>
  <Override ContentType="application/vnd.openxmlformats-officedocument.spreadsheetml.worksheet+xml" PartName="/xl/worksheets/sheet5453.xml"/>
  <Override ContentType="application/vnd.openxmlformats-officedocument.spreadsheetml.worksheet+xml" PartName="/xl/worksheets/sheet5454.xml"/>
  <Override ContentType="application/vnd.openxmlformats-officedocument.spreadsheetml.worksheet+xml" PartName="/xl/worksheets/sheet5455.xml"/>
  <Override ContentType="application/vnd.openxmlformats-officedocument.spreadsheetml.worksheet+xml" PartName="/xl/worksheets/sheet5456.xml"/>
  <Override ContentType="application/vnd.openxmlformats-officedocument.spreadsheetml.worksheet+xml" PartName="/xl/worksheets/sheet5457.xml"/>
  <Override ContentType="application/vnd.openxmlformats-officedocument.spreadsheetml.worksheet+xml" PartName="/xl/worksheets/sheet5458.xml"/>
  <Override ContentType="application/vnd.openxmlformats-officedocument.spreadsheetml.worksheet+xml" PartName="/xl/worksheets/sheet5459.xml"/>
  <Override ContentType="application/vnd.openxmlformats-officedocument.spreadsheetml.worksheet+xml" PartName="/xl/worksheets/sheet5460.xml"/>
  <Override ContentType="application/vnd.openxmlformats-officedocument.spreadsheetml.worksheet+xml" PartName="/xl/worksheets/sheet5461.xml"/>
  <Override ContentType="application/vnd.openxmlformats-officedocument.spreadsheetml.worksheet+xml" PartName="/xl/worksheets/sheet5462.xml"/>
  <Override ContentType="application/vnd.openxmlformats-officedocument.spreadsheetml.worksheet+xml" PartName="/xl/worksheets/sheet5463.xml"/>
  <Override ContentType="application/vnd.openxmlformats-officedocument.spreadsheetml.worksheet+xml" PartName="/xl/worksheets/sheet5464.xml"/>
  <Override ContentType="application/vnd.openxmlformats-officedocument.spreadsheetml.worksheet+xml" PartName="/xl/worksheets/sheet5465.xml"/>
  <Override ContentType="application/vnd.openxmlformats-officedocument.spreadsheetml.worksheet+xml" PartName="/xl/worksheets/sheet5466.xml"/>
  <Override ContentType="application/vnd.openxmlformats-officedocument.spreadsheetml.worksheet+xml" PartName="/xl/worksheets/sheet5467.xml"/>
  <Override ContentType="application/vnd.openxmlformats-officedocument.spreadsheetml.worksheet+xml" PartName="/xl/worksheets/sheet5468.xml"/>
  <Override ContentType="application/vnd.openxmlformats-officedocument.spreadsheetml.worksheet+xml" PartName="/xl/worksheets/sheet5469.xml"/>
  <Override ContentType="application/vnd.openxmlformats-officedocument.spreadsheetml.worksheet+xml" PartName="/xl/worksheets/sheet5470.xml"/>
  <Override ContentType="application/vnd.openxmlformats-officedocument.spreadsheetml.worksheet+xml" PartName="/xl/worksheets/sheet5471.xml"/>
  <Override ContentType="application/vnd.openxmlformats-officedocument.spreadsheetml.worksheet+xml" PartName="/xl/worksheets/sheet5472.xml"/>
  <Override ContentType="application/vnd.openxmlformats-officedocument.spreadsheetml.worksheet+xml" PartName="/xl/worksheets/sheet5473.xml"/>
  <Override ContentType="application/vnd.openxmlformats-officedocument.spreadsheetml.worksheet+xml" PartName="/xl/worksheets/sheet5474.xml"/>
  <Override ContentType="application/vnd.openxmlformats-officedocument.spreadsheetml.worksheet+xml" PartName="/xl/worksheets/sheet5475.xml"/>
  <Override ContentType="application/vnd.openxmlformats-officedocument.spreadsheetml.worksheet+xml" PartName="/xl/worksheets/sheet5476.xml"/>
  <Override ContentType="application/vnd.openxmlformats-officedocument.spreadsheetml.worksheet+xml" PartName="/xl/worksheets/sheet5477.xml"/>
  <Override ContentType="application/vnd.openxmlformats-officedocument.spreadsheetml.worksheet+xml" PartName="/xl/worksheets/sheet5478.xml"/>
  <Override ContentType="application/vnd.openxmlformats-officedocument.spreadsheetml.worksheet+xml" PartName="/xl/worksheets/sheet5479.xml"/>
  <Override ContentType="application/vnd.openxmlformats-officedocument.spreadsheetml.worksheet+xml" PartName="/xl/worksheets/sheet5480.xml"/>
  <Override ContentType="application/vnd.openxmlformats-officedocument.spreadsheetml.worksheet+xml" PartName="/xl/worksheets/sheet5481.xml"/>
  <Override ContentType="application/vnd.openxmlformats-officedocument.spreadsheetml.worksheet+xml" PartName="/xl/worksheets/sheet5482.xml"/>
  <Override ContentType="application/vnd.openxmlformats-officedocument.spreadsheetml.worksheet+xml" PartName="/xl/worksheets/sheet5483.xml"/>
  <Override ContentType="application/vnd.openxmlformats-officedocument.spreadsheetml.worksheet+xml" PartName="/xl/worksheets/sheet5484.xml"/>
  <Override ContentType="application/vnd.openxmlformats-officedocument.spreadsheetml.worksheet+xml" PartName="/xl/worksheets/sheet5485.xml"/>
  <Override ContentType="application/vnd.openxmlformats-officedocument.spreadsheetml.worksheet+xml" PartName="/xl/worksheets/sheet5486.xml"/>
  <Override ContentType="application/vnd.openxmlformats-officedocument.spreadsheetml.worksheet+xml" PartName="/xl/worksheets/sheet5487.xml"/>
  <Override ContentType="application/vnd.openxmlformats-officedocument.spreadsheetml.worksheet+xml" PartName="/xl/worksheets/sheet5488.xml"/>
  <Override ContentType="application/vnd.openxmlformats-officedocument.spreadsheetml.worksheet+xml" PartName="/xl/worksheets/sheet5489.xml"/>
  <Override ContentType="application/vnd.openxmlformats-officedocument.spreadsheetml.worksheet+xml" PartName="/xl/worksheets/sheet5490.xml"/>
  <Override ContentType="application/vnd.openxmlformats-officedocument.spreadsheetml.worksheet+xml" PartName="/xl/worksheets/sheet5491.xml"/>
  <Override ContentType="application/vnd.openxmlformats-officedocument.spreadsheetml.worksheet+xml" PartName="/xl/worksheets/sheet5492.xml"/>
  <Override ContentType="application/vnd.openxmlformats-officedocument.spreadsheetml.worksheet+xml" PartName="/xl/worksheets/sheet5493.xml"/>
  <Override ContentType="application/vnd.openxmlformats-officedocument.spreadsheetml.worksheet+xml" PartName="/xl/worksheets/sheet5494.xml"/>
  <Override ContentType="application/vnd.openxmlformats-officedocument.spreadsheetml.worksheet+xml" PartName="/xl/worksheets/sheet5495.xml"/>
  <Override ContentType="application/vnd.openxmlformats-officedocument.spreadsheetml.worksheet+xml" PartName="/xl/worksheets/sheet5496.xml"/>
  <Override ContentType="application/vnd.openxmlformats-officedocument.spreadsheetml.worksheet+xml" PartName="/xl/worksheets/sheet5497.xml"/>
  <Override ContentType="application/vnd.openxmlformats-officedocument.spreadsheetml.worksheet+xml" PartName="/xl/worksheets/sheet5498.xml"/>
  <Override ContentType="application/vnd.openxmlformats-officedocument.spreadsheetml.worksheet+xml" PartName="/xl/worksheets/sheet5499.xml"/>
  <Override ContentType="application/vnd.openxmlformats-officedocument.spreadsheetml.worksheet+xml" PartName="/xl/worksheets/sheet5500.xml"/>
  <Override ContentType="application/vnd.openxmlformats-officedocument.spreadsheetml.worksheet+xml" PartName="/xl/worksheets/sheet5501.xml"/>
  <Override ContentType="application/vnd.openxmlformats-officedocument.spreadsheetml.worksheet+xml" PartName="/xl/worksheets/sheet5502.xml"/>
  <Override ContentType="application/vnd.openxmlformats-officedocument.spreadsheetml.worksheet+xml" PartName="/xl/worksheets/sheet5503.xml"/>
  <Override ContentType="application/vnd.openxmlformats-officedocument.spreadsheetml.worksheet+xml" PartName="/xl/worksheets/sheet5504.xml"/>
  <Override ContentType="application/vnd.openxmlformats-officedocument.spreadsheetml.worksheet+xml" PartName="/xl/worksheets/sheet5505.xml"/>
  <Override ContentType="application/vnd.openxmlformats-officedocument.spreadsheetml.worksheet+xml" PartName="/xl/worksheets/sheet5506.xml"/>
  <Override ContentType="application/vnd.openxmlformats-officedocument.spreadsheetml.worksheet+xml" PartName="/xl/worksheets/sheet5507.xml"/>
  <Override ContentType="application/vnd.openxmlformats-officedocument.spreadsheetml.worksheet+xml" PartName="/xl/worksheets/sheet5508.xml"/>
  <Override ContentType="application/vnd.openxmlformats-officedocument.spreadsheetml.worksheet+xml" PartName="/xl/worksheets/sheet5509.xml"/>
  <Override ContentType="application/vnd.openxmlformats-officedocument.spreadsheetml.worksheet+xml" PartName="/xl/worksheets/sheet5510.xml"/>
  <Override ContentType="application/vnd.openxmlformats-officedocument.spreadsheetml.worksheet+xml" PartName="/xl/worksheets/sheet5511.xml"/>
  <Override ContentType="application/vnd.openxmlformats-officedocument.spreadsheetml.worksheet+xml" PartName="/xl/worksheets/sheet5512.xml"/>
  <Override ContentType="application/vnd.openxmlformats-officedocument.spreadsheetml.worksheet+xml" PartName="/xl/worksheets/sheet5513.xml"/>
  <Override ContentType="application/vnd.openxmlformats-officedocument.spreadsheetml.worksheet+xml" PartName="/xl/worksheets/sheet5514.xml"/>
  <Override ContentType="application/vnd.openxmlformats-officedocument.spreadsheetml.worksheet+xml" PartName="/xl/worksheets/sheet5515.xml"/>
  <Override ContentType="application/vnd.openxmlformats-officedocument.spreadsheetml.worksheet+xml" PartName="/xl/worksheets/sheet5516.xml"/>
  <Override ContentType="application/vnd.openxmlformats-officedocument.spreadsheetml.worksheet+xml" PartName="/xl/worksheets/sheet5517.xml"/>
  <Override ContentType="application/vnd.openxmlformats-officedocument.spreadsheetml.worksheet+xml" PartName="/xl/worksheets/sheet5518.xml"/>
  <Override ContentType="application/vnd.openxmlformats-officedocument.spreadsheetml.worksheet+xml" PartName="/xl/worksheets/sheet5519.xml"/>
  <Override ContentType="application/vnd.openxmlformats-officedocument.spreadsheetml.worksheet+xml" PartName="/xl/worksheets/sheet5520.xml"/>
  <Override ContentType="application/vnd.openxmlformats-officedocument.spreadsheetml.worksheet+xml" PartName="/xl/worksheets/sheet5521.xml"/>
  <Override ContentType="application/vnd.openxmlformats-officedocument.spreadsheetml.worksheet+xml" PartName="/xl/worksheets/sheet5522.xml"/>
  <Override ContentType="application/vnd.openxmlformats-officedocument.spreadsheetml.worksheet+xml" PartName="/xl/worksheets/sheet5523.xml"/>
  <Override ContentType="application/vnd.openxmlformats-officedocument.spreadsheetml.worksheet+xml" PartName="/xl/worksheets/sheet5524.xml"/>
  <Override ContentType="application/vnd.openxmlformats-officedocument.spreadsheetml.worksheet+xml" PartName="/xl/worksheets/sheet5525.xml"/>
  <Override ContentType="application/vnd.openxmlformats-officedocument.spreadsheetml.worksheet+xml" PartName="/xl/worksheets/sheet5526.xml"/>
  <Override ContentType="application/vnd.openxmlformats-officedocument.spreadsheetml.worksheet+xml" PartName="/xl/worksheets/sheet5527.xml"/>
  <Override ContentType="application/vnd.openxmlformats-officedocument.spreadsheetml.worksheet+xml" PartName="/xl/worksheets/sheet5528.xml"/>
  <Override ContentType="application/vnd.openxmlformats-officedocument.spreadsheetml.worksheet+xml" PartName="/xl/worksheets/sheet5529.xml"/>
  <Override ContentType="application/vnd.openxmlformats-officedocument.spreadsheetml.worksheet+xml" PartName="/xl/worksheets/sheet5530.xml"/>
  <Override ContentType="application/vnd.openxmlformats-officedocument.spreadsheetml.worksheet+xml" PartName="/xl/worksheets/sheet5531.xml"/>
  <Override ContentType="application/vnd.openxmlformats-officedocument.spreadsheetml.worksheet+xml" PartName="/xl/worksheets/sheet5532.xml"/>
  <Override ContentType="application/vnd.openxmlformats-officedocument.spreadsheetml.worksheet+xml" PartName="/xl/worksheets/sheet5533.xml"/>
  <Override ContentType="application/vnd.openxmlformats-officedocument.spreadsheetml.worksheet+xml" PartName="/xl/worksheets/sheet5534.xml"/>
  <Override ContentType="application/vnd.openxmlformats-officedocument.spreadsheetml.worksheet+xml" PartName="/xl/worksheets/sheet5535.xml"/>
  <Override ContentType="application/vnd.openxmlformats-officedocument.spreadsheetml.worksheet+xml" PartName="/xl/worksheets/sheet5536.xml"/>
  <Override ContentType="application/vnd.openxmlformats-officedocument.spreadsheetml.worksheet+xml" PartName="/xl/worksheets/sheet5537.xml"/>
  <Override ContentType="application/vnd.openxmlformats-officedocument.spreadsheetml.worksheet+xml" PartName="/xl/worksheets/sheet5538.xml"/>
  <Override ContentType="application/vnd.openxmlformats-officedocument.spreadsheetml.worksheet+xml" PartName="/xl/worksheets/sheet5539.xml"/>
  <Override ContentType="application/vnd.openxmlformats-officedocument.spreadsheetml.worksheet+xml" PartName="/xl/worksheets/sheet5540.xml"/>
  <Override ContentType="application/vnd.openxmlformats-officedocument.spreadsheetml.worksheet+xml" PartName="/xl/worksheets/sheet5541.xml"/>
  <Override ContentType="application/vnd.openxmlformats-officedocument.spreadsheetml.worksheet+xml" PartName="/xl/worksheets/sheet5542.xml"/>
  <Override ContentType="application/vnd.openxmlformats-officedocument.spreadsheetml.worksheet+xml" PartName="/xl/worksheets/sheet5543.xml"/>
  <Override ContentType="application/vnd.openxmlformats-officedocument.spreadsheetml.worksheet+xml" PartName="/xl/worksheets/sheet5544.xml"/>
  <Override ContentType="application/vnd.openxmlformats-officedocument.spreadsheetml.worksheet+xml" PartName="/xl/worksheets/sheet5545.xml"/>
  <Override ContentType="application/vnd.openxmlformats-officedocument.spreadsheetml.worksheet+xml" PartName="/xl/worksheets/sheet5546.xml"/>
  <Override ContentType="application/vnd.openxmlformats-officedocument.spreadsheetml.worksheet+xml" PartName="/xl/worksheets/sheet5547.xml"/>
  <Override ContentType="application/vnd.openxmlformats-officedocument.spreadsheetml.worksheet+xml" PartName="/xl/worksheets/sheet5548.xml"/>
  <Override ContentType="application/vnd.openxmlformats-officedocument.spreadsheetml.worksheet+xml" PartName="/xl/worksheets/sheet5549.xml"/>
  <Override ContentType="application/vnd.openxmlformats-officedocument.spreadsheetml.worksheet+xml" PartName="/xl/worksheets/sheet5550.xml"/>
  <Override ContentType="application/vnd.openxmlformats-officedocument.spreadsheetml.worksheet+xml" PartName="/xl/worksheets/sheet5551.xml"/>
  <Override ContentType="application/vnd.openxmlformats-officedocument.spreadsheetml.worksheet+xml" PartName="/xl/worksheets/sheet5552.xml"/>
  <Override ContentType="application/vnd.openxmlformats-officedocument.spreadsheetml.worksheet+xml" PartName="/xl/worksheets/sheet5553.xml"/>
  <Override ContentType="application/vnd.openxmlformats-officedocument.spreadsheetml.worksheet+xml" PartName="/xl/worksheets/sheet5554.xml"/>
  <Override ContentType="application/vnd.openxmlformats-officedocument.spreadsheetml.worksheet+xml" PartName="/xl/worksheets/sheet5555.xml"/>
  <Override ContentType="application/vnd.openxmlformats-officedocument.spreadsheetml.worksheet+xml" PartName="/xl/worksheets/sheet5556.xml"/>
  <Override ContentType="application/vnd.openxmlformats-officedocument.spreadsheetml.worksheet+xml" PartName="/xl/worksheets/sheet5557.xml"/>
  <Override ContentType="application/vnd.openxmlformats-officedocument.spreadsheetml.worksheet+xml" PartName="/xl/worksheets/sheet5558.xml"/>
  <Override ContentType="application/vnd.openxmlformats-officedocument.spreadsheetml.worksheet+xml" PartName="/xl/worksheets/sheet5559.xml"/>
  <Override ContentType="application/vnd.openxmlformats-officedocument.spreadsheetml.worksheet+xml" PartName="/xl/worksheets/sheet5560.xml"/>
  <Override ContentType="application/vnd.openxmlformats-officedocument.spreadsheetml.worksheet+xml" PartName="/xl/worksheets/sheet5561.xml"/>
  <Override ContentType="application/vnd.openxmlformats-officedocument.spreadsheetml.worksheet+xml" PartName="/xl/worksheets/sheet5562.xml"/>
  <Override ContentType="application/vnd.openxmlformats-officedocument.spreadsheetml.worksheet+xml" PartName="/xl/worksheets/sheet5563.xml"/>
  <Override ContentType="application/vnd.openxmlformats-officedocument.spreadsheetml.worksheet+xml" PartName="/xl/worksheets/sheet5564.xml"/>
  <Override ContentType="application/vnd.openxmlformats-officedocument.spreadsheetml.worksheet+xml" PartName="/xl/worksheets/sheet5565.xml"/>
  <Override ContentType="application/vnd.openxmlformats-officedocument.spreadsheetml.worksheet+xml" PartName="/xl/worksheets/sheet5566.xml"/>
  <Override ContentType="application/vnd.openxmlformats-officedocument.spreadsheetml.worksheet+xml" PartName="/xl/worksheets/sheet5567.xml"/>
  <Override ContentType="application/vnd.openxmlformats-officedocument.spreadsheetml.worksheet+xml" PartName="/xl/worksheets/sheet5568.xml"/>
  <Override ContentType="application/vnd.openxmlformats-officedocument.spreadsheetml.worksheet+xml" PartName="/xl/worksheets/sheet5569.xml"/>
  <Override ContentType="application/vnd.openxmlformats-officedocument.spreadsheetml.worksheet+xml" PartName="/xl/worksheets/sheet5570.xml"/>
  <Override ContentType="application/vnd.openxmlformats-officedocument.spreadsheetml.worksheet+xml" PartName="/xl/worksheets/sheet5571.xml"/>
  <Override ContentType="application/vnd.openxmlformats-officedocument.spreadsheetml.worksheet+xml" PartName="/xl/worksheets/sheet5572.xml"/>
  <Override ContentType="application/vnd.openxmlformats-officedocument.spreadsheetml.worksheet+xml" PartName="/xl/worksheets/sheet5573.xml"/>
  <Override ContentType="application/vnd.openxmlformats-officedocument.spreadsheetml.worksheet+xml" PartName="/xl/worksheets/sheet5574.xml"/>
  <Override ContentType="application/vnd.openxmlformats-officedocument.spreadsheetml.worksheet+xml" PartName="/xl/worksheets/sheet5575.xml"/>
  <Override ContentType="application/vnd.openxmlformats-officedocument.spreadsheetml.worksheet+xml" PartName="/xl/worksheets/sheet5576.xml"/>
  <Override ContentType="application/vnd.openxmlformats-officedocument.spreadsheetml.worksheet+xml" PartName="/xl/worksheets/sheet5577.xml"/>
  <Override ContentType="application/vnd.openxmlformats-officedocument.spreadsheetml.worksheet+xml" PartName="/xl/worksheets/sheet5578.xml"/>
  <Override ContentType="application/vnd.openxmlformats-officedocument.spreadsheetml.worksheet+xml" PartName="/xl/worksheets/sheet5579.xml"/>
  <Override ContentType="application/vnd.openxmlformats-officedocument.spreadsheetml.worksheet+xml" PartName="/xl/worksheets/sheet5580.xml"/>
  <Override ContentType="application/vnd.openxmlformats-officedocument.spreadsheetml.worksheet+xml" PartName="/xl/worksheets/sheet5581.xml"/>
  <Override ContentType="application/vnd.openxmlformats-officedocument.spreadsheetml.worksheet+xml" PartName="/xl/worksheets/sheet5582.xml"/>
  <Override ContentType="application/vnd.openxmlformats-officedocument.spreadsheetml.worksheet+xml" PartName="/xl/worksheets/sheet5583.xml"/>
  <Override ContentType="application/vnd.openxmlformats-officedocument.spreadsheetml.worksheet+xml" PartName="/xl/worksheets/sheet5584.xml"/>
  <Override ContentType="application/vnd.openxmlformats-officedocument.spreadsheetml.worksheet+xml" PartName="/xl/worksheets/sheet5585.xml"/>
  <Override ContentType="application/vnd.openxmlformats-officedocument.spreadsheetml.worksheet+xml" PartName="/xl/worksheets/sheet5586.xml"/>
  <Override ContentType="application/vnd.openxmlformats-officedocument.spreadsheetml.worksheet+xml" PartName="/xl/worksheets/sheet5587.xml"/>
  <Override ContentType="application/vnd.openxmlformats-officedocument.spreadsheetml.worksheet+xml" PartName="/xl/worksheets/sheet5588.xml"/>
  <Override ContentType="application/vnd.openxmlformats-officedocument.spreadsheetml.worksheet+xml" PartName="/xl/worksheets/sheet5589.xml"/>
  <Override ContentType="application/vnd.openxmlformats-officedocument.spreadsheetml.worksheet+xml" PartName="/xl/worksheets/sheet5590.xml"/>
  <Override ContentType="application/vnd.openxmlformats-officedocument.spreadsheetml.worksheet+xml" PartName="/xl/worksheets/sheet5591.xml"/>
  <Override ContentType="application/vnd.openxmlformats-officedocument.spreadsheetml.worksheet+xml" PartName="/xl/worksheets/sheet5592.xml"/>
  <Override ContentType="application/vnd.openxmlformats-officedocument.spreadsheetml.worksheet+xml" PartName="/xl/worksheets/sheet5593.xml"/>
  <Override ContentType="application/vnd.openxmlformats-officedocument.spreadsheetml.worksheet+xml" PartName="/xl/worksheets/sheet5594.xml"/>
  <Override ContentType="application/vnd.openxmlformats-officedocument.spreadsheetml.worksheet+xml" PartName="/xl/worksheets/sheet5595.xml"/>
  <Override ContentType="application/vnd.openxmlformats-officedocument.spreadsheetml.worksheet+xml" PartName="/xl/worksheets/sheet5596.xml"/>
  <Override ContentType="application/vnd.openxmlformats-officedocument.spreadsheetml.worksheet+xml" PartName="/xl/worksheets/sheet5597.xml"/>
  <Override ContentType="application/vnd.openxmlformats-officedocument.spreadsheetml.worksheet+xml" PartName="/xl/worksheets/sheet5598.xml"/>
  <Override ContentType="application/vnd.openxmlformats-officedocument.spreadsheetml.worksheet+xml" PartName="/xl/worksheets/sheet5599.xml"/>
  <Override ContentType="application/vnd.openxmlformats-officedocument.spreadsheetml.worksheet+xml" PartName="/xl/worksheets/sheet5600.xml"/>
  <Override ContentType="application/vnd.openxmlformats-officedocument.spreadsheetml.worksheet+xml" PartName="/xl/worksheets/sheet5601.xml"/>
  <Override ContentType="application/vnd.openxmlformats-officedocument.spreadsheetml.worksheet+xml" PartName="/xl/worksheets/sheet5602.xml"/>
  <Override ContentType="application/vnd.openxmlformats-officedocument.spreadsheetml.worksheet+xml" PartName="/xl/worksheets/sheet5603.xml"/>
  <Override ContentType="application/vnd.openxmlformats-officedocument.spreadsheetml.worksheet+xml" PartName="/xl/worksheets/sheet5604.xml"/>
  <Override ContentType="application/vnd.openxmlformats-officedocument.spreadsheetml.worksheet+xml" PartName="/xl/worksheets/sheet5605.xml"/>
  <Override ContentType="application/vnd.openxmlformats-officedocument.spreadsheetml.worksheet+xml" PartName="/xl/worksheets/sheet5606.xml"/>
  <Override ContentType="application/vnd.openxmlformats-officedocument.spreadsheetml.worksheet+xml" PartName="/xl/worksheets/sheet5607.xml"/>
  <Override ContentType="application/vnd.openxmlformats-officedocument.spreadsheetml.worksheet+xml" PartName="/xl/worksheets/sheet5608.xml"/>
  <Override ContentType="application/vnd.openxmlformats-officedocument.spreadsheetml.worksheet+xml" PartName="/xl/worksheets/sheet5609.xml"/>
  <Override ContentType="application/vnd.openxmlformats-officedocument.spreadsheetml.worksheet+xml" PartName="/xl/worksheets/sheet5610.xml"/>
  <Override ContentType="application/vnd.openxmlformats-officedocument.spreadsheetml.worksheet+xml" PartName="/xl/worksheets/sheet5611.xml"/>
  <Override ContentType="application/vnd.openxmlformats-officedocument.spreadsheetml.worksheet+xml" PartName="/xl/worksheets/sheet5612.xml"/>
  <Override ContentType="application/vnd.openxmlformats-officedocument.spreadsheetml.worksheet+xml" PartName="/xl/worksheets/sheet5613.xml"/>
  <Override ContentType="application/vnd.openxmlformats-officedocument.spreadsheetml.worksheet+xml" PartName="/xl/worksheets/sheet5614.xml"/>
  <Override ContentType="application/vnd.openxmlformats-officedocument.spreadsheetml.worksheet+xml" PartName="/xl/worksheets/sheet5615.xml"/>
  <Override ContentType="application/vnd.openxmlformats-officedocument.spreadsheetml.worksheet+xml" PartName="/xl/worksheets/sheet5616.xml"/>
  <Override ContentType="application/vnd.openxmlformats-officedocument.spreadsheetml.worksheet+xml" PartName="/xl/worksheets/sheet5617.xml"/>
  <Override ContentType="application/vnd.openxmlformats-officedocument.spreadsheetml.worksheet+xml" PartName="/xl/worksheets/sheet5618.xml"/>
  <Override ContentType="application/vnd.openxmlformats-officedocument.spreadsheetml.worksheet+xml" PartName="/xl/worksheets/sheet5619.xml"/>
  <Override ContentType="application/vnd.openxmlformats-officedocument.spreadsheetml.worksheet+xml" PartName="/xl/worksheets/sheet5620.xml"/>
  <Override ContentType="application/vnd.openxmlformats-officedocument.spreadsheetml.worksheet+xml" PartName="/xl/worksheets/sheet5621.xml"/>
  <Override ContentType="application/vnd.openxmlformats-officedocument.spreadsheetml.worksheet+xml" PartName="/xl/worksheets/sheet5622.xml"/>
  <Override ContentType="application/vnd.openxmlformats-officedocument.spreadsheetml.worksheet+xml" PartName="/xl/worksheets/sheet5623.xml"/>
  <Override ContentType="application/vnd.openxmlformats-officedocument.spreadsheetml.worksheet+xml" PartName="/xl/worksheets/sheet5624.xml"/>
  <Override ContentType="application/vnd.openxmlformats-officedocument.spreadsheetml.worksheet+xml" PartName="/xl/worksheets/sheet5625.xml"/>
  <Override ContentType="application/vnd.openxmlformats-officedocument.spreadsheetml.worksheet+xml" PartName="/xl/worksheets/sheet5626.xml"/>
  <Override ContentType="application/vnd.openxmlformats-officedocument.spreadsheetml.worksheet+xml" PartName="/xl/worksheets/sheet5627.xml"/>
  <Override ContentType="application/vnd.openxmlformats-officedocument.spreadsheetml.worksheet+xml" PartName="/xl/worksheets/sheet5628.xml"/>
  <Override ContentType="application/vnd.openxmlformats-officedocument.spreadsheetml.worksheet+xml" PartName="/xl/worksheets/sheet5629.xml"/>
  <Override ContentType="application/vnd.openxmlformats-officedocument.spreadsheetml.worksheet+xml" PartName="/xl/worksheets/sheet5630.xml"/>
  <Override ContentType="application/vnd.openxmlformats-officedocument.spreadsheetml.worksheet+xml" PartName="/xl/worksheets/sheet5631.xml"/>
  <Override ContentType="application/vnd.openxmlformats-officedocument.spreadsheetml.worksheet+xml" PartName="/xl/worksheets/sheet5632.xml"/>
  <Override ContentType="application/vnd.openxmlformats-officedocument.spreadsheetml.worksheet+xml" PartName="/xl/worksheets/sheet5633.xml"/>
  <Override ContentType="application/vnd.openxmlformats-officedocument.spreadsheetml.worksheet+xml" PartName="/xl/worksheets/sheet5634.xml"/>
  <Override ContentType="application/vnd.openxmlformats-officedocument.spreadsheetml.worksheet+xml" PartName="/xl/worksheets/sheet5635.xml"/>
  <Override ContentType="application/vnd.openxmlformats-officedocument.spreadsheetml.worksheet+xml" PartName="/xl/worksheets/sheet5636.xml"/>
  <Override ContentType="application/vnd.openxmlformats-officedocument.spreadsheetml.worksheet+xml" PartName="/xl/worksheets/sheet5637.xml"/>
  <Override ContentType="application/vnd.openxmlformats-officedocument.spreadsheetml.worksheet+xml" PartName="/xl/worksheets/sheet5638.xml"/>
  <Override ContentType="application/vnd.openxmlformats-officedocument.spreadsheetml.worksheet+xml" PartName="/xl/worksheets/sheet5639.xml"/>
  <Override ContentType="application/vnd.openxmlformats-officedocument.spreadsheetml.worksheet+xml" PartName="/xl/worksheets/sheet5640.xml"/>
  <Override ContentType="application/vnd.openxmlformats-officedocument.spreadsheetml.worksheet+xml" PartName="/xl/worksheets/sheet5641.xml"/>
  <Override ContentType="application/vnd.openxmlformats-officedocument.spreadsheetml.worksheet+xml" PartName="/xl/worksheets/sheet5642.xml"/>
  <Override ContentType="application/vnd.openxmlformats-officedocument.spreadsheetml.worksheet+xml" PartName="/xl/worksheets/sheet5643.xml"/>
  <Override ContentType="application/vnd.openxmlformats-officedocument.spreadsheetml.worksheet+xml" PartName="/xl/worksheets/sheet5644.xml"/>
  <Override ContentType="application/vnd.openxmlformats-officedocument.spreadsheetml.worksheet+xml" PartName="/xl/worksheets/sheet5645.xml"/>
  <Override ContentType="application/vnd.openxmlformats-officedocument.spreadsheetml.worksheet+xml" PartName="/xl/worksheets/sheet5646.xml"/>
  <Override ContentType="application/vnd.openxmlformats-officedocument.spreadsheetml.worksheet+xml" PartName="/xl/worksheets/sheet5647.xml"/>
  <Override ContentType="application/vnd.openxmlformats-officedocument.spreadsheetml.worksheet+xml" PartName="/xl/worksheets/sheet5648.xml"/>
  <Override ContentType="application/vnd.openxmlformats-officedocument.spreadsheetml.worksheet+xml" PartName="/xl/worksheets/sheet5649.xml"/>
  <Override ContentType="application/vnd.openxmlformats-officedocument.spreadsheetml.worksheet+xml" PartName="/xl/worksheets/sheet5650.xml"/>
  <Override ContentType="application/vnd.openxmlformats-officedocument.spreadsheetml.worksheet+xml" PartName="/xl/worksheets/sheet5651.xml"/>
  <Override ContentType="application/vnd.openxmlformats-officedocument.spreadsheetml.worksheet+xml" PartName="/xl/worksheets/sheet5652.xml"/>
  <Override ContentType="application/vnd.openxmlformats-officedocument.spreadsheetml.worksheet+xml" PartName="/xl/worksheets/sheet5653.xml"/>
  <Override ContentType="application/vnd.openxmlformats-officedocument.spreadsheetml.worksheet+xml" PartName="/xl/worksheets/sheet5654.xml"/>
  <Override ContentType="application/vnd.openxmlformats-officedocument.spreadsheetml.worksheet+xml" PartName="/xl/worksheets/sheet5655.xml"/>
  <Override ContentType="application/vnd.openxmlformats-officedocument.spreadsheetml.worksheet+xml" PartName="/xl/worksheets/sheet5656.xml"/>
  <Override ContentType="application/vnd.openxmlformats-officedocument.spreadsheetml.worksheet+xml" PartName="/xl/worksheets/sheet5657.xml"/>
  <Override ContentType="application/vnd.openxmlformats-officedocument.spreadsheetml.worksheet+xml" PartName="/xl/worksheets/sheet5658.xml"/>
  <Override ContentType="application/vnd.openxmlformats-officedocument.spreadsheetml.worksheet+xml" PartName="/xl/worksheets/sheet5659.xml"/>
  <Override ContentType="application/vnd.openxmlformats-officedocument.spreadsheetml.worksheet+xml" PartName="/xl/worksheets/sheet5660.xml"/>
  <Override ContentType="application/vnd.openxmlformats-officedocument.spreadsheetml.worksheet+xml" PartName="/xl/worksheets/sheet5661.xml"/>
  <Override ContentType="application/vnd.openxmlformats-officedocument.spreadsheetml.worksheet+xml" PartName="/xl/worksheets/sheet5662.xml"/>
  <Override ContentType="application/vnd.openxmlformats-officedocument.spreadsheetml.worksheet+xml" PartName="/xl/worksheets/sheet5663.xml"/>
  <Override ContentType="application/vnd.openxmlformats-officedocument.spreadsheetml.worksheet+xml" PartName="/xl/worksheets/sheet5664.xml"/>
  <Override ContentType="application/vnd.openxmlformats-officedocument.spreadsheetml.worksheet+xml" PartName="/xl/worksheets/sheet5665.xml"/>
  <Override ContentType="application/vnd.openxmlformats-officedocument.spreadsheetml.worksheet+xml" PartName="/xl/worksheets/sheet5666.xml"/>
  <Override ContentType="application/vnd.openxmlformats-officedocument.spreadsheetml.worksheet+xml" PartName="/xl/worksheets/sheet5667.xml"/>
  <Override ContentType="application/vnd.openxmlformats-officedocument.spreadsheetml.worksheet+xml" PartName="/xl/worksheets/sheet5668.xml"/>
  <Override ContentType="application/vnd.openxmlformats-officedocument.spreadsheetml.worksheet+xml" PartName="/xl/worksheets/sheet5669.xml"/>
  <Override ContentType="application/vnd.openxmlformats-officedocument.spreadsheetml.worksheet+xml" PartName="/xl/worksheets/sheet5670.xml"/>
  <Override ContentType="application/vnd.openxmlformats-officedocument.spreadsheetml.worksheet+xml" PartName="/xl/worksheets/sheet5671.xml"/>
  <Override ContentType="application/vnd.openxmlformats-officedocument.spreadsheetml.worksheet+xml" PartName="/xl/worksheets/sheet5672.xml"/>
  <Override ContentType="application/vnd.openxmlformats-officedocument.spreadsheetml.worksheet+xml" PartName="/xl/worksheets/sheet5673.xml"/>
  <Override ContentType="application/vnd.openxmlformats-officedocument.spreadsheetml.worksheet+xml" PartName="/xl/worksheets/sheet5674.xml"/>
  <Override ContentType="application/vnd.openxmlformats-officedocument.spreadsheetml.worksheet+xml" PartName="/xl/worksheets/sheet5675.xml"/>
  <Override ContentType="application/vnd.openxmlformats-officedocument.spreadsheetml.worksheet+xml" PartName="/xl/worksheets/sheet5676.xml"/>
  <Override ContentType="application/vnd.openxmlformats-officedocument.spreadsheetml.worksheet+xml" PartName="/xl/worksheets/sheet5677.xml"/>
  <Override ContentType="application/vnd.openxmlformats-officedocument.spreadsheetml.worksheet+xml" PartName="/xl/worksheets/sheet5678.xml"/>
  <Override ContentType="application/vnd.openxmlformats-officedocument.spreadsheetml.worksheet+xml" PartName="/xl/worksheets/sheet5679.xml"/>
  <Override ContentType="application/vnd.openxmlformats-officedocument.spreadsheetml.worksheet+xml" PartName="/xl/worksheets/sheet5680.xml"/>
  <Override ContentType="application/vnd.openxmlformats-officedocument.spreadsheetml.worksheet+xml" PartName="/xl/worksheets/sheet5681.xml"/>
  <Override ContentType="application/vnd.openxmlformats-officedocument.spreadsheetml.worksheet+xml" PartName="/xl/worksheets/sheet5682.xml"/>
  <Override ContentType="application/vnd.openxmlformats-officedocument.spreadsheetml.worksheet+xml" PartName="/xl/worksheets/sheet5683.xml"/>
  <Override ContentType="application/vnd.openxmlformats-officedocument.spreadsheetml.worksheet+xml" PartName="/xl/worksheets/sheet5684.xml"/>
  <Override ContentType="application/vnd.openxmlformats-officedocument.spreadsheetml.worksheet+xml" PartName="/xl/worksheets/sheet5685.xml"/>
  <Override ContentType="application/vnd.openxmlformats-officedocument.spreadsheetml.worksheet+xml" PartName="/xl/worksheets/sheet5686.xml"/>
  <Override ContentType="application/vnd.openxmlformats-officedocument.spreadsheetml.worksheet+xml" PartName="/xl/worksheets/sheet5687.xml"/>
  <Override ContentType="application/vnd.openxmlformats-officedocument.spreadsheetml.worksheet+xml" PartName="/xl/worksheets/sheet5688.xml"/>
  <Override ContentType="application/vnd.openxmlformats-officedocument.spreadsheetml.worksheet+xml" PartName="/xl/worksheets/sheet5689.xml"/>
  <Override ContentType="application/vnd.openxmlformats-officedocument.spreadsheetml.worksheet+xml" PartName="/xl/worksheets/sheet5690.xml"/>
  <Override ContentType="application/vnd.openxmlformats-officedocument.spreadsheetml.worksheet+xml" PartName="/xl/worksheets/sheet5691.xml"/>
  <Override ContentType="application/vnd.openxmlformats-officedocument.spreadsheetml.worksheet+xml" PartName="/xl/worksheets/sheet5692.xml"/>
  <Override ContentType="application/vnd.openxmlformats-officedocument.spreadsheetml.worksheet+xml" PartName="/xl/worksheets/sheet5693.xml"/>
  <Override ContentType="application/vnd.openxmlformats-officedocument.spreadsheetml.worksheet+xml" PartName="/xl/worksheets/sheet5694.xml"/>
  <Override ContentType="application/vnd.openxmlformats-officedocument.spreadsheetml.worksheet+xml" PartName="/xl/worksheets/sheet5695.xml"/>
  <Override ContentType="application/vnd.openxmlformats-officedocument.spreadsheetml.worksheet+xml" PartName="/xl/worksheets/sheet5696.xml"/>
  <Override ContentType="application/vnd.openxmlformats-officedocument.spreadsheetml.worksheet+xml" PartName="/xl/worksheets/sheet5697.xml"/>
  <Override ContentType="application/vnd.openxmlformats-officedocument.spreadsheetml.worksheet+xml" PartName="/xl/worksheets/sheet5698.xml"/>
  <Override ContentType="application/vnd.openxmlformats-officedocument.spreadsheetml.worksheet+xml" PartName="/xl/worksheets/sheet5699.xml"/>
  <Override ContentType="application/vnd.openxmlformats-officedocument.spreadsheetml.worksheet+xml" PartName="/xl/worksheets/sheet5700.xml"/>
  <Override ContentType="application/vnd.openxmlformats-officedocument.spreadsheetml.worksheet+xml" PartName="/xl/worksheets/sheet5701.xml"/>
  <Override ContentType="application/vnd.openxmlformats-officedocument.spreadsheetml.worksheet+xml" PartName="/xl/worksheets/sheet5702.xml"/>
  <Override ContentType="application/vnd.openxmlformats-officedocument.spreadsheetml.worksheet+xml" PartName="/xl/worksheets/sheet5703.xml"/>
  <Override ContentType="application/vnd.openxmlformats-officedocument.spreadsheetml.worksheet+xml" PartName="/xl/worksheets/sheet5704.xml"/>
  <Override ContentType="application/vnd.openxmlformats-officedocument.spreadsheetml.worksheet+xml" PartName="/xl/worksheets/sheet5705.xml"/>
  <Override ContentType="application/vnd.openxmlformats-officedocument.spreadsheetml.worksheet+xml" PartName="/xl/worksheets/sheet5706.xml"/>
  <Override ContentType="application/vnd.openxmlformats-officedocument.spreadsheetml.worksheet+xml" PartName="/xl/worksheets/sheet5707.xml"/>
  <Override ContentType="application/vnd.openxmlformats-officedocument.spreadsheetml.worksheet+xml" PartName="/xl/worksheets/sheet5708.xml"/>
  <Override ContentType="application/vnd.openxmlformats-officedocument.spreadsheetml.worksheet+xml" PartName="/xl/worksheets/sheet5709.xml"/>
  <Override ContentType="application/vnd.openxmlformats-officedocument.spreadsheetml.worksheet+xml" PartName="/xl/worksheets/sheet5710.xml"/>
  <Override ContentType="application/vnd.openxmlformats-officedocument.spreadsheetml.worksheet+xml" PartName="/xl/worksheets/sheet5711.xml"/>
  <Override ContentType="application/vnd.openxmlformats-officedocument.spreadsheetml.worksheet+xml" PartName="/xl/worksheets/sheet5712.xml"/>
  <Override ContentType="application/vnd.openxmlformats-officedocument.spreadsheetml.worksheet+xml" PartName="/xl/worksheets/sheet5713.xml"/>
  <Override ContentType="application/vnd.openxmlformats-officedocument.spreadsheetml.worksheet+xml" PartName="/xl/worksheets/sheet5714.xml"/>
  <Override ContentType="application/vnd.openxmlformats-officedocument.spreadsheetml.worksheet+xml" PartName="/xl/worksheets/sheet5715.xml"/>
  <Override ContentType="application/vnd.openxmlformats-officedocument.spreadsheetml.worksheet+xml" PartName="/xl/worksheets/sheet5716.xml"/>
  <Override ContentType="application/vnd.openxmlformats-officedocument.spreadsheetml.worksheet+xml" PartName="/xl/worksheets/sheet5717.xml"/>
  <Override ContentType="application/vnd.openxmlformats-officedocument.spreadsheetml.worksheet+xml" PartName="/xl/worksheets/sheet5718.xml"/>
  <Override ContentType="application/vnd.openxmlformats-officedocument.spreadsheetml.worksheet+xml" PartName="/xl/worksheets/sheet5719.xml"/>
  <Override ContentType="application/vnd.openxmlformats-officedocument.spreadsheetml.worksheet+xml" PartName="/xl/worksheets/sheet5720.xml"/>
  <Override ContentType="application/vnd.openxmlformats-officedocument.spreadsheetml.worksheet+xml" PartName="/xl/worksheets/sheet5721.xml"/>
  <Override ContentType="application/vnd.openxmlformats-officedocument.spreadsheetml.worksheet+xml" PartName="/xl/worksheets/sheet5722.xml"/>
  <Override ContentType="application/vnd.openxmlformats-officedocument.spreadsheetml.worksheet+xml" PartName="/xl/worksheets/sheet5723.xml"/>
  <Override ContentType="application/vnd.openxmlformats-officedocument.spreadsheetml.worksheet+xml" PartName="/xl/worksheets/sheet5724.xml"/>
  <Override ContentType="application/vnd.openxmlformats-officedocument.spreadsheetml.worksheet+xml" PartName="/xl/worksheets/sheet5725.xml"/>
  <Override ContentType="application/vnd.openxmlformats-officedocument.spreadsheetml.worksheet+xml" PartName="/xl/worksheets/sheet5726.xml"/>
  <Override ContentType="application/vnd.openxmlformats-officedocument.spreadsheetml.worksheet+xml" PartName="/xl/worksheets/sheet5727.xml"/>
  <Override ContentType="application/vnd.openxmlformats-officedocument.spreadsheetml.worksheet+xml" PartName="/xl/worksheets/sheet5728.xml"/>
  <Override ContentType="application/vnd.openxmlformats-officedocument.spreadsheetml.worksheet+xml" PartName="/xl/worksheets/sheet5729.xml"/>
  <Override ContentType="application/vnd.openxmlformats-officedocument.spreadsheetml.worksheet+xml" PartName="/xl/worksheets/sheet5730.xml"/>
  <Override ContentType="application/vnd.openxmlformats-officedocument.spreadsheetml.worksheet+xml" PartName="/xl/worksheets/sheet5731.xml"/>
  <Override ContentType="application/vnd.openxmlformats-officedocument.spreadsheetml.worksheet+xml" PartName="/xl/worksheets/sheet5732.xml"/>
  <Override ContentType="application/vnd.openxmlformats-officedocument.spreadsheetml.worksheet+xml" PartName="/xl/worksheets/sheet5733.xml"/>
  <Override ContentType="application/vnd.openxmlformats-officedocument.spreadsheetml.worksheet+xml" PartName="/xl/worksheets/sheet5734.xml"/>
  <Override ContentType="application/vnd.openxmlformats-officedocument.spreadsheetml.worksheet+xml" PartName="/xl/worksheets/sheet5735.xml"/>
  <Override ContentType="application/vnd.openxmlformats-officedocument.spreadsheetml.worksheet+xml" PartName="/xl/worksheets/sheet5736.xml"/>
  <Override ContentType="application/vnd.openxmlformats-officedocument.spreadsheetml.worksheet+xml" PartName="/xl/worksheets/sheet5737.xml"/>
  <Override ContentType="application/vnd.openxmlformats-officedocument.spreadsheetml.worksheet+xml" PartName="/xl/worksheets/sheet5738.xml"/>
  <Override ContentType="application/vnd.openxmlformats-officedocument.spreadsheetml.worksheet+xml" PartName="/xl/worksheets/sheet5739.xml"/>
  <Override ContentType="application/vnd.openxmlformats-officedocument.spreadsheetml.worksheet+xml" PartName="/xl/worksheets/sheet5740.xml"/>
  <Override ContentType="application/vnd.openxmlformats-officedocument.spreadsheetml.worksheet+xml" PartName="/xl/worksheets/sheet5741.xml"/>
  <Override ContentType="application/vnd.openxmlformats-officedocument.spreadsheetml.worksheet+xml" PartName="/xl/worksheets/sheet5742.xml"/>
  <Override ContentType="application/vnd.openxmlformats-officedocument.spreadsheetml.worksheet+xml" PartName="/xl/worksheets/sheet5743.xml"/>
  <Override ContentType="application/vnd.openxmlformats-officedocument.spreadsheetml.worksheet+xml" PartName="/xl/worksheets/sheet5744.xml"/>
  <Override ContentType="application/vnd.openxmlformats-officedocument.spreadsheetml.worksheet+xml" PartName="/xl/worksheets/sheet5745.xml"/>
  <Override ContentType="application/vnd.openxmlformats-officedocument.spreadsheetml.worksheet+xml" PartName="/xl/worksheets/sheet5746.xml"/>
  <Override ContentType="application/vnd.openxmlformats-officedocument.spreadsheetml.worksheet+xml" PartName="/xl/worksheets/sheet5747.xml"/>
  <Override ContentType="application/vnd.openxmlformats-officedocument.spreadsheetml.worksheet+xml" PartName="/xl/worksheets/sheet5748.xml"/>
  <Override ContentType="application/vnd.openxmlformats-officedocument.spreadsheetml.worksheet+xml" PartName="/xl/worksheets/sheet5749.xml"/>
  <Override ContentType="application/vnd.openxmlformats-officedocument.spreadsheetml.worksheet+xml" PartName="/xl/worksheets/sheet5750.xml"/>
  <Override ContentType="application/vnd.openxmlformats-officedocument.spreadsheetml.worksheet+xml" PartName="/xl/worksheets/sheet5751.xml"/>
  <Override ContentType="application/vnd.openxmlformats-officedocument.spreadsheetml.worksheet+xml" PartName="/xl/worksheets/sheet5752.xml"/>
  <Override ContentType="application/vnd.openxmlformats-officedocument.spreadsheetml.worksheet+xml" PartName="/xl/worksheets/sheet5753.xml"/>
  <Override ContentType="application/vnd.openxmlformats-officedocument.spreadsheetml.worksheet+xml" PartName="/xl/worksheets/sheet5754.xml"/>
  <Override ContentType="application/vnd.openxmlformats-officedocument.spreadsheetml.worksheet+xml" PartName="/xl/worksheets/sheet5755.xml"/>
  <Override ContentType="application/vnd.openxmlformats-officedocument.spreadsheetml.worksheet+xml" PartName="/xl/worksheets/sheet5756.xml"/>
  <Override ContentType="application/vnd.openxmlformats-officedocument.spreadsheetml.worksheet+xml" PartName="/xl/worksheets/sheet5757.xml"/>
  <Override ContentType="application/vnd.openxmlformats-officedocument.spreadsheetml.worksheet+xml" PartName="/xl/worksheets/sheet5758.xml"/>
  <Override ContentType="application/vnd.openxmlformats-officedocument.spreadsheetml.worksheet+xml" PartName="/xl/worksheets/sheet5759.xml"/>
  <Override ContentType="application/vnd.openxmlformats-officedocument.spreadsheetml.worksheet+xml" PartName="/xl/worksheets/sheet5760.xml"/>
  <Override ContentType="application/vnd.openxmlformats-officedocument.spreadsheetml.worksheet+xml" PartName="/xl/worksheets/sheet5761.xml"/>
  <Override ContentType="application/vnd.openxmlformats-officedocument.spreadsheetml.worksheet+xml" PartName="/xl/worksheets/sheet5762.xml"/>
  <Override ContentType="application/vnd.openxmlformats-officedocument.spreadsheetml.worksheet+xml" PartName="/xl/worksheets/sheet5763.xml"/>
  <Override ContentType="application/vnd.openxmlformats-officedocument.spreadsheetml.worksheet+xml" PartName="/xl/worksheets/sheet5764.xml"/>
  <Override ContentType="application/vnd.openxmlformats-officedocument.spreadsheetml.worksheet+xml" PartName="/xl/worksheets/sheet5765.xml"/>
  <Override ContentType="application/vnd.openxmlformats-officedocument.spreadsheetml.worksheet+xml" PartName="/xl/worksheets/sheet5766.xml"/>
  <Override ContentType="application/vnd.openxmlformats-officedocument.spreadsheetml.worksheet+xml" PartName="/xl/worksheets/sheet5767.xml"/>
  <Override ContentType="application/vnd.openxmlformats-officedocument.spreadsheetml.worksheet+xml" PartName="/xl/worksheets/sheet5768.xml"/>
  <Override ContentType="application/vnd.openxmlformats-officedocument.spreadsheetml.worksheet+xml" PartName="/xl/worksheets/sheet5769.xml"/>
  <Override ContentType="application/vnd.openxmlformats-officedocument.spreadsheetml.worksheet+xml" PartName="/xl/worksheets/sheet5770.xml"/>
  <Override ContentType="application/vnd.openxmlformats-officedocument.spreadsheetml.worksheet+xml" PartName="/xl/worksheets/sheet5771.xml"/>
  <Override ContentType="application/vnd.openxmlformats-officedocument.spreadsheetml.worksheet+xml" PartName="/xl/worksheets/sheet5772.xml"/>
  <Override ContentType="application/vnd.openxmlformats-officedocument.spreadsheetml.worksheet+xml" PartName="/xl/worksheets/sheet5773.xml"/>
  <Override ContentType="application/vnd.openxmlformats-officedocument.spreadsheetml.worksheet+xml" PartName="/xl/worksheets/sheet5774.xml"/>
  <Override ContentType="application/vnd.openxmlformats-officedocument.spreadsheetml.worksheet+xml" PartName="/xl/worksheets/sheet5775.xml"/>
  <Override ContentType="application/vnd.openxmlformats-officedocument.spreadsheetml.worksheet+xml" PartName="/xl/worksheets/sheet5776.xml"/>
  <Override ContentType="application/vnd.openxmlformats-officedocument.spreadsheetml.worksheet+xml" PartName="/xl/worksheets/sheet5777.xml"/>
  <Override ContentType="application/vnd.openxmlformats-officedocument.spreadsheetml.worksheet+xml" PartName="/xl/worksheets/sheet5778.xml"/>
  <Override ContentType="application/vnd.openxmlformats-officedocument.spreadsheetml.worksheet+xml" PartName="/xl/worksheets/sheet5779.xml"/>
  <Override ContentType="application/vnd.openxmlformats-officedocument.spreadsheetml.worksheet+xml" PartName="/xl/worksheets/sheet5780.xml"/>
  <Override ContentType="application/vnd.openxmlformats-officedocument.spreadsheetml.worksheet+xml" PartName="/xl/worksheets/sheet5781.xml"/>
  <Override ContentType="application/vnd.openxmlformats-officedocument.spreadsheetml.worksheet+xml" PartName="/xl/worksheets/sheet5782.xml"/>
  <Override ContentType="application/vnd.openxmlformats-officedocument.spreadsheetml.worksheet+xml" PartName="/xl/worksheets/sheet5783.xml"/>
  <Override ContentType="application/vnd.openxmlformats-officedocument.spreadsheetml.worksheet+xml" PartName="/xl/worksheets/sheet5784.xml"/>
  <Override ContentType="application/vnd.openxmlformats-officedocument.spreadsheetml.worksheet+xml" PartName="/xl/worksheets/sheet5785.xml"/>
  <Override ContentType="application/vnd.openxmlformats-officedocument.spreadsheetml.worksheet+xml" PartName="/xl/worksheets/sheet5786.xml"/>
  <Override ContentType="application/vnd.openxmlformats-officedocument.spreadsheetml.worksheet+xml" PartName="/xl/worksheets/sheet5787.xml"/>
  <Override ContentType="application/vnd.openxmlformats-officedocument.spreadsheetml.worksheet+xml" PartName="/xl/worksheets/sheet5788.xml"/>
  <Override ContentType="application/vnd.openxmlformats-officedocument.spreadsheetml.worksheet+xml" PartName="/xl/worksheets/sheet5789.xml"/>
  <Override ContentType="application/vnd.openxmlformats-officedocument.spreadsheetml.worksheet+xml" PartName="/xl/worksheets/sheet5790.xml"/>
  <Override ContentType="application/vnd.openxmlformats-officedocument.spreadsheetml.worksheet+xml" PartName="/xl/worksheets/sheet5791.xml"/>
  <Override ContentType="application/vnd.openxmlformats-officedocument.spreadsheetml.worksheet+xml" PartName="/xl/worksheets/sheet5792.xml"/>
  <Override ContentType="application/vnd.openxmlformats-officedocument.spreadsheetml.worksheet+xml" PartName="/xl/worksheets/sheet5793.xml"/>
  <Override ContentType="application/vnd.openxmlformats-officedocument.spreadsheetml.worksheet+xml" PartName="/xl/worksheets/sheet5794.xml"/>
  <Override ContentType="application/vnd.openxmlformats-officedocument.spreadsheetml.worksheet+xml" PartName="/xl/worksheets/sheet5795.xml"/>
  <Override ContentType="application/vnd.openxmlformats-officedocument.spreadsheetml.worksheet+xml" PartName="/xl/worksheets/sheet5796.xml"/>
  <Override ContentType="application/vnd.openxmlformats-officedocument.spreadsheetml.worksheet+xml" PartName="/xl/worksheets/sheet5797.xml"/>
  <Override ContentType="application/vnd.openxmlformats-officedocument.spreadsheetml.worksheet+xml" PartName="/xl/worksheets/sheet5798.xml"/>
  <Override ContentType="application/vnd.openxmlformats-officedocument.spreadsheetml.worksheet+xml" PartName="/xl/worksheets/sheet5799.xml"/>
  <Override ContentType="application/vnd.openxmlformats-officedocument.spreadsheetml.worksheet+xml" PartName="/xl/worksheets/sheet5800.xml"/>
  <Override ContentType="application/vnd.openxmlformats-officedocument.spreadsheetml.worksheet+xml" PartName="/xl/worksheets/sheet5801.xml"/>
  <Override ContentType="application/vnd.openxmlformats-officedocument.spreadsheetml.worksheet+xml" PartName="/xl/worksheets/sheet5802.xml"/>
  <Override ContentType="application/vnd.openxmlformats-officedocument.spreadsheetml.worksheet+xml" PartName="/xl/worksheets/sheet5803.xml"/>
  <Override ContentType="application/vnd.openxmlformats-officedocument.spreadsheetml.worksheet+xml" PartName="/xl/worksheets/sheet5804.xml"/>
  <Override ContentType="application/vnd.openxmlformats-officedocument.spreadsheetml.worksheet+xml" PartName="/xl/worksheets/sheet5805.xml"/>
  <Override ContentType="application/vnd.openxmlformats-officedocument.spreadsheetml.worksheet+xml" PartName="/xl/worksheets/sheet5806.xml"/>
  <Override ContentType="application/vnd.openxmlformats-officedocument.spreadsheetml.worksheet+xml" PartName="/xl/worksheets/sheet5807.xml"/>
  <Override ContentType="application/vnd.openxmlformats-officedocument.spreadsheetml.worksheet+xml" PartName="/xl/worksheets/sheet5808.xml"/>
  <Override ContentType="application/vnd.openxmlformats-officedocument.spreadsheetml.worksheet+xml" PartName="/xl/worksheets/sheet5809.xml"/>
  <Override ContentType="application/vnd.openxmlformats-officedocument.spreadsheetml.worksheet+xml" PartName="/xl/worksheets/sheet5810.xml"/>
  <Override ContentType="application/vnd.openxmlformats-officedocument.spreadsheetml.worksheet+xml" PartName="/xl/worksheets/sheet5811.xml"/>
  <Override ContentType="application/vnd.openxmlformats-officedocument.spreadsheetml.worksheet+xml" PartName="/xl/worksheets/sheet5812.xml"/>
  <Override ContentType="application/vnd.openxmlformats-officedocument.spreadsheetml.worksheet+xml" PartName="/xl/worksheets/sheet5813.xml"/>
  <Override ContentType="application/vnd.openxmlformats-officedocument.spreadsheetml.worksheet+xml" PartName="/xl/worksheets/sheet5814.xml"/>
  <Override ContentType="application/vnd.openxmlformats-officedocument.spreadsheetml.worksheet+xml" PartName="/xl/worksheets/sheet5815.xml"/>
  <Override ContentType="application/vnd.openxmlformats-officedocument.spreadsheetml.worksheet+xml" PartName="/xl/worksheets/sheet5816.xml"/>
  <Override ContentType="application/vnd.openxmlformats-officedocument.spreadsheetml.worksheet+xml" PartName="/xl/worksheets/sheet5817.xml"/>
  <Override ContentType="application/vnd.openxmlformats-officedocument.spreadsheetml.worksheet+xml" PartName="/xl/worksheets/sheet5818.xml"/>
  <Override ContentType="application/vnd.openxmlformats-officedocument.spreadsheetml.worksheet+xml" PartName="/xl/worksheets/sheet5819.xml"/>
  <Override ContentType="application/vnd.openxmlformats-officedocument.spreadsheetml.worksheet+xml" PartName="/xl/worksheets/sheet5820.xml"/>
  <Override ContentType="application/vnd.openxmlformats-officedocument.spreadsheetml.worksheet+xml" PartName="/xl/worksheets/sheet5821.xml"/>
  <Override ContentType="application/vnd.openxmlformats-officedocument.spreadsheetml.worksheet+xml" PartName="/xl/worksheets/sheet5822.xml"/>
  <Override ContentType="application/vnd.openxmlformats-officedocument.spreadsheetml.worksheet+xml" PartName="/xl/worksheets/sheet5823.xml"/>
  <Override ContentType="application/vnd.openxmlformats-officedocument.spreadsheetml.worksheet+xml" PartName="/xl/worksheets/sheet5824.xml"/>
  <Override ContentType="application/vnd.openxmlformats-officedocument.spreadsheetml.worksheet+xml" PartName="/xl/worksheets/sheet5825.xml"/>
  <Override ContentType="application/vnd.openxmlformats-officedocument.spreadsheetml.worksheet+xml" PartName="/xl/worksheets/sheet5826.xml"/>
  <Override ContentType="application/vnd.openxmlformats-officedocument.spreadsheetml.worksheet+xml" PartName="/xl/worksheets/sheet5827.xml"/>
  <Override ContentType="application/vnd.openxmlformats-officedocument.spreadsheetml.worksheet+xml" PartName="/xl/worksheets/sheet5828.xml"/>
  <Override ContentType="application/vnd.openxmlformats-officedocument.spreadsheetml.worksheet+xml" PartName="/xl/worksheets/sheet5829.xml"/>
  <Override ContentType="application/vnd.openxmlformats-officedocument.spreadsheetml.worksheet+xml" PartName="/xl/worksheets/sheet5830.xml"/>
  <Override ContentType="application/vnd.openxmlformats-officedocument.spreadsheetml.worksheet+xml" PartName="/xl/worksheets/sheet5831.xml"/>
  <Override ContentType="application/vnd.openxmlformats-officedocument.spreadsheetml.worksheet+xml" PartName="/xl/worksheets/sheet5832.xml"/>
  <Override ContentType="application/vnd.openxmlformats-officedocument.spreadsheetml.worksheet+xml" PartName="/xl/worksheets/sheet5833.xml"/>
  <Override ContentType="application/vnd.openxmlformats-officedocument.spreadsheetml.worksheet+xml" PartName="/xl/worksheets/sheet5834.xml"/>
  <Override ContentType="application/vnd.openxmlformats-officedocument.spreadsheetml.worksheet+xml" PartName="/xl/worksheets/sheet5835.xml"/>
  <Override ContentType="application/vnd.openxmlformats-officedocument.spreadsheetml.worksheet+xml" PartName="/xl/worksheets/sheet5836.xml"/>
  <Override ContentType="application/vnd.openxmlformats-officedocument.spreadsheetml.worksheet+xml" PartName="/xl/worksheets/sheet5837.xml"/>
  <Override ContentType="application/vnd.openxmlformats-officedocument.spreadsheetml.worksheet+xml" PartName="/xl/worksheets/sheet5838.xml"/>
  <Override ContentType="application/vnd.openxmlformats-officedocument.spreadsheetml.worksheet+xml" PartName="/xl/worksheets/sheet5839.xml"/>
  <Override ContentType="application/vnd.openxmlformats-officedocument.spreadsheetml.worksheet+xml" PartName="/xl/worksheets/sheet5840.xml"/>
  <Override ContentType="application/vnd.openxmlformats-officedocument.spreadsheetml.worksheet+xml" PartName="/xl/worksheets/sheet5841.xml"/>
  <Override ContentType="application/vnd.openxmlformats-officedocument.spreadsheetml.worksheet+xml" PartName="/xl/worksheets/sheet5842.xml"/>
  <Override ContentType="application/vnd.openxmlformats-officedocument.spreadsheetml.worksheet+xml" PartName="/xl/worksheets/sheet5843.xml"/>
  <Override ContentType="application/vnd.openxmlformats-officedocument.spreadsheetml.worksheet+xml" PartName="/xl/worksheets/sheet5844.xml"/>
  <Override ContentType="application/vnd.openxmlformats-officedocument.spreadsheetml.worksheet+xml" PartName="/xl/worksheets/sheet5845.xml"/>
  <Override ContentType="application/vnd.openxmlformats-officedocument.spreadsheetml.worksheet+xml" PartName="/xl/worksheets/sheet5846.xml"/>
  <Override ContentType="application/vnd.openxmlformats-officedocument.spreadsheetml.worksheet+xml" PartName="/xl/worksheets/sheet5847.xml"/>
  <Override ContentType="application/vnd.openxmlformats-officedocument.spreadsheetml.worksheet+xml" PartName="/xl/worksheets/sheet5848.xml"/>
  <Override ContentType="application/vnd.openxmlformats-officedocument.spreadsheetml.worksheet+xml" PartName="/xl/worksheets/sheet5849.xml"/>
  <Override ContentType="application/vnd.openxmlformats-officedocument.spreadsheetml.worksheet+xml" PartName="/xl/worksheets/sheet5850.xml"/>
  <Override ContentType="application/vnd.openxmlformats-officedocument.spreadsheetml.worksheet+xml" PartName="/xl/worksheets/sheet5851.xml"/>
  <Override ContentType="application/vnd.openxmlformats-officedocument.spreadsheetml.worksheet+xml" PartName="/xl/worksheets/sheet5852.xml"/>
  <Override ContentType="application/vnd.openxmlformats-officedocument.spreadsheetml.worksheet+xml" PartName="/xl/worksheets/sheet5853.xml"/>
  <Override ContentType="application/vnd.openxmlformats-officedocument.spreadsheetml.worksheet+xml" PartName="/xl/worksheets/sheet5854.xml"/>
  <Override ContentType="application/vnd.openxmlformats-officedocument.spreadsheetml.worksheet+xml" PartName="/xl/worksheets/sheet5855.xml"/>
  <Override ContentType="application/vnd.openxmlformats-officedocument.spreadsheetml.worksheet+xml" PartName="/xl/worksheets/sheet5856.xml"/>
  <Override ContentType="application/vnd.openxmlformats-officedocument.spreadsheetml.worksheet+xml" PartName="/xl/worksheets/sheet5857.xml"/>
  <Override ContentType="application/vnd.openxmlformats-officedocument.spreadsheetml.worksheet+xml" PartName="/xl/worksheets/sheet5858.xml"/>
  <Override ContentType="application/vnd.openxmlformats-officedocument.spreadsheetml.worksheet+xml" PartName="/xl/worksheets/sheet5859.xml"/>
  <Override ContentType="application/vnd.openxmlformats-officedocument.spreadsheetml.worksheet+xml" PartName="/xl/worksheets/sheet5860.xml"/>
  <Override ContentType="application/vnd.openxmlformats-officedocument.spreadsheetml.worksheet+xml" PartName="/xl/worksheets/sheet5861.xml"/>
  <Override ContentType="application/vnd.openxmlformats-officedocument.spreadsheetml.worksheet+xml" PartName="/xl/worksheets/sheet5862.xml"/>
  <Override ContentType="application/vnd.openxmlformats-officedocument.spreadsheetml.worksheet+xml" PartName="/xl/worksheets/sheet5863.xml"/>
  <Override ContentType="application/vnd.openxmlformats-officedocument.spreadsheetml.worksheet+xml" PartName="/xl/worksheets/sheet5864.xml"/>
  <Override ContentType="application/vnd.openxmlformats-officedocument.spreadsheetml.worksheet+xml" PartName="/xl/worksheets/sheet5865.xml"/>
  <Override ContentType="application/vnd.openxmlformats-officedocument.spreadsheetml.worksheet+xml" PartName="/xl/worksheets/sheet5866.xml"/>
  <Override ContentType="application/vnd.openxmlformats-officedocument.spreadsheetml.worksheet+xml" PartName="/xl/worksheets/sheet5867.xml"/>
  <Override ContentType="application/vnd.openxmlformats-officedocument.spreadsheetml.worksheet+xml" PartName="/xl/worksheets/sheet5868.xml"/>
  <Override ContentType="application/vnd.openxmlformats-officedocument.spreadsheetml.worksheet+xml" PartName="/xl/worksheets/sheet5869.xml"/>
  <Override ContentType="application/vnd.openxmlformats-officedocument.spreadsheetml.worksheet+xml" PartName="/xl/worksheets/sheet5870.xml"/>
  <Override ContentType="application/vnd.openxmlformats-officedocument.spreadsheetml.worksheet+xml" PartName="/xl/worksheets/sheet5871.xml"/>
  <Override ContentType="application/vnd.openxmlformats-officedocument.spreadsheetml.worksheet+xml" PartName="/xl/worksheets/sheet5872.xml"/>
  <Override ContentType="application/vnd.openxmlformats-officedocument.spreadsheetml.worksheet+xml" PartName="/xl/worksheets/sheet5873.xml"/>
  <Override ContentType="application/vnd.openxmlformats-officedocument.spreadsheetml.worksheet+xml" PartName="/xl/worksheets/sheet5874.xml"/>
  <Override ContentType="application/vnd.openxmlformats-officedocument.spreadsheetml.worksheet+xml" PartName="/xl/worksheets/sheet5875.xml"/>
  <Override ContentType="application/vnd.openxmlformats-officedocument.spreadsheetml.worksheet+xml" PartName="/xl/worksheets/sheet5876.xml"/>
  <Override ContentType="application/vnd.openxmlformats-officedocument.spreadsheetml.worksheet+xml" PartName="/xl/worksheets/sheet5877.xml"/>
  <Override ContentType="application/vnd.openxmlformats-officedocument.spreadsheetml.worksheet+xml" PartName="/xl/worksheets/sheet5878.xml"/>
  <Override ContentType="application/vnd.openxmlformats-officedocument.spreadsheetml.worksheet+xml" PartName="/xl/worksheets/sheet5879.xml"/>
  <Override ContentType="application/vnd.openxmlformats-officedocument.spreadsheetml.worksheet+xml" PartName="/xl/worksheets/sheet5880.xml"/>
  <Override ContentType="application/vnd.openxmlformats-officedocument.spreadsheetml.worksheet+xml" PartName="/xl/worksheets/sheet5881.xml"/>
  <Override ContentType="application/vnd.openxmlformats-officedocument.spreadsheetml.worksheet+xml" PartName="/xl/worksheets/sheet5882.xml"/>
  <Override ContentType="application/vnd.openxmlformats-officedocument.spreadsheetml.worksheet+xml" PartName="/xl/worksheets/sheet5883.xml"/>
  <Override ContentType="application/vnd.openxmlformats-officedocument.spreadsheetml.worksheet+xml" PartName="/xl/worksheets/sheet5884.xml"/>
  <Override ContentType="application/vnd.openxmlformats-officedocument.spreadsheetml.worksheet+xml" PartName="/xl/worksheets/sheet5885.xml"/>
  <Override ContentType="application/vnd.openxmlformats-officedocument.spreadsheetml.worksheet+xml" PartName="/xl/worksheets/sheet5886.xml"/>
  <Override ContentType="application/vnd.openxmlformats-officedocument.spreadsheetml.worksheet+xml" PartName="/xl/worksheets/sheet5887.xml"/>
  <Override ContentType="application/vnd.openxmlformats-officedocument.spreadsheetml.worksheet+xml" PartName="/xl/worksheets/sheet5888.xml"/>
  <Override ContentType="application/vnd.openxmlformats-officedocument.spreadsheetml.worksheet+xml" PartName="/xl/worksheets/sheet5889.xml"/>
  <Override ContentType="application/vnd.openxmlformats-officedocument.spreadsheetml.worksheet+xml" PartName="/xl/worksheets/sheet5890.xml"/>
  <Override ContentType="application/vnd.openxmlformats-officedocument.spreadsheetml.worksheet+xml" PartName="/xl/worksheets/sheet5891.xml"/>
  <Override ContentType="application/vnd.openxmlformats-officedocument.spreadsheetml.worksheet+xml" PartName="/xl/worksheets/sheet5892.xml"/>
  <Override ContentType="application/vnd.openxmlformats-officedocument.spreadsheetml.worksheet+xml" PartName="/xl/worksheets/sheet5893.xml"/>
  <Override ContentType="application/vnd.openxmlformats-officedocument.spreadsheetml.worksheet+xml" PartName="/xl/worksheets/sheet5894.xml"/>
  <Override ContentType="application/vnd.openxmlformats-officedocument.spreadsheetml.worksheet+xml" PartName="/xl/worksheets/sheet5895.xml"/>
  <Override ContentType="application/vnd.openxmlformats-officedocument.spreadsheetml.worksheet+xml" PartName="/xl/worksheets/sheet5896.xml"/>
  <Override ContentType="application/vnd.openxmlformats-officedocument.spreadsheetml.worksheet+xml" PartName="/xl/worksheets/sheet5897.xml"/>
  <Override ContentType="application/vnd.openxmlformats-officedocument.spreadsheetml.worksheet+xml" PartName="/xl/worksheets/sheet5898.xml"/>
  <Override ContentType="application/vnd.openxmlformats-officedocument.spreadsheetml.worksheet+xml" PartName="/xl/worksheets/sheet5899.xml"/>
  <Override ContentType="application/vnd.openxmlformats-officedocument.spreadsheetml.worksheet+xml" PartName="/xl/worksheets/sheet5900.xml"/>
  <Override ContentType="application/vnd.openxmlformats-officedocument.spreadsheetml.worksheet+xml" PartName="/xl/worksheets/sheet5901.xml"/>
  <Override ContentType="application/vnd.openxmlformats-officedocument.spreadsheetml.worksheet+xml" PartName="/xl/worksheets/sheet5902.xml"/>
  <Override ContentType="application/vnd.openxmlformats-officedocument.spreadsheetml.worksheet+xml" PartName="/xl/worksheets/sheet5903.xml"/>
  <Override ContentType="application/vnd.openxmlformats-officedocument.spreadsheetml.worksheet+xml" PartName="/xl/worksheets/sheet5904.xml"/>
  <Override ContentType="application/vnd.openxmlformats-officedocument.spreadsheetml.worksheet+xml" PartName="/xl/worksheets/sheet5905.xml"/>
  <Override ContentType="application/vnd.openxmlformats-officedocument.spreadsheetml.worksheet+xml" PartName="/xl/worksheets/sheet5906.xml"/>
  <Override ContentType="application/vnd.openxmlformats-officedocument.spreadsheetml.worksheet+xml" PartName="/xl/worksheets/sheet5907.xml"/>
  <Override ContentType="application/vnd.openxmlformats-officedocument.spreadsheetml.worksheet+xml" PartName="/xl/worksheets/sheet5908.xml"/>
  <Override ContentType="application/vnd.openxmlformats-officedocument.spreadsheetml.worksheet+xml" PartName="/xl/worksheets/sheet5909.xml"/>
  <Override ContentType="application/vnd.openxmlformats-officedocument.spreadsheetml.worksheet+xml" PartName="/xl/worksheets/sheet5910.xml"/>
  <Override ContentType="application/vnd.openxmlformats-officedocument.spreadsheetml.worksheet+xml" PartName="/xl/worksheets/sheet5911.xml"/>
  <Override ContentType="application/vnd.openxmlformats-officedocument.spreadsheetml.worksheet+xml" PartName="/xl/worksheets/sheet5912.xml"/>
  <Override ContentType="application/vnd.openxmlformats-officedocument.spreadsheetml.worksheet+xml" PartName="/xl/worksheets/sheet5913.xml"/>
  <Override ContentType="application/vnd.openxmlformats-officedocument.spreadsheetml.worksheet+xml" PartName="/xl/worksheets/sheet5914.xml"/>
  <Override ContentType="application/vnd.openxmlformats-officedocument.spreadsheetml.worksheet+xml" PartName="/xl/worksheets/sheet5915.xml"/>
  <Override ContentType="application/vnd.openxmlformats-officedocument.spreadsheetml.worksheet+xml" PartName="/xl/worksheets/sheet5916.xml"/>
  <Override ContentType="application/vnd.openxmlformats-officedocument.spreadsheetml.worksheet+xml" PartName="/xl/worksheets/sheet5917.xml"/>
  <Override ContentType="application/vnd.openxmlformats-officedocument.spreadsheetml.worksheet+xml" PartName="/xl/worksheets/sheet5918.xml"/>
  <Override ContentType="application/vnd.openxmlformats-officedocument.spreadsheetml.worksheet+xml" PartName="/xl/worksheets/sheet5919.xml"/>
  <Override ContentType="application/vnd.openxmlformats-officedocument.spreadsheetml.worksheet+xml" PartName="/xl/worksheets/sheet5920.xml"/>
  <Override ContentType="application/vnd.openxmlformats-officedocument.spreadsheetml.worksheet+xml" PartName="/xl/worksheets/sheet5921.xml"/>
  <Override ContentType="application/vnd.openxmlformats-officedocument.spreadsheetml.worksheet+xml" PartName="/xl/worksheets/sheet5922.xml"/>
  <Override ContentType="application/vnd.openxmlformats-officedocument.spreadsheetml.worksheet+xml" PartName="/xl/worksheets/sheet5923.xml"/>
  <Override ContentType="application/vnd.openxmlformats-officedocument.spreadsheetml.worksheet+xml" PartName="/xl/worksheets/sheet5924.xml"/>
  <Override ContentType="application/vnd.openxmlformats-officedocument.spreadsheetml.worksheet+xml" PartName="/xl/worksheets/sheet5925.xml"/>
  <Override ContentType="application/vnd.openxmlformats-officedocument.spreadsheetml.worksheet+xml" PartName="/xl/worksheets/sheet5926.xml"/>
  <Override ContentType="application/vnd.openxmlformats-officedocument.spreadsheetml.worksheet+xml" PartName="/xl/worksheets/sheet5927.xml"/>
  <Override ContentType="application/vnd.openxmlformats-officedocument.spreadsheetml.worksheet+xml" PartName="/xl/worksheets/sheet5928.xml"/>
  <Override ContentType="application/vnd.openxmlformats-officedocument.spreadsheetml.worksheet+xml" PartName="/xl/worksheets/sheet5929.xml"/>
  <Override ContentType="application/vnd.openxmlformats-officedocument.spreadsheetml.worksheet+xml" PartName="/xl/worksheets/sheet5930.xml"/>
  <Override ContentType="application/vnd.openxmlformats-officedocument.spreadsheetml.worksheet+xml" PartName="/xl/worksheets/sheet5931.xml"/>
  <Override ContentType="application/vnd.openxmlformats-officedocument.spreadsheetml.worksheet+xml" PartName="/xl/worksheets/sheet5932.xml"/>
  <Override ContentType="application/vnd.openxmlformats-officedocument.spreadsheetml.worksheet+xml" PartName="/xl/worksheets/sheet5933.xml"/>
  <Override ContentType="application/vnd.openxmlformats-officedocument.spreadsheetml.worksheet+xml" PartName="/xl/worksheets/sheet5934.xml"/>
  <Override ContentType="application/vnd.openxmlformats-officedocument.spreadsheetml.worksheet+xml" PartName="/xl/worksheets/sheet5935.xml"/>
  <Override ContentType="application/vnd.openxmlformats-officedocument.spreadsheetml.worksheet+xml" PartName="/xl/worksheets/sheet5936.xml"/>
  <Override ContentType="application/vnd.openxmlformats-officedocument.spreadsheetml.worksheet+xml" PartName="/xl/worksheets/sheet5937.xml"/>
  <Override ContentType="application/vnd.openxmlformats-officedocument.spreadsheetml.worksheet+xml" PartName="/xl/worksheets/sheet5938.xml"/>
  <Override ContentType="application/vnd.openxmlformats-officedocument.spreadsheetml.worksheet+xml" PartName="/xl/worksheets/sheet5939.xml"/>
  <Override ContentType="application/vnd.openxmlformats-officedocument.spreadsheetml.worksheet+xml" PartName="/xl/worksheets/sheet5940.xml"/>
  <Override ContentType="application/vnd.openxmlformats-officedocument.spreadsheetml.worksheet+xml" PartName="/xl/worksheets/sheet5941.xml"/>
  <Override ContentType="application/vnd.openxmlformats-officedocument.spreadsheetml.worksheet+xml" PartName="/xl/worksheets/sheet5942.xml"/>
  <Override ContentType="application/vnd.openxmlformats-officedocument.spreadsheetml.worksheet+xml" PartName="/xl/worksheets/sheet5943.xml"/>
  <Override ContentType="application/vnd.openxmlformats-officedocument.spreadsheetml.worksheet+xml" PartName="/xl/worksheets/sheet5944.xml"/>
  <Override ContentType="application/vnd.openxmlformats-officedocument.spreadsheetml.worksheet+xml" PartName="/xl/worksheets/sheet5945.xml"/>
  <Override ContentType="application/vnd.openxmlformats-officedocument.spreadsheetml.worksheet+xml" PartName="/xl/worksheets/sheet5946.xml"/>
  <Override ContentType="application/vnd.openxmlformats-officedocument.spreadsheetml.worksheet+xml" PartName="/xl/worksheets/sheet5947.xml"/>
  <Override ContentType="application/vnd.openxmlformats-officedocument.spreadsheetml.worksheet+xml" PartName="/xl/worksheets/sheet5948.xml"/>
  <Override ContentType="application/vnd.openxmlformats-officedocument.spreadsheetml.worksheet+xml" PartName="/xl/worksheets/sheet5949.xml"/>
  <Override ContentType="application/vnd.openxmlformats-officedocument.spreadsheetml.worksheet+xml" PartName="/xl/worksheets/sheet5950.xml"/>
  <Override ContentType="application/vnd.openxmlformats-officedocument.spreadsheetml.worksheet+xml" PartName="/xl/worksheets/sheet5951.xml"/>
  <Override ContentType="application/vnd.openxmlformats-officedocument.spreadsheetml.worksheet+xml" PartName="/xl/worksheets/sheet5952.xml"/>
  <Override ContentType="application/vnd.openxmlformats-officedocument.spreadsheetml.worksheet+xml" PartName="/xl/worksheets/sheet5953.xml"/>
  <Override ContentType="application/vnd.openxmlformats-officedocument.spreadsheetml.worksheet+xml" PartName="/xl/worksheets/sheet5954.xml"/>
  <Override ContentType="application/vnd.openxmlformats-officedocument.spreadsheetml.worksheet+xml" PartName="/xl/worksheets/sheet5955.xml"/>
  <Override ContentType="application/vnd.openxmlformats-officedocument.spreadsheetml.worksheet+xml" PartName="/xl/worksheets/sheet5956.xml"/>
  <Override ContentType="application/vnd.openxmlformats-officedocument.spreadsheetml.worksheet+xml" PartName="/xl/worksheets/sheet5957.xml"/>
  <Override ContentType="application/vnd.openxmlformats-officedocument.spreadsheetml.worksheet+xml" PartName="/xl/worksheets/sheet5958.xml"/>
  <Override ContentType="application/vnd.openxmlformats-officedocument.spreadsheetml.worksheet+xml" PartName="/xl/worksheets/sheet5959.xml"/>
  <Override ContentType="application/vnd.openxmlformats-officedocument.spreadsheetml.worksheet+xml" PartName="/xl/worksheets/sheet5960.xml"/>
  <Override ContentType="application/vnd.openxmlformats-officedocument.spreadsheetml.worksheet+xml" PartName="/xl/worksheets/sheet5961.xml"/>
  <Override ContentType="application/vnd.openxmlformats-officedocument.spreadsheetml.worksheet+xml" PartName="/xl/worksheets/sheet5962.xml"/>
  <Override ContentType="application/vnd.openxmlformats-officedocument.spreadsheetml.worksheet+xml" PartName="/xl/worksheets/sheet5963.xml"/>
  <Override ContentType="application/vnd.openxmlformats-officedocument.spreadsheetml.worksheet+xml" PartName="/xl/worksheets/sheet5964.xml"/>
  <Override ContentType="application/vnd.openxmlformats-officedocument.spreadsheetml.worksheet+xml" PartName="/xl/worksheets/sheet5965.xml"/>
  <Override ContentType="application/vnd.openxmlformats-officedocument.spreadsheetml.worksheet+xml" PartName="/xl/worksheets/sheet5966.xml"/>
  <Override ContentType="application/vnd.openxmlformats-officedocument.spreadsheetml.worksheet+xml" PartName="/xl/worksheets/sheet5967.xml"/>
  <Override ContentType="application/vnd.openxmlformats-officedocument.spreadsheetml.worksheet+xml" PartName="/xl/worksheets/sheet5968.xml"/>
  <Override ContentType="application/vnd.openxmlformats-officedocument.spreadsheetml.worksheet+xml" PartName="/xl/worksheets/sheet5969.xml"/>
  <Override ContentType="application/vnd.openxmlformats-officedocument.spreadsheetml.worksheet+xml" PartName="/xl/worksheets/sheet5970.xml"/>
  <Override ContentType="application/vnd.openxmlformats-officedocument.spreadsheetml.worksheet+xml" PartName="/xl/worksheets/sheet5971.xml"/>
  <Override ContentType="application/vnd.openxmlformats-officedocument.spreadsheetml.worksheet+xml" PartName="/xl/worksheets/sheet5972.xml"/>
  <Override ContentType="application/vnd.openxmlformats-officedocument.spreadsheetml.worksheet+xml" PartName="/xl/worksheets/sheet5973.xml"/>
  <Override ContentType="application/vnd.openxmlformats-officedocument.spreadsheetml.worksheet+xml" PartName="/xl/worksheets/sheet5974.xml"/>
  <Override ContentType="application/vnd.openxmlformats-officedocument.spreadsheetml.worksheet+xml" PartName="/xl/worksheets/sheet5975.xml"/>
  <Override ContentType="application/vnd.openxmlformats-officedocument.spreadsheetml.worksheet+xml" PartName="/xl/worksheets/sheet5976.xml"/>
  <Override ContentType="application/vnd.openxmlformats-officedocument.spreadsheetml.worksheet+xml" PartName="/xl/worksheets/sheet5977.xml"/>
  <Override ContentType="application/vnd.openxmlformats-officedocument.spreadsheetml.worksheet+xml" PartName="/xl/worksheets/sheet5978.xml"/>
  <Override ContentType="application/vnd.openxmlformats-officedocument.spreadsheetml.worksheet+xml" PartName="/xl/worksheets/sheet5979.xml"/>
  <Override ContentType="application/vnd.openxmlformats-officedocument.spreadsheetml.worksheet+xml" PartName="/xl/worksheets/sheet5980.xml"/>
  <Override ContentType="application/vnd.openxmlformats-officedocument.spreadsheetml.worksheet+xml" PartName="/xl/worksheets/sheet5981.xml"/>
  <Override ContentType="application/vnd.openxmlformats-officedocument.spreadsheetml.worksheet+xml" PartName="/xl/worksheets/sheet5982.xml"/>
  <Override ContentType="application/vnd.openxmlformats-officedocument.spreadsheetml.worksheet+xml" PartName="/xl/worksheets/sheet5983.xml"/>
  <Override ContentType="application/vnd.openxmlformats-officedocument.spreadsheetml.worksheet+xml" PartName="/xl/worksheets/sheet5984.xml"/>
  <Override ContentType="application/vnd.openxmlformats-officedocument.spreadsheetml.worksheet+xml" PartName="/xl/worksheets/sheet5985.xml"/>
  <Override ContentType="application/vnd.openxmlformats-officedocument.spreadsheetml.worksheet+xml" PartName="/xl/worksheets/sheet5986.xml"/>
  <Override ContentType="application/vnd.openxmlformats-officedocument.spreadsheetml.worksheet+xml" PartName="/xl/worksheets/sheet5987.xml"/>
  <Override ContentType="application/vnd.openxmlformats-officedocument.spreadsheetml.worksheet+xml" PartName="/xl/worksheets/sheet5988.xml"/>
  <Override ContentType="application/vnd.openxmlformats-officedocument.spreadsheetml.worksheet+xml" PartName="/xl/worksheets/sheet5989.xml"/>
  <Override ContentType="application/vnd.openxmlformats-officedocument.spreadsheetml.worksheet+xml" PartName="/xl/worksheets/sheet5990.xml"/>
  <Override ContentType="application/vnd.openxmlformats-officedocument.spreadsheetml.worksheet+xml" PartName="/xl/worksheets/sheet5991.xml"/>
  <Override ContentType="application/vnd.openxmlformats-officedocument.spreadsheetml.worksheet+xml" PartName="/xl/worksheets/sheet5992.xml"/>
  <Override ContentType="application/vnd.openxmlformats-officedocument.spreadsheetml.worksheet+xml" PartName="/xl/worksheets/sheet5993.xml"/>
  <Override ContentType="application/vnd.openxmlformats-officedocument.spreadsheetml.worksheet+xml" PartName="/xl/worksheets/sheet5994.xml"/>
  <Override ContentType="application/vnd.openxmlformats-officedocument.spreadsheetml.worksheet+xml" PartName="/xl/worksheets/sheet5995.xml"/>
  <Override ContentType="application/vnd.openxmlformats-officedocument.spreadsheetml.worksheet+xml" PartName="/xl/worksheets/sheet5996.xml"/>
  <Override ContentType="application/vnd.openxmlformats-officedocument.spreadsheetml.worksheet+xml" PartName="/xl/worksheets/sheet5997.xml"/>
  <Override ContentType="application/vnd.openxmlformats-officedocument.spreadsheetml.worksheet+xml" PartName="/xl/worksheets/sheet5998.xml"/>
  <Override ContentType="application/vnd.openxmlformats-officedocument.spreadsheetml.worksheet+xml" PartName="/xl/worksheets/sheet5999.xml"/>
  <Override ContentType="application/vnd.openxmlformats-officedocument.spreadsheetml.worksheet+xml" PartName="/xl/worksheets/sheet6000.xml"/>
  <Override ContentType="application/vnd.openxmlformats-officedocument.spreadsheetml.worksheet+xml" PartName="/xl/worksheets/sheet6001.xml"/>
  <Override ContentType="application/vnd.openxmlformats-officedocument.spreadsheetml.worksheet+xml" PartName="/xl/worksheets/sheet6002.xml"/>
  <Override ContentType="application/vnd.openxmlformats-officedocument.spreadsheetml.worksheet+xml" PartName="/xl/worksheets/sheet6003.xml"/>
  <Override ContentType="application/vnd.openxmlformats-officedocument.spreadsheetml.worksheet+xml" PartName="/xl/worksheets/sheet6004.xml"/>
  <Override ContentType="application/vnd.openxmlformats-officedocument.spreadsheetml.worksheet+xml" PartName="/xl/worksheets/sheet6005.xml"/>
  <Override ContentType="application/vnd.openxmlformats-officedocument.spreadsheetml.worksheet+xml" PartName="/xl/worksheets/sheet6006.xml"/>
  <Override ContentType="application/vnd.openxmlformats-officedocument.spreadsheetml.worksheet+xml" PartName="/xl/worksheets/sheet6007.xml"/>
  <Override ContentType="application/vnd.openxmlformats-officedocument.spreadsheetml.worksheet+xml" PartName="/xl/worksheets/sheet6008.xml"/>
  <Override ContentType="application/vnd.openxmlformats-officedocument.spreadsheetml.worksheet+xml" PartName="/xl/worksheets/sheet6009.xml"/>
  <Override ContentType="application/vnd.openxmlformats-officedocument.spreadsheetml.worksheet+xml" PartName="/xl/worksheets/sheet6010.xml"/>
  <Override ContentType="application/vnd.openxmlformats-officedocument.spreadsheetml.worksheet+xml" PartName="/xl/worksheets/sheet6011.xml"/>
  <Override ContentType="application/vnd.openxmlformats-officedocument.spreadsheetml.worksheet+xml" PartName="/xl/worksheets/sheet6012.xml"/>
  <Override ContentType="application/vnd.openxmlformats-officedocument.spreadsheetml.worksheet+xml" PartName="/xl/worksheets/sheet6013.xml"/>
  <Override ContentType="application/vnd.openxmlformats-officedocument.spreadsheetml.worksheet+xml" PartName="/xl/worksheets/sheet6014.xml"/>
  <Override ContentType="application/vnd.openxmlformats-officedocument.spreadsheetml.worksheet+xml" PartName="/xl/worksheets/sheet6015.xml"/>
  <Override ContentType="application/vnd.openxmlformats-officedocument.spreadsheetml.worksheet+xml" PartName="/xl/worksheets/sheet6016.xml"/>
  <Override ContentType="application/vnd.openxmlformats-officedocument.spreadsheetml.worksheet+xml" PartName="/xl/worksheets/sheet6017.xml"/>
  <Override ContentType="application/vnd.openxmlformats-officedocument.spreadsheetml.worksheet+xml" PartName="/xl/worksheets/sheet6018.xml"/>
  <Override ContentType="application/vnd.openxmlformats-officedocument.spreadsheetml.worksheet+xml" PartName="/xl/worksheets/sheet6019.xml"/>
  <Override ContentType="application/vnd.openxmlformats-officedocument.spreadsheetml.worksheet+xml" PartName="/xl/worksheets/sheet6020.xml"/>
  <Override ContentType="application/vnd.openxmlformats-officedocument.spreadsheetml.worksheet+xml" PartName="/xl/worksheets/sheet6021.xml"/>
  <Override ContentType="application/vnd.openxmlformats-officedocument.spreadsheetml.worksheet+xml" PartName="/xl/worksheets/sheet6022.xml"/>
  <Override ContentType="application/vnd.openxmlformats-officedocument.spreadsheetml.worksheet+xml" PartName="/xl/worksheets/sheet6023.xml"/>
  <Override ContentType="application/vnd.openxmlformats-officedocument.spreadsheetml.worksheet+xml" PartName="/xl/worksheets/sheet6024.xml"/>
  <Override ContentType="application/vnd.openxmlformats-officedocument.spreadsheetml.worksheet+xml" PartName="/xl/worksheets/sheet6025.xml"/>
  <Override ContentType="application/vnd.openxmlformats-officedocument.spreadsheetml.worksheet+xml" PartName="/xl/worksheets/sheet6026.xml"/>
  <Override ContentType="application/vnd.openxmlformats-officedocument.spreadsheetml.worksheet+xml" PartName="/xl/worksheets/sheet6027.xml"/>
  <Override ContentType="application/vnd.openxmlformats-officedocument.spreadsheetml.worksheet+xml" PartName="/xl/worksheets/sheet6028.xml"/>
  <Override ContentType="application/vnd.openxmlformats-officedocument.spreadsheetml.worksheet+xml" PartName="/xl/worksheets/sheet6029.xml"/>
  <Override ContentType="application/vnd.openxmlformats-officedocument.spreadsheetml.worksheet+xml" PartName="/xl/worksheets/sheet6030.xml"/>
  <Override ContentType="application/vnd.openxmlformats-officedocument.spreadsheetml.worksheet+xml" PartName="/xl/worksheets/sheet6031.xml"/>
  <Override ContentType="application/vnd.openxmlformats-officedocument.spreadsheetml.worksheet+xml" PartName="/xl/worksheets/sheet6032.xml"/>
  <Override ContentType="application/vnd.openxmlformats-officedocument.spreadsheetml.worksheet+xml" PartName="/xl/worksheets/sheet6033.xml"/>
  <Override ContentType="application/vnd.openxmlformats-officedocument.spreadsheetml.worksheet+xml" PartName="/xl/worksheets/sheet6034.xml"/>
  <Override ContentType="application/vnd.openxmlformats-officedocument.spreadsheetml.worksheet+xml" PartName="/xl/worksheets/sheet6035.xml"/>
  <Override ContentType="application/vnd.openxmlformats-officedocument.spreadsheetml.worksheet+xml" PartName="/xl/worksheets/sheet6036.xml"/>
  <Override ContentType="application/vnd.openxmlformats-officedocument.spreadsheetml.worksheet+xml" PartName="/xl/worksheets/sheet6037.xml"/>
  <Override ContentType="application/vnd.openxmlformats-officedocument.spreadsheetml.worksheet+xml" PartName="/xl/worksheets/sheet6038.xml"/>
  <Override ContentType="application/vnd.openxmlformats-officedocument.spreadsheetml.worksheet+xml" PartName="/xl/worksheets/sheet6039.xml"/>
  <Override ContentType="application/vnd.openxmlformats-officedocument.spreadsheetml.worksheet+xml" PartName="/xl/worksheets/sheet6040.xml"/>
  <Override ContentType="application/vnd.openxmlformats-officedocument.spreadsheetml.worksheet+xml" PartName="/xl/worksheets/sheet6041.xml"/>
  <Override ContentType="application/vnd.openxmlformats-officedocument.spreadsheetml.worksheet+xml" PartName="/xl/worksheets/sheet6042.xml"/>
  <Override ContentType="application/vnd.openxmlformats-officedocument.spreadsheetml.worksheet+xml" PartName="/xl/worksheets/sheet6043.xml"/>
  <Override ContentType="application/vnd.openxmlformats-officedocument.spreadsheetml.worksheet+xml" PartName="/xl/worksheets/sheet6044.xml"/>
  <Override ContentType="application/vnd.openxmlformats-officedocument.spreadsheetml.worksheet+xml" PartName="/xl/worksheets/sheet6045.xml"/>
  <Override ContentType="application/vnd.openxmlformats-officedocument.spreadsheetml.worksheet+xml" PartName="/xl/worksheets/sheet6046.xml"/>
  <Override ContentType="application/vnd.openxmlformats-officedocument.spreadsheetml.worksheet+xml" PartName="/xl/worksheets/sheet6047.xml"/>
  <Override ContentType="application/vnd.openxmlformats-officedocument.spreadsheetml.worksheet+xml" PartName="/xl/worksheets/sheet6048.xml"/>
  <Override ContentType="application/vnd.openxmlformats-officedocument.spreadsheetml.worksheet+xml" PartName="/xl/worksheets/sheet6049.xml"/>
  <Override ContentType="application/vnd.openxmlformats-officedocument.spreadsheetml.worksheet+xml" PartName="/xl/worksheets/sheet6050.xml"/>
  <Override ContentType="application/vnd.openxmlformats-officedocument.spreadsheetml.worksheet+xml" PartName="/xl/worksheets/sheet6051.xml"/>
  <Override ContentType="application/vnd.openxmlformats-officedocument.spreadsheetml.worksheet+xml" PartName="/xl/worksheets/sheet6052.xml"/>
  <Override ContentType="application/vnd.openxmlformats-officedocument.spreadsheetml.worksheet+xml" PartName="/xl/worksheets/sheet6053.xml"/>
  <Override ContentType="application/vnd.openxmlformats-officedocument.spreadsheetml.worksheet+xml" PartName="/xl/worksheets/sheet6054.xml"/>
  <Override ContentType="application/vnd.openxmlformats-officedocument.spreadsheetml.worksheet+xml" PartName="/xl/worksheets/sheet6055.xml"/>
  <Override ContentType="application/vnd.openxmlformats-officedocument.spreadsheetml.worksheet+xml" PartName="/xl/worksheets/sheet6056.xml"/>
  <Override ContentType="application/vnd.openxmlformats-officedocument.spreadsheetml.worksheet+xml" PartName="/xl/worksheets/sheet6057.xml"/>
  <Override ContentType="application/vnd.openxmlformats-officedocument.spreadsheetml.worksheet+xml" PartName="/xl/worksheets/sheet6058.xml"/>
  <Override ContentType="application/vnd.openxmlformats-officedocument.spreadsheetml.worksheet+xml" PartName="/xl/worksheets/sheet6059.xml"/>
  <Override ContentType="application/vnd.openxmlformats-officedocument.spreadsheetml.worksheet+xml" PartName="/xl/worksheets/sheet6060.xml"/>
  <Override ContentType="application/vnd.openxmlformats-officedocument.spreadsheetml.worksheet+xml" PartName="/xl/worksheets/sheet6061.xml"/>
  <Override ContentType="application/vnd.openxmlformats-officedocument.spreadsheetml.worksheet+xml" PartName="/xl/worksheets/sheet6062.xml"/>
  <Override ContentType="application/vnd.openxmlformats-officedocument.spreadsheetml.worksheet+xml" PartName="/xl/worksheets/sheet6063.xml"/>
  <Override ContentType="application/vnd.openxmlformats-officedocument.spreadsheetml.worksheet+xml" PartName="/xl/worksheets/sheet6064.xml"/>
  <Override ContentType="application/vnd.openxmlformats-officedocument.spreadsheetml.worksheet+xml" PartName="/xl/worksheets/sheet6065.xml"/>
  <Override ContentType="application/vnd.openxmlformats-officedocument.spreadsheetml.worksheet+xml" PartName="/xl/worksheets/sheet6066.xml"/>
  <Override ContentType="application/vnd.openxmlformats-officedocument.spreadsheetml.worksheet+xml" PartName="/xl/worksheets/sheet6067.xml"/>
  <Override ContentType="application/vnd.openxmlformats-officedocument.spreadsheetml.worksheet+xml" PartName="/xl/worksheets/sheet6068.xml"/>
  <Override ContentType="application/vnd.openxmlformats-officedocument.spreadsheetml.worksheet+xml" PartName="/xl/worksheets/sheet6069.xml"/>
  <Override ContentType="application/vnd.openxmlformats-officedocument.spreadsheetml.worksheet+xml" PartName="/xl/worksheets/sheet6070.xml"/>
  <Override ContentType="application/vnd.openxmlformats-officedocument.spreadsheetml.worksheet+xml" PartName="/xl/worksheets/sheet6071.xml"/>
  <Override ContentType="application/vnd.openxmlformats-officedocument.spreadsheetml.worksheet+xml" PartName="/xl/worksheets/sheet6072.xml"/>
  <Override ContentType="application/vnd.openxmlformats-officedocument.spreadsheetml.worksheet+xml" PartName="/xl/worksheets/sheet6073.xml"/>
  <Override ContentType="application/vnd.openxmlformats-officedocument.spreadsheetml.worksheet+xml" PartName="/xl/worksheets/sheet6074.xml"/>
  <Override ContentType="application/vnd.openxmlformats-officedocument.spreadsheetml.worksheet+xml" PartName="/xl/worksheets/sheet6075.xml"/>
  <Override ContentType="application/vnd.openxmlformats-officedocument.spreadsheetml.worksheet+xml" PartName="/xl/worksheets/sheet6076.xml"/>
  <Override ContentType="application/vnd.openxmlformats-officedocument.spreadsheetml.worksheet+xml" PartName="/xl/worksheets/sheet6077.xml"/>
  <Override ContentType="application/vnd.openxmlformats-officedocument.spreadsheetml.worksheet+xml" PartName="/xl/worksheets/sheet6078.xml"/>
  <Override ContentType="application/vnd.openxmlformats-officedocument.spreadsheetml.worksheet+xml" PartName="/xl/worksheets/sheet6079.xml"/>
  <Override ContentType="application/vnd.openxmlformats-officedocument.spreadsheetml.worksheet+xml" PartName="/xl/worksheets/sheet6080.xml"/>
  <Override ContentType="application/vnd.openxmlformats-officedocument.spreadsheetml.worksheet+xml" PartName="/xl/worksheets/sheet6081.xml"/>
  <Override ContentType="application/vnd.openxmlformats-officedocument.spreadsheetml.worksheet+xml" PartName="/xl/worksheets/sheet6082.xml"/>
  <Override ContentType="application/vnd.openxmlformats-officedocument.spreadsheetml.worksheet+xml" PartName="/xl/worksheets/sheet6083.xml"/>
  <Override ContentType="application/vnd.openxmlformats-officedocument.spreadsheetml.worksheet+xml" PartName="/xl/worksheets/sheet6084.xml"/>
  <Override ContentType="application/vnd.openxmlformats-officedocument.spreadsheetml.worksheet+xml" PartName="/xl/worksheets/sheet6085.xml"/>
  <Override ContentType="application/vnd.openxmlformats-officedocument.spreadsheetml.worksheet+xml" PartName="/xl/worksheets/sheet6086.xml"/>
  <Override ContentType="application/vnd.openxmlformats-officedocument.spreadsheetml.worksheet+xml" PartName="/xl/worksheets/sheet6087.xml"/>
  <Override ContentType="application/vnd.openxmlformats-officedocument.spreadsheetml.worksheet+xml" PartName="/xl/worksheets/sheet6088.xml"/>
  <Override ContentType="application/vnd.openxmlformats-officedocument.spreadsheetml.worksheet+xml" PartName="/xl/worksheets/sheet6089.xml"/>
  <Override ContentType="application/vnd.openxmlformats-officedocument.spreadsheetml.worksheet+xml" PartName="/xl/worksheets/sheet6090.xml"/>
  <Override ContentType="application/vnd.openxmlformats-officedocument.spreadsheetml.worksheet+xml" PartName="/xl/worksheets/sheet6091.xml"/>
  <Override ContentType="application/vnd.openxmlformats-officedocument.spreadsheetml.worksheet+xml" PartName="/xl/worksheets/sheet6092.xml"/>
  <Override ContentType="application/vnd.openxmlformats-officedocument.spreadsheetml.worksheet+xml" PartName="/xl/worksheets/sheet6093.xml"/>
  <Override ContentType="application/vnd.openxmlformats-officedocument.spreadsheetml.worksheet+xml" PartName="/xl/worksheets/sheet6094.xml"/>
  <Override ContentType="application/vnd.openxmlformats-officedocument.spreadsheetml.worksheet+xml" PartName="/xl/worksheets/sheet6095.xml"/>
  <Override ContentType="application/vnd.openxmlformats-officedocument.spreadsheetml.worksheet+xml" PartName="/xl/worksheets/sheet6096.xml"/>
  <Override ContentType="application/vnd.openxmlformats-officedocument.spreadsheetml.worksheet+xml" PartName="/xl/worksheets/sheet6097.xml"/>
  <Override ContentType="application/vnd.openxmlformats-officedocument.spreadsheetml.worksheet+xml" PartName="/xl/worksheets/sheet6098.xml"/>
  <Override ContentType="application/vnd.openxmlformats-officedocument.spreadsheetml.worksheet+xml" PartName="/xl/worksheets/sheet6099.xml"/>
  <Override ContentType="application/vnd.openxmlformats-officedocument.spreadsheetml.worksheet+xml" PartName="/xl/worksheets/sheet6100.xml"/>
  <Override ContentType="application/vnd.openxmlformats-officedocument.spreadsheetml.worksheet+xml" PartName="/xl/worksheets/sheet6101.xml"/>
  <Override ContentType="application/vnd.openxmlformats-officedocument.spreadsheetml.worksheet+xml" PartName="/xl/worksheets/sheet6102.xml"/>
  <Override ContentType="application/vnd.openxmlformats-officedocument.spreadsheetml.worksheet+xml" PartName="/xl/worksheets/sheet6103.xml"/>
  <Override ContentType="application/vnd.openxmlformats-officedocument.spreadsheetml.worksheet+xml" PartName="/xl/worksheets/sheet6104.xml"/>
  <Override ContentType="application/vnd.openxmlformats-officedocument.spreadsheetml.worksheet+xml" PartName="/xl/worksheets/sheet6105.xml"/>
  <Override ContentType="application/vnd.openxmlformats-officedocument.spreadsheetml.worksheet+xml" PartName="/xl/worksheets/sheet6106.xml"/>
  <Override ContentType="application/vnd.openxmlformats-officedocument.spreadsheetml.worksheet+xml" PartName="/xl/worksheets/sheet6107.xml"/>
  <Override ContentType="application/vnd.openxmlformats-officedocument.spreadsheetml.worksheet+xml" PartName="/xl/worksheets/sheet6108.xml"/>
  <Override ContentType="application/vnd.openxmlformats-officedocument.spreadsheetml.worksheet+xml" PartName="/xl/worksheets/sheet6109.xml"/>
  <Override ContentType="application/vnd.openxmlformats-officedocument.spreadsheetml.worksheet+xml" PartName="/xl/worksheets/sheet6110.xml"/>
  <Override ContentType="application/vnd.openxmlformats-officedocument.spreadsheetml.worksheet+xml" PartName="/xl/worksheets/sheet6111.xml"/>
  <Override ContentType="application/vnd.openxmlformats-officedocument.spreadsheetml.worksheet+xml" PartName="/xl/worksheets/sheet6112.xml"/>
  <Override ContentType="application/vnd.openxmlformats-officedocument.spreadsheetml.worksheet+xml" PartName="/xl/worksheets/sheet6113.xml"/>
  <Override ContentType="application/vnd.openxmlformats-officedocument.spreadsheetml.worksheet+xml" PartName="/xl/worksheets/sheet6114.xml"/>
  <Override ContentType="application/vnd.openxmlformats-officedocument.spreadsheetml.worksheet+xml" PartName="/xl/worksheets/sheet6115.xml"/>
  <Override ContentType="application/vnd.openxmlformats-officedocument.spreadsheetml.worksheet+xml" PartName="/xl/worksheets/sheet6116.xml"/>
  <Override ContentType="application/vnd.openxmlformats-officedocument.spreadsheetml.worksheet+xml" PartName="/xl/worksheets/sheet6117.xml"/>
  <Override ContentType="application/vnd.openxmlformats-officedocument.spreadsheetml.worksheet+xml" PartName="/xl/worksheets/sheet6118.xml"/>
  <Override ContentType="application/vnd.openxmlformats-officedocument.spreadsheetml.worksheet+xml" PartName="/xl/worksheets/sheet6119.xml"/>
  <Override ContentType="application/vnd.openxmlformats-officedocument.spreadsheetml.worksheet+xml" PartName="/xl/worksheets/sheet6120.xml"/>
  <Override ContentType="application/vnd.openxmlformats-officedocument.spreadsheetml.worksheet+xml" PartName="/xl/worksheets/sheet6121.xml"/>
  <Override ContentType="application/vnd.openxmlformats-officedocument.spreadsheetml.worksheet+xml" PartName="/xl/worksheets/sheet6122.xml"/>
  <Override ContentType="application/vnd.openxmlformats-officedocument.spreadsheetml.worksheet+xml" PartName="/xl/worksheets/sheet6123.xml"/>
  <Override ContentType="application/vnd.openxmlformats-officedocument.spreadsheetml.worksheet+xml" PartName="/xl/worksheets/sheet6124.xml"/>
  <Override ContentType="application/vnd.openxmlformats-officedocument.spreadsheetml.worksheet+xml" PartName="/xl/worksheets/sheet6125.xml"/>
  <Override ContentType="application/vnd.openxmlformats-officedocument.spreadsheetml.worksheet+xml" PartName="/xl/worksheets/sheet6126.xml"/>
  <Override ContentType="application/vnd.openxmlformats-officedocument.spreadsheetml.worksheet+xml" PartName="/xl/worksheets/sheet6127.xml"/>
  <Override ContentType="application/vnd.openxmlformats-officedocument.spreadsheetml.worksheet+xml" PartName="/xl/worksheets/sheet6128.xml"/>
  <Override ContentType="application/vnd.openxmlformats-officedocument.spreadsheetml.worksheet+xml" PartName="/xl/worksheets/sheet6129.xml"/>
  <Override ContentType="application/vnd.openxmlformats-officedocument.spreadsheetml.worksheet+xml" PartName="/xl/worksheets/sheet6130.xml"/>
  <Override ContentType="application/vnd.openxmlformats-officedocument.spreadsheetml.worksheet+xml" PartName="/xl/worksheets/sheet6131.xml"/>
  <Override ContentType="application/vnd.openxmlformats-officedocument.spreadsheetml.worksheet+xml" PartName="/xl/worksheets/sheet6132.xml"/>
  <Override ContentType="application/vnd.openxmlformats-officedocument.spreadsheetml.worksheet+xml" PartName="/xl/worksheets/sheet6133.xml"/>
  <Override ContentType="application/vnd.openxmlformats-officedocument.spreadsheetml.worksheet+xml" PartName="/xl/worksheets/sheet6134.xml"/>
  <Override ContentType="application/vnd.openxmlformats-officedocument.spreadsheetml.worksheet+xml" PartName="/xl/worksheets/sheet6135.xml"/>
  <Override ContentType="application/vnd.openxmlformats-officedocument.spreadsheetml.worksheet+xml" PartName="/xl/worksheets/sheet6136.xml"/>
  <Override ContentType="application/vnd.openxmlformats-officedocument.spreadsheetml.worksheet+xml" PartName="/xl/worksheets/sheet6137.xml"/>
  <Override ContentType="application/vnd.openxmlformats-officedocument.spreadsheetml.worksheet+xml" PartName="/xl/worksheets/sheet6138.xml"/>
  <Override ContentType="application/vnd.openxmlformats-officedocument.spreadsheetml.worksheet+xml" PartName="/xl/worksheets/sheet6139.xml"/>
  <Override ContentType="application/vnd.openxmlformats-officedocument.spreadsheetml.worksheet+xml" PartName="/xl/worksheets/sheet6140.xml"/>
  <Override ContentType="application/vnd.openxmlformats-officedocument.spreadsheetml.worksheet+xml" PartName="/xl/worksheets/sheet6141.xml"/>
  <Override ContentType="application/vnd.openxmlformats-officedocument.spreadsheetml.worksheet+xml" PartName="/xl/worksheets/sheet6142.xml"/>
  <Override ContentType="application/vnd.openxmlformats-officedocument.spreadsheetml.worksheet+xml" PartName="/xl/worksheets/sheet6143.xml"/>
  <Override ContentType="application/vnd.openxmlformats-officedocument.spreadsheetml.worksheet+xml" PartName="/xl/worksheets/sheet6144.xml"/>
  <Override ContentType="application/vnd.openxmlformats-officedocument.spreadsheetml.worksheet+xml" PartName="/xl/worksheets/sheet6145.xml"/>
  <Override ContentType="application/vnd.openxmlformats-officedocument.spreadsheetml.worksheet+xml" PartName="/xl/worksheets/sheet6146.xml"/>
  <Override ContentType="application/vnd.openxmlformats-officedocument.spreadsheetml.worksheet+xml" PartName="/xl/worksheets/sheet6147.xml"/>
  <Override ContentType="application/vnd.openxmlformats-officedocument.spreadsheetml.worksheet+xml" PartName="/xl/worksheets/sheet6148.xml"/>
  <Override ContentType="application/vnd.openxmlformats-officedocument.spreadsheetml.worksheet+xml" PartName="/xl/worksheets/sheet6149.xml"/>
  <Override ContentType="application/vnd.openxmlformats-officedocument.spreadsheetml.worksheet+xml" PartName="/xl/worksheets/sheet6150.xml"/>
  <Override ContentType="application/vnd.openxmlformats-officedocument.spreadsheetml.worksheet+xml" PartName="/xl/worksheets/sheet6151.xml"/>
  <Override ContentType="application/vnd.openxmlformats-officedocument.spreadsheetml.worksheet+xml" PartName="/xl/worksheets/sheet6152.xml"/>
  <Override ContentType="application/vnd.openxmlformats-officedocument.spreadsheetml.worksheet+xml" PartName="/xl/worksheets/sheet6153.xml"/>
  <Override ContentType="application/vnd.openxmlformats-officedocument.spreadsheetml.worksheet+xml" PartName="/xl/worksheets/sheet6154.xml"/>
  <Override ContentType="application/vnd.openxmlformats-officedocument.spreadsheetml.worksheet+xml" PartName="/xl/worksheets/sheet6155.xml"/>
  <Override ContentType="application/vnd.openxmlformats-officedocument.spreadsheetml.worksheet+xml" PartName="/xl/worksheets/sheet6156.xml"/>
  <Override ContentType="application/vnd.openxmlformats-officedocument.spreadsheetml.worksheet+xml" PartName="/xl/worksheets/sheet6157.xml"/>
  <Override ContentType="application/vnd.openxmlformats-officedocument.spreadsheetml.worksheet+xml" PartName="/xl/worksheets/sheet6158.xml"/>
  <Override ContentType="application/vnd.openxmlformats-officedocument.spreadsheetml.worksheet+xml" PartName="/xl/worksheets/sheet6159.xml"/>
  <Override ContentType="application/vnd.openxmlformats-officedocument.spreadsheetml.worksheet+xml" PartName="/xl/worksheets/sheet6160.xml"/>
  <Override ContentType="application/vnd.openxmlformats-officedocument.spreadsheetml.worksheet+xml" PartName="/xl/worksheets/sheet6161.xml"/>
  <Override ContentType="application/vnd.openxmlformats-officedocument.spreadsheetml.worksheet+xml" PartName="/xl/worksheets/sheet6162.xml"/>
  <Override ContentType="application/vnd.openxmlformats-officedocument.spreadsheetml.worksheet+xml" PartName="/xl/worksheets/sheet6163.xml"/>
  <Override ContentType="application/vnd.openxmlformats-officedocument.spreadsheetml.worksheet+xml" PartName="/xl/worksheets/sheet6164.xml"/>
  <Override ContentType="application/vnd.openxmlformats-officedocument.spreadsheetml.worksheet+xml" PartName="/xl/worksheets/sheet6165.xml"/>
  <Override ContentType="application/vnd.openxmlformats-officedocument.spreadsheetml.worksheet+xml" PartName="/xl/worksheets/sheet6166.xml"/>
  <Override ContentType="application/vnd.openxmlformats-officedocument.spreadsheetml.worksheet+xml" PartName="/xl/worksheets/sheet6167.xml"/>
  <Override ContentType="application/vnd.openxmlformats-officedocument.spreadsheetml.worksheet+xml" PartName="/xl/worksheets/sheet6168.xml"/>
  <Override ContentType="application/vnd.openxmlformats-officedocument.spreadsheetml.worksheet+xml" PartName="/xl/worksheets/sheet6169.xml"/>
  <Override ContentType="application/vnd.openxmlformats-officedocument.spreadsheetml.worksheet+xml" PartName="/xl/worksheets/sheet6170.xml"/>
  <Override ContentType="application/vnd.openxmlformats-officedocument.spreadsheetml.worksheet+xml" PartName="/xl/worksheets/sheet6171.xml"/>
  <Override ContentType="application/vnd.openxmlformats-officedocument.spreadsheetml.worksheet+xml" PartName="/xl/worksheets/sheet6172.xml"/>
  <Override ContentType="application/vnd.openxmlformats-officedocument.spreadsheetml.worksheet+xml" PartName="/xl/worksheets/sheet6173.xml"/>
  <Override ContentType="application/vnd.openxmlformats-officedocument.spreadsheetml.worksheet+xml" PartName="/xl/worksheets/sheet6174.xml"/>
  <Override ContentType="application/vnd.openxmlformats-officedocument.spreadsheetml.worksheet+xml" PartName="/xl/worksheets/sheet6175.xml"/>
  <Override ContentType="application/vnd.openxmlformats-officedocument.spreadsheetml.worksheet+xml" PartName="/xl/worksheets/sheet6176.xml"/>
  <Override ContentType="application/vnd.openxmlformats-officedocument.spreadsheetml.worksheet+xml" PartName="/xl/worksheets/sheet6177.xml"/>
  <Override ContentType="application/vnd.openxmlformats-officedocument.spreadsheetml.worksheet+xml" PartName="/xl/worksheets/sheet6178.xml"/>
  <Override ContentType="application/vnd.openxmlformats-officedocument.spreadsheetml.worksheet+xml" PartName="/xl/worksheets/sheet6179.xml"/>
  <Override ContentType="application/vnd.openxmlformats-officedocument.spreadsheetml.worksheet+xml" PartName="/xl/worksheets/sheet6180.xml"/>
  <Override ContentType="application/vnd.openxmlformats-officedocument.spreadsheetml.worksheet+xml" PartName="/xl/worksheets/sheet6181.xml"/>
  <Override ContentType="application/vnd.openxmlformats-officedocument.spreadsheetml.worksheet+xml" PartName="/xl/worksheets/sheet6182.xml"/>
  <Override ContentType="application/vnd.openxmlformats-officedocument.spreadsheetml.worksheet+xml" PartName="/xl/worksheets/sheet6183.xml"/>
  <Override ContentType="application/vnd.openxmlformats-officedocument.spreadsheetml.worksheet+xml" PartName="/xl/worksheets/sheet6184.xml"/>
  <Override ContentType="application/vnd.openxmlformats-officedocument.spreadsheetml.worksheet+xml" PartName="/xl/worksheets/sheet6185.xml"/>
  <Override ContentType="application/vnd.openxmlformats-officedocument.spreadsheetml.worksheet+xml" PartName="/xl/worksheets/sheet6186.xml"/>
  <Override ContentType="application/vnd.openxmlformats-officedocument.spreadsheetml.worksheet+xml" PartName="/xl/worksheets/sheet6187.xml"/>
  <Override ContentType="application/vnd.openxmlformats-officedocument.spreadsheetml.worksheet+xml" PartName="/xl/worksheets/sheet6188.xml"/>
  <Override ContentType="application/vnd.openxmlformats-officedocument.spreadsheetml.worksheet+xml" PartName="/xl/worksheets/sheet6189.xml"/>
  <Override ContentType="application/vnd.openxmlformats-officedocument.spreadsheetml.worksheet+xml" PartName="/xl/worksheets/sheet6190.xml"/>
  <Override ContentType="application/vnd.openxmlformats-officedocument.spreadsheetml.worksheet+xml" PartName="/xl/worksheets/sheet6191.xml"/>
  <Override ContentType="application/vnd.openxmlformats-officedocument.spreadsheetml.worksheet+xml" PartName="/xl/worksheets/sheet6192.xml"/>
  <Override ContentType="application/vnd.openxmlformats-officedocument.spreadsheetml.worksheet+xml" PartName="/xl/worksheets/sheet6193.xml"/>
  <Override ContentType="application/vnd.openxmlformats-officedocument.spreadsheetml.worksheet+xml" PartName="/xl/worksheets/sheet6194.xml"/>
  <Override ContentType="application/vnd.openxmlformats-officedocument.spreadsheetml.worksheet+xml" PartName="/xl/worksheets/sheet6195.xml"/>
  <Override ContentType="application/vnd.openxmlformats-officedocument.spreadsheetml.worksheet+xml" PartName="/xl/worksheets/sheet6196.xml"/>
  <Override ContentType="application/vnd.openxmlformats-officedocument.spreadsheetml.worksheet+xml" PartName="/xl/worksheets/sheet6197.xml"/>
  <Override ContentType="application/vnd.openxmlformats-officedocument.spreadsheetml.worksheet+xml" PartName="/xl/worksheets/sheet6198.xml"/>
  <Override ContentType="application/vnd.openxmlformats-officedocument.spreadsheetml.worksheet+xml" PartName="/xl/worksheets/sheet6199.xml"/>
  <Override ContentType="application/vnd.openxmlformats-officedocument.spreadsheetml.worksheet+xml" PartName="/xl/worksheets/sheet6200.xml"/>
  <Override ContentType="application/vnd.openxmlformats-officedocument.spreadsheetml.worksheet+xml" PartName="/xl/worksheets/sheet6201.xml"/>
  <Override ContentType="application/vnd.openxmlformats-officedocument.spreadsheetml.worksheet+xml" PartName="/xl/worksheets/sheet6202.xml"/>
  <Override ContentType="application/vnd.openxmlformats-officedocument.spreadsheetml.worksheet+xml" PartName="/xl/worksheets/sheet6203.xml"/>
  <Override ContentType="application/vnd.openxmlformats-officedocument.spreadsheetml.worksheet+xml" PartName="/xl/worksheets/sheet6204.xml"/>
  <Override ContentType="application/vnd.openxmlformats-officedocument.spreadsheetml.worksheet+xml" PartName="/xl/worksheets/sheet6205.xml"/>
  <Override ContentType="application/vnd.openxmlformats-officedocument.spreadsheetml.worksheet+xml" PartName="/xl/worksheets/sheet6206.xml"/>
  <Override ContentType="application/vnd.openxmlformats-officedocument.spreadsheetml.worksheet+xml" PartName="/xl/worksheets/sheet6207.xml"/>
  <Override ContentType="application/vnd.openxmlformats-officedocument.spreadsheetml.worksheet+xml" PartName="/xl/worksheets/sheet6208.xml"/>
  <Override ContentType="application/vnd.openxmlformats-officedocument.spreadsheetml.worksheet+xml" PartName="/xl/worksheets/sheet6209.xml"/>
  <Override ContentType="application/vnd.openxmlformats-officedocument.spreadsheetml.worksheet+xml" PartName="/xl/worksheets/sheet6210.xml"/>
  <Override ContentType="application/vnd.openxmlformats-officedocument.spreadsheetml.worksheet+xml" PartName="/xl/worksheets/sheet6211.xml"/>
  <Override ContentType="application/vnd.openxmlformats-officedocument.spreadsheetml.worksheet+xml" PartName="/xl/worksheets/sheet6212.xml"/>
  <Override ContentType="application/vnd.openxmlformats-officedocument.spreadsheetml.worksheet+xml" PartName="/xl/worksheets/sheet6213.xml"/>
  <Override ContentType="application/vnd.openxmlformats-officedocument.spreadsheetml.worksheet+xml" PartName="/xl/worksheets/sheet6214.xml"/>
  <Override ContentType="application/vnd.openxmlformats-officedocument.spreadsheetml.worksheet+xml" PartName="/xl/worksheets/sheet6215.xml"/>
  <Override ContentType="application/vnd.openxmlformats-officedocument.spreadsheetml.worksheet+xml" PartName="/xl/worksheets/sheet6216.xml"/>
  <Override ContentType="application/vnd.openxmlformats-officedocument.spreadsheetml.worksheet+xml" PartName="/xl/worksheets/sheet6217.xml"/>
  <Override ContentType="application/vnd.openxmlformats-officedocument.spreadsheetml.worksheet+xml" PartName="/xl/worksheets/sheet6218.xml"/>
  <Override ContentType="application/vnd.openxmlformats-officedocument.spreadsheetml.worksheet+xml" PartName="/xl/worksheets/sheet6219.xml"/>
  <Override ContentType="application/vnd.openxmlformats-officedocument.spreadsheetml.worksheet+xml" PartName="/xl/worksheets/sheet6220.xml"/>
  <Override ContentType="application/vnd.openxmlformats-officedocument.spreadsheetml.worksheet+xml" PartName="/xl/worksheets/sheet6221.xml"/>
  <Override ContentType="application/vnd.openxmlformats-officedocument.spreadsheetml.worksheet+xml" PartName="/xl/worksheets/sheet6222.xml"/>
  <Override ContentType="application/vnd.openxmlformats-officedocument.spreadsheetml.worksheet+xml" PartName="/xl/worksheets/sheet6223.xml"/>
  <Override ContentType="application/vnd.openxmlformats-officedocument.spreadsheetml.worksheet+xml" PartName="/xl/worksheets/sheet6224.xml"/>
  <Override ContentType="application/vnd.openxmlformats-officedocument.spreadsheetml.worksheet+xml" PartName="/xl/worksheets/sheet6225.xml"/>
  <Override ContentType="application/vnd.openxmlformats-officedocument.spreadsheetml.worksheet+xml" PartName="/xl/worksheets/sheet6226.xml"/>
  <Override ContentType="application/vnd.openxmlformats-officedocument.spreadsheetml.worksheet+xml" PartName="/xl/worksheets/sheet6227.xml"/>
  <Override ContentType="application/vnd.openxmlformats-officedocument.spreadsheetml.worksheet+xml" PartName="/xl/worksheets/sheet6228.xml"/>
  <Override ContentType="application/vnd.openxmlformats-officedocument.spreadsheetml.worksheet+xml" PartName="/xl/worksheets/sheet6229.xml"/>
  <Override ContentType="application/vnd.openxmlformats-officedocument.spreadsheetml.worksheet+xml" PartName="/xl/worksheets/sheet6230.xml"/>
  <Override ContentType="application/vnd.openxmlformats-officedocument.spreadsheetml.worksheet+xml" PartName="/xl/worksheets/sheet6231.xml"/>
  <Override ContentType="application/vnd.openxmlformats-officedocument.spreadsheetml.worksheet+xml" PartName="/xl/worksheets/sheet6232.xml"/>
  <Override ContentType="application/vnd.openxmlformats-officedocument.spreadsheetml.worksheet+xml" PartName="/xl/worksheets/sheet6233.xml"/>
  <Override ContentType="application/vnd.openxmlformats-officedocument.spreadsheetml.worksheet+xml" PartName="/xl/worksheets/sheet6234.xml"/>
  <Override ContentType="application/vnd.openxmlformats-officedocument.spreadsheetml.worksheet+xml" PartName="/xl/worksheets/sheet6235.xml"/>
  <Override ContentType="application/vnd.openxmlformats-officedocument.spreadsheetml.worksheet+xml" PartName="/xl/worksheets/sheet6236.xml"/>
  <Override ContentType="application/vnd.openxmlformats-officedocument.spreadsheetml.worksheet+xml" PartName="/xl/worksheets/sheet6237.xml"/>
  <Override ContentType="application/vnd.openxmlformats-officedocument.spreadsheetml.worksheet+xml" PartName="/xl/worksheets/sheet6238.xml"/>
  <Override ContentType="application/vnd.openxmlformats-officedocument.spreadsheetml.worksheet+xml" PartName="/xl/worksheets/sheet6239.xml"/>
  <Override ContentType="application/vnd.openxmlformats-officedocument.spreadsheetml.worksheet+xml" PartName="/xl/worksheets/sheet6240.xml"/>
  <Override ContentType="application/vnd.openxmlformats-officedocument.spreadsheetml.worksheet+xml" PartName="/xl/worksheets/sheet6241.xml"/>
  <Override ContentType="application/vnd.openxmlformats-officedocument.spreadsheetml.worksheet+xml" PartName="/xl/worksheets/sheet6242.xml"/>
  <Override ContentType="application/vnd.openxmlformats-officedocument.spreadsheetml.worksheet+xml" PartName="/xl/worksheets/sheet6243.xml"/>
  <Override ContentType="application/vnd.openxmlformats-officedocument.spreadsheetml.worksheet+xml" PartName="/xl/worksheets/sheet6244.xml"/>
  <Override ContentType="application/vnd.openxmlformats-officedocument.spreadsheetml.worksheet+xml" PartName="/xl/worksheets/sheet6245.xml"/>
  <Override ContentType="application/vnd.openxmlformats-officedocument.spreadsheetml.worksheet+xml" PartName="/xl/worksheets/sheet6246.xml"/>
  <Override ContentType="application/vnd.openxmlformats-officedocument.spreadsheetml.worksheet+xml" PartName="/xl/worksheets/sheet6247.xml"/>
  <Override ContentType="application/vnd.openxmlformats-officedocument.spreadsheetml.worksheet+xml" PartName="/xl/worksheets/sheet6248.xml"/>
  <Override ContentType="application/vnd.openxmlformats-officedocument.spreadsheetml.worksheet+xml" PartName="/xl/worksheets/sheet6249.xml"/>
  <Override ContentType="application/vnd.openxmlformats-officedocument.spreadsheetml.worksheet+xml" PartName="/xl/worksheets/sheet6250.xml"/>
  <Override ContentType="application/vnd.openxmlformats-officedocument.spreadsheetml.worksheet+xml" PartName="/xl/worksheets/sheet6251.xml"/>
  <Override ContentType="application/vnd.openxmlformats-officedocument.spreadsheetml.worksheet+xml" PartName="/xl/worksheets/sheet6252.xml"/>
  <Override ContentType="application/vnd.openxmlformats-officedocument.spreadsheetml.worksheet+xml" PartName="/xl/worksheets/sheet6253.xml"/>
  <Override ContentType="application/vnd.openxmlformats-officedocument.spreadsheetml.worksheet+xml" PartName="/xl/worksheets/sheet6254.xml"/>
  <Override ContentType="application/vnd.openxmlformats-officedocument.spreadsheetml.worksheet+xml" PartName="/xl/worksheets/sheet6255.xml"/>
  <Override ContentType="application/vnd.openxmlformats-officedocument.spreadsheetml.worksheet+xml" PartName="/xl/worksheets/sheet6256.xml"/>
  <Override ContentType="application/vnd.openxmlformats-officedocument.spreadsheetml.worksheet+xml" PartName="/xl/worksheets/sheet6257.xml"/>
  <Override ContentType="application/vnd.openxmlformats-officedocument.spreadsheetml.worksheet+xml" PartName="/xl/worksheets/sheet6258.xml"/>
  <Override ContentType="application/vnd.openxmlformats-officedocument.spreadsheetml.worksheet+xml" PartName="/xl/worksheets/sheet6259.xml"/>
  <Override ContentType="application/vnd.openxmlformats-officedocument.spreadsheetml.worksheet+xml" PartName="/xl/worksheets/sheet6260.xml"/>
  <Override ContentType="application/vnd.openxmlformats-officedocument.spreadsheetml.worksheet+xml" PartName="/xl/worksheets/sheet6261.xml"/>
  <Override ContentType="application/vnd.openxmlformats-officedocument.spreadsheetml.worksheet+xml" PartName="/xl/worksheets/sheet6262.xml"/>
  <Override ContentType="application/vnd.openxmlformats-officedocument.spreadsheetml.worksheet+xml" PartName="/xl/worksheets/sheet6263.xml"/>
  <Override ContentType="application/vnd.openxmlformats-officedocument.spreadsheetml.worksheet+xml" PartName="/xl/worksheets/sheet6264.xml"/>
  <Override ContentType="application/vnd.openxmlformats-officedocument.spreadsheetml.worksheet+xml" PartName="/xl/worksheets/sheet6265.xml"/>
  <Override ContentType="application/vnd.openxmlformats-officedocument.spreadsheetml.worksheet+xml" PartName="/xl/worksheets/sheet6266.xml"/>
  <Override ContentType="application/vnd.openxmlformats-officedocument.spreadsheetml.worksheet+xml" PartName="/xl/worksheets/sheet6267.xml"/>
  <Override ContentType="application/vnd.openxmlformats-officedocument.spreadsheetml.worksheet+xml" PartName="/xl/worksheets/sheet6268.xml"/>
  <Override ContentType="application/vnd.openxmlformats-officedocument.spreadsheetml.worksheet+xml" PartName="/xl/worksheets/sheet6269.xml"/>
  <Override ContentType="application/vnd.openxmlformats-officedocument.spreadsheetml.worksheet+xml" PartName="/xl/worksheets/sheet6270.xml"/>
  <Override ContentType="application/vnd.openxmlformats-officedocument.spreadsheetml.worksheet+xml" PartName="/xl/worksheets/sheet6271.xml"/>
  <Override ContentType="application/vnd.openxmlformats-officedocument.spreadsheetml.worksheet+xml" PartName="/xl/worksheets/sheet6272.xml"/>
  <Override ContentType="application/vnd.openxmlformats-officedocument.spreadsheetml.worksheet+xml" PartName="/xl/worksheets/sheet6273.xml"/>
  <Override ContentType="application/vnd.openxmlformats-officedocument.spreadsheetml.worksheet+xml" PartName="/xl/worksheets/sheet6274.xml"/>
  <Override ContentType="application/vnd.openxmlformats-officedocument.spreadsheetml.worksheet+xml" PartName="/xl/worksheets/sheet6275.xml"/>
  <Override ContentType="application/vnd.openxmlformats-officedocument.spreadsheetml.worksheet+xml" PartName="/xl/worksheets/sheet6276.xml"/>
  <Override ContentType="application/vnd.openxmlformats-officedocument.spreadsheetml.worksheet+xml" PartName="/xl/worksheets/sheet6277.xml"/>
  <Override ContentType="application/vnd.openxmlformats-officedocument.spreadsheetml.worksheet+xml" PartName="/xl/worksheets/sheet6278.xml"/>
  <Override ContentType="application/vnd.openxmlformats-officedocument.spreadsheetml.worksheet+xml" PartName="/xl/worksheets/sheet6279.xml"/>
  <Override ContentType="application/vnd.openxmlformats-officedocument.spreadsheetml.worksheet+xml" PartName="/xl/worksheets/sheet6280.xml"/>
  <Override ContentType="application/vnd.openxmlformats-officedocument.spreadsheetml.worksheet+xml" PartName="/xl/worksheets/sheet6281.xml"/>
  <Override ContentType="application/vnd.openxmlformats-officedocument.spreadsheetml.worksheet+xml" PartName="/xl/worksheets/sheet6282.xml"/>
  <Override ContentType="application/vnd.openxmlformats-officedocument.spreadsheetml.worksheet+xml" PartName="/xl/worksheets/sheet6283.xml"/>
  <Override ContentType="application/vnd.openxmlformats-officedocument.spreadsheetml.worksheet+xml" PartName="/xl/worksheets/sheet6284.xml"/>
  <Override ContentType="application/vnd.openxmlformats-officedocument.spreadsheetml.worksheet+xml" PartName="/xl/worksheets/sheet6285.xml"/>
  <Override ContentType="application/vnd.openxmlformats-officedocument.spreadsheetml.worksheet+xml" PartName="/xl/worksheets/sheet6286.xml"/>
  <Override ContentType="application/vnd.openxmlformats-officedocument.spreadsheetml.worksheet+xml" PartName="/xl/worksheets/sheet6287.xml"/>
  <Override ContentType="application/vnd.openxmlformats-officedocument.spreadsheetml.worksheet+xml" PartName="/xl/worksheets/sheet6288.xml"/>
  <Override ContentType="application/vnd.openxmlformats-officedocument.spreadsheetml.worksheet+xml" PartName="/xl/worksheets/sheet6289.xml"/>
  <Override ContentType="application/vnd.openxmlformats-officedocument.spreadsheetml.worksheet+xml" PartName="/xl/worksheets/sheet6290.xml"/>
  <Override ContentType="application/vnd.openxmlformats-officedocument.spreadsheetml.worksheet+xml" PartName="/xl/worksheets/sheet6291.xml"/>
  <Override ContentType="application/vnd.openxmlformats-officedocument.spreadsheetml.worksheet+xml" PartName="/xl/worksheets/sheet6292.xml"/>
  <Override ContentType="application/vnd.openxmlformats-officedocument.spreadsheetml.worksheet+xml" PartName="/xl/worksheets/sheet6293.xml"/>
  <Override ContentType="application/vnd.openxmlformats-officedocument.spreadsheetml.worksheet+xml" PartName="/xl/worksheets/sheet6294.xml"/>
  <Override ContentType="application/vnd.openxmlformats-officedocument.spreadsheetml.worksheet+xml" PartName="/xl/worksheets/sheet6295.xml"/>
  <Override ContentType="application/vnd.openxmlformats-officedocument.spreadsheetml.worksheet+xml" PartName="/xl/worksheets/sheet6296.xml"/>
  <Override ContentType="application/vnd.openxmlformats-officedocument.spreadsheetml.worksheet+xml" PartName="/xl/worksheets/sheet6297.xml"/>
  <Override ContentType="application/vnd.openxmlformats-officedocument.spreadsheetml.worksheet+xml" PartName="/xl/worksheets/sheet6298.xml"/>
  <Override ContentType="application/vnd.openxmlformats-officedocument.spreadsheetml.worksheet+xml" PartName="/xl/worksheets/sheet6299.xml"/>
  <Override ContentType="application/vnd.openxmlformats-officedocument.spreadsheetml.worksheet+xml" PartName="/xl/worksheets/sheet6300.xml"/>
  <Override ContentType="application/vnd.openxmlformats-officedocument.spreadsheetml.worksheet+xml" PartName="/xl/worksheets/sheet6301.xml"/>
  <Override ContentType="application/vnd.openxmlformats-officedocument.spreadsheetml.worksheet+xml" PartName="/xl/worksheets/sheet6302.xml"/>
  <Override ContentType="application/vnd.openxmlformats-officedocument.spreadsheetml.worksheet+xml" PartName="/xl/worksheets/sheet6303.xml"/>
  <Override ContentType="application/vnd.openxmlformats-officedocument.spreadsheetml.worksheet+xml" PartName="/xl/worksheets/sheet6304.xml"/>
  <Override ContentType="application/vnd.openxmlformats-officedocument.spreadsheetml.worksheet+xml" PartName="/xl/worksheets/sheet6305.xml"/>
  <Override ContentType="application/vnd.openxmlformats-officedocument.spreadsheetml.worksheet+xml" PartName="/xl/worksheets/sheet6306.xml"/>
  <Override ContentType="application/vnd.openxmlformats-officedocument.spreadsheetml.worksheet+xml" PartName="/xl/worksheets/sheet6307.xml"/>
  <Override ContentType="application/vnd.openxmlformats-officedocument.spreadsheetml.worksheet+xml" PartName="/xl/worksheets/sheet6308.xml"/>
  <Override ContentType="application/vnd.openxmlformats-officedocument.spreadsheetml.worksheet+xml" PartName="/xl/worksheets/sheet6309.xml"/>
  <Override ContentType="application/vnd.openxmlformats-officedocument.spreadsheetml.worksheet+xml" PartName="/xl/worksheets/sheet6310.xml"/>
  <Override ContentType="application/vnd.openxmlformats-officedocument.spreadsheetml.worksheet+xml" PartName="/xl/worksheets/sheet6311.xml"/>
  <Override ContentType="application/vnd.openxmlformats-officedocument.spreadsheetml.worksheet+xml" PartName="/xl/worksheets/sheet6312.xml"/>
  <Override ContentType="application/vnd.openxmlformats-officedocument.spreadsheetml.worksheet+xml" PartName="/xl/worksheets/sheet6313.xml"/>
  <Override ContentType="application/vnd.openxmlformats-officedocument.spreadsheetml.worksheet+xml" PartName="/xl/worksheets/sheet6314.xml"/>
  <Override ContentType="application/vnd.openxmlformats-officedocument.spreadsheetml.worksheet+xml" PartName="/xl/worksheets/sheet6315.xml"/>
  <Override ContentType="application/vnd.openxmlformats-officedocument.spreadsheetml.worksheet+xml" PartName="/xl/worksheets/sheet6316.xml"/>
  <Override ContentType="application/vnd.openxmlformats-officedocument.spreadsheetml.worksheet+xml" PartName="/xl/worksheets/sheet6317.xml"/>
  <Override ContentType="application/vnd.openxmlformats-officedocument.spreadsheetml.worksheet+xml" PartName="/xl/worksheets/sheet6318.xml"/>
  <Override ContentType="application/vnd.openxmlformats-officedocument.spreadsheetml.worksheet+xml" PartName="/xl/worksheets/sheet6319.xml"/>
  <Override ContentType="application/vnd.openxmlformats-officedocument.spreadsheetml.worksheet+xml" PartName="/xl/worksheets/sheet6320.xml"/>
  <Override ContentType="application/vnd.openxmlformats-officedocument.spreadsheetml.worksheet+xml" PartName="/xl/worksheets/sheet6321.xml"/>
  <Override ContentType="application/vnd.openxmlformats-officedocument.spreadsheetml.worksheet+xml" PartName="/xl/worksheets/sheet6322.xml"/>
  <Override ContentType="application/vnd.openxmlformats-officedocument.spreadsheetml.worksheet+xml" PartName="/xl/worksheets/sheet6323.xml"/>
  <Override ContentType="application/vnd.openxmlformats-officedocument.spreadsheetml.worksheet+xml" PartName="/xl/worksheets/sheet6324.xml"/>
  <Override ContentType="application/vnd.openxmlformats-officedocument.spreadsheetml.worksheet+xml" PartName="/xl/worksheets/sheet6325.xml"/>
  <Override ContentType="application/vnd.openxmlformats-officedocument.spreadsheetml.worksheet+xml" PartName="/xl/worksheets/sheet6326.xml"/>
  <Override ContentType="application/vnd.openxmlformats-officedocument.spreadsheetml.worksheet+xml" PartName="/xl/worksheets/sheet6327.xml"/>
  <Override ContentType="application/vnd.openxmlformats-officedocument.spreadsheetml.worksheet+xml" PartName="/xl/worksheets/sheet6328.xml"/>
  <Override ContentType="application/vnd.openxmlformats-officedocument.spreadsheetml.worksheet+xml" PartName="/xl/worksheets/sheet6329.xml"/>
  <Override ContentType="application/vnd.openxmlformats-officedocument.spreadsheetml.worksheet+xml" PartName="/xl/worksheets/sheet6330.xml"/>
  <Override ContentType="application/vnd.openxmlformats-officedocument.spreadsheetml.worksheet+xml" PartName="/xl/worksheets/sheet6331.xml"/>
  <Override ContentType="application/vnd.openxmlformats-officedocument.spreadsheetml.worksheet+xml" PartName="/xl/worksheets/sheet6332.xml"/>
  <Override ContentType="application/vnd.openxmlformats-officedocument.spreadsheetml.worksheet+xml" PartName="/xl/worksheets/sheet6333.xml"/>
  <Override ContentType="application/vnd.openxmlformats-officedocument.spreadsheetml.worksheet+xml" PartName="/xl/worksheets/sheet6334.xml"/>
  <Override ContentType="application/vnd.openxmlformats-officedocument.spreadsheetml.worksheet+xml" PartName="/xl/worksheets/sheet6335.xml"/>
  <Override ContentType="application/vnd.openxmlformats-officedocument.spreadsheetml.worksheet+xml" PartName="/xl/worksheets/sheet6336.xml"/>
  <Override ContentType="application/vnd.openxmlformats-officedocument.spreadsheetml.worksheet+xml" PartName="/xl/worksheets/sheet6337.xml"/>
  <Override ContentType="application/vnd.openxmlformats-officedocument.spreadsheetml.worksheet+xml" PartName="/xl/worksheets/sheet6338.xml"/>
  <Override ContentType="application/vnd.openxmlformats-officedocument.spreadsheetml.worksheet+xml" PartName="/xl/worksheets/sheet6339.xml"/>
  <Override ContentType="application/vnd.openxmlformats-officedocument.spreadsheetml.worksheet+xml" PartName="/xl/worksheets/sheet6340.xml"/>
  <Override ContentType="application/vnd.openxmlformats-officedocument.spreadsheetml.worksheet+xml" PartName="/xl/worksheets/sheet6341.xml"/>
  <Override ContentType="application/vnd.openxmlformats-officedocument.spreadsheetml.worksheet+xml" PartName="/xl/worksheets/sheet6342.xml"/>
  <Override ContentType="application/vnd.openxmlformats-officedocument.spreadsheetml.worksheet+xml" PartName="/xl/worksheets/sheet6343.xml"/>
  <Override ContentType="application/vnd.openxmlformats-officedocument.spreadsheetml.worksheet+xml" PartName="/xl/worksheets/sheet6344.xml"/>
  <Override ContentType="application/vnd.openxmlformats-officedocument.spreadsheetml.worksheet+xml" PartName="/xl/worksheets/sheet6345.xml"/>
  <Override ContentType="application/vnd.openxmlformats-officedocument.spreadsheetml.worksheet+xml" PartName="/xl/worksheets/sheet6346.xml"/>
  <Override ContentType="application/vnd.openxmlformats-officedocument.spreadsheetml.worksheet+xml" PartName="/xl/worksheets/sheet6347.xml"/>
  <Override ContentType="application/vnd.openxmlformats-officedocument.spreadsheetml.worksheet+xml" PartName="/xl/worksheets/sheet6348.xml"/>
  <Override ContentType="application/vnd.openxmlformats-officedocument.spreadsheetml.worksheet+xml" PartName="/xl/worksheets/sheet6349.xml"/>
  <Override ContentType="application/vnd.openxmlformats-officedocument.spreadsheetml.worksheet+xml" PartName="/xl/worksheets/sheet6350.xml"/>
  <Override ContentType="application/vnd.openxmlformats-officedocument.spreadsheetml.worksheet+xml" PartName="/xl/worksheets/sheet6351.xml"/>
  <Override ContentType="application/vnd.openxmlformats-officedocument.spreadsheetml.worksheet+xml" PartName="/xl/worksheets/sheet6352.xml"/>
  <Override ContentType="application/vnd.openxmlformats-officedocument.spreadsheetml.worksheet+xml" PartName="/xl/worksheets/sheet6353.xml"/>
  <Override ContentType="application/vnd.openxmlformats-officedocument.spreadsheetml.worksheet+xml" PartName="/xl/worksheets/sheet6354.xml"/>
  <Override ContentType="application/vnd.openxmlformats-officedocument.spreadsheetml.worksheet+xml" PartName="/xl/worksheets/sheet6355.xml"/>
  <Override ContentType="application/vnd.openxmlformats-officedocument.spreadsheetml.worksheet+xml" PartName="/xl/worksheets/sheet6356.xml"/>
  <Override ContentType="application/vnd.openxmlformats-officedocument.spreadsheetml.worksheet+xml" PartName="/xl/worksheets/sheet6357.xml"/>
  <Override ContentType="application/vnd.openxmlformats-officedocument.spreadsheetml.worksheet+xml" PartName="/xl/worksheets/sheet6358.xml"/>
  <Override ContentType="application/vnd.openxmlformats-officedocument.spreadsheetml.worksheet+xml" PartName="/xl/worksheets/sheet6359.xml"/>
  <Override ContentType="application/vnd.openxmlformats-officedocument.spreadsheetml.worksheet+xml" PartName="/xl/worksheets/sheet6360.xml"/>
  <Override ContentType="application/vnd.openxmlformats-officedocument.spreadsheetml.worksheet+xml" PartName="/xl/worksheets/sheet6361.xml"/>
  <Override ContentType="application/vnd.openxmlformats-officedocument.spreadsheetml.worksheet+xml" PartName="/xl/worksheets/sheet6362.xml"/>
  <Override ContentType="application/vnd.openxmlformats-officedocument.spreadsheetml.worksheet+xml" PartName="/xl/worksheets/sheet6363.xml"/>
  <Override ContentType="application/vnd.openxmlformats-officedocument.spreadsheetml.worksheet+xml" PartName="/xl/worksheets/sheet6364.xml"/>
  <Override ContentType="application/vnd.openxmlformats-officedocument.spreadsheetml.worksheet+xml" PartName="/xl/worksheets/sheet6365.xml"/>
  <Override ContentType="application/vnd.openxmlformats-officedocument.spreadsheetml.worksheet+xml" PartName="/xl/worksheets/sheet6366.xml"/>
  <Override ContentType="application/vnd.openxmlformats-officedocument.spreadsheetml.worksheet+xml" PartName="/xl/worksheets/sheet6367.xml"/>
  <Override ContentType="application/vnd.openxmlformats-officedocument.spreadsheetml.worksheet+xml" PartName="/xl/worksheets/sheet6368.xml"/>
  <Override ContentType="application/vnd.openxmlformats-officedocument.spreadsheetml.worksheet+xml" PartName="/xl/worksheets/sheet6369.xml"/>
  <Override ContentType="application/vnd.openxmlformats-officedocument.spreadsheetml.worksheet+xml" PartName="/xl/worksheets/sheet6370.xml"/>
  <Override ContentType="application/vnd.openxmlformats-officedocument.spreadsheetml.worksheet+xml" PartName="/xl/worksheets/sheet6371.xml"/>
  <Override ContentType="application/vnd.openxmlformats-officedocument.spreadsheetml.worksheet+xml" PartName="/xl/worksheets/sheet6372.xml"/>
  <Override ContentType="application/vnd.openxmlformats-officedocument.spreadsheetml.worksheet+xml" PartName="/xl/worksheets/sheet6373.xml"/>
  <Override ContentType="application/vnd.openxmlformats-officedocument.spreadsheetml.worksheet+xml" PartName="/xl/worksheets/sheet6374.xml"/>
  <Override ContentType="application/vnd.openxmlformats-officedocument.spreadsheetml.worksheet+xml" PartName="/xl/worksheets/sheet6375.xml"/>
  <Override ContentType="application/vnd.openxmlformats-officedocument.spreadsheetml.worksheet+xml" PartName="/xl/worksheets/sheet6376.xml"/>
  <Override ContentType="application/vnd.openxmlformats-officedocument.spreadsheetml.worksheet+xml" PartName="/xl/worksheets/sheet6377.xml"/>
  <Override ContentType="application/vnd.openxmlformats-officedocument.spreadsheetml.worksheet+xml" PartName="/xl/worksheets/sheet6378.xml"/>
  <Override ContentType="application/vnd.openxmlformats-officedocument.spreadsheetml.worksheet+xml" PartName="/xl/worksheets/sheet6379.xml"/>
  <Override ContentType="application/vnd.openxmlformats-officedocument.spreadsheetml.worksheet+xml" PartName="/xl/worksheets/sheet6380.xml"/>
  <Override ContentType="application/vnd.openxmlformats-officedocument.spreadsheetml.worksheet+xml" PartName="/xl/worksheets/sheet6381.xml"/>
  <Override ContentType="application/vnd.openxmlformats-officedocument.spreadsheetml.worksheet+xml" PartName="/xl/worksheets/sheet6382.xml"/>
  <Override ContentType="application/vnd.openxmlformats-officedocument.spreadsheetml.worksheet+xml" PartName="/xl/worksheets/sheet6383.xml"/>
  <Override ContentType="application/vnd.openxmlformats-officedocument.spreadsheetml.worksheet+xml" PartName="/xl/worksheets/sheet6384.xml"/>
  <Override ContentType="application/vnd.openxmlformats-officedocument.spreadsheetml.worksheet+xml" PartName="/xl/worksheets/sheet6385.xml"/>
  <Override ContentType="application/vnd.openxmlformats-officedocument.spreadsheetml.worksheet+xml" PartName="/xl/worksheets/sheet6386.xml"/>
  <Override ContentType="application/vnd.openxmlformats-officedocument.spreadsheetml.worksheet+xml" PartName="/xl/worksheets/sheet6387.xml"/>
  <Override ContentType="application/vnd.openxmlformats-officedocument.spreadsheetml.worksheet+xml" PartName="/xl/worksheets/sheet6388.xml"/>
  <Override ContentType="application/vnd.openxmlformats-officedocument.spreadsheetml.worksheet+xml" PartName="/xl/worksheets/sheet6389.xml"/>
  <Override ContentType="application/vnd.openxmlformats-officedocument.spreadsheetml.worksheet+xml" PartName="/xl/worksheets/sheet6390.xml"/>
  <Override ContentType="application/vnd.openxmlformats-officedocument.spreadsheetml.worksheet+xml" PartName="/xl/worksheets/sheet6391.xml"/>
  <Override ContentType="application/vnd.openxmlformats-officedocument.spreadsheetml.worksheet+xml" PartName="/xl/worksheets/sheet6392.xml"/>
  <Override ContentType="application/vnd.openxmlformats-officedocument.spreadsheetml.worksheet+xml" PartName="/xl/worksheets/sheet6393.xml"/>
  <Override ContentType="application/vnd.openxmlformats-officedocument.spreadsheetml.worksheet+xml" PartName="/xl/worksheets/sheet6394.xml"/>
  <Override ContentType="application/vnd.openxmlformats-officedocument.spreadsheetml.worksheet+xml" PartName="/xl/worksheets/sheet6395.xml"/>
  <Override ContentType="application/vnd.openxmlformats-officedocument.spreadsheetml.worksheet+xml" PartName="/xl/worksheets/sheet6396.xml"/>
  <Override ContentType="application/vnd.openxmlformats-officedocument.spreadsheetml.worksheet+xml" PartName="/xl/worksheets/sheet6397.xml"/>
  <Override ContentType="application/vnd.openxmlformats-officedocument.spreadsheetml.worksheet+xml" PartName="/xl/worksheets/sheet6398.xml"/>
  <Override ContentType="application/vnd.openxmlformats-officedocument.spreadsheetml.worksheet+xml" PartName="/xl/worksheets/sheet6399.xml"/>
  <Override ContentType="application/vnd.openxmlformats-officedocument.spreadsheetml.worksheet+xml" PartName="/xl/worksheets/sheet6400.xml"/>
  <Override ContentType="application/vnd.openxmlformats-officedocument.spreadsheetml.worksheet+xml" PartName="/xl/worksheets/sheet6401.xml"/>
  <Override ContentType="application/vnd.openxmlformats-officedocument.spreadsheetml.worksheet+xml" PartName="/xl/worksheets/sheet6402.xml"/>
  <Override ContentType="application/vnd.openxmlformats-officedocument.spreadsheetml.worksheet+xml" PartName="/xl/worksheets/sheet6403.xml"/>
  <Override ContentType="application/vnd.openxmlformats-officedocument.spreadsheetml.worksheet+xml" PartName="/xl/worksheets/sheet6404.xml"/>
  <Override ContentType="application/vnd.openxmlformats-officedocument.spreadsheetml.worksheet+xml" PartName="/xl/worksheets/sheet6405.xml"/>
  <Override ContentType="application/vnd.openxmlformats-officedocument.spreadsheetml.worksheet+xml" PartName="/xl/worksheets/sheet6406.xml"/>
  <Override ContentType="application/vnd.openxmlformats-officedocument.spreadsheetml.worksheet+xml" PartName="/xl/worksheets/sheet6407.xml"/>
  <Override ContentType="application/vnd.openxmlformats-officedocument.spreadsheetml.worksheet+xml" PartName="/xl/worksheets/sheet6408.xml"/>
  <Override ContentType="application/vnd.openxmlformats-officedocument.spreadsheetml.worksheet+xml" PartName="/xl/worksheets/sheet6409.xml"/>
  <Override ContentType="application/vnd.openxmlformats-officedocument.spreadsheetml.worksheet+xml" PartName="/xl/worksheets/sheet6410.xml"/>
  <Override ContentType="application/vnd.openxmlformats-officedocument.spreadsheetml.worksheet+xml" PartName="/xl/worksheets/sheet6411.xml"/>
  <Override ContentType="application/vnd.openxmlformats-officedocument.spreadsheetml.worksheet+xml" PartName="/xl/worksheets/sheet6412.xml"/>
  <Override ContentType="application/vnd.openxmlformats-officedocument.spreadsheetml.worksheet+xml" PartName="/xl/worksheets/sheet6413.xml"/>
  <Override ContentType="application/vnd.openxmlformats-officedocument.spreadsheetml.worksheet+xml" PartName="/xl/worksheets/sheet6414.xml"/>
  <Override ContentType="application/vnd.openxmlformats-officedocument.spreadsheetml.worksheet+xml" PartName="/xl/worksheets/sheet6415.xml"/>
  <Override ContentType="application/vnd.openxmlformats-officedocument.spreadsheetml.worksheet+xml" PartName="/xl/worksheets/sheet6416.xml"/>
  <Override ContentType="application/vnd.openxmlformats-officedocument.spreadsheetml.worksheet+xml" PartName="/xl/worksheets/sheet6417.xml"/>
  <Override ContentType="application/vnd.openxmlformats-officedocument.spreadsheetml.worksheet+xml" PartName="/xl/worksheets/sheet6418.xml"/>
  <Override ContentType="application/vnd.openxmlformats-officedocument.spreadsheetml.worksheet+xml" PartName="/xl/worksheets/sheet6419.xml"/>
  <Override ContentType="application/vnd.openxmlformats-officedocument.spreadsheetml.worksheet+xml" PartName="/xl/worksheets/sheet6420.xml"/>
  <Override ContentType="application/vnd.openxmlformats-officedocument.spreadsheetml.worksheet+xml" PartName="/xl/worksheets/sheet6421.xml"/>
  <Override ContentType="application/vnd.openxmlformats-officedocument.spreadsheetml.worksheet+xml" PartName="/xl/worksheets/sheet6422.xml"/>
  <Override ContentType="application/vnd.openxmlformats-officedocument.spreadsheetml.worksheet+xml" PartName="/xl/worksheets/sheet6423.xml"/>
  <Override ContentType="application/vnd.openxmlformats-officedocument.spreadsheetml.worksheet+xml" PartName="/xl/worksheets/sheet6424.xml"/>
  <Override ContentType="application/vnd.openxmlformats-officedocument.spreadsheetml.worksheet+xml" PartName="/xl/worksheets/sheet6425.xml"/>
  <Override ContentType="application/vnd.openxmlformats-officedocument.spreadsheetml.worksheet+xml" PartName="/xl/worksheets/sheet6426.xml"/>
  <Override ContentType="application/vnd.openxmlformats-officedocument.spreadsheetml.worksheet+xml" PartName="/xl/worksheets/sheet6427.xml"/>
  <Override ContentType="application/vnd.openxmlformats-officedocument.spreadsheetml.worksheet+xml" PartName="/xl/worksheets/sheet6428.xml"/>
  <Override ContentType="application/vnd.openxmlformats-officedocument.spreadsheetml.worksheet+xml" PartName="/xl/worksheets/sheet6429.xml"/>
  <Override ContentType="application/vnd.openxmlformats-officedocument.spreadsheetml.worksheet+xml" PartName="/xl/worksheets/sheet6430.xml"/>
  <Override ContentType="application/vnd.openxmlformats-officedocument.spreadsheetml.worksheet+xml" PartName="/xl/worksheets/sheet6431.xml"/>
  <Override ContentType="application/vnd.openxmlformats-officedocument.spreadsheetml.worksheet+xml" PartName="/xl/worksheets/sheet6432.xml"/>
  <Override ContentType="application/vnd.openxmlformats-officedocument.spreadsheetml.worksheet+xml" PartName="/xl/worksheets/sheet6433.xml"/>
  <Override ContentType="application/vnd.openxmlformats-officedocument.spreadsheetml.worksheet+xml" PartName="/xl/worksheets/sheet6434.xml"/>
  <Override ContentType="application/vnd.openxmlformats-officedocument.spreadsheetml.worksheet+xml" PartName="/xl/worksheets/sheet6435.xml"/>
  <Override ContentType="application/vnd.openxmlformats-officedocument.spreadsheetml.worksheet+xml" PartName="/xl/worksheets/sheet6436.xml"/>
  <Override ContentType="application/vnd.openxmlformats-officedocument.spreadsheetml.worksheet+xml" PartName="/xl/worksheets/sheet6437.xml"/>
  <Override ContentType="application/vnd.openxmlformats-officedocument.spreadsheetml.worksheet+xml" PartName="/xl/worksheets/sheet6438.xml"/>
  <Override ContentType="application/vnd.openxmlformats-officedocument.spreadsheetml.worksheet+xml" PartName="/xl/worksheets/sheet6439.xml"/>
  <Override ContentType="application/vnd.openxmlformats-officedocument.spreadsheetml.worksheet+xml" PartName="/xl/worksheets/sheet6440.xml"/>
  <Override ContentType="application/vnd.openxmlformats-officedocument.spreadsheetml.worksheet+xml" PartName="/xl/worksheets/sheet6441.xml"/>
  <Override ContentType="application/vnd.openxmlformats-officedocument.spreadsheetml.worksheet+xml" PartName="/xl/worksheets/sheet6442.xml"/>
  <Override ContentType="application/vnd.openxmlformats-officedocument.spreadsheetml.worksheet+xml" PartName="/xl/worksheets/sheet6443.xml"/>
  <Override ContentType="application/vnd.openxmlformats-officedocument.spreadsheetml.worksheet+xml" PartName="/xl/worksheets/sheet6444.xml"/>
  <Override ContentType="application/vnd.openxmlformats-officedocument.spreadsheetml.worksheet+xml" PartName="/xl/worksheets/sheet6445.xml"/>
  <Override ContentType="application/vnd.openxmlformats-officedocument.spreadsheetml.worksheet+xml" PartName="/xl/worksheets/sheet6446.xml"/>
  <Override ContentType="application/vnd.openxmlformats-officedocument.spreadsheetml.worksheet+xml" PartName="/xl/worksheets/sheet6447.xml"/>
  <Override ContentType="application/vnd.openxmlformats-officedocument.spreadsheetml.worksheet+xml" PartName="/xl/worksheets/sheet6448.xml"/>
  <Override ContentType="application/vnd.openxmlformats-officedocument.spreadsheetml.worksheet+xml" PartName="/xl/worksheets/sheet6449.xml"/>
  <Override ContentType="application/vnd.openxmlformats-officedocument.spreadsheetml.worksheet+xml" PartName="/xl/worksheets/sheet6450.xml"/>
  <Override ContentType="application/vnd.openxmlformats-officedocument.spreadsheetml.worksheet+xml" PartName="/xl/worksheets/sheet6451.xml"/>
  <Override ContentType="application/vnd.openxmlformats-officedocument.spreadsheetml.worksheet+xml" PartName="/xl/worksheets/sheet6452.xml"/>
  <Override ContentType="application/vnd.openxmlformats-officedocument.spreadsheetml.worksheet+xml" PartName="/xl/worksheets/sheet6453.xml"/>
  <Override ContentType="application/vnd.openxmlformats-officedocument.spreadsheetml.worksheet+xml" PartName="/xl/worksheets/sheet6454.xml"/>
  <Override ContentType="application/vnd.openxmlformats-officedocument.spreadsheetml.worksheet+xml" PartName="/xl/worksheets/sheet6455.xml"/>
  <Override ContentType="application/vnd.openxmlformats-officedocument.spreadsheetml.worksheet+xml" PartName="/xl/worksheets/sheet6456.xml"/>
  <Override ContentType="application/vnd.openxmlformats-officedocument.spreadsheetml.worksheet+xml" PartName="/xl/worksheets/sheet6457.xml"/>
  <Override ContentType="application/vnd.openxmlformats-officedocument.spreadsheetml.worksheet+xml" PartName="/xl/worksheets/sheet6458.xml"/>
  <Override ContentType="application/vnd.openxmlformats-officedocument.spreadsheetml.worksheet+xml" PartName="/xl/worksheets/sheet6459.xml"/>
  <Override ContentType="application/vnd.openxmlformats-officedocument.spreadsheetml.worksheet+xml" PartName="/xl/worksheets/sheet6460.xml"/>
  <Override ContentType="application/vnd.openxmlformats-officedocument.spreadsheetml.worksheet+xml" PartName="/xl/worksheets/sheet6461.xml"/>
  <Override ContentType="application/vnd.openxmlformats-officedocument.spreadsheetml.worksheet+xml" PartName="/xl/worksheets/sheet6462.xml"/>
  <Override ContentType="application/vnd.openxmlformats-officedocument.spreadsheetml.worksheet+xml" PartName="/xl/worksheets/sheet6463.xml"/>
  <Override ContentType="application/vnd.openxmlformats-officedocument.spreadsheetml.worksheet+xml" PartName="/xl/worksheets/sheet6464.xml"/>
  <Override ContentType="application/vnd.openxmlformats-officedocument.spreadsheetml.worksheet+xml" PartName="/xl/worksheets/sheet6465.xml"/>
  <Override ContentType="application/vnd.openxmlformats-officedocument.spreadsheetml.worksheet+xml" PartName="/xl/worksheets/sheet6466.xml"/>
  <Override ContentType="application/vnd.openxmlformats-officedocument.spreadsheetml.worksheet+xml" PartName="/xl/worksheets/sheet6467.xml"/>
  <Override ContentType="application/vnd.openxmlformats-officedocument.spreadsheetml.worksheet+xml" PartName="/xl/worksheets/sheet6468.xml"/>
  <Override ContentType="application/vnd.openxmlformats-officedocument.spreadsheetml.worksheet+xml" PartName="/xl/worksheets/sheet6469.xml"/>
  <Override ContentType="application/vnd.openxmlformats-officedocument.spreadsheetml.worksheet+xml" PartName="/xl/worksheets/sheet6470.xml"/>
  <Override ContentType="application/vnd.openxmlformats-officedocument.spreadsheetml.worksheet+xml" PartName="/xl/worksheets/sheet6471.xml"/>
  <Override ContentType="application/vnd.openxmlformats-officedocument.spreadsheetml.worksheet+xml" PartName="/xl/worksheets/sheet6472.xml"/>
  <Override ContentType="application/vnd.openxmlformats-officedocument.spreadsheetml.worksheet+xml" PartName="/xl/worksheets/sheet6473.xml"/>
  <Override ContentType="application/vnd.openxmlformats-officedocument.spreadsheetml.worksheet+xml" PartName="/xl/worksheets/sheet6474.xml"/>
  <Override ContentType="application/vnd.openxmlformats-officedocument.spreadsheetml.worksheet+xml" PartName="/xl/worksheets/sheet6475.xml"/>
  <Override ContentType="application/vnd.openxmlformats-officedocument.spreadsheetml.worksheet+xml" PartName="/xl/worksheets/sheet6476.xml"/>
  <Override ContentType="application/vnd.openxmlformats-officedocument.spreadsheetml.worksheet+xml" PartName="/xl/worksheets/sheet6477.xml"/>
  <Override ContentType="application/vnd.openxmlformats-officedocument.spreadsheetml.worksheet+xml" PartName="/xl/worksheets/sheet6478.xml"/>
  <Override ContentType="application/vnd.openxmlformats-officedocument.spreadsheetml.worksheet+xml" PartName="/xl/worksheets/sheet6479.xml"/>
  <Override ContentType="application/vnd.openxmlformats-officedocument.spreadsheetml.worksheet+xml" PartName="/xl/worksheets/sheet6480.xml"/>
  <Override ContentType="application/vnd.openxmlformats-officedocument.spreadsheetml.worksheet+xml" PartName="/xl/worksheets/sheet6481.xml"/>
  <Override ContentType="application/vnd.openxmlformats-officedocument.spreadsheetml.worksheet+xml" PartName="/xl/worksheets/sheet6482.xml"/>
  <Override ContentType="application/vnd.openxmlformats-officedocument.spreadsheetml.worksheet+xml" PartName="/xl/worksheets/sheet6483.xml"/>
  <Override ContentType="application/vnd.openxmlformats-officedocument.spreadsheetml.worksheet+xml" PartName="/xl/worksheets/sheet6484.xml"/>
  <Override ContentType="application/vnd.openxmlformats-officedocument.spreadsheetml.worksheet+xml" PartName="/xl/worksheets/sheet6485.xml"/>
  <Override ContentType="application/vnd.openxmlformats-officedocument.spreadsheetml.worksheet+xml" PartName="/xl/worksheets/sheet6486.xml"/>
  <Override ContentType="application/vnd.openxmlformats-officedocument.spreadsheetml.worksheet+xml" PartName="/xl/worksheets/sheet6487.xml"/>
  <Override ContentType="application/vnd.openxmlformats-officedocument.spreadsheetml.worksheet+xml" PartName="/xl/worksheets/sheet6488.xml"/>
  <Override ContentType="application/vnd.openxmlformats-officedocument.spreadsheetml.worksheet+xml" PartName="/xl/worksheets/sheet6489.xml"/>
  <Override ContentType="application/vnd.openxmlformats-officedocument.spreadsheetml.worksheet+xml" PartName="/xl/worksheets/sheet6490.xml"/>
  <Override ContentType="application/vnd.openxmlformats-officedocument.spreadsheetml.worksheet+xml" PartName="/xl/worksheets/sheet6491.xml"/>
  <Override ContentType="application/vnd.openxmlformats-officedocument.spreadsheetml.worksheet+xml" PartName="/xl/worksheets/sheet6492.xml"/>
  <Override ContentType="application/vnd.openxmlformats-officedocument.spreadsheetml.worksheet+xml" PartName="/xl/worksheets/sheet6493.xml"/>
  <Override ContentType="application/vnd.openxmlformats-officedocument.spreadsheetml.worksheet+xml" PartName="/xl/worksheets/sheet6494.xml"/>
  <Override ContentType="application/vnd.openxmlformats-officedocument.spreadsheetml.worksheet+xml" PartName="/xl/worksheets/sheet6495.xml"/>
  <Override ContentType="application/vnd.openxmlformats-officedocument.spreadsheetml.worksheet+xml" PartName="/xl/worksheets/sheet6496.xml"/>
  <Override ContentType="application/vnd.openxmlformats-officedocument.spreadsheetml.worksheet+xml" PartName="/xl/worksheets/sheet6497.xml"/>
  <Override ContentType="application/vnd.openxmlformats-officedocument.spreadsheetml.worksheet+xml" PartName="/xl/worksheets/sheet6498.xml"/>
  <Override ContentType="application/vnd.openxmlformats-officedocument.spreadsheetml.worksheet+xml" PartName="/xl/worksheets/sheet6499.xml"/>
  <Override ContentType="application/vnd.openxmlformats-officedocument.spreadsheetml.worksheet+xml" PartName="/xl/worksheets/sheet6500.xml"/>
  <Override ContentType="application/vnd.openxmlformats-officedocument.spreadsheetml.worksheet+xml" PartName="/xl/worksheets/sheet6501.xml"/>
  <Override ContentType="application/vnd.openxmlformats-officedocument.spreadsheetml.worksheet+xml" PartName="/xl/worksheets/sheet6502.xml"/>
  <Override ContentType="application/vnd.openxmlformats-officedocument.spreadsheetml.worksheet+xml" PartName="/xl/worksheets/sheet6503.xml"/>
  <Override ContentType="application/vnd.openxmlformats-officedocument.spreadsheetml.worksheet+xml" PartName="/xl/worksheets/sheet6504.xml"/>
  <Override ContentType="application/vnd.openxmlformats-officedocument.spreadsheetml.worksheet+xml" PartName="/xl/worksheets/sheet6505.xml"/>
  <Override ContentType="application/vnd.openxmlformats-officedocument.spreadsheetml.worksheet+xml" PartName="/xl/worksheets/sheet6506.xml"/>
  <Override ContentType="application/vnd.openxmlformats-officedocument.spreadsheetml.worksheet+xml" PartName="/xl/worksheets/sheet6507.xml"/>
  <Override ContentType="application/vnd.openxmlformats-officedocument.spreadsheetml.worksheet+xml" PartName="/xl/worksheets/sheet6508.xml"/>
  <Override ContentType="application/vnd.openxmlformats-officedocument.spreadsheetml.worksheet+xml" PartName="/xl/worksheets/sheet6509.xml"/>
  <Override ContentType="application/vnd.openxmlformats-officedocument.spreadsheetml.worksheet+xml" PartName="/xl/worksheets/sheet6510.xml"/>
  <Override ContentType="application/vnd.openxmlformats-officedocument.spreadsheetml.worksheet+xml" PartName="/xl/worksheets/sheet6511.xml"/>
  <Override ContentType="application/vnd.openxmlformats-officedocument.spreadsheetml.worksheet+xml" PartName="/xl/worksheets/sheet6512.xml"/>
  <Override ContentType="application/vnd.openxmlformats-officedocument.spreadsheetml.worksheet+xml" PartName="/xl/worksheets/sheet6513.xml"/>
  <Override ContentType="application/vnd.openxmlformats-officedocument.spreadsheetml.worksheet+xml" PartName="/xl/worksheets/sheet6514.xml"/>
  <Override ContentType="application/vnd.openxmlformats-officedocument.spreadsheetml.worksheet+xml" PartName="/xl/worksheets/sheet6515.xml"/>
  <Override ContentType="application/vnd.openxmlformats-officedocument.spreadsheetml.worksheet+xml" PartName="/xl/worksheets/sheet6516.xml"/>
  <Override ContentType="application/vnd.openxmlformats-officedocument.spreadsheetml.worksheet+xml" PartName="/xl/worksheets/sheet6517.xml"/>
  <Override ContentType="application/vnd.openxmlformats-officedocument.spreadsheetml.worksheet+xml" PartName="/xl/worksheets/sheet6518.xml"/>
  <Override ContentType="application/vnd.openxmlformats-officedocument.spreadsheetml.worksheet+xml" PartName="/xl/worksheets/sheet6519.xml"/>
  <Override ContentType="application/vnd.openxmlformats-officedocument.spreadsheetml.worksheet+xml" PartName="/xl/worksheets/sheet6520.xml"/>
  <Override ContentType="application/vnd.openxmlformats-officedocument.spreadsheetml.worksheet+xml" PartName="/xl/worksheets/sheet6521.xml"/>
  <Override ContentType="application/vnd.openxmlformats-officedocument.spreadsheetml.worksheet+xml" PartName="/xl/worksheets/sheet6522.xml"/>
  <Override ContentType="application/vnd.openxmlformats-officedocument.spreadsheetml.worksheet+xml" PartName="/xl/worksheets/sheet6523.xml"/>
  <Override ContentType="application/vnd.openxmlformats-officedocument.spreadsheetml.worksheet+xml" PartName="/xl/worksheets/sheet6524.xml"/>
  <Override ContentType="application/vnd.openxmlformats-officedocument.spreadsheetml.worksheet+xml" PartName="/xl/worksheets/sheet6525.xml"/>
  <Override ContentType="application/vnd.openxmlformats-officedocument.spreadsheetml.worksheet+xml" PartName="/xl/worksheets/sheet6526.xml"/>
  <Override ContentType="application/vnd.openxmlformats-officedocument.spreadsheetml.worksheet+xml" PartName="/xl/worksheets/sheet6527.xml"/>
  <Override ContentType="application/vnd.openxmlformats-officedocument.spreadsheetml.worksheet+xml" PartName="/xl/worksheets/sheet6528.xml"/>
  <Override ContentType="application/vnd.openxmlformats-officedocument.spreadsheetml.worksheet+xml" PartName="/xl/worksheets/sheet6529.xml"/>
  <Override ContentType="application/vnd.openxmlformats-officedocument.spreadsheetml.worksheet+xml" PartName="/xl/worksheets/sheet6530.xml"/>
  <Override ContentType="application/vnd.openxmlformats-officedocument.spreadsheetml.worksheet+xml" PartName="/xl/worksheets/sheet6531.xml"/>
  <Override ContentType="application/vnd.openxmlformats-officedocument.spreadsheetml.worksheet+xml" PartName="/xl/worksheets/sheet6532.xml"/>
  <Override ContentType="application/vnd.openxmlformats-officedocument.spreadsheetml.worksheet+xml" PartName="/xl/worksheets/sheet6533.xml"/>
  <Override ContentType="application/vnd.openxmlformats-officedocument.spreadsheetml.worksheet+xml" PartName="/xl/worksheets/sheet6534.xml"/>
  <Override ContentType="application/vnd.openxmlformats-officedocument.spreadsheetml.worksheet+xml" PartName="/xl/worksheets/sheet6535.xml"/>
  <Override ContentType="application/vnd.openxmlformats-officedocument.spreadsheetml.worksheet+xml" PartName="/xl/worksheets/sheet6536.xml"/>
  <Override ContentType="application/vnd.openxmlformats-officedocument.spreadsheetml.worksheet+xml" PartName="/xl/worksheets/sheet6537.xml"/>
  <Override ContentType="application/vnd.openxmlformats-officedocument.spreadsheetml.worksheet+xml" PartName="/xl/worksheets/sheet6538.xml"/>
  <Override ContentType="application/vnd.openxmlformats-officedocument.spreadsheetml.worksheet+xml" PartName="/xl/worksheets/sheet6539.xml"/>
  <Override ContentType="application/vnd.openxmlformats-officedocument.spreadsheetml.worksheet+xml" PartName="/xl/worksheets/sheet6540.xml"/>
  <Override ContentType="application/vnd.openxmlformats-officedocument.spreadsheetml.worksheet+xml" PartName="/xl/worksheets/sheet6541.xml"/>
  <Override ContentType="application/vnd.openxmlformats-officedocument.spreadsheetml.worksheet+xml" PartName="/xl/worksheets/sheet6542.xml"/>
  <Override ContentType="application/vnd.openxmlformats-officedocument.spreadsheetml.worksheet+xml" PartName="/xl/worksheets/sheet6543.xml"/>
  <Override ContentType="application/vnd.openxmlformats-officedocument.spreadsheetml.worksheet+xml" PartName="/xl/worksheets/sheet6544.xml"/>
  <Override ContentType="application/vnd.openxmlformats-officedocument.spreadsheetml.worksheet+xml" PartName="/xl/worksheets/sheet6545.xml"/>
  <Override ContentType="application/vnd.openxmlformats-officedocument.spreadsheetml.worksheet+xml" PartName="/xl/worksheets/sheet6546.xml"/>
  <Override ContentType="application/vnd.openxmlformats-officedocument.spreadsheetml.worksheet+xml" PartName="/xl/worksheets/sheet6547.xml"/>
  <Override ContentType="application/vnd.openxmlformats-officedocument.spreadsheetml.worksheet+xml" PartName="/xl/worksheets/sheet6548.xml"/>
  <Override ContentType="application/vnd.openxmlformats-officedocument.spreadsheetml.worksheet+xml" PartName="/xl/worksheets/sheet6549.xml"/>
  <Override ContentType="application/vnd.openxmlformats-officedocument.spreadsheetml.worksheet+xml" PartName="/xl/worksheets/sheet6550.xml"/>
  <Override ContentType="application/vnd.openxmlformats-officedocument.spreadsheetml.worksheet+xml" PartName="/xl/worksheets/sheet6551.xml"/>
  <Override ContentType="application/vnd.openxmlformats-officedocument.spreadsheetml.worksheet+xml" PartName="/xl/worksheets/sheet6552.xml"/>
  <Override ContentType="application/vnd.openxmlformats-officedocument.spreadsheetml.worksheet+xml" PartName="/xl/worksheets/sheet6553.xml"/>
  <Override ContentType="application/vnd.openxmlformats-officedocument.spreadsheetml.worksheet+xml" PartName="/xl/worksheets/sheet6554.xml"/>
  <Override ContentType="application/vnd.openxmlformats-officedocument.spreadsheetml.worksheet+xml" PartName="/xl/worksheets/sheet6555.xml"/>
  <Override ContentType="application/vnd.openxmlformats-officedocument.spreadsheetml.worksheet+xml" PartName="/xl/worksheets/sheet6556.xml"/>
  <Override ContentType="application/vnd.openxmlformats-officedocument.spreadsheetml.worksheet+xml" PartName="/xl/worksheets/sheet6557.xml"/>
  <Override ContentType="application/vnd.openxmlformats-officedocument.spreadsheetml.worksheet+xml" PartName="/xl/worksheets/sheet6558.xml"/>
  <Override ContentType="application/vnd.openxmlformats-officedocument.spreadsheetml.worksheet+xml" PartName="/xl/worksheets/sheet6559.xml"/>
  <Override ContentType="application/vnd.openxmlformats-officedocument.spreadsheetml.worksheet+xml" PartName="/xl/worksheets/sheet6560.xml"/>
  <Override ContentType="application/vnd.openxmlformats-officedocument.spreadsheetml.worksheet+xml" PartName="/xl/worksheets/sheet6561.xml"/>
  <Override ContentType="application/vnd.openxmlformats-officedocument.spreadsheetml.worksheet+xml" PartName="/xl/worksheets/sheet6562.xml"/>
  <Override ContentType="application/vnd.openxmlformats-officedocument.spreadsheetml.worksheet+xml" PartName="/xl/worksheets/sheet6563.xml"/>
  <Override ContentType="application/vnd.openxmlformats-officedocument.spreadsheetml.worksheet+xml" PartName="/xl/worksheets/sheet6564.xml"/>
  <Override ContentType="application/vnd.openxmlformats-officedocument.spreadsheetml.worksheet+xml" PartName="/xl/worksheets/sheet6565.xml"/>
  <Override ContentType="application/vnd.openxmlformats-officedocument.spreadsheetml.worksheet+xml" PartName="/xl/worksheets/sheet6566.xml"/>
  <Override ContentType="application/vnd.openxmlformats-officedocument.spreadsheetml.worksheet+xml" PartName="/xl/worksheets/sheet6567.xml"/>
  <Override ContentType="application/vnd.openxmlformats-officedocument.spreadsheetml.worksheet+xml" PartName="/xl/worksheets/sheet6568.xml"/>
  <Override ContentType="application/vnd.openxmlformats-officedocument.spreadsheetml.worksheet+xml" PartName="/xl/worksheets/sheet6569.xml"/>
  <Override ContentType="application/vnd.openxmlformats-officedocument.spreadsheetml.worksheet+xml" PartName="/xl/worksheets/sheet6570.xml"/>
  <Override ContentType="application/vnd.openxmlformats-officedocument.spreadsheetml.worksheet+xml" PartName="/xl/worksheets/sheet6571.xml"/>
  <Override ContentType="application/vnd.openxmlformats-officedocument.spreadsheetml.worksheet+xml" PartName="/xl/worksheets/sheet6572.xml"/>
  <Override ContentType="application/vnd.openxmlformats-officedocument.spreadsheetml.worksheet+xml" PartName="/xl/worksheets/sheet6573.xml"/>
  <Override ContentType="application/vnd.openxmlformats-officedocument.spreadsheetml.worksheet+xml" PartName="/xl/worksheets/sheet6574.xml"/>
  <Override ContentType="application/vnd.openxmlformats-officedocument.spreadsheetml.worksheet+xml" PartName="/xl/worksheets/sheet6575.xml"/>
  <Override ContentType="application/vnd.openxmlformats-officedocument.spreadsheetml.worksheet+xml" PartName="/xl/worksheets/sheet6576.xml"/>
  <Override ContentType="application/vnd.openxmlformats-officedocument.spreadsheetml.worksheet+xml" PartName="/xl/worksheets/sheet6577.xml"/>
  <Override ContentType="application/vnd.openxmlformats-officedocument.spreadsheetml.worksheet+xml" PartName="/xl/worksheets/sheet6578.xml"/>
  <Override ContentType="application/vnd.openxmlformats-officedocument.spreadsheetml.worksheet+xml" PartName="/xl/worksheets/sheet6579.xml"/>
  <Override ContentType="application/vnd.openxmlformats-officedocument.spreadsheetml.worksheet+xml" PartName="/xl/worksheets/sheet6580.xml"/>
  <Override ContentType="application/vnd.openxmlformats-officedocument.spreadsheetml.worksheet+xml" PartName="/xl/worksheets/sheet6581.xml"/>
  <Override ContentType="application/vnd.openxmlformats-officedocument.spreadsheetml.worksheet+xml" PartName="/xl/worksheets/sheet6582.xml"/>
  <Override ContentType="application/vnd.openxmlformats-officedocument.spreadsheetml.worksheet+xml" PartName="/xl/worksheets/sheet6583.xml"/>
  <Override ContentType="application/vnd.openxmlformats-officedocument.spreadsheetml.worksheet+xml" PartName="/xl/worksheets/sheet6584.xml"/>
  <Override ContentType="application/vnd.openxmlformats-officedocument.spreadsheetml.worksheet+xml" PartName="/xl/worksheets/sheet6585.xml"/>
  <Override ContentType="application/vnd.openxmlformats-officedocument.spreadsheetml.worksheet+xml" PartName="/xl/worksheets/sheet6586.xml"/>
  <Override ContentType="application/vnd.openxmlformats-officedocument.spreadsheetml.worksheet+xml" PartName="/xl/worksheets/sheet6587.xml"/>
  <Override ContentType="application/vnd.openxmlformats-officedocument.spreadsheetml.worksheet+xml" PartName="/xl/worksheets/sheet6588.xml"/>
  <Override ContentType="application/vnd.openxmlformats-officedocument.spreadsheetml.worksheet+xml" PartName="/xl/worksheets/sheet6589.xml"/>
  <Override ContentType="application/vnd.openxmlformats-officedocument.spreadsheetml.worksheet+xml" PartName="/xl/worksheets/sheet6590.xml"/>
  <Override ContentType="application/vnd.openxmlformats-officedocument.spreadsheetml.worksheet+xml" PartName="/xl/worksheets/sheet6591.xml"/>
  <Override ContentType="application/vnd.openxmlformats-officedocument.spreadsheetml.worksheet+xml" PartName="/xl/worksheets/sheet6592.xml"/>
  <Override ContentType="application/vnd.openxmlformats-officedocument.spreadsheetml.worksheet+xml" PartName="/xl/worksheets/sheet6593.xml"/>
  <Override ContentType="application/vnd.openxmlformats-officedocument.spreadsheetml.worksheet+xml" PartName="/xl/worksheets/sheet6594.xml"/>
  <Override ContentType="application/vnd.openxmlformats-officedocument.spreadsheetml.worksheet+xml" PartName="/xl/worksheets/sheet6595.xml"/>
  <Override ContentType="application/vnd.openxmlformats-officedocument.spreadsheetml.worksheet+xml" PartName="/xl/worksheets/sheet6596.xml"/>
  <Override ContentType="application/vnd.openxmlformats-officedocument.spreadsheetml.worksheet+xml" PartName="/xl/worksheets/sheet6597.xml"/>
  <Override ContentType="application/vnd.openxmlformats-officedocument.spreadsheetml.worksheet+xml" PartName="/xl/worksheets/sheet6598.xml"/>
  <Override ContentType="application/vnd.openxmlformats-officedocument.spreadsheetml.worksheet+xml" PartName="/xl/worksheets/sheet6599.xml"/>
  <Override ContentType="application/vnd.openxmlformats-officedocument.spreadsheetml.worksheet+xml" PartName="/xl/worksheets/sheet6600.xml"/>
  <Override ContentType="application/vnd.openxmlformats-officedocument.spreadsheetml.worksheet+xml" PartName="/xl/worksheets/sheet6601.xml"/>
  <Override ContentType="application/vnd.openxmlformats-officedocument.spreadsheetml.worksheet+xml" PartName="/xl/worksheets/sheet6602.xml"/>
  <Override ContentType="application/vnd.openxmlformats-officedocument.spreadsheetml.worksheet+xml" PartName="/xl/worksheets/sheet6603.xml"/>
  <Override ContentType="application/vnd.openxmlformats-officedocument.spreadsheetml.worksheet+xml" PartName="/xl/worksheets/sheet6604.xml"/>
  <Override ContentType="application/vnd.openxmlformats-officedocument.spreadsheetml.worksheet+xml" PartName="/xl/worksheets/sheet6605.xml"/>
  <Override ContentType="application/vnd.openxmlformats-officedocument.spreadsheetml.worksheet+xml" PartName="/xl/worksheets/sheet6606.xml"/>
  <Override ContentType="application/vnd.openxmlformats-officedocument.spreadsheetml.worksheet+xml" PartName="/xl/worksheets/sheet6607.xml"/>
  <Override ContentType="application/vnd.openxmlformats-officedocument.spreadsheetml.worksheet+xml" PartName="/xl/worksheets/sheet6608.xml"/>
  <Override ContentType="application/vnd.openxmlformats-officedocument.spreadsheetml.worksheet+xml" PartName="/xl/worksheets/sheet6609.xml"/>
  <Override ContentType="application/vnd.openxmlformats-officedocument.spreadsheetml.worksheet+xml" PartName="/xl/worksheets/sheet6610.xml"/>
  <Override ContentType="application/vnd.openxmlformats-officedocument.spreadsheetml.worksheet+xml" PartName="/xl/worksheets/sheet6611.xml"/>
  <Override ContentType="application/vnd.openxmlformats-officedocument.spreadsheetml.worksheet+xml" PartName="/xl/worksheets/sheet6612.xml"/>
  <Override ContentType="application/vnd.openxmlformats-officedocument.spreadsheetml.worksheet+xml" PartName="/xl/worksheets/sheet6613.xml"/>
  <Override ContentType="application/vnd.openxmlformats-officedocument.spreadsheetml.worksheet+xml" PartName="/xl/worksheets/sheet6614.xml"/>
  <Override ContentType="application/vnd.openxmlformats-officedocument.spreadsheetml.worksheet+xml" PartName="/xl/worksheets/sheet6615.xml"/>
  <Override ContentType="application/vnd.openxmlformats-officedocument.spreadsheetml.worksheet+xml" PartName="/xl/worksheets/sheet6616.xml"/>
  <Override ContentType="application/vnd.openxmlformats-officedocument.spreadsheetml.worksheet+xml" PartName="/xl/worksheets/sheet6617.xml"/>
  <Override ContentType="application/vnd.openxmlformats-officedocument.spreadsheetml.worksheet+xml" PartName="/xl/worksheets/sheet6618.xml"/>
  <Override ContentType="application/vnd.openxmlformats-officedocument.spreadsheetml.worksheet+xml" PartName="/xl/worksheets/sheet6619.xml"/>
  <Override ContentType="application/vnd.openxmlformats-officedocument.spreadsheetml.worksheet+xml" PartName="/xl/worksheets/sheet6620.xml"/>
  <Override ContentType="application/vnd.openxmlformats-officedocument.spreadsheetml.worksheet+xml" PartName="/xl/worksheets/sheet6621.xml"/>
  <Override ContentType="application/vnd.openxmlformats-officedocument.spreadsheetml.worksheet+xml" PartName="/xl/worksheets/sheet6622.xml"/>
  <Override ContentType="application/vnd.openxmlformats-officedocument.spreadsheetml.worksheet+xml" PartName="/xl/worksheets/sheet6623.xml"/>
  <Override ContentType="application/vnd.openxmlformats-officedocument.spreadsheetml.worksheet+xml" PartName="/xl/worksheets/sheet6624.xml"/>
  <Override ContentType="application/vnd.openxmlformats-officedocument.spreadsheetml.worksheet+xml" PartName="/xl/worksheets/sheet6625.xml"/>
  <Override ContentType="application/vnd.openxmlformats-officedocument.spreadsheetml.worksheet+xml" PartName="/xl/worksheets/sheet6626.xml"/>
  <Override ContentType="application/vnd.openxmlformats-officedocument.spreadsheetml.worksheet+xml" PartName="/xl/worksheets/sheet6627.xml"/>
  <Override ContentType="application/vnd.openxmlformats-officedocument.spreadsheetml.worksheet+xml" PartName="/xl/worksheets/sheet6628.xml"/>
  <Override ContentType="application/vnd.openxmlformats-officedocument.spreadsheetml.worksheet+xml" PartName="/xl/worksheets/sheet6629.xml"/>
  <Override ContentType="application/vnd.openxmlformats-officedocument.spreadsheetml.worksheet+xml" PartName="/xl/worksheets/sheet6630.xml"/>
  <Override ContentType="application/vnd.openxmlformats-officedocument.spreadsheetml.worksheet+xml" PartName="/xl/worksheets/sheet6631.xml"/>
  <Override ContentType="application/vnd.openxmlformats-officedocument.spreadsheetml.worksheet+xml" PartName="/xl/worksheets/sheet6632.xml"/>
  <Override ContentType="application/vnd.openxmlformats-officedocument.spreadsheetml.worksheet+xml" PartName="/xl/worksheets/sheet6633.xml"/>
  <Override ContentType="application/vnd.openxmlformats-officedocument.spreadsheetml.worksheet+xml" PartName="/xl/worksheets/sheet6634.xml"/>
  <Override ContentType="application/vnd.openxmlformats-officedocument.spreadsheetml.worksheet+xml" PartName="/xl/worksheets/sheet6635.xml"/>
  <Override ContentType="application/vnd.openxmlformats-officedocument.spreadsheetml.worksheet+xml" PartName="/xl/worksheets/sheet6636.xml"/>
  <Override ContentType="application/vnd.openxmlformats-officedocument.spreadsheetml.worksheet+xml" PartName="/xl/worksheets/sheet6637.xml"/>
  <Override ContentType="application/vnd.openxmlformats-officedocument.spreadsheetml.worksheet+xml" PartName="/xl/worksheets/sheet6638.xml"/>
  <Override ContentType="application/vnd.openxmlformats-officedocument.spreadsheetml.worksheet+xml" PartName="/xl/worksheets/sheet6639.xml"/>
  <Override ContentType="application/vnd.openxmlformats-officedocument.spreadsheetml.worksheet+xml" PartName="/xl/worksheets/sheet6640.xml"/>
  <Override ContentType="application/vnd.openxmlformats-officedocument.spreadsheetml.worksheet+xml" PartName="/xl/worksheets/sheet6641.xml"/>
  <Override ContentType="application/vnd.openxmlformats-officedocument.spreadsheetml.worksheet+xml" PartName="/xl/worksheets/sheet6642.xml"/>
  <Override ContentType="application/vnd.openxmlformats-officedocument.spreadsheetml.worksheet+xml" PartName="/xl/worksheets/sheet6643.xml"/>
  <Override ContentType="application/vnd.openxmlformats-officedocument.spreadsheetml.worksheet+xml" PartName="/xl/worksheets/sheet6644.xml"/>
  <Override ContentType="application/vnd.openxmlformats-officedocument.spreadsheetml.worksheet+xml" PartName="/xl/worksheets/sheet6645.xml"/>
  <Override ContentType="application/vnd.openxmlformats-officedocument.spreadsheetml.worksheet+xml" PartName="/xl/worksheets/sheet6646.xml"/>
  <Override ContentType="application/vnd.openxmlformats-officedocument.spreadsheetml.worksheet+xml" PartName="/xl/worksheets/sheet6647.xml"/>
  <Override ContentType="application/vnd.openxmlformats-officedocument.spreadsheetml.worksheet+xml" PartName="/xl/worksheets/sheet6648.xml"/>
  <Override ContentType="application/vnd.openxmlformats-officedocument.spreadsheetml.worksheet+xml" PartName="/xl/worksheets/sheet6649.xml"/>
  <Override ContentType="application/vnd.openxmlformats-officedocument.spreadsheetml.worksheet+xml" PartName="/xl/worksheets/sheet6650.xml"/>
  <Override ContentType="application/vnd.openxmlformats-officedocument.spreadsheetml.worksheet+xml" PartName="/xl/worksheets/sheet6651.xml"/>
  <Override ContentType="application/vnd.openxmlformats-officedocument.spreadsheetml.worksheet+xml" PartName="/xl/worksheets/sheet6652.xml"/>
  <Override ContentType="application/vnd.openxmlformats-officedocument.spreadsheetml.worksheet+xml" PartName="/xl/worksheets/sheet6653.xml"/>
  <Override ContentType="application/vnd.openxmlformats-officedocument.spreadsheetml.worksheet+xml" PartName="/xl/worksheets/sheet6654.xml"/>
  <Override ContentType="application/vnd.openxmlformats-officedocument.spreadsheetml.worksheet+xml" PartName="/xl/worksheets/sheet6655.xml"/>
  <Override ContentType="application/vnd.openxmlformats-officedocument.spreadsheetml.worksheet+xml" PartName="/xl/worksheets/sheet6656.xml"/>
  <Override ContentType="application/vnd.openxmlformats-officedocument.spreadsheetml.worksheet+xml" PartName="/xl/worksheets/sheet6657.xml"/>
  <Override ContentType="application/vnd.openxmlformats-officedocument.spreadsheetml.worksheet+xml" PartName="/xl/worksheets/sheet6658.xml"/>
  <Override ContentType="application/vnd.openxmlformats-officedocument.spreadsheetml.worksheet+xml" PartName="/xl/worksheets/sheet6659.xml"/>
  <Override ContentType="application/vnd.openxmlformats-officedocument.spreadsheetml.worksheet+xml" PartName="/xl/worksheets/sheet6660.xml"/>
  <Override ContentType="application/vnd.openxmlformats-officedocument.spreadsheetml.worksheet+xml" PartName="/xl/worksheets/sheet6661.xml"/>
  <Override ContentType="application/vnd.openxmlformats-officedocument.spreadsheetml.worksheet+xml" PartName="/xl/worksheets/sheet6662.xml"/>
  <Override ContentType="application/vnd.openxmlformats-officedocument.spreadsheetml.worksheet+xml" PartName="/xl/worksheets/sheet6663.xml"/>
  <Override ContentType="application/vnd.openxmlformats-officedocument.spreadsheetml.worksheet+xml" PartName="/xl/worksheets/sheet6664.xml"/>
  <Override ContentType="application/vnd.openxmlformats-officedocument.spreadsheetml.worksheet+xml" PartName="/xl/worksheets/sheet6665.xml"/>
  <Override ContentType="application/vnd.openxmlformats-officedocument.spreadsheetml.worksheet+xml" PartName="/xl/worksheets/sheet6666.xml"/>
  <Override ContentType="application/vnd.openxmlformats-officedocument.spreadsheetml.worksheet+xml" PartName="/xl/worksheets/sheet6667.xml"/>
  <Override ContentType="application/vnd.openxmlformats-officedocument.spreadsheetml.worksheet+xml" PartName="/xl/worksheets/sheet6668.xml"/>
  <Override ContentType="application/vnd.openxmlformats-officedocument.spreadsheetml.worksheet+xml" PartName="/xl/worksheets/sheet6669.xml"/>
  <Override ContentType="application/vnd.openxmlformats-officedocument.spreadsheetml.worksheet+xml" PartName="/xl/worksheets/sheet6670.xml"/>
  <Override ContentType="application/vnd.openxmlformats-officedocument.spreadsheetml.worksheet+xml" PartName="/xl/worksheets/sheet6671.xml"/>
  <Override ContentType="application/vnd.openxmlformats-officedocument.spreadsheetml.worksheet+xml" PartName="/xl/worksheets/sheet6672.xml"/>
  <Override ContentType="application/vnd.openxmlformats-officedocument.spreadsheetml.worksheet+xml" PartName="/xl/worksheets/sheet6673.xml"/>
  <Override ContentType="application/vnd.openxmlformats-officedocument.spreadsheetml.worksheet+xml" PartName="/xl/worksheets/sheet6674.xml"/>
  <Override ContentType="application/vnd.openxmlformats-officedocument.spreadsheetml.worksheet+xml" PartName="/xl/worksheets/sheet6675.xml"/>
  <Override ContentType="application/vnd.openxmlformats-officedocument.spreadsheetml.worksheet+xml" PartName="/xl/worksheets/sheet6676.xml"/>
  <Override ContentType="application/vnd.openxmlformats-officedocument.spreadsheetml.worksheet+xml" PartName="/xl/worksheets/sheet6677.xml"/>
  <Override ContentType="application/vnd.openxmlformats-officedocument.spreadsheetml.worksheet+xml" PartName="/xl/worksheets/sheet6678.xml"/>
  <Override ContentType="application/vnd.openxmlformats-officedocument.spreadsheetml.worksheet+xml" PartName="/xl/worksheets/sheet6679.xml"/>
  <Override ContentType="application/vnd.openxmlformats-officedocument.spreadsheetml.worksheet+xml" PartName="/xl/worksheets/sheet6680.xml"/>
  <Override ContentType="application/vnd.openxmlformats-officedocument.spreadsheetml.worksheet+xml" PartName="/xl/worksheets/sheet6681.xml"/>
  <Override ContentType="application/vnd.openxmlformats-officedocument.spreadsheetml.worksheet+xml" PartName="/xl/worksheets/sheet6682.xml"/>
  <Override ContentType="application/vnd.openxmlformats-officedocument.spreadsheetml.worksheet+xml" PartName="/xl/worksheets/sheet6683.xml"/>
  <Override ContentType="application/vnd.openxmlformats-officedocument.spreadsheetml.worksheet+xml" PartName="/xl/worksheets/sheet6684.xml"/>
  <Override ContentType="application/vnd.openxmlformats-officedocument.spreadsheetml.worksheet+xml" PartName="/xl/worksheets/sheet6685.xml"/>
  <Override ContentType="application/vnd.openxmlformats-officedocument.spreadsheetml.worksheet+xml" PartName="/xl/worksheets/sheet6686.xml"/>
  <Override ContentType="application/vnd.openxmlformats-officedocument.spreadsheetml.worksheet+xml" PartName="/xl/worksheets/sheet6687.xml"/>
  <Override ContentType="application/vnd.openxmlformats-officedocument.spreadsheetml.worksheet+xml" PartName="/xl/worksheets/sheet6688.xml"/>
  <Override ContentType="application/vnd.openxmlformats-officedocument.spreadsheetml.worksheet+xml" PartName="/xl/worksheets/sheet6689.xml"/>
  <Override ContentType="application/vnd.openxmlformats-officedocument.spreadsheetml.worksheet+xml" PartName="/xl/worksheets/sheet6690.xml"/>
  <Override ContentType="application/vnd.openxmlformats-officedocument.spreadsheetml.worksheet+xml" PartName="/xl/worksheets/sheet6691.xml"/>
  <Override ContentType="application/vnd.openxmlformats-officedocument.spreadsheetml.worksheet+xml" PartName="/xl/worksheets/sheet6692.xml"/>
  <Override ContentType="application/vnd.openxmlformats-officedocument.spreadsheetml.worksheet+xml" PartName="/xl/worksheets/sheet6693.xml"/>
  <Override ContentType="application/vnd.openxmlformats-officedocument.spreadsheetml.worksheet+xml" PartName="/xl/worksheets/sheet6694.xml"/>
  <Override ContentType="application/vnd.openxmlformats-officedocument.spreadsheetml.worksheet+xml" PartName="/xl/worksheets/sheet6695.xml"/>
  <Override ContentType="application/vnd.openxmlformats-officedocument.spreadsheetml.worksheet+xml" PartName="/xl/worksheets/sheet6696.xml"/>
  <Override ContentType="application/vnd.openxmlformats-officedocument.spreadsheetml.worksheet+xml" PartName="/xl/worksheets/sheet6697.xml"/>
  <Override ContentType="application/vnd.openxmlformats-officedocument.spreadsheetml.worksheet+xml" PartName="/xl/worksheets/sheet6698.xml"/>
  <Override ContentType="application/vnd.openxmlformats-officedocument.spreadsheetml.worksheet+xml" PartName="/xl/worksheets/sheet6699.xml"/>
  <Override ContentType="application/vnd.openxmlformats-officedocument.spreadsheetml.worksheet+xml" PartName="/xl/worksheets/sheet6700.xml"/>
  <Override ContentType="application/vnd.openxmlformats-officedocument.spreadsheetml.worksheet+xml" PartName="/xl/worksheets/sheet6701.xml"/>
  <Override ContentType="application/vnd.openxmlformats-officedocument.spreadsheetml.worksheet+xml" PartName="/xl/worksheets/sheet6702.xml"/>
  <Override ContentType="application/vnd.openxmlformats-officedocument.spreadsheetml.worksheet+xml" PartName="/xl/worksheets/sheet6703.xml"/>
  <Override ContentType="application/vnd.openxmlformats-officedocument.spreadsheetml.worksheet+xml" PartName="/xl/worksheets/sheet6704.xml"/>
  <Override ContentType="application/vnd.openxmlformats-officedocument.spreadsheetml.worksheet+xml" PartName="/xl/worksheets/sheet6705.xml"/>
  <Override ContentType="application/vnd.openxmlformats-officedocument.spreadsheetml.worksheet+xml" PartName="/xl/worksheets/sheet6706.xml"/>
  <Override ContentType="application/vnd.openxmlformats-officedocument.spreadsheetml.worksheet+xml" PartName="/xl/worksheets/sheet6707.xml"/>
  <Override ContentType="application/vnd.openxmlformats-officedocument.spreadsheetml.worksheet+xml" PartName="/xl/worksheets/sheet6708.xml"/>
  <Override ContentType="application/vnd.openxmlformats-officedocument.spreadsheetml.worksheet+xml" PartName="/xl/worksheets/sheet6709.xml"/>
  <Override ContentType="application/vnd.openxmlformats-officedocument.spreadsheetml.worksheet+xml" PartName="/xl/worksheets/sheet6710.xml"/>
  <Override ContentType="application/vnd.openxmlformats-officedocument.spreadsheetml.worksheet+xml" PartName="/xl/worksheets/sheet6711.xml"/>
  <Override ContentType="application/vnd.openxmlformats-officedocument.spreadsheetml.worksheet+xml" PartName="/xl/worksheets/sheet6712.xml"/>
  <Override ContentType="application/vnd.openxmlformats-officedocument.spreadsheetml.worksheet+xml" PartName="/xl/worksheets/sheet6713.xml"/>
  <Override ContentType="application/vnd.openxmlformats-officedocument.spreadsheetml.worksheet+xml" PartName="/xl/worksheets/sheet6714.xml"/>
  <Override ContentType="application/vnd.openxmlformats-officedocument.spreadsheetml.worksheet+xml" PartName="/xl/worksheets/sheet6715.xml"/>
  <Override ContentType="application/vnd.openxmlformats-officedocument.spreadsheetml.worksheet+xml" PartName="/xl/worksheets/sheet6716.xml"/>
  <Override ContentType="application/vnd.openxmlformats-officedocument.spreadsheetml.worksheet+xml" PartName="/xl/worksheets/sheet6717.xml"/>
  <Override ContentType="application/vnd.openxmlformats-officedocument.spreadsheetml.worksheet+xml" PartName="/xl/worksheets/sheet6718.xml"/>
  <Override ContentType="application/vnd.openxmlformats-officedocument.spreadsheetml.worksheet+xml" PartName="/xl/worksheets/sheet6719.xml"/>
  <Override ContentType="application/vnd.openxmlformats-officedocument.spreadsheetml.worksheet+xml" PartName="/xl/worksheets/sheet6720.xml"/>
  <Override ContentType="application/vnd.openxmlformats-officedocument.spreadsheetml.worksheet+xml" PartName="/xl/worksheets/sheet6721.xml"/>
  <Override ContentType="application/vnd.openxmlformats-officedocument.spreadsheetml.worksheet+xml" PartName="/xl/worksheets/sheet6722.xml"/>
  <Override ContentType="application/vnd.openxmlformats-officedocument.spreadsheetml.worksheet+xml" PartName="/xl/worksheets/sheet6723.xml"/>
  <Override ContentType="application/vnd.openxmlformats-officedocument.spreadsheetml.worksheet+xml" PartName="/xl/worksheets/sheet6724.xml"/>
  <Override ContentType="application/vnd.openxmlformats-officedocument.spreadsheetml.worksheet+xml" PartName="/xl/worksheets/sheet6725.xml"/>
  <Override ContentType="application/vnd.openxmlformats-officedocument.spreadsheetml.worksheet+xml" PartName="/xl/worksheets/sheet6726.xml"/>
  <Override ContentType="application/vnd.openxmlformats-officedocument.spreadsheetml.worksheet+xml" PartName="/xl/worksheets/sheet6727.xml"/>
  <Override ContentType="application/vnd.openxmlformats-officedocument.spreadsheetml.worksheet+xml" PartName="/xl/worksheets/sheet6728.xml"/>
  <Override ContentType="application/vnd.openxmlformats-officedocument.spreadsheetml.worksheet+xml" PartName="/xl/worksheets/sheet6729.xml"/>
  <Override ContentType="application/vnd.openxmlformats-officedocument.spreadsheetml.worksheet+xml" PartName="/xl/worksheets/sheet6730.xml"/>
  <Override ContentType="application/vnd.openxmlformats-officedocument.spreadsheetml.worksheet+xml" PartName="/xl/worksheets/sheet6731.xml"/>
  <Override ContentType="application/vnd.openxmlformats-officedocument.spreadsheetml.worksheet+xml" PartName="/xl/worksheets/sheet6732.xml"/>
  <Override ContentType="application/vnd.openxmlformats-officedocument.spreadsheetml.worksheet+xml" PartName="/xl/worksheets/sheet6733.xml"/>
  <Override ContentType="application/vnd.openxmlformats-officedocument.spreadsheetml.worksheet+xml" PartName="/xl/worksheets/sheet6734.xml"/>
  <Override ContentType="application/vnd.openxmlformats-officedocument.spreadsheetml.worksheet+xml" PartName="/xl/worksheets/sheet6735.xml"/>
  <Override ContentType="application/vnd.openxmlformats-officedocument.spreadsheetml.worksheet+xml" PartName="/xl/worksheets/sheet6736.xml"/>
  <Override ContentType="application/vnd.openxmlformats-officedocument.spreadsheetml.worksheet+xml" PartName="/xl/worksheets/sheet6737.xml"/>
  <Override ContentType="application/vnd.openxmlformats-officedocument.spreadsheetml.worksheet+xml" PartName="/xl/worksheets/sheet6738.xml"/>
  <Override ContentType="application/vnd.openxmlformats-officedocument.spreadsheetml.worksheet+xml" PartName="/xl/worksheets/sheet6739.xml"/>
  <Override ContentType="application/vnd.openxmlformats-officedocument.spreadsheetml.worksheet+xml" PartName="/xl/worksheets/sheet6740.xml"/>
  <Override ContentType="application/vnd.openxmlformats-officedocument.spreadsheetml.worksheet+xml" PartName="/xl/worksheets/sheet6741.xml"/>
  <Override ContentType="application/vnd.openxmlformats-officedocument.spreadsheetml.worksheet+xml" PartName="/xl/worksheets/sheet6742.xml"/>
  <Override ContentType="application/vnd.openxmlformats-officedocument.spreadsheetml.worksheet+xml" PartName="/xl/worksheets/sheet6743.xml"/>
  <Override ContentType="application/vnd.openxmlformats-officedocument.spreadsheetml.worksheet+xml" PartName="/xl/worksheets/sheet6744.xml"/>
  <Override ContentType="application/vnd.openxmlformats-officedocument.spreadsheetml.worksheet+xml" PartName="/xl/worksheets/sheet6745.xml"/>
  <Override ContentType="application/vnd.openxmlformats-officedocument.spreadsheetml.worksheet+xml" PartName="/xl/worksheets/sheet6746.xml"/>
  <Override ContentType="application/vnd.openxmlformats-officedocument.spreadsheetml.worksheet+xml" PartName="/xl/worksheets/sheet6747.xml"/>
  <Override ContentType="application/vnd.openxmlformats-officedocument.spreadsheetml.worksheet+xml" PartName="/xl/worksheets/sheet6748.xml"/>
  <Override ContentType="application/vnd.openxmlformats-officedocument.spreadsheetml.worksheet+xml" PartName="/xl/worksheets/sheet6749.xml"/>
  <Override ContentType="application/vnd.openxmlformats-officedocument.spreadsheetml.worksheet+xml" PartName="/xl/worksheets/sheet6750.xml"/>
  <Override ContentType="application/vnd.openxmlformats-officedocument.spreadsheetml.worksheet+xml" PartName="/xl/worksheets/sheet6751.xml"/>
  <Override ContentType="application/vnd.openxmlformats-officedocument.spreadsheetml.worksheet+xml" PartName="/xl/worksheets/sheet6752.xml"/>
  <Override ContentType="application/vnd.openxmlformats-officedocument.spreadsheetml.worksheet+xml" PartName="/xl/worksheets/sheet6753.xml"/>
  <Override ContentType="application/vnd.openxmlformats-officedocument.spreadsheetml.worksheet+xml" PartName="/xl/worksheets/sheet6754.xml"/>
  <Override ContentType="application/vnd.openxmlformats-officedocument.spreadsheetml.worksheet+xml" PartName="/xl/worksheets/sheet6755.xml"/>
  <Override ContentType="application/vnd.openxmlformats-officedocument.spreadsheetml.worksheet+xml" PartName="/xl/worksheets/sheet6756.xml"/>
  <Override ContentType="application/vnd.openxmlformats-officedocument.spreadsheetml.worksheet+xml" PartName="/xl/worksheets/sheet6757.xml"/>
  <Override ContentType="application/vnd.openxmlformats-officedocument.spreadsheetml.worksheet+xml" PartName="/xl/worksheets/sheet6758.xml"/>
  <Override ContentType="application/vnd.openxmlformats-officedocument.spreadsheetml.worksheet+xml" PartName="/xl/worksheets/sheet6759.xml"/>
  <Override ContentType="application/vnd.openxmlformats-officedocument.spreadsheetml.worksheet+xml" PartName="/xl/worksheets/sheet6760.xml"/>
  <Override ContentType="application/vnd.openxmlformats-officedocument.spreadsheetml.worksheet+xml" PartName="/xl/worksheets/sheet6761.xml"/>
  <Override ContentType="application/vnd.openxmlformats-officedocument.spreadsheetml.worksheet+xml" PartName="/xl/worksheets/sheet6762.xml"/>
  <Override ContentType="application/vnd.openxmlformats-officedocument.spreadsheetml.worksheet+xml" PartName="/xl/worksheets/sheet6763.xml"/>
  <Override ContentType="application/vnd.openxmlformats-officedocument.spreadsheetml.worksheet+xml" PartName="/xl/worksheets/sheet6764.xml"/>
  <Override ContentType="application/vnd.openxmlformats-officedocument.spreadsheetml.worksheet+xml" PartName="/xl/worksheets/sheet6765.xml"/>
  <Override ContentType="application/vnd.openxmlformats-officedocument.spreadsheetml.worksheet+xml" PartName="/xl/worksheets/sheet6766.xml"/>
  <Override ContentType="application/vnd.openxmlformats-officedocument.spreadsheetml.worksheet+xml" PartName="/xl/worksheets/sheet6767.xml"/>
  <Override ContentType="application/vnd.openxmlformats-officedocument.spreadsheetml.worksheet+xml" PartName="/xl/worksheets/sheet6768.xml"/>
  <Override ContentType="application/vnd.openxmlformats-officedocument.spreadsheetml.worksheet+xml" PartName="/xl/worksheets/sheet6769.xml"/>
  <Override ContentType="application/vnd.openxmlformats-officedocument.spreadsheetml.worksheet+xml" PartName="/xl/worksheets/sheet6770.xml"/>
  <Override ContentType="application/vnd.openxmlformats-officedocument.spreadsheetml.worksheet+xml" PartName="/xl/worksheets/sheet6771.xml"/>
  <Override ContentType="application/vnd.openxmlformats-officedocument.spreadsheetml.worksheet+xml" PartName="/xl/worksheets/sheet6772.xml"/>
  <Override ContentType="application/vnd.openxmlformats-officedocument.spreadsheetml.worksheet+xml" PartName="/xl/worksheets/sheet6773.xml"/>
  <Override ContentType="application/vnd.openxmlformats-officedocument.spreadsheetml.worksheet+xml" PartName="/xl/worksheets/sheet6774.xml"/>
  <Override ContentType="application/vnd.openxmlformats-officedocument.spreadsheetml.worksheet+xml" PartName="/xl/worksheets/sheet6775.xml"/>
  <Override ContentType="application/vnd.openxmlformats-officedocument.spreadsheetml.worksheet+xml" PartName="/xl/worksheets/sheet6776.xml"/>
  <Override ContentType="application/vnd.openxmlformats-officedocument.spreadsheetml.worksheet+xml" PartName="/xl/worksheets/sheet6777.xml"/>
  <Override ContentType="application/vnd.openxmlformats-officedocument.spreadsheetml.worksheet+xml" PartName="/xl/worksheets/sheet6778.xml"/>
  <Override ContentType="application/vnd.openxmlformats-officedocument.spreadsheetml.worksheet+xml" PartName="/xl/worksheets/sheet6779.xml"/>
  <Override ContentType="application/vnd.openxmlformats-officedocument.spreadsheetml.worksheet+xml" PartName="/xl/worksheets/sheet6780.xml"/>
  <Override ContentType="application/vnd.openxmlformats-officedocument.spreadsheetml.worksheet+xml" PartName="/xl/worksheets/sheet6781.xml"/>
  <Override ContentType="application/vnd.openxmlformats-officedocument.spreadsheetml.worksheet+xml" PartName="/xl/worksheets/sheet6782.xml"/>
  <Override ContentType="application/vnd.openxmlformats-officedocument.spreadsheetml.worksheet+xml" PartName="/xl/worksheets/sheet6783.xml"/>
  <Override ContentType="application/vnd.openxmlformats-officedocument.spreadsheetml.worksheet+xml" PartName="/xl/worksheets/sheet6784.xml"/>
  <Override ContentType="application/vnd.openxmlformats-officedocument.spreadsheetml.worksheet+xml" PartName="/xl/worksheets/sheet6785.xml"/>
  <Override ContentType="application/vnd.openxmlformats-officedocument.spreadsheetml.worksheet+xml" PartName="/xl/worksheets/sheet6786.xml"/>
  <Override ContentType="application/vnd.openxmlformats-officedocument.spreadsheetml.worksheet+xml" PartName="/xl/worksheets/sheet6787.xml"/>
  <Override ContentType="application/vnd.openxmlformats-officedocument.spreadsheetml.worksheet+xml" PartName="/xl/worksheets/sheet6788.xml"/>
  <Override ContentType="application/vnd.openxmlformats-officedocument.spreadsheetml.worksheet+xml" PartName="/xl/worksheets/sheet6789.xml"/>
  <Override ContentType="application/vnd.openxmlformats-officedocument.spreadsheetml.worksheet+xml" PartName="/xl/worksheets/sheet6790.xml"/>
  <Override ContentType="application/vnd.openxmlformats-officedocument.spreadsheetml.worksheet+xml" PartName="/xl/worksheets/sheet6791.xml"/>
  <Override ContentType="application/vnd.openxmlformats-officedocument.spreadsheetml.worksheet+xml" PartName="/xl/worksheets/sheet6792.xml"/>
  <Override ContentType="application/vnd.openxmlformats-officedocument.spreadsheetml.worksheet+xml" PartName="/xl/worksheets/sheet6793.xml"/>
  <Override ContentType="application/vnd.openxmlformats-officedocument.spreadsheetml.worksheet+xml" PartName="/xl/worksheets/sheet6794.xml"/>
  <Override ContentType="application/vnd.openxmlformats-officedocument.spreadsheetml.worksheet+xml" PartName="/xl/worksheets/sheet6795.xml"/>
  <Override ContentType="application/vnd.openxmlformats-officedocument.spreadsheetml.worksheet+xml" PartName="/xl/worksheets/sheet6796.xml"/>
  <Override ContentType="application/vnd.openxmlformats-officedocument.spreadsheetml.worksheet+xml" PartName="/xl/worksheets/sheet6797.xml"/>
  <Override ContentType="application/vnd.openxmlformats-officedocument.spreadsheetml.worksheet+xml" PartName="/xl/worksheets/sheet6798.xml"/>
  <Override ContentType="application/vnd.openxmlformats-officedocument.spreadsheetml.worksheet+xml" PartName="/xl/worksheets/sheet6799.xml"/>
  <Override ContentType="application/vnd.openxmlformats-officedocument.spreadsheetml.worksheet+xml" PartName="/xl/worksheets/sheet6800.xml"/>
  <Override ContentType="application/vnd.openxmlformats-officedocument.spreadsheetml.worksheet+xml" PartName="/xl/worksheets/sheet6801.xml"/>
  <Override ContentType="application/vnd.openxmlformats-officedocument.spreadsheetml.worksheet+xml" PartName="/xl/worksheets/sheet6802.xml"/>
  <Override ContentType="application/vnd.openxmlformats-officedocument.spreadsheetml.worksheet+xml" PartName="/xl/worksheets/sheet6803.xml"/>
  <Override ContentType="application/vnd.openxmlformats-officedocument.spreadsheetml.worksheet+xml" PartName="/xl/worksheets/sheet6804.xml"/>
  <Override ContentType="application/vnd.openxmlformats-officedocument.spreadsheetml.worksheet+xml" PartName="/xl/worksheets/sheet6805.xml"/>
  <Override ContentType="application/vnd.openxmlformats-officedocument.spreadsheetml.worksheet+xml" PartName="/xl/worksheets/sheet6806.xml"/>
  <Override ContentType="application/vnd.openxmlformats-officedocument.spreadsheetml.worksheet+xml" PartName="/xl/worksheets/sheet6807.xml"/>
  <Override ContentType="application/vnd.openxmlformats-officedocument.spreadsheetml.worksheet+xml" PartName="/xl/worksheets/sheet6808.xml"/>
  <Override ContentType="application/vnd.openxmlformats-officedocument.spreadsheetml.worksheet+xml" PartName="/xl/worksheets/sheet6809.xml"/>
  <Override ContentType="application/vnd.openxmlformats-officedocument.spreadsheetml.worksheet+xml" PartName="/xl/worksheets/sheet6810.xml"/>
  <Override ContentType="application/vnd.openxmlformats-officedocument.spreadsheetml.worksheet+xml" PartName="/xl/worksheets/sheet6811.xml"/>
  <Override ContentType="application/vnd.openxmlformats-officedocument.spreadsheetml.worksheet+xml" PartName="/xl/worksheets/sheet6812.xml"/>
  <Override ContentType="application/vnd.openxmlformats-officedocument.spreadsheetml.worksheet+xml" PartName="/xl/worksheets/sheet6813.xml"/>
  <Override ContentType="application/vnd.openxmlformats-officedocument.spreadsheetml.worksheet+xml" PartName="/xl/worksheets/sheet6814.xml"/>
  <Override ContentType="application/vnd.openxmlformats-officedocument.spreadsheetml.worksheet+xml" PartName="/xl/worksheets/sheet6815.xml"/>
  <Override ContentType="application/vnd.openxmlformats-officedocument.spreadsheetml.worksheet+xml" PartName="/xl/worksheets/sheet6816.xml"/>
  <Override ContentType="application/vnd.openxmlformats-officedocument.spreadsheetml.worksheet+xml" PartName="/xl/worksheets/sheet6817.xml"/>
  <Override ContentType="application/vnd.openxmlformats-officedocument.spreadsheetml.worksheet+xml" PartName="/xl/worksheets/sheet6818.xml"/>
  <Override ContentType="application/vnd.openxmlformats-officedocument.spreadsheetml.worksheet+xml" PartName="/xl/worksheets/sheet6819.xml"/>
  <Override ContentType="application/vnd.openxmlformats-officedocument.spreadsheetml.worksheet+xml" PartName="/xl/worksheets/sheet6820.xml"/>
  <Override ContentType="application/vnd.openxmlformats-officedocument.spreadsheetml.worksheet+xml" PartName="/xl/worksheets/sheet6821.xml"/>
  <Override ContentType="application/vnd.openxmlformats-officedocument.spreadsheetml.worksheet+xml" PartName="/xl/worksheets/sheet6822.xml"/>
  <Override ContentType="application/vnd.openxmlformats-officedocument.spreadsheetml.worksheet+xml" PartName="/xl/worksheets/sheet6823.xml"/>
  <Override ContentType="application/vnd.openxmlformats-officedocument.spreadsheetml.worksheet+xml" PartName="/xl/worksheets/sheet6824.xml"/>
  <Override ContentType="application/vnd.openxmlformats-officedocument.spreadsheetml.worksheet+xml" PartName="/xl/worksheets/sheet6825.xml"/>
  <Override ContentType="application/vnd.openxmlformats-officedocument.spreadsheetml.worksheet+xml" PartName="/xl/worksheets/sheet6826.xml"/>
  <Override ContentType="application/vnd.openxmlformats-officedocument.spreadsheetml.worksheet+xml" PartName="/xl/worksheets/sheet6827.xml"/>
  <Override ContentType="application/vnd.openxmlformats-officedocument.spreadsheetml.worksheet+xml" PartName="/xl/worksheets/sheet6828.xml"/>
  <Override ContentType="application/vnd.openxmlformats-officedocument.spreadsheetml.worksheet+xml" PartName="/xl/worksheets/sheet6829.xml"/>
  <Override ContentType="application/vnd.openxmlformats-officedocument.spreadsheetml.worksheet+xml" PartName="/xl/worksheets/sheet6830.xml"/>
  <Override ContentType="application/vnd.openxmlformats-officedocument.spreadsheetml.worksheet+xml" PartName="/xl/worksheets/sheet6831.xml"/>
  <Override ContentType="application/vnd.openxmlformats-officedocument.spreadsheetml.worksheet+xml" PartName="/xl/worksheets/sheet6832.xml"/>
  <Override ContentType="application/vnd.openxmlformats-officedocument.spreadsheetml.worksheet+xml" PartName="/xl/worksheets/sheet6833.xml"/>
  <Override ContentType="application/vnd.openxmlformats-officedocument.spreadsheetml.worksheet+xml" PartName="/xl/worksheets/sheet6834.xml"/>
  <Override ContentType="application/vnd.openxmlformats-officedocument.spreadsheetml.worksheet+xml" PartName="/xl/worksheets/sheet6835.xml"/>
  <Override ContentType="application/vnd.openxmlformats-officedocument.spreadsheetml.worksheet+xml" PartName="/xl/worksheets/sheet6836.xml"/>
  <Override ContentType="application/vnd.openxmlformats-officedocument.spreadsheetml.worksheet+xml" PartName="/xl/worksheets/sheet6837.xml"/>
  <Override ContentType="application/vnd.openxmlformats-officedocument.spreadsheetml.worksheet+xml" PartName="/xl/worksheets/sheet6838.xml"/>
  <Override ContentType="application/vnd.openxmlformats-officedocument.spreadsheetml.worksheet+xml" PartName="/xl/worksheets/sheet6839.xml"/>
  <Override ContentType="application/vnd.openxmlformats-officedocument.spreadsheetml.worksheet+xml" PartName="/xl/worksheets/sheet6840.xml"/>
  <Override ContentType="application/vnd.openxmlformats-officedocument.spreadsheetml.worksheet+xml" PartName="/xl/worksheets/sheet6841.xml"/>
  <Override ContentType="application/vnd.openxmlformats-officedocument.spreadsheetml.worksheet+xml" PartName="/xl/worksheets/sheet6842.xml"/>
  <Override ContentType="application/vnd.openxmlformats-officedocument.spreadsheetml.worksheet+xml" PartName="/xl/worksheets/sheet6843.xml"/>
  <Override ContentType="application/vnd.openxmlformats-officedocument.spreadsheetml.worksheet+xml" PartName="/xl/worksheets/sheet6844.xml"/>
  <Override ContentType="application/vnd.openxmlformats-officedocument.spreadsheetml.worksheet+xml" PartName="/xl/worksheets/sheet6845.xml"/>
  <Override ContentType="application/vnd.openxmlformats-officedocument.spreadsheetml.worksheet+xml" PartName="/xl/worksheets/sheet6846.xml"/>
  <Override ContentType="application/vnd.openxmlformats-officedocument.spreadsheetml.worksheet+xml" PartName="/xl/worksheets/sheet6847.xml"/>
  <Override ContentType="application/vnd.openxmlformats-officedocument.spreadsheetml.worksheet+xml" PartName="/xl/worksheets/sheet6848.xml"/>
  <Override ContentType="application/vnd.openxmlformats-officedocument.spreadsheetml.worksheet+xml" PartName="/xl/worksheets/sheet6849.xml"/>
  <Override ContentType="application/vnd.openxmlformats-officedocument.spreadsheetml.worksheet+xml" PartName="/xl/worksheets/sheet6850.xml"/>
  <Override ContentType="application/vnd.openxmlformats-officedocument.spreadsheetml.worksheet+xml" PartName="/xl/worksheets/sheet6851.xml"/>
  <Override ContentType="application/vnd.openxmlformats-officedocument.spreadsheetml.worksheet+xml" PartName="/xl/worksheets/sheet6852.xml"/>
  <Override ContentType="application/vnd.openxmlformats-officedocument.spreadsheetml.worksheet+xml" PartName="/xl/worksheets/sheet6853.xml"/>
  <Override ContentType="application/vnd.openxmlformats-officedocument.spreadsheetml.worksheet+xml" PartName="/xl/worksheets/sheet6854.xml"/>
  <Override ContentType="application/vnd.openxmlformats-officedocument.spreadsheetml.worksheet+xml" PartName="/xl/worksheets/sheet6855.xml"/>
  <Override ContentType="application/vnd.openxmlformats-officedocument.spreadsheetml.worksheet+xml" PartName="/xl/worksheets/sheet6856.xml"/>
  <Override ContentType="application/vnd.openxmlformats-officedocument.spreadsheetml.worksheet+xml" PartName="/xl/worksheets/sheet6857.xml"/>
  <Override ContentType="application/vnd.openxmlformats-officedocument.spreadsheetml.worksheet+xml" PartName="/xl/worksheets/sheet6858.xml"/>
  <Override ContentType="application/vnd.openxmlformats-officedocument.spreadsheetml.worksheet+xml" PartName="/xl/worksheets/sheet6859.xml"/>
  <Override ContentType="application/vnd.openxmlformats-officedocument.spreadsheetml.worksheet+xml" PartName="/xl/worksheets/sheet6860.xml"/>
  <Override ContentType="application/vnd.openxmlformats-officedocument.spreadsheetml.worksheet+xml" PartName="/xl/worksheets/sheet6861.xml"/>
  <Override ContentType="application/vnd.openxmlformats-officedocument.spreadsheetml.worksheet+xml" PartName="/xl/worksheets/sheet6862.xml"/>
  <Override ContentType="application/vnd.openxmlformats-officedocument.spreadsheetml.worksheet+xml" PartName="/xl/worksheets/sheet6863.xml"/>
  <Override ContentType="application/vnd.openxmlformats-officedocument.spreadsheetml.worksheet+xml" PartName="/xl/worksheets/sheet6864.xml"/>
  <Override ContentType="application/vnd.openxmlformats-officedocument.spreadsheetml.worksheet+xml" PartName="/xl/worksheets/sheet6865.xml"/>
  <Override ContentType="application/vnd.openxmlformats-officedocument.spreadsheetml.worksheet+xml" PartName="/xl/worksheets/sheet6866.xml"/>
  <Override ContentType="application/vnd.openxmlformats-officedocument.spreadsheetml.worksheet+xml" PartName="/xl/worksheets/sheet6867.xml"/>
  <Override ContentType="application/vnd.openxmlformats-officedocument.spreadsheetml.worksheet+xml" PartName="/xl/worksheets/sheet6868.xml"/>
  <Override ContentType="application/vnd.openxmlformats-officedocument.spreadsheetml.worksheet+xml" PartName="/xl/worksheets/sheet6869.xml"/>
  <Override ContentType="application/vnd.openxmlformats-officedocument.spreadsheetml.worksheet+xml" PartName="/xl/worksheets/sheet6870.xml"/>
  <Override ContentType="application/vnd.openxmlformats-officedocument.spreadsheetml.worksheet+xml" PartName="/xl/worksheets/sheet6871.xml"/>
  <Override ContentType="application/vnd.openxmlformats-officedocument.spreadsheetml.worksheet+xml" PartName="/xl/worksheets/sheet6872.xml"/>
  <Override ContentType="application/vnd.openxmlformats-officedocument.spreadsheetml.worksheet+xml" PartName="/xl/worksheets/sheet6873.xml"/>
  <Override ContentType="application/vnd.openxmlformats-officedocument.spreadsheetml.worksheet+xml" PartName="/xl/worksheets/sheet6874.xml"/>
  <Override ContentType="application/vnd.openxmlformats-officedocument.spreadsheetml.worksheet+xml" PartName="/xl/worksheets/sheet6875.xml"/>
  <Override ContentType="application/vnd.openxmlformats-officedocument.spreadsheetml.worksheet+xml" PartName="/xl/worksheets/sheet6876.xml"/>
  <Override ContentType="application/vnd.openxmlformats-officedocument.spreadsheetml.worksheet+xml" PartName="/xl/worksheets/sheet6877.xml"/>
  <Override ContentType="application/vnd.openxmlformats-officedocument.spreadsheetml.worksheet+xml" PartName="/xl/worksheets/sheet6878.xml"/>
  <Override ContentType="application/vnd.openxmlformats-officedocument.spreadsheetml.worksheet+xml" PartName="/xl/worksheets/sheet6879.xml"/>
  <Override ContentType="application/vnd.openxmlformats-officedocument.spreadsheetml.worksheet+xml" PartName="/xl/worksheets/sheet6880.xml"/>
  <Override ContentType="application/vnd.openxmlformats-officedocument.spreadsheetml.worksheet+xml" PartName="/xl/worksheets/sheet6881.xml"/>
  <Override ContentType="application/vnd.openxmlformats-officedocument.spreadsheetml.worksheet+xml" PartName="/xl/worksheets/sheet6882.xml"/>
  <Override ContentType="application/vnd.openxmlformats-officedocument.spreadsheetml.worksheet+xml" PartName="/xl/worksheets/sheet6883.xml"/>
  <Override ContentType="application/vnd.openxmlformats-officedocument.spreadsheetml.worksheet+xml" PartName="/xl/worksheets/sheet6884.xml"/>
  <Override ContentType="application/vnd.openxmlformats-officedocument.spreadsheetml.worksheet+xml" PartName="/xl/worksheets/sheet6885.xml"/>
  <Override ContentType="application/vnd.openxmlformats-officedocument.spreadsheetml.worksheet+xml" PartName="/xl/worksheets/sheet6886.xml"/>
  <Override ContentType="application/vnd.openxmlformats-officedocument.spreadsheetml.worksheet+xml" PartName="/xl/worksheets/sheet6887.xml"/>
  <Override ContentType="application/vnd.openxmlformats-officedocument.spreadsheetml.worksheet+xml" PartName="/xl/worksheets/sheet6888.xml"/>
  <Override ContentType="application/vnd.openxmlformats-officedocument.spreadsheetml.worksheet+xml" PartName="/xl/worksheets/sheet6889.xml"/>
  <Override ContentType="application/vnd.openxmlformats-officedocument.spreadsheetml.worksheet+xml" PartName="/xl/worksheets/sheet6890.xml"/>
  <Override ContentType="application/vnd.openxmlformats-officedocument.spreadsheetml.worksheet+xml" PartName="/xl/worksheets/sheet6891.xml"/>
  <Override ContentType="application/vnd.openxmlformats-officedocument.spreadsheetml.worksheet+xml" PartName="/xl/worksheets/sheet6892.xml"/>
  <Override ContentType="application/vnd.openxmlformats-officedocument.spreadsheetml.worksheet+xml" PartName="/xl/worksheets/sheet6893.xml"/>
  <Override ContentType="application/vnd.openxmlformats-officedocument.spreadsheetml.worksheet+xml" PartName="/xl/worksheets/sheet6894.xml"/>
  <Override ContentType="application/vnd.openxmlformats-officedocument.spreadsheetml.worksheet+xml" PartName="/xl/worksheets/sheet6895.xml"/>
  <Override ContentType="application/vnd.openxmlformats-officedocument.spreadsheetml.worksheet+xml" PartName="/xl/worksheets/sheet6896.xml"/>
  <Override ContentType="application/vnd.openxmlformats-officedocument.spreadsheetml.worksheet+xml" PartName="/xl/worksheets/sheet6897.xml"/>
  <Override ContentType="application/vnd.openxmlformats-officedocument.spreadsheetml.worksheet+xml" PartName="/xl/worksheets/sheet6898.xml"/>
  <Override ContentType="application/vnd.openxmlformats-officedocument.spreadsheetml.worksheet+xml" PartName="/xl/worksheets/sheet6899.xml"/>
  <Override ContentType="application/vnd.openxmlformats-officedocument.spreadsheetml.worksheet+xml" PartName="/xl/worksheets/sheet6900.xml"/>
  <Override ContentType="application/vnd.openxmlformats-officedocument.spreadsheetml.worksheet+xml" PartName="/xl/worksheets/sheet6901.xml"/>
  <Override ContentType="application/vnd.openxmlformats-officedocument.spreadsheetml.worksheet+xml" PartName="/xl/worksheets/sheet6902.xml"/>
  <Override ContentType="application/vnd.openxmlformats-officedocument.spreadsheetml.worksheet+xml" PartName="/xl/worksheets/sheet6903.xml"/>
  <Override ContentType="application/vnd.openxmlformats-officedocument.spreadsheetml.worksheet+xml" PartName="/xl/worksheets/sheet6904.xml"/>
  <Override ContentType="application/vnd.openxmlformats-officedocument.spreadsheetml.worksheet+xml" PartName="/xl/worksheets/sheet6905.xml"/>
  <Override ContentType="application/vnd.openxmlformats-officedocument.spreadsheetml.worksheet+xml" PartName="/xl/worksheets/sheet6906.xml"/>
  <Override ContentType="application/vnd.openxmlformats-officedocument.spreadsheetml.worksheet+xml" PartName="/xl/worksheets/sheet6907.xml"/>
  <Override ContentType="application/vnd.openxmlformats-officedocument.spreadsheetml.worksheet+xml" PartName="/xl/worksheets/sheet6908.xml"/>
  <Override ContentType="application/vnd.openxmlformats-officedocument.spreadsheetml.worksheet+xml" PartName="/xl/worksheets/sheet6909.xml"/>
  <Override ContentType="application/vnd.openxmlformats-officedocument.spreadsheetml.worksheet+xml" PartName="/xl/worksheets/sheet6910.xml"/>
  <Override ContentType="application/vnd.openxmlformats-officedocument.spreadsheetml.worksheet+xml" PartName="/xl/worksheets/sheet6911.xml"/>
  <Override ContentType="application/vnd.openxmlformats-officedocument.spreadsheetml.worksheet+xml" PartName="/xl/worksheets/sheet6912.xml"/>
  <Override ContentType="application/vnd.openxmlformats-officedocument.spreadsheetml.worksheet+xml" PartName="/xl/worksheets/sheet6913.xml"/>
  <Override ContentType="application/vnd.openxmlformats-officedocument.spreadsheetml.worksheet+xml" PartName="/xl/worksheets/sheet6914.xml"/>
  <Override ContentType="application/vnd.openxmlformats-officedocument.spreadsheetml.worksheet+xml" PartName="/xl/worksheets/sheet6915.xml"/>
  <Override ContentType="application/vnd.openxmlformats-officedocument.spreadsheetml.worksheet+xml" PartName="/xl/worksheets/sheet6916.xml"/>
  <Override ContentType="application/vnd.openxmlformats-officedocument.spreadsheetml.worksheet+xml" PartName="/xl/worksheets/sheet6917.xml"/>
  <Override ContentType="application/vnd.openxmlformats-officedocument.spreadsheetml.worksheet+xml" PartName="/xl/worksheets/sheet6918.xml"/>
  <Override ContentType="application/vnd.openxmlformats-officedocument.spreadsheetml.worksheet+xml" PartName="/xl/worksheets/sheet6919.xml"/>
  <Override ContentType="application/vnd.openxmlformats-officedocument.spreadsheetml.worksheet+xml" PartName="/xl/worksheets/sheet6920.xml"/>
  <Override ContentType="application/vnd.openxmlformats-officedocument.spreadsheetml.worksheet+xml" PartName="/xl/worksheets/sheet6921.xml"/>
  <Override ContentType="application/vnd.openxmlformats-officedocument.spreadsheetml.worksheet+xml" PartName="/xl/worksheets/sheet6922.xml"/>
  <Override ContentType="application/vnd.openxmlformats-officedocument.spreadsheetml.worksheet+xml" PartName="/xl/worksheets/sheet6923.xml"/>
  <Override ContentType="application/vnd.openxmlformats-officedocument.spreadsheetml.worksheet+xml" PartName="/xl/worksheets/sheet6924.xml"/>
  <Override ContentType="application/vnd.openxmlformats-officedocument.spreadsheetml.worksheet+xml" PartName="/xl/worksheets/sheet6925.xml"/>
  <Override ContentType="application/vnd.openxmlformats-officedocument.spreadsheetml.worksheet+xml" PartName="/xl/worksheets/sheet6926.xml"/>
  <Override ContentType="application/vnd.openxmlformats-officedocument.spreadsheetml.worksheet+xml" PartName="/xl/worksheets/sheet6927.xml"/>
  <Override ContentType="application/vnd.openxmlformats-officedocument.spreadsheetml.worksheet+xml" PartName="/xl/worksheets/sheet6928.xml"/>
  <Override ContentType="application/vnd.openxmlformats-officedocument.spreadsheetml.worksheet+xml" PartName="/xl/worksheets/sheet6929.xml"/>
  <Override ContentType="application/vnd.openxmlformats-officedocument.spreadsheetml.worksheet+xml" PartName="/xl/worksheets/sheet6930.xml"/>
  <Override ContentType="application/vnd.openxmlformats-officedocument.spreadsheetml.worksheet+xml" PartName="/xl/worksheets/sheet6931.xml"/>
  <Override ContentType="application/vnd.openxmlformats-officedocument.spreadsheetml.worksheet+xml" PartName="/xl/worksheets/sheet6932.xml"/>
  <Override ContentType="application/vnd.openxmlformats-officedocument.spreadsheetml.worksheet+xml" PartName="/xl/worksheets/sheet6933.xml"/>
  <Override ContentType="application/vnd.openxmlformats-officedocument.spreadsheetml.worksheet+xml" PartName="/xl/worksheets/sheet6934.xml"/>
  <Override ContentType="application/vnd.openxmlformats-officedocument.spreadsheetml.worksheet+xml" PartName="/xl/worksheets/sheet6935.xml"/>
  <Override ContentType="application/vnd.openxmlformats-officedocument.spreadsheetml.worksheet+xml" PartName="/xl/worksheets/sheet6936.xml"/>
  <Override ContentType="application/vnd.openxmlformats-officedocument.spreadsheetml.worksheet+xml" PartName="/xl/worksheets/sheet6937.xml"/>
  <Override ContentType="application/vnd.openxmlformats-officedocument.spreadsheetml.worksheet+xml" PartName="/xl/worksheets/sheet6938.xml"/>
  <Override ContentType="application/vnd.openxmlformats-officedocument.spreadsheetml.worksheet+xml" PartName="/xl/worksheets/sheet6939.xml"/>
  <Override ContentType="application/vnd.openxmlformats-officedocument.spreadsheetml.worksheet+xml" PartName="/xl/worksheets/sheet6940.xml"/>
  <Override ContentType="application/vnd.openxmlformats-officedocument.spreadsheetml.worksheet+xml" PartName="/xl/worksheets/sheet6941.xml"/>
  <Override ContentType="application/vnd.openxmlformats-officedocument.spreadsheetml.worksheet+xml" PartName="/xl/worksheets/sheet6942.xml"/>
  <Override ContentType="application/vnd.openxmlformats-officedocument.spreadsheetml.worksheet+xml" PartName="/xl/worksheets/sheet6943.xml"/>
  <Override ContentType="application/vnd.openxmlformats-officedocument.spreadsheetml.worksheet+xml" PartName="/xl/worksheets/sheet6944.xml"/>
  <Override ContentType="application/vnd.openxmlformats-officedocument.spreadsheetml.worksheet+xml" PartName="/xl/worksheets/sheet6945.xml"/>
  <Override ContentType="application/vnd.openxmlformats-officedocument.spreadsheetml.worksheet+xml" PartName="/xl/worksheets/sheet6946.xml"/>
  <Override ContentType="application/vnd.openxmlformats-officedocument.spreadsheetml.worksheet+xml" PartName="/xl/worksheets/sheet6947.xml"/>
  <Override ContentType="application/vnd.openxmlformats-officedocument.spreadsheetml.worksheet+xml" PartName="/xl/worksheets/sheet6948.xml"/>
  <Override ContentType="application/vnd.openxmlformats-officedocument.spreadsheetml.worksheet+xml" PartName="/xl/worksheets/sheet6949.xml"/>
  <Override ContentType="application/vnd.openxmlformats-officedocument.spreadsheetml.worksheet+xml" PartName="/xl/worksheets/sheet6950.xml"/>
  <Override ContentType="application/vnd.openxmlformats-officedocument.spreadsheetml.worksheet+xml" PartName="/xl/worksheets/sheet6951.xml"/>
  <Override ContentType="application/vnd.openxmlformats-officedocument.spreadsheetml.worksheet+xml" PartName="/xl/worksheets/sheet6952.xml"/>
  <Override ContentType="application/vnd.openxmlformats-officedocument.spreadsheetml.worksheet+xml" PartName="/xl/worksheets/sheet6953.xml"/>
  <Override ContentType="application/vnd.openxmlformats-officedocument.spreadsheetml.worksheet+xml" PartName="/xl/worksheets/sheet6954.xml"/>
  <Override ContentType="application/vnd.openxmlformats-officedocument.spreadsheetml.worksheet+xml" PartName="/xl/worksheets/sheet6955.xml"/>
  <Override ContentType="application/vnd.openxmlformats-officedocument.spreadsheetml.worksheet+xml" PartName="/xl/worksheets/sheet6956.xml"/>
  <Override ContentType="application/vnd.openxmlformats-officedocument.spreadsheetml.worksheet+xml" PartName="/xl/worksheets/sheet6957.xml"/>
  <Override ContentType="application/vnd.openxmlformats-officedocument.spreadsheetml.worksheet+xml" PartName="/xl/worksheets/sheet6958.xml"/>
  <Override ContentType="application/vnd.openxmlformats-officedocument.spreadsheetml.worksheet+xml" PartName="/xl/worksheets/sheet6959.xml"/>
  <Override ContentType="application/vnd.openxmlformats-officedocument.spreadsheetml.worksheet+xml" PartName="/xl/worksheets/sheet6960.xml"/>
  <Override ContentType="application/vnd.openxmlformats-officedocument.spreadsheetml.worksheet+xml" PartName="/xl/worksheets/sheet6961.xml"/>
  <Override ContentType="application/vnd.openxmlformats-officedocument.spreadsheetml.worksheet+xml" PartName="/xl/worksheets/sheet6962.xml"/>
  <Override ContentType="application/vnd.openxmlformats-officedocument.spreadsheetml.worksheet+xml" PartName="/xl/worksheets/sheet6963.xml"/>
  <Override ContentType="application/vnd.openxmlformats-officedocument.spreadsheetml.worksheet+xml" PartName="/xl/worksheets/sheet6964.xml"/>
  <Override ContentType="application/vnd.openxmlformats-officedocument.spreadsheetml.worksheet+xml" PartName="/xl/worksheets/sheet6965.xml"/>
  <Override ContentType="application/vnd.openxmlformats-officedocument.spreadsheetml.worksheet+xml" PartName="/xl/worksheets/sheet6966.xml"/>
  <Override ContentType="application/vnd.openxmlformats-officedocument.spreadsheetml.worksheet+xml" PartName="/xl/worksheets/sheet6967.xml"/>
  <Override ContentType="application/vnd.openxmlformats-officedocument.spreadsheetml.worksheet+xml" PartName="/xl/worksheets/sheet6968.xml"/>
  <Override ContentType="application/vnd.openxmlformats-officedocument.spreadsheetml.worksheet+xml" PartName="/xl/worksheets/sheet6969.xml"/>
  <Override ContentType="application/vnd.openxmlformats-officedocument.spreadsheetml.worksheet+xml" PartName="/xl/worksheets/sheet6970.xml"/>
  <Override ContentType="application/vnd.openxmlformats-officedocument.spreadsheetml.worksheet+xml" PartName="/xl/worksheets/sheet6971.xml"/>
  <Override ContentType="application/vnd.openxmlformats-officedocument.spreadsheetml.worksheet+xml" PartName="/xl/worksheets/sheet6972.xml"/>
  <Override ContentType="application/vnd.openxmlformats-officedocument.spreadsheetml.worksheet+xml" PartName="/xl/worksheets/sheet6973.xml"/>
  <Override ContentType="application/vnd.openxmlformats-officedocument.spreadsheetml.worksheet+xml" PartName="/xl/worksheets/sheet6974.xml"/>
  <Override ContentType="application/vnd.openxmlformats-officedocument.spreadsheetml.worksheet+xml" PartName="/xl/worksheets/sheet6975.xml"/>
  <Override ContentType="application/vnd.openxmlformats-officedocument.spreadsheetml.worksheet+xml" PartName="/xl/worksheets/sheet6976.xml"/>
  <Override ContentType="application/vnd.openxmlformats-officedocument.spreadsheetml.worksheet+xml" PartName="/xl/worksheets/sheet6977.xml"/>
  <Override ContentType="application/vnd.openxmlformats-officedocument.spreadsheetml.worksheet+xml" PartName="/xl/worksheets/sheet6978.xml"/>
  <Override ContentType="application/vnd.openxmlformats-officedocument.spreadsheetml.worksheet+xml" PartName="/xl/worksheets/sheet6979.xml"/>
  <Override ContentType="application/vnd.openxmlformats-officedocument.spreadsheetml.worksheet+xml" PartName="/xl/worksheets/sheet6980.xml"/>
  <Override ContentType="application/vnd.openxmlformats-officedocument.spreadsheetml.worksheet+xml" PartName="/xl/worksheets/sheet6981.xml"/>
  <Override ContentType="application/vnd.openxmlformats-officedocument.spreadsheetml.worksheet+xml" PartName="/xl/worksheets/sheet6982.xml"/>
  <Override ContentType="application/vnd.openxmlformats-officedocument.spreadsheetml.worksheet+xml" PartName="/xl/worksheets/sheet6983.xml"/>
  <Override ContentType="application/vnd.openxmlformats-officedocument.spreadsheetml.worksheet+xml" PartName="/xl/worksheets/sheet6984.xml"/>
  <Override ContentType="application/vnd.openxmlformats-officedocument.spreadsheetml.worksheet+xml" PartName="/xl/worksheets/sheet6985.xml"/>
  <Override ContentType="application/vnd.openxmlformats-officedocument.spreadsheetml.worksheet+xml" PartName="/xl/worksheets/sheet6986.xml"/>
  <Override ContentType="application/vnd.openxmlformats-officedocument.spreadsheetml.worksheet+xml" PartName="/xl/worksheets/sheet6987.xml"/>
  <Override ContentType="application/vnd.openxmlformats-officedocument.spreadsheetml.worksheet+xml" PartName="/xl/worksheets/sheet6988.xml"/>
  <Override ContentType="application/vnd.openxmlformats-officedocument.spreadsheetml.worksheet+xml" PartName="/xl/worksheets/sheet6989.xml"/>
  <Override ContentType="application/vnd.openxmlformats-officedocument.spreadsheetml.worksheet+xml" PartName="/xl/worksheets/sheet6990.xml"/>
  <Override ContentType="application/vnd.openxmlformats-officedocument.spreadsheetml.worksheet+xml" PartName="/xl/worksheets/sheet6991.xml"/>
  <Override ContentType="application/vnd.openxmlformats-officedocument.spreadsheetml.worksheet+xml" PartName="/xl/worksheets/sheet6992.xml"/>
  <Override ContentType="application/vnd.openxmlformats-officedocument.spreadsheetml.worksheet+xml" PartName="/xl/worksheets/sheet6993.xml"/>
  <Override ContentType="application/vnd.openxmlformats-officedocument.spreadsheetml.worksheet+xml" PartName="/xl/worksheets/sheet6994.xml"/>
  <Override ContentType="application/vnd.openxmlformats-officedocument.spreadsheetml.worksheet+xml" PartName="/xl/worksheets/sheet6995.xml"/>
  <Override ContentType="application/vnd.openxmlformats-officedocument.spreadsheetml.worksheet+xml" PartName="/xl/worksheets/sheet6996.xml"/>
  <Override ContentType="application/vnd.openxmlformats-officedocument.spreadsheetml.worksheet+xml" PartName="/xl/worksheets/sheet6997.xml"/>
  <Override ContentType="application/vnd.openxmlformats-officedocument.spreadsheetml.worksheet+xml" PartName="/xl/worksheets/sheet6998.xml"/>
  <Override ContentType="application/vnd.openxmlformats-officedocument.spreadsheetml.worksheet+xml" PartName="/xl/worksheets/sheet6999.xml"/>
  <Override ContentType="application/vnd.openxmlformats-officedocument.spreadsheetml.worksheet+xml" PartName="/xl/worksheets/sheet7000.xml"/>
  <Override ContentType="application/vnd.openxmlformats-officedocument.spreadsheetml.worksheet+xml" PartName="/xl/worksheets/sheet7001.xml"/>
  <Override ContentType="application/vnd.openxmlformats-officedocument.spreadsheetml.worksheet+xml" PartName="/xl/worksheets/sheet7002.xml"/>
  <Override ContentType="application/vnd.openxmlformats-officedocument.spreadsheetml.worksheet+xml" PartName="/xl/worksheets/sheet7003.xml"/>
  <Override ContentType="application/vnd.openxmlformats-officedocument.spreadsheetml.worksheet+xml" PartName="/xl/worksheets/sheet7004.xml"/>
  <Override ContentType="application/vnd.openxmlformats-officedocument.spreadsheetml.worksheet+xml" PartName="/xl/worksheets/sheet7005.xml"/>
  <Override ContentType="application/vnd.openxmlformats-officedocument.spreadsheetml.worksheet+xml" PartName="/xl/worksheets/sheet7006.xml"/>
  <Override ContentType="application/vnd.openxmlformats-officedocument.spreadsheetml.worksheet+xml" PartName="/xl/worksheets/sheet7007.xml"/>
  <Override ContentType="application/vnd.openxmlformats-officedocument.spreadsheetml.worksheet+xml" PartName="/xl/worksheets/sheet7008.xml"/>
  <Override ContentType="application/vnd.openxmlformats-officedocument.spreadsheetml.worksheet+xml" PartName="/xl/worksheets/sheet7009.xml"/>
  <Override ContentType="application/vnd.openxmlformats-officedocument.spreadsheetml.worksheet+xml" PartName="/xl/worksheets/sheet7010.xml"/>
  <Override ContentType="application/vnd.openxmlformats-officedocument.spreadsheetml.worksheet+xml" PartName="/xl/worksheets/sheet7011.xml"/>
  <Override ContentType="application/vnd.openxmlformats-officedocument.spreadsheetml.worksheet+xml" PartName="/xl/worksheets/sheet7012.xml"/>
  <Override ContentType="application/vnd.openxmlformats-officedocument.spreadsheetml.worksheet+xml" PartName="/xl/worksheets/sheet7013.xml"/>
  <Override ContentType="application/vnd.openxmlformats-officedocument.spreadsheetml.worksheet+xml" PartName="/xl/worksheets/sheet7014.xml"/>
  <Override ContentType="application/vnd.openxmlformats-officedocument.spreadsheetml.worksheet+xml" PartName="/xl/worksheets/sheet7015.xml"/>
  <Override ContentType="application/vnd.openxmlformats-officedocument.spreadsheetml.worksheet+xml" PartName="/xl/worksheets/sheet7016.xml"/>
  <Override ContentType="application/vnd.openxmlformats-officedocument.spreadsheetml.worksheet+xml" PartName="/xl/worksheets/sheet7017.xml"/>
  <Override ContentType="application/vnd.openxmlformats-officedocument.spreadsheetml.worksheet+xml" PartName="/xl/worksheets/sheet7018.xml"/>
  <Override ContentType="application/vnd.openxmlformats-officedocument.spreadsheetml.worksheet+xml" PartName="/xl/worksheets/sheet7019.xml"/>
  <Override ContentType="application/vnd.openxmlformats-officedocument.spreadsheetml.worksheet+xml" PartName="/xl/worksheets/sheet7020.xml"/>
  <Override ContentType="application/vnd.openxmlformats-officedocument.spreadsheetml.worksheet+xml" PartName="/xl/worksheets/sheet7021.xml"/>
  <Override ContentType="application/vnd.openxmlformats-officedocument.spreadsheetml.worksheet+xml" PartName="/xl/worksheets/sheet7022.xml"/>
  <Override ContentType="application/vnd.openxmlformats-officedocument.spreadsheetml.worksheet+xml" PartName="/xl/worksheets/sheet7023.xml"/>
  <Override ContentType="application/vnd.openxmlformats-officedocument.spreadsheetml.worksheet+xml" PartName="/xl/worksheets/sheet7024.xml"/>
  <Override ContentType="application/vnd.openxmlformats-officedocument.spreadsheetml.worksheet+xml" PartName="/xl/worksheets/sheet7025.xml"/>
  <Override ContentType="application/vnd.openxmlformats-officedocument.spreadsheetml.worksheet+xml" PartName="/xl/worksheets/sheet7026.xml"/>
  <Override ContentType="application/vnd.openxmlformats-officedocument.spreadsheetml.worksheet+xml" PartName="/xl/worksheets/sheet7027.xml"/>
  <Override ContentType="application/vnd.openxmlformats-officedocument.spreadsheetml.worksheet+xml" PartName="/xl/worksheets/sheet7028.xml"/>
  <Override ContentType="application/vnd.openxmlformats-officedocument.spreadsheetml.worksheet+xml" PartName="/xl/worksheets/sheet7029.xml"/>
  <Override ContentType="application/vnd.openxmlformats-officedocument.spreadsheetml.worksheet+xml" PartName="/xl/worksheets/sheet7030.xml"/>
  <Override ContentType="application/vnd.openxmlformats-officedocument.spreadsheetml.worksheet+xml" PartName="/xl/worksheets/sheet7031.xml"/>
  <Override ContentType="application/vnd.openxmlformats-officedocument.spreadsheetml.worksheet+xml" PartName="/xl/worksheets/sheet7032.xml"/>
  <Override ContentType="application/vnd.openxmlformats-officedocument.spreadsheetml.worksheet+xml" PartName="/xl/worksheets/sheet7033.xml"/>
  <Override ContentType="application/vnd.openxmlformats-officedocument.spreadsheetml.worksheet+xml" PartName="/xl/worksheets/sheet7034.xml"/>
  <Override ContentType="application/vnd.openxmlformats-officedocument.spreadsheetml.worksheet+xml" PartName="/xl/worksheets/sheet7035.xml"/>
  <Override ContentType="application/vnd.openxmlformats-officedocument.spreadsheetml.worksheet+xml" PartName="/xl/worksheets/sheet7036.xml"/>
  <Override ContentType="application/vnd.openxmlformats-officedocument.spreadsheetml.worksheet+xml" PartName="/xl/worksheets/sheet7037.xml"/>
  <Override ContentType="application/vnd.openxmlformats-officedocument.spreadsheetml.worksheet+xml" PartName="/xl/worksheets/sheet7038.xml"/>
  <Override ContentType="application/vnd.openxmlformats-officedocument.spreadsheetml.worksheet+xml" PartName="/xl/worksheets/sheet7039.xml"/>
  <Override ContentType="application/vnd.openxmlformats-officedocument.spreadsheetml.worksheet+xml" PartName="/xl/worksheets/sheet7040.xml"/>
  <Override ContentType="application/vnd.openxmlformats-officedocument.spreadsheetml.worksheet+xml" PartName="/xl/worksheets/sheet7041.xml"/>
  <Override ContentType="application/vnd.openxmlformats-officedocument.spreadsheetml.worksheet+xml" PartName="/xl/worksheets/sheet7042.xml"/>
  <Override ContentType="application/vnd.openxmlformats-officedocument.spreadsheetml.worksheet+xml" PartName="/xl/worksheets/sheet7043.xml"/>
  <Override ContentType="application/vnd.openxmlformats-officedocument.spreadsheetml.worksheet+xml" PartName="/xl/worksheets/sheet7044.xml"/>
  <Override ContentType="application/vnd.openxmlformats-officedocument.spreadsheetml.worksheet+xml" PartName="/xl/worksheets/sheet7045.xml"/>
  <Override ContentType="application/vnd.openxmlformats-officedocument.spreadsheetml.worksheet+xml" PartName="/xl/worksheets/sheet7046.xml"/>
  <Override ContentType="application/vnd.openxmlformats-officedocument.spreadsheetml.worksheet+xml" PartName="/xl/worksheets/sheet7047.xml"/>
  <Override ContentType="application/vnd.openxmlformats-officedocument.spreadsheetml.worksheet+xml" PartName="/xl/worksheets/sheet7048.xml"/>
  <Override ContentType="application/vnd.openxmlformats-officedocument.spreadsheetml.worksheet+xml" PartName="/xl/worksheets/sheet7049.xml"/>
  <Override ContentType="application/vnd.openxmlformats-officedocument.spreadsheetml.worksheet+xml" PartName="/xl/worksheets/sheet7050.xml"/>
  <Override ContentType="application/vnd.openxmlformats-officedocument.spreadsheetml.worksheet+xml" PartName="/xl/worksheets/sheet7051.xml"/>
  <Override ContentType="application/vnd.openxmlformats-officedocument.spreadsheetml.worksheet+xml" PartName="/xl/worksheets/sheet7052.xml"/>
  <Override ContentType="application/vnd.openxmlformats-officedocument.spreadsheetml.worksheet+xml" PartName="/xl/worksheets/sheet7053.xml"/>
  <Override ContentType="application/vnd.openxmlformats-officedocument.spreadsheetml.worksheet+xml" PartName="/xl/worksheets/sheet7054.xml"/>
  <Override ContentType="application/vnd.openxmlformats-officedocument.spreadsheetml.worksheet+xml" PartName="/xl/worksheets/sheet7055.xml"/>
  <Override ContentType="application/vnd.openxmlformats-officedocument.spreadsheetml.worksheet+xml" PartName="/xl/worksheets/sheet7056.xml"/>
  <Override ContentType="application/vnd.openxmlformats-officedocument.spreadsheetml.worksheet+xml" PartName="/xl/worksheets/sheet7057.xml"/>
  <Override ContentType="application/vnd.openxmlformats-officedocument.spreadsheetml.worksheet+xml" PartName="/xl/worksheets/sheet7058.xml"/>
  <Override ContentType="application/vnd.openxmlformats-officedocument.spreadsheetml.worksheet+xml" PartName="/xl/worksheets/sheet7059.xml"/>
  <Override ContentType="application/vnd.openxmlformats-officedocument.spreadsheetml.worksheet+xml" PartName="/xl/worksheets/sheet7060.xml"/>
  <Override ContentType="application/vnd.openxmlformats-officedocument.spreadsheetml.worksheet+xml" PartName="/xl/worksheets/sheet7061.xml"/>
  <Override ContentType="application/vnd.openxmlformats-officedocument.spreadsheetml.worksheet+xml" PartName="/xl/worksheets/sheet7062.xml"/>
  <Override ContentType="application/vnd.openxmlformats-officedocument.spreadsheetml.worksheet+xml" PartName="/xl/worksheets/sheet7063.xml"/>
  <Override ContentType="application/vnd.openxmlformats-officedocument.spreadsheetml.worksheet+xml" PartName="/xl/worksheets/sheet7064.xml"/>
  <Override ContentType="application/vnd.openxmlformats-officedocument.spreadsheetml.worksheet+xml" PartName="/xl/worksheets/sheet7065.xml"/>
  <Override ContentType="application/vnd.openxmlformats-officedocument.spreadsheetml.worksheet+xml" PartName="/xl/worksheets/sheet7066.xml"/>
  <Override ContentType="application/vnd.openxmlformats-officedocument.spreadsheetml.worksheet+xml" PartName="/xl/worksheets/sheet7067.xml"/>
  <Override ContentType="application/vnd.openxmlformats-officedocument.spreadsheetml.worksheet+xml" PartName="/xl/worksheets/sheet7068.xml"/>
  <Override ContentType="application/vnd.openxmlformats-officedocument.spreadsheetml.worksheet+xml" PartName="/xl/worksheets/sheet7069.xml"/>
  <Override ContentType="application/vnd.openxmlformats-officedocument.spreadsheetml.worksheet+xml" PartName="/xl/worksheets/sheet7070.xml"/>
  <Override ContentType="application/vnd.openxmlformats-officedocument.spreadsheetml.worksheet+xml" PartName="/xl/worksheets/sheet7071.xml"/>
  <Override ContentType="application/vnd.openxmlformats-officedocument.spreadsheetml.worksheet+xml" PartName="/xl/worksheets/sheet7072.xml"/>
  <Override ContentType="application/vnd.openxmlformats-officedocument.spreadsheetml.worksheet+xml" PartName="/xl/worksheets/sheet7073.xml"/>
  <Override ContentType="application/vnd.openxmlformats-officedocument.spreadsheetml.worksheet+xml" PartName="/xl/worksheets/sheet7074.xml"/>
  <Override ContentType="application/vnd.openxmlformats-officedocument.spreadsheetml.worksheet+xml" PartName="/xl/worksheets/sheet7075.xml"/>
  <Override ContentType="application/vnd.openxmlformats-officedocument.spreadsheetml.worksheet+xml" PartName="/xl/worksheets/sheet7076.xml"/>
  <Override ContentType="application/vnd.openxmlformats-officedocument.spreadsheetml.worksheet+xml" PartName="/xl/worksheets/sheet7077.xml"/>
  <Override ContentType="application/vnd.openxmlformats-officedocument.spreadsheetml.worksheet+xml" PartName="/xl/worksheets/sheet7078.xml"/>
  <Override ContentType="application/vnd.openxmlformats-officedocument.spreadsheetml.worksheet+xml" PartName="/xl/worksheets/sheet7079.xml"/>
  <Override ContentType="application/vnd.openxmlformats-officedocument.spreadsheetml.worksheet+xml" PartName="/xl/worksheets/sheet7080.xml"/>
  <Override ContentType="application/vnd.openxmlformats-officedocument.spreadsheetml.worksheet+xml" PartName="/xl/worksheets/sheet7081.xml"/>
  <Override ContentType="application/vnd.openxmlformats-officedocument.spreadsheetml.worksheet+xml" PartName="/xl/worksheets/sheet7082.xml"/>
  <Override ContentType="application/vnd.openxmlformats-officedocument.spreadsheetml.worksheet+xml" PartName="/xl/worksheets/sheet7083.xml"/>
  <Override ContentType="application/vnd.openxmlformats-officedocument.spreadsheetml.worksheet+xml" PartName="/xl/worksheets/sheet7084.xml"/>
  <Override ContentType="application/vnd.openxmlformats-officedocument.spreadsheetml.worksheet+xml" PartName="/xl/worksheets/sheet7085.xml"/>
  <Override ContentType="application/vnd.openxmlformats-officedocument.spreadsheetml.worksheet+xml" PartName="/xl/worksheets/sheet7086.xml"/>
  <Override ContentType="application/vnd.openxmlformats-officedocument.spreadsheetml.worksheet+xml" PartName="/xl/worksheets/sheet7087.xml"/>
  <Override ContentType="application/vnd.openxmlformats-officedocument.spreadsheetml.worksheet+xml" PartName="/xl/worksheets/sheet7088.xml"/>
  <Override ContentType="application/vnd.openxmlformats-officedocument.spreadsheetml.worksheet+xml" PartName="/xl/worksheets/sheet7089.xml"/>
  <Override ContentType="application/vnd.openxmlformats-officedocument.spreadsheetml.worksheet+xml" PartName="/xl/worksheets/sheet7090.xml"/>
  <Override ContentType="application/vnd.openxmlformats-officedocument.spreadsheetml.worksheet+xml" PartName="/xl/worksheets/sheet7091.xml"/>
  <Override ContentType="application/vnd.openxmlformats-officedocument.spreadsheetml.worksheet+xml" PartName="/xl/worksheets/sheet7092.xml"/>
  <Override ContentType="application/vnd.openxmlformats-officedocument.spreadsheetml.worksheet+xml" PartName="/xl/worksheets/sheet7093.xml"/>
  <Override ContentType="application/vnd.openxmlformats-officedocument.spreadsheetml.worksheet+xml" PartName="/xl/worksheets/sheet7094.xml"/>
  <Override ContentType="application/vnd.openxmlformats-officedocument.spreadsheetml.worksheet+xml" PartName="/xl/worksheets/sheet7095.xml"/>
  <Override ContentType="application/vnd.openxmlformats-officedocument.spreadsheetml.worksheet+xml" PartName="/xl/worksheets/sheet7096.xml"/>
  <Override ContentType="application/vnd.openxmlformats-officedocument.spreadsheetml.worksheet+xml" PartName="/xl/worksheets/sheet7097.xml"/>
  <Override ContentType="application/vnd.openxmlformats-officedocument.spreadsheetml.worksheet+xml" PartName="/xl/worksheets/sheet7098.xml"/>
  <Override ContentType="application/vnd.openxmlformats-officedocument.spreadsheetml.worksheet+xml" PartName="/xl/worksheets/sheet7099.xml"/>
  <Override ContentType="application/vnd.openxmlformats-officedocument.spreadsheetml.worksheet+xml" PartName="/xl/worksheets/sheet7100.xml"/>
  <Override ContentType="application/vnd.openxmlformats-officedocument.spreadsheetml.worksheet+xml" PartName="/xl/worksheets/sheet7101.xml"/>
  <Override ContentType="application/vnd.openxmlformats-officedocument.spreadsheetml.worksheet+xml" PartName="/xl/worksheets/sheet7102.xml"/>
  <Override ContentType="application/vnd.openxmlformats-officedocument.spreadsheetml.worksheet+xml" PartName="/xl/worksheets/sheet7103.xml"/>
  <Override ContentType="application/vnd.openxmlformats-officedocument.spreadsheetml.worksheet+xml" PartName="/xl/worksheets/sheet7104.xml"/>
  <Override ContentType="application/vnd.openxmlformats-officedocument.spreadsheetml.worksheet+xml" PartName="/xl/worksheets/sheet7105.xml"/>
  <Override ContentType="application/vnd.openxmlformats-officedocument.spreadsheetml.worksheet+xml" PartName="/xl/worksheets/sheet7106.xml"/>
  <Override ContentType="application/vnd.openxmlformats-officedocument.spreadsheetml.worksheet+xml" PartName="/xl/worksheets/sheet7107.xml"/>
  <Override ContentType="application/vnd.openxmlformats-officedocument.spreadsheetml.worksheet+xml" PartName="/xl/worksheets/sheet7108.xml"/>
  <Override ContentType="application/vnd.openxmlformats-officedocument.spreadsheetml.worksheet+xml" PartName="/xl/worksheets/sheet7109.xml"/>
  <Override ContentType="application/vnd.openxmlformats-officedocument.spreadsheetml.worksheet+xml" PartName="/xl/worksheets/sheet7110.xml"/>
  <Override ContentType="application/vnd.openxmlformats-officedocument.spreadsheetml.worksheet+xml" PartName="/xl/worksheets/sheet7111.xml"/>
  <Override ContentType="application/vnd.openxmlformats-officedocument.spreadsheetml.worksheet+xml" PartName="/xl/worksheets/sheet7112.xml"/>
  <Override ContentType="application/vnd.openxmlformats-officedocument.spreadsheetml.worksheet+xml" PartName="/xl/worksheets/sheet7113.xml"/>
  <Override ContentType="application/vnd.openxmlformats-officedocument.spreadsheetml.worksheet+xml" PartName="/xl/worksheets/sheet7114.xml"/>
  <Override ContentType="application/vnd.openxmlformats-officedocument.spreadsheetml.worksheet+xml" PartName="/xl/worksheets/sheet7115.xml"/>
  <Override ContentType="application/vnd.openxmlformats-officedocument.spreadsheetml.worksheet+xml" PartName="/xl/worksheets/sheet7116.xml"/>
  <Override ContentType="application/vnd.openxmlformats-officedocument.spreadsheetml.worksheet+xml" PartName="/xl/worksheets/sheet7117.xml"/>
  <Override ContentType="application/vnd.openxmlformats-officedocument.spreadsheetml.worksheet+xml" PartName="/xl/worksheets/sheet7118.xml"/>
  <Override ContentType="application/vnd.openxmlformats-officedocument.spreadsheetml.worksheet+xml" PartName="/xl/worksheets/sheet7119.xml"/>
  <Override ContentType="application/vnd.openxmlformats-officedocument.spreadsheetml.worksheet+xml" PartName="/xl/worksheets/sheet7120.xml"/>
  <Override ContentType="application/vnd.openxmlformats-officedocument.spreadsheetml.worksheet+xml" PartName="/xl/worksheets/sheet7121.xml"/>
  <Override ContentType="application/vnd.openxmlformats-officedocument.spreadsheetml.worksheet+xml" PartName="/xl/worksheets/sheet7122.xml"/>
  <Override ContentType="application/vnd.openxmlformats-officedocument.spreadsheetml.worksheet+xml" PartName="/xl/worksheets/sheet7123.xml"/>
  <Override ContentType="application/vnd.openxmlformats-officedocument.spreadsheetml.worksheet+xml" PartName="/xl/worksheets/sheet7124.xml"/>
  <Override ContentType="application/vnd.openxmlformats-officedocument.spreadsheetml.worksheet+xml" PartName="/xl/worksheets/sheet7125.xml"/>
  <Override ContentType="application/vnd.openxmlformats-officedocument.spreadsheetml.worksheet+xml" PartName="/xl/worksheets/sheet7126.xml"/>
  <Override ContentType="application/vnd.openxmlformats-officedocument.spreadsheetml.worksheet+xml" PartName="/xl/worksheets/sheet7127.xml"/>
  <Override ContentType="application/vnd.openxmlformats-officedocument.spreadsheetml.worksheet+xml" PartName="/xl/worksheets/sheet7128.xml"/>
  <Override ContentType="application/vnd.openxmlformats-officedocument.spreadsheetml.worksheet+xml" PartName="/xl/worksheets/sheet7129.xml"/>
  <Override ContentType="application/vnd.openxmlformats-officedocument.spreadsheetml.worksheet+xml" PartName="/xl/worksheets/sheet7130.xml"/>
  <Override ContentType="application/vnd.openxmlformats-officedocument.spreadsheetml.worksheet+xml" PartName="/xl/worksheets/sheet7131.xml"/>
  <Override ContentType="application/vnd.openxmlformats-officedocument.spreadsheetml.worksheet+xml" PartName="/xl/worksheets/sheet7132.xml"/>
  <Override ContentType="application/vnd.openxmlformats-officedocument.spreadsheetml.worksheet+xml" PartName="/xl/worksheets/sheet7133.xml"/>
  <Override ContentType="application/vnd.openxmlformats-officedocument.spreadsheetml.worksheet+xml" PartName="/xl/worksheets/sheet7134.xml"/>
  <Override ContentType="application/vnd.openxmlformats-officedocument.spreadsheetml.worksheet+xml" PartName="/xl/worksheets/sheet7135.xml"/>
  <Override ContentType="application/vnd.openxmlformats-officedocument.spreadsheetml.worksheet+xml" PartName="/xl/worksheets/sheet7136.xml"/>
  <Override ContentType="application/vnd.openxmlformats-officedocument.spreadsheetml.worksheet+xml" PartName="/xl/worksheets/sheet7137.xml"/>
  <Override ContentType="application/vnd.openxmlformats-officedocument.spreadsheetml.worksheet+xml" PartName="/xl/worksheets/sheet7138.xml"/>
  <Override ContentType="application/vnd.openxmlformats-officedocument.spreadsheetml.worksheet+xml" PartName="/xl/worksheets/sheet7139.xml"/>
  <Override ContentType="application/vnd.openxmlformats-officedocument.spreadsheetml.worksheet+xml" PartName="/xl/worksheets/sheet7140.xml"/>
  <Override ContentType="application/vnd.openxmlformats-officedocument.spreadsheetml.worksheet+xml" PartName="/xl/worksheets/sheet7141.xml"/>
  <Override ContentType="application/vnd.openxmlformats-officedocument.spreadsheetml.worksheet+xml" PartName="/xl/worksheets/sheet7142.xml"/>
  <Override ContentType="application/vnd.openxmlformats-officedocument.spreadsheetml.worksheet+xml" PartName="/xl/worksheets/sheet7143.xml"/>
  <Override ContentType="application/vnd.openxmlformats-officedocument.spreadsheetml.worksheet+xml" PartName="/xl/worksheets/sheet7144.xml"/>
  <Override ContentType="application/vnd.openxmlformats-officedocument.spreadsheetml.worksheet+xml" PartName="/xl/worksheets/sheet7145.xml"/>
  <Override ContentType="application/vnd.openxmlformats-officedocument.spreadsheetml.worksheet+xml" PartName="/xl/worksheets/sheet7146.xml"/>
  <Override ContentType="application/vnd.openxmlformats-officedocument.spreadsheetml.worksheet+xml" PartName="/xl/worksheets/sheet7147.xml"/>
  <Override ContentType="application/vnd.openxmlformats-officedocument.spreadsheetml.worksheet+xml" PartName="/xl/worksheets/sheet7148.xml"/>
  <Override ContentType="application/vnd.openxmlformats-officedocument.spreadsheetml.worksheet+xml" PartName="/xl/worksheets/sheet7149.xml"/>
  <Override ContentType="application/vnd.openxmlformats-officedocument.spreadsheetml.worksheet+xml" PartName="/xl/worksheets/sheet7150.xml"/>
  <Override ContentType="application/vnd.openxmlformats-officedocument.spreadsheetml.worksheet+xml" PartName="/xl/worksheets/sheet7151.xml"/>
  <Override ContentType="application/vnd.openxmlformats-officedocument.spreadsheetml.worksheet+xml" PartName="/xl/worksheets/sheet7152.xml"/>
  <Override ContentType="application/vnd.openxmlformats-officedocument.spreadsheetml.worksheet+xml" PartName="/xl/worksheets/sheet7153.xml"/>
  <Override ContentType="application/vnd.openxmlformats-officedocument.spreadsheetml.worksheet+xml" PartName="/xl/worksheets/sheet7154.xml"/>
  <Override ContentType="application/vnd.openxmlformats-officedocument.spreadsheetml.worksheet+xml" PartName="/xl/worksheets/sheet7155.xml"/>
  <Override ContentType="application/vnd.openxmlformats-officedocument.spreadsheetml.worksheet+xml" PartName="/xl/worksheets/sheet7156.xml"/>
  <Override ContentType="application/vnd.openxmlformats-officedocument.spreadsheetml.worksheet+xml" PartName="/xl/worksheets/sheet7157.xml"/>
  <Override ContentType="application/vnd.openxmlformats-officedocument.spreadsheetml.worksheet+xml" PartName="/xl/worksheets/sheet7158.xml"/>
  <Override ContentType="application/vnd.openxmlformats-officedocument.spreadsheetml.worksheet+xml" PartName="/xl/worksheets/sheet7159.xml"/>
  <Override ContentType="application/vnd.openxmlformats-officedocument.spreadsheetml.worksheet+xml" PartName="/xl/worksheets/sheet7160.xml"/>
  <Override ContentType="application/vnd.openxmlformats-officedocument.spreadsheetml.worksheet+xml" PartName="/xl/worksheets/sheet7161.xml"/>
  <Override ContentType="application/vnd.openxmlformats-officedocument.spreadsheetml.worksheet+xml" PartName="/xl/worksheets/sheet7162.xml"/>
  <Override ContentType="application/vnd.openxmlformats-officedocument.spreadsheetml.worksheet+xml" PartName="/xl/worksheets/sheet7163.xml"/>
  <Override ContentType="application/vnd.openxmlformats-officedocument.spreadsheetml.worksheet+xml" PartName="/xl/worksheets/sheet7164.xml"/>
  <Override ContentType="application/vnd.openxmlformats-officedocument.spreadsheetml.worksheet+xml" PartName="/xl/worksheets/sheet7165.xml"/>
  <Override ContentType="application/vnd.openxmlformats-officedocument.spreadsheetml.worksheet+xml" PartName="/xl/worksheets/sheet7166.xml"/>
  <Override ContentType="application/vnd.openxmlformats-officedocument.spreadsheetml.worksheet+xml" PartName="/xl/worksheets/sheet7167.xml"/>
  <Override ContentType="application/vnd.openxmlformats-officedocument.spreadsheetml.worksheet+xml" PartName="/xl/worksheets/sheet7168.xml"/>
  <Override ContentType="application/vnd.openxmlformats-officedocument.spreadsheetml.worksheet+xml" PartName="/xl/worksheets/sheet7169.xml"/>
  <Override ContentType="application/vnd.openxmlformats-officedocument.spreadsheetml.worksheet+xml" PartName="/xl/worksheets/sheet7170.xml"/>
  <Override ContentType="application/vnd.openxmlformats-officedocument.spreadsheetml.worksheet+xml" PartName="/xl/worksheets/sheet7171.xml"/>
  <Override ContentType="application/vnd.openxmlformats-officedocument.spreadsheetml.worksheet+xml" PartName="/xl/worksheets/sheet7172.xml"/>
  <Override ContentType="application/vnd.openxmlformats-officedocument.spreadsheetml.worksheet+xml" PartName="/xl/worksheets/sheet7173.xml"/>
  <Override ContentType="application/vnd.openxmlformats-officedocument.spreadsheetml.worksheet+xml" PartName="/xl/worksheets/sheet7174.xml"/>
  <Override ContentType="application/vnd.openxmlformats-officedocument.spreadsheetml.worksheet+xml" PartName="/xl/worksheets/sheet7175.xml"/>
  <Override ContentType="application/vnd.openxmlformats-officedocument.spreadsheetml.worksheet+xml" PartName="/xl/worksheets/sheet7176.xml"/>
  <Override ContentType="application/vnd.openxmlformats-officedocument.spreadsheetml.worksheet+xml" PartName="/xl/worksheets/sheet7177.xml"/>
  <Override ContentType="application/vnd.openxmlformats-officedocument.spreadsheetml.worksheet+xml" PartName="/xl/worksheets/sheet7178.xml"/>
  <Override ContentType="application/vnd.openxmlformats-officedocument.spreadsheetml.worksheet+xml" PartName="/xl/worksheets/sheet7179.xml"/>
  <Override ContentType="application/vnd.openxmlformats-officedocument.spreadsheetml.worksheet+xml" PartName="/xl/worksheets/sheet7180.xml"/>
  <Override ContentType="application/vnd.openxmlformats-officedocument.spreadsheetml.worksheet+xml" PartName="/xl/worksheets/sheet7181.xml"/>
  <Override ContentType="application/vnd.openxmlformats-officedocument.spreadsheetml.worksheet+xml" PartName="/xl/worksheets/sheet7182.xml"/>
  <Override ContentType="application/vnd.openxmlformats-officedocument.spreadsheetml.worksheet+xml" PartName="/xl/worksheets/sheet7183.xml"/>
  <Override ContentType="application/vnd.openxmlformats-officedocument.spreadsheetml.worksheet+xml" PartName="/xl/worksheets/sheet7184.xml"/>
  <Override ContentType="application/vnd.openxmlformats-officedocument.spreadsheetml.worksheet+xml" PartName="/xl/worksheets/sheet7185.xml"/>
  <Override ContentType="application/vnd.openxmlformats-officedocument.spreadsheetml.worksheet+xml" PartName="/xl/worksheets/sheet7186.xml"/>
  <Override ContentType="application/vnd.openxmlformats-officedocument.spreadsheetml.worksheet+xml" PartName="/xl/worksheets/sheet7187.xml"/>
  <Override ContentType="application/vnd.openxmlformats-officedocument.spreadsheetml.worksheet+xml" PartName="/xl/worksheets/sheet7188.xml"/>
  <Override ContentType="application/vnd.openxmlformats-officedocument.spreadsheetml.worksheet+xml" PartName="/xl/worksheets/sheet7189.xml"/>
  <Override ContentType="application/vnd.openxmlformats-officedocument.spreadsheetml.worksheet+xml" PartName="/xl/worksheets/sheet7190.xml"/>
  <Override ContentType="application/vnd.openxmlformats-officedocument.spreadsheetml.worksheet+xml" PartName="/xl/worksheets/sheet7191.xml"/>
  <Override ContentType="application/vnd.openxmlformats-officedocument.spreadsheetml.worksheet+xml" PartName="/xl/worksheets/sheet7192.xml"/>
  <Override ContentType="application/vnd.openxmlformats-officedocument.spreadsheetml.worksheet+xml" PartName="/xl/worksheets/sheet7193.xml"/>
  <Override ContentType="application/vnd.openxmlformats-officedocument.spreadsheetml.worksheet+xml" PartName="/xl/worksheets/sheet7194.xml"/>
  <Override ContentType="application/vnd.openxmlformats-officedocument.spreadsheetml.worksheet+xml" PartName="/xl/worksheets/sheet7195.xml"/>
  <Override ContentType="application/vnd.openxmlformats-officedocument.spreadsheetml.worksheet+xml" PartName="/xl/worksheets/sheet7196.xml"/>
  <Override ContentType="application/vnd.openxmlformats-officedocument.spreadsheetml.worksheet+xml" PartName="/xl/worksheets/sheet7197.xml"/>
  <Override ContentType="application/vnd.openxmlformats-officedocument.spreadsheetml.worksheet+xml" PartName="/xl/worksheets/sheet7198.xml"/>
  <Override ContentType="application/vnd.openxmlformats-officedocument.spreadsheetml.worksheet+xml" PartName="/xl/worksheets/sheet7199.xml"/>
  <Override ContentType="application/vnd.openxmlformats-officedocument.spreadsheetml.worksheet+xml" PartName="/xl/worksheets/sheet7200.xml"/>
  <Override ContentType="application/vnd.openxmlformats-officedocument.spreadsheetml.worksheet+xml" PartName="/xl/worksheets/sheet7201.xml"/>
  <Override ContentType="application/vnd.openxmlformats-officedocument.spreadsheetml.worksheet+xml" PartName="/xl/worksheets/sheet7202.xml"/>
  <Override ContentType="application/vnd.openxmlformats-officedocument.spreadsheetml.worksheet+xml" PartName="/xl/worksheets/sheet7203.xml"/>
  <Override ContentType="application/vnd.openxmlformats-officedocument.spreadsheetml.worksheet+xml" PartName="/xl/worksheets/sheet7204.xml"/>
  <Override ContentType="application/vnd.openxmlformats-officedocument.spreadsheetml.worksheet+xml" PartName="/xl/worksheets/sheet7205.xml"/>
  <Override ContentType="application/vnd.openxmlformats-officedocument.spreadsheetml.worksheet+xml" PartName="/xl/worksheets/sheet7206.xml"/>
  <Override ContentType="application/vnd.openxmlformats-officedocument.spreadsheetml.worksheet+xml" PartName="/xl/worksheets/sheet7207.xml"/>
  <Override ContentType="application/vnd.openxmlformats-officedocument.spreadsheetml.worksheet+xml" PartName="/xl/worksheets/sheet7208.xml"/>
  <Override ContentType="application/vnd.openxmlformats-officedocument.spreadsheetml.worksheet+xml" PartName="/xl/worksheets/sheet7209.xml"/>
  <Override ContentType="application/vnd.openxmlformats-officedocument.spreadsheetml.worksheet+xml" PartName="/xl/worksheets/sheet7210.xml"/>
  <Override ContentType="application/vnd.openxmlformats-officedocument.spreadsheetml.worksheet+xml" PartName="/xl/worksheets/sheet7211.xml"/>
  <Override ContentType="application/vnd.openxmlformats-officedocument.spreadsheetml.worksheet+xml" PartName="/xl/worksheets/sheet7212.xml"/>
  <Override ContentType="application/vnd.openxmlformats-officedocument.spreadsheetml.worksheet+xml" PartName="/xl/worksheets/sheet7213.xml"/>
  <Override ContentType="application/vnd.openxmlformats-officedocument.spreadsheetml.worksheet+xml" PartName="/xl/worksheets/sheet7214.xml"/>
  <Override ContentType="application/vnd.openxmlformats-officedocument.spreadsheetml.worksheet+xml" PartName="/xl/worksheets/sheet7215.xml"/>
  <Override ContentType="application/vnd.openxmlformats-officedocument.spreadsheetml.worksheet+xml" PartName="/xl/worksheets/sheet7216.xml"/>
  <Override ContentType="application/vnd.openxmlformats-officedocument.spreadsheetml.worksheet+xml" PartName="/xl/worksheets/sheet7217.xml"/>
  <Override ContentType="application/vnd.openxmlformats-officedocument.spreadsheetml.worksheet+xml" PartName="/xl/worksheets/sheet7218.xml"/>
  <Override ContentType="application/vnd.openxmlformats-officedocument.spreadsheetml.worksheet+xml" PartName="/xl/worksheets/sheet7219.xml"/>
  <Override ContentType="application/vnd.openxmlformats-officedocument.spreadsheetml.worksheet+xml" PartName="/xl/worksheets/sheet7220.xml"/>
  <Override ContentType="application/vnd.openxmlformats-officedocument.spreadsheetml.worksheet+xml" PartName="/xl/worksheets/sheet7221.xml"/>
  <Override ContentType="application/vnd.openxmlformats-officedocument.spreadsheetml.worksheet+xml" PartName="/xl/worksheets/sheet7222.xml"/>
  <Override ContentType="application/vnd.openxmlformats-officedocument.spreadsheetml.worksheet+xml" PartName="/xl/worksheets/sheet7223.xml"/>
  <Override ContentType="application/vnd.openxmlformats-officedocument.spreadsheetml.worksheet+xml" PartName="/xl/worksheets/sheet7224.xml"/>
  <Override ContentType="application/vnd.openxmlformats-officedocument.spreadsheetml.worksheet+xml" PartName="/xl/worksheets/sheet7225.xml"/>
  <Override ContentType="application/vnd.openxmlformats-officedocument.spreadsheetml.worksheet+xml" PartName="/xl/worksheets/sheet7226.xml"/>
  <Override ContentType="application/vnd.openxmlformats-officedocument.spreadsheetml.worksheet+xml" PartName="/xl/worksheets/sheet7227.xml"/>
  <Override ContentType="application/vnd.openxmlformats-officedocument.spreadsheetml.worksheet+xml" PartName="/xl/worksheets/sheet7228.xml"/>
  <Override ContentType="application/vnd.openxmlformats-officedocument.spreadsheetml.worksheet+xml" PartName="/xl/worksheets/sheet7229.xml"/>
  <Override ContentType="application/vnd.openxmlformats-officedocument.spreadsheetml.worksheet+xml" PartName="/xl/worksheets/sheet7230.xml"/>
  <Override ContentType="application/vnd.openxmlformats-officedocument.spreadsheetml.worksheet+xml" PartName="/xl/worksheets/sheet7231.xml"/>
  <Override ContentType="application/vnd.openxmlformats-officedocument.spreadsheetml.worksheet+xml" PartName="/xl/worksheets/sheet7232.xml"/>
  <Override ContentType="application/vnd.openxmlformats-officedocument.spreadsheetml.worksheet+xml" PartName="/xl/worksheets/sheet7233.xml"/>
  <Override ContentType="application/vnd.openxmlformats-officedocument.spreadsheetml.worksheet+xml" PartName="/xl/worksheets/sheet7234.xml"/>
  <Override ContentType="application/vnd.openxmlformats-officedocument.spreadsheetml.worksheet+xml" PartName="/xl/worksheets/sheet7235.xml"/>
  <Override ContentType="application/vnd.openxmlformats-officedocument.spreadsheetml.worksheet+xml" PartName="/xl/worksheets/sheet7236.xml"/>
  <Override ContentType="application/vnd.openxmlformats-officedocument.spreadsheetml.worksheet+xml" PartName="/xl/worksheets/sheet7237.xml"/>
  <Override ContentType="application/vnd.openxmlformats-officedocument.spreadsheetml.worksheet+xml" PartName="/xl/worksheets/sheet7238.xml"/>
  <Override ContentType="application/vnd.openxmlformats-officedocument.spreadsheetml.worksheet+xml" PartName="/xl/worksheets/sheet7239.xml"/>
  <Override ContentType="application/vnd.openxmlformats-officedocument.spreadsheetml.worksheet+xml" PartName="/xl/worksheets/sheet7240.xml"/>
  <Override ContentType="application/vnd.openxmlformats-officedocument.spreadsheetml.worksheet+xml" PartName="/xl/worksheets/sheet7241.xml"/>
  <Override ContentType="application/vnd.openxmlformats-officedocument.spreadsheetml.worksheet+xml" PartName="/xl/worksheets/sheet7242.xml"/>
  <Override ContentType="application/vnd.openxmlformats-officedocument.spreadsheetml.worksheet+xml" PartName="/xl/worksheets/sheet7243.xml"/>
  <Override ContentType="application/vnd.openxmlformats-officedocument.spreadsheetml.worksheet+xml" PartName="/xl/worksheets/sheet7244.xml"/>
  <Override ContentType="application/vnd.openxmlformats-officedocument.spreadsheetml.worksheet+xml" PartName="/xl/worksheets/sheet7245.xml"/>
  <Override ContentType="application/vnd.openxmlformats-officedocument.spreadsheetml.worksheet+xml" PartName="/xl/worksheets/sheet7246.xml"/>
  <Override ContentType="application/vnd.openxmlformats-officedocument.spreadsheetml.worksheet+xml" PartName="/xl/worksheets/sheet7247.xml"/>
  <Override ContentType="application/vnd.openxmlformats-officedocument.spreadsheetml.worksheet+xml" PartName="/xl/worksheets/sheet7248.xml"/>
  <Override ContentType="application/vnd.openxmlformats-officedocument.spreadsheetml.worksheet+xml" PartName="/xl/worksheets/sheet7249.xml"/>
  <Override ContentType="application/vnd.openxmlformats-officedocument.spreadsheetml.worksheet+xml" PartName="/xl/worksheets/sheet7250.xml"/>
  <Override ContentType="application/vnd.openxmlformats-officedocument.spreadsheetml.worksheet+xml" PartName="/xl/worksheets/sheet7251.xml"/>
  <Override ContentType="application/vnd.openxmlformats-officedocument.spreadsheetml.worksheet+xml" PartName="/xl/worksheets/sheet7252.xml"/>
  <Override ContentType="application/vnd.openxmlformats-officedocument.spreadsheetml.worksheet+xml" PartName="/xl/worksheets/sheet7253.xml"/>
  <Override ContentType="application/vnd.openxmlformats-officedocument.spreadsheetml.worksheet+xml" PartName="/xl/worksheets/sheet7254.xml"/>
  <Override ContentType="application/vnd.openxmlformats-officedocument.spreadsheetml.worksheet+xml" PartName="/xl/worksheets/sheet7255.xml"/>
  <Override ContentType="application/vnd.openxmlformats-officedocument.spreadsheetml.worksheet+xml" PartName="/xl/worksheets/sheet7256.xml"/>
  <Override ContentType="application/vnd.openxmlformats-officedocument.spreadsheetml.worksheet+xml" PartName="/xl/worksheets/sheet7257.xml"/>
  <Override ContentType="application/vnd.openxmlformats-officedocument.spreadsheetml.worksheet+xml" PartName="/xl/worksheets/sheet7258.xml"/>
  <Override ContentType="application/vnd.openxmlformats-officedocument.spreadsheetml.worksheet+xml" PartName="/xl/worksheets/sheet7259.xml"/>
  <Override ContentType="application/vnd.openxmlformats-officedocument.spreadsheetml.worksheet+xml" PartName="/xl/worksheets/sheet7260.xml"/>
  <Override ContentType="application/vnd.openxmlformats-officedocument.spreadsheetml.worksheet+xml" PartName="/xl/worksheets/sheet7261.xml"/>
  <Override ContentType="application/vnd.openxmlformats-officedocument.spreadsheetml.worksheet+xml" PartName="/xl/worksheets/sheet7262.xml"/>
  <Override ContentType="application/vnd.openxmlformats-officedocument.spreadsheetml.worksheet+xml" PartName="/xl/worksheets/sheet7263.xml"/>
  <Override ContentType="application/vnd.openxmlformats-officedocument.spreadsheetml.worksheet+xml" PartName="/xl/worksheets/sheet7264.xml"/>
  <Override ContentType="application/vnd.openxmlformats-officedocument.spreadsheetml.worksheet+xml" PartName="/xl/worksheets/sheet7265.xml"/>
  <Override ContentType="application/vnd.openxmlformats-officedocument.spreadsheetml.worksheet+xml" PartName="/xl/worksheets/sheet7266.xml"/>
  <Override ContentType="application/vnd.openxmlformats-officedocument.spreadsheetml.worksheet+xml" PartName="/xl/worksheets/sheet7267.xml"/>
  <Override ContentType="application/vnd.openxmlformats-officedocument.spreadsheetml.worksheet+xml" PartName="/xl/worksheets/sheet7268.xml"/>
  <Override ContentType="application/vnd.openxmlformats-officedocument.spreadsheetml.worksheet+xml" PartName="/xl/worksheets/sheet7269.xml"/>
  <Override ContentType="application/vnd.openxmlformats-officedocument.spreadsheetml.worksheet+xml" PartName="/xl/worksheets/sheet7270.xml"/>
  <Override ContentType="application/vnd.openxmlformats-officedocument.spreadsheetml.worksheet+xml" PartName="/xl/worksheets/sheet7271.xml"/>
  <Override ContentType="application/vnd.openxmlformats-officedocument.spreadsheetml.worksheet+xml" PartName="/xl/worksheets/sheet7272.xml"/>
  <Override ContentType="application/vnd.openxmlformats-officedocument.spreadsheetml.worksheet+xml" PartName="/xl/worksheets/sheet7273.xml"/>
  <Override ContentType="application/vnd.openxmlformats-officedocument.spreadsheetml.worksheet+xml" PartName="/xl/worksheets/sheet7274.xml"/>
  <Override ContentType="application/vnd.openxmlformats-officedocument.spreadsheetml.worksheet+xml" PartName="/xl/worksheets/sheet7275.xml"/>
  <Override ContentType="application/vnd.openxmlformats-officedocument.spreadsheetml.worksheet+xml" PartName="/xl/worksheets/sheet7276.xml"/>
  <Override ContentType="application/vnd.openxmlformats-officedocument.spreadsheetml.worksheet+xml" PartName="/xl/worksheets/sheet7277.xml"/>
  <Override ContentType="application/vnd.openxmlformats-officedocument.spreadsheetml.worksheet+xml" PartName="/xl/worksheets/sheet7278.xml"/>
  <Override ContentType="application/vnd.openxmlformats-officedocument.spreadsheetml.worksheet+xml" PartName="/xl/worksheets/sheet7279.xml"/>
  <Override ContentType="application/vnd.openxmlformats-officedocument.spreadsheetml.worksheet+xml" PartName="/xl/worksheets/sheet7280.xml"/>
  <Override ContentType="application/vnd.openxmlformats-officedocument.spreadsheetml.worksheet+xml" PartName="/xl/worksheets/sheet7281.xml"/>
  <Override ContentType="application/vnd.openxmlformats-officedocument.spreadsheetml.worksheet+xml" PartName="/xl/worksheets/sheet7282.xml"/>
  <Override ContentType="application/vnd.openxmlformats-officedocument.spreadsheetml.worksheet+xml" PartName="/xl/worksheets/sheet7283.xml"/>
  <Override ContentType="application/vnd.openxmlformats-officedocument.spreadsheetml.worksheet+xml" PartName="/xl/worksheets/sheet7284.xml"/>
  <Override ContentType="application/vnd.openxmlformats-officedocument.spreadsheetml.worksheet+xml" PartName="/xl/worksheets/sheet7285.xml"/>
  <Override ContentType="application/vnd.openxmlformats-officedocument.spreadsheetml.worksheet+xml" PartName="/xl/worksheets/sheet7286.xml"/>
  <Override ContentType="application/vnd.openxmlformats-officedocument.spreadsheetml.worksheet+xml" PartName="/xl/worksheets/sheet7287.xml"/>
  <Override ContentType="application/vnd.openxmlformats-officedocument.spreadsheetml.worksheet+xml" PartName="/xl/worksheets/sheet7288.xml"/>
  <Override ContentType="application/vnd.openxmlformats-officedocument.spreadsheetml.worksheet+xml" PartName="/xl/worksheets/sheet7289.xml"/>
  <Override ContentType="application/vnd.openxmlformats-officedocument.spreadsheetml.worksheet+xml" PartName="/xl/worksheets/sheet7290.xml"/>
  <Override ContentType="application/vnd.openxmlformats-officedocument.spreadsheetml.worksheet+xml" PartName="/xl/worksheets/sheet7291.xml"/>
  <Override ContentType="application/vnd.openxmlformats-officedocument.spreadsheetml.worksheet+xml" PartName="/xl/worksheets/sheet7292.xml"/>
  <Override ContentType="application/vnd.openxmlformats-officedocument.spreadsheetml.worksheet+xml" PartName="/xl/worksheets/sheet7293.xml"/>
  <Override ContentType="application/vnd.openxmlformats-officedocument.spreadsheetml.worksheet+xml" PartName="/xl/worksheets/sheet7294.xml"/>
  <Override ContentType="application/vnd.openxmlformats-officedocument.spreadsheetml.worksheet+xml" PartName="/xl/worksheets/sheet7295.xml"/>
  <Override ContentType="application/vnd.openxmlformats-officedocument.spreadsheetml.worksheet+xml" PartName="/xl/worksheets/sheet7296.xml"/>
  <Override ContentType="application/vnd.openxmlformats-officedocument.spreadsheetml.worksheet+xml" PartName="/xl/worksheets/sheet7297.xml"/>
  <Override ContentType="application/vnd.openxmlformats-officedocument.spreadsheetml.worksheet+xml" PartName="/xl/worksheets/sheet7298.xml"/>
  <Override ContentType="application/vnd.openxmlformats-officedocument.spreadsheetml.worksheet+xml" PartName="/xl/worksheets/sheet7299.xml"/>
  <Override ContentType="application/vnd.openxmlformats-officedocument.spreadsheetml.worksheet+xml" PartName="/xl/worksheets/sheet7300.xml"/>
  <Override ContentType="application/vnd.openxmlformats-officedocument.spreadsheetml.worksheet+xml" PartName="/xl/worksheets/sheet7301.xml"/>
  <Override ContentType="application/vnd.openxmlformats-officedocument.spreadsheetml.worksheet+xml" PartName="/xl/worksheets/sheet7302.xml"/>
  <Override ContentType="application/vnd.openxmlformats-officedocument.spreadsheetml.worksheet+xml" PartName="/xl/worksheets/sheet7303.xml"/>
  <Override ContentType="application/vnd.openxmlformats-officedocument.spreadsheetml.worksheet+xml" PartName="/xl/worksheets/sheet7304.xml"/>
  <Override ContentType="application/vnd.openxmlformats-officedocument.spreadsheetml.worksheet+xml" PartName="/xl/worksheets/sheet7305.xml"/>
  <Override ContentType="application/vnd.openxmlformats-officedocument.spreadsheetml.worksheet+xml" PartName="/xl/worksheets/sheet7306.xml"/>
  <Override ContentType="application/vnd.openxmlformats-officedocument.spreadsheetml.worksheet+xml" PartName="/xl/worksheets/sheet7307.xml"/>
  <Override ContentType="application/vnd.openxmlformats-officedocument.spreadsheetml.worksheet+xml" PartName="/xl/worksheets/sheet7308.xml"/>
  <Override ContentType="application/vnd.openxmlformats-officedocument.spreadsheetml.worksheet+xml" PartName="/xl/worksheets/sheet7309.xml"/>
  <Override ContentType="application/vnd.openxmlformats-officedocument.spreadsheetml.worksheet+xml" PartName="/xl/worksheets/sheet7310.xml"/>
  <Override ContentType="application/vnd.openxmlformats-officedocument.spreadsheetml.worksheet+xml" PartName="/xl/worksheets/sheet7311.xml"/>
  <Override ContentType="application/vnd.openxmlformats-officedocument.spreadsheetml.worksheet+xml" PartName="/xl/worksheets/sheet7312.xml"/>
  <Override ContentType="application/vnd.openxmlformats-officedocument.spreadsheetml.worksheet+xml" PartName="/xl/worksheets/sheet7313.xml"/>
  <Override ContentType="application/vnd.openxmlformats-officedocument.spreadsheetml.worksheet+xml" PartName="/xl/worksheets/sheet7314.xml"/>
  <Override ContentType="application/vnd.openxmlformats-officedocument.spreadsheetml.worksheet+xml" PartName="/xl/worksheets/sheet7315.xml"/>
  <Override ContentType="application/vnd.openxmlformats-officedocument.spreadsheetml.worksheet+xml" PartName="/xl/worksheets/sheet7316.xml"/>
  <Override ContentType="application/vnd.openxmlformats-officedocument.spreadsheetml.worksheet+xml" PartName="/xl/worksheets/sheet7317.xml"/>
  <Override ContentType="application/vnd.openxmlformats-officedocument.spreadsheetml.worksheet+xml" PartName="/xl/worksheets/sheet7318.xml"/>
  <Override ContentType="application/vnd.openxmlformats-officedocument.spreadsheetml.worksheet+xml" PartName="/xl/worksheets/sheet7319.xml"/>
  <Override ContentType="application/vnd.openxmlformats-officedocument.spreadsheetml.worksheet+xml" PartName="/xl/worksheets/sheet7320.xml"/>
  <Override ContentType="application/vnd.openxmlformats-officedocument.spreadsheetml.worksheet+xml" PartName="/xl/worksheets/sheet7321.xml"/>
  <Override ContentType="application/vnd.openxmlformats-officedocument.spreadsheetml.worksheet+xml" PartName="/xl/worksheets/sheet7322.xml"/>
  <Override ContentType="application/vnd.openxmlformats-officedocument.spreadsheetml.worksheet+xml" PartName="/xl/worksheets/sheet7323.xml"/>
  <Override ContentType="application/vnd.openxmlformats-officedocument.spreadsheetml.worksheet+xml" PartName="/xl/worksheets/sheet7324.xml"/>
  <Override ContentType="application/vnd.openxmlformats-officedocument.spreadsheetml.worksheet+xml" PartName="/xl/worksheets/sheet7325.xml"/>
  <Override ContentType="application/vnd.openxmlformats-officedocument.spreadsheetml.worksheet+xml" PartName="/xl/worksheets/sheet7326.xml"/>
  <Override ContentType="application/vnd.openxmlformats-officedocument.spreadsheetml.worksheet+xml" PartName="/xl/worksheets/sheet7327.xml"/>
  <Override ContentType="application/vnd.openxmlformats-officedocument.spreadsheetml.worksheet+xml" PartName="/xl/worksheets/sheet7328.xml"/>
  <Override ContentType="application/vnd.openxmlformats-officedocument.spreadsheetml.worksheet+xml" PartName="/xl/worksheets/sheet7329.xml"/>
  <Override ContentType="application/vnd.openxmlformats-officedocument.spreadsheetml.worksheet+xml" PartName="/xl/worksheets/sheet7330.xml"/>
  <Override ContentType="application/vnd.openxmlformats-officedocument.spreadsheetml.worksheet+xml" PartName="/xl/worksheets/sheet7331.xml"/>
  <Override ContentType="application/vnd.openxmlformats-officedocument.spreadsheetml.worksheet+xml" PartName="/xl/worksheets/sheet7332.xml"/>
  <Override ContentType="application/vnd.openxmlformats-officedocument.spreadsheetml.worksheet+xml" PartName="/xl/worksheets/sheet7333.xml"/>
  <Override ContentType="application/vnd.openxmlformats-officedocument.spreadsheetml.worksheet+xml" PartName="/xl/worksheets/sheet7334.xml"/>
  <Override ContentType="application/vnd.openxmlformats-officedocument.spreadsheetml.worksheet+xml" PartName="/xl/worksheets/sheet7335.xml"/>
  <Override ContentType="application/vnd.openxmlformats-officedocument.spreadsheetml.worksheet+xml" PartName="/xl/worksheets/sheet7336.xml"/>
  <Override ContentType="application/vnd.openxmlformats-officedocument.spreadsheetml.worksheet+xml" PartName="/xl/worksheets/sheet7337.xml"/>
  <Override ContentType="application/vnd.openxmlformats-officedocument.spreadsheetml.worksheet+xml" PartName="/xl/worksheets/sheet7338.xml"/>
  <Override ContentType="application/vnd.openxmlformats-officedocument.spreadsheetml.worksheet+xml" PartName="/xl/worksheets/sheet7339.xml"/>
  <Override ContentType="application/vnd.openxmlformats-officedocument.spreadsheetml.worksheet+xml" PartName="/xl/worksheets/sheet7340.xml"/>
  <Override ContentType="application/vnd.openxmlformats-officedocument.spreadsheetml.worksheet+xml" PartName="/xl/worksheets/sheet7341.xml"/>
  <Override ContentType="application/vnd.openxmlformats-officedocument.spreadsheetml.worksheet+xml" PartName="/xl/worksheets/sheet7342.xml"/>
  <Override ContentType="application/vnd.openxmlformats-officedocument.spreadsheetml.worksheet+xml" PartName="/xl/worksheets/sheet7343.xml"/>
  <Override ContentType="application/vnd.openxmlformats-officedocument.spreadsheetml.worksheet+xml" PartName="/xl/worksheets/sheet7344.xml"/>
  <Override ContentType="application/vnd.openxmlformats-officedocument.spreadsheetml.worksheet+xml" PartName="/xl/worksheets/sheet7345.xml"/>
  <Override ContentType="application/vnd.openxmlformats-officedocument.spreadsheetml.worksheet+xml" PartName="/xl/worksheets/sheet7346.xml"/>
  <Override ContentType="application/vnd.openxmlformats-officedocument.spreadsheetml.worksheet+xml" PartName="/xl/worksheets/sheet7347.xml"/>
  <Override ContentType="application/vnd.openxmlformats-officedocument.spreadsheetml.worksheet+xml" PartName="/xl/worksheets/sheet7348.xml"/>
  <Override ContentType="application/vnd.openxmlformats-officedocument.spreadsheetml.worksheet+xml" PartName="/xl/worksheets/sheet7349.xml"/>
  <Override ContentType="application/vnd.openxmlformats-officedocument.spreadsheetml.worksheet+xml" PartName="/xl/worksheets/sheet7350.xml"/>
  <Override ContentType="application/vnd.openxmlformats-officedocument.spreadsheetml.worksheet+xml" PartName="/xl/worksheets/sheet7351.xml"/>
  <Override ContentType="application/vnd.openxmlformats-officedocument.spreadsheetml.worksheet+xml" PartName="/xl/worksheets/sheet7352.xml"/>
  <Override ContentType="application/vnd.openxmlformats-officedocument.spreadsheetml.worksheet+xml" PartName="/xl/worksheets/sheet7353.xml"/>
  <Override ContentType="application/vnd.openxmlformats-officedocument.spreadsheetml.worksheet+xml" PartName="/xl/worksheets/sheet7354.xml"/>
  <Override ContentType="application/vnd.openxmlformats-officedocument.spreadsheetml.worksheet+xml" PartName="/xl/worksheets/sheet7355.xml"/>
  <Override ContentType="application/vnd.openxmlformats-officedocument.spreadsheetml.worksheet+xml" PartName="/xl/worksheets/sheet7356.xml"/>
  <Override ContentType="application/vnd.openxmlformats-officedocument.spreadsheetml.worksheet+xml" PartName="/xl/worksheets/sheet7357.xml"/>
  <Override ContentType="application/vnd.openxmlformats-officedocument.spreadsheetml.worksheet+xml" PartName="/xl/worksheets/sheet7358.xml"/>
  <Override ContentType="application/vnd.openxmlformats-officedocument.spreadsheetml.worksheet+xml" PartName="/xl/worksheets/sheet7359.xml"/>
  <Override ContentType="application/vnd.openxmlformats-officedocument.spreadsheetml.worksheet+xml" PartName="/xl/worksheets/sheet7360.xml"/>
  <Override ContentType="application/vnd.openxmlformats-officedocument.spreadsheetml.worksheet+xml" PartName="/xl/worksheets/sheet7361.xml"/>
  <Override ContentType="application/vnd.openxmlformats-officedocument.spreadsheetml.worksheet+xml" PartName="/xl/worksheets/sheet7362.xml"/>
  <Override ContentType="application/vnd.openxmlformats-officedocument.spreadsheetml.worksheet+xml" PartName="/xl/worksheets/sheet7363.xml"/>
  <Override ContentType="application/vnd.openxmlformats-officedocument.spreadsheetml.worksheet+xml" PartName="/xl/worksheets/sheet7364.xml"/>
  <Override ContentType="application/vnd.openxmlformats-officedocument.spreadsheetml.worksheet+xml" PartName="/xl/worksheets/sheet7365.xml"/>
  <Override ContentType="application/vnd.openxmlformats-officedocument.spreadsheetml.worksheet+xml" PartName="/xl/worksheets/sheet7366.xml"/>
  <Override ContentType="application/vnd.openxmlformats-officedocument.spreadsheetml.worksheet+xml" PartName="/xl/worksheets/sheet7367.xml"/>
  <Override ContentType="application/vnd.openxmlformats-officedocument.spreadsheetml.worksheet+xml" PartName="/xl/worksheets/sheet7368.xml"/>
  <Override ContentType="application/vnd.openxmlformats-officedocument.spreadsheetml.worksheet+xml" PartName="/xl/worksheets/sheet7369.xml"/>
  <Override ContentType="application/vnd.openxmlformats-officedocument.spreadsheetml.worksheet+xml" PartName="/xl/worksheets/sheet7370.xml"/>
  <Override ContentType="application/vnd.openxmlformats-officedocument.spreadsheetml.worksheet+xml" PartName="/xl/worksheets/sheet7371.xml"/>
  <Override ContentType="application/vnd.openxmlformats-officedocument.spreadsheetml.worksheet+xml" PartName="/xl/worksheets/sheet7372.xml"/>
  <Override ContentType="application/vnd.openxmlformats-officedocument.spreadsheetml.worksheet+xml" PartName="/xl/worksheets/sheet7373.xml"/>
  <Override ContentType="application/vnd.openxmlformats-officedocument.spreadsheetml.worksheet+xml" PartName="/xl/worksheets/sheet7374.xml"/>
  <Override ContentType="application/vnd.openxmlformats-officedocument.spreadsheetml.worksheet+xml" PartName="/xl/worksheets/sheet7375.xml"/>
  <Override ContentType="application/vnd.openxmlformats-officedocument.spreadsheetml.worksheet+xml" PartName="/xl/worksheets/sheet7376.xml"/>
  <Override ContentType="application/vnd.openxmlformats-officedocument.spreadsheetml.worksheet+xml" PartName="/xl/worksheets/sheet7377.xml"/>
  <Override ContentType="application/vnd.openxmlformats-officedocument.spreadsheetml.worksheet+xml" PartName="/xl/worksheets/sheet7378.xml"/>
  <Override ContentType="application/vnd.openxmlformats-officedocument.spreadsheetml.worksheet+xml" PartName="/xl/worksheets/sheet7379.xml"/>
  <Override ContentType="application/vnd.openxmlformats-officedocument.spreadsheetml.worksheet+xml" PartName="/xl/worksheets/sheet7380.xml"/>
  <Override ContentType="application/vnd.openxmlformats-officedocument.spreadsheetml.worksheet+xml" PartName="/xl/worksheets/sheet7381.xml"/>
  <Override ContentType="application/vnd.openxmlformats-officedocument.spreadsheetml.worksheet+xml" PartName="/xl/worksheets/sheet7382.xml"/>
  <Override ContentType="application/vnd.openxmlformats-officedocument.spreadsheetml.worksheet+xml" PartName="/xl/worksheets/sheet7383.xml"/>
  <Override ContentType="application/vnd.openxmlformats-officedocument.spreadsheetml.worksheet+xml" PartName="/xl/worksheets/sheet7384.xml"/>
  <Override ContentType="application/vnd.openxmlformats-officedocument.spreadsheetml.worksheet+xml" PartName="/xl/worksheets/sheet7385.xml"/>
  <Override ContentType="application/vnd.openxmlformats-officedocument.spreadsheetml.worksheet+xml" PartName="/xl/worksheets/sheet7386.xml"/>
  <Override ContentType="application/vnd.openxmlformats-officedocument.spreadsheetml.worksheet+xml" PartName="/xl/worksheets/sheet7387.xml"/>
  <Override ContentType="application/vnd.openxmlformats-officedocument.spreadsheetml.worksheet+xml" PartName="/xl/worksheets/sheet7388.xml"/>
  <Override ContentType="application/vnd.openxmlformats-officedocument.spreadsheetml.worksheet+xml" PartName="/xl/worksheets/sheet7389.xml"/>
  <Override ContentType="application/vnd.openxmlformats-officedocument.spreadsheetml.worksheet+xml" PartName="/xl/worksheets/sheet7390.xml"/>
  <Override ContentType="application/vnd.openxmlformats-officedocument.spreadsheetml.worksheet+xml" PartName="/xl/worksheets/sheet7391.xml"/>
  <Override ContentType="application/vnd.openxmlformats-officedocument.spreadsheetml.worksheet+xml" PartName="/xl/worksheets/sheet7392.xml"/>
  <Override ContentType="application/vnd.openxmlformats-officedocument.spreadsheetml.worksheet+xml" PartName="/xl/worksheets/sheet7393.xml"/>
  <Override ContentType="application/vnd.openxmlformats-officedocument.spreadsheetml.worksheet+xml" PartName="/xl/worksheets/sheet7394.xml"/>
  <Override ContentType="application/vnd.openxmlformats-officedocument.spreadsheetml.worksheet+xml" PartName="/xl/worksheets/sheet7395.xml"/>
  <Override ContentType="application/vnd.openxmlformats-officedocument.spreadsheetml.worksheet+xml" PartName="/xl/worksheets/sheet7396.xml"/>
  <Override ContentType="application/vnd.openxmlformats-officedocument.spreadsheetml.worksheet+xml" PartName="/xl/worksheets/sheet7397.xml"/>
  <Override ContentType="application/vnd.openxmlformats-officedocument.spreadsheetml.worksheet+xml" PartName="/xl/worksheets/sheet7398.xml"/>
  <Override ContentType="application/vnd.openxmlformats-officedocument.spreadsheetml.worksheet+xml" PartName="/xl/worksheets/sheet7399.xml"/>
  <Override ContentType="application/vnd.openxmlformats-officedocument.spreadsheetml.worksheet+xml" PartName="/xl/worksheets/sheet7400.xml"/>
  <Override ContentType="application/vnd.openxmlformats-officedocument.spreadsheetml.worksheet+xml" PartName="/xl/worksheets/sheet7401.xml"/>
  <Override ContentType="application/vnd.openxmlformats-officedocument.spreadsheetml.worksheet+xml" PartName="/xl/worksheets/sheet7402.xml"/>
  <Override ContentType="application/vnd.openxmlformats-officedocument.spreadsheetml.worksheet+xml" PartName="/xl/worksheets/sheet7403.xml"/>
  <Override ContentType="application/vnd.openxmlformats-officedocument.spreadsheetml.worksheet+xml" PartName="/xl/worksheets/sheet7404.xml"/>
  <Override ContentType="application/vnd.openxmlformats-officedocument.spreadsheetml.worksheet+xml" PartName="/xl/worksheets/sheet7405.xml"/>
  <Override ContentType="application/vnd.openxmlformats-officedocument.spreadsheetml.worksheet+xml" PartName="/xl/worksheets/sheet7406.xml"/>
  <Override ContentType="application/vnd.openxmlformats-officedocument.spreadsheetml.worksheet+xml" PartName="/xl/worksheets/sheet7407.xml"/>
  <Override ContentType="application/vnd.openxmlformats-officedocument.spreadsheetml.worksheet+xml" PartName="/xl/worksheets/sheet7408.xml"/>
  <Override ContentType="application/vnd.openxmlformats-officedocument.spreadsheetml.worksheet+xml" PartName="/xl/worksheets/sheet7409.xml"/>
  <Override ContentType="application/vnd.openxmlformats-officedocument.spreadsheetml.worksheet+xml" PartName="/xl/worksheets/sheet7410.xml"/>
  <Override ContentType="application/vnd.openxmlformats-officedocument.spreadsheetml.worksheet+xml" PartName="/xl/worksheets/sheet7411.xml"/>
  <Override ContentType="application/vnd.openxmlformats-officedocument.spreadsheetml.worksheet+xml" PartName="/xl/worksheets/sheet7412.xml"/>
  <Override ContentType="application/vnd.openxmlformats-officedocument.spreadsheetml.worksheet+xml" PartName="/xl/worksheets/sheet7413.xml"/>
  <Override ContentType="application/vnd.openxmlformats-officedocument.spreadsheetml.worksheet+xml" PartName="/xl/worksheets/sheet7414.xml"/>
  <Override ContentType="application/vnd.openxmlformats-officedocument.spreadsheetml.worksheet+xml" PartName="/xl/worksheets/sheet7415.xml"/>
  <Override ContentType="application/vnd.openxmlformats-officedocument.spreadsheetml.worksheet+xml" PartName="/xl/worksheets/sheet7416.xml"/>
  <Override ContentType="application/vnd.openxmlformats-officedocument.spreadsheetml.worksheet+xml" PartName="/xl/worksheets/sheet7417.xml"/>
  <Override ContentType="application/vnd.openxmlformats-officedocument.spreadsheetml.worksheet+xml" PartName="/xl/worksheets/sheet7418.xml"/>
  <Override ContentType="application/vnd.openxmlformats-officedocument.spreadsheetml.worksheet+xml" PartName="/xl/worksheets/sheet7419.xml"/>
  <Override ContentType="application/vnd.openxmlformats-officedocument.spreadsheetml.worksheet+xml" PartName="/xl/worksheets/sheet7420.xml"/>
  <Override ContentType="application/vnd.openxmlformats-officedocument.spreadsheetml.worksheet+xml" PartName="/xl/worksheets/sheet7421.xml"/>
  <Override ContentType="application/vnd.openxmlformats-officedocument.spreadsheetml.worksheet+xml" PartName="/xl/worksheets/sheet7422.xml"/>
  <Override ContentType="application/vnd.openxmlformats-officedocument.spreadsheetml.worksheet+xml" PartName="/xl/worksheets/sheet7423.xml"/>
  <Override ContentType="application/vnd.openxmlformats-officedocument.spreadsheetml.worksheet+xml" PartName="/xl/worksheets/sheet7424.xml"/>
  <Override ContentType="application/vnd.openxmlformats-officedocument.spreadsheetml.worksheet+xml" PartName="/xl/worksheets/sheet7425.xml"/>
  <Override ContentType="application/vnd.openxmlformats-officedocument.spreadsheetml.worksheet+xml" PartName="/xl/worksheets/sheet7426.xml"/>
  <Override ContentType="application/vnd.openxmlformats-officedocument.spreadsheetml.worksheet+xml" PartName="/xl/worksheets/sheet7427.xml"/>
  <Override ContentType="application/vnd.openxmlformats-officedocument.spreadsheetml.worksheet+xml" PartName="/xl/worksheets/sheet7428.xml"/>
  <Override ContentType="application/vnd.openxmlformats-officedocument.spreadsheetml.worksheet+xml" PartName="/xl/worksheets/sheet7429.xml"/>
  <Override ContentType="application/vnd.openxmlformats-officedocument.spreadsheetml.worksheet+xml" PartName="/xl/worksheets/sheet7430.xml"/>
  <Override ContentType="application/vnd.openxmlformats-officedocument.spreadsheetml.worksheet+xml" PartName="/xl/worksheets/sheet7431.xml"/>
  <Override ContentType="application/vnd.openxmlformats-officedocument.spreadsheetml.worksheet+xml" PartName="/xl/worksheets/sheet7432.xml"/>
  <Override ContentType="application/vnd.openxmlformats-officedocument.spreadsheetml.worksheet+xml" PartName="/xl/worksheets/sheet7433.xml"/>
  <Override ContentType="application/vnd.openxmlformats-officedocument.spreadsheetml.worksheet+xml" PartName="/xl/worksheets/sheet7434.xml"/>
  <Override ContentType="application/vnd.openxmlformats-officedocument.spreadsheetml.worksheet+xml" PartName="/xl/worksheets/sheet7435.xml"/>
  <Override ContentType="application/vnd.openxmlformats-officedocument.spreadsheetml.worksheet+xml" PartName="/xl/worksheets/sheet7436.xml"/>
  <Override ContentType="application/vnd.openxmlformats-officedocument.spreadsheetml.worksheet+xml" PartName="/xl/worksheets/sheet7437.xml"/>
  <Override ContentType="application/vnd.openxmlformats-officedocument.spreadsheetml.worksheet+xml" PartName="/xl/worksheets/sheet7438.xml"/>
  <Override ContentType="application/vnd.openxmlformats-officedocument.spreadsheetml.worksheet+xml" PartName="/xl/worksheets/sheet7439.xml"/>
  <Override ContentType="application/vnd.openxmlformats-officedocument.spreadsheetml.worksheet+xml" PartName="/xl/worksheets/sheet7440.xml"/>
  <Override ContentType="application/vnd.openxmlformats-officedocument.spreadsheetml.worksheet+xml" PartName="/xl/worksheets/sheet7441.xml"/>
  <Override ContentType="application/vnd.openxmlformats-officedocument.spreadsheetml.worksheet+xml" PartName="/xl/worksheets/sheet7442.xml"/>
  <Override ContentType="application/vnd.openxmlformats-officedocument.spreadsheetml.worksheet+xml" PartName="/xl/worksheets/sheet7443.xml"/>
  <Override ContentType="application/vnd.openxmlformats-officedocument.spreadsheetml.worksheet+xml" PartName="/xl/worksheets/sheet7444.xml"/>
  <Override ContentType="application/vnd.openxmlformats-officedocument.spreadsheetml.worksheet+xml" PartName="/xl/worksheets/sheet7445.xml"/>
  <Override ContentType="application/vnd.openxmlformats-officedocument.spreadsheetml.worksheet+xml" PartName="/xl/worksheets/sheet7446.xml"/>
  <Override ContentType="application/vnd.openxmlformats-officedocument.spreadsheetml.worksheet+xml" PartName="/xl/worksheets/sheet7447.xml"/>
  <Override ContentType="application/vnd.openxmlformats-officedocument.spreadsheetml.worksheet+xml" PartName="/xl/worksheets/sheet7448.xml"/>
  <Override ContentType="application/vnd.openxmlformats-officedocument.spreadsheetml.worksheet+xml" PartName="/xl/worksheets/sheet7449.xml"/>
  <Override ContentType="application/vnd.openxmlformats-officedocument.spreadsheetml.worksheet+xml" PartName="/xl/worksheets/sheet7450.xml"/>
  <Override ContentType="application/vnd.openxmlformats-officedocument.spreadsheetml.worksheet+xml" PartName="/xl/worksheets/sheet7451.xml"/>
  <Override ContentType="application/vnd.openxmlformats-officedocument.spreadsheetml.worksheet+xml" PartName="/xl/worksheets/sheet7452.xml"/>
  <Override ContentType="application/vnd.openxmlformats-officedocument.spreadsheetml.worksheet+xml" PartName="/xl/worksheets/sheet7453.xml"/>
  <Override ContentType="application/vnd.openxmlformats-officedocument.spreadsheetml.worksheet+xml" PartName="/xl/worksheets/sheet7454.xml"/>
  <Override ContentType="application/vnd.openxmlformats-officedocument.spreadsheetml.worksheet+xml" PartName="/xl/worksheets/sheet7455.xml"/>
  <Override ContentType="application/vnd.openxmlformats-officedocument.spreadsheetml.worksheet+xml" PartName="/xl/worksheets/sheet7456.xml"/>
  <Override ContentType="application/vnd.openxmlformats-officedocument.spreadsheetml.worksheet+xml" PartName="/xl/worksheets/sheet7457.xml"/>
  <Override ContentType="application/vnd.openxmlformats-officedocument.spreadsheetml.worksheet+xml" PartName="/xl/worksheets/sheet7458.xml"/>
  <Override ContentType="application/vnd.openxmlformats-officedocument.spreadsheetml.worksheet+xml" PartName="/xl/worksheets/sheet7459.xml"/>
  <Override ContentType="application/vnd.openxmlformats-officedocument.spreadsheetml.worksheet+xml" PartName="/xl/worksheets/sheet7460.xml"/>
  <Override ContentType="application/vnd.openxmlformats-officedocument.spreadsheetml.worksheet+xml" PartName="/xl/worksheets/sheet7461.xml"/>
  <Override ContentType="application/vnd.openxmlformats-officedocument.spreadsheetml.worksheet+xml" PartName="/xl/worksheets/sheet7462.xml"/>
  <Override ContentType="application/vnd.openxmlformats-officedocument.spreadsheetml.worksheet+xml" PartName="/xl/worksheets/sheet7463.xml"/>
  <Override ContentType="application/vnd.openxmlformats-officedocument.spreadsheetml.worksheet+xml" PartName="/xl/worksheets/sheet7464.xml"/>
  <Override ContentType="application/vnd.openxmlformats-officedocument.spreadsheetml.worksheet+xml" PartName="/xl/worksheets/sheet7465.xml"/>
  <Override ContentType="application/vnd.openxmlformats-officedocument.spreadsheetml.worksheet+xml" PartName="/xl/worksheets/sheet7466.xml"/>
  <Override ContentType="application/vnd.openxmlformats-officedocument.spreadsheetml.worksheet+xml" PartName="/xl/worksheets/sheet7467.xml"/>
  <Override ContentType="application/vnd.openxmlformats-officedocument.spreadsheetml.worksheet+xml" PartName="/xl/worksheets/sheet7468.xml"/>
  <Override ContentType="application/vnd.openxmlformats-officedocument.spreadsheetml.worksheet+xml" PartName="/xl/worksheets/sheet7469.xml"/>
  <Override ContentType="application/vnd.openxmlformats-officedocument.spreadsheetml.worksheet+xml" PartName="/xl/worksheets/sheet7470.xml"/>
  <Override ContentType="application/vnd.openxmlformats-officedocument.spreadsheetml.worksheet+xml" PartName="/xl/worksheets/sheet7471.xml"/>
  <Override ContentType="application/vnd.openxmlformats-officedocument.spreadsheetml.worksheet+xml" PartName="/xl/worksheets/sheet7472.xml"/>
  <Override ContentType="application/vnd.openxmlformats-officedocument.spreadsheetml.worksheet+xml" PartName="/xl/worksheets/sheet7473.xml"/>
  <Override ContentType="application/vnd.openxmlformats-officedocument.spreadsheetml.worksheet+xml" PartName="/xl/worksheets/sheet7474.xml"/>
  <Override ContentType="application/vnd.openxmlformats-officedocument.spreadsheetml.worksheet+xml" PartName="/xl/worksheets/sheet7475.xml"/>
  <Override ContentType="application/vnd.openxmlformats-officedocument.spreadsheetml.worksheet+xml" PartName="/xl/worksheets/sheet7476.xml"/>
  <Override ContentType="application/vnd.openxmlformats-officedocument.spreadsheetml.worksheet+xml" PartName="/xl/worksheets/sheet7477.xml"/>
  <Override ContentType="application/vnd.openxmlformats-officedocument.spreadsheetml.worksheet+xml" PartName="/xl/worksheets/sheet7478.xml"/>
  <Override ContentType="application/vnd.openxmlformats-officedocument.spreadsheetml.worksheet+xml" PartName="/xl/worksheets/sheet7479.xml"/>
  <Override ContentType="application/vnd.openxmlformats-officedocument.spreadsheetml.worksheet+xml" PartName="/xl/worksheets/sheet7480.xml"/>
  <Override ContentType="application/vnd.openxmlformats-officedocument.spreadsheetml.worksheet+xml" PartName="/xl/worksheets/sheet7481.xml"/>
  <Override ContentType="application/vnd.openxmlformats-officedocument.spreadsheetml.worksheet+xml" PartName="/xl/worksheets/sheet7482.xml"/>
  <Override ContentType="application/vnd.openxmlformats-officedocument.spreadsheetml.worksheet+xml" PartName="/xl/worksheets/sheet7483.xml"/>
  <Override ContentType="application/vnd.openxmlformats-officedocument.spreadsheetml.worksheet+xml" PartName="/xl/worksheets/sheet7484.xml"/>
  <Override ContentType="application/vnd.openxmlformats-officedocument.spreadsheetml.worksheet+xml" PartName="/xl/worksheets/sheet7485.xml"/>
  <Override ContentType="application/vnd.openxmlformats-officedocument.spreadsheetml.worksheet+xml" PartName="/xl/worksheets/sheet7486.xml"/>
  <Override ContentType="application/vnd.openxmlformats-officedocument.spreadsheetml.worksheet+xml" PartName="/xl/worksheets/sheet7487.xml"/>
  <Override ContentType="application/vnd.openxmlformats-officedocument.spreadsheetml.worksheet+xml" PartName="/xl/worksheets/sheet7488.xml"/>
  <Override ContentType="application/vnd.openxmlformats-officedocument.spreadsheetml.worksheet+xml" PartName="/xl/worksheets/sheet7489.xml"/>
  <Override ContentType="application/vnd.openxmlformats-officedocument.spreadsheetml.worksheet+xml" PartName="/xl/worksheets/sheet7490.xml"/>
  <Override ContentType="application/vnd.openxmlformats-officedocument.spreadsheetml.worksheet+xml" PartName="/xl/worksheets/sheet7491.xml"/>
  <Override ContentType="application/vnd.openxmlformats-officedocument.spreadsheetml.worksheet+xml" PartName="/xl/worksheets/sheet7492.xml"/>
  <Override ContentType="application/vnd.openxmlformats-officedocument.spreadsheetml.worksheet+xml" PartName="/xl/worksheets/sheet7493.xml"/>
  <Override ContentType="application/vnd.openxmlformats-officedocument.spreadsheetml.worksheet+xml" PartName="/xl/worksheets/sheet7494.xml"/>
  <Override ContentType="application/vnd.openxmlformats-officedocument.spreadsheetml.worksheet+xml" PartName="/xl/worksheets/sheet7495.xml"/>
  <Override ContentType="application/vnd.openxmlformats-officedocument.spreadsheetml.worksheet+xml" PartName="/xl/worksheets/sheet7496.xml"/>
  <Override ContentType="application/vnd.openxmlformats-officedocument.spreadsheetml.worksheet+xml" PartName="/xl/worksheets/sheet7497.xml"/>
  <Override ContentType="application/vnd.openxmlformats-officedocument.spreadsheetml.worksheet+xml" PartName="/xl/worksheets/sheet7498.xml"/>
  <Override ContentType="application/vnd.openxmlformats-officedocument.spreadsheetml.worksheet+xml" PartName="/xl/worksheets/sheet7499.xml"/>
  <Override ContentType="application/vnd.openxmlformats-officedocument.spreadsheetml.worksheet+xml" PartName="/xl/worksheets/sheet7500.xml"/>
  <Override ContentType="application/vnd.openxmlformats-officedocument.spreadsheetml.worksheet+xml" PartName="/xl/worksheets/sheet7501.xml"/>
  <Override ContentType="application/vnd.openxmlformats-officedocument.spreadsheetml.worksheet+xml" PartName="/xl/worksheets/sheet7502.xml"/>
  <Override ContentType="application/vnd.openxmlformats-officedocument.spreadsheetml.worksheet+xml" PartName="/xl/worksheets/sheet7503.xml"/>
  <Override ContentType="application/vnd.openxmlformats-officedocument.spreadsheetml.worksheet+xml" PartName="/xl/worksheets/sheet7504.xml"/>
  <Override ContentType="application/vnd.openxmlformats-officedocument.spreadsheetml.worksheet+xml" PartName="/xl/worksheets/sheet7505.xml"/>
  <Override ContentType="application/vnd.openxmlformats-officedocument.spreadsheetml.worksheet+xml" PartName="/xl/worksheets/sheet7506.xml"/>
  <Override ContentType="application/vnd.openxmlformats-officedocument.spreadsheetml.worksheet+xml" PartName="/xl/worksheets/sheet7507.xml"/>
  <Override ContentType="application/vnd.openxmlformats-officedocument.spreadsheetml.worksheet+xml" PartName="/xl/worksheets/sheet7508.xml"/>
  <Override ContentType="application/vnd.openxmlformats-officedocument.spreadsheetml.worksheet+xml" PartName="/xl/worksheets/sheet7509.xml"/>
  <Override ContentType="application/vnd.openxmlformats-officedocument.spreadsheetml.worksheet+xml" PartName="/xl/worksheets/sheet7510.xml"/>
  <Override ContentType="application/vnd.openxmlformats-officedocument.spreadsheetml.worksheet+xml" PartName="/xl/worksheets/sheet7511.xml"/>
  <Override ContentType="application/vnd.openxmlformats-officedocument.spreadsheetml.worksheet+xml" PartName="/xl/worksheets/sheet7512.xml"/>
  <Override ContentType="application/vnd.openxmlformats-officedocument.spreadsheetml.worksheet+xml" PartName="/xl/worksheets/sheet7513.xml"/>
  <Override ContentType="application/vnd.openxmlformats-officedocument.spreadsheetml.worksheet+xml" PartName="/xl/worksheets/sheet7514.xml"/>
  <Override ContentType="application/vnd.openxmlformats-officedocument.spreadsheetml.worksheet+xml" PartName="/xl/worksheets/sheet7515.xml"/>
  <Override ContentType="application/vnd.openxmlformats-officedocument.spreadsheetml.worksheet+xml" PartName="/xl/worksheets/sheet7516.xml"/>
  <Override ContentType="application/vnd.openxmlformats-officedocument.spreadsheetml.worksheet+xml" PartName="/xl/worksheets/sheet7517.xml"/>
  <Override ContentType="application/vnd.openxmlformats-officedocument.spreadsheetml.worksheet+xml" PartName="/xl/worksheets/sheet7518.xml"/>
  <Override ContentType="application/vnd.openxmlformats-officedocument.spreadsheetml.worksheet+xml" PartName="/xl/worksheets/sheet7519.xml"/>
  <Override ContentType="application/vnd.openxmlformats-officedocument.spreadsheetml.worksheet+xml" PartName="/xl/worksheets/sheet7520.xml"/>
  <Override ContentType="application/vnd.openxmlformats-officedocument.spreadsheetml.worksheet+xml" PartName="/xl/worksheets/sheet7521.xml"/>
  <Override ContentType="application/vnd.openxmlformats-officedocument.spreadsheetml.worksheet+xml" PartName="/xl/worksheets/sheet7522.xml"/>
  <Override ContentType="application/vnd.openxmlformats-officedocument.spreadsheetml.worksheet+xml" PartName="/xl/worksheets/sheet7523.xml"/>
  <Override ContentType="application/vnd.openxmlformats-officedocument.spreadsheetml.worksheet+xml" PartName="/xl/worksheets/sheet7524.xml"/>
  <Override ContentType="application/vnd.openxmlformats-officedocument.spreadsheetml.worksheet+xml" PartName="/xl/worksheets/sheet7525.xml"/>
  <Override ContentType="application/vnd.openxmlformats-officedocument.spreadsheetml.worksheet+xml" PartName="/xl/worksheets/sheet7526.xml"/>
  <Override ContentType="application/vnd.openxmlformats-officedocument.spreadsheetml.worksheet+xml" PartName="/xl/worksheets/sheet7527.xml"/>
  <Override ContentType="application/vnd.openxmlformats-officedocument.spreadsheetml.worksheet+xml" PartName="/xl/worksheets/sheet7528.xml"/>
  <Override ContentType="application/vnd.openxmlformats-officedocument.spreadsheetml.worksheet+xml" PartName="/xl/worksheets/sheet7529.xml"/>
  <Override ContentType="application/vnd.openxmlformats-officedocument.spreadsheetml.worksheet+xml" PartName="/xl/worksheets/sheet7530.xml"/>
  <Override ContentType="application/vnd.openxmlformats-officedocument.spreadsheetml.worksheet+xml" PartName="/xl/worksheets/sheet7531.xml"/>
  <Override ContentType="application/vnd.openxmlformats-officedocument.spreadsheetml.worksheet+xml" PartName="/xl/worksheets/sheet7532.xml"/>
  <Override ContentType="application/vnd.openxmlformats-officedocument.spreadsheetml.worksheet+xml" PartName="/xl/worksheets/sheet7533.xml"/>
  <Override ContentType="application/vnd.openxmlformats-officedocument.spreadsheetml.worksheet+xml" PartName="/xl/worksheets/sheet7534.xml"/>
  <Override ContentType="application/vnd.openxmlformats-officedocument.spreadsheetml.worksheet+xml" PartName="/xl/worksheets/sheet7535.xml"/>
  <Override ContentType="application/vnd.openxmlformats-officedocument.spreadsheetml.worksheet+xml" PartName="/xl/worksheets/sheet7536.xml"/>
  <Override ContentType="application/vnd.openxmlformats-officedocument.spreadsheetml.worksheet+xml" PartName="/xl/worksheets/sheet7537.xml"/>
  <Override ContentType="application/vnd.openxmlformats-officedocument.spreadsheetml.worksheet+xml" PartName="/xl/worksheets/sheet7538.xml"/>
  <Override ContentType="application/vnd.openxmlformats-officedocument.spreadsheetml.worksheet+xml" PartName="/xl/worksheets/sheet7539.xml"/>
  <Override ContentType="application/vnd.openxmlformats-officedocument.spreadsheetml.worksheet+xml" PartName="/xl/worksheets/sheet7540.xml"/>
  <Override ContentType="application/vnd.openxmlformats-officedocument.spreadsheetml.worksheet+xml" PartName="/xl/worksheets/sheet7541.xml"/>
  <Override ContentType="application/vnd.openxmlformats-officedocument.spreadsheetml.worksheet+xml" PartName="/xl/worksheets/sheet7542.xml"/>
  <Override ContentType="application/vnd.openxmlformats-officedocument.spreadsheetml.worksheet+xml" PartName="/xl/worksheets/sheet7543.xml"/>
  <Override ContentType="application/vnd.openxmlformats-officedocument.spreadsheetml.worksheet+xml" PartName="/xl/worksheets/sheet7544.xml"/>
  <Override ContentType="application/vnd.openxmlformats-officedocument.spreadsheetml.worksheet+xml" PartName="/xl/worksheets/sheet7545.xml"/>
  <Override ContentType="application/vnd.openxmlformats-officedocument.spreadsheetml.worksheet+xml" PartName="/xl/worksheets/sheet7546.xml"/>
  <Override ContentType="application/vnd.openxmlformats-officedocument.spreadsheetml.worksheet+xml" PartName="/xl/worksheets/sheet7547.xml"/>
  <Override ContentType="application/vnd.openxmlformats-officedocument.spreadsheetml.worksheet+xml" PartName="/xl/worksheets/sheet7548.xml"/>
  <Override ContentType="application/vnd.openxmlformats-officedocument.spreadsheetml.worksheet+xml" PartName="/xl/worksheets/sheet7549.xml"/>
  <Override ContentType="application/vnd.openxmlformats-officedocument.spreadsheetml.worksheet+xml" PartName="/xl/worksheets/sheet7550.xml"/>
  <Override ContentType="application/vnd.openxmlformats-officedocument.spreadsheetml.worksheet+xml" PartName="/xl/worksheets/sheet7551.xml"/>
  <Override ContentType="application/vnd.openxmlformats-officedocument.spreadsheetml.worksheet+xml" PartName="/xl/worksheets/sheet7552.xml"/>
  <Override ContentType="application/vnd.openxmlformats-officedocument.spreadsheetml.worksheet+xml" PartName="/xl/worksheets/sheet7553.xml"/>
  <Override ContentType="application/vnd.openxmlformats-officedocument.spreadsheetml.worksheet+xml" PartName="/xl/worksheets/sheet7554.xml"/>
  <Override ContentType="application/vnd.openxmlformats-officedocument.spreadsheetml.worksheet+xml" PartName="/xl/worksheets/sheet7555.xml"/>
  <Override ContentType="application/vnd.openxmlformats-officedocument.spreadsheetml.worksheet+xml" PartName="/xl/worksheets/sheet7556.xml"/>
  <Override ContentType="application/vnd.openxmlformats-officedocument.spreadsheetml.worksheet+xml" PartName="/xl/worksheets/sheet7557.xml"/>
  <Override ContentType="application/vnd.openxmlformats-officedocument.spreadsheetml.worksheet+xml" PartName="/xl/worksheets/sheet7558.xml"/>
  <Override ContentType="application/vnd.openxmlformats-officedocument.spreadsheetml.worksheet+xml" PartName="/xl/worksheets/sheet7559.xml"/>
  <Override ContentType="application/vnd.openxmlformats-officedocument.spreadsheetml.worksheet+xml" PartName="/xl/worksheets/sheet7560.xml"/>
  <Override ContentType="application/vnd.openxmlformats-officedocument.spreadsheetml.worksheet+xml" PartName="/xl/worksheets/sheet7561.xml"/>
  <Override ContentType="application/vnd.openxmlformats-officedocument.spreadsheetml.worksheet+xml" PartName="/xl/worksheets/sheet7562.xml"/>
  <Override ContentType="application/vnd.openxmlformats-officedocument.spreadsheetml.worksheet+xml" PartName="/xl/worksheets/sheet7563.xml"/>
  <Override ContentType="application/vnd.openxmlformats-officedocument.spreadsheetml.worksheet+xml" PartName="/xl/worksheets/sheet7564.xml"/>
  <Override ContentType="application/vnd.openxmlformats-officedocument.spreadsheetml.worksheet+xml" PartName="/xl/worksheets/sheet7565.xml"/>
  <Override ContentType="application/vnd.openxmlformats-officedocument.spreadsheetml.worksheet+xml" PartName="/xl/worksheets/sheet7566.xml"/>
  <Override ContentType="application/vnd.openxmlformats-officedocument.spreadsheetml.worksheet+xml" PartName="/xl/worksheets/sheet7567.xml"/>
  <Override ContentType="application/vnd.openxmlformats-officedocument.spreadsheetml.worksheet+xml" PartName="/xl/worksheets/sheet7568.xml"/>
  <Override ContentType="application/vnd.openxmlformats-officedocument.spreadsheetml.worksheet+xml" PartName="/xl/worksheets/sheet7569.xml"/>
  <Override ContentType="application/vnd.openxmlformats-officedocument.spreadsheetml.worksheet+xml" PartName="/xl/worksheets/sheet7570.xml"/>
  <Override ContentType="application/vnd.openxmlformats-officedocument.spreadsheetml.worksheet+xml" PartName="/xl/worksheets/sheet7571.xml"/>
  <Override ContentType="application/vnd.openxmlformats-officedocument.spreadsheetml.worksheet+xml" PartName="/xl/worksheets/sheet7572.xml"/>
  <Override ContentType="application/vnd.openxmlformats-officedocument.spreadsheetml.worksheet+xml" PartName="/xl/worksheets/sheet7573.xml"/>
  <Override ContentType="application/vnd.openxmlformats-officedocument.spreadsheetml.worksheet+xml" PartName="/xl/worksheets/sheet7574.xml"/>
  <Override ContentType="application/vnd.openxmlformats-officedocument.spreadsheetml.worksheet+xml" PartName="/xl/worksheets/sheet7575.xml"/>
  <Override ContentType="application/vnd.openxmlformats-officedocument.spreadsheetml.worksheet+xml" PartName="/xl/worksheets/sheet7576.xml"/>
  <Override ContentType="application/vnd.openxmlformats-officedocument.spreadsheetml.worksheet+xml" PartName="/xl/worksheets/sheet7577.xml"/>
  <Override ContentType="application/vnd.openxmlformats-officedocument.spreadsheetml.worksheet+xml" PartName="/xl/worksheets/sheet7578.xml"/>
  <Override ContentType="application/vnd.openxmlformats-officedocument.spreadsheetml.worksheet+xml" PartName="/xl/worksheets/sheet7579.xml"/>
  <Override ContentType="application/vnd.openxmlformats-officedocument.spreadsheetml.worksheet+xml" PartName="/xl/worksheets/sheet7580.xml"/>
  <Override ContentType="application/vnd.openxmlformats-officedocument.spreadsheetml.worksheet+xml" PartName="/xl/worksheets/sheet7581.xml"/>
  <Override ContentType="application/vnd.openxmlformats-officedocument.spreadsheetml.worksheet+xml" PartName="/xl/worksheets/sheet7582.xml"/>
  <Override ContentType="application/vnd.openxmlformats-officedocument.spreadsheetml.worksheet+xml" PartName="/xl/worksheets/sheet7583.xml"/>
  <Override ContentType="application/vnd.openxmlformats-officedocument.spreadsheetml.worksheet+xml" PartName="/xl/worksheets/sheet7584.xml"/>
  <Override ContentType="application/vnd.openxmlformats-officedocument.spreadsheetml.worksheet+xml" PartName="/xl/worksheets/sheet7585.xml"/>
  <Override ContentType="application/vnd.openxmlformats-officedocument.spreadsheetml.worksheet+xml" PartName="/xl/worksheets/sheet7586.xml"/>
  <Override ContentType="application/vnd.openxmlformats-officedocument.spreadsheetml.worksheet+xml" PartName="/xl/worksheets/sheet7587.xml"/>
  <Override ContentType="application/vnd.openxmlformats-officedocument.spreadsheetml.worksheet+xml" PartName="/xl/worksheets/sheet7588.xml"/>
  <Override ContentType="application/vnd.openxmlformats-officedocument.spreadsheetml.worksheet+xml" PartName="/xl/worksheets/sheet7589.xml"/>
  <Override ContentType="application/vnd.openxmlformats-officedocument.spreadsheetml.worksheet+xml" PartName="/xl/worksheets/sheet7590.xml"/>
  <Override ContentType="application/vnd.openxmlformats-officedocument.spreadsheetml.worksheet+xml" PartName="/xl/worksheets/sheet7591.xml"/>
  <Override ContentType="application/vnd.openxmlformats-officedocument.spreadsheetml.worksheet+xml" PartName="/xl/worksheets/sheet7592.xml"/>
  <Override ContentType="application/vnd.openxmlformats-officedocument.spreadsheetml.worksheet+xml" PartName="/xl/worksheets/sheet7593.xml"/>
  <Override ContentType="application/vnd.openxmlformats-officedocument.spreadsheetml.worksheet+xml" PartName="/xl/worksheets/sheet7594.xml"/>
  <Override ContentType="application/vnd.openxmlformats-officedocument.spreadsheetml.worksheet+xml" PartName="/xl/worksheets/sheet7595.xml"/>
  <Override ContentType="application/vnd.openxmlformats-officedocument.spreadsheetml.worksheet+xml" PartName="/xl/worksheets/sheet7596.xml"/>
  <Override ContentType="application/vnd.openxmlformats-officedocument.spreadsheetml.worksheet+xml" PartName="/xl/worksheets/sheet7597.xml"/>
  <Override ContentType="application/vnd.openxmlformats-officedocument.spreadsheetml.worksheet+xml" PartName="/xl/worksheets/sheet7598.xml"/>
  <Override ContentType="application/vnd.openxmlformats-officedocument.spreadsheetml.worksheet+xml" PartName="/xl/worksheets/sheet7599.xml"/>
  <Override ContentType="application/vnd.openxmlformats-officedocument.spreadsheetml.worksheet+xml" PartName="/xl/worksheets/sheet7600.xml"/>
  <Override ContentType="application/vnd.openxmlformats-officedocument.spreadsheetml.worksheet+xml" PartName="/xl/worksheets/sheet7601.xml"/>
  <Override ContentType="application/vnd.openxmlformats-officedocument.spreadsheetml.worksheet+xml" PartName="/xl/worksheets/sheet7602.xml"/>
  <Override ContentType="application/vnd.openxmlformats-officedocument.spreadsheetml.worksheet+xml" PartName="/xl/worksheets/sheet7603.xml"/>
  <Override ContentType="application/vnd.openxmlformats-officedocument.spreadsheetml.worksheet+xml" PartName="/xl/worksheets/sheet7604.xml"/>
  <Override ContentType="application/vnd.openxmlformats-officedocument.spreadsheetml.worksheet+xml" PartName="/xl/worksheets/sheet7605.xml"/>
  <Override ContentType="application/vnd.openxmlformats-officedocument.spreadsheetml.worksheet+xml" PartName="/xl/worksheets/sheet7606.xml"/>
  <Override ContentType="application/vnd.openxmlformats-officedocument.spreadsheetml.worksheet+xml" PartName="/xl/worksheets/sheet7607.xml"/>
  <Override ContentType="application/vnd.openxmlformats-officedocument.spreadsheetml.worksheet+xml" PartName="/xl/worksheets/sheet7608.xml"/>
  <Override ContentType="application/vnd.openxmlformats-officedocument.spreadsheetml.worksheet+xml" PartName="/xl/worksheets/sheet7609.xml"/>
  <Override ContentType="application/vnd.openxmlformats-officedocument.spreadsheetml.worksheet+xml" PartName="/xl/worksheets/sheet7610.xml"/>
  <Override ContentType="application/vnd.openxmlformats-officedocument.spreadsheetml.worksheet+xml" PartName="/xl/worksheets/sheet7611.xml"/>
  <Override ContentType="application/vnd.openxmlformats-officedocument.spreadsheetml.worksheet+xml" PartName="/xl/worksheets/sheet7612.xml"/>
  <Override ContentType="application/vnd.openxmlformats-officedocument.spreadsheetml.worksheet+xml" PartName="/xl/worksheets/sheet7613.xml"/>
  <Override ContentType="application/vnd.openxmlformats-officedocument.spreadsheetml.worksheet+xml" PartName="/xl/worksheets/sheet7614.xml"/>
  <Override ContentType="application/vnd.openxmlformats-officedocument.spreadsheetml.worksheet+xml" PartName="/xl/worksheets/sheet7615.xml"/>
  <Override ContentType="application/vnd.openxmlformats-officedocument.spreadsheetml.worksheet+xml" PartName="/xl/worksheets/sheet7616.xml"/>
  <Override ContentType="application/vnd.openxmlformats-officedocument.spreadsheetml.worksheet+xml" PartName="/xl/worksheets/sheet7617.xml"/>
  <Override ContentType="application/vnd.openxmlformats-officedocument.spreadsheetml.worksheet+xml" PartName="/xl/worksheets/sheet7618.xml"/>
  <Override ContentType="application/vnd.openxmlformats-officedocument.spreadsheetml.worksheet+xml" PartName="/xl/worksheets/sheet7619.xml"/>
  <Override ContentType="application/vnd.openxmlformats-officedocument.spreadsheetml.worksheet+xml" PartName="/xl/worksheets/sheet7620.xml"/>
  <Override ContentType="application/vnd.openxmlformats-officedocument.spreadsheetml.worksheet+xml" PartName="/xl/worksheets/sheet7621.xml"/>
  <Override ContentType="application/vnd.openxmlformats-officedocument.spreadsheetml.worksheet+xml" PartName="/xl/worksheets/sheet7622.xml"/>
  <Override ContentType="application/vnd.openxmlformats-officedocument.spreadsheetml.worksheet+xml" PartName="/xl/worksheets/sheet7623.xml"/>
  <Override ContentType="application/vnd.openxmlformats-officedocument.spreadsheetml.worksheet+xml" PartName="/xl/worksheets/sheet7624.xml"/>
  <Override ContentType="application/vnd.openxmlformats-officedocument.spreadsheetml.worksheet+xml" PartName="/xl/worksheets/sheet7625.xml"/>
  <Override ContentType="application/vnd.openxmlformats-officedocument.spreadsheetml.worksheet+xml" PartName="/xl/worksheets/sheet7626.xml"/>
  <Override ContentType="application/vnd.openxmlformats-officedocument.spreadsheetml.worksheet+xml" PartName="/xl/worksheets/sheet7627.xml"/>
  <Override ContentType="application/vnd.openxmlformats-officedocument.spreadsheetml.worksheet+xml" PartName="/xl/worksheets/sheet7628.xml"/>
  <Override ContentType="application/vnd.openxmlformats-officedocument.spreadsheetml.worksheet+xml" PartName="/xl/worksheets/sheet7629.xml"/>
  <Override ContentType="application/vnd.openxmlformats-officedocument.spreadsheetml.worksheet+xml" PartName="/xl/worksheets/sheet7630.xml"/>
  <Override ContentType="application/vnd.openxmlformats-officedocument.spreadsheetml.worksheet+xml" PartName="/xl/worksheets/sheet7631.xml"/>
  <Override ContentType="application/vnd.openxmlformats-officedocument.spreadsheetml.worksheet+xml" PartName="/xl/worksheets/sheet7632.xml"/>
  <Override ContentType="application/vnd.openxmlformats-officedocument.spreadsheetml.worksheet+xml" PartName="/xl/worksheets/sheet7633.xml"/>
  <Override ContentType="application/vnd.openxmlformats-officedocument.spreadsheetml.worksheet+xml" PartName="/xl/worksheets/sheet7634.xml"/>
  <Override ContentType="application/vnd.openxmlformats-officedocument.spreadsheetml.worksheet+xml" PartName="/xl/worksheets/sheet7635.xml"/>
  <Override ContentType="application/vnd.openxmlformats-officedocument.spreadsheetml.worksheet+xml" PartName="/xl/worksheets/sheet7636.xml"/>
  <Override ContentType="application/vnd.openxmlformats-officedocument.spreadsheetml.worksheet+xml" PartName="/xl/worksheets/sheet7637.xml"/>
  <Override ContentType="application/vnd.openxmlformats-officedocument.spreadsheetml.worksheet+xml" PartName="/xl/worksheets/sheet7638.xml"/>
  <Override ContentType="application/vnd.openxmlformats-officedocument.spreadsheetml.worksheet+xml" PartName="/xl/worksheets/sheet7639.xml"/>
  <Override ContentType="application/vnd.openxmlformats-officedocument.spreadsheetml.worksheet+xml" PartName="/xl/worksheets/sheet7640.xml"/>
  <Override ContentType="application/vnd.openxmlformats-officedocument.spreadsheetml.worksheet+xml" PartName="/xl/worksheets/sheet7641.xml"/>
  <Override ContentType="application/vnd.openxmlformats-officedocument.spreadsheetml.worksheet+xml" PartName="/xl/worksheets/sheet7642.xml"/>
  <Override ContentType="application/vnd.openxmlformats-officedocument.spreadsheetml.worksheet+xml" PartName="/xl/worksheets/sheet7643.xml"/>
  <Override ContentType="application/vnd.openxmlformats-officedocument.spreadsheetml.worksheet+xml" PartName="/xl/worksheets/sheet7644.xml"/>
  <Override ContentType="application/vnd.openxmlformats-officedocument.spreadsheetml.worksheet+xml" PartName="/xl/worksheets/sheet7645.xml"/>
  <Override ContentType="application/vnd.openxmlformats-officedocument.spreadsheetml.worksheet+xml" PartName="/xl/worksheets/sheet7646.xml"/>
  <Override ContentType="application/vnd.openxmlformats-officedocument.spreadsheetml.worksheet+xml" PartName="/xl/worksheets/sheet7647.xml"/>
  <Override ContentType="application/vnd.openxmlformats-officedocument.spreadsheetml.worksheet+xml" PartName="/xl/worksheets/sheet7648.xml"/>
  <Override ContentType="application/vnd.openxmlformats-officedocument.spreadsheetml.worksheet+xml" PartName="/xl/worksheets/sheet7649.xml"/>
  <Override ContentType="application/vnd.openxmlformats-officedocument.spreadsheetml.worksheet+xml" PartName="/xl/worksheets/sheet7650.xml"/>
  <Override ContentType="application/vnd.openxmlformats-officedocument.spreadsheetml.worksheet+xml" PartName="/xl/worksheets/sheet7651.xml"/>
  <Override ContentType="application/vnd.openxmlformats-officedocument.spreadsheetml.worksheet+xml" PartName="/xl/worksheets/sheet7652.xml"/>
  <Override ContentType="application/vnd.openxmlformats-officedocument.spreadsheetml.worksheet+xml" PartName="/xl/worksheets/sheet7653.xml"/>
  <Override ContentType="application/vnd.openxmlformats-officedocument.spreadsheetml.worksheet+xml" PartName="/xl/worksheets/sheet7654.xml"/>
  <Override ContentType="application/vnd.openxmlformats-officedocument.spreadsheetml.worksheet+xml" PartName="/xl/worksheets/sheet7655.xml"/>
  <Override ContentType="application/vnd.openxmlformats-officedocument.spreadsheetml.worksheet+xml" PartName="/xl/worksheets/sheet7656.xml"/>
  <Override ContentType="application/vnd.openxmlformats-officedocument.spreadsheetml.worksheet+xml" PartName="/xl/worksheets/sheet7657.xml"/>
  <Override ContentType="application/vnd.openxmlformats-officedocument.spreadsheetml.worksheet+xml" PartName="/xl/worksheets/sheet7658.xml"/>
  <Override ContentType="application/vnd.openxmlformats-officedocument.spreadsheetml.worksheet+xml" PartName="/xl/worksheets/sheet7659.xml"/>
  <Override ContentType="application/vnd.openxmlformats-officedocument.spreadsheetml.worksheet+xml" PartName="/xl/worksheets/sheet7660.xml"/>
  <Override ContentType="application/vnd.openxmlformats-officedocument.spreadsheetml.worksheet+xml" PartName="/xl/worksheets/sheet7661.xml"/>
  <Override ContentType="application/vnd.openxmlformats-officedocument.spreadsheetml.worksheet+xml" PartName="/xl/worksheets/sheet7662.xml"/>
  <Override ContentType="application/vnd.openxmlformats-officedocument.spreadsheetml.worksheet+xml" PartName="/xl/worksheets/sheet7663.xml"/>
  <Override ContentType="application/vnd.openxmlformats-officedocument.spreadsheetml.worksheet+xml" PartName="/xl/worksheets/sheet7664.xml"/>
  <Override ContentType="application/vnd.openxmlformats-officedocument.spreadsheetml.worksheet+xml" PartName="/xl/worksheets/sheet7665.xml"/>
  <Override ContentType="application/vnd.openxmlformats-officedocument.spreadsheetml.worksheet+xml" PartName="/xl/worksheets/sheet7666.xml"/>
  <Override ContentType="application/vnd.openxmlformats-officedocument.spreadsheetml.worksheet+xml" PartName="/xl/worksheets/sheet7667.xml"/>
  <Override ContentType="application/vnd.openxmlformats-officedocument.spreadsheetml.worksheet+xml" PartName="/xl/worksheets/sheet7668.xml"/>
  <Override ContentType="application/vnd.openxmlformats-officedocument.spreadsheetml.worksheet+xml" PartName="/xl/worksheets/sheet7669.xml"/>
  <Override ContentType="application/vnd.openxmlformats-officedocument.spreadsheetml.worksheet+xml" PartName="/xl/worksheets/sheet7670.xml"/>
  <Override ContentType="application/vnd.openxmlformats-officedocument.spreadsheetml.worksheet+xml" PartName="/xl/worksheets/sheet7671.xml"/>
  <Override ContentType="application/vnd.openxmlformats-officedocument.spreadsheetml.worksheet+xml" PartName="/xl/worksheets/sheet7672.xml"/>
  <Override ContentType="application/vnd.openxmlformats-officedocument.spreadsheetml.worksheet+xml" PartName="/xl/worksheets/sheet7673.xml"/>
  <Override ContentType="application/vnd.openxmlformats-officedocument.spreadsheetml.worksheet+xml" PartName="/xl/worksheets/sheet7674.xml"/>
  <Override ContentType="application/vnd.openxmlformats-officedocument.spreadsheetml.worksheet+xml" PartName="/xl/worksheets/sheet7675.xml"/>
  <Override ContentType="application/vnd.openxmlformats-officedocument.spreadsheetml.worksheet+xml" PartName="/xl/worksheets/sheet7676.xml"/>
  <Override ContentType="application/vnd.openxmlformats-officedocument.spreadsheetml.worksheet+xml" PartName="/xl/worksheets/sheet7677.xml"/>
  <Override ContentType="application/vnd.openxmlformats-officedocument.spreadsheetml.worksheet+xml" PartName="/xl/worksheets/sheet7678.xml"/>
  <Override ContentType="application/vnd.openxmlformats-officedocument.spreadsheetml.worksheet+xml" PartName="/xl/worksheets/sheet7679.xml"/>
  <Override ContentType="application/vnd.openxmlformats-officedocument.spreadsheetml.worksheet+xml" PartName="/xl/worksheets/sheet7680.xml"/>
  <Override ContentType="application/vnd.openxmlformats-officedocument.spreadsheetml.worksheet+xml" PartName="/xl/worksheets/sheet7681.xml"/>
  <Override ContentType="application/vnd.openxmlformats-officedocument.spreadsheetml.worksheet+xml" PartName="/xl/worksheets/sheet7682.xml"/>
  <Override ContentType="application/vnd.openxmlformats-officedocument.spreadsheetml.worksheet+xml" PartName="/xl/worksheets/sheet7683.xml"/>
  <Override ContentType="application/vnd.openxmlformats-officedocument.spreadsheetml.worksheet+xml" PartName="/xl/worksheets/sheet7684.xml"/>
  <Override ContentType="application/vnd.openxmlformats-officedocument.spreadsheetml.worksheet+xml" PartName="/xl/worksheets/sheet7685.xml"/>
  <Override ContentType="application/vnd.openxmlformats-officedocument.spreadsheetml.worksheet+xml" PartName="/xl/worksheets/sheet7686.xml"/>
  <Override ContentType="application/vnd.openxmlformats-officedocument.spreadsheetml.worksheet+xml" PartName="/xl/worksheets/sheet7687.xml"/>
  <Override ContentType="application/vnd.openxmlformats-officedocument.spreadsheetml.worksheet+xml" PartName="/xl/worksheets/sheet7688.xml"/>
  <Override ContentType="application/vnd.openxmlformats-officedocument.spreadsheetml.worksheet+xml" PartName="/xl/worksheets/sheet7689.xml"/>
  <Override ContentType="application/vnd.openxmlformats-officedocument.spreadsheetml.worksheet+xml" PartName="/xl/worksheets/sheet7690.xml"/>
  <Override ContentType="application/vnd.openxmlformats-officedocument.spreadsheetml.worksheet+xml" PartName="/xl/worksheets/sheet7691.xml"/>
  <Override ContentType="application/vnd.openxmlformats-officedocument.spreadsheetml.worksheet+xml" PartName="/xl/worksheets/sheet7692.xml"/>
  <Override ContentType="application/vnd.openxmlformats-officedocument.spreadsheetml.worksheet+xml" PartName="/xl/worksheets/sheet7693.xml"/>
  <Override ContentType="application/vnd.openxmlformats-officedocument.spreadsheetml.worksheet+xml" PartName="/xl/worksheets/sheet7694.xml"/>
  <Override ContentType="application/vnd.openxmlformats-officedocument.spreadsheetml.worksheet+xml" PartName="/xl/worksheets/sheet7695.xml"/>
  <Override ContentType="application/vnd.openxmlformats-officedocument.spreadsheetml.worksheet+xml" PartName="/xl/worksheets/sheet7696.xml"/>
  <Override ContentType="application/vnd.openxmlformats-officedocument.spreadsheetml.worksheet+xml" PartName="/xl/worksheets/sheet7697.xml"/>
  <Override ContentType="application/vnd.openxmlformats-officedocument.spreadsheetml.worksheet+xml" PartName="/xl/worksheets/sheet7698.xml"/>
  <Override ContentType="application/vnd.openxmlformats-officedocument.spreadsheetml.worksheet+xml" PartName="/xl/worksheets/sheet7699.xml"/>
  <Override ContentType="application/vnd.openxmlformats-officedocument.spreadsheetml.worksheet+xml" PartName="/xl/worksheets/sheet7700.xml"/>
  <Override ContentType="application/vnd.openxmlformats-officedocument.spreadsheetml.worksheet+xml" PartName="/xl/worksheets/sheet7701.xml"/>
  <Override ContentType="application/vnd.openxmlformats-officedocument.spreadsheetml.worksheet+xml" PartName="/xl/worksheets/sheet7702.xml"/>
  <Override ContentType="application/vnd.openxmlformats-officedocument.spreadsheetml.worksheet+xml" PartName="/xl/worksheets/sheet7703.xml"/>
  <Override ContentType="application/vnd.openxmlformats-officedocument.spreadsheetml.worksheet+xml" PartName="/xl/worksheets/sheet7704.xml"/>
  <Override ContentType="application/vnd.openxmlformats-officedocument.spreadsheetml.worksheet+xml" PartName="/xl/worksheets/sheet7705.xml"/>
  <Override ContentType="application/vnd.openxmlformats-officedocument.spreadsheetml.worksheet+xml" PartName="/xl/worksheets/sheet7706.xml"/>
  <Override ContentType="application/vnd.openxmlformats-officedocument.spreadsheetml.worksheet+xml" PartName="/xl/worksheets/sheet7707.xml"/>
  <Override ContentType="application/vnd.openxmlformats-officedocument.spreadsheetml.worksheet+xml" PartName="/xl/worksheets/sheet7708.xml"/>
  <Override ContentType="application/vnd.openxmlformats-officedocument.spreadsheetml.worksheet+xml" PartName="/xl/worksheets/sheet7709.xml"/>
  <Override ContentType="application/vnd.openxmlformats-officedocument.spreadsheetml.worksheet+xml" PartName="/xl/worksheets/sheet7710.xml"/>
  <Override ContentType="application/vnd.openxmlformats-officedocument.spreadsheetml.worksheet+xml" PartName="/xl/worksheets/sheet7711.xml"/>
  <Override ContentType="application/vnd.openxmlformats-officedocument.spreadsheetml.worksheet+xml" PartName="/xl/worksheets/sheet7712.xml"/>
  <Override ContentType="application/vnd.openxmlformats-officedocument.spreadsheetml.worksheet+xml" PartName="/xl/worksheets/sheet7713.xml"/>
  <Override ContentType="application/vnd.openxmlformats-officedocument.spreadsheetml.worksheet+xml" PartName="/xl/worksheets/sheet7714.xml"/>
  <Override ContentType="application/vnd.openxmlformats-officedocument.spreadsheetml.worksheet+xml" PartName="/xl/worksheets/sheet7715.xml"/>
  <Override ContentType="application/vnd.openxmlformats-officedocument.spreadsheetml.worksheet+xml" PartName="/xl/worksheets/sheet7716.xml"/>
  <Override ContentType="application/vnd.openxmlformats-officedocument.spreadsheetml.worksheet+xml" PartName="/xl/worksheets/sheet7717.xml"/>
  <Override ContentType="application/vnd.openxmlformats-officedocument.spreadsheetml.worksheet+xml" PartName="/xl/worksheets/sheet7718.xml"/>
  <Override ContentType="application/vnd.openxmlformats-officedocument.spreadsheetml.worksheet+xml" PartName="/xl/worksheets/sheet7719.xml"/>
  <Override ContentType="application/vnd.openxmlformats-officedocument.spreadsheetml.worksheet+xml" PartName="/xl/worksheets/sheet7720.xml"/>
  <Override ContentType="application/vnd.openxmlformats-officedocument.spreadsheetml.worksheet+xml" PartName="/xl/worksheets/sheet7721.xml"/>
  <Override ContentType="application/vnd.openxmlformats-officedocument.spreadsheetml.worksheet+xml" PartName="/xl/worksheets/sheet7722.xml"/>
  <Override ContentType="application/vnd.openxmlformats-officedocument.spreadsheetml.worksheet+xml" PartName="/xl/worksheets/sheet7723.xml"/>
  <Override ContentType="application/vnd.openxmlformats-officedocument.spreadsheetml.worksheet+xml" PartName="/xl/worksheets/sheet7724.xml"/>
  <Override ContentType="application/vnd.openxmlformats-officedocument.spreadsheetml.worksheet+xml" PartName="/xl/worksheets/sheet7725.xml"/>
  <Override ContentType="application/vnd.openxmlformats-officedocument.spreadsheetml.worksheet+xml" PartName="/xl/worksheets/sheet7726.xml"/>
  <Override ContentType="application/vnd.openxmlformats-officedocument.spreadsheetml.worksheet+xml" PartName="/xl/worksheets/sheet7727.xml"/>
  <Override ContentType="application/vnd.openxmlformats-officedocument.spreadsheetml.worksheet+xml" PartName="/xl/worksheets/sheet7728.xml"/>
  <Override ContentType="application/vnd.openxmlformats-officedocument.spreadsheetml.worksheet+xml" PartName="/xl/worksheets/sheet7729.xml"/>
  <Override ContentType="application/vnd.openxmlformats-officedocument.spreadsheetml.worksheet+xml" PartName="/xl/worksheets/sheet7730.xml"/>
  <Override ContentType="application/vnd.openxmlformats-officedocument.spreadsheetml.worksheet+xml" PartName="/xl/worksheets/sheet7731.xml"/>
  <Override ContentType="application/vnd.openxmlformats-officedocument.spreadsheetml.worksheet+xml" PartName="/xl/worksheets/sheet7732.xml"/>
  <Override ContentType="application/vnd.openxmlformats-officedocument.spreadsheetml.worksheet+xml" PartName="/xl/worksheets/sheet7733.xml"/>
  <Override ContentType="application/vnd.openxmlformats-officedocument.spreadsheetml.worksheet+xml" PartName="/xl/worksheets/sheet7734.xml"/>
  <Override ContentType="application/vnd.openxmlformats-officedocument.spreadsheetml.worksheet+xml" PartName="/xl/worksheets/sheet7735.xml"/>
  <Override ContentType="application/vnd.openxmlformats-officedocument.spreadsheetml.worksheet+xml" PartName="/xl/worksheets/sheet7736.xml"/>
  <Override ContentType="application/vnd.openxmlformats-officedocument.spreadsheetml.worksheet+xml" PartName="/xl/worksheets/sheet7737.xml"/>
  <Override ContentType="application/vnd.openxmlformats-officedocument.spreadsheetml.worksheet+xml" PartName="/xl/worksheets/sheet7738.xml"/>
  <Override ContentType="application/vnd.openxmlformats-officedocument.spreadsheetml.worksheet+xml" PartName="/xl/worksheets/sheet7739.xml"/>
  <Override ContentType="application/vnd.openxmlformats-officedocument.spreadsheetml.worksheet+xml" PartName="/xl/worksheets/sheet7740.xml"/>
  <Override ContentType="application/vnd.openxmlformats-officedocument.spreadsheetml.worksheet+xml" PartName="/xl/worksheets/sheet7741.xml"/>
  <Override ContentType="application/vnd.openxmlformats-officedocument.spreadsheetml.worksheet+xml" PartName="/xl/worksheets/sheet7742.xml"/>
  <Override ContentType="application/vnd.openxmlformats-officedocument.spreadsheetml.worksheet+xml" PartName="/xl/worksheets/sheet7743.xml"/>
  <Override ContentType="application/vnd.openxmlformats-officedocument.spreadsheetml.worksheet+xml" PartName="/xl/worksheets/sheet7744.xml"/>
  <Override ContentType="application/vnd.openxmlformats-officedocument.spreadsheetml.worksheet+xml" PartName="/xl/worksheets/sheet7745.xml"/>
  <Override ContentType="application/vnd.openxmlformats-officedocument.spreadsheetml.worksheet+xml" PartName="/xl/worksheets/sheet7746.xml"/>
  <Override ContentType="application/vnd.openxmlformats-officedocument.spreadsheetml.worksheet+xml" PartName="/xl/worksheets/sheet7747.xml"/>
  <Override ContentType="application/vnd.openxmlformats-officedocument.spreadsheetml.worksheet+xml" PartName="/xl/worksheets/sheet7748.xml"/>
  <Override ContentType="application/vnd.openxmlformats-officedocument.spreadsheetml.worksheet+xml" PartName="/xl/worksheets/sheet7749.xml"/>
  <Override ContentType="application/vnd.openxmlformats-officedocument.spreadsheetml.worksheet+xml" PartName="/xl/worksheets/sheet7750.xml"/>
  <Override ContentType="application/vnd.openxmlformats-officedocument.spreadsheetml.worksheet+xml" PartName="/xl/worksheets/sheet7751.xml"/>
  <Override ContentType="application/vnd.openxmlformats-officedocument.spreadsheetml.worksheet+xml" PartName="/xl/worksheets/sheet7752.xml"/>
  <Override ContentType="application/vnd.openxmlformats-officedocument.spreadsheetml.worksheet+xml" PartName="/xl/worksheets/sheet7753.xml"/>
  <Override ContentType="application/vnd.openxmlformats-officedocument.spreadsheetml.worksheet+xml" PartName="/xl/worksheets/sheet7754.xml"/>
  <Override ContentType="application/vnd.openxmlformats-officedocument.spreadsheetml.worksheet+xml" PartName="/xl/worksheets/sheet7755.xml"/>
  <Override ContentType="application/vnd.openxmlformats-officedocument.spreadsheetml.worksheet+xml" PartName="/xl/worksheets/sheet7756.xml"/>
  <Override ContentType="application/vnd.openxmlformats-officedocument.spreadsheetml.worksheet+xml" PartName="/xl/worksheets/sheet7757.xml"/>
  <Override ContentType="application/vnd.openxmlformats-officedocument.spreadsheetml.worksheet+xml" PartName="/xl/worksheets/sheet7758.xml"/>
  <Override ContentType="application/vnd.openxmlformats-officedocument.spreadsheetml.worksheet+xml" PartName="/xl/worksheets/sheet7759.xml"/>
  <Override ContentType="application/vnd.openxmlformats-officedocument.spreadsheetml.worksheet+xml" PartName="/xl/worksheets/sheet7760.xml"/>
  <Override ContentType="application/vnd.openxmlformats-officedocument.spreadsheetml.worksheet+xml" PartName="/xl/worksheets/sheet7761.xml"/>
  <Override ContentType="application/vnd.openxmlformats-officedocument.spreadsheetml.worksheet+xml" PartName="/xl/worksheets/sheet7762.xml"/>
  <Override ContentType="application/vnd.openxmlformats-officedocument.spreadsheetml.worksheet+xml" PartName="/xl/worksheets/sheet7763.xml"/>
  <Override ContentType="application/vnd.openxmlformats-officedocument.spreadsheetml.worksheet+xml" PartName="/xl/worksheets/sheet7764.xml"/>
  <Override ContentType="application/vnd.openxmlformats-officedocument.spreadsheetml.worksheet+xml" PartName="/xl/worksheets/sheet7765.xml"/>
  <Override ContentType="application/vnd.openxmlformats-officedocument.spreadsheetml.worksheet+xml" PartName="/xl/worksheets/sheet7766.xml"/>
  <Override ContentType="application/vnd.openxmlformats-officedocument.spreadsheetml.worksheet+xml" PartName="/xl/worksheets/sheet7767.xml"/>
  <Override ContentType="application/vnd.openxmlformats-officedocument.spreadsheetml.worksheet+xml" PartName="/xl/worksheets/sheet7768.xml"/>
  <Override ContentType="application/vnd.openxmlformats-officedocument.spreadsheetml.worksheet+xml" PartName="/xl/worksheets/sheet7769.xml"/>
  <Override ContentType="application/vnd.openxmlformats-officedocument.spreadsheetml.worksheet+xml" PartName="/xl/worksheets/sheet7770.xml"/>
  <Override ContentType="application/vnd.openxmlformats-officedocument.spreadsheetml.worksheet+xml" PartName="/xl/worksheets/sheet7771.xml"/>
  <Override ContentType="application/vnd.openxmlformats-officedocument.spreadsheetml.worksheet+xml" PartName="/xl/worksheets/sheet7772.xml"/>
  <Override ContentType="application/vnd.openxmlformats-officedocument.spreadsheetml.worksheet+xml" PartName="/xl/worksheets/sheet7773.xml"/>
  <Override ContentType="application/vnd.openxmlformats-officedocument.spreadsheetml.worksheet+xml" PartName="/xl/worksheets/sheet7774.xml"/>
  <Override ContentType="application/vnd.openxmlformats-officedocument.spreadsheetml.worksheet+xml" PartName="/xl/worksheets/sheet7775.xml"/>
  <Override ContentType="application/vnd.openxmlformats-officedocument.spreadsheetml.worksheet+xml" PartName="/xl/worksheets/sheet7776.xml"/>
  <Override ContentType="application/vnd.openxmlformats-officedocument.spreadsheetml.worksheet+xml" PartName="/xl/worksheets/sheet7777.xml"/>
  <Override ContentType="application/vnd.openxmlformats-officedocument.spreadsheetml.worksheet+xml" PartName="/xl/worksheets/sheet7778.xml"/>
  <Override ContentType="application/vnd.openxmlformats-officedocument.spreadsheetml.worksheet+xml" PartName="/xl/worksheets/sheet7779.xml"/>
  <Override ContentType="application/vnd.openxmlformats-officedocument.spreadsheetml.worksheet+xml" PartName="/xl/worksheets/sheet7780.xml"/>
  <Override ContentType="application/vnd.openxmlformats-officedocument.spreadsheetml.worksheet+xml" PartName="/xl/worksheets/sheet7781.xml"/>
  <Override ContentType="application/vnd.openxmlformats-officedocument.spreadsheetml.worksheet+xml" PartName="/xl/worksheets/sheet7782.xml"/>
  <Override ContentType="application/vnd.openxmlformats-officedocument.spreadsheetml.worksheet+xml" PartName="/xl/worksheets/sheet7783.xml"/>
  <Override ContentType="application/vnd.openxmlformats-officedocument.spreadsheetml.worksheet+xml" PartName="/xl/worksheets/sheet7784.xml"/>
  <Override ContentType="application/vnd.openxmlformats-officedocument.spreadsheetml.worksheet+xml" PartName="/xl/worksheets/sheet7785.xml"/>
  <Override ContentType="application/vnd.openxmlformats-officedocument.spreadsheetml.worksheet+xml" PartName="/xl/worksheets/sheet7786.xml"/>
  <Override ContentType="application/vnd.openxmlformats-officedocument.spreadsheetml.worksheet+xml" PartName="/xl/worksheets/sheet7787.xml"/>
  <Override ContentType="application/vnd.openxmlformats-officedocument.spreadsheetml.worksheet+xml" PartName="/xl/worksheets/sheet7788.xml"/>
  <Override ContentType="application/vnd.openxmlformats-officedocument.spreadsheetml.worksheet+xml" PartName="/xl/worksheets/sheet7789.xml"/>
  <Override ContentType="application/vnd.openxmlformats-officedocument.spreadsheetml.worksheet+xml" PartName="/xl/worksheets/sheet7790.xml"/>
  <Override ContentType="application/vnd.openxmlformats-officedocument.spreadsheetml.worksheet+xml" PartName="/xl/worksheets/sheet7791.xml"/>
  <Override ContentType="application/vnd.openxmlformats-officedocument.spreadsheetml.worksheet+xml" PartName="/xl/worksheets/sheet7792.xml"/>
  <Override ContentType="application/vnd.openxmlformats-officedocument.spreadsheetml.worksheet+xml" PartName="/xl/worksheets/sheet7793.xml"/>
  <Override ContentType="application/vnd.openxmlformats-officedocument.spreadsheetml.worksheet+xml" PartName="/xl/worksheets/sheet7794.xml"/>
  <Override ContentType="application/vnd.openxmlformats-officedocument.spreadsheetml.worksheet+xml" PartName="/xl/worksheets/sheet7795.xml"/>
  <Override ContentType="application/vnd.openxmlformats-officedocument.spreadsheetml.worksheet+xml" PartName="/xl/worksheets/sheet7796.xml"/>
  <Override ContentType="application/vnd.openxmlformats-officedocument.spreadsheetml.worksheet+xml" PartName="/xl/worksheets/sheet7797.xml"/>
  <Override ContentType="application/vnd.openxmlformats-officedocument.spreadsheetml.worksheet+xml" PartName="/xl/worksheets/sheet7798.xml"/>
  <Override ContentType="application/vnd.openxmlformats-officedocument.spreadsheetml.worksheet+xml" PartName="/xl/worksheets/sheet7799.xml"/>
  <Override ContentType="application/vnd.openxmlformats-officedocument.spreadsheetml.worksheet+xml" PartName="/xl/worksheets/sheet7800.xml"/>
  <Override ContentType="application/vnd.openxmlformats-officedocument.spreadsheetml.worksheet+xml" PartName="/xl/worksheets/sheet7801.xml"/>
  <Override ContentType="application/vnd.openxmlformats-officedocument.spreadsheetml.worksheet+xml" PartName="/xl/worksheets/sheet7802.xml"/>
  <Override ContentType="application/vnd.openxmlformats-officedocument.spreadsheetml.worksheet+xml" PartName="/xl/worksheets/sheet7803.xml"/>
  <Override ContentType="application/vnd.openxmlformats-officedocument.spreadsheetml.worksheet+xml" PartName="/xl/worksheets/sheet7804.xml"/>
  <Override ContentType="application/vnd.openxmlformats-officedocument.spreadsheetml.worksheet+xml" PartName="/xl/worksheets/sheet7805.xml"/>
  <Override ContentType="application/vnd.openxmlformats-officedocument.spreadsheetml.worksheet+xml" PartName="/xl/worksheets/sheet7806.xml"/>
  <Override ContentType="application/vnd.openxmlformats-officedocument.spreadsheetml.worksheet+xml" PartName="/xl/worksheets/sheet7807.xml"/>
  <Override ContentType="application/vnd.openxmlformats-officedocument.spreadsheetml.worksheet+xml" PartName="/xl/worksheets/sheet7808.xml"/>
  <Override ContentType="application/vnd.openxmlformats-officedocument.spreadsheetml.worksheet+xml" PartName="/xl/worksheets/sheet7809.xml"/>
  <Override ContentType="application/vnd.openxmlformats-officedocument.spreadsheetml.worksheet+xml" PartName="/xl/worksheets/sheet7810.xml"/>
  <Override ContentType="application/vnd.openxmlformats-officedocument.spreadsheetml.worksheet+xml" PartName="/xl/worksheets/sheet7811.xml"/>
  <Override ContentType="application/vnd.openxmlformats-officedocument.spreadsheetml.worksheet+xml" PartName="/xl/worksheets/sheet7812.xml"/>
  <Override ContentType="application/vnd.openxmlformats-officedocument.spreadsheetml.worksheet+xml" PartName="/xl/worksheets/sheet7813.xml"/>
  <Override ContentType="application/vnd.openxmlformats-officedocument.spreadsheetml.worksheet+xml" PartName="/xl/worksheets/sheet7814.xml"/>
  <Override ContentType="application/vnd.openxmlformats-officedocument.spreadsheetml.worksheet+xml" PartName="/xl/worksheets/sheet7815.xml"/>
  <Override ContentType="application/vnd.openxmlformats-officedocument.spreadsheetml.worksheet+xml" PartName="/xl/worksheets/sheet7816.xml"/>
  <Override ContentType="application/vnd.openxmlformats-officedocument.spreadsheetml.worksheet+xml" PartName="/xl/worksheets/sheet7817.xml"/>
  <Override ContentType="application/vnd.openxmlformats-officedocument.spreadsheetml.worksheet+xml" PartName="/xl/worksheets/sheet7818.xml"/>
  <Override ContentType="application/vnd.openxmlformats-officedocument.spreadsheetml.worksheet+xml" PartName="/xl/worksheets/sheet7819.xml"/>
  <Override ContentType="application/vnd.openxmlformats-officedocument.spreadsheetml.worksheet+xml" PartName="/xl/worksheets/sheet7820.xml"/>
  <Override ContentType="application/vnd.openxmlformats-officedocument.spreadsheetml.worksheet+xml" PartName="/xl/worksheets/sheet7821.xml"/>
  <Override ContentType="application/vnd.openxmlformats-officedocument.spreadsheetml.worksheet+xml" PartName="/xl/worksheets/sheet7822.xml"/>
  <Override ContentType="application/vnd.openxmlformats-officedocument.spreadsheetml.worksheet+xml" PartName="/xl/worksheets/sheet7823.xml"/>
  <Override ContentType="application/vnd.openxmlformats-officedocument.spreadsheetml.worksheet+xml" PartName="/xl/worksheets/sheet7824.xml"/>
  <Override ContentType="application/vnd.openxmlformats-officedocument.spreadsheetml.worksheet+xml" PartName="/xl/worksheets/sheet7825.xml"/>
  <Override ContentType="application/vnd.openxmlformats-officedocument.spreadsheetml.worksheet+xml" PartName="/xl/worksheets/sheet7826.xml"/>
  <Override ContentType="application/vnd.openxmlformats-officedocument.spreadsheetml.worksheet+xml" PartName="/xl/worksheets/sheet7827.xml"/>
  <Override ContentType="application/vnd.openxmlformats-officedocument.spreadsheetml.worksheet+xml" PartName="/xl/worksheets/sheet7828.xml"/>
  <Override ContentType="application/vnd.openxmlformats-officedocument.spreadsheetml.worksheet+xml" PartName="/xl/worksheets/sheet7829.xml"/>
  <Override ContentType="application/vnd.openxmlformats-officedocument.spreadsheetml.worksheet+xml" PartName="/xl/worksheets/sheet7830.xml"/>
  <Override ContentType="application/vnd.openxmlformats-officedocument.spreadsheetml.worksheet+xml" PartName="/xl/worksheets/sheet7831.xml"/>
  <Override ContentType="application/vnd.openxmlformats-officedocument.spreadsheetml.worksheet+xml" PartName="/xl/worksheets/sheet7832.xml"/>
  <Override ContentType="application/vnd.openxmlformats-officedocument.spreadsheetml.worksheet+xml" PartName="/xl/worksheets/sheet7833.xml"/>
  <Override ContentType="application/vnd.openxmlformats-officedocument.spreadsheetml.worksheet+xml" PartName="/xl/worksheets/sheet7834.xml"/>
  <Override ContentType="application/vnd.openxmlformats-officedocument.spreadsheetml.worksheet+xml" PartName="/xl/worksheets/sheet7835.xml"/>
  <Override ContentType="application/vnd.openxmlformats-officedocument.spreadsheetml.worksheet+xml" PartName="/xl/worksheets/sheet7836.xml"/>
  <Override ContentType="application/vnd.openxmlformats-officedocument.spreadsheetml.worksheet+xml" PartName="/xl/worksheets/sheet7837.xml"/>
  <Override ContentType="application/vnd.openxmlformats-officedocument.spreadsheetml.worksheet+xml" PartName="/xl/worksheets/sheet7838.xml"/>
  <Override ContentType="application/vnd.openxmlformats-officedocument.spreadsheetml.worksheet+xml" PartName="/xl/worksheets/sheet7839.xml"/>
  <Override ContentType="application/vnd.openxmlformats-officedocument.spreadsheetml.worksheet+xml" PartName="/xl/worksheets/sheet7840.xml"/>
  <Override ContentType="application/vnd.openxmlformats-officedocument.spreadsheetml.worksheet+xml" PartName="/xl/worksheets/sheet7841.xml"/>
  <Override ContentType="application/vnd.openxmlformats-officedocument.spreadsheetml.worksheet+xml" PartName="/xl/worksheets/sheet7842.xml"/>
  <Override ContentType="application/vnd.openxmlformats-officedocument.spreadsheetml.worksheet+xml" PartName="/xl/worksheets/sheet7843.xml"/>
  <Override ContentType="application/vnd.openxmlformats-officedocument.spreadsheetml.worksheet+xml" PartName="/xl/worksheets/sheet7844.xml"/>
  <Override ContentType="application/vnd.openxmlformats-officedocument.spreadsheetml.worksheet+xml" PartName="/xl/worksheets/sheet7845.xml"/>
  <Override ContentType="application/vnd.openxmlformats-officedocument.spreadsheetml.worksheet+xml" PartName="/xl/worksheets/sheet7846.xml"/>
  <Override ContentType="application/vnd.openxmlformats-officedocument.spreadsheetml.worksheet+xml" PartName="/xl/worksheets/sheet7847.xml"/>
  <Override ContentType="application/vnd.openxmlformats-officedocument.spreadsheetml.worksheet+xml" PartName="/xl/worksheets/sheet7848.xml"/>
  <Override ContentType="application/vnd.openxmlformats-officedocument.spreadsheetml.worksheet+xml" PartName="/xl/worksheets/sheet7849.xml"/>
  <Override ContentType="application/vnd.openxmlformats-officedocument.spreadsheetml.worksheet+xml" PartName="/xl/worksheets/sheet7850.xml"/>
  <Override ContentType="application/vnd.openxmlformats-officedocument.spreadsheetml.worksheet+xml" PartName="/xl/worksheets/sheet7851.xml"/>
  <Override ContentType="application/vnd.openxmlformats-officedocument.spreadsheetml.worksheet+xml" PartName="/xl/worksheets/sheet7852.xml"/>
  <Override ContentType="application/vnd.openxmlformats-officedocument.spreadsheetml.worksheet+xml" PartName="/xl/worksheets/sheet7853.xml"/>
  <Override ContentType="application/vnd.openxmlformats-officedocument.spreadsheetml.worksheet+xml" PartName="/xl/worksheets/sheet7854.xml"/>
  <Override ContentType="application/vnd.openxmlformats-officedocument.spreadsheetml.worksheet+xml" PartName="/xl/worksheets/sheet7855.xml"/>
  <Override ContentType="application/vnd.openxmlformats-officedocument.spreadsheetml.worksheet+xml" PartName="/xl/worksheets/sheet7856.xml"/>
  <Override ContentType="application/vnd.openxmlformats-officedocument.spreadsheetml.worksheet+xml" PartName="/xl/worksheets/sheet7857.xml"/>
  <Override ContentType="application/vnd.openxmlformats-officedocument.spreadsheetml.worksheet+xml" PartName="/xl/worksheets/sheet7858.xml"/>
  <Override ContentType="application/vnd.openxmlformats-officedocument.spreadsheetml.worksheet+xml" PartName="/xl/worksheets/sheet7859.xml"/>
  <Override ContentType="application/vnd.openxmlformats-officedocument.spreadsheetml.worksheet+xml" PartName="/xl/worksheets/sheet7860.xml"/>
  <Override ContentType="application/vnd.openxmlformats-officedocument.spreadsheetml.worksheet+xml" PartName="/xl/worksheets/sheet7861.xml"/>
  <Override ContentType="application/vnd.openxmlformats-officedocument.spreadsheetml.worksheet+xml" PartName="/xl/worksheets/sheet7862.xml"/>
  <Override ContentType="application/vnd.openxmlformats-officedocument.spreadsheetml.worksheet+xml" PartName="/xl/worksheets/sheet7863.xml"/>
  <Override ContentType="application/vnd.openxmlformats-officedocument.spreadsheetml.worksheet+xml" PartName="/xl/worksheets/sheet7864.xml"/>
  <Override ContentType="application/vnd.openxmlformats-officedocument.spreadsheetml.worksheet+xml" PartName="/xl/worksheets/sheet7865.xml"/>
  <Override ContentType="application/vnd.openxmlformats-officedocument.spreadsheetml.worksheet+xml" PartName="/xl/worksheets/sheet7866.xml"/>
  <Override ContentType="application/vnd.openxmlformats-officedocument.spreadsheetml.worksheet+xml" PartName="/xl/worksheets/sheet7867.xml"/>
  <Override ContentType="application/vnd.openxmlformats-officedocument.spreadsheetml.worksheet+xml" PartName="/xl/worksheets/sheet7868.xml"/>
  <Override ContentType="application/vnd.openxmlformats-officedocument.spreadsheetml.worksheet+xml" PartName="/xl/worksheets/sheet7869.xml"/>
  <Override ContentType="application/vnd.openxmlformats-officedocument.spreadsheetml.worksheet+xml" PartName="/xl/worksheets/sheet7870.xml"/>
  <Override ContentType="application/vnd.openxmlformats-officedocument.spreadsheetml.worksheet+xml" PartName="/xl/worksheets/sheet7871.xml"/>
  <Override ContentType="application/vnd.openxmlformats-officedocument.spreadsheetml.worksheet+xml" PartName="/xl/worksheets/sheet7872.xml"/>
  <Override ContentType="application/vnd.openxmlformats-officedocument.spreadsheetml.worksheet+xml" PartName="/xl/worksheets/sheet7873.xml"/>
  <Override ContentType="application/vnd.openxmlformats-officedocument.spreadsheetml.worksheet+xml" PartName="/xl/worksheets/sheet7874.xml"/>
  <Override ContentType="application/vnd.openxmlformats-officedocument.spreadsheetml.worksheet+xml" PartName="/xl/worksheets/sheet7875.xml"/>
  <Override ContentType="application/vnd.openxmlformats-officedocument.spreadsheetml.worksheet+xml" PartName="/xl/worksheets/sheet7876.xml"/>
  <Override ContentType="application/vnd.openxmlformats-officedocument.spreadsheetml.worksheet+xml" PartName="/xl/worksheets/sheet7877.xml"/>
  <Override ContentType="application/vnd.openxmlformats-officedocument.spreadsheetml.worksheet+xml" PartName="/xl/worksheets/sheet7878.xml"/>
  <Override ContentType="application/vnd.openxmlformats-officedocument.spreadsheetml.worksheet+xml" PartName="/xl/worksheets/sheet7879.xml"/>
  <Override ContentType="application/vnd.openxmlformats-officedocument.spreadsheetml.worksheet+xml" PartName="/xl/worksheets/sheet7880.xml"/>
  <Override ContentType="application/vnd.openxmlformats-officedocument.spreadsheetml.worksheet+xml" PartName="/xl/worksheets/sheet7881.xml"/>
  <Override ContentType="application/vnd.openxmlformats-officedocument.spreadsheetml.worksheet+xml" PartName="/xl/worksheets/sheet7882.xml"/>
  <Override ContentType="application/vnd.openxmlformats-officedocument.spreadsheetml.worksheet+xml" PartName="/xl/worksheets/sheet7883.xml"/>
  <Override ContentType="application/vnd.openxmlformats-officedocument.spreadsheetml.worksheet+xml" PartName="/xl/worksheets/sheet7884.xml"/>
  <Override ContentType="application/vnd.openxmlformats-officedocument.spreadsheetml.worksheet+xml" PartName="/xl/worksheets/sheet7885.xml"/>
  <Override ContentType="application/vnd.openxmlformats-officedocument.spreadsheetml.worksheet+xml" PartName="/xl/worksheets/sheet7886.xml"/>
  <Override ContentType="application/vnd.openxmlformats-officedocument.spreadsheetml.worksheet+xml" PartName="/xl/worksheets/sheet7887.xml"/>
  <Override ContentType="application/vnd.openxmlformats-officedocument.spreadsheetml.worksheet+xml" PartName="/xl/worksheets/sheet7888.xml"/>
  <Override ContentType="application/vnd.openxmlformats-officedocument.spreadsheetml.worksheet+xml" PartName="/xl/worksheets/sheet7889.xml"/>
  <Override ContentType="application/vnd.openxmlformats-officedocument.spreadsheetml.worksheet+xml" PartName="/xl/worksheets/sheet7890.xml"/>
  <Override ContentType="application/vnd.openxmlformats-officedocument.spreadsheetml.worksheet+xml" PartName="/xl/worksheets/sheet7891.xml"/>
  <Override ContentType="application/vnd.openxmlformats-officedocument.spreadsheetml.worksheet+xml" PartName="/xl/worksheets/sheet7892.xml"/>
  <Override ContentType="application/vnd.openxmlformats-officedocument.spreadsheetml.worksheet+xml" PartName="/xl/worksheets/sheet7893.xml"/>
  <Override ContentType="application/vnd.openxmlformats-officedocument.spreadsheetml.worksheet+xml" PartName="/xl/worksheets/sheet7894.xml"/>
  <Override ContentType="application/vnd.openxmlformats-officedocument.spreadsheetml.worksheet+xml" PartName="/xl/worksheets/sheet7895.xml"/>
  <Override ContentType="application/vnd.openxmlformats-officedocument.spreadsheetml.worksheet+xml" PartName="/xl/worksheets/sheet7896.xml"/>
  <Override ContentType="application/vnd.openxmlformats-officedocument.spreadsheetml.worksheet+xml" PartName="/xl/worksheets/sheet7897.xml"/>
  <Override ContentType="application/vnd.openxmlformats-officedocument.spreadsheetml.worksheet+xml" PartName="/xl/worksheets/sheet7898.xml"/>
  <Override ContentType="application/vnd.openxmlformats-officedocument.spreadsheetml.worksheet+xml" PartName="/xl/worksheets/sheet7899.xml"/>
  <Override ContentType="application/vnd.openxmlformats-officedocument.spreadsheetml.worksheet+xml" PartName="/xl/worksheets/sheet7900.xml"/>
  <Override ContentType="application/vnd.openxmlformats-officedocument.spreadsheetml.worksheet+xml" PartName="/xl/worksheets/sheet7901.xml"/>
  <Override ContentType="application/vnd.openxmlformats-officedocument.spreadsheetml.worksheet+xml" PartName="/xl/worksheets/sheet7902.xml"/>
  <Override ContentType="application/vnd.openxmlformats-officedocument.spreadsheetml.worksheet+xml" PartName="/xl/worksheets/sheet7903.xml"/>
  <Override ContentType="application/vnd.openxmlformats-officedocument.spreadsheetml.worksheet+xml" PartName="/xl/worksheets/sheet7904.xml"/>
  <Override ContentType="application/vnd.openxmlformats-officedocument.spreadsheetml.worksheet+xml" PartName="/xl/worksheets/sheet7905.xml"/>
  <Override ContentType="application/vnd.openxmlformats-officedocument.spreadsheetml.worksheet+xml" PartName="/xl/worksheets/sheet7906.xml"/>
  <Override ContentType="application/vnd.openxmlformats-officedocument.spreadsheetml.worksheet+xml" PartName="/xl/worksheets/sheet7907.xml"/>
  <Override ContentType="application/vnd.openxmlformats-officedocument.spreadsheetml.worksheet+xml" PartName="/xl/worksheets/sheet7908.xml"/>
  <Override ContentType="application/vnd.openxmlformats-officedocument.spreadsheetml.worksheet+xml" PartName="/xl/worksheets/sheet7909.xml"/>
  <Override ContentType="application/vnd.openxmlformats-officedocument.spreadsheetml.worksheet+xml" PartName="/xl/worksheets/sheet7910.xml"/>
  <Override ContentType="application/vnd.openxmlformats-officedocument.spreadsheetml.worksheet+xml" PartName="/xl/worksheets/sheet7911.xml"/>
  <Override ContentType="application/vnd.openxmlformats-officedocument.spreadsheetml.worksheet+xml" PartName="/xl/worksheets/sheet7912.xml"/>
  <Override ContentType="application/vnd.openxmlformats-officedocument.spreadsheetml.worksheet+xml" PartName="/xl/worksheets/sheet7913.xml"/>
  <Override ContentType="application/vnd.openxmlformats-officedocument.spreadsheetml.worksheet+xml" PartName="/xl/worksheets/sheet7914.xml"/>
  <Override ContentType="application/vnd.openxmlformats-officedocument.spreadsheetml.worksheet+xml" PartName="/xl/worksheets/sheet7915.xml"/>
  <Override ContentType="application/vnd.openxmlformats-officedocument.spreadsheetml.worksheet+xml" PartName="/xl/worksheets/sheet7916.xml"/>
  <Override ContentType="application/vnd.openxmlformats-officedocument.spreadsheetml.worksheet+xml" PartName="/xl/worksheets/sheet7917.xml"/>
  <Override ContentType="application/vnd.openxmlformats-officedocument.spreadsheetml.worksheet+xml" PartName="/xl/worksheets/sheet7918.xml"/>
  <Override ContentType="application/vnd.openxmlformats-officedocument.spreadsheetml.worksheet+xml" PartName="/xl/worksheets/sheet7919.xml"/>
  <Override ContentType="application/vnd.openxmlformats-officedocument.spreadsheetml.worksheet+xml" PartName="/xl/worksheets/sheet7920.xml"/>
  <Override ContentType="application/vnd.openxmlformats-officedocument.spreadsheetml.worksheet+xml" PartName="/xl/worksheets/sheet7921.xml"/>
  <Override ContentType="application/vnd.openxmlformats-officedocument.spreadsheetml.worksheet+xml" PartName="/xl/worksheets/sheet7922.xml"/>
  <Override ContentType="application/vnd.openxmlformats-officedocument.spreadsheetml.worksheet+xml" PartName="/xl/worksheets/sheet7923.xml"/>
  <Override ContentType="application/vnd.openxmlformats-officedocument.spreadsheetml.worksheet+xml" PartName="/xl/worksheets/sheet7924.xml"/>
  <Override ContentType="application/vnd.openxmlformats-officedocument.spreadsheetml.worksheet+xml" PartName="/xl/worksheets/sheet7925.xml"/>
  <Override ContentType="application/vnd.openxmlformats-officedocument.spreadsheetml.worksheet+xml" PartName="/xl/worksheets/sheet7926.xml"/>
  <Override ContentType="application/vnd.openxmlformats-officedocument.spreadsheetml.worksheet+xml" PartName="/xl/worksheets/sheet7927.xml"/>
  <Override ContentType="application/vnd.openxmlformats-officedocument.spreadsheetml.worksheet+xml" PartName="/xl/worksheets/sheet7928.xml"/>
  <Override ContentType="application/vnd.openxmlformats-officedocument.spreadsheetml.worksheet+xml" PartName="/xl/worksheets/sheet7929.xml"/>
  <Override ContentType="application/vnd.openxmlformats-officedocument.spreadsheetml.worksheet+xml" PartName="/xl/worksheets/sheet7930.xml"/>
  <Override ContentType="application/vnd.openxmlformats-officedocument.spreadsheetml.worksheet+xml" PartName="/xl/worksheets/sheet7931.xml"/>
  <Override ContentType="application/vnd.openxmlformats-officedocument.spreadsheetml.worksheet+xml" PartName="/xl/worksheets/sheet7932.xml"/>
  <Override ContentType="application/vnd.openxmlformats-officedocument.spreadsheetml.worksheet+xml" PartName="/xl/worksheets/sheet7933.xml"/>
  <Override ContentType="application/vnd.openxmlformats-officedocument.spreadsheetml.worksheet+xml" PartName="/xl/worksheets/sheet7934.xml"/>
  <Override ContentType="application/vnd.openxmlformats-officedocument.spreadsheetml.worksheet+xml" PartName="/xl/worksheets/sheet7935.xml"/>
  <Override ContentType="application/vnd.openxmlformats-officedocument.spreadsheetml.worksheet+xml" PartName="/xl/worksheets/sheet7936.xml"/>
  <Override ContentType="application/vnd.openxmlformats-officedocument.spreadsheetml.worksheet+xml" PartName="/xl/worksheets/sheet7937.xml"/>
  <Override ContentType="application/vnd.openxmlformats-officedocument.spreadsheetml.worksheet+xml" PartName="/xl/worksheets/sheet7938.xml"/>
  <Override ContentType="application/vnd.openxmlformats-officedocument.spreadsheetml.worksheet+xml" PartName="/xl/worksheets/sheet7939.xml"/>
  <Override ContentType="application/vnd.openxmlformats-officedocument.spreadsheetml.worksheet+xml" PartName="/xl/worksheets/sheet7940.xml"/>
  <Override ContentType="application/vnd.openxmlformats-officedocument.spreadsheetml.worksheet+xml" PartName="/xl/worksheets/sheet7941.xml"/>
  <Override ContentType="application/vnd.openxmlformats-officedocument.spreadsheetml.worksheet+xml" PartName="/xl/worksheets/sheet7942.xml"/>
  <Override ContentType="application/vnd.openxmlformats-officedocument.spreadsheetml.worksheet+xml" PartName="/xl/worksheets/sheet7943.xml"/>
  <Override ContentType="application/vnd.openxmlformats-officedocument.spreadsheetml.worksheet+xml" PartName="/xl/worksheets/sheet7944.xml"/>
  <Override ContentType="application/vnd.openxmlformats-officedocument.spreadsheetml.worksheet+xml" PartName="/xl/worksheets/sheet7945.xml"/>
  <Override ContentType="application/vnd.openxmlformats-officedocument.spreadsheetml.worksheet+xml" PartName="/xl/worksheets/sheet7946.xml"/>
  <Override ContentType="application/vnd.openxmlformats-officedocument.spreadsheetml.worksheet+xml" PartName="/xl/worksheets/sheet7947.xml"/>
  <Override ContentType="application/vnd.openxmlformats-officedocument.spreadsheetml.worksheet+xml" PartName="/xl/worksheets/sheet7948.xml"/>
  <Override ContentType="application/vnd.openxmlformats-officedocument.spreadsheetml.worksheet+xml" PartName="/xl/worksheets/sheet7949.xml"/>
  <Override ContentType="application/vnd.openxmlformats-officedocument.spreadsheetml.worksheet+xml" PartName="/xl/worksheets/sheet7950.xml"/>
  <Override ContentType="application/vnd.openxmlformats-officedocument.spreadsheetml.worksheet+xml" PartName="/xl/worksheets/sheet7951.xml"/>
  <Override ContentType="application/vnd.openxmlformats-officedocument.spreadsheetml.worksheet+xml" PartName="/xl/worksheets/sheet7952.xml"/>
  <Override ContentType="application/vnd.openxmlformats-officedocument.spreadsheetml.worksheet+xml" PartName="/xl/worksheets/sheet7953.xml"/>
  <Override ContentType="application/vnd.openxmlformats-officedocument.spreadsheetml.worksheet+xml" PartName="/xl/worksheets/sheet7954.xml"/>
  <Override ContentType="application/vnd.openxmlformats-officedocument.spreadsheetml.worksheet+xml" PartName="/xl/worksheets/sheet7955.xml"/>
  <Override ContentType="application/vnd.openxmlformats-officedocument.spreadsheetml.worksheet+xml" PartName="/xl/worksheets/sheet7956.xml"/>
  <Override ContentType="application/vnd.openxmlformats-officedocument.spreadsheetml.worksheet+xml" PartName="/xl/worksheets/sheet7957.xml"/>
  <Override ContentType="application/vnd.openxmlformats-officedocument.spreadsheetml.worksheet+xml" PartName="/xl/worksheets/sheet7958.xml"/>
  <Override ContentType="application/vnd.openxmlformats-officedocument.spreadsheetml.worksheet+xml" PartName="/xl/worksheets/sheet7959.xml"/>
  <Override ContentType="application/vnd.openxmlformats-officedocument.spreadsheetml.worksheet+xml" PartName="/xl/worksheets/sheet7960.xml"/>
  <Override ContentType="application/vnd.openxmlformats-officedocument.spreadsheetml.worksheet+xml" PartName="/xl/worksheets/sheet7961.xml"/>
  <Override ContentType="application/vnd.openxmlformats-officedocument.spreadsheetml.worksheet+xml" PartName="/xl/worksheets/sheet7962.xml"/>
  <Override ContentType="application/vnd.openxmlformats-officedocument.spreadsheetml.worksheet+xml" PartName="/xl/worksheets/sheet7963.xml"/>
  <Override ContentType="application/vnd.openxmlformats-officedocument.spreadsheetml.worksheet+xml" PartName="/xl/worksheets/sheet7964.xml"/>
  <Override ContentType="application/vnd.openxmlformats-officedocument.spreadsheetml.worksheet+xml" PartName="/xl/worksheets/sheet7965.xml"/>
  <Override ContentType="application/vnd.openxmlformats-officedocument.spreadsheetml.worksheet+xml" PartName="/xl/worksheets/sheet7966.xml"/>
  <Override ContentType="application/vnd.openxmlformats-officedocument.spreadsheetml.worksheet+xml" PartName="/xl/worksheets/sheet7967.xml"/>
  <Override ContentType="application/vnd.openxmlformats-officedocument.spreadsheetml.worksheet+xml" PartName="/xl/worksheets/sheet7968.xml"/>
  <Override ContentType="application/vnd.openxmlformats-officedocument.spreadsheetml.worksheet+xml" PartName="/xl/worksheets/sheet7969.xml"/>
  <Override ContentType="application/vnd.openxmlformats-officedocument.spreadsheetml.worksheet+xml" PartName="/xl/worksheets/sheet7970.xml"/>
  <Override ContentType="application/vnd.openxmlformats-officedocument.spreadsheetml.worksheet+xml" PartName="/xl/worksheets/sheet7971.xml"/>
  <Override ContentType="application/vnd.openxmlformats-officedocument.spreadsheetml.worksheet+xml" PartName="/xl/worksheets/sheet7972.xml"/>
  <Override ContentType="application/vnd.openxmlformats-officedocument.spreadsheetml.worksheet+xml" PartName="/xl/worksheets/sheet7973.xml"/>
  <Override ContentType="application/vnd.openxmlformats-officedocument.spreadsheetml.worksheet+xml" PartName="/xl/worksheets/sheet7974.xml"/>
  <Override ContentType="application/vnd.openxmlformats-officedocument.spreadsheetml.worksheet+xml" PartName="/xl/worksheets/sheet7975.xml"/>
  <Override ContentType="application/vnd.openxmlformats-officedocument.spreadsheetml.worksheet+xml" PartName="/xl/worksheets/sheet7976.xml"/>
  <Override ContentType="application/vnd.openxmlformats-officedocument.spreadsheetml.worksheet+xml" PartName="/xl/worksheets/sheet7977.xml"/>
  <Override ContentType="application/vnd.openxmlformats-officedocument.spreadsheetml.worksheet+xml" PartName="/xl/worksheets/sheet7978.xml"/>
  <Override ContentType="application/vnd.openxmlformats-officedocument.spreadsheetml.worksheet+xml" PartName="/xl/worksheets/sheet7979.xml"/>
  <Override ContentType="application/vnd.openxmlformats-officedocument.spreadsheetml.worksheet+xml" PartName="/xl/worksheets/sheet7980.xml"/>
  <Override ContentType="application/vnd.openxmlformats-officedocument.spreadsheetml.worksheet+xml" PartName="/xl/worksheets/sheet7981.xml"/>
  <Override ContentType="application/vnd.openxmlformats-officedocument.spreadsheetml.worksheet+xml" PartName="/xl/worksheets/sheet7982.xml"/>
  <Override ContentType="application/vnd.openxmlformats-officedocument.spreadsheetml.worksheet+xml" PartName="/xl/worksheets/sheet7983.xml"/>
  <Override ContentType="application/vnd.openxmlformats-officedocument.spreadsheetml.worksheet+xml" PartName="/xl/worksheets/sheet7984.xml"/>
  <Override ContentType="application/vnd.openxmlformats-officedocument.spreadsheetml.worksheet+xml" PartName="/xl/worksheets/sheet7985.xml"/>
  <Override ContentType="application/vnd.openxmlformats-officedocument.spreadsheetml.worksheet+xml" PartName="/xl/worksheets/sheet7986.xml"/>
  <Override ContentType="application/vnd.openxmlformats-officedocument.spreadsheetml.worksheet+xml" PartName="/xl/worksheets/sheet7987.xml"/>
  <Override ContentType="application/vnd.openxmlformats-officedocument.spreadsheetml.worksheet+xml" PartName="/xl/worksheets/sheet7988.xml"/>
  <Override ContentType="application/vnd.openxmlformats-officedocument.spreadsheetml.worksheet+xml" PartName="/xl/worksheets/sheet7989.xml"/>
  <Override ContentType="application/vnd.openxmlformats-officedocument.spreadsheetml.worksheet+xml" PartName="/xl/worksheets/sheet7990.xml"/>
  <Override ContentType="application/vnd.openxmlformats-officedocument.spreadsheetml.worksheet+xml" PartName="/xl/worksheets/sheet7991.xml"/>
  <Override ContentType="application/vnd.openxmlformats-officedocument.spreadsheetml.worksheet+xml" PartName="/xl/worksheets/sheet7992.xml"/>
  <Override ContentType="application/vnd.openxmlformats-officedocument.spreadsheetml.worksheet+xml" PartName="/xl/worksheets/sheet7993.xml"/>
  <Override ContentType="application/vnd.openxmlformats-officedocument.spreadsheetml.worksheet+xml" PartName="/xl/worksheets/sheet7994.xml"/>
  <Override ContentType="application/vnd.openxmlformats-officedocument.spreadsheetml.worksheet+xml" PartName="/xl/worksheets/sheet7995.xml"/>
  <Override ContentType="application/vnd.openxmlformats-officedocument.spreadsheetml.worksheet+xml" PartName="/xl/worksheets/sheet7996.xml"/>
  <Override ContentType="application/vnd.openxmlformats-officedocument.spreadsheetml.worksheet+xml" PartName="/xl/worksheets/sheet7997.xml"/>
  <Override ContentType="application/vnd.openxmlformats-officedocument.spreadsheetml.worksheet+xml" PartName="/xl/worksheets/sheet7998.xml"/>
  <Override ContentType="application/vnd.openxmlformats-officedocument.spreadsheetml.worksheet+xml" PartName="/xl/worksheets/sheet7999.xml"/>
  <Override ContentType="application/vnd.openxmlformats-officedocument.spreadsheetml.worksheet+xml" PartName="/xl/worksheets/sheet8000.xml"/>
  <Override ContentType="application/vnd.openxmlformats-officedocument.spreadsheetml.worksheet+xml" PartName="/xl/worksheets/sheet8001.xml"/>
  <Override ContentType="application/vnd.openxmlformats-officedocument.spreadsheetml.worksheet+xml" PartName="/xl/worksheets/sheet8002.xml"/>
  <Override ContentType="application/vnd.openxmlformats-officedocument.spreadsheetml.worksheet+xml" PartName="/xl/worksheets/sheet8003.xml"/>
  <Override ContentType="application/vnd.openxmlformats-officedocument.spreadsheetml.worksheet+xml" PartName="/xl/worksheets/sheet8004.xml"/>
  <Override ContentType="application/vnd.openxmlformats-officedocument.spreadsheetml.worksheet+xml" PartName="/xl/worksheets/sheet8005.xml"/>
  <Override ContentType="application/vnd.openxmlformats-officedocument.spreadsheetml.worksheet+xml" PartName="/xl/worksheets/sheet8006.xml"/>
  <Override ContentType="application/vnd.openxmlformats-officedocument.spreadsheetml.worksheet+xml" PartName="/xl/worksheets/sheet8007.xml"/>
  <Override ContentType="application/vnd.openxmlformats-officedocument.spreadsheetml.worksheet+xml" PartName="/xl/worksheets/sheet8008.xml"/>
  <Override ContentType="application/vnd.openxmlformats-officedocument.spreadsheetml.worksheet+xml" PartName="/xl/worksheets/sheet8009.xml"/>
  <Override ContentType="application/vnd.openxmlformats-officedocument.spreadsheetml.worksheet+xml" PartName="/xl/worksheets/sheet8010.xml"/>
  <Override ContentType="application/vnd.openxmlformats-officedocument.spreadsheetml.worksheet+xml" PartName="/xl/worksheets/sheet8011.xml"/>
  <Override ContentType="application/vnd.openxmlformats-officedocument.spreadsheetml.worksheet+xml" PartName="/xl/worksheets/sheet8012.xml"/>
  <Override ContentType="application/vnd.openxmlformats-officedocument.spreadsheetml.worksheet+xml" PartName="/xl/worksheets/sheet8013.xml"/>
  <Override ContentType="application/vnd.openxmlformats-officedocument.spreadsheetml.worksheet+xml" PartName="/xl/worksheets/sheet8014.xml"/>
  <Override ContentType="application/vnd.openxmlformats-officedocument.spreadsheetml.worksheet+xml" PartName="/xl/worksheets/sheet8015.xml"/>
  <Override ContentType="application/vnd.openxmlformats-officedocument.spreadsheetml.worksheet+xml" PartName="/xl/worksheets/sheet8016.xml"/>
  <Override ContentType="application/vnd.openxmlformats-officedocument.spreadsheetml.worksheet+xml" PartName="/xl/worksheets/sheet8017.xml"/>
  <Override ContentType="application/vnd.openxmlformats-officedocument.spreadsheetml.worksheet+xml" PartName="/xl/worksheets/sheet8018.xml"/>
  <Override ContentType="application/vnd.openxmlformats-officedocument.spreadsheetml.worksheet+xml" PartName="/xl/worksheets/sheet8019.xml"/>
  <Override ContentType="application/vnd.openxmlformats-officedocument.spreadsheetml.worksheet+xml" PartName="/xl/worksheets/sheet8020.xml"/>
  <Override ContentType="application/vnd.openxmlformats-officedocument.spreadsheetml.worksheet+xml" PartName="/xl/worksheets/sheet8021.xml"/>
  <Override ContentType="application/vnd.openxmlformats-officedocument.spreadsheetml.worksheet+xml" PartName="/xl/worksheets/sheet8022.xml"/>
  <Override ContentType="application/vnd.openxmlformats-officedocument.spreadsheetml.worksheet+xml" PartName="/xl/worksheets/sheet8023.xml"/>
  <Override ContentType="application/vnd.openxmlformats-officedocument.spreadsheetml.worksheet+xml" PartName="/xl/worksheets/sheet8024.xml"/>
  <Override ContentType="application/vnd.openxmlformats-officedocument.spreadsheetml.worksheet+xml" PartName="/xl/worksheets/sheet8025.xml"/>
  <Override ContentType="application/vnd.openxmlformats-officedocument.spreadsheetml.worksheet+xml" PartName="/xl/worksheets/sheet8026.xml"/>
  <Override ContentType="application/vnd.openxmlformats-officedocument.spreadsheetml.worksheet+xml" PartName="/xl/worksheets/sheet8027.xml"/>
  <Override ContentType="application/vnd.openxmlformats-officedocument.spreadsheetml.worksheet+xml" PartName="/xl/worksheets/sheet8028.xml"/>
  <Override ContentType="application/vnd.openxmlformats-officedocument.spreadsheetml.worksheet+xml" PartName="/xl/worksheets/sheet8029.xml"/>
  <Override ContentType="application/vnd.openxmlformats-officedocument.spreadsheetml.worksheet+xml" PartName="/xl/worksheets/sheet8030.xml"/>
  <Override ContentType="application/vnd.openxmlformats-officedocument.spreadsheetml.worksheet+xml" PartName="/xl/worksheets/sheet8031.xml"/>
  <Override ContentType="application/vnd.openxmlformats-officedocument.spreadsheetml.worksheet+xml" PartName="/xl/worksheets/sheet8032.xml"/>
  <Override ContentType="application/vnd.openxmlformats-officedocument.spreadsheetml.worksheet+xml" PartName="/xl/worksheets/sheet8033.xml"/>
  <Override ContentType="application/vnd.openxmlformats-officedocument.spreadsheetml.worksheet+xml" PartName="/xl/worksheets/sheet8034.xml"/>
  <Override ContentType="application/vnd.openxmlformats-officedocument.spreadsheetml.worksheet+xml" PartName="/xl/worksheets/sheet8035.xml"/>
  <Override ContentType="application/vnd.openxmlformats-officedocument.spreadsheetml.worksheet+xml" PartName="/xl/worksheets/sheet8036.xml"/>
  <Override ContentType="application/vnd.openxmlformats-officedocument.spreadsheetml.worksheet+xml" PartName="/xl/worksheets/sheet8037.xml"/>
  <Override ContentType="application/vnd.openxmlformats-officedocument.spreadsheetml.worksheet+xml" PartName="/xl/worksheets/sheet8038.xml"/>
  <Override ContentType="application/vnd.openxmlformats-officedocument.spreadsheetml.worksheet+xml" PartName="/xl/worksheets/sheet8039.xml"/>
  <Override ContentType="application/vnd.openxmlformats-officedocument.spreadsheetml.worksheet+xml" PartName="/xl/worksheets/sheet8040.xml"/>
  <Override ContentType="application/vnd.openxmlformats-officedocument.spreadsheetml.worksheet+xml" PartName="/xl/worksheets/sheet8041.xml"/>
  <Override ContentType="application/vnd.openxmlformats-officedocument.spreadsheetml.worksheet+xml" PartName="/xl/worksheets/sheet8042.xml"/>
  <Override ContentType="application/vnd.openxmlformats-officedocument.spreadsheetml.worksheet+xml" PartName="/xl/worksheets/sheet8043.xml"/>
  <Override ContentType="application/vnd.openxmlformats-officedocument.spreadsheetml.worksheet+xml" PartName="/xl/worksheets/sheet8044.xml"/>
  <Override ContentType="application/vnd.openxmlformats-officedocument.spreadsheetml.worksheet+xml" PartName="/xl/worksheets/sheet8045.xml"/>
  <Override ContentType="application/vnd.openxmlformats-officedocument.spreadsheetml.worksheet+xml" PartName="/xl/worksheets/sheet8046.xml"/>
  <Override ContentType="application/vnd.openxmlformats-officedocument.spreadsheetml.worksheet+xml" PartName="/xl/worksheets/sheet8047.xml"/>
  <Override ContentType="application/vnd.openxmlformats-officedocument.spreadsheetml.worksheet+xml" PartName="/xl/worksheets/sheet8048.xml"/>
  <Override ContentType="application/vnd.openxmlformats-officedocument.spreadsheetml.worksheet+xml" PartName="/xl/worksheets/sheet8049.xml"/>
  <Override ContentType="application/vnd.openxmlformats-officedocument.spreadsheetml.worksheet+xml" PartName="/xl/worksheets/sheet8050.xml"/>
  <Override ContentType="application/vnd.openxmlformats-officedocument.spreadsheetml.worksheet+xml" PartName="/xl/worksheets/sheet8051.xml"/>
  <Override ContentType="application/vnd.openxmlformats-officedocument.spreadsheetml.worksheet+xml" PartName="/xl/worksheets/sheet8052.xml"/>
  <Override ContentType="application/vnd.openxmlformats-officedocument.spreadsheetml.worksheet+xml" PartName="/xl/worksheets/sheet8053.xml"/>
  <Override ContentType="application/vnd.openxmlformats-officedocument.spreadsheetml.worksheet+xml" PartName="/xl/worksheets/sheet8054.xml"/>
  <Override ContentType="application/vnd.openxmlformats-officedocument.spreadsheetml.worksheet+xml" PartName="/xl/worksheets/sheet8055.xml"/>
  <Override ContentType="application/vnd.openxmlformats-officedocument.spreadsheetml.worksheet+xml" PartName="/xl/worksheets/sheet8056.xml"/>
  <Override ContentType="application/vnd.openxmlformats-officedocument.spreadsheetml.worksheet+xml" PartName="/xl/worksheets/sheet8057.xml"/>
  <Override ContentType="application/vnd.openxmlformats-officedocument.spreadsheetml.worksheet+xml" PartName="/xl/worksheets/sheet8058.xml"/>
  <Override ContentType="application/vnd.openxmlformats-officedocument.spreadsheetml.worksheet+xml" PartName="/xl/worksheets/sheet8059.xml"/>
  <Override ContentType="application/vnd.openxmlformats-officedocument.spreadsheetml.worksheet+xml" PartName="/xl/worksheets/sheet8060.xml"/>
  <Override ContentType="application/vnd.openxmlformats-officedocument.spreadsheetml.worksheet+xml" PartName="/xl/worksheets/sheet8061.xml"/>
  <Override ContentType="application/vnd.openxmlformats-officedocument.spreadsheetml.worksheet+xml" PartName="/xl/worksheets/sheet8062.xml"/>
  <Override ContentType="application/vnd.openxmlformats-officedocument.spreadsheetml.worksheet+xml" PartName="/xl/worksheets/sheet8063.xml"/>
  <Override ContentType="application/vnd.openxmlformats-officedocument.spreadsheetml.worksheet+xml" PartName="/xl/worksheets/sheet8064.xml"/>
  <Override ContentType="application/vnd.openxmlformats-officedocument.spreadsheetml.worksheet+xml" PartName="/xl/worksheets/sheet8065.xml"/>
  <Override ContentType="application/vnd.openxmlformats-officedocument.spreadsheetml.worksheet+xml" PartName="/xl/worksheets/sheet8066.xml"/>
  <Override ContentType="application/vnd.openxmlformats-officedocument.spreadsheetml.worksheet+xml" PartName="/xl/worksheets/sheet8067.xml"/>
  <Override ContentType="application/vnd.openxmlformats-officedocument.spreadsheetml.worksheet+xml" PartName="/xl/worksheets/sheet8068.xml"/>
  <Override ContentType="application/vnd.openxmlformats-officedocument.spreadsheetml.worksheet+xml" PartName="/xl/worksheets/sheet8069.xml"/>
  <Override ContentType="application/vnd.openxmlformats-officedocument.spreadsheetml.worksheet+xml" PartName="/xl/worksheets/sheet8070.xml"/>
  <Override ContentType="application/vnd.openxmlformats-officedocument.spreadsheetml.worksheet+xml" PartName="/xl/worksheets/sheet8071.xml"/>
  <Override ContentType="application/vnd.openxmlformats-officedocument.spreadsheetml.worksheet+xml" PartName="/xl/worksheets/sheet8072.xml"/>
  <Override ContentType="application/vnd.openxmlformats-officedocument.spreadsheetml.worksheet+xml" PartName="/xl/worksheets/sheet8073.xml"/>
  <Override ContentType="application/vnd.openxmlformats-officedocument.spreadsheetml.worksheet+xml" PartName="/xl/worksheets/sheet8074.xml"/>
  <Override ContentType="application/vnd.openxmlformats-officedocument.spreadsheetml.worksheet+xml" PartName="/xl/worksheets/sheet8075.xml"/>
  <Override ContentType="application/vnd.openxmlformats-officedocument.spreadsheetml.worksheet+xml" PartName="/xl/worksheets/sheet8076.xml"/>
  <Override ContentType="application/vnd.openxmlformats-officedocument.spreadsheetml.worksheet+xml" PartName="/xl/worksheets/sheet8077.xml"/>
  <Override ContentType="application/vnd.openxmlformats-officedocument.spreadsheetml.worksheet+xml" PartName="/xl/worksheets/sheet8078.xml"/>
  <Override ContentType="application/vnd.openxmlformats-officedocument.spreadsheetml.worksheet+xml" PartName="/xl/worksheets/sheet8079.xml"/>
  <Override ContentType="application/vnd.openxmlformats-officedocument.spreadsheetml.worksheet+xml" PartName="/xl/worksheets/sheet8080.xml"/>
  <Override ContentType="application/vnd.openxmlformats-officedocument.spreadsheetml.worksheet+xml" PartName="/xl/worksheets/sheet8081.xml"/>
  <Override ContentType="application/vnd.openxmlformats-officedocument.spreadsheetml.worksheet+xml" PartName="/xl/worksheets/sheet8082.xml"/>
  <Override ContentType="application/vnd.openxmlformats-officedocument.spreadsheetml.worksheet+xml" PartName="/xl/worksheets/sheet8083.xml"/>
  <Override ContentType="application/vnd.openxmlformats-officedocument.spreadsheetml.worksheet+xml" PartName="/xl/worksheets/sheet8084.xml"/>
  <Override ContentType="application/vnd.openxmlformats-officedocument.spreadsheetml.worksheet+xml" PartName="/xl/worksheets/sheet8085.xml"/>
  <Override ContentType="application/vnd.openxmlformats-officedocument.spreadsheetml.worksheet+xml" PartName="/xl/worksheets/sheet8086.xml"/>
  <Override ContentType="application/vnd.openxmlformats-officedocument.spreadsheetml.worksheet+xml" PartName="/xl/worksheets/sheet8087.xml"/>
  <Override ContentType="application/vnd.openxmlformats-officedocument.spreadsheetml.worksheet+xml" PartName="/xl/worksheets/sheet8088.xml"/>
  <Override ContentType="application/vnd.openxmlformats-officedocument.spreadsheetml.worksheet+xml" PartName="/xl/worksheets/sheet8089.xml"/>
  <Override ContentType="application/vnd.openxmlformats-officedocument.spreadsheetml.worksheet+xml" PartName="/xl/worksheets/sheet8090.xml"/>
  <Override ContentType="application/vnd.openxmlformats-officedocument.spreadsheetml.worksheet+xml" PartName="/xl/worksheets/sheet8091.xml"/>
  <Override ContentType="application/vnd.openxmlformats-officedocument.spreadsheetml.worksheet+xml" PartName="/xl/worksheets/sheet8092.xml"/>
  <Override ContentType="application/vnd.openxmlformats-officedocument.spreadsheetml.worksheet+xml" PartName="/xl/worksheets/sheet8093.xml"/>
  <Override ContentType="application/vnd.openxmlformats-officedocument.spreadsheetml.worksheet+xml" PartName="/xl/worksheets/sheet8094.xml"/>
  <Override ContentType="application/vnd.openxmlformats-officedocument.spreadsheetml.worksheet+xml" PartName="/xl/worksheets/sheet8095.xml"/>
  <Override ContentType="application/vnd.openxmlformats-officedocument.spreadsheetml.worksheet+xml" PartName="/xl/worksheets/sheet8096.xml"/>
  <Override ContentType="application/vnd.openxmlformats-officedocument.spreadsheetml.worksheet+xml" PartName="/xl/worksheets/sheet8097.xml"/>
  <Override ContentType="application/vnd.openxmlformats-officedocument.spreadsheetml.worksheet+xml" PartName="/xl/worksheets/sheet8098.xml"/>
  <Override ContentType="application/vnd.openxmlformats-officedocument.spreadsheetml.worksheet+xml" PartName="/xl/worksheets/sheet8099.xml"/>
  <Override ContentType="application/vnd.openxmlformats-officedocument.spreadsheetml.worksheet+xml" PartName="/xl/worksheets/sheet8100.xml"/>
  <Override ContentType="application/vnd.openxmlformats-officedocument.spreadsheetml.worksheet+xml" PartName="/xl/worksheets/sheet8101.xml"/>
  <Override ContentType="application/vnd.openxmlformats-officedocument.spreadsheetml.worksheet+xml" PartName="/xl/worksheets/sheet8102.xml"/>
  <Override ContentType="application/vnd.openxmlformats-officedocument.spreadsheetml.worksheet+xml" PartName="/xl/worksheets/sheet8103.xml"/>
  <Override ContentType="application/vnd.openxmlformats-officedocument.spreadsheetml.worksheet+xml" PartName="/xl/worksheets/sheet8104.xml"/>
  <Override ContentType="application/vnd.openxmlformats-officedocument.spreadsheetml.worksheet+xml" PartName="/xl/worksheets/sheet8105.xml"/>
  <Override ContentType="application/vnd.openxmlformats-officedocument.spreadsheetml.worksheet+xml" PartName="/xl/worksheets/sheet8106.xml"/>
  <Override ContentType="application/vnd.openxmlformats-officedocument.spreadsheetml.worksheet+xml" PartName="/xl/worksheets/sheet8107.xml"/>
  <Override ContentType="application/vnd.openxmlformats-officedocument.spreadsheetml.worksheet+xml" PartName="/xl/worksheets/sheet8108.xml"/>
  <Override ContentType="application/vnd.openxmlformats-officedocument.spreadsheetml.worksheet+xml" PartName="/xl/worksheets/sheet8109.xml"/>
  <Override ContentType="application/vnd.openxmlformats-officedocument.spreadsheetml.worksheet+xml" PartName="/xl/worksheets/sheet8110.xml"/>
  <Override ContentType="application/vnd.openxmlformats-officedocument.spreadsheetml.worksheet+xml" PartName="/xl/worksheets/sheet8111.xml"/>
  <Override ContentType="application/vnd.openxmlformats-officedocument.spreadsheetml.worksheet+xml" PartName="/xl/worksheets/sheet8112.xml"/>
  <Override ContentType="application/vnd.openxmlformats-officedocument.spreadsheetml.worksheet+xml" PartName="/xl/worksheets/sheet8113.xml"/>
  <Override ContentType="application/vnd.openxmlformats-officedocument.spreadsheetml.worksheet+xml" PartName="/xl/worksheets/sheet8114.xml"/>
  <Override ContentType="application/vnd.openxmlformats-officedocument.spreadsheetml.worksheet+xml" PartName="/xl/worksheets/sheet8115.xml"/>
  <Override ContentType="application/vnd.openxmlformats-officedocument.spreadsheetml.worksheet+xml" PartName="/xl/worksheets/sheet8116.xml"/>
  <Override ContentType="application/vnd.openxmlformats-officedocument.spreadsheetml.worksheet+xml" PartName="/xl/worksheets/sheet8117.xml"/>
  <Override ContentType="application/vnd.openxmlformats-officedocument.spreadsheetml.worksheet+xml" PartName="/xl/worksheets/sheet8118.xml"/>
  <Override ContentType="application/vnd.openxmlformats-officedocument.spreadsheetml.worksheet+xml" PartName="/xl/worksheets/sheet8119.xml"/>
  <Override ContentType="application/vnd.openxmlformats-officedocument.spreadsheetml.worksheet+xml" PartName="/xl/worksheets/sheet8120.xml"/>
  <Override ContentType="application/vnd.openxmlformats-officedocument.spreadsheetml.worksheet+xml" PartName="/xl/worksheets/sheet8121.xml"/>
  <Override ContentType="application/vnd.openxmlformats-officedocument.spreadsheetml.worksheet+xml" PartName="/xl/worksheets/sheet8122.xml"/>
  <Override ContentType="application/vnd.openxmlformats-officedocument.spreadsheetml.worksheet+xml" PartName="/xl/worksheets/sheet8123.xml"/>
  <Override ContentType="application/vnd.openxmlformats-officedocument.spreadsheetml.worksheet+xml" PartName="/xl/worksheets/sheet8124.xml"/>
  <Override ContentType="application/vnd.openxmlformats-officedocument.spreadsheetml.worksheet+xml" PartName="/xl/worksheets/sheet8125.xml"/>
  <Override ContentType="application/vnd.openxmlformats-officedocument.spreadsheetml.worksheet+xml" PartName="/xl/worksheets/sheet8126.xml"/>
  <Override ContentType="application/vnd.openxmlformats-officedocument.spreadsheetml.worksheet+xml" PartName="/xl/worksheets/sheet8127.xml"/>
  <Override ContentType="application/vnd.openxmlformats-officedocument.spreadsheetml.worksheet+xml" PartName="/xl/worksheets/sheet8128.xml"/>
  <Override ContentType="application/vnd.openxmlformats-officedocument.spreadsheetml.worksheet+xml" PartName="/xl/worksheets/sheet8129.xml"/>
  <Override ContentType="application/vnd.openxmlformats-officedocument.spreadsheetml.worksheet+xml" PartName="/xl/worksheets/sheet8130.xml"/>
  <Override ContentType="application/vnd.openxmlformats-officedocument.spreadsheetml.worksheet+xml" PartName="/xl/worksheets/sheet8131.xml"/>
  <Override ContentType="application/vnd.openxmlformats-officedocument.spreadsheetml.worksheet+xml" PartName="/xl/worksheets/sheet8132.xml"/>
  <Override ContentType="application/vnd.openxmlformats-officedocument.spreadsheetml.worksheet+xml" PartName="/xl/worksheets/sheet8133.xml"/>
  <Override ContentType="application/vnd.openxmlformats-officedocument.spreadsheetml.worksheet+xml" PartName="/xl/worksheets/sheet8134.xml"/>
  <Override ContentType="application/vnd.openxmlformats-officedocument.spreadsheetml.worksheet+xml" PartName="/xl/worksheets/sheet8135.xml"/>
  <Override ContentType="application/vnd.openxmlformats-officedocument.spreadsheetml.worksheet+xml" PartName="/xl/worksheets/sheet8136.xml"/>
  <Override ContentType="application/vnd.openxmlformats-officedocument.spreadsheetml.worksheet+xml" PartName="/xl/worksheets/sheet8137.xml"/>
  <Override ContentType="application/vnd.openxmlformats-officedocument.spreadsheetml.worksheet+xml" PartName="/xl/worksheets/sheet8138.xml"/>
  <Override ContentType="application/vnd.openxmlformats-officedocument.spreadsheetml.worksheet+xml" PartName="/xl/worksheets/sheet8139.xml"/>
  <Override ContentType="application/vnd.openxmlformats-officedocument.spreadsheetml.worksheet+xml" PartName="/xl/worksheets/sheet8140.xml"/>
  <Override ContentType="application/vnd.openxmlformats-officedocument.spreadsheetml.worksheet+xml" PartName="/xl/worksheets/sheet8141.xml"/>
  <Override ContentType="application/vnd.openxmlformats-officedocument.spreadsheetml.worksheet+xml" PartName="/xl/worksheets/sheet8142.xml"/>
  <Override ContentType="application/vnd.openxmlformats-officedocument.spreadsheetml.worksheet+xml" PartName="/xl/worksheets/sheet8143.xml"/>
  <Override ContentType="application/vnd.openxmlformats-officedocument.spreadsheetml.worksheet+xml" PartName="/xl/worksheets/sheet8144.xml"/>
  <Override ContentType="application/vnd.openxmlformats-officedocument.spreadsheetml.worksheet+xml" PartName="/xl/worksheets/sheet8145.xml"/>
  <Override ContentType="application/vnd.openxmlformats-officedocument.spreadsheetml.worksheet+xml" PartName="/xl/worksheets/sheet8146.xml"/>
  <Override ContentType="application/vnd.openxmlformats-officedocument.spreadsheetml.worksheet+xml" PartName="/xl/worksheets/sheet8147.xml"/>
  <Override ContentType="application/vnd.openxmlformats-officedocument.spreadsheetml.worksheet+xml" PartName="/xl/worksheets/sheet8148.xml"/>
  <Override ContentType="application/vnd.openxmlformats-officedocument.spreadsheetml.worksheet+xml" PartName="/xl/worksheets/sheet8149.xml"/>
  <Override ContentType="application/vnd.openxmlformats-officedocument.spreadsheetml.worksheet+xml" PartName="/xl/worksheets/sheet8150.xml"/>
  <Override ContentType="application/vnd.openxmlformats-officedocument.spreadsheetml.worksheet+xml" PartName="/xl/worksheets/sheet8151.xml"/>
  <Override ContentType="application/vnd.openxmlformats-officedocument.spreadsheetml.worksheet+xml" PartName="/xl/worksheets/sheet8152.xml"/>
  <Override ContentType="application/vnd.openxmlformats-officedocument.spreadsheetml.worksheet+xml" PartName="/xl/worksheets/sheet8153.xml"/>
  <Override ContentType="application/vnd.openxmlformats-officedocument.spreadsheetml.worksheet+xml" PartName="/xl/worksheets/sheet8154.xml"/>
  <Override ContentType="application/vnd.openxmlformats-officedocument.spreadsheetml.worksheet+xml" PartName="/xl/worksheets/sheet8155.xml"/>
  <Override ContentType="application/vnd.openxmlformats-officedocument.spreadsheetml.worksheet+xml" PartName="/xl/worksheets/sheet8156.xml"/>
  <Override ContentType="application/vnd.openxmlformats-officedocument.spreadsheetml.worksheet+xml" PartName="/xl/worksheets/sheet8157.xml"/>
  <Override ContentType="application/vnd.openxmlformats-officedocument.spreadsheetml.worksheet+xml" PartName="/xl/worksheets/sheet8158.xml"/>
  <Override ContentType="application/vnd.openxmlformats-officedocument.spreadsheetml.worksheet+xml" PartName="/xl/worksheets/sheet8159.xml"/>
  <Override ContentType="application/vnd.openxmlformats-officedocument.spreadsheetml.worksheet+xml" PartName="/xl/worksheets/sheet8160.xml"/>
  <Override ContentType="application/vnd.openxmlformats-officedocument.spreadsheetml.worksheet+xml" PartName="/xl/worksheets/sheet8161.xml"/>
  <Override ContentType="application/vnd.openxmlformats-officedocument.spreadsheetml.worksheet+xml" PartName="/xl/worksheets/sheet8162.xml"/>
  <Override ContentType="application/vnd.openxmlformats-officedocument.spreadsheetml.worksheet+xml" PartName="/xl/worksheets/sheet8163.xml"/>
  <Override ContentType="application/vnd.openxmlformats-officedocument.spreadsheetml.worksheet+xml" PartName="/xl/worksheets/sheet8164.xml"/>
  <Override ContentType="application/vnd.openxmlformats-officedocument.spreadsheetml.worksheet+xml" PartName="/xl/worksheets/sheet8165.xml"/>
  <Override ContentType="application/vnd.openxmlformats-officedocument.spreadsheetml.worksheet+xml" PartName="/xl/worksheets/sheet8166.xml"/>
  <Override ContentType="application/vnd.openxmlformats-officedocument.spreadsheetml.worksheet+xml" PartName="/xl/worksheets/sheet8167.xml"/>
  <Override ContentType="application/vnd.openxmlformats-officedocument.spreadsheetml.worksheet+xml" PartName="/xl/worksheets/sheet8168.xml"/>
  <Override ContentType="application/vnd.openxmlformats-officedocument.spreadsheetml.worksheet+xml" PartName="/xl/worksheets/sheet8169.xml"/>
  <Override ContentType="application/vnd.openxmlformats-officedocument.spreadsheetml.worksheet+xml" PartName="/xl/worksheets/sheet8170.xml"/>
  <Override ContentType="application/vnd.openxmlformats-officedocument.spreadsheetml.worksheet+xml" PartName="/xl/worksheets/sheet8171.xml"/>
  <Override ContentType="application/vnd.openxmlformats-officedocument.spreadsheetml.worksheet+xml" PartName="/xl/worksheets/sheet8172.xml"/>
  <Override ContentType="application/vnd.openxmlformats-officedocument.spreadsheetml.worksheet+xml" PartName="/xl/worksheets/sheet8173.xml"/>
  <Override ContentType="application/vnd.openxmlformats-officedocument.spreadsheetml.worksheet+xml" PartName="/xl/worksheets/sheet8174.xml"/>
  <Override ContentType="application/vnd.openxmlformats-officedocument.spreadsheetml.worksheet+xml" PartName="/xl/worksheets/sheet8175.xml"/>
  <Override ContentType="application/vnd.openxmlformats-officedocument.spreadsheetml.worksheet+xml" PartName="/xl/worksheets/sheet8176.xml"/>
  <Override ContentType="application/vnd.openxmlformats-officedocument.spreadsheetml.worksheet+xml" PartName="/xl/worksheets/sheet8177.xml"/>
  <Override ContentType="application/vnd.openxmlformats-officedocument.spreadsheetml.worksheet+xml" PartName="/xl/worksheets/sheet8178.xml"/>
  <Override ContentType="application/vnd.openxmlformats-officedocument.spreadsheetml.worksheet+xml" PartName="/xl/worksheets/sheet8179.xml"/>
  <Override ContentType="application/vnd.openxmlformats-officedocument.spreadsheetml.worksheet+xml" PartName="/xl/worksheets/sheet8180.xml"/>
  <Override ContentType="application/vnd.openxmlformats-officedocument.spreadsheetml.worksheet+xml" PartName="/xl/worksheets/sheet8181.xml"/>
  <Override ContentType="application/vnd.openxmlformats-officedocument.spreadsheetml.worksheet+xml" PartName="/xl/worksheets/sheet8182.xml"/>
  <Override ContentType="application/vnd.openxmlformats-officedocument.spreadsheetml.worksheet+xml" PartName="/xl/worksheets/sheet8183.xml"/>
  <Override ContentType="application/vnd.openxmlformats-officedocument.spreadsheetml.worksheet+xml" PartName="/xl/worksheets/sheet8184.xml"/>
  <Override ContentType="application/vnd.openxmlformats-officedocument.spreadsheetml.worksheet+xml" PartName="/xl/worksheets/sheet8185.xml"/>
  <Override ContentType="application/vnd.openxmlformats-officedocument.spreadsheetml.worksheet+xml" PartName="/xl/worksheets/sheet8186.xml"/>
  <Override ContentType="application/vnd.openxmlformats-officedocument.spreadsheetml.worksheet+xml" PartName="/xl/worksheets/sheet8187.xml"/>
  <Override ContentType="application/vnd.openxmlformats-officedocument.spreadsheetml.worksheet+xml" PartName="/xl/worksheets/sheet8188.xml"/>
  <Override ContentType="application/vnd.openxmlformats-officedocument.spreadsheetml.worksheet+xml" PartName="/xl/worksheets/sheet8189.xml"/>
  <Override ContentType="application/vnd.openxmlformats-officedocument.spreadsheetml.worksheet+xml" PartName="/xl/worksheets/sheet8190.xml"/>
  <Override ContentType="application/vnd.openxmlformats-officedocument.spreadsheetml.worksheet+xml" PartName="/xl/worksheets/sheet8191.xml"/>
  <Override ContentType="application/vnd.openxmlformats-officedocument.spreadsheetml.worksheet+xml" PartName="/xl/worksheets/sheet8192.xml"/>
  <Override ContentType="application/vnd.openxmlformats-officedocument.spreadsheetml.worksheet+xml" PartName="/xl/worksheets/sheet8193.xml"/>
  <Override ContentType="application/vnd.openxmlformats-officedocument.spreadsheetml.worksheet+xml" PartName="/xl/worksheets/sheet8194.xml"/>
  <Override ContentType="application/vnd.openxmlformats-officedocument.spreadsheetml.worksheet+xml" PartName="/xl/worksheets/sheet8195.xml"/>
  <Override ContentType="application/vnd.openxmlformats-officedocument.spreadsheetml.worksheet+xml" PartName="/xl/worksheets/sheet8196.xml"/>
  <Override ContentType="application/vnd.openxmlformats-officedocument.spreadsheetml.worksheet+xml" PartName="/xl/worksheets/sheet8197.xml"/>
  <Override ContentType="application/vnd.openxmlformats-officedocument.spreadsheetml.worksheet+xml" PartName="/xl/worksheets/sheet8198.xml"/>
  <Override ContentType="application/vnd.openxmlformats-officedocument.spreadsheetml.worksheet+xml" PartName="/xl/worksheets/sheet8199.xml"/>
  <Override ContentType="application/vnd.openxmlformats-officedocument.spreadsheetml.worksheet+xml" PartName="/xl/worksheets/sheet8200.xml"/>
  <Override ContentType="application/vnd.openxmlformats-officedocument.spreadsheetml.worksheet+xml" PartName="/xl/worksheets/sheet8201.xml"/>
  <Override ContentType="application/vnd.openxmlformats-officedocument.spreadsheetml.worksheet+xml" PartName="/xl/worksheets/sheet8202.xml"/>
  <Override ContentType="application/vnd.openxmlformats-officedocument.spreadsheetml.worksheet+xml" PartName="/xl/worksheets/sheet8203.xml"/>
  <Override ContentType="application/vnd.openxmlformats-officedocument.spreadsheetml.worksheet+xml" PartName="/xl/worksheets/sheet8204.xml"/>
  <Override ContentType="application/vnd.openxmlformats-officedocument.spreadsheetml.worksheet+xml" PartName="/xl/worksheets/sheet8205.xml"/>
  <Override ContentType="application/vnd.openxmlformats-officedocument.spreadsheetml.worksheet+xml" PartName="/xl/worksheets/sheet8206.xml"/>
  <Override ContentType="application/vnd.openxmlformats-officedocument.spreadsheetml.worksheet+xml" PartName="/xl/worksheets/sheet8207.xml"/>
  <Override ContentType="application/vnd.openxmlformats-officedocument.spreadsheetml.worksheet+xml" PartName="/xl/worksheets/sheet8208.xml"/>
  <Override ContentType="application/vnd.openxmlformats-officedocument.spreadsheetml.worksheet+xml" PartName="/xl/worksheets/sheet8209.xml"/>
  <Override ContentType="application/vnd.openxmlformats-officedocument.spreadsheetml.worksheet+xml" PartName="/xl/worksheets/sheet8210.xml"/>
  <Override ContentType="application/vnd.openxmlformats-officedocument.spreadsheetml.worksheet+xml" PartName="/xl/worksheets/sheet8211.xml"/>
  <Override ContentType="application/vnd.openxmlformats-officedocument.spreadsheetml.worksheet+xml" PartName="/xl/worksheets/sheet8212.xml"/>
  <Override ContentType="application/vnd.openxmlformats-officedocument.spreadsheetml.worksheet+xml" PartName="/xl/worksheets/sheet8213.xml"/>
  <Override ContentType="application/vnd.openxmlformats-officedocument.spreadsheetml.worksheet+xml" PartName="/xl/worksheets/sheet8214.xml"/>
  <Override ContentType="application/vnd.openxmlformats-officedocument.spreadsheetml.worksheet+xml" PartName="/xl/worksheets/sheet8215.xml"/>
  <Override ContentType="application/vnd.openxmlformats-officedocument.spreadsheetml.worksheet+xml" PartName="/xl/worksheets/sheet8216.xml"/>
  <Override ContentType="application/vnd.openxmlformats-officedocument.spreadsheetml.worksheet+xml" PartName="/xl/worksheets/sheet8217.xml"/>
  <Override ContentType="application/vnd.openxmlformats-officedocument.spreadsheetml.worksheet+xml" PartName="/xl/worksheets/sheet8218.xml"/>
  <Override ContentType="application/vnd.openxmlformats-officedocument.spreadsheetml.worksheet+xml" PartName="/xl/worksheets/sheet8219.xml"/>
  <Override ContentType="application/vnd.openxmlformats-officedocument.spreadsheetml.worksheet+xml" PartName="/xl/worksheets/sheet8220.xml"/>
  <Override ContentType="application/vnd.openxmlformats-officedocument.spreadsheetml.worksheet+xml" PartName="/xl/worksheets/sheet8221.xml"/>
  <Override ContentType="application/vnd.openxmlformats-officedocument.spreadsheetml.worksheet+xml" PartName="/xl/worksheets/sheet8222.xml"/>
  <Override ContentType="application/vnd.openxmlformats-officedocument.spreadsheetml.worksheet+xml" PartName="/xl/worksheets/sheet8223.xml"/>
  <Override ContentType="application/vnd.openxmlformats-officedocument.spreadsheetml.worksheet+xml" PartName="/xl/worksheets/sheet8224.xml"/>
  <Override ContentType="application/vnd.openxmlformats-officedocument.spreadsheetml.worksheet+xml" PartName="/xl/worksheets/sheet8225.xml"/>
  <Override ContentType="application/vnd.openxmlformats-officedocument.spreadsheetml.worksheet+xml" PartName="/xl/worksheets/sheet8226.xml"/>
  <Override ContentType="application/vnd.openxmlformats-officedocument.spreadsheetml.worksheet+xml" PartName="/xl/worksheets/sheet8227.xml"/>
  <Override ContentType="application/vnd.openxmlformats-officedocument.spreadsheetml.worksheet+xml" PartName="/xl/worksheets/sheet8228.xml"/>
  <Override ContentType="application/vnd.openxmlformats-officedocument.spreadsheetml.worksheet+xml" PartName="/xl/worksheets/sheet8229.xml"/>
  <Override ContentType="application/vnd.openxmlformats-officedocument.spreadsheetml.worksheet+xml" PartName="/xl/worksheets/sheet8230.xml"/>
  <Override ContentType="application/vnd.openxmlformats-officedocument.spreadsheetml.worksheet+xml" PartName="/xl/worksheets/sheet8231.xml"/>
  <Override ContentType="application/vnd.openxmlformats-officedocument.spreadsheetml.worksheet+xml" PartName="/xl/worksheets/sheet8232.xml"/>
  <Override ContentType="application/vnd.openxmlformats-officedocument.spreadsheetml.worksheet+xml" PartName="/xl/worksheets/sheet8233.xml"/>
  <Override ContentType="application/vnd.openxmlformats-officedocument.spreadsheetml.worksheet+xml" PartName="/xl/worksheets/sheet8234.xml"/>
  <Override ContentType="application/vnd.openxmlformats-officedocument.spreadsheetml.worksheet+xml" PartName="/xl/worksheets/sheet8235.xml"/>
  <Override ContentType="application/vnd.openxmlformats-officedocument.spreadsheetml.worksheet+xml" PartName="/xl/worksheets/sheet8236.xml"/>
  <Override ContentType="application/vnd.openxmlformats-officedocument.spreadsheetml.worksheet+xml" PartName="/xl/worksheets/sheet8237.xml"/>
  <Override ContentType="application/vnd.openxmlformats-officedocument.spreadsheetml.worksheet+xml" PartName="/xl/worksheets/sheet8238.xml"/>
  <Override ContentType="application/vnd.openxmlformats-officedocument.spreadsheetml.worksheet+xml" PartName="/xl/worksheets/sheet8239.xml"/>
  <Override ContentType="application/vnd.openxmlformats-officedocument.spreadsheetml.worksheet+xml" PartName="/xl/worksheets/sheet8240.xml"/>
  <Override ContentType="application/vnd.openxmlformats-officedocument.spreadsheetml.worksheet+xml" PartName="/xl/worksheets/sheet8241.xml"/>
  <Override ContentType="application/vnd.openxmlformats-officedocument.spreadsheetml.worksheet+xml" PartName="/xl/worksheets/sheet8242.xml"/>
  <Override ContentType="application/vnd.openxmlformats-officedocument.spreadsheetml.worksheet+xml" PartName="/xl/worksheets/sheet8243.xml"/>
  <Override ContentType="application/vnd.openxmlformats-officedocument.spreadsheetml.worksheet+xml" PartName="/xl/worksheets/sheet8244.xml"/>
  <Override ContentType="application/vnd.openxmlformats-officedocument.spreadsheetml.worksheet+xml" PartName="/xl/worksheets/sheet8245.xml"/>
  <Override ContentType="application/vnd.openxmlformats-officedocument.spreadsheetml.worksheet+xml" PartName="/xl/worksheets/sheet8246.xml"/>
  <Override ContentType="application/vnd.openxmlformats-officedocument.spreadsheetml.worksheet+xml" PartName="/xl/worksheets/sheet8247.xml"/>
  <Override ContentType="application/vnd.openxmlformats-officedocument.spreadsheetml.worksheet+xml" PartName="/xl/worksheets/sheet8248.xml"/>
  <Override ContentType="application/vnd.openxmlformats-officedocument.spreadsheetml.worksheet+xml" PartName="/xl/worksheets/sheet8249.xml"/>
  <Override ContentType="application/vnd.openxmlformats-officedocument.spreadsheetml.worksheet+xml" PartName="/xl/worksheets/sheet8250.xml"/>
  <Override ContentType="application/vnd.openxmlformats-officedocument.spreadsheetml.worksheet+xml" PartName="/xl/worksheets/sheet8251.xml"/>
  <Override ContentType="application/vnd.openxmlformats-officedocument.spreadsheetml.worksheet+xml" PartName="/xl/worksheets/sheet8252.xml"/>
  <Override ContentType="application/vnd.openxmlformats-officedocument.spreadsheetml.worksheet+xml" PartName="/xl/worksheets/sheet8253.xml"/>
  <Override ContentType="application/vnd.openxmlformats-officedocument.spreadsheetml.worksheet+xml" PartName="/xl/worksheets/sheet8254.xml"/>
  <Override ContentType="application/vnd.openxmlformats-officedocument.spreadsheetml.worksheet+xml" PartName="/xl/worksheets/sheet8255.xml"/>
  <Override ContentType="application/vnd.openxmlformats-officedocument.spreadsheetml.worksheet+xml" PartName="/xl/worksheets/sheet8256.xml"/>
  <Override ContentType="application/vnd.openxmlformats-officedocument.spreadsheetml.worksheet+xml" PartName="/xl/worksheets/sheet8257.xml"/>
  <Override ContentType="application/vnd.openxmlformats-officedocument.spreadsheetml.worksheet+xml" PartName="/xl/worksheets/sheet8258.xml"/>
  <Override ContentType="application/vnd.openxmlformats-officedocument.spreadsheetml.worksheet+xml" PartName="/xl/worksheets/sheet8259.xml"/>
  <Override ContentType="application/vnd.openxmlformats-officedocument.spreadsheetml.worksheet+xml" PartName="/xl/worksheets/sheet8260.xml"/>
  <Override ContentType="application/vnd.openxmlformats-officedocument.spreadsheetml.worksheet+xml" PartName="/xl/worksheets/sheet8261.xml"/>
  <Override ContentType="application/vnd.openxmlformats-officedocument.spreadsheetml.worksheet+xml" PartName="/xl/worksheets/sheet8262.xml"/>
  <Override ContentType="application/vnd.openxmlformats-officedocument.spreadsheetml.worksheet+xml" PartName="/xl/worksheets/sheet8263.xml"/>
  <Override ContentType="application/vnd.openxmlformats-officedocument.spreadsheetml.worksheet+xml" PartName="/xl/worksheets/sheet8264.xml"/>
  <Override ContentType="application/vnd.openxmlformats-officedocument.spreadsheetml.worksheet+xml" PartName="/xl/worksheets/sheet8265.xml"/>
  <Override ContentType="application/vnd.openxmlformats-officedocument.spreadsheetml.worksheet+xml" PartName="/xl/worksheets/sheet8266.xml"/>
  <Override ContentType="application/vnd.openxmlformats-officedocument.spreadsheetml.worksheet+xml" PartName="/xl/worksheets/sheet8267.xml"/>
  <Override ContentType="application/vnd.openxmlformats-officedocument.spreadsheetml.worksheet+xml" PartName="/xl/worksheets/sheet8268.xml"/>
  <Override ContentType="application/vnd.openxmlformats-officedocument.spreadsheetml.worksheet+xml" PartName="/xl/worksheets/sheet8269.xml"/>
  <Override ContentType="application/vnd.openxmlformats-officedocument.spreadsheetml.worksheet+xml" PartName="/xl/worksheets/sheet8270.xml"/>
  <Override ContentType="application/vnd.openxmlformats-officedocument.spreadsheetml.worksheet+xml" PartName="/xl/worksheets/sheet8271.xml"/>
  <Override ContentType="application/vnd.openxmlformats-officedocument.spreadsheetml.worksheet+xml" PartName="/xl/worksheets/sheet8272.xml"/>
  <Override ContentType="application/vnd.openxmlformats-officedocument.spreadsheetml.worksheet+xml" PartName="/xl/worksheets/sheet8273.xml"/>
  <Override ContentType="application/vnd.openxmlformats-officedocument.spreadsheetml.worksheet+xml" PartName="/xl/worksheets/sheet8274.xml"/>
  <Override ContentType="application/vnd.openxmlformats-officedocument.spreadsheetml.worksheet+xml" PartName="/xl/worksheets/sheet8275.xml"/>
  <Override ContentType="application/vnd.openxmlformats-officedocument.spreadsheetml.worksheet+xml" PartName="/xl/worksheets/sheet8276.xml"/>
  <Override ContentType="application/vnd.openxmlformats-officedocument.spreadsheetml.worksheet+xml" PartName="/xl/worksheets/sheet8277.xml"/>
  <Override ContentType="application/vnd.openxmlformats-officedocument.spreadsheetml.worksheet+xml" PartName="/xl/worksheets/sheet8278.xml"/>
  <Override ContentType="application/vnd.openxmlformats-officedocument.spreadsheetml.worksheet+xml" PartName="/xl/worksheets/sheet8279.xml"/>
  <Override ContentType="application/vnd.openxmlformats-officedocument.spreadsheetml.worksheet+xml" PartName="/xl/worksheets/sheet8280.xml"/>
  <Override ContentType="application/vnd.openxmlformats-officedocument.spreadsheetml.worksheet+xml" PartName="/xl/worksheets/sheet8281.xml"/>
  <Override ContentType="application/vnd.openxmlformats-officedocument.spreadsheetml.worksheet+xml" PartName="/xl/worksheets/sheet8282.xml"/>
  <Override ContentType="application/vnd.openxmlformats-officedocument.spreadsheetml.worksheet+xml" PartName="/xl/worksheets/sheet8283.xml"/>
  <Override ContentType="application/vnd.openxmlformats-officedocument.spreadsheetml.worksheet+xml" PartName="/xl/worksheets/sheet8284.xml"/>
  <Override ContentType="application/vnd.openxmlformats-officedocument.spreadsheetml.worksheet+xml" PartName="/xl/worksheets/sheet8285.xml"/>
  <Override ContentType="application/vnd.openxmlformats-officedocument.spreadsheetml.worksheet+xml" PartName="/xl/worksheets/sheet8286.xml"/>
  <Override ContentType="application/vnd.openxmlformats-officedocument.spreadsheetml.worksheet+xml" PartName="/xl/worksheets/sheet8287.xml"/>
  <Override ContentType="application/vnd.openxmlformats-officedocument.spreadsheetml.worksheet+xml" PartName="/xl/worksheets/sheet8288.xml"/>
  <Override ContentType="application/vnd.openxmlformats-officedocument.spreadsheetml.worksheet+xml" PartName="/xl/worksheets/sheet8289.xml"/>
  <Override ContentType="application/vnd.openxmlformats-officedocument.spreadsheetml.worksheet+xml" PartName="/xl/worksheets/sheet8290.xml"/>
  <Override ContentType="application/vnd.openxmlformats-officedocument.spreadsheetml.worksheet+xml" PartName="/xl/worksheets/sheet8291.xml"/>
  <Override ContentType="application/vnd.openxmlformats-officedocument.spreadsheetml.worksheet+xml" PartName="/xl/worksheets/sheet8292.xml"/>
  <Override ContentType="application/vnd.openxmlformats-officedocument.spreadsheetml.worksheet+xml" PartName="/xl/worksheets/sheet8293.xml"/>
  <Override ContentType="application/vnd.openxmlformats-officedocument.spreadsheetml.worksheet+xml" PartName="/xl/worksheets/sheet8294.xml"/>
  <Override ContentType="application/vnd.openxmlformats-officedocument.spreadsheetml.worksheet+xml" PartName="/xl/worksheets/sheet8295.xml"/>
  <Override ContentType="application/vnd.openxmlformats-officedocument.spreadsheetml.worksheet+xml" PartName="/xl/worksheets/sheet8296.xml"/>
  <Override ContentType="application/vnd.openxmlformats-officedocument.spreadsheetml.worksheet+xml" PartName="/xl/worksheets/sheet8297.xml"/>
  <Override ContentType="application/vnd.openxmlformats-officedocument.spreadsheetml.worksheet+xml" PartName="/xl/worksheets/sheet8298.xml"/>
  <Override ContentType="application/vnd.openxmlformats-officedocument.spreadsheetml.worksheet+xml" PartName="/xl/worksheets/sheet8299.xml"/>
  <Override ContentType="application/vnd.openxmlformats-officedocument.spreadsheetml.worksheet+xml" PartName="/xl/worksheets/sheet8300.xml"/>
  <Override ContentType="application/vnd.openxmlformats-officedocument.spreadsheetml.worksheet+xml" PartName="/xl/worksheets/sheet8301.xml"/>
  <Override ContentType="application/vnd.openxmlformats-officedocument.spreadsheetml.worksheet+xml" PartName="/xl/worksheets/sheet8302.xml"/>
  <Override ContentType="application/vnd.openxmlformats-officedocument.spreadsheetml.worksheet+xml" PartName="/xl/worksheets/sheet8303.xml"/>
  <Override ContentType="application/vnd.openxmlformats-officedocument.spreadsheetml.worksheet+xml" PartName="/xl/worksheets/sheet8304.xml"/>
  <Override ContentType="application/vnd.openxmlformats-officedocument.spreadsheetml.worksheet+xml" PartName="/xl/worksheets/sheet8305.xml"/>
  <Override ContentType="application/vnd.openxmlformats-officedocument.spreadsheetml.worksheet+xml" PartName="/xl/worksheets/sheet8306.xml"/>
  <Override ContentType="application/vnd.openxmlformats-officedocument.spreadsheetml.worksheet+xml" PartName="/xl/worksheets/sheet8307.xml"/>
  <Override ContentType="application/vnd.openxmlformats-officedocument.spreadsheetml.worksheet+xml" PartName="/xl/worksheets/sheet8308.xml"/>
  <Override ContentType="application/vnd.openxmlformats-officedocument.spreadsheetml.worksheet+xml" PartName="/xl/worksheets/sheet8309.xml"/>
  <Override ContentType="application/vnd.openxmlformats-officedocument.spreadsheetml.worksheet+xml" PartName="/xl/worksheets/sheet8310.xml"/>
  <Override ContentType="application/vnd.openxmlformats-officedocument.spreadsheetml.worksheet+xml" PartName="/xl/worksheets/sheet8311.xml"/>
  <Override ContentType="application/vnd.openxmlformats-officedocument.spreadsheetml.worksheet+xml" PartName="/xl/worksheets/sheet8312.xml"/>
  <Override ContentType="application/vnd.openxmlformats-officedocument.spreadsheetml.worksheet+xml" PartName="/xl/worksheets/sheet8313.xml"/>
  <Override ContentType="application/vnd.openxmlformats-officedocument.spreadsheetml.worksheet+xml" PartName="/xl/worksheets/sheet8314.xml"/>
  <Override ContentType="application/vnd.openxmlformats-officedocument.spreadsheetml.worksheet+xml" PartName="/xl/worksheets/sheet8315.xml"/>
  <Override ContentType="application/vnd.openxmlformats-officedocument.spreadsheetml.worksheet+xml" PartName="/xl/worksheets/sheet8316.xml"/>
  <Override ContentType="application/vnd.openxmlformats-officedocument.spreadsheetml.worksheet+xml" PartName="/xl/worksheets/sheet8317.xml"/>
  <Override ContentType="application/vnd.openxmlformats-officedocument.spreadsheetml.worksheet+xml" PartName="/xl/worksheets/sheet8318.xml"/>
  <Override ContentType="application/vnd.openxmlformats-officedocument.spreadsheetml.worksheet+xml" PartName="/xl/worksheets/sheet8319.xml"/>
  <Override ContentType="application/vnd.openxmlformats-officedocument.spreadsheetml.worksheet+xml" PartName="/xl/worksheets/sheet8320.xml"/>
  <Override ContentType="application/vnd.openxmlformats-officedocument.spreadsheetml.worksheet+xml" PartName="/xl/worksheets/sheet8321.xml"/>
  <Override ContentType="application/vnd.openxmlformats-officedocument.spreadsheetml.worksheet+xml" PartName="/xl/worksheets/sheet8322.xml"/>
  <Override ContentType="application/vnd.openxmlformats-officedocument.spreadsheetml.worksheet+xml" PartName="/xl/worksheets/sheet8323.xml"/>
  <Override ContentType="application/vnd.openxmlformats-officedocument.spreadsheetml.worksheet+xml" PartName="/xl/worksheets/sheet8324.xml"/>
  <Override ContentType="application/vnd.openxmlformats-officedocument.spreadsheetml.worksheet+xml" PartName="/xl/worksheets/sheet8325.xml"/>
  <Override ContentType="application/vnd.openxmlformats-officedocument.spreadsheetml.worksheet+xml" PartName="/xl/worksheets/sheet8326.xml"/>
  <Override ContentType="application/vnd.openxmlformats-officedocument.spreadsheetml.worksheet+xml" PartName="/xl/worksheets/sheet8327.xml"/>
  <Override ContentType="application/vnd.openxmlformats-officedocument.spreadsheetml.worksheet+xml" PartName="/xl/worksheets/sheet8328.xml"/>
  <Override ContentType="application/vnd.openxmlformats-officedocument.spreadsheetml.worksheet+xml" PartName="/xl/worksheets/sheet8329.xml"/>
  <Override ContentType="application/vnd.openxmlformats-officedocument.spreadsheetml.worksheet+xml" PartName="/xl/worksheets/sheet8330.xml"/>
  <Override ContentType="application/vnd.openxmlformats-officedocument.spreadsheetml.worksheet+xml" PartName="/xl/worksheets/sheet8331.xml"/>
  <Override ContentType="application/vnd.openxmlformats-officedocument.spreadsheetml.worksheet+xml" PartName="/xl/worksheets/sheet8332.xml"/>
  <Override ContentType="application/vnd.openxmlformats-officedocument.spreadsheetml.worksheet+xml" PartName="/xl/worksheets/sheet8333.xml"/>
  <Override ContentType="application/vnd.openxmlformats-officedocument.spreadsheetml.worksheet+xml" PartName="/xl/worksheets/sheet8334.xml"/>
  <Override ContentType="application/vnd.openxmlformats-officedocument.spreadsheetml.worksheet+xml" PartName="/xl/worksheets/sheet8335.xml"/>
  <Override ContentType="application/vnd.openxmlformats-officedocument.spreadsheetml.worksheet+xml" PartName="/xl/worksheets/sheet8336.xml"/>
  <Override ContentType="application/vnd.openxmlformats-officedocument.spreadsheetml.worksheet+xml" PartName="/xl/worksheets/sheet8337.xml"/>
  <Override ContentType="application/vnd.openxmlformats-officedocument.spreadsheetml.worksheet+xml" PartName="/xl/worksheets/sheet8338.xml"/>
  <Override ContentType="application/vnd.openxmlformats-officedocument.spreadsheetml.worksheet+xml" PartName="/xl/worksheets/sheet8339.xml"/>
  <Override ContentType="application/vnd.openxmlformats-officedocument.spreadsheetml.worksheet+xml" PartName="/xl/worksheets/sheet8340.xml"/>
  <Override ContentType="application/vnd.openxmlformats-officedocument.spreadsheetml.worksheet+xml" PartName="/xl/worksheets/sheet8341.xml"/>
  <Override ContentType="application/vnd.openxmlformats-officedocument.spreadsheetml.worksheet+xml" PartName="/xl/worksheets/sheet8342.xml"/>
  <Override ContentType="application/vnd.openxmlformats-officedocument.spreadsheetml.worksheet+xml" PartName="/xl/worksheets/sheet8343.xml"/>
  <Override ContentType="application/vnd.openxmlformats-officedocument.spreadsheetml.worksheet+xml" PartName="/xl/worksheets/sheet8344.xml"/>
  <Override ContentType="application/vnd.openxmlformats-officedocument.spreadsheetml.worksheet+xml" PartName="/xl/worksheets/sheet8345.xml"/>
  <Override ContentType="application/vnd.openxmlformats-officedocument.spreadsheetml.worksheet+xml" PartName="/xl/worksheets/sheet8346.xml"/>
  <Override ContentType="application/vnd.openxmlformats-officedocument.spreadsheetml.worksheet+xml" PartName="/xl/worksheets/sheet8347.xml"/>
  <Override ContentType="application/vnd.openxmlformats-officedocument.spreadsheetml.worksheet+xml" PartName="/xl/worksheets/sheet8348.xml"/>
  <Override ContentType="application/vnd.openxmlformats-officedocument.spreadsheetml.worksheet+xml" PartName="/xl/worksheets/sheet8349.xml"/>
  <Override ContentType="application/vnd.openxmlformats-officedocument.spreadsheetml.worksheet+xml" PartName="/xl/worksheets/sheet8350.xml"/>
  <Override ContentType="application/vnd.openxmlformats-officedocument.spreadsheetml.worksheet+xml" PartName="/xl/worksheets/sheet8351.xml"/>
  <Override ContentType="application/vnd.openxmlformats-officedocument.spreadsheetml.worksheet+xml" PartName="/xl/worksheets/sheet8352.xml"/>
  <Override ContentType="application/vnd.openxmlformats-officedocument.spreadsheetml.worksheet+xml" PartName="/xl/worksheets/sheet8353.xml"/>
  <Override ContentType="application/vnd.openxmlformats-officedocument.spreadsheetml.worksheet+xml" PartName="/xl/worksheets/sheet8354.xml"/>
  <Override ContentType="application/vnd.openxmlformats-officedocument.spreadsheetml.worksheet+xml" PartName="/xl/worksheets/sheet8355.xml"/>
  <Override ContentType="application/vnd.openxmlformats-officedocument.spreadsheetml.worksheet+xml" PartName="/xl/worksheets/sheet8356.xml"/>
  <Override ContentType="application/vnd.openxmlformats-officedocument.spreadsheetml.worksheet+xml" PartName="/xl/worksheets/sheet8357.xml"/>
  <Override ContentType="application/vnd.openxmlformats-officedocument.spreadsheetml.worksheet+xml" PartName="/xl/worksheets/sheet8358.xml"/>
  <Override ContentType="application/vnd.openxmlformats-officedocument.spreadsheetml.worksheet+xml" PartName="/xl/worksheets/sheet8359.xml"/>
  <Override ContentType="application/vnd.openxmlformats-officedocument.spreadsheetml.worksheet+xml" PartName="/xl/worksheets/sheet8360.xml"/>
  <Override ContentType="application/vnd.openxmlformats-officedocument.spreadsheetml.worksheet+xml" PartName="/xl/worksheets/sheet8361.xml"/>
  <Override ContentType="application/vnd.openxmlformats-officedocument.spreadsheetml.worksheet+xml" PartName="/xl/worksheets/sheet8362.xml"/>
  <Override ContentType="application/vnd.openxmlformats-officedocument.spreadsheetml.worksheet+xml" PartName="/xl/worksheets/sheet8363.xml"/>
  <Override ContentType="application/vnd.openxmlformats-officedocument.spreadsheetml.worksheet+xml" PartName="/xl/worksheets/sheet8364.xml"/>
  <Override ContentType="application/vnd.openxmlformats-officedocument.spreadsheetml.worksheet+xml" PartName="/xl/worksheets/sheet8365.xml"/>
  <Override ContentType="application/vnd.openxmlformats-officedocument.spreadsheetml.worksheet+xml" PartName="/xl/worksheets/sheet8366.xml"/>
  <Override ContentType="application/vnd.openxmlformats-officedocument.spreadsheetml.worksheet+xml" PartName="/xl/worksheets/sheet8367.xml"/>
  <Override ContentType="application/vnd.openxmlformats-officedocument.spreadsheetml.worksheet+xml" PartName="/xl/worksheets/sheet8368.xml"/>
  <Override ContentType="application/vnd.openxmlformats-officedocument.spreadsheetml.worksheet+xml" PartName="/xl/worksheets/sheet8369.xml"/>
  <Override ContentType="application/vnd.openxmlformats-officedocument.spreadsheetml.worksheet+xml" PartName="/xl/worksheets/sheet8370.xml"/>
  <Override ContentType="application/vnd.openxmlformats-officedocument.spreadsheetml.worksheet+xml" PartName="/xl/worksheets/sheet8371.xml"/>
  <Override ContentType="application/vnd.openxmlformats-officedocument.spreadsheetml.worksheet+xml" PartName="/xl/worksheets/sheet8372.xml"/>
  <Override ContentType="application/vnd.openxmlformats-officedocument.spreadsheetml.worksheet+xml" PartName="/xl/worksheets/sheet8373.xml"/>
  <Override ContentType="application/vnd.openxmlformats-officedocument.spreadsheetml.worksheet+xml" PartName="/xl/worksheets/sheet8374.xml"/>
  <Override ContentType="application/vnd.openxmlformats-officedocument.spreadsheetml.worksheet+xml" PartName="/xl/worksheets/sheet8375.xml"/>
  <Override ContentType="application/vnd.openxmlformats-officedocument.spreadsheetml.worksheet+xml" PartName="/xl/worksheets/sheet8376.xml"/>
  <Override ContentType="application/vnd.openxmlformats-officedocument.spreadsheetml.worksheet+xml" PartName="/xl/worksheets/sheet8377.xml"/>
  <Override ContentType="application/vnd.openxmlformats-officedocument.spreadsheetml.worksheet+xml" PartName="/xl/worksheets/sheet8378.xml"/>
  <Override ContentType="application/vnd.openxmlformats-officedocument.spreadsheetml.worksheet+xml" PartName="/xl/worksheets/sheet8379.xml"/>
  <Override ContentType="application/vnd.openxmlformats-officedocument.spreadsheetml.worksheet+xml" PartName="/xl/worksheets/sheet8380.xml"/>
  <Override ContentType="application/vnd.openxmlformats-officedocument.spreadsheetml.worksheet+xml" PartName="/xl/worksheets/sheet8381.xml"/>
  <Override ContentType="application/vnd.openxmlformats-officedocument.spreadsheetml.worksheet+xml" PartName="/xl/worksheets/sheet8382.xml"/>
  <Override ContentType="application/vnd.openxmlformats-officedocument.spreadsheetml.worksheet+xml" PartName="/xl/worksheets/sheet8383.xml"/>
  <Override ContentType="application/vnd.openxmlformats-officedocument.spreadsheetml.worksheet+xml" PartName="/xl/worksheets/sheet8384.xml"/>
  <Override ContentType="application/vnd.openxmlformats-officedocument.spreadsheetml.worksheet+xml" PartName="/xl/worksheets/sheet8385.xml"/>
  <Override ContentType="application/vnd.openxmlformats-officedocument.spreadsheetml.worksheet+xml" PartName="/xl/worksheets/sheet8386.xml"/>
  <Override ContentType="application/vnd.openxmlformats-officedocument.spreadsheetml.worksheet+xml" PartName="/xl/worksheets/sheet8387.xml"/>
  <Override ContentType="application/vnd.openxmlformats-officedocument.spreadsheetml.worksheet+xml" PartName="/xl/worksheets/sheet8388.xml"/>
  <Override ContentType="application/vnd.openxmlformats-officedocument.spreadsheetml.worksheet+xml" PartName="/xl/worksheets/sheet8389.xml"/>
  <Override ContentType="application/vnd.openxmlformats-officedocument.spreadsheetml.worksheet+xml" PartName="/xl/worksheets/sheet8390.xml"/>
  <Override ContentType="application/vnd.openxmlformats-officedocument.spreadsheetml.worksheet+xml" PartName="/xl/worksheets/sheet8391.xml"/>
  <Override ContentType="application/vnd.openxmlformats-officedocument.spreadsheetml.worksheet+xml" PartName="/xl/worksheets/sheet8392.xml"/>
  <Override ContentType="application/vnd.openxmlformats-officedocument.spreadsheetml.worksheet+xml" PartName="/xl/worksheets/sheet8393.xml"/>
  <Override ContentType="application/vnd.openxmlformats-officedocument.spreadsheetml.worksheet+xml" PartName="/xl/worksheets/sheet8394.xml"/>
  <Override ContentType="application/vnd.openxmlformats-officedocument.spreadsheetml.worksheet+xml" PartName="/xl/worksheets/sheet8395.xml"/>
  <Override ContentType="application/vnd.openxmlformats-officedocument.spreadsheetml.worksheet+xml" PartName="/xl/worksheets/sheet8396.xml"/>
  <Override ContentType="application/vnd.openxmlformats-officedocument.spreadsheetml.worksheet+xml" PartName="/xl/worksheets/sheet8397.xml"/>
  <Override ContentType="application/vnd.openxmlformats-officedocument.spreadsheetml.worksheet+xml" PartName="/xl/worksheets/sheet8398.xml"/>
  <Override ContentType="application/vnd.openxmlformats-officedocument.spreadsheetml.worksheet+xml" PartName="/xl/worksheets/sheet8399.xml"/>
  <Override ContentType="application/vnd.openxmlformats-officedocument.spreadsheetml.worksheet+xml" PartName="/xl/worksheets/sheet8400.xml"/>
  <Override ContentType="application/vnd.openxmlformats-officedocument.spreadsheetml.worksheet+xml" PartName="/xl/worksheets/sheet8401.xml"/>
  <Override ContentType="application/vnd.openxmlformats-officedocument.spreadsheetml.worksheet+xml" PartName="/xl/worksheets/sheet8402.xml"/>
  <Override ContentType="application/vnd.openxmlformats-officedocument.spreadsheetml.worksheet+xml" PartName="/xl/worksheets/sheet8403.xml"/>
  <Override ContentType="application/vnd.openxmlformats-officedocument.spreadsheetml.worksheet+xml" PartName="/xl/worksheets/sheet8404.xml"/>
  <Override ContentType="application/vnd.openxmlformats-officedocument.spreadsheetml.worksheet+xml" PartName="/xl/worksheets/sheet8405.xml"/>
  <Override ContentType="application/vnd.openxmlformats-officedocument.spreadsheetml.worksheet+xml" PartName="/xl/worksheets/sheet8406.xml"/>
  <Override ContentType="application/vnd.openxmlformats-officedocument.spreadsheetml.worksheet+xml" PartName="/xl/worksheets/sheet8407.xml"/>
  <Override ContentType="application/vnd.openxmlformats-officedocument.spreadsheetml.worksheet+xml" PartName="/xl/worksheets/sheet8408.xml"/>
  <Override ContentType="application/vnd.openxmlformats-officedocument.spreadsheetml.worksheet+xml" PartName="/xl/worksheets/sheet8409.xml"/>
  <Override ContentType="application/vnd.openxmlformats-officedocument.spreadsheetml.worksheet+xml" PartName="/xl/worksheets/sheet8410.xml"/>
  <Override ContentType="application/vnd.openxmlformats-officedocument.spreadsheetml.worksheet+xml" PartName="/xl/worksheets/sheet8411.xml"/>
  <Override ContentType="application/vnd.openxmlformats-officedocument.spreadsheetml.worksheet+xml" PartName="/xl/worksheets/sheet8412.xml"/>
  <Override ContentType="application/vnd.openxmlformats-officedocument.spreadsheetml.worksheet+xml" PartName="/xl/worksheets/sheet8413.xml"/>
  <Override ContentType="application/vnd.openxmlformats-officedocument.spreadsheetml.worksheet+xml" PartName="/xl/worksheets/sheet8414.xml"/>
  <Override ContentType="application/vnd.openxmlformats-officedocument.spreadsheetml.worksheet+xml" PartName="/xl/worksheets/sheet8415.xml"/>
  <Override ContentType="application/vnd.openxmlformats-officedocument.spreadsheetml.worksheet+xml" PartName="/xl/worksheets/sheet8416.xml"/>
  <Override ContentType="application/vnd.openxmlformats-officedocument.spreadsheetml.worksheet+xml" PartName="/xl/worksheets/sheet8417.xml"/>
  <Override ContentType="application/vnd.openxmlformats-officedocument.spreadsheetml.worksheet+xml" PartName="/xl/worksheets/sheet8418.xml"/>
  <Override ContentType="application/vnd.openxmlformats-officedocument.spreadsheetml.worksheet+xml" PartName="/xl/worksheets/sheet8419.xml"/>
  <Override ContentType="application/vnd.openxmlformats-officedocument.spreadsheetml.worksheet+xml" PartName="/xl/worksheets/sheet8420.xml"/>
  <Override ContentType="application/vnd.openxmlformats-officedocument.spreadsheetml.worksheet+xml" PartName="/xl/worksheets/sheet8421.xml"/>
  <Override ContentType="application/vnd.openxmlformats-officedocument.spreadsheetml.worksheet+xml" PartName="/xl/worksheets/sheet8422.xml"/>
  <Override ContentType="application/vnd.openxmlformats-officedocument.spreadsheetml.worksheet+xml" PartName="/xl/worksheets/sheet8423.xml"/>
  <Override ContentType="application/vnd.openxmlformats-officedocument.spreadsheetml.worksheet+xml" PartName="/xl/worksheets/sheet8424.xml"/>
  <Override ContentType="application/vnd.openxmlformats-officedocument.spreadsheetml.worksheet+xml" PartName="/xl/worksheets/sheet8425.xml"/>
  <Override ContentType="application/vnd.openxmlformats-officedocument.spreadsheetml.worksheet+xml" PartName="/xl/worksheets/sheet8426.xml"/>
  <Override ContentType="application/vnd.openxmlformats-officedocument.spreadsheetml.worksheet+xml" PartName="/xl/worksheets/sheet8427.xml"/>
  <Override ContentType="application/vnd.openxmlformats-officedocument.spreadsheetml.worksheet+xml" PartName="/xl/worksheets/sheet8428.xml"/>
  <Override ContentType="application/vnd.openxmlformats-officedocument.spreadsheetml.worksheet+xml" PartName="/xl/worksheets/sheet8429.xml"/>
  <Override ContentType="application/vnd.openxmlformats-officedocument.spreadsheetml.worksheet+xml" PartName="/xl/worksheets/sheet8430.xml"/>
  <Override ContentType="application/vnd.openxmlformats-officedocument.spreadsheetml.worksheet+xml" PartName="/xl/worksheets/sheet8431.xml"/>
  <Override ContentType="application/vnd.openxmlformats-officedocument.spreadsheetml.worksheet+xml" PartName="/xl/worksheets/sheet8432.xml"/>
  <Override ContentType="application/vnd.openxmlformats-officedocument.spreadsheetml.worksheet+xml" PartName="/xl/worksheets/sheet8433.xml"/>
  <Override ContentType="application/vnd.openxmlformats-officedocument.spreadsheetml.worksheet+xml" PartName="/xl/worksheets/sheet8434.xml"/>
  <Override ContentType="application/vnd.openxmlformats-officedocument.spreadsheetml.worksheet+xml" PartName="/xl/worksheets/sheet8435.xml"/>
  <Override ContentType="application/vnd.openxmlformats-officedocument.spreadsheetml.worksheet+xml" PartName="/xl/worksheets/sheet8436.xml"/>
  <Override ContentType="application/vnd.openxmlformats-officedocument.spreadsheetml.worksheet+xml" PartName="/xl/worksheets/sheet8437.xml"/>
  <Override ContentType="application/vnd.openxmlformats-officedocument.spreadsheetml.worksheet+xml" PartName="/xl/worksheets/sheet8438.xml"/>
  <Override ContentType="application/vnd.openxmlformats-officedocument.spreadsheetml.worksheet+xml" PartName="/xl/worksheets/sheet8439.xml"/>
  <Override ContentType="application/vnd.openxmlformats-officedocument.spreadsheetml.worksheet+xml" PartName="/xl/worksheets/sheet8440.xml"/>
  <Override ContentType="application/vnd.openxmlformats-officedocument.spreadsheetml.worksheet+xml" PartName="/xl/worksheets/sheet8441.xml"/>
  <Override ContentType="application/vnd.openxmlformats-officedocument.spreadsheetml.worksheet+xml" PartName="/xl/worksheets/sheet8442.xml"/>
  <Override ContentType="application/vnd.openxmlformats-officedocument.spreadsheetml.worksheet+xml" PartName="/xl/worksheets/sheet8443.xml"/>
  <Override ContentType="application/vnd.openxmlformats-officedocument.spreadsheetml.worksheet+xml" PartName="/xl/worksheets/sheet8444.xml"/>
  <Override ContentType="application/vnd.openxmlformats-officedocument.spreadsheetml.worksheet+xml" PartName="/xl/worksheets/sheet8445.xml"/>
  <Override ContentType="application/vnd.openxmlformats-officedocument.spreadsheetml.worksheet+xml" PartName="/xl/worksheets/sheet8446.xml"/>
  <Override ContentType="application/vnd.openxmlformats-officedocument.spreadsheetml.worksheet+xml" PartName="/xl/worksheets/sheet8447.xml"/>
  <Override ContentType="application/vnd.openxmlformats-officedocument.spreadsheetml.worksheet+xml" PartName="/xl/worksheets/sheet8448.xml"/>
  <Override ContentType="application/vnd.openxmlformats-officedocument.spreadsheetml.worksheet+xml" PartName="/xl/worksheets/sheet8449.xml"/>
  <Override ContentType="application/vnd.openxmlformats-officedocument.spreadsheetml.worksheet+xml" PartName="/xl/worksheets/sheet8450.xml"/>
  <Override ContentType="application/vnd.openxmlformats-officedocument.spreadsheetml.worksheet+xml" PartName="/xl/worksheets/sheet8451.xml"/>
  <Override ContentType="application/vnd.openxmlformats-officedocument.spreadsheetml.worksheet+xml" PartName="/xl/worksheets/sheet8452.xml"/>
  <Override ContentType="application/vnd.openxmlformats-officedocument.spreadsheetml.worksheet+xml" PartName="/xl/worksheets/sheet8453.xml"/>
  <Override ContentType="application/vnd.openxmlformats-officedocument.spreadsheetml.worksheet+xml" PartName="/xl/worksheets/sheet8454.xml"/>
  <Override ContentType="application/vnd.openxmlformats-officedocument.spreadsheetml.worksheet+xml" PartName="/xl/worksheets/sheet8455.xml"/>
  <Override ContentType="application/vnd.openxmlformats-officedocument.spreadsheetml.worksheet+xml" PartName="/xl/worksheets/sheet8456.xml"/>
  <Override ContentType="application/vnd.openxmlformats-officedocument.spreadsheetml.worksheet+xml" PartName="/xl/worksheets/sheet8457.xml"/>
  <Override ContentType="application/vnd.openxmlformats-officedocument.spreadsheetml.worksheet+xml" PartName="/xl/worksheets/sheet8458.xml"/>
  <Override ContentType="application/vnd.openxmlformats-officedocument.spreadsheetml.worksheet+xml" PartName="/xl/worksheets/sheet8459.xml"/>
  <Override ContentType="application/vnd.openxmlformats-officedocument.spreadsheetml.worksheet+xml" PartName="/xl/worksheets/sheet8460.xml"/>
  <Override ContentType="application/vnd.openxmlformats-officedocument.spreadsheetml.worksheet+xml" PartName="/xl/worksheets/sheet8461.xml"/>
  <Override ContentType="application/vnd.openxmlformats-officedocument.spreadsheetml.worksheet+xml" PartName="/xl/worksheets/sheet8462.xml"/>
  <Override ContentType="application/vnd.openxmlformats-officedocument.spreadsheetml.worksheet+xml" PartName="/xl/worksheets/sheet8463.xml"/>
  <Override ContentType="application/vnd.openxmlformats-officedocument.spreadsheetml.worksheet+xml" PartName="/xl/worksheets/sheet8464.xml"/>
  <Override ContentType="application/vnd.openxmlformats-officedocument.spreadsheetml.worksheet+xml" PartName="/xl/worksheets/sheet8465.xml"/>
  <Override ContentType="application/vnd.openxmlformats-officedocument.spreadsheetml.worksheet+xml" PartName="/xl/worksheets/sheet8466.xml"/>
  <Override ContentType="application/vnd.openxmlformats-officedocument.spreadsheetml.worksheet+xml" PartName="/xl/worksheets/sheet8467.xml"/>
  <Override ContentType="application/vnd.openxmlformats-officedocument.spreadsheetml.worksheet+xml" PartName="/xl/worksheets/sheet8468.xml"/>
  <Override ContentType="application/vnd.openxmlformats-officedocument.spreadsheetml.worksheet+xml" PartName="/xl/worksheets/sheet8469.xml"/>
  <Override ContentType="application/vnd.openxmlformats-officedocument.spreadsheetml.worksheet+xml" PartName="/xl/worksheets/sheet8470.xml"/>
  <Override ContentType="application/vnd.openxmlformats-officedocument.spreadsheetml.worksheet+xml" PartName="/xl/worksheets/sheet8471.xml"/>
  <Override ContentType="application/vnd.openxmlformats-officedocument.spreadsheetml.worksheet+xml" PartName="/xl/worksheets/sheet8472.xml"/>
  <Override ContentType="application/vnd.openxmlformats-officedocument.spreadsheetml.worksheet+xml" PartName="/xl/worksheets/sheet8473.xml"/>
  <Override ContentType="application/vnd.openxmlformats-officedocument.spreadsheetml.worksheet+xml" PartName="/xl/worksheets/sheet8474.xml"/>
  <Override ContentType="application/vnd.openxmlformats-officedocument.spreadsheetml.worksheet+xml" PartName="/xl/worksheets/sheet8475.xml"/>
  <Override ContentType="application/vnd.openxmlformats-officedocument.spreadsheetml.worksheet+xml" PartName="/xl/worksheets/sheet8476.xml"/>
  <Override ContentType="application/vnd.openxmlformats-officedocument.spreadsheetml.worksheet+xml" PartName="/xl/worksheets/sheet8477.xml"/>
  <Override ContentType="application/vnd.openxmlformats-officedocument.spreadsheetml.worksheet+xml" PartName="/xl/worksheets/sheet8478.xml"/>
  <Override ContentType="application/vnd.openxmlformats-officedocument.spreadsheetml.worksheet+xml" PartName="/xl/worksheets/sheet8479.xml"/>
  <Override ContentType="application/vnd.openxmlformats-officedocument.spreadsheetml.worksheet+xml" PartName="/xl/worksheets/sheet8480.xml"/>
  <Override ContentType="application/vnd.openxmlformats-officedocument.spreadsheetml.worksheet+xml" PartName="/xl/worksheets/sheet8481.xml"/>
  <Override ContentType="application/vnd.openxmlformats-officedocument.spreadsheetml.worksheet+xml" PartName="/xl/worksheets/sheet8482.xml"/>
  <Override ContentType="application/vnd.openxmlformats-officedocument.spreadsheetml.worksheet+xml" PartName="/xl/worksheets/sheet8483.xml"/>
  <Override ContentType="application/vnd.openxmlformats-officedocument.spreadsheetml.worksheet+xml" PartName="/xl/worksheets/sheet8484.xml"/>
  <Override ContentType="application/vnd.openxmlformats-officedocument.spreadsheetml.worksheet+xml" PartName="/xl/worksheets/sheet8485.xml"/>
  <Override ContentType="application/vnd.openxmlformats-officedocument.spreadsheetml.worksheet+xml" PartName="/xl/worksheets/sheet8486.xml"/>
  <Override ContentType="application/vnd.openxmlformats-officedocument.spreadsheetml.worksheet+xml" PartName="/xl/worksheets/sheet8487.xml"/>
  <Override ContentType="application/vnd.openxmlformats-officedocument.spreadsheetml.worksheet+xml" PartName="/xl/worksheets/sheet8488.xml"/>
  <Override ContentType="application/vnd.openxmlformats-officedocument.spreadsheetml.worksheet+xml" PartName="/xl/worksheets/sheet8489.xml"/>
  <Override ContentType="application/vnd.openxmlformats-officedocument.spreadsheetml.worksheet+xml" PartName="/xl/worksheets/sheet8490.xml"/>
  <Override ContentType="application/vnd.openxmlformats-officedocument.spreadsheetml.worksheet+xml" PartName="/xl/worksheets/sheet8491.xml"/>
  <Override ContentType="application/vnd.openxmlformats-officedocument.spreadsheetml.worksheet+xml" PartName="/xl/worksheets/sheet8492.xml"/>
  <Override ContentType="application/vnd.openxmlformats-officedocument.spreadsheetml.worksheet+xml" PartName="/xl/worksheets/sheet8493.xml"/>
  <Override ContentType="application/vnd.openxmlformats-officedocument.spreadsheetml.worksheet+xml" PartName="/xl/worksheets/sheet8494.xml"/>
  <Override ContentType="application/vnd.openxmlformats-officedocument.spreadsheetml.worksheet+xml" PartName="/xl/worksheets/sheet8495.xml"/>
  <Override ContentType="application/vnd.openxmlformats-officedocument.spreadsheetml.worksheet+xml" PartName="/xl/worksheets/sheet8496.xml"/>
  <Override ContentType="application/vnd.openxmlformats-officedocument.spreadsheetml.worksheet+xml" PartName="/xl/worksheets/sheet8497.xml"/>
  <Override ContentType="application/vnd.openxmlformats-officedocument.spreadsheetml.worksheet+xml" PartName="/xl/worksheets/sheet8498.xml"/>
  <Override ContentType="application/vnd.openxmlformats-officedocument.spreadsheetml.worksheet+xml" PartName="/xl/worksheets/sheet8499.xml"/>
  <Override ContentType="application/vnd.openxmlformats-officedocument.spreadsheetml.worksheet+xml" PartName="/xl/worksheets/sheet8500.xml"/>
  <Override ContentType="application/vnd.openxmlformats-officedocument.spreadsheetml.worksheet+xml" PartName="/xl/worksheets/sheet8501.xml"/>
  <Override ContentType="application/vnd.openxmlformats-officedocument.spreadsheetml.worksheet+xml" PartName="/xl/worksheets/sheet8502.xml"/>
  <Override ContentType="application/vnd.openxmlformats-officedocument.spreadsheetml.worksheet+xml" PartName="/xl/worksheets/sheet8503.xml"/>
  <Override ContentType="application/vnd.openxmlformats-officedocument.spreadsheetml.worksheet+xml" PartName="/xl/worksheets/sheet8504.xml"/>
  <Override ContentType="application/vnd.openxmlformats-officedocument.spreadsheetml.worksheet+xml" PartName="/xl/worksheets/sheet8505.xml"/>
  <Override ContentType="application/vnd.openxmlformats-officedocument.spreadsheetml.worksheet+xml" PartName="/xl/worksheets/sheet8506.xml"/>
  <Override ContentType="application/vnd.openxmlformats-officedocument.spreadsheetml.worksheet+xml" PartName="/xl/worksheets/sheet8507.xml"/>
  <Override ContentType="application/vnd.openxmlformats-officedocument.spreadsheetml.worksheet+xml" PartName="/xl/worksheets/sheet8508.xml"/>
  <Override ContentType="application/vnd.openxmlformats-officedocument.spreadsheetml.worksheet+xml" PartName="/xl/worksheets/sheet8509.xml"/>
  <Override ContentType="application/vnd.openxmlformats-officedocument.spreadsheetml.worksheet+xml" PartName="/xl/worksheets/sheet8510.xml"/>
  <Override ContentType="application/vnd.openxmlformats-officedocument.spreadsheetml.worksheet+xml" PartName="/xl/worksheets/sheet8511.xml"/>
  <Override ContentType="application/vnd.openxmlformats-officedocument.spreadsheetml.worksheet+xml" PartName="/xl/worksheets/sheet8512.xml"/>
  <Override ContentType="application/vnd.openxmlformats-officedocument.spreadsheetml.worksheet+xml" PartName="/xl/worksheets/sheet8513.xml"/>
  <Override ContentType="application/vnd.openxmlformats-officedocument.spreadsheetml.worksheet+xml" PartName="/xl/worksheets/sheet8514.xml"/>
  <Override ContentType="application/vnd.openxmlformats-officedocument.spreadsheetml.worksheet+xml" PartName="/xl/worksheets/sheet8515.xml"/>
  <Override ContentType="application/vnd.openxmlformats-officedocument.spreadsheetml.worksheet+xml" PartName="/xl/worksheets/sheet8516.xml"/>
  <Override ContentType="application/vnd.openxmlformats-officedocument.spreadsheetml.worksheet+xml" PartName="/xl/worksheets/sheet8517.xml"/>
  <Override ContentType="application/vnd.openxmlformats-officedocument.spreadsheetml.worksheet+xml" PartName="/xl/worksheets/sheet8518.xml"/>
  <Override ContentType="application/vnd.openxmlformats-officedocument.spreadsheetml.worksheet+xml" PartName="/xl/worksheets/sheet8519.xml"/>
  <Override ContentType="application/vnd.openxmlformats-officedocument.spreadsheetml.worksheet+xml" PartName="/xl/worksheets/sheet8520.xml"/>
  <Override ContentType="application/vnd.openxmlformats-officedocument.spreadsheetml.worksheet+xml" PartName="/xl/worksheets/sheet8521.xml"/>
  <Override ContentType="application/vnd.openxmlformats-officedocument.spreadsheetml.worksheet+xml" PartName="/xl/worksheets/sheet8522.xml"/>
  <Override ContentType="application/vnd.openxmlformats-officedocument.spreadsheetml.worksheet+xml" PartName="/xl/worksheets/sheet8523.xml"/>
  <Override ContentType="application/vnd.openxmlformats-officedocument.spreadsheetml.worksheet+xml" PartName="/xl/worksheets/sheet8524.xml"/>
  <Override ContentType="application/vnd.openxmlformats-officedocument.spreadsheetml.worksheet+xml" PartName="/xl/worksheets/sheet8525.xml"/>
  <Override ContentType="application/vnd.openxmlformats-officedocument.spreadsheetml.worksheet+xml" PartName="/xl/worksheets/sheet8526.xml"/>
  <Override ContentType="application/vnd.openxmlformats-officedocument.spreadsheetml.worksheet+xml" PartName="/xl/worksheets/sheet8527.xml"/>
  <Override ContentType="application/vnd.openxmlformats-officedocument.spreadsheetml.worksheet+xml" PartName="/xl/worksheets/sheet8528.xml"/>
  <Override ContentType="application/vnd.openxmlformats-officedocument.spreadsheetml.worksheet+xml" PartName="/xl/worksheets/sheet8529.xml"/>
  <Override ContentType="application/vnd.openxmlformats-officedocument.spreadsheetml.worksheet+xml" PartName="/xl/worksheets/sheet8530.xml"/>
  <Override ContentType="application/vnd.openxmlformats-officedocument.spreadsheetml.worksheet+xml" PartName="/xl/worksheets/sheet8531.xml"/>
  <Override ContentType="application/vnd.openxmlformats-officedocument.spreadsheetml.worksheet+xml" PartName="/xl/worksheets/sheet8532.xml"/>
  <Override ContentType="application/vnd.openxmlformats-officedocument.spreadsheetml.worksheet+xml" PartName="/xl/worksheets/sheet8533.xml"/>
  <Override ContentType="application/vnd.openxmlformats-officedocument.spreadsheetml.worksheet+xml" PartName="/xl/worksheets/sheet8534.xml"/>
  <Override ContentType="application/vnd.openxmlformats-officedocument.spreadsheetml.worksheet+xml" PartName="/xl/worksheets/sheet8535.xml"/>
  <Override ContentType="application/vnd.openxmlformats-officedocument.spreadsheetml.worksheet+xml" PartName="/xl/worksheets/sheet8536.xml"/>
  <Override ContentType="application/vnd.openxmlformats-officedocument.spreadsheetml.worksheet+xml" PartName="/xl/worksheets/sheet8537.xml"/>
  <Override ContentType="application/vnd.openxmlformats-officedocument.spreadsheetml.worksheet+xml" PartName="/xl/worksheets/sheet8538.xml"/>
  <Override ContentType="application/vnd.openxmlformats-officedocument.spreadsheetml.worksheet+xml" PartName="/xl/worksheets/sheet8539.xml"/>
  <Override ContentType="application/vnd.openxmlformats-officedocument.spreadsheetml.worksheet+xml" PartName="/xl/worksheets/sheet8540.xml"/>
  <Override ContentType="application/vnd.openxmlformats-officedocument.spreadsheetml.worksheet+xml" PartName="/xl/worksheets/sheet8541.xml"/>
  <Override ContentType="application/vnd.openxmlformats-officedocument.spreadsheetml.worksheet+xml" PartName="/xl/worksheets/sheet8542.xml"/>
  <Override ContentType="application/vnd.openxmlformats-officedocument.spreadsheetml.worksheet+xml" PartName="/xl/worksheets/sheet8543.xml"/>
  <Override ContentType="application/vnd.openxmlformats-officedocument.spreadsheetml.worksheet+xml" PartName="/xl/worksheets/sheet8544.xml"/>
  <Override ContentType="application/vnd.openxmlformats-officedocument.spreadsheetml.worksheet+xml" PartName="/xl/worksheets/sheet8545.xml"/>
  <Override ContentType="application/vnd.openxmlformats-officedocument.spreadsheetml.worksheet+xml" PartName="/xl/worksheets/sheet8546.xml"/>
  <Override ContentType="application/vnd.openxmlformats-officedocument.spreadsheetml.worksheet+xml" PartName="/xl/worksheets/sheet8547.xml"/>
  <Override ContentType="application/vnd.openxmlformats-officedocument.spreadsheetml.worksheet+xml" PartName="/xl/worksheets/sheet8548.xml"/>
  <Override ContentType="application/vnd.openxmlformats-officedocument.spreadsheetml.worksheet+xml" PartName="/xl/worksheets/sheet8549.xml"/>
  <Override ContentType="application/vnd.openxmlformats-officedocument.spreadsheetml.worksheet+xml" PartName="/xl/worksheets/sheet8550.xml"/>
  <Override ContentType="application/vnd.openxmlformats-officedocument.spreadsheetml.worksheet+xml" PartName="/xl/worksheets/sheet8551.xml"/>
  <Override ContentType="application/vnd.openxmlformats-officedocument.spreadsheetml.worksheet+xml" PartName="/xl/worksheets/sheet8552.xml"/>
  <Override ContentType="application/vnd.openxmlformats-officedocument.spreadsheetml.worksheet+xml" PartName="/xl/worksheets/sheet8553.xml"/>
  <Override ContentType="application/vnd.openxmlformats-officedocument.spreadsheetml.worksheet+xml" PartName="/xl/worksheets/sheet8554.xml"/>
  <Override ContentType="application/vnd.openxmlformats-officedocument.spreadsheetml.worksheet+xml" PartName="/xl/worksheets/sheet8555.xml"/>
  <Override ContentType="application/vnd.openxmlformats-officedocument.spreadsheetml.worksheet+xml" PartName="/xl/worksheets/sheet8556.xml"/>
  <Override ContentType="application/vnd.openxmlformats-officedocument.spreadsheetml.worksheet+xml" PartName="/xl/worksheets/sheet8557.xml"/>
  <Override ContentType="application/vnd.openxmlformats-officedocument.spreadsheetml.worksheet+xml" PartName="/xl/worksheets/sheet8558.xml"/>
  <Override ContentType="application/vnd.openxmlformats-officedocument.spreadsheetml.worksheet+xml" PartName="/xl/worksheets/sheet8559.xml"/>
  <Override ContentType="application/vnd.openxmlformats-officedocument.spreadsheetml.worksheet+xml" PartName="/xl/worksheets/sheet8560.xml"/>
  <Override ContentType="application/vnd.openxmlformats-officedocument.spreadsheetml.worksheet+xml" PartName="/xl/worksheets/sheet8561.xml"/>
  <Override ContentType="application/vnd.openxmlformats-officedocument.spreadsheetml.worksheet+xml" PartName="/xl/worksheets/sheet8562.xml"/>
  <Override ContentType="application/vnd.openxmlformats-officedocument.spreadsheetml.worksheet+xml" PartName="/xl/worksheets/sheet8563.xml"/>
  <Override ContentType="application/vnd.openxmlformats-officedocument.spreadsheetml.worksheet+xml" PartName="/xl/worksheets/sheet8564.xml"/>
  <Override ContentType="application/vnd.openxmlformats-officedocument.spreadsheetml.worksheet+xml" PartName="/xl/worksheets/sheet8565.xml"/>
  <Override ContentType="application/vnd.openxmlformats-officedocument.spreadsheetml.worksheet+xml" PartName="/xl/worksheets/sheet8566.xml"/>
  <Override ContentType="application/vnd.openxmlformats-officedocument.spreadsheetml.worksheet+xml" PartName="/xl/worksheets/sheet8567.xml"/>
  <Override ContentType="application/vnd.openxmlformats-officedocument.spreadsheetml.worksheet+xml" PartName="/xl/worksheets/sheet8568.xml"/>
  <Override ContentType="application/vnd.openxmlformats-officedocument.spreadsheetml.worksheet+xml" PartName="/xl/worksheets/sheet8569.xml"/>
  <Override ContentType="application/vnd.openxmlformats-officedocument.spreadsheetml.worksheet+xml" PartName="/xl/worksheets/sheet8570.xml"/>
  <Override ContentType="application/vnd.openxmlformats-officedocument.spreadsheetml.worksheet+xml" PartName="/xl/worksheets/sheet8571.xml"/>
  <Override ContentType="application/vnd.openxmlformats-officedocument.spreadsheetml.worksheet+xml" PartName="/xl/worksheets/sheet8572.xml"/>
  <Override ContentType="application/vnd.openxmlformats-officedocument.spreadsheetml.worksheet+xml" PartName="/xl/worksheets/sheet8573.xml"/>
  <Override ContentType="application/vnd.openxmlformats-officedocument.spreadsheetml.worksheet+xml" PartName="/xl/worksheets/sheet8574.xml"/>
  <Override ContentType="application/vnd.openxmlformats-officedocument.spreadsheetml.worksheet+xml" PartName="/xl/worksheets/sheet8575.xml"/>
  <Override ContentType="application/vnd.openxmlformats-officedocument.spreadsheetml.worksheet+xml" PartName="/xl/worksheets/sheet8576.xml"/>
  <Override ContentType="application/vnd.openxmlformats-officedocument.spreadsheetml.worksheet+xml" PartName="/xl/worksheets/sheet8577.xml"/>
  <Override ContentType="application/vnd.openxmlformats-officedocument.spreadsheetml.worksheet+xml" PartName="/xl/worksheets/sheet8578.xml"/>
  <Override ContentType="application/vnd.openxmlformats-officedocument.spreadsheetml.worksheet+xml" PartName="/xl/worksheets/sheet8579.xml"/>
  <Override ContentType="application/vnd.openxmlformats-officedocument.spreadsheetml.worksheet+xml" PartName="/xl/worksheets/sheet8580.xml"/>
  <Override ContentType="application/vnd.openxmlformats-officedocument.spreadsheetml.worksheet+xml" PartName="/xl/worksheets/sheet8581.xml"/>
  <Override ContentType="application/vnd.openxmlformats-officedocument.spreadsheetml.worksheet+xml" PartName="/xl/worksheets/sheet8582.xml"/>
  <Override ContentType="application/vnd.openxmlformats-officedocument.spreadsheetml.worksheet+xml" PartName="/xl/worksheets/sheet8583.xml"/>
  <Override ContentType="application/vnd.openxmlformats-officedocument.spreadsheetml.worksheet+xml" PartName="/xl/worksheets/sheet8584.xml"/>
  <Override ContentType="application/vnd.openxmlformats-officedocument.spreadsheetml.worksheet+xml" PartName="/xl/worksheets/sheet8585.xml"/>
  <Override ContentType="application/vnd.openxmlformats-officedocument.spreadsheetml.worksheet+xml" PartName="/xl/worksheets/sheet8586.xml"/>
  <Override ContentType="application/vnd.openxmlformats-officedocument.spreadsheetml.worksheet+xml" PartName="/xl/worksheets/sheet8587.xml"/>
  <Override ContentType="application/vnd.openxmlformats-officedocument.spreadsheetml.worksheet+xml" PartName="/xl/worksheets/sheet8588.xml"/>
  <Override ContentType="application/vnd.openxmlformats-officedocument.spreadsheetml.worksheet+xml" PartName="/xl/worksheets/sheet8589.xml"/>
  <Override ContentType="application/vnd.openxmlformats-officedocument.spreadsheetml.worksheet+xml" PartName="/xl/worksheets/sheet8590.xml"/>
  <Override ContentType="application/vnd.openxmlformats-officedocument.spreadsheetml.worksheet+xml" PartName="/xl/worksheets/sheet8591.xml"/>
  <Override ContentType="application/vnd.openxmlformats-officedocument.spreadsheetml.worksheet+xml" PartName="/xl/worksheets/sheet8592.xml"/>
  <Override ContentType="application/vnd.openxmlformats-officedocument.spreadsheetml.worksheet+xml" PartName="/xl/worksheets/sheet8593.xml"/>
  <Override ContentType="application/vnd.openxmlformats-officedocument.spreadsheetml.worksheet+xml" PartName="/xl/worksheets/sheet8594.xml"/>
  <Override ContentType="application/vnd.openxmlformats-officedocument.spreadsheetml.worksheet+xml" PartName="/xl/worksheets/sheet8595.xml"/>
  <Override ContentType="application/vnd.openxmlformats-officedocument.spreadsheetml.worksheet+xml" PartName="/xl/worksheets/sheet8596.xml"/>
  <Override ContentType="application/vnd.openxmlformats-officedocument.spreadsheetml.worksheet+xml" PartName="/xl/worksheets/sheet8597.xml"/>
  <Override ContentType="application/vnd.openxmlformats-officedocument.spreadsheetml.worksheet+xml" PartName="/xl/worksheets/sheet8598.xml"/>
  <Override ContentType="application/vnd.openxmlformats-officedocument.spreadsheetml.worksheet+xml" PartName="/xl/worksheets/sheet8599.xml"/>
  <Override ContentType="application/vnd.openxmlformats-officedocument.spreadsheetml.worksheet+xml" PartName="/xl/worksheets/sheet8600.xml"/>
  <Override ContentType="application/vnd.openxmlformats-officedocument.spreadsheetml.worksheet+xml" PartName="/xl/worksheets/sheet8601.xml"/>
  <Override ContentType="application/vnd.openxmlformats-officedocument.spreadsheetml.worksheet+xml" PartName="/xl/worksheets/sheet8602.xml"/>
  <Override ContentType="application/vnd.openxmlformats-officedocument.spreadsheetml.worksheet+xml" PartName="/xl/worksheets/sheet8603.xml"/>
  <Override ContentType="application/vnd.openxmlformats-officedocument.spreadsheetml.worksheet+xml" PartName="/xl/worksheets/sheet8604.xml"/>
  <Override ContentType="application/vnd.openxmlformats-officedocument.spreadsheetml.worksheet+xml" PartName="/xl/worksheets/sheet8605.xml"/>
  <Override ContentType="application/vnd.openxmlformats-officedocument.spreadsheetml.worksheet+xml" PartName="/xl/worksheets/sheet8606.xml"/>
  <Override ContentType="application/vnd.openxmlformats-officedocument.spreadsheetml.worksheet+xml" PartName="/xl/worksheets/sheet8607.xml"/>
  <Override ContentType="application/vnd.openxmlformats-officedocument.spreadsheetml.worksheet+xml" PartName="/xl/worksheets/sheet8608.xml"/>
  <Override ContentType="application/vnd.openxmlformats-officedocument.spreadsheetml.worksheet+xml" PartName="/xl/worksheets/sheet8609.xml"/>
  <Override ContentType="application/vnd.openxmlformats-officedocument.spreadsheetml.worksheet+xml" PartName="/xl/worksheets/sheet8610.xml"/>
  <Override ContentType="application/vnd.openxmlformats-officedocument.spreadsheetml.worksheet+xml" PartName="/xl/worksheets/sheet8611.xml"/>
  <Override ContentType="application/vnd.openxmlformats-officedocument.spreadsheetml.worksheet+xml" PartName="/xl/worksheets/sheet8612.xml"/>
  <Override ContentType="application/vnd.openxmlformats-officedocument.spreadsheetml.worksheet+xml" PartName="/xl/worksheets/sheet8613.xml"/>
  <Override ContentType="application/vnd.openxmlformats-officedocument.spreadsheetml.worksheet+xml" PartName="/xl/worksheets/sheet8614.xml"/>
  <Override ContentType="application/vnd.openxmlformats-officedocument.spreadsheetml.worksheet+xml" PartName="/xl/worksheets/sheet8615.xml"/>
  <Override ContentType="application/vnd.openxmlformats-officedocument.spreadsheetml.worksheet+xml" PartName="/xl/worksheets/sheet8616.xml"/>
  <Override ContentType="application/vnd.openxmlformats-officedocument.spreadsheetml.worksheet+xml" PartName="/xl/worksheets/sheet8617.xml"/>
  <Override ContentType="application/vnd.openxmlformats-officedocument.spreadsheetml.worksheet+xml" PartName="/xl/worksheets/sheet8618.xml"/>
  <Override ContentType="application/vnd.openxmlformats-officedocument.spreadsheetml.worksheet+xml" PartName="/xl/worksheets/sheet8619.xml"/>
  <Override ContentType="application/vnd.openxmlformats-officedocument.spreadsheetml.worksheet+xml" PartName="/xl/worksheets/sheet8620.xml"/>
  <Override ContentType="application/vnd.openxmlformats-officedocument.spreadsheetml.worksheet+xml" PartName="/xl/worksheets/sheet8621.xml"/>
  <Override ContentType="application/vnd.openxmlformats-officedocument.spreadsheetml.worksheet+xml" PartName="/xl/worksheets/sheet8622.xml"/>
  <Override ContentType="application/vnd.openxmlformats-officedocument.spreadsheetml.worksheet+xml" PartName="/xl/worksheets/sheet8623.xml"/>
  <Override ContentType="application/vnd.openxmlformats-officedocument.spreadsheetml.worksheet+xml" PartName="/xl/worksheets/sheet8624.xml"/>
  <Override ContentType="application/vnd.openxmlformats-officedocument.spreadsheetml.worksheet+xml" PartName="/xl/worksheets/sheet8625.xml"/>
  <Override ContentType="application/vnd.openxmlformats-officedocument.spreadsheetml.worksheet+xml" PartName="/xl/worksheets/sheet8626.xml"/>
  <Override ContentType="application/vnd.openxmlformats-officedocument.spreadsheetml.worksheet+xml" PartName="/xl/worksheets/sheet8627.xml"/>
  <Override ContentType="application/vnd.openxmlformats-officedocument.spreadsheetml.worksheet+xml" PartName="/xl/worksheets/sheet8628.xml"/>
  <Override ContentType="application/vnd.openxmlformats-officedocument.spreadsheetml.worksheet+xml" PartName="/xl/worksheets/sheet8629.xml"/>
  <Override ContentType="application/vnd.openxmlformats-officedocument.spreadsheetml.worksheet+xml" PartName="/xl/worksheets/sheet8630.xml"/>
  <Override ContentType="application/vnd.openxmlformats-officedocument.spreadsheetml.worksheet+xml" PartName="/xl/worksheets/sheet8631.xml"/>
  <Override ContentType="application/vnd.openxmlformats-officedocument.spreadsheetml.worksheet+xml" PartName="/xl/worksheets/sheet8632.xml"/>
  <Override ContentType="application/vnd.openxmlformats-officedocument.spreadsheetml.worksheet+xml" PartName="/xl/worksheets/sheet8633.xml"/>
  <Override ContentType="application/vnd.openxmlformats-officedocument.spreadsheetml.worksheet+xml" PartName="/xl/worksheets/sheet8634.xml"/>
  <Override ContentType="application/vnd.openxmlformats-officedocument.spreadsheetml.worksheet+xml" PartName="/xl/worksheets/sheet8635.xml"/>
  <Override ContentType="application/vnd.openxmlformats-officedocument.spreadsheetml.worksheet+xml" PartName="/xl/worksheets/sheet8636.xml"/>
  <Override ContentType="application/vnd.openxmlformats-officedocument.spreadsheetml.worksheet+xml" PartName="/xl/worksheets/sheet8637.xml"/>
  <Override ContentType="application/vnd.openxmlformats-officedocument.spreadsheetml.worksheet+xml" PartName="/xl/worksheets/sheet8638.xml"/>
  <Override ContentType="application/vnd.openxmlformats-officedocument.spreadsheetml.worksheet+xml" PartName="/xl/worksheets/sheet8639.xml"/>
  <Override ContentType="application/vnd.openxmlformats-officedocument.spreadsheetml.worksheet+xml" PartName="/xl/worksheets/sheet8640.xml"/>
  <Override ContentType="application/vnd.openxmlformats-officedocument.spreadsheetml.worksheet+xml" PartName="/xl/worksheets/sheet8641.xml"/>
  <Override ContentType="application/vnd.openxmlformats-officedocument.spreadsheetml.worksheet+xml" PartName="/xl/worksheets/sheet8642.xml"/>
  <Override ContentType="application/vnd.openxmlformats-officedocument.spreadsheetml.worksheet+xml" PartName="/xl/worksheets/sheet8643.xml"/>
  <Override ContentType="application/vnd.openxmlformats-officedocument.spreadsheetml.worksheet+xml" PartName="/xl/worksheets/sheet8644.xml"/>
  <Override ContentType="application/vnd.openxmlformats-officedocument.spreadsheetml.worksheet+xml" PartName="/xl/worksheets/sheet8645.xml"/>
  <Override ContentType="application/vnd.openxmlformats-officedocument.spreadsheetml.worksheet+xml" PartName="/xl/worksheets/sheet8646.xml"/>
  <Override ContentType="application/vnd.openxmlformats-officedocument.spreadsheetml.worksheet+xml" PartName="/xl/worksheets/sheet8647.xml"/>
  <Override ContentType="application/vnd.openxmlformats-officedocument.spreadsheetml.worksheet+xml" PartName="/xl/worksheets/sheet8648.xml"/>
  <Override ContentType="application/vnd.openxmlformats-officedocument.spreadsheetml.worksheet+xml" PartName="/xl/worksheets/sheet8649.xml"/>
  <Override ContentType="application/vnd.openxmlformats-officedocument.spreadsheetml.worksheet+xml" PartName="/xl/worksheets/sheet8650.xml"/>
  <Override ContentType="application/vnd.openxmlformats-officedocument.spreadsheetml.worksheet+xml" PartName="/xl/worksheets/sheet8651.xml"/>
  <Override ContentType="application/vnd.openxmlformats-officedocument.spreadsheetml.worksheet+xml" PartName="/xl/worksheets/sheet8652.xml"/>
  <Override ContentType="application/vnd.openxmlformats-officedocument.spreadsheetml.worksheet+xml" PartName="/xl/worksheets/sheet8653.xml"/>
  <Override ContentType="application/vnd.openxmlformats-officedocument.spreadsheetml.worksheet+xml" PartName="/xl/worksheets/sheet8654.xml"/>
  <Override ContentType="application/vnd.openxmlformats-officedocument.spreadsheetml.worksheet+xml" PartName="/xl/worksheets/sheet8655.xml"/>
  <Override ContentType="application/vnd.openxmlformats-officedocument.spreadsheetml.worksheet+xml" PartName="/xl/worksheets/sheet8656.xml"/>
  <Override ContentType="application/vnd.openxmlformats-officedocument.spreadsheetml.worksheet+xml" PartName="/xl/worksheets/sheet8657.xml"/>
  <Override ContentType="application/vnd.openxmlformats-officedocument.spreadsheetml.worksheet+xml" PartName="/xl/worksheets/sheet8658.xml"/>
  <Override ContentType="application/vnd.openxmlformats-officedocument.spreadsheetml.worksheet+xml" PartName="/xl/worksheets/sheet8659.xml"/>
  <Override ContentType="application/vnd.openxmlformats-officedocument.spreadsheetml.worksheet+xml" PartName="/xl/worksheets/sheet8660.xml"/>
  <Override ContentType="application/vnd.openxmlformats-officedocument.spreadsheetml.worksheet+xml" PartName="/xl/worksheets/sheet8661.xml"/>
  <Override ContentType="application/vnd.openxmlformats-officedocument.spreadsheetml.worksheet+xml" PartName="/xl/worksheets/sheet8662.xml"/>
  <Override ContentType="application/vnd.openxmlformats-officedocument.spreadsheetml.worksheet+xml" PartName="/xl/worksheets/sheet8663.xml"/>
  <Override ContentType="application/vnd.openxmlformats-officedocument.spreadsheetml.worksheet+xml" PartName="/xl/worksheets/sheet8664.xml"/>
  <Override ContentType="application/vnd.openxmlformats-officedocument.spreadsheetml.worksheet+xml" PartName="/xl/worksheets/sheet8665.xml"/>
  <Override ContentType="application/vnd.openxmlformats-officedocument.spreadsheetml.worksheet+xml" PartName="/xl/worksheets/sheet8666.xml"/>
  <Override ContentType="application/vnd.openxmlformats-officedocument.spreadsheetml.worksheet+xml" PartName="/xl/worksheets/sheet8667.xml"/>
  <Override ContentType="application/vnd.openxmlformats-officedocument.spreadsheetml.worksheet+xml" PartName="/xl/worksheets/sheet8668.xml"/>
  <Override ContentType="application/vnd.openxmlformats-officedocument.spreadsheetml.worksheet+xml" PartName="/xl/worksheets/sheet8669.xml"/>
  <Override ContentType="application/vnd.openxmlformats-officedocument.spreadsheetml.worksheet+xml" PartName="/xl/worksheets/sheet8670.xml"/>
  <Override ContentType="application/vnd.openxmlformats-officedocument.spreadsheetml.worksheet+xml" PartName="/xl/worksheets/sheet8671.xml"/>
  <Override ContentType="application/vnd.openxmlformats-officedocument.spreadsheetml.worksheet+xml" PartName="/xl/worksheets/sheet8672.xml"/>
  <Override ContentType="application/vnd.openxmlformats-officedocument.spreadsheetml.worksheet+xml" PartName="/xl/worksheets/sheet8673.xml"/>
  <Override ContentType="application/vnd.openxmlformats-officedocument.spreadsheetml.worksheet+xml" PartName="/xl/worksheets/sheet8674.xml"/>
  <Override ContentType="application/vnd.openxmlformats-officedocument.spreadsheetml.worksheet+xml" PartName="/xl/worksheets/sheet8675.xml"/>
  <Override ContentType="application/vnd.openxmlformats-officedocument.spreadsheetml.worksheet+xml" PartName="/xl/worksheets/sheet8676.xml"/>
  <Override ContentType="application/vnd.openxmlformats-officedocument.spreadsheetml.worksheet+xml" PartName="/xl/worksheets/sheet8677.xml"/>
  <Override ContentType="application/vnd.openxmlformats-officedocument.spreadsheetml.worksheet+xml" PartName="/xl/worksheets/sheet8678.xml"/>
  <Override ContentType="application/vnd.openxmlformats-officedocument.spreadsheetml.worksheet+xml" PartName="/xl/worksheets/sheet8679.xml"/>
  <Override ContentType="application/vnd.openxmlformats-officedocument.spreadsheetml.worksheet+xml" PartName="/xl/worksheets/sheet8680.xml"/>
  <Override ContentType="application/vnd.openxmlformats-officedocument.spreadsheetml.worksheet+xml" PartName="/xl/worksheets/sheet8681.xml"/>
  <Override ContentType="application/vnd.openxmlformats-officedocument.spreadsheetml.worksheet+xml" PartName="/xl/worksheets/sheet8682.xml"/>
  <Override ContentType="application/vnd.openxmlformats-officedocument.spreadsheetml.worksheet+xml" PartName="/xl/worksheets/sheet8683.xml"/>
  <Override ContentType="application/vnd.openxmlformats-officedocument.spreadsheetml.worksheet+xml" PartName="/xl/worksheets/sheet8684.xml"/>
  <Override ContentType="application/vnd.openxmlformats-officedocument.spreadsheetml.worksheet+xml" PartName="/xl/worksheets/sheet8685.xml"/>
  <Override ContentType="application/vnd.openxmlformats-officedocument.spreadsheetml.worksheet+xml" PartName="/xl/worksheets/sheet8686.xml"/>
  <Override ContentType="application/vnd.openxmlformats-officedocument.spreadsheetml.worksheet+xml" PartName="/xl/worksheets/sheet8687.xml"/>
  <Override ContentType="application/vnd.openxmlformats-officedocument.spreadsheetml.worksheet+xml" PartName="/xl/worksheets/sheet8688.xml"/>
  <Override ContentType="application/vnd.openxmlformats-officedocument.spreadsheetml.worksheet+xml" PartName="/xl/worksheets/sheet8689.xml"/>
  <Override ContentType="application/vnd.openxmlformats-officedocument.spreadsheetml.worksheet+xml" PartName="/xl/worksheets/sheet8690.xml"/>
  <Override ContentType="application/vnd.openxmlformats-officedocument.spreadsheetml.worksheet+xml" PartName="/xl/worksheets/sheet8691.xml"/>
  <Override ContentType="application/vnd.openxmlformats-officedocument.spreadsheetml.worksheet+xml" PartName="/xl/worksheets/sheet8692.xml"/>
  <Override ContentType="application/vnd.openxmlformats-officedocument.spreadsheetml.worksheet+xml" PartName="/xl/worksheets/sheet8693.xml"/>
  <Override ContentType="application/vnd.openxmlformats-officedocument.spreadsheetml.worksheet+xml" PartName="/xl/worksheets/sheet8694.xml"/>
  <Override ContentType="application/vnd.openxmlformats-officedocument.spreadsheetml.worksheet+xml" PartName="/xl/worksheets/sheet8695.xml"/>
  <Override ContentType="application/vnd.openxmlformats-officedocument.spreadsheetml.worksheet+xml" PartName="/xl/worksheets/sheet8696.xml"/>
  <Override ContentType="application/vnd.openxmlformats-officedocument.spreadsheetml.worksheet+xml" PartName="/xl/worksheets/sheet8697.xml"/>
  <Override ContentType="application/vnd.openxmlformats-officedocument.spreadsheetml.worksheet+xml" PartName="/xl/worksheets/sheet8698.xml"/>
  <Override ContentType="application/vnd.openxmlformats-officedocument.spreadsheetml.worksheet+xml" PartName="/xl/worksheets/sheet8699.xml"/>
  <Override ContentType="application/vnd.openxmlformats-officedocument.spreadsheetml.worksheet+xml" PartName="/xl/worksheets/sheet8700.xml"/>
  <Override ContentType="application/vnd.openxmlformats-officedocument.spreadsheetml.worksheet+xml" PartName="/xl/worksheets/sheet8701.xml"/>
  <Override ContentType="application/vnd.openxmlformats-officedocument.spreadsheetml.worksheet+xml" PartName="/xl/worksheets/sheet8702.xml"/>
  <Override ContentType="application/vnd.openxmlformats-officedocument.spreadsheetml.worksheet+xml" PartName="/xl/worksheets/sheet8703.xml"/>
  <Override ContentType="application/vnd.openxmlformats-officedocument.spreadsheetml.worksheet+xml" PartName="/xl/worksheets/sheet8704.xml"/>
  <Override ContentType="application/vnd.openxmlformats-officedocument.spreadsheetml.worksheet+xml" PartName="/xl/worksheets/sheet8705.xml"/>
  <Override ContentType="application/vnd.openxmlformats-officedocument.spreadsheetml.worksheet+xml" PartName="/xl/worksheets/sheet8706.xml"/>
  <Override ContentType="application/vnd.openxmlformats-officedocument.spreadsheetml.worksheet+xml" PartName="/xl/worksheets/sheet8707.xml"/>
  <Override ContentType="application/vnd.openxmlformats-officedocument.spreadsheetml.worksheet+xml" PartName="/xl/worksheets/sheet8708.xml"/>
  <Override ContentType="application/vnd.openxmlformats-officedocument.spreadsheetml.worksheet+xml" PartName="/xl/worksheets/sheet8709.xml"/>
  <Override ContentType="application/vnd.openxmlformats-officedocument.spreadsheetml.worksheet+xml" PartName="/xl/worksheets/sheet8710.xml"/>
  <Override ContentType="application/vnd.openxmlformats-officedocument.spreadsheetml.worksheet+xml" PartName="/xl/worksheets/sheet8711.xml"/>
  <Override ContentType="application/vnd.openxmlformats-officedocument.spreadsheetml.worksheet+xml" PartName="/xl/worksheets/sheet8712.xml"/>
  <Override ContentType="application/vnd.openxmlformats-officedocument.spreadsheetml.worksheet+xml" PartName="/xl/worksheets/sheet8713.xml"/>
  <Override ContentType="application/vnd.openxmlformats-officedocument.spreadsheetml.worksheet+xml" PartName="/xl/worksheets/sheet8714.xml"/>
  <Override ContentType="application/vnd.openxmlformats-officedocument.spreadsheetml.worksheet+xml" PartName="/xl/worksheets/sheet8715.xml"/>
  <Override ContentType="application/vnd.openxmlformats-officedocument.spreadsheetml.worksheet+xml" PartName="/xl/worksheets/sheet8716.xml"/>
  <Override ContentType="application/vnd.openxmlformats-officedocument.spreadsheetml.worksheet+xml" PartName="/xl/worksheets/sheet8717.xml"/>
  <Override ContentType="application/vnd.openxmlformats-officedocument.spreadsheetml.worksheet+xml" PartName="/xl/worksheets/sheet8718.xml"/>
  <Override ContentType="application/vnd.openxmlformats-officedocument.spreadsheetml.worksheet+xml" PartName="/xl/worksheets/sheet8719.xml"/>
  <Override ContentType="application/vnd.openxmlformats-officedocument.spreadsheetml.worksheet+xml" PartName="/xl/worksheets/sheet8720.xml"/>
  <Override ContentType="application/vnd.openxmlformats-officedocument.spreadsheetml.worksheet+xml" PartName="/xl/worksheets/sheet8721.xml"/>
  <Override ContentType="application/vnd.openxmlformats-officedocument.spreadsheetml.worksheet+xml" PartName="/xl/worksheets/sheet8722.xml"/>
  <Override ContentType="application/vnd.openxmlformats-officedocument.spreadsheetml.worksheet+xml" PartName="/xl/worksheets/sheet8723.xml"/>
  <Override ContentType="application/vnd.openxmlformats-officedocument.spreadsheetml.worksheet+xml" PartName="/xl/worksheets/sheet8724.xml"/>
  <Override ContentType="application/vnd.openxmlformats-officedocument.spreadsheetml.worksheet+xml" PartName="/xl/worksheets/sheet8725.xml"/>
  <Override ContentType="application/vnd.openxmlformats-officedocument.spreadsheetml.worksheet+xml" PartName="/xl/worksheets/sheet8726.xml"/>
  <Override ContentType="application/vnd.openxmlformats-officedocument.spreadsheetml.worksheet+xml" PartName="/xl/worksheets/sheet8727.xml"/>
  <Override ContentType="application/vnd.openxmlformats-officedocument.spreadsheetml.worksheet+xml" PartName="/xl/worksheets/sheet8728.xml"/>
  <Override ContentType="application/vnd.openxmlformats-officedocument.spreadsheetml.worksheet+xml" PartName="/xl/worksheets/sheet8729.xml"/>
  <Override ContentType="application/vnd.openxmlformats-officedocument.spreadsheetml.worksheet+xml" PartName="/xl/worksheets/sheet8730.xml"/>
  <Override ContentType="application/vnd.openxmlformats-officedocument.spreadsheetml.worksheet+xml" PartName="/xl/worksheets/sheet8731.xml"/>
  <Override ContentType="application/vnd.openxmlformats-officedocument.spreadsheetml.worksheet+xml" PartName="/xl/worksheets/sheet8732.xml"/>
  <Override ContentType="application/vnd.openxmlformats-officedocument.spreadsheetml.worksheet+xml" PartName="/xl/worksheets/sheet8733.xml"/>
  <Override ContentType="application/vnd.openxmlformats-officedocument.spreadsheetml.worksheet+xml" PartName="/xl/worksheets/sheet8734.xml"/>
  <Override ContentType="application/vnd.openxmlformats-officedocument.spreadsheetml.worksheet+xml" PartName="/xl/worksheets/sheet8735.xml"/>
  <Override ContentType="application/vnd.openxmlformats-officedocument.spreadsheetml.worksheet+xml" PartName="/xl/worksheets/sheet8736.xml"/>
  <Override ContentType="application/vnd.openxmlformats-officedocument.spreadsheetml.worksheet+xml" PartName="/xl/worksheets/sheet8737.xml"/>
  <Override ContentType="application/vnd.openxmlformats-officedocument.spreadsheetml.worksheet+xml" PartName="/xl/worksheets/sheet8738.xml"/>
  <Override ContentType="application/vnd.openxmlformats-officedocument.spreadsheetml.worksheet+xml" PartName="/xl/worksheets/sheet8739.xml"/>
  <Override ContentType="application/vnd.openxmlformats-officedocument.spreadsheetml.worksheet+xml" PartName="/xl/worksheets/sheet8740.xml"/>
  <Override ContentType="application/vnd.openxmlformats-officedocument.spreadsheetml.worksheet+xml" PartName="/xl/worksheets/sheet8741.xml"/>
  <Override ContentType="application/vnd.openxmlformats-officedocument.spreadsheetml.worksheet+xml" PartName="/xl/worksheets/sheet8742.xml"/>
  <Override ContentType="application/vnd.openxmlformats-officedocument.spreadsheetml.worksheet+xml" PartName="/xl/worksheets/sheet8743.xml"/>
  <Override ContentType="application/vnd.openxmlformats-officedocument.spreadsheetml.worksheet+xml" PartName="/xl/worksheets/sheet8744.xml"/>
  <Override ContentType="application/vnd.openxmlformats-officedocument.spreadsheetml.worksheet+xml" PartName="/xl/worksheets/sheet8745.xml"/>
  <Override ContentType="application/vnd.openxmlformats-officedocument.spreadsheetml.worksheet+xml" PartName="/xl/worksheets/sheet8746.xml"/>
  <Override ContentType="application/vnd.openxmlformats-officedocument.spreadsheetml.worksheet+xml" PartName="/xl/worksheets/sheet8747.xml"/>
  <Override ContentType="application/vnd.openxmlformats-officedocument.spreadsheetml.worksheet+xml" PartName="/xl/worksheets/sheet8748.xml"/>
  <Override ContentType="application/vnd.openxmlformats-officedocument.spreadsheetml.worksheet+xml" PartName="/xl/worksheets/sheet8749.xml"/>
  <Override ContentType="application/vnd.openxmlformats-officedocument.spreadsheetml.worksheet+xml" PartName="/xl/worksheets/sheet8750.xml"/>
  <Override ContentType="application/vnd.openxmlformats-officedocument.spreadsheetml.worksheet+xml" PartName="/xl/worksheets/sheet8751.xml"/>
  <Override ContentType="application/vnd.openxmlformats-officedocument.spreadsheetml.worksheet+xml" PartName="/xl/worksheets/sheet8752.xml"/>
  <Override ContentType="application/vnd.openxmlformats-officedocument.spreadsheetml.worksheet+xml" PartName="/xl/worksheets/sheet8753.xml"/>
  <Override ContentType="application/vnd.openxmlformats-officedocument.spreadsheetml.worksheet+xml" PartName="/xl/worksheets/sheet8754.xml"/>
  <Override ContentType="application/vnd.openxmlformats-officedocument.spreadsheetml.worksheet+xml" PartName="/xl/worksheets/sheet8755.xml"/>
  <Override ContentType="application/vnd.openxmlformats-officedocument.spreadsheetml.worksheet+xml" PartName="/xl/worksheets/sheet8756.xml"/>
  <Override ContentType="application/vnd.openxmlformats-officedocument.spreadsheetml.worksheet+xml" PartName="/xl/worksheets/sheet8757.xml"/>
  <Override ContentType="application/vnd.openxmlformats-officedocument.spreadsheetml.worksheet+xml" PartName="/xl/worksheets/sheet8758.xml"/>
  <Override ContentType="application/vnd.openxmlformats-officedocument.spreadsheetml.worksheet+xml" PartName="/xl/worksheets/sheet8759.xml"/>
  <Override ContentType="application/vnd.openxmlformats-officedocument.spreadsheetml.worksheet+xml" PartName="/xl/worksheets/sheet8760.xml"/>
  <Override ContentType="application/vnd.openxmlformats-officedocument.spreadsheetml.worksheet+xml" PartName="/xl/worksheets/sheet8761.xml"/>
  <Override ContentType="application/vnd.openxmlformats-officedocument.spreadsheetml.worksheet+xml" PartName="/xl/worksheets/sheet8762.xml"/>
  <Override ContentType="application/vnd.openxmlformats-officedocument.spreadsheetml.worksheet+xml" PartName="/xl/worksheets/sheet8763.xml"/>
  <Override ContentType="application/vnd.openxmlformats-officedocument.spreadsheetml.worksheet+xml" PartName="/xl/worksheets/sheet8764.xml"/>
  <Override ContentType="application/vnd.openxmlformats-officedocument.spreadsheetml.worksheet+xml" PartName="/xl/worksheets/sheet8765.xml"/>
  <Override ContentType="application/vnd.openxmlformats-officedocument.spreadsheetml.worksheet+xml" PartName="/xl/worksheets/sheet8766.xml"/>
  <Override ContentType="application/vnd.openxmlformats-officedocument.spreadsheetml.worksheet+xml" PartName="/xl/worksheets/sheet8767.xml"/>
  <Override ContentType="application/vnd.openxmlformats-officedocument.spreadsheetml.worksheet+xml" PartName="/xl/worksheets/sheet8768.xml"/>
  <Override ContentType="application/vnd.openxmlformats-officedocument.spreadsheetml.worksheet+xml" PartName="/xl/worksheets/sheet8769.xml"/>
  <Override ContentType="application/vnd.openxmlformats-officedocument.spreadsheetml.worksheet+xml" PartName="/xl/worksheets/sheet8770.xml"/>
  <Override ContentType="application/vnd.openxmlformats-officedocument.spreadsheetml.worksheet+xml" PartName="/xl/worksheets/sheet8771.xml"/>
  <Override ContentType="application/vnd.openxmlformats-officedocument.spreadsheetml.worksheet+xml" PartName="/xl/worksheets/sheet8772.xml"/>
  <Override ContentType="application/vnd.openxmlformats-officedocument.spreadsheetml.worksheet+xml" PartName="/xl/worksheets/sheet8773.xml"/>
  <Override ContentType="application/vnd.openxmlformats-officedocument.spreadsheetml.worksheet+xml" PartName="/xl/worksheets/sheet8774.xml"/>
  <Override ContentType="application/vnd.openxmlformats-officedocument.spreadsheetml.worksheet+xml" PartName="/xl/worksheets/sheet8775.xml"/>
  <Override ContentType="application/vnd.openxmlformats-officedocument.spreadsheetml.worksheet+xml" PartName="/xl/worksheets/sheet8776.xml"/>
  <Override ContentType="application/vnd.openxmlformats-officedocument.spreadsheetml.worksheet+xml" PartName="/xl/worksheets/sheet8777.xml"/>
  <Override ContentType="application/vnd.openxmlformats-officedocument.spreadsheetml.worksheet+xml" PartName="/xl/worksheets/sheet8778.xml"/>
  <Override ContentType="application/vnd.openxmlformats-officedocument.spreadsheetml.worksheet+xml" PartName="/xl/worksheets/sheet8779.xml"/>
  <Override ContentType="application/vnd.openxmlformats-officedocument.spreadsheetml.worksheet+xml" PartName="/xl/worksheets/sheet8780.xml"/>
  <Override ContentType="application/vnd.openxmlformats-officedocument.spreadsheetml.worksheet+xml" PartName="/xl/worksheets/sheet8781.xml"/>
  <Override ContentType="application/vnd.openxmlformats-officedocument.spreadsheetml.worksheet+xml" PartName="/xl/worksheets/sheet8782.xml"/>
  <Override ContentType="application/vnd.openxmlformats-officedocument.spreadsheetml.worksheet+xml" PartName="/xl/worksheets/sheet8783.xml"/>
  <Override ContentType="application/vnd.openxmlformats-officedocument.spreadsheetml.worksheet+xml" PartName="/xl/worksheets/sheet8784.xml"/>
  <Override ContentType="application/vnd.openxmlformats-officedocument.spreadsheetml.worksheet+xml" PartName="/xl/worksheets/sheet8785.xml"/>
  <Override ContentType="application/vnd.openxmlformats-officedocument.spreadsheetml.worksheet+xml" PartName="/xl/worksheets/sheet8786.xml"/>
  <Override ContentType="application/vnd.openxmlformats-officedocument.spreadsheetml.worksheet+xml" PartName="/xl/worksheets/sheet8787.xml"/>
  <Override ContentType="application/vnd.openxmlformats-officedocument.spreadsheetml.worksheet+xml" PartName="/xl/worksheets/sheet8788.xml"/>
  <Override ContentType="application/vnd.openxmlformats-officedocument.spreadsheetml.worksheet+xml" PartName="/xl/worksheets/sheet8789.xml"/>
  <Override ContentType="application/vnd.openxmlformats-officedocument.spreadsheetml.worksheet+xml" PartName="/xl/worksheets/sheet8790.xml"/>
  <Override ContentType="application/vnd.openxmlformats-officedocument.spreadsheetml.worksheet+xml" PartName="/xl/worksheets/sheet8791.xml"/>
  <Override ContentType="application/vnd.openxmlformats-officedocument.spreadsheetml.worksheet+xml" PartName="/xl/worksheets/sheet8792.xml"/>
  <Override ContentType="application/vnd.openxmlformats-officedocument.spreadsheetml.worksheet+xml" PartName="/xl/worksheets/sheet8793.xml"/>
  <Override ContentType="application/vnd.openxmlformats-officedocument.spreadsheetml.worksheet+xml" PartName="/xl/worksheets/sheet8794.xml"/>
  <Override ContentType="application/vnd.openxmlformats-officedocument.spreadsheetml.worksheet+xml" PartName="/xl/worksheets/sheet8795.xml"/>
  <Override ContentType="application/vnd.openxmlformats-officedocument.spreadsheetml.worksheet+xml" PartName="/xl/worksheets/sheet8796.xml"/>
  <Override ContentType="application/vnd.openxmlformats-officedocument.spreadsheetml.worksheet+xml" PartName="/xl/worksheets/sheet8797.xml"/>
  <Override ContentType="application/vnd.openxmlformats-officedocument.spreadsheetml.worksheet+xml" PartName="/xl/worksheets/sheet8798.xml"/>
  <Override ContentType="application/vnd.openxmlformats-officedocument.spreadsheetml.worksheet+xml" PartName="/xl/worksheets/sheet8799.xml"/>
  <Override ContentType="application/vnd.openxmlformats-officedocument.spreadsheetml.worksheet+xml" PartName="/xl/worksheets/sheet8800.xml"/>
  <Override ContentType="application/vnd.openxmlformats-officedocument.spreadsheetml.worksheet+xml" PartName="/xl/worksheets/sheet8801.xml"/>
  <Override ContentType="application/vnd.openxmlformats-officedocument.spreadsheetml.worksheet+xml" PartName="/xl/worksheets/sheet8802.xml"/>
  <Override ContentType="application/vnd.openxmlformats-officedocument.spreadsheetml.worksheet+xml" PartName="/xl/worksheets/sheet8803.xml"/>
  <Override ContentType="application/vnd.openxmlformats-officedocument.spreadsheetml.worksheet+xml" PartName="/xl/worksheets/sheet8804.xml"/>
  <Override ContentType="application/vnd.openxmlformats-officedocument.spreadsheetml.worksheet+xml" PartName="/xl/worksheets/sheet8805.xml"/>
  <Override ContentType="application/vnd.openxmlformats-officedocument.spreadsheetml.worksheet+xml" PartName="/xl/worksheets/sheet8806.xml"/>
  <Override ContentType="application/vnd.openxmlformats-officedocument.spreadsheetml.worksheet+xml" PartName="/xl/worksheets/sheet8807.xml"/>
  <Override ContentType="application/vnd.openxmlformats-officedocument.spreadsheetml.worksheet+xml" PartName="/xl/worksheets/sheet8808.xml"/>
  <Override ContentType="application/vnd.openxmlformats-officedocument.spreadsheetml.worksheet+xml" PartName="/xl/worksheets/sheet8809.xml"/>
  <Override ContentType="application/vnd.openxmlformats-officedocument.spreadsheetml.worksheet+xml" PartName="/xl/worksheets/sheet8810.xml"/>
  <Override ContentType="application/vnd.openxmlformats-officedocument.spreadsheetml.worksheet+xml" PartName="/xl/worksheets/sheet8811.xml"/>
  <Override ContentType="application/vnd.openxmlformats-officedocument.spreadsheetml.worksheet+xml" PartName="/xl/worksheets/sheet8812.xml"/>
  <Override ContentType="application/vnd.openxmlformats-officedocument.spreadsheetml.worksheet+xml" PartName="/xl/worksheets/sheet8813.xml"/>
  <Override ContentType="application/vnd.openxmlformats-officedocument.spreadsheetml.worksheet+xml" PartName="/xl/worksheets/sheet8814.xml"/>
  <Override ContentType="application/vnd.openxmlformats-officedocument.spreadsheetml.worksheet+xml" PartName="/xl/worksheets/sheet8815.xml"/>
  <Override ContentType="application/vnd.openxmlformats-officedocument.spreadsheetml.worksheet+xml" PartName="/xl/worksheets/sheet8816.xml"/>
  <Override ContentType="application/vnd.openxmlformats-officedocument.spreadsheetml.worksheet+xml" PartName="/xl/worksheets/sheet8817.xml"/>
  <Override ContentType="application/vnd.openxmlformats-officedocument.spreadsheetml.worksheet+xml" PartName="/xl/worksheets/sheet8818.xml"/>
  <Override ContentType="application/vnd.openxmlformats-officedocument.spreadsheetml.worksheet+xml" PartName="/xl/worksheets/sheet8819.xml"/>
  <Override ContentType="application/vnd.openxmlformats-officedocument.spreadsheetml.worksheet+xml" PartName="/xl/worksheets/sheet8820.xml"/>
  <Override ContentType="application/vnd.openxmlformats-officedocument.spreadsheetml.worksheet+xml" PartName="/xl/worksheets/sheet8821.xml"/>
  <Override ContentType="application/vnd.openxmlformats-officedocument.spreadsheetml.worksheet+xml" PartName="/xl/worksheets/sheet8822.xml"/>
  <Override ContentType="application/vnd.openxmlformats-officedocument.spreadsheetml.worksheet+xml" PartName="/xl/worksheets/sheet8823.xml"/>
  <Override ContentType="application/vnd.openxmlformats-officedocument.spreadsheetml.worksheet+xml" PartName="/xl/worksheets/sheet8824.xml"/>
  <Override ContentType="application/vnd.openxmlformats-officedocument.spreadsheetml.worksheet+xml" PartName="/xl/worksheets/sheet8825.xml"/>
  <Override ContentType="application/vnd.openxmlformats-officedocument.spreadsheetml.worksheet+xml" PartName="/xl/worksheets/sheet8826.xml"/>
  <Override ContentType="application/vnd.openxmlformats-officedocument.spreadsheetml.worksheet+xml" PartName="/xl/worksheets/sheet8827.xml"/>
  <Override ContentType="application/vnd.openxmlformats-officedocument.spreadsheetml.worksheet+xml" PartName="/xl/worksheets/sheet8828.xml"/>
  <Override ContentType="application/vnd.openxmlformats-officedocument.spreadsheetml.worksheet+xml" PartName="/xl/worksheets/sheet8829.xml"/>
  <Override ContentType="application/vnd.openxmlformats-officedocument.spreadsheetml.worksheet+xml" PartName="/xl/worksheets/sheet8830.xml"/>
  <Override ContentType="application/vnd.openxmlformats-officedocument.spreadsheetml.worksheet+xml" PartName="/xl/worksheets/sheet8831.xml"/>
  <Override ContentType="application/vnd.openxmlformats-officedocument.spreadsheetml.worksheet+xml" PartName="/xl/worksheets/sheet8832.xml"/>
  <Override ContentType="application/vnd.openxmlformats-officedocument.spreadsheetml.worksheet+xml" PartName="/xl/worksheets/sheet8833.xml"/>
  <Override ContentType="application/vnd.openxmlformats-officedocument.spreadsheetml.worksheet+xml" PartName="/xl/worksheets/sheet8834.xml"/>
  <Override ContentType="application/vnd.openxmlformats-officedocument.spreadsheetml.worksheet+xml" PartName="/xl/worksheets/sheet8835.xml"/>
  <Override ContentType="application/vnd.openxmlformats-officedocument.spreadsheetml.worksheet+xml" PartName="/xl/worksheets/sheet8836.xml"/>
  <Override ContentType="application/vnd.openxmlformats-officedocument.spreadsheetml.worksheet+xml" PartName="/xl/worksheets/sheet8837.xml"/>
  <Override ContentType="application/vnd.openxmlformats-officedocument.spreadsheetml.worksheet+xml" PartName="/xl/worksheets/sheet8838.xml"/>
  <Override ContentType="application/vnd.openxmlformats-officedocument.spreadsheetml.worksheet+xml" PartName="/xl/worksheets/sheet8839.xml"/>
  <Override ContentType="application/vnd.openxmlformats-officedocument.spreadsheetml.worksheet+xml" PartName="/xl/worksheets/sheet8840.xml"/>
  <Override ContentType="application/vnd.openxmlformats-officedocument.spreadsheetml.worksheet+xml" PartName="/xl/worksheets/sheet8841.xml"/>
  <Override ContentType="application/vnd.openxmlformats-officedocument.spreadsheetml.worksheet+xml" PartName="/xl/worksheets/sheet8842.xml"/>
  <Override ContentType="application/vnd.openxmlformats-officedocument.spreadsheetml.worksheet+xml" PartName="/xl/worksheets/sheet8843.xml"/>
  <Override ContentType="application/vnd.openxmlformats-officedocument.spreadsheetml.worksheet+xml" PartName="/xl/worksheets/sheet8844.xml"/>
  <Override ContentType="application/vnd.openxmlformats-officedocument.spreadsheetml.worksheet+xml" PartName="/xl/worksheets/sheet8845.xml"/>
  <Override ContentType="application/vnd.openxmlformats-officedocument.spreadsheetml.worksheet+xml" PartName="/xl/worksheets/sheet8846.xml"/>
  <Override ContentType="application/vnd.openxmlformats-officedocument.spreadsheetml.worksheet+xml" PartName="/xl/worksheets/sheet8847.xml"/>
  <Override ContentType="application/vnd.openxmlformats-officedocument.spreadsheetml.worksheet+xml" PartName="/xl/worksheets/sheet8848.xml"/>
  <Override ContentType="application/vnd.openxmlformats-officedocument.spreadsheetml.worksheet+xml" PartName="/xl/worksheets/sheet8849.xml"/>
  <Override ContentType="application/vnd.openxmlformats-officedocument.spreadsheetml.worksheet+xml" PartName="/xl/worksheets/sheet8850.xml"/>
  <Override ContentType="application/vnd.openxmlformats-officedocument.spreadsheetml.worksheet+xml" PartName="/xl/worksheets/sheet8851.xml"/>
  <Override ContentType="application/vnd.openxmlformats-officedocument.spreadsheetml.worksheet+xml" PartName="/xl/worksheets/sheet8852.xml"/>
  <Override ContentType="application/vnd.openxmlformats-officedocument.spreadsheetml.worksheet+xml" PartName="/xl/worksheets/sheet8853.xml"/>
  <Override ContentType="application/vnd.openxmlformats-officedocument.spreadsheetml.worksheet+xml" PartName="/xl/worksheets/sheet8854.xml"/>
  <Override ContentType="application/vnd.openxmlformats-officedocument.spreadsheetml.worksheet+xml" PartName="/xl/worksheets/sheet8855.xml"/>
  <Override ContentType="application/vnd.openxmlformats-officedocument.spreadsheetml.worksheet+xml" PartName="/xl/worksheets/sheet8856.xml"/>
  <Override ContentType="application/vnd.openxmlformats-officedocument.spreadsheetml.worksheet+xml" PartName="/xl/worksheets/sheet8857.xml"/>
  <Override ContentType="application/vnd.openxmlformats-officedocument.spreadsheetml.worksheet+xml" PartName="/xl/worksheets/sheet8858.xml"/>
  <Override ContentType="application/vnd.openxmlformats-officedocument.spreadsheetml.worksheet+xml" PartName="/xl/worksheets/sheet8859.xml"/>
  <Override ContentType="application/vnd.openxmlformats-officedocument.spreadsheetml.worksheet+xml" PartName="/xl/worksheets/sheet8860.xml"/>
  <Override ContentType="application/vnd.openxmlformats-officedocument.spreadsheetml.worksheet+xml" PartName="/xl/worksheets/sheet8861.xml"/>
  <Override ContentType="application/vnd.openxmlformats-officedocument.spreadsheetml.worksheet+xml" PartName="/xl/worksheets/sheet8862.xml"/>
  <Override ContentType="application/vnd.openxmlformats-officedocument.spreadsheetml.worksheet+xml" PartName="/xl/worksheets/sheet8863.xml"/>
  <Override ContentType="application/vnd.openxmlformats-officedocument.spreadsheetml.worksheet+xml" PartName="/xl/worksheets/sheet8864.xml"/>
  <Override ContentType="application/vnd.openxmlformats-officedocument.spreadsheetml.worksheet+xml" PartName="/xl/worksheets/sheet8865.xml"/>
  <Override ContentType="application/vnd.openxmlformats-officedocument.spreadsheetml.worksheet+xml" PartName="/xl/worksheets/sheet8866.xml"/>
  <Override ContentType="application/vnd.openxmlformats-officedocument.spreadsheetml.worksheet+xml" PartName="/xl/worksheets/sheet8867.xml"/>
  <Override ContentType="application/vnd.openxmlformats-officedocument.spreadsheetml.worksheet+xml" PartName="/xl/worksheets/sheet8868.xml"/>
  <Override ContentType="application/vnd.openxmlformats-officedocument.spreadsheetml.worksheet+xml" PartName="/xl/worksheets/sheet8869.xml"/>
  <Override ContentType="application/vnd.openxmlformats-officedocument.spreadsheetml.worksheet+xml" PartName="/xl/worksheets/sheet8870.xml"/>
  <Override ContentType="application/vnd.openxmlformats-officedocument.spreadsheetml.worksheet+xml" PartName="/xl/worksheets/sheet8871.xml"/>
  <Override ContentType="application/vnd.openxmlformats-officedocument.spreadsheetml.worksheet+xml" PartName="/xl/worksheets/sheet8872.xml"/>
  <Override ContentType="application/vnd.openxmlformats-officedocument.spreadsheetml.worksheet+xml" PartName="/xl/worksheets/sheet8873.xml"/>
  <Override ContentType="application/vnd.openxmlformats-officedocument.spreadsheetml.worksheet+xml" PartName="/xl/worksheets/sheet8874.xml"/>
  <Override ContentType="application/vnd.openxmlformats-officedocument.spreadsheetml.worksheet+xml" PartName="/xl/worksheets/sheet8875.xml"/>
  <Override ContentType="application/vnd.openxmlformats-officedocument.spreadsheetml.worksheet+xml" PartName="/xl/worksheets/sheet8876.xml"/>
  <Override ContentType="application/vnd.openxmlformats-officedocument.spreadsheetml.worksheet+xml" PartName="/xl/worksheets/sheet8877.xml"/>
  <Override ContentType="application/vnd.openxmlformats-officedocument.spreadsheetml.worksheet+xml" PartName="/xl/worksheets/sheet8878.xml"/>
  <Override ContentType="application/vnd.openxmlformats-officedocument.spreadsheetml.worksheet+xml" PartName="/xl/worksheets/sheet8879.xml"/>
  <Override ContentType="application/vnd.openxmlformats-officedocument.spreadsheetml.worksheet+xml" PartName="/xl/worksheets/sheet8880.xml"/>
  <Override ContentType="application/vnd.openxmlformats-officedocument.spreadsheetml.worksheet+xml" PartName="/xl/worksheets/sheet8881.xml"/>
  <Override ContentType="application/vnd.openxmlformats-officedocument.spreadsheetml.worksheet+xml" PartName="/xl/worksheets/sheet8882.xml"/>
  <Override ContentType="application/vnd.openxmlformats-officedocument.spreadsheetml.worksheet+xml" PartName="/xl/worksheets/sheet8883.xml"/>
  <Override ContentType="application/vnd.openxmlformats-officedocument.spreadsheetml.worksheet+xml" PartName="/xl/worksheets/sheet8884.xml"/>
  <Override ContentType="application/vnd.openxmlformats-officedocument.spreadsheetml.worksheet+xml" PartName="/xl/worksheets/sheet8885.xml"/>
  <Override ContentType="application/vnd.openxmlformats-officedocument.spreadsheetml.worksheet+xml" PartName="/xl/worksheets/sheet8886.xml"/>
  <Override ContentType="application/vnd.openxmlformats-officedocument.spreadsheetml.worksheet+xml" PartName="/xl/worksheets/sheet8887.xml"/>
  <Override ContentType="application/vnd.openxmlformats-officedocument.spreadsheetml.worksheet+xml" PartName="/xl/worksheets/sheet8888.xml"/>
  <Override ContentType="application/vnd.openxmlformats-officedocument.spreadsheetml.worksheet+xml" PartName="/xl/worksheets/sheet8889.xml"/>
  <Override ContentType="application/vnd.openxmlformats-officedocument.spreadsheetml.worksheet+xml" PartName="/xl/worksheets/sheet8890.xml"/>
  <Override ContentType="application/vnd.openxmlformats-officedocument.spreadsheetml.worksheet+xml" PartName="/xl/worksheets/sheet8891.xml"/>
  <Override ContentType="application/vnd.openxmlformats-officedocument.spreadsheetml.worksheet+xml" PartName="/xl/worksheets/sheet8892.xml"/>
  <Override ContentType="application/vnd.openxmlformats-officedocument.spreadsheetml.worksheet+xml" PartName="/xl/worksheets/sheet8893.xml"/>
  <Override ContentType="application/vnd.openxmlformats-officedocument.spreadsheetml.worksheet+xml" PartName="/xl/worksheets/sheet8894.xml"/>
  <Override ContentType="application/vnd.openxmlformats-officedocument.spreadsheetml.worksheet+xml" PartName="/xl/worksheets/sheet8895.xml"/>
  <Override ContentType="application/vnd.openxmlformats-officedocument.spreadsheetml.worksheet+xml" PartName="/xl/worksheets/sheet8896.xml"/>
  <Override ContentType="application/vnd.openxmlformats-officedocument.spreadsheetml.worksheet+xml" PartName="/xl/worksheets/sheet8897.xml"/>
  <Override ContentType="application/vnd.openxmlformats-officedocument.spreadsheetml.worksheet+xml" PartName="/xl/worksheets/sheet8898.xml"/>
  <Override ContentType="application/vnd.openxmlformats-officedocument.spreadsheetml.worksheet+xml" PartName="/xl/worksheets/sheet8899.xml"/>
  <Override ContentType="application/vnd.openxmlformats-officedocument.spreadsheetml.worksheet+xml" PartName="/xl/worksheets/sheet8900.xml"/>
  <Override ContentType="application/vnd.openxmlformats-officedocument.spreadsheetml.worksheet+xml" PartName="/xl/worksheets/sheet8901.xml"/>
  <Override ContentType="application/vnd.openxmlformats-officedocument.spreadsheetml.worksheet+xml" PartName="/xl/worksheets/sheet8902.xml"/>
  <Override ContentType="application/vnd.openxmlformats-officedocument.spreadsheetml.worksheet+xml" PartName="/xl/worksheets/sheet8903.xml"/>
  <Override ContentType="application/vnd.openxmlformats-officedocument.spreadsheetml.worksheet+xml" PartName="/xl/worksheets/sheet8904.xml"/>
  <Override ContentType="application/vnd.openxmlformats-officedocument.spreadsheetml.worksheet+xml" PartName="/xl/worksheets/sheet8905.xml"/>
  <Override ContentType="application/vnd.openxmlformats-officedocument.spreadsheetml.worksheet+xml" PartName="/xl/worksheets/sheet8906.xml"/>
  <Override ContentType="application/vnd.openxmlformats-officedocument.spreadsheetml.worksheet+xml" PartName="/xl/worksheets/sheet8907.xml"/>
  <Override ContentType="application/vnd.openxmlformats-officedocument.spreadsheetml.worksheet+xml" PartName="/xl/worksheets/sheet8908.xml"/>
  <Override ContentType="application/vnd.openxmlformats-officedocument.spreadsheetml.worksheet+xml" PartName="/xl/worksheets/sheet8909.xml"/>
  <Override ContentType="application/vnd.openxmlformats-officedocument.spreadsheetml.worksheet+xml" PartName="/xl/worksheets/sheet8910.xml"/>
  <Override ContentType="application/vnd.openxmlformats-officedocument.spreadsheetml.worksheet+xml" PartName="/xl/worksheets/sheet8911.xml"/>
  <Override ContentType="application/vnd.openxmlformats-officedocument.spreadsheetml.worksheet+xml" PartName="/xl/worksheets/sheet8912.xml"/>
  <Override ContentType="application/vnd.openxmlformats-officedocument.spreadsheetml.worksheet+xml" PartName="/xl/worksheets/sheet8913.xml"/>
  <Override ContentType="application/vnd.openxmlformats-officedocument.spreadsheetml.worksheet+xml" PartName="/xl/worksheets/sheet8914.xml"/>
  <Override ContentType="application/vnd.openxmlformats-officedocument.spreadsheetml.worksheet+xml" PartName="/xl/worksheets/sheet8915.xml"/>
  <Override ContentType="application/vnd.openxmlformats-officedocument.spreadsheetml.worksheet+xml" PartName="/xl/worksheets/sheet8916.xml"/>
  <Override ContentType="application/vnd.openxmlformats-officedocument.spreadsheetml.worksheet+xml" PartName="/xl/worksheets/sheet8917.xml"/>
  <Override ContentType="application/vnd.openxmlformats-officedocument.spreadsheetml.worksheet+xml" PartName="/xl/worksheets/sheet8918.xml"/>
  <Override ContentType="application/vnd.openxmlformats-officedocument.spreadsheetml.worksheet+xml" PartName="/xl/worksheets/sheet8919.xml"/>
  <Override ContentType="application/vnd.openxmlformats-officedocument.spreadsheetml.worksheet+xml" PartName="/xl/worksheets/sheet8920.xml"/>
  <Override ContentType="application/vnd.openxmlformats-officedocument.spreadsheetml.worksheet+xml" PartName="/xl/worksheets/sheet8921.xml"/>
  <Override ContentType="application/vnd.openxmlformats-officedocument.spreadsheetml.worksheet+xml" PartName="/xl/worksheets/sheet8922.xml"/>
  <Override ContentType="application/vnd.openxmlformats-officedocument.spreadsheetml.worksheet+xml" PartName="/xl/worksheets/sheet8923.xml"/>
  <Override ContentType="application/vnd.openxmlformats-officedocument.spreadsheetml.worksheet+xml" PartName="/xl/worksheets/sheet8924.xml"/>
  <Override ContentType="application/vnd.openxmlformats-officedocument.spreadsheetml.worksheet+xml" PartName="/xl/worksheets/sheet8925.xml"/>
  <Override ContentType="application/vnd.openxmlformats-officedocument.spreadsheetml.worksheet+xml" PartName="/xl/worksheets/sheet8926.xml"/>
  <Override ContentType="application/vnd.openxmlformats-officedocument.spreadsheetml.worksheet+xml" PartName="/xl/worksheets/sheet8927.xml"/>
  <Override ContentType="application/vnd.openxmlformats-officedocument.spreadsheetml.worksheet+xml" PartName="/xl/worksheets/sheet8928.xml"/>
  <Override ContentType="application/vnd.openxmlformats-officedocument.spreadsheetml.worksheet+xml" PartName="/xl/worksheets/sheet8929.xml"/>
  <Override ContentType="application/vnd.openxmlformats-officedocument.spreadsheetml.worksheet+xml" PartName="/xl/worksheets/sheet8930.xml"/>
  <Override ContentType="application/vnd.openxmlformats-officedocument.spreadsheetml.worksheet+xml" PartName="/xl/worksheets/sheet8931.xml"/>
  <Override ContentType="application/vnd.openxmlformats-officedocument.spreadsheetml.worksheet+xml" PartName="/xl/worksheets/sheet8932.xml"/>
  <Override ContentType="application/vnd.openxmlformats-officedocument.spreadsheetml.worksheet+xml" PartName="/xl/worksheets/sheet8933.xml"/>
  <Override ContentType="application/vnd.openxmlformats-officedocument.spreadsheetml.worksheet+xml" PartName="/xl/worksheets/sheet8934.xml"/>
  <Override ContentType="application/vnd.openxmlformats-officedocument.spreadsheetml.worksheet+xml" PartName="/xl/worksheets/sheet8935.xml"/>
  <Override ContentType="application/vnd.openxmlformats-officedocument.spreadsheetml.worksheet+xml" PartName="/xl/worksheets/sheet8936.xml"/>
  <Override ContentType="application/vnd.openxmlformats-officedocument.spreadsheetml.worksheet+xml" PartName="/xl/worksheets/sheet8937.xml"/>
  <Override ContentType="application/vnd.openxmlformats-officedocument.spreadsheetml.worksheet+xml" PartName="/xl/worksheets/sheet8938.xml"/>
  <Override ContentType="application/vnd.openxmlformats-officedocument.spreadsheetml.worksheet+xml" PartName="/xl/worksheets/sheet8939.xml"/>
  <Override ContentType="application/vnd.openxmlformats-officedocument.spreadsheetml.worksheet+xml" PartName="/xl/worksheets/sheet8940.xml"/>
  <Override ContentType="application/vnd.openxmlformats-officedocument.spreadsheetml.worksheet+xml" PartName="/xl/worksheets/sheet8941.xml"/>
  <Override ContentType="application/vnd.openxmlformats-officedocument.spreadsheetml.worksheet+xml" PartName="/xl/worksheets/sheet8942.xml"/>
  <Override ContentType="application/vnd.openxmlformats-officedocument.spreadsheetml.worksheet+xml" PartName="/xl/worksheets/sheet8943.xml"/>
  <Override ContentType="application/vnd.openxmlformats-officedocument.spreadsheetml.worksheet+xml" PartName="/xl/worksheets/sheet8944.xml"/>
  <Override ContentType="application/vnd.openxmlformats-officedocument.spreadsheetml.worksheet+xml" PartName="/xl/worksheets/sheet8945.xml"/>
  <Override ContentType="application/vnd.openxmlformats-officedocument.spreadsheetml.worksheet+xml" PartName="/xl/worksheets/sheet8946.xml"/>
  <Override ContentType="application/vnd.openxmlformats-officedocument.spreadsheetml.worksheet+xml" PartName="/xl/worksheets/sheet8947.xml"/>
  <Override ContentType="application/vnd.openxmlformats-officedocument.spreadsheetml.worksheet+xml" PartName="/xl/worksheets/sheet8948.xml"/>
  <Override ContentType="application/vnd.openxmlformats-officedocument.spreadsheetml.worksheet+xml" PartName="/xl/worksheets/sheet8949.xml"/>
  <Override ContentType="application/vnd.openxmlformats-officedocument.spreadsheetml.worksheet+xml" PartName="/xl/worksheets/sheet8950.xml"/>
  <Override ContentType="application/vnd.openxmlformats-officedocument.spreadsheetml.worksheet+xml" PartName="/xl/worksheets/sheet8951.xml"/>
  <Override ContentType="application/vnd.openxmlformats-officedocument.spreadsheetml.worksheet+xml" PartName="/xl/worksheets/sheet8952.xml"/>
  <Override ContentType="application/vnd.openxmlformats-officedocument.spreadsheetml.worksheet+xml" PartName="/xl/worksheets/sheet8953.xml"/>
  <Override ContentType="application/vnd.openxmlformats-officedocument.spreadsheetml.worksheet+xml" PartName="/xl/worksheets/sheet8954.xml"/>
  <Override ContentType="application/vnd.openxmlformats-officedocument.spreadsheetml.worksheet+xml" PartName="/xl/worksheets/sheet8955.xml"/>
  <Override ContentType="application/vnd.openxmlformats-officedocument.spreadsheetml.worksheet+xml" PartName="/xl/worksheets/sheet8956.xml"/>
  <Override ContentType="application/vnd.openxmlformats-officedocument.spreadsheetml.worksheet+xml" PartName="/xl/worksheets/sheet8957.xml"/>
  <Override ContentType="application/vnd.openxmlformats-officedocument.spreadsheetml.worksheet+xml" PartName="/xl/worksheets/sheet8958.xml"/>
  <Override ContentType="application/vnd.openxmlformats-officedocument.spreadsheetml.worksheet+xml" PartName="/xl/worksheets/sheet8959.xml"/>
  <Override ContentType="application/vnd.openxmlformats-officedocument.spreadsheetml.worksheet+xml" PartName="/xl/worksheets/sheet8960.xml"/>
  <Override ContentType="application/vnd.openxmlformats-officedocument.spreadsheetml.worksheet+xml" PartName="/xl/worksheets/sheet8961.xml"/>
  <Override ContentType="application/vnd.openxmlformats-officedocument.spreadsheetml.worksheet+xml" PartName="/xl/worksheets/sheet8962.xml"/>
  <Override ContentType="application/vnd.openxmlformats-officedocument.spreadsheetml.worksheet+xml" PartName="/xl/worksheets/sheet8963.xml"/>
  <Override ContentType="application/vnd.openxmlformats-officedocument.spreadsheetml.worksheet+xml" PartName="/xl/worksheets/sheet8964.xml"/>
  <Override ContentType="application/vnd.openxmlformats-officedocument.spreadsheetml.worksheet+xml" PartName="/xl/worksheets/sheet8965.xml"/>
  <Override ContentType="application/vnd.openxmlformats-officedocument.spreadsheetml.worksheet+xml" PartName="/xl/worksheets/sheet8966.xml"/>
  <Override ContentType="application/vnd.openxmlformats-officedocument.spreadsheetml.worksheet+xml" PartName="/xl/worksheets/sheet8967.xml"/>
  <Override ContentType="application/vnd.openxmlformats-officedocument.spreadsheetml.worksheet+xml" PartName="/xl/worksheets/sheet8968.xml"/>
  <Override ContentType="application/vnd.openxmlformats-officedocument.spreadsheetml.worksheet+xml" PartName="/xl/worksheets/sheet8969.xml"/>
  <Override ContentType="application/vnd.openxmlformats-officedocument.spreadsheetml.worksheet+xml" PartName="/xl/worksheets/sheet8970.xml"/>
  <Override ContentType="application/vnd.openxmlformats-officedocument.spreadsheetml.worksheet+xml" PartName="/xl/worksheets/sheet8971.xml"/>
  <Override ContentType="application/vnd.openxmlformats-officedocument.spreadsheetml.worksheet+xml" PartName="/xl/worksheets/sheet8972.xml"/>
  <Override ContentType="application/vnd.openxmlformats-officedocument.spreadsheetml.worksheet+xml" PartName="/xl/worksheets/sheet8973.xml"/>
  <Override ContentType="application/vnd.openxmlformats-officedocument.spreadsheetml.worksheet+xml" PartName="/xl/worksheets/sheet8974.xml"/>
  <Override ContentType="application/vnd.openxmlformats-officedocument.spreadsheetml.worksheet+xml" PartName="/xl/worksheets/sheet8975.xml"/>
  <Override ContentType="application/vnd.openxmlformats-officedocument.spreadsheetml.worksheet+xml" PartName="/xl/worksheets/sheet8976.xml"/>
  <Override ContentType="application/vnd.openxmlformats-officedocument.spreadsheetml.worksheet+xml" PartName="/xl/worksheets/sheet8977.xml"/>
  <Override ContentType="application/vnd.openxmlformats-officedocument.spreadsheetml.worksheet+xml" PartName="/xl/worksheets/sheet8978.xml"/>
  <Override ContentType="application/vnd.openxmlformats-officedocument.spreadsheetml.worksheet+xml" PartName="/xl/worksheets/sheet8979.xml"/>
  <Override ContentType="application/vnd.openxmlformats-officedocument.spreadsheetml.worksheet+xml" PartName="/xl/worksheets/sheet8980.xml"/>
  <Override ContentType="application/vnd.openxmlformats-officedocument.spreadsheetml.worksheet+xml" PartName="/xl/worksheets/sheet8981.xml"/>
  <Override ContentType="application/vnd.openxmlformats-officedocument.spreadsheetml.worksheet+xml" PartName="/xl/worksheets/sheet8982.xml"/>
  <Override ContentType="application/vnd.openxmlformats-officedocument.spreadsheetml.worksheet+xml" PartName="/xl/worksheets/sheet8983.xml"/>
  <Override ContentType="application/vnd.openxmlformats-officedocument.spreadsheetml.worksheet+xml" PartName="/xl/worksheets/sheet8984.xml"/>
  <Override ContentType="application/vnd.openxmlformats-officedocument.spreadsheetml.worksheet+xml" PartName="/xl/worksheets/sheet8985.xml"/>
  <Override ContentType="application/vnd.openxmlformats-officedocument.spreadsheetml.worksheet+xml" PartName="/xl/worksheets/sheet8986.xml"/>
  <Override ContentType="application/vnd.openxmlformats-officedocument.spreadsheetml.worksheet+xml" PartName="/xl/worksheets/sheet8987.xml"/>
  <Override ContentType="application/vnd.openxmlformats-officedocument.spreadsheetml.worksheet+xml" PartName="/xl/worksheets/sheet8988.xml"/>
  <Override ContentType="application/vnd.openxmlformats-officedocument.spreadsheetml.worksheet+xml" PartName="/xl/worksheets/sheet8989.xml"/>
  <Override ContentType="application/vnd.openxmlformats-officedocument.spreadsheetml.worksheet+xml" PartName="/xl/worksheets/sheet8990.xml"/>
  <Override ContentType="application/vnd.openxmlformats-officedocument.spreadsheetml.worksheet+xml" PartName="/xl/worksheets/sheet8991.xml"/>
  <Override ContentType="application/vnd.openxmlformats-officedocument.spreadsheetml.worksheet+xml" PartName="/xl/worksheets/sheet8992.xml"/>
  <Override ContentType="application/vnd.openxmlformats-officedocument.spreadsheetml.worksheet+xml" PartName="/xl/worksheets/sheet8993.xml"/>
  <Override ContentType="application/vnd.openxmlformats-officedocument.spreadsheetml.worksheet+xml" PartName="/xl/worksheets/sheet8994.xml"/>
  <Override ContentType="application/vnd.openxmlformats-officedocument.spreadsheetml.worksheet+xml" PartName="/xl/worksheets/sheet8995.xml"/>
  <Override ContentType="application/vnd.openxmlformats-officedocument.spreadsheetml.worksheet+xml" PartName="/xl/worksheets/sheet8996.xml"/>
  <Override ContentType="application/vnd.openxmlformats-officedocument.spreadsheetml.worksheet+xml" PartName="/xl/worksheets/sheet8997.xml"/>
  <Override ContentType="application/vnd.openxmlformats-officedocument.spreadsheetml.worksheet+xml" PartName="/xl/worksheets/sheet8998.xml"/>
  <Override ContentType="application/vnd.openxmlformats-officedocument.spreadsheetml.worksheet+xml" PartName="/xl/worksheets/sheet8999.xml"/>
  <Override ContentType="application/vnd.openxmlformats-officedocument.spreadsheetml.worksheet+xml" PartName="/xl/worksheets/sheet9000.xml"/>
  <Override ContentType="application/vnd.openxmlformats-officedocument.spreadsheetml.worksheet+xml" PartName="/xl/worksheets/sheet9001.xml"/>
  <Override ContentType="application/vnd.openxmlformats-officedocument.spreadsheetml.worksheet+xml" PartName="/xl/worksheets/sheet9002.xml"/>
  <Override ContentType="application/vnd.openxmlformats-officedocument.spreadsheetml.worksheet+xml" PartName="/xl/worksheets/sheet9003.xml"/>
  <Override ContentType="application/vnd.openxmlformats-officedocument.spreadsheetml.worksheet+xml" PartName="/xl/worksheets/sheet9004.xml"/>
  <Override ContentType="application/vnd.openxmlformats-officedocument.spreadsheetml.worksheet+xml" PartName="/xl/worksheets/sheet9005.xml"/>
  <Override ContentType="application/vnd.openxmlformats-officedocument.spreadsheetml.worksheet+xml" PartName="/xl/worksheets/sheet9006.xml"/>
  <Override ContentType="application/vnd.openxmlformats-officedocument.spreadsheetml.worksheet+xml" PartName="/xl/worksheets/sheet9007.xml"/>
  <Override ContentType="application/vnd.openxmlformats-officedocument.spreadsheetml.worksheet+xml" PartName="/xl/worksheets/sheet9008.xml"/>
  <Override ContentType="application/vnd.openxmlformats-officedocument.spreadsheetml.worksheet+xml" PartName="/xl/worksheets/sheet9009.xml"/>
  <Override ContentType="application/vnd.openxmlformats-officedocument.spreadsheetml.worksheet+xml" PartName="/xl/worksheets/sheet9010.xml"/>
  <Override ContentType="application/vnd.openxmlformats-officedocument.spreadsheetml.worksheet+xml" PartName="/xl/worksheets/sheet9011.xml"/>
  <Override ContentType="application/vnd.openxmlformats-officedocument.spreadsheetml.worksheet+xml" PartName="/xl/worksheets/sheet9012.xml"/>
  <Override ContentType="application/vnd.openxmlformats-officedocument.spreadsheetml.worksheet+xml" PartName="/xl/worksheets/sheet9013.xml"/>
  <Override ContentType="application/vnd.openxmlformats-officedocument.spreadsheetml.worksheet+xml" PartName="/xl/worksheets/sheet9014.xml"/>
  <Override ContentType="application/vnd.openxmlformats-officedocument.spreadsheetml.worksheet+xml" PartName="/xl/worksheets/sheet9015.xml"/>
  <Override ContentType="application/vnd.openxmlformats-officedocument.spreadsheetml.worksheet+xml" PartName="/xl/worksheets/sheet9016.xml"/>
  <Override ContentType="application/vnd.openxmlformats-officedocument.spreadsheetml.worksheet+xml" PartName="/xl/worksheets/sheet9017.xml"/>
  <Override ContentType="application/vnd.openxmlformats-officedocument.spreadsheetml.worksheet+xml" PartName="/xl/worksheets/sheet9018.xml"/>
  <Override ContentType="application/vnd.openxmlformats-officedocument.spreadsheetml.worksheet+xml" PartName="/xl/worksheets/sheet9019.xml"/>
  <Override ContentType="application/vnd.openxmlformats-officedocument.spreadsheetml.worksheet+xml" PartName="/xl/worksheets/sheet9020.xml"/>
  <Override ContentType="application/vnd.openxmlformats-officedocument.spreadsheetml.worksheet+xml" PartName="/xl/worksheets/sheet9021.xml"/>
  <Override ContentType="application/vnd.openxmlformats-officedocument.spreadsheetml.worksheet+xml" PartName="/xl/worksheets/sheet9022.xml"/>
  <Override ContentType="application/vnd.openxmlformats-officedocument.spreadsheetml.worksheet+xml" PartName="/xl/worksheets/sheet9023.xml"/>
  <Override ContentType="application/vnd.openxmlformats-officedocument.spreadsheetml.worksheet+xml" PartName="/xl/worksheets/sheet9024.xml"/>
  <Override ContentType="application/vnd.openxmlformats-officedocument.spreadsheetml.worksheet+xml" PartName="/xl/worksheets/sheet9025.xml"/>
  <Override ContentType="application/vnd.openxmlformats-officedocument.spreadsheetml.worksheet+xml" PartName="/xl/worksheets/sheet9026.xml"/>
  <Override ContentType="application/vnd.openxmlformats-officedocument.spreadsheetml.worksheet+xml" PartName="/xl/worksheets/sheet9027.xml"/>
  <Override ContentType="application/vnd.openxmlformats-officedocument.spreadsheetml.worksheet+xml" PartName="/xl/worksheets/sheet9028.xml"/>
  <Override ContentType="application/vnd.openxmlformats-officedocument.spreadsheetml.worksheet+xml" PartName="/xl/worksheets/sheet9029.xml"/>
  <Override ContentType="application/vnd.openxmlformats-officedocument.spreadsheetml.worksheet+xml" PartName="/xl/worksheets/sheet9030.xml"/>
  <Override ContentType="application/vnd.openxmlformats-officedocument.spreadsheetml.worksheet+xml" PartName="/xl/worksheets/sheet9031.xml"/>
  <Override ContentType="application/vnd.openxmlformats-officedocument.spreadsheetml.worksheet+xml" PartName="/xl/worksheets/sheet9032.xml"/>
  <Override ContentType="application/vnd.openxmlformats-officedocument.spreadsheetml.worksheet+xml" PartName="/xl/worksheets/sheet9033.xml"/>
  <Override ContentType="application/vnd.openxmlformats-officedocument.spreadsheetml.worksheet+xml" PartName="/xl/worksheets/sheet9034.xml"/>
  <Override ContentType="application/vnd.openxmlformats-officedocument.spreadsheetml.worksheet+xml" PartName="/xl/worksheets/sheet9035.xml"/>
  <Override ContentType="application/vnd.openxmlformats-officedocument.spreadsheetml.worksheet+xml" PartName="/xl/worksheets/sheet9036.xml"/>
  <Override ContentType="application/vnd.openxmlformats-officedocument.spreadsheetml.worksheet+xml" PartName="/xl/worksheets/sheet9037.xml"/>
  <Override ContentType="application/vnd.openxmlformats-officedocument.spreadsheetml.worksheet+xml" PartName="/xl/worksheets/sheet9038.xml"/>
  <Override ContentType="application/vnd.openxmlformats-officedocument.spreadsheetml.worksheet+xml" PartName="/xl/worksheets/sheet9039.xml"/>
  <Override ContentType="application/vnd.openxmlformats-officedocument.spreadsheetml.worksheet+xml" PartName="/xl/worksheets/sheet9040.xml"/>
  <Override ContentType="application/vnd.openxmlformats-officedocument.spreadsheetml.worksheet+xml" PartName="/xl/worksheets/sheet9041.xml"/>
  <Override ContentType="application/vnd.openxmlformats-officedocument.spreadsheetml.worksheet+xml" PartName="/xl/worksheets/sheet9042.xml"/>
  <Override ContentType="application/vnd.openxmlformats-officedocument.spreadsheetml.worksheet+xml" PartName="/xl/worksheets/sheet9043.xml"/>
  <Override ContentType="application/vnd.openxmlformats-officedocument.spreadsheetml.worksheet+xml" PartName="/xl/worksheets/sheet9044.xml"/>
  <Override ContentType="application/vnd.openxmlformats-officedocument.spreadsheetml.worksheet+xml" PartName="/xl/worksheets/sheet9045.xml"/>
  <Override ContentType="application/vnd.openxmlformats-officedocument.spreadsheetml.worksheet+xml" PartName="/xl/worksheets/sheet9046.xml"/>
  <Override ContentType="application/vnd.openxmlformats-officedocument.spreadsheetml.worksheet+xml" PartName="/xl/worksheets/sheet9047.xml"/>
  <Override ContentType="application/vnd.openxmlformats-officedocument.spreadsheetml.worksheet+xml" PartName="/xl/worksheets/sheet9048.xml"/>
  <Override ContentType="application/vnd.openxmlformats-officedocument.spreadsheetml.worksheet+xml" PartName="/xl/worksheets/sheet9049.xml"/>
  <Override ContentType="application/vnd.openxmlformats-officedocument.spreadsheetml.worksheet+xml" PartName="/xl/worksheets/sheet9050.xml"/>
  <Override ContentType="application/vnd.openxmlformats-officedocument.spreadsheetml.worksheet+xml" PartName="/xl/worksheets/sheet9051.xml"/>
  <Override ContentType="application/vnd.openxmlformats-officedocument.spreadsheetml.worksheet+xml" PartName="/xl/worksheets/sheet9052.xml"/>
  <Override ContentType="application/vnd.openxmlformats-officedocument.spreadsheetml.worksheet+xml" PartName="/xl/worksheets/sheet9053.xml"/>
  <Override ContentType="application/vnd.openxmlformats-officedocument.spreadsheetml.worksheet+xml" PartName="/xl/worksheets/sheet9054.xml"/>
  <Override ContentType="application/vnd.openxmlformats-officedocument.spreadsheetml.worksheet+xml" PartName="/xl/worksheets/sheet9055.xml"/>
  <Override ContentType="application/vnd.openxmlformats-officedocument.spreadsheetml.worksheet+xml" PartName="/xl/worksheets/sheet9056.xml"/>
  <Override ContentType="application/vnd.openxmlformats-officedocument.spreadsheetml.worksheet+xml" PartName="/xl/worksheets/sheet9057.xml"/>
  <Override ContentType="application/vnd.openxmlformats-officedocument.spreadsheetml.worksheet+xml" PartName="/xl/worksheets/sheet9058.xml"/>
  <Override ContentType="application/vnd.openxmlformats-officedocument.spreadsheetml.worksheet+xml" PartName="/xl/worksheets/sheet9059.xml"/>
  <Override ContentType="application/vnd.openxmlformats-officedocument.spreadsheetml.worksheet+xml" PartName="/xl/worksheets/sheet9060.xml"/>
  <Override ContentType="application/vnd.openxmlformats-officedocument.spreadsheetml.worksheet+xml" PartName="/xl/worksheets/sheet9061.xml"/>
  <Override ContentType="application/vnd.openxmlformats-officedocument.spreadsheetml.worksheet+xml" PartName="/xl/worksheets/sheet9062.xml"/>
  <Override ContentType="application/vnd.openxmlformats-officedocument.spreadsheetml.worksheet+xml" PartName="/xl/worksheets/sheet9063.xml"/>
  <Override ContentType="application/vnd.openxmlformats-officedocument.spreadsheetml.worksheet+xml" PartName="/xl/worksheets/sheet9064.xml"/>
  <Override ContentType="application/vnd.openxmlformats-officedocument.spreadsheetml.worksheet+xml" PartName="/xl/worksheets/sheet9065.xml"/>
  <Override ContentType="application/vnd.openxmlformats-officedocument.spreadsheetml.worksheet+xml" PartName="/xl/worksheets/sheet9066.xml"/>
  <Override ContentType="application/vnd.openxmlformats-officedocument.spreadsheetml.worksheet+xml" PartName="/xl/worksheets/sheet9067.xml"/>
  <Override ContentType="application/vnd.openxmlformats-officedocument.spreadsheetml.worksheet+xml" PartName="/xl/worksheets/sheet9068.xml"/>
  <Override ContentType="application/vnd.openxmlformats-officedocument.spreadsheetml.worksheet+xml" PartName="/xl/worksheets/sheet9069.xml"/>
  <Override ContentType="application/vnd.openxmlformats-officedocument.spreadsheetml.worksheet+xml" PartName="/xl/worksheets/sheet9070.xml"/>
  <Override ContentType="application/vnd.openxmlformats-officedocument.spreadsheetml.worksheet+xml" PartName="/xl/worksheets/sheet9071.xml"/>
  <Override ContentType="application/vnd.openxmlformats-officedocument.spreadsheetml.worksheet+xml" PartName="/xl/worksheets/sheet9072.xml"/>
  <Override ContentType="application/vnd.openxmlformats-officedocument.spreadsheetml.worksheet+xml" PartName="/xl/worksheets/sheet9073.xml"/>
  <Override ContentType="application/vnd.openxmlformats-officedocument.spreadsheetml.worksheet+xml" PartName="/xl/worksheets/sheet9074.xml"/>
  <Override ContentType="application/vnd.openxmlformats-officedocument.spreadsheetml.worksheet+xml" PartName="/xl/worksheets/sheet9075.xml"/>
  <Override ContentType="application/vnd.openxmlformats-officedocument.spreadsheetml.worksheet+xml" PartName="/xl/worksheets/sheet9076.xml"/>
  <Override ContentType="application/vnd.openxmlformats-officedocument.spreadsheetml.worksheet+xml" PartName="/xl/worksheets/sheet9077.xml"/>
  <Override ContentType="application/vnd.openxmlformats-officedocument.spreadsheetml.worksheet+xml" PartName="/xl/worksheets/sheet9078.xml"/>
  <Override ContentType="application/vnd.openxmlformats-officedocument.spreadsheetml.worksheet+xml" PartName="/xl/worksheets/sheet9079.xml"/>
  <Override ContentType="application/vnd.openxmlformats-officedocument.spreadsheetml.worksheet+xml" PartName="/xl/worksheets/sheet9080.xml"/>
  <Override ContentType="application/vnd.openxmlformats-officedocument.spreadsheetml.worksheet+xml" PartName="/xl/worksheets/sheet9081.xml"/>
  <Override ContentType="application/vnd.openxmlformats-officedocument.spreadsheetml.worksheet+xml" PartName="/xl/worksheets/sheet9082.xml"/>
  <Override ContentType="application/vnd.openxmlformats-officedocument.spreadsheetml.worksheet+xml" PartName="/xl/worksheets/sheet9083.xml"/>
  <Override ContentType="application/vnd.openxmlformats-officedocument.spreadsheetml.worksheet+xml" PartName="/xl/worksheets/sheet9084.xml"/>
  <Override ContentType="application/vnd.openxmlformats-officedocument.spreadsheetml.worksheet+xml" PartName="/xl/worksheets/sheet9085.xml"/>
  <Override ContentType="application/vnd.openxmlformats-officedocument.spreadsheetml.worksheet+xml" PartName="/xl/worksheets/sheet9086.xml"/>
  <Override ContentType="application/vnd.openxmlformats-officedocument.spreadsheetml.worksheet+xml" PartName="/xl/worksheets/sheet9087.xml"/>
  <Override ContentType="application/vnd.openxmlformats-officedocument.spreadsheetml.worksheet+xml" PartName="/xl/worksheets/sheet9088.xml"/>
  <Override ContentType="application/vnd.openxmlformats-officedocument.spreadsheetml.worksheet+xml" PartName="/xl/worksheets/sheet9089.xml"/>
  <Override ContentType="application/vnd.openxmlformats-officedocument.spreadsheetml.worksheet+xml" PartName="/xl/worksheets/sheet9090.xml"/>
  <Override ContentType="application/vnd.openxmlformats-officedocument.spreadsheetml.worksheet+xml" PartName="/xl/worksheets/sheet9091.xml"/>
  <Override ContentType="application/vnd.openxmlformats-officedocument.spreadsheetml.worksheet+xml" PartName="/xl/worksheets/sheet9092.xml"/>
  <Override ContentType="application/vnd.openxmlformats-officedocument.spreadsheetml.worksheet+xml" PartName="/xl/worksheets/sheet9093.xml"/>
  <Override ContentType="application/vnd.openxmlformats-officedocument.spreadsheetml.worksheet+xml" PartName="/xl/worksheets/sheet9094.xml"/>
  <Override ContentType="application/vnd.openxmlformats-officedocument.spreadsheetml.worksheet+xml" PartName="/xl/worksheets/sheet9095.xml"/>
  <Override ContentType="application/vnd.openxmlformats-officedocument.spreadsheetml.worksheet+xml" PartName="/xl/worksheets/sheet9096.xml"/>
  <Override ContentType="application/vnd.openxmlformats-officedocument.spreadsheetml.worksheet+xml" PartName="/xl/worksheets/sheet9097.xml"/>
  <Override ContentType="application/vnd.openxmlformats-officedocument.spreadsheetml.worksheet+xml" PartName="/xl/worksheets/sheet9098.xml"/>
  <Override ContentType="application/vnd.openxmlformats-officedocument.spreadsheetml.worksheet+xml" PartName="/xl/worksheets/sheet9099.xml"/>
  <Override ContentType="application/vnd.openxmlformats-officedocument.spreadsheetml.worksheet+xml" PartName="/xl/worksheets/sheet9100.xml"/>
  <Override ContentType="application/vnd.openxmlformats-officedocument.spreadsheetml.worksheet+xml" PartName="/xl/worksheets/sheet9101.xml"/>
  <Override ContentType="application/vnd.openxmlformats-officedocument.spreadsheetml.worksheet+xml" PartName="/xl/worksheets/sheet9102.xml"/>
  <Override ContentType="application/vnd.openxmlformats-officedocument.spreadsheetml.worksheet+xml" PartName="/xl/worksheets/sheet9103.xml"/>
  <Override ContentType="application/vnd.openxmlformats-officedocument.spreadsheetml.worksheet+xml" PartName="/xl/worksheets/sheet9104.xml"/>
  <Override ContentType="application/vnd.openxmlformats-officedocument.spreadsheetml.worksheet+xml" PartName="/xl/worksheets/sheet9105.xml"/>
  <Override ContentType="application/vnd.openxmlformats-officedocument.spreadsheetml.worksheet+xml" PartName="/xl/worksheets/sheet9106.xml"/>
  <Override ContentType="application/vnd.openxmlformats-officedocument.spreadsheetml.worksheet+xml" PartName="/xl/worksheets/sheet9107.xml"/>
  <Override ContentType="application/vnd.openxmlformats-officedocument.spreadsheetml.worksheet+xml" PartName="/xl/worksheets/sheet9108.xml"/>
  <Override ContentType="application/vnd.openxmlformats-officedocument.spreadsheetml.worksheet+xml" PartName="/xl/worksheets/sheet9109.xml"/>
  <Override ContentType="application/vnd.openxmlformats-officedocument.spreadsheetml.worksheet+xml" PartName="/xl/worksheets/sheet9110.xml"/>
  <Override ContentType="application/vnd.openxmlformats-officedocument.spreadsheetml.worksheet+xml" PartName="/xl/worksheets/sheet9111.xml"/>
  <Override ContentType="application/vnd.openxmlformats-officedocument.spreadsheetml.worksheet+xml" PartName="/xl/worksheets/sheet9112.xml"/>
  <Override ContentType="application/vnd.openxmlformats-officedocument.spreadsheetml.worksheet+xml" PartName="/xl/worksheets/sheet9113.xml"/>
  <Override ContentType="application/vnd.openxmlformats-officedocument.spreadsheetml.worksheet+xml" PartName="/xl/worksheets/sheet9114.xml"/>
  <Override ContentType="application/vnd.openxmlformats-officedocument.spreadsheetml.worksheet+xml" PartName="/xl/worksheets/sheet9115.xml"/>
  <Override ContentType="application/vnd.openxmlformats-officedocument.spreadsheetml.worksheet+xml" PartName="/xl/worksheets/sheet9116.xml"/>
  <Override ContentType="application/vnd.openxmlformats-officedocument.spreadsheetml.worksheet+xml" PartName="/xl/worksheets/sheet9117.xml"/>
  <Override ContentType="application/vnd.openxmlformats-officedocument.spreadsheetml.worksheet+xml" PartName="/xl/worksheets/sheet9118.xml"/>
  <Override ContentType="application/vnd.openxmlformats-officedocument.spreadsheetml.worksheet+xml" PartName="/xl/worksheets/sheet9119.xml"/>
  <Override ContentType="application/vnd.openxmlformats-officedocument.spreadsheetml.worksheet+xml" PartName="/xl/worksheets/sheet9120.xml"/>
  <Override ContentType="application/vnd.openxmlformats-officedocument.spreadsheetml.worksheet+xml" PartName="/xl/worksheets/sheet9121.xml"/>
  <Override ContentType="application/vnd.openxmlformats-officedocument.spreadsheetml.worksheet+xml" PartName="/xl/worksheets/sheet9122.xml"/>
  <Override ContentType="application/vnd.openxmlformats-officedocument.spreadsheetml.worksheet+xml" PartName="/xl/worksheets/sheet9123.xml"/>
  <Override ContentType="application/vnd.openxmlformats-officedocument.spreadsheetml.worksheet+xml" PartName="/xl/worksheets/sheet9124.xml"/>
  <Override ContentType="application/vnd.openxmlformats-officedocument.spreadsheetml.worksheet+xml" PartName="/xl/worksheets/sheet9125.xml"/>
  <Override ContentType="application/vnd.openxmlformats-officedocument.spreadsheetml.worksheet+xml" PartName="/xl/worksheets/sheet9126.xml"/>
  <Override ContentType="application/vnd.openxmlformats-officedocument.spreadsheetml.worksheet+xml" PartName="/xl/worksheets/sheet9127.xml"/>
  <Override ContentType="application/vnd.openxmlformats-officedocument.spreadsheetml.worksheet+xml" PartName="/xl/worksheets/sheet9128.xml"/>
  <Override ContentType="application/vnd.openxmlformats-officedocument.spreadsheetml.worksheet+xml" PartName="/xl/worksheets/sheet9129.xml"/>
  <Override ContentType="application/vnd.openxmlformats-officedocument.spreadsheetml.worksheet+xml" PartName="/xl/worksheets/sheet9130.xml"/>
  <Override ContentType="application/vnd.openxmlformats-officedocument.spreadsheetml.worksheet+xml" PartName="/xl/worksheets/sheet9131.xml"/>
  <Override ContentType="application/vnd.openxmlformats-officedocument.spreadsheetml.worksheet+xml" PartName="/xl/worksheets/sheet9132.xml"/>
  <Override ContentType="application/vnd.openxmlformats-officedocument.spreadsheetml.worksheet+xml" PartName="/xl/worksheets/sheet9133.xml"/>
  <Override ContentType="application/vnd.openxmlformats-officedocument.spreadsheetml.worksheet+xml" PartName="/xl/worksheets/sheet9134.xml"/>
  <Override ContentType="application/vnd.openxmlformats-officedocument.spreadsheetml.worksheet+xml" PartName="/xl/worksheets/sheet9135.xml"/>
  <Override ContentType="application/vnd.openxmlformats-officedocument.spreadsheetml.worksheet+xml" PartName="/xl/worksheets/sheet9136.xml"/>
  <Override ContentType="application/vnd.openxmlformats-officedocument.spreadsheetml.worksheet+xml" PartName="/xl/worksheets/sheet9137.xml"/>
  <Override ContentType="application/vnd.openxmlformats-officedocument.spreadsheetml.worksheet+xml" PartName="/xl/worksheets/sheet9138.xml"/>
  <Override ContentType="application/vnd.openxmlformats-officedocument.spreadsheetml.worksheet+xml" PartName="/xl/worksheets/sheet9139.xml"/>
  <Override ContentType="application/vnd.openxmlformats-officedocument.spreadsheetml.worksheet+xml" PartName="/xl/worksheets/sheet9140.xml"/>
  <Override ContentType="application/vnd.openxmlformats-officedocument.spreadsheetml.worksheet+xml" PartName="/xl/worksheets/sheet9141.xml"/>
  <Override ContentType="application/vnd.openxmlformats-officedocument.spreadsheetml.worksheet+xml" PartName="/xl/worksheets/sheet9142.xml"/>
  <Override ContentType="application/vnd.openxmlformats-officedocument.spreadsheetml.worksheet+xml" PartName="/xl/worksheets/sheet9143.xml"/>
  <Override ContentType="application/vnd.openxmlformats-officedocument.spreadsheetml.worksheet+xml" PartName="/xl/worksheets/sheet9144.xml"/>
  <Override ContentType="application/vnd.openxmlformats-officedocument.spreadsheetml.worksheet+xml" PartName="/xl/worksheets/sheet9145.xml"/>
  <Override ContentType="application/vnd.openxmlformats-officedocument.spreadsheetml.worksheet+xml" PartName="/xl/worksheets/sheet9146.xml"/>
  <Override ContentType="application/vnd.openxmlformats-officedocument.spreadsheetml.worksheet+xml" PartName="/xl/worksheets/sheet9147.xml"/>
  <Override ContentType="application/vnd.openxmlformats-officedocument.spreadsheetml.worksheet+xml" PartName="/xl/worksheets/sheet9148.xml"/>
  <Override ContentType="application/vnd.openxmlformats-officedocument.spreadsheetml.worksheet+xml" PartName="/xl/worksheets/sheet9149.xml"/>
  <Override ContentType="application/vnd.openxmlformats-officedocument.spreadsheetml.worksheet+xml" PartName="/xl/worksheets/sheet9150.xml"/>
  <Override ContentType="application/vnd.openxmlformats-officedocument.spreadsheetml.worksheet+xml" PartName="/xl/worksheets/sheet9151.xml"/>
  <Override ContentType="application/vnd.openxmlformats-officedocument.spreadsheetml.worksheet+xml" PartName="/xl/worksheets/sheet9152.xml"/>
  <Override ContentType="application/vnd.openxmlformats-officedocument.spreadsheetml.worksheet+xml" PartName="/xl/worksheets/sheet9153.xml"/>
  <Override ContentType="application/vnd.openxmlformats-officedocument.spreadsheetml.worksheet+xml" PartName="/xl/worksheets/sheet9154.xml"/>
  <Override ContentType="application/vnd.openxmlformats-officedocument.spreadsheetml.worksheet+xml" PartName="/xl/worksheets/sheet9155.xml"/>
  <Override ContentType="application/vnd.openxmlformats-officedocument.spreadsheetml.worksheet+xml" PartName="/xl/worksheets/sheet9156.xml"/>
  <Override ContentType="application/vnd.openxmlformats-officedocument.spreadsheetml.worksheet+xml" PartName="/xl/worksheets/sheet9157.xml"/>
  <Override ContentType="application/vnd.openxmlformats-officedocument.spreadsheetml.worksheet+xml" PartName="/xl/worksheets/sheet9158.xml"/>
  <Override ContentType="application/vnd.openxmlformats-officedocument.spreadsheetml.worksheet+xml" PartName="/xl/worksheets/sheet9159.xml"/>
  <Override ContentType="application/vnd.openxmlformats-officedocument.spreadsheetml.worksheet+xml" PartName="/xl/worksheets/sheet9160.xml"/>
  <Override ContentType="application/vnd.openxmlformats-officedocument.spreadsheetml.worksheet+xml" PartName="/xl/worksheets/sheet9161.xml"/>
  <Override ContentType="application/vnd.openxmlformats-officedocument.spreadsheetml.worksheet+xml" PartName="/xl/worksheets/sheet9162.xml"/>
  <Override ContentType="application/vnd.openxmlformats-officedocument.spreadsheetml.worksheet+xml" PartName="/xl/worksheets/sheet9163.xml"/>
  <Override ContentType="application/vnd.openxmlformats-officedocument.spreadsheetml.worksheet+xml" PartName="/xl/worksheets/sheet9164.xml"/>
  <Override ContentType="application/vnd.openxmlformats-officedocument.spreadsheetml.worksheet+xml" PartName="/xl/worksheets/sheet9165.xml"/>
  <Override ContentType="application/vnd.openxmlformats-officedocument.spreadsheetml.worksheet+xml" PartName="/xl/worksheets/sheet9166.xml"/>
  <Override ContentType="application/vnd.openxmlformats-officedocument.spreadsheetml.worksheet+xml" PartName="/xl/worksheets/sheet9167.xml"/>
  <Override ContentType="application/vnd.openxmlformats-officedocument.spreadsheetml.worksheet+xml" PartName="/xl/worksheets/sheet9168.xml"/>
  <Override ContentType="application/vnd.openxmlformats-officedocument.spreadsheetml.worksheet+xml" PartName="/xl/worksheets/sheet9169.xml"/>
  <Override ContentType="application/vnd.openxmlformats-officedocument.spreadsheetml.worksheet+xml" PartName="/xl/worksheets/sheet9170.xml"/>
  <Override ContentType="application/vnd.openxmlformats-officedocument.spreadsheetml.worksheet+xml" PartName="/xl/worksheets/sheet9171.xml"/>
  <Override ContentType="application/vnd.openxmlformats-officedocument.spreadsheetml.worksheet+xml" PartName="/xl/worksheets/sheet9172.xml"/>
  <Override ContentType="application/vnd.openxmlformats-officedocument.spreadsheetml.worksheet+xml" PartName="/xl/worksheets/sheet9173.xml"/>
  <Override ContentType="application/vnd.openxmlformats-officedocument.spreadsheetml.worksheet+xml" PartName="/xl/worksheets/sheet9174.xml"/>
  <Override ContentType="application/vnd.openxmlformats-officedocument.spreadsheetml.worksheet+xml" PartName="/xl/worksheets/sheet9175.xml"/>
  <Override ContentType="application/vnd.openxmlformats-officedocument.spreadsheetml.worksheet+xml" PartName="/xl/worksheets/sheet9176.xml"/>
  <Override ContentType="application/vnd.openxmlformats-officedocument.spreadsheetml.worksheet+xml" PartName="/xl/worksheets/sheet9177.xml"/>
  <Override ContentType="application/vnd.openxmlformats-officedocument.spreadsheetml.worksheet+xml" PartName="/xl/worksheets/sheet9178.xml"/>
  <Override ContentType="application/vnd.openxmlformats-officedocument.spreadsheetml.worksheet+xml" PartName="/xl/worksheets/sheet9179.xml"/>
  <Override ContentType="application/vnd.openxmlformats-officedocument.spreadsheetml.worksheet+xml" PartName="/xl/worksheets/sheet9180.xml"/>
  <Override ContentType="application/vnd.openxmlformats-officedocument.spreadsheetml.worksheet+xml" PartName="/xl/worksheets/sheet9181.xml"/>
  <Override ContentType="application/vnd.openxmlformats-officedocument.spreadsheetml.worksheet+xml" PartName="/xl/worksheets/sheet9182.xml"/>
  <Override ContentType="application/vnd.openxmlformats-officedocument.spreadsheetml.worksheet+xml" PartName="/xl/worksheets/sheet9183.xml"/>
  <Override ContentType="application/vnd.openxmlformats-officedocument.spreadsheetml.worksheet+xml" PartName="/xl/worksheets/sheet9184.xml"/>
  <Override ContentType="application/vnd.openxmlformats-officedocument.spreadsheetml.worksheet+xml" PartName="/xl/worksheets/sheet9185.xml"/>
  <Override ContentType="application/vnd.openxmlformats-officedocument.spreadsheetml.worksheet+xml" PartName="/xl/worksheets/sheet9186.xml"/>
  <Override ContentType="application/vnd.openxmlformats-officedocument.spreadsheetml.worksheet+xml" PartName="/xl/worksheets/sheet9187.xml"/>
  <Override ContentType="application/vnd.openxmlformats-officedocument.spreadsheetml.worksheet+xml" PartName="/xl/worksheets/sheet9188.xml"/>
  <Override ContentType="application/vnd.openxmlformats-officedocument.spreadsheetml.worksheet+xml" PartName="/xl/worksheets/sheet9189.xml"/>
  <Override ContentType="application/vnd.openxmlformats-officedocument.spreadsheetml.worksheet+xml" PartName="/xl/worksheets/sheet9190.xml"/>
  <Override ContentType="application/vnd.openxmlformats-officedocument.spreadsheetml.worksheet+xml" PartName="/xl/worksheets/sheet9191.xml"/>
  <Override ContentType="application/vnd.openxmlformats-officedocument.spreadsheetml.worksheet+xml" PartName="/xl/worksheets/sheet9192.xml"/>
  <Override ContentType="application/vnd.openxmlformats-officedocument.spreadsheetml.worksheet+xml" PartName="/xl/worksheets/sheet9193.xml"/>
  <Override ContentType="application/vnd.openxmlformats-officedocument.spreadsheetml.worksheet+xml" PartName="/xl/worksheets/sheet9194.xml"/>
  <Override ContentType="application/vnd.openxmlformats-officedocument.spreadsheetml.worksheet+xml" PartName="/xl/worksheets/sheet9195.xml"/>
  <Override ContentType="application/vnd.openxmlformats-officedocument.spreadsheetml.worksheet+xml" PartName="/xl/worksheets/sheet9196.xml"/>
  <Override ContentType="application/vnd.openxmlformats-officedocument.spreadsheetml.worksheet+xml" PartName="/xl/worksheets/sheet9197.xml"/>
  <Override ContentType="application/vnd.openxmlformats-officedocument.spreadsheetml.worksheet+xml" PartName="/xl/worksheets/sheet9198.xml"/>
  <Override ContentType="application/vnd.openxmlformats-officedocument.spreadsheetml.worksheet+xml" PartName="/xl/worksheets/sheet9199.xml"/>
  <Override ContentType="application/vnd.openxmlformats-officedocument.spreadsheetml.worksheet+xml" PartName="/xl/worksheets/sheet9200.xml"/>
  <Override ContentType="application/vnd.openxmlformats-officedocument.spreadsheetml.worksheet+xml" PartName="/xl/worksheets/sheet9201.xml"/>
  <Override ContentType="application/vnd.openxmlformats-officedocument.spreadsheetml.worksheet+xml" PartName="/xl/worksheets/sheet9202.xml"/>
  <Override ContentType="application/vnd.openxmlformats-officedocument.spreadsheetml.worksheet+xml" PartName="/xl/worksheets/sheet9203.xml"/>
  <Override ContentType="application/vnd.openxmlformats-officedocument.spreadsheetml.worksheet+xml" PartName="/xl/worksheets/sheet9204.xml"/>
  <Override ContentType="application/vnd.openxmlformats-officedocument.spreadsheetml.worksheet+xml" PartName="/xl/worksheets/sheet9205.xml"/>
  <Override ContentType="application/vnd.openxmlformats-officedocument.spreadsheetml.worksheet+xml" PartName="/xl/worksheets/sheet9206.xml"/>
  <Override ContentType="application/vnd.openxmlformats-officedocument.spreadsheetml.worksheet+xml" PartName="/xl/worksheets/sheet9207.xml"/>
  <Override ContentType="application/vnd.openxmlformats-officedocument.spreadsheetml.worksheet+xml" PartName="/xl/worksheets/sheet9208.xml"/>
  <Override ContentType="application/vnd.openxmlformats-officedocument.spreadsheetml.worksheet+xml" PartName="/xl/worksheets/sheet9209.xml"/>
  <Override ContentType="application/vnd.openxmlformats-officedocument.spreadsheetml.worksheet+xml" PartName="/xl/worksheets/sheet9210.xml"/>
  <Override ContentType="application/vnd.openxmlformats-officedocument.spreadsheetml.worksheet+xml" PartName="/xl/worksheets/sheet9211.xml"/>
  <Override ContentType="application/vnd.openxmlformats-officedocument.spreadsheetml.worksheet+xml" PartName="/xl/worksheets/sheet9212.xml"/>
  <Override ContentType="application/vnd.openxmlformats-officedocument.spreadsheetml.worksheet+xml" PartName="/xl/worksheets/sheet9213.xml"/>
  <Override ContentType="application/vnd.openxmlformats-officedocument.spreadsheetml.worksheet+xml" PartName="/xl/worksheets/sheet9214.xml"/>
  <Override ContentType="application/vnd.openxmlformats-officedocument.spreadsheetml.worksheet+xml" PartName="/xl/worksheets/sheet9215.xml"/>
  <Override ContentType="application/vnd.openxmlformats-officedocument.spreadsheetml.worksheet+xml" PartName="/xl/worksheets/sheet9216.xml"/>
  <Override ContentType="application/vnd.openxmlformats-officedocument.spreadsheetml.worksheet+xml" PartName="/xl/worksheets/sheet9217.xml"/>
  <Override ContentType="application/vnd.openxmlformats-officedocument.spreadsheetml.worksheet+xml" PartName="/xl/worksheets/sheet9218.xml"/>
  <Override ContentType="application/vnd.openxmlformats-officedocument.spreadsheetml.worksheet+xml" PartName="/xl/worksheets/sheet9219.xml"/>
  <Override ContentType="application/vnd.openxmlformats-officedocument.spreadsheetml.worksheet+xml" PartName="/xl/worksheets/sheet9220.xml"/>
  <Override ContentType="application/vnd.openxmlformats-officedocument.spreadsheetml.worksheet+xml" PartName="/xl/worksheets/sheet9221.xml"/>
  <Override ContentType="application/vnd.openxmlformats-officedocument.spreadsheetml.worksheet+xml" PartName="/xl/worksheets/sheet9222.xml"/>
  <Override ContentType="application/vnd.openxmlformats-officedocument.spreadsheetml.worksheet+xml" PartName="/xl/worksheets/sheet9223.xml"/>
  <Override ContentType="application/vnd.openxmlformats-officedocument.spreadsheetml.worksheet+xml" PartName="/xl/worksheets/sheet9224.xml"/>
  <Override ContentType="application/vnd.openxmlformats-officedocument.spreadsheetml.worksheet+xml" PartName="/xl/worksheets/sheet9225.xml"/>
  <Override ContentType="application/vnd.openxmlformats-officedocument.spreadsheetml.worksheet+xml" PartName="/xl/worksheets/sheet9226.xml"/>
  <Override ContentType="application/vnd.openxmlformats-officedocument.spreadsheetml.worksheet+xml" PartName="/xl/worksheets/sheet9227.xml"/>
  <Override ContentType="application/vnd.openxmlformats-officedocument.spreadsheetml.worksheet+xml" PartName="/xl/worksheets/sheet9228.xml"/>
  <Override ContentType="application/vnd.openxmlformats-officedocument.spreadsheetml.worksheet+xml" PartName="/xl/worksheets/sheet9229.xml"/>
  <Override ContentType="application/vnd.openxmlformats-officedocument.spreadsheetml.worksheet+xml" PartName="/xl/worksheets/sheet9230.xml"/>
  <Override ContentType="application/vnd.openxmlformats-officedocument.spreadsheetml.worksheet+xml" PartName="/xl/worksheets/sheet9231.xml"/>
  <Override ContentType="application/vnd.openxmlformats-officedocument.spreadsheetml.worksheet+xml" PartName="/xl/worksheets/sheet9232.xml"/>
  <Override ContentType="application/vnd.openxmlformats-officedocument.spreadsheetml.worksheet+xml" PartName="/xl/worksheets/sheet9233.xml"/>
  <Override ContentType="application/vnd.openxmlformats-officedocument.spreadsheetml.worksheet+xml" PartName="/xl/worksheets/sheet9234.xml"/>
  <Override ContentType="application/vnd.openxmlformats-officedocument.spreadsheetml.worksheet+xml" PartName="/xl/worksheets/sheet9235.xml"/>
  <Override ContentType="application/vnd.openxmlformats-officedocument.spreadsheetml.worksheet+xml" PartName="/xl/worksheets/sheet9236.xml"/>
  <Override ContentType="application/vnd.openxmlformats-officedocument.spreadsheetml.worksheet+xml" PartName="/xl/worksheets/sheet9237.xml"/>
  <Override ContentType="application/vnd.openxmlformats-officedocument.spreadsheetml.worksheet+xml" PartName="/xl/worksheets/sheet9238.xml"/>
  <Override ContentType="application/vnd.openxmlformats-officedocument.spreadsheetml.worksheet+xml" PartName="/xl/worksheets/sheet9239.xml"/>
  <Override ContentType="application/vnd.openxmlformats-officedocument.spreadsheetml.worksheet+xml" PartName="/xl/worksheets/sheet9240.xml"/>
  <Override ContentType="application/vnd.openxmlformats-officedocument.spreadsheetml.worksheet+xml" PartName="/xl/worksheets/sheet9241.xml"/>
  <Override ContentType="application/vnd.openxmlformats-officedocument.spreadsheetml.worksheet+xml" PartName="/xl/worksheets/sheet9242.xml"/>
  <Override ContentType="application/vnd.openxmlformats-officedocument.spreadsheetml.worksheet+xml" PartName="/xl/worksheets/sheet9243.xml"/>
  <Override ContentType="application/vnd.openxmlformats-officedocument.spreadsheetml.worksheet+xml" PartName="/xl/worksheets/sheet9244.xml"/>
  <Override ContentType="application/vnd.openxmlformats-officedocument.spreadsheetml.worksheet+xml" PartName="/xl/worksheets/sheet9245.xml"/>
  <Override ContentType="application/vnd.openxmlformats-officedocument.spreadsheetml.worksheet+xml" PartName="/xl/worksheets/sheet9246.xml"/>
  <Override ContentType="application/vnd.openxmlformats-officedocument.spreadsheetml.worksheet+xml" PartName="/xl/worksheets/sheet9247.xml"/>
  <Override ContentType="application/vnd.openxmlformats-officedocument.spreadsheetml.worksheet+xml" PartName="/xl/worksheets/sheet9248.xml"/>
  <Override ContentType="application/vnd.openxmlformats-officedocument.spreadsheetml.worksheet+xml" PartName="/xl/worksheets/sheet9249.xml"/>
  <Override ContentType="application/vnd.openxmlformats-officedocument.spreadsheetml.worksheet+xml" PartName="/xl/worksheets/sheet9250.xml"/>
  <Override ContentType="application/vnd.openxmlformats-officedocument.spreadsheetml.worksheet+xml" PartName="/xl/worksheets/sheet9251.xml"/>
  <Override ContentType="application/vnd.openxmlformats-officedocument.spreadsheetml.worksheet+xml" PartName="/xl/worksheets/sheet9252.xml"/>
  <Override ContentType="application/vnd.openxmlformats-officedocument.spreadsheetml.worksheet+xml" PartName="/xl/worksheets/sheet9253.xml"/>
  <Override ContentType="application/vnd.openxmlformats-officedocument.spreadsheetml.worksheet+xml" PartName="/xl/worksheets/sheet9254.xml"/>
  <Override ContentType="application/vnd.openxmlformats-officedocument.spreadsheetml.worksheet+xml" PartName="/xl/worksheets/sheet9255.xml"/>
  <Override ContentType="application/vnd.openxmlformats-officedocument.spreadsheetml.worksheet+xml" PartName="/xl/worksheets/sheet9256.xml"/>
  <Override ContentType="application/vnd.openxmlformats-officedocument.spreadsheetml.worksheet+xml" PartName="/xl/worksheets/sheet9257.xml"/>
  <Override ContentType="application/vnd.openxmlformats-officedocument.spreadsheetml.worksheet+xml" PartName="/xl/worksheets/sheet9258.xml"/>
  <Override ContentType="application/vnd.openxmlformats-officedocument.spreadsheetml.worksheet+xml" PartName="/xl/worksheets/sheet9259.xml"/>
  <Override ContentType="application/vnd.openxmlformats-officedocument.spreadsheetml.worksheet+xml" PartName="/xl/worksheets/sheet9260.xml"/>
  <Override ContentType="application/vnd.openxmlformats-officedocument.spreadsheetml.worksheet+xml" PartName="/xl/worksheets/sheet9261.xml"/>
  <Override ContentType="application/vnd.openxmlformats-officedocument.spreadsheetml.worksheet+xml" PartName="/xl/worksheets/sheet9262.xml"/>
  <Override ContentType="application/vnd.openxmlformats-officedocument.spreadsheetml.worksheet+xml" PartName="/xl/worksheets/sheet9263.xml"/>
  <Override ContentType="application/vnd.openxmlformats-officedocument.spreadsheetml.worksheet+xml" PartName="/xl/worksheets/sheet9264.xml"/>
  <Override ContentType="application/vnd.openxmlformats-officedocument.spreadsheetml.worksheet+xml" PartName="/xl/worksheets/sheet9265.xml"/>
  <Override ContentType="application/vnd.openxmlformats-officedocument.spreadsheetml.worksheet+xml" PartName="/xl/worksheets/sheet9266.xml"/>
  <Override ContentType="application/vnd.openxmlformats-officedocument.spreadsheetml.worksheet+xml" PartName="/xl/worksheets/sheet9267.xml"/>
  <Override ContentType="application/vnd.openxmlformats-officedocument.spreadsheetml.worksheet+xml" PartName="/xl/worksheets/sheet9268.xml"/>
  <Override ContentType="application/vnd.openxmlformats-officedocument.spreadsheetml.worksheet+xml" PartName="/xl/worksheets/sheet9269.xml"/>
  <Override ContentType="application/vnd.openxmlformats-officedocument.spreadsheetml.worksheet+xml" PartName="/xl/worksheets/sheet9270.xml"/>
  <Override ContentType="application/vnd.openxmlformats-officedocument.spreadsheetml.worksheet+xml" PartName="/xl/worksheets/sheet9271.xml"/>
  <Override ContentType="application/vnd.openxmlformats-officedocument.spreadsheetml.worksheet+xml" PartName="/xl/worksheets/sheet9272.xml"/>
  <Override ContentType="application/vnd.openxmlformats-officedocument.spreadsheetml.worksheet+xml" PartName="/xl/worksheets/sheet9273.xml"/>
  <Override ContentType="application/vnd.openxmlformats-officedocument.spreadsheetml.worksheet+xml" PartName="/xl/worksheets/sheet9274.xml"/>
  <Override ContentType="application/vnd.openxmlformats-officedocument.spreadsheetml.worksheet+xml" PartName="/xl/worksheets/sheet9275.xml"/>
  <Override ContentType="application/vnd.openxmlformats-officedocument.spreadsheetml.worksheet+xml" PartName="/xl/worksheets/sheet9276.xml"/>
  <Override ContentType="application/vnd.openxmlformats-officedocument.spreadsheetml.worksheet+xml" PartName="/xl/worksheets/sheet9277.xml"/>
  <Override ContentType="application/vnd.openxmlformats-officedocument.spreadsheetml.worksheet+xml" PartName="/xl/worksheets/sheet9278.xml"/>
  <Override ContentType="application/vnd.openxmlformats-officedocument.spreadsheetml.worksheet+xml" PartName="/xl/worksheets/sheet9279.xml"/>
  <Override ContentType="application/vnd.openxmlformats-officedocument.spreadsheetml.worksheet+xml" PartName="/xl/worksheets/sheet9280.xml"/>
  <Override ContentType="application/vnd.openxmlformats-officedocument.spreadsheetml.worksheet+xml" PartName="/xl/worksheets/sheet9281.xml"/>
  <Override ContentType="application/vnd.openxmlformats-officedocument.spreadsheetml.worksheet+xml" PartName="/xl/worksheets/sheet9282.xml"/>
  <Override ContentType="application/vnd.openxmlformats-officedocument.spreadsheetml.worksheet+xml" PartName="/xl/worksheets/sheet9283.xml"/>
  <Override ContentType="application/vnd.openxmlformats-officedocument.spreadsheetml.worksheet+xml" PartName="/xl/worksheets/sheet9284.xml"/>
  <Override ContentType="application/vnd.openxmlformats-officedocument.spreadsheetml.worksheet+xml" PartName="/xl/worksheets/sheet9285.xml"/>
  <Override ContentType="application/vnd.openxmlformats-officedocument.spreadsheetml.worksheet+xml" PartName="/xl/worksheets/sheet9286.xml"/>
  <Override ContentType="application/vnd.openxmlformats-officedocument.spreadsheetml.worksheet+xml" PartName="/xl/worksheets/sheet9287.xml"/>
  <Override ContentType="application/vnd.openxmlformats-officedocument.spreadsheetml.worksheet+xml" PartName="/xl/worksheets/sheet9288.xml"/>
  <Override ContentType="application/vnd.openxmlformats-officedocument.spreadsheetml.worksheet+xml" PartName="/xl/worksheets/sheet9289.xml"/>
  <Override ContentType="application/vnd.openxmlformats-officedocument.spreadsheetml.worksheet+xml" PartName="/xl/worksheets/sheet9290.xml"/>
  <Override ContentType="application/vnd.openxmlformats-officedocument.spreadsheetml.worksheet+xml" PartName="/xl/worksheets/sheet9291.xml"/>
  <Override ContentType="application/vnd.openxmlformats-officedocument.spreadsheetml.worksheet+xml" PartName="/xl/worksheets/sheet9292.xml"/>
  <Override ContentType="application/vnd.openxmlformats-officedocument.spreadsheetml.worksheet+xml" PartName="/xl/worksheets/sheet9293.xml"/>
  <Override ContentType="application/vnd.openxmlformats-officedocument.spreadsheetml.worksheet+xml" PartName="/xl/worksheets/sheet9294.xml"/>
  <Override ContentType="application/vnd.openxmlformats-officedocument.spreadsheetml.worksheet+xml" PartName="/xl/worksheets/sheet9295.xml"/>
  <Override ContentType="application/vnd.openxmlformats-officedocument.spreadsheetml.worksheet+xml" PartName="/xl/worksheets/sheet9296.xml"/>
  <Override ContentType="application/vnd.openxmlformats-officedocument.spreadsheetml.worksheet+xml" PartName="/xl/worksheets/sheet9297.xml"/>
  <Override ContentType="application/vnd.openxmlformats-officedocument.spreadsheetml.worksheet+xml" PartName="/xl/worksheets/sheet9298.xml"/>
  <Override ContentType="application/vnd.openxmlformats-officedocument.spreadsheetml.worksheet+xml" PartName="/xl/worksheets/sheet9299.xml"/>
  <Override ContentType="application/vnd.openxmlformats-officedocument.spreadsheetml.worksheet+xml" PartName="/xl/worksheets/sheet9300.xml"/>
  <Override ContentType="application/vnd.openxmlformats-officedocument.spreadsheetml.worksheet+xml" PartName="/xl/worksheets/sheet9301.xml"/>
  <Override ContentType="application/vnd.openxmlformats-officedocument.spreadsheetml.worksheet+xml" PartName="/xl/worksheets/sheet9302.xml"/>
  <Override ContentType="application/vnd.openxmlformats-officedocument.spreadsheetml.worksheet+xml" PartName="/xl/worksheets/sheet9303.xml"/>
  <Override ContentType="application/vnd.openxmlformats-officedocument.spreadsheetml.worksheet+xml" PartName="/xl/worksheets/sheet9304.xml"/>
  <Override ContentType="application/vnd.openxmlformats-officedocument.spreadsheetml.worksheet+xml" PartName="/xl/worksheets/sheet9305.xml"/>
  <Override ContentType="application/vnd.openxmlformats-officedocument.spreadsheetml.worksheet+xml" PartName="/xl/worksheets/sheet9306.xml"/>
  <Override ContentType="application/vnd.openxmlformats-officedocument.spreadsheetml.worksheet+xml" PartName="/xl/worksheets/sheet9307.xml"/>
  <Override ContentType="application/vnd.openxmlformats-officedocument.spreadsheetml.worksheet+xml" PartName="/xl/worksheets/sheet9308.xml"/>
  <Override ContentType="application/vnd.openxmlformats-officedocument.spreadsheetml.worksheet+xml" PartName="/xl/worksheets/sheet9309.xml"/>
  <Override ContentType="application/vnd.openxmlformats-officedocument.spreadsheetml.worksheet+xml" PartName="/xl/worksheets/sheet9310.xml"/>
  <Override ContentType="application/vnd.openxmlformats-officedocument.spreadsheetml.worksheet+xml" PartName="/xl/worksheets/sheet9311.xml"/>
  <Override ContentType="application/vnd.openxmlformats-officedocument.spreadsheetml.worksheet+xml" PartName="/xl/worksheets/sheet9312.xml"/>
  <Override ContentType="application/vnd.openxmlformats-officedocument.spreadsheetml.worksheet+xml" PartName="/xl/worksheets/sheet9313.xml"/>
  <Override ContentType="application/vnd.openxmlformats-officedocument.spreadsheetml.worksheet+xml" PartName="/xl/worksheets/sheet9314.xml"/>
  <Override ContentType="application/vnd.openxmlformats-officedocument.spreadsheetml.worksheet+xml" PartName="/xl/worksheets/sheet9315.xml"/>
  <Override ContentType="application/vnd.openxmlformats-officedocument.spreadsheetml.worksheet+xml" PartName="/xl/worksheets/sheet9316.xml"/>
  <Override ContentType="application/vnd.openxmlformats-officedocument.spreadsheetml.worksheet+xml" PartName="/xl/worksheets/sheet9317.xml"/>
  <Override ContentType="application/vnd.openxmlformats-officedocument.spreadsheetml.worksheet+xml" PartName="/xl/worksheets/sheet9318.xml"/>
  <Override ContentType="application/vnd.openxmlformats-officedocument.spreadsheetml.worksheet+xml" PartName="/xl/worksheets/sheet9319.xml"/>
  <Override ContentType="application/vnd.openxmlformats-officedocument.spreadsheetml.worksheet+xml" PartName="/xl/worksheets/sheet9320.xml"/>
  <Override ContentType="application/vnd.openxmlformats-officedocument.spreadsheetml.worksheet+xml" PartName="/xl/worksheets/sheet9321.xml"/>
  <Override ContentType="application/vnd.openxmlformats-officedocument.spreadsheetml.worksheet+xml" PartName="/xl/worksheets/sheet9322.xml"/>
  <Override ContentType="application/vnd.openxmlformats-officedocument.spreadsheetml.worksheet+xml" PartName="/xl/worksheets/sheet9323.xml"/>
  <Override ContentType="application/vnd.openxmlformats-officedocument.spreadsheetml.worksheet+xml" PartName="/xl/worksheets/sheet9324.xml"/>
  <Override ContentType="application/vnd.openxmlformats-officedocument.spreadsheetml.worksheet+xml" PartName="/xl/worksheets/sheet9325.xml"/>
  <Override ContentType="application/vnd.openxmlformats-officedocument.spreadsheetml.worksheet+xml" PartName="/xl/worksheets/sheet9326.xml"/>
  <Override ContentType="application/vnd.openxmlformats-officedocument.spreadsheetml.worksheet+xml" PartName="/xl/worksheets/sheet9327.xml"/>
  <Override ContentType="application/vnd.openxmlformats-officedocument.spreadsheetml.worksheet+xml" PartName="/xl/worksheets/sheet9328.xml"/>
  <Override ContentType="application/vnd.openxmlformats-officedocument.spreadsheetml.worksheet+xml" PartName="/xl/worksheets/sheet9329.xml"/>
  <Override ContentType="application/vnd.openxmlformats-officedocument.spreadsheetml.worksheet+xml" PartName="/xl/worksheets/sheet9330.xml"/>
  <Override ContentType="application/vnd.openxmlformats-officedocument.spreadsheetml.worksheet+xml" PartName="/xl/worksheets/sheet9331.xml"/>
  <Override ContentType="application/vnd.openxmlformats-officedocument.spreadsheetml.worksheet+xml" PartName="/xl/worksheets/sheet9332.xml"/>
  <Override ContentType="application/vnd.openxmlformats-officedocument.spreadsheetml.worksheet+xml" PartName="/xl/worksheets/sheet9333.xml"/>
  <Override ContentType="application/vnd.openxmlformats-officedocument.spreadsheetml.worksheet+xml" PartName="/xl/worksheets/sheet9334.xml"/>
  <Override ContentType="application/vnd.openxmlformats-officedocument.spreadsheetml.worksheet+xml" PartName="/xl/worksheets/sheet9335.xml"/>
  <Override ContentType="application/vnd.openxmlformats-officedocument.spreadsheetml.worksheet+xml" PartName="/xl/worksheets/sheet9336.xml"/>
  <Override ContentType="application/vnd.openxmlformats-officedocument.spreadsheetml.worksheet+xml" PartName="/xl/worksheets/sheet9337.xml"/>
  <Override ContentType="application/vnd.openxmlformats-officedocument.spreadsheetml.worksheet+xml" PartName="/xl/worksheets/sheet9338.xml"/>
  <Override ContentType="application/vnd.openxmlformats-officedocument.spreadsheetml.worksheet+xml" PartName="/xl/worksheets/sheet9339.xml"/>
  <Override ContentType="application/vnd.openxmlformats-officedocument.spreadsheetml.worksheet+xml" PartName="/xl/worksheets/sheet9340.xml"/>
  <Override ContentType="application/vnd.openxmlformats-officedocument.spreadsheetml.worksheet+xml" PartName="/xl/worksheets/sheet9341.xml"/>
  <Override ContentType="application/vnd.openxmlformats-officedocument.spreadsheetml.worksheet+xml" PartName="/xl/worksheets/sheet9342.xml"/>
  <Override ContentType="application/vnd.openxmlformats-officedocument.spreadsheetml.worksheet+xml" PartName="/xl/worksheets/sheet9343.xml"/>
  <Override ContentType="application/vnd.openxmlformats-officedocument.spreadsheetml.worksheet+xml" PartName="/xl/worksheets/sheet9344.xml"/>
  <Override ContentType="application/vnd.openxmlformats-officedocument.spreadsheetml.worksheet+xml" PartName="/xl/worksheets/sheet9345.xml"/>
  <Override ContentType="application/vnd.openxmlformats-officedocument.spreadsheetml.worksheet+xml" PartName="/xl/worksheets/sheet9346.xml"/>
  <Override ContentType="application/vnd.openxmlformats-officedocument.spreadsheetml.worksheet+xml" PartName="/xl/worksheets/sheet9347.xml"/>
  <Override ContentType="application/vnd.openxmlformats-officedocument.spreadsheetml.worksheet+xml" PartName="/xl/worksheets/sheet9348.xml"/>
  <Override ContentType="application/vnd.openxmlformats-officedocument.spreadsheetml.worksheet+xml" PartName="/xl/worksheets/sheet9349.xml"/>
  <Override ContentType="application/vnd.openxmlformats-officedocument.spreadsheetml.worksheet+xml" PartName="/xl/worksheets/sheet9350.xml"/>
  <Override ContentType="application/vnd.openxmlformats-officedocument.spreadsheetml.worksheet+xml" PartName="/xl/worksheets/sheet9351.xml"/>
  <Override ContentType="application/vnd.openxmlformats-officedocument.spreadsheetml.worksheet+xml" PartName="/xl/worksheets/sheet9352.xml"/>
  <Override ContentType="application/vnd.openxmlformats-officedocument.spreadsheetml.worksheet+xml" PartName="/xl/worksheets/sheet9353.xml"/>
  <Override ContentType="application/vnd.openxmlformats-officedocument.spreadsheetml.worksheet+xml" PartName="/xl/worksheets/sheet9354.xml"/>
  <Override ContentType="application/vnd.openxmlformats-officedocument.spreadsheetml.worksheet+xml" PartName="/xl/worksheets/sheet9355.xml"/>
  <Override ContentType="application/vnd.openxmlformats-officedocument.spreadsheetml.worksheet+xml" PartName="/xl/worksheets/sheet9356.xml"/>
  <Override ContentType="application/vnd.openxmlformats-officedocument.spreadsheetml.worksheet+xml" PartName="/xl/worksheets/sheet9357.xml"/>
  <Override ContentType="application/vnd.openxmlformats-officedocument.spreadsheetml.worksheet+xml" PartName="/xl/worksheets/sheet9358.xml"/>
  <Override ContentType="application/vnd.openxmlformats-officedocument.spreadsheetml.worksheet+xml" PartName="/xl/worksheets/sheet9359.xml"/>
  <Override ContentType="application/vnd.openxmlformats-officedocument.spreadsheetml.worksheet+xml" PartName="/xl/worksheets/sheet9360.xml"/>
  <Override ContentType="application/vnd.openxmlformats-officedocument.spreadsheetml.worksheet+xml" PartName="/xl/worksheets/sheet9361.xml"/>
  <Override ContentType="application/vnd.openxmlformats-officedocument.spreadsheetml.worksheet+xml" PartName="/xl/worksheets/sheet9362.xml"/>
  <Override ContentType="application/vnd.openxmlformats-officedocument.spreadsheetml.worksheet+xml" PartName="/xl/worksheets/sheet9363.xml"/>
  <Override ContentType="application/vnd.openxmlformats-officedocument.spreadsheetml.worksheet+xml" PartName="/xl/worksheets/sheet9364.xml"/>
  <Override ContentType="application/vnd.openxmlformats-officedocument.spreadsheetml.worksheet+xml" PartName="/xl/worksheets/sheet9365.xml"/>
  <Override ContentType="application/vnd.openxmlformats-officedocument.spreadsheetml.worksheet+xml" PartName="/xl/worksheets/sheet9366.xml"/>
  <Override ContentType="application/vnd.openxmlformats-officedocument.spreadsheetml.worksheet+xml" PartName="/xl/worksheets/sheet9367.xml"/>
  <Override ContentType="application/vnd.openxmlformats-officedocument.spreadsheetml.worksheet+xml" PartName="/xl/worksheets/sheet9368.xml"/>
  <Override ContentType="application/vnd.openxmlformats-officedocument.spreadsheetml.worksheet+xml" PartName="/xl/worksheets/sheet9369.xml"/>
  <Override ContentType="application/vnd.openxmlformats-officedocument.spreadsheetml.worksheet+xml" PartName="/xl/worksheets/sheet9370.xml"/>
  <Override ContentType="application/vnd.openxmlformats-officedocument.spreadsheetml.worksheet+xml" PartName="/xl/worksheets/sheet9371.xml"/>
  <Override ContentType="application/vnd.openxmlformats-officedocument.spreadsheetml.worksheet+xml" PartName="/xl/worksheets/sheet9372.xml"/>
  <Override ContentType="application/vnd.openxmlformats-officedocument.spreadsheetml.worksheet+xml" PartName="/xl/worksheets/sheet9373.xml"/>
  <Override ContentType="application/vnd.openxmlformats-officedocument.spreadsheetml.worksheet+xml" PartName="/xl/worksheets/sheet9374.xml"/>
  <Override ContentType="application/vnd.openxmlformats-officedocument.spreadsheetml.worksheet+xml" PartName="/xl/worksheets/sheet9375.xml"/>
  <Override ContentType="application/vnd.openxmlformats-officedocument.spreadsheetml.worksheet+xml" PartName="/xl/worksheets/sheet9376.xml"/>
  <Override ContentType="application/vnd.openxmlformats-officedocument.spreadsheetml.worksheet+xml" PartName="/xl/worksheets/sheet9377.xml"/>
  <Override ContentType="application/vnd.openxmlformats-officedocument.spreadsheetml.worksheet+xml" PartName="/xl/worksheets/sheet9378.xml"/>
  <Override ContentType="application/vnd.openxmlformats-officedocument.spreadsheetml.worksheet+xml" PartName="/xl/worksheets/sheet9379.xml"/>
  <Override ContentType="application/vnd.openxmlformats-officedocument.spreadsheetml.worksheet+xml" PartName="/xl/worksheets/sheet9380.xml"/>
  <Override ContentType="application/vnd.openxmlformats-officedocument.spreadsheetml.worksheet+xml" PartName="/xl/worksheets/sheet9381.xml"/>
  <Override ContentType="application/vnd.openxmlformats-officedocument.spreadsheetml.worksheet+xml" PartName="/xl/worksheets/sheet9382.xml"/>
  <Override ContentType="application/vnd.openxmlformats-officedocument.spreadsheetml.worksheet+xml" PartName="/xl/worksheets/sheet9383.xml"/>
  <Override ContentType="application/vnd.openxmlformats-officedocument.spreadsheetml.worksheet+xml" PartName="/xl/worksheets/sheet9384.xml"/>
  <Override ContentType="application/vnd.openxmlformats-officedocument.spreadsheetml.worksheet+xml" PartName="/xl/worksheets/sheet9385.xml"/>
  <Override ContentType="application/vnd.openxmlformats-officedocument.spreadsheetml.worksheet+xml" PartName="/xl/worksheets/sheet9386.xml"/>
  <Override ContentType="application/vnd.openxmlformats-officedocument.spreadsheetml.worksheet+xml" PartName="/xl/worksheets/sheet9387.xml"/>
  <Override ContentType="application/vnd.openxmlformats-officedocument.spreadsheetml.worksheet+xml" PartName="/xl/worksheets/sheet9388.xml"/>
  <Override ContentType="application/vnd.openxmlformats-officedocument.spreadsheetml.worksheet+xml" PartName="/xl/worksheets/sheet9389.xml"/>
  <Override ContentType="application/vnd.openxmlformats-officedocument.spreadsheetml.worksheet+xml" PartName="/xl/worksheets/sheet9390.xml"/>
  <Override ContentType="application/vnd.openxmlformats-officedocument.spreadsheetml.worksheet+xml" PartName="/xl/worksheets/sheet9391.xml"/>
  <Override ContentType="application/vnd.openxmlformats-officedocument.spreadsheetml.worksheet+xml" PartName="/xl/worksheets/sheet9392.xml"/>
  <Override ContentType="application/vnd.openxmlformats-officedocument.spreadsheetml.worksheet+xml" PartName="/xl/worksheets/sheet9393.xml"/>
  <Override ContentType="application/vnd.openxmlformats-officedocument.spreadsheetml.worksheet+xml" PartName="/xl/worksheets/sheet9394.xml"/>
  <Override ContentType="application/vnd.openxmlformats-officedocument.spreadsheetml.worksheet+xml" PartName="/xl/worksheets/sheet9395.xml"/>
  <Override ContentType="application/vnd.openxmlformats-officedocument.spreadsheetml.worksheet+xml" PartName="/xl/worksheets/sheet9396.xml"/>
  <Override ContentType="application/vnd.openxmlformats-officedocument.spreadsheetml.worksheet+xml" PartName="/xl/worksheets/sheet9397.xml"/>
  <Override ContentType="application/vnd.openxmlformats-officedocument.spreadsheetml.worksheet+xml" PartName="/xl/worksheets/sheet9398.xml"/>
  <Override ContentType="application/vnd.openxmlformats-officedocument.spreadsheetml.worksheet+xml" PartName="/xl/worksheets/sheet9399.xml"/>
  <Override ContentType="application/vnd.openxmlformats-officedocument.spreadsheetml.worksheet+xml" PartName="/xl/worksheets/sheet9400.xml"/>
  <Override ContentType="application/vnd.openxmlformats-officedocument.spreadsheetml.worksheet+xml" PartName="/xl/worksheets/sheet9401.xml"/>
  <Override ContentType="application/vnd.openxmlformats-officedocument.spreadsheetml.worksheet+xml" PartName="/xl/worksheets/sheet9402.xml"/>
  <Override ContentType="application/vnd.openxmlformats-officedocument.spreadsheetml.worksheet+xml" PartName="/xl/worksheets/sheet9403.xml"/>
  <Override ContentType="application/vnd.openxmlformats-officedocument.spreadsheetml.worksheet+xml" PartName="/xl/worksheets/sheet9404.xml"/>
  <Override ContentType="application/vnd.openxmlformats-officedocument.spreadsheetml.worksheet+xml" PartName="/xl/worksheets/sheet9405.xml"/>
  <Override ContentType="application/vnd.openxmlformats-officedocument.spreadsheetml.worksheet+xml" PartName="/xl/worksheets/sheet9406.xml"/>
  <Override ContentType="application/vnd.openxmlformats-officedocument.spreadsheetml.worksheet+xml" PartName="/xl/worksheets/sheet9407.xml"/>
  <Override ContentType="application/vnd.openxmlformats-officedocument.spreadsheetml.worksheet+xml" PartName="/xl/worksheets/sheet9408.xml"/>
  <Override ContentType="application/vnd.openxmlformats-officedocument.spreadsheetml.worksheet+xml" PartName="/xl/worksheets/sheet9409.xml"/>
  <Override ContentType="application/vnd.openxmlformats-officedocument.spreadsheetml.worksheet+xml" PartName="/xl/worksheets/sheet9410.xml"/>
  <Override ContentType="application/vnd.openxmlformats-officedocument.spreadsheetml.worksheet+xml" PartName="/xl/worksheets/sheet9411.xml"/>
  <Override ContentType="application/vnd.openxmlformats-officedocument.spreadsheetml.worksheet+xml" PartName="/xl/worksheets/sheet9412.xml"/>
  <Override ContentType="application/vnd.openxmlformats-officedocument.spreadsheetml.worksheet+xml" PartName="/xl/worksheets/sheet9413.xml"/>
  <Override ContentType="application/vnd.openxmlformats-officedocument.spreadsheetml.worksheet+xml" PartName="/xl/worksheets/sheet9414.xml"/>
  <Override ContentType="application/vnd.openxmlformats-officedocument.spreadsheetml.worksheet+xml" PartName="/xl/worksheets/sheet9415.xml"/>
  <Override ContentType="application/vnd.openxmlformats-officedocument.spreadsheetml.worksheet+xml" PartName="/xl/worksheets/sheet9416.xml"/>
  <Override ContentType="application/vnd.openxmlformats-officedocument.spreadsheetml.worksheet+xml" PartName="/xl/worksheets/sheet9417.xml"/>
  <Override ContentType="application/vnd.openxmlformats-officedocument.spreadsheetml.worksheet+xml" PartName="/xl/worksheets/sheet9418.xml"/>
  <Override ContentType="application/vnd.openxmlformats-officedocument.spreadsheetml.worksheet+xml" PartName="/xl/worksheets/sheet9419.xml"/>
  <Override ContentType="application/vnd.openxmlformats-officedocument.spreadsheetml.worksheet+xml" PartName="/xl/worksheets/sheet9420.xml"/>
  <Override ContentType="application/vnd.openxmlformats-officedocument.spreadsheetml.worksheet+xml" PartName="/xl/worksheets/sheet9421.xml"/>
  <Override ContentType="application/vnd.openxmlformats-officedocument.spreadsheetml.worksheet+xml" PartName="/xl/worksheets/sheet9422.xml"/>
  <Override ContentType="application/vnd.openxmlformats-officedocument.spreadsheetml.worksheet+xml" PartName="/xl/worksheets/sheet9423.xml"/>
  <Override ContentType="application/vnd.openxmlformats-officedocument.spreadsheetml.worksheet+xml" PartName="/xl/worksheets/sheet9424.xml"/>
  <Override ContentType="application/vnd.openxmlformats-officedocument.spreadsheetml.worksheet+xml" PartName="/xl/worksheets/sheet9425.xml"/>
  <Override ContentType="application/vnd.openxmlformats-officedocument.spreadsheetml.worksheet+xml" PartName="/xl/worksheets/sheet9426.xml"/>
  <Override ContentType="application/vnd.openxmlformats-officedocument.spreadsheetml.worksheet+xml" PartName="/xl/worksheets/sheet9427.xml"/>
  <Override ContentType="application/vnd.openxmlformats-officedocument.spreadsheetml.worksheet+xml" PartName="/xl/worksheets/sheet9428.xml"/>
  <Override ContentType="application/vnd.openxmlformats-officedocument.spreadsheetml.worksheet+xml" PartName="/xl/worksheets/sheet9429.xml"/>
  <Override ContentType="application/vnd.openxmlformats-officedocument.spreadsheetml.worksheet+xml" PartName="/xl/worksheets/sheet9430.xml"/>
  <Override ContentType="application/vnd.openxmlformats-officedocument.spreadsheetml.worksheet+xml" PartName="/xl/worksheets/sheet9431.xml"/>
  <Override ContentType="application/vnd.openxmlformats-officedocument.spreadsheetml.worksheet+xml" PartName="/xl/worksheets/sheet9432.xml"/>
  <Override ContentType="application/vnd.openxmlformats-officedocument.spreadsheetml.worksheet+xml" PartName="/xl/worksheets/sheet9433.xml"/>
  <Override ContentType="application/vnd.openxmlformats-officedocument.spreadsheetml.worksheet+xml" PartName="/xl/worksheets/sheet9434.xml"/>
  <Override ContentType="application/vnd.openxmlformats-officedocument.spreadsheetml.worksheet+xml" PartName="/xl/worksheets/sheet9435.xml"/>
  <Override ContentType="application/vnd.openxmlformats-officedocument.spreadsheetml.worksheet+xml" PartName="/xl/worksheets/sheet9436.xml"/>
  <Override ContentType="application/vnd.openxmlformats-officedocument.spreadsheetml.worksheet+xml" PartName="/xl/worksheets/sheet9437.xml"/>
  <Override ContentType="application/vnd.openxmlformats-officedocument.spreadsheetml.worksheet+xml" PartName="/xl/worksheets/sheet9438.xml"/>
  <Override ContentType="application/vnd.openxmlformats-officedocument.spreadsheetml.worksheet+xml" PartName="/xl/worksheets/sheet9439.xml"/>
  <Override ContentType="application/vnd.openxmlformats-officedocument.spreadsheetml.worksheet+xml" PartName="/xl/worksheets/sheet9440.xml"/>
  <Override ContentType="application/vnd.openxmlformats-officedocument.spreadsheetml.worksheet+xml" PartName="/xl/worksheets/sheet9441.xml"/>
  <Override ContentType="application/vnd.openxmlformats-officedocument.spreadsheetml.worksheet+xml" PartName="/xl/worksheets/sheet9442.xml"/>
  <Override ContentType="application/vnd.openxmlformats-officedocument.spreadsheetml.worksheet+xml" PartName="/xl/worksheets/sheet9443.xml"/>
  <Override ContentType="application/vnd.openxmlformats-officedocument.spreadsheetml.worksheet+xml" PartName="/xl/worksheets/sheet9444.xml"/>
  <Override ContentType="application/vnd.openxmlformats-officedocument.spreadsheetml.worksheet+xml" PartName="/xl/worksheets/sheet9445.xml"/>
  <Override ContentType="application/vnd.openxmlformats-officedocument.spreadsheetml.worksheet+xml" PartName="/xl/worksheets/sheet9446.xml"/>
  <Override ContentType="application/vnd.openxmlformats-officedocument.spreadsheetml.worksheet+xml" PartName="/xl/worksheets/sheet9447.xml"/>
  <Override ContentType="application/vnd.openxmlformats-officedocument.spreadsheetml.worksheet+xml" PartName="/xl/worksheets/sheet9448.xml"/>
  <Override ContentType="application/vnd.openxmlformats-officedocument.spreadsheetml.worksheet+xml" PartName="/xl/worksheets/sheet9449.xml"/>
  <Override ContentType="application/vnd.openxmlformats-officedocument.spreadsheetml.worksheet+xml" PartName="/xl/worksheets/sheet9450.xml"/>
  <Override ContentType="application/vnd.openxmlformats-officedocument.spreadsheetml.worksheet+xml" PartName="/xl/worksheets/sheet9451.xml"/>
  <Override ContentType="application/vnd.openxmlformats-officedocument.spreadsheetml.worksheet+xml" PartName="/xl/worksheets/sheet9452.xml"/>
  <Override ContentType="application/vnd.openxmlformats-officedocument.spreadsheetml.worksheet+xml" PartName="/xl/worksheets/sheet9453.xml"/>
  <Override ContentType="application/vnd.openxmlformats-officedocument.spreadsheetml.worksheet+xml" PartName="/xl/worksheets/sheet9454.xml"/>
  <Override ContentType="application/vnd.openxmlformats-officedocument.spreadsheetml.worksheet+xml" PartName="/xl/worksheets/sheet9455.xml"/>
  <Override ContentType="application/vnd.openxmlformats-officedocument.spreadsheetml.worksheet+xml" PartName="/xl/worksheets/sheet9456.xml"/>
  <Override ContentType="application/vnd.openxmlformats-officedocument.spreadsheetml.worksheet+xml" PartName="/xl/worksheets/sheet9457.xml"/>
  <Override ContentType="application/vnd.openxmlformats-officedocument.spreadsheetml.worksheet+xml" PartName="/xl/worksheets/sheet9458.xml"/>
  <Override ContentType="application/vnd.openxmlformats-officedocument.spreadsheetml.worksheet+xml" PartName="/xl/worksheets/sheet9459.xml"/>
  <Override ContentType="application/vnd.openxmlformats-officedocument.spreadsheetml.worksheet+xml" PartName="/xl/worksheets/sheet9460.xml"/>
  <Override ContentType="application/vnd.openxmlformats-officedocument.spreadsheetml.worksheet+xml" PartName="/xl/worksheets/sheet9461.xml"/>
  <Override ContentType="application/vnd.openxmlformats-officedocument.spreadsheetml.worksheet+xml" PartName="/xl/worksheets/sheet9462.xml"/>
  <Override ContentType="application/vnd.openxmlformats-officedocument.spreadsheetml.worksheet+xml" PartName="/xl/worksheets/sheet9463.xml"/>
  <Override ContentType="application/vnd.openxmlformats-officedocument.spreadsheetml.worksheet+xml" PartName="/xl/worksheets/sheet9464.xml"/>
  <Override ContentType="application/vnd.openxmlformats-officedocument.spreadsheetml.worksheet+xml" PartName="/xl/worksheets/sheet9465.xml"/>
  <Override ContentType="application/vnd.openxmlformats-officedocument.spreadsheetml.worksheet+xml" PartName="/xl/worksheets/sheet9466.xml"/>
  <Override ContentType="application/vnd.openxmlformats-officedocument.spreadsheetml.worksheet+xml" PartName="/xl/worksheets/sheet9467.xml"/>
  <Override ContentType="application/vnd.openxmlformats-officedocument.spreadsheetml.worksheet+xml" PartName="/xl/worksheets/sheet9468.xml"/>
  <Override ContentType="application/vnd.openxmlformats-officedocument.spreadsheetml.worksheet+xml" PartName="/xl/worksheets/sheet9469.xml"/>
  <Override ContentType="application/vnd.openxmlformats-officedocument.spreadsheetml.worksheet+xml" PartName="/xl/worksheets/sheet9470.xml"/>
  <Override ContentType="application/vnd.openxmlformats-officedocument.spreadsheetml.worksheet+xml" PartName="/xl/worksheets/sheet9471.xml"/>
  <Override ContentType="application/vnd.openxmlformats-officedocument.spreadsheetml.worksheet+xml" PartName="/xl/worksheets/sheet9472.xml"/>
  <Override ContentType="application/vnd.openxmlformats-officedocument.spreadsheetml.worksheet+xml" PartName="/xl/worksheets/sheet9473.xml"/>
  <Override ContentType="application/vnd.openxmlformats-officedocument.spreadsheetml.worksheet+xml" PartName="/xl/worksheets/sheet9474.xml"/>
  <Override ContentType="application/vnd.openxmlformats-officedocument.spreadsheetml.worksheet+xml" PartName="/xl/worksheets/sheet9475.xml"/>
  <Override ContentType="application/vnd.openxmlformats-officedocument.spreadsheetml.worksheet+xml" PartName="/xl/worksheets/sheet9476.xml"/>
  <Override ContentType="application/vnd.openxmlformats-officedocument.spreadsheetml.worksheet+xml" PartName="/xl/worksheets/sheet9477.xml"/>
  <Override ContentType="application/vnd.openxmlformats-officedocument.spreadsheetml.worksheet+xml" PartName="/xl/worksheets/sheet9478.xml"/>
  <Override ContentType="application/vnd.openxmlformats-officedocument.spreadsheetml.worksheet+xml" PartName="/xl/worksheets/sheet9479.xml"/>
  <Override ContentType="application/vnd.openxmlformats-officedocument.spreadsheetml.worksheet+xml" PartName="/xl/worksheets/sheet9480.xml"/>
  <Override ContentType="application/vnd.openxmlformats-officedocument.spreadsheetml.worksheet+xml" PartName="/xl/worksheets/sheet9481.xml"/>
  <Override ContentType="application/vnd.openxmlformats-officedocument.spreadsheetml.worksheet+xml" PartName="/xl/worksheets/sheet9482.xml"/>
  <Override ContentType="application/vnd.openxmlformats-officedocument.spreadsheetml.worksheet+xml" PartName="/xl/worksheets/sheet9483.xml"/>
  <Override ContentType="application/vnd.openxmlformats-officedocument.spreadsheetml.worksheet+xml" PartName="/xl/worksheets/sheet9484.xml"/>
  <Override ContentType="application/vnd.openxmlformats-officedocument.spreadsheetml.worksheet+xml" PartName="/xl/worksheets/sheet9485.xml"/>
  <Override ContentType="application/vnd.openxmlformats-officedocument.spreadsheetml.worksheet+xml" PartName="/xl/worksheets/sheet9486.xml"/>
  <Override ContentType="application/vnd.openxmlformats-officedocument.spreadsheetml.worksheet+xml" PartName="/xl/worksheets/sheet9487.xml"/>
  <Override ContentType="application/vnd.openxmlformats-officedocument.spreadsheetml.worksheet+xml" PartName="/xl/worksheets/sheet9488.xml"/>
  <Override ContentType="application/vnd.openxmlformats-officedocument.spreadsheetml.worksheet+xml" PartName="/xl/worksheets/sheet9489.xml"/>
  <Override ContentType="application/vnd.openxmlformats-officedocument.spreadsheetml.worksheet+xml" PartName="/xl/worksheets/sheet9490.xml"/>
  <Override ContentType="application/vnd.openxmlformats-officedocument.spreadsheetml.worksheet+xml" PartName="/xl/worksheets/sheet9491.xml"/>
  <Override ContentType="application/vnd.openxmlformats-officedocument.spreadsheetml.worksheet+xml" PartName="/xl/worksheets/sheet9492.xml"/>
  <Override ContentType="application/vnd.openxmlformats-officedocument.spreadsheetml.worksheet+xml" PartName="/xl/worksheets/sheet9493.xml"/>
  <Override ContentType="application/vnd.openxmlformats-officedocument.spreadsheetml.worksheet+xml" PartName="/xl/worksheets/sheet9494.xml"/>
  <Override ContentType="application/vnd.openxmlformats-officedocument.spreadsheetml.worksheet+xml" PartName="/xl/worksheets/sheet9495.xml"/>
  <Override ContentType="application/vnd.openxmlformats-officedocument.spreadsheetml.worksheet+xml" PartName="/xl/worksheets/sheet9496.xml"/>
  <Override ContentType="application/vnd.openxmlformats-officedocument.spreadsheetml.worksheet+xml" PartName="/xl/worksheets/sheet9497.xml"/>
  <Override ContentType="application/vnd.openxmlformats-officedocument.spreadsheetml.worksheet+xml" PartName="/xl/worksheets/sheet9498.xml"/>
  <Override ContentType="application/vnd.openxmlformats-officedocument.spreadsheetml.worksheet+xml" PartName="/xl/worksheets/sheet9499.xml"/>
  <Override ContentType="application/vnd.openxmlformats-officedocument.spreadsheetml.worksheet+xml" PartName="/xl/worksheets/sheet9500.xml"/>
  <Override ContentType="application/vnd.openxmlformats-officedocument.spreadsheetml.worksheet+xml" PartName="/xl/worksheets/sheet9501.xml"/>
  <Override ContentType="application/vnd.openxmlformats-officedocument.spreadsheetml.worksheet+xml" PartName="/xl/worksheets/sheet9502.xml"/>
  <Override ContentType="application/vnd.openxmlformats-officedocument.spreadsheetml.worksheet+xml" PartName="/xl/worksheets/sheet9503.xml"/>
  <Override ContentType="application/vnd.openxmlformats-officedocument.spreadsheetml.worksheet+xml" PartName="/xl/worksheets/sheet9504.xml"/>
  <Override ContentType="application/vnd.openxmlformats-officedocument.spreadsheetml.worksheet+xml" PartName="/xl/worksheets/sheet9505.xml"/>
  <Override ContentType="application/vnd.openxmlformats-officedocument.spreadsheetml.worksheet+xml" PartName="/xl/worksheets/sheet9506.xml"/>
  <Override ContentType="application/vnd.openxmlformats-officedocument.spreadsheetml.worksheet+xml" PartName="/xl/worksheets/sheet9507.xml"/>
  <Override ContentType="application/vnd.openxmlformats-officedocument.spreadsheetml.worksheet+xml" PartName="/xl/worksheets/sheet9508.xml"/>
  <Override ContentType="application/vnd.openxmlformats-officedocument.spreadsheetml.worksheet+xml" PartName="/xl/worksheets/sheet9509.xml"/>
  <Override ContentType="application/vnd.openxmlformats-officedocument.spreadsheetml.worksheet+xml" PartName="/xl/worksheets/sheet9510.xml"/>
  <Override ContentType="application/vnd.openxmlformats-officedocument.spreadsheetml.worksheet+xml" PartName="/xl/worksheets/sheet9511.xml"/>
  <Override ContentType="application/vnd.openxmlformats-officedocument.spreadsheetml.worksheet+xml" PartName="/xl/worksheets/sheet9512.xml"/>
  <Override ContentType="application/vnd.openxmlformats-officedocument.spreadsheetml.worksheet+xml" PartName="/xl/worksheets/sheet9513.xml"/>
  <Override ContentType="application/vnd.openxmlformats-officedocument.spreadsheetml.worksheet+xml" PartName="/xl/worksheets/sheet9514.xml"/>
  <Override ContentType="application/vnd.openxmlformats-officedocument.spreadsheetml.worksheet+xml" PartName="/xl/worksheets/sheet9515.xml"/>
  <Override ContentType="application/vnd.openxmlformats-officedocument.spreadsheetml.worksheet+xml" PartName="/xl/worksheets/sheet9516.xml"/>
  <Override ContentType="application/vnd.openxmlformats-officedocument.spreadsheetml.worksheet+xml" PartName="/xl/worksheets/sheet9517.xml"/>
  <Override ContentType="application/vnd.openxmlformats-officedocument.spreadsheetml.worksheet+xml" PartName="/xl/worksheets/sheet9518.xml"/>
  <Override ContentType="application/vnd.openxmlformats-officedocument.spreadsheetml.worksheet+xml" PartName="/xl/worksheets/sheet9519.xml"/>
  <Override ContentType="application/vnd.openxmlformats-officedocument.spreadsheetml.worksheet+xml" PartName="/xl/worksheets/sheet9520.xml"/>
  <Override ContentType="application/vnd.openxmlformats-officedocument.spreadsheetml.worksheet+xml" PartName="/xl/worksheets/sheet9521.xml"/>
  <Override ContentType="application/vnd.openxmlformats-officedocument.spreadsheetml.worksheet+xml" PartName="/xl/worksheets/sheet9522.xml"/>
  <Override ContentType="application/vnd.openxmlformats-officedocument.spreadsheetml.worksheet+xml" PartName="/xl/worksheets/sheet9523.xml"/>
  <Override ContentType="application/vnd.openxmlformats-officedocument.spreadsheetml.worksheet+xml" PartName="/xl/worksheets/sheet9524.xml"/>
  <Override ContentType="application/vnd.openxmlformats-officedocument.spreadsheetml.worksheet+xml" PartName="/xl/worksheets/sheet9525.xml"/>
  <Override ContentType="application/vnd.openxmlformats-officedocument.spreadsheetml.worksheet+xml" PartName="/xl/worksheets/sheet9526.xml"/>
  <Override ContentType="application/vnd.openxmlformats-officedocument.spreadsheetml.worksheet+xml" PartName="/xl/worksheets/sheet9527.xml"/>
  <Override ContentType="application/vnd.openxmlformats-officedocument.spreadsheetml.worksheet+xml" PartName="/xl/worksheets/sheet9528.xml"/>
  <Override ContentType="application/vnd.openxmlformats-officedocument.spreadsheetml.worksheet+xml" PartName="/xl/worksheets/sheet9529.xml"/>
  <Override ContentType="application/vnd.openxmlformats-officedocument.spreadsheetml.worksheet+xml" PartName="/xl/worksheets/sheet9530.xml"/>
  <Override ContentType="application/vnd.openxmlformats-officedocument.spreadsheetml.worksheet+xml" PartName="/xl/worksheets/sheet9531.xml"/>
  <Override ContentType="application/vnd.openxmlformats-officedocument.spreadsheetml.worksheet+xml" PartName="/xl/worksheets/sheet9532.xml"/>
  <Override ContentType="application/vnd.openxmlformats-officedocument.spreadsheetml.worksheet+xml" PartName="/xl/worksheets/sheet9533.xml"/>
  <Override ContentType="application/vnd.openxmlformats-officedocument.spreadsheetml.worksheet+xml" PartName="/xl/worksheets/sheet9534.xml"/>
  <Override ContentType="application/vnd.openxmlformats-officedocument.spreadsheetml.worksheet+xml" PartName="/xl/worksheets/sheet9535.xml"/>
  <Override ContentType="application/vnd.openxmlformats-officedocument.spreadsheetml.worksheet+xml" PartName="/xl/worksheets/sheet9536.xml"/>
  <Override ContentType="application/vnd.openxmlformats-officedocument.spreadsheetml.worksheet+xml" PartName="/xl/worksheets/sheet9537.xml"/>
  <Override ContentType="application/vnd.openxmlformats-officedocument.spreadsheetml.worksheet+xml" PartName="/xl/worksheets/sheet9538.xml"/>
  <Override ContentType="application/vnd.openxmlformats-officedocument.spreadsheetml.worksheet+xml" PartName="/xl/worksheets/sheet9539.xml"/>
  <Override ContentType="application/vnd.openxmlformats-officedocument.spreadsheetml.worksheet+xml" PartName="/xl/worksheets/sheet9540.xml"/>
  <Override ContentType="application/vnd.openxmlformats-officedocument.spreadsheetml.worksheet+xml" PartName="/xl/worksheets/sheet9541.xml"/>
  <Override ContentType="application/vnd.openxmlformats-officedocument.spreadsheetml.worksheet+xml" PartName="/xl/worksheets/sheet9542.xml"/>
  <Override ContentType="application/vnd.openxmlformats-officedocument.spreadsheetml.worksheet+xml" PartName="/xl/worksheets/sheet9543.xml"/>
  <Override ContentType="application/vnd.openxmlformats-officedocument.spreadsheetml.worksheet+xml" PartName="/xl/worksheets/sheet9544.xml"/>
  <Override ContentType="application/vnd.openxmlformats-officedocument.spreadsheetml.worksheet+xml" PartName="/xl/worksheets/sheet9545.xml"/>
  <Override ContentType="application/vnd.openxmlformats-officedocument.spreadsheetml.worksheet+xml" PartName="/xl/worksheets/sheet9546.xml"/>
  <Override ContentType="application/vnd.openxmlformats-officedocument.spreadsheetml.worksheet+xml" PartName="/xl/worksheets/sheet9547.xml"/>
  <Override ContentType="application/vnd.openxmlformats-officedocument.spreadsheetml.worksheet+xml" PartName="/xl/worksheets/sheet9548.xml"/>
  <Override ContentType="application/vnd.openxmlformats-officedocument.spreadsheetml.worksheet+xml" PartName="/xl/worksheets/sheet9549.xml"/>
  <Override ContentType="application/vnd.openxmlformats-officedocument.spreadsheetml.worksheet+xml" PartName="/xl/worksheets/sheet9550.xml"/>
  <Override ContentType="application/vnd.openxmlformats-officedocument.spreadsheetml.worksheet+xml" PartName="/xl/worksheets/sheet9551.xml"/>
  <Override ContentType="application/vnd.openxmlformats-officedocument.spreadsheetml.worksheet+xml" PartName="/xl/worksheets/sheet9552.xml"/>
  <Override ContentType="application/vnd.openxmlformats-officedocument.spreadsheetml.worksheet+xml" PartName="/xl/worksheets/sheet9553.xml"/>
  <Override ContentType="application/vnd.openxmlformats-officedocument.spreadsheetml.worksheet+xml" PartName="/xl/worksheets/sheet9554.xml"/>
  <Override ContentType="application/vnd.openxmlformats-officedocument.spreadsheetml.worksheet+xml" PartName="/xl/worksheets/sheet9555.xml"/>
  <Override ContentType="application/vnd.openxmlformats-officedocument.spreadsheetml.worksheet+xml" PartName="/xl/worksheets/sheet9556.xml"/>
  <Override ContentType="application/vnd.openxmlformats-officedocument.spreadsheetml.worksheet+xml" PartName="/xl/worksheets/sheet9557.xml"/>
  <Override ContentType="application/vnd.openxmlformats-officedocument.spreadsheetml.worksheet+xml" PartName="/xl/worksheets/sheet9558.xml"/>
  <Override ContentType="application/vnd.openxmlformats-officedocument.spreadsheetml.worksheet+xml" PartName="/xl/worksheets/sheet9559.xml"/>
  <Override ContentType="application/vnd.openxmlformats-officedocument.spreadsheetml.worksheet+xml" PartName="/xl/worksheets/sheet9560.xml"/>
  <Override ContentType="application/vnd.openxmlformats-officedocument.spreadsheetml.worksheet+xml" PartName="/xl/worksheets/sheet9561.xml"/>
  <Override ContentType="application/vnd.openxmlformats-officedocument.spreadsheetml.worksheet+xml" PartName="/xl/worksheets/sheet9562.xml"/>
  <Override ContentType="application/vnd.openxmlformats-officedocument.spreadsheetml.worksheet+xml" PartName="/xl/worksheets/sheet9563.xml"/>
  <Override ContentType="application/vnd.openxmlformats-officedocument.spreadsheetml.worksheet+xml" PartName="/xl/worksheets/sheet9564.xml"/>
  <Override ContentType="application/vnd.openxmlformats-officedocument.spreadsheetml.worksheet+xml" PartName="/xl/worksheets/sheet9565.xml"/>
  <Override ContentType="application/vnd.openxmlformats-officedocument.spreadsheetml.worksheet+xml" PartName="/xl/worksheets/sheet9566.xml"/>
  <Override ContentType="application/vnd.openxmlformats-officedocument.spreadsheetml.worksheet+xml" PartName="/xl/worksheets/sheet9567.xml"/>
  <Override ContentType="application/vnd.openxmlformats-officedocument.spreadsheetml.worksheet+xml" PartName="/xl/worksheets/sheet9568.xml"/>
  <Override ContentType="application/vnd.openxmlformats-officedocument.spreadsheetml.worksheet+xml" PartName="/xl/worksheets/sheet9569.xml"/>
  <Override ContentType="application/vnd.openxmlformats-officedocument.spreadsheetml.worksheet+xml" PartName="/xl/worksheets/sheet9570.xml"/>
  <Override ContentType="application/vnd.openxmlformats-officedocument.spreadsheetml.worksheet+xml" PartName="/xl/worksheets/sheet9571.xml"/>
  <Override ContentType="application/vnd.openxmlformats-officedocument.spreadsheetml.worksheet+xml" PartName="/xl/worksheets/sheet9572.xml"/>
  <Override ContentType="application/vnd.openxmlformats-officedocument.spreadsheetml.worksheet+xml" PartName="/xl/worksheets/sheet9573.xml"/>
  <Override ContentType="application/vnd.openxmlformats-officedocument.spreadsheetml.worksheet+xml" PartName="/xl/worksheets/sheet9574.xml"/>
  <Override ContentType="application/vnd.openxmlformats-officedocument.spreadsheetml.worksheet+xml" PartName="/xl/worksheets/sheet9575.xml"/>
  <Override ContentType="application/vnd.openxmlformats-officedocument.spreadsheetml.worksheet+xml" PartName="/xl/worksheets/sheet9576.xml"/>
  <Override ContentType="application/vnd.openxmlformats-officedocument.spreadsheetml.worksheet+xml" PartName="/xl/worksheets/sheet9577.xml"/>
  <Override ContentType="application/vnd.openxmlformats-officedocument.spreadsheetml.worksheet+xml" PartName="/xl/worksheets/sheet9578.xml"/>
  <Override ContentType="application/vnd.openxmlformats-officedocument.spreadsheetml.worksheet+xml" PartName="/xl/worksheets/sheet9579.xml"/>
  <Override ContentType="application/vnd.openxmlformats-officedocument.spreadsheetml.worksheet+xml" PartName="/xl/worksheets/sheet9580.xml"/>
  <Override ContentType="application/vnd.openxmlformats-officedocument.spreadsheetml.worksheet+xml" PartName="/xl/worksheets/sheet9581.xml"/>
  <Override ContentType="application/vnd.openxmlformats-officedocument.spreadsheetml.worksheet+xml" PartName="/xl/worksheets/sheet9582.xml"/>
  <Override ContentType="application/vnd.openxmlformats-officedocument.spreadsheetml.worksheet+xml" PartName="/xl/worksheets/sheet9583.xml"/>
  <Override ContentType="application/vnd.openxmlformats-officedocument.spreadsheetml.worksheet+xml" PartName="/xl/worksheets/sheet9584.xml"/>
  <Override ContentType="application/vnd.openxmlformats-officedocument.spreadsheetml.worksheet+xml" PartName="/xl/worksheets/sheet9585.xml"/>
  <Override ContentType="application/vnd.openxmlformats-officedocument.spreadsheetml.worksheet+xml" PartName="/xl/worksheets/sheet9586.xml"/>
  <Override ContentType="application/vnd.openxmlformats-officedocument.spreadsheetml.worksheet+xml" PartName="/xl/worksheets/sheet9587.xml"/>
  <Override ContentType="application/vnd.openxmlformats-officedocument.spreadsheetml.worksheet+xml" PartName="/xl/worksheets/sheet9588.xml"/>
  <Override ContentType="application/vnd.openxmlformats-officedocument.spreadsheetml.worksheet+xml" PartName="/xl/worksheets/sheet9589.xml"/>
  <Override ContentType="application/vnd.openxmlformats-officedocument.spreadsheetml.worksheet+xml" PartName="/xl/worksheets/sheet9590.xml"/>
  <Override ContentType="application/vnd.openxmlformats-officedocument.spreadsheetml.worksheet+xml" PartName="/xl/worksheets/sheet9591.xml"/>
  <Override ContentType="application/vnd.openxmlformats-officedocument.spreadsheetml.worksheet+xml" PartName="/xl/worksheets/sheet9592.xml"/>
  <Override ContentType="application/vnd.openxmlformats-officedocument.spreadsheetml.worksheet+xml" PartName="/xl/worksheets/sheet9593.xml"/>
  <Override ContentType="application/vnd.openxmlformats-officedocument.spreadsheetml.worksheet+xml" PartName="/xl/worksheets/sheet9594.xml"/>
  <Override ContentType="application/vnd.openxmlformats-officedocument.spreadsheetml.worksheet+xml" PartName="/xl/worksheets/sheet9595.xml"/>
  <Override ContentType="application/vnd.openxmlformats-officedocument.spreadsheetml.worksheet+xml" PartName="/xl/worksheets/sheet9596.xml"/>
  <Override ContentType="application/vnd.openxmlformats-officedocument.spreadsheetml.worksheet+xml" PartName="/xl/worksheets/sheet9597.xml"/>
  <Override ContentType="application/vnd.openxmlformats-officedocument.spreadsheetml.worksheet+xml" PartName="/xl/worksheets/sheet9598.xml"/>
  <Override ContentType="application/vnd.openxmlformats-officedocument.spreadsheetml.worksheet+xml" PartName="/xl/worksheets/sheet9599.xml"/>
  <Override ContentType="application/vnd.openxmlformats-officedocument.spreadsheetml.worksheet+xml" PartName="/xl/worksheets/sheet9600.xml"/>
  <Override ContentType="application/vnd.openxmlformats-officedocument.spreadsheetml.worksheet+xml" PartName="/xl/worksheets/sheet9601.xml"/>
  <Override ContentType="application/vnd.openxmlformats-officedocument.spreadsheetml.worksheet+xml" PartName="/xl/worksheets/sheet9602.xml"/>
  <Override ContentType="application/vnd.openxmlformats-officedocument.spreadsheetml.worksheet+xml" PartName="/xl/worksheets/sheet9603.xml"/>
  <Override ContentType="application/vnd.openxmlformats-officedocument.spreadsheetml.worksheet+xml" PartName="/xl/worksheets/sheet9604.xml"/>
  <Override ContentType="application/vnd.openxmlformats-officedocument.spreadsheetml.worksheet+xml" PartName="/xl/worksheets/sheet9605.xml"/>
  <Override ContentType="application/vnd.openxmlformats-officedocument.spreadsheetml.worksheet+xml" PartName="/xl/worksheets/sheet9606.xml"/>
  <Override ContentType="application/vnd.openxmlformats-officedocument.spreadsheetml.worksheet+xml" PartName="/xl/worksheets/sheet9607.xml"/>
  <Override ContentType="application/vnd.openxmlformats-officedocument.spreadsheetml.worksheet+xml" PartName="/xl/worksheets/sheet9608.xml"/>
  <Override ContentType="application/vnd.openxmlformats-officedocument.spreadsheetml.worksheet+xml" PartName="/xl/worksheets/sheet9609.xml"/>
  <Override ContentType="application/vnd.openxmlformats-officedocument.spreadsheetml.worksheet+xml" PartName="/xl/worksheets/sheet9610.xml"/>
  <Override ContentType="application/vnd.openxmlformats-officedocument.spreadsheetml.worksheet+xml" PartName="/xl/worksheets/sheet9611.xml"/>
  <Override ContentType="application/vnd.openxmlformats-officedocument.spreadsheetml.worksheet+xml" PartName="/xl/worksheets/sheet9612.xml"/>
  <Override ContentType="application/vnd.openxmlformats-officedocument.spreadsheetml.worksheet+xml" PartName="/xl/worksheets/sheet9613.xml"/>
  <Override ContentType="application/vnd.openxmlformats-officedocument.spreadsheetml.worksheet+xml" PartName="/xl/worksheets/sheet9614.xml"/>
  <Override ContentType="application/vnd.openxmlformats-officedocument.spreadsheetml.worksheet+xml" PartName="/xl/worksheets/sheet9615.xml"/>
  <Override ContentType="application/vnd.openxmlformats-officedocument.spreadsheetml.worksheet+xml" PartName="/xl/worksheets/sheet9616.xml"/>
  <Override ContentType="application/vnd.openxmlformats-officedocument.spreadsheetml.worksheet+xml" PartName="/xl/worksheets/sheet9617.xml"/>
  <Override ContentType="application/vnd.openxmlformats-officedocument.spreadsheetml.worksheet+xml" PartName="/xl/worksheets/sheet9618.xml"/>
  <Override ContentType="application/vnd.openxmlformats-officedocument.spreadsheetml.worksheet+xml" PartName="/xl/worksheets/sheet9619.xml"/>
  <Override ContentType="application/vnd.openxmlformats-officedocument.spreadsheetml.worksheet+xml" PartName="/xl/worksheets/sheet9620.xml"/>
  <Override ContentType="application/vnd.openxmlformats-officedocument.spreadsheetml.worksheet+xml" PartName="/xl/worksheets/sheet9621.xml"/>
  <Override ContentType="application/vnd.openxmlformats-officedocument.spreadsheetml.worksheet+xml" PartName="/xl/worksheets/sheet9622.xml"/>
  <Override ContentType="application/vnd.openxmlformats-officedocument.spreadsheetml.worksheet+xml" PartName="/xl/worksheets/sheet9623.xml"/>
  <Override ContentType="application/vnd.openxmlformats-officedocument.spreadsheetml.worksheet+xml" PartName="/xl/worksheets/sheet9624.xml"/>
  <Override ContentType="application/vnd.openxmlformats-officedocument.spreadsheetml.worksheet+xml" PartName="/xl/worksheets/sheet9625.xml"/>
  <Override ContentType="application/vnd.openxmlformats-officedocument.spreadsheetml.worksheet+xml" PartName="/xl/worksheets/sheet9626.xml"/>
  <Override ContentType="application/vnd.openxmlformats-officedocument.spreadsheetml.worksheet+xml" PartName="/xl/worksheets/sheet9627.xml"/>
  <Override ContentType="application/vnd.openxmlformats-officedocument.spreadsheetml.worksheet+xml" PartName="/xl/worksheets/sheet9628.xml"/>
  <Override ContentType="application/vnd.openxmlformats-officedocument.spreadsheetml.worksheet+xml" PartName="/xl/worksheets/sheet9629.xml"/>
  <Override ContentType="application/vnd.openxmlformats-officedocument.spreadsheetml.worksheet+xml" PartName="/xl/worksheets/sheet9630.xml"/>
  <Override ContentType="application/vnd.openxmlformats-officedocument.spreadsheetml.worksheet+xml" PartName="/xl/worksheets/sheet9631.xml"/>
  <Override ContentType="application/vnd.openxmlformats-officedocument.spreadsheetml.worksheet+xml" PartName="/xl/worksheets/sheet9632.xml"/>
  <Override ContentType="application/vnd.openxmlformats-officedocument.spreadsheetml.worksheet+xml" PartName="/xl/worksheets/sheet9633.xml"/>
  <Override ContentType="application/vnd.openxmlformats-officedocument.spreadsheetml.worksheet+xml" PartName="/xl/worksheets/sheet9634.xml"/>
  <Override ContentType="application/vnd.openxmlformats-officedocument.spreadsheetml.worksheet+xml" PartName="/xl/worksheets/sheet9635.xml"/>
  <Override ContentType="application/vnd.openxmlformats-officedocument.spreadsheetml.worksheet+xml" PartName="/xl/worksheets/sheet9636.xml"/>
  <Override ContentType="application/vnd.openxmlformats-officedocument.spreadsheetml.worksheet+xml" PartName="/xl/worksheets/sheet9637.xml"/>
  <Override ContentType="application/vnd.openxmlformats-officedocument.spreadsheetml.worksheet+xml" PartName="/xl/worksheets/sheet9638.xml"/>
  <Override ContentType="application/vnd.openxmlformats-officedocument.spreadsheetml.worksheet+xml" PartName="/xl/worksheets/sheet9639.xml"/>
  <Override ContentType="application/vnd.openxmlformats-officedocument.spreadsheetml.worksheet+xml" PartName="/xl/worksheets/sheet9640.xml"/>
  <Override ContentType="application/vnd.openxmlformats-officedocument.spreadsheetml.worksheet+xml" PartName="/xl/worksheets/sheet9641.xml"/>
  <Override ContentType="application/vnd.openxmlformats-officedocument.spreadsheetml.worksheet+xml" PartName="/xl/worksheets/sheet9642.xml"/>
  <Override ContentType="application/vnd.openxmlformats-officedocument.spreadsheetml.worksheet+xml" PartName="/xl/worksheets/sheet9643.xml"/>
  <Override ContentType="application/vnd.openxmlformats-officedocument.spreadsheetml.worksheet+xml" PartName="/xl/worksheets/sheet9644.xml"/>
  <Override ContentType="application/vnd.openxmlformats-officedocument.spreadsheetml.worksheet+xml" PartName="/xl/worksheets/sheet9645.xml"/>
  <Override ContentType="application/vnd.openxmlformats-officedocument.spreadsheetml.worksheet+xml" PartName="/xl/worksheets/sheet9646.xml"/>
  <Override ContentType="application/vnd.openxmlformats-officedocument.spreadsheetml.worksheet+xml" PartName="/xl/worksheets/sheet9647.xml"/>
  <Override ContentType="application/vnd.openxmlformats-officedocument.spreadsheetml.worksheet+xml" PartName="/xl/worksheets/sheet9648.xml"/>
  <Override ContentType="application/vnd.openxmlformats-officedocument.spreadsheetml.worksheet+xml" PartName="/xl/worksheets/sheet9649.xml"/>
  <Override ContentType="application/vnd.openxmlformats-officedocument.spreadsheetml.worksheet+xml" PartName="/xl/worksheets/sheet9650.xml"/>
  <Override ContentType="application/vnd.openxmlformats-officedocument.spreadsheetml.worksheet+xml" PartName="/xl/worksheets/sheet9651.xml"/>
  <Override ContentType="application/vnd.openxmlformats-officedocument.spreadsheetml.worksheet+xml" PartName="/xl/worksheets/sheet9652.xml"/>
  <Override ContentType="application/vnd.openxmlformats-officedocument.spreadsheetml.worksheet+xml" PartName="/xl/worksheets/sheet9653.xml"/>
  <Override ContentType="application/vnd.openxmlformats-officedocument.spreadsheetml.worksheet+xml" PartName="/xl/worksheets/sheet9654.xml"/>
  <Override ContentType="application/vnd.openxmlformats-officedocument.spreadsheetml.worksheet+xml" PartName="/xl/worksheets/sheet9655.xml"/>
  <Override ContentType="application/vnd.openxmlformats-officedocument.spreadsheetml.worksheet+xml" PartName="/xl/worksheets/sheet9656.xml"/>
  <Override ContentType="application/vnd.openxmlformats-officedocument.spreadsheetml.worksheet+xml" PartName="/xl/worksheets/sheet9657.xml"/>
  <Override ContentType="application/vnd.openxmlformats-officedocument.spreadsheetml.worksheet+xml" PartName="/xl/worksheets/sheet9658.xml"/>
  <Override ContentType="application/vnd.openxmlformats-officedocument.spreadsheetml.worksheet+xml" PartName="/xl/worksheets/sheet9659.xml"/>
  <Override ContentType="application/vnd.openxmlformats-officedocument.spreadsheetml.worksheet+xml" PartName="/xl/worksheets/sheet9660.xml"/>
  <Override ContentType="application/vnd.openxmlformats-officedocument.spreadsheetml.worksheet+xml" PartName="/xl/worksheets/sheet9661.xml"/>
  <Override ContentType="application/vnd.openxmlformats-officedocument.spreadsheetml.worksheet+xml" PartName="/xl/worksheets/sheet9662.xml"/>
  <Override ContentType="application/vnd.openxmlformats-officedocument.spreadsheetml.worksheet+xml" PartName="/xl/worksheets/sheet9663.xml"/>
  <Override ContentType="application/vnd.openxmlformats-officedocument.spreadsheetml.worksheet+xml" PartName="/xl/worksheets/sheet9664.xml"/>
  <Override ContentType="application/vnd.openxmlformats-officedocument.spreadsheetml.worksheet+xml" PartName="/xl/worksheets/sheet9665.xml"/>
  <Override ContentType="application/vnd.openxmlformats-officedocument.spreadsheetml.worksheet+xml" PartName="/xl/worksheets/sheet9666.xml"/>
  <Override ContentType="application/vnd.openxmlformats-officedocument.spreadsheetml.worksheet+xml" PartName="/xl/worksheets/sheet9667.xml"/>
  <Override ContentType="application/vnd.openxmlformats-officedocument.spreadsheetml.worksheet+xml" PartName="/xl/worksheets/sheet9668.xml"/>
  <Override ContentType="application/vnd.openxmlformats-officedocument.spreadsheetml.worksheet+xml" PartName="/xl/worksheets/sheet9669.xml"/>
  <Override ContentType="application/vnd.openxmlformats-officedocument.spreadsheetml.worksheet+xml" PartName="/xl/worksheets/sheet9670.xml"/>
  <Override ContentType="application/vnd.openxmlformats-officedocument.spreadsheetml.worksheet+xml" PartName="/xl/worksheets/sheet9671.xml"/>
  <Override ContentType="application/vnd.openxmlformats-officedocument.spreadsheetml.worksheet+xml" PartName="/xl/worksheets/sheet9672.xml"/>
  <Override ContentType="application/vnd.openxmlformats-officedocument.spreadsheetml.worksheet+xml" PartName="/xl/worksheets/sheet9673.xml"/>
  <Override ContentType="application/vnd.openxmlformats-officedocument.spreadsheetml.worksheet+xml" PartName="/xl/worksheets/sheet9674.xml"/>
  <Override ContentType="application/vnd.openxmlformats-officedocument.spreadsheetml.worksheet+xml" PartName="/xl/worksheets/sheet9675.xml"/>
  <Override ContentType="application/vnd.openxmlformats-officedocument.spreadsheetml.worksheet+xml" PartName="/xl/worksheets/sheet9676.xml"/>
  <Override ContentType="application/vnd.openxmlformats-officedocument.spreadsheetml.worksheet+xml" PartName="/xl/worksheets/sheet9677.xml"/>
  <Override ContentType="application/vnd.openxmlformats-officedocument.spreadsheetml.worksheet+xml" PartName="/xl/worksheets/sheet9678.xml"/>
  <Override ContentType="application/vnd.openxmlformats-officedocument.spreadsheetml.worksheet+xml" PartName="/xl/worksheets/sheet9679.xml"/>
  <Override ContentType="application/vnd.openxmlformats-officedocument.spreadsheetml.worksheet+xml" PartName="/xl/worksheets/sheet9680.xml"/>
  <Override ContentType="application/vnd.openxmlformats-officedocument.spreadsheetml.worksheet+xml" PartName="/xl/worksheets/sheet9681.xml"/>
  <Override ContentType="application/vnd.openxmlformats-officedocument.spreadsheetml.worksheet+xml" PartName="/xl/worksheets/sheet9682.xml"/>
  <Override ContentType="application/vnd.openxmlformats-officedocument.spreadsheetml.worksheet+xml" PartName="/xl/worksheets/sheet9683.xml"/>
  <Override ContentType="application/vnd.openxmlformats-officedocument.spreadsheetml.worksheet+xml" PartName="/xl/worksheets/sheet9684.xml"/>
  <Override ContentType="application/vnd.openxmlformats-officedocument.spreadsheetml.worksheet+xml" PartName="/xl/worksheets/sheet9685.xml"/>
  <Override ContentType="application/vnd.openxmlformats-officedocument.spreadsheetml.worksheet+xml" PartName="/xl/worksheets/sheet9686.xml"/>
  <Override ContentType="application/vnd.openxmlformats-officedocument.spreadsheetml.worksheet+xml" PartName="/xl/worksheets/sheet9687.xml"/>
  <Override ContentType="application/vnd.openxmlformats-officedocument.spreadsheetml.worksheet+xml" PartName="/xl/worksheets/sheet9688.xml"/>
  <Override ContentType="application/vnd.openxmlformats-officedocument.spreadsheetml.worksheet+xml" PartName="/xl/worksheets/sheet9689.xml"/>
  <Override ContentType="application/vnd.openxmlformats-officedocument.spreadsheetml.worksheet+xml" PartName="/xl/worksheets/sheet9690.xml"/>
  <Override ContentType="application/vnd.openxmlformats-officedocument.spreadsheetml.worksheet+xml" PartName="/xl/worksheets/sheet9691.xml"/>
  <Override ContentType="application/vnd.openxmlformats-officedocument.spreadsheetml.worksheet+xml" PartName="/xl/worksheets/sheet9692.xml"/>
  <Override ContentType="application/vnd.openxmlformats-officedocument.spreadsheetml.worksheet+xml" PartName="/xl/worksheets/sheet9693.xml"/>
  <Override ContentType="application/vnd.openxmlformats-officedocument.spreadsheetml.worksheet+xml" PartName="/xl/worksheets/sheet9694.xml"/>
  <Override ContentType="application/vnd.openxmlformats-officedocument.spreadsheetml.worksheet+xml" PartName="/xl/worksheets/sheet9695.xml"/>
  <Override ContentType="application/vnd.openxmlformats-officedocument.spreadsheetml.worksheet+xml" PartName="/xl/worksheets/sheet9696.xml"/>
  <Override ContentType="application/vnd.openxmlformats-officedocument.spreadsheetml.worksheet+xml" PartName="/xl/worksheets/sheet9697.xml"/>
  <Override ContentType="application/vnd.openxmlformats-officedocument.spreadsheetml.worksheet+xml" PartName="/xl/worksheets/sheet9698.xml"/>
  <Override ContentType="application/vnd.openxmlformats-officedocument.spreadsheetml.worksheet+xml" PartName="/xl/worksheets/sheet9699.xml"/>
  <Override ContentType="application/vnd.openxmlformats-officedocument.spreadsheetml.worksheet+xml" PartName="/xl/worksheets/sheet9700.xml"/>
  <Override ContentType="application/vnd.openxmlformats-officedocument.spreadsheetml.worksheet+xml" PartName="/xl/worksheets/sheet9701.xml"/>
  <Override ContentType="application/vnd.openxmlformats-officedocument.spreadsheetml.worksheet+xml" PartName="/xl/worksheets/sheet9702.xml"/>
  <Override ContentType="application/vnd.openxmlformats-officedocument.spreadsheetml.worksheet+xml" PartName="/xl/worksheets/sheet9703.xml"/>
  <Override ContentType="application/vnd.openxmlformats-officedocument.spreadsheetml.worksheet+xml" PartName="/xl/worksheets/sheet9704.xml"/>
  <Override ContentType="application/vnd.openxmlformats-officedocument.spreadsheetml.worksheet+xml" PartName="/xl/worksheets/sheet9705.xml"/>
  <Override ContentType="application/vnd.openxmlformats-officedocument.spreadsheetml.worksheet+xml" PartName="/xl/worksheets/sheet9706.xml"/>
  <Override ContentType="application/vnd.openxmlformats-officedocument.spreadsheetml.worksheet+xml" PartName="/xl/worksheets/sheet9707.xml"/>
  <Override ContentType="application/vnd.openxmlformats-officedocument.spreadsheetml.worksheet+xml" PartName="/xl/worksheets/sheet9708.xml"/>
  <Override ContentType="application/vnd.openxmlformats-officedocument.spreadsheetml.worksheet+xml" PartName="/xl/worksheets/sheet9709.xml"/>
  <Override ContentType="application/vnd.openxmlformats-officedocument.spreadsheetml.worksheet+xml" PartName="/xl/worksheets/sheet9710.xml"/>
  <Override ContentType="application/vnd.openxmlformats-officedocument.spreadsheetml.worksheet+xml" PartName="/xl/worksheets/sheet9711.xml"/>
  <Override ContentType="application/vnd.openxmlformats-officedocument.spreadsheetml.worksheet+xml" PartName="/xl/worksheets/sheet9712.xml"/>
  <Override ContentType="application/vnd.openxmlformats-officedocument.spreadsheetml.worksheet+xml" PartName="/xl/worksheets/sheet9713.xml"/>
  <Override ContentType="application/vnd.openxmlformats-officedocument.spreadsheetml.worksheet+xml" PartName="/xl/worksheets/sheet9714.xml"/>
  <Override ContentType="application/vnd.openxmlformats-officedocument.spreadsheetml.worksheet+xml" PartName="/xl/worksheets/sheet9715.xml"/>
  <Override ContentType="application/vnd.openxmlformats-officedocument.spreadsheetml.worksheet+xml" PartName="/xl/worksheets/sheet9716.xml"/>
  <Override ContentType="application/vnd.openxmlformats-officedocument.spreadsheetml.worksheet+xml" PartName="/xl/worksheets/sheet9717.xml"/>
  <Override ContentType="application/vnd.openxmlformats-officedocument.spreadsheetml.worksheet+xml" PartName="/xl/worksheets/sheet9718.xml"/>
  <Override ContentType="application/vnd.openxmlformats-officedocument.spreadsheetml.worksheet+xml" PartName="/xl/worksheets/sheet9719.xml"/>
  <Override ContentType="application/vnd.openxmlformats-officedocument.spreadsheetml.worksheet+xml" PartName="/xl/worksheets/sheet9720.xml"/>
  <Override ContentType="application/vnd.openxmlformats-officedocument.spreadsheetml.worksheet+xml" PartName="/xl/worksheets/sheet9721.xml"/>
  <Override ContentType="application/vnd.openxmlformats-officedocument.spreadsheetml.worksheet+xml" PartName="/xl/worksheets/sheet9722.xml"/>
  <Override ContentType="application/vnd.openxmlformats-officedocument.spreadsheetml.worksheet+xml" PartName="/xl/worksheets/sheet9723.xml"/>
  <Override ContentType="application/vnd.openxmlformats-officedocument.spreadsheetml.worksheet+xml" PartName="/xl/worksheets/sheet9724.xml"/>
  <Override ContentType="application/vnd.openxmlformats-officedocument.spreadsheetml.worksheet+xml" PartName="/xl/worksheets/sheet9725.xml"/>
  <Override ContentType="application/vnd.openxmlformats-officedocument.spreadsheetml.worksheet+xml" PartName="/xl/worksheets/sheet9726.xml"/>
  <Override ContentType="application/vnd.openxmlformats-officedocument.spreadsheetml.worksheet+xml" PartName="/xl/worksheets/sheet9727.xml"/>
  <Override ContentType="application/vnd.openxmlformats-officedocument.spreadsheetml.worksheet+xml" PartName="/xl/worksheets/sheet9728.xml"/>
  <Override ContentType="application/vnd.openxmlformats-officedocument.spreadsheetml.worksheet+xml" PartName="/xl/worksheets/sheet9729.xml"/>
  <Override ContentType="application/vnd.openxmlformats-officedocument.spreadsheetml.worksheet+xml" PartName="/xl/worksheets/sheet9730.xml"/>
  <Override ContentType="application/vnd.openxmlformats-officedocument.spreadsheetml.worksheet+xml" PartName="/xl/worksheets/sheet9731.xml"/>
  <Override ContentType="application/vnd.openxmlformats-officedocument.spreadsheetml.worksheet+xml" PartName="/xl/worksheets/sheet9732.xml"/>
  <Override ContentType="application/vnd.openxmlformats-officedocument.spreadsheetml.worksheet+xml" PartName="/xl/worksheets/sheet9733.xml"/>
  <Override ContentType="application/vnd.openxmlformats-officedocument.spreadsheetml.worksheet+xml" PartName="/xl/worksheets/sheet9734.xml"/>
  <Override ContentType="application/vnd.openxmlformats-officedocument.spreadsheetml.worksheet+xml" PartName="/xl/worksheets/sheet9735.xml"/>
  <Override ContentType="application/vnd.openxmlformats-officedocument.spreadsheetml.worksheet+xml" PartName="/xl/worksheets/sheet9736.xml"/>
  <Override ContentType="application/vnd.openxmlformats-officedocument.spreadsheetml.worksheet+xml" PartName="/xl/worksheets/sheet9737.xml"/>
  <Override ContentType="application/vnd.openxmlformats-officedocument.spreadsheetml.worksheet+xml" PartName="/xl/worksheets/sheet9738.xml"/>
  <Override ContentType="application/vnd.openxmlformats-officedocument.spreadsheetml.worksheet+xml" PartName="/xl/worksheets/sheet9739.xml"/>
  <Override ContentType="application/vnd.openxmlformats-officedocument.spreadsheetml.worksheet+xml" PartName="/xl/worksheets/sheet9740.xml"/>
  <Override ContentType="application/vnd.openxmlformats-officedocument.spreadsheetml.worksheet+xml" PartName="/xl/worksheets/sheet9741.xml"/>
  <Override ContentType="application/vnd.openxmlformats-officedocument.spreadsheetml.worksheet+xml" PartName="/xl/worksheets/sheet9742.xml"/>
  <Override ContentType="application/vnd.openxmlformats-officedocument.spreadsheetml.worksheet+xml" PartName="/xl/worksheets/sheet9743.xml"/>
  <Override ContentType="application/vnd.openxmlformats-officedocument.spreadsheetml.worksheet+xml" PartName="/xl/worksheets/sheet9744.xml"/>
  <Override ContentType="application/vnd.openxmlformats-officedocument.spreadsheetml.worksheet+xml" PartName="/xl/worksheets/sheet9745.xml"/>
  <Override ContentType="application/vnd.openxmlformats-officedocument.spreadsheetml.worksheet+xml" PartName="/xl/worksheets/sheet9746.xml"/>
  <Override ContentType="application/vnd.openxmlformats-officedocument.spreadsheetml.worksheet+xml" PartName="/xl/worksheets/sheet9747.xml"/>
  <Override ContentType="application/vnd.openxmlformats-officedocument.spreadsheetml.worksheet+xml" PartName="/xl/worksheets/sheet9748.xml"/>
  <Override ContentType="application/vnd.openxmlformats-officedocument.spreadsheetml.worksheet+xml" PartName="/xl/worksheets/sheet9749.xml"/>
  <Override ContentType="application/vnd.openxmlformats-officedocument.spreadsheetml.worksheet+xml" PartName="/xl/worksheets/sheet9750.xml"/>
  <Override ContentType="application/vnd.openxmlformats-officedocument.spreadsheetml.worksheet+xml" PartName="/xl/worksheets/sheet9751.xml"/>
  <Override ContentType="application/vnd.openxmlformats-officedocument.spreadsheetml.worksheet+xml" PartName="/xl/worksheets/sheet9752.xml"/>
  <Override ContentType="application/vnd.openxmlformats-officedocument.spreadsheetml.worksheet+xml" PartName="/xl/worksheets/sheet9753.xml"/>
  <Override ContentType="application/vnd.openxmlformats-officedocument.spreadsheetml.worksheet+xml" PartName="/xl/worksheets/sheet9754.xml"/>
  <Override ContentType="application/vnd.openxmlformats-officedocument.spreadsheetml.worksheet+xml" PartName="/xl/worksheets/sheet9755.xml"/>
  <Override ContentType="application/vnd.openxmlformats-officedocument.spreadsheetml.worksheet+xml" PartName="/xl/worksheets/sheet9756.xml"/>
  <Override ContentType="application/vnd.openxmlformats-officedocument.spreadsheetml.worksheet+xml" PartName="/xl/worksheets/sheet9757.xml"/>
  <Override ContentType="application/vnd.openxmlformats-officedocument.spreadsheetml.worksheet+xml" PartName="/xl/worksheets/sheet9758.xml"/>
  <Override ContentType="application/vnd.openxmlformats-officedocument.spreadsheetml.worksheet+xml" PartName="/xl/worksheets/sheet9759.xml"/>
  <Override ContentType="application/vnd.openxmlformats-officedocument.spreadsheetml.worksheet+xml" PartName="/xl/worksheets/sheet9760.xml"/>
  <Override ContentType="application/vnd.openxmlformats-officedocument.spreadsheetml.worksheet+xml" PartName="/xl/worksheets/sheet9761.xml"/>
  <Override ContentType="application/vnd.openxmlformats-officedocument.spreadsheetml.worksheet+xml" PartName="/xl/worksheets/sheet9762.xml"/>
  <Override ContentType="application/vnd.openxmlformats-officedocument.spreadsheetml.worksheet+xml" PartName="/xl/worksheets/sheet9763.xml"/>
  <Override ContentType="application/vnd.openxmlformats-officedocument.spreadsheetml.worksheet+xml" PartName="/xl/worksheets/sheet9764.xml"/>
  <Override ContentType="application/vnd.openxmlformats-officedocument.spreadsheetml.worksheet+xml" PartName="/xl/worksheets/sheet9765.xml"/>
  <Override ContentType="application/vnd.openxmlformats-officedocument.spreadsheetml.worksheet+xml" PartName="/xl/worksheets/sheet9766.xml"/>
  <Override ContentType="application/vnd.openxmlformats-officedocument.spreadsheetml.worksheet+xml" PartName="/xl/worksheets/sheet9767.xml"/>
  <Override ContentType="application/vnd.openxmlformats-officedocument.spreadsheetml.worksheet+xml" PartName="/xl/worksheets/sheet9768.xml"/>
  <Override ContentType="application/vnd.openxmlformats-officedocument.spreadsheetml.worksheet+xml" PartName="/xl/worksheets/sheet9769.xml"/>
  <Override ContentType="application/vnd.openxmlformats-officedocument.spreadsheetml.worksheet+xml" PartName="/xl/worksheets/sheet9770.xml"/>
  <Override ContentType="application/vnd.openxmlformats-officedocument.spreadsheetml.worksheet+xml" PartName="/xl/worksheets/sheet9771.xml"/>
  <Override ContentType="application/vnd.openxmlformats-officedocument.spreadsheetml.worksheet+xml" PartName="/xl/worksheets/sheet9772.xml"/>
  <Override ContentType="application/vnd.openxmlformats-officedocument.spreadsheetml.worksheet+xml" PartName="/xl/worksheets/sheet9773.xml"/>
  <Override ContentType="application/vnd.openxmlformats-officedocument.spreadsheetml.worksheet+xml" PartName="/xl/worksheets/sheet9774.xml"/>
  <Override ContentType="application/vnd.openxmlformats-officedocument.spreadsheetml.worksheet+xml" PartName="/xl/worksheets/sheet9775.xml"/>
  <Override ContentType="application/vnd.openxmlformats-officedocument.spreadsheetml.worksheet+xml" PartName="/xl/worksheets/sheet9776.xml"/>
  <Override ContentType="application/vnd.openxmlformats-officedocument.spreadsheetml.worksheet+xml" PartName="/xl/worksheets/sheet9777.xml"/>
  <Override ContentType="application/vnd.openxmlformats-officedocument.spreadsheetml.worksheet+xml" PartName="/xl/worksheets/sheet9778.xml"/>
  <Override ContentType="application/vnd.openxmlformats-officedocument.spreadsheetml.worksheet+xml" PartName="/xl/worksheets/sheet9779.xml"/>
  <Override ContentType="application/vnd.openxmlformats-officedocument.spreadsheetml.worksheet+xml" PartName="/xl/worksheets/sheet9780.xml"/>
  <Override ContentType="application/vnd.openxmlformats-officedocument.spreadsheetml.worksheet+xml" PartName="/xl/worksheets/sheet9781.xml"/>
  <Override ContentType="application/vnd.openxmlformats-officedocument.spreadsheetml.worksheet+xml" PartName="/xl/worksheets/sheet9782.xml"/>
  <Override ContentType="application/vnd.openxmlformats-officedocument.spreadsheetml.worksheet+xml" PartName="/xl/worksheets/sheet9783.xml"/>
  <Override ContentType="application/vnd.openxmlformats-officedocument.spreadsheetml.worksheet+xml" PartName="/xl/worksheets/sheet9784.xml"/>
  <Override ContentType="application/vnd.openxmlformats-officedocument.spreadsheetml.worksheet+xml" PartName="/xl/worksheets/sheet9785.xml"/>
  <Override ContentType="application/vnd.openxmlformats-officedocument.spreadsheetml.worksheet+xml" PartName="/xl/worksheets/sheet9786.xml"/>
  <Override ContentType="application/vnd.openxmlformats-officedocument.spreadsheetml.worksheet+xml" PartName="/xl/worksheets/sheet9787.xml"/>
  <Override ContentType="application/vnd.openxmlformats-officedocument.spreadsheetml.worksheet+xml" PartName="/xl/worksheets/sheet9788.xml"/>
  <Override ContentType="application/vnd.openxmlformats-officedocument.spreadsheetml.worksheet+xml" PartName="/xl/worksheets/sheet9789.xml"/>
  <Override ContentType="application/vnd.openxmlformats-officedocument.spreadsheetml.worksheet+xml" PartName="/xl/worksheets/sheet9790.xml"/>
  <Override ContentType="application/vnd.openxmlformats-officedocument.spreadsheetml.worksheet+xml" PartName="/xl/worksheets/sheet9791.xml"/>
  <Override ContentType="application/vnd.openxmlformats-officedocument.spreadsheetml.worksheet+xml" PartName="/xl/worksheets/sheet9792.xml"/>
  <Override ContentType="application/vnd.openxmlformats-officedocument.spreadsheetml.worksheet+xml" PartName="/xl/worksheets/sheet9793.xml"/>
  <Override ContentType="application/vnd.openxmlformats-officedocument.spreadsheetml.worksheet+xml" PartName="/xl/worksheets/sheet9794.xml"/>
  <Override ContentType="application/vnd.openxmlformats-officedocument.spreadsheetml.worksheet+xml" PartName="/xl/worksheets/sheet9795.xml"/>
  <Override ContentType="application/vnd.openxmlformats-officedocument.spreadsheetml.worksheet+xml" PartName="/xl/worksheets/sheet9796.xml"/>
  <Override ContentType="application/vnd.openxmlformats-officedocument.spreadsheetml.worksheet+xml" PartName="/xl/worksheets/sheet9797.xml"/>
  <Override ContentType="application/vnd.openxmlformats-officedocument.spreadsheetml.worksheet+xml" PartName="/xl/worksheets/sheet9798.xml"/>
  <Override ContentType="application/vnd.openxmlformats-officedocument.spreadsheetml.worksheet+xml" PartName="/xl/worksheets/sheet9799.xml"/>
  <Override ContentType="application/vnd.openxmlformats-officedocument.spreadsheetml.worksheet+xml" PartName="/xl/worksheets/sheet9800.xml"/>
  <Override ContentType="application/vnd.openxmlformats-officedocument.spreadsheetml.worksheet+xml" PartName="/xl/worksheets/sheet9801.xml"/>
  <Override ContentType="application/vnd.openxmlformats-officedocument.spreadsheetml.worksheet+xml" PartName="/xl/worksheets/sheet9802.xml"/>
  <Override ContentType="application/vnd.openxmlformats-officedocument.spreadsheetml.worksheet+xml" PartName="/xl/worksheets/sheet9803.xml"/>
  <Override ContentType="application/vnd.openxmlformats-officedocument.spreadsheetml.worksheet+xml" PartName="/xl/worksheets/sheet9804.xml"/>
  <Override ContentType="application/vnd.openxmlformats-officedocument.spreadsheetml.worksheet+xml" PartName="/xl/worksheets/sheet9805.xml"/>
  <Override ContentType="application/vnd.openxmlformats-officedocument.spreadsheetml.worksheet+xml" PartName="/xl/worksheets/sheet9806.xml"/>
  <Override ContentType="application/vnd.openxmlformats-officedocument.spreadsheetml.worksheet+xml" PartName="/xl/worksheets/sheet9807.xml"/>
  <Override ContentType="application/vnd.openxmlformats-officedocument.spreadsheetml.worksheet+xml" PartName="/xl/worksheets/sheet9808.xml"/>
  <Override ContentType="application/vnd.openxmlformats-officedocument.spreadsheetml.worksheet+xml" PartName="/xl/worksheets/sheet9809.xml"/>
  <Override ContentType="application/vnd.openxmlformats-officedocument.spreadsheetml.worksheet+xml" PartName="/xl/worksheets/sheet9810.xml"/>
  <Override ContentType="application/vnd.openxmlformats-officedocument.spreadsheetml.worksheet+xml" PartName="/xl/worksheets/sheet9811.xml"/>
  <Override ContentType="application/vnd.openxmlformats-officedocument.spreadsheetml.worksheet+xml" PartName="/xl/worksheets/sheet9812.xml"/>
  <Override ContentType="application/vnd.openxmlformats-officedocument.spreadsheetml.worksheet+xml" PartName="/xl/worksheets/sheet9813.xml"/>
  <Override ContentType="application/vnd.openxmlformats-officedocument.spreadsheetml.worksheet+xml" PartName="/xl/worksheets/sheet9814.xml"/>
  <Override ContentType="application/vnd.openxmlformats-officedocument.spreadsheetml.worksheet+xml" PartName="/xl/worksheets/sheet9815.xml"/>
  <Override ContentType="application/vnd.openxmlformats-officedocument.spreadsheetml.worksheet+xml" PartName="/xl/worksheets/sheet9816.xml"/>
  <Override ContentType="application/vnd.openxmlformats-officedocument.spreadsheetml.worksheet+xml" PartName="/xl/worksheets/sheet9817.xml"/>
  <Override ContentType="application/vnd.openxmlformats-officedocument.spreadsheetml.worksheet+xml" PartName="/xl/worksheets/sheet9818.xml"/>
  <Override ContentType="application/vnd.openxmlformats-officedocument.spreadsheetml.worksheet+xml" PartName="/xl/worksheets/sheet9819.xml"/>
  <Override ContentType="application/vnd.openxmlformats-officedocument.spreadsheetml.worksheet+xml" PartName="/xl/worksheets/sheet9820.xml"/>
  <Override ContentType="application/vnd.openxmlformats-officedocument.spreadsheetml.worksheet+xml" PartName="/xl/worksheets/sheet9821.xml"/>
  <Override ContentType="application/vnd.openxmlformats-officedocument.spreadsheetml.worksheet+xml" PartName="/xl/worksheets/sheet9822.xml"/>
  <Override ContentType="application/vnd.openxmlformats-officedocument.spreadsheetml.worksheet+xml" PartName="/xl/worksheets/sheet9823.xml"/>
  <Override ContentType="application/vnd.openxmlformats-officedocument.spreadsheetml.worksheet+xml" PartName="/xl/worksheets/sheet9824.xml"/>
  <Override ContentType="application/vnd.openxmlformats-officedocument.spreadsheetml.worksheet+xml" PartName="/xl/worksheets/sheet9825.xml"/>
  <Override ContentType="application/vnd.openxmlformats-officedocument.spreadsheetml.worksheet+xml" PartName="/xl/worksheets/sheet9826.xml"/>
  <Override ContentType="application/vnd.openxmlformats-officedocument.spreadsheetml.worksheet+xml" PartName="/xl/worksheets/sheet9827.xml"/>
  <Override ContentType="application/vnd.openxmlformats-officedocument.spreadsheetml.worksheet+xml" PartName="/xl/worksheets/sheet9828.xml"/>
  <Override ContentType="application/vnd.openxmlformats-officedocument.spreadsheetml.worksheet+xml" PartName="/xl/worksheets/sheet9829.xml"/>
  <Override ContentType="application/vnd.openxmlformats-officedocument.spreadsheetml.worksheet+xml" PartName="/xl/worksheets/sheet9830.xml"/>
  <Override ContentType="application/vnd.openxmlformats-officedocument.spreadsheetml.worksheet+xml" PartName="/xl/worksheets/sheet9831.xml"/>
  <Override ContentType="application/vnd.openxmlformats-officedocument.spreadsheetml.worksheet+xml" PartName="/xl/worksheets/sheet9832.xml"/>
  <Override ContentType="application/vnd.openxmlformats-officedocument.spreadsheetml.worksheet+xml" PartName="/xl/worksheets/sheet9833.xml"/>
  <Override ContentType="application/vnd.openxmlformats-officedocument.spreadsheetml.worksheet+xml" PartName="/xl/worksheets/sheet9834.xml"/>
  <Override ContentType="application/vnd.openxmlformats-officedocument.spreadsheetml.worksheet+xml" PartName="/xl/worksheets/sheet9835.xml"/>
  <Override ContentType="application/vnd.openxmlformats-officedocument.spreadsheetml.worksheet+xml" PartName="/xl/worksheets/sheet9836.xml"/>
  <Override ContentType="application/vnd.openxmlformats-officedocument.spreadsheetml.worksheet+xml" PartName="/xl/worksheets/sheet9837.xml"/>
  <Override ContentType="application/vnd.openxmlformats-officedocument.spreadsheetml.worksheet+xml" PartName="/xl/worksheets/sheet9838.xml"/>
  <Override ContentType="application/vnd.openxmlformats-officedocument.spreadsheetml.worksheet+xml" PartName="/xl/worksheets/sheet9839.xml"/>
  <Override ContentType="application/vnd.openxmlformats-officedocument.spreadsheetml.worksheet+xml" PartName="/xl/worksheets/sheet9840.xml"/>
  <Override ContentType="application/vnd.openxmlformats-officedocument.spreadsheetml.worksheet+xml" PartName="/xl/worksheets/sheet9841.xml"/>
  <Override ContentType="application/vnd.openxmlformats-officedocument.spreadsheetml.worksheet+xml" PartName="/xl/worksheets/sheet9842.xml"/>
  <Override ContentType="application/vnd.openxmlformats-officedocument.spreadsheetml.worksheet+xml" PartName="/xl/worksheets/sheet9843.xml"/>
  <Override ContentType="application/vnd.openxmlformats-officedocument.spreadsheetml.worksheet+xml" PartName="/xl/worksheets/sheet9844.xml"/>
  <Override ContentType="application/vnd.openxmlformats-officedocument.spreadsheetml.worksheet+xml" PartName="/xl/worksheets/sheet9845.xml"/>
  <Override ContentType="application/vnd.openxmlformats-officedocument.spreadsheetml.worksheet+xml" PartName="/xl/worksheets/sheet9846.xml"/>
  <Override ContentType="application/vnd.openxmlformats-officedocument.spreadsheetml.worksheet+xml" PartName="/xl/worksheets/sheet9847.xml"/>
  <Override ContentType="application/vnd.openxmlformats-officedocument.spreadsheetml.worksheet+xml" PartName="/xl/worksheets/sheet9848.xml"/>
  <Override ContentType="application/vnd.openxmlformats-officedocument.spreadsheetml.worksheet+xml" PartName="/xl/worksheets/sheet9849.xml"/>
  <Override ContentType="application/vnd.openxmlformats-officedocument.spreadsheetml.worksheet+xml" PartName="/xl/worksheets/sheet9850.xml"/>
  <Override ContentType="application/vnd.openxmlformats-officedocument.spreadsheetml.worksheet+xml" PartName="/xl/worksheets/sheet9851.xml"/>
  <Override ContentType="application/vnd.openxmlformats-officedocument.spreadsheetml.worksheet+xml" PartName="/xl/worksheets/sheet9852.xml"/>
  <Override ContentType="application/vnd.openxmlformats-officedocument.spreadsheetml.worksheet+xml" PartName="/xl/worksheets/sheet9853.xml"/>
  <Override ContentType="application/vnd.openxmlformats-officedocument.spreadsheetml.worksheet+xml" PartName="/xl/worksheets/sheet9854.xml"/>
  <Override ContentType="application/vnd.openxmlformats-officedocument.spreadsheetml.worksheet+xml" PartName="/xl/worksheets/sheet9855.xml"/>
  <Override ContentType="application/vnd.openxmlformats-officedocument.spreadsheetml.worksheet+xml" PartName="/xl/worksheets/sheet9856.xml"/>
  <Override ContentType="application/vnd.openxmlformats-officedocument.spreadsheetml.worksheet+xml" PartName="/xl/worksheets/sheet9857.xml"/>
  <Override ContentType="application/vnd.openxmlformats-officedocument.spreadsheetml.worksheet+xml" PartName="/xl/worksheets/sheet9858.xml"/>
  <Override ContentType="application/vnd.openxmlformats-officedocument.spreadsheetml.worksheet+xml" PartName="/xl/worksheets/sheet9859.xml"/>
  <Override ContentType="application/vnd.openxmlformats-officedocument.spreadsheetml.worksheet+xml" PartName="/xl/worksheets/sheet9860.xml"/>
  <Override ContentType="application/vnd.openxmlformats-officedocument.spreadsheetml.worksheet+xml" PartName="/xl/worksheets/sheet9861.xml"/>
  <Override ContentType="application/vnd.openxmlformats-officedocument.spreadsheetml.worksheet+xml" PartName="/xl/worksheets/sheet9862.xml"/>
  <Override ContentType="application/vnd.openxmlformats-officedocument.spreadsheetml.worksheet+xml" PartName="/xl/worksheets/sheet9863.xml"/>
  <Override ContentType="application/vnd.openxmlformats-officedocument.spreadsheetml.worksheet+xml" PartName="/xl/worksheets/sheet9864.xml"/>
  <Override ContentType="application/vnd.openxmlformats-officedocument.spreadsheetml.worksheet+xml" PartName="/xl/worksheets/sheet9865.xml"/>
  <Override ContentType="application/vnd.openxmlformats-officedocument.spreadsheetml.worksheet+xml" PartName="/xl/worksheets/sheet9866.xml"/>
  <Override ContentType="application/vnd.openxmlformats-officedocument.spreadsheetml.worksheet+xml" PartName="/xl/worksheets/sheet9867.xml"/>
  <Override ContentType="application/vnd.openxmlformats-officedocument.spreadsheetml.worksheet+xml" PartName="/xl/worksheets/sheet9868.xml"/>
  <Override ContentType="application/vnd.openxmlformats-officedocument.spreadsheetml.worksheet+xml" PartName="/xl/worksheets/sheet9869.xml"/>
  <Override ContentType="application/vnd.openxmlformats-officedocument.spreadsheetml.worksheet+xml" PartName="/xl/worksheets/sheet9870.xml"/>
  <Override ContentType="application/vnd.openxmlformats-officedocument.spreadsheetml.worksheet+xml" PartName="/xl/worksheets/sheet9871.xml"/>
  <Override ContentType="application/vnd.openxmlformats-officedocument.spreadsheetml.worksheet+xml" PartName="/xl/worksheets/sheet9872.xml"/>
  <Override ContentType="application/vnd.openxmlformats-officedocument.spreadsheetml.worksheet+xml" PartName="/xl/worksheets/sheet9873.xml"/>
  <Override ContentType="application/vnd.openxmlformats-officedocument.spreadsheetml.worksheet+xml" PartName="/xl/worksheets/sheet9874.xml"/>
  <Override ContentType="application/vnd.openxmlformats-officedocument.spreadsheetml.worksheet+xml" PartName="/xl/worksheets/sheet9875.xml"/>
  <Override ContentType="application/vnd.openxmlformats-officedocument.spreadsheetml.worksheet+xml" PartName="/xl/worksheets/sheet9876.xml"/>
  <Override ContentType="application/vnd.openxmlformats-officedocument.spreadsheetml.worksheet+xml" PartName="/xl/worksheets/sheet9877.xml"/>
  <Override ContentType="application/vnd.openxmlformats-officedocument.spreadsheetml.worksheet+xml" PartName="/xl/worksheets/sheet9878.xml"/>
  <Override ContentType="application/vnd.openxmlformats-officedocument.spreadsheetml.worksheet+xml" PartName="/xl/worksheets/sheet9879.xml"/>
  <Override ContentType="application/vnd.openxmlformats-officedocument.spreadsheetml.worksheet+xml" PartName="/xl/worksheets/sheet9880.xml"/>
  <Override ContentType="application/vnd.openxmlformats-officedocument.spreadsheetml.worksheet+xml" PartName="/xl/worksheets/sheet9881.xml"/>
  <Override ContentType="application/vnd.openxmlformats-officedocument.spreadsheetml.worksheet+xml" PartName="/xl/worksheets/sheet9882.xml"/>
  <Override ContentType="application/vnd.openxmlformats-officedocument.spreadsheetml.worksheet+xml" PartName="/xl/worksheets/sheet9883.xml"/>
  <Override ContentType="application/vnd.openxmlformats-officedocument.spreadsheetml.worksheet+xml" PartName="/xl/worksheets/sheet9884.xml"/>
  <Override ContentType="application/vnd.openxmlformats-officedocument.spreadsheetml.worksheet+xml" PartName="/xl/worksheets/sheet9885.xml"/>
  <Override ContentType="application/vnd.openxmlformats-officedocument.spreadsheetml.worksheet+xml" PartName="/xl/worksheets/sheet9886.xml"/>
  <Override ContentType="application/vnd.openxmlformats-officedocument.spreadsheetml.worksheet+xml" PartName="/xl/worksheets/sheet9887.xml"/>
  <Override ContentType="application/vnd.openxmlformats-officedocument.spreadsheetml.worksheet+xml" PartName="/xl/worksheets/sheet9888.xml"/>
  <Override ContentType="application/vnd.openxmlformats-officedocument.spreadsheetml.worksheet+xml" PartName="/xl/worksheets/sheet9889.xml"/>
  <Override ContentType="application/vnd.openxmlformats-officedocument.spreadsheetml.worksheet+xml" PartName="/xl/worksheets/sheet9890.xml"/>
  <Override ContentType="application/vnd.openxmlformats-officedocument.spreadsheetml.worksheet+xml" PartName="/xl/worksheets/sheet9891.xml"/>
  <Override ContentType="application/vnd.openxmlformats-officedocument.spreadsheetml.worksheet+xml" PartName="/xl/worksheets/sheet9892.xml"/>
  <Override ContentType="application/vnd.openxmlformats-officedocument.spreadsheetml.worksheet+xml" PartName="/xl/worksheets/sheet9893.xml"/>
  <Override ContentType="application/vnd.openxmlformats-officedocument.spreadsheetml.worksheet+xml" PartName="/xl/worksheets/sheet9894.xml"/>
  <Override ContentType="application/vnd.openxmlformats-officedocument.spreadsheetml.worksheet+xml" PartName="/xl/worksheets/sheet9895.xml"/>
  <Override ContentType="application/vnd.openxmlformats-officedocument.spreadsheetml.worksheet+xml" PartName="/xl/worksheets/sheet9896.xml"/>
  <Override ContentType="application/vnd.openxmlformats-officedocument.spreadsheetml.worksheet+xml" PartName="/xl/worksheets/sheet9897.xml"/>
  <Override ContentType="application/vnd.openxmlformats-officedocument.spreadsheetml.worksheet+xml" PartName="/xl/worksheets/sheet9898.xml"/>
  <Override ContentType="application/vnd.openxmlformats-officedocument.spreadsheetml.worksheet+xml" PartName="/xl/worksheets/sheet9899.xml"/>
  <Override ContentType="application/vnd.openxmlformats-officedocument.spreadsheetml.worksheet+xml" PartName="/xl/worksheets/sheet9900.xml"/>
  <Override ContentType="application/vnd.openxmlformats-officedocument.spreadsheetml.worksheet+xml" PartName="/xl/worksheets/sheet9901.xml"/>
  <Override ContentType="application/vnd.openxmlformats-officedocument.spreadsheetml.worksheet+xml" PartName="/xl/worksheets/sheet9902.xml"/>
  <Override ContentType="application/vnd.openxmlformats-officedocument.spreadsheetml.worksheet+xml" PartName="/xl/worksheets/sheet9903.xml"/>
  <Override ContentType="application/vnd.openxmlformats-officedocument.spreadsheetml.worksheet+xml" PartName="/xl/worksheets/sheet9904.xml"/>
  <Override ContentType="application/vnd.openxmlformats-officedocument.spreadsheetml.worksheet+xml" PartName="/xl/worksheets/sheet9905.xml"/>
  <Override ContentType="application/vnd.openxmlformats-officedocument.spreadsheetml.worksheet+xml" PartName="/xl/worksheets/sheet9906.xml"/>
  <Override ContentType="application/vnd.openxmlformats-officedocument.spreadsheetml.worksheet+xml" PartName="/xl/worksheets/sheet9907.xml"/>
  <Override ContentType="application/vnd.openxmlformats-officedocument.spreadsheetml.worksheet+xml" PartName="/xl/worksheets/sheet9908.xml"/>
  <Override ContentType="application/vnd.openxmlformats-officedocument.spreadsheetml.worksheet+xml" PartName="/xl/worksheets/sheet9909.xml"/>
  <Override ContentType="application/vnd.openxmlformats-officedocument.spreadsheetml.worksheet+xml" PartName="/xl/worksheets/sheet9910.xml"/>
  <Override ContentType="application/vnd.openxmlformats-officedocument.spreadsheetml.worksheet+xml" PartName="/xl/worksheets/sheet9911.xml"/>
  <Override ContentType="application/vnd.openxmlformats-officedocument.spreadsheetml.worksheet+xml" PartName="/xl/worksheets/sheet9912.xml"/>
  <Override ContentType="application/vnd.openxmlformats-officedocument.spreadsheetml.worksheet+xml" PartName="/xl/worksheets/sheet9913.xml"/>
  <Override ContentType="application/vnd.openxmlformats-officedocument.spreadsheetml.worksheet+xml" PartName="/xl/worksheets/sheet9914.xml"/>
  <Override ContentType="application/vnd.openxmlformats-officedocument.spreadsheetml.worksheet+xml" PartName="/xl/worksheets/sheet9915.xml"/>
  <Override ContentType="application/vnd.openxmlformats-officedocument.spreadsheetml.worksheet+xml" PartName="/xl/worksheets/sheet9916.xml"/>
  <Override ContentType="application/vnd.openxmlformats-officedocument.spreadsheetml.worksheet+xml" PartName="/xl/worksheets/sheet9917.xml"/>
  <Override ContentType="application/vnd.openxmlformats-officedocument.spreadsheetml.worksheet+xml" PartName="/xl/worksheets/sheet9918.xml"/>
  <Override ContentType="application/vnd.openxmlformats-officedocument.spreadsheetml.worksheet+xml" PartName="/xl/worksheets/sheet9919.xml"/>
  <Override ContentType="application/vnd.openxmlformats-officedocument.spreadsheetml.worksheet+xml" PartName="/xl/worksheets/sheet9920.xml"/>
  <Override ContentType="application/vnd.openxmlformats-officedocument.spreadsheetml.worksheet+xml" PartName="/xl/worksheets/sheet9921.xml"/>
  <Override ContentType="application/vnd.openxmlformats-officedocument.spreadsheetml.worksheet+xml" PartName="/xl/worksheets/sheet9922.xml"/>
  <Override ContentType="application/vnd.openxmlformats-officedocument.spreadsheetml.worksheet+xml" PartName="/xl/worksheets/sheet9923.xml"/>
  <Override ContentType="application/vnd.openxmlformats-officedocument.spreadsheetml.worksheet+xml" PartName="/xl/worksheets/sheet9924.xml"/>
  <Override ContentType="application/vnd.openxmlformats-officedocument.spreadsheetml.worksheet+xml" PartName="/xl/worksheets/sheet9925.xml"/>
  <Override ContentType="application/vnd.openxmlformats-officedocument.spreadsheetml.worksheet+xml" PartName="/xl/worksheets/sheet9926.xml"/>
  <Override ContentType="application/vnd.openxmlformats-officedocument.spreadsheetml.worksheet+xml" PartName="/xl/worksheets/sheet9927.xml"/>
  <Override ContentType="application/vnd.openxmlformats-officedocument.spreadsheetml.worksheet+xml" PartName="/xl/worksheets/sheet9928.xml"/>
  <Override ContentType="application/vnd.openxmlformats-officedocument.spreadsheetml.worksheet+xml" PartName="/xl/worksheets/sheet9929.xml"/>
  <Override ContentType="application/vnd.openxmlformats-officedocument.spreadsheetml.worksheet+xml" PartName="/xl/worksheets/sheet9930.xml"/>
  <Override ContentType="application/vnd.openxmlformats-officedocument.spreadsheetml.worksheet+xml" PartName="/xl/worksheets/sheet9931.xml"/>
  <Override ContentType="application/vnd.openxmlformats-officedocument.spreadsheetml.worksheet+xml" PartName="/xl/worksheets/sheet9932.xml"/>
  <Override ContentType="application/vnd.openxmlformats-officedocument.spreadsheetml.worksheet+xml" PartName="/xl/worksheets/sheet9933.xml"/>
  <Override ContentType="application/vnd.openxmlformats-officedocument.spreadsheetml.worksheet+xml" PartName="/xl/worksheets/sheet9934.xml"/>
  <Override ContentType="application/vnd.openxmlformats-officedocument.spreadsheetml.worksheet+xml" PartName="/xl/worksheets/sheet9935.xml"/>
  <Override ContentType="application/vnd.openxmlformats-officedocument.spreadsheetml.worksheet+xml" PartName="/xl/worksheets/sheet9936.xml"/>
  <Override ContentType="application/vnd.openxmlformats-officedocument.spreadsheetml.worksheet+xml" PartName="/xl/worksheets/sheet9937.xml"/>
  <Override ContentType="application/vnd.openxmlformats-officedocument.spreadsheetml.worksheet+xml" PartName="/xl/worksheets/sheet9938.xml"/>
  <Override ContentType="application/vnd.openxmlformats-officedocument.spreadsheetml.worksheet+xml" PartName="/xl/worksheets/sheet9939.xml"/>
  <Override ContentType="application/vnd.openxmlformats-officedocument.spreadsheetml.worksheet+xml" PartName="/xl/worksheets/sheet9940.xml"/>
  <Override ContentType="application/vnd.openxmlformats-officedocument.spreadsheetml.worksheet+xml" PartName="/xl/worksheets/sheet9941.xml"/>
  <Override ContentType="application/vnd.openxmlformats-officedocument.spreadsheetml.worksheet+xml" PartName="/xl/worksheets/sheet9942.xml"/>
  <Override ContentType="application/vnd.openxmlformats-officedocument.spreadsheetml.worksheet+xml" PartName="/xl/worksheets/sheet9943.xml"/>
  <Override ContentType="application/vnd.openxmlformats-officedocument.spreadsheetml.worksheet+xml" PartName="/xl/worksheets/sheet9944.xml"/>
  <Override ContentType="application/vnd.openxmlformats-officedocument.spreadsheetml.worksheet+xml" PartName="/xl/worksheets/sheet9945.xml"/>
  <Override ContentType="application/vnd.openxmlformats-officedocument.spreadsheetml.worksheet+xml" PartName="/xl/worksheets/sheet9946.xml"/>
  <Override ContentType="application/vnd.openxmlformats-officedocument.spreadsheetml.worksheet+xml" PartName="/xl/worksheets/sheet9947.xml"/>
  <Override ContentType="application/vnd.openxmlformats-officedocument.spreadsheetml.worksheet+xml" PartName="/xl/worksheets/sheet9948.xml"/>
  <Override ContentType="application/vnd.openxmlformats-officedocument.spreadsheetml.worksheet+xml" PartName="/xl/worksheets/sheet9949.xml"/>
  <Override ContentType="application/vnd.openxmlformats-officedocument.spreadsheetml.worksheet+xml" PartName="/xl/worksheets/sheet9950.xml"/>
  <Override ContentType="application/vnd.openxmlformats-officedocument.spreadsheetml.worksheet+xml" PartName="/xl/worksheets/sheet9951.xml"/>
  <Override ContentType="application/vnd.openxmlformats-officedocument.spreadsheetml.worksheet+xml" PartName="/xl/worksheets/sheet9952.xml"/>
  <Override ContentType="application/vnd.openxmlformats-officedocument.spreadsheetml.worksheet+xml" PartName="/xl/worksheets/sheet9953.xml"/>
  <Override ContentType="application/vnd.openxmlformats-officedocument.spreadsheetml.worksheet+xml" PartName="/xl/worksheets/sheet9954.xml"/>
  <Override ContentType="application/vnd.openxmlformats-officedocument.spreadsheetml.worksheet+xml" PartName="/xl/worksheets/sheet9955.xml"/>
  <Override ContentType="application/vnd.openxmlformats-officedocument.spreadsheetml.worksheet+xml" PartName="/xl/worksheets/sheet9956.xml"/>
  <Override ContentType="application/vnd.openxmlformats-officedocument.spreadsheetml.worksheet+xml" PartName="/xl/worksheets/sheet9957.xml"/>
  <Override ContentType="application/vnd.openxmlformats-officedocument.spreadsheetml.worksheet+xml" PartName="/xl/worksheets/sheet9958.xml"/>
  <Override ContentType="application/vnd.openxmlformats-officedocument.spreadsheetml.worksheet+xml" PartName="/xl/worksheets/sheet9959.xml"/>
  <Override ContentType="application/vnd.openxmlformats-officedocument.spreadsheetml.worksheet+xml" PartName="/xl/worksheets/sheet9960.xml"/>
  <Override ContentType="application/vnd.openxmlformats-officedocument.spreadsheetml.worksheet+xml" PartName="/xl/worksheets/sheet9961.xml"/>
  <Override ContentType="application/vnd.openxmlformats-officedocument.spreadsheetml.worksheet+xml" PartName="/xl/worksheets/sheet9962.xml"/>
  <Override ContentType="application/vnd.openxmlformats-officedocument.spreadsheetml.worksheet+xml" PartName="/xl/worksheets/sheet9963.xml"/>
  <Override ContentType="application/vnd.openxmlformats-officedocument.spreadsheetml.worksheet+xml" PartName="/xl/worksheets/sheet9964.xml"/>
  <Override ContentType="application/vnd.openxmlformats-officedocument.spreadsheetml.worksheet+xml" PartName="/xl/worksheets/sheet9965.xml"/>
  <Override ContentType="application/vnd.openxmlformats-officedocument.spreadsheetml.worksheet+xml" PartName="/xl/worksheets/sheet9966.xml"/>
  <Override ContentType="application/vnd.openxmlformats-officedocument.spreadsheetml.worksheet+xml" PartName="/xl/worksheets/sheet9967.xml"/>
  <Override ContentType="application/vnd.openxmlformats-officedocument.spreadsheetml.worksheet+xml" PartName="/xl/worksheets/sheet9968.xml"/>
  <Override ContentType="application/vnd.openxmlformats-officedocument.spreadsheetml.worksheet+xml" PartName="/xl/worksheets/sheet9969.xml"/>
  <Override ContentType="application/vnd.openxmlformats-officedocument.spreadsheetml.worksheet+xml" PartName="/xl/worksheets/sheet9970.xml"/>
  <Override ContentType="application/vnd.openxmlformats-officedocument.spreadsheetml.worksheet+xml" PartName="/xl/worksheets/sheet9971.xml"/>
  <Override ContentType="application/vnd.openxmlformats-officedocument.spreadsheetml.worksheet+xml" PartName="/xl/worksheets/sheet9972.xml"/>
  <Override ContentType="application/vnd.openxmlformats-officedocument.spreadsheetml.worksheet+xml" PartName="/xl/worksheets/sheet9973.xml"/>
  <Override ContentType="application/vnd.openxmlformats-officedocument.spreadsheetml.worksheet+xml" PartName="/xl/worksheets/sheet9974.xml"/>
  <Override ContentType="application/vnd.openxmlformats-officedocument.spreadsheetml.worksheet+xml" PartName="/xl/worksheets/sheet9975.xml"/>
  <Override ContentType="application/vnd.openxmlformats-officedocument.spreadsheetml.worksheet+xml" PartName="/xl/worksheets/sheet9976.xml"/>
  <Override ContentType="application/vnd.openxmlformats-officedocument.spreadsheetml.worksheet+xml" PartName="/xl/worksheets/sheet9977.xml"/>
  <Override ContentType="application/vnd.openxmlformats-officedocument.spreadsheetml.worksheet+xml" PartName="/xl/worksheets/sheet9978.xml"/>
  <Override ContentType="application/vnd.openxmlformats-officedocument.spreadsheetml.worksheet+xml" PartName="/xl/worksheets/sheet9979.xml"/>
  <Override ContentType="application/vnd.openxmlformats-officedocument.spreadsheetml.worksheet+xml" PartName="/xl/worksheets/sheet9980.xml"/>
  <Override ContentType="application/vnd.openxmlformats-officedocument.spreadsheetml.worksheet+xml" PartName="/xl/worksheets/sheet9981.xml"/>
  <Override ContentType="application/vnd.openxmlformats-officedocument.spreadsheetml.worksheet+xml" PartName="/xl/worksheets/sheet9982.xml"/>
  <Override ContentType="application/vnd.openxmlformats-officedocument.spreadsheetml.worksheet+xml" PartName="/xl/worksheets/sheet9983.xml"/>
  <Override ContentType="application/vnd.openxmlformats-officedocument.spreadsheetml.worksheet+xml" PartName="/xl/worksheets/sheet9984.xml"/>
  <Override ContentType="application/vnd.openxmlformats-officedocument.spreadsheetml.worksheet+xml" PartName="/xl/worksheets/sheet9985.xml"/>
  <Override ContentType="application/vnd.openxmlformats-officedocument.spreadsheetml.worksheet+xml" PartName="/xl/worksheets/sheet9986.xml"/>
  <Override ContentType="application/vnd.openxmlformats-officedocument.spreadsheetml.worksheet+xml" PartName="/xl/worksheets/sheet9987.xml"/>
  <Override ContentType="application/vnd.openxmlformats-officedocument.spreadsheetml.worksheet+xml" PartName="/xl/worksheets/sheet9988.xml"/>
  <Override ContentType="application/vnd.openxmlformats-officedocument.spreadsheetml.worksheet+xml" PartName="/xl/worksheets/sheet9989.xml"/>
  <Override ContentType="application/vnd.openxmlformats-officedocument.spreadsheetml.worksheet+xml" PartName="/xl/worksheets/sheet9990.xml"/>
  <Override ContentType="application/vnd.openxmlformats-officedocument.spreadsheetml.worksheet+xml" PartName="/xl/worksheets/sheet9991.xml"/>
  <Override ContentType="application/vnd.openxmlformats-officedocument.spreadsheetml.worksheet+xml" PartName="/xl/worksheets/sheet9992.xml"/>
  <Override ContentType="application/vnd.openxmlformats-officedocument.spreadsheetml.worksheet+xml" PartName="/xl/worksheets/sheet9993.xml"/>
  <Override ContentType="application/vnd.openxmlformats-officedocument.spreadsheetml.worksheet+xml" PartName="/xl/worksheets/sheet9994.xml"/>
  <Override ContentType="application/vnd.openxmlformats-officedocument.spreadsheetml.worksheet+xml" PartName="/xl/worksheets/sheet9995.xml"/>
  <Override ContentType="application/vnd.openxmlformats-officedocument.spreadsheetml.worksheet+xml" PartName="/xl/worksheets/sheet9996.xml"/>
  <Override ContentType="application/vnd.openxmlformats-officedocument.spreadsheetml.worksheet+xml" PartName="/xl/worksheets/sheet9997.xml"/>
  <Override ContentType="application/vnd.openxmlformats-officedocument.spreadsheetml.worksheet+xml" PartName="/xl/worksheets/sheet9998.xml"/>
  <Override ContentType="application/vnd.openxmlformats-officedocument.spreadsheetml.worksheet+xml" PartName="/xl/worksheets/sheet9999.xml"/>
  <Override ContentType="application/vnd.openxmlformats-officedocument.spreadsheetml.worksheet+xml" PartName="/xl/worksheets/sheet10000.xml"/>
  <Override ContentType="application/vnd.openxmlformats-officedocument.spreadsheetml.worksheet+xml" PartName="/xl/worksheets/sheet10001.xml"/>
  <Override ContentType="application/vnd.openxmlformats-officedocument.spreadsheetml.worksheet+xml" PartName="/xl/worksheets/sheet10002.xml"/>
  <Override ContentType="application/vnd.openxmlformats-officedocument.spreadsheetml.worksheet+xml" PartName="/xl/worksheets/sheet10003.xml"/>
  <Override ContentType="application/vnd.openxmlformats-officedocument.spreadsheetml.worksheet+xml" PartName="/xl/worksheets/sheet10004.xml"/>
  <Override ContentType="application/vnd.openxmlformats-officedocument.spreadsheetml.worksheet+xml" PartName="/xl/worksheets/sheet10005.xml"/>
  <Override ContentType="application/vnd.openxmlformats-officedocument.spreadsheetml.worksheet+xml" PartName="/xl/worksheets/sheet10006.xml"/>
  <Override ContentType="application/vnd.openxmlformats-officedocument.spreadsheetml.worksheet+xml" PartName="/xl/worksheets/sheet10007.xml"/>
  <Override ContentType="application/vnd.openxmlformats-officedocument.spreadsheetml.worksheet+xml" PartName="/xl/worksheets/sheet10008.xml"/>
  <Override ContentType="application/vnd.openxmlformats-officedocument.spreadsheetml.worksheet+xml" PartName="/xl/worksheets/sheet10009.xml"/>
  <Override ContentType="application/vnd.openxmlformats-officedocument.spreadsheetml.worksheet+xml" PartName="/xl/worksheets/sheet10010.xml"/>
  <Override ContentType="application/vnd.openxmlformats-officedocument.spreadsheetml.worksheet+xml" PartName="/xl/worksheets/sheet10011.xml"/>
  <Override ContentType="application/vnd.openxmlformats-officedocument.spreadsheetml.worksheet+xml" PartName="/xl/worksheets/sheet10012.xml"/>
  <Override ContentType="application/vnd.openxmlformats-officedocument.spreadsheetml.worksheet+xml" PartName="/xl/worksheets/sheet10013.xml"/>
  <Override ContentType="application/vnd.openxmlformats-officedocument.spreadsheetml.worksheet+xml" PartName="/xl/worksheets/sheet10014.xml"/>
  <Override ContentType="application/vnd.openxmlformats-officedocument.spreadsheetml.worksheet+xml" PartName="/xl/worksheets/sheet10015.xml"/>
  <Override ContentType="application/vnd.openxmlformats-officedocument.spreadsheetml.worksheet+xml" PartName="/xl/worksheets/sheet10016.xml"/>
  <Override ContentType="application/vnd.openxmlformats-officedocument.spreadsheetml.worksheet+xml" PartName="/xl/worksheets/sheet10017.xml"/>
  <Override ContentType="application/vnd.openxmlformats-officedocument.spreadsheetml.worksheet+xml" PartName="/xl/worksheets/sheet10018.xml"/>
  <Override ContentType="application/vnd.openxmlformats-officedocument.spreadsheetml.worksheet+xml" PartName="/xl/worksheets/sheet10019.xml"/>
  <Override ContentType="application/vnd.openxmlformats-officedocument.spreadsheetml.worksheet+xml" PartName="/xl/worksheets/sheet10020.xml"/>
  <Override ContentType="application/vnd.openxmlformats-officedocument.spreadsheetml.worksheet+xml" PartName="/xl/worksheets/sheet10021.xml"/>
  <Override ContentType="application/vnd.openxmlformats-officedocument.spreadsheetml.worksheet+xml" PartName="/xl/worksheets/sheet10022.xml"/>
  <Override ContentType="application/vnd.openxmlformats-officedocument.spreadsheetml.worksheet+xml" PartName="/xl/worksheets/sheet10023.xml"/>
  <Override ContentType="application/vnd.openxmlformats-officedocument.spreadsheetml.worksheet+xml" PartName="/xl/worksheets/sheet10024.xml"/>
  <Override ContentType="application/vnd.openxmlformats-officedocument.spreadsheetml.worksheet+xml" PartName="/xl/worksheets/sheet10025.xml"/>
  <Override ContentType="application/vnd.openxmlformats-officedocument.spreadsheetml.worksheet+xml" PartName="/xl/worksheets/sheet10026.xml"/>
  <Override ContentType="application/vnd.openxmlformats-officedocument.spreadsheetml.worksheet+xml" PartName="/xl/worksheets/sheet10027.xml"/>
  <Override ContentType="application/vnd.openxmlformats-officedocument.spreadsheetml.worksheet+xml" PartName="/xl/worksheets/sheet10028.xml"/>
  <Override ContentType="application/vnd.openxmlformats-officedocument.spreadsheetml.worksheet+xml" PartName="/xl/worksheets/sheet10029.xml"/>
  <Override ContentType="application/vnd.openxmlformats-officedocument.spreadsheetml.worksheet+xml" PartName="/xl/worksheets/sheet10030.xml"/>
  <Override ContentType="application/vnd.openxmlformats-officedocument.spreadsheetml.worksheet+xml" PartName="/xl/worksheets/sheet10031.xml"/>
  <Override ContentType="application/vnd.openxmlformats-officedocument.spreadsheetml.worksheet+xml" PartName="/xl/worksheets/sheet10032.xml"/>
  <Override ContentType="application/vnd.openxmlformats-officedocument.spreadsheetml.worksheet+xml" PartName="/xl/worksheets/sheet10033.xml"/>
  <Override ContentType="application/vnd.openxmlformats-officedocument.spreadsheetml.worksheet+xml" PartName="/xl/worksheets/sheet10034.xml"/>
  <Override ContentType="application/vnd.openxmlformats-officedocument.spreadsheetml.worksheet+xml" PartName="/xl/worksheets/sheet10035.xml"/>
  <Override ContentType="application/vnd.openxmlformats-officedocument.spreadsheetml.worksheet+xml" PartName="/xl/worksheets/sheet10036.xml"/>
  <Override ContentType="application/vnd.openxmlformats-officedocument.spreadsheetml.worksheet+xml" PartName="/xl/worksheets/sheet10037.xml"/>
  <Override ContentType="application/vnd.openxmlformats-officedocument.spreadsheetml.worksheet+xml" PartName="/xl/worksheets/sheet10038.xml"/>
  <Override ContentType="application/vnd.openxmlformats-officedocument.spreadsheetml.worksheet+xml" PartName="/xl/worksheets/sheet10039.xml"/>
  <Override ContentType="application/vnd.openxmlformats-officedocument.spreadsheetml.worksheet+xml" PartName="/xl/worksheets/sheet10040.xml"/>
  <Override ContentType="application/vnd.openxmlformats-officedocument.spreadsheetml.worksheet+xml" PartName="/xl/worksheets/sheet10041.xml"/>
  <Override ContentType="application/vnd.openxmlformats-officedocument.spreadsheetml.worksheet+xml" PartName="/xl/worksheets/sheet10042.xml"/>
  <Override ContentType="application/vnd.openxmlformats-officedocument.spreadsheetml.worksheet+xml" PartName="/xl/worksheets/sheet10043.xml"/>
  <Override ContentType="application/vnd.openxmlformats-officedocument.spreadsheetml.worksheet+xml" PartName="/xl/worksheets/sheet10044.xml"/>
  <Override ContentType="application/vnd.openxmlformats-officedocument.spreadsheetml.worksheet+xml" PartName="/xl/worksheets/sheet10045.xml"/>
  <Override ContentType="application/vnd.openxmlformats-officedocument.spreadsheetml.worksheet+xml" PartName="/xl/worksheets/sheet10046.xml"/>
  <Override ContentType="application/vnd.openxmlformats-officedocument.spreadsheetml.worksheet+xml" PartName="/xl/worksheets/sheet10047.xml"/>
  <Override ContentType="application/vnd.openxmlformats-officedocument.spreadsheetml.worksheet+xml" PartName="/xl/worksheets/sheet10048.xml"/>
  <Override ContentType="application/vnd.openxmlformats-officedocument.spreadsheetml.worksheet+xml" PartName="/xl/worksheets/sheet10049.xml"/>
  <Override ContentType="application/vnd.openxmlformats-officedocument.spreadsheetml.worksheet+xml" PartName="/xl/worksheets/sheet10050.xml"/>
  <Override ContentType="application/vnd.openxmlformats-officedocument.spreadsheetml.worksheet+xml" PartName="/xl/worksheets/sheet10051.xml"/>
  <Override ContentType="application/vnd.openxmlformats-officedocument.spreadsheetml.worksheet+xml" PartName="/xl/worksheets/sheet10052.xml"/>
  <Override ContentType="application/vnd.openxmlformats-officedocument.spreadsheetml.worksheet+xml" PartName="/xl/worksheets/sheet10053.xml"/>
  <Override ContentType="application/vnd.openxmlformats-officedocument.spreadsheetml.worksheet+xml" PartName="/xl/worksheets/sheet10054.xml"/>
  <Override ContentType="application/vnd.openxmlformats-officedocument.spreadsheetml.worksheet+xml" PartName="/xl/worksheets/sheet10055.xml"/>
  <Override ContentType="application/vnd.openxmlformats-officedocument.spreadsheetml.worksheet+xml" PartName="/xl/worksheets/sheet10056.xml"/>
  <Override ContentType="application/vnd.openxmlformats-officedocument.spreadsheetml.worksheet+xml" PartName="/xl/worksheets/sheet10057.xml"/>
  <Override ContentType="application/vnd.openxmlformats-officedocument.spreadsheetml.worksheet+xml" PartName="/xl/worksheets/sheet10058.xml"/>
  <Override ContentType="application/vnd.openxmlformats-officedocument.spreadsheetml.worksheet+xml" PartName="/xl/worksheets/sheet10059.xml"/>
  <Override ContentType="application/vnd.openxmlformats-officedocument.spreadsheetml.worksheet+xml" PartName="/xl/worksheets/sheet10060.xml"/>
  <Override ContentType="application/vnd.openxmlformats-officedocument.spreadsheetml.worksheet+xml" PartName="/xl/worksheets/sheet10061.xml"/>
  <Override ContentType="application/vnd.openxmlformats-officedocument.spreadsheetml.worksheet+xml" PartName="/xl/worksheets/sheet10062.xml"/>
  <Override ContentType="application/vnd.openxmlformats-officedocument.spreadsheetml.worksheet+xml" PartName="/xl/worksheets/sheet10063.xml"/>
  <Override ContentType="application/vnd.openxmlformats-officedocument.spreadsheetml.worksheet+xml" PartName="/xl/worksheets/sheet10064.xml"/>
  <Override ContentType="application/vnd.openxmlformats-officedocument.spreadsheetml.worksheet+xml" PartName="/xl/worksheets/sheet10065.xml"/>
  <Override ContentType="application/vnd.openxmlformats-officedocument.spreadsheetml.worksheet+xml" PartName="/xl/worksheets/sheet10066.xml"/>
  <Override ContentType="application/vnd.openxmlformats-officedocument.spreadsheetml.worksheet+xml" PartName="/xl/worksheets/sheet10067.xml"/>
  <Override ContentType="application/vnd.openxmlformats-officedocument.spreadsheetml.worksheet+xml" PartName="/xl/worksheets/sheet10068.xml"/>
  <Override ContentType="application/vnd.openxmlformats-officedocument.spreadsheetml.worksheet+xml" PartName="/xl/worksheets/sheet10069.xml"/>
  <Override ContentType="application/vnd.openxmlformats-officedocument.spreadsheetml.worksheet+xml" PartName="/xl/worksheets/sheet10070.xml"/>
  <Override ContentType="application/vnd.openxmlformats-officedocument.spreadsheetml.worksheet+xml" PartName="/xl/worksheets/sheet10071.xml"/>
  <Override ContentType="application/vnd.openxmlformats-officedocument.spreadsheetml.worksheet+xml" PartName="/xl/worksheets/sheet10072.xml"/>
  <Override ContentType="application/vnd.openxmlformats-officedocument.spreadsheetml.worksheet+xml" PartName="/xl/worksheets/sheet10073.xml"/>
  <Override ContentType="application/vnd.openxmlformats-officedocument.spreadsheetml.worksheet+xml" PartName="/xl/worksheets/sheet10074.xml"/>
  <Override ContentType="application/vnd.openxmlformats-officedocument.spreadsheetml.worksheet+xml" PartName="/xl/worksheets/sheet10075.xml"/>
  <Override ContentType="application/vnd.openxmlformats-officedocument.spreadsheetml.worksheet+xml" PartName="/xl/worksheets/sheet10076.xml"/>
  <Override ContentType="application/vnd.openxmlformats-officedocument.spreadsheetml.worksheet+xml" PartName="/xl/worksheets/sheet10077.xml"/>
  <Override ContentType="application/vnd.openxmlformats-officedocument.spreadsheetml.worksheet+xml" PartName="/xl/worksheets/sheet10078.xml"/>
  <Override ContentType="application/vnd.openxmlformats-officedocument.spreadsheetml.worksheet+xml" PartName="/xl/worksheets/sheet10079.xml"/>
  <Override ContentType="application/vnd.openxmlformats-officedocument.spreadsheetml.worksheet+xml" PartName="/xl/worksheets/sheet10080.xml"/>
  <Override ContentType="application/vnd.openxmlformats-officedocument.spreadsheetml.worksheet+xml" PartName="/xl/worksheets/sheet10081.xml"/>
  <Override ContentType="application/vnd.openxmlformats-officedocument.spreadsheetml.worksheet+xml" PartName="/xl/worksheets/sheet10082.xml"/>
  <Override ContentType="application/vnd.openxmlformats-officedocument.spreadsheetml.worksheet+xml" PartName="/xl/worksheets/sheet10083.xml"/>
  <Override ContentType="application/vnd.openxmlformats-officedocument.spreadsheetml.worksheet+xml" PartName="/xl/worksheets/sheet10084.xml"/>
  <Override ContentType="application/vnd.openxmlformats-officedocument.spreadsheetml.worksheet+xml" PartName="/xl/worksheets/sheet10085.xml"/>
  <Override ContentType="application/vnd.openxmlformats-officedocument.spreadsheetml.worksheet+xml" PartName="/xl/worksheets/sheet10086.xml"/>
  <Override ContentType="application/vnd.openxmlformats-officedocument.spreadsheetml.worksheet+xml" PartName="/xl/worksheets/sheet10087.xml"/>
  <Override ContentType="application/vnd.openxmlformats-officedocument.spreadsheetml.worksheet+xml" PartName="/xl/worksheets/sheet10088.xml"/>
  <Override ContentType="application/vnd.openxmlformats-officedocument.spreadsheetml.worksheet+xml" PartName="/xl/worksheets/sheet10089.xml"/>
  <Override ContentType="application/vnd.openxmlformats-officedocument.spreadsheetml.worksheet+xml" PartName="/xl/worksheets/sheet10090.xml"/>
  <Override ContentType="application/vnd.openxmlformats-officedocument.spreadsheetml.worksheet+xml" PartName="/xl/worksheets/sheet10091.xml"/>
  <Override ContentType="application/vnd.openxmlformats-officedocument.spreadsheetml.worksheet+xml" PartName="/xl/worksheets/sheet10092.xml"/>
  <Override ContentType="application/vnd.openxmlformats-officedocument.spreadsheetml.worksheet+xml" PartName="/xl/worksheets/sheet10093.xml"/>
  <Override ContentType="application/vnd.openxmlformats-officedocument.spreadsheetml.worksheet+xml" PartName="/xl/worksheets/sheet10094.xml"/>
  <Override ContentType="application/vnd.openxmlformats-officedocument.spreadsheetml.worksheet+xml" PartName="/xl/worksheets/sheet10095.xml"/>
  <Override ContentType="application/vnd.openxmlformats-officedocument.spreadsheetml.worksheet+xml" PartName="/xl/worksheets/sheet10096.xml"/>
  <Override ContentType="application/vnd.openxmlformats-officedocument.spreadsheetml.worksheet+xml" PartName="/xl/worksheets/sheet10097.xml"/>
  <Override ContentType="application/vnd.openxmlformats-officedocument.spreadsheetml.worksheet+xml" PartName="/xl/worksheets/sheet10098.xml"/>
  <Override ContentType="application/vnd.openxmlformats-officedocument.spreadsheetml.worksheet+xml" PartName="/xl/worksheets/sheet10099.xml"/>
  <Override ContentType="application/vnd.openxmlformats-officedocument.spreadsheetml.worksheet+xml" PartName="/xl/worksheets/sheet10100.xml"/>
  <Override ContentType="application/vnd.openxmlformats-officedocument.spreadsheetml.worksheet+xml" PartName="/xl/worksheets/sheet10101.xml"/>
  <Override ContentType="application/vnd.openxmlformats-officedocument.spreadsheetml.worksheet+xml" PartName="/xl/worksheets/sheet10102.xml"/>
  <Override ContentType="application/vnd.openxmlformats-officedocument.spreadsheetml.worksheet+xml" PartName="/xl/worksheets/sheet10103.xml"/>
  <Override ContentType="application/vnd.openxmlformats-officedocument.spreadsheetml.worksheet+xml" PartName="/xl/worksheets/sheet10104.xml"/>
  <Override ContentType="application/vnd.openxmlformats-officedocument.spreadsheetml.worksheet+xml" PartName="/xl/worksheets/sheet10105.xml"/>
  <Override ContentType="application/vnd.openxmlformats-officedocument.spreadsheetml.worksheet+xml" PartName="/xl/worksheets/sheet10106.xml"/>
  <Override ContentType="application/vnd.openxmlformats-officedocument.spreadsheetml.worksheet+xml" PartName="/xl/worksheets/sheet10107.xml"/>
  <Override ContentType="application/vnd.openxmlformats-officedocument.spreadsheetml.worksheet+xml" PartName="/xl/worksheets/sheet10108.xml"/>
  <Override ContentType="application/vnd.openxmlformats-officedocument.spreadsheetml.worksheet+xml" PartName="/xl/worksheets/sheet10109.xml"/>
  <Override ContentType="application/vnd.openxmlformats-officedocument.spreadsheetml.worksheet+xml" PartName="/xl/worksheets/sheet10110.xml"/>
  <Override ContentType="application/vnd.openxmlformats-officedocument.spreadsheetml.worksheet+xml" PartName="/xl/worksheets/sheet10111.xml"/>
  <Override ContentType="application/vnd.openxmlformats-officedocument.spreadsheetml.worksheet+xml" PartName="/xl/worksheets/sheet10112.xml"/>
  <Override ContentType="application/vnd.openxmlformats-officedocument.spreadsheetml.worksheet+xml" PartName="/xl/worksheets/sheet10113.xml"/>
  <Override ContentType="application/vnd.openxmlformats-officedocument.spreadsheetml.worksheet+xml" PartName="/xl/worksheets/sheet10114.xml"/>
  <Override ContentType="application/vnd.openxmlformats-officedocument.spreadsheetml.worksheet+xml" PartName="/xl/worksheets/sheet10115.xml"/>
  <Override ContentType="application/vnd.openxmlformats-officedocument.spreadsheetml.worksheet+xml" PartName="/xl/worksheets/sheet10116.xml"/>
  <Override ContentType="application/vnd.openxmlformats-officedocument.spreadsheetml.worksheet+xml" PartName="/xl/worksheets/sheet10117.xml"/>
  <Override ContentType="application/vnd.openxmlformats-officedocument.spreadsheetml.worksheet+xml" PartName="/xl/worksheets/sheet10118.xml"/>
  <Override ContentType="application/vnd.openxmlformats-officedocument.spreadsheetml.worksheet+xml" PartName="/xl/worksheets/sheet10119.xml"/>
  <Override ContentType="application/vnd.openxmlformats-officedocument.spreadsheetml.worksheet+xml" PartName="/xl/worksheets/sheet10120.xml"/>
  <Override ContentType="application/vnd.openxmlformats-officedocument.spreadsheetml.worksheet+xml" PartName="/xl/worksheets/sheet10121.xml"/>
  <Override ContentType="application/vnd.openxmlformats-officedocument.spreadsheetml.worksheet+xml" PartName="/xl/worksheets/sheet10122.xml"/>
  <Override ContentType="application/vnd.openxmlformats-officedocument.spreadsheetml.worksheet+xml" PartName="/xl/worksheets/sheet10123.xml"/>
  <Override ContentType="application/vnd.openxmlformats-officedocument.spreadsheetml.worksheet+xml" PartName="/xl/worksheets/sheet10124.xml"/>
  <Override ContentType="application/vnd.openxmlformats-officedocument.spreadsheetml.worksheet+xml" PartName="/xl/worksheets/sheet10125.xml"/>
  <Override ContentType="application/vnd.openxmlformats-officedocument.spreadsheetml.worksheet+xml" PartName="/xl/worksheets/sheet10126.xml"/>
  <Override ContentType="application/vnd.openxmlformats-officedocument.spreadsheetml.worksheet+xml" PartName="/xl/worksheets/sheet10127.xml"/>
  <Override ContentType="application/vnd.openxmlformats-officedocument.spreadsheetml.worksheet+xml" PartName="/xl/worksheets/sheet10128.xml"/>
  <Override ContentType="application/vnd.openxmlformats-officedocument.spreadsheetml.worksheet+xml" PartName="/xl/worksheets/sheet10129.xml"/>
  <Override ContentType="application/vnd.openxmlformats-officedocument.spreadsheetml.worksheet+xml" PartName="/xl/worksheets/sheet10130.xml"/>
  <Override ContentType="application/vnd.openxmlformats-officedocument.spreadsheetml.worksheet+xml" PartName="/xl/worksheets/sheet10131.xml"/>
  <Override ContentType="application/vnd.openxmlformats-officedocument.spreadsheetml.worksheet+xml" PartName="/xl/worksheets/sheet10132.xml"/>
  <Override ContentType="application/vnd.openxmlformats-officedocument.spreadsheetml.worksheet+xml" PartName="/xl/worksheets/sheet10133.xml"/>
  <Override ContentType="application/vnd.openxmlformats-officedocument.spreadsheetml.worksheet+xml" PartName="/xl/worksheets/sheet10134.xml"/>
  <Override ContentType="application/vnd.openxmlformats-officedocument.spreadsheetml.worksheet+xml" PartName="/xl/worksheets/sheet10135.xml"/>
  <Override ContentType="application/vnd.openxmlformats-officedocument.spreadsheetml.worksheet+xml" PartName="/xl/worksheets/sheet10136.xml"/>
  <Override ContentType="application/vnd.openxmlformats-officedocument.spreadsheetml.worksheet+xml" PartName="/xl/worksheets/sheet10137.xml"/>
  <Override ContentType="application/vnd.openxmlformats-officedocument.spreadsheetml.worksheet+xml" PartName="/xl/worksheets/sheet10138.xml"/>
  <Override ContentType="application/vnd.openxmlformats-officedocument.spreadsheetml.worksheet+xml" PartName="/xl/worksheets/sheet10139.xml"/>
  <Override ContentType="application/vnd.openxmlformats-officedocument.spreadsheetml.worksheet+xml" PartName="/xl/worksheets/sheet10140.xml"/>
  <Override ContentType="application/vnd.openxmlformats-officedocument.spreadsheetml.worksheet+xml" PartName="/xl/worksheets/sheet10141.xml"/>
  <Override ContentType="application/vnd.openxmlformats-officedocument.spreadsheetml.worksheet+xml" PartName="/xl/worksheets/sheet10142.xml"/>
  <Override ContentType="application/vnd.openxmlformats-officedocument.spreadsheetml.worksheet+xml" PartName="/xl/worksheets/sheet10143.xml"/>
  <Override ContentType="application/vnd.openxmlformats-officedocument.spreadsheetml.worksheet+xml" PartName="/xl/worksheets/sheet10144.xml"/>
  <Override ContentType="application/vnd.openxmlformats-officedocument.spreadsheetml.worksheet+xml" PartName="/xl/worksheets/sheet10145.xml"/>
  <Override ContentType="application/vnd.openxmlformats-officedocument.spreadsheetml.worksheet+xml" PartName="/xl/worksheets/sheet10146.xml"/>
  <Override ContentType="application/vnd.openxmlformats-officedocument.spreadsheetml.worksheet+xml" PartName="/xl/worksheets/sheet10147.xml"/>
  <Override ContentType="application/vnd.openxmlformats-officedocument.spreadsheetml.worksheet+xml" PartName="/xl/worksheets/sheet10148.xml"/>
  <Override ContentType="application/vnd.openxmlformats-officedocument.spreadsheetml.worksheet+xml" PartName="/xl/worksheets/sheet10149.xml"/>
  <Override ContentType="application/vnd.openxmlformats-officedocument.spreadsheetml.worksheet+xml" PartName="/xl/worksheets/sheet10150.xml"/>
  <Override ContentType="application/vnd.openxmlformats-officedocument.spreadsheetml.worksheet+xml" PartName="/xl/worksheets/sheet10151.xml"/>
  <Override ContentType="application/vnd.openxmlformats-officedocument.spreadsheetml.worksheet+xml" PartName="/xl/worksheets/sheet10152.xml"/>
  <Override ContentType="application/vnd.openxmlformats-officedocument.spreadsheetml.worksheet+xml" PartName="/xl/worksheets/sheet10153.xml"/>
  <Override ContentType="application/vnd.openxmlformats-officedocument.spreadsheetml.worksheet+xml" PartName="/xl/worksheets/sheet10154.xml"/>
  <Override ContentType="application/vnd.openxmlformats-officedocument.spreadsheetml.worksheet+xml" PartName="/xl/worksheets/sheet10155.xml"/>
  <Override ContentType="application/vnd.openxmlformats-officedocument.spreadsheetml.worksheet+xml" PartName="/xl/worksheets/sheet10156.xml"/>
  <Override ContentType="application/vnd.openxmlformats-officedocument.spreadsheetml.worksheet+xml" PartName="/xl/worksheets/sheet10157.xml"/>
  <Override ContentType="application/vnd.openxmlformats-officedocument.spreadsheetml.worksheet+xml" PartName="/xl/worksheets/sheet10158.xml"/>
  <Override ContentType="application/vnd.openxmlformats-officedocument.spreadsheetml.worksheet+xml" PartName="/xl/worksheets/sheet10159.xml"/>
  <Override ContentType="application/vnd.openxmlformats-officedocument.spreadsheetml.worksheet+xml" PartName="/xl/worksheets/sheet10160.xml"/>
  <Override ContentType="application/vnd.openxmlformats-officedocument.spreadsheetml.worksheet+xml" PartName="/xl/worksheets/sheet10161.xml"/>
  <Override ContentType="application/vnd.openxmlformats-officedocument.spreadsheetml.worksheet+xml" PartName="/xl/worksheets/sheet10162.xml"/>
  <Override ContentType="application/vnd.openxmlformats-officedocument.spreadsheetml.worksheet+xml" PartName="/xl/worksheets/sheet10163.xml"/>
  <Override ContentType="application/vnd.openxmlformats-officedocument.spreadsheetml.worksheet+xml" PartName="/xl/worksheets/sheet10164.xml"/>
  <Override ContentType="application/vnd.openxmlformats-officedocument.spreadsheetml.worksheet+xml" PartName="/xl/worksheets/sheet10165.xml"/>
  <Override ContentType="application/vnd.openxmlformats-officedocument.spreadsheetml.worksheet+xml" PartName="/xl/worksheets/sheet10166.xml"/>
  <Override ContentType="application/vnd.openxmlformats-officedocument.spreadsheetml.worksheet+xml" PartName="/xl/worksheets/sheet10167.xml"/>
  <Override ContentType="application/vnd.openxmlformats-officedocument.spreadsheetml.worksheet+xml" PartName="/xl/worksheets/sheet10168.xml"/>
  <Override ContentType="application/vnd.openxmlformats-officedocument.spreadsheetml.worksheet+xml" PartName="/xl/worksheets/sheet10169.xml"/>
  <Override ContentType="application/vnd.openxmlformats-officedocument.spreadsheetml.worksheet+xml" PartName="/xl/worksheets/sheet10170.xml"/>
  <Override ContentType="application/vnd.openxmlformats-officedocument.spreadsheetml.worksheet+xml" PartName="/xl/worksheets/sheet10171.xml"/>
  <Override ContentType="application/vnd.openxmlformats-officedocument.spreadsheetml.worksheet+xml" PartName="/xl/worksheets/sheet10172.xml"/>
  <Override ContentType="application/vnd.openxmlformats-officedocument.spreadsheetml.worksheet+xml" PartName="/xl/worksheets/sheet10173.xml"/>
  <Override ContentType="application/vnd.openxmlformats-officedocument.spreadsheetml.worksheet+xml" PartName="/xl/worksheets/sheet10174.xml"/>
  <Override ContentType="application/vnd.openxmlformats-officedocument.spreadsheetml.worksheet+xml" PartName="/xl/worksheets/sheet10175.xml"/>
  <Override ContentType="application/vnd.openxmlformats-officedocument.spreadsheetml.worksheet+xml" PartName="/xl/worksheets/sheet10176.xml"/>
  <Override ContentType="application/vnd.openxmlformats-officedocument.spreadsheetml.worksheet+xml" PartName="/xl/worksheets/sheet10177.xml"/>
  <Override ContentType="application/vnd.openxmlformats-officedocument.spreadsheetml.worksheet+xml" PartName="/xl/worksheets/sheet10178.xml"/>
  <Override ContentType="application/vnd.openxmlformats-officedocument.spreadsheetml.worksheet+xml" PartName="/xl/worksheets/sheet10179.xml"/>
  <Override ContentType="application/vnd.openxmlformats-officedocument.spreadsheetml.worksheet+xml" PartName="/xl/worksheets/sheet10180.xml"/>
  <Override ContentType="application/vnd.openxmlformats-officedocument.spreadsheetml.worksheet+xml" PartName="/xl/worksheets/sheet10181.xml"/>
  <Override ContentType="application/vnd.openxmlformats-officedocument.spreadsheetml.worksheet+xml" PartName="/xl/worksheets/sheet10182.xml"/>
  <Override ContentType="application/vnd.openxmlformats-officedocument.spreadsheetml.worksheet+xml" PartName="/xl/worksheets/sheet10183.xml"/>
  <Override ContentType="application/vnd.openxmlformats-officedocument.spreadsheetml.worksheet+xml" PartName="/xl/worksheets/sheet10184.xml"/>
  <Override ContentType="application/vnd.openxmlformats-officedocument.spreadsheetml.worksheet+xml" PartName="/xl/worksheets/sheet10185.xml"/>
  <Override ContentType="application/vnd.openxmlformats-officedocument.spreadsheetml.worksheet+xml" PartName="/xl/worksheets/sheet10186.xml"/>
  <Override ContentType="application/vnd.openxmlformats-officedocument.spreadsheetml.worksheet+xml" PartName="/xl/worksheets/sheet10187.xml"/>
  <Override ContentType="application/vnd.openxmlformats-officedocument.spreadsheetml.worksheet+xml" PartName="/xl/worksheets/sheet10188.xml"/>
  <Override ContentType="application/vnd.openxmlformats-officedocument.spreadsheetml.worksheet+xml" PartName="/xl/worksheets/sheet10189.xml"/>
  <Override ContentType="application/vnd.openxmlformats-officedocument.spreadsheetml.worksheet+xml" PartName="/xl/worksheets/sheet10190.xml"/>
  <Override ContentType="application/vnd.openxmlformats-officedocument.spreadsheetml.worksheet+xml" PartName="/xl/worksheets/sheet10191.xml"/>
  <Override ContentType="application/vnd.openxmlformats-officedocument.spreadsheetml.worksheet+xml" PartName="/xl/worksheets/sheet10192.xml"/>
  <Override ContentType="application/vnd.openxmlformats-officedocument.spreadsheetml.worksheet+xml" PartName="/xl/worksheets/sheet10193.xml"/>
  <Override ContentType="application/vnd.openxmlformats-officedocument.spreadsheetml.worksheet+xml" PartName="/xl/worksheets/sheet10194.xml"/>
  <Override ContentType="application/vnd.openxmlformats-officedocument.spreadsheetml.worksheet+xml" PartName="/xl/worksheets/sheet10195.xml"/>
  <Override ContentType="application/vnd.openxmlformats-officedocument.spreadsheetml.worksheet+xml" PartName="/xl/worksheets/sheet10196.xml"/>
  <Override ContentType="application/vnd.openxmlformats-officedocument.spreadsheetml.worksheet+xml" PartName="/xl/worksheets/sheet10197.xml"/>
  <Override ContentType="application/vnd.openxmlformats-officedocument.spreadsheetml.worksheet+xml" PartName="/xl/worksheets/sheet10198.xml"/>
  <Override ContentType="application/vnd.openxmlformats-officedocument.spreadsheetml.worksheet+xml" PartName="/xl/worksheets/sheet10199.xml"/>
  <Override ContentType="application/vnd.openxmlformats-officedocument.spreadsheetml.worksheet+xml" PartName="/xl/worksheets/sheet10200.xml"/>
  <Override ContentType="application/vnd.openxmlformats-officedocument.spreadsheetml.worksheet+xml" PartName="/xl/worksheets/sheet10201.xml"/>
  <Override ContentType="application/vnd.openxmlformats-officedocument.spreadsheetml.worksheet+xml" PartName="/xl/worksheets/sheet10202.xml"/>
  <Override ContentType="application/vnd.openxmlformats-officedocument.spreadsheetml.worksheet+xml" PartName="/xl/worksheets/sheet10203.xml"/>
  <Override ContentType="application/vnd.openxmlformats-officedocument.spreadsheetml.worksheet+xml" PartName="/xl/worksheets/sheet10204.xml"/>
  <Override ContentType="application/vnd.openxmlformats-officedocument.spreadsheetml.worksheet+xml" PartName="/xl/worksheets/sheet10205.xml"/>
  <Override ContentType="application/vnd.openxmlformats-officedocument.spreadsheetml.worksheet+xml" PartName="/xl/worksheets/sheet10206.xml"/>
  <Override ContentType="application/vnd.openxmlformats-officedocument.spreadsheetml.worksheet+xml" PartName="/xl/worksheets/sheet10207.xml"/>
  <Override ContentType="application/vnd.openxmlformats-officedocument.spreadsheetml.worksheet+xml" PartName="/xl/worksheets/sheet10208.xml"/>
  <Override ContentType="application/vnd.openxmlformats-officedocument.spreadsheetml.worksheet+xml" PartName="/xl/worksheets/sheet10209.xml"/>
  <Override ContentType="application/vnd.openxmlformats-officedocument.spreadsheetml.worksheet+xml" PartName="/xl/worksheets/sheet10210.xml"/>
  <Override ContentType="application/vnd.openxmlformats-officedocument.spreadsheetml.worksheet+xml" PartName="/xl/worksheets/sheet10211.xml"/>
  <Override ContentType="application/vnd.openxmlformats-officedocument.spreadsheetml.worksheet+xml" PartName="/xl/worksheets/sheet10212.xml"/>
  <Override ContentType="application/vnd.openxmlformats-officedocument.spreadsheetml.worksheet+xml" PartName="/xl/worksheets/sheet10213.xml"/>
  <Override ContentType="application/vnd.openxmlformats-officedocument.spreadsheetml.worksheet+xml" PartName="/xl/worksheets/sheet10214.xml"/>
  <Override ContentType="application/vnd.openxmlformats-officedocument.spreadsheetml.worksheet+xml" PartName="/xl/worksheets/sheet10215.xml"/>
  <Override ContentType="application/vnd.openxmlformats-officedocument.spreadsheetml.worksheet+xml" PartName="/xl/worksheets/sheet10216.xml"/>
  <Override ContentType="application/vnd.openxmlformats-officedocument.spreadsheetml.worksheet+xml" PartName="/xl/worksheets/sheet10217.xml"/>
  <Override ContentType="application/vnd.openxmlformats-officedocument.spreadsheetml.worksheet+xml" PartName="/xl/worksheets/sheet10218.xml"/>
  <Override ContentType="application/vnd.openxmlformats-officedocument.spreadsheetml.worksheet+xml" PartName="/xl/worksheets/sheet10219.xml"/>
  <Override ContentType="application/vnd.openxmlformats-officedocument.spreadsheetml.worksheet+xml" PartName="/xl/worksheets/sheet10220.xml"/>
  <Override ContentType="application/vnd.openxmlformats-officedocument.spreadsheetml.worksheet+xml" PartName="/xl/worksheets/sheet10221.xml"/>
  <Override ContentType="application/vnd.openxmlformats-officedocument.spreadsheetml.worksheet+xml" PartName="/xl/worksheets/sheet10222.xml"/>
  <Override ContentType="application/vnd.openxmlformats-officedocument.spreadsheetml.worksheet+xml" PartName="/xl/worksheets/sheet10223.xml"/>
  <Override ContentType="application/vnd.openxmlformats-officedocument.spreadsheetml.worksheet+xml" PartName="/xl/worksheets/sheet10224.xml"/>
  <Override ContentType="application/vnd.openxmlformats-officedocument.spreadsheetml.worksheet+xml" PartName="/xl/worksheets/sheet10225.xml"/>
  <Override ContentType="application/vnd.openxmlformats-officedocument.spreadsheetml.worksheet+xml" PartName="/xl/worksheets/sheet10226.xml"/>
  <Override ContentType="application/vnd.openxmlformats-officedocument.spreadsheetml.worksheet+xml" PartName="/xl/worksheets/sheet10227.xml"/>
  <Override ContentType="application/vnd.openxmlformats-officedocument.spreadsheetml.worksheet+xml" PartName="/xl/worksheets/sheet10228.xml"/>
  <Override ContentType="application/vnd.openxmlformats-officedocument.spreadsheetml.worksheet+xml" PartName="/xl/worksheets/sheet10229.xml"/>
  <Override ContentType="application/vnd.openxmlformats-officedocument.spreadsheetml.worksheet+xml" PartName="/xl/worksheets/sheet10230.xml"/>
  <Override ContentType="application/vnd.openxmlformats-officedocument.spreadsheetml.worksheet+xml" PartName="/xl/worksheets/sheet10231.xml"/>
  <Override ContentType="application/vnd.openxmlformats-officedocument.spreadsheetml.worksheet+xml" PartName="/xl/worksheets/sheet10232.xml"/>
  <Override ContentType="application/vnd.openxmlformats-officedocument.spreadsheetml.worksheet+xml" PartName="/xl/worksheets/sheet10233.xml"/>
  <Override ContentType="application/vnd.openxmlformats-officedocument.spreadsheetml.worksheet+xml" PartName="/xl/worksheets/sheet10234.xml"/>
  <Override ContentType="application/vnd.openxmlformats-officedocument.spreadsheetml.worksheet+xml" PartName="/xl/worksheets/sheet10235.xml"/>
  <Override ContentType="application/vnd.openxmlformats-officedocument.spreadsheetml.worksheet+xml" PartName="/xl/worksheets/sheet10236.xml"/>
  <Override ContentType="application/vnd.openxmlformats-officedocument.spreadsheetml.worksheet+xml" PartName="/xl/worksheets/sheet10237.xml"/>
  <Override ContentType="application/vnd.openxmlformats-officedocument.spreadsheetml.worksheet+xml" PartName="/xl/worksheets/sheet10238.xml"/>
  <Override ContentType="application/vnd.openxmlformats-officedocument.spreadsheetml.worksheet+xml" PartName="/xl/worksheets/sheet10239.xml"/>
  <Override ContentType="application/vnd.openxmlformats-officedocument.spreadsheetml.worksheet+xml" PartName="/xl/worksheets/sheet10240.xml"/>
  <Override ContentType="application/vnd.openxmlformats-officedocument.spreadsheetml.worksheet+xml" PartName="/xl/worksheets/sheet10241.xml"/>
  <Override ContentType="application/vnd.openxmlformats-officedocument.spreadsheetml.worksheet+xml" PartName="/xl/worksheets/sheet10242.xml"/>
  <Override ContentType="application/vnd.openxmlformats-officedocument.spreadsheetml.worksheet+xml" PartName="/xl/worksheets/sheet10243.xml"/>
  <Override ContentType="application/vnd.openxmlformats-officedocument.spreadsheetml.worksheet+xml" PartName="/xl/worksheets/sheet10244.xml"/>
  <Override ContentType="application/vnd.openxmlformats-officedocument.spreadsheetml.worksheet+xml" PartName="/xl/worksheets/sheet10245.xml"/>
  <Override ContentType="application/vnd.openxmlformats-officedocument.spreadsheetml.worksheet+xml" PartName="/xl/worksheets/sheet10246.xml"/>
  <Override ContentType="application/vnd.openxmlformats-officedocument.spreadsheetml.worksheet+xml" PartName="/xl/worksheets/sheet10247.xml"/>
  <Override ContentType="application/vnd.openxmlformats-officedocument.spreadsheetml.worksheet+xml" PartName="/xl/worksheets/sheet10248.xml"/>
  <Override ContentType="application/vnd.openxmlformats-officedocument.spreadsheetml.worksheet+xml" PartName="/xl/worksheets/sheet10249.xml"/>
  <Override ContentType="application/vnd.openxmlformats-officedocument.spreadsheetml.worksheet+xml" PartName="/xl/worksheets/sheet10250.xml"/>
  <Override ContentType="application/vnd.openxmlformats-officedocument.spreadsheetml.worksheet+xml" PartName="/xl/worksheets/sheet10251.xml"/>
  <Override ContentType="application/vnd.openxmlformats-officedocument.spreadsheetml.worksheet+xml" PartName="/xl/worksheets/sheet10252.xml"/>
  <Override ContentType="application/vnd.openxmlformats-officedocument.spreadsheetml.worksheet+xml" PartName="/xl/worksheets/sheet10253.xml"/>
  <Override ContentType="application/vnd.openxmlformats-officedocument.spreadsheetml.worksheet+xml" PartName="/xl/worksheets/sheet10254.xml"/>
  <Override ContentType="application/vnd.openxmlformats-officedocument.spreadsheetml.worksheet+xml" PartName="/xl/worksheets/sheet10255.xml"/>
  <Override ContentType="application/vnd.openxmlformats-officedocument.spreadsheetml.worksheet+xml" PartName="/xl/worksheets/sheet10256.xml"/>
  <Override ContentType="application/vnd.openxmlformats-officedocument.spreadsheetml.worksheet+xml" PartName="/xl/worksheets/sheet10257.xml"/>
  <Override ContentType="application/vnd.openxmlformats-officedocument.spreadsheetml.worksheet+xml" PartName="/xl/worksheets/sheet10258.xml"/>
  <Override ContentType="application/vnd.openxmlformats-officedocument.spreadsheetml.worksheet+xml" PartName="/xl/worksheets/sheet10259.xml"/>
  <Override ContentType="application/vnd.openxmlformats-officedocument.spreadsheetml.worksheet+xml" PartName="/xl/worksheets/sheet10260.xml"/>
  <Override ContentType="application/vnd.openxmlformats-officedocument.spreadsheetml.worksheet+xml" PartName="/xl/worksheets/sheet10261.xml"/>
  <Override ContentType="application/vnd.openxmlformats-officedocument.spreadsheetml.worksheet+xml" PartName="/xl/worksheets/sheet10262.xml"/>
  <Override ContentType="application/vnd.openxmlformats-officedocument.spreadsheetml.worksheet+xml" PartName="/xl/worksheets/sheet10263.xml"/>
  <Override ContentType="application/vnd.openxmlformats-officedocument.spreadsheetml.worksheet+xml" PartName="/xl/worksheets/sheet10264.xml"/>
  <Override ContentType="application/vnd.openxmlformats-officedocument.spreadsheetml.worksheet+xml" PartName="/xl/worksheets/sheet10265.xml"/>
  <Override ContentType="application/vnd.openxmlformats-officedocument.spreadsheetml.worksheet+xml" PartName="/xl/worksheets/sheet10266.xml"/>
  <Override ContentType="application/vnd.openxmlformats-officedocument.spreadsheetml.worksheet+xml" PartName="/xl/worksheets/sheet10267.xml"/>
  <Override ContentType="application/vnd.openxmlformats-officedocument.spreadsheetml.worksheet+xml" PartName="/xl/worksheets/sheet10268.xml"/>
  <Override ContentType="application/vnd.openxmlformats-officedocument.spreadsheetml.worksheet+xml" PartName="/xl/worksheets/sheet10269.xml"/>
  <Override ContentType="application/vnd.openxmlformats-officedocument.spreadsheetml.worksheet+xml" PartName="/xl/worksheets/sheet10270.xml"/>
  <Override ContentType="application/vnd.openxmlformats-officedocument.spreadsheetml.worksheet+xml" PartName="/xl/worksheets/sheet10271.xml"/>
  <Override ContentType="application/vnd.openxmlformats-officedocument.spreadsheetml.worksheet+xml" PartName="/xl/worksheets/sheet10272.xml"/>
  <Override ContentType="application/vnd.openxmlformats-officedocument.spreadsheetml.worksheet+xml" PartName="/xl/worksheets/sheet10273.xml"/>
  <Override ContentType="application/vnd.openxmlformats-officedocument.spreadsheetml.worksheet+xml" PartName="/xl/worksheets/sheet10274.xml"/>
  <Override ContentType="application/vnd.openxmlformats-officedocument.spreadsheetml.worksheet+xml" PartName="/xl/worksheets/sheet10275.xml"/>
  <Override ContentType="application/vnd.openxmlformats-officedocument.spreadsheetml.worksheet+xml" PartName="/xl/worksheets/sheet10276.xml"/>
  <Override ContentType="application/vnd.openxmlformats-officedocument.spreadsheetml.worksheet+xml" PartName="/xl/worksheets/sheet10277.xml"/>
  <Override ContentType="application/vnd.openxmlformats-officedocument.spreadsheetml.worksheet+xml" PartName="/xl/worksheets/sheet10278.xml"/>
  <Override ContentType="application/vnd.openxmlformats-officedocument.spreadsheetml.worksheet+xml" PartName="/xl/worksheets/sheet10279.xml"/>
  <Override ContentType="application/vnd.openxmlformats-officedocument.spreadsheetml.worksheet+xml" PartName="/xl/worksheets/sheet10280.xml"/>
  <Override ContentType="application/vnd.openxmlformats-officedocument.spreadsheetml.worksheet+xml" PartName="/xl/worksheets/sheet10281.xml"/>
  <Override ContentType="application/vnd.openxmlformats-officedocument.spreadsheetml.worksheet+xml" PartName="/xl/worksheets/sheet10282.xml"/>
  <Override ContentType="application/vnd.openxmlformats-officedocument.spreadsheetml.worksheet+xml" PartName="/xl/worksheets/sheet10283.xml"/>
  <Override ContentType="application/vnd.openxmlformats-officedocument.spreadsheetml.worksheet+xml" PartName="/xl/worksheets/sheet10284.xml"/>
  <Override ContentType="application/vnd.openxmlformats-officedocument.spreadsheetml.worksheet+xml" PartName="/xl/worksheets/sheet10285.xml"/>
  <Override ContentType="application/vnd.openxmlformats-officedocument.spreadsheetml.worksheet+xml" PartName="/xl/worksheets/sheet10286.xml"/>
  <Override ContentType="application/vnd.openxmlformats-officedocument.spreadsheetml.worksheet+xml" PartName="/xl/worksheets/sheet10287.xml"/>
  <Override ContentType="application/vnd.openxmlformats-officedocument.spreadsheetml.worksheet+xml" PartName="/xl/worksheets/sheet10288.xml"/>
  <Override ContentType="application/vnd.openxmlformats-officedocument.spreadsheetml.worksheet+xml" PartName="/xl/worksheets/sheet10289.xml"/>
  <Override ContentType="application/vnd.openxmlformats-officedocument.spreadsheetml.worksheet+xml" PartName="/xl/worksheets/sheet10290.xml"/>
  <Override ContentType="application/vnd.openxmlformats-officedocument.spreadsheetml.worksheet+xml" PartName="/xl/worksheets/sheet10291.xml"/>
  <Override ContentType="application/vnd.openxmlformats-officedocument.spreadsheetml.worksheet+xml" PartName="/xl/worksheets/sheet10292.xml"/>
  <Override ContentType="application/vnd.openxmlformats-officedocument.spreadsheetml.worksheet+xml" PartName="/xl/worksheets/sheet10293.xml"/>
  <Override ContentType="application/vnd.openxmlformats-officedocument.spreadsheetml.worksheet+xml" PartName="/xl/worksheets/sheet10294.xml"/>
  <Override ContentType="application/vnd.openxmlformats-officedocument.spreadsheetml.worksheet+xml" PartName="/xl/worksheets/sheet10295.xml"/>
  <Override ContentType="application/vnd.openxmlformats-officedocument.spreadsheetml.worksheet+xml" PartName="/xl/worksheets/sheet10296.xml"/>
  <Override ContentType="application/vnd.openxmlformats-officedocument.spreadsheetml.worksheet+xml" PartName="/xl/worksheets/sheet10297.xml"/>
  <Override ContentType="application/vnd.openxmlformats-officedocument.spreadsheetml.worksheet+xml" PartName="/xl/worksheets/sheet10298.xml"/>
  <Override ContentType="application/vnd.openxmlformats-officedocument.spreadsheetml.worksheet+xml" PartName="/xl/worksheets/sheet10299.xml"/>
  <Override ContentType="application/vnd.openxmlformats-officedocument.spreadsheetml.worksheet+xml" PartName="/xl/worksheets/sheet10300.xml"/>
  <Override ContentType="application/vnd.openxmlformats-officedocument.spreadsheetml.worksheet+xml" PartName="/xl/worksheets/sheet10301.xml"/>
  <Override ContentType="application/vnd.openxmlformats-officedocument.spreadsheetml.worksheet+xml" PartName="/xl/worksheets/sheet10302.xml"/>
  <Override ContentType="application/vnd.openxmlformats-officedocument.spreadsheetml.worksheet+xml" PartName="/xl/worksheets/sheet10303.xml"/>
  <Override ContentType="application/vnd.openxmlformats-officedocument.spreadsheetml.worksheet+xml" PartName="/xl/worksheets/sheet10304.xml"/>
  <Override ContentType="application/vnd.openxmlformats-officedocument.spreadsheetml.worksheet+xml" PartName="/xl/worksheets/sheet10305.xml"/>
  <Override ContentType="application/vnd.openxmlformats-officedocument.spreadsheetml.worksheet+xml" PartName="/xl/worksheets/sheet10306.xml"/>
  <Override ContentType="application/vnd.openxmlformats-officedocument.spreadsheetml.worksheet+xml" PartName="/xl/worksheets/sheet10307.xml"/>
  <Override ContentType="application/vnd.openxmlformats-officedocument.spreadsheetml.worksheet+xml" PartName="/xl/worksheets/sheet10308.xml"/>
  <Override ContentType="application/vnd.openxmlformats-officedocument.spreadsheetml.worksheet+xml" PartName="/xl/worksheets/sheet10309.xml"/>
  <Override ContentType="application/vnd.openxmlformats-officedocument.spreadsheetml.worksheet+xml" PartName="/xl/worksheets/sheet10310.xml"/>
  <Override ContentType="application/vnd.openxmlformats-officedocument.spreadsheetml.worksheet+xml" PartName="/xl/worksheets/sheet10311.xml"/>
  <Override ContentType="application/vnd.openxmlformats-officedocument.spreadsheetml.worksheet+xml" PartName="/xl/worksheets/sheet10312.xml"/>
  <Override ContentType="application/vnd.openxmlformats-officedocument.spreadsheetml.worksheet+xml" PartName="/xl/worksheets/sheet10313.xml"/>
  <Override ContentType="application/vnd.openxmlformats-officedocument.spreadsheetml.worksheet+xml" PartName="/xl/worksheets/sheet10314.xml"/>
  <Override ContentType="application/vnd.openxmlformats-officedocument.spreadsheetml.worksheet+xml" PartName="/xl/worksheets/sheet10315.xml"/>
  <Override ContentType="application/vnd.openxmlformats-officedocument.spreadsheetml.worksheet+xml" PartName="/xl/worksheets/sheet10316.xml"/>
  <Override ContentType="application/vnd.openxmlformats-officedocument.spreadsheetml.worksheet+xml" PartName="/xl/worksheets/sheet10317.xml"/>
  <Override ContentType="application/vnd.openxmlformats-officedocument.spreadsheetml.worksheet+xml" PartName="/xl/worksheets/sheet10318.xml"/>
  <Override ContentType="application/vnd.openxmlformats-officedocument.spreadsheetml.worksheet+xml" PartName="/xl/worksheets/sheet10319.xml"/>
  <Override ContentType="application/vnd.openxmlformats-officedocument.spreadsheetml.worksheet+xml" PartName="/xl/worksheets/sheet10320.xml"/>
  <Override ContentType="application/vnd.openxmlformats-officedocument.spreadsheetml.worksheet+xml" PartName="/xl/worksheets/sheet10321.xml"/>
  <Override ContentType="application/vnd.openxmlformats-officedocument.spreadsheetml.worksheet+xml" PartName="/xl/worksheets/sheet10322.xml"/>
  <Override ContentType="application/vnd.openxmlformats-officedocument.spreadsheetml.worksheet+xml" PartName="/xl/worksheets/sheet10323.xml"/>
  <Override ContentType="application/vnd.openxmlformats-officedocument.spreadsheetml.worksheet+xml" PartName="/xl/worksheets/sheet10324.xml"/>
  <Override ContentType="application/vnd.openxmlformats-officedocument.spreadsheetml.worksheet+xml" PartName="/xl/worksheets/sheet10325.xml"/>
  <Override ContentType="application/vnd.openxmlformats-officedocument.spreadsheetml.worksheet+xml" PartName="/xl/worksheets/sheet10326.xml"/>
  <Override ContentType="application/vnd.openxmlformats-officedocument.spreadsheetml.worksheet+xml" PartName="/xl/worksheets/sheet10327.xml"/>
  <Override ContentType="application/vnd.openxmlformats-officedocument.spreadsheetml.worksheet+xml" PartName="/xl/worksheets/sheet10328.xml"/>
  <Override ContentType="application/vnd.openxmlformats-officedocument.spreadsheetml.worksheet+xml" PartName="/xl/worksheets/sheet10329.xml"/>
  <Override ContentType="application/vnd.openxmlformats-officedocument.spreadsheetml.worksheet+xml" PartName="/xl/worksheets/sheet10330.xml"/>
  <Override ContentType="application/vnd.openxmlformats-officedocument.spreadsheetml.worksheet+xml" PartName="/xl/worksheets/sheet10331.xml"/>
  <Override ContentType="application/vnd.openxmlformats-officedocument.spreadsheetml.worksheet+xml" PartName="/xl/worksheets/sheet10332.xml"/>
  <Override ContentType="application/vnd.openxmlformats-officedocument.spreadsheetml.worksheet+xml" PartName="/xl/worksheets/sheet10333.xml"/>
  <Override ContentType="application/vnd.openxmlformats-officedocument.spreadsheetml.worksheet+xml" PartName="/xl/worksheets/sheet10334.xml"/>
  <Override ContentType="application/vnd.openxmlformats-officedocument.spreadsheetml.worksheet+xml" PartName="/xl/worksheets/sheet10335.xml"/>
  <Override ContentType="application/vnd.openxmlformats-officedocument.spreadsheetml.worksheet+xml" PartName="/xl/worksheets/sheet10336.xml"/>
  <Override ContentType="application/vnd.openxmlformats-officedocument.spreadsheetml.worksheet+xml" PartName="/xl/worksheets/sheet10337.xml"/>
  <Override ContentType="application/vnd.openxmlformats-officedocument.spreadsheetml.worksheet+xml" PartName="/xl/worksheets/sheet10338.xml"/>
  <Override ContentType="application/vnd.openxmlformats-officedocument.spreadsheetml.worksheet+xml" PartName="/xl/worksheets/sheet10339.xml"/>
  <Override ContentType="application/vnd.openxmlformats-officedocument.spreadsheetml.worksheet+xml" PartName="/xl/worksheets/sheet10340.xml"/>
  <Override ContentType="application/vnd.openxmlformats-officedocument.spreadsheetml.worksheet+xml" PartName="/xl/worksheets/sheet10341.xml"/>
  <Override ContentType="application/vnd.openxmlformats-officedocument.spreadsheetml.worksheet+xml" PartName="/xl/worksheets/sheet10342.xml"/>
  <Override ContentType="application/vnd.openxmlformats-officedocument.spreadsheetml.worksheet+xml" PartName="/xl/worksheets/sheet10343.xml"/>
  <Override ContentType="application/vnd.openxmlformats-officedocument.spreadsheetml.worksheet+xml" PartName="/xl/worksheets/sheet10344.xml"/>
  <Override ContentType="application/vnd.openxmlformats-officedocument.spreadsheetml.worksheet+xml" PartName="/xl/worksheets/sheet10345.xml"/>
  <Override ContentType="application/vnd.openxmlformats-officedocument.spreadsheetml.worksheet+xml" PartName="/xl/worksheets/sheet10346.xml"/>
  <Override ContentType="application/vnd.openxmlformats-officedocument.spreadsheetml.worksheet+xml" PartName="/xl/worksheets/sheet10347.xml"/>
  <Override ContentType="application/vnd.openxmlformats-officedocument.spreadsheetml.worksheet+xml" PartName="/xl/worksheets/sheet10348.xml"/>
  <Override ContentType="application/vnd.openxmlformats-officedocument.spreadsheetml.worksheet+xml" PartName="/xl/worksheets/sheet10349.xml"/>
  <Override ContentType="application/vnd.openxmlformats-officedocument.spreadsheetml.worksheet+xml" PartName="/xl/worksheets/sheet10350.xml"/>
  <Override ContentType="application/vnd.openxmlformats-officedocument.spreadsheetml.worksheet+xml" PartName="/xl/worksheets/sheet10351.xml"/>
  <Override ContentType="application/vnd.openxmlformats-officedocument.spreadsheetml.worksheet+xml" PartName="/xl/worksheets/sheet10352.xml"/>
  <Override ContentType="application/vnd.openxmlformats-officedocument.spreadsheetml.worksheet+xml" PartName="/xl/worksheets/sheet10353.xml"/>
  <Override ContentType="application/vnd.openxmlformats-officedocument.spreadsheetml.worksheet+xml" PartName="/xl/worksheets/sheet10354.xml"/>
  <Override ContentType="application/vnd.openxmlformats-officedocument.spreadsheetml.worksheet+xml" PartName="/xl/worksheets/sheet10355.xml"/>
  <Override ContentType="application/vnd.openxmlformats-officedocument.spreadsheetml.worksheet+xml" PartName="/xl/worksheets/sheet10356.xml"/>
  <Override ContentType="application/vnd.openxmlformats-officedocument.spreadsheetml.worksheet+xml" PartName="/xl/worksheets/sheet10357.xml"/>
  <Override ContentType="application/vnd.openxmlformats-officedocument.spreadsheetml.worksheet+xml" PartName="/xl/worksheets/sheet10358.xml"/>
  <Override ContentType="application/vnd.openxmlformats-officedocument.spreadsheetml.worksheet+xml" PartName="/xl/worksheets/sheet10359.xml"/>
  <Override ContentType="application/vnd.openxmlformats-officedocument.spreadsheetml.worksheet+xml" PartName="/xl/worksheets/sheet10360.xml"/>
  <Override ContentType="application/vnd.openxmlformats-officedocument.spreadsheetml.worksheet+xml" PartName="/xl/worksheets/sheet10361.xml"/>
  <Override ContentType="application/vnd.openxmlformats-officedocument.spreadsheetml.worksheet+xml" PartName="/xl/worksheets/sheet10362.xml"/>
  <Override ContentType="application/vnd.openxmlformats-officedocument.spreadsheetml.worksheet+xml" PartName="/xl/worksheets/sheet10363.xml"/>
  <Override ContentType="application/vnd.openxmlformats-officedocument.spreadsheetml.worksheet+xml" PartName="/xl/worksheets/sheet10364.xml"/>
  <Override ContentType="application/vnd.openxmlformats-officedocument.spreadsheetml.worksheet+xml" PartName="/xl/worksheets/sheet10365.xml"/>
  <Override ContentType="application/vnd.openxmlformats-officedocument.spreadsheetml.worksheet+xml" PartName="/xl/worksheets/sheet10366.xml"/>
  <Override ContentType="application/vnd.openxmlformats-officedocument.spreadsheetml.worksheet+xml" PartName="/xl/worksheets/sheet10367.xml"/>
  <Override ContentType="application/vnd.openxmlformats-officedocument.spreadsheetml.worksheet+xml" PartName="/xl/worksheets/sheet10368.xml"/>
  <Override ContentType="application/vnd.openxmlformats-officedocument.spreadsheetml.worksheet+xml" PartName="/xl/worksheets/sheet10369.xml"/>
  <Override ContentType="application/vnd.openxmlformats-officedocument.spreadsheetml.worksheet+xml" PartName="/xl/worksheets/sheet10370.xml"/>
  <Override ContentType="application/vnd.openxmlformats-officedocument.spreadsheetml.worksheet+xml" PartName="/xl/worksheets/sheet10371.xml"/>
  <Override ContentType="application/vnd.openxmlformats-officedocument.spreadsheetml.worksheet+xml" PartName="/xl/worksheets/sheet10372.xml"/>
  <Override ContentType="application/vnd.openxmlformats-officedocument.spreadsheetml.worksheet+xml" PartName="/xl/worksheets/sheet10373.xml"/>
  <Override ContentType="application/vnd.openxmlformats-officedocument.spreadsheetml.worksheet+xml" PartName="/xl/worksheets/sheet10374.xml"/>
  <Override ContentType="application/vnd.openxmlformats-officedocument.spreadsheetml.worksheet+xml" PartName="/xl/worksheets/sheet10375.xml"/>
  <Override ContentType="application/vnd.openxmlformats-officedocument.spreadsheetml.worksheet+xml" PartName="/xl/worksheets/sheet10376.xml"/>
  <Override ContentType="application/vnd.openxmlformats-officedocument.spreadsheetml.worksheet+xml" PartName="/xl/worksheets/sheet10377.xml"/>
  <Override ContentType="application/vnd.openxmlformats-officedocument.spreadsheetml.worksheet+xml" PartName="/xl/worksheets/sheet10378.xml"/>
  <Override ContentType="application/vnd.openxmlformats-officedocument.spreadsheetml.worksheet+xml" PartName="/xl/worksheets/sheet10379.xml"/>
  <Override ContentType="application/vnd.openxmlformats-officedocument.spreadsheetml.worksheet+xml" PartName="/xl/worksheets/sheet10380.xml"/>
  <Override ContentType="application/vnd.openxmlformats-officedocument.spreadsheetml.worksheet+xml" PartName="/xl/worksheets/sheet10381.xml"/>
  <Override ContentType="application/vnd.openxmlformats-officedocument.spreadsheetml.worksheet+xml" PartName="/xl/worksheets/sheet10382.xml"/>
  <Override ContentType="application/vnd.openxmlformats-officedocument.spreadsheetml.worksheet+xml" PartName="/xl/worksheets/sheet10383.xml"/>
  <Override ContentType="application/vnd.openxmlformats-officedocument.spreadsheetml.worksheet+xml" PartName="/xl/worksheets/sheet10384.xml"/>
  <Override ContentType="application/vnd.openxmlformats-officedocument.spreadsheetml.worksheet+xml" PartName="/xl/worksheets/sheet10385.xml"/>
  <Override ContentType="application/vnd.openxmlformats-officedocument.spreadsheetml.worksheet+xml" PartName="/xl/worksheets/sheet10386.xml"/>
  <Override ContentType="application/vnd.openxmlformats-officedocument.spreadsheetml.worksheet+xml" PartName="/xl/worksheets/sheet10387.xml"/>
  <Override ContentType="application/vnd.openxmlformats-officedocument.spreadsheetml.worksheet+xml" PartName="/xl/worksheets/sheet10388.xml"/>
  <Override ContentType="application/vnd.openxmlformats-officedocument.spreadsheetml.worksheet+xml" PartName="/xl/worksheets/sheet10389.xml"/>
  <Override ContentType="application/vnd.openxmlformats-officedocument.spreadsheetml.worksheet+xml" PartName="/xl/worksheets/sheet10390.xml"/>
  <Override ContentType="application/vnd.openxmlformats-officedocument.spreadsheetml.worksheet+xml" PartName="/xl/worksheets/sheet10391.xml"/>
  <Override ContentType="application/vnd.openxmlformats-officedocument.spreadsheetml.worksheet+xml" PartName="/xl/worksheets/sheet10392.xml"/>
  <Override ContentType="application/vnd.openxmlformats-officedocument.spreadsheetml.worksheet+xml" PartName="/xl/worksheets/sheet10393.xml"/>
  <Override ContentType="application/vnd.openxmlformats-officedocument.spreadsheetml.worksheet+xml" PartName="/xl/worksheets/sheet10394.xml"/>
  <Override ContentType="application/vnd.openxmlformats-officedocument.spreadsheetml.worksheet+xml" PartName="/xl/worksheets/sheet10395.xml"/>
  <Override ContentType="application/vnd.openxmlformats-officedocument.spreadsheetml.worksheet+xml" PartName="/xl/worksheets/sheet10396.xml"/>
  <Override ContentType="application/vnd.openxmlformats-officedocument.spreadsheetml.worksheet+xml" PartName="/xl/worksheets/sheet10397.xml"/>
  <Override ContentType="application/vnd.openxmlformats-officedocument.spreadsheetml.worksheet+xml" PartName="/xl/worksheets/sheet10398.xml"/>
  <Override ContentType="application/vnd.openxmlformats-officedocument.spreadsheetml.worksheet+xml" PartName="/xl/worksheets/sheet10399.xml"/>
  <Override ContentType="application/vnd.openxmlformats-officedocument.spreadsheetml.worksheet+xml" PartName="/xl/worksheets/sheet10400.xml"/>
  <Override ContentType="application/vnd.openxmlformats-officedocument.spreadsheetml.worksheet+xml" PartName="/xl/worksheets/sheet10401.xml"/>
  <Override ContentType="application/vnd.openxmlformats-officedocument.spreadsheetml.worksheet+xml" PartName="/xl/worksheets/sheet10402.xml"/>
  <Override ContentType="application/vnd.openxmlformats-officedocument.spreadsheetml.worksheet+xml" PartName="/xl/worksheets/sheet10403.xml"/>
  <Override ContentType="application/vnd.openxmlformats-officedocument.spreadsheetml.worksheet+xml" PartName="/xl/worksheets/sheet10404.xml"/>
  <Override ContentType="application/vnd.openxmlformats-officedocument.spreadsheetml.worksheet+xml" PartName="/xl/worksheets/sheet10405.xml"/>
  <Override ContentType="application/vnd.openxmlformats-officedocument.spreadsheetml.worksheet+xml" PartName="/xl/worksheets/sheet10406.xml"/>
  <Override ContentType="application/vnd.openxmlformats-officedocument.spreadsheetml.worksheet+xml" PartName="/xl/worksheets/sheet10407.xml"/>
  <Override ContentType="application/vnd.openxmlformats-officedocument.spreadsheetml.worksheet+xml" PartName="/xl/worksheets/sheet10408.xml"/>
  <Override ContentType="application/vnd.openxmlformats-officedocument.spreadsheetml.worksheet+xml" PartName="/xl/worksheets/sheet10409.xml"/>
  <Override ContentType="application/vnd.openxmlformats-officedocument.spreadsheetml.worksheet+xml" PartName="/xl/worksheets/sheet10410.xml"/>
  <Override ContentType="application/vnd.openxmlformats-officedocument.spreadsheetml.worksheet+xml" PartName="/xl/worksheets/sheet10411.xml"/>
  <Override ContentType="application/vnd.openxmlformats-officedocument.spreadsheetml.worksheet+xml" PartName="/xl/worksheets/sheet10412.xml"/>
  <Override ContentType="application/vnd.openxmlformats-officedocument.spreadsheetml.worksheet+xml" PartName="/xl/worksheets/sheet10413.xml"/>
  <Override ContentType="application/vnd.openxmlformats-officedocument.spreadsheetml.worksheet+xml" PartName="/xl/worksheets/sheet10414.xml"/>
  <Override ContentType="application/vnd.openxmlformats-officedocument.spreadsheetml.worksheet+xml" PartName="/xl/worksheets/sheet10415.xml"/>
  <Override ContentType="application/vnd.openxmlformats-officedocument.spreadsheetml.worksheet+xml" PartName="/xl/worksheets/sheet10416.xml"/>
  <Override ContentType="application/vnd.openxmlformats-officedocument.spreadsheetml.worksheet+xml" PartName="/xl/worksheets/sheet10417.xml"/>
  <Override ContentType="application/vnd.openxmlformats-officedocument.spreadsheetml.worksheet+xml" PartName="/xl/worksheets/sheet10418.xml"/>
  <Override ContentType="application/vnd.openxmlformats-officedocument.spreadsheetml.worksheet+xml" PartName="/xl/worksheets/sheet10419.xml"/>
  <Override ContentType="application/vnd.openxmlformats-officedocument.spreadsheetml.worksheet+xml" PartName="/xl/worksheets/sheet10420.xml"/>
  <Override ContentType="application/vnd.openxmlformats-officedocument.spreadsheetml.worksheet+xml" PartName="/xl/worksheets/sheet10421.xml"/>
  <Override ContentType="application/vnd.openxmlformats-officedocument.spreadsheetml.worksheet+xml" PartName="/xl/worksheets/sheet10422.xml"/>
  <Override ContentType="application/vnd.openxmlformats-officedocument.spreadsheetml.worksheet+xml" PartName="/xl/worksheets/sheet10423.xml"/>
  <Override ContentType="application/vnd.openxmlformats-officedocument.spreadsheetml.worksheet+xml" PartName="/xl/worksheets/sheet10424.xml"/>
  <Override ContentType="application/vnd.openxmlformats-officedocument.spreadsheetml.worksheet+xml" PartName="/xl/worksheets/sheet10425.xml"/>
  <Override ContentType="application/vnd.openxmlformats-officedocument.spreadsheetml.worksheet+xml" PartName="/xl/worksheets/sheet10426.xml"/>
  <Override ContentType="application/vnd.openxmlformats-officedocument.spreadsheetml.worksheet+xml" PartName="/xl/worksheets/sheet10427.xml"/>
  <Override ContentType="application/vnd.openxmlformats-officedocument.spreadsheetml.worksheet+xml" PartName="/xl/worksheets/sheet10428.xml"/>
  <Override ContentType="application/vnd.openxmlformats-officedocument.spreadsheetml.worksheet+xml" PartName="/xl/worksheets/sheet10429.xml"/>
  <Override ContentType="application/vnd.openxmlformats-officedocument.spreadsheetml.worksheet+xml" PartName="/xl/worksheets/sheet10430.xml"/>
  <Override ContentType="application/vnd.openxmlformats-officedocument.spreadsheetml.worksheet+xml" PartName="/xl/worksheets/sheet10431.xml"/>
  <Override ContentType="application/vnd.openxmlformats-officedocument.spreadsheetml.worksheet+xml" PartName="/xl/worksheets/sheet10432.xml"/>
  <Override ContentType="application/vnd.openxmlformats-officedocument.spreadsheetml.worksheet+xml" PartName="/xl/worksheets/sheet10433.xml"/>
  <Override ContentType="application/vnd.openxmlformats-officedocument.spreadsheetml.worksheet+xml" PartName="/xl/worksheets/sheet10434.xml"/>
  <Override ContentType="application/vnd.openxmlformats-officedocument.spreadsheetml.worksheet+xml" PartName="/xl/worksheets/sheet10435.xml"/>
  <Override ContentType="application/vnd.openxmlformats-officedocument.spreadsheetml.worksheet+xml" PartName="/xl/worksheets/sheet10436.xml"/>
  <Override ContentType="application/vnd.openxmlformats-officedocument.spreadsheetml.worksheet+xml" PartName="/xl/worksheets/sheet10437.xml"/>
  <Override ContentType="application/vnd.openxmlformats-officedocument.spreadsheetml.worksheet+xml" PartName="/xl/worksheets/sheet10438.xml"/>
  <Override ContentType="application/vnd.openxmlformats-officedocument.spreadsheetml.worksheet+xml" PartName="/xl/worksheets/sheet10439.xml"/>
  <Override ContentType="application/vnd.openxmlformats-officedocument.spreadsheetml.worksheet+xml" PartName="/xl/worksheets/sheet10440.xml"/>
  <Override ContentType="application/vnd.openxmlformats-officedocument.spreadsheetml.worksheet+xml" PartName="/xl/worksheets/sheet10441.xml"/>
  <Override ContentType="application/vnd.openxmlformats-officedocument.spreadsheetml.worksheet+xml" PartName="/xl/worksheets/sheet10442.xml"/>
  <Override ContentType="application/vnd.openxmlformats-officedocument.spreadsheetml.worksheet+xml" PartName="/xl/worksheets/sheet10443.xml"/>
  <Override ContentType="application/vnd.openxmlformats-officedocument.spreadsheetml.worksheet+xml" PartName="/xl/worksheets/sheet10444.xml"/>
  <Override ContentType="application/vnd.openxmlformats-officedocument.spreadsheetml.worksheet+xml" PartName="/xl/worksheets/sheet10445.xml"/>
  <Override ContentType="application/vnd.openxmlformats-officedocument.spreadsheetml.worksheet+xml" PartName="/xl/worksheets/sheet10446.xml"/>
  <Override ContentType="application/vnd.openxmlformats-officedocument.spreadsheetml.worksheet+xml" PartName="/xl/worksheets/sheet10447.xml"/>
  <Override ContentType="application/vnd.openxmlformats-officedocument.spreadsheetml.worksheet+xml" PartName="/xl/worksheets/sheet10448.xml"/>
  <Override ContentType="application/vnd.openxmlformats-officedocument.spreadsheetml.worksheet+xml" PartName="/xl/worksheets/sheet10449.xml"/>
  <Override ContentType="application/vnd.openxmlformats-officedocument.spreadsheetml.worksheet+xml" PartName="/xl/worksheets/sheet10450.xml"/>
  <Override ContentType="application/vnd.openxmlformats-officedocument.spreadsheetml.worksheet+xml" PartName="/xl/worksheets/sheet10451.xml"/>
  <Override ContentType="application/vnd.openxmlformats-officedocument.spreadsheetml.worksheet+xml" PartName="/xl/worksheets/sheet10452.xml"/>
  <Override ContentType="application/vnd.openxmlformats-officedocument.spreadsheetml.worksheet+xml" PartName="/xl/worksheets/sheet10453.xml"/>
  <Override ContentType="application/vnd.openxmlformats-officedocument.spreadsheetml.worksheet+xml" PartName="/xl/worksheets/sheet10454.xml"/>
  <Override ContentType="application/vnd.openxmlformats-officedocument.spreadsheetml.worksheet+xml" PartName="/xl/worksheets/sheet10455.xml"/>
  <Override ContentType="application/vnd.openxmlformats-officedocument.spreadsheetml.worksheet+xml" PartName="/xl/worksheets/sheet10456.xml"/>
  <Override ContentType="application/vnd.openxmlformats-officedocument.spreadsheetml.worksheet+xml" PartName="/xl/worksheets/sheet10457.xml"/>
  <Override ContentType="application/vnd.openxmlformats-officedocument.spreadsheetml.worksheet+xml" PartName="/xl/worksheets/sheet10458.xml"/>
  <Override ContentType="application/vnd.openxmlformats-officedocument.spreadsheetml.worksheet+xml" PartName="/xl/worksheets/sheet10459.xml"/>
  <Override ContentType="application/vnd.openxmlformats-officedocument.spreadsheetml.worksheet+xml" PartName="/xl/worksheets/sheet10460.xml"/>
  <Override ContentType="application/vnd.openxmlformats-officedocument.spreadsheetml.worksheet+xml" PartName="/xl/worksheets/sheet10461.xml"/>
  <Override ContentType="application/vnd.openxmlformats-officedocument.spreadsheetml.worksheet+xml" PartName="/xl/worksheets/sheet10462.xml"/>
  <Override ContentType="application/vnd.openxmlformats-officedocument.spreadsheetml.worksheet+xml" PartName="/xl/worksheets/sheet10463.xml"/>
  <Override ContentType="application/vnd.openxmlformats-officedocument.spreadsheetml.worksheet+xml" PartName="/xl/worksheets/sheet10464.xml"/>
  <Override ContentType="application/vnd.openxmlformats-officedocument.spreadsheetml.worksheet+xml" PartName="/xl/worksheets/sheet10465.xml"/>
  <Override ContentType="application/vnd.openxmlformats-officedocument.spreadsheetml.worksheet+xml" PartName="/xl/worksheets/sheet10466.xml"/>
  <Override ContentType="application/vnd.openxmlformats-officedocument.spreadsheetml.worksheet+xml" PartName="/xl/worksheets/sheet10467.xml"/>
  <Override ContentType="application/vnd.openxmlformats-officedocument.spreadsheetml.worksheet+xml" PartName="/xl/worksheets/sheet10468.xml"/>
  <Override ContentType="application/vnd.openxmlformats-officedocument.spreadsheetml.worksheet+xml" PartName="/xl/worksheets/sheet10469.xml"/>
  <Override ContentType="application/vnd.openxmlformats-officedocument.spreadsheetml.worksheet+xml" PartName="/xl/worksheets/sheet10470.xml"/>
  <Override ContentType="application/vnd.openxmlformats-officedocument.spreadsheetml.worksheet+xml" PartName="/xl/worksheets/sheet10471.xml"/>
  <Override ContentType="application/vnd.openxmlformats-officedocument.spreadsheetml.worksheet+xml" PartName="/xl/worksheets/sheet10472.xml"/>
  <Override ContentType="application/vnd.openxmlformats-officedocument.spreadsheetml.worksheet+xml" PartName="/xl/worksheets/sheet10473.xml"/>
  <Override ContentType="application/vnd.openxmlformats-officedocument.spreadsheetml.worksheet+xml" PartName="/xl/worksheets/sheet10474.xml"/>
  <Override ContentType="application/vnd.openxmlformats-officedocument.spreadsheetml.worksheet+xml" PartName="/xl/worksheets/sheet10475.xml"/>
  <Override ContentType="application/vnd.openxmlformats-officedocument.spreadsheetml.worksheet+xml" PartName="/xl/worksheets/sheet10476.xml"/>
  <Override ContentType="application/vnd.openxmlformats-officedocument.spreadsheetml.worksheet+xml" PartName="/xl/worksheets/sheet10477.xml"/>
  <Override ContentType="application/vnd.openxmlformats-officedocument.spreadsheetml.worksheet+xml" PartName="/xl/worksheets/sheet10478.xml"/>
  <Override ContentType="application/vnd.openxmlformats-officedocument.spreadsheetml.worksheet+xml" PartName="/xl/worksheets/sheet10479.xml"/>
  <Override ContentType="application/vnd.openxmlformats-officedocument.spreadsheetml.worksheet+xml" PartName="/xl/worksheets/sheet10480.xml"/>
  <Override ContentType="application/vnd.openxmlformats-officedocument.spreadsheetml.worksheet+xml" PartName="/xl/worksheets/sheet10481.xml"/>
  <Override ContentType="application/vnd.openxmlformats-officedocument.spreadsheetml.worksheet+xml" PartName="/xl/worksheets/sheet10482.xml"/>
  <Override ContentType="application/vnd.openxmlformats-officedocument.spreadsheetml.worksheet+xml" PartName="/xl/worksheets/sheet10483.xml"/>
  <Override ContentType="application/vnd.openxmlformats-officedocument.spreadsheetml.worksheet+xml" PartName="/xl/worksheets/sheet10484.xml"/>
  <Override ContentType="application/vnd.openxmlformats-officedocument.spreadsheetml.worksheet+xml" PartName="/xl/worksheets/sheet10485.xml"/>
  <Override ContentType="application/vnd.openxmlformats-officedocument.spreadsheetml.worksheet+xml" PartName="/xl/worksheets/sheet10486.xml"/>
  <Override ContentType="application/vnd.openxmlformats-officedocument.spreadsheetml.worksheet+xml" PartName="/xl/worksheets/sheet10487.xml"/>
  <Override ContentType="application/vnd.openxmlformats-officedocument.spreadsheetml.worksheet+xml" PartName="/xl/worksheets/sheet10488.xml"/>
  <Override ContentType="application/vnd.openxmlformats-officedocument.spreadsheetml.worksheet+xml" PartName="/xl/worksheets/sheet10489.xml"/>
  <Override ContentType="application/vnd.openxmlformats-officedocument.spreadsheetml.worksheet+xml" PartName="/xl/worksheets/sheet10490.xml"/>
  <Override ContentType="application/vnd.openxmlformats-officedocument.spreadsheetml.worksheet+xml" PartName="/xl/worksheets/sheet10491.xml"/>
  <Override ContentType="application/vnd.openxmlformats-officedocument.spreadsheetml.worksheet+xml" PartName="/xl/worksheets/sheet10492.xml"/>
  <Override ContentType="application/vnd.openxmlformats-officedocument.spreadsheetml.worksheet+xml" PartName="/xl/worksheets/sheet10493.xml"/>
  <Override ContentType="application/vnd.openxmlformats-officedocument.spreadsheetml.worksheet+xml" PartName="/xl/worksheets/sheet10494.xml"/>
  <Override ContentType="application/vnd.openxmlformats-officedocument.spreadsheetml.worksheet+xml" PartName="/xl/worksheets/sheet10495.xml"/>
  <Override ContentType="application/vnd.openxmlformats-officedocument.spreadsheetml.worksheet+xml" PartName="/xl/worksheets/sheet10496.xml"/>
  <Override ContentType="application/vnd.openxmlformats-officedocument.spreadsheetml.worksheet+xml" PartName="/xl/worksheets/sheet10497.xml"/>
  <Override ContentType="application/vnd.openxmlformats-officedocument.spreadsheetml.worksheet+xml" PartName="/xl/worksheets/sheet10498.xml"/>
  <Override ContentType="application/vnd.openxmlformats-officedocument.spreadsheetml.worksheet+xml" PartName="/xl/worksheets/sheet10499.xml"/>
  <Override ContentType="application/vnd.openxmlformats-officedocument.spreadsheetml.worksheet+xml" PartName="/xl/worksheets/sheet10500.xml"/>
  <Override ContentType="application/vnd.openxmlformats-officedocument.spreadsheetml.worksheet+xml" PartName="/xl/worksheets/sheet10501.xml"/>
  <Override ContentType="application/vnd.openxmlformats-officedocument.spreadsheetml.worksheet+xml" PartName="/xl/worksheets/sheet10502.xml"/>
  <Override ContentType="application/vnd.openxmlformats-officedocument.spreadsheetml.worksheet+xml" PartName="/xl/worksheets/sheet10503.xml"/>
  <Override ContentType="application/vnd.openxmlformats-officedocument.spreadsheetml.worksheet+xml" PartName="/xl/worksheets/sheet10504.xml"/>
  <Override ContentType="application/vnd.openxmlformats-officedocument.spreadsheetml.worksheet+xml" PartName="/xl/worksheets/sheet10505.xml"/>
  <Override ContentType="application/vnd.openxmlformats-officedocument.spreadsheetml.worksheet+xml" PartName="/xl/worksheets/sheet10506.xml"/>
  <Override ContentType="application/vnd.openxmlformats-officedocument.spreadsheetml.worksheet+xml" PartName="/xl/worksheets/sheet10507.xml"/>
  <Override ContentType="application/vnd.openxmlformats-officedocument.spreadsheetml.worksheet+xml" PartName="/xl/worksheets/sheet10508.xml"/>
  <Override ContentType="application/vnd.openxmlformats-officedocument.spreadsheetml.worksheet+xml" PartName="/xl/worksheets/sheet10509.xml"/>
  <Override ContentType="application/vnd.openxmlformats-officedocument.spreadsheetml.worksheet+xml" PartName="/xl/worksheets/sheet10510.xml"/>
  <Override ContentType="application/vnd.openxmlformats-officedocument.spreadsheetml.worksheet+xml" PartName="/xl/worksheets/sheet10511.xml"/>
  <Override ContentType="application/vnd.openxmlformats-officedocument.spreadsheetml.worksheet+xml" PartName="/xl/worksheets/sheet10512.xml"/>
  <Override ContentType="application/vnd.openxmlformats-officedocument.spreadsheetml.worksheet+xml" PartName="/xl/worksheets/sheet10513.xml"/>
  <Override ContentType="application/vnd.openxmlformats-officedocument.spreadsheetml.worksheet+xml" PartName="/xl/worksheets/sheet10514.xml"/>
  <Override ContentType="application/vnd.openxmlformats-officedocument.spreadsheetml.worksheet+xml" PartName="/xl/worksheets/sheet10515.xml"/>
  <Override ContentType="application/vnd.openxmlformats-officedocument.spreadsheetml.worksheet+xml" PartName="/xl/worksheets/sheet10516.xml"/>
  <Override ContentType="application/vnd.openxmlformats-officedocument.spreadsheetml.worksheet+xml" PartName="/xl/worksheets/sheet10517.xml"/>
  <Override ContentType="application/vnd.openxmlformats-officedocument.spreadsheetml.worksheet+xml" PartName="/xl/worksheets/sheet10518.xml"/>
  <Override ContentType="application/vnd.openxmlformats-officedocument.spreadsheetml.worksheet+xml" PartName="/xl/worksheets/sheet10519.xml"/>
  <Override ContentType="application/vnd.openxmlformats-officedocument.spreadsheetml.worksheet+xml" PartName="/xl/worksheets/sheet10520.xml"/>
  <Override ContentType="application/vnd.openxmlformats-officedocument.spreadsheetml.worksheet+xml" PartName="/xl/worksheets/sheet10521.xml"/>
  <Override ContentType="application/vnd.openxmlformats-officedocument.spreadsheetml.worksheet+xml" PartName="/xl/worksheets/sheet10522.xml"/>
  <Override ContentType="application/vnd.openxmlformats-officedocument.spreadsheetml.worksheet+xml" PartName="/xl/worksheets/sheet10523.xml"/>
  <Override ContentType="application/vnd.openxmlformats-officedocument.spreadsheetml.worksheet+xml" PartName="/xl/worksheets/sheet10524.xml"/>
  <Override ContentType="application/vnd.openxmlformats-officedocument.spreadsheetml.worksheet+xml" PartName="/xl/worksheets/sheet10525.xml"/>
  <Override ContentType="application/vnd.openxmlformats-officedocument.spreadsheetml.worksheet+xml" PartName="/xl/worksheets/sheet10526.xml"/>
  <Override ContentType="application/vnd.openxmlformats-officedocument.spreadsheetml.worksheet+xml" PartName="/xl/worksheets/sheet10527.xml"/>
  <Override ContentType="application/vnd.openxmlformats-officedocument.spreadsheetml.worksheet+xml" PartName="/xl/worksheets/sheet10528.xml"/>
  <Override ContentType="application/vnd.openxmlformats-officedocument.spreadsheetml.worksheet+xml" PartName="/xl/worksheets/sheet10529.xml"/>
  <Override ContentType="application/vnd.openxmlformats-officedocument.spreadsheetml.worksheet+xml" PartName="/xl/worksheets/sheet10530.xml"/>
  <Override ContentType="application/vnd.openxmlformats-officedocument.spreadsheetml.worksheet+xml" PartName="/xl/worksheets/sheet10531.xml"/>
  <Override ContentType="application/vnd.openxmlformats-officedocument.spreadsheetml.worksheet+xml" PartName="/xl/worksheets/sheet10532.xml"/>
  <Override ContentType="application/vnd.openxmlformats-officedocument.spreadsheetml.worksheet+xml" PartName="/xl/worksheets/sheet10533.xml"/>
  <Override ContentType="application/vnd.openxmlformats-officedocument.spreadsheetml.worksheet+xml" PartName="/xl/worksheets/sheet10534.xml"/>
  <Override ContentType="application/vnd.openxmlformats-officedocument.spreadsheetml.worksheet+xml" PartName="/xl/worksheets/sheet10535.xml"/>
  <Override ContentType="application/vnd.openxmlformats-officedocument.spreadsheetml.worksheet+xml" PartName="/xl/worksheets/sheet10536.xml"/>
  <Override ContentType="application/vnd.openxmlformats-officedocument.spreadsheetml.worksheet+xml" PartName="/xl/worksheets/sheet10537.xml"/>
  <Override ContentType="application/vnd.openxmlformats-officedocument.spreadsheetml.worksheet+xml" PartName="/xl/worksheets/sheet10538.xml"/>
  <Override ContentType="application/vnd.openxmlformats-officedocument.spreadsheetml.worksheet+xml" PartName="/xl/worksheets/sheet10539.xml"/>
  <Override ContentType="application/vnd.openxmlformats-officedocument.spreadsheetml.worksheet+xml" PartName="/xl/worksheets/sheet10540.xml"/>
  <Override ContentType="application/vnd.openxmlformats-officedocument.spreadsheetml.worksheet+xml" PartName="/xl/worksheets/sheet10541.xml"/>
  <Override ContentType="application/vnd.openxmlformats-officedocument.spreadsheetml.worksheet+xml" PartName="/xl/worksheets/sheet10542.xml"/>
  <Override ContentType="application/vnd.openxmlformats-officedocument.spreadsheetml.worksheet+xml" PartName="/xl/worksheets/sheet10543.xml"/>
  <Override ContentType="application/vnd.openxmlformats-officedocument.spreadsheetml.worksheet+xml" PartName="/xl/worksheets/sheet10544.xml"/>
  <Override ContentType="application/vnd.openxmlformats-officedocument.spreadsheetml.worksheet+xml" PartName="/xl/worksheets/sheet10545.xml"/>
  <Override ContentType="application/vnd.openxmlformats-officedocument.spreadsheetml.worksheet+xml" PartName="/xl/worksheets/sheet10546.xml"/>
  <Override ContentType="application/vnd.openxmlformats-officedocument.spreadsheetml.worksheet+xml" PartName="/xl/worksheets/sheet10547.xml"/>
  <Override ContentType="application/vnd.openxmlformats-officedocument.spreadsheetml.worksheet+xml" PartName="/xl/worksheets/sheet10548.xml"/>
  <Override ContentType="application/vnd.openxmlformats-officedocument.spreadsheetml.worksheet+xml" PartName="/xl/worksheets/sheet10549.xml"/>
  <Override ContentType="application/vnd.openxmlformats-officedocument.spreadsheetml.worksheet+xml" PartName="/xl/worksheets/sheet10550.xml"/>
  <Override ContentType="application/vnd.openxmlformats-officedocument.spreadsheetml.worksheet+xml" PartName="/xl/worksheets/sheet10551.xml"/>
  <Override ContentType="application/vnd.openxmlformats-officedocument.spreadsheetml.worksheet+xml" PartName="/xl/worksheets/sheet10552.xml"/>
  <Override ContentType="application/vnd.openxmlformats-officedocument.spreadsheetml.worksheet+xml" PartName="/xl/worksheets/sheet10553.xml"/>
  <Override ContentType="application/vnd.openxmlformats-officedocument.spreadsheetml.worksheet+xml" PartName="/xl/worksheets/sheet10554.xml"/>
  <Override ContentType="application/vnd.openxmlformats-officedocument.spreadsheetml.worksheet+xml" PartName="/xl/worksheets/sheet10555.xml"/>
  <Override ContentType="application/vnd.openxmlformats-officedocument.spreadsheetml.worksheet+xml" PartName="/xl/worksheets/sheet10556.xml"/>
  <Override ContentType="application/vnd.openxmlformats-officedocument.spreadsheetml.worksheet+xml" PartName="/xl/worksheets/sheet10557.xml"/>
  <Override ContentType="application/vnd.openxmlformats-officedocument.spreadsheetml.worksheet+xml" PartName="/xl/worksheets/sheet10558.xml"/>
  <Override ContentType="application/vnd.openxmlformats-officedocument.spreadsheetml.worksheet+xml" PartName="/xl/worksheets/sheet10559.xml"/>
  <Override ContentType="application/vnd.openxmlformats-officedocument.spreadsheetml.worksheet+xml" PartName="/xl/worksheets/sheet10560.xml"/>
  <Override ContentType="application/vnd.openxmlformats-officedocument.spreadsheetml.worksheet+xml" PartName="/xl/worksheets/sheet10561.xml"/>
  <Override ContentType="application/vnd.openxmlformats-officedocument.spreadsheetml.worksheet+xml" PartName="/xl/worksheets/sheet10562.xml"/>
  <Override ContentType="application/vnd.openxmlformats-officedocument.spreadsheetml.worksheet+xml" PartName="/xl/worksheets/sheet10563.xml"/>
  <Override ContentType="application/vnd.openxmlformats-officedocument.spreadsheetml.worksheet+xml" PartName="/xl/worksheets/sheet10564.xml"/>
  <Override ContentType="application/vnd.openxmlformats-officedocument.spreadsheetml.worksheet+xml" PartName="/xl/worksheets/sheet10565.xml"/>
  <Override ContentType="application/vnd.openxmlformats-officedocument.spreadsheetml.worksheet+xml" PartName="/xl/worksheets/sheet10566.xml"/>
  <Override ContentType="application/vnd.openxmlformats-officedocument.spreadsheetml.worksheet+xml" PartName="/xl/worksheets/sheet10567.xml"/>
  <Override ContentType="application/vnd.openxmlformats-officedocument.spreadsheetml.worksheet+xml" PartName="/xl/worksheets/sheet10568.xml"/>
  <Override ContentType="application/vnd.openxmlformats-officedocument.spreadsheetml.worksheet+xml" PartName="/xl/worksheets/sheet10569.xml"/>
  <Override ContentType="application/vnd.openxmlformats-officedocument.spreadsheetml.worksheet+xml" PartName="/xl/worksheets/sheet10570.xml"/>
  <Override ContentType="application/vnd.openxmlformats-officedocument.spreadsheetml.worksheet+xml" PartName="/xl/worksheets/sheet10571.xml"/>
  <Override ContentType="application/vnd.openxmlformats-officedocument.spreadsheetml.worksheet+xml" PartName="/xl/worksheets/sheet10572.xml"/>
  <Override ContentType="application/vnd.openxmlformats-officedocument.spreadsheetml.worksheet+xml" PartName="/xl/worksheets/sheet10573.xml"/>
  <Override ContentType="application/vnd.openxmlformats-officedocument.spreadsheetml.worksheet+xml" PartName="/xl/worksheets/sheet10574.xml"/>
  <Override ContentType="application/vnd.openxmlformats-officedocument.spreadsheetml.worksheet+xml" PartName="/xl/worksheets/sheet10575.xml"/>
  <Override ContentType="application/vnd.openxmlformats-officedocument.spreadsheetml.worksheet+xml" PartName="/xl/worksheets/sheet10576.xml"/>
  <Override ContentType="application/vnd.openxmlformats-officedocument.spreadsheetml.worksheet+xml" PartName="/xl/worksheets/sheet10577.xml"/>
  <Override ContentType="application/vnd.openxmlformats-officedocument.spreadsheetml.worksheet+xml" PartName="/xl/worksheets/sheet10578.xml"/>
  <Override ContentType="application/vnd.openxmlformats-officedocument.spreadsheetml.worksheet+xml" PartName="/xl/worksheets/sheet10579.xml"/>
  <Override ContentType="application/vnd.openxmlformats-officedocument.spreadsheetml.worksheet+xml" PartName="/xl/worksheets/sheet10580.xml"/>
  <Override ContentType="application/vnd.openxmlformats-officedocument.spreadsheetml.worksheet+xml" PartName="/xl/worksheets/sheet10581.xml"/>
  <Override ContentType="application/vnd.openxmlformats-officedocument.spreadsheetml.worksheet+xml" PartName="/xl/worksheets/sheet10582.xml"/>
  <Override ContentType="application/vnd.openxmlformats-officedocument.spreadsheetml.worksheet+xml" PartName="/xl/worksheets/sheet10583.xml"/>
  <Override ContentType="application/vnd.openxmlformats-officedocument.spreadsheetml.worksheet+xml" PartName="/xl/worksheets/sheet10584.xml"/>
  <Override ContentType="application/vnd.openxmlformats-officedocument.spreadsheetml.worksheet+xml" PartName="/xl/worksheets/sheet10585.xml"/>
  <Override ContentType="application/vnd.openxmlformats-officedocument.spreadsheetml.worksheet+xml" PartName="/xl/worksheets/sheet10586.xml"/>
  <Override ContentType="application/vnd.openxmlformats-officedocument.spreadsheetml.worksheet+xml" PartName="/xl/worksheets/sheet10587.xml"/>
  <Override ContentType="application/vnd.openxmlformats-officedocument.spreadsheetml.worksheet+xml" PartName="/xl/worksheets/sheet10588.xml"/>
  <Override ContentType="application/vnd.openxmlformats-officedocument.spreadsheetml.worksheet+xml" PartName="/xl/worksheets/sheet10589.xml"/>
  <Override ContentType="application/vnd.openxmlformats-officedocument.spreadsheetml.worksheet+xml" PartName="/xl/worksheets/sheet10590.xml"/>
  <Override ContentType="application/vnd.openxmlformats-officedocument.spreadsheetml.worksheet+xml" PartName="/xl/worksheets/sheet10591.xml"/>
  <Override ContentType="application/vnd.openxmlformats-officedocument.spreadsheetml.worksheet+xml" PartName="/xl/worksheets/sheet10592.xml"/>
  <Override ContentType="application/vnd.openxmlformats-officedocument.spreadsheetml.worksheet+xml" PartName="/xl/worksheets/sheet10593.xml"/>
  <Override ContentType="application/vnd.openxmlformats-officedocument.spreadsheetml.worksheet+xml" PartName="/xl/worksheets/sheet10594.xml"/>
  <Override ContentType="application/vnd.openxmlformats-officedocument.spreadsheetml.worksheet+xml" PartName="/xl/worksheets/sheet10595.xml"/>
  <Override ContentType="application/vnd.openxmlformats-officedocument.spreadsheetml.worksheet+xml" PartName="/xl/worksheets/sheet10596.xml"/>
  <Override ContentType="application/vnd.openxmlformats-officedocument.spreadsheetml.worksheet+xml" PartName="/xl/worksheets/sheet10597.xml"/>
  <Override ContentType="application/vnd.openxmlformats-officedocument.spreadsheetml.worksheet+xml" PartName="/xl/worksheets/sheet10598.xml"/>
  <Override ContentType="application/vnd.openxmlformats-officedocument.spreadsheetml.worksheet+xml" PartName="/xl/worksheets/sheet10599.xml"/>
  <Override ContentType="application/vnd.openxmlformats-officedocument.spreadsheetml.worksheet+xml" PartName="/xl/worksheets/sheet10600.xml"/>
  <Override ContentType="application/vnd.openxmlformats-officedocument.spreadsheetml.worksheet+xml" PartName="/xl/worksheets/sheet10601.xml"/>
  <Override ContentType="application/vnd.openxmlformats-officedocument.spreadsheetml.worksheet+xml" PartName="/xl/worksheets/sheet10602.xml"/>
  <Override ContentType="application/vnd.openxmlformats-officedocument.spreadsheetml.worksheet+xml" PartName="/xl/worksheets/sheet10603.xml"/>
  <Override ContentType="application/vnd.openxmlformats-officedocument.spreadsheetml.worksheet+xml" PartName="/xl/worksheets/sheet10604.xml"/>
  <Override ContentType="application/vnd.openxmlformats-officedocument.spreadsheetml.worksheet+xml" PartName="/xl/worksheets/sheet10605.xml"/>
  <Override ContentType="application/vnd.openxmlformats-officedocument.spreadsheetml.worksheet+xml" PartName="/xl/worksheets/sheet10606.xml"/>
  <Override ContentType="application/vnd.openxmlformats-officedocument.spreadsheetml.worksheet+xml" PartName="/xl/worksheets/sheet10607.xml"/>
  <Override ContentType="application/vnd.openxmlformats-officedocument.spreadsheetml.worksheet+xml" PartName="/xl/worksheets/sheet10608.xml"/>
  <Override ContentType="application/vnd.openxmlformats-officedocument.spreadsheetml.worksheet+xml" PartName="/xl/worksheets/sheet10609.xml"/>
  <Override ContentType="application/vnd.openxmlformats-officedocument.spreadsheetml.worksheet+xml" PartName="/xl/worksheets/sheet10610.xml"/>
  <Override ContentType="application/vnd.openxmlformats-officedocument.spreadsheetml.worksheet+xml" PartName="/xl/worksheets/sheet10611.xml"/>
  <Override ContentType="application/vnd.openxmlformats-officedocument.spreadsheetml.worksheet+xml" PartName="/xl/worksheets/sheet10612.xml"/>
  <Override ContentType="application/vnd.openxmlformats-officedocument.spreadsheetml.worksheet+xml" PartName="/xl/worksheets/sheet10613.xml"/>
  <Override ContentType="application/vnd.openxmlformats-officedocument.spreadsheetml.worksheet+xml" PartName="/xl/worksheets/sheet10614.xml"/>
  <Override ContentType="application/vnd.openxmlformats-officedocument.spreadsheetml.worksheet+xml" PartName="/xl/worksheets/sheet10615.xml"/>
  <Override ContentType="application/vnd.openxmlformats-officedocument.spreadsheetml.worksheet+xml" PartName="/xl/worksheets/sheet10616.xml"/>
  <Override ContentType="application/vnd.openxmlformats-officedocument.spreadsheetml.worksheet+xml" PartName="/xl/worksheets/sheet10617.xml"/>
  <Override ContentType="application/vnd.openxmlformats-officedocument.spreadsheetml.worksheet+xml" PartName="/xl/worksheets/sheet10618.xml"/>
  <Override ContentType="application/vnd.openxmlformats-officedocument.spreadsheetml.worksheet+xml" PartName="/xl/worksheets/sheet10619.xml"/>
  <Override ContentType="application/vnd.openxmlformats-officedocument.spreadsheetml.worksheet+xml" PartName="/xl/worksheets/sheet10620.xml"/>
  <Override ContentType="application/vnd.openxmlformats-officedocument.spreadsheetml.worksheet+xml" PartName="/xl/worksheets/sheet10621.xml"/>
  <Override ContentType="application/vnd.openxmlformats-officedocument.spreadsheetml.worksheet+xml" PartName="/xl/worksheets/sheet10622.xml"/>
  <Override ContentType="application/vnd.openxmlformats-officedocument.spreadsheetml.worksheet+xml" PartName="/xl/worksheets/sheet10623.xml"/>
  <Override ContentType="application/vnd.openxmlformats-officedocument.spreadsheetml.worksheet+xml" PartName="/xl/worksheets/sheet10624.xml"/>
  <Override ContentType="application/vnd.openxmlformats-officedocument.spreadsheetml.worksheet+xml" PartName="/xl/worksheets/sheet10625.xml"/>
  <Override ContentType="application/vnd.openxmlformats-officedocument.spreadsheetml.worksheet+xml" PartName="/xl/worksheets/sheet10626.xml"/>
  <Override ContentType="application/vnd.openxmlformats-officedocument.spreadsheetml.worksheet+xml" PartName="/xl/worksheets/sheet10627.xml"/>
  <Override ContentType="application/vnd.openxmlformats-officedocument.spreadsheetml.worksheet+xml" PartName="/xl/worksheets/sheet10628.xml"/>
  <Override ContentType="application/vnd.openxmlformats-officedocument.spreadsheetml.worksheet+xml" PartName="/xl/worksheets/sheet10629.xml"/>
  <Override ContentType="application/vnd.openxmlformats-officedocument.spreadsheetml.worksheet+xml" PartName="/xl/worksheets/sheet10630.xml"/>
  <Override ContentType="application/vnd.openxmlformats-officedocument.spreadsheetml.worksheet+xml" PartName="/xl/worksheets/sheet10631.xml"/>
  <Override ContentType="application/vnd.openxmlformats-officedocument.spreadsheetml.worksheet+xml" PartName="/xl/worksheets/sheet10632.xml"/>
  <Override ContentType="application/vnd.openxmlformats-officedocument.spreadsheetml.worksheet+xml" PartName="/xl/worksheets/sheet10633.xml"/>
  <Override ContentType="application/vnd.openxmlformats-officedocument.spreadsheetml.worksheet+xml" PartName="/xl/worksheets/sheet10634.xml"/>
  <Override ContentType="application/vnd.openxmlformats-officedocument.spreadsheetml.worksheet+xml" PartName="/xl/worksheets/sheet10635.xml"/>
  <Override ContentType="application/vnd.openxmlformats-officedocument.spreadsheetml.worksheet+xml" PartName="/xl/worksheets/sheet10636.xml"/>
  <Override ContentType="application/vnd.openxmlformats-officedocument.spreadsheetml.worksheet+xml" PartName="/xl/worksheets/sheet10637.xml"/>
  <Override ContentType="application/vnd.openxmlformats-officedocument.spreadsheetml.worksheet+xml" PartName="/xl/worksheets/sheet10638.xml"/>
  <Override ContentType="application/vnd.openxmlformats-officedocument.spreadsheetml.worksheet+xml" PartName="/xl/worksheets/sheet10639.xml"/>
  <Override ContentType="application/vnd.openxmlformats-officedocument.spreadsheetml.worksheet+xml" PartName="/xl/worksheets/sheet10640.xml"/>
  <Override ContentType="application/vnd.openxmlformats-officedocument.spreadsheetml.worksheet+xml" PartName="/xl/worksheets/sheet10641.xml"/>
  <Override ContentType="application/vnd.openxmlformats-officedocument.spreadsheetml.worksheet+xml" PartName="/xl/worksheets/sheet10642.xml"/>
  <Override ContentType="application/vnd.openxmlformats-officedocument.spreadsheetml.worksheet+xml" PartName="/xl/worksheets/sheet10643.xml"/>
  <Override ContentType="application/vnd.openxmlformats-officedocument.spreadsheetml.worksheet+xml" PartName="/xl/worksheets/sheet10644.xml"/>
  <Override ContentType="application/vnd.openxmlformats-officedocument.spreadsheetml.worksheet+xml" PartName="/xl/worksheets/sheet10645.xml"/>
  <Override ContentType="application/vnd.openxmlformats-officedocument.spreadsheetml.worksheet+xml" PartName="/xl/worksheets/sheet10646.xml"/>
  <Override ContentType="application/vnd.openxmlformats-officedocument.spreadsheetml.worksheet+xml" PartName="/xl/worksheets/sheet10647.xml"/>
  <Override ContentType="application/vnd.openxmlformats-officedocument.spreadsheetml.worksheet+xml" PartName="/xl/worksheets/sheet10648.xml"/>
  <Override ContentType="application/vnd.openxmlformats-officedocument.spreadsheetml.worksheet+xml" PartName="/xl/worksheets/sheet10649.xml"/>
  <Override ContentType="application/vnd.openxmlformats-officedocument.spreadsheetml.worksheet+xml" PartName="/xl/worksheets/sheet10650.xml"/>
  <Override ContentType="application/vnd.openxmlformats-officedocument.spreadsheetml.worksheet+xml" PartName="/xl/worksheets/sheet10651.xml"/>
  <Override ContentType="application/vnd.openxmlformats-officedocument.spreadsheetml.worksheet+xml" PartName="/xl/worksheets/sheet10652.xml"/>
  <Override ContentType="application/vnd.openxmlformats-officedocument.spreadsheetml.worksheet+xml" PartName="/xl/worksheets/sheet10653.xml"/>
  <Override ContentType="application/vnd.openxmlformats-officedocument.spreadsheetml.worksheet+xml" PartName="/xl/worksheets/sheet10654.xml"/>
  <Override ContentType="application/vnd.openxmlformats-officedocument.spreadsheetml.worksheet+xml" PartName="/xl/worksheets/sheet10655.xml"/>
  <Override ContentType="application/vnd.openxmlformats-officedocument.spreadsheetml.worksheet+xml" PartName="/xl/worksheets/sheet10656.xml"/>
  <Override ContentType="application/vnd.openxmlformats-officedocument.spreadsheetml.worksheet+xml" PartName="/xl/worksheets/sheet10657.xml"/>
  <Override ContentType="application/vnd.openxmlformats-officedocument.spreadsheetml.worksheet+xml" PartName="/xl/worksheets/sheet10658.xml"/>
  <Override ContentType="application/vnd.openxmlformats-officedocument.spreadsheetml.worksheet+xml" PartName="/xl/worksheets/sheet10659.xml"/>
  <Override ContentType="application/vnd.openxmlformats-officedocument.spreadsheetml.worksheet+xml" PartName="/xl/worksheets/sheet10660.xml"/>
  <Override ContentType="application/vnd.openxmlformats-officedocument.spreadsheetml.worksheet+xml" PartName="/xl/worksheets/sheet10661.xml"/>
  <Override ContentType="application/vnd.openxmlformats-officedocument.spreadsheetml.worksheet+xml" PartName="/xl/worksheets/sheet10662.xml"/>
  <Override ContentType="application/vnd.openxmlformats-officedocument.spreadsheetml.worksheet+xml" PartName="/xl/worksheets/sheet10663.xml"/>
  <Override ContentType="application/vnd.openxmlformats-officedocument.spreadsheetml.worksheet+xml" PartName="/xl/worksheets/sheet10664.xml"/>
  <Override ContentType="application/vnd.openxmlformats-officedocument.spreadsheetml.worksheet+xml" PartName="/xl/worksheets/sheet10665.xml"/>
  <Override ContentType="application/vnd.openxmlformats-officedocument.spreadsheetml.worksheet+xml" PartName="/xl/worksheets/sheet10666.xml"/>
  <Override ContentType="application/vnd.openxmlformats-officedocument.spreadsheetml.worksheet+xml" PartName="/xl/worksheets/sheet10667.xml"/>
  <Override ContentType="application/vnd.openxmlformats-officedocument.spreadsheetml.worksheet+xml" PartName="/xl/worksheets/sheet10668.xml"/>
  <Override ContentType="application/vnd.openxmlformats-officedocument.spreadsheetml.worksheet+xml" PartName="/xl/worksheets/sheet10669.xml"/>
  <Override ContentType="application/vnd.openxmlformats-officedocument.spreadsheetml.worksheet+xml" PartName="/xl/worksheets/sheet10670.xml"/>
  <Override ContentType="application/vnd.openxmlformats-officedocument.spreadsheetml.worksheet+xml" PartName="/xl/worksheets/sheet10671.xml"/>
  <Override ContentType="application/vnd.openxmlformats-officedocument.spreadsheetml.worksheet+xml" PartName="/xl/worksheets/sheet10672.xml"/>
  <Override ContentType="application/vnd.openxmlformats-officedocument.spreadsheetml.worksheet+xml" PartName="/xl/worksheets/sheet10673.xml"/>
  <Override ContentType="application/vnd.openxmlformats-officedocument.spreadsheetml.worksheet+xml" PartName="/xl/worksheets/sheet10674.xml"/>
  <Override ContentType="application/vnd.openxmlformats-officedocument.spreadsheetml.worksheet+xml" PartName="/xl/worksheets/sheet10675.xml"/>
  <Override ContentType="application/vnd.openxmlformats-officedocument.spreadsheetml.worksheet+xml" PartName="/xl/worksheets/sheet10676.xml"/>
  <Override ContentType="application/vnd.openxmlformats-officedocument.spreadsheetml.worksheet+xml" PartName="/xl/worksheets/sheet10677.xml"/>
  <Override ContentType="application/vnd.openxmlformats-officedocument.spreadsheetml.worksheet+xml" PartName="/xl/worksheets/sheet10678.xml"/>
  <Override ContentType="application/vnd.openxmlformats-officedocument.spreadsheetml.worksheet+xml" PartName="/xl/worksheets/sheet10679.xml"/>
  <Override ContentType="application/vnd.openxmlformats-officedocument.spreadsheetml.worksheet+xml" PartName="/xl/worksheets/sheet10680.xml"/>
  <Override ContentType="application/vnd.openxmlformats-officedocument.spreadsheetml.worksheet+xml" PartName="/xl/worksheets/sheet10681.xml"/>
  <Override ContentType="application/vnd.openxmlformats-officedocument.spreadsheetml.worksheet+xml" PartName="/xl/worksheets/sheet10682.xml"/>
  <Override ContentType="application/vnd.openxmlformats-officedocument.spreadsheetml.worksheet+xml" PartName="/xl/worksheets/sheet10683.xml"/>
  <Override ContentType="application/vnd.openxmlformats-officedocument.spreadsheetml.worksheet+xml" PartName="/xl/worksheets/sheet10684.xml"/>
  <Override ContentType="application/vnd.openxmlformats-officedocument.spreadsheetml.worksheet+xml" PartName="/xl/worksheets/sheet10685.xml"/>
  <Override ContentType="application/vnd.openxmlformats-officedocument.spreadsheetml.worksheet+xml" PartName="/xl/worksheets/sheet10686.xml"/>
  <Override ContentType="application/vnd.openxmlformats-officedocument.spreadsheetml.worksheet+xml" PartName="/xl/worksheets/sheet10687.xml"/>
  <Override ContentType="application/vnd.openxmlformats-officedocument.spreadsheetml.worksheet+xml" PartName="/xl/worksheets/sheet10688.xml"/>
  <Override ContentType="application/vnd.openxmlformats-officedocument.spreadsheetml.worksheet+xml" PartName="/xl/worksheets/sheet10689.xml"/>
  <Override ContentType="application/vnd.openxmlformats-officedocument.spreadsheetml.worksheet+xml" PartName="/xl/worksheets/sheet10690.xml"/>
  <Override ContentType="application/vnd.openxmlformats-officedocument.spreadsheetml.worksheet+xml" PartName="/xl/worksheets/sheet10691.xml"/>
  <Override ContentType="application/vnd.openxmlformats-officedocument.spreadsheetml.worksheet+xml" PartName="/xl/worksheets/sheet10692.xml"/>
  <Override ContentType="application/vnd.openxmlformats-officedocument.spreadsheetml.worksheet+xml" PartName="/xl/worksheets/sheet10693.xml"/>
  <Override ContentType="application/vnd.openxmlformats-officedocument.spreadsheetml.worksheet+xml" PartName="/xl/worksheets/sheet10694.xml"/>
  <Override ContentType="application/vnd.openxmlformats-officedocument.spreadsheetml.worksheet+xml" PartName="/xl/worksheets/sheet10695.xml"/>
  <Override ContentType="application/vnd.openxmlformats-officedocument.spreadsheetml.worksheet+xml" PartName="/xl/worksheets/sheet10696.xml"/>
  <Override ContentType="application/vnd.openxmlformats-officedocument.spreadsheetml.worksheet+xml" PartName="/xl/worksheets/sheet10697.xml"/>
  <Override ContentType="application/vnd.openxmlformats-officedocument.spreadsheetml.worksheet+xml" PartName="/xl/worksheets/sheet10698.xml"/>
  <Override ContentType="application/vnd.openxmlformats-officedocument.spreadsheetml.worksheet+xml" PartName="/xl/worksheets/sheet10699.xml"/>
  <Override ContentType="application/vnd.openxmlformats-officedocument.spreadsheetml.worksheet+xml" PartName="/xl/worksheets/sheet10700.xml"/>
  <Override ContentType="application/vnd.openxmlformats-officedocument.spreadsheetml.worksheet+xml" PartName="/xl/worksheets/sheet10701.xml"/>
  <Override ContentType="application/vnd.openxmlformats-officedocument.spreadsheetml.worksheet+xml" PartName="/xl/worksheets/sheet10702.xml"/>
  <Override ContentType="application/vnd.openxmlformats-officedocument.spreadsheetml.worksheet+xml" PartName="/xl/worksheets/sheet10703.xml"/>
  <Override ContentType="application/vnd.openxmlformats-officedocument.spreadsheetml.worksheet+xml" PartName="/xl/worksheets/sheet10704.xml"/>
  <Override ContentType="application/vnd.openxmlformats-officedocument.spreadsheetml.worksheet+xml" PartName="/xl/worksheets/sheet10705.xml"/>
  <Override ContentType="application/vnd.openxmlformats-officedocument.spreadsheetml.worksheet+xml" PartName="/xl/worksheets/sheet10706.xml"/>
  <Override ContentType="application/vnd.openxmlformats-officedocument.spreadsheetml.worksheet+xml" PartName="/xl/worksheets/sheet10707.xml"/>
  <Override ContentType="application/vnd.openxmlformats-officedocument.spreadsheetml.worksheet+xml" PartName="/xl/worksheets/sheet10708.xml"/>
  <Override ContentType="application/vnd.openxmlformats-officedocument.spreadsheetml.worksheet+xml" PartName="/xl/worksheets/sheet10709.xml"/>
  <Override ContentType="application/vnd.openxmlformats-officedocument.spreadsheetml.worksheet+xml" PartName="/xl/worksheets/sheet10710.xml"/>
  <Override ContentType="application/vnd.openxmlformats-officedocument.spreadsheetml.worksheet+xml" PartName="/xl/worksheets/sheet10711.xml"/>
  <Override ContentType="application/vnd.openxmlformats-officedocument.spreadsheetml.worksheet+xml" PartName="/xl/worksheets/sheet10712.xml"/>
  <Override ContentType="application/vnd.openxmlformats-officedocument.spreadsheetml.worksheet+xml" PartName="/xl/worksheets/sheet10713.xml"/>
  <Override ContentType="application/vnd.openxmlformats-officedocument.spreadsheetml.worksheet+xml" PartName="/xl/worksheets/sheet10714.xml"/>
  <Override ContentType="application/vnd.openxmlformats-officedocument.spreadsheetml.worksheet+xml" PartName="/xl/worksheets/sheet10715.xml"/>
  <Override ContentType="application/vnd.openxmlformats-officedocument.spreadsheetml.worksheet+xml" PartName="/xl/worksheets/sheet10716.xml"/>
  <Override ContentType="application/vnd.openxmlformats-officedocument.spreadsheetml.worksheet+xml" PartName="/xl/worksheets/sheet10717.xml"/>
  <Override ContentType="application/vnd.openxmlformats-officedocument.spreadsheetml.worksheet+xml" PartName="/xl/worksheets/sheet10718.xml"/>
  <Override ContentType="application/vnd.openxmlformats-officedocument.spreadsheetml.worksheet+xml" PartName="/xl/worksheets/sheet10719.xml"/>
  <Override ContentType="application/vnd.openxmlformats-officedocument.spreadsheetml.worksheet+xml" PartName="/xl/worksheets/sheet10720.xml"/>
  <Override ContentType="application/vnd.openxmlformats-officedocument.spreadsheetml.worksheet+xml" PartName="/xl/worksheets/sheet10721.xml"/>
  <Override ContentType="application/vnd.openxmlformats-officedocument.spreadsheetml.worksheet+xml" PartName="/xl/worksheets/sheet10722.xml"/>
  <Override ContentType="application/vnd.openxmlformats-officedocument.spreadsheetml.worksheet+xml" PartName="/xl/worksheets/sheet10723.xml"/>
  <Override ContentType="application/vnd.openxmlformats-officedocument.spreadsheetml.worksheet+xml" PartName="/xl/worksheets/sheet10724.xml"/>
  <Override ContentType="application/vnd.openxmlformats-officedocument.spreadsheetml.worksheet+xml" PartName="/xl/worksheets/sheet10725.xml"/>
  <Override ContentType="application/vnd.openxmlformats-officedocument.spreadsheetml.worksheet+xml" PartName="/xl/worksheets/sheet10726.xml"/>
  <Override ContentType="application/vnd.openxmlformats-officedocument.spreadsheetml.worksheet+xml" PartName="/xl/worksheets/sheet10727.xml"/>
  <Override ContentType="application/vnd.openxmlformats-officedocument.spreadsheetml.worksheet+xml" PartName="/xl/worksheets/sheet10728.xml"/>
  <Override ContentType="application/vnd.openxmlformats-officedocument.spreadsheetml.worksheet+xml" PartName="/xl/worksheets/sheet10729.xml"/>
  <Override ContentType="application/vnd.openxmlformats-officedocument.spreadsheetml.worksheet+xml" PartName="/xl/worksheets/sheet10730.xml"/>
  <Override ContentType="application/vnd.openxmlformats-officedocument.spreadsheetml.worksheet+xml" PartName="/xl/worksheets/sheet10731.xml"/>
  <Override ContentType="application/vnd.openxmlformats-officedocument.spreadsheetml.worksheet+xml" PartName="/xl/worksheets/sheet10732.xml"/>
  <Override ContentType="application/vnd.openxmlformats-officedocument.spreadsheetml.worksheet+xml" PartName="/xl/worksheets/sheet10733.xml"/>
  <Override ContentType="application/vnd.openxmlformats-officedocument.spreadsheetml.worksheet+xml" PartName="/xl/worksheets/sheet10734.xml"/>
  <Override ContentType="application/vnd.openxmlformats-officedocument.spreadsheetml.worksheet+xml" PartName="/xl/worksheets/sheet10735.xml"/>
  <Override ContentType="application/vnd.openxmlformats-officedocument.spreadsheetml.worksheet+xml" PartName="/xl/worksheets/sheet10736.xml"/>
  <Override ContentType="application/vnd.openxmlformats-officedocument.spreadsheetml.worksheet+xml" PartName="/xl/worksheets/sheet10737.xml"/>
  <Override ContentType="application/vnd.openxmlformats-officedocument.spreadsheetml.worksheet+xml" PartName="/xl/worksheets/sheet10738.xml"/>
  <Override ContentType="application/vnd.openxmlformats-officedocument.spreadsheetml.worksheet+xml" PartName="/xl/worksheets/sheet10739.xml"/>
  <Override ContentType="application/vnd.openxmlformats-officedocument.spreadsheetml.worksheet+xml" PartName="/xl/worksheets/sheet10740.xml"/>
  <Override ContentType="application/vnd.openxmlformats-officedocument.spreadsheetml.worksheet+xml" PartName="/xl/worksheets/sheet10741.xml"/>
  <Override ContentType="application/vnd.openxmlformats-officedocument.spreadsheetml.worksheet+xml" PartName="/xl/worksheets/sheet10742.xml"/>
  <Override ContentType="application/vnd.openxmlformats-officedocument.spreadsheetml.worksheet+xml" PartName="/xl/worksheets/sheet10743.xml"/>
  <Override ContentType="application/vnd.openxmlformats-officedocument.spreadsheetml.worksheet+xml" PartName="/xl/worksheets/sheet10744.xml"/>
  <Override ContentType="application/vnd.openxmlformats-officedocument.spreadsheetml.worksheet+xml" PartName="/xl/worksheets/sheet10745.xml"/>
  <Override ContentType="application/vnd.openxmlformats-officedocument.spreadsheetml.worksheet+xml" PartName="/xl/worksheets/sheet10746.xml"/>
  <Override ContentType="application/vnd.openxmlformats-officedocument.spreadsheetml.worksheet+xml" PartName="/xl/worksheets/sheet10747.xml"/>
  <Override ContentType="application/vnd.openxmlformats-officedocument.spreadsheetml.worksheet+xml" PartName="/xl/worksheets/sheet10748.xml"/>
  <Override ContentType="application/vnd.openxmlformats-officedocument.spreadsheetml.worksheet+xml" PartName="/xl/worksheets/sheet10749.xml"/>
  <Override ContentType="application/vnd.openxmlformats-officedocument.spreadsheetml.worksheet+xml" PartName="/xl/worksheets/sheet10750.xml"/>
  <Override ContentType="application/vnd.openxmlformats-officedocument.spreadsheetml.worksheet+xml" PartName="/xl/worksheets/sheet10751.xml"/>
  <Override ContentType="application/vnd.openxmlformats-officedocument.spreadsheetml.worksheet+xml" PartName="/xl/worksheets/sheet10752.xml"/>
  <Override ContentType="application/vnd.openxmlformats-officedocument.spreadsheetml.worksheet+xml" PartName="/xl/worksheets/sheet10753.xml"/>
  <Override ContentType="application/vnd.openxmlformats-officedocument.spreadsheetml.worksheet+xml" PartName="/xl/worksheets/sheet10754.xml"/>
  <Override ContentType="application/vnd.openxmlformats-officedocument.spreadsheetml.worksheet+xml" PartName="/xl/worksheets/sheet10755.xml"/>
  <Override ContentType="application/vnd.openxmlformats-officedocument.spreadsheetml.worksheet+xml" PartName="/xl/worksheets/sheet10756.xml"/>
  <Override ContentType="application/vnd.openxmlformats-officedocument.spreadsheetml.worksheet+xml" PartName="/xl/worksheets/sheet10757.xml"/>
  <Override ContentType="application/vnd.openxmlformats-officedocument.spreadsheetml.worksheet+xml" PartName="/xl/worksheets/sheet10758.xml"/>
  <Override ContentType="application/vnd.openxmlformats-officedocument.spreadsheetml.worksheet+xml" PartName="/xl/worksheets/sheet10759.xml"/>
  <Override ContentType="application/vnd.openxmlformats-officedocument.spreadsheetml.worksheet+xml" PartName="/xl/worksheets/sheet10760.xml"/>
  <Override ContentType="application/vnd.openxmlformats-officedocument.spreadsheetml.worksheet+xml" PartName="/xl/worksheets/sheet10761.xml"/>
  <Override ContentType="application/vnd.openxmlformats-officedocument.spreadsheetml.worksheet+xml" PartName="/xl/worksheets/sheet10762.xml"/>
  <Override ContentType="application/vnd.openxmlformats-officedocument.spreadsheetml.worksheet+xml" PartName="/xl/worksheets/sheet10763.xml"/>
  <Override ContentType="application/vnd.openxmlformats-officedocument.spreadsheetml.worksheet+xml" PartName="/xl/worksheets/sheet10764.xml"/>
  <Override ContentType="application/vnd.openxmlformats-officedocument.spreadsheetml.worksheet+xml" PartName="/xl/worksheets/sheet10765.xml"/>
  <Override ContentType="application/vnd.openxmlformats-officedocument.spreadsheetml.worksheet+xml" PartName="/xl/worksheets/sheet10766.xml"/>
  <Override ContentType="application/vnd.openxmlformats-officedocument.spreadsheetml.worksheet+xml" PartName="/xl/worksheets/sheet10767.xml"/>
  <Override ContentType="application/vnd.openxmlformats-officedocument.spreadsheetml.worksheet+xml" PartName="/xl/worksheets/sheet10768.xml"/>
  <Override ContentType="application/vnd.openxmlformats-officedocument.spreadsheetml.worksheet+xml" PartName="/xl/worksheets/sheet10769.xml"/>
  <Override ContentType="application/vnd.openxmlformats-officedocument.spreadsheetml.worksheet+xml" PartName="/xl/worksheets/sheet10770.xml"/>
  <Override ContentType="application/vnd.openxmlformats-officedocument.spreadsheetml.worksheet+xml" PartName="/xl/worksheets/sheet10771.xml"/>
  <Override ContentType="application/vnd.openxmlformats-officedocument.spreadsheetml.worksheet+xml" PartName="/xl/worksheets/sheet10772.xml"/>
  <Override ContentType="application/vnd.openxmlformats-officedocument.spreadsheetml.worksheet+xml" PartName="/xl/worksheets/sheet10773.xml"/>
  <Override ContentType="application/vnd.openxmlformats-officedocument.spreadsheetml.worksheet+xml" PartName="/xl/worksheets/sheet10774.xml"/>
  <Override ContentType="application/vnd.openxmlformats-officedocument.spreadsheetml.worksheet+xml" PartName="/xl/worksheets/sheet10775.xml"/>
  <Override ContentType="application/vnd.openxmlformats-officedocument.spreadsheetml.worksheet+xml" PartName="/xl/worksheets/sheet10776.xml"/>
  <Override ContentType="application/vnd.openxmlformats-officedocument.spreadsheetml.worksheet+xml" PartName="/xl/worksheets/sheet10777.xml"/>
  <Override ContentType="application/vnd.openxmlformats-officedocument.spreadsheetml.worksheet+xml" PartName="/xl/worksheets/sheet10778.xml"/>
  <Override ContentType="application/vnd.openxmlformats-officedocument.spreadsheetml.worksheet+xml" PartName="/xl/worksheets/sheet10779.xml"/>
  <Override ContentType="application/vnd.openxmlformats-officedocument.spreadsheetml.worksheet+xml" PartName="/xl/worksheets/sheet10780.xml"/>
  <Override ContentType="application/vnd.openxmlformats-officedocument.spreadsheetml.worksheet+xml" PartName="/xl/worksheets/sheet10781.xml"/>
  <Override ContentType="application/vnd.openxmlformats-officedocument.spreadsheetml.worksheet+xml" PartName="/xl/worksheets/sheet10782.xml"/>
  <Override ContentType="application/vnd.openxmlformats-officedocument.spreadsheetml.worksheet+xml" PartName="/xl/worksheets/sheet10783.xml"/>
  <Override ContentType="application/vnd.openxmlformats-officedocument.spreadsheetml.worksheet+xml" PartName="/xl/worksheets/sheet10784.xml"/>
  <Override ContentType="application/vnd.openxmlformats-officedocument.spreadsheetml.worksheet+xml" PartName="/xl/worksheets/sheet10785.xml"/>
  <Override ContentType="application/vnd.openxmlformats-officedocument.spreadsheetml.worksheet+xml" PartName="/xl/worksheets/sheet10786.xml"/>
  <Override ContentType="application/vnd.openxmlformats-officedocument.spreadsheetml.worksheet+xml" PartName="/xl/worksheets/sheet10787.xml"/>
  <Override ContentType="application/vnd.openxmlformats-officedocument.spreadsheetml.worksheet+xml" PartName="/xl/worksheets/sheet10788.xml"/>
  <Override ContentType="application/vnd.openxmlformats-officedocument.spreadsheetml.worksheet+xml" PartName="/xl/worksheets/sheet10789.xml"/>
  <Override ContentType="application/vnd.openxmlformats-officedocument.spreadsheetml.worksheet+xml" PartName="/xl/worksheets/sheet10790.xml"/>
  <Override ContentType="application/vnd.openxmlformats-officedocument.spreadsheetml.worksheet+xml" PartName="/xl/worksheets/sheet10791.xml"/>
  <Override ContentType="application/vnd.openxmlformats-officedocument.spreadsheetml.worksheet+xml" PartName="/xl/worksheets/sheet10792.xml"/>
  <Override ContentType="application/vnd.openxmlformats-officedocument.spreadsheetml.worksheet+xml" PartName="/xl/worksheets/sheet10793.xml"/>
  <Override ContentType="application/vnd.openxmlformats-officedocument.spreadsheetml.worksheet+xml" PartName="/xl/worksheets/sheet10794.xml"/>
  <Override ContentType="application/vnd.openxmlformats-officedocument.spreadsheetml.worksheet+xml" PartName="/xl/worksheets/sheet10795.xml"/>
  <Override ContentType="application/vnd.openxmlformats-officedocument.spreadsheetml.worksheet+xml" PartName="/xl/worksheets/sheet10796.xml"/>
  <Override ContentType="application/vnd.openxmlformats-officedocument.spreadsheetml.worksheet+xml" PartName="/xl/worksheets/sheet10797.xml"/>
  <Override ContentType="application/vnd.openxmlformats-officedocument.spreadsheetml.worksheet+xml" PartName="/xl/worksheets/sheet10798.xml"/>
  <Override ContentType="application/vnd.openxmlformats-officedocument.spreadsheetml.worksheet+xml" PartName="/xl/worksheets/sheet10799.xml"/>
  <Override ContentType="application/vnd.openxmlformats-officedocument.spreadsheetml.worksheet+xml" PartName="/xl/worksheets/sheet10800.xml"/>
  <Override ContentType="application/vnd.openxmlformats-officedocument.spreadsheetml.worksheet+xml" PartName="/xl/worksheets/sheet10801.xml"/>
  <Override ContentType="application/vnd.openxmlformats-officedocument.spreadsheetml.worksheet+xml" PartName="/xl/worksheets/sheet10802.xml"/>
  <Override ContentType="application/vnd.openxmlformats-officedocument.spreadsheetml.worksheet+xml" PartName="/xl/worksheets/sheet10803.xml"/>
  <Override ContentType="application/vnd.openxmlformats-officedocument.spreadsheetml.worksheet+xml" PartName="/xl/worksheets/sheet10804.xml"/>
  <Override ContentType="application/vnd.openxmlformats-officedocument.spreadsheetml.worksheet+xml" PartName="/xl/worksheets/sheet10805.xml"/>
  <Override ContentType="application/vnd.openxmlformats-officedocument.spreadsheetml.worksheet+xml" PartName="/xl/worksheets/sheet10806.xml"/>
  <Override ContentType="application/vnd.openxmlformats-officedocument.spreadsheetml.worksheet+xml" PartName="/xl/worksheets/sheet10807.xml"/>
  <Override ContentType="application/vnd.openxmlformats-officedocument.spreadsheetml.worksheet+xml" PartName="/xl/worksheets/sheet10808.xml"/>
  <Override ContentType="application/vnd.openxmlformats-officedocument.spreadsheetml.worksheet+xml" PartName="/xl/worksheets/sheet10809.xml"/>
  <Override ContentType="application/vnd.openxmlformats-officedocument.spreadsheetml.worksheet+xml" PartName="/xl/worksheets/sheet10810.xml"/>
  <Override ContentType="application/vnd.openxmlformats-officedocument.spreadsheetml.worksheet+xml" PartName="/xl/worksheets/sheet10811.xml"/>
  <Override ContentType="application/vnd.openxmlformats-officedocument.spreadsheetml.worksheet+xml" PartName="/xl/worksheets/sheet10812.xml"/>
  <Override ContentType="application/vnd.openxmlformats-officedocument.spreadsheetml.worksheet+xml" PartName="/xl/worksheets/sheet10813.xml"/>
  <Override ContentType="application/vnd.openxmlformats-officedocument.spreadsheetml.worksheet+xml" PartName="/xl/worksheets/sheet10814.xml"/>
  <Override ContentType="application/vnd.openxmlformats-officedocument.spreadsheetml.worksheet+xml" PartName="/xl/worksheets/sheet10815.xml"/>
  <Override ContentType="application/vnd.openxmlformats-officedocument.spreadsheetml.worksheet+xml" PartName="/xl/worksheets/sheet10816.xml"/>
  <Override ContentType="application/vnd.openxmlformats-officedocument.spreadsheetml.worksheet+xml" PartName="/xl/worksheets/sheet10817.xml"/>
  <Override ContentType="application/vnd.openxmlformats-officedocument.spreadsheetml.worksheet+xml" PartName="/xl/worksheets/sheet10818.xml"/>
  <Override ContentType="application/vnd.openxmlformats-officedocument.spreadsheetml.worksheet+xml" PartName="/xl/worksheets/sheet10819.xml"/>
  <Override ContentType="application/vnd.openxmlformats-officedocument.spreadsheetml.worksheet+xml" PartName="/xl/worksheets/sheet10820.xml"/>
  <Override ContentType="application/vnd.openxmlformats-officedocument.spreadsheetml.worksheet+xml" PartName="/xl/worksheets/sheet10821.xml"/>
  <Override ContentType="application/vnd.openxmlformats-officedocument.spreadsheetml.worksheet+xml" PartName="/xl/worksheets/sheet10822.xml"/>
  <Override ContentType="application/vnd.openxmlformats-officedocument.spreadsheetml.worksheet+xml" PartName="/xl/worksheets/sheet10823.xml"/>
  <Override ContentType="application/vnd.openxmlformats-officedocument.spreadsheetml.worksheet+xml" PartName="/xl/worksheets/sheet10824.xml"/>
  <Override ContentType="application/vnd.openxmlformats-officedocument.spreadsheetml.worksheet+xml" PartName="/xl/worksheets/sheet10825.xml"/>
  <Override ContentType="application/vnd.openxmlformats-officedocument.spreadsheetml.worksheet+xml" PartName="/xl/worksheets/sheet10826.xml"/>
  <Override ContentType="application/vnd.openxmlformats-officedocument.spreadsheetml.worksheet+xml" PartName="/xl/worksheets/sheet10827.xml"/>
  <Override ContentType="application/vnd.openxmlformats-officedocument.spreadsheetml.worksheet+xml" PartName="/xl/worksheets/sheet10828.xml"/>
  <Override ContentType="application/vnd.openxmlformats-officedocument.spreadsheetml.worksheet+xml" PartName="/xl/worksheets/sheet10829.xml"/>
  <Override ContentType="application/vnd.openxmlformats-officedocument.spreadsheetml.worksheet+xml" PartName="/xl/worksheets/sheet10830.xml"/>
  <Override ContentType="application/vnd.openxmlformats-officedocument.spreadsheetml.worksheet+xml" PartName="/xl/worksheets/sheet10831.xml"/>
  <Override ContentType="application/vnd.openxmlformats-officedocument.spreadsheetml.worksheet+xml" PartName="/xl/worksheets/sheet10832.xml"/>
  <Override ContentType="application/vnd.openxmlformats-officedocument.spreadsheetml.worksheet+xml" PartName="/xl/worksheets/sheet10833.xml"/>
  <Override ContentType="application/vnd.openxmlformats-officedocument.spreadsheetml.worksheet+xml" PartName="/xl/worksheets/sheet10834.xml"/>
  <Override ContentType="application/vnd.openxmlformats-officedocument.spreadsheetml.worksheet+xml" PartName="/xl/worksheets/sheet10835.xml"/>
  <Override ContentType="application/vnd.openxmlformats-officedocument.spreadsheetml.worksheet+xml" PartName="/xl/worksheets/sheet10836.xml"/>
  <Override ContentType="application/vnd.openxmlformats-officedocument.spreadsheetml.worksheet+xml" PartName="/xl/worksheets/sheet10837.xml"/>
  <Override ContentType="application/vnd.openxmlformats-officedocument.spreadsheetml.worksheet+xml" PartName="/xl/worksheets/sheet10838.xml"/>
  <Override ContentType="application/vnd.openxmlformats-officedocument.spreadsheetml.worksheet+xml" PartName="/xl/worksheets/sheet10839.xml"/>
  <Override ContentType="application/vnd.openxmlformats-officedocument.spreadsheetml.worksheet+xml" PartName="/xl/worksheets/sheet10840.xml"/>
  <Override ContentType="application/vnd.openxmlformats-officedocument.spreadsheetml.worksheet+xml" PartName="/xl/worksheets/sheet10841.xml"/>
  <Override ContentType="application/vnd.openxmlformats-officedocument.spreadsheetml.worksheet+xml" PartName="/xl/worksheets/sheet10842.xml"/>
  <Override ContentType="application/vnd.openxmlformats-officedocument.spreadsheetml.worksheet+xml" PartName="/xl/worksheets/sheet10843.xml"/>
  <Override ContentType="application/vnd.openxmlformats-officedocument.spreadsheetml.worksheet+xml" PartName="/xl/worksheets/sheet10844.xml"/>
  <Override ContentType="application/vnd.openxmlformats-officedocument.spreadsheetml.worksheet+xml" PartName="/xl/worksheets/sheet10845.xml"/>
  <Override ContentType="application/vnd.openxmlformats-officedocument.spreadsheetml.worksheet+xml" PartName="/xl/worksheets/sheet10846.xml"/>
  <Override ContentType="application/vnd.openxmlformats-officedocument.spreadsheetml.worksheet+xml" PartName="/xl/worksheets/sheet10847.xml"/>
  <Override ContentType="application/vnd.openxmlformats-officedocument.spreadsheetml.worksheet+xml" PartName="/xl/worksheets/sheet10848.xml"/>
  <Override ContentType="application/vnd.openxmlformats-officedocument.spreadsheetml.worksheet+xml" PartName="/xl/worksheets/sheet10849.xml"/>
  <Override ContentType="application/vnd.openxmlformats-officedocument.spreadsheetml.worksheet+xml" PartName="/xl/worksheets/sheet10850.xml"/>
  <Override ContentType="application/vnd.openxmlformats-officedocument.spreadsheetml.worksheet+xml" PartName="/xl/worksheets/sheet10851.xml"/>
  <Override ContentType="application/vnd.openxmlformats-officedocument.spreadsheetml.worksheet+xml" PartName="/xl/worksheets/sheet10852.xml"/>
  <Override ContentType="application/vnd.openxmlformats-officedocument.spreadsheetml.worksheet+xml" PartName="/xl/worksheets/sheet10853.xml"/>
  <Override ContentType="application/vnd.openxmlformats-officedocument.spreadsheetml.worksheet+xml" PartName="/xl/worksheets/sheet10854.xml"/>
  <Override ContentType="application/vnd.openxmlformats-officedocument.spreadsheetml.worksheet+xml" PartName="/xl/worksheets/sheet10855.xml"/>
  <Override ContentType="application/vnd.openxmlformats-officedocument.spreadsheetml.worksheet+xml" PartName="/xl/worksheets/sheet10856.xml"/>
  <Override ContentType="application/vnd.openxmlformats-officedocument.spreadsheetml.worksheet+xml" PartName="/xl/worksheets/sheet10857.xml"/>
  <Override ContentType="application/vnd.openxmlformats-officedocument.spreadsheetml.worksheet+xml" PartName="/xl/worksheets/sheet10858.xml"/>
  <Override ContentType="application/vnd.openxmlformats-officedocument.spreadsheetml.worksheet+xml" PartName="/xl/worksheets/sheet10859.xml"/>
  <Override ContentType="application/vnd.openxmlformats-officedocument.spreadsheetml.worksheet+xml" PartName="/xl/worksheets/sheet10860.xml"/>
  <Override ContentType="application/vnd.openxmlformats-officedocument.spreadsheetml.worksheet+xml" PartName="/xl/worksheets/sheet10861.xml"/>
  <Override ContentType="application/vnd.openxmlformats-officedocument.spreadsheetml.worksheet+xml" PartName="/xl/worksheets/sheet10862.xml"/>
  <Override ContentType="application/vnd.openxmlformats-officedocument.spreadsheetml.worksheet+xml" PartName="/xl/worksheets/sheet10863.xml"/>
  <Override ContentType="application/vnd.openxmlformats-officedocument.spreadsheetml.worksheet+xml" PartName="/xl/worksheets/sheet10864.xml"/>
  <Override ContentType="application/vnd.openxmlformats-officedocument.spreadsheetml.worksheet+xml" PartName="/xl/worksheets/sheet10865.xml"/>
  <Override ContentType="application/vnd.openxmlformats-officedocument.spreadsheetml.worksheet+xml" PartName="/xl/worksheets/sheet10866.xml"/>
  <Override ContentType="application/vnd.openxmlformats-officedocument.spreadsheetml.worksheet+xml" PartName="/xl/worksheets/sheet10867.xml"/>
  <Override ContentType="application/vnd.openxmlformats-officedocument.spreadsheetml.worksheet+xml" PartName="/xl/worksheets/sheet10868.xml"/>
  <Override ContentType="application/vnd.openxmlformats-officedocument.spreadsheetml.worksheet+xml" PartName="/xl/worksheets/sheet10869.xml"/>
  <Override ContentType="application/vnd.openxmlformats-officedocument.spreadsheetml.worksheet+xml" PartName="/xl/worksheets/sheet10870.xml"/>
  <Override ContentType="application/vnd.openxmlformats-officedocument.spreadsheetml.worksheet+xml" PartName="/xl/worksheets/sheet10871.xml"/>
  <Override ContentType="application/vnd.openxmlformats-officedocument.spreadsheetml.worksheet+xml" PartName="/xl/worksheets/sheet10872.xml"/>
  <Override ContentType="application/vnd.openxmlformats-officedocument.spreadsheetml.worksheet+xml" PartName="/xl/worksheets/sheet10873.xml"/>
  <Override ContentType="application/vnd.openxmlformats-officedocument.spreadsheetml.worksheet+xml" PartName="/xl/worksheets/sheet10874.xml"/>
  <Override ContentType="application/vnd.openxmlformats-officedocument.spreadsheetml.worksheet+xml" PartName="/xl/worksheets/sheet10875.xml"/>
  <Override ContentType="application/vnd.openxmlformats-officedocument.spreadsheetml.worksheet+xml" PartName="/xl/worksheets/sheet10876.xml"/>
  <Override ContentType="application/vnd.openxmlformats-officedocument.spreadsheetml.worksheet+xml" PartName="/xl/worksheets/sheet10877.xml"/>
  <Override ContentType="application/vnd.openxmlformats-officedocument.spreadsheetml.worksheet+xml" PartName="/xl/worksheets/sheet10878.xml"/>
  <Override ContentType="application/vnd.openxmlformats-officedocument.spreadsheetml.worksheet+xml" PartName="/xl/worksheets/sheet10879.xml"/>
  <Override ContentType="application/vnd.openxmlformats-officedocument.spreadsheetml.worksheet+xml" PartName="/xl/worksheets/sheet10880.xml"/>
  <Override ContentType="application/vnd.openxmlformats-officedocument.spreadsheetml.worksheet+xml" PartName="/xl/worksheets/sheet10881.xml"/>
  <Override ContentType="application/vnd.openxmlformats-officedocument.spreadsheetml.worksheet+xml" PartName="/xl/worksheets/sheet10882.xml"/>
  <Override ContentType="application/vnd.openxmlformats-officedocument.spreadsheetml.worksheet+xml" PartName="/xl/worksheets/sheet10883.xml"/>
  <Override ContentType="application/vnd.openxmlformats-officedocument.spreadsheetml.worksheet+xml" PartName="/xl/worksheets/sheet10884.xml"/>
  <Override ContentType="application/vnd.openxmlformats-officedocument.spreadsheetml.worksheet+xml" PartName="/xl/worksheets/sheet10885.xml"/>
  <Override ContentType="application/vnd.openxmlformats-officedocument.spreadsheetml.worksheet+xml" PartName="/xl/worksheets/sheet10886.xml"/>
  <Override ContentType="application/vnd.openxmlformats-officedocument.spreadsheetml.worksheet+xml" PartName="/xl/worksheets/sheet10887.xml"/>
  <Override ContentType="application/vnd.openxmlformats-officedocument.spreadsheetml.worksheet+xml" PartName="/xl/worksheets/sheet10888.xml"/>
  <Override ContentType="application/vnd.openxmlformats-officedocument.spreadsheetml.worksheet+xml" PartName="/xl/worksheets/sheet10889.xml"/>
  <Override ContentType="application/vnd.openxmlformats-officedocument.spreadsheetml.worksheet+xml" PartName="/xl/worksheets/sheet10890.xml"/>
  <Override ContentType="application/vnd.openxmlformats-officedocument.spreadsheetml.worksheet+xml" PartName="/xl/worksheets/sheet10891.xml"/>
  <Override ContentType="application/vnd.openxmlformats-officedocument.spreadsheetml.worksheet+xml" PartName="/xl/worksheets/sheet10892.xml"/>
  <Override ContentType="application/vnd.openxmlformats-officedocument.spreadsheetml.worksheet+xml" PartName="/xl/worksheets/sheet10893.xml"/>
  <Override ContentType="application/vnd.openxmlformats-officedocument.spreadsheetml.worksheet+xml" PartName="/xl/worksheets/sheet10894.xml"/>
  <Override ContentType="application/vnd.openxmlformats-officedocument.spreadsheetml.worksheet+xml" PartName="/xl/worksheets/sheet10895.xml"/>
  <Override ContentType="application/vnd.openxmlformats-officedocument.spreadsheetml.worksheet+xml" PartName="/xl/worksheets/sheet10896.xml"/>
  <Override ContentType="application/vnd.openxmlformats-officedocument.spreadsheetml.worksheet+xml" PartName="/xl/worksheets/sheet10897.xml"/>
  <Override ContentType="application/vnd.openxmlformats-officedocument.spreadsheetml.worksheet+xml" PartName="/xl/worksheets/sheet10898.xml"/>
  <Override ContentType="application/vnd.openxmlformats-officedocument.spreadsheetml.worksheet+xml" PartName="/xl/worksheets/sheet10899.xml"/>
  <Override ContentType="application/vnd.openxmlformats-officedocument.spreadsheetml.worksheet+xml" PartName="/xl/worksheets/sheet10900.xml"/>
  <Override ContentType="application/vnd.openxmlformats-officedocument.spreadsheetml.worksheet+xml" PartName="/xl/worksheets/sheet10901.xml"/>
  <Override ContentType="application/vnd.openxmlformats-officedocument.spreadsheetml.worksheet+xml" PartName="/xl/worksheets/sheet10902.xml"/>
  <Override ContentType="application/vnd.openxmlformats-officedocument.spreadsheetml.worksheet+xml" PartName="/xl/worksheets/sheet10903.xml"/>
  <Override ContentType="application/vnd.openxmlformats-officedocument.spreadsheetml.worksheet+xml" PartName="/xl/worksheets/sheet10904.xml"/>
  <Override ContentType="application/vnd.openxmlformats-officedocument.spreadsheetml.worksheet+xml" PartName="/xl/worksheets/sheet10905.xml"/>
  <Override ContentType="application/vnd.openxmlformats-officedocument.spreadsheetml.worksheet+xml" PartName="/xl/worksheets/sheet10906.xml"/>
  <Override ContentType="application/vnd.openxmlformats-officedocument.spreadsheetml.worksheet+xml" PartName="/xl/worksheets/sheet10907.xml"/>
  <Override ContentType="application/vnd.openxmlformats-officedocument.spreadsheetml.worksheet+xml" PartName="/xl/worksheets/sheet10908.xml"/>
  <Override ContentType="application/vnd.openxmlformats-officedocument.spreadsheetml.worksheet+xml" PartName="/xl/worksheets/sheet10909.xml"/>
  <Override ContentType="application/vnd.openxmlformats-officedocument.spreadsheetml.worksheet+xml" PartName="/xl/worksheets/sheet10910.xml"/>
  <Override ContentType="application/vnd.openxmlformats-officedocument.spreadsheetml.worksheet+xml" PartName="/xl/worksheets/sheet10911.xml"/>
  <Override ContentType="application/vnd.openxmlformats-officedocument.spreadsheetml.worksheet+xml" PartName="/xl/worksheets/sheet10912.xml"/>
  <Override ContentType="application/vnd.openxmlformats-officedocument.spreadsheetml.worksheet+xml" PartName="/xl/worksheets/sheet10913.xml"/>
  <Override ContentType="application/vnd.openxmlformats-officedocument.spreadsheetml.worksheet+xml" PartName="/xl/worksheets/sheet10914.xml"/>
  <Override ContentType="application/vnd.openxmlformats-officedocument.spreadsheetml.worksheet+xml" PartName="/xl/worksheets/sheet10915.xml"/>
  <Override ContentType="application/vnd.openxmlformats-officedocument.spreadsheetml.worksheet+xml" PartName="/xl/worksheets/sheet10916.xml"/>
  <Override ContentType="application/vnd.openxmlformats-officedocument.spreadsheetml.worksheet+xml" PartName="/xl/worksheets/sheet10917.xml"/>
  <Override ContentType="application/vnd.openxmlformats-officedocument.spreadsheetml.worksheet+xml" PartName="/xl/worksheets/sheet10918.xml"/>
  <Override ContentType="application/vnd.openxmlformats-officedocument.spreadsheetml.worksheet+xml" PartName="/xl/worksheets/sheet10919.xml"/>
  <Override ContentType="application/vnd.openxmlformats-officedocument.spreadsheetml.worksheet+xml" PartName="/xl/worksheets/sheet10920.xml"/>
  <Override ContentType="application/vnd.openxmlformats-officedocument.spreadsheetml.worksheet+xml" PartName="/xl/worksheets/sheet10921.xml"/>
  <Override ContentType="application/vnd.openxmlformats-officedocument.spreadsheetml.worksheet+xml" PartName="/xl/worksheets/sheet10922.xml"/>
  <Override ContentType="application/vnd.openxmlformats-officedocument.spreadsheetml.worksheet+xml" PartName="/xl/worksheets/sheet10923.xml"/>
  <Override ContentType="application/vnd.openxmlformats-officedocument.spreadsheetml.worksheet+xml" PartName="/xl/worksheets/sheet10924.xml"/>
  <Override ContentType="application/vnd.openxmlformats-officedocument.spreadsheetml.worksheet+xml" PartName="/xl/worksheets/sheet10925.xml"/>
  <Override ContentType="application/vnd.openxmlformats-officedocument.spreadsheetml.worksheet+xml" PartName="/xl/worksheets/sheet10926.xml"/>
  <Override ContentType="application/vnd.openxmlformats-officedocument.spreadsheetml.worksheet+xml" PartName="/xl/worksheets/sheet10927.xml"/>
  <Override ContentType="application/vnd.openxmlformats-officedocument.spreadsheetml.worksheet+xml" PartName="/xl/worksheets/sheet10928.xml"/>
  <Override ContentType="application/vnd.openxmlformats-officedocument.spreadsheetml.worksheet+xml" PartName="/xl/worksheets/sheet10929.xml"/>
  <Override ContentType="application/vnd.openxmlformats-officedocument.spreadsheetml.worksheet+xml" PartName="/xl/worksheets/sheet10930.xml"/>
  <Override ContentType="application/vnd.openxmlformats-officedocument.spreadsheetml.worksheet+xml" PartName="/xl/worksheets/sheet10931.xml"/>
  <Override ContentType="application/vnd.openxmlformats-officedocument.spreadsheetml.worksheet+xml" PartName="/xl/worksheets/sheet10932.xml"/>
  <Override ContentType="application/vnd.openxmlformats-officedocument.spreadsheetml.worksheet+xml" PartName="/xl/worksheets/sheet10933.xml"/>
  <Override ContentType="application/vnd.openxmlformats-officedocument.spreadsheetml.worksheet+xml" PartName="/xl/worksheets/sheet10934.xml"/>
  <Override ContentType="application/vnd.openxmlformats-officedocument.spreadsheetml.worksheet+xml" PartName="/xl/worksheets/sheet10935.xml"/>
  <Override ContentType="application/vnd.openxmlformats-officedocument.spreadsheetml.worksheet+xml" PartName="/xl/worksheets/sheet10936.xml"/>
  <Override ContentType="application/vnd.openxmlformats-officedocument.spreadsheetml.worksheet+xml" PartName="/xl/worksheets/sheet10937.xml"/>
  <Override ContentType="application/vnd.openxmlformats-officedocument.spreadsheetml.worksheet+xml" PartName="/xl/worksheets/sheet10938.xml"/>
  <Override ContentType="application/vnd.openxmlformats-officedocument.spreadsheetml.worksheet+xml" PartName="/xl/worksheets/sheet10939.xml"/>
  <Override ContentType="application/vnd.openxmlformats-officedocument.spreadsheetml.worksheet+xml" PartName="/xl/worksheets/sheet10940.xml"/>
  <Override ContentType="application/vnd.openxmlformats-officedocument.spreadsheetml.worksheet+xml" PartName="/xl/worksheets/sheet10941.xml"/>
  <Override ContentType="application/vnd.openxmlformats-officedocument.spreadsheetml.worksheet+xml" PartName="/xl/worksheets/sheet10942.xml"/>
  <Override ContentType="application/vnd.openxmlformats-officedocument.spreadsheetml.worksheet+xml" PartName="/xl/worksheets/sheet10943.xml"/>
  <Override ContentType="application/vnd.openxmlformats-officedocument.spreadsheetml.worksheet+xml" PartName="/xl/worksheets/sheet10944.xml"/>
  <Override ContentType="application/vnd.openxmlformats-officedocument.spreadsheetml.worksheet+xml" PartName="/xl/worksheets/sheet10945.xml"/>
  <Override ContentType="application/vnd.openxmlformats-officedocument.spreadsheetml.worksheet+xml" PartName="/xl/worksheets/sheet10946.xml"/>
  <Override ContentType="application/vnd.openxmlformats-officedocument.spreadsheetml.worksheet+xml" PartName="/xl/worksheets/sheet10947.xml"/>
  <Override ContentType="application/vnd.openxmlformats-officedocument.spreadsheetml.worksheet+xml" PartName="/xl/worksheets/sheet10948.xml"/>
  <Override ContentType="application/vnd.openxmlformats-officedocument.spreadsheetml.worksheet+xml" PartName="/xl/worksheets/sheet10949.xml"/>
  <Override ContentType="application/vnd.openxmlformats-officedocument.spreadsheetml.worksheet+xml" PartName="/xl/worksheets/sheet10950.xml"/>
  <Override ContentType="application/vnd.openxmlformats-officedocument.spreadsheetml.worksheet+xml" PartName="/xl/worksheets/sheet10951.xml"/>
  <Override ContentType="application/vnd.openxmlformats-officedocument.spreadsheetml.worksheet+xml" PartName="/xl/worksheets/sheet10952.xml"/>
  <Override ContentType="application/vnd.openxmlformats-officedocument.spreadsheetml.worksheet+xml" PartName="/xl/worksheets/sheet10953.xml"/>
  <Override ContentType="application/vnd.openxmlformats-officedocument.spreadsheetml.worksheet+xml" PartName="/xl/worksheets/sheet10954.xml"/>
  <Override ContentType="application/vnd.openxmlformats-officedocument.spreadsheetml.worksheet+xml" PartName="/xl/worksheets/sheet10955.xml"/>
  <Override ContentType="application/vnd.openxmlformats-officedocument.spreadsheetml.worksheet+xml" PartName="/xl/worksheets/sheet10956.xml"/>
  <Override ContentType="application/vnd.openxmlformats-officedocument.spreadsheetml.worksheet+xml" PartName="/xl/worksheets/sheet10957.xml"/>
  <Override ContentType="application/vnd.openxmlformats-officedocument.spreadsheetml.worksheet+xml" PartName="/xl/worksheets/sheet10958.xml"/>
  <Override ContentType="application/vnd.openxmlformats-officedocument.spreadsheetml.worksheet+xml" PartName="/xl/worksheets/sheet10959.xml"/>
  <Override ContentType="application/vnd.openxmlformats-officedocument.spreadsheetml.worksheet+xml" PartName="/xl/worksheets/sheet10960.xml"/>
  <Override ContentType="application/vnd.openxmlformats-officedocument.spreadsheetml.worksheet+xml" PartName="/xl/worksheets/sheet10961.xml"/>
  <Override ContentType="application/vnd.openxmlformats-officedocument.spreadsheetml.worksheet+xml" PartName="/xl/worksheets/sheet10962.xml"/>
  <Override ContentType="application/vnd.openxmlformats-officedocument.spreadsheetml.worksheet+xml" PartName="/xl/worksheets/sheet10963.xml"/>
  <Override ContentType="application/vnd.openxmlformats-officedocument.spreadsheetml.worksheet+xml" PartName="/xl/worksheets/sheet10964.xml"/>
  <Override ContentType="application/vnd.openxmlformats-officedocument.spreadsheetml.worksheet+xml" PartName="/xl/worksheets/sheet10965.xml"/>
  <Override ContentType="application/vnd.openxmlformats-officedocument.spreadsheetml.worksheet+xml" PartName="/xl/worksheets/sheet10966.xml"/>
  <Override ContentType="application/vnd.openxmlformats-officedocument.spreadsheetml.worksheet+xml" PartName="/xl/worksheets/sheet10967.xml"/>
  <Override ContentType="application/vnd.openxmlformats-officedocument.spreadsheetml.worksheet+xml" PartName="/xl/worksheets/sheet10968.xml"/>
  <Override ContentType="application/vnd.openxmlformats-officedocument.spreadsheetml.worksheet+xml" PartName="/xl/worksheets/sheet10969.xml"/>
  <Override ContentType="application/vnd.openxmlformats-officedocument.spreadsheetml.worksheet+xml" PartName="/xl/worksheets/sheet10970.xml"/>
  <Override ContentType="application/vnd.openxmlformats-officedocument.spreadsheetml.worksheet+xml" PartName="/xl/worksheets/sheet10971.xml"/>
  <Override ContentType="application/vnd.openxmlformats-officedocument.spreadsheetml.worksheet+xml" PartName="/xl/worksheets/sheet10972.xml"/>
  <Override ContentType="application/vnd.openxmlformats-officedocument.spreadsheetml.worksheet+xml" PartName="/xl/worksheets/sheet10973.xml"/>
  <Override ContentType="application/vnd.openxmlformats-officedocument.spreadsheetml.worksheet+xml" PartName="/xl/worksheets/sheet10974.xml"/>
  <Override ContentType="application/vnd.openxmlformats-officedocument.spreadsheetml.worksheet+xml" PartName="/xl/worksheets/sheet10975.xml"/>
  <Override ContentType="application/vnd.openxmlformats-officedocument.spreadsheetml.worksheet+xml" PartName="/xl/worksheets/sheet10976.xml"/>
  <Override ContentType="application/vnd.openxmlformats-officedocument.spreadsheetml.worksheet+xml" PartName="/xl/worksheets/sheet10977.xml"/>
  <Override ContentType="application/vnd.openxmlformats-officedocument.spreadsheetml.worksheet+xml" PartName="/xl/worksheets/sheet10978.xml"/>
  <Override ContentType="application/vnd.openxmlformats-officedocument.spreadsheetml.worksheet+xml" PartName="/xl/worksheets/sheet10979.xml"/>
  <Override ContentType="application/vnd.openxmlformats-officedocument.spreadsheetml.worksheet+xml" PartName="/xl/worksheets/sheet10980.xml"/>
  <Override ContentType="application/vnd.openxmlformats-officedocument.spreadsheetml.worksheet+xml" PartName="/xl/worksheets/sheet10981.xml"/>
  <Override ContentType="application/vnd.openxmlformats-officedocument.spreadsheetml.worksheet+xml" PartName="/xl/worksheets/sheet10982.xml"/>
  <Override ContentType="application/vnd.openxmlformats-officedocument.spreadsheetml.worksheet+xml" PartName="/xl/worksheets/sheet10983.xml"/>
  <Override ContentType="application/vnd.openxmlformats-officedocument.spreadsheetml.worksheet+xml" PartName="/xl/worksheets/sheet10984.xml"/>
  <Override ContentType="application/vnd.openxmlformats-officedocument.spreadsheetml.worksheet+xml" PartName="/xl/worksheets/sheet10985.xml"/>
  <Override ContentType="application/vnd.openxmlformats-officedocument.spreadsheetml.worksheet+xml" PartName="/xl/worksheets/sheet10986.xml"/>
  <Override ContentType="application/vnd.openxmlformats-officedocument.spreadsheetml.worksheet+xml" PartName="/xl/worksheets/sheet10987.xml"/>
  <Override ContentType="application/vnd.openxmlformats-officedocument.spreadsheetml.worksheet+xml" PartName="/xl/worksheets/sheet10988.xml"/>
  <Override ContentType="application/vnd.openxmlformats-officedocument.spreadsheetml.worksheet+xml" PartName="/xl/worksheets/sheet10989.xml"/>
  <Override ContentType="application/vnd.openxmlformats-officedocument.spreadsheetml.worksheet+xml" PartName="/xl/worksheets/sheet10990.xml"/>
  <Override ContentType="application/vnd.openxmlformats-officedocument.spreadsheetml.worksheet+xml" PartName="/xl/worksheets/sheet10991.xml"/>
  <Override ContentType="application/vnd.openxmlformats-officedocument.spreadsheetml.worksheet+xml" PartName="/xl/worksheets/sheet10992.xml"/>
  <Override ContentType="application/vnd.openxmlformats-officedocument.spreadsheetml.worksheet+xml" PartName="/xl/worksheets/sheet10993.xml"/>
  <Override ContentType="application/vnd.openxmlformats-officedocument.spreadsheetml.worksheet+xml" PartName="/xl/worksheets/sheet10994.xml"/>
  <Override ContentType="application/vnd.openxmlformats-officedocument.spreadsheetml.worksheet+xml" PartName="/xl/worksheets/sheet10995.xml"/>
  <Override ContentType="application/vnd.openxmlformats-officedocument.spreadsheetml.worksheet+xml" PartName="/xl/worksheets/sheet10996.xml"/>
  <Override ContentType="application/vnd.openxmlformats-officedocument.spreadsheetml.worksheet+xml" PartName="/xl/worksheets/sheet10997.xml"/>
  <Override ContentType="application/vnd.openxmlformats-officedocument.spreadsheetml.worksheet+xml" PartName="/xl/worksheets/sheet10998.xml"/>
  <Override ContentType="application/vnd.openxmlformats-officedocument.spreadsheetml.worksheet+xml" PartName="/xl/worksheets/sheet10999.xml"/>
  <Override ContentType="application/vnd.openxmlformats-officedocument.spreadsheetml.worksheet+xml" PartName="/xl/worksheets/sheet11000.xml"/>
  <Override ContentType="application/vnd.openxmlformats-officedocument.spreadsheetml.worksheet+xml" PartName="/xl/worksheets/sheet11001.xml"/>
  <Override ContentType="application/vnd.openxmlformats-officedocument.spreadsheetml.worksheet+xml" PartName="/xl/worksheets/sheet11002.xml"/>
  <Override ContentType="application/vnd.openxmlformats-officedocument.spreadsheetml.worksheet+xml" PartName="/xl/worksheets/sheet11003.xml"/>
  <Override ContentType="application/vnd.openxmlformats-officedocument.spreadsheetml.worksheet+xml" PartName="/xl/worksheets/sheet11004.xml"/>
  <Override ContentType="application/vnd.openxmlformats-officedocument.spreadsheetml.worksheet+xml" PartName="/xl/worksheets/sheet11005.xml"/>
  <Override ContentType="application/vnd.openxmlformats-officedocument.spreadsheetml.worksheet+xml" PartName="/xl/worksheets/sheet11006.xml"/>
  <Override ContentType="application/vnd.openxmlformats-officedocument.spreadsheetml.worksheet+xml" PartName="/xl/worksheets/sheet11007.xml"/>
  <Override ContentType="application/vnd.openxmlformats-officedocument.spreadsheetml.worksheet+xml" PartName="/xl/worksheets/sheet11008.xml"/>
  <Override ContentType="application/vnd.openxmlformats-officedocument.spreadsheetml.worksheet+xml" PartName="/xl/worksheets/sheet11009.xml"/>
  <Override ContentType="application/vnd.openxmlformats-officedocument.spreadsheetml.worksheet+xml" PartName="/xl/worksheets/sheet11010.xml"/>
  <Override ContentType="application/vnd.openxmlformats-officedocument.spreadsheetml.worksheet+xml" PartName="/xl/worksheets/sheet11011.xml"/>
  <Override ContentType="application/vnd.openxmlformats-officedocument.spreadsheetml.worksheet+xml" PartName="/xl/worksheets/sheet11012.xml"/>
  <Override ContentType="application/vnd.openxmlformats-officedocument.spreadsheetml.worksheet+xml" PartName="/xl/worksheets/sheet11013.xml"/>
  <Override ContentType="application/vnd.openxmlformats-officedocument.spreadsheetml.worksheet+xml" PartName="/xl/worksheets/sheet11014.xml"/>
  <Override ContentType="application/vnd.openxmlformats-officedocument.spreadsheetml.worksheet+xml" PartName="/xl/worksheets/sheet11015.xml"/>
  <Override ContentType="application/vnd.openxmlformats-officedocument.spreadsheetml.worksheet+xml" PartName="/xl/worksheets/sheet11016.xml"/>
  <Override ContentType="application/vnd.openxmlformats-officedocument.spreadsheetml.worksheet+xml" PartName="/xl/worksheets/sheet11017.xml"/>
  <Override ContentType="application/vnd.openxmlformats-officedocument.spreadsheetml.worksheet+xml" PartName="/xl/worksheets/sheet11018.xml"/>
  <Override ContentType="application/vnd.openxmlformats-officedocument.spreadsheetml.worksheet+xml" PartName="/xl/worksheets/sheet11019.xml"/>
  <Override ContentType="application/vnd.openxmlformats-officedocument.spreadsheetml.worksheet+xml" PartName="/xl/worksheets/sheet11020.xml"/>
  <Override ContentType="application/vnd.openxmlformats-officedocument.spreadsheetml.worksheet+xml" PartName="/xl/worksheets/sheet11021.xml"/>
  <Override ContentType="application/vnd.openxmlformats-officedocument.spreadsheetml.worksheet+xml" PartName="/xl/worksheets/sheet11022.xml"/>
  <Override ContentType="application/vnd.openxmlformats-officedocument.spreadsheetml.worksheet+xml" PartName="/xl/worksheets/sheet11023.xml"/>
  <Override ContentType="application/vnd.openxmlformats-officedocument.spreadsheetml.worksheet+xml" PartName="/xl/worksheets/sheet11024.xml"/>
  <Override ContentType="application/vnd.openxmlformats-officedocument.spreadsheetml.worksheet+xml" PartName="/xl/worksheets/sheet11025.xml"/>
  <Override ContentType="application/vnd.openxmlformats-officedocument.spreadsheetml.worksheet+xml" PartName="/xl/worksheets/sheet11026.xml"/>
  <Override ContentType="application/vnd.openxmlformats-officedocument.spreadsheetml.worksheet+xml" PartName="/xl/worksheets/sheet11027.xml"/>
  <Override ContentType="application/vnd.openxmlformats-officedocument.spreadsheetml.worksheet+xml" PartName="/xl/worksheets/sheet11028.xml"/>
  <Override ContentType="application/vnd.openxmlformats-officedocument.spreadsheetml.worksheet+xml" PartName="/xl/worksheets/sheet11029.xml"/>
  <Override ContentType="application/vnd.openxmlformats-officedocument.spreadsheetml.worksheet+xml" PartName="/xl/worksheets/sheet11030.xml"/>
  <Override ContentType="application/vnd.openxmlformats-officedocument.spreadsheetml.worksheet+xml" PartName="/xl/worksheets/sheet11031.xml"/>
  <Override ContentType="application/vnd.openxmlformats-officedocument.spreadsheetml.worksheet+xml" PartName="/xl/worksheets/sheet11032.xml"/>
  <Override ContentType="application/vnd.openxmlformats-officedocument.spreadsheetml.worksheet+xml" PartName="/xl/worksheets/sheet11033.xml"/>
  <Override ContentType="application/vnd.openxmlformats-officedocument.spreadsheetml.worksheet+xml" PartName="/xl/worksheets/sheet11034.xml"/>
  <Override ContentType="application/vnd.openxmlformats-officedocument.spreadsheetml.worksheet+xml" PartName="/xl/worksheets/sheet11035.xml"/>
  <Override ContentType="application/vnd.openxmlformats-officedocument.spreadsheetml.worksheet+xml" PartName="/xl/worksheets/sheet11036.xml"/>
  <Override ContentType="application/vnd.openxmlformats-officedocument.spreadsheetml.worksheet+xml" PartName="/xl/worksheets/sheet11037.xml"/>
  <Override ContentType="application/vnd.openxmlformats-officedocument.spreadsheetml.worksheet+xml" PartName="/xl/worksheets/sheet11038.xml"/>
  <Override ContentType="application/vnd.openxmlformats-officedocument.spreadsheetml.worksheet+xml" PartName="/xl/worksheets/sheet11039.xml"/>
  <Override ContentType="application/vnd.openxmlformats-officedocument.spreadsheetml.worksheet+xml" PartName="/xl/worksheets/sheet11040.xml"/>
  <Override ContentType="application/vnd.openxmlformats-officedocument.spreadsheetml.worksheet+xml" PartName="/xl/worksheets/sheet11041.xml"/>
  <Override ContentType="application/vnd.openxmlformats-officedocument.spreadsheetml.worksheet+xml" PartName="/xl/worksheets/sheet11042.xml"/>
  <Override ContentType="application/vnd.openxmlformats-officedocument.spreadsheetml.worksheet+xml" PartName="/xl/worksheets/sheet11043.xml"/>
  <Override ContentType="application/vnd.openxmlformats-officedocument.spreadsheetml.worksheet+xml" PartName="/xl/worksheets/sheet11044.xml"/>
  <Override ContentType="application/vnd.openxmlformats-officedocument.spreadsheetml.worksheet+xml" PartName="/xl/worksheets/sheet11045.xml"/>
  <Override ContentType="application/vnd.openxmlformats-officedocument.spreadsheetml.worksheet+xml" PartName="/xl/worksheets/sheet11046.xml"/>
  <Override ContentType="application/vnd.openxmlformats-officedocument.spreadsheetml.worksheet+xml" PartName="/xl/worksheets/sheet11047.xml"/>
  <Override ContentType="application/vnd.openxmlformats-officedocument.spreadsheetml.worksheet+xml" PartName="/xl/worksheets/sheet11048.xml"/>
  <Override ContentType="application/vnd.openxmlformats-officedocument.spreadsheetml.worksheet+xml" PartName="/xl/worksheets/sheet11049.xml"/>
  <Override ContentType="application/vnd.openxmlformats-officedocument.spreadsheetml.worksheet+xml" PartName="/xl/worksheets/sheet11050.xml"/>
  <Override ContentType="application/vnd.openxmlformats-officedocument.spreadsheetml.worksheet+xml" PartName="/xl/worksheets/sheet11051.xml"/>
  <Override ContentType="application/vnd.openxmlformats-officedocument.spreadsheetml.worksheet+xml" PartName="/xl/worksheets/sheet11052.xml"/>
  <Override ContentType="application/vnd.openxmlformats-officedocument.spreadsheetml.worksheet+xml" PartName="/xl/worksheets/sheet11053.xml"/>
  <Override ContentType="application/vnd.openxmlformats-officedocument.spreadsheetml.worksheet+xml" PartName="/xl/worksheets/sheet11054.xml"/>
  <Override ContentType="application/vnd.openxmlformats-officedocument.spreadsheetml.worksheet+xml" PartName="/xl/worksheets/sheet11055.xml"/>
  <Override ContentType="application/vnd.openxmlformats-officedocument.spreadsheetml.worksheet+xml" PartName="/xl/worksheets/sheet11056.xml"/>
  <Override ContentType="application/vnd.openxmlformats-officedocument.spreadsheetml.worksheet+xml" PartName="/xl/worksheets/sheet11057.xml"/>
  <Override ContentType="application/vnd.openxmlformats-officedocument.spreadsheetml.worksheet+xml" PartName="/xl/worksheets/sheet11058.xml"/>
  <Override ContentType="application/vnd.openxmlformats-officedocument.spreadsheetml.worksheet+xml" PartName="/xl/worksheets/sheet11059.xml"/>
  <Override ContentType="application/vnd.openxmlformats-officedocument.spreadsheetml.worksheet+xml" PartName="/xl/worksheets/sheet11060.xml"/>
  <Override ContentType="application/vnd.openxmlformats-officedocument.spreadsheetml.worksheet+xml" PartName="/xl/worksheets/sheet11061.xml"/>
  <Override ContentType="application/vnd.openxmlformats-officedocument.spreadsheetml.worksheet+xml" PartName="/xl/worksheets/sheet11062.xml"/>
  <Override ContentType="application/vnd.openxmlformats-officedocument.spreadsheetml.worksheet+xml" PartName="/xl/worksheets/sheet11063.xml"/>
  <Override ContentType="application/vnd.openxmlformats-officedocument.spreadsheetml.worksheet+xml" PartName="/xl/worksheets/sheet11064.xml"/>
  <Override ContentType="application/vnd.openxmlformats-officedocument.spreadsheetml.worksheet+xml" PartName="/xl/worksheets/sheet11065.xml"/>
  <Override ContentType="application/vnd.openxmlformats-officedocument.spreadsheetml.worksheet+xml" PartName="/xl/worksheets/sheet11066.xml"/>
  <Override ContentType="application/vnd.openxmlformats-officedocument.spreadsheetml.worksheet+xml" PartName="/xl/worksheets/sheet11067.xml"/>
  <Override ContentType="application/vnd.openxmlformats-officedocument.spreadsheetml.worksheet+xml" PartName="/xl/worksheets/sheet11068.xml"/>
  <Override ContentType="application/vnd.openxmlformats-officedocument.spreadsheetml.worksheet+xml" PartName="/xl/worksheets/sheet11069.xml"/>
  <Override ContentType="application/vnd.openxmlformats-officedocument.spreadsheetml.worksheet+xml" PartName="/xl/worksheets/sheet11070.xml"/>
  <Override ContentType="application/vnd.openxmlformats-officedocument.spreadsheetml.worksheet+xml" PartName="/xl/worksheets/sheet11071.xml"/>
  <Override ContentType="application/vnd.openxmlformats-officedocument.spreadsheetml.worksheet+xml" PartName="/xl/worksheets/sheet11072.xml"/>
  <Override ContentType="application/vnd.openxmlformats-officedocument.spreadsheetml.worksheet+xml" PartName="/xl/worksheets/sheet11073.xml"/>
  <Override ContentType="application/vnd.openxmlformats-officedocument.spreadsheetml.worksheet+xml" PartName="/xl/worksheets/sheet11074.xml"/>
  <Override ContentType="application/vnd.openxmlformats-officedocument.spreadsheetml.worksheet+xml" PartName="/xl/worksheets/sheet11075.xml"/>
  <Override ContentType="application/vnd.openxmlformats-officedocument.spreadsheetml.worksheet+xml" PartName="/xl/worksheets/sheet11076.xml"/>
  <Override ContentType="application/vnd.openxmlformats-officedocument.spreadsheetml.worksheet+xml" PartName="/xl/worksheets/sheet11077.xml"/>
  <Override ContentType="application/vnd.openxmlformats-officedocument.spreadsheetml.worksheet+xml" PartName="/xl/worksheets/sheet11078.xml"/>
  <Override ContentType="application/vnd.openxmlformats-officedocument.spreadsheetml.worksheet+xml" PartName="/xl/worksheets/sheet11079.xml"/>
  <Override ContentType="application/vnd.openxmlformats-officedocument.spreadsheetml.worksheet+xml" PartName="/xl/worksheets/sheet11080.xml"/>
  <Override ContentType="application/vnd.openxmlformats-officedocument.spreadsheetml.worksheet+xml" PartName="/xl/worksheets/sheet11081.xml"/>
  <Override ContentType="application/vnd.openxmlformats-officedocument.spreadsheetml.worksheet+xml" PartName="/xl/worksheets/sheet11082.xml"/>
  <Override ContentType="application/vnd.openxmlformats-officedocument.spreadsheetml.worksheet+xml" PartName="/xl/worksheets/sheet11083.xml"/>
  <Override ContentType="application/vnd.openxmlformats-officedocument.spreadsheetml.worksheet+xml" PartName="/xl/worksheets/sheet11084.xml"/>
  <Override ContentType="application/vnd.openxmlformats-officedocument.spreadsheetml.worksheet+xml" PartName="/xl/worksheets/sheet11085.xml"/>
  <Override ContentType="application/vnd.openxmlformats-officedocument.spreadsheetml.worksheet+xml" PartName="/xl/worksheets/sheet11086.xml"/>
  <Override ContentType="application/vnd.openxmlformats-officedocument.spreadsheetml.worksheet+xml" PartName="/xl/worksheets/sheet11087.xml"/>
  <Override ContentType="application/vnd.openxmlformats-officedocument.spreadsheetml.worksheet+xml" PartName="/xl/worksheets/sheet11088.xml"/>
  <Override ContentType="application/vnd.openxmlformats-officedocument.spreadsheetml.worksheet+xml" PartName="/xl/worksheets/sheet11089.xml"/>
  <Override ContentType="application/vnd.openxmlformats-officedocument.spreadsheetml.worksheet+xml" PartName="/xl/worksheets/sheet11090.xml"/>
  <Override ContentType="application/vnd.openxmlformats-officedocument.spreadsheetml.worksheet+xml" PartName="/xl/worksheets/sheet11091.xml"/>
  <Override ContentType="application/vnd.openxmlformats-officedocument.spreadsheetml.worksheet+xml" PartName="/xl/worksheets/sheet11092.xml"/>
  <Override ContentType="application/vnd.openxmlformats-officedocument.spreadsheetml.worksheet+xml" PartName="/xl/worksheets/sheet11093.xml"/>
  <Override ContentType="application/vnd.openxmlformats-officedocument.spreadsheetml.worksheet+xml" PartName="/xl/worksheets/sheet11094.xml"/>
  <Override ContentType="application/vnd.openxmlformats-officedocument.spreadsheetml.worksheet+xml" PartName="/xl/worksheets/sheet11095.xml"/>
  <Override ContentType="application/vnd.openxmlformats-officedocument.spreadsheetml.worksheet+xml" PartName="/xl/worksheets/sheet11096.xml"/>
  <Override ContentType="application/vnd.openxmlformats-officedocument.spreadsheetml.worksheet+xml" PartName="/xl/worksheets/sheet11097.xml"/>
  <Override ContentType="application/vnd.openxmlformats-officedocument.spreadsheetml.worksheet+xml" PartName="/xl/worksheets/sheet11098.xml"/>
  <Override ContentType="application/vnd.openxmlformats-officedocument.spreadsheetml.worksheet+xml" PartName="/xl/worksheets/sheet11099.xml"/>
  <Override ContentType="application/vnd.openxmlformats-officedocument.spreadsheetml.worksheet+xml" PartName="/xl/worksheets/sheet11100.xml"/>
  <Override ContentType="application/vnd.openxmlformats-officedocument.spreadsheetml.worksheet+xml" PartName="/xl/worksheets/sheet11101.xml"/>
  <Override ContentType="application/vnd.openxmlformats-officedocument.spreadsheetml.worksheet+xml" PartName="/xl/worksheets/sheet11102.xml"/>
  <Override ContentType="application/vnd.openxmlformats-officedocument.spreadsheetml.worksheet+xml" PartName="/xl/worksheets/sheet11103.xml"/>
  <Override ContentType="application/vnd.openxmlformats-officedocument.spreadsheetml.worksheet+xml" PartName="/xl/worksheets/sheet11104.xml"/>
  <Override ContentType="application/vnd.openxmlformats-officedocument.spreadsheetml.worksheet+xml" PartName="/xl/worksheets/sheet11105.xml"/>
  <Override ContentType="application/vnd.openxmlformats-officedocument.spreadsheetml.worksheet+xml" PartName="/xl/worksheets/sheet11106.xml"/>
  <Override ContentType="application/vnd.openxmlformats-officedocument.spreadsheetml.worksheet+xml" PartName="/xl/worksheets/sheet11107.xml"/>
  <Override ContentType="application/vnd.openxmlformats-officedocument.spreadsheetml.worksheet+xml" PartName="/xl/worksheets/sheet11108.xml"/>
  <Override ContentType="application/vnd.openxmlformats-officedocument.spreadsheetml.worksheet+xml" PartName="/xl/worksheets/sheet11109.xml"/>
  <Override ContentType="application/vnd.openxmlformats-officedocument.spreadsheetml.worksheet+xml" PartName="/xl/worksheets/sheet11110.xml"/>
  <Override ContentType="application/vnd.openxmlformats-officedocument.spreadsheetml.worksheet+xml" PartName="/xl/worksheets/sheet11111.xml"/>
  <Override ContentType="application/vnd.openxmlformats-officedocument.spreadsheetml.worksheet+xml" PartName="/xl/worksheets/sheet11112.xml"/>
  <Override ContentType="application/vnd.openxmlformats-officedocument.spreadsheetml.worksheet+xml" PartName="/xl/worksheets/sheet11113.xml"/>
  <Override ContentType="application/vnd.openxmlformats-officedocument.spreadsheetml.worksheet+xml" PartName="/xl/worksheets/sheet11114.xml"/>
  <Override ContentType="application/vnd.openxmlformats-officedocument.spreadsheetml.worksheet+xml" PartName="/xl/worksheets/sheet11115.xml"/>
  <Override ContentType="application/vnd.openxmlformats-officedocument.spreadsheetml.worksheet+xml" PartName="/xl/worksheets/sheet11116.xml"/>
  <Override ContentType="application/vnd.openxmlformats-officedocument.spreadsheetml.worksheet+xml" PartName="/xl/worksheets/sheet11117.xml"/>
  <Override ContentType="application/vnd.openxmlformats-officedocument.spreadsheetml.worksheet+xml" PartName="/xl/worksheets/sheet11118.xml"/>
  <Override ContentType="application/vnd.openxmlformats-officedocument.spreadsheetml.worksheet+xml" PartName="/xl/worksheets/sheet11119.xml"/>
  <Override ContentType="application/vnd.openxmlformats-officedocument.spreadsheetml.worksheet+xml" PartName="/xl/worksheets/sheet11120.xml"/>
  <Override ContentType="application/vnd.openxmlformats-officedocument.spreadsheetml.worksheet+xml" PartName="/xl/worksheets/sheet11121.xml"/>
  <Override ContentType="application/vnd.openxmlformats-officedocument.spreadsheetml.worksheet+xml" PartName="/xl/worksheets/sheet11122.xml"/>
  <Override ContentType="application/vnd.openxmlformats-officedocument.spreadsheetml.worksheet+xml" PartName="/xl/worksheets/sheet11123.xml"/>
  <Override ContentType="application/vnd.openxmlformats-officedocument.spreadsheetml.worksheet+xml" PartName="/xl/worksheets/sheet11124.xml"/>
  <Override ContentType="application/vnd.openxmlformats-officedocument.spreadsheetml.worksheet+xml" PartName="/xl/worksheets/sheet11125.xml"/>
  <Override ContentType="application/vnd.openxmlformats-officedocument.spreadsheetml.worksheet+xml" PartName="/xl/worksheets/sheet11126.xml"/>
  <Override ContentType="application/vnd.openxmlformats-officedocument.spreadsheetml.worksheet+xml" PartName="/xl/worksheets/sheet11127.xml"/>
  <Override ContentType="application/vnd.openxmlformats-officedocument.spreadsheetml.worksheet+xml" PartName="/xl/worksheets/sheet11128.xml"/>
  <Override ContentType="application/vnd.openxmlformats-officedocument.spreadsheetml.worksheet+xml" PartName="/xl/worksheets/sheet11129.xml"/>
  <Override ContentType="application/vnd.openxmlformats-officedocument.spreadsheetml.worksheet+xml" PartName="/xl/worksheets/sheet11130.xml"/>
  <Override ContentType="application/vnd.openxmlformats-officedocument.spreadsheetml.worksheet+xml" PartName="/xl/worksheets/sheet11131.xml"/>
  <Override ContentType="application/vnd.openxmlformats-officedocument.spreadsheetml.worksheet+xml" PartName="/xl/worksheets/sheet11132.xml"/>
  <Override ContentType="application/vnd.openxmlformats-officedocument.spreadsheetml.worksheet+xml" PartName="/xl/worksheets/sheet11133.xml"/>
  <Override ContentType="application/vnd.openxmlformats-officedocument.spreadsheetml.worksheet+xml" PartName="/xl/worksheets/sheet11134.xml"/>
  <Override ContentType="application/vnd.openxmlformats-officedocument.spreadsheetml.worksheet+xml" PartName="/xl/worksheets/sheet11135.xml"/>
  <Override ContentType="application/vnd.openxmlformats-officedocument.spreadsheetml.worksheet+xml" PartName="/xl/worksheets/sheet11136.xml"/>
  <Override ContentType="application/vnd.openxmlformats-officedocument.spreadsheetml.worksheet+xml" PartName="/xl/worksheets/sheet11137.xml"/>
  <Override ContentType="application/vnd.openxmlformats-officedocument.spreadsheetml.worksheet+xml" PartName="/xl/worksheets/sheet11138.xml"/>
  <Override ContentType="application/vnd.openxmlformats-officedocument.spreadsheetml.worksheet+xml" PartName="/xl/worksheets/sheet11139.xml"/>
  <Override ContentType="application/vnd.openxmlformats-officedocument.spreadsheetml.worksheet+xml" PartName="/xl/worksheets/sheet11140.xml"/>
  <Override ContentType="application/vnd.openxmlformats-officedocument.spreadsheetml.worksheet+xml" PartName="/xl/worksheets/sheet11141.xml"/>
  <Override ContentType="application/vnd.openxmlformats-officedocument.spreadsheetml.worksheet+xml" PartName="/xl/worksheets/sheet11142.xml"/>
  <Override ContentType="application/vnd.openxmlformats-officedocument.spreadsheetml.worksheet+xml" PartName="/xl/worksheets/sheet11143.xml"/>
  <Override ContentType="application/vnd.openxmlformats-officedocument.spreadsheetml.worksheet+xml" PartName="/xl/worksheets/sheet11144.xml"/>
  <Override ContentType="application/vnd.openxmlformats-officedocument.spreadsheetml.worksheet+xml" PartName="/xl/worksheets/sheet11145.xml"/>
  <Override ContentType="application/vnd.openxmlformats-officedocument.spreadsheetml.worksheet+xml" PartName="/xl/worksheets/sheet11146.xml"/>
  <Override ContentType="application/vnd.openxmlformats-officedocument.spreadsheetml.worksheet+xml" PartName="/xl/worksheets/sheet11147.xml"/>
  <Override ContentType="application/vnd.openxmlformats-officedocument.spreadsheetml.worksheet+xml" PartName="/xl/worksheets/sheet11148.xml"/>
  <Override ContentType="application/vnd.openxmlformats-officedocument.spreadsheetml.worksheet+xml" PartName="/xl/worksheets/sheet11149.xml"/>
  <Override ContentType="application/vnd.openxmlformats-officedocument.spreadsheetml.worksheet+xml" PartName="/xl/worksheets/sheet11150.xml"/>
  <Override ContentType="application/vnd.openxmlformats-officedocument.spreadsheetml.worksheet+xml" PartName="/xl/worksheets/sheet11151.xml"/>
  <Override ContentType="application/vnd.openxmlformats-officedocument.spreadsheetml.worksheet+xml" PartName="/xl/worksheets/sheet11152.xml"/>
  <Override ContentType="application/vnd.openxmlformats-officedocument.spreadsheetml.worksheet+xml" PartName="/xl/worksheets/sheet11153.xml"/>
  <Override ContentType="application/vnd.openxmlformats-officedocument.spreadsheetml.worksheet+xml" PartName="/xl/worksheets/sheet11154.xml"/>
  <Override ContentType="application/vnd.openxmlformats-officedocument.spreadsheetml.worksheet+xml" PartName="/xl/worksheets/sheet11155.xml"/>
  <Override ContentType="application/vnd.openxmlformats-officedocument.spreadsheetml.worksheet+xml" PartName="/xl/worksheets/sheet11156.xml"/>
  <Override ContentType="application/vnd.openxmlformats-officedocument.spreadsheetml.worksheet+xml" PartName="/xl/worksheets/sheet11157.xml"/>
  <Override ContentType="application/vnd.openxmlformats-officedocument.spreadsheetml.worksheet+xml" PartName="/xl/worksheets/sheet11158.xml"/>
  <Override ContentType="application/vnd.openxmlformats-officedocument.spreadsheetml.worksheet+xml" PartName="/xl/worksheets/sheet11159.xml"/>
  <Override ContentType="application/vnd.openxmlformats-officedocument.spreadsheetml.worksheet+xml" PartName="/xl/worksheets/sheet11160.xml"/>
  <Override ContentType="application/vnd.openxmlformats-officedocument.spreadsheetml.worksheet+xml" PartName="/xl/worksheets/sheet11161.xml"/>
  <Override ContentType="application/vnd.openxmlformats-officedocument.spreadsheetml.worksheet+xml" PartName="/xl/worksheets/sheet11162.xml"/>
  <Override ContentType="application/vnd.openxmlformats-officedocument.spreadsheetml.worksheet+xml" PartName="/xl/worksheets/sheet11163.xml"/>
  <Override ContentType="application/vnd.openxmlformats-officedocument.spreadsheetml.worksheet+xml" PartName="/xl/worksheets/sheet11164.xml"/>
  <Override ContentType="application/vnd.openxmlformats-officedocument.spreadsheetml.worksheet+xml" PartName="/xl/worksheets/sheet11165.xml"/>
  <Override ContentType="application/vnd.openxmlformats-officedocument.spreadsheetml.worksheet+xml" PartName="/xl/worksheets/sheet11166.xml"/>
  <Override ContentType="application/vnd.openxmlformats-officedocument.spreadsheetml.worksheet+xml" PartName="/xl/worksheets/sheet11167.xml"/>
  <Override ContentType="application/vnd.openxmlformats-officedocument.spreadsheetml.worksheet+xml" PartName="/xl/worksheets/sheet11168.xml"/>
  <Override ContentType="application/vnd.openxmlformats-officedocument.spreadsheetml.worksheet+xml" PartName="/xl/worksheets/sheet11169.xml"/>
  <Override ContentType="application/vnd.openxmlformats-officedocument.spreadsheetml.worksheet+xml" PartName="/xl/worksheets/sheet11170.xml"/>
  <Override ContentType="application/vnd.openxmlformats-officedocument.spreadsheetml.worksheet+xml" PartName="/xl/worksheets/sheet11171.xml"/>
  <Override ContentType="application/vnd.openxmlformats-officedocument.spreadsheetml.worksheet+xml" PartName="/xl/worksheets/sheet11172.xml"/>
  <Override ContentType="application/vnd.openxmlformats-officedocument.spreadsheetml.worksheet+xml" PartName="/xl/worksheets/sheet11173.xml"/>
  <Override ContentType="application/vnd.openxmlformats-officedocument.spreadsheetml.worksheet+xml" PartName="/xl/worksheets/sheet11174.xml"/>
  <Override ContentType="application/vnd.openxmlformats-officedocument.spreadsheetml.worksheet+xml" PartName="/xl/worksheets/sheet11175.xml"/>
  <Override ContentType="application/vnd.openxmlformats-officedocument.spreadsheetml.worksheet+xml" PartName="/xl/worksheets/sheet11176.xml"/>
  <Override ContentType="application/vnd.openxmlformats-officedocument.spreadsheetml.worksheet+xml" PartName="/xl/worksheets/sheet11177.xml"/>
  <Override ContentType="application/vnd.openxmlformats-officedocument.spreadsheetml.worksheet+xml" PartName="/xl/worksheets/sheet11178.xml"/>
  <Override ContentType="application/vnd.openxmlformats-officedocument.spreadsheetml.worksheet+xml" PartName="/xl/worksheets/sheet11179.xml"/>
  <Override ContentType="application/vnd.openxmlformats-officedocument.spreadsheetml.worksheet+xml" PartName="/xl/worksheets/sheet11180.xml"/>
  <Override ContentType="application/vnd.openxmlformats-officedocument.spreadsheetml.worksheet+xml" PartName="/xl/worksheets/sheet11181.xml"/>
  <Override ContentType="application/vnd.openxmlformats-officedocument.spreadsheetml.worksheet+xml" PartName="/xl/worksheets/sheet11182.xml"/>
  <Override ContentType="application/vnd.openxmlformats-officedocument.spreadsheetml.worksheet+xml" PartName="/xl/worksheets/sheet11183.xml"/>
  <Override ContentType="application/vnd.openxmlformats-officedocument.spreadsheetml.worksheet+xml" PartName="/xl/worksheets/sheet11184.xml"/>
  <Override ContentType="application/vnd.openxmlformats-officedocument.spreadsheetml.worksheet+xml" PartName="/xl/worksheets/sheet11185.xml"/>
  <Override ContentType="application/vnd.openxmlformats-officedocument.spreadsheetml.worksheet+xml" PartName="/xl/worksheets/sheet11186.xml"/>
  <Override ContentType="application/vnd.openxmlformats-officedocument.spreadsheetml.worksheet+xml" PartName="/xl/worksheets/sheet11187.xml"/>
  <Override ContentType="application/vnd.openxmlformats-officedocument.spreadsheetml.worksheet+xml" PartName="/xl/worksheets/sheet11188.xml"/>
  <Override ContentType="application/vnd.openxmlformats-officedocument.spreadsheetml.worksheet+xml" PartName="/xl/worksheets/sheet11189.xml"/>
  <Override ContentType="application/vnd.openxmlformats-officedocument.spreadsheetml.worksheet+xml" PartName="/xl/worksheets/sheet11190.xml"/>
  <Override ContentType="application/vnd.openxmlformats-officedocument.spreadsheetml.worksheet+xml" PartName="/xl/worksheets/sheet11191.xml"/>
  <Override ContentType="application/vnd.openxmlformats-officedocument.spreadsheetml.worksheet+xml" PartName="/xl/worksheets/sheet11192.xml"/>
  <Override ContentType="application/vnd.openxmlformats-officedocument.spreadsheetml.worksheet+xml" PartName="/xl/worksheets/sheet11193.xml"/>
  <Override ContentType="application/vnd.openxmlformats-officedocument.spreadsheetml.worksheet+xml" PartName="/xl/worksheets/sheet11194.xml"/>
  <Override ContentType="application/vnd.openxmlformats-officedocument.spreadsheetml.worksheet+xml" PartName="/xl/worksheets/sheet11195.xml"/>
  <Override ContentType="application/vnd.openxmlformats-officedocument.spreadsheetml.worksheet+xml" PartName="/xl/worksheets/sheet11196.xml"/>
  <Override ContentType="application/vnd.openxmlformats-officedocument.spreadsheetml.worksheet+xml" PartName="/xl/worksheets/sheet11197.xml"/>
  <Override ContentType="application/vnd.openxmlformats-officedocument.spreadsheetml.worksheet+xml" PartName="/xl/worksheets/sheet11198.xml"/>
  <Override ContentType="application/vnd.openxmlformats-officedocument.spreadsheetml.worksheet+xml" PartName="/xl/worksheets/sheet11199.xml"/>
  <Override ContentType="application/vnd.openxmlformats-officedocument.spreadsheetml.worksheet+xml" PartName="/xl/worksheets/sheet11200.xml"/>
  <Override ContentType="application/vnd.openxmlformats-officedocument.spreadsheetml.worksheet+xml" PartName="/xl/worksheets/sheet11201.xml"/>
  <Override ContentType="application/vnd.openxmlformats-officedocument.spreadsheetml.worksheet+xml" PartName="/xl/worksheets/sheet11202.xml"/>
  <Override ContentType="application/vnd.openxmlformats-officedocument.spreadsheetml.worksheet+xml" PartName="/xl/worksheets/sheet11203.xml"/>
  <Override ContentType="application/vnd.openxmlformats-officedocument.spreadsheetml.worksheet+xml" PartName="/xl/worksheets/sheet11204.xml"/>
  <Override ContentType="application/vnd.openxmlformats-officedocument.spreadsheetml.worksheet+xml" PartName="/xl/worksheets/sheet11205.xml"/>
  <Override ContentType="application/vnd.openxmlformats-officedocument.spreadsheetml.worksheet+xml" PartName="/xl/worksheets/sheet11206.xml"/>
  <Override ContentType="application/vnd.openxmlformats-officedocument.spreadsheetml.worksheet+xml" PartName="/xl/worksheets/sheet11207.xml"/>
  <Override ContentType="application/vnd.openxmlformats-officedocument.spreadsheetml.worksheet+xml" PartName="/xl/worksheets/sheet11208.xml"/>
  <Override ContentType="application/vnd.openxmlformats-officedocument.spreadsheetml.worksheet+xml" PartName="/xl/worksheets/sheet11209.xml"/>
  <Override ContentType="application/vnd.openxmlformats-officedocument.spreadsheetml.worksheet+xml" PartName="/xl/worksheets/sheet11210.xml"/>
  <Override ContentType="application/vnd.openxmlformats-officedocument.spreadsheetml.worksheet+xml" PartName="/xl/worksheets/sheet11211.xml"/>
  <Override ContentType="application/vnd.openxmlformats-officedocument.spreadsheetml.worksheet+xml" PartName="/xl/worksheets/sheet11212.xml"/>
  <Override ContentType="application/vnd.openxmlformats-officedocument.spreadsheetml.worksheet+xml" PartName="/xl/worksheets/sheet11213.xml"/>
  <Override ContentType="application/vnd.openxmlformats-officedocument.spreadsheetml.worksheet+xml" PartName="/xl/worksheets/sheet11214.xml"/>
  <Override ContentType="application/vnd.openxmlformats-officedocument.spreadsheetml.worksheet+xml" PartName="/xl/worksheets/sheet11215.xml"/>
  <Override ContentType="application/vnd.openxmlformats-officedocument.spreadsheetml.worksheet+xml" PartName="/xl/worksheets/sheet11216.xml"/>
  <Override ContentType="application/vnd.openxmlformats-officedocument.spreadsheetml.worksheet+xml" PartName="/xl/worksheets/sheet11217.xml"/>
  <Override ContentType="application/vnd.openxmlformats-officedocument.spreadsheetml.worksheet+xml" PartName="/xl/worksheets/sheet11218.xml"/>
  <Override ContentType="application/vnd.openxmlformats-officedocument.spreadsheetml.worksheet+xml" PartName="/xl/worksheets/sheet11219.xml"/>
  <Override ContentType="application/vnd.openxmlformats-officedocument.spreadsheetml.worksheet+xml" PartName="/xl/worksheets/sheet11220.xml"/>
  <Override ContentType="application/vnd.openxmlformats-officedocument.spreadsheetml.worksheet+xml" PartName="/xl/worksheets/sheet11221.xml"/>
  <Override ContentType="application/vnd.openxmlformats-officedocument.spreadsheetml.worksheet+xml" PartName="/xl/worksheets/sheet11222.xml"/>
  <Override ContentType="application/vnd.openxmlformats-officedocument.spreadsheetml.worksheet+xml" PartName="/xl/worksheets/sheet11223.xml"/>
  <Override ContentType="application/vnd.openxmlformats-officedocument.spreadsheetml.worksheet+xml" PartName="/xl/worksheets/sheet11224.xml"/>
  <Override ContentType="application/vnd.openxmlformats-officedocument.spreadsheetml.worksheet+xml" PartName="/xl/worksheets/sheet11225.xml"/>
  <Override ContentType="application/vnd.openxmlformats-officedocument.spreadsheetml.worksheet+xml" PartName="/xl/worksheets/sheet11226.xml"/>
  <Override ContentType="application/vnd.openxmlformats-officedocument.spreadsheetml.worksheet+xml" PartName="/xl/worksheets/sheet11227.xml"/>
  <Override ContentType="application/vnd.openxmlformats-officedocument.spreadsheetml.worksheet+xml" PartName="/xl/worksheets/sheet11228.xml"/>
  <Override ContentType="application/vnd.openxmlformats-officedocument.spreadsheetml.worksheet+xml" PartName="/xl/worksheets/sheet11229.xml"/>
  <Override ContentType="application/vnd.openxmlformats-officedocument.spreadsheetml.worksheet+xml" PartName="/xl/worksheets/sheet11230.xml"/>
  <Override ContentType="application/vnd.openxmlformats-officedocument.spreadsheetml.worksheet+xml" PartName="/xl/worksheets/sheet11231.xml"/>
  <Override ContentType="application/vnd.openxmlformats-officedocument.spreadsheetml.worksheet+xml" PartName="/xl/worksheets/sheet11232.xml"/>
  <Override ContentType="application/vnd.openxmlformats-officedocument.spreadsheetml.worksheet+xml" PartName="/xl/worksheets/sheet11233.xml"/>
  <Override ContentType="application/vnd.openxmlformats-officedocument.spreadsheetml.worksheet+xml" PartName="/xl/worksheets/sheet11234.xml"/>
  <Override ContentType="application/vnd.openxmlformats-officedocument.spreadsheetml.worksheet+xml" PartName="/xl/worksheets/sheet11235.xml"/>
  <Override ContentType="application/vnd.openxmlformats-officedocument.spreadsheetml.worksheet+xml" PartName="/xl/worksheets/sheet11236.xml"/>
  <Override ContentType="application/vnd.openxmlformats-officedocument.spreadsheetml.worksheet+xml" PartName="/xl/worksheets/sheet11237.xml"/>
  <Override ContentType="application/vnd.openxmlformats-officedocument.spreadsheetml.worksheet+xml" PartName="/xl/worksheets/sheet11238.xml"/>
  <Override ContentType="application/vnd.openxmlformats-officedocument.spreadsheetml.worksheet+xml" PartName="/xl/worksheets/sheet11239.xml"/>
  <Override ContentType="application/vnd.openxmlformats-officedocument.spreadsheetml.worksheet+xml" PartName="/xl/worksheets/sheet11240.xml"/>
  <Override ContentType="application/vnd.openxmlformats-officedocument.spreadsheetml.worksheet+xml" PartName="/xl/worksheets/sheet11241.xml"/>
  <Override ContentType="application/vnd.openxmlformats-officedocument.spreadsheetml.worksheet+xml" PartName="/xl/worksheets/sheet11242.xml"/>
  <Override ContentType="application/vnd.openxmlformats-officedocument.spreadsheetml.worksheet+xml" PartName="/xl/worksheets/sheet11243.xml"/>
  <Override ContentType="application/vnd.openxmlformats-officedocument.spreadsheetml.worksheet+xml" PartName="/xl/worksheets/sheet11244.xml"/>
  <Override ContentType="application/vnd.openxmlformats-officedocument.spreadsheetml.worksheet+xml" PartName="/xl/worksheets/sheet11245.xml"/>
  <Override ContentType="application/vnd.openxmlformats-officedocument.spreadsheetml.worksheet+xml" PartName="/xl/worksheets/sheet11246.xml"/>
  <Override ContentType="application/vnd.openxmlformats-officedocument.spreadsheetml.worksheet+xml" PartName="/xl/worksheets/sheet11247.xml"/>
  <Override ContentType="application/vnd.openxmlformats-officedocument.spreadsheetml.worksheet+xml" PartName="/xl/worksheets/sheet11248.xml"/>
  <Override ContentType="application/vnd.openxmlformats-officedocument.spreadsheetml.worksheet+xml" PartName="/xl/worksheets/sheet11249.xml"/>
  <Override ContentType="application/vnd.openxmlformats-officedocument.spreadsheetml.worksheet+xml" PartName="/xl/worksheets/sheet11250.xml"/>
  <Override ContentType="application/vnd.openxmlformats-officedocument.spreadsheetml.worksheet+xml" PartName="/xl/worksheets/sheet11251.xml"/>
  <Override ContentType="application/vnd.openxmlformats-officedocument.spreadsheetml.worksheet+xml" PartName="/xl/worksheets/sheet11252.xml"/>
  <Override ContentType="application/vnd.openxmlformats-officedocument.spreadsheetml.worksheet+xml" PartName="/xl/worksheets/sheet11253.xml"/>
  <Override ContentType="application/vnd.openxmlformats-officedocument.spreadsheetml.worksheet+xml" PartName="/xl/worksheets/sheet11254.xml"/>
  <Override ContentType="application/vnd.openxmlformats-officedocument.spreadsheetml.worksheet+xml" PartName="/xl/worksheets/sheet11255.xml"/>
  <Override ContentType="application/vnd.openxmlformats-officedocument.spreadsheetml.worksheet+xml" PartName="/xl/worksheets/sheet11256.xml"/>
  <Override ContentType="application/vnd.openxmlformats-officedocument.spreadsheetml.worksheet+xml" PartName="/xl/worksheets/sheet11257.xml"/>
  <Override ContentType="application/vnd.openxmlformats-officedocument.spreadsheetml.worksheet+xml" PartName="/xl/worksheets/sheet11258.xml"/>
  <Override ContentType="application/vnd.openxmlformats-officedocument.spreadsheetml.worksheet+xml" PartName="/xl/worksheets/sheet11259.xml"/>
  <Override ContentType="application/vnd.openxmlformats-officedocument.spreadsheetml.worksheet+xml" PartName="/xl/worksheets/sheet11260.xml"/>
  <Override ContentType="application/vnd.openxmlformats-officedocument.spreadsheetml.worksheet+xml" PartName="/xl/worksheets/sheet11261.xml"/>
  <Override ContentType="application/vnd.openxmlformats-officedocument.spreadsheetml.worksheet+xml" PartName="/xl/worksheets/sheet11262.xml"/>
  <Override ContentType="application/vnd.openxmlformats-officedocument.spreadsheetml.worksheet+xml" PartName="/xl/worksheets/sheet11263.xml"/>
  <Override ContentType="application/vnd.openxmlformats-officedocument.spreadsheetml.worksheet+xml" PartName="/xl/worksheets/sheet11264.xml"/>
  <Override ContentType="application/vnd.openxmlformats-officedocument.spreadsheetml.worksheet+xml" PartName="/xl/worksheets/sheet11265.xml"/>
  <Override ContentType="application/vnd.openxmlformats-officedocument.spreadsheetml.worksheet+xml" PartName="/xl/worksheets/sheet11266.xml"/>
  <Override ContentType="application/vnd.openxmlformats-officedocument.spreadsheetml.worksheet+xml" PartName="/xl/worksheets/sheet11267.xml"/>
  <Override ContentType="application/vnd.openxmlformats-officedocument.spreadsheetml.worksheet+xml" PartName="/xl/worksheets/sheet11268.xml"/>
  <Override ContentType="application/vnd.openxmlformats-officedocument.spreadsheetml.worksheet+xml" PartName="/xl/worksheets/sheet11269.xml"/>
  <Override ContentType="application/vnd.openxmlformats-officedocument.spreadsheetml.worksheet+xml" PartName="/xl/worksheets/sheet11270.xml"/>
  <Override ContentType="application/vnd.openxmlformats-officedocument.spreadsheetml.worksheet+xml" PartName="/xl/worksheets/sheet11271.xml"/>
  <Override ContentType="application/vnd.openxmlformats-officedocument.spreadsheetml.worksheet+xml" PartName="/xl/worksheets/sheet11272.xml"/>
  <Override ContentType="application/vnd.openxmlformats-officedocument.spreadsheetml.worksheet+xml" PartName="/xl/worksheets/sheet11273.xml"/>
  <Override ContentType="application/vnd.openxmlformats-officedocument.spreadsheetml.worksheet+xml" PartName="/xl/worksheets/sheet11274.xml"/>
  <Override ContentType="application/vnd.openxmlformats-officedocument.spreadsheetml.worksheet+xml" PartName="/xl/worksheets/sheet11275.xml"/>
  <Override ContentType="application/vnd.openxmlformats-officedocument.spreadsheetml.worksheet+xml" PartName="/xl/worksheets/sheet11276.xml"/>
  <Override ContentType="application/vnd.openxmlformats-officedocument.spreadsheetml.worksheet+xml" PartName="/xl/worksheets/sheet11277.xml"/>
  <Override ContentType="application/vnd.openxmlformats-officedocument.spreadsheetml.worksheet+xml" PartName="/xl/worksheets/sheet11278.xml"/>
  <Override ContentType="application/vnd.openxmlformats-officedocument.spreadsheetml.worksheet+xml" PartName="/xl/worksheets/sheet11279.xml"/>
  <Override ContentType="application/vnd.openxmlformats-officedocument.spreadsheetml.worksheet+xml" PartName="/xl/worksheets/sheet11280.xml"/>
  <Override ContentType="application/vnd.openxmlformats-officedocument.spreadsheetml.worksheet+xml" PartName="/xl/worksheets/sheet11281.xml"/>
  <Override ContentType="application/vnd.openxmlformats-officedocument.spreadsheetml.worksheet+xml" PartName="/xl/worksheets/sheet11282.xml"/>
  <Override ContentType="application/vnd.openxmlformats-officedocument.spreadsheetml.worksheet+xml" PartName="/xl/worksheets/sheet11283.xml"/>
  <Override ContentType="application/vnd.openxmlformats-officedocument.spreadsheetml.worksheet+xml" PartName="/xl/worksheets/sheet11284.xml"/>
  <Override ContentType="application/vnd.openxmlformats-officedocument.spreadsheetml.worksheet+xml" PartName="/xl/worksheets/sheet11285.xml"/>
  <Override ContentType="application/vnd.openxmlformats-officedocument.spreadsheetml.worksheet+xml" PartName="/xl/worksheets/sheet11286.xml"/>
  <Override ContentType="application/vnd.openxmlformats-officedocument.spreadsheetml.worksheet+xml" PartName="/xl/worksheets/sheet11287.xml"/>
  <Override ContentType="application/vnd.openxmlformats-officedocument.spreadsheetml.worksheet+xml" PartName="/xl/worksheets/sheet11288.xml"/>
  <Override ContentType="application/vnd.openxmlformats-officedocument.spreadsheetml.worksheet+xml" PartName="/xl/worksheets/sheet11289.xml"/>
  <Override ContentType="application/vnd.openxmlformats-officedocument.spreadsheetml.worksheet+xml" PartName="/xl/worksheets/sheet11290.xml"/>
  <Override ContentType="application/vnd.openxmlformats-officedocument.spreadsheetml.worksheet+xml" PartName="/xl/worksheets/sheet11291.xml"/>
  <Override ContentType="application/vnd.openxmlformats-officedocument.spreadsheetml.worksheet+xml" PartName="/xl/worksheets/sheet11292.xml"/>
  <Override ContentType="application/vnd.openxmlformats-officedocument.spreadsheetml.worksheet+xml" PartName="/xl/worksheets/sheet11293.xml"/>
  <Override ContentType="application/vnd.openxmlformats-officedocument.spreadsheetml.worksheet+xml" PartName="/xl/worksheets/sheet11294.xml"/>
  <Override ContentType="application/vnd.openxmlformats-officedocument.spreadsheetml.worksheet+xml" PartName="/xl/worksheets/sheet11295.xml"/>
  <Override ContentType="application/vnd.openxmlformats-officedocument.spreadsheetml.worksheet+xml" PartName="/xl/worksheets/sheet11296.xml"/>
  <Override ContentType="application/vnd.openxmlformats-officedocument.spreadsheetml.worksheet+xml" PartName="/xl/worksheets/sheet11297.xml"/>
  <Override ContentType="application/vnd.openxmlformats-officedocument.spreadsheetml.worksheet+xml" PartName="/xl/worksheets/sheet11298.xml"/>
  <Override ContentType="application/vnd.openxmlformats-officedocument.spreadsheetml.worksheet+xml" PartName="/xl/worksheets/sheet11299.xml"/>
  <Override ContentType="application/vnd.openxmlformats-officedocument.spreadsheetml.worksheet+xml" PartName="/xl/worksheets/sheet11300.xml"/>
  <Override ContentType="application/vnd.openxmlformats-officedocument.spreadsheetml.worksheet+xml" PartName="/xl/worksheets/sheet11301.xml"/>
  <Override ContentType="application/vnd.openxmlformats-officedocument.spreadsheetml.worksheet+xml" PartName="/xl/worksheets/sheet11302.xml"/>
  <Override ContentType="application/vnd.openxmlformats-officedocument.spreadsheetml.worksheet+xml" PartName="/xl/worksheets/sheet11303.xml"/>
  <Override ContentType="application/vnd.openxmlformats-officedocument.spreadsheetml.worksheet+xml" PartName="/xl/worksheets/sheet11304.xml"/>
  <Override ContentType="application/vnd.openxmlformats-officedocument.spreadsheetml.worksheet+xml" PartName="/xl/worksheets/sheet11305.xml"/>
  <Override ContentType="application/vnd.openxmlformats-officedocument.spreadsheetml.worksheet+xml" PartName="/xl/worksheets/sheet11306.xml"/>
  <Override ContentType="application/vnd.openxmlformats-officedocument.spreadsheetml.worksheet+xml" PartName="/xl/worksheets/sheet11307.xml"/>
  <Override ContentType="application/vnd.openxmlformats-officedocument.spreadsheetml.worksheet+xml" PartName="/xl/worksheets/sheet11308.xml"/>
  <Override ContentType="application/vnd.openxmlformats-officedocument.spreadsheetml.worksheet+xml" PartName="/xl/worksheets/sheet11309.xml"/>
  <Override ContentType="application/vnd.openxmlformats-officedocument.spreadsheetml.worksheet+xml" PartName="/xl/worksheets/sheet11310.xml"/>
  <Override ContentType="application/vnd.openxmlformats-officedocument.spreadsheetml.worksheet+xml" PartName="/xl/worksheets/sheet11311.xml"/>
  <Override ContentType="application/vnd.openxmlformats-officedocument.spreadsheetml.worksheet+xml" PartName="/xl/worksheets/sheet11312.xml"/>
  <Override ContentType="application/vnd.openxmlformats-officedocument.spreadsheetml.worksheet+xml" PartName="/xl/worksheets/sheet11313.xml"/>
  <Override ContentType="application/vnd.openxmlformats-officedocument.spreadsheetml.worksheet+xml" PartName="/xl/worksheets/sheet11314.xml"/>
  <Override ContentType="application/vnd.openxmlformats-officedocument.spreadsheetml.worksheet+xml" PartName="/xl/worksheets/sheet11315.xml"/>
  <Override ContentType="application/vnd.openxmlformats-officedocument.spreadsheetml.worksheet+xml" PartName="/xl/worksheets/sheet11316.xml"/>
  <Override ContentType="application/vnd.openxmlformats-officedocument.spreadsheetml.worksheet+xml" PartName="/xl/worksheets/sheet11317.xml"/>
  <Override ContentType="application/vnd.openxmlformats-officedocument.spreadsheetml.worksheet+xml" PartName="/xl/worksheets/sheet11318.xml"/>
  <Override ContentType="application/vnd.openxmlformats-officedocument.spreadsheetml.worksheet+xml" PartName="/xl/worksheets/sheet11319.xml"/>
  <Override ContentType="application/vnd.openxmlformats-officedocument.spreadsheetml.worksheet+xml" PartName="/xl/worksheets/sheet11320.xml"/>
  <Override ContentType="application/vnd.openxmlformats-officedocument.spreadsheetml.worksheet+xml" PartName="/xl/worksheets/sheet11321.xml"/>
  <Override ContentType="application/vnd.openxmlformats-officedocument.spreadsheetml.worksheet+xml" PartName="/xl/worksheets/sheet11322.xml"/>
  <Override ContentType="application/vnd.openxmlformats-officedocument.spreadsheetml.worksheet+xml" PartName="/xl/worksheets/sheet11323.xml"/>
  <Override ContentType="application/vnd.openxmlformats-officedocument.spreadsheetml.worksheet+xml" PartName="/xl/worksheets/sheet11324.xml"/>
  <Override ContentType="application/vnd.openxmlformats-officedocument.spreadsheetml.worksheet+xml" PartName="/xl/worksheets/sheet11325.xml"/>
  <Override ContentType="application/vnd.openxmlformats-officedocument.spreadsheetml.worksheet+xml" PartName="/xl/worksheets/sheet11326.xml"/>
  <Override ContentType="application/vnd.openxmlformats-officedocument.spreadsheetml.worksheet+xml" PartName="/xl/worksheets/sheet11327.xml"/>
  <Override ContentType="application/vnd.openxmlformats-officedocument.spreadsheetml.worksheet+xml" PartName="/xl/worksheets/sheet11328.xml"/>
  <Override ContentType="application/vnd.openxmlformats-officedocument.spreadsheetml.worksheet+xml" PartName="/xl/worksheets/sheet11329.xml"/>
  <Override ContentType="application/vnd.openxmlformats-officedocument.spreadsheetml.worksheet+xml" PartName="/xl/worksheets/sheet11330.xml"/>
  <Override ContentType="application/vnd.openxmlformats-officedocument.spreadsheetml.worksheet+xml" PartName="/xl/worksheets/sheet11331.xml"/>
  <Override ContentType="application/vnd.openxmlformats-officedocument.spreadsheetml.worksheet+xml" PartName="/xl/worksheets/sheet11332.xml"/>
  <Override ContentType="application/vnd.openxmlformats-officedocument.spreadsheetml.worksheet+xml" PartName="/xl/worksheets/sheet11333.xml"/>
  <Override ContentType="application/vnd.openxmlformats-officedocument.spreadsheetml.worksheet+xml" PartName="/xl/worksheets/sheet11334.xml"/>
  <Override ContentType="application/vnd.openxmlformats-officedocument.spreadsheetml.worksheet+xml" PartName="/xl/worksheets/sheet11335.xml"/>
  <Override ContentType="application/vnd.openxmlformats-officedocument.spreadsheetml.worksheet+xml" PartName="/xl/worksheets/sheet11336.xml"/>
  <Override ContentType="application/vnd.openxmlformats-officedocument.spreadsheetml.worksheet+xml" PartName="/xl/worksheets/sheet11337.xml"/>
  <Override ContentType="application/vnd.openxmlformats-officedocument.spreadsheetml.worksheet+xml" PartName="/xl/worksheets/sheet11338.xml"/>
  <Override ContentType="application/vnd.openxmlformats-officedocument.spreadsheetml.worksheet+xml" PartName="/xl/worksheets/sheet11339.xml"/>
  <Override ContentType="application/vnd.openxmlformats-officedocument.spreadsheetml.worksheet+xml" PartName="/xl/worksheets/sheet11340.xml"/>
  <Override ContentType="application/vnd.openxmlformats-officedocument.spreadsheetml.worksheet+xml" PartName="/xl/worksheets/sheet11341.xml"/>
  <Override ContentType="application/vnd.openxmlformats-officedocument.spreadsheetml.worksheet+xml" PartName="/xl/worksheets/sheet11342.xml"/>
  <Override ContentType="application/vnd.openxmlformats-officedocument.spreadsheetml.worksheet+xml" PartName="/xl/worksheets/sheet11343.xml"/>
  <Override ContentType="application/vnd.openxmlformats-officedocument.spreadsheetml.worksheet+xml" PartName="/xl/worksheets/sheet11344.xml"/>
  <Override ContentType="application/vnd.openxmlformats-officedocument.spreadsheetml.worksheet+xml" PartName="/xl/worksheets/sheet11345.xml"/>
  <Override ContentType="application/vnd.openxmlformats-officedocument.spreadsheetml.worksheet+xml" PartName="/xl/worksheets/sheet11346.xml"/>
  <Override ContentType="application/vnd.openxmlformats-officedocument.spreadsheetml.worksheet+xml" PartName="/xl/worksheets/sheet11347.xml"/>
  <Override ContentType="application/vnd.openxmlformats-officedocument.spreadsheetml.worksheet+xml" PartName="/xl/worksheets/sheet11348.xml"/>
  <Override ContentType="application/vnd.openxmlformats-officedocument.spreadsheetml.worksheet+xml" PartName="/xl/worksheets/sheet11349.xml"/>
  <Override ContentType="application/vnd.openxmlformats-officedocument.spreadsheetml.worksheet+xml" PartName="/xl/worksheets/sheet11350.xml"/>
  <Override ContentType="application/vnd.openxmlformats-officedocument.spreadsheetml.worksheet+xml" PartName="/xl/worksheets/sheet11351.xml"/>
  <Override ContentType="application/vnd.openxmlformats-officedocument.spreadsheetml.worksheet+xml" PartName="/xl/worksheets/sheet11352.xml"/>
  <Override ContentType="application/vnd.openxmlformats-officedocument.spreadsheetml.worksheet+xml" PartName="/xl/worksheets/sheet11353.xml"/>
  <Override ContentType="application/vnd.openxmlformats-officedocument.spreadsheetml.worksheet+xml" PartName="/xl/worksheets/sheet11354.xml"/>
  <Override ContentType="application/vnd.openxmlformats-officedocument.spreadsheetml.worksheet+xml" PartName="/xl/worksheets/sheet11355.xml"/>
  <Override ContentType="application/vnd.openxmlformats-officedocument.spreadsheetml.worksheet+xml" PartName="/xl/worksheets/sheet11356.xml"/>
  <Override ContentType="application/vnd.openxmlformats-officedocument.spreadsheetml.worksheet+xml" PartName="/xl/worksheets/sheet11357.xml"/>
  <Override ContentType="application/vnd.openxmlformats-officedocument.spreadsheetml.worksheet+xml" PartName="/xl/worksheets/sheet11358.xml"/>
  <Override ContentType="application/vnd.openxmlformats-officedocument.spreadsheetml.worksheet+xml" PartName="/xl/worksheets/sheet11359.xml"/>
  <Override ContentType="application/vnd.openxmlformats-officedocument.spreadsheetml.worksheet+xml" PartName="/xl/worksheets/sheet11360.xml"/>
  <Override ContentType="application/vnd.openxmlformats-officedocument.spreadsheetml.worksheet+xml" PartName="/xl/worksheets/sheet11361.xml"/>
  <Override ContentType="application/vnd.openxmlformats-officedocument.spreadsheetml.worksheet+xml" PartName="/xl/worksheets/sheet11362.xml"/>
  <Override ContentType="application/vnd.openxmlformats-officedocument.spreadsheetml.worksheet+xml" PartName="/xl/worksheets/sheet11363.xml"/>
  <Override ContentType="application/vnd.openxmlformats-officedocument.spreadsheetml.worksheet+xml" PartName="/xl/worksheets/sheet11364.xml"/>
  <Override ContentType="application/vnd.openxmlformats-officedocument.spreadsheetml.worksheet+xml" PartName="/xl/worksheets/sheet11365.xml"/>
  <Override ContentType="application/vnd.openxmlformats-officedocument.spreadsheetml.worksheet+xml" PartName="/xl/worksheets/sheet11366.xml"/>
  <Override ContentType="application/vnd.openxmlformats-officedocument.spreadsheetml.worksheet+xml" PartName="/xl/worksheets/sheet11367.xml"/>
  <Override ContentType="application/vnd.openxmlformats-officedocument.spreadsheetml.worksheet+xml" PartName="/xl/worksheets/sheet11368.xml"/>
  <Override ContentType="application/vnd.openxmlformats-officedocument.spreadsheetml.worksheet+xml" PartName="/xl/worksheets/sheet11369.xml"/>
  <Override ContentType="application/vnd.openxmlformats-officedocument.spreadsheetml.worksheet+xml" PartName="/xl/worksheets/sheet11370.xml"/>
  <Override ContentType="application/vnd.openxmlformats-officedocument.spreadsheetml.worksheet+xml" PartName="/xl/worksheets/sheet11371.xml"/>
  <Override ContentType="application/vnd.openxmlformats-officedocument.spreadsheetml.worksheet+xml" PartName="/xl/worksheets/sheet11372.xml"/>
  <Override ContentType="application/vnd.openxmlformats-officedocument.spreadsheetml.worksheet+xml" PartName="/xl/worksheets/sheet11373.xml"/>
  <Override ContentType="application/vnd.openxmlformats-officedocument.spreadsheetml.worksheet+xml" PartName="/xl/worksheets/sheet11374.xml"/>
  <Override ContentType="application/vnd.openxmlformats-officedocument.spreadsheetml.worksheet+xml" PartName="/xl/worksheets/sheet11375.xml"/>
  <Override ContentType="application/vnd.openxmlformats-officedocument.spreadsheetml.worksheet+xml" PartName="/xl/worksheets/sheet11376.xml"/>
  <Override ContentType="application/vnd.openxmlformats-officedocument.spreadsheetml.worksheet+xml" PartName="/xl/worksheets/sheet11377.xml"/>
  <Override ContentType="application/vnd.openxmlformats-officedocument.spreadsheetml.worksheet+xml" PartName="/xl/worksheets/sheet11378.xml"/>
  <Override ContentType="application/vnd.openxmlformats-officedocument.spreadsheetml.worksheet+xml" PartName="/xl/worksheets/sheet11379.xml"/>
  <Override ContentType="application/vnd.openxmlformats-officedocument.spreadsheetml.worksheet+xml" PartName="/xl/worksheets/sheet11380.xml"/>
  <Override ContentType="application/vnd.openxmlformats-officedocument.spreadsheetml.worksheet+xml" PartName="/xl/worksheets/sheet11381.xml"/>
  <Override ContentType="application/vnd.openxmlformats-officedocument.spreadsheetml.worksheet+xml" PartName="/xl/worksheets/sheet11382.xml"/>
  <Override ContentType="application/vnd.openxmlformats-officedocument.spreadsheetml.worksheet+xml" PartName="/xl/worksheets/sheet11383.xml"/>
  <Override ContentType="application/vnd.openxmlformats-officedocument.spreadsheetml.worksheet+xml" PartName="/xl/worksheets/sheet11384.xml"/>
  <Override ContentType="application/vnd.openxmlformats-officedocument.spreadsheetml.worksheet+xml" PartName="/xl/worksheets/sheet11385.xml"/>
  <Override ContentType="application/vnd.openxmlformats-officedocument.spreadsheetml.worksheet+xml" PartName="/xl/worksheets/sheet11386.xml"/>
  <Override ContentType="application/vnd.openxmlformats-officedocument.spreadsheetml.worksheet+xml" PartName="/xl/worksheets/sheet11387.xml"/>
  <Override ContentType="application/vnd.openxmlformats-officedocument.spreadsheetml.worksheet+xml" PartName="/xl/worksheets/sheet11388.xml"/>
  <Override ContentType="application/vnd.openxmlformats-officedocument.spreadsheetml.worksheet+xml" PartName="/xl/worksheets/sheet11389.xml"/>
  <Override ContentType="application/vnd.openxmlformats-officedocument.spreadsheetml.worksheet+xml" PartName="/xl/worksheets/sheet11390.xml"/>
  <Override ContentType="application/vnd.openxmlformats-officedocument.spreadsheetml.worksheet+xml" PartName="/xl/worksheets/sheet11391.xml"/>
  <Override ContentType="application/vnd.openxmlformats-officedocument.spreadsheetml.worksheet+xml" PartName="/xl/worksheets/sheet11392.xml"/>
  <Override ContentType="application/vnd.openxmlformats-officedocument.spreadsheetml.worksheet+xml" PartName="/xl/worksheets/sheet11393.xml"/>
  <Override ContentType="application/vnd.openxmlformats-officedocument.spreadsheetml.worksheet+xml" PartName="/xl/worksheets/sheet11394.xml"/>
  <Override ContentType="application/vnd.openxmlformats-officedocument.spreadsheetml.worksheet+xml" PartName="/xl/worksheets/sheet11395.xml"/>
  <Override ContentType="application/vnd.openxmlformats-officedocument.spreadsheetml.worksheet+xml" PartName="/xl/worksheets/sheet11396.xml"/>
  <Override ContentType="application/vnd.openxmlformats-officedocument.spreadsheetml.worksheet+xml" PartName="/xl/worksheets/sheet11397.xml"/>
  <Override ContentType="application/vnd.openxmlformats-officedocument.spreadsheetml.worksheet+xml" PartName="/xl/worksheets/sheet11398.xml"/>
  <Override ContentType="application/vnd.openxmlformats-officedocument.spreadsheetml.worksheet+xml" PartName="/xl/worksheets/sheet11399.xml"/>
  <Override ContentType="application/vnd.openxmlformats-officedocument.spreadsheetml.worksheet+xml" PartName="/xl/worksheets/sheet11400.xml"/>
  <Override ContentType="application/vnd.openxmlformats-officedocument.spreadsheetml.worksheet+xml" PartName="/xl/worksheets/sheet11401.xml"/>
  <Override ContentType="application/vnd.openxmlformats-officedocument.spreadsheetml.worksheet+xml" PartName="/xl/worksheets/sheet11402.xml"/>
  <Override ContentType="application/vnd.openxmlformats-officedocument.spreadsheetml.worksheet+xml" PartName="/xl/worksheets/sheet11403.xml"/>
  <Override ContentType="application/vnd.openxmlformats-officedocument.spreadsheetml.worksheet+xml" PartName="/xl/worksheets/sheet11404.xml"/>
  <Override ContentType="application/vnd.openxmlformats-officedocument.spreadsheetml.worksheet+xml" PartName="/xl/worksheets/sheet11405.xml"/>
  <Override ContentType="application/vnd.openxmlformats-officedocument.spreadsheetml.worksheet+xml" PartName="/xl/worksheets/sheet11406.xml"/>
  <Override ContentType="application/vnd.openxmlformats-officedocument.spreadsheetml.worksheet+xml" PartName="/xl/worksheets/sheet11407.xml"/>
  <Override ContentType="application/vnd.openxmlformats-officedocument.spreadsheetml.worksheet+xml" PartName="/xl/worksheets/sheet11408.xml"/>
  <Override ContentType="application/vnd.openxmlformats-officedocument.spreadsheetml.worksheet+xml" PartName="/xl/worksheets/sheet11409.xml"/>
  <Override ContentType="application/vnd.openxmlformats-officedocument.spreadsheetml.worksheet+xml" PartName="/xl/worksheets/sheet11410.xml"/>
  <Override ContentType="application/vnd.openxmlformats-officedocument.spreadsheetml.worksheet+xml" PartName="/xl/worksheets/sheet11411.xml"/>
  <Override ContentType="application/vnd.openxmlformats-officedocument.spreadsheetml.worksheet+xml" PartName="/xl/worksheets/sheet11412.xml"/>
  <Override ContentType="application/vnd.openxmlformats-officedocument.spreadsheetml.worksheet+xml" PartName="/xl/worksheets/sheet11413.xml"/>
  <Override ContentType="application/vnd.openxmlformats-officedocument.spreadsheetml.worksheet+xml" PartName="/xl/worksheets/sheet11414.xml"/>
  <Override ContentType="application/vnd.openxmlformats-officedocument.spreadsheetml.worksheet+xml" PartName="/xl/worksheets/sheet11415.xml"/>
  <Override ContentType="application/vnd.openxmlformats-officedocument.spreadsheetml.worksheet+xml" PartName="/xl/worksheets/sheet11416.xml"/>
  <Override ContentType="application/vnd.openxmlformats-officedocument.spreadsheetml.worksheet+xml" PartName="/xl/worksheets/sheet11417.xml"/>
  <Override ContentType="application/vnd.openxmlformats-officedocument.spreadsheetml.worksheet+xml" PartName="/xl/worksheets/sheet11418.xml"/>
  <Override ContentType="application/vnd.openxmlformats-officedocument.spreadsheetml.worksheet+xml" PartName="/xl/worksheets/sheet11419.xml"/>
  <Override ContentType="application/vnd.openxmlformats-officedocument.spreadsheetml.worksheet+xml" PartName="/xl/worksheets/sheet11420.xml"/>
  <Override ContentType="application/vnd.openxmlformats-officedocument.spreadsheetml.worksheet+xml" PartName="/xl/worksheets/sheet11421.xml"/>
  <Override ContentType="application/vnd.openxmlformats-officedocument.spreadsheetml.worksheet+xml" PartName="/xl/worksheets/sheet11422.xml"/>
  <Override ContentType="application/vnd.openxmlformats-officedocument.spreadsheetml.worksheet+xml" PartName="/xl/worksheets/sheet11423.xml"/>
  <Override ContentType="application/vnd.openxmlformats-officedocument.spreadsheetml.worksheet+xml" PartName="/xl/worksheets/sheet11424.xml"/>
  <Override ContentType="application/vnd.openxmlformats-officedocument.spreadsheetml.worksheet+xml" PartName="/xl/worksheets/sheet11425.xml"/>
  <Override ContentType="application/vnd.openxmlformats-officedocument.spreadsheetml.worksheet+xml" PartName="/xl/worksheets/sheet11426.xml"/>
  <Override ContentType="application/vnd.openxmlformats-officedocument.spreadsheetml.worksheet+xml" PartName="/xl/worksheets/sheet11427.xml"/>
  <Override ContentType="application/vnd.openxmlformats-officedocument.spreadsheetml.worksheet+xml" PartName="/xl/worksheets/sheet11428.xml"/>
  <Override ContentType="application/vnd.openxmlformats-officedocument.spreadsheetml.worksheet+xml" PartName="/xl/worksheets/sheet11429.xml"/>
  <Override ContentType="application/vnd.openxmlformats-officedocument.spreadsheetml.worksheet+xml" PartName="/xl/worksheets/sheet11430.xml"/>
  <Override ContentType="application/vnd.openxmlformats-officedocument.spreadsheetml.worksheet+xml" PartName="/xl/worksheets/sheet11431.xml"/>
  <Override ContentType="application/vnd.openxmlformats-officedocument.spreadsheetml.worksheet+xml" PartName="/xl/worksheets/sheet11432.xml"/>
  <Override ContentType="application/vnd.openxmlformats-officedocument.spreadsheetml.worksheet+xml" PartName="/xl/worksheets/sheet11433.xml"/>
  <Override ContentType="application/vnd.openxmlformats-officedocument.spreadsheetml.worksheet+xml" PartName="/xl/worksheets/sheet11434.xml"/>
  <Override ContentType="application/vnd.openxmlformats-officedocument.spreadsheetml.worksheet+xml" PartName="/xl/worksheets/sheet11435.xml"/>
  <Override ContentType="application/vnd.openxmlformats-officedocument.spreadsheetml.worksheet+xml" PartName="/xl/worksheets/sheet11436.xml"/>
  <Override ContentType="application/vnd.openxmlformats-officedocument.spreadsheetml.worksheet+xml" PartName="/xl/worksheets/sheet11437.xml"/>
  <Override ContentType="application/vnd.openxmlformats-officedocument.spreadsheetml.worksheet+xml" PartName="/xl/worksheets/sheet11438.xml"/>
  <Override ContentType="application/vnd.openxmlformats-officedocument.spreadsheetml.worksheet+xml" PartName="/xl/worksheets/sheet11439.xml"/>
  <Override ContentType="application/vnd.openxmlformats-officedocument.spreadsheetml.worksheet+xml" PartName="/xl/worksheets/sheet11440.xml"/>
  <Override ContentType="application/vnd.openxmlformats-officedocument.spreadsheetml.worksheet+xml" PartName="/xl/worksheets/sheet11441.xml"/>
  <Override ContentType="application/vnd.openxmlformats-officedocument.spreadsheetml.worksheet+xml" PartName="/xl/worksheets/sheet11442.xml"/>
  <Override ContentType="application/vnd.openxmlformats-officedocument.spreadsheetml.worksheet+xml" PartName="/xl/worksheets/sheet11443.xml"/>
  <Override ContentType="application/vnd.openxmlformats-officedocument.spreadsheetml.worksheet+xml" PartName="/xl/worksheets/sheet11444.xml"/>
  <Override ContentType="application/vnd.openxmlformats-officedocument.spreadsheetml.worksheet+xml" PartName="/xl/worksheets/sheet11445.xml"/>
  <Override ContentType="application/vnd.openxmlformats-officedocument.spreadsheetml.worksheet+xml" PartName="/xl/worksheets/sheet11446.xml"/>
  <Override ContentType="application/vnd.openxmlformats-officedocument.spreadsheetml.worksheet+xml" PartName="/xl/worksheets/sheet11447.xml"/>
  <Override ContentType="application/vnd.openxmlformats-officedocument.spreadsheetml.worksheet+xml" PartName="/xl/worksheets/sheet11448.xml"/>
  <Override ContentType="application/vnd.openxmlformats-officedocument.spreadsheetml.worksheet+xml" PartName="/xl/worksheets/sheet11449.xml"/>
  <Override ContentType="application/vnd.openxmlformats-officedocument.spreadsheetml.worksheet+xml" PartName="/xl/worksheets/sheet11450.xml"/>
  <Override ContentType="application/vnd.openxmlformats-officedocument.spreadsheetml.worksheet+xml" PartName="/xl/worksheets/sheet11451.xml"/>
  <Override ContentType="application/vnd.openxmlformats-officedocument.spreadsheetml.worksheet+xml" PartName="/xl/worksheets/sheet11452.xml"/>
  <Override ContentType="application/vnd.openxmlformats-officedocument.spreadsheetml.worksheet+xml" PartName="/xl/worksheets/sheet11453.xml"/>
  <Override ContentType="application/vnd.openxmlformats-officedocument.spreadsheetml.worksheet+xml" PartName="/xl/worksheets/sheet11454.xml"/>
  <Override ContentType="application/vnd.openxmlformats-officedocument.spreadsheetml.worksheet+xml" PartName="/xl/worksheets/sheet11455.xml"/>
  <Override ContentType="application/vnd.openxmlformats-officedocument.spreadsheetml.worksheet+xml" PartName="/xl/worksheets/sheet11456.xml"/>
  <Override ContentType="application/vnd.openxmlformats-officedocument.spreadsheetml.worksheet+xml" PartName="/xl/worksheets/sheet11457.xml"/>
  <Override ContentType="application/vnd.openxmlformats-officedocument.spreadsheetml.worksheet+xml" PartName="/xl/worksheets/sheet11458.xml"/>
  <Override ContentType="application/vnd.openxmlformats-officedocument.spreadsheetml.worksheet+xml" PartName="/xl/worksheets/sheet11459.xml"/>
  <Override ContentType="application/vnd.openxmlformats-officedocument.spreadsheetml.worksheet+xml" PartName="/xl/worksheets/sheet11460.xml"/>
  <Override ContentType="application/vnd.openxmlformats-officedocument.spreadsheetml.worksheet+xml" PartName="/xl/worksheets/sheet11461.xml"/>
  <Override ContentType="application/vnd.openxmlformats-officedocument.spreadsheetml.worksheet+xml" PartName="/xl/worksheets/sheet11462.xml"/>
  <Override ContentType="application/vnd.openxmlformats-officedocument.spreadsheetml.worksheet+xml" PartName="/xl/worksheets/sheet11463.xml"/>
  <Override ContentType="application/vnd.openxmlformats-officedocument.spreadsheetml.worksheet+xml" PartName="/xl/worksheets/sheet11464.xml"/>
  <Override ContentType="application/vnd.openxmlformats-officedocument.spreadsheetml.worksheet+xml" PartName="/xl/worksheets/sheet11465.xml"/>
  <Override ContentType="application/vnd.openxmlformats-officedocument.spreadsheetml.worksheet+xml" PartName="/xl/worksheets/sheet11466.xml"/>
  <Override ContentType="application/vnd.openxmlformats-officedocument.spreadsheetml.worksheet+xml" PartName="/xl/worksheets/sheet11467.xml"/>
  <Override ContentType="application/vnd.openxmlformats-officedocument.spreadsheetml.worksheet+xml" PartName="/xl/worksheets/sheet11468.xml"/>
  <Override ContentType="application/vnd.openxmlformats-officedocument.spreadsheetml.worksheet+xml" PartName="/xl/worksheets/sheet11469.xml"/>
  <Override ContentType="application/vnd.openxmlformats-officedocument.spreadsheetml.worksheet+xml" PartName="/xl/worksheets/sheet11470.xml"/>
  <Override ContentType="application/vnd.openxmlformats-officedocument.spreadsheetml.worksheet+xml" PartName="/xl/worksheets/sheet11471.xml"/>
  <Override ContentType="application/vnd.openxmlformats-officedocument.spreadsheetml.worksheet+xml" PartName="/xl/worksheets/sheet11472.xml"/>
  <Override ContentType="application/vnd.openxmlformats-officedocument.spreadsheetml.worksheet+xml" PartName="/xl/worksheets/sheet11473.xml"/>
  <Override ContentType="application/vnd.openxmlformats-officedocument.spreadsheetml.worksheet+xml" PartName="/xl/worksheets/sheet11474.xml"/>
  <Override ContentType="application/vnd.openxmlformats-officedocument.spreadsheetml.worksheet+xml" PartName="/xl/worksheets/sheet11475.xml"/>
  <Override ContentType="application/vnd.openxmlformats-officedocument.spreadsheetml.worksheet+xml" PartName="/xl/worksheets/sheet11476.xml"/>
  <Override ContentType="application/vnd.openxmlformats-officedocument.spreadsheetml.worksheet+xml" PartName="/xl/worksheets/sheet11477.xml"/>
  <Override ContentType="application/vnd.openxmlformats-officedocument.spreadsheetml.worksheet+xml" PartName="/xl/worksheets/sheet11478.xml"/>
  <Override ContentType="application/vnd.openxmlformats-officedocument.spreadsheetml.worksheet+xml" PartName="/xl/worksheets/sheet11479.xml"/>
  <Override ContentType="application/vnd.openxmlformats-officedocument.spreadsheetml.worksheet+xml" PartName="/xl/worksheets/sheet11480.xml"/>
  <Override ContentType="application/vnd.openxmlformats-officedocument.spreadsheetml.worksheet+xml" PartName="/xl/worksheets/sheet11481.xml"/>
  <Override ContentType="application/vnd.openxmlformats-officedocument.spreadsheetml.worksheet+xml" PartName="/xl/worksheets/sheet11482.xml"/>
  <Override ContentType="application/vnd.openxmlformats-officedocument.spreadsheetml.worksheet+xml" PartName="/xl/worksheets/sheet11483.xml"/>
  <Override ContentType="application/vnd.openxmlformats-officedocument.spreadsheetml.worksheet+xml" PartName="/xl/worksheets/sheet11484.xml"/>
  <Override ContentType="application/vnd.openxmlformats-officedocument.spreadsheetml.worksheet+xml" PartName="/xl/worksheets/sheet11485.xml"/>
  <Override ContentType="application/vnd.openxmlformats-officedocument.spreadsheetml.worksheet+xml" PartName="/xl/worksheets/sheet11486.xml"/>
  <Override ContentType="application/vnd.openxmlformats-officedocument.spreadsheetml.worksheet+xml" PartName="/xl/worksheets/sheet11487.xml"/>
  <Override ContentType="application/vnd.openxmlformats-officedocument.spreadsheetml.worksheet+xml" PartName="/xl/worksheets/sheet11488.xml"/>
  <Override ContentType="application/vnd.openxmlformats-officedocument.spreadsheetml.worksheet+xml" PartName="/xl/worksheets/sheet11489.xml"/>
  <Override ContentType="application/vnd.openxmlformats-officedocument.spreadsheetml.worksheet+xml" PartName="/xl/worksheets/sheet11490.xml"/>
  <Override ContentType="application/vnd.openxmlformats-officedocument.spreadsheetml.worksheet+xml" PartName="/xl/worksheets/sheet11491.xml"/>
  <Override ContentType="application/vnd.openxmlformats-officedocument.spreadsheetml.worksheet+xml" PartName="/xl/worksheets/sheet11492.xml"/>
  <Override ContentType="application/vnd.openxmlformats-officedocument.spreadsheetml.worksheet+xml" PartName="/xl/worksheets/sheet11493.xml"/>
  <Override ContentType="application/vnd.openxmlformats-officedocument.spreadsheetml.worksheet+xml" PartName="/xl/worksheets/sheet11494.xml"/>
  <Override ContentType="application/vnd.openxmlformats-officedocument.spreadsheetml.worksheet+xml" PartName="/xl/worksheets/sheet11495.xml"/>
  <Override ContentType="application/vnd.openxmlformats-officedocument.spreadsheetml.worksheet+xml" PartName="/xl/worksheets/sheet11496.xml"/>
  <Override ContentType="application/vnd.openxmlformats-officedocument.spreadsheetml.worksheet+xml" PartName="/xl/worksheets/sheet11497.xml"/>
  <Override ContentType="application/vnd.openxmlformats-officedocument.spreadsheetml.worksheet+xml" PartName="/xl/worksheets/sheet11498.xml"/>
  <Override ContentType="application/vnd.openxmlformats-officedocument.spreadsheetml.worksheet+xml" PartName="/xl/worksheets/sheet11499.xml"/>
  <Override ContentType="application/vnd.openxmlformats-officedocument.spreadsheetml.worksheet+xml" PartName="/xl/worksheets/sheet11500.xml"/>
  <Override ContentType="application/vnd.openxmlformats-officedocument.spreadsheetml.worksheet+xml" PartName="/xl/worksheets/sheet11501.xml"/>
  <Override ContentType="application/vnd.openxmlformats-officedocument.spreadsheetml.worksheet+xml" PartName="/xl/worksheets/sheet11502.xml"/>
  <Override ContentType="application/vnd.openxmlformats-officedocument.spreadsheetml.worksheet+xml" PartName="/xl/worksheets/sheet11503.xml"/>
  <Override ContentType="application/vnd.openxmlformats-officedocument.spreadsheetml.worksheet+xml" PartName="/xl/worksheets/sheet11504.xml"/>
  <Override ContentType="application/vnd.openxmlformats-officedocument.spreadsheetml.worksheet+xml" PartName="/xl/worksheets/sheet11505.xml"/>
  <Override ContentType="application/vnd.openxmlformats-officedocument.spreadsheetml.worksheet+xml" PartName="/xl/worksheets/sheet11506.xml"/>
  <Override ContentType="application/vnd.openxmlformats-officedocument.spreadsheetml.worksheet+xml" PartName="/xl/worksheets/sheet11507.xml"/>
  <Override ContentType="application/vnd.openxmlformats-officedocument.spreadsheetml.worksheet+xml" PartName="/xl/worksheets/sheet11508.xml"/>
  <Override ContentType="application/vnd.openxmlformats-officedocument.spreadsheetml.worksheet+xml" PartName="/xl/worksheets/sheet11509.xml"/>
  <Override ContentType="application/vnd.openxmlformats-officedocument.spreadsheetml.worksheet+xml" PartName="/xl/worksheets/sheet11510.xml"/>
  <Override ContentType="application/vnd.openxmlformats-officedocument.spreadsheetml.worksheet+xml" PartName="/xl/worksheets/sheet11511.xml"/>
  <Override ContentType="application/vnd.openxmlformats-officedocument.spreadsheetml.worksheet+xml" PartName="/xl/worksheets/sheet11512.xml"/>
  <Override ContentType="application/vnd.openxmlformats-officedocument.spreadsheetml.worksheet+xml" PartName="/xl/worksheets/sheet11513.xml"/>
  <Override ContentType="application/vnd.openxmlformats-officedocument.spreadsheetml.worksheet+xml" PartName="/xl/worksheets/sheet11514.xml"/>
  <Override ContentType="application/vnd.openxmlformats-officedocument.spreadsheetml.worksheet+xml" PartName="/xl/worksheets/sheet11515.xml"/>
  <Override ContentType="application/vnd.openxmlformats-officedocument.spreadsheetml.worksheet+xml" PartName="/xl/worksheets/sheet11516.xml"/>
  <Override ContentType="application/vnd.openxmlformats-officedocument.spreadsheetml.worksheet+xml" PartName="/xl/worksheets/sheet11517.xml"/>
  <Override ContentType="application/vnd.openxmlformats-officedocument.spreadsheetml.worksheet+xml" PartName="/xl/worksheets/sheet11518.xml"/>
  <Override ContentType="application/vnd.openxmlformats-officedocument.spreadsheetml.worksheet+xml" PartName="/xl/worksheets/sheet11519.xml"/>
  <Override ContentType="application/vnd.openxmlformats-officedocument.spreadsheetml.worksheet+xml" PartName="/xl/worksheets/sheet11520.xml"/>
  <Override ContentType="application/vnd.openxmlformats-officedocument.spreadsheetml.worksheet+xml" PartName="/xl/worksheets/sheet11521.xml"/>
  <Override ContentType="application/vnd.openxmlformats-officedocument.spreadsheetml.worksheet+xml" PartName="/xl/worksheets/sheet11522.xml"/>
  <Override ContentType="application/vnd.openxmlformats-officedocument.spreadsheetml.worksheet+xml" PartName="/xl/worksheets/sheet11523.xml"/>
  <Override ContentType="application/vnd.openxmlformats-officedocument.spreadsheetml.worksheet+xml" PartName="/xl/worksheets/sheet11524.xml"/>
  <Override ContentType="application/vnd.openxmlformats-officedocument.spreadsheetml.worksheet+xml" PartName="/xl/worksheets/sheet11525.xml"/>
  <Override ContentType="application/vnd.openxmlformats-officedocument.spreadsheetml.worksheet+xml" PartName="/xl/worksheets/sheet11526.xml"/>
  <Override ContentType="application/vnd.openxmlformats-officedocument.spreadsheetml.worksheet+xml" PartName="/xl/worksheets/sheet11527.xml"/>
  <Override ContentType="application/vnd.openxmlformats-officedocument.spreadsheetml.worksheet+xml" PartName="/xl/worksheets/sheet11528.xml"/>
  <Override ContentType="application/vnd.openxmlformats-officedocument.spreadsheetml.worksheet+xml" PartName="/xl/worksheets/sheet11529.xml"/>
  <Override ContentType="application/vnd.openxmlformats-officedocument.spreadsheetml.worksheet+xml" PartName="/xl/worksheets/sheet11530.xml"/>
  <Override ContentType="application/vnd.openxmlformats-officedocument.spreadsheetml.worksheet+xml" PartName="/xl/worksheets/sheet11531.xml"/>
  <Override ContentType="application/vnd.openxmlformats-officedocument.spreadsheetml.worksheet+xml" PartName="/xl/worksheets/sheet11532.xml"/>
  <Override ContentType="application/vnd.openxmlformats-officedocument.spreadsheetml.worksheet+xml" PartName="/xl/worksheets/sheet11533.xml"/>
  <Override ContentType="application/vnd.openxmlformats-officedocument.spreadsheetml.worksheet+xml" PartName="/xl/worksheets/sheet11534.xml"/>
  <Override ContentType="application/vnd.openxmlformats-officedocument.spreadsheetml.worksheet+xml" PartName="/xl/worksheets/sheet11535.xml"/>
  <Override ContentType="application/vnd.openxmlformats-officedocument.spreadsheetml.worksheet+xml" PartName="/xl/worksheets/sheet11536.xml"/>
  <Override ContentType="application/vnd.openxmlformats-officedocument.spreadsheetml.worksheet+xml" PartName="/xl/worksheets/sheet11537.xml"/>
  <Override ContentType="application/vnd.openxmlformats-officedocument.spreadsheetml.worksheet+xml" PartName="/xl/worksheets/sheet11538.xml"/>
  <Override ContentType="application/vnd.openxmlformats-officedocument.spreadsheetml.worksheet+xml" PartName="/xl/worksheets/sheet11539.xml"/>
  <Override ContentType="application/vnd.openxmlformats-officedocument.spreadsheetml.worksheet+xml" PartName="/xl/worksheets/sheet11540.xml"/>
  <Override ContentType="application/vnd.openxmlformats-officedocument.spreadsheetml.worksheet+xml" PartName="/xl/worksheets/sheet11541.xml"/>
  <Override ContentType="application/vnd.openxmlformats-officedocument.spreadsheetml.worksheet+xml" PartName="/xl/worksheets/sheet11542.xml"/>
  <Override ContentType="application/vnd.openxmlformats-officedocument.spreadsheetml.worksheet+xml" PartName="/xl/worksheets/sheet11543.xml"/>
  <Override ContentType="application/vnd.openxmlformats-officedocument.spreadsheetml.worksheet+xml" PartName="/xl/worksheets/sheet11544.xml"/>
  <Override ContentType="application/vnd.openxmlformats-officedocument.spreadsheetml.worksheet+xml" PartName="/xl/worksheets/sheet11545.xml"/>
  <Override ContentType="application/vnd.openxmlformats-officedocument.spreadsheetml.worksheet+xml" PartName="/xl/worksheets/sheet11546.xml"/>
  <Override ContentType="application/vnd.openxmlformats-officedocument.spreadsheetml.worksheet+xml" PartName="/xl/worksheets/sheet11547.xml"/>
  <Override ContentType="application/vnd.openxmlformats-officedocument.spreadsheetml.worksheet+xml" PartName="/xl/worksheets/sheet11548.xml"/>
  <Override ContentType="application/vnd.openxmlformats-officedocument.spreadsheetml.worksheet+xml" PartName="/xl/worksheets/sheet11549.xml"/>
  <Override ContentType="application/vnd.openxmlformats-officedocument.spreadsheetml.worksheet+xml" PartName="/xl/worksheets/sheet11550.xml"/>
  <Override ContentType="application/vnd.openxmlformats-officedocument.spreadsheetml.worksheet+xml" PartName="/xl/worksheets/sheet11551.xml"/>
  <Override ContentType="application/vnd.openxmlformats-officedocument.spreadsheetml.worksheet+xml" PartName="/xl/worksheets/sheet11552.xml"/>
  <Override ContentType="application/vnd.openxmlformats-officedocument.spreadsheetml.worksheet+xml" PartName="/xl/worksheets/sheet11553.xml"/>
  <Override ContentType="application/vnd.openxmlformats-officedocument.spreadsheetml.worksheet+xml" PartName="/xl/worksheets/sheet11554.xml"/>
  <Override ContentType="application/vnd.openxmlformats-officedocument.spreadsheetml.worksheet+xml" PartName="/xl/worksheets/sheet11555.xml"/>
  <Override ContentType="application/vnd.openxmlformats-officedocument.spreadsheetml.worksheet+xml" PartName="/xl/worksheets/sheet11556.xml"/>
  <Override ContentType="application/vnd.openxmlformats-officedocument.spreadsheetml.worksheet+xml" PartName="/xl/worksheets/sheet11557.xml"/>
  <Override ContentType="application/vnd.openxmlformats-officedocument.spreadsheetml.worksheet+xml" PartName="/xl/worksheets/sheet11558.xml"/>
  <Override ContentType="application/vnd.openxmlformats-officedocument.spreadsheetml.worksheet+xml" PartName="/xl/worksheets/sheet11559.xml"/>
  <Override ContentType="application/vnd.openxmlformats-officedocument.spreadsheetml.worksheet+xml" PartName="/xl/worksheets/sheet11560.xml"/>
  <Override ContentType="application/vnd.openxmlformats-officedocument.spreadsheetml.worksheet+xml" PartName="/xl/worksheets/sheet11561.xml"/>
  <Override ContentType="application/vnd.openxmlformats-officedocument.spreadsheetml.worksheet+xml" PartName="/xl/worksheets/sheet11562.xml"/>
  <Override ContentType="application/vnd.openxmlformats-officedocument.spreadsheetml.worksheet+xml" PartName="/xl/worksheets/sheet11563.xml"/>
  <Override ContentType="application/vnd.openxmlformats-officedocument.spreadsheetml.worksheet+xml" PartName="/xl/worksheets/sheet11564.xml"/>
  <Override ContentType="application/vnd.openxmlformats-officedocument.spreadsheetml.worksheet+xml" PartName="/xl/worksheets/sheet11565.xml"/>
  <Override ContentType="application/vnd.openxmlformats-officedocument.spreadsheetml.worksheet+xml" PartName="/xl/worksheets/sheet11566.xml"/>
  <Override ContentType="application/vnd.openxmlformats-officedocument.spreadsheetml.worksheet+xml" PartName="/xl/worksheets/sheet11567.xml"/>
  <Override ContentType="application/vnd.openxmlformats-officedocument.spreadsheetml.worksheet+xml" PartName="/xl/worksheets/sheet11568.xml"/>
  <Override ContentType="application/vnd.openxmlformats-officedocument.spreadsheetml.worksheet+xml" PartName="/xl/worksheets/sheet11569.xml"/>
  <Override ContentType="application/vnd.openxmlformats-officedocument.spreadsheetml.worksheet+xml" PartName="/xl/worksheets/sheet11570.xml"/>
  <Override ContentType="application/vnd.openxmlformats-officedocument.spreadsheetml.worksheet+xml" PartName="/xl/worksheets/sheet11571.xml"/>
  <Override ContentType="application/vnd.openxmlformats-officedocument.spreadsheetml.worksheet+xml" PartName="/xl/worksheets/sheet11572.xml"/>
  <Override ContentType="application/vnd.openxmlformats-officedocument.spreadsheetml.worksheet+xml" PartName="/xl/worksheets/sheet11573.xml"/>
  <Override ContentType="application/vnd.openxmlformats-officedocument.spreadsheetml.worksheet+xml" PartName="/xl/worksheets/sheet11574.xml"/>
  <Override ContentType="application/vnd.openxmlformats-officedocument.spreadsheetml.worksheet+xml" PartName="/xl/worksheets/sheet11575.xml"/>
  <Override ContentType="application/vnd.openxmlformats-officedocument.spreadsheetml.worksheet+xml" PartName="/xl/worksheets/sheet11576.xml"/>
  <Override ContentType="application/vnd.openxmlformats-officedocument.spreadsheetml.worksheet+xml" PartName="/xl/worksheets/sheet11577.xml"/>
  <Override ContentType="application/vnd.openxmlformats-officedocument.spreadsheetml.worksheet+xml" PartName="/xl/worksheets/sheet11578.xml"/>
  <Override ContentType="application/vnd.openxmlformats-officedocument.spreadsheetml.worksheet+xml" PartName="/xl/worksheets/sheet11579.xml"/>
  <Override ContentType="application/vnd.openxmlformats-officedocument.spreadsheetml.worksheet+xml" PartName="/xl/worksheets/sheet11580.xml"/>
  <Override ContentType="application/vnd.openxmlformats-officedocument.spreadsheetml.worksheet+xml" PartName="/xl/worksheets/sheet11581.xml"/>
  <Override ContentType="application/vnd.openxmlformats-officedocument.spreadsheetml.worksheet+xml" PartName="/xl/worksheets/sheet11582.xml"/>
  <Override ContentType="application/vnd.openxmlformats-officedocument.spreadsheetml.worksheet+xml" PartName="/xl/worksheets/sheet11583.xml"/>
  <Override ContentType="application/vnd.openxmlformats-officedocument.spreadsheetml.worksheet+xml" PartName="/xl/worksheets/sheet11584.xml"/>
  <Override ContentType="application/vnd.openxmlformats-officedocument.spreadsheetml.worksheet+xml" PartName="/xl/worksheets/sheet11585.xml"/>
  <Override ContentType="application/vnd.openxmlformats-officedocument.spreadsheetml.worksheet+xml" PartName="/xl/worksheets/sheet11586.xml"/>
  <Override ContentType="application/vnd.openxmlformats-officedocument.spreadsheetml.worksheet+xml" PartName="/xl/worksheets/sheet11587.xml"/>
  <Override ContentType="application/vnd.openxmlformats-officedocument.spreadsheetml.worksheet+xml" PartName="/xl/worksheets/sheet11588.xml"/>
  <Override ContentType="application/vnd.openxmlformats-officedocument.spreadsheetml.worksheet+xml" PartName="/xl/worksheets/sheet11589.xml"/>
  <Override ContentType="application/vnd.openxmlformats-officedocument.spreadsheetml.worksheet+xml" PartName="/xl/worksheets/sheet11590.xml"/>
  <Override ContentType="application/vnd.openxmlformats-officedocument.spreadsheetml.worksheet+xml" PartName="/xl/worksheets/sheet11591.xml"/>
  <Override ContentType="application/vnd.openxmlformats-officedocument.spreadsheetml.worksheet+xml" PartName="/xl/worksheets/sheet11592.xml"/>
  <Override ContentType="application/vnd.openxmlformats-officedocument.spreadsheetml.worksheet+xml" PartName="/xl/worksheets/sheet11593.xml"/>
  <Override ContentType="application/vnd.openxmlformats-officedocument.spreadsheetml.worksheet+xml" PartName="/xl/worksheets/sheet11594.xml"/>
  <Override ContentType="application/vnd.openxmlformats-officedocument.spreadsheetml.worksheet+xml" PartName="/xl/worksheets/sheet11595.xml"/>
  <Override ContentType="application/vnd.openxmlformats-officedocument.spreadsheetml.worksheet+xml" PartName="/xl/worksheets/sheet11596.xml"/>
  <Override ContentType="application/vnd.openxmlformats-officedocument.spreadsheetml.worksheet+xml" PartName="/xl/worksheets/sheet11597.xml"/>
  <Override ContentType="application/vnd.openxmlformats-officedocument.spreadsheetml.worksheet+xml" PartName="/xl/worksheets/sheet11598.xml"/>
  <Override ContentType="application/vnd.openxmlformats-officedocument.spreadsheetml.worksheet+xml" PartName="/xl/worksheets/sheet11599.xml"/>
  <Override ContentType="application/vnd.openxmlformats-officedocument.spreadsheetml.worksheet+xml" PartName="/xl/worksheets/sheet11600.xml"/>
  <Override ContentType="application/vnd.openxmlformats-officedocument.spreadsheetml.worksheet+xml" PartName="/xl/worksheets/sheet11601.xml"/>
  <Override ContentType="application/vnd.openxmlformats-officedocument.spreadsheetml.worksheet+xml" PartName="/xl/worksheets/sheet11602.xml"/>
  <Override ContentType="application/vnd.openxmlformats-officedocument.spreadsheetml.worksheet+xml" PartName="/xl/worksheets/sheet11603.xml"/>
  <Override ContentType="application/vnd.openxmlformats-officedocument.spreadsheetml.worksheet+xml" PartName="/xl/worksheets/sheet11604.xml"/>
  <Override ContentType="application/vnd.openxmlformats-officedocument.spreadsheetml.worksheet+xml" PartName="/xl/worksheets/sheet11605.xml"/>
  <Override ContentType="application/vnd.openxmlformats-officedocument.spreadsheetml.worksheet+xml" PartName="/xl/worksheets/sheet11606.xml"/>
  <Override ContentType="application/vnd.openxmlformats-officedocument.spreadsheetml.worksheet+xml" PartName="/xl/worksheets/sheet11607.xml"/>
  <Override ContentType="application/vnd.openxmlformats-officedocument.spreadsheetml.worksheet+xml" PartName="/xl/worksheets/sheet11608.xml"/>
  <Override ContentType="application/vnd.openxmlformats-officedocument.spreadsheetml.worksheet+xml" PartName="/xl/worksheets/sheet11609.xml"/>
  <Override ContentType="application/vnd.openxmlformats-officedocument.spreadsheetml.worksheet+xml" PartName="/xl/worksheets/sheet11610.xml"/>
  <Override ContentType="application/vnd.openxmlformats-officedocument.spreadsheetml.worksheet+xml" PartName="/xl/worksheets/sheet11611.xml"/>
  <Override ContentType="application/vnd.openxmlformats-officedocument.spreadsheetml.worksheet+xml" PartName="/xl/worksheets/sheet11612.xml"/>
  <Override ContentType="application/vnd.openxmlformats-officedocument.spreadsheetml.worksheet+xml" PartName="/xl/worksheets/sheet11613.xml"/>
  <Override ContentType="application/vnd.openxmlformats-officedocument.spreadsheetml.worksheet+xml" PartName="/xl/worksheets/sheet11614.xml"/>
  <Override ContentType="application/vnd.openxmlformats-officedocument.spreadsheetml.worksheet+xml" PartName="/xl/worksheets/sheet11615.xml"/>
  <Override ContentType="application/vnd.openxmlformats-officedocument.spreadsheetml.worksheet+xml" PartName="/xl/worksheets/sheet11616.xml"/>
  <Override ContentType="application/vnd.openxmlformats-officedocument.spreadsheetml.worksheet+xml" PartName="/xl/worksheets/sheet11617.xml"/>
  <Override ContentType="application/vnd.openxmlformats-officedocument.spreadsheetml.worksheet+xml" PartName="/xl/worksheets/sheet11618.xml"/>
  <Override ContentType="application/vnd.openxmlformats-officedocument.spreadsheetml.worksheet+xml" PartName="/xl/worksheets/sheet11619.xml"/>
  <Override ContentType="application/vnd.openxmlformats-officedocument.spreadsheetml.worksheet+xml" PartName="/xl/worksheets/sheet11620.xml"/>
  <Override ContentType="application/vnd.openxmlformats-officedocument.spreadsheetml.worksheet+xml" PartName="/xl/worksheets/sheet11621.xml"/>
  <Override ContentType="application/vnd.openxmlformats-officedocument.spreadsheetml.worksheet+xml" PartName="/xl/worksheets/sheet11622.xml"/>
  <Override ContentType="application/vnd.openxmlformats-officedocument.spreadsheetml.worksheet+xml" PartName="/xl/worksheets/sheet11623.xml"/>
  <Override ContentType="application/vnd.openxmlformats-officedocument.spreadsheetml.worksheet+xml" PartName="/xl/worksheets/sheet11624.xml"/>
  <Override ContentType="application/vnd.openxmlformats-officedocument.spreadsheetml.worksheet+xml" PartName="/xl/worksheets/sheet11625.xml"/>
  <Override ContentType="application/vnd.openxmlformats-officedocument.spreadsheetml.worksheet+xml" PartName="/xl/worksheets/sheet11626.xml"/>
  <Override ContentType="application/vnd.openxmlformats-officedocument.spreadsheetml.worksheet+xml" PartName="/xl/worksheets/sheet11627.xml"/>
  <Override ContentType="application/vnd.openxmlformats-officedocument.spreadsheetml.worksheet+xml" PartName="/xl/worksheets/sheet11628.xml"/>
  <Override ContentType="application/vnd.openxmlformats-officedocument.spreadsheetml.worksheet+xml" PartName="/xl/worksheets/sheet11629.xml"/>
  <Override ContentType="application/vnd.openxmlformats-officedocument.spreadsheetml.worksheet+xml" PartName="/xl/worksheets/sheet11630.xml"/>
  <Override ContentType="application/vnd.openxmlformats-officedocument.spreadsheetml.worksheet+xml" PartName="/xl/worksheets/sheet11631.xml"/>
  <Override ContentType="application/vnd.openxmlformats-officedocument.spreadsheetml.worksheet+xml" PartName="/xl/worksheets/sheet11632.xml"/>
  <Override ContentType="application/vnd.openxmlformats-officedocument.spreadsheetml.worksheet+xml" PartName="/xl/worksheets/sheet11633.xml"/>
  <Override ContentType="application/vnd.openxmlformats-officedocument.spreadsheetml.worksheet+xml" PartName="/xl/worksheets/sheet11634.xml"/>
  <Override ContentType="application/vnd.openxmlformats-officedocument.spreadsheetml.worksheet+xml" PartName="/xl/worksheets/sheet11635.xml"/>
  <Override ContentType="application/vnd.openxmlformats-officedocument.spreadsheetml.worksheet+xml" PartName="/xl/worksheets/sheet11636.xml"/>
  <Override ContentType="application/vnd.openxmlformats-officedocument.spreadsheetml.worksheet+xml" PartName="/xl/worksheets/sheet11637.xml"/>
  <Override ContentType="application/vnd.openxmlformats-officedocument.spreadsheetml.worksheet+xml" PartName="/xl/worksheets/sheet11638.xml"/>
  <Override ContentType="application/vnd.openxmlformats-officedocument.spreadsheetml.worksheet+xml" PartName="/xl/worksheets/sheet11639.xml"/>
  <Override ContentType="application/vnd.openxmlformats-officedocument.spreadsheetml.worksheet+xml" PartName="/xl/worksheets/sheet11640.xml"/>
  <Override ContentType="application/vnd.openxmlformats-officedocument.spreadsheetml.worksheet+xml" PartName="/xl/worksheets/sheet11641.xml"/>
  <Override ContentType="application/vnd.openxmlformats-officedocument.spreadsheetml.worksheet+xml" PartName="/xl/worksheets/sheet11642.xml"/>
  <Override ContentType="application/vnd.openxmlformats-officedocument.spreadsheetml.worksheet+xml" PartName="/xl/worksheets/sheet11643.xml"/>
  <Override ContentType="application/vnd.openxmlformats-officedocument.spreadsheetml.worksheet+xml" PartName="/xl/worksheets/sheet11644.xml"/>
  <Override ContentType="application/vnd.openxmlformats-officedocument.spreadsheetml.worksheet+xml" PartName="/xl/worksheets/sheet11645.xml"/>
  <Override ContentType="application/vnd.openxmlformats-officedocument.spreadsheetml.worksheet+xml" PartName="/xl/worksheets/sheet11646.xml"/>
  <Override ContentType="application/vnd.openxmlformats-officedocument.spreadsheetml.worksheet+xml" PartName="/xl/worksheets/sheet11647.xml"/>
  <Override ContentType="application/vnd.openxmlformats-officedocument.spreadsheetml.worksheet+xml" PartName="/xl/worksheets/sheet11648.xml"/>
  <Override ContentType="application/vnd.openxmlformats-officedocument.spreadsheetml.worksheet+xml" PartName="/xl/worksheets/sheet11649.xml"/>
  <Override ContentType="application/vnd.openxmlformats-officedocument.spreadsheetml.worksheet+xml" PartName="/xl/worksheets/sheet11650.xml"/>
  <Override ContentType="application/vnd.openxmlformats-officedocument.spreadsheetml.worksheet+xml" PartName="/xl/worksheets/sheet11651.xml"/>
  <Override ContentType="application/vnd.openxmlformats-officedocument.spreadsheetml.worksheet+xml" PartName="/xl/worksheets/sheet11652.xml"/>
  <Override ContentType="application/vnd.openxmlformats-officedocument.spreadsheetml.worksheet+xml" PartName="/xl/worksheets/sheet11653.xml"/>
  <Override ContentType="application/vnd.openxmlformats-officedocument.spreadsheetml.worksheet+xml" PartName="/xl/worksheets/sheet11654.xml"/>
  <Override ContentType="application/vnd.openxmlformats-officedocument.spreadsheetml.worksheet+xml" PartName="/xl/worksheets/sheet11655.xml"/>
  <Override ContentType="application/vnd.openxmlformats-officedocument.spreadsheetml.worksheet+xml" PartName="/xl/worksheets/sheet11656.xml"/>
  <Override ContentType="application/vnd.openxmlformats-officedocument.spreadsheetml.worksheet+xml" PartName="/xl/worksheets/sheet11657.xml"/>
  <Override ContentType="application/vnd.openxmlformats-officedocument.spreadsheetml.worksheet+xml" PartName="/xl/worksheets/sheet11658.xml"/>
  <Override ContentType="application/vnd.openxmlformats-officedocument.spreadsheetml.worksheet+xml" PartName="/xl/worksheets/sheet11659.xml"/>
  <Override ContentType="application/vnd.openxmlformats-officedocument.spreadsheetml.worksheet+xml" PartName="/xl/worksheets/sheet11660.xml"/>
  <Override ContentType="application/vnd.openxmlformats-officedocument.spreadsheetml.worksheet+xml" PartName="/xl/worksheets/sheet11661.xml"/>
  <Override ContentType="application/vnd.openxmlformats-officedocument.spreadsheetml.worksheet+xml" PartName="/xl/worksheets/sheet11662.xml"/>
  <Override ContentType="application/vnd.openxmlformats-officedocument.spreadsheetml.worksheet+xml" PartName="/xl/worksheets/sheet11663.xml"/>
  <Override ContentType="application/vnd.openxmlformats-officedocument.spreadsheetml.worksheet+xml" PartName="/xl/worksheets/sheet11664.xml"/>
  <Override ContentType="application/vnd.openxmlformats-officedocument.spreadsheetml.worksheet+xml" PartName="/xl/worksheets/sheet11665.xml"/>
  <Override ContentType="application/vnd.openxmlformats-officedocument.spreadsheetml.worksheet+xml" PartName="/xl/worksheets/sheet11666.xml"/>
  <Override ContentType="application/vnd.openxmlformats-officedocument.spreadsheetml.worksheet+xml" PartName="/xl/worksheets/sheet11667.xml"/>
  <Override ContentType="application/vnd.openxmlformats-officedocument.spreadsheetml.worksheet+xml" PartName="/xl/worksheets/sheet11668.xml"/>
  <Override ContentType="application/vnd.openxmlformats-officedocument.spreadsheetml.worksheet+xml" PartName="/xl/worksheets/sheet11669.xml"/>
  <Override ContentType="application/vnd.openxmlformats-officedocument.spreadsheetml.worksheet+xml" PartName="/xl/worksheets/sheet11670.xml"/>
  <Override ContentType="application/vnd.openxmlformats-officedocument.spreadsheetml.worksheet+xml" PartName="/xl/worksheets/sheet11671.xml"/>
  <Override ContentType="application/vnd.openxmlformats-officedocument.spreadsheetml.worksheet+xml" PartName="/xl/worksheets/sheet11672.xml"/>
  <Override ContentType="application/vnd.openxmlformats-officedocument.spreadsheetml.worksheet+xml" PartName="/xl/worksheets/sheet11673.xml"/>
  <Override ContentType="application/vnd.openxmlformats-officedocument.spreadsheetml.worksheet+xml" PartName="/xl/worksheets/sheet11674.xml"/>
  <Override ContentType="application/vnd.openxmlformats-officedocument.spreadsheetml.worksheet+xml" PartName="/xl/worksheets/sheet11675.xml"/>
  <Override ContentType="application/vnd.openxmlformats-officedocument.spreadsheetml.worksheet+xml" PartName="/xl/worksheets/sheet11676.xml"/>
  <Override ContentType="application/vnd.openxmlformats-officedocument.spreadsheetml.worksheet+xml" PartName="/xl/worksheets/sheet11677.xml"/>
  <Override ContentType="application/vnd.openxmlformats-officedocument.spreadsheetml.worksheet+xml" PartName="/xl/worksheets/sheet11678.xml"/>
  <Override ContentType="application/vnd.openxmlformats-officedocument.spreadsheetml.worksheet+xml" PartName="/xl/worksheets/sheet11679.xml"/>
  <Override ContentType="application/vnd.openxmlformats-officedocument.spreadsheetml.worksheet+xml" PartName="/xl/worksheets/sheet11680.xml"/>
  <Override ContentType="application/vnd.openxmlformats-officedocument.spreadsheetml.worksheet+xml" PartName="/xl/worksheets/sheet11681.xml"/>
  <Override ContentType="application/vnd.openxmlformats-officedocument.spreadsheetml.worksheet+xml" PartName="/xl/worksheets/sheet11682.xml"/>
  <Override ContentType="application/vnd.openxmlformats-officedocument.spreadsheetml.worksheet+xml" PartName="/xl/worksheets/sheet11683.xml"/>
  <Override ContentType="application/vnd.openxmlformats-officedocument.spreadsheetml.worksheet+xml" PartName="/xl/worksheets/sheet11684.xml"/>
  <Override ContentType="application/vnd.openxmlformats-officedocument.spreadsheetml.worksheet+xml" PartName="/xl/worksheets/sheet11685.xml"/>
  <Override ContentType="application/vnd.openxmlformats-officedocument.spreadsheetml.worksheet+xml" PartName="/xl/worksheets/sheet11686.xml"/>
  <Override ContentType="application/vnd.openxmlformats-officedocument.spreadsheetml.worksheet+xml" PartName="/xl/worksheets/sheet11687.xml"/>
  <Override ContentType="application/vnd.openxmlformats-officedocument.spreadsheetml.worksheet+xml" PartName="/xl/worksheets/sheet11688.xml"/>
  <Override ContentType="application/vnd.openxmlformats-officedocument.spreadsheetml.worksheet+xml" PartName="/xl/worksheets/sheet11689.xml"/>
  <Override ContentType="application/vnd.openxmlformats-officedocument.spreadsheetml.worksheet+xml" PartName="/xl/worksheets/sheet11690.xml"/>
  <Override ContentType="application/vnd.openxmlformats-officedocument.spreadsheetml.worksheet+xml" PartName="/xl/worksheets/sheet11691.xml"/>
  <Override ContentType="application/vnd.openxmlformats-officedocument.spreadsheetml.worksheet+xml" PartName="/xl/worksheets/sheet11692.xml"/>
  <Override ContentType="application/vnd.openxmlformats-officedocument.spreadsheetml.worksheet+xml" PartName="/xl/worksheets/sheet11693.xml"/>
  <Override ContentType="application/vnd.openxmlformats-officedocument.spreadsheetml.worksheet+xml" PartName="/xl/worksheets/sheet11694.xml"/>
  <Override ContentType="application/vnd.openxmlformats-officedocument.spreadsheetml.worksheet+xml" PartName="/xl/worksheets/sheet11695.xml"/>
  <Override ContentType="application/vnd.openxmlformats-officedocument.spreadsheetml.worksheet+xml" PartName="/xl/worksheets/sheet11696.xml"/>
  <Override ContentType="application/vnd.openxmlformats-officedocument.spreadsheetml.worksheet+xml" PartName="/xl/worksheets/sheet11697.xml"/>
  <Override ContentType="application/vnd.openxmlformats-officedocument.spreadsheetml.worksheet+xml" PartName="/xl/worksheets/sheet11698.xml"/>
  <Override ContentType="application/vnd.openxmlformats-officedocument.spreadsheetml.worksheet+xml" PartName="/xl/worksheets/sheet11699.xml"/>
  <Override ContentType="application/vnd.openxmlformats-officedocument.spreadsheetml.worksheet+xml" PartName="/xl/worksheets/sheet11700.xml"/>
  <Override ContentType="application/vnd.openxmlformats-officedocument.spreadsheetml.worksheet+xml" PartName="/xl/worksheets/sheet11701.xml"/>
  <Override ContentType="application/vnd.openxmlformats-officedocument.spreadsheetml.worksheet+xml" PartName="/xl/worksheets/sheet11702.xml"/>
  <Override ContentType="application/vnd.openxmlformats-officedocument.spreadsheetml.worksheet+xml" PartName="/xl/worksheets/sheet11703.xml"/>
  <Override ContentType="application/vnd.openxmlformats-officedocument.spreadsheetml.worksheet+xml" PartName="/xl/worksheets/sheet11704.xml"/>
  <Override ContentType="application/vnd.openxmlformats-officedocument.spreadsheetml.worksheet+xml" PartName="/xl/worksheets/sheet11705.xml"/>
  <Override ContentType="application/vnd.openxmlformats-officedocument.spreadsheetml.worksheet+xml" PartName="/xl/worksheets/sheet11706.xml"/>
  <Override ContentType="application/vnd.openxmlformats-officedocument.spreadsheetml.worksheet+xml" PartName="/xl/worksheets/sheet11707.xml"/>
  <Override ContentType="application/vnd.openxmlformats-officedocument.spreadsheetml.worksheet+xml" PartName="/xl/worksheets/sheet11708.xml"/>
  <Override ContentType="application/vnd.openxmlformats-officedocument.spreadsheetml.worksheet+xml" PartName="/xl/worksheets/sheet11709.xml"/>
  <Override ContentType="application/vnd.openxmlformats-officedocument.spreadsheetml.worksheet+xml" PartName="/xl/worksheets/sheet11710.xml"/>
  <Override ContentType="application/vnd.openxmlformats-officedocument.spreadsheetml.worksheet+xml" PartName="/xl/worksheets/sheet11711.xml"/>
  <Override ContentType="application/vnd.openxmlformats-officedocument.spreadsheetml.worksheet+xml" PartName="/xl/worksheets/sheet11712.xml"/>
  <Override ContentType="application/vnd.openxmlformats-officedocument.spreadsheetml.worksheet+xml" PartName="/xl/worksheets/sheet11713.xml"/>
  <Override ContentType="application/vnd.openxmlformats-officedocument.spreadsheetml.worksheet+xml" PartName="/xl/worksheets/sheet11714.xml"/>
  <Override ContentType="application/vnd.openxmlformats-officedocument.spreadsheetml.worksheet+xml" PartName="/xl/worksheets/sheet11715.xml"/>
  <Override ContentType="application/vnd.openxmlformats-officedocument.spreadsheetml.worksheet+xml" PartName="/xl/worksheets/sheet11716.xml"/>
  <Override ContentType="application/vnd.openxmlformats-officedocument.spreadsheetml.worksheet+xml" PartName="/xl/worksheets/sheet11717.xml"/>
  <Override ContentType="application/vnd.openxmlformats-officedocument.spreadsheetml.worksheet+xml" PartName="/xl/worksheets/sheet11718.xml"/>
  <Override ContentType="application/vnd.openxmlformats-officedocument.spreadsheetml.worksheet+xml" PartName="/xl/worksheets/sheet11719.xml"/>
  <Override ContentType="application/vnd.openxmlformats-officedocument.spreadsheetml.worksheet+xml" PartName="/xl/worksheets/sheet11720.xml"/>
  <Override ContentType="application/vnd.openxmlformats-officedocument.spreadsheetml.worksheet+xml" PartName="/xl/worksheets/sheet11721.xml"/>
  <Override ContentType="application/vnd.openxmlformats-officedocument.spreadsheetml.worksheet+xml" PartName="/xl/worksheets/sheet11722.xml"/>
  <Override ContentType="application/vnd.openxmlformats-officedocument.spreadsheetml.worksheet+xml" PartName="/xl/worksheets/sheet11723.xml"/>
  <Override ContentType="application/vnd.openxmlformats-officedocument.spreadsheetml.worksheet+xml" PartName="/xl/worksheets/sheet11724.xml"/>
  <Override ContentType="application/vnd.openxmlformats-officedocument.spreadsheetml.worksheet+xml" PartName="/xl/worksheets/sheet11725.xml"/>
  <Override ContentType="application/vnd.openxmlformats-officedocument.spreadsheetml.worksheet+xml" PartName="/xl/worksheets/sheet11726.xml"/>
  <Override ContentType="application/vnd.openxmlformats-officedocument.spreadsheetml.worksheet+xml" PartName="/xl/worksheets/sheet11727.xml"/>
  <Override ContentType="application/vnd.openxmlformats-officedocument.spreadsheetml.worksheet+xml" PartName="/xl/worksheets/sheet11728.xml"/>
  <Override ContentType="application/vnd.openxmlformats-officedocument.spreadsheetml.worksheet+xml" PartName="/xl/worksheets/sheet11729.xml"/>
  <Override ContentType="application/vnd.openxmlformats-officedocument.spreadsheetml.worksheet+xml" PartName="/xl/worksheets/sheet11730.xml"/>
  <Override ContentType="application/vnd.openxmlformats-officedocument.spreadsheetml.worksheet+xml" PartName="/xl/worksheets/sheet11731.xml"/>
  <Override ContentType="application/vnd.openxmlformats-officedocument.spreadsheetml.worksheet+xml" PartName="/xl/worksheets/sheet11732.xml"/>
  <Override ContentType="application/vnd.openxmlformats-officedocument.spreadsheetml.worksheet+xml" PartName="/xl/worksheets/sheet11733.xml"/>
  <Override ContentType="application/vnd.openxmlformats-officedocument.spreadsheetml.worksheet+xml" PartName="/xl/worksheets/sheet11734.xml"/>
  <Override ContentType="application/vnd.openxmlformats-officedocument.spreadsheetml.worksheet+xml" PartName="/xl/worksheets/sheet11735.xml"/>
  <Override ContentType="application/vnd.openxmlformats-officedocument.spreadsheetml.worksheet+xml" PartName="/xl/worksheets/sheet11736.xml"/>
  <Override ContentType="application/vnd.openxmlformats-officedocument.spreadsheetml.worksheet+xml" PartName="/xl/worksheets/sheet11737.xml"/>
  <Override ContentType="application/vnd.openxmlformats-officedocument.spreadsheetml.worksheet+xml" PartName="/xl/worksheets/sheet11738.xml"/>
  <Override ContentType="application/vnd.openxmlformats-officedocument.spreadsheetml.worksheet+xml" PartName="/xl/worksheets/sheet11739.xml"/>
  <Override ContentType="application/vnd.openxmlformats-officedocument.spreadsheetml.worksheet+xml" PartName="/xl/worksheets/sheet11740.xml"/>
  <Override ContentType="application/vnd.openxmlformats-officedocument.spreadsheetml.worksheet+xml" PartName="/xl/worksheets/sheet11741.xml"/>
  <Override ContentType="application/vnd.openxmlformats-officedocument.spreadsheetml.worksheet+xml" PartName="/xl/worksheets/sheet11742.xml"/>
  <Override ContentType="application/vnd.openxmlformats-officedocument.spreadsheetml.worksheet+xml" PartName="/xl/worksheets/sheet11743.xml"/>
  <Override ContentType="application/vnd.openxmlformats-officedocument.spreadsheetml.worksheet+xml" PartName="/xl/worksheets/sheet11744.xml"/>
  <Override ContentType="application/vnd.openxmlformats-officedocument.spreadsheetml.worksheet+xml" PartName="/xl/worksheets/sheet11745.xml"/>
  <Override ContentType="application/vnd.openxmlformats-officedocument.spreadsheetml.worksheet+xml" PartName="/xl/worksheets/sheet11746.xml"/>
  <Override ContentType="application/vnd.openxmlformats-officedocument.spreadsheetml.worksheet+xml" PartName="/xl/worksheets/sheet11747.xml"/>
  <Override ContentType="application/vnd.openxmlformats-officedocument.spreadsheetml.worksheet+xml" PartName="/xl/worksheets/sheet11748.xml"/>
  <Override ContentType="application/vnd.openxmlformats-officedocument.spreadsheetml.worksheet+xml" PartName="/xl/worksheets/sheet11749.xml"/>
  <Override ContentType="application/vnd.openxmlformats-officedocument.spreadsheetml.worksheet+xml" PartName="/xl/worksheets/sheet11750.xml"/>
  <Override ContentType="application/vnd.openxmlformats-officedocument.spreadsheetml.worksheet+xml" PartName="/xl/worksheets/sheet11751.xml"/>
  <Override ContentType="application/vnd.openxmlformats-officedocument.spreadsheetml.worksheet+xml" PartName="/xl/worksheets/sheet11752.xml"/>
  <Override ContentType="application/vnd.openxmlformats-officedocument.spreadsheetml.worksheet+xml" PartName="/xl/worksheets/sheet11753.xml"/>
  <Override ContentType="application/vnd.openxmlformats-officedocument.spreadsheetml.worksheet+xml" PartName="/xl/worksheets/sheet11754.xml"/>
  <Override ContentType="application/vnd.openxmlformats-officedocument.spreadsheetml.worksheet+xml" PartName="/xl/worksheets/sheet11755.xml"/>
  <Override ContentType="application/vnd.openxmlformats-officedocument.spreadsheetml.worksheet+xml" PartName="/xl/worksheets/sheet11756.xml"/>
  <Override ContentType="application/vnd.openxmlformats-officedocument.spreadsheetml.worksheet+xml" PartName="/xl/worksheets/sheet11757.xml"/>
  <Override ContentType="application/vnd.openxmlformats-officedocument.spreadsheetml.worksheet+xml" PartName="/xl/worksheets/sheet11758.xml"/>
  <Override ContentType="application/vnd.openxmlformats-officedocument.spreadsheetml.worksheet+xml" PartName="/xl/worksheets/sheet11759.xml"/>
  <Override ContentType="application/vnd.openxmlformats-officedocument.spreadsheetml.worksheet+xml" PartName="/xl/worksheets/sheet11760.xml"/>
  <Override ContentType="application/vnd.openxmlformats-officedocument.spreadsheetml.worksheet+xml" PartName="/xl/worksheets/sheet11761.xml"/>
  <Override ContentType="application/vnd.openxmlformats-officedocument.spreadsheetml.worksheet+xml" PartName="/xl/worksheets/sheet11762.xml"/>
  <Override ContentType="application/vnd.openxmlformats-officedocument.spreadsheetml.worksheet+xml" PartName="/xl/worksheets/sheet11763.xml"/>
  <Override ContentType="application/vnd.openxmlformats-officedocument.spreadsheetml.worksheet+xml" PartName="/xl/worksheets/sheet11764.xml"/>
  <Override ContentType="application/vnd.openxmlformats-officedocument.spreadsheetml.worksheet+xml" PartName="/xl/worksheets/sheet11765.xml"/>
  <Override ContentType="application/vnd.openxmlformats-officedocument.spreadsheetml.worksheet+xml" PartName="/xl/worksheets/sheet11766.xml"/>
  <Override ContentType="application/vnd.openxmlformats-officedocument.spreadsheetml.worksheet+xml" PartName="/xl/worksheets/sheet11767.xml"/>
  <Override ContentType="application/vnd.openxmlformats-officedocument.spreadsheetml.worksheet+xml" PartName="/xl/worksheets/sheet11768.xml"/>
  <Override ContentType="application/vnd.openxmlformats-officedocument.spreadsheetml.worksheet+xml" PartName="/xl/worksheets/sheet11769.xml"/>
  <Override ContentType="application/vnd.openxmlformats-officedocument.spreadsheetml.worksheet+xml" PartName="/xl/worksheets/sheet11770.xml"/>
  <Override ContentType="application/vnd.openxmlformats-officedocument.spreadsheetml.worksheet+xml" PartName="/xl/worksheets/sheet11771.xml"/>
  <Override ContentType="application/vnd.openxmlformats-officedocument.spreadsheetml.worksheet+xml" PartName="/xl/worksheets/sheet11772.xml"/>
  <Override ContentType="application/vnd.openxmlformats-officedocument.spreadsheetml.worksheet+xml" PartName="/xl/worksheets/sheet11773.xml"/>
  <Override ContentType="application/vnd.openxmlformats-officedocument.spreadsheetml.worksheet+xml" PartName="/xl/worksheets/sheet11774.xml"/>
  <Override ContentType="application/vnd.openxmlformats-officedocument.spreadsheetml.worksheet+xml" PartName="/xl/worksheets/sheet11775.xml"/>
  <Override ContentType="application/vnd.openxmlformats-officedocument.spreadsheetml.worksheet+xml" PartName="/xl/worksheets/sheet11776.xml"/>
  <Override ContentType="application/vnd.openxmlformats-officedocument.spreadsheetml.worksheet+xml" PartName="/xl/worksheets/sheet11777.xml"/>
  <Override ContentType="application/vnd.openxmlformats-officedocument.spreadsheetml.worksheet+xml" PartName="/xl/worksheets/sheet11778.xml"/>
  <Override ContentType="application/vnd.openxmlformats-officedocument.spreadsheetml.worksheet+xml" PartName="/xl/worksheets/sheet11779.xml"/>
  <Override ContentType="application/vnd.openxmlformats-officedocument.spreadsheetml.worksheet+xml" PartName="/xl/worksheets/sheet11780.xml"/>
  <Override ContentType="application/vnd.openxmlformats-officedocument.spreadsheetml.worksheet+xml" PartName="/xl/worksheets/sheet11781.xml"/>
  <Override ContentType="application/vnd.openxmlformats-officedocument.spreadsheetml.worksheet+xml" PartName="/xl/worksheets/sheet11782.xml"/>
  <Override ContentType="application/vnd.openxmlformats-officedocument.spreadsheetml.worksheet+xml" PartName="/xl/worksheets/sheet11783.xml"/>
  <Override ContentType="application/vnd.openxmlformats-officedocument.spreadsheetml.worksheet+xml" PartName="/xl/worksheets/sheet11784.xml"/>
  <Override ContentType="application/vnd.openxmlformats-officedocument.spreadsheetml.worksheet+xml" PartName="/xl/worksheets/sheet11785.xml"/>
  <Override ContentType="application/vnd.openxmlformats-officedocument.spreadsheetml.worksheet+xml" PartName="/xl/worksheets/sheet11786.xml"/>
  <Override ContentType="application/vnd.openxmlformats-officedocument.spreadsheetml.worksheet+xml" PartName="/xl/worksheets/sheet11787.xml"/>
  <Override ContentType="application/vnd.openxmlformats-officedocument.spreadsheetml.worksheet+xml" PartName="/xl/worksheets/sheet11788.xml"/>
  <Override ContentType="application/vnd.openxmlformats-officedocument.spreadsheetml.worksheet+xml" PartName="/xl/worksheets/sheet11789.xml"/>
  <Override ContentType="application/vnd.openxmlformats-officedocument.spreadsheetml.worksheet+xml" PartName="/xl/worksheets/sheet11790.xml"/>
  <Override ContentType="application/vnd.openxmlformats-officedocument.spreadsheetml.worksheet+xml" PartName="/xl/worksheets/sheet11791.xml"/>
  <Override ContentType="application/vnd.openxmlformats-officedocument.spreadsheetml.worksheet+xml" PartName="/xl/worksheets/sheet11792.xml"/>
  <Override ContentType="application/vnd.openxmlformats-officedocument.spreadsheetml.worksheet+xml" PartName="/xl/worksheets/sheet11793.xml"/>
  <Override ContentType="application/vnd.openxmlformats-officedocument.spreadsheetml.worksheet+xml" PartName="/xl/worksheets/sheet11794.xml"/>
  <Override ContentType="application/vnd.openxmlformats-officedocument.spreadsheetml.worksheet+xml" PartName="/xl/worksheets/sheet11795.xml"/>
  <Override ContentType="application/vnd.openxmlformats-officedocument.spreadsheetml.worksheet+xml" PartName="/xl/worksheets/sheet11796.xml"/>
  <Override ContentType="application/vnd.openxmlformats-officedocument.spreadsheetml.worksheet+xml" PartName="/xl/worksheets/sheet11797.xml"/>
  <Override ContentType="application/vnd.openxmlformats-officedocument.spreadsheetml.worksheet+xml" PartName="/xl/worksheets/sheet11798.xml"/>
  <Override ContentType="application/vnd.openxmlformats-officedocument.spreadsheetml.worksheet+xml" PartName="/xl/worksheets/sheet11799.xml"/>
  <Override ContentType="application/vnd.openxmlformats-officedocument.spreadsheetml.worksheet+xml" PartName="/xl/worksheets/sheet11800.xml"/>
  <Override ContentType="application/vnd.openxmlformats-officedocument.spreadsheetml.worksheet+xml" PartName="/xl/worksheets/sheet11801.xml"/>
  <Override ContentType="application/vnd.openxmlformats-officedocument.spreadsheetml.worksheet+xml" PartName="/xl/worksheets/sheet11802.xml"/>
  <Override ContentType="application/vnd.openxmlformats-officedocument.spreadsheetml.worksheet+xml" PartName="/xl/worksheets/sheet11803.xml"/>
  <Override ContentType="application/vnd.openxmlformats-officedocument.spreadsheetml.worksheet+xml" PartName="/xl/worksheets/sheet11804.xml"/>
  <Override ContentType="application/vnd.openxmlformats-officedocument.spreadsheetml.worksheet+xml" PartName="/xl/worksheets/sheet11805.xml"/>
  <Override ContentType="application/vnd.openxmlformats-officedocument.spreadsheetml.worksheet+xml" PartName="/xl/worksheets/sheet11806.xml"/>
  <Override ContentType="application/vnd.openxmlformats-officedocument.spreadsheetml.worksheet+xml" PartName="/xl/worksheets/sheet11807.xml"/>
  <Override ContentType="application/vnd.openxmlformats-officedocument.spreadsheetml.worksheet+xml" PartName="/xl/worksheets/sheet11808.xml"/>
  <Override ContentType="application/vnd.openxmlformats-officedocument.spreadsheetml.worksheet+xml" PartName="/xl/worksheets/sheet11809.xml"/>
  <Override ContentType="application/vnd.openxmlformats-officedocument.spreadsheetml.worksheet+xml" PartName="/xl/worksheets/sheet11810.xml"/>
  <Override ContentType="application/vnd.openxmlformats-officedocument.spreadsheetml.worksheet+xml" PartName="/xl/worksheets/sheet11811.xml"/>
  <Override ContentType="application/vnd.openxmlformats-officedocument.spreadsheetml.worksheet+xml" PartName="/xl/worksheets/sheet11812.xml"/>
  <Override ContentType="application/vnd.openxmlformats-officedocument.spreadsheetml.worksheet+xml" PartName="/xl/worksheets/sheet11813.xml"/>
  <Override ContentType="application/vnd.openxmlformats-officedocument.spreadsheetml.worksheet+xml" PartName="/xl/worksheets/sheet11814.xml"/>
  <Override ContentType="application/vnd.openxmlformats-officedocument.spreadsheetml.worksheet+xml" PartName="/xl/worksheets/sheet11815.xml"/>
  <Override ContentType="application/vnd.openxmlformats-officedocument.spreadsheetml.worksheet+xml" PartName="/xl/worksheets/sheet11816.xml"/>
  <Override ContentType="application/vnd.openxmlformats-officedocument.spreadsheetml.worksheet+xml" PartName="/xl/worksheets/sheet11817.xml"/>
  <Override ContentType="application/vnd.openxmlformats-officedocument.spreadsheetml.worksheet+xml" PartName="/xl/worksheets/sheet11818.xml"/>
  <Override ContentType="application/vnd.openxmlformats-officedocument.spreadsheetml.worksheet+xml" PartName="/xl/worksheets/sheet11819.xml"/>
  <Override ContentType="application/vnd.openxmlformats-officedocument.spreadsheetml.worksheet+xml" PartName="/xl/worksheets/sheet11820.xml"/>
  <Override ContentType="application/vnd.openxmlformats-officedocument.spreadsheetml.worksheet+xml" PartName="/xl/worksheets/sheet11821.xml"/>
  <Override ContentType="application/vnd.openxmlformats-officedocument.spreadsheetml.worksheet+xml" PartName="/xl/worksheets/sheet11822.xml"/>
  <Override ContentType="application/vnd.openxmlformats-officedocument.spreadsheetml.worksheet+xml" PartName="/xl/worksheets/sheet11823.xml"/>
  <Override ContentType="application/vnd.openxmlformats-officedocument.spreadsheetml.worksheet+xml" PartName="/xl/worksheets/sheet11824.xml"/>
  <Override ContentType="application/vnd.openxmlformats-officedocument.spreadsheetml.worksheet+xml" PartName="/xl/worksheets/sheet11825.xml"/>
  <Override ContentType="application/vnd.openxmlformats-officedocument.spreadsheetml.worksheet+xml" PartName="/xl/worksheets/sheet11826.xml"/>
  <Override ContentType="application/vnd.openxmlformats-officedocument.spreadsheetml.worksheet+xml" PartName="/xl/worksheets/sheet11827.xml"/>
  <Override ContentType="application/vnd.openxmlformats-officedocument.spreadsheetml.worksheet+xml" PartName="/xl/worksheets/sheet11828.xml"/>
  <Override ContentType="application/vnd.openxmlformats-officedocument.spreadsheetml.worksheet+xml" PartName="/xl/worksheets/sheet11829.xml"/>
  <Override ContentType="application/vnd.openxmlformats-officedocument.spreadsheetml.worksheet+xml" PartName="/xl/worksheets/sheet11830.xml"/>
  <Override ContentType="application/vnd.openxmlformats-officedocument.spreadsheetml.worksheet+xml" PartName="/xl/worksheets/sheet11831.xml"/>
  <Override ContentType="application/vnd.openxmlformats-officedocument.spreadsheetml.worksheet+xml" PartName="/xl/worksheets/sheet11832.xml"/>
  <Override ContentType="application/vnd.openxmlformats-officedocument.spreadsheetml.worksheet+xml" PartName="/xl/worksheets/sheet11833.xml"/>
  <Override ContentType="application/vnd.openxmlformats-officedocument.spreadsheetml.worksheet+xml" PartName="/xl/worksheets/sheet11834.xml"/>
  <Override ContentType="application/vnd.openxmlformats-officedocument.spreadsheetml.worksheet+xml" PartName="/xl/worksheets/sheet11835.xml"/>
  <Override ContentType="application/vnd.openxmlformats-officedocument.spreadsheetml.worksheet+xml" PartName="/xl/worksheets/sheet11836.xml"/>
  <Override ContentType="application/vnd.openxmlformats-officedocument.spreadsheetml.worksheet+xml" PartName="/xl/worksheets/sheet11837.xml"/>
  <Override ContentType="application/vnd.openxmlformats-officedocument.spreadsheetml.worksheet+xml" PartName="/xl/worksheets/sheet11838.xml"/>
  <Override ContentType="application/vnd.openxmlformats-officedocument.spreadsheetml.worksheet+xml" PartName="/xl/worksheets/sheet11839.xml"/>
  <Override ContentType="application/vnd.openxmlformats-officedocument.spreadsheetml.worksheet+xml" PartName="/xl/worksheets/sheet11840.xml"/>
  <Override ContentType="application/vnd.openxmlformats-officedocument.spreadsheetml.worksheet+xml" PartName="/xl/worksheets/sheet11841.xml"/>
  <Override ContentType="application/vnd.openxmlformats-officedocument.spreadsheetml.worksheet+xml" PartName="/xl/worksheets/sheet11842.xml"/>
  <Override ContentType="application/vnd.openxmlformats-officedocument.spreadsheetml.worksheet+xml" PartName="/xl/worksheets/sheet11843.xml"/>
  <Override ContentType="application/vnd.openxmlformats-officedocument.spreadsheetml.worksheet+xml" PartName="/xl/worksheets/sheet11844.xml"/>
  <Override ContentType="application/vnd.openxmlformats-officedocument.spreadsheetml.worksheet+xml" PartName="/xl/worksheets/sheet11845.xml"/>
  <Override ContentType="application/vnd.openxmlformats-officedocument.spreadsheetml.worksheet+xml" PartName="/xl/worksheets/sheet11846.xml"/>
  <Override ContentType="application/vnd.openxmlformats-officedocument.spreadsheetml.worksheet+xml" PartName="/xl/worksheets/sheet11847.xml"/>
  <Override ContentType="application/vnd.openxmlformats-officedocument.spreadsheetml.worksheet+xml" PartName="/xl/worksheets/sheet11848.xml"/>
  <Override ContentType="application/vnd.openxmlformats-officedocument.spreadsheetml.worksheet+xml" PartName="/xl/worksheets/sheet11849.xml"/>
  <Override ContentType="application/vnd.openxmlformats-officedocument.spreadsheetml.worksheet+xml" PartName="/xl/worksheets/sheet11850.xml"/>
  <Override ContentType="application/vnd.openxmlformats-officedocument.spreadsheetml.worksheet+xml" PartName="/xl/worksheets/sheet11851.xml"/>
  <Override ContentType="application/vnd.openxmlformats-officedocument.spreadsheetml.worksheet+xml" PartName="/xl/worksheets/sheet11852.xml"/>
  <Override ContentType="application/vnd.openxmlformats-officedocument.spreadsheetml.worksheet+xml" PartName="/xl/worksheets/sheet11853.xml"/>
  <Override ContentType="application/vnd.openxmlformats-officedocument.spreadsheetml.worksheet+xml" PartName="/xl/worksheets/sheet11854.xml"/>
  <Override ContentType="application/vnd.openxmlformats-officedocument.spreadsheetml.worksheet+xml" PartName="/xl/worksheets/sheet11855.xml"/>
  <Override ContentType="application/vnd.openxmlformats-officedocument.spreadsheetml.worksheet+xml" PartName="/xl/worksheets/sheet11856.xml"/>
  <Override ContentType="application/vnd.openxmlformats-officedocument.spreadsheetml.worksheet+xml" PartName="/xl/worksheets/sheet11857.xml"/>
  <Override ContentType="application/vnd.openxmlformats-officedocument.spreadsheetml.worksheet+xml" PartName="/xl/worksheets/sheet11858.xml"/>
  <Override ContentType="application/vnd.openxmlformats-officedocument.spreadsheetml.worksheet+xml" PartName="/xl/worksheets/sheet11859.xml"/>
  <Override ContentType="application/vnd.openxmlformats-officedocument.spreadsheetml.worksheet+xml" PartName="/xl/worksheets/sheet11860.xml"/>
  <Override ContentType="application/vnd.openxmlformats-officedocument.spreadsheetml.worksheet+xml" PartName="/xl/worksheets/sheet11861.xml"/>
  <Override ContentType="application/vnd.openxmlformats-officedocument.spreadsheetml.worksheet+xml" PartName="/xl/worksheets/sheet11862.xml"/>
  <Override ContentType="application/vnd.openxmlformats-officedocument.spreadsheetml.worksheet+xml" PartName="/xl/worksheets/sheet11863.xml"/>
  <Override ContentType="application/vnd.openxmlformats-officedocument.spreadsheetml.worksheet+xml" PartName="/xl/worksheets/sheet11864.xml"/>
  <Override ContentType="application/vnd.openxmlformats-officedocument.spreadsheetml.worksheet+xml" PartName="/xl/worksheets/sheet11865.xml"/>
  <Override ContentType="application/vnd.openxmlformats-officedocument.spreadsheetml.worksheet+xml" PartName="/xl/worksheets/sheet11866.xml"/>
  <Override ContentType="application/vnd.openxmlformats-officedocument.spreadsheetml.worksheet+xml" PartName="/xl/worksheets/sheet11867.xml"/>
  <Override ContentType="application/vnd.openxmlformats-officedocument.spreadsheetml.worksheet+xml" PartName="/xl/worksheets/sheet11868.xml"/>
  <Override ContentType="application/vnd.openxmlformats-officedocument.spreadsheetml.worksheet+xml" PartName="/xl/worksheets/sheet11869.xml"/>
  <Override ContentType="application/vnd.openxmlformats-officedocument.spreadsheetml.worksheet+xml" PartName="/xl/worksheets/sheet11870.xml"/>
  <Override ContentType="application/vnd.openxmlformats-officedocument.spreadsheetml.worksheet+xml" PartName="/xl/worksheets/sheet11871.xml"/>
  <Override ContentType="application/vnd.openxmlformats-officedocument.spreadsheetml.worksheet+xml" PartName="/xl/worksheets/sheet11872.xml"/>
  <Override ContentType="application/vnd.openxmlformats-officedocument.spreadsheetml.worksheet+xml" PartName="/xl/worksheets/sheet11873.xml"/>
  <Override ContentType="application/vnd.openxmlformats-officedocument.spreadsheetml.worksheet+xml" PartName="/xl/worksheets/sheet11874.xml"/>
  <Override ContentType="application/vnd.openxmlformats-officedocument.spreadsheetml.worksheet+xml" PartName="/xl/worksheets/sheet11875.xml"/>
  <Override ContentType="application/vnd.openxmlformats-officedocument.spreadsheetml.worksheet+xml" PartName="/xl/worksheets/sheet11876.xml"/>
  <Override ContentType="application/vnd.openxmlformats-officedocument.spreadsheetml.worksheet+xml" PartName="/xl/worksheets/sheet11877.xml"/>
  <Override ContentType="application/vnd.openxmlformats-officedocument.spreadsheetml.worksheet+xml" PartName="/xl/worksheets/sheet11878.xml"/>
  <Override ContentType="application/vnd.openxmlformats-officedocument.spreadsheetml.worksheet+xml" PartName="/xl/worksheets/sheet11879.xml"/>
  <Override ContentType="application/vnd.openxmlformats-officedocument.spreadsheetml.worksheet+xml" PartName="/xl/worksheets/sheet11880.xml"/>
  <Override ContentType="application/vnd.openxmlformats-officedocument.spreadsheetml.worksheet+xml" PartName="/xl/worksheets/sheet11881.xml"/>
  <Override ContentType="application/vnd.openxmlformats-officedocument.spreadsheetml.worksheet+xml" PartName="/xl/worksheets/sheet11882.xml"/>
  <Override ContentType="application/vnd.openxmlformats-officedocument.spreadsheetml.worksheet+xml" PartName="/xl/worksheets/sheet11883.xml"/>
  <Override ContentType="application/vnd.openxmlformats-officedocument.spreadsheetml.worksheet+xml" PartName="/xl/worksheets/sheet11884.xml"/>
  <Override ContentType="application/vnd.openxmlformats-officedocument.spreadsheetml.worksheet+xml" PartName="/xl/worksheets/sheet11885.xml"/>
  <Override ContentType="application/vnd.openxmlformats-officedocument.spreadsheetml.worksheet+xml" PartName="/xl/worksheets/sheet11886.xml"/>
  <Override ContentType="application/vnd.openxmlformats-officedocument.spreadsheetml.worksheet+xml" PartName="/xl/worksheets/sheet11887.xml"/>
  <Override ContentType="application/vnd.openxmlformats-officedocument.spreadsheetml.worksheet+xml" PartName="/xl/worksheets/sheet11888.xml"/>
  <Override ContentType="application/vnd.openxmlformats-officedocument.spreadsheetml.worksheet+xml" PartName="/xl/worksheets/sheet11889.xml"/>
  <Override ContentType="application/vnd.openxmlformats-officedocument.spreadsheetml.worksheet+xml" PartName="/xl/worksheets/sheet11890.xml"/>
  <Override ContentType="application/vnd.openxmlformats-officedocument.spreadsheetml.worksheet+xml" PartName="/xl/worksheets/sheet11891.xml"/>
  <Override ContentType="application/vnd.openxmlformats-officedocument.spreadsheetml.worksheet+xml" PartName="/xl/worksheets/sheet11892.xml"/>
  <Override ContentType="application/vnd.openxmlformats-officedocument.spreadsheetml.worksheet+xml" PartName="/xl/worksheets/sheet11893.xml"/>
  <Override ContentType="application/vnd.openxmlformats-officedocument.spreadsheetml.worksheet+xml" PartName="/xl/worksheets/sheet11894.xml"/>
  <Override ContentType="application/vnd.openxmlformats-officedocument.spreadsheetml.worksheet+xml" PartName="/xl/worksheets/sheet11895.xml"/>
  <Override ContentType="application/vnd.openxmlformats-officedocument.spreadsheetml.worksheet+xml" PartName="/xl/worksheets/sheet11896.xml"/>
  <Override ContentType="application/vnd.openxmlformats-officedocument.spreadsheetml.worksheet+xml" PartName="/xl/worksheets/sheet11897.xml"/>
  <Override ContentType="application/vnd.openxmlformats-officedocument.spreadsheetml.worksheet+xml" PartName="/xl/worksheets/sheet11898.xml"/>
  <Override ContentType="application/vnd.openxmlformats-officedocument.spreadsheetml.worksheet+xml" PartName="/xl/worksheets/sheet11899.xml"/>
  <Override ContentType="application/vnd.openxmlformats-officedocument.spreadsheetml.worksheet+xml" PartName="/xl/worksheets/sheet11900.xml"/>
  <Override ContentType="application/vnd.openxmlformats-officedocument.spreadsheetml.worksheet+xml" PartName="/xl/worksheets/sheet11901.xml"/>
  <Override ContentType="application/vnd.openxmlformats-officedocument.spreadsheetml.worksheet+xml" PartName="/xl/worksheets/sheet11902.xml"/>
  <Override ContentType="application/vnd.openxmlformats-officedocument.spreadsheetml.worksheet+xml" PartName="/xl/worksheets/sheet11903.xml"/>
  <Override ContentType="application/vnd.openxmlformats-officedocument.spreadsheetml.worksheet+xml" PartName="/xl/worksheets/sheet11904.xml"/>
  <Override ContentType="application/vnd.openxmlformats-officedocument.spreadsheetml.worksheet+xml" PartName="/xl/worksheets/sheet11905.xml"/>
  <Override ContentType="application/vnd.openxmlformats-officedocument.spreadsheetml.worksheet+xml" PartName="/xl/worksheets/sheet11906.xml"/>
  <Override ContentType="application/vnd.openxmlformats-officedocument.spreadsheetml.worksheet+xml" PartName="/xl/worksheets/sheet11907.xml"/>
  <Override ContentType="application/vnd.openxmlformats-officedocument.spreadsheetml.worksheet+xml" PartName="/xl/worksheets/sheet11908.xml"/>
  <Override ContentType="application/vnd.openxmlformats-officedocument.spreadsheetml.worksheet+xml" PartName="/xl/worksheets/sheet11909.xml"/>
  <Override ContentType="application/vnd.openxmlformats-officedocument.spreadsheetml.worksheet+xml" PartName="/xl/worksheets/sheet11910.xml"/>
  <Override ContentType="application/vnd.openxmlformats-officedocument.spreadsheetml.worksheet+xml" PartName="/xl/worksheets/sheet11911.xml"/>
  <Override ContentType="application/vnd.openxmlformats-officedocument.spreadsheetml.worksheet+xml" PartName="/xl/worksheets/sheet11912.xml"/>
  <Override ContentType="application/vnd.openxmlformats-officedocument.spreadsheetml.worksheet+xml" PartName="/xl/worksheets/sheet11913.xml"/>
  <Override ContentType="application/vnd.openxmlformats-officedocument.spreadsheetml.worksheet+xml" PartName="/xl/worksheets/sheet11914.xml"/>
  <Override ContentType="application/vnd.openxmlformats-officedocument.spreadsheetml.worksheet+xml" PartName="/xl/worksheets/sheet11915.xml"/>
  <Override ContentType="application/vnd.openxmlformats-officedocument.spreadsheetml.worksheet+xml" PartName="/xl/worksheets/sheet11916.xml"/>
  <Override ContentType="application/vnd.openxmlformats-officedocument.spreadsheetml.worksheet+xml" PartName="/xl/worksheets/sheet11917.xml"/>
  <Override ContentType="application/vnd.openxmlformats-officedocument.spreadsheetml.worksheet+xml" PartName="/xl/worksheets/sheet11918.xml"/>
  <Override ContentType="application/vnd.openxmlformats-officedocument.spreadsheetml.worksheet+xml" PartName="/xl/worksheets/sheet11919.xml"/>
  <Override ContentType="application/vnd.openxmlformats-officedocument.spreadsheetml.worksheet+xml" PartName="/xl/worksheets/sheet11920.xml"/>
  <Override ContentType="application/vnd.openxmlformats-officedocument.spreadsheetml.worksheet+xml" PartName="/xl/worksheets/sheet11921.xml"/>
  <Override ContentType="application/vnd.openxmlformats-officedocument.spreadsheetml.worksheet+xml" PartName="/xl/worksheets/sheet11922.xml"/>
  <Override ContentType="application/vnd.openxmlformats-officedocument.spreadsheetml.worksheet+xml" PartName="/xl/worksheets/sheet11923.xml"/>
  <Override ContentType="application/vnd.openxmlformats-officedocument.spreadsheetml.worksheet+xml" PartName="/xl/worksheets/sheet11924.xml"/>
  <Override ContentType="application/vnd.openxmlformats-officedocument.spreadsheetml.worksheet+xml" PartName="/xl/worksheets/sheet11925.xml"/>
  <Override ContentType="application/vnd.openxmlformats-officedocument.spreadsheetml.worksheet+xml" PartName="/xl/worksheets/sheet11926.xml"/>
  <Override ContentType="application/vnd.openxmlformats-officedocument.spreadsheetml.worksheet+xml" PartName="/xl/worksheets/sheet11927.xml"/>
  <Override ContentType="application/vnd.openxmlformats-officedocument.spreadsheetml.worksheet+xml" PartName="/xl/worksheets/sheet11928.xml"/>
  <Override ContentType="application/vnd.openxmlformats-officedocument.spreadsheetml.worksheet+xml" PartName="/xl/worksheets/sheet11929.xml"/>
  <Override ContentType="application/vnd.openxmlformats-officedocument.spreadsheetml.worksheet+xml" PartName="/xl/worksheets/sheet11930.xml"/>
  <Override ContentType="application/vnd.openxmlformats-officedocument.spreadsheetml.worksheet+xml" PartName="/xl/worksheets/sheet11931.xml"/>
  <Override ContentType="application/vnd.openxmlformats-officedocument.spreadsheetml.worksheet+xml" PartName="/xl/worksheets/sheet11932.xml"/>
  <Override ContentType="application/vnd.openxmlformats-officedocument.spreadsheetml.worksheet+xml" PartName="/xl/worksheets/sheet11933.xml"/>
  <Override ContentType="application/vnd.openxmlformats-officedocument.spreadsheetml.worksheet+xml" PartName="/xl/worksheets/sheet11934.xml"/>
  <Override ContentType="application/vnd.openxmlformats-officedocument.spreadsheetml.worksheet+xml" PartName="/xl/worksheets/sheet11935.xml"/>
  <Override ContentType="application/vnd.openxmlformats-officedocument.spreadsheetml.worksheet+xml" PartName="/xl/worksheets/sheet11936.xml"/>
  <Override ContentType="application/vnd.openxmlformats-officedocument.spreadsheetml.worksheet+xml" PartName="/xl/worksheets/sheet11937.xml"/>
  <Override ContentType="application/vnd.openxmlformats-officedocument.spreadsheetml.worksheet+xml" PartName="/xl/worksheets/sheet11938.xml"/>
  <Override ContentType="application/vnd.openxmlformats-officedocument.spreadsheetml.worksheet+xml" PartName="/xl/worksheets/sheet11939.xml"/>
  <Override ContentType="application/vnd.openxmlformats-officedocument.spreadsheetml.worksheet+xml" PartName="/xl/worksheets/sheet11940.xml"/>
  <Override ContentType="application/vnd.openxmlformats-officedocument.spreadsheetml.worksheet+xml" PartName="/xl/worksheets/sheet11941.xml"/>
  <Override ContentType="application/vnd.openxmlformats-officedocument.spreadsheetml.worksheet+xml" PartName="/xl/worksheets/sheet11942.xml"/>
  <Override ContentType="application/vnd.openxmlformats-officedocument.spreadsheetml.worksheet+xml" PartName="/xl/worksheets/sheet11943.xml"/>
  <Override ContentType="application/vnd.openxmlformats-officedocument.spreadsheetml.worksheet+xml" PartName="/xl/worksheets/sheet11944.xml"/>
  <Override ContentType="application/vnd.openxmlformats-officedocument.spreadsheetml.worksheet+xml" PartName="/xl/worksheets/sheet11945.xml"/>
  <Override ContentType="application/vnd.openxmlformats-officedocument.spreadsheetml.worksheet+xml" PartName="/xl/worksheets/sheet11946.xml"/>
  <Override ContentType="application/vnd.openxmlformats-officedocument.spreadsheetml.worksheet+xml" PartName="/xl/worksheets/sheet11947.xml"/>
  <Override ContentType="application/vnd.openxmlformats-officedocument.spreadsheetml.worksheet+xml" PartName="/xl/worksheets/sheet11948.xml"/>
  <Override ContentType="application/vnd.openxmlformats-officedocument.spreadsheetml.worksheet+xml" PartName="/xl/worksheets/sheet11949.xml"/>
  <Override ContentType="application/vnd.openxmlformats-officedocument.spreadsheetml.worksheet+xml" PartName="/xl/worksheets/sheet11950.xml"/>
  <Override ContentType="application/vnd.openxmlformats-officedocument.spreadsheetml.worksheet+xml" PartName="/xl/worksheets/sheet11951.xml"/>
  <Override ContentType="application/vnd.openxmlformats-officedocument.spreadsheetml.worksheet+xml" PartName="/xl/worksheets/sheet11952.xml"/>
  <Override ContentType="application/vnd.openxmlformats-officedocument.spreadsheetml.worksheet+xml" PartName="/xl/worksheets/sheet11953.xml"/>
  <Override ContentType="application/vnd.openxmlformats-officedocument.spreadsheetml.worksheet+xml" PartName="/xl/worksheets/sheet11954.xml"/>
  <Override ContentType="application/vnd.openxmlformats-officedocument.spreadsheetml.worksheet+xml" PartName="/xl/worksheets/sheet11955.xml"/>
  <Override ContentType="application/vnd.openxmlformats-officedocument.spreadsheetml.worksheet+xml" PartName="/xl/worksheets/sheet11956.xml"/>
  <Override ContentType="application/vnd.openxmlformats-officedocument.spreadsheetml.worksheet+xml" PartName="/xl/worksheets/sheet11957.xml"/>
  <Override ContentType="application/vnd.openxmlformats-officedocument.spreadsheetml.worksheet+xml" PartName="/xl/worksheets/sheet11958.xml"/>
  <Override ContentType="application/vnd.openxmlformats-officedocument.spreadsheetml.worksheet+xml" PartName="/xl/worksheets/sheet11959.xml"/>
  <Override ContentType="application/vnd.openxmlformats-officedocument.spreadsheetml.worksheet+xml" PartName="/xl/worksheets/sheet11960.xml"/>
  <Override ContentType="application/vnd.openxmlformats-officedocument.spreadsheetml.worksheet+xml" PartName="/xl/worksheets/sheet11961.xml"/>
  <Override ContentType="application/vnd.openxmlformats-officedocument.spreadsheetml.worksheet+xml" PartName="/xl/worksheets/sheet11962.xml"/>
  <Override ContentType="application/vnd.openxmlformats-officedocument.spreadsheetml.worksheet+xml" PartName="/xl/worksheets/sheet11963.xml"/>
  <Override ContentType="application/vnd.openxmlformats-officedocument.spreadsheetml.worksheet+xml" PartName="/xl/worksheets/sheet11964.xml"/>
  <Override ContentType="application/vnd.openxmlformats-officedocument.spreadsheetml.worksheet+xml" PartName="/xl/worksheets/sheet11965.xml"/>
  <Override ContentType="application/vnd.openxmlformats-officedocument.spreadsheetml.worksheet+xml" PartName="/xl/worksheets/sheet11966.xml"/>
  <Override ContentType="application/vnd.openxmlformats-officedocument.spreadsheetml.worksheet+xml" PartName="/xl/worksheets/sheet11967.xml"/>
  <Override ContentType="application/vnd.openxmlformats-officedocument.spreadsheetml.worksheet+xml" PartName="/xl/worksheets/sheet11968.xml"/>
  <Override ContentType="application/vnd.openxmlformats-officedocument.spreadsheetml.worksheet+xml" PartName="/xl/worksheets/sheet11969.xml"/>
  <Override ContentType="application/vnd.openxmlformats-officedocument.spreadsheetml.worksheet+xml" PartName="/xl/worksheets/sheet11970.xml"/>
  <Override ContentType="application/vnd.openxmlformats-officedocument.spreadsheetml.worksheet+xml" PartName="/xl/worksheets/sheet11971.xml"/>
  <Override ContentType="application/vnd.openxmlformats-officedocument.spreadsheetml.worksheet+xml" PartName="/xl/worksheets/sheet11972.xml"/>
  <Override ContentType="application/vnd.openxmlformats-officedocument.spreadsheetml.worksheet+xml" PartName="/xl/worksheets/sheet11973.xml"/>
  <Override ContentType="application/vnd.openxmlformats-officedocument.spreadsheetml.worksheet+xml" PartName="/xl/worksheets/sheet11974.xml"/>
  <Override ContentType="application/vnd.openxmlformats-officedocument.spreadsheetml.worksheet+xml" PartName="/xl/worksheets/sheet11975.xml"/>
  <Override ContentType="application/vnd.openxmlformats-officedocument.spreadsheetml.worksheet+xml" PartName="/xl/worksheets/sheet11976.xml"/>
  <Override ContentType="application/vnd.openxmlformats-officedocument.spreadsheetml.worksheet+xml" PartName="/xl/worksheets/sheet11977.xml"/>
  <Override ContentType="application/vnd.openxmlformats-officedocument.spreadsheetml.worksheet+xml" PartName="/xl/worksheets/sheet11978.xml"/>
  <Override ContentType="application/vnd.openxmlformats-officedocument.spreadsheetml.worksheet+xml" PartName="/xl/worksheets/sheet11979.xml"/>
  <Override ContentType="application/vnd.openxmlformats-officedocument.spreadsheetml.worksheet+xml" PartName="/xl/worksheets/sheet11980.xml"/>
  <Override ContentType="application/vnd.openxmlformats-officedocument.spreadsheetml.worksheet+xml" PartName="/xl/worksheets/sheet11981.xml"/>
  <Override ContentType="application/vnd.openxmlformats-officedocument.spreadsheetml.worksheet+xml" PartName="/xl/worksheets/sheet11982.xml"/>
  <Override ContentType="application/vnd.openxmlformats-officedocument.spreadsheetml.worksheet+xml" PartName="/xl/worksheets/sheet11983.xml"/>
  <Override ContentType="application/vnd.openxmlformats-officedocument.spreadsheetml.worksheet+xml" PartName="/xl/worksheets/sheet11984.xml"/>
  <Override ContentType="application/vnd.openxmlformats-officedocument.spreadsheetml.worksheet+xml" PartName="/xl/worksheets/sheet11985.xml"/>
  <Override ContentType="application/vnd.openxmlformats-officedocument.spreadsheetml.worksheet+xml" PartName="/xl/worksheets/sheet11986.xml"/>
  <Override ContentType="application/vnd.openxmlformats-officedocument.spreadsheetml.worksheet+xml" PartName="/xl/worksheets/sheet11987.xml"/>
  <Override ContentType="application/vnd.openxmlformats-officedocument.spreadsheetml.worksheet+xml" PartName="/xl/worksheets/sheet11988.xml"/>
  <Override ContentType="application/vnd.openxmlformats-officedocument.spreadsheetml.worksheet+xml" PartName="/xl/worksheets/sheet11989.xml"/>
  <Override ContentType="application/vnd.openxmlformats-officedocument.spreadsheetml.worksheet+xml" PartName="/xl/worksheets/sheet11990.xml"/>
  <Override ContentType="application/vnd.openxmlformats-officedocument.spreadsheetml.worksheet+xml" PartName="/xl/worksheets/sheet11991.xml"/>
  <Override ContentType="application/vnd.openxmlformats-officedocument.spreadsheetml.worksheet+xml" PartName="/xl/worksheets/sheet11992.xml"/>
  <Override ContentType="application/vnd.openxmlformats-officedocument.spreadsheetml.worksheet+xml" PartName="/xl/worksheets/sheet11993.xml"/>
  <Override ContentType="application/vnd.openxmlformats-officedocument.spreadsheetml.worksheet+xml" PartName="/xl/worksheets/sheet11994.xml"/>
  <Override ContentType="application/vnd.openxmlformats-officedocument.spreadsheetml.worksheet+xml" PartName="/xl/worksheets/sheet11995.xml"/>
  <Override ContentType="application/vnd.openxmlformats-officedocument.spreadsheetml.worksheet+xml" PartName="/xl/worksheets/sheet11996.xml"/>
  <Override ContentType="application/vnd.openxmlformats-officedocument.spreadsheetml.worksheet+xml" PartName="/xl/worksheets/sheet11997.xml"/>
  <Override ContentType="application/vnd.openxmlformats-officedocument.spreadsheetml.worksheet+xml" PartName="/xl/worksheets/sheet11998.xml"/>
  <Override ContentType="application/vnd.openxmlformats-officedocument.spreadsheetml.worksheet+xml" PartName="/xl/worksheets/sheet11999.xml"/>
  <Override ContentType="application/vnd.openxmlformats-officedocument.spreadsheetml.worksheet+xml" PartName="/xl/worksheets/sheet12000.xml"/>
  <Override ContentType="application/vnd.openxmlformats-officedocument.spreadsheetml.worksheet+xml" PartName="/xl/worksheets/sheet12001.xml"/>
  <Override ContentType="application/vnd.openxmlformats-officedocument.spreadsheetml.worksheet+xml" PartName="/xl/worksheets/sheet12002.xml"/>
  <Override ContentType="application/vnd.openxmlformats-officedocument.spreadsheetml.worksheet+xml" PartName="/xl/worksheets/sheet12003.xml"/>
  <Override ContentType="application/vnd.openxmlformats-officedocument.spreadsheetml.worksheet+xml" PartName="/xl/worksheets/sheet12004.xml"/>
  <Override ContentType="application/vnd.openxmlformats-officedocument.spreadsheetml.worksheet+xml" PartName="/xl/worksheets/sheet12005.xml"/>
  <Override ContentType="application/vnd.openxmlformats-officedocument.spreadsheetml.worksheet+xml" PartName="/xl/worksheets/sheet12006.xml"/>
  <Override ContentType="application/vnd.openxmlformats-officedocument.spreadsheetml.worksheet+xml" PartName="/xl/worksheets/sheet12007.xml"/>
  <Override ContentType="application/vnd.openxmlformats-officedocument.spreadsheetml.worksheet+xml" PartName="/xl/worksheets/sheet12008.xml"/>
  <Override ContentType="application/vnd.openxmlformats-officedocument.spreadsheetml.worksheet+xml" PartName="/xl/worksheets/sheet12009.xml"/>
  <Override ContentType="application/vnd.openxmlformats-officedocument.spreadsheetml.worksheet+xml" PartName="/xl/worksheets/sheet12010.xml"/>
  <Override ContentType="application/vnd.openxmlformats-officedocument.spreadsheetml.worksheet+xml" PartName="/xl/worksheets/sheet12011.xml"/>
  <Override ContentType="application/vnd.openxmlformats-officedocument.spreadsheetml.worksheet+xml" PartName="/xl/worksheets/sheet12012.xml"/>
  <Override ContentType="application/vnd.openxmlformats-officedocument.spreadsheetml.worksheet+xml" PartName="/xl/worksheets/sheet12013.xml"/>
  <Override ContentType="application/vnd.openxmlformats-officedocument.spreadsheetml.worksheet+xml" PartName="/xl/worksheets/sheet12014.xml"/>
  <Override ContentType="application/vnd.openxmlformats-officedocument.spreadsheetml.worksheet+xml" PartName="/xl/worksheets/sheet12015.xml"/>
  <Override ContentType="application/vnd.openxmlformats-officedocument.spreadsheetml.worksheet+xml" PartName="/xl/worksheets/sheet12016.xml"/>
  <Override ContentType="application/vnd.openxmlformats-officedocument.spreadsheetml.worksheet+xml" PartName="/xl/worksheets/sheet12017.xml"/>
  <Override ContentType="application/vnd.openxmlformats-officedocument.spreadsheetml.worksheet+xml" PartName="/xl/worksheets/sheet12018.xml"/>
  <Override ContentType="application/vnd.openxmlformats-officedocument.spreadsheetml.worksheet+xml" PartName="/xl/worksheets/sheet12019.xml"/>
  <Override ContentType="application/vnd.openxmlformats-officedocument.spreadsheetml.worksheet+xml" PartName="/xl/worksheets/sheet12020.xml"/>
  <Override ContentType="application/vnd.openxmlformats-officedocument.spreadsheetml.worksheet+xml" PartName="/xl/worksheets/sheet12021.xml"/>
  <Override ContentType="application/vnd.openxmlformats-officedocument.spreadsheetml.worksheet+xml" PartName="/xl/worksheets/sheet12022.xml"/>
  <Override ContentType="application/vnd.openxmlformats-officedocument.spreadsheetml.worksheet+xml" PartName="/xl/worksheets/sheet12023.xml"/>
  <Override ContentType="application/vnd.openxmlformats-officedocument.spreadsheetml.worksheet+xml" PartName="/xl/worksheets/sheet12024.xml"/>
  <Override ContentType="application/vnd.openxmlformats-officedocument.spreadsheetml.worksheet+xml" PartName="/xl/worksheets/sheet12025.xml"/>
  <Override ContentType="application/vnd.openxmlformats-officedocument.spreadsheetml.worksheet+xml" PartName="/xl/worksheets/sheet12026.xml"/>
  <Override ContentType="application/vnd.openxmlformats-officedocument.spreadsheetml.worksheet+xml" PartName="/xl/worksheets/sheet12027.xml"/>
  <Override ContentType="application/vnd.openxmlformats-officedocument.spreadsheetml.worksheet+xml" PartName="/xl/worksheets/sheet12028.xml"/>
  <Override ContentType="application/vnd.openxmlformats-officedocument.spreadsheetml.worksheet+xml" PartName="/xl/worksheets/sheet12029.xml"/>
  <Override ContentType="application/vnd.openxmlformats-officedocument.spreadsheetml.worksheet+xml" PartName="/xl/worksheets/sheet12030.xml"/>
  <Override ContentType="application/vnd.openxmlformats-officedocument.spreadsheetml.worksheet+xml" PartName="/xl/worksheets/sheet12031.xml"/>
  <Override ContentType="application/vnd.openxmlformats-officedocument.spreadsheetml.worksheet+xml" PartName="/xl/worksheets/sheet12032.xml"/>
  <Override ContentType="application/vnd.openxmlformats-officedocument.spreadsheetml.worksheet+xml" PartName="/xl/worksheets/sheet12033.xml"/>
  <Override ContentType="application/vnd.openxmlformats-officedocument.spreadsheetml.worksheet+xml" PartName="/xl/worksheets/sheet12034.xml"/>
  <Override ContentType="application/vnd.openxmlformats-officedocument.spreadsheetml.worksheet+xml" PartName="/xl/worksheets/sheet12035.xml"/>
  <Override ContentType="application/vnd.openxmlformats-officedocument.spreadsheetml.worksheet+xml" PartName="/xl/worksheets/sheet12036.xml"/>
  <Override ContentType="application/vnd.openxmlformats-officedocument.spreadsheetml.worksheet+xml" PartName="/xl/worksheets/sheet12037.xml"/>
  <Override ContentType="application/vnd.openxmlformats-officedocument.spreadsheetml.worksheet+xml" PartName="/xl/worksheets/sheet12038.xml"/>
  <Override ContentType="application/vnd.openxmlformats-officedocument.spreadsheetml.worksheet+xml" PartName="/xl/worksheets/sheet12039.xml"/>
  <Override ContentType="application/vnd.openxmlformats-officedocument.spreadsheetml.worksheet+xml" PartName="/xl/worksheets/sheet12040.xml"/>
  <Override ContentType="application/vnd.openxmlformats-officedocument.spreadsheetml.worksheet+xml" PartName="/xl/worksheets/sheet12041.xml"/>
  <Override ContentType="application/vnd.openxmlformats-officedocument.spreadsheetml.worksheet+xml" PartName="/xl/worksheets/sheet12042.xml"/>
  <Override ContentType="application/vnd.openxmlformats-officedocument.spreadsheetml.worksheet+xml" PartName="/xl/worksheets/sheet12043.xml"/>
  <Override ContentType="application/vnd.openxmlformats-officedocument.spreadsheetml.worksheet+xml" PartName="/xl/worksheets/sheet12044.xml"/>
  <Override ContentType="application/vnd.openxmlformats-officedocument.spreadsheetml.worksheet+xml" PartName="/xl/worksheets/sheet12045.xml"/>
  <Override ContentType="application/vnd.openxmlformats-officedocument.spreadsheetml.worksheet+xml" PartName="/xl/worksheets/sheet12046.xml"/>
  <Override ContentType="application/vnd.openxmlformats-officedocument.spreadsheetml.worksheet+xml" PartName="/xl/worksheets/sheet12047.xml"/>
  <Override ContentType="application/vnd.openxmlformats-officedocument.spreadsheetml.worksheet+xml" PartName="/xl/worksheets/sheet12048.xml"/>
  <Override ContentType="application/vnd.openxmlformats-officedocument.spreadsheetml.worksheet+xml" PartName="/xl/worksheets/sheet12049.xml"/>
  <Override ContentType="application/vnd.openxmlformats-officedocument.spreadsheetml.worksheet+xml" PartName="/xl/worksheets/sheet12050.xml"/>
  <Override ContentType="application/vnd.openxmlformats-officedocument.spreadsheetml.worksheet+xml" PartName="/xl/worksheets/sheet12051.xml"/>
  <Override ContentType="application/vnd.openxmlformats-officedocument.spreadsheetml.worksheet+xml" PartName="/xl/worksheets/sheet12052.xml"/>
  <Override ContentType="application/vnd.openxmlformats-officedocument.spreadsheetml.worksheet+xml" PartName="/xl/worksheets/sheet12053.xml"/>
  <Override ContentType="application/vnd.openxmlformats-officedocument.spreadsheetml.worksheet+xml" PartName="/xl/worksheets/sheet12054.xml"/>
  <Override ContentType="application/vnd.openxmlformats-officedocument.spreadsheetml.worksheet+xml" PartName="/xl/worksheets/sheet12055.xml"/>
  <Override ContentType="application/vnd.openxmlformats-officedocument.spreadsheetml.worksheet+xml" PartName="/xl/worksheets/sheet12056.xml"/>
  <Override ContentType="application/vnd.openxmlformats-officedocument.spreadsheetml.worksheet+xml" PartName="/xl/worksheets/sheet12057.xml"/>
  <Override ContentType="application/vnd.openxmlformats-officedocument.spreadsheetml.worksheet+xml" PartName="/xl/worksheets/sheet12058.xml"/>
  <Override ContentType="application/vnd.openxmlformats-officedocument.spreadsheetml.worksheet+xml" PartName="/xl/worksheets/sheet12059.xml"/>
  <Override ContentType="application/vnd.openxmlformats-officedocument.spreadsheetml.worksheet+xml" PartName="/xl/worksheets/sheet12060.xml"/>
  <Override ContentType="application/vnd.openxmlformats-officedocument.spreadsheetml.worksheet+xml" PartName="/xl/worksheets/sheet12061.xml"/>
  <Override ContentType="application/vnd.openxmlformats-officedocument.spreadsheetml.worksheet+xml" PartName="/xl/worksheets/sheet12062.xml"/>
  <Override ContentType="application/vnd.openxmlformats-officedocument.spreadsheetml.worksheet+xml" PartName="/xl/worksheets/sheet12063.xml"/>
  <Override ContentType="application/vnd.openxmlformats-officedocument.spreadsheetml.worksheet+xml" PartName="/xl/worksheets/sheet12064.xml"/>
  <Override ContentType="application/vnd.openxmlformats-officedocument.spreadsheetml.worksheet+xml" PartName="/xl/worksheets/sheet12065.xml"/>
  <Override ContentType="application/vnd.openxmlformats-officedocument.spreadsheetml.worksheet+xml" PartName="/xl/worksheets/sheet12066.xml"/>
  <Override ContentType="application/vnd.openxmlformats-officedocument.spreadsheetml.worksheet+xml" PartName="/xl/worksheets/sheet12067.xml"/>
  <Override ContentType="application/vnd.openxmlformats-officedocument.spreadsheetml.worksheet+xml" PartName="/xl/worksheets/sheet12068.xml"/>
  <Override ContentType="application/vnd.openxmlformats-officedocument.spreadsheetml.worksheet+xml" PartName="/xl/worksheets/sheet12069.xml"/>
  <Override ContentType="application/vnd.openxmlformats-officedocument.spreadsheetml.worksheet+xml" PartName="/xl/worksheets/sheet12070.xml"/>
  <Override ContentType="application/vnd.openxmlformats-officedocument.spreadsheetml.worksheet+xml" PartName="/xl/worksheets/sheet12071.xml"/>
  <Override ContentType="application/vnd.openxmlformats-officedocument.spreadsheetml.worksheet+xml" PartName="/xl/worksheets/sheet12072.xml"/>
  <Override ContentType="application/vnd.openxmlformats-officedocument.spreadsheetml.worksheet+xml" PartName="/xl/worksheets/sheet12073.xml"/>
  <Override ContentType="application/vnd.openxmlformats-officedocument.spreadsheetml.worksheet+xml" PartName="/xl/worksheets/sheet12074.xml"/>
  <Override ContentType="application/vnd.openxmlformats-officedocument.spreadsheetml.worksheet+xml" PartName="/xl/worksheets/sheet12075.xml"/>
  <Override ContentType="application/vnd.openxmlformats-officedocument.spreadsheetml.worksheet+xml" PartName="/xl/worksheets/sheet12076.xml"/>
  <Override ContentType="application/vnd.openxmlformats-officedocument.spreadsheetml.worksheet+xml" PartName="/xl/worksheets/sheet12077.xml"/>
  <Override ContentType="application/vnd.openxmlformats-officedocument.spreadsheetml.worksheet+xml" PartName="/xl/worksheets/sheet12078.xml"/>
  <Override ContentType="application/vnd.openxmlformats-officedocument.spreadsheetml.worksheet+xml" PartName="/xl/worksheets/sheet12079.xml"/>
  <Override ContentType="application/vnd.openxmlformats-officedocument.spreadsheetml.worksheet+xml" PartName="/xl/worksheets/sheet12080.xml"/>
  <Override ContentType="application/vnd.openxmlformats-officedocument.spreadsheetml.worksheet+xml" PartName="/xl/worksheets/sheet12081.xml"/>
  <Override ContentType="application/vnd.openxmlformats-officedocument.spreadsheetml.worksheet+xml" PartName="/xl/worksheets/sheet12082.xml"/>
  <Override ContentType="application/vnd.openxmlformats-officedocument.spreadsheetml.worksheet+xml" PartName="/xl/worksheets/sheet12083.xml"/>
  <Override ContentType="application/vnd.openxmlformats-officedocument.spreadsheetml.worksheet+xml" PartName="/xl/worksheets/sheet12084.xml"/>
  <Override ContentType="application/vnd.openxmlformats-officedocument.spreadsheetml.worksheet+xml" PartName="/xl/worksheets/sheet12085.xml"/>
  <Override ContentType="application/vnd.openxmlformats-officedocument.spreadsheetml.worksheet+xml" PartName="/xl/worksheets/sheet12086.xml"/>
  <Override ContentType="application/vnd.openxmlformats-officedocument.spreadsheetml.worksheet+xml" PartName="/xl/worksheets/sheet12087.xml"/>
  <Override ContentType="application/vnd.openxmlformats-officedocument.spreadsheetml.worksheet+xml" PartName="/xl/worksheets/sheet12088.xml"/>
  <Override ContentType="application/vnd.openxmlformats-officedocument.spreadsheetml.worksheet+xml" PartName="/xl/worksheets/sheet12089.xml"/>
  <Override ContentType="application/vnd.openxmlformats-officedocument.spreadsheetml.worksheet+xml" PartName="/xl/worksheets/sheet12090.xml"/>
  <Override ContentType="application/vnd.openxmlformats-officedocument.spreadsheetml.worksheet+xml" PartName="/xl/worksheets/sheet12091.xml"/>
  <Override ContentType="application/vnd.openxmlformats-officedocument.spreadsheetml.worksheet+xml" PartName="/xl/worksheets/sheet12092.xml"/>
  <Override ContentType="application/vnd.openxmlformats-officedocument.spreadsheetml.worksheet+xml" PartName="/xl/worksheets/sheet12093.xml"/>
  <Override ContentType="application/vnd.openxmlformats-officedocument.spreadsheetml.worksheet+xml" PartName="/xl/worksheets/sheet12094.xml"/>
  <Override ContentType="application/vnd.openxmlformats-officedocument.spreadsheetml.worksheet+xml" PartName="/xl/worksheets/sheet12095.xml"/>
  <Override ContentType="application/vnd.openxmlformats-officedocument.spreadsheetml.worksheet+xml" PartName="/xl/worksheets/sheet12096.xml"/>
  <Override ContentType="application/vnd.openxmlformats-officedocument.spreadsheetml.worksheet+xml" PartName="/xl/worksheets/sheet12097.xml"/>
  <Override ContentType="application/vnd.openxmlformats-officedocument.spreadsheetml.worksheet+xml" PartName="/xl/worksheets/sheet12098.xml"/>
  <Override ContentType="application/vnd.openxmlformats-officedocument.spreadsheetml.worksheet+xml" PartName="/xl/worksheets/sheet12099.xml"/>
  <Override ContentType="application/vnd.openxmlformats-officedocument.spreadsheetml.worksheet+xml" PartName="/xl/worksheets/sheet12100.xml"/>
  <Override ContentType="application/vnd.openxmlformats-officedocument.spreadsheetml.worksheet+xml" PartName="/xl/worksheets/sheet12101.xml"/>
  <Override ContentType="application/vnd.openxmlformats-officedocument.spreadsheetml.worksheet+xml" PartName="/xl/worksheets/sheet12102.xml"/>
  <Override ContentType="application/vnd.openxmlformats-officedocument.spreadsheetml.worksheet+xml" PartName="/xl/worksheets/sheet12103.xml"/>
  <Override ContentType="application/vnd.openxmlformats-officedocument.spreadsheetml.worksheet+xml" PartName="/xl/worksheets/sheet12104.xml"/>
  <Override ContentType="application/vnd.openxmlformats-officedocument.spreadsheetml.worksheet+xml" PartName="/xl/worksheets/sheet12105.xml"/>
  <Override ContentType="application/vnd.openxmlformats-officedocument.spreadsheetml.worksheet+xml" PartName="/xl/worksheets/sheet12106.xml"/>
  <Override ContentType="application/vnd.openxmlformats-officedocument.spreadsheetml.worksheet+xml" PartName="/xl/worksheets/sheet12107.xml"/>
  <Override ContentType="application/vnd.openxmlformats-officedocument.spreadsheetml.worksheet+xml" PartName="/xl/worksheets/sheet12108.xml"/>
  <Override ContentType="application/vnd.openxmlformats-officedocument.spreadsheetml.worksheet+xml" PartName="/xl/worksheets/sheet12109.xml"/>
  <Override ContentType="application/vnd.openxmlformats-officedocument.spreadsheetml.worksheet+xml" PartName="/xl/worksheets/sheet12110.xml"/>
  <Override ContentType="application/vnd.openxmlformats-officedocument.spreadsheetml.worksheet+xml" PartName="/xl/worksheets/sheet12111.xml"/>
  <Override ContentType="application/vnd.openxmlformats-officedocument.spreadsheetml.worksheet+xml" PartName="/xl/worksheets/sheet12112.xml"/>
  <Override ContentType="application/vnd.openxmlformats-officedocument.spreadsheetml.worksheet+xml" PartName="/xl/worksheets/sheet12113.xml"/>
  <Override ContentType="application/vnd.openxmlformats-officedocument.spreadsheetml.worksheet+xml" PartName="/xl/worksheets/sheet12114.xml"/>
  <Override ContentType="application/vnd.openxmlformats-officedocument.spreadsheetml.worksheet+xml" PartName="/xl/worksheets/sheet12115.xml"/>
  <Override ContentType="application/vnd.openxmlformats-officedocument.spreadsheetml.worksheet+xml" PartName="/xl/worksheets/sheet12116.xml"/>
  <Override ContentType="application/vnd.openxmlformats-officedocument.spreadsheetml.worksheet+xml" PartName="/xl/worksheets/sheet12117.xml"/>
  <Override ContentType="application/vnd.openxmlformats-officedocument.spreadsheetml.worksheet+xml" PartName="/xl/worksheets/sheet12118.xml"/>
  <Override ContentType="application/vnd.openxmlformats-officedocument.spreadsheetml.worksheet+xml" PartName="/xl/worksheets/sheet12119.xml"/>
  <Override ContentType="application/vnd.openxmlformats-officedocument.spreadsheetml.worksheet+xml" PartName="/xl/worksheets/sheet12120.xml"/>
  <Override ContentType="application/vnd.openxmlformats-officedocument.spreadsheetml.worksheet+xml" PartName="/xl/worksheets/sheet12121.xml"/>
  <Override ContentType="application/vnd.openxmlformats-officedocument.spreadsheetml.worksheet+xml" PartName="/xl/worksheets/sheet12122.xml"/>
  <Override ContentType="application/vnd.openxmlformats-officedocument.spreadsheetml.worksheet+xml" PartName="/xl/worksheets/sheet12123.xml"/>
  <Override ContentType="application/vnd.openxmlformats-officedocument.spreadsheetml.worksheet+xml" PartName="/xl/worksheets/sheet12124.xml"/>
  <Override ContentType="application/vnd.openxmlformats-officedocument.spreadsheetml.worksheet+xml" PartName="/xl/worksheets/sheet12125.xml"/>
  <Override ContentType="application/vnd.openxmlformats-officedocument.spreadsheetml.worksheet+xml" PartName="/xl/worksheets/sheet12126.xml"/>
  <Override ContentType="application/vnd.openxmlformats-officedocument.spreadsheetml.worksheet+xml" PartName="/xl/worksheets/sheet12127.xml"/>
  <Override ContentType="application/vnd.openxmlformats-officedocument.spreadsheetml.worksheet+xml" PartName="/xl/worksheets/sheet12128.xml"/>
  <Override ContentType="application/vnd.openxmlformats-officedocument.spreadsheetml.worksheet+xml" PartName="/xl/worksheets/sheet12129.xml"/>
  <Override ContentType="application/vnd.openxmlformats-officedocument.spreadsheetml.worksheet+xml" PartName="/xl/worksheets/sheet12130.xml"/>
  <Override ContentType="application/vnd.openxmlformats-officedocument.spreadsheetml.worksheet+xml" PartName="/xl/worksheets/sheet12131.xml"/>
  <Override ContentType="application/vnd.openxmlformats-officedocument.spreadsheetml.worksheet+xml" PartName="/xl/worksheets/sheet12132.xml"/>
  <Override ContentType="application/vnd.openxmlformats-officedocument.spreadsheetml.worksheet+xml" PartName="/xl/worksheets/sheet12133.xml"/>
  <Override ContentType="application/vnd.openxmlformats-officedocument.spreadsheetml.worksheet+xml" PartName="/xl/worksheets/sheet12134.xml"/>
  <Override ContentType="application/vnd.openxmlformats-officedocument.spreadsheetml.worksheet+xml" PartName="/xl/worksheets/sheet12135.xml"/>
  <Override ContentType="application/vnd.openxmlformats-officedocument.spreadsheetml.worksheet+xml" PartName="/xl/worksheets/sheet12136.xml"/>
  <Override ContentType="application/vnd.openxmlformats-officedocument.spreadsheetml.worksheet+xml" PartName="/xl/worksheets/sheet12137.xml"/>
  <Override ContentType="application/vnd.openxmlformats-officedocument.spreadsheetml.worksheet+xml" PartName="/xl/worksheets/sheet12138.xml"/>
  <Override ContentType="application/vnd.openxmlformats-officedocument.spreadsheetml.worksheet+xml" PartName="/xl/worksheets/sheet12139.xml"/>
  <Override ContentType="application/vnd.openxmlformats-officedocument.spreadsheetml.worksheet+xml" PartName="/xl/worksheets/sheet12140.xml"/>
  <Override ContentType="application/vnd.openxmlformats-officedocument.spreadsheetml.worksheet+xml" PartName="/xl/worksheets/sheet12141.xml"/>
  <Override ContentType="application/vnd.openxmlformats-officedocument.spreadsheetml.worksheet+xml" PartName="/xl/worksheets/sheet12142.xml"/>
  <Override ContentType="application/vnd.openxmlformats-officedocument.spreadsheetml.worksheet+xml" PartName="/xl/worksheets/sheet12143.xml"/>
  <Override ContentType="application/vnd.openxmlformats-officedocument.spreadsheetml.worksheet+xml" PartName="/xl/worksheets/sheet12144.xml"/>
  <Override ContentType="application/vnd.openxmlformats-officedocument.spreadsheetml.worksheet+xml" PartName="/xl/worksheets/sheet12145.xml"/>
  <Override ContentType="application/vnd.openxmlformats-officedocument.spreadsheetml.worksheet+xml" PartName="/xl/worksheets/sheet12146.xml"/>
  <Override ContentType="application/vnd.openxmlformats-officedocument.spreadsheetml.worksheet+xml" PartName="/xl/worksheets/sheet12147.xml"/>
  <Override ContentType="application/vnd.openxmlformats-officedocument.spreadsheetml.worksheet+xml" PartName="/xl/worksheets/sheet12148.xml"/>
  <Override ContentType="application/vnd.openxmlformats-officedocument.spreadsheetml.worksheet+xml" PartName="/xl/worksheets/sheet12149.xml"/>
  <Override ContentType="application/vnd.openxmlformats-officedocument.spreadsheetml.worksheet+xml" PartName="/xl/worksheets/sheet12150.xml"/>
  <Override ContentType="application/vnd.openxmlformats-officedocument.spreadsheetml.worksheet+xml" PartName="/xl/worksheets/sheet12151.xml"/>
  <Override ContentType="application/vnd.openxmlformats-officedocument.spreadsheetml.worksheet+xml" PartName="/xl/worksheets/sheet12152.xml"/>
  <Override ContentType="application/vnd.openxmlformats-officedocument.spreadsheetml.worksheet+xml" PartName="/xl/worksheets/sheet12153.xml"/>
  <Override ContentType="application/vnd.openxmlformats-officedocument.spreadsheetml.worksheet+xml" PartName="/xl/worksheets/sheet12154.xml"/>
  <Override ContentType="application/vnd.openxmlformats-officedocument.spreadsheetml.worksheet+xml" PartName="/xl/worksheets/sheet12155.xml"/>
  <Override ContentType="application/vnd.openxmlformats-officedocument.spreadsheetml.worksheet+xml" PartName="/xl/worksheets/sheet12156.xml"/>
  <Override ContentType="application/vnd.openxmlformats-officedocument.spreadsheetml.worksheet+xml" PartName="/xl/worksheets/sheet12157.xml"/>
  <Override ContentType="application/vnd.openxmlformats-officedocument.spreadsheetml.worksheet+xml" PartName="/xl/worksheets/sheet12158.xml"/>
  <Override ContentType="application/vnd.openxmlformats-officedocument.spreadsheetml.worksheet+xml" PartName="/xl/worksheets/sheet12159.xml"/>
  <Override ContentType="application/vnd.openxmlformats-officedocument.spreadsheetml.worksheet+xml" PartName="/xl/worksheets/sheet12160.xml"/>
  <Override ContentType="application/vnd.openxmlformats-officedocument.spreadsheetml.worksheet+xml" PartName="/xl/worksheets/sheet12161.xml"/>
  <Override ContentType="application/vnd.openxmlformats-officedocument.spreadsheetml.worksheet+xml" PartName="/xl/worksheets/sheet12162.xml"/>
  <Override ContentType="application/vnd.openxmlformats-officedocument.spreadsheetml.worksheet+xml" PartName="/xl/worksheets/sheet12163.xml"/>
  <Override ContentType="application/vnd.openxmlformats-officedocument.spreadsheetml.worksheet+xml" PartName="/xl/worksheets/sheet12164.xml"/>
  <Override ContentType="application/vnd.openxmlformats-officedocument.spreadsheetml.worksheet+xml" PartName="/xl/worksheets/sheet12165.xml"/>
  <Override ContentType="application/vnd.openxmlformats-officedocument.spreadsheetml.worksheet+xml" PartName="/xl/worksheets/sheet12166.xml"/>
  <Override ContentType="application/vnd.openxmlformats-officedocument.spreadsheetml.worksheet+xml" PartName="/xl/worksheets/sheet12167.xml"/>
  <Override ContentType="application/vnd.openxmlformats-officedocument.spreadsheetml.worksheet+xml" PartName="/xl/worksheets/sheet12168.xml"/>
  <Override ContentType="application/vnd.openxmlformats-officedocument.spreadsheetml.worksheet+xml" PartName="/xl/worksheets/sheet12169.xml"/>
  <Override ContentType="application/vnd.openxmlformats-officedocument.spreadsheetml.worksheet+xml" PartName="/xl/worksheets/sheet12170.xml"/>
  <Override ContentType="application/vnd.openxmlformats-officedocument.spreadsheetml.worksheet+xml" PartName="/xl/worksheets/sheet12171.xml"/>
  <Override ContentType="application/vnd.openxmlformats-officedocument.spreadsheetml.worksheet+xml" PartName="/xl/worksheets/sheet12172.xml"/>
  <Override ContentType="application/vnd.openxmlformats-officedocument.spreadsheetml.worksheet+xml" PartName="/xl/worksheets/sheet12173.xml"/>
  <Override ContentType="application/vnd.openxmlformats-officedocument.spreadsheetml.worksheet+xml" PartName="/xl/worksheets/sheet12174.xml"/>
  <Override ContentType="application/vnd.openxmlformats-officedocument.spreadsheetml.worksheet+xml" PartName="/xl/worksheets/sheet12175.xml"/>
  <Override ContentType="application/vnd.openxmlformats-officedocument.spreadsheetml.worksheet+xml" PartName="/xl/worksheets/sheet12176.xml"/>
  <Override ContentType="application/vnd.openxmlformats-officedocument.spreadsheetml.worksheet+xml" PartName="/xl/worksheets/sheet12177.xml"/>
  <Override ContentType="application/vnd.openxmlformats-officedocument.spreadsheetml.worksheet+xml" PartName="/xl/worksheets/sheet12178.xml"/>
  <Override ContentType="application/vnd.openxmlformats-officedocument.spreadsheetml.worksheet+xml" PartName="/xl/worksheets/sheet12179.xml"/>
  <Override ContentType="application/vnd.openxmlformats-officedocument.spreadsheetml.worksheet+xml" PartName="/xl/worksheets/sheet12180.xml"/>
  <Override ContentType="application/vnd.openxmlformats-officedocument.spreadsheetml.worksheet+xml" PartName="/xl/worksheets/sheet12181.xml"/>
  <Override ContentType="application/vnd.openxmlformats-officedocument.spreadsheetml.worksheet+xml" PartName="/xl/worksheets/sheet12182.xml"/>
  <Override ContentType="application/vnd.openxmlformats-officedocument.spreadsheetml.worksheet+xml" PartName="/xl/worksheets/sheet12183.xml"/>
  <Override ContentType="application/vnd.openxmlformats-officedocument.spreadsheetml.worksheet+xml" PartName="/xl/worksheets/sheet12184.xml"/>
  <Override ContentType="application/vnd.openxmlformats-officedocument.spreadsheetml.worksheet+xml" PartName="/xl/worksheets/sheet12185.xml"/>
  <Override ContentType="application/vnd.openxmlformats-officedocument.spreadsheetml.worksheet+xml" PartName="/xl/worksheets/sheet12186.xml"/>
  <Override ContentType="application/vnd.openxmlformats-officedocument.spreadsheetml.worksheet+xml" PartName="/xl/worksheets/sheet12187.xml"/>
  <Override ContentType="application/vnd.openxmlformats-officedocument.spreadsheetml.worksheet+xml" PartName="/xl/worksheets/sheet12188.xml"/>
  <Override ContentType="application/vnd.openxmlformats-officedocument.spreadsheetml.worksheet+xml" PartName="/xl/worksheets/sheet12189.xml"/>
  <Override ContentType="application/vnd.openxmlformats-officedocument.spreadsheetml.worksheet+xml" PartName="/xl/worksheets/sheet12190.xml"/>
  <Override ContentType="application/vnd.openxmlformats-officedocument.spreadsheetml.worksheet+xml" PartName="/xl/worksheets/sheet12191.xml"/>
  <Override ContentType="application/vnd.openxmlformats-officedocument.spreadsheetml.worksheet+xml" PartName="/xl/worksheets/sheet12192.xml"/>
  <Override ContentType="application/vnd.openxmlformats-officedocument.spreadsheetml.worksheet+xml" PartName="/xl/worksheets/sheet12193.xml"/>
  <Override ContentType="application/vnd.openxmlformats-officedocument.spreadsheetml.worksheet+xml" PartName="/xl/worksheets/sheet12194.xml"/>
  <Override ContentType="application/vnd.openxmlformats-officedocument.spreadsheetml.worksheet+xml" PartName="/xl/worksheets/sheet12195.xml"/>
  <Override ContentType="application/vnd.openxmlformats-officedocument.spreadsheetml.worksheet+xml" PartName="/xl/worksheets/sheet12196.xml"/>
  <Override ContentType="application/vnd.openxmlformats-officedocument.spreadsheetml.worksheet+xml" PartName="/xl/worksheets/sheet12197.xml"/>
  <Override ContentType="application/vnd.openxmlformats-officedocument.spreadsheetml.worksheet+xml" PartName="/xl/worksheets/sheet12198.xml"/>
  <Override ContentType="application/vnd.openxmlformats-officedocument.spreadsheetml.worksheet+xml" PartName="/xl/worksheets/sheet12199.xml"/>
  <Override ContentType="application/vnd.openxmlformats-officedocument.spreadsheetml.worksheet+xml" PartName="/xl/worksheets/sheet12200.xml"/>
  <Override ContentType="application/vnd.openxmlformats-officedocument.spreadsheetml.worksheet+xml" PartName="/xl/worksheets/sheet12201.xml"/>
  <Override ContentType="application/vnd.openxmlformats-officedocument.spreadsheetml.worksheet+xml" PartName="/xl/worksheets/sheet12202.xml"/>
  <Override ContentType="application/vnd.openxmlformats-officedocument.spreadsheetml.worksheet+xml" PartName="/xl/worksheets/sheet12203.xml"/>
  <Override ContentType="application/vnd.openxmlformats-officedocument.spreadsheetml.worksheet+xml" PartName="/xl/worksheets/sheet12204.xml"/>
  <Override ContentType="application/vnd.openxmlformats-officedocument.spreadsheetml.worksheet+xml" PartName="/xl/worksheets/sheet12205.xml"/>
  <Override ContentType="application/vnd.openxmlformats-officedocument.spreadsheetml.worksheet+xml" PartName="/xl/worksheets/sheet12206.xml"/>
  <Override ContentType="application/vnd.openxmlformats-officedocument.spreadsheetml.worksheet+xml" PartName="/xl/worksheets/sheet12207.xml"/>
  <Override ContentType="application/vnd.openxmlformats-officedocument.spreadsheetml.worksheet+xml" PartName="/xl/worksheets/sheet12208.xml"/>
  <Override ContentType="application/vnd.openxmlformats-officedocument.spreadsheetml.worksheet+xml" PartName="/xl/worksheets/sheet12209.xml"/>
  <Override ContentType="application/vnd.openxmlformats-officedocument.spreadsheetml.worksheet+xml" PartName="/xl/worksheets/sheet12210.xml"/>
  <Override ContentType="application/vnd.openxmlformats-officedocument.spreadsheetml.worksheet+xml" PartName="/xl/worksheets/sheet12211.xml"/>
  <Override ContentType="application/vnd.openxmlformats-officedocument.spreadsheetml.worksheet+xml" PartName="/xl/worksheets/sheet12212.xml"/>
  <Override ContentType="application/vnd.openxmlformats-officedocument.spreadsheetml.worksheet+xml" PartName="/xl/worksheets/sheet12213.xml"/>
  <Override ContentType="application/vnd.openxmlformats-officedocument.spreadsheetml.worksheet+xml" PartName="/xl/worksheets/sheet12214.xml"/>
  <Override ContentType="application/vnd.openxmlformats-officedocument.spreadsheetml.worksheet+xml" PartName="/xl/worksheets/sheet12215.xml"/>
  <Override ContentType="application/vnd.openxmlformats-officedocument.spreadsheetml.worksheet+xml" PartName="/xl/worksheets/sheet12216.xml"/>
  <Override ContentType="application/vnd.openxmlformats-officedocument.spreadsheetml.worksheet+xml" PartName="/xl/worksheets/sheet12217.xml"/>
  <Override ContentType="application/vnd.openxmlformats-officedocument.spreadsheetml.worksheet+xml" PartName="/xl/worksheets/sheet12218.xml"/>
  <Override ContentType="application/vnd.openxmlformats-officedocument.spreadsheetml.worksheet+xml" PartName="/xl/worksheets/sheet12219.xml"/>
  <Override ContentType="application/vnd.openxmlformats-officedocument.spreadsheetml.worksheet+xml" PartName="/xl/worksheets/sheet12220.xml"/>
  <Override ContentType="application/vnd.openxmlformats-officedocument.spreadsheetml.worksheet+xml" PartName="/xl/worksheets/sheet12221.xml"/>
  <Override ContentType="application/vnd.openxmlformats-officedocument.spreadsheetml.worksheet+xml" PartName="/xl/worksheets/sheet12222.xml"/>
  <Override ContentType="application/vnd.openxmlformats-officedocument.spreadsheetml.worksheet+xml" PartName="/xl/worksheets/sheet12223.xml"/>
  <Override ContentType="application/vnd.openxmlformats-officedocument.spreadsheetml.worksheet+xml" PartName="/xl/worksheets/sheet12224.xml"/>
  <Override ContentType="application/vnd.openxmlformats-officedocument.spreadsheetml.worksheet+xml" PartName="/xl/worksheets/sheet12225.xml"/>
  <Override ContentType="application/vnd.openxmlformats-officedocument.spreadsheetml.worksheet+xml" PartName="/xl/worksheets/sheet12226.xml"/>
  <Override ContentType="application/vnd.openxmlformats-officedocument.spreadsheetml.worksheet+xml" PartName="/xl/worksheets/sheet12227.xml"/>
  <Override ContentType="application/vnd.openxmlformats-officedocument.spreadsheetml.worksheet+xml" PartName="/xl/worksheets/sheet12228.xml"/>
  <Override ContentType="application/vnd.openxmlformats-officedocument.spreadsheetml.worksheet+xml" PartName="/xl/worksheets/sheet12229.xml"/>
  <Override ContentType="application/vnd.openxmlformats-officedocument.spreadsheetml.worksheet+xml" PartName="/xl/worksheets/sheet12230.xml"/>
  <Override ContentType="application/vnd.openxmlformats-officedocument.spreadsheetml.worksheet+xml" PartName="/xl/worksheets/sheet12231.xml"/>
  <Override ContentType="application/vnd.openxmlformats-officedocument.spreadsheetml.worksheet+xml" PartName="/xl/worksheets/sheet12232.xml"/>
  <Override ContentType="application/vnd.openxmlformats-officedocument.spreadsheetml.worksheet+xml" PartName="/xl/worksheets/sheet12233.xml"/>
  <Override ContentType="application/vnd.openxmlformats-officedocument.spreadsheetml.worksheet+xml" PartName="/xl/worksheets/sheet12234.xml"/>
  <Override ContentType="application/vnd.openxmlformats-officedocument.spreadsheetml.worksheet+xml" PartName="/xl/worksheets/sheet12235.xml"/>
  <Override ContentType="application/vnd.openxmlformats-officedocument.spreadsheetml.worksheet+xml" PartName="/xl/worksheets/sheet12236.xml"/>
  <Override ContentType="application/vnd.openxmlformats-officedocument.spreadsheetml.worksheet+xml" PartName="/xl/worksheets/sheet12237.xml"/>
  <Override ContentType="application/vnd.openxmlformats-officedocument.spreadsheetml.worksheet+xml" PartName="/xl/worksheets/sheet12238.xml"/>
  <Override ContentType="application/vnd.openxmlformats-officedocument.spreadsheetml.worksheet+xml" PartName="/xl/worksheets/sheet12239.xml"/>
  <Override ContentType="application/vnd.openxmlformats-officedocument.spreadsheetml.worksheet+xml" PartName="/xl/worksheets/sheet12240.xml"/>
  <Override ContentType="application/vnd.openxmlformats-officedocument.spreadsheetml.worksheet+xml" PartName="/xl/worksheets/sheet12241.xml"/>
  <Override ContentType="application/vnd.openxmlformats-officedocument.spreadsheetml.worksheet+xml" PartName="/xl/worksheets/sheet12242.xml"/>
  <Override ContentType="application/vnd.openxmlformats-officedocument.spreadsheetml.worksheet+xml" PartName="/xl/worksheets/sheet12243.xml"/>
  <Override ContentType="application/vnd.openxmlformats-officedocument.spreadsheetml.worksheet+xml" PartName="/xl/worksheets/sheet12244.xml"/>
  <Override ContentType="application/vnd.openxmlformats-officedocument.spreadsheetml.worksheet+xml" PartName="/xl/worksheets/sheet12245.xml"/>
  <Override ContentType="application/vnd.openxmlformats-officedocument.spreadsheetml.worksheet+xml" PartName="/xl/worksheets/sheet12246.xml"/>
  <Override ContentType="application/vnd.openxmlformats-officedocument.spreadsheetml.worksheet+xml" PartName="/xl/worksheets/sheet12247.xml"/>
  <Override ContentType="application/vnd.openxmlformats-officedocument.spreadsheetml.worksheet+xml" PartName="/xl/worksheets/sheet12248.xml"/>
  <Override ContentType="application/vnd.openxmlformats-officedocument.spreadsheetml.worksheet+xml" PartName="/xl/worksheets/sheet12249.xml"/>
  <Override ContentType="application/vnd.openxmlformats-officedocument.spreadsheetml.worksheet+xml" PartName="/xl/worksheets/sheet12250.xml"/>
  <Override ContentType="application/vnd.openxmlformats-officedocument.spreadsheetml.worksheet+xml" PartName="/xl/worksheets/sheet12251.xml"/>
  <Override ContentType="application/vnd.openxmlformats-officedocument.spreadsheetml.worksheet+xml" PartName="/xl/worksheets/sheet12252.xml"/>
  <Override ContentType="application/vnd.openxmlformats-officedocument.spreadsheetml.worksheet+xml" PartName="/xl/worksheets/sheet12253.xml"/>
  <Override ContentType="application/vnd.openxmlformats-officedocument.spreadsheetml.worksheet+xml" PartName="/xl/worksheets/sheet12254.xml"/>
  <Override ContentType="application/vnd.openxmlformats-officedocument.spreadsheetml.worksheet+xml" PartName="/xl/worksheets/sheet12255.xml"/>
  <Override ContentType="application/vnd.openxmlformats-officedocument.spreadsheetml.worksheet+xml" PartName="/xl/worksheets/sheet12256.xml"/>
  <Override ContentType="application/vnd.openxmlformats-officedocument.spreadsheetml.worksheet+xml" PartName="/xl/worksheets/sheet12257.xml"/>
  <Override ContentType="application/vnd.openxmlformats-officedocument.spreadsheetml.worksheet+xml" PartName="/xl/worksheets/sheet12258.xml"/>
  <Override ContentType="application/vnd.openxmlformats-officedocument.spreadsheetml.worksheet+xml" PartName="/xl/worksheets/sheet12259.xml"/>
  <Override ContentType="application/vnd.openxmlformats-officedocument.spreadsheetml.worksheet+xml" PartName="/xl/worksheets/sheet12260.xml"/>
  <Override ContentType="application/vnd.openxmlformats-officedocument.spreadsheetml.worksheet+xml" PartName="/xl/worksheets/sheet12261.xml"/>
  <Override ContentType="application/vnd.openxmlformats-officedocument.spreadsheetml.worksheet+xml" PartName="/xl/worksheets/sheet12262.xml"/>
  <Override ContentType="application/vnd.openxmlformats-officedocument.spreadsheetml.worksheet+xml" PartName="/xl/worksheets/sheet12263.xml"/>
  <Override ContentType="application/vnd.openxmlformats-officedocument.spreadsheetml.worksheet+xml" PartName="/xl/worksheets/sheet12264.xml"/>
  <Override ContentType="application/vnd.openxmlformats-officedocument.spreadsheetml.worksheet+xml" PartName="/xl/worksheets/sheet12265.xml"/>
  <Override ContentType="application/vnd.openxmlformats-officedocument.spreadsheetml.worksheet+xml" PartName="/xl/worksheets/sheet12266.xml"/>
  <Override ContentType="application/vnd.openxmlformats-officedocument.spreadsheetml.worksheet+xml" PartName="/xl/worksheets/sheet12267.xml"/>
  <Override ContentType="application/vnd.openxmlformats-officedocument.spreadsheetml.worksheet+xml" PartName="/xl/worksheets/sheet12268.xml"/>
  <Override ContentType="application/vnd.openxmlformats-officedocument.spreadsheetml.worksheet+xml" PartName="/xl/worksheets/sheet12269.xml"/>
  <Override ContentType="application/vnd.openxmlformats-officedocument.spreadsheetml.worksheet+xml" PartName="/xl/worksheets/sheet12270.xml"/>
  <Override ContentType="application/vnd.openxmlformats-officedocument.spreadsheetml.worksheet+xml" PartName="/xl/worksheets/sheet12271.xml"/>
  <Override ContentType="application/vnd.openxmlformats-officedocument.spreadsheetml.worksheet+xml" PartName="/xl/worksheets/sheet12272.xml"/>
  <Override ContentType="application/vnd.openxmlformats-officedocument.spreadsheetml.worksheet+xml" PartName="/xl/worksheets/sheet12273.xml"/>
  <Override ContentType="application/vnd.openxmlformats-officedocument.spreadsheetml.worksheet+xml" PartName="/xl/worksheets/sheet12274.xml"/>
  <Override ContentType="application/vnd.openxmlformats-officedocument.spreadsheetml.worksheet+xml" PartName="/xl/worksheets/sheet12275.xml"/>
  <Override ContentType="application/vnd.openxmlformats-officedocument.spreadsheetml.worksheet+xml" PartName="/xl/worksheets/sheet12276.xml"/>
  <Override ContentType="application/vnd.openxmlformats-officedocument.spreadsheetml.worksheet+xml" PartName="/xl/worksheets/sheet12277.xml"/>
  <Override ContentType="application/vnd.openxmlformats-officedocument.spreadsheetml.worksheet+xml" PartName="/xl/worksheets/sheet12278.xml"/>
  <Override ContentType="application/vnd.openxmlformats-officedocument.spreadsheetml.worksheet+xml" PartName="/xl/worksheets/sheet12279.xml"/>
  <Override ContentType="application/vnd.openxmlformats-officedocument.spreadsheetml.worksheet+xml" PartName="/xl/worksheets/sheet12280.xml"/>
  <Override ContentType="application/vnd.openxmlformats-officedocument.spreadsheetml.worksheet+xml" PartName="/xl/worksheets/sheet12281.xml"/>
  <Override ContentType="application/vnd.openxmlformats-officedocument.spreadsheetml.worksheet+xml" PartName="/xl/worksheets/sheet12282.xml"/>
  <Override ContentType="application/vnd.openxmlformats-officedocument.spreadsheetml.worksheet+xml" PartName="/xl/worksheets/sheet12283.xml"/>
  <Override ContentType="application/vnd.openxmlformats-officedocument.spreadsheetml.worksheet+xml" PartName="/xl/worksheets/sheet12284.xml"/>
  <Override ContentType="application/vnd.openxmlformats-officedocument.spreadsheetml.worksheet+xml" PartName="/xl/worksheets/sheet12285.xml"/>
  <Override ContentType="application/vnd.openxmlformats-officedocument.spreadsheetml.worksheet+xml" PartName="/xl/worksheets/sheet12286.xml"/>
  <Override ContentType="application/vnd.openxmlformats-officedocument.spreadsheetml.worksheet+xml" PartName="/xl/worksheets/sheet12287.xml"/>
  <Override ContentType="application/vnd.openxmlformats-officedocument.spreadsheetml.worksheet+xml" PartName="/xl/worksheets/sheet12288.xml"/>
  <Override ContentType="application/vnd.openxmlformats-officedocument.spreadsheetml.worksheet+xml" PartName="/xl/worksheets/sheet12289.xml"/>
  <Override ContentType="application/vnd.openxmlformats-officedocument.spreadsheetml.worksheet+xml" PartName="/xl/worksheets/sheet12290.xml"/>
  <Override ContentType="application/vnd.openxmlformats-officedocument.spreadsheetml.worksheet+xml" PartName="/xl/worksheets/sheet12291.xml"/>
  <Override ContentType="application/vnd.openxmlformats-officedocument.spreadsheetml.worksheet+xml" PartName="/xl/worksheets/sheet12292.xml"/>
  <Override ContentType="application/vnd.openxmlformats-officedocument.spreadsheetml.worksheet+xml" PartName="/xl/worksheets/sheet12293.xml"/>
  <Override ContentType="application/vnd.openxmlformats-officedocument.spreadsheetml.worksheet+xml" PartName="/xl/worksheets/sheet12294.xml"/>
  <Override ContentType="application/vnd.openxmlformats-officedocument.spreadsheetml.worksheet+xml" PartName="/xl/worksheets/sheet12295.xml"/>
  <Override ContentType="application/vnd.openxmlformats-officedocument.spreadsheetml.worksheet+xml" PartName="/xl/worksheets/sheet12296.xml"/>
  <Override ContentType="application/vnd.openxmlformats-officedocument.spreadsheetml.worksheet+xml" PartName="/xl/worksheets/sheet12297.xml"/>
  <Override ContentType="application/vnd.openxmlformats-officedocument.spreadsheetml.worksheet+xml" PartName="/xl/worksheets/sheet12298.xml"/>
  <Override ContentType="application/vnd.openxmlformats-officedocument.spreadsheetml.worksheet+xml" PartName="/xl/worksheets/sheet12299.xml"/>
  <Override ContentType="application/vnd.openxmlformats-officedocument.spreadsheetml.worksheet+xml" PartName="/xl/worksheets/sheet12300.xml"/>
  <Override ContentType="application/vnd.openxmlformats-officedocument.spreadsheetml.worksheet+xml" PartName="/xl/worksheets/sheet12301.xml"/>
  <Override ContentType="application/vnd.openxmlformats-officedocument.spreadsheetml.worksheet+xml" PartName="/xl/worksheets/sheet12302.xml"/>
  <Override ContentType="application/vnd.openxmlformats-officedocument.spreadsheetml.worksheet+xml" PartName="/xl/worksheets/sheet12303.xml"/>
  <Override ContentType="application/vnd.openxmlformats-officedocument.spreadsheetml.worksheet+xml" PartName="/xl/worksheets/sheet12304.xml"/>
  <Override ContentType="application/vnd.openxmlformats-officedocument.spreadsheetml.worksheet+xml" PartName="/xl/worksheets/sheet12305.xml"/>
  <Override ContentType="application/vnd.openxmlformats-officedocument.spreadsheetml.worksheet+xml" PartName="/xl/worksheets/sheet12306.xml"/>
  <Override ContentType="application/vnd.openxmlformats-officedocument.spreadsheetml.worksheet+xml" PartName="/xl/worksheets/sheet12307.xml"/>
  <Override ContentType="application/vnd.openxmlformats-officedocument.spreadsheetml.worksheet+xml" PartName="/xl/worksheets/sheet12308.xml"/>
  <Override ContentType="application/vnd.openxmlformats-officedocument.spreadsheetml.worksheet+xml" PartName="/xl/worksheets/sheet12309.xml"/>
  <Override ContentType="application/vnd.openxmlformats-officedocument.spreadsheetml.worksheet+xml" PartName="/xl/worksheets/sheet12310.xml"/>
  <Override ContentType="application/vnd.openxmlformats-officedocument.spreadsheetml.worksheet+xml" PartName="/xl/worksheets/sheet12311.xml"/>
  <Override ContentType="application/vnd.openxmlformats-officedocument.spreadsheetml.worksheet+xml" PartName="/xl/worksheets/sheet12312.xml"/>
  <Override ContentType="application/vnd.openxmlformats-officedocument.spreadsheetml.worksheet+xml" PartName="/xl/worksheets/sheet12313.xml"/>
  <Override ContentType="application/vnd.openxmlformats-officedocument.spreadsheetml.worksheet+xml" PartName="/xl/worksheets/sheet12314.xml"/>
  <Override ContentType="application/vnd.openxmlformats-officedocument.spreadsheetml.worksheet+xml" PartName="/xl/worksheets/sheet12315.xml"/>
  <Override ContentType="application/vnd.openxmlformats-officedocument.spreadsheetml.worksheet+xml" PartName="/xl/worksheets/sheet12316.xml"/>
  <Override ContentType="application/vnd.openxmlformats-officedocument.spreadsheetml.worksheet+xml" PartName="/xl/worksheets/sheet12317.xml"/>
  <Override ContentType="application/vnd.openxmlformats-officedocument.spreadsheetml.worksheet+xml" PartName="/xl/worksheets/sheet12318.xml"/>
  <Override ContentType="application/vnd.openxmlformats-officedocument.spreadsheetml.worksheet+xml" PartName="/xl/worksheets/sheet12319.xml"/>
  <Override ContentType="application/vnd.openxmlformats-officedocument.spreadsheetml.worksheet+xml" PartName="/xl/worksheets/sheet12320.xml"/>
  <Override ContentType="application/vnd.openxmlformats-officedocument.spreadsheetml.worksheet+xml" PartName="/xl/worksheets/sheet12321.xml"/>
  <Override ContentType="application/vnd.openxmlformats-officedocument.spreadsheetml.worksheet+xml" PartName="/xl/worksheets/sheet12322.xml"/>
  <Override ContentType="application/vnd.openxmlformats-officedocument.spreadsheetml.worksheet+xml" PartName="/xl/worksheets/sheet12323.xml"/>
  <Override ContentType="application/vnd.openxmlformats-officedocument.spreadsheetml.worksheet+xml" PartName="/xl/worksheets/sheet12324.xml"/>
  <Override ContentType="application/vnd.openxmlformats-officedocument.spreadsheetml.worksheet+xml" PartName="/xl/worksheets/sheet12325.xml"/>
  <Override ContentType="application/vnd.openxmlformats-officedocument.spreadsheetml.worksheet+xml" PartName="/xl/worksheets/sheet12326.xml"/>
  <Override ContentType="application/vnd.openxmlformats-officedocument.spreadsheetml.worksheet+xml" PartName="/xl/worksheets/sheet12327.xml"/>
  <Override ContentType="application/vnd.openxmlformats-officedocument.spreadsheetml.worksheet+xml" PartName="/xl/worksheets/sheet12328.xml"/>
  <Override ContentType="application/vnd.openxmlformats-officedocument.spreadsheetml.worksheet+xml" PartName="/xl/worksheets/sheet12329.xml"/>
  <Override ContentType="application/vnd.openxmlformats-officedocument.spreadsheetml.worksheet+xml" PartName="/xl/worksheets/sheet12330.xml"/>
  <Override ContentType="application/vnd.openxmlformats-officedocument.spreadsheetml.worksheet+xml" PartName="/xl/worksheets/sheet12331.xml"/>
  <Override ContentType="application/vnd.openxmlformats-officedocument.spreadsheetml.worksheet+xml" PartName="/xl/worksheets/sheet12332.xml"/>
  <Override ContentType="application/vnd.openxmlformats-officedocument.spreadsheetml.worksheet+xml" PartName="/xl/worksheets/sheet12333.xml"/>
  <Override ContentType="application/vnd.openxmlformats-officedocument.spreadsheetml.worksheet+xml" PartName="/xl/worksheets/sheet12334.xml"/>
  <Override ContentType="application/vnd.openxmlformats-officedocument.spreadsheetml.worksheet+xml" PartName="/xl/worksheets/sheet12335.xml"/>
  <Override ContentType="application/vnd.openxmlformats-officedocument.spreadsheetml.worksheet+xml" PartName="/xl/worksheets/sheet12336.xml"/>
  <Override ContentType="application/vnd.openxmlformats-officedocument.spreadsheetml.worksheet+xml" PartName="/xl/worksheets/sheet12337.xml"/>
  <Override ContentType="application/vnd.openxmlformats-officedocument.spreadsheetml.worksheet+xml" PartName="/xl/worksheets/sheet12338.xml"/>
  <Override ContentType="application/vnd.openxmlformats-officedocument.spreadsheetml.worksheet+xml" PartName="/xl/worksheets/sheet12339.xml"/>
  <Override ContentType="application/vnd.openxmlformats-officedocument.spreadsheetml.worksheet+xml" PartName="/xl/worksheets/sheet12340.xml"/>
  <Override ContentType="application/vnd.openxmlformats-officedocument.spreadsheetml.worksheet+xml" PartName="/xl/worksheets/sheet12341.xml"/>
  <Override ContentType="application/vnd.openxmlformats-officedocument.spreadsheetml.worksheet+xml" PartName="/xl/worksheets/sheet12342.xml"/>
  <Override ContentType="application/vnd.openxmlformats-officedocument.spreadsheetml.worksheet+xml" PartName="/xl/worksheets/sheet12343.xml"/>
  <Override ContentType="application/vnd.openxmlformats-officedocument.spreadsheetml.worksheet+xml" PartName="/xl/worksheets/sheet12344.xml"/>
  <Override ContentType="application/vnd.openxmlformats-officedocument.spreadsheetml.worksheet+xml" PartName="/xl/worksheets/sheet12345.xml"/>
  <Override ContentType="application/vnd.openxmlformats-officedocument.spreadsheetml.worksheet+xml" PartName="/xl/worksheets/sheet12346.xml"/>
  <Override ContentType="application/vnd.openxmlformats-officedocument.spreadsheetml.worksheet+xml" PartName="/xl/worksheets/sheet12347.xml"/>
  <Override ContentType="application/vnd.openxmlformats-officedocument.spreadsheetml.worksheet+xml" PartName="/xl/worksheets/sheet12348.xml"/>
  <Override ContentType="application/vnd.openxmlformats-officedocument.spreadsheetml.worksheet+xml" PartName="/xl/worksheets/sheet12349.xml"/>
  <Override ContentType="application/vnd.openxmlformats-officedocument.spreadsheetml.worksheet+xml" PartName="/xl/worksheets/sheet12350.xml"/>
  <Override ContentType="application/vnd.openxmlformats-officedocument.spreadsheetml.worksheet+xml" PartName="/xl/worksheets/sheet12351.xml"/>
  <Override ContentType="application/vnd.openxmlformats-officedocument.spreadsheetml.worksheet+xml" PartName="/xl/worksheets/sheet12352.xml"/>
  <Override ContentType="application/vnd.openxmlformats-officedocument.spreadsheetml.worksheet+xml" PartName="/xl/worksheets/sheet12353.xml"/>
  <Override ContentType="application/vnd.openxmlformats-officedocument.spreadsheetml.worksheet+xml" PartName="/xl/worksheets/sheet12354.xml"/>
  <Override ContentType="application/vnd.openxmlformats-officedocument.spreadsheetml.worksheet+xml" PartName="/xl/worksheets/sheet12355.xml"/>
  <Override ContentType="application/vnd.openxmlformats-officedocument.spreadsheetml.worksheet+xml" PartName="/xl/worksheets/sheet12356.xml"/>
  <Override ContentType="application/vnd.openxmlformats-officedocument.spreadsheetml.worksheet+xml" PartName="/xl/worksheets/sheet12357.xml"/>
  <Override ContentType="application/vnd.openxmlformats-officedocument.spreadsheetml.worksheet+xml" PartName="/xl/worksheets/sheet12358.xml"/>
  <Override ContentType="application/vnd.openxmlformats-officedocument.spreadsheetml.worksheet+xml" PartName="/xl/worksheets/sheet12359.xml"/>
  <Override ContentType="application/vnd.openxmlformats-officedocument.spreadsheetml.worksheet+xml" PartName="/xl/worksheets/sheet12360.xml"/>
  <Override ContentType="application/vnd.openxmlformats-officedocument.spreadsheetml.worksheet+xml" PartName="/xl/worksheets/sheet12361.xml"/>
  <Override ContentType="application/vnd.openxmlformats-officedocument.spreadsheetml.worksheet+xml" PartName="/xl/worksheets/sheet12362.xml"/>
  <Override ContentType="application/vnd.openxmlformats-officedocument.spreadsheetml.worksheet+xml" PartName="/xl/worksheets/sheet12363.xml"/>
  <Override ContentType="application/vnd.openxmlformats-officedocument.spreadsheetml.worksheet+xml" PartName="/xl/worksheets/sheet12364.xml"/>
  <Override ContentType="application/vnd.openxmlformats-officedocument.spreadsheetml.worksheet+xml" PartName="/xl/worksheets/sheet12365.xml"/>
  <Override ContentType="application/vnd.openxmlformats-officedocument.spreadsheetml.worksheet+xml" PartName="/xl/worksheets/sheet12366.xml"/>
  <Override ContentType="application/vnd.openxmlformats-officedocument.spreadsheetml.worksheet+xml" PartName="/xl/worksheets/sheet12367.xml"/>
  <Override ContentType="application/vnd.openxmlformats-officedocument.spreadsheetml.worksheet+xml" PartName="/xl/worksheets/sheet12368.xml"/>
  <Override ContentType="application/vnd.openxmlformats-officedocument.spreadsheetml.worksheet+xml" PartName="/xl/worksheets/sheet12369.xml"/>
  <Override ContentType="application/vnd.openxmlformats-officedocument.spreadsheetml.worksheet+xml" PartName="/xl/worksheets/sheet12370.xml"/>
  <Override ContentType="application/vnd.openxmlformats-officedocument.spreadsheetml.worksheet+xml" PartName="/xl/worksheets/sheet12371.xml"/>
  <Override ContentType="application/vnd.openxmlformats-officedocument.spreadsheetml.worksheet+xml" PartName="/xl/worksheets/sheet12372.xml"/>
  <Override ContentType="application/vnd.openxmlformats-officedocument.spreadsheetml.worksheet+xml" PartName="/xl/worksheets/sheet12373.xml"/>
  <Override ContentType="application/vnd.openxmlformats-officedocument.spreadsheetml.worksheet+xml" PartName="/xl/worksheets/sheet12374.xml"/>
  <Override ContentType="application/vnd.openxmlformats-officedocument.spreadsheetml.worksheet+xml" PartName="/xl/worksheets/sheet12375.xml"/>
  <Override ContentType="application/vnd.openxmlformats-officedocument.spreadsheetml.worksheet+xml" PartName="/xl/worksheets/sheet12376.xml"/>
  <Override ContentType="application/vnd.openxmlformats-officedocument.spreadsheetml.worksheet+xml" PartName="/xl/worksheets/sheet12377.xml"/>
  <Override ContentType="application/vnd.openxmlformats-officedocument.spreadsheetml.worksheet+xml" PartName="/xl/worksheets/sheet12378.xml"/>
  <Override ContentType="application/vnd.openxmlformats-officedocument.spreadsheetml.worksheet+xml" PartName="/xl/worksheets/sheet12379.xml"/>
  <Override ContentType="application/vnd.openxmlformats-officedocument.spreadsheetml.worksheet+xml" PartName="/xl/worksheets/sheet12380.xml"/>
  <Override ContentType="application/vnd.openxmlformats-officedocument.spreadsheetml.worksheet+xml" PartName="/xl/worksheets/sheet12381.xml"/>
  <Override ContentType="application/vnd.openxmlformats-officedocument.spreadsheetml.worksheet+xml" PartName="/xl/worksheets/sheet12382.xml"/>
  <Override ContentType="application/vnd.openxmlformats-officedocument.spreadsheetml.worksheet+xml" PartName="/xl/worksheets/sheet12383.xml"/>
  <Override ContentType="application/vnd.openxmlformats-officedocument.spreadsheetml.worksheet+xml" PartName="/xl/worksheets/sheet12384.xml"/>
  <Override ContentType="application/vnd.openxmlformats-officedocument.spreadsheetml.worksheet+xml" PartName="/xl/worksheets/sheet12385.xml"/>
  <Override ContentType="application/vnd.openxmlformats-officedocument.spreadsheetml.worksheet+xml" PartName="/xl/worksheets/sheet12386.xml"/>
  <Override ContentType="application/vnd.openxmlformats-officedocument.spreadsheetml.worksheet+xml" PartName="/xl/worksheets/sheet12387.xml"/>
  <Override ContentType="application/vnd.openxmlformats-officedocument.spreadsheetml.worksheet+xml" PartName="/xl/worksheets/sheet12388.xml"/>
  <Override ContentType="application/vnd.openxmlformats-officedocument.spreadsheetml.worksheet+xml" PartName="/xl/worksheets/sheet12389.xml"/>
  <Override ContentType="application/vnd.openxmlformats-officedocument.spreadsheetml.worksheet+xml" PartName="/xl/worksheets/sheet12390.xml"/>
  <Override ContentType="application/vnd.openxmlformats-officedocument.spreadsheetml.worksheet+xml" PartName="/xl/worksheets/sheet12391.xml"/>
  <Override ContentType="application/vnd.openxmlformats-officedocument.spreadsheetml.worksheet+xml" PartName="/xl/worksheets/sheet12392.xml"/>
  <Override ContentType="application/vnd.openxmlformats-officedocument.spreadsheetml.worksheet+xml" PartName="/xl/worksheets/sheet12393.xml"/>
  <Override ContentType="application/vnd.openxmlformats-officedocument.spreadsheetml.worksheet+xml" PartName="/xl/worksheets/sheet12394.xml"/>
  <Override ContentType="application/vnd.openxmlformats-officedocument.spreadsheetml.worksheet+xml" PartName="/xl/worksheets/sheet12395.xml"/>
  <Override ContentType="application/vnd.openxmlformats-officedocument.spreadsheetml.worksheet+xml" PartName="/xl/worksheets/sheet12396.xml"/>
  <Override ContentType="application/vnd.openxmlformats-officedocument.spreadsheetml.worksheet+xml" PartName="/xl/worksheets/sheet12397.xml"/>
  <Override ContentType="application/vnd.openxmlformats-officedocument.spreadsheetml.worksheet+xml" PartName="/xl/worksheets/sheet12398.xml"/>
  <Override ContentType="application/vnd.openxmlformats-officedocument.spreadsheetml.worksheet+xml" PartName="/xl/worksheets/sheet12399.xml"/>
  <Override ContentType="application/vnd.openxmlformats-officedocument.spreadsheetml.worksheet+xml" PartName="/xl/worksheets/sheet12400.xml"/>
  <Override ContentType="application/vnd.openxmlformats-officedocument.spreadsheetml.worksheet+xml" PartName="/xl/worksheets/sheet12401.xml"/>
  <Override ContentType="application/vnd.openxmlformats-officedocument.spreadsheetml.worksheet+xml" PartName="/xl/worksheets/sheet12402.xml"/>
  <Override ContentType="application/vnd.openxmlformats-officedocument.spreadsheetml.worksheet+xml" PartName="/xl/worksheets/sheet12403.xml"/>
  <Override ContentType="application/vnd.openxmlformats-officedocument.spreadsheetml.worksheet+xml" PartName="/xl/worksheets/sheet12404.xml"/>
  <Override ContentType="application/vnd.openxmlformats-officedocument.spreadsheetml.worksheet+xml" PartName="/xl/worksheets/sheet12405.xml"/>
  <Override ContentType="application/vnd.openxmlformats-officedocument.spreadsheetml.worksheet+xml" PartName="/xl/worksheets/sheet12406.xml"/>
  <Override ContentType="application/vnd.openxmlformats-officedocument.spreadsheetml.worksheet+xml" PartName="/xl/worksheets/sheet12407.xml"/>
  <Override ContentType="application/vnd.openxmlformats-officedocument.spreadsheetml.worksheet+xml" PartName="/xl/worksheets/sheet12408.xml"/>
  <Override ContentType="application/vnd.openxmlformats-officedocument.spreadsheetml.worksheet+xml" PartName="/xl/worksheets/sheet12409.xml"/>
  <Override ContentType="application/vnd.openxmlformats-officedocument.spreadsheetml.worksheet+xml" PartName="/xl/worksheets/sheet12410.xml"/>
  <Override ContentType="application/vnd.openxmlformats-officedocument.spreadsheetml.worksheet+xml" PartName="/xl/worksheets/sheet12411.xml"/>
  <Override ContentType="application/vnd.openxmlformats-officedocument.spreadsheetml.worksheet+xml" PartName="/xl/worksheets/sheet12412.xml"/>
  <Override ContentType="application/vnd.openxmlformats-officedocument.spreadsheetml.worksheet+xml" PartName="/xl/worksheets/sheet12413.xml"/>
  <Override ContentType="application/vnd.openxmlformats-officedocument.spreadsheetml.worksheet+xml" PartName="/xl/worksheets/sheet12414.xml"/>
  <Override ContentType="application/vnd.openxmlformats-officedocument.spreadsheetml.worksheet+xml" PartName="/xl/worksheets/sheet12415.xml"/>
  <Override ContentType="application/vnd.openxmlformats-officedocument.spreadsheetml.worksheet+xml" PartName="/xl/worksheets/sheet12416.xml"/>
  <Override ContentType="application/vnd.openxmlformats-officedocument.spreadsheetml.worksheet+xml" PartName="/xl/worksheets/sheet12417.xml"/>
  <Override ContentType="application/vnd.openxmlformats-officedocument.spreadsheetml.worksheet+xml" PartName="/xl/worksheets/sheet12418.xml"/>
  <Override ContentType="application/vnd.openxmlformats-officedocument.spreadsheetml.worksheet+xml" PartName="/xl/worksheets/sheet12419.xml"/>
  <Override ContentType="application/vnd.openxmlformats-officedocument.spreadsheetml.worksheet+xml" PartName="/xl/worksheets/sheet12420.xml"/>
  <Override ContentType="application/vnd.openxmlformats-officedocument.spreadsheetml.worksheet+xml" PartName="/xl/worksheets/sheet12421.xml"/>
  <Override ContentType="application/vnd.openxmlformats-officedocument.spreadsheetml.worksheet+xml" PartName="/xl/worksheets/sheet12422.xml"/>
  <Override ContentType="application/vnd.openxmlformats-officedocument.spreadsheetml.worksheet+xml" PartName="/xl/worksheets/sheet12423.xml"/>
  <Override ContentType="application/vnd.openxmlformats-officedocument.spreadsheetml.worksheet+xml" PartName="/xl/worksheets/sheet12424.xml"/>
  <Override ContentType="application/vnd.openxmlformats-officedocument.spreadsheetml.worksheet+xml" PartName="/xl/worksheets/sheet12425.xml"/>
  <Override ContentType="application/vnd.openxmlformats-officedocument.spreadsheetml.worksheet+xml" PartName="/xl/worksheets/sheet12426.xml"/>
  <Override ContentType="application/vnd.openxmlformats-officedocument.spreadsheetml.worksheet+xml" PartName="/xl/worksheets/sheet12427.xml"/>
  <Override ContentType="application/vnd.openxmlformats-officedocument.spreadsheetml.worksheet+xml" PartName="/xl/worksheets/sheet12428.xml"/>
  <Override ContentType="application/vnd.openxmlformats-officedocument.spreadsheetml.worksheet+xml" PartName="/xl/worksheets/sheet12429.xml"/>
  <Override ContentType="application/vnd.openxmlformats-officedocument.spreadsheetml.worksheet+xml" PartName="/xl/worksheets/sheet12430.xml"/>
  <Override ContentType="application/vnd.openxmlformats-officedocument.spreadsheetml.worksheet+xml" PartName="/xl/worksheets/sheet12431.xml"/>
  <Override ContentType="application/vnd.openxmlformats-officedocument.spreadsheetml.worksheet+xml" PartName="/xl/worksheets/sheet12432.xml"/>
  <Override ContentType="application/vnd.openxmlformats-officedocument.spreadsheetml.worksheet+xml" PartName="/xl/worksheets/sheet12433.xml"/>
  <Override ContentType="application/vnd.openxmlformats-officedocument.spreadsheetml.worksheet+xml" PartName="/xl/worksheets/sheet12434.xml"/>
  <Override ContentType="application/vnd.openxmlformats-officedocument.spreadsheetml.worksheet+xml" PartName="/xl/worksheets/sheet12435.xml"/>
  <Override ContentType="application/vnd.openxmlformats-officedocument.spreadsheetml.worksheet+xml" PartName="/xl/worksheets/sheet12436.xml"/>
  <Override ContentType="application/vnd.openxmlformats-officedocument.spreadsheetml.worksheet+xml" PartName="/xl/worksheets/sheet12437.xml"/>
  <Override ContentType="application/vnd.openxmlformats-officedocument.spreadsheetml.worksheet+xml" PartName="/xl/worksheets/sheet12438.xml"/>
  <Override ContentType="application/vnd.openxmlformats-officedocument.spreadsheetml.worksheet+xml" PartName="/xl/worksheets/sheet12439.xml"/>
  <Override ContentType="application/vnd.openxmlformats-officedocument.spreadsheetml.worksheet+xml" PartName="/xl/worksheets/sheet12440.xml"/>
  <Override ContentType="application/vnd.openxmlformats-officedocument.spreadsheetml.worksheet+xml" PartName="/xl/worksheets/sheet12441.xml"/>
  <Override ContentType="application/vnd.openxmlformats-officedocument.spreadsheetml.worksheet+xml" PartName="/xl/worksheets/sheet12442.xml"/>
  <Override ContentType="application/vnd.openxmlformats-officedocument.spreadsheetml.worksheet+xml" PartName="/xl/worksheets/sheet12443.xml"/>
  <Override ContentType="application/vnd.openxmlformats-officedocument.spreadsheetml.worksheet+xml" PartName="/xl/worksheets/sheet12444.xml"/>
  <Override ContentType="application/vnd.openxmlformats-officedocument.spreadsheetml.worksheet+xml" PartName="/xl/worksheets/sheet12445.xml"/>
  <Override ContentType="application/vnd.openxmlformats-officedocument.spreadsheetml.worksheet+xml" PartName="/xl/worksheets/sheet12446.xml"/>
  <Override ContentType="application/vnd.openxmlformats-officedocument.spreadsheetml.worksheet+xml" PartName="/xl/worksheets/sheet12447.xml"/>
  <Override ContentType="application/vnd.openxmlformats-officedocument.spreadsheetml.worksheet+xml" PartName="/xl/worksheets/sheet12448.xml"/>
  <Override ContentType="application/vnd.openxmlformats-officedocument.spreadsheetml.worksheet+xml" PartName="/xl/worksheets/sheet12449.xml"/>
  <Override ContentType="application/vnd.openxmlformats-officedocument.spreadsheetml.worksheet+xml" PartName="/xl/worksheets/sheet12450.xml"/>
  <Override ContentType="application/vnd.openxmlformats-officedocument.spreadsheetml.worksheet+xml" PartName="/xl/worksheets/sheet12451.xml"/>
  <Override ContentType="application/vnd.openxmlformats-officedocument.spreadsheetml.worksheet+xml" PartName="/xl/worksheets/sheet12452.xml"/>
  <Override ContentType="application/vnd.openxmlformats-officedocument.spreadsheetml.worksheet+xml" PartName="/xl/worksheets/sheet12453.xml"/>
  <Override ContentType="application/vnd.openxmlformats-officedocument.spreadsheetml.worksheet+xml" PartName="/xl/worksheets/sheet12454.xml"/>
  <Override ContentType="application/vnd.openxmlformats-officedocument.spreadsheetml.worksheet+xml" PartName="/xl/worksheets/sheet12455.xml"/>
  <Override ContentType="application/vnd.openxmlformats-officedocument.spreadsheetml.worksheet+xml" PartName="/xl/worksheets/sheet12456.xml"/>
  <Override ContentType="application/vnd.openxmlformats-officedocument.spreadsheetml.worksheet+xml" PartName="/xl/worksheets/sheet12457.xml"/>
  <Override ContentType="application/vnd.openxmlformats-officedocument.spreadsheetml.worksheet+xml" PartName="/xl/worksheets/sheet12458.xml"/>
  <Override ContentType="application/vnd.openxmlformats-officedocument.spreadsheetml.worksheet+xml" PartName="/xl/worksheets/sheet12459.xml"/>
  <Override ContentType="application/vnd.openxmlformats-officedocument.spreadsheetml.worksheet+xml" PartName="/xl/worksheets/sheet12460.xml"/>
  <Override ContentType="application/vnd.openxmlformats-officedocument.spreadsheetml.worksheet+xml" PartName="/xl/worksheets/sheet12461.xml"/>
  <Override ContentType="application/vnd.openxmlformats-officedocument.spreadsheetml.worksheet+xml" PartName="/xl/worksheets/sheet12462.xml"/>
  <Override ContentType="application/vnd.openxmlformats-officedocument.spreadsheetml.worksheet+xml" PartName="/xl/worksheets/sheet12463.xml"/>
  <Override ContentType="application/vnd.openxmlformats-officedocument.spreadsheetml.worksheet+xml" PartName="/xl/worksheets/sheet12464.xml"/>
  <Override ContentType="application/vnd.openxmlformats-officedocument.spreadsheetml.worksheet+xml" PartName="/xl/worksheets/sheet12465.xml"/>
  <Override ContentType="application/vnd.openxmlformats-officedocument.spreadsheetml.worksheet+xml" PartName="/xl/worksheets/sheet12466.xml"/>
  <Override ContentType="application/vnd.openxmlformats-officedocument.spreadsheetml.worksheet+xml" PartName="/xl/worksheets/sheet12467.xml"/>
  <Override ContentType="application/vnd.openxmlformats-officedocument.spreadsheetml.worksheet+xml" PartName="/xl/worksheets/sheet12468.xml"/>
  <Override ContentType="application/vnd.openxmlformats-officedocument.spreadsheetml.worksheet+xml" PartName="/xl/worksheets/sheet12469.xml"/>
  <Override ContentType="application/vnd.openxmlformats-officedocument.spreadsheetml.worksheet+xml" PartName="/xl/worksheets/sheet12470.xml"/>
  <Override ContentType="application/vnd.openxmlformats-officedocument.spreadsheetml.worksheet+xml" PartName="/xl/worksheets/sheet12471.xml"/>
  <Override ContentType="application/vnd.openxmlformats-officedocument.spreadsheetml.worksheet+xml" PartName="/xl/worksheets/sheet12472.xml"/>
  <Override ContentType="application/vnd.openxmlformats-officedocument.spreadsheetml.worksheet+xml" PartName="/xl/worksheets/sheet12473.xml"/>
  <Override ContentType="application/vnd.openxmlformats-officedocument.spreadsheetml.worksheet+xml" PartName="/xl/worksheets/sheet12474.xml"/>
  <Override ContentType="application/vnd.openxmlformats-officedocument.spreadsheetml.worksheet+xml" PartName="/xl/worksheets/sheet12475.xml"/>
  <Override ContentType="application/vnd.openxmlformats-officedocument.spreadsheetml.worksheet+xml" PartName="/xl/worksheets/sheet12476.xml"/>
  <Override ContentType="application/vnd.openxmlformats-officedocument.spreadsheetml.worksheet+xml" PartName="/xl/worksheets/sheet12477.xml"/>
  <Override ContentType="application/vnd.openxmlformats-officedocument.spreadsheetml.worksheet+xml" PartName="/xl/worksheets/sheet12478.xml"/>
  <Override ContentType="application/vnd.openxmlformats-officedocument.spreadsheetml.worksheet+xml" PartName="/xl/worksheets/sheet12479.xml"/>
  <Override ContentType="application/vnd.openxmlformats-officedocument.spreadsheetml.worksheet+xml" PartName="/xl/worksheets/sheet12480.xml"/>
  <Override ContentType="application/vnd.openxmlformats-officedocument.spreadsheetml.worksheet+xml" PartName="/xl/worksheets/sheet12481.xml"/>
  <Override ContentType="application/vnd.openxmlformats-officedocument.spreadsheetml.worksheet+xml" PartName="/xl/worksheets/sheet12482.xml"/>
  <Override ContentType="application/vnd.openxmlformats-officedocument.spreadsheetml.worksheet+xml" PartName="/xl/worksheets/sheet12483.xml"/>
  <Override ContentType="application/vnd.openxmlformats-officedocument.spreadsheetml.worksheet+xml" PartName="/xl/worksheets/sheet12484.xml"/>
  <Override ContentType="application/vnd.openxmlformats-officedocument.spreadsheetml.worksheet+xml" PartName="/xl/worksheets/sheet12485.xml"/>
  <Override ContentType="application/vnd.openxmlformats-officedocument.spreadsheetml.worksheet+xml" PartName="/xl/worksheets/sheet12486.xml"/>
  <Override ContentType="application/vnd.openxmlformats-officedocument.spreadsheetml.worksheet+xml" PartName="/xl/worksheets/sheet12487.xml"/>
  <Override ContentType="application/vnd.openxmlformats-officedocument.spreadsheetml.worksheet+xml" PartName="/xl/worksheets/sheet12488.xml"/>
  <Override ContentType="application/vnd.openxmlformats-officedocument.spreadsheetml.worksheet+xml" PartName="/xl/worksheets/sheet12489.xml"/>
  <Override ContentType="application/vnd.openxmlformats-officedocument.spreadsheetml.worksheet+xml" PartName="/xl/worksheets/sheet12490.xml"/>
  <Override ContentType="application/vnd.openxmlformats-officedocument.spreadsheetml.worksheet+xml" PartName="/xl/worksheets/sheet12491.xml"/>
  <Override ContentType="application/vnd.openxmlformats-officedocument.spreadsheetml.worksheet+xml" PartName="/xl/worksheets/sheet12492.xml"/>
  <Override ContentType="application/vnd.openxmlformats-officedocument.spreadsheetml.worksheet+xml" PartName="/xl/worksheets/sheet12493.xml"/>
  <Override ContentType="application/vnd.openxmlformats-officedocument.spreadsheetml.worksheet+xml" PartName="/xl/worksheets/sheet12494.xml"/>
  <Override ContentType="application/vnd.openxmlformats-officedocument.spreadsheetml.worksheet+xml" PartName="/xl/worksheets/sheet12495.xml"/>
  <Override ContentType="application/vnd.openxmlformats-officedocument.spreadsheetml.worksheet+xml" PartName="/xl/worksheets/sheet12496.xml"/>
  <Override ContentType="application/vnd.openxmlformats-officedocument.spreadsheetml.worksheet+xml" PartName="/xl/worksheets/sheet12497.xml"/>
  <Override ContentType="application/vnd.openxmlformats-officedocument.spreadsheetml.worksheet+xml" PartName="/xl/worksheets/sheet12498.xml"/>
  <Override ContentType="application/vnd.openxmlformats-officedocument.spreadsheetml.worksheet+xml" PartName="/xl/worksheets/sheet12499.xml"/>
  <Override ContentType="application/vnd.openxmlformats-officedocument.spreadsheetml.worksheet+xml" PartName="/xl/worksheets/sheet12500.xml"/>
  <Override ContentType="application/vnd.openxmlformats-officedocument.spreadsheetml.worksheet+xml" PartName="/xl/worksheets/sheet12501.xml"/>
  <Override ContentType="application/vnd.openxmlformats-officedocument.spreadsheetml.worksheet+xml" PartName="/xl/worksheets/sheet12502.xml"/>
  <Override ContentType="application/vnd.openxmlformats-officedocument.spreadsheetml.worksheet+xml" PartName="/xl/worksheets/sheet12503.xml"/>
  <Override ContentType="application/vnd.openxmlformats-officedocument.spreadsheetml.worksheet+xml" PartName="/xl/worksheets/sheet12504.xml"/>
  <Override ContentType="application/vnd.openxmlformats-officedocument.spreadsheetml.worksheet+xml" PartName="/xl/worksheets/sheet12505.xml"/>
  <Override ContentType="application/vnd.openxmlformats-officedocument.spreadsheetml.worksheet+xml" PartName="/xl/worksheets/sheet12506.xml"/>
  <Override ContentType="application/vnd.openxmlformats-officedocument.spreadsheetml.worksheet+xml" PartName="/xl/worksheets/sheet12507.xml"/>
  <Override ContentType="application/vnd.openxmlformats-officedocument.spreadsheetml.worksheet+xml" PartName="/xl/worksheets/sheet12508.xml"/>
  <Override ContentType="application/vnd.openxmlformats-officedocument.spreadsheetml.worksheet+xml" PartName="/xl/worksheets/sheet12509.xml"/>
  <Override ContentType="application/vnd.openxmlformats-officedocument.spreadsheetml.worksheet+xml" PartName="/xl/worksheets/sheet12510.xml"/>
  <Override ContentType="application/vnd.openxmlformats-officedocument.spreadsheetml.worksheet+xml" PartName="/xl/worksheets/sheet12511.xml"/>
  <Override ContentType="application/vnd.openxmlformats-officedocument.spreadsheetml.worksheet+xml" PartName="/xl/worksheets/sheet12512.xml"/>
  <Override ContentType="application/vnd.openxmlformats-officedocument.spreadsheetml.worksheet+xml" PartName="/xl/worksheets/sheet12513.xml"/>
  <Override ContentType="application/vnd.openxmlformats-officedocument.spreadsheetml.worksheet+xml" PartName="/xl/worksheets/sheet12514.xml"/>
  <Override ContentType="application/vnd.openxmlformats-officedocument.spreadsheetml.worksheet+xml" PartName="/xl/worksheets/sheet12515.xml"/>
  <Override ContentType="application/vnd.openxmlformats-officedocument.spreadsheetml.worksheet+xml" PartName="/xl/worksheets/sheet12516.xml"/>
  <Override ContentType="application/vnd.openxmlformats-officedocument.spreadsheetml.worksheet+xml" PartName="/xl/worksheets/sheet12517.xml"/>
  <Override ContentType="application/vnd.openxmlformats-officedocument.spreadsheetml.worksheet+xml" PartName="/xl/worksheets/sheet12518.xml"/>
  <Override ContentType="application/vnd.openxmlformats-officedocument.spreadsheetml.worksheet+xml" PartName="/xl/worksheets/sheet12519.xml"/>
  <Override ContentType="application/vnd.openxmlformats-officedocument.spreadsheetml.worksheet+xml" PartName="/xl/worksheets/sheet12520.xml"/>
  <Override ContentType="application/vnd.openxmlformats-officedocument.spreadsheetml.worksheet+xml" PartName="/xl/worksheets/sheet12521.xml"/>
  <Override ContentType="application/vnd.openxmlformats-officedocument.spreadsheetml.worksheet+xml" PartName="/xl/worksheets/sheet12522.xml"/>
  <Override ContentType="application/vnd.openxmlformats-officedocument.spreadsheetml.worksheet+xml" PartName="/xl/worksheets/sheet12523.xml"/>
  <Override ContentType="application/vnd.openxmlformats-officedocument.spreadsheetml.worksheet+xml" PartName="/xl/worksheets/sheet12524.xml"/>
  <Override ContentType="application/vnd.openxmlformats-officedocument.spreadsheetml.worksheet+xml" PartName="/xl/worksheets/sheet12525.xml"/>
  <Override ContentType="application/vnd.openxmlformats-officedocument.spreadsheetml.worksheet+xml" PartName="/xl/worksheets/sheet12526.xml"/>
  <Override ContentType="application/vnd.openxmlformats-officedocument.spreadsheetml.worksheet+xml" PartName="/xl/worksheets/sheet12527.xml"/>
  <Override ContentType="application/vnd.openxmlformats-officedocument.spreadsheetml.worksheet+xml" PartName="/xl/worksheets/sheet12528.xml"/>
  <Override ContentType="application/vnd.openxmlformats-officedocument.spreadsheetml.worksheet+xml" PartName="/xl/worksheets/sheet12529.xml"/>
  <Override ContentType="application/vnd.openxmlformats-officedocument.spreadsheetml.worksheet+xml" PartName="/xl/worksheets/sheet12530.xml"/>
  <Override ContentType="application/vnd.openxmlformats-officedocument.spreadsheetml.worksheet+xml" PartName="/xl/worksheets/sheet12531.xml"/>
  <Override ContentType="application/vnd.openxmlformats-officedocument.spreadsheetml.worksheet+xml" PartName="/xl/worksheets/sheet12532.xml"/>
  <Override ContentType="application/vnd.openxmlformats-officedocument.spreadsheetml.worksheet+xml" PartName="/xl/worksheets/sheet12533.xml"/>
  <Override ContentType="application/vnd.openxmlformats-officedocument.spreadsheetml.worksheet+xml" PartName="/xl/worksheets/sheet12534.xml"/>
  <Override ContentType="application/vnd.openxmlformats-officedocument.spreadsheetml.worksheet+xml" PartName="/xl/worksheets/sheet12535.xml"/>
  <Override ContentType="application/vnd.openxmlformats-officedocument.spreadsheetml.worksheet+xml" PartName="/xl/worksheets/sheet12536.xml"/>
  <Override ContentType="application/vnd.openxmlformats-officedocument.spreadsheetml.worksheet+xml" PartName="/xl/worksheets/sheet12537.xml"/>
  <Override ContentType="application/vnd.openxmlformats-officedocument.spreadsheetml.worksheet+xml" PartName="/xl/worksheets/sheet12538.xml"/>
  <Override ContentType="application/vnd.openxmlformats-officedocument.spreadsheetml.worksheet+xml" PartName="/xl/worksheets/sheet12539.xml"/>
  <Override ContentType="application/vnd.openxmlformats-officedocument.spreadsheetml.worksheet+xml" PartName="/xl/worksheets/sheet12540.xml"/>
  <Override ContentType="application/vnd.openxmlformats-officedocument.spreadsheetml.worksheet+xml" PartName="/xl/worksheets/sheet12541.xml"/>
  <Override ContentType="application/vnd.openxmlformats-officedocument.spreadsheetml.worksheet+xml" PartName="/xl/worksheets/sheet12542.xml"/>
  <Override ContentType="application/vnd.openxmlformats-officedocument.spreadsheetml.worksheet+xml" PartName="/xl/worksheets/sheet12543.xml"/>
  <Override ContentType="application/vnd.openxmlformats-officedocument.spreadsheetml.worksheet+xml" PartName="/xl/worksheets/sheet12544.xml"/>
  <Override ContentType="application/vnd.openxmlformats-officedocument.spreadsheetml.worksheet+xml" PartName="/xl/worksheets/sheet12545.xml"/>
  <Override ContentType="application/vnd.openxmlformats-officedocument.spreadsheetml.worksheet+xml" PartName="/xl/worksheets/sheet12546.xml"/>
  <Override ContentType="application/vnd.openxmlformats-officedocument.spreadsheetml.worksheet+xml" PartName="/xl/worksheets/sheet12547.xml"/>
  <Override ContentType="application/vnd.openxmlformats-officedocument.spreadsheetml.worksheet+xml" PartName="/xl/worksheets/sheet12548.xml"/>
  <Override ContentType="application/vnd.openxmlformats-officedocument.spreadsheetml.worksheet+xml" PartName="/xl/worksheets/sheet12549.xml"/>
  <Override ContentType="application/vnd.openxmlformats-officedocument.spreadsheetml.worksheet+xml" PartName="/xl/worksheets/sheet12550.xml"/>
  <Override ContentType="application/vnd.openxmlformats-officedocument.spreadsheetml.worksheet+xml" PartName="/xl/worksheets/sheet12551.xml"/>
  <Override ContentType="application/vnd.openxmlformats-officedocument.spreadsheetml.worksheet+xml" PartName="/xl/worksheets/sheet12552.xml"/>
  <Override ContentType="application/vnd.openxmlformats-officedocument.spreadsheetml.worksheet+xml" PartName="/xl/worksheets/sheet12553.xml"/>
  <Override ContentType="application/vnd.openxmlformats-officedocument.spreadsheetml.worksheet+xml" PartName="/xl/worksheets/sheet12554.xml"/>
  <Override ContentType="application/vnd.openxmlformats-officedocument.spreadsheetml.worksheet+xml" PartName="/xl/worksheets/sheet12555.xml"/>
  <Override ContentType="application/vnd.openxmlformats-officedocument.spreadsheetml.worksheet+xml" PartName="/xl/worksheets/sheet12556.xml"/>
  <Override ContentType="application/vnd.openxmlformats-officedocument.spreadsheetml.worksheet+xml" PartName="/xl/worksheets/sheet12557.xml"/>
  <Override ContentType="application/vnd.openxmlformats-officedocument.spreadsheetml.worksheet+xml" PartName="/xl/worksheets/sheet12558.xml"/>
  <Override ContentType="application/vnd.openxmlformats-officedocument.spreadsheetml.worksheet+xml" PartName="/xl/worksheets/sheet12559.xml"/>
  <Override ContentType="application/vnd.openxmlformats-officedocument.spreadsheetml.worksheet+xml" PartName="/xl/worksheets/sheet12560.xml"/>
  <Override ContentType="application/vnd.openxmlformats-officedocument.spreadsheetml.worksheet+xml" PartName="/xl/worksheets/sheet12561.xml"/>
  <Override ContentType="application/vnd.openxmlformats-officedocument.spreadsheetml.worksheet+xml" PartName="/xl/worksheets/sheet12562.xml"/>
  <Override ContentType="application/vnd.openxmlformats-officedocument.spreadsheetml.worksheet+xml" PartName="/xl/worksheets/sheet12563.xml"/>
  <Override ContentType="application/vnd.openxmlformats-officedocument.spreadsheetml.worksheet+xml" PartName="/xl/worksheets/sheet12564.xml"/>
  <Override ContentType="application/vnd.openxmlformats-officedocument.spreadsheetml.worksheet+xml" PartName="/xl/worksheets/sheet12565.xml"/>
  <Override ContentType="application/vnd.openxmlformats-officedocument.spreadsheetml.worksheet+xml" PartName="/xl/worksheets/sheet12566.xml"/>
  <Override ContentType="application/vnd.openxmlformats-officedocument.spreadsheetml.worksheet+xml" PartName="/xl/worksheets/sheet12567.xml"/>
  <Override ContentType="application/vnd.openxmlformats-officedocument.spreadsheetml.worksheet+xml" PartName="/xl/worksheets/sheet12568.xml"/>
  <Override ContentType="application/vnd.openxmlformats-officedocument.spreadsheetml.worksheet+xml" PartName="/xl/worksheets/sheet12569.xml"/>
  <Override ContentType="application/vnd.openxmlformats-officedocument.spreadsheetml.worksheet+xml" PartName="/xl/worksheets/sheet12570.xml"/>
  <Override ContentType="application/vnd.openxmlformats-officedocument.spreadsheetml.worksheet+xml" PartName="/xl/worksheets/sheet12571.xml"/>
  <Override ContentType="application/vnd.openxmlformats-officedocument.spreadsheetml.worksheet+xml" PartName="/xl/worksheets/sheet12572.xml"/>
  <Override ContentType="application/vnd.openxmlformats-officedocument.spreadsheetml.worksheet+xml" PartName="/xl/worksheets/sheet12573.xml"/>
  <Override ContentType="application/vnd.openxmlformats-officedocument.spreadsheetml.worksheet+xml" PartName="/xl/worksheets/sheet12574.xml"/>
  <Override ContentType="application/vnd.openxmlformats-officedocument.spreadsheetml.worksheet+xml" PartName="/xl/worksheets/sheet12575.xml"/>
  <Override ContentType="application/vnd.openxmlformats-officedocument.spreadsheetml.worksheet+xml" PartName="/xl/worksheets/sheet12576.xml"/>
  <Override ContentType="application/vnd.openxmlformats-officedocument.spreadsheetml.worksheet+xml" PartName="/xl/worksheets/sheet12577.xml"/>
  <Override ContentType="application/vnd.openxmlformats-officedocument.spreadsheetml.worksheet+xml" PartName="/xl/worksheets/sheet12578.xml"/>
  <Override ContentType="application/vnd.openxmlformats-officedocument.spreadsheetml.worksheet+xml" PartName="/xl/worksheets/sheet12579.xml"/>
  <Override ContentType="application/vnd.openxmlformats-officedocument.spreadsheetml.worksheet+xml" PartName="/xl/worksheets/sheet12580.xml"/>
  <Override ContentType="application/vnd.openxmlformats-officedocument.spreadsheetml.worksheet+xml" PartName="/xl/worksheets/sheet12581.xml"/>
  <Override ContentType="application/vnd.openxmlformats-officedocument.spreadsheetml.worksheet+xml" PartName="/xl/worksheets/sheet12582.xml"/>
  <Override ContentType="application/vnd.openxmlformats-officedocument.spreadsheetml.worksheet+xml" PartName="/xl/worksheets/sheet12583.xml"/>
  <Override ContentType="application/vnd.openxmlformats-officedocument.spreadsheetml.worksheet+xml" PartName="/xl/worksheets/sheet12584.xml"/>
  <Override ContentType="application/vnd.openxmlformats-officedocument.spreadsheetml.worksheet+xml" PartName="/xl/worksheets/sheet12585.xml"/>
  <Override ContentType="application/vnd.openxmlformats-officedocument.spreadsheetml.worksheet+xml" PartName="/xl/worksheets/sheet12586.xml"/>
  <Override ContentType="application/vnd.openxmlformats-officedocument.spreadsheetml.worksheet+xml" PartName="/xl/worksheets/sheet12587.xml"/>
  <Override ContentType="application/vnd.openxmlformats-officedocument.spreadsheetml.worksheet+xml" PartName="/xl/worksheets/sheet12588.xml"/>
  <Override ContentType="application/vnd.openxmlformats-officedocument.spreadsheetml.worksheet+xml" PartName="/xl/worksheets/sheet12589.xml"/>
  <Override ContentType="application/vnd.openxmlformats-officedocument.spreadsheetml.worksheet+xml" PartName="/xl/worksheets/sheet12590.xml"/>
  <Override ContentType="application/vnd.openxmlformats-officedocument.spreadsheetml.worksheet+xml" PartName="/xl/worksheets/sheet12591.xml"/>
  <Override ContentType="application/vnd.openxmlformats-officedocument.spreadsheetml.worksheet+xml" PartName="/xl/worksheets/sheet12592.xml"/>
  <Override ContentType="application/vnd.openxmlformats-officedocument.spreadsheetml.worksheet+xml" PartName="/xl/worksheets/sheet12593.xml"/>
  <Override ContentType="application/vnd.openxmlformats-officedocument.spreadsheetml.worksheet+xml" PartName="/xl/worksheets/sheet12594.xml"/>
  <Override ContentType="application/vnd.openxmlformats-officedocument.spreadsheetml.worksheet+xml" PartName="/xl/worksheets/sheet12595.xml"/>
  <Override ContentType="application/vnd.openxmlformats-officedocument.spreadsheetml.worksheet+xml" PartName="/xl/worksheets/sheet12596.xml"/>
  <Override ContentType="application/vnd.openxmlformats-officedocument.spreadsheetml.worksheet+xml" PartName="/xl/worksheets/sheet12597.xml"/>
  <Override ContentType="application/vnd.openxmlformats-officedocument.spreadsheetml.worksheet+xml" PartName="/xl/worksheets/sheet12598.xml"/>
  <Override ContentType="application/vnd.openxmlformats-officedocument.spreadsheetml.worksheet+xml" PartName="/xl/worksheets/sheet12599.xml"/>
  <Override ContentType="application/vnd.openxmlformats-officedocument.spreadsheetml.worksheet+xml" PartName="/xl/worksheets/sheet12600.xml"/>
  <Override ContentType="application/vnd.openxmlformats-officedocument.spreadsheetml.worksheet+xml" PartName="/xl/worksheets/sheet12601.xml"/>
  <Override ContentType="application/vnd.openxmlformats-officedocument.spreadsheetml.worksheet+xml" PartName="/xl/worksheets/sheet12602.xml"/>
  <Override ContentType="application/vnd.openxmlformats-officedocument.spreadsheetml.worksheet+xml" PartName="/xl/worksheets/sheet12603.xml"/>
  <Override ContentType="application/vnd.openxmlformats-officedocument.spreadsheetml.worksheet+xml" PartName="/xl/worksheets/sheet12604.xml"/>
  <Override ContentType="application/vnd.openxmlformats-officedocument.spreadsheetml.worksheet+xml" PartName="/xl/worksheets/sheet12605.xml"/>
  <Override ContentType="application/vnd.openxmlformats-officedocument.spreadsheetml.worksheet+xml" PartName="/xl/worksheets/sheet12606.xml"/>
  <Override ContentType="application/vnd.openxmlformats-officedocument.spreadsheetml.worksheet+xml" PartName="/xl/worksheets/sheet12607.xml"/>
  <Override ContentType="application/vnd.openxmlformats-officedocument.spreadsheetml.worksheet+xml" PartName="/xl/worksheets/sheet12608.xml"/>
  <Override ContentType="application/vnd.openxmlformats-officedocument.spreadsheetml.worksheet+xml" PartName="/xl/worksheets/sheet12609.xml"/>
  <Override ContentType="application/vnd.openxmlformats-officedocument.spreadsheetml.worksheet+xml" PartName="/xl/worksheets/sheet12610.xml"/>
  <Override ContentType="application/vnd.openxmlformats-officedocument.spreadsheetml.worksheet+xml" PartName="/xl/worksheets/sheet12611.xml"/>
  <Override ContentType="application/vnd.openxmlformats-officedocument.spreadsheetml.worksheet+xml" PartName="/xl/worksheets/sheet12612.xml"/>
  <Override ContentType="application/vnd.openxmlformats-officedocument.spreadsheetml.worksheet+xml" PartName="/xl/worksheets/sheet12613.xml"/>
  <Override ContentType="application/vnd.openxmlformats-officedocument.spreadsheetml.worksheet+xml" PartName="/xl/worksheets/sheet12614.xml"/>
  <Override ContentType="application/vnd.openxmlformats-officedocument.spreadsheetml.worksheet+xml" PartName="/xl/worksheets/sheet12615.xml"/>
  <Override ContentType="application/vnd.openxmlformats-officedocument.spreadsheetml.worksheet+xml" PartName="/xl/worksheets/sheet12616.xml"/>
  <Override ContentType="application/vnd.openxmlformats-officedocument.spreadsheetml.worksheet+xml" PartName="/xl/worksheets/sheet12617.xml"/>
  <Override ContentType="application/vnd.openxmlformats-officedocument.spreadsheetml.worksheet+xml" PartName="/xl/worksheets/sheet12618.xml"/>
  <Override ContentType="application/vnd.openxmlformats-officedocument.spreadsheetml.worksheet+xml" PartName="/xl/worksheets/sheet12619.xml"/>
  <Override ContentType="application/vnd.openxmlformats-officedocument.spreadsheetml.worksheet+xml" PartName="/xl/worksheets/sheet12620.xml"/>
  <Override ContentType="application/vnd.openxmlformats-officedocument.spreadsheetml.worksheet+xml" PartName="/xl/worksheets/sheet12621.xml"/>
  <Override ContentType="application/vnd.openxmlformats-officedocument.spreadsheetml.worksheet+xml" PartName="/xl/worksheets/sheet12622.xml"/>
  <Override ContentType="application/vnd.openxmlformats-officedocument.spreadsheetml.worksheet+xml" PartName="/xl/worksheets/sheet12623.xml"/>
  <Override ContentType="application/vnd.openxmlformats-officedocument.spreadsheetml.worksheet+xml" PartName="/xl/worksheets/sheet12624.xml"/>
  <Override ContentType="application/vnd.openxmlformats-officedocument.spreadsheetml.worksheet+xml" PartName="/xl/worksheets/sheet12625.xml"/>
  <Override ContentType="application/vnd.openxmlformats-officedocument.spreadsheetml.worksheet+xml" PartName="/xl/worksheets/sheet12626.xml"/>
  <Override ContentType="application/vnd.openxmlformats-officedocument.spreadsheetml.worksheet+xml" PartName="/xl/worksheets/sheet12627.xml"/>
  <Override ContentType="application/vnd.openxmlformats-officedocument.spreadsheetml.worksheet+xml" PartName="/xl/worksheets/sheet12628.xml"/>
  <Override ContentType="application/vnd.openxmlformats-officedocument.spreadsheetml.worksheet+xml" PartName="/xl/worksheets/sheet12629.xml"/>
  <Override ContentType="application/vnd.openxmlformats-officedocument.spreadsheetml.worksheet+xml" PartName="/xl/worksheets/sheet12630.xml"/>
  <Override ContentType="application/vnd.openxmlformats-officedocument.spreadsheetml.worksheet+xml" PartName="/xl/worksheets/sheet12631.xml"/>
  <Override ContentType="application/vnd.openxmlformats-officedocument.spreadsheetml.worksheet+xml" PartName="/xl/worksheets/sheet12632.xml"/>
  <Override ContentType="application/vnd.openxmlformats-officedocument.spreadsheetml.worksheet+xml" PartName="/xl/worksheets/sheet12633.xml"/>
  <Override ContentType="application/vnd.openxmlformats-officedocument.spreadsheetml.worksheet+xml" PartName="/xl/worksheets/sheet12634.xml"/>
  <Override ContentType="application/vnd.openxmlformats-officedocument.spreadsheetml.worksheet+xml" PartName="/xl/worksheets/sheet12635.xml"/>
  <Override ContentType="application/vnd.openxmlformats-officedocument.spreadsheetml.worksheet+xml" PartName="/xl/worksheets/sheet12636.xml"/>
  <Override ContentType="application/vnd.openxmlformats-officedocument.spreadsheetml.worksheet+xml" PartName="/xl/worksheets/sheet12637.xml"/>
  <Override ContentType="application/vnd.openxmlformats-officedocument.spreadsheetml.worksheet+xml" PartName="/xl/worksheets/sheet12638.xml"/>
  <Override ContentType="application/vnd.openxmlformats-officedocument.spreadsheetml.worksheet+xml" PartName="/xl/worksheets/sheet12639.xml"/>
  <Override ContentType="application/vnd.openxmlformats-officedocument.spreadsheetml.worksheet+xml" PartName="/xl/worksheets/sheet12640.xml"/>
  <Override ContentType="application/vnd.openxmlformats-officedocument.spreadsheetml.worksheet+xml" PartName="/xl/worksheets/sheet12641.xml"/>
  <Override ContentType="application/vnd.openxmlformats-officedocument.spreadsheetml.worksheet+xml" PartName="/xl/worksheets/sheet12642.xml"/>
  <Override ContentType="application/vnd.openxmlformats-officedocument.spreadsheetml.worksheet+xml" PartName="/xl/worksheets/sheet12643.xml"/>
  <Override ContentType="application/vnd.openxmlformats-officedocument.spreadsheetml.worksheet+xml" PartName="/xl/worksheets/sheet12644.xml"/>
  <Override ContentType="application/vnd.openxmlformats-officedocument.spreadsheetml.worksheet+xml" PartName="/xl/worksheets/sheet12645.xml"/>
  <Override ContentType="application/vnd.openxmlformats-officedocument.spreadsheetml.worksheet+xml" PartName="/xl/worksheets/sheet12646.xml"/>
  <Override ContentType="application/vnd.openxmlformats-officedocument.spreadsheetml.worksheet+xml" PartName="/xl/worksheets/sheet12647.xml"/>
  <Override ContentType="application/vnd.openxmlformats-officedocument.spreadsheetml.worksheet+xml" PartName="/xl/worksheets/sheet12648.xml"/>
  <Override ContentType="application/vnd.openxmlformats-officedocument.spreadsheetml.worksheet+xml" PartName="/xl/worksheets/sheet12649.xml"/>
  <Override ContentType="application/vnd.openxmlformats-officedocument.spreadsheetml.worksheet+xml" PartName="/xl/worksheets/sheet12650.xml"/>
  <Override ContentType="application/vnd.openxmlformats-officedocument.spreadsheetml.worksheet+xml" PartName="/xl/worksheets/sheet12651.xml"/>
  <Override ContentType="application/vnd.openxmlformats-officedocument.spreadsheetml.worksheet+xml" PartName="/xl/worksheets/sheet12652.xml"/>
  <Override ContentType="application/vnd.openxmlformats-officedocument.spreadsheetml.worksheet+xml" PartName="/xl/worksheets/sheet12653.xml"/>
  <Override ContentType="application/vnd.openxmlformats-officedocument.spreadsheetml.worksheet+xml" PartName="/xl/worksheets/sheet12654.xml"/>
  <Override ContentType="application/vnd.openxmlformats-officedocument.spreadsheetml.worksheet+xml" PartName="/xl/worksheets/sheet12655.xml"/>
  <Override ContentType="application/vnd.openxmlformats-officedocument.spreadsheetml.worksheet+xml" PartName="/xl/worksheets/sheet12656.xml"/>
  <Override ContentType="application/vnd.openxmlformats-officedocument.spreadsheetml.worksheet+xml" PartName="/xl/worksheets/sheet12657.xml"/>
  <Override ContentType="application/vnd.openxmlformats-officedocument.spreadsheetml.worksheet+xml" PartName="/xl/worksheets/sheet12658.xml"/>
  <Override ContentType="application/vnd.openxmlformats-officedocument.spreadsheetml.worksheet+xml" PartName="/xl/worksheets/sheet12659.xml"/>
  <Override ContentType="application/vnd.openxmlformats-officedocument.spreadsheetml.worksheet+xml" PartName="/xl/worksheets/sheet12660.xml"/>
  <Override ContentType="application/vnd.openxmlformats-officedocument.spreadsheetml.worksheet+xml" PartName="/xl/worksheets/sheet12661.xml"/>
  <Override ContentType="application/vnd.openxmlformats-officedocument.spreadsheetml.worksheet+xml" PartName="/xl/worksheets/sheet12662.xml"/>
  <Override ContentType="application/vnd.openxmlformats-officedocument.spreadsheetml.worksheet+xml" PartName="/xl/worksheets/sheet12663.xml"/>
  <Override ContentType="application/vnd.openxmlformats-officedocument.spreadsheetml.worksheet+xml" PartName="/xl/worksheets/sheet12664.xml"/>
  <Override ContentType="application/vnd.openxmlformats-officedocument.spreadsheetml.worksheet+xml" PartName="/xl/worksheets/sheet12665.xml"/>
  <Override ContentType="application/vnd.openxmlformats-officedocument.spreadsheetml.worksheet+xml" PartName="/xl/worksheets/sheet12666.xml"/>
  <Override ContentType="application/vnd.openxmlformats-officedocument.spreadsheetml.worksheet+xml" PartName="/xl/worksheets/sheet12667.xml"/>
  <Override ContentType="application/vnd.openxmlformats-officedocument.spreadsheetml.worksheet+xml" PartName="/xl/worksheets/sheet12668.xml"/>
  <Override ContentType="application/vnd.openxmlformats-officedocument.spreadsheetml.worksheet+xml" PartName="/xl/worksheets/sheet12669.xml"/>
  <Override ContentType="application/vnd.openxmlformats-officedocument.spreadsheetml.worksheet+xml" PartName="/xl/worksheets/sheet12670.xml"/>
  <Override ContentType="application/vnd.openxmlformats-officedocument.spreadsheetml.worksheet+xml" PartName="/xl/worksheets/sheet12671.xml"/>
  <Override ContentType="application/vnd.openxmlformats-officedocument.spreadsheetml.worksheet+xml" PartName="/xl/worksheets/sheet12672.xml"/>
  <Override ContentType="application/vnd.openxmlformats-officedocument.spreadsheetml.worksheet+xml" PartName="/xl/worksheets/sheet12673.xml"/>
  <Override ContentType="application/vnd.openxmlformats-officedocument.spreadsheetml.worksheet+xml" PartName="/xl/worksheets/sheet12674.xml"/>
  <Override ContentType="application/vnd.openxmlformats-officedocument.spreadsheetml.worksheet+xml" PartName="/xl/worksheets/sheet12675.xml"/>
  <Override ContentType="application/vnd.openxmlformats-officedocument.spreadsheetml.worksheet+xml" PartName="/xl/worksheets/sheet12676.xml"/>
  <Override ContentType="application/vnd.openxmlformats-officedocument.spreadsheetml.worksheet+xml" PartName="/xl/worksheets/sheet12677.xml"/>
  <Override ContentType="application/vnd.openxmlformats-officedocument.spreadsheetml.worksheet+xml" PartName="/xl/worksheets/sheet12678.xml"/>
  <Override ContentType="application/vnd.openxmlformats-officedocument.spreadsheetml.worksheet+xml" PartName="/xl/worksheets/sheet12679.xml"/>
  <Override ContentType="application/vnd.openxmlformats-officedocument.spreadsheetml.worksheet+xml" PartName="/xl/worksheets/sheet12680.xml"/>
  <Override ContentType="application/vnd.openxmlformats-officedocument.spreadsheetml.worksheet+xml" PartName="/xl/worksheets/sheet12681.xml"/>
  <Override ContentType="application/vnd.openxmlformats-officedocument.spreadsheetml.worksheet+xml" PartName="/xl/worksheets/sheet12682.xml"/>
  <Override ContentType="application/vnd.openxmlformats-officedocument.spreadsheetml.worksheet+xml" PartName="/xl/worksheets/sheet12683.xml"/>
  <Override ContentType="application/vnd.openxmlformats-officedocument.spreadsheetml.worksheet+xml" PartName="/xl/worksheets/sheet12684.xml"/>
  <Override ContentType="application/vnd.openxmlformats-officedocument.spreadsheetml.worksheet+xml" PartName="/xl/worksheets/sheet12685.xml"/>
  <Override ContentType="application/vnd.openxmlformats-officedocument.spreadsheetml.worksheet+xml" PartName="/xl/worksheets/sheet12686.xml"/>
  <Override ContentType="application/vnd.openxmlformats-officedocument.spreadsheetml.worksheet+xml" PartName="/xl/worksheets/sheet12687.xml"/>
  <Override ContentType="application/vnd.openxmlformats-officedocument.spreadsheetml.worksheet+xml" PartName="/xl/worksheets/sheet12688.xml"/>
  <Override ContentType="application/vnd.openxmlformats-officedocument.spreadsheetml.worksheet+xml" PartName="/xl/worksheets/sheet12689.xml"/>
  <Override ContentType="application/vnd.openxmlformats-officedocument.spreadsheetml.worksheet+xml" PartName="/xl/worksheets/sheet12690.xml"/>
  <Override ContentType="application/vnd.openxmlformats-officedocument.spreadsheetml.worksheet+xml" PartName="/xl/worksheets/sheet12691.xml"/>
  <Override ContentType="application/vnd.openxmlformats-officedocument.spreadsheetml.worksheet+xml" PartName="/xl/worksheets/sheet12692.xml"/>
  <Override ContentType="application/vnd.openxmlformats-officedocument.spreadsheetml.worksheet+xml" PartName="/xl/worksheets/sheet12693.xml"/>
  <Override ContentType="application/vnd.openxmlformats-officedocument.spreadsheetml.worksheet+xml" PartName="/xl/worksheets/sheet12694.xml"/>
  <Override ContentType="application/vnd.openxmlformats-officedocument.spreadsheetml.worksheet+xml" PartName="/xl/worksheets/sheet12695.xml"/>
  <Override ContentType="application/vnd.openxmlformats-officedocument.spreadsheetml.worksheet+xml" PartName="/xl/worksheets/sheet12696.xml"/>
  <Override ContentType="application/vnd.openxmlformats-officedocument.spreadsheetml.worksheet+xml" PartName="/xl/worksheets/sheet12697.xml"/>
  <Override ContentType="application/vnd.openxmlformats-officedocument.spreadsheetml.worksheet+xml" PartName="/xl/worksheets/sheet12698.xml"/>
  <Override ContentType="application/vnd.openxmlformats-officedocument.spreadsheetml.worksheet+xml" PartName="/xl/worksheets/sheet12699.xml"/>
  <Override ContentType="application/vnd.openxmlformats-officedocument.spreadsheetml.worksheet+xml" PartName="/xl/worksheets/sheet12700.xml"/>
  <Override ContentType="application/vnd.openxmlformats-officedocument.spreadsheetml.worksheet+xml" PartName="/xl/worksheets/sheet12701.xml"/>
  <Override ContentType="application/vnd.openxmlformats-officedocument.spreadsheetml.worksheet+xml" PartName="/xl/worksheets/sheet12702.xml"/>
  <Override ContentType="application/vnd.openxmlformats-officedocument.spreadsheetml.worksheet+xml" PartName="/xl/worksheets/sheet12703.xml"/>
  <Override ContentType="application/vnd.openxmlformats-officedocument.spreadsheetml.worksheet+xml" PartName="/xl/worksheets/sheet12704.xml"/>
  <Override ContentType="application/vnd.openxmlformats-officedocument.spreadsheetml.worksheet+xml" PartName="/xl/worksheets/sheet12705.xml"/>
  <Override ContentType="application/vnd.openxmlformats-officedocument.spreadsheetml.worksheet+xml" PartName="/xl/worksheets/sheet12706.xml"/>
  <Override ContentType="application/vnd.openxmlformats-officedocument.spreadsheetml.worksheet+xml" PartName="/xl/worksheets/sheet12707.xml"/>
  <Override ContentType="application/vnd.openxmlformats-officedocument.spreadsheetml.worksheet+xml" PartName="/xl/worksheets/sheet12708.xml"/>
  <Override ContentType="application/vnd.openxmlformats-officedocument.spreadsheetml.worksheet+xml" PartName="/xl/worksheets/sheet12709.xml"/>
  <Override ContentType="application/vnd.openxmlformats-officedocument.spreadsheetml.worksheet+xml" PartName="/xl/worksheets/sheet12710.xml"/>
  <Override ContentType="application/vnd.openxmlformats-officedocument.spreadsheetml.worksheet+xml" PartName="/xl/worksheets/sheet12711.xml"/>
  <Override ContentType="application/vnd.openxmlformats-officedocument.spreadsheetml.worksheet+xml" PartName="/xl/worksheets/sheet12712.xml"/>
  <Override ContentType="application/vnd.openxmlformats-officedocument.spreadsheetml.worksheet+xml" PartName="/xl/worksheets/sheet12713.xml"/>
  <Override ContentType="application/vnd.openxmlformats-officedocument.spreadsheetml.worksheet+xml" PartName="/xl/worksheets/sheet12714.xml"/>
  <Override ContentType="application/vnd.openxmlformats-officedocument.spreadsheetml.worksheet+xml" PartName="/xl/worksheets/sheet12715.xml"/>
  <Override ContentType="application/vnd.openxmlformats-officedocument.spreadsheetml.worksheet+xml" PartName="/xl/worksheets/sheet12716.xml"/>
  <Override ContentType="application/vnd.openxmlformats-officedocument.spreadsheetml.worksheet+xml" PartName="/xl/worksheets/sheet12717.xml"/>
  <Override ContentType="application/vnd.openxmlformats-officedocument.spreadsheetml.worksheet+xml" PartName="/xl/worksheets/sheet12718.xml"/>
  <Override ContentType="application/vnd.openxmlformats-officedocument.spreadsheetml.worksheet+xml" PartName="/xl/worksheets/sheet12719.xml"/>
  <Override ContentType="application/vnd.openxmlformats-officedocument.spreadsheetml.worksheet+xml" PartName="/xl/worksheets/sheet12720.xml"/>
  <Override ContentType="application/vnd.openxmlformats-officedocument.spreadsheetml.worksheet+xml" PartName="/xl/worksheets/sheet12721.xml"/>
  <Override ContentType="application/vnd.openxmlformats-officedocument.spreadsheetml.worksheet+xml" PartName="/xl/worksheets/sheet12722.xml"/>
  <Override ContentType="application/vnd.openxmlformats-officedocument.spreadsheetml.worksheet+xml" PartName="/xl/worksheets/sheet12723.xml"/>
  <Override ContentType="application/vnd.openxmlformats-officedocument.spreadsheetml.worksheet+xml" PartName="/xl/worksheets/sheet12724.xml"/>
  <Override ContentType="application/vnd.openxmlformats-officedocument.spreadsheetml.worksheet+xml" PartName="/xl/worksheets/sheet12725.xml"/>
  <Override ContentType="application/vnd.openxmlformats-officedocument.spreadsheetml.worksheet+xml" PartName="/xl/worksheets/sheet12726.xml"/>
  <Override ContentType="application/vnd.openxmlformats-officedocument.spreadsheetml.worksheet+xml" PartName="/xl/worksheets/sheet12727.xml"/>
  <Override ContentType="application/vnd.openxmlformats-officedocument.spreadsheetml.worksheet+xml" PartName="/xl/worksheets/sheet12728.xml"/>
  <Override ContentType="application/vnd.openxmlformats-officedocument.spreadsheetml.worksheet+xml" PartName="/xl/worksheets/sheet12729.xml"/>
  <Override ContentType="application/vnd.openxmlformats-officedocument.spreadsheetml.worksheet+xml" PartName="/xl/worksheets/sheet12730.xml"/>
  <Override ContentType="application/vnd.openxmlformats-officedocument.spreadsheetml.worksheet+xml" PartName="/xl/worksheets/sheet12731.xml"/>
  <Override ContentType="application/vnd.openxmlformats-officedocument.spreadsheetml.worksheet+xml" PartName="/xl/worksheets/sheet12732.xml"/>
  <Override ContentType="application/vnd.openxmlformats-officedocument.spreadsheetml.worksheet+xml" PartName="/xl/worksheets/sheet12733.xml"/>
  <Override ContentType="application/vnd.openxmlformats-officedocument.spreadsheetml.worksheet+xml" PartName="/xl/worksheets/sheet12734.xml"/>
  <Override ContentType="application/vnd.openxmlformats-officedocument.spreadsheetml.worksheet+xml" PartName="/xl/worksheets/sheet12735.xml"/>
  <Override ContentType="application/vnd.openxmlformats-officedocument.spreadsheetml.worksheet+xml" PartName="/xl/worksheets/sheet12736.xml"/>
  <Override ContentType="application/vnd.openxmlformats-officedocument.spreadsheetml.worksheet+xml" PartName="/xl/worksheets/sheet12737.xml"/>
  <Override ContentType="application/vnd.openxmlformats-officedocument.spreadsheetml.worksheet+xml" PartName="/xl/worksheets/sheet12738.xml"/>
  <Override ContentType="application/vnd.openxmlformats-officedocument.spreadsheetml.worksheet+xml" PartName="/xl/worksheets/sheet12739.xml"/>
  <Override ContentType="application/vnd.openxmlformats-officedocument.spreadsheetml.worksheet+xml" PartName="/xl/worksheets/sheet12740.xml"/>
  <Override ContentType="application/vnd.openxmlformats-officedocument.spreadsheetml.worksheet+xml" PartName="/xl/worksheets/sheet12741.xml"/>
  <Override ContentType="application/vnd.openxmlformats-officedocument.spreadsheetml.worksheet+xml" PartName="/xl/worksheets/sheet12742.xml"/>
  <Override ContentType="application/vnd.openxmlformats-officedocument.spreadsheetml.worksheet+xml" PartName="/xl/worksheets/sheet12743.xml"/>
  <Override ContentType="application/vnd.openxmlformats-officedocument.spreadsheetml.worksheet+xml" PartName="/xl/worksheets/sheet12744.xml"/>
  <Override ContentType="application/vnd.openxmlformats-officedocument.spreadsheetml.worksheet+xml" PartName="/xl/worksheets/sheet12745.xml"/>
  <Override ContentType="application/vnd.openxmlformats-officedocument.spreadsheetml.worksheet+xml" PartName="/xl/worksheets/sheet12746.xml"/>
  <Override ContentType="application/vnd.openxmlformats-officedocument.spreadsheetml.worksheet+xml" PartName="/xl/worksheets/sheet12747.xml"/>
  <Override ContentType="application/vnd.openxmlformats-officedocument.spreadsheetml.worksheet+xml" PartName="/xl/worksheets/sheet12748.xml"/>
  <Override ContentType="application/vnd.openxmlformats-officedocument.spreadsheetml.worksheet+xml" PartName="/xl/worksheets/sheet12749.xml"/>
  <Override ContentType="application/vnd.openxmlformats-officedocument.spreadsheetml.worksheet+xml" PartName="/xl/worksheets/sheet12750.xml"/>
  <Override ContentType="application/vnd.openxmlformats-officedocument.spreadsheetml.worksheet+xml" PartName="/xl/worksheets/sheet12751.xml"/>
  <Override ContentType="application/vnd.openxmlformats-officedocument.spreadsheetml.worksheet+xml" PartName="/xl/worksheets/sheet12752.xml"/>
  <Override ContentType="application/vnd.openxmlformats-officedocument.spreadsheetml.worksheet+xml" PartName="/xl/worksheets/sheet12753.xml"/>
  <Override ContentType="application/vnd.openxmlformats-officedocument.spreadsheetml.worksheet+xml" PartName="/xl/worksheets/sheet12754.xml"/>
  <Override ContentType="application/vnd.openxmlformats-officedocument.spreadsheetml.worksheet+xml" PartName="/xl/worksheets/sheet12755.xml"/>
  <Override ContentType="application/vnd.openxmlformats-officedocument.spreadsheetml.worksheet+xml" PartName="/xl/worksheets/sheet12756.xml"/>
  <Override ContentType="application/vnd.openxmlformats-officedocument.spreadsheetml.worksheet+xml" PartName="/xl/worksheets/sheet12757.xml"/>
  <Override ContentType="application/vnd.openxmlformats-officedocument.spreadsheetml.worksheet+xml" PartName="/xl/worksheets/sheet12758.xml"/>
  <Override ContentType="application/vnd.openxmlformats-officedocument.spreadsheetml.worksheet+xml" PartName="/xl/worksheets/sheet12759.xml"/>
  <Override ContentType="application/vnd.openxmlformats-officedocument.spreadsheetml.worksheet+xml" PartName="/xl/worksheets/sheet12760.xml"/>
  <Override ContentType="application/vnd.openxmlformats-officedocument.spreadsheetml.worksheet+xml" PartName="/xl/worksheets/sheet12761.xml"/>
  <Override ContentType="application/vnd.openxmlformats-officedocument.spreadsheetml.worksheet+xml" PartName="/xl/worksheets/sheet12762.xml"/>
  <Override ContentType="application/vnd.openxmlformats-officedocument.spreadsheetml.worksheet+xml" PartName="/xl/worksheets/sheet12763.xml"/>
  <Override ContentType="application/vnd.openxmlformats-officedocument.spreadsheetml.worksheet+xml" PartName="/xl/worksheets/sheet12764.xml"/>
  <Override ContentType="application/vnd.openxmlformats-officedocument.spreadsheetml.worksheet+xml" PartName="/xl/worksheets/sheet12765.xml"/>
  <Override ContentType="application/vnd.openxmlformats-officedocument.spreadsheetml.worksheet+xml" PartName="/xl/worksheets/sheet12766.xml"/>
  <Override ContentType="application/vnd.openxmlformats-officedocument.spreadsheetml.worksheet+xml" PartName="/xl/worksheets/sheet12767.xml"/>
  <Override ContentType="application/vnd.openxmlformats-officedocument.spreadsheetml.worksheet+xml" PartName="/xl/worksheets/sheet12768.xml"/>
  <Override ContentType="application/vnd.openxmlformats-officedocument.spreadsheetml.worksheet+xml" PartName="/xl/worksheets/sheet12769.xml"/>
  <Override ContentType="application/vnd.openxmlformats-officedocument.spreadsheetml.worksheet+xml" PartName="/xl/worksheets/sheet12770.xml"/>
  <Override ContentType="application/vnd.openxmlformats-officedocument.spreadsheetml.worksheet+xml" PartName="/xl/worksheets/sheet12771.xml"/>
  <Override ContentType="application/vnd.openxmlformats-officedocument.spreadsheetml.worksheet+xml" PartName="/xl/worksheets/sheet12772.xml"/>
  <Override ContentType="application/vnd.openxmlformats-officedocument.spreadsheetml.worksheet+xml" PartName="/xl/worksheets/sheet12773.xml"/>
  <Override ContentType="application/vnd.openxmlformats-officedocument.spreadsheetml.worksheet+xml" PartName="/xl/worksheets/sheet12774.xml"/>
  <Override ContentType="application/vnd.openxmlformats-officedocument.spreadsheetml.worksheet+xml" PartName="/xl/worksheets/sheet12775.xml"/>
  <Override ContentType="application/vnd.openxmlformats-officedocument.spreadsheetml.worksheet+xml" PartName="/xl/worksheets/sheet12776.xml"/>
  <Override ContentType="application/vnd.openxmlformats-officedocument.spreadsheetml.worksheet+xml" PartName="/xl/worksheets/sheet12777.xml"/>
  <Override ContentType="application/vnd.openxmlformats-officedocument.spreadsheetml.worksheet+xml" PartName="/xl/worksheets/sheet12778.xml"/>
  <Override ContentType="application/vnd.openxmlformats-officedocument.spreadsheetml.worksheet+xml" PartName="/xl/worksheets/sheet12779.xml"/>
  <Override ContentType="application/vnd.openxmlformats-officedocument.spreadsheetml.worksheet+xml" PartName="/xl/worksheets/sheet12780.xml"/>
  <Override ContentType="application/vnd.openxmlformats-officedocument.spreadsheetml.worksheet+xml" PartName="/xl/worksheets/sheet12781.xml"/>
  <Override ContentType="application/vnd.openxmlformats-officedocument.spreadsheetml.worksheet+xml" PartName="/xl/worksheets/sheet12782.xml"/>
  <Override ContentType="application/vnd.openxmlformats-officedocument.spreadsheetml.worksheet+xml" PartName="/xl/worksheets/sheet12783.xml"/>
  <Override ContentType="application/vnd.openxmlformats-officedocument.spreadsheetml.worksheet+xml" PartName="/xl/worksheets/sheet12784.xml"/>
  <Override ContentType="application/vnd.openxmlformats-officedocument.spreadsheetml.worksheet+xml" PartName="/xl/worksheets/sheet12785.xml"/>
  <Override ContentType="application/vnd.openxmlformats-officedocument.spreadsheetml.worksheet+xml" PartName="/xl/worksheets/sheet12786.xml"/>
  <Override ContentType="application/vnd.openxmlformats-officedocument.spreadsheetml.worksheet+xml" PartName="/xl/worksheets/sheet12787.xml"/>
  <Override ContentType="application/vnd.openxmlformats-officedocument.spreadsheetml.worksheet+xml" PartName="/xl/worksheets/sheet12788.xml"/>
  <Override ContentType="application/vnd.openxmlformats-officedocument.spreadsheetml.worksheet+xml" PartName="/xl/worksheets/sheet12789.xml"/>
  <Override ContentType="application/vnd.openxmlformats-officedocument.spreadsheetml.worksheet+xml" PartName="/xl/worksheets/sheet12790.xml"/>
  <Override ContentType="application/vnd.openxmlformats-officedocument.spreadsheetml.worksheet+xml" PartName="/xl/worksheets/sheet12791.xml"/>
  <Override ContentType="application/vnd.openxmlformats-officedocument.spreadsheetml.worksheet+xml" PartName="/xl/worksheets/sheet12792.xml"/>
  <Override ContentType="application/vnd.openxmlformats-officedocument.spreadsheetml.worksheet+xml" PartName="/xl/worksheets/sheet12793.xml"/>
  <Override ContentType="application/vnd.openxmlformats-officedocument.spreadsheetml.worksheet+xml" PartName="/xl/worksheets/sheet12794.xml"/>
  <Override ContentType="application/vnd.openxmlformats-officedocument.spreadsheetml.worksheet+xml" PartName="/xl/worksheets/sheet12795.xml"/>
  <Override ContentType="application/vnd.openxmlformats-officedocument.spreadsheetml.worksheet+xml" PartName="/xl/worksheets/sheet12796.xml"/>
  <Override ContentType="application/vnd.openxmlformats-officedocument.spreadsheetml.worksheet+xml" PartName="/xl/worksheets/sheet12797.xml"/>
  <Override ContentType="application/vnd.openxmlformats-officedocument.spreadsheetml.worksheet+xml" PartName="/xl/worksheets/sheet12798.xml"/>
  <Override ContentType="application/vnd.openxmlformats-officedocument.spreadsheetml.worksheet+xml" PartName="/xl/worksheets/sheet12799.xml"/>
  <Override ContentType="application/vnd.openxmlformats-officedocument.spreadsheetml.worksheet+xml" PartName="/xl/worksheets/sheet12800.xml"/>
  <Override ContentType="application/vnd.openxmlformats-officedocument.spreadsheetml.worksheet+xml" PartName="/xl/worksheets/sheet12801.xml"/>
  <Override ContentType="application/vnd.openxmlformats-officedocument.spreadsheetml.worksheet+xml" PartName="/xl/worksheets/sheet12802.xml"/>
  <Override ContentType="application/vnd.openxmlformats-officedocument.spreadsheetml.worksheet+xml" PartName="/xl/worksheets/sheet12803.xml"/>
  <Override ContentType="application/vnd.openxmlformats-officedocument.spreadsheetml.worksheet+xml" PartName="/xl/worksheets/sheet12804.xml"/>
  <Override ContentType="application/vnd.openxmlformats-officedocument.spreadsheetml.worksheet+xml" PartName="/xl/worksheets/sheet12805.xml"/>
  <Override ContentType="application/vnd.openxmlformats-officedocument.spreadsheetml.worksheet+xml" PartName="/xl/worksheets/sheet12806.xml"/>
  <Override ContentType="application/vnd.openxmlformats-officedocument.spreadsheetml.worksheet+xml" PartName="/xl/worksheets/sheet12807.xml"/>
  <Override ContentType="application/vnd.openxmlformats-officedocument.spreadsheetml.worksheet+xml" PartName="/xl/worksheets/sheet12808.xml"/>
  <Override ContentType="application/vnd.openxmlformats-officedocument.spreadsheetml.worksheet+xml" PartName="/xl/worksheets/sheet12809.xml"/>
  <Override ContentType="application/vnd.openxmlformats-officedocument.spreadsheetml.worksheet+xml" PartName="/xl/worksheets/sheet12810.xml"/>
  <Override ContentType="application/vnd.openxmlformats-officedocument.spreadsheetml.worksheet+xml" PartName="/xl/worksheets/sheet12811.xml"/>
  <Override ContentType="application/vnd.openxmlformats-officedocument.spreadsheetml.worksheet+xml" PartName="/xl/worksheets/sheet12812.xml"/>
  <Override ContentType="application/vnd.openxmlformats-officedocument.spreadsheetml.worksheet+xml" PartName="/xl/worksheets/sheet12813.xml"/>
  <Override ContentType="application/vnd.openxmlformats-officedocument.spreadsheetml.worksheet+xml" PartName="/xl/worksheets/sheet12814.xml"/>
  <Override ContentType="application/vnd.openxmlformats-officedocument.spreadsheetml.worksheet+xml" PartName="/xl/worksheets/sheet12815.xml"/>
  <Override ContentType="application/vnd.openxmlformats-officedocument.spreadsheetml.worksheet+xml" PartName="/xl/worksheets/sheet12816.xml"/>
  <Override ContentType="application/vnd.openxmlformats-officedocument.spreadsheetml.worksheet+xml" PartName="/xl/worksheets/sheet12817.xml"/>
  <Override ContentType="application/vnd.openxmlformats-officedocument.spreadsheetml.worksheet+xml" PartName="/xl/worksheets/sheet12818.xml"/>
  <Override ContentType="application/vnd.openxmlformats-officedocument.spreadsheetml.worksheet+xml" PartName="/xl/worksheets/sheet12819.xml"/>
  <Override ContentType="application/vnd.openxmlformats-officedocument.spreadsheetml.worksheet+xml" PartName="/xl/worksheets/sheet12820.xml"/>
  <Override ContentType="application/vnd.openxmlformats-officedocument.spreadsheetml.worksheet+xml" PartName="/xl/worksheets/sheet12821.xml"/>
  <Override ContentType="application/vnd.openxmlformats-officedocument.spreadsheetml.worksheet+xml" PartName="/xl/worksheets/sheet12822.xml"/>
  <Override ContentType="application/vnd.openxmlformats-officedocument.spreadsheetml.worksheet+xml" PartName="/xl/worksheets/sheet12823.xml"/>
  <Override ContentType="application/vnd.openxmlformats-officedocument.spreadsheetml.worksheet+xml" PartName="/xl/worksheets/sheet12824.xml"/>
  <Override ContentType="application/vnd.openxmlformats-officedocument.spreadsheetml.worksheet+xml" PartName="/xl/worksheets/sheet12825.xml"/>
  <Override ContentType="application/vnd.openxmlformats-officedocument.spreadsheetml.worksheet+xml" PartName="/xl/worksheets/sheet12826.xml"/>
  <Override ContentType="application/vnd.openxmlformats-officedocument.spreadsheetml.worksheet+xml" PartName="/xl/worksheets/sheet12827.xml"/>
  <Override ContentType="application/vnd.openxmlformats-officedocument.spreadsheetml.worksheet+xml" PartName="/xl/worksheets/sheet12828.xml"/>
  <Override ContentType="application/vnd.openxmlformats-officedocument.spreadsheetml.worksheet+xml" PartName="/xl/worksheets/sheet12829.xml"/>
  <Override ContentType="application/vnd.openxmlformats-officedocument.spreadsheetml.worksheet+xml" PartName="/xl/worksheets/sheet12830.xml"/>
  <Override ContentType="application/vnd.openxmlformats-officedocument.spreadsheetml.worksheet+xml" PartName="/xl/worksheets/sheet12831.xml"/>
  <Override ContentType="application/vnd.openxmlformats-officedocument.spreadsheetml.worksheet+xml" PartName="/xl/worksheets/sheet12832.xml"/>
  <Override ContentType="application/vnd.openxmlformats-officedocument.spreadsheetml.worksheet+xml" PartName="/xl/worksheets/sheet12833.xml"/>
  <Override ContentType="application/vnd.openxmlformats-officedocument.spreadsheetml.worksheet+xml" PartName="/xl/worksheets/sheet12834.xml"/>
  <Override ContentType="application/vnd.openxmlformats-officedocument.spreadsheetml.worksheet+xml" PartName="/xl/worksheets/sheet12835.xml"/>
  <Override ContentType="application/vnd.openxmlformats-officedocument.spreadsheetml.worksheet+xml" PartName="/xl/worksheets/sheet12836.xml"/>
  <Override ContentType="application/vnd.openxmlformats-officedocument.spreadsheetml.worksheet+xml" PartName="/xl/worksheets/sheet12837.xml"/>
  <Override ContentType="application/vnd.openxmlformats-officedocument.spreadsheetml.worksheet+xml" PartName="/xl/worksheets/sheet12838.xml"/>
  <Override ContentType="application/vnd.openxmlformats-officedocument.spreadsheetml.worksheet+xml" PartName="/xl/worksheets/sheet12839.xml"/>
  <Override ContentType="application/vnd.openxmlformats-officedocument.spreadsheetml.worksheet+xml" PartName="/xl/worksheets/sheet12840.xml"/>
  <Override ContentType="application/vnd.openxmlformats-officedocument.spreadsheetml.worksheet+xml" PartName="/xl/worksheets/sheet12841.xml"/>
  <Override ContentType="application/vnd.openxmlformats-officedocument.spreadsheetml.worksheet+xml" PartName="/xl/worksheets/sheet12842.xml"/>
  <Override ContentType="application/vnd.openxmlformats-officedocument.spreadsheetml.worksheet+xml" PartName="/xl/worksheets/sheet12843.xml"/>
  <Override ContentType="application/vnd.openxmlformats-officedocument.spreadsheetml.worksheet+xml" PartName="/xl/worksheets/sheet12844.xml"/>
  <Override ContentType="application/vnd.openxmlformats-officedocument.spreadsheetml.worksheet+xml" PartName="/xl/worksheets/sheet12845.xml"/>
  <Override ContentType="application/vnd.openxmlformats-officedocument.spreadsheetml.worksheet+xml" PartName="/xl/worksheets/sheet12846.xml"/>
  <Override ContentType="application/vnd.openxmlformats-officedocument.spreadsheetml.worksheet+xml" PartName="/xl/worksheets/sheet12847.xml"/>
  <Override ContentType="application/vnd.openxmlformats-officedocument.spreadsheetml.worksheet+xml" PartName="/xl/worksheets/sheet12848.xml"/>
  <Override ContentType="application/vnd.openxmlformats-officedocument.spreadsheetml.worksheet+xml" PartName="/xl/worksheets/sheet12849.xml"/>
  <Override ContentType="application/vnd.openxmlformats-officedocument.spreadsheetml.worksheet+xml" PartName="/xl/worksheets/sheet12850.xml"/>
  <Override ContentType="application/vnd.openxmlformats-officedocument.spreadsheetml.worksheet+xml" PartName="/xl/worksheets/sheet12851.xml"/>
  <Override ContentType="application/vnd.openxmlformats-officedocument.spreadsheetml.worksheet+xml" PartName="/xl/worksheets/sheet12852.xml"/>
  <Override ContentType="application/vnd.openxmlformats-officedocument.spreadsheetml.worksheet+xml" PartName="/xl/worksheets/sheet12853.xml"/>
  <Override ContentType="application/vnd.openxmlformats-officedocument.spreadsheetml.worksheet+xml" PartName="/xl/worksheets/sheet12854.xml"/>
  <Override ContentType="application/vnd.openxmlformats-officedocument.spreadsheetml.worksheet+xml" PartName="/xl/worksheets/sheet12855.xml"/>
  <Override ContentType="application/vnd.openxmlformats-officedocument.spreadsheetml.worksheet+xml" PartName="/xl/worksheets/sheet12856.xml"/>
  <Override ContentType="application/vnd.openxmlformats-officedocument.spreadsheetml.worksheet+xml" PartName="/xl/worksheets/sheet12857.xml"/>
  <Override ContentType="application/vnd.openxmlformats-officedocument.spreadsheetml.worksheet+xml" PartName="/xl/worksheets/sheet12858.xml"/>
  <Override ContentType="application/vnd.openxmlformats-officedocument.spreadsheetml.worksheet+xml" PartName="/xl/worksheets/sheet12859.xml"/>
  <Override ContentType="application/vnd.openxmlformats-officedocument.spreadsheetml.worksheet+xml" PartName="/xl/worksheets/sheet12860.xml"/>
  <Override ContentType="application/vnd.openxmlformats-officedocument.spreadsheetml.worksheet+xml" PartName="/xl/worksheets/sheet12861.xml"/>
  <Override ContentType="application/vnd.openxmlformats-officedocument.spreadsheetml.worksheet+xml" PartName="/xl/worksheets/sheet12862.xml"/>
  <Override ContentType="application/vnd.openxmlformats-officedocument.spreadsheetml.worksheet+xml" PartName="/xl/worksheets/sheet12863.xml"/>
  <Override ContentType="application/vnd.openxmlformats-officedocument.spreadsheetml.worksheet+xml" PartName="/xl/worksheets/sheet12864.xml"/>
  <Override ContentType="application/vnd.openxmlformats-officedocument.spreadsheetml.worksheet+xml" PartName="/xl/worksheets/sheet12865.xml"/>
  <Override ContentType="application/vnd.openxmlformats-officedocument.spreadsheetml.worksheet+xml" PartName="/xl/worksheets/sheet12866.xml"/>
  <Override ContentType="application/vnd.openxmlformats-officedocument.spreadsheetml.worksheet+xml" PartName="/xl/worksheets/sheet12867.xml"/>
  <Override ContentType="application/vnd.openxmlformats-officedocument.spreadsheetml.worksheet+xml" PartName="/xl/worksheets/sheet12868.xml"/>
  <Override ContentType="application/vnd.openxmlformats-officedocument.spreadsheetml.worksheet+xml" PartName="/xl/worksheets/sheet12869.xml"/>
  <Override ContentType="application/vnd.openxmlformats-officedocument.spreadsheetml.worksheet+xml" PartName="/xl/worksheets/sheet12870.xml"/>
  <Override ContentType="application/vnd.openxmlformats-officedocument.spreadsheetml.worksheet+xml" PartName="/xl/worksheets/sheet12871.xml"/>
  <Override ContentType="application/vnd.openxmlformats-officedocument.spreadsheetml.worksheet+xml" PartName="/xl/worksheets/sheet12872.xml"/>
  <Override ContentType="application/vnd.openxmlformats-officedocument.spreadsheetml.worksheet+xml" PartName="/xl/worksheets/sheet12873.xml"/>
  <Override ContentType="application/vnd.openxmlformats-officedocument.spreadsheetml.worksheet+xml" PartName="/xl/worksheets/sheet12874.xml"/>
  <Override ContentType="application/vnd.openxmlformats-officedocument.spreadsheetml.worksheet+xml" PartName="/xl/worksheets/sheet12875.xml"/>
  <Override ContentType="application/vnd.openxmlformats-officedocument.spreadsheetml.worksheet+xml" PartName="/xl/worksheets/sheet12876.xml"/>
  <Override ContentType="application/vnd.openxmlformats-officedocument.spreadsheetml.worksheet+xml" PartName="/xl/worksheets/sheet12877.xml"/>
  <Override ContentType="application/vnd.openxmlformats-officedocument.spreadsheetml.worksheet+xml" PartName="/xl/worksheets/sheet12878.xml"/>
  <Override ContentType="application/vnd.openxmlformats-officedocument.spreadsheetml.worksheet+xml" PartName="/xl/worksheets/sheet12879.xml"/>
  <Override ContentType="application/vnd.openxmlformats-officedocument.spreadsheetml.worksheet+xml" PartName="/xl/worksheets/sheet12880.xml"/>
  <Override ContentType="application/vnd.openxmlformats-officedocument.spreadsheetml.worksheet+xml" PartName="/xl/worksheets/sheet12881.xml"/>
  <Override ContentType="application/vnd.openxmlformats-officedocument.spreadsheetml.worksheet+xml" PartName="/xl/worksheets/sheet12882.xml"/>
  <Override ContentType="application/vnd.openxmlformats-officedocument.spreadsheetml.worksheet+xml" PartName="/xl/worksheets/sheet12883.xml"/>
  <Override ContentType="application/vnd.openxmlformats-officedocument.spreadsheetml.worksheet+xml" PartName="/xl/worksheets/sheet12884.xml"/>
  <Override ContentType="application/vnd.openxmlformats-officedocument.spreadsheetml.worksheet+xml" PartName="/xl/worksheets/sheet12885.xml"/>
  <Override ContentType="application/vnd.openxmlformats-officedocument.spreadsheetml.worksheet+xml" PartName="/xl/worksheets/sheet12886.xml"/>
  <Override ContentType="application/vnd.openxmlformats-officedocument.spreadsheetml.worksheet+xml" PartName="/xl/worksheets/sheet12887.xml"/>
  <Override ContentType="application/vnd.openxmlformats-officedocument.spreadsheetml.worksheet+xml" PartName="/xl/worksheets/sheet12888.xml"/>
  <Override ContentType="application/vnd.openxmlformats-officedocument.spreadsheetml.worksheet+xml" PartName="/xl/worksheets/sheet12889.xml"/>
  <Override ContentType="application/vnd.openxmlformats-officedocument.spreadsheetml.worksheet+xml" PartName="/xl/worksheets/sheet12890.xml"/>
  <Override ContentType="application/vnd.openxmlformats-officedocument.spreadsheetml.worksheet+xml" PartName="/xl/worksheets/sheet12891.xml"/>
  <Override ContentType="application/vnd.openxmlformats-officedocument.spreadsheetml.worksheet+xml" PartName="/xl/worksheets/sheet12892.xml"/>
  <Override ContentType="application/vnd.openxmlformats-officedocument.spreadsheetml.worksheet+xml" PartName="/xl/worksheets/sheet12893.xml"/>
  <Override ContentType="application/vnd.openxmlformats-officedocument.spreadsheetml.worksheet+xml" PartName="/xl/worksheets/sheet12894.xml"/>
  <Override ContentType="application/vnd.openxmlformats-officedocument.spreadsheetml.worksheet+xml" PartName="/xl/worksheets/sheet12895.xml"/>
  <Override ContentType="application/vnd.openxmlformats-officedocument.spreadsheetml.worksheet+xml" PartName="/xl/worksheets/sheet12896.xml"/>
  <Override ContentType="application/vnd.openxmlformats-officedocument.spreadsheetml.worksheet+xml" PartName="/xl/worksheets/sheet12897.xml"/>
  <Override ContentType="application/vnd.openxmlformats-officedocument.spreadsheetml.worksheet+xml" PartName="/xl/worksheets/sheet12898.xml"/>
  <Override ContentType="application/vnd.openxmlformats-officedocument.spreadsheetml.worksheet+xml" PartName="/xl/worksheets/sheet12899.xml"/>
  <Override ContentType="application/vnd.openxmlformats-officedocument.spreadsheetml.worksheet+xml" PartName="/xl/worksheets/sheet12900.xml"/>
  <Override ContentType="application/vnd.openxmlformats-officedocument.spreadsheetml.worksheet+xml" PartName="/xl/worksheets/sheet12901.xml"/>
  <Override ContentType="application/vnd.openxmlformats-officedocument.spreadsheetml.worksheet+xml" PartName="/xl/worksheets/sheet12902.xml"/>
  <Override ContentType="application/vnd.openxmlformats-officedocument.spreadsheetml.worksheet+xml" PartName="/xl/worksheets/sheet12903.xml"/>
  <Override ContentType="application/vnd.openxmlformats-officedocument.spreadsheetml.worksheet+xml" PartName="/xl/worksheets/sheet12904.xml"/>
  <Override ContentType="application/vnd.openxmlformats-officedocument.spreadsheetml.worksheet+xml" PartName="/xl/worksheets/sheet12905.xml"/>
  <Override ContentType="application/vnd.openxmlformats-officedocument.spreadsheetml.worksheet+xml" PartName="/xl/worksheets/sheet12906.xml"/>
  <Override ContentType="application/vnd.openxmlformats-officedocument.spreadsheetml.worksheet+xml" PartName="/xl/worksheets/sheet12907.xml"/>
  <Override ContentType="application/vnd.openxmlformats-officedocument.spreadsheetml.worksheet+xml" PartName="/xl/worksheets/sheet12908.xml"/>
  <Override ContentType="application/vnd.openxmlformats-officedocument.spreadsheetml.worksheet+xml" PartName="/xl/worksheets/sheet12909.xml"/>
  <Override ContentType="application/vnd.openxmlformats-officedocument.spreadsheetml.worksheet+xml" PartName="/xl/worksheets/sheet12910.xml"/>
  <Override ContentType="application/vnd.openxmlformats-officedocument.spreadsheetml.worksheet+xml" PartName="/xl/worksheets/sheet12911.xml"/>
  <Override ContentType="application/vnd.openxmlformats-officedocument.spreadsheetml.worksheet+xml" PartName="/xl/worksheets/sheet12912.xml"/>
  <Override ContentType="application/vnd.openxmlformats-officedocument.spreadsheetml.worksheet+xml" PartName="/xl/worksheets/sheet12913.xml"/>
  <Override ContentType="application/vnd.openxmlformats-officedocument.spreadsheetml.worksheet+xml" PartName="/xl/worksheets/sheet12914.xml"/>
  <Override ContentType="application/vnd.openxmlformats-officedocument.spreadsheetml.worksheet+xml" PartName="/xl/worksheets/sheet12915.xml"/>
  <Override ContentType="application/vnd.openxmlformats-officedocument.spreadsheetml.worksheet+xml" PartName="/xl/worksheets/sheet12916.xml"/>
  <Override ContentType="application/vnd.openxmlformats-officedocument.spreadsheetml.worksheet+xml" PartName="/xl/worksheets/sheet12917.xml"/>
  <Override ContentType="application/vnd.openxmlformats-officedocument.spreadsheetml.worksheet+xml" PartName="/xl/worksheets/sheet12918.xml"/>
  <Override ContentType="application/vnd.openxmlformats-officedocument.spreadsheetml.worksheet+xml" PartName="/xl/worksheets/sheet12919.xml"/>
  <Override ContentType="application/vnd.openxmlformats-officedocument.spreadsheetml.worksheet+xml" PartName="/xl/worksheets/sheet12920.xml"/>
  <Override ContentType="application/vnd.openxmlformats-officedocument.spreadsheetml.worksheet+xml" PartName="/xl/worksheets/sheet12921.xml"/>
  <Override ContentType="application/vnd.openxmlformats-officedocument.spreadsheetml.worksheet+xml" PartName="/xl/worksheets/sheet12922.xml"/>
  <Override ContentType="application/vnd.openxmlformats-officedocument.spreadsheetml.worksheet+xml" PartName="/xl/worksheets/sheet12923.xml"/>
  <Override ContentType="application/vnd.openxmlformats-officedocument.spreadsheetml.worksheet+xml" PartName="/xl/worksheets/sheet12924.xml"/>
  <Override ContentType="application/vnd.openxmlformats-officedocument.spreadsheetml.worksheet+xml" PartName="/xl/worksheets/sheet12925.xml"/>
  <Override ContentType="application/vnd.openxmlformats-officedocument.spreadsheetml.worksheet+xml" PartName="/xl/worksheets/sheet12926.xml"/>
  <Override ContentType="application/vnd.openxmlformats-officedocument.spreadsheetml.worksheet+xml" PartName="/xl/worksheets/sheet12927.xml"/>
  <Override ContentType="application/vnd.openxmlformats-officedocument.spreadsheetml.worksheet+xml" PartName="/xl/worksheets/sheet12928.xml"/>
  <Override ContentType="application/vnd.openxmlformats-officedocument.spreadsheetml.worksheet+xml" PartName="/xl/worksheets/sheet12929.xml"/>
  <Override ContentType="application/vnd.openxmlformats-officedocument.spreadsheetml.worksheet+xml" PartName="/xl/worksheets/sheet12930.xml"/>
  <Override ContentType="application/vnd.openxmlformats-officedocument.spreadsheetml.worksheet+xml" PartName="/xl/worksheets/sheet12931.xml"/>
  <Override ContentType="application/vnd.openxmlformats-officedocument.spreadsheetml.worksheet+xml" PartName="/xl/worksheets/sheet12932.xml"/>
  <Override ContentType="application/vnd.openxmlformats-officedocument.spreadsheetml.worksheet+xml" PartName="/xl/worksheets/sheet12933.xml"/>
  <Override ContentType="application/vnd.openxmlformats-officedocument.spreadsheetml.worksheet+xml" PartName="/xl/worksheets/sheet12934.xml"/>
  <Override ContentType="application/vnd.openxmlformats-officedocument.spreadsheetml.worksheet+xml" PartName="/xl/worksheets/sheet12935.xml"/>
  <Override ContentType="application/vnd.openxmlformats-officedocument.spreadsheetml.worksheet+xml" PartName="/xl/worksheets/sheet12936.xml"/>
  <Override ContentType="application/vnd.openxmlformats-officedocument.spreadsheetml.worksheet+xml" PartName="/xl/worksheets/sheet12937.xml"/>
  <Override ContentType="application/vnd.openxmlformats-officedocument.spreadsheetml.worksheet+xml" PartName="/xl/worksheets/sheet12938.xml"/>
  <Override ContentType="application/vnd.openxmlformats-officedocument.spreadsheetml.worksheet+xml" PartName="/xl/worksheets/sheet12939.xml"/>
  <Override ContentType="application/vnd.openxmlformats-officedocument.spreadsheetml.worksheet+xml" PartName="/xl/worksheets/sheet12940.xml"/>
  <Override ContentType="application/vnd.openxmlformats-officedocument.spreadsheetml.worksheet+xml" PartName="/xl/worksheets/sheet12941.xml"/>
  <Override ContentType="application/vnd.openxmlformats-officedocument.spreadsheetml.worksheet+xml" PartName="/xl/worksheets/sheet12942.xml"/>
  <Override ContentType="application/vnd.openxmlformats-officedocument.spreadsheetml.worksheet+xml" PartName="/xl/worksheets/sheet12943.xml"/>
  <Override ContentType="application/vnd.openxmlformats-officedocument.spreadsheetml.worksheet+xml" PartName="/xl/worksheets/sheet12944.xml"/>
  <Override ContentType="application/vnd.openxmlformats-officedocument.spreadsheetml.worksheet+xml" PartName="/xl/worksheets/sheet12945.xml"/>
  <Override ContentType="application/vnd.openxmlformats-officedocument.spreadsheetml.worksheet+xml" PartName="/xl/worksheets/sheet12946.xml"/>
  <Override ContentType="application/vnd.openxmlformats-officedocument.spreadsheetml.worksheet+xml" PartName="/xl/worksheets/sheet12947.xml"/>
  <Override ContentType="application/vnd.openxmlformats-officedocument.spreadsheetml.worksheet+xml" PartName="/xl/worksheets/sheet12948.xml"/>
  <Override ContentType="application/vnd.openxmlformats-officedocument.spreadsheetml.worksheet+xml" PartName="/xl/worksheets/sheet12949.xml"/>
  <Override ContentType="application/vnd.openxmlformats-officedocument.spreadsheetml.worksheet+xml" PartName="/xl/worksheets/sheet12950.xml"/>
  <Override ContentType="application/vnd.openxmlformats-officedocument.spreadsheetml.worksheet+xml" PartName="/xl/worksheets/sheet12951.xml"/>
  <Override ContentType="application/vnd.openxmlformats-officedocument.spreadsheetml.worksheet+xml" PartName="/xl/worksheets/sheet12952.xml"/>
  <Override ContentType="application/vnd.openxmlformats-officedocument.spreadsheetml.worksheet+xml" PartName="/xl/worksheets/sheet12953.xml"/>
  <Override ContentType="application/vnd.openxmlformats-officedocument.spreadsheetml.worksheet+xml" PartName="/xl/worksheets/sheet12954.xml"/>
  <Override ContentType="application/vnd.openxmlformats-officedocument.spreadsheetml.worksheet+xml" PartName="/xl/worksheets/sheet12955.xml"/>
  <Override ContentType="application/vnd.openxmlformats-officedocument.spreadsheetml.worksheet+xml" PartName="/xl/worksheets/sheet12956.xml"/>
  <Override ContentType="application/vnd.openxmlformats-officedocument.spreadsheetml.worksheet+xml" PartName="/xl/worksheets/sheet12957.xml"/>
  <Override ContentType="application/vnd.openxmlformats-officedocument.spreadsheetml.worksheet+xml" PartName="/xl/worksheets/sheet12958.xml"/>
  <Override ContentType="application/vnd.openxmlformats-officedocument.spreadsheetml.worksheet+xml" PartName="/xl/worksheets/sheet12959.xml"/>
  <Override ContentType="application/vnd.openxmlformats-officedocument.spreadsheetml.worksheet+xml" PartName="/xl/worksheets/sheet12960.xml"/>
  <Override ContentType="application/vnd.openxmlformats-officedocument.spreadsheetml.worksheet+xml" PartName="/xl/worksheets/sheet12961.xml"/>
  <Override ContentType="application/vnd.openxmlformats-officedocument.spreadsheetml.worksheet+xml" PartName="/xl/worksheets/sheet12962.xml"/>
  <Override ContentType="application/vnd.openxmlformats-officedocument.spreadsheetml.worksheet+xml" PartName="/xl/worksheets/sheet12963.xml"/>
  <Override ContentType="application/vnd.openxmlformats-officedocument.spreadsheetml.worksheet+xml" PartName="/xl/worksheets/sheet12964.xml"/>
  <Override ContentType="application/vnd.openxmlformats-officedocument.spreadsheetml.worksheet+xml" PartName="/xl/worksheets/sheet12965.xml"/>
  <Override ContentType="application/vnd.openxmlformats-officedocument.spreadsheetml.worksheet+xml" PartName="/xl/worksheets/sheet12966.xml"/>
  <Override ContentType="application/vnd.openxmlformats-officedocument.spreadsheetml.worksheet+xml" PartName="/xl/worksheets/sheet12967.xml"/>
  <Override ContentType="application/vnd.openxmlformats-officedocument.spreadsheetml.worksheet+xml" PartName="/xl/worksheets/sheet12968.xml"/>
  <Override ContentType="application/vnd.openxmlformats-officedocument.spreadsheetml.worksheet+xml" PartName="/xl/worksheets/sheet12969.xml"/>
  <Override ContentType="application/vnd.openxmlformats-officedocument.spreadsheetml.worksheet+xml" PartName="/xl/worksheets/sheet12970.xml"/>
  <Override ContentType="application/vnd.openxmlformats-officedocument.spreadsheetml.worksheet+xml" PartName="/xl/worksheets/sheet12971.xml"/>
  <Override ContentType="application/vnd.openxmlformats-officedocument.spreadsheetml.worksheet+xml" PartName="/xl/worksheets/sheet12972.xml"/>
  <Override ContentType="application/vnd.openxmlformats-officedocument.spreadsheetml.worksheet+xml" PartName="/xl/worksheets/sheet12973.xml"/>
  <Override ContentType="application/vnd.openxmlformats-officedocument.spreadsheetml.worksheet+xml" PartName="/xl/worksheets/sheet12974.xml"/>
  <Override ContentType="application/vnd.openxmlformats-officedocument.spreadsheetml.worksheet+xml" PartName="/xl/worksheets/sheet12975.xml"/>
  <Override ContentType="application/vnd.openxmlformats-officedocument.spreadsheetml.worksheet+xml" PartName="/xl/worksheets/sheet12976.xml"/>
  <Override ContentType="application/vnd.openxmlformats-officedocument.spreadsheetml.worksheet+xml" PartName="/xl/worksheets/sheet12977.xml"/>
  <Override ContentType="application/vnd.openxmlformats-officedocument.spreadsheetml.worksheet+xml" PartName="/xl/worksheets/sheet12978.xml"/>
  <Override ContentType="application/vnd.openxmlformats-officedocument.spreadsheetml.worksheet+xml" PartName="/xl/worksheets/sheet12979.xml"/>
  <Override ContentType="application/vnd.openxmlformats-officedocument.spreadsheetml.worksheet+xml" PartName="/xl/worksheets/sheet12980.xml"/>
  <Override ContentType="application/vnd.openxmlformats-officedocument.spreadsheetml.worksheet+xml" PartName="/xl/worksheets/sheet12981.xml"/>
  <Override ContentType="application/vnd.openxmlformats-officedocument.spreadsheetml.worksheet+xml" PartName="/xl/worksheets/sheet12982.xml"/>
  <Override ContentType="application/vnd.openxmlformats-officedocument.spreadsheetml.worksheet+xml" PartName="/xl/worksheets/sheet12983.xml"/>
  <Override ContentType="application/vnd.openxmlformats-officedocument.spreadsheetml.worksheet+xml" PartName="/xl/worksheets/sheet12984.xml"/>
  <Override ContentType="application/vnd.openxmlformats-officedocument.spreadsheetml.worksheet+xml" PartName="/xl/worksheets/sheet12985.xml"/>
  <Override ContentType="application/vnd.openxmlformats-officedocument.spreadsheetml.worksheet+xml" PartName="/xl/worksheets/sheet12986.xml"/>
  <Override ContentType="application/vnd.openxmlformats-officedocument.spreadsheetml.worksheet+xml" PartName="/xl/worksheets/sheet12987.xml"/>
  <Override ContentType="application/vnd.openxmlformats-officedocument.spreadsheetml.worksheet+xml" PartName="/xl/worksheets/sheet12988.xml"/>
  <Override ContentType="application/vnd.openxmlformats-officedocument.spreadsheetml.worksheet+xml" PartName="/xl/worksheets/sheet12989.xml"/>
  <Override ContentType="application/vnd.openxmlformats-officedocument.spreadsheetml.worksheet+xml" PartName="/xl/worksheets/sheet12990.xml"/>
  <Override ContentType="application/vnd.openxmlformats-officedocument.spreadsheetml.worksheet+xml" PartName="/xl/worksheets/sheet12991.xml"/>
  <Override ContentType="application/vnd.openxmlformats-officedocument.spreadsheetml.worksheet+xml" PartName="/xl/worksheets/sheet12992.xml"/>
  <Override ContentType="application/vnd.openxmlformats-officedocument.spreadsheetml.worksheet+xml" PartName="/xl/worksheets/sheet12993.xml"/>
  <Override ContentType="application/vnd.openxmlformats-officedocument.spreadsheetml.worksheet+xml" PartName="/xl/worksheets/sheet12994.xml"/>
  <Override ContentType="application/vnd.openxmlformats-officedocument.spreadsheetml.worksheet+xml" PartName="/xl/worksheets/sheet12995.xml"/>
  <Override ContentType="application/vnd.openxmlformats-officedocument.spreadsheetml.worksheet+xml" PartName="/xl/worksheets/sheet12996.xml"/>
  <Override ContentType="application/vnd.openxmlformats-officedocument.spreadsheetml.worksheet+xml" PartName="/xl/worksheets/sheet12997.xml"/>
  <Override ContentType="application/vnd.openxmlformats-officedocument.spreadsheetml.worksheet+xml" PartName="/xl/worksheets/sheet12998.xml"/>
  <Override ContentType="application/vnd.openxmlformats-officedocument.spreadsheetml.worksheet+xml" PartName="/xl/worksheets/sheet12999.xml"/>
  <Override ContentType="application/vnd.openxmlformats-officedocument.spreadsheetml.worksheet+xml" PartName="/xl/worksheets/sheet13000.xml"/>
  <Override ContentType="application/vnd.openxmlformats-officedocument.spreadsheetml.worksheet+xml" PartName="/xl/worksheets/sheet13001.xml"/>
  <Override ContentType="application/vnd.openxmlformats-officedocument.spreadsheetml.worksheet+xml" PartName="/xl/worksheets/sheet13002.xml"/>
  <Override ContentType="application/vnd.openxmlformats-officedocument.spreadsheetml.worksheet+xml" PartName="/xl/worksheets/sheet13003.xml"/>
  <Override ContentType="application/vnd.openxmlformats-officedocument.spreadsheetml.worksheet+xml" PartName="/xl/worksheets/sheet13004.xml"/>
  <Override ContentType="application/vnd.openxmlformats-officedocument.spreadsheetml.worksheet+xml" PartName="/xl/worksheets/sheet13005.xml"/>
  <Override ContentType="application/vnd.openxmlformats-officedocument.spreadsheetml.worksheet+xml" PartName="/xl/worksheets/sheet13006.xml"/>
  <Override ContentType="application/vnd.openxmlformats-officedocument.spreadsheetml.worksheet+xml" PartName="/xl/worksheets/sheet13007.xml"/>
  <Override ContentType="application/vnd.openxmlformats-officedocument.spreadsheetml.worksheet+xml" PartName="/xl/worksheets/sheet13008.xml"/>
  <Override ContentType="application/vnd.openxmlformats-officedocument.spreadsheetml.worksheet+xml" PartName="/xl/worksheets/sheet13009.xml"/>
  <Override ContentType="application/vnd.openxmlformats-officedocument.spreadsheetml.worksheet+xml" PartName="/xl/worksheets/sheet13010.xml"/>
  <Override ContentType="application/vnd.openxmlformats-officedocument.spreadsheetml.worksheet+xml" PartName="/xl/worksheets/sheet13011.xml"/>
  <Override ContentType="application/vnd.openxmlformats-officedocument.spreadsheetml.worksheet+xml" PartName="/xl/worksheets/sheet13012.xml"/>
  <Override ContentType="application/vnd.openxmlformats-officedocument.spreadsheetml.worksheet+xml" PartName="/xl/worksheets/sheet13013.xml"/>
  <Override ContentType="application/vnd.openxmlformats-officedocument.spreadsheetml.worksheet+xml" PartName="/xl/worksheets/sheet13014.xml"/>
  <Override ContentType="application/vnd.openxmlformats-officedocument.spreadsheetml.worksheet+xml" PartName="/xl/worksheets/sheet13015.xml"/>
  <Override ContentType="application/vnd.openxmlformats-officedocument.spreadsheetml.worksheet+xml" PartName="/xl/worksheets/sheet13016.xml"/>
  <Override ContentType="application/vnd.openxmlformats-officedocument.spreadsheetml.worksheet+xml" PartName="/xl/worksheets/sheet13017.xml"/>
  <Override ContentType="application/vnd.openxmlformats-officedocument.spreadsheetml.worksheet+xml" PartName="/xl/worksheets/sheet13018.xml"/>
  <Override ContentType="application/vnd.openxmlformats-officedocument.spreadsheetml.worksheet+xml" PartName="/xl/worksheets/sheet13019.xml"/>
  <Override ContentType="application/vnd.openxmlformats-officedocument.spreadsheetml.worksheet+xml" PartName="/xl/worksheets/sheet13020.xml"/>
  <Override ContentType="application/vnd.openxmlformats-officedocument.spreadsheetml.worksheet+xml" PartName="/xl/worksheets/sheet13021.xml"/>
  <Override ContentType="application/vnd.openxmlformats-officedocument.spreadsheetml.worksheet+xml" PartName="/xl/worksheets/sheet13022.xml"/>
  <Override ContentType="application/vnd.openxmlformats-officedocument.spreadsheetml.worksheet+xml" PartName="/xl/worksheets/sheet13023.xml"/>
  <Override ContentType="application/vnd.openxmlformats-officedocument.spreadsheetml.worksheet+xml" PartName="/xl/worksheets/sheet13024.xml"/>
  <Override ContentType="application/vnd.openxmlformats-officedocument.spreadsheetml.worksheet+xml" PartName="/xl/worksheets/sheet13025.xml"/>
  <Override ContentType="application/vnd.openxmlformats-officedocument.spreadsheetml.worksheet+xml" PartName="/xl/worksheets/sheet13026.xml"/>
  <Override ContentType="application/vnd.openxmlformats-officedocument.spreadsheetml.worksheet+xml" PartName="/xl/worksheets/sheet13027.xml"/>
  <Override ContentType="application/vnd.openxmlformats-officedocument.spreadsheetml.worksheet+xml" PartName="/xl/worksheets/sheet13028.xml"/>
  <Override ContentType="application/vnd.openxmlformats-officedocument.spreadsheetml.worksheet+xml" PartName="/xl/worksheets/sheet13029.xml"/>
  <Override ContentType="application/vnd.openxmlformats-officedocument.spreadsheetml.worksheet+xml" PartName="/xl/worksheets/sheet13030.xml"/>
  <Override ContentType="application/vnd.openxmlformats-officedocument.spreadsheetml.worksheet+xml" PartName="/xl/worksheets/sheet13031.xml"/>
  <Override ContentType="application/vnd.openxmlformats-officedocument.spreadsheetml.worksheet+xml" PartName="/xl/worksheets/sheet13032.xml"/>
  <Override ContentType="application/vnd.openxmlformats-officedocument.spreadsheetml.worksheet+xml" PartName="/xl/worksheets/sheet13033.xml"/>
  <Override ContentType="application/vnd.openxmlformats-officedocument.spreadsheetml.worksheet+xml" PartName="/xl/worksheets/sheet13034.xml"/>
  <Override ContentType="application/vnd.openxmlformats-officedocument.spreadsheetml.worksheet+xml" PartName="/xl/worksheets/sheet13035.xml"/>
  <Override ContentType="application/vnd.openxmlformats-officedocument.spreadsheetml.worksheet+xml" PartName="/xl/worksheets/sheet13036.xml"/>
  <Override ContentType="application/vnd.openxmlformats-officedocument.spreadsheetml.worksheet+xml" PartName="/xl/worksheets/sheet13037.xml"/>
  <Override ContentType="application/vnd.openxmlformats-officedocument.spreadsheetml.worksheet+xml" PartName="/xl/worksheets/sheet13038.xml"/>
  <Override ContentType="application/vnd.openxmlformats-officedocument.spreadsheetml.worksheet+xml" PartName="/xl/worksheets/sheet13039.xml"/>
  <Override ContentType="application/vnd.openxmlformats-officedocument.spreadsheetml.worksheet+xml" PartName="/xl/worksheets/sheet13040.xml"/>
  <Override ContentType="application/vnd.openxmlformats-officedocument.spreadsheetml.worksheet+xml" PartName="/xl/worksheets/sheet13041.xml"/>
  <Override ContentType="application/vnd.openxmlformats-officedocument.spreadsheetml.worksheet+xml" PartName="/xl/worksheets/sheet13042.xml"/>
  <Override ContentType="application/vnd.openxmlformats-officedocument.spreadsheetml.worksheet+xml" PartName="/xl/worksheets/sheet13043.xml"/>
  <Override ContentType="application/vnd.openxmlformats-officedocument.spreadsheetml.worksheet+xml" PartName="/xl/worksheets/sheet13044.xml"/>
  <Override ContentType="application/vnd.openxmlformats-officedocument.spreadsheetml.worksheet+xml" PartName="/xl/worksheets/sheet13045.xml"/>
  <Override ContentType="application/vnd.openxmlformats-officedocument.spreadsheetml.worksheet+xml" PartName="/xl/worksheets/sheet13046.xml"/>
  <Override ContentType="application/vnd.openxmlformats-officedocument.spreadsheetml.worksheet+xml" PartName="/xl/worksheets/sheet13047.xml"/>
  <Override ContentType="application/vnd.openxmlformats-officedocument.spreadsheetml.worksheet+xml" PartName="/xl/worksheets/sheet13048.xml"/>
  <Override ContentType="application/vnd.openxmlformats-officedocument.spreadsheetml.worksheet+xml" PartName="/xl/worksheets/sheet13049.xml"/>
  <Override ContentType="application/vnd.openxmlformats-officedocument.spreadsheetml.worksheet+xml" PartName="/xl/worksheets/sheet13050.xml"/>
  <Override ContentType="application/vnd.openxmlformats-officedocument.spreadsheetml.worksheet+xml" PartName="/xl/worksheets/sheet13051.xml"/>
  <Override ContentType="application/vnd.openxmlformats-officedocument.spreadsheetml.worksheet+xml" PartName="/xl/worksheets/sheet13052.xml"/>
  <Override ContentType="application/vnd.openxmlformats-officedocument.spreadsheetml.worksheet+xml" PartName="/xl/worksheets/sheet13053.xml"/>
  <Override ContentType="application/vnd.openxmlformats-officedocument.spreadsheetml.worksheet+xml" PartName="/xl/worksheets/sheet13054.xml"/>
  <Override ContentType="application/vnd.openxmlformats-officedocument.spreadsheetml.worksheet+xml" PartName="/xl/worksheets/sheet13055.xml"/>
  <Override ContentType="application/vnd.openxmlformats-officedocument.spreadsheetml.worksheet+xml" PartName="/xl/worksheets/sheet13056.xml"/>
  <Override ContentType="application/vnd.openxmlformats-officedocument.spreadsheetml.worksheet+xml" PartName="/xl/worksheets/sheet13057.xml"/>
  <Override ContentType="application/vnd.openxmlformats-officedocument.spreadsheetml.worksheet+xml" PartName="/xl/worksheets/sheet13058.xml"/>
  <Override ContentType="application/vnd.openxmlformats-officedocument.spreadsheetml.worksheet+xml" PartName="/xl/worksheets/sheet13059.xml"/>
  <Override ContentType="application/vnd.openxmlformats-officedocument.spreadsheetml.worksheet+xml" PartName="/xl/worksheets/sheet13060.xml"/>
  <Override ContentType="application/vnd.openxmlformats-officedocument.spreadsheetml.worksheet+xml" PartName="/xl/worksheets/sheet13061.xml"/>
  <Override ContentType="application/vnd.openxmlformats-officedocument.spreadsheetml.worksheet+xml" PartName="/xl/worksheets/sheet13062.xml"/>
  <Override ContentType="application/vnd.openxmlformats-officedocument.spreadsheetml.worksheet+xml" PartName="/xl/worksheets/sheet13063.xml"/>
  <Override ContentType="application/vnd.openxmlformats-officedocument.spreadsheetml.worksheet+xml" PartName="/xl/worksheets/sheet13064.xml"/>
  <Override ContentType="application/vnd.openxmlformats-officedocument.spreadsheetml.worksheet+xml" PartName="/xl/worksheets/sheet13065.xml"/>
  <Override ContentType="application/vnd.openxmlformats-officedocument.spreadsheetml.worksheet+xml" PartName="/xl/worksheets/sheet13066.xml"/>
  <Override ContentType="application/vnd.openxmlformats-officedocument.spreadsheetml.worksheet+xml" PartName="/xl/worksheets/sheet13067.xml"/>
  <Override ContentType="application/vnd.openxmlformats-officedocument.spreadsheetml.worksheet+xml" PartName="/xl/worksheets/sheet13068.xml"/>
  <Override ContentType="application/vnd.openxmlformats-officedocument.spreadsheetml.worksheet+xml" PartName="/xl/worksheets/sheet13069.xml"/>
  <Override ContentType="application/vnd.openxmlformats-officedocument.spreadsheetml.worksheet+xml" PartName="/xl/worksheets/sheet13070.xml"/>
  <Override ContentType="application/vnd.openxmlformats-officedocument.spreadsheetml.worksheet+xml" PartName="/xl/worksheets/sheet13071.xml"/>
  <Override ContentType="application/vnd.openxmlformats-officedocument.spreadsheetml.worksheet+xml" PartName="/xl/worksheets/sheet13072.xml"/>
  <Override ContentType="application/vnd.openxmlformats-officedocument.spreadsheetml.worksheet+xml" PartName="/xl/worksheets/sheet13073.xml"/>
  <Override ContentType="application/vnd.openxmlformats-officedocument.spreadsheetml.worksheet+xml" PartName="/xl/worksheets/sheet13074.xml"/>
  <Override ContentType="application/vnd.openxmlformats-officedocument.spreadsheetml.worksheet+xml" PartName="/xl/worksheets/sheet13075.xml"/>
  <Override ContentType="application/vnd.openxmlformats-officedocument.spreadsheetml.worksheet+xml" PartName="/xl/worksheets/sheet13076.xml"/>
  <Override ContentType="application/vnd.openxmlformats-officedocument.spreadsheetml.worksheet+xml" PartName="/xl/worksheets/sheet13077.xml"/>
  <Override ContentType="application/vnd.openxmlformats-officedocument.spreadsheetml.worksheet+xml" PartName="/xl/worksheets/sheet13078.xml"/>
  <Override ContentType="application/vnd.openxmlformats-officedocument.spreadsheetml.worksheet+xml" PartName="/xl/worksheets/sheet13079.xml"/>
  <Override ContentType="application/vnd.openxmlformats-officedocument.spreadsheetml.worksheet+xml" PartName="/xl/worksheets/sheet13080.xml"/>
  <Override ContentType="application/vnd.openxmlformats-officedocument.spreadsheetml.worksheet+xml" PartName="/xl/worksheets/sheet13081.xml"/>
  <Override ContentType="application/vnd.openxmlformats-officedocument.spreadsheetml.worksheet+xml" PartName="/xl/worksheets/sheet13082.xml"/>
  <Override ContentType="application/vnd.openxmlformats-officedocument.spreadsheetml.worksheet+xml" PartName="/xl/worksheets/sheet13083.xml"/>
  <Override ContentType="application/vnd.openxmlformats-officedocument.spreadsheetml.worksheet+xml" PartName="/xl/worksheets/sheet13084.xml"/>
  <Override ContentType="application/vnd.openxmlformats-officedocument.spreadsheetml.worksheet+xml" PartName="/xl/worksheets/sheet13085.xml"/>
  <Override ContentType="application/vnd.openxmlformats-officedocument.spreadsheetml.worksheet+xml" PartName="/xl/worksheets/sheet13086.xml"/>
  <Override ContentType="application/vnd.openxmlformats-officedocument.spreadsheetml.worksheet+xml" PartName="/xl/worksheets/sheet13087.xml"/>
  <Override ContentType="application/vnd.openxmlformats-officedocument.spreadsheetml.worksheet+xml" PartName="/xl/worksheets/sheet13088.xml"/>
  <Override ContentType="application/vnd.openxmlformats-officedocument.spreadsheetml.worksheet+xml" PartName="/xl/worksheets/sheet13089.xml"/>
  <Override ContentType="application/vnd.openxmlformats-officedocument.spreadsheetml.worksheet+xml" PartName="/xl/worksheets/sheet13090.xml"/>
  <Override ContentType="application/vnd.openxmlformats-officedocument.spreadsheetml.worksheet+xml" PartName="/xl/worksheets/sheet13091.xml"/>
  <Override ContentType="application/vnd.openxmlformats-officedocument.spreadsheetml.worksheet+xml" PartName="/xl/worksheets/sheet13092.xml"/>
  <Override ContentType="application/vnd.openxmlformats-officedocument.spreadsheetml.worksheet+xml" PartName="/xl/worksheets/sheet13093.xml"/>
  <Override ContentType="application/vnd.openxmlformats-officedocument.spreadsheetml.worksheet+xml" PartName="/xl/worksheets/sheet13094.xml"/>
  <Override ContentType="application/vnd.openxmlformats-officedocument.spreadsheetml.worksheet+xml" PartName="/xl/worksheets/sheet13095.xml"/>
  <Override ContentType="application/vnd.openxmlformats-officedocument.spreadsheetml.worksheet+xml" PartName="/xl/worksheets/sheet13096.xml"/>
  <Override ContentType="application/vnd.openxmlformats-officedocument.spreadsheetml.worksheet+xml" PartName="/xl/worksheets/sheet13097.xml"/>
  <Override ContentType="application/vnd.openxmlformats-officedocument.spreadsheetml.worksheet+xml" PartName="/xl/worksheets/sheet13098.xml"/>
  <Override ContentType="application/vnd.openxmlformats-officedocument.spreadsheetml.worksheet+xml" PartName="/xl/worksheets/sheet13099.xml"/>
  <Override ContentType="application/vnd.openxmlformats-officedocument.spreadsheetml.worksheet+xml" PartName="/xl/worksheets/sheet13100.xml"/>
  <Override ContentType="application/vnd.openxmlformats-officedocument.spreadsheetml.worksheet+xml" PartName="/xl/worksheets/sheet13101.xml"/>
  <Override ContentType="application/vnd.openxmlformats-officedocument.spreadsheetml.worksheet+xml" PartName="/xl/worksheets/sheet13102.xml"/>
  <Override ContentType="application/vnd.openxmlformats-officedocument.spreadsheetml.worksheet+xml" PartName="/xl/worksheets/sheet13103.xml"/>
  <Override ContentType="application/vnd.openxmlformats-officedocument.spreadsheetml.worksheet+xml" PartName="/xl/worksheets/sheet13104.xml"/>
  <Override ContentType="application/vnd.openxmlformats-officedocument.spreadsheetml.worksheet+xml" PartName="/xl/worksheets/sheet13105.xml"/>
  <Override ContentType="application/vnd.openxmlformats-officedocument.spreadsheetml.worksheet+xml" PartName="/xl/worksheets/sheet13106.xml"/>
  <Override ContentType="application/vnd.openxmlformats-officedocument.spreadsheetml.worksheet+xml" PartName="/xl/worksheets/sheet13107.xml"/>
  <Override ContentType="application/vnd.openxmlformats-officedocument.spreadsheetml.worksheet+xml" PartName="/xl/worksheets/sheet13108.xml"/>
  <Override ContentType="application/vnd.openxmlformats-officedocument.spreadsheetml.worksheet+xml" PartName="/xl/worksheets/sheet13109.xml"/>
  <Override ContentType="application/vnd.openxmlformats-officedocument.spreadsheetml.worksheet+xml" PartName="/xl/worksheets/sheet13110.xml"/>
  <Override ContentType="application/vnd.openxmlformats-officedocument.spreadsheetml.worksheet+xml" PartName="/xl/worksheets/sheet13111.xml"/>
  <Override ContentType="application/vnd.openxmlformats-officedocument.spreadsheetml.worksheet+xml" PartName="/xl/worksheets/sheet13112.xml"/>
  <Override ContentType="application/vnd.openxmlformats-officedocument.spreadsheetml.worksheet+xml" PartName="/xl/worksheets/sheet13113.xml"/>
  <Override ContentType="application/vnd.openxmlformats-officedocument.spreadsheetml.worksheet+xml" PartName="/xl/worksheets/sheet13114.xml"/>
  <Override ContentType="application/vnd.openxmlformats-officedocument.spreadsheetml.worksheet+xml" PartName="/xl/worksheets/sheet13115.xml"/>
  <Override ContentType="application/vnd.openxmlformats-officedocument.spreadsheetml.worksheet+xml" PartName="/xl/worksheets/sheet13116.xml"/>
  <Override ContentType="application/vnd.openxmlformats-officedocument.spreadsheetml.worksheet+xml" PartName="/xl/worksheets/sheet13117.xml"/>
  <Override ContentType="application/vnd.openxmlformats-officedocument.spreadsheetml.worksheet+xml" PartName="/xl/worksheets/sheet13118.xml"/>
  <Override ContentType="application/vnd.openxmlformats-officedocument.spreadsheetml.worksheet+xml" PartName="/xl/worksheets/sheet13119.xml"/>
  <Override ContentType="application/vnd.openxmlformats-officedocument.spreadsheetml.worksheet+xml" PartName="/xl/worksheets/sheet13120.xml"/>
  <Override ContentType="application/vnd.openxmlformats-officedocument.spreadsheetml.worksheet+xml" PartName="/xl/worksheets/sheet13121.xml"/>
  <Override ContentType="application/vnd.openxmlformats-officedocument.spreadsheetml.worksheet+xml" PartName="/xl/worksheets/sheet13122.xml"/>
  <Override ContentType="application/vnd.openxmlformats-officedocument.spreadsheetml.worksheet+xml" PartName="/xl/worksheets/sheet13123.xml"/>
  <Override ContentType="application/vnd.openxmlformats-officedocument.spreadsheetml.worksheet+xml" PartName="/xl/worksheets/sheet13124.xml"/>
  <Override ContentType="application/vnd.openxmlformats-officedocument.spreadsheetml.worksheet+xml" PartName="/xl/worksheets/sheet13125.xml"/>
  <Override ContentType="application/vnd.openxmlformats-officedocument.spreadsheetml.worksheet+xml" PartName="/xl/worksheets/sheet13126.xml"/>
  <Override ContentType="application/vnd.openxmlformats-officedocument.spreadsheetml.worksheet+xml" PartName="/xl/worksheets/sheet13127.xml"/>
  <Override ContentType="application/vnd.openxmlformats-officedocument.spreadsheetml.worksheet+xml" PartName="/xl/worksheets/sheet13128.xml"/>
  <Override ContentType="application/vnd.openxmlformats-officedocument.spreadsheetml.worksheet+xml" PartName="/xl/worksheets/sheet13129.xml"/>
  <Override ContentType="application/vnd.openxmlformats-officedocument.spreadsheetml.worksheet+xml" PartName="/xl/worksheets/sheet13130.xml"/>
  <Override ContentType="application/vnd.openxmlformats-officedocument.spreadsheetml.worksheet+xml" PartName="/xl/worksheets/sheet13131.xml"/>
  <Override ContentType="application/vnd.openxmlformats-officedocument.spreadsheetml.worksheet+xml" PartName="/xl/worksheets/sheet13132.xml"/>
  <Override ContentType="application/vnd.openxmlformats-officedocument.spreadsheetml.worksheet+xml" PartName="/xl/worksheets/sheet13133.xml"/>
  <Override ContentType="application/vnd.openxmlformats-officedocument.spreadsheetml.worksheet+xml" PartName="/xl/worksheets/sheet13134.xml"/>
  <Override ContentType="application/vnd.openxmlformats-officedocument.spreadsheetml.worksheet+xml" PartName="/xl/worksheets/sheet13135.xml"/>
  <Override ContentType="application/vnd.openxmlformats-officedocument.spreadsheetml.worksheet+xml" PartName="/xl/worksheets/sheet13136.xml"/>
  <Override ContentType="application/vnd.openxmlformats-officedocument.spreadsheetml.worksheet+xml" PartName="/xl/worksheets/sheet13137.xml"/>
  <Override ContentType="application/vnd.openxmlformats-officedocument.spreadsheetml.worksheet+xml" PartName="/xl/worksheets/sheet13138.xml"/>
  <Override ContentType="application/vnd.openxmlformats-officedocument.spreadsheetml.worksheet+xml" PartName="/xl/worksheets/sheet13139.xml"/>
  <Override ContentType="application/vnd.openxmlformats-officedocument.spreadsheetml.worksheet+xml" PartName="/xl/worksheets/sheet13140.xml"/>
  <Override ContentType="application/vnd.openxmlformats-officedocument.spreadsheetml.worksheet+xml" PartName="/xl/worksheets/sheet13141.xml"/>
  <Override ContentType="application/vnd.openxmlformats-officedocument.spreadsheetml.worksheet+xml" PartName="/xl/worksheets/sheet13142.xml"/>
  <Override ContentType="application/vnd.openxmlformats-officedocument.spreadsheetml.worksheet+xml" PartName="/xl/worksheets/sheet13143.xml"/>
  <Override ContentType="application/vnd.openxmlformats-officedocument.spreadsheetml.worksheet+xml" PartName="/xl/worksheets/sheet13144.xml"/>
  <Override ContentType="application/vnd.openxmlformats-officedocument.spreadsheetml.worksheet+xml" PartName="/xl/worksheets/sheet13145.xml"/>
  <Override ContentType="application/vnd.openxmlformats-officedocument.spreadsheetml.worksheet+xml" PartName="/xl/worksheets/sheet13146.xml"/>
  <Override ContentType="application/vnd.openxmlformats-officedocument.spreadsheetml.worksheet+xml" PartName="/xl/worksheets/sheet13147.xml"/>
  <Override ContentType="application/vnd.openxmlformats-officedocument.spreadsheetml.worksheet+xml" PartName="/xl/worksheets/sheet13148.xml"/>
  <Override ContentType="application/vnd.openxmlformats-officedocument.spreadsheetml.worksheet+xml" PartName="/xl/worksheets/sheet13149.xml"/>
  <Override ContentType="application/vnd.openxmlformats-officedocument.spreadsheetml.worksheet+xml" PartName="/xl/worksheets/sheet13150.xml"/>
  <Override ContentType="application/vnd.openxmlformats-officedocument.spreadsheetml.worksheet+xml" PartName="/xl/worksheets/sheet13151.xml"/>
  <Override ContentType="application/vnd.openxmlformats-officedocument.spreadsheetml.worksheet+xml" PartName="/xl/worksheets/sheet13152.xml"/>
  <Override ContentType="application/vnd.openxmlformats-officedocument.spreadsheetml.worksheet+xml" PartName="/xl/worksheets/sheet13153.xml"/>
  <Override ContentType="application/vnd.openxmlformats-officedocument.spreadsheetml.worksheet+xml" PartName="/xl/worksheets/sheet13154.xml"/>
  <Override ContentType="application/vnd.openxmlformats-officedocument.spreadsheetml.worksheet+xml" PartName="/xl/worksheets/sheet13155.xml"/>
  <Override ContentType="application/vnd.openxmlformats-officedocument.spreadsheetml.worksheet+xml" PartName="/xl/worksheets/sheet13156.xml"/>
  <Override ContentType="application/vnd.openxmlformats-officedocument.spreadsheetml.worksheet+xml" PartName="/xl/worksheets/sheet13157.xml"/>
  <Override ContentType="application/vnd.openxmlformats-officedocument.spreadsheetml.worksheet+xml" PartName="/xl/worksheets/sheet13158.xml"/>
  <Override ContentType="application/vnd.openxmlformats-officedocument.spreadsheetml.worksheet+xml" PartName="/xl/worksheets/sheet13159.xml"/>
  <Override ContentType="application/vnd.openxmlformats-officedocument.spreadsheetml.worksheet+xml" PartName="/xl/worksheets/sheet13160.xml"/>
  <Override ContentType="application/vnd.openxmlformats-officedocument.spreadsheetml.worksheet+xml" PartName="/xl/worksheets/sheet13161.xml"/>
  <Override ContentType="application/vnd.openxmlformats-officedocument.spreadsheetml.worksheet+xml" PartName="/xl/worksheets/sheet13162.xml"/>
  <Override ContentType="application/vnd.openxmlformats-officedocument.spreadsheetml.worksheet+xml" PartName="/xl/worksheets/sheet13163.xml"/>
  <Override ContentType="application/vnd.openxmlformats-officedocument.spreadsheetml.worksheet+xml" PartName="/xl/worksheets/sheet13164.xml"/>
  <Override ContentType="application/vnd.openxmlformats-officedocument.spreadsheetml.worksheet+xml" PartName="/xl/worksheets/sheet13165.xml"/>
  <Override ContentType="application/vnd.openxmlformats-officedocument.spreadsheetml.worksheet+xml" PartName="/xl/worksheets/sheet13166.xml"/>
  <Override ContentType="application/vnd.openxmlformats-officedocument.spreadsheetml.worksheet+xml" PartName="/xl/worksheets/sheet13167.xml"/>
  <Override ContentType="application/vnd.openxmlformats-officedocument.spreadsheetml.worksheet+xml" PartName="/xl/worksheets/sheet13168.xml"/>
  <Override ContentType="application/vnd.openxmlformats-officedocument.spreadsheetml.worksheet+xml" PartName="/xl/worksheets/sheet13169.xml"/>
  <Override ContentType="application/vnd.openxmlformats-officedocument.spreadsheetml.worksheet+xml" PartName="/xl/worksheets/sheet13170.xml"/>
  <Override ContentType="application/vnd.openxmlformats-officedocument.spreadsheetml.worksheet+xml" PartName="/xl/worksheets/sheet13171.xml"/>
  <Override ContentType="application/vnd.openxmlformats-officedocument.spreadsheetml.worksheet+xml" PartName="/xl/worksheets/sheet13172.xml"/>
  <Override ContentType="application/vnd.openxmlformats-officedocument.spreadsheetml.worksheet+xml" PartName="/xl/worksheets/sheet13173.xml"/>
  <Override ContentType="application/vnd.openxmlformats-officedocument.spreadsheetml.worksheet+xml" PartName="/xl/worksheets/sheet13174.xml"/>
  <Override ContentType="application/vnd.openxmlformats-officedocument.spreadsheetml.worksheet+xml" PartName="/xl/worksheets/sheet13175.xml"/>
  <Override ContentType="application/vnd.openxmlformats-officedocument.spreadsheetml.worksheet+xml" PartName="/xl/worksheets/sheet13176.xml"/>
  <Override ContentType="application/vnd.openxmlformats-officedocument.spreadsheetml.worksheet+xml" PartName="/xl/worksheets/sheet13177.xml"/>
  <Override ContentType="application/vnd.openxmlformats-officedocument.spreadsheetml.worksheet+xml" PartName="/xl/worksheets/sheet13178.xml"/>
  <Override ContentType="application/vnd.openxmlformats-officedocument.spreadsheetml.worksheet+xml" PartName="/xl/worksheets/sheet13179.xml"/>
  <Override ContentType="application/vnd.openxmlformats-officedocument.spreadsheetml.worksheet+xml" PartName="/xl/worksheets/sheet13180.xml"/>
  <Override ContentType="application/vnd.openxmlformats-officedocument.spreadsheetml.worksheet+xml" PartName="/xl/worksheets/sheet13181.xml"/>
  <Override ContentType="application/vnd.openxmlformats-officedocument.spreadsheetml.worksheet+xml" PartName="/xl/worksheets/sheet13182.xml"/>
  <Override ContentType="application/vnd.openxmlformats-officedocument.spreadsheetml.worksheet+xml" PartName="/xl/worksheets/sheet13183.xml"/>
  <Override ContentType="application/vnd.openxmlformats-officedocument.spreadsheetml.worksheet+xml" PartName="/xl/worksheets/sheet13184.xml"/>
  <Override ContentType="application/vnd.openxmlformats-officedocument.spreadsheetml.worksheet+xml" PartName="/xl/worksheets/sheet13185.xml"/>
  <Override ContentType="application/vnd.openxmlformats-officedocument.spreadsheetml.worksheet+xml" PartName="/xl/worksheets/sheet13186.xml"/>
  <Override ContentType="application/vnd.openxmlformats-officedocument.spreadsheetml.worksheet+xml" PartName="/xl/worksheets/sheet13187.xml"/>
  <Override ContentType="application/vnd.openxmlformats-officedocument.spreadsheetml.worksheet+xml" PartName="/xl/worksheets/sheet13188.xml"/>
  <Override ContentType="application/vnd.openxmlformats-officedocument.spreadsheetml.worksheet+xml" PartName="/xl/worksheets/sheet13189.xml"/>
  <Override ContentType="application/vnd.openxmlformats-officedocument.spreadsheetml.worksheet+xml" PartName="/xl/worksheets/sheet13190.xml"/>
  <Override ContentType="application/vnd.openxmlformats-officedocument.spreadsheetml.worksheet+xml" PartName="/xl/worksheets/sheet13191.xml"/>
  <Override ContentType="application/vnd.openxmlformats-officedocument.spreadsheetml.worksheet+xml" PartName="/xl/worksheets/sheet13192.xml"/>
  <Override ContentType="application/vnd.openxmlformats-officedocument.spreadsheetml.worksheet+xml" PartName="/xl/worksheets/sheet13193.xml"/>
  <Override ContentType="application/vnd.openxmlformats-officedocument.spreadsheetml.worksheet+xml" PartName="/xl/worksheets/sheet13194.xml"/>
  <Override ContentType="application/vnd.openxmlformats-officedocument.spreadsheetml.worksheet+xml" PartName="/xl/worksheets/sheet13195.xml"/>
  <Override ContentType="application/vnd.openxmlformats-officedocument.spreadsheetml.worksheet+xml" PartName="/xl/worksheets/sheet13196.xml"/>
  <Override ContentType="application/vnd.openxmlformats-officedocument.spreadsheetml.worksheet+xml" PartName="/xl/worksheets/sheet13197.xml"/>
  <Override ContentType="application/vnd.openxmlformats-officedocument.spreadsheetml.worksheet+xml" PartName="/xl/worksheets/sheet13198.xml"/>
  <Override ContentType="application/vnd.openxmlformats-officedocument.spreadsheetml.worksheet+xml" PartName="/xl/worksheets/sheet13199.xml"/>
  <Override ContentType="application/vnd.openxmlformats-officedocument.spreadsheetml.worksheet+xml" PartName="/xl/worksheets/sheet13200.xml"/>
  <Override ContentType="application/vnd.openxmlformats-officedocument.spreadsheetml.worksheet+xml" PartName="/xl/worksheets/sheet13201.xml"/>
  <Override ContentType="application/vnd.openxmlformats-officedocument.spreadsheetml.worksheet+xml" PartName="/xl/worksheets/sheet13202.xml"/>
  <Override ContentType="application/vnd.openxmlformats-officedocument.spreadsheetml.worksheet+xml" PartName="/xl/worksheets/sheet13203.xml"/>
  <Override ContentType="application/vnd.openxmlformats-officedocument.spreadsheetml.worksheet+xml" PartName="/xl/worksheets/sheet13204.xml"/>
  <Override ContentType="application/vnd.openxmlformats-officedocument.spreadsheetml.worksheet+xml" PartName="/xl/worksheets/sheet13205.xml"/>
  <Override ContentType="application/vnd.openxmlformats-officedocument.spreadsheetml.worksheet+xml" PartName="/xl/worksheets/sheet13206.xml"/>
  <Override ContentType="application/vnd.openxmlformats-officedocument.spreadsheetml.worksheet+xml" PartName="/xl/worksheets/sheet13207.xml"/>
  <Override ContentType="application/vnd.openxmlformats-officedocument.spreadsheetml.worksheet+xml" PartName="/xl/worksheets/sheet13208.xml"/>
  <Override ContentType="application/vnd.openxmlformats-officedocument.spreadsheetml.worksheet+xml" PartName="/xl/worksheets/sheet13209.xml"/>
  <Override ContentType="application/vnd.openxmlformats-officedocument.spreadsheetml.worksheet+xml" PartName="/xl/worksheets/sheet13210.xml"/>
  <Override ContentType="application/vnd.openxmlformats-officedocument.spreadsheetml.worksheet+xml" PartName="/xl/worksheets/sheet13211.xml"/>
  <Override ContentType="application/vnd.openxmlformats-officedocument.spreadsheetml.worksheet+xml" PartName="/xl/worksheets/sheet13212.xml"/>
  <Override ContentType="application/vnd.openxmlformats-officedocument.spreadsheetml.worksheet+xml" PartName="/xl/worksheets/sheet13213.xml"/>
  <Override ContentType="application/vnd.openxmlformats-officedocument.spreadsheetml.worksheet+xml" PartName="/xl/worksheets/sheet13214.xml"/>
  <Override ContentType="application/vnd.openxmlformats-officedocument.spreadsheetml.worksheet+xml" PartName="/xl/worksheets/sheet13215.xml"/>
  <Override ContentType="application/vnd.openxmlformats-officedocument.spreadsheetml.worksheet+xml" PartName="/xl/worksheets/sheet13216.xml"/>
  <Override ContentType="application/vnd.openxmlformats-officedocument.spreadsheetml.worksheet+xml" PartName="/xl/worksheets/sheet13217.xml"/>
  <Override ContentType="application/vnd.openxmlformats-officedocument.spreadsheetml.worksheet+xml" PartName="/xl/worksheets/sheet13218.xml"/>
  <Override ContentType="application/vnd.openxmlformats-officedocument.spreadsheetml.worksheet+xml" PartName="/xl/worksheets/sheet13219.xml"/>
  <Override ContentType="application/vnd.openxmlformats-officedocument.spreadsheetml.worksheet+xml" PartName="/xl/worksheets/sheet13220.xml"/>
  <Override ContentType="application/vnd.openxmlformats-officedocument.spreadsheetml.worksheet+xml" PartName="/xl/worksheets/sheet13221.xml"/>
  <Override ContentType="application/vnd.openxmlformats-officedocument.spreadsheetml.worksheet+xml" PartName="/xl/worksheets/sheet13222.xml"/>
  <Override ContentType="application/vnd.openxmlformats-officedocument.spreadsheetml.worksheet+xml" PartName="/xl/worksheets/sheet13223.xml"/>
  <Override ContentType="application/vnd.openxmlformats-officedocument.spreadsheetml.worksheet+xml" PartName="/xl/worksheets/sheet13224.xml"/>
  <Override ContentType="application/vnd.openxmlformats-officedocument.spreadsheetml.worksheet+xml" PartName="/xl/worksheets/sheet13225.xml"/>
  <Override ContentType="application/vnd.openxmlformats-officedocument.spreadsheetml.worksheet+xml" PartName="/xl/worksheets/sheet13226.xml"/>
  <Override ContentType="application/vnd.openxmlformats-officedocument.spreadsheetml.worksheet+xml" PartName="/xl/worksheets/sheet13227.xml"/>
  <Override ContentType="application/vnd.openxmlformats-officedocument.spreadsheetml.worksheet+xml" PartName="/xl/worksheets/sheet13228.xml"/>
  <Override ContentType="application/vnd.openxmlformats-officedocument.spreadsheetml.worksheet+xml" PartName="/xl/worksheets/sheet13229.xml"/>
  <Override ContentType="application/vnd.openxmlformats-officedocument.spreadsheetml.worksheet+xml" PartName="/xl/worksheets/sheet13230.xml"/>
  <Override ContentType="application/vnd.openxmlformats-officedocument.spreadsheetml.worksheet+xml" PartName="/xl/worksheets/sheet13231.xml"/>
  <Override ContentType="application/vnd.openxmlformats-officedocument.spreadsheetml.worksheet+xml" PartName="/xl/worksheets/sheet13232.xml"/>
  <Override ContentType="application/vnd.openxmlformats-officedocument.spreadsheetml.worksheet+xml" PartName="/xl/worksheets/sheet13233.xml"/>
  <Override ContentType="application/vnd.openxmlformats-officedocument.spreadsheetml.worksheet+xml" PartName="/xl/worksheets/sheet13234.xml"/>
  <Override ContentType="application/vnd.openxmlformats-officedocument.spreadsheetml.worksheet+xml" PartName="/xl/worksheets/sheet13235.xml"/>
  <Override ContentType="application/vnd.openxmlformats-officedocument.spreadsheetml.worksheet+xml" PartName="/xl/worksheets/sheet13236.xml"/>
  <Override ContentType="application/vnd.openxmlformats-officedocument.spreadsheetml.worksheet+xml" PartName="/xl/worksheets/sheet13237.xml"/>
  <Override ContentType="application/vnd.openxmlformats-officedocument.spreadsheetml.worksheet+xml" PartName="/xl/worksheets/sheet13238.xml"/>
  <Override ContentType="application/vnd.openxmlformats-officedocument.spreadsheetml.worksheet+xml" PartName="/xl/worksheets/sheet13239.xml"/>
  <Override ContentType="application/vnd.openxmlformats-officedocument.spreadsheetml.worksheet+xml" PartName="/xl/worksheets/sheet13240.xml"/>
  <Override ContentType="application/vnd.openxmlformats-officedocument.spreadsheetml.worksheet+xml" PartName="/xl/worksheets/sheet13241.xml"/>
  <Override ContentType="application/vnd.openxmlformats-officedocument.spreadsheetml.worksheet+xml" PartName="/xl/worksheets/sheet13242.xml"/>
  <Override ContentType="application/vnd.openxmlformats-officedocument.spreadsheetml.worksheet+xml" PartName="/xl/worksheets/sheet13243.xml"/>
  <Override ContentType="application/vnd.openxmlformats-officedocument.spreadsheetml.worksheet+xml" PartName="/xl/worksheets/sheet13244.xml"/>
  <Override ContentType="application/vnd.openxmlformats-officedocument.spreadsheetml.worksheet+xml" PartName="/xl/worksheets/sheet13245.xml"/>
  <Override ContentType="application/vnd.openxmlformats-officedocument.spreadsheetml.worksheet+xml" PartName="/xl/worksheets/sheet13246.xml"/>
  <Override ContentType="application/vnd.openxmlformats-officedocument.spreadsheetml.worksheet+xml" PartName="/xl/worksheets/sheet13247.xml"/>
  <Override ContentType="application/vnd.openxmlformats-officedocument.spreadsheetml.worksheet+xml" PartName="/xl/worksheets/sheet13248.xml"/>
  <Override ContentType="application/vnd.openxmlformats-officedocument.spreadsheetml.worksheet+xml" PartName="/xl/worksheets/sheet13249.xml"/>
  <Override ContentType="application/vnd.openxmlformats-officedocument.spreadsheetml.worksheet+xml" PartName="/xl/worksheets/sheet13250.xml"/>
  <Override ContentType="application/vnd.openxmlformats-officedocument.spreadsheetml.worksheet+xml" PartName="/xl/worksheets/sheet13251.xml"/>
  <Override ContentType="application/vnd.openxmlformats-officedocument.spreadsheetml.worksheet+xml" PartName="/xl/worksheets/sheet13252.xml"/>
  <Override ContentType="application/vnd.openxmlformats-officedocument.spreadsheetml.worksheet+xml" PartName="/xl/worksheets/sheet13253.xml"/>
  <Override ContentType="application/vnd.openxmlformats-officedocument.spreadsheetml.worksheet+xml" PartName="/xl/worksheets/sheet13254.xml"/>
  <Override ContentType="application/vnd.openxmlformats-officedocument.spreadsheetml.worksheet+xml" PartName="/xl/worksheets/sheet13255.xml"/>
  <Override ContentType="application/vnd.openxmlformats-officedocument.spreadsheetml.worksheet+xml" PartName="/xl/worksheets/sheet13256.xml"/>
  <Override ContentType="application/vnd.openxmlformats-officedocument.spreadsheetml.worksheet+xml" PartName="/xl/worksheets/sheet13257.xml"/>
  <Override ContentType="application/vnd.openxmlformats-officedocument.spreadsheetml.worksheet+xml" PartName="/xl/worksheets/sheet13258.xml"/>
  <Override ContentType="application/vnd.openxmlformats-officedocument.spreadsheetml.worksheet+xml" PartName="/xl/worksheets/sheet13259.xml"/>
  <Override ContentType="application/vnd.openxmlformats-officedocument.spreadsheetml.worksheet+xml" PartName="/xl/worksheets/sheet13260.xml"/>
  <Override ContentType="application/vnd.openxmlformats-officedocument.spreadsheetml.worksheet+xml" PartName="/xl/worksheets/sheet13261.xml"/>
  <Override ContentType="application/vnd.openxmlformats-officedocument.spreadsheetml.worksheet+xml" PartName="/xl/worksheets/sheet13262.xml"/>
  <Override ContentType="application/vnd.openxmlformats-officedocument.spreadsheetml.worksheet+xml" PartName="/xl/worksheets/sheet13263.xml"/>
  <Override ContentType="application/vnd.openxmlformats-officedocument.spreadsheetml.worksheet+xml" PartName="/xl/worksheets/sheet13264.xml"/>
  <Override ContentType="application/vnd.openxmlformats-officedocument.spreadsheetml.worksheet+xml" PartName="/xl/worksheets/sheet13265.xml"/>
  <Override ContentType="application/vnd.openxmlformats-officedocument.spreadsheetml.worksheet+xml" PartName="/xl/worksheets/sheet13266.xml"/>
  <Override ContentType="application/vnd.openxmlformats-officedocument.spreadsheetml.worksheet+xml" PartName="/xl/worksheets/sheet13267.xml"/>
  <Override ContentType="application/vnd.openxmlformats-officedocument.spreadsheetml.worksheet+xml" PartName="/xl/worksheets/sheet13268.xml"/>
  <Override ContentType="application/vnd.openxmlformats-officedocument.spreadsheetml.worksheet+xml" PartName="/xl/worksheets/sheet13269.xml"/>
  <Override ContentType="application/vnd.openxmlformats-officedocument.spreadsheetml.worksheet+xml" PartName="/xl/worksheets/sheet13270.xml"/>
  <Override ContentType="application/vnd.openxmlformats-officedocument.spreadsheetml.worksheet+xml" PartName="/xl/worksheets/sheet13271.xml"/>
  <Override ContentType="application/vnd.openxmlformats-officedocument.spreadsheetml.worksheet+xml" PartName="/xl/worksheets/sheet13272.xml"/>
  <Override ContentType="application/vnd.openxmlformats-officedocument.spreadsheetml.worksheet+xml" PartName="/xl/worksheets/sheet13273.xml"/>
  <Override ContentType="application/vnd.openxmlformats-officedocument.spreadsheetml.worksheet+xml" PartName="/xl/worksheets/sheet13274.xml"/>
  <Override ContentType="application/vnd.openxmlformats-officedocument.spreadsheetml.worksheet+xml" PartName="/xl/worksheets/sheet13275.xml"/>
  <Override ContentType="application/vnd.openxmlformats-officedocument.spreadsheetml.worksheet+xml" PartName="/xl/worksheets/sheet13276.xml"/>
  <Override ContentType="application/vnd.openxmlformats-officedocument.spreadsheetml.worksheet+xml" PartName="/xl/worksheets/sheet13277.xml"/>
  <Override ContentType="application/vnd.openxmlformats-officedocument.spreadsheetml.worksheet+xml" PartName="/xl/worksheets/sheet13278.xml"/>
  <Override ContentType="application/vnd.openxmlformats-officedocument.spreadsheetml.worksheet+xml" PartName="/xl/worksheets/sheet13279.xml"/>
  <Override ContentType="application/vnd.openxmlformats-officedocument.spreadsheetml.worksheet+xml" PartName="/xl/worksheets/sheet13280.xml"/>
  <Override ContentType="application/vnd.openxmlformats-officedocument.spreadsheetml.worksheet+xml" PartName="/xl/worksheets/sheet13281.xml"/>
  <Override ContentType="application/vnd.openxmlformats-officedocument.spreadsheetml.worksheet+xml" PartName="/xl/worksheets/sheet13282.xml"/>
  <Override ContentType="application/vnd.openxmlformats-officedocument.spreadsheetml.worksheet+xml" PartName="/xl/worksheets/sheet13283.xml"/>
  <Override ContentType="application/vnd.openxmlformats-officedocument.spreadsheetml.worksheet+xml" PartName="/xl/worksheets/sheet13284.xml"/>
  <Override ContentType="application/vnd.openxmlformats-officedocument.spreadsheetml.worksheet+xml" PartName="/xl/worksheets/sheet13285.xml"/>
  <Override ContentType="application/vnd.openxmlformats-officedocument.spreadsheetml.worksheet+xml" PartName="/xl/worksheets/sheet13286.xml"/>
  <Override ContentType="application/vnd.openxmlformats-officedocument.spreadsheetml.worksheet+xml" PartName="/xl/worksheets/sheet13287.xml"/>
  <Override ContentType="application/vnd.openxmlformats-officedocument.spreadsheetml.worksheet+xml" PartName="/xl/worksheets/sheet13288.xml"/>
  <Override ContentType="application/vnd.openxmlformats-officedocument.spreadsheetml.worksheet+xml" PartName="/xl/worksheets/sheet13289.xml"/>
  <Override ContentType="application/vnd.openxmlformats-officedocument.spreadsheetml.worksheet+xml" PartName="/xl/worksheets/sheet13290.xml"/>
  <Override ContentType="application/vnd.openxmlformats-officedocument.spreadsheetml.worksheet+xml" PartName="/xl/worksheets/sheet13291.xml"/>
  <Override ContentType="application/vnd.openxmlformats-officedocument.spreadsheetml.worksheet+xml" PartName="/xl/worksheets/sheet13292.xml"/>
  <Override ContentType="application/vnd.openxmlformats-officedocument.spreadsheetml.worksheet+xml" PartName="/xl/worksheets/sheet13293.xml"/>
  <Override ContentType="application/vnd.openxmlformats-officedocument.spreadsheetml.worksheet+xml" PartName="/xl/worksheets/sheet13294.xml"/>
  <Override ContentType="application/vnd.openxmlformats-officedocument.spreadsheetml.worksheet+xml" PartName="/xl/worksheets/sheet13295.xml"/>
  <Override ContentType="application/vnd.openxmlformats-officedocument.spreadsheetml.worksheet+xml" PartName="/xl/worksheets/sheet13296.xml"/>
  <Override ContentType="application/vnd.openxmlformats-officedocument.spreadsheetml.worksheet+xml" PartName="/xl/worksheets/sheet13297.xml"/>
  <Override ContentType="application/vnd.openxmlformats-officedocument.spreadsheetml.worksheet+xml" PartName="/xl/worksheets/sheet13298.xml"/>
  <Override ContentType="application/vnd.openxmlformats-officedocument.spreadsheetml.worksheet+xml" PartName="/xl/worksheets/sheet13299.xml"/>
  <Override ContentType="application/vnd.openxmlformats-officedocument.spreadsheetml.worksheet+xml" PartName="/xl/worksheets/sheet13300.xml"/>
  <Override ContentType="application/vnd.openxmlformats-officedocument.spreadsheetml.worksheet+xml" PartName="/xl/worksheets/sheet13301.xml"/>
  <Override ContentType="application/vnd.openxmlformats-officedocument.spreadsheetml.worksheet+xml" PartName="/xl/worksheets/sheet13302.xml"/>
  <Override ContentType="application/vnd.openxmlformats-officedocument.spreadsheetml.worksheet+xml" PartName="/xl/worksheets/sheet13303.xml"/>
  <Override ContentType="application/vnd.openxmlformats-officedocument.spreadsheetml.worksheet+xml" PartName="/xl/worksheets/sheet13304.xml"/>
  <Override ContentType="application/vnd.openxmlformats-officedocument.spreadsheetml.worksheet+xml" PartName="/xl/worksheets/sheet13305.xml"/>
  <Override ContentType="application/vnd.openxmlformats-officedocument.spreadsheetml.worksheet+xml" PartName="/xl/worksheets/sheet13306.xml"/>
  <Override ContentType="application/vnd.openxmlformats-officedocument.spreadsheetml.worksheet+xml" PartName="/xl/worksheets/sheet13307.xml"/>
  <Override ContentType="application/vnd.openxmlformats-officedocument.spreadsheetml.worksheet+xml" PartName="/xl/worksheets/sheet13308.xml"/>
  <Override ContentType="application/vnd.openxmlformats-officedocument.spreadsheetml.worksheet+xml" PartName="/xl/worksheets/sheet13309.xml"/>
  <Override ContentType="application/vnd.openxmlformats-officedocument.spreadsheetml.worksheet+xml" PartName="/xl/worksheets/sheet13310.xml"/>
  <Override ContentType="application/vnd.openxmlformats-officedocument.spreadsheetml.worksheet+xml" PartName="/xl/worksheets/sheet13311.xml"/>
  <Override ContentType="application/vnd.openxmlformats-officedocument.spreadsheetml.worksheet+xml" PartName="/xl/worksheets/sheet13312.xml"/>
  <Override ContentType="application/vnd.openxmlformats-officedocument.spreadsheetml.worksheet+xml" PartName="/xl/worksheets/sheet13313.xml"/>
  <Override ContentType="application/vnd.openxmlformats-officedocument.spreadsheetml.worksheet+xml" PartName="/xl/worksheets/sheet13314.xml"/>
  <Override ContentType="application/vnd.openxmlformats-officedocument.spreadsheetml.worksheet+xml" PartName="/xl/worksheets/sheet13315.xml"/>
  <Override ContentType="application/vnd.openxmlformats-officedocument.spreadsheetml.worksheet+xml" PartName="/xl/worksheets/sheet13316.xml"/>
  <Override ContentType="application/vnd.openxmlformats-officedocument.spreadsheetml.worksheet+xml" PartName="/xl/worksheets/sheet13317.xml"/>
  <Override ContentType="application/vnd.openxmlformats-officedocument.spreadsheetml.worksheet+xml" PartName="/xl/worksheets/sheet13318.xml"/>
  <Override ContentType="application/vnd.openxmlformats-officedocument.spreadsheetml.worksheet+xml" PartName="/xl/worksheets/sheet13319.xml"/>
  <Override ContentType="application/vnd.openxmlformats-officedocument.spreadsheetml.worksheet+xml" PartName="/xl/worksheets/sheet13320.xml"/>
  <Override ContentType="application/vnd.openxmlformats-officedocument.spreadsheetml.worksheet+xml" PartName="/xl/worksheets/sheet13321.xml"/>
  <Override ContentType="application/vnd.openxmlformats-officedocument.spreadsheetml.worksheet+xml" PartName="/xl/worksheets/sheet13322.xml"/>
  <Override ContentType="application/vnd.openxmlformats-officedocument.spreadsheetml.worksheet+xml" PartName="/xl/worksheets/sheet13323.xml"/>
  <Override ContentType="application/vnd.openxmlformats-officedocument.spreadsheetml.worksheet+xml" PartName="/xl/worksheets/sheet13324.xml"/>
  <Override ContentType="application/vnd.openxmlformats-officedocument.spreadsheetml.worksheet+xml" PartName="/xl/worksheets/sheet13325.xml"/>
  <Override ContentType="application/vnd.openxmlformats-officedocument.spreadsheetml.worksheet+xml" PartName="/xl/worksheets/sheet13326.xml"/>
  <Override ContentType="application/vnd.openxmlformats-officedocument.spreadsheetml.worksheet+xml" PartName="/xl/worksheets/sheet13327.xml"/>
  <Override ContentType="application/vnd.openxmlformats-officedocument.spreadsheetml.worksheet+xml" PartName="/xl/worksheets/sheet13328.xml"/>
  <Override ContentType="application/vnd.openxmlformats-officedocument.spreadsheetml.worksheet+xml" PartName="/xl/worksheets/sheet13329.xml"/>
  <Override ContentType="application/vnd.openxmlformats-officedocument.spreadsheetml.worksheet+xml" PartName="/xl/worksheets/sheet13330.xml"/>
  <Override ContentType="application/vnd.openxmlformats-officedocument.spreadsheetml.worksheet+xml" PartName="/xl/worksheets/sheet13331.xml"/>
  <Override ContentType="application/vnd.openxmlformats-officedocument.spreadsheetml.worksheet+xml" PartName="/xl/worksheets/sheet13332.xml"/>
  <Override ContentType="application/vnd.openxmlformats-officedocument.spreadsheetml.worksheet+xml" PartName="/xl/worksheets/sheet13333.xml"/>
  <Override ContentType="application/vnd.openxmlformats-officedocument.spreadsheetml.worksheet+xml" PartName="/xl/worksheets/sheet13334.xml"/>
  <Override ContentType="application/vnd.openxmlformats-officedocument.spreadsheetml.worksheet+xml" PartName="/xl/worksheets/sheet13335.xml"/>
  <Override ContentType="application/vnd.openxmlformats-officedocument.spreadsheetml.worksheet+xml" PartName="/xl/worksheets/sheet13336.xml"/>
  <Override ContentType="application/vnd.openxmlformats-officedocument.spreadsheetml.worksheet+xml" PartName="/xl/worksheets/sheet13337.xml"/>
  <Override ContentType="application/vnd.openxmlformats-officedocument.spreadsheetml.worksheet+xml" PartName="/xl/worksheets/sheet13338.xml"/>
  <Override ContentType="application/vnd.openxmlformats-officedocument.spreadsheetml.worksheet+xml" PartName="/xl/worksheets/sheet13339.xml"/>
  <Override ContentType="application/vnd.openxmlformats-officedocument.spreadsheetml.worksheet+xml" PartName="/xl/worksheets/sheet13340.xml"/>
  <Override ContentType="application/vnd.openxmlformats-officedocument.spreadsheetml.worksheet+xml" PartName="/xl/worksheets/sheet13341.xml"/>
  <Override ContentType="application/vnd.openxmlformats-officedocument.spreadsheetml.worksheet+xml" PartName="/xl/worksheets/sheet13342.xml"/>
  <Override ContentType="application/vnd.openxmlformats-officedocument.spreadsheetml.worksheet+xml" PartName="/xl/worksheets/sheet13343.xml"/>
  <Override ContentType="application/vnd.openxmlformats-officedocument.spreadsheetml.worksheet+xml" PartName="/xl/worksheets/sheet13344.xml"/>
  <Override ContentType="application/vnd.openxmlformats-officedocument.spreadsheetml.worksheet+xml" PartName="/xl/worksheets/sheet13345.xml"/>
  <Override ContentType="application/vnd.openxmlformats-officedocument.spreadsheetml.worksheet+xml" PartName="/xl/worksheets/sheet13346.xml"/>
  <Override ContentType="application/vnd.openxmlformats-officedocument.spreadsheetml.worksheet+xml" PartName="/xl/worksheets/sheet13347.xml"/>
  <Override ContentType="application/vnd.openxmlformats-officedocument.spreadsheetml.worksheet+xml" PartName="/xl/worksheets/sheet13348.xml"/>
  <Override ContentType="application/vnd.openxmlformats-officedocument.spreadsheetml.worksheet+xml" PartName="/xl/worksheets/sheet13349.xml"/>
  <Override ContentType="application/vnd.openxmlformats-officedocument.spreadsheetml.worksheet+xml" PartName="/xl/worksheets/sheet13350.xml"/>
  <Override ContentType="application/vnd.openxmlformats-officedocument.spreadsheetml.worksheet+xml" PartName="/xl/worksheets/sheet13351.xml"/>
  <Override ContentType="application/vnd.openxmlformats-officedocument.spreadsheetml.worksheet+xml" PartName="/xl/worksheets/sheet13352.xml"/>
  <Override ContentType="application/vnd.openxmlformats-officedocument.spreadsheetml.worksheet+xml" PartName="/xl/worksheets/sheet13353.xml"/>
  <Override ContentType="application/vnd.openxmlformats-officedocument.spreadsheetml.worksheet+xml" PartName="/xl/worksheets/sheet13354.xml"/>
  <Override ContentType="application/vnd.openxmlformats-officedocument.spreadsheetml.worksheet+xml" PartName="/xl/worksheets/sheet13355.xml"/>
  <Override ContentType="application/vnd.openxmlformats-officedocument.spreadsheetml.worksheet+xml" PartName="/xl/worksheets/sheet13356.xml"/>
  <Override ContentType="application/vnd.openxmlformats-officedocument.spreadsheetml.worksheet+xml" PartName="/xl/worksheets/sheet13357.xml"/>
  <Override ContentType="application/vnd.openxmlformats-officedocument.spreadsheetml.worksheet+xml" PartName="/xl/worksheets/sheet13358.xml"/>
  <Override ContentType="application/vnd.openxmlformats-officedocument.spreadsheetml.worksheet+xml" PartName="/xl/worksheets/sheet13359.xml"/>
  <Override ContentType="application/vnd.openxmlformats-officedocument.spreadsheetml.worksheet+xml" PartName="/xl/worksheets/sheet13360.xml"/>
  <Override ContentType="application/vnd.openxmlformats-officedocument.spreadsheetml.worksheet+xml" PartName="/xl/worksheets/sheet13361.xml"/>
  <Override ContentType="application/vnd.openxmlformats-officedocument.spreadsheetml.worksheet+xml" PartName="/xl/worksheets/sheet13362.xml"/>
  <Override ContentType="application/vnd.openxmlformats-officedocument.spreadsheetml.worksheet+xml" PartName="/xl/worksheets/sheet13363.xml"/>
  <Override ContentType="application/vnd.openxmlformats-officedocument.spreadsheetml.worksheet+xml" PartName="/xl/worksheets/sheet13364.xml"/>
  <Override ContentType="application/vnd.openxmlformats-officedocument.spreadsheetml.worksheet+xml" PartName="/xl/worksheets/sheet13365.xml"/>
  <Override ContentType="application/vnd.openxmlformats-officedocument.spreadsheetml.worksheet+xml" PartName="/xl/worksheets/sheet13366.xml"/>
  <Override ContentType="application/vnd.openxmlformats-officedocument.spreadsheetml.worksheet+xml" PartName="/xl/worksheets/sheet13367.xml"/>
  <Override ContentType="application/vnd.openxmlformats-officedocument.spreadsheetml.worksheet+xml" PartName="/xl/worksheets/sheet13368.xml"/>
  <Override ContentType="application/vnd.openxmlformats-officedocument.spreadsheetml.worksheet+xml" PartName="/xl/worksheets/sheet13369.xml"/>
  <Override ContentType="application/vnd.openxmlformats-officedocument.spreadsheetml.worksheet+xml" PartName="/xl/worksheets/sheet13370.xml"/>
  <Override ContentType="application/vnd.openxmlformats-officedocument.spreadsheetml.worksheet+xml" PartName="/xl/worksheets/sheet13371.xml"/>
  <Override ContentType="application/vnd.openxmlformats-officedocument.spreadsheetml.worksheet+xml" PartName="/xl/worksheets/sheet13372.xml"/>
  <Override ContentType="application/vnd.openxmlformats-officedocument.spreadsheetml.worksheet+xml" PartName="/xl/worksheets/sheet13373.xml"/>
  <Override ContentType="application/vnd.openxmlformats-officedocument.spreadsheetml.worksheet+xml" PartName="/xl/worksheets/sheet13374.xml"/>
  <Override ContentType="application/vnd.openxmlformats-officedocument.spreadsheetml.worksheet+xml" PartName="/xl/worksheets/sheet13375.xml"/>
  <Override ContentType="application/vnd.openxmlformats-officedocument.spreadsheetml.worksheet+xml" PartName="/xl/worksheets/sheet13376.xml"/>
  <Override ContentType="application/vnd.openxmlformats-officedocument.spreadsheetml.worksheet+xml" PartName="/xl/worksheets/sheet13377.xml"/>
  <Override ContentType="application/vnd.openxmlformats-officedocument.spreadsheetml.worksheet+xml" PartName="/xl/worksheets/sheet13378.xml"/>
  <Override ContentType="application/vnd.openxmlformats-officedocument.spreadsheetml.worksheet+xml" PartName="/xl/worksheets/sheet13379.xml"/>
  <Override ContentType="application/vnd.openxmlformats-officedocument.spreadsheetml.worksheet+xml" PartName="/xl/worksheets/sheet13380.xml"/>
  <Override ContentType="application/vnd.openxmlformats-officedocument.spreadsheetml.worksheet+xml" PartName="/xl/worksheets/sheet13381.xml"/>
  <Override ContentType="application/vnd.openxmlformats-officedocument.spreadsheetml.worksheet+xml" PartName="/xl/worksheets/sheet13382.xml"/>
  <Override ContentType="application/vnd.openxmlformats-officedocument.spreadsheetml.worksheet+xml" PartName="/xl/worksheets/sheet13383.xml"/>
  <Override ContentType="application/vnd.openxmlformats-officedocument.spreadsheetml.worksheet+xml" PartName="/xl/worksheets/sheet13384.xml"/>
  <Override ContentType="application/vnd.openxmlformats-officedocument.spreadsheetml.worksheet+xml" PartName="/xl/worksheets/sheet13385.xml"/>
  <Override ContentType="application/vnd.openxmlformats-officedocument.spreadsheetml.worksheet+xml" PartName="/xl/worksheets/sheet13386.xml"/>
  <Override ContentType="application/vnd.openxmlformats-officedocument.spreadsheetml.worksheet+xml" PartName="/xl/worksheets/sheet13387.xml"/>
  <Override ContentType="application/vnd.openxmlformats-officedocument.spreadsheetml.worksheet+xml" PartName="/xl/worksheets/sheet13388.xml"/>
  <Override ContentType="application/vnd.openxmlformats-officedocument.spreadsheetml.worksheet+xml" PartName="/xl/worksheets/sheet13389.xml"/>
  <Override ContentType="application/vnd.openxmlformats-officedocument.spreadsheetml.worksheet+xml" PartName="/xl/worksheets/sheet13390.xml"/>
  <Override ContentType="application/vnd.openxmlformats-officedocument.spreadsheetml.worksheet+xml" PartName="/xl/worksheets/sheet13391.xml"/>
  <Override ContentType="application/vnd.openxmlformats-officedocument.spreadsheetml.worksheet+xml" PartName="/xl/worksheets/sheet13392.xml"/>
  <Override ContentType="application/vnd.openxmlformats-officedocument.spreadsheetml.worksheet+xml" PartName="/xl/worksheets/sheet13393.xml"/>
  <Override ContentType="application/vnd.openxmlformats-officedocument.spreadsheetml.worksheet+xml" PartName="/xl/worksheets/sheet13394.xml"/>
  <Override ContentType="application/vnd.openxmlformats-officedocument.spreadsheetml.worksheet+xml" PartName="/xl/worksheets/sheet13395.xml"/>
  <Override ContentType="application/vnd.openxmlformats-officedocument.spreadsheetml.worksheet+xml" PartName="/xl/worksheets/sheet13396.xml"/>
  <Override ContentType="application/vnd.openxmlformats-officedocument.spreadsheetml.worksheet+xml" PartName="/xl/worksheets/sheet13397.xml"/>
  <Override ContentType="application/vnd.openxmlformats-officedocument.spreadsheetml.worksheet+xml" PartName="/xl/worksheets/sheet13398.xml"/>
  <Override ContentType="application/vnd.openxmlformats-officedocument.spreadsheetml.worksheet+xml" PartName="/xl/worksheets/sheet13399.xml"/>
  <Override ContentType="application/vnd.openxmlformats-officedocument.spreadsheetml.worksheet+xml" PartName="/xl/worksheets/sheet13400.xml"/>
  <Override ContentType="application/vnd.openxmlformats-officedocument.spreadsheetml.worksheet+xml" PartName="/xl/worksheets/sheet13401.xml"/>
  <Override ContentType="application/vnd.openxmlformats-officedocument.spreadsheetml.worksheet+xml" PartName="/xl/worksheets/sheet13402.xml"/>
  <Override ContentType="application/vnd.openxmlformats-officedocument.spreadsheetml.worksheet+xml" PartName="/xl/worksheets/sheet13403.xml"/>
  <Override ContentType="application/vnd.openxmlformats-officedocument.spreadsheetml.worksheet+xml" PartName="/xl/worksheets/sheet13404.xml"/>
  <Override ContentType="application/vnd.openxmlformats-officedocument.spreadsheetml.worksheet+xml" PartName="/xl/worksheets/sheet13405.xml"/>
  <Override ContentType="application/vnd.openxmlformats-officedocument.spreadsheetml.worksheet+xml" PartName="/xl/worksheets/sheet13406.xml"/>
  <Override ContentType="application/vnd.openxmlformats-officedocument.spreadsheetml.worksheet+xml" PartName="/xl/worksheets/sheet13407.xml"/>
  <Override ContentType="application/vnd.openxmlformats-officedocument.spreadsheetml.worksheet+xml" PartName="/xl/worksheets/sheet13408.xml"/>
  <Override ContentType="application/vnd.openxmlformats-officedocument.spreadsheetml.worksheet+xml" PartName="/xl/worksheets/sheet13409.xml"/>
  <Override ContentType="application/vnd.openxmlformats-officedocument.spreadsheetml.worksheet+xml" PartName="/xl/worksheets/sheet13410.xml"/>
  <Override ContentType="application/vnd.openxmlformats-officedocument.spreadsheetml.worksheet+xml" PartName="/xl/worksheets/sheet13411.xml"/>
  <Override ContentType="application/vnd.openxmlformats-officedocument.spreadsheetml.worksheet+xml" PartName="/xl/worksheets/sheet13412.xml"/>
  <Override ContentType="application/vnd.openxmlformats-officedocument.spreadsheetml.worksheet+xml" PartName="/xl/worksheets/sheet13413.xml"/>
  <Override ContentType="application/vnd.openxmlformats-officedocument.spreadsheetml.worksheet+xml" PartName="/xl/worksheets/sheet13414.xml"/>
  <Override ContentType="application/vnd.openxmlformats-officedocument.spreadsheetml.worksheet+xml" PartName="/xl/worksheets/sheet13415.xml"/>
  <Override ContentType="application/vnd.openxmlformats-officedocument.spreadsheetml.worksheet+xml" PartName="/xl/worksheets/sheet13416.xml"/>
  <Override ContentType="application/vnd.openxmlformats-officedocument.spreadsheetml.worksheet+xml" PartName="/xl/worksheets/sheet13417.xml"/>
  <Override ContentType="application/vnd.openxmlformats-officedocument.spreadsheetml.worksheet+xml" PartName="/xl/worksheets/sheet13418.xml"/>
  <Override ContentType="application/vnd.openxmlformats-officedocument.spreadsheetml.worksheet+xml" PartName="/xl/worksheets/sheet13419.xml"/>
  <Override ContentType="application/vnd.openxmlformats-officedocument.spreadsheetml.worksheet+xml" PartName="/xl/worksheets/sheet13420.xml"/>
  <Override ContentType="application/vnd.openxmlformats-officedocument.spreadsheetml.worksheet+xml" PartName="/xl/worksheets/sheet13421.xml"/>
  <Override ContentType="application/vnd.openxmlformats-officedocument.spreadsheetml.worksheet+xml" PartName="/xl/worksheets/sheet13422.xml"/>
  <Override ContentType="application/vnd.openxmlformats-officedocument.spreadsheetml.worksheet+xml" PartName="/xl/worksheets/sheet13423.xml"/>
  <Override ContentType="application/vnd.openxmlformats-officedocument.spreadsheetml.worksheet+xml" PartName="/xl/worksheets/sheet13424.xml"/>
  <Override ContentType="application/vnd.openxmlformats-officedocument.spreadsheetml.worksheet+xml" PartName="/xl/worksheets/sheet13425.xml"/>
  <Override ContentType="application/vnd.openxmlformats-officedocument.spreadsheetml.worksheet+xml" PartName="/xl/worksheets/sheet13426.xml"/>
  <Override ContentType="application/vnd.openxmlformats-officedocument.spreadsheetml.worksheet+xml" PartName="/xl/worksheets/sheet13427.xml"/>
  <Override ContentType="application/vnd.openxmlformats-officedocument.spreadsheetml.worksheet+xml" PartName="/xl/worksheets/sheet13428.xml"/>
  <Override ContentType="application/vnd.openxmlformats-officedocument.spreadsheetml.worksheet+xml" PartName="/xl/worksheets/sheet13429.xml"/>
  <Override ContentType="application/vnd.openxmlformats-officedocument.spreadsheetml.worksheet+xml" PartName="/xl/worksheets/sheet13430.xml"/>
  <Override ContentType="application/vnd.openxmlformats-officedocument.spreadsheetml.worksheet+xml" PartName="/xl/worksheets/sheet13431.xml"/>
  <Override ContentType="application/vnd.openxmlformats-officedocument.spreadsheetml.worksheet+xml" PartName="/xl/worksheets/sheet13432.xml"/>
  <Override ContentType="application/vnd.openxmlformats-officedocument.spreadsheetml.worksheet+xml" PartName="/xl/worksheets/sheet13433.xml"/>
  <Override ContentType="application/vnd.openxmlformats-officedocument.spreadsheetml.worksheet+xml" PartName="/xl/worksheets/sheet13434.xml"/>
  <Override ContentType="application/vnd.openxmlformats-officedocument.spreadsheetml.worksheet+xml" PartName="/xl/worksheets/sheet13435.xml"/>
  <Override ContentType="application/vnd.openxmlformats-officedocument.spreadsheetml.worksheet+xml" PartName="/xl/worksheets/sheet13436.xml"/>
  <Override ContentType="application/vnd.openxmlformats-officedocument.spreadsheetml.worksheet+xml" PartName="/xl/worksheets/sheet13437.xml"/>
  <Override ContentType="application/vnd.openxmlformats-officedocument.spreadsheetml.worksheet+xml" PartName="/xl/worksheets/sheet13438.xml"/>
  <Override ContentType="application/vnd.openxmlformats-officedocument.spreadsheetml.worksheet+xml" PartName="/xl/worksheets/sheet13439.xml"/>
  <Override ContentType="application/vnd.openxmlformats-officedocument.spreadsheetml.worksheet+xml" PartName="/xl/worksheets/sheet13440.xml"/>
  <Override ContentType="application/vnd.openxmlformats-officedocument.spreadsheetml.worksheet+xml" PartName="/xl/worksheets/sheet13441.xml"/>
  <Override ContentType="application/vnd.openxmlformats-officedocument.spreadsheetml.worksheet+xml" PartName="/xl/worksheets/sheet13442.xml"/>
  <Override ContentType="application/vnd.openxmlformats-officedocument.spreadsheetml.worksheet+xml" PartName="/xl/worksheets/sheet13443.xml"/>
  <Override ContentType="application/vnd.openxmlformats-officedocument.spreadsheetml.worksheet+xml" PartName="/xl/worksheets/sheet13444.xml"/>
  <Override ContentType="application/vnd.openxmlformats-officedocument.spreadsheetml.worksheet+xml" PartName="/xl/worksheets/sheet13445.xml"/>
  <Override ContentType="application/vnd.openxmlformats-officedocument.spreadsheetml.worksheet+xml" PartName="/xl/worksheets/sheet13446.xml"/>
  <Override ContentType="application/vnd.openxmlformats-officedocument.spreadsheetml.worksheet+xml" PartName="/xl/worksheets/sheet13447.xml"/>
  <Override ContentType="application/vnd.openxmlformats-officedocument.spreadsheetml.worksheet+xml" PartName="/xl/worksheets/sheet13448.xml"/>
  <Override ContentType="application/vnd.openxmlformats-officedocument.spreadsheetml.worksheet+xml" PartName="/xl/worksheets/sheet13449.xml"/>
  <Override ContentType="application/vnd.openxmlformats-officedocument.spreadsheetml.worksheet+xml" PartName="/xl/worksheets/sheet13450.xml"/>
  <Override ContentType="application/vnd.openxmlformats-officedocument.spreadsheetml.worksheet+xml" PartName="/xl/worksheets/sheet13451.xml"/>
  <Override ContentType="application/vnd.openxmlformats-officedocument.spreadsheetml.worksheet+xml" PartName="/xl/worksheets/sheet13452.xml"/>
  <Override ContentType="application/vnd.openxmlformats-officedocument.spreadsheetml.worksheet+xml" PartName="/xl/worksheets/sheet13453.xml"/>
  <Override ContentType="application/vnd.openxmlformats-officedocument.spreadsheetml.worksheet+xml" PartName="/xl/worksheets/sheet13454.xml"/>
  <Override ContentType="application/vnd.openxmlformats-officedocument.spreadsheetml.worksheet+xml" PartName="/xl/worksheets/sheet13455.xml"/>
  <Override ContentType="application/vnd.openxmlformats-officedocument.spreadsheetml.worksheet+xml" PartName="/xl/worksheets/sheet13456.xml"/>
  <Override ContentType="application/vnd.openxmlformats-officedocument.spreadsheetml.worksheet+xml" PartName="/xl/worksheets/sheet13457.xml"/>
  <Override ContentType="application/vnd.openxmlformats-officedocument.spreadsheetml.worksheet+xml" PartName="/xl/worksheets/sheet13458.xml"/>
  <Override ContentType="application/vnd.openxmlformats-officedocument.spreadsheetml.worksheet+xml" PartName="/xl/worksheets/sheet13459.xml"/>
  <Override ContentType="application/vnd.openxmlformats-officedocument.spreadsheetml.worksheet+xml" PartName="/xl/worksheets/sheet13460.xml"/>
  <Override ContentType="application/vnd.openxmlformats-officedocument.spreadsheetml.worksheet+xml" PartName="/xl/worksheets/sheet13461.xml"/>
  <Override ContentType="application/vnd.openxmlformats-officedocument.spreadsheetml.worksheet+xml" PartName="/xl/worksheets/sheet13462.xml"/>
  <Override ContentType="application/vnd.openxmlformats-officedocument.spreadsheetml.worksheet+xml" PartName="/xl/worksheets/sheet13463.xml"/>
  <Override ContentType="application/vnd.openxmlformats-officedocument.spreadsheetml.worksheet+xml" PartName="/xl/worksheets/sheet13464.xml"/>
  <Override ContentType="application/vnd.openxmlformats-officedocument.spreadsheetml.worksheet+xml" PartName="/xl/worksheets/sheet13465.xml"/>
  <Override ContentType="application/vnd.openxmlformats-officedocument.spreadsheetml.worksheet+xml" PartName="/xl/worksheets/sheet13466.xml"/>
  <Override ContentType="application/vnd.openxmlformats-officedocument.spreadsheetml.worksheet+xml" PartName="/xl/worksheets/sheet13467.xml"/>
  <Override ContentType="application/vnd.openxmlformats-officedocument.spreadsheetml.worksheet+xml" PartName="/xl/worksheets/sheet13468.xml"/>
  <Override ContentType="application/vnd.openxmlformats-officedocument.spreadsheetml.worksheet+xml" PartName="/xl/worksheets/sheet13469.xml"/>
  <Override ContentType="application/vnd.openxmlformats-officedocument.spreadsheetml.worksheet+xml" PartName="/xl/worksheets/sheet13470.xml"/>
  <Override ContentType="application/vnd.openxmlformats-officedocument.spreadsheetml.worksheet+xml" PartName="/xl/worksheets/sheet13471.xml"/>
  <Override ContentType="application/vnd.openxmlformats-officedocument.spreadsheetml.worksheet+xml" PartName="/xl/worksheets/sheet13472.xml"/>
  <Override ContentType="application/vnd.openxmlformats-officedocument.spreadsheetml.worksheet+xml" PartName="/xl/worksheets/sheet13473.xml"/>
  <Override ContentType="application/vnd.openxmlformats-officedocument.spreadsheetml.worksheet+xml" PartName="/xl/worksheets/sheet13474.xml"/>
  <Override ContentType="application/vnd.openxmlformats-officedocument.spreadsheetml.worksheet+xml" PartName="/xl/worksheets/sheet13475.xml"/>
  <Override ContentType="application/vnd.openxmlformats-officedocument.spreadsheetml.worksheet+xml" PartName="/xl/worksheets/sheet13476.xml"/>
  <Override ContentType="application/vnd.openxmlformats-officedocument.spreadsheetml.worksheet+xml" PartName="/xl/worksheets/sheet13477.xml"/>
  <Override ContentType="application/vnd.openxmlformats-officedocument.spreadsheetml.worksheet+xml" PartName="/xl/worksheets/sheet13478.xml"/>
  <Override ContentType="application/vnd.openxmlformats-officedocument.spreadsheetml.worksheet+xml" PartName="/xl/worksheets/sheet13479.xml"/>
  <Override ContentType="application/vnd.openxmlformats-officedocument.spreadsheetml.worksheet+xml" PartName="/xl/worksheets/sheet13480.xml"/>
  <Override ContentType="application/vnd.openxmlformats-officedocument.spreadsheetml.worksheet+xml" PartName="/xl/worksheets/sheet13481.xml"/>
  <Override ContentType="application/vnd.openxmlformats-officedocument.spreadsheetml.worksheet+xml" PartName="/xl/worksheets/sheet13482.xml"/>
  <Override ContentType="application/vnd.openxmlformats-officedocument.spreadsheetml.worksheet+xml" PartName="/xl/worksheets/sheet13483.xml"/>
  <Override ContentType="application/vnd.openxmlformats-officedocument.spreadsheetml.worksheet+xml" PartName="/xl/worksheets/sheet13484.xml"/>
  <Override ContentType="application/vnd.openxmlformats-officedocument.spreadsheetml.worksheet+xml" PartName="/xl/worksheets/sheet13485.xml"/>
  <Override ContentType="application/vnd.openxmlformats-officedocument.spreadsheetml.worksheet+xml" PartName="/xl/worksheets/sheet13486.xml"/>
  <Override ContentType="application/vnd.openxmlformats-officedocument.spreadsheetml.worksheet+xml" PartName="/xl/worksheets/sheet13487.xml"/>
  <Override ContentType="application/vnd.openxmlformats-officedocument.spreadsheetml.worksheet+xml" PartName="/xl/worksheets/sheet13488.xml"/>
  <Override ContentType="application/vnd.openxmlformats-officedocument.spreadsheetml.worksheet+xml" PartName="/xl/worksheets/sheet13489.xml"/>
  <Override ContentType="application/vnd.openxmlformats-officedocument.spreadsheetml.worksheet+xml" PartName="/xl/worksheets/sheet13490.xml"/>
  <Override ContentType="application/vnd.openxmlformats-officedocument.spreadsheetml.worksheet+xml" PartName="/xl/worksheets/sheet13491.xml"/>
  <Override ContentType="application/vnd.openxmlformats-officedocument.spreadsheetml.worksheet+xml" PartName="/xl/worksheets/sheet13492.xml"/>
  <Override ContentType="application/vnd.openxmlformats-officedocument.spreadsheetml.worksheet+xml" PartName="/xl/worksheets/sheet13493.xml"/>
  <Override ContentType="application/vnd.openxmlformats-officedocument.spreadsheetml.worksheet+xml" PartName="/xl/worksheets/sheet13494.xml"/>
  <Override ContentType="application/vnd.openxmlformats-officedocument.spreadsheetml.worksheet+xml" PartName="/xl/worksheets/sheet13495.xml"/>
  <Override ContentType="application/vnd.openxmlformats-officedocument.spreadsheetml.worksheet+xml" PartName="/xl/worksheets/sheet13496.xml"/>
  <Override ContentType="application/vnd.openxmlformats-officedocument.spreadsheetml.worksheet+xml" PartName="/xl/worksheets/sheet13497.xml"/>
  <Override ContentType="application/vnd.openxmlformats-officedocument.spreadsheetml.worksheet+xml" PartName="/xl/worksheets/sheet13498.xml"/>
  <Override ContentType="application/vnd.openxmlformats-officedocument.spreadsheetml.worksheet+xml" PartName="/xl/worksheets/sheet13499.xml"/>
  <Override ContentType="application/vnd.openxmlformats-officedocument.spreadsheetml.worksheet+xml" PartName="/xl/worksheets/sheet13500.xml"/>
  <Override ContentType="application/vnd.openxmlformats-officedocument.spreadsheetml.worksheet+xml" PartName="/xl/worksheets/sheet13501.xml"/>
  <Override ContentType="application/vnd.openxmlformats-officedocument.spreadsheetml.worksheet+xml" PartName="/xl/worksheets/sheet13502.xml"/>
  <Override ContentType="application/vnd.openxmlformats-officedocument.spreadsheetml.worksheet+xml" PartName="/xl/worksheets/sheet13503.xml"/>
  <Override ContentType="application/vnd.openxmlformats-officedocument.spreadsheetml.worksheet+xml" PartName="/xl/worksheets/sheet13504.xml"/>
  <Override ContentType="application/vnd.openxmlformats-officedocument.spreadsheetml.worksheet+xml" PartName="/xl/worksheets/sheet13505.xml"/>
  <Override ContentType="application/vnd.openxmlformats-officedocument.spreadsheetml.worksheet+xml" PartName="/xl/worksheets/sheet13506.xml"/>
  <Override ContentType="application/vnd.openxmlformats-officedocument.spreadsheetml.worksheet+xml" PartName="/xl/worksheets/sheet13507.xml"/>
  <Override ContentType="application/vnd.openxmlformats-officedocument.spreadsheetml.worksheet+xml" PartName="/xl/worksheets/sheet13508.xml"/>
  <Override ContentType="application/vnd.openxmlformats-officedocument.spreadsheetml.worksheet+xml" PartName="/xl/worksheets/sheet13509.xml"/>
  <Override ContentType="application/vnd.openxmlformats-officedocument.spreadsheetml.worksheet+xml" PartName="/xl/worksheets/sheet13510.xml"/>
  <Override ContentType="application/vnd.openxmlformats-officedocument.spreadsheetml.worksheet+xml" PartName="/xl/worksheets/sheet13511.xml"/>
  <Override ContentType="application/vnd.openxmlformats-officedocument.spreadsheetml.worksheet+xml" PartName="/xl/worksheets/sheet13512.xml"/>
  <Override ContentType="application/vnd.openxmlformats-officedocument.spreadsheetml.worksheet+xml" PartName="/xl/worksheets/sheet13513.xml"/>
  <Override ContentType="application/vnd.openxmlformats-officedocument.spreadsheetml.worksheet+xml" PartName="/xl/worksheets/sheet13514.xml"/>
  <Override ContentType="application/vnd.openxmlformats-officedocument.spreadsheetml.worksheet+xml" PartName="/xl/worksheets/sheet13515.xml"/>
  <Override ContentType="application/vnd.openxmlformats-officedocument.spreadsheetml.worksheet+xml" PartName="/xl/worksheets/sheet13516.xml"/>
  <Override ContentType="application/vnd.openxmlformats-officedocument.spreadsheetml.worksheet+xml" PartName="/xl/worksheets/sheet13517.xml"/>
  <Override ContentType="application/vnd.openxmlformats-officedocument.spreadsheetml.worksheet+xml" PartName="/xl/worksheets/sheet13518.xml"/>
  <Override ContentType="application/vnd.openxmlformats-officedocument.spreadsheetml.worksheet+xml" PartName="/xl/worksheets/sheet13519.xml"/>
  <Override ContentType="application/vnd.openxmlformats-officedocument.spreadsheetml.worksheet+xml" PartName="/xl/worksheets/sheet13520.xml"/>
  <Override ContentType="application/vnd.openxmlformats-officedocument.spreadsheetml.worksheet+xml" PartName="/xl/worksheets/sheet13521.xml"/>
  <Override ContentType="application/vnd.openxmlformats-officedocument.spreadsheetml.worksheet+xml" PartName="/xl/worksheets/sheet13522.xml"/>
  <Override ContentType="application/vnd.openxmlformats-officedocument.spreadsheetml.worksheet+xml" PartName="/xl/worksheets/sheet13523.xml"/>
  <Override ContentType="application/vnd.openxmlformats-officedocument.spreadsheetml.worksheet+xml" PartName="/xl/worksheets/sheet13524.xml"/>
  <Override ContentType="application/vnd.openxmlformats-officedocument.spreadsheetml.worksheet+xml" PartName="/xl/worksheets/sheet13525.xml"/>
  <Override ContentType="application/vnd.openxmlformats-officedocument.spreadsheetml.worksheet+xml" PartName="/xl/worksheets/sheet13526.xml"/>
  <Override ContentType="application/vnd.openxmlformats-officedocument.spreadsheetml.worksheet+xml" PartName="/xl/worksheets/sheet13527.xml"/>
  <Override ContentType="application/vnd.openxmlformats-officedocument.spreadsheetml.worksheet+xml" PartName="/xl/worksheets/sheet13528.xml"/>
  <Override ContentType="application/vnd.openxmlformats-officedocument.spreadsheetml.worksheet+xml" PartName="/xl/worksheets/sheet13529.xml"/>
  <Override ContentType="application/vnd.openxmlformats-officedocument.spreadsheetml.worksheet+xml" PartName="/xl/worksheets/sheet13530.xml"/>
  <Override ContentType="application/vnd.openxmlformats-officedocument.spreadsheetml.worksheet+xml" PartName="/xl/worksheets/sheet13531.xml"/>
  <Override ContentType="application/vnd.openxmlformats-officedocument.spreadsheetml.worksheet+xml" PartName="/xl/worksheets/sheet13532.xml"/>
  <Override ContentType="application/vnd.openxmlformats-officedocument.spreadsheetml.worksheet+xml" PartName="/xl/worksheets/sheet13533.xml"/>
  <Override ContentType="application/vnd.openxmlformats-officedocument.spreadsheetml.worksheet+xml" PartName="/xl/worksheets/sheet13534.xml"/>
  <Override ContentType="application/vnd.openxmlformats-officedocument.spreadsheetml.worksheet+xml" PartName="/xl/worksheets/sheet13535.xml"/>
  <Override ContentType="application/vnd.openxmlformats-officedocument.spreadsheetml.worksheet+xml" PartName="/xl/worksheets/sheet13536.xml"/>
  <Override ContentType="application/vnd.openxmlformats-officedocument.spreadsheetml.worksheet+xml" PartName="/xl/worksheets/sheet13537.xml"/>
  <Override ContentType="application/vnd.openxmlformats-officedocument.spreadsheetml.worksheet+xml" PartName="/xl/worksheets/sheet13538.xml"/>
  <Override ContentType="application/vnd.openxmlformats-officedocument.spreadsheetml.worksheet+xml" PartName="/xl/worksheets/sheet13539.xml"/>
  <Override ContentType="application/vnd.openxmlformats-officedocument.spreadsheetml.worksheet+xml" PartName="/xl/worksheets/sheet13540.xml"/>
  <Override ContentType="application/vnd.openxmlformats-officedocument.spreadsheetml.worksheet+xml" PartName="/xl/worksheets/sheet13541.xml"/>
  <Override ContentType="application/vnd.openxmlformats-officedocument.spreadsheetml.worksheet+xml" PartName="/xl/worksheets/sheet13542.xml"/>
  <Override ContentType="application/vnd.openxmlformats-officedocument.spreadsheetml.worksheet+xml" PartName="/xl/worksheets/sheet13543.xml"/>
  <Override ContentType="application/vnd.openxmlformats-officedocument.spreadsheetml.worksheet+xml" PartName="/xl/worksheets/sheet13544.xml"/>
  <Override ContentType="application/vnd.openxmlformats-officedocument.spreadsheetml.worksheet+xml" PartName="/xl/worksheets/sheet13545.xml"/>
  <Override ContentType="application/vnd.openxmlformats-officedocument.spreadsheetml.worksheet+xml" PartName="/xl/worksheets/sheet13546.xml"/>
  <Override ContentType="application/vnd.openxmlformats-officedocument.spreadsheetml.worksheet+xml" PartName="/xl/worksheets/sheet13547.xml"/>
  <Override ContentType="application/vnd.openxmlformats-officedocument.spreadsheetml.worksheet+xml" PartName="/xl/worksheets/sheet13548.xml"/>
  <Override ContentType="application/vnd.openxmlformats-officedocument.spreadsheetml.worksheet+xml" PartName="/xl/worksheets/sheet13549.xml"/>
  <Override ContentType="application/vnd.openxmlformats-officedocument.spreadsheetml.worksheet+xml" PartName="/xl/worksheets/sheet13550.xml"/>
  <Override ContentType="application/vnd.openxmlformats-officedocument.spreadsheetml.worksheet+xml" PartName="/xl/worksheets/sheet13551.xml"/>
  <Override ContentType="application/vnd.openxmlformats-officedocument.spreadsheetml.worksheet+xml" PartName="/xl/worksheets/sheet13552.xml"/>
  <Override ContentType="application/vnd.openxmlformats-officedocument.spreadsheetml.worksheet+xml" PartName="/xl/worksheets/sheet13553.xml"/>
  <Override ContentType="application/vnd.openxmlformats-officedocument.spreadsheetml.worksheet+xml" PartName="/xl/worksheets/sheet13554.xml"/>
  <Override ContentType="application/vnd.openxmlformats-officedocument.spreadsheetml.worksheet+xml" PartName="/xl/worksheets/sheet13555.xml"/>
  <Override ContentType="application/vnd.openxmlformats-officedocument.spreadsheetml.worksheet+xml" PartName="/xl/worksheets/sheet13556.xml"/>
  <Override ContentType="application/vnd.openxmlformats-officedocument.spreadsheetml.worksheet+xml" PartName="/xl/worksheets/sheet13557.xml"/>
  <Override ContentType="application/vnd.openxmlformats-officedocument.spreadsheetml.worksheet+xml" PartName="/xl/worksheets/sheet13558.xml"/>
  <Override ContentType="application/vnd.openxmlformats-officedocument.spreadsheetml.worksheet+xml" PartName="/xl/worksheets/sheet13559.xml"/>
  <Override ContentType="application/vnd.openxmlformats-officedocument.spreadsheetml.worksheet+xml" PartName="/xl/worksheets/sheet13560.xml"/>
  <Override ContentType="application/vnd.openxmlformats-officedocument.spreadsheetml.worksheet+xml" PartName="/xl/worksheets/sheet13561.xml"/>
  <Override ContentType="application/vnd.openxmlformats-officedocument.spreadsheetml.worksheet+xml" PartName="/xl/worksheets/sheet13562.xml"/>
  <Override ContentType="application/vnd.openxmlformats-officedocument.spreadsheetml.worksheet+xml" PartName="/xl/worksheets/sheet13563.xml"/>
  <Override ContentType="application/vnd.openxmlformats-officedocument.spreadsheetml.worksheet+xml" PartName="/xl/worksheets/sheet13564.xml"/>
  <Override ContentType="application/vnd.openxmlformats-officedocument.spreadsheetml.worksheet+xml" PartName="/xl/worksheets/sheet13565.xml"/>
  <Override ContentType="application/vnd.openxmlformats-officedocument.spreadsheetml.worksheet+xml" PartName="/xl/worksheets/sheet13566.xml"/>
  <Override ContentType="application/vnd.openxmlformats-officedocument.spreadsheetml.worksheet+xml" PartName="/xl/worksheets/sheet13567.xml"/>
  <Override ContentType="application/vnd.openxmlformats-officedocument.spreadsheetml.worksheet+xml" PartName="/xl/worksheets/sheet13568.xml"/>
  <Override ContentType="application/vnd.openxmlformats-officedocument.spreadsheetml.worksheet+xml" PartName="/xl/worksheets/sheet13569.xml"/>
  <Override ContentType="application/vnd.openxmlformats-officedocument.spreadsheetml.worksheet+xml" PartName="/xl/worksheets/sheet13570.xml"/>
  <Override ContentType="application/vnd.openxmlformats-officedocument.spreadsheetml.worksheet+xml" PartName="/xl/worksheets/sheet13571.xml"/>
  <Override ContentType="application/vnd.openxmlformats-officedocument.spreadsheetml.worksheet+xml" PartName="/xl/worksheets/sheet13572.xml"/>
  <Override ContentType="application/vnd.openxmlformats-officedocument.spreadsheetml.worksheet+xml" PartName="/xl/worksheets/sheet13573.xml"/>
  <Override ContentType="application/vnd.openxmlformats-officedocument.spreadsheetml.worksheet+xml" PartName="/xl/worksheets/sheet13574.xml"/>
  <Override ContentType="application/vnd.openxmlformats-officedocument.spreadsheetml.worksheet+xml" PartName="/xl/worksheets/sheet13575.xml"/>
  <Override ContentType="application/vnd.openxmlformats-officedocument.spreadsheetml.worksheet+xml" PartName="/xl/worksheets/sheet13576.xml"/>
  <Override ContentType="application/vnd.openxmlformats-officedocument.spreadsheetml.worksheet+xml" PartName="/xl/worksheets/sheet13577.xml"/>
  <Override ContentType="application/vnd.openxmlformats-officedocument.spreadsheetml.worksheet+xml" PartName="/xl/worksheets/sheet13578.xml"/>
  <Override ContentType="application/vnd.openxmlformats-officedocument.spreadsheetml.worksheet+xml" PartName="/xl/worksheets/sheet13579.xml"/>
  <Override ContentType="application/vnd.openxmlformats-officedocument.spreadsheetml.worksheet+xml" PartName="/xl/worksheets/sheet13580.xml"/>
  <Override ContentType="application/vnd.openxmlformats-officedocument.spreadsheetml.worksheet+xml" PartName="/xl/worksheets/sheet13581.xml"/>
  <Override ContentType="application/vnd.openxmlformats-officedocument.spreadsheetml.worksheet+xml" PartName="/xl/worksheets/sheet13582.xml"/>
  <Override ContentType="application/vnd.openxmlformats-officedocument.spreadsheetml.worksheet+xml" PartName="/xl/worksheets/sheet13583.xml"/>
  <Override ContentType="application/vnd.openxmlformats-officedocument.spreadsheetml.worksheet+xml" PartName="/xl/worksheets/sheet13584.xml"/>
  <Override ContentType="application/vnd.openxmlformats-officedocument.spreadsheetml.worksheet+xml" PartName="/xl/worksheets/sheet13585.xml"/>
  <Override ContentType="application/vnd.openxmlformats-officedocument.spreadsheetml.worksheet+xml" PartName="/xl/worksheets/sheet13586.xml"/>
  <Override ContentType="application/vnd.openxmlformats-officedocument.spreadsheetml.worksheet+xml" PartName="/xl/worksheets/sheet13587.xml"/>
  <Override ContentType="application/vnd.openxmlformats-officedocument.spreadsheetml.worksheet+xml" PartName="/xl/worksheets/sheet13588.xml"/>
  <Override ContentType="application/vnd.openxmlformats-officedocument.spreadsheetml.worksheet+xml" PartName="/xl/worksheets/sheet13589.xml"/>
  <Override ContentType="application/vnd.openxmlformats-officedocument.spreadsheetml.worksheet+xml" PartName="/xl/worksheets/sheet13590.xml"/>
  <Override ContentType="application/vnd.openxmlformats-officedocument.spreadsheetml.worksheet+xml" PartName="/xl/worksheets/sheet13591.xml"/>
  <Override ContentType="application/vnd.openxmlformats-officedocument.spreadsheetml.worksheet+xml" PartName="/xl/worksheets/sheet13592.xml"/>
  <Override ContentType="application/vnd.openxmlformats-officedocument.spreadsheetml.worksheet+xml" PartName="/xl/worksheets/sheet13593.xml"/>
  <Override ContentType="application/vnd.openxmlformats-officedocument.spreadsheetml.worksheet+xml" PartName="/xl/worksheets/sheet13594.xml"/>
  <Override ContentType="application/vnd.openxmlformats-officedocument.spreadsheetml.worksheet+xml" PartName="/xl/worksheets/sheet13595.xml"/>
  <Override ContentType="application/vnd.openxmlformats-officedocument.spreadsheetml.worksheet+xml" PartName="/xl/worksheets/sheet13596.xml"/>
  <Override ContentType="application/vnd.openxmlformats-officedocument.spreadsheetml.worksheet+xml" PartName="/xl/worksheets/sheet13597.xml"/>
  <Override ContentType="application/vnd.openxmlformats-officedocument.spreadsheetml.worksheet+xml" PartName="/xl/worksheets/sheet13598.xml"/>
  <Override ContentType="application/vnd.openxmlformats-officedocument.spreadsheetml.worksheet+xml" PartName="/xl/worksheets/sheet13599.xml"/>
  <Override ContentType="application/vnd.openxmlformats-officedocument.spreadsheetml.worksheet+xml" PartName="/xl/worksheets/sheet13600.xml"/>
  <Override ContentType="application/vnd.openxmlformats-officedocument.spreadsheetml.worksheet+xml" PartName="/xl/worksheets/sheet13601.xml"/>
  <Override ContentType="application/vnd.openxmlformats-officedocument.spreadsheetml.worksheet+xml" PartName="/xl/worksheets/sheet13602.xml"/>
  <Override ContentType="application/vnd.openxmlformats-officedocument.spreadsheetml.worksheet+xml" PartName="/xl/worksheets/sheet13603.xml"/>
  <Override ContentType="application/vnd.openxmlformats-officedocument.spreadsheetml.worksheet+xml" PartName="/xl/worksheets/sheet13604.xml"/>
  <Override ContentType="application/vnd.openxmlformats-officedocument.spreadsheetml.worksheet+xml" PartName="/xl/worksheets/sheet13605.xml"/>
  <Override ContentType="application/vnd.openxmlformats-officedocument.spreadsheetml.worksheet+xml" PartName="/xl/worksheets/sheet13606.xml"/>
  <Override ContentType="application/vnd.openxmlformats-officedocument.spreadsheetml.worksheet+xml" PartName="/xl/worksheets/sheet13607.xml"/>
  <Override ContentType="application/vnd.openxmlformats-officedocument.spreadsheetml.worksheet+xml" PartName="/xl/worksheets/sheet13608.xml"/>
  <Override ContentType="application/vnd.openxmlformats-officedocument.spreadsheetml.worksheet+xml" PartName="/xl/worksheets/sheet13609.xml"/>
  <Override ContentType="application/vnd.openxmlformats-officedocument.spreadsheetml.worksheet+xml" PartName="/xl/worksheets/sheet13610.xml"/>
  <Override ContentType="application/vnd.openxmlformats-officedocument.spreadsheetml.worksheet+xml" PartName="/xl/worksheets/sheet13611.xml"/>
  <Override ContentType="application/vnd.openxmlformats-officedocument.spreadsheetml.worksheet+xml" PartName="/xl/worksheets/sheet13612.xml"/>
  <Override ContentType="application/vnd.openxmlformats-officedocument.spreadsheetml.worksheet+xml" PartName="/xl/worksheets/sheet13613.xml"/>
  <Override ContentType="application/vnd.openxmlformats-officedocument.spreadsheetml.worksheet+xml" PartName="/xl/worksheets/sheet13614.xml"/>
  <Override ContentType="application/vnd.openxmlformats-officedocument.spreadsheetml.worksheet+xml" PartName="/xl/worksheets/sheet13615.xml"/>
  <Override ContentType="application/vnd.openxmlformats-officedocument.spreadsheetml.worksheet+xml" PartName="/xl/worksheets/sheet13616.xml"/>
  <Override ContentType="application/vnd.openxmlformats-officedocument.spreadsheetml.worksheet+xml" PartName="/xl/worksheets/sheet13617.xml"/>
  <Override ContentType="application/vnd.openxmlformats-officedocument.spreadsheetml.worksheet+xml" PartName="/xl/worksheets/sheet13618.xml"/>
  <Override ContentType="application/vnd.openxmlformats-officedocument.spreadsheetml.worksheet+xml" PartName="/xl/worksheets/sheet13619.xml"/>
  <Override ContentType="application/vnd.openxmlformats-officedocument.spreadsheetml.worksheet+xml" PartName="/xl/worksheets/sheet13620.xml"/>
  <Override ContentType="application/vnd.openxmlformats-officedocument.spreadsheetml.worksheet+xml" PartName="/xl/worksheets/sheet13621.xml"/>
  <Override ContentType="application/vnd.openxmlformats-officedocument.spreadsheetml.worksheet+xml" PartName="/xl/worksheets/sheet13622.xml"/>
  <Override ContentType="application/vnd.openxmlformats-officedocument.spreadsheetml.worksheet+xml" PartName="/xl/worksheets/sheet13623.xml"/>
  <Override ContentType="application/vnd.openxmlformats-officedocument.spreadsheetml.worksheet+xml" PartName="/xl/worksheets/sheet13624.xml"/>
  <Override ContentType="application/vnd.openxmlformats-officedocument.spreadsheetml.worksheet+xml" PartName="/xl/worksheets/sheet13625.xml"/>
  <Override ContentType="application/vnd.openxmlformats-officedocument.spreadsheetml.worksheet+xml" PartName="/xl/worksheets/sheet13626.xml"/>
  <Override ContentType="application/vnd.openxmlformats-officedocument.spreadsheetml.worksheet+xml" PartName="/xl/worksheets/sheet13627.xml"/>
  <Override ContentType="application/vnd.openxmlformats-officedocument.spreadsheetml.worksheet+xml" PartName="/xl/worksheets/sheet13628.xml"/>
  <Override ContentType="application/vnd.openxmlformats-officedocument.spreadsheetml.worksheet+xml" PartName="/xl/worksheets/sheet13629.xml"/>
  <Override ContentType="application/vnd.openxmlformats-officedocument.spreadsheetml.worksheet+xml" PartName="/xl/worksheets/sheet13630.xml"/>
  <Override ContentType="application/vnd.openxmlformats-officedocument.spreadsheetml.worksheet+xml" PartName="/xl/worksheets/sheet13631.xml"/>
  <Override ContentType="application/vnd.openxmlformats-officedocument.spreadsheetml.worksheet+xml" PartName="/xl/worksheets/sheet13632.xml"/>
  <Override ContentType="application/vnd.openxmlformats-officedocument.spreadsheetml.worksheet+xml" PartName="/xl/worksheets/sheet13633.xml"/>
  <Override ContentType="application/vnd.openxmlformats-officedocument.spreadsheetml.worksheet+xml" PartName="/xl/worksheets/sheet13634.xml"/>
  <Override ContentType="application/vnd.openxmlformats-officedocument.spreadsheetml.worksheet+xml" PartName="/xl/worksheets/sheet13635.xml"/>
  <Override ContentType="application/vnd.openxmlformats-officedocument.spreadsheetml.worksheet+xml" PartName="/xl/worksheets/sheet13636.xml"/>
  <Override ContentType="application/vnd.openxmlformats-officedocument.spreadsheetml.worksheet+xml" PartName="/xl/worksheets/sheet13637.xml"/>
  <Override ContentType="application/vnd.openxmlformats-officedocument.spreadsheetml.worksheet+xml" PartName="/xl/worksheets/sheet13638.xml"/>
  <Override ContentType="application/vnd.openxmlformats-officedocument.spreadsheetml.worksheet+xml" PartName="/xl/worksheets/sheet13639.xml"/>
  <Override ContentType="application/vnd.openxmlformats-officedocument.spreadsheetml.worksheet+xml" PartName="/xl/worksheets/sheet13640.xml"/>
  <Override ContentType="application/vnd.openxmlformats-officedocument.spreadsheetml.worksheet+xml" PartName="/xl/worksheets/sheet13641.xml"/>
  <Override ContentType="application/vnd.openxmlformats-officedocument.spreadsheetml.worksheet+xml" PartName="/xl/worksheets/sheet13642.xml"/>
  <Override ContentType="application/vnd.openxmlformats-officedocument.spreadsheetml.worksheet+xml" PartName="/xl/worksheets/sheet13643.xml"/>
  <Override ContentType="application/vnd.openxmlformats-officedocument.spreadsheetml.worksheet+xml" PartName="/xl/worksheets/sheet13644.xml"/>
  <Override ContentType="application/vnd.openxmlformats-officedocument.spreadsheetml.worksheet+xml" PartName="/xl/worksheets/sheet13645.xml"/>
  <Override ContentType="application/vnd.openxmlformats-officedocument.spreadsheetml.worksheet+xml" PartName="/xl/worksheets/sheet13646.xml"/>
  <Override ContentType="application/vnd.openxmlformats-officedocument.spreadsheetml.worksheet+xml" PartName="/xl/worksheets/sheet13647.xml"/>
  <Override ContentType="application/vnd.openxmlformats-officedocument.spreadsheetml.worksheet+xml" PartName="/xl/worksheets/sheet13648.xml"/>
  <Override ContentType="application/vnd.openxmlformats-officedocument.spreadsheetml.worksheet+xml" PartName="/xl/worksheets/sheet13649.xml"/>
  <Override ContentType="application/vnd.openxmlformats-officedocument.spreadsheetml.worksheet+xml" PartName="/xl/worksheets/sheet13650.xml"/>
  <Override ContentType="application/vnd.openxmlformats-officedocument.spreadsheetml.worksheet+xml" PartName="/xl/worksheets/sheet13651.xml"/>
  <Override ContentType="application/vnd.openxmlformats-officedocument.spreadsheetml.worksheet+xml" PartName="/xl/worksheets/sheet13652.xml"/>
  <Override ContentType="application/vnd.openxmlformats-officedocument.spreadsheetml.worksheet+xml" PartName="/xl/worksheets/sheet13653.xml"/>
  <Override ContentType="application/vnd.openxmlformats-officedocument.spreadsheetml.worksheet+xml" PartName="/xl/worksheets/sheet13654.xml"/>
  <Override ContentType="application/vnd.openxmlformats-officedocument.spreadsheetml.worksheet+xml" PartName="/xl/worksheets/sheet13655.xml"/>
  <Override ContentType="application/vnd.openxmlformats-officedocument.spreadsheetml.worksheet+xml" PartName="/xl/worksheets/sheet13656.xml"/>
  <Override ContentType="application/vnd.openxmlformats-officedocument.spreadsheetml.worksheet+xml" PartName="/xl/worksheets/sheet13657.xml"/>
  <Override ContentType="application/vnd.openxmlformats-officedocument.spreadsheetml.worksheet+xml" PartName="/xl/worksheets/sheet13658.xml"/>
  <Override ContentType="application/vnd.openxmlformats-officedocument.spreadsheetml.worksheet+xml" PartName="/xl/worksheets/sheet13659.xml"/>
  <Override ContentType="application/vnd.openxmlformats-officedocument.spreadsheetml.worksheet+xml" PartName="/xl/worksheets/sheet13660.xml"/>
  <Override ContentType="application/vnd.openxmlformats-officedocument.spreadsheetml.worksheet+xml" PartName="/xl/worksheets/sheet13661.xml"/>
  <Override ContentType="application/vnd.openxmlformats-officedocument.spreadsheetml.worksheet+xml" PartName="/xl/worksheets/sheet13662.xml"/>
  <Override ContentType="application/vnd.openxmlformats-officedocument.spreadsheetml.worksheet+xml" PartName="/xl/worksheets/sheet13663.xml"/>
  <Override ContentType="application/vnd.openxmlformats-officedocument.spreadsheetml.worksheet+xml" PartName="/xl/worksheets/sheet13664.xml"/>
  <Override ContentType="application/vnd.openxmlformats-officedocument.spreadsheetml.worksheet+xml" PartName="/xl/worksheets/sheet13665.xml"/>
  <Override ContentType="application/vnd.openxmlformats-officedocument.spreadsheetml.worksheet+xml" PartName="/xl/worksheets/sheet13666.xml"/>
  <Override ContentType="application/vnd.openxmlformats-officedocument.spreadsheetml.worksheet+xml" PartName="/xl/worksheets/sheet13667.xml"/>
  <Override ContentType="application/vnd.openxmlformats-officedocument.spreadsheetml.worksheet+xml" PartName="/xl/worksheets/sheet13668.xml"/>
  <Override ContentType="application/vnd.openxmlformats-officedocument.spreadsheetml.worksheet+xml" PartName="/xl/worksheets/sheet13669.xml"/>
  <Override ContentType="application/vnd.openxmlformats-officedocument.spreadsheetml.worksheet+xml" PartName="/xl/worksheets/sheet13670.xml"/>
  <Override ContentType="application/vnd.openxmlformats-officedocument.spreadsheetml.worksheet+xml" PartName="/xl/worksheets/sheet13671.xml"/>
  <Override ContentType="application/vnd.openxmlformats-officedocument.spreadsheetml.worksheet+xml" PartName="/xl/worksheets/sheet13672.xml"/>
  <Override ContentType="application/vnd.openxmlformats-officedocument.spreadsheetml.worksheet+xml" PartName="/xl/worksheets/sheet13673.xml"/>
  <Override ContentType="application/vnd.openxmlformats-officedocument.spreadsheetml.worksheet+xml" PartName="/xl/worksheets/sheet13674.xml"/>
  <Override ContentType="application/vnd.openxmlformats-officedocument.spreadsheetml.worksheet+xml" PartName="/xl/worksheets/sheet13675.xml"/>
  <Override ContentType="application/vnd.openxmlformats-officedocument.spreadsheetml.worksheet+xml" PartName="/xl/worksheets/sheet13676.xml"/>
  <Override ContentType="application/vnd.openxmlformats-officedocument.spreadsheetml.worksheet+xml" PartName="/xl/worksheets/sheet13677.xml"/>
  <Override ContentType="application/vnd.openxmlformats-officedocument.spreadsheetml.worksheet+xml" PartName="/xl/worksheets/sheet13678.xml"/>
  <Override ContentType="application/vnd.openxmlformats-officedocument.spreadsheetml.worksheet+xml" PartName="/xl/worksheets/sheet13679.xml"/>
  <Override ContentType="application/vnd.openxmlformats-officedocument.spreadsheetml.worksheet+xml" PartName="/xl/worksheets/sheet13680.xml"/>
  <Override ContentType="application/vnd.openxmlformats-officedocument.spreadsheetml.worksheet+xml" PartName="/xl/worksheets/sheet13681.xml"/>
  <Override ContentType="application/vnd.openxmlformats-officedocument.spreadsheetml.worksheet+xml" PartName="/xl/worksheets/sheet13682.xml"/>
  <Override ContentType="application/vnd.openxmlformats-officedocument.spreadsheetml.worksheet+xml" PartName="/xl/worksheets/sheet13683.xml"/>
  <Override ContentType="application/vnd.openxmlformats-officedocument.spreadsheetml.worksheet+xml" PartName="/xl/worksheets/sheet13684.xml"/>
  <Override ContentType="application/vnd.openxmlformats-officedocument.spreadsheetml.worksheet+xml" PartName="/xl/worksheets/sheet13685.xml"/>
  <Override ContentType="application/vnd.openxmlformats-officedocument.spreadsheetml.worksheet+xml" PartName="/xl/worksheets/sheet13686.xml"/>
  <Override ContentType="application/vnd.openxmlformats-officedocument.spreadsheetml.worksheet+xml" PartName="/xl/worksheets/sheet13687.xml"/>
  <Override ContentType="application/vnd.openxmlformats-officedocument.spreadsheetml.worksheet+xml" PartName="/xl/worksheets/sheet13688.xml"/>
  <Override ContentType="application/vnd.openxmlformats-officedocument.spreadsheetml.worksheet+xml" PartName="/xl/worksheets/sheet13689.xml"/>
  <Override ContentType="application/vnd.openxmlformats-officedocument.spreadsheetml.worksheet+xml" PartName="/xl/worksheets/sheet13690.xml"/>
  <Override ContentType="application/vnd.openxmlformats-officedocument.spreadsheetml.worksheet+xml" PartName="/xl/worksheets/sheet13691.xml"/>
  <Override ContentType="application/vnd.openxmlformats-officedocument.spreadsheetml.worksheet+xml" PartName="/xl/worksheets/sheet13692.xml"/>
  <Override ContentType="application/vnd.openxmlformats-officedocument.spreadsheetml.worksheet+xml" PartName="/xl/worksheets/sheet13693.xml"/>
  <Override ContentType="application/vnd.openxmlformats-officedocument.spreadsheetml.worksheet+xml" PartName="/xl/worksheets/sheet13694.xml"/>
  <Override ContentType="application/vnd.openxmlformats-officedocument.spreadsheetml.worksheet+xml" PartName="/xl/worksheets/sheet13695.xml"/>
  <Override ContentType="application/vnd.openxmlformats-officedocument.spreadsheetml.worksheet+xml" PartName="/xl/worksheets/sheet13696.xml"/>
  <Override ContentType="application/vnd.openxmlformats-officedocument.spreadsheetml.worksheet+xml" PartName="/xl/worksheets/sheet13697.xml"/>
  <Override ContentType="application/vnd.openxmlformats-officedocument.spreadsheetml.worksheet+xml" PartName="/xl/worksheets/sheet13698.xml"/>
  <Override ContentType="application/vnd.openxmlformats-officedocument.spreadsheetml.worksheet+xml" PartName="/xl/worksheets/sheet13699.xml"/>
  <Override ContentType="application/vnd.openxmlformats-officedocument.spreadsheetml.worksheet+xml" PartName="/xl/worksheets/sheet13700.xml"/>
  <Override ContentType="application/vnd.openxmlformats-officedocument.spreadsheetml.worksheet+xml" PartName="/xl/worksheets/sheet13701.xml"/>
  <Override ContentType="application/vnd.openxmlformats-officedocument.spreadsheetml.worksheet+xml" PartName="/xl/worksheets/sheet13702.xml"/>
  <Override ContentType="application/vnd.openxmlformats-officedocument.spreadsheetml.worksheet+xml" PartName="/xl/worksheets/sheet13703.xml"/>
  <Override ContentType="application/vnd.openxmlformats-officedocument.spreadsheetml.worksheet+xml" PartName="/xl/worksheets/sheet13704.xml"/>
  <Override ContentType="application/vnd.openxmlformats-officedocument.spreadsheetml.worksheet+xml" PartName="/xl/worksheets/sheet13705.xml"/>
  <Override ContentType="application/vnd.openxmlformats-officedocument.spreadsheetml.worksheet+xml" PartName="/xl/worksheets/sheet13706.xml"/>
  <Override ContentType="application/vnd.openxmlformats-officedocument.spreadsheetml.worksheet+xml" PartName="/xl/worksheets/sheet13707.xml"/>
  <Override ContentType="application/vnd.openxmlformats-officedocument.spreadsheetml.worksheet+xml" PartName="/xl/worksheets/sheet13708.xml"/>
  <Override ContentType="application/vnd.openxmlformats-officedocument.spreadsheetml.worksheet+xml" PartName="/xl/worksheets/sheet13709.xml"/>
  <Override ContentType="application/vnd.openxmlformats-officedocument.spreadsheetml.worksheet+xml" PartName="/xl/worksheets/sheet13710.xml"/>
  <Override ContentType="application/vnd.openxmlformats-officedocument.spreadsheetml.worksheet+xml" PartName="/xl/worksheets/sheet13711.xml"/>
  <Override ContentType="application/vnd.openxmlformats-officedocument.spreadsheetml.worksheet+xml" PartName="/xl/worksheets/sheet13712.xml"/>
  <Override ContentType="application/vnd.openxmlformats-officedocument.spreadsheetml.worksheet+xml" PartName="/xl/worksheets/sheet13713.xml"/>
  <Override ContentType="application/vnd.openxmlformats-officedocument.spreadsheetml.worksheet+xml" PartName="/xl/worksheets/sheet13714.xml"/>
  <Override ContentType="application/vnd.openxmlformats-officedocument.spreadsheetml.worksheet+xml" PartName="/xl/worksheets/sheet13715.xml"/>
  <Override ContentType="application/vnd.openxmlformats-officedocument.spreadsheetml.worksheet+xml" PartName="/xl/worksheets/sheet13716.xml"/>
  <Override ContentType="application/vnd.openxmlformats-officedocument.spreadsheetml.worksheet+xml" PartName="/xl/worksheets/sheet13717.xml"/>
  <Override ContentType="application/vnd.openxmlformats-officedocument.spreadsheetml.worksheet+xml" PartName="/xl/worksheets/sheet13718.xml"/>
  <Override ContentType="application/vnd.openxmlformats-officedocument.spreadsheetml.worksheet+xml" PartName="/xl/worksheets/sheet13719.xml"/>
  <Override ContentType="application/vnd.openxmlformats-officedocument.spreadsheetml.worksheet+xml" PartName="/xl/worksheets/sheet13720.xml"/>
  <Override ContentType="application/vnd.openxmlformats-officedocument.spreadsheetml.worksheet+xml" PartName="/xl/worksheets/sheet13721.xml"/>
  <Override ContentType="application/vnd.openxmlformats-officedocument.spreadsheetml.worksheet+xml" PartName="/xl/worksheets/sheet13722.xml"/>
  <Override ContentType="application/vnd.openxmlformats-officedocument.spreadsheetml.worksheet+xml" PartName="/xl/worksheets/sheet13723.xml"/>
  <Override ContentType="application/vnd.openxmlformats-officedocument.spreadsheetml.worksheet+xml" PartName="/xl/worksheets/sheet13724.xml"/>
  <Override ContentType="application/vnd.openxmlformats-officedocument.spreadsheetml.worksheet+xml" PartName="/xl/worksheets/sheet13725.xml"/>
  <Override ContentType="application/vnd.openxmlformats-officedocument.spreadsheetml.worksheet+xml" PartName="/xl/worksheets/sheet13726.xml"/>
  <Override ContentType="application/vnd.openxmlformats-officedocument.spreadsheetml.worksheet+xml" PartName="/xl/worksheets/sheet13727.xml"/>
  <Override ContentType="application/vnd.openxmlformats-officedocument.spreadsheetml.worksheet+xml" PartName="/xl/worksheets/sheet13728.xml"/>
  <Override ContentType="application/vnd.openxmlformats-officedocument.spreadsheetml.worksheet+xml" PartName="/xl/worksheets/sheet13729.xml"/>
  <Override ContentType="application/vnd.openxmlformats-officedocument.spreadsheetml.worksheet+xml" PartName="/xl/worksheets/sheet13730.xml"/>
  <Override ContentType="application/vnd.openxmlformats-officedocument.spreadsheetml.worksheet+xml" PartName="/xl/worksheets/sheet13731.xml"/>
  <Override ContentType="application/vnd.openxmlformats-officedocument.spreadsheetml.worksheet+xml" PartName="/xl/worksheets/sheet13732.xml"/>
  <Override ContentType="application/vnd.openxmlformats-officedocument.spreadsheetml.worksheet+xml" PartName="/xl/worksheets/sheet13733.xml"/>
  <Override ContentType="application/vnd.openxmlformats-officedocument.spreadsheetml.worksheet+xml" PartName="/xl/worksheets/sheet13734.xml"/>
  <Override ContentType="application/vnd.openxmlformats-officedocument.spreadsheetml.worksheet+xml" PartName="/xl/worksheets/sheet13735.xml"/>
  <Override ContentType="application/vnd.openxmlformats-officedocument.spreadsheetml.worksheet+xml" PartName="/xl/worksheets/sheet13736.xml"/>
  <Override ContentType="application/vnd.openxmlformats-officedocument.spreadsheetml.worksheet+xml" PartName="/xl/worksheets/sheet13737.xml"/>
  <Override ContentType="application/vnd.openxmlformats-officedocument.spreadsheetml.worksheet+xml" PartName="/xl/worksheets/sheet13738.xml"/>
  <Override ContentType="application/vnd.openxmlformats-officedocument.spreadsheetml.worksheet+xml" PartName="/xl/worksheets/sheet13739.xml"/>
  <Override ContentType="application/vnd.openxmlformats-officedocument.spreadsheetml.worksheet+xml" PartName="/xl/worksheets/sheet13740.xml"/>
  <Override ContentType="application/vnd.openxmlformats-officedocument.spreadsheetml.worksheet+xml" PartName="/xl/worksheets/sheet13741.xml"/>
  <Override ContentType="application/vnd.openxmlformats-officedocument.spreadsheetml.worksheet+xml" PartName="/xl/worksheets/sheet13742.xml"/>
  <Override ContentType="application/vnd.openxmlformats-officedocument.spreadsheetml.worksheet+xml" PartName="/xl/worksheets/sheet13743.xml"/>
  <Override ContentType="application/vnd.openxmlformats-officedocument.spreadsheetml.worksheet+xml" PartName="/xl/worksheets/sheet13744.xml"/>
  <Override ContentType="application/vnd.openxmlformats-officedocument.spreadsheetml.worksheet+xml" PartName="/xl/worksheets/sheet13745.xml"/>
  <Override ContentType="application/vnd.openxmlformats-officedocument.spreadsheetml.worksheet+xml" PartName="/xl/worksheets/sheet13746.xml"/>
  <Override ContentType="application/vnd.openxmlformats-officedocument.spreadsheetml.worksheet+xml" PartName="/xl/worksheets/sheet13747.xml"/>
  <Override ContentType="application/vnd.openxmlformats-officedocument.spreadsheetml.worksheet+xml" PartName="/xl/worksheets/sheet13748.xml"/>
  <Override ContentType="application/vnd.openxmlformats-officedocument.spreadsheetml.worksheet+xml" PartName="/xl/worksheets/sheet13749.xml"/>
  <Override ContentType="application/vnd.openxmlformats-officedocument.spreadsheetml.worksheet+xml" PartName="/xl/worksheets/sheet13750.xml"/>
  <Override ContentType="application/vnd.openxmlformats-officedocument.spreadsheetml.worksheet+xml" PartName="/xl/worksheets/sheet13751.xml"/>
  <Override ContentType="application/vnd.openxmlformats-officedocument.spreadsheetml.worksheet+xml" PartName="/xl/worksheets/sheet13752.xml"/>
  <Override ContentType="application/vnd.openxmlformats-officedocument.spreadsheetml.worksheet+xml" PartName="/xl/worksheets/sheet13753.xml"/>
  <Override ContentType="application/vnd.openxmlformats-officedocument.spreadsheetml.worksheet+xml" PartName="/xl/worksheets/sheet13754.xml"/>
  <Override ContentType="application/vnd.openxmlformats-officedocument.spreadsheetml.worksheet+xml" PartName="/xl/worksheets/sheet13755.xml"/>
  <Override ContentType="application/vnd.openxmlformats-officedocument.spreadsheetml.worksheet+xml" PartName="/xl/worksheets/sheet13756.xml"/>
  <Override ContentType="application/vnd.openxmlformats-officedocument.spreadsheetml.worksheet+xml" PartName="/xl/worksheets/sheet13757.xml"/>
  <Override ContentType="application/vnd.openxmlformats-officedocument.spreadsheetml.worksheet+xml" PartName="/xl/worksheets/sheet13758.xml"/>
  <Override ContentType="application/vnd.openxmlformats-officedocument.spreadsheetml.worksheet+xml" PartName="/xl/worksheets/sheet13759.xml"/>
  <Override ContentType="application/vnd.openxmlformats-officedocument.spreadsheetml.worksheet+xml" PartName="/xl/worksheets/sheet13760.xml"/>
  <Override ContentType="application/vnd.openxmlformats-officedocument.spreadsheetml.worksheet+xml" PartName="/xl/worksheets/sheet13761.xml"/>
  <Override ContentType="application/vnd.openxmlformats-officedocument.spreadsheetml.worksheet+xml" PartName="/xl/worksheets/sheet13762.xml"/>
  <Override ContentType="application/vnd.openxmlformats-officedocument.spreadsheetml.worksheet+xml" PartName="/xl/worksheets/sheet13763.xml"/>
  <Override ContentType="application/vnd.openxmlformats-officedocument.spreadsheetml.worksheet+xml" PartName="/xl/worksheets/sheet13764.xml"/>
  <Override ContentType="application/vnd.openxmlformats-officedocument.spreadsheetml.worksheet+xml" PartName="/xl/worksheets/sheet13765.xml"/>
  <Override ContentType="application/vnd.openxmlformats-officedocument.spreadsheetml.worksheet+xml" PartName="/xl/worksheets/sheet13766.xml"/>
  <Override ContentType="application/vnd.openxmlformats-officedocument.spreadsheetml.worksheet+xml" PartName="/xl/worksheets/sheet13767.xml"/>
  <Override ContentType="application/vnd.openxmlformats-officedocument.spreadsheetml.worksheet+xml" PartName="/xl/worksheets/sheet13768.xml"/>
  <Override ContentType="application/vnd.openxmlformats-officedocument.spreadsheetml.worksheet+xml" PartName="/xl/worksheets/sheet13769.xml"/>
  <Override ContentType="application/vnd.openxmlformats-officedocument.spreadsheetml.worksheet+xml" PartName="/xl/worksheets/sheet13770.xml"/>
  <Override ContentType="application/vnd.openxmlformats-officedocument.spreadsheetml.worksheet+xml" PartName="/xl/worksheets/sheet13771.xml"/>
  <Override ContentType="application/vnd.openxmlformats-officedocument.spreadsheetml.worksheet+xml" PartName="/xl/worksheets/sheet13772.xml"/>
  <Override ContentType="application/vnd.openxmlformats-officedocument.spreadsheetml.worksheet+xml" PartName="/xl/worksheets/sheet13773.xml"/>
  <Override ContentType="application/vnd.openxmlformats-officedocument.spreadsheetml.worksheet+xml" PartName="/xl/worksheets/sheet13774.xml"/>
  <Override ContentType="application/vnd.openxmlformats-officedocument.spreadsheetml.worksheet+xml" PartName="/xl/worksheets/sheet13775.xml"/>
  <Override ContentType="application/vnd.openxmlformats-officedocument.spreadsheetml.worksheet+xml" PartName="/xl/worksheets/sheet13776.xml"/>
  <Override ContentType="application/vnd.openxmlformats-officedocument.spreadsheetml.worksheet+xml" PartName="/xl/worksheets/sheet13777.xml"/>
  <Override ContentType="application/vnd.openxmlformats-officedocument.spreadsheetml.worksheet+xml" PartName="/xl/worksheets/sheet13778.xml"/>
  <Override ContentType="application/vnd.openxmlformats-officedocument.spreadsheetml.worksheet+xml" PartName="/xl/worksheets/sheet13779.xml"/>
  <Override ContentType="application/vnd.openxmlformats-officedocument.spreadsheetml.worksheet+xml" PartName="/xl/worksheets/sheet13780.xml"/>
  <Override ContentType="application/vnd.openxmlformats-officedocument.spreadsheetml.worksheet+xml" PartName="/xl/worksheets/sheet13781.xml"/>
  <Override ContentType="application/vnd.openxmlformats-officedocument.spreadsheetml.worksheet+xml" PartName="/xl/worksheets/sheet13782.xml"/>
  <Override ContentType="application/vnd.openxmlformats-officedocument.spreadsheetml.worksheet+xml" PartName="/xl/worksheets/sheet13783.xml"/>
  <Override ContentType="application/vnd.openxmlformats-officedocument.spreadsheetml.worksheet+xml" PartName="/xl/worksheets/sheet13784.xml"/>
  <Override ContentType="application/vnd.openxmlformats-officedocument.spreadsheetml.worksheet+xml" PartName="/xl/worksheets/sheet13785.xml"/>
  <Override ContentType="application/vnd.openxmlformats-officedocument.spreadsheetml.worksheet+xml" PartName="/xl/worksheets/sheet13786.xml"/>
  <Override ContentType="application/vnd.openxmlformats-officedocument.spreadsheetml.worksheet+xml" PartName="/xl/worksheets/sheet13787.xml"/>
  <Override ContentType="application/vnd.openxmlformats-officedocument.spreadsheetml.worksheet+xml" PartName="/xl/worksheets/sheet13788.xml"/>
  <Override ContentType="application/vnd.openxmlformats-officedocument.spreadsheetml.worksheet+xml" PartName="/xl/worksheets/sheet13789.xml"/>
  <Override ContentType="application/vnd.openxmlformats-officedocument.spreadsheetml.worksheet+xml" PartName="/xl/worksheets/sheet13790.xml"/>
  <Override ContentType="application/vnd.openxmlformats-officedocument.spreadsheetml.worksheet+xml" PartName="/xl/worksheets/sheet13791.xml"/>
  <Override ContentType="application/vnd.openxmlformats-officedocument.spreadsheetml.worksheet+xml" PartName="/xl/worksheets/sheet13792.xml"/>
  <Override ContentType="application/vnd.openxmlformats-officedocument.spreadsheetml.worksheet+xml" PartName="/xl/worksheets/sheet13793.xml"/>
  <Override ContentType="application/vnd.openxmlformats-officedocument.spreadsheetml.worksheet+xml" PartName="/xl/worksheets/sheet13794.xml"/>
  <Override ContentType="application/vnd.openxmlformats-officedocument.spreadsheetml.worksheet+xml" PartName="/xl/worksheets/sheet13795.xml"/>
  <Override ContentType="application/vnd.openxmlformats-officedocument.spreadsheetml.worksheet+xml" PartName="/xl/worksheets/sheet13796.xml"/>
  <Override ContentType="application/vnd.openxmlformats-officedocument.spreadsheetml.worksheet+xml" PartName="/xl/worksheets/sheet13797.xml"/>
  <Override ContentType="application/vnd.openxmlformats-officedocument.spreadsheetml.worksheet+xml" PartName="/xl/worksheets/sheet13798.xml"/>
  <Override ContentType="application/vnd.openxmlformats-officedocument.spreadsheetml.worksheet+xml" PartName="/xl/worksheets/sheet13799.xml"/>
  <Override ContentType="application/vnd.openxmlformats-officedocument.spreadsheetml.worksheet+xml" PartName="/xl/worksheets/sheet13800.xml"/>
  <Override ContentType="application/vnd.openxmlformats-officedocument.spreadsheetml.worksheet+xml" PartName="/xl/worksheets/sheet13801.xml"/>
  <Override ContentType="application/vnd.openxmlformats-officedocument.spreadsheetml.worksheet+xml" PartName="/xl/worksheets/sheet13802.xml"/>
  <Override ContentType="application/vnd.openxmlformats-officedocument.spreadsheetml.worksheet+xml" PartName="/xl/worksheets/sheet13803.xml"/>
  <Override ContentType="application/vnd.openxmlformats-officedocument.spreadsheetml.worksheet+xml" PartName="/xl/worksheets/sheet13804.xml"/>
  <Override ContentType="application/vnd.openxmlformats-officedocument.spreadsheetml.worksheet+xml" PartName="/xl/worksheets/sheet13805.xml"/>
  <Override ContentType="application/vnd.openxmlformats-officedocument.spreadsheetml.worksheet+xml" PartName="/xl/worksheets/sheet13806.xml"/>
  <Override ContentType="application/vnd.openxmlformats-officedocument.spreadsheetml.worksheet+xml" PartName="/xl/worksheets/sheet13807.xml"/>
  <Override ContentType="application/vnd.openxmlformats-officedocument.spreadsheetml.worksheet+xml" PartName="/xl/worksheets/sheet13808.xml"/>
  <Override ContentType="application/vnd.openxmlformats-officedocument.spreadsheetml.worksheet+xml" PartName="/xl/worksheets/sheet13809.xml"/>
  <Override ContentType="application/vnd.openxmlformats-officedocument.spreadsheetml.worksheet+xml" PartName="/xl/worksheets/sheet13810.xml"/>
  <Override ContentType="application/vnd.openxmlformats-officedocument.spreadsheetml.worksheet+xml" PartName="/xl/worksheets/sheet13811.xml"/>
  <Override ContentType="application/vnd.openxmlformats-officedocument.spreadsheetml.worksheet+xml" PartName="/xl/worksheets/sheet13812.xml"/>
  <Override ContentType="application/vnd.openxmlformats-officedocument.spreadsheetml.worksheet+xml" PartName="/xl/worksheets/sheet13813.xml"/>
  <Override ContentType="application/vnd.openxmlformats-officedocument.spreadsheetml.worksheet+xml" PartName="/xl/worksheets/sheet13814.xml"/>
  <Override ContentType="application/vnd.openxmlformats-officedocument.spreadsheetml.worksheet+xml" PartName="/xl/worksheets/sheet13815.xml"/>
  <Override ContentType="application/vnd.openxmlformats-officedocument.spreadsheetml.worksheet+xml" PartName="/xl/worksheets/sheet13816.xml"/>
  <Override ContentType="application/vnd.openxmlformats-officedocument.spreadsheetml.worksheet+xml" PartName="/xl/worksheets/sheet13817.xml"/>
  <Override ContentType="application/vnd.openxmlformats-officedocument.spreadsheetml.worksheet+xml" PartName="/xl/worksheets/sheet13818.xml"/>
  <Override ContentType="application/vnd.openxmlformats-officedocument.spreadsheetml.worksheet+xml" PartName="/xl/worksheets/sheet13819.xml"/>
  <Override ContentType="application/vnd.openxmlformats-officedocument.spreadsheetml.worksheet+xml" PartName="/xl/worksheets/sheet13820.xml"/>
  <Override ContentType="application/vnd.openxmlformats-officedocument.spreadsheetml.worksheet+xml" PartName="/xl/worksheets/sheet13821.xml"/>
  <Override ContentType="application/vnd.openxmlformats-officedocument.spreadsheetml.worksheet+xml" PartName="/xl/worksheets/sheet13822.xml"/>
  <Override ContentType="application/vnd.openxmlformats-officedocument.spreadsheetml.worksheet+xml" PartName="/xl/worksheets/sheet13823.xml"/>
  <Override ContentType="application/vnd.openxmlformats-officedocument.spreadsheetml.worksheet+xml" PartName="/xl/worksheets/sheet13824.xml"/>
  <Override ContentType="application/vnd.openxmlformats-officedocument.spreadsheetml.worksheet+xml" PartName="/xl/worksheets/sheet13825.xml"/>
  <Override ContentType="application/vnd.openxmlformats-officedocument.spreadsheetml.worksheet+xml" PartName="/xl/worksheets/sheet13826.xml"/>
  <Override ContentType="application/vnd.openxmlformats-officedocument.spreadsheetml.worksheet+xml" PartName="/xl/worksheets/sheet13827.xml"/>
  <Override ContentType="application/vnd.openxmlformats-officedocument.spreadsheetml.worksheet+xml" PartName="/xl/worksheets/sheet13828.xml"/>
  <Override ContentType="application/vnd.openxmlformats-officedocument.spreadsheetml.worksheet+xml" PartName="/xl/worksheets/sheet13829.xml"/>
  <Override ContentType="application/vnd.openxmlformats-officedocument.spreadsheetml.worksheet+xml" PartName="/xl/worksheets/sheet13830.xml"/>
  <Override ContentType="application/vnd.openxmlformats-officedocument.spreadsheetml.worksheet+xml" PartName="/xl/worksheets/sheet13831.xml"/>
  <Override ContentType="application/vnd.openxmlformats-officedocument.spreadsheetml.worksheet+xml" PartName="/xl/worksheets/sheet13832.xml"/>
  <Override ContentType="application/vnd.openxmlformats-officedocument.spreadsheetml.worksheet+xml" PartName="/xl/worksheets/sheet13833.xml"/>
  <Override ContentType="application/vnd.openxmlformats-officedocument.spreadsheetml.worksheet+xml" PartName="/xl/worksheets/sheet13834.xml"/>
  <Override ContentType="application/vnd.openxmlformats-officedocument.spreadsheetml.worksheet+xml" PartName="/xl/worksheets/sheet13835.xml"/>
  <Override ContentType="application/vnd.openxmlformats-officedocument.spreadsheetml.worksheet+xml" PartName="/xl/worksheets/sheet13836.xml"/>
  <Override ContentType="application/vnd.openxmlformats-officedocument.spreadsheetml.worksheet+xml" PartName="/xl/worksheets/sheet13837.xml"/>
  <Override ContentType="application/vnd.openxmlformats-officedocument.spreadsheetml.worksheet+xml" PartName="/xl/worksheets/sheet13838.xml"/>
  <Override ContentType="application/vnd.openxmlformats-officedocument.spreadsheetml.worksheet+xml" PartName="/xl/worksheets/sheet13839.xml"/>
  <Override ContentType="application/vnd.openxmlformats-officedocument.spreadsheetml.worksheet+xml" PartName="/xl/worksheets/sheet13840.xml"/>
  <Override ContentType="application/vnd.openxmlformats-officedocument.spreadsheetml.worksheet+xml" PartName="/xl/worksheets/sheet13841.xml"/>
  <Override ContentType="application/vnd.openxmlformats-officedocument.spreadsheetml.worksheet+xml" PartName="/xl/worksheets/sheet13842.xml"/>
  <Override ContentType="application/vnd.openxmlformats-officedocument.spreadsheetml.worksheet+xml" PartName="/xl/worksheets/sheet13843.xml"/>
  <Override ContentType="application/vnd.openxmlformats-officedocument.spreadsheetml.worksheet+xml" PartName="/xl/worksheets/sheet13844.xml"/>
  <Override ContentType="application/vnd.openxmlformats-officedocument.spreadsheetml.worksheet+xml" PartName="/xl/worksheets/sheet13845.xml"/>
  <Override ContentType="application/vnd.openxmlformats-officedocument.spreadsheetml.worksheet+xml" PartName="/xl/worksheets/sheet13846.xml"/>
  <Override ContentType="application/vnd.openxmlformats-officedocument.spreadsheetml.worksheet+xml" PartName="/xl/worksheets/sheet13847.xml"/>
  <Override ContentType="application/vnd.openxmlformats-officedocument.spreadsheetml.worksheet+xml" PartName="/xl/worksheets/sheet13848.xml"/>
  <Override ContentType="application/vnd.openxmlformats-officedocument.spreadsheetml.worksheet+xml" PartName="/xl/worksheets/sheet13849.xml"/>
  <Override ContentType="application/vnd.openxmlformats-officedocument.spreadsheetml.worksheet+xml" PartName="/xl/worksheets/sheet13850.xml"/>
  <Override ContentType="application/vnd.openxmlformats-officedocument.spreadsheetml.worksheet+xml" PartName="/xl/worksheets/sheet13851.xml"/>
  <Override ContentType="application/vnd.openxmlformats-officedocument.spreadsheetml.worksheet+xml" PartName="/xl/worksheets/sheet13852.xml"/>
  <Override ContentType="application/vnd.openxmlformats-officedocument.spreadsheetml.worksheet+xml" PartName="/xl/worksheets/sheet13853.xml"/>
  <Override ContentType="application/vnd.openxmlformats-officedocument.spreadsheetml.worksheet+xml" PartName="/xl/worksheets/sheet13854.xml"/>
  <Override ContentType="application/vnd.openxmlformats-officedocument.spreadsheetml.worksheet+xml" PartName="/xl/worksheets/sheet13855.xml"/>
  <Override ContentType="application/vnd.openxmlformats-officedocument.spreadsheetml.worksheet+xml" PartName="/xl/worksheets/sheet13856.xml"/>
  <Override ContentType="application/vnd.openxmlformats-officedocument.spreadsheetml.worksheet+xml" PartName="/xl/worksheets/sheet13857.xml"/>
  <Override ContentType="application/vnd.openxmlformats-officedocument.spreadsheetml.worksheet+xml" PartName="/xl/worksheets/sheet13858.xml"/>
  <Override ContentType="application/vnd.openxmlformats-officedocument.spreadsheetml.worksheet+xml" PartName="/xl/worksheets/sheet13859.xml"/>
  <Override ContentType="application/vnd.openxmlformats-officedocument.spreadsheetml.worksheet+xml" PartName="/xl/worksheets/sheet13860.xml"/>
  <Override ContentType="application/vnd.openxmlformats-officedocument.spreadsheetml.worksheet+xml" PartName="/xl/worksheets/sheet13861.xml"/>
  <Override ContentType="application/vnd.openxmlformats-officedocument.spreadsheetml.worksheet+xml" PartName="/xl/worksheets/sheet13862.xml"/>
  <Override ContentType="application/vnd.openxmlformats-officedocument.spreadsheetml.worksheet+xml" PartName="/xl/worksheets/sheet13863.xml"/>
  <Override ContentType="application/vnd.openxmlformats-officedocument.spreadsheetml.worksheet+xml" PartName="/xl/worksheets/sheet13864.xml"/>
  <Override ContentType="application/vnd.openxmlformats-officedocument.spreadsheetml.worksheet+xml" PartName="/xl/worksheets/sheet13865.xml"/>
  <Override ContentType="application/vnd.openxmlformats-officedocument.spreadsheetml.worksheet+xml" PartName="/xl/worksheets/sheet13866.xml"/>
  <Override ContentType="application/vnd.openxmlformats-officedocument.spreadsheetml.worksheet+xml" PartName="/xl/worksheets/sheet13867.xml"/>
  <Override ContentType="application/vnd.openxmlformats-officedocument.spreadsheetml.worksheet+xml" PartName="/xl/worksheets/sheet13868.xml"/>
  <Override ContentType="application/vnd.openxmlformats-officedocument.spreadsheetml.worksheet+xml" PartName="/xl/worksheets/sheet13869.xml"/>
  <Override ContentType="application/vnd.openxmlformats-officedocument.spreadsheetml.worksheet+xml" PartName="/xl/worksheets/sheet13870.xml"/>
  <Override ContentType="application/vnd.openxmlformats-officedocument.spreadsheetml.worksheet+xml" PartName="/xl/worksheets/sheet13871.xml"/>
  <Override ContentType="application/vnd.openxmlformats-officedocument.spreadsheetml.worksheet+xml" PartName="/xl/worksheets/sheet13872.xml"/>
  <Override ContentType="application/vnd.openxmlformats-officedocument.spreadsheetml.worksheet+xml" PartName="/xl/worksheets/sheet13873.xml"/>
  <Override ContentType="application/vnd.openxmlformats-officedocument.spreadsheetml.worksheet+xml" PartName="/xl/worksheets/sheet13874.xml"/>
  <Override ContentType="application/vnd.openxmlformats-officedocument.spreadsheetml.worksheet+xml" PartName="/xl/worksheets/sheet13875.xml"/>
  <Override ContentType="application/vnd.openxmlformats-officedocument.spreadsheetml.worksheet+xml" PartName="/xl/worksheets/sheet13876.xml"/>
  <Override ContentType="application/vnd.openxmlformats-officedocument.spreadsheetml.worksheet+xml" PartName="/xl/worksheets/sheet13877.xml"/>
  <Override ContentType="application/vnd.openxmlformats-officedocument.spreadsheetml.worksheet+xml" PartName="/xl/worksheets/sheet13878.xml"/>
  <Override ContentType="application/vnd.openxmlformats-officedocument.spreadsheetml.worksheet+xml" PartName="/xl/worksheets/sheet13879.xml"/>
  <Override ContentType="application/vnd.openxmlformats-officedocument.spreadsheetml.worksheet+xml" PartName="/xl/worksheets/sheet13880.xml"/>
  <Override ContentType="application/vnd.openxmlformats-officedocument.spreadsheetml.worksheet+xml" PartName="/xl/worksheets/sheet13881.xml"/>
  <Override ContentType="application/vnd.openxmlformats-officedocument.spreadsheetml.worksheet+xml" PartName="/xl/worksheets/sheet13882.xml"/>
  <Override ContentType="application/vnd.openxmlformats-officedocument.spreadsheetml.worksheet+xml" PartName="/xl/worksheets/sheet13883.xml"/>
  <Override ContentType="application/vnd.openxmlformats-officedocument.spreadsheetml.worksheet+xml" PartName="/xl/worksheets/sheet13884.xml"/>
  <Override ContentType="application/vnd.openxmlformats-officedocument.spreadsheetml.worksheet+xml" PartName="/xl/worksheets/sheet13885.xml"/>
  <Override ContentType="application/vnd.openxmlformats-officedocument.spreadsheetml.worksheet+xml" PartName="/xl/worksheets/sheet13886.xml"/>
  <Override ContentType="application/vnd.openxmlformats-officedocument.spreadsheetml.worksheet+xml" PartName="/xl/worksheets/sheet13887.xml"/>
  <Override ContentType="application/vnd.openxmlformats-officedocument.spreadsheetml.worksheet+xml" PartName="/xl/worksheets/sheet13888.xml"/>
  <Override ContentType="application/vnd.openxmlformats-officedocument.spreadsheetml.worksheet+xml" PartName="/xl/worksheets/sheet13889.xml"/>
  <Override ContentType="application/vnd.openxmlformats-officedocument.spreadsheetml.worksheet+xml" PartName="/xl/worksheets/sheet13890.xml"/>
  <Override ContentType="application/vnd.openxmlformats-officedocument.spreadsheetml.worksheet+xml" PartName="/xl/worksheets/sheet13891.xml"/>
  <Override ContentType="application/vnd.openxmlformats-officedocument.spreadsheetml.worksheet+xml" PartName="/xl/worksheets/sheet13892.xml"/>
  <Override ContentType="application/vnd.openxmlformats-officedocument.spreadsheetml.worksheet+xml" PartName="/xl/worksheets/sheet13893.xml"/>
  <Override ContentType="application/vnd.openxmlformats-officedocument.spreadsheetml.worksheet+xml" PartName="/xl/worksheets/sheet13894.xml"/>
  <Override ContentType="application/vnd.openxmlformats-officedocument.spreadsheetml.worksheet+xml" PartName="/xl/worksheets/sheet13895.xml"/>
  <Override ContentType="application/vnd.openxmlformats-officedocument.spreadsheetml.worksheet+xml" PartName="/xl/worksheets/sheet13896.xml"/>
  <Override ContentType="application/vnd.openxmlformats-officedocument.spreadsheetml.worksheet+xml" PartName="/xl/worksheets/sheet13897.xml"/>
  <Override ContentType="application/vnd.openxmlformats-officedocument.spreadsheetml.worksheet+xml" PartName="/xl/worksheets/sheet13898.xml"/>
  <Override ContentType="application/vnd.openxmlformats-officedocument.spreadsheetml.worksheet+xml" PartName="/xl/worksheets/sheet13899.xml"/>
  <Override ContentType="application/vnd.openxmlformats-officedocument.spreadsheetml.worksheet+xml" PartName="/xl/worksheets/sheet13900.xml"/>
  <Override ContentType="application/vnd.openxmlformats-officedocument.spreadsheetml.worksheet+xml" PartName="/xl/worksheets/sheet13901.xml"/>
  <Override ContentType="application/vnd.openxmlformats-officedocument.spreadsheetml.worksheet+xml" PartName="/xl/worksheets/sheet13902.xml"/>
  <Override ContentType="application/vnd.openxmlformats-officedocument.spreadsheetml.worksheet+xml" PartName="/xl/worksheets/sheet13903.xml"/>
  <Override ContentType="application/vnd.openxmlformats-officedocument.spreadsheetml.worksheet+xml" PartName="/xl/worksheets/sheet13904.xml"/>
  <Override ContentType="application/vnd.openxmlformats-officedocument.spreadsheetml.worksheet+xml" PartName="/xl/worksheets/sheet13905.xml"/>
  <Override ContentType="application/vnd.openxmlformats-officedocument.spreadsheetml.worksheet+xml" PartName="/xl/worksheets/sheet13906.xml"/>
  <Override ContentType="application/vnd.openxmlformats-officedocument.spreadsheetml.worksheet+xml" PartName="/xl/worksheets/sheet13907.xml"/>
  <Override ContentType="application/vnd.openxmlformats-officedocument.spreadsheetml.worksheet+xml" PartName="/xl/worksheets/sheet13908.xml"/>
  <Override ContentType="application/vnd.openxmlformats-officedocument.spreadsheetml.worksheet+xml" PartName="/xl/worksheets/sheet13909.xml"/>
  <Override ContentType="application/vnd.openxmlformats-officedocument.spreadsheetml.worksheet+xml" PartName="/xl/worksheets/sheet13910.xml"/>
  <Override ContentType="application/vnd.openxmlformats-officedocument.spreadsheetml.worksheet+xml" PartName="/xl/worksheets/sheet13911.xml"/>
  <Override ContentType="application/vnd.openxmlformats-officedocument.spreadsheetml.worksheet+xml" PartName="/xl/worksheets/sheet13912.xml"/>
  <Override ContentType="application/vnd.openxmlformats-officedocument.spreadsheetml.worksheet+xml" PartName="/xl/worksheets/sheet13913.xml"/>
  <Override ContentType="application/vnd.openxmlformats-officedocument.spreadsheetml.worksheet+xml" PartName="/xl/worksheets/sheet13914.xml"/>
  <Override ContentType="application/vnd.openxmlformats-officedocument.spreadsheetml.worksheet+xml" PartName="/xl/worksheets/sheet13915.xml"/>
  <Override ContentType="application/vnd.openxmlformats-officedocument.spreadsheetml.worksheet+xml" PartName="/xl/worksheets/sheet13916.xml"/>
  <Override ContentType="application/vnd.openxmlformats-officedocument.spreadsheetml.worksheet+xml" PartName="/xl/worksheets/sheet13917.xml"/>
  <Override ContentType="application/vnd.openxmlformats-officedocument.spreadsheetml.worksheet+xml" PartName="/xl/worksheets/sheet13918.xml"/>
  <Override ContentType="application/vnd.openxmlformats-officedocument.spreadsheetml.worksheet+xml" PartName="/xl/worksheets/sheet13919.xml"/>
  <Override ContentType="application/vnd.openxmlformats-officedocument.spreadsheetml.worksheet+xml" PartName="/xl/worksheets/sheet13920.xml"/>
  <Override ContentType="application/vnd.openxmlformats-officedocument.spreadsheetml.worksheet+xml" PartName="/xl/worksheets/sheet13921.xml"/>
  <Override ContentType="application/vnd.openxmlformats-officedocument.spreadsheetml.worksheet+xml" PartName="/xl/worksheets/sheet13922.xml"/>
  <Override ContentType="application/vnd.openxmlformats-officedocument.spreadsheetml.worksheet+xml" PartName="/xl/worksheets/sheet13923.xml"/>
  <Override ContentType="application/vnd.openxmlformats-officedocument.spreadsheetml.worksheet+xml" PartName="/xl/worksheets/sheet13924.xml"/>
  <Override ContentType="application/vnd.openxmlformats-officedocument.spreadsheetml.worksheet+xml" PartName="/xl/worksheets/sheet13925.xml"/>
  <Override ContentType="application/vnd.openxmlformats-officedocument.spreadsheetml.worksheet+xml" PartName="/xl/worksheets/sheet13926.xml"/>
  <Override ContentType="application/vnd.openxmlformats-officedocument.spreadsheetml.worksheet+xml" PartName="/xl/worksheets/sheet13927.xml"/>
  <Override ContentType="application/vnd.openxmlformats-officedocument.spreadsheetml.worksheet+xml" PartName="/xl/worksheets/sheet13928.xml"/>
  <Override ContentType="application/vnd.openxmlformats-officedocument.spreadsheetml.worksheet+xml" PartName="/xl/worksheets/sheet13929.xml"/>
  <Override ContentType="application/vnd.openxmlformats-officedocument.spreadsheetml.worksheet+xml" PartName="/xl/worksheets/sheet13930.xml"/>
  <Override ContentType="application/vnd.openxmlformats-officedocument.spreadsheetml.worksheet+xml" PartName="/xl/worksheets/sheet13931.xml"/>
  <Override ContentType="application/vnd.openxmlformats-officedocument.spreadsheetml.worksheet+xml" PartName="/xl/worksheets/sheet13932.xml"/>
  <Override ContentType="application/vnd.openxmlformats-officedocument.spreadsheetml.worksheet+xml" PartName="/xl/worksheets/sheet13933.xml"/>
  <Override ContentType="application/vnd.openxmlformats-officedocument.spreadsheetml.worksheet+xml" PartName="/xl/worksheets/sheet13934.xml"/>
  <Override ContentType="application/vnd.openxmlformats-officedocument.spreadsheetml.worksheet+xml" PartName="/xl/worksheets/sheet13935.xml"/>
  <Override ContentType="application/vnd.openxmlformats-officedocument.spreadsheetml.worksheet+xml" PartName="/xl/worksheets/sheet13936.xml"/>
  <Override ContentType="application/vnd.openxmlformats-officedocument.spreadsheetml.worksheet+xml" PartName="/xl/worksheets/sheet13937.xml"/>
  <Override ContentType="application/vnd.openxmlformats-officedocument.spreadsheetml.worksheet+xml" PartName="/xl/worksheets/sheet13938.xml"/>
  <Override ContentType="application/vnd.openxmlformats-officedocument.spreadsheetml.worksheet+xml" PartName="/xl/worksheets/sheet13939.xml"/>
  <Override ContentType="application/vnd.openxmlformats-officedocument.spreadsheetml.worksheet+xml" PartName="/xl/worksheets/sheet13940.xml"/>
  <Override ContentType="application/vnd.openxmlformats-officedocument.spreadsheetml.worksheet+xml" PartName="/xl/worksheets/sheet13941.xml"/>
  <Override ContentType="application/vnd.openxmlformats-officedocument.spreadsheetml.worksheet+xml" PartName="/xl/worksheets/sheet13942.xml"/>
  <Override ContentType="application/vnd.openxmlformats-officedocument.spreadsheetml.worksheet+xml" PartName="/xl/worksheets/sheet13943.xml"/>
  <Override ContentType="application/vnd.openxmlformats-officedocument.spreadsheetml.worksheet+xml" PartName="/xl/worksheets/sheet13944.xml"/>
  <Override ContentType="application/vnd.openxmlformats-officedocument.spreadsheetml.worksheet+xml" PartName="/xl/worksheets/sheet13945.xml"/>
  <Override ContentType="application/vnd.openxmlformats-officedocument.spreadsheetml.worksheet+xml" PartName="/xl/worksheets/sheet13946.xml"/>
  <Override ContentType="application/vnd.openxmlformats-officedocument.spreadsheetml.worksheet+xml" PartName="/xl/worksheets/sheet13947.xml"/>
  <Override ContentType="application/vnd.openxmlformats-officedocument.spreadsheetml.worksheet+xml" PartName="/xl/worksheets/sheet13948.xml"/>
  <Override ContentType="application/vnd.openxmlformats-officedocument.spreadsheetml.worksheet+xml" PartName="/xl/worksheets/sheet13949.xml"/>
  <Override ContentType="application/vnd.openxmlformats-officedocument.spreadsheetml.worksheet+xml" PartName="/xl/worksheets/sheet13950.xml"/>
  <Override ContentType="application/vnd.openxmlformats-officedocument.spreadsheetml.worksheet+xml" PartName="/xl/worksheets/sheet13951.xml"/>
  <Override ContentType="application/vnd.openxmlformats-officedocument.spreadsheetml.worksheet+xml" PartName="/xl/worksheets/sheet13952.xml"/>
  <Override ContentType="application/vnd.openxmlformats-officedocument.spreadsheetml.worksheet+xml" PartName="/xl/worksheets/sheet13953.xml"/>
  <Override ContentType="application/vnd.openxmlformats-officedocument.spreadsheetml.worksheet+xml" PartName="/xl/worksheets/sheet13954.xml"/>
  <Override ContentType="application/vnd.openxmlformats-officedocument.spreadsheetml.worksheet+xml" PartName="/xl/worksheets/sheet13955.xml"/>
  <Override ContentType="application/vnd.openxmlformats-officedocument.spreadsheetml.worksheet+xml" PartName="/xl/worksheets/sheet13956.xml"/>
  <Override ContentType="application/vnd.openxmlformats-officedocument.spreadsheetml.worksheet+xml" PartName="/xl/worksheets/sheet13957.xml"/>
  <Override ContentType="application/vnd.openxmlformats-officedocument.spreadsheetml.worksheet+xml" PartName="/xl/worksheets/sheet13958.xml"/>
  <Override ContentType="application/vnd.openxmlformats-officedocument.spreadsheetml.worksheet+xml" PartName="/xl/worksheets/sheet13959.xml"/>
  <Override ContentType="application/vnd.openxmlformats-officedocument.spreadsheetml.worksheet+xml" PartName="/xl/worksheets/sheet13960.xml"/>
  <Override ContentType="application/vnd.openxmlformats-officedocument.spreadsheetml.worksheet+xml" PartName="/xl/worksheets/sheet13961.xml"/>
  <Override ContentType="application/vnd.openxmlformats-officedocument.spreadsheetml.worksheet+xml" PartName="/xl/worksheets/sheet13962.xml"/>
  <Override ContentType="application/vnd.openxmlformats-officedocument.spreadsheetml.worksheet+xml" PartName="/xl/worksheets/sheet13963.xml"/>
  <Override ContentType="application/vnd.openxmlformats-officedocument.spreadsheetml.worksheet+xml" PartName="/xl/worksheets/sheet13964.xml"/>
  <Override ContentType="application/vnd.openxmlformats-officedocument.spreadsheetml.worksheet+xml" PartName="/xl/worksheets/sheet13965.xml"/>
  <Override ContentType="application/vnd.openxmlformats-officedocument.spreadsheetml.worksheet+xml" PartName="/xl/worksheets/sheet13966.xml"/>
  <Override ContentType="application/vnd.openxmlformats-officedocument.spreadsheetml.worksheet+xml" PartName="/xl/worksheets/sheet13967.xml"/>
  <Override ContentType="application/vnd.openxmlformats-officedocument.spreadsheetml.worksheet+xml" PartName="/xl/worksheets/sheet13968.xml"/>
  <Override ContentType="application/vnd.openxmlformats-officedocument.spreadsheetml.worksheet+xml" PartName="/xl/worksheets/sheet13969.xml"/>
  <Override ContentType="application/vnd.openxmlformats-officedocument.spreadsheetml.worksheet+xml" PartName="/xl/worksheets/sheet13970.xml"/>
  <Override ContentType="application/vnd.openxmlformats-officedocument.spreadsheetml.worksheet+xml" PartName="/xl/worksheets/sheet13971.xml"/>
  <Override ContentType="application/vnd.openxmlformats-officedocument.spreadsheetml.worksheet+xml" PartName="/xl/worksheets/sheet13972.xml"/>
  <Override ContentType="application/vnd.openxmlformats-officedocument.spreadsheetml.worksheet+xml" PartName="/xl/worksheets/sheet13973.xml"/>
  <Override ContentType="application/vnd.openxmlformats-officedocument.spreadsheetml.worksheet+xml" PartName="/xl/worksheets/sheet13974.xml"/>
  <Override ContentType="application/vnd.openxmlformats-officedocument.spreadsheetml.worksheet+xml" PartName="/xl/worksheets/sheet13975.xml"/>
  <Override ContentType="application/vnd.openxmlformats-officedocument.spreadsheetml.worksheet+xml" PartName="/xl/worksheets/sheet13976.xml"/>
  <Override ContentType="application/vnd.openxmlformats-officedocument.spreadsheetml.worksheet+xml" PartName="/xl/worksheets/sheet13977.xml"/>
  <Override ContentType="application/vnd.openxmlformats-officedocument.spreadsheetml.worksheet+xml" PartName="/xl/worksheets/sheet13978.xml"/>
  <Override ContentType="application/vnd.openxmlformats-officedocument.spreadsheetml.worksheet+xml" PartName="/xl/worksheets/sheet13979.xml"/>
  <Override ContentType="application/vnd.openxmlformats-officedocument.spreadsheetml.worksheet+xml" PartName="/xl/worksheets/sheet13980.xml"/>
  <Override ContentType="application/vnd.openxmlformats-officedocument.spreadsheetml.worksheet+xml" PartName="/xl/worksheets/sheet13981.xml"/>
  <Override ContentType="application/vnd.openxmlformats-officedocument.spreadsheetml.worksheet+xml" PartName="/xl/worksheets/sheet13982.xml"/>
  <Override ContentType="application/vnd.openxmlformats-officedocument.spreadsheetml.worksheet+xml" PartName="/xl/worksheets/sheet13983.xml"/>
  <Override ContentType="application/vnd.openxmlformats-officedocument.spreadsheetml.worksheet+xml" PartName="/xl/worksheets/sheet13984.xml"/>
  <Override ContentType="application/vnd.openxmlformats-officedocument.spreadsheetml.worksheet+xml" PartName="/xl/worksheets/sheet13985.xml"/>
  <Override ContentType="application/vnd.openxmlformats-officedocument.spreadsheetml.worksheet+xml" PartName="/xl/worksheets/sheet13986.xml"/>
  <Override ContentType="application/vnd.openxmlformats-officedocument.spreadsheetml.worksheet+xml" PartName="/xl/worksheets/sheet13987.xml"/>
  <Override ContentType="application/vnd.openxmlformats-officedocument.spreadsheetml.worksheet+xml" PartName="/xl/worksheets/sheet13988.xml"/>
  <Override ContentType="application/vnd.openxmlformats-officedocument.spreadsheetml.worksheet+xml" PartName="/xl/worksheets/sheet13989.xml"/>
  <Override ContentType="application/vnd.openxmlformats-officedocument.spreadsheetml.worksheet+xml" PartName="/xl/worksheets/sheet13990.xml"/>
  <Override ContentType="application/vnd.openxmlformats-officedocument.spreadsheetml.worksheet+xml" PartName="/xl/worksheets/sheet13991.xml"/>
  <Override ContentType="application/vnd.openxmlformats-officedocument.spreadsheetml.worksheet+xml" PartName="/xl/worksheets/sheet13992.xml"/>
  <Override ContentType="application/vnd.openxmlformats-officedocument.spreadsheetml.worksheet+xml" PartName="/xl/worksheets/sheet13993.xml"/>
  <Override ContentType="application/vnd.openxmlformats-officedocument.spreadsheetml.worksheet+xml" PartName="/xl/worksheets/sheet13994.xml"/>
  <Override ContentType="application/vnd.openxmlformats-officedocument.spreadsheetml.worksheet+xml" PartName="/xl/worksheets/sheet13995.xml"/>
  <Override ContentType="application/vnd.openxmlformats-officedocument.spreadsheetml.worksheet+xml" PartName="/xl/worksheets/sheet13996.xml"/>
  <Override ContentType="application/vnd.openxmlformats-officedocument.spreadsheetml.worksheet+xml" PartName="/xl/worksheets/sheet13997.xml"/>
  <Override ContentType="application/vnd.openxmlformats-officedocument.spreadsheetml.worksheet+xml" PartName="/xl/worksheets/sheet13998.xml"/>
  <Override ContentType="application/vnd.openxmlformats-officedocument.spreadsheetml.worksheet+xml" PartName="/xl/worksheets/sheet13999.xml"/>
  <Override ContentType="application/vnd.openxmlformats-officedocument.spreadsheetml.worksheet+xml" PartName="/xl/worksheets/sheet14000.xml"/>
  <Override ContentType="application/vnd.openxmlformats-officedocument.spreadsheetml.worksheet+xml" PartName="/xl/worksheets/sheet14001.xml"/>
  <Override ContentType="application/vnd.openxmlformats-officedocument.spreadsheetml.worksheet+xml" PartName="/xl/worksheets/sheet14002.xml"/>
  <Override ContentType="application/vnd.openxmlformats-officedocument.spreadsheetml.worksheet+xml" PartName="/xl/worksheets/sheet14003.xml"/>
  <Override ContentType="application/vnd.openxmlformats-officedocument.spreadsheetml.worksheet+xml" PartName="/xl/worksheets/sheet14004.xml"/>
  <Override ContentType="application/vnd.openxmlformats-officedocument.spreadsheetml.worksheet+xml" PartName="/xl/worksheets/sheet14005.xml"/>
  <Override ContentType="application/vnd.openxmlformats-officedocument.spreadsheetml.worksheet+xml" PartName="/xl/worksheets/sheet14006.xml"/>
  <Override ContentType="application/vnd.openxmlformats-officedocument.spreadsheetml.worksheet+xml" PartName="/xl/worksheets/sheet14007.xml"/>
  <Override ContentType="application/vnd.openxmlformats-officedocument.spreadsheetml.worksheet+xml" PartName="/xl/worksheets/sheet14008.xml"/>
  <Override ContentType="application/vnd.openxmlformats-officedocument.spreadsheetml.worksheet+xml" PartName="/xl/worksheets/sheet14009.xml"/>
  <Override ContentType="application/vnd.openxmlformats-officedocument.spreadsheetml.worksheet+xml" PartName="/xl/worksheets/sheet14010.xml"/>
  <Override ContentType="application/vnd.openxmlformats-officedocument.spreadsheetml.worksheet+xml" PartName="/xl/worksheets/sheet14011.xml"/>
  <Override ContentType="application/vnd.openxmlformats-officedocument.spreadsheetml.worksheet+xml" PartName="/xl/worksheets/sheet14012.xml"/>
  <Override ContentType="application/vnd.openxmlformats-officedocument.spreadsheetml.worksheet+xml" PartName="/xl/worksheets/sheet14013.xml"/>
  <Override ContentType="application/vnd.openxmlformats-officedocument.spreadsheetml.worksheet+xml" PartName="/xl/worksheets/sheet14014.xml"/>
  <Override ContentType="application/vnd.openxmlformats-officedocument.spreadsheetml.worksheet+xml" PartName="/xl/worksheets/sheet14015.xml"/>
  <Override ContentType="application/vnd.openxmlformats-officedocument.spreadsheetml.worksheet+xml" PartName="/xl/worksheets/sheet14016.xml"/>
  <Override ContentType="application/vnd.openxmlformats-officedocument.spreadsheetml.worksheet+xml" PartName="/xl/worksheets/sheet14017.xml"/>
  <Override ContentType="application/vnd.openxmlformats-officedocument.spreadsheetml.worksheet+xml" PartName="/xl/worksheets/sheet14018.xml"/>
  <Override ContentType="application/vnd.openxmlformats-officedocument.spreadsheetml.worksheet+xml" PartName="/xl/worksheets/sheet14019.xml"/>
  <Override ContentType="application/vnd.openxmlformats-officedocument.spreadsheetml.worksheet+xml" PartName="/xl/worksheets/sheet14020.xml"/>
  <Override ContentType="application/vnd.openxmlformats-officedocument.spreadsheetml.worksheet+xml" PartName="/xl/worksheets/sheet14021.xml"/>
  <Override ContentType="application/vnd.openxmlformats-officedocument.spreadsheetml.worksheet+xml" PartName="/xl/worksheets/sheet14022.xml"/>
  <Override ContentType="application/vnd.openxmlformats-officedocument.spreadsheetml.worksheet+xml" PartName="/xl/worksheets/sheet14023.xml"/>
  <Override ContentType="application/vnd.openxmlformats-officedocument.spreadsheetml.worksheet+xml" PartName="/xl/worksheets/sheet14024.xml"/>
  <Override ContentType="application/vnd.openxmlformats-officedocument.spreadsheetml.worksheet+xml" PartName="/xl/worksheets/sheet14025.xml"/>
  <Override ContentType="application/vnd.openxmlformats-officedocument.spreadsheetml.worksheet+xml" PartName="/xl/worksheets/sheet14026.xml"/>
  <Override ContentType="application/vnd.openxmlformats-officedocument.spreadsheetml.worksheet+xml" PartName="/xl/worksheets/sheet14027.xml"/>
  <Override ContentType="application/vnd.openxmlformats-officedocument.spreadsheetml.worksheet+xml" PartName="/xl/worksheets/sheet14028.xml"/>
  <Override ContentType="application/vnd.openxmlformats-officedocument.spreadsheetml.worksheet+xml" PartName="/xl/worksheets/sheet14029.xml"/>
  <Override ContentType="application/vnd.openxmlformats-officedocument.spreadsheetml.worksheet+xml" PartName="/xl/worksheets/sheet14030.xml"/>
  <Override ContentType="application/vnd.openxmlformats-officedocument.spreadsheetml.worksheet+xml" PartName="/xl/worksheets/sheet14031.xml"/>
  <Override ContentType="application/vnd.openxmlformats-officedocument.spreadsheetml.worksheet+xml" PartName="/xl/worksheets/sheet14032.xml"/>
  <Override ContentType="application/vnd.openxmlformats-officedocument.spreadsheetml.worksheet+xml" PartName="/xl/worksheets/sheet14033.xml"/>
  <Override ContentType="application/vnd.openxmlformats-officedocument.spreadsheetml.worksheet+xml" PartName="/xl/worksheets/sheet14034.xml"/>
  <Override ContentType="application/vnd.openxmlformats-officedocument.spreadsheetml.worksheet+xml" PartName="/xl/worksheets/sheet14035.xml"/>
  <Override ContentType="application/vnd.openxmlformats-officedocument.spreadsheetml.worksheet+xml" PartName="/xl/worksheets/sheet14036.xml"/>
  <Override ContentType="application/vnd.openxmlformats-officedocument.spreadsheetml.worksheet+xml" PartName="/xl/worksheets/sheet14037.xml"/>
  <Override ContentType="application/vnd.openxmlformats-officedocument.spreadsheetml.worksheet+xml" PartName="/xl/worksheets/sheet14038.xml"/>
  <Override ContentType="application/vnd.openxmlformats-officedocument.spreadsheetml.worksheet+xml" PartName="/xl/worksheets/sheet14039.xml"/>
  <Override ContentType="application/vnd.openxmlformats-officedocument.spreadsheetml.worksheet+xml" PartName="/xl/worksheets/sheet14040.xml"/>
  <Override ContentType="application/vnd.openxmlformats-officedocument.spreadsheetml.worksheet+xml" PartName="/xl/worksheets/sheet14041.xml"/>
  <Override ContentType="application/vnd.openxmlformats-officedocument.spreadsheetml.worksheet+xml" PartName="/xl/worksheets/sheet14042.xml"/>
  <Override ContentType="application/vnd.openxmlformats-officedocument.spreadsheetml.worksheet+xml" PartName="/xl/worksheets/sheet14043.xml"/>
  <Override ContentType="application/vnd.openxmlformats-officedocument.spreadsheetml.worksheet+xml" PartName="/xl/worksheets/sheet14044.xml"/>
  <Override ContentType="application/vnd.openxmlformats-officedocument.spreadsheetml.worksheet+xml" PartName="/xl/worksheets/sheet14045.xml"/>
  <Override ContentType="application/vnd.openxmlformats-officedocument.spreadsheetml.worksheet+xml" PartName="/xl/worksheets/sheet14046.xml"/>
  <Override ContentType="application/vnd.openxmlformats-officedocument.spreadsheetml.worksheet+xml" PartName="/xl/worksheets/sheet14047.xml"/>
  <Override ContentType="application/vnd.openxmlformats-officedocument.spreadsheetml.worksheet+xml" PartName="/xl/worksheets/sheet14048.xml"/>
  <Override ContentType="application/vnd.openxmlformats-officedocument.spreadsheetml.worksheet+xml" PartName="/xl/worksheets/sheet14049.xml"/>
  <Override ContentType="application/vnd.openxmlformats-officedocument.spreadsheetml.worksheet+xml" PartName="/xl/worksheets/sheet14050.xml"/>
  <Override ContentType="application/vnd.openxmlformats-officedocument.spreadsheetml.worksheet+xml" PartName="/xl/worksheets/sheet14051.xml"/>
  <Override ContentType="application/vnd.openxmlformats-officedocument.spreadsheetml.worksheet+xml" PartName="/xl/worksheets/sheet14052.xml"/>
  <Override ContentType="application/vnd.openxmlformats-officedocument.spreadsheetml.worksheet+xml" PartName="/xl/worksheets/sheet14053.xml"/>
  <Override ContentType="application/vnd.openxmlformats-officedocument.spreadsheetml.worksheet+xml" PartName="/xl/worksheets/sheet14054.xml"/>
  <Override ContentType="application/vnd.openxmlformats-officedocument.spreadsheetml.worksheet+xml" PartName="/xl/worksheets/sheet14055.xml"/>
  <Override ContentType="application/vnd.openxmlformats-officedocument.spreadsheetml.worksheet+xml" PartName="/xl/worksheets/sheet14056.xml"/>
  <Override ContentType="application/vnd.openxmlformats-officedocument.spreadsheetml.worksheet+xml" PartName="/xl/worksheets/sheet14057.xml"/>
  <Override ContentType="application/vnd.openxmlformats-officedocument.spreadsheetml.worksheet+xml" PartName="/xl/worksheets/sheet14058.xml"/>
  <Override ContentType="application/vnd.openxmlformats-officedocument.spreadsheetml.worksheet+xml" PartName="/xl/worksheets/sheet14059.xml"/>
  <Override ContentType="application/vnd.openxmlformats-officedocument.spreadsheetml.worksheet+xml" PartName="/xl/worksheets/sheet14060.xml"/>
  <Override ContentType="application/vnd.openxmlformats-officedocument.spreadsheetml.worksheet+xml" PartName="/xl/worksheets/sheet14061.xml"/>
  <Override ContentType="application/vnd.openxmlformats-officedocument.spreadsheetml.worksheet+xml" PartName="/xl/worksheets/sheet14062.xml"/>
  <Override ContentType="application/vnd.openxmlformats-officedocument.spreadsheetml.worksheet+xml" PartName="/xl/worksheets/sheet14063.xml"/>
  <Override ContentType="application/vnd.openxmlformats-officedocument.spreadsheetml.worksheet+xml" PartName="/xl/worksheets/sheet14064.xml"/>
  <Override ContentType="application/vnd.openxmlformats-officedocument.spreadsheetml.worksheet+xml" PartName="/xl/worksheets/sheet14065.xml"/>
  <Override ContentType="application/vnd.openxmlformats-officedocument.spreadsheetml.worksheet+xml" PartName="/xl/worksheets/sheet14066.xml"/>
  <Override ContentType="application/vnd.openxmlformats-officedocument.spreadsheetml.worksheet+xml" PartName="/xl/worksheets/sheet14067.xml"/>
  <Override ContentType="application/vnd.openxmlformats-officedocument.spreadsheetml.worksheet+xml" PartName="/xl/worksheets/sheet14068.xml"/>
  <Override ContentType="application/vnd.openxmlformats-officedocument.spreadsheetml.worksheet+xml" PartName="/xl/worksheets/sheet14069.xml"/>
  <Override ContentType="application/vnd.openxmlformats-officedocument.spreadsheetml.worksheet+xml" PartName="/xl/worksheets/sheet14070.xml"/>
  <Override ContentType="application/vnd.openxmlformats-officedocument.spreadsheetml.worksheet+xml" PartName="/xl/worksheets/sheet14071.xml"/>
  <Override ContentType="application/vnd.openxmlformats-officedocument.spreadsheetml.worksheet+xml" PartName="/xl/worksheets/sheet14072.xml"/>
  <Override ContentType="application/vnd.openxmlformats-officedocument.spreadsheetml.worksheet+xml" PartName="/xl/worksheets/sheet14073.xml"/>
  <Override ContentType="application/vnd.openxmlformats-officedocument.spreadsheetml.worksheet+xml" PartName="/xl/worksheets/sheet14074.xml"/>
  <Override ContentType="application/vnd.openxmlformats-officedocument.spreadsheetml.worksheet+xml" PartName="/xl/worksheets/sheet14075.xml"/>
  <Override ContentType="application/vnd.openxmlformats-officedocument.spreadsheetml.worksheet+xml" PartName="/xl/worksheets/sheet14076.xml"/>
  <Override ContentType="application/vnd.openxmlformats-officedocument.spreadsheetml.worksheet+xml" PartName="/xl/worksheets/sheet14077.xml"/>
  <Override ContentType="application/vnd.openxmlformats-officedocument.spreadsheetml.worksheet+xml" PartName="/xl/worksheets/sheet14078.xml"/>
  <Override ContentType="application/vnd.openxmlformats-officedocument.spreadsheetml.worksheet+xml" PartName="/xl/worksheets/sheet14079.xml"/>
  <Override ContentType="application/vnd.openxmlformats-officedocument.spreadsheetml.worksheet+xml" PartName="/xl/worksheets/sheet14080.xml"/>
  <Override ContentType="application/vnd.openxmlformats-officedocument.spreadsheetml.worksheet+xml" PartName="/xl/worksheets/sheet14081.xml"/>
  <Override ContentType="application/vnd.openxmlformats-officedocument.spreadsheetml.worksheet+xml" PartName="/xl/worksheets/sheet14082.xml"/>
  <Override ContentType="application/vnd.openxmlformats-officedocument.spreadsheetml.worksheet+xml" PartName="/xl/worksheets/sheet14083.xml"/>
  <Override ContentType="application/vnd.openxmlformats-officedocument.spreadsheetml.worksheet+xml" PartName="/xl/worksheets/sheet14084.xml"/>
  <Override ContentType="application/vnd.openxmlformats-officedocument.spreadsheetml.worksheet+xml" PartName="/xl/worksheets/sheet14085.xml"/>
  <Override ContentType="application/vnd.openxmlformats-officedocument.spreadsheetml.worksheet+xml" PartName="/xl/worksheets/sheet14086.xml"/>
  <Override ContentType="application/vnd.openxmlformats-officedocument.spreadsheetml.worksheet+xml" PartName="/xl/worksheets/sheet14087.xml"/>
  <Override ContentType="application/vnd.openxmlformats-officedocument.spreadsheetml.worksheet+xml" PartName="/xl/worksheets/sheet14088.xml"/>
  <Override ContentType="application/vnd.openxmlformats-officedocument.spreadsheetml.worksheet+xml" PartName="/xl/worksheets/sheet14089.xml"/>
  <Override ContentType="application/vnd.openxmlformats-officedocument.spreadsheetml.worksheet+xml" PartName="/xl/worksheets/sheet14090.xml"/>
  <Override ContentType="application/vnd.openxmlformats-officedocument.spreadsheetml.worksheet+xml" PartName="/xl/worksheets/sheet14091.xml"/>
  <Override ContentType="application/vnd.openxmlformats-officedocument.spreadsheetml.worksheet+xml" PartName="/xl/worksheets/sheet14092.xml"/>
  <Override ContentType="application/vnd.openxmlformats-officedocument.spreadsheetml.worksheet+xml" PartName="/xl/worksheets/sheet14093.xml"/>
  <Override ContentType="application/vnd.openxmlformats-officedocument.spreadsheetml.worksheet+xml" PartName="/xl/worksheets/sheet14094.xml"/>
  <Override ContentType="application/vnd.openxmlformats-officedocument.spreadsheetml.worksheet+xml" PartName="/xl/worksheets/sheet14095.xml"/>
  <Override ContentType="application/vnd.openxmlformats-officedocument.spreadsheetml.worksheet+xml" PartName="/xl/worksheets/sheet14096.xml"/>
  <Override ContentType="application/vnd.openxmlformats-officedocument.spreadsheetml.worksheet+xml" PartName="/xl/worksheets/sheet14097.xml"/>
  <Override ContentType="application/vnd.openxmlformats-officedocument.spreadsheetml.worksheet+xml" PartName="/xl/worksheets/sheet14098.xml"/>
  <Override ContentType="application/vnd.openxmlformats-officedocument.spreadsheetml.worksheet+xml" PartName="/xl/worksheets/sheet14099.xml"/>
  <Override ContentType="application/vnd.openxmlformats-officedocument.spreadsheetml.worksheet+xml" PartName="/xl/worksheets/sheet14100.xml"/>
  <Override ContentType="application/vnd.openxmlformats-officedocument.spreadsheetml.worksheet+xml" PartName="/xl/worksheets/sheet14101.xml"/>
  <Override ContentType="application/vnd.openxmlformats-officedocument.spreadsheetml.worksheet+xml" PartName="/xl/worksheets/sheet14102.xml"/>
  <Override ContentType="application/vnd.openxmlformats-officedocument.spreadsheetml.worksheet+xml" PartName="/xl/worksheets/sheet14103.xml"/>
  <Override ContentType="application/vnd.openxmlformats-officedocument.spreadsheetml.worksheet+xml" PartName="/xl/worksheets/sheet14104.xml"/>
  <Override ContentType="application/vnd.openxmlformats-officedocument.spreadsheetml.worksheet+xml" PartName="/xl/worksheets/sheet14105.xml"/>
  <Override ContentType="application/vnd.openxmlformats-officedocument.spreadsheetml.worksheet+xml" PartName="/xl/worksheets/sheet14106.xml"/>
  <Override ContentType="application/vnd.openxmlformats-officedocument.spreadsheetml.worksheet+xml" PartName="/xl/worksheets/sheet14107.xml"/>
  <Override ContentType="application/vnd.openxmlformats-officedocument.spreadsheetml.worksheet+xml" PartName="/xl/worksheets/sheet14108.xml"/>
  <Override ContentType="application/vnd.openxmlformats-officedocument.spreadsheetml.worksheet+xml" PartName="/xl/worksheets/sheet14109.xml"/>
  <Override ContentType="application/vnd.openxmlformats-officedocument.spreadsheetml.worksheet+xml" PartName="/xl/worksheets/sheet14110.xml"/>
  <Override ContentType="application/vnd.openxmlformats-officedocument.spreadsheetml.worksheet+xml" PartName="/xl/worksheets/sheet14111.xml"/>
  <Override ContentType="application/vnd.openxmlformats-officedocument.spreadsheetml.worksheet+xml" PartName="/xl/worksheets/sheet14112.xml"/>
  <Override ContentType="application/vnd.openxmlformats-officedocument.spreadsheetml.worksheet+xml" PartName="/xl/worksheets/sheet14113.xml"/>
  <Override ContentType="application/vnd.openxmlformats-officedocument.spreadsheetml.worksheet+xml" PartName="/xl/worksheets/sheet14114.xml"/>
  <Override ContentType="application/vnd.openxmlformats-officedocument.spreadsheetml.worksheet+xml" PartName="/xl/worksheets/sheet14115.xml"/>
  <Override ContentType="application/vnd.openxmlformats-officedocument.spreadsheetml.worksheet+xml" PartName="/xl/worksheets/sheet14116.xml"/>
  <Override ContentType="application/vnd.openxmlformats-officedocument.spreadsheetml.worksheet+xml" PartName="/xl/worksheets/sheet14117.xml"/>
  <Override ContentType="application/vnd.openxmlformats-officedocument.spreadsheetml.worksheet+xml" PartName="/xl/worksheets/sheet14118.xml"/>
  <Override ContentType="application/vnd.openxmlformats-officedocument.spreadsheetml.worksheet+xml" PartName="/xl/worksheets/sheet14119.xml"/>
  <Override ContentType="application/vnd.openxmlformats-officedocument.spreadsheetml.worksheet+xml" PartName="/xl/worksheets/sheet14120.xml"/>
  <Override ContentType="application/vnd.openxmlformats-officedocument.spreadsheetml.worksheet+xml" PartName="/xl/worksheets/sheet14121.xml"/>
  <Override ContentType="application/vnd.openxmlformats-officedocument.spreadsheetml.worksheet+xml" PartName="/xl/worksheets/sheet14122.xml"/>
  <Override ContentType="application/vnd.openxmlformats-officedocument.spreadsheetml.worksheet+xml" PartName="/xl/worksheets/sheet14123.xml"/>
  <Override ContentType="application/vnd.openxmlformats-officedocument.spreadsheetml.worksheet+xml" PartName="/xl/worksheets/sheet14124.xml"/>
  <Override ContentType="application/vnd.openxmlformats-officedocument.spreadsheetml.worksheet+xml" PartName="/xl/worksheets/sheet14125.xml"/>
  <Override ContentType="application/vnd.openxmlformats-officedocument.spreadsheetml.worksheet+xml" PartName="/xl/worksheets/sheet14126.xml"/>
  <Override ContentType="application/vnd.openxmlformats-officedocument.spreadsheetml.worksheet+xml" PartName="/xl/worksheets/sheet14127.xml"/>
  <Override ContentType="application/vnd.openxmlformats-officedocument.spreadsheetml.worksheet+xml" PartName="/xl/worksheets/sheet14128.xml"/>
  <Override ContentType="application/vnd.openxmlformats-officedocument.spreadsheetml.worksheet+xml" PartName="/xl/worksheets/sheet14129.xml"/>
  <Override ContentType="application/vnd.openxmlformats-officedocument.spreadsheetml.worksheet+xml" PartName="/xl/worksheets/sheet14130.xml"/>
  <Override ContentType="application/vnd.openxmlformats-officedocument.spreadsheetml.worksheet+xml" PartName="/xl/worksheets/sheet14131.xml"/>
  <Override ContentType="application/vnd.openxmlformats-officedocument.spreadsheetml.worksheet+xml" PartName="/xl/worksheets/sheet14132.xml"/>
  <Override ContentType="application/vnd.openxmlformats-officedocument.spreadsheetml.worksheet+xml" PartName="/xl/worksheets/sheet14133.xml"/>
  <Override ContentType="application/vnd.openxmlformats-officedocument.spreadsheetml.worksheet+xml" PartName="/xl/worksheets/sheet14134.xml"/>
  <Override ContentType="application/vnd.openxmlformats-officedocument.spreadsheetml.worksheet+xml" PartName="/xl/worksheets/sheet14135.xml"/>
  <Override ContentType="application/vnd.openxmlformats-officedocument.spreadsheetml.worksheet+xml" PartName="/xl/worksheets/sheet14136.xml"/>
  <Override ContentType="application/vnd.openxmlformats-officedocument.spreadsheetml.worksheet+xml" PartName="/xl/worksheets/sheet14137.xml"/>
  <Override ContentType="application/vnd.openxmlformats-officedocument.spreadsheetml.worksheet+xml" PartName="/xl/worksheets/sheet14138.xml"/>
  <Override ContentType="application/vnd.openxmlformats-officedocument.spreadsheetml.worksheet+xml" PartName="/xl/worksheets/sheet14139.xml"/>
  <Override ContentType="application/vnd.openxmlformats-officedocument.spreadsheetml.worksheet+xml" PartName="/xl/worksheets/sheet14140.xml"/>
  <Override ContentType="application/vnd.openxmlformats-officedocument.spreadsheetml.worksheet+xml" PartName="/xl/worksheets/sheet14141.xml"/>
  <Override ContentType="application/vnd.openxmlformats-officedocument.spreadsheetml.worksheet+xml" PartName="/xl/worksheets/sheet14142.xml"/>
  <Override ContentType="application/vnd.openxmlformats-officedocument.spreadsheetml.worksheet+xml" PartName="/xl/worksheets/sheet14143.xml"/>
  <Override ContentType="application/vnd.openxmlformats-officedocument.spreadsheetml.worksheet+xml" PartName="/xl/worksheets/sheet14144.xml"/>
  <Override ContentType="application/vnd.openxmlformats-officedocument.spreadsheetml.worksheet+xml" PartName="/xl/worksheets/sheet14145.xml"/>
  <Override ContentType="application/vnd.openxmlformats-officedocument.spreadsheetml.worksheet+xml" PartName="/xl/worksheets/sheet14146.xml"/>
  <Override ContentType="application/vnd.openxmlformats-officedocument.spreadsheetml.worksheet+xml" PartName="/xl/worksheets/sheet14147.xml"/>
  <Override ContentType="application/vnd.openxmlformats-officedocument.spreadsheetml.worksheet+xml" PartName="/xl/worksheets/sheet14148.xml"/>
  <Override ContentType="application/vnd.openxmlformats-officedocument.spreadsheetml.worksheet+xml" PartName="/xl/worksheets/sheet14149.xml"/>
  <Override ContentType="application/vnd.openxmlformats-officedocument.spreadsheetml.worksheet+xml" PartName="/xl/worksheets/sheet14150.xml"/>
  <Override ContentType="application/vnd.openxmlformats-officedocument.spreadsheetml.worksheet+xml" PartName="/xl/worksheets/sheet14151.xml"/>
  <Override ContentType="application/vnd.openxmlformats-officedocument.spreadsheetml.worksheet+xml" PartName="/xl/worksheets/sheet14152.xml"/>
  <Override ContentType="application/vnd.openxmlformats-officedocument.spreadsheetml.worksheet+xml" PartName="/xl/worksheets/sheet14153.xml"/>
  <Override ContentType="application/vnd.openxmlformats-officedocument.spreadsheetml.worksheet+xml" PartName="/xl/worksheets/sheet14154.xml"/>
  <Override ContentType="application/vnd.openxmlformats-officedocument.spreadsheetml.worksheet+xml" PartName="/xl/worksheets/sheet14155.xml"/>
  <Override ContentType="application/vnd.openxmlformats-officedocument.spreadsheetml.worksheet+xml" PartName="/xl/worksheets/sheet14156.xml"/>
  <Override ContentType="application/vnd.openxmlformats-officedocument.spreadsheetml.worksheet+xml" PartName="/xl/worksheets/sheet14157.xml"/>
  <Override ContentType="application/vnd.openxmlformats-officedocument.spreadsheetml.worksheet+xml" PartName="/xl/worksheets/sheet14158.xml"/>
  <Override ContentType="application/vnd.openxmlformats-officedocument.spreadsheetml.worksheet+xml" PartName="/xl/worksheets/sheet14159.xml"/>
  <Override ContentType="application/vnd.openxmlformats-officedocument.spreadsheetml.worksheet+xml" PartName="/xl/worksheets/sheet14160.xml"/>
  <Override ContentType="application/vnd.openxmlformats-officedocument.spreadsheetml.worksheet+xml" PartName="/xl/worksheets/sheet14161.xml"/>
  <Override ContentType="application/vnd.openxmlformats-officedocument.spreadsheetml.worksheet+xml" PartName="/xl/worksheets/sheet14162.xml"/>
  <Override ContentType="application/vnd.openxmlformats-officedocument.spreadsheetml.worksheet+xml" PartName="/xl/worksheets/sheet14163.xml"/>
  <Override ContentType="application/vnd.openxmlformats-officedocument.spreadsheetml.worksheet+xml" PartName="/xl/worksheets/sheet14164.xml"/>
  <Override ContentType="application/vnd.openxmlformats-officedocument.spreadsheetml.worksheet+xml" PartName="/xl/worksheets/sheet14165.xml"/>
  <Override ContentType="application/vnd.openxmlformats-officedocument.spreadsheetml.worksheet+xml" PartName="/xl/worksheets/sheet14166.xml"/>
  <Override ContentType="application/vnd.openxmlformats-officedocument.spreadsheetml.worksheet+xml" PartName="/xl/worksheets/sheet14167.xml"/>
  <Override ContentType="application/vnd.openxmlformats-officedocument.spreadsheetml.worksheet+xml" PartName="/xl/worksheets/sheet14168.xml"/>
  <Override ContentType="application/vnd.openxmlformats-officedocument.spreadsheetml.worksheet+xml" PartName="/xl/worksheets/sheet14169.xml"/>
  <Override ContentType="application/vnd.openxmlformats-officedocument.spreadsheetml.worksheet+xml" PartName="/xl/worksheets/sheet14170.xml"/>
  <Override ContentType="application/vnd.openxmlformats-officedocument.spreadsheetml.worksheet+xml" PartName="/xl/worksheets/sheet14171.xml"/>
  <Override ContentType="application/vnd.openxmlformats-officedocument.spreadsheetml.worksheet+xml" PartName="/xl/worksheets/sheet14172.xml"/>
  <Override ContentType="application/vnd.openxmlformats-officedocument.spreadsheetml.worksheet+xml" PartName="/xl/worksheets/sheet14173.xml"/>
  <Override ContentType="application/vnd.openxmlformats-officedocument.spreadsheetml.worksheet+xml" PartName="/xl/worksheets/sheet14174.xml"/>
  <Override ContentType="application/vnd.openxmlformats-officedocument.spreadsheetml.worksheet+xml" PartName="/xl/worksheets/sheet14175.xml"/>
  <Override ContentType="application/vnd.openxmlformats-officedocument.spreadsheetml.worksheet+xml" PartName="/xl/worksheets/sheet14176.xml"/>
  <Override ContentType="application/vnd.openxmlformats-officedocument.spreadsheetml.worksheet+xml" PartName="/xl/worksheets/sheet14177.xml"/>
  <Override ContentType="application/vnd.openxmlformats-officedocument.spreadsheetml.worksheet+xml" PartName="/xl/worksheets/sheet14178.xml"/>
  <Override ContentType="application/vnd.openxmlformats-officedocument.spreadsheetml.worksheet+xml" PartName="/xl/worksheets/sheet14179.xml"/>
  <Override ContentType="application/vnd.openxmlformats-officedocument.spreadsheetml.worksheet+xml" PartName="/xl/worksheets/sheet14180.xml"/>
  <Override ContentType="application/vnd.openxmlformats-officedocument.spreadsheetml.worksheet+xml" PartName="/xl/worksheets/sheet14181.xml"/>
  <Override ContentType="application/vnd.openxmlformats-officedocument.spreadsheetml.worksheet+xml" PartName="/xl/worksheets/sheet14182.xml"/>
  <Override ContentType="application/vnd.openxmlformats-officedocument.spreadsheetml.worksheet+xml" PartName="/xl/worksheets/sheet14183.xml"/>
  <Override ContentType="application/vnd.openxmlformats-officedocument.spreadsheetml.worksheet+xml" PartName="/xl/worksheets/sheet14184.xml"/>
  <Override ContentType="application/vnd.openxmlformats-officedocument.spreadsheetml.worksheet+xml" PartName="/xl/worksheets/sheet14185.xml"/>
  <Override ContentType="application/vnd.openxmlformats-officedocument.spreadsheetml.worksheet+xml" PartName="/xl/worksheets/sheet14186.xml"/>
  <Override ContentType="application/vnd.openxmlformats-officedocument.spreadsheetml.worksheet+xml" PartName="/xl/worksheets/sheet14187.xml"/>
  <Override ContentType="application/vnd.openxmlformats-officedocument.spreadsheetml.worksheet+xml" PartName="/xl/worksheets/sheet14188.xml"/>
  <Override ContentType="application/vnd.openxmlformats-officedocument.spreadsheetml.worksheet+xml" PartName="/xl/worksheets/sheet14189.xml"/>
  <Override ContentType="application/vnd.openxmlformats-officedocument.spreadsheetml.worksheet+xml" PartName="/xl/worksheets/sheet14190.xml"/>
  <Override ContentType="application/vnd.openxmlformats-officedocument.spreadsheetml.worksheet+xml" PartName="/xl/worksheets/sheet14191.xml"/>
  <Override ContentType="application/vnd.openxmlformats-officedocument.spreadsheetml.worksheet+xml" PartName="/xl/worksheets/sheet14192.xml"/>
  <Override ContentType="application/vnd.openxmlformats-officedocument.spreadsheetml.worksheet+xml" PartName="/xl/worksheets/sheet14193.xml"/>
  <Override ContentType="application/vnd.openxmlformats-officedocument.spreadsheetml.worksheet+xml" PartName="/xl/worksheets/sheet14194.xml"/>
  <Override ContentType="application/vnd.openxmlformats-officedocument.spreadsheetml.worksheet+xml" PartName="/xl/worksheets/sheet14195.xml"/>
  <Override ContentType="application/vnd.openxmlformats-officedocument.spreadsheetml.worksheet+xml" PartName="/xl/worksheets/sheet14196.xml"/>
  <Override ContentType="application/vnd.openxmlformats-officedocument.spreadsheetml.worksheet+xml" PartName="/xl/worksheets/sheet14197.xml"/>
  <Override ContentType="application/vnd.openxmlformats-officedocument.spreadsheetml.worksheet+xml" PartName="/xl/worksheets/sheet14198.xml"/>
  <Override ContentType="application/vnd.openxmlformats-officedocument.spreadsheetml.worksheet+xml" PartName="/xl/worksheets/sheet14199.xml"/>
  <Override ContentType="application/vnd.openxmlformats-officedocument.spreadsheetml.worksheet+xml" PartName="/xl/worksheets/sheet14200.xml"/>
  <Override ContentType="application/vnd.openxmlformats-officedocument.spreadsheetml.worksheet+xml" PartName="/xl/worksheets/sheet14201.xml"/>
  <Override ContentType="application/vnd.openxmlformats-officedocument.spreadsheetml.worksheet+xml" PartName="/xl/worksheets/sheet14202.xml"/>
  <Override ContentType="application/vnd.openxmlformats-officedocument.spreadsheetml.worksheet+xml" PartName="/xl/worksheets/sheet14203.xml"/>
  <Override ContentType="application/vnd.openxmlformats-officedocument.spreadsheetml.worksheet+xml" PartName="/xl/worksheets/sheet14204.xml"/>
  <Override ContentType="application/vnd.openxmlformats-officedocument.spreadsheetml.worksheet+xml" PartName="/xl/worksheets/sheet14205.xml"/>
  <Override ContentType="application/vnd.openxmlformats-officedocument.spreadsheetml.worksheet+xml" PartName="/xl/worksheets/sheet14206.xml"/>
  <Override ContentType="application/vnd.openxmlformats-officedocument.spreadsheetml.worksheet+xml" PartName="/xl/worksheets/sheet14207.xml"/>
  <Override ContentType="application/vnd.openxmlformats-officedocument.spreadsheetml.worksheet+xml" PartName="/xl/worksheets/sheet14208.xml"/>
  <Override ContentType="application/vnd.openxmlformats-officedocument.spreadsheetml.worksheet+xml" PartName="/xl/worksheets/sheet14209.xml"/>
  <Override ContentType="application/vnd.openxmlformats-officedocument.spreadsheetml.worksheet+xml" PartName="/xl/worksheets/sheet14210.xml"/>
  <Override ContentType="application/vnd.openxmlformats-officedocument.spreadsheetml.worksheet+xml" PartName="/xl/worksheets/sheet14211.xml"/>
  <Override ContentType="application/vnd.openxmlformats-officedocument.spreadsheetml.worksheet+xml" PartName="/xl/worksheets/sheet14212.xml"/>
  <Override ContentType="application/vnd.openxmlformats-officedocument.spreadsheetml.worksheet+xml" PartName="/xl/worksheets/sheet14213.xml"/>
  <Override ContentType="application/vnd.openxmlformats-officedocument.spreadsheetml.worksheet+xml" PartName="/xl/worksheets/sheet14214.xml"/>
  <Override ContentType="application/vnd.openxmlformats-officedocument.spreadsheetml.worksheet+xml" PartName="/xl/worksheets/sheet14215.xml"/>
  <Override ContentType="application/vnd.openxmlformats-officedocument.spreadsheetml.worksheet+xml" PartName="/xl/worksheets/sheet14216.xml"/>
  <Override ContentType="application/vnd.openxmlformats-officedocument.spreadsheetml.worksheet+xml" PartName="/xl/worksheets/sheet14217.xml"/>
  <Override ContentType="application/vnd.openxmlformats-officedocument.spreadsheetml.worksheet+xml" PartName="/xl/worksheets/sheet14218.xml"/>
  <Override ContentType="application/vnd.openxmlformats-officedocument.spreadsheetml.worksheet+xml" PartName="/xl/worksheets/sheet14219.xml"/>
  <Override ContentType="application/vnd.openxmlformats-officedocument.spreadsheetml.worksheet+xml" PartName="/xl/worksheets/sheet14220.xml"/>
  <Override ContentType="application/vnd.openxmlformats-officedocument.spreadsheetml.worksheet+xml" PartName="/xl/worksheets/sheet14221.xml"/>
  <Override ContentType="application/vnd.openxmlformats-officedocument.spreadsheetml.worksheet+xml" PartName="/xl/worksheets/sheet14222.xml"/>
  <Override ContentType="application/vnd.openxmlformats-officedocument.spreadsheetml.worksheet+xml" PartName="/xl/worksheets/sheet14223.xml"/>
  <Override ContentType="application/vnd.openxmlformats-officedocument.spreadsheetml.worksheet+xml" PartName="/xl/worksheets/sheet14224.xml"/>
  <Override ContentType="application/vnd.openxmlformats-officedocument.spreadsheetml.worksheet+xml" PartName="/xl/worksheets/sheet14225.xml"/>
  <Override ContentType="application/vnd.openxmlformats-officedocument.spreadsheetml.worksheet+xml" PartName="/xl/worksheets/sheet14226.xml"/>
  <Override ContentType="application/vnd.openxmlformats-officedocument.spreadsheetml.worksheet+xml" PartName="/xl/worksheets/sheet14227.xml"/>
  <Override ContentType="application/vnd.openxmlformats-officedocument.spreadsheetml.worksheet+xml" PartName="/xl/worksheets/sheet14228.xml"/>
  <Override ContentType="application/vnd.openxmlformats-officedocument.spreadsheetml.worksheet+xml" PartName="/xl/worksheets/sheet14229.xml"/>
  <Override ContentType="application/vnd.openxmlformats-officedocument.spreadsheetml.worksheet+xml" PartName="/xl/worksheets/sheet14230.xml"/>
  <Override ContentType="application/vnd.openxmlformats-officedocument.spreadsheetml.worksheet+xml" PartName="/xl/worksheets/sheet14231.xml"/>
  <Override ContentType="application/vnd.openxmlformats-officedocument.spreadsheetml.worksheet+xml" PartName="/xl/worksheets/sheet14232.xml"/>
  <Override ContentType="application/vnd.openxmlformats-officedocument.spreadsheetml.worksheet+xml" PartName="/xl/worksheets/sheet14233.xml"/>
  <Override ContentType="application/vnd.openxmlformats-officedocument.spreadsheetml.worksheet+xml" PartName="/xl/worksheets/sheet14234.xml"/>
  <Override ContentType="application/vnd.openxmlformats-officedocument.spreadsheetml.worksheet+xml" PartName="/xl/worksheets/sheet14235.xml"/>
  <Override ContentType="application/vnd.openxmlformats-officedocument.spreadsheetml.worksheet+xml" PartName="/xl/worksheets/sheet14236.xml"/>
  <Override ContentType="application/vnd.openxmlformats-officedocument.spreadsheetml.worksheet+xml" PartName="/xl/worksheets/sheet14237.xml"/>
  <Override ContentType="application/vnd.openxmlformats-officedocument.spreadsheetml.worksheet+xml" PartName="/xl/worksheets/sheet14238.xml"/>
  <Override ContentType="application/vnd.openxmlformats-officedocument.spreadsheetml.worksheet+xml" PartName="/xl/worksheets/sheet14239.xml"/>
  <Override ContentType="application/vnd.openxmlformats-officedocument.spreadsheetml.worksheet+xml" PartName="/xl/worksheets/sheet14240.xml"/>
  <Override ContentType="application/vnd.openxmlformats-officedocument.spreadsheetml.worksheet+xml" PartName="/xl/worksheets/sheet14241.xml"/>
  <Override ContentType="application/vnd.openxmlformats-officedocument.spreadsheetml.worksheet+xml" PartName="/xl/worksheets/sheet14242.xml"/>
  <Override ContentType="application/vnd.openxmlformats-officedocument.spreadsheetml.worksheet+xml" PartName="/xl/worksheets/sheet14243.xml"/>
  <Override ContentType="application/vnd.openxmlformats-officedocument.spreadsheetml.worksheet+xml" PartName="/xl/worksheets/sheet14244.xml"/>
  <Override ContentType="application/vnd.openxmlformats-officedocument.spreadsheetml.worksheet+xml" PartName="/xl/worksheets/sheet14245.xml"/>
  <Override ContentType="application/vnd.openxmlformats-officedocument.spreadsheetml.worksheet+xml" PartName="/xl/worksheets/sheet14246.xml"/>
  <Override ContentType="application/vnd.openxmlformats-officedocument.spreadsheetml.worksheet+xml" PartName="/xl/worksheets/sheet14247.xml"/>
  <Override ContentType="application/vnd.openxmlformats-officedocument.spreadsheetml.worksheet+xml" PartName="/xl/worksheets/sheet14248.xml"/>
  <Override ContentType="application/vnd.openxmlformats-officedocument.spreadsheetml.worksheet+xml" PartName="/xl/worksheets/sheet14249.xml"/>
  <Override ContentType="application/vnd.openxmlformats-officedocument.spreadsheetml.worksheet+xml" PartName="/xl/worksheets/sheet14250.xml"/>
  <Override ContentType="application/vnd.openxmlformats-officedocument.spreadsheetml.worksheet+xml" PartName="/xl/worksheets/sheet14251.xml"/>
  <Override ContentType="application/vnd.openxmlformats-officedocument.spreadsheetml.worksheet+xml" PartName="/xl/worksheets/sheet14252.xml"/>
  <Override ContentType="application/vnd.openxmlformats-officedocument.spreadsheetml.worksheet+xml" PartName="/xl/worksheets/sheet14253.xml"/>
  <Override ContentType="application/vnd.openxmlformats-officedocument.spreadsheetml.worksheet+xml" PartName="/xl/worksheets/sheet14254.xml"/>
  <Override ContentType="application/vnd.openxmlformats-officedocument.spreadsheetml.worksheet+xml" PartName="/xl/worksheets/sheet14255.xml"/>
  <Override ContentType="application/vnd.openxmlformats-officedocument.spreadsheetml.worksheet+xml" PartName="/xl/worksheets/sheet14256.xml"/>
  <Override ContentType="application/vnd.openxmlformats-officedocument.spreadsheetml.worksheet+xml" PartName="/xl/worksheets/sheet14257.xml"/>
  <Override ContentType="application/vnd.openxmlformats-officedocument.spreadsheetml.worksheet+xml" PartName="/xl/worksheets/sheet14258.xml"/>
  <Override ContentType="application/vnd.openxmlformats-officedocument.spreadsheetml.worksheet+xml" PartName="/xl/worksheets/sheet14259.xml"/>
  <Override ContentType="application/vnd.openxmlformats-officedocument.spreadsheetml.worksheet+xml" PartName="/xl/worksheets/sheet14260.xml"/>
  <Override ContentType="application/vnd.openxmlformats-officedocument.spreadsheetml.worksheet+xml" PartName="/xl/worksheets/sheet14261.xml"/>
  <Override ContentType="application/vnd.openxmlformats-officedocument.spreadsheetml.worksheet+xml" PartName="/xl/worksheets/sheet14262.xml"/>
  <Override ContentType="application/vnd.openxmlformats-officedocument.spreadsheetml.worksheet+xml" PartName="/xl/worksheets/sheet14263.xml"/>
  <Override ContentType="application/vnd.openxmlformats-officedocument.spreadsheetml.worksheet+xml" PartName="/xl/worksheets/sheet14264.xml"/>
  <Override ContentType="application/vnd.openxmlformats-officedocument.spreadsheetml.worksheet+xml" PartName="/xl/worksheets/sheet14265.xml"/>
  <Override ContentType="application/vnd.openxmlformats-officedocument.spreadsheetml.worksheet+xml" PartName="/xl/worksheets/sheet14266.xml"/>
  <Override ContentType="application/vnd.openxmlformats-officedocument.spreadsheetml.worksheet+xml" PartName="/xl/worksheets/sheet14267.xml"/>
  <Override ContentType="application/vnd.openxmlformats-officedocument.spreadsheetml.worksheet+xml" PartName="/xl/worksheets/sheet14268.xml"/>
  <Override ContentType="application/vnd.openxmlformats-officedocument.spreadsheetml.worksheet+xml" PartName="/xl/worksheets/sheet14269.xml"/>
  <Override ContentType="application/vnd.openxmlformats-officedocument.spreadsheetml.worksheet+xml" PartName="/xl/worksheets/sheet14270.xml"/>
  <Override ContentType="application/vnd.openxmlformats-officedocument.spreadsheetml.worksheet+xml" PartName="/xl/worksheets/sheet14271.xml"/>
  <Override ContentType="application/vnd.openxmlformats-officedocument.spreadsheetml.worksheet+xml" PartName="/xl/worksheets/sheet14272.xml"/>
  <Override ContentType="application/vnd.openxmlformats-officedocument.spreadsheetml.worksheet+xml" PartName="/xl/worksheets/sheet14273.xml"/>
  <Override ContentType="application/vnd.openxmlformats-officedocument.spreadsheetml.worksheet+xml" PartName="/xl/worksheets/sheet14274.xml"/>
  <Override ContentType="application/vnd.openxmlformats-officedocument.spreadsheetml.worksheet+xml" PartName="/xl/worksheets/sheet14275.xml"/>
  <Override ContentType="application/vnd.openxmlformats-officedocument.spreadsheetml.worksheet+xml" PartName="/xl/worksheets/sheet14276.xml"/>
  <Override ContentType="application/vnd.openxmlformats-officedocument.spreadsheetml.worksheet+xml" PartName="/xl/worksheets/sheet14277.xml"/>
  <Override ContentType="application/vnd.openxmlformats-officedocument.spreadsheetml.worksheet+xml" PartName="/xl/worksheets/sheet14278.xml"/>
  <Override ContentType="application/vnd.openxmlformats-officedocument.spreadsheetml.worksheet+xml" PartName="/xl/worksheets/sheet14279.xml"/>
  <Override ContentType="application/vnd.openxmlformats-officedocument.spreadsheetml.worksheet+xml" PartName="/xl/worksheets/sheet14280.xml"/>
  <Override ContentType="application/vnd.openxmlformats-officedocument.spreadsheetml.worksheet+xml" PartName="/xl/worksheets/sheet14281.xml"/>
  <Override ContentType="application/vnd.openxmlformats-officedocument.spreadsheetml.worksheet+xml" PartName="/xl/worksheets/sheet14282.xml"/>
  <Override ContentType="application/vnd.openxmlformats-officedocument.spreadsheetml.worksheet+xml" PartName="/xl/worksheets/sheet14283.xml"/>
  <Override ContentType="application/vnd.openxmlformats-officedocument.spreadsheetml.worksheet+xml" PartName="/xl/worksheets/sheet14284.xml"/>
  <Override ContentType="application/vnd.openxmlformats-officedocument.spreadsheetml.worksheet+xml" PartName="/xl/worksheets/sheet14285.xml"/>
  <Override ContentType="application/vnd.openxmlformats-officedocument.spreadsheetml.worksheet+xml" PartName="/xl/worksheets/sheet14286.xml"/>
  <Override ContentType="application/vnd.openxmlformats-officedocument.spreadsheetml.worksheet+xml" PartName="/xl/worksheets/sheet14287.xml"/>
  <Override ContentType="application/vnd.openxmlformats-officedocument.spreadsheetml.worksheet+xml" PartName="/xl/worksheets/sheet14288.xml"/>
  <Override ContentType="application/vnd.openxmlformats-officedocument.spreadsheetml.worksheet+xml" PartName="/xl/worksheets/sheet14289.xml"/>
  <Override ContentType="application/vnd.openxmlformats-officedocument.spreadsheetml.worksheet+xml" PartName="/xl/worksheets/sheet14290.xml"/>
  <Override ContentType="application/vnd.openxmlformats-officedocument.spreadsheetml.worksheet+xml" PartName="/xl/worksheets/sheet14291.xml"/>
  <Override ContentType="application/vnd.openxmlformats-officedocument.spreadsheetml.worksheet+xml" PartName="/xl/worksheets/sheet14292.xml"/>
  <Override ContentType="application/vnd.openxmlformats-officedocument.spreadsheetml.worksheet+xml" PartName="/xl/worksheets/sheet14293.xml"/>
  <Override ContentType="application/vnd.openxmlformats-officedocument.spreadsheetml.worksheet+xml" PartName="/xl/worksheets/sheet14294.xml"/>
  <Override ContentType="application/vnd.openxmlformats-officedocument.spreadsheetml.worksheet+xml" PartName="/xl/worksheets/sheet14295.xml"/>
  <Override ContentType="application/vnd.openxmlformats-officedocument.spreadsheetml.worksheet+xml" PartName="/xl/worksheets/sheet14296.xml"/>
  <Override ContentType="application/vnd.openxmlformats-officedocument.spreadsheetml.worksheet+xml" PartName="/xl/worksheets/sheet14297.xml"/>
  <Override ContentType="application/vnd.openxmlformats-officedocument.spreadsheetml.worksheet+xml" PartName="/xl/worksheets/sheet14298.xml"/>
  <Override ContentType="application/vnd.openxmlformats-officedocument.spreadsheetml.worksheet+xml" PartName="/xl/worksheets/sheet14299.xml"/>
  <Override ContentType="application/vnd.openxmlformats-officedocument.spreadsheetml.worksheet+xml" PartName="/xl/worksheets/sheet14300.xml"/>
  <Override ContentType="application/vnd.openxmlformats-officedocument.spreadsheetml.worksheet+xml" PartName="/xl/worksheets/sheet14301.xml"/>
  <Override ContentType="application/vnd.openxmlformats-officedocument.spreadsheetml.worksheet+xml" PartName="/xl/worksheets/sheet14302.xml"/>
  <Override ContentType="application/vnd.openxmlformats-officedocument.spreadsheetml.worksheet+xml" PartName="/xl/worksheets/sheet14303.xml"/>
  <Override ContentType="application/vnd.openxmlformats-officedocument.spreadsheetml.worksheet+xml" PartName="/xl/worksheets/sheet14304.xml"/>
  <Override ContentType="application/vnd.openxmlformats-officedocument.spreadsheetml.worksheet+xml" PartName="/xl/worksheets/sheet14305.xml"/>
  <Override ContentType="application/vnd.openxmlformats-officedocument.spreadsheetml.worksheet+xml" PartName="/xl/worksheets/sheet14306.xml"/>
  <Override ContentType="application/vnd.openxmlformats-officedocument.spreadsheetml.worksheet+xml" PartName="/xl/worksheets/sheet14307.xml"/>
  <Override ContentType="application/vnd.openxmlformats-officedocument.spreadsheetml.worksheet+xml" PartName="/xl/worksheets/sheet14308.xml"/>
  <Override ContentType="application/vnd.openxmlformats-officedocument.spreadsheetml.worksheet+xml" PartName="/xl/worksheets/sheet14309.xml"/>
  <Override ContentType="application/vnd.openxmlformats-officedocument.spreadsheetml.worksheet+xml" PartName="/xl/worksheets/sheet14310.xml"/>
  <Override ContentType="application/vnd.openxmlformats-officedocument.spreadsheetml.worksheet+xml" PartName="/xl/worksheets/sheet14311.xml"/>
  <Override ContentType="application/vnd.openxmlformats-officedocument.spreadsheetml.worksheet+xml" PartName="/xl/worksheets/sheet14312.xml"/>
  <Override ContentType="application/vnd.openxmlformats-officedocument.spreadsheetml.worksheet+xml" PartName="/xl/worksheets/sheet14313.xml"/>
  <Override ContentType="application/vnd.openxmlformats-officedocument.spreadsheetml.worksheet+xml" PartName="/xl/worksheets/sheet14314.xml"/>
  <Override ContentType="application/vnd.openxmlformats-officedocument.spreadsheetml.worksheet+xml" PartName="/xl/worksheets/sheet14315.xml"/>
  <Override ContentType="application/vnd.openxmlformats-officedocument.spreadsheetml.worksheet+xml" PartName="/xl/worksheets/sheet14316.xml"/>
  <Override ContentType="application/vnd.openxmlformats-officedocument.spreadsheetml.worksheet+xml" PartName="/xl/worksheets/sheet14317.xml"/>
  <Override ContentType="application/vnd.openxmlformats-officedocument.spreadsheetml.worksheet+xml" PartName="/xl/worksheets/sheet14318.xml"/>
  <Override ContentType="application/vnd.openxmlformats-officedocument.spreadsheetml.worksheet+xml" PartName="/xl/worksheets/sheet14319.xml"/>
  <Override ContentType="application/vnd.openxmlformats-officedocument.spreadsheetml.worksheet+xml" PartName="/xl/worksheets/sheet14320.xml"/>
  <Override ContentType="application/vnd.openxmlformats-officedocument.spreadsheetml.worksheet+xml" PartName="/xl/worksheets/sheet14321.xml"/>
  <Override ContentType="application/vnd.openxmlformats-officedocument.spreadsheetml.worksheet+xml" PartName="/xl/worksheets/sheet14322.xml"/>
  <Override ContentType="application/vnd.openxmlformats-officedocument.spreadsheetml.worksheet+xml" PartName="/xl/worksheets/sheet14323.xml"/>
  <Override ContentType="application/vnd.openxmlformats-officedocument.spreadsheetml.worksheet+xml" PartName="/xl/worksheets/sheet14324.xml"/>
  <Override ContentType="application/vnd.openxmlformats-officedocument.spreadsheetml.worksheet+xml" PartName="/xl/worksheets/sheet14325.xml"/>
  <Override ContentType="application/vnd.openxmlformats-officedocument.spreadsheetml.worksheet+xml" PartName="/xl/worksheets/sheet14326.xml"/>
  <Override ContentType="application/vnd.openxmlformats-officedocument.spreadsheetml.worksheet+xml" PartName="/xl/worksheets/sheet14327.xml"/>
  <Override ContentType="application/vnd.openxmlformats-officedocument.spreadsheetml.worksheet+xml" PartName="/xl/worksheets/sheet14328.xml"/>
  <Override ContentType="application/vnd.openxmlformats-officedocument.spreadsheetml.worksheet+xml" PartName="/xl/worksheets/sheet14329.xml"/>
  <Override ContentType="application/vnd.openxmlformats-officedocument.spreadsheetml.worksheet+xml" PartName="/xl/worksheets/sheet14330.xml"/>
  <Override ContentType="application/vnd.openxmlformats-officedocument.spreadsheetml.worksheet+xml" PartName="/xl/worksheets/sheet14331.xml"/>
  <Override ContentType="application/vnd.openxmlformats-officedocument.spreadsheetml.worksheet+xml" PartName="/xl/worksheets/sheet14332.xml"/>
  <Override ContentType="application/vnd.openxmlformats-officedocument.spreadsheetml.worksheet+xml" PartName="/xl/worksheets/sheet14333.xml"/>
  <Override ContentType="application/vnd.openxmlformats-officedocument.spreadsheetml.worksheet+xml" PartName="/xl/worksheets/sheet14334.xml"/>
  <Override ContentType="application/vnd.openxmlformats-officedocument.spreadsheetml.worksheet+xml" PartName="/xl/worksheets/sheet14335.xml"/>
  <Override ContentType="application/vnd.openxmlformats-officedocument.spreadsheetml.worksheet+xml" PartName="/xl/worksheets/sheet14336.xml"/>
  <Override ContentType="application/vnd.openxmlformats-officedocument.spreadsheetml.worksheet+xml" PartName="/xl/worksheets/sheet14337.xml"/>
  <Override ContentType="application/vnd.openxmlformats-officedocument.spreadsheetml.worksheet+xml" PartName="/xl/worksheets/sheet14338.xml"/>
  <Override ContentType="application/vnd.openxmlformats-officedocument.spreadsheetml.worksheet+xml" PartName="/xl/worksheets/sheet14339.xml"/>
  <Override ContentType="application/vnd.openxmlformats-officedocument.spreadsheetml.worksheet+xml" PartName="/xl/worksheets/sheet14340.xml"/>
  <Override ContentType="application/vnd.openxmlformats-officedocument.spreadsheetml.worksheet+xml" PartName="/xl/worksheets/sheet14341.xml"/>
  <Override ContentType="application/vnd.openxmlformats-officedocument.spreadsheetml.worksheet+xml" PartName="/xl/worksheets/sheet14342.xml"/>
  <Override ContentType="application/vnd.openxmlformats-officedocument.spreadsheetml.worksheet+xml" PartName="/xl/worksheets/sheet14343.xml"/>
  <Override ContentType="application/vnd.openxmlformats-officedocument.spreadsheetml.worksheet+xml" PartName="/xl/worksheets/sheet14344.xml"/>
  <Override ContentType="application/vnd.openxmlformats-officedocument.spreadsheetml.worksheet+xml" PartName="/xl/worksheets/sheet14345.xml"/>
  <Override ContentType="application/vnd.openxmlformats-officedocument.spreadsheetml.worksheet+xml" PartName="/xl/worksheets/sheet14346.xml"/>
  <Override ContentType="application/vnd.openxmlformats-officedocument.spreadsheetml.worksheet+xml" PartName="/xl/worksheets/sheet14347.xml"/>
  <Override ContentType="application/vnd.openxmlformats-officedocument.spreadsheetml.worksheet+xml" PartName="/xl/worksheets/sheet14348.xml"/>
  <Override ContentType="application/vnd.openxmlformats-officedocument.spreadsheetml.worksheet+xml" PartName="/xl/worksheets/sheet14349.xml"/>
  <Override ContentType="application/vnd.openxmlformats-officedocument.spreadsheetml.worksheet+xml" PartName="/xl/worksheets/sheet14350.xml"/>
  <Override ContentType="application/vnd.openxmlformats-officedocument.spreadsheetml.worksheet+xml" PartName="/xl/worksheets/sheet14351.xml"/>
  <Override ContentType="application/vnd.openxmlformats-officedocument.spreadsheetml.worksheet+xml" PartName="/xl/worksheets/sheet14352.xml"/>
  <Override ContentType="application/vnd.openxmlformats-officedocument.spreadsheetml.worksheet+xml" PartName="/xl/worksheets/sheet14353.xml"/>
  <Override ContentType="application/vnd.openxmlformats-officedocument.spreadsheetml.worksheet+xml" PartName="/xl/worksheets/sheet14354.xml"/>
  <Override ContentType="application/vnd.openxmlformats-officedocument.spreadsheetml.worksheet+xml" PartName="/xl/worksheets/sheet14355.xml"/>
  <Override ContentType="application/vnd.openxmlformats-officedocument.spreadsheetml.worksheet+xml" PartName="/xl/worksheets/sheet14356.xml"/>
  <Override ContentType="application/vnd.openxmlformats-officedocument.spreadsheetml.worksheet+xml" PartName="/xl/worksheets/sheet14357.xml"/>
  <Override ContentType="application/vnd.openxmlformats-officedocument.spreadsheetml.worksheet+xml" PartName="/xl/worksheets/sheet14358.xml"/>
  <Override ContentType="application/vnd.openxmlformats-officedocument.spreadsheetml.worksheet+xml" PartName="/xl/worksheets/sheet14359.xml"/>
  <Override ContentType="application/vnd.openxmlformats-officedocument.spreadsheetml.worksheet+xml" PartName="/xl/worksheets/sheet14360.xml"/>
  <Override ContentType="application/vnd.openxmlformats-officedocument.spreadsheetml.worksheet+xml" PartName="/xl/worksheets/sheet14361.xml"/>
  <Override ContentType="application/vnd.openxmlformats-officedocument.spreadsheetml.worksheet+xml" PartName="/xl/worksheets/sheet14362.xml"/>
  <Override ContentType="application/vnd.openxmlformats-officedocument.spreadsheetml.worksheet+xml" PartName="/xl/worksheets/sheet14363.xml"/>
  <Override ContentType="application/vnd.openxmlformats-officedocument.spreadsheetml.worksheet+xml" PartName="/xl/worksheets/sheet14364.xml"/>
  <Override ContentType="application/vnd.openxmlformats-officedocument.spreadsheetml.worksheet+xml" PartName="/xl/worksheets/sheet14365.xml"/>
  <Override ContentType="application/vnd.openxmlformats-officedocument.spreadsheetml.worksheet+xml" PartName="/xl/worksheets/sheet14366.xml"/>
  <Override ContentType="application/vnd.openxmlformats-officedocument.spreadsheetml.worksheet+xml" PartName="/xl/worksheets/sheet14367.xml"/>
  <Override ContentType="application/vnd.openxmlformats-officedocument.spreadsheetml.worksheet+xml" PartName="/xl/worksheets/sheet14368.xml"/>
  <Override ContentType="application/vnd.openxmlformats-officedocument.spreadsheetml.worksheet+xml" PartName="/xl/worksheets/sheet14369.xml"/>
  <Override ContentType="application/vnd.openxmlformats-officedocument.spreadsheetml.worksheet+xml" PartName="/xl/worksheets/sheet14370.xml"/>
  <Override ContentType="application/vnd.openxmlformats-officedocument.spreadsheetml.worksheet+xml" PartName="/xl/worksheets/sheet14371.xml"/>
  <Override ContentType="application/vnd.openxmlformats-officedocument.spreadsheetml.worksheet+xml" PartName="/xl/worksheets/sheet14372.xml"/>
  <Override ContentType="application/vnd.openxmlformats-officedocument.spreadsheetml.worksheet+xml" PartName="/xl/worksheets/sheet14373.xml"/>
  <Override ContentType="application/vnd.openxmlformats-officedocument.spreadsheetml.worksheet+xml" PartName="/xl/worksheets/sheet14374.xml"/>
  <Override ContentType="application/vnd.openxmlformats-officedocument.spreadsheetml.worksheet+xml" PartName="/xl/worksheets/sheet14375.xml"/>
  <Override ContentType="application/vnd.openxmlformats-officedocument.spreadsheetml.worksheet+xml" PartName="/xl/worksheets/sheet14376.xml"/>
  <Override ContentType="application/vnd.openxmlformats-officedocument.spreadsheetml.worksheet+xml" PartName="/xl/worksheets/sheet14377.xml"/>
  <Override ContentType="application/vnd.openxmlformats-officedocument.spreadsheetml.worksheet+xml" PartName="/xl/worksheets/sheet14378.xml"/>
  <Override ContentType="application/vnd.openxmlformats-officedocument.spreadsheetml.worksheet+xml" PartName="/xl/worksheets/sheet14379.xml"/>
  <Override ContentType="application/vnd.openxmlformats-officedocument.spreadsheetml.worksheet+xml" PartName="/xl/worksheets/sheet14380.xml"/>
  <Override ContentType="application/vnd.openxmlformats-officedocument.spreadsheetml.worksheet+xml" PartName="/xl/worksheets/sheet14381.xml"/>
  <Override ContentType="application/vnd.openxmlformats-officedocument.spreadsheetml.worksheet+xml" PartName="/xl/worksheets/sheet14382.xml"/>
  <Override ContentType="application/vnd.openxmlformats-officedocument.spreadsheetml.worksheet+xml" PartName="/xl/worksheets/sheet14383.xml"/>
  <Override ContentType="application/vnd.openxmlformats-officedocument.spreadsheetml.worksheet+xml" PartName="/xl/worksheets/sheet14384.xml"/>
  <Override ContentType="application/vnd.openxmlformats-officedocument.spreadsheetml.worksheet+xml" PartName="/xl/worksheets/sheet14385.xml"/>
  <Override ContentType="application/vnd.openxmlformats-officedocument.spreadsheetml.worksheet+xml" PartName="/xl/worksheets/sheet14386.xml"/>
  <Override ContentType="application/vnd.openxmlformats-officedocument.spreadsheetml.worksheet+xml" PartName="/xl/worksheets/sheet14387.xml"/>
  <Override ContentType="application/vnd.openxmlformats-officedocument.spreadsheetml.worksheet+xml" PartName="/xl/worksheets/sheet14388.xml"/>
  <Override ContentType="application/vnd.openxmlformats-officedocument.spreadsheetml.worksheet+xml" PartName="/xl/worksheets/sheet14389.xml"/>
  <Override ContentType="application/vnd.openxmlformats-officedocument.spreadsheetml.worksheet+xml" PartName="/xl/worksheets/sheet14390.xml"/>
  <Override ContentType="application/vnd.openxmlformats-officedocument.spreadsheetml.worksheet+xml" PartName="/xl/worksheets/sheet14391.xml"/>
  <Override ContentType="application/vnd.openxmlformats-officedocument.spreadsheetml.worksheet+xml" PartName="/xl/worksheets/sheet14392.xml"/>
  <Override ContentType="application/vnd.openxmlformats-officedocument.spreadsheetml.worksheet+xml" PartName="/xl/worksheets/sheet14393.xml"/>
  <Override ContentType="application/vnd.openxmlformats-officedocument.spreadsheetml.worksheet+xml" PartName="/xl/worksheets/sheet14394.xml"/>
  <Override ContentType="application/vnd.openxmlformats-officedocument.spreadsheetml.worksheet+xml" PartName="/xl/worksheets/sheet14395.xml"/>
  <Override ContentType="application/vnd.openxmlformats-officedocument.spreadsheetml.worksheet+xml" PartName="/xl/worksheets/sheet14396.xml"/>
  <Override ContentType="application/vnd.openxmlformats-officedocument.spreadsheetml.worksheet+xml" PartName="/xl/worksheets/sheet14397.xml"/>
  <Override ContentType="application/vnd.openxmlformats-officedocument.spreadsheetml.worksheet+xml" PartName="/xl/worksheets/sheet14398.xml"/>
  <Override ContentType="application/vnd.openxmlformats-officedocument.spreadsheetml.worksheet+xml" PartName="/xl/worksheets/sheet14399.xml"/>
  <Override ContentType="application/vnd.openxmlformats-officedocument.spreadsheetml.worksheet+xml" PartName="/xl/worksheets/sheet14400.xml"/>
  <Override ContentType="application/vnd.openxmlformats-officedocument.spreadsheetml.worksheet+xml" PartName="/xl/worksheets/sheet14401.xml"/>
  <Override ContentType="application/vnd.openxmlformats-officedocument.spreadsheetml.worksheet+xml" PartName="/xl/worksheets/sheet14402.xml"/>
  <Override ContentType="application/vnd.openxmlformats-officedocument.spreadsheetml.worksheet+xml" PartName="/xl/worksheets/sheet14403.xml"/>
  <Override ContentType="application/vnd.openxmlformats-officedocument.spreadsheetml.worksheet+xml" PartName="/xl/worksheets/sheet14404.xml"/>
  <Override ContentType="application/vnd.openxmlformats-officedocument.spreadsheetml.worksheet+xml" PartName="/xl/worksheets/sheet14405.xml"/>
  <Override ContentType="application/vnd.openxmlformats-officedocument.spreadsheetml.worksheet+xml" PartName="/xl/worksheets/sheet14406.xml"/>
  <Override ContentType="application/vnd.openxmlformats-officedocument.spreadsheetml.worksheet+xml" PartName="/xl/worksheets/sheet14407.xml"/>
  <Override ContentType="application/vnd.openxmlformats-officedocument.spreadsheetml.worksheet+xml" PartName="/xl/worksheets/sheet14408.xml"/>
  <Override ContentType="application/vnd.openxmlformats-officedocument.spreadsheetml.worksheet+xml" PartName="/xl/worksheets/sheet14409.xml"/>
  <Override ContentType="application/vnd.openxmlformats-officedocument.spreadsheetml.worksheet+xml" PartName="/xl/worksheets/sheet14410.xml"/>
  <Override ContentType="application/vnd.openxmlformats-officedocument.spreadsheetml.worksheet+xml" PartName="/xl/worksheets/sheet14411.xml"/>
  <Override ContentType="application/vnd.openxmlformats-officedocument.spreadsheetml.worksheet+xml" PartName="/xl/worksheets/sheet14412.xml"/>
  <Override ContentType="application/vnd.openxmlformats-officedocument.spreadsheetml.worksheet+xml" PartName="/xl/worksheets/sheet14413.xml"/>
  <Override ContentType="application/vnd.openxmlformats-officedocument.spreadsheetml.worksheet+xml" PartName="/xl/worksheets/sheet14414.xml"/>
  <Override ContentType="application/vnd.openxmlformats-officedocument.spreadsheetml.worksheet+xml" PartName="/xl/worksheets/sheet14415.xml"/>
  <Override ContentType="application/vnd.openxmlformats-officedocument.spreadsheetml.worksheet+xml" PartName="/xl/worksheets/sheet14416.xml"/>
  <Override ContentType="application/vnd.openxmlformats-officedocument.spreadsheetml.worksheet+xml" PartName="/xl/worksheets/sheet14417.xml"/>
  <Override ContentType="application/vnd.openxmlformats-officedocument.spreadsheetml.worksheet+xml" PartName="/xl/worksheets/sheet14418.xml"/>
  <Override ContentType="application/vnd.openxmlformats-officedocument.spreadsheetml.worksheet+xml" PartName="/xl/worksheets/sheet14419.xml"/>
  <Override ContentType="application/vnd.openxmlformats-officedocument.spreadsheetml.worksheet+xml" PartName="/xl/worksheets/sheet14420.xml"/>
  <Override ContentType="application/vnd.openxmlformats-officedocument.spreadsheetml.worksheet+xml" PartName="/xl/worksheets/sheet14421.xml"/>
  <Override ContentType="application/vnd.openxmlformats-officedocument.spreadsheetml.worksheet+xml" PartName="/xl/worksheets/sheet14422.xml"/>
  <Override ContentType="application/vnd.openxmlformats-officedocument.spreadsheetml.worksheet+xml" PartName="/xl/worksheets/sheet14423.xml"/>
  <Override ContentType="application/vnd.openxmlformats-officedocument.spreadsheetml.worksheet+xml" PartName="/xl/worksheets/sheet14424.xml"/>
  <Override ContentType="application/vnd.openxmlformats-officedocument.spreadsheetml.worksheet+xml" PartName="/xl/worksheets/sheet14425.xml"/>
  <Override ContentType="application/vnd.openxmlformats-officedocument.spreadsheetml.worksheet+xml" PartName="/xl/worksheets/sheet14426.xml"/>
  <Override ContentType="application/vnd.openxmlformats-officedocument.spreadsheetml.worksheet+xml" PartName="/xl/worksheets/sheet14427.xml"/>
  <Override ContentType="application/vnd.openxmlformats-officedocument.spreadsheetml.worksheet+xml" PartName="/xl/worksheets/sheet14428.xml"/>
  <Override ContentType="application/vnd.openxmlformats-officedocument.spreadsheetml.worksheet+xml" PartName="/xl/worksheets/sheet14429.xml"/>
  <Override ContentType="application/vnd.openxmlformats-officedocument.spreadsheetml.worksheet+xml" PartName="/xl/worksheets/sheet14430.xml"/>
  <Override ContentType="application/vnd.openxmlformats-officedocument.spreadsheetml.worksheet+xml" PartName="/xl/worksheets/sheet14431.xml"/>
  <Override ContentType="application/vnd.openxmlformats-officedocument.spreadsheetml.worksheet+xml" PartName="/xl/worksheets/sheet14432.xml"/>
  <Override ContentType="application/vnd.openxmlformats-officedocument.spreadsheetml.worksheet+xml" PartName="/xl/worksheets/sheet14433.xml"/>
  <Override ContentType="application/vnd.openxmlformats-officedocument.spreadsheetml.worksheet+xml" PartName="/xl/worksheets/sheet14434.xml"/>
  <Override ContentType="application/vnd.openxmlformats-officedocument.spreadsheetml.worksheet+xml" PartName="/xl/worksheets/sheet14435.xml"/>
  <Override ContentType="application/vnd.openxmlformats-officedocument.spreadsheetml.worksheet+xml" PartName="/xl/worksheets/sheet14436.xml"/>
  <Override ContentType="application/vnd.openxmlformats-officedocument.spreadsheetml.worksheet+xml" PartName="/xl/worksheets/sheet14437.xml"/>
  <Override ContentType="application/vnd.openxmlformats-officedocument.spreadsheetml.worksheet+xml" PartName="/xl/worksheets/sheet14438.xml"/>
  <Override ContentType="application/vnd.openxmlformats-officedocument.spreadsheetml.worksheet+xml" PartName="/xl/worksheets/sheet14439.xml"/>
  <Override ContentType="application/vnd.openxmlformats-officedocument.spreadsheetml.worksheet+xml" PartName="/xl/worksheets/sheet14440.xml"/>
  <Override ContentType="application/vnd.openxmlformats-officedocument.spreadsheetml.worksheet+xml" PartName="/xl/worksheets/sheet14441.xml"/>
  <Override ContentType="application/vnd.openxmlformats-officedocument.spreadsheetml.worksheet+xml" PartName="/xl/worksheets/sheet14442.xml"/>
  <Override ContentType="application/vnd.openxmlformats-officedocument.spreadsheetml.worksheet+xml" PartName="/xl/worksheets/sheet14443.xml"/>
  <Override ContentType="application/vnd.openxmlformats-officedocument.spreadsheetml.worksheet+xml" PartName="/xl/worksheets/sheet14444.xml"/>
  <Override ContentType="application/vnd.openxmlformats-officedocument.spreadsheetml.worksheet+xml" PartName="/xl/worksheets/sheet14445.xml"/>
  <Override ContentType="application/vnd.openxmlformats-officedocument.spreadsheetml.worksheet+xml" PartName="/xl/worksheets/sheet14446.xml"/>
  <Override ContentType="application/vnd.openxmlformats-officedocument.spreadsheetml.worksheet+xml" PartName="/xl/worksheets/sheet14447.xml"/>
  <Override ContentType="application/vnd.openxmlformats-officedocument.spreadsheetml.worksheet+xml" PartName="/xl/worksheets/sheet14448.xml"/>
  <Override ContentType="application/vnd.openxmlformats-officedocument.spreadsheetml.worksheet+xml" PartName="/xl/worksheets/sheet14449.xml"/>
  <Override ContentType="application/vnd.openxmlformats-officedocument.spreadsheetml.worksheet+xml" PartName="/xl/worksheets/sheet14450.xml"/>
  <Override ContentType="application/vnd.openxmlformats-officedocument.spreadsheetml.worksheet+xml" PartName="/xl/worksheets/sheet14451.xml"/>
  <Override ContentType="application/vnd.openxmlformats-officedocument.spreadsheetml.worksheet+xml" PartName="/xl/worksheets/sheet14452.xml"/>
  <Override ContentType="application/vnd.openxmlformats-officedocument.spreadsheetml.worksheet+xml" PartName="/xl/worksheets/sheet14453.xml"/>
  <Override ContentType="application/vnd.openxmlformats-officedocument.spreadsheetml.worksheet+xml" PartName="/xl/worksheets/sheet14454.xml"/>
  <Override ContentType="application/vnd.openxmlformats-officedocument.spreadsheetml.worksheet+xml" PartName="/xl/worksheets/sheet14455.xml"/>
  <Override ContentType="application/vnd.openxmlformats-officedocument.spreadsheetml.worksheet+xml" PartName="/xl/worksheets/sheet14456.xml"/>
  <Override ContentType="application/vnd.openxmlformats-officedocument.spreadsheetml.worksheet+xml" PartName="/xl/worksheets/sheet14457.xml"/>
  <Override ContentType="application/vnd.openxmlformats-officedocument.spreadsheetml.worksheet+xml" PartName="/xl/worksheets/sheet14458.xml"/>
  <Override ContentType="application/vnd.openxmlformats-officedocument.spreadsheetml.worksheet+xml" PartName="/xl/worksheets/sheet14459.xml"/>
  <Override ContentType="application/vnd.openxmlformats-officedocument.spreadsheetml.worksheet+xml" PartName="/xl/worksheets/sheet14460.xml"/>
  <Override ContentType="application/vnd.openxmlformats-officedocument.spreadsheetml.worksheet+xml" PartName="/xl/worksheets/sheet14461.xml"/>
  <Override ContentType="application/vnd.openxmlformats-officedocument.spreadsheetml.worksheet+xml" PartName="/xl/worksheets/sheet14462.xml"/>
  <Override ContentType="application/vnd.openxmlformats-officedocument.spreadsheetml.worksheet+xml" PartName="/xl/worksheets/sheet14463.xml"/>
  <Override ContentType="application/vnd.openxmlformats-officedocument.spreadsheetml.worksheet+xml" PartName="/xl/worksheets/sheet14464.xml"/>
  <Override ContentType="application/vnd.openxmlformats-officedocument.spreadsheetml.worksheet+xml" PartName="/xl/worksheets/sheet14465.xml"/>
  <Override ContentType="application/vnd.openxmlformats-officedocument.spreadsheetml.worksheet+xml" PartName="/xl/worksheets/sheet14466.xml"/>
  <Override ContentType="application/vnd.openxmlformats-officedocument.spreadsheetml.worksheet+xml" PartName="/xl/worksheets/sheet14467.xml"/>
  <Override ContentType="application/vnd.openxmlformats-officedocument.spreadsheetml.worksheet+xml" PartName="/xl/worksheets/sheet14468.xml"/>
  <Override ContentType="application/vnd.openxmlformats-officedocument.spreadsheetml.worksheet+xml" PartName="/xl/worksheets/sheet14469.xml"/>
  <Override ContentType="application/vnd.openxmlformats-officedocument.spreadsheetml.worksheet+xml" PartName="/xl/worksheets/sheet14470.xml"/>
  <Override ContentType="application/vnd.openxmlformats-officedocument.spreadsheetml.worksheet+xml" PartName="/xl/worksheets/sheet14471.xml"/>
  <Override ContentType="application/vnd.openxmlformats-officedocument.spreadsheetml.worksheet+xml" PartName="/xl/worksheets/sheet14472.xml"/>
  <Override ContentType="application/vnd.openxmlformats-officedocument.spreadsheetml.worksheet+xml" PartName="/xl/worksheets/sheet14473.xml"/>
  <Override ContentType="application/vnd.openxmlformats-officedocument.spreadsheetml.worksheet+xml" PartName="/xl/worksheets/sheet14474.xml"/>
  <Override ContentType="application/vnd.openxmlformats-officedocument.spreadsheetml.worksheet+xml" PartName="/xl/worksheets/sheet14475.xml"/>
  <Override ContentType="application/vnd.openxmlformats-officedocument.spreadsheetml.worksheet+xml" PartName="/xl/worksheets/sheet14476.xml"/>
  <Override ContentType="application/vnd.openxmlformats-officedocument.spreadsheetml.worksheet+xml" PartName="/xl/worksheets/sheet14477.xml"/>
  <Override ContentType="application/vnd.openxmlformats-officedocument.spreadsheetml.worksheet+xml" PartName="/xl/worksheets/sheet14478.xml"/>
  <Override ContentType="application/vnd.openxmlformats-officedocument.spreadsheetml.worksheet+xml" PartName="/xl/worksheets/sheet14479.xml"/>
  <Override ContentType="application/vnd.openxmlformats-officedocument.spreadsheetml.worksheet+xml" PartName="/xl/worksheets/sheet14480.xml"/>
  <Override ContentType="application/vnd.openxmlformats-officedocument.spreadsheetml.worksheet+xml" PartName="/xl/worksheets/sheet14481.xml"/>
  <Override ContentType="application/vnd.openxmlformats-officedocument.spreadsheetml.worksheet+xml" PartName="/xl/worksheets/sheet14482.xml"/>
  <Override ContentType="application/vnd.openxmlformats-officedocument.spreadsheetml.worksheet+xml" PartName="/xl/worksheets/sheet14483.xml"/>
  <Override ContentType="application/vnd.openxmlformats-officedocument.spreadsheetml.worksheet+xml" PartName="/xl/worksheets/sheet14484.xml"/>
  <Override ContentType="application/vnd.openxmlformats-officedocument.spreadsheetml.worksheet+xml" PartName="/xl/worksheets/sheet14485.xml"/>
  <Override ContentType="application/vnd.openxmlformats-officedocument.spreadsheetml.worksheet+xml" PartName="/xl/worksheets/sheet14486.xml"/>
  <Override ContentType="application/vnd.openxmlformats-officedocument.spreadsheetml.worksheet+xml" PartName="/xl/worksheets/sheet14487.xml"/>
  <Override ContentType="application/vnd.openxmlformats-officedocument.spreadsheetml.worksheet+xml" PartName="/xl/worksheets/sheet14488.xml"/>
  <Override ContentType="application/vnd.openxmlformats-officedocument.spreadsheetml.worksheet+xml" PartName="/xl/worksheets/sheet14489.xml"/>
  <Override ContentType="application/vnd.openxmlformats-officedocument.spreadsheetml.worksheet+xml" PartName="/xl/worksheets/sheet14490.xml"/>
  <Override ContentType="application/vnd.openxmlformats-officedocument.spreadsheetml.worksheet+xml" PartName="/xl/worksheets/sheet14491.xml"/>
  <Override ContentType="application/vnd.openxmlformats-officedocument.spreadsheetml.worksheet+xml" PartName="/xl/worksheets/sheet14492.xml"/>
  <Override ContentType="application/vnd.openxmlformats-officedocument.spreadsheetml.worksheet+xml" PartName="/xl/worksheets/sheet14493.xml"/>
  <Override ContentType="application/vnd.openxmlformats-officedocument.spreadsheetml.worksheet+xml" PartName="/xl/worksheets/sheet14494.xml"/>
  <Override ContentType="application/vnd.openxmlformats-officedocument.spreadsheetml.worksheet+xml" PartName="/xl/worksheets/sheet14495.xml"/>
  <Override ContentType="application/vnd.openxmlformats-officedocument.spreadsheetml.worksheet+xml" PartName="/xl/worksheets/sheet14496.xml"/>
  <Override ContentType="application/vnd.openxmlformats-officedocument.spreadsheetml.worksheet+xml" PartName="/xl/worksheets/sheet14497.xml"/>
  <Override ContentType="application/vnd.openxmlformats-officedocument.spreadsheetml.worksheet+xml" PartName="/xl/worksheets/sheet14498.xml"/>
  <Override ContentType="application/vnd.openxmlformats-officedocument.spreadsheetml.worksheet+xml" PartName="/xl/worksheets/sheet14499.xml"/>
  <Override ContentType="application/vnd.openxmlformats-officedocument.spreadsheetml.worksheet+xml" PartName="/xl/worksheets/sheet14500.xml"/>
  <Override ContentType="application/vnd.openxmlformats-officedocument.spreadsheetml.worksheet+xml" PartName="/xl/worksheets/sheet14501.xml"/>
  <Override ContentType="application/vnd.openxmlformats-officedocument.spreadsheetml.worksheet+xml" PartName="/xl/worksheets/sheet14502.xml"/>
  <Override ContentType="application/vnd.openxmlformats-officedocument.spreadsheetml.worksheet+xml" PartName="/xl/worksheets/sheet14503.xml"/>
  <Override ContentType="application/vnd.openxmlformats-officedocument.spreadsheetml.worksheet+xml" PartName="/xl/worksheets/sheet14504.xml"/>
  <Override ContentType="application/vnd.openxmlformats-officedocument.spreadsheetml.worksheet+xml" PartName="/xl/worksheets/sheet14505.xml"/>
  <Override ContentType="application/vnd.openxmlformats-officedocument.spreadsheetml.worksheet+xml" PartName="/xl/worksheets/sheet14506.xml"/>
  <Override ContentType="application/vnd.openxmlformats-officedocument.spreadsheetml.worksheet+xml" PartName="/xl/worksheets/sheet14507.xml"/>
  <Override ContentType="application/vnd.openxmlformats-officedocument.spreadsheetml.worksheet+xml" PartName="/xl/worksheets/sheet14508.xml"/>
  <Override ContentType="application/vnd.openxmlformats-officedocument.spreadsheetml.worksheet+xml" PartName="/xl/worksheets/sheet14509.xml"/>
  <Override ContentType="application/vnd.openxmlformats-officedocument.spreadsheetml.worksheet+xml" PartName="/xl/worksheets/sheet14510.xml"/>
  <Override ContentType="application/vnd.openxmlformats-officedocument.spreadsheetml.worksheet+xml" PartName="/xl/worksheets/sheet14511.xml"/>
  <Override ContentType="application/vnd.openxmlformats-officedocument.spreadsheetml.worksheet+xml" PartName="/xl/worksheets/sheet14512.xml"/>
  <Override ContentType="application/vnd.openxmlformats-officedocument.spreadsheetml.worksheet+xml" PartName="/xl/worksheets/sheet14513.xml"/>
  <Override ContentType="application/vnd.openxmlformats-officedocument.spreadsheetml.worksheet+xml" PartName="/xl/worksheets/sheet14514.xml"/>
  <Override ContentType="application/vnd.openxmlformats-officedocument.spreadsheetml.worksheet+xml" PartName="/xl/worksheets/sheet14515.xml"/>
  <Override ContentType="application/vnd.openxmlformats-officedocument.spreadsheetml.worksheet+xml" PartName="/xl/worksheets/sheet14516.xml"/>
  <Override ContentType="application/vnd.openxmlformats-officedocument.spreadsheetml.worksheet+xml" PartName="/xl/worksheets/sheet14517.xml"/>
  <Override ContentType="application/vnd.openxmlformats-officedocument.spreadsheetml.worksheet+xml" PartName="/xl/worksheets/sheet14518.xml"/>
  <Override ContentType="application/vnd.openxmlformats-officedocument.spreadsheetml.worksheet+xml" PartName="/xl/worksheets/sheet14519.xml"/>
  <Override ContentType="application/vnd.openxmlformats-officedocument.spreadsheetml.worksheet+xml" PartName="/xl/worksheets/sheet14520.xml"/>
  <Override ContentType="application/vnd.openxmlformats-officedocument.spreadsheetml.worksheet+xml" PartName="/xl/worksheets/sheet14521.xml"/>
  <Override ContentType="application/vnd.openxmlformats-officedocument.spreadsheetml.worksheet+xml" PartName="/xl/worksheets/sheet14522.xml"/>
  <Override ContentType="application/vnd.openxmlformats-officedocument.spreadsheetml.worksheet+xml" PartName="/xl/worksheets/sheet14523.xml"/>
  <Override ContentType="application/vnd.openxmlformats-officedocument.spreadsheetml.worksheet+xml" PartName="/xl/worksheets/sheet14524.xml"/>
  <Override ContentType="application/vnd.openxmlformats-officedocument.spreadsheetml.worksheet+xml" PartName="/xl/worksheets/sheet14525.xml"/>
  <Override ContentType="application/vnd.openxmlformats-officedocument.spreadsheetml.worksheet+xml" PartName="/xl/worksheets/sheet14526.xml"/>
  <Override ContentType="application/vnd.openxmlformats-officedocument.spreadsheetml.worksheet+xml" PartName="/xl/worksheets/sheet14527.xml"/>
  <Override ContentType="application/vnd.openxmlformats-officedocument.spreadsheetml.worksheet+xml" PartName="/xl/worksheets/sheet14528.xml"/>
  <Override ContentType="application/vnd.openxmlformats-officedocument.spreadsheetml.worksheet+xml" PartName="/xl/worksheets/sheet14529.xml"/>
  <Override ContentType="application/vnd.openxmlformats-officedocument.spreadsheetml.worksheet+xml" PartName="/xl/worksheets/sheet14530.xml"/>
  <Override ContentType="application/vnd.openxmlformats-officedocument.spreadsheetml.worksheet+xml" PartName="/xl/worksheets/sheet14531.xml"/>
  <Override ContentType="application/vnd.openxmlformats-officedocument.spreadsheetml.worksheet+xml" PartName="/xl/worksheets/sheet14532.xml"/>
  <Override ContentType="application/vnd.openxmlformats-officedocument.spreadsheetml.worksheet+xml" PartName="/xl/worksheets/sheet14533.xml"/>
  <Override ContentType="application/vnd.openxmlformats-officedocument.spreadsheetml.worksheet+xml" PartName="/xl/worksheets/sheet14534.xml"/>
  <Override ContentType="application/vnd.openxmlformats-officedocument.spreadsheetml.worksheet+xml" PartName="/xl/worksheets/sheet14535.xml"/>
  <Override ContentType="application/vnd.openxmlformats-officedocument.spreadsheetml.worksheet+xml" PartName="/xl/worksheets/sheet14536.xml"/>
  <Override ContentType="application/vnd.openxmlformats-officedocument.spreadsheetml.worksheet+xml" PartName="/xl/worksheets/sheet14537.xml"/>
  <Override ContentType="application/vnd.openxmlformats-officedocument.spreadsheetml.worksheet+xml" PartName="/xl/worksheets/sheet14538.xml"/>
  <Override ContentType="application/vnd.openxmlformats-officedocument.spreadsheetml.worksheet+xml" PartName="/xl/worksheets/sheet14539.xml"/>
  <Override ContentType="application/vnd.openxmlformats-officedocument.spreadsheetml.worksheet+xml" PartName="/xl/worksheets/sheet14540.xml"/>
  <Override ContentType="application/vnd.openxmlformats-officedocument.spreadsheetml.worksheet+xml" PartName="/xl/worksheets/sheet14541.xml"/>
  <Override ContentType="application/vnd.openxmlformats-officedocument.spreadsheetml.worksheet+xml" PartName="/xl/worksheets/sheet14542.xml"/>
  <Override ContentType="application/vnd.openxmlformats-officedocument.spreadsheetml.worksheet+xml" PartName="/xl/worksheets/sheet14543.xml"/>
  <Override ContentType="application/vnd.openxmlformats-officedocument.spreadsheetml.worksheet+xml" PartName="/xl/worksheets/sheet14544.xml"/>
  <Override ContentType="application/vnd.openxmlformats-officedocument.spreadsheetml.worksheet+xml" PartName="/xl/worksheets/sheet14545.xml"/>
  <Override ContentType="application/vnd.openxmlformats-officedocument.spreadsheetml.worksheet+xml" PartName="/xl/worksheets/sheet14546.xml"/>
  <Override ContentType="application/vnd.openxmlformats-officedocument.spreadsheetml.worksheet+xml" PartName="/xl/worksheets/sheet14547.xml"/>
  <Override ContentType="application/vnd.openxmlformats-officedocument.spreadsheetml.worksheet+xml" PartName="/xl/worksheets/sheet14548.xml"/>
  <Override ContentType="application/vnd.openxmlformats-officedocument.spreadsheetml.worksheet+xml" PartName="/xl/worksheets/sheet14549.xml"/>
  <Override ContentType="application/vnd.openxmlformats-officedocument.spreadsheetml.worksheet+xml" PartName="/xl/worksheets/sheet14550.xml"/>
  <Override ContentType="application/vnd.openxmlformats-officedocument.spreadsheetml.worksheet+xml" PartName="/xl/worksheets/sheet14551.xml"/>
  <Override ContentType="application/vnd.openxmlformats-officedocument.spreadsheetml.worksheet+xml" PartName="/xl/worksheets/sheet14552.xml"/>
  <Override ContentType="application/vnd.openxmlformats-officedocument.spreadsheetml.worksheet+xml" PartName="/xl/worksheets/sheet14553.xml"/>
  <Override ContentType="application/vnd.openxmlformats-officedocument.spreadsheetml.worksheet+xml" PartName="/xl/worksheets/sheet14554.xml"/>
  <Override ContentType="application/vnd.openxmlformats-officedocument.spreadsheetml.worksheet+xml" PartName="/xl/worksheets/sheet14555.xml"/>
  <Override ContentType="application/vnd.openxmlformats-officedocument.spreadsheetml.worksheet+xml" PartName="/xl/worksheets/sheet14556.xml"/>
  <Override ContentType="application/vnd.openxmlformats-officedocument.spreadsheetml.worksheet+xml" PartName="/xl/worksheets/sheet14557.xml"/>
  <Override ContentType="application/vnd.openxmlformats-officedocument.spreadsheetml.worksheet+xml" PartName="/xl/worksheets/sheet14558.xml"/>
  <Override ContentType="application/vnd.openxmlformats-officedocument.spreadsheetml.worksheet+xml" PartName="/xl/worksheets/sheet14559.xml"/>
  <Override ContentType="application/vnd.openxmlformats-officedocument.spreadsheetml.worksheet+xml" PartName="/xl/worksheets/sheet14560.xml"/>
  <Override ContentType="application/vnd.openxmlformats-officedocument.spreadsheetml.worksheet+xml" PartName="/xl/worksheets/sheet14561.xml"/>
  <Override ContentType="application/vnd.openxmlformats-officedocument.spreadsheetml.worksheet+xml" PartName="/xl/worksheets/sheet14562.xml"/>
  <Override ContentType="application/vnd.openxmlformats-officedocument.spreadsheetml.worksheet+xml" PartName="/xl/worksheets/sheet14563.xml"/>
  <Override ContentType="application/vnd.openxmlformats-officedocument.spreadsheetml.worksheet+xml" PartName="/xl/worksheets/sheet14564.xml"/>
  <Override ContentType="application/vnd.openxmlformats-officedocument.spreadsheetml.worksheet+xml" PartName="/xl/worksheets/sheet14565.xml"/>
  <Override ContentType="application/vnd.openxmlformats-officedocument.spreadsheetml.worksheet+xml" PartName="/xl/worksheets/sheet14566.xml"/>
  <Override ContentType="application/vnd.openxmlformats-officedocument.spreadsheetml.worksheet+xml" PartName="/xl/worksheets/sheet14567.xml"/>
  <Override ContentType="application/vnd.openxmlformats-officedocument.spreadsheetml.worksheet+xml" PartName="/xl/worksheets/sheet14568.xml"/>
  <Override ContentType="application/vnd.openxmlformats-officedocument.spreadsheetml.worksheet+xml" PartName="/xl/worksheets/sheet14569.xml"/>
  <Override ContentType="application/vnd.openxmlformats-officedocument.spreadsheetml.worksheet+xml" PartName="/xl/worksheets/sheet14570.xml"/>
  <Override ContentType="application/vnd.openxmlformats-officedocument.spreadsheetml.worksheet+xml" PartName="/xl/worksheets/sheet14571.xml"/>
  <Override ContentType="application/vnd.openxmlformats-officedocument.spreadsheetml.worksheet+xml" PartName="/xl/worksheets/sheet14572.xml"/>
  <Override ContentType="application/vnd.openxmlformats-officedocument.spreadsheetml.worksheet+xml" PartName="/xl/worksheets/sheet14573.xml"/>
  <Override ContentType="application/vnd.openxmlformats-officedocument.spreadsheetml.worksheet+xml" PartName="/xl/worksheets/sheet14574.xml"/>
  <Override ContentType="application/vnd.openxmlformats-officedocument.spreadsheetml.worksheet+xml" PartName="/xl/worksheets/sheet14575.xml"/>
  <Override ContentType="application/vnd.openxmlformats-officedocument.spreadsheetml.worksheet+xml" PartName="/xl/worksheets/sheet14576.xml"/>
  <Override ContentType="application/vnd.openxmlformats-officedocument.spreadsheetml.worksheet+xml" PartName="/xl/worksheets/sheet14577.xml"/>
  <Override ContentType="application/vnd.openxmlformats-officedocument.spreadsheetml.worksheet+xml" PartName="/xl/worksheets/sheet14578.xml"/>
  <Override ContentType="application/vnd.openxmlformats-officedocument.spreadsheetml.worksheet+xml" PartName="/xl/worksheets/sheet14579.xml"/>
  <Override ContentType="application/vnd.openxmlformats-officedocument.spreadsheetml.worksheet+xml" PartName="/xl/worksheets/sheet14580.xml"/>
  <Override ContentType="application/vnd.openxmlformats-officedocument.spreadsheetml.worksheet+xml" PartName="/xl/worksheets/sheet14581.xml"/>
  <Override ContentType="application/vnd.openxmlformats-officedocument.spreadsheetml.worksheet+xml" PartName="/xl/worksheets/sheet14582.xml"/>
  <Override ContentType="application/vnd.openxmlformats-officedocument.spreadsheetml.worksheet+xml" PartName="/xl/worksheets/sheet14583.xml"/>
  <Override ContentType="application/vnd.openxmlformats-officedocument.spreadsheetml.worksheet+xml" PartName="/xl/worksheets/sheet14584.xml"/>
  <Override ContentType="application/vnd.openxmlformats-officedocument.spreadsheetml.worksheet+xml" PartName="/xl/worksheets/sheet14585.xml"/>
  <Override ContentType="application/vnd.openxmlformats-officedocument.spreadsheetml.worksheet+xml" PartName="/xl/worksheets/sheet14586.xml"/>
  <Override ContentType="application/vnd.openxmlformats-officedocument.spreadsheetml.worksheet+xml" PartName="/xl/worksheets/sheet14587.xml"/>
  <Override ContentType="application/vnd.openxmlformats-officedocument.spreadsheetml.worksheet+xml" PartName="/xl/worksheets/sheet14588.xml"/>
  <Override ContentType="application/vnd.openxmlformats-officedocument.spreadsheetml.worksheet+xml" PartName="/xl/worksheets/sheet14589.xml"/>
  <Override ContentType="application/vnd.openxmlformats-officedocument.spreadsheetml.worksheet+xml" PartName="/xl/worksheets/sheet14590.xml"/>
  <Override ContentType="application/vnd.openxmlformats-officedocument.spreadsheetml.worksheet+xml" PartName="/xl/worksheets/sheet14591.xml"/>
  <Override ContentType="application/vnd.openxmlformats-officedocument.spreadsheetml.worksheet+xml" PartName="/xl/worksheets/sheet14592.xml"/>
  <Override ContentType="application/vnd.openxmlformats-officedocument.spreadsheetml.worksheet+xml" PartName="/xl/worksheets/sheet14593.xml"/>
  <Override ContentType="application/vnd.openxmlformats-officedocument.spreadsheetml.worksheet+xml" PartName="/xl/worksheets/sheet14594.xml"/>
  <Override ContentType="application/vnd.openxmlformats-officedocument.spreadsheetml.worksheet+xml" PartName="/xl/worksheets/sheet14595.xml"/>
  <Override ContentType="application/vnd.openxmlformats-officedocument.spreadsheetml.worksheet+xml" PartName="/xl/worksheets/sheet14596.xml"/>
  <Override ContentType="application/vnd.openxmlformats-officedocument.spreadsheetml.worksheet+xml" PartName="/xl/worksheets/sheet14597.xml"/>
  <Override ContentType="application/vnd.openxmlformats-officedocument.spreadsheetml.worksheet+xml" PartName="/xl/worksheets/sheet14598.xml"/>
  <Override ContentType="application/vnd.openxmlformats-officedocument.spreadsheetml.worksheet+xml" PartName="/xl/worksheets/sheet14599.xml"/>
  <Override ContentType="application/vnd.openxmlformats-officedocument.spreadsheetml.worksheet+xml" PartName="/xl/worksheets/sheet14600.xml"/>
  <Override ContentType="application/vnd.openxmlformats-officedocument.spreadsheetml.worksheet+xml" PartName="/xl/worksheets/sheet14601.xml"/>
  <Override ContentType="application/vnd.openxmlformats-officedocument.spreadsheetml.worksheet+xml" PartName="/xl/worksheets/sheet14602.xml"/>
  <Override ContentType="application/vnd.openxmlformats-officedocument.spreadsheetml.worksheet+xml" PartName="/xl/worksheets/sheet14603.xml"/>
  <Override ContentType="application/vnd.openxmlformats-officedocument.spreadsheetml.worksheet+xml" PartName="/xl/worksheets/sheet14604.xml"/>
  <Override ContentType="application/vnd.openxmlformats-officedocument.spreadsheetml.worksheet+xml" PartName="/xl/worksheets/sheet14605.xml"/>
  <Override ContentType="application/vnd.openxmlformats-officedocument.spreadsheetml.worksheet+xml" PartName="/xl/worksheets/sheet14606.xml"/>
  <Override ContentType="application/vnd.openxmlformats-officedocument.spreadsheetml.worksheet+xml" PartName="/xl/worksheets/sheet14607.xml"/>
  <Override ContentType="application/vnd.openxmlformats-officedocument.spreadsheetml.worksheet+xml" PartName="/xl/worksheets/sheet14608.xml"/>
  <Override ContentType="application/vnd.openxmlformats-officedocument.spreadsheetml.worksheet+xml" PartName="/xl/worksheets/sheet14609.xml"/>
  <Override ContentType="application/vnd.openxmlformats-officedocument.spreadsheetml.worksheet+xml" PartName="/xl/worksheets/sheet14610.xml"/>
  <Override ContentType="application/vnd.openxmlformats-officedocument.spreadsheetml.worksheet+xml" PartName="/xl/worksheets/sheet14611.xml"/>
  <Override ContentType="application/vnd.openxmlformats-officedocument.spreadsheetml.worksheet+xml" PartName="/xl/worksheets/sheet14612.xml"/>
  <Override ContentType="application/vnd.openxmlformats-officedocument.spreadsheetml.worksheet+xml" PartName="/xl/worksheets/sheet14613.xml"/>
  <Override ContentType="application/vnd.openxmlformats-officedocument.spreadsheetml.worksheet+xml" PartName="/xl/worksheets/sheet14614.xml"/>
  <Override ContentType="application/vnd.openxmlformats-officedocument.spreadsheetml.worksheet+xml" PartName="/xl/worksheets/sheet14615.xml"/>
  <Override ContentType="application/vnd.openxmlformats-officedocument.spreadsheetml.worksheet+xml" PartName="/xl/worksheets/sheet14616.xml"/>
  <Override ContentType="application/vnd.openxmlformats-officedocument.spreadsheetml.worksheet+xml" PartName="/xl/worksheets/sheet14617.xml"/>
  <Override ContentType="application/vnd.openxmlformats-officedocument.spreadsheetml.worksheet+xml" PartName="/xl/worksheets/sheet14618.xml"/>
  <Override ContentType="application/vnd.openxmlformats-officedocument.spreadsheetml.worksheet+xml" PartName="/xl/worksheets/sheet14619.xml"/>
  <Override ContentType="application/vnd.openxmlformats-officedocument.spreadsheetml.worksheet+xml" PartName="/xl/worksheets/sheet14620.xml"/>
  <Override ContentType="application/vnd.openxmlformats-officedocument.spreadsheetml.worksheet+xml" PartName="/xl/worksheets/sheet14621.xml"/>
  <Override ContentType="application/vnd.openxmlformats-officedocument.spreadsheetml.worksheet+xml" PartName="/xl/worksheets/sheet14622.xml"/>
  <Override ContentType="application/vnd.openxmlformats-officedocument.spreadsheetml.worksheet+xml" PartName="/xl/worksheets/sheet14623.xml"/>
  <Override ContentType="application/vnd.openxmlformats-officedocument.spreadsheetml.worksheet+xml" PartName="/xl/worksheets/sheet14624.xml"/>
  <Override ContentType="application/vnd.openxmlformats-officedocument.spreadsheetml.worksheet+xml" PartName="/xl/worksheets/sheet14625.xml"/>
  <Override ContentType="application/vnd.openxmlformats-officedocument.spreadsheetml.worksheet+xml" PartName="/xl/worksheets/sheet14626.xml"/>
  <Override ContentType="application/vnd.openxmlformats-officedocument.spreadsheetml.worksheet+xml" PartName="/xl/worksheets/sheet14627.xml"/>
  <Override ContentType="application/vnd.openxmlformats-officedocument.spreadsheetml.worksheet+xml" PartName="/xl/worksheets/sheet14628.xml"/>
  <Override ContentType="application/vnd.openxmlformats-officedocument.spreadsheetml.worksheet+xml" PartName="/xl/worksheets/sheet14629.xml"/>
  <Override ContentType="application/vnd.openxmlformats-officedocument.spreadsheetml.worksheet+xml" PartName="/xl/worksheets/sheet14630.xml"/>
  <Override ContentType="application/vnd.openxmlformats-officedocument.spreadsheetml.worksheet+xml" PartName="/xl/worksheets/sheet14631.xml"/>
  <Override ContentType="application/vnd.openxmlformats-officedocument.spreadsheetml.worksheet+xml" PartName="/xl/worksheets/sheet14632.xml"/>
  <Override ContentType="application/vnd.openxmlformats-officedocument.spreadsheetml.worksheet+xml" PartName="/xl/worksheets/sheet14633.xml"/>
  <Override ContentType="application/vnd.openxmlformats-officedocument.spreadsheetml.worksheet+xml" PartName="/xl/worksheets/sheet14634.xml"/>
  <Override ContentType="application/vnd.openxmlformats-officedocument.spreadsheetml.worksheet+xml" PartName="/xl/worksheets/sheet14635.xml"/>
  <Override ContentType="application/vnd.openxmlformats-officedocument.spreadsheetml.worksheet+xml" PartName="/xl/worksheets/sheet14636.xml"/>
  <Override ContentType="application/vnd.openxmlformats-officedocument.spreadsheetml.worksheet+xml" PartName="/xl/worksheets/sheet14637.xml"/>
  <Override ContentType="application/vnd.openxmlformats-officedocument.spreadsheetml.worksheet+xml" PartName="/xl/worksheets/sheet14638.xml"/>
  <Override ContentType="application/vnd.openxmlformats-officedocument.spreadsheetml.worksheet+xml" PartName="/xl/worksheets/sheet14639.xml"/>
  <Override ContentType="application/vnd.openxmlformats-officedocument.spreadsheetml.worksheet+xml" PartName="/xl/worksheets/sheet14640.xml"/>
  <Override ContentType="application/vnd.openxmlformats-officedocument.spreadsheetml.worksheet+xml" PartName="/xl/worksheets/sheet14641.xml"/>
  <Override ContentType="application/vnd.openxmlformats-officedocument.spreadsheetml.worksheet+xml" PartName="/xl/worksheets/sheet14642.xml"/>
  <Override ContentType="application/vnd.openxmlformats-officedocument.spreadsheetml.worksheet+xml" PartName="/xl/worksheets/sheet14643.xml"/>
  <Override ContentType="application/vnd.openxmlformats-officedocument.spreadsheetml.worksheet+xml" PartName="/xl/worksheets/sheet14644.xml"/>
  <Override ContentType="application/vnd.openxmlformats-officedocument.spreadsheetml.worksheet+xml" PartName="/xl/worksheets/sheet14645.xml"/>
  <Override ContentType="application/vnd.openxmlformats-officedocument.spreadsheetml.worksheet+xml" PartName="/xl/worksheets/sheet14646.xml"/>
  <Override ContentType="application/vnd.openxmlformats-officedocument.spreadsheetml.worksheet+xml" PartName="/xl/worksheets/sheet14647.xml"/>
  <Override ContentType="application/vnd.openxmlformats-officedocument.spreadsheetml.worksheet+xml" PartName="/xl/worksheets/sheet14648.xml"/>
  <Override ContentType="application/vnd.openxmlformats-officedocument.spreadsheetml.worksheet+xml" PartName="/xl/worksheets/sheet14649.xml"/>
  <Override ContentType="application/vnd.openxmlformats-officedocument.spreadsheetml.worksheet+xml" PartName="/xl/worksheets/sheet14650.xml"/>
  <Override ContentType="application/vnd.openxmlformats-officedocument.spreadsheetml.worksheet+xml" PartName="/xl/worksheets/sheet14651.xml"/>
  <Override ContentType="application/vnd.openxmlformats-officedocument.spreadsheetml.worksheet+xml" PartName="/xl/worksheets/sheet14652.xml"/>
  <Override ContentType="application/vnd.openxmlformats-officedocument.spreadsheetml.worksheet+xml" PartName="/xl/worksheets/sheet14653.xml"/>
  <Override ContentType="application/vnd.openxmlformats-officedocument.spreadsheetml.worksheet+xml" PartName="/xl/worksheets/sheet14654.xml"/>
  <Override ContentType="application/vnd.openxmlformats-officedocument.spreadsheetml.worksheet+xml" PartName="/xl/worksheets/sheet14655.xml"/>
  <Override ContentType="application/vnd.openxmlformats-officedocument.spreadsheetml.worksheet+xml" PartName="/xl/worksheets/sheet14656.xml"/>
  <Override ContentType="application/vnd.openxmlformats-officedocument.spreadsheetml.worksheet+xml" PartName="/xl/worksheets/sheet14657.xml"/>
  <Override ContentType="application/vnd.openxmlformats-officedocument.spreadsheetml.worksheet+xml" PartName="/xl/worksheets/sheet14658.xml"/>
  <Override ContentType="application/vnd.openxmlformats-officedocument.spreadsheetml.worksheet+xml" PartName="/xl/worksheets/sheet14659.xml"/>
  <Override ContentType="application/vnd.openxmlformats-officedocument.spreadsheetml.worksheet+xml" PartName="/xl/worksheets/sheet14660.xml"/>
  <Override ContentType="application/vnd.openxmlformats-officedocument.spreadsheetml.worksheet+xml" PartName="/xl/worksheets/sheet14661.xml"/>
  <Override ContentType="application/vnd.openxmlformats-officedocument.spreadsheetml.worksheet+xml" PartName="/xl/worksheets/sheet14662.xml"/>
  <Override ContentType="application/vnd.openxmlformats-officedocument.spreadsheetml.worksheet+xml" PartName="/xl/worksheets/sheet14663.xml"/>
  <Override ContentType="application/vnd.openxmlformats-officedocument.spreadsheetml.worksheet+xml" PartName="/xl/worksheets/sheet14664.xml"/>
  <Override ContentType="application/vnd.openxmlformats-officedocument.spreadsheetml.worksheet+xml" PartName="/xl/worksheets/sheet14665.xml"/>
  <Override ContentType="application/vnd.openxmlformats-officedocument.spreadsheetml.worksheet+xml" PartName="/xl/worksheets/sheet14666.xml"/>
  <Override ContentType="application/vnd.openxmlformats-officedocument.spreadsheetml.worksheet+xml" PartName="/xl/worksheets/sheet14667.xml"/>
  <Override ContentType="application/vnd.openxmlformats-officedocument.spreadsheetml.worksheet+xml" PartName="/xl/worksheets/sheet14668.xml"/>
  <Override ContentType="application/vnd.openxmlformats-officedocument.spreadsheetml.worksheet+xml" PartName="/xl/worksheets/sheet14669.xml"/>
  <Override ContentType="application/vnd.openxmlformats-officedocument.spreadsheetml.worksheet+xml" PartName="/xl/worksheets/sheet14670.xml"/>
  <Override ContentType="application/vnd.openxmlformats-officedocument.spreadsheetml.worksheet+xml" PartName="/xl/worksheets/sheet14671.xml"/>
  <Override ContentType="application/vnd.openxmlformats-officedocument.spreadsheetml.worksheet+xml" PartName="/xl/worksheets/sheet14672.xml"/>
  <Override ContentType="application/vnd.openxmlformats-officedocument.spreadsheetml.worksheet+xml" PartName="/xl/worksheets/sheet14673.xml"/>
  <Override ContentType="application/vnd.openxmlformats-officedocument.spreadsheetml.worksheet+xml" PartName="/xl/worksheets/sheet14674.xml"/>
  <Override ContentType="application/vnd.openxmlformats-officedocument.spreadsheetml.worksheet+xml" PartName="/xl/worksheets/sheet14675.xml"/>
  <Override ContentType="application/vnd.openxmlformats-officedocument.spreadsheetml.worksheet+xml" PartName="/xl/worksheets/sheet14676.xml"/>
  <Override ContentType="application/vnd.openxmlformats-officedocument.spreadsheetml.worksheet+xml" PartName="/xl/worksheets/sheet14677.xml"/>
  <Override ContentType="application/vnd.openxmlformats-officedocument.spreadsheetml.worksheet+xml" PartName="/xl/worksheets/sheet14678.xml"/>
  <Override ContentType="application/vnd.openxmlformats-officedocument.spreadsheetml.worksheet+xml" PartName="/xl/worksheets/sheet14679.xml"/>
  <Override ContentType="application/vnd.openxmlformats-officedocument.spreadsheetml.worksheet+xml" PartName="/xl/worksheets/sheet14680.xml"/>
  <Override ContentType="application/vnd.openxmlformats-officedocument.spreadsheetml.worksheet+xml" PartName="/xl/worksheets/sheet14681.xml"/>
  <Override ContentType="application/vnd.openxmlformats-officedocument.spreadsheetml.worksheet+xml" PartName="/xl/worksheets/sheet14682.xml"/>
  <Override ContentType="application/vnd.openxmlformats-officedocument.spreadsheetml.worksheet+xml" PartName="/xl/worksheets/sheet14683.xml"/>
  <Override ContentType="application/vnd.openxmlformats-officedocument.spreadsheetml.worksheet+xml" PartName="/xl/worksheets/sheet14684.xml"/>
  <Override ContentType="application/vnd.openxmlformats-officedocument.spreadsheetml.worksheet+xml" PartName="/xl/worksheets/sheet14685.xml"/>
  <Override ContentType="application/vnd.openxmlformats-officedocument.spreadsheetml.worksheet+xml" PartName="/xl/worksheets/sheet14686.xml"/>
  <Override ContentType="application/vnd.openxmlformats-officedocument.spreadsheetml.worksheet+xml" PartName="/xl/worksheets/sheet14687.xml"/>
  <Override ContentType="application/vnd.openxmlformats-officedocument.spreadsheetml.worksheet+xml" PartName="/xl/worksheets/sheet14688.xml"/>
  <Override ContentType="application/vnd.openxmlformats-officedocument.spreadsheetml.worksheet+xml" PartName="/xl/worksheets/sheet14689.xml"/>
  <Override ContentType="application/vnd.openxmlformats-officedocument.spreadsheetml.worksheet+xml" PartName="/xl/worksheets/sheet14690.xml"/>
  <Override ContentType="application/vnd.openxmlformats-officedocument.spreadsheetml.worksheet+xml" PartName="/xl/worksheets/sheet14691.xml"/>
  <Override ContentType="application/vnd.openxmlformats-officedocument.spreadsheetml.worksheet+xml" PartName="/xl/worksheets/sheet14692.xml"/>
  <Override ContentType="application/vnd.openxmlformats-officedocument.spreadsheetml.worksheet+xml" PartName="/xl/worksheets/sheet14693.xml"/>
  <Override ContentType="application/vnd.openxmlformats-officedocument.spreadsheetml.worksheet+xml" PartName="/xl/worksheets/sheet14694.xml"/>
  <Override ContentType="application/vnd.openxmlformats-officedocument.spreadsheetml.worksheet+xml" PartName="/xl/worksheets/sheet14695.xml"/>
  <Override ContentType="application/vnd.openxmlformats-officedocument.spreadsheetml.worksheet+xml" PartName="/xl/worksheets/sheet14696.xml"/>
  <Override ContentType="application/vnd.openxmlformats-officedocument.spreadsheetml.worksheet+xml" PartName="/xl/worksheets/sheet14697.xml"/>
  <Override ContentType="application/vnd.openxmlformats-officedocument.spreadsheetml.worksheet+xml" PartName="/xl/worksheets/sheet14698.xml"/>
  <Override ContentType="application/vnd.openxmlformats-officedocument.spreadsheetml.worksheet+xml" PartName="/xl/worksheets/sheet14699.xml"/>
  <Override ContentType="application/vnd.openxmlformats-officedocument.spreadsheetml.worksheet+xml" PartName="/xl/worksheets/sheet14700.xml"/>
  <Override ContentType="application/vnd.openxmlformats-officedocument.spreadsheetml.worksheet+xml" PartName="/xl/worksheets/sheet14701.xml"/>
  <Override ContentType="application/vnd.openxmlformats-officedocument.spreadsheetml.worksheet+xml" PartName="/xl/worksheets/sheet14702.xml"/>
  <Override ContentType="application/vnd.openxmlformats-officedocument.spreadsheetml.worksheet+xml" PartName="/xl/worksheets/sheet14703.xml"/>
  <Override ContentType="application/vnd.openxmlformats-officedocument.spreadsheetml.worksheet+xml" PartName="/xl/worksheets/sheet14704.xml"/>
  <Override ContentType="application/vnd.openxmlformats-officedocument.spreadsheetml.worksheet+xml" PartName="/xl/worksheets/sheet14705.xml"/>
  <Override ContentType="application/vnd.openxmlformats-officedocument.spreadsheetml.worksheet+xml" PartName="/xl/worksheets/sheet14706.xml"/>
  <Override ContentType="application/vnd.openxmlformats-officedocument.spreadsheetml.worksheet+xml" PartName="/xl/worksheets/sheet14707.xml"/>
  <Override ContentType="application/vnd.openxmlformats-officedocument.spreadsheetml.worksheet+xml" PartName="/xl/worksheets/sheet14708.xml"/>
  <Override ContentType="application/vnd.openxmlformats-officedocument.spreadsheetml.worksheet+xml" PartName="/xl/worksheets/sheet14709.xml"/>
  <Override ContentType="application/vnd.openxmlformats-officedocument.spreadsheetml.worksheet+xml" PartName="/xl/worksheets/sheet14710.xml"/>
  <Override ContentType="application/vnd.openxmlformats-officedocument.spreadsheetml.worksheet+xml" PartName="/xl/worksheets/sheet14711.xml"/>
  <Override ContentType="application/vnd.openxmlformats-officedocument.spreadsheetml.worksheet+xml" PartName="/xl/worksheets/sheet14712.xml"/>
  <Override ContentType="application/vnd.openxmlformats-officedocument.spreadsheetml.worksheet+xml" PartName="/xl/worksheets/sheet14713.xml"/>
  <Override ContentType="application/vnd.openxmlformats-officedocument.spreadsheetml.worksheet+xml" PartName="/xl/worksheets/sheet14714.xml"/>
  <Override ContentType="application/vnd.openxmlformats-officedocument.spreadsheetml.worksheet+xml" PartName="/xl/worksheets/sheet14715.xml"/>
  <Override ContentType="application/vnd.openxmlformats-officedocument.spreadsheetml.worksheet+xml" PartName="/xl/worksheets/sheet14716.xml"/>
  <Override ContentType="application/vnd.openxmlformats-officedocument.spreadsheetml.worksheet+xml" PartName="/xl/worksheets/sheet14717.xml"/>
  <Override ContentType="application/vnd.openxmlformats-officedocument.spreadsheetml.worksheet+xml" PartName="/xl/worksheets/sheet14718.xml"/>
  <Override ContentType="application/vnd.openxmlformats-officedocument.spreadsheetml.worksheet+xml" PartName="/xl/worksheets/sheet14719.xml"/>
  <Override ContentType="application/vnd.openxmlformats-officedocument.spreadsheetml.worksheet+xml" PartName="/xl/worksheets/sheet14720.xml"/>
  <Override ContentType="application/vnd.openxmlformats-officedocument.spreadsheetml.worksheet+xml" PartName="/xl/worksheets/sheet14721.xml"/>
  <Override ContentType="application/vnd.openxmlformats-officedocument.spreadsheetml.worksheet+xml" PartName="/xl/worksheets/sheet14722.xml"/>
  <Override ContentType="application/vnd.openxmlformats-officedocument.spreadsheetml.worksheet+xml" PartName="/xl/worksheets/sheet14723.xml"/>
  <Override ContentType="application/vnd.openxmlformats-officedocument.spreadsheetml.worksheet+xml" PartName="/xl/worksheets/sheet14724.xml"/>
  <Override ContentType="application/vnd.openxmlformats-officedocument.spreadsheetml.worksheet+xml" PartName="/xl/worksheets/sheet14725.xml"/>
  <Override ContentType="application/vnd.openxmlformats-officedocument.spreadsheetml.worksheet+xml" PartName="/xl/worksheets/sheet14726.xml"/>
  <Override ContentType="application/vnd.openxmlformats-officedocument.spreadsheetml.worksheet+xml" PartName="/xl/worksheets/sheet14727.xml"/>
  <Override ContentType="application/vnd.openxmlformats-officedocument.spreadsheetml.worksheet+xml" PartName="/xl/worksheets/sheet14728.xml"/>
  <Override ContentType="application/vnd.openxmlformats-officedocument.spreadsheetml.worksheet+xml" PartName="/xl/worksheets/sheet14729.xml"/>
  <Override ContentType="application/vnd.openxmlformats-officedocument.spreadsheetml.worksheet+xml" PartName="/xl/worksheets/sheet14730.xml"/>
  <Override ContentType="application/vnd.openxmlformats-officedocument.spreadsheetml.worksheet+xml" PartName="/xl/worksheets/sheet14731.xml"/>
  <Override ContentType="application/vnd.openxmlformats-officedocument.spreadsheetml.worksheet+xml" PartName="/xl/worksheets/sheet14732.xml"/>
  <Override ContentType="application/vnd.openxmlformats-officedocument.spreadsheetml.worksheet+xml" PartName="/xl/worksheets/sheet14733.xml"/>
  <Override ContentType="application/vnd.openxmlformats-officedocument.spreadsheetml.worksheet+xml" PartName="/xl/worksheets/sheet14734.xml"/>
  <Override ContentType="application/vnd.openxmlformats-officedocument.spreadsheetml.worksheet+xml" PartName="/xl/worksheets/sheet14735.xml"/>
  <Override ContentType="application/vnd.openxmlformats-officedocument.spreadsheetml.worksheet+xml" PartName="/xl/worksheets/sheet14736.xml"/>
  <Override ContentType="application/vnd.openxmlformats-officedocument.spreadsheetml.worksheet+xml" PartName="/xl/worksheets/sheet14737.xml"/>
  <Override ContentType="application/vnd.openxmlformats-officedocument.spreadsheetml.worksheet+xml" PartName="/xl/worksheets/sheet14738.xml"/>
  <Override ContentType="application/vnd.openxmlformats-officedocument.spreadsheetml.worksheet+xml" PartName="/xl/worksheets/sheet14739.xml"/>
  <Override ContentType="application/vnd.openxmlformats-officedocument.spreadsheetml.worksheet+xml" PartName="/xl/worksheets/sheet14740.xml"/>
  <Override ContentType="application/vnd.openxmlformats-officedocument.spreadsheetml.worksheet+xml" PartName="/xl/worksheets/sheet14741.xml"/>
  <Override ContentType="application/vnd.openxmlformats-officedocument.spreadsheetml.worksheet+xml" PartName="/xl/worksheets/sheet14742.xml"/>
  <Override ContentType="application/vnd.openxmlformats-officedocument.spreadsheetml.worksheet+xml" PartName="/xl/worksheets/sheet14743.xml"/>
  <Override ContentType="application/vnd.openxmlformats-officedocument.spreadsheetml.worksheet+xml" PartName="/xl/worksheets/sheet14744.xml"/>
  <Override ContentType="application/vnd.openxmlformats-officedocument.spreadsheetml.worksheet+xml" PartName="/xl/worksheets/sheet14745.xml"/>
  <Override ContentType="application/vnd.openxmlformats-officedocument.spreadsheetml.worksheet+xml" PartName="/xl/worksheets/sheet14746.xml"/>
  <Override ContentType="application/vnd.openxmlformats-officedocument.spreadsheetml.worksheet+xml" PartName="/xl/worksheets/sheet14747.xml"/>
  <Override ContentType="application/vnd.openxmlformats-officedocument.spreadsheetml.worksheet+xml" PartName="/xl/worksheets/sheet14748.xml"/>
  <Override ContentType="application/vnd.openxmlformats-officedocument.spreadsheetml.worksheet+xml" PartName="/xl/worksheets/sheet14749.xml"/>
  <Override ContentType="application/vnd.openxmlformats-officedocument.spreadsheetml.worksheet+xml" PartName="/xl/worksheets/sheet14750.xml"/>
  <Override ContentType="application/vnd.openxmlformats-officedocument.spreadsheetml.worksheet+xml" PartName="/xl/worksheets/sheet14751.xml"/>
  <Override ContentType="application/vnd.openxmlformats-officedocument.spreadsheetml.worksheet+xml" PartName="/xl/worksheets/sheet14752.xml"/>
  <Override ContentType="application/vnd.openxmlformats-officedocument.spreadsheetml.worksheet+xml" PartName="/xl/worksheets/sheet14753.xml"/>
  <Override ContentType="application/vnd.openxmlformats-officedocument.spreadsheetml.worksheet+xml" PartName="/xl/worksheets/sheet14754.xml"/>
  <Override ContentType="application/vnd.openxmlformats-officedocument.spreadsheetml.worksheet+xml" PartName="/xl/worksheets/sheet14755.xml"/>
  <Override ContentType="application/vnd.openxmlformats-officedocument.spreadsheetml.worksheet+xml" PartName="/xl/worksheets/sheet14756.xml"/>
  <Override ContentType="application/vnd.openxmlformats-officedocument.spreadsheetml.worksheet+xml" PartName="/xl/worksheets/sheet14757.xml"/>
  <Override ContentType="application/vnd.openxmlformats-officedocument.spreadsheetml.worksheet+xml" PartName="/xl/worksheets/sheet14758.xml"/>
  <Override ContentType="application/vnd.openxmlformats-officedocument.spreadsheetml.worksheet+xml" PartName="/xl/worksheets/sheet14759.xml"/>
  <Override ContentType="application/vnd.openxmlformats-officedocument.spreadsheetml.worksheet+xml" PartName="/xl/worksheets/sheet14760.xml"/>
  <Override ContentType="application/vnd.openxmlformats-officedocument.spreadsheetml.worksheet+xml" PartName="/xl/worksheets/sheet14761.xml"/>
  <Override ContentType="application/vnd.openxmlformats-officedocument.spreadsheetml.worksheet+xml" PartName="/xl/worksheets/sheet14762.xml"/>
  <Override ContentType="application/vnd.openxmlformats-officedocument.spreadsheetml.worksheet+xml" PartName="/xl/worksheets/sheet14763.xml"/>
  <Override ContentType="application/vnd.openxmlformats-officedocument.spreadsheetml.worksheet+xml" PartName="/xl/worksheets/sheet14764.xml"/>
  <Override ContentType="application/vnd.openxmlformats-officedocument.spreadsheetml.worksheet+xml" PartName="/xl/worksheets/sheet14765.xml"/>
  <Override ContentType="application/vnd.openxmlformats-officedocument.spreadsheetml.worksheet+xml" PartName="/xl/worksheets/sheet14766.xml"/>
  <Override ContentType="application/vnd.openxmlformats-officedocument.spreadsheetml.worksheet+xml" PartName="/xl/worksheets/sheet14767.xml"/>
  <Override ContentType="application/vnd.openxmlformats-officedocument.spreadsheetml.worksheet+xml" PartName="/xl/worksheets/sheet14768.xml"/>
  <Override ContentType="application/vnd.openxmlformats-officedocument.spreadsheetml.worksheet+xml" PartName="/xl/worksheets/sheet14769.xml"/>
  <Override ContentType="application/vnd.openxmlformats-officedocument.spreadsheetml.worksheet+xml" PartName="/xl/worksheets/sheet14770.xml"/>
  <Override ContentType="application/vnd.openxmlformats-officedocument.spreadsheetml.worksheet+xml" PartName="/xl/worksheets/sheet14771.xml"/>
  <Override ContentType="application/vnd.openxmlformats-officedocument.spreadsheetml.worksheet+xml" PartName="/xl/worksheets/sheet14772.xml"/>
  <Override ContentType="application/vnd.openxmlformats-officedocument.spreadsheetml.worksheet+xml" PartName="/xl/worksheets/sheet14773.xml"/>
  <Override ContentType="application/vnd.openxmlformats-officedocument.spreadsheetml.worksheet+xml" PartName="/xl/worksheets/sheet14774.xml"/>
  <Override ContentType="application/vnd.openxmlformats-officedocument.spreadsheetml.worksheet+xml" PartName="/xl/worksheets/sheet14775.xml"/>
  <Override ContentType="application/vnd.openxmlformats-officedocument.spreadsheetml.worksheet+xml" PartName="/xl/worksheets/sheet14776.xml"/>
  <Override ContentType="application/vnd.openxmlformats-officedocument.spreadsheetml.worksheet+xml" PartName="/xl/worksheets/sheet14777.xml"/>
  <Override ContentType="application/vnd.openxmlformats-officedocument.spreadsheetml.worksheet+xml" PartName="/xl/worksheets/sheet14778.xml"/>
  <Override ContentType="application/vnd.openxmlformats-officedocument.spreadsheetml.worksheet+xml" PartName="/xl/worksheets/sheet14779.xml"/>
  <Override ContentType="application/vnd.openxmlformats-officedocument.spreadsheetml.worksheet+xml" PartName="/xl/worksheets/sheet14780.xml"/>
  <Override ContentType="application/vnd.openxmlformats-officedocument.spreadsheetml.worksheet+xml" PartName="/xl/worksheets/sheet14781.xml"/>
  <Override ContentType="application/vnd.openxmlformats-officedocument.spreadsheetml.worksheet+xml" PartName="/xl/worksheets/sheet14782.xml"/>
  <Override ContentType="application/vnd.openxmlformats-officedocument.spreadsheetml.worksheet+xml" PartName="/xl/worksheets/sheet14783.xml"/>
  <Override ContentType="application/vnd.openxmlformats-officedocument.spreadsheetml.worksheet+xml" PartName="/xl/worksheets/sheet14784.xml"/>
  <Override ContentType="application/vnd.openxmlformats-officedocument.spreadsheetml.worksheet+xml" PartName="/xl/worksheets/sheet14785.xml"/>
  <Override ContentType="application/vnd.openxmlformats-officedocument.spreadsheetml.worksheet+xml" PartName="/xl/worksheets/sheet14786.xml"/>
  <Override ContentType="application/vnd.openxmlformats-officedocument.spreadsheetml.worksheet+xml" PartName="/xl/worksheets/sheet14787.xml"/>
  <Override ContentType="application/vnd.openxmlformats-officedocument.spreadsheetml.worksheet+xml" PartName="/xl/worksheets/sheet14788.xml"/>
  <Override ContentType="application/vnd.openxmlformats-officedocument.spreadsheetml.worksheet+xml" PartName="/xl/worksheets/sheet14789.xml"/>
  <Override ContentType="application/vnd.openxmlformats-officedocument.spreadsheetml.worksheet+xml" PartName="/xl/worksheets/sheet14790.xml"/>
  <Override ContentType="application/vnd.openxmlformats-officedocument.spreadsheetml.worksheet+xml" PartName="/xl/worksheets/sheet14791.xml"/>
  <Override ContentType="application/vnd.openxmlformats-officedocument.spreadsheetml.worksheet+xml" PartName="/xl/worksheets/sheet14792.xml"/>
  <Override ContentType="application/vnd.openxmlformats-officedocument.spreadsheetml.worksheet+xml" PartName="/xl/worksheets/sheet14793.xml"/>
  <Override ContentType="application/vnd.openxmlformats-officedocument.spreadsheetml.worksheet+xml" PartName="/xl/worksheets/sheet14794.xml"/>
  <Override ContentType="application/vnd.openxmlformats-officedocument.spreadsheetml.worksheet+xml" PartName="/xl/worksheets/sheet14795.xml"/>
  <Override ContentType="application/vnd.openxmlformats-officedocument.spreadsheetml.worksheet+xml" PartName="/xl/worksheets/sheet14796.xml"/>
  <Override ContentType="application/vnd.openxmlformats-officedocument.spreadsheetml.worksheet+xml" PartName="/xl/worksheets/sheet14797.xml"/>
  <Override ContentType="application/vnd.openxmlformats-officedocument.spreadsheetml.worksheet+xml" PartName="/xl/worksheets/sheet14798.xml"/>
  <Override ContentType="application/vnd.openxmlformats-officedocument.spreadsheetml.worksheet+xml" PartName="/xl/worksheets/sheet14799.xml"/>
  <Override ContentType="application/vnd.openxmlformats-officedocument.spreadsheetml.worksheet+xml" PartName="/xl/worksheets/sheet14800.xml"/>
  <Override ContentType="application/vnd.openxmlformats-officedocument.spreadsheetml.worksheet+xml" PartName="/xl/worksheets/sheet14801.xml"/>
  <Override ContentType="application/vnd.openxmlformats-officedocument.spreadsheetml.worksheet+xml" PartName="/xl/worksheets/sheet14802.xml"/>
  <Override ContentType="application/vnd.openxmlformats-officedocument.spreadsheetml.worksheet+xml" PartName="/xl/worksheets/sheet14803.xml"/>
  <Override ContentType="application/vnd.openxmlformats-officedocument.spreadsheetml.worksheet+xml" PartName="/xl/worksheets/sheet14804.xml"/>
  <Override ContentType="application/vnd.openxmlformats-officedocument.spreadsheetml.worksheet+xml" PartName="/xl/worksheets/sheet14805.xml"/>
  <Override ContentType="application/vnd.openxmlformats-officedocument.spreadsheetml.worksheet+xml" PartName="/xl/worksheets/sheet14806.xml"/>
  <Override ContentType="application/vnd.openxmlformats-officedocument.spreadsheetml.worksheet+xml" PartName="/xl/worksheets/sheet14807.xml"/>
  <Override ContentType="application/vnd.openxmlformats-officedocument.spreadsheetml.worksheet+xml" PartName="/xl/worksheets/sheet14808.xml"/>
  <Override ContentType="application/vnd.openxmlformats-officedocument.spreadsheetml.worksheet+xml" PartName="/xl/worksheets/sheet14809.xml"/>
  <Override ContentType="application/vnd.openxmlformats-officedocument.spreadsheetml.worksheet+xml" PartName="/xl/worksheets/sheet14810.xml"/>
  <Override ContentType="application/vnd.openxmlformats-officedocument.spreadsheetml.worksheet+xml" PartName="/xl/worksheets/sheet14811.xml"/>
  <Override ContentType="application/vnd.openxmlformats-officedocument.spreadsheetml.worksheet+xml" PartName="/xl/worksheets/sheet14812.xml"/>
  <Override ContentType="application/vnd.openxmlformats-officedocument.spreadsheetml.worksheet+xml" PartName="/xl/worksheets/sheet14813.xml"/>
  <Override ContentType="application/vnd.openxmlformats-officedocument.spreadsheetml.worksheet+xml" PartName="/xl/worksheets/sheet14814.xml"/>
  <Override ContentType="application/vnd.openxmlformats-officedocument.spreadsheetml.worksheet+xml" PartName="/xl/worksheets/sheet14815.xml"/>
  <Override ContentType="application/vnd.openxmlformats-officedocument.spreadsheetml.worksheet+xml" PartName="/xl/worksheets/sheet14816.xml"/>
  <Override ContentType="application/vnd.openxmlformats-officedocument.spreadsheetml.worksheet+xml" PartName="/xl/worksheets/sheet14817.xml"/>
  <Override ContentType="application/vnd.openxmlformats-officedocument.spreadsheetml.worksheet+xml" PartName="/xl/worksheets/sheet14818.xml"/>
  <Override ContentType="application/vnd.openxmlformats-officedocument.spreadsheetml.worksheet+xml" PartName="/xl/worksheets/sheet14819.xml"/>
  <Override ContentType="application/vnd.openxmlformats-officedocument.spreadsheetml.worksheet+xml" PartName="/xl/worksheets/sheet14820.xml"/>
  <Override ContentType="application/vnd.openxmlformats-officedocument.spreadsheetml.worksheet+xml" PartName="/xl/worksheets/sheet14821.xml"/>
  <Override ContentType="application/vnd.openxmlformats-officedocument.spreadsheetml.worksheet+xml" PartName="/xl/worksheets/sheet14822.xml"/>
  <Override ContentType="application/vnd.openxmlformats-officedocument.spreadsheetml.worksheet+xml" PartName="/xl/worksheets/sheet14823.xml"/>
  <Override ContentType="application/vnd.openxmlformats-officedocument.spreadsheetml.worksheet+xml" PartName="/xl/worksheets/sheet14824.xml"/>
  <Override ContentType="application/vnd.openxmlformats-officedocument.spreadsheetml.worksheet+xml" PartName="/xl/worksheets/sheet14825.xml"/>
  <Override ContentType="application/vnd.openxmlformats-officedocument.spreadsheetml.worksheet+xml" PartName="/xl/worksheets/sheet14826.xml"/>
  <Override ContentType="application/vnd.openxmlformats-officedocument.spreadsheetml.worksheet+xml" PartName="/xl/worksheets/sheet14827.xml"/>
  <Override ContentType="application/vnd.openxmlformats-officedocument.spreadsheetml.worksheet+xml" PartName="/xl/worksheets/sheet14828.xml"/>
  <Override ContentType="application/vnd.openxmlformats-officedocument.spreadsheetml.worksheet+xml" PartName="/xl/worksheets/sheet14829.xml"/>
  <Override ContentType="application/vnd.openxmlformats-officedocument.spreadsheetml.worksheet+xml" PartName="/xl/worksheets/sheet14830.xml"/>
  <Override ContentType="application/vnd.openxmlformats-officedocument.spreadsheetml.worksheet+xml" PartName="/xl/worksheets/sheet14831.xml"/>
  <Override ContentType="application/vnd.openxmlformats-officedocument.spreadsheetml.worksheet+xml" PartName="/xl/worksheets/sheet14832.xml"/>
  <Override ContentType="application/vnd.openxmlformats-officedocument.spreadsheetml.worksheet+xml" PartName="/xl/worksheets/sheet14833.xml"/>
  <Override ContentType="application/vnd.openxmlformats-officedocument.spreadsheetml.worksheet+xml" PartName="/xl/worksheets/sheet14834.xml"/>
  <Override ContentType="application/vnd.openxmlformats-officedocument.spreadsheetml.worksheet+xml" PartName="/xl/worksheets/sheet14835.xml"/>
  <Override ContentType="application/vnd.openxmlformats-officedocument.spreadsheetml.worksheet+xml" PartName="/xl/worksheets/sheet14836.xml"/>
  <Override ContentType="application/vnd.openxmlformats-officedocument.spreadsheetml.worksheet+xml" PartName="/xl/worksheets/sheet14837.xml"/>
  <Override ContentType="application/vnd.openxmlformats-officedocument.spreadsheetml.worksheet+xml" PartName="/xl/worksheets/sheet14838.xml"/>
  <Override ContentType="application/vnd.openxmlformats-officedocument.spreadsheetml.worksheet+xml" PartName="/xl/worksheets/sheet14839.xml"/>
  <Override ContentType="application/vnd.openxmlformats-officedocument.spreadsheetml.worksheet+xml" PartName="/xl/worksheets/sheet14840.xml"/>
  <Override ContentType="application/vnd.openxmlformats-officedocument.spreadsheetml.worksheet+xml" PartName="/xl/worksheets/sheet14841.xml"/>
  <Override ContentType="application/vnd.openxmlformats-officedocument.spreadsheetml.worksheet+xml" PartName="/xl/worksheets/sheet14842.xml"/>
  <Override ContentType="application/vnd.openxmlformats-officedocument.spreadsheetml.worksheet+xml" PartName="/xl/worksheets/sheet14843.xml"/>
  <Override ContentType="application/vnd.openxmlformats-officedocument.spreadsheetml.worksheet+xml" PartName="/xl/worksheets/sheet14844.xml"/>
  <Override ContentType="application/vnd.openxmlformats-officedocument.spreadsheetml.worksheet+xml" PartName="/xl/worksheets/sheet14845.xml"/>
  <Override ContentType="application/vnd.openxmlformats-officedocument.spreadsheetml.worksheet+xml" PartName="/xl/worksheets/sheet14846.xml"/>
  <Override ContentType="application/vnd.openxmlformats-officedocument.spreadsheetml.worksheet+xml" PartName="/xl/worksheets/sheet14847.xml"/>
  <Override ContentType="application/vnd.openxmlformats-officedocument.spreadsheetml.worksheet+xml" PartName="/xl/worksheets/sheet14848.xml"/>
  <Override ContentType="application/vnd.openxmlformats-officedocument.spreadsheetml.worksheet+xml" PartName="/xl/worksheets/sheet14849.xml"/>
  <Override ContentType="application/vnd.openxmlformats-officedocument.spreadsheetml.worksheet+xml" PartName="/xl/worksheets/sheet14850.xml"/>
  <Override ContentType="application/vnd.openxmlformats-officedocument.spreadsheetml.worksheet+xml" PartName="/xl/worksheets/sheet14851.xml"/>
  <Override ContentType="application/vnd.openxmlformats-officedocument.spreadsheetml.worksheet+xml" PartName="/xl/worksheets/sheet14852.xml"/>
  <Override ContentType="application/vnd.openxmlformats-officedocument.spreadsheetml.worksheet+xml" PartName="/xl/worksheets/sheet14853.xml"/>
  <Override ContentType="application/vnd.openxmlformats-officedocument.spreadsheetml.worksheet+xml" PartName="/xl/worksheets/sheet14854.xml"/>
  <Override ContentType="application/vnd.openxmlformats-officedocument.spreadsheetml.worksheet+xml" PartName="/xl/worksheets/sheet14855.xml"/>
  <Override ContentType="application/vnd.openxmlformats-officedocument.spreadsheetml.worksheet+xml" PartName="/xl/worksheets/sheet14856.xml"/>
  <Override ContentType="application/vnd.openxmlformats-officedocument.spreadsheetml.worksheet+xml" PartName="/xl/worksheets/sheet14857.xml"/>
  <Override ContentType="application/vnd.openxmlformats-officedocument.spreadsheetml.worksheet+xml" PartName="/xl/worksheets/sheet14858.xml"/>
  <Override ContentType="application/vnd.openxmlformats-officedocument.spreadsheetml.worksheet+xml" PartName="/xl/worksheets/sheet14859.xml"/>
  <Override ContentType="application/vnd.openxmlformats-officedocument.spreadsheetml.worksheet+xml" PartName="/xl/worksheets/sheet14860.xml"/>
  <Override ContentType="application/vnd.openxmlformats-officedocument.spreadsheetml.worksheet+xml" PartName="/xl/worksheets/sheet14861.xml"/>
  <Override ContentType="application/vnd.openxmlformats-officedocument.spreadsheetml.worksheet+xml" PartName="/xl/worksheets/sheet14862.xml"/>
  <Override ContentType="application/vnd.openxmlformats-officedocument.spreadsheetml.worksheet+xml" PartName="/xl/worksheets/sheet14863.xml"/>
  <Override ContentType="application/vnd.openxmlformats-officedocument.spreadsheetml.worksheet+xml" PartName="/xl/worksheets/sheet14864.xml"/>
  <Override ContentType="application/vnd.openxmlformats-officedocument.spreadsheetml.worksheet+xml" PartName="/xl/worksheets/sheet14865.xml"/>
  <Override ContentType="application/vnd.openxmlformats-officedocument.spreadsheetml.worksheet+xml" PartName="/xl/worksheets/sheet14866.xml"/>
  <Override ContentType="application/vnd.openxmlformats-officedocument.spreadsheetml.worksheet+xml" PartName="/xl/worksheets/sheet14867.xml"/>
  <Override ContentType="application/vnd.openxmlformats-officedocument.spreadsheetml.worksheet+xml" PartName="/xl/worksheets/sheet14868.xml"/>
  <Override ContentType="application/vnd.openxmlformats-officedocument.spreadsheetml.worksheet+xml" PartName="/xl/worksheets/sheet14869.xml"/>
  <Override ContentType="application/vnd.openxmlformats-officedocument.spreadsheetml.worksheet+xml" PartName="/xl/worksheets/sheet14870.xml"/>
  <Override ContentType="application/vnd.openxmlformats-officedocument.spreadsheetml.worksheet+xml" PartName="/xl/worksheets/sheet14871.xml"/>
  <Override ContentType="application/vnd.openxmlformats-officedocument.spreadsheetml.worksheet+xml" PartName="/xl/worksheets/sheet14872.xml"/>
  <Override ContentType="application/vnd.openxmlformats-officedocument.spreadsheetml.worksheet+xml" PartName="/xl/worksheets/sheet14873.xml"/>
  <Override ContentType="application/vnd.openxmlformats-officedocument.spreadsheetml.worksheet+xml" PartName="/xl/worksheets/sheet14874.xml"/>
  <Override ContentType="application/vnd.openxmlformats-officedocument.spreadsheetml.worksheet+xml" PartName="/xl/worksheets/sheet14875.xml"/>
  <Override ContentType="application/vnd.openxmlformats-officedocument.spreadsheetml.worksheet+xml" PartName="/xl/worksheets/sheet14876.xml"/>
  <Override ContentType="application/vnd.openxmlformats-officedocument.spreadsheetml.worksheet+xml" PartName="/xl/worksheets/sheet14877.xml"/>
  <Override ContentType="application/vnd.openxmlformats-officedocument.spreadsheetml.worksheet+xml" PartName="/xl/worksheets/sheet14878.xml"/>
  <Override ContentType="application/vnd.openxmlformats-officedocument.spreadsheetml.worksheet+xml" PartName="/xl/worksheets/sheet14879.xml"/>
  <Override ContentType="application/vnd.openxmlformats-officedocument.spreadsheetml.worksheet+xml" PartName="/xl/worksheets/sheet14880.xml"/>
  <Override ContentType="application/vnd.openxmlformats-officedocument.spreadsheetml.worksheet+xml" PartName="/xl/worksheets/sheet14881.xml"/>
  <Override ContentType="application/vnd.openxmlformats-officedocument.spreadsheetml.worksheet+xml" PartName="/xl/worksheets/sheet14882.xml"/>
  <Override ContentType="application/vnd.openxmlformats-officedocument.spreadsheetml.worksheet+xml" PartName="/xl/worksheets/sheet14883.xml"/>
  <Override ContentType="application/vnd.openxmlformats-officedocument.spreadsheetml.worksheet+xml" PartName="/xl/worksheets/sheet14884.xml"/>
  <Override ContentType="application/vnd.openxmlformats-officedocument.spreadsheetml.worksheet+xml" PartName="/xl/worksheets/sheet14885.xml"/>
  <Override ContentType="application/vnd.openxmlformats-officedocument.spreadsheetml.worksheet+xml" PartName="/xl/worksheets/sheet14886.xml"/>
  <Override ContentType="application/vnd.openxmlformats-officedocument.spreadsheetml.worksheet+xml" PartName="/xl/worksheets/sheet14887.xml"/>
  <Override ContentType="application/vnd.openxmlformats-officedocument.spreadsheetml.worksheet+xml" PartName="/xl/worksheets/sheet14888.xml"/>
  <Override ContentType="application/vnd.openxmlformats-officedocument.spreadsheetml.worksheet+xml" PartName="/xl/worksheets/sheet14889.xml"/>
  <Override ContentType="application/vnd.openxmlformats-officedocument.spreadsheetml.worksheet+xml" PartName="/xl/worksheets/sheet14890.xml"/>
  <Override ContentType="application/vnd.openxmlformats-officedocument.spreadsheetml.worksheet+xml" PartName="/xl/worksheets/sheet14891.xml"/>
  <Override ContentType="application/vnd.openxmlformats-officedocument.spreadsheetml.worksheet+xml" PartName="/xl/worksheets/sheet14892.xml"/>
  <Override ContentType="application/vnd.openxmlformats-officedocument.spreadsheetml.worksheet+xml" PartName="/xl/worksheets/sheet14893.xml"/>
  <Override ContentType="application/vnd.openxmlformats-officedocument.spreadsheetml.worksheet+xml" PartName="/xl/worksheets/sheet14894.xml"/>
  <Override ContentType="application/vnd.openxmlformats-officedocument.spreadsheetml.worksheet+xml" PartName="/xl/worksheets/sheet14895.xml"/>
  <Override ContentType="application/vnd.openxmlformats-officedocument.spreadsheetml.worksheet+xml" PartName="/xl/worksheets/sheet14896.xml"/>
  <Override ContentType="application/vnd.openxmlformats-officedocument.spreadsheetml.worksheet+xml" PartName="/xl/worksheets/sheet14897.xml"/>
  <Override ContentType="application/vnd.openxmlformats-officedocument.spreadsheetml.worksheet+xml" PartName="/xl/worksheets/sheet14898.xml"/>
  <Override ContentType="application/vnd.openxmlformats-officedocument.spreadsheetml.worksheet+xml" PartName="/xl/worksheets/sheet14899.xml"/>
  <Override ContentType="application/vnd.openxmlformats-officedocument.spreadsheetml.worksheet+xml" PartName="/xl/worksheets/sheet14900.xml"/>
  <Override ContentType="application/vnd.openxmlformats-officedocument.spreadsheetml.worksheet+xml" PartName="/xl/worksheets/sheet14901.xml"/>
  <Override ContentType="application/vnd.openxmlformats-officedocument.spreadsheetml.worksheet+xml" PartName="/xl/worksheets/sheet14902.xml"/>
  <Override ContentType="application/vnd.openxmlformats-officedocument.spreadsheetml.worksheet+xml" PartName="/xl/worksheets/sheet14903.xml"/>
  <Override ContentType="application/vnd.openxmlformats-officedocument.spreadsheetml.worksheet+xml" PartName="/xl/worksheets/sheet14904.xml"/>
  <Override ContentType="application/vnd.openxmlformats-officedocument.spreadsheetml.worksheet+xml" PartName="/xl/worksheets/sheet14905.xml"/>
  <Override ContentType="application/vnd.openxmlformats-officedocument.spreadsheetml.worksheet+xml" PartName="/xl/worksheets/sheet14906.xml"/>
  <Override ContentType="application/vnd.openxmlformats-officedocument.spreadsheetml.worksheet+xml" PartName="/xl/worksheets/sheet14907.xml"/>
  <Override ContentType="application/vnd.openxmlformats-officedocument.spreadsheetml.worksheet+xml" PartName="/xl/worksheets/sheet14908.xml"/>
  <Override ContentType="application/vnd.openxmlformats-officedocument.spreadsheetml.worksheet+xml" PartName="/xl/worksheets/sheet14909.xml"/>
  <Override ContentType="application/vnd.openxmlformats-officedocument.spreadsheetml.worksheet+xml" PartName="/xl/worksheets/sheet14910.xml"/>
  <Override ContentType="application/vnd.openxmlformats-officedocument.spreadsheetml.worksheet+xml" PartName="/xl/worksheets/sheet14911.xml"/>
  <Override ContentType="application/vnd.openxmlformats-officedocument.spreadsheetml.worksheet+xml" PartName="/xl/worksheets/sheet14912.xml"/>
  <Override ContentType="application/vnd.openxmlformats-officedocument.spreadsheetml.worksheet+xml" PartName="/xl/worksheets/sheet14913.xml"/>
  <Override ContentType="application/vnd.openxmlformats-officedocument.spreadsheetml.worksheet+xml" PartName="/xl/worksheets/sheet14914.xml"/>
  <Override ContentType="application/vnd.openxmlformats-officedocument.spreadsheetml.worksheet+xml" PartName="/xl/worksheets/sheet14915.xml"/>
  <Override ContentType="application/vnd.openxmlformats-officedocument.spreadsheetml.worksheet+xml" PartName="/xl/worksheets/sheet14916.xml"/>
  <Override ContentType="application/vnd.openxmlformats-officedocument.spreadsheetml.worksheet+xml" PartName="/xl/worksheets/sheet14917.xml"/>
  <Override ContentType="application/vnd.openxmlformats-officedocument.spreadsheetml.worksheet+xml" PartName="/xl/worksheets/sheet14918.xml"/>
  <Override ContentType="application/vnd.openxmlformats-officedocument.spreadsheetml.worksheet+xml" PartName="/xl/worksheets/sheet14919.xml"/>
  <Override ContentType="application/vnd.openxmlformats-officedocument.spreadsheetml.worksheet+xml" PartName="/xl/worksheets/sheet14920.xml"/>
  <Override ContentType="application/vnd.openxmlformats-officedocument.spreadsheetml.worksheet+xml" PartName="/xl/worksheets/sheet14921.xml"/>
  <Override ContentType="application/vnd.openxmlformats-officedocument.spreadsheetml.worksheet+xml" PartName="/xl/worksheets/sheet14922.xml"/>
  <Override ContentType="application/vnd.openxmlformats-officedocument.spreadsheetml.worksheet+xml" PartName="/xl/worksheets/sheet14923.xml"/>
  <Override ContentType="application/vnd.openxmlformats-officedocument.spreadsheetml.worksheet+xml" PartName="/xl/worksheets/sheet14924.xml"/>
  <Override ContentType="application/vnd.openxmlformats-officedocument.spreadsheetml.worksheet+xml" PartName="/xl/worksheets/sheet14925.xml"/>
  <Override ContentType="application/vnd.openxmlformats-officedocument.spreadsheetml.worksheet+xml" PartName="/xl/worksheets/sheet14926.xml"/>
  <Override ContentType="application/vnd.openxmlformats-officedocument.spreadsheetml.worksheet+xml" PartName="/xl/worksheets/sheet14927.xml"/>
  <Override ContentType="application/vnd.openxmlformats-officedocument.spreadsheetml.worksheet+xml" PartName="/xl/worksheets/sheet14928.xml"/>
  <Override ContentType="application/vnd.openxmlformats-officedocument.spreadsheetml.worksheet+xml" PartName="/xl/worksheets/sheet14929.xml"/>
  <Override ContentType="application/vnd.openxmlformats-officedocument.spreadsheetml.worksheet+xml" PartName="/xl/worksheets/sheet14930.xml"/>
  <Override ContentType="application/vnd.openxmlformats-officedocument.spreadsheetml.worksheet+xml" PartName="/xl/worksheets/sheet14931.xml"/>
  <Override ContentType="application/vnd.openxmlformats-officedocument.spreadsheetml.worksheet+xml" PartName="/xl/worksheets/sheet14932.xml"/>
  <Override ContentType="application/vnd.openxmlformats-officedocument.spreadsheetml.worksheet+xml" PartName="/xl/worksheets/sheet14933.xml"/>
  <Override ContentType="application/vnd.openxmlformats-officedocument.spreadsheetml.worksheet+xml" PartName="/xl/worksheets/sheet14934.xml"/>
  <Override ContentType="application/vnd.openxmlformats-officedocument.spreadsheetml.worksheet+xml" PartName="/xl/worksheets/sheet14935.xml"/>
  <Override ContentType="application/vnd.openxmlformats-officedocument.spreadsheetml.worksheet+xml" PartName="/xl/worksheets/sheet14936.xml"/>
  <Override ContentType="application/vnd.openxmlformats-officedocument.spreadsheetml.worksheet+xml" PartName="/xl/worksheets/sheet14937.xml"/>
  <Override ContentType="application/vnd.openxmlformats-officedocument.spreadsheetml.worksheet+xml" PartName="/xl/worksheets/sheet14938.xml"/>
  <Override ContentType="application/vnd.openxmlformats-officedocument.spreadsheetml.worksheet+xml" PartName="/xl/worksheets/sheet14939.xml"/>
  <Override ContentType="application/vnd.openxmlformats-officedocument.spreadsheetml.worksheet+xml" PartName="/xl/worksheets/sheet14940.xml"/>
  <Override ContentType="application/vnd.openxmlformats-officedocument.spreadsheetml.worksheet+xml" PartName="/xl/worksheets/sheet14941.xml"/>
  <Override ContentType="application/vnd.openxmlformats-officedocument.spreadsheetml.worksheet+xml" PartName="/xl/worksheets/sheet14942.xml"/>
  <Override ContentType="application/vnd.openxmlformats-officedocument.spreadsheetml.worksheet+xml" PartName="/xl/worksheets/sheet14943.xml"/>
  <Override ContentType="application/vnd.openxmlformats-officedocument.spreadsheetml.worksheet+xml" PartName="/xl/worksheets/sheet14944.xml"/>
  <Override ContentType="application/vnd.openxmlformats-officedocument.spreadsheetml.worksheet+xml" PartName="/xl/worksheets/sheet14945.xml"/>
  <Override ContentType="application/vnd.openxmlformats-officedocument.spreadsheetml.worksheet+xml" PartName="/xl/worksheets/sheet14946.xml"/>
  <Override ContentType="application/vnd.openxmlformats-officedocument.spreadsheetml.worksheet+xml" PartName="/xl/worksheets/sheet14947.xml"/>
  <Override ContentType="application/vnd.openxmlformats-officedocument.spreadsheetml.worksheet+xml" PartName="/xl/worksheets/sheet14948.xml"/>
  <Override ContentType="application/vnd.openxmlformats-officedocument.spreadsheetml.worksheet+xml" PartName="/xl/worksheets/sheet14949.xml"/>
  <Override ContentType="application/vnd.openxmlformats-officedocument.spreadsheetml.worksheet+xml" PartName="/xl/worksheets/sheet14950.xml"/>
  <Override ContentType="application/vnd.openxmlformats-officedocument.spreadsheetml.worksheet+xml" PartName="/xl/worksheets/sheet14951.xml"/>
  <Override ContentType="application/vnd.openxmlformats-officedocument.spreadsheetml.worksheet+xml" PartName="/xl/worksheets/sheet14952.xml"/>
  <Override ContentType="application/vnd.openxmlformats-officedocument.spreadsheetml.worksheet+xml" PartName="/xl/worksheets/sheet14953.xml"/>
  <Override ContentType="application/vnd.openxmlformats-officedocument.spreadsheetml.worksheet+xml" PartName="/xl/worksheets/sheet14954.xml"/>
  <Override ContentType="application/vnd.openxmlformats-officedocument.spreadsheetml.worksheet+xml" PartName="/xl/worksheets/sheet14955.xml"/>
  <Override ContentType="application/vnd.openxmlformats-officedocument.spreadsheetml.worksheet+xml" PartName="/xl/worksheets/sheet14956.xml"/>
  <Override ContentType="application/vnd.openxmlformats-officedocument.spreadsheetml.worksheet+xml" PartName="/xl/worksheets/sheet14957.xml"/>
  <Override ContentType="application/vnd.openxmlformats-officedocument.spreadsheetml.worksheet+xml" PartName="/xl/worksheets/sheet14958.xml"/>
  <Override ContentType="application/vnd.openxmlformats-officedocument.spreadsheetml.worksheet+xml" PartName="/xl/worksheets/sheet14959.xml"/>
  <Override ContentType="application/vnd.openxmlformats-officedocument.spreadsheetml.worksheet+xml" PartName="/xl/worksheets/sheet14960.xml"/>
  <Override ContentType="application/vnd.openxmlformats-officedocument.spreadsheetml.worksheet+xml" PartName="/xl/worksheets/sheet14961.xml"/>
  <Override ContentType="application/vnd.openxmlformats-officedocument.spreadsheetml.worksheet+xml" PartName="/xl/worksheets/sheet14962.xml"/>
  <Override ContentType="application/vnd.openxmlformats-officedocument.spreadsheetml.worksheet+xml" PartName="/xl/worksheets/sheet14963.xml"/>
  <Override ContentType="application/vnd.openxmlformats-officedocument.spreadsheetml.worksheet+xml" PartName="/xl/worksheets/sheet14964.xml"/>
  <Override ContentType="application/vnd.openxmlformats-officedocument.spreadsheetml.worksheet+xml" PartName="/xl/worksheets/sheet14965.xml"/>
  <Override ContentType="application/vnd.openxmlformats-officedocument.spreadsheetml.worksheet+xml" PartName="/xl/worksheets/sheet14966.xml"/>
  <Override ContentType="application/vnd.openxmlformats-officedocument.spreadsheetml.worksheet+xml" PartName="/xl/worksheets/sheet14967.xml"/>
  <Override ContentType="application/vnd.openxmlformats-officedocument.spreadsheetml.worksheet+xml" PartName="/xl/worksheets/sheet14968.xml"/>
  <Override ContentType="application/vnd.openxmlformats-officedocument.spreadsheetml.worksheet+xml" PartName="/xl/worksheets/sheet14969.xml"/>
  <Override ContentType="application/vnd.openxmlformats-officedocument.spreadsheetml.worksheet+xml" PartName="/xl/worksheets/sheet14970.xml"/>
  <Override ContentType="application/vnd.openxmlformats-officedocument.spreadsheetml.worksheet+xml" PartName="/xl/worksheets/sheet14971.xml"/>
  <Override ContentType="application/vnd.openxmlformats-officedocument.spreadsheetml.worksheet+xml" PartName="/xl/worksheets/sheet14972.xml"/>
  <Override ContentType="application/vnd.openxmlformats-officedocument.spreadsheetml.worksheet+xml" PartName="/xl/worksheets/sheet14973.xml"/>
  <Override ContentType="application/vnd.openxmlformats-officedocument.spreadsheetml.worksheet+xml" PartName="/xl/worksheets/sheet14974.xml"/>
  <Override ContentType="application/vnd.openxmlformats-officedocument.spreadsheetml.worksheet+xml" PartName="/xl/worksheets/sheet14975.xml"/>
  <Override ContentType="application/vnd.openxmlformats-officedocument.spreadsheetml.worksheet+xml" PartName="/xl/worksheets/sheet14976.xml"/>
  <Override ContentType="application/vnd.openxmlformats-officedocument.spreadsheetml.worksheet+xml" PartName="/xl/worksheets/sheet14977.xml"/>
  <Override ContentType="application/vnd.openxmlformats-officedocument.spreadsheetml.worksheet+xml" PartName="/xl/worksheets/sheet14978.xml"/>
  <Override ContentType="application/vnd.openxmlformats-officedocument.spreadsheetml.worksheet+xml" PartName="/xl/worksheets/sheet14979.xml"/>
  <Override ContentType="application/vnd.openxmlformats-officedocument.spreadsheetml.worksheet+xml" PartName="/xl/worksheets/sheet14980.xml"/>
  <Override ContentType="application/vnd.openxmlformats-officedocument.spreadsheetml.worksheet+xml" PartName="/xl/worksheets/sheet14981.xml"/>
  <Override ContentType="application/vnd.openxmlformats-officedocument.spreadsheetml.worksheet+xml" PartName="/xl/worksheets/sheet14982.xml"/>
  <Override ContentType="application/vnd.openxmlformats-officedocument.spreadsheetml.worksheet+xml" PartName="/xl/worksheets/sheet14983.xml"/>
  <Override ContentType="application/vnd.openxmlformats-officedocument.spreadsheetml.worksheet+xml" PartName="/xl/worksheets/sheet14984.xml"/>
  <Override ContentType="application/vnd.openxmlformats-officedocument.spreadsheetml.worksheet+xml" PartName="/xl/worksheets/sheet14985.xml"/>
  <Override ContentType="application/vnd.openxmlformats-officedocument.spreadsheetml.worksheet+xml" PartName="/xl/worksheets/sheet14986.xml"/>
  <Override ContentType="application/vnd.openxmlformats-officedocument.spreadsheetml.worksheet+xml" PartName="/xl/worksheets/sheet14987.xml"/>
  <Override ContentType="application/vnd.openxmlformats-officedocument.spreadsheetml.worksheet+xml" PartName="/xl/worksheets/sheet14988.xml"/>
  <Override ContentType="application/vnd.openxmlformats-officedocument.spreadsheetml.worksheet+xml" PartName="/xl/worksheets/sheet14989.xml"/>
  <Override ContentType="application/vnd.openxmlformats-officedocument.spreadsheetml.worksheet+xml" PartName="/xl/worksheets/sheet14990.xml"/>
  <Override ContentType="application/vnd.openxmlformats-officedocument.spreadsheetml.worksheet+xml" PartName="/xl/worksheets/sheet14991.xml"/>
  <Override ContentType="application/vnd.openxmlformats-officedocument.spreadsheetml.worksheet+xml" PartName="/xl/worksheets/sheet14992.xml"/>
  <Override ContentType="application/vnd.openxmlformats-officedocument.spreadsheetml.worksheet+xml" PartName="/xl/worksheets/sheet14993.xml"/>
  <Override ContentType="application/vnd.openxmlformats-officedocument.spreadsheetml.worksheet+xml" PartName="/xl/worksheets/sheet14994.xml"/>
  <Override ContentType="application/vnd.openxmlformats-officedocument.spreadsheetml.worksheet+xml" PartName="/xl/worksheets/sheet14995.xml"/>
  <Override ContentType="application/vnd.openxmlformats-officedocument.spreadsheetml.worksheet+xml" PartName="/xl/worksheets/sheet14996.xml"/>
  <Override ContentType="application/vnd.openxmlformats-officedocument.spreadsheetml.worksheet+xml" PartName="/xl/worksheets/sheet14997.xml"/>
  <Override ContentType="application/vnd.openxmlformats-officedocument.spreadsheetml.worksheet+xml" PartName="/xl/worksheets/sheet14998.xml"/>
  <Override ContentType="application/vnd.openxmlformats-officedocument.spreadsheetml.worksheet+xml" PartName="/xl/worksheets/sheet14999.xml"/>
  <Override ContentType="application/vnd.openxmlformats-officedocument.spreadsheetml.worksheet+xml" PartName="/xl/worksheets/sheet15000.xml"/>
  <Override ContentType="application/vnd.openxmlformats-officedocument.spreadsheetml.worksheet+xml" PartName="/xl/worksheets/sheet15001.xml"/>
  <Override ContentType="application/vnd.openxmlformats-officedocument.spreadsheetml.worksheet+xml" PartName="/xl/worksheets/sheet15002.xml"/>
  <Override ContentType="application/vnd.openxmlformats-officedocument.spreadsheetml.worksheet+xml" PartName="/xl/worksheets/sheet15003.xml"/>
  <Override ContentType="application/vnd.openxmlformats-officedocument.spreadsheetml.worksheet+xml" PartName="/xl/worksheets/sheet15004.xml"/>
  <Override ContentType="application/vnd.openxmlformats-officedocument.spreadsheetml.worksheet+xml" PartName="/xl/worksheets/sheet15005.xml"/>
  <Override ContentType="application/vnd.openxmlformats-officedocument.spreadsheetml.worksheet+xml" PartName="/xl/worksheets/sheet15006.xml"/>
  <Override ContentType="application/vnd.openxmlformats-officedocument.spreadsheetml.worksheet+xml" PartName="/xl/worksheets/sheet15007.xml"/>
  <Override ContentType="application/vnd.openxmlformats-officedocument.spreadsheetml.worksheet+xml" PartName="/xl/worksheets/sheet15008.xml"/>
  <Override ContentType="application/vnd.openxmlformats-officedocument.spreadsheetml.worksheet+xml" PartName="/xl/worksheets/sheet15009.xml"/>
  <Override ContentType="application/vnd.openxmlformats-officedocument.spreadsheetml.worksheet+xml" PartName="/xl/worksheets/sheet15010.xml"/>
  <Override ContentType="application/vnd.openxmlformats-officedocument.spreadsheetml.worksheet+xml" PartName="/xl/worksheets/sheet15011.xml"/>
  <Override ContentType="application/vnd.openxmlformats-officedocument.spreadsheetml.worksheet+xml" PartName="/xl/worksheets/sheet15012.xml"/>
  <Override ContentType="application/vnd.openxmlformats-officedocument.spreadsheetml.worksheet+xml" PartName="/xl/worksheets/sheet15013.xml"/>
  <Override ContentType="application/vnd.openxmlformats-officedocument.spreadsheetml.worksheet+xml" PartName="/xl/worksheets/sheet15014.xml"/>
  <Override ContentType="application/vnd.openxmlformats-officedocument.spreadsheetml.worksheet+xml" PartName="/xl/worksheets/sheet15015.xml"/>
  <Override ContentType="application/vnd.openxmlformats-officedocument.spreadsheetml.worksheet+xml" PartName="/xl/worksheets/sheet15016.xml"/>
  <Override ContentType="application/vnd.openxmlformats-officedocument.spreadsheetml.worksheet+xml" PartName="/xl/worksheets/sheet15017.xml"/>
  <Override ContentType="application/vnd.openxmlformats-officedocument.spreadsheetml.worksheet+xml" PartName="/xl/worksheets/sheet15018.xml"/>
  <Override ContentType="application/vnd.openxmlformats-officedocument.spreadsheetml.worksheet+xml" PartName="/xl/worksheets/sheet15019.xml"/>
  <Override ContentType="application/vnd.openxmlformats-officedocument.spreadsheetml.worksheet+xml" PartName="/xl/worksheets/sheet15020.xml"/>
  <Override ContentType="application/vnd.openxmlformats-officedocument.spreadsheetml.worksheet+xml" PartName="/xl/worksheets/sheet15021.xml"/>
  <Override ContentType="application/vnd.openxmlformats-officedocument.spreadsheetml.worksheet+xml" PartName="/xl/worksheets/sheet15022.xml"/>
  <Override ContentType="application/vnd.openxmlformats-officedocument.spreadsheetml.worksheet+xml" PartName="/xl/worksheets/sheet15023.xml"/>
  <Override ContentType="application/vnd.openxmlformats-officedocument.spreadsheetml.worksheet+xml" PartName="/xl/worksheets/sheet15024.xml"/>
  <Override ContentType="application/vnd.openxmlformats-officedocument.spreadsheetml.worksheet+xml" PartName="/xl/worksheets/sheet15025.xml"/>
  <Override ContentType="application/vnd.openxmlformats-officedocument.spreadsheetml.worksheet+xml" PartName="/xl/worksheets/sheet15026.xml"/>
  <Override ContentType="application/vnd.openxmlformats-officedocument.spreadsheetml.worksheet+xml" PartName="/xl/worksheets/sheet15027.xml"/>
  <Override ContentType="application/vnd.openxmlformats-officedocument.spreadsheetml.worksheet+xml" PartName="/xl/worksheets/sheet15028.xml"/>
  <Override ContentType="application/vnd.openxmlformats-officedocument.spreadsheetml.worksheet+xml" PartName="/xl/worksheets/sheet15029.xml"/>
  <Override ContentType="application/vnd.openxmlformats-officedocument.spreadsheetml.worksheet+xml" PartName="/xl/worksheets/sheet15030.xml"/>
  <Override ContentType="application/vnd.openxmlformats-officedocument.spreadsheetml.worksheet+xml" PartName="/xl/worksheets/sheet15031.xml"/>
  <Override ContentType="application/vnd.openxmlformats-officedocument.spreadsheetml.worksheet+xml" PartName="/xl/worksheets/sheet15032.xml"/>
  <Override ContentType="application/vnd.openxmlformats-officedocument.spreadsheetml.worksheet+xml" PartName="/xl/worksheets/sheet15033.xml"/>
  <Override ContentType="application/vnd.openxmlformats-officedocument.spreadsheetml.worksheet+xml" PartName="/xl/worksheets/sheet15034.xml"/>
  <Override ContentType="application/vnd.openxmlformats-officedocument.spreadsheetml.worksheet+xml" PartName="/xl/worksheets/sheet15035.xml"/>
  <Override ContentType="application/vnd.openxmlformats-officedocument.spreadsheetml.worksheet+xml" PartName="/xl/worksheets/sheet15036.xml"/>
  <Override ContentType="application/vnd.openxmlformats-officedocument.spreadsheetml.worksheet+xml" PartName="/xl/worksheets/sheet15037.xml"/>
  <Override ContentType="application/vnd.openxmlformats-officedocument.spreadsheetml.worksheet+xml" PartName="/xl/worksheets/sheet15038.xml"/>
  <Override ContentType="application/vnd.openxmlformats-officedocument.spreadsheetml.worksheet+xml" PartName="/xl/worksheets/sheet15039.xml"/>
  <Override ContentType="application/vnd.openxmlformats-officedocument.spreadsheetml.worksheet+xml" PartName="/xl/worksheets/sheet15040.xml"/>
  <Override ContentType="application/vnd.openxmlformats-officedocument.spreadsheetml.worksheet+xml" PartName="/xl/worksheets/sheet15041.xml"/>
  <Override ContentType="application/vnd.openxmlformats-officedocument.spreadsheetml.worksheet+xml" PartName="/xl/worksheets/sheet15042.xml"/>
  <Override ContentType="application/vnd.openxmlformats-officedocument.spreadsheetml.worksheet+xml" PartName="/xl/worksheets/sheet15043.xml"/>
  <Override ContentType="application/vnd.openxmlformats-officedocument.spreadsheetml.worksheet+xml" PartName="/xl/worksheets/sheet15044.xml"/>
  <Override ContentType="application/vnd.openxmlformats-officedocument.spreadsheetml.worksheet+xml" PartName="/xl/worksheets/sheet15045.xml"/>
  <Override ContentType="application/vnd.openxmlformats-officedocument.spreadsheetml.worksheet+xml" PartName="/xl/worksheets/sheet15046.xml"/>
  <Override ContentType="application/vnd.openxmlformats-officedocument.spreadsheetml.worksheet+xml" PartName="/xl/worksheets/sheet15047.xml"/>
  <Override ContentType="application/vnd.openxmlformats-officedocument.spreadsheetml.worksheet+xml" PartName="/xl/worksheets/sheet15048.xml"/>
  <Override ContentType="application/vnd.openxmlformats-officedocument.spreadsheetml.worksheet+xml" PartName="/xl/worksheets/sheet15049.xml"/>
  <Override ContentType="application/vnd.openxmlformats-officedocument.spreadsheetml.worksheet+xml" PartName="/xl/worksheets/sheet15050.xml"/>
  <Override ContentType="application/vnd.openxmlformats-officedocument.spreadsheetml.worksheet+xml" PartName="/xl/worksheets/sheet15051.xml"/>
  <Override ContentType="application/vnd.openxmlformats-officedocument.spreadsheetml.worksheet+xml" PartName="/xl/worksheets/sheet15052.xml"/>
  <Override ContentType="application/vnd.openxmlformats-officedocument.spreadsheetml.worksheet+xml" PartName="/xl/worksheets/sheet15053.xml"/>
  <Override ContentType="application/vnd.openxmlformats-officedocument.spreadsheetml.worksheet+xml" PartName="/xl/worksheets/sheet15054.xml"/>
  <Override ContentType="application/vnd.openxmlformats-officedocument.spreadsheetml.worksheet+xml" PartName="/xl/worksheets/sheet15055.xml"/>
  <Override ContentType="application/vnd.openxmlformats-officedocument.spreadsheetml.worksheet+xml" PartName="/xl/worksheets/sheet15056.xml"/>
  <Override ContentType="application/vnd.openxmlformats-officedocument.spreadsheetml.worksheet+xml" PartName="/xl/worksheets/sheet15057.xml"/>
  <Override ContentType="application/vnd.openxmlformats-officedocument.spreadsheetml.worksheet+xml" PartName="/xl/worksheets/sheet15058.xml"/>
  <Override ContentType="application/vnd.openxmlformats-officedocument.spreadsheetml.worksheet+xml" PartName="/xl/worksheets/sheet15059.xml"/>
  <Override ContentType="application/vnd.openxmlformats-officedocument.spreadsheetml.worksheet+xml" PartName="/xl/worksheets/sheet15060.xml"/>
  <Override ContentType="application/vnd.openxmlformats-officedocument.spreadsheetml.worksheet+xml" PartName="/xl/worksheets/sheet15061.xml"/>
  <Override ContentType="application/vnd.openxmlformats-officedocument.spreadsheetml.worksheet+xml" PartName="/xl/worksheets/sheet15062.xml"/>
  <Override ContentType="application/vnd.openxmlformats-officedocument.spreadsheetml.worksheet+xml" PartName="/xl/worksheets/sheet15063.xml"/>
  <Override ContentType="application/vnd.openxmlformats-officedocument.spreadsheetml.worksheet+xml" PartName="/xl/worksheets/sheet15064.xml"/>
  <Override ContentType="application/vnd.openxmlformats-officedocument.spreadsheetml.worksheet+xml" PartName="/xl/worksheets/sheet15065.xml"/>
  <Override ContentType="application/vnd.openxmlformats-officedocument.spreadsheetml.worksheet+xml" PartName="/xl/worksheets/sheet15066.xml"/>
  <Override ContentType="application/vnd.openxmlformats-officedocument.spreadsheetml.worksheet+xml" PartName="/xl/worksheets/sheet15067.xml"/>
  <Override ContentType="application/vnd.openxmlformats-officedocument.spreadsheetml.worksheet+xml" PartName="/xl/worksheets/sheet15068.xml"/>
  <Override ContentType="application/vnd.openxmlformats-officedocument.spreadsheetml.worksheet+xml" PartName="/xl/worksheets/sheet15069.xml"/>
  <Override ContentType="application/vnd.openxmlformats-officedocument.spreadsheetml.worksheet+xml" PartName="/xl/worksheets/sheet15070.xml"/>
  <Override ContentType="application/vnd.openxmlformats-officedocument.spreadsheetml.worksheet+xml" PartName="/xl/worksheets/sheet15071.xml"/>
  <Override ContentType="application/vnd.openxmlformats-officedocument.spreadsheetml.worksheet+xml" PartName="/xl/worksheets/sheet15072.xml"/>
  <Override ContentType="application/vnd.openxmlformats-officedocument.spreadsheetml.worksheet+xml" PartName="/xl/worksheets/sheet15073.xml"/>
  <Override ContentType="application/vnd.openxmlformats-officedocument.spreadsheetml.worksheet+xml" PartName="/xl/worksheets/sheet15074.xml"/>
  <Override ContentType="application/vnd.openxmlformats-officedocument.spreadsheetml.worksheet+xml" PartName="/xl/worksheets/sheet15075.xml"/>
  <Override ContentType="application/vnd.openxmlformats-officedocument.spreadsheetml.worksheet+xml" PartName="/xl/worksheets/sheet15076.xml"/>
  <Override ContentType="application/vnd.openxmlformats-officedocument.spreadsheetml.worksheet+xml" PartName="/xl/worksheets/sheet15077.xml"/>
  <Override ContentType="application/vnd.openxmlformats-officedocument.spreadsheetml.worksheet+xml" PartName="/xl/worksheets/sheet15078.xml"/>
  <Override ContentType="application/vnd.openxmlformats-officedocument.spreadsheetml.worksheet+xml" PartName="/xl/worksheets/sheet15079.xml"/>
  <Override ContentType="application/vnd.openxmlformats-officedocument.spreadsheetml.worksheet+xml" PartName="/xl/worksheets/sheet15080.xml"/>
  <Override ContentType="application/vnd.openxmlformats-officedocument.spreadsheetml.worksheet+xml" PartName="/xl/worksheets/sheet15081.xml"/>
  <Override ContentType="application/vnd.openxmlformats-officedocument.spreadsheetml.worksheet+xml" PartName="/xl/worksheets/sheet15082.xml"/>
  <Override ContentType="application/vnd.openxmlformats-officedocument.spreadsheetml.worksheet+xml" PartName="/xl/worksheets/sheet15083.xml"/>
  <Override ContentType="application/vnd.openxmlformats-officedocument.spreadsheetml.worksheet+xml" PartName="/xl/worksheets/sheet15084.xml"/>
  <Override ContentType="application/vnd.openxmlformats-officedocument.spreadsheetml.worksheet+xml" PartName="/xl/worksheets/sheet15085.xml"/>
  <Override ContentType="application/vnd.openxmlformats-officedocument.spreadsheetml.worksheet+xml" PartName="/xl/worksheets/sheet15086.xml"/>
  <Override ContentType="application/vnd.openxmlformats-officedocument.spreadsheetml.worksheet+xml" PartName="/xl/worksheets/sheet15087.xml"/>
  <Override ContentType="application/vnd.openxmlformats-officedocument.spreadsheetml.worksheet+xml" PartName="/xl/worksheets/sheet15088.xml"/>
  <Override ContentType="application/vnd.openxmlformats-officedocument.spreadsheetml.worksheet+xml" PartName="/xl/worksheets/sheet15089.xml"/>
  <Override ContentType="application/vnd.openxmlformats-officedocument.spreadsheetml.worksheet+xml" PartName="/xl/worksheets/sheet15090.xml"/>
  <Override ContentType="application/vnd.openxmlformats-officedocument.spreadsheetml.worksheet+xml" PartName="/xl/worksheets/sheet15091.xml"/>
  <Override ContentType="application/vnd.openxmlformats-officedocument.spreadsheetml.worksheet+xml" PartName="/xl/worksheets/sheet15092.xml"/>
  <Override ContentType="application/vnd.openxmlformats-officedocument.spreadsheetml.worksheet+xml" PartName="/xl/worksheets/sheet15093.xml"/>
  <Override ContentType="application/vnd.openxmlformats-officedocument.spreadsheetml.worksheet+xml" PartName="/xl/worksheets/sheet15094.xml"/>
  <Override ContentType="application/vnd.openxmlformats-officedocument.spreadsheetml.worksheet+xml" PartName="/xl/worksheets/sheet15095.xml"/>
  <Override ContentType="application/vnd.openxmlformats-officedocument.spreadsheetml.worksheet+xml" PartName="/xl/worksheets/sheet15096.xml"/>
  <Override ContentType="application/vnd.openxmlformats-officedocument.spreadsheetml.worksheet+xml" PartName="/xl/worksheets/sheet15097.xml"/>
  <Override ContentType="application/vnd.openxmlformats-officedocument.spreadsheetml.worksheet+xml" PartName="/xl/worksheets/sheet15098.xml"/>
  <Override ContentType="application/vnd.openxmlformats-officedocument.spreadsheetml.worksheet+xml" PartName="/xl/worksheets/sheet15099.xml"/>
  <Override ContentType="application/vnd.openxmlformats-officedocument.spreadsheetml.worksheet+xml" PartName="/xl/worksheets/sheet15100.xml"/>
  <Override ContentType="application/vnd.openxmlformats-officedocument.spreadsheetml.worksheet+xml" PartName="/xl/worksheets/sheet15101.xml"/>
  <Override ContentType="application/vnd.openxmlformats-officedocument.spreadsheetml.worksheet+xml" PartName="/xl/worksheets/sheet15102.xml"/>
  <Override ContentType="application/vnd.openxmlformats-officedocument.spreadsheetml.worksheet+xml" PartName="/xl/worksheets/sheet15103.xml"/>
  <Override ContentType="application/vnd.openxmlformats-officedocument.spreadsheetml.worksheet+xml" PartName="/xl/worksheets/sheet15104.xml"/>
  <Override ContentType="application/vnd.openxmlformats-officedocument.spreadsheetml.worksheet+xml" PartName="/xl/worksheets/sheet15105.xml"/>
  <Override ContentType="application/vnd.openxmlformats-officedocument.spreadsheetml.worksheet+xml" PartName="/xl/worksheets/sheet15106.xml"/>
  <Override ContentType="application/vnd.openxmlformats-officedocument.spreadsheetml.worksheet+xml" PartName="/xl/worksheets/sheet15107.xml"/>
  <Override ContentType="application/vnd.openxmlformats-officedocument.spreadsheetml.worksheet+xml" PartName="/xl/worksheets/sheet15108.xml"/>
  <Override ContentType="application/vnd.openxmlformats-officedocument.spreadsheetml.worksheet+xml" PartName="/xl/worksheets/sheet15109.xml"/>
  <Override ContentType="application/vnd.openxmlformats-officedocument.spreadsheetml.worksheet+xml" PartName="/xl/worksheets/sheet15110.xml"/>
  <Override ContentType="application/vnd.openxmlformats-officedocument.spreadsheetml.worksheet+xml" PartName="/xl/worksheets/sheet15111.xml"/>
  <Override ContentType="application/vnd.openxmlformats-officedocument.spreadsheetml.worksheet+xml" PartName="/xl/worksheets/sheet15112.xml"/>
  <Override ContentType="application/vnd.openxmlformats-officedocument.spreadsheetml.worksheet+xml" PartName="/xl/worksheets/sheet15113.xml"/>
  <Override ContentType="application/vnd.openxmlformats-officedocument.spreadsheetml.worksheet+xml" PartName="/xl/worksheets/sheet15114.xml"/>
  <Override ContentType="application/vnd.openxmlformats-officedocument.spreadsheetml.worksheet+xml" PartName="/xl/worksheets/sheet15115.xml"/>
  <Override ContentType="application/vnd.openxmlformats-officedocument.spreadsheetml.worksheet+xml" PartName="/xl/worksheets/sheet15116.xml"/>
  <Override ContentType="application/vnd.openxmlformats-officedocument.spreadsheetml.worksheet+xml" PartName="/xl/worksheets/sheet15117.xml"/>
  <Override ContentType="application/vnd.openxmlformats-officedocument.spreadsheetml.worksheet+xml" PartName="/xl/worksheets/sheet15118.xml"/>
  <Override ContentType="application/vnd.openxmlformats-officedocument.spreadsheetml.worksheet+xml" PartName="/xl/worksheets/sheet15119.xml"/>
  <Override ContentType="application/vnd.openxmlformats-officedocument.spreadsheetml.worksheet+xml" PartName="/xl/worksheets/sheet15120.xml"/>
  <Override ContentType="application/vnd.openxmlformats-officedocument.spreadsheetml.worksheet+xml" PartName="/xl/worksheets/sheet15121.xml"/>
  <Override ContentType="application/vnd.openxmlformats-officedocument.spreadsheetml.worksheet+xml" PartName="/xl/worksheets/sheet15122.xml"/>
  <Override ContentType="application/vnd.openxmlformats-officedocument.spreadsheetml.worksheet+xml" PartName="/xl/worksheets/sheet15123.xml"/>
  <Override ContentType="application/vnd.openxmlformats-officedocument.spreadsheetml.worksheet+xml" PartName="/xl/worksheets/sheet15124.xml"/>
  <Override ContentType="application/vnd.openxmlformats-officedocument.spreadsheetml.worksheet+xml" PartName="/xl/worksheets/sheet15125.xml"/>
  <Override ContentType="application/vnd.openxmlformats-officedocument.spreadsheetml.worksheet+xml" PartName="/xl/worksheets/sheet15126.xml"/>
  <Override ContentType="application/vnd.openxmlformats-officedocument.spreadsheetml.worksheet+xml" PartName="/xl/worksheets/sheet15127.xml"/>
  <Override ContentType="application/vnd.openxmlformats-officedocument.spreadsheetml.worksheet+xml" PartName="/xl/worksheets/sheet15128.xml"/>
  <Override ContentType="application/vnd.openxmlformats-officedocument.spreadsheetml.worksheet+xml" PartName="/xl/worksheets/sheet15129.xml"/>
  <Override ContentType="application/vnd.openxmlformats-officedocument.spreadsheetml.worksheet+xml" PartName="/xl/worksheets/sheet15130.xml"/>
  <Override ContentType="application/vnd.openxmlformats-officedocument.spreadsheetml.worksheet+xml" PartName="/xl/worksheets/sheet15131.xml"/>
  <Override ContentType="application/vnd.openxmlformats-officedocument.spreadsheetml.worksheet+xml" PartName="/xl/worksheets/sheet15132.xml"/>
  <Override ContentType="application/vnd.openxmlformats-officedocument.spreadsheetml.worksheet+xml" PartName="/xl/worksheets/sheet15133.xml"/>
  <Override ContentType="application/vnd.openxmlformats-officedocument.spreadsheetml.worksheet+xml" PartName="/xl/worksheets/sheet15134.xml"/>
  <Override ContentType="application/vnd.openxmlformats-officedocument.spreadsheetml.worksheet+xml" PartName="/xl/worksheets/sheet15135.xml"/>
  <Override ContentType="application/vnd.openxmlformats-officedocument.spreadsheetml.worksheet+xml" PartName="/xl/worksheets/sheet15136.xml"/>
  <Override ContentType="application/vnd.openxmlformats-officedocument.spreadsheetml.worksheet+xml" PartName="/xl/worksheets/sheet15137.xml"/>
  <Override ContentType="application/vnd.openxmlformats-officedocument.spreadsheetml.worksheet+xml" PartName="/xl/worksheets/sheet15138.xml"/>
  <Override ContentType="application/vnd.openxmlformats-officedocument.spreadsheetml.worksheet+xml" PartName="/xl/worksheets/sheet15139.xml"/>
  <Override ContentType="application/vnd.openxmlformats-officedocument.spreadsheetml.worksheet+xml" PartName="/xl/worksheets/sheet15140.xml"/>
  <Override ContentType="application/vnd.openxmlformats-officedocument.spreadsheetml.worksheet+xml" PartName="/xl/worksheets/sheet15141.xml"/>
  <Override ContentType="application/vnd.openxmlformats-officedocument.spreadsheetml.worksheet+xml" PartName="/xl/worksheets/sheet15142.xml"/>
  <Override ContentType="application/vnd.openxmlformats-officedocument.spreadsheetml.worksheet+xml" PartName="/xl/worksheets/sheet15143.xml"/>
  <Override ContentType="application/vnd.openxmlformats-officedocument.spreadsheetml.worksheet+xml" PartName="/xl/worksheets/sheet15144.xml"/>
  <Override ContentType="application/vnd.openxmlformats-officedocument.spreadsheetml.worksheet+xml" PartName="/xl/worksheets/sheet15145.xml"/>
  <Override ContentType="application/vnd.openxmlformats-officedocument.spreadsheetml.worksheet+xml" PartName="/xl/worksheets/sheet15146.xml"/>
  <Override ContentType="application/vnd.openxmlformats-officedocument.spreadsheetml.worksheet+xml" PartName="/xl/worksheets/sheet15147.xml"/>
  <Override ContentType="application/vnd.openxmlformats-officedocument.spreadsheetml.worksheet+xml" PartName="/xl/worksheets/sheet15148.xml"/>
  <Override ContentType="application/vnd.openxmlformats-officedocument.spreadsheetml.worksheet+xml" PartName="/xl/worksheets/sheet15149.xml"/>
  <Override ContentType="application/vnd.openxmlformats-officedocument.spreadsheetml.worksheet+xml" PartName="/xl/worksheets/sheet15150.xml"/>
  <Override ContentType="application/vnd.openxmlformats-officedocument.spreadsheetml.worksheet+xml" PartName="/xl/worksheets/sheet15151.xml"/>
  <Override ContentType="application/vnd.openxmlformats-officedocument.spreadsheetml.worksheet+xml" PartName="/xl/worksheets/sheet15152.xml"/>
  <Override ContentType="application/vnd.openxmlformats-officedocument.spreadsheetml.worksheet+xml" PartName="/xl/worksheets/sheet15153.xml"/>
  <Override ContentType="application/vnd.openxmlformats-officedocument.spreadsheetml.worksheet+xml" PartName="/xl/worksheets/sheet15154.xml"/>
  <Override ContentType="application/vnd.openxmlformats-officedocument.spreadsheetml.worksheet+xml" PartName="/xl/worksheets/sheet15155.xml"/>
  <Override ContentType="application/vnd.openxmlformats-officedocument.spreadsheetml.worksheet+xml" PartName="/xl/worksheets/sheet15156.xml"/>
  <Override ContentType="application/vnd.openxmlformats-officedocument.spreadsheetml.worksheet+xml" PartName="/xl/worksheets/sheet15157.xml"/>
  <Override ContentType="application/vnd.openxmlformats-officedocument.spreadsheetml.worksheet+xml" PartName="/xl/worksheets/sheet15158.xml"/>
  <Override ContentType="application/vnd.openxmlformats-officedocument.spreadsheetml.worksheet+xml" PartName="/xl/worksheets/sheet15159.xml"/>
  <Override ContentType="application/vnd.openxmlformats-officedocument.spreadsheetml.worksheet+xml" PartName="/xl/worksheets/sheet15160.xml"/>
  <Override ContentType="application/vnd.openxmlformats-officedocument.spreadsheetml.worksheet+xml" PartName="/xl/worksheets/sheet15161.xml"/>
  <Override ContentType="application/vnd.openxmlformats-officedocument.spreadsheetml.worksheet+xml" PartName="/xl/worksheets/sheet15162.xml"/>
  <Override ContentType="application/vnd.openxmlformats-officedocument.spreadsheetml.worksheet+xml" PartName="/xl/worksheets/sheet15163.xml"/>
  <Override ContentType="application/vnd.openxmlformats-officedocument.spreadsheetml.worksheet+xml" PartName="/xl/worksheets/sheet15164.xml"/>
  <Override ContentType="application/vnd.openxmlformats-officedocument.spreadsheetml.worksheet+xml" PartName="/xl/worksheets/sheet15165.xml"/>
  <Override ContentType="application/vnd.openxmlformats-officedocument.spreadsheetml.worksheet+xml" PartName="/xl/worksheets/sheet15166.xml"/>
  <Override ContentType="application/vnd.openxmlformats-officedocument.spreadsheetml.worksheet+xml" PartName="/xl/worksheets/sheet15167.xml"/>
  <Override ContentType="application/vnd.openxmlformats-officedocument.spreadsheetml.worksheet+xml" PartName="/xl/worksheets/sheet15168.xml"/>
  <Override ContentType="application/vnd.openxmlformats-officedocument.spreadsheetml.worksheet+xml" PartName="/xl/worksheets/sheet15169.xml"/>
  <Override ContentType="application/vnd.openxmlformats-officedocument.spreadsheetml.worksheet+xml" PartName="/xl/worksheets/sheet15170.xml"/>
  <Override ContentType="application/vnd.openxmlformats-officedocument.spreadsheetml.worksheet+xml" PartName="/xl/worksheets/sheet15171.xml"/>
  <Override ContentType="application/vnd.openxmlformats-officedocument.spreadsheetml.worksheet+xml" PartName="/xl/worksheets/sheet15172.xml"/>
  <Override ContentType="application/vnd.openxmlformats-officedocument.spreadsheetml.worksheet+xml" PartName="/xl/worksheets/sheet15173.xml"/>
  <Override ContentType="application/vnd.openxmlformats-officedocument.spreadsheetml.worksheet+xml" PartName="/xl/worksheets/sheet15174.xml"/>
  <Override ContentType="application/vnd.openxmlformats-officedocument.spreadsheetml.worksheet+xml" PartName="/xl/worksheets/sheet15175.xml"/>
  <Override ContentType="application/vnd.openxmlformats-officedocument.spreadsheetml.worksheet+xml" PartName="/xl/worksheets/sheet15176.xml"/>
  <Override ContentType="application/vnd.openxmlformats-officedocument.spreadsheetml.worksheet+xml" PartName="/xl/worksheets/sheet15177.xml"/>
  <Override ContentType="application/vnd.openxmlformats-officedocument.spreadsheetml.worksheet+xml" PartName="/xl/worksheets/sheet15178.xml"/>
  <Override ContentType="application/vnd.openxmlformats-officedocument.spreadsheetml.worksheet+xml" PartName="/xl/worksheets/sheet15179.xml"/>
  <Override ContentType="application/vnd.openxmlformats-officedocument.spreadsheetml.worksheet+xml" PartName="/xl/worksheets/sheet15180.xml"/>
  <Override ContentType="application/vnd.openxmlformats-officedocument.spreadsheetml.worksheet+xml" PartName="/xl/worksheets/sheet15181.xml"/>
  <Override ContentType="application/vnd.openxmlformats-officedocument.spreadsheetml.worksheet+xml" PartName="/xl/worksheets/sheet15182.xml"/>
  <Override ContentType="application/vnd.openxmlformats-officedocument.spreadsheetml.worksheet+xml" PartName="/xl/worksheets/sheet15183.xml"/>
  <Override ContentType="application/vnd.openxmlformats-officedocument.spreadsheetml.worksheet+xml" PartName="/xl/worksheets/sheet15184.xml"/>
  <Override ContentType="application/vnd.openxmlformats-officedocument.spreadsheetml.worksheet+xml" PartName="/xl/worksheets/sheet15185.xml"/>
  <Override ContentType="application/vnd.openxmlformats-officedocument.spreadsheetml.worksheet+xml" PartName="/xl/worksheets/sheet15186.xml"/>
  <Override ContentType="application/vnd.openxmlformats-officedocument.spreadsheetml.worksheet+xml" PartName="/xl/worksheets/sheet15187.xml"/>
  <Override ContentType="application/vnd.openxmlformats-officedocument.spreadsheetml.worksheet+xml" PartName="/xl/worksheets/sheet15188.xml"/>
  <Override ContentType="application/vnd.openxmlformats-officedocument.spreadsheetml.worksheet+xml" PartName="/xl/worksheets/sheet15189.xml"/>
  <Override ContentType="application/vnd.openxmlformats-officedocument.spreadsheetml.worksheet+xml" PartName="/xl/worksheets/sheet15190.xml"/>
  <Override ContentType="application/vnd.openxmlformats-officedocument.spreadsheetml.worksheet+xml" PartName="/xl/worksheets/sheet15191.xml"/>
  <Override ContentType="application/vnd.openxmlformats-officedocument.spreadsheetml.worksheet+xml" PartName="/xl/worksheets/sheet15192.xml"/>
  <Override ContentType="application/vnd.openxmlformats-officedocument.spreadsheetml.worksheet+xml" PartName="/xl/worksheets/sheet15193.xml"/>
  <Override ContentType="application/vnd.openxmlformats-officedocument.spreadsheetml.worksheet+xml" PartName="/xl/worksheets/sheet15194.xml"/>
  <Override ContentType="application/vnd.openxmlformats-officedocument.spreadsheetml.worksheet+xml" PartName="/xl/worksheets/sheet15195.xml"/>
  <Override ContentType="application/vnd.openxmlformats-officedocument.spreadsheetml.worksheet+xml" PartName="/xl/worksheets/sheet15196.xml"/>
  <Override ContentType="application/vnd.openxmlformats-officedocument.spreadsheetml.worksheet+xml" PartName="/xl/worksheets/sheet15197.xml"/>
  <Override ContentType="application/vnd.openxmlformats-officedocument.spreadsheetml.worksheet+xml" PartName="/xl/worksheets/sheet15198.xml"/>
  <Override ContentType="application/vnd.openxmlformats-officedocument.spreadsheetml.worksheet+xml" PartName="/xl/worksheets/sheet15199.xml"/>
  <Override ContentType="application/vnd.openxmlformats-officedocument.spreadsheetml.worksheet+xml" PartName="/xl/worksheets/sheet15200.xml"/>
  <Override ContentType="application/vnd.openxmlformats-officedocument.spreadsheetml.worksheet+xml" PartName="/xl/worksheets/sheet15201.xml"/>
  <Override ContentType="application/vnd.openxmlformats-officedocument.spreadsheetml.worksheet+xml" PartName="/xl/worksheets/sheet15202.xml"/>
  <Override ContentType="application/vnd.openxmlformats-officedocument.spreadsheetml.worksheet+xml" PartName="/xl/worksheets/sheet15203.xml"/>
  <Override ContentType="application/vnd.openxmlformats-officedocument.spreadsheetml.worksheet+xml" PartName="/xl/worksheets/sheet15204.xml"/>
  <Override ContentType="application/vnd.openxmlformats-officedocument.spreadsheetml.worksheet+xml" PartName="/xl/worksheets/sheet15205.xml"/>
  <Override ContentType="application/vnd.openxmlformats-officedocument.spreadsheetml.worksheet+xml" PartName="/xl/worksheets/sheet15206.xml"/>
  <Override ContentType="application/vnd.openxmlformats-officedocument.spreadsheetml.worksheet+xml" PartName="/xl/worksheets/sheet15207.xml"/>
  <Override ContentType="application/vnd.openxmlformats-officedocument.spreadsheetml.worksheet+xml" PartName="/xl/worksheets/sheet15208.xml"/>
  <Override ContentType="application/vnd.openxmlformats-officedocument.spreadsheetml.worksheet+xml" PartName="/xl/worksheets/sheet15209.xml"/>
  <Override ContentType="application/vnd.openxmlformats-officedocument.spreadsheetml.worksheet+xml" PartName="/xl/worksheets/sheet15210.xml"/>
  <Override ContentType="application/vnd.openxmlformats-officedocument.spreadsheetml.worksheet+xml" PartName="/xl/worksheets/sheet15211.xml"/>
  <Override ContentType="application/vnd.openxmlformats-officedocument.spreadsheetml.worksheet+xml" PartName="/xl/worksheets/sheet15212.xml"/>
  <Override ContentType="application/vnd.openxmlformats-officedocument.spreadsheetml.worksheet+xml" PartName="/xl/worksheets/sheet15213.xml"/>
  <Override ContentType="application/vnd.openxmlformats-officedocument.spreadsheetml.worksheet+xml" PartName="/xl/worksheets/sheet15214.xml"/>
  <Override ContentType="application/vnd.openxmlformats-officedocument.spreadsheetml.worksheet+xml" PartName="/xl/worksheets/sheet15215.xml"/>
  <Override ContentType="application/vnd.openxmlformats-officedocument.spreadsheetml.worksheet+xml" PartName="/xl/worksheets/sheet15216.xml"/>
  <Override ContentType="application/vnd.openxmlformats-officedocument.spreadsheetml.worksheet+xml" PartName="/xl/worksheets/sheet15217.xml"/>
  <Override ContentType="application/vnd.openxmlformats-officedocument.spreadsheetml.worksheet+xml" PartName="/xl/worksheets/sheet15218.xml"/>
  <Override ContentType="application/vnd.openxmlformats-officedocument.spreadsheetml.worksheet+xml" PartName="/xl/worksheets/sheet15219.xml"/>
  <Override ContentType="application/vnd.openxmlformats-officedocument.spreadsheetml.worksheet+xml" PartName="/xl/worksheets/sheet15220.xml"/>
  <Override ContentType="application/vnd.openxmlformats-officedocument.spreadsheetml.worksheet+xml" PartName="/xl/worksheets/sheet15221.xml"/>
  <Override ContentType="application/vnd.openxmlformats-officedocument.spreadsheetml.worksheet+xml" PartName="/xl/worksheets/sheet15222.xml"/>
  <Override ContentType="application/vnd.openxmlformats-officedocument.spreadsheetml.worksheet+xml" PartName="/xl/worksheets/sheet15223.xml"/>
  <Override ContentType="application/vnd.openxmlformats-officedocument.spreadsheetml.worksheet+xml" PartName="/xl/worksheets/sheet15224.xml"/>
  <Override ContentType="application/vnd.openxmlformats-officedocument.spreadsheetml.worksheet+xml" PartName="/xl/worksheets/sheet15225.xml"/>
  <Override ContentType="application/vnd.openxmlformats-officedocument.spreadsheetml.worksheet+xml" PartName="/xl/worksheets/sheet15226.xml"/>
  <Override ContentType="application/vnd.openxmlformats-officedocument.spreadsheetml.worksheet+xml" PartName="/xl/worksheets/sheet15227.xml"/>
  <Override ContentType="application/vnd.openxmlformats-officedocument.spreadsheetml.worksheet+xml" PartName="/xl/worksheets/sheet15228.xml"/>
  <Override ContentType="application/vnd.openxmlformats-officedocument.spreadsheetml.worksheet+xml" PartName="/xl/worksheets/sheet15229.xml"/>
  <Override ContentType="application/vnd.openxmlformats-officedocument.spreadsheetml.worksheet+xml" PartName="/xl/worksheets/sheet15230.xml"/>
  <Override ContentType="application/vnd.openxmlformats-officedocument.spreadsheetml.worksheet+xml" PartName="/xl/worksheets/sheet15231.xml"/>
  <Override ContentType="application/vnd.openxmlformats-officedocument.spreadsheetml.worksheet+xml" PartName="/xl/worksheets/sheet15232.xml"/>
  <Override ContentType="application/vnd.openxmlformats-officedocument.spreadsheetml.worksheet+xml" PartName="/xl/worksheets/sheet15233.xml"/>
  <Override ContentType="application/vnd.openxmlformats-officedocument.spreadsheetml.worksheet+xml" PartName="/xl/worksheets/sheet15234.xml"/>
  <Override ContentType="application/vnd.openxmlformats-officedocument.spreadsheetml.worksheet+xml" PartName="/xl/worksheets/sheet15235.xml"/>
  <Override ContentType="application/vnd.openxmlformats-officedocument.spreadsheetml.worksheet+xml" PartName="/xl/worksheets/sheet15236.xml"/>
  <Override ContentType="application/vnd.openxmlformats-officedocument.spreadsheetml.worksheet+xml" PartName="/xl/worksheets/sheet15237.xml"/>
  <Override ContentType="application/vnd.openxmlformats-officedocument.spreadsheetml.worksheet+xml" PartName="/xl/worksheets/sheet15238.xml"/>
  <Override ContentType="application/vnd.openxmlformats-officedocument.spreadsheetml.worksheet+xml" PartName="/xl/worksheets/sheet15239.xml"/>
  <Override ContentType="application/vnd.openxmlformats-officedocument.spreadsheetml.worksheet+xml" PartName="/xl/worksheets/sheet15240.xml"/>
  <Override ContentType="application/vnd.openxmlformats-officedocument.spreadsheetml.worksheet+xml" PartName="/xl/worksheets/sheet15241.xml"/>
  <Override ContentType="application/vnd.openxmlformats-officedocument.spreadsheetml.worksheet+xml" PartName="/xl/worksheets/sheet15242.xml"/>
  <Override ContentType="application/vnd.openxmlformats-officedocument.spreadsheetml.worksheet+xml" PartName="/xl/worksheets/sheet15243.xml"/>
  <Override ContentType="application/vnd.openxmlformats-officedocument.spreadsheetml.worksheet+xml" PartName="/xl/worksheets/sheet15244.xml"/>
  <Override ContentType="application/vnd.openxmlformats-officedocument.spreadsheetml.worksheet+xml" PartName="/xl/worksheets/sheet15245.xml"/>
  <Override ContentType="application/vnd.openxmlformats-officedocument.spreadsheetml.worksheet+xml" PartName="/xl/worksheets/sheet15246.xml"/>
  <Override ContentType="application/vnd.openxmlformats-officedocument.spreadsheetml.worksheet+xml" PartName="/xl/worksheets/sheet15247.xml"/>
  <Override ContentType="application/vnd.openxmlformats-officedocument.spreadsheetml.worksheet+xml" PartName="/xl/worksheets/sheet15248.xml"/>
  <Override ContentType="application/vnd.openxmlformats-officedocument.spreadsheetml.worksheet+xml" PartName="/xl/worksheets/sheet15249.xml"/>
  <Override ContentType="application/vnd.openxmlformats-officedocument.spreadsheetml.worksheet+xml" PartName="/xl/worksheets/sheet15250.xml"/>
  <Override ContentType="application/vnd.openxmlformats-officedocument.spreadsheetml.worksheet+xml" PartName="/xl/worksheets/sheet15251.xml"/>
  <Override ContentType="application/vnd.openxmlformats-officedocument.spreadsheetml.worksheet+xml" PartName="/xl/worksheets/sheet15252.xml"/>
  <Override ContentType="application/vnd.openxmlformats-officedocument.spreadsheetml.worksheet+xml" PartName="/xl/worksheets/sheet15253.xml"/>
  <Override ContentType="application/vnd.openxmlformats-officedocument.spreadsheetml.worksheet+xml" PartName="/xl/worksheets/sheet15254.xml"/>
  <Override ContentType="application/vnd.openxmlformats-officedocument.spreadsheetml.worksheet+xml" PartName="/xl/worksheets/sheet15255.xml"/>
  <Override ContentType="application/vnd.openxmlformats-officedocument.spreadsheetml.worksheet+xml" PartName="/xl/worksheets/sheet15256.xml"/>
  <Override ContentType="application/vnd.openxmlformats-officedocument.spreadsheetml.worksheet+xml" PartName="/xl/worksheets/sheet15257.xml"/>
  <Override ContentType="application/vnd.openxmlformats-officedocument.spreadsheetml.worksheet+xml" PartName="/xl/worksheets/sheet15258.xml"/>
  <Override ContentType="application/vnd.openxmlformats-officedocument.spreadsheetml.worksheet+xml" PartName="/xl/worksheets/sheet15259.xml"/>
  <Override ContentType="application/vnd.openxmlformats-officedocument.spreadsheetml.worksheet+xml" PartName="/xl/worksheets/sheet15260.xml"/>
  <Override ContentType="application/vnd.openxmlformats-officedocument.spreadsheetml.worksheet+xml" PartName="/xl/worksheets/sheet15261.xml"/>
  <Override ContentType="application/vnd.openxmlformats-officedocument.spreadsheetml.worksheet+xml" PartName="/xl/worksheets/sheet15262.xml"/>
  <Override ContentType="application/vnd.openxmlformats-officedocument.spreadsheetml.worksheet+xml" PartName="/xl/worksheets/sheet15263.xml"/>
  <Override ContentType="application/vnd.openxmlformats-officedocument.spreadsheetml.worksheet+xml" PartName="/xl/worksheets/sheet15264.xml"/>
  <Override ContentType="application/vnd.openxmlformats-officedocument.spreadsheetml.worksheet+xml" PartName="/xl/worksheets/sheet15265.xml"/>
  <Override ContentType="application/vnd.openxmlformats-officedocument.spreadsheetml.worksheet+xml" PartName="/xl/worksheets/sheet15266.xml"/>
  <Override ContentType="application/vnd.openxmlformats-officedocument.spreadsheetml.worksheet+xml" PartName="/xl/worksheets/sheet15267.xml"/>
  <Override ContentType="application/vnd.openxmlformats-officedocument.spreadsheetml.worksheet+xml" PartName="/xl/worksheets/sheet15268.xml"/>
  <Override ContentType="application/vnd.openxmlformats-officedocument.spreadsheetml.worksheet+xml" PartName="/xl/worksheets/sheet15269.xml"/>
  <Override ContentType="application/vnd.openxmlformats-officedocument.spreadsheetml.worksheet+xml" PartName="/xl/worksheets/sheet15270.xml"/>
  <Override ContentType="application/vnd.openxmlformats-officedocument.spreadsheetml.worksheet+xml" PartName="/xl/worksheets/sheet15271.xml"/>
  <Override ContentType="application/vnd.openxmlformats-officedocument.spreadsheetml.worksheet+xml" PartName="/xl/worksheets/sheet15272.xml"/>
  <Override ContentType="application/vnd.openxmlformats-officedocument.spreadsheetml.worksheet+xml" PartName="/xl/worksheets/sheet15273.xml"/>
  <Override ContentType="application/vnd.openxmlformats-officedocument.spreadsheetml.worksheet+xml" PartName="/xl/worksheets/sheet15274.xml"/>
  <Override ContentType="application/vnd.openxmlformats-officedocument.spreadsheetml.worksheet+xml" PartName="/xl/worksheets/sheet15275.xml"/>
  <Override ContentType="application/vnd.openxmlformats-officedocument.spreadsheetml.worksheet+xml" PartName="/xl/worksheets/sheet15276.xml"/>
  <Override ContentType="application/vnd.openxmlformats-officedocument.spreadsheetml.worksheet+xml" PartName="/xl/worksheets/sheet15277.xml"/>
  <Override ContentType="application/vnd.openxmlformats-officedocument.spreadsheetml.worksheet+xml" PartName="/xl/worksheets/sheet15278.xml"/>
  <Override ContentType="application/vnd.openxmlformats-officedocument.spreadsheetml.worksheet+xml" PartName="/xl/worksheets/sheet15279.xml"/>
  <Override ContentType="application/vnd.openxmlformats-officedocument.spreadsheetml.worksheet+xml" PartName="/xl/worksheets/sheet15280.xml"/>
  <Override ContentType="application/vnd.openxmlformats-officedocument.spreadsheetml.worksheet+xml" PartName="/xl/worksheets/sheet15281.xml"/>
  <Override ContentType="application/vnd.openxmlformats-officedocument.spreadsheetml.worksheet+xml" PartName="/xl/worksheets/sheet15282.xml"/>
  <Override ContentType="application/vnd.openxmlformats-officedocument.spreadsheetml.worksheet+xml" PartName="/xl/worksheets/sheet15283.xml"/>
  <Override ContentType="application/vnd.openxmlformats-officedocument.spreadsheetml.worksheet+xml" PartName="/xl/worksheets/sheet15284.xml"/>
  <Override ContentType="application/vnd.openxmlformats-officedocument.spreadsheetml.worksheet+xml" PartName="/xl/worksheets/sheet15285.xml"/>
  <Override ContentType="application/vnd.openxmlformats-officedocument.spreadsheetml.worksheet+xml" PartName="/xl/worksheets/sheet15286.xml"/>
  <Override ContentType="application/vnd.openxmlformats-officedocument.spreadsheetml.worksheet+xml" PartName="/xl/worksheets/sheet15287.xml"/>
  <Override ContentType="application/vnd.openxmlformats-officedocument.spreadsheetml.worksheet+xml" PartName="/xl/worksheets/sheet15288.xml"/>
  <Override ContentType="application/vnd.openxmlformats-officedocument.spreadsheetml.worksheet+xml" PartName="/xl/worksheets/sheet15289.xml"/>
  <Override ContentType="application/vnd.openxmlformats-officedocument.spreadsheetml.worksheet+xml" PartName="/xl/worksheets/sheet15290.xml"/>
  <Override ContentType="application/vnd.openxmlformats-officedocument.spreadsheetml.worksheet+xml" PartName="/xl/worksheets/sheet15291.xml"/>
  <Override ContentType="application/vnd.openxmlformats-officedocument.spreadsheetml.worksheet+xml" PartName="/xl/worksheets/sheet15292.xml"/>
  <Override ContentType="application/vnd.openxmlformats-officedocument.spreadsheetml.worksheet+xml" PartName="/xl/worksheets/sheet15293.xml"/>
  <Override ContentType="application/vnd.openxmlformats-officedocument.spreadsheetml.worksheet+xml" PartName="/xl/worksheets/sheet15294.xml"/>
  <Override ContentType="application/vnd.openxmlformats-officedocument.spreadsheetml.worksheet+xml" PartName="/xl/worksheets/sheet15295.xml"/>
  <Override ContentType="application/vnd.openxmlformats-officedocument.spreadsheetml.worksheet+xml" PartName="/xl/worksheets/sheet15296.xml"/>
  <Override ContentType="application/vnd.openxmlformats-officedocument.spreadsheetml.worksheet+xml" PartName="/xl/worksheets/sheet15297.xml"/>
  <Override ContentType="application/vnd.openxmlformats-officedocument.spreadsheetml.worksheet+xml" PartName="/xl/worksheets/sheet15298.xml"/>
  <Override ContentType="application/vnd.openxmlformats-officedocument.spreadsheetml.worksheet+xml" PartName="/xl/worksheets/sheet15299.xml"/>
  <Override ContentType="application/vnd.openxmlformats-officedocument.spreadsheetml.worksheet+xml" PartName="/xl/worksheets/sheet15300.xml"/>
  <Override ContentType="application/vnd.openxmlformats-officedocument.spreadsheetml.worksheet+xml" PartName="/xl/worksheets/sheet15301.xml"/>
  <Override ContentType="application/vnd.openxmlformats-officedocument.spreadsheetml.worksheet+xml" PartName="/xl/worksheets/sheet15302.xml"/>
  <Override ContentType="application/vnd.openxmlformats-officedocument.spreadsheetml.worksheet+xml" PartName="/xl/worksheets/sheet15303.xml"/>
  <Override ContentType="application/vnd.openxmlformats-officedocument.spreadsheetml.worksheet+xml" PartName="/xl/worksheets/sheet15304.xml"/>
  <Override ContentType="application/vnd.openxmlformats-officedocument.spreadsheetml.worksheet+xml" PartName="/xl/worksheets/sheet15305.xml"/>
  <Override ContentType="application/vnd.openxmlformats-officedocument.spreadsheetml.worksheet+xml" PartName="/xl/worksheets/sheet15306.xml"/>
  <Override ContentType="application/vnd.openxmlformats-officedocument.spreadsheetml.worksheet+xml" PartName="/xl/worksheets/sheet15307.xml"/>
  <Override ContentType="application/vnd.openxmlformats-officedocument.spreadsheetml.worksheet+xml" PartName="/xl/worksheets/sheet15308.xml"/>
  <Override ContentType="application/vnd.openxmlformats-officedocument.spreadsheetml.worksheet+xml" PartName="/xl/worksheets/sheet15309.xml"/>
  <Override ContentType="application/vnd.openxmlformats-officedocument.spreadsheetml.worksheet+xml" PartName="/xl/worksheets/sheet15310.xml"/>
  <Override ContentType="application/vnd.openxmlformats-officedocument.spreadsheetml.worksheet+xml" PartName="/xl/worksheets/sheet15311.xml"/>
  <Override ContentType="application/vnd.openxmlformats-officedocument.spreadsheetml.worksheet+xml" PartName="/xl/worksheets/sheet15312.xml"/>
  <Override ContentType="application/vnd.openxmlformats-officedocument.spreadsheetml.worksheet+xml" PartName="/xl/worksheets/sheet15313.xml"/>
  <Override ContentType="application/vnd.openxmlformats-officedocument.spreadsheetml.worksheet+xml" PartName="/xl/worksheets/sheet15314.xml"/>
  <Override ContentType="application/vnd.openxmlformats-officedocument.spreadsheetml.worksheet+xml" PartName="/xl/worksheets/sheet15315.xml"/>
  <Override ContentType="application/vnd.openxmlformats-officedocument.spreadsheetml.worksheet+xml" PartName="/xl/worksheets/sheet15316.xml"/>
  <Override ContentType="application/vnd.openxmlformats-officedocument.spreadsheetml.worksheet+xml" PartName="/xl/worksheets/sheet15317.xml"/>
  <Override ContentType="application/vnd.openxmlformats-officedocument.spreadsheetml.worksheet+xml" PartName="/xl/worksheets/sheet15318.xml"/>
  <Override ContentType="application/vnd.openxmlformats-officedocument.spreadsheetml.worksheet+xml" PartName="/xl/worksheets/sheet15319.xml"/>
  <Override ContentType="application/vnd.openxmlformats-officedocument.spreadsheetml.worksheet+xml" PartName="/xl/worksheets/sheet15320.xml"/>
  <Override ContentType="application/vnd.openxmlformats-officedocument.spreadsheetml.worksheet+xml" PartName="/xl/worksheets/sheet15321.xml"/>
  <Override ContentType="application/vnd.openxmlformats-officedocument.spreadsheetml.worksheet+xml" PartName="/xl/worksheets/sheet15322.xml"/>
  <Override ContentType="application/vnd.openxmlformats-officedocument.spreadsheetml.worksheet+xml" PartName="/xl/worksheets/sheet15323.xml"/>
  <Override ContentType="application/vnd.openxmlformats-officedocument.spreadsheetml.worksheet+xml" PartName="/xl/worksheets/sheet15324.xml"/>
  <Override ContentType="application/vnd.openxmlformats-officedocument.spreadsheetml.worksheet+xml" PartName="/xl/worksheets/sheet15325.xml"/>
  <Override ContentType="application/vnd.openxmlformats-officedocument.spreadsheetml.worksheet+xml" PartName="/xl/worksheets/sheet15326.xml"/>
  <Override ContentType="application/vnd.openxmlformats-officedocument.spreadsheetml.worksheet+xml" PartName="/xl/worksheets/sheet15327.xml"/>
  <Override ContentType="application/vnd.openxmlformats-officedocument.spreadsheetml.worksheet+xml" PartName="/xl/worksheets/sheet15328.xml"/>
  <Override ContentType="application/vnd.openxmlformats-officedocument.spreadsheetml.worksheet+xml" PartName="/xl/worksheets/sheet15329.xml"/>
  <Override ContentType="application/vnd.openxmlformats-officedocument.spreadsheetml.worksheet+xml" PartName="/xl/worksheets/sheet15330.xml"/>
  <Override ContentType="application/vnd.openxmlformats-officedocument.spreadsheetml.worksheet+xml" PartName="/xl/worksheets/sheet15331.xml"/>
  <Override ContentType="application/vnd.openxmlformats-officedocument.spreadsheetml.worksheet+xml" PartName="/xl/worksheets/sheet15332.xml"/>
  <Override ContentType="application/vnd.openxmlformats-officedocument.spreadsheetml.worksheet+xml" PartName="/xl/worksheets/sheet15333.xml"/>
  <Override ContentType="application/vnd.openxmlformats-officedocument.spreadsheetml.worksheet+xml" PartName="/xl/worksheets/sheet15334.xml"/>
  <Override ContentType="application/vnd.openxmlformats-officedocument.spreadsheetml.worksheet+xml" PartName="/xl/worksheets/sheet15335.xml"/>
  <Override ContentType="application/vnd.openxmlformats-officedocument.spreadsheetml.worksheet+xml" PartName="/xl/worksheets/sheet15336.xml"/>
  <Override ContentType="application/vnd.openxmlformats-officedocument.spreadsheetml.worksheet+xml" PartName="/xl/worksheets/sheet15337.xml"/>
  <Override ContentType="application/vnd.openxmlformats-officedocument.spreadsheetml.worksheet+xml" PartName="/xl/worksheets/sheet15338.xml"/>
  <Override ContentType="application/vnd.openxmlformats-officedocument.spreadsheetml.worksheet+xml" PartName="/xl/worksheets/sheet15339.xml"/>
  <Override ContentType="application/vnd.openxmlformats-officedocument.spreadsheetml.worksheet+xml" PartName="/xl/worksheets/sheet15340.xml"/>
  <Override ContentType="application/vnd.openxmlformats-officedocument.spreadsheetml.worksheet+xml" PartName="/xl/worksheets/sheet15341.xml"/>
  <Override ContentType="application/vnd.openxmlformats-officedocument.spreadsheetml.worksheet+xml" PartName="/xl/worksheets/sheet15342.xml"/>
  <Override ContentType="application/vnd.openxmlformats-officedocument.spreadsheetml.worksheet+xml" PartName="/xl/worksheets/sheet15343.xml"/>
  <Override ContentType="application/vnd.openxmlformats-officedocument.spreadsheetml.worksheet+xml" PartName="/xl/worksheets/sheet15344.xml"/>
  <Override ContentType="application/vnd.openxmlformats-officedocument.spreadsheetml.worksheet+xml" PartName="/xl/worksheets/sheet15345.xml"/>
  <Override ContentType="application/vnd.openxmlformats-officedocument.spreadsheetml.worksheet+xml" PartName="/xl/worksheets/sheet15346.xml"/>
  <Override ContentType="application/vnd.openxmlformats-officedocument.spreadsheetml.worksheet+xml" PartName="/xl/worksheets/sheet15347.xml"/>
  <Override ContentType="application/vnd.openxmlformats-officedocument.spreadsheetml.worksheet+xml" PartName="/xl/worksheets/sheet15348.xml"/>
  <Override ContentType="application/vnd.openxmlformats-officedocument.spreadsheetml.worksheet+xml" PartName="/xl/worksheets/sheet15349.xml"/>
  <Override ContentType="application/vnd.openxmlformats-officedocument.spreadsheetml.worksheet+xml" PartName="/xl/worksheets/sheet15350.xml"/>
  <Override ContentType="application/vnd.openxmlformats-officedocument.spreadsheetml.worksheet+xml" PartName="/xl/worksheets/sheet15351.xml"/>
  <Override ContentType="application/vnd.openxmlformats-officedocument.spreadsheetml.worksheet+xml" PartName="/xl/worksheets/sheet15352.xml"/>
  <Override ContentType="application/vnd.openxmlformats-officedocument.spreadsheetml.worksheet+xml" PartName="/xl/worksheets/sheet15353.xml"/>
  <Override ContentType="application/vnd.openxmlformats-officedocument.spreadsheetml.worksheet+xml" PartName="/xl/worksheets/sheet15354.xml"/>
  <Override ContentType="application/vnd.openxmlformats-officedocument.spreadsheetml.worksheet+xml" PartName="/xl/worksheets/sheet15355.xml"/>
  <Override ContentType="application/vnd.openxmlformats-officedocument.spreadsheetml.worksheet+xml" PartName="/xl/worksheets/sheet15356.xml"/>
  <Override ContentType="application/vnd.openxmlformats-officedocument.spreadsheetml.worksheet+xml" PartName="/xl/worksheets/sheet15357.xml"/>
  <Override ContentType="application/vnd.openxmlformats-officedocument.spreadsheetml.worksheet+xml" PartName="/xl/worksheets/sheet15358.xml"/>
  <Override ContentType="application/vnd.openxmlformats-officedocument.spreadsheetml.worksheet+xml" PartName="/xl/worksheets/sheet15359.xml"/>
  <Override ContentType="application/vnd.openxmlformats-officedocument.spreadsheetml.worksheet+xml" PartName="/xl/worksheets/sheet15360.xml"/>
  <Override ContentType="application/vnd.openxmlformats-officedocument.spreadsheetml.worksheet+xml" PartName="/xl/worksheets/sheet15361.xml"/>
  <Override ContentType="application/vnd.openxmlformats-officedocument.spreadsheetml.worksheet+xml" PartName="/xl/worksheets/sheet15362.xml"/>
  <Override ContentType="application/vnd.openxmlformats-officedocument.spreadsheetml.worksheet+xml" PartName="/xl/worksheets/sheet15363.xml"/>
  <Override ContentType="application/vnd.openxmlformats-officedocument.spreadsheetml.worksheet+xml" PartName="/xl/worksheets/sheet15364.xml"/>
  <Override ContentType="application/vnd.openxmlformats-officedocument.spreadsheetml.worksheet+xml" PartName="/xl/worksheets/sheet15365.xml"/>
  <Override ContentType="application/vnd.openxmlformats-officedocument.spreadsheetml.worksheet+xml" PartName="/xl/worksheets/sheet15366.xml"/>
  <Override ContentType="application/vnd.openxmlformats-officedocument.spreadsheetml.worksheet+xml" PartName="/xl/worksheets/sheet15367.xml"/>
  <Override ContentType="application/vnd.openxmlformats-officedocument.spreadsheetml.worksheet+xml" PartName="/xl/worksheets/sheet15368.xml"/>
  <Override ContentType="application/vnd.openxmlformats-officedocument.spreadsheetml.worksheet+xml" PartName="/xl/worksheets/sheet15369.xml"/>
  <Override ContentType="application/vnd.openxmlformats-officedocument.spreadsheetml.worksheet+xml" PartName="/xl/worksheets/sheet15370.xml"/>
  <Override ContentType="application/vnd.openxmlformats-officedocument.spreadsheetml.worksheet+xml" PartName="/xl/worksheets/sheet15371.xml"/>
  <Override ContentType="application/vnd.openxmlformats-officedocument.spreadsheetml.worksheet+xml" PartName="/xl/worksheets/sheet15372.xml"/>
  <Override ContentType="application/vnd.openxmlformats-officedocument.spreadsheetml.worksheet+xml" PartName="/xl/worksheets/sheet15373.xml"/>
  <Override ContentType="application/vnd.openxmlformats-officedocument.spreadsheetml.worksheet+xml" PartName="/xl/worksheets/sheet15374.xml"/>
  <Override ContentType="application/vnd.openxmlformats-officedocument.spreadsheetml.worksheet+xml" PartName="/xl/worksheets/sheet15375.xml"/>
  <Override ContentType="application/vnd.openxmlformats-officedocument.spreadsheetml.worksheet+xml" PartName="/xl/worksheets/sheet15376.xml"/>
  <Override ContentType="application/vnd.openxmlformats-officedocument.spreadsheetml.worksheet+xml" PartName="/xl/worksheets/sheet15377.xml"/>
  <Override ContentType="application/vnd.openxmlformats-officedocument.spreadsheetml.worksheet+xml" PartName="/xl/worksheets/sheet15378.xml"/>
  <Override ContentType="application/vnd.openxmlformats-officedocument.spreadsheetml.worksheet+xml" PartName="/xl/worksheets/sheet15379.xml"/>
  <Override ContentType="application/vnd.openxmlformats-officedocument.spreadsheetml.worksheet+xml" PartName="/xl/worksheets/sheet15380.xml"/>
  <Override ContentType="application/vnd.openxmlformats-officedocument.spreadsheetml.worksheet+xml" PartName="/xl/worksheets/sheet15381.xml"/>
  <Override ContentType="application/vnd.openxmlformats-officedocument.spreadsheetml.worksheet+xml" PartName="/xl/worksheets/sheet15382.xml"/>
  <Override ContentType="application/vnd.openxmlformats-officedocument.spreadsheetml.worksheet+xml" PartName="/xl/worksheets/sheet15383.xml"/>
  <Override ContentType="application/vnd.openxmlformats-officedocument.spreadsheetml.worksheet+xml" PartName="/xl/worksheets/sheet15384.xml"/>
  <Override ContentType="application/vnd.openxmlformats-officedocument.spreadsheetml.worksheet+xml" PartName="/xl/worksheets/sheet15385.xml"/>
  <Override ContentType="application/vnd.openxmlformats-officedocument.spreadsheetml.worksheet+xml" PartName="/xl/worksheets/sheet15386.xml"/>
  <Override ContentType="application/vnd.openxmlformats-officedocument.spreadsheetml.worksheet+xml" PartName="/xl/worksheets/sheet15387.xml"/>
  <Override ContentType="application/vnd.openxmlformats-officedocument.spreadsheetml.worksheet+xml" PartName="/xl/worksheets/sheet15388.xml"/>
  <Override ContentType="application/vnd.openxmlformats-officedocument.spreadsheetml.worksheet+xml" PartName="/xl/worksheets/sheet15389.xml"/>
  <Override ContentType="application/vnd.openxmlformats-officedocument.spreadsheetml.worksheet+xml" PartName="/xl/worksheets/sheet15390.xml"/>
  <Override ContentType="application/vnd.openxmlformats-officedocument.spreadsheetml.worksheet+xml" PartName="/xl/worksheets/sheet15391.xml"/>
  <Override ContentType="application/vnd.openxmlformats-officedocument.spreadsheetml.worksheet+xml" PartName="/xl/worksheets/sheet15392.xml"/>
  <Override ContentType="application/vnd.openxmlformats-officedocument.spreadsheetml.worksheet+xml" PartName="/xl/worksheets/sheet15393.xml"/>
  <Override ContentType="application/vnd.openxmlformats-officedocument.spreadsheetml.worksheet+xml" PartName="/xl/worksheets/sheet15394.xml"/>
  <Override ContentType="application/vnd.openxmlformats-officedocument.spreadsheetml.worksheet+xml" PartName="/xl/worksheets/sheet15395.xml"/>
  <Override ContentType="application/vnd.openxmlformats-officedocument.spreadsheetml.worksheet+xml" PartName="/xl/worksheets/sheet15396.xml"/>
  <Override ContentType="application/vnd.openxmlformats-officedocument.spreadsheetml.worksheet+xml" PartName="/xl/worksheets/sheet15397.xml"/>
  <Override ContentType="application/vnd.openxmlformats-officedocument.spreadsheetml.worksheet+xml" PartName="/xl/worksheets/sheet15398.xml"/>
  <Override ContentType="application/vnd.openxmlformats-officedocument.spreadsheetml.worksheet+xml" PartName="/xl/worksheets/sheet15399.xml"/>
  <Override ContentType="application/vnd.openxmlformats-officedocument.spreadsheetml.worksheet+xml" PartName="/xl/worksheets/sheet15400.xml"/>
  <Override ContentType="application/vnd.openxmlformats-officedocument.spreadsheetml.worksheet+xml" PartName="/xl/worksheets/sheet15401.xml"/>
  <Override ContentType="application/vnd.openxmlformats-officedocument.spreadsheetml.worksheet+xml" PartName="/xl/worksheets/sheet15402.xml"/>
  <Override ContentType="application/vnd.openxmlformats-officedocument.spreadsheetml.worksheet+xml" PartName="/xl/worksheets/sheet15403.xml"/>
  <Override ContentType="application/vnd.openxmlformats-officedocument.spreadsheetml.worksheet+xml" PartName="/xl/worksheets/sheet15404.xml"/>
  <Override ContentType="application/vnd.openxmlformats-officedocument.spreadsheetml.worksheet+xml" PartName="/xl/worksheets/sheet15405.xml"/>
  <Override ContentType="application/vnd.openxmlformats-officedocument.spreadsheetml.worksheet+xml" PartName="/xl/worksheets/sheet15406.xml"/>
  <Override ContentType="application/vnd.openxmlformats-officedocument.spreadsheetml.worksheet+xml" PartName="/xl/worksheets/sheet15407.xml"/>
  <Override ContentType="application/vnd.openxmlformats-officedocument.spreadsheetml.worksheet+xml" PartName="/xl/worksheets/sheet15408.xml"/>
  <Override ContentType="application/vnd.openxmlformats-officedocument.spreadsheetml.worksheet+xml" PartName="/xl/worksheets/sheet15409.xml"/>
  <Override ContentType="application/vnd.openxmlformats-officedocument.spreadsheetml.worksheet+xml" PartName="/xl/worksheets/sheet15410.xml"/>
  <Override ContentType="application/vnd.openxmlformats-officedocument.spreadsheetml.worksheet+xml" PartName="/xl/worksheets/sheet15411.xml"/>
  <Override ContentType="application/vnd.openxmlformats-officedocument.spreadsheetml.worksheet+xml" PartName="/xl/worksheets/sheet15412.xml"/>
  <Override ContentType="application/vnd.openxmlformats-officedocument.spreadsheetml.worksheet+xml" PartName="/xl/worksheets/sheet15413.xml"/>
  <Override ContentType="application/vnd.openxmlformats-officedocument.spreadsheetml.worksheet+xml" PartName="/xl/worksheets/sheet15414.xml"/>
  <Override ContentType="application/vnd.openxmlformats-officedocument.spreadsheetml.worksheet+xml" PartName="/xl/worksheets/sheet15415.xml"/>
  <Override ContentType="application/vnd.openxmlformats-officedocument.spreadsheetml.worksheet+xml" PartName="/xl/worksheets/sheet15416.xml"/>
  <Override ContentType="application/vnd.openxmlformats-officedocument.spreadsheetml.worksheet+xml" PartName="/xl/worksheets/sheet15417.xml"/>
  <Override ContentType="application/vnd.openxmlformats-officedocument.spreadsheetml.worksheet+xml" PartName="/xl/worksheets/sheet15418.xml"/>
  <Override ContentType="application/vnd.openxmlformats-officedocument.spreadsheetml.worksheet+xml" PartName="/xl/worksheets/sheet15419.xml"/>
  <Override ContentType="application/vnd.openxmlformats-officedocument.spreadsheetml.worksheet+xml" PartName="/xl/worksheets/sheet15420.xml"/>
  <Override ContentType="application/vnd.openxmlformats-officedocument.spreadsheetml.worksheet+xml" PartName="/xl/worksheets/sheet15421.xml"/>
  <Override ContentType="application/vnd.openxmlformats-officedocument.spreadsheetml.worksheet+xml" PartName="/xl/worksheets/sheet15422.xml"/>
  <Override ContentType="application/vnd.openxmlformats-officedocument.spreadsheetml.worksheet+xml" PartName="/xl/worksheets/sheet15423.xml"/>
  <Override ContentType="application/vnd.openxmlformats-officedocument.spreadsheetml.worksheet+xml" PartName="/xl/worksheets/sheet15424.xml"/>
  <Override ContentType="application/vnd.openxmlformats-officedocument.spreadsheetml.worksheet+xml" PartName="/xl/worksheets/sheet15425.xml"/>
  <Override ContentType="application/vnd.openxmlformats-officedocument.spreadsheetml.worksheet+xml" PartName="/xl/worksheets/sheet15426.xml"/>
  <Override ContentType="application/vnd.openxmlformats-officedocument.spreadsheetml.worksheet+xml" PartName="/xl/worksheets/sheet15427.xml"/>
  <Override ContentType="application/vnd.openxmlformats-officedocument.spreadsheetml.worksheet+xml" PartName="/xl/worksheets/sheet15428.xml"/>
  <Override ContentType="application/vnd.openxmlformats-officedocument.spreadsheetml.worksheet+xml" PartName="/xl/worksheets/sheet15429.xml"/>
  <Override ContentType="application/vnd.openxmlformats-officedocument.spreadsheetml.worksheet+xml" PartName="/xl/worksheets/sheet15430.xml"/>
  <Override ContentType="application/vnd.openxmlformats-officedocument.spreadsheetml.worksheet+xml" PartName="/xl/worksheets/sheet15431.xml"/>
  <Override ContentType="application/vnd.openxmlformats-officedocument.spreadsheetml.worksheet+xml" PartName="/xl/worksheets/sheet15432.xml"/>
  <Override ContentType="application/vnd.openxmlformats-officedocument.spreadsheetml.worksheet+xml" PartName="/xl/worksheets/sheet15433.xml"/>
  <Override ContentType="application/vnd.openxmlformats-officedocument.spreadsheetml.worksheet+xml" PartName="/xl/worksheets/sheet15434.xml"/>
  <Override ContentType="application/vnd.openxmlformats-officedocument.spreadsheetml.worksheet+xml" PartName="/xl/worksheets/sheet15435.xml"/>
  <Override ContentType="application/vnd.openxmlformats-officedocument.spreadsheetml.worksheet+xml" PartName="/xl/worksheets/sheet15436.xml"/>
  <Override ContentType="application/vnd.openxmlformats-officedocument.spreadsheetml.worksheet+xml" PartName="/xl/worksheets/sheet15437.xml"/>
  <Override ContentType="application/vnd.openxmlformats-officedocument.spreadsheetml.worksheet+xml" PartName="/xl/worksheets/sheet15438.xml"/>
  <Override ContentType="application/vnd.openxmlformats-officedocument.spreadsheetml.worksheet+xml" PartName="/xl/worksheets/sheet15439.xml"/>
  <Override ContentType="application/vnd.openxmlformats-officedocument.spreadsheetml.worksheet+xml" PartName="/xl/worksheets/sheet15440.xml"/>
  <Override ContentType="application/vnd.openxmlformats-officedocument.spreadsheetml.worksheet+xml" PartName="/xl/worksheets/sheet15441.xml"/>
  <Override ContentType="application/vnd.openxmlformats-officedocument.spreadsheetml.worksheet+xml" PartName="/xl/worksheets/sheet15442.xml"/>
  <Override ContentType="application/vnd.openxmlformats-officedocument.spreadsheetml.worksheet+xml" PartName="/xl/worksheets/sheet15443.xml"/>
  <Override ContentType="application/vnd.openxmlformats-officedocument.spreadsheetml.worksheet+xml" PartName="/xl/worksheets/sheet15444.xml"/>
  <Override ContentType="application/vnd.openxmlformats-officedocument.spreadsheetml.worksheet+xml" PartName="/xl/worksheets/sheet15445.xml"/>
  <Override ContentType="application/vnd.openxmlformats-officedocument.spreadsheetml.worksheet+xml" PartName="/xl/worksheets/sheet15446.xml"/>
  <Override ContentType="application/vnd.openxmlformats-officedocument.spreadsheetml.worksheet+xml" PartName="/xl/worksheets/sheet15447.xml"/>
  <Override ContentType="application/vnd.openxmlformats-officedocument.spreadsheetml.worksheet+xml" PartName="/xl/worksheets/sheet15448.xml"/>
  <Override ContentType="application/vnd.openxmlformats-officedocument.spreadsheetml.worksheet+xml" PartName="/xl/worksheets/sheet15449.xml"/>
  <Override ContentType="application/vnd.openxmlformats-officedocument.spreadsheetml.worksheet+xml" PartName="/xl/worksheets/sheet15450.xml"/>
  <Override ContentType="application/vnd.openxmlformats-officedocument.spreadsheetml.worksheet+xml" PartName="/xl/worksheets/sheet15451.xml"/>
  <Override ContentType="application/vnd.openxmlformats-officedocument.spreadsheetml.worksheet+xml" PartName="/xl/worksheets/sheet15452.xml"/>
  <Override ContentType="application/vnd.openxmlformats-officedocument.spreadsheetml.worksheet+xml" PartName="/xl/worksheets/sheet15453.xml"/>
  <Override ContentType="application/vnd.openxmlformats-officedocument.spreadsheetml.worksheet+xml" PartName="/xl/worksheets/sheet15454.xml"/>
  <Override ContentType="application/vnd.openxmlformats-officedocument.spreadsheetml.worksheet+xml" PartName="/xl/worksheets/sheet15455.xml"/>
  <Override ContentType="application/vnd.openxmlformats-officedocument.spreadsheetml.worksheet+xml" PartName="/xl/worksheets/sheet15456.xml"/>
  <Override ContentType="application/vnd.openxmlformats-officedocument.spreadsheetml.worksheet+xml" PartName="/xl/worksheets/sheet15457.xml"/>
  <Override ContentType="application/vnd.openxmlformats-officedocument.spreadsheetml.worksheet+xml" PartName="/xl/worksheets/sheet15458.xml"/>
  <Override ContentType="application/vnd.openxmlformats-officedocument.spreadsheetml.worksheet+xml" PartName="/xl/worksheets/sheet15459.xml"/>
  <Override ContentType="application/vnd.openxmlformats-officedocument.spreadsheetml.worksheet+xml" PartName="/xl/worksheets/sheet15460.xml"/>
  <Override ContentType="application/vnd.openxmlformats-officedocument.spreadsheetml.worksheet+xml" PartName="/xl/worksheets/sheet15461.xml"/>
  <Override ContentType="application/vnd.openxmlformats-officedocument.spreadsheetml.worksheet+xml" PartName="/xl/worksheets/sheet15462.xml"/>
  <Override ContentType="application/vnd.openxmlformats-officedocument.spreadsheetml.worksheet+xml" PartName="/xl/worksheets/sheet15463.xml"/>
  <Override ContentType="application/vnd.openxmlformats-officedocument.spreadsheetml.worksheet+xml" PartName="/xl/worksheets/sheet15464.xml"/>
  <Override ContentType="application/vnd.openxmlformats-officedocument.spreadsheetml.worksheet+xml" PartName="/xl/worksheets/sheet15465.xml"/>
  <Override ContentType="application/vnd.openxmlformats-officedocument.spreadsheetml.worksheet+xml" PartName="/xl/worksheets/sheet15466.xml"/>
  <Override ContentType="application/vnd.openxmlformats-officedocument.spreadsheetml.worksheet+xml" PartName="/xl/worksheets/sheet15467.xml"/>
  <Override ContentType="application/vnd.openxmlformats-officedocument.spreadsheetml.worksheet+xml" PartName="/xl/worksheets/sheet15468.xml"/>
  <Override ContentType="application/vnd.openxmlformats-officedocument.spreadsheetml.worksheet+xml" PartName="/xl/worksheets/sheet15469.xml"/>
  <Override ContentType="application/vnd.openxmlformats-officedocument.spreadsheetml.worksheet+xml" PartName="/xl/worksheets/sheet15470.xml"/>
  <Override ContentType="application/vnd.openxmlformats-officedocument.spreadsheetml.worksheet+xml" PartName="/xl/worksheets/sheet15471.xml"/>
  <Override ContentType="application/vnd.openxmlformats-officedocument.spreadsheetml.worksheet+xml" PartName="/xl/worksheets/sheet15472.xml"/>
  <Override ContentType="application/vnd.openxmlformats-officedocument.spreadsheetml.worksheet+xml" PartName="/xl/worksheets/sheet15473.xml"/>
  <Override ContentType="application/vnd.openxmlformats-officedocument.spreadsheetml.worksheet+xml" PartName="/xl/worksheets/sheet15474.xml"/>
  <Override ContentType="application/vnd.openxmlformats-officedocument.spreadsheetml.worksheet+xml" PartName="/xl/worksheets/sheet15475.xml"/>
  <Override ContentType="application/vnd.openxmlformats-officedocument.spreadsheetml.worksheet+xml" PartName="/xl/worksheets/sheet15476.xml"/>
  <Override ContentType="application/vnd.openxmlformats-officedocument.spreadsheetml.worksheet+xml" PartName="/xl/worksheets/sheet15477.xml"/>
  <Override ContentType="application/vnd.openxmlformats-officedocument.spreadsheetml.worksheet+xml" PartName="/xl/worksheets/sheet15478.xml"/>
  <Override ContentType="application/vnd.openxmlformats-officedocument.spreadsheetml.worksheet+xml" PartName="/xl/worksheets/sheet15479.xml"/>
  <Override ContentType="application/vnd.openxmlformats-officedocument.spreadsheetml.worksheet+xml" PartName="/xl/worksheets/sheet15480.xml"/>
  <Override ContentType="application/vnd.openxmlformats-officedocument.spreadsheetml.worksheet+xml" PartName="/xl/worksheets/sheet15481.xml"/>
  <Override ContentType="application/vnd.openxmlformats-officedocument.spreadsheetml.worksheet+xml" PartName="/xl/worksheets/sheet15482.xml"/>
  <Override ContentType="application/vnd.openxmlformats-officedocument.spreadsheetml.worksheet+xml" PartName="/xl/worksheets/sheet15483.xml"/>
  <Override ContentType="application/vnd.openxmlformats-officedocument.spreadsheetml.worksheet+xml" PartName="/xl/worksheets/sheet15484.xml"/>
  <Override ContentType="application/vnd.openxmlformats-officedocument.spreadsheetml.worksheet+xml" PartName="/xl/worksheets/sheet15485.xml"/>
  <Override ContentType="application/vnd.openxmlformats-officedocument.spreadsheetml.worksheet+xml" PartName="/xl/worksheets/sheet15486.xml"/>
  <Override ContentType="application/vnd.openxmlformats-officedocument.spreadsheetml.worksheet+xml" PartName="/xl/worksheets/sheet15487.xml"/>
  <Override ContentType="application/vnd.openxmlformats-officedocument.spreadsheetml.worksheet+xml" PartName="/xl/worksheets/sheet15488.xml"/>
  <Override ContentType="application/vnd.openxmlformats-officedocument.spreadsheetml.worksheet+xml" PartName="/xl/worksheets/sheet15489.xml"/>
  <Override ContentType="application/vnd.openxmlformats-officedocument.spreadsheetml.worksheet+xml" PartName="/xl/worksheets/sheet15490.xml"/>
  <Override ContentType="application/vnd.openxmlformats-officedocument.spreadsheetml.worksheet+xml" PartName="/xl/worksheets/sheet15491.xml"/>
  <Override ContentType="application/vnd.openxmlformats-officedocument.spreadsheetml.worksheet+xml" PartName="/xl/worksheets/sheet15492.xml"/>
  <Override ContentType="application/vnd.openxmlformats-officedocument.spreadsheetml.worksheet+xml" PartName="/xl/worksheets/sheet15493.xml"/>
  <Override ContentType="application/vnd.openxmlformats-officedocument.spreadsheetml.worksheet+xml" PartName="/xl/worksheets/sheet15494.xml"/>
  <Override ContentType="application/vnd.openxmlformats-officedocument.spreadsheetml.worksheet+xml" PartName="/xl/worksheets/sheet15495.xml"/>
  <Override ContentType="application/vnd.openxmlformats-officedocument.spreadsheetml.worksheet+xml" PartName="/xl/worksheets/sheet15496.xml"/>
  <Override ContentType="application/vnd.openxmlformats-officedocument.spreadsheetml.worksheet+xml" PartName="/xl/worksheets/sheet15497.xml"/>
  <Override ContentType="application/vnd.openxmlformats-officedocument.spreadsheetml.worksheet+xml" PartName="/xl/worksheets/sheet15498.xml"/>
  <Override ContentType="application/vnd.openxmlformats-officedocument.spreadsheetml.worksheet+xml" PartName="/xl/worksheets/sheet15499.xml"/>
  <Override ContentType="application/vnd.openxmlformats-officedocument.spreadsheetml.worksheet+xml" PartName="/xl/worksheets/sheet15500.xml"/>
  <Override ContentType="application/vnd.openxmlformats-officedocument.spreadsheetml.worksheet+xml" PartName="/xl/worksheets/sheet15501.xml"/>
  <Override ContentType="application/vnd.openxmlformats-officedocument.spreadsheetml.worksheet+xml" PartName="/xl/worksheets/sheet15502.xml"/>
  <Override ContentType="application/vnd.openxmlformats-officedocument.spreadsheetml.worksheet+xml" PartName="/xl/worksheets/sheet15503.xml"/>
  <Override ContentType="application/vnd.openxmlformats-officedocument.spreadsheetml.worksheet+xml" PartName="/xl/worksheets/sheet15504.xml"/>
  <Override ContentType="application/vnd.openxmlformats-officedocument.spreadsheetml.worksheet+xml" PartName="/xl/worksheets/sheet15505.xml"/>
  <Override ContentType="application/vnd.openxmlformats-officedocument.spreadsheetml.worksheet+xml" PartName="/xl/worksheets/sheet15506.xml"/>
  <Override ContentType="application/vnd.openxmlformats-officedocument.spreadsheetml.worksheet+xml" PartName="/xl/worksheets/sheet15507.xml"/>
  <Override ContentType="application/vnd.openxmlformats-officedocument.spreadsheetml.worksheet+xml" PartName="/xl/worksheets/sheet15508.xml"/>
  <Override ContentType="application/vnd.openxmlformats-officedocument.spreadsheetml.worksheet+xml" PartName="/xl/worksheets/sheet15509.xml"/>
  <Override ContentType="application/vnd.openxmlformats-officedocument.spreadsheetml.worksheet+xml" PartName="/xl/worksheets/sheet15510.xml"/>
  <Override ContentType="application/vnd.openxmlformats-officedocument.spreadsheetml.worksheet+xml" PartName="/xl/worksheets/sheet15511.xml"/>
  <Override ContentType="application/vnd.openxmlformats-officedocument.spreadsheetml.worksheet+xml" PartName="/xl/worksheets/sheet15512.xml"/>
  <Override ContentType="application/vnd.openxmlformats-officedocument.spreadsheetml.worksheet+xml" PartName="/xl/worksheets/sheet15513.xml"/>
  <Override ContentType="application/vnd.openxmlformats-officedocument.spreadsheetml.worksheet+xml" PartName="/xl/worksheets/sheet15514.xml"/>
  <Override ContentType="application/vnd.openxmlformats-officedocument.spreadsheetml.worksheet+xml" PartName="/xl/worksheets/sheet15515.xml"/>
  <Override ContentType="application/vnd.openxmlformats-officedocument.spreadsheetml.worksheet+xml" PartName="/xl/worksheets/sheet15516.xml"/>
  <Override ContentType="application/vnd.openxmlformats-officedocument.spreadsheetml.worksheet+xml" PartName="/xl/worksheets/sheet15517.xml"/>
  <Override ContentType="application/vnd.openxmlformats-officedocument.spreadsheetml.worksheet+xml" PartName="/xl/worksheets/sheet15518.xml"/>
  <Override ContentType="application/vnd.openxmlformats-officedocument.spreadsheetml.worksheet+xml" PartName="/xl/worksheets/sheet15519.xml"/>
  <Override ContentType="application/vnd.openxmlformats-officedocument.spreadsheetml.worksheet+xml" PartName="/xl/worksheets/sheet15520.xml"/>
  <Override ContentType="application/vnd.openxmlformats-officedocument.spreadsheetml.worksheet+xml" PartName="/xl/worksheets/sheet15521.xml"/>
  <Override ContentType="application/vnd.openxmlformats-officedocument.spreadsheetml.worksheet+xml" PartName="/xl/worksheets/sheet15522.xml"/>
  <Override ContentType="application/vnd.openxmlformats-officedocument.spreadsheetml.worksheet+xml" PartName="/xl/worksheets/sheet15523.xml"/>
  <Override ContentType="application/vnd.openxmlformats-officedocument.spreadsheetml.worksheet+xml" PartName="/xl/worksheets/sheet15524.xml"/>
  <Override ContentType="application/vnd.openxmlformats-officedocument.spreadsheetml.worksheet+xml" PartName="/xl/worksheets/sheet15525.xml"/>
  <Override ContentType="application/vnd.openxmlformats-officedocument.spreadsheetml.worksheet+xml" PartName="/xl/worksheets/sheet15526.xml"/>
  <Override ContentType="application/vnd.openxmlformats-officedocument.spreadsheetml.worksheet+xml" PartName="/xl/worksheets/sheet15527.xml"/>
  <Override ContentType="application/vnd.openxmlformats-officedocument.spreadsheetml.worksheet+xml" PartName="/xl/worksheets/sheet15528.xml"/>
  <Override ContentType="application/vnd.openxmlformats-officedocument.spreadsheetml.worksheet+xml" PartName="/xl/worksheets/sheet15529.xml"/>
  <Override ContentType="application/vnd.openxmlformats-officedocument.spreadsheetml.worksheet+xml" PartName="/xl/worksheets/sheet15530.xml"/>
  <Override ContentType="application/vnd.openxmlformats-officedocument.spreadsheetml.worksheet+xml" PartName="/xl/worksheets/sheet15531.xml"/>
  <Override ContentType="application/vnd.openxmlformats-officedocument.spreadsheetml.worksheet+xml" PartName="/xl/worksheets/sheet15532.xml"/>
  <Override ContentType="application/vnd.openxmlformats-officedocument.spreadsheetml.worksheet+xml" PartName="/xl/worksheets/sheet15533.xml"/>
  <Override ContentType="application/vnd.openxmlformats-officedocument.spreadsheetml.worksheet+xml" PartName="/xl/worksheets/sheet15534.xml"/>
  <Override ContentType="application/vnd.openxmlformats-officedocument.spreadsheetml.worksheet+xml" PartName="/xl/worksheets/sheet15535.xml"/>
  <Override ContentType="application/vnd.openxmlformats-officedocument.spreadsheetml.worksheet+xml" PartName="/xl/worksheets/sheet15536.xml"/>
  <Override ContentType="application/vnd.openxmlformats-officedocument.spreadsheetml.worksheet+xml" PartName="/xl/worksheets/sheet15537.xml"/>
  <Override ContentType="application/vnd.openxmlformats-officedocument.spreadsheetml.worksheet+xml" PartName="/xl/worksheets/sheet15538.xml"/>
  <Override ContentType="application/vnd.openxmlformats-officedocument.spreadsheetml.worksheet+xml" PartName="/xl/worksheets/sheet15539.xml"/>
  <Override ContentType="application/vnd.openxmlformats-officedocument.spreadsheetml.worksheet+xml" PartName="/xl/worksheets/sheet15540.xml"/>
  <Override ContentType="application/vnd.openxmlformats-officedocument.spreadsheetml.worksheet+xml" PartName="/xl/worksheets/sheet15541.xml"/>
  <Override ContentType="application/vnd.openxmlformats-officedocument.spreadsheetml.worksheet+xml" PartName="/xl/worksheets/sheet15542.xml"/>
  <Override ContentType="application/vnd.openxmlformats-officedocument.spreadsheetml.worksheet+xml" PartName="/xl/worksheets/sheet15543.xml"/>
  <Override ContentType="application/vnd.openxmlformats-officedocument.spreadsheetml.worksheet+xml" PartName="/xl/worksheets/sheet15544.xml"/>
  <Override ContentType="application/vnd.openxmlformats-officedocument.spreadsheetml.worksheet+xml" PartName="/xl/worksheets/sheet15545.xml"/>
  <Override ContentType="application/vnd.openxmlformats-officedocument.spreadsheetml.worksheet+xml" PartName="/xl/worksheets/sheet15546.xml"/>
  <Override ContentType="application/vnd.openxmlformats-officedocument.spreadsheetml.worksheet+xml" PartName="/xl/worksheets/sheet15547.xml"/>
  <Override ContentType="application/vnd.openxmlformats-officedocument.spreadsheetml.worksheet+xml" PartName="/xl/worksheets/sheet15548.xml"/>
  <Override ContentType="application/vnd.openxmlformats-officedocument.spreadsheetml.worksheet+xml" PartName="/xl/worksheets/sheet15549.xml"/>
  <Override ContentType="application/vnd.openxmlformats-officedocument.spreadsheetml.worksheet+xml" PartName="/xl/worksheets/sheet15550.xml"/>
  <Override ContentType="application/vnd.openxmlformats-officedocument.spreadsheetml.worksheet+xml" PartName="/xl/worksheets/sheet15551.xml"/>
  <Override ContentType="application/vnd.openxmlformats-officedocument.spreadsheetml.worksheet+xml" PartName="/xl/worksheets/sheet15552.xml"/>
  <Override ContentType="application/vnd.openxmlformats-officedocument.spreadsheetml.worksheet+xml" PartName="/xl/worksheets/sheet15553.xml"/>
  <Override ContentType="application/vnd.openxmlformats-officedocument.spreadsheetml.worksheet+xml" PartName="/xl/worksheets/sheet15554.xml"/>
  <Override ContentType="application/vnd.openxmlformats-officedocument.spreadsheetml.worksheet+xml" PartName="/xl/worksheets/sheet15555.xml"/>
  <Override ContentType="application/vnd.openxmlformats-officedocument.spreadsheetml.worksheet+xml" PartName="/xl/worksheets/sheet15556.xml"/>
  <Override ContentType="application/vnd.openxmlformats-officedocument.spreadsheetml.worksheet+xml" PartName="/xl/worksheets/sheet15557.xml"/>
  <Override ContentType="application/vnd.openxmlformats-officedocument.spreadsheetml.worksheet+xml" PartName="/xl/worksheets/sheet15558.xml"/>
  <Override ContentType="application/vnd.openxmlformats-officedocument.spreadsheetml.worksheet+xml" PartName="/xl/worksheets/sheet15559.xml"/>
  <Override ContentType="application/vnd.openxmlformats-officedocument.spreadsheetml.worksheet+xml" PartName="/xl/worksheets/sheet15560.xml"/>
  <Override ContentType="application/vnd.openxmlformats-officedocument.spreadsheetml.worksheet+xml" PartName="/xl/worksheets/sheet15561.xml"/>
  <Override ContentType="application/vnd.openxmlformats-officedocument.spreadsheetml.worksheet+xml" PartName="/xl/worksheets/sheet15562.xml"/>
  <Override ContentType="application/vnd.openxmlformats-officedocument.spreadsheetml.worksheet+xml" PartName="/xl/worksheets/sheet15563.xml"/>
  <Override ContentType="application/vnd.openxmlformats-officedocument.spreadsheetml.worksheet+xml" PartName="/xl/worksheets/sheet15564.xml"/>
  <Override ContentType="application/vnd.openxmlformats-officedocument.spreadsheetml.worksheet+xml" PartName="/xl/worksheets/sheet15565.xml"/>
  <Override ContentType="application/vnd.openxmlformats-officedocument.spreadsheetml.worksheet+xml" PartName="/xl/worksheets/sheet15566.xml"/>
  <Override ContentType="application/vnd.openxmlformats-officedocument.spreadsheetml.worksheet+xml" PartName="/xl/worksheets/sheet15567.xml"/>
  <Override ContentType="application/vnd.openxmlformats-officedocument.spreadsheetml.worksheet+xml" PartName="/xl/worksheets/sheet15568.xml"/>
  <Override ContentType="application/vnd.openxmlformats-officedocument.spreadsheetml.worksheet+xml" PartName="/xl/worksheets/sheet15569.xml"/>
  <Override ContentType="application/vnd.openxmlformats-officedocument.spreadsheetml.worksheet+xml" PartName="/xl/worksheets/sheet15570.xml"/>
  <Override ContentType="application/vnd.openxmlformats-officedocument.spreadsheetml.worksheet+xml" PartName="/xl/worksheets/sheet15571.xml"/>
  <Override ContentType="application/vnd.openxmlformats-officedocument.spreadsheetml.worksheet+xml" PartName="/xl/worksheets/sheet15572.xml"/>
  <Override ContentType="application/vnd.openxmlformats-officedocument.spreadsheetml.worksheet+xml" PartName="/xl/worksheets/sheet15573.xml"/>
  <Override ContentType="application/vnd.openxmlformats-officedocument.spreadsheetml.worksheet+xml" PartName="/xl/worksheets/sheet15574.xml"/>
  <Override ContentType="application/vnd.openxmlformats-officedocument.spreadsheetml.worksheet+xml" PartName="/xl/worksheets/sheet15575.xml"/>
  <Override ContentType="application/vnd.openxmlformats-officedocument.spreadsheetml.worksheet+xml" PartName="/xl/worksheets/sheet15576.xml"/>
  <Override ContentType="application/vnd.openxmlformats-officedocument.spreadsheetml.worksheet+xml" PartName="/xl/worksheets/sheet15577.xml"/>
  <Override ContentType="application/vnd.openxmlformats-officedocument.spreadsheetml.worksheet+xml" PartName="/xl/worksheets/sheet15578.xml"/>
  <Override ContentType="application/vnd.openxmlformats-officedocument.spreadsheetml.worksheet+xml" PartName="/xl/worksheets/sheet15579.xml"/>
  <Override ContentType="application/vnd.openxmlformats-officedocument.spreadsheetml.worksheet+xml" PartName="/xl/worksheets/sheet15580.xml"/>
  <Override ContentType="application/vnd.openxmlformats-officedocument.spreadsheetml.worksheet+xml" PartName="/xl/worksheets/sheet15581.xml"/>
  <Override ContentType="application/vnd.openxmlformats-officedocument.spreadsheetml.worksheet+xml" PartName="/xl/worksheets/sheet15582.xml"/>
  <Override ContentType="application/vnd.openxmlformats-officedocument.spreadsheetml.worksheet+xml" PartName="/xl/worksheets/sheet15583.xml"/>
  <Override ContentType="application/vnd.openxmlformats-officedocument.spreadsheetml.worksheet+xml" PartName="/xl/worksheets/sheet15584.xml"/>
  <Override ContentType="application/vnd.openxmlformats-officedocument.spreadsheetml.worksheet+xml" PartName="/xl/worksheets/sheet15585.xml"/>
  <Override ContentType="application/vnd.openxmlformats-officedocument.spreadsheetml.worksheet+xml" PartName="/xl/worksheets/sheet15586.xml"/>
  <Override ContentType="application/vnd.openxmlformats-officedocument.spreadsheetml.worksheet+xml" PartName="/xl/worksheets/sheet15587.xml"/>
  <Override ContentType="application/vnd.openxmlformats-officedocument.spreadsheetml.worksheet+xml" PartName="/xl/worksheets/sheet15588.xml"/>
  <Override ContentType="application/vnd.openxmlformats-officedocument.spreadsheetml.worksheet+xml" PartName="/xl/worksheets/sheet15589.xml"/>
  <Override ContentType="application/vnd.openxmlformats-officedocument.spreadsheetml.worksheet+xml" PartName="/xl/worksheets/sheet15590.xml"/>
  <Override ContentType="application/vnd.openxmlformats-officedocument.spreadsheetml.worksheet+xml" PartName="/xl/worksheets/sheet15591.xml"/>
  <Override ContentType="application/vnd.openxmlformats-officedocument.spreadsheetml.worksheet+xml" PartName="/xl/worksheets/sheet15592.xml"/>
  <Override ContentType="application/vnd.openxmlformats-officedocument.spreadsheetml.worksheet+xml" PartName="/xl/worksheets/sheet15593.xml"/>
  <Override ContentType="application/vnd.openxmlformats-officedocument.spreadsheetml.worksheet+xml" PartName="/xl/worksheets/sheet15594.xml"/>
  <Override ContentType="application/vnd.openxmlformats-officedocument.spreadsheetml.worksheet+xml" PartName="/xl/worksheets/sheet15595.xml"/>
  <Override ContentType="application/vnd.openxmlformats-officedocument.spreadsheetml.worksheet+xml" PartName="/xl/worksheets/sheet15596.xml"/>
  <Override ContentType="application/vnd.openxmlformats-officedocument.spreadsheetml.worksheet+xml" PartName="/xl/worksheets/sheet15597.xml"/>
  <Override ContentType="application/vnd.openxmlformats-officedocument.spreadsheetml.worksheet+xml" PartName="/xl/worksheets/sheet15598.xml"/>
  <Override ContentType="application/vnd.openxmlformats-officedocument.spreadsheetml.worksheet+xml" PartName="/xl/worksheets/sheet15599.xml"/>
  <Override ContentType="application/vnd.openxmlformats-officedocument.spreadsheetml.worksheet+xml" PartName="/xl/worksheets/sheet15600.xml"/>
  <Override ContentType="application/vnd.openxmlformats-officedocument.spreadsheetml.worksheet+xml" PartName="/xl/worksheets/sheet15601.xml"/>
  <Override ContentType="application/vnd.openxmlformats-officedocument.spreadsheetml.worksheet+xml" PartName="/xl/worksheets/sheet15602.xml"/>
  <Override ContentType="application/vnd.openxmlformats-officedocument.spreadsheetml.worksheet+xml" PartName="/xl/worksheets/sheet15603.xml"/>
  <Override ContentType="application/vnd.openxmlformats-officedocument.spreadsheetml.worksheet+xml" PartName="/xl/worksheets/sheet15604.xml"/>
  <Override ContentType="application/vnd.openxmlformats-officedocument.spreadsheetml.worksheet+xml" PartName="/xl/worksheets/sheet15605.xml"/>
  <Override ContentType="application/vnd.openxmlformats-officedocument.spreadsheetml.worksheet+xml" PartName="/xl/worksheets/sheet15606.xml"/>
  <Override ContentType="application/vnd.openxmlformats-officedocument.spreadsheetml.worksheet+xml" PartName="/xl/worksheets/sheet15607.xml"/>
  <Override ContentType="application/vnd.openxmlformats-officedocument.spreadsheetml.worksheet+xml" PartName="/xl/worksheets/sheet15608.xml"/>
  <Override ContentType="application/vnd.openxmlformats-officedocument.spreadsheetml.worksheet+xml" PartName="/xl/worksheets/sheet15609.xml"/>
  <Override ContentType="application/vnd.openxmlformats-officedocument.spreadsheetml.worksheet+xml" PartName="/xl/worksheets/sheet15610.xml"/>
  <Override ContentType="application/vnd.openxmlformats-officedocument.spreadsheetml.worksheet+xml" PartName="/xl/worksheets/sheet15611.xml"/>
  <Override ContentType="application/vnd.openxmlformats-officedocument.spreadsheetml.worksheet+xml" PartName="/xl/worksheets/sheet15612.xml"/>
  <Override ContentType="application/vnd.openxmlformats-officedocument.spreadsheetml.worksheet+xml" PartName="/xl/worksheets/sheet15613.xml"/>
  <Override ContentType="application/vnd.openxmlformats-officedocument.spreadsheetml.worksheet+xml" PartName="/xl/worksheets/sheet15614.xml"/>
  <Override ContentType="application/vnd.openxmlformats-officedocument.spreadsheetml.worksheet+xml" PartName="/xl/worksheets/sheet15615.xml"/>
  <Override ContentType="application/vnd.openxmlformats-officedocument.spreadsheetml.worksheet+xml" PartName="/xl/worksheets/sheet15616.xml"/>
  <Override ContentType="application/vnd.openxmlformats-officedocument.spreadsheetml.worksheet+xml" PartName="/xl/worksheets/sheet15617.xml"/>
  <Override ContentType="application/vnd.openxmlformats-officedocument.spreadsheetml.worksheet+xml" PartName="/xl/worksheets/sheet15618.xml"/>
  <Override ContentType="application/vnd.openxmlformats-officedocument.spreadsheetml.worksheet+xml" PartName="/xl/worksheets/sheet15619.xml"/>
  <Override ContentType="application/vnd.openxmlformats-officedocument.spreadsheetml.worksheet+xml" PartName="/xl/worksheets/sheet15620.xml"/>
  <Override ContentType="application/vnd.openxmlformats-officedocument.spreadsheetml.worksheet+xml" PartName="/xl/worksheets/sheet15621.xml"/>
  <Override ContentType="application/vnd.openxmlformats-officedocument.spreadsheetml.worksheet+xml" PartName="/xl/worksheets/sheet15622.xml"/>
  <Override ContentType="application/vnd.openxmlformats-officedocument.spreadsheetml.worksheet+xml" PartName="/xl/worksheets/sheet15623.xml"/>
  <Override ContentType="application/vnd.openxmlformats-officedocument.spreadsheetml.worksheet+xml" PartName="/xl/worksheets/sheet15624.xml"/>
  <Override ContentType="application/vnd.openxmlformats-officedocument.spreadsheetml.worksheet+xml" PartName="/xl/worksheets/sheet15625.xml"/>
  <Override ContentType="application/vnd.openxmlformats-officedocument.spreadsheetml.worksheet+xml" PartName="/xl/worksheets/sheet15626.xml"/>
  <Override ContentType="application/vnd.openxmlformats-officedocument.spreadsheetml.worksheet+xml" PartName="/xl/worksheets/sheet15627.xml"/>
  <Override ContentType="application/vnd.openxmlformats-officedocument.spreadsheetml.worksheet+xml" PartName="/xl/worksheets/sheet15628.xml"/>
  <Override ContentType="application/vnd.openxmlformats-officedocument.spreadsheetml.worksheet+xml" PartName="/xl/worksheets/sheet15629.xml"/>
  <Override ContentType="application/vnd.openxmlformats-officedocument.spreadsheetml.worksheet+xml" PartName="/xl/worksheets/sheet15630.xml"/>
  <Override ContentType="application/vnd.openxmlformats-officedocument.spreadsheetml.worksheet+xml" PartName="/xl/worksheets/sheet15631.xml"/>
  <Override ContentType="application/vnd.openxmlformats-officedocument.spreadsheetml.worksheet+xml" PartName="/xl/worksheets/sheet15632.xml"/>
  <Override ContentType="application/vnd.openxmlformats-officedocument.spreadsheetml.worksheet+xml" PartName="/xl/worksheets/sheet15633.xml"/>
  <Override ContentType="application/vnd.openxmlformats-officedocument.spreadsheetml.worksheet+xml" PartName="/xl/worksheets/sheet15634.xml"/>
  <Override ContentType="application/vnd.openxmlformats-officedocument.spreadsheetml.worksheet+xml" PartName="/xl/worksheets/sheet15635.xml"/>
  <Override ContentType="application/vnd.openxmlformats-officedocument.spreadsheetml.worksheet+xml" PartName="/xl/worksheets/sheet15636.xml"/>
  <Override ContentType="application/vnd.openxmlformats-officedocument.spreadsheetml.worksheet+xml" PartName="/xl/worksheets/sheet15637.xml"/>
  <Override ContentType="application/vnd.openxmlformats-officedocument.spreadsheetml.worksheet+xml" PartName="/xl/worksheets/sheet15638.xml"/>
  <Override ContentType="application/vnd.openxmlformats-officedocument.spreadsheetml.worksheet+xml" PartName="/xl/worksheets/sheet15639.xml"/>
  <Override ContentType="application/vnd.openxmlformats-officedocument.spreadsheetml.worksheet+xml" PartName="/xl/worksheets/sheet15640.xml"/>
  <Override ContentType="application/vnd.openxmlformats-officedocument.spreadsheetml.worksheet+xml" PartName="/xl/worksheets/sheet15641.xml"/>
  <Override ContentType="application/vnd.openxmlformats-officedocument.spreadsheetml.worksheet+xml" PartName="/xl/worksheets/sheet15642.xml"/>
  <Override ContentType="application/vnd.openxmlformats-officedocument.spreadsheetml.worksheet+xml" PartName="/xl/worksheets/sheet15643.xml"/>
  <Override ContentType="application/vnd.openxmlformats-officedocument.spreadsheetml.worksheet+xml" PartName="/xl/worksheets/sheet15644.xml"/>
  <Override ContentType="application/vnd.openxmlformats-officedocument.spreadsheetml.worksheet+xml" PartName="/xl/worksheets/sheet15645.xml"/>
  <Override ContentType="application/vnd.openxmlformats-officedocument.spreadsheetml.worksheet+xml" PartName="/xl/worksheets/sheet15646.xml"/>
  <Override ContentType="application/vnd.openxmlformats-officedocument.spreadsheetml.worksheet+xml" PartName="/xl/worksheets/sheet15647.xml"/>
  <Override ContentType="application/vnd.openxmlformats-officedocument.spreadsheetml.worksheet+xml" PartName="/xl/worksheets/sheet15648.xml"/>
  <Override ContentType="application/vnd.openxmlformats-officedocument.spreadsheetml.worksheet+xml" PartName="/xl/worksheets/sheet15649.xml"/>
  <Override ContentType="application/vnd.openxmlformats-officedocument.spreadsheetml.worksheet+xml" PartName="/xl/worksheets/sheet15650.xml"/>
  <Override ContentType="application/vnd.openxmlformats-officedocument.spreadsheetml.worksheet+xml" PartName="/xl/worksheets/sheet15651.xml"/>
  <Override ContentType="application/vnd.openxmlformats-officedocument.spreadsheetml.worksheet+xml" PartName="/xl/worksheets/sheet15652.xml"/>
  <Override ContentType="application/vnd.openxmlformats-officedocument.spreadsheetml.worksheet+xml" PartName="/xl/worksheets/sheet15653.xml"/>
  <Override ContentType="application/vnd.openxmlformats-officedocument.spreadsheetml.worksheet+xml" PartName="/xl/worksheets/sheet15654.xml"/>
  <Override ContentType="application/vnd.openxmlformats-officedocument.spreadsheetml.worksheet+xml" PartName="/xl/worksheets/sheet15655.xml"/>
  <Override ContentType="application/vnd.openxmlformats-officedocument.spreadsheetml.worksheet+xml" PartName="/xl/worksheets/sheet15656.xml"/>
  <Override ContentType="application/vnd.openxmlformats-officedocument.spreadsheetml.worksheet+xml" PartName="/xl/worksheets/sheet15657.xml"/>
  <Override ContentType="application/vnd.openxmlformats-officedocument.spreadsheetml.worksheet+xml" PartName="/xl/worksheets/sheet15658.xml"/>
  <Override ContentType="application/vnd.openxmlformats-officedocument.spreadsheetml.worksheet+xml" PartName="/xl/worksheets/sheet15659.xml"/>
  <Override ContentType="application/vnd.openxmlformats-officedocument.spreadsheetml.worksheet+xml" PartName="/xl/worksheets/sheet15660.xml"/>
  <Override ContentType="application/vnd.openxmlformats-officedocument.spreadsheetml.worksheet+xml" PartName="/xl/worksheets/sheet15661.xml"/>
  <Override ContentType="application/vnd.openxmlformats-officedocument.spreadsheetml.worksheet+xml" PartName="/xl/worksheets/sheet15662.xml"/>
  <Override ContentType="application/vnd.openxmlformats-officedocument.spreadsheetml.worksheet+xml" PartName="/xl/worksheets/sheet15663.xml"/>
  <Override ContentType="application/vnd.openxmlformats-officedocument.spreadsheetml.worksheet+xml" PartName="/xl/worksheets/sheet15664.xml"/>
  <Override ContentType="application/vnd.openxmlformats-officedocument.spreadsheetml.worksheet+xml" PartName="/xl/worksheets/sheet15665.xml"/>
  <Override ContentType="application/vnd.openxmlformats-officedocument.spreadsheetml.worksheet+xml" PartName="/xl/worksheets/sheet15666.xml"/>
  <Override ContentType="application/vnd.openxmlformats-officedocument.spreadsheetml.worksheet+xml" PartName="/xl/worksheets/sheet15667.xml"/>
  <Override ContentType="application/vnd.openxmlformats-officedocument.spreadsheetml.worksheet+xml" PartName="/xl/worksheets/sheet15668.xml"/>
  <Override ContentType="application/vnd.openxmlformats-officedocument.spreadsheetml.worksheet+xml" PartName="/xl/worksheets/sheet15669.xml"/>
  <Override ContentType="application/vnd.openxmlformats-officedocument.spreadsheetml.worksheet+xml" PartName="/xl/worksheets/sheet15670.xml"/>
  <Override ContentType="application/vnd.openxmlformats-officedocument.spreadsheetml.worksheet+xml" PartName="/xl/worksheets/sheet15671.xml"/>
  <Override ContentType="application/vnd.openxmlformats-officedocument.spreadsheetml.worksheet+xml" PartName="/xl/worksheets/sheet15672.xml"/>
  <Override ContentType="application/vnd.openxmlformats-officedocument.spreadsheetml.worksheet+xml" PartName="/xl/worksheets/sheet15673.xml"/>
  <Override ContentType="application/vnd.openxmlformats-officedocument.spreadsheetml.worksheet+xml" PartName="/xl/worksheets/sheet15674.xml"/>
  <Override ContentType="application/vnd.openxmlformats-officedocument.spreadsheetml.worksheet+xml" PartName="/xl/worksheets/sheet15675.xml"/>
  <Override ContentType="application/vnd.openxmlformats-officedocument.spreadsheetml.worksheet+xml" PartName="/xl/worksheets/sheet15676.xml"/>
  <Override ContentType="application/vnd.openxmlformats-officedocument.spreadsheetml.worksheet+xml" PartName="/xl/worksheets/sheet15677.xml"/>
  <Override ContentType="application/vnd.openxmlformats-officedocument.spreadsheetml.worksheet+xml" PartName="/xl/worksheets/sheet15678.xml"/>
  <Override ContentType="application/vnd.openxmlformats-officedocument.spreadsheetml.worksheet+xml" PartName="/xl/worksheets/sheet15679.xml"/>
  <Override ContentType="application/vnd.openxmlformats-officedocument.spreadsheetml.worksheet+xml" PartName="/xl/worksheets/sheet15680.xml"/>
  <Override ContentType="application/vnd.openxmlformats-officedocument.spreadsheetml.worksheet+xml" PartName="/xl/worksheets/sheet15681.xml"/>
  <Override ContentType="application/vnd.openxmlformats-officedocument.spreadsheetml.worksheet+xml" PartName="/xl/worksheets/sheet15682.xml"/>
  <Override ContentType="application/vnd.openxmlformats-officedocument.spreadsheetml.worksheet+xml" PartName="/xl/worksheets/sheet15683.xml"/>
  <Override ContentType="application/vnd.openxmlformats-officedocument.spreadsheetml.worksheet+xml" PartName="/xl/worksheets/sheet15684.xml"/>
  <Override ContentType="application/vnd.openxmlformats-officedocument.spreadsheetml.worksheet+xml" PartName="/xl/worksheets/sheet15685.xml"/>
  <Override ContentType="application/vnd.openxmlformats-officedocument.spreadsheetml.worksheet+xml" PartName="/xl/worksheets/sheet15686.xml"/>
  <Override ContentType="application/vnd.openxmlformats-officedocument.spreadsheetml.worksheet+xml" PartName="/xl/worksheets/sheet15687.xml"/>
  <Override ContentType="application/vnd.openxmlformats-officedocument.spreadsheetml.worksheet+xml" PartName="/xl/worksheets/sheet15688.xml"/>
  <Override ContentType="application/vnd.openxmlformats-officedocument.spreadsheetml.worksheet+xml" PartName="/xl/worksheets/sheet15689.xml"/>
  <Override ContentType="application/vnd.openxmlformats-officedocument.spreadsheetml.worksheet+xml" PartName="/xl/worksheets/sheet15690.xml"/>
  <Override ContentType="application/vnd.openxmlformats-officedocument.spreadsheetml.worksheet+xml" PartName="/xl/worksheets/sheet15691.xml"/>
  <Override ContentType="application/vnd.openxmlformats-officedocument.spreadsheetml.worksheet+xml" PartName="/xl/worksheets/sheet15692.xml"/>
  <Override ContentType="application/vnd.openxmlformats-officedocument.spreadsheetml.worksheet+xml" PartName="/xl/worksheets/sheet15693.xml"/>
  <Override ContentType="application/vnd.openxmlformats-officedocument.spreadsheetml.worksheet+xml" PartName="/xl/worksheets/sheet15694.xml"/>
  <Override ContentType="application/vnd.openxmlformats-officedocument.spreadsheetml.worksheet+xml" PartName="/xl/worksheets/sheet15695.xml"/>
  <Override ContentType="application/vnd.openxmlformats-officedocument.spreadsheetml.worksheet+xml" PartName="/xl/worksheets/sheet15696.xml"/>
  <Override ContentType="application/vnd.openxmlformats-officedocument.spreadsheetml.worksheet+xml" PartName="/xl/worksheets/sheet15697.xml"/>
  <Override ContentType="application/vnd.openxmlformats-officedocument.spreadsheetml.worksheet+xml" PartName="/xl/worksheets/sheet15698.xml"/>
  <Override ContentType="application/vnd.openxmlformats-officedocument.spreadsheetml.worksheet+xml" PartName="/xl/worksheets/sheet15699.xml"/>
  <Override ContentType="application/vnd.openxmlformats-officedocument.spreadsheetml.worksheet+xml" PartName="/xl/worksheets/sheet15700.xml"/>
  <Override ContentType="application/vnd.openxmlformats-officedocument.spreadsheetml.worksheet+xml" PartName="/xl/worksheets/sheet15701.xml"/>
  <Override ContentType="application/vnd.openxmlformats-officedocument.spreadsheetml.worksheet+xml" PartName="/xl/worksheets/sheet15702.xml"/>
  <Override ContentType="application/vnd.openxmlformats-officedocument.spreadsheetml.worksheet+xml" PartName="/xl/worksheets/sheet15703.xml"/>
  <Override ContentType="application/vnd.openxmlformats-officedocument.spreadsheetml.worksheet+xml" PartName="/xl/worksheets/sheet15704.xml"/>
  <Override ContentType="application/vnd.openxmlformats-officedocument.spreadsheetml.worksheet+xml" PartName="/xl/worksheets/sheet15705.xml"/>
  <Override ContentType="application/vnd.openxmlformats-officedocument.spreadsheetml.worksheet+xml" PartName="/xl/worksheets/sheet15706.xml"/>
  <Override ContentType="application/vnd.openxmlformats-officedocument.spreadsheetml.worksheet+xml" PartName="/xl/worksheets/sheet15707.xml"/>
  <Override ContentType="application/vnd.openxmlformats-officedocument.spreadsheetml.worksheet+xml" PartName="/xl/worksheets/sheet15708.xml"/>
  <Override ContentType="application/vnd.openxmlformats-officedocument.spreadsheetml.worksheet+xml" PartName="/xl/worksheets/sheet15709.xml"/>
  <Override ContentType="application/vnd.openxmlformats-officedocument.spreadsheetml.worksheet+xml" PartName="/xl/worksheets/sheet15710.xml"/>
  <Override ContentType="application/vnd.openxmlformats-officedocument.spreadsheetml.worksheet+xml" PartName="/xl/worksheets/sheet15711.xml"/>
  <Override ContentType="application/vnd.openxmlformats-officedocument.spreadsheetml.worksheet+xml" PartName="/xl/worksheets/sheet15712.xml"/>
  <Override ContentType="application/vnd.openxmlformats-officedocument.spreadsheetml.worksheet+xml" PartName="/xl/worksheets/sheet15713.xml"/>
  <Override ContentType="application/vnd.openxmlformats-officedocument.spreadsheetml.worksheet+xml" PartName="/xl/worksheets/sheet15714.xml"/>
  <Override ContentType="application/vnd.openxmlformats-officedocument.spreadsheetml.worksheet+xml" PartName="/xl/worksheets/sheet15715.xml"/>
  <Override ContentType="application/vnd.openxmlformats-officedocument.spreadsheetml.worksheet+xml" PartName="/xl/worksheets/sheet15716.xml"/>
  <Override ContentType="application/vnd.openxmlformats-officedocument.spreadsheetml.worksheet+xml" PartName="/xl/worksheets/sheet15717.xml"/>
  <Override ContentType="application/vnd.openxmlformats-officedocument.spreadsheetml.worksheet+xml" PartName="/xl/worksheets/sheet15718.xml"/>
  <Override ContentType="application/vnd.openxmlformats-officedocument.spreadsheetml.worksheet+xml" PartName="/xl/worksheets/sheet15719.xml"/>
  <Override ContentType="application/vnd.openxmlformats-officedocument.spreadsheetml.worksheet+xml" PartName="/xl/worksheets/sheet15720.xml"/>
  <Override ContentType="application/vnd.openxmlformats-officedocument.spreadsheetml.worksheet+xml" PartName="/xl/worksheets/sheet15721.xml"/>
  <Override ContentType="application/vnd.openxmlformats-officedocument.spreadsheetml.worksheet+xml" PartName="/xl/worksheets/sheet15722.xml"/>
  <Override ContentType="application/vnd.openxmlformats-officedocument.spreadsheetml.worksheet+xml" PartName="/xl/worksheets/sheet15723.xml"/>
  <Override ContentType="application/vnd.openxmlformats-officedocument.spreadsheetml.worksheet+xml" PartName="/xl/worksheets/sheet15724.xml"/>
  <Override ContentType="application/vnd.openxmlformats-officedocument.spreadsheetml.worksheet+xml" PartName="/xl/worksheets/sheet15725.xml"/>
  <Override ContentType="application/vnd.openxmlformats-officedocument.spreadsheetml.worksheet+xml" PartName="/xl/worksheets/sheet15726.xml"/>
  <Override ContentType="application/vnd.openxmlformats-officedocument.spreadsheetml.worksheet+xml" PartName="/xl/worksheets/sheet15727.xml"/>
  <Override ContentType="application/vnd.openxmlformats-officedocument.spreadsheetml.worksheet+xml" PartName="/xl/worksheets/sheet15728.xml"/>
  <Override ContentType="application/vnd.openxmlformats-officedocument.spreadsheetml.worksheet+xml" PartName="/xl/worksheets/sheet15729.xml"/>
  <Override ContentType="application/vnd.openxmlformats-officedocument.spreadsheetml.worksheet+xml" PartName="/xl/worksheets/sheet15730.xml"/>
  <Override ContentType="application/vnd.openxmlformats-officedocument.spreadsheetml.worksheet+xml" PartName="/xl/worksheets/sheet15731.xml"/>
  <Override ContentType="application/vnd.openxmlformats-officedocument.spreadsheetml.worksheet+xml" PartName="/xl/worksheets/sheet15732.xml"/>
  <Override ContentType="application/vnd.openxmlformats-officedocument.spreadsheetml.worksheet+xml" PartName="/xl/worksheets/sheet15733.xml"/>
  <Override ContentType="application/vnd.openxmlformats-officedocument.spreadsheetml.worksheet+xml" PartName="/xl/worksheets/sheet15734.xml"/>
  <Override ContentType="application/vnd.openxmlformats-officedocument.spreadsheetml.worksheet+xml" PartName="/xl/worksheets/sheet15735.xml"/>
  <Override ContentType="application/vnd.openxmlformats-officedocument.spreadsheetml.worksheet+xml" PartName="/xl/worksheets/sheet15736.xml"/>
  <Override ContentType="application/vnd.openxmlformats-officedocument.spreadsheetml.worksheet+xml" PartName="/xl/worksheets/sheet15737.xml"/>
  <Override ContentType="application/vnd.openxmlformats-officedocument.spreadsheetml.worksheet+xml" PartName="/xl/worksheets/sheet15738.xml"/>
  <Override ContentType="application/vnd.openxmlformats-officedocument.spreadsheetml.worksheet+xml" PartName="/xl/worksheets/sheet15739.xml"/>
  <Override ContentType="application/vnd.openxmlformats-officedocument.spreadsheetml.worksheet+xml" PartName="/xl/worksheets/sheet15740.xml"/>
  <Override ContentType="application/vnd.openxmlformats-officedocument.spreadsheetml.worksheet+xml" PartName="/xl/worksheets/sheet15741.xml"/>
  <Override ContentType="application/vnd.openxmlformats-officedocument.spreadsheetml.worksheet+xml" PartName="/xl/worksheets/sheet15742.xml"/>
  <Override ContentType="application/vnd.openxmlformats-officedocument.spreadsheetml.worksheet+xml" PartName="/xl/worksheets/sheet15743.xml"/>
  <Override ContentType="application/vnd.openxmlformats-officedocument.spreadsheetml.worksheet+xml" PartName="/xl/worksheets/sheet15744.xml"/>
  <Override ContentType="application/vnd.openxmlformats-officedocument.spreadsheetml.worksheet+xml" PartName="/xl/worksheets/sheet15745.xml"/>
  <Override ContentType="application/vnd.openxmlformats-officedocument.spreadsheetml.worksheet+xml" PartName="/xl/worksheets/sheet15746.xml"/>
  <Override ContentType="application/vnd.openxmlformats-officedocument.spreadsheetml.worksheet+xml" PartName="/xl/worksheets/sheet15747.xml"/>
  <Override ContentType="application/vnd.openxmlformats-officedocument.spreadsheetml.worksheet+xml" PartName="/xl/worksheets/sheet15748.xml"/>
  <Override ContentType="application/vnd.openxmlformats-officedocument.spreadsheetml.worksheet+xml" PartName="/xl/worksheets/sheet15749.xml"/>
  <Override ContentType="application/vnd.openxmlformats-officedocument.spreadsheetml.worksheet+xml" PartName="/xl/worksheets/sheet15750.xml"/>
  <Override ContentType="application/vnd.openxmlformats-officedocument.spreadsheetml.worksheet+xml" PartName="/xl/worksheets/sheet15751.xml"/>
  <Override ContentType="application/vnd.openxmlformats-officedocument.spreadsheetml.worksheet+xml" PartName="/xl/worksheets/sheet15752.xml"/>
  <Override ContentType="application/vnd.openxmlformats-officedocument.spreadsheetml.worksheet+xml" PartName="/xl/worksheets/sheet15753.xml"/>
  <Override ContentType="application/vnd.openxmlformats-officedocument.spreadsheetml.worksheet+xml" PartName="/xl/worksheets/sheet15754.xml"/>
  <Override ContentType="application/vnd.openxmlformats-officedocument.spreadsheetml.worksheet+xml" PartName="/xl/worksheets/sheet15755.xml"/>
  <Override ContentType="application/vnd.openxmlformats-officedocument.spreadsheetml.worksheet+xml" PartName="/xl/worksheets/sheet15756.xml"/>
  <Override ContentType="application/vnd.openxmlformats-officedocument.spreadsheetml.worksheet+xml" PartName="/xl/worksheets/sheet15757.xml"/>
  <Override ContentType="application/vnd.openxmlformats-officedocument.spreadsheetml.worksheet+xml" PartName="/xl/worksheets/sheet15758.xml"/>
  <Override ContentType="application/vnd.openxmlformats-officedocument.spreadsheetml.worksheet+xml" PartName="/xl/worksheets/sheet15759.xml"/>
  <Override ContentType="application/vnd.openxmlformats-officedocument.spreadsheetml.worksheet+xml" PartName="/xl/worksheets/sheet15760.xml"/>
  <Override ContentType="application/vnd.openxmlformats-officedocument.spreadsheetml.worksheet+xml" PartName="/xl/worksheets/sheet15761.xml"/>
  <Override ContentType="application/vnd.openxmlformats-officedocument.spreadsheetml.worksheet+xml" PartName="/xl/worksheets/sheet15762.xml"/>
  <Override ContentType="application/vnd.openxmlformats-officedocument.spreadsheetml.worksheet+xml" PartName="/xl/worksheets/sheet15763.xml"/>
  <Override ContentType="application/vnd.openxmlformats-officedocument.spreadsheetml.worksheet+xml" PartName="/xl/worksheets/sheet15764.xml"/>
  <Override ContentType="application/vnd.openxmlformats-officedocument.spreadsheetml.worksheet+xml" PartName="/xl/worksheets/sheet15765.xml"/>
  <Override ContentType="application/vnd.openxmlformats-officedocument.spreadsheetml.worksheet+xml" PartName="/xl/worksheets/sheet15766.xml"/>
  <Override ContentType="application/vnd.openxmlformats-officedocument.spreadsheetml.worksheet+xml" PartName="/xl/worksheets/sheet15767.xml"/>
  <Override ContentType="application/vnd.openxmlformats-officedocument.spreadsheetml.worksheet+xml" PartName="/xl/worksheets/sheet15768.xml"/>
  <Override ContentType="application/vnd.openxmlformats-officedocument.spreadsheetml.worksheet+xml" PartName="/xl/worksheets/sheet15769.xml"/>
  <Override ContentType="application/vnd.openxmlformats-officedocument.spreadsheetml.worksheet+xml" PartName="/xl/worksheets/sheet15770.xml"/>
  <Override ContentType="application/vnd.openxmlformats-officedocument.spreadsheetml.worksheet+xml" PartName="/xl/worksheets/sheet15771.xml"/>
  <Override ContentType="application/vnd.openxmlformats-officedocument.spreadsheetml.worksheet+xml" PartName="/xl/worksheets/sheet15772.xml"/>
  <Override ContentType="application/vnd.openxmlformats-officedocument.spreadsheetml.worksheet+xml" PartName="/xl/worksheets/sheet15773.xml"/>
  <Override ContentType="application/vnd.openxmlformats-officedocument.spreadsheetml.worksheet+xml" PartName="/xl/worksheets/sheet15774.xml"/>
  <Override ContentType="application/vnd.openxmlformats-officedocument.spreadsheetml.worksheet+xml" PartName="/xl/worksheets/sheet15775.xml"/>
  <Override ContentType="application/vnd.openxmlformats-officedocument.spreadsheetml.worksheet+xml" PartName="/xl/worksheets/sheet15776.xml"/>
  <Override ContentType="application/vnd.openxmlformats-officedocument.spreadsheetml.worksheet+xml" PartName="/xl/worksheets/sheet15777.xml"/>
  <Override ContentType="application/vnd.openxmlformats-officedocument.spreadsheetml.worksheet+xml" PartName="/xl/worksheets/sheet15778.xml"/>
  <Override ContentType="application/vnd.openxmlformats-officedocument.spreadsheetml.worksheet+xml" PartName="/xl/worksheets/sheet15779.xml"/>
  <Override ContentType="application/vnd.openxmlformats-officedocument.spreadsheetml.worksheet+xml" PartName="/xl/worksheets/sheet15780.xml"/>
  <Override ContentType="application/vnd.openxmlformats-officedocument.spreadsheetml.worksheet+xml" PartName="/xl/worksheets/sheet15781.xml"/>
  <Override ContentType="application/vnd.openxmlformats-officedocument.spreadsheetml.worksheet+xml" PartName="/xl/worksheets/sheet15782.xml"/>
  <Override ContentType="application/vnd.openxmlformats-officedocument.spreadsheetml.worksheet+xml" PartName="/xl/worksheets/sheet15783.xml"/>
  <Override ContentType="application/vnd.openxmlformats-officedocument.spreadsheetml.worksheet+xml" PartName="/xl/worksheets/sheet15784.xml"/>
  <Override ContentType="application/vnd.openxmlformats-officedocument.spreadsheetml.worksheet+xml" PartName="/xl/worksheets/sheet15785.xml"/>
  <Override ContentType="application/vnd.openxmlformats-officedocument.spreadsheetml.worksheet+xml" PartName="/xl/worksheets/sheet15786.xml"/>
  <Override ContentType="application/vnd.openxmlformats-officedocument.spreadsheetml.worksheet+xml" PartName="/xl/worksheets/sheet15787.xml"/>
  <Override ContentType="application/vnd.openxmlformats-officedocument.spreadsheetml.worksheet+xml" PartName="/xl/worksheets/sheet15788.xml"/>
  <Override ContentType="application/vnd.openxmlformats-officedocument.spreadsheetml.worksheet+xml" PartName="/xl/worksheets/sheet15789.xml"/>
  <Override ContentType="application/vnd.openxmlformats-officedocument.spreadsheetml.worksheet+xml" PartName="/xl/worksheets/sheet15790.xml"/>
  <Override ContentType="application/vnd.openxmlformats-officedocument.spreadsheetml.worksheet+xml" PartName="/xl/worksheets/sheet15791.xml"/>
  <Override ContentType="application/vnd.openxmlformats-officedocument.spreadsheetml.worksheet+xml" PartName="/xl/worksheets/sheet15792.xml"/>
  <Override ContentType="application/vnd.openxmlformats-officedocument.spreadsheetml.worksheet+xml" PartName="/xl/worksheets/sheet15793.xml"/>
  <Override ContentType="application/vnd.openxmlformats-officedocument.spreadsheetml.worksheet+xml" PartName="/xl/worksheets/sheet15794.xml"/>
  <Override ContentType="application/vnd.openxmlformats-officedocument.spreadsheetml.worksheet+xml" PartName="/xl/worksheets/sheet15795.xml"/>
  <Override ContentType="application/vnd.openxmlformats-officedocument.spreadsheetml.worksheet+xml" PartName="/xl/worksheets/sheet15796.xml"/>
  <Override ContentType="application/vnd.openxmlformats-officedocument.spreadsheetml.worksheet+xml" PartName="/xl/worksheets/sheet15797.xml"/>
  <Override ContentType="application/vnd.openxmlformats-officedocument.spreadsheetml.worksheet+xml" PartName="/xl/worksheets/sheet15798.xml"/>
  <Override ContentType="application/vnd.openxmlformats-officedocument.spreadsheetml.worksheet+xml" PartName="/xl/worksheets/sheet15799.xml"/>
  <Override ContentType="application/vnd.openxmlformats-officedocument.spreadsheetml.worksheet+xml" PartName="/xl/worksheets/sheet15800.xml"/>
  <Override ContentType="application/vnd.openxmlformats-officedocument.spreadsheetml.worksheet+xml" PartName="/xl/worksheets/sheet15801.xml"/>
  <Override ContentType="application/vnd.openxmlformats-officedocument.spreadsheetml.worksheet+xml" PartName="/xl/worksheets/sheet15802.xml"/>
  <Override ContentType="application/vnd.openxmlformats-officedocument.spreadsheetml.worksheet+xml" PartName="/xl/worksheets/sheet15803.xml"/>
  <Override ContentType="application/vnd.openxmlformats-officedocument.spreadsheetml.worksheet+xml" PartName="/xl/worksheets/sheet15804.xml"/>
  <Override ContentType="application/vnd.openxmlformats-officedocument.spreadsheetml.worksheet+xml" PartName="/xl/worksheets/sheet15805.xml"/>
  <Override ContentType="application/vnd.openxmlformats-officedocument.spreadsheetml.worksheet+xml" PartName="/xl/worksheets/sheet15806.xml"/>
  <Override ContentType="application/vnd.openxmlformats-officedocument.spreadsheetml.worksheet+xml" PartName="/xl/worksheets/sheet15807.xml"/>
  <Override ContentType="application/vnd.openxmlformats-officedocument.spreadsheetml.worksheet+xml" PartName="/xl/worksheets/sheet15808.xml"/>
  <Override ContentType="application/vnd.openxmlformats-officedocument.spreadsheetml.worksheet+xml" PartName="/xl/worksheets/sheet15809.xml"/>
  <Override ContentType="application/vnd.openxmlformats-officedocument.spreadsheetml.worksheet+xml" PartName="/xl/worksheets/sheet15810.xml"/>
  <Override ContentType="application/vnd.openxmlformats-officedocument.spreadsheetml.worksheet+xml" PartName="/xl/worksheets/sheet15811.xml"/>
  <Override ContentType="application/vnd.openxmlformats-officedocument.spreadsheetml.worksheet+xml" PartName="/xl/worksheets/sheet15812.xml"/>
  <Override ContentType="application/vnd.openxmlformats-officedocument.spreadsheetml.worksheet+xml" PartName="/xl/worksheets/sheet15813.xml"/>
  <Override ContentType="application/vnd.openxmlformats-officedocument.spreadsheetml.worksheet+xml" PartName="/xl/worksheets/sheet15814.xml"/>
  <Override ContentType="application/vnd.openxmlformats-officedocument.spreadsheetml.worksheet+xml" PartName="/xl/worksheets/sheet15815.xml"/>
  <Override ContentType="application/vnd.openxmlformats-officedocument.spreadsheetml.worksheet+xml" PartName="/xl/worksheets/sheet15816.xml"/>
  <Override ContentType="application/vnd.openxmlformats-officedocument.spreadsheetml.worksheet+xml" PartName="/xl/worksheets/sheet15817.xml"/>
  <Override ContentType="application/vnd.openxmlformats-officedocument.spreadsheetml.worksheet+xml" PartName="/xl/worksheets/sheet15818.xml"/>
  <Override ContentType="application/vnd.openxmlformats-officedocument.spreadsheetml.worksheet+xml" PartName="/xl/worksheets/sheet15819.xml"/>
  <Override ContentType="application/vnd.openxmlformats-officedocument.spreadsheetml.worksheet+xml" PartName="/xl/worksheets/sheet15820.xml"/>
  <Override ContentType="application/vnd.openxmlformats-officedocument.spreadsheetml.worksheet+xml" PartName="/xl/worksheets/sheet15821.xml"/>
  <Override ContentType="application/vnd.openxmlformats-officedocument.spreadsheetml.worksheet+xml" PartName="/xl/worksheets/sheet15822.xml"/>
  <Override ContentType="application/vnd.openxmlformats-officedocument.spreadsheetml.worksheet+xml" PartName="/xl/worksheets/sheet15823.xml"/>
  <Override ContentType="application/vnd.openxmlformats-officedocument.spreadsheetml.worksheet+xml" PartName="/xl/worksheets/sheet15824.xml"/>
  <Override ContentType="application/vnd.openxmlformats-officedocument.spreadsheetml.worksheet+xml" PartName="/xl/worksheets/sheet15825.xml"/>
  <Override ContentType="application/vnd.openxmlformats-officedocument.spreadsheetml.worksheet+xml" PartName="/xl/worksheets/sheet15826.xml"/>
  <Override ContentType="application/vnd.openxmlformats-officedocument.spreadsheetml.worksheet+xml" PartName="/xl/worksheets/sheet15827.xml"/>
  <Override ContentType="application/vnd.openxmlformats-officedocument.spreadsheetml.worksheet+xml" PartName="/xl/worksheets/sheet15828.xml"/>
  <Override ContentType="application/vnd.openxmlformats-officedocument.spreadsheetml.worksheet+xml" PartName="/xl/worksheets/sheet15829.xml"/>
  <Override ContentType="application/vnd.openxmlformats-officedocument.spreadsheetml.worksheet+xml" PartName="/xl/worksheets/sheet15830.xml"/>
  <Override ContentType="application/vnd.openxmlformats-officedocument.spreadsheetml.worksheet+xml" PartName="/xl/worksheets/sheet15831.xml"/>
  <Override ContentType="application/vnd.openxmlformats-officedocument.spreadsheetml.worksheet+xml" PartName="/xl/worksheets/sheet15832.xml"/>
  <Override ContentType="application/vnd.openxmlformats-officedocument.spreadsheetml.worksheet+xml" PartName="/xl/worksheets/sheet15833.xml"/>
  <Override ContentType="application/vnd.openxmlformats-officedocument.spreadsheetml.worksheet+xml" PartName="/xl/worksheets/sheet15834.xml"/>
  <Override ContentType="application/vnd.openxmlformats-officedocument.spreadsheetml.worksheet+xml" PartName="/xl/worksheets/sheet15835.xml"/>
  <Override ContentType="application/vnd.openxmlformats-officedocument.spreadsheetml.worksheet+xml" PartName="/xl/worksheets/sheet15836.xml"/>
  <Override ContentType="application/vnd.openxmlformats-officedocument.spreadsheetml.worksheet+xml" PartName="/xl/worksheets/sheet15837.xml"/>
  <Override ContentType="application/vnd.openxmlformats-officedocument.spreadsheetml.worksheet+xml" PartName="/xl/worksheets/sheet15838.xml"/>
  <Override ContentType="application/vnd.openxmlformats-officedocument.spreadsheetml.worksheet+xml" PartName="/xl/worksheets/sheet15839.xml"/>
  <Override ContentType="application/vnd.openxmlformats-officedocument.spreadsheetml.worksheet+xml" PartName="/xl/worksheets/sheet15840.xml"/>
  <Override ContentType="application/vnd.openxmlformats-officedocument.spreadsheetml.worksheet+xml" PartName="/xl/worksheets/sheet15841.xml"/>
  <Override ContentType="application/vnd.openxmlformats-officedocument.spreadsheetml.worksheet+xml" PartName="/xl/worksheets/sheet15842.xml"/>
  <Override ContentType="application/vnd.openxmlformats-officedocument.spreadsheetml.worksheet+xml" PartName="/xl/worksheets/sheet15843.xml"/>
  <Override ContentType="application/vnd.openxmlformats-officedocument.spreadsheetml.worksheet+xml" PartName="/xl/worksheets/sheet15844.xml"/>
  <Override ContentType="application/vnd.openxmlformats-officedocument.spreadsheetml.worksheet+xml" PartName="/xl/worksheets/sheet15845.xml"/>
  <Override ContentType="application/vnd.openxmlformats-officedocument.spreadsheetml.worksheet+xml" PartName="/xl/worksheets/sheet15846.xml"/>
  <Override ContentType="application/vnd.openxmlformats-officedocument.spreadsheetml.worksheet+xml" PartName="/xl/worksheets/sheet15847.xml"/>
  <Override ContentType="application/vnd.openxmlformats-officedocument.spreadsheetml.worksheet+xml" PartName="/xl/worksheets/sheet15848.xml"/>
  <Override ContentType="application/vnd.openxmlformats-officedocument.spreadsheetml.worksheet+xml" PartName="/xl/worksheets/sheet15849.xml"/>
  <Override ContentType="application/vnd.openxmlformats-officedocument.spreadsheetml.worksheet+xml" PartName="/xl/worksheets/sheet15850.xml"/>
  <Override ContentType="application/vnd.openxmlformats-officedocument.spreadsheetml.worksheet+xml" PartName="/xl/worksheets/sheet15851.xml"/>
  <Override ContentType="application/vnd.openxmlformats-officedocument.spreadsheetml.worksheet+xml" PartName="/xl/worksheets/sheet15852.xml"/>
  <Override ContentType="application/vnd.openxmlformats-officedocument.spreadsheetml.worksheet+xml" PartName="/xl/worksheets/sheet15853.xml"/>
  <Override ContentType="application/vnd.openxmlformats-officedocument.spreadsheetml.worksheet+xml" PartName="/xl/worksheets/sheet15854.xml"/>
  <Override ContentType="application/vnd.openxmlformats-officedocument.spreadsheetml.worksheet+xml" PartName="/xl/worksheets/sheet15855.xml"/>
  <Override ContentType="application/vnd.openxmlformats-officedocument.spreadsheetml.worksheet+xml" PartName="/xl/worksheets/sheet15856.xml"/>
  <Override ContentType="application/vnd.openxmlformats-officedocument.spreadsheetml.worksheet+xml" PartName="/xl/worksheets/sheet15857.xml"/>
  <Override ContentType="application/vnd.openxmlformats-officedocument.spreadsheetml.worksheet+xml" PartName="/xl/worksheets/sheet15858.xml"/>
  <Override ContentType="application/vnd.openxmlformats-officedocument.spreadsheetml.worksheet+xml" PartName="/xl/worksheets/sheet15859.xml"/>
  <Override ContentType="application/vnd.openxmlformats-officedocument.spreadsheetml.worksheet+xml" PartName="/xl/worksheets/sheet15860.xml"/>
  <Override ContentType="application/vnd.openxmlformats-officedocument.spreadsheetml.worksheet+xml" PartName="/xl/worksheets/sheet15861.xml"/>
  <Override ContentType="application/vnd.openxmlformats-officedocument.spreadsheetml.worksheet+xml" PartName="/xl/worksheets/sheet15862.xml"/>
  <Override ContentType="application/vnd.openxmlformats-officedocument.spreadsheetml.worksheet+xml" PartName="/xl/worksheets/sheet15863.xml"/>
  <Override ContentType="application/vnd.openxmlformats-officedocument.spreadsheetml.worksheet+xml" PartName="/xl/worksheets/sheet15864.xml"/>
  <Override ContentType="application/vnd.openxmlformats-officedocument.spreadsheetml.worksheet+xml" PartName="/xl/worksheets/sheet15865.xml"/>
  <Override ContentType="application/vnd.openxmlformats-officedocument.spreadsheetml.worksheet+xml" PartName="/xl/worksheets/sheet15866.xml"/>
  <Override ContentType="application/vnd.openxmlformats-officedocument.spreadsheetml.worksheet+xml" PartName="/xl/worksheets/sheet15867.xml"/>
  <Override ContentType="application/vnd.openxmlformats-officedocument.spreadsheetml.worksheet+xml" PartName="/xl/worksheets/sheet15868.xml"/>
  <Override ContentType="application/vnd.openxmlformats-officedocument.spreadsheetml.worksheet+xml" PartName="/xl/worksheets/sheet15869.xml"/>
  <Override ContentType="application/vnd.openxmlformats-officedocument.spreadsheetml.worksheet+xml" PartName="/xl/worksheets/sheet15870.xml"/>
  <Override ContentType="application/vnd.openxmlformats-officedocument.spreadsheetml.worksheet+xml" PartName="/xl/worksheets/sheet15871.xml"/>
  <Override ContentType="application/vnd.openxmlformats-officedocument.spreadsheetml.worksheet+xml" PartName="/xl/worksheets/sheet15872.xml"/>
  <Override ContentType="application/vnd.openxmlformats-officedocument.spreadsheetml.worksheet+xml" PartName="/xl/worksheets/sheet15873.xml"/>
  <Override ContentType="application/vnd.openxmlformats-officedocument.spreadsheetml.worksheet+xml" PartName="/xl/worksheets/sheet15874.xml"/>
  <Override ContentType="application/vnd.openxmlformats-officedocument.spreadsheetml.worksheet+xml" PartName="/xl/worksheets/sheet15875.xml"/>
  <Override ContentType="application/vnd.openxmlformats-officedocument.spreadsheetml.worksheet+xml" PartName="/xl/worksheets/sheet15876.xml"/>
  <Override ContentType="application/vnd.openxmlformats-officedocument.spreadsheetml.worksheet+xml" PartName="/xl/worksheets/sheet15877.xml"/>
  <Override ContentType="application/vnd.openxmlformats-officedocument.spreadsheetml.worksheet+xml" PartName="/xl/worksheets/sheet15878.xml"/>
  <Override ContentType="application/vnd.openxmlformats-officedocument.spreadsheetml.worksheet+xml" PartName="/xl/worksheets/sheet15879.xml"/>
  <Override ContentType="application/vnd.openxmlformats-officedocument.spreadsheetml.worksheet+xml" PartName="/xl/worksheets/sheet15880.xml"/>
  <Override ContentType="application/vnd.openxmlformats-officedocument.spreadsheetml.worksheet+xml" PartName="/xl/worksheets/sheet15881.xml"/>
  <Override ContentType="application/vnd.openxmlformats-officedocument.spreadsheetml.worksheet+xml" PartName="/xl/worksheets/sheet15882.xml"/>
  <Override ContentType="application/vnd.openxmlformats-officedocument.spreadsheetml.worksheet+xml" PartName="/xl/worksheets/sheet15883.xml"/>
  <Override ContentType="application/vnd.openxmlformats-officedocument.spreadsheetml.worksheet+xml" PartName="/xl/worksheets/sheet15884.xml"/>
  <Override ContentType="application/vnd.openxmlformats-officedocument.spreadsheetml.worksheet+xml" PartName="/xl/worksheets/sheet15885.xml"/>
  <Override ContentType="application/vnd.openxmlformats-officedocument.spreadsheetml.worksheet+xml" PartName="/xl/worksheets/sheet15886.xml"/>
  <Override ContentType="application/vnd.openxmlformats-officedocument.spreadsheetml.worksheet+xml" PartName="/xl/worksheets/sheet15887.xml"/>
  <Override ContentType="application/vnd.openxmlformats-officedocument.spreadsheetml.worksheet+xml" PartName="/xl/worksheets/sheet15888.xml"/>
  <Override ContentType="application/vnd.openxmlformats-officedocument.spreadsheetml.worksheet+xml" PartName="/xl/worksheets/sheet15889.xml"/>
  <Override ContentType="application/vnd.openxmlformats-officedocument.spreadsheetml.worksheet+xml" PartName="/xl/worksheets/sheet15890.xml"/>
  <Override ContentType="application/vnd.openxmlformats-officedocument.spreadsheetml.worksheet+xml" PartName="/xl/worksheets/sheet15891.xml"/>
  <Override ContentType="application/vnd.openxmlformats-officedocument.spreadsheetml.worksheet+xml" PartName="/xl/worksheets/sheet15892.xml"/>
  <Override ContentType="application/vnd.openxmlformats-officedocument.spreadsheetml.worksheet+xml" PartName="/xl/worksheets/sheet15893.xml"/>
  <Override ContentType="application/vnd.openxmlformats-officedocument.spreadsheetml.worksheet+xml" PartName="/xl/worksheets/sheet15894.xml"/>
  <Override ContentType="application/vnd.openxmlformats-officedocument.spreadsheetml.worksheet+xml" PartName="/xl/worksheets/sheet15895.xml"/>
  <Override ContentType="application/vnd.openxmlformats-officedocument.spreadsheetml.worksheet+xml" PartName="/xl/worksheets/sheet15896.xml"/>
  <Override ContentType="application/vnd.openxmlformats-officedocument.spreadsheetml.worksheet+xml" PartName="/xl/worksheets/sheet15897.xml"/>
  <Override ContentType="application/vnd.openxmlformats-officedocument.spreadsheetml.worksheet+xml" PartName="/xl/worksheets/sheet15898.xml"/>
  <Override ContentType="application/vnd.openxmlformats-officedocument.spreadsheetml.worksheet+xml" PartName="/xl/worksheets/sheet15899.xml"/>
  <Override ContentType="application/vnd.openxmlformats-officedocument.spreadsheetml.worksheet+xml" PartName="/xl/worksheets/sheet15900.xml"/>
  <Override ContentType="application/vnd.openxmlformats-officedocument.spreadsheetml.worksheet+xml" PartName="/xl/worksheets/sheet15901.xml"/>
  <Override ContentType="application/vnd.openxmlformats-officedocument.spreadsheetml.worksheet+xml" PartName="/xl/worksheets/sheet15902.xml"/>
  <Override ContentType="application/vnd.openxmlformats-officedocument.spreadsheetml.worksheet+xml" PartName="/xl/worksheets/sheet15903.xml"/>
  <Override ContentType="application/vnd.openxmlformats-officedocument.spreadsheetml.worksheet+xml" PartName="/xl/worksheets/sheet15904.xml"/>
  <Override ContentType="application/vnd.openxmlformats-officedocument.spreadsheetml.worksheet+xml" PartName="/xl/worksheets/sheet15905.xml"/>
  <Override ContentType="application/vnd.openxmlformats-officedocument.spreadsheetml.worksheet+xml" PartName="/xl/worksheets/sheet15906.xml"/>
  <Override ContentType="application/vnd.openxmlformats-officedocument.spreadsheetml.worksheet+xml" PartName="/xl/worksheets/sheet15907.xml"/>
  <Override ContentType="application/vnd.openxmlformats-officedocument.spreadsheetml.worksheet+xml" PartName="/xl/worksheets/sheet15908.xml"/>
  <Override ContentType="application/vnd.openxmlformats-officedocument.spreadsheetml.worksheet+xml" PartName="/xl/worksheets/sheet15909.xml"/>
  <Override ContentType="application/vnd.openxmlformats-officedocument.spreadsheetml.worksheet+xml" PartName="/xl/worksheets/sheet15910.xml"/>
  <Override ContentType="application/vnd.openxmlformats-officedocument.spreadsheetml.worksheet+xml" PartName="/xl/worksheets/sheet15911.xml"/>
  <Override ContentType="application/vnd.openxmlformats-officedocument.spreadsheetml.worksheet+xml" PartName="/xl/worksheets/sheet15912.xml"/>
  <Override ContentType="application/vnd.openxmlformats-officedocument.spreadsheetml.worksheet+xml" PartName="/xl/worksheets/sheet15913.xml"/>
  <Override ContentType="application/vnd.openxmlformats-officedocument.spreadsheetml.worksheet+xml" PartName="/xl/worksheets/sheet15914.xml"/>
  <Override ContentType="application/vnd.openxmlformats-officedocument.spreadsheetml.worksheet+xml" PartName="/xl/worksheets/sheet15915.xml"/>
  <Override ContentType="application/vnd.openxmlformats-officedocument.spreadsheetml.worksheet+xml" PartName="/xl/worksheets/sheet15916.xml"/>
  <Override ContentType="application/vnd.openxmlformats-officedocument.spreadsheetml.worksheet+xml" PartName="/xl/worksheets/sheet15917.xml"/>
  <Override ContentType="application/vnd.openxmlformats-officedocument.spreadsheetml.worksheet+xml" PartName="/xl/worksheets/sheet15918.xml"/>
  <Override ContentType="application/vnd.openxmlformats-officedocument.spreadsheetml.worksheet+xml" PartName="/xl/worksheets/sheet15919.xml"/>
  <Override ContentType="application/vnd.openxmlformats-officedocument.spreadsheetml.worksheet+xml" PartName="/xl/worksheets/sheet15920.xml"/>
  <Override ContentType="application/vnd.openxmlformats-officedocument.spreadsheetml.worksheet+xml" PartName="/xl/worksheets/sheet15921.xml"/>
  <Override ContentType="application/vnd.openxmlformats-officedocument.spreadsheetml.worksheet+xml" PartName="/xl/worksheets/sheet15922.xml"/>
  <Override ContentType="application/vnd.openxmlformats-officedocument.spreadsheetml.worksheet+xml" PartName="/xl/worksheets/sheet15923.xml"/>
  <Override ContentType="application/vnd.openxmlformats-officedocument.spreadsheetml.worksheet+xml" PartName="/xl/worksheets/sheet15924.xml"/>
  <Override ContentType="application/vnd.openxmlformats-officedocument.spreadsheetml.worksheet+xml" PartName="/xl/worksheets/sheet15925.xml"/>
  <Override ContentType="application/vnd.openxmlformats-officedocument.spreadsheetml.worksheet+xml" PartName="/xl/worksheets/sheet15926.xml"/>
  <Override ContentType="application/vnd.openxmlformats-officedocument.spreadsheetml.worksheet+xml" PartName="/xl/worksheets/sheet15927.xml"/>
  <Override ContentType="application/vnd.openxmlformats-officedocument.spreadsheetml.worksheet+xml" PartName="/xl/worksheets/sheet15928.xml"/>
  <Override ContentType="application/vnd.openxmlformats-officedocument.spreadsheetml.worksheet+xml" PartName="/xl/worksheets/sheet15929.xml"/>
  <Override ContentType="application/vnd.openxmlformats-officedocument.spreadsheetml.worksheet+xml" PartName="/xl/worksheets/sheet15930.xml"/>
  <Override ContentType="application/vnd.openxmlformats-officedocument.spreadsheetml.worksheet+xml" PartName="/xl/worksheets/sheet15931.xml"/>
  <Override ContentType="application/vnd.openxmlformats-officedocument.spreadsheetml.worksheet+xml" PartName="/xl/worksheets/sheet15932.xml"/>
  <Override ContentType="application/vnd.openxmlformats-officedocument.spreadsheetml.worksheet+xml" PartName="/xl/worksheets/sheet15933.xml"/>
  <Override ContentType="application/vnd.openxmlformats-officedocument.spreadsheetml.worksheet+xml" PartName="/xl/worksheets/sheet15934.xml"/>
  <Override ContentType="application/vnd.openxmlformats-officedocument.spreadsheetml.worksheet+xml" PartName="/xl/worksheets/sheet15935.xml"/>
  <Override ContentType="application/vnd.openxmlformats-officedocument.spreadsheetml.worksheet+xml" PartName="/xl/worksheets/sheet15936.xml"/>
  <Override ContentType="application/vnd.openxmlformats-officedocument.spreadsheetml.worksheet+xml" PartName="/xl/worksheets/sheet15937.xml"/>
  <Override ContentType="application/vnd.openxmlformats-officedocument.spreadsheetml.worksheet+xml" PartName="/xl/worksheets/sheet15938.xml"/>
  <Override ContentType="application/vnd.openxmlformats-officedocument.spreadsheetml.worksheet+xml" PartName="/xl/worksheets/sheet15939.xml"/>
  <Override ContentType="application/vnd.openxmlformats-officedocument.spreadsheetml.worksheet+xml" PartName="/xl/worksheets/sheet15940.xml"/>
  <Override ContentType="application/vnd.openxmlformats-officedocument.spreadsheetml.worksheet+xml" PartName="/xl/worksheets/sheet15941.xml"/>
  <Override ContentType="application/vnd.openxmlformats-officedocument.spreadsheetml.worksheet+xml" PartName="/xl/worksheets/sheet15942.xml"/>
  <Override ContentType="application/vnd.openxmlformats-officedocument.spreadsheetml.worksheet+xml" PartName="/xl/worksheets/sheet15943.xml"/>
  <Override ContentType="application/vnd.openxmlformats-officedocument.spreadsheetml.worksheet+xml" PartName="/xl/worksheets/sheet15944.xml"/>
  <Override ContentType="application/vnd.openxmlformats-officedocument.spreadsheetml.worksheet+xml" PartName="/xl/worksheets/sheet15945.xml"/>
  <Override ContentType="application/vnd.openxmlformats-officedocument.spreadsheetml.worksheet+xml" PartName="/xl/worksheets/sheet15946.xml"/>
  <Override ContentType="application/vnd.openxmlformats-officedocument.spreadsheetml.worksheet+xml" PartName="/xl/worksheets/sheet15947.xml"/>
  <Override ContentType="application/vnd.openxmlformats-officedocument.spreadsheetml.worksheet+xml" PartName="/xl/worksheets/sheet15948.xml"/>
  <Override ContentType="application/vnd.openxmlformats-officedocument.spreadsheetml.worksheet+xml" PartName="/xl/worksheets/sheet15949.xml"/>
  <Override ContentType="application/vnd.openxmlformats-officedocument.spreadsheetml.worksheet+xml" PartName="/xl/worksheets/sheet15950.xml"/>
  <Override ContentType="application/vnd.openxmlformats-officedocument.spreadsheetml.worksheet+xml" PartName="/xl/worksheets/sheet15951.xml"/>
  <Override ContentType="application/vnd.openxmlformats-officedocument.spreadsheetml.worksheet+xml" PartName="/xl/worksheets/sheet15952.xml"/>
  <Override ContentType="application/vnd.openxmlformats-officedocument.spreadsheetml.worksheet+xml" PartName="/xl/worksheets/sheet15953.xml"/>
  <Override ContentType="application/vnd.openxmlformats-officedocument.spreadsheetml.worksheet+xml" PartName="/xl/worksheets/sheet15954.xml"/>
  <Override ContentType="application/vnd.openxmlformats-officedocument.spreadsheetml.worksheet+xml" PartName="/xl/worksheets/sheet15955.xml"/>
  <Override ContentType="application/vnd.openxmlformats-officedocument.spreadsheetml.worksheet+xml" PartName="/xl/worksheets/sheet15956.xml"/>
  <Override ContentType="application/vnd.openxmlformats-officedocument.spreadsheetml.worksheet+xml" PartName="/xl/worksheets/sheet15957.xml"/>
  <Override ContentType="application/vnd.openxmlformats-officedocument.spreadsheetml.worksheet+xml" PartName="/xl/worksheets/sheet15958.xml"/>
  <Override ContentType="application/vnd.openxmlformats-officedocument.spreadsheetml.worksheet+xml" PartName="/xl/worksheets/sheet15959.xml"/>
  <Override ContentType="application/vnd.openxmlformats-officedocument.spreadsheetml.worksheet+xml" PartName="/xl/worksheets/sheet15960.xml"/>
  <Override ContentType="application/vnd.openxmlformats-officedocument.spreadsheetml.worksheet+xml" PartName="/xl/worksheets/sheet15961.xml"/>
  <Override ContentType="application/vnd.openxmlformats-officedocument.spreadsheetml.worksheet+xml" PartName="/xl/worksheets/sheet15962.xml"/>
  <Override ContentType="application/vnd.openxmlformats-officedocument.spreadsheetml.worksheet+xml" PartName="/xl/worksheets/sheet15963.xml"/>
  <Override ContentType="application/vnd.openxmlformats-officedocument.spreadsheetml.worksheet+xml" PartName="/xl/worksheets/sheet15964.xml"/>
  <Override ContentType="application/vnd.openxmlformats-officedocument.spreadsheetml.worksheet+xml" PartName="/xl/worksheets/sheet15965.xml"/>
  <Override ContentType="application/vnd.openxmlformats-officedocument.spreadsheetml.worksheet+xml" PartName="/xl/worksheets/sheet15966.xml"/>
  <Override ContentType="application/vnd.openxmlformats-officedocument.spreadsheetml.worksheet+xml" PartName="/xl/worksheets/sheet15967.xml"/>
  <Override ContentType="application/vnd.openxmlformats-officedocument.spreadsheetml.worksheet+xml" PartName="/xl/worksheets/sheet15968.xml"/>
  <Override ContentType="application/vnd.openxmlformats-officedocument.spreadsheetml.worksheet+xml" PartName="/xl/worksheets/sheet15969.xml"/>
  <Override ContentType="application/vnd.openxmlformats-officedocument.spreadsheetml.worksheet+xml" PartName="/xl/worksheets/sheet15970.xml"/>
  <Override ContentType="application/vnd.openxmlformats-officedocument.spreadsheetml.worksheet+xml" PartName="/xl/worksheets/sheet15971.xml"/>
  <Override ContentType="application/vnd.openxmlformats-officedocument.spreadsheetml.worksheet+xml" PartName="/xl/worksheets/sheet15972.xml"/>
  <Override ContentType="application/vnd.openxmlformats-officedocument.spreadsheetml.worksheet+xml" PartName="/xl/worksheets/sheet15973.xml"/>
  <Override ContentType="application/vnd.openxmlformats-officedocument.spreadsheetml.worksheet+xml" PartName="/xl/worksheets/sheet15974.xml"/>
  <Override ContentType="application/vnd.openxmlformats-officedocument.spreadsheetml.worksheet+xml" PartName="/xl/worksheets/sheet15975.xml"/>
  <Override ContentType="application/vnd.openxmlformats-officedocument.spreadsheetml.worksheet+xml" PartName="/xl/worksheets/sheet15976.xml"/>
  <Override ContentType="application/vnd.openxmlformats-officedocument.spreadsheetml.worksheet+xml" PartName="/xl/worksheets/sheet15977.xml"/>
  <Override ContentType="application/vnd.openxmlformats-officedocument.spreadsheetml.worksheet+xml" PartName="/xl/worksheets/sheet15978.xml"/>
  <Override ContentType="application/vnd.openxmlformats-officedocument.spreadsheetml.worksheet+xml" PartName="/xl/worksheets/sheet15979.xml"/>
  <Override ContentType="application/vnd.openxmlformats-officedocument.spreadsheetml.worksheet+xml" PartName="/xl/worksheets/sheet15980.xml"/>
  <Override ContentType="application/vnd.openxmlformats-officedocument.spreadsheetml.worksheet+xml" PartName="/xl/worksheets/sheet15981.xml"/>
  <Override ContentType="application/vnd.openxmlformats-officedocument.spreadsheetml.worksheet+xml" PartName="/xl/worksheets/sheet15982.xml"/>
  <Override ContentType="application/vnd.openxmlformats-officedocument.spreadsheetml.worksheet+xml" PartName="/xl/worksheets/sheet15983.xml"/>
  <Override ContentType="application/vnd.openxmlformats-officedocument.spreadsheetml.worksheet+xml" PartName="/xl/worksheets/sheet15984.xml"/>
  <Override ContentType="application/vnd.openxmlformats-officedocument.spreadsheetml.worksheet+xml" PartName="/xl/worksheets/sheet15985.xml"/>
  <Override ContentType="application/vnd.openxmlformats-officedocument.spreadsheetml.worksheet+xml" PartName="/xl/worksheets/sheet15986.xml"/>
  <Override ContentType="application/vnd.openxmlformats-officedocument.spreadsheetml.worksheet+xml" PartName="/xl/worksheets/sheet15987.xml"/>
  <Override ContentType="application/vnd.openxmlformats-officedocument.spreadsheetml.worksheet+xml" PartName="/xl/worksheets/sheet15988.xml"/>
  <Override ContentType="application/vnd.openxmlformats-officedocument.spreadsheetml.worksheet+xml" PartName="/xl/worksheets/sheet15989.xml"/>
  <Override ContentType="application/vnd.openxmlformats-officedocument.spreadsheetml.worksheet+xml" PartName="/xl/worksheets/sheet15990.xml"/>
  <Override ContentType="application/vnd.openxmlformats-officedocument.spreadsheetml.worksheet+xml" PartName="/xl/worksheets/sheet15991.xml"/>
  <Override ContentType="application/vnd.openxmlformats-officedocument.spreadsheetml.worksheet+xml" PartName="/xl/worksheets/sheet15992.xml"/>
  <Override ContentType="application/vnd.openxmlformats-officedocument.spreadsheetml.worksheet+xml" PartName="/xl/worksheets/sheet15993.xml"/>
  <Override ContentType="application/vnd.openxmlformats-officedocument.spreadsheetml.worksheet+xml" PartName="/xl/worksheets/sheet15994.xml"/>
  <Override ContentType="application/vnd.openxmlformats-officedocument.spreadsheetml.worksheet+xml" PartName="/xl/worksheets/sheet15995.xml"/>
  <Override ContentType="application/vnd.openxmlformats-officedocument.spreadsheetml.worksheet+xml" PartName="/xl/worksheets/sheet15996.xml"/>
  <Override ContentType="application/vnd.openxmlformats-officedocument.spreadsheetml.worksheet+xml" PartName="/xl/worksheets/sheet15997.xml"/>
  <Override ContentType="application/vnd.openxmlformats-officedocument.spreadsheetml.worksheet+xml" PartName="/xl/worksheets/sheet15998.xml"/>
  <Override ContentType="application/vnd.openxmlformats-officedocument.spreadsheetml.worksheet+xml" PartName="/xl/worksheets/sheet15999.xml"/>
  <Override ContentType="application/vnd.openxmlformats-officedocument.spreadsheetml.worksheet+xml" PartName="/xl/worksheets/sheet16000.xml"/>
  <Override ContentType="application/vnd.openxmlformats-officedocument.spreadsheetml.worksheet+xml" PartName="/xl/worksheets/sheet16001.xml"/>
  <Override ContentType="application/vnd.openxmlformats-officedocument.spreadsheetml.worksheet+xml" PartName="/xl/worksheets/sheet16002.xml"/>
  <Override ContentType="application/vnd.openxmlformats-officedocument.spreadsheetml.worksheet+xml" PartName="/xl/worksheets/sheet16003.xml"/>
  <Override ContentType="application/vnd.openxmlformats-officedocument.spreadsheetml.worksheet+xml" PartName="/xl/worksheets/sheet16004.xml"/>
  <Override ContentType="application/vnd.openxmlformats-officedocument.spreadsheetml.worksheet+xml" PartName="/xl/worksheets/sheet16005.xml"/>
  <Override ContentType="application/vnd.openxmlformats-officedocument.spreadsheetml.worksheet+xml" PartName="/xl/worksheets/sheet16006.xml"/>
  <Override ContentType="application/vnd.openxmlformats-officedocument.spreadsheetml.worksheet+xml" PartName="/xl/worksheets/sheet16007.xml"/>
  <Override ContentType="application/vnd.openxmlformats-officedocument.spreadsheetml.worksheet+xml" PartName="/xl/worksheets/sheet16008.xml"/>
  <Override ContentType="application/vnd.openxmlformats-officedocument.spreadsheetml.worksheet+xml" PartName="/xl/worksheets/sheet16009.xml"/>
  <Override ContentType="application/vnd.openxmlformats-officedocument.spreadsheetml.worksheet+xml" PartName="/xl/worksheets/sheet16010.xml"/>
  <Override ContentType="application/vnd.openxmlformats-officedocument.spreadsheetml.worksheet+xml" PartName="/xl/worksheets/sheet16011.xml"/>
  <Override ContentType="application/vnd.openxmlformats-officedocument.spreadsheetml.worksheet+xml" PartName="/xl/worksheets/sheet16012.xml"/>
  <Override ContentType="application/vnd.openxmlformats-officedocument.spreadsheetml.worksheet+xml" PartName="/xl/worksheets/sheet16013.xml"/>
  <Override ContentType="application/vnd.openxmlformats-officedocument.spreadsheetml.worksheet+xml" PartName="/xl/worksheets/sheet16014.xml"/>
  <Override ContentType="application/vnd.openxmlformats-officedocument.spreadsheetml.worksheet+xml" PartName="/xl/worksheets/sheet16015.xml"/>
  <Override ContentType="application/vnd.openxmlformats-officedocument.spreadsheetml.worksheet+xml" PartName="/xl/worksheets/sheet16016.xml"/>
  <Override ContentType="application/vnd.openxmlformats-officedocument.spreadsheetml.worksheet+xml" PartName="/xl/worksheets/sheet16017.xml"/>
  <Override ContentType="application/vnd.openxmlformats-officedocument.spreadsheetml.worksheet+xml" PartName="/xl/worksheets/sheet16018.xml"/>
  <Override ContentType="application/vnd.openxmlformats-officedocument.spreadsheetml.worksheet+xml" PartName="/xl/worksheets/sheet16019.xml"/>
  <Override ContentType="application/vnd.openxmlformats-officedocument.spreadsheetml.worksheet+xml" PartName="/xl/worksheets/sheet16020.xml"/>
  <Override ContentType="application/vnd.openxmlformats-officedocument.spreadsheetml.worksheet+xml" PartName="/xl/worksheets/sheet16021.xml"/>
  <Override ContentType="application/vnd.openxmlformats-officedocument.spreadsheetml.worksheet+xml" PartName="/xl/worksheets/sheet16022.xml"/>
  <Override ContentType="application/vnd.openxmlformats-officedocument.spreadsheetml.worksheet+xml" PartName="/xl/worksheets/sheet16023.xml"/>
  <Override ContentType="application/vnd.openxmlformats-officedocument.spreadsheetml.worksheet+xml" PartName="/xl/worksheets/sheet16024.xml"/>
  <Override ContentType="application/vnd.openxmlformats-officedocument.spreadsheetml.worksheet+xml" PartName="/xl/worksheets/sheet16025.xml"/>
  <Override ContentType="application/vnd.openxmlformats-officedocument.spreadsheetml.worksheet+xml" PartName="/xl/worksheets/sheet16026.xml"/>
  <Override ContentType="application/vnd.openxmlformats-officedocument.spreadsheetml.worksheet+xml" PartName="/xl/worksheets/sheet16027.xml"/>
  <Override ContentType="application/vnd.openxmlformats-officedocument.spreadsheetml.worksheet+xml" PartName="/xl/worksheets/sheet16028.xml"/>
  <Override ContentType="application/vnd.openxmlformats-officedocument.spreadsheetml.worksheet+xml" PartName="/xl/worksheets/sheet16029.xml"/>
  <Override ContentType="application/vnd.openxmlformats-officedocument.spreadsheetml.worksheet+xml" PartName="/xl/worksheets/sheet16030.xml"/>
  <Override ContentType="application/vnd.openxmlformats-officedocument.spreadsheetml.worksheet+xml" PartName="/xl/worksheets/sheet16031.xml"/>
  <Override ContentType="application/vnd.openxmlformats-officedocument.spreadsheetml.worksheet+xml" PartName="/xl/worksheets/sheet16032.xml"/>
  <Override ContentType="application/vnd.openxmlformats-officedocument.spreadsheetml.worksheet+xml" PartName="/xl/worksheets/sheet16033.xml"/>
  <Override ContentType="application/vnd.openxmlformats-officedocument.spreadsheetml.worksheet+xml" PartName="/xl/worksheets/sheet16034.xml"/>
  <Override ContentType="application/vnd.openxmlformats-officedocument.spreadsheetml.worksheet+xml" PartName="/xl/worksheets/sheet16035.xml"/>
  <Override ContentType="application/vnd.openxmlformats-officedocument.spreadsheetml.worksheet+xml" PartName="/xl/worksheets/sheet16036.xml"/>
  <Override ContentType="application/vnd.openxmlformats-officedocument.spreadsheetml.worksheet+xml" PartName="/xl/worksheets/sheet16037.xml"/>
  <Override ContentType="application/vnd.openxmlformats-officedocument.spreadsheetml.worksheet+xml" PartName="/xl/worksheets/sheet16038.xml"/>
  <Override ContentType="application/vnd.openxmlformats-officedocument.spreadsheetml.worksheet+xml" PartName="/xl/worksheets/sheet16039.xml"/>
  <Override ContentType="application/vnd.openxmlformats-officedocument.spreadsheetml.worksheet+xml" PartName="/xl/worksheets/sheet16040.xml"/>
  <Override ContentType="application/vnd.openxmlformats-officedocument.spreadsheetml.worksheet+xml" PartName="/xl/worksheets/sheet16041.xml"/>
  <Override ContentType="application/vnd.openxmlformats-officedocument.spreadsheetml.worksheet+xml" PartName="/xl/worksheets/sheet16042.xml"/>
  <Override ContentType="application/vnd.openxmlformats-officedocument.spreadsheetml.worksheet+xml" PartName="/xl/worksheets/sheet16043.xml"/>
  <Override ContentType="application/vnd.openxmlformats-officedocument.spreadsheetml.worksheet+xml" PartName="/xl/worksheets/sheet16044.xml"/>
  <Override ContentType="application/vnd.openxmlformats-officedocument.spreadsheetml.worksheet+xml" PartName="/xl/worksheets/sheet16045.xml"/>
  <Override ContentType="application/vnd.openxmlformats-officedocument.spreadsheetml.worksheet+xml" PartName="/xl/worksheets/sheet16046.xml"/>
  <Override ContentType="application/vnd.openxmlformats-officedocument.spreadsheetml.worksheet+xml" PartName="/xl/worksheets/sheet16047.xml"/>
  <Override ContentType="application/vnd.openxmlformats-officedocument.spreadsheetml.worksheet+xml" PartName="/xl/worksheets/sheet16048.xml"/>
  <Override ContentType="application/vnd.openxmlformats-officedocument.spreadsheetml.worksheet+xml" PartName="/xl/worksheets/sheet16049.xml"/>
  <Override ContentType="application/vnd.openxmlformats-officedocument.spreadsheetml.worksheet+xml" PartName="/xl/worksheets/sheet16050.xml"/>
  <Override ContentType="application/vnd.openxmlformats-officedocument.spreadsheetml.worksheet+xml" PartName="/xl/worksheets/sheet16051.xml"/>
  <Override ContentType="application/vnd.openxmlformats-officedocument.spreadsheetml.worksheet+xml" PartName="/xl/worksheets/sheet16052.xml"/>
  <Override ContentType="application/vnd.openxmlformats-officedocument.spreadsheetml.worksheet+xml" PartName="/xl/worksheets/sheet16053.xml"/>
  <Override ContentType="application/vnd.openxmlformats-officedocument.spreadsheetml.worksheet+xml" PartName="/xl/worksheets/sheet16054.xml"/>
  <Override ContentType="application/vnd.openxmlformats-officedocument.spreadsheetml.worksheet+xml" PartName="/xl/worksheets/sheet16055.xml"/>
  <Override ContentType="application/vnd.openxmlformats-officedocument.spreadsheetml.worksheet+xml" PartName="/xl/worksheets/sheet16056.xml"/>
  <Override ContentType="application/vnd.openxmlformats-officedocument.spreadsheetml.worksheet+xml" PartName="/xl/worksheets/sheet16057.xml"/>
  <Override ContentType="application/vnd.openxmlformats-officedocument.spreadsheetml.worksheet+xml" PartName="/xl/worksheets/sheet16058.xml"/>
  <Override ContentType="application/vnd.openxmlformats-officedocument.spreadsheetml.worksheet+xml" PartName="/xl/worksheets/sheet16059.xml"/>
  <Override ContentType="application/vnd.openxmlformats-officedocument.spreadsheetml.worksheet+xml" PartName="/xl/worksheets/sheet16060.xml"/>
  <Override ContentType="application/vnd.openxmlformats-officedocument.spreadsheetml.worksheet+xml" PartName="/xl/worksheets/sheet16061.xml"/>
  <Override ContentType="application/vnd.openxmlformats-officedocument.spreadsheetml.worksheet+xml" PartName="/xl/worksheets/sheet16062.xml"/>
  <Override ContentType="application/vnd.openxmlformats-officedocument.spreadsheetml.worksheet+xml" PartName="/xl/worksheets/sheet16063.xml"/>
  <Override ContentType="application/vnd.openxmlformats-officedocument.spreadsheetml.worksheet+xml" PartName="/xl/worksheets/sheet16064.xml"/>
  <Override ContentType="application/vnd.openxmlformats-officedocument.spreadsheetml.worksheet+xml" PartName="/xl/worksheets/sheet16065.xml"/>
  <Override ContentType="application/vnd.openxmlformats-officedocument.spreadsheetml.worksheet+xml" PartName="/xl/worksheets/sheet16066.xml"/>
  <Override ContentType="application/vnd.openxmlformats-officedocument.spreadsheetml.worksheet+xml" PartName="/xl/worksheets/sheet16067.xml"/>
  <Override ContentType="application/vnd.openxmlformats-officedocument.spreadsheetml.worksheet+xml" PartName="/xl/worksheets/sheet16068.xml"/>
  <Override ContentType="application/vnd.openxmlformats-officedocument.spreadsheetml.worksheet+xml" PartName="/xl/worksheets/sheet16069.xml"/>
  <Override ContentType="application/vnd.openxmlformats-officedocument.spreadsheetml.worksheet+xml" PartName="/xl/worksheets/sheet16070.xml"/>
  <Override ContentType="application/vnd.openxmlformats-officedocument.spreadsheetml.worksheet+xml" PartName="/xl/worksheets/sheet16071.xml"/>
  <Override ContentType="application/vnd.openxmlformats-officedocument.spreadsheetml.worksheet+xml" PartName="/xl/worksheets/sheet16072.xml"/>
  <Override ContentType="application/vnd.openxmlformats-officedocument.spreadsheetml.worksheet+xml" PartName="/xl/worksheets/sheet16073.xml"/>
  <Override ContentType="application/vnd.openxmlformats-officedocument.spreadsheetml.worksheet+xml" PartName="/xl/worksheets/sheet16074.xml"/>
  <Override ContentType="application/vnd.openxmlformats-officedocument.spreadsheetml.worksheet+xml" PartName="/xl/worksheets/sheet16075.xml"/>
  <Override ContentType="application/vnd.openxmlformats-officedocument.spreadsheetml.worksheet+xml" PartName="/xl/worksheets/sheet16076.xml"/>
  <Override ContentType="application/vnd.openxmlformats-officedocument.spreadsheetml.worksheet+xml" PartName="/xl/worksheets/sheet16077.xml"/>
  <Override ContentType="application/vnd.openxmlformats-officedocument.spreadsheetml.worksheet+xml" PartName="/xl/worksheets/sheet16078.xml"/>
  <Override ContentType="application/vnd.openxmlformats-officedocument.spreadsheetml.worksheet+xml" PartName="/xl/worksheets/sheet16079.xml"/>
  <Override ContentType="application/vnd.openxmlformats-officedocument.spreadsheetml.worksheet+xml" PartName="/xl/worksheets/sheet16080.xml"/>
  <Override ContentType="application/vnd.openxmlformats-officedocument.spreadsheetml.worksheet+xml" PartName="/xl/worksheets/sheet16081.xml"/>
  <Override ContentType="application/vnd.openxmlformats-officedocument.spreadsheetml.worksheet+xml" PartName="/xl/worksheets/sheet16082.xml"/>
  <Override ContentType="application/vnd.openxmlformats-officedocument.spreadsheetml.worksheet+xml" PartName="/xl/worksheets/sheet16083.xml"/>
  <Override ContentType="application/vnd.openxmlformats-officedocument.spreadsheetml.worksheet+xml" PartName="/xl/worksheets/sheet16084.xml"/>
  <Override ContentType="application/vnd.openxmlformats-officedocument.spreadsheetml.worksheet+xml" PartName="/xl/worksheets/sheet16085.xml"/>
  <Override ContentType="application/vnd.openxmlformats-officedocument.spreadsheetml.worksheet+xml" PartName="/xl/worksheets/sheet16086.xml"/>
  <Override ContentType="application/vnd.openxmlformats-officedocument.spreadsheetml.worksheet+xml" PartName="/xl/worksheets/sheet16087.xml"/>
  <Override ContentType="application/vnd.openxmlformats-officedocument.spreadsheetml.worksheet+xml" PartName="/xl/worksheets/sheet16088.xml"/>
  <Override ContentType="application/vnd.openxmlformats-officedocument.spreadsheetml.worksheet+xml" PartName="/xl/worksheets/sheet16089.xml"/>
  <Override ContentType="application/vnd.openxmlformats-officedocument.spreadsheetml.worksheet+xml" PartName="/xl/worksheets/sheet16090.xml"/>
  <Override ContentType="application/vnd.openxmlformats-officedocument.spreadsheetml.worksheet+xml" PartName="/xl/worksheets/sheet16091.xml"/>
  <Override ContentType="application/vnd.openxmlformats-officedocument.spreadsheetml.worksheet+xml" PartName="/xl/worksheets/sheet16092.xml"/>
  <Override ContentType="application/vnd.openxmlformats-officedocument.spreadsheetml.worksheet+xml" PartName="/xl/worksheets/sheet16093.xml"/>
  <Override ContentType="application/vnd.openxmlformats-officedocument.spreadsheetml.worksheet+xml" PartName="/xl/worksheets/sheet16094.xml"/>
  <Override ContentType="application/vnd.openxmlformats-officedocument.spreadsheetml.worksheet+xml" PartName="/xl/worksheets/sheet16095.xml"/>
  <Override ContentType="application/vnd.openxmlformats-officedocument.spreadsheetml.worksheet+xml" PartName="/xl/worksheets/sheet16096.xml"/>
  <Override ContentType="application/vnd.openxmlformats-officedocument.spreadsheetml.worksheet+xml" PartName="/xl/worksheets/sheet16097.xml"/>
  <Override ContentType="application/vnd.openxmlformats-officedocument.spreadsheetml.worksheet+xml" PartName="/xl/worksheets/sheet16098.xml"/>
  <Override ContentType="application/vnd.openxmlformats-officedocument.spreadsheetml.worksheet+xml" PartName="/xl/worksheets/sheet16099.xml"/>
  <Override ContentType="application/vnd.openxmlformats-officedocument.spreadsheetml.worksheet+xml" PartName="/xl/worksheets/sheet16100.xml"/>
  <Override ContentType="application/vnd.openxmlformats-officedocument.spreadsheetml.worksheet+xml" PartName="/xl/worksheets/sheet16101.xml"/>
  <Override ContentType="application/vnd.openxmlformats-officedocument.spreadsheetml.worksheet+xml" PartName="/xl/worksheets/sheet16102.xml"/>
  <Override ContentType="application/vnd.openxmlformats-officedocument.spreadsheetml.worksheet+xml" PartName="/xl/worksheets/sheet16103.xml"/>
  <Override ContentType="application/vnd.openxmlformats-officedocument.spreadsheetml.worksheet+xml" PartName="/xl/worksheets/sheet16104.xml"/>
  <Override ContentType="application/vnd.openxmlformats-officedocument.spreadsheetml.worksheet+xml" PartName="/xl/worksheets/sheet16105.xml"/>
  <Override ContentType="application/vnd.openxmlformats-officedocument.spreadsheetml.worksheet+xml" PartName="/xl/worksheets/sheet16106.xml"/>
  <Override ContentType="application/vnd.openxmlformats-officedocument.spreadsheetml.worksheet+xml" PartName="/xl/worksheets/sheet16107.xml"/>
  <Override ContentType="application/vnd.openxmlformats-officedocument.spreadsheetml.worksheet+xml" PartName="/xl/worksheets/sheet16108.xml"/>
  <Override ContentType="application/vnd.openxmlformats-officedocument.spreadsheetml.worksheet+xml" PartName="/xl/worksheets/sheet16109.xml"/>
  <Override ContentType="application/vnd.openxmlformats-officedocument.spreadsheetml.worksheet+xml" PartName="/xl/worksheets/sheet16110.xml"/>
  <Override ContentType="application/vnd.openxmlformats-officedocument.spreadsheetml.worksheet+xml" PartName="/xl/worksheets/sheet16111.xml"/>
  <Override ContentType="application/vnd.openxmlformats-officedocument.spreadsheetml.worksheet+xml" PartName="/xl/worksheets/sheet16112.xml"/>
  <Override ContentType="application/vnd.openxmlformats-officedocument.spreadsheetml.worksheet+xml" PartName="/xl/worksheets/sheet16113.xml"/>
  <Override ContentType="application/vnd.openxmlformats-officedocument.spreadsheetml.worksheet+xml" PartName="/xl/worksheets/sheet16114.xml"/>
  <Override ContentType="application/vnd.openxmlformats-officedocument.spreadsheetml.worksheet+xml" PartName="/xl/worksheets/sheet16115.xml"/>
  <Override ContentType="application/vnd.openxmlformats-officedocument.spreadsheetml.worksheet+xml" PartName="/xl/worksheets/sheet16116.xml"/>
  <Override ContentType="application/vnd.openxmlformats-officedocument.spreadsheetml.worksheet+xml" PartName="/xl/worksheets/sheet16117.xml"/>
  <Override ContentType="application/vnd.openxmlformats-officedocument.spreadsheetml.worksheet+xml" PartName="/xl/worksheets/sheet16118.xml"/>
  <Override ContentType="application/vnd.openxmlformats-officedocument.spreadsheetml.worksheet+xml" PartName="/xl/worksheets/sheet16119.xml"/>
  <Override ContentType="application/vnd.openxmlformats-officedocument.spreadsheetml.worksheet+xml" PartName="/xl/worksheets/sheet16120.xml"/>
  <Override ContentType="application/vnd.openxmlformats-officedocument.spreadsheetml.worksheet+xml" PartName="/xl/worksheets/sheet16121.xml"/>
  <Override ContentType="application/vnd.openxmlformats-officedocument.spreadsheetml.worksheet+xml" PartName="/xl/worksheets/sheet16122.xml"/>
  <Override ContentType="application/vnd.openxmlformats-officedocument.spreadsheetml.worksheet+xml" PartName="/xl/worksheets/sheet16123.xml"/>
  <Override ContentType="application/vnd.openxmlformats-officedocument.spreadsheetml.worksheet+xml" PartName="/xl/worksheets/sheet16124.xml"/>
  <Override ContentType="application/vnd.openxmlformats-officedocument.spreadsheetml.worksheet+xml" PartName="/xl/worksheets/sheet16125.xml"/>
  <Override ContentType="application/vnd.openxmlformats-officedocument.spreadsheetml.worksheet+xml" PartName="/xl/worksheets/sheet16126.xml"/>
  <Override ContentType="application/vnd.openxmlformats-officedocument.spreadsheetml.worksheet+xml" PartName="/xl/worksheets/sheet16127.xml"/>
  <Override ContentType="application/vnd.openxmlformats-officedocument.spreadsheetml.worksheet+xml" PartName="/xl/worksheets/sheet16128.xml"/>
  <Override ContentType="application/vnd.openxmlformats-officedocument.spreadsheetml.worksheet+xml" PartName="/xl/worksheets/sheet16129.xml"/>
  <Override ContentType="application/vnd.openxmlformats-officedocument.spreadsheetml.worksheet+xml" PartName="/xl/worksheets/sheet16130.xml"/>
  <Override ContentType="application/vnd.openxmlformats-officedocument.spreadsheetml.worksheet+xml" PartName="/xl/worksheets/sheet16131.xml"/>
  <Override ContentType="application/vnd.openxmlformats-officedocument.spreadsheetml.worksheet+xml" PartName="/xl/worksheets/sheet16132.xml"/>
  <Override ContentType="application/vnd.openxmlformats-officedocument.spreadsheetml.worksheet+xml" PartName="/xl/worksheets/sheet16133.xml"/>
  <Override ContentType="application/vnd.openxmlformats-officedocument.spreadsheetml.worksheet+xml" PartName="/xl/worksheets/sheet16134.xml"/>
  <Override ContentType="application/vnd.openxmlformats-officedocument.spreadsheetml.worksheet+xml" PartName="/xl/worksheets/sheet16135.xml"/>
  <Override ContentType="application/vnd.openxmlformats-officedocument.spreadsheetml.worksheet+xml" PartName="/xl/worksheets/sheet16136.xml"/>
  <Override ContentType="application/vnd.openxmlformats-officedocument.spreadsheetml.worksheet+xml" PartName="/xl/worksheets/sheet16137.xml"/>
  <Override ContentType="application/vnd.openxmlformats-officedocument.spreadsheetml.worksheet+xml" PartName="/xl/worksheets/sheet16138.xml"/>
  <Override ContentType="application/vnd.openxmlformats-officedocument.spreadsheetml.worksheet+xml" PartName="/xl/worksheets/sheet16139.xml"/>
  <Override ContentType="application/vnd.openxmlformats-officedocument.spreadsheetml.worksheet+xml" PartName="/xl/worksheets/sheet16140.xml"/>
  <Override ContentType="application/vnd.openxmlformats-officedocument.spreadsheetml.worksheet+xml" PartName="/xl/worksheets/sheet16141.xml"/>
  <Override ContentType="application/vnd.openxmlformats-officedocument.spreadsheetml.worksheet+xml" PartName="/xl/worksheets/sheet16142.xml"/>
  <Override ContentType="application/vnd.openxmlformats-officedocument.spreadsheetml.worksheet+xml" PartName="/xl/worksheets/sheet16143.xml"/>
  <Override ContentType="application/vnd.openxmlformats-officedocument.spreadsheetml.worksheet+xml" PartName="/xl/worksheets/sheet16144.xml"/>
  <Override ContentType="application/vnd.openxmlformats-officedocument.spreadsheetml.worksheet+xml" PartName="/xl/worksheets/sheet16145.xml"/>
  <Override ContentType="application/vnd.openxmlformats-officedocument.spreadsheetml.worksheet+xml" PartName="/xl/worksheets/sheet16146.xml"/>
  <Override ContentType="application/vnd.openxmlformats-officedocument.spreadsheetml.worksheet+xml" PartName="/xl/worksheets/sheet16147.xml"/>
  <Override ContentType="application/vnd.openxmlformats-officedocument.spreadsheetml.worksheet+xml" PartName="/xl/worksheets/sheet16148.xml"/>
  <Override ContentType="application/vnd.openxmlformats-officedocument.spreadsheetml.worksheet+xml" PartName="/xl/worksheets/sheet16149.xml"/>
  <Override ContentType="application/vnd.openxmlformats-officedocument.spreadsheetml.worksheet+xml" PartName="/xl/worksheets/sheet16150.xml"/>
  <Override ContentType="application/vnd.openxmlformats-officedocument.spreadsheetml.worksheet+xml" PartName="/xl/worksheets/sheet16151.xml"/>
  <Override ContentType="application/vnd.openxmlformats-officedocument.spreadsheetml.worksheet+xml" PartName="/xl/worksheets/sheet16152.xml"/>
  <Override ContentType="application/vnd.openxmlformats-officedocument.spreadsheetml.worksheet+xml" PartName="/xl/worksheets/sheet16153.xml"/>
  <Override ContentType="application/vnd.openxmlformats-officedocument.spreadsheetml.worksheet+xml" PartName="/xl/worksheets/sheet16154.xml"/>
  <Override ContentType="application/vnd.openxmlformats-officedocument.spreadsheetml.worksheet+xml" PartName="/xl/worksheets/sheet16155.xml"/>
  <Override ContentType="application/vnd.openxmlformats-officedocument.spreadsheetml.worksheet+xml" PartName="/xl/worksheets/sheet16156.xml"/>
  <Override ContentType="application/vnd.openxmlformats-officedocument.spreadsheetml.worksheet+xml" PartName="/xl/worksheets/sheet16157.xml"/>
  <Override ContentType="application/vnd.openxmlformats-officedocument.spreadsheetml.worksheet+xml" PartName="/xl/worksheets/sheet16158.xml"/>
  <Override ContentType="application/vnd.openxmlformats-officedocument.spreadsheetml.worksheet+xml" PartName="/xl/worksheets/sheet16159.xml"/>
  <Override ContentType="application/vnd.openxmlformats-officedocument.spreadsheetml.worksheet+xml" PartName="/xl/worksheets/sheet16160.xml"/>
  <Override ContentType="application/vnd.openxmlformats-officedocument.spreadsheetml.worksheet+xml" PartName="/xl/worksheets/sheet16161.xml"/>
  <Override ContentType="application/vnd.openxmlformats-officedocument.spreadsheetml.worksheet+xml" PartName="/xl/worksheets/sheet16162.xml"/>
  <Override ContentType="application/vnd.openxmlformats-officedocument.spreadsheetml.worksheet+xml" PartName="/xl/worksheets/sheet16163.xml"/>
  <Override ContentType="application/vnd.openxmlformats-officedocument.spreadsheetml.worksheet+xml" PartName="/xl/worksheets/sheet16164.xml"/>
  <Override ContentType="application/vnd.openxmlformats-officedocument.spreadsheetml.worksheet+xml" PartName="/xl/worksheets/sheet16165.xml"/>
  <Override ContentType="application/vnd.openxmlformats-officedocument.spreadsheetml.worksheet+xml" PartName="/xl/worksheets/sheet16166.xml"/>
  <Override ContentType="application/vnd.openxmlformats-officedocument.spreadsheetml.worksheet+xml" PartName="/xl/worksheets/sheet16167.xml"/>
  <Override ContentType="application/vnd.openxmlformats-officedocument.spreadsheetml.worksheet+xml" PartName="/xl/worksheets/sheet16168.xml"/>
  <Override ContentType="application/vnd.openxmlformats-officedocument.spreadsheetml.worksheet+xml" PartName="/xl/worksheets/sheet16169.xml"/>
  <Override ContentType="application/vnd.openxmlformats-officedocument.spreadsheetml.worksheet+xml" PartName="/xl/worksheets/sheet16170.xml"/>
  <Override ContentType="application/vnd.openxmlformats-officedocument.spreadsheetml.worksheet+xml" PartName="/xl/worksheets/sheet16171.xml"/>
  <Override ContentType="application/vnd.openxmlformats-officedocument.spreadsheetml.worksheet+xml" PartName="/xl/worksheets/sheet16172.xml"/>
  <Override ContentType="application/vnd.openxmlformats-officedocument.spreadsheetml.worksheet+xml" PartName="/xl/worksheets/sheet16173.xml"/>
  <Override ContentType="application/vnd.openxmlformats-officedocument.spreadsheetml.worksheet+xml" PartName="/xl/worksheets/sheet16174.xml"/>
  <Override ContentType="application/vnd.openxmlformats-officedocument.spreadsheetml.worksheet+xml" PartName="/xl/worksheets/sheet16175.xml"/>
  <Override ContentType="application/vnd.openxmlformats-officedocument.spreadsheetml.worksheet+xml" PartName="/xl/worksheets/sheet16176.xml"/>
  <Override ContentType="application/vnd.openxmlformats-officedocument.spreadsheetml.worksheet+xml" PartName="/xl/worksheets/sheet16177.xml"/>
  <Override ContentType="application/vnd.openxmlformats-officedocument.spreadsheetml.worksheet+xml" PartName="/xl/worksheets/sheet16178.xml"/>
  <Override ContentType="application/vnd.openxmlformats-officedocument.spreadsheetml.worksheet+xml" PartName="/xl/worksheets/sheet16179.xml"/>
  <Override ContentType="application/vnd.openxmlformats-officedocument.spreadsheetml.worksheet+xml" PartName="/xl/worksheets/sheet16180.xml"/>
  <Override ContentType="application/vnd.openxmlformats-officedocument.spreadsheetml.worksheet+xml" PartName="/xl/worksheets/sheet16181.xml"/>
  <Override ContentType="application/vnd.openxmlformats-officedocument.spreadsheetml.worksheet+xml" PartName="/xl/worksheets/sheet16182.xml"/>
  <Override ContentType="application/vnd.openxmlformats-officedocument.spreadsheetml.worksheet+xml" PartName="/xl/worksheets/sheet16183.xml"/>
  <Override ContentType="application/vnd.openxmlformats-officedocument.spreadsheetml.worksheet+xml" PartName="/xl/worksheets/sheet16184.xml"/>
  <Override ContentType="application/vnd.openxmlformats-officedocument.spreadsheetml.worksheet+xml" PartName="/xl/worksheets/sheet16185.xml"/>
  <Override ContentType="application/vnd.openxmlformats-officedocument.spreadsheetml.worksheet+xml" PartName="/xl/worksheets/sheet16186.xml"/>
  <Override ContentType="application/vnd.openxmlformats-officedocument.spreadsheetml.worksheet+xml" PartName="/xl/worksheets/sheet16187.xml"/>
  <Override ContentType="application/vnd.openxmlformats-officedocument.spreadsheetml.worksheet+xml" PartName="/xl/worksheets/sheet16188.xml"/>
  <Override ContentType="application/vnd.openxmlformats-officedocument.spreadsheetml.worksheet+xml" PartName="/xl/worksheets/sheet16189.xml"/>
  <Override ContentType="application/vnd.openxmlformats-officedocument.spreadsheetml.worksheet+xml" PartName="/xl/worksheets/sheet16190.xml"/>
  <Override ContentType="application/vnd.openxmlformats-officedocument.spreadsheetml.worksheet+xml" PartName="/xl/worksheets/sheet16191.xml"/>
  <Override ContentType="application/vnd.openxmlformats-officedocument.spreadsheetml.worksheet+xml" PartName="/xl/worksheets/sheet16192.xml"/>
  <Override ContentType="application/vnd.openxmlformats-officedocument.spreadsheetml.worksheet+xml" PartName="/xl/worksheets/sheet16193.xml"/>
  <Override ContentType="application/vnd.openxmlformats-officedocument.spreadsheetml.worksheet+xml" PartName="/xl/worksheets/sheet16194.xml"/>
  <Override ContentType="application/vnd.openxmlformats-officedocument.spreadsheetml.worksheet+xml" PartName="/xl/worksheets/sheet16195.xml"/>
  <Override ContentType="application/vnd.openxmlformats-officedocument.spreadsheetml.worksheet+xml" PartName="/xl/worksheets/sheet16196.xml"/>
  <Override ContentType="application/vnd.openxmlformats-officedocument.spreadsheetml.worksheet+xml" PartName="/xl/worksheets/sheet16197.xml"/>
  <Override ContentType="application/vnd.openxmlformats-officedocument.spreadsheetml.worksheet+xml" PartName="/xl/worksheets/sheet16198.xml"/>
  <Override ContentType="application/vnd.openxmlformats-officedocument.spreadsheetml.worksheet+xml" PartName="/xl/worksheets/sheet16199.xml"/>
  <Override ContentType="application/vnd.openxmlformats-officedocument.spreadsheetml.worksheet+xml" PartName="/xl/worksheets/sheet16200.xml"/>
  <Override ContentType="application/vnd.openxmlformats-officedocument.spreadsheetml.worksheet+xml" PartName="/xl/worksheets/sheet16201.xml"/>
  <Override ContentType="application/vnd.openxmlformats-officedocument.spreadsheetml.worksheet+xml" PartName="/xl/worksheets/sheet16202.xml"/>
  <Override ContentType="application/vnd.openxmlformats-officedocument.spreadsheetml.worksheet+xml" PartName="/xl/worksheets/sheet16203.xml"/>
  <Override ContentType="application/vnd.openxmlformats-officedocument.spreadsheetml.worksheet+xml" PartName="/xl/worksheets/sheet16204.xml"/>
  <Override ContentType="application/vnd.openxmlformats-officedocument.spreadsheetml.worksheet+xml" PartName="/xl/worksheets/sheet16205.xml"/>
  <Override ContentType="application/vnd.openxmlformats-officedocument.spreadsheetml.worksheet+xml" PartName="/xl/worksheets/sheet16206.xml"/>
  <Override ContentType="application/vnd.openxmlformats-officedocument.spreadsheetml.worksheet+xml" PartName="/xl/worksheets/sheet16207.xml"/>
  <Override ContentType="application/vnd.openxmlformats-officedocument.spreadsheetml.worksheet+xml" PartName="/xl/worksheets/sheet16208.xml"/>
  <Override ContentType="application/vnd.openxmlformats-officedocument.spreadsheetml.worksheet+xml" PartName="/xl/worksheets/sheet16209.xml"/>
  <Override ContentType="application/vnd.openxmlformats-officedocument.spreadsheetml.worksheet+xml" PartName="/xl/worksheets/sheet16210.xml"/>
  <Override ContentType="application/vnd.openxmlformats-officedocument.spreadsheetml.worksheet+xml" PartName="/xl/worksheets/sheet16211.xml"/>
  <Override ContentType="application/vnd.openxmlformats-officedocument.spreadsheetml.worksheet+xml" PartName="/xl/worksheets/sheet16212.xml"/>
  <Override ContentType="application/vnd.openxmlformats-officedocument.spreadsheetml.worksheet+xml" PartName="/xl/worksheets/sheet16213.xml"/>
  <Override ContentType="application/vnd.openxmlformats-officedocument.spreadsheetml.worksheet+xml" PartName="/xl/worksheets/sheet16214.xml"/>
  <Override ContentType="application/vnd.openxmlformats-officedocument.spreadsheetml.worksheet+xml" PartName="/xl/worksheets/sheet16215.xml"/>
  <Override ContentType="application/vnd.openxmlformats-officedocument.spreadsheetml.worksheet+xml" PartName="/xl/worksheets/sheet16216.xml"/>
  <Override ContentType="application/vnd.openxmlformats-officedocument.spreadsheetml.worksheet+xml" PartName="/xl/worksheets/sheet16217.xml"/>
  <Override ContentType="application/vnd.openxmlformats-officedocument.spreadsheetml.worksheet+xml" PartName="/xl/worksheets/sheet16218.xml"/>
  <Override ContentType="application/vnd.openxmlformats-officedocument.spreadsheetml.worksheet+xml" PartName="/xl/worksheets/sheet16219.xml"/>
  <Override ContentType="application/vnd.openxmlformats-officedocument.spreadsheetml.worksheet+xml" PartName="/xl/worksheets/sheet16220.xml"/>
  <Override ContentType="application/vnd.openxmlformats-officedocument.spreadsheetml.worksheet+xml" PartName="/xl/worksheets/sheet16221.xml"/>
  <Override ContentType="application/vnd.openxmlformats-officedocument.spreadsheetml.worksheet+xml" PartName="/xl/worksheets/sheet16222.xml"/>
  <Override ContentType="application/vnd.openxmlformats-officedocument.spreadsheetml.worksheet+xml" PartName="/xl/worksheets/sheet16223.xml"/>
  <Override ContentType="application/vnd.openxmlformats-officedocument.spreadsheetml.worksheet+xml" PartName="/xl/worksheets/sheet16224.xml"/>
  <Override ContentType="application/vnd.openxmlformats-officedocument.spreadsheetml.worksheet+xml" PartName="/xl/worksheets/sheet16225.xml"/>
  <Override ContentType="application/vnd.openxmlformats-officedocument.spreadsheetml.worksheet+xml" PartName="/xl/worksheets/sheet16226.xml"/>
  <Override ContentType="application/vnd.openxmlformats-officedocument.spreadsheetml.worksheet+xml" PartName="/xl/worksheets/sheet16227.xml"/>
  <Override ContentType="application/vnd.openxmlformats-officedocument.spreadsheetml.worksheet+xml" PartName="/xl/worksheets/sheet16228.xml"/>
  <Override ContentType="application/vnd.openxmlformats-officedocument.spreadsheetml.worksheet+xml" PartName="/xl/worksheets/sheet16229.xml"/>
  <Override ContentType="application/vnd.openxmlformats-officedocument.spreadsheetml.worksheet+xml" PartName="/xl/worksheets/sheet16230.xml"/>
  <Override ContentType="application/vnd.openxmlformats-officedocument.spreadsheetml.worksheet+xml" PartName="/xl/worksheets/sheet16231.xml"/>
  <Override ContentType="application/vnd.openxmlformats-officedocument.spreadsheetml.worksheet+xml" PartName="/xl/worksheets/sheet16232.xml"/>
  <Override ContentType="application/vnd.openxmlformats-officedocument.spreadsheetml.worksheet+xml" PartName="/xl/worksheets/sheet16233.xml"/>
  <Override ContentType="application/vnd.openxmlformats-officedocument.spreadsheetml.worksheet+xml" PartName="/xl/worksheets/sheet16234.xml"/>
  <Override ContentType="application/vnd.openxmlformats-officedocument.spreadsheetml.worksheet+xml" PartName="/xl/worksheets/sheet16235.xml"/>
  <Override ContentType="application/vnd.openxmlformats-officedocument.spreadsheetml.worksheet+xml" PartName="/xl/worksheets/sheet16236.xml"/>
  <Override ContentType="application/vnd.openxmlformats-officedocument.spreadsheetml.worksheet+xml" PartName="/xl/worksheets/sheet16237.xml"/>
  <Override ContentType="application/vnd.openxmlformats-officedocument.spreadsheetml.worksheet+xml" PartName="/xl/worksheets/sheet16238.xml"/>
  <Override ContentType="application/vnd.openxmlformats-officedocument.spreadsheetml.worksheet+xml" PartName="/xl/worksheets/sheet16239.xml"/>
  <Override ContentType="application/vnd.openxmlformats-officedocument.spreadsheetml.worksheet+xml" PartName="/xl/worksheets/sheet16240.xml"/>
  <Override ContentType="application/vnd.openxmlformats-officedocument.spreadsheetml.worksheet+xml" PartName="/xl/worksheets/sheet16241.xml"/>
  <Override ContentType="application/vnd.openxmlformats-officedocument.spreadsheetml.worksheet+xml" PartName="/xl/worksheets/sheet16242.xml"/>
  <Override ContentType="application/vnd.openxmlformats-officedocument.spreadsheetml.worksheet+xml" PartName="/xl/worksheets/sheet16243.xml"/>
  <Override ContentType="application/vnd.openxmlformats-officedocument.spreadsheetml.worksheet+xml" PartName="/xl/worksheets/sheet16244.xml"/>
  <Override ContentType="application/vnd.openxmlformats-officedocument.spreadsheetml.worksheet+xml" PartName="/xl/worksheets/sheet16245.xml"/>
  <Override ContentType="application/vnd.openxmlformats-officedocument.spreadsheetml.worksheet+xml" PartName="/xl/worksheets/sheet16246.xml"/>
  <Override ContentType="application/vnd.openxmlformats-officedocument.spreadsheetml.worksheet+xml" PartName="/xl/worksheets/sheet16247.xml"/>
  <Override ContentType="application/vnd.openxmlformats-officedocument.spreadsheetml.worksheet+xml" PartName="/xl/worksheets/sheet16248.xml"/>
  <Override ContentType="application/vnd.openxmlformats-officedocument.spreadsheetml.worksheet+xml" PartName="/xl/worksheets/sheet16249.xml"/>
  <Override ContentType="application/vnd.openxmlformats-officedocument.spreadsheetml.worksheet+xml" PartName="/xl/worksheets/sheet16250.xml"/>
  <Override ContentType="application/vnd.openxmlformats-officedocument.spreadsheetml.worksheet+xml" PartName="/xl/worksheets/sheet16251.xml"/>
  <Override ContentType="application/vnd.openxmlformats-officedocument.spreadsheetml.worksheet+xml" PartName="/xl/worksheets/sheet16252.xml"/>
  <Override ContentType="application/vnd.openxmlformats-officedocument.spreadsheetml.worksheet+xml" PartName="/xl/worksheets/sheet16253.xml"/>
  <Override ContentType="application/vnd.openxmlformats-officedocument.spreadsheetml.worksheet+xml" PartName="/xl/worksheets/sheet16254.xml"/>
  <Override ContentType="application/vnd.openxmlformats-officedocument.spreadsheetml.worksheet+xml" PartName="/xl/worksheets/sheet16255.xml"/>
  <Override ContentType="application/vnd.openxmlformats-officedocument.spreadsheetml.worksheet+xml" PartName="/xl/worksheets/sheet16256.xml"/>
  <Override ContentType="application/vnd.openxmlformats-officedocument.spreadsheetml.worksheet+xml" PartName="/xl/worksheets/sheet16257.xml"/>
  <Override ContentType="application/vnd.openxmlformats-officedocument.spreadsheetml.worksheet+xml" PartName="/xl/worksheets/sheet16258.xml"/>
  <Override ContentType="application/vnd.openxmlformats-officedocument.spreadsheetml.worksheet+xml" PartName="/xl/worksheets/sheet16259.xml"/>
  <Override ContentType="application/vnd.openxmlformats-officedocument.spreadsheetml.worksheet+xml" PartName="/xl/worksheets/sheet16260.xml"/>
  <Override ContentType="application/vnd.openxmlformats-officedocument.spreadsheetml.worksheet+xml" PartName="/xl/worksheets/sheet16261.xml"/>
  <Override ContentType="application/vnd.openxmlformats-officedocument.spreadsheetml.worksheet+xml" PartName="/xl/worksheets/sheet16262.xml"/>
  <Override ContentType="application/vnd.openxmlformats-officedocument.spreadsheetml.worksheet+xml" PartName="/xl/worksheets/sheet16263.xml"/>
  <Override ContentType="application/vnd.openxmlformats-officedocument.spreadsheetml.worksheet+xml" PartName="/xl/worksheets/sheet16264.xml"/>
  <Override ContentType="application/vnd.openxmlformats-officedocument.spreadsheetml.worksheet+xml" PartName="/xl/worksheets/sheet16265.xml"/>
  <Override ContentType="application/vnd.openxmlformats-officedocument.spreadsheetml.worksheet+xml" PartName="/xl/worksheets/sheet16266.xml"/>
  <Override ContentType="application/vnd.openxmlformats-officedocument.spreadsheetml.worksheet+xml" PartName="/xl/worksheets/sheet16267.xml"/>
  <Override ContentType="application/vnd.openxmlformats-officedocument.spreadsheetml.worksheet+xml" PartName="/xl/worksheets/sheet16268.xml"/>
  <Override ContentType="application/vnd.openxmlformats-officedocument.spreadsheetml.worksheet+xml" PartName="/xl/worksheets/sheet16269.xml"/>
  <Override ContentType="application/vnd.openxmlformats-officedocument.spreadsheetml.worksheet+xml" PartName="/xl/worksheets/sheet16270.xml"/>
  <Override ContentType="application/vnd.openxmlformats-officedocument.spreadsheetml.worksheet+xml" PartName="/xl/worksheets/sheet16271.xml"/>
  <Override ContentType="application/vnd.openxmlformats-officedocument.spreadsheetml.worksheet+xml" PartName="/xl/worksheets/sheet16272.xml"/>
  <Override ContentType="application/vnd.openxmlformats-officedocument.spreadsheetml.worksheet+xml" PartName="/xl/worksheets/sheet16273.xml"/>
  <Override ContentType="application/vnd.openxmlformats-officedocument.spreadsheetml.worksheet+xml" PartName="/xl/worksheets/sheet16274.xml"/>
  <Override ContentType="application/vnd.openxmlformats-officedocument.spreadsheetml.worksheet+xml" PartName="/xl/worksheets/sheet16275.xml"/>
  <Override ContentType="application/vnd.openxmlformats-officedocument.spreadsheetml.worksheet+xml" PartName="/xl/worksheets/sheet16276.xml"/>
  <Override ContentType="application/vnd.openxmlformats-officedocument.spreadsheetml.worksheet+xml" PartName="/xl/worksheets/sheet16277.xml"/>
  <Override ContentType="application/vnd.openxmlformats-officedocument.spreadsheetml.worksheet+xml" PartName="/xl/worksheets/sheet16278.xml"/>
  <Override ContentType="application/vnd.openxmlformats-officedocument.spreadsheetml.worksheet+xml" PartName="/xl/worksheets/sheet16279.xml"/>
  <Override ContentType="application/vnd.openxmlformats-officedocument.spreadsheetml.worksheet+xml" PartName="/xl/worksheets/sheet16280.xml"/>
  <Override ContentType="application/vnd.openxmlformats-officedocument.spreadsheetml.worksheet+xml" PartName="/xl/worksheets/sheet16281.xml"/>
  <Override ContentType="application/vnd.openxmlformats-officedocument.spreadsheetml.worksheet+xml" PartName="/xl/worksheets/sheet16282.xml"/>
  <Override ContentType="application/vnd.openxmlformats-officedocument.spreadsheetml.worksheet+xml" PartName="/xl/worksheets/sheet16283.xml"/>
  <Override ContentType="application/vnd.openxmlformats-officedocument.spreadsheetml.worksheet+xml" PartName="/xl/worksheets/sheet16284.xml"/>
  <Override ContentType="application/vnd.openxmlformats-officedocument.spreadsheetml.worksheet+xml" PartName="/xl/worksheets/sheet16285.xml"/>
  <Override ContentType="application/vnd.openxmlformats-officedocument.spreadsheetml.worksheet+xml" PartName="/xl/worksheets/sheet16286.xml"/>
  <Override ContentType="application/vnd.openxmlformats-officedocument.spreadsheetml.worksheet+xml" PartName="/xl/worksheets/sheet16287.xml"/>
  <Override ContentType="application/vnd.openxmlformats-officedocument.spreadsheetml.worksheet+xml" PartName="/xl/worksheets/sheet16288.xml"/>
  <Override ContentType="application/vnd.openxmlformats-officedocument.spreadsheetml.worksheet+xml" PartName="/xl/worksheets/sheet16289.xml"/>
  <Override ContentType="application/vnd.openxmlformats-officedocument.spreadsheetml.worksheet+xml" PartName="/xl/worksheets/sheet16290.xml"/>
  <Override ContentType="application/vnd.openxmlformats-officedocument.spreadsheetml.worksheet+xml" PartName="/xl/worksheets/sheet16291.xml"/>
  <Override ContentType="application/vnd.openxmlformats-officedocument.spreadsheetml.worksheet+xml" PartName="/xl/worksheets/sheet16292.xml"/>
  <Override ContentType="application/vnd.openxmlformats-officedocument.spreadsheetml.worksheet+xml" PartName="/xl/worksheets/sheet16293.xml"/>
  <Override ContentType="application/vnd.openxmlformats-officedocument.spreadsheetml.worksheet+xml" PartName="/xl/worksheets/sheet16294.xml"/>
  <Override ContentType="application/vnd.openxmlformats-officedocument.spreadsheetml.worksheet+xml" PartName="/xl/worksheets/sheet16295.xml"/>
  <Override ContentType="application/vnd.openxmlformats-officedocument.spreadsheetml.worksheet+xml" PartName="/xl/worksheets/sheet16296.xml"/>
  <Override ContentType="application/vnd.openxmlformats-officedocument.spreadsheetml.worksheet+xml" PartName="/xl/worksheets/sheet16297.xml"/>
  <Override ContentType="application/vnd.openxmlformats-officedocument.spreadsheetml.worksheet+xml" PartName="/xl/worksheets/sheet16298.xml"/>
  <Override ContentType="application/vnd.openxmlformats-officedocument.spreadsheetml.worksheet+xml" PartName="/xl/worksheets/sheet16299.xml"/>
  <Override ContentType="application/vnd.openxmlformats-officedocument.spreadsheetml.worksheet+xml" PartName="/xl/worksheets/sheet16300.xml"/>
  <Override ContentType="application/vnd.openxmlformats-officedocument.spreadsheetml.worksheet+xml" PartName="/xl/worksheets/sheet16301.xml"/>
  <Override ContentType="application/vnd.openxmlformats-officedocument.spreadsheetml.worksheet+xml" PartName="/xl/worksheets/sheet16302.xml"/>
  <Override ContentType="application/vnd.openxmlformats-officedocument.spreadsheetml.worksheet+xml" PartName="/xl/worksheets/sheet16303.xml"/>
  <Override ContentType="application/vnd.openxmlformats-officedocument.spreadsheetml.worksheet+xml" PartName="/xl/worksheets/sheet16304.xml"/>
  <Override ContentType="application/vnd.openxmlformats-officedocument.spreadsheetml.worksheet+xml" PartName="/xl/worksheets/sheet16305.xml"/>
  <Override ContentType="application/vnd.openxmlformats-officedocument.spreadsheetml.worksheet+xml" PartName="/xl/worksheets/sheet16306.xml"/>
  <Override ContentType="application/vnd.openxmlformats-officedocument.spreadsheetml.worksheet+xml" PartName="/xl/worksheets/sheet16307.xml"/>
  <Override ContentType="application/vnd.openxmlformats-officedocument.spreadsheetml.worksheet+xml" PartName="/xl/worksheets/sheet16308.xml"/>
  <Override ContentType="application/vnd.openxmlformats-officedocument.spreadsheetml.worksheet+xml" PartName="/xl/worksheets/sheet16309.xml"/>
  <Override ContentType="application/vnd.openxmlformats-officedocument.spreadsheetml.worksheet+xml" PartName="/xl/worksheets/sheet16310.xml"/>
  <Override ContentType="application/vnd.openxmlformats-officedocument.spreadsheetml.worksheet+xml" PartName="/xl/worksheets/sheet16311.xml"/>
  <Override ContentType="application/vnd.openxmlformats-officedocument.spreadsheetml.worksheet+xml" PartName="/xl/worksheets/sheet16312.xml"/>
  <Override ContentType="application/vnd.openxmlformats-officedocument.spreadsheetml.worksheet+xml" PartName="/xl/worksheets/sheet16313.xml"/>
  <Override ContentType="application/vnd.openxmlformats-officedocument.spreadsheetml.worksheet+xml" PartName="/xl/worksheets/sheet16314.xml"/>
  <Override ContentType="application/vnd.openxmlformats-officedocument.spreadsheetml.worksheet+xml" PartName="/xl/worksheets/sheet16315.xml"/>
  <Override ContentType="application/vnd.openxmlformats-officedocument.spreadsheetml.worksheet+xml" PartName="/xl/worksheets/sheet16316.xml"/>
  <Override ContentType="application/vnd.openxmlformats-officedocument.spreadsheetml.worksheet+xml" PartName="/xl/worksheets/sheet16317.xml"/>
  <Override ContentType="application/vnd.openxmlformats-officedocument.spreadsheetml.worksheet+xml" PartName="/xl/worksheets/sheet16318.xml"/>
  <Override ContentType="application/vnd.openxmlformats-officedocument.spreadsheetml.worksheet+xml" PartName="/xl/worksheets/sheet16319.xml"/>
  <Override ContentType="application/vnd.openxmlformats-officedocument.spreadsheetml.worksheet+xml" PartName="/xl/worksheets/sheet16320.xml"/>
  <Override ContentType="application/vnd.openxmlformats-officedocument.spreadsheetml.worksheet+xml" PartName="/xl/worksheets/sheet16321.xml"/>
  <Override ContentType="application/vnd.openxmlformats-officedocument.spreadsheetml.worksheet+xml" PartName="/xl/worksheets/sheet16322.xml"/>
  <Override ContentType="application/vnd.openxmlformats-officedocument.spreadsheetml.worksheet+xml" PartName="/xl/worksheets/sheet16323.xml"/>
  <Override ContentType="application/vnd.openxmlformats-officedocument.spreadsheetml.worksheet+xml" PartName="/xl/worksheets/sheet16324.xml"/>
  <Override ContentType="application/vnd.openxmlformats-officedocument.spreadsheetml.worksheet+xml" PartName="/xl/worksheets/sheet16325.xml"/>
  <Override ContentType="application/vnd.openxmlformats-officedocument.spreadsheetml.worksheet+xml" PartName="/xl/worksheets/sheet16326.xml"/>
  <Override ContentType="application/vnd.openxmlformats-officedocument.spreadsheetml.worksheet+xml" PartName="/xl/worksheets/sheet16327.xml"/>
  <Override ContentType="application/vnd.openxmlformats-officedocument.spreadsheetml.worksheet+xml" PartName="/xl/worksheets/sheet16328.xml"/>
  <Override ContentType="application/vnd.openxmlformats-officedocument.spreadsheetml.worksheet+xml" PartName="/xl/worksheets/sheet16329.xml"/>
  <Override ContentType="application/vnd.openxmlformats-officedocument.spreadsheetml.worksheet+xml" PartName="/xl/worksheets/sheet16330.xml"/>
  <Override ContentType="application/vnd.openxmlformats-officedocument.spreadsheetml.worksheet+xml" PartName="/xl/worksheets/sheet16331.xml"/>
  <Override ContentType="application/vnd.openxmlformats-officedocument.spreadsheetml.worksheet+xml" PartName="/xl/worksheets/sheet16332.xml"/>
  <Override ContentType="application/vnd.openxmlformats-officedocument.spreadsheetml.worksheet+xml" PartName="/xl/worksheets/sheet16333.xml"/>
  <Override ContentType="application/vnd.openxmlformats-officedocument.spreadsheetml.worksheet+xml" PartName="/xl/worksheets/sheet16334.xml"/>
  <Override ContentType="application/vnd.openxmlformats-officedocument.spreadsheetml.worksheet+xml" PartName="/xl/worksheets/sheet16335.xml"/>
  <Override ContentType="application/vnd.openxmlformats-officedocument.spreadsheetml.worksheet+xml" PartName="/xl/worksheets/sheet16336.xml"/>
  <Override ContentType="application/vnd.openxmlformats-officedocument.spreadsheetml.worksheet+xml" PartName="/xl/worksheets/sheet16337.xml"/>
  <Override ContentType="application/vnd.openxmlformats-officedocument.spreadsheetml.worksheet+xml" PartName="/xl/worksheets/sheet16338.xml"/>
  <Override ContentType="application/vnd.openxmlformats-officedocument.spreadsheetml.worksheet+xml" PartName="/xl/worksheets/sheet16339.xml"/>
  <Override ContentType="application/vnd.openxmlformats-officedocument.spreadsheetml.worksheet+xml" PartName="/xl/worksheets/sheet16340.xml"/>
  <Override ContentType="application/vnd.openxmlformats-officedocument.spreadsheetml.worksheet+xml" PartName="/xl/worksheets/sheet16341.xml"/>
  <Override ContentType="application/vnd.openxmlformats-officedocument.spreadsheetml.worksheet+xml" PartName="/xl/worksheets/sheet16342.xml"/>
  <Override ContentType="application/vnd.openxmlformats-officedocument.spreadsheetml.worksheet+xml" PartName="/xl/worksheets/sheet16343.xml"/>
  <Override ContentType="application/vnd.openxmlformats-officedocument.spreadsheetml.worksheet+xml" PartName="/xl/worksheets/sheet16344.xml"/>
  <Override ContentType="application/vnd.openxmlformats-officedocument.spreadsheetml.worksheet+xml" PartName="/xl/worksheets/sheet16345.xml"/>
  <Override ContentType="application/vnd.openxmlformats-officedocument.spreadsheetml.worksheet+xml" PartName="/xl/worksheets/sheet16346.xml"/>
  <Override ContentType="application/vnd.openxmlformats-officedocument.spreadsheetml.worksheet+xml" PartName="/xl/worksheets/sheet16347.xml"/>
  <Override ContentType="application/vnd.openxmlformats-officedocument.spreadsheetml.worksheet+xml" PartName="/xl/worksheets/sheet16348.xml"/>
  <Override ContentType="application/vnd.openxmlformats-officedocument.spreadsheetml.worksheet+xml" PartName="/xl/worksheets/sheet16349.xml"/>
  <Override ContentType="application/vnd.openxmlformats-officedocument.spreadsheetml.worksheet+xml" PartName="/xl/worksheets/sheet16350.xml"/>
  <Override ContentType="application/vnd.openxmlformats-officedocument.spreadsheetml.worksheet+xml" PartName="/xl/worksheets/sheet16351.xml"/>
  <Override ContentType="application/vnd.openxmlformats-officedocument.spreadsheetml.worksheet+xml" PartName="/xl/worksheets/sheet16352.xml"/>
  <Override ContentType="application/vnd.openxmlformats-officedocument.spreadsheetml.worksheet+xml" PartName="/xl/worksheets/sheet16353.xml"/>
  <Override ContentType="application/vnd.openxmlformats-officedocument.spreadsheetml.worksheet+xml" PartName="/xl/worksheets/sheet16354.xml"/>
  <Override ContentType="application/vnd.openxmlformats-officedocument.spreadsheetml.worksheet+xml" PartName="/xl/worksheets/sheet16355.xml"/>
  <Override ContentType="application/vnd.openxmlformats-officedocument.spreadsheetml.worksheet+xml" PartName="/xl/worksheets/sheet16356.xml"/>
  <Override ContentType="application/vnd.openxmlformats-officedocument.spreadsheetml.worksheet+xml" PartName="/xl/worksheets/sheet16357.xml"/>
  <Override ContentType="application/vnd.openxmlformats-officedocument.spreadsheetml.worksheet+xml" PartName="/xl/worksheets/sheet16358.xml"/>
  <Override ContentType="application/vnd.openxmlformats-officedocument.spreadsheetml.worksheet+xml" PartName="/xl/worksheets/sheet16359.xml"/>
  <Override ContentType="application/vnd.openxmlformats-officedocument.spreadsheetml.worksheet+xml" PartName="/xl/worksheets/sheet16360.xml"/>
  <Override ContentType="application/vnd.openxmlformats-officedocument.spreadsheetml.worksheet+xml" PartName="/xl/worksheets/sheet16361.xml"/>
  <Override ContentType="application/vnd.openxmlformats-officedocument.spreadsheetml.worksheet+xml" PartName="/xl/worksheets/sheet16362.xml"/>
  <Override ContentType="application/vnd.openxmlformats-officedocument.spreadsheetml.worksheet+xml" PartName="/xl/worksheets/sheet16363.xml"/>
  <Override ContentType="application/vnd.openxmlformats-officedocument.spreadsheetml.worksheet+xml" PartName="/xl/worksheets/sheet16364.xml"/>
  <Override ContentType="application/vnd.openxmlformats-officedocument.spreadsheetml.worksheet+xml" PartName="/xl/worksheets/sheet16365.xml"/>
  <Override ContentType="application/vnd.openxmlformats-officedocument.spreadsheetml.worksheet+xml" PartName="/xl/worksheets/sheet16366.xml"/>
  <Override ContentType="application/vnd.openxmlformats-officedocument.spreadsheetml.worksheet+xml" PartName="/xl/worksheets/sheet16367.xml"/>
  <Override ContentType="application/vnd.openxmlformats-officedocument.spreadsheetml.worksheet+xml" PartName="/xl/worksheets/sheet16368.xml"/>
  <Override ContentType="application/vnd.openxmlformats-officedocument.spreadsheetml.worksheet+xml" PartName="/xl/worksheets/sheet16369.xml"/>
  <Override ContentType="application/vnd.openxmlformats-officedocument.spreadsheetml.worksheet+xml" PartName="/xl/worksheets/sheet16370.xml"/>
  <Override ContentType="application/vnd.openxmlformats-officedocument.spreadsheetml.worksheet+xml" PartName="/xl/worksheets/sheet16371.xml"/>
  <Override ContentType="application/vnd.openxmlformats-officedocument.spreadsheetml.worksheet+xml" PartName="/xl/worksheets/sheet16372.xml"/>
  <Override ContentType="application/vnd.openxmlformats-officedocument.spreadsheetml.worksheet+xml" PartName="/xl/worksheets/sheet16373.xml"/>
  <Override ContentType="application/vnd.openxmlformats-officedocument.spreadsheetml.worksheet+xml" PartName="/xl/worksheets/sheet16374.xml"/>
  <Override ContentType="application/vnd.openxmlformats-officedocument.spreadsheetml.worksheet+xml" PartName="/xl/worksheets/sheet16375.xml"/>
  <Override ContentType="application/vnd.openxmlformats-officedocument.spreadsheetml.worksheet+xml" PartName="/xl/worksheets/sheet16376.xml"/>
  <Override ContentType="application/vnd.openxmlformats-officedocument.spreadsheetml.worksheet+xml" PartName="/xl/worksheets/sheet16377.xml"/>
  <Override ContentType="application/vnd.openxmlformats-officedocument.spreadsheetml.worksheet+xml" PartName="/xl/worksheets/sheet16378.xml"/>
  <Override ContentType="application/vnd.openxmlformats-officedocument.spreadsheetml.worksheet+xml" PartName="/xl/worksheets/sheet16379.xml"/>
  <Override ContentType="application/vnd.openxmlformats-officedocument.spreadsheetml.worksheet+xml" PartName="/xl/worksheets/sheet16380.xml"/>
  <Override ContentType="application/vnd.openxmlformats-officedocument.spreadsheetml.worksheet+xml" PartName="/xl/worksheets/sheet16381.xml"/>
  <Override ContentType="application/vnd.openxmlformats-officedocument.spreadsheetml.worksheet+xml" PartName="/xl/worksheets/sheet16382.xml"/>
  <Override ContentType="application/vnd.openxmlformats-officedocument.spreadsheetml.worksheet+xml" PartName="/xl/worksheets/sheet16383.xml"/>
  <Override ContentType="application/vnd.openxmlformats-officedocument.spreadsheetml.worksheet+xml" PartName="/xl/worksheets/sheet16384.xml"/>
  <Override ContentType="application/vnd.openxmlformats-officedocument.spreadsheetml.worksheet+xml" PartName="/xl/worksheets/sheet16385.xml"/>
  <Override ContentType="application/vnd.openxmlformats-officedocument.spreadsheetml.worksheet+xml" PartName="/xl/worksheets/sheet16386.xml"/>
  <Override ContentType="application/vnd.openxmlformats-officedocument.spreadsheetml.worksheet+xml" PartName="/xl/worksheets/sheet16387.xml"/>
  <Override ContentType="application/vnd.openxmlformats-officedocument.spreadsheetml.worksheet+xml" PartName="/xl/worksheets/sheet16388.xml"/>
  <Override ContentType="application/vnd.openxmlformats-officedocument.spreadsheetml.worksheet+xml" PartName="/xl/worksheets/sheet16389.xml"/>
  <Override ContentType="application/vnd.openxmlformats-officedocument.spreadsheetml.worksheet+xml" PartName="/xl/worksheets/sheet16390.xml"/>
  <Override ContentType="application/vnd.openxmlformats-officedocument.spreadsheetml.worksheet+xml" PartName="/xl/worksheets/sheet16391.xml"/>
  <Override ContentType="application/vnd.openxmlformats-officedocument.spreadsheetml.worksheet+xml" PartName="/xl/worksheets/sheet16392.xml"/>
  <Override ContentType="application/vnd.openxmlformats-officedocument.spreadsheetml.worksheet+xml" PartName="/xl/worksheets/sheet16393.xml"/>
  <Override ContentType="application/vnd.openxmlformats-officedocument.spreadsheetml.worksheet+xml" PartName="/xl/worksheets/sheet16394.xml"/>
  <Override ContentType="application/vnd.openxmlformats-officedocument.spreadsheetml.worksheet+xml" PartName="/xl/worksheets/sheet16395.xml"/>
  <Override ContentType="application/vnd.openxmlformats-officedocument.spreadsheetml.worksheet+xml" PartName="/xl/worksheets/sheet16396.xml"/>
  <Override ContentType="application/vnd.openxmlformats-officedocument.spreadsheetml.worksheet+xml" PartName="/xl/worksheets/sheet16397.xml"/>
  <Override ContentType="application/vnd.openxmlformats-officedocument.spreadsheetml.worksheet+xml" PartName="/xl/worksheets/sheet16398.xml"/>
  <Override ContentType="application/vnd.openxmlformats-officedocument.spreadsheetml.worksheet+xml" PartName="/xl/worksheets/sheet16399.xml"/>
  <Override ContentType="application/vnd.openxmlformats-officedocument.spreadsheetml.worksheet+xml" PartName="/xl/worksheets/sheet16400.xml"/>
  <Override ContentType="application/vnd.openxmlformats-officedocument.spreadsheetml.worksheet+xml" PartName="/xl/worksheets/sheet16401.xml"/>
  <Override ContentType="application/vnd.openxmlformats-officedocument.spreadsheetml.worksheet+xml" PartName="/xl/worksheets/sheet16402.xml"/>
  <Override ContentType="application/vnd.openxmlformats-officedocument.spreadsheetml.worksheet+xml" PartName="/xl/worksheets/sheet16403.xml"/>
  <Override ContentType="application/vnd.openxmlformats-officedocument.spreadsheetml.worksheet+xml" PartName="/xl/worksheets/sheet16404.xml"/>
  <Override ContentType="application/vnd.openxmlformats-officedocument.spreadsheetml.worksheet+xml" PartName="/xl/worksheets/sheet16405.xml"/>
  <Override ContentType="application/vnd.openxmlformats-officedocument.spreadsheetml.worksheet+xml" PartName="/xl/worksheets/sheet16406.xml"/>
  <Override ContentType="application/vnd.openxmlformats-officedocument.spreadsheetml.worksheet+xml" PartName="/xl/worksheets/sheet16407.xml"/>
  <Override ContentType="application/vnd.openxmlformats-officedocument.spreadsheetml.worksheet+xml" PartName="/xl/worksheets/sheet16408.xml"/>
  <Override ContentType="application/vnd.openxmlformats-officedocument.spreadsheetml.worksheet+xml" PartName="/xl/worksheets/sheet16409.xml"/>
  <Override ContentType="application/vnd.openxmlformats-officedocument.spreadsheetml.worksheet+xml" PartName="/xl/worksheets/sheet16410.xml"/>
  <Override ContentType="application/vnd.openxmlformats-officedocument.spreadsheetml.worksheet+xml" PartName="/xl/worksheets/sheet16411.xml"/>
  <Override ContentType="application/vnd.openxmlformats-officedocument.spreadsheetml.worksheet+xml" PartName="/xl/worksheets/sheet16412.xml"/>
  <Override ContentType="application/vnd.openxmlformats-officedocument.spreadsheetml.worksheet+xml" PartName="/xl/worksheets/sheet16413.xml"/>
  <Override ContentType="application/vnd.openxmlformats-officedocument.spreadsheetml.worksheet+xml" PartName="/xl/worksheets/sheet16414.xml"/>
  <Override ContentType="application/vnd.openxmlformats-officedocument.spreadsheetml.worksheet+xml" PartName="/xl/worksheets/sheet16415.xml"/>
  <Override ContentType="application/vnd.openxmlformats-officedocument.spreadsheetml.worksheet+xml" PartName="/xl/worksheets/sheet16416.xml"/>
  <Override ContentType="application/vnd.openxmlformats-officedocument.spreadsheetml.worksheet+xml" PartName="/xl/worksheets/sheet16417.xml"/>
  <Override ContentType="application/vnd.openxmlformats-officedocument.spreadsheetml.worksheet+xml" PartName="/xl/worksheets/sheet16418.xml"/>
  <Override ContentType="application/vnd.openxmlformats-officedocument.spreadsheetml.worksheet+xml" PartName="/xl/worksheets/sheet16419.xml"/>
  <Override ContentType="application/vnd.openxmlformats-officedocument.spreadsheetml.worksheet+xml" PartName="/xl/worksheets/sheet16420.xml"/>
  <Override ContentType="application/vnd.openxmlformats-officedocument.spreadsheetml.worksheet+xml" PartName="/xl/worksheets/sheet16421.xml"/>
  <Override ContentType="application/vnd.openxmlformats-officedocument.spreadsheetml.worksheet+xml" PartName="/xl/worksheets/sheet16422.xml"/>
  <Override ContentType="application/vnd.openxmlformats-officedocument.spreadsheetml.worksheet+xml" PartName="/xl/worksheets/sheet16423.xml"/>
  <Override ContentType="application/vnd.openxmlformats-officedocument.spreadsheetml.worksheet+xml" PartName="/xl/worksheets/sheet16424.xml"/>
  <Override ContentType="application/vnd.openxmlformats-officedocument.spreadsheetml.worksheet+xml" PartName="/xl/worksheets/sheet16425.xml"/>
  <Override ContentType="application/vnd.openxmlformats-officedocument.spreadsheetml.worksheet+xml" PartName="/xl/worksheets/sheet16426.xml"/>
  <Override ContentType="application/vnd.openxmlformats-officedocument.spreadsheetml.worksheet+xml" PartName="/xl/worksheets/sheet16427.xml"/>
  <Override ContentType="application/vnd.openxmlformats-officedocument.spreadsheetml.worksheet+xml" PartName="/xl/worksheets/sheet16428.xml"/>
  <Override ContentType="application/vnd.openxmlformats-officedocument.spreadsheetml.worksheet+xml" PartName="/xl/worksheets/sheet16429.xml"/>
  <Override ContentType="application/vnd.openxmlformats-officedocument.spreadsheetml.worksheet+xml" PartName="/xl/worksheets/sheet16430.xml"/>
  <Override ContentType="application/vnd.openxmlformats-officedocument.spreadsheetml.worksheet+xml" PartName="/xl/worksheets/sheet16431.xml"/>
  <Override ContentType="application/vnd.openxmlformats-officedocument.spreadsheetml.worksheet+xml" PartName="/xl/worksheets/sheet16432.xml"/>
  <Override ContentType="application/vnd.openxmlformats-officedocument.spreadsheetml.worksheet+xml" PartName="/xl/worksheets/sheet16433.xml"/>
  <Override ContentType="application/vnd.openxmlformats-officedocument.spreadsheetml.worksheet+xml" PartName="/xl/worksheets/sheet16434.xml"/>
  <Override ContentType="application/vnd.openxmlformats-officedocument.spreadsheetml.worksheet+xml" PartName="/xl/worksheets/sheet16435.xml"/>
  <Override ContentType="application/vnd.openxmlformats-officedocument.spreadsheetml.worksheet+xml" PartName="/xl/worksheets/sheet16436.xml"/>
  <Override ContentType="application/vnd.openxmlformats-officedocument.spreadsheetml.worksheet+xml" PartName="/xl/worksheets/sheet16437.xml"/>
  <Override ContentType="application/vnd.openxmlformats-officedocument.spreadsheetml.worksheet+xml" PartName="/xl/worksheets/sheet16438.xml"/>
  <Override ContentType="application/vnd.openxmlformats-officedocument.spreadsheetml.worksheet+xml" PartName="/xl/worksheets/sheet16439.xml"/>
  <Override ContentType="application/vnd.openxmlformats-officedocument.spreadsheetml.worksheet+xml" PartName="/xl/worksheets/sheet16440.xml"/>
  <Override ContentType="application/vnd.openxmlformats-officedocument.spreadsheetml.worksheet+xml" PartName="/xl/worksheets/sheet16441.xml"/>
  <Override ContentType="application/vnd.openxmlformats-officedocument.spreadsheetml.worksheet+xml" PartName="/xl/worksheets/sheet16442.xml"/>
  <Override ContentType="application/vnd.openxmlformats-officedocument.spreadsheetml.worksheet+xml" PartName="/xl/worksheets/sheet16443.xml"/>
  <Override ContentType="application/vnd.openxmlformats-officedocument.spreadsheetml.worksheet+xml" PartName="/xl/worksheets/sheet16444.xml"/>
  <Override ContentType="application/vnd.openxmlformats-officedocument.spreadsheetml.worksheet+xml" PartName="/xl/worksheets/sheet16445.xml"/>
  <Override ContentType="application/vnd.openxmlformats-officedocument.spreadsheetml.worksheet+xml" PartName="/xl/worksheets/sheet16446.xml"/>
  <Override ContentType="application/vnd.openxmlformats-officedocument.spreadsheetml.worksheet+xml" PartName="/xl/worksheets/sheet16447.xml"/>
  <Override ContentType="application/vnd.openxmlformats-officedocument.spreadsheetml.worksheet+xml" PartName="/xl/worksheets/sheet16448.xml"/>
  <Override ContentType="application/vnd.openxmlformats-officedocument.spreadsheetml.worksheet+xml" PartName="/xl/worksheets/sheet16449.xml"/>
  <Override ContentType="application/vnd.openxmlformats-officedocument.spreadsheetml.worksheet+xml" PartName="/xl/worksheets/sheet16450.xml"/>
  <Override ContentType="application/vnd.openxmlformats-officedocument.spreadsheetml.worksheet+xml" PartName="/xl/worksheets/sheet16451.xml"/>
  <Override ContentType="application/vnd.openxmlformats-officedocument.spreadsheetml.worksheet+xml" PartName="/xl/worksheets/sheet16452.xml"/>
  <Override ContentType="application/vnd.openxmlformats-officedocument.spreadsheetml.worksheet+xml" PartName="/xl/worksheets/sheet16453.xml"/>
  <Override ContentType="application/vnd.openxmlformats-officedocument.spreadsheetml.worksheet+xml" PartName="/xl/worksheets/sheet16454.xml"/>
  <Override ContentType="application/vnd.openxmlformats-officedocument.spreadsheetml.worksheet+xml" PartName="/xl/worksheets/sheet16455.xml"/>
  <Override ContentType="application/vnd.openxmlformats-officedocument.spreadsheetml.worksheet+xml" PartName="/xl/worksheets/sheet16456.xml"/>
  <Override ContentType="application/vnd.openxmlformats-officedocument.spreadsheetml.worksheet+xml" PartName="/xl/worksheets/sheet16457.xml"/>
  <Override ContentType="application/vnd.openxmlformats-officedocument.spreadsheetml.worksheet+xml" PartName="/xl/worksheets/sheet16458.xml"/>
  <Override ContentType="application/vnd.openxmlformats-officedocument.spreadsheetml.worksheet+xml" PartName="/xl/worksheets/sheet16459.xml"/>
  <Override ContentType="application/vnd.openxmlformats-officedocument.spreadsheetml.worksheet+xml" PartName="/xl/worksheets/sheet16460.xml"/>
  <Override ContentType="application/vnd.openxmlformats-officedocument.spreadsheetml.worksheet+xml" PartName="/xl/worksheets/sheet16461.xml"/>
  <Override ContentType="application/vnd.openxmlformats-officedocument.spreadsheetml.worksheet+xml" PartName="/xl/worksheets/sheet16462.xml"/>
  <Override ContentType="application/vnd.openxmlformats-officedocument.spreadsheetml.worksheet+xml" PartName="/xl/worksheets/sheet16463.xml"/>
  <Override ContentType="application/vnd.openxmlformats-officedocument.spreadsheetml.worksheet+xml" PartName="/xl/worksheets/sheet16464.xml"/>
  <Override ContentType="application/vnd.openxmlformats-officedocument.spreadsheetml.worksheet+xml" PartName="/xl/worksheets/sheet16465.xml"/>
  <Override ContentType="application/vnd.openxmlformats-officedocument.spreadsheetml.worksheet+xml" PartName="/xl/worksheets/sheet16466.xml"/>
  <Override ContentType="application/vnd.openxmlformats-officedocument.spreadsheetml.worksheet+xml" PartName="/xl/worksheets/sheet16467.xml"/>
  <Override ContentType="application/vnd.openxmlformats-officedocument.spreadsheetml.worksheet+xml" PartName="/xl/worksheets/sheet16468.xml"/>
  <Override ContentType="application/vnd.openxmlformats-officedocument.spreadsheetml.worksheet+xml" PartName="/xl/worksheets/sheet16469.xml"/>
  <Override ContentType="application/vnd.openxmlformats-officedocument.spreadsheetml.worksheet+xml" PartName="/xl/worksheets/sheet16470.xml"/>
  <Override ContentType="application/vnd.openxmlformats-officedocument.spreadsheetml.worksheet+xml" PartName="/xl/worksheets/sheet16471.xml"/>
  <Override ContentType="application/vnd.openxmlformats-officedocument.spreadsheetml.worksheet+xml" PartName="/xl/worksheets/sheet16472.xml"/>
  <Override ContentType="application/vnd.openxmlformats-officedocument.spreadsheetml.worksheet+xml" PartName="/xl/worksheets/sheet16473.xml"/>
  <Override ContentType="application/vnd.openxmlformats-officedocument.spreadsheetml.worksheet+xml" PartName="/xl/worksheets/sheet16474.xml"/>
  <Override ContentType="application/vnd.openxmlformats-officedocument.spreadsheetml.worksheet+xml" PartName="/xl/worksheets/sheet16475.xml"/>
  <Override ContentType="application/vnd.openxmlformats-officedocument.spreadsheetml.worksheet+xml" PartName="/xl/worksheets/sheet16476.xml"/>
  <Override ContentType="application/vnd.openxmlformats-officedocument.spreadsheetml.worksheet+xml" PartName="/xl/worksheets/sheet16477.xml"/>
  <Override ContentType="application/vnd.openxmlformats-officedocument.spreadsheetml.worksheet+xml" PartName="/xl/worksheets/sheet16478.xml"/>
  <Override ContentType="application/vnd.openxmlformats-officedocument.spreadsheetml.worksheet+xml" PartName="/xl/worksheets/sheet16479.xml"/>
  <Override ContentType="application/vnd.openxmlformats-officedocument.spreadsheetml.worksheet+xml" PartName="/xl/worksheets/sheet16480.xml"/>
  <Override ContentType="application/vnd.openxmlformats-officedocument.spreadsheetml.worksheet+xml" PartName="/xl/worksheets/sheet16481.xml"/>
  <Override ContentType="application/vnd.openxmlformats-officedocument.spreadsheetml.worksheet+xml" PartName="/xl/worksheets/sheet16482.xml"/>
  <Override ContentType="application/vnd.openxmlformats-officedocument.spreadsheetml.worksheet+xml" PartName="/xl/worksheets/sheet16483.xml"/>
  <Override ContentType="application/vnd.openxmlformats-officedocument.spreadsheetml.worksheet+xml" PartName="/xl/worksheets/sheet16484.xml"/>
  <Override ContentType="application/vnd.openxmlformats-officedocument.spreadsheetml.worksheet+xml" PartName="/xl/worksheets/sheet16485.xml"/>
  <Override ContentType="application/vnd.openxmlformats-officedocument.spreadsheetml.worksheet+xml" PartName="/xl/worksheets/sheet16486.xml"/>
  <Override ContentType="application/vnd.openxmlformats-officedocument.spreadsheetml.worksheet+xml" PartName="/xl/worksheets/sheet16487.xml"/>
  <Override ContentType="application/vnd.openxmlformats-officedocument.spreadsheetml.worksheet+xml" PartName="/xl/worksheets/sheet16488.xml"/>
  <Override ContentType="application/vnd.openxmlformats-officedocument.spreadsheetml.worksheet+xml" PartName="/xl/worksheets/sheet16489.xml"/>
  <Override ContentType="application/vnd.openxmlformats-officedocument.spreadsheetml.worksheet+xml" PartName="/xl/worksheets/sheet16490.xml"/>
  <Override ContentType="application/vnd.openxmlformats-officedocument.spreadsheetml.worksheet+xml" PartName="/xl/worksheets/sheet16491.xml"/>
  <Override ContentType="application/vnd.openxmlformats-officedocument.spreadsheetml.worksheet+xml" PartName="/xl/worksheets/sheet16492.xml"/>
  <Override ContentType="application/vnd.openxmlformats-officedocument.spreadsheetml.worksheet+xml" PartName="/xl/worksheets/sheet16493.xml"/>
  <Override ContentType="application/vnd.openxmlformats-officedocument.spreadsheetml.worksheet+xml" PartName="/xl/worksheets/sheet16494.xml"/>
  <Override ContentType="application/vnd.openxmlformats-officedocument.spreadsheetml.worksheet+xml" PartName="/xl/worksheets/sheet16495.xml"/>
  <Override ContentType="application/vnd.openxmlformats-officedocument.spreadsheetml.worksheet+xml" PartName="/xl/worksheets/sheet16496.xml"/>
  <Override ContentType="application/vnd.openxmlformats-officedocument.spreadsheetml.worksheet+xml" PartName="/xl/worksheets/sheet16497.xml"/>
  <Override ContentType="application/vnd.openxmlformats-officedocument.spreadsheetml.worksheet+xml" PartName="/xl/worksheets/sheet16498.xml"/>
  <Override ContentType="application/vnd.openxmlformats-officedocument.spreadsheetml.worksheet+xml" PartName="/xl/worksheets/sheet16499.xml"/>
  <Override ContentType="application/vnd.openxmlformats-officedocument.spreadsheetml.worksheet+xml" PartName="/xl/worksheets/sheet16500.xml"/>
  <Override ContentType="application/vnd.openxmlformats-officedocument.spreadsheetml.worksheet+xml" PartName="/xl/worksheets/sheet16501.xml"/>
  <Override ContentType="application/vnd.openxmlformats-officedocument.spreadsheetml.worksheet+xml" PartName="/xl/worksheets/sheet16502.xml"/>
  <Override ContentType="application/vnd.openxmlformats-officedocument.spreadsheetml.worksheet+xml" PartName="/xl/worksheets/sheet16503.xml"/>
  <Override ContentType="application/vnd.openxmlformats-officedocument.spreadsheetml.worksheet+xml" PartName="/xl/worksheets/sheet16504.xml"/>
  <Override ContentType="application/vnd.openxmlformats-officedocument.spreadsheetml.worksheet+xml" PartName="/xl/worksheets/sheet16505.xml"/>
  <Override ContentType="application/vnd.openxmlformats-officedocument.spreadsheetml.worksheet+xml" PartName="/xl/worksheets/sheet16506.xml"/>
  <Override ContentType="application/vnd.openxmlformats-officedocument.spreadsheetml.worksheet+xml" PartName="/xl/worksheets/sheet16507.xml"/>
  <Override ContentType="application/vnd.openxmlformats-officedocument.spreadsheetml.worksheet+xml" PartName="/xl/worksheets/sheet16508.xml"/>
  <Override ContentType="application/vnd.openxmlformats-officedocument.spreadsheetml.worksheet+xml" PartName="/xl/worksheets/sheet16509.xml"/>
  <Override ContentType="application/vnd.openxmlformats-officedocument.spreadsheetml.worksheet+xml" PartName="/xl/worksheets/sheet16510.xml"/>
  <Override ContentType="application/vnd.openxmlformats-officedocument.spreadsheetml.worksheet+xml" PartName="/xl/worksheets/sheet16511.xml"/>
  <Override ContentType="application/vnd.openxmlformats-officedocument.spreadsheetml.worksheet+xml" PartName="/xl/worksheets/sheet16512.xml"/>
  <Override ContentType="application/vnd.openxmlformats-officedocument.spreadsheetml.worksheet+xml" PartName="/xl/worksheets/sheet16513.xml"/>
  <Override ContentType="application/vnd.openxmlformats-officedocument.spreadsheetml.worksheet+xml" PartName="/xl/worksheets/sheet16514.xml"/>
  <Override ContentType="application/vnd.openxmlformats-officedocument.spreadsheetml.worksheet+xml" PartName="/xl/worksheets/sheet16515.xml"/>
  <Override ContentType="application/vnd.openxmlformats-officedocument.spreadsheetml.worksheet+xml" PartName="/xl/worksheets/sheet16516.xml"/>
  <Override ContentType="application/vnd.openxmlformats-officedocument.spreadsheetml.worksheet+xml" PartName="/xl/worksheets/sheet16517.xml"/>
  <Override ContentType="application/vnd.openxmlformats-officedocument.spreadsheetml.worksheet+xml" PartName="/xl/worksheets/sheet16518.xml"/>
  <Override ContentType="application/vnd.openxmlformats-officedocument.spreadsheetml.worksheet+xml" PartName="/xl/worksheets/sheet16519.xml"/>
  <Override ContentType="application/vnd.openxmlformats-officedocument.spreadsheetml.worksheet+xml" PartName="/xl/worksheets/sheet16520.xml"/>
  <Override ContentType="application/vnd.openxmlformats-officedocument.spreadsheetml.worksheet+xml" PartName="/xl/worksheets/sheet16521.xml"/>
  <Override ContentType="application/vnd.openxmlformats-officedocument.spreadsheetml.worksheet+xml" PartName="/xl/worksheets/sheet16522.xml"/>
  <Override ContentType="application/vnd.openxmlformats-officedocument.spreadsheetml.worksheet+xml" PartName="/xl/worksheets/sheet16523.xml"/>
  <Override ContentType="application/vnd.openxmlformats-officedocument.spreadsheetml.worksheet+xml" PartName="/xl/worksheets/sheet16524.xml"/>
  <Override ContentType="application/vnd.openxmlformats-officedocument.spreadsheetml.worksheet+xml" PartName="/xl/worksheets/sheet16525.xml"/>
  <Override ContentType="application/vnd.openxmlformats-officedocument.spreadsheetml.worksheet+xml" PartName="/xl/worksheets/sheet16526.xml"/>
  <Override ContentType="application/vnd.openxmlformats-officedocument.spreadsheetml.worksheet+xml" PartName="/xl/worksheets/sheet16527.xml"/>
  <Override ContentType="application/vnd.openxmlformats-officedocument.spreadsheetml.worksheet+xml" PartName="/xl/worksheets/sheet16528.xml"/>
  <Override ContentType="application/vnd.openxmlformats-officedocument.spreadsheetml.worksheet+xml" PartName="/xl/worksheets/sheet16529.xml"/>
  <Override ContentType="application/vnd.openxmlformats-officedocument.spreadsheetml.worksheet+xml" PartName="/xl/worksheets/sheet16530.xml"/>
  <Override ContentType="application/vnd.openxmlformats-officedocument.spreadsheetml.worksheet+xml" PartName="/xl/worksheets/sheet16531.xml"/>
  <Override ContentType="application/vnd.openxmlformats-officedocument.spreadsheetml.worksheet+xml" PartName="/xl/worksheets/sheet16532.xml"/>
  <Override ContentType="application/vnd.openxmlformats-officedocument.spreadsheetml.worksheet+xml" PartName="/xl/worksheets/sheet16533.xml"/>
  <Override ContentType="application/vnd.openxmlformats-officedocument.spreadsheetml.worksheet+xml" PartName="/xl/worksheets/sheet16534.xml"/>
  <Override ContentType="application/vnd.openxmlformats-officedocument.spreadsheetml.worksheet+xml" PartName="/xl/worksheets/sheet16535.xml"/>
  <Override ContentType="application/vnd.openxmlformats-officedocument.spreadsheetml.worksheet+xml" PartName="/xl/worksheets/sheet16536.xml"/>
  <Override ContentType="application/vnd.openxmlformats-officedocument.spreadsheetml.worksheet+xml" PartName="/xl/worksheets/sheet16537.xml"/>
  <Override ContentType="application/vnd.openxmlformats-officedocument.spreadsheetml.worksheet+xml" PartName="/xl/worksheets/sheet16538.xml"/>
  <Override ContentType="application/vnd.openxmlformats-officedocument.spreadsheetml.worksheet+xml" PartName="/xl/worksheets/sheet16539.xml"/>
  <Override ContentType="application/vnd.openxmlformats-officedocument.spreadsheetml.worksheet+xml" PartName="/xl/worksheets/sheet16540.xml"/>
  <Override ContentType="application/vnd.openxmlformats-officedocument.spreadsheetml.worksheet+xml" PartName="/xl/worksheets/sheet16541.xml"/>
  <Override ContentType="application/vnd.openxmlformats-officedocument.spreadsheetml.worksheet+xml" PartName="/xl/worksheets/sheet16542.xml"/>
  <Override ContentType="application/vnd.openxmlformats-officedocument.spreadsheetml.worksheet+xml" PartName="/xl/worksheets/sheet16543.xml"/>
  <Override ContentType="application/vnd.openxmlformats-officedocument.spreadsheetml.worksheet+xml" PartName="/xl/worksheets/sheet16544.xml"/>
  <Override ContentType="application/vnd.openxmlformats-officedocument.spreadsheetml.worksheet+xml" PartName="/xl/worksheets/sheet16545.xml"/>
  <Override ContentType="application/vnd.openxmlformats-officedocument.spreadsheetml.worksheet+xml" PartName="/xl/worksheets/sheet16546.xml"/>
  <Override ContentType="application/vnd.openxmlformats-officedocument.spreadsheetml.worksheet+xml" PartName="/xl/worksheets/sheet16547.xml"/>
  <Override ContentType="application/vnd.openxmlformats-officedocument.spreadsheetml.worksheet+xml" PartName="/xl/worksheets/sheet16548.xml"/>
  <Override ContentType="application/vnd.openxmlformats-officedocument.spreadsheetml.worksheet+xml" PartName="/xl/worksheets/sheet16549.xml"/>
  <Override ContentType="application/vnd.openxmlformats-officedocument.spreadsheetml.worksheet+xml" PartName="/xl/worksheets/sheet16550.xml"/>
  <Override ContentType="application/vnd.openxmlformats-officedocument.spreadsheetml.worksheet+xml" PartName="/xl/worksheets/sheet16551.xml"/>
  <Override ContentType="application/vnd.openxmlformats-officedocument.spreadsheetml.worksheet+xml" PartName="/xl/worksheets/sheet16552.xml"/>
  <Override ContentType="application/vnd.openxmlformats-officedocument.spreadsheetml.worksheet+xml" PartName="/xl/worksheets/sheet16553.xml"/>
  <Override ContentType="application/vnd.openxmlformats-officedocument.spreadsheetml.worksheet+xml" PartName="/xl/worksheets/sheet16554.xml"/>
  <Override ContentType="application/vnd.openxmlformats-officedocument.spreadsheetml.worksheet+xml" PartName="/xl/worksheets/sheet16555.xml"/>
  <Override ContentType="application/vnd.openxmlformats-officedocument.spreadsheetml.worksheet+xml" PartName="/xl/worksheets/sheet16556.xml"/>
  <Override ContentType="application/vnd.openxmlformats-officedocument.spreadsheetml.worksheet+xml" PartName="/xl/worksheets/sheet16557.xml"/>
  <Override ContentType="application/vnd.openxmlformats-officedocument.spreadsheetml.worksheet+xml" PartName="/xl/worksheets/sheet16558.xml"/>
  <Override ContentType="application/vnd.openxmlformats-officedocument.spreadsheetml.worksheet+xml" PartName="/xl/worksheets/sheet16559.xml"/>
  <Override ContentType="application/vnd.openxmlformats-officedocument.spreadsheetml.worksheet+xml" PartName="/xl/worksheets/sheet16560.xml"/>
  <Override ContentType="application/vnd.openxmlformats-officedocument.spreadsheetml.worksheet+xml" PartName="/xl/worksheets/sheet16561.xml"/>
  <Override ContentType="application/vnd.openxmlformats-officedocument.spreadsheetml.worksheet+xml" PartName="/xl/worksheets/sheet16562.xml"/>
  <Override ContentType="application/vnd.openxmlformats-officedocument.spreadsheetml.worksheet+xml" PartName="/xl/worksheets/sheet16563.xml"/>
  <Override ContentType="application/vnd.openxmlformats-officedocument.spreadsheetml.worksheet+xml" PartName="/xl/worksheets/sheet16564.xml"/>
  <Override ContentType="application/vnd.openxmlformats-officedocument.spreadsheetml.worksheet+xml" PartName="/xl/worksheets/sheet16565.xml"/>
  <Override ContentType="application/vnd.openxmlformats-officedocument.spreadsheetml.worksheet+xml" PartName="/xl/worksheets/sheet16566.xml"/>
  <Override ContentType="application/vnd.openxmlformats-officedocument.spreadsheetml.worksheet+xml" PartName="/xl/worksheets/sheet16567.xml"/>
  <Override ContentType="application/vnd.openxmlformats-officedocument.spreadsheetml.worksheet+xml" PartName="/xl/worksheets/sheet16568.xml"/>
  <Override ContentType="application/vnd.openxmlformats-officedocument.spreadsheetml.worksheet+xml" PartName="/xl/worksheets/sheet16569.xml"/>
  <Override ContentType="application/vnd.openxmlformats-officedocument.spreadsheetml.worksheet+xml" PartName="/xl/worksheets/sheet16570.xml"/>
  <Override ContentType="application/vnd.openxmlformats-officedocument.spreadsheetml.worksheet+xml" PartName="/xl/worksheets/sheet16571.xml"/>
  <Override ContentType="application/vnd.openxmlformats-officedocument.spreadsheetml.worksheet+xml" PartName="/xl/worksheets/sheet16572.xml"/>
  <Override ContentType="application/vnd.openxmlformats-officedocument.spreadsheetml.worksheet+xml" PartName="/xl/worksheets/sheet16573.xml"/>
  <Override ContentType="application/vnd.openxmlformats-officedocument.spreadsheetml.worksheet+xml" PartName="/xl/worksheets/sheet16574.xml"/>
  <Override ContentType="application/vnd.openxmlformats-officedocument.spreadsheetml.worksheet+xml" PartName="/xl/worksheets/sheet16575.xml"/>
  <Override ContentType="application/vnd.openxmlformats-officedocument.spreadsheetml.worksheet+xml" PartName="/xl/worksheets/sheet16576.xml"/>
  <Override ContentType="application/vnd.openxmlformats-officedocument.spreadsheetml.worksheet+xml" PartName="/xl/worksheets/sheet16577.xml"/>
  <Override ContentType="application/vnd.openxmlformats-officedocument.spreadsheetml.worksheet+xml" PartName="/xl/worksheets/sheet16578.xml"/>
  <Override ContentType="application/vnd.openxmlformats-officedocument.spreadsheetml.worksheet+xml" PartName="/xl/worksheets/sheet16579.xml"/>
  <Override ContentType="application/vnd.openxmlformats-officedocument.spreadsheetml.worksheet+xml" PartName="/xl/worksheets/sheet16580.xml"/>
  <Override ContentType="application/vnd.openxmlformats-officedocument.spreadsheetml.worksheet+xml" PartName="/xl/worksheets/sheet16581.xml"/>
  <Override ContentType="application/vnd.openxmlformats-officedocument.spreadsheetml.worksheet+xml" PartName="/xl/worksheets/sheet16582.xml"/>
  <Override ContentType="application/vnd.openxmlformats-officedocument.spreadsheetml.worksheet+xml" PartName="/xl/worksheets/sheet16583.xml"/>
  <Override ContentType="application/vnd.openxmlformats-officedocument.spreadsheetml.worksheet+xml" PartName="/xl/worksheets/sheet16584.xml"/>
  <Override ContentType="application/vnd.openxmlformats-officedocument.spreadsheetml.worksheet+xml" PartName="/xl/worksheets/sheet16585.xml"/>
  <Override ContentType="application/vnd.openxmlformats-officedocument.spreadsheetml.worksheet+xml" PartName="/xl/worksheets/sheet16586.xml"/>
  <Override ContentType="application/vnd.openxmlformats-officedocument.spreadsheetml.worksheet+xml" PartName="/xl/worksheets/sheet16587.xml"/>
  <Override ContentType="application/vnd.openxmlformats-officedocument.spreadsheetml.worksheet+xml" PartName="/xl/worksheets/sheet16588.xml"/>
  <Override ContentType="application/vnd.openxmlformats-officedocument.spreadsheetml.worksheet+xml" PartName="/xl/worksheets/sheet16589.xml"/>
  <Override ContentType="application/vnd.openxmlformats-officedocument.spreadsheetml.worksheet+xml" PartName="/xl/worksheets/sheet16590.xml"/>
  <Override ContentType="application/vnd.openxmlformats-officedocument.spreadsheetml.worksheet+xml" PartName="/xl/worksheets/sheet16591.xml"/>
  <Override ContentType="application/vnd.openxmlformats-officedocument.spreadsheetml.worksheet+xml" PartName="/xl/worksheets/sheet16592.xml"/>
  <Override ContentType="application/vnd.openxmlformats-officedocument.spreadsheetml.worksheet+xml" PartName="/xl/worksheets/sheet16593.xml"/>
  <Override ContentType="application/vnd.openxmlformats-officedocument.spreadsheetml.worksheet+xml" PartName="/xl/worksheets/sheet16594.xml"/>
  <Override ContentType="application/vnd.openxmlformats-officedocument.spreadsheetml.worksheet+xml" PartName="/xl/worksheets/sheet16595.xml"/>
  <Override ContentType="application/vnd.openxmlformats-officedocument.spreadsheetml.worksheet+xml" PartName="/xl/worksheets/sheet16596.xml"/>
  <Override ContentType="application/vnd.openxmlformats-officedocument.spreadsheetml.worksheet+xml" PartName="/xl/worksheets/sheet16597.xml"/>
  <Override ContentType="application/vnd.openxmlformats-officedocument.spreadsheetml.worksheet+xml" PartName="/xl/worksheets/sheet16598.xml"/>
  <Override ContentType="application/vnd.openxmlformats-officedocument.spreadsheetml.worksheet+xml" PartName="/xl/worksheets/sheet16599.xml"/>
  <Override ContentType="application/vnd.openxmlformats-officedocument.spreadsheetml.worksheet+xml" PartName="/xl/worksheets/sheet16600.xml"/>
  <Override ContentType="application/vnd.openxmlformats-officedocument.spreadsheetml.worksheet+xml" PartName="/xl/worksheets/sheet16601.xml"/>
  <Override ContentType="application/vnd.openxmlformats-officedocument.spreadsheetml.worksheet+xml" PartName="/xl/worksheets/sheet16602.xml"/>
  <Override ContentType="application/vnd.openxmlformats-officedocument.spreadsheetml.worksheet+xml" PartName="/xl/worksheets/sheet16603.xml"/>
  <Override ContentType="application/vnd.openxmlformats-officedocument.spreadsheetml.worksheet+xml" PartName="/xl/worksheets/sheet16604.xml"/>
  <Override ContentType="application/vnd.openxmlformats-officedocument.spreadsheetml.worksheet+xml" PartName="/xl/worksheets/sheet16605.xml"/>
  <Override ContentType="application/vnd.openxmlformats-officedocument.spreadsheetml.worksheet+xml" PartName="/xl/worksheets/sheet16606.xml"/>
  <Override ContentType="application/vnd.openxmlformats-officedocument.spreadsheetml.worksheet+xml" PartName="/xl/worksheets/sheet16607.xml"/>
  <Override ContentType="application/vnd.openxmlformats-officedocument.spreadsheetml.worksheet+xml" PartName="/xl/worksheets/sheet16608.xml"/>
  <Override ContentType="application/vnd.openxmlformats-officedocument.spreadsheetml.worksheet+xml" PartName="/xl/worksheets/sheet16609.xml"/>
  <Override ContentType="application/vnd.openxmlformats-officedocument.spreadsheetml.worksheet+xml" PartName="/xl/worksheets/sheet16610.xml"/>
  <Override ContentType="application/vnd.openxmlformats-officedocument.spreadsheetml.worksheet+xml" PartName="/xl/worksheets/sheet16611.xml"/>
  <Override ContentType="application/vnd.openxmlformats-officedocument.spreadsheetml.worksheet+xml" PartName="/xl/worksheets/sheet16612.xml"/>
  <Override ContentType="application/vnd.openxmlformats-officedocument.spreadsheetml.worksheet+xml" PartName="/xl/worksheets/sheet16613.xml"/>
  <Override ContentType="application/vnd.openxmlformats-officedocument.spreadsheetml.worksheet+xml" PartName="/xl/worksheets/sheet16614.xml"/>
  <Override ContentType="application/vnd.openxmlformats-officedocument.spreadsheetml.worksheet+xml" PartName="/xl/worksheets/sheet16615.xml"/>
  <Override ContentType="application/vnd.openxmlformats-officedocument.spreadsheetml.worksheet+xml" PartName="/xl/worksheets/sheet16616.xml"/>
  <Override ContentType="application/vnd.openxmlformats-officedocument.spreadsheetml.worksheet+xml" PartName="/xl/worksheets/sheet16617.xml"/>
  <Override ContentType="application/vnd.openxmlformats-officedocument.spreadsheetml.worksheet+xml" PartName="/xl/worksheets/sheet16618.xml"/>
  <Override ContentType="application/vnd.openxmlformats-officedocument.spreadsheetml.worksheet+xml" PartName="/xl/worksheets/sheet16619.xml"/>
  <Override ContentType="application/vnd.openxmlformats-officedocument.spreadsheetml.worksheet+xml" PartName="/xl/worksheets/sheet16620.xml"/>
  <Override ContentType="application/vnd.openxmlformats-officedocument.spreadsheetml.worksheet+xml" PartName="/xl/worksheets/sheet16621.xml"/>
  <Override ContentType="application/vnd.openxmlformats-officedocument.spreadsheetml.worksheet+xml" PartName="/xl/worksheets/sheet16622.xml"/>
  <Override ContentType="application/vnd.openxmlformats-officedocument.spreadsheetml.worksheet+xml" PartName="/xl/worksheets/sheet16623.xml"/>
  <Override ContentType="application/vnd.openxmlformats-officedocument.spreadsheetml.worksheet+xml" PartName="/xl/worksheets/sheet16624.xml"/>
  <Override ContentType="application/vnd.openxmlformats-officedocument.spreadsheetml.worksheet+xml" PartName="/xl/worksheets/sheet16625.xml"/>
  <Override ContentType="application/vnd.openxmlformats-officedocument.spreadsheetml.worksheet+xml" PartName="/xl/worksheets/sheet16626.xml"/>
  <Override ContentType="application/vnd.openxmlformats-officedocument.spreadsheetml.worksheet+xml" PartName="/xl/worksheets/sheet16627.xml"/>
  <Override ContentType="application/vnd.openxmlformats-officedocument.spreadsheetml.worksheet+xml" PartName="/xl/worksheets/sheet16628.xml"/>
  <Override ContentType="application/vnd.openxmlformats-officedocument.spreadsheetml.worksheet+xml" PartName="/xl/worksheets/sheet16629.xml"/>
  <Override ContentType="application/vnd.openxmlformats-officedocument.spreadsheetml.worksheet+xml" PartName="/xl/worksheets/sheet16630.xml"/>
  <Override ContentType="application/vnd.openxmlformats-officedocument.spreadsheetml.worksheet+xml" PartName="/xl/worksheets/sheet16631.xml"/>
  <Override ContentType="application/vnd.openxmlformats-officedocument.spreadsheetml.worksheet+xml" PartName="/xl/worksheets/sheet16632.xml"/>
  <Override ContentType="application/vnd.openxmlformats-officedocument.spreadsheetml.worksheet+xml" PartName="/xl/worksheets/sheet16633.xml"/>
  <Override ContentType="application/vnd.openxmlformats-officedocument.spreadsheetml.worksheet+xml" PartName="/xl/worksheets/sheet16634.xml"/>
  <Override ContentType="application/vnd.openxmlformats-officedocument.spreadsheetml.worksheet+xml" PartName="/xl/worksheets/sheet16635.xml"/>
  <Override ContentType="application/vnd.openxmlformats-officedocument.spreadsheetml.worksheet+xml" PartName="/xl/worksheets/sheet16636.xml"/>
  <Override ContentType="application/vnd.openxmlformats-officedocument.spreadsheetml.worksheet+xml" PartName="/xl/worksheets/sheet16637.xml"/>
  <Override ContentType="application/vnd.openxmlformats-officedocument.spreadsheetml.worksheet+xml" PartName="/xl/worksheets/sheet16638.xml"/>
  <Override ContentType="application/vnd.openxmlformats-officedocument.spreadsheetml.worksheet+xml" PartName="/xl/worksheets/sheet16639.xml"/>
  <Override ContentType="application/vnd.openxmlformats-officedocument.spreadsheetml.worksheet+xml" PartName="/xl/worksheets/sheet16640.xml"/>
  <Override ContentType="application/vnd.openxmlformats-officedocument.spreadsheetml.worksheet+xml" PartName="/xl/worksheets/sheet16641.xml"/>
  <Override ContentType="application/vnd.openxmlformats-officedocument.spreadsheetml.worksheet+xml" PartName="/xl/worksheets/sheet16642.xml"/>
  <Override ContentType="application/vnd.openxmlformats-officedocument.spreadsheetml.worksheet+xml" PartName="/xl/worksheets/sheet16643.xml"/>
  <Override ContentType="application/vnd.openxmlformats-officedocument.spreadsheetml.worksheet+xml" PartName="/xl/worksheets/sheet16644.xml"/>
  <Override ContentType="application/vnd.openxmlformats-officedocument.spreadsheetml.worksheet+xml" PartName="/xl/worksheets/sheet16645.xml"/>
  <Override ContentType="application/vnd.openxmlformats-officedocument.spreadsheetml.worksheet+xml" PartName="/xl/worksheets/sheet16646.xml"/>
  <Override ContentType="application/vnd.openxmlformats-officedocument.spreadsheetml.worksheet+xml" PartName="/xl/worksheets/sheet16647.xml"/>
  <Override ContentType="application/vnd.openxmlformats-officedocument.spreadsheetml.worksheet+xml" PartName="/xl/worksheets/sheet16648.xml"/>
  <Override ContentType="application/vnd.openxmlformats-officedocument.spreadsheetml.worksheet+xml" PartName="/xl/worksheets/sheet16649.xml"/>
  <Override ContentType="application/vnd.openxmlformats-officedocument.spreadsheetml.worksheet+xml" PartName="/xl/worksheets/sheet16650.xml"/>
  <Override ContentType="application/vnd.openxmlformats-officedocument.spreadsheetml.worksheet+xml" PartName="/xl/worksheets/sheet16651.xml"/>
  <Override ContentType="application/vnd.openxmlformats-officedocument.spreadsheetml.worksheet+xml" PartName="/xl/worksheets/sheet16652.xml"/>
  <Override ContentType="application/vnd.openxmlformats-officedocument.spreadsheetml.worksheet+xml" PartName="/xl/worksheets/sheet16653.xml"/>
  <Override ContentType="application/vnd.openxmlformats-officedocument.spreadsheetml.worksheet+xml" PartName="/xl/worksheets/sheet16654.xml"/>
  <Override ContentType="application/vnd.openxmlformats-officedocument.spreadsheetml.worksheet+xml" PartName="/xl/worksheets/sheet16655.xml"/>
  <Override ContentType="application/vnd.openxmlformats-officedocument.spreadsheetml.worksheet+xml" PartName="/xl/worksheets/sheet16656.xml"/>
  <Override ContentType="application/vnd.openxmlformats-officedocument.spreadsheetml.worksheet+xml" PartName="/xl/worksheets/sheet16657.xml"/>
  <Override ContentType="application/vnd.openxmlformats-officedocument.spreadsheetml.worksheet+xml" PartName="/xl/worksheets/sheet16658.xml"/>
  <Override ContentType="application/vnd.openxmlformats-officedocument.spreadsheetml.worksheet+xml" PartName="/xl/worksheets/sheet16659.xml"/>
  <Override ContentType="application/vnd.openxmlformats-officedocument.spreadsheetml.worksheet+xml" PartName="/xl/worksheets/sheet16660.xml"/>
  <Override ContentType="application/vnd.openxmlformats-officedocument.spreadsheetml.worksheet+xml" PartName="/xl/worksheets/sheet16661.xml"/>
  <Override ContentType="application/vnd.openxmlformats-officedocument.spreadsheetml.worksheet+xml" PartName="/xl/worksheets/sheet16662.xml"/>
  <Override ContentType="application/vnd.openxmlformats-officedocument.spreadsheetml.worksheet+xml" PartName="/xl/worksheets/sheet16663.xml"/>
  <Override ContentType="application/vnd.openxmlformats-officedocument.spreadsheetml.worksheet+xml" PartName="/xl/worksheets/sheet16664.xml"/>
  <Override ContentType="application/vnd.openxmlformats-officedocument.spreadsheetml.worksheet+xml" PartName="/xl/worksheets/sheet16665.xml"/>
  <Override ContentType="application/vnd.openxmlformats-officedocument.spreadsheetml.worksheet+xml" PartName="/xl/worksheets/sheet16666.xml"/>
  <Override ContentType="application/vnd.openxmlformats-officedocument.spreadsheetml.worksheet+xml" PartName="/xl/worksheets/sheet16667.xml"/>
  <Override ContentType="application/vnd.openxmlformats-officedocument.spreadsheetml.worksheet+xml" PartName="/xl/worksheets/sheet16668.xml"/>
  <Override ContentType="application/vnd.openxmlformats-officedocument.spreadsheetml.worksheet+xml" PartName="/xl/worksheets/sheet16669.xml"/>
  <Override ContentType="application/vnd.openxmlformats-officedocument.spreadsheetml.worksheet+xml" PartName="/xl/worksheets/sheet16670.xml"/>
  <Override ContentType="application/vnd.openxmlformats-officedocument.spreadsheetml.worksheet+xml" PartName="/xl/worksheets/sheet16671.xml"/>
  <Override ContentType="application/vnd.openxmlformats-officedocument.spreadsheetml.worksheet+xml" PartName="/xl/worksheets/sheet16672.xml"/>
  <Override ContentType="application/vnd.openxmlformats-officedocument.spreadsheetml.worksheet+xml" PartName="/xl/worksheets/sheet16673.xml"/>
  <Override ContentType="application/vnd.openxmlformats-officedocument.spreadsheetml.worksheet+xml" PartName="/xl/worksheets/sheet16674.xml"/>
  <Override ContentType="application/vnd.openxmlformats-officedocument.spreadsheetml.worksheet+xml" PartName="/xl/worksheets/sheet16675.xml"/>
  <Override ContentType="application/vnd.openxmlformats-officedocument.spreadsheetml.worksheet+xml" PartName="/xl/worksheets/sheet16676.xml"/>
  <Override ContentType="application/vnd.openxmlformats-officedocument.spreadsheetml.worksheet+xml" PartName="/xl/worksheets/sheet16677.xml"/>
  <Override ContentType="application/vnd.openxmlformats-officedocument.spreadsheetml.worksheet+xml" PartName="/xl/worksheets/sheet16678.xml"/>
  <Override ContentType="application/vnd.openxmlformats-officedocument.spreadsheetml.worksheet+xml" PartName="/xl/worksheets/sheet16679.xml"/>
  <Override ContentType="application/vnd.openxmlformats-officedocument.spreadsheetml.worksheet+xml" PartName="/xl/worksheets/sheet16680.xml"/>
  <Override ContentType="application/vnd.openxmlformats-officedocument.spreadsheetml.worksheet+xml" PartName="/xl/worksheets/sheet16681.xml"/>
  <Override ContentType="application/vnd.openxmlformats-officedocument.spreadsheetml.worksheet+xml" PartName="/xl/worksheets/sheet16682.xml"/>
  <Override ContentType="application/vnd.openxmlformats-officedocument.spreadsheetml.worksheet+xml" PartName="/xl/worksheets/sheet16683.xml"/>
  <Override ContentType="application/vnd.openxmlformats-officedocument.spreadsheetml.worksheet+xml" PartName="/xl/worksheets/sheet16684.xml"/>
  <Override ContentType="application/vnd.openxmlformats-officedocument.spreadsheetml.worksheet+xml" PartName="/xl/worksheets/sheet16685.xml"/>
  <Override ContentType="application/vnd.openxmlformats-officedocument.spreadsheetml.worksheet+xml" PartName="/xl/worksheets/sheet16686.xml"/>
  <Override ContentType="application/vnd.openxmlformats-officedocument.spreadsheetml.worksheet+xml" PartName="/xl/worksheets/sheet16687.xml"/>
  <Override ContentType="application/vnd.openxmlformats-officedocument.spreadsheetml.worksheet+xml" PartName="/xl/worksheets/sheet16688.xml"/>
  <Override ContentType="application/vnd.openxmlformats-officedocument.spreadsheetml.worksheet+xml" PartName="/xl/worksheets/sheet16689.xml"/>
  <Override ContentType="application/vnd.openxmlformats-officedocument.spreadsheetml.worksheet+xml" PartName="/xl/worksheets/sheet16690.xml"/>
  <Override ContentType="application/vnd.openxmlformats-officedocument.spreadsheetml.worksheet+xml" PartName="/xl/worksheets/sheet16691.xml"/>
  <Override ContentType="application/vnd.openxmlformats-officedocument.spreadsheetml.worksheet+xml" PartName="/xl/worksheets/sheet16692.xml"/>
  <Override ContentType="application/vnd.openxmlformats-officedocument.spreadsheetml.worksheet+xml" PartName="/xl/worksheets/sheet16693.xml"/>
  <Override ContentType="application/vnd.openxmlformats-officedocument.spreadsheetml.worksheet+xml" PartName="/xl/worksheets/sheet16694.xml"/>
  <Override ContentType="application/vnd.openxmlformats-officedocument.spreadsheetml.worksheet+xml" PartName="/xl/worksheets/sheet16695.xml"/>
  <Override ContentType="application/vnd.openxmlformats-officedocument.spreadsheetml.worksheet+xml" PartName="/xl/worksheets/sheet16696.xml"/>
  <Override ContentType="application/vnd.openxmlformats-officedocument.spreadsheetml.worksheet+xml" PartName="/xl/worksheets/sheet16697.xml"/>
  <Override ContentType="application/vnd.openxmlformats-officedocument.spreadsheetml.worksheet+xml" PartName="/xl/worksheets/sheet16698.xml"/>
  <Override ContentType="application/vnd.openxmlformats-officedocument.spreadsheetml.worksheet+xml" PartName="/xl/worksheets/sheet16699.xml"/>
  <Override ContentType="application/vnd.openxmlformats-officedocument.spreadsheetml.worksheet+xml" PartName="/xl/worksheets/sheet16700.xml"/>
  <Override ContentType="application/vnd.openxmlformats-officedocument.spreadsheetml.worksheet+xml" PartName="/xl/worksheets/sheet16701.xml"/>
  <Override ContentType="application/vnd.openxmlformats-officedocument.spreadsheetml.worksheet+xml" PartName="/xl/worksheets/sheet16702.xml"/>
  <Override ContentType="application/vnd.openxmlformats-officedocument.spreadsheetml.worksheet+xml" PartName="/xl/worksheets/sheet16703.xml"/>
  <Override ContentType="application/vnd.openxmlformats-officedocument.spreadsheetml.worksheet+xml" PartName="/xl/worksheets/sheet16704.xml"/>
  <Override ContentType="application/vnd.openxmlformats-officedocument.spreadsheetml.worksheet+xml" PartName="/xl/worksheets/sheet16705.xml"/>
  <Override ContentType="application/vnd.openxmlformats-officedocument.spreadsheetml.worksheet+xml" PartName="/xl/worksheets/sheet16706.xml"/>
  <Override ContentType="application/vnd.openxmlformats-officedocument.spreadsheetml.worksheet+xml" PartName="/xl/worksheets/sheet16707.xml"/>
  <Override ContentType="application/vnd.openxmlformats-officedocument.spreadsheetml.worksheet+xml" PartName="/xl/worksheets/sheet16708.xml"/>
  <Override ContentType="application/vnd.openxmlformats-officedocument.spreadsheetml.worksheet+xml" PartName="/xl/worksheets/sheet16709.xml"/>
  <Override ContentType="application/vnd.openxmlformats-officedocument.spreadsheetml.worksheet+xml" PartName="/xl/worksheets/sheet16710.xml"/>
  <Override ContentType="application/vnd.openxmlformats-officedocument.spreadsheetml.worksheet+xml" PartName="/xl/worksheets/sheet16711.xml"/>
  <Override ContentType="application/vnd.openxmlformats-officedocument.spreadsheetml.worksheet+xml" PartName="/xl/worksheets/sheet16712.xml"/>
  <Override ContentType="application/vnd.openxmlformats-officedocument.spreadsheetml.worksheet+xml" PartName="/xl/worksheets/sheet16713.xml"/>
  <Override ContentType="application/vnd.openxmlformats-officedocument.spreadsheetml.worksheet+xml" PartName="/xl/worksheets/sheet16714.xml"/>
  <Override ContentType="application/vnd.openxmlformats-officedocument.spreadsheetml.worksheet+xml" PartName="/xl/worksheets/sheet16715.xml"/>
  <Override ContentType="application/vnd.openxmlformats-officedocument.spreadsheetml.worksheet+xml" PartName="/xl/worksheets/sheet16716.xml"/>
  <Override ContentType="application/vnd.openxmlformats-officedocument.spreadsheetml.worksheet+xml" PartName="/xl/worksheets/sheet16717.xml"/>
  <Override ContentType="application/vnd.openxmlformats-officedocument.spreadsheetml.worksheet+xml" PartName="/xl/worksheets/sheet16718.xml"/>
  <Override ContentType="application/vnd.openxmlformats-officedocument.spreadsheetml.worksheet+xml" PartName="/xl/worksheets/sheet16719.xml"/>
  <Override ContentType="application/vnd.openxmlformats-officedocument.spreadsheetml.worksheet+xml" PartName="/xl/worksheets/sheet16720.xml"/>
  <Override ContentType="application/vnd.openxmlformats-officedocument.spreadsheetml.worksheet+xml" PartName="/xl/worksheets/sheet16721.xml"/>
  <Override ContentType="application/vnd.openxmlformats-officedocument.spreadsheetml.worksheet+xml" PartName="/xl/worksheets/sheet16722.xml"/>
  <Override ContentType="application/vnd.openxmlformats-officedocument.spreadsheetml.worksheet+xml" PartName="/xl/worksheets/sheet16723.xml"/>
  <Override ContentType="application/vnd.openxmlformats-officedocument.spreadsheetml.worksheet+xml" PartName="/xl/worksheets/sheet16724.xml"/>
  <Override ContentType="application/vnd.openxmlformats-officedocument.spreadsheetml.worksheet+xml" PartName="/xl/worksheets/sheet16725.xml"/>
  <Override ContentType="application/vnd.openxmlformats-officedocument.spreadsheetml.worksheet+xml" PartName="/xl/worksheets/sheet16726.xml"/>
  <Override ContentType="application/vnd.openxmlformats-officedocument.spreadsheetml.worksheet+xml" PartName="/xl/worksheets/sheet16727.xml"/>
  <Override ContentType="application/vnd.openxmlformats-officedocument.spreadsheetml.worksheet+xml" PartName="/xl/worksheets/sheet16728.xml"/>
  <Override ContentType="application/vnd.openxmlformats-officedocument.spreadsheetml.worksheet+xml" PartName="/xl/worksheets/sheet16729.xml"/>
  <Override ContentType="application/vnd.openxmlformats-officedocument.spreadsheetml.worksheet+xml" PartName="/xl/worksheets/sheet16730.xml"/>
  <Override ContentType="application/vnd.openxmlformats-officedocument.spreadsheetml.worksheet+xml" PartName="/xl/worksheets/sheet16731.xml"/>
  <Override ContentType="application/vnd.openxmlformats-officedocument.spreadsheetml.worksheet+xml" PartName="/xl/worksheets/sheet16732.xml"/>
  <Override ContentType="application/vnd.openxmlformats-officedocument.spreadsheetml.worksheet+xml" PartName="/xl/worksheets/sheet16733.xml"/>
  <Override ContentType="application/vnd.openxmlformats-officedocument.spreadsheetml.worksheet+xml" PartName="/xl/worksheets/sheet16734.xml"/>
  <Override ContentType="application/vnd.openxmlformats-officedocument.spreadsheetml.worksheet+xml" PartName="/xl/worksheets/sheet16735.xml"/>
  <Override ContentType="application/vnd.openxmlformats-officedocument.spreadsheetml.worksheet+xml" PartName="/xl/worksheets/sheet16736.xml"/>
  <Override ContentType="application/vnd.openxmlformats-officedocument.spreadsheetml.worksheet+xml" PartName="/xl/worksheets/sheet16737.xml"/>
  <Override ContentType="application/vnd.openxmlformats-officedocument.spreadsheetml.worksheet+xml" PartName="/xl/worksheets/sheet16738.xml"/>
  <Override ContentType="application/vnd.openxmlformats-officedocument.spreadsheetml.worksheet+xml" PartName="/xl/worksheets/sheet16739.xml"/>
  <Override ContentType="application/vnd.openxmlformats-officedocument.spreadsheetml.worksheet+xml" PartName="/xl/worksheets/sheet16740.xml"/>
  <Override ContentType="application/vnd.openxmlformats-officedocument.spreadsheetml.worksheet+xml" PartName="/xl/worksheets/sheet16741.xml"/>
  <Override ContentType="application/vnd.openxmlformats-officedocument.spreadsheetml.worksheet+xml" PartName="/xl/worksheets/sheet16742.xml"/>
  <Override ContentType="application/vnd.openxmlformats-officedocument.spreadsheetml.worksheet+xml" PartName="/xl/worksheets/sheet16743.xml"/>
  <Override ContentType="application/vnd.openxmlformats-officedocument.spreadsheetml.worksheet+xml" PartName="/xl/worksheets/sheet16744.xml"/>
  <Override ContentType="application/vnd.openxmlformats-officedocument.spreadsheetml.worksheet+xml" PartName="/xl/worksheets/sheet16745.xml"/>
  <Override ContentType="application/vnd.openxmlformats-officedocument.spreadsheetml.worksheet+xml" PartName="/xl/worksheets/sheet16746.xml"/>
  <Override ContentType="application/vnd.openxmlformats-officedocument.spreadsheetml.worksheet+xml" PartName="/xl/worksheets/sheet16747.xml"/>
  <Override ContentType="application/vnd.openxmlformats-officedocument.spreadsheetml.worksheet+xml" PartName="/xl/worksheets/sheet16748.xml"/>
  <Override ContentType="application/vnd.openxmlformats-officedocument.spreadsheetml.worksheet+xml" PartName="/xl/worksheets/sheet16749.xml"/>
  <Override ContentType="application/vnd.openxmlformats-officedocument.spreadsheetml.worksheet+xml" PartName="/xl/worksheets/sheet16750.xml"/>
  <Override ContentType="application/vnd.openxmlformats-officedocument.spreadsheetml.worksheet+xml" PartName="/xl/worksheets/sheet16751.xml"/>
  <Override ContentType="application/vnd.openxmlformats-officedocument.spreadsheetml.worksheet+xml" PartName="/xl/worksheets/sheet16752.xml"/>
  <Override ContentType="application/vnd.openxmlformats-officedocument.spreadsheetml.worksheet+xml" PartName="/xl/worksheets/sheet16753.xml"/>
  <Override ContentType="application/vnd.openxmlformats-officedocument.spreadsheetml.worksheet+xml" PartName="/xl/worksheets/sheet16754.xml"/>
  <Override ContentType="application/vnd.openxmlformats-officedocument.spreadsheetml.worksheet+xml" PartName="/xl/worksheets/sheet16755.xml"/>
  <Override ContentType="application/vnd.openxmlformats-officedocument.spreadsheetml.worksheet+xml" PartName="/xl/worksheets/sheet16756.xml"/>
  <Override ContentType="application/vnd.openxmlformats-officedocument.spreadsheetml.worksheet+xml" PartName="/xl/worksheets/sheet16757.xml"/>
  <Override ContentType="application/vnd.openxmlformats-officedocument.spreadsheetml.worksheet+xml" PartName="/xl/worksheets/sheet16758.xml"/>
  <Override ContentType="application/vnd.openxmlformats-officedocument.spreadsheetml.worksheet+xml" PartName="/xl/worksheets/sheet16759.xml"/>
  <Override ContentType="application/vnd.openxmlformats-officedocument.spreadsheetml.worksheet+xml" PartName="/xl/worksheets/sheet16760.xml"/>
  <Override ContentType="application/vnd.openxmlformats-officedocument.spreadsheetml.worksheet+xml" PartName="/xl/worksheets/sheet16761.xml"/>
  <Override ContentType="application/vnd.openxmlformats-officedocument.spreadsheetml.worksheet+xml" PartName="/xl/worksheets/sheet16762.xml"/>
  <Override ContentType="application/vnd.openxmlformats-officedocument.spreadsheetml.worksheet+xml" PartName="/xl/worksheets/sheet16763.xml"/>
  <Override ContentType="application/vnd.openxmlformats-officedocument.spreadsheetml.worksheet+xml" PartName="/xl/worksheets/sheet16764.xml"/>
  <Override ContentType="application/vnd.openxmlformats-officedocument.spreadsheetml.worksheet+xml" PartName="/xl/worksheets/sheet16765.xml"/>
  <Override ContentType="application/vnd.openxmlformats-officedocument.spreadsheetml.worksheet+xml" PartName="/xl/worksheets/sheet16766.xml"/>
  <Override ContentType="application/vnd.openxmlformats-officedocument.spreadsheetml.worksheet+xml" PartName="/xl/worksheets/sheet16767.xml"/>
  <Override ContentType="application/vnd.openxmlformats-officedocument.spreadsheetml.worksheet+xml" PartName="/xl/worksheets/sheet16768.xml"/>
  <Override ContentType="application/vnd.openxmlformats-officedocument.spreadsheetml.worksheet+xml" PartName="/xl/worksheets/sheet16769.xml"/>
  <Override ContentType="application/vnd.openxmlformats-officedocument.spreadsheetml.worksheet+xml" PartName="/xl/worksheets/sheet16770.xml"/>
  <Override ContentType="application/vnd.openxmlformats-officedocument.spreadsheetml.worksheet+xml" PartName="/xl/worksheets/sheet16771.xml"/>
  <Override ContentType="application/vnd.openxmlformats-officedocument.spreadsheetml.worksheet+xml" PartName="/xl/worksheets/sheet16772.xml"/>
  <Override ContentType="application/vnd.openxmlformats-officedocument.spreadsheetml.worksheet+xml" PartName="/xl/worksheets/sheet16773.xml"/>
  <Override ContentType="application/vnd.openxmlformats-officedocument.spreadsheetml.worksheet+xml" PartName="/xl/worksheets/sheet16774.xml"/>
  <Override ContentType="application/vnd.openxmlformats-officedocument.spreadsheetml.worksheet+xml" PartName="/xl/worksheets/sheet16775.xml"/>
  <Override ContentType="application/vnd.openxmlformats-officedocument.spreadsheetml.worksheet+xml" PartName="/xl/worksheets/sheet16776.xml"/>
  <Override ContentType="application/vnd.openxmlformats-officedocument.spreadsheetml.worksheet+xml" PartName="/xl/worksheets/sheet16777.xml"/>
  <Override ContentType="application/vnd.openxmlformats-officedocument.spreadsheetml.worksheet+xml" PartName="/xl/worksheets/sheet16778.xml"/>
  <Override ContentType="application/vnd.openxmlformats-officedocument.spreadsheetml.worksheet+xml" PartName="/xl/worksheets/sheet16779.xml"/>
  <Override ContentType="application/vnd.openxmlformats-officedocument.spreadsheetml.worksheet+xml" PartName="/xl/worksheets/sheet16780.xml"/>
  <Override ContentType="application/vnd.openxmlformats-officedocument.spreadsheetml.worksheet+xml" PartName="/xl/worksheets/sheet16781.xml"/>
  <Override ContentType="application/vnd.openxmlformats-officedocument.spreadsheetml.worksheet+xml" PartName="/xl/worksheets/sheet16782.xml"/>
  <Override ContentType="application/vnd.openxmlformats-officedocument.spreadsheetml.worksheet+xml" PartName="/xl/worksheets/sheet16783.xml"/>
  <Override ContentType="application/vnd.openxmlformats-officedocument.spreadsheetml.worksheet+xml" PartName="/xl/worksheets/sheet16784.xml"/>
  <Override ContentType="application/vnd.openxmlformats-officedocument.spreadsheetml.worksheet+xml" PartName="/xl/worksheets/sheet16785.xml"/>
  <Override ContentType="application/vnd.openxmlformats-officedocument.spreadsheetml.worksheet+xml" PartName="/xl/worksheets/sheet16786.xml"/>
  <Override ContentType="application/vnd.openxmlformats-officedocument.spreadsheetml.worksheet+xml" PartName="/xl/worksheets/sheet16787.xml"/>
  <Override ContentType="application/vnd.openxmlformats-officedocument.spreadsheetml.worksheet+xml" PartName="/xl/worksheets/sheet16788.xml"/>
  <Override ContentType="application/vnd.openxmlformats-officedocument.spreadsheetml.worksheet+xml" PartName="/xl/worksheets/sheet16789.xml"/>
  <Override ContentType="application/vnd.openxmlformats-officedocument.spreadsheetml.worksheet+xml" PartName="/xl/worksheets/sheet16790.xml"/>
  <Override ContentType="application/vnd.openxmlformats-officedocument.spreadsheetml.worksheet+xml" PartName="/xl/worksheets/sheet16791.xml"/>
  <Override ContentType="application/vnd.openxmlformats-officedocument.spreadsheetml.worksheet+xml" PartName="/xl/worksheets/sheet16792.xml"/>
  <Override ContentType="application/vnd.openxmlformats-officedocument.spreadsheetml.worksheet+xml" PartName="/xl/worksheets/sheet16793.xml"/>
  <Override ContentType="application/vnd.openxmlformats-officedocument.spreadsheetml.worksheet+xml" PartName="/xl/worksheets/sheet16794.xml"/>
  <Override ContentType="application/vnd.openxmlformats-officedocument.spreadsheetml.worksheet+xml" PartName="/xl/worksheets/sheet16795.xml"/>
  <Override ContentType="application/vnd.openxmlformats-officedocument.spreadsheetml.worksheet+xml" PartName="/xl/worksheets/sheet16796.xml"/>
  <Override ContentType="application/vnd.openxmlformats-officedocument.spreadsheetml.worksheet+xml" PartName="/xl/worksheets/sheet16797.xml"/>
  <Override ContentType="application/vnd.openxmlformats-officedocument.spreadsheetml.worksheet+xml" PartName="/xl/worksheets/sheet16798.xml"/>
  <Override ContentType="application/vnd.openxmlformats-officedocument.spreadsheetml.worksheet+xml" PartName="/xl/worksheets/sheet16799.xml"/>
  <Override ContentType="application/vnd.openxmlformats-officedocument.spreadsheetml.worksheet+xml" PartName="/xl/worksheets/sheet16800.xml"/>
  <Override ContentType="application/vnd.openxmlformats-officedocument.spreadsheetml.worksheet+xml" PartName="/xl/worksheets/sheet16801.xml"/>
  <Override ContentType="application/vnd.openxmlformats-officedocument.spreadsheetml.worksheet+xml" PartName="/xl/worksheets/sheet16802.xml"/>
  <Override ContentType="application/vnd.openxmlformats-officedocument.spreadsheetml.worksheet+xml" PartName="/xl/worksheets/sheet16803.xml"/>
  <Override ContentType="application/vnd.openxmlformats-officedocument.spreadsheetml.worksheet+xml" PartName="/xl/worksheets/sheet16804.xml"/>
  <Override ContentType="application/vnd.openxmlformats-officedocument.spreadsheetml.worksheet+xml" PartName="/xl/worksheets/sheet16805.xml"/>
  <Override ContentType="application/vnd.openxmlformats-officedocument.spreadsheetml.worksheet+xml" PartName="/xl/worksheets/sheet16806.xml"/>
  <Override ContentType="application/vnd.openxmlformats-officedocument.spreadsheetml.worksheet+xml" PartName="/xl/worksheets/sheet16807.xml"/>
  <Override ContentType="application/vnd.openxmlformats-officedocument.spreadsheetml.worksheet+xml" PartName="/xl/worksheets/sheet16808.xml"/>
  <Override ContentType="application/vnd.openxmlformats-officedocument.spreadsheetml.worksheet+xml" PartName="/xl/worksheets/sheet16809.xml"/>
  <Override ContentType="application/vnd.openxmlformats-officedocument.spreadsheetml.worksheet+xml" PartName="/xl/worksheets/sheet16810.xml"/>
  <Override ContentType="application/vnd.openxmlformats-officedocument.spreadsheetml.worksheet+xml" PartName="/xl/worksheets/sheet16811.xml"/>
  <Override ContentType="application/vnd.openxmlformats-officedocument.spreadsheetml.worksheet+xml" PartName="/xl/worksheets/sheet16812.xml"/>
  <Override ContentType="application/vnd.openxmlformats-officedocument.spreadsheetml.worksheet+xml" PartName="/xl/worksheets/sheet16813.xml"/>
  <Override ContentType="application/vnd.openxmlformats-officedocument.spreadsheetml.worksheet+xml" PartName="/xl/worksheets/sheet16814.xml"/>
  <Override ContentType="application/vnd.openxmlformats-officedocument.spreadsheetml.worksheet+xml" PartName="/xl/worksheets/sheet16815.xml"/>
  <Override ContentType="application/vnd.openxmlformats-officedocument.spreadsheetml.worksheet+xml" PartName="/xl/worksheets/sheet16816.xml"/>
  <Override ContentType="application/vnd.openxmlformats-officedocument.spreadsheetml.worksheet+xml" PartName="/xl/worksheets/sheet16817.xml"/>
  <Override ContentType="application/vnd.openxmlformats-officedocument.spreadsheetml.worksheet+xml" PartName="/xl/worksheets/sheet16818.xml"/>
  <Override ContentType="application/vnd.openxmlformats-officedocument.spreadsheetml.worksheet+xml" PartName="/xl/worksheets/sheet16819.xml"/>
  <Override ContentType="application/vnd.openxmlformats-officedocument.spreadsheetml.worksheet+xml" PartName="/xl/worksheets/sheet16820.xml"/>
  <Override ContentType="application/vnd.openxmlformats-officedocument.spreadsheetml.worksheet+xml" PartName="/xl/worksheets/sheet16821.xml"/>
  <Override ContentType="application/vnd.openxmlformats-officedocument.spreadsheetml.worksheet+xml" PartName="/xl/worksheets/sheet16822.xml"/>
  <Override ContentType="application/vnd.openxmlformats-officedocument.spreadsheetml.worksheet+xml" PartName="/xl/worksheets/sheet16823.xml"/>
  <Override ContentType="application/vnd.openxmlformats-officedocument.spreadsheetml.worksheet+xml" PartName="/xl/worksheets/sheet16824.xml"/>
  <Override ContentType="application/vnd.openxmlformats-officedocument.spreadsheetml.worksheet+xml" PartName="/xl/worksheets/sheet16825.xml"/>
  <Override ContentType="application/vnd.openxmlformats-officedocument.spreadsheetml.worksheet+xml" PartName="/xl/worksheets/sheet16826.xml"/>
  <Override ContentType="application/vnd.openxmlformats-officedocument.spreadsheetml.worksheet+xml" PartName="/xl/worksheets/sheet16827.xml"/>
  <Override ContentType="application/vnd.openxmlformats-officedocument.spreadsheetml.worksheet+xml" PartName="/xl/worksheets/sheet16828.xml"/>
  <Override ContentType="application/vnd.openxmlformats-officedocument.spreadsheetml.worksheet+xml" PartName="/xl/worksheets/sheet16829.xml"/>
  <Override ContentType="application/vnd.openxmlformats-officedocument.spreadsheetml.worksheet+xml" PartName="/xl/worksheets/sheet16830.xml"/>
  <Override ContentType="application/vnd.openxmlformats-officedocument.spreadsheetml.worksheet+xml" PartName="/xl/worksheets/sheet16831.xml"/>
  <Override ContentType="application/vnd.openxmlformats-officedocument.spreadsheetml.worksheet+xml" PartName="/xl/worksheets/sheet16832.xml"/>
  <Override ContentType="application/vnd.openxmlformats-officedocument.spreadsheetml.worksheet+xml" PartName="/xl/worksheets/sheet16833.xml"/>
  <Override ContentType="application/vnd.openxmlformats-officedocument.spreadsheetml.worksheet+xml" PartName="/xl/worksheets/sheet16834.xml"/>
  <Override ContentType="application/vnd.openxmlformats-officedocument.spreadsheetml.worksheet+xml" PartName="/xl/worksheets/sheet16835.xml"/>
  <Override ContentType="application/vnd.openxmlformats-officedocument.spreadsheetml.worksheet+xml" PartName="/xl/worksheets/sheet16836.xml"/>
  <Override ContentType="application/vnd.openxmlformats-officedocument.spreadsheetml.worksheet+xml" PartName="/xl/worksheets/sheet16837.xml"/>
  <Override ContentType="application/vnd.openxmlformats-officedocument.spreadsheetml.worksheet+xml" PartName="/xl/worksheets/sheet16838.xml"/>
  <Override ContentType="application/vnd.openxmlformats-officedocument.spreadsheetml.worksheet+xml" PartName="/xl/worksheets/sheet16839.xml"/>
  <Override ContentType="application/vnd.openxmlformats-officedocument.spreadsheetml.worksheet+xml" PartName="/xl/worksheets/sheet16840.xml"/>
  <Override ContentType="application/vnd.openxmlformats-officedocument.spreadsheetml.worksheet+xml" PartName="/xl/worksheets/sheet16841.xml"/>
  <Override ContentType="application/vnd.openxmlformats-officedocument.spreadsheetml.worksheet+xml" PartName="/xl/worksheets/sheet16842.xml"/>
  <Override ContentType="application/vnd.openxmlformats-officedocument.spreadsheetml.worksheet+xml" PartName="/xl/worksheets/sheet16843.xml"/>
  <Override ContentType="application/vnd.openxmlformats-officedocument.spreadsheetml.worksheet+xml" PartName="/xl/worksheets/sheet16844.xml"/>
  <Override ContentType="application/vnd.openxmlformats-officedocument.spreadsheetml.worksheet+xml" PartName="/xl/worksheets/sheet16845.xml"/>
  <Override ContentType="application/vnd.openxmlformats-officedocument.spreadsheetml.worksheet+xml" PartName="/xl/worksheets/sheet16846.xml"/>
  <Override ContentType="application/vnd.openxmlformats-officedocument.spreadsheetml.worksheet+xml" PartName="/xl/worksheets/sheet16847.xml"/>
  <Override ContentType="application/vnd.openxmlformats-officedocument.spreadsheetml.worksheet+xml" PartName="/xl/worksheets/sheet16848.xml"/>
  <Override ContentType="application/vnd.openxmlformats-officedocument.spreadsheetml.worksheet+xml" PartName="/xl/worksheets/sheet16849.xml"/>
  <Override ContentType="application/vnd.openxmlformats-officedocument.spreadsheetml.worksheet+xml" PartName="/xl/worksheets/sheet16850.xml"/>
  <Override ContentType="application/vnd.openxmlformats-officedocument.spreadsheetml.worksheet+xml" PartName="/xl/worksheets/sheet16851.xml"/>
  <Override ContentType="application/vnd.openxmlformats-officedocument.spreadsheetml.worksheet+xml" PartName="/xl/worksheets/sheet16852.xml"/>
  <Override ContentType="application/vnd.openxmlformats-officedocument.spreadsheetml.worksheet+xml" PartName="/xl/worksheets/sheet16853.xml"/>
  <Override ContentType="application/vnd.openxmlformats-officedocument.spreadsheetml.worksheet+xml" PartName="/xl/worksheets/sheet16854.xml"/>
  <Override ContentType="application/vnd.openxmlformats-officedocument.spreadsheetml.worksheet+xml" PartName="/xl/worksheets/sheet16855.xml"/>
  <Override ContentType="application/vnd.openxmlformats-officedocument.spreadsheetml.worksheet+xml" PartName="/xl/worksheets/sheet16856.xml"/>
  <Override ContentType="application/vnd.openxmlformats-officedocument.spreadsheetml.worksheet+xml" PartName="/xl/worksheets/sheet16857.xml"/>
  <Override ContentType="application/vnd.openxmlformats-officedocument.spreadsheetml.worksheet+xml" PartName="/xl/worksheets/sheet16858.xml"/>
  <Override ContentType="application/vnd.openxmlformats-officedocument.spreadsheetml.worksheet+xml" PartName="/xl/worksheets/sheet16859.xml"/>
  <Override ContentType="application/vnd.openxmlformats-officedocument.spreadsheetml.worksheet+xml" PartName="/xl/worksheets/sheet16860.xml"/>
  <Override ContentType="application/vnd.openxmlformats-officedocument.spreadsheetml.worksheet+xml" PartName="/xl/worksheets/sheet16861.xml"/>
  <Override ContentType="application/vnd.openxmlformats-officedocument.spreadsheetml.worksheet+xml" PartName="/xl/worksheets/sheet16862.xml"/>
  <Override ContentType="application/vnd.openxmlformats-officedocument.spreadsheetml.worksheet+xml" PartName="/xl/worksheets/sheet16863.xml"/>
  <Override ContentType="application/vnd.openxmlformats-officedocument.spreadsheetml.worksheet+xml" PartName="/xl/worksheets/sheet16864.xml"/>
  <Override ContentType="application/vnd.openxmlformats-officedocument.spreadsheetml.worksheet+xml" PartName="/xl/worksheets/sheet16865.xml"/>
  <Override ContentType="application/vnd.openxmlformats-officedocument.spreadsheetml.worksheet+xml" PartName="/xl/worksheets/sheet16866.xml"/>
  <Override ContentType="application/vnd.openxmlformats-officedocument.spreadsheetml.worksheet+xml" PartName="/xl/worksheets/sheet16867.xml"/>
  <Override ContentType="application/vnd.openxmlformats-officedocument.spreadsheetml.worksheet+xml" PartName="/xl/worksheets/sheet16868.xml"/>
  <Override ContentType="application/vnd.openxmlformats-officedocument.spreadsheetml.worksheet+xml" PartName="/xl/worksheets/sheet16869.xml"/>
  <Override ContentType="application/vnd.openxmlformats-officedocument.spreadsheetml.worksheet+xml" PartName="/xl/worksheets/sheet16870.xml"/>
  <Override ContentType="application/vnd.openxmlformats-officedocument.spreadsheetml.worksheet+xml" PartName="/xl/worksheets/sheet16871.xml"/>
  <Override ContentType="application/vnd.openxmlformats-officedocument.spreadsheetml.worksheet+xml" PartName="/xl/worksheets/sheet16872.xml"/>
  <Override ContentType="application/vnd.openxmlformats-officedocument.spreadsheetml.worksheet+xml" PartName="/xl/worksheets/sheet16873.xml"/>
  <Override ContentType="application/vnd.openxmlformats-officedocument.spreadsheetml.worksheet+xml" PartName="/xl/worksheets/sheet16874.xml"/>
  <Override ContentType="application/vnd.openxmlformats-officedocument.spreadsheetml.worksheet+xml" PartName="/xl/worksheets/sheet16875.xml"/>
  <Override ContentType="application/vnd.openxmlformats-officedocument.spreadsheetml.worksheet+xml" PartName="/xl/worksheets/sheet16876.xml"/>
  <Override ContentType="application/vnd.openxmlformats-officedocument.spreadsheetml.worksheet+xml" PartName="/xl/worksheets/sheet16877.xml"/>
  <Override ContentType="application/vnd.openxmlformats-officedocument.spreadsheetml.worksheet+xml" PartName="/xl/worksheets/sheet16878.xml"/>
  <Override ContentType="application/vnd.openxmlformats-officedocument.spreadsheetml.worksheet+xml" PartName="/xl/worksheets/sheet16879.xml"/>
  <Override ContentType="application/vnd.openxmlformats-officedocument.spreadsheetml.worksheet+xml" PartName="/xl/worksheets/sheet16880.xml"/>
  <Override ContentType="application/vnd.openxmlformats-officedocument.spreadsheetml.worksheet+xml" PartName="/xl/worksheets/sheet16881.xml"/>
  <Override ContentType="application/vnd.openxmlformats-officedocument.spreadsheetml.worksheet+xml" PartName="/xl/worksheets/sheet16882.xml"/>
  <Override ContentType="application/vnd.openxmlformats-officedocument.spreadsheetml.worksheet+xml" PartName="/xl/worksheets/sheet16883.xml"/>
  <Override ContentType="application/vnd.openxmlformats-officedocument.spreadsheetml.worksheet+xml" PartName="/xl/worksheets/sheet16884.xml"/>
  <Override ContentType="application/vnd.openxmlformats-officedocument.spreadsheetml.worksheet+xml" PartName="/xl/worksheets/sheet16885.xml"/>
  <Override ContentType="application/vnd.openxmlformats-officedocument.spreadsheetml.worksheet+xml" PartName="/xl/worksheets/sheet16886.xml"/>
  <Override ContentType="application/vnd.openxmlformats-officedocument.spreadsheetml.worksheet+xml" PartName="/xl/worksheets/sheet16887.xml"/>
  <Override ContentType="application/vnd.openxmlformats-officedocument.spreadsheetml.worksheet+xml" PartName="/xl/worksheets/sheet16888.xml"/>
  <Override ContentType="application/vnd.openxmlformats-officedocument.spreadsheetml.worksheet+xml" PartName="/xl/worksheets/sheet16889.xml"/>
  <Override ContentType="application/vnd.openxmlformats-officedocument.spreadsheetml.worksheet+xml" PartName="/xl/worksheets/sheet16890.xml"/>
  <Override ContentType="application/vnd.openxmlformats-officedocument.spreadsheetml.worksheet+xml" PartName="/xl/worksheets/sheet16891.xml"/>
  <Override ContentType="application/vnd.openxmlformats-officedocument.spreadsheetml.worksheet+xml" PartName="/xl/worksheets/sheet16892.xml"/>
  <Override ContentType="application/vnd.openxmlformats-officedocument.spreadsheetml.worksheet+xml" PartName="/xl/worksheets/sheet16893.xml"/>
  <Override ContentType="application/vnd.openxmlformats-officedocument.spreadsheetml.worksheet+xml" PartName="/xl/worksheets/sheet16894.xml"/>
  <Override ContentType="application/vnd.openxmlformats-officedocument.spreadsheetml.worksheet+xml" PartName="/xl/worksheets/sheet16895.xml"/>
  <Override ContentType="application/vnd.openxmlformats-officedocument.spreadsheetml.worksheet+xml" PartName="/xl/worksheets/sheet16896.xml"/>
  <Override ContentType="application/vnd.openxmlformats-officedocument.spreadsheetml.worksheet+xml" PartName="/xl/worksheets/sheet16897.xml"/>
  <Override ContentType="application/vnd.openxmlformats-officedocument.spreadsheetml.worksheet+xml" PartName="/xl/worksheets/sheet16898.xml"/>
  <Override ContentType="application/vnd.openxmlformats-officedocument.spreadsheetml.worksheet+xml" PartName="/xl/worksheets/sheet16899.xml"/>
  <Override ContentType="application/vnd.openxmlformats-officedocument.spreadsheetml.worksheet+xml" PartName="/xl/worksheets/sheet16900.xml"/>
  <Override ContentType="application/vnd.openxmlformats-officedocument.spreadsheetml.worksheet+xml" PartName="/xl/worksheets/sheet16901.xml"/>
  <Override ContentType="application/vnd.openxmlformats-officedocument.spreadsheetml.worksheet+xml" PartName="/xl/worksheets/sheet16902.xml"/>
  <Override ContentType="application/vnd.openxmlformats-officedocument.spreadsheetml.worksheet+xml" PartName="/xl/worksheets/sheet16903.xml"/>
  <Override ContentType="application/vnd.openxmlformats-officedocument.spreadsheetml.worksheet+xml" PartName="/xl/worksheets/sheet16904.xml"/>
  <Override ContentType="application/vnd.openxmlformats-officedocument.spreadsheetml.worksheet+xml" PartName="/xl/worksheets/sheet16905.xml"/>
  <Override ContentType="application/vnd.openxmlformats-officedocument.spreadsheetml.worksheet+xml" PartName="/xl/worksheets/sheet16906.xml"/>
  <Override ContentType="application/vnd.openxmlformats-officedocument.spreadsheetml.worksheet+xml" PartName="/xl/worksheets/sheet16907.xml"/>
  <Override ContentType="application/vnd.openxmlformats-officedocument.spreadsheetml.worksheet+xml" PartName="/xl/worksheets/sheet16908.xml"/>
  <Override ContentType="application/vnd.openxmlformats-officedocument.spreadsheetml.worksheet+xml" PartName="/xl/worksheets/sheet16909.xml"/>
  <Override ContentType="application/vnd.openxmlformats-officedocument.spreadsheetml.worksheet+xml" PartName="/xl/worksheets/sheet16910.xml"/>
  <Override ContentType="application/vnd.openxmlformats-officedocument.spreadsheetml.worksheet+xml" PartName="/xl/worksheets/sheet16911.xml"/>
  <Override ContentType="application/vnd.openxmlformats-officedocument.spreadsheetml.worksheet+xml" PartName="/xl/worksheets/sheet16912.xml"/>
  <Override ContentType="application/vnd.openxmlformats-officedocument.spreadsheetml.worksheet+xml" PartName="/xl/worksheets/sheet16913.xml"/>
  <Override ContentType="application/vnd.openxmlformats-officedocument.spreadsheetml.worksheet+xml" PartName="/xl/worksheets/sheet16914.xml"/>
  <Override ContentType="application/vnd.openxmlformats-officedocument.spreadsheetml.worksheet+xml" PartName="/xl/worksheets/sheet16915.xml"/>
  <Override ContentType="application/vnd.openxmlformats-officedocument.spreadsheetml.worksheet+xml" PartName="/xl/worksheets/sheet16916.xml"/>
  <Override ContentType="application/vnd.openxmlformats-officedocument.spreadsheetml.worksheet+xml" PartName="/xl/worksheets/sheet16917.xml"/>
  <Override ContentType="application/vnd.openxmlformats-officedocument.spreadsheetml.worksheet+xml" PartName="/xl/worksheets/sheet16918.xml"/>
  <Override ContentType="application/vnd.openxmlformats-officedocument.spreadsheetml.worksheet+xml" PartName="/xl/worksheets/sheet16919.xml"/>
  <Override ContentType="application/vnd.openxmlformats-officedocument.spreadsheetml.worksheet+xml" PartName="/xl/worksheets/sheet16920.xml"/>
  <Override ContentType="application/vnd.openxmlformats-officedocument.spreadsheetml.worksheet+xml" PartName="/xl/worksheets/sheet16921.xml"/>
  <Override ContentType="application/vnd.openxmlformats-officedocument.spreadsheetml.worksheet+xml" PartName="/xl/worksheets/sheet16922.xml"/>
  <Override ContentType="application/vnd.openxmlformats-officedocument.spreadsheetml.worksheet+xml" PartName="/xl/worksheets/sheet16923.xml"/>
  <Override ContentType="application/vnd.openxmlformats-officedocument.spreadsheetml.worksheet+xml" PartName="/xl/worksheets/sheet16924.xml"/>
  <Override ContentType="application/vnd.openxmlformats-officedocument.spreadsheetml.worksheet+xml" PartName="/xl/worksheets/sheet16925.xml"/>
  <Override ContentType="application/vnd.openxmlformats-officedocument.spreadsheetml.worksheet+xml" PartName="/xl/worksheets/sheet16926.xml"/>
  <Override ContentType="application/vnd.openxmlformats-officedocument.spreadsheetml.worksheet+xml" PartName="/xl/worksheets/sheet16927.xml"/>
  <Override ContentType="application/vnd.openxmlformats-officedocument.spreadsheetml.worksheet+xml" PartName="/xl/worksheets/sheet16928.xml"/>
  <Override ContentType="application/vnd.openxmlformats-officedocument.spreadsheetml.worksheet+xml" PartName="/xl/worksheets/sheet16929.xml"/>
  <Override ContentType="application/vnd.openxmlformats-officedocument.spreadsheetml.worksheet+xml" PartName="/xl/worksheets/sheet16930.xml"/>
  <Override ContentType="application/vnd.openxmlformats-officedocument.spreadsheetml.worksheet+xml" PartName="/xl/worksheets/sheet16931.xml"/>
  <Override ContentType="application/vnd.openxmlformats-officedocument.spreadsheetml.worksheet+xml" PartName="/xl/worksheets/sheet16932.xml"/>
  <Override ContentType="application/vnd.openxmlformats-officedocument.spreadsheetml.worksheet+xml" PartName="/xl/worksheets/sheet16933.xml"/>
  <Override ContentType="application/vnd.openxmlformats-officedocument.spreadsheetml.worksheet+xml" PartName="/xl/worksheets/sheet16934.xml"/>
  <Override ContentType="application/vnd.openxmlformats-officedocument.spreadsheetml.worksheet+xml" PartName="/xl/worksheets/sheet16935.xml"/>
  <Override ContentType="application/vnd.openxmlformats-officedocument.spreadsheetml.worksheet+xml" PartName="/xl/worksheets/sheet16936.xml"/>
  <Override ContentType="application/vnd.openxmlformats-officedocument.spreadsheetml.worksheet+xml" PartName="/xl/worksheets/sheet16937.xml"/>
  <Override ContentType="application/vnd.openxmlformats-officedocument.spreadsheetml.worksheet+xml" PartName="/xl/worksheets/sheet16938.xml"/>
  <Override ContentType="application/vnd.openxmlformats-officedocument.spreadsheetml.worksheet+xml" PartName="/xl/worksheets/sheet16939.xml"/>
  <Override ContentType="application/vnd.openxmlformats-officedocument.spreadsheetml.worksheet+xml" PartName="/xl/worksheets/sheet16940.xml"/>
  <Override ContentType="application/vnd.openxmlformats-officedocument.spreadsheetml.worksheet+xml" PartName="/xl/worksheets/sheet16941.xml"/>
  <Override ContentType="application/vnd.openxmlformats-officedocument.spreadsheetml.worksheet+xml" PartName="/xl/worksheets/sheet16942.xml"/>
  <Override ContentType="application/vnd.openxmlformats-officedocument.spreadsheetml.worksheet+xml" PartName="/xl/worksheets/sheet16943.xml"/>
  <Override ContentType="application/vnd.openxmlformats-officedocument.spreadsheetml.worksheet+xml" PartName="/xl/worksheets/sheet16944.xml"/>
  <Override ContentType="application/vnd.openxmlformats-officedocument.spreadsheetml.worksheet+xml" PartName="/xl/worksheets/sheet16945.xml"/>
  <Override ContentType="application/vnd.openxmlformats-officedocument.spreadsheetml.worksheet+xml" PartName="/xl/worksheets/sheet16946.xml"/>
  <Override ContentType="application/vnd.openxmlformats-officedocument.spreadsheetml.worksheet+xml" PartName="/xl/worksheets/sheet16947.xml"/>
  <Override ContentType="application/vnd.openxmlformats-officedocument.spreadsheetml.worksheet+xml" PartName="/xl/worksheets/sheet16948.xml"/>
  <Override ContentType="application/vnd.openxmlformats-officedocument.spreadsheetml.worksheet+xml" PartName="/xl/worksheets/sheet16949.xml"/>
  <Override ContentType="application/vnd.openxmlformats-officedocument.spreadsheetml.worksheet+xml" PartName="/xl/worksheets/sheet16950.xml"/>
  <Override ContentType="application/vnd.openxmlformats-officedocument.spreadsheetml.worksheet+xml" PartName="/xl/worksheets/sheet16951.xml"/>
  <Override ContentType="application/vnd.openxmlformats-officedocument.spreadsheetml.worksheet+xml" PartName="/xl/worksheets/sheet16952.xml"/>
  <Override ContentType="application/vnd.openxmlformats-officedocument.spreadsheetml.worksheet+xml" PartName="/xl/worksheets/sheet16953.xml"/>
  <Override ContentType="application/vnd.openxmlformats-officedocument.spreadsheetml.worksheet+xml" PartName="/xl/worksheets/sheet16954.xml"/>
  <Override ContentType="application/vnd.openxmlformats-officedocument.spreadsheetml.worksheet+xml" PartName="/xl/worksheets/sheet16955.xml"/>
  <Override ContentType="application/vnd.openxmlformats-officedocument.spreadsheetml.worksheet+xml" PartName="/xl/worksheets/sheet16956.xml"/>
  <Override ContentType="application/vnd.openxmlformats-officedocument.spreadsheetml.worksheet+xml" PartName="/xl/worksheets/sheet16957.xml"/>
  <Override ContentType="application/vnd.openxmlformats-officedocument.spreadsheetml.worksheet+xml" PartName="/xl/worksheets/sheet16958.xml"/>
  <Override ContentType="application/vnd.openxmlformats-officedocument.spreadsheetml.worksheet+xml" PartName="/xl/worksheets/sheet16959.xml"/>
  <Override ContentType="application/vnd.openxmlformats-officedocument.spreadsheetml.worksheet+xml" PartName="/xl/worksheets/sheet16960.xml"/>
  <Override ContentType="application/vnd.openxmlformats-officedocument.spreadsheetml.worksheet+xml" PartName="/xl/worksheets/sheet16961.xml"/>
  <Override ContentType="application/vnd.openxmlformats-officedocument.spreadsheetml.worksheet+xml" PartName="/xl/worksheets/sheet16962.xml"/>
  <Override ContentType="application/vnd.openxmlformats-officedocument.spreadsheetml.worksheet+xml" PartName="/xl/worksheets/sheet16963.xml"/>
  <Override ContentType="application/vnd.openxmlformats-officedocument.spreadsheetml.worksheet+xml" PartName="/xl/worksheets/sheet16964.xml"/>
  <Override ContentType="application/vnd.openxmlformats-officedocument.spreadsheetml.worksheet+xml" PartName="/xl/worksheets/sheet16965.xml"/>
  <Override ContentType="application/vnd.openxmlformats-officedocument.spreadsheetml.worksheet+xml" PartName="/xl/worksheets/sheet16966.xml"/>
  <Override ContentType="application/vnd.openxmlformats-officedocument.spreadsheetml.worksheet+xml" PartName="/xl/worksheets/sheet16967.xml"/>
  <Override ContentType="application/vnd.openxmlformats-officedocument.spreadsheetml.worksheet+xml" PartName="/xl/worksheets/sheet16968.xml"/>
  <Override ContentType="application/vnd.openxmlformats-officedocument.spreadsheetml.worksheet+xml" PartName="/xl/worksheets/sheet16969.xml"/>
  <Override ContentType="application/vnd.openxmlformats-officedocument.spreadsheetml.worksheet+xml" PartName="/xl/worksheets/sheet16970.xml"/>
  <Override ContentType="application/vnd.openxmlformats-officedocument.spreadsheetml.worksheet+xml" PartName="/xl/worksheets/sheet16971.xml"/>
  <Override ContentType="application/vnd.openxmlformats-officedocument.spreadsheetml.worksheet+xml" PartName="/xl/worksheets/sheet16972.xml"/>
  <Override ContentType="application/vnd.openxmlformats-officedocument.spreadsheetml.worksheet+xml" PartName="/xl/worksheets/sheet16973.xml"/>
  <Override ContentType="application/vnd.openxmlformats-officedocument.spreadsheetml.worksheet+xml" PartName="/xl/worksheets/sheet16974.xml"/>
  <Override ContentType="application/vnd.openxmlformats-officedocument.spreadsheetml.worksheet+xml" PartName="/xl/worksheets/sheet16975.xml"/>
  <Override ContentType="application/vnd.openxmlformats-officedocument.spreadsheetml.worksheet+xml" PartName="/xl/worksheets/sheet16976.xml"/>
  <Override ContentType="application/vnd.openxmlformats-officedocument.spreadsheetml.worksheet+xml" PartName="/xl/worksheets/sheet16977.xml"/>
  <Override ContentType="application/vnd.openxmlformats-officedocument.spreadsheetml.worksheet+xml" PartName="/xl/worksheets/sheet16978.xml"/>
  <Override ContentType="application/vnd.openxmlformats-officedocument.spreadsheetml.worksheet+xml" PartName="/xl/worksheets/sheet16979.xml"/>
  <Override ContentType="application/vnd.openxmlformats-officedocument.spreadsheetml.worksheet+xml" PartName="/xl/worksheets/sheet16980.xml"/>
  <Override ContentType="application/vnd.openxmlformats-officedocument.spreadsheetml.worksheet+xml" PartName="/xl/worksheets/sheet16981.xml"/>
  <Override ContentType="application/vnd.openxmlformats-officedocument.spreadsheetml.worksheet+xml" PartName="/xl/worksheets/sheet16982.xml"/>
  <Override ContentType="application/vnd.openxmlformats-officedocument.spreadsheetml.worksheet+xml" PartName="/xl/worksheets/sheet16983.xml"/>
  <Override ContentType="application/vnd.openxmlformats-officedocument.spreadsheetml.worksheet+xml" PartName="/xl/worksheets/sheet16984.xml"/>
  <Override ContentType="application/vnd.openxmlformats-officedocument.spreadsheetml.worksheet+xml" PartName="/xl/worksheets/sheet16985.xml"/>
  <Override ContentType="application/vnd.openxmlformats-officedocument.spreadsheetml.worksheet+xml" PartName="/xl/worksheets/sheet16986.xml"/>
  <Override ContentType="application/vnd.openxmlformats-officedocument.spreadsheetml.worksheet+xml" PartName="/xl/worksheets/sheet16987.xml"/>
  <Override ContentType="application/vnd.openxmlformats-officedocument.spreadsheetml.worksheet+xml" PartName="/xl/worksheets/sheet16988.xml"/>
  <Override ContentType="application/vnd.openxmlformats-officedocument.spreadsheetml.worksheet+xml" PartName="/xl/worksheets/sheet16989.xml"/>
  <Override ContentType="application/vnd.openxmlformats-officedocument.spreadsheetml.worksheet+xml" PartName="/xl/worksheets/sheet16990.xml"/>
  <Override ContentType="application/vnd.openxmlformats-officedocument.spreadsheetml.worksheet+xml" PartName="/xl/worksheets/sheet16991.xml"/>
  <Override ContentType="application/vnd.openxmlformats-officedocument.spreadsheetml.worksheet+xml" PartName="/xl/worksheets/sheet16992.xml"/>
  <Override ContentType="application/vnd.openxmlformats-officedocument.spreadsheetml.worksheet+xml" PartName="/xl/worksheets/sheet16993.xml"/>
  <Override ContentType="application/vnd.openxmlformats-officedocument.spreadsheetml.worksheet+xml" PartName="/xl/worksheets/sheet16994.xml"/>
  <Override ContentType="application/vnd.openxmlformats-officedocument.spreadsheetml.worksheet+xml" PartName="/xl/worksheets/sheet16995.xml"/>
  <Override ContentType="application/vnd.openxmlformats-officedocument.spreadsheetml.worksheet+xml" PartName="/xl/worksheets/sheet16996.xml"/>
  <Override ContentType="application/vnd.openxmlformats-officedocument.spreadsheetml.worksheet+xml" PartName="/xl/worksheets/sheet16997.xml"/>
  <Override ContentType="application/vnd.openxmlformats-officedocument.spreadsheetml.worksheet+xml" PartName="/xl/worksheets/sheet16998.xml"/>
  <Override ContentType="application/vnd.openxmlformats-officedocument.spreadsheetml.worksheet+xml" PartName="/xl/worksheets/sheet16999.xml"/>
  <Override ContentType="application/vnd.openxmlformats-officedocument.spreadsheetml.worksheet+xml" PartName="/xl/worksheets/sheet17000.xml"/>
  <Override ContentType="application/vnd.openxmlformats-officedocument.spreadsheetml.worksheet+xml" PartName="/xl/worksheets/sheet17001.xml"/>
  <Override ContentType="application/vnd.openxmlformats-officedocument.spreadsheetml.worksheet+xml" PartName="/xl/worksheets/sheet17002.xml"/>
  <Override ContentType="application/vnd.openxmlformats-officedocument.spreadsheetml.worksheet+xml" PartName="/xl/worksheets/sheet17003.xml"/>
  <Override ContentType="application/vnd.openxmlformats-officedocument.spreadsheetml.worksheet+xml" PartName="/xl/worksheets/sheet17004.xml"/>
  <Override ContentType="application/vnd.openxmlformats-officedocument.spreadsheetml.worksheet+xml" PartName="/xl/worksheets/sheet17005.xml"/>
  <Override ContentType="application/vnd.openxmlformats-officedocument.spreadsheetml.worksheet+xml" PartName="/xl/worksheets/sheet17006.xml"/>
  <Override ContentType="application/vnd.openxmlformats-officedocument.spreadsheetml.worksheet+xml" PartName="/xl/worksheets/sheet17007.xml"/>
  <Override ContentType="application/vnd.openxmlformats-officedocument.spreadsheetml.worksheet+xml" PartName="/xl/worksheets/sheet17008.xml"/>
  <Override ContentType="application/vnd.openxmlformats-officedocument.spreadsheetml.worksheet+xml" PartName="/xl/worksheets/sheet17009.xml"/>
  <Override ContentType="application/vnd.openxmlformats-officedocument.spreadsheetml.worksheet+xml" PartName="/xl/worksheets/sheet17010.xml"/>
  <Override ContentType="application/vnd.openxmlformats-officedocument.spreadsheetml.worksheet+xml" PartName="/xl/worksheets/sheet17011.xml"/>
  <Override ContentType="application/vnd.openxmlformats-officedocument.spreadsheetml.worksheet+xml" PartName="/xl/worksheets/sheet17012.xml"/>
  <Override ContentType="application/vnd.openxmlformats-officedocument.spreadsheetml.worksheet+xml" PartName="/xl/worksheets/sheet17013.xml"/>
  <Override ContentType="application/vnd.openxmlformats-officedocument.spreadsheetml.worksheet+xml" PartName="/xl/worksheets/sheet17014.xml"/>
  <Override ContentType="application/vnd.openxmlformats-officedocument.spreadsheetml.worksheet+xml" PartName="/xl/worksheets/sheet17015.xml"/>
  <Override ContentType="application/vnd.openxmlformats-officedocument.spreadsheetml.worksheet+xml" PartName="/xl/worksheets/sheet17016.xml"/>
  <Override ContentType="application/vnd.openxmlformats-officedocument.spreadsheetml.worksheet+xml" PartName="/xl/worksheets/sheet17017.xml"/>
  <Override ContentType="application/vnd.openxmlformats-officedocument.spreadsheetml.worksheet+xml" PartName="/xl/worksheets/sheet17018.xml"/>
  <Override ContentType="application/vnd.openxmlformats-officedocument.spreadsheetml.worksheet+xml" PartName="/xl/worksheets/sheet17019.xml"/>
  <Override ContentType="application/vnd.openxmlformats-officedocument.spreadsheetml.worksheet+xml" PartName="/xl/worksheets/sheet17020.xml"/>
  <Override ContentType="application/vnd.openxmlformats-officedocument.spreadsheetml.worksheet+xml" PartName="/xl/worksheets/sheet17021.xml"/>
  <Override ContentType="application/vnd.openxmlformats-officedocument.spreadsheetml.worksheet+xml" PartName="/xl/worksheets/sheet17022.xml"/>
  <Override ContentType="application/vnd.openxmlformats-officedocument.spreadsheetml.worksheet+xml" PartName="/xl/worksheets/sheet17023.xml"/>
  <Override ContentType="application/vnd.openxmlformats-officedocument.spreadsheetml.worksheet+xml" PartName="/xl/worksheets/sheet17024.xml"/>
  <Override ContentType="application/vnd.openxmlformats-officedocument.spreadsheetml.worksheet+xml" PartName="/xl/worksheets/sheet17025.xml"/>
  <Override ContentType="application/vnd.openxmlformats-officedocument.spreadsheetml.worksheet+xml" PartName="/xl/worksheets/sheet17026.xml"/>
  <Override ContentType="application/vnd.openxmlformats-officedocument.spreadsheetml.worksheet+xml" PartName="/xl/worksheets/sheet17027.xml"/>
  <Override ContentType="application/vnd.openxmlformats-officedocument.spreadsheetml.worksheet+xml" PartName="/xl/worksheets/sheet17028.xml"/>
  <Override ContentType="application/vnd.openxmlformats-officedocument.spreadsheetml.worksheet+xml" PartName="/xl/worksheets/sheet17029.xml"/>
  <Override ContentType="application/vnd.openxmlformats-officedocument.spreadsheetml.worksheet+xml" PartName="/xl/worksheets/sheet17030.xml"/>
  <Override ContentType="application/vnd.openxmlformats-officedocument.spreadsheetml.worksheet+xml" PartName="/xl/worksheets/sheet17031.xml"/>
  <Override ContentType="application/vnd.openxmlformats-officedocument.spreadsheetml.worksheet+xml" PartName="/xl/worksheets/sheet17032.xml"/>
  <Override ContentType="application/vnd.openxmlformats-officedocument.spreadsheetml.worksheet+xml" PartName="/xl/worksheets/sheet17033.xml"/>
  <Override ContentType="application/vnd.openxmlformats-officedocument.spreadsheetml.worksheet+xml" PartName="/xl/worksheets/sheet17034.xml"/>
  <Override ContentType="application/vnd.openxmlformats-officedocument.spreadsheetml.worksheet+xml" PartName="/xl/worksheets/sheet17035.xml"/>
  <Override ContentType="application/vnd.openxmlformats-officedocument.spreadsheetml.worksheet+xml" PartName="/xl/worksheets/sheet17036.xml"/>
  <Override ContentType="application/vnd.openxmlformats-officedocument.spreadsheetml.worksheet+xml" PartName="/xl/worksheets/sheet17037.xml"/>
  <Override ContentType="application/vnd.openxmlformats-officedocument.spreadsheetml.worksheet+xml" PartName="/xl/worksheets/sheet17038.xml"/>
  <Override ContentType="application/vnd.openxmlformats-officedocument.spreadsheetml.worksheet+xml" PartName="/xl/worksheets/sheet17039.xml"/>
  <Override ContentType="application/vnd.openxmlformats-officedocument.spreadsheetml.worksheet+xml" PartName="/xl/worksheets/sheet17040.xml"/>
  <Override ContentType="application/vnd.openxmlformats-officedocument.spreadsheetml.worksheet+xml" PartName="/xl/worksheets/sheet17041.xml"/>
  <Override ContentType="application/vnd.openxmlformats-officedocument.spreadsheetml.worksheet+xml" PartName="/xl/worksheets/sheet17042.xml"/>
  <Override ContentType="application/vnd.openxmlformats-officedocument.spreadsheetml.worksheet+xml" PartName="/xl/worksheets/sheet17043.xml"/>
  <Override ContentType="application/vnd.openxmlformats-officedocument.spreadsheetml.worksheet+xml" PartName="/xl/worksheets/sheet17044.xml"/>
  <Override ContentType="application/vnd.openxmlformats-officedocument.spreadsheetml.worksheet+xml" PartName="/xl/worksheets/sheet17045.xml"/>
  <Override ContentType="application/vnd.openxmlformats-officedocument.spreadsheetml.worksheet+xml" PartName="/xl/worksheets/sheet17046.xml"/>
  <Override ContentType="application/vnd.openxmlformats-officedocument.spreadsheetml.worksheet+xml" PartName="/xl/worksheets/sheet17047.xml"/>
  <Override ContentType="application/vnd.openxmlformats-officedocument.spreadsheetml.worksheet+xml" PartName="/xl/worksheets/sheet17048.xml"/>
  <Override ContentType="application/vnd.openxmlformats-officedocument.spreadsheetml.worksheet+xml" PartName="/xl/worksheets/sheet17049.xml"/>
  <Override ContentType="application/vnd.openxmlformats-officedocument.spreadsheetml.worksheet+xml" PartName="/xl/worksheets/sheet17050.xml"/>
  <Override ContentType="application/vnd.openxmlformats-officedocument.spreadsheetml.worksheet+xml" PartName="/xl/worksheets/sheet17051.xml"/>
  <Override ContentType="application/vnd.openxmlformats-officedocument.spreadsheetml.worksheet+xml" PartName="/xl/worksheets/sheet17052.xml"/>
  <Override ContentType="application/vnd.openxmlformats-officedocument.spreadsheetml.worksheet+xml" PartName="/xl/worksheets/sheet17053.xml"/>
  <Override ContentType="application/vnd.openxmlformats-officedocument.spreadsheetml.worksheet+xml" PartName="/xl/worksheets/sheet17054.xml"/>
  <Override ContentType="application/vnd.openxmlformats-officedocument.spreadsheetml.worksheet+xml" PartName="/xl/worksheets/sheet17055.xml"/>
  <Override ContentType="application/vnd.openxmlformats-officedocument.spreadsheetml.worksheet+xml" PartName="/xl/worksheets/sheet17056.xml"/>
  <Override ContentType="application/vnd.openxmlformats-officedocument.spreadsheetml.worksheet+xml" PartName="/xl/worksheets/sheet17057.xml"/>
  <Override ContentType="application/vnd.openxmlformats-officedocument.spreadsheetml.worksheet+xml" PartName="/xl/worksheets/sheet17058.xml"/>
  <Override ContentType="application/vnd.openxmlformats-officedocument.spreadsheetml.worksheet+xml" PartName="/xl/worksheets/sheet17059.xml"/>
  <Override ContentType="application/vnd.openxmlformats-officedocument.spreadsheetml.worksheet+xml" PartName="/xl/worksheets/sheet17060.xml"/>
  <Override ContentType="application/vnd.openxmlformats-officedocument.spreadsheetml.worksheet+xml" PartName="/xl/worksheets/sheet17061.xml"/>
  <Override ContentType="application/vnd.openxmlformats-officedocument.spreadsheetml.worksheet+xml" PartName="/xl/worksheets/sheet17062.xml"/>
  <Override ContentType="application/vnd.openxmlformats-officedocument.spreadsheetml.worksheet+xml" PartName="/xl/worksheets/sheet17063.xml"/>
  <Override ContentType="application/vnd.openxmlformats-officedocument.spreadsheetml.worksheet+xml" PartName="/xl/worksheets/sheet17064.xml"/>
  <Override ContentType="application/vnd.openxmlformats-officedocument.spreadsheetml.worksheet+xml" PartName="/xl/worksheets/sheet17065.xml"/>
  <Override ContentType="application/vnd.openxmlformats-officedocument.spreadsheetml.worksheet+xml" PartName="/xl/worksheets/sheet17066.xml"/>
  <Override ContentType="application/vnd.openxmlformats-officedocument.spreadsheetml.worksheet+xml" PartName="/xl/worksheets/sheet17067.xml"/>
  <Override ContentType="application/vnd.openxmlformats-officedocument.spreadsheetml.worksheet+xml" PartName="/xl/worksheets/sheet17068.xml"/>
  <Override ContentType="application/vnd.openxmlformats-officedocument.spreadsheetml.worksheet+xml" PartName="/xl/worksheets/sheet17069.xml"/>
  <Override ContentType="application/vnd.openxmlformats-officedocument.spreadsheetml.worksheet+xml" PartName="/xl/worksheets/sheet17070.xml"/>
  <Override ContentType="application/vnd.openxmlformats-officedocument.spreadsheetml.worksheet+xml" PartName="/xl/worksheets/sheet17071.xml"/>
  <Override ContentType="application/vnd.openxmlformats-officedocument.spreadsheetml.worksheet+xml" PartName="/xl/worksheets/sheet17072.xml"/>
  <Override ContentType="application/vnd.openxmlformats-officedocument.spreadsheetml.worksheet+xml" PartName="/xl/worksheets/sheet17073.xml"/>
  <Override ContentType="application/vnd.openxmlformats-officedocument.spreadsheetml.worksheet+xml" PartName="/xl/worksheets/sheet17074.xml"/>
  <Override ContentType="application/vnd.openxmlformats-officedocument.spreadsheetml.worksheet+xml" PartName="/xl/worksheets/sheet17075.xml"/>
  <Override ContentType="application/vnd.openxmlformats-officedocument.spreadsheetml.worksheet+xml" PartName="/xl/worksheets/sheet17076.xml"/>
  <Override ContentType="application/vnd.openxmlformats-officedocument.spreadsheetml.worksheet+xml" PartName="/xl/worksheets/sheet17077.xml"/>
  <Override ContentType="application/vnd.openxmlformats-officedocument.spreadsheetml.worksheet+xml" PartName="/xl/worksheets/sheet17078.xml"/>
  <Override ContentType="application/vnd.openxmlformats-officedocument.spreadsheetml.worksheet+xml" PartName="/xl/worksheets/sheet17079.xml"/>
  <Override ContentType="application/vnd.openxmlformats-officedocument.spreadsheetml.worksheet+xml" PartName="/xl/worksheets/sheet17080.xml"/>
  <Override ContentType="application/vnd.openxmlformats-officedocument.spreadsheetml.worksheet+xml" PartName="/xl/worksheets/sheet17081.xml"/>
  <Override ContentType="application/vnd.openxmlformats-officedocument.spreadsheetml.worksheet+xml" PartName="/xl/worksheets/sheet17082.xml"/>
  <Override ContentType="application/vnd.openxmlformats-officedocument.spreadsheetml.worksheet+xml" PartName="/xl/worksheets/sheet17083.xml"/>
  <Override ContentType="application/vnd.openxmlformats-officedocument.spreadsheetml.worksheet+xml" PartName="/xl/worksheets/sheet17084.xml"/>
  <Override ContentType="application/vnd.openxmlformats-officedocument.spreadsheetml.worksheet+xml" PartName="/xl/worksheets/sheet17085.xml"/>
  <Override ContentType="application/vnd.openxmlformats-officedocument.spreadsheetml.worksheet+xml" PartName="/xl/worksheets/sheet17086.xml"/>
  <Override ContentType="application/vnd.openxmlformats-officedocument.spreadsheetml.worksheet+xml" PartName="/xl/worksheets/sheet17087.xml"/>
  <Override ContentType="application/vnd.openxmlformats-officedocument.spreadsheetml.worksheet+xml" PartName="/xl/worksheets/sheet17088.xml"/>
  <Override ContentType="application/vnd.openxmlformats-officedocument.spreadsheetml.worksheet+xml" PartName="/xl/worksheets/sheet17089.xml"/>
  <Override ContentType="application/vnd.openxmlformats-officedocument.spreadsheetml.worksheet+xml" PartName="/xl/worksheets/sheet17090.xml"/>
  <Override ContentType="application/vnd.openxmlformats-officedocument.spreadsheetml.worksheet+xml" PartName="/xl/worksheets/sheet17091.xml"/>
  <Override ContentType="application/vnd.openxmlformats-officedocument.spreadsheetml.worksheet+xml" PartName="/xl/worksheets/sheet17092.xml"/>
  <Override ContentType="application/vnd.openxmlformats-officedocument.spreadsheetml.worksheet+xml" PartName="/xl/worksheets/sheet17093.xml"/>
  <Override ContentType="application/vnd.openxmlformats-officedocument.spreadsheetml.worksheet+xml" PartName="/xl/worksheets/sheet17094.xml"/>
  <Override ContentType="application/vnd.openxmlformats-officedocument.spreadsheetml.worksheet+xml" PartName="/xl/worksheets/sheet17095.xml"/>
  <Override ContentType="application/vnd.openxmlformats-officedocument.spreadsheetml.worksheet+xml" PartName="/xl/worksheets/sheet17096.xml"/>
  <Override ContentType="application/vnd.openxmlformats-officedocument.spreadsheetml.worksheet+xml" PartName="/xl/worksheets/sheet17097.xml"/>
  <Override ContentType="application/vnd.openxmlformats-officedocument.spreadsheetml.worksheet+xml" PartName="/xl/worksheets/sheet17098.xml"/>
  <Override ContentType="application/vnd.openxmlformats-officedocument.spreadsheetml.worksheet+xml" PartName="/xl/worksheets/sheet17099.xml"/>
  <Override ContentType="application/vnd.openxmlformats-officedocument.spreadsheetml.worksheet+xml" PartName="/xl/worksheets/sheet17100.xml"/>
  <Override ContentType="application/vnd.openxmlformats-officedocument.spreadsheetml.worksheet+xml" PartName="/xl/worksheets/sheet17101.xml"/>
  <Override ContentType="application/vnd.openxmlformats-officedocument.spreadsheetml.worksheet+xml" PartName="/xl/worksheets/sheet17102.xml"/>
  <Override ContentType="application/vnd.openxmlformats-officedocument.spreadsheetml.worksheet+xml" PartName="/xl/worksheets/sheet17103.xml"/>
  <Override ContentType="application/vnd.openxmlformats-officedocument.spreadsheetml.worksheet+xml" PartName="/xl/worksheets/sheet17104.xml"/>
  <Override ContentType="application/vnd.openxmlformats-officedocument.spreadsheetml.worksheet+xml" PartName="/xl/worksheets/sheet17105.xml"/>
  <Override ContentType="application/vnd.openxmlformats-officedocument.spreadsheetml.worksheet+xml" PartName="/xl/worksheets/sheet17106.xml"/>
  <Override ContentType="application/vnd.openxmlformats-officedocument.spreadsheetml.worksheet+xml" PartName="/xl/worksheets/sheet17107.xml"/>
  <Override ContentType="application/vnd.openxmlformats-officedocument.spreadsheetml.worksheet+xml" PartName="/xl/worksheets/sheet17108.xml"/>
  <Override ContentType="application/vnd.openxmlformats-officedocument.spreadsheetml.worksheet+xml" PartName="/xl/worksheets/sheet17109.xml"/>
  <Override ContentType="application/vnd.openxmlformats-officedocument.spreadsheetml.worksheet+xml" PartName="/xl/worksheets/sheet17110.xml"/>
  <Override ContentType="application/vnd.openxmlformats-officedocument.spreadsheetml.worksheet+xml" PartName="/xl/worksheets/sheet17111.xml"/>
  <Override ContentType="application/vnd.openxmlformats-officedocument.spreadsheetml.worksheet+xml" PartName="/xl/worksheets/sheet17112.xml"/>
  <Override ContentType="application/vnd.openxmlformats-officedocument.spreadsheetml.worksheet+xml" PartName="/xl/worksheets/sheet17113.xml"/>
  <Override ContentType="application/vnd.openxmlformats-officedocument.spreadsheetml.worksheet+xml" PartName="/xl/worksheets/sheet17114.xml"/>
  <Override ContentType="application/vnd.openxmlformats-officedocument.spreadsheetml.worksheet+xml" PartName="/xl/worksheets/sheet17115.xml"/>
  <Override ContentType="application/vnd.openxmlformats-officedocument.spreadsheetml.worksheet+xml" PartName="/xl/worksheets/sheet17116.xml"/>
  <Override ContentType="application/vnd.openxmlformats-officedocument.spreadsheetml.worksheet+xml" PartName="/xl/worksheets/sheet17117.xml"/>
  <Override ContentType="application/vnd.openxmlformats-officedocument.spreadsheetml.worksheet+xml" PartName="/xl/worksheets/sheet17118.xml"/>
  <Override ContentType="application/vnd.openxmlformats-officedocument.spreadsheetml.worksheet+xml" PartName="/xl/worksheets/sheet17119.xml"/>
  <Override ContentType="application/vnd.openxmlformats-officedocument.spreadsheetml.worksheet+xml" PartName="/xl/worksheets/sheet17120.xml"/>
  <Override ContentType="application/vnd.openxmlformats-officedocument.spreadsheetml.worksheet+xml" PartName="/xl/worksheets/sheet17121.xml"/>
  <Override ContentType="application/vnd.openxmlformats-officedocument.spreadsheetml.worksheet+xml" PartName="/xl/worksheets/sheet17122.xml"/>
  <Override ContentType="application/vnd.openxmlformats-officedocument.spreadsheetml.worksheet+xml" PartName="/xl/worksheets/sheet17123.xml"/>
  <Override ContentType="application/vnd.openxmlformats-officedocument.spreadsheetml.worksheet+xml" PartName="/xl/worksheets/sheet17124.xml"/>
  <Override ContentType="application/vnd.openxmlformats-officedocument.spreadsheetml.worksheet+xml" PartName="/xl/worksheets/sheet17125.xml"/>
  <Override ContentType="application/vnd.openxmlformats-officedocument.spreadsheetml.worksheet+xml" PartName="/xl/worksheets/sheet17126.xml"/>
  <Override ContentType="application/vnd.openxmlformats-officedocument.spreadsheetml.worksheet+xml" PartName="/xl/worksheets/sheet17127.xml"/>
  <Override ContentType="application/vnd.openxmlformats-officedocument.spreadsheetml.worksheet+xml" PartName="/xl/worksheets/sheet17128.xml"/>
  <Override ContentType="application/vnd.openxmlformats-officedocument.spreadsheetml.worksheet+xml" PartName="/xl/worksheets/sheet17129.xml"/>
  <Override ContentType="application/vnd.openxmlformats-officedocument.spreadsheetml.worksheet+xml" PartName="/xl/worksheets/sheet17130.xml"/>
  <Override ContentType="application/vnd.openxmlformats-officedocument.spreadsheetml.worksheet+xml" PartName="/xl/worksheets/sheet17131.xml"/>
  <Override ContentType="application/vnd.openxmlformats-officedocument.spreadsheetml.worksheet+xml" PartName="/xl/worksheets/sheet17132.xml"/>
  <Override ContentType="application/vnd.openxmlformats-officedocument.spreadsheetml.worksheet+xml" PartName="/xl/worksheets/sheet17133.xml"/>
  <Override ContentType="application/vnd.openxmlformats-officedocument.spreadsheetml.worksheet+xml" PartName="/xl/worksheets/sheet17134.xml"/>
  <Override ContentType="application/vnd.openxmlformats-officedocument.spreadsheetml.worksheet+xml" PartName="/xl/worksheets/sheet17135.xml"/>
  <Override ContentType="application/vnd.openxmlformats-officedocument.spreadsheetml.worksheet+xml" PartName="/xl/worksheets/sheet17136.xml"/>
  <Override ContentType="application/vnd.openxmlformats-officedocument.spreadsheetml.worksheet+xml" PartName="/xl/worksheets/sheet17137.xml"/>
  <Override ContentType="application/vnd.openxmlformats-officedocument.spreadsheetml.worksheet+xml" PartName="/xl/worksheets/sheet17138.xml"/>
  <Override ContentType="application/vnd.openxmlformats-officedocument.spreadsheetml.worksheet+xml" PartName="/xl/worksheets/sheet17139.xml"/>
  <Override ContentType="application/vnd.openxmlformats-officedocument.spreadsheetml.worksheet+xml" PartName="/xl/worksheets/sheet17140.xml"/>
  <Override ContentType="application/vnd.openxmlformats-officedocument.spreadsheetml.worksheet+xml" PartName="/xl/worksheets/sheet17141.xml"/>
  <Override ContentType="application/vnd.openxmlformats-officedocument.spreadsheetml.worksheet+xml" PartName="/xl/worksheets/sheet17142.xml"/>
  <Override ContentType="application/vnd.openxmlformats-officedocument.spreadsheetml.worksheet+xml" PartName="/xl/worksheets/sheet17143.xml"/>
  <Override ContentType="application/vnd.openxmlformats-officedocument.spreadsheetml.worksheet+xml" PartName="/xl/worksheets/sheet17144.xml"/>
  <Override ContentType="application/vnd.openxmlformats-officedocument.spreadsheetml.worksheet+xml" PartName="/xl/worksheets/sheet17145.xml"/>
  <Override ContentType="application/vnd.openxmlformats-officedocument.spreadsheetml.worksheet+xml" PartName="/xl/worksheets/sheet17146.xml"/>
  <Override ContentType="application/vnd.openxmlformats-officedocument.spreadsheetml.worksheet+xml" PartName="/xl/worksheets/sheet17147.xml"/>
  <Override ContentType="application/vnd.openxmlformats-officedocument.spreadsheetml.worksheet+xml" PartName="/xl/worksheets/sheet17148.xml"/>
  <Override ContentType="application/vnd.openxmlformats-officedocument.spreadsheetml.worksheet+xml" PartName="/xl/worksheets/sheet17149.xml"/>
  <Override ContentType="application/vnd.openxmlformats-officedocument.spreadsheetml.worksheet+xml" PartName="/xl/worksheets/sheet17150.xml"/>
  <Override ContentType="application/vnd.openxmlformats-officedocument.spreadsheetml.worksheet+xml" PartName="/xl/worksheets/sheet17151.xml"/>
  <Override ContentType="application/vnd.openxmlformats-officedocument.spreadsheetml.worksheet+xml" PartName="/xl/worksheets/sheet17152.xml"/>
  <Override ContentType="application/vnd.openxmlformats-officedocument.spreadsheetml.worksheet+xml" PartName="/xl/worksheets/sheet17153.xml"/>
  <Override ContentType="application/vnd.openxmlformats-officedocument.spreadsheetml.worksheet+xml" PartName="/xl/worksheets/sheet17154.xml"/>
  <Override ContentType="application/vnd.openxmlformats-officedocument.spreadsheetml.worksheet+xml" PartName="/xl/worksheets/sheet17155.xml"/>
  <Override ContentType="application/vnd.openxmlformats-officedocument.spreadsheetml.worksheet+xml" PartName="/xl/worksheets/sheet17156.xml"/>
  <Override ContentType="application/vnd.openxmlformats-officedocument.spreadsheetml.worksheet+xml" PartName="/xl/worksheets/sheet17157.xml"/>
  <Override ContentType="application/vnd.openxmlformats-officedocument.spreadsheetml.worksheet+xml" PartName="/xl/worksheets/sheet17158.xml"/>
  <Override ContentType="application/vnd.openxmlformats-officedocument.spreadsheetml.worksheet+xml" PartName="/xl/worksheets/sheet17159.xml"/>
  <Override ContentType="application/vnd.openxmlformats-officedocument.spreadsheetml.worksheet+xml" PartName="/xl/worksheets/sheet17160.xml"/>
  <Override ContentType="application/vnd.openxmlformats-officedocument.spreadsheetml.worksheet+xml" PartName="/xl/worksheets/sheet17161.xml"/>
  <Override ContentType="application/vnd.openxmlformats-officedocument.spreadsheetml.worksheet+xml" PartName="/xl/worksheets/sheet17162.xml"/>
  <Override ContentType="application/vnd.openxmlformats-officedocument.spreadsheetml.worksheet+xml" PartName="/xl/worksheets/sheet17163.xml"/>
  <Override ContentType="application/vnd.openxmlformats-officedocument.spreadsheetml.worksheet+xml" PartName="/xl/worksheets/sheet17164.xml"/>
  <Override ContentType="application/vnd.openxmlformats-officedocument.spreadsheetml.worksheet+xml" PartName="/xl/worksheets/sheet17165.xml"/>
  <Override ContentType="application/vnd.openxmlformats-officedocument.spreadsheetml.worksheet+xml" PartName="/xl/worksheets/sheet17166.xml"/>
  <Override ContentType="application/vnd.openxmlformats-officedocument.spreadsheetml.worksheet+xml" PartName="/xl/worksheets/sheet17167.xml"/>
  <Override ContentType="application/vnd.openxmlformats-officedocument.spreadsheetml.worksheet+xml" PartName="/xl/worksheets/sheet17168.xml"/>
  <Override ContentType="application/vnd.openxmlformats-officedocument.spreadsheetml.worksheet+xml" PartName="/xl/worksheets/sheet17169.xml"/>
  <Override ContentType="application/vnd.openxmlformats-officedocument.spreadsheetml.worksheet+xml" PartName="/xl/worksheets/sheet17170.xml"/>
  <Override ContentType="application/vnd.openxmlformats-officedocument.spreadsheetml.worksheet+xml" PartName="/xl/worksheets/sheet17171.xml"/>
  <Override ContentType="application/vnd.openxmlformats-officedocument.spreadsheetml.worksheet+xml" PartName="/xl/worksheets/sheet17172.xml"/>
  <Override ContentType="application/vnd.openxmlformats-officedocument.spreadsheetml.worksheet+xml" PartName="/xl/worksheets/sheet17173.xml"/>
  <Override ContentType="application/vnd.openxmlformats-officedocument.spreadsheetml.worksheet+xml" PartName="/xl/worksheets/sheet17174.xml"/>
  <Override ContentType="application/vnd.openxmlformats-officedocument.spreadsheetml.worksheet+xml" PartName="/xl/worksheets/sheet17175.xml"/>
  <Override ContentType="application/vnd.openxmlformats-officedocument.spreadsheetml.worksheet+xml" PartName="/xl/worksheets/sheet17176.xml"/>
  <Override ContentType="application/vnd.openxmlformats-officedocument.spreadsheetml.worksheet+xml" PartName="/xl/worksheets/sheet17177.xml"/>
  <Override ContentType="application/vnd.openxmlformats-officedocument.spreadsheetml.worksheet+xml" PartName="/xl/worksheets/sheet17178.xml"/>
  <Override ContentType="application/vnd.openxmlformats-officedocument.spreadsheetml.worksheet+xml" PartName="/xl/worksheets/sheet17179.xml"/>
  <Override ContentType="application/vnd.openxmlformats-officedocument.spreadsheetml.worksheet+xml" PartName="/xl/worksheets/sheet17180.xml"/>
  <Override ContentType="application/vnd.openxmlformats-officedocument.spreadsheetml.worksheet+xml" PartName="/xl/worksheets/sheet17181.xml"/>
  <Override ContentType="application/vnd.openxmlformats-officedocument.spreadsheetml.worksheet+xml" PartName="/xl/worksheets/sheet17182.xml"/>
  <Override ContentType="application/vnd.openxmlformats-officedocument.spreadsheetml.worksheet+xml" PartName="/xl/worksheets/sheet17183.xml"/>
  <Override ContentType="application/vnd.openxmlformats-officedocument.spreadsheetml.worksheet+xml" PartName="/xl/worksheets/sheet17184.xml"/>
  <Override ContentType="application/vnd.openxmlformats-officedocument.spreadsheetml.worksheet+xml" PartName="/xl/worksheets/sheet17185.xml"/>
  <Override ContentType="application/vnd.openxmlformats-officedocument.spreadsheetml.worksheet+xml" PartName="/xl/worksheets/sheet17186.xml"/>
  <Override ContentType="application/vnd.openxmlformats-officedocument.spreadsheetml.worksheet+xml" PartName="/xl/worksheets/sheet17187.xml"/>
  <Override ContentType="application/vnd.openxmlformats-officedocument.spreadsheetml.worksheet+xml" PartName="/xl/worksheets/sheet17188.xml"/>
  <Override ContentType="application/vnd.openxmlformats-officedocument.spreadsheetml.worksheet+xml" PartName="/xl/worksheets/sheet17189.xml"/>
  <Override ContentType="application/vnd.openxmlformats-officedocument.spreadsheetml.worksheet+xml" PartName="/xl/worksheets/sheet17190.xml"/>
  <Override ContentType="application/vnd.openxmlformats-officedocument.spreadsheetml.worksheet+xml" PartName="/xl/worksheets/sheet17191.xml"/>
  <Override ContentType="application/vnd.openxmlformats-officedocument.spreadsheetml.worksheet+xml" PartName="/xl/worksheets/sheet17192.xml"/>
  <Override ContentType="application/vnd.openxmlformats-officedocument.spreadsheetml.worksheet+xml" PartName="/xl/worksheets/sheet17193.xml"/>
  <Override ContentType="application/vnd.openxmlformats-officedocument.spreadsheetml.worksheet+xml" PartName="/xl/worksheets/sheet17194.xml"/>
  <Override ContentType="application/vnd.openxmlformats-officedocument.spreadsheetml.worksheet+xml" PartName="/xl/worksheets/sheet17195.xml"/>
  <Override ContentType="application/vnd.openxmlformats-officedocument.spreadsheetml.worksheet+xml" PartName="/xl/worksheets/sheet17196.xml"/>
  <Override ContentType="application/vnd.openxmlformats-officedocument.spreadsheetml.worksheet+xml" PartName="/xl/worksheets/sheet17197.xml"/>
  <Override ContentType="application/vnd.openxmlformats-officedocument.spreadsheetml.worksheet+xml" PartName="/xl/worksheets/sheet17198.xml"/>
  <Override ContentType="application/vnd.openxmlformats-officedocument.spreadsheetml.worksheet+xml" PartName="/xl/worksheets/sheet17199.xml"/>
  <Override ContentType="application/vnd.openxmlformats-officedocument.spreadsheetml.worksheet+xml" PartName="/xl/worksheets/sheet17200.xml"/>
  <Override ContentType="application/vnd.openxmlformats-officedocument.spreadsheetml.worksheet+xml" PartName="/xl/worksheets/sheet17201.xml"/>
  <Override ContentType="application/vnd.openxmlformats-officedocument.spreadsheetml.worksheet+xml" PartName="/xl/worksheets/sheet17202.xml"/>
  <Override ContentType="application/vnd.openxmlformats-officedocument.spreadsheetml.worksheet+xml" PartName="/xl/worksheets/sheet17203.xml"/>
  <Override ContentType="application/vnd.openxmlformats-officedocument.spreadsheetml.worksheet+xml" PartName="/xl/worksheets/sheet17204.xml"/>
  <Override ContentType="application/vnd.openxmlformats-officedocument.spreadsheetml.worksheet+xml" PartName="/xl/worksheets/sheet17205.xml"/>
  <Override ContentType="application/vnd.openxmlformats-officedocument.spreadsheetml.worksheet+xml" PartName="/xl/worksheets/sheet17206.xml"/>
  <Override ContentType="application/vnd.openxmlformats-officedocument.spreadsheetml.worksheet+xml" PartName="/xl/worksheets/sheet17207.xml"/>
  <Override ContentType="application/vnd.openxmlformats-officedocument.spreadsheetml.worksheet+xml" PartName="/xl/worksheets/sheet17208.xml"/>
  <Override ContentType="application/vnd.openxmlformats-officedocument.spreadsheetml.worksheet+xml" PartName="/xl/worksheets/sheet17209.xml"/>
  <Override ContentType="application/vnd.openxmlformats-officedocument.spreadsheetml.worksheet+xml" PartName="/xl/worksheets/sheet17210.xml"/>
  <Override ContentType="application/vnd.openxmlformats-officedocument.spreadsheetml.worksheet+xml" PartName="/xl/worksheets/sheet17211.xml"/>
  <Override ContentType="application/vnd.openxmlformats-officedocument.spreadsheetml.worksheet+xml" PartName="/xl/worksheets/sheet17212.xml"/>
  <Override ContentType="application/vnd.openxmlformats-officedocument.spreadsheetml.worksheet+xml" PartName="/xl/worksheets/sheet17213.xml"/>
  <Override ContentType="application/vnd.openxmlformats-officedocument.spreadsheetml.worksheet+xml" PartName="/xl/worksheets/sheet17214.xml"/>
  <Override ContentType="application/vnd.openxmlformats-officedocument.spreadsheetml.worksheet+xml" PartName="/xl/worksheets/sheet17215.xml"/>
  <Override ContentType="application/vnd.openxmlformats-officedocument.spreadsheetml.worksheet+xml" PartName="/xl/worksheets/sheet17216.xml"/>
  <Override ContentType="application/vnd.openxmlformats-officedocument.spreadsheetml.worksheet+xml" PartName="/xl/worksheets/sheet17217.xml"/>
  <Override ContentType="application/vnd.openxmlformats-officedocument.spreadsheetml.worksheet+xml" PartName="/xl/worksheets/sheet17218.xml"/>
  <Override ContentType="application/vnd.openxmlformats-officedocument.spreadsheetml.worksheet+xml" PartName="/xl/worksheets/sheet17219.xml"/>
  <Override ContentType="application/vnd.openxmlformats-officedocument.spreadsheetml.worksheet+xml" PartName="/xl/worksheets/sheet17220.xml"/>
  <Override ContentType="application/vnd.openxmlformats-officedocument.spreadsheetml.worksheet+xml" PartName="/xl/worksheets/sheet17221.xml"/>
  <Override ContentType="application/vnd.openxmlformats-officedocument.spreadsheetml.worksheet+xml" PartName="/xl/worksheets/sheet17222.xml"/>
  <Override ContentType="application/vnd.openxmlformats-officedocument.spreadsheetml.worksheet+xml" PartName="/xl/worksheets/sheet17223.xml"/>
  <Override ContentType="application/vnd.openxmlformats-officedocument.spreadsheetml.worksheet+xml" PartName="/xl/worksheets/sheet17224.xml"/>
  <Override ContentType="application/vnd.openxmlformats-officedocument.spreadsheetml.worksheet+xml" PartName="/xl/worksheets/sheet17225.xml"/>
  <Override ContentType="application/vnd.openxmlformats-officedocument.spreadsheetml.worksheet+xml" PartName="/xl/worksheets/sheet17226.xml"/>
  <Override ContentType="application/vnd.openxmlformats-officedocument.spreadsheetml.worksheet+xml" PartName="/xl/worksheets/sheet17227.xml"/>
  <Override ContentType="application/vnd.openxmlformats-officedocument.spreadsheetml.worksheet+xml" PartName="/xl/worksheets/sheet17228.xml"/>
  <Override ContentType="application/vnd.openxmlformats-officedocument.spreadsheetml.worksheet+xml" PartName="/xl/worksheets/sheet17229.xml"/>
  <Override ContentType="application/vnd.openxmlformats-officedocument.spreadsheetml.worksheet+xml" PartName="/xl/worksheets/sheet17230.xml"/>
  <Override ContentType="application/vnd.openxmlformats-officedocument.spreadsheetml.worksheet+xml" PartName="/xl/worksheets/sheet17231.xml"/>
  <Override ContentType="application/vnd.openxmlformats-officedocument.spreadsheetml.worksheet+xml" PartName="/xl/worksheets/sheet17232.xml"/>
  <Override ContentType="application/vnd.openxmlformats-officedocument.spreadsheetml.worksheet+xml" PartName="/xl/worksheets/sheet17233.xml"/>
  <Override ContentType="application/vnd.openxmlformats-officedocument.spreadsheetml.worksheet+xml" PartName="/xl/worksheets/sheet17234.xml"/>
  <Override ContentType="application/vnd.openxmlformats-officedocument.spreadsheetml.worksheet+xml" PartName="/xl/worksheets/sheet17235.xml"/>
  <Override ContentType="application/vnd.openxmlformats-officedocument.spreadsheetml.worksheet+xml" PartName="/xl/worksheets/sheet17236.xml"/>
  <Override ContentType="application/vnd.openxmlformats-officedocument.spreadsheetml.worksheet+xml" PartName="/xl/worksheets/sheet17237.xml"/>
  <Override ContentType="application/vnd.openxmlformats-officedocument.spreadsheetml.worksheet+xml" PartName="/xl/worksheets/sheet17238.xml"/>
  <Override ContentType="application/vnd.openxmlformats-officedocument.spreadsheetml.worksheet+xml" PartName="/xl/worksheets/sheet17239.xml"/>
  <Override ContentType="application/vnd.openxmlformats-officedocument.spreadsheetml.worksheet+xml" PartName="/xl/worksheets/sheet17240.xml"/>
  <Override ContentType="application/vnd.openxmlformats-officedocument.spreadsheetml.worksheet+xml" PartName="/xl/worksheets/sheet17241.xml"/>
  <Override ContentType="application/vnd.openxmlformats-officedocument.spreadsheetml.worksheet+xml" PartName="/xl/worksheets/sheet17242.xml"/>
  <Override ContentType="application/vnd.openxmlformats-officedocument.spreadsheetml.worksheet+xml" PartName="/xl/worksheets/sheet17243.xml"/>
  <Override ContentType="application/vnd.openxmlformats-officedocument.spreadsheetml.worksheet+xml" PartName="/xl/worksheets/sheet17244.xml"/>
  <Override ContentType="application/vnd.openxmlformats-officedocument.spreadsheetml.worksheet+xml" PartName="/xl/worksheets/sheet17245.xml"/>
  <Override ContentType="application/vnd.openxmlformats-officedocument.spreadsheetml.worksheet+xml" PartName="/xl/worksheets/sheet17246.xml"/>
  <Override ContentType="application/vnd.openxmlformats-officedocument.spreadsheetml.worksheet+xml" PartName="/xl/worksheets/sheet17247.xml"/>
  <Override ContentType="application/vnd.openxmlformats-officedocument.spreadsheetml.worksheet+xml" PartName="/xl/worksheets/sheet17248.xml"/>
  <Override ContentType="application/vnd.openxmlformats-officedocument.spreadsheetml.worksheet+xml" PartName="/xl/worksheets/sheet17249.xml"/>
  <Override ContentType="application/vnd.openxmlformats-officedocument.spreadsheetml.worksheet+xml" PartName="/xl/worksheets/sheet17250.xml"/>
  <Override ContentType="application/vnd.openxmlformats-officedocument.spreadsheetml.worksheet+xml" PartName="/xl/worksheets/sheet17251.xml"/>
  <Override ContentType="application/vnd.openxmlformats-officedocument.spreadsheetml.worksheet+xml" PartName="/xl/worksheets/sheet17252.xml"/>
  <Override ContentType="application/vnd.openxmlformats-officedocument.spreadsheetml.worksheet+xml" PartName="/xl/worksheets/sheet17253.xml"/>
  <Override ContentType="application/vnd.openxmlformats-officedocument.spreadsheetml.worksheet+xml" PartName="/xl/worksheets/sheet17254.xml"/>
  <Override ContentType="application/vnd.openxmlformats-officedocument.spreadsheetml.worksheet+xml" PartName="/xl/worksheets/sheet17255.xml"/>
  <Override ContentType="application/vnd.openxmlformats-officedocument.spreadsheetml.worksheet+xml" PartName="/xl/worksheets/sheet17256.xml"/>
  <Override ContentType="application/vnd.openxmlformats-officedocument.spreadsheetml.worksheet+xml" PartName="/xl/worksheets/sheet17257.xml"/>
  <Override ContentType="application/vnd.openxmlformats-officedocument.spreadsheetml.worksheet+xml" PartName="/xl/worksheets/sheet17258.xml"/>
  <Override ContentType="application/vnd.openxmlformats-officedocument.spreadsheetml.worksheet+xml" PartName="/xl/worksheets/sheet17259.xml"/>
  <Override ContentType="application/vnd.openxmlformats-officedocument.spreadsheetml.worksheet+xml" PartName="/xl/worksheets/sheet17260.xml"/>
  <Override ContentType="application/vnd.openxmlformats-officedocument.spreadsheetml.worksheet+xml" PartName="/xl/worksheets/sheet17261.xml"/>
  <Override ContentType="application/vnd.openxmlformats-officedocument.spreadsheetml.worksheet+xml" PartName="/xl/worksheets/sheet17262.xml"/>
  <Override ContentType="application/vnd.openxmlformats-officedocument.spreadsheetml.worksheet+xml" PartName="/xl/worksheets/sheet17263.xml"/>
  <Override ContentType="application/vnd.openxmlformats-officedocument.spreadsheetml.worksheet+xml" PartName="/xl/worksheets/sheet17264.xml"/>
  <Override ContentType="application/vnd.openxmlformats-officedocument.spreadsheetml.worksheet+xml" PartName="/xl/worksheets/sheet17265.xml"/>
  <Override ContentType="application/vnd.openxmlformats-officedocument.spreadsheetml.worksheet+xml" PartName="/xl/worksheets/sheet17266.xml"/>
  <Override ContentType="application/vnd.openxmlformats-officedocument.spreadsheetml.worksheet+xml" PartName="/xl/worksheets/sheet17267.xml"/>
  <Override ContentType="application/vnd.openxmlformats-officedocument.spreadsheetml.worksheet+xml" PartName="/xl/worksheets/sheet17268.xml"/>
  <Override ContentType="application/vnd.openxmlformats-officedocument.spreadsheetml.worksheet+xml" PartName="/xl/worksheets/sheet17269.xml"/>
  <Override ContentType="application/vnd.openxmlformats-officedocument.spreadsheetml.worksheet+xml" PartName="/xl/worksheets/sheet17270.xml"/>
  <Override ContentType="application/vnd.openxmlformats-officedocument.spreadsheetml.worksheet+xml" PartName="/xl/worksheets/sheet17271.xml"/>
  <Override ContentType="application/vnd.openxmlformats-officedocument.spreadsheetml.worksheet+xml" PartName="/xl/worksheets/sheet17272.xml"/>
  <Override ContentType="application/vnd.openxmlformats-officedocument.spreadsheetml.worksheet+xml" PartName="/xl/worksheets/sheet17273.xml"/>
  <Override ContentType="application/vnd.openxmlformats-officedocument.spreadsheetml.worksheet+xml" PartName="/xl/worksheets/sheet17274.xml"/>
  <Override ContentType="application/vnd.openxmlformats-officedocument.spreadsheetml.worksheet+xml" PartName="/xl/worksheets/sheet17275.xml"/>
  <Override ContentType="application/vnd.openxmlformats-officedocument.spreadsheetml.worksheet+xml" PartName="/xl/worksheets/sheet17276.xml"/>
  <Override ContentType="application/vnd.openxmlformats-officedocument.spreadsheetml.worksheet+xml" PartName="/xl/worksheets/sheet17277.xml"/>
  <Override ContentType="application/vnd.openxmlformats-officedocument.spreadsheetml.worksheet+xml" PartName="/xl/worksheets/sheet17278.xml"/>
  <Override ContentType="application/vnd.openxmlformats-officedocument.spreadsheetml.worksheet+xml" PartName="/xl/worksheets/sheet17279.xml"/>
  <Override ContentType="application/vnd.openxmlformats-officedocument.spreadsheetml.worksheet+xml" PartName="/xl/worksheets/sheet17280.xml"/>
  <Override ContentType="application/vnd.openxmlformats-officedocument.spreadsheetml.worksheet+xml" PartName="/xl/worksheets/sheet17281.xml"/>
  <Override ContentType="application/vnd.openxmlformats-officedocument.spreadsheetml.worksheet+xml" PartName="/xl/worksheets/sheet17282.xml"/>
  <Override ContentType="application/vnd.openxmlformats-officedocument.spreadsheetml.worksheet+xml" PartName="/xl/worksheets/sheet17283.xml"/>
  <Override ContentType="application/vnd.openxmlformats-officedocument.spreadsheetml.worksheet+xml" PartName="/xl/worksheets/sheet17284.xml"/>
  <Override ContentType="application/vnd.openxmlformats-officedocument.spreadsheetml.worksheet+xml" PartName="/xl/worksheets/sheet17285.xml"/>
  <Override ContentType="application/vnd.openxmlformats-officedocument.spreadsheetml.worksheet+xml" PartName="/xl/worksheets/sheet17286.xml"/>
  <Override ContentType="application/vnd.openxmlformats-officedocument.spreadsheetml.worksheet+xml" PartName="/xl/worksheets/sheet17287.xml"/>
  <Override ContentType="application/vnd.openxmlformats-officedocument.spreadsheetml.worksheet+xml" PartName="/xl/worksheets/sheet17288.xml"/>
  <Override ContentType="application/vnd.openxmlformats-officedocument.spreadsheetml.worksheet+xml" PartName="/xl/worksheets/sheet17289.xml"/>
  <Override ContentType="application/vnd.openxmlformats-officedocument.spreadsheetml.worksheet+xml" PartName="/xl/worksheets/sheet17290.xml"/>
  <Override ContentType="application/vnd.openxmlformats-officedocument.spreadsheetml.worksheet+xml" PartName="/xl/worksheets/sheet17291.xml"/>
  <Override ContentType="application/vnd.openxmlformats-officedocument.spreadsheetml.worksheet+xml" PartName="/xl/worksheets/sheet17292.xml"/>
  <Override ContentType="application/vnd.openxmlformats-officedocument.spreadsheetml.worksheet+xml" PartName="/xl/worksheets/sheet17293.xml"/>
  <Override ContentType="application/vnd.openxmlformats-officedocument.spreadsheetml.worksheet+xml" PartName="/xl/worksheets/sheet17294.xml"/>
  <Override ContentType="application/vnd.openxmlformats-officedocument.spreadsheetml.worksheet+xml" PartName="/xl/worksheets/sheet17295.xml"/>
  <Override ContentType="application/vnd.openxmlformats-officedocument.spreadsheetml.worksheet+xml" PartName="/xl/worksheets/sheet17296.xml"/>
  <Override ContentType="application/vnd.openxmlformats-officedocument.spreadsheetml.worksheet+xml" PartName="/xl/worksheets/sheet17297.xml"/>
  <Override ContentType="application/vnd.openxmlformats-officedocument.spreadsheetml.worksheet+xml" PartName="/xl/worksheets/sheet17298.xml"/>
  <Override ContentType="application/vnd.openxmlformats-officedocument.spreadsheetml.worksheet+xml" PartName="/xl/worksheets/sheet17299.xml"/>
  <Override ContentType="application/vnd.openxmlformats-officedocument.spreadsheetml.worksheet+xml" PartName="/xl/worksheets/sheet17300.xml"/>
  <Override ContentType="application/vnd.openxmlformats-officedocument.spreadsheetml.worksheet+xml" PartName="/xl/worksheets/sheet17301.xml"/>
  <Override ContentType="application/vnd.openxmlformats-officedocument.spreadsheetml.worksheet+xml" PartName="/xl/worksheets/sheet17302.xml"/>
  <Override ContentType="application/vnd.openxmlformats-officedocument.spreadsheetml.worksheet+xml" PartName="/xl/worksheets/sheet17303.xml"/>
  <Override ContentType="application/vnd.openxmlformats-officedocument.spreadsheetml.worksheet+xml" PartName="/xl/worksheets/sheet17304.xml"/>
  <Override ContentType="application/vnd.openxmlformats-officedocument.spreadsheetml.worksheet+xml" PartName="/xl/worksheets/sheet17305.xml"/>
  <Override ContentType="application/vnd.openxmlformats-officedocument.spreadsheetml.worksheet+xml" PartName="/xl/worksheets/sheet17306.xml"/>
  <Override ContentType="application/vnd.openxmlformats-officedocument.spreadsheetml.worksheet+xml" PartName="/xl/worksheets/sheet17307.xml"/>
  <Override ContentType="application/vnd.openxmlformats-officedocument.spreadsheetml.worksheet+xml" PartName="/xl/worksheets/sheet17308.xml"/>
  <Override ContentType="application/vnd.openxmlformats-officedocument.spreadsheetml.worksheet+xml" PartName="/xl/worksheets/sheet17309.xml"/>
  <Override ContentType="application/vnd.openxmlformats-officedocument.spreadsheetml.worksheet+xml" PartName="/xl/worksheets/sheet17310.xml"/>
  <Override ContentType="application/vnd.openxmlformats-officedocument.spreadsheetml.worksheet+xml" PartName="/xl/worksheets/sheet17311.xml"/>
  <Override ContentType="application/vnd.openxmlformats-officedocument.spreadsheetml.worksheet+xml" PartName="/xl/worksheets/sheet17312.xml"/>
  <Override ContentType="application/vnd.openxmlformats-officedocument.spreadsheetml.worksheet+xml" PartName="/xl/worksheets/sheet17313.xml"/>
  <Override ContentType="application/vnd.openxmlformats-officedocument.spreadsheetml.worksheet+xml" PartName="/xl/worksheets/sheet17314.xml"/>
  <Override ContentType="application/vnd.openxmlformats-officedocument.spreadsheetml.worksheet+xml" PartName="/xl/worksheets/sheet17315.xml"/>
  <Override ContentType="application/vnd.openxmlformats-officedocument.spreadsheetml.worksheet+xml" PartName="/xl/worksheets/sheet17316.xml"/>
  <Override ContentType="application/vnd.openxmlformats-officedocument.spreadsheetml.worksheet+xml" PartName="/xl/worksheets/sheet17317.xml"/>
  <Override ContentType="application/vnd.openxmlformats-officedocument.spreadsheetml.worksheet+xml" PartName="/xl/worksheets/sheet17318.xml"/>
  <Override ContentType="application/vnd.openxmlformats-officedocument.spreadsheetml.worksheet+xml" PartName="/xl/worksheets/sheet17319.xml"/>
  <Override ContentType="application/vnd.openxmlformats-officedocument.spreadsheetml.worksheet+xml" PartName="/xl/worksheets/sheet17320.xml"/>
  <Override ContentType="application/vnd.openxmlformats-officedocument.spreadsheetml.worksheet+xml" PartName="/xl/worksheets/sheet17321.xml"/>
  <Override ContentType="application/vnd.openxmlformats-officedocument.spreadsheetml.worksheet+xml" PartName="/xl/worksheets/sheet17322.xml"/>
  <Override ContentType="application/vnd.openxmlformats-officedocument.spreadsheetml.worksheet+xml" PartName="/xl/worksheets/sheet17323.xml"/>
  <Override ContentType="application/vnd.openxmlformats-officedocument.spreadsheetml.worksheet+xml" PartName="/xl/worksheets/sheet17324.xml"/>
  <Override ContentType="application/vnd.openxmlformats-officedocument.spreadsheetml.worksheet+xml" PartName="/xl/worksheets/sheet17325.xml"/>
  <Override ContentType="application/vnd.openxmlformats-officedocument.spreadsheetml.worksheet+xml" PartName="/xl/worksheets/sheet17326.xml"/>
  <Override ContentType="application/vnd.openxmlformats-officedocument.spreadsheetml.worksheet+xml" PartName="/xl/worksheets/sheet17327.xml"/>
  <Override ContentType="application/vnd.openxmlformats-officedocument.spreadsheetml.worksheet+xml" PartName="/xl/worksheets/sheet17328.xml"/>
  <Override ContentType="application/vnd.openxmlformats-officedocument.spreadsheetml.worksheet+xml" PartName="/xl/worksheets/sheet17329.xml"/>
  <Override ContentType="application/vnd.openxmlformats-officedocument.spreadsheetml.worksheet+xml" PartName="/xl/worksheets/sheet17330.xml"/>
  <Override ContentType="application/vnd.openxmlformats-officedocument.spreadsheetml.worksheet+xml" PartName="/xl/worksheets/sheet17331.xml"/>
  <Override ContentType="application/vnd.openxmlformats-officedocument.spreadsheetml.worksheet+xml" PartName="/xl/worksheets/sheet17332.xml"/>
  <Override ContentType="application/vnd.openxmlformats-officedocument.spreadsheetml.worksheet+xml" PartName="/xl/worksheets/sheet17333.xml"/>
  <Override ContentType="application/vnd.openxmlformats-officedocument.spreadsheetml.worksheet+xml" PartName="/xl/worksheets/sheet17334.xml"/>
  <Override ContentType="application/vnd.openxmlformats-officedocument.spreadsheetml.worksheet+xml" PartName="/xl/worksheets/sheet17335.xml"/>
  <Override ContentType="application/vnd.openxmlformats-officedocument.spreadsheetml.worksheet+xml" PartName="/xl/worksheets/sheet17336.xml"/>
  <Override ContentType="application/vnd.openxmlformats-officedocument.spreadsheetml.worksheet+xml" PartName="/xl/worksheets/sheet17337.xml"/>
  <Override ContentType="application/vnd.openxmlformats-officedocument.spreadsheetml.worksheet+xml" PartName="/xl/worksheets/sheet17338.xml"/>
  <Override ContentType="application/vnd.openxmlformats-officedocument.spreadsheetml.worksheet+xml" PartName="/xl/worksheets/sheet17339.xml"/>
  <Override ContentType="application/vnd.openxmlformats-officedocument.spreadsheetml.worksheet+xml" PartName="/xl/worksheets/sheet17340.xml"/>
  <Override ContentType="application/vnd.openxmlformats-officedocument.spreadsheetml.worksheet+xml" PartName="/xl/worksheets/sheet17341.xml"/>
  <Override ContentType="application/vnd.openxmlformats-officedocument.spreadsheetml.worksheet+xml" PartName="/xl/worksheets/sheet17342.xml"/>
  <Override ContentType="application/vnd.openxmlformats-officedocument.spreadsheetml.worksheet+xml" PartName="/xl/worksheets/sheet17343.xml"/>
  <Override ContentType="application/vnd.openxmlformats-officedocument.spreadsheetml.worksheet+xml" PartName="/xl/worksheets/sheet17344.xml"/>
  <Override ContentType="application/vnd.openxmlformats-officedocument.spreadsheetml.worksheet+xml" PartName="/xl/worksheets/sheet17345.xml"/>
  <Override ContentType="application/vnd.openxmlformats-officedocument.spreadsheetml.worksheet+xml" PartName="/xl/worksheets/sheet17346.xml"/>
  <Override ContentType="application/vnd.openxmlformats-officedocument.spreadsheetml.worksheet+xml" PartName="/xl/worksheets/sheet17347.xml"/>
  <Override ContentType="application/vnd.openxmlformats-officedocument.spreadsheetml.worksheet+xml" PartName="/xl/worksheets/sheet17348.xml"/>
  <Override ContentType="application/vnd.openxmlformats-officedocument.spreadsheetml.worksheet+xml" PartName="/xl/worksheets/sheet17349.xml"/>
  <Override ContentType="application/vnd.openxmlformats-officedocument.spreadsheetml.worksheet+xml" PartName="/xl/worksheets/sheet17350.xml"/>
  <Override ContentType="application/vnd.openxmlformats-officedocument.spreadsheetml.worksheet+xml" PartName="/xl/worksheets/sheet17351.xml"/>
  <Override ContentType="application/vnd.openxmlformats-officedocument.spreadsheetml.worksheet+xml" PartName="/xl/worksheets/sheet17352.xml"/>
  <Override ContentType="application/vnd.openxmlformats-officedocument.spreadsheetml.worksheet+xml" PartName="/xl/worksheets/sheet17353.xml"/>
  <Override ContentType="application/vnd.openxmlformats-officedocument.spreadsheetml.worksheet+xml" PartName="/xl/worksheets/sheet17354.xml"/>
  <Override ContentType="application/vnd.openxmlformats-officedocument.spreadsheetml.worksheet+xml" PartName="/xl/worksheets/sheet17355.xml"/>
  <Override ContentType="application/vnd.openxmlformats-officedocument.spreadsheetml.worksheet+xml" PartName="/xl/worksheets/sheet17356.xml"/>
  <Override ContentType="application/vnd.openxmlformats-officedocument.spreadsheetml.worksheet+xml" PartName="/xl/worksheets/sheet17357.xml"/>
  <Override ContentType="application/vnd.openxmlformats-officedocument.spreadsheetml.worksheet+xml" PartName="/xl/worksheets/sheet17358.xml"/>
  <Override ContentType="application/vnd.openxmlformats-officedocument.spreadsheetml.worksheet+xml" PartName="/xl/worksheets/sheet17359.xml"/>
  <Override ContentType="application/vnd.openxmlformats-officedocument.spreadsheetml.worksheet+xml" PartName="/xl/worksheets/sheet17360.xml"/>
  <Override ContentType="application/vnd.openxmlformats-officedocument.spreadsheetml.worksheet+xml" PartName="/xl/worksheets/sheet17361.xml"/>
  <Override ContentType="application/vnd.openxmlformats-officedocument.spreadsheetml.worksheet+xml" PartName="/xl/worksheets/sheet17362.xml"/>
  <Override ContentType="application/vnd.openxmlformats-officedocument.spreadsheetml.worksheet+xml" PartName="/xl/worksheets/sheet17363.xml"/>
  <Override ContentType="application/vnd.openxmlformats-officedocument.spreadsheetml.worksheet+xml" PartName="/xl/worksheets/sheet17364.xml"/>
  <Override ContentType="application/vnd.openxmlformats-officedocument.spreadsheetml.worksheet+xml" PartName="/xl/worksheets/sheet17365.xml"/>
  <Override ContentType="application/vnd.openxmlformats-officedocument.spreadsheetml.worksheet+xml" PartName="/xl/worksheets/sheet17366.xml"/>
  <Override ContentType="application/vnd.openxmlformats-officedocument.spreadsheetml.worksheet+xml" PartName="/xl/worksheets/sheet17367.xml"/>
  <Override ContentType="application/vnd.openxmlformats-officedocument.spreadsheetml.worksheet+xml" PartName="/xl/worksheets/sheet17368.xml"/>
  <Override ContentType="application/vnd.openxmlformats-officedocument.spreadsheetml.worksheet+xml" PartName="/xl/worksheets/sheet17369.xml"/>
  <Override ContentType="application/vnd.openxmlformats-officedocument.spreadsheetml.worksheet+xml" PartName="/xl/worksheets/sheet17370.xml"/>
  <Override ContentType="application/vnd.openxmlformats-officedocument.spreadsheetml.worksheet+xml" PartName="/xl/worksheets/sheet17371.xml"/>
  <Override ContentType="application/vnd.openxmlformats-officedocument.spreadsheetml.worksheet+xml" PartName="/xl/worksheets/sheet17372.xml"/>
  <Override ContentType="application/vnd.openxmlformats-officedocument.spreadsheetml.worksheet+xml" PartName="/xl/worksheets/sheet17373.xml"/>
  <Override ContentType="application/vnd.openxmlformats-officedocument.spreadsheetml.worksheet+xml" PartName="/xl/worksheets/sheet17374.xml"/>
  <Override ContentType="application/vnd.openxmlformats-officedocument.spreadsheetml.worksheet+xml" PartName="/xl/worksheets/sheet17375.xml"/>
  <Override ContentType="application/vnd.openxmlformats-officedocument.spreadsheetml.worksheet+xml" PartName="/xl/worksheets/sheet17376.xml"/>
  <Override ContentType="application/vnd.openxmlformats-officedocument.spreadsheetml.worksheet+xml" PartName="/xl/worksheets/sheet17377.xml"/>
  <Override ContentType="application/vnd.openxmlformats-officedocument.spreadsheetml.worksheet+xml" PartName="/xl/worksheets/sheet17378.xml"/>
  <Override ContentType="application/vnd.openxmlformats-officedocument.spreadsheetml.worksheet+xml" PartName="/xl/worksheets/sheet17379.xml"/>
  <Override ContentType="application/vnd.openxmlformats-officedocument.spreadsheetml.worksheet+xml" PartName="/xl/worksheets/sheet17380.xml"/>
  <Override ContentType="application/vnd.openxmlformats-officedocument.spreadsheetml.worksheet+xml" PartName="/xl/worksheets/sheet17381.xml"/>
  <Override ContentType="application/vnd.openxmlformats-officedocument.spreadsheetml.worksheet+xml" PartName="/xl/worksheets/sheet17382.xml"/>
  <Override ContentType="application/vnd.openxmlformats-officedocument.spreadsheetml.worksheet+xml" PartName="/xl/worksheets/sheet17383.xml"/>
  <Override ContentType="application/vnd.openxmlformats-officedocument.spreadsheetml.worksheet+xml" PartName="/xl/worksheets/sheet17384.xml"/>
  <Override ContentType="application/vnd.openxmlformats-officedocument.spreadsheetml.worksheet+xml" PartName="/xl/worksheets/sheet17385.xml"/>
  <Override ContentType="application/vnd.openxmlformats-officedocument.spreadsheetml.worksheet+xml" PartName="/xl/worksheets/sheet17386.xml"/>
  <Override ContentType="application/vnd.openxmlformats-officedocument.spreadsheetml.worksheet+xml" PartName="/xl/worksheets/sheet17387.xml"/>
  <Override ContentType="application/vnd.openxmlformats-officedocument.spreadsheetml.worksheet+xml" PartName="/xl/worksheets/sheet17388.xml"/>
  <Override ContentType="application/vnd.openxmlformats-officedocument.spreadsheetml.worksheet+xml" PartName="/xl/worksheets/sheet17389.xml"/>
  <Override ContentType="application/vnd.openxmlformats-officedocument.spreadsheetml.worksheet+xml" PartName="/xl/worksheets/sheet17390.xml"/>
  <Override ContentType="application/vnd.openxmlformats-officedocument.spreadsheetml.worksheet+xml" PartName="/xl/worksheets/sheet17391.xml"/>
  <Override ContentType="application/vnd.openxmlformats-officedocument.spreadsheetml.worksheet+xml" PartName="/xl/worksheets/sheet17392.xml"/>
  <Override ContentType="application/vnd.openxmlformats-officedocument.spreadsheetml.worksheet+xml" PartName="/xl/worksheets/sheet17393.xml"/>
  <Override ContentType="application/vnd.openxmlformats-officedocument.spreadsheetml.worksheet+xml" PartName="/xl/worksheets/sheet17394.xml"/>
  <Override ContentType="application/vnd.openxmlformats-officedocument.spreadsheetml.worksheet+xml" PartName="/xl/worksheets/sheet17395.xml"/>
  <Override ContentType="application/vnd.openxmlformats-officedocument.spreadsheetml.worksheet+xml" PartName="/xl/worksheets/sheet17396.xml"/>
  <Override ContentType="application/vnd.openxmlformats-officedocument.spreadsheetml.worksheet+xml" PartName="/xl/worksheets/sheet17397.xml"/>
  <Override ContentType="application/vnd.openxmlformats-officedocument.spreadsheetml.worksheet+xml" PartName="/xl/worksheets/sheet17398.xml"/>
  <Override ContentType="application/vnd.openxmlformats-officedocument.spreadsheetml.worksheet+xml" PartName="/xl/worksheets/sheet17399.xml"/>
  <Override ContentType="application/vnd.openxmlformats-officedocument.spreadsheetml.worksheet+xml" PartName="/xl/worksheets/sheet17400.xml"/>
  <Override ContentType="application/vnd.openxmlformats-officedocument.spreadsheetml.worksheet+xml" PartName="/xl/worksheets/sheet17401.xml"/>
  <Override ContentType="application/vnd.openxmlformats-officedocument.spreadsheetml.worksheet+xml" PartName="/xl/worksheets/sheet17402.xml"/>
  <Override ContentType="application/vnd.openxmlformats-officedocument.spreadsheetml.worksheet+xml" PartName="/xl/worksheets/sheet17403.xml"/>
  <Override ContentType="application/vnd.openxmlformats-officedocument.spreadsheetml.worksheet+xml" PartName="/xl/worksheets/sheet17404.xml"/>
  <Override ContentType="application/vnd.openxmlformats-officedocument.spreadsheetml.worksheet+xml" PartName="/xl/worksheets/sheet17405.xml"/>
  <Override ContentType="application/vnd.openxmlformats-officedocument.spreadsheetml.worksheet+xml" PartName="/xl/worksheets/sheet17406.xml"/>
  <Override ContentType="application/vnd.openxmlformats-officedocument.spreadsheetml.worksheet+xml" PartName="/xl/worksheets/sheet17407.xml"/>
  <Override ContentType="application/vnd.openxmlformats-officedocument.spreadsheetml.worksheet+xml" PartName="/xl/worksheets/sheet17408.xml"/>
  <Override ContentType="application/vnd.openxmlformats-officedocument.spreadsheetml.worksheet+xml" PartName="/xl/worksheets/sheet17409.xml"/>
  <Override ContentType="application/vnd.openxmlformats-officedocument.spreadsheetml.worksheet+xml" PartName="/xl/worksheets/sheet17410.xml"/>
  <Override ContentType="application/vnd.openxmlformats-officedocument.spreadsheetml.worksheet+xml" PartName="/xl/worksheets/sheet17411.xml"/>
  <Override ContentType="application/vnd.openxmlformats-officedocument.spreadsheetml.worksheet+xml" PartName="/xl/worksheets/sheet17412.xml"/>
  <Override ContentType="application/vnd.openxmlformats-officedocument.spreadsheetml.worksheet+xml" PartName="/xl/worksheets/sheet17413.xml"/>
  <Override ContentType="application/vnd.openxmlformats-officedocument.spreadsheetml.worksheet+xml" PartName="/xl/worksheets/sheet17414.xml"/>
  <Override ContentType="application/vnd.openxmlformats-officedocument.spreadsheetml.worksheet+xml" PartName="/xl/worksheets/sheet17415.xml"/>
  <Override ContentType="application/vnd.openxmlformats-officedocument.spreadsheetml.worksheet+xml" PartName="/xl/worksheets/sheet17416.xml"/>
  <Override ContentType="application/vnd.openxmlformats-officedocument.spreadsheetml.worksheet+xml" PartName="/xl/worksheets/sheet17417.xml"/>
  <Override ContentType="application/vnd.openxmlformats-officedocument.spreadsheetml.worksheet+xml" PartName="/xl/worksheets/sheet17418.xml"/>
  <Override ContentType="application/vnd.openxmlformats-officedocument.spreadsheetml.worksheet+xml" PartName="/xl/worksheets/sheet17419.xml"/>
  <Override ContentType="application/vnd.openxmlformats-officedocument.spreadsheetml.worksheet+xml" PartName="/xl/worksheets/sheet17420.xml"/>
  <Override ContentType="application/vnd.openxmlformats-officedocument.spreadsheetml.worksheet+xml" PartName="/xl/worksheets/sheet17421.xml"/>
  <Override ContentType="application/vnd.openxmlformats-officedocument.spreadsheetml.worksheet+xml" PartName="/xl/worksheets/sheet17422.xml"/>
  <Override ContentType="application/vnd.openxmlformats-officedocument.spreadsheetml.worksheet+xml" PartName="/xl/worksheets/sheet17423.xml"/>
  <Override ContentType="application/vnd.openxmlformats-officedocument.spreadsheetml.worksheet+xml" PartName="/xl/worksheets/sheet17424.xml"/>
  <Override ContentType="application/vnd.openxmlformats-officedocument.spreadsheetml.worksheet+xml" PartName="/xl/worksheets/sheet17425.xml"/>
  <Override ContentType="application/vnd.openxmlformats-officedocument.spreadsheetml.worksheet+xml" PartName="/xl/worksheets/sheet17426.xml"/>
  <Override ContentType="application/vnd.openxmlformats-officedocument.spreadsheetml.worksheet+xml" PartName="/xl/worksheets/sheet17427.xml"/>
  <Override ContentType="application/vnd.openxmlformats-officedocument.spreadsheetml.worksheet+xml" PartName="/xl/worksheets/sheet17428.xml"/>
  <Override ContentType="application/vnd.openxmlformats-officedocument.spreadsheetml.worksheet+xml" PartName="/xl/worksheets/sheet17429.xml"/>
  <Override ContentType="application/vnd.openxmlformats-officedocument.spreadsheetml.worksheet+xml" PartName="/xl/worksheets/sheet17430.xml"/>
  <Override ContentType="application/vnd.openxmlformats-officedocument.spreadsheetml.worksheet+xml" PartName="/xl/worksheets/sheet17431.xml"/>
  <Override ContentType="application/vnd.openxmlformats-officedocument.spreadsheetml.worksheet+xml" PartName="/xl/worksheets/sheet17432.xml"/>
  <Override ContentType="application/vnd.openxmlformats-officedocument.spreadsheetml.worksheet+xml" PartName="/xl/worksheets/sheet17433.xml"/>
  <Override ContentType="application/vnd.openxmlformats-officedocument.spreadsheetml.worksheet+xml" PartName="/xl/worksheets/sheet17434.xml"/>
  <Override ContentType="application/vnd.openxmlformats-officedocument.spreadsheetml.worksheet+xml" PartName="/xl/worksheets/sheet17435.xml"/>
  <Override ContentType="application/vnd.openxmlformats-officedocument.spreadsheetml.worksheet+xml" PartName="/xl/worksheets/sheet17436.xml"/>
  <Override ContentType="application/vnd.openxmlformats-officedocument.spreadsheetml.worksheet+xml" PartName="/xl/worksheets/sheet17437.xml"/>
  <Override ContentType="application/vnd.openxmlformats-officedocument.spreadsheetml.worksheet+xml" PartName="/xl/worksheets/sheet17438.xml"/>
  <Override ContentType="application/vnd.openxmlformats-officedocument.spreadsheetml.worksheet+xml" PartName="/xl/worksheets/sheet17439.xml"/>
  <Override ContentType="application/vnd.openxmlformats-officedocument.spreadsheetml.worksheet+xml" PartName="/xl/worksheets/sheet17440.xml"/>
  <Override ContentType="application/vnd.openxmlformats-officedocument.spreadsheetml.worksheet+xml" PartName="/xl/worksheets/sheet17441.xml"/>
  <Override ContentType="application/vnd.openxmlformats-officedocument.spreadsheetml.worksheet+xml" PartName="/xl/worksheets/sheet17442.xml"/>
  <Override ContentType="application/vnd.openxmlformats-officedocument.spreadsheetml.worksheet+xml" PartName="/xl/worksheets/sheet17443.xml"/>
  <Override ContentType="application/vnd.openxmlformats-officedocument.spreadsheetml.worksheet+xml" PartName="/xl/worksheets/sheet17444.xml"/>
  <Override ContentType="application/vnd.openxmlformats-officedocument.spreadsheetml.worksheet+xml" PartName="/xl/worksheets/sheet17445.xml"/>
  <Override ContentType="application/vnd.openxmlformats-officedocument.spreadsheetml.worksheet+xml" PartName="/xl/worksheets/sheet17446.xml"/>
  <Override ContentType="application/vnd.openxmlformats-officedocument.spreadsheetml.worksheet+xml" PartName="/xl/worksheets/sheet17447.xml"/>
  <Override ContentType="application/vnd.openxmlformats-officedocument.spreadsheetml.worksheet+xml" PartName="/xl/worksheets/sheet17448.xml"/>
  <Override ContentType="application/vnd.openxmlformats-officedocument.spreadsheetml.worksheet+xml" PartName="/xl/worksheets/sheet17449.xml"/>
  <Override ContentType="application/vnd.openxmlformats-officedocument.spreadsheetml.worksheet+xml" PartName="/xl/worksheets/sheet17450.xml"/>
  <Override ContentType="application/vnd.openxmlformats-officedocument.spreadsheetml.worksheet+xml" PartName="/xl/worksheets/sheet17451.xml"/>
  <Override ContentType="application/vnd.openxmlformats-officedocument.spreadsheetml.worksheet+xml" PartName="/xl/worksheets/sheet17452.xml"/>
  <Override ContentType="application/vnd.openxmlformats-officedocument.spreadsheetml.worksheet+xml" PartName="/xl/worksheets/sheet17453.xml"/>
  <Override ContentType="application/vnd.openxmlformats-officedocument.spreadsheetml.worksheet+xml" PartName="/xl/worksheets/sheet17454.xml"/>
  <Override ContentType="application/vnd.openxmlformats-officedocument.spreadsheetml.worksheet+xml" PartName="/xl/worksheets/sheet17455.xml"/>
  <Override ContentType="application/vnd.openxmlformats-officedocument.spreadsheetml.worksheet+xml" PartName="/xl/worksheets/sheet17456.xml"/>
  <Override ContentType="application/vnd.openxmlformats-officedocument.spreadsheetml.worksheet+xml" PartName="/xl/worksheets/sheet17457.xml"/>
  <Override ContentType="application/vnd.openxmlformats-officedocument.spreadsheetml.worksheet+xml" PartName="/xl/worksheets/sheet17458.xml"/>
  <Override ContentType="application/vnd.openxmlformats-officedocument.spreadsheetml.worksheet+xml" PartName="/xl/worksheets/sheet17459.xml"/>
  <Override ContentType="application/vnd.openxmlformats-officedocument.spreadsheetml.worksheet+xml" PartName="/xl/worksheets/sheet17460.xml"/>
  <Override ContentType="application/vnd.openxmlformats-officedocument.spreadsheetml.worksheet+xml" PartName="/xl/worksheets/sheet17461.xml"/>
  <Override ContentType="application/vnd.openxmlformats-officedocument.spreadsheetml.worksheet+xml" PartName="/xl/worksheets/sheet17462.xml"/>
  <Override ContentType="application/vnd.openxmlformats-officedocument.spreadsheetml.worksheet+xml" PartName="/xl/worksheets/sheet17463.xml"/>
  <Override ContentType="application/vnd.openxmlformats-officedocument.spreadsheetml.worksheet+xml" PartName="/xl/worksheets/sheet17464.xml"/>
  <Override ContentType="application/vnd.openxmlformats-officedocument.spreadsheetml.worksheet+xml" PartName="/xl/worksheets/sheet17465.xml"/>
  <Override ContentType="application/vnd.openxmlformats-officedocument.spreadsheetml.worksheet+xml" PartName="/xl/worksheets/sheet17466.xml"/>
  <Override ContentType="application/vnd.openxmlformats-officedocument.spreadsheetml.worksheet+xml" PartName="/xl/worksheets/sheet17467.xml"/>
  <Override ContentType="application/vnd.openxmlformats-officedocument.spreadsheetml.worksheet+xml" PartName="/xl/worksheets/sheet17468.xml"/>
  <Override ContentType="application/vnd.openxmlformats-officedocument.spreadsheetml.worksheet+xml" PartName="/xl/worksheets/sheet17469.xml"/>
  <Override ContentType="application/vnd.openxmlformats-officedocument.spreadsheetml.worksheet+xml" PartName="/xl/worksheets/sheet17470.xml"/>
  <Override ContentType="application/vnd.openxmlformats-officedocument.spreadsheetml.worksheet+xml" PartName="/xl/worksheets/sheet17471.xml"/>
  <Override ContentType="application/vnd.openxmlformats-officedocument.spreadsheetml.worksheet+xml" PartName="/xl/worksheets/sheet17472.xml"/>
  <Override ContentType="application/vnd.openxmlformats-officedocument.spreadsheetml.worksheet+xml" PartName="/xl/worksheets/sheet17473.xml"/>
  <Override ContentType="application/vnd.openxmlformats-officedocument.spreadsheetml.worksheet+xml" PartName="/xl/worksheets/sheet17474.xml"/>
  <Override ContentType="application/vnd.openxmlformats-officedocument.spreadsheetml.worksheet+xml" PartName="/xl/worksheets/sheet17475.xml"/>
  <Override ContentType="application/vnd.openxmlformats-officedocument.spreadsheetml.worksheet+xml" PartName="/xl/worksheets/sheet17476.xml"/>
  <Override ContentType="application/vnd.openxmlformats-officedocument.spreadsheetml.worksheet+xml" PartName="/xl/worksheets/sheet17477.xml"/>
  <Override ContentType="application/vnd.openxmlformats-officedocument.spreadsheetml.worksheet+xml" PartName="/xl/worksheets/sheet17478.xml"/>
  <Override ContentType="application/vnd.openxmlformats-officedocument.spreadsheetml.worksheet+xml" PartName="/xl/worksheets/sheet17479.xml"/>
  <Override ContentType="application/vnd.openxmlformats-officedocument.spreadsheetml.worksheet+xml" PartName="/xl/worksheets/sheet17480.xml"/>
  <Override ContentType="application/vnd.openxmlformats-officedocument.spreadsheetml.worksheet+xml" PartName="/xl/worksheets/sheet17481.xml"/>
  <Override ContentType="application/vnd.openxmlformats-officedocument.spreadsheetml.worksheet+xml" PartName="/xl/worksheets/sheet17482.xml"/>
  <Override ContentType="application/vnd.openxmlformats-officedocument.spreadsheetml.worksheet+xml" PartName="/xl/worksheets/sheet17483.xml"/>
  <Override ContentType="application/vnd.openxmlformats-officedocument.spreadsheetml.worksheet+xml" PartName="/xl/worksheets/sheet17484.xml"/>
  <Override ContentType="application/vnd.openxmlformats-officedocument.spreadsheetml.worksheet+xml" PartName="/xl/worksheets/sheet17485.xml"/>
  <Override ContentType="application/vnd.openxmlformats-officedocument.spreadsheetml.worksheet+xml" PartName="/xl/worksheets/sheet17486.xml"/>
  <Override ContentType="application/vnd.openxmlformats-officedocument.spreadsheetml.worksheet+xml" PartName="/xl/worksheets/sheet17487.xml"/>
  <Override ContentType="application/vnd.openxmlformats-officedocument.spreadsheetml.worksheet+xml" PartName="/xl/worksheets/sheet17488.xml"/>
  <Override ContentType="application/vnd.openxmlformats-officedocument.spreadsheetml.worksheet+xml" PartName="/xl/worksheets/sheet17489.xml"/>
  <Override ContentType="application/vnd.openxmlformats-officedocument.spreadsheetml.worksheet+xml" PartName="/xl/worksheets/sheet17490.xml"/>
  <Override ContentType="application/vnd.openxmlformats-officedocument.spreadsheetml.worksheet+xml" PartName="/xl/worksheets/sheet17491.xml"/>
  <Override ContentType="application/vnd.openxmlformats-officedocument.spreadsheetml.worksheet+xml" PartName="/xl/worksheets/sheet17492.xml"/>
  <Override ContentType="application/vnd.openxmlformats-officedocument.spreadsheetml.worksheet+xml" PartName="/xl/worksheets/sheet17493.xml"/>
  <Override ContentType="application/vnd.openxmlformats-officedocument.spreadsheetml.worksheet+xml" PartName="/xl/worksheets/sheet17494.xml"/>
  <Override ContentType="application/vnd.openxmlformats-officedocument.spreadsheetml.worksheet+xml" PartName="/xl/worksheets/sheet17495.xml"/>
  <Override ContentType="application/vnd.openxmlformats-officedocument.spreadsheetml.worksheet+xml" PartName="/xl/worksheets/sheet17496.xml"/>
  <Override ContentType="application/vnd.openxmlformats-officedocument.spreadsheetml.worksheet+xml" PartName="/xl/worksheets/sheet17497.xml"/>
  <Override ContentType="application/vnd.openxmlformats-officedocument.spreadsheetml.worksheet+xml" PartName="/xl/worksheets/sheet17498.xml"/>
  <Override ContentType="application/vnd.openxmlformats-officedocument.spreadsheetml.worksheet+xml" PartName="/xl/worksheets/sheet17499.xml"/>
  <Override ContentType="application/vnd.openxmlformats-officedocument.spreadsheetml.worksheet+xml" PartName="/xl/worksheets/sheet17500.xml"/>
  <Override ContentType="application/vnd.openxmlformats-officedocument.spreadsheetml.worksheet+xml" PartName="/xl/worksheets/sheet17501.xml"/>
  <Override ContentType="application/vnd.openxmlformats-officedocument.spreadsheetml.worksheet+xml" PartName="/xl/worksheets/sheet17502.xml"/>
  <Override ContentType="application/vnd.openxmlformats-officedocument.spreadsheetml.worksheet+xml" PartName="/xl/worksheets/sheet17503.xml"/>
  <Override ContentType="application/vnd.openxmlformats-officedocument.spreadsheetml.worksheet+xml" PartName="/xl/worksheets/sheet17504.xml"/>
  <Override ContentType="application/vnd.openxmlformats-officedocument.spreadsheetml.worksheet+xml" PartName="/xl/worksheets/sheet17505.xml"/>
  <Override ContentType="application/vnd.openxmlformats-officedocument.spreadsheetml.worksheet+xml" PartName="/xl/worksheets/sheet17506.xml"/>
  <Override ContentType="application/vnd.openxmlformats-officedocument.spreadsheetml.worksheet+xml" PartName="/xl/worksheets/sheet17507.xml"/>
  <Override ContentType="application/vnd.openxmlformats-officedocument.spreadsheetml.worksheet+xml" PartName="/xl/worksheets/sheet17508.xml"/>
  <Override ContentType="application/vnd.openxmlformats-officedocument.spreadsheetml.worksheet+xml" PartName="/xl/worksheets/sheet17509.xml"/>
  <Override ContentType="application/vnd.openxmlformats-officedocument.spreadsheetml.worksheet+xml" PartName="/xl/worksheets/sheet17510.xml"/>
  <Override ContentType="application/vnd.openxmlformats-officedocument.spreadsheetml.worksheet+xml" PartName="/xl/worksheets/sheet17511.xml"/>
  <Override ContentType="application/vnd.openxmlformats-officedocument.spreadsheetml.worksheet+xml" PartName="/xl/worksheets/sheet17512.xml"/>
  <Override ContentType="application/vnd.openxmlformats-officedocument.spreadsheetml.worksheet+xml" PartName="/xl/worksheets/sheet17513.xml"/>
  <Override ContentType="application/vnd.openxmlformats-officedocument.spreadsheetml.worksheet+xml" PartName="/xl/worksheets/sheet17514.xml"/>
  <Override ContentType="application/vnd.openxmlformats-officedocument.spreadsheetml.worksheet+xml" PartName="/xl/worksheets/sheet17515.xml"/>
  <Override ContentType="application/vnd.openxmlformats-officedocument.spreadsheetml.worksheet+xml" PartName="/xl/worksheets/sheet17516.xml"/>
  <Override ContentType="application/vnd.openxmlformats-officedocument.spreadsheetml.worksheet+xml" PartName="/xl/worksheets/sheet17517.xml"/>
  <Override ContentType="application/vnd.openxmlformats-officedocument.spreadsheetml.worksheet+xml" PartName="/xl/worksheets/sheet17518.xml"/>
  <Override ContentType="application/vnd.openxmlformats-officedocument.spreadsheetml.worksheet+xml" PartName="/xl/worksheets/sheet17519.xml"/>
  <Override ContentType="application/vnd.openxmlformats-officedocument.spreadsheetml.worksheet+xml" PartName="/xl/worksheets/sheet17520.xml"/>
  <Override ContentType="application/vnd.openxmlformats-officedocument.spreadsheetml.worksheet+xml" PartName="/xl/worksheets/sheet17521.xml"/>
  <Override ContentType="application/vnd.openxmlformats-officedocument.spreadsheetml.worksheet+xml" PartName="/xl/worksheets/sheet17522.xml"/>
  <Override ContentType="application/vnd.openxmlformats-officedocument.spreadsheetml.worksheet+xml" PartName="/xl/worksheets/sheet17523.xml"/>
  <Override ContentType="application/vnd.openxmlformats-officedocument.spreadsheetml.worksheet+xml" PartName="/xl/worksheets/sheet17524.xml"/>
  <Override ContentType="application/vnd.openxmlformats-officedocument.spreadsheetml.worksheet+xml" PartName="/xl/worksheets/sheet17525.xml"/>
  <Override ContentType="application/vnd.openxmlformats-officedocument.spreadsheetml.worksheet+xml" PartName="/xl/worksheets/sheet17526.xml"/>
  <Override ContentType="application/vnd.openxmlformats-officedocument.spreadsheetml.worksheet+xml" PartName="/xl/worksheets/sheet17527.xml"/>
  <Override ContentType="application/vnd.openxmlformats-officedocument.spreadsheetml.worksheet+xml" PartName="/xl/worksheets/sheet17528.xml"/>
  <Override ContentType="application/vnd.openxmlformats-officedocument.spreadsheetml.worksheet+xml" PartName="/xl/worksheets/sheet17529.xml"/>
  <Override ContentType="application/vnd.openxmlformats-officedocument.spreadsheetml.worksheet+xml" PartName="/xl/worksheets/sheet17530.xml"/>
  <Override ContentType="application/vnd.openxmlformats-officedocument.spreadsheetml.worksheet+xml" PartName="/xl/worksheets/sheet17531.xml"/>
  <Override ContentType="application/vnd.openxmlformats-officedocument.spreadsheetml.worksheet+xml" PartName="/xl/worksheets/sheet17532.xml"/>
  <Override ContentType="application/vnd.openxmlformats-officedocument.spreadsheetml.worksheet+xml" PartName="/xl/worksheets/sheet17533.xml"/>
  <Override ContentType="application/vnd.openxmlformats-officedocument.spreadsheetml.worksheet+xml" PartName="/xl/worksheets/sheet17534.xml"/>
  <Override ContentType="application/vnd.openxmlformats-officedocument.spreadsheetml.worksheet+xml" PartName="/xl/worksheets/sheet17535.xml"/>
  <Override ContentType="application/vnd.openxmlformats-officedocument.spreadsheetml.worksheet+xml" PartName="/xl/worksheets/sheet17536.xml"/>
  <Override ContentType="application/vnd.openxmlformats-officedocument.spreadsheetml.worksheet+xml" PartName="/xl/worksheets/sheet17537.xml"/>
  <Override ContentType="application/vnd.openxmlformats-officedocument.spreadsheetml.worksheet+xml" PartName="/xl/worksheets/sheet17538.xml"/>
  <Override ContentType="application/vnd.openxmlformats-officedocument.spreadsheetml.worksheet+xml" PartName="/xl/worksheets/sheet17539.xml"/>
  <Override ContentType="application/vnd.openxmlformats-officedocument.spreadsheetml.worksheet+xml" PartName="/xl/worksheets/sheet17540.xml"/>
  <Override ContentType="application/vnd.openxmlformats-officedocument.spreadsheetml.worksheet+xml" PartName="/xl/worksheets/sheet17541.xml"/>
  <Override ContentType="application/vnd.openxmlformats-officedocument.spreadsheetml.worksheet+xml" PartName="/xl/worksheets/sheet17542.xml"/>
  <Override ContentType="application/vnd.openxmlformats-officedocument.spreadsheetml.worksheet+xml" PartName="/xl/worksheets/sheet17543.xml"/>
  <Override ContentType="application/vnd.openxmlformats-officedocument.spreadsheetml.worksheet+xml" PartName="/xl/worksheets/sheet17544.xml"/>
  <Override ContentType="application/vnd.openxmlformats-officedocument.spreadsheetml.worksheet+xml" PartName="/xl/worksheets/sheet17545.xml"/>
  <Override ContentType="application/vnd.openxmlformats-officedocument.spreadsheetml.worksheet+xml" PartName="/xl/worksheets/sheet17546.xml"/>
  <Override ContentType="application/vnd.openxmlformats-officedocument.spreadsheetml.worksheet+xml" PartName="/xl/worksheets/sheet17547.xml"/>
  <Override ContentType="application/vnd.openxmlformats-officedocument.spreadsheetml.worksheet+xml" PartName="/xl/worksheets/sheet17548.xml"/>
  <Override ContentType="application/vnd.openxmlformats-officedocument.spreadsheetml.worksheet+xml" PartName="/xl/worksheets/sheet17549.xml"/>
  <Override ContentType="application/vnd.openxmlformats-officedocument.spreadsheetml.worksheet+xml" PartName="/xl/worksheets/sheet17550.xml"/>
  <Override ContentType="application/vnd.openxmlformats-officedocument.spreadsheetml.worksheet+xml" PartName="/xl/worksheets/sheet17551.xml"/>
  <Override ContentType="application/vnd.openxmlformats-officedocument.spreadsheetml.worksheet+xml" PartName="/xl/worksheets/sheet17552.xml"/>
  <Override ContentType="application/vnd.openxmlformats-officedocument.spreadsheetml.worksheet+xml" PartName="/xl/worksheets/sheet17553.xml"/>
  <Override ContentType="application/vnd.openxmlformats-officedocument.spreadsheetml.worksheet+xml" PartName="/xl/worksheets/sheet17554.xml"/>
  <Override ContentType="application/vnd.openxmlformats-officedocument.spreadsheetml.worksheet+xml" PartName="/xl/worksheets/sheet17555.xml"/>
  <Override ContentType="application/vnd.openxmlformats-officedocument.spreadsheetml.worksheet+xml" PartName="/xl/worksheets/sheet17556.xml"/>
  <Override ContentType="application/vnd.openxmlformats-officedocument.spreadsheetml.worksheet+xml" PartName="/xl/worksheets/sheet17557.xml"/>
  <Override ContentType="application/vnd.openxmlformats-officedocument.spreadsheetml.worksheet+xml" PartName="/xl/worksheets/sheet17558.xml"/>
  <Override ContentType="application/vnd.openxmlformats-officedocument.spreadsheetml.worksheet+xml" PartName="/xl/worksheets/sheet17559.xml"/>
  <Override ContentType="application/vnd.openxmlformats-officedocument.spreadsheetml.worksheet+xml" PartName="/xl/worksheets/sheet17560.xml"/>
  <Override ContentType="application/vnd.openxmlformats-officedocument.spreadsheetml.worksheet+xml" PartName="/xl/worksheets/sheet17561.xml"/>
  <Override ContentType="application/vnd.openxmlformats-officedocument.spreadsheetml.worksheet+xml" PartName="/xl/worksheets/sheet17562.xml"/>
  <Override ContentType="application/vnd.openxmlformats-officedocument.spreadsheetml.worksheet+xml" PartName="/xl/worksheets/sheet17563.xml"/>
  <Override ContentType="application/vnd.openxmlformats-officedocument.spreadsheetml.worksheet+xml" PartName="/xl/worksheets/sheet17564.xml"/>
  <Override ContentType="application/vnd.openxmlformats-officedocument.spreadsheetml.worksheet+xml" PartName="/xl/worksheets/sheet17565.xml"/>
  <Override ContentType="application/vnd.openxmlformats-officedocument.spreadsheetml.worksheet+xml" PartName="/xl/worksheets/sheet17566.xml"/>
  <Override ContentType="application/vnd.openxmlformats-officedocument.spreadsheetml.worksheet+xml" PartName="/xl/worksheets/sheet17567.xml"/>
  <Override ContentType="application/vnd.openxmlformats-officedocument.spreadsheetml.worksheet+xml" PartName="/xl/worksheets/sheet17568.xml"/>
  <Override ContentType="application/vnd.openxmlformats-officedocument.spreadsheetml.worksheet+xml" PartName="/xl/worksheets/sheet17569.xml"/>
  <Override ContentType="application/vnd.openxmlformats-officedocument.spreadsheetml.worksheet+xml" PartName="/xl/worksheets/sheet17570.xml"/>
  <Override ContentType="application/vnd.openxmlformats-officedocument.spreadsheetml.worksheet+xml" PartName="/xl/worksheets/sheet17571.xml"/>
  <Override ContentType="application/vnd.openxmlformats-officedocument.spreadsheetml.worksheet+xml" PartName="/xl/worksheets/sheet17572.xml"/>
  <Override ContentType="application/vnd.openxmlformats-officedocument.spreadsheetml.worksheet+xml" PartName="/xl/worksheets/sheet17573.xml"/>
  <Override ContentType="application/vnd.openxmlformats-officedocument.spreadsheetml.worksheet+xml" PartName="/xl/worksheets/sheet17574.xml"/>
  <Override ContentType="application/vnd.openxmlformats-officedocument.spreadsheetml.worksheet+xml" PartName="/xl/worksheets/sheet17575.xml"/>
  <Override ContentType="application/vnd.openxmlformats-officedocument.spreadsheetml.worksheet+xml" PartName="/xl/worksheets/sheet17576.xml"/>
  <Override ContentType="application/vnd.openxmlformats-officedocument.spreadsheetml.worksheet+xml" PartName="/xl/worksheets/sheet17577.xml"/>
  <Override ContentType="application/vnd.openxmlformats-officedocument.spreadsheetml.worksheet+xml" PartName="/xl/worksheets/sheet17578.xml"/>
  <Override ContentType="application/vnd.openxmlformats-officedocument.spreadsheetml.worksheet+xml" PartName="/xl/worksheets/sheet17579.xml"/>
  <Override ContentType="application/vnd.openxmlformats-officedocument.spreadsheetml.worksheet+xml" PartName="/xl/worksheets/sheet17580.xml"/>
  <Override ContentType="application/vnd.openxmlformats-officedocument.spreadsheetml.worksheet+xml" PartName="/xl/worksheets/sheet17581.xml"/>
  <Override ContentType="application/vnd.openxmlformats-officedocument.spreadsheetml.worksheet+xml" PartName="/xl/worksheets/sheet17582.xml"/>
  <Override ContentType="application/vnd.openxmlformats-officedocument.spreadsheetml.worksheet+xml" PartName="/xl/worksheets/sheet17583.xml"/>
  <Override ContentType="application/vnd.openxmlformats-officedocument.spreadsheetml.worksheet+xml" PartName="/xl/worksheets/sheet17584.xml"/>
  <Override ContentType="application/vnd.openxmlformats-officedocument.spreadsheetml.worksheet+xml" PartName="/xl/worksheets/sheet17585.xml"/>
  <Override ContentType="application/vnd.openxmlformats-officedocument.spreadsheetml.worksheet+xml" PartName="/xl/worksheets/sheet17586.xml"/>
  <Override ContentType="application/vnd.openxmlformats-officedocument.spreadsheetml.worksheet+xml" PartName="/xl/worksheets/sheet17587.xml"/>
  <Override ContentType="application/vnd.openxmlformats-officedocument.spreadsheetml.worksheet+xml" PartName="/xl/worksheets/sheet17588.xml"/>
  <Override ContentType="application/vnd.openxmlformats-officedocument.spreadsheetml.worksheet+xml" PartName="/xl/worksheets/sheet17589.xml"/>
  <Override ContentType="application/vnd.openxmlformats-officedocument.spreadsheetml.worksheet+xml" PartName="/xl/worksheets/sheet17590.xml"/>
  <Override ContentType="application/vnd.openxmlformats-officedocument.spreadsheetml.worksheet+xml" PartName="/xl/worksheets/sheet17591.xml"/>
  <Override ContentType="application/vnd.openxmlformats-officedocument.spreadsheetml.worksheet+xml" PartName="/xl/worksheets/sheet17592.xml"/>
  <Override ContentType="application/vnd.openxmlformats-officedocument.spreadsheetml.worksheet+xml" PartName="/xl/worksheets/sheet17593.xml"/>
  <Override ContentType="application/vnd.openxmlformats-officedocument.spreadsheetml.worksheet+xml" PartName="/xl/worksheets/sheet17594.xml"/>
  <Override ContentType="application/vnd.openxmlformats-officedocument.spreadsheetml.worksheet+xml" PartName="/xl/worksheets/sheet17595.xml"/>
  <Override ContentType="application/vnd.openxmlformats-officedocument.spreadsheetml.worksheet+xml" PartName="/xl/worksheets/sheet17596.xml"/>
  <Override ContentType="application/vnd.openxmlformats-officedocument.spreadsheetml.worksheet+xml" PartName="/xl/worksheets/sheet17597.xml"/>
  <Override ContentType="application/vnd.openxmlformats-officedocument.spreadsheetml.worksheet+xml" PartName="/xl/worksheets/sheet17598.xml"/>
  <Override ContentType="application/vnd.openxmlformats-officedocument.spreadsheetml.worksheet+xml" PartName="/xl/worksheets/sheet17599.xml"/>
  <Override ContentType="application/vnd.openxmlformats-officedocument.spreadsheetml.worksheet+xml" PartName="/xl/worksheets/sheet17600.xml"/>
  <Override ContentType="application/vnd.openxmlformats-officedocument.spreadsheetml.worksheet+xml" PartName="/xl/worksheets/sheet17601.xml"/>
  <Override ContentType="application/vnd.openxmlformats-officedocument.spreadsheetml.worksheet+xml" PartName="/xl/worksheets/sheet17602.xml"/>
  <Override ContentType="application/vnd.openxmlformats-officedocument.spreadsheetml.worksheet+xml" PartName="/xl/worksheets/sheet17603.xml"/>
  <Override ContentType="application/vnd.openxmlformats-officedocument.spreadsheetml.worksheet+xml" PartName="/xl/worksheets/sheet17604.xml"/>
  <Override ContentType="application/vnd.openxmlformats-officedocument.spreadsheetml.worksheet+xml" PartName="/xl/worksheets/sheet17605.xml"/>
  <Override ContentType="application/vnd.openxmlformats-officedocument.spreadsheetml.worksheet+xml" PartName="/xl/worksheets/sheet17606.xml"/>
  <Override ContentType="application/vnd.openxmlformats-officedocument.spreadsheetml.worksheet+xml" PartName="/xl/worksheets/sheet17607.xml"/>
  <Override ContentType="application/vnd.openxmlformats-officedocument.spreadsheetml.worksheet+xml" PartName="/xl/worksheets/sheet17608.xml"/>
  <Override ContentType="application/vnd.openxmlformats-officedocument.spreadsheetml.worksheet+xml" PartName="/xl/worksheets/sheet17609.xml"/>
  <Override ContentType="application/vnd.openxmlformats-officedocument.spreadsheetml.worksheet+xml" PartName="/xl/worksheets/sheet17610.xml"/>
  <Override ContentType="application/vnd.openxmlformats-officedocument.spreadsheetml.worksheet+xml" PartName="/xl/worksheets/sheet17611.xml"/>
  <Override ContentType="application/vnd.openxmlformats-officedocument.spreadsheetml.worksheet+xml" PartName="/xl/worksheets/sheet17612.xml"/>
  <Override ContentType="application/vnd.openxmlformats-officedocument.spreadsheetml.worksheet+xml" PartName="/xl/worksheets/sheet17613.xml"/>
  <Override ContentType="application/vnd.openxmlformats-officedocument.spreadsheetml.worksheet+xml" PartName="/xl/worksheets/sheet17614.xml"/>
  <Override ContentType="application/vnd.openxmlformats-officedocument.spreadsheetml.worksheet+xml" PartName="/xl/worksheets/sheet17615.xml"/>
  <Override ContentType="application/vnd.openxmlformats-officedocument.spreadsheetml.worksheet+xml" PartName="/xl/worksheets/sheet17616.xml"/>
  <Override ContentType="application/vnd.openxmlformats-officedocument.spreadsheetml.worksheet+xml" PartName="/xl/worksheets/sheet17617.xml"/>
  <Override ContentType="application/vnd.openxmlformats-officedocument.spreadsheetml.worksheet+xml" PartName="/xl/worksheets/sheet17618.xml"/>
  <Override ContentType="application/vnd.openxmlformats-officedocument.spreadsheetml.worksheet+xml" PartName="/xl/worksheets/sheet17619.xml"/>
  <Override ContentType="application/vnd.openxmlformats-officedocument.spreadsheetml.worksheet+xml" PartName="/xl/worksheets/sheet17620.xml"/>
  <Override ContentType="application/vnd.openxmlformats-officedocument.spreadsheetml.worksheet+xml" PartName="/xl/worksheets/sheet17621.xml"/>
  <Override ContentType="application/vnd.openxmlformats-officedocument.spreadsheetml.worksheet+xml" PartName="/xl/worksheets/sheet17622.xml"/>
  <Override ContentType="application/vnd.openxmlformats-officedocument.spreadsheetml.worksheet+xml" PartName="/xl/worksheets/sheet17623.xml"/>
  <Override ContentType="application/vnd.openxmlformats-officedocument.spreadsheetml.worksheet+xml" PartName="/xl/worksheets/sheet17624.xml"/>
  <Override ContentType="application/vnd.openxmlformats-officedocument.spreadsheetml.worksheet+xml" PartName="/xl/worksheets/sheet17625.xml"/>
  <Override ContentType="application/vnd.openxmlformats-officedocument.spreadsheetml.worksheet+xml" PartName="/xl/worksheets/sheet17626.xml"/>
  <Override ContentType="application/vnd.openxmlformats-officedocument.spreadsheetml.worksheet+xml" PartName="/xl/worksheets/sheet17627.xml"/>
  <Override ContentType="application/vnd.openxmlformats-officedocument.spreadsheetml.worksheet+xml" PartName="/xl/worksheets/sheet17628.xml"/>
  <Override ContentType="application/vnd.openxmlformats-officedocument.spreadsheetml.worksheet+xml" PartName="/xl/worksheets/sheet17629.xml"/>
  <Override ContentType="application/vnd.openxmlformats-officedocument.spreadsheetml.worksheet+xml" PartName="/xl/worksheets/sheet17630.xml"/>
  <Override ContentType="application/vnd.openxmlformats-officedocument.spreadsheetml.worksheet+xml" PartName="/xl/worksheets/sheet17631.xml"/>
  <Override ContentType="application/vnd.openxmlformats-officedocument.spreadsheetml.worksheet+xml" PartName="/xl/worksheets/sheet17632.xml"/>
  <Override ContentType="application/vnd.openxmlformats-officedocument.spreadsheetml.worksheet+xml" PartName="/xl/worksheets/sheet17633.xml"/>
  <Override ContentType="application/vnd.openxmlformats-officedocument.spreadsheetml.worksheet+xml" PartName="/xl/worksheets/sheet17634.xml"/>
  <Override ContentType="application/vnd.openxmlformats-officedocument.spreadsheetml.worksheet+xml" PartName="/xl/worksheets/sheet17635.xml"/>
  <Override ContentType="application/vnd.openxmlformats-officedocument.spreadsheetml.worksheet+xml" PartName="/xl/worksheets/sheet17636.xml"/>
  <Override ContentType="application/vnd.openxmlformats-officedocument.spreadsheetml.worksheet+xml" PartName="/xl/worksheets/sheet17637.xml"/>
  <Override ContentType="application/vnd.openxmlformats-officedocument.spreadsheetml.worksheet+xml" PartName="/xl/worksheets/sheet17638.xml"/>
  <Override ContentType="application/vnd.openxmlformats-officedocument.spreadsheetml.worksheet+xml" PartName="/xl/worksheets/sheet17639.xml"/>
  <Override ContentType="application/vnd.openxmlformats-officedocument.spreadsheetml.worksheet+xml" PartName="/xl/worksheets/sheet17640.xml"/>
  <Override ContentType="application/vnd.openxmlformats-officedocument.spreadsheetml.worksheet+xml" PartName="/xl/worksheets/sheet17641.xml"/>
  <Override ContentType="application/vnd.openxmlformats-officedocument.spreadsheetml.worksheet+xml" PartName="/xl/worksheets/sheet17642.xml"/>
  <Override ContentType="application/vnd.openxmlformats-officedocument.spreadsheetml.worksheet+xml" PartName="/xl/worksheets/sheet17643.xml"/>
  <Override ContentType="application/vnd.openxmlformats-officedocument.spreadsheetml.worksheet+xml" PartName="/xl/worksheets/sheet17644.xml"/>
  <Override ContentType="application/vnd.openxmlformats-officedocument.spreadsheetml.worksheet+xml" PartName="/xl/worksheets/sheet17645.xml"/>
  <Override ContentType="application/vnd.openxmlformats-officedocument.spreadsheetml.worksheet+xml" PartName="/xl/worksheets/sheet17646.xml"/>
  <Override ContentType="application/vnd.openxmlformats-officedocument.spreadsheetml.worksheet+xml" PartName="/xl/worksheets/sheet17647.xml"/>
  <Override ContentType="application/vnd.openxmlformats-officedocument.spreadsheetml.worksheet+xml" PartName="/xl/worksheets/sheet17648.xml"/>
  <Override ContentType="application/vnd.openxmlformats-officedocument.spreadsheetml.worksheet+xml" PartName="/xl/worksheets/sheet17649.xml"/>
  <Override ContentType="application/vnd.openxmlformats-officedocument.spreadsheetml.worksheet+xml" PartName="/xl/worksheets/sheet17650.xml"/>
  <Override ContentType="application/vnd.openxmlformats-officedocument.spreadsheetml.worksheet+xml" PartName="/xl/worksheets/sheet17651.xml"/>
  <Override ContentType="application/vnd.openxmlformats-officedocument.spreadsheetml.worksheet+xml" PartName="/xl/worksheets/sheet17652.xml"/>
  <Override ContentType="application/vnd.openxmlformats-officedocument.spreadsheetml.worksheet+xml" PartName="/xl/worksheets/sheet17653.xml"/>
  <Override ContentType="application/vnd.openxmlformats-officedocument.spreadsheetml.worksheet+xml" PartName="/xl/worksheets/sheet17654.xml"/>
  <Override ContentType="application/vnd.openxmlformats-officedocument.spreadsheetml.worksheet+xml" PartName="/xl/worksheets/sheet17655.xml"/>
  <Override ContentType="application/vnd.openxmlformats-officedocument.spreadsheetml.worksheet+xml" PartName="/xl/worksheets/sheet17656.xml"/>
  <Override ContentType="application/vnd.openxmlformats-officedocument.spreadsheetml.worksheet+xml" PartName="/xl/worksheets/sheet17657.xml"/>
  <Override ContentType="application/vnd.openxmlformats-officedocument.spreadsheetml.worksheet+xml" PartName="/xl/worksheets/sheet17658.xml"/>
  <Override ContentType="application/vnd.openxmlformats-officedocument.spreadsheetml.worksheet+xml" PartName="/xl/worksheets/sheet17659.xml"/>
  <Override ContentType="application/vnd.openxmlformats-officedocument.spreadsheetml.worksheet+xml" PartName="/xl/worksheets/sheet17660.xml"/>
  <Override ContentType="application/vnd.openxmlformats-officedocument.spreadsheetml.worksheet+xml" PartName="/xl/worksheets/sheet17661.xml"/>
  <Override ContentType="application/vnd.openxmlformats-officedocument.spreadsheetml.worksheet+xml" PartName="/xl/worksheets/sheet17662.xml"/>
  <Override ContentType="application/vnd.openxmlformats-officedocument.spreadsheetml.worksheet+xml" PartName="/xl/worksheets/sheet17663.xml"/>
  <Override ContentType="application/vnd.openxmlformats-officedocument.spreadsheetml.worksheet+xml" PartName="/xl/worksheets/sheet17664.xml"/>
  <Override ContentType="application/vnd.openxmlformats-officedocument.spreadsheetml.worksheet+xml" PartName="/xl/worksheets/sheet17665.xml"/>
  <Override ContentType="application/vnd.openxmlformats-officedocument.spreadsheetml.worksheet+xml" PartName="/xl/worksheets/sheet17666.xml"/>
  <Override ContentType="application/vnd.openxmlformats-officedocument.spreadsheetml.worksheet+xml" PartName="/xl/worksheets/sheet17667.xml"/>
  <Override ContentType="application/vnd.openxmlformats-officedocument.spreadsheetml.worksheet+xml" PartName="/xl/worksheets/sheet17668.xml"/>
  <Override ContentType="application/vnd.openxmlformats-officedocument.spreadsheetml.worksheet+xml" PartName="/xl/worksheets/sheet17669.xml"/>
  <Override ContentType="application/vnd.openxmlformats-officedocument.spreadsheetml.worksheet+xml" PartName="/xl/worksheets/sheet17670.xml"/>
  <Override ContentType="application/vnd.openxmlformats-officedocument.spreadsheetml.worksheet+xml" PartName="/xl/worksheets/sheet17671.xml"/>
  <Override ContentType="application/vnd.openxmlformats-officedocument.spreadsheetml.worksheet+xml" PartName="/xl/worksheets/sheet17672.xml"/>
  <Override ContentType="application/vnd.openxmlformats-officedocument.spreadsheetml.worksheet+xml" PartName="/xl/worksheets/sheet17673.xml"/>
  <Override ContentType="application/vnd.openxmlformats-officedocument.spreadsheetml.worksheet+xml" PartName="/xl/worksheets/sheet17674.xml"/>
  <Override ContentType="application/vnd.openxmlformats-officedocument.spreadsheetml.worksheet+xml" PartName="/xl/worksheets/sheet17675.xml"/>
  <Override ContentType="application/vnd.openxmlformats-officedocument.spreadsheetml.worksheet+xml" PartName="/xl/worksheets/sheet17676.xml"/>
  <Override ContentType="application/vnd.openxmlformats-officedocument.spreadsheetml.worksheet+xml" PartName="/xl/worksheets/sheet17677.xml"/>
  <Override ContentType="application/vnd.openxmlformats-officedocument.spreadsheetml.worksheet+xml" PartName="/xl/worksheets/sheet17678.xml"/>
  <Override ContentType="application/vnd.openxmlformats-officedocument.spreadsheetml.worksheet+xml" PartName="/xl/worksheets/sheet17679.xml"/>
  <Override ContentType="application/vnd.openxmlformats-officedocument.spreadsheetml.worksheet+xml" PartName="/xl/worksheets/sheet17680.xml"/>
  <Override ContentType="application/vnd.openxmlformats-officedocument.spreadsheetml.worksheet+xml" PartName="/xl/worksheets/sheet17681.xml"/>
  <Override ContentType="application/vnd.openxmlformats-officedocument.spreadsheetml.worksheet+xml" PartName="/xl/worksheets/sheet17682.xml"/>
  <Override ContentType="application/vnd.openxmlformats-officedocument.spreadsheetml.worksheet+xml" PartName="/xl/worksheets/sheet17683.xml"/>
  <Override ContentType="application/vnd.openxmlformats-officedocument.spreadsheetml.worksheet+xml" PartName="/xl/worksheets/sheet17684.xml"/>
  <Override ContentType="application/vnd.openxmlformats-officedocument.spreadsheetml.worksheet+xml" PartName="/xl/worksheets/sheet17685.xml"/>
  <Override ContentType="application/vnd.openxmlformats-officedocument.spreadsheetml.worksheet+xml" PartName="/xl/worksheets/sheet17686.xml"/>
  <Override ContentType="application/vnd.openxmlformats-officedocument.spreadsheetml.worksheet+xml" PartName="/xl/worksheets/sheet17687.xml"/>
  <Override ContentType="application/vnd.openxmlformats-officedocument.spreadsheetml.worksheet+xml" PartName="/xl/worksheets/sheet17688.xml"/>
  <Override ContentType="application/vnd.openxmlformats-officedocument.spreadsheetml.worksheet+xml" PartName="/xl/worksheets/sheet17689.xml"/>
  <Override ContentType="application/vnd.openxmlformats-officedocument.spreadsheetml.worksheet+xml" PartName="/xl/worksheets/sheet17690.xml"/>
  <Override ContentType="application/vnd.openxmlformats-officedocument.spreadsheetml.worksheet+xml" PartName="/xl/worksheets/sheet17691.xml"/>
  <Override ContentType="application/vnd.openxmlformats-officedocument.spreadsheetml.worksheet+xml" PartName="/xl/worksheets/sheet17692.xml"/>
  <Override ContentType="application/vnd.openxmlformats-officedocument.spreadsheetml.worksheet+xml" PartName="/xl/worksheets/sheet17693.xml"/>
  <Override ContentType="application/vnd.openxmlformats-officedocument.spreadsheetml.worksheet+xml" PartName="/xl/worksheets/sheet17694.xml"/>
  <Override ContentType="application/vnd.openxmlformats-officedocument.spreadsheetml.worksheet+xml" PartName="/xl/worksheets/sheet17695.xml"/>
  <Override ContentType="application/vnd.openxmlformats-officedocument.spreadsheetml.worksheet+xml" PartName="/xl/worksheets/sheet17696.xml"/>
  <Override ContentType="application/vnd.openxmlformats-officedocument.spreadsheetml.worksheet+xml" PartName="/xl/worksheets/sheet17697.xml"/>
  <Override ContentType="application/vnd.openxmlformats-officedocument.spreadsheetml.worksheet+xml" PartName="/xl/worksheets/sheet17698.xml"/>
  <Override ContentType="application/vnd.openxmlformats-officedocument.spreadsheetml.worksheet+xml" PartName="/xl/worksheets/sheet17699.xml"/>
  <Override ContentType="application/vnd.openxmlformats-officedocument.spreadsheetml.worksheet+xml" PartName="/xl/worksheets/sheet17700.xml"/>
  <Override ContentType="application/vnd.openxmlformats-officedocument.spreadsheetml.worksheet+xml" PartName="/xl/worksheets/sheet17701.xml"/>
  <Override ContentType="application/vnd.openxmlformats-officedocument.spreadsheetml.worksheet+xml" PartName="/xl/worksheets/sheet17702.xml"/>
  <Override ContentType="application/vnd.openxmlformats-officedocument.spreadsheetml.worksheet+xml" PartName="/xl/worksheets/sheet17703.xml"/>
  <Override ContentType="application/vnd.openxmlformats-officedocument.spreadsheetml.worksheet+xml" PartName="/xl/worksheets/sheet17704.xml"/>
  <Override ContentType="application/vnd.openxmlformats-officedocument.spreadsheetml.worksheet+xml" PartName="/xl/worksheets/sheet17705.xml"/>
  <Override ContentType="application/vnd.openxmlformats-officedocument.spreadsheetml.worksheet+xml" PartName="/xl/worksheets/sheet17706.xml"/>
  <Override ContentType="application/vnd.openxmlformats-officedocument.spreadsheetml.worksheet+xml" PartName="/xl/worksheets/sheet17707.xml"/>
  <Override ContentType="application/vnd.openxmlformats-officedocument.spreadsheetml.worksheet+xml" PartName="/xl/worksheets/sheet17708.xml"/>
  <Override ContentType="application/vnd.openxmlformats-officedocument.spreadsheetml.worksheet+xml" PartName="/xl/worksheets/sheet17709.xml"/>
  <Override ContentType="application/vnd.openxmlformats-officedocument.spreadsheetml.worksheet+xml" PartName="/xl/worksheets/sheet17710.xml"/>
  <Override ContentType="application/vnd.openxmlformats-officedocument.spreadsheetml.worksheet+xml" PartName="/xl/worksheets/sheet17711.xml"/>
  <Override ContentType="application/vnd.openxmlformats-officedocument.spreadsheetml.worksheet+xml" PartName="/xl/worksheets/sheet17712.xml"/>
  <Override ContentType="application/vnd.openxmlformats-officedocument.spreadsheetml.worksheet+xml" PartName="/xl/worksheets/sheet17713.xml"/>
  <Override ContentType="application/vnd.openxmlformats-officedocument.spreadsheetml.worksheet+xml" PartName="/xl/worksheets/sheet17714.xml"/>
  <Override ContentType="application/vnd.openxmlformats-officedocument.spreadsheetml.worksheet+xml" PartName="/xl/worksheets/sheet17715.xml"/>
  <Override ContentType="application/vnd.openxmlformats-officedocument.spreadsheetml.worksheet+xml" PartName="/xl/worksheets/sheet17716.xml"/>
  <Override ContentType="application/vnd.openxmlformats-officedocument.spreadsheetml.worksheet+xml" PartName="/xl/worksheets/sheet17717.xml"/>
  <Override ContentType="application/vnd.openxmlformats-officedocument.spreadsheetml.worksheet+xml" PartName="/xl/worksheets/sheet17718.xml"/>
  <Override ContentType="application/vnd.openxmlformats-officedocument.spreadsheetml.worksheet+xml" PartName="/xl/worksheets/sheet17719.xml"/>
  <Override ContentType="application/vnd.openxmlformats-officedocument.spreadsheetml.worksheet+xml" PartName="/xl/worksheets/sheet17720.xml"/>
  <Override ContentType="application/vnd.openxmlformats-officedocument.spreadsheetml.worksheet+xml" PartName="/xl/worksheets/sheet17721.xml"/>
  <Override ContentType="application/vnd.openxmlformats-officedocument.spreadsheetml.worksheet+xml" PartName="/xl/worksheets/sheet17722.xml"/>
  <Override ContentType="application/vnd.openxmlformats-officedocument.spreadsheetml.worksheet+xml" PartName="/xl/worksheets/sheet17723.xml"/>
  <Override ContentType="application/vnd.openxmlformats-officedocument.spreadsheetml.worksheet+xml" PartName="/xl/worksheets/sheet17724.xml"/>
  <Override ContentType="application/vnd.openxmlformats-officedocument.spreadsheetml.worksheet+xml" PartName="/xl/worksheets/sheet17725.xml"/>
  <Override ContentType="application/vnd.openxmlformats-officedocument.spreadsheetml.worksheet+xml" PartName="/xl/worksheets/sheet17726.xml"/>
  <Override ContentType="application/vnd.openxmlformats-officedocument.spreadsheetml.worksheet+xml" PartName="/xl/worksheets/sheet17727.xml"/>
  <Override ContentType="application/vnd.openxmlformats-officedocument.spreadsheetml.worksheet+xml" PartName="/xl/worksheets/sheet17728.xml"/>
  <Override ContentType="application/vnd.openxmlformats-officedocument.spreadsheetml.worksheet+xml" PartName="/xl/worksheets/sheet17729.xml"/>
  <Override ContentType="application/vnd.openxmlformats-officedocument.spreadsheetml.worksheet+xml" PartName="/xl/worksheets/sheet17730.xml"/>
  <Override ContentType="application/vnd.openxmlformats-officedocument.spreadsheetml.worksheet+xml" PartName="/xl/worksheets/sheet17731.xml"/>
  <Override ContentType="application/vnd.openxmlformats-officedocument.spreadsheetml.worksheet+xml" PartName="/xl/worksheets/sheet17732.xml"/>
  <Override ContentType="application/vnd.openxmlformats-officedocument.spreadsheetml.worksheet+xml" PartName="/xl/worksheets/sheet17733.xml"/>
  <Override ContentType="application/vnd.openxmlformats-officedocument.spreadsheetml.worksheet+xml" PartName="/xl/worksheets/sheet17734.xml"/>
  <Override ContentType="application/vnd.openxmlformats-officedocument.spreadsheetml.worksheet+xml" PartName="/xl/worksheets/sheet17735.xml"/>
  <Override ContentType="application/vnd.openxmlformats-officedocument.spreadsheetml.worksheet+xml" PartName="/xl/worksheets/sheet17736.xml"/>
  <Override ContentType="application/vnd.openxmlformats-officedocument.spreadsheetml.worksheet+xml" PartName="/xl/worksheets/sheet17737.xml"/>
  <Override ContentType="application/vnd.openxmlformats-officedocument.spreadsheetml.worksheet+xml" PartName="/xl/worksheets/sheet17738.xml"/>
  <Override ContentType="application/vnd.openxmlformats-officedocument.spreadsheetml.worksheet+xml" PartName="/xl/worksheets/sheet17739.xml"/>
  <Override ContentType="application/vnd.openxmlformats-officedocument.spreadsheetml.worksheet+xml" PartName="/xl/worksheets/sheet17740.xml"/>
  <Override ContentType="application/vnd.openxmlformats-officedocument.spreadsheetml.worksheet+xml" PartName="/xl/worksheets/sheet17741.xml"/>
  <Override ContentType="application/vnd.openxmlformats-officedocument.spreadsheetml.worksheet+xml" PartName="/xl/worksheets/sheet17742.xml"/>
  <Override ContentType="application/vnd.openxmlformats-officedocument.spreadsheetml.worksheet+xml" PartName="/xl/worksheets/sheet17743.xml"/>
  <Override ContentType="application/vnd.openxmlformats-officedocument.spreadsheetml.worksheet+xml" PartName="/xl/worksheets/sheet17744.xml"/>
  <Override ContentType="application/vnd.openxmlformats-officedocument.spreadsheetml.worksheet+xml" PartName="/xl/worksheets/sheet17745.xml"/>
  <Override ContentType="application/vnd.openxmlformats-officedocument.spreadsheetml.worksheet+xml" PartName="/xl/worksheets/sheet17746.xml"/>
  <Override ContentType="application/vnd.openxmlformats-officedocument.spreadsheetml.worksheet+xml" PartName="/xl/worksheets/sheet17747.xml"/>
  <Override ContentType="application/vnd.openxmlformats-officedocument.spreadsheetml.worksheet+xml" PartName="/xl/worksheets/sheet17748.xml"/>
  <Override ContentType="application/vnd.openxmlformats-officedocument.spreadsheetml.worksheet+xml" PartName="/xl/worksheets/sheet17749.xml"/>
  <Override ContentType="application/vnd.openxmlformats-officedocument.spreadsheetml.worksheet+xml" PartName="/xl/worksheets/sheet17750.xml"/>
  <Override ContentType="application/vnd.openxmlformats-officedocument.spreadsheetml.worksheet+xml" PartName="/xl/worksheets/sheet17751.xml"/>
  <Override ContentType="application/vnd.openxmlformats-officedocument.spreadsheetml.worksheet+xml" PartName="/xl/worksheets/sheet17752.xml"/>
  <Override ContentType="application/vnd.openxmlformats-officedocument.spreadsheetml.worksheet+xml" PartName="/xl/worksheets/sheet17753.xml"/>
  <Override ContentType="application/vnd.openxmlformats-officedocument.spreadsheetml.worksheet+xml" PartName="/xl/worksheets/sheet17754.xml"/>
  <Override ContentType="application/vnd.openxmlformats-officedocument.spreadsheetml.worksheet+xml" PartName="/xl/worksheets/sheet17755.xml"/>
  <Override ContentType="application/vnd.openxmlformats-officedocument.spreadsheetml.worksheet+xml" PartName="/xl/worksheets/sheet17756.xml"/>
  <Override ContentType="application/vnd.openxmlformats-officedocument.spreadsheetml.worksheet+xml" PartName="/xl/worksheets/sheet17757.xml"/>
  <Override ContentType="application/vnd.openxmlformats-officedocument.spreadsheetml.worksheet+xml" PartName="/xl/worksheets/sheet17758.xml"/>
  <Override ContentType="application/vnd.openxmlformats-officedocument.spreadsheetml.worksheet+xml" PartName="/xl/worksheets/sheet17759.xml"/>
  <Override ContentType="application/vnd.openxmlformats-officedocument.spreadsheetml.worksheet+xml" PartName="/xl/worksheets/sheet17760.xml"/>
  <Override ContentType="application/vnd.openxmlformats-officedocument.spreadsheetml.worksheet+xml" PartName="/xl/worksheets/sheet17761.xml"/>
  <Override ContentType="application/vnd.openxmlformats-officedocument.spreadsheetml.worksheet+xml" PartName="/xl/worksheets/sheet17762.xml"/>
  <Override ContentType="application/vnd.openxmlformats-officedocument.spreadsheetml.worksheet+xml" PartName="/xl/worksheets/sheet17763.xml"/>
  <Override ContentType="application/vnd.openxmlformats-officedocument.spreadsheetml.worksheet+xml" PartName="/xl/worksheets/sheet17764.xml"/>
  <Override ContentType="application/vnd.openxmlformats-officedocument.spreadsheetml.worksheet+xml" PartName="/xl/worksheets/sheet17765.xml"/>
  <Override ContentType="application/vnd.openxmlformats-officedocument.spreadsheetml.worksheet+xml" PartName="/xl/worksheets/sheet17766.xml"/>
  <Override ContentType="application/vnd.openxmlformats-officedocument.spreadsheetml.worksheet+xml" PartName="/xl/worksheets/sheet17767.xml"/>
  <Override ContentType="application/vnd.openxmlformats-officedocument.spreadsheetml.worksheet+xml" PartName="/xl/worksheets/sheet17768.xml"/>
  <Override ContentType="application/vnd.openxmlformats-officedocument.spreadsheetml.worksheet+xml" PartName="/xl/worksheets/sheet17769.xml"/>
  <Override ContentType="application/vnd.openxmlformats-officedocument.spreadsheetml.worksheet+xml" PartName="/xl/worksheets/sheet17770.xml"/>
  <Override ContentType="application/vnd.openxmlformats-officedocument.spreadsheetml.worksheet+xml" PartName="/xl/worksheets/sheet17771.xml"/>
  <Override ContentType="application/vnd.openxmlformats-officedocument.spreadsheetml.worksheet+xml" PartName="/xl/worksheets/sheet17772.xml"/>
  <Override ContentType="application/vnd.openxmlformats-officedocument.spreadsheetml.worksheet+xml" PartName="/xl/worksheets/sheet17773.xml"/>
  <Override ContentType="application/vnd.openxmlformats-officedocument.spreadsheetml.worksheet+xml" PartName="/xl/worksheets/sheet17774.xml"/>
  <Override ContentType="application/vnd.openxmlformats-officedocument.spreadsheetml.worksheet+xml" PartName="/xl/worksheets/sheet17775.xml"/>
  <Override ContentType="application/vnd.openxmlformats-officedocument.spreadsheetml.worksheet+xml" PartName="/xl/worksheets/sheet17776.xml"/>
  <Override ContentType="application/vnd.openxmlformats-officedocument.spreadsheetml.worksheet+xml" PartName="/xl/worksheets/sheet17777.xml"/>
  <Override ContentType="application/vnd.openxmlformats-officedocument.spreadsheetml.worksheet+xml" PartName="/xl/worksheets/sheet17778.xml"/>
  <Override ContentType="application/vnd.openxmlformats-officedocument.spreadsheetml.worksheet+xml" PartName="/xl/worksheets/sheet17779.xml"/>
  <Override ContentType="application/vnd.openxmlformats-officedocument.spreadsheetml.worksheet+xml" PartName="/xl/worksheets/sheet17780.xml"/>
  <Override ContentType="application/vnd.openxmlformats-officedocument.spreadsheetml.worksheet+xml" PartName="/xl/worksheets/sheet17781.xml"/>
  <Override ContentType="application/vnd.openxmlformats-officedocument.spreadsheetml.worksheet+xml" PartName="/xl/worksheets/sheet17782.xml"/>
  <Override ContentType="application/vnd.openxmlformats-officedocument.spreadsheetml.worksheet+xml" PartName="/xl/worksheets/sheet17783.xml"/>
  <Override ContentType="application/vnd.openxmlformats-officedocument.spreadsheetml.worksheet+xml" PartName="/xl/worksheets/sheet17784.xml"/>
  <Override ContentType="application/vnd.openxmlformats-officedocument.spreadsheetml.worksheet+xml" PartName="/xl/worksheets/sheet17785.xml"/>
  <Override ContentType="application/vnd.openxmlformats-officedocument.spreadsheetml.worksheet+xml" PartName="/xl/worksheets/sheet17786.xml"/>
  <Override ContentType="application/vnd.openxmlformats-officedocument.spreadsheetml.worksheet+xml" PartName="/xl/worksheets/sheet17787.xml"/>
  <Override ContentType="application/vnd.openxmlformats-officedocument.spreadsheetml.worksheet+xml" PartName="/xl/worksheets/sheet17788.xml"/>
  <Override ContentType="application/vnd.openxmlformats-officedocument.spreadsheetml.worksheet+xml" PartName="/xl/worksheets/sheet17789.xml"/>
  <Override ContentType="application/vnd.openxmlformats-officedocument.spreadsheetml.worksheet+xml" PartName="/xl/worksheets/sheet17790.xml"/>
  <Override ContentType="application/vnd.openxmlformats-officedocument.spreadsheetml.worksheet+xml" PartName="/xl/worksheets/sheet17791.xml"/>
  <Override ContentType="application/vnd.openxmlformats-officedocument.spreadsheetml.worksheet+xml" PartName="/xl/worksheets/sheet17792.xml"/>
  <Override ContentType="application/vnd.openxmlformats-officedocument.spreadsheetml.worksheet+xml" PartName="/xl/worksheets/sheet17793.xml"/>
  <Override ContentType="application/vnd.openxmlformats-officedocument.spreadsheetml.worksheet+xml" PartName="/xl/worksheets/sheet17794.xml"/>
  <Override ContentType="application/vnd.openxmlformats-officedocument.spreadsheetml.worksheet+xml" PartName="/xl/worksheets/sheet17795.xml"/>
  <Override ContentType="application/vnd.openxmlformats-officedocument.spreadsheetml.worksheet+xml" PartName="/xl/worksheets/sheet17796.xml"/>
  <Override ContentType="application/vnd.openxmlformats-officedocument.spreadsheetml.worksheet+xml" PartName="/xl/worksheets/sheet17797.xml"/>
  <Override ContentType="application/vnd.openxmlformats-officedocument.spreadsheetml.worksheet+xml" PartName="/xl/worksheets/sheet17798.xml"/>
  <Override ContentType="application/vnd.openxmlformats-officedocument.spreadsheetml.worksheet+xml" PartName="/xl/worksheets/sheet17799.xml"/>
  <Override ContentType="application/vnd.openxmlformats-officedocument.spreadsheetml.worksheet+xml" PartName="/xl/worksheets/sheet17800.xml"/>
  <Override ContentType="application/vnd.openxmlformats-officedocument.spreadsheetml.worksheet+xml" PartName="/xl/worksheets/sheet17801.xml"/>
  <Override ContentType="application/vnd.openxmlformats-officedocument.spreadsheetml.worksheet+xml" PartName="/xl/worksheets/sheet17802.xml"/>
  <Override ContentType="application/vnd.openxmlformats-officedocument.spreadsheetml.worksheet+xml" PartName="/xl/worksheets/sheet17803.xml"/>
  <Override ContentType="application/vnd.openxmlformats-officedocument.spreadsheetml.worksheet+xml" PartName="/xl/worksheets/sheet17804.xml"/>
  <Override ContentType="application/vnd.openxmlformats-officedocument.spreadsheetml.worksheet+xml" PartName="/xl/worksheets/sheet17805.xml"/>
  <Override ContentType="application/vnd.openxmlformats-officedocument.spreadsheetml.worksheet+xml" PartName="/xl/worksheets/sheet17806.xml"/>
  <Override ContentType="application/vnd.openxmlformats-officedocument.spreadsheetml.worksheet+xml" PartName="/xl/worksheets/sheet17807.xml"/>
  <Override ContentType="application/vnd.openxmlformats-officedocument.spreadsheetml.worksheet+xml" PartName="/xl/worksheets/sheet17808.xml"/>
  <Override ContentType="application/vnd.openxmlformats-officedocument.spreadsheetml.worksheet+xml" PartName="/xl/worksheets/sheet17809.xml"/>
  <Override ContentType="application/vnd.openxmlformats-officedocument.spreadsheetml.worksheet+xml" PartName="/xl/worksheets/sheet17810.xml"/>
  <Override ContentType="application/vnd.openxmlformats-officedocument.spreadsheetml.worksheet+xml" PartName="/xl/worksheets/sheet17811.xml"/>
  <Override ContentType="application/vnd.openxmlformats-officedocument.spreadsheetml.worksheet+xml" PartName="/xl/worksheets/sheet17812.xml"/>
  <Override ContentType="application/vnd.openxmlformats-officedocument.spreadsheetml.worksheet+xml" PartName="/xl/worksheets/sheet17813.xml"/>
  <Override ContentType="application/vnd.openxmlformats-officedocument.spreadsheetml.worksheet+xml" PartName="/xl/worksheets/sheet17814.xml"/>
  <Override ContentType="application/vnd.openxmlformats-officedocument.spreadsheetml.worksheet+xml" PartName="/xl/worksheets/sheet17815.xml"/>
  <Override ContentType="application/vnd.openxmlformats-officedocument.spreadsheetml.worksheet+xml" PartName="/xl/worksheets/sheet17816.xml"/>
  <Override ContentType="application/vnd.openxmlformats-officedocument.spreadsheetml.worksheet+xml" PartName="/xl/worksheets/sheet17817.xml"/>
  <Override ContentType="application/vnd.openxmlformats-officedocument.spreadsheetml.worksheet+xml" PartName="/xl/worksheets/sheet17818.xml"/>
  <Override ContentType="application/vnd.openxmlformats-officedocument.spreadsheetml.worksheet+xml" PartName="/xl/worksheets/sheet17819.xml"/>
  <Override ContentType="application/vnd.openxmlformats-officedocument.spreadsheetml.worksheet+xml" PartName="/xl/worksheets/sheet17820.xml"/>
  <Override ContentType="application/vnd.openxmlformats-officedocument.spreadsheetml.worksheet+xml" PartName="/xl/worksheets/sheet17821.xml"/>
  <Override ContentType="application/vnd.openxmlformats-officedocument.spreadsheetml.worksheet+xml" PartName="/xl/worksheets/sheet17822.xml"/>
  <Override ContentType="application/vnd.openxmlformats-officedocument.spreadsheetml.worksheet+xml" PartName="/xl/worksheets/sheet17823.xml"/>
  <Override ContentType="application/vnd.openxmlformats-officedocument.spreadsheetml.worksheet+xml" PartName="/xl/worksheets/sheet17824.xml"/>
  <Override ContentType="application/vnd.openxmlformats-officedocument.spreadsheetml.worksheet+xml" PartName="/xl/worksheets/sheet17825.xml"/>
  <Override ContentType="application/vnd.openxmlformats-officedocument.spreadsheetml.worksheet+xml" PartName="/xl/worksheets/sheet17826.xml"/>
  <Override ContentType="application/vnd.openxmlformats-officedocument.spreadsheetml.worksheet+xml" PartName="/xl/worksheets/sheet17827.xml"/>
  <Override ContentType="application/vnd.openxmlformats-officedocument.spreadsheetml.worksheet+xml" PartName="/xl/worksheets/sheet17828.xml"/>
  <Override ContentType="application/vnd.openxmlformats-officedocument.spreadsheetml.worksheet+xml" PartName="/xl/worksheets/sheet17829.xml"/>
  <Override ContentType="application/vnd.openxmlformats-officedocument.spreadsheetml.worksheet+xml" PartName="/xl/worksheets/sheet17830.xml"/>
  <Override ContentType="application/vnd.openxmlformats-officedocument.spreadsheetml.worksheet+xml" PartName="/xl/worksheets/sheet17831.xml"/>
  <Override ContentType="application/vnd.openxmlformats-officedocument.spreadsheetml.worksheet+xml" PartName="/xl/worksheets/sheet17832.xml"/>
  <Override ContentType="application/vnd.openxmlformats-officedocument.spreadsheetml.worksheet+xml" PartName="/xl/worksheets/sheet17833.xml"/>
  <Override ContentType="application/vnd.openxmlformats-officedocument.spreadsheetml.worksheet+xml" PartName="/xl/worksheets/sheet17834.xml"/>
  <Override ContentType="application/vnd.openxmlformats-officedocument.spreadsheetml.worksheet+xml" PartName="/xl/worksheets/sheet17835.xml"/>
  <Override ContentType="application/vnd.openxmlformats-officedocument.spreadsheetml.worksheet+xml" PartName="/xl/worksheets/sheet17836.xml"/>
  <Override ContentType="application/vnd.openxmlformats-officedocument.spreadsheetml.worksheet+xml" PartName="/xl/worksheets/sheet17837.xml"/>
  <Override ContentType="application/vnd.openxmlformats-officedocument.spreadsheetml.worksheet+xml" PartName="/xl/worksheets/sheet17838.xml"/>
  <Override ContentType="application/vnd.openxmlformats-officedocument.spreadsheetml.worksheet+xml" PartName="/xl/worksheets/sheet17839.xml"/>
  <Override ContentType="application/vnd.openxmlformats-officedocument.spreadsheetml.worksheet+xml" PartName="/xl/worksheets/sheet17840.xml"/>
  <Override ContentType="application/vnd.openxmlformats-officedocument.spreadsheetml.worksheet+xml" PartName="/xl/worksheets/sheet17841.xml"/>
  <Override ContentType="application/vnd.openxmlformats-officedocument.spreadsheetml.worksheet+xml" PartName="/xl/worksheets/sheet17842.xml"/>
  <Override ContentType="application/vnd.openxmlformats-officedocument.spreadsheetml.worksheet+xml" PartName="/xl/worksheets/sheet17843.xml"/>
  <Override ContentType="application/vnd.openxmlformats-officedocument.spreadsheetml.worksheet+xml" PartName="/xl/worksheets/sheet17844.xml"/>
  <Override ContentType="application/vnd.openxmlformats-officedocument.spreadsheetml.worksheet+xml" PartName="/xl/worksheets/sheet17845.xml"/>
  <Override ContentType="application/vnd.openxmlformats-officedocument.spreadsheetml.worksheet+xml" PartName="/xl/worksheets/sheet17846.xml"/>
  <Override ContentType="application/vnd.openxmlformats-officedocument.spreadsheetml.worksheet+xml" PartName="/xl/worksheets/sheet17847.xml"/>
  <Override ContentType="application/vnd.openxmlformats-officedocument.spreadsheetml.worksheet+xml" PartName="/xl/worksheets/sheet17848.xml"/>
  <Override ContentType="application/vnd.openxmlformats-officedocument.spreadsheetml.worksheet+xml" PartName="/xl/worksheets/sheet17849.xml"/>
  <Override ContentType="application/vnd.openxmlformats-officedocument.spreadsheetml.worksheet+xml" PartName="/xl/worksheets/sheet17850.xml"/>
  <Override ContentType="application/vnd.openxmlformats-officedocument.spreadsheetml.worksheet+xml" PartName="/xl/worksheets/sheet17851.xml"/>
  <Override ContentType="application/vnd.openxmlformats-officedocument.spreadsheetml.worksheet+xml" PartName="/xl/worksheets/sheet17852.xml"/>
  <Override ContentType="application/vnd.openxmlformats-officedocument.spreadsheetml.worksheet+xml" PartName="/xl/worksheets/sheet17853.xml"/>
  <Override ContentType="application/vnd.openxmlformats-officedocument.spreadsheetml.worksheet+xml" PartName="/xl/worksheets/sheet17854.xml"/>
  <Override ContentType="application/vnd.openxmlformats-officedocument.spreadsheetml.worksheet+xml" PartName="/xl/worksheets/sheet17855.xml"/>
  <Override ContentType="application/vnd.openxmlformats-officedocument.spreadsheetml.worksheet+xml" PartName="/xl/worksheets/sheet17856.xml"/>
  <Override ContentType="application/vnd.openxmlformats-officedocument.spreadsheetml.worksheet+xml" PartName="/xl/worksheets/sheet17857.xml"/>
  <Override ContentType="application/vnd.openxmlformats-officedocument.spreadsheetml.worksheet+xml" PartName="/xl/worksheets/sheet17858.xml"/>
  <Override ContentType="application/vnd.openxmlformats-officedocument.spreadsheetml.worksheet+xml" PartName="/xl/worksheets/sheet17859.xml"/>
  <Override ContentType="application/vnd.openxmlformats-officedocument.spreadsheetml.worksheet+xml" PartName="/xl/worksheets/sheet17860.xml"/>
  <Override ContentType="application/vnd.openxmlformats-officedocument.spreadsheetml.worksheet+xml" PartName="/xl/worksheets/sheet17861.xml"/>
  <Override ContentType="application/vnd.openxmlformats-officedocument.spreadsheetml.worksheet+xml" PartName="/xl/worksheets/sheet17862.xml"/>
  <Override ContentType="application/vnd.openxmlformats-officedocument.spreadsheetml.worksheet+xml" PartName="/xl/worksheets/sheet17863.xml"/>
  <Override ContentType="application/vnd.openxmlformats-officedocument.spreadsheetml.worksheet+xml" PartName="/xl/worksheets/sheet17864.xml"/>
  <Override ContentType="application/vnd.openxmlformats-officedocument.spreadsheetml.worksheet+xml" PartName="/xl/worksheets/sheet17865.xml"/>
  <Override ContentType="application/vnd.openxmlformats-officedocument.spreadsheetml.worksheet+xml" PartName="/xl/worksheets/sheet17866.xml"/>
  <Override ContentType="application/vnd.openxmlformats-officedocument.spreadsheetml.worksheet+xml" PartName="/xl/worksheets/sheet17867.xml"/>
  <Override ContentType="application/vnd.openxmlformats-officedocument.spreadsheetml.worksheet+xml" PartName="/xl/worksheets/sheet17868.xml"/>
  <Override ContentType="application/vnd.openxmlformats-officedocument.spreadsheetml.worksheet+xml" PartName="/xl/worksheets/sheet17869.xml"/>
  <Override ContentType="application/vnd.openxmlformats-officedocument.spreadsheetml.worksheet+xml" PartName="/xl/worksheets/sheet17870.xml"/>
  <Override ContentType="application/vnd.openxmlformats-officedocument.spreadsheetml.worksheet+xml" PartName="/xl/worksheets/sheet17871.xml"/>
  <Override ContentType="application/vnd.openxmlformats-officedocument.spreadsheetml.worksheet+xml" PartName="/xl/worksheets/sheet17872.xml"/>
  <Override ContentType="application/vnd.openxmlformats-officedocument.spreadsheetml.worksheet+xml" PartName="/xl/worksheets/sheet17873.xml"/>
  <Override ContentType="application/vnd.openxmlformats-officedocument.spreadsheetml.worksheet+xml" PartName="/xl/worksheets/sheet17874.xml"/>
  <Override ContentType="application/vnd.openxmlformats-officedocument.spreadsheetml.worksheet+xml" PartName="/xl/worksheets/sheet17875.xml"/>
  <Override ContentType="application/vnd.openxmlformats-officedocument.spreadsheetml.worksheet+xml" PartName="/xl/worksheets/sheet17876.xml"/>
  <Override ContentType="application/vnd.openxmlformats-officedocument.spreadsheetml.worksheet+xml" PartName="/xl/worksheets/sheet17877.xml"/>
  <Override ContentType="application/vnd.openxmlformats-officedocument.spreadsheetml.worksheet+xml" PartName="/xl/worksheets/sheet17878.xml"/>
  <Override ContentType="application/vnd.openxmlformats-officedocument.spreadsheetml.worksheet+xml" PartName="/xl/worksheets/sheet17879.xml"/>
  <Override ContentType="application/vnd.openxmlformats-officedocument.spreadsheetml.worksheet+xml" PartName="/xl/worksheets/sheet17880.xml"/>
  <Override ContentType="application/vnd.openxmlformats-officedocument.spreadsheetml.worksheet+xml" PartName="/xl/worksheets/sheet17881.xml"/>
  <Override ContentType="application/vnd.openxmlformats-officedocument.spreadsheetml.worksheet+xml" PartName="/xl/worksheets/sheet17882.xml"/>
  <Override ContentType="application/vnd.openxmlformats-officedocument.spreadsheetml.worksheet+xml" PartName="/xl/worksheets/sheet17883.xml"/>
  <Override ContentType="application/vnd.openxmlformats-officedocument.spreadsheetml.worksheet+xml" PartName="/xl/worksheets/sheet17884.xml"/>
  <Override ContentType="application/vnd.openxmlformats-officedocument.spreadsheetml.worksheet+xml" PartName="/xl/worksheets/sheet17885.xml"/>
  <Override ContentType="application/vnd.openxmlformats-officedocument.spreadsheetml.worksheet+xml" PartName="/xl/worksheets/sheet17886.xml"/>
  <Override ContentType="application/vnd.openxmlformats-officedocument.spreadsheetml.worksheet+xml" PartName="/xl/worksheets/sheet17887.xml"/>
  <Override ContentType="application/vnd.openxmlformats-officedocument.spreadsheetml.worksheet+xml" PartName="/xl/worksheets/sheet17888.xml"/>
  <Override ContentType="application/vnd.openxmlformats-officedocument.spreadsheetml.worksheet+xml" PartName="/xl/worksheets/sheet17889.xml"/>
  <Override ContentType="application/vnd.openxmlformats-officedocument.spreadsheetml.worksheet+xml" PartName="/xl/worksheets/sheet17890.xml"/>
  <Override ContentType="application/vnd.openxmlformats-officedocument.spreadsheetml.worksheet+xml" PartName="/xl/worksheets/sheet17891.xml"/>
  <Override ContentType="application/vnd.openxmlformats-officedocument.spreadsheetml.worksheet+xml" PartName="/xl/worksheets/sheet17892.xml"/>
  <Override ContentType="application/vnd.openxmlformats-officedocument.spreadsheetml.worksheet+xml" PartName="/xl/worksheets/sheet17893.xml"/>
  <Override ContentType="application/vnd.openxmlformats-officedocument.spreadsheetml.worksheet+xml" PartName="/xl/worksheets/sheet17894.xml"/>
  <Override ContentType="application/vnd.openxmlformats-officedocument.spreadsheetml.worksheet+xml" PartName="/xl/worksheets/sheet17895.xml"/>
  <Override ContentType="application/vnd.openxmlformats-officedocument.spreadsheetml.worksheet+xml" PartName="/xl/worksheets/sheet17896.xml"/>
  <Override ContentType="application/vnd.openxmlformats-officedocument.spreadsheetml.worksheet+xml" PartName="/xl/worksheets/sheet17897.xml"/>
  <Override ContentType="application/vnd.openxmlformats-officedocument.spreadsheetml.worksheet+xml" PartName="/xl/worksheets/sheet17898.xml"/>
  <Override ContentType="application/vnd.openxmlformats-officedocument.spreadsheetml.worksheet+xml" PartName="/xl/worksheets/sheet17899.xml"/>
  <Override ContentType="application/vnd.openxmlformats-officedocument.spreadsheetml.worksheet+xml" PartName="/xl/worksheets/sheet17900.xml"/>
  <Override ContentType="application/vnd.openxmlformats-officedocument.spreadsheetml.worksheet+xml" PartName="/xl/worksheets/sheet17901.xml"/>
  <Override ContentType="application/vnd.openxmlformats-officedocument.spreadsheetml.worksheet+xml" PartName="/xl/worksheets/sheet17902.xml"/>
  <Override ContentType="application/vnd.openxmlformats-officedocument.spreadsheetml.worksheet+xml" PartName="/xl/worksheets/sheet17903.xml"/>
  <Override ContentType="application/vnd.openxmlformats-officedocument.spreadsheetml.worksheet+xml" PartName="/xl/worksheets/sheet17904.xml"/>
  <Override ContentType="application/vnd.openxmlformats-officedocument.spreadsheetml.worksheet+xml" PartName="/xl/worksheets/sheet17905.xml"/>
  <Override ContentType="application/vnd.openxmlformats-officedocument.spreadsheetml.worksheet+xml" PartName="/xl/worksheets/sheet17906.xml"/>
  <Override ContentType="application/vnd.openxmlformats-officedocument.spreadsheetml.worksheet+xml" PartName="/xl/worksheets/sheet17907.xml"/>
  <Override ContentType="application/vnd.openxmlformats-officedocument.spreadsheetml.worksheet+xml" PartName="/xl/worksheets/sheet17908.xml"/>
  <Override ContentType="application/vnd.openxmlformats-officedocument.spreadsheetml.worksheet+xml" PartName="/xl/worksheets/sheet17909.xml"/>
  <Override ContentType="application/vnd.openxmlformats-officedocument.spreadsheetml.worksheet+xml" PartName="/xl/worksheets/sheet17910.xml"/>
  <Override ContentType="application/vnd.openxmlformats-officedocument.spreadsheetml.worksheet+xml" PartName="/xl/worksheets/sheet17911.xml"/>
  <Override ContentType="application/vnd.openxmlformats-officedocument.spreadsheetml.worksheet+xml" PartName="/xl/worksheets/sheet17912.xml"/>
  <Override ContentType="application/vnd.openxmlformats-officedocument.spreadsheetml.worksheet+xml" PartName="/xl/worksheets/sheet17913.xml"/>
  <Override ContentType="application/vnd.openxmlformats-officedocument.spreadsheetml.worksheet+xml" PartName="/xl/worksheets/sheet17914.xml"/>
  <Override ContentType="application/vnd.openxmlformats-officedocument.spreadsheetml.worksheet+xml" PartName="/xl/worksheets/sheet17915.xml"/>
  <Override ContentType="application/vnd.openxmlformats-officedocument.spreadsheetml.worksheet+xml" PartName="/xl/worksheets/sheet17916.xml"/>
  <Override ContentType="application/vnd.openxmlformats-officedocument.spreadsheetml.worksheet+xml" PartName="/xl/worksheets/sheet17917.xml"/>
  <Override ContentType="application/vnd.openxmlformats-officedocument.spreadsheetml.worksheet+xml" PartName="/xl/worksheets/sheet17918.xml"/>
  <Override ContentType="application/vnd.openxmlformats-officedocument.spreadsheetml.worksheet+xml" PartName="/xl/worksheets/sheet17919.xml"/>
  <Override ContentType="application/vnd.openxmlformats-officedocument.spreadsheetml.worksheet+xml" PartName="/xl/worksheets/sheet17920.xml"/>
  <Override ContentType="application/vnd.openxmlformats-officedocument.spreadsheetml.worksheet+xml" PartName="/xl/worksheets/sheet17921.xml"/>
  <Override ContentType="application/vnd.openxmlformats-officedocument.spreadsheetml.worksheet+xml" PartName="/xl/worksheets/sheet17922.xml"/>
  <Override ContentType="application/vnd.openxmlformats-officedocument.spreadsheetml.worksheet+xml" PartName="/xl/worksheets/sheet17923.xml"/>
  <Override ContentType="application/vnd.openxmlformats-officedocument.spreadsheetml.worksheet+xml" PartName="/xl/worksheets/sheet17924.xml"/>
  <Override ContentType="application/vnd.openxmlformats-officedocument.spreadsheetml.worksheet+xml" PartName="/xl/worksheets/sheet17925.xml"/>
  <Override ContentType="application/vnd.openxmlformats-officedocument.spreadsheetml.worksheet+xml" PartName="/xl/worksheets/sheet17926.xml"/>
  <Override ContentType="application/vnd.openxmlformats-officedocument.spreadsheetml.worksheet+xml" PartName="/xl/worksheets/sheet17927.xml"/>
  <Override ContentType="application/vnd.openxmlformats-officedocument.spreadsheetml.worksheet+xml" PartName="/xl/worksheets/sheet17928.xml"/>
  <Override ContentType="application/vnd.openxmlformats-officedocument.spreadsheetml.worksheet+xml" PartName="/xl/worksheets/sheet17929.xml"/>
  <Override ContentType="application/vnd.openxmlformats-officedocument.spreadsheetml.worksheet+xml" PartName="/xl/worksheets/sheet17930.xml"/>
  <Override ContentType="application/vnd.openxmlformats-officedocument.spreadsheetml.worksheet+xml" PartName="/xl/worksheets/sheet17931.xml"/>
  <Override ContentType="application/vnd.openxmlformats-officedocument.spreadsheetml.worksheet+xml" PartName="/xl/worksheets/sheet17932.xml"/>
  <Override ContentType="application/vnd.openxmlformats-officedocument.spreadsheetml.worksheet+xml" PartName="/xl/worksheets/sheet17933.xml"/>
  <Override ContentType="application/vnd.openxmlformats-officedocument.spreadsheetml.worksheet+xml" PartName="/xl/worksheets/sheet17934.xml"/>
  <Override ContentType="application/vnd.openxmlformats-officedocument.spreadsheetml.worksheet+xml" PartName="/xl/worksheets/sheet17935.xml"/>
  <Override ContentType="application/vnd.openxmlformats-officedocument.spreadsheetml.worksheet+xml" PartName="/xl/worksheets/sheet17936.xml"/>
  <Override ContentType="application/vnd.openxmlformats-officedocument.spreadsheetml.worksheet+xml" PartName="/xl/worksheets/sheet17937.xml"/>
  <Override ContentType="application/vnd.openxmlformats-officedocument.spreadsheetml.worksheet+xml" PartName="/xl/worksheets/sheet17938.xml"/>
  <Override ContentType="application/vnd.openxmlformats-officedocument.spreadsheetml.worksheet+xml" PartName="/xl/worksheets/sheet17939.xml"/>
  <Override ContentType="application/vnd.openxmlformats-officedocument.spreadsheetml.worksheet+xml" PartName="/xl/worksheets/sheet17940.xml"/>
  <Override ContentType="application/vnd.openxmlformats-officedocument.spreadsheetml.worksheet+xml" PartName="/xl/worksheets/sheet17941.xml"/>
  <Override ContentType="application/vnd.openxmlformats-officedocument.spreadsheetml.worksheet+xml" PartName="/xl/worksheets/sheet17942.xml"/>
  <Override ContentType="application/vnd.openxmlformats-officedocument.spreadsheetml.worksheet+xml" PartName="/xl/worksheets/sheet17943.xml"/>
  <Override ContentType="application/vnd.openxmlformats-officedocument.spreadsheetml.worksheet+xml" PartName="/xl/worksheets/sheet17944.xml"/>
  <Override ContentType="application/vnd.openxmlformats-officedocument.spreadsheetml.worksheet+xml" PartName="/xl/worksheets/sheet17945.xml"/>
  <Override ContentType="application/vnd.openxmlformats-officedocument.spreadsheetml.worksheet+xml" PartName="/xl/worksheets/sheet17946.xml"/>
  <Override ContentType="application/vnd.openxmlformats-officedocument.spreadsheetml.worksheet+xml" PartName="/xl/worksheets/sheet17947.xml"/>
  <Override ContentType="application/vnd.openxmlformats-officedocument.spreadsheetml.worksheet+xml" PartName="/xl/worksheets/sheet17948.xml"/>
  <Override ContentType="application/vnd.openxmlformats-officedocument.spreadsheetml.worksheet+xml" PartName="/xl/worksheets/sheet17949.xml"/>
  <Override ContentType="application/vnd.openxmlformats-officedocument.spreadsheetml.worksheet+xml" PartName="/xl/worksheets/sheet17950.xml"/>
  <Override ContentType="application/vnd.openxmlformats-officedocument.spreadsheetml.worksheet+xml" PartName="/xl/worksheets/sheet17951.xml"/>
  <Override ContentType="application/vnd.openxmlformats-officedocument.spreadsheetml.worksheet+xml" PartName="/xl/worksheets/sheet17952.xml"/>
  <Override ContentType="application/vnd.openxmlformats-officedocument.spreadsheetml.worksheet+xml" PartName="/xl/worksheets/sheet17953.xml"/>
  <Override ContentType="application/vnd.openxmlformats-officedocument.spreadsheetml.worksheet+xml" PartName="/xl/worksheets/sheet17954.xml"/>
  <Override ContentType="application/vnd.openxmlformats-officedocument.spreadsheetml.worksheet+xml" PartName="/xl/worksheets/sheet17955.xml"/>
  <Override ContentType="application/vnd.openxmlformats-officedocument.spreadsheetml.worksheet+xml" PartName="/xl/worksheets/sheet17956.xml"/>
  <Override ContentType="application/vnd.openxmlformats-officedocument.spreadsheetml.worksheet+xml" PartName="/xl/worksheets/sheet17957.xml"/>
  <Override ContentType="application/vnd.openxmlformats-officedocument.spreadsheetml.worksheet+xml" PartName="/xl/worksheets/sheet17958.xml"/>
  <Override ContentType="application/vnd.openxmlformats-officedocument.spreadsheetml.worksheet+xml" PartName="/xl/worksheets/sheet17959.xml"/>
  <Override ContentType="application/vnd.openxmlformats-officedocument.spreadsheetml.worksheet+xml" PartName="/xl/worksheets/sheet17960.xml"/>
  <Override ContentType="application/vnd.openxmlformats-officedocument.spreadsheetml.worksheet+xml" PartName="/xl/worksheets/sheet17961.xml"/>
  <Override ContentType="application/vnd.openxmlformats-officedocument.spreadsheetml.worksheet+xml" PartName="/xl/worksheets/sheet17962.xml"/>
  <Override ContentType="application/vnd.openxmlformats-officedocument.spreadsheetml.worksheet+xml" PartName="/xl/worksheets/sheet17963.xml"/>
  <Override ContentType="application/vnd.openxmlformats-officedocument.spreadsheetml.worksheet+xml" PartName="/xl/worksheets/sheet17964.xml"/>
  <Override ContentType="application/vnd.openxmlformats-officedocument.spreadsheetml.worksheet+xml" PartName="/xl/worksheets/sheet17965.xml"/>
  <Override ContentType="application/vnd.openxmlformats-officedocument.spreadsheetml.worksheet+xml" PartName="/xl/worksheets/sheet17966.xml"/>
  <Override ContentType="application/vnd.openxmlformats-officedocument.spreadsheetml.worksheet+xml" PartName="/xl/worksheets/sheet17967.xml"/>
  <Override ContentType="application/vnd.openxmlformats-officedocument.spreadsheetml.worksheet+xml" PartName="/xl/worksheets/sheet17968.xml"/>
  <Override ContentType="application/vnd.openxmlformats-officedocument.spreadsheetml.worksheet+xml" PartName="/xl/worksheets/sheet17969.xml"/>
  <Override ContentType="application/vnd.openxmlformats-officedocument.spreadsheetml.worksheet+xml" PartName="/xl/worksheets/sheet17970.xml"/>
  <Override ContentType="application/vnd.openxmlformats-officedocument.spreadsheetml.worksheet+xml" PartName="/xl/worksheets/sheet17971.xml"/>
  <Override ContentType="application/vnd.openxmlformats-officedocument.spreadsheetml.worksheet+xml" PartName="/xl/worksheets/sheet17972.xml"/>
  <Override ContentType="application/vnd.openxmlformats-officedocument.spreadsheetml.worksheet+xml" PartName="/xl/worksheets/sheet17973.xml"/>
  <Override ContentType="application/vnd.openxmlformats-officedocument.spreadsheetml.worksheet+xml" PartName="/xl/worksheets/sheet17974.xml"/>
  <Override ContentType="application/vnd.openxmlformats-officedocument.spreadsheetml.worksheet+xml" PartName="/xl/worksheets/sheet17975.xml"/>
  <Override ContentType="application/vnd.openxmlformats-officedocument.spreadsheetml.worksheet+xml" PartName="/xl/worksheets/sheet17976.xml"/>
  <Override ContentType="application/vnd.openxmlformats-officedocument.spreadsheetml.worksheet+xml" PartName="/xl/worksheets/sheet17977.xml"/>
  <Override ContentType="application/vnd.openxmlformats-officedocument.spreadsheetml.worksheet+xml" PartName="/xl/worksheets/sheet17978.xml"/>
  <Override ContentType="application/vnd.openxmlformats-officedocument.spreadsheetml.worksheet+xml" PartName="/xl/worksheets/sheet17979.xml"/>
  <Override ContentType="application/vnd.openxmlformats-officedocument.spreadsheetml.worksheet+xml" PartName="/xl/worksheets/sheet17980.xml"/>
  <Override ContentType="application/vnd.openxmlformats-officedocument.spreadsheetml.worksheet+xml" PartName="/xl/worksheets/sheet17981.xml"/>
  <Override ContentType="application/vnd.openxmlformats-officedocument.spreadsheetml.worksheet+xml" PartName="/xl/worksheets/sheet17982.xml"/>
  <Override ContentType="application/vnd.openxmlformats-officedocument.spreadsheetml.worksheet+xml" PartName="/xl/worksheets/sheet17983.xml"/>
  <Override ContentType="application/vnd.openxmlformats-officedocument.spreadsheetml.worksheet+xml" PartName="/xl/worksheets/sheet17984.xml"/>
  <Override ContentType="application/vnd.openxmlformats-officedocument.spreadsheetml.worksheet+xml" PartName="/xl/worksheets/sheet17985.xml"/>
  <Override ContentType="application/vnd.openxmlformats-officedocument.spreadsheetml.worksheet+xml" PartName="/xl/worksheets/sheet17986.xml"/>
  <Override ContentType="application/vnd.openxmlformats-officedocument.spreadsheetml.worksheet+xml" PartName="/xl/worksheets/sheet17987.xml"/>
  <Override ContentType="application/vnd.openxmlformats-officedocument.spreadsheetml.worksheet+xml" PartName="/xl/worksheets/sheet17988.xml"/>
  <Override ContentType="application/vnd.openxmlformats-officedocument.spreadsheetml.worksheet+xml" PartName="/xl/worksheets/sheet17989.xml"/>
  <Override ContentType="application/vnd.openxmlformats-officedocument.spreadsheetml.worksheet+xml" PartName="/xl/worksheets/sheet17990.xml"/>
  <Override ContentType="application/vnd.openxmlformats-officedocument.spreadsheetml.worksheet+xml" PartName="/xl/worksheets/sheet17991.xml"/>
  <Override ContentType="application/vnd.openxmlformats-officedocument.spreadsheetml.worksheet+xml" PartName="/xl/worksheets/sheet17992.xml"/>
  <Override ContentType="application/vnd.openxmlformats-officedocument.spreadsheetml.worksheet+xml" PartName="/xl/worksheets/sheet17993.xml"/>
  <Override ContentType="application/vnd.openxmlformats-officedocument.spreadsheetml.worksheet+xml" PartName="/xl/worksheets/sheet17994.xml"/>
  <Override ContentType="application/vnd.openxmlformats-officedocument.spreadsheetml.worksheet+xml" PartName="/xl/worksheets/sheet17995.xml"/>
  <Override ContentType="application/vnd.openxmlformats-officedocument.spreadsheetml.worksheet+xml" PartName="/xl/worksheets/sheet17996.xml"/>
  <Override ContentType="application/vnd.openxmlformats-officedocument.spreadsheetml.worksheet+xml" PartName="/xl/worksheets/sheet17997.xml"/>
  <Override ContentType="application/vnd.openxmlformats-officedocument.spreadsheetml.worksheet+xml" PartName="/xl/worksheets/sheet17998.xml"/>
  <Override ContentType="application/vnd.openxmlformats-officedocument.spreadsheetml.worksheet+xml" PartName="/xl/worksheets/sheet17999.xml"/>
  <Override ContentType="application/vnd.openxmlformats-officedocument.spreadsheetml.worksheet+xml" PartName="/xl/worksheets/sheet18000.xml"/>
  <Override ContentType="application/vnd.openxmlformats-officedocument.spreadsheetml.worksheet+xml" PartName="/xl/worksheets/sheet18001.xml"/>
  <Override ContentType="application/vnd.openxmlformats-officedocument.spreadsheetml.worksheet+xml" PartName="/xl/worksheets/sheet18002.xml"/>
  <Override ContentType="application/vnd.openxmlformats-officedocument.spreadsheetml.worksheet+xml" PartName="/xl/worksheets/sheet18003.xml"/>
  <Override ContentType="application/vnd.openxmlformats-officedocument.spreadsheetml.worksheet+xml" PartName="/xl/worksheets/sheet18004.xml"/>
  <Override ContentType="application/vnd.openxmlformats-officedocument.spreadsheetml.worksheet+xml" PartName="/xl/worksheets/sheet18005.xml"/>
  <Override ContentType="application/vnd.openxmlformats-officedocument.spreadsheetml.worksheet+xml" PartName="/xl/worksheets/sheet18006.xml"/>
  <Override ContentType="application/vnd.openxmlformats-officedocument.spreadsheetml.worksheet+xml" PartName="/xl/worksheets/sheet18007.xml"/>
  <Override ContentType="application/vnd.openxmlformats-officedocument.spreadsheetml.worksheet+xml" PartName="/xl/worksheets/sheet18008.xml"/>
  <Override ContentType="application/vnd.openxmlformats-officedocument.spreadsheetml.worksheet+xml" PartName="/xl/worksheets/sheet18009.xml"/>
  <Override ContentType="application/vnd.openxmlformats-officedocument.spreadsheetml.worksheet+xml" PartName="/xl/worksheets/sheet18010.xml"/>
  <Override ContentType="application/vnd.openxmlformats-officedocument.spreadsheetml.worksheet+xml" PartName="/xl/worksheets/sheet18011.xml"/>
  <Override ContentType="application/vnd.openxmlformats-officedocument.spreadsheetml.worksheet+xml" PartName="/xl/worksheets/sheet18012.xml"/>
  <Override ContentType="application/vnd.openxmlformats-officedocument.spreadsheetml.worksheet+xml" PartName="/xl/worksheets/sheet18013.xml"/>
  <Override ContentType="application/vnd.openxmlformats-officedocument.spreadsheetml.worksheet+xml" PartName="/xl/worksheets/sheet18014.xml"/>
  <Override ContentType="application/vnd.openxmlformats-officedocument.spreadsheetml.worksheet+xml" PartName="/xl/worksheets/sheet18015.xml"/>
  <Override ContentType="application/vnd.openxmlformats-officedocument.spreadsheetml.worksheet+xml" PartName="/xl/worksheets/sheet18016.xml"/>
  <Override ContentType="application/vnd.openxmlformats-officedocument.spreadsheetml.worksheet+xml" PartName="/xl/worksheets/sheet18017.xml"/>
  <Override ContentType="application/vnd.openxmlformats-officedocument.spreadsheetml.worksheet+xml" PartName="/xl/worksheets/sheet18018.xml"/>
  <Override ContentType="application/vnd.openxmlformats-officedocument.spreadsheetml.worksheet+xml" PartName="/xl/worksheets/sheet18019.xml"/>
  <Override ContentType="application/vnd.openxmlformats-officedocument.spreadsheetml.worksheet+xml" PartName="/xl/worksheets/sheet18020.xml"/>
  <Override ContentType="application/vnd.openxmlformats-officedocument.spreadsheetml.worksheet+xml" PartName="/xl/worksheets/sheet18021.xml"/>
  <Override ContentType="application/vnd.openxmlformats-officedocument.spreadsheetml.worksheet+xml" PartName="/xl/worksheets/sheet18022.xml"/>
  <Override ContentType="application/vnd.openxmlformats-officedocument.spreadsheetml.worksheet+xml" PartName="/xl/worksheets/sheet18023.xml"/>
  <Override ContentType="application/vnd.openxmlformats-officedocument.spreadsheetml.worksheet+xml" PartName="/xl/worksheets/sheet18024.xml"/>
  <Override ContentType="application/vnd.openxmlformats-officedocument.spreadsheetml.worksheet+xml" PartName="/xl/worksheets/sheet18025.xml"/>
  <Override ContentType="application/vnd.openxmlformats-officedocument.spreadsheetml.worksheet+xml" PartName="/xl/worksheets/sheet18026.xml"/>
  <Override ContentType="application/vnd.openxmlformats-officedocument.spreadsheetml.worksheet+xml" PartName="/xl/worksheets/sheet18027.xml"/>
  <Override ContentType="application/vnd.openxmlformats-officedocument.spreadsheetml.worksheet+xml" PartName="/xl/worksheets/sheet18028.xml"/>
  <Override ContentType="application/vnd.openxmlformats-officedocument.spreadsheetml.worksheet+xml" PartName="/xl/worksheets/sheet18029.xml"/>
  <Override ContentType="application/vnd.openxmlformats-officedocument.spreadsheetml.worksheet+xml" PartName="/xl/worksheets/sheet18030.xml"/>
  <Override ContentType="application/vnd.openxmlformats-officedocument.spreadsheetml.worksheet+xml" PartName="/xl/worksheets/sheet18031.xml"/>
  <Override ContentType="application/vnd.openxmlformats-officedocument.spreadsheetml.worksheet+xml" PartName="/xl/worksheets/sheet18032.xml"/>
  <Override ContentType="application/vnd.openxmlformats-officedocument.spreadsheetml.worksheet+xml" PartName="/xl/worksheets/sheet18033.xml"/>
  <Override ContentType="application/vnd.openxmlformats-officedocument.spreadsheetml.worksheet+xml" PartName="/xl/worksheets/sheet18034.xml"/>
  <Override ContentType="application/vnd.openxmlformats-officedocument.spreadsheetml.worksheet+xml" PartName="/xl/worksheets/sheet18035.xml"/>
  <Override ContentType="application/vnd.openxmlformats-officedocument.spreadsheetml.worksheet+xml" PartName="/xl/worksheets/sheet18036.xml"/>
  <Override ContentType="application/vnd.openxmlformats-officedocument.spreadsheetml.worksheet+xml" PartName="/xl/worksheets/sheet18037.xml"/>
  <Override ContentType="application/vnd.openxmlformats-officedocument.spreadsheetml.worksheet+xml" PartName="/xl/worksheets/sheet18038.xml"/>
  <Override ContentType="application/vnd.openxmlformats-officedocument.spreadsheetml.worksheet+xml" PartName="/xl/worksheets/sheet18039.xml"/>
  <Override ContentType="application/vnd.openxmlformats-officedocument.spreadsheetml.worksheet+xml" PartName="/xl/worksheets/sheet18040.xml"/>
  <Override ContentType="application/vnd.openxmlformats-officedocument.spreadsheetml.worksheet+xml" PartName="/xl/worksheets/sheet18041.xml"/>
  <Override ContentType="application/vnd.openxmlformats-officedocument.spreadsheetml.worksheet+xml" PartName="/xl/worksheets/sheet18042.xml"/>
  <Override ContentType="application/vnd.openxmlformats-officedocument.spreadsheetml.worksheet+xml" PartName="/xl/worksheets/sheet18043.xml"/>
  <Override ContentType="application/vnd.openxmlformats-officedocument.spreadsheetml.worksheet+xml" PartName="/xl/worksheets/sheet18044.xml"/>
  <Override ContentType="application/vnd.openxmlformats-officedocument.spreadsheetml.worksheet+xml" PartName="/xl/worksheets/sheet18045.xml"/>
  <Override ContentType="application/vnd.openxmlformats-officedocument.spreadsheetml.worksheet+xml" PartName="/xl/worksheets/sheet18046.xml"/>
  <Override ContentType="application/vnd.openxmlformats-officedocument.spreadsheetml.worksheet+xml" PartName="/xl/worksheets/sheet18047.xml"/>
  <Override ContentType="application/vnd.openxmlformats-officedocument.spreadsheetml.worksheet+xml" PartName="/xl/worksheets/sheet18048.xml"/>
  <Override ContentType="application/vnd.openxmlformats-officedocument.spreadsheetml.worksheet+xml" PartName="/xl/worksheets/sheet18049.xml"/>
  <Override ContentType="application/vnd.openxmlformats-officedocument.spreadsheetml.worksheet+xml" PartName="/xl/worksheets/sheet18050.xml"/>
  <Override ContentType="application/vnd.openxmlformats-officedocument.spreadsheetml.worksheet+xml" PartName="/xl/worksheets/sheet18051.xml"/>
  <Override ContentType="application/vnd.openxmlformats-officedocument.spreadsheetml.worksheet+xml" PartName="/xl/worksheets/sheet18052.xml"/>
  <Override ContentType="application/vnd.openxmlformats-officedocument.spreadsheetml.worksheet+xml" PartName="/xl/worksheets/sheet18053.xml"/>
  <Override ContentType="application/vnd.openxmlformats-officedocument.spreadsheetml.worksheet+xml" PartName="/xl/worksheets/sheet18054.xml"/>
  <Override ContentType="application/vnd.openxmlformats-officedocument.spreadsheetml.worksheet+xml" PartName="/xl/worksheets/sheet18055.xml"/>
  <Override ContentType="application/vnd.openxmlformats-officedocument.spreadsheetml.worksheet+xml" PartName="/xl/worksheets/sheet18056.xml"/>
  <Override ContentType="application/vnd.openxmlformats-officedocument.spreadsheetml.worksheet+xml" PartName="/xl/worksheets/sheet18057.xml"/>
  <Override ContentType="application/vnd.openxmlformats-officedocument.spreadsheetml.worksheet+xml" PartName="/xl/worksheets/sheet18058.xml"/>
  <Override ContentType="application/vnd.openxmlformats-officedocument.spreadsheetml.worksheet+xml" PartName="/xl/worksheets/sheet18059.xml"/>
  <Override ContentType="application/vnd.openxmlformats-officedocument.spreadsheetml.worksheet+xml" PartName="/xl/worksheets/sheet18060.xml"/>
  <Override ContentType="application/vnd.openxmlformats-officedocument.spreadsheetml.worksheet+xml" PartName="/xl/worksheets/sheet18061.xml"/>
  <Override ContentType="application/vnd.openxmlformats-officedocument.spreadsheetml.worksheet+xml" PartName="/xl/worksheets/sheet18062.xml"/>
  <Override ContentType="application/vnd.openxmlformats-officedocument.spreadsheetml.worksheet+xml" PartName="/xl/worksheets/sheet18063.xml"/>
  <Override ContentType="application/vnd.openxmlformats-officedocument.spreadsheetml.worksheet+xml" PartName="/xl/worksheets/sheet18064.xml"/>
  <Override ContentType="application/vnd.openxmlformats-officedocument.spreadsheetml.worksheet+xml" PartName="/xl/worksheets/sheet18065.xml"/>
  <Override ContentType="application/vnd.openxmlformats-officedocument.spreadsheetml.worksheet+xml" PartName="/xl/worksheets/sheet18066.xml"/>
  <Override ContentType="application/vnd.openxmlformats-officedocument.spreadsheetml.worksheet+xml" PartName="/xl/worksheets/sheet18067.xml"/>
  <Override ContentType="application/vnd.openxmlformats-officedocument.spreadsheetml.worksheet+xml" PartName="/xl/worksheets/sheet18068.xml"/>
  <Override ContentType="application/vnd.openxmlformats-officedocument.spreadsheetml.worksheet+xml" PartName="/xl/worksheets/sheet18069.xml"/>
  <Override ContentType="application/vnd.openxmlformats-officedocument.spreadsheetml.worksheet+xml" PartName="/xl/worksheets/sheet18070.xml"/>
  <Override ContentType="application/vnd.openxmlformats-officedocument.spreadsheetml.worksheet+xml" PartName="/xl/worksheets/sheet18071.xml"/>
  <Override ContentType="application/vnd.openxmlformats-officedocument.spreadsheetml.worksheet+xml" PartName="/xl/worksheets/sheet18072.xml"/>
  <Override ContentType="application/vnd.openxmlformats-officedocument.spreadsheetml.worksheet+xml" PartName="/xl/worksheets/sheet18073.xml"/>
  <Override ContentType="application/vnd.openxmlformats-officedocument.spreadsheetml.worksheet+xml" PartName="/xl/worksheets/sheet18074.xml"/>
  <Override ContentType="application/vnd.openxmlformats-officedocument.spreadsheetml.worksheet+xml" PartName="/xl/worksheets/sheet18075.xml"/>
  <Override ContentType="application/vnd.openxmlformats-officedocument.spreadsheetml.worksheet+xml" PartName="/xl/worksheets/sheet18076.xml"/>
  <Override ContentType="application/vnd.openxmlformats-officedocument.spreadsheetml.worksheet+xml" PartName="/xl/worksheets/sheet18077.xml"/>
  <Override ContentType="application/vnd.openxmlformats-officedocument.spreadsheetml.worksheet+xml" PartName="/xl/worksheets/sheet18078.xml"/>
  <Override ContentType="application/vnd.openxmlformats-officedocument.spreadsheetml.worksheet+xml" PartName="/xl/worksheets/sheet18079.xml"/>
  <Override ContentType="application/vnd.openxmlformats-officedocument.spreadsheetml.worksheet+xml" PartName="/xl/worksheets/sheet18080.xml"/>
  <Override ContentType="application/vnd.openxmlformats-officedocument.spreadsheetml.worksheet+xml" PartName="/xl/worksheets/sheet18081.xml"/>
  <Override ContentType="application/vnd.openxmlformats-officedocument.spreadsheetml.worksheet+xml" PartName="/xl/worksheets/sheet18082.xml"/>
  <Override ContentType="application/vnd.openxmlformats-officedocument.spreadsheetml.worksheet+xml" PartName="/xl/worksheets/sheet18083.xml"/>
  <Override ContentType="application/vnd.openxmlformats-officedocument.spreadsheetml.worksheet+xml" PartName="/xl/worksheets/sheet18084.xml"/>
  <Override ContentType="application/vnd.openxmlformats-officedocument.spreadsheetml.worksheet+xml" PartName="/xl/worksheets/sheet18085.xml"/>
  <Override ContentType="application/vnd.openxmlformats-officedocument.spreadsheetml.worksheet+xml" PartName="/xl/worksheets/sheet18086.xml"/>
  <Override ContentType="application/vnd.openxmlformats-officedocument.spreadsheetml.worksheet+xml" PartName="/xl/worksheets/sheet18087.xml"/>
  <Override ContentType="application/vnd.openxmlformats-officedocument.spreadsheetml.worksheet+xml" PartName="/xl/worksheets/sheet18088.xml"/>
  <Override ContentType="application/vnd.openxmlformats-officedocument.spreadsheetml.worksheet+xml" PartName="/xl/worksheets/sheet18089.xml"/>
  <Override ContentType="application/vnd.openxmlformats-officedocument.spreadsheetml.worksheet+xml" PartName="/xl/worksheets/sheet18090.xml"/>
  <Override ContentType="application/vnd.openxmlformats-officedocument.spreadsheetml.worksheet+xml" PartName="/xl/worksheets/sheet18091.xml"/>
  <Override ContentType="application/vnd.openxmlformats-officedocument.spreadsheetml.worksheet+xml" PartName="/xl/worksheets/sheet18092.xml"/>
  <Override ContentType="application/vnd.openxmlformats-officedocument.spreadsheetml.worksheet+xml" PartName="/xl/worksheets/sheet18093.xml"/>
  <Override ContentType="application/vnd.openxmlformats-officedocument.spreadsheetml.worksheet+xml" PartName="/xl/worksheets/sheet18094.xml"/>
  <Override ContentType="application/vnd.openxmlformats-officedocument.spreadsheetml.worksheet+xml" PartName="/xl/worksheets/sheet18095.xml"/>
  <Override ContentType="application/vnd.openxmlformats-officedocument.spreadsheetml.worksheet+xml" PartName="/xl/worksheets/sheet18096.xml"/>
  <Override ContentType="application/vnd.openxmlformats-officedocument.spreadsheetml.worksheet+xml" PartName="/xl/worksheets/sheet18097.xml"/>
  <Override ContentType="application/vnd.openxmlformats-officedocument.spreadsheetml.worksheet+xml" PartName="/xl/worksheets/sheet18098.xml"/>
  <Override ContentType="application/vnd.openxmlformats-officedocument.spreadsheetml.worksheet+xml" PartName="/xl/worksheets/sheet18099.xml"/>
  <Override ContentType="application/vnd.openxmlformats-officedocument.spreadsheetml.worksheet+xml" PartName="/xl/worksheets/sheet18100.xml"/>
  <Override ContentType="application/vnd.openxmlformats-officedocument.spreadsheetml.worksheet+xml" PartName="/xl/worksheets/sheet18101.xml"/>
  <Override ContentType="application/vnd.openxmlformats-officedocument.spreadsheetml.worksheet+xml" PartName="/xl/worksheets/sheet18102.xml"/>
  <Override ContentType="application/vnd.openxmlformats-officedocument.spreadsheetml.worksheet+xml" PartName="/xl/worksheets/sheet18103.xml"/>
  <Override ContentType="application/vnd.openxmlformats-officedocument.spreadsheetml.worksheet+xml" PartName="/xl/worksheets/sheet18104.xml"/>
  <Override ContentType="application/vnd.openxmlformats-officedocument.spreadsheetml.worksheet+xml" PartName="/xl/worksheets/sheet18105.xml"/>
  <Override ContentType="application/vnd.openxmlformats-officedocument.spreadsheetml.worksheet+xml" PartName="/xl/worksheets/sheet18106.xml"/>
  <Override ContentType="application/vnd.openxmlformats-officedocument.spreadsheetml.worksheet+xml" PartName="/xl/worksheets/sheet18107.xml"/>
  <Override ContentType="application/vnd.openxmlformats-officedocument.spreadsheetml.worksheet+xml" PartName="/xl/worksheets/sheet18108.xml"/>
  <Override ContentType="application/vnd.openxmlformats-officedocument.spreadsheetml.worksheet+xml" PartName="/xl/worksheets/sheet18109.xml"/>
  <Override ContentType="application/vnd.openxmlformats-officedocument.spreadsheetml.worksheet+xml" PartName="/xl/worksheets/sheet18110.xml"/>
  <Override ContentType="application/vnd.openxmlformats-officedocument.spreadsheetml.worksheet+xml" PartName="/xl/worksheets/sheet18111.xml"/>
  <Override ContentType="application/vnd.openxmlformats-officedocument.spreadsheetml.worksheet+xml" PartName="/xl/worksheets/sheet18112.xml"/>
  <Override ContentType="application/vnd.openxmlformats-officedocument.spreadsheetml.worksheet+xml" PartName="/xl/worksheets/sheet18113.xml"/>
  <Override ContentType="application/vnd.openxmlformats-officedocument.spreadsheetml.worksheet+xml" PartName="/xl/worksheets/sheet18114.xml"/>
  <Override ContentType="application/vnd.openxmlformats-officedocument.spreadsheetml.worksheet+xml" PartName="/xl/worksheets/sheet18115.xml"/>
  <Override ContentType="application/vnd.openxmlformats-officedocument.spreadsheetml.worksheet+xml" PartName="/xl/worksheets/sheet18116.xml"/>
  <Override ContentType="application/vnd.openxmlformats-officedocument.spreadsheetml.worksheet+xml" PartName="/xl/worksheets/sheet18117.xml"/>
  <Override ContentType="application/vnd.openxmlformats-officedocument.spreadsheetml.worksheet+xml" PartName="/xl/worksheets/sheet18118.xml"/>
  <Override ContentType="application/vnd.openxmlformats-officedocument.spreadsheetml.worksheet+xml" PartName="/xl/worksheets/sheet18119.xml"/>
  <Override ContentType="application/vnd.openxmlformats-officedocument.spreadsheetml.worksheet+xml" PartName="/xl/worksheets/sheet18120.xml"/>
  <Override ContentType="application/vnd.openxmlformats-officedocument.spreadsheetml.worksheet+xml" PartName="/xl/worksheets/sheet18121.xml"/>
  <Override ContentType="application/vnd.openxmlformats-officedocument.spreadsheetml.worksheet+xml" PartName="/xl/worksheets/sheet18122.xml"/>
  <Override ContentType="application/vnd.openxmlformats-officedocument.spreadsheetml.worksheet+xml" PartName="/xl/worksheets/sheet18123.xml"/>
  <Override ContentType="application/vnd.openxmlformats-officedocument.spreadsheetml.worksheet+xml" PartName="/xl/worksheets/sheet18124.xml"/>
  <Override ContentType="application/vnd.openxmlformats-officedocument.spreadsheetml.worksheet+xml" PartName="/xl/worksheets/sheet18125.xml"/>
  <Override ContentType="application/vnd.openxmlformats-officedocument.spreadsheetml.worksheet+xml" PartName="/xl/worksheets/sheet18126.xml"/>
  <Override ContentType="application/vnd.openxmlformats-officedocument.spreadsheetml.worksheet+xml" PartName="/xl/worksheets/sheet18127.xml"/>
  <Override ContentType="application/vnd.openxmlformats-officedocument.spreadsheetml.worksheet+xml" PartName="/xl/worksheets/sheet18128.xml"/>
  <Override ContentType="application/vnd.openxmlformats-officedocument.spreadsheetml.worksheet+xml" PartName="/xl/worksheets/sheet18129.xml"/>
  <Override ContentType="application/vnd.openxmlformats-officedocument.spreadsheetml.worksheet+xml" PartName="/xl/worksheets/sheet18130.xml"/>
  <Override ContentType="application/vnd.openxmlformats-officedocument.spreadsheetml.worksheet+xml" PartName="/xl/worksheets/sheet18131.xml"/>
  <Override ContentType="application/vnd.openxmlformats-officedocument.spreadsheetml.worksheet+xml" PartName="/xl/worksheets/sheet18132.xml"/>
  <Override ContentType="application/vnd.openxmlformats-officedocument.spreadsheetml.worksheet+xml" PartName="/xl/worksheets/sheet18133.xml"/>
  <Override ContentType="application/vnd.openxmlformats-officedocument.spreadsheetml.worksheet+xml" PartName="/xl/worksheets/sheet18134.xml"/>
  <Override ContentType="application/vnd.openxmlformats-officedocument.spreadsheetml.worksheet+xml" PartName="/xl/worksheets/sheet18135.xml"/>
  <Override ContentType="application/vnd.openxmlformats-officedocument.spreadsheetml.worksheet+xml" PartName="/xl/worksheets/sheet18136.xml"/>
  <Override ContentType="application/vnd.openxmlformats-officedocument.spreadsheetml.worksheet+xml" PartName="/xl/worksheets/sheet18137.xml"/>
  <Override ContentType="application/vnd.openxmlformats-officedocument.spreadsheetml.worksheet+xml" PartName="/xl/worksheets/sheet18138.xml"/>
  <Override ContentType="application/vnd.openxmlformats-officedocument.spreadsheetml.worksheet+xml" PartName="/xl/worksheets/sheet18139.xml"/>
  <Override ContentType="application/vnd.openxmlformats-officedocument.spreadsheetml.worksheet+xml" PartName="/xl/worksheets/sheet18140.xml"/>
  <Override ContentType="application/vnd.openxmlformats-officedocument.spreadsheetml.worksheet+xml" PartName="/xl/worksheets/sheet18141.xml"/>
  <Override ContentType="application/vnd.openxmlformats-officedocument.spreadsheetml.worksheet+xml" PartName="/xl/worksheets/sheet18142.xml"/>
  <Override ContentType="application/vnd.openxmlformats-officedocument.spreadsheetml.worksheet+xml" PartName="/xl/worksheets/sheet18143.xml"/>
  <Override ContentType="application/vnd.openxmlformats-officedocument.spreadsheetml.worksheet+xml" PartName="/xl/worksheets/sheet18144.xml"/>
  <Override ContentType="application/vnd.openxmlformats-officedocument.spreadsheetml.worksheet+xml" PartName="/xl/worksheets/sheet18145.xml"/>
  <Override ContentType="application/vnd.openxmlformats-officedocument.spreadsheetml.worksheet+xml" PartName="/xl/worksheets/sheet18146.xml"/>
  <Override ContentType="application/vnd.openxmlformats-officedocument.spreadsheetml.worksheet+xml" PartName="/xl/worksheets/sheet18147.xml"/>
  <Override ContentType="application/vnd.openxmlformats-officedocument.spreadsheetml.worksheet+xml" PartName="/xl/worksheets/sheet18148.xml"/>
  <Override ContentType="application/vnd.openxmlformats-officedocument.spreadsheetml.worksheet+xml" PartName="/xl/worksheets/sheet18149.xml"/>
  <Override ContentType="application/vnd.openxmlformats-officedocument.spreadsheetml.worksheet+xml" PartName="/xl/worksheets/sheet18150.xml"/>
  <Override ContentType="application/vnd.openxmlformats-officedocument.spreadsheetml.worksheet+xml" PartName="/xl/worksheets/sheet18151.xml"/>
  <Override ContentType="application/vnd.openxmlformats-officedocument.spreadsheetml.worksheet+xml" PartName="/xl/worksheets/sheet18152.xml"/>
  <Override ContentType="application/vnd.openxmlformats-officedocument.spreadsheetml.worksheet+xml" PartName="/xl/worksheets/sheet18153.xml"/>
  <Override ContentType="application/vnd.openxmlformats-officedocument.spreadsheetml.worksheet+xml" PartName="/xl/worksheets/sheet18154.xml"/>
  <Override ContentType="application/vnd.openxmlformats-officedocument.spreadsheetml.worksheet+xml" PartName="/xl/worksheets/sheet18155.xml"/>
  <Override ContentType="application/vnd.openxmlformats-officedocument.spreadsheetml.worksheet+xml" PartName="/xl/worksheets/sheet18156.xml"/>
  <Override ContentType="application/vnd.openxmlformats-officedocument.spreadsheetml.worksheet+xml" PartName="/xl/worksheets/sheet18157.xml"/>
  <Override ContentType="application/vnd.openxmlformats-officedocument.spreadsheetml.worksheet+xml" PartName="/xl/worksheets/sheet18158.xml"/>
  <Override ContentType="application/vnd.openxmlformats-officedocument.spreadsheetml.worksheet+xml" PartName="/xl/worksheets/sheet18159.xml"/>
  <Override ContentType="application/vnd.openxmlformats-officedocument.spreadsheetml.worksheet+xml" PartName="/xl/worksheets/sheet18160.xml"/>
  <Override ContentType="application/vnd.openxmlformats-officedocument.spreadsheetml.worksheet+xml" PartName="/xl/worksheets/sheet18161.xml"/>
  <Override ContentType="application/vnd.openxmlformats-officedocument.spreadsheetml.worksheet+xml" PartName="/xl/worksheets/sheet18162.xml"/>
  <Override ContentType="application/vnd.openxmlformats-officedocument.spreadsheetml.worksheet+xml" PartName="/xl/worksheets/sheet18163.xml"/>
  <Override ContentType="application/vnd.openxmlformats-officedocument.spreadsheetml.worksheet+xml" PartName="/xl/worksheets/sheet18164.xml"/>
  <Override ContentType="application/vnd.openxmlformats-officedocument.spreadsheetml.worksheet+xml" PartName="/xl/worksheets/sheet18165.xml"/>
  <Override ContentType="application/vnd.openxmlformats-officedocument.spreadsheetml.worksheet+xml" PartName="/xl/worksheets/sheet18166.xml"/>
  <Override ContentType="application/vnd.openxmlformats-officedocument.spreadsheetml.worksheet+xml" PartName="/xl/worksheets/sheet18167.xml"/>
  <Override ContentType="application/vnd.openxmlformats-officedocument.spreadsheetml.worksheet+xml" PartName="/xl/worksheets/sheet18168.xml"/>
  <Override ContentType="application/vnd.openxmlformats-officedocument.spreadsheetml.worksheet+xml" PartName="/xl/worksheets/sheet18169.xml"/>
  <Override ContentType="application/vnd.openxmlformats-officedocument.spreadsheetml.worksheet+xml" PartName="/xl/worksheets/sheet18170.xml"/>
  <Override ContentType="application/vnd.openxmlformats-officedocument.spreadsheetml.worksheet+xml" PartName="/xl/worksheets/sheet18171.xml"/>
  <Override ContentType="application/vnd.openxmlformats-officedocument.spreadsheetml.worksheet+xml" PartName="/xl/worksheets/sheet18172.xml"/>
  <Override ContentType="application/vnd.openxmlformats-officedocument.spreadsheetml.worksheet+xml" PartName="/xl/worksheets/sheet18173.xml"/>
  <Override ContentType="application/vnd.openxmlformats-officedocument.spreadsheetml.worksheet+xml" PartName="/xl/worksheets/sheet18174.xml"/>
  <Override ContentType="application/vnd.openxmlformats-officedocument.spreadsheetml.worksheet+xml" PartName="/xl/worksheets/sheet18175.xml"/>
  <Override ContentType="application/vnd.openxmlformats-officedocument.spreadsheetml.worksheet+xml" PartName="/xl/worksheets/sheet18176.xml"/>
  <Override ContentType="application/vnd.openxmlformats-officedocument.spreadsheetml.worksheet+xml" PartName="/xl/worksheets/sheet18177.xml"/>
  <Override ContentType="application/vnd.openxmlformats-officedocument.spreadsheetml.worksheet+xml" PartName="/xl/worksheets/sheet18178.xml"/>
  <Override ContentType="application/vnd.openxmlformats-officedocument.spreadsheetml.worksheet+xml" PartName="/xl/worksheets/sheet18179.xml"/>
  <Override ContentType="application/vnd.openxmlformats-officedocument.spreadsheetml.worksheet+xml" PartName="/xl/worksheets/sheet18180.xml"/>
  <Override ContentType="application/vnd.openxmlformats-officedocument.spreadsheetml.worksheet+xml" PartName="/xl/worksheets/sheet18181.xml"/>
  <Override ContentType="application/vnd.openxmlformats-officedocument.spreadsheetml.worksheet+xml" PartName="/xl/worksheets/sheet18182.xml"/>
  <Override ContentType="application/vnd.openxmlformats-officedocument.spreadsheetml.worksheet+xml" PartName="/xl/worksheets/sheet18183.xml"/>
  <Override ContentType="application/vnd.openxmlformats-officedocument.spreadsheetml.worksheet+xml" PartName="/xl/worksheets/sheet18184.xml"/>
  <Override ContentType="application/vnd.openxmlformats-officedocument.spreadsheetml.worksheet+xml" PartName="/xl/worksheets/sheet18185.xml"/>
  <Override ContentType="application/vnd.openxmlformats-officedocument.spreadsheetml.worksheet+xml" PartName="/xl/worksheets/sheet18186.xml"/>
  <Override ContentType="application/vnd.openxmlformats-officedocument.spreadsheetml.worksheet+xml" PartName="/xl/worksheets/sheet18187.xml"/>
  <Override ContentType="application/vnd.openxmlformats-officedocument.spreadsheetml.worksheet+xml" PartName="/xl/worksheets/sheet18188.xml"/>
  <Override ContentType="application/vnd.openxmlformats-officedocument.spreadsheetml.worksheet+xml" PartName="/xl/worksheets/sheet18189.xml"/>
  <Override ContentType="application/vnd.openxmlformats-officedocument.spreadsheetml.worksheet+xml" PartName="/xl/worksheets/sheet18190.xml"/>
  <Override ContentType="application/vnd.openxmlformats-officedocument.spreadsheetml.worksheet+xml" PartName="/xl/worksheets/sheet18191.xml"/>
  <Override ContentType="application/vnd.openxmlformats-officedocument.spreadsheetml.worksheet+xml" PartName="/xl/worksheets/sheet18192.xml"/>
  <Override ContentType="application/vnd.openxmlformats-officedocument.spreadsheetml.worksheet+xml" PartName="/xl/worksheets/sheet18193.xml"/>
  <Override ContentType="application/vnd.openxmlformats-officedocument.spreadsheetml.worksheet+xml" PartName="/xl/worksheets/sheet18194.xml"/>
  <Override ContentType="application/vnd.openxmlformats-officedocument.spreadsheetml.worksheet+xml" PartName="/xl/worksheets/sheet18195.xml"/>
  <Override ContentType="application/vnd.openxmlformats-officedocument.spreadsheetml.worksheet+xml" PartName="/xl/worksheets/sheet18196.xml"/>
  <Override ContentType="application/vnd.openxmlformats-officedocument.spreadsheetml.worksheet+xml" PartName="/xl/worksheets/sheet18197.xml"/>
  <Override ContentType="application/vnd.openxmlformats-officedocument.spreadsheetml.worksheet+xml" PartName="/xl/worksheets/sheet18198.xml"/>
  <Override ContentType="application/vnd.openxmlformats-officedocument.spreadsheetml.worksheet+xml" PartName="/xl/worksheets/sheet18199.xml"/>
  <Override ContentType="application/vnd.openxmlformats-officedocument.spreadsheetml.worksheet+xml" PartName="/xl/worksheets/sheet18200.xml"/>
  <Override ContentType="application/vnd.openxmlformats-officedocument.spreadsheetml.worksheet+xml" PartName="/xl/worksheets/sheet18201.xml"/>
  <Override ContentType="application/vnd.openxmlformats-officedocument.spreadsheetml.worksheet+xml" PartName="/xl/worksheets/sheet18202.xml"/>
  <Override ContentType="application/vnd.openxmlformats-officedocument.spreadsheetml.worksheet+xml" PartName="/xl/worksheets/sheet18203.xml"/>
  <Override ContentType="application/vnd.openxmlformats-officedocument.spreadsheetml.worksheet+xml" PartName="/xl/worksheets/sheet18204.xml"/>
  <Override ContentType="application/vnd.openxmlformats-officedocument.spreadsheetml.worksheet+xml" PartName="/xl/worksheets/sheet18205.xml"/>
  <Override ContentType="application/vnd.openxmlformats-officedocument.spreadsheetml.worksheet+xml" PartName="/xl/worksheets/sheet18206.xml"/>
  <Override ContentType="application/vnd.openxmlformats-officedocument.spreadsheetml.worksheet+xml" PartName="/xl/worksheets/sheet18207.xml"/>
  <Override ContentType="application/vnd.openxmlformats-officedocument.spreadsheetml.worksheet+xml" PartName="/xl/worksheets/sheet18208.xml"/>
  <Override ContentType="application/vnd.openxmlformats-officedocument.spreadsheetml.worksheet+xml" PartName="/xl/worksheets/sheet18209.xml"/>
  <Override ContentType="application/vnd.openxmlformats-officedocument.spreadsheetml.worksheet+xml" PartName="/xl/worksheets/sheet18210.xml"/>
  <Override ContentType="application/vnd.openxmlformats-officedocument.spreadsheetml.worksheet+xml" PartName="/xl/worksheets/sheet18211.xml"/>
  <Override ContentType="application/vnd.openxmlformats-officedocument.spreadsheetml.worksheet+xml" PartName="/xl/worksheets/sheet18212.xml"/>
  <Override ContentType="application/vnd.openxmlformats-officedocument.spreadsheetml.worksheet+xml" PartName="/xl/worksheets/sheet18213.xml"/>
  <Override ContentType="application/vnd.openxmlformats-officedocument.spreadsheetml.worksheet+xml" PartName="/xl/worksheets/sheet18214.xml"/>
  <Override ContentType="application/vnd.openxmlformats-officedocument.spreadsheetml.worksheet+xml" PartName="/xl/worksheets/sheet18215.xml"/>
  <Override ContentType="application/vnd.openxmlformats-officedocument.spreadsheetml.worksheet+xml" PartName="/xl/worksheets/sheet18216.xml"/>
  <Override ContentType="application/vnd.openxmlformats-officedocument.spreadsheetml.worksheet+xml" PartName="/xl/worksheets/sheet18217.xml"/>
  <Override ContentType="application/vnd.openxmlformats-officedocument.spreadsheetml.worksheet+xml" PartName="/xl/worksheets/sheet18218.xml"/>
  <Override ContentType="application/vnd.openxmlformats-officedocument.spreadsheetml.worksheet+xml" PartName="/xl/worksheets/sheet18219.xml"/>
  <Override ContentType="application/vnd.openxmlformats-officedocument.spreadsheetml.worksheet+xml" PartName="/xl/worksheets/sheet18220.xml"/>
  <Override ContentType="application/vnd.openxmlformats-officedocument.spreadsheetml.worksheet+xml" PartName="/xl/worksheets/sheet18221.xml"/>
  <Override ContentType="application/vnd.openxmlformats-officedocument.spreadsheetml.worksheet+xml" PartName="/xl/worksheets/sheet18222.xml"/>
  <Override ContentType="application/vnd.openxmlformats-officedocument.spreadsheetml.worksheet+xml" PartName="/xl/worksheets/sheet18223.xml"/>
  <Override ContentType="application/vnd.openxmlformats-officedocument.spreadsheetml.worksheet+xml" PartName="/xl/worksheets/sheet18224.xml"/>
  <Override ContentType="application/vnd.openxmlformats-officedocument.spreadsheetml.worksheet+xml" PartName="/xl/worksheets/sheet18225.xml"/>
  <Override ContentType="application/vnd.openxmlformats-officedocument.spreadsheetml.worksheet+xml" PartName="/xl/worksheets/sheet18226.xml"/>
  <Override ContentType="application/vnd.openxmlformats-officedocument.spreadsheetml.worksheet+xml" PartName="/xl/worksheets/sheet18227.xml"/>
  <Override ContentType="application/vnd.openxmlformats-officedocument.spreadsheetml.worksheet+xml" PartName="/xl/worksheets/sheet18228.xml"/>
  <Override ContentType="application/vnd.openxmlformats-officedocument.spreadsheetml.worksheet+xml" PartName="/xl/worksheets/sheet18229.xml"/>
  <Override ContentType="application/vnd.openxmlformats-officedocument.spreadsheetml.worksheet+xml" PartName="/xl/worksheets/sheet18230.xml"/>
  <Override ContentType="application/vnd.openxmlformats-officedocument.spreadsheetml.worksheet+xml" PartName="/xl/worksheets/sheet18231.xml"/>
  <Override ContentType="application/vnd.openxmlformats-officedocument.spreadsheetml.worksheet+xml" PartName="/xl/worksheets/sheet18232.xml"/>
  <Override ContentType="application/vnd.openxmlformats-officedocument.spreadsheetml.worksheet+xml" PartName="/xl/worksheets/sheet18233.xml"/>
  <Override ContentType="application/vnd.openxmlformats-officedocument.spreadsheetml.worksheet+xml" PartName="/xl/worksheets/sheet18234.xml"/>
  <Override ContentType="application/vnd.openxmlformats-officedocument.spreadsheetml.worksheet+xml" PartName="/xl/worksheets/sheet18235.xml"/>
  <Override ContentType="application/vnd.openxmlformats-officedocument.spreadsheetml.worksheet+xml" PartName="/xl/worksheets/sheet18236.xml"/>
  <Override ContentType="application/vnd.openxmlformats-officedocument.spreadsheetml.worksheet+xml" PartName="/xl/worksheets/sheet18237.xml"/>
  <Override ContentType="application/vnd.openxmlformats-officedocument.spreadsheetml.worksheet+xml" PartName="/xl/worksheets/sheet18238.xml"/>
  <Override ContentType="application/vnd.openxmlformats-officedocument.spreadsheetml.worksheet+xml" PartName="/xl/worksheets/sheet18239.xml"/>
  <Override ContentType="application/vnd.openxmlformats-officedocument.spreadsheetml.worksheet+xml" PartName="/xl/worksheets/sheet18240.xml"/>
  <Override ContentType="application/vnd.openxmlformats-officedocument.spreadsheetml.worksheet+xml" PartName="/xl/worksheets/sheet18241.xml"/>
  <Override ContentType="application/vnd.openxmlformats-officedocument.spreadsheetml.worksheet+xml" PartName="/xl/worksheets/sheet18242.xml"/>
  <Override ContentType="application/vnd.openxmlformats-officedocument.spreadsheetml.worksheet+xml" PartName="/xl/worksheets/sheet18243.xml"/>
  <Override ContentType="application/vnd.openxmlformats-officedocument.spreadsheetml.worksheet+xml" PartName="/xl/worksheets/sheet18244.xml"/>
  <Override ContentType="application/vnd.openxmlformats-officedocument.spreadsheetml.worksheet+xml" PartName="/xl/worksheets/sheet18245.xml"/>
  <Override ContentType="application/vnd.openxmlformats-officedocument.spreadsheetml.worksheet+xml" PartName="/xl/worksheets/sheet18246.xml"/>
  <Override ContentType="application/vnd.openxmlformats-officedocument.spreadsheetml.worksheet+xml" PartName="/xl/worksheets/sheet18247.xml"/>
  <Override ContentType="application/vnd.openxmlformats-officedocument.spreadsheetml.worksheet+xml" PartName="/xl/worksheets/sheet18248.xml"/>
  <Override ContentType="application/vnd.openxmlformats-officedocument.spreadsheetml.worksheet+xml" PartName="/xl/worksheets/sheet18249.xml"/>
  <Override ContentType="application/vnd.openxmlformats-officedocument.spreadsheetml.worksheet+xml" PartName="/xl/worksheets/sheet18250.xml"/>
  <Override ContentType="application/vnd.openxmlformats-officedocument.spreadsheetml.worksheet+xml" PartName="/xl/worksheets/sheet18251.xml"/>
  <Override ContentType="application/vnd.openxmlformats-officedocument.spreadsheetml.worksheet+xml" PartName="/xl/worksheets/sheet18252.xml"/>
  <Override ContentType="application/vnd.openxmlformats-officedocument.spreadsheetml.worksheet+xml" PartName="/xl/worksheets/sheet18253.xml"/>
  <Override ContentType="application/vnd.openxmlformats-officedocument.spreadsheetml.worksheet+xml" PartName="/xl/worksheets/sheet18254.xml"/>
  <Override ContentType="application/vnd.openxmlformats-officedocument.spreadsheetml.worksheet+xml" PartName="/xl/worksheets/sheet18255.xml"/>
  <Override ContentType="application/vnd.openxmlformats-officedocument.spreadsheetml.worksheet+xml" PartName="/xl/worksheets/sheet18256.xml"/>
  <Override ContentType="application/vnd.openxmlformats-officedocument.spreadsheetml.worksheet+xml" PartName="/xl/worksheets/sheet18257.xml"/>
  <Override ContentType="application/vnd.openxmlformats-officedocument.spreadsheetml.worksheet+xml" PartName="/xl/worksheets/sheet18258.xml"/>
  <Override ContentType="application/vnd.openxmlformats-officedocument.spreadsheetml.worksheet+xml" PartName="/xl/worksheets/sheet18259.xml"/>
  <Override ContentType="application/vnd.openxmlformats-officedocument.spreadsheetml.worksheet+xml" PartName="/xl/worksheets/sheet18260.xml"/>
  <Override ContentType="application/vnd.openxmlformats-officedocument.spreadsheetml.worksheet+xml" PartName="/xl/worksheets/sheet18261.xml"/>
  <Override ContentType="application/vnd.openxmlformats-officedocument.spreadsheetml.worksheet+xml" PartName="/xl/worksheets/sheet18262.xml"/>
  <Override ContentType="application/vnd.openxmlformats-officedocument.spreadsheetml.worksheet+xml" PartName="/xl/worksheets/sheet18263.xml"/>
  <Override ContentType="application/vnd.openxmlformats-officedocument.spreadsheetml.worksheet+xml" PartName="/xl/worksheets/sheet18264.xml"/>
  <Override ContentType="application/vnd.openxmlformats-officedocument.spreadsheetml.worksheet+xml" PartName="/xl/worksheets/sheet18265.xml"/>
  <Override ContentType="application/vnd.openxmlformats-officedocument.spreadsheetml.worksheet+xml" PartName="/xl/worksheets/sheet18266.xml"/>
  <Override ContentType="application/vnd.openxmlformats-officedocument.spreadsheetml.worksheet+xml" PartName="/xl/worksheets/sheet18267.xml"/>
  <Override ContentType="application/vnd.openxmlformats-officedocument.spreadsheetml.worksheet+xml" PartName="/xl/worksheets/sheet18268.xml"/>
  <Override ContentType="application/vnd.openxmlformats-officedocument.spreadsheetml.worksheet+xml" PartName="/xl/worksheets/sheet18269.xml"/>
  <Override ContentType="application/vnd.openxmlformats-officedocument.spreadsheetml.worksheet+xml" PartName="/xl/worksheets/sheet18270.xml"/>
  <Override ContentType="application/vnd.openxmlformats-officedocument.spreadsheetml.worksheet+xml" PartName="/xl/worksheets/sheet18271.xml"/>
  <Override ContentType="application/vnd.openxmlformats-officedocument.spreadsheetml.worksheet+xml" PartName="/xl/worksheets/sheet18272.xml"/>
  <Override ContentType="application/vnd.openxmlformats-officedocument.spreadsheetml.worksheet+xml" PartName="/xl/worksheets/sheet18273.xml"/>
  <Override ContentType="application/vnd.openxmlformats-officedocument.spreadsheetml.worksheet+xml" PartName="/xl/worksheets/sheet18274.xml"/>
  <Override ContentType="application/vnd.openxmlformats-officedocument.spreadsheetml.worksheet+xml" PartName="/xl/worksheets/sheet18275.xml"/>
  <Override ContentType="application/vnd.openxmlformats-officedocument.spreadsheetml.worksheet+xml" PartName="/xl/worksheets/sheet18276.xml"/>
  <Override ContentType="application/vnd.openxmlformats-officedocument.spreadsheetml.worksheet+xml" PartName="/xl/worksheets/sheet18277.xml"/>
  <Override ContentType="application/vnd.openxmlformats-officedocument.spreadsheetml.worksheet+xml" PartName="/xl/worksheets/sheet18278.xml"/>
  <Override ContentType="application/vnd.openxmlformats-officedocument.spreadsheetml.worksheet+xml" PartName="/xl/worksheets/sheet18279.xml"/>
  <Override ContentType="application/vnd.openxmlformats-officedocument.spreadsheetml.worksheet+xml" PartName="/xl/worksheets/sheet18280.xml"/>
  <Override ContentType="application/vnd.openxmlformats-officedocument.spreadsheetml.worksheet+xml" PartName="/xl/worksheets/sheet18281.xml"/>
  <Override ContentType="application/vnd.openxmlformats-officedocument.spreadsheetml.worksheet+xml" PartName="/xl/worksheets/sheet18282.xml"/>
  <Override ContentType="application/vnd.openxmlformats-officedocument.spreadsheetml.worksheet+xml" PartName="/xl/worksheets/sheet18283.xml"/>
  <Override ContentType="application/vnd.openxmlformats-officedocument.spreadsheetml.worksheet+xml" PartName="/xl/worksheets/sheet18284.xml"/>
  <Override ContentType="application/vnd.openxmlformats-officedocument.spreadsheetml.worksheet+xml" PartName="/xl/worksheets/sheet18285.xml"/>
  <Override ContentType="application/vnd.openxmlformats-officedocument.spreadsheetml.worksheet+xml" PartName="/xl/worksheets/sheet18286.xml"/>
  <Override ContentType="application/vnd.openxmlformats-officedocument.spreadsheetml.worksheet+xml" PartName="/xl/worksheets/sheet18287.xml"/>
  <Override ContentType="application/vnd.openxmlformats-officedocument.spreadsheetml.worksheet+xml" PartName="/xl/worksheets/sheet18288.xml"/>
  <Override ContentType="application/vnd.openxmlformats-officedocument.spreadsheetml.worksheet+xml" PartName="/xl/worksheets/sheet18289.xml"/>
  <Override ContentType="application/vnd.openxmlformats-officedocument.spreadsheetml.worksheet+xml" PartName="/xl/worksheets/sheet18290.xml"/>
  <Override ContentType="application/vnd.openxmlformats-officedocument.spreadsheetml.worksheet+xml" PartName="/xl/worksheets/sheet18291.xml"/>
  <Override ContentType="application/vnd.openxmlformats-officedocument.spreadsheetml.worksheet+xml" PartName="/xl/worksheets/sheet18292.xml"/>
  <Override ContentType="application/vnd.openxmlformats-officedocument.spreadsheetml.worksheet+xml" PartName="/xl/worksheets/sheet18293.xml"/>
  <Override ContentType="application/vnd.openxmlformats-officedocument.spreadsheetml.worksheet+xml" PartName="/xl/worksheets/sheet18294.xml"/>
  <Override ContentType="application/vnd.openxmlformats-officedocument.spreadsheetml.worksheet+xml" PartName="/xl/worksheets/sheet18295.xml"/>
  <Override ContentType="application/vnd.openxmlformats-officedocument.spreadsheetml.worksheet+xml" PartName="/xl/worksheets/sheet18296.xml"/>
  <Override ContentType="application/vnd.openxmlformats-officedocument.spreadsheetml.worksheet+xml" PartName="/xl/worksheets/sheet18297.xml"/>
  <Override ContentType="application/vnd.openxmlformats-officedocument.spreadsheetml.worksheet+xml" PartName="/xl/worksheets/sheet18298.xml"/>
  <Override ContentType="application/vnd.openxmlformats-officedocument.spreadsheetml.worksheet+xml" PartName="/xl/worksheets/sheet18299.xml"/>
  <Override ContentType="application/vnd.openxmlformats-officedocument.spreadsheetml.worksheet+xml" PartName="/xl/worksheets/sheet18300.xml"/>
  <Override ContentType="application/vnd.openxmlformats-officedocument.spreadsheetml.worksheet+xml" PartName="/xl/worksheets/sheet18301.xml"/>
  <Override ContentType="application/vnd.openxmlformats-officedocument.spreadsheetml.worksheet+xml" PartName="/xl/worksheets/sheet18302.xml"/>
  <Override ContentType="application/vnd.openxmlformats-officedocument.spreadsheetml.worksheet+xml" PartName="/xl/worksheets/sheet18303.xml"/>
  <Override ContentType="application/vnd.openxmlformats-officedocument.spreadsheetml.worksheet+xml" PartName="/xl/worksheets/sheet18304.xml"/>
  <Override ContentType="application/vnd.openxmlformats-officedocument.spreadsheetml.worksheet+xml" PartName="/xl/worksheets/sheet18305.xml"/>
  <Override ContentType="application/vnd.openxmlformats-officedocument.spreadsheetml.worksheet+xml" PartName="/xl/worksheets/sheet18306.xml"/>
  <Override ContentType="application/vnd.openxmlformats-officedocument.spreadsheetml.worksheet+xml" PartName="/xl/worksheets/sheet18307.xml"/>
  <Override ContentType="application/vnd.openxmlformats-officedocument.spreadsheetml.worksheet+xml" PartName="/xl/worksheets/sheet18308.xml"/>
  <Override ContentType="application/vnd.openxmlformats-officedocument.spreadsheetml.worksheet+xml" PartName="/xl/worksheets/sheet18309.xml"/>
  <Override ContentType="application/vnd.openxmlformats-officedocument.spreadsheetml.worksheet+xml" PartName="/xl/worksheets/sheet18310.xml"/>
  <Override ContentType="application/vnd.openxmlformats-officedocument.spreadsheetml.worksheet+xml" PartName="/xl/worksheets/sheet18311.xml"/>
  <Override ContentType="application/vnd.openxmlformats-officedocument.spreadsheetml.worksheet+xml" PartName="/xl/worksheets/sheet18312.xml"/>
  <Override ContentType="application/vnd.openxmlformats-officedocument.spreadsheetml.worksheet+xml" PartName="/xl/worksheets/sheet18313.xml"/>
  <Override ContentType="application/vnd.openxmlformats-officedocument.spreadsheetml.worksheet+xml" PartName="/xl/worksheets/sheet18314.xml"/>
  <Override ContentType="application/vnd.openxmlformats-officedocument.spreadsheetml.worksheet+xml" PartName="/xl/worksheets/sheet18315.xml"/>
  <Override ContentType="application/vnd.openxmlformats-officedocument.spreadsheetml.worksheet+xml" PartName="/xl/worksheets/sheet18316.xml"/>
  <Override ContentType="application/vnd.openxmlformats-officedocument.spreadsheetml.worksheet+xml" PartName="/xl/worksheets/sheet18317.xml"/>
  <Override ContentType="application/vnd.openxmlformats-officedocument.spreadsheetml.worksheet+xml" PartName="/xl/worksheets/sheet18318.xml"/>
  <Override ContentType="application/vnd.openxmlformats-officedocument.spreadsheetml.worksheet+xml" PartName="/xl/worksheets/sheet18319.xml"/>
  <Override ContentType="application/vnd.openxmlformats-officedocument.spreadsheetml.worksheet+xml" PartName="/xl/worksheets/sheet18320.xml"/>
  <Override ContentType="application/vnd.openxmlformats-officedocument.spreadsheetml.worksheet+xml" PartName="/xl/worksheets/sheet18321.xml"/>
  <Override ContentType="application/vnd.openxmlformats-officedocument.spreadsheetml.worksheet+xml" PartName="/xl/worksheets/sheet18322.xml"/>
  <Override ContentType="application/vnd.openxmlformats-officedocument.spreadsheetml.worksheet+xml" PartName="/xl/worksheets/sheet18323.xml"/>
  <Override ContentType="application/vnd.openxmlformats-officedocument.spreadsheetml.worksheet+xml" PartName="/xl/worksheets/sheet18324.xml"/>
  <Override ContentType="application/vnd.openxmlformats-officedocument.spreadsheetml.worksheet+xml" PartName="/xl/worksheets/sheet18325.xml"/>
  <Override ContentType="application/vnd.openxmlformats-officedocument.spreadsheetml.worksheet+xml" PartName="/xl/worksheets/sheet18326.xml"/>
  <Override ContentType="application/vnd.openxmlformats-officedocument.spreadsheetml.worksheet+xml" PartName="/xl/worksheets/sheet18327.xml"/>
  <Override ContentType="application/vnd.openxmlformats-officedocument.spreadsheetml.worksheet+xml" PartName="/xl/worksheets/sheet18328.xml"/>
  <Override ContentType="application/vnd.openxmlformats-officedocument.spreadsheetml.worksheet+xml" PartName="/xl/worksheets/sheet18329.xml"/>
  <Override ContentType="application/vnd.openxmlformats-officedocument.spreadsheetml.worksheet+xml" PartName="/xl/worksheets/sheet18330.xml"/>
  <Override ContentType="application/vnd.openxmlformats-officedocument.spreadsheetml.worksheet+xml" PartName="/xl/worksheets/sheet18331.xml"/>
  <Override ContentType="application/vnd.openxmlformats-officedocument.spreadsheetml.worksheet+xml" PartName="/xl/worksheets/sheet18332.xml"/>
  <Override ContentType="application/vnd.openxmlformats-officedocument.spreadsheetml.worksheet+xml" PartName="/xl/worksheets/sheet18333.xml"/>
  <Override ContentType="application/vnd.openxmlformats-officedocument.spreadsheetml.worksheet+xml" PartName="/xl/worksheets/sheet18334.xml"/>
  <Override ContentType="application/vnd.openxmlformats-officedocument.spreadsheetml.worksheet+xml" PartName="/xl/worksheets/sheet18335.xml"/>
  <Override ContentType="application/vnd.openxmlformats-officedocument.spreadsheetml.worksheet+xml" PartName="/xl/worksheets/sheet18336.xml"/>
  <Override ContentType="application/vnd.openxmlformats-officedocument.spreadsheetml.worksheet+xml" PartName="/xl/worksheets/sheet18337.xml"/>
  <Override ContentType="application/vnd.openxmlformats-officedocument.spreadsheetml.worksheet+xml" PartName="/xl/worksheets/sheet18338.xml"/>
  <Override ContentType="application/vnd.openxmlformats-officedocument.spreadsheetml.worksheet+xml" PartName="/xl/worksheets/sheet18339.xml"/>
  <Override ContentType="application/vnd.openxmlformats-officedocument.spreadsheetml.worksheet+xml" PartName="/xl/worksheets/sheet18340.xml"/>
  <Override ContentType="application/vnd.openxmlformats-officedocument.spreadsheetml.worksheet+xml" PartName="/xl/worksheets/sheet18341.xml"/>
  <Override ContentType="application/vnd.openxmlformats-officedocument.spreadsheetml.worksheet+xml" PartName="/xl/worksheets/sheet18342.xml"/>
  <Override ContentType="application/vnd.openxmlformats-officedocument.spreadsheetml.worksheet+xml" PartName="/xl/worksheets/sheet18343.xml"/>
  <Override ContentType="application/vnd.openxmlformats-officedocument.spreadsheetml.worksheet+xml" PartName="/xl/worksheets/sheet18344.xml"/>
  <Override ContentType="application/vnd.openxmlformats-officedocument.spreadsheetml.worksheet+xml" PartName="/xl/worksheets/sheet18345.xml"/>
  <Override ContentType="application/vnd.openxmlformats-officedocument.spreadsheetml.worksheet+xml" PartName="/xl/worksheets/sheet18346.xml"/>
  <Override ContentType="application/vnd.openxmlformats-officedocument.spreadsheetml.worksheet+xml" PartName="/xl/worksheets/sheet18347.xml"/>
  <Override ContentType="application/vnd.openxmlformats-officedocument.spreadsheetml.worksheet+xml" PartName="/xl/worksheets/sheet18348.xml"/>
  <Override ContentType="application/vnd.openxmlformats-officedocument.spreadsheetml.worksheet+xml" PartName="/xl/worksheets/sheet18349.xml"/>
  <Override ContentType="application/vnd.openxmlformats-officedocument.spreadsheetml.worksheet+xml" PartName="/xl/worksheets/sheet18350.xml"/>
  <Override ContentType="application/vnd.openxmlformats-officedocument.spreadsheetml.worksheet+xml" PartName="/xl/worksheets/sheet18351.xml"/>
  <Override ContentType="application/vnd.openxmlformats-officedocument.spreadsheetml.worksheet+xml" PartName="/xl/worksheets/sheet18352.xml"/>
  <Override ContentType="application/vnd.openxmlformats-officedocument.spreadsheetml.worksheet+xml" PartName="/xl/worksheets/sheet18353.xml"/>
  <Override ContentType="application/vnd.openxmlformats-officedocument.spreadsheetml.worksheet+xml" PartName="/xl/worksheets/sheet18354.xml"/>
  <Override ContentType="application/vnd.openxmlformats-officedocument.spreadsheetml.worksheet+xml" PartName="/xl/worksheets/sheet18355.xml"/>
  <Override ContentType="application/vnd.openxmlformats-officedocument.spreadsheetml.worksheet+xml" PartName="/xl/worksheets/sheet18356.xml"/>
  <Override ContentType="application/vnd.openxmlformats-officedocument.spreadsheetml.worksheet+xml" PartName="/xl/worksheets/sheet18357.xml"/>
  <Override ContentType="application/vnd.openxmlformats-officedocument.spreadsheetml.worksheet+xml" PartName="/xl/worksheets/sheet18358.xml"/>
  <Override ContentType="application/vnd.openxmlformats-officedocument.spreadsheetml.worksheet+xml" PartName="/xl/worksheets/sheet18359.xml"/>
  <Override ContentType="application/vnd.openxmlformats-officedocument.spreadsheetml.worksheet+xml" PartName="/xl/worksheets/sheet18360.xml"/>
  <Override ContentType="application/vnd.openxmlformats-officedocument.spreadsheetml.worksheet+xml" PartName="/xl/worksheets/sheet18361.xml"/>
  <Override ContentType="application/vnd.openxmlformats-officedocument.spreadsheetml.worksheet+xml" PartName="/xl/worksheets/sheet18362.xml"/>
  <Override ContentType="application/vnd.openxmlformats-officedocument.spreadsheetml.worksheet+xml" PartName="/xl/worksheets/sheet18363.xml"/>
  <Override ContentType="application/vnd.openxmlformats-officedocument.spreadsheetml.worksheet+xml" PartName="/xl/worksheets/sheet18364.xml"/>
  <Override ContentType="application/vnd.openxmlformats-officedocument.spreadsheetml.worksheet+xml" PartName="/xl/worksheets/sheet18365.xml"/>
  <Override ContentType="application/vnd.openxmlformats-officedocument.spreadsheetml.worksheet+xml" PartName="/xl/worksheets/sheet18366.xml"/>
  <Override ContentType="application/vnd.openxmlformats-officedocument.spreadsheetml.worksheet+xml" PartName="/xl/worksheets/sheet18367.xml"/>
  <Override ContentType="application/vnd.openxmlformats-officedocument.spreadsheetml.worksheet+xml" PartName="/xl/worksheets/sheet18368.xml"/>
  <Override ContentType="application/vnd.openxmlformats-officedocument.spreadsheetml.worksheet+xml" PartName="/xl/worksheets/sheet18369.xml"/>
  <Override ContentType="application/vnd.openxmlformats-officedocument.spreadsheetml.worksheet+xml" PartName="/xl/worksheets/sheet18370.xml"/>
  <Override ContentType="application/vnd.openxmlformats-officedocument.spreadsheetml.worksheet+xml" PartName="/xl/worksheets/sheet18371.xml"/>
  <Override ContentType="application/vnd.openxmlformats-officedocument.spreadsheetml.worksheet+xml" PartName="/xl/worksheets/sheet18372.xml"/>
  <Override ContentType="application/vnd.openxmlformats-officedocument.spreadsheetml.worksheet+xml" PartName="/xl/worksheets/sheet18373.xml"/>
  <Override ContentType="application/vnd.openxmlformats-officedocument.spreadsheetml.worksheet+xml" PartName="/xl/worksheets/sheet18374.xml"/>
  <Override ContentType="application/vnd.openxmlformats-officedocument.spreadsheetml.worksheet+xml" PartName="/xl/worksheets/sheet18375.xml"/>
  <Override ContentType="application/vnd.openxmlformats-officedocument.spreadsheetml.worksheet+xml" PartName="/xl/worksheets/sheet18376.xml"/>
  <Override ContentType="application/vnd.openxmlformats-officedocument.spreadsheetml.worksheet+xml" PartName="/xl/worksheets/sheet18377.xml"/>
  <Override ContentType="application/vnd.openxmlformats-officedocument.spreadsheetml.worksheet+xml" PartName="/xl/worksheets/sheet18378.xml"/>
  <Override ContentType="application/vnd.openxmlformats-officedocument.spreadsheetml.worksheet+xml" PartName="/xl/worksheets/sheet18379.xml"/>
  <Override ContentType="application/vnd.openxmlformats-officedocument.spreadsheetml.worksheet+xml" PartName="/xl/worksheets/sheet18380.xml"/>
  <Override ContentType="application/vnd.openxmlformats-officedocument.spreadsheetml.worksheet+xml" PartName="/xl/worksheets/sheet18381.xml"/>
  <Override ContentType="application/vnd.openxmlformats-officedocument.spreadsheetml.worksheet+xml" PartName="/xl/worksheets/sheet18382.xml"/>
  <Override ContentType="application/vnd.openxmlformats-officedocument.spreadsheetml.worksheet+xml" PartName="/xl/worksheets/sheet18383.xml"/>
  <Override ContentType="application/vnd.openxmlformats-officedocument.spreadsheetml.worksheet+xml" PartName="/xl/worksheets/sheet18384.xml"/>
  <Override ContentType="application/vnd.openxmlformats-officedocument.spreadsheetml.worksheet+xml" PartName="/xl/worksheets/sheet18385.xml"/>
  <Override ContentType="application/vnd.openxmlformats-officedocument.spreadsheetml.worksheet+xml" PartName="/xl/worksheets/sheet18386.xml"/>
  <Override ContentType="application/vnd.openxmlformats-officedocument.spreadsheetml.worksheet+xml" PartName="/xl/worksheets/sheet18387.xml"/>
  <Override ContentType="application/vnd.openxmlformats-officedocument.spreadsheetml.worksheet+xml" PartName="/xl/worksheets/sheet18388.xml"/>
  <Override ContentType="application/vnd.openxmlformats-officedocument.spreadsheetml.worksheet+xml" PartName="/xl/worksheets/sheet18389.xml"/>
  <Override ContentType="application/vnd.openxmlformats-officedocument.spreadsheetml.worksheet+xml" PartName="/xl/worksheets/sheet18390.xml"/>
  <Override ContentType="application/vnd.openxmlformats-officedocument.spreadsheetml.worksheet+xml" PartName="/xl/worksheets/sheet18391.xml"/>
  <Override ContentType="application/vnd.openxmlformats-officedocument.spreadsheetml.worksheet+xml" PartName="/xl/worksheets/sheet18392.xml"/>
  <Override ContentType="application/vnd.openxmlformats-officedocument.spreadsheetml.worksheet+xml" PartName="/xl/worksheets/sheet18393.xml"/>
  <Override ContentType="application/vnd.openxmlformats-officedocument.spreadsheetml.worksheet+xml" PartName="/xl/worksheets/sheet18394.xml"/>
  <Override ContentType="application/vnd.openxmlformats-officedocument.spreadsheetml.worksheet+xml" PartName="/xl/worksheets/sheet18395.xml"/>
  <Override ContentType="application/vnd.openxmlformats-officedocument.spreadsheetml.worksheet+xml" PartName="/xl/worksheets/sheet18396.xml"/>
  <Override ContentType="application/vnd.openxmlformats-officedocument.spreadsheetml.worksheet+xml" PartName="/xl/worksheets/sheet18397.xml"/>
  <Override ContentType="application/vnd.openxmlformats-officedocument.spreadsheetml.worksheet+xml" PartName="/xl/worksheets/sheet18398.xml"/>
  <Override ContentType="application/vnd.openxmlformats-officedocument.spreadsheetml.worksheet+xml" PartName="/xl/worksheets/sheet18399.xml"/>
  <Override ContentType="application/vnd.openxmlformats-officedocument.spreadsheetml.worksheet+xml" PartName="/xl/worksheets/sheet18400.xml"/>
  <Override ContentType="application/vnd.openxmlformats-officedocument.spreadsheetml.worksheet+xml" PartName="/xl/worksheets/sheet18401.xml"/>
  <Override ContentType="application/vnd.openxmlformats-officedocument.spreadsheetml.worksheet+xml" PartName="/xl/worksheets/sheet18402.xml"/>
  <Override ContentType="application/vnd.openxmlformats-officedocument.spreadsheetml.worksheet+xml" PartName="/xl/worksheets/sheet18403.xml"/>
  <Override ContentType="application/vnd.openxmlformats-officedocument.spreadsheetml.worksheet+xml" PartName="/xl/worksheets/sheet18404.xml"/>
  <Override ContentType="application/vnd.openxmlformats-officedocument.spreadsheetml.worksheet+xml" PartName="/xl/worksheets/sheet18405.xml"/>
  <Override ContentType="application/vnd.openxmlformats-officedocument.spreadsheetml.worksheet+xml" PartName="/xl/worksheets/sheet18406.xml"/>
  <Override ContentType="application/vnd.openxmlformats-officedocument.spreadsheetml.worksheet+xml" PartName="/xl/worksheets/sheet18407.xml"/>
  <Override ContentType="application/vnd.openxmlformats-officedocument.spreadsheetml.worksheet+xml" PartName="/xl/worksheets/sheet18408.xml"/>
  <Override ContentType="application/vnd.openxmlformats-officedocument.spreadsheetml.worksheet+xml" PartName="/xl/worksheets/sheet18409.xml"/>
  <Override ContentType="application/vnd.openxmlformats-officedocument.spreadsheetml.worksheet+xml" PartName="/xl/worksheets/sheet18410.xml"/>
  <Override ContentType="application/vnd.openxmlformats-officedocument.spreadsheetml.worksheet+xml" PartName="/xl/worksheets/sheet18411.xml"/>
  <Override ContentType="application/vnd.openxmlformats-officedocument.spreadsheetml.worksheet+xml" PartName="/xl/worksheets/sheet18412.xml"/>
  <Override ContentType="application/vnd.openxmlformats-officedocument.spreadsheetml.worksheet+xml" PartName="/xl/worksheets/sheet18413.xml"/>
  <Override ContentType="application/vnd.openxmlformats-officedocument.spreadsheetml.worksheet+xml" PartName="/xl/worksheets/sheet18414.xml"/>
  <Override ContentType="application/vnd.openxmlformats-officedocument.spreadsheetml.worksheet+xml" PartName="/xl/worksheets/sheet18415.xml"/>
  <Override ContentType="application/vnd.openxmlformats-officedocument.spreadsheetml.worksheet+xml" PartName="/xl/worksheets/sheet18416.xml"/>
  <Override ContentType="application/vnd.openxmlformats-officedocument.spreadsheetml.worksheet+xml" PartName="/xl/worksheets/sheet18417.xml"/>
  <Override ContentType="application/vnd.openxmlformats-officedocument.spreadsheetml.worksheet+xml" PartName="/xl/worksheets/sheet18418.xml"/>
  <Override ContentType="application/vnd.openxmlformats-officedocument.spreadsheetml.worksheet+xml" PartName="/xl/worksheets/sheet18419.xml"/>
  <Override ContentType="application/vnd.openxmlformats-officedocument.spreadsheetml.worksheet+xml" PartName="/xl/worksheets/sheet18420.xml"/>
  <Override ContentType="application/vnd.openxmlformats-officedocument.spreadsheetml.worksheet+xml" PartName="/xl/worksheets/sheet18421.xml"/>
  <Override ContentType="application/vnd.openxmlformats-officedocument.spreadsheetml.worksheet+xml" PartName="/xl/worksheets/sheet18422.xml"/>
  <Override ContentType="application/vnd.openxmlformats-officedocument.spreadsheetml.worksheet+xml" PartName="/xl/worksheets/sheet18423.xml"/>
  <Override ContentType="application/vnd.openxmlformats-officedocument.spreadsheetml.worksheet+xml" PartName="/xl/worksheets/sheet18424.xml"/>
  <Override ContentType="application/vnd.openxmlformats-officedocument.spreadsheetml.worksheet+xml" PartName="/xl/worksheets/sheet18425.xml"/>
  <Override ContentType="application/vnd.openxmlformats-officedocument.spreadsheetml.worksheet+xml" PartName="/xl/worksheets/sheet18426.xml"/>
  <Override ContentType="application/vnd.openxmlformats-officedocument.spreadsheetml.worksheet+xml" PartName="/xl/worksheets/sheet18427.xml"/>
  <Override ContentType="application/vnd.openxmlformats-officedocument.spreadsheetml.worksheet+xml" PartName="/xl/worksheets/sheet18428.xml"/>
  <Override ContentType="application/vnd.openxmlformats-officedocument.spreadsheetml.worksheet+xml" PartName="/xl/worksheets/sheet18429.xml"/>
  <Override ContentType="application/vnd.openxmlformats-officedocument.spreadsheetml.worksheet+xml" PartName="/xl/worksheets/sheet18430.xml"/>
  <Override ContentType="application/vnd.openxmlformats-officedocument.spreadsheetml.worksheet+xml" PartName="/xl/worksheets/sheet18431.xml"/>
  <Override ContentType="application/vnd.openxmlformats-officedocument.spreadsheetml.worksheet+xml" PartName="/xl/worksheets/sheet18432.xml"/>
  <Override ContentType="application/vnd.openxmlformats-officedocument.spreadsheetml.worksheet+xml" PartName="/xl/worksheets/sheet18433.xml"/>
  <Override ContentType="application/vnd.openxmlformats-officedocument.spreadsheetml.worksheet+xml" PartName="/xl/worksheets/sheet18434.xml"/>
  <Override ContentType="application/vnd.openxmlformats-officedocument.spreadsheetml.worksheet+xml" PartName="/xl/worksheets/sheet18435.xml"/>
  <Override ContentType="application/vnd.openxmlformats-officedocument.spreadsheetml.worksheet+xml" PartName="/xl/worksheets/sheet18436.xml"/>
  <Override ContentType="application/vnd.openxmlformats-officedocument.spreadsheetml.worksheet+xml" PartName="/xl/worksheets/sheet18437.xml"/>
  <Override ContentType="application/vnd.openxmlformats-officedocument.spreadsheetml.worksheet+xml" PartName="/xl/worksheets/sheet18438.xml"/>
  <Override ContentType="application/vnd.openxmlformats-officedocument.spreadsheetml.worksheet+xml" PartName="/xl/worksheets/sheet18439.xml"/>
  <Override ContentType="application/vnd.openxmlformats-officedocument.spreadsheetml.worksheet+xml" PartName="/xl/worksheets/sheet18440.xml"/>
  <Override ContentType="application/vnd.openxmlformats-officedocument.spreadsheetml.worksheet+xml" PartName="/xl/worksheets/sheet18441.xml"/>
  <Override ContentType="application/vnd.openxmlformats-officedocument.spreadsheetml.worksheet+xml" PartName="/xl/worksheets/sheet18442.xml"/>
  <Override ContentType="application/vnd.openxmlformats-officedocument.spreadsheetml.worksheet+xml" PartName="/xl/worksheets/sheet18443.xml"/>
  <Override ContentType="application/vnd.openxmlformats-officedocument.spreadsheetml.worksheet+xml" PartName="/xl/worksheets/sheet18444.xml"/>
  <Override ContentType="application/vnd.openxmlformats-officedocument.spreadsheetml.worksheet+xml" PartName="/xl/worksheets/sheet18445.xml"/>
  <Override ContentType="application/vnd.openxmlformats-officedocument.spreadsheetml.worksheet+xml" PartName="/xl/worksheets/sheet18446.xml"/>
  <Override ContentType="application/vnd.openxmlformats-officedocument.spreadsheetml.worksheet+xml" PartName="/xl/worksheets/sheet18447.xml"/>
  <Override ContentType="application/vnd.openxmlformats-officedocument.spreadsheetml.worksheet+xml" PartName="/xl/worksheets/sheet18448.xml"/>
  <Override ContentType="application/vnd.openxmlformats-officedocument.spreadsheetml.worksheet+xml" PartName="/xl/worksheets/sheet18449.xml"/>
  <Override ContentType="application/vnd.openxmlformats-officedocument.spreadsheetml.worksheet+xml" PartName="/xl/worksheets/sheet18450.xml"/>
  <Override ContentType="application/vnd.openxmlformats-officedocument.spreadsheetml.worksheet+xml" PartName="/xl/worksheets/sheet18451.xml"/>
  <Override ContentType="application/vnd.openxmlformats-officedocument.spreadsheetml.worksheet+xml" PartName="/xl/worksheets/sheet18452.xml"/>
  <Override ContentType="application/vnd.openxmlformats-officedocument.spreadsheetml.worksheet+xml" PartName="/xl/worksheets/sheet18453.xml"/>
  <Override ContentType="application/vnd.openxmlformats-officedocument.spreadsheetml.worksheet+xml" PartName="/xl/worksheets/sheet18454.xml"/>
  <Override ContentType="application/vnd.openxmlformats-officedocument.spreadsheetml.worksheet+xml" PartName="/xl/worksheets/sheet18455.xml"/>
  <Override ContentType="application/vnd.openxmlformats-officedocument.spreadsheetml.worksheet+xml" PartName="/xl/worksheets/sheet18456.xml"/>
  <Override ContentType="application/vnd.openxmlformats-officedocument.spreadsheetml.worksheet+xml" PartName="/xl/worksheets/sheet18457.xml"/>
  <Override ContentType="application/vnd.openxmlformats-officedocument.spreadsheetml.worksheet+xml" PartName="/xl/worksheets/sheet18458.xml"/>
  <Override ContentType="application/vnd.openxmlformats-officedocument.spreadsheetml.worksheet+xml" PartName="/xl/worksheets/sheet18459.xml"/>
  <Override ContentType="application/vnd.openxmlformats-officedocument.spreadsheetml.worksheet+xml" PartName="/xl/worksheets/sheet18460.xml"/>
  <Override ContentType="application/vnd.openxmlformats-officedocument.spreadsheetml.worksheet+xml" PartName="/xl/worksheets/sheet18461.xml"/>
  <Override ContentType="application/vnd.openxmlformats-officedocument.spreadsheetml.worksheet+xml" PartName="/xl/worksheets/sheet18462.xml"/>
  <Override ContentType="application/vnd.openxmlformats-officedocument.spreadsheetml.worksheet+xml" PartName="/xl/worksheets/sheet18463.xml"/>
  <Override ContentType="application/vnd.openxmlformats-officedocument.spreadsheetml.worksheet+xml" PartName="/xl/worksheets/sheet18464.xml"/>
  <Override ContentType="application/vnd.openxmlformats-officedocument.spreadsheetml.worksheet+xml" PartName="/xl/worksheets/sheet18465.xml"/>
  <Override ContentType="application/vnd.openxmlformats-officedocument.spreadsheetml.worksheet+xml" PartName="/xl/worksheets/sheet18466.xml"/>
  <Override ContentType="application/vnd.openxmlformats-officedocument.spreadsheetml.worksheet+xml" PartName="/xl/worksheets/sheet18467.xml"/>
  <Override ContentType="application/vnd.openxmlformats-officedocument.spreadsheetml.worksheet+xml" PartName="/xl/worksheets/sheet18468.xml"/>
  <Override ContentType="application/vnd.openxmlformats-officedocument.spreadsheetml.worksheet+xml" PartName="/xl/worksheets/sheet18469.xml"/>
  <Override ContentType="application/vnd.openxmlformats-officedocument.spreadsheetml.worksheet+xml" PartName="/xl/worksheets/sheet18470.xml"/>
  <Override ContentType="application/vnd.openxmlformats-officedocument.spreadsheetml.worksheet+xml" PartName="/xl/worksheets/sheet18471.xml"/>
  <Override ContentType="application/vnd.openxmlformats-officedocument.spreadsheetml.worksheet+xml" PartName="/xl/worksheets/sheet18472.xml"/>
  <Override ContentType="application/vnd.openxmlformats-officedocument.spreadsheetml.worksheet+xml" PartName="/xl/worksheets/sheet18473.xml"/>
  <Override ContentType="application/vnd.openxmlformats-officedocument.spreadsheetml.worksheet+xml" PartName="/xl/worksheets/sheet18474.xml"/>
  <Override ContentType="application/vnd.openxmlformats-officedocument.spreadsheetml.worksheet+xml" PartName="/xl/worksheets/sheet18475.xml"/>
  <Override ContentType="application/vnd.openxmlformats-officedocument.spreadsheetml.worksheet+xml" PartName="/xl/worksheets/sheet18476.xml"/>
  <Override ContentType="application/vnd.openxmlformats-officedocument.spreadsheetml.worksheet+xml" PartName="/xl/worksheets/sheet18477.xml"/>
  <Override ContentType="application/vnd.openxmlformats-officedocument.spreadsheetml.worksheet+xml" PartName="/xl/worksheets/sheet18478.xml"/>
  <Override ContentType="application/vnd.openxmlformats-officedocument.spreadsheetml.worksheet+xml" PartName="/xl/worksheets/sheet18479.xml"/>
  <Override ContentType="application/vnd.openxmlformats-officedocument.spreadsheetml.worksheet+xml" PartName="/xl/worksheets/sheet18480.xml"/>
  <Override ContentType="application/vnd.openxmlformats-officedocument.spreadsheetml.worksheet+xml" PartName="/xl/worksheets/sheet18481.xml"/>
  <Override ContentType="application/vnd.openxmlformats-officedocument.spreadsheetml.worksheet+xml" PartName="/xl/worksheets/sheet18482.xml"/>
  <Override ContentType="application/vnd.openxmlformats-officedocument.spreadsheetml.worksheet+xml" PartName="/xl/worksheets/sheet18483.xml"/>
  <Override ContentType="application/vnd.openxmlformats-officedocument.spreadsheetml.worksheet+xml" PartName="/xl/worksheets/sheet18484.xml"/>
  <Override ContentType="application/vnd.openxmlformats-officedocument.spreadsheetml.worksheet+xml" PartName="/xl/worksheets/sheet18485.xml"/>
  <Override ContentType="application/vnd.openxmlformats-officedocument.spreadsheetml.worksheet+xml" PartName="/xl/worksheets/sheet18486.xml"/>
  <Override ContentType="application/vnd.openxmlformats-officedocument.spreadsheetml.worksheet+xml" PartName="/xl/worksheets/sheet18487.xml"/>
  <Override ContentType="application/vnd.openxmlformats-officedocument.spreadsheetml.worksheet+xml" PartName="/xl/worksheets/sheet18488.xml"/>
  <Override ContentType="application/vnd.openxmlformats-officedocument.spreadsheetml.worksheet+xml" PartName="/xl/worksheets/sheet18489.xml"/>
  <Override ContentType="application/vnd.openxmlformats-officedocument.spreadsheetml.worksheet+xml" PartName="/xl/worksheets/sheet18490.xml"/>
  <Override ContentType="application/vnd.openxmlformats-officedocument.spreadsheetml.worksheet+xml" PartName="/xl/worksheets/sheet18491.xml"/>
  <Override ContentType="application/vnd.openxmlformats-officedocument.spreadsheetml.worksheet+xml" PartName="/xl/worksheets/sheet18492.xml"/>
  <Override ContentType="application/vnd.openxmlformats-officedocument.spreadsheetml.worksheet+xml" PartName="/xl/worksheets/sheet18493.xml"/>
  <Override ContentType="application/vnd.openxmlformats-officedocument.spreadsheetml.worksheet+xml" PartName="/xl/worksheets/sheet18494.xml"/>
  <Override ContentType="application/vnd.openxmlformats-officedocument.spreadsheetml.worksheet+xml" PartName="/xl/worksheets/sheet18495.xml"/>
  <Override ContentType="application/vnd.openxmlformats-officedocument.spreadsheetml.worksheet+xml" PartName="/xl/worksheets/sheet18496.xml"/>
  <Override ContentType="application/vnd.openxmlformats-officedocument.spreadsheetml.worksheet+xml" PartName="/xl/worksheets/sheet18497.xml"/>
  <Override ContentType="application/vnd.openxmlformats-officedocument.spreadsheetml.worksheet+xml" PartName="/xl/worksheets/sheet18498.xml"/>
  <Override ContentType="application/vnd.openxmlformats-officedocument.spreadsheetml.worksheet+xml" PartName="/xl/worksheets/sheet18499.xml"/>
  <Override ContentType="application/vnd.openxmlformats-officedocument.spreadsheetml.worksheet+xml" PartName="/xl/worksheets/sheet18500.xml"/>
  <Override ContentType="application/vnd.openxmlformats-officedocument.spreadsheetml.worksheet+xml" PartName="/xl/worksheets/sheet18501.xml"/>
  <Override ContentType="application/vnd.openxmlformats-officedocument.spreadsheetml.worksheet+xml" PartName="/xl/worksheets/sheet18502.xml"/>
  <Override ContentType="application/vnd.openxmlformats-officedocument.spreadsheetml.worksheet+xml" PartName="/xl/worksheets/sheet18503.xml"/>
  <Override ContentType="application/vnd.openxmlformats-officedocument.spreadsheetml.worksheet+xml" PartName="/xl/worksheets/sheet18504.xml"/>
  <Override ContentType="application/vnd.openxmlformats-officedocument.spreadsheetml.worksheet+xml" PartName="/xl/worksheets/sheet18505.xml"/>
  <Override ContentType="application/vnd.openxmlformats-officedocument.spreadsheetml.worksheet+xml" PartName="/xl/worksheets/sheet18506.xml"/>
  <Override ContentType="application/vnd.openxmlformats-officedocument.spreadsheetml.worksheet+xml" PartName="/xl/worksheets/sheet18507.xml"/>
  <Override ContentType="application/vnd.openxmlformats-officedocument.spreadsheetml.worksheet+xml" PartName="/xl/worksheets/sheet18508.xml"/>
  <Override ContentType="application/vnd.openxmlformats-officedocument.spreadsheetml.worksheet+xml" PartName="/xl/worksheets/sheet18509.xml"/>
  <Override ContentType="application/vnd.openxmlformats-officedocument.spreadsheetml.worksheet+xml" PartName="/xl/worksheets/sheet18510.xml"/>
  <Override ContentType="application/vnd.openxmlformats-officedocument.spreadsheetml.worksheet+xml" PartName="/xl/worksheets/sheet18511.xml"/>
  <Override ContentType="application/vnd.openxmlformats-officedocument.spreadsheetml.worksheet+xml" PartName="/xl/worksheets/sheet18512.xml"/>
  <Override ContentType="application/vnd.openxmlformats-officedocument.spreadsheetml.worksheet+xml" PartName="/xl/worksheets/sheet18513.xml"/>
  <Override ContentType="application/vnd.openxmlformats-officedocument.spreadsheetml.worksheet+xml" PartName="/xl/worksheets/sheet18514.xml"/>
  <Override ContentType="application/vnd.openxmlformats-officedocument.spreadsheetml.worksheet+xml" PartName="/xl/worksheets/sheet18515.xml"/>
  <Override ContentType="application/vnd.openxmlformats-officedocument.spreadsheetml.worksheet+xml" PartName="/xl/worksheets/sheet18516.xml"/>
  <Override ContentType="application/vnd.openxmlformats-officedocument.spreadsheetml.worksheet+xml" PartName="/xl/worksheets/sheet18517.xml"/>
  <Override ContentType="application/vnd.openxmlformats-officedocument.spreadsheetml.worksheet+xml" PartName="/xl/worksheets/sheet18518.xml"/>
  <Override ContentType="application/vnd.openxmlformats-officedocument.spreadsheetml.worksheet+xml" PartName="/xl/worksheets/sheet18519.xml"/>
  <Override ContentType="application/vnd.openxmlformats-officedocument.spreadsheetml.worksheet+xml" PartName="/xl/worksheets/sheet18520.xml"/>
  <Override ContentType="application/vnd.openxmlformats-officedocument.spreadsheetml.worksheet+xml" PartName="/xl/worksheets/sheet18521.xml"/>
  <Override ContentType="application/vnd.openxmlformats-officedocument.spreadsheetml.worksheet+xml" PartName="/xl/worksheets/sheet18522.xml"/>
  <Override ContentType="application/vnd.openxmlformats-officedocument.spreadsheetml.worksheet+xml" PartName="/xl/worksheets/sheet18523.xml"/>
  <Override ContentType="application/vnd.openxmlformats-officedocument.spreadsheetml.worksheet+xml" PartName="/xl/worksheets/sheet18524.xml"/>
  <Override ContentType="application/vnd.openxmlformats-officedocument.spreadsheetml.worksheet+xml" PartName="/xl/worksheets/sheet18525.xml"/>
  <Override ContentType="application/vnd.openxmlformats-officedocument.spreadsheetml.worksheet+xml" PartName="/xl/worksheets/sheet18526.xml"/>
  <Override ContentType="application/vnd.openxmlformats-officedocument.spreadsheetml.worksheet+xml" PartName="/xl/worksheets/sheet18527.xml"/>
  <Override ContentType="application/vnd.openxmlformats-officedocument.spreadsheetml.worksheet+xml" PartName="/xl/worksheets/sheet18528.xml"/>
  <Override ContentType="application/vnd.openxmlformats-officedocument.spreadsheetml.worksheet+xml" PartName="/xl/worksheets/sheet18529.xml"/>
  <Override ContentType="application/vnd.openxmlformats-officedocument.spreadsheetml.worksheet+xml" PartName="/xl/worksheets/sheet18530.xml"/>
  <Override ContentType="application/vnd.openxmlformats-officedocument.spreadsheetml.worksheet+xml" PartName="/xl/worksheets/sheet18531.xml"/>
  <Override ContentType="application/vnd.openxmlformats-officedocument.spreadsheetml.worksheet+xml" PartName="/xl/worksheets/sheet18532.xml"/>
  <Override ContentType="application/vnd.openxmlformats-officedocument.spreadsheetml.worksheet+xml" PartName="/xl/worksheets/sheet18533.xml"/>
  <Override ContentType="application/vnd.openxmlformats-officedocument.spreadsheetml.worksheet+xml" PartName="/xl/worksheets/sheet18534.xml"/>
  <Override ContentType="application/vnd.openxmlformats-officedocument.spreadsheetml.worksheet+xml" PartName="/xl/worksheets/sheet18535.xml"/>
  <Override ContentType="application/vnd.openxmlformats-officedocument.spreadsheetml.worksheet+xml" PartName="/xl/worksheets/sheet18536.xml"/>
  <Override ContentType="application/vnd.openxmlformats-officedocument.spreadsheetml.worksheet+xml" PartName="/xl/worksheets/sheet18537.xml"/>
  <Override ContentType="application/vnd.openxmlformats-officedocument.spreadsheetml.worksheet+xml" PartName="/xl/worksheets/sheet18538.xml"/>
  <Override ContentType="application/vnd.openxmlformats-officedocument.spreadsheetml.worksheet+xml" PartName="/xl/worksheets/sheet18539.xml"/>
  <Override ContentType="application/vnd.openxmlformats-officedocument.spreadsheetml.worksheet+xml" PartName="/xl/worksheets/sheet18540.xml"/>
  <Override ContentType="application/vnd.openxmlformats-officedocument.spreadsheetml.worksheet+xml" PartName="/xl/worksheets/sheet18541.xml"/>
  <Override ContentType="application/vnd.openxmlformats-officedocument.spreadsheetml.worksheet+xml" PartName="/xl/worksheets/sheet18542.xml"/>
  <Override ContentType="application/vnd.openxmlformats-officedocument.spreadsheetml.worksheet+xml" PartName="/xl/worksheets/sheet18543.xml"/>
  <Override ContentType="application/vnd.openxmlformats-officedocument.spreadsheetml.worksheet+xml" PartName="/xl/worksheets/sheet18544.xml"/>
  <Override ContentType="application/vnd.openxmlformats-officedocument.spreadsheetml.worksheet+xml" PartName="/xl/worksheets/sheet18545.xml"/>
  <Override ContentType="application/vnd.openxmlformats-officedocument.spreadsheetml.worksheet+xml" PartName="/xl/worksheets/sheet18546.xml"/>
  <Override ContentType="application/vnd.openxmlformats-officedocument.spreadsheetml.worksheet+xml" PartName="/xl/worksheets/sheet18547.xml"/>
  <Override ContentType="application/vnd.openxmlformats-officedocument.spreadsheetml.worksheet+xml" PartName="/xl/worksheets/sheet18548.xml"/>
  <Override ContentType="application/vnd.openxmlformats-officedocument.spreadsheetml.worksheet+xml" PartName="/xl/worksheets/sheet18549.xml"/>
  <Override ContentType="application/vnd.openxmlformats-officedocument.spreadsheetml.worksheet+xml" PartName="/xl/worksheets/sheet18550.xml"/>
  <Override ContentType="application/vnd.openxmlformats-officedocument.spreadsheetml.worksheet+xml" PartName="/xl/worksheets/sheet18551.xml"/>
  <Override ContentType="application/vnd.openxmlformats-officedocument.spreadsheetml.worksheet+xml" PartName="/xl/worksheets/sheet18552.xml"/>
  <Override ContentType="application/vnd.openxmlformats-officedocument.spreadsheetml.worksheet+xml" PartName="/xl/worksheets/sheet18553.xml"/>
  <Override ContentType="application/vnd.openxmlformats-officedocument.spreadsheetml.worksheet+xml" PartName="/xl/worksheets/sheet18554.xml"/>
  <Override ContentType="application/vnd.openxmlformats-officedocument.spreadsheetml.worksheet+xml" PartName="/xl/worksheets/sheet18555.xml"/>
  <Override ContentType="application/vnd.openxmlformats-officedocument.spreadsheetml.worksheet+xml" PartName="/xl/worksheets/sheet18556.xml"/>
  <Override ContentType="application/vnd.openxmlformats-officedocument.spreadsheetml.worksheet+xml" PartName="/xl/worksheets/sheet18557.xml"/>
  <Override ContentType="application/vnd.openxmlformats-officedocument.spreadsheetml.worksheet+xml" PartName="/xl/worksheets/sheet18558.xml"/>
  <Override ContentType="application/vnd.openxmlformats-officedocument.spreadsheetml.worksheet+xml" PartName="/xl/worksheets/sheet18559.xml"/>
  <Override ContentType="application/vnd.openxmlformats-officedocument.spreadsheetml.worksheet+xml" PartName="/xl/worksheets/sheet18560.xml"/>
  <Override ContentType="application/vnd.openxmlformats-officedocument.spreadsheetml.worksheet+xml" PartName="/xl/worksheets/sheet18561.xml"/>
  <Override ContentType="application/vnd.openxmlformats-officedocument.spreadsheetml.worksheet+xml" PartName="/xl/worksheets/sheet18562.xml"/>
  <Override ContentType="application/vnd.openxmlformats-officedocument.spreadsheetml.worksheet+xml" PartName="/xl/worksheets/sheet18563.xml"/>
  <Override ContentType="application/vnd.openxmlformats-officedocument.spreadsheetml.worksheet+xml" PartName="/xl/worksheets/sheet18564.xml"/>
  <Override ContentType="application/vnd.openxmlformats-officedocument.spreadsheetml.worksheet+xml" PartName="/xl/worksheets/sheet18565.xml"/>
  <Override ContentType="application/vnd.openxmlformats-officedocument.spreadsheetml.worksheet+xml" PartName="/xl/worksheets/sheet18566.xml"/>
  <Override ContentType="application/vnd.openxmlformats-officedocument.spreadsheetml.worksheet+xml" PartName="/xl/worksheets/sheet18567.xml"/>
  <Override ContentType="application/vnd.openxmlformats-officedocument.spreadsheetml.worksheet+xml" PartName="/xl/worksheets/sheet18568.xml"/>
  <Override ContentType="application/vnd.openxmlformats-officedocument.spreadsheetml.worksheet+xml" PartName="/xl/worksheets/sheet18569.xml"/>
  <Override ContentType="application/vnd.openxmlformats-officedocument.spreadsheetml.worksheet+xml" PartName="/xl/worksheets/sheet18570.xml"/>
  <Override ContentType="application/vnd.openxmlformats-officedocument.spreadsheetml.worksheet+xml" PartName="/xl/worksheets/sheet18571.xml"/>
  <Override ContentType="application/vnd.openxmlformats-officedocument.spreadsheetml.worksheet+xml" PartName="/xl/worksheets/sheet18572.xml"/>
  <Override ContentType="application/vnd.openxmlformats-officedocument.spreadsheetml.worksheet+xml" PartName="/xl/worksheets/sheet18573.xml"/>
  <Override ContentType="application/vnd.openxmlformats-officedocument.spreadsheetml.worksheet+xml" PartName="/xl/worksheets/sheet18574.xml"/>
  <Override ContentType="application/vnd.openxmlformats-officedocument.spreadsheetml.worksheet+xml" PartName="/xl/worksheets/sheet18575.xml"/>
  <Override ContentType="application/vnd.openxmlformats-officedocument.spreadsheetml.worksheet+xml" PartName="/xl/worksheets/sheet18576.xml"/>
  <Override ContentType="application/vnd.openxmlformats-officedocument.spreadsheetml.worksheet+xml" PartName="/xl/worksheets/sheet18577.xml"/>
  <Override ContentType="application/vnd.openxmlformats-officedocument.spreadsheetml.worksheet+xml" PartName="/xl/worksheets/sheet18578.xml"/>
  <Override ContentType="application/vnd.openxmlformats-officedocument.spreadsheetml.worksheet+xml" PartName="/xl/worksheets/sheet18579.xml"/>
  <Override ContentType="application/vnd.openxmlformats-officedocument.spreadsheetml.worksheet+xml" PartName="/xl/worksheets/sheet18580.xml"/>
  <Override ContentType="application/vnd.openxmlformats-officedocument.spreadsheetml.worksheet+xml" PartName="/xl/worksheets/sheet18581.xml"/>
  <Override ContentType="application/vnd.openxmlformats-officedocument.spreadsheetml.worksheet+xml" PartName="/xl/worksheets/sheet18582.xml"/>
  <Override ContentType="application/vnd.openxmlformats-officedocument.spreadsheetml.worksheet+xml" PartName="/xl/worksheets/sheet18583.xml"/>
  <Override ContentType="application/vnd.openxmlformats-officedocument.spreadsheetml.worksheet+xml" PartName="/xl/worksheets/sheet18584.xml"/>
  <Override ContentType="application/vnd.openxmlformats-officedocument.spreadsheetml.worksheet+xml" PartName="/xl/worksheets/sheet18585.xml"/>
  <Override ContentType="application/vnd.openxmlformats-officedocument.spreadsheetml.worksheet+xml" PartName="/xl/worksheets/sheet18586.xml"/>
  <Override ContentType="application/vnd.openxmlformats-officedocument.spreadsheetml.worksheet+xml" PartName="/xl/worksheets/sheet18587.xml"/>
  <Override ContentType="application/vnd.openxmlformats-officedocument.spreadsheetml.worksheet+xml" PartName="/xl/worksheets/sheet18588.xml"/>
  <Override ContentType="application/vnd.openxmlformats-officedocument.spreadsheetml.worksheet+xml" PartName="/xl/worksheets/sheet18589.xml"/>
  <Override ContentType="application/vnd.openxmlformats-officedocument.spreadsheetml.worksheet+xml" PartName="/xl/worksheets/sheet18590.xml"/>
  <Override ContentType="application/vnd.openxmlformats-officedocument.spreadsheetml.worksheet+xml" PartName="/xl/worksheets/sheet18591.xml"/>
  <Override ContentType="application/vnd.openxmlformats-officedocument.spreadsheetml.worksheet+xml" PartName="/xl/worksheets/sheet18592.xml"/>
  <Override ContentType="application/vnd.openxmlformats-officedocument.spreadsheetml.worksheet+xml" PartName="/xl/worksheets/sheet18593.xml"/>
  <Override ContentType="application/vnd.openxmlformats-officedocument.spreadsheetml.worksheet+xml" PartName="/xl/worksheets/sheet18594.xml"/>
  <Override ContentType="application/vnd.openxmlformats-officedocument.spreadsheetml.worksheet+xml" PartName="/xl/worksheets/sheet18595.xml"/>
  <Override ContentType="application/vnd.openxmlformats-officedocument.spreadsheetml.worksheet+xml" PartName="/xl/worksheets/sheet18596.xml"/>
  <Override ContentType="application/vnd.openxmlformats-officedocument.spreadsheetml.worksheet+xml" PartName="/xl/worksheets/sheet18597.xml"/>
  <Override ContentType="application/vnd.openxmlformats-officedocument.spreadsheetml.worksheet+xml" PartName="/xl/worksheets/sheet18598.xml"/>
  <Override ContentType="application/vnd.openxmlformats-officedocument.spreadsheetml.worksheet+xml" PartName="/xl/worksheets/sheet18599.xml"/>
  <Override ContentType="application/vnd.openxmlformats-officedocument.spreadsheetml.worksheet+xml" PartName="/xl/worksheets/sheet18600.xml"/>
  <Override ContentType="application/vnd.openxmlformats-officedocument.spreadsheetml.worksheet+xml" PartName="/xl/worksheets/sheet18601.xml"/>
  <Override ContentType="application/vnd.openxmlformats-officedocument.spreadsheetml.worksheet+xml" PartName="/xl/worksheets/sheet18602.xml"/>
  <Override ContentType="application/vnd.openxmlformats-officedocument.spreadsheetml.worksheet+xml" PartName="/xl/worksheets/sheet18603.xml"/>
  <Override ContentType="application/vnd.openxmlformats-officedocument.spreadsheetml.worksheet+xml" PartName="/xl/worksheets/sheet18604.xml"/>
  <Override ContentType="application/vnd.openxmlformats-officedocument.spreadsheetml.worksheet+xml" PartName="/xl/worksheets/sheet18605.xml"/>
  <Override ContentType="application/vnd.openxmlformats-officedocument.spreadsheetml.worksheet+xml" PartName="/xl/worksheets/sheet18606.xml"/>
  <Override ContentType="application/vnd.openxmlformats-officedocument.spreadsheetml.worksheet+xml" PartName="/xl/worksheets/sheet18607.xml"/>
  <Override ContentType="application/vnd.openxmlformats-officedocument.spreadsheetml.worksheet+xml" PartName="/xl/worksheets/sheet18608.xml"/>
  <Override ContentType="application/vnd.openxmlformats-officedocument.spreadsheetml.worksheet+xml" PartName="/xl/worksheets/sheet18609.xml"/>
  <Override ContentType="application/vnd.openxmlformats-officedocument.spreadsheetml.worksheet+xml" PartName="/xl/worksheets/sheet18610.xml"/>
  <Override ContentType="application/vnd.openxmlformats-officedocument.spreadsheetml.worksheet+xml" PartName="/xl/worksheets/sheet18611.xml"/>
  <Override ContentType="application/vnd.openxmlformats-officedocument.spreadsheetml.worksheet+xml" PartName="/xl/worksheets/sheet18612.xml"/>
  <Override ContentType="application/vnd.openxmlformats-officedocument.spreadsheetml.worksheet+xml" PartName="/xl/worksheets/sheet18613.xml"/>
  <Override ContentType="application/vnd.openxmlformats-officedocument.spreadsheetml.worksheet+xml" PartName="/xl/worksheets/sheet18614.xml"/>
  <Override ContentType="application/vnd.openxmlformats-officedocument.spreadsheetml.worksheet+xml" PartName="/xl/worksheets/sheet18615.xml"/>
  <Override ContentType="application/vnd.openxmlformats-officedocument.spreadsheetml.worksheet+xml" PartName="/xl/worksheets/sheet18616.xml"/>
  <Override ContentType="application/vnd.openxmlformats-officedocument.spreadsheetml.worksheet+xml" PartName="/xl/worksheets/sheet18617.xml"/>
  <Override ContentType="application/vnd.openxmlformats-officedocument.spreadsheetml.worksheet+xml" PartName="/xl/worksheets/sheet18618.xml"/>
  <Override ContentType="application/vnd.openxmlformats-officedocument.spreadsheetml.worksheet+xml" PartName="/xl/worksheets/sheet18619.xml"/>
  <Override ContentType="application/vnd.openxmlformats-officedocument.spreadsheetml.worksheet+xml" PartName="/xl/worksheets/sheet18620.xml"/>
  <Override ContentType="application/vnd.openxmlformats-officedocument.spreadsheetml.worksheet+xml" PartName="/xl/worksheets/sheet18621.xml"/>
  <Override ContentType="application/vnd.openxmlformats-officedocument.spreadsheetml.worksheet+xml" PartName="/xl/worksheets/sheet18622.xml"/>
  <Override ContentType="application/vnd.openxmlformats-officedocument.spreadsheetml.worksheet+xml" PartName="/xl/worksheets/sheet18623.xml"/>
  <Override ContentType="application/vnd.openxmlformats-officedocument.spreadsheetml.worksheet+xml" PartName="/xl/worksheets/sheet18624.xml"/>
  <Override ContentType="application/vnd.openxmlformats-officedocument.spreadsheetml.worksheet+xml" PartName="/xl/worksheets/sheet18625.xml"/>
  <Override ContentType="application/vnd.openxmlformats-officedocument.spreadsheetml.worksheet+xml" PartName="/xl/worksheets/sheet18626.xml"/>
  <Override ContentType="application/vnd.openxmlformats-officedocument.spreadsheetml.worksheet+xml" PartName="/xl/worksheets/sheet18627.xml"/>
  <Override ContentType="application/vnd.openxmlformats-officedocument.spreadsheetml.worksheet+xml" PartName="/xl/worksheets/sheet18628.xml"/>
  <Override ContentType="application/vnd.openxmlformats-officedocument.spreadsheetml.worksheet+xml" PartName="/xl/worksheets/sheet18629.xml"/>
  <Override ContentType="application/vnd.openxmlformats-officedocument.spreadsheetml.worksheet+xml" PartName="/xl/worksheets/sheet18630.xml"/>
  <Override ContentType="application/vnd.openxmlformats-officedocument.spreadsheetml.worksheet+xml" PartName="/xl/worksheets/sheet18631.xml"/>
  <Override ContentType="application/vnd.openxmlformats-officedocument.spreadsheetml.worksheet+xml" PartName="/xl/worksheets/sheet18632.xml"/>
  <Override ContentType="application/vnd.openxmlformats-officedocument.spreadsheetml.worksheet+xml" PartName="/xl/worksheets/sheet18633.xml"/>
  <Override ContentType="application/vnd.openxmlformats-officedocument.spreadsheetml.worksheet+xml" PartName="/xl/worksheets/sheet18634.xml"/>
  <Override ContentType="application/vnd.openxmlformats-officedocument.spreadsheetml.worksheet+xml" PartName="/xl/worksheets/sheet18635.xml"/>
  <Override ContentType="application/vnd.openxmlformats-officedocument.spreadsheetml.worksheet+xml" PartName="/xl/worksheets/sheet18636.xml"/>
  <Override ContentType="application/vnd.openxmlformats-officedocument.spreadsheetml.worksheet+xml" PartName="/xl/worksheets/sheet18637.xml"/>
  <Override ContentType="application/vnd.openxmlformats-officedocument.spreadsheetml.worksheet+xml" PartName="/xl/worksheets/sheet18638.xml"/>
  <Override ContentType="application/vnd.openxmlformats-officedocument.spreadsheetml.worksheet+xml" PartName="/xl/worksheets/sheet18639.xml"/>
  <Override ContentType="application/vnd.openxmlformats-officedocument.spreadsheetml.worksheet+xml" PartName="/xl/worksheets/sheet18640.xml"/>
  <Override ContentType="application/vnd.openxmlformats-officedocument.spreadsheetml.worksheet+xml" PartName="/xl/worksheets/sheet18641.xml"/>
  <Override ContentType="application/vnd.openxmlformats-officedocument.spreadsheetml.worksheet+xml" PartName="/xl/worksheets/sheet18642.xml"/>
  <Override ContentType="application/vnd.openxmlformats-officedocument.spreadsheetml.worksheet+xml" PartName="/xl/worksheets/sheet18643.xml"/>
  <Override ContentType="application/vnd.openxmlformats-officedocument.spreadsheetml.worksheet+xml" PartName="/xl/worksheets/sheet18644.xml"/>
  <Override ContentType="application/vnd.openxmlformats-officedocument.spreadsheetml.worksheet+xml" PartName="/xl/worksheets/sheet18645.xml"/>
  <Override ContentType="application/vnd.openxmlformats-officedocument.spreadsheetml.worksheet+xml" PartName="/xl/worksheets/sheet18646.xml"/>
  <Override ContentType="application/vnd.openxmlformats-officedocument.spreadsheetml.worksheet+xml" PartName="/xl/worksheets/sheet18647.xml"/>
  <Override ContentType="application/vnd.openxmlformats-officedocument.spreadsheetml.worksheet+xml" PartName="/xl/worksheets/sheet18648.xml"/>
  <Override ContentType="application/vnd.openxmlformats-officedocument.spreadsheetml.worksheet+xml" PartName="/xl/worksheets/sheet18649.xml"/>
  <Override ContentType="application/vnd.openxmlformats-officedocument.spreadsheetml.worksheet+xml" PartName="/xl/worksheets/sheet18650.xml"/>
  <Override ContentType="application/vnd.openxmlformats-officedocument.spreadsheetml.worksheet+xml" PartName="/xl/worksheets/sheet18651.xml"/>
  <Override ContentType="application/vnd.openxmlformats-officedocument.spreadsheetml.worksheet+xml" PartName="/xl/worksheets/sheet18652.xml"/>
  <Override ContentType="application/vnd.openxmlformats-officedocument.spreadsheetml.worksheet+xml" PartName="/xl/worksheets/sheet18653.xml"/>
  <Override ContentType="application/vnd.openxmlformats-officedocument.spreadsheetml.worksheet+xml" PartName="/xl/worksheets/sheet18654.xml"/>
  <Override ContentType="application/vnd.openxmlformats-officedocument.spreadsheetml.worksheet+xml" PartName="/xl/worksheets/sheet18655.xml"/>
  <Override ContentType="application/vnd.openxmlformats-officedocument.spreadsheetml.worksheet+xml" PartName="/xl/worksheets/sheet18656.xml"/>
  <Override ContentType="application/vnd.openxmlformats-officedocument.spreadsheetml.worksheet+xml" PartName="/xl/worksheets/sheet18657.xml"/>
  <Override ContentType="application/vnd.openxmlformats-officedocument.spreadsheetml.worksheet+xml" PartName="/xl/worksheets/sheet18658.xml"/>
  <Override ContentType="application/vnd.openxmlformats-officedocument.spreadsheetml.worksheet+xml" PartName="/xl/worksheets/sheet18659.xml"/>
  <Override ContentType="application/vnd.openxmlformats-officedocument.spreadsheetml.worksheet+xml" PartName="/xl/worksheets/sheet18660.xml"/>
  <Override ContentType="application/vnd.openxmlformats-officedocument.spreadsheetml.worksheet+xml" PartName="/xl/worksheets/sheet18661.xml"/>
  <Override ContentType="application/vnd.openxmlformats-officedocument.spreadsheetml.worksheet+xml" PartName="/xl/worksheets/sheet18662.xml"/>
  <Override ContentType="application/vnd.openxmlformats-officedocument.spreadsheetml.worksheet+xml" PartName="/xl/worksheets/sheet18663.xml"/>
  <Override ContentType="application/vnd.openxmlformats-officedocument.spreadsheetml.worksheet+xml" PartName="/xl/worksheets/sheet18664.xml"/>
  <Override ContentType="application/vnd.openxmlformats-officedocument.spreadsheetml.worksheet+xml" PartName="/xl/worksheets/sheet18665.xml"/>
  <Override ContentType="application/vnd.openxmlformats-officedocument.spreadsheetml.worksheet+xml" PartName="/xl/worksheets/sheet18666.xml"/>
  <Override ContentType="application/vnd.openxmlformats-officedocument.spreadsheetml.worksheet+xml" PartName="/xl/worksheets/sheet18667.xml"/>
  <Override ContentType="application/vnd.openxmlformats-officedocument.spreadsheetml.worksheet+xml" PartName="/xl/worksheets/sheet18668.xml"/>
  <Override ContentType="application/vnd.openxmlformats-officedocument.spreadsheetml.worksheet+xml" PartName="/xl/worksheets/sheet18669.xml"/>
  <Override ContentType="application/vnd.openxmlformats-officedocument.spreadsheetml.worksheet+xml" PartName="/xl/worksheets/sheet18670.xml"/>
  <Override ContentType="application/vnd.openxmlformats-officedocument.spreadsheetml.worksheet+xml" PartName="/xl/worksheets/sheet18671.xml"/>
  <Override ContentType="application/vnd.openxmlformats-officedocument.spreadsheetml.worksheet+xml" PartName="/xl/worksheets/sheet18672.xml"/>
  <Override ContentType="application/vnd.openxmlformats-officedocument.spreadsheetml.worksheet+xml" PartName="/xl/worksheets/sheet18673.xml"/>
  <Override ContentType="application/vnd.openxmlformats-officedocument.spreadsheetml.worksheet+xml" PartName="/xl/worksheets/sheet18674.xml"/>
  <Override ContentType="application/vnd.openxmlformats-officedocument.spreadsheetml.worksheet+xml" PartName="/xl/worksheets/sheet18675.xml"/>
  <Override ContentType="application/vnd.openxmlformats-officedocument.spreadsheetml.worksheet+xml" PartName="/xl/worksheets/sheet18676.xml"/>
  <Override ContentType="application/vnd.openxmlformats-officedocument.spreadsheetml.worksheet+xml" PartName="/xl/worksheets/sheet18677.xml"/>
  <Override ContentType="application/vnd.openxmlformats-officedocument.spreadsheetml.worksheet+xml" PartName="/xl/worksheets/sheet18678.xml"/>
  <Override ContentType="application/vnd.openxmlformats-officedocument.spreadsheetml.worksheet+xml" PartName="/xl/worksheets/sheet18679.xml"/>
  <Override ContentType="application/vnd.openxmlformats-officedocument.spreadsheetml.worksheet+xml" PartName="/xl/worksheets/sheet18680.xml"/>
  <Override ContentType="application/vnd.openxmlformats-officedocument.spreadsheetml.worksheet+xml" PartName="/xl/worksheets/sheet18681.xml"/>
  <Override ContentType="application/vnd.openxmlformats-officedocument.spreadsheetml.worksheet+xml" PartName="/xl/worksheets/sheet18682.xml"/>
  <Override ContentType="application/vnd.openxmlformats-officedocument.spreadsheetml.worksheet+xml" PartName="/xl/worksheets/sheet18683.xml"/>
  <Override ContentType="application/vnd.openxmlformats-officedocument.spreadsheetml.worksheet+xml" PartName="/xl/worksheets/sheet18684.xml"/>
  <Override ContentType="application/vnd.openxmlformats-officedocument.spreadsheetml.worksheet+xml" PartName="/xl/worksheets/sheet18685.xml"/>
  <Override ContentType="application/vnd.openxmlformats-officedocument.spreadsheetml.worksheet+xml" PartName="/xl/worksheets/sheet18686.xml"/>
  <Override ContentType="application/vnd.openxmlformats-officedocument.spreadsheetml.worksheet+xml" PartName="/xl/worksheets/sheet18687.xml"/>
  <Override ContentType="application/vnd.openxmlformats-officedocument.spreadsheetml.worksheet+xml" PartName="/xl/worksheets/sheet18688.xml"/>
  <Override ContentType="application/vnd.openxmlformats-officedocument.spreadsheetml.worksheet+xml" PartName="/xl/worksheets/sheet18689.xml"/>
  <Override ContentType="application/vnd.openxmlformats-officedocument.spreadsheetml.worksheet+xml" PartName="/xl/worksheets/sheet18690.xml"/>
  <Override ContentType="application/vnd.openxmlformats-officedocument.spreadsheetml.worksheet+xml" PartName="/xl/worksheets/sheet18691.xml"/>
  <Override ContentType="application/vnd.openxmlformats-officedocument.spreadsheetml.worksheet+xml" PartName="/xl/worksheets/sheet18692.xml"/>
  <Override ContentType="application/vnd.openxmlformats-officedocument.spreadsheetml.worksheet+xml" PartName="/xl/worksheets/sheet18693.xml"/>
  <Override ContentType="application/vnd.openxmlformats-officedocument.spreadsheetml.worksheet+xml" PartName="/xl/worksheets/sheet18694.xml"/>
  <Override ContentType="application/vnd.openxmlformats-officedocument.spreadsheetml.worksheet+xml" PartName="/xl/worksheets/sheet18695.xml"/>
  <Override ContentType="application/vnd.openxmlformats-officedocument.spreadsheetml.worksheet+xml" PartName="/xl/worksheets/sheet18696.xml"/>
  <Override ContentType="application/vnd.openxmlformats-officedocument.spreadsheetml.worksheet+xml" PartName="/xl/worksheets/sheet18697.xml"/>
  <Override ContentType="application/vnd.openxmlformats-officedocument.spreadsheetml.worksheet+xml" PartName="/xl/worksheets/sheet18698.xml"/>
  <Override ContentType="application/vnd.openxmlformats-officedocument.spreadsheetml.worksheet+xml" PartName="/xl/worksheets/sheet18699.xml"/>
  <Override ContentType="application/vnd.openxmlformats-officedocument.spreadsheetml.worksheet+xml" PartName="/xl/worksheets/sheet18700.xml"/>
  <Override ContentType="application/vnd.openxmlformats-officedocument.spreadsheetml.worksheet+xml" PartName="/xl/worksheets/sheet18701.xml"/>
  <Override ContentType="application/vnd.openxmlformats-officedocument.spreadsheetml.worksheet+xml" PartName="/xl/worksheets/sheet18702.xml"/>
  <Override ContentType="application/vnd.openxmlformats-officedocument.spreadsheetml.worksheet+xml" PartName="/xl/worksheets/sheet18703.xml"/>
  <Override ContentType="application/vnd.openxmlformats-officedocument.spreadsheetml.worksheet+xml" PartName="/xl/worksheets/sheet18704.xml"/>
  <Override ContentType="application/vnd.openxmlformats-officedocument.spreadsheetml.worksheet+xml" PartName="/xl/worksheets/sheet18705.xml"/>
  <Override ContentType="application/vnd.openxmlformats-officedocument.spreadsheetml.worksheet+xml" PartName="/xl/worksheets/sheet18706.xml"/>
  <Override ContentType="application/vnd.openxmlformats-officedocument.spreadsheetml.worksheet+xml" PartName="/xl/worksheets/sheet18707.xml"/>
  <Override ContentType="application/vnd.openxmlformats-officedocument.spreadsheetml.worksheet+xml" PartName="/xl/worksheets/sheet18708.xml"/>
  <Override ContentType="application/vnd.openxmlformats-officedocument.spreadsheetml.worksheet+xml" PartName="/xl/worksheets/sheet18709.xml"/>
  <Override ContentType="application/vnd.openxmlformats-officedocument.spreadsheetml.worksheet+xml" PartName="/xl/worksheets/sheet18710.xml"/>
  <Override ContentType="application/vnd.openxmlformats-officedocument.spreadsheetml.worksheet+xml" PartName="/xl/worksheets/sheet18711.xml"/>
  <Override ContentType="application/vnd.openxmlformats-officedocument.spreadsheetml.worksheet+xml" PartName="/xl/worksheets/sheet18712.xml"/>
  <Override ContentType="application/vnd.openxmlformats-officedocument.spreadsheetml.worksheet+xml" PartName="/xl/worksheets/sheet18713.xml"/>
  <Override ContentType="application/vnd.openxmlformats-officedocument.spreadsheetml.worksheet+xml" PartName="/xl/worksheets/sheet18714.xml"/>
  <Override ContentType="application/vnd.openxmlformats-officedocument.spreadsheetml.worksheet+xml" PartName="/xl/worksheets/sheet18715.xml"/>
  <Override ContentType="application/vnd.openxmlformats-officedocument.spreadsheetml.worksheet+xml" PartName="/xl/worksheets/sheet18716.xml"/>
  <Override ContentType="application/vnd.openxmlformats-officedocument.spreadsheetml.worksheet+xml" PartName="/xl/worksheets/sheet18717.xml"/>
  <Override ContentType="application/vnd.openxmlformats-officedocument.spreadsheetml.worksheet+xml" PartName="/xl/worksheets/sheet18718.xml"/>
  <Override ContentType="application/vnd.openxmlformats-officedocument.spreadsheetml.worksheet+xml" PartName="/xl/worksheets/sheet18719.xml"/>
  <Override ContentType="application/vnd.openxmlformats-officedocument.spreadsheetml.worksheet+xml" PartName="/xl/worksheets/sheet18720.xml"/>
  <Override ContentType="application/vnd.openxmlformats-officedocument.spreadsheetml.worksheet+xml" PartName="/xl/worksheets/sheet18721.xml"/>
  <Override ContentType="application/vnd.openxmlformats-officedocument.spreadsheetml.worksheet+xml" PartName="/xl/worksheets/sheet18722.xml"/>
  <Override ContentType="application/vnd.openxmlformats-officedocument.spreadsheetml.worksheet+xml" PartName="/xl/worksheets/sheet18723.xml"/>
  <Override ContentType="application/vnd.openxmlformats-officedocument.spreadsheetml.worksheet+xml" PartName="/xl/worksheets/sheet18724.xml"/>
  <Override ContentType="application/vnd.openxmlformats-officedocument.spreadsheetml.worksheet+xml" PartName="/xl/worksheets/sheet18725.xml"/>
  <Override ContentType="application/vnd.openxmlformats-officedocument.spreadsheetml.worksheet+xml" PartName="/xl/worksheets/sheet18726.xml"/>
  <Override ContentType="application/vnd.openxmlformats-officedocument.spreadsheetml.worksheet+xml" PartName="/xl/worksheets/sheet18727.xml"/>
  <Override ContentType="application/vnd.openxmlformats-officedocument.spreadsheetml.worksheet+xml" PartName="/xl/worksheets/sheet18728.xml"/>
  <Override ContentType="application/vnd.openxmlformats-officedocument.spreadsheetml.worksheet+xml" PartName="/xl/worksheets/sheet18729.xml"/>
  <Override ContentType="application/vnd.openxmlformats-officedocument.spreadsheetml.worksheet+xml" PartName="/xl/worksheets/sheet18730.xml"/>
  <Override ContentType="application/vnd.openxmlformats-officedocument.spreadsheetml.worksheet+xml" PartName="/xl/worksheets/sheet18731.xml"/>
  <Override ContentType="application/vnd.openxmlformats-officedocument.spreadsheetml.worksheet+xml" PartName="/xl/worksheets/sheet18732.xml"/>
  <Override ContentType="application/vnd.openxmlformats-officedocument.spreadsheetml.worksheet+xml" PartName="/xl/worksheets/sheet18733.xml"/>
  <Override ContentType="application/vnd.openxmlformats-officedocument.spreadsheetml.worksheet+xml" PartName="/xl/worksheets/sheet18734.xml"/>
  <Override ContentType="application/vnd.openxmlformats-officedocument.spreadsheetml.worksheet+xml" PartName="/xl/worksheets/sheet18735.xml"/>
  <Override ContentType="application/vnd.openxmlformats-officedocument.spreadsheetml.worksheet+xml" PartName="/xl/worksheets/sheet18736.xml"/>
  <Override ContentType="application/vnd.openxmlformats-officedocument.spreadsheetml.worksheet+xml" PartName="/xl/worksheets/sheet18737.xml"/>
  <Override ContentType="application/vnd.openxmlformats-officedocument.spreadsheetml.worksheet+xml" PartName="/xl/worksheets/sheet18738.xml"/>
  <Override ContentType="application/vnd.openxmlformats-officedocument.spreadsheetml.worksheet+xml" PartName="/xl/worksheets/sheet18739.xml"/>
  <Override ContentType="application/vnd.openxmlformats-officedocument.spreadsheetml.worksheet+xml" PartName="/xl/worksheets/sheet18740.xml"/>
  <Override ContentType="application/vnd.openxmlformats-officedocument.spreadsheetml.worksheet+xml" PartName="/xl/worksheets/sheet18741.xml"/>
  <Override ContentType="application/vnd.openxmlformats-officedocument.spreadsheetml.worksheet+xml" PartName="/xl/worksheets/sheet18742.xml"/>
  <Override ContentType="application/vnd.openxmlformats-officedocument.spreadsheetml.worksheet+xml" PartName="/xl/worksheets/sheet18743.xml"/>
  <Override ContentType="application/vnd.openxmlformats-officedocument.spreadsheetml.worksheet+xml" PartName="/xl/worksheets/sheet18744.xml"/>
  <Override ContentType="application/vnd.openxmlformats-officedocument.spreadsheetml.worksheet+xml" PartName="/xl/worksheets/sheet18745.xml"/>
  <Override ContentType="application/vnd.openxmlformats-officedocument.spreadsheetml.worksheet+xml" PartName="/xl/worksheets/sheet18746.xml"/>
  <Override ContentType="application/vnd.openxmlformats-officedocument.spreadsheetml.worksheet+xml" PartName="/xl/worksheets/sheet18747.xml"/>
  <Override ContentType="application/vnd.openxmlformats-officedocument.spreadsheetml.worksheet+xml" PartName="/xl/worksheets/sheet18748.xml"/>
  <Override ContentType="application/vnd.openxmlformats-officedocument.spreadsheetml.worksheet+xml" PartName="/xl/worksheets/sheet18749.xml"/>
  <Override ContentType="application/vnd.openxmlformats-officedocument.spreadsheetml.worksheet+xml" PartName="/xl/worksheets/sheet18750.xml"/>
  <Override ContentType="application/vnd.openxmlformats-officedocument.spreadsheetml.worksheet+xml" PartName="/xl/worksheets/sheet18751.xml"/>
  <Override ContentType="application/vnd.openxmlformats-officedocument.spreadsheetml.worksheet+xml" PartName="/xl/worksheets/sheet18752.xml"/>
  <Override ContentType="application/vnd.openxmlformats-officedocument.spreadsheetml.worksheet+xml" PartName="/xl/worksheets/sheet18753.xml"/>
  <Override ContentType="application/vnd.openxmlformats-officedocument.spreadsheetml.worksheet+xml" PartName="/xl/worksheets/sheet18754.xml"/>
  <Override ContentType="application/vnd.openxmlformats-officedocument.spreadsheetml.worksheet+xml" PartName="/xl/worksheets/sheet18755.xml"/>
  <Override ContentType="application/vnd.openxmlformats-officedocument.spreadsheetml.worksheet+xml" PartName="/xl/worksheets/sheet18756.xml"/>
  <Override ContentType="application/vnd.openxmlformats-officedocument.spreadsheetml.worksheet+xml" PartName="/xl/worksheets/sheet18757.xml"/>
  <Override ContentType="application/vnd.openxmlformats-officedocument.spreadsheetml.worksheet+xml" PartName="/xl/worksheets/sheet18758.xml"/>
  <Override ContentType="application/vnd.openxmlformats-officedocument.spreadsheetml.worksheet+xml" PartName="/xl/worksheets/sheet18759.xml"/>
  <Override ContentType="application/vnd.openxmlformats-officedocument.spreadsheetml.worksheet+xml" PartName="/xl/worksheets/sheet18760.xml"/>
  <Override ContentType="application/vnd.openxmlformats-officedocument.spreadsheetml.worksheet+xml" PartName="/xl/worksheets/sheet18761.xml"/>
  <Override ContentType="application/vnd.openxmlformats-officedocument.spreadsheetml.worksheet+xml" PartName="/xl/worksheets/sheet18762.xml"/>
  <Override ContentType="application/vnd.openxmlformats-officedocument.spreadsheetml.worksheet+xml" PartName="/xl/worksheets/sheet18763.xml"/>
  <Override ContentType="application/vnd.openxmlformats-officedocument.spreadsheetml.worksheet+xml" PartName="/xl/worksheets/sheet18764.xml"/>
  <Override ContentType="application/vnd.openxmlformats-officedocument.spreadsheetml.worksheet+xml" PartName="/xl/worksheets/sheet18765.xml"/>
  <Override ContentType="application/vnd.openxmlformats-officedocument.spreadsheetml.worksheet+xml" PartName="/xl/worksheets/sheet18766.xml"/>
  <Override ContentType="application/vnd.openxmlformats-officedocument.spreadsheetml.worksheet+xml" PartName="/xl/worksheets/sheet18767.xml"/>
  <Override ContentType="application/vnd.openxmlformats-officedocument.spreadsheetml.worksheet+xml" PartName="/xl/worksheets/sheet18768.xml"/>
  <Override ContentType="application/vnd.openxmlformats-officedocument.spreadsheetml.worksheet+xml" PartName="/xl/worksheets/sheet18769.xml"/>
  <Override ContentType="application/vnd.openxmlformats-officedocument.spreadsheetml.worksheet+xml" PartName="/xl/worksheets/sheet18770.xml"/>
  <Override ContentType="application/vnd.openxmlformats-officedocument.spreadsheetml.worksheet+xml" PartName="/xl/worksheets/sheet18771.xml"/>
  <Override ContentType="application/vnd.openxmlformats-officedocument.spreadsheetml.worksheet+xml" PartName="/xl/worksheets/sheet18772.xml"/>
  <Override ContentType="application/vnd.openxmlformats-officedocument.spreadsheetml.worksheet+xml" PartName="/xl/worksheets/sheet18773.xml"/>
  <Override ContentType="application/vnd.openxmlformats-officedocument.spreadsheetml.worksheet+xml" PartName="/xl/worksheets/sheet18774.xml"/>
  <Override ContentType="application/vnd.openxmlformats-officedocument.spreadsheetml.worksheet+xml" PartName="/xl/worksheets/sheet18775.xml"/>
  <Override ContentType="application/vnd.openxmlformats-officedocument.spreadsheetml.worksheet+xml" PartName="/xl/worksheets/sheet18776.xml"/>
  <Override ContentType="application/vnd.openxmlformats-officedocument.spreadsheetml.worksheet+xml" PartName="/xl/worksheets/sheet18777.xml"/>
  <Override ContentType="application/vnd.openxmlformats-officedocument.spreadsheetml.worksheet+xml" PartName="/xl/worksheets/sheet18778.xml"/>
  <Override ContentType="application/vnd.openxmlformats-officedocument.spreadsheetml.worksheet+xml" PartName="/xl/worksheets/sheet18779.xml"/>
  <Override ContentType="application/vnd.openxmlformats-officedocument.spreadsheetml.worksheet+xml" PartName="/xl/worksheets/sheet18780.xml"/>
  <Override ContentType="application/vnd.openxmlformats-officedocument.spreadsheetml.worksheet+xml" PartName="/xl/worksheets/sheet18781.xml"/>
  <Override ContentType="application/vnd.openxmlformats-officedocument.spreadsheetml.worksheet+xml" PartName="/xl/worksheets/sheet18782.xml"/>
  <Override ContentType="application/vnd.openxmlformats-officedocument.spreadsheetml.worksheet+xml" PartName="/xl/worksheets/sheet18783.xml"/>
  <Override ContentType="application/vnd.openxmlformats-officedocument.spreadsheetml.worksheet+xml" PartName="/xl/worksheets/sheet18784.xml"/>
  <Override ContentType="application/vnd.openxmlformats-officedocument.spreadsheetml.worksheet+xml" PartName="/xl/worksheets/sheet18785.xml"/>
  <Override ContentType="application/vnd.openxmlformats-officedocument.spreadsheetml.worksheet+xml" PartName="/xl/worksheets/sheet18786.xml"/>
  <Override ContentType="application/vnd.openxmlformats-officedocument.spreadsheetml.worksheet+xml" PartName="/xl/worksheets/sheet18787.xml"/>
  <Override ContentType="application/vnd.openxmlformats-officedocument.spreadsheetml.worksheet+xml" PartName="/xl/worksheets/sheet18788.xml"/>
  <Override ContentType="application/vnd.openxmlformats-officedocument.spreadsheetml.worksheet+xml" PartName="/xl/worksheets/sheet18789.xml"/>
  <Override ContentType="application/vnd.openxmlformats-officedocument.spreadsheetml.worksheet+xml" PartName="/xl/worksheets/sheet18790.xml"/>
  <Override ContentType="application/vnd.openxmlformats-officedocument.spreadsheetml.worksheet+xml" PartName="/xl/worksheets/sheet18791.xml"/>
  <Override ContentType="application/vnd.openxmlformats-officedocument.spreadsheetml.worksheet+xml" PartName="/xl/worksheets/sheet18792.xml"/>
  <Override ContentType="application/vnd.openxmlformats-officedocument.spreadsheetml.worksheet+xml" PartName="/xl/worksheets/sheet18793.xml"/>
  <Override ContentType="application/vnd.openxmlformats-officedocument.spreadsheetml.worksheet+xml" PartName="/xl/worksheets/sheet18794.xml"/>
  <Override ContentType="application/vnd.openxmlformats-officedocument.spreadsheetml.worksheet+xml" PartName="/xl/worksheets/sheet18795.xml"/>
  <Override ContentType="application/vnd.openxmlformats-officedocument.spreadsheetml.worksheet+xml" PartName="/xl/worksheets/sheet18796.xml"/>
  <Override ContentType="application/vnd.openxmlformats-officedocument.spreadsheetml.worksheet+xml" PartName="/xl/worksheets/sheet18797.xml"/>
  <Override ContentType="application/vnd.openxmlformats-officedocument.spreadsheetml.worksheet+xml" PartName="/xl/worksheets/sheet18798.xml"/>
  <Override ContentType="application/vnd.openxmlformats-officedocument.spreadsheetml.worksheet+xml" PartName="/xl/worksheets/sheet18799.xml"/>
  <Override ContentType="application/vnd.openxmlformats-officedocument.spreadsheetml.worksheet+xml" PartName="/xl/worksheets/sheet18800.xml"/>
  <Override ContentType="application/vnd.openxmlformats-officedocument.spreadsheetml.worksheet+xml" PartName="/xl/worksheets/sheet18801.xml"/>
  <Override ContentType="application/vnd.openxmlformats-officedocument.spreadsheetml.worksheet+xml" PartName="/xl/worksheets/sheet18802.xml"/>
  <Override ContentType="application/vnd.openxmlformats-officedocument.spreadsheetml.worksheet+xml" PartName="/xl/worksheets/sheet18803.xml"/>
  <Override ContentType="application/vnd.openxmlformats-officedocument.spreadsheetml.worksheet+xml" PartName="/xl/worksheets/sheet18804.xml"/>
  <Override ContentType="application/vnd.openxmlformats-officedocument.spreadsheetml.worksheet+xml" PartName="/xl/worksheets/sheet18805.xml"/>
  <Override ContentType="application/vnd.openxmlformats-officedocument.spreadsheetml.worksheet+xml" PartName="/xl/worksheets/sheet18806.xml"/>
  <Override ContentType="application/vnd.openxmlformats-officedocument.spreadsheetml.worksheet+xml" PartName="/xl/worksheets/sheet18807.xml"/>
  <Override ContentType="application/vnd.openxmlformats-officedocument.spreadsheetml.worksheet+xml" PartName="/xl/worksheets/sheet18808.xml"/>
  <Override ContentType="application/vnd.openxmlformats-officedocument.spreadsheetml.worksheet+xml" PartName="/xl/worksheets/sheet18809.xml"/>
  <Override ContentType="application/vnd.openxmlformats-officedocument.spreadsheetml.worksheet+xml" PartName="/xl/worksheets/sheet18810.xml"/>
  <Override ContentType="application/vnd.openxmlformats-officedocument.spreadsheetml.worksheet+xml" PartName="/xl/worksheets/sheet18811.xml"/>
  <Override ContentType="application/vnd.openxmlformats-officedocument.spreadsheetml.worksheet+xml" PartName="/xl/worksheets/sheet18812.xml"/>
  <Override ContentType="application/vnd.openxmlformats-officedocument.spreadsheetml.worksheet+xml" PartName="/xl/worksheets/sheet18813.xml"/>
  <Override ContentType="application/vnd.openxmlformats-officedocument.spreadsheetml.worksheet+xml" PartName="/xl/worksheets/sheet18814.xml"/>
  <Override ContentType="application/vnd.openxmlformats-officedocument.spreadsheetml.worksheet+xml" PartName="/xl/worksheets/sheet18815.xml"/>
  <Override ContentType="application/vnd.openxmlformats-officedocument.spreadsheetml.worksheet+xml" PartName="/xl/worksheets/sheet18816.xml"/>
  <Override ContentType="application/vnd.openxmlformats-officedocument.spreadsheetml.worksheet+xml" PartName="/xl/worksheets/sheet18817.xml"/>
  <Override ContentType="application/vnd.openxmlformats-officedocument.spreadsheetml.worksheet+xml" PartName="/xl/worksheets/sheet18818.xml"/>
  <Override ContentType="application/vnd.openxmlformats-officedocument.spreadsheetml.worksheet+xml" PartName="/xl/worksheets/sheet18819.xml"/>
  <Override ContentType="application/vnd.openxmlformats-officedocument.spreadsheetml.worksheet+xml" PartName="/xl/worksheets/sheet18820.xml"/>
  <Override ContentType="application/vnd.openxmlformats-officedocument.spreadsheetml.worksheet+xml" PartName="/xl/worksheets/sheet18821.xml"/>
  <Override ContentType="application/vnd.openxmlformats-officedocument.spreadsheetml.worksheet+xml" PartName="/xl/worksheets/sheet18822.xml"/>
  <Override ContentType="application/vnd.openxmlformats-officedocument.spreadsheetml.worksheet+xml" PartName="/xl/worksheets/sheet18823.xml"/>
  <Override ContentType="application/vnd.openxmlformats-officedocument.spreadsheetml.worksheet+xml" PartName="/xl/worksheets/sheet18824.xml"/>
  <Override ContentType="application/vnd.openxmlformats-officedocument.spreadsheetml.worksheet+xml" PartName="/xl/worksheets/sheet18825.xml"/>
  <Override ContentType="application/vnd.openxmlformats-officedocument.spreadsheetml.worksheet+xml" PartName="/xl/worksheets/sheet18826.xml"/>
  <Override ContentType="application/vnd.openxmlformats-officedocument.spreadsheetml.worksheet+xml" PartName="/xl/worksheets/sheet18827.xml"/>
  <Override ContentType="application/vnd.openxmlformats-officedocument.spreadsheetml.worksheet+xml" PartName="/xl/worksheets/sheet18828.xml"/>
  <Override ContentType="application/vnd.openxmlformats-officedocument.spreadsheetml.worksheet+xml" PartName="/xl/worksheets/sheet18829.xml"/>
  <Override ContentType="application/vnd.openxmlformats-officedocument.spreadsheetml.worksheet+xml" PartName="/xl/worksheets/sheet18830.xml"/>
  <Override ContentType="application/vnd.openxmlformats-officedocument.spreadsheetml.worksheet+xml" PartName="/xl/worksheets/sheet18831.xml"/>
  <Override ContentType="application/vnd.openxmlformats-officedocument.spreadsheetml.worksheet+xml" PartName="/xl/worksheets/sheet18832.xml"/>
  <Override ContentType="application/vnd.openxmlformats-officedocument.spreadsheetml.worksheet+xml" PartName="/xl/worksheets/sheet18833.xml"/>
  <Override ContentType="application/vnd.openxmlformats-officedocument.spreadsheetml.worksheet+xml" PartName="/xl/worksheets/sheet18834.xml"/>
  <Override ContentType="application/vnd.openxmlformats-officedocument.spreadsheetml.worksheet+xml" PartName="/xl/worksheets/sheet18835.xml"/>
  <Override ContentType="application/vnd.openxmlformats-officedocument.spreadsheetml.worksheet+xml" PartName="/xl/worksheets/sheet18836.xml"/>
  <Override ContentType="application/vnd.openxmlformats-officedocument.spreadsheetml.worksheet+xml" PartName="/xl/worksheets/sheet18837.xml"/>
  <Override ContentType="application/vnd.openxmlformats-officedocument.spreadsheetml.worksheet+xml" PartName="/xl/worksheets/sheet18838.xml"/>
  <Override ContentType="application/vnd.openxmlformats-officedocument.spreadsheetml.worksheet+xml" PartName="/xl/worksheets/sheet18839.xml"/>
  <Override ContentType="application/vnd.openxmlformats-officedocument.spreadsheetml.worksheet+xml" PartName="/xl/worksheets/sheet18840.xml"/>
  <Override ContentType="application/vnd.openxmlformats-officedocument.spreadsheetml.worksheet+xml" PartName="/xl/worksheets/sheet18841.xml"/>
  <Override ContentType="application/vnd.openxmlformats-officedocument.spreadsheetml.worksheet+xml" PartName="/xl/worksheets/sheet18842.xml"/>
  <Override ContentType="application/vnd.openxmlformats-officedocument.spreadsheetml.worksheet+xml" PartName="/xl/worksheets/sheet18843.xml"/>
  <Override ContentType="application/vnd.openxmlformats-officedocument.spreadsheetml.worksheet+xml" PartName="/xl/worksheets/sheet18844.xml"/>
  <Override ContentType="application/vnd.openxmlformats-officedocument.spreadsheetml.worksheet+xml" PartName="/xl/worksheets/sheet18845.xml"/>
  <Override ContentType="application/vnd.openxmlformats-officedocument.spreadsheetml.worksheet+xml" PartName="/xl/worksheets/sheet18846.xml"/>
  <Override ContentType="application/vnd.openxmlformats-officedocument.spreadsheetml.worksheet+xml" PartName="/xl/worksheets/sheet18847.xml"/>
  <Override ContentType="application/vnd.openxmlformats-officedocument.spreadsheetml.worksheet+xml" PartName="/xl/worksheets/sheet18848.xml"/>
  <Override ContentType="application/vnd.openxmlformats-officedocument.spreadsheetml.worksheet+xml" PartName="/xl/worksheets/sheet18849.xml"/>
  <Override ContentType="application/vnd.openxmlformats-officedocument.spreadsheetml.worksheet+xml" PartName="/xl/worksheets/sheet18850.xml"/>
  <Override ContentType="application/vnd.openxmlformats-officedocument.spreadsheetml.worksheet+xml" PartName="/xl/worksheets/sheet18851.xml"/>
  <Override ContentType="application/vnd.openxmlformats-officedocument.spreadsheetml.worksheet+xml" PartName="/xl/worksheets/sheet18852.xml"/>
  <Override ContentType="application/vnd.openxmlformats-officedocument.spreadsheetml.worksheet+xml" PartName="/xl/worksheets/sheet18853.xml"/>
  <Override ContentType="application/vnd.openxmlformats-officedocument.spreadsheetml.worksheet+xml" PartName="/xl/worksheets/sheet18854.xml"/>
  <Override ContentType="application/vnd.openxmlformats-officedocument.spreadsheetml.worksheet+xml" PartName="/xl/worksheets/sheet18855.xml"/>
  <Override ContentType="application/vnd.openxmlformats-officedocument.spreadsheetml.worksheet+xml" PartName="/xl/worksheets/sheet18856.xml"/>
  <Override ContentType="application/vnd.openxmlformats-officedocument.spreadsheetml.worksheet+xml" PartName="/xl/worksheets/sheet18857.xml"/>
  <Override ContentType="application/vnd.openxmlformats-officedocument.spreadsheetml.worksheet+xml" PartName="/xl/worksheets/sheet18858.xml"/>
  <Override ContentType="application/vnd.openxmlformats-officedocument.spreadsheetml.worksheet+xml" PartName="/xl/worksheets/sheet18859.xml"/>
  <Override ContentType="application/vnd.openxmlformats-officedocument.spreadsheetml.worksheet+xml" PartName="/xl/worksheets/sheet18860.xml"/>
  <Override ContentType="application/vnd.openxmlformats-officedocument.spreadsheetml.worksheet+xml" PartName="/xl/worksheets/sheet18861.xml"/>
  <Override ContentType="application/vnd.openxmlformats-officedocument.spreadsheetml.worksheet+xml" PartName="/xl/worksheets/sheet18862.xml"/>
  <Override ContentType="application/vnd.openxmlformats-officedocument.spreadsheetml.worksheet+xml" PartName="/xl/worksheets/sheet18863.xml"/>
  <Override ContentType="application/vnd.openxmlformats-officedocument.spreadsheetml.worksheet+xml" PartName="/xl/worksheets/sheet18864.xml"/>
  <Override ContentType="application/vnd.openxmlformats-officedocument.spreadsheetml.worksheet+xml" PartName="/xl/worksheets/sheet18865.xml"/>
  <Override ContentType="application/vnd.openxmlformats-officedocument.spreadsheetml.worksheet+xml" PartName="/xl/worksheets/sheet18866.xml"/>
  <Override ContentType="application/vnd.openxmlformats-officedocument.spreadsheetml.worksheet+xml" PartName="/xl/worksheets/sheet18867.xml"/>
  <Override ContentType="application/vnd.openxmlformats-officedocument.spreadsheetml.worksheet+xml" PartName="/xl/worksheets/sheet18868.xml"/>
  <Override ContentType="application/vnd.openxmlformats-officedocument.spreadsheetml.worksheet+xml" PartName="/xl/worksheets/sheet18869.xml"/>
  <Override ContentType="application/vnd.openxmlformats-officedocument.spreadsheetml.worksheet+xml" PartName="/xl/worksheets/sheet18870.xml"/>
  <Override ContentType="application/vnd.openxmlformats-officedocument.spreadsheetml.worksheet+xml" PartName="/xl/worksheets/sheet18871.xml"/>
  <Override ContentType="application/vnd.openxmlformats-officedocument.spreadsheetml.worksheet+xml" PartName="/xl/worksheets/sheet18872.xml"/>
  <Override ContentType="application/vnd.openxmlformats-officedocument.spreadsheetml.worksheet+xml" PartName="/xl/worksheets/sheet18873.xml"/>
  <Override ContentType="application/vnd.openxmlformats-officedocument.spreadsheetml.worksheet+xml" PartName="/xl/worksheets/sheet18874.xml"/>
  <Override ContentType="application/vnd.openxmlformats-officedocument.spreadsheetml.worksheet+xml" PartName="/xl/worksheets/sheet18875.xml"/>
  <Override ContentType="application/vnd.openxmlformats-officedocument.spreadsheetml.worksheet+xml" PartName="/xl/worksheets/sheet18876.xml"/>
  <Override ContentType="application/vnd.openxmlformats-officedocument.spreadsheetml.worksheet+xml" PartName="/xl/worksheets/sheet18877.xml"/>
  <Override ContentType="application/vnd.openxmlformats-officedocument.spreadsheetml.worksheet+xml" PartName="/xl/worksheets/sheet18878.xml"/>
  <Override ContentType="application/vnd.openxmlformats-officedocument.spreadsheetml.worksheet+xml" PartName="/xl/worksheets/sheet18879.xml"/>
  <Override ContentType="application/vnd.openxmlformats-officedocument.spreadsheetml.worksheet+xml" PartName="/xl/worksheets/sheet18880.xml"/>
  <Override ContentType="application/vnd.openxmlformats-officedocument.spreadsheetml.worksheet+xml" PartName="/xl/worksheets/sheet18881.xml"/>
  <Override ContentType="application/vnd.openxmlformats-officedocument.spreadsheetml.worksheet+xml" PartName="/xl/worksheets/sheet18882.xml"/>
  <Override ContentType="application/vnd.openxmlformats-officedocument.spreadsheetml.worksheet+xml" PartName="/xl/worksheets/sheet18883.xml"/>
  <Override ContentType="application/vnd.openxmlformats-officedocument.spreadsheetml.worksheet+xml" PartName="/xl/worksheets/sheet18884.xml"/>
  <Override ContentType="application/vnd.openxmlformats-officedocument.spreadsheetml.worksheet+xml" PartName="/xl/worksheets/sheet18885.xml"/>
  <Override ContentType="application/vnd.openxmlformats-officedocument.spreadsheetml.worksheet+xml" PartName="/xl/worksheets/sheet18886.xml"/>
  <Override ContentType="application/vnd.openxmlformats-officedocument.spreadsheetml.worksheet+xml" PartName="/xl/worksheets/sheet18887.xml"/>
  <Override ContentType="application/vnd.openxmlformats-officedocument.spreadsheetml.worksheet+xml" PartName="/xl/worksheets/sheet18888.xml"/>
  <Override ContentType="application/vnd.openxmlformats-officedocument.spreadsheetml.worksheet+xml" PartName="/xl/worksheets/sheet18889.xml"/>
  <Override ContentType="application/vnd.openxmlformats-officedocument.spreadsheetml.worksheet+xml" PartName="/xl/worksheets/sheet18890.xml"/>
  <Override ContentType="application/vnd.openxmlformats-officedocument.spreadsheetml.worksheet+xml" PartName="/xl/worksheets/sheet18891.xml"/>
  <Override ContentType="application/vnd.openxmlformats-officedocument.spreadsheetml.worksheet+xml" PartName="/xl/worksheets/sheet18892.xml"/>
  <Override ContentType="application/vnd.openxmlformats-officedocument.spreadsheetml.worksheet+xml" PartName="/xl/worksheets/sheet18893.xml"/>
  <Override ContentType="application/vnd.openxmlformats-officedocument.spreadsheetml.worksheet+xml" PartName="/xl/worksheets/sheet18894.xml"/>
  <Override ContentType="application/vnd.openxmlformats-officedocument.spreadsheetml.worksheet+xml" PartName="/xl/worksheets/sheet18895.xml"/>
  <Override ContentType="application/vnd.openxmlformats-officedocument.spreadsheetml.worksheet+xml" PartName="/xl/worksheets/sheet18896.xml"/>
  <Override ContentType="application/vnd.openxmlformats-officedocument.spreadsheetml.worksheet+xml" PartName="/xl/worksheets/sheet18897.xml"/>
  <Override ContentType="application/vnd.openxmlformats-officedocument.spreadsheetml.worksheet+xml" PartName="/xl/worksheets/sheet18898.xml"/>
  <Override ContentType="application/vnd.openxmlformats-officedocument.spreadsheetml.worksheet+xml" PartName="/xl/worksheets/sheet18899.xml"/>
  <Override ContentType="application/vnd.openxmlformats-officedocument.spreadsheetml.worksheet+xml" PartName="/xl/worksheets/sheet18900.xml"/>
  <Override ContentType="application/vnd.openxmlformats-officedocument.spreadsheetml.worksheet+xml" PartName="/xl/worksheets/sheet18901.xml"/>
  <Override ContentType="application/vnd.openxmlformats-officedocument.spreadsheetml.worksheet+xml" PartName="/xl/worksheets/sheet18902.xml"/>
  <Override ContentType="application/vnd.openxmlformats-officedocument.spreadsheetml.worksheet+xml" PartName="/xl/worksheets/sheet18903.xml"/>
  <Override ContentType="application/vnd.openxmlformats-officedocument.spreadsheetml.worksheet+xml" PartName="/xl/worksheets/sheet18904.xml"/>
  <Override ContentType="application/vnd.openxmlformats-officedocument.spreadsheetml.worksheet+xml" PartName="/xl/worksheets/sheet18905.xml"/>
  <Override ContentType="application/vnd.openxmlformats-officedocument.spreadsheetml.worksheet+xml" PartName="/xl/worksheets/sheet18906.xml"/>
  <Override ContentType="application/vnd.openxmlformats-officedocument.spreadsheetml.worksheet+xml" PartName="/xl/worksheets/sheet18907.xml"/>
  <Override ContentType="application/vnd.openxmlformats-officedocument.spreadsheetml.worksheet+xml" PartName="/xl/worksheets/sheet18908.xml"/>
  <Override ContentType="application/vnd.openxmlformats-officedocument.spreadsheetml.worksheet+xml" PartName="/xl/worksheets/sheet18909.xml"/>
  <Override ContentType="application/vnd.openxmlformats-officedocument.spreadsheetml.worksheet+xml" PartName="/xl/worksheets/sheet18910.xml"/>
  <Override ContentType="application/vnd.openxmlformats-officedocument.spreadsheetml.worksheet+xml" PartName="/xl/worksheets/sheet18911.xml"/>
  <Override ContentType="application/vnd.openxmlformats-officedocument.spreadsheetml.worksheet+xml" PartName="/xl/worksheets/sheet18912.xml"/>
  <Override ContentType="application/vnd.openxmlformats-officedocument.spreadsheetml.worksheet+xml" PartName="/xl/worksheets/sheet18913.xml"/>
  <Override ContentType="application/vnd.openxmlformats-officedocument.spreadsheetml.worksheet+xml" PartName="/xl/worksheets/sheet18914.xml"/>
  <Override ContentType="application/vnd.openxmlformats-officedocument.spreadsheetml.worksheet+xml" PartName="/xl/worksheets/sheet18915.xml"/>
  <Override ContentType="application/vnd.openxmlformats-officedocument.spreadsheetml.worksheet+xml" PartName="/xl/worksheets/sheet18916.xml"/>
  <Override ContentType="application/vnd.openxmlformats-officedocument.spreadsheetml.worksheet+xml" PartName="/xl/worksheets/sheet18917.xml"/>
  <Override ContentType="application/vnd.openxmlformats-officedocument.spreadsheetml.worksheet+xml" PartName="/xl/worksheets/sheet18918.xml"/>
  <Override ContentType="application/vnd.openxmlformats-officedocument.spreadsheetml.worksheet+xml" PartName="/xl/worksheets/sheet18919.xml"/>
  <Override ContentType="application/vnd.openxmlformats-officedocument.spreadsheetml.worksheet+xml" PartName="/xl/worksheets/sheet18920.xml"/>
  <Override ContentType="application/vnd.openxmlformats-officedocument.spreadsheetml.worksheet+xml" PartName="/xl/worksheets/sheet18921.xml"/>
  <Override ContentType="application/vnd.openxmlformats-officedocument.spreadsheetml.worksheet+xml" PartName="/xl/worksheets/sheet18922.xml"/>
  <Override ContentType="application/vnd.openxmlformats-officedocument.spreadsheetml.worksheet+xml" PartName="/xl/worksheets/sheet18923.xml"/>
  <Override ContentType="application/vnd.openxmlformats-officedocument.spreadsheetml.worksheet+xml" PartName="/xl/worksheets/sheet18924.xml"/>
  <Override ContentType="application/vnd.openxmlformats-officedocument.spreadsheetml.worksheet+xml" PartName="/xl/worksheets/sheet18925.xml"/>
  <Override ContentType="application/vnd.openxmlformats-officedocument.spreadsheetml.worksheet+xml" PartName="/xl/worksheets/sheet18926.xml"/>
  <Override ContentType="application/vnd.openxmlformats-officedocument.spreadsheetml.worksheet+xml" PartName="/xl/worksheets/sheet18927.xml"/>
  <Override ContentType="application/vnd.openxmlformats-officedocument.spreadsheetml.worksheet+xml" PartName="/xl/worksheets/sheet18928.xml"/>
  <Override ContentType="application/vnd.openxmlformats-officedocument.spreadsheetml.worksheet+xml" PartName="/xl/worksheets/sheet18929.xml"/>
  <Override ContentType="application/vnd.openxmlformats-officedocument.spreadsheetml.worksheet+xml" PartName="/xl/worksheets/sheet18930.xml"/>
  <Override ContentType="application/vnd.openxmlformats-officedocument.spreadsheetml.worksheet+xml" PartName="/xl/worksheets/sheet18931.xml"/>
  <Override ContentType="application/vnd.openxmlformats-officedocument.spreadsheetml.worksheet+xml" PartName="/xl/worksheets/sheet18932.xml"/>
  <Override ContentType="application/vnd.openxmlformats-officedocument.spreadsheetml.worksheet+xml" PartName="/xl/worksheets/sheet18933.xml"/>
  <Override ContentType="application/vnd.openxmlformats-officedocument.spreadsheetml.worksheet+xml" PartName="/xl/worksheets/sheet18934.xml"/>
  <Override ContentType="application/vnd.openxmlformats-officedocument.spreadsheetml.worksheet+xml" PartName="/xl/worksheets/sheet18935.xml"/>
  <Override ContentType="application/vnd.openxmlformats-officedocument.spreadsheetml.worksheet+xml" PartName="/xl/worksheets/sheet18936.xml"/>
  <Override ContentType="application/vnd.openxmlformats-officedocument.spreadsheetml.worksheet+xml" PartName="/xl/worksheets/sheet18937.xml"/>
  <Override ContentType="application/vnd.openxmlformats-officedocument.spreadsheetml.worksheet+xml" PartName="/xl/worksheets/sheet18938.xml"/>
  <Override ContentType="application/vnd.openxmlformats-officedocument.spreadsheetml.worksheet+xml" PartName="/xl/worksheets/sheet18939.xml"/>
  <Override ContentType="application/vnd.openxmlformats-officedocument.spreadsheetml.worksheet+xml" PartName="/xl/worksheets/sheet18940.xml"/>
  <Override ContentType="application/vnd.openxmlformats-officedocument.spreadsheetml.worksheet+xml" PartName="/xl/worksheets/sheet18941.xml"/>
  <Override ContentType="application/vnd.openxmlformats-officedocument.spreadsheetml.worksheet+xml" PartName="/xl/worksheets/sheet18942.xml"/>
  <Override ContentType="application/vnd.openxmlformats-officedocument.spreadsheetml.worksheet+xml" PartName="/xl/worksheets/sheet18943.xml"/>
  <Override ContentType="application/vnd.openxmlformats-officedocument.spreadsheetml.worksheet+xml" PartName="/xl/worksheets/sheet18944.xml"/>
  <Override ContentType="application/vnd.openxmlformats-officedocument.spreadsheetml.worksheet+xml" PartName="/xl/worksheets/sheet18945.xml"/>
  <Override ContentType="application/vnd.openxmlformats-officedocument.spreadsheetml.worksheet+xml" PartName="/xl/worksheets/sheet18946.xml"/>
  <Override ContentType="application/vnd.openxmlformats-officedocument.spreadsheetml.worksheet+xml" PartName="/xl/worksheets/sheet18947.xml"/>
  <Override ContentType="application/vnd.openxmlformats-officedocument.spreadsheetml.worksheet+xml" PartName="/xl/worksheets/sheet18948.xml"/>
  <Override ContentType="application/vnd.openxmlformats-officedocument.spreadsheetml.worksheet+xml" PartName="/xl/worksheets/sheet18949.xml"/>
  <Override ContentType="application/vnd.openxmlformats-officedocument.spreadsheetml.worksheet+xml" PartName="/xl/worksheets/sheet18950.xml"/>
  <Override ContentType="application/vnd.openxmlformats-officedocument.spreadsheetml.worksheet+xml" PartName="/xl/worksheets/sheet18951.xml"/>
  <Override ContentType="application/vnd.openxmlformats-officedocument.spreadsheetml.worksheet+xml" PartName="/xl/worksheets/sheet18952.xml"/>
  <Override ContentType="application/vnd.openxmlformats-officedocument.spreadsheetml.worksheet+xml" PartName="/xl/worksheets/sheet18953.xml"/>
  <Override ContentType="application/vnd.openxmlformats-officedocument.spreadsheetml.worksheet+xml" PartName="/xl/worksheets/sheet18954.xml"/>
  <Override ContentType="application/vnd.openxmlformats-officedocument.spreadsheetml.worksheet+xml" PartName="/xl/worksheets/sheet18955.xml"/>
  <Override ContentType="application/vnd.openxmlformats-officedocument.spreadsheetml.worksheet+xml" PartName="/xl/worksheets/sheet18956.xml"/>
  <Override ContentType="application/vnd.openxmlformats-officedocument.spreadsheetml.worksheet+xml" PartName="/xl/worksheets/sheet18957.xml"/>
  <Override ContentType="application/vnd.openxmlformats-officedocument.spreadsheetml.worksheet+xml" PartName="/xl/worksheets/sheet18958.xml"/>
  <Override ContentType="application/vnd.openxmlformats-officedocument.spreadsheetml.worksheet+xml" PartName="/xl/worksheets/sheet18959.xml"/>
  <Override ContentType="application/vnd.openxmlformats-officedocument.spreadsheetml.worksheet+xml" PartName="/xl/worksheets/sheet18960.xml"/>
  <Override ContentType="application/vnd.openxmlformats-officedocument.spreadsheetml.worksheet+xml" PartName="/xl/worksheets/sheet18961.xml"/>
  <Override ContentType="application/vnd.openxmlformats-officedocument.spreadsheetml.worksheet+xml" PartName="/xl/worksheets/sheet18962.xml"/>
  <Override ContentType="application/vnd.openxmlformats-officedocument.spreadsheetml.worksheet+xml" PartName="/xl/worksheets/sheet18963.xml"/>
  <Override ContentType="application/vnd.openxmlformats-officedocument.spreadsheetml.worksheet+xml" PartName="/xl/worksheets/sheet18964.xml"/>
  <Override ContentType="application/vnd.openxmlformats-officedocument.spreadsheetml.worksheet+xml" PartName="/xl/worksheets/sheet18965.xml"/>
  <Override ContentType="application/vnd.openxmlformats-officedocument.spreadsheetml.worksheet+xml" PartName="/xl/worksheets/sheet18966.xml"/>
  <Override ContentType="application/vnd.openxmlformats-officedocument.spreadsheetml.worksheet+xml" PartName="/xl/worksheets/sheet18967.xml"/>
  <Override ContentType="application/vnd.openxmlformats-officedocument.spreadsheetml.worksheet+xml" PartName="/xl/worksheets/sheet18968.xml"/>
  <Override ContentType="application/vnd.openxmlformats-officedocument.spreadsheetml.worksheet+xml" PartName="/xl/worksheets/sheet18969.xml"/>
  <Override ContentType="application/vnd.openxmlformats-officedocument.spreadsheetml.worksheet+xml" PartName="/xl/worksheets/sheet18970.xml"/>
  <Override ContentType="application/vnd.openxmlformats-officedocument.spreadsheetml.worksheet+xml" PartName="/xl/worksheets/sheet18971.xml"/>
  <Override ContentType="application/vnd.openxmlformats-officedocument.spreadsheetml.worksheet+xml" PartName="/xl/worksheets/sheet18972.xml"/>
  <Override ContentType="application/vnd.openxmlformats-officedocument.spreadsheetml.worksheet+xml" PartName="/xl/worksheets/sheet18973.xml"/>
  <Override ContentType="application/vnd.openxmlformats-officedocument.spreadsheetml.worksheet+xml" PartName="/xl/worksheets/sheet18974.xml"/>
  <Override ContentType="application/vnd.openxmlformats-officedocument.spreadsheetml.worksheet+xml" PartName="/xl/worksheets/sheet18975.xml"/>
  <Override ContentType="application/vnd.openxmlformats-officedocument.spreadsheetml.worksheet+xml" PartName="/xl/worksheets/sheet18976.xml"/>
  <Override ContentType="application/vnd.openxmlformats-officedocument.spreadsheetml.worksheet+xml" PartName="/xl/worksheets/sheet18977.xml"/>
  <Override ContentType="application/vnd.openxmlformats-officedocument.spreadsheetml.worksheet+xml" PartName="/xl/worksheets/sheet18978.xml"/>
  <Override ContentType="application/vnd.openxmlformats-officedocument.spreadsheetml.worksheet+xml" PartName="/xl/worksheets/sheet18979.xml"/>
  <Override ContentType="application/vnd.openxmlformats-officedocument.spreadsheetml.worksheet+xml" PartName="/xl/worksheets/sheet18980.xml"/>
  <Override ContentType="application/vnd.openxmlformats-officedocument.spreadsheetml.worksheet+xml" PartName="/xl/worksheets/sheet18981.xml"/>
  <Override ContentType="application/vnd.openxmlformats-officedocument.spreadsheetml.worksheet+xml" PartName="/xl/worksheets/sheet18982.xml"/>
  <Override ContentType="application/vnd.openxmlformats-officedocument.spreadsheetml.worksheet+xml" PartName="/xl/worksheets/sheet18983.xml"/>
  <Override ContentType="application/vnd.openxmlformats-officedocument.spreadsheetml.worksheet+xml" PartName="/xl/worksheets/sheet18984.xml"/>
  <Override ContentType="application/vnd.openxmlformats-officedocument.spreadsheetml.worksheet+xml" PartName="/xl/worksheets/sheet18985.xml"/>
  <Override ContentType="application/vnd.openxmlformats-officedocument.spreadsheetml.worksheet+xml" PartName="/xl/worksheets/sheet18986.xml"/>
  <Override ContentType="application/vnd.openxmlformats-officedocument.spreadsheetml.worksheet+xml" PartName="/xl/worksheets/sheet18987.xml"/>
  <Override ContentType="application/vnd.openxmlformats-officedocument.spreadsheetml.worksheet+xml" PartName="/xl/worksheets/sheet18988.xml"/>
  <Override ContentType="application/vnd.openxmlformats-officedocument.spreadsheetml.worksheet+xml" PartName="/xl/worksheets/sheet18989.xml"/>
  <Override ContentType="application/vnd.openxmlformats-officedocument.spreadsheetml.worksheet+xml" PartName="/xl/worksheets/sheet18990.xml"/>
  <Override ContentType="application/vnd.openxmlformats-officedocument.spreadsheetml.worksheet+xml" PartName="/xl/worksheets/sheet18991.xml"/>
  <Override ContentType="application/vnd.openxmlformats-officedocument.spreadsheetml.worksheet+xml" PartName="/xl/worksheets/sheet18992.xml"/>
  <Override ContentType="application/vnd.openxmlformats-officedocument.spreadsheetml.worksheet+xml" PartName="/xl/worksheets/sheet18993.xml"/>
  <Override ContentType="application/vnd.openxmlformats-officedocument.spreadsheetml.worksheet+xml" PartName="/xl/worksheets/sheet18994.xml"/>
  <Override ContentType="application/vnd.openxmlformats-officedocument.spreadsheetml.worksheet+xml" PartName="/xl/worksheets/sheet18995.xml"/>
  <Override ContentType="application/vnd.openxmlformats-officedocument.spreadsheetml.worksheet+xml" PartName="/xl/worksheets/sheet18996.xml"/>
  <Override ContentType="application/vnd.openxmlformats-officedocument.spreadsheetml.worksheet+xml" PartName="/xl/worksheets/sheet18997.xml"/>
  <Override ContentType="application/vnd.openxmlformats-officedocument.spreadsheetml.worksheet+xml" PartName="/xl/worksheets/sheet18998.xml"/>
  <Override ContentType="application/vnd.openxmlformats-officedocument.spreadsheetml.worksheet+xml" PartName="/xl/worksheets/sheet18999.xml"/>
  <Override ContentType="application/vnd.openxmlformats-officedocument.spreadsheetml.worksheet+xml" PartName="/xl/worksheets/sheet19000.xml"/>
  <Override ContentType="application/vnd.openxmlformats-officedocument.spreadsheetml.worksheet+xml" PartName="/xl/worksheets/sheet19001.xml"/>
  <Override ContentType="application/vnd.openxmlformats-officedocument.spreadsheetml.worksheet+xml" PartName="/xl/worksheets/sheet19002.xml"/>
  <Override ContentType="application/vnd.openxmlformats-officedocument.spreadsheetml.worksheet+xml" PartName="/xl/worksheets/sheet19003.xml"/>
  <Override ContentType="application/vnd.openxmlformats-officedocument.spreadsheetml.worksheet+xml" PartName="/xl/worksheets/sheet19004.xml"/>
  <Override ContentType="application/vnd.openxmlformats-officedocument.spreadsheetml.worksheet+xml" PartName="/xl/worksheets/sheet19005.xml"/>
  <Override ContentType="application/vnd.openxmlformats-officedocument.spreadsheetml.worksheet+xml" PartName="/xl/worksheets/sheet19006.xml"/>
  <Override ContentType="application/vnd.openxmlformats-officedocument.spreadsheetml.worksheet+xml" PartName="/xl/worksheets/sheet19007.xml"/>
  <Override ContentType="application/vnd.openxmlformats-officedocument.spreadsheetml.worksheet+xml" PartName="/xl/worksheets/sheet19008.xml"/>
  <Override ContentType="application/vnd.openxmlformats-officedocument.spreadsheetml.worksheet+xml" PartName="/xl/worksheets/sheet19009.xml"/>
  <Override ContentType="application/vnd.openxmlformats-officedocument.spreadsheetml.worksheet+xml" PartName="/xl/worksheets/sheet19010.xml"/>
  <Override ContentType="application/vnd.openxmlformats-officedocument.spreadsheetml.worksheet+xml" PartName="/xl/worksheets/sheet19011.xml"/>
  <Override ContentType="application/vnd.openxmlformats-officedocument.spreadsheetml.worksheet+xml" PartName="/xl/worksheets/sheet19012.xml"/>
  <Override ContentType="application/vnd.openxmlformats-officedocument.spreadsheetml.worksheet+xml" PartName="/xl/worksheets/sheet19013.xml"/>
  <Override ContentType="application/vnd.openxmlformats-officedocument.spreadsheetml.worksheet+xml" PartName="/xl/worksheets/sheet19014.xml"/>
  <Override ContentType="application/vnd.openxmlformats-officedocument.spreadsheetml.worksheet+xml" PartName="/xl/worksheets/sheet19015.xml"/>
  <Override ContentType="application/vnd.openxmlformats-officedocument.spreadsheetml.worksheet+xml" PartName="/xl/worksheets/sheet19016.xml"/>
  <Override ContentType="application/vnd.openxmlformats-officedocument.spreadsheetml.worksheet+xml" PartName="/xl/worksheets/sheet19017.xml"/>
  <Override ContentType="application/vnd.openxmlformats-officedocument.spreadsheetml.worksheet+xml" PartName="/xl/worksheets/sheet19018.xml"/>
  <Override ContentType="application/vnd.openxmlformats-officedocument.spreadsheetml.worksheet+xml" PartName="/xl/worksheets/sheet19019.xml"/>
  <Override ContentType="application/vnd.openxmlformats-officedocument.spreadsheetml.worksheet+xml" PartName="/xl/worksheets/sheet19020.xml"/>
  <Override ContentType="application/vnd.openxmlformats-officedocument.spreadsheetml.worksheet+xml" PartName="/xl/worksheets/sheet19021.xml"/>
  <Override ContentType="application/vnd.openxmlformats-officedocument.spreadsheetml.worksheet+xml" PartName="/xl/worksheets/sheet19022.xml"/>
  <Override ContentType="application/vnd.openxmlformats-officedocument.spreadsheetml.worksheet+xml" PartName="/xl/worksheets/sheet19023.xml"/>
  <Override ContentType="application/vnd.openxmlformats-officedocument.spreadsheetml.worksheet+xml" PartName="/xl/worksheets/sheet19024.xml"/>
  <Override ContentType="application/vnd.openxmlformats-officedocument.spreadsheetml.worksheet+xml" PartName="/xl/worksheets/sheet19025.xml"/>
  <Override ContentType="application/vnd.openxmlformats-officedocument.spreadsheetml.worksheet+xml" PartName="/xl/worksheets/sheet19026.xml"/>
  <Override ContentType="application/vnd.openxmlformats-officedocument.spreadsheetml.worksheet+xml" PartName="/xl/worksheets/sheet19027.xml"/>
  <Override ContentType="application/vnd.openxmlformats-officedocument.spreadsheetml.worksheet+xml" PartName="/xl/worksheets/sheet19028.xml"/>
  <Override ContentType="application/vnd.openxmlformats-officedocument.spreadsheetml.worksheet+xml" PartName="/xl/worksheets/sheet19029.xml"/>
  <Override ContentType="application/vnd.openxmlformats-officedocument.spreadsheetml.worksheet+xml" PartName="/xl/worksheets/sheet19030.xml"/>
  <Override ContentType="application/vnd.openxmlformats-officedocument.spreadsheetml.worksheet+xml" PartName="/xl/worksheets/sheet19031.xml"/>
  <Override ContentType="application/vnd.openxmlformats-officedocument.spreadsheetml.worksheet+xml" PartName="/xl/worksheets/sheet19032.xml"/>
  <Override ContentType="application/vnd.openxmlformats-officedocument.spreadsheetml.worksheet+xml" PartName="/xl/worksheets/sheet19033.xml"/>
  <Override ContentType="application/vnd.openxmlformats-officedocument.spreadsheetml.worksheet+xml" PartName="/xl/worksheets/sheet19034.xml"/>
  <Override ContentType="application/vnd.openxmlformats-officedocument.spreadsheetml.worksheet+xml" PartName="/xl/worksheets/sheet19035.xml"/>
  <Override ContentType="application/vnd.openxmlformats-officedocument.spreadsheetml.worksheet+xml" PartName="/xl/worksheets/sheet19036.xml"/>
  <Override ContentType="application/vnd.openxmlformats-officedocument.spreadsheetml.worksheet+xml" PartName="/xl/worksheets/sheet19037.xml"/>
  <Override ContentType="application/vnd.openxmlformats-officedocument.spreadsheetml.worksheet+xml" PartName="/xl/worksheets/sheet19038.xml"/>
  <Override ContentType="application/vnd.openxmlformats-officedocument.spreadsheetml.worksheet+xml" PartName="/xl/worksheets/sheet19039.xml"/>
  <Override ContentType="application/vnd.openxmlformats-officedocument.spreadsheetml.worksheet+xml" PartName="/xl/worksheets/sheet19040.xml"/>
  <Override ContentType="application/vnd.openxmlformats-officedocument.spreadsheetml.worksheet+xml" PartName="/xl/worksheets/sheet19041.xml"/>
  <Override ContentType="application/vnd.openxmlformats-officedocument.spreadsheetml.worksheet+xml" PartName="/xl/worksheets/sheet19042.xml"/>
  <Override ContentType="application/vnd.openxmlformats-officedocument.spreadsheetml.worksheet+xml" PartName="/xl/worksheets/sheet19043.xml"/>
  <Override ContentType="application/vnd.openxmlformats-officedocument.spreadsheetml.worksheet+xml" PartName="/xl/worksheets/sheet19044.xml"/>
  <Override ContentType="application/vnd.openxmlformats-officedocument.spreadsheetml.worksheet+xml" PartName="/xl/worksheets/sheet19045.xml"/>
  <Override ContentType="application/vnd.openxmlformats-officedocument.spreadsheetml.worksheet+xml" PartName="/xl/worksheets/sheet19046.xml"/>
  <Override ContentType="application/vnd.openxmlformats-officedocument.spreadsheetml.worksheet+xml" PartName="/xl/worksheets/sheet19047.xml"/>
  <Override ContentType="application/vnd.openxmlformats-officedocument.spreadsheetml.worksheet+xml" PartName="/xl/worksheets/sheet19048.xml"/>
  <Override ContentType="application/vnd.openxmlformats-officedocument.spreadsheetml.worksheet+xml" PartName="/xl/worksheets/sheet19049.xml"/>
  <Override ContentType="application/vnd.openxmlformats-officedocument.spreadsheetml.worksheet+xml" PartName="/xl/worksheets/sheet19050.xml"/>
  <Override ContentType="application/vnd.openxmlformats-officedocument.spreadsheetml.worksheet+xml" PartName="/xl/worksheets/sheet19051.xml"/>
  <Override ContentType="application/vnd.openxmlformats-officedocument.spreadsheetml.worksheet+xml" PartName="/xl/worksheets/sheet19052.xml"/>
  <Override ContentType="application/vnd.openxmlformats-officedocument.spreadsheetml.worksheet+xml" PartName="/xl/worksheets/sheet19053.xml"/>
  <Override ContentType="application/vnd.openxmlformats-officedocument.spreadsheetml.worksheet+xml" PartName="/xl/worksheets/sheet19054.xml"/>
  <Override ContentType="application/vnd.openxmlformats-officedocument.spreadsheetml.worksheet+xml" PartName="/xl/worksheets/sheet19055.xml"/>
  <Override ContentType="application/vnd.openxmlformats-officedocument.spreadsheetml.worksheet+xml" PartName="/xl/worksheets/sheet19056.xml"/>
  <Override ContentType="application/vnd.openxmlformats-officedocument.spreadsheetml.worksheet+xml" PartName="/xl/worksheets/sheet19057.xml"/>
  <Override ContentType="application/vnd.openxmlformats-officedocument.spreadsheetml.worksheet+xml" PartName="/xl/worksheets/sheet19058.xml"/>
  <Override ContentType="application/vnd.openxmlformats-officedocument.spreadsheetml.worksheet+xml" PartName="/xl/worksheets/sheet19059.xml"/>
  <Override ContentType="application/vnd.openxmlformats-officedocument.spreadsheetml.worksheet+xml" PartName="/xl/worksheets/sheet19060.xml"/>
  <Override ContentType="application/vnd.openxmlformats-officedocument.spreadsheetml.worksheet+xml" PartName="/xl/worksheets/sheet19061.xml"/>
  <Override ContentType="application/vnd.openxmlformats-officedocument.spreadsheetml.worksheet+xml" PartName="/xl/worksheets/sheet19062.xml"/>
  <Override ContentType="application/vnd.openxmlformats-officedocument.spreadsheetml.worksheet+xml" PartName="/xl/worksheets/sheet19063.xml"/>
  <Override ContentType="application/vnd.openxmlformats-officedocument.spreadsheetml.worksheet+xml" PartName="/xl/worksheets/sheet19064.xml"/>
  <Override ContentType="application/vnd.openxmlformats-officedocument.spreadsheetml.worksheet+xml" PartName="/xl/worksheets/sheet19065.xml"/>
  <Override ContentType="application/vnd.openxmlformats-officedocument.spreadsheetml.worksheet+xml" PartName="/xl/worksheets/sheet19066.xml"/>
  <Override ContentType="application/vnd.openxmlformats-officedocument.spreadsheetml.worksheet+xml" PartName="/xl/worksheets/sheet19067.xml"/>
  <Override ContentType="application/vnd.openxmlformats-officedocument.spreadsheetml.worksheet+xml" PartName="/xl/worksheets/sheet19068.xml"/>
  <Override ContentType="application/vnd.openxmlformats-officedocument.spreadsheetml.worksheet+xml" PartName="/xl/worksheets/sheet19069.xml"/>
  <Override ContentType="application/vnd.openxmlformats-officedocument.spreadsheetml.worksheet+xml" PartName="/xl/worksheets/sheet19070.xml"/>
  <Override ContentType="application/vnd.openxmlformats-officedocument.spreadsheetml.worksheet+xml" PartName="/xl/worksheets/sheet19071.xml"/>
  <Override ContentType="application/vnd.openxmlformats-officedocument.spreadsheetml.worksheet+xml" PartName="/xl/worksheets/sheet19072.xml"/>
  <Override ContentType="application/vnd.openxmlformats-officedocument.spreadsheetml.worksheet+xml" PartName="/xl/worksheets/sheet19073.xml"/>
  <Override ContentType="application/vnd.openxmlformats-officedocument.spreadsheetml.worksheet+xml" PartName="/xl/worksheets/sheet19074.xml"/>
  <Override ContentType="application/vnd.openxmlformats-officedocument.spreadsheetml.worksheet+xml" PartName="/xl/worksheets/sheet19075.xml"/>
  <Override ContentType="application/vnd.openxmlformats-officedocument.spreadsheetml.worksheet+xml" PartName="/xl/worksheets/sheet19076.xml"/>
  <Override ContentType="application/vnd.openxmlformats-officedocument.spreadsheetml.worksheet+xml" PartName="/xl/worksheets/sheet19077.xml"/>
  <Override ContentType="application/vnd.openxmlformats-officedocument.spreadsheetml.worksheet+xml" PartName="/xl/worksheets/sheet19078.xml"/>
  <Override ContentType="application/vnd.openxmlformats-officedocument.spreadsheetml.worksheet+xml" PartName="/xl/worksheets/sheet19079.xml"/>
  <Override ContentType="application/vnd.openxmlformats-officedocument.spreadsheetml.worksheet+xml" PartName="/xl/worksheets/sheet19080.xml"/>
  <Override ContentType="application/vnd.openxmlformats-officedocument.spreadsheetml.worksheet+xml" PartName="/xl/worksheets/sheet19081.xml"/>
  <Override ContentType="application/vnd.openxmlformats-officedocument.spreadsheetml.worksheet+xml" PartName="/xl/worksheets/sheet19082.xml"/>
  <Override ContentType="application/vnd.openxmlformats-officedocument.spreadsheetml.worksheet+xml" PartName="/xl/worksheets/sheet19083.xml"/>
  <Override ContentType="application/vnd.openxmlformats-officedocument.spreadsheetml.worksheet+xml" PartName="/xl/worksheets/sheet19084.xml"/>
  <Override ContentType="application/vnd.openxmlformats-officedocument.spreadsheetml.worksheet+xml" PartName="/xl/worksheets/sheet19085.xml"/>
  <Override ContentType="application/vnd.openxmlformats-officedocument.spreadsheetml.worksheet+xml" PartName="/xl/worksheets/sheet19086.xml"/>
  <Override ContentType="application/vnd.openxmlformats-officedocument.spreadsheetml.worksheet+xml" PartName="/xl/worksheets/sheet19087.xml"/>
  <Override ContentType="application/vnd.openxmlformats-officedocument.spreadsheetml.worksheet+xml" PartName="/xl/worksheets/sheet19088.xml"/>
  <Override ContentType="application/vnd.openxmlformats-officedocument.spreadsheetml.worksheet+xml" PartName="/xl/worksheets/sheet19089.xml"/>
  <Override ContentType="application/vnd.openxmlformats-officedocument.spreadsheetml.worksheet+xml" PartName="/xl/worksheets/sheet19090.xml"/>
  <Override ContentType="application/vnd.openxmlformats-officedocument.spreadsheetml.worksheet+xml" PartName="/xl/worksheets/sheet19091.xml"/>
  <Override ContentType="application/vnd.openxmlformats-officedocument.spreadsheetml.worksheet+xml" PartName="/xl/worksheets/sheet19092.xml"/>
  <Override ContentType="application/vnd.openxmlformats-officedocument.spreadsheetml.worksheet+xml" PartName="/xl/worksheets/sheet19093.xml"/>
  <Override ContentType="application/vnd.openxmlformats-officedocument.spreadsheetml.worksheet+xml" PartName="/xl/worksheets/sheet19094.xml"/>
  <Override ContentType="application/vnd.openxmlformats-officedocument.spreadsheetml.worksheet+xml" PartName="/xl/worksheets/sheet19095.xml"/>
  <Override ContentType="application/vnd.openxmlformats-officedocument.spreadsheetml.worksheet+xml" PartName="/xl/worksheets/sheet19096.xml"/>
  <Override ContentType="application/vnd.openxmlformats-officedocument.spreadsheetml.worksheet+xml" PartName="/xl/worksheets/sheet19097.xml"/>
  <Override ContentType="application/vnd.openxmlformats-officedocument.spreadsheetml.worksheet+xml" PartName="/xl/worksheets/sheet19098.xml"/>
  <Override ContentType="application/vnd.openxmlformats-officedocument.spreadsheetml.worksheet+xml" PartName="/xl/worksheets/sheet19099.xml"/>
  <Override ContentType="application/vnd.openxmlformats-officedocument.spreadsheetml.worksheet+xml" PartName="/xl/worksheets/sheet19100.xml"/>
  <Override ContentType="application/vnd.openxmlformats-officedocument.spreadsheetml.worksheet+xml" PartName="/xl/worksheets/sheet19101.xml"/>
  <Override ContentType="application/vnd.openxmlformats-officedocument.spreadsheetml.worksheet+xml" PartName="/xl/worksheets/sheet19102.xml"/>
  <Override ContentType="application/vnd.openxmlformats-officedocument.spreadsheetml.worksheet+xml" PartName="/xl/worksheets/sheet19103.xml"/>
  <Override ContentType="application/vnd.openxmlformats-officedocument.spreadsheetml.worksheet+xml" PartName="/xl/worksheets/sheet19104.xml"/>
  <Override ContentType="application/vnd.openxmlformats-officedocument.spreadsheetml.worksheet+xml" PartName="/xl/worksheets/sheet19105.xml"/>
  <Override ContentType="application/vnd.openxmlformats-officedocument.spreadsheetml.worksheet+xml" PartName="/xl/worksheets/sheet19106.xml"/>
  <Override ContentType="application/vnd.openxmlformats-officedocument.spreadsheetml.worksheet+xml" PartName="/xl/worksheets/sheet19107.xml"/>
  <Override ContentType="application/vnd.openxmlformats-officedocument.spreadsheetml.worksheet+xml" PartName="/xl/worksheets/sheet19108.xml"/>
  <Override ContentType="application/vnd.openxmlformats-officedocument.spreadsheetml.worksheet+xml" PartName="/xl/worksheets/sheet19109.xml"/>
  <Override ContentType="application/vnd.openxmlformats-officedocument.spreadsheetml.worksheet+xml" PartName="/xl/worksheets/sheet19110.xml"/>
  <Override ContentType="application/vnd.openxmlformats-officedocument.spreadsheetml.worksheet+xml" PartName="/xl/worksheets/sheet19111.xml"/>
  <Override ContentType="application/vnd.openxmlformats-officedocument.spreadsheetml.worksheet+xml" PartName="/xl/worksheets/sheet19112.xml"/>
  <Override ContentType="application/vnd.openxmlformats-officedocument.spreadsheetml.worksheet+xml" PartName="/xl/worksheets/sheet19113.xml"/>
  <Override ContentType="application/vnd.openxmlformats-officedocument.spreadsheetml.worksheet+xml" PartName="/xl/worksheets/sheet19114.xml"/>
  <Override ContentType="application/vnd.openxmlformats-officedocument.spreadsheetml.worksheet+xml" PartName="/xl/worksheets/sheet19115.xml"/>
  <Override ContentType="application/vnd.openxmlformats-officedocument.spreadsheetml.worksheet+xml" PartName="/xl/worksheets/sheet19116.xml"/>
  <Override ContentType="application/vnd.openxmlformats-officedocument.spreadsheetml.worksheet+xml" PartName="/xl/worksheets/sheet19117.xml"/>
  <Override ContentType="application/vnd.openxmlformats-officedocument.spreadsheetml.worksheet+xml" PartName="/xl/worksheets/sheet19118.xml"/>
  <Override ContentType="application/vnd.openxmlformats-officedocument.spreadsheetml.worksheet+xml" PartName="/xl/worksheets/sheet19119.xml"/>
  <Override ContentType="application/vnd.openxmlformats-officedocument.spreadsheetml.worksheet+xml" PartName="/xl/worksheets/sheet19120.xml"/>
  <Override ContentType="application/vnd.openxmlformats-officedocument.spreadsheetml.worksheet+xml" PartName="/xl/worksheets/sheet19121.xml"/>
  <Override ContentType="application/vnd.openxmlformats-officedocument.spreadsheetml.worksheet+xml" PartName="/xl/worksheets/sheet19122.xml"/>
  <Override ContentType="application/vnd.openxmlformats-officedocument.spreadsheetml.worksheet+xml" PartName="/xl/worksheets/sheet19123.xml"/>
  <Override ContentType="application/vnd.openxmlformats-officedocument.spreadsheetml.worksheet+xml" PartName="/xl/worksheets/sheet19124.xml"/>
  <Override ContentType="application/vnd.openxmlformats-officedocument.spreadsheetml.worksheet+xml" PartName="/xl/worksheets/sheet19125.xml"/>
  <Override ContentType="application/vnd.openxmlformats-officedocument.spreadsheetml.worksheet+xml" PartName="/xl/worksheets/sheet19126.xml"/>
  <Override ContentType="application/vnd.openxmlformats-officedocument.spreadsheetml.worksheet+xml" PartName="/xl/worksheets/sheet19127.xml"/>
  <Override ContentType="application/vnd.openxmlformats-officedocument.spreadsheetml.worksheet+xml" PartName="/xl/worksheets/sheet19128.xml"/>
  <Override ContentType="application/vnd.openxmlformats-officedocument.spreadsheetml.worksheet+xml" PartName="/xl/worksheets/sheet19129.xml"/>
  <Override ContentType="application/vnd.openxmlformats-officedocument.spreadsheetml.worksheet+xml" PartName="/xl/worksheets/sheet19130.xml"/>
  <Override ContentType="application/vnd.openxmlformats-officedocument.spreadsheetml.worksheet+xml" PartName="/xl/worksheets/sheet19131.xml"/>
  <Override ContentType="application/vnd.openxmlformats-officedocument.spreadsheetml.worksheet+xml" PartName="/xl/worksheets/sheet19132.xml"/>
  <Override ContentType="application/vnd.openxmlformats-officedocument.spreadsheetml.worksheet+xml" PartName="/xl/worksheets/sheet19133.xml"/>
  <Override ContentType="application/vnd.openxmlformats-officedocument.spreadsheetml.worksheet+xml" PartName="/xl/worksheets/sheet19134.xml"/>
  <Override ContentType="application/vnd.openxmlformats-officedocument.spreadsheetml.worksheet+xml" PartName="/xl/worksheets/sheet19135.xml"/>
  <Override ContentType="application/vnd.openxmlformats-officedocument.spreadsheetml.worksheet+xml" PartName="/xl/worksheets/sheet19136.xml"/>
  <Override ContentType="application/vnd.openxmlformats-officedocument.spreadsheetml.worksheet+xml" PartName="/xl/worksheets/sheet19137.xml"/>
  <Override ContentType="application/vnd.openxmlformats-officedocument.spreadsheetml.worksheet+xml" PartName="/xl/worksheets/sheet19138.xml"/>
  <Override ContentType="application/vnd.openxmlformats-officedocument.spreadsheetml.worksheet+xml" PartName="/xl/worksheets/sheet19139.xml"/>
  <Override ContentType="application/vnd.openxmlformats-officedocument.spreadsheetml.worksheet+xml" PartName="/xl/worksheets/sheet19140.xml"/>
  <Override ContentType="application/vnd.openxmlformats-officedocument.spreadsheetml.worksheet+xml" PartName="/xl/worksheets/sheet19141.xml"/>
  <Override ContentType="application/vnd.openxmlformats-officedocument.spreadsheetml.worksheet+xml" PartName="/xl/worksheets/sheet19142.xml"/>
  <Override ContentType="application/vnd.openxmlformats-officedocument.spreadsheetml.worksheet+xml" PartName="/xl/worksheets/sheet19143.xml"/>
  <Override ContentType="application/vnd.openxmlformats-officedocument.spreadsheetml.worksheet+xml" PartName="/xl/worksheets/sheet19144.xml"/>
  <Override ContentType="application/vnd.openxmlformats-officedocument.spreadsheetml.worksheet+xml" PartName="/xl/worksheets/sheet19145.xml"/>
  <Override ContentType="application/vnd.openxmlformats-officedocument.spreadsheetml.worksheet+xml" PartName="/xl/worksheets/sheet19146.xml"/>
  <Override ContentType="application/vnd.openxmlformats-officedocument.spreadsheetml.worksheet+xml" PartName="/xl/worksheets/sheet19147.xml"/>
  <Override ContentType="application/vnd.openxmlformats-officedocument.spreadsheetml.worksheet+xml" PartName="/xl/worksheets/sheet19148.xml"/>
  <Override ContentType="application/vnd.openxmlformats-officedocument.spreadsheetml.worksheet+xml" PartName="/xl/worksheets/sheet19149.xml"/>
  <Override ContentType="application/vnd.openxmlformats-officedocument.spreadsheetml.worksheet+xml" PartName="/xl/worksheets/sheet19150.xml"/>
  <Override ContentType="application/vnd.openxmlformats-officedocument.spreadsheetml.worksheet+xml" PartName="/xl/worksheets/sheet19151.xml"/>
  <Override ContentType="application/vnd.openxmlformats-officedocument.spreadsheetml.worksheet+xml" PartName="/xl/worksheets/sheet19152.xml"/>
  <Override ContentType="application/vnd.openxmlformats-officedocument.spreadsheetml.worksheet+xml" PartName="/xl/worksheets/sheet19153.xml"/>
  <Override ContentType="application/vnd.openxmlformats-officedocument.spreadsheetml.worksheet+xml" PartName="/xl/worksheets/sheet19154.xml"/>
  <Override ContentType="application/vnd.openxmlformats-officedocument.spreadsheetml.worksheet+xml" PartName="/xl/worksheets/sheet19155.xml"/>
  <Override ContentType="application/vnd.openxmlformats-officedocument.spreadsheetml.worksheet+xml" PartName="/xl/worksheets/sheet19156.xml"/>
  <Override ContentType="application/vnd.openxmlformats-officedocument.spreadsheetml.worksheet+xml" PartName="/xl/worksheets/sheet19157.xml"/>
  <Override ContentType="application/vnd.openxmlformats-officedocument.spreadsheetml.worksheet+xml" PartName="/xl/worksheets/sheet19158.xml"/>
  <Override ContentType="application/vnd.openxmlformats-officedocument.spreadsheetml.worksheet+xml" PartName="/xl/worksheets/sheet19159.xml"/>
  <Override ContentType="application/vnd.openxmlformats-officedocument.spreadsheetml.worksheet+xml" PartName="/xl/worksheets/sheet19160.xml"/>
  <Override ContentType="application/vnd.openxmlformats-officedocument.spreadsheetml.worksheet+xml" PartName="/xl/worksheets/sheet19161.xml"/>
  <Override ContentType="application/vnd.openxmlformats-officedocument.spreadsheetml.worksheet+xml" PartName="/xl/worksheets/sheet19162.xml"/>
  <Override ContentType="application/vnd.openxmlformats-officedocument.spreadsheetml.worksheet+xml" PartName="/xl/worksheets/sheet19163.xml"/>
  <Override ContentType="application/vnd.openxmlformats-officedocument.spreadsheetml.worksheet+xml" PartName="/xl/worksheets/sheet19164.xml"/>
  <Override ContentType="application/vnd.openxmlformats-officedocument.spreadsheetml.worksheet+xml" PartName="/xl/worksheets/sheet19165.xml"/>
  <Override ContentType="application/vnd.openxmlformats-officedocument.spreadsheetml.worksheet+xml" PartName="/xl/worksheets/sheet19166.xml"/>
  <Override ContentType="application/vnd.openxmlformats-officedocument.spreadsheetml.worksheet+xml" PartName="/xl/worksheets/sheet19167.xml"/>
  <Override ContentType="application/vnd.openxmlformats-officedocument.spreadsheetml.worksheet+xml" PartName="/xl/worksheets/sheet19168.xml"/>
  <Override ContentType="application/vnd.openxmlformats-officedocument.spreadsheetml.worksheet+xml" PartName="/xl/worksheets/sheet19169.xml"/>
  <Override ContentType="application/vnd.openxmlformats-officedocument.spreadsheetml.worksheet+xml" PartName="/xl/worksheets/sheet19170.xml"/>
  <Override ContentType="application/vnd.openxmlformats-officedocument.spreadsheetml.worksheet+xml" PartName="/xl/worksheets/sheet19171.xml"/>
  <Override ContentType="application/vnd.openxmlformats-officedocument.spreadsheetml.worksheet+xml" PartName="/xl/worksheets/sheet19172.xml"/>
  <Override ContentType="application/vnd.openxmlformats-officedocument.spreadsheetml.worksheet+xml" PartName="/xl/worksheets/sheet19173.xml"/>
  <Override ContentType="application/vnd.openxmlformats-officedocument.spreadsheetml.worksheet+xml" PartName="/xl/worksheets/sheet19174.xml"/>
  <Override ContentType="application/vnd.openxmlformats-officedocument.spreadsheetml.worksheet+xml" PartName="/xl/worksheets/sheet19175.xml"/>
  <Override ContentType="application/vnd.openxmlformats-officedocument.spreadsheetml.worksheet+xml" PartName="/xl/worksheets/sheet19176.xml"/>
  <Override ContentType="application/vnd.openxmlformats-officedocument.spreadsheetml.worksheet+xml" PartName="/xl/worksheets/sheet19177.xml"/>
  <Override ContentType="application/vnd.openxmlformats-officedocument.spreadsheetml.worksheet+xml" PartName="/xl/worksheets/sheet19178.xml"/>
  <Override ContentType="application/vnd.openxmlformats-officedocument.spreadsheetml.worksheet+xml" PartName="/xl/worksheets/sheet19179.xml"/>
  <Override ContentType="application/vnd.openxmlformats-officedocument.spreadsheetml.worksheet+xml" PartName="/xl/worksheets/sheet19180.xml"/>
  <Override ContentType="application/vnd.openxmlformats-officedocument.spreadsheetml.worksheet+xml" PartName="/xl/worksheets/sheet19181.xml"/>
  <Override ContentType="application/vnd.openxmlformats-officedocument.spreadsheetml.worksheet+xml" PartName="/xl/worksheets/sheet19182.xml"/>
  <Override ContentType="application/vnd.openxmlformats-officedocument.spreadsheetml.worksheet+xml" PartName="/xl/worksheets/sheet19183.xml"/>
  <Override ContentType="application/vnd.openxmlformats-officedocument.spreadsheetml.worksheet+xml" PartName="/xl/worksheets/sheet19184.xml"/>
  <Override ContentType="application/vnd.openxmlformats-officedocument.spreadsheetml.worksheet+xml" PartName="/xl/worksheets/sheet19185.xml"/>
  <Override ContentType="application/vnd.openxmlformats-officedocument.spreadsheetml.worksheet+xml" PartName="/xl/worksheets/sheet19186.xml"/>
  <Override ContentType="application/vnd.openxmlformats-officedocument.spreadsheetml.worksheet+xml" PartName="/xl/worksheets/sheet19187.xml"/>
  <Override ContentType="application/vnd.openxmlformats-officedocument.spreadsheetml.worksheet+xml" PartName="/xl/worksheets/sheet19188.xml"/>
  <Override ContentType="application/vnd.openxmlformats-officedocument.spreadsheetml.worksheet+xml" PartName="/xl/worksheets/sheet19189.xml"/>
  <Override ContentType="application/vnd.openxmlformats-officedocument.spreadsheetml.worksheet+xml" PartName="/xl/worksheets/sheet19190.xml"/>
  <Override ContentType="application/vnd.openxmlformats-officedocument.spreadsheetml.worksheet+xml" PartName="/xl/worksheets/sheet19191.xml"/>
  <Override ContentType="application/vnd.openxmlformats-officedocument.spreadsheetml.worksheet+xml" PartName="/xl/worksheets/sheet19192.xml"/>
  <Override ContentType="application/vnd.openxmlformats-officedocument.spreadsheetml.worksheet+xml" PartName="/xl/worksheets/sheet19193.xml"/>
  <Override ContentType="application/vnd.openxmlformats-officedocument.spreadsheetml.worksheet+xml" PartName="/xl/worksheets/sheet19194.xml"/>
  <Override ContentType="application/vnd.openxmlformats-officedocument.spreadsheetml.worksheet+xml" PartName="/xl/worksheets/sheet19195.xml"/>
  <Override ContentType="application/vnd.openxmlformats-officedocument.spreadsheetml.worksheet+xml" PartName="/xl/worksheets/sheet19196.xml"/>
  <Override ContentType="application/vnd.openxmlformats-officedocument.spreadsheetml.worksheet+xml" PartName="/xl/worksheets/sheet19197.xml"/>
  <Override ContentType="application/vnd.openxmlformats-officedocument.spreadsheetml.worksheet+xml" PartName="/xl/worksheets/sheet19198.xml"/>
  <Override ContentType="application/vnd.openxmlformats-officedocument.spreadsheetml.worksheet+xml" PartName="/xl/worksheets/sheet19199.xml"/>
  <Override ContentType="application/vnd.openxmlformats-officedocument.spreadsheetml.worksheet+xml" PartName="/xl/worksheets/sheet19200.xml"/>
  <Override ContentType="application/vnd.openxmlformats-officedocument.spreadsheetml.worksheet+xml" PartName="/xl/worksheets/sheet19201.xml"/>
  <Override ContentType="application/vnd.openxmlformats-officedocument.spreadsheetml.worksheet+xml" PartName="/xl/worksheets/sheet19202.xml"/>
  <Override ContentType="application/vnd.openxmlformats-officedocument.spreadsheetml.worksheet+xml" PartName="/xl/worksheets/sheet19203.xml"/>
  <Override ContentType="application/vnd.openxmlformats-officedocument.spreadsheetml.worksheet+xml" PartName="/xl/worksheets/sheet19204.xml"/>
  <Override ContentType="application/vnd.openxmlformats-officedocument.spreadsheetml.worksheet+xml" PartName="/xl/worksheets/sheet19205.xml"/>
  <Override ContentType="application/vnd.openxmlformats-officedocument.spreadsheetml.worksheet+xml" PartName="/xl/worksheets/sheet19206.xml"/>
  <Override ContentType="application/vnd.openxmlformats-officedocument.spreadsheetml.worksheet+xml" PartName="/xl/worksheets/sheet19207.xml"/>
  <Override ContentType="application/vnd.openxmlformats-officedocument.spreadsheetml.worksheet+xml" PartName="/xl/worksheets/sheet19208.xml"/>
  <Override ContentType="application/vnd.openxmlformats-officedocument.spreadsheetml.worksheet+xml" PartName="/xl/worksheets/sheet19209.xml"/>
  <Override ContentType="application/vnd.openxmlformats-officedocument.spreadsheetml.worksheet+xml" PartName="/xl/worksheets/sheet19210.xml"/>
  <Override ContentType="application/vnd.openxmlformats-officedocument.spreadsheetml.worksheet+xml" PartName="/xl/worksheets/sheet19211.xml"/>
  <Override ContentType="application/vnd.openxmlformats-officedocument.spreadsheetml.worksheet+xml" PartName="/xl/worksheets/sheet19212.xml"/>
  <Override ContentType="application/vnd.openxmlformats-officedocument.spreadsheetml.worksheet+xml" PartName="/xl/worksheets/sheet19213.xml"/>
  <Override ContentType="application/vnd.openxmlformats-officedocument.spreadsheetml.worksheet+xml" PartName="/xl/worksheets/sheet19214.xml"/>
  <Override ContentType="application/vnd.openxmlformats-officedocument.spreadsheetml.worksheet+xml" PartName="/xl/worksheets/sheet19215.xml"/>
  <Override ContentType="application/vnd.openxmlformats-officedocument.spreadsheetml.worksheet+xml" PartName="/xl/worksheets/sheet19216.xml"/>
  <Override ContentType="application/vnd.openxmlformats-officedocument.spreadsheetml.worksheet+xml" PartName="/xl/worksheets/sheet19217.xml"/>
  <Override ContentType="application/vnd.openxmlformats-officedocument.spreadsheetml.worksheet+xml" PartName="/xl/worksheets/sheet19218.xml"/>
  <Override ContentType="application/vnd.openxmlformats-officedocument.spreadsheetml.worksheet+xml" PartName="/xl/worksheets/sheet19219.xml"/>
  <Override ContentType="application/vnd.openxmlformats-officedocument.spreadsheetml.worksheet+xml" PartName="/xl/worksheets/sheet19220.xml"/>
  <Override ContentType="application/vnd.openxmlformats-officedocument.spreadsheetml.worksheet+xml" PartName="/xl/worksheets/sheet19221.xml"/>
  <Override ContentType="application/vnd.openxmlformats-officedocument.spreadsheetml.worksheet+xml" PartName="/xl/worksheets/sheet19222.xml"/>
  <Override ContentType="application/vnd.openxmlformats-officedocument.spreadsheetml.worksheet+xml" PartName="/xl/worksheets/sheet19223.xml"/>
  <Override ContentType="application/vnd.openxmlformats-officedocument.spreadsheetml.worksheet+xml" PartName="/xl/worksheets/sheet19224.xml"/>
  <Override ContentType="application/vnd.openxmlformats-officedocument.spreadsheetml.worksheet+xml" PartName="/xl/worksheets/sheet19225.xml"/>
  <Override ContentType="application/vnd.openxmlformats-officedocument.spreadsheetml.worksheet+xml" PartName="/xl/worksheets/sheet19226.xml"/>
  <Override ContentType="application/vnd.openxmlformats-officedocument.spreadsheetml.worksheet+xml" PartName="/xl/worksheets/sheet19227.xml"/>
  <Override ContentType="application/vnd.openxmlformats-officedocument.spreadsheetml.worksheet+xml" PartName="/xl/worksheets/sheet19228.xml"/>
  <Override ContentType="application/vnd.openxmlformats-officedocument.spreadsheetml.worksheet+xml" PartName="/xl/worksheets/sheet19229.xml"/>
  <Override ContentType="application/vnd.openxmlformats-officedocument.spreadsheetml.worksheet+xml" PartName="/xl/worksheets/sheet19230.xml"/>
  <Override ContentType="application/vnd.openxmlformats-officedocument.spreadsheetml.worksheet+xml" PartName="/xl/worksheets/sheet19231.xml"/>
  <Override ContentType="application/vnd.openxmlformats-officedocument.spreadsheetml.worksheet+xml" PartName="/xl/worksheets/sheet19232.xml"/>
  <Override ContentType="application/vnd.openxmlformats-officedocument.spreadsheetml.worksheet+xml" PartName="/xl/worksheets/sheet19233.xml"/>
  <Override ContentType="application/vnd.openxmlformats-officedocument.spreadsheetml.worksheet+xml" PartName="/xl/worksheets/sheet19234.xml"/>
  <Override ContentType="application/vnd.openxmlformats-officedocument.spreadsheetml.worksheet+xml" PartName="/xl/worksheets/sheet19235.xml"/>
  <Override ContentType="application/vnd.openxmlformats-officedocument.spreadsheetml.worksheet+xml" PartName="/xl/worksheets/sheet19236.xml"/>
  <Override ContentType="application/vnd.openxmlformats-officedocument.spreadsheetml.worksheet+xml" PartName="/xl/worksheets/sheet19237.xml"/>
  <Override ContentType="application/vnd.openxmlformats-officedocument.spreadsheetml.worksheet+xml" PartName="/xl/worksheets/sheet19238.xml"/>
  <Override ContentType="application/vnd.openxmlformats-officedocument.spreadsheetml.worksheet+xml" PartName="/xl/worksheets/sheet19239.xml"/>
  <Override ContentType="application/vnd.openxmlformats-officedocument.spreadsheetml.worksheet+xml" PartName="/xl/worksheets/sheet19240.xml"/>
  <Override ContentType="application/vnd.openxmlformats-officedocument.spreadsheetml.worksheet+xml" PartName="/xl/worksheets/sheet19241.xml"/>
  <Override ContentType="application/vnd.openxmlformats-officedocument.spreadsheetml.worksheet+xml" PartName="/xl/worksheets/sheet19242.xml"/>
  <Override ContentType="application/vnd.openxmlformats-officedocument.spreadsheetml.worksheet+xml" PartName="/xl/worksheets/sheet19243.xml"/>
  <Override ContentType="application/vnd.openxmlformats-officedocument.spreadsheetml.worksheet+xml" PartName="/xl/worksheets/sheet19244.xml"/>
  <Override ContentType="application/vnd.openxmlformats-officedocument.spreadsheetml.worksheet+xml" PartName="/xl/worksheets/sheet19245.xml"/>
  <Override ContentType="application/vnd.openxmlformats-officedocument.spreadsheetml.worksheet+xml" PartName="/xl/worksheets/sheet19246.xml"/>
  <Override ContentType="application/vnd.openxmlformats-officedocument.spreadsheetml.worksheet+xml" PartName="/xl/worksheets/sheet19247.xml"/>
  <Override ContentType="application/vnd.openxmlformats-officedocument.spreadsheetml.worksheet+xml" PartName="/xl/worksheets/sheet19248.xml"/>
  <Override ContentType="application/vnd.openxmlformats-officedocument.spreadsheetml.worksheet+xml" PartName="/xl/worksheets/sheet19249.xml"/>
  <Override ContentType="application/vnd.openxmlformats-officedocument.spreadsheetml.worksheet+xml" PartName="/xl/worksheets/sheet19250.xml"/>
  <Override ContentType="application/vnd.openxmlformats-officedocument.spreadsheetml.worksheet+xml" PartName="/xl/worksheets/sheet19251.xml"/>
  <Override ContentType="application/vnd.openxmlformats-officedocument.spreadsheetml.worksheet+xml" PartName="/xl/worksheets/sheet19252.xml"/>
  <Override ContentType="application/vnd.openxmlformats-officedocument.spreadsheetml.worksheet+xml" PartName="/xl/worksheets/sheet19253.xml"/>
  <Override ContentType="application/vnd.openxmlformats-officedocument.spreadsheetml.worksheet+xml" PartName="/xl/worksheets/sheet19254.xml"/>
  <Override ContentType="application/vnd.openxmlformats-officedocument.spreadsheetml.worksheet+xml" PartName="/xl/worksheets/sheet19255.xml"/>
  <Override ContentType="application/vnd.openxmlformats-officedocument.spreadsheetml.worksheet+xml" PartName="/xl/worksheets/sheet19256.xml"/>
  <Override ContentType="application/vnd.openxmlformats-officedocument.spreadsheetml.worksheet+xml" PartName="/xl/worksheets/sheet19257.xml"/>
  <Override ContentType="application/vnd.openxmlformats-officedocument.spreadsheetml.worksheet+xml" PartName="/xl/worksheets/sheet19258.xml"/>
  <Override ContentType="application/vnd.openxmlformats-officedocument.spreadsheetml.worksheet+xml" PartName="/xl/worksheets/sheet19259.xml"/>
  <Override ContentType="application/vnd.openxmlformats-officedocument.spreadsheetml.worksheet+xml" PartName="/xl/worksheets/sheet19260.xml"/>
  <Override ContentType="application/vnd.openxmlformats-officedocument.spreadsheetml.worksheet+xml" PartName="/xl/worksheets/sheet19261.xml"/>
  <Override ContentType="application/vnd.openxmlformats-officedocument.spreadsheetml.worksheet+xml" PartName="/xl/worksheets/sheet19262.xml"/>
  <Override ContentType="application/vnd.openxmlformats-officedocument.spreadsheetml.worksheet+xml" PartName="/xl/worksheets/sheet19263.xml"/>
  <Override ContentType="application/vnd.openxmlformats-officedocument.spreadsheetml.worksheet+xml" PartName="/xl/worksheets/sheet19264.xml"/>
  <Override ContentType="application/vnd.openxmlformats-officedocument.spreadsheetml.worksheet+xml" PartName="/xl/worksheets/sheet19265.xml"/>
  <Override ContentType="application/vnd.openxmlformats-officedocument.spreadsheetml.worksheet+xml" PartName="/xl/worksheets/sheet19266.xml"/>
  <Override ContentType="application/vnd.openxmlformats-officedocument.spreadsheetml.worksheet+xml" PartName="/xl/worksheets/sheet19267.xml"/>
  <Override ContentType="application/vnd.openxmlformats-officedocument.spreadsheetml.worksheet+xml" PartName="/xl/worksheets/sheet19268.xml"/>
  <Override ContentType="application/vnd.openxmlformats-officedocument.spreadsheetml.worksheet+xml" PartName="/xl/worksheets/sheet19269.xml"/>
  <Override ContentType="application/vnd.openxmlformats-officedocument.spreadsheetml.worksheet+xml" PartName="/xl/worksheets/sheet19270.xml"/>
  <Override ContentType="application/vnd.openxmlformats-officedocument.spreadsheetml.worksheet+xml" PartName="/xl/worksheets/sheet19271.xml"/>
  <Override ContentType="application/vnd.openxmlformats-officedocument.spreadsheetml.worksheet+xml" PartName="/xl/worksheets/sheet19272.xml"/>
  <Override ContentType="application/vnd.openxmlformats-officedocument.spreadsheetml.worksheet+xml" PartName="/xl/worksheets/sheet19273.xml"/>
  <Override ContentType="application/vnd.openxmlformats-officedocument.spreadsheetml.worksheet+xml" PartName="/xl/worksheets/sheet19274.xml"/>
  <Override ContentType="application/vnd.openxmlformats-officedocument.spreadsheetml.worksheet+xml" PartName="/xl/worksheets/sheet19275.xml"/>
  <Override ContentType="application/vnd.openxmlformats-officedocument.spreadsheetml.worksheet+xml" PartName="/xl/worksheets/sheet19276.xml"/>
  <Override ContentType="application/vnd.openxmlformats-officedocument.spreadsheetml.worksheet+xml" PartName="/xl/worksheets/sheet19277.xml"/>
  <Override ContentType="application/vnd.openxmlformats-officedocument.spreadsheetml.worksheet+xml" PartName="/xl/worksheets/sheet19278.xml"/>
  <Override ContentType="application/vnd.openxmlformats-officedocument.spreadsheetml.worksheet+xml" PartName="/xl/worksheets/sheet19279.xml"/>
  <Override ContentType="application/vnd.openxmlformats-officedocument.spreadsheetml.worksheet+xml" PartName="/xl/worksheets/sheet19280.xml"/>
  <Override ContentType="application/vnd.openxmlformats-officedocument.spreadsheetml.worksheet+xml" PartName="/xl/worksheets/sheet19281.xml"/>
  <Override ContentType="application/vnd.openxmlformats-officedocument.spreadsheetml.worksheet+xml" PartName="/xl/worksheets/sheet19282.xml"/>
  <Override ContentType="application/vnd.openxmlformats-officedocument.spreadsheetml.worksheet+xml" PartName="/xl/worksheets/sheet19283.xml"/>
  <Override ContentType="application/vnd.openxmlformats-officedocument.spreadsheetml.worksheet+xml" PartName="/xl/worksheets/sheet19284.xml"/>
  <Override ContentType="application/vnd.openxmlformats-officedocument.spreadsheetml.worksheet+xml" PartName="/xl/worksheets/sheet19285.xml"/>
  <Override ContentType="application/vnd.openxmlformats-officedocument.spreadsheetml.worksheet+xml" PartName="/xl/worksheets/sheet19286.xml"/>
  <Override ContentType="application/vnd.openxmlformats-officedocument.spreadsheetml.worksheet+xml" PartName="/xl/worksheets/sheet19287.xml"/>
  <Override ContentType="application/vnd.openxmlformats-officedocument.spreadsheetml.worksheet+xml" PartName="/xl/worksheets/sheet19288.xml"/>
  <Override ContentType="application/vnd.openxmlformats-officedocument.spreadsheetml.worksheet+xml" PartName="/xl/worksheets/sheet19289.xml"/>
  <Override ContentType="application/vnd.openxmlformats-officedocument.spreadsheetml.worksheet+xml" PartName="/xl/worksheets/sheet19290.xml"/>
  <Override ContentType="application/vnd.openxmlformats-officedocument.spreadsheetml.worksheet+xml" PartName="/xl/worksheets/sheet19291.xml"/>
  <Override ContentType="application/vnd.openxmlformats-officedocument.spreadsheetml.worksheet+xml" PartName="/xl/worksheets/sheet19292.xml"/>
  <Override ContentType="application/vnd.openxmlformats-officedocument.spreadsheetml.worksheet+xml" PartName="/xl/worksheets/sheet19293.xml"/>
  <Override ContentType="application/vnd.openxmlformats-officedocument.spreadsheetml.worksheet+xml" PartName="/xl/worksheets/sheet19294.xml"/>
  <Override ContentType="application/vnd.openxmlformats-officedocument.spreadsheetml.worksheet+xml" PartName="/xl/worksheets/sheet19295.xml"/>
  <Override ContentType="application/vnd.openxmlformats-officedocument.spreadsheetml.worksheet+xml" PartName="/xl/worksheets/sheet19296.xml"/>
  <Override ContentType="application/vnd.openxmlformats-officedocument.spreadsheetml.worksheet+xml" PartName="/xl/worksheets/sheet19297.xml"/>
  <Override ContentType="application/vnd.openxmlformats-officedocument.spreadsheetml.worksheet+xml" PartName="/xl/worksheets/sheet19298.xml"/>
  <Override ContentType="application/vnd.openxmlformats-officedocument.spreadsheetml.worksheet+xml" PartName="/xl/worksheets/sheet19299.xml"/>
  <Override ContentType="application/vnd.openxmlformats-officedocument.spreadsheetml.worksheet+xml" PartName="/xl/worksheets/sheet19300.xml"/>
  <Override ContentType="application/vnd.openxmlformats-officedocument.spreadsheetml.worksheet+xml" PartName="/xl/worksheets/sheet19301.xml"/>
  <Override ContentType="application/vnd.openxmlformats-officedocument.spreadsheetml.worksheet+xml" PartName="/xl/worksheets/sheet19302.xml"/>
  <Override ContentType="application/vnd.openxmlformats-officedocument.spreadsheetml.worksheet+xml" PartName="/xl/worksheets/sheet19303.xml"/>
  <Override ContentType="application/vnd.openxmlformats-officedocument.spreadsheetml.worksheet+xml" PartName="/xl/worksheets/sheet19304.xml"/>
  <Override ContentType="application/vnd.openxmlformats-officedocument.spreadsheetml.worksheet+xml" PartName="/xl/worksheets/sheet19305.xml"/>
  <Override ContentType="application/vnd.openxmlformats-officedocument.spreadsheetml.worksheet+xml" PartName="/xl/worksheets/sheet19306.xml"/>
  <Override ContentType="application/vnd.openxmlformats-officedocument.spreadsheetml.worksheet+xml" PartName="/xl/worksheets/sheet19307.xml"/>
  <Override ContentType="application/vnd.openxmlformats-officedocument.spreadsheetml.worksheet+xml" PartName="/xl/worksheets/sheet19308.xml"/>
  <Override ContentType="application/vnd.openxmlformats-officedocument.spreadsheetml.worksheet+xml" PartName="/xl/worksheets/sheet19309.xml"/>
  <Override ContentType="application/vnd.openxmlformats-officedocument.spreadsheetml.worksheet+xml" PartName="/xl/worksheets/sheet19310.xml"/>
  <Override ContentType="application/vnd.openxmlformats-officedocument.spreadsheetml.worksheet+xml" PartName="/xl/worksheets/sheet19311.xml"/>
  <Override ContentType="application/vnd.openxmlformats-officedocument.spreadsheetml.worksheet+xml" PartName="/xl/worksheets/sheet19312.xml"/>
  <Override ContentType="application/vnd.openxmlformats-officedocument.spreadsheetml.worksheet+xml" PartName="/xl/worksheets/sheet19313.xml"/>
  <Override ContentType="application/vnd.openxmlformats-officedocument.spreadsheetml.worksheet+xml" PartName="/xl/worksheets/sheet19314.xml"/>
  <Override ContentType="application/vnd.openxmlformats-officedocument.spreadsheetml.worksheet+xml" PartName="/xl/worksheets/sheet19315.xml"/>
  <Override ContentType="application/vnd.openxmlformats-officedocument.spreadsheetml.worksheet+xml" PartName="/xl/worksheets/sheet19316.xml"/>
  <Override ContentType="application/vnd.openxmlformats-officedocument.spreadsheetml.worksheet+xml" PartName="/xl/worksheets/sheet19317.xml"/>
  <Override ContentType="application/vnd.openxmlformats-officedocument.spreadsheetml.worksheet+xml" PartName="/xl/worksheets/sheet19318.xml"/>
  <Override ContentType="application/vnd.openxmlformats-officedocument.spreadsheetml.worksheet+xml" PartName="/xl/worksheets/sheet19319.xml"/>
  <Override ContentType="application/vnd.openxmlformats-officedocument.spreadsheetml.worksheet+xml" PartName="/xl/worksheets/sheet19320.xml"/>
  <Override ContentType="application/vnd.openxmlformats-officedocument.spreadsheetml.worksheet+xml" PartName="/xl/worksheets/sheet19321.xml"/>
  <Override ContentType="application/vnd.openxmlformats-officedocument.spreadsheetml.worksheet+xml" PartName="/xl/worksheets/sheet19322.xml"/>
  <Override ContentType="application/vnd.openxmlformats-officedocument.spreadsheetml.worksheet+xml" PartName="/xl/worksheets/sheet19323.xml"/>
  <Override ContentType="application/vnd.openxmlformats-officedocument.spreadsheetml.worksheet+xml" PartName="/xl/worksheets/sheet19324.xml"/>
  <Override ContentType="application/vnd.openxmlformats-officedocument.spreadsheetml.worksheet+xml" PartName="/xl/worksheets/sheet19325.xml"/>
  <Override ContentType="application/vnd.openxmlformats-officedocument.spreadsheetml.worksheet+xml" PartName="/xl/worksheets/sheet19326.xml"/>
  <Override ContentType="application/vnd.openxmlformats-officedocument.spreadsheetml.worksheet+xml" PartName="/xl/worksheets/sheet19327.xml"/>
  <Override ContentType="application/vnd.openxmlformats-officedocument.spreadsheetml.worksheet+xml" PartName="/xl/worksheets/sheet19328.xml"/>
  <Override ContentType="application/vnd.openxmlformats-officedocument.spreadsheetml.worksheet+xml" PartName="/xl/worksheets/sheet19329.xml"/>
  <Override ContentType="application/vnd.openxmlformats-officedocument.spreadsheetml.worksheet+xml" PartName="/xl/worksheets/sheet19330.xml"/>
  <Override ContentType="application/vnd.openxmlformats-officedocument.spreadsheetml.worksheet+xml" PartName="/xl/worksheets/sheet19331.xml"/>
  <Override ContentType="application/vnd.openxmlformats-officedocument.spreadsheetml.worksheet+xml" PartName="/xl/worksheets/sheet19332.xml"/>
  <Override ContentType="application/vnd.openxmlformats-officedocument.spreadsheetml.worksheet+xml" PartName="/xl/worksheets/sheet19333.xml"/>
  <Override ContentType="application/vnd.openxmlformats-officedocument.spreadsheetml.worksheet+xml" PartName="/xl/worksheets/sheet19334.xml"/>
  <Override ContentType="application/vnd.openxmlformats-officedocument.spreadsheetml.worksheet+xml" PartName="/xl/worksheets/sheet19335.xml"/>
  <Override ContentType="application/vnd.openxmlformats-officedocument.spreadsheetml.worksheet+xml" PartName="/xl/worksheets/sheet19336.xml"/>
  <Override ContentType="application/vnd.openxmlformats-officedocument.spreadsheetml.worksheet+xml" PartName="/xl/worksheets/sheet19337.xml"/>
  <Override ContentType="application/vnd.openxmlformats-officedocument.spreadsheetml.worksheet+xml" PartName="/xl/worksheets/sheet19338.xml"/>
  <Override ContentType="application/vnd.openxmlformats-officedocument.spreadsheetml.worksheet+xml" PartName="/xl/worksheets/sheet19339.xml"/>
  <Override ContentType="application/vnd.openxmlformats-officedocument.spreadsheetml.worksheet+xml" PartName="/xl/worksheets/sheet19340.xml"/>
  <Override ContentType="application/vnd.openxmlformats-officedocument.spreadsheetml.worksheet+xml" PartName="/xl/worksheets/sheet19341.xml"/>
  <Override ContentType="application/vnd.openxmlformats-officedocument.spreadsheetml.worksheet+xml" PartName="/xl/worksheets/sheet19342.xml"/>
  <Override ContentType="application/vnd.openxmlformats-officedocument.spreadsheetml.worksheet+xml" PartName="/xl/worksheets/sheet19343.xml"/>
  <Override ContentType="application/vnd.openxmlformats-officedocument.spreadsheetml.worksheet+xml" PartName="/xl/worksheets/sheet19344.xml"/>
  <Override ContentType="application/vnd.openxmlformats-officedocument.spreadsheetml.worksheet+xml" PartName="/xl/worksheets/sheet19345.xml"/>
  <Override ContentType="application/vnd.openxmlformats-officedocument.spreadsheetml.worksheet+xml" PartName="/xl/worksheets/sheet19346.xml"/>
  <Override ContentType="application/vnd.openxmlformats-officedocument.spreadsheetml.worksheet+xml" PartName="/xl/worksheets/sheet19347.xml"/>
  <Override ContentType="application/vnd.openxmlformats-officedocument.spreadsheetml.worksheet+xml" PartName="/xl/worksheets/sheet19348.xml"/>
  <Override ContentType="application/vnd.openxmlformats-officedocument.spreadsheetml.worksheet+xml" PartName="/xl/worksheets/sheet19349.xml"/>
  <Override ContentType="application/vnd.openxmlformats-officedocument.spreadsheetml.worksheet+xml" PartName="/xl/worksheets/sheet19350.xml"/>
  <Override ContentType="application/vnd.openxmlformats-officedocument.spreadsheetml.worksheet+xml" PartName="/xl/worksheets/sheet19351.xml"/>
  <Override ContentType="application/vnd.openxmlformats-officedocument.spreadsheetml.worksheet+xml" PartName="/xl/worksheets/sheet19352.xml"/>
  <Override ContentType="application/vnd.openxmlformats-officedocument.spreadsheetml.worksheet+xml" PartName="/xl/worksheets/sheet19353.xml"/>
  <Override ContentType="application/vnd.openxmlformats-officedocument.spreadsheetml.worksheet+xml" PartName="/xl/worksheets/sheet19354.xml"/>
  <Override ContentType="application/vnd.openxmlformats-officedocument.spreadsheetml.worksheet+xml" PartName="/xl/worksheets/sheet19355.xml"/>
  <Override ContentType="application/vnd.openxmlformats-officedocument.spreadsheetml.worksheet+xml" PartName="/xl/worksheets/sheet19356.xml"/>
  <Override ContentType="application/vnd.openxmlformats-officedocument.spreadsheetml.worksheet+xml" PartName="/xl/worksheets/sheet19357.xml"/>
  <Override ContentType="application/vnd.openxmlformats-officedocument.spreadsheetml.worksheet+xml" PartName="/xl/worksheets/sheet19358.xml"/>
  <Override ContentType="application/vnd.openxmlformats-officedocument.spreadsheetml.worksheet+xml" PartName="/xl/worksheets/sheet19359.xml"/>
  <Override ContentType="application/vnd.openxmlformats-officedocument.spreadsheetml.worksheet+xml" PartName="/xl/worksheets/sheet19360.xml"/>
  <Override ContentType="application/vnd.openxmlformats-officedocument.spreadsheetml.worksheet+xml" PartName="/xl/worksheets/sheet19361.xml"/>
  <Override ContentType="application/vnd.openxmlformats-officedocument.spreadsheetml.worksheet+xml" PartName="/xl/worksheets/sheet19362.xml"/>
  <Override ContentType="application/vnd.openxmlformats-officedocument.spreadsheetml.worksheet+xml" PartName="/xl/worksheets/sheet19363.xml"/>
  <Override ContentType="application/vnd.openxmlformats-officedocument.spreadsheetml.worksheet+xml" PartName="/xl/worksheets/sheet19364.xml"/>
  <Override ContentType="application/vnd.openxmlformats-officedocument.spreadsheetml.worksheet+xml" PartName="/xl/worksheets/sheet19365.xml"/>
  <Override ContentType="application/vnd.openxmlformats-officedocument.spreadsheetml.worksheet+xml" PartName="/xl/worksheets/sheet19366.xml"/>
  <Override ContentType="application/vnd.openxmlformats-officedocument.spreadsheetml.worksheet+xml" PartName="/xl/worksheets/sheet19367.xml"/>
  <Override ContentType="application/vnd.openxmlformats-officedocument.spreadsheetml.worksheet+xml" PartName="/xl/worksheets/sheet19368.xml"/>
  <Override ContentType="application/vnd.openxmlformats-officedocument.spreadsheetml.worksheet+xml" PartName="/xl/worksheets/sheet19369.xml"/>
  <Override ContentType="application/vnd.openxmlformats-officedocument.spreadsheetml.worksheet+xml" PartName="/xl/worksheets/sheet19370.xml"/>
  <Override ContentType="application/vnd.openxmlformats-officedocument.spreadsheetml.worksheet+xml" PartName="/xl/worksheets/sheet19371.xml"/>
  <Override ContentType="application/vnd.openxmlformats-officedocument.spreadsheetml.worksheet+xml" PartName="/xl/worksheets/sheet19372.xml"/>
  <Override ContentType="application/vnd.openxmlformats-officedocument.spreadsheetml.worksheet+xml" PartName="/xl/worksheets/sheet19373.xml"/>
  <Override ContentType="application/vnd.openxmlformats-officedocument.spreadsheetml.worksheet+xml" PartName="/xl/worksheets/sheet19374.xml"/>
  <Override ContentType="application/vnd.openxmlformats-officedocument.spreadsheetml.worksheet+xml" PartName="/xl/worksheets/sheet19375.xml"/>
  <Override ContentType="application/vnd.openxmlformats-officedocument.spreadsheetml.worksheet+xml" PartName="/xl/worksheets/sheet19376.xml"/>
  <Override ContentType="application/vnd.openxmlformats-officedocument.spreadsheetml.worksheet+xml" PartName="/xl/worksheets/sheet19377.xml"/>
  <Override ContentType="application/vnd.openxmlformats-officedocument.spreadsheetml.worksheet+xml" PartName="/xl/worksheets/sheet19378.xml"/>
  <Override ContentType="application/vnd.openxmlformats-officedocument.spreadsheetml.worksheet+xml" PartName="/xl/worksheets/sheet19379.xml"/>
  <Override ContentType="application/vnd.openxmlformats-officedocument.spreadsheetml.worksheet+xml" PartName="/xl/worksheets/sheet19380.xml"/>
  <Override ContentType="application/vnd.openxmlformats-officedocument.spreadsheetml.worksheet+xml" PartName="/xl/worksheets/sheet19381.xml"/>
  <Override ContentType="application/vnd.openxmlformats-officedocument.spreadsheetml.worksheet+xml" PartName="/xl/worksheets/sheet19382.xml"/>
  <Override ContentType="application/vnd.openxmlformats-officedocument.spreadsheetml.worksheet+xml" PartName="/xl/worksheets/sheet19383.xml"/>
  <Override ContentType="application/vnd.openxmlformats-officedocument.spreadsheetml.worksheet+xml" PartName="/xl/worksheets/sheet19384.xml"/>
  <Override ContentType="application/vnd.openxmlformats-officedocument.spreadsheetml.worksheet+xml" PartName="/xl/worksheets/sheet19385.xml"/>
  <Override ContentType="application/vnd.openxmlformats-officedocument.spreadsheetml.worksheet+xml" PartName="/xl/worksheets/sheet19386.xml"/>
  <Override ContentType="application/vnd.openxmlformats-officedocument.spreadsheetml.worksheet+xml" PartName="/xl/worksheets/sheet19387.xml"/>
  <Override ContentType="application/vnd.openxmlformats-officedocument.spreadsheetml.worksheet+xml" PartName="/xl/worksheets/sheet19388.xml"/>
  <Override ContentType="application/vnd.openxmlformats-officedocument.spreadsheetml.worksheet+xml" PartName="/xl/worksheets/sheet19389.xml"/>
  <Override ContentType="application/vnd.openxmlformats-officedocument.spreadsheetml.worksheet+xml" PartName="/xl/worksheets/sheet19390.xml"/>
  <Override ContentType="application/vnd.openxmlformats-officedocument.spreadsheetml.worksheet+xml" PartName="/xl/worksheets/sheet19391.xml"/>
  <Override ContentType="application/vnd.openxmlformats-officedocument.spreadsheetml.worksheet+xml" PartName="/xl/worksheets/sheet19392.xml"/>
  <Override ContentType="application/vnd.openxmlformats-officedocument.spreadsheetml.worksheet+xml" PartName="/xl/worksheets/sheet19393.xml"/>
  <Override ContentType="application/vnd.openxmlformats-officedocument.spreadsheetml.worksheet+xml" PartName="/xl/worksheets/sheet19394.xml"/>
  <Override ContentType="application/vnd.openxmlformats-officedocument.spreadsheetml.worksheet+xml" PartName="/xl/worksheets/sheet19395.xml"/>
  <Override ContentType="application/vnd.openxmlformats-officedocument.spreadsheetml.worksheet+xml" PartName="/xl/worksheets/sheet19396.xml"/>
  <Override ContentType="application/vnd.openxmlformats-officedocument.spreadsheetml.worksheet+xml" PartName="/xl/worksheets/sheet19397.xml"/>
  <Override ContentType="application/vnd.openxmlformats-officedocument.spreadsheetml.worksheet+xml" PartName="/xl/worksheets/sheet19398.xml"/>
  <Override ContentType="application/vnd.openxmlformats-officedocument.spreadsheetml.worksheet+xml" PartName="/xl/worksheets/sheet19399.xml"/>
  <Override ContentType="application/vnd.openxmlformats-officedocument.spreadsheetml.worksheet+xml" PartName="/xl/worksheets/sheet19400.xml"/>
  <Override ContentType="application/vnd.openxmlformats-officedocument.spreadsheetml.worksheet+xml" PartName="/xl/worksheets/sheet19401.xml"/>
  <Override ContentType="application/vnd.openxmlformats-officedocument.spreadsheetml.worksheet+xml" PartName="/xl/worksheets/sheet19402.xml"/>
  <Override ContentType="application/vnd.openxmlformats-officedocument.spreadsheetml.worksheet+xml" PartName="/xl/worksheets/sheet19403.xml"/>
  <Override ContentType="application/vnd.openxmlformats-officedocument.spreadsheetml.worksheet+xml" PartName="/xl/worksheets/sheet19404.xml"/>
  <Override ContentType="application/vnd.openxmlformats-officedocument.spreadsheetml.worksheet+xml" PartName="/xl/worksheets/sheet19405.xml"/>
  <Override ContentType="application/vnd.openxmlformats-officedocument.spreadsheetml.worksheet+xml" PartName="/xl/worksheets/sheet19406.xml"/>
  <Override ContentType="application/vnd.openxmlformats-officedocument.spreadsheetml.worksheet+xml" PartName="/xl/worksheets/sheet19407.xml"/>
  <Override ContentType="application/vnd.openxmlformats-officedocument.spreadsheetml.worksheet+xml" PartName="/xl/worksheets/sheet19408.xml"/>
  <Override ContentType="application/vnd.openxmlformats-officedocument.spreadsheetml.worksheet+xml" PartName="/xl/worksheets/sheet19409.xml"/>
  <Override ContentType="application/vnd.openxmlformats-officedocument.spreadsheetml.worksheet+xml" PartName="/xl/worksheets/sheet19410.xml"/>
  <Override ContentType="application/vnd.openxmlformats-officedocument.spreadsheetml.worksheet+xml" PartName="/xl/worksheets/sheet19411.xml"/>
  <Override ContentType="application/vnd.openxmlformats-officedocument.spreadsheetml.worksheet+xml" PartName="/xl/worksheets/sheet19412.xml"/>
  <Override ContentType="application/vnd.openxmlformats-officedocument.spreadsheetml.worksheet+xml" PartName="/xl/worksheets/sheet19413.xml"/>
  <Override ContentType="application/vnd.openxmlformats-officedocument.spreadsheetml.worksheet+xml" PartName="/xl/worksheets/sheet19414.xml"/>
  <Override ContentType="application/vnd.openxmlformats-officedocument.spreadsheetml.worksheet+xml" PartName="/xl/worksheets/sheet19415.xml"/>
  <Override ContentType="application/vnd.openxmlformats-officedocument.spreadsheetml.worksheet+xml" PartName="/xl/worksheets/sheet19416.xml"/>
  <Override ContentType="application/vnd.openxmlformats-officedocument.spreadsheetml.worksheet+xml" PartName="/xl/worksheets/sheet19417.xml"/>
  <Override ContentType="application/vnd.openxmlformats-officedocument.spreadsheetml.worksheet+xml" PartName="/xl/worksheets/sheet19418.xml"/>
  <Override ContentType="application/vnd.openxmlformats-officedocument.spreadsheetml.worksheet+xml" PartName="/xl/worksheets/sheet19419.xml"/>
  <Override ContentType="application/vnd.openxmlformats-officedocument.spreadsheetml.worksheet+xml" PartName="/xl/worksheets/sheet19420.xml"/>
  <Override ContentType="application/vnd.openxmlformats-officedocument.spreadsheetml.worksheet+xml" PartName="/xl/worksheets/sheet19421.xml"/>
  <Override ContentType="application/vnd.openxmlformats-officedocument.spreadsheetml.worksheet+xml" PartName="/xl/worksheets/sheet19422.xml"/>
  <Override ContentType="application/vnd.openxmlformats-officedocument.spreadsheetml.worksheet+xml" PartName="/xl/worksheets/sheet19423.xml"/>
  <Override ContentType="application/vnd.openxmlformats-officedocument.spreadsheetml.worksheet+xml" PartName="/xl/worksheets/sheet19424.xml"/>
  <Override ContentType="application/vnd.openxmlformats-officedocument.spreadsheetml.worksheet+xml" PartName="/xl/worksheets/sheet19425.xml"/>
  <Override ContentType="application/vnd.openxmlformats-officedocument.spreadsheetml.worksheet+xml" PartName="/xl/worksheets/sheet19426.xml"/>
  <Override ContentType="application/vnd.openxmlformats-officedocument.spreadsheetml.worksheet+xml" PartName="/xl/worksheets/sheet19427.xml"/>
  <Override ContentType="application/vnd.openxmlformats-officedocument.spreadsheetml.worksheet+xml" PartName="/xl/worksheets/sheet19428.xml"/>
  <Override ContentType="application/vnd.openxmlformats-officedocument.spreadsheetml.worksheet+xml" PartName="/xl/worksheets/sheet19429.xml"/>
  <Override ContentType="application/vnd.openxmlformats-officedocument.spreadsheetml.worksheet+xml" PartName="/xl/worksheets/sheet19430.xml"/>
  <Override ContentType="application/vnd.openxmlformats-officedocument.spreadsheetml.worksheet+xml" PartName="/xl/worksheets/sheet19431.xml"/>
  <Override ContentType="application/vnd.openxmlformats-officedocument.spreadsheetml.worksheet+xml" PartName="/xl/worksheets/sheet19432.xml"/>
  <Override ContentType="application/vnd.openxmlformats-officedocument.spreadsheetml.worksheet+xml" PartName="/xl/worksheets/sheet19433.xml"/>
  <Override ContentType="application/vnd.openxmlformats-officedocument.spreadsheetml.worksheet+xml" PartName="/xl/worksheets/sheet19434.xml"/>
  <Override ContentType="application/vnd.openxmlformats-officedocument.spreadsheetml.worksheet+xml" PartName="/xl/worksheets/sheet19435.xml"/>
  <Override ContentType="application/vnd.openxmlformats-officedocument.spreadsheetml.worksheet+xml" PartName="/xl/worksheets/sheet19436.xml"/>
  <Override ContentType="application/vnd.openxmlformats-officedocument.spreadsheetml.worksheet+xml" PartName="/xl/worksheets/sheet19437.xml"/>
  <Override ContentType="application/vnd.openxmlformats-officedocument.spreadsheetml.worksheet+xml" PartName="/xl/worksheets/sheet19438.xml"/>
  <Override ContentType="application/vnd.openxmlformats-officedocument.spreadsheetml.worksheet+xml" PartName="/xl/worksheets/sheet19439.xml"/>
  <Override ContentType="application/vnd.openxmlformats-officedocument.spreadsheetml.worksheet+xml" PartName="/xl/worksheets/sheet19440.xml"/>
  <Override ContentType="application/vnd.openxmlformats-officedocument.spreadsheetml.worksheet+xml" PartName="/xl/worksheets/sheet19441.xml"/>
  <Override ContentType="application/vnd.openxmlformats-officedocument.spreadsheetml.worksheet+xml" PartName="/xl/worksheets/sheet19442.xml"/>
  <Override ContentType="application/vnd.openxmlformats-officedocument.spreadsheetml.worksheet+xml" PartName="/xl/worksheets/sheet19443.xml"/>
  <Override ContentType="application/vnd.openxmlformats-officedocument.spreadsheetml.worksheet+xml" PartName="/xl/worksheets/sheet19444.xml"/>
  <Override ContentType="application/vnd.openxmlformats-officedocument.spreadsheetml.worksheet+xml" PartName="/xl/worksheets/sheet19445.xml"/>
  <Override ContentType="application/vnd.openxmlformats-officedocument.spreadsheetml.worksheet+xml" PartName="/xl/worksheets/sheet19446.xml"/>
  <Override ContentType="application/vnd.openxmlformats-officedocument.spreadsheetml.worksheet+xml" PartName="/xl/worksheets/sheet19447.xml"/>
  <Override ContentType="application/vnd.openxmlformats-officedocument.spreadsheetml.worksheet+xml" PartName="/xl/worksheets/sheet19448.xml"/>
  <Override ContentType="application/vnd.openxmlformats-officedocument.spreadsheetml.worksheet+xml" PartName="/xl/worksheets/sheet19449.xml"/>
  <Override ContentType="application/vnd.openxmlformats-officedocument.spreadsheetml.worksheet+xml" PartName="/xl/worksheets/sheet19450.xml"/>
  <Override ContentType="application/vnd.openxmlformats-officedocument.spreadsheetml.worksheet+xml" PartName="/xl/worksheets/sheet19451.xml"/>
  <Override ContentType="application/vnd.openxmlformats-officedocument.spreadsheetml.worksheet+xml" PartName="/xl/worksheets/sheet19452.xml"/>
  <Override ContentType="application/vnd.openxmlformats-officedocument.spreadsheetml.worksheet+xml" PartName="/xl/worksheets/sheet19453.xml"/>
  <Override ContentType="application/vnd.openxmlformats-officedocument.spreadsheetml.worksheet+xml" PartName="/xl/worksheets/sheet19454.xml"/>
  <Override ContentType="application/vnd.openxmlformats-officedocument.spreadsheetml.worksheet+xml" PartName="/xl/worksheets/sheet19455.xml"/>
  <Override ContentType="application/vnd.openxmlformats-officedocument.spreadsheetml.worksheet+xml" PartName="/xl/worksheets/sheet19456.xml"/>
  <Override ContentType="application/vnd.openxmlformats-officedocument.spreadsheetml.worksheet+xml" PartName="/xl/worksheets/sheet19457.xml"/>
  <Override ContentType="application/vnd.openxmlformats-officedocument.spreadsheetml.worksheet+xml" PartName="/xl/worksheets/sheet19458.xml"/>
  <Override ContentType="application/vnd.openxmlformats-officedocument.spreadsheetml.worksheet+xml" PartName="/xl/worksheets/sheet19459.xml"/>
  <Override ContentType="application/vnd.openxmlformats-officedocument.spreadsheetml.worksheet+xml" PartName="/xl/worksheets/sheet19460.xml"/>
  <Override ContentType="application/vnd.openxmlformats-officedocument.spreadsheetml.worksheet+xml" PartName="/xl/worksheets/sheet19461.xml"/>
  <Override ContentType="application/vnd.openxmlformats-officedocument.spreadsheetml.worksheet+xml" PartName="/xl/worksheets/sheet19462.xml"/>
  <Override ContentType="application/vnd.openxmlformats-officedocument.spreadsheetml.worksheet+xml" PartName="/xl/worksheets/sheet19463.xml"/>
  <Override ContentType="application/vnd.openxmlformats-officedocument.spreadsheetml.worksheet+xml" PartName="/xl/worksheets/sheet19464.xml"/>
  <Override ContentType="application/vnd.openxmlformats-officedocument.spreadsheetml.worksheet+xml" PartName="/xl/worksheets/sheet19465.xml"/>
  <Override ContentType="application/vnd.openxmlformats-officedocument.spreadsheetml.worksheet+xml" PartName="/xl/worksheets/sheet19466.xml"/>
  <Override ContentType="application/vnd.openxmlformats-officedocument.spreadsheetml.worksheet+xml" PartName="/xl/worksheets/sheet19467.xml"/>
  <Override ContentType="application/vnd.openxmlformats-officedocument.spreadsheetml.worksheet+xml" PartName="/xl/worksheets/sheet19468.xml"/>
  <Override ContentType="application/vnd.openxmlformats-officedocument.spreadsheetml.worksheet+xml" PartName="/xl/worksheets/sheet19469.xml"/>
  <Override ContentType="application/vnd.openxmlformats-officedocument.spreadsheetml.worksheet+xml" PartName="/xl/worksheets/sheet19470.xml"/>
  <Override ContentType="application/vnd.openxmlformats-officedocument.spreadsheetml.worksheet+xml" PartName="/xl/worksheets/sheet19471.xml"/>
  <Override ContentType="application/vnd.openxmlformats-officedocument.spreadsheetml.worksheet+xml" PartName="/xl/worksheets/sheet19472.xml"/>
  <Override ContentType="application/vnd.openxmlformats-officedocument.spreadsheetml.worksheet+xml" PartName="/xl/worksheets/sheet19473.xml"/>
  <Override ContentType="application/vnd.openxmlformats-officedocument.spreadsheetml.worksheet+xml" PartName="/xl/worksheets/sheet19474.xml"/>
  <Override ContentType="application/vnd.openxmlformats-officedocument.spreadsheetml.worksheet+xml" PartName="/xl/worksheets/sheet19475.xml"/>
  <Override ContentType="application/vnd.openxmlformats-officedocument.spreadsheetml.worksheet+xml" PartName="/xl/worksheets/sheet19476.xml"/>
  <Override ContentType="application/vnd.openxmlformats-officedocument.spreadsheetml.worksheet+xml" PartName="/xl/worksheets/sheet19477.xml"/>
  <Override ContentType="application/vnd.openxmlformats-officedocument.spreadsheetml.worksheet+xml" PartName="/xl/worksheets/sheet19478.xml"/>
  <Override ContentType="application/vnd.openxmlformats-officedocument.spreadsheetml.worksheet+xml" PartName="/xl/worksheets/sheet19479.xml"/>
  <Override ContentType="application/vnd.openxmlformats-officedocument.spreadsheetml.worksheet+xml" PartName="/xl/worksheets/sheet19480.xml"/>
  <Override ContentType="application/vnd.openxmlformats-officedocument.spreadsheetml.worksheet+xml" PartName="/xl/worksheets/sheet19481.xml"/>
  <Override ContentType="application/vnd.openxmlformats-officedocument.spreadsheetml.worksheet+xml" PartName="/xl/worksheets/sheet19482.xml"/>
  <Override ContentType="application/vnd.openxmlformats-officedocument.spreadsheetml.worksheet+xml" PartName="/xl/worksheets/sheet19483.xml"/>
  <Override ContentType="application/vnd.openxmlformats-officedocument.spreadsheetml.worksheet+xml" PartName="/xl/worksheets/sheet19484.xml"/>
  <Override ContentType="application/vnd.openxmlformats-officedocument.spreadsheetml.worksheet+xml" PartName="/xl/worksheets/sheet19485.xml"/>
  <Override ContentType="application/vnd.openxmlformats-officedocument.spreadsheetml.worksheet+xml" PartName="/xl/worksheets/sheet19486.xml"/>
  <Override ContentType="application/vnd.openxmlformats-officedocument.spreadsheetml.worksheet+xml" PartName="/xl/worksheets/sheet19487.xml"/>
  <Override ContentType="application/vnd.openxmlformats-officedocument.spreadsheetml.worksheet+xml" PartName="/xl/worksheets/sheet19488.xml"/>
  <Override ContentType="application/vnd.openxmlformats-officedocument.spreadsheetml.worksheet+xml" PartName="/xl/worksheets/sheet19489.xml"/>
  <Override ContentType="application/vnd.openxmlformats-officedocument.spreadsheetml.worksheet+xml" PartName="/xl/worksheets/sheet19490.xml"/>
  <Override ContentType="application/vnd.openxmlformats-officedocument.spreadsheetml.worksheet+xml" PartName="/xl/worksheets/sheet19491.xml"/>
  <Override ContentType="application/vnd.openxmlformats-officedocument.spreadsheetml.worksheet+xml" PartName="/xl/worksheets/sheet19492.xml"/>
  <Override ContentType="application/vnd.openxmlformats-officedocument.spreadsheetml.worksheet+xml" PartName="/xl/worksheets/sheet19493.xml"/>
  <Override ContentType="application/vnd.openxmlformats-officedocument.spreadsheetml.worksheet+xml" PartName="/xl/worksheets/sheet19494.xml"/>
  <Override ContentType="application/vnd.openxmlformats-officedocument.spreadsheetml.worksheet+xml" PartName="/xl/worksheets/sheet19495.xml"/>
  <Override ContentType="application/vnd.openxmlformats-officedocument.spreadsheetml.worksheet+xml" PartName="/xl/worksheets/sheet19496.xml"/>
  <Override ContentType="application/vnd.openxmlformats-officedocument.spreadsheetml.worksheet+xml" PartName="/xl/worksheets/sheet19497.xml"/>
  <Override ContentType="application/vnd.openxmlformats-officedocument.spreadsheetml.worksheet+xml" PartName="/xl/worksheets/sheet19498.xml"/>
  <Override ContentType="application/vnd.openxmlformats-officedocument.spreadsheetml.worksheet+xml" PartName="/xl/worksheets/sheet19499.xml"/>
  <Override ContentType="application/vnd.openxmlformats-officedocument.spreadsheetml.worksheet+xml" PartName="/xl/worksheets/sheet19500.xml"/>
  <Override ContentType="application/vnd.openxmlformats-officedocument.spreadsheetml.worksheet+xml" PartName="/xl/worksheets/sheet19501.xml"/>
  <Override ContentType="application/vnd.openxmlformats-officedocument.spreadsheetml.worksheet+xml" PartName="/xl/worksheets/sheet19502.xml"/>
  <Override ContentType="application/vnd.openxmlformats-officedocument.spreadsheetml.worksheet+xml" PartName="/xl/worksheets/sheet19503.xml"/>
  <Override ContentType="application/vnd.openxmlformats-officedocument.spreadsheetml.worksheet+xml" PartName="/xl/worksheets/sheet19504.xml"/>
  <Override ContentType="application/vnd.openxmlformats-officedocument.spreadsheetml.worksheet+xml" PartName="/xl/worksheets/sheet19505.xml"/>
  <Override ContentType="application/vnd.openxmlformats-officedocument.spreadsheetml.worksheet+xml" PartName="/xl/worksheets/sheet19506.xml"/>
  <Override ContentType="application/vnd.openxmlformats-officedocument.spreadsheetml.worksheet+xml" PartName="/xl/worksheets/sheet19507.xml"/>
  <Override ContentType="application/vnd.openxmlformats-officedocument.spreadsheetml.worksheet+xml" PartName="/xl/worksheets/sheet19508.xml"/>
  <Override ContentType="application/vnd.openxmlformats-officedocument.spreadsheetml.worksheet+xml" PartName="/xl/worksheets/sheet19509.xml"/>
  <Override ContentType="application/vnd.openxmlformats-officedocument.spreadsheetml.worksheet+xml" PartName="/xl/worksheets/sheet19510.xml"/>
  <Override ContentType="application/vnd.openxmlformats-officedocument.spreadsheetml.worksheet+xml" PartName="/xl/worksheets/sheet19511.xml"/>
  <Override ContentType="application/vnd.openxmlformats-officedocument.spreadsheetml.worksheet+xml" PartName="/xl/worksheets/sheet19512.xml"/>
  <Override ContentType="application/vnd.openxmlformats-officedocument.spreadsheetml.worksheet+xml" PartName="/xl/worksheets/sheet19513.xml"/>
  <Override ContentType="application/vnd.openxmlformats-officedocument.spreadsheetml.worksheet+xml" PartName="/xl/worksheets/sheet19514.xml"/>
  <Override ContentType="application/vnd.openxmlformats-officedocument.spreadsheetml.worksheet+xml" PartName="/xl/worksheets/sheet19515.xml"/>
  <Override ContentType="application/vnd.openxmlformats-officedocument.spreadsheetml.worksheet+xml" PartName="/xl/worksheets/sheet19516.xml"/>
  <Override ContentType="application/vnd.openxmlformats-officedocument.spreadsheetml.worksheet+xml" PartName="/xl/worksheets/sheet19517.xml"/>
  <Override ContentType="application/vnd.openxmlformats-officedocument.spreadsheetml.worksheet+xml" PartName="/xl/worksheets/sheet19518.xml"/>
  <Override ContentType="application/vnd.openxmlformats-officedocument.spreadsheetml.worksheet+xml" PartName="/xl/worksheets/sheet19519.xml"/>
  <Override ContentType="application/vnd.openxmlformats-officedocument.spreadsheetml.worksheet+xml" PartName="/xl/worksheets/sheet19520.xml"/>
  <Override ContentType="application/vnd.openxmlformats-officedocument.spreadsheetml.worksheet+xml" PartName="/xl/worksheets/sheet19521.xml"/>
  <Override ContentType="application/vnd.openxmlformats-officedocument.spreadsheetml.worksheet+xml" PartName="/xl/worksheets/sheet19522.xml"/>
  <Override ContentType="application/vnd.openxmlformats-officedocument.spreadsheetml.worksheet+xml" PartName="/xl/worksheets/sheet19523.xml"/>
  <Override ContentType="application/vnd.openxmlformats-officedocument.spreadsheetml.worksheet+xml" PartName="/xl/worksheets/sheet19524.xml"/>
  <Override ContentType="application/vnd.openxmlformats-officedocument.spreadsheetml.worksheet+xml" PartName="/xl/worksheets/sheet19525.xml"/>
  <Override ContentType="application/vnd.openxmlformats-officedocument.spreadsheetml.worksheet+xml" PartName="/xl/worksheets/sheet19526.xml"/>
  <Override ContentType="application/vnd.openxmlformats-officedocument.spreadsheetml.worksheet+xml" PartName="/xl/worksheets/sheet19527.xml"/>
  <Override ContentType="application/vnd.openxmlformats-officedocument.spreadsheetml.worksheet+xml" PartName="/xl/worksheets/sheet19528.xml"/>
  <Override ContentType="application/vnd.openxmlformats-officedocument.spreadsheetml.worksheet+xml" PartName="/xl/worksheets/sheet19529.xml"/>
  <Override ContentType="application/vnd.openxmlformats-officedocument.spreadsheetml.worksheet+xml" PartName="/xl/worksheets/sheet19530.xml"/>
  <Override ContentType="application/vnd.openxmlformats-officedocument.spreadsheetml.worksheet+xml" PartName="/xl/worksheets/sheet19531.xml"/>
  <Override ContentType="application/vnd.openxmlformats-officedocument.spreadsheetml.worksheet+xml" PartName="/xl/worksheets/sheet19532.xml"/>
  <Override ContentType="application/vnd.openxmlformats-officedocument.spreadsheetml.worksheet+xml" PartName="/xl/worksheets/sheet19533.xml"/>
  <Override ContentType="application/vnd.openxmlformats-officedocument.spreadsheetml.worksheet+xml" PartName="/xl/worksheets/sheet19534.xml"/>
  <Override ContentType="application/vnd.openxmlformats-officedocument.spreadsheetml.worksheet+xml" PartName="/xl/worksheets/sheet19535.xml"/>
  <Override ContentType="application/vnd.openxmlformats-officedocument.spreadsheetml.worksheet+xml" PartName="/xl/worksheets/sheet19536.xml"/>
  <Override ContentType="application/vnd.openxmlformats-officedocument.spreadsheetml.worksheet+xml" PartName="/xl/worksheets/sheet19537.xml"/>
  <Override ContentType="application/vnd.openxmlformats-officedocument.spreadsheetml.worksheet+xml" PartName="/xl/worksheets/sheet19538.xml"/>
  <Override ContentType="application/vnd.openxmlformats-officedocument.spreadsheetml.worksheet+xml" PartName="/xl/worksheets/sheet19539.xml"/>
  <Override ContentType="application/vnd.openxmlformats-officedocument.spreadsheetml.worksheet+xml" PartName="/xl/worksheets/sheet19540.xml"/>
  <Override ContentType="application/vnd.openxmlformats-officedocument.spreadsheetml.worksheet+xml" PartName="/xl/worksheets/sheet19541.xml"/>
  <Override ContentType="application/vnd.openxmlformats-officedocument.spreadsheetml.worksheet+xml" PartName="/xl/worksheets/sheet19542.xml"/>
  <Override ContentType="application/vnd.openxmlformats-officedocument.spreadsheetml.worksheet+xml" PartName="/xl/worksheets/sheet19543.xml"/>
  <Override ContentType="application/vnd.openxmlformats-officedocument.spreadsheetml.worksheet+xml" PartName="/xl/worksheets/sheet19544.xml"/>
  <Override ContentType="application/vnd.openxmlformats-officedocument.spreadsheetml.worksheet+xml" PartName="/xl/worksheets/sheet19545.xml"/>
  <Override ContentType="application/vnd.openxmlformats-officedocument.spreadsheetml.worksheet+xml" PartName="/xl/worksheets/sheet19546.xml"/>
  <Override ContentType="application/vnd.openxmlformats-officedocument.spreadsheetml.worksheet+xml" PartName="/xl/worksheets/sheet19547.xml"/>
  <Override ContentType="application/vnd.openxmlformats-officedocument.spreadsheetml.worksheet+xml" PartName="/xl/worksheets/sheet19548.xml"/>
  <Override ContentType="application/vnd.openxmlformats-officedocument.spreadsheetml.worksheet+xml" PartName="/xl/worksheets/sheet19549.xml"/>
  <Override ContentType="application/vnd.openxmlformats-officedocument.spreadsheetml.worksheet+xml" PartName="/xl/worksheets/sheet19550.xml"/>
  <Override ContentType="application/vnd.openxmlformats-officedocument.spreadsheetml.worksheet+xml" PartName="/xl/worksheets/sheet19551.xml"/>
  <Override ContentType="application/vnd.openxmlformats-officedocument.spreadsheetml.worksheet+xml" PartName="/xl/worksheets/sheet19552.xml"/>
  <Override ContentType="application/vnd.openxmlformats-officedocument.spreadsheetml.worksheet+xml" PartName="/xl/worksheets/sheet19553.xml"/>
  <Override ContentType="application/vnd.openxmlformats-officedocument.spreadsheetml.worksheet+xml" PartName="/xl/worksheets/sheet19554.xml"/>
  <Override ContentType="application/vnd.openxmlformats-officedocument.spreadsheetml.worksheet+xml" PartName="/xl/worksheets/sheet19555.xml"/>
  <Override ContentType="application/vnd.openxmlformats-officedocument.spreadsheetml.worksheet+xml" PartName="/xl/worksheets/sheet19556.xml"/>
  <Override ContentType="application/vnd.openxmlformats-officedocument.spreadsheetml.worksheet+xml" PartName="/xl/worksheets/sheet19557.xml"/>
  <Override ContentType="application/vnd.openxmlformats-officedocument.spreadsheetml.worksheet+xml" PartName="/xl/worksheets/sheet19558.xml"/>
  <Override ContentType="application/vnd.openxmlformats-officedocument.spreadsheetml.worksheet+xml" PartName="/xl/worksheets/sheet19559.xml"/>
  <Override ContentType="application/vnd.openxmlformats-officedocument.spreadsheetml.worksheet+xml" PartName="/xl/worksheets/sheet19560.xml"/>
  <Override ContentType="application/vnd.openxmlformats-officedocument.spreadsheetml.worksheet+xml" PartName="/xl/worksheets/sheet19561.xml"/>
  <Override ContentType="application/vnd.openxmlformats-officedocument.spreadsheetml.worksheet+xml" PartName="/xl/worksheets/sheet19562.xml"/>
  <Override ContentType="application/vnd.openxmlformats-officedocument.spreadsheetml.worksheet+xml" PartName="/xl/worksheets/sheet19563.xml"/>
  <Override ContentType="application/vnd.openxmlformats-officedocument.spreadsheetml.worksheet+xml" PartName="/xl/worksheets/sheet19564.xml"/>
  <Override ContentType="application/vnd.openxmlformats-officedocument.spreadsheetml.worksheet+xml" PartName="/xl/worksheets/sheet19565.xml"/>
  <Override ContentType="application/vnd.openxmlformats-officedocument.spreadsheetml.worksheet+xml" PartName="/xl/worksheets/sheet19566.xml"/>
  <Override ContentType="application/vnd.openxmlformats-officedocument.spreadsheetml.worksheet+xml" PartName="/xl/worksheets/sheet19567.xml"/>
  <Override ContentType="application/vnd.openxmlformats-officedocument.spreadsheetml.worksheet+xml" PartName="/xl/worksheets/sheet19568.xml"/>
  <Override ContentType="application/vnd.openxmlformats-officedocument.spreadsheetml.worksheet+xml" PartName="/xl/worksheets/sheet19569.xml"/>
  <Override ContentType="application/vnd.openxmlformats-officedocument.spreadsheetml.worksheet+xml" PartName="/xl/worksheets/sheet19570.xml"/>
  <Override ContentType="application/vnd.openxmlformats-officedocument.spreadsheetml.worksheet+xml" PartName="/xl/worksheets/sheet19571.xml"/>
  <Override ContentType="application/vnd.openxmlformats-officedocument.spreadsheetml.worksheet+xml" PartName="/xl/worksheets/sheet19572.xml"/>
  <Override ContentType="application/vnd.openxmlformats-officedocument.spreadsheetml.worksheet+xml" PartName="/xl/worksheets/sheet19573.xml"/>
  <Override ContentType="application/vnd.openxmlformats-officedocument.spreadsheetml.worksheet+xml" PartName="/xl/worksheets/sheet19574.xml"/>
  <Override ContentType="application/vnd.openxmlformats-officedocument.spreadsheetml.worksheet+xml" PartName="/xl/worksheets/sheet19575.xml"/>
  <Override ContentType="application/vnd.openxmlformats-officedocument.spreadsheetml.worksheet+xml" PartName="/xl/worksheets/sheet19576.xml"/>
  <Override ContentType="application/vnd.openxmlformats-officedocument.spreadsheetml.worksheet+xml" PartName="/xl/worksheets/sheet19577.xml"/>
  <Override ContentType="application/vnd.openxmlformats-officedocument.spreadsheetml.worksheet+xml" PartName="/xl/worksheets/sheet19578.xml"/>
  <Override ContentType="application/vnd.openxmlformats-officedocument.spreadsheetml.worksheet+xml" PartName="/xl/worksheets/sheet19579.xml"/>
  <Override ContentType="application/vnd.openxmlformats-officedocument.spreadsheetml.worksheet+xml" PartName="/xl/worksheets/sheet19580.xml"/>
  <Override ContentType="application/vnd.openxmlformats-officedocument.spreadsheetml.worksheet+xml" PartName="/xl/worksheets/sheet19581.xml"/>
  <Override ContentType="application/vnd.openxmlformats-officedocument.spreadsheetml.worksheet+xml" PartName="/xl/worksheets/sheet19582.xml"/>
  <Override ContentType="application/vnd.openxmlformats-officedocument.spreadsheetml.worksheet+xml" PartName="/xl/worksheets/sheet19583.xml"/>
  <Override ContentType="application/vnd.openxmlformats-officedocument.spreadsheetml.worksheet+xml" PartName="/xl/worksheets/sheet19584.xml"/>
  <Override ContentType="application/vnd.openxmlformats-officedocument.spreadsheetml.worksheet+xml" PartName="/xl/worksheets/sheet19585.xml"/>
  <Override ContentType="application/vnd.openxmlformats-officedocument.spreadsheetml.worksheet+xml" PartName="/xl/worksheets/sheet19586.xml"/>
  <Override ContentType="application/vnd.openxmlformats-officedocument.spreadsheetml.worksheet+xml" PartName="/xl/worksheets/sheet19587.xml"/>
  <Override ContentType="application/vnd.openxmlformats-officedocument.spreadsheetml.worksheet+xml" PartName="/xl/worksheets/sheet19588.xml"/>
  <Override ContentType="application/vnd.openxmlformats-officedocument.spreadsheetml.worksheet+xml" PartName="/xl/worksheets/sheet19589.xml"/>
  <Override ContentType="application/vnd.openxmlformats-officedocument.spreadsheetml.worksheet+xml" PartName="/xl/worksheets/sheet19590.xml"/>
  <Override ContentType="application/vnd.openxmlformats-officedocument.spreadsheetml.worksheet+xml" PartName="/xl/worksheets/sheet19591.xml"/>
  <Override ContentType="application/vnd.openxmlformats-officedocument.spreadsheetml.worksheet+xml" PartName="/xl/worksheets/sheet19592.xml"/>
  <Override ContentType="application/vnd.openxmlformats-officedocument.spreadsheetml.worksheet+xml" PartName="/xl/worksheets/sheet19593.xml"/>
  <Override ContentType="application/vnd.openxmlformats-officedocument.spreadsheetml.worksheet+xml" PartName="/xl/worksheets/sheet19594.xml"/>
  <Override ContentType="application/vnd.openxmlformats-officedocument.spreadsheetml.worksheet+xml" PartName="/xl/worksheets/sheet19595.xml"/>
  <Override ContentType="application/vnd.openxmlformats-officedocument.spreadsheetml.worksheet+xml" PartName="/xl/worksheets/sheet19596.xml"/>
  <Override ContentType="application/vnd.openxmlformats-officedocument.spreadsheetml.worksheet+xml" PartName="/xl/worksheets/sheet19597.xml"/>
  <Override ContentType="application/vnd.openxmlformats-officedocument.spreadsheetml.worksheet+xml" PartName="/xl/worksheets/sheet19598.xml"/>
  <Override ContentType="application/vnd.openxmlformats-officedocument.spreadsheetml.worksheet+xml" PartName="/xl/worksheets/sheet19599.xml"/>
  <Override ContentType="application/vnd.openxmlformats-officedocument.spreadsheetml.worksheet+xml" PartName="/xl/worksheets/sheet19600.xml"/>
  <Override ContentType="application/vnd.openxmlformats-officedocument.spreadsheetml.worksheet+xml" PartName="/xl/worksheets/sheet19601.xml"/>
  <Override ContentType="application/vnd.openxmlformats-officedocument.spreadsheetml.worksheet+xml" PartName="/xl/worksheets/sheet19602.xml"/>
  <Override ContentType="application/vnd.openxmlformats-officedocument.spreadsheetml.worksheet+xml" PartName="/xl/worksheets/sheet19603.xml"/>
  <Override ContentType="application/vnd.openxmlformats-officedocument.spreadsheetml.worksheet+xml" PartName="/xl/worksheets/sheet19604.xml"/>
  <Override ContentType="application/vnd.openxmlformats-officedocument.spreadsheetml.worksheet+xml" PartName="/xl/worksheets/sheet19605.xml"/>
  <Override ContentType="application/vnd.openxmlformats-officedocument.spreadsheetml.worksheet+xml" PartName="/xl/worksheets/sheet19606.xml"/>
  <Override ContentType="application/vnd.openxmlformats-officedocument.spreadsheetml.worksheet+xml" PartName="/xl/worksheets/sheet19607.xml"/>
  <Override ContentType="application/vnd.openxmlformats-officedocument.spreadsheetml.worksheet+xml" PartName="/xl/worksheets/sheet19608.xml"/>
  <Override ContentType="application/vnd.openxmlformats-officedocument.spreadsheetml.worksheet+xml" PartName="/xl/worksheets/sheet19609.xml"/>
  <Override ContentType="application/vnd.openxmlformats-officedocument.spreadsheetml.worksheet+xml" PartName="/xl/worksheets/sheet19610.xml"/>
  <Override ContentType="application/vnd.openxmlformats-officedocument.spreadsheetml.worksheet+xml" PartName="/xl/worksheets/sheet19611.xml"/>
  <Override ContentType="application/vnd.openxmlformats-officedocument.spreadsheetml.worksheet+xml" PartName="/xl/worksheets/sheet19612.xml"/>
  <Override ContentType="application/vnd.openxmlformats-officedocument.spreadsheetml.worksheet+xml" PartName="/xl/worksheets/sheet19613.xml"/>
  <Override ContentType="application/vnd.openxmlformats-officedocument.spreadsheetml.worksheet+xml" PartName="/xl/worksheets/sheet19614.xml"/>
  <Override ContentType="application/vnd.openxmlformats-officedocument.spreadsheetml.worksheet+xml" PartName="/xl/worksheets/sheet19615.xml"/>
  <Override ContentType="application/vnd.openxmlformats-officedocument.spreadsheetml.worksheet+xml" PartName="/xl/worksheets/sheet19616.xml"/>
  <Override ContentType="application/vnd.openxmlformats-officedocument.spreadsheetml.worksheet+xml" PartName="/xl/worksheets/sheet19617.xml"/>
  <Override ContentType="application/vnd.openxmlformats-officedocument.spreadsheetml.worksheet+xml" PartName="/xl/worksheets/sheet19618.xml"/>
  <Override ContentType="application/vnd.openxmlformats-officedocument.spreadsheetml.worksheet+xml" PartName="/xl/worksheets/sheet19619.xml"/>
  <Override ContentType="application/vnd.openxmlformats-officedocument.spreadsheetml.worksheet+xml" PartName="/xl/worksheets/sheet19620.xml"/>
  <Override ContentType="application/vnd.openxmlformats-officedocument.spreadsheetml.worksheet+xml" PartName="/xl/worksheets/sheet19621.xml"/>
  <Override ContentType="application/vnd.openxmlformats-officedocument.spreadsheetml.worksheet+xml" PartName="/xl/worksheets/sheet19622.xml"/>
  <Override ContentType="application/vnd.openxmlformats-officedocument.spreadsheetml.worksheet+xml" PartName="/xl/worksheets/sheet19623.xml"/>
  <Override ContentType="application/vnd.openxmlformats-officedocument.spreadsheetml.worksheet+xml" PartName="/xl/worksheets/sheet19624.xml"/>
  <Override ContentType="application/vnd.openxmlformats-officedocument.spreadsheetml.worksheet+xml" PartName="/xl/worksheets/sheet19625.xml"/>
  <Override ContentType="application/vnd.openxmlformats-officedocument.spreadsheetml.worksheet+xml" PartName="/xl/worksheets/sheet19626.xml"/>
  <Override ContentType="application/vnd.openxmlformats-officedocument.spreadsheetml.worksheet+xml" PartName="/xl/worksheets/sheet19627.xml"/>
  <Override ContentType="application/vnd.openxmlformats-officedocument.spreadsheetml.worksheet+xml" PartName="/xl/worksheets/sheet19628.xml"/>
  <Override ContentType="application/vnd.openxmlformats-officedocument.spreadsheetml.worksheet+xml" PartName="/xl/worksheets/sheet19629.xml"/>
  <Override ContentType="application/vnd.openxmlformats-officedocument.spreadsheetml.worksheet+xml" PartName="/xl/worksheets/sheet19630.xml"/>
  <Override ContentType="application/vnd.openxmlformats-officedocument.spreadsheetml.worksheet+xml" PartName="/xl/worksheets/sheet19631.xml"/>
  <Override ContentType="application/vnd.openxmlformats-officedocument.spreadsheetml.worksheet+xml" PartName="/xl/worksheets/sheet19632.xml"/>
  <Override ContentType="application/vnd.openxmlformats-officedocument.spreadsheetml.worksheet+xml" PartName="/xl/worksheets/sheet19633.xml"/>
  <Override ContentType="application/vnd.openxmlformats-officedocument.spreadsheetml.worksheet+xml" PartName="/xl/worksheets/sheet19634.xml"/>
  <Override ContentType="application/vnd.openxmlformats-officedocument.spreadsheetml.worksheet+xml" PartName="/xl/worksheets/sheet19635.xml"/>
  <Override ContentType="application/vnd.openxmlformats-officedocument.spreadsheetml.worksheet+xml" PartName="/xl/worksheets/sheet19636.xml"/>
  <Override ContentType="application/vnd.openxmlformats-officedocument.spreadsheetml.worksheet+xml" PartName="/xl/worksheets/sheet19637.xml"/>
  <Override ContentType="application/vnd.openxmlformats-officedocument.spreadsheetml.worksheet+xml" PartName="/xl/worksheets/sheet19638.xml"/>
  <Override ContentType="application/vnd.openxmlformats-officedocument.spreadsheetml.worksheet+xml" PartName="/xl/worksheets/sheet19639.xml"/>
  <Override ContentType="application/vnd.openxmlformats-officedocument.spreadsheetml.worksheet+xml" PartName="/xl/worksheets/sheet19640.xml"/>
  <Override ContentType="application/vnd.openxmlformats-officedocument.spreadsheetml.worksheet+xml" PartName="/xl/worksheets/sheet19641.xml"/>
  <Override ContentType="application/vnd.openxmlformats-officedocument.spreadsheetml.worksheet+xml" PartName="/xl/worksheets/sheet19642.xml"/>
  <Override ContentType="application/vnd.openxmlformats-officedocument.spreadsheetml.worksheet+xml" PartName="/xl/worksheets/sheet19643.xml"/>
  <Override ContentType="application/vnd.openxmlformats-officedocument.spreadsheetml.worksheet+xml" PartName="/xl/worksheets/sheet19644.xml"/>
  <Override ContentType="application/vnd.openxmlformats-officedocument.spreadsheetml.worksheet+xml" PartName="/xl/worksheets/sheet19645.xml"/>
  <Override ContentType="application/vnd.openxmlformats-officedocument.spreadsheetml.worksheet+xml" PartName="/xl/worksheets/sheet19646.xml"/>
  <Override ContentType="application/vnd.openxmlformats-officedocument.spreadsheetml.worksheet+xml" PartName="/xl/worksheets/sheet19647.xml"/>
  <Override ContentType="application/vnd.openxmlformats-officedocument.spreadsheetml.worksheet+xml" PartName="/xl/worksheets/sheet19648.xml"/>
  <Override ContentType="application/vnd.openxmlformats-officedocument.spreadsheetml.worksheet+xml" PartName="/xl/worksheets/sheet19649.xml"/>
  <Override ContentType="application/vnd.openxmlformats-officedocument.spreadsheetml.worksheet+xml" PartName="/xl/worksheets/sheet19650.xml"/>
  <Override ContentType="application/vnd.openxmlformats-officedocument.spreadsheetml.worksheet+xml" PartName="/xl/worksheets/sheet19651.xml"/>
  <Override ContentType="application/vnd.openxmlformats-officedocument.spreadsheetml.worksheet+xml" PartName="/xl/worksheets/sheet19652.xml"/>
  <Override ContentType="application/vnd.openxmlformats-officedocument.spreadsheetml.worksheet+xml" PartName="/xl/worksheets/sheet19653.xml"/>
  <Override ContentType="application/vnd.openxmlformats-officedocument.spreadsheetml.worksheet+xml" PartName="/xl/worksheets/sheet19654.xml"/>
  <Override ContentType="application/vnd.openxmlformats-officedocument.spreadsheetml.worksheet+xml" PartName="/xl/worksheets/sheet19655.xml"/>
  <Override ContentType="application/vnd.openxmlformats-officedocument.spreadsheetml.worksheet+xml" PartName="/xl/worksheets/sheet19656.xml"/>
  <Override ContentType="application/vnd.openxmlformats-officedocument.spreadsheetml.worksheet+xml" PartName="/xl/worksheets/sheet19657.xml"/>
  <Override ContentType="application/vnd.openxmlformats-officedocument.spreadsheetml.worksheet+xml" PartName="/xl/worksheets/sheet19658.xml"/>
  <Override ContentType="application/vnd.openxmlformats-officedocument.spreadsheetml.worksheet+xml" PartName="/xl/worksheets/sheet19659.xml"/>
  <Override ContentType="application/vnd.openxmlformats-officedocument.spreadsheetml.worksheet+xml" PartName="/xl/worksheets/sheet19660.xml"/>
  <Override ContentType="application/vnd.openxmlformats-officedocument.spreadsheetml.worksheet+xml" PartName="/xl/worksheets/sheet19661.xml"/>
  <Override ContentType="application/vnd.openxmlformats-officedocument.spreadsheetml.worksheet+xml" PartName="/xl/worksheets/sheet19662.xml"/>
  <Override ContentType="application/vnd.openxmlformats-officedocument.spreadsheetml.worksheet+xml" PartName="/xl/worksheets/sheet19663.xml"/>
  <Override ContentType="application/vnd.openxmlformats-officedocument.spreadsheetml.worksheet+xml" PartName="/xl/worksheets/sheet19664.xml"/>
  <Override ContentType="application/vnd.openxmlformats-officedocument.spreadsheetml.worksheet+xml" PartName="/xl/worksheets/sheet19665.xml"/>
  <Override ContentType="application/vnd.openxmlformats-officedocument.spreadsheetml.worksheet+xml" PartName="/xl/worksheets/sheet19666.xml"/>
  <Override ContentType="application/vnd.openxmlformats-officedocument.spreadsheetml.worksheet+xml" PartName="/xl/worksheets/sheet19667.xml"/>
  <Override ContentType="application/vnd.openxmlformats-officedocument.spreadsheetml.worksheet+xml" PartName="/xl/worksheets/sheet19668.xml"/>
  <Override ContentType="application/vnd.openxmlformats-officedocument.spreadsheetml.worksheet+xml" PartName="/xl/worksheets/sheet19669.xml"/>
  <Override ContentType="application/vnd.openxmlformats-officedocument.spreadsheetml.worksheet+xml" PartName="/xl/worksheets/sheet19670.xml"/>
  <Override ContentType="application/vnd.openxmlformats-officedocument.spreadsheetml.worksheet+xml" PartName="/xl/worksheets/sheet19671.xml"/>
  <Override ContentType="application/vnd.openxmlformats-officedocument.spreadsheetml.worksheet+xml" PartName="/xl/worksheets/sheet19672.xml"/>
  <Override ContentType="application/vnd.openxmlformats-officedocument.spreadsheetml.worksheet+xml" PartName="/xl/worksheets/sheet19673.xml"/>
  <Override ContentType="application/vnd.openxmlformats-officedocument.spreadsheetml.worksheet+xml" PartName="/xl/worksheets/sheet19674.xml"/>
  <Override ContentType="application/vnd.openxmlformats-officedocument.spreadsheetml.worksheet+xml" PartName="/xl/worksheets/sheet19675.xml"/>
  <Override ContentType="application/vnd.openxmlformats-officedocument.spreadsheetml.worksheet+xml" PartName="/xl/worksheets/sheet19676.xml"/>
  <Override ContentType="application/vnd.openxmlformats-officedocument.spreadsheetml.worksheet+xml" PartName="/xl/worksheets/sheet19677.xml"/>
  <Override ContentType="application/vnd.openxmlformats-officedocument.spreadsheetml.worksheet+xml" PartName="/xl/worksheets/sheet19678.xml"/>
  <Override ContentType="application/vnd.openxmlformats-officedocument.spreadsheetml.worksheet+xml" PartName="/xl/worksheets/sheet19679.xml"/>
  <Override ContentType="application/vnd.openxmlformats-officedocument.spreadsheetml.worksheet+xml" PartName="/xl/worksheets/sheet19680.xml"/>
  <Override ContentType="application/vnd.openxmlformats-officedocument.spreadsheetml.worksheet+xml" PartName="/xl/worksheets/sheet19681.xml"/>
  <Override ContentType="application/vnd.openxmlformats-officedocument.spreadsheetml.worksheet+xml" PartName="/xl/worksheets/sheet19682.xml"/>
  <Override ContentType="application/vnd.openxmlformats-officedocument.spreadsheetml.worksheet+xml" PartName="/xl/worksheets/sheet19683.xml"/>
  <Override ContentType="application/vnd.openxmlformats-officedocument.spreadsheetml.worksheet+xml" PartName="/xl/worksheets/sheet19684.xml"/>
  <Override ContentType="application/vnd.openxmlformats-officedocument.spreadsheetml.worksheet+xml" PartName="/xl/worksheets/sheet19685.xml"/>
  <Override ContentType="application/vnd.openxmlformats-officedocument.spreadsheetml.worksheet+xml" PartName="/xl/worksheets/sheet19686.xml"/>
  <Override ContentType="application/vnd.openxmlformats-officedocument.spreadsheetml.worksheet+xml" PartName="/xl/worksheets/sheet19687.xml"/>
  <Override ContentType="application/vnd.openxmlformats-officedocument.spreadsheetml.worksheet+xml" PartName="/xl/worksheets/sheet19688.xml"/>
  <Override ContentType="application/vnd.openxmlformats-officedocument.spreadsheetml.worksheet+xml" PartName="/xl/worksheets/sheet19689.xml"/>
  <Override ContentType="application/vnd.openxmlformats-officedocument.spreadsheetml.worksheet+xml" PartName="/xl/worksheets/sheet19690.xml"/>
  <Override ContentType="application/vnd.openxmlformats-officedocument.spreadsheetml.worksheet+xml" PartName="/xl/worksheets/sheet19691.xml"/>
  <Override ContentType="application/vnd.openxmlformats-officedocument.spreadsheetml.worksheet+xml" PartName="/xl/worksheets/sheet19692.xml"/>
  <Override ContentType="application/vnd.openxmlformats-officedocument.spreadsheetml.worksheet+xml" PartName="/xl/worksheets/sheet19693.xml"/>
  <Override ContentType="application/vnd.openxmlformats-officedocument.spreadsheetml.worksheet+xml" PartName="/xl/worksheets/sheet19694.xml"/>
  <Override ContentType="application/vnd.openxmlformats-officedocument.spreadsheetml.worksheet+xml" PartName="/xl/worksheets/sheet19695.xml"/>
  <Override ContentType="application/vnd.openxmlformats-officedocument.spreadsheetml.worksheet+xml" PartName="/xl/worksheets/sheet19696.xml"/>
  <Override ContentType="application/vnd.openxmlformats-officedocument.spreadsheetml.worksheet+xml" PartName="/xl/worksheets/sheet19697.xml"/>
  <Override ContentType="application/vnd.openxmlformats-officedocument.spreadsheetml.worksheet+xml" PartName="/xl/worksheets/sheet19698.xml"/>
  <Override ContentType="application/vnd.openxmlformats-officedocument.spreadsheetml.worksheet+xml" PartName="/xl/worksheets/sheet19699.xml"/>
  <Override ContentType="application/vnd.openxmlformats-officedocument.spreadsheetml.worksheet+xml" PartName="/xl/worksheets/sheet19700.xml"/>
  <Override ContentType="application/vnd.openxmlformats-officedocument.spreadsheetml.worksheet+xml" PartName="/xl/worksheets/sheet19701.xml"/>
  <Override ContentType="application/vnd.openxmlformats-officedocument.spreadsheetml.worksheet+xml" PartName="/xl/worksheets/sheet19702.xml"/>
  <Override ContentType="application/vnd.openxmlformats-officedocument.spreadsheetml.worksheet+xml" PartName="/xl/worksheets/sheet19703.xml"/>
  <Override ContentType="application/vnd.openxmlformats-officedocument.spreadsheetml.worksheet+xml" PartName="/xl/worksheets/sheet19704.xml"/>
  <Override ContentType="application/vnd.openxmlformats-officedocument.spreadsheetml.worksheet+xml" PartName="/xl/worksheets/sheet19705.xml"/>
  <Override ContentType="application/vnd.openxmlformats-officedocument.spreadsheetml.worksheet+xml" PartName="/xl/worksheets/sheet19706.xml"/>
  <Override ContentType="application/vnd.openxmlformats-officedocument.spreadsheetml.worksheet+xml" PartName="/xl/worksheets/sheet19707.xml"/>
  <Override ContentType="application/vnd.openxmlformats-officedocument.spreadsheetml.worksheet+xml" PartName="/xl/worksheets/sheet19708.xml"/>
  <Override ContentType="application/vnd.openxmlformats-officedocument.spreadsheetml.worksheet+xml" PartName="/xl/worksheets/sheet19709.xml"/>
  <Override ContentType="application/vnd.openxmlformats-officedocument.spreadsheetml.worksheet+xml" PartName="/xl/worksheets/sheet19710.xml"/>
  <Override ContentType="application/vnd.openxmlformats-officedocument.spreadsheetml.worksheet+xml" PartName="/xl/worksheets/sheet19711.xml"/>
  <Override ContentType="application/vnd.openxmlformats-officedocument.spreadsheetml.worksheet+xml" PartName="/xl/worksheets/sheet19712.xml"/>
  <Override ContentType="application/vnd.openxmlformats-officedocument.spreadsheetml.worksheet+xml" PartName="/xl/worksheets/sheet19713.xml"/>
  <Override ContentType="application/vnd.openxmlformats-officedocument.spreadsheetml.worksheet+xml" PartName="/xl/worksheets/sheet19714.xml"/>
  <Override ContentType="application/vnd.openxmlformats-officedocument.spreadsheetml.worksheet+xml" PartName="/xl/worksheets/sheet19715.xml"/>
  <Override ContentType="application/vnd.openxmlformats-officedocument.spreadsheetml.worksheet+xml" PartName="/xl/worksheets/sheet19716.xml"/>
  <Override ContentType="application/vnd.openxmlformats-officedocument.spreadsheetml.worksheet+xml" PartName="/xl/worksheets/sheet19717.xml"/>
  <Override ContentType="application/vnd.openxmlformats-officedocument.spreadsheetml.worksheet+xml" PartName="/xl/worksheets/sheet19718.xml"/>
  <Override ContentType="application/vnd.openxmlformats-officedocument.spreadsheetml.worksheet+xml" PartName="/xl/worksheets/sheet19719.xml"/>
  <Override ContentType="application/vnd.openxmlformats-officedocument.spreadsheetml.worksheet+xml" PartName="/xl/worksheets/sheet19720.xml"/>
  <Override ContentType="application/vnd.openxmlformats-officedocument.spreadsheetml.worksheet+xml" PartName="/xl/worksheets/sheet19721.xml"/>
  <Override ContentType="application/vnd.openxmlformats-officedocument.spreadsheetml.worksheet+xml" PartName="/xl/worksheets/sheet19722.xml"/>
  <Override ContentType="application/vnd.openxmlformats-officedocument.spreadsheetml.worksheet+xml" PartName="/xl/worksheets/sheet19723.xml"/>
  <Override ContentType="application/vnd.openxmlformats-officedocument.spreadsheetml.worksheet+xml" PartName="/xl/worksheets/sheet19724.xml"/>
  <Override ContentType="application/vnd.openxmlformats-officedocument.spreadsheetml.worksheet+xml" PartName="/xl/worksheets/sheet19725.xml"/>
  <Override ContentType="application/vnd.openxmlformats-officedocument.spreadsheetml.worksheet+xml" PartName="/xl/worksheets/sheet19726.xml"/>
  <Override ContentType="application/vnd.openxmlformats-officedocument.spreadsheetml.worksheet+xml" PartName="/xl/worksheets/sheet19727.xml"/>
  <Override ContentType="application/vnd.openxmlformats-officedocument.spreadsheetml.worksheet+xml" PartName="/xl/worksheets/sheet19728.xml"/>
  <Override ContentType="application/vnd.openxmlformats-officedocument.spreadsheetml.worksheet+xml" PartName="/xl/worksheets/sheet19729.xml"/>
  <Override ContentType="application/vnd.openxmlformats-officedocument.spreadsheetml.worksheet+xml" PartName="/xl/worksheets/sheet19730.xml"/>
  <Override ContentType="application/vnd.openxmlformats-officedocument.spreadsheetml.worksheet+xml" PartName="/xl/worksheets/sheet19731.xml"/>
  <Override ContentType="application/vnd.openxmlformats-officedocument.spreadsheetml.worksheet+xml" PartName="/xl/worksheets/sheet19732.xml"/>
  <Override ContentType="application/vnd.openxmlformats-officedocument.spreadsheetml.worksheet+xml" PartName="/xl/worksheets/sheet19733.xml"/>
  <Override ContentType="application/vnd.openxmlformats-officedocument.spreadsheetml.worksheet+xml" PartName="/xl/worksheets/sheet19734.xml"/>
  <Override ContentType="application/vnd.openxmlformats-officedocument.spreadsheetml.worksheet+xml" PartName="/xl/worksheets/sheet19735.xml"/>
  <Override ContentType="application/vnd.openxmlformats-officedocument.spreadsheetml.worksheet+xml" PartName="/xl/worksheets/sheet19736.xml"/>
  <Override ContentType="application/vnd.openxmlformats-officedocument.spreadsheetml.worksheet+xml" PartName="/xl/worksheets/sheet19737.xml"/>
  <Override ContentType="application/vnd.openxmlformats-officedocument.spreadsheetml.worksheet+xml" PartName="/xl/worksheets/sheet19738.xml"/>
  <Override ContentType="application/vnd.openxmlformats-officedocument.spreadsheetml.worksheet+xml" PartName="/xl/worksheets/sheet19739.xml"/>
  <Override ContentType="application/vnd.openxmlformats-officedocument.spreadsheetml.worksheet+xml" PartName="/xl/worksheets/sheet19740.xml"/>
  <Override ContentType="application/vnd.openxmlformats-officedocument.spreadsheetml.worksheet+xml" PartName="/xl/worksheets/sheet19741.xml"/>
  <Override ContentType="application/vnd.openxmlformats-officedocument.spreadsheetml.worksheet+xml" PartName="/xl/worksheets/sheet19742.xml"/>
  <Override ContentType="application/vnd.openxmlformats-officedocument.spreadsheetml.worksheet+xml" PartName="/xl/worksheets/sheet19743.xml"/>
  <Override ContentType="application/vnd.openxmlformats-officedocument.spreadsheetml.worksheet+xml" PartName="/xl/worksheets/sheet19744.xml"/>
  <Override ContentType="application/vnd.openxmlformats-officedocument.spreadsheetml.worksheet+xml" PartName="/xl/worksheets/sheet19745.xml"/>
  <Override ContentType="application/vnd.openxmlformats-officedocument.spreadsheetml.worksheet+xml" PartName="/xl/worksheets/sheet19746.xml"/>
  <Override ContentType="application/vnd.openxmlformats-officedocument.spreadsheetml.worksheet+xml" PartName="/xl/worksheets/sheet19747.xml"/>
  <Override ContentType="application/vnd.openxmlformats-officedocument.spreadsheetml.worksheet+xml" PartName="/xl/worksheets/sheet19748.xml"/>
  <Override ContentType="application/vnd.openxmlformats-officedocument.spreadsheetml.worksheet+xml" PartName="/xl/worksheets/sheet19749.xml"/>
  <Override ContentType="application/vnd.openxmlformats-officedocument.spreadsheetml.worksheet+xml" PartName="/xl/worksheets/sheet19750.xml"/>
  <Override ContentType="application/vnd.openxmlformats-officedocument.spreadsheetml.worksheet+xml" PartName="/xl/worksheets/sheet19751.xml"/>
  <Override ContentType="application/vnd.openxmlformats-officedocument.spreadsheetml.worksheet+xml" PartName="/xl/worksheets/sheet19752.xml"/>
  <Override ContentType="application/vnd.openxmlformats-officedocument.spreadsheetml.worksheet+xml" PartName="/xl/worksheets/sheet19753.xml"/>
  <Override ContentType="application/vnd.openxmlformats-officedocument.spreadsheetml.worksheet+xml" PartName="/xl/worksheets/sheet19754.xml"/>
  <Override ContentType="application/vnd.openxmlformats-officedocument.spreadsheetml.worksheet+xml" PartName="/xl/worksheets/sheet19755.xml"/>
  <Override ContentType="application/vnd.openxmlformats-officedocument.spreadsheetml.worksheet+xml" PartName="/xl/worksheets/sheet19756.xml"/>
  <Override ContentType="application/vnd.openxmlformats-officedocument.spreadsheetml.worksheet+xml" PartName="/xl/worksheets/sheet19757.xml"/>
  <Override ContentType="application/vnd.openxmlformats-officedocument.spreadsheetml.worksheet+xml" PartName="/xl/worksheets/sheet19758.xml"/>
  <Override ContentType="application/vnd.openxmlformats-officedocument.spreadsheetml.worksheet+xml" PartName="/xl/worksheets/sheet19759.xml"/>
  <Override ContentType="application/vnd.openxmlformats-officedocument.spreadsheetml.worksheet+xml" PartName="/xl/worksheets/sheet19760.xml"/>
  <Override ContentType="application/vnd.openxmlformats-officedocument.spreadsheetml.worksheet+xml" PartName="/xl/worksheets/sheet19761.xml"/>
  <Override ContentType="application/vnd.openxmlformats-officedocument.spreadsheetml.worksheet+xml" PartName="/xl/worksheets/sheet19762.xml"/>
  <Override ContentType="application/vnd.openxmlformats-officedocument.spreadsheetml.worksheet+xml" PartName="/xl/worksheets/sheet19763.xml"/>
  <Override ContentType="application/vnd.openxmlformats-officedocument.spreadsheetml.worksheet+xml" PartName="/xl/worksheets/sheet19764.xml"/>
  <Override ContentType="application/vnd.openxmlformats-officedocument.spreadsheetml.worksheet+xml" PartName="/xl/worksheets/sheet19765.xml"/>
  <Override ContentType="application/vnd.openxmlformats-officedocument.spreadsheetml.worksheet+xml" PartName="/xl/worksheets/sheet19766.xml"/>
  <Override ContentType="application/vnd.openxmlformats-officedocument.spreadsheetml.worksheet+xml" PartName="/xl/worksheets/sheet19767.xml"/>
  <Override ContentType="application/vnd.openxmlformats-officedocument.spreadsheetml.worksheet+xml" PartName="/xl/worksheets/sheet19768.xml"/>
  <Override ContentType="application/vnd.openxmlformats-officedocument.spreadsheetml.worksheet+xml" PartName="/xl/worksheets/sheet19769.xml"/>
  <Override ContentType="application/vnd.openxmlformats-officedocument.spreadsheetml.worksheet+xml" PartName="/xl/worksheets/sheet19770.xml"/>
  <Override ContentType="application/vnd.openxmlformats-officedocument.spreadsheetml.worksheet+xml" PartName="/xl/worksheets/sheet19771.xml"/>
  <Override ContentType="application/vnd.openxmlformats-officedocument.spreadsheetml.worksheet+xml" PartName="/xl/worksheets/sheet19772.xml"/>
  <Override ContentType="application/vnd.openxmlformats-officedocument.spreadsheetml.worksheet+xml" PartName="/xl/worksheets/sheet19773.xml"/>
  <Override ContentType="application/vnd.openxmlformats-officedocument.spreadsheetml.worksheet+xml" PartName="/xl/worksheets/sheet19774.xml"/>
  <Override ContentType="application/vnd.openxmlformats-officedocument.spreadsheetml.worksheet+xml" PartName="/xl/worksheets/sheet19775.xml"/>
  <Override ContentType="application/vnd.openxmlformats-officedocument.spreadsheetml.worksheet+xml" PartName="/xl/worksheets/sheet19776.xml"/>
  <Override ContentType="application/vnd.openxmlformats-officedocument.spreadsheetml.worksheet+xml" PartName="/xl/worksheets/sheet19777.xml"/>
  <Override ContentType="application/vnd.openxmlformats-officedocument.spreadsheetml.worksheet+xml" PartName="/xl/worksheets/sheet19778.xml"/>
  <Override ContentType="application/vnd.openxmlformats-officedocument.spreadsheetml.worksheet+xml" PartName="/xl/worksheets/sheet19779.xml"/>
  <Override ContentType="application/vnd.openxmlformats-officedocument.spreadsheetml.worksheet+xml" PartName="/xl/worksheets/sheet19780.xml"/>
  <Override ContentType="application/vnd.openxmlformats-officedocument.spreadsheetml.worksheet+xml" PartName="/xl/worksheets/sheet19781.xml"/>
  <Override ContentType="application/vnd.openxmlformats-officedocument.spreadsheetml.worksheet+xml" PartName="/xl/worksheets/sheet19782.xml"/>
  <Override ContentType="application/vnd.openxmlformats-officedocument.spreadsheetml.worksheet+xml" PartName="/xl/worksheets/sheet19783.xml"/>
  <Override ContentType="application/vnd.openxmlformats-officedocument.spreadsheetml.worksheet+xml" PartName="/xl/worksheets/sheet19784.xml"/>
  <Override ContentType="application/vnd.openxmlformats-officedocument.spreadsheetml.worksheet+xml" PartName="/xl/worksheets/sheet19785.xml"/>
  <Override ContentType="application/vnd.openxmlformats-officedocument.spreadsheetml.worksheet+xml" PartName="/xl/worksheets/sheet19786.xml"/>
  <Override ContentType="application/vnd.openxmlformats-officedocument.spreadsheetml.worksheet+xml" PartName="/xl/worksheets/sheet19787.xml"/>
  <Override ContentType="application/vnd.openxmlformats-officedocument.spreadsheetml.worksheet+xml" PartName="/xl/worksheets/sheet19788.xml"/>
  <Override ContentType="application/vnd.openxmlformats-officedocument.spreadsheetml.worksheet+xml" PartName="/xl/worksheets/sheet19789.xml"/>
  <Override ContentType="application/vnd.openxmlformats-officedocument.spreadsheetml.worksheet+xml" PartName="/xl/worksheets/sheet19790.xml"/>
  <Override ContentType="application/vnd.openxmlformats-officedocument.spreadsheetml.worksheet+xml" PartName="/xl/worksheets/sheet19791.xml"/>
  <Override ContentType="application/vnd.openxmlformats-officedocument.spreadsheetml.worksheet+xml" PartName="/xl/worksheets/sheet19792.xml"/>
  <Override ContentType="application/vnd.openxmlformats-officedocument.spreadsheetml.worksheet+xml" PartName="/xl/worksheets/sheet19793.xml"/>
  <Override ContentType="application/vnd.openxmlformats-officedocument.spreadsheetml.worksheet+xml" PartName="/xl/worksheets/sheet19794.xml"/>
  <Override ContentType="application/vnd.openxmlformats-officedocument.spreadsheetml.worksheet+xml" PartName="/xl/worksheets/sheet19795.xml"/>
  <Override ContentType="application/vnd.openxmlformats-officedocument.spreadsheetml.worksheet+xml" PartName="/xl/worksheets/sheet19796.xml"/>
  <Override ContentType="application/vnd.openxmlformats-officedocument.spreadsheetml.worksheet+xml" PartName="/xl/worksheets/sheet19797.xml"/>
  <Override ContentType="application/vnd.openxmlformats-officedocument.spreadsheetml.worksheet+xml" PartName="/xl/worksheets/sheet19798.xml"/>
  <Override ContentType="application/vnd.openxmlformats-officedocument.spreadsheetml.worksheet+xml" PartName="/xl/worksheets/sheet19799.xml"/>
  <Override ContentType="application/vnd.openxmlformats-officedocument.spreadsheetml.worksheet+xml" PartName="/xl/worksheets/sheet19800.xml"/>
  <Override ContentType="application/vnd.openxmlformats-officedocument.spreadsheetml.worksheet+xml" PartName="/xl/worksheets/sheet19801.xml"/>
  <Override ContentType="application/vnd.openxmlformats-officedocument.spreadsheetml.worksheet+xml" PartName="/xl/worksheets/sheet19802.xml"/>
  <Override ContentType="application/vnd.openxmlformats-officedocument.spreadsheetml.worksheet+xml" PartName="/xl/worksheets/sheet19803.xml"/>
  <Override ContentType="application/vnd.openxmlformats-officedocument.spreadsheetml.worksheet+xml" PartName="/xl/worksheets/sheet19804.xml"/>
  <Override ContentType="application/vnd.openxmlformats-officedocument.spreadsheetml.worksheet+xml" PartName="/xl/worksheets/sheet19805.xml"/>
  <Override ContentType="application/vnd.openxmlformats-officedocument.spreadsheetml.worksheet+xml" PartName="/xl/worksheets/sheet19806.xml"/>
  <Override ContentType="application/vnd.openxmlformats-officedocument.spreadsheetml.worksheet+xml" PartName="/xl/worksheets/sheet19807.xml"/>
  <Override ContentType="application/vnd.openxmlformats-officedocument.spreadsheetml.worksheet+xml" PartName="/xl/worksheets/sheet19808.xml"/>
  <Override ContentType="application/vnd.openxmlformats-officedocument.spreadsheetml.worksheet+xml" PartName="/xl/worksheets/sheet19809.xml"/>
  <Override ContentType="application/vnd.openxmlformats-officedocument.spreadsheetml.worksheet+xml" PartName="/xl/worksheets/sheet19810.xml"/>
  <Override ContentType="application/vnd.openxmlformats-officedocument.spreadsheetml.worksheet+xml" PartName="/xl/worksheets/sheet19811.xml"/>
  <Override ContentType="application/vnd.openxmlformats-officedocument.spreadsheetml.worksheet+xml" PartName="/xl/worksheets/sheet19812.xml"/>
  <Override ContentType="application/vnd.openxmlformats-officedocument.spreadsheetml.worksheet+xml" PartName="/xl/worksheets/sheet19813.xml"/>
  <Override ContentType="application/vnd.openxmlformats-officedocument.spreadsheetml.worksheet+xml" PartName="/xl/worksheets/sheet19814.xml"/>
  <Override ContentType="application/vnd.openxmlformats-officedocument.spreadsheetml.worksheet+xml" PartName="/xl/worksheets/sheet19815.xml"/>
  <Override ContentType="application/vnd.openxmlformats-officedocument.spreadsheetml.worksheet+xml" PartName="/xl/worksheets/sheet19816.xml"/>
  <Override ContentType="application/vnd.openxmlformats-officedocument.spreadsheetml.worksheet+xml" PartName="/xl/worksheets/sheet19817.xml"/>
  <Override ContentType="application/vnd.openxmlformats-officedocument.spreadsheetml.worksheet+xml" PartName="/xl/worksheets/sheet19818.xml"/>
  <Override ContentType="application/vnd.openxmlformats-officedocument.spreadsheetml.worksheet+xml" PartName="/xl/worksheets/sheet19819.xml"/>
  <Override ContentType="application/vnd.openxmlformats-officedocument.spreadsheetml.worksheet+xml" PartName="/xl/worksheets/sheet19820.xml"/>
  <Override ContentType="application/vnd.openxmlformats-officedocument.spreadsheetml.worksheet+xml" PartName="/xl/worksheets/sheet19821.xml"/>
  <Override ContentType="application/vnd.openxmlformats-officedocument.spreadsheetml.worksheet+xml" PartName="/xl/worksheets/sheet19822.xml"/>
  <Override ContentType="application/vnd.openxmlformats-officedocument.spreadsheetml.worksheet+xml" PartName="/xl/worksheets/sheet19823.xml"/>
  <Override ContentType="application/vnd.openxmlformats-officedocument.spreadsheetml.worksheet+xml" PartName="/xl/worksheets/sheet19824.xml"/>
  <Override ContentType="application/vnd.openxmlformats-officedocument.spreadsheetml.worksheet+xml" PartName="/xl/worksheets/sheet19825.xml"/>
  <Override ContentType="application/vnd.openxmlformats-officedocument.spreadsheetml.worksheet+xml" PartName="/xl/worksheets/sheet19826.xml"/>
  <Override ContentType="application/vnd.openxmlformats-officedocument.spreadsheetml.worksheet+xml" PartName="/xl/worksheets/sheet19827.xml"/>
  <Override ContentType="application/vnd.openxmlformats-officedocument.spreadsheetml.worksheet+xml" PartName="/xl/worksheets/sheet19828.xml"/>
  <Override ContentType="application/vnd.openxmlformats-officedocument.spreadsheetml.worksheet+xml" PartName="/xl/worksheets/sheet19829.xml"/>
  <Override ContentType="application/vnd.openxmlformats-officedocument.spreadsheetml.worksheet+xml" PartName="/xl/worksheets/sheet19830.xml"/>
  <Override ContentType="application/vnd.openxmlformats-officedocument.spreadsheetml.worksheet+xml" PartName="/xl/worksheets/sheet19831.xml"/>
  <Override ContentType="application/vnd.openxmlformats-officedocument.spreadsheetml.worksheet+xml" PartName="/xl/worksheets/sheet19832.xml"/>
  <Override ContentType="application/vnd.openxmlformats-officedocument.spreadsheetml.worksheet+xml" PartName="/xl/worksheets/sheet19833.xml"/>
  <Override ContentType="application/vnd.openxmlformats-officedocument.spreadsheetml.worksheet+xml" PartName="/xl/worksheets/sheet19834.xml"/>
  <Override ContentType="application/vnd.openxmlformats-officedocument.spreadsheetml.worksheet+xml" PartName="/xl/worksheets/sheet19835.xml"/>
  <Override ContentType="application/vnd.openxmlformats-officedocument.spreadsheetml.worksheet+xml" PartName="/xl/worksheets/sheet19836.xml"/>
  <Override ContentType="application/vnd.openxmlformats-officedocument.spreadsheetml.worksheet+xml" PartName="/xl/worksheets/sheet19837.xml"/>
  <Override ContentType="application/vnd.openxmlformats-officedocument.spreadsheetml.worksheet+xml" PartName="/xl/worksheets/sheet19838.xml"/>
  <Override ContentType="application/vnd.openxmlformats-officedocument.spreadsheetml.worksheet+xml" PartName="/xl/worksheets/sheet19839.xml"/>
  <Override ContentType="application/vnd.openxmlformats-officedocument.spreadsheetml.worksheet+xml" PartName="/xl/worksheets/sheet19840.xml"/>
  <Override ContentType="application/vnd.openxmlformats-officedocument.spreadsheetml.worksheet+xml" PartName="/xl/worksheets/sheet19841.xml"/>
  <Override ContentType="application/vnd.openxmlformats-officedocument.spreadsheetml.worksheet+xml" PartName="/xl/worksheets/sheet19842.xml"/>
  <Override ContentType="application/vnd.openxmlformats-officedocument.spreadsheetml.worksheet+xml" PartName="/xl/worksheets/sheet19843.xml"/>
  <Override ContentType="application/vnd.openxmlformats-officedocument.spreadsheetml.worksheet+xml" PartName="/xl/worksheets/sheet19844.xml"/>
  <Override ContentType="application/vnd.openxmlformats-officedocument.spreadsheetml.worksheet+xml" PartName="/xl/worksheets/sheet19845.xml"/>
  <Override ContentType="application/vnd.openxmlformats-officedocument.spreadsheetml.worksheet+xml" PartName="/xl/worksheets/sheet19846.xml"/>
  <Override ContentType="application/vnd.openxmlformats-officedocument.spreadsheetml.worksheet+xml" PartName="/xl/worksheets/sheet19847.xml"/>
  <Override ContentType="application/vnd.openxmlformats-officedocument.spreadsheetml.worksheet+xml" PartName="/xl/worksheets/sheet19848.xml"/>
  <Override ContentType="application/vnd.openxmlformats-officedocument.spreadsheetml.worksheet+xml" PartName="/xl/worksheets/sheet19849.xml"/>
  <Override ContentType="application/vnd.openxmlformats-officedocument.spreadsheetml.worksheet+xml" PartName="/xl/worksheets/sheet19850.xml"/>
  <Override ContentType="application/vnd.openxmlformats-officedocument.spreadsheetml.worksheet+xml" PartName="/xl/worksheets/sheet19851.xml"/>
  <Override ContentType="application/vnd.openxmlformats-officedocument.spreadsheetml.worksheet+xml" PartName="/xl/worksheets/sheet19852.xml"/>
  <Override ContentType="application/vnd.openxmlformats-officedocument.spreadsheetml.worksheet+xml" PartName="/xl/worksheets/sheet19853.xml"/>
  <Override ContentType="application/vnd.openxmlformats-officedocument.spreadsheetml.worksheet+xml" PartName="/xl/worksheets/sheet19854.xml"/>
  <Override ContentType="application/vnd.openxmlformats-officedocument.spreadsheetml.worksheet+xml" PartName="/xl/worksheets/sheet19855.xml"/>
  <Override ContentType="application/vnd.openxmlformats-officedocument.spreadsheetml.worksheet+xml" PartName="/xl/worksheets/sheet19856.xml"/>
  <Override ContentType="application/vnd.openxmlformats-officedocument.spreadsheetml.worksheet+xml" PartName="/xl/worksheets/sheet19857.xml"/>
  <Override ContentType="application/vnd.openxmlformats-officedocument.spreadsheetml.worksheet+xml" PartName="/xl/worksheets/sheet19858.xml"/>
  <Override ContentType="application/vnd.openxmlformats-officedocument.spreadsheetml.worksheet+xml" PartName="/xl/worksheets/sheet19859.xml"/>
  <Override ContentType="application/vnd.openxmlformats-officedocument.spreadsheetml.worksheet+xml" PartName="/xl/worksheets/sheet19860.xml"/>
  <Override ContentType="application/vnd.openxmlformats-officedocument.spreadsheetml.worksheet+xml" PartName="/xl/worksheets/sheet19861.xml"/>
  <Override ContentType="application/vnd.openxmlformats-officedocument.spreadsheetml.worksheet+xml" PartName="/xl/worksheets/sheet19862.xml"/>
  <Override ContentType="application/vnd.openxmlformats-officedocument.spreadsheetml.worksheet+xml" PartName="/xl/worksheets/sheet19863.xml"/>
  <Override ContentType="application/vnd.openxmlformats-officedocument.spreadsheetml.worksheet+xml" PartName="/xl/worksheets/sheet19864.xml"/>
  <Override ContentType="application/vnd.openxmlformats-officedocument.spreadsheetml.worksheet+xml" PartName="/xl/worksheets/sheet19865.xml"/>
  <Override ContentType="application/vnd.openxmlformats-officedocument.spreadsheetml.worksheet+xml" PartName="/xl/worksheets/sheet19866.xml"/>
  <Override ContentType="application/vnd.openxmlformats-officedocument.spreadsheetml.worksheet+xml" PartName="/xl/worksheets/sheet19867.xml"/>
  <Override ContentType="application/vnd.openxmlformats-officedocument.spreadsheetml.worksheet+xml" PartName="/xl/worksheets/sheet19868.xml"/>
  <Override ContentType="application/vnd.openxmlformats-officedocument.spreadsheetml.worksheet+xml" PartName="/xl/worksheets/sheet19869.xml"/>
  <Override ContentType="application/vnd.openxmlformats-officedocument.spreadsheetml.worksheet+xml" PartName="/xl/worksheets/sheet19870.xml"/>
  <Override ContentType="application/vnd.openxmlformats-officedocument.spreadsheetml.worksheet+xml" PartName="/xl/worksheets/sheet19871.xml"/>
  <Override ContentType="application/vnd.openxmlformats-officedocument.spreadsheetml.worksheet+xml" PartName="/xl/worksheets/sheet19872.xml"/>
  <Override ContentType="application/vnd.openxmlformats-officedocument.spreadsheetml.worksheet+xml" PartName="/xl/worksheets/sheet19873.xml"/>
  <Override ContentType="application/vnd.openxmlformats-officedocument.spreadsheetml.worksheet+xml" PartName="/xl/worksheets/sheet19874.xml"/>
  <Override ContentType="application/vnd.openxmlformats-officedocument.spreadsheetml.worksheet+xml" PartName="/xl/worksheets/sheet19875.xml"/>
  <Override ContentType="application/vnd.openxmlformats-officedocument.spreadsheetml.worksheet+xml" PartName="/xl/worksheets/sheet19876.xml"/>
  <Override ContentType="application/vnd.openxmlformats-officedocument.spreadsheetml.worksheet+xml" PartName="/xl/worksheets/sheet19877.xml"/>
  <Override ContentType="application/vnd.openxmlformats-officedocument.spreadsheetml.worksheet+xml" PartName="/xl/worksheets/sheet19878.xml"/>
  <Override ContentType="application/vnd.openxmlformats-officedocument.spreadsheetml.worksheet+xml" PartName="/xl/worksheets/sheet19879.xml"/>
  <Override ContentType="application/vnd.openxmlformats-officedocument.spreadsheetml.worksheet+xml" PartName="/xl/worksheets/sheet19880.xml"/>
  <Override ContentType="application/vnd.openxmlformats-officedocument.spreadsheetml.worksheet+xml" PartName="/xl/worksheets/sheet19881.xml"/>
  <Override ContentType="application/vnd.openxmlformats-officedocument.spreadsheetml.worksheet+xml" PartName="/xl/worksheets/sheet19882.xml"/>
  <Override ContentType="application/vnd.openxmlformats-officedocument.spreadsheetml.worksheet+xml" PartName="/xl/worksheets/sheet19883.xml"/>
  <Override ContentType="application/vnd.openxmlformats-officedocument.spreadsheetml.worksheet+xml" PartName="/xl/worksheets/sheet19884.xml"/>
  <Override ContentType="application/vnd.openxmlformats-officedocument.spreadsheetml.worksheet+xml" PartName="/xl/worksheets/sheet19885.xml"/>
  <Override ContentType="application/vnd.openxmlformats-officedocument.spreadsheetml.worksheet+xml" PartName="/xl/worksheets/sheet19886.xml"/>
  <Override ContentType="application/vnd.openxmlformats-officedocument.spreadsheetml.worksheet+xml" PartName="/xl/worksheets/sheet19887.xml"/>
  <Override ContentType="application/vnd.openxmlformats-officedocument.spreadsheetml.worksheet+xml" PartName="/xl/worksheets/sheet19888.xml"/>
  <Override ContentType="application/vnd.openxmlformats-officedocument.spreadsheetml.worksheet+xml" PartName="/xl/worksheets/sheet19889.xml"/>
  <Override ContentType="application/vnd.openxmlformats-officedocument.spreadsheetml.worksheet+xml" PartName="/xl/worksheets/sheet19890.xml"/>
  <Override ContentType="application/vnd.openxmlformats-officedocument.spreadsheetml.worksheet+xml" PartName="/xl/worksheets/sheet19891.xml"/>
  <Override ContentType="application/vnd.openxmlformats-officedocument.spreadsheetml.worksheet+xml" PartName="/xl/worksheets/sheet19892.xml"/>
  <Override ContentType="application/vnd.openxmlformats-officedocument.spreadsheetml.worksheet+xml" PartName="/xl/worksheets/sheet19893.xml"/>
  <Override ContentType="application/vnd.openxmlformats-officedocument.spreadsheetml.worksheet+xml" PartName="/xl/worksheets/sheet19894.xml"/>
  <Override ContentType="application/vnd.openxmlformats-officedocument.spreadsheetml.worksheet+xml" PartName="/xl/worksheets/sheet19895.xml"/>
  <Override ContentType="application/vnd.openxmlformats-officedocument.spreadsheetml.worksheet+xml" PartName="/xl/worksheets/sheet19896.xml"/>
  <Override ContentType="application/vnd.openxmlformats-officedocument.spreadsheetml.worksheet+xml" PartName="/xl/worksheets/sheet19897.xml"/>
  <Override ContentType="application/vnd.openxmlformats-officedocument.spreadsheetml.worksheet+xml" PartName="/xl/worksheets/sheet19898.xml"/>
  <Override ContentType="application/vnd.openxmlformats-officedocument.spreadsheetml.worksheet+xml" PartName="/xl/worksheets/sheet19899.xml"/>
  <Override ContentType="application/vnd.openxmlformats-officedocument.spreadsheetml.worksheet+xml" PartName="/xl/worksheets/sheet19900.xml"/>
  <Override ContentType="application/vnd.openxmlformats-officedocument.spreadsheetml.worksheet+xml" PartName="/xl/worksheets/sheet19901.xml"/>
  <Override ContentType="application/vnd.openxmlformats-officedocument.spreadsheetml.worksheet+xml" PartName="/xl/worksheets/sheet19902.xml"/>
  <Override ContentType="application/vnd.openxmlformats-officedocument.spreadsheetml.worksheet+xml" PartName="/xl/worksheets/sheet19903.xml"/>
  <Override ContentType="application/vnd.openxmlformats-officedocument.spreadsheetml.worksheet+xml" PartName="/xl/worksheets/sheet19904.xml"/>
  <Override ContentType="application/vnd.openxmlformats-officedocument.spreadsheetml.worksheet+xml" PartName="/xl/worksheets/sheet19905.xml"/>
  <Override ContentType="application/vnd.openxmlformats-officedocument.spreadsheetml.worksheet+xml" PartName="/xl/worksheets/sheet19906.xml"/>
  <Override ContentType="application/vnd.openxmlformats-officedocument.spreadsheetml.worksheet+xml" PartName="/xl/worksheets/sheet19907.xml"/>
  <Override ContentType="application/vnd.openxmlformats-officedocument.spreadsheetml.worksheet+xml" PartName="/xl/worksheets/sheet19908.xml"/>
  <Override ContentType="application/vnd.openxmlformats-officedocument.spreadsheetml.worksheet+xml" PartName="/xl/worksheets/sheet19909.xml"/>
  <Override ContentType="application/vnd.openxmlformats-officedocument.spreadsheetml.worksheet+xml" PartName="/xl/worksheets/sheet19910.xml"/>
  <Override ContentType="application/vnd.openxmlformats-officedocument.spreadsheetml.worksheet+xml" PartName="/xl/worksheets/sheet19911.xml"/>
  <Override ContentType="application/vnd.openxmlformats-officedocument.spreadsheetml.worksheet+xml" PartName="/xl/worksheets/sheet19912.xml"/>
  <Override ContentType="application/vnd.openxmlformats-officedocument.spreadsheetml.worksheet+xml" PartName="/xl/worksheets/sheet19913.xml"/>
  <Override ContentType="application/vnd.openxmlformats-officedocument.spreadsheetml.worksheet+xml" PartName="/xl/worksheets/sheet19914.xml"/>
  <Override ContentType="application/vnd.openxmlformats-officedocument.spreadsheetml.worksheet+xml" PartName="/xl/worksheets/sheet19915.xml"/>
  <Override ContentType="application/vnd.openxmlformats-officedocument.spreadsheetml.worksheet+xml" PartName="/xl/worksheets/sheet19916.xml"/>
  <Override ContentType="application/vnd.openxmlformats-officedocument.spreadsheetml.worksheet+xml" PartName="/xl/worksheets/sheet19917.xml"/>
  <Override ContentType="application/vnd.openxmlformats-officedocument.spreadsheetml.worksheet+xml" PartName="/xl/worksheets/sheet19918.xml"/>
  <Override ContentType="application/vnd.openxmlformats-officedocument.spreadsheetml.worksheet+xml" PartName="/xl/worksheets/sheet19919.xml"/>
  <Override ContentType="application/vnd.openxmlformats-officedocument.spreadsheetml.worksheet+xml" PartName="/xl/worksheets/sheet19920.xml"/>
  <Override ContentType="application/vnd.openxmlformats-officedocument.spreadsheetml.worksheet+xml" PartName="/xl/worksheets/sheet19921.xml"/>
  <Override ContentType="application/vnd.openxmlformats-officedocument.spreadsheetml.worksheet+xml" PartName="/xl/worksheets/sheet19922.xml"/>
  <Override ContentType="application/vnd.openxmlformats-officedocument.spreadsheetml.worksheet+xml" PartName="/xl/worksheets/sheet19923.xml"/>
  <Override ContentType="application/vnd.openxmlformats-officedocument.spreadsheetml.worksheet+xml" PartName="/xl/worksheets/sheet19924.xml"/>
  <Override ContentType="application/vnd.openxmlformats-officedocument.spreadsheetml.worksheet+xml" PartName="/xl/worksheets/sheet19925.xml"/>
  <Override ContentType="application/vnd.openxmlformats-officedocument.spreadsheetml.worksheet+xml" PartName="/xl/worksheets/sheet19926.xml"/>
  <Override ContentType="application/vnd.openxmlformats-officedocument.spreadsheetml.worksheet+xml" PartName="/xl/worksheets/sheet19927.xml"/>
  <Override ContentType="application/vnd.openxmlformats-officedocument.spreadsheetml.worksheet+xml" PartName="/xl/worksheets/sheet19928.xml"/>
  <Override ContentType="application/vnd.openxmlformats-officedocument.spreadsheetml.worksheet+xml" PartName="/xl/worksheets/sheet19929.xml"/>
  <Override ContentType="application/vnd.openxmlformats-officedocument.spreadsheetml.worksheet+xml" PartName="/xl/worksheets/sheet19930.xml"/>
  <Override ContentType="application/vnd.openxmlformats-officedocument.spreadsheetml.worksheet+xml" PartName="/xl/worksheets/sheet19931.xml"/>
  <Override ContentType="application/vnd.openxmlformats-officedocument.spreadsheetml.worksheet+xml" PartName="/xl/worksheets/sheet19932.xml"/>
  <Override ContentType="application/vnd.openxmlformats-officedocument.spreadsheetml.worksheet+xml" PartName="/xl/worksheets/sheet19933.xml"/>
  <Override ContentType="application/vnd.openxmlformats-officedocument.spreadsheetml.worksheet+xml" PartName="/xl/worksheets/sheet19934.xml"/>
  <Override ContentType="application/vnd.openxmlformats-officedocument.spreadsheetml.worksheet+xml" PartName="/xl/worksheets/sheet19935.xml"/>
  <Override ContentType="application/vnd.openxmlformats-officedocument.spreadsheetml.worksheet+xml" PartName="/xl/worksheets/sheet19936.xml"/>
  <Override ContentType="application/vnd.openxmlformats-officedocument.spreadsheetml.worksheet+xml" PartName="/xl/worksheets/sheet19937.xml"/>
  <Override ContentType="application/vnd.openxmlformats-officedocument.spreadsheetml.worksheet+xml" PartName="/xl/worksheets/sheet19938.xml"/>
  <Override ContentType="application/vnd.openxmlformats-officedocument.spreadsheetml.worksheet+xml" PartName="/xl/worksheets/sheet19939.xml"/>
  <Override ContentType="application/vnd.openxmlformats-officedocument.spreadsheetml.worksheet+xml" PartName="/xl/worksheets/sheet19940.xml"/>
  <Override ContentType="application/vnd.openxmlformats-officedocument.spreadsheetml.worksheet+xml" PartName="/xl/worksheets/sheet19941.xml"/>
  <Override ContentType="application/vnd.openxmlformats-officedocument.spreadsheetml.worksheet+xml" PartName="/xl/worksheets/sheet19942.xml"/>
  <Override ContentType="application/vnd.openxmlformats-officedocument.spreadsheetml.worksheet+xml" PartName="/xl/worksheets/sheet19943.xml"/>
  <Override ContentType="application/vnd.openxmlformats-officedocument.spreadsheetml.worksheet+xml" PartName="/xl/worksheets/sheet19944.xml"/>
  <Override ContentType="application/vnd.openxmlformats-officedocument.spreadsheetml.worksheet+xml" PartName="/xl/worksheets/sheet19945.xml"/>
  <Override ContentType="application/vnd.openxmlformats-officedocument.spreadsheetml.worksheet+xml" PartName="/xl/worksheets/sheet19946.xml"/>
  <Override ContentType="application/vnd.openxmlformats-officedocument.spreadsheetml.worksheet+xml" PartName="/xl/worksheets/sheet19947.xml"/>
  <Override ContentType="application/vnd.openxmlformats-officedocument.spreadsheetml.worksheet+xml" PartName="/xl/worksheets/sheet19948.xml"/>
  <Override ContentType="application/vnd.openxmlformats-officedocument.spreadsheetml.worksheet+xml" PartName="/xl/worksheets/sheet19949.xml"/>
  <Override ContentType="application/vnd.openxmlformats-officedocument.spreadsheetml.worksheet+xml" PartName="/xl/worksheets/sheet19950.xml"/>
  <Override ContentType="application/vnd.openxmlformats-officedocument.spreadsheetml.worksheet+xml" PartName="/xl/worksheets/sheet19951.xml"/>
  <Override ContentType="application/vnd.openxmlformats-officedocument.spreadsheetml.worksheet+xml" PartName="/xl/worksheets/sheet19952.xml"/>
  <Override ContentType="application/vnd.openxmlformats-officedocument.spreadsheetml.worksheet+xml" PartName="/xl/worksheets/sheet19953.xml"/>
  <Override ContentType="application/vnd.openxmlformats-officedocument.spreadsheetml.worksheet+xml" PartName="/xl/worksheets/sheet19954.xml"/>
  <Override ContentType="application/vnd.openxmlformats-officedocument.spreadsheetml.worksheet+xml" PartName="/xl/worksheets/sheet19955.xml"/>
  <Override ContentType="application/vnd.openxmlformats-officedocument.spreadsheetml.worksheet+xml" PartName="/xl/worksheets/sheet19956.xml"/>
  <Override ContentType="application/vnd.openxmlformats-officedocument.spreadsheetml.worksheet+xml" PartName="/xl/worksheets/sheet19957.xml"/>
  <Override ContentType="application/vnd.openxmlformats-officedocument.spreadsheetml.worksheet+xml" PartName="/xl/worksheets/sheet19958.xml"/>
  <Override ContentType="application/vnd.openxmlformats-officedocument.spreadsheetml.worksheet+xml" PartName="/xl/worksheets/sheet19959.xml"/>
  <Override ContentType="application/vnd.openxmlformats-officedocument.spreadsheetml.worksheet+xml" PartName="/xl/worksheets/sheet19960.xml"/>
  <Override ContentType="application/vnd.openxmlformats-officedocument.spreadsheetml.worksheet+xml" PartName="/xl/worksheets/sheet19961.xml"/>
  <Override ContentType="application/vnd.openxmlformats-officedocument.spreadsheetml.worksheet+xml" PartName="/xl/worksheets/sheet19962.xml"/>
  <Override ContentType="application/vnd.openxmlformats-officedocument.spreadsheetml.worksheet+xml" PartName="/xl/worksheets/sheet19963.xml"/>
  <Override ContentType="application/vnd.openxmlformats-officedocument.spreadsheetml.worksheet+xml" PartName="/xl/worksheets/sheet19964.xml"/>
  <Override ContentType="application/vnd.openxmlformats-officedocument.spreadsheetml.worksheet+xml" PartName="/xl/worksheets/sheet19965.xml"/>
  <Override ContentType="application/vnd.openxmlformats-officedocument.spreadsheetml.worksheet+xml" PartName="/xl/worksheets/sheet19966.xml"/>
  <Override ContentType="application/vnd.openxmlformats-officedocument.spreadsheetml.worksheet+xml" PartName="/xl/worksheets/sheet19967.xml"/>
  <Override ContentType="application/vnd.openxmlformats-officedocument.spreadsheetml.worksheet+xml" PartName="/xl/worksheets/sheet19968.xml"/>
  <Override ContentType="application/vnd.openxmlformats-officedocument.spreadsheetml.worksheet+xml" PartName="/xl/worksheets/sheet19969.xml"/>
  <Override ContentType="application/vnd.openxmlformats-officedocument.spreadsheetml.worksheet+xml" PartName="/xl/worksheets/sheet19970.xml"/>
  <Override ContentType="application/vnd.openxmlformats-officedocument.spreadsheetml.worksheet+xml" PartName="/xl/worksheets/sheet19971.xml"/>
  <Override ContentType="application/vnd.openxmlformats-officedocument.spreadsheetml.worksheet+xml" PartName="/xl/worksheets/sheet19972.xml"/>
  <Override ContentType="application/vnd.openxmlformats-officedocument.spreadsheetml.worksheet+xml" PartName="/xl/worksheets/sheet19973.xml"/>
  <Override ContentType="application/vnd.openxmlformats-officedocument.spreadsheetml.worksheet+xml" PartName="/xl/worksheets/sheet19974.xml"/>
  <Override ContentType="application/vnd.openxmlformats-officedocument.spreadsheetml.worksheet+xml" PartName="/xl/worksheets/sheet19975.xml"/>
  <Override ContentType="application/vnd.openxmlformats-officedocument.spreadsheetml.worksheet+xml" PartName="/xl/worksheets/sheet19976.xml"/>
  <Override ContentType="application/vnd.openxmlformats-officedocument.spreadsheetml.worksheet+xml" PartName="/xl/worksheets/sheet19977.xml"/>
  <Override ContentType="application/vnd.openxmlformats-officedocument.spreadsheetml.worksheet+xml" PartName="/xl/worksheets/sheet19978.xml"/>
  <Override ContentType="application/vnd.openxmlformats-officedocument.spreadsheetml.worksheet+xml" PartName="/xl/worksheets/sheet19979.xml"/>
  <Override ContentType="application/vnd.openxmlformats-officedocument.spreadsheetml.worksheet+xml" PartName="/xl/worksheets/sheet19980.xml"/>
  <Override ContentType="application/vnd.openxmlformats-officedocument.spreadsheetml.worksheet+xml" PartName="/xl/worksheets/sheet19981.xml"/>
  <Override ContentType="application/vnd.openxmlformats-officedocument.spreadsheetml.worksheet+xml" PartName="/xl/worksheets/sheet19982.xml"/>
  <Override ContentType="application/vnd.openxmlformats-officedocument.spreadsheetml.worksheet+xml" PartName="/xl/worksheets/sheet19983.xml"/>
  <Override ContentType="application/vnd.openxmlformats-officedocument.spreadsheetml.worksheet+xml" PartName="/xl/worksheets/sheet19984.xml"/>
  <Override ContentType="application/vnd.openxmlformats-officedocument.spreadsheetml.worksheet+xml" PartName="/xl/worksheets/sheet19985.xml"/>
  <Override ContentType="application/vnd.openxmlformats-officedocument.spreadsheetml.worksheet+xml" PartName="/xl/worksheets/sheet19986.xml"/>
  <Override ContentType="application/vnd.openxmlformats-officedocument.spreadsheetml.worksheet+xml" PartName="/xl/worksheets/sheet19987.xml"/>
  <Override ContentType="application/vnd.openxmlformats-officedocument.spreadsheetml.worksheet+xml" PartName="/xl/worksheets/sheet19988.xml"/>
  <Override ContentType="application/vnd.openxmlformats-officedocument.spreadsheetml.worksheet+xml" PartName="/xl/worksheets/sheet19989.xml"/>
  <Override ContentType="application/vnd.openxmlformats-officedocument.spreadsheetml.worksheet+xml" PartName="/xl/worksheets/sheet19990.xml"/>
  <Override ContentType="application/vnd.openxmlformats-officedocument.spreadsheetml.worksheet+xml" PartName="/xl/worksheets/sheet19991.xml"/>
  <Override ContentType="application/vnd.openxmlformats-officedocument.spreadsheetml.worksheet+xml" PartName="/xl/worksheets/sheet19992.xml"/>
  <Override ContentType="application/vnd.openxmlformats-officedocument.spreadsheetml.worksheet+xml" PartName="/xl/worksheets/sheet19993.xml"/>
  <Override ContentType="application/vnd.openxmlformats-officedocument.spreadsheetml.worksheet+xml" PartName="/xl/worksheets/sheet19994.xml"/>
  <Override ContentType="application/vnd.openxmlformats-officedocument.spreadsheetml.worksheet+xml" PartName="/xl/worksheets/sheet19995.xml"/>
  <Override ContentType="application/vnd.openxmlformats-officedocument.spreadsheetml.worksheet+xml" PartName="/xl/worksheets/sheet19996.xml"/>
  <Override ContentType="application/vnd.openxmlformats-officedocument.spreadsheetml.worksheet+xml" PartName="/xl/worksheets/sheet19997.xml"/>
  <Override ContentType="application/vnd.openxmlformats-officedocument.spreadsheetml.worksheet+xml" PartName="/xl/worksheets/sheet19998.xml"/>
  <Override ContentType="application/vnd.openxmlformats-officedocument.spreadsheetml.worksheet+xml" PartName="/xl/worksheets/sheet19999.xml"/>
  <Override ContentType="application/vnd.openxmlformats-officedocument.spreadsheetml.worksheet+xml" PartName="/xl/worksheets/sheet20000.xml"/>
  <Override ContentType="application/vnd.openxmlformats-officedocument.spreadsheetml.worksheet+xml" PartName="/xl/worksheets/sheet20001.xml"/>
  <Override ContentType="application/vnd.openxmlformats-officedocument.spreadsheetml.worksheet+xml" PartName="/xl/worksheets/sheet20002.xml"/>
  <Override ContentType="application/vnd.openxmlformats-officedocument.spreadsheetml.worksheet+xml" PartName="/xl/worksheets/sheet20003.xml"/>
  <Override ContentType="application/vnd.openxmlformats-officedocument.spreadsheetml.worksheet+xml" PartName="/xl/worksheets/sheet20004.xml"/>
  <Override ContentType="application/vnd.openxmlformats-officedocument.spreadsheetml.worksheet+xml" PartName="/xl/worksheets/sheet20005.xml"/>
  <Override ContentType="application/vnd.openxmlformats-officedocument.spreadsheetml.worksheet+xml" PartName="/xl/worksheets/sheet20006.xml"/>
  <Override ContentType="application/vnd.openxmlformats-officedocument.spreadsheetml.worksheet+xml" PartName="/xl/worksheets/sheet20007.xml"/>
  <Override ContentType="application/vnd.openxmlformats-officedocument.spreadsheetml.worksheet+xml" PartName="/xl/worksheets/sheet20008.xml"/>
  <Override ContentType="application/vnd.openxmlformats-officedocument.spreadsheetml.worksheet+xml" PartName="/xl/worksheets/sheet20009.xml"/>
  <Override ContentType="application/vnd.openxmlformats-officedocument.spreadsheetml.worksheet+xml" PartName="/xl/worksheets/sheet20010.xml"/>
  <Override ContentType="application/vnd.openxmlformats-officedocument.spreadsheetml.worksheet+xml" PartName="/xl/worksheets/sheet20011.xml"/>
  <Override ContentType="application/vnd.openxmlformats-officedocument.spreadsheetml.worksheet+xml" PartName="/xl/worksheets/sheet20012.xml"/>
  <Override ContentType="application/vnd.openxmlformats-officedocument.spreadsheetml.worksheet+xml" PartName="/xl/worksheets/sheet20013.xml"/>
  <Override ContentType="application/vnd.openxmlformats-officedocument.spreadsheetml.worksheet+xml" PartName="/xl/worksheets/sheet20014.xml"/>
  <Override ContentType="application/vnd.openxmlformats-officedocument.spreadsheetml.worksheet+xml" PartName="/xl/worksheets/sheet20015.xml"/>
  <Override ContentType="application/vnd.openxmlformats-officedocument.spreadsheetml.worksheet+xml" PartName="/xl/worksheets/sheet20016.xml"/>
  <Override ContentType="application/vnd.openxmlformats-officedocument.spreadsheetml.worksheet+xml" PartName="/xl/worksheets/sheet20017.xml"/>
  <Override ContentType="application/vnd.openxmlformats-officedocument.spreadsheetml.worksheet+xml" PartName="/xl/worksheets/sheet20018.xml"/>
  <Override ContentType="application/vnd.openxmlformats-officedocument.spreadsheetml.worksheet+xml" PartName="/xl/worksheets/sheet20019.xml"/>
  <Override ContentType="application/vnd.openxmlformats-officedocument.spreadsheetml.worksheet+xml" PartName="/xl/worksheets/sheet20020.xml"/>
  <Override ContentType="application/vnd.openxmlformats-officedocument.spreadsheetml.worksheet+xml" PartName="/xl/worksheets/sheet20021.xml"/>
  <Override ContentType="application/vnd.openxmlformats-officedocument.spreadsheetml.worksheet+xml" PartName="/xl/worksheets/sheet20022.xml"/>
  <Override ContentType="application/vnd.openxmlformats-officedocument.spreadsheetml.worksheet+xml" PartName="/xl/worksheets/sheet20023.xml"/>
  <Override ContentType="application/vnd.openxmlformats-officedocument.spreadsheetml.worksheet+xml" PartName="/xl/worksheets/sheet20024.xml"/>
  <Override ContentType="application/vnd.openxmlformats-officedocument.spreadsheetml.worksheet+xml" PartName="/xl/worksheets/sheet20025.xml"/>
  <Override ContentType="application/vnd.openxmlformats-officedocument.spreadsheetml.worksheet+xml" PartName="/xl/worksheets/sheet20026.xml"/>
  <Override ContentType="application/vnd.openxmlformats-officedocument.spreadsheetml.worksheet+xml" PartName="/xl/worksheets/sheet20027.xml"/>
  <Override ContentType="application/vnd.openxmlformats-officedocument.spreadsheetml.worksheet+xml" PartName="/xl/worksheets/sheet20028.xml"/>
  <Override ContentType="application/vnd.openxmlformats-officedocument.spreadsheetml.worksheet+xml" PartName="/xl/worksheets/sheet20029.xml"/>
  <Override ContentType="application/vnd.openxmlformats-officedocument.spreadsheetml.worksheet+xml" PartName="/xl/worksheets/sheet20030.xml"/>
  <Override ContentType="application/vnd.openxmlformats-officedocument.spreadsheetml.worksheet+xml" PartName="/xl/worksheets/sheet20031.xml"/>
  <Override ContentType="application/vnd.openxmlformats-officedocument.spreadsheetml.worksheet+xml" PartName="/xl/worksheets/sheet20032.xml"/>
  <Override ContentType="application/vnd.openxmlformats-officedocument.spreadsheetml.worksheet+xml" PartName="/xl/worksheets/sheet20033.xml"/>
  <Override ContentType="application/vnd.openxmlformats-officedocument.spreadsheetml.worksheet+xml" PartName="/xl/worksheets/sheet20034.xml"/>
  <Override ContentType="application/vnd.openxmlformats-officedocument.spreadsheetml.worksheet+xml" PartName="/xl/worksheets/sheet20035.xml"/>
  <Override ContentType="application/vnd.openxmlformats-officedocument.spreadsheetml.worksheet+xml" PartName="/xl/worksheets/sheet20036.xml"/>
  <Override ContentType="application/vnd.openxmlformats-officedocument.spreadsheetml.worksheet+xml" PartName="/xl/worksheets/sheet20037.xml"/>
  <Override ContentType="application/vnd.openxmlformats-officedocument.spreadsheetml.worksheet+xml" PartName="/xl/worksheets/sheet20038.xml"/>
  <Override ContentType="application/vnd.openxmlformats-officedocument.spreadsheetml.worksheet+xml" PartName="/xl/worksheets/sheet20039.xml"/>
  <Override ContentType="application/vnd.openxmlformats-officedocument.spreadsheetml.worksheet+xml" PartName="/xl/worksheets/sheet20040.xml"/>
  <Override ContentType="application/vnd.openxmlformats-officedocument.spreadsheetml.worksheet+xml" PartName="/xl/worksheets/sheet20041.xml"/>
  <Override ContentType="application/vnd.openxmlformats-officedocument.spreadsheetml.worksheet+xml" PartName="/xl/worksheets/sheet20042.xml"/>
  <Override ContentType="application/vnd.openxmlformats-officedocument.spreadsheetml.worksheet+xml" PartName="/xl/worksheets/sheet20043.xml"/>
  <Override ContentType="application/vnd.openxmlformats-officedocument.spreadsheetml.worksheet+xml" PartName="/xl/worksheets/sheet20044.xml"/>
  <Override ContentType="application/vnd.openxmlformats-officedocument.spreadsheetml.worksheet+xml" PartName="/xl/worksheets/sheet20045.xml"/>
  <Override ContentType="application/vnd.openxmlformats-officedocument.spreadsheetml.worksheet+xml" PartName="/xl/worksheets/sheet20046.xml"/>
  <Override ContentType="application/vnd.openxmlformats-officedocument.spreadsheetml.worksheet+xml" PartName="/xl/worksheets/sheet20047.xml"/>
  <Override ContentType="application/vnd.openxmlformats-officedocument.spreadsheetml.worksheet+xml" PartName="/xl/worksheets/sheet20048.xml"/>
  <Override ContentType="application/vnd.openxmlformats-officedocument.spreadsheetml.worksheet+xml" PartName="/xl/worksheets/sheet20049.xml"/>
  <Override ContentType="application/vnd.openxmlformats-officedocument.spreadsheetml.worksheet+xml" PartName="/xl/worksheets/sheet20050.xml"/>
  <Override ContentType="application/vnd.openxmlformats-officedocument.spreadsheetml.worksheet+xml" PartName="/xl/worksheets/sheet20051.xml"/>
  <Override ContentType="application/vnd.openxmlformats-officedocument.spreadsheetml.worksheet+xml" PartName="/xl/worksheets/sheet20052.xml"/>
  <Override ContentType="application/vnd.openxmlformats-officedocument.spreadsheetml.worksheet+xml" PartName="/xl/worksheets/sheet20053.xml"/>
  <Override ContentType="application/vnd.openxmlformats-officedocument.spreadsheetml.worksheet+xml" PartName="/xl/worksheets/sheet20054.xml"/>
  <Override ContentType="application/vnd.openxmlformats-officedocument.spreadsheetml.worksheet+xml" PartName="/xl/worksheets/sheet20055.xml"/>
  <Override ContentType="application/vnd.openxmlformats-officedocument.spreadsheetml.worksheet+xml" PartName="/xl/worksheets/sheet20056.xml"/>
  <Override ContentType="application/vnd.openxmlformats-officedocument.spreadsheetml.worksheet+xml" PartName="/xl/worksheets/sheet20057.xml"/>
  <Override ContentType="application/vnd.openxmlformats-officedocument.spreadsheetml.worksheet+xml" PartName="/xl/worksheets/sheet20058.xml"/>
  <Override ContentType="application/vnd.openxmlformats-officedocument.spreadsheetml.worksheet+xml" PartName="/xl/worksheets/sheet20059.xml"/>
  <Override ContentType="application/vnd.openxmlformats-officedocument.spreadsheetml.worksheet+xml" PartName="/xl/worksheets/sheet20060.xml"/>
  <Override ContentType="application/vnd.openxmlformats-officedocument.spreadsheetml.worksheet+xml" PartName="/xl/worksheets/sheet20061.xml"/>
  <Override ContentType="application/vnd.openxmlformats-officedocument.spreadsheetml.worksheet+xml" PartName="/xl/worksheets/sheet20062.xml"/>
  <Override ContentType="application/vnd.openxmlformats-officedocument.spreadsheetml.worksheet+xml" PartName="/xl/worksheets/sheet20063.xml"/>
  <Override ContentType="application/vnd.openxmlformats-officedocument.spreadsheetml.worksheet+xml" PartName="/xl/worksheets/sheet20064.xml"/>
  <Override ContentType="application/vnd.openxmlformats-officedocument.spreadsheetml.worksheet+xml" PartName="/xl/worksheets/sheet20065.xml"/>
  <Override ContentType="application/vnd.openxmlformats-officedocument.spreadsheetml.worksheet+xml" PartName="/xl/worksheets/sheet20066.xml"/>
  <Override ContentType="application/vnd.openxmlformats-officedocument.spreadsheetml.worksheet+xml" PartName="/xl/worksheets/sheet20067.xml"/>
  <Override ContentType="application/vnd.openxmlformats-officedocument.spreadsheetml.worksheet+xml" PartName="/xl/worksheets/sheet20068.xml"/>
  <Override ContentType="application/vnd.openxmlformats-officedocument.spreadsheetml.worksheet+xml" PartName="/xl/worksheets/sheet20069.xml"/>
  <Override ContentType="application/vnd.openxmlformats-officedocument.spreadsheetml.worksheet+xml" PartName="/xl/worksheets/sheet20070.xml"/>
  <Override ContentType="application/vnd.openxmlformats-officedocument.spreadsheetml.worksheet+xml" PartName="/xl/worksheets/sheet20071.xml"/>
  <Override ContentType="application/vnd.openxmlformats-officedocument.spreadsheetml.worksheet+xml" PartName="/xl/worksheets/sheet20072.xml"/>
  <Override ContentType="application/vnd.openxmlformats-officedocument.spreadsheetml.worksheet+xml" PartName="/xl/worksheets/sheet20073.xml"/>
  <Override ContentType="application/vnd.openxmlformats-officedocument.spreadsheetml.worksheet+xml" PartName="/xl/worksheets/sheet20074.xml"/>
  <Override ContentType="application/vnd.openxmlformats-officedocument.spreadsheetml.worksheet+xml" PartName="/xl/worksheets/sheet20075.xml"/>
  <Override ContentType="application/vnd.openxmlformats-officedocument.spreadsheetml.worksheet+xml" PartName="/xl/worksheets/sheet20076.xml"/>
  <Override ContentType="application/vnd.openxmlformats-officedocument.spreadsheetml.worksheet+xml" PartName="/xl/worksheets/sheet20077.xml"/>
  <Override ContentType="application/vnd.openxmlformats-officedocument.spreadsheetml.worksheet+xml" PartName="/xl/worksheets/sheet20078.xml"/>
  <Override ContentType="application/vnd.openxmlformats-officedocument.spreadsheetml.worksheet+xml" PartName="/xl/worksheets/sheet20079.xml"/>
  <Override ContentType="application/vnd.openxmlformats-officedocument.spreadsheetml.worksheet+xml" PartName="/xl/worksheets/sheet20080.xml"/>
  <Override ContentType="application/vnd.openxmlformats-officedocument.spreadsheetml.worksheet+xml" PartName="/xl/worksheets/sheet20081.xml"/>
  <Override ContentType="application/vnd.openxmlformats-officedocument.spreadsheetml.worksheet+xml" PartName="/xl/worksheets/sheet20082.xml"/>
  <Override ContentType="application/vnd.openxmlformats-officedocument.spreadsheetml.worksheet+xml" PartName="/xl/worksheets/sheet20083.xml"/>
  <Override ContentType="application/vnd.openxmlformats-officedocument.spreadsheetml.worksheet+xml" PartName="/xl/worksheets/sheet20084.xml"/>
  <Override ContentType="application/vnd.openxmlformats-officedocument.spreadsheetml.worksheet+xml" PartName="/xl/worksheets/sheet20085.xml"/>
  <Override ContentType="application/vnd.openxmlformats-officedocument.spreadsheetml.worksheet+xml" PartName="/xl/worksheets/sheet20086.xml"/>
  <Override ContentType="application/vnd.openxmlformats-officedocument.spreadsheetml.worksheet+xml" PartName="/xl/worksheets/sheet20087.xml"/>
  <Override ContentType="application/vnd.openxmlformats-officedocument.spreadsheetml.worksheet+xml" PartName="/xl/worksheets/sheet20088.xml"/>
  <Override ContentType="application/vnd.openxmlformats-officedocument.spreadsheetml.worksheet+xml" PartName="/xl/worksheets/sheet20089.xml"/>
  <Override ContentType="application/vnd.openxmlformats-officedocument.spreadsheetml.worksheet+xml" PartName="/xl/worksheets/sheet20090.xml"/>
  <Override ContentType="application/vnd.openxmlformats-officedocument.spreadsheetml.worksheet+xml" PartName="/xl/worksheets/sheet20091.xml"/>
  <Override ContentType="application/vnd.openxmlformats-officedocument.spreadsheetml.worksheet+xml" PartName="/xl/worksheets/sheet20092.xml"/>
  <Override ContentType="application/vnd.openxmlformats-officedocument.spreadsheetml.worksheet+xml" PartName="/xl/worksheets/sheet20093.xml"/>
  <Override ContentType="application/vnd.openxmlformats-officedocument.spreadsheetml.worksheet+xml" PartName="/xl/worksheets/sheet20094.xml"/>
  <Override ContentType="application/vnd.openxmlformats-officedocument.spreadsheetml.worksheet+xml" PartName="/xl/worksheets/sheet20095.xml"/>
  <Override ContentType="application/vnd.openxmlformats-officedocument.spreadsheetml.worksheet+xml" PartName="/xl/worksheets/sheet20096.xml"/>
  <Override ContentType="application/vnd.openxmlformats-officedocument.spreadsheetml.worksheet+xml" PartName="/xl/worksheets/sheet20097.xml"/>
  <Override ContentType="application/vnd.openxmlformats-officedocument.spreadsheetml.worksheet+xml" PartName="/xl/worksheets/sheet20098.xml"/>
  <Override ContentType="application/vnd.openxmlformats-officedocument.spreadsheetml.worksheet+xml" PartName="/xl/worksheets/sheet20099.xml"/>
  <Override ContentType="application/vnd.openxmlformats-officedocument.spreadsheetml.worksheet+xml" PartName="/xl/worksheets/sheet20100.xml"/>
  <Override ContentType="application/vnd.openxmlformats-officedocument.spreadsheetml.worksheet+xml" PartName="/xl/worksheets/sheet20101.xml"/>
  <Override ContentType="application/vnd.openxmlformats-officedocument.spreadsheetml.worksheet+xml" PartName="/xl/worksheets/sheet20102.xml"/>
  <Override ContentType="application/vnd.openxmlformats-officedocument.spreadsheetml.worksheet+xml" PartName="/xl/worksheets/sheet20103.xml"/>
  <Override ContentType="application/vnd.openxmlformats-officedocument.spreadsheetml.worksheet+xml" PartName="/xl/worksheets/sheet20104.xml"/>
  <Override ContentType="application/vnd.openxmlformats-officedocument.spreadsheetml.worksheet+xml" PartName="/xl/worksheets/sheet20105.xml"/>
  <Override ContentType="application/vnd.openxmlformats-officedocument.spreadsheetml.worksheet+xml" PartName="/xl/worksheets/sheet20106.xml"/>
  <Override ContentType="application/vnd.openxmlformats-officedocument.spreadsheetml.worksheet+xml" PartName="/xl/worksheets/sheet20107.xml"/>
  <Override ContentType="application/vnd.openxmlformats-officedocument.spreadsheetml.worksheet+xml" PartName="/xl/worksheets/sheet20108.xml"/>
  <Override ContentType="application/vnd.openxmlformats-officedocument.spreadsheetml.worksheet+xml" PartName="/xl/worksheets/sheet20109.xml"/>
  <Override ContentType="application/vnd.openxmlformats-officedocument.spreadsheetml.worksheet+xml" PartName="/xl/worksheets/sheet20110.xml"/>
  <Override ContentType="application/vnd.openxmlformats-officedocument.spreadsheetml.worksheet+xml" PartName="/xl/worksheets/sheet20111.xml"/>
  <Override ContentType="application/vnd.openxmlformats-officedocument.spreadsheetml.worksheet+xml" PartName="/xl/worksheets/sheet20112.xml"/>
  <Override ContentType="application/vnd.openxmlformats-officedocument.spreadsheetml.worksheet+xml" PartName="/xl/worksheets/sheet20113.xml"/>
  <Override ContentType="application/vnd.openxmlformats-officedocument.spreadsheetml.worksheet+xml" PartName="/xl/worksheets/sheet20114.xml"/>
  <Override ContentType="application/vnd.openxmlformats-officedocument.spreadsheetml.worksheet+xml" PartName="/xl/worksheets/sheet20115.xml"/>
  <Override ContentType="application/vnd.openxmlformats-officedocument.spreadsheetml.worksheet+xml" PartName="/xl/worksheets/sheet20116.xml"/>
  <Override ContentType="application/vnd.openxmlformats-officedocument.spreadsheetml.worksheet+xml" PartName="/xl/worksheets/sheet20117.xml"/>
  <Override ContentType="application/vnd.openxmlformats-officedocument.spreadsheetml.worksheet+xml" PartName="/xl/worksheets/sheet20118.xml"/>
  <Override ContentType="application/vnd.openxmlformats-officedocument.spreadsheetml.worksheet+xml" PartName="/xl/worksheets/sheet20119.xml"/>
  <Override ContentType="application/vnd.openxmlformats-officedocument.spreadsheetml.worksheet+xml" PartName="/xl/worksheets/sheet20120.xml"/>
  <Override ContentType="application/vnd.openxmlformats-officedocument.spreadsheetml.worksheet+xml" PartName="/xl/worksheets/sheet20121.xml"/>
  <Override ContentType="application/vnd.openxmlformats-officedocument.spreadsheetml.worksheet+xml" PartName="/xl/worksheets/sheet20122.xml"/>
  <Override ContentType="application/vnd.openxmlformats-officedocument.spreadsheetml.worksheet+xml" PartName="/xl/worksheets/sheet20123.xml"/>
  <Override ContentType="application/vnd.openxmlformats-officedocument.spreadsheetml.worksheet+xml" PartName="/xl/worksheets/sheet20124.xml"/>
  <Override ContentType="application/vnd.openxmlformats-officedocument.spreadsheetml.worksheet+xml" PartName="/xl/worksheets/sheet20125.xml"/>
  <Override ContentType="application/vnd.openxmlformats-officedocument.spreadsheetml.worksheet+xml" PartName="/xl/worksheets/sheet20126.xml"/>
  <Override ContentType="application/vnd.openxmlformats-officedocument.spreadsheetml.worksheet+xml" PartName="/xl/worksheets/sheet20127.xml"/>
  <Override ContentType="application/vnd.openxmlformats-officedocument.spreadsheetml.worksheet+xml" PartName="/xl/worksheets/sheet20128.xml"/>
  <Override ContentType="application/vnd.openxmlformats-officedocument.spreadsheetml.worksheet+xml" PartName="/xl/worksheets/sheet20129.xml"/>
  <Override ContentType="application/vnd.openxmlformats-officedocument.spreadsheetml.worksheet+xml" PartName="/xl/worksheets/sheet20130.xml"/>
  <Override ContentType="application/vnd.openxmlformats-officedocument.spreadsheetml.worksheet+xml" PartName="/xl/worksheets/sheet20131.xml"/>
  <Override ContentType="application/vnd.openxmlformats-officedocument.spreadsheetml.worksheet+xml" PartName="/xl/worksheets/sheet20132.xml"/>
  <Override ContentType="application/vnd.openxmlformats-officedocument.spreadsheetml.worksheet+xml" PartName="/xl/worksheets/sheet20133.xml"/>
  <Override ContentType="application/vnd.openxmlformats-officedocument.spreadsheetml.worksheet+xml" PartName="/xl/worksheets/sheet20134.xml"/>
  <Override ContentType="application/vnd.openxmlformats-officedocument.spreadsheetml.worksheet+xml" PartName="/xl/worksheets/sheet20135.xml"/>
  <Override ContentType="application/vnd.openxmlformats-officedocument.spreadsheetml.worksheet+xml" PartName="/xl/worksheets/sheet20136.xml"/>
  <Override ContentType="application/vnd.openxmlformats-officedocument.spreadsheetml.worksheet+xml" PartName="/xl/worksheets/sheet20137.xml"/>
  <Override ContentType="application/vnd.openxmlformats-officedocument.spreadsheetml.worksheet+xml" PartName="/xl/worksheets/sheet20138.xml"/>
  <Override ContentType="application/vnd.openxmlformats-officedocument.spreadsheetml.worksheet+xml" PartName="/xl/worksheets/sheet20139.xml"/>
  <Override ContentType="application/vnd.openxmlformats-officedocument.spreadsheetml.worksheet+xml" PartName="/xl/worksheets/sheet20140.xml"/>
  <Override ContentType="application/vnd.openxmlformats-officedocument.spreadsheetml.worksheet+xml" PartName="/xl/worksheets/sheet20141.xml"/>
  <Override ContentType="application/vnd.openxmlformats-officedocument.spreadsheetml.worksheet+xml" PartName="/xl/worksheets/sheet20142.xml"/>
  <Override ContentType="application/vnd.openxmlformats-officedocument.spreadsheetml.worksheet+xml" PartName="/xl/worksheets/sheet20143.xml"/>
  <Override ContentType="application/vnd.openxmlformats-officedocument.spreadsheetml.worksheet+xml" PartName="/xl/worksheets/sheet20144.xml"/>
  <Override ContentType="application/vnd.openxmlformats-officedocument.spreadsheetml.worksheet+xml" PartName="/xl/worksheets/sheet20145.xml"/>
  <Override ContentType="application/vnd.openxmlformats-officedocument.spreadsheetml.worksheet+xml" PartName="/xl/worksheets/sheet20146.xml"/>
  <Override ContentType="application/vnd.openxmlformats-officedocument.spreadsheetml.worksheet+xml" PartName="/xl/worksheets/sheet20147.xml"/>
  <Override ContentType="application/vnd.openxmlformats-officedocument.spreadsheetml.worksheet+xml" PartName="/xl/worksheets/sheet20148.xml"/>
  <Override ContentType="application/vnd.openxmlformats-officedocument.spreadsheetml.worksheet+xml" PartName="/xl/worksheets/sheet20149.xml"/>
  <Override ContentType="application/vnd.openxmlformats-officedocument.spreadsheetml.worksheet+xml" PartName="/xl/worksheets/sheet20150.xml"/>
  <Override ContentType="application/vnd.openxmlformats-officedocument.spreadsheetml.worksheet+xml" PartName="/xl/worksheets/sheet20151.xml"/>
  <Override ContentType="application/vnd.openxmlformats-officedocument.spreadsheetml.worksheet+xml" PartName="/xl/worksheets/sheet20152.xml"/>
  <Override ContentType="application/vnd.openxmlformats-officedocument.spreadsheetml.worksheet+xml" PartName="/xl/worksheets/sheet20153.xml"/>
  <Override ContentType="application/vnd.openxmlformats-officedocument.spreadsheetml.worksheet+xml" PartName="/xl/worksheets/sheet20154.xml"/>
  <Override ContentType="application/vnd.openxmlformats-officedocument.spreadsheetml.worksheet+xml" PartName="/xl/worksheets/sheet20155.xml"/>
  <Override ContentType="application/vnd.openxmlformats-officedocument.spreadsheetml.worksheet+xml" PartName="/xl/worksheets/sheet20156.xml"/>
  <Override ContentType="application/vnd.openxmlformats-officedocument.spreadsheetml.worksheet+xml" PartName="/xl/worksheets/sheet20157.xml"/>
  <Override ContentType="application/vnd.openxmlformats-officedocument.spreadsheetml.worksheet+xml" PartName="/xl/worksheets/sheet20158.xml"/>
  <Override ContentType="application/vnd.openxmlformats-officedocument.spreadsheetml.worksheet+xml" PartName="/xl/worksheets/sheet20159.xml"/>
  <Override ContentType="application/vnd.openxmlformats-officedocument.spreadsheetml.worksheet+xml" PartName="/xl/worksheets/sheet20160.xml"/>
  <Override ContentType="application/vnd.openxmlformats-officedocument.spreadsheetml.worksheet+xml" PartName="/xl/worksheets/sheet20161.xml"/>
  <Override ContentType="application/vnd.openxmlformats-officedocument.spreadsheetml.worksheet+xml" PartName="/xl/worksheets/sheet20162.xml"/>
  <Override ContentType="application/vnd.openxmlformats-officedocument.spreadsheetml.worksheet+xml" PartName="/xl/worksheets/sheet20163.xml"/>
  <Override ContentType="application/vnd.openxmlformats-officedocument.spreadsheetml.worksheet+xml" PartName="/xl/worksheets/sheet20164.xml"/>
  <Override ContentType="application/vnd.openxmlformats-officedocument.spreadsheetml.worksheet+xml" PartName="/xl/worksheets/sheet20165.xml"/>
  <Override ContentType="application/vnd.openxmlformats-officedocument.spreadsheetml.worksheet+xml" PartName="/xl/worksheets/sheet20166.xml"/>
  <Override ContentType="application/vnd.openxmlformats-officedocument.spreadsheetml.worksheet+xml" PartName="/xl/worksheets/sheet20167.xml"/>
  <Override ContentType="application/vnd.openxmlformats-officedocument.spreadsheetml.worksheet+xml" PartName="/xl/worksheets/sheet20168.xml"/>
  <Override ContentType="application/vnd.openxmlformats-officedocument.spreadsheetml.worksheet+xml" PartName="/xl/worksheets/sheet20169.xml"/>
  <Override ContentType="application/vnd.openxmlformats-officedocument.spreadsheetml.worksheet+xml" PartName="/xl/worksheets/sheet20170.xml"/>
  <Override ContentType="application/vnd.openxmlformats-officedocument.spreadsheetml.worksheet+xml" PartName="/xl/worksheets/sheet20171.xml"/>
  <Override ContentType="application/vnd.openxmlformats-officedocument.spreadsheetml.worksheet+xml" PartName="/xl/worksheets/sheet20172.xml"/>
  <Override ContentType="application/vnd.openxmlformats-officedocument.spreadsheetml.worksheet+xml" PartName="/xl/worksheets/sheet20173.xml"/>
  <Override ContentType="application/vnd.openxmlformats-officedocument.spreadsheetml.worksheet+xml" PartName="/xl/worksheets/sheet20174.xml"/>
  <Override ContentType="application/vnd.openxmlformats-officedocument.spreadsheetml.worksheet+xml" PartName="/xl/worksheets/sheet20175.xml"/>
  <Override ContentType="application/vnd.openxmlformats-officedocument.spreadsheetml.worksheet+xml" PartName="/xl/worksheets/sheet20176.xml"/>
  <Override ContentType="application/vnd.openxmlformats-officedocument.spreadsheetml.worksheet+xml" PartName="/xl/worksheets/sheet20177.xml"/>
  <Override ContentType="application/vnd.openxmlformats-officedocument.spreadsheetml.worksheet+xml" PartName="/xl/worksheets/sheet20178.xml"/>
  <Override ContentType="application/vnd.openxmlformats-officedocument.spreadsheetml.worksheet+xml" PartName="/xl/worksheets/sheet20179.xml"/>
  <Override ContentType="application/vnd.openxmlformats-officedocument.spreadsheetml.worksheet+xml" PartName="/xl/worksheets/sheet20180.xml"/>
  <Override ContentType="application/vnd.openxmlformats-officedocument.spreadsheetml.worksheet+xml" PartName="/xl/worksheets/sheet20181.xml"/>
  <Override ContentType="application/vnd.openxmlformats-officedocument.spreadsheetml.worksheet+xml" PartName="/xl/worksheets/sheet20182.xml"/>
  <Override ContentType="application/vnd.openxmlformats-officedocument.spreadsheetml.worksheet+xml" PartName="/xl/worksheets/sheet20183.xml"/>
  <Override ContentType="application/vnd.openxmlformats-officedocument.spreadsheetml.worksheet+xml" PartName="/xl/worksheets/sheet20184.xml"/>
  <Override ContentType="application/vnd.openxmlformats-officedocument.spreadsheetml.worksheet+xml" PartName="/xl/worksheets/sheet20185.xml"/>
  <Override ContentType="application/vnd.openxmlformats-officedocument.spreadsheetml.worksheet+xml" PartName="/xl/worksheets/sheet20186.xml"/>
  <Override ContentType="application/vnd.openxmlformats-officedocument.spreadsheetml.worksheet+xml" PartName="/xl/worksheets/sheet20187.xml"/>
  <Override ContentType="application/vnd.openxmlformats-officedocument.spreadsheetml.worksheet+xml" PartName="/xl/worksheets/sheet20188.xml"/>
  <Override ContentType="application/vnd.openxmlformats-officedocument.spreadsheetml.worksheet+xml" PartName="/xl/worksheets/sheet20189.xml"/>
  <Override ContentType="application/vnd.openxmlformats-officedocument.spreadsheetml.worksheet+xml" PartName="/xl/worksheets/sheet20190.xml"/>
  <Override ContentType="application/vnd.openxmlformats-officedocument.spreadsheetml.worksheet+xml" PartName="/xl/worksheets/sheet20191.xml"/>
  <Override ContentType="application/vnd.openxmlformats-officedocument.spreadsheetml.worksheet+xml" PartName="/xl/worksheets/sheet20192.xml"/>
  <Override ContentType="application/vnd.openxmlformats-officedocument.spreadsheetml.worksheet+xml" PartName="/xl/worksheets/sheet20193.xml"/>
  <Override ContentType="application/vnd.openxmlformats-officedocument.spreadsheetml.worksheet+xml" PartName="/xl/worksheets/sheet20194.xml"/>
  <Override ContentType="application/vnd.openxmlformats-officedocument.spreadsheetml.worksheet+xml" PartName="/xl/worksheets/sheet20195.xml"/>
  <Override ContentType="application/vnd.openxmlformats-officedocument.spreadsheetml.worksheet+xml" PartName="/xl/worksheets/sheet20196.xml"/>
  <Override ContentType="application/vnd.openxmlformats-officedocument.spreadsheetml.worksheet+xml" PartName="/xl/worksheets/sheet20197.xml"/>
  <Override ContentType="application/vnd.openxmlformats-officedocument.spreadsheetml.worksheet+xml" PartName="/xl/worksheets/sheet20198.xml"/>
  <Override ContentType="application/vnd.openxmlformats-officedocument.spreadsheetml.worksheet+xml" PartName="/xl/worksheets/sheet20199.xml"/>
  <Override ContentType="application/vnd.openxmlformats-officedocument.spreadsheetml.worksheet+xml" PartName="/xl/worksheets/sheet20200.xml"/>
  <Override ContentType="application/vnd.openxmlformats-officedocument.spreadsheetml.worksheet+xml" PartName="/xl/worksheets/sheet20201.xml"/>
  <Override ContentType="application/vnd.openxmlformats-officedocument.spreadsheetml.worksheet+xml" PartName="/xl/worksheets/sheet20202.xml"/>
  <Override ContentType="application/vnd.openxmlformats-officedocument.spreadsheetml.worksheet+xml" PartName="/xl/worksheets/sheet20203.xml"/>
  <Override ContentType="application/vnd.openxmlformats-officedocument.spreadsheetml.worksheet+xml" PartName="/xl/worksheets/sheet20204.xml"/>
  <Override ContentType="application/vnd.openxmlformats-officedocument.spreadsheetml.worksheet+xml" PartName="/xl/worksheets/sheet20205.xml"/>
  <Override ContentType="application/vnd.openxmlformats-officedocument.spreadsheetml.worksheet+xml" PartName="/xl/worksheets/sheet20206.xml"/>
  <Override ContentType="application/vnd.openxmlformats-officedocument.spreadsheetml.worksheet+xml" PartName="/xl/worksheets/sheet20207.xml"/>
  <Override ContentType="application/vnd.openxmlformats-officedocument.spreadsheetml.worksheet+xml" PartName="/xl/worksheets/sheet20208.xml"/>
  <Override ContentType="application/vnd.openxmlformats-officedocument.spreadsheetml.worksheet+xml" PartName="/xl/worksheets/sheet20209.xml"/>
  <Override ContentType="application/vnd.openxmlformats-officedocument.spreadsheetml.worksheet+xml" PartName="/xl/worksheets/sheet20210.xml"/>
  <Override ContentType="application/vnd.openxmlformats-officedocument.spreadsheetml.worksheet+xml" PartName="/xl/worksheets/sheet20211.xml"/>
  <Override ContentType="application/vnd.openxmlformats-officedocument.spreadsheetml.worksheet+xml" PartName="/xl/worksheets/sheet20212.xml"/>
  <Override ContentType="application/vnd.openxmlformats-officedocument.spreadsheetml.worksheet+xml" PartName="/xl/worksheets/sheet20213.xml"/>
  <Override ContentType="application/vnd.openxmlformats-officedocument.spreadsheetml.worksheet+xml" PartName="/xl/worksheets/sheet20214.xml"/>
  <Override ContentType="application/vnd.openxmlformats-officedocument.spreadsheetml.worksheet+xml" PartName="/xl/worksheets/sheet20215.xml"/>
  <Override ContentType="application/vnd.openxmlformats-officedocument.spreadsheetml.worksheet+xml" PartName="/xl/worksheets/sheet20216.xml"/>
  <Override ContentType="application/vnd.openxmlformats-officedocument.spreadsheetml.worksheet+xml" PartName="/xl/worksheets/sheet20217.xml"/>
  <Override ContentType="application/vnd.openxmlformats-officedocument.spreadsheetml.worksheet+xml" PartName="/xl/worksheets/sheet20218.xml"/>
  <Override ContentType="application/vnd.openxmlformats-officedocument.spreadsheetml.worksheet+xml" PartName="/xl/worksheets/sheet20219.xml"/>
  <Override ContentType="application/vnd.openxmlformats-officedocument.spreadsheetml.worksheet+xml" PartName="/xl/worksheets/sheet20220.xml"/>
  <Override ContentType="application/vnd.openxmlformats-officedocument.spreadsheetml.worksheet+xml" PartName="/xl/worksheets/sheet20221.xml"/>
  <Override ContentType="application/vnd.openxmlformats-officedocument.spreadsheetml.worksheet+xml" PartName="/xl/worksheets/sheet20222.xml"/>
  <Override ContentType="application/vnd.openxmlformats-officedocument.spreadsheetml.worksheet+xml" PartName="/xl/worksheets/sheet20223.xml"/>
  <Override ContentType="application/vnd.openxmlformats-officedocument.spreadsheetml.worksheet+xml" PartName="/xl/worksheets/sheet20224.xml"/>
  <Override ContentType="application/vnd.openxmlformats-officedocument.spreadsheetml.worksheet+xml" PartName="/xl/worksheets/sheet20225.xml"/>
  <Override ContentType="application/vnd.openxmlformats-officedocument.spreadsheetml.worksheet+xml" PartName="/xl/worksheets/sheet20226.xml"/>
  <Override ContentType="application/vnd.openxmlformats-officedocument.spreadsheetml.worksheet+xml" PartName="/xl/worksheets/sheet20227.xml"/>
  <Override ContentType="application/vnd.openxmlformats-officedocument.spreadsheetml.worksheet+xml" PartName="/xl/worksheets/sheet20228.xml"/>
  <Override ContentType="application/vnd.openxmlformats-officedocument.spreadsheetml.worksheet+xml" PartName="/xl/worksheets/sheet20229.xml"/>
  <Override ContentType="application/vnd.openxmlformats-officedocument.spreadsheetml.worksheet+xml" PartName="/xl/worksheets/sheet20230.xml"/>
  <Override ContentType="application/vnd.openxmlformats-officedocument.spreadsheetml.worksheet+xml" PartName="/xl/worksheets/sheet20231.xml"/>
  <Override ContentType="application/vnd.openxmlformats-officedocument.spreadsheetml.worksheet+xml" PartName="/xl/worksheets/sheet20232.xml"/>
  <Override ContentType="application/vnd.openxmlformats-officedocument.spreadsheetml.worksheet+xml" PartName="/xl/worksheets/sheet20233.xml"/>
  <Override ContentType="application/vnd.openxmlformats-officedocument.spreadsheetml.worksheet+xml" PartName="/xl/worksheets/sheet20234.xml"/>
  <Override ContentType="application/vnd.openxmlformats-officedocument.spreadsheetml.worksheet+xml" PartName="/xl/worksheets/sheet20235.xml"/>
  <Override ContentType="application/vnd.openxmlformats-officedocument.spreadsheetml.worksheet+xml" PartName="/xl/worksheets/sheet20236.xml"/>
  <Override ContentType="application/vnd.openxmlformats-officedocument.spreadsheetml.worksheet+xml" PartName="/xl/worksheets/sheet20237.xml"/>
  <Override ContentType="application/vnd.openxmlformats-officedocument.spreadsheetml.worksheet+xml" PartName="/xl/worksheets/sheet20238.xml"/>
  <Override ContentType="application/vnd.openxmlformats-officedocument.spreadsheetml.worksheet+xml" PartName="/xl/worksheets/sheet20239.xml"/>
  <Override ContentType="application/vnd.openxmlformats-officedocument.spreadsheetml.worksheet+xml" PartName="/xl/worksheets/sheet20240.xml"/>
  <Override ContentType="application/vnd.openxmlformats-officedocument.spreadsheetml.worksheet+xml" PartName="/xl/worksheets/sheet20241.xml"/>
  <Override ContentType="application/vnd.openxmlformats-officedocument.spreadsheetml.worksheet+xml" PartName="/xl/worksheets/sheet20242.xml"/>
  <Override ContentType="application/vnd.openxmlformats-officedocument.spreadsheetml.worksheet+xml" PartName="/xl/worksheets/sheet20243.xml"/>
  <Override ContentType="application/vnd.openxmlformats-officedocument.spreadsheetml.worksheet+xml" PartName="/xl/worksheets/sheet20244.xml"/>
  <Override ContentType="application/vnd.openxmlformats-officedocument.spreadsheetml.worksheet+xml" PartName="/xl/worksheets/sheet20245.xml"/>
  <Override ContentType="application/vnd.openxmlformats-officedocument.spreadsheetml.worksheet+xml" PartName="/xl/worksheets/sheet20246.xml"/>
  <Override ContentType="application/vnd.openxmlformats-officedocument.spreadsheetml.worksheet+xml" PartName="/xl/worksheets/sheet20247.xml"/>
  <Override ContentType="application/vnd.openxmlformats-officedocument.spreadsheetml.worksheet+xml" PartName="/xl/worksheets/sheet20248.xml"/>
  <Override ContentType="application/vnd.openxmlformats-officedocument.spreadsheetml.worksheet+xml" PartName="/xl/worksheets/sheet20249.xml"/>
  <Override ContentType="application/vnd.openxmlformats-officedocument.spreadsheetml.worksheet+xml" PartName="/xl/worksheets/sheet20250.xml"/>
  <Override ContentType="application/vnd.openxmlformats-officedocument.spreadsheetml.worksheet+xml" PartName="/xl/worksheets/sheet20251.xml"/>
  <Override ContentType="application/vnd.openxmlformats-officedocument.spreadsheetml.worksheet+xml" PartName="/xl/worksheets/sheet20252.xml"/>
  <Override ContentType="application/vnd.openxmlformats-officedocument.spreadsheetml.worksheet+xml" PartName="/xl/worksheets/sheet20253.xml"/>
  <Override ContentType="application/vnd.openxmlformats-officedocument.spreadsheetml.worksheet+xml" PartName="/xl/worksheets/sheet20254.xml"/>
  <Override ContentType="application/vnd.openxmlformats-officedocument.spreadsheetml.worksheet+xml" PartName="/xl/worksheets/sheet20255.xml"/>
  <Override ContentType="application/vnd.openxmlformats-officedocument.spreadsheetml.worksheet+xml" PartName="/xl/worksheets/sheet20256.xml"/>
  <Override ContentType="application/vnd.openxmlformats-officedocument.spreadsheetml.worksheet+xml" PartName="/xl/worksheets/sheet20257.xml"/>
  <Override ContentType="application/vnd.openxmlformats-officedocument.spreadsheetml.worksheet+xml" PartName="/xl/worksheets/sheet20258.xml"/>
  <Override ContentType="application/vnd.openxmlformats-officedocument.spreadsheetml.worksheet+xml" PartName="/xl/worksheets/sheet20259.xml"/>
  <Override ContentType="application/vnd.openxmlformats-officedocument.spreadsheetml.worksheet+xml" PartName="/xl/worksheets/sheet20260.xml"/>
  <Override ContentType="application/vnd.openxmlformats-officedocument.spreadsheetml.worksheet+xml" PartName="/xl/worksheets/sheet20261.xml"/>
  <Override ContentType="application/vnd.openxmlformats-officedocument.spreadsheetml.worksheet+xml" PartName="/xl/worksheets/sheet20262.xml"/>
  <Override ContentType="application/vnd.openxmlformats-officedocument.spreadsheetml.worksheet+xml" PartName="/xl/worksheets/sheet20263.xml"/>
  <Override ContentType="application/vnd.openxmlformats-officedocument.spreadsheetml.worksheet+xml" PartName="/xl/worksheets/sheet20264.xml"/>
  <Override ContentType="application/vnd.openxmlformats-officedocument.spreadsheetml.worksheet+xml" PartName="/xl/worksheets/sheet20265.xml"/>
  <Override ContentType="application/vnd.openxmlformats-officedocument.spreadsheetml.worksheet+xml" PartName="/xl/worksheets/sheet20266.xml"/>
  <Override ContentType="application/vnd.openxmlformats-officedocument.spreadsheetml.worksheet+xml" PartName="/xl/worksheets/sheet20267.xml"/>
  <Override ContentType="application/vnd.openxmlformats-officedocument.spreadsheetml.worksheet+xml" PartName="/xl/worksheets/sheet20268.xml"/>
  <Override ContentType="application/vnd.openxmlformats-officedocument.spreadsheetml.worksheet+xml" PartName="/xl/worksheets/sheet20269.xml"/>
  <Override ContentType="application/vnd.openxmlformats-officedocument.spreadsheetml.worksheet+xml" PartName="/xl/worksheets/sheet20270.xml"/>
  <Override ContentType="application/vnd.openxmlformats-officedocument.spreadsheetml.worksheet+xml" PartName="/xl/worksheets/sheet20271.xml"/>
  <Override ContentType="application/vnd.openxmlformats-officedocument.spreadsheetml.worksheet+xml" PartName="/xl/worksheets/sheet20272.xml"/>
  <Override ContentType="application/vnd.openxmlformats-officedocument.spreadsheetml.worksheet+xml" PartName="/xl/worksheets/sheet20273.xml"/>
  <Override ContentType="application/vnd.openxmlformats-officedocument.spreadsheetml.worksheet+xml" PartName="/xl/worksheets/sheet20274.xml"/>
  <Override ContentType="application/vnd.openxmlformats-officedocument.spreadsheetml.worksheet+xml" PartName="/xl/worksheets/sheet20275.xml"/>
  <Override ContentType="application/vnd.openxmlformats-officedocument.spreadsheetml.worksheet+xml" PartName="/xl/worksheets/sheet20276.xml"/>
  <Override ContentType="application/vnd.openxmlformats-officedocument.spreadsheetml.worksheet+xml" PartName="/xl/worksheets/sheet20277.xml"/>
  <Override ContentType="application/vnd.openxmlformats-officedocument.spreadsheetml.worksheet+xml" PartName="/xl/worksheets/sheet20278.xml"/>
  <Override ContentType="application/vnd.openxmlformats-officedocument.spreadsheetml.worksheet+xml" PartName="/xl/worksheets/sheet20279.xml"/>
  <Override ContentType="application/vnd.openxmlformats-officedocument.spreadsheetml.worksheet+xml" PartName="/xl/worksheets/sheet20280.xml"/>
  <Override ContentType="application/vnd.openxmlformats-officedocument.spreadsheetml.worksheet+xml" PartName="/xl/worksheets/sheet20281.xml"/>
  <Override ContentType="application/vnd.openxmlformats-officedocument.spreadsheetml.worksheet+xml" PartName="/xl/worksheets/sheet20282.xml"/>
  <Override ContentType="application/vnd.openxmlformats-officedocument.spreadsheetml.worksheet+xml" PartName="/xl/worksheets/sheet20283.xml"/>
  <Override ContentType="application/vnd.openxmlformats-officedocument.spreadsheetml.worksheet+xml" PartName="/xl/worksheets/sheet20284.xml"/>
  <Override ContentType="application/vnd.openxmlformats-officedocument.spreadsheetml.worksheet+xml" PartName="/xl/worksheets/sheet20285.xml"/>
  <Override ContentType="application/vnd.openxmlformats-officedocument.spreadsheetml.worksheet+xml" PartName="/xl/worksheets/sheet20286.xml"/>
  <Override ContentType="application/vnd.openxmlformats-officedocument.spreadsheetml.worksheet+xml" PartName="/xl/worksheets/sheet20287.xml"/>
  <Override ContentType="application/vnd.openxmlformats-officedocument.spreadsheetml.worksheet+xml" PartName="/xl/worksheets/sheet20288.xml"/>
  <Override ContentType="application/vnd.openxmlformats-officedocument.spreadsheetml.worksheet+xml" PartName="/xl/worksheets/sheet20289.xml"/>
  <Override ContentType="application/vnd.openxmlformats-officedocument.spreadsheetml.worksheet+xml" PartName="/xl/worksheets/sheet20290.xml"/>
  <Override ContentType="application/vnd.openxmlformats-officedocument.spreadsheetml.worksheet+xml" PartName="/xl/worksheets/sheet20291.xml"/>
  <Override ContentType="application/vnd.openxmlformats-officedocument.spreadsheetml.worksheet+xml" PartName="/xl/worksheets/sheet20292.xml"/>
  <Override ContentType="application/vnd.openxmlformats-officedocument.spreadsheetml.worksheet+xml" PartName="/xl/worksheets/sheet20293.xml"/>
  <Override ContentType="application/vnd.openxmlformats-officedocument.spreadsheetml.worksheet+xml" PartName="/xl/worksheets/sheet20294.xml"/>
  <Override ContentType="application/vnd.openxmlformats-officedocument.spreadsheetml.worksheet+xml" PartName="/xl/worksheets/sheet20295.xml"/>
  <Override ContentType="application/vnd.openxmlformats-officedocument.spreadsheetml.worksheet+xml" PartName="/xl/worksheets/sheet20296.xml"/>
  <Override ContentType="application/vnd.openxmlformats-officedocument.spreadsheetml.worksheet+xml" PartName="/xl/worksheets/sheet20297.xml"/>
  <Override ContentType="application/vnd.openxmlformats-officedocument.spreadsheetml.worksheet+xml" PartName="/xl/worksheets/sheet20298.xml"/>
  <Override ContentType="application/vnd.openxmlformats-officedocument.spreadsheetml.worksheet+xml" PartName="/xl/worksheets/sheet20299.xml"/>
  <Override ContentType="application/vnd.openxmlformats-officedocument.spreadsheetml.worksheet+xml" PartName="/xl/worksheets/sheet20300.xml"/>
  <Override ContentType="application/vnd.openxmlformats-officedocument.spreadsheetml.worksheet+xml" PartName="/xl/worksheets/sheet20301.xml"/>
  <Override ContentType="application/vnd.openxmlformats-officedocument.spreadsheetml.worksheet+xml" PartName="/xl/worksheets/sheet20302.xml"/>
  <Override ContentType="application/vnd.openxmlformats-officedocument.spreadsheetml.worksheet+xml" PartName="/xl/worksheets/sheet20303.xml"/>
  <Override ContentType="application/vnd.openxmlformats-officedocument.spreadsheetml.worksheet+xml" PartName="/xl/worksheets/sheet20304.xml"/>
  <Override ContentType="application/vnd.openxmlformats-officedocument.spreadsheetml.worksheet+xml" PartName="/xl/worksheets/sheet20305.xml"/>
  <Override ContentType="application/vnd.openxmlformats-officedocument.spreadsheetml.worksheet+xml" PartName="/xl/worksheets/sheet20306.xml"/>
  <Override ContentType="application/vnd.openxmlformats-officedocument.spreadsheetml.worksheet+xml" PartName="/xl/worksheets/sheet20307.xml"/>
  <Override ContentType="application/vnd.openxmlformats-officedocument.spreadsheetml.worksheet+xml" PartName="/xl/worksheets/sheet20308.xml"/>
  <Override ContentType="application/vnd.openxmlformats-officedocument.spreadsheetml.worksheet+xml" PartName="/xl/worksheets/sheet20309.xml"/>
  <Override ContentType="application/vnd.openxmlformats-officedocument.spreadsheetml.worksheet+xml" PartName="/xl/worksheets/sheet20310.xml"/>
  <Override ContentType="application/vnd.openxmlformats-officedocument.spreadsheetml.worksheet+xml" PartName="/xl/worksheets/sheet20311.xml"/>
  <Override ContentType="application/vnd.openxmlformats-officedocument.spreadsheetml.worksheet+xml" PartName="/xl/worksheets/sheet20312.xml"/>
  <Override ContentType="application/vnd.openxmlformats-officedocument.spreadsheetml.worksheet+xml" PartName="/xl/worksheets/sheet20313.xml"/>
  <Override ContentType="application/vnd.openxmlformats-officedocument.spreadsheetml.worksheet+xml" PartName="/xl/worksheets/sheet20314.xml"/>
  <Override ContentType="application/vnd.openxmlformats-officedocument.spreadsheetml.worksheet+xml" PartName="/xl/worksheets/sheet20315.xml"/>
  <Override ContentType="application/vnd.openxmlformats-officedocument.spreadsheetml.worksheet+xml" PartName="/xl/worksheets/sheet20316.xml"/>
  <Override ContentType="application/vnd.openxmlformats-officedocument.spreadsheetml.worksheet+xml" PartName="/xl/worksheets/sheet20317.xml"/>
  <Override ContentType="application/vnd.openxmlformats-officedocument.spreadsheetml.worksheet+xml" PartName="/xl/worksheets/sheet20318.xml"/>
  <Override ContentType="application/vnd.openxmlformats-officedocument.spreadsheetml.worksheet+xml" PartName="/xl/worksheets/sheet20319.xml"/>
  <Override ContentType="application/vnd.openxmlformats-officedocument.spreadsheetml.worksheet+xml" PartName="/xl/worksheets/sheet20320.xml"/>
  <Override ContentType="application/vnd.openxmlformats-officedocument.spreadsheetml.worksheet+xml" PartName="/xl/worksheets/sheet20321.xml"/>
  <Override ContentType="application/vnd.openxmlformats-officedocument.spreadsheetml.worksheet+xml" PartName="/xl/worksheets/sheet20322.xml"/>
  <Override ContentType="application/vnd.openxmlformats-officedocument.spreadsheetml.worksheet+xml" PartName="/xl/worksheets/sheet20323.xml"/>
  <Override ContentType="application/vnd.openxmlformats-officedocument.spreadsheetml.worksheet+xml" PartName="/xl/worksheets/sheet20324.xml"/>
  <Override ContentType="application/vnd.openxmlformats-officedocument.spreadsheetml.worksheet+xml" PartName="/xl/worksheets/sheet20325.xml"/>
  <Override ContentType="application/vnd.openxmlformats-officedocument.spreadsheetml.worksheet+xml" PartName="/xl/worksheets/sheet20326.xml"/>
  <Override ContentType="application/vnd.openxmlformats-officedocument.spreadsheetml.worksheet+xml" PartName="/xl/worksheets/sheet20327.xml"/>
  <Override ContentType="application/vnd.openxmlformats-officedocument.spreadsheetml.worksheet+xml" PartName="/xl/worksheets/sheet20328.xml"/>
  <Override ContentType="application/vnd.openxmlformats-officedocument.spreadsheetml.worksheet+xml" PartName="/xl/worksheets/sheet20329.xml"/>
  <Override ContentType="application/vnd.openxmlformats-officedocument.spreadsheetml.worksheet+xml" PartName="/xl/worksheets/sheet20330.xml"/>
  <Override ContentType="application/vnd.openxmlformats-officedocument.spreadsheetml.worksheet+xml" PartName="/xl/worksheets/sheet20331.xml"/>
  <Override ContentType="application/vnd.openxmlformats-officedocument.spreadsheetml.worksheet+xml" PartName="/xl/worksheets/sheet20332.xml"/>
  <Override ContentType="application/vnd.openxmlformats-officedocument.spreadsheetml.worksheet+xml" PartName="/xl/worksheets/sheet20333.xml"/>
  <Override ContentType="application/vnd.openxmlformats-officedocument.spreadsheetml.worksheet+xml" PartName="/xl/worksheets/sheet20334.xml"/>
  <Override ContentType="application/vnd.openxmlformats-officedocument.spreadsheetml.worksheet+xml" PartName="/xl/worksheets/sheet20335.xml"/>
  <Override ContentType="application/vnd.openxmlformats-officedocument.spreadsheetml.worksheet+xml" PartName="/xl/worksheets/sheet20336.xml"/>
  <Override ContentType="application/vnd.openxmlformats-officedocument.spreadsheetml.worksheet+xml" PartName="/xl/worksheets/sheet20337.xml"/>
  <Override ContentType="application/vnd.openxmlformats-officedocument.spreadsheetml.worksheet+xml" PartName="/xl/worksheets/sheet20338.xml"/>
  <Override ContentType="application/vnd.openxmlformats-officedocument.spreadsheetml.worksheet+xml" PartName="/xl/worksheets/sheet20339.xml"/>
  <Override ContentType="application/vnd.openxmlformats-officedocument.spreadsheetml.worksheet+xml" PartName="/xl/worksheets/sheet20340.xml"/>
  <Override ContentType="application/vnd.openxmlformats-officedocument.spreadsheetml.worksheet+xml" PartName="/xl/worksheets/sheet20341.xml"/>
  <Override ContentType="application/vnd.openxmlformats-officedocument.spreadsheetml.worksheet+xml" PartName="/xl/worksheets/sheet20342.xml"/>
  <Override ContentType="application/vnd.openxmlformats-officedocument.spreadsheetml.worksheet+xml" PartName="/xl/worksheets/sheet20343.xml"/>
  <Override ContentType="application/vnd.openxmlformats-officedocument.spreadsheetml.worksheet+xml" PartName="/xl/worksheets/sheet20344.xml"/>
  <Override ContentType="application/vnd.openxmlformats-officedocument.spreadsheetml.worksheet+xml" PartName="/xl/worksheets/sheet20345.xml"/>
  <Override ContentType="application/vnd.openxmlformats-officedocument.spreadsheetml.worksheet+xml" PartName="/xl/worksheets/sheet20346.xml"/>
  <Override ContentType="application/vnd.openxmlformats-officedocument.spreadsheetml.worksheet+xml" PartName="/xl/worksheets/sheet20347.xml"/>
  <Override ContentType="application/vnd.openxmlformats-officedocument.spreadsheetml.worksheet+xml" PartName="/xl/worksheets/sheet20348.xml"/>
  <Override ContentType="application/vnd.openxmlformats-officedocument.spreadsheetml.worksheet+xml" PartName="/xl/worksheets/sheet20349.xml"/>
  <Override ContentType="application/vnd.openxmlformats-officedocument.spreadsheetml.worksheet+xml" PartName="/xl/worksheets/sheet20350.xml"/>
  <Override ContentType="application/vnd.openxmlformats-officedocument.spreadsheetml.worksheet+xml" PartName="/xl/worksheets/sheet20351.xml"/>
  <Override ContentType="application/vnd.openxmlformats-officedocument.spreadsheetml.worksheet+xml" PartName="/xl/worksheets/sheet20352.xml"/>
  <Override ContentType="application/vnd.openxmlformats-officedocument.spreadsheetml.worksheet+xml" PartName="/xl/worksheets/sheet20353.xml"/>
  <Override ContentType="application/vnd.openxmlformats-officedocument.spreadsheetml.worksheet+xml" PartName="/xl/worksheets/sheet20354.xml"/>
  <Override ContentType="application/vnd.openxmlformats-officedocument.spreadsheetml.worksheet+xml" PartName="/xl/worksheets/sheet20355.xml"/>
  <Override ContentType="application/vnd.openxmlformats-officedocument.spreadsheetml.worksheet+xml" PartName="/xl/worksheets/sheet20356.xml"/>
  <Override ContentType="application/vnd.openxmlformats-officedocument.spreadsheetml.worksheet+xml" PartName="/xl/worksheets/sheet20357.xml"/>
  <Override ContentType="application/vnd.openxmlformats-officedocument.spreadsheetml.worksheet+xml" PartName="/xl/worksheets/sheet20358.xml"/>
  <Override ContentType="application/vnd.openxmlformats-officedocument.spreadsheetml.worksheet+xml" PartName="/xl/worksheets/sheet20359.xml"/>
  <Override ContentType="application/vnd.openxmlformats-officedocument.spreadsheetml.worksheet+xml" PartName="/xl/worksheets/sheet20360.xml"/>
  <Override ContentType="application/vnd.openxmlformats-officedocument.spreadsheetml.worksheet+xml" PartName="/xl/worksheets/sheet20361.xml"/>
  <Override ContentType="application/vnd.openxmlformats-officedocument.spreadsheetml.worksheet+xml" PartName="/xl/worksheets/sheet20362.xml"/>
  <Override ContentType="application/vnd.openxmlformats-officedocument.spreadsheetml.worksheet+xml" PartName="/xl/worksheets/sheet20363.xml"/>
  <Override ContentType="application/vnd.openxmlformats-officedocument.spreadsheetml.worksheet+xml" PartName="/xl/worksheets/sheet20364.xml"/>
  <Override ContentType="application/vnd.openxmlformats-officedocument.spreadsheetml.worksheet+xml" PartName="/xl/worksheets/sheet20365.xml"/>
  <Override ContentType="application/vnd.openxmlformats-officedocument.spreadsheetml.worksheet+xml" PartName="/xl/worksheets/sheet20366.xml"/>
  <Override ContentType="application/vnd.openxmlformats-officedocument.spreadsheetml.worksheet+xml" PartName="/xl/worksheets/sheet20367.xml"/>
  <Override ContentType="application/vnd.openxmlformats-officedocument.spreadsheetml.worksheet+xml" PartName="/xl/worksheets/sheet20368.xml"/>
  <Override ContentType="application/vnd.openxmlformats-officedocument.spreadsheetml.worksheet+xml" PartName="/xl/worksheets/sheet20369.xml"/>
  <Override ContentType="application/vnd.openxmlformats-officedocument.spreadsheetml.worksheet+xml" PartName="/xl/worksheets/sheet20370.xml"/>
  <Override ContentType="application/vnd.openxmlformats-officedocument.spreadsheetml.worksheet+xml" PartName="/xl/worksheets/sheet20371.xml"/>
  <Override ContentType="application/vnd.openxmlformats-officedocument.spreadsheetml.worksheet+xml" PartName="/xl/worksheets/sheet20372.xml"/>
  <Override ContentType="application/vnd.openxmlformats-officedocument.spreadsheetml.worksheet+xml" PartName="/xl/worksheets/sheet20373.xml"/>
  <Override ContentType="application/vnd.openxmlformats-officedocument.spreadsheetml.worksheet+xml" PartName="/xl/worksheets/sheet20374.xml"/>
  <Override ContentType="application/vnd.openxmlformats-officedocument.spreadsheetml.worksheet+xml" PartName="/xl/worksheets/sheet20375.xml"/>
  <Override ContentType="application/vnd.openxmlformats-officedocument.spreadsheetml.worksheet+xml" PartName="/xl/worksheets/sheet20376.xml"/>
  <Override ContentType="application/vnd.openxmlformats-officedocument.spreadsheetml.worksheet+xml" PartName="/xl/worksheets/sheet20377.xml"/>
  <Override ContentType="application/vnd.openxmlformats-officedocument.spreadsheetml.worksheet+xml" PartName="/xl/worksheets/sheet20378.xml"/>
  <Override ContentType="application/vnd.openxmlformats-officedocument.spreadsheetml.worksheet+xml" PartName="/xl/worksheets/sheet20379.xml"/>
  <Override ContentType="application/vnd.openxmlformats-officedocument.spreadsheetml.worksheet+xml" PartName="/xl/worksheets/sheet20380.xml"/>
  <Override ContentType="application/vnd.openxmlformats-officedocument.spreadsheetml.worksheet+xml" PartName="/xl/worksheets/sheet20381.xml"/>
  <Override ContentType="application/vnd.openxmlformats-officedocument.spreadsheetml.worksheet+xml" PartName="/xl/worksheets/sheet20382.xml"/>
  <Override ContentType="application/vnd.openxmlformats-officedocument.spreadsheetml.worksheet+xml" PartName="/xl/worksheets/sheet20383.xml"/>
  <Override ContentType="application/vnd.openxmlformats-officedocument.spreadsheetml.worksheet+xml" PartName="/xl/worksheets/sheet20384.xml"/>
  <Override ContentType="application/vnd.openxmlformats-officedocument.spreadsheetml.worksheet+xml" PartName="/xl/worksheets/sheet20385.xml"/>
  <Override ContentType="application/vnd.openxmlformats-officedocument.spreadsheetml.worksheet+xml" PartName="/xl/worksheets/sheet20386.xml"/>
  <Override ContentType="application/vnd.openxmlformats-officedocument.spreadsheetml.worksheet+xml" PartName="/xl/worksheets/sheet20387.xml"/>
  <Override ContentType="application/vnd.openxmlformats-officedocument.spreadsheetml.worksheet+xml" PartName="/xl/worksheets/sheet20388.xml"/>
  <Override ContentType="application/vnd.openxmlformats-officedocument.spreadsheetml.worksheet+xml" PartName="/xl/worksheets/sheet20389.xml"/>
  <Override ContentType="application/vnd.openxmlformats-officedocument.spreadsheetml.worksheet+xml" PartName="/xl/worksheets/sheet20390.xml"/>
  <Override ContentType="application/vnd.openxmlformats-officedocument.spreadsheetml.worksheet+xml" PartName="/xl/worksheets/sheet20391.xml"/>
  <Override ContentType="application/vnd.openxmlformats-officedocument.spreadsheetml.worksheet+xml" PartName="/xl/worksheets/sheet20392.xml"/>
  <Override ContentType="application/vnd.openxmlformats-officedocument.spreadsheetml.worksheet+xml" PartName="/xl/worksheets/sheet20393.xml"/>
  <Override ContentType="application/vnd.openxmlformats-officedocument.spreadsheetml.worksheet+xml" PartName="/xl/worksheets/sheet20394.xml"/>
  <Override ContentType="application/vnd.openxmlformats-officedocument.spreadsheetml.worksheet+xml" PartName="/xl/worksheets/sheet20395.xml"/>
  <Override ContentType="application/vnd.openxmlformats-officedocument.spreadsheetml.worksheet+xml" PartName="/xl/worksheets/sheet20396.xml"/>
  <Override ContentType="application/vnd.openxmlformats-officedocument.spreadsheetml.worksheet+xml" PartName="/xl/worksheets/sheet20397.xml"/>
  <Override ContentType="application/vnd.openxmlformats-officedocument.spreadsheetml.worksheet+xml" PartName="/xl/worksheets/sheet20398.xml"/>
  <Override ContentType="application/vnd.openxmlformats-officedocument.spreadsheetml.worksheet+xml" PartName="/xl/worksheets/sheet20399.xml"/>
  <Override ContentType="application/vnd.openxmlformats-officedocument.spreadsheetml.worksheet+xml" PartName="/xl/worksheets/sheet20400.xml"/>
  <Override ContentType="application/vnd.openxmlformats-officedocument.spreadsheetml.worksheet+xml" PartName="/xl/worksheets/sheet20401.xml"/>
  <Override ContentType="application/vnd.openxmlformats-officedocument.spreadsheetml.worksheet+xml" PartName="/xl/worksheets/sheet20402.xml"/>
  <Override ContentType="application/vnd.openxmlformats-officedocument.spreadsheetml.worksheet+xml" PartName="/xl/worksheets/sheet20403.xml"/>
  <Override ContentType="application/vnd.openxmlformats-officedocument.spreadsheetml.worksheet+xml" PartName="/xl/worksheets/sheet20404.xml"/>
  <Override ContentType="application/vnd.openxmlformats-officedocument.spreadsheetml.worksheet+xml" PartName="/xl/worksheets/sheet20405.xml"/>
  <Override ContentType="application/vnd.openxmlformats-officedocument.spreadsheetml.worksheet+xml" PartName="/xl/worksheets/sheet20406.xml"/>
  <Override ContentType="application/vnd.openxmlformats-officedocument.spreadsheetml.worksheet+xml" PartName="/xl/worksheets/sheet20407.xml"/>
  <Override ContentType="application/vnd.openxmlformats-officedocument.spreadsheetml.worksheet+xml" PartName="/xl/worksheets/sheet20408.xml"/>
  <Override ContentType="application/vnd.openxmlformats-officedocument.spreadsheetml.worksheet+xml" PartName="/xl/worksheets/sheet20409.xml"/>
  <Override ContentType="application/vnd.openxmlformats-officedocument.spreadsheetml.worksheet+xml" PartName="/xl/worksheets/sheet20410.xml"/>
  <Override ContentType="application/vnd.openxmlformats-officedocument.spreadsheetml.worksheet+xml" PartName="/xl/worksheets/sheet20411.xml"/>
  <Override ContentType="application/vnd.openxmlformats-officedocument.spreadsheetml.worksheet+xml" PartName="/xl/worksheets/sheet20412.xml"/>
  <Override ContentType="application/vnd.openxmlformats-officedocument.spreadsheetml.worksheet+xml" PartName="/xl/worksheets/sheet20413.xml"/>
  <Override ContentType="application/vnd.openxmlformats-officedocument.spreadsheetml.worksheet+xml" PartName="/xl/worksheets/sheet20414.xml"/>
  <Override ContentType="application/vnd.openxmlformats-officedocument.spreadsheetml.worksheet+xml" PartName="/xl/worksheets/sheet20415.xml"/>
  <Override ContentType="application/vnd.openxmlformats-officedocument.spreadsheetml.worksheet+xml" PartName="/xl/worksheets/sheet20416.xml"/>
  <Override ContentType="application/vnd.openxmlformats-officedocument.spreadsheetml.worksheet+xml" PartName="/xl/worksheets/sheet20417.xml"/>
  <Override ContentType="application/vnd.openxmlformats-officedocument.spreadsheetml.worksheet+xml" PartName="/xl/worksheets/sheet20418.xml"/>
  <Override ContentType="application/vnd.openxmlformats-officedocument.spreadsheetml.worksheet+xml" PartName="/xl/worksheets/sheet20419.xml"/>
  <Override ContentType="application/vnd.openxmlformats-officedocument.spreadsheetml.worksheet+xml" PartName="/xl/worksheets/sheet20420.xml"/>
  <Override ContentType="application/vnd.openxmlformats-officedocument.spreadsheetml.worksheet+xml" PartName="/xl/worksheets/sheet20421.xml"/>
  <Override ContentType="application/vnd.openxmlformats-officedocument.spreadsheetml.worksheet+xml" PartName="/xl/worksheets/sheet20422.xml"/>
  <Override ContentType="application/vnd.openxmlformats-officedocument.spreadsheetml.worksheet+xml" PartName="/xl/worksheets/sheet20423.xml"/>
  <Override ContentType="application/vnd.openxmlformats-officedocument.spreadsheetml.worksheet+xml" PartName="/xl/worksheets/sheet20424.xml"/>
  <Override ContentType="application/vnd.openxmlformats-officedocument.spreadsheetml.worksheet+xml" PartName="/xl/worksheets/sheet20425.xml"/>
  <Override ContentType="application/vnd.openxmlformats-officedocument.spreadsheetml.worksheet+xml" PartName="/xl/worksheets/sheet20426.xml"/>
  <Override ContentType="application/vnd.openxmlformats-officedocument.spreadsheetml.worksheet+xml" PartName="/xl/worksheets/sheet20427.xml"/>
  <Override ContentType="application/vnd.openxmlformats-officedocument.spreadsheetml.worksheet+xml" PartName="/xl/worksheets/sheet20428.xml"/>
  <Override ContentType="application/vnd.openxmlformats-officedocument.spreadsheetml.worksheet+xml" PartName="/xl/worksheets/sheet20429.xml"/>
  <Override ContentType="application/vnd.openxmlformats-officedocument.spreadsheetml.worksheet+xml" PartName="/xl/worksheets/sheet20430.xml"/>
  <Override ContentType="application/vnd.openxmlformats-officedocument.spreadsheetml.worksheet+xml" PartName="/xl/worksheets/sheet20431.xml"/>
  <Override ContentType="application/vnd.openxmlformats-officedocument.spreadsheetml.worksheet+xml" PartName="/xl/worksheets/sheet20432.xml"/>
  <Override ContentType="application/vnd.openxmlformats-officedocument.spreadsheetml.worksheet+xml" PartName="/xl/worksheets/sheet20433.xml"/>
  <Override ContentType="application/vnd.openxmlformats-officedocument.spreadsheetml.worksheet+xml" PartName="/xl/worksheets/sheet20434.xml"/>
  <Override ContentType="application/vnd.openxmlformats-officedocument.spreadsheetml.worksheet+xml" PartName="/xl/worksheets/sheet20435.xml"/>
  <Override ContentType="application/vnd.openxmlformats-officedocument.spreadsheetml.worksheet+xml" PartName="/xl/worksheets/sheet20436.xml"/>
  <Override ContentType="application/vnd.openxmlformats-officedocument.spreadsheetml.worksheet+xml" PartName="/xl/worksheets/sheet20437.xml"/>
  <Override ContentType="application/vnd.openxmlformats-officedocument.spreadsheetml.worksheet+xml" PartName="/xl/worksheets/sheet20438.xml"/>
  <Override ContentType="application/vnd.openxmlformats-officedocument.spreadsheetml.worksheet+xml" PartName="/xl/worksheets/sheet20439.xml"/>
  <Override ContentType="application/vnd.openxmlformats-officedocument.spreadsheetml.worksheet+xml" PartName="/xl/worksheets/sheet20440.xml"/>
  <Override ContentType="application/vnd.openxmlformats-officedocument.spreadsheetml.worksheet+xml" PartName="/xl/worksheets/sheet20441.xml"/>
  <Override ContentType="application/vnd.openxmlformats-officedocument.spreadsheetml.worksheet+xml" PartName="/xl/worksheets/sheet20442.xml"/>
  <Override ContentType="application/vnd.openxmlformats-officedocument.spreadsheetml.worksheet+xml" PartName="/xl/worksheets/sheet20443.xml"/>
  <Override ContentType="application/vnd.openxmlformats-officedocument.spreadsheetml.worksheet+xml" PartName="/xl/worksheets/sheet20444.xml"/>
  <Override ContentType="application/vnd.openxmlformats-officedocument.spreadsheetml.worksheet+xml" PartName="/xl/worksheets/sheet20445.xml"/>
  <Override ContentType="application/vnd.openxmlformats-officedocument.spreadsheetml.worksheet+xml" PartName="/xl/worksheets/sheet20446.xml"/>
  <Override ContentType="application/vnd.openxmlformats-officedocument.spreadsheetml.worksheet+xml" PartName="/xl/worksheets/sheet20447.xml"/>
  <Override ContentType="application/vnd.openxmlformats-officedocument.spreadsheetml.worksheet+xml" PartName="/xl/worksheets/sheet20448.xml"/>
  <Override ContentType="application/vnd.openxmlformats-officedocument.spreadsheetml.worksheet+xml" PartName="/xl/worksheets/sheet20449.xml"/>
  <Override ContentType="application/vnd.openxmlformats-officedocument.spreadsheetml.worksheet+xml" PartName="/xl/worksheets/sheet20450.xml"/>
  <Override ContentType="application/vnd.openxmlformats-officedocument.spreadsheetml.worksheet+xml" PartName="/xl/worksheets/sheet20451.xml"/>
  <Override ContentType="application/vnd.openxmlformats-officedocument.spreadsheetml.worksheet+xml" PartName="/xl/worksheets/sheet20452.xml"/>
  <Override ContentType="application/vnd.openxmlformats-officedocument.spreadsheetml.worksheet+xml" PartName="/xl/worksheets/sheet20453.xml"/>
  <Override ContentType="application/vnd.openxmlformats-officedocument.spreadsheetml.worksheet+xml" PartName="/xl/worksheets/sheet20454.xml"/>
  <Override ContentType="application/vnd.openxmlformats-officedocument.spreadsheetml.worksheet+xml" PartName="/xl/worksheets/sheet20455.xml"/>
  <Override ContentType="application/vnd.openxmlformats-officedocument.spreadsheetml.worksheet+xml" PartName="/xl/worksheets/sheet20456.xml"/>
  <Override ContentType="application/vnd.openxmlformats-officedocument.spreadsheetml.worksheet+xml" PartName="/xl/worksheets/sheet20457.xml"/>
  <Override ContentType="application/vnd.openxmlformats-officedocument.spreadsheetml.worksheet+xml" PartName="/xl/worksheets/sheet20458.xml"/>
  <Override ContentType="application/vnd.openxmlformats-officedocument.spreadsheetml.worksheet+xml" PartName="/xl/worksheets/sheet20459.xml"/>
  <Override ContentType="application/vnd.openxmlformats-officedocument.spreadsheetml.worksheet+xml" PartName="/xl/worksheets/sheet20460.xml"/>
  <Override ContentType="application/vnd.openxmlformats-officedocument.spreadsheetml.worksheet+xml" PartName="/xl/worksheets/sheet20461.xml"/>
  <Override ContentType="application/vnd.openxmlformats-officedocument.spreadsheetml.worksheet+xml" PartName="/xl/worksheets/sheet20462.xml"/>
  <Override ContentType="application/vnd.openxmlformats-officedocument.spreadsheetml.worksheet+xml" PartName="/xl/worksheets/sheet20463.xml"/>
  <Override ContentType="application/vnd.openxmlformats-officedocument.spreadsheetml.worksheet+xml" PartName="/xl/worksheets/sheet20464.xml"/>
  <Override ContentType="application/vnd.openxmlformats-officedocument.spreadsheetml.worksheet+xml" PartName="/xl/worksheets/sheet20465.xml"/>
  <Override ContentType="application/vnd.openxmlformats-officedocument.spreadsheetml.worksheet+xml" PartName="/xl/worksheets/sheet20466.xml"/>
  <Override ContentType="application/vnd.openxmlformats-officedocument.spreadsheetml.worksheet+xml" PartName="/xl/worksheets/sheet20467.xml"/>
  <Override ContentType="application/vnd.openxmlformats-officedocument.spreadsheetml.worksheet+xml" PartName="/xl/worksheets/sheet20468.xml"/>
  <Override ContentType="application/vnd.openxmlformats-officedocument.spreadsheetml.worksheet+xml" PartName="/xl/worksheets/sheet20469.xml"/>
  <Override ContentType="application/vnd.openxmlformats-officedocument.spreadsheetml.worksheet+xml" PartName="/xl/worksheets/sheet20470.xml"/>
  <Override ContentType="application/vnd.openxmlformats-officedocument.spreadsheetml.worksheet+xml" PartName="/xl/worksheets/sheet20471.xml"/>
  <Override ContentType="application/vnd.openxmlformats-officedocument.spreadsheetml.worksheet+xml" PartName="/xl/worksheets/sheet20472.xml"/>
  <Override ContentType="application/vnd.openxmlformats-officedocument.spreadsheetml.worksheet+xml" PartName="/xl/worksheets/sheet20473.xml"/>
  <Override ContentType="application/vnd.openxmlformats-officedocument.spreadsheetml.worksheet+xml" PartName="/xl/worksheets/sheet20474.xml"/>
  <Override ContentType="application/vnd.openxmlformats-officedocument.spreadsheetml.worksheet+xml" PartName="/xl/worksheets/sheet20475.xml"/>
  <Override ContentType="application/vnd.openxmlformats-officedocument.spreadsheetml.worksheet+xml" PartName="/xl/worksheets/sheet20476.xml"/>
  <Override ContentType="application/vnd.openxmlformats-officedocument.spreadsheetml.worksheet+xml" PartName="/xl/worksheets/sheet20477.xml"/>
  <Override ContentType="application/vnd.openxmlformats-officedocument.spreadsheetml.worksheet+xml" PartName="/xl/worksheets/sheet20478.xml"/>
  <Override ContentType="application/vnd.openxmlformats-officedocument.spreadsheetml.worksheet+xml" PartName="/xl/worksheets/sheet20479.xml"/>
  <Override ContentType="application/vnd.openxmlformats-officedocument.spreadsheetml.worksheet+xml" PartName="/xl/worksheets/sheet20480.xml"/>
  <Override ContentType="application/vnd.openxmlformats-officedocument.spreadsheetml.worksheet+xml" PartName="/xl/worksheets/sheet20481.xml"/>
  <Override ContentType="application/vnd.openxmlformats-officedocument.spreadsheetml.worksheet+xml" PartName="/xl/worksheets/sheet20482.xml"/>
  <Override ContentType="application/vnd.openxmlformats-officedocument.spreadsheetml.worksheet+xml" PartName="/xl/worksheets/sheet20483.xml"/>
  <Override ContentType="application/vnd.openxmlformats-officedocument.spreadsheetml.worksheet+xml" PartName="/xl/worksheets/sheet20484.xml"/>
  <Override ContentType="application/vnd.openxmlformats-officedocument.spreadsheetml.worksheet+xml" PartName="/xl/worksheets/sheet20485.xml"/>
  <Override ContentType="application/vnd.openxmlformats-officedocument.spreadsheetml.worksheet+xml" PartName="/xl/worksheets/sheet20486.xml"/>
  <Override ContentType="application/vnd.openxmlformats-officedocument.spreadsheetml.worksheet+xml" PartName="/xl/worksheets/sheet20487.xml"/>
  <Override ContentType="application/vnd.openxmlformats-officedocument.spreadsheetml.worksheet+xml" PartName="/xl/worksheets/sheet20488.xml"/>
  <Override ContentType="application/vnd.openxmlformats-officedocument.spreadsheetml.worksheet+xml" PartName="/xl/worksheets/sheet20489.xml"/>
  <Override ContentType="application/vnd.openxmlformats-officedocument.spreadsheetml.worksheet+xml" PartName="/xl/worksheets/sheet20490.xml"/>
  <Override ContentType="application/vnd.openxmlformats-officedocument.spreadsheetml.worksheet+xml" PartName="/xl/worksheets/sheet20491.xml"/>
  <Override ContentType="application/vnd.openxmlformats-officedocument.spreadsheetml.worksheet+xml" PartName="/xl/worksheets/sheet20492.xml"/>
  <Override ContentType="application/vnd.openxmlformats-officedocument.spreadsheetml.worksheet+xml" PartName="/xl/worksheets/sheet20493.xml"/>
  <Override ContentType="application/vnd.openxmlformats-officedocument.spreadsheetml.worksheet+xml" PartName="/xl/worksheets/sheet20494.xml"/>
  <Override ContentType="application/vnd.openxmlformats-officedocument.spreadsheetml.worksheet+xml" PartName="/xl/worksheets/sheet20495.xml"/>
  <Override ContentType="application/vnd.openxmlformats-officedocument.spreadsheetml.worksheet+xml" PartName="/xl/worksheets/sheet20496.xml"/>
  <Override ContentType="application/vnd.openxmlformats-officedocument.spreadsheetml.worksheet+xml" PartName="/xl/worksheets/sheet20497.xml"/>
  <Override ContentType="application/vnd.openxmlformats-officedocument.spreadsheetml.worksheet+xml" PartName="/xl/worksheets/sheet20498.xml"/>
  <Override ContentType="application/vnd.openxmlformats-officedocument.spreadsheetml.worksheet+xml" PartName="/xl/worksheets/sheet20499.xml"/>
  <Override ContentType="application/vnd.openxmlformats-officedocument.spreadsheetml.worksheet+xml" PartName="/xl/worksheets/sheet20500.xml"/>
  <Override ContentType="application/vnd.openxmlformats-officedocument.spreadsheetml.worksheet+xml" PartName="/xl/worksheets/sheet20501.xml"/>
  <Override ContentType="application/vnd.openxmlformats-officedocument.spreadsheetml.worksheet+xml" PartName="/xl/worksheets/sheet20502.xml"/>
  <Override ContentType="application/vnd.openxmlformats-officedocument.spreadsheetml.worksheet+xml" PartName="/xl/worksheets/sheet20503.xml"/>
  <Override ContentType="application/vnd.openxmlformats-officedocument.spreadsheetml.worksheet+xml" PartName="/xl/worksheets/sheet20504.xml"/>
  <Override ContentType="application/vnd.openxmlformats-officedocument.spreadsheetml.worksheet+xml" PartName="/xl/worksheets/sheet20505.xml"/>
  <Override ContentType="application/vnd.openxmlformats-officedocument.spreadsheetml.worksheet+xml" PartName="/xl/worksheets/sheet20506.xml"/>
  <Override ContentType="application/vnd.openxmlformats-officedocument.spreadsheetml.worksheet+xml" PartName="/xl/worksheets/sheet20507.xml"/>
  <Override ContentType="application/vnd.openxmlformats-officedocument.spreadsheetml.worksheet+xml" PartName="/xl/worksheets/sheet20508.xml"/>
  <Override ContentType="application/vnd.openxmlformats-officedocument.spreadsheetml.worksheet+xml" PartName="/xl/worksheets/sheet20509.xml"/>
  <Override ContentType="application/vnd.openxmlformats-officedocument.spreadsheetml.worksheet+xml" PartName="/xl/worksheets/sheet20510.xml"/>
  <Override ContentType="application/vnd.openxmlformats-officedocument.spreadsheetml.worksheet+xml" PartName="/xl/worksheets/sheet20511.xml"/>
  <Override ContentType="application/vnd.openxmlformats-officedocument.spreadsheetml.worksheet+xml" PartName="/xl/worksheets/sheet20512.xml"/>
  <Override ContentType="application/vnd.openxmlformats-officedocument.spreadsheetml.worksheet+xml" PartName="/xl/worksheets/sheet20513.xml"/>
  <Override ContentType="application/vnd.openxmlformats-officedocument.spreadsheetml.worksheet+xml" PartName="/xl/worksheets/sheet20514.xml"/>
  <Override ContentType="application/vnd.openxmlformats-officedocument.spreadsheetml.worksheet+xml" PartName="/xl/worksheets/sheet20515.xml"/>
  <Override ContentType="application/vnd.openxmlformats-officedocument.spreadsheetml.worksheet+xml" PartName="/xl/worksheets/sheet20516.xml"/>
  <Override ContentType="application/vnd.openxmlformats-officedocument.spreadsheetml.worksheet+xml" PartName="/xl/worksheets/sheet20517.xml"/>
  <Override ContentType="application/vnd.openxmlformats-officedocument.spreadsheetml.worksheet+xml" PartName="/xl/worksheets/sheet20518.xml"/>
  <Override ContentType="application/vnd.openxmlformats-officedocument.spreadsheetml.worksheet+xml" PartName="/xl/worksheets/sheet20519.xml"/>
  <Override ContentType="application/vnd.openxmlformats-officedocument.spreadsheetml.worksheet+xml" PartName="/xl/worksheets/sheet20520.xml"/>
  <Override ContentType="application/vnd.openxmlformats-officedocument.spreadsheetml.worksheet+xml" PartName="/xl/worksheets/sheet20521.xml"/>
  <Override ContentType="application/vnd.openxmlformats-officedocument.spreadsheetml.worksheet+xml" PartName="/xl/worksheets/sheet20522.xml"/>
  <Override ContentType="application/vnd.openxmlformats-officedocument.spreadsheetml.worksheet+xml" PartName="/xl/worksheets/sheet20523.xml"/>
  <Override ContentType="application/vnd.openxmlformats-officedocument.spreadsheetml.worksheet+xml" PartName="/xl/worksheets/sheet20524.xml"/>
  <Override ContentType="application/vnd.openxmlformats-officedocument.spreadsheetml.worksheet+xml" PartName="/xl/worksheets/sheet20525.xml"/>
  <Override ContentType="application/vnd.openxmlformats-officedocument.spreadsheetml.worksheet+xml" PartName="/xl/worksheets/sheet20526.xml"/>
  <Override ContentType="application/vnd.openxmlformats-officedocument.spreadsheetml.worksheet+xml" PartName="/xl/worksheets/sheet20527.xml"/>
  <Override ContentType="application/vnd.openxmlformats-officedocument.spreadsheetml.worksheet+xml" PartName="/xl/worksheets/sheet20528.xml"/>
  <Override ContentType="application/vnd.openxmlformats-officedocument.spreadsheetml.worksheet+xml" PartName="/xl/worksheets/sheet20529.xml"/>
  <Override ContentType="application/vnd.openxmlformats-officedocument.spreadsheetml.worksheet+xml" PartName="/xl/worksheets/sheet20530.xml"/>
  <Override ContentType="application/vnd.openxmlformats-officedocument.spreadsheetml.worksheet+xml" PartName="/xl/worksheets/sheet20531.xml"/>
  <Override ContentType="application/vnd.openxmlformats-officedocument.spreadsheetml.worksheet+xml" PartName="/xl/worksheets/sheet20532.xml"/>
  <Override ContentType="application/vnd.openxmlformats-officedocument.spreadsheetml.worksheet+xml" PartName="/xl/worksheets/sheet20533.xml"/>
  <Override ContentType="application/vnd.openxmlformats-officedocument.spreadsheetml.worksheet+xml" PartName="/xl/worksheets/sheet20534.xml"/>
  <Override ContentType="application/vnd.openxmlformats-officedocument.spreadsheetml.worksheet+xml" PartName="/xl/worksheets/sheet20535.xml"/>
  <Override ContentType="application/vnd.openxmlformats-officedocument.spreadsheetml.worksheet+xml" PartName="/xl/worksheets/sheet20536.xml"/>
  <Override ContentType="application/vnd.openxmlformats-officedocument.spreadsheetml.worksheet+xml" PartName="/xl/worksheets/sheet20537.xml"/>
  <Override ContentType="application/vnd.openxmlformats-officedocument.spreadsheetml.worksheet+xml" PartName="/xl/worksheets/sheet20538.xml"/>
  <Override ContentType="application/vnd.openxmlformats-officedocument.spreadsheetml.worksheet+xml" PartName="/xl/worksheets/sheet20539.xml"/>
  <Override ContentType="application/vnd.openxmlformats-officedocument.spreadsheetml.worksheet+xml" PartName="/xl/worksheets/sheet20540.xml"/>
  <Override ContentType="application/vnd.openxmlformats-officedocument.spreadsheetml.worksheet+xml" PartName="/xl/worksheets/sheet20541.xml"/>
  <Override ContentType="application/vnd.openxmlformats-officedocument.spreadsheetml.worksheet+xml" PartName="/xl/worksheets/sheet20542.xml"/>
  <Override ContentType="application/vnd.openxmlformats-officedocument.spreadsheetml.worksheet+xml" PartName="/xl/worksheets/sheet20543.xml"/>
  <Override ContentType="application/vnd.openxmlformats-officedocument.spreadsheetml.worksheet+xml" PartName="/xl/worksheets/sheet20544.xml"/>
  <Override ContentType="application/vnd.openxmlformats-officedocument.spreadsheetml.worksheet+xml" PartName="/xl/worksheets/sheet20545.xml"/>
  <Override ContentType="application/vnd.openxmlformats-officedocument.spreadsheetml.worksheet+xml" PartName="/xl/worksheets/sheet20546.xml"/>
  <Override ContentType="application/vnd.openxmlformats-officedocument.spreadsheetml.worksheet+xml" PartName="/xl/worksheets/sheet20547.xml"/>
  <Override ContentType="application/vnd.openxmlformats-officedocument.spreadsheetml.worksheet+xml" PartName="/xl/worksheets/sheet20548.xml"/>
  <Override ContentType="application/vnd.openxmlformats-officedocument.spreadsheetml.worksheet+xml" PartName="/xl/worksheets/sheet20549.xml"/>
  <Override ContentType="application/vnd.openxmlformats-officedocument.spreadsheetml.worksheet+xml" PartName="/xl/worksheets/sheet20550.xml"/>
  <Override ContentType="application/vnd.openxmlformats-officedocument.spreadsheetml.worksheet+xml" PartName="/xl/worksheets/sheet20551.xml"/>
  <Override ContentType="application/vnd.openxmlformats-officedocument.spreadsheetml.worksheet+xml" PartName="/xl/worksheets/sheet20552.xml"/>
  <Override ContentType="application/vnd.openxmlformats-officedocument.spreadsheetml.worksheet+xml" PartName="/xl/worksheets/sheet20553.xml"/>
  <Override ContentType="application/vnd.openxmlformats-officedocument.spreadsheetml.worksheet+xml" PartName="/xl/worksheets/sheet20554.xml"/>
  <Override ContentType="application/vnd.openxmlformats-officedocument.spreadsheetml.worksheet+xml" PartName="/xl/worksheets/sheet20555.xml"/>
  <Override ContentType="application/vnd.openxmlformats-officedocument.spreadsheetml.worksheet+xml" PartName="/xl/worksheets/sheet20556.xml"/>
  <Override ContentType="application/vnd.openxmlformats-officedocument.spreadsheetml.worksheet+xml" PartName="/xl/worksheets/sheet20557.xml"/>
  <Override ContentType="application/vnd.openxmlformats-officedocument.spreadsheetml.worksheet+xml" PartName="/xl/worksheets/sheet20558.xml"/>
  <Override ContentType="application/vnd.openxmlformats-officedocument.spreadsheetml.worksheet+xml" PartName="/xl/worksheets/sheet20559.xml"/>
  <Override ContentType="application/vnd.openxmlformats-officedocument.spreadsheetml.worksheet+xml" PartName="/xl/worksheets/sheet20560.xml"/>
  <Override ContentType="application/vnd.openxmlformats-officedocument.spreadsheetml.worksheet+xml" PartName="/xl/worksheets/sheet20561.xml"/>
  <Override ContentType="application/vnd.openxmlformats-officedocument.spreadsheetml.worksheet+xml" PartName="/xl/worksheets/sheet20562.xml"/>
  <Override ContentType="application/vnd.openxmlformats-officedocument.spreadsheetml.worksheet+xml" PartName="/xl/worksheets/sheet20563.xml"/>
  <Override ContentType="application/vnd.openxmlformats-officedocument.spreadsheetml.worksheet+xml" PartName="/xl/worksheets/sheet20564.xml"/>
  <Override ContentType="application/vnd.openxmlformats-officedocument.spreadsheetml.worksheet+xml" PartName="/xl/worksheets/sheet20565.xml"/>
  <Override ContentType="application/vnd.openxmlformats-officedocument.spreadsheetml.worksheet+xml" PartName="/xl/worksheets/sheet20566.xml"/>
  <Override ContentType="application/vnd.openxmlformats-officedocument.spreadsheetml.worksheet+xml" PartName="/xl/worksheets/sheet20567.xml"/>
  <Override ContentType="application/vnd.openxmlformats-officedocument.spreadsheetml.worksheet+xml" PartName="/xl/worksheets/sheet20568.xml"/>
  <Override ContentType="application/vnd.openxmlformats-officedocument.spreadsheetml.worksheet+xml" PartName="/xl/worksheets/sheet20569.xml"/>
  <Override ContentType="application/vnd.openxmlformats-officedocument.spreadsheetml.worksheet+xml" PartName="/xl/worksheets/sheet20570.xml"/>
  <Override ContentType="application/vnd.openxmlformats-officedocument.spreadsheetml.worksheet+xml" PartName="/xl/worksheets/sheet20571.xml"/>
  <Override ContentType="application/vnd.openxmlformats-officedocument.spreadsheetml.worksheet+xml" PartName="/xl/worksheets/sheet20572.xml"/>
  <Override ContentType="application/vnd.openxmlformats-officedocument.spreadsheetml.worksheet+xml" PartName="/xl/worksheets/sheet20573.xml"/>
  <Override ContentType="application/vnd.openxmlformats-officedocument.spreadsheetml.worksheet+xml" PartName="/xl/worksheets/sheet20574.xml"/>
  <Override ContentType="application/vnd.openxmlformats-officedocument.spreadsheetml.worksheet+xml" PartName="/xl/worksheets/sheet20575.xml"/>
  <Override ContentType="application/vnd.openxmlformats-officedocument.spreadsheetml.worksheet+xml" PartName="/xl/worksheets/sheet20576.xml"/>
  <Override ContentType="application/vnd.openxmlformats-officedocument.spreadsheetml.worksheet+xml" PartName="/xl/worksheets/sheet20577.xml"/>
  <Override ContentType="application/vnd.openxmlformats-officedocument.spreadsheetml.worksheet+xml" PartName="/xl/worksheets/sheet20578.xml"/>
  <Override ContentType="application/vnd.openxmlformats-officedocument.spreadsheetml.worksheet+xml" PartName="/xl/worksheets/sheet20579.xml"/>
  <Override ContentType="application/vnd.openxmlformats-officedocument.spreadsheetml.worksheet+xml" PartName="/xl/worksheets/sheet20580.xml"/>
  <Override ContentType="application/vnd.openxmlformats-officedocument.spreadsheetml.worksheet+xml" PartName="/xl/worksheets/sheet20581.xml"/>
  <Override ContentType="application/vnd.openxmlformats-officedocument.spreadsheetml.worksheet+xml" PartName="/xl/worksheets/sheet20582.xml"/>
  <Override ContentType="application/vnd.openxmlformats-officedocument.spreadsheetml.worksheet+xml" PartName="/xl/worksheets/sheet20583.xml"/>
  <Override ContentType="application/vnd.openxmlformats-officedocument.spreadsheetml.worksheet+xml" PartName="/xl/worksheets/sheet20584.xml"/>
  <Override ContentType="application/vnd.openxmlformats-officedocument.spreadsheetml.worksheet+xml" PartName="/xl/worksheets/sheet20585.xml"/>
  <Override ContentType="application/vnd.openxmlformats-officedocument.spreadsheetml.worksheet+xml" PartName="/xl/worksheets/sheet20586.xml"/>
  <Override ContentType="application/vnd.openxmlformats-officedocument.spreadsheetml.worksheet+xml" PartName="/xl/worksheets/sheet20587.xml"/>
  <Override ContentType="application/vnd.openxmlformats-officedocument.spreadsheetml.worksheet+xml" PartName="/xl/worksheets/sheet20588.xml"/>
  <Override ContentType="application/vnd.openxmlformats-officedocument.spreadsheetml.worksheet+xml" PartName="/xl/worksheets/sheet20589.xml"/>
  <Override ContentType="application/vnd.openxmlformats-officedocument.spreadsheetml.worksheet+xml" PartName="/xl/worksheets/sheet20590.xml"/>
  <Override ContentType="application/vnd.openxmlformats-officedocument.spreadsheetml.worksheet+xml" PartName="/xl/worksheets/sheet20591.xml"/>
  <Override ContentType="application/vnd.openxmlformats-officedocument.spreadsheetml.worksheet+xml" PartName="/xl/worksheets/sheet20592.xml"/>
  <Override ContentType="application/vnd.openxmlformats-officedocument.spreadsheetml.worksheet+xml" PartName="/xl/worksheets/sheet20593.xml"/>
  <Override ContentType="application/vnd.openxmlformats-officedocument.spreadsheetml.worksheet+xml" PartName="/xl/worksheets/sheet20594.xml"/>
  <Override ContentType="application/vnd.openxmlformats-officedocument.spreadsheetml.worksheet+xml" PartName="/xl/worksheets/sheet20595.xml"/>
  <Override ContentType="application/vnd.openxmlformats-officedocument.spreadsheetml.worksheet+xml" PartName="/xl/worksheets/sheet20596.xml"/>
  <Override ContentType="application/vnd.openxmlformats-officedocument.spreadsheetml.worksheet+xml" PartName="/xl/worksheets/sheet20597.xml"/>
  <Override ContentType="application/vnd.openxmlformats-officedocument.spreadsheetml.worksheet+xml" PartName="/xl/worksheets/sheet20598.xml"/>
  <Override ContentType="application/vnd.openxmlformats-officedocument.spreadsheetml.worksheet+xml" PartName="/xl/worksheets/sheet20599.xml"/>
  <Override ContentType="application/vnd.openxmlformats-officedocument.spreadsheetml.worksheet+xml" PartName="/xl/worksheets/sheet20600.xml"/>
  <Override ContentType="application/vnd.openxmlformats-officedocument.spreadsheetml.worksheet+xml" PartName="/xl/worksheets/sheet20601.xml"/>
  <Override ContentType="application/vnd.openxmlformats-officedocument.spreadsheetml.worksheet+xml" PartName="/xl/worksheets/sheet20602.xml"/>
  <Override ContentType="application/vnd.openxmlformats-officedocument.spreadsheetml.worksheet+xml" PartName="/xl/worksheets/sheet20603.xml"/>
  <Override ContentType="application/vnd.openxmlformats-officedocument.spreadsheetml.worksheet+xml" PartName="/xl/worksheets/sheet20604.xml"/>
  <Override ContentType="application/vnd.openxmlformats-officedocument.spreadsheetml.worksheet+xml" PartName="/xl/worksheets/sheet20605.xml"/>
  <Override ContentType="application/vnd.openxmlformats-officedocument.spreadsheetml.worksheet+xml" PartName="/xl/worksheets/sheet20606.xml"/>
  <Override ContentType="application/vnd.openxmlformats-officedocument.spreadsheetml.worksheet+xml" PartName="/xl/worksheets/sheet20607.xml"/>
  <Override ContentType="application/vnd.openxmlformats-officedocument.spreadsheetml.worksheet+xml" PartName="/xl/worksheets/sheet20608.xml"/>
  <Override ContentType="application/vnd.openxmlformats-officedocument.spreadsheetml.worksheet+xml" PartName="/xl/worksheets/sheet20609.xml"/>
  <Override ContentType="application/vnd.openxmlformats-officedocument.spreadsheetml.worksheet+xml" PartName="/xl/worksheets/sheet20610.xml"/>
  <Override ContentType="application/vnd.openxmlformats-officedocument.spreadsheetml.worksheet+xml" PartName="/xl/worksheets/sheet20611.xml"/>
  <Override ContentType="application/vnd.openxmlformats-officedocument.spreadsheetml.worksheet+xml" PartName="/xl/worksheets/sheet20612.xml"/>
  <Override ContentType="application/vnd.openxmlformats-officedocument.spreadsheetml.worksheet+xml" PartName="/xl/worksheets/sheet20613.xml"/>
  <Override ContentType="application/vnd.openxmlformats-officedocument.spreadsheetml.worksheet+xml" PartName="/xl/worksheets/sheet20614.xml"/>
  <Override ContentType="application/vnd.openxmlformats-officedocument.spreadsheetml.worksheet+xml" PartName="/xl/worksheets/sheet20615.xml"/>
  <Override ContentType="application/vnd.openxmlformats-officedocument.spreadsheetml.worksheet+xml" PartName="/xl/worksheets/sheet20616.xml"/>
  <Override ContentType="application/vnd.openxmlformats-officedocument.spreadsheetml.worksheet+xml" PartName="/xl/worksheets/sheet20617.xml"/>
  <Override ContentType="application/vnd.openxmlformats-officedocument.spreadsheetml.worksheet+xml" PartName="/xl/worksheets/sheet20618.xml"/>
  <Override ContentType="application/vnd.openxmlformats-officedocument.spreadsheetml.worksheet+xml" PartName="/xl/worksheets/sheet20619.xml"/>
  <Override ContentType="application/vnd.openxmlformats-officedocument.spreadsheetml.worksheet+xml" PartName="/xl/worksheets/sheet20620.xml"/>
  <Override ContentType="application/vnd.openxmlformats-officedocument.spreadsheetml.worksheet+xml" PartName="/xl/worksheets/sheet20621.xml"/>
  <Override ContentType="application/vnd.openxmlformats-officedocument.spreadsheetml.worksheet+xml" PartName="/xl/worksheets/sheet20622.xml"/>
  <Override ContentType="application/vnd.openxmlformats-officedocument.spreadsheetml.worksheet+xml" PartName="/xl/worksheets/sheet20623.xml"/>
  <Override ContentType="application/vnd.openxmlformats-officedocument.spreadsheetml.worksheet+xml" PartName="/xl/worksheets/sheet20624.xml"/>
  <Override ContentType="application/vnd.openxmlformats-officedocument.spreadsheetml.worksheet+xml" PartName="/xl/worksheets/sheet20625.xml"/>
  <Override ContentType="application/vnd.openxmlformats-officedocument.spreadsheetml.worksheet+xml" PartName="/xl/worksheets/sheet20626.xml"/>
  <Override ContentType="application/vnd.openxmlformats-officedocument.spreadsheetml.worksheet+xml" PartName="/xl/worksheets/sheet20627.xml"/>
  <Override ContentType="application/vnd.openxmlformats-officedocument.spreadsheetml.worksheet+xml" PartName="/xl/worksheets/sheet20628.xml"/>
  <Override ContentType="application/vnd.openxmlformats-officedocument.spreadsheetml.worksheet+xml" PartName="/xl/worksheets/sheet20629.xml"/>
  <Override ContentType="application/vnd.openxmlformats-officedocument.spreadsheetml.worksheet+xml" PartName="/xl/worksheets/sheet20630.xml"/>
  <Override ContentType="application/vnd.openxmlformats-officedocument.spreadsheetml.worksheet+xml" PartName="/xl/worksheets/sheet20631.xml"/>
  <Override ContentType="application/vnd.openxmlformats-officedocument.spreadsheetml.worksheet+xml" PartName="/xl/worksheets/sheet20632.xml"/>
  <Override ContentType="application/vnd.openxmlformats-officedocument.spreadsheetml.worksheet+xml" PartName="/xl/worksheets/sheet20633.xml"/>
  <Override ContentType="application/vnd.openxmlformats-officedocument.spreadsheetml.worksheet+xml" PartName="/xl/worksheets/sheet20634.xml"/>
  <Override ContentType="application/vnd.openxmlformats-officedocument.spreadsheetml.worksheet+xml" PartName="/xl/worksheets/sheet20635.xml"/>
  <Override ContentType="application/vnd.openxmlformats-officedocument.spreadsheetml.worksheet+xml" PartName="/xl/worksheets/sheet20636.xml"/>
  <Override ContentType="application/vnd.openxmlformats-officedocument.spreadsheetml.worksheet+xml" PartName="/xl/worksheets/sheet20637.xml"/>
  <Override ContentType="application/vnd.openxmlformats-officedocument.spreadsheetml.worksheet+xml" PartName="/xl/worksheets/sheet20638.xml"/>
  <Override ContentType="application/vnd.openxmlformats-officedocument.spreadsheetml.worksheet+xml" PartName="/xl/worksheets/sheet20639.xml"/>
  <Override ContentType="application/vnd.openxmlformats-officedocument.spreadsheetml.worksheet+xml" PartName="/xl/worksheets/sheet20640.xml"/>
  <Override ContentType="application/vnd.openxmlformats-officedocument.spreadsheetml.worksheet+xml" PartName="/xl/worksheets/sheet20641.xml"/>
  <Override ContentType="application/vnd.openxmlformats-officedocument.spreadsheetml.worksheet+xml" PartName="/xl/worksheets/sheet20642.xml"/>
  <Override ContentType="application/vnd.openxmlformats-officedocument.spreadsheetml.worksheet+xml" PartName="/xl/worksheets/sheet20643.xml"/>
  <Override ContentType="application/vnd.openxmlformats-officedocument.spreadsheetml.worksheet+xml" PartName="/xl/worksheets/sheet20644.xml"/>
  <Override ContentType="application/vnd.openxmlformats-officedocument.spreadsheetml.worksheet+xml" PartName="/xl/worksheets/sheet20645.xml"/>
  <Override ContentType="application/vnd.openxmlformats-officedocument.spreadsheetml.worksheet+xml" PartName="/xl/worksheets/sheet20646.xml"/>
  <Override ContentType="application/vnd.openxmlformats-officedocument.spreadsheetml.worksheet+xml" PartName="/xl/worksheets/sheet20647.xml"/>
  <Override ContentType="application/vnd.openxmlformats-officedocument.spreadsheetml.worksheet+xml" PartName="/xl/worksheets/sheet20648.xml"/>
  <Override ContentType="application/vnd.openxmlformats-officedocument.spreadsheetml.worksheet+xml" PartName="/xl/worksheets/sheet20649.xml"/>
  <Override ContentType="application/vnd.openxmlformats-officedocument.spreadsheetml.worksheet+xml" PartName="/xl/worksheets/sheet20650.xml"/>
  <Override ContentType="application/vnd.openxmlformats-officedocument.spreadsheetml.worksheet+xml" PartName="/xl/worksheets/sheet20651.xml"/>
  <Override ContentType="application/vnd.openxmlformats-officedocument.spreadsheetml.worksheet+xml" PartName="/xl/worksheets/sheet20652.xml"/>
  <Override ContentType="application/vnd.openxmlformats-officedocument.spreadsheetml.worksheet+xml" PartName="/xl/worksheets/sheet20653.xml"/>
  <Override ContentType="application/vnd.openxmlformats-officedocument.spreadsheetml.worksheet+xml" PartName="/xl/worksheets/sheet20654.xml"/>
  <Override ContentType="application/vnd.openxmlformats-officedocument.spreadsheetml.worksheet+xml" PartName="/xl/worksheets/sheet20655.xml"/>
  <Override ContentType="application/vnd.openxmlformats-officedocument.spreadsheetml.worksheet+xml" PartName="/xl/worksheets/sheet20656.xml"/>
  <Override ContentType="application/vnd.openxmlformats-officedocument.spreadsheetml.worksheet+xml" PartName="/xl/worksheets/sheet20657.xml"/>
  <Override ContentType="application/vnd.openxmlformats-officedocument.spreadsheetml.worksheet+xml" PartName="/xl/worksheets/sheet20658.xml"/>
  <Override ContentType="application/vnd.openxmlformats-officedocument.spreadsheetml.worksheet+xml" PartName="/xl/worksheets/sheet20659.xml"/>
  <Override ContentType="application/vnd.openxmlformats-officedocument.spreadsheetml.worksheet+xml" PartName="/xl/worksheets/sheet20660.xml"/>
  <Override ContentType="application/vnd.openxmlformats-officedocument.spreadsheetml.worksheet+xml" PartName="/xl/worksheets/sheet20661.xml"/>
  <Override ContentType="application/vnd.openxmlformats-officedocument.spreadsheetml.worksheet+xml" PartName="/xl/worksheets/sheet20662.xml"/>
  <Override ContentType="application/vnd.openxmlformats-officedocument.spreadsheetml.worksheet+xml" PartName="/xl/worksheets/sheet20663.xml"/>
  <Override ContentType="application/vnd.openxmlformats-officedocument.spreadsheetml.worksheet+xml" PartName="/xl/worksheets/sheet20664.xml"/>
  <Override ContentType="application/vnd.openxmlformats-officedocument.spreadsheetml.worksheet+xml" PartName="/xl/worksheets/sheet20665.xml"/>
  <Override ContentType="application/vnd.openxmlformats-officedocument.spreadsheetml.worksheet+xml" PartName="/xl/worksheets/sheet20666.xml"/>
  <Override ContentType="application/vnd.openxmlformats-officedocument.spreadsheetml.worksheet+xml" PartName="/xl/worksheets/sheet20667.xml"/>
  <Override ContentType="application/vnd.openxmlformats-officedocument.spreadsheetml.worksheet+xml" PartName="/xl/worksheets/sheet20668.xml"/>
  <Override ContentType="application/vnd.openxmlformats-officedocument.spreadsheetml.worksheet+xml" PartName="/xl/worksheets/sheet20669.xml"/>
  <Override ContentType="application/vnd.openxmlformats-officedocument.spreadsheetml.worksheet+xml" PartName="/xl/worksheets/sheet20670.xml"/>
  <Override ContentType="application/vnd.openxmlformats-officedocument.spreadsheetml.worksheet+xml" PartName="/xl/worksheets/sheet20671.xml"/>
  <Override ContentType="application/vnd.openxmlformats-officedocument.spreadsheetml.worksheet+xml" PartName="/xl/worksheets/sheet20672.xml"/>
  <Override ContentType="application/vnd.openxmlformats-officedocument.spreadsheetml.worksheet+xml" PartName="/xl/worksheets/sheet20673.xml"/>
  <Override ContentType="application/vnd.openxmlformats-officedocument.spreadsheetml.worksheet+xml" PartName="/xl/worksheets/sheet20674.xml"/>
  <Override ContentType="application/vnd.openxmlformats-officedocument.spreadsheetml.worksheet+xml" PartName="/xl/worksheets/sheet20675.xml"/>
  <Override ContentType="application/vnd.openxmlformats-officedocument.spreadsheetml.worksheet+xml" PartName="/xl/worksheets/sheet20676.xml"/>
  <Override ContentType="application/vnd.openxmlformats-officedocument.spreadsheetml.worksheet+xml" PartName="/xl/worksheets/sheet20677.xml"/>
  <Override ContentType="application/vnd.openxmlformats-officedocument.spreadsheetml.worksheet+xml" PartName="/xl/worksheets/sheet20678.xml"/>
  <Override ContentType="application/vnd.openxmlformats-officedocument.spreadsheetml.worksheet+xml" PartName="/xl/worksheets/sheet20679.xml"/>
  <Override ContentType="application/vnd.openxmlformats-officedocument.spreadsheetml.worksheet+xml" PartName="/xl/worksheets/sheet20680.xml"/>
  <Override ContentType="application/vnd.openxmlformats-officedocument.spreadsheetml.worksheet+xml" PartName="/xl/worksheets/sheet20681.xml"/>
  <Override ContentType="application/vnd.openxmlformats-officedocument.spreadsheetml.worksheet+xml" PartName="/xl/worksheets/sheet20682.xml"/>
  <Override ContentType="application/vnd.openxmlformats-officedocument.spreadsheetml.worksheet+xml" PartName="/xl/worksheets/sheet20683.xml"/>
  <Override ContentType="application/vnd.openxmlformats-officedocument.spreadsheetml.worksheet+xml" PartName="/xl/worksheets/sheet20684.xml"/>
  <Override ContentType="application/vnd.openxmlformats-officedocument.spreadsheetml.worksheet+xml" PartName="/xl/worksheets/sheet20685.xml"/>
  <Override ContentType="application/vnd.openxmlformats-officedocument.spreadsheetml.worksheet+xml" PartName="/xl/worksheets/sheet20686.xml"/>
  <Override ContentType="application/vnd.openxmlformats-officedocument.spreadsheetml.worksheet+xml" PartName="/xl/worksheets/sheet20687.xml"/>
  <Override ContentType="application/vnd.openxmlformats-officedocument.spreadsheetml.worksheet+xml" PartName="/xl/worksheets/sheet20688.xml"/>
  <Override ContentType="application/vnd.openxmlformats-officedocument.spreadsheetml.worksheet+xml" PartName="/xl/worksheets/sheet20689.xml"/>
  <Override ContentType="application/vnd.openxmlformats-officedocument.spreadsheetml.worksheet+xml" PartName="/xl/worksheets/sheet20690.xml"/>
  <Override ContentType="application/vnd.openxmlformats-officedocument.spreadsheetml.worksheet+xml" PartName="/xl/worksheets/sheet20691.xml"/>
  <Override ContentType="application/vnd.openxmlformats-officedocument.spreadsheetml.worksheet+xml" PartName="/xl/worksheets/sheet20692.xml"/>
  <Override ContentType="application/vnd.openxmlformats-officedocument.spreadsheetml.worksheet+xml" PartName="/xl/worksheets/sheet20693.xml"/>
  <Override ContentType="application/vnd.openxmlformats-officedocument.spreadsheetml.worksheet+xml" PartName="/xl/worksheets/sheet20694.xml"/>
  <Override ContentType="application/vnd.openxmlformats-officedocument.spreadsheetml.worksheet+xml" PartName="/xl/worksheets/sheet20695.xml"/>
  <Override ContentType="application/vnd.openxmlformats-officedocument.spreadsheetml.worksheet+xml" PartName="/xl/worksheets/sheet20696.xml"/>
  <Override ContentType="application/vnd.openxmlformats-officedocument.spreadsheetml.worksheet+xml" PartName="/xl/worksheets/sheet20697.xml"/>
  <Override ContentType="application/vnd.openxmlformats-officedocument.spreadsheetml.worksheet+xml" PartName="/xl/worksheets/sheet20698.xml"/>
  <Override ContentType="application/vnd.openxmlformats-officedocument.spreadsheetml.worksheet+xml" PartName="/xl/worksheets/sheet20699.xml"/>
  <Override ContentType="application/vnd.openxmlformats-officedocument.spreadsheetml.worksheet+xml" PartName="/xl/worksheets/sheet20700.xml"/>
  <Override ContentType="application/vnd.openxmlformats-officedocument.spreadsheetml.worksheet+xml" PartName="/xl/worksheets/sheet20701.xml"/>
  <Override ContentType="application/vnd.openxmlformats-officedocument.spreadsheetml.worksheet+xml" PartName="/xl/worksheets/sheet20702.xml"/>
  <Override ContentType="application/vnd.openxmlformats-officedocument.spreadsheetml.worksheet+xml" PartName="/xl/worksheets/sheet20703.xml"/>
  <Override ContentType="application/vnd.openxmlformats-officedocument.spreadsheetml.worksheet+xml" PartName="/xl/worksheets/sheet20704.xml"/>
  <Override ContentType="application/vnd.openxmlformats-officedocument.spreadsheetml.worksheet+xml" PartName="/xl/worksheets/sheet20705.xml"/>
  <Override ContentType="application/vnd.openxmlformats-officedocument.spreadsheetml.worksheet+xml" PartName="/xl/worksheets/sheet20706.xml"/>
  <Override ContentType="application/vnd.openxmlformats-officedocument.spreadsheetml.worksheet+xml" PartName="/xl/worksheets/sheet20707.xml"/>
  <Override ContentType="application/vnd.openxmlformats-officedocument.spreadsheetml.worksheet+xml" PartName="/xl/worksheets/sheet20708.xml"/>
  <Override ContentType="application/vnd.openxmlformats-officedocument.spreadsheetml.worksheet+xml" PartName="/xl/worksheets/sheet20709.xml"/>
  <Override ContentType="application/vnd.openxmlformats-officedocument.spreadsheetml.worksheet+xml" PartName="/xl/worksheets/sheet20710.xml"/>
  <Override ContentType="application/vnd.openxmlformats-officedocument.spreadsheetml.worksheet+xml" PartName="/xl/worksheets/sheet20711.xml"/>
  <Override ContentType="application/vnd.openxmlformats-officedocument.spreadsheetml.worksheet+xml" PartName="/xl/worksheets/sheet20712.xml"/>
  <Override ContentType="application/vnd.openxmlformats-officedocument.spreadsheetml.worksheet+xml" PartName="/xl/worksheets/sheet20713.xml"/>
  <Override ContentType="application/vnd.openxmlformats-officedocument.spreadsheetml.worksheet+xml" PartName="/xl/worksheets/sheet20714.xml"/>
  <Override ContentType="application/vnd.openxmlformats-officedocument.spreadsheetml.worksheet+xml" PartName="/xl/worksheets/sheet20715.xml"/>
  <Override ContentType="application/vnd.openxmlformats-officedocument.spreadsheetml.worksheet+xml" PartName="/xl/worksheets/sheet20716.xml"/>
  <Override ContentType="application/vnd.openxmlformats-officedocument.spreadsheetml.worksheet+xml" PartName="/xl/worksheets/sheet20717.xml"/>
  <Override ContentType="application/vnd.openxmlformats-officedocument.spreadsheetml.worksheet+xml" PartName="/xl/worksheets/sheet20718.xml"/>
  <Override ContentType="application/vnd.openxmlformats-officedocument.spreadsheetml.worksheet+xml" PartName="/xl/worksheets/sheet20719.xml"/>
  <Override ContentType="application/vnd.openxmlformats-officedocument.spreadsheetml.worksheet+xml" PartName="/xl/worksheets/sheet20720.xml"/>
  <Override ContentType="application/vnd.openxmlformats-officedocument.spreadsheetml.worksheet+xml" PartName="/xl/worksheets/sheet20721.xml"/>
  <Override ContentType="application/vnd.openxmlformats-officedocument.spreadsheetml.worksheet+xml" PartName="/xl/worksheets/sheet20722.xml"/>
  <Override ContentType="application/vnd.openxmlformats-officedocument.spreadsheetml.worksheet+xml" PartName="/xl/worksheets/sheet20723.xml"/>
  <Override ContentType="application/vnd.openxmlformats-officedocument.spreadsheetml.worksheet+xml" PartName="/xl/worksheets/sheet20724.xml"/>
  <Override ContentType="application/vnd.openxmlformats-officedocument.spreadsheetml.worksheet+xml" PartName="/xl/worksheets/sheet20725.xml"/>
  <Override ContentType="application/vnd.openxmlformats-officedocument.spreadsheetml.worksheet+xml" PartName="/xl/worksheets/sheet20726.xml"/>
  <Override ContentType="application/vnd.openxmlformats-officedocument.spreadsheetml.worksheet+xml" PartName="/xl/worksheets/sheet20727.xml"/>
  <Override ContentType="application/vnd.openxmlformats-officedocument.spreadsheetml.worksheet+xml" PartName="/xl/worksheets/sheet20728.xml"/>
  <Override ContentType="application/vnd.openxmlformats-officedocument.spreadsheetml.worksheet+xml" PartName="/xl/worksheets/sheet20729.xml"/>
  <Override ContentType="application/vnd.openxmlformats-officedocument.spreadsheetml.worksheet+xml" PartName="/xl/worksheets/sheet20730.xml"/>
  <Override ContentType="application/vnd.openxmlformats-officedocument.spreadsheetml.worksheet+xml" PartName="/xl/worksheets/sheet20731.xml"/>
  <Override ContentType="application/vnd.openxmlformats-officedocument.spreadsheetml.worksheet+xml" PartName="/xl/worksheets/sheet20732.xml"/>
  <Override ContentType="application/vnd.openxmlformats-officedocument.spreadsheetml.worksheet+xml" PartName="/xl/worksheets/sheet20733.xml"/>
  <Override ContentType="application/vnd.openxmlformats-officedocument.spreadsheetml.worksheet+xml" PartName="/xl/worksheets/sheet20734.xml"/>
  <Override ContentType="application/vnd.openxmlformats-officedocument.spreadsheetml.worksheet+xml" PartName="/xl/worksheets/sheet20735.xml"/>
  <Override ContentType="application/vnd.openxmlformats-officedocument.spreadsheetml.worksheet+xml" PartName="/xl/worksheets/sheet20736.xml"/>
  <Override ContentType="application/vnd.openxmlformats-officedocument.spreadsheetml.worksheet+xml" PartName="/xl/worksheets/sheet20737.xml"/>
  <Override ContentType="application/vnd.openxmlformats-officedocument.spreadsheetml.worksheet+xml" PartName="/xl/worksheets/sheet20738.xml"/>
  <Override ContentType="application/vnd.openxmlformats-officedocument.spreadsheetml.worksheet+xml" PartName="/xl/worksheets/sheet20739.xml"/>
  <Override ContentType="application/vnd.openxmlformats-officedocument.spreadsheetml.worksheet+xml" PartName="/xl/worksheets/sheet20740.xml"/>
  <Override ContentType="application/vnd.openxmlformats-officedocument.spreadsheetml.worksheet+xml" PartName="/xl/worksheets/sheet20741.xml"/>
  <Override ContentType="application/vnd.openxmlformats-officedocument.spreadsheetml.worksheet+xml" PartName="/xl/worksheets/sheet20742.xml"/>
  <Override ContentType="application/vnd.openxmlformats-officedocument.spreadsheetml.worksheet+xml" PartName="/xl/worksheets/sheet20743.xml"/>
  <Override ContentType="application/vnd.openxmlformats-officedocument.spreadsheetml.worksheet+xml" PartName="/xl/worksheets/sheet20744.xml"/>
  <Override ContentType="application/vnd.openxmlformats-officedocument.spreadsheetml.worksheet+xml" PartName="/xl/worksheets/sheet20745.xml"/>
  <Override ContentType="application/vnd.openxmlformats-officedocument.spreadsheetml.worksheet+xml" PartName="/xl/worksheets/sheet20746.xml"/>
  <Override ContentType="application/vnd.openxmlformats-officedocument.spreadsheetml.worksheet+xml" PartName="/xl/worksheets/sheet20747.xml"/>
  <Override ContentType="application/vnd.openxmlformats-officedocument.spreadsheetml.worksheet+xml" PartName="/xl/worksheets/sheet20748.xml"/>
  <Override ContentType="application/vnd.openxmlformats-officedocument.spreadsheetml.worksheet+xml" PartName="/xl/worksheets/sheet20749.xml"/>
  <Override ContentType="application/vnd.openxmlformats-officedocument.spreadsheetml.worksheet+xml" PartName="/xl/worksheets/sheet20750.xml"/>
  <Override ContentType="application/vnd.openxmlformats-officedocument.spreadsheetml.worksheet+xml" PartName="/xl/worksheets/sheet20751.xml"/>
  <Override ContentType="application/vnd.openxmlformats-officedocument.spreadsheetml.worksheet+xml" PartName="/xl/worksheets/sheet20752.xml"/>
  <Override ContentType="application/vnd.openxmlformats-officedocument.spreadsheetml.worksheet+xml" PartName="/xl/worksheets/sheet20753.xml"/>
  <Override ContentType="application/vnd.openxmlformats-officedocument.spreadsheetml.worksheet+xml" PartName="/xl/worksheets/sheet20754.xml"/>
  <Override ContentType="application/vnd.openxmlformats-officedocument.spreadsheetml.worksheet+xml" PartName="/xl/worksheets/sheet20755.xml"/>
  <Override ContentType="application/vnd.openxmlformats-officedocument.spreadsheetml.worksheet+xml" PartName="/xl/worksheets/sheet20756.xml"/>
  <Override ContentType="application/vnd.openxmlformats-officedocument.spreadsheetml.worksheet+xml" PartName="/xl/worksheets/sheet20757.xml"/>
  <Override ContentType="application/vnd.openxmlformats-officedocument.spreadsheetml.worksheet+xml" PartName="/xl/worksheets/sheet20758.xml"/>
  <Override ContentType="application/vnd.openxmlformats-officedocument.spreadsheetml.worksheet+xml" PartName="/xl/worksheets/sheet20759.xml"/>
  <Override ContentType="application/vnd.openxmlformats-officedocument.spreadsheetml.worksheet+xml" PartName="/xl/worksheets/sheet20760.xml"/>
  <Override ContentType="application/vnd.openxmlformats-officedocument.spreadsheetml.worksheet+xml" PartName="/xl/worksheets/sheet20761.xml"/>
  <Override ContentType="application/vnd.openxmlformats-officedocument.spreadsheetml.worksheet+xml" PartName="/xl/worksheets/sheet20762.xml"/>
  <Override ContentType="application/vnd.openxmlformats-officedocument.spreadsheetml.worksheet+xml" PartName="/xl/worksheets/sheet20763.xml"/>
  <Override ContentType="application/vnd.openxmlformats-officedocument.spreadsheetml.worksheet+xml" PartName="/xl/worksheets/sheet20764.xml"/>
  <Override ContentType="application/vnd.openxmlformats-officedocument.spreadsheetml.worksheet+xml" PartName="/xl/worksheets/sheet20765.xml"/>
  <Override ContentType="application/vnd.openxmlformats-officedocument.spreadsheetml.worksheet+xml" PartName="/xl/worksheets/sheet20766.xml"/>
  <Override ContentType="application/vnd.openxmlformats-officedocument.spreadsheetml.worksheet+xml" PartName="/xl/worksheets/sheet20767.xml"/>
  <Override ContentType="application/vnd.openxmlformats-officedocument.spreadsheetml.worksheet+xml" PartName="/xl/worksheets/sheet20768.xml"/>
  <Override ContentType="application/vnd.openxmlformats-officedocument.spreadsheetml.worksheet+xml" PartName="/xl/worksheets/sheet20769.xml"/>
  <Override ContentType="application/vnd.openxmlformats-officedocument.spreadsheetml.worksheet+xml" PartName="/xl/worksheets/sheet20770.xml"/>
  <Override ContentType="application/vnd.openxmlformats-officedocument.spreadsheetml.worksheet+xml" PartName="/xl/worksheets/sheet20771.xml"/>
  <Override ContentType="application/vnd.openxmlformats-officedocument.spreadsheetml.worksheet+xml" PartName="/xl/worksheets/sheet20772.xml"/>
  <Override ContentType="application/vnd.openxmlformats-officedocument.spreadsheetml.worksheet+xml" PartName="/xl/worksheets/sheet20773.xml"/>
  <Override ContentType="application/vnd.openxmlformats-officedocument.spreadsheetml.worksheet+xml" PartName="/xl/worksheets/sheet20774.xml"/>
  <Override ContentType="application/vnd.openxmlformats-officedocument.spreadsheetml.worksheet+xml" PartName="/xl/worksheets/sheet20775.xml"/>
  <Override ContentType="application/vnd.openxmlformats-officedocument.spreadsheetml.worksheet+xml" PartName="/xl/worksheets/sheet20776.xml"/>
  <Override ContentType="application/vnd.openxmlformats-officedocument.spreadsheetml.worksheet+xml" PartName="/xl/worksheets/sheet20777.xml"/>
  <Override ContentType="application/vnd.openxmlformats-officedocument.spreadsheetml.worksheet+xml" PartName="/xl/worksheets/sheet20778.xml"/>
  <Override ContentType="application/vnd.openxmlformats-officedocument.spreadsheetml.worksheet+xml" PartName="/xl/worksheets/sheet20779.xml"/>
  <Override ContentType="application/vnd.openxmlformats-officedocument.spreadsheetml.worksheet+xml" PartName="/xl/worksheets/sheet20780.xml"/>
  <Override ContentType="application/vnd.openxmlformats-officedocument.spreadsheetml.worksheet+xml" PartName="/xl/worksheets/sheet20781.xml"/>
  <Override ContentType="application/vnd.openxmlformats-officedocument.spreadsheetml.worksheet+xml" PartName="/xl/worksheets/sheet20782.xml"/>
  <Override ContentType="application/vnd.openxmlformats-officedocument.spreadsheetml.worksheet+xml" PartName="/xl/worksheets/sheet20783.xml"/>
  <Override ContentType="application/vnd.openxmlformats-officedocument.spreadsheetml.worksheet+xml" PartName="/xl/worksheets/sheet20784.xml"/>
  <Override ContentType="application/vnd.openxmlformats-officedocument.spreadsheetml.worksheet+xml" PartName="/xl/worksheets/sheet20785.xml"/>
  <Override ContentType="application/vnd.openxmlformats-officedocument.spreadsheetml.worksheet+xml" PartName="/xl/worksheets/sheet20786.xml"/>
  <Override ContentType="application/vnd.openxmlformats-officedocument.spreadsheetml.worksheet+xml" PartName="/xl/worksheets/sheet20787.xml"/>
  <Override ContentType="application/vnd.openxmlformats-officedocument.spreadsheetml.worksheet+xml" PartName="/xl/worksheets/sheet20788.xml"/>
  <Override ContentType="application/vnd.openxmlformats-officedocument.spreadsheetml.worksheet+xml" PartName="/xl/worksheets/sheet20789.xml"/>
  <Override ContentType="application/vnd.openxmlformats-officedocument.spreadsheetml.worksheet+xml" PartName="/xl/worksheets/sheet20790.xml"/>
  <Override ContentType="application/vnd.openxmlformats-officedocument.spreadsheetml.worksheet+xml" PartName="/xl/worksheets/sheet20791.xml"/>
  <Override ContentType="application/vnd.openxmlformats-officedocument.spreadsheetml.worksheet+xml" PartName="/xl/worksheets/sheet20792.xml"/>
  <Override ContentType="application/vnd.openxmlformats-officedocument.spreadsheetml.worksheet+xml" PartName="/xl/worksheets/sheet20793.xml"/>
  <Override ContentType="application/vnd.openxmlformats-officedocument.spreadsheetml.worksheet+xml" PartName="/xl/worksheets/sheet20794.xml"/>
  <Override ContentType="application/vnd.openxmlformats-officedocument.spreadsheetml.worksheet+xml" PartName="/xl/worksheets/sheet20795.xml"/>
  <Override ContentType="application/vnd.openxmlformats-officedocument.spreadsheetml.worksheet+xml" PartName="/xl/worksheets/sheet20796.xml"/>
  <Override ContentType="application/vnd.openxmlformats-officedocument.spreadsheetml.worksheet+xml" PartName="/xl/worksheets/sheet20797.xml"/>
  <Override ContentType="application/vnd.openxmlformats-officedocument.spreadsheetml.worksheet+xml" PartName="/xl/worksheets/sheet20798.xml"/>
  <Override ContentType="application/vnd.openxmlformats-officedocument.spreadsheetml.worksheet+xml" PartName="/xl/worksheets/sheet20799.xml"/>
  <Override ContentType="application/vnd.openxmlformats-officedocument.spreadsheetml.worksheet+xml" PartName="/xl/worksheets/sheet20800.xml"/>
  <Override ContentType="application/vnd.openxmlformats-officedocument.spreadsheetml.worksheet+xml" PartName="/xl/worksheets/sheet20801.xml"/>
  <Override ContentType="application/vnd.openxmlformats-officedocument.spreadsheetml.worksheet+xml" PartName="/xl/worksheets/sheet20802.xml"/>
  <Override ContentType="application/vnd.openxmlformats-officedocument.spreadsheetml.worksheet+xml" PartName="/xl/worksheets/sheet20803.xml"/>
  <Override ContentType="application/vnd.openxmlformats-officedocument.spreadsheetml.worksheet+xml" PartName="/xl/worksheets/sheet20804.xml"/>
  <Override ContentType="application/vnd.openxmlformats-officedocument.spreadsheetml.worksheet+xml" PartName="/xl/worksheets/sheet20805.xml"/>
  <Override ContentType="application/vnd.openxmlformats-officedocument.spreadsheetml.worksheet+xml" PartName="/xl/worksheets/sheet20806.xml"/>
  <Override ContentType="application/vnd.openxmlformats-officedocument.spreadsheetml.worksheet+xml" PartName="/xl/worksheets/sheet20807.xml"/>
  <Override ContentType="application/vnd.openxmlformats-officedocument.spreadsheetml.worksheet+xml" PartName="/xl/worksheets/sheet20808.xml"/>
  <Override ContentType="application/vnd.openxmlformats-officedocument.spreadsheetml.worksheet+xml" PartName="/xl/worksheets/sheet20809.xml"/>
  <Override ContentType="application/vnd.openxmlformats-officedocument.spreadsheetml.worksheet+xml" PartName="/xl/worksheets/sheet20810.xml"/>
  <Override ContentType="application/vnd.openxmlformats-officedocument.spreadsheetml.worksheet+xml" PartName="/xl/worksheets/sheet20811.xml"/>
  <Override ContentType="application/vnd.openxmlformats-officedocument.spreadsheetml.worksheet+xml" PartName="/xl/worksheets/sheet20812.xml"/>
  <Override ContentType="application/vnd.openxmlformats-officedocument.spreadsheetml.worksheet+xml" PartName="/xl/worksheets/sheet20813.xml"/>
  <Override ContentType="application/vnd.openxmlformats-officedocument.spreadsheetml.worksheet+xml" PartName="/xl/worksheets/sheet20814.xml"/>
  <Override ContentType="application/vnd.openxmlformats-officedocument.spreadsheetml.worksheet+xml" PartName="/xl/worksheets/sheet20815.xml"/>
  <Override ContentType="application/vnd.openxmlformats-officedocument.spreadsheetml.worksheet+xml" PartName="/xl/worksheets/sheet20816.xml"/>
  <Override ContentType="application/vnd.openxmlformats-officedocument.spreadsheetml.worksheet+xml" PartName="/xl/worksheets/sheet20817.xml"/>
  <Override ContentType="application/vnd.openxmlformats-officedocument.spreadsheetml.worksheet+xml" PartName="/xl/worksheets/sheet20818.xml"/>
  <Override ContentType="application/vnd.openxmlformats-officedocument.spreadsheetml.worksheet+xml" PartName="/xl/worksheets/sheet20819.xml"/>
  <Override ContentType="application/vnd.openxmlformats-officedocument.spreadsheetml.worksheet+xml" PartName="/xl/worksheets/sheet20820.xml"/>
  <Override ContentType="application/vnd.openxmlformats-officedocument.spreadsheetml.worksheet+xml" PartName="/xl/worksheets/sheet20821.xml"/>
  <Override ContentType="application/vnd.openxmlformats-officedocument.spreadsheetml.worksheet+xml" PartName="/xl/worksheets/sheet20822.xml"/>
  <Override ContentType="application/vnd.openxmlformats-officedocument.spreadsheetml.worksheet+xml" PartName="/xl/worksheets/sheet20823.xml"/>
  <Override ContentType="application/vnd.openxmlformats-officedocument.spreadsheetml.worksheet+xml" PartName="/xl/worksheets/sheet20824.xml"/>
  <Override ContentType="application/vnd.openxmlformats-officedocument.spreadsheetml.worksheet+xml" PartName="/xl/worksheets/sheet20825.xml"/>
  <Override ContentType="application/vnd.openxmlformats-officedocument.spreadsheetml.worksheet+xml" PartName="/xl/worksheets/sheet20826.xml"/>
  <Override ContentType="application/vnd.openxmlformats-officedocument.spreadsheetml.worksheet+xml" PartName="/xl/worksheets/sheet20827.xml"/>
  <Override ContentType="application/vnd.openxmlformats-officedocument.spreadsheetml.worksheet+xml" PartName="/xl/worksheets/sheet20828.xml"/>
  <Override ContentType="application/vnd.openxmlformats-officedocument.spreadsheetml.worksheet+xml" PartName="/xl/worksheets/sheet20829.xml"/>
  <Override ContentType="application/vnd.openxmlformats-officedocument.spreadsheetml.worksheet+xml" PartName="/xl/worksheets/sheet20830.xml"/>
  <Override ContentType="application/vnd.openxmlformats-officedocument.spreadsheetml.worksheet+xml" PartName="/xl/worksheets/sheet20831.xml"/>
  <Override ContentType="application/vnd.openxmlformats-officedocument.spreadsheetml.worksheet+xml" PartName="/xl/worksheets/sheet20832.xml"/>
  <Override ContentType="application/vnd.openxmlformats-officedocument.spreadsheetml.worksheet+xml" PartName="/xl/worksheets/sheet20833.xml"/>
  <Override ContentType="application/vnd.openxmlformats-officedocument.spreadsheetml.worksheet+xml" PartName="/xl/worksheets/sheet20834.xml"/>
  <Override ContentType="application/vnd.openxmlformats-officedocument.spreadsheetml.worksheet+xml" PartName="/xl/worksheets/sheet20835.xml"/>
  <Override ContentType="application/vnd.openxmlformats-officedocument.spreadsheetml.worksheet+xml" PartName="/xl/worksheets/sheet20836.xml"/>
  <Override ContentType="application/vnd.openxmlformats-officedocument.spreadsheetml.worksheet+xml" PartName="/xl/worksheets/sheet20837.xml"/>
  <Override ContentType="application/vnd.openxmlformats-officedocument.spreadsheetml.worksheet+xml" PartName="/xl/worksheets/sheet20838.xml"/>
  <Override ContentType="application/vnd.openxmlformats-officedocument.spreadsheetml.worksheet+xml" PartName="/xl/worksheets/sheet20839.xml"/>
  <Override ContentType="application/vnd.openxmlformats-officedocument.spreadsheetml.worksheet+xml" PartName="/xl/worksheets/sheet20840.xml"/>
  <Override ContentType="application/vnd.openxmlformats-officedocument.spreadsheetml.worksheet+xml" PartName="/xl/worksheets/sheet20841.xml"/>
  <Override ContentType="application/vnd.openxmlformats-officedocument.spreadsheetml.worksheet+xml" PartName="/xl/worksheets/sheet20842.xml"/>
  <Override ContentType="application/vnd.openxmlformats-officedocument.spreadsheetml.worksheet+xml" PartName="/xl/worksheets/sheet20843.xml"/>
  <Override ContentType="application/vnd.openxmlformats-officedocument.spreadsheetml.worksheet+xml" PartName="/xl/worksheets/sheet20844.xml"/>
  <Override ContentType="application/vnd.openxmlformats-officedocument.spreadsheetml.worksheet+xml" PartName="/xl/worksheets/sheet20845.xml"/>
  <Override ContentType="application/vnd.openxmlformats-officedocument.spreadsheetml.worksheet+xml" PartName="/xl/worksheets/sheet20846.xml"/>
  <Override ContentType="application/vnd.openxmlformats-officedocument.spreadsheetml.worksheet+xml" PartName="/xl/worksheets/sheet20847.xml"/>
  <Override ContentType="application/vnd.openxmlformats-officedocument.spreadsheetml.worksheet+xml" PartName="/xl/worksheets/sheet20848.xml"/>
  <Override ContentType="application/vnd.openxmlformats-officedocument.spreadsheetml.worksheet+xml" PartName="/xl/worksheets/sheet20849.xml"/>
  <Override ContentType="application/vnd.openxmlformats-officedocument.spreadsheetml.worksheet+xml" PartName="/xl/worksheets/sheet20850.xml"/>
  <Override ContentType="application/vnd.openxmlformats-officedocument.spreadsheetml.worksheet+xml" PartName="/xl/worksheets/sheet20851.xml"/>
  <Override ContentType="application/vnd.openxmlformats-officedocument.spreadsheetml.worksheet+xml" PartName="/xl/worksheets/sheet20852.xml"/>
  <Override ContentType="application/vnd.openxmlformats-officedocument.spreadsheetml.worksheet+xml" PartName="/xl/worksheets/sheet20853.xml"/>
  <Override ContentType="application/vnd.openxmlformats-officedocument.spreadsheetml.worksheet+xml" PartName="/xl/worksheets/sheet20854.xml"/>
  <Override ContentType="application/vnd.openxmlformats-officedocument.spreadsheetml.worksheet+xml" PartName="/xl/worksheets/sheet20855.xml"/>
  <Override ContentType="application/vnd.openxmlformats-officedocument.spreadsheetml.worksheet+xml" PartName="/xl/worksheets/sheet20856.xml"/>
  <Override ContentType="application/vnd.openxmlformats-officedocument.spreadsheetml.worksheet+xml" PartName="/xl/worksheets/sheet20857.xml"/>
  <Override ContentType="application/vnd.openxmlformats-officedocument.spreadsheetml.worksheet+xml" PartName="/xl/worksheets/sheet20858.xml"/>
  <Override ContentType="application/vnd.openxmlformats-officedocument.spreadsheetml.worksheet+xml" PartName="/xl/worksheets/sheet20859.xml"/>
  <Override ContentType="application/vnd.openxmlformats-officedocument.spreadsheetml.worksheet+xml" PartName="/xl/worksheets/sheet20860.xml"/>
  <Override ContentType="application/vnd.openxmlformats-officedocument.spreadsheetml.worksheet+xml" PartName="/xl/worksheets/sheet20861.xml"/>
  <Override ContentType="application/vnd.openxmlformats-officedocument.spreadsheetml.worksheet+xml" PartName="/xl/worksheets/sheet20862.xml"/>
  <Override ContentType="application/vnd.openxmlformats-officedocument.spreadsheetml.worksheet+xml" PartName="/xl/worksheets/sheet20863.xml"/>
  <Override ContentType="application/vnd.openxmlformats-officedocument.spreadsheetml.worksheet+xml" PartName="/xl/worksheets/sheet20864.xml"/>
  <Override ContentType="application/vnd.openxmlformats-officedocument.spreadsheetml.worksheet+xml" PartName="/xl/worksheets/sheet20865.xml"/>
  <Override ContentType="application/vnd.openxmlformats-officedocument.spreadsheetml.worksheet+xml" PartName="/xl/worksheets/sheet20866.xml"/>
  <Override ContentType="application/vnd.openxmlformats-officedocument.spreadsheetml.worksheet+xml" PartName="/xl/worksheets/sheet20867.xml"/>
  <Override ContentType="application/vnd.openxmlformats-officedocument.spreadsheetml.worksheet+xml" PartName="/xl/worksheets/sheet20868.xml"/>
  <Override ContentType="application/vnd.openxmlformats-officedocument.spreadsheetml.worksheet+xml" PartName="/xl/worksheets/sheet20869.xml"/>
  <Override ContentType="application/vnd.openxmlformats-officedocument.spreadsheetml.worksheet+xml" PartName="/xl/worksheets/sheet20870.xml"/>
  <Override ContentType="application/vnd.openxmlformats-officedocument.spreadsheetml.worksheet+xml" PartName="/xl/worksheets/sheet20871.xml"/>
  <Override ContentType="application/vnd.openxmlformats-officedocument.spreadsheetml.worksheet+xml" PartName="/xl/worksheets/sheet20872.xml"/>
  <Override ContentType="application/vnd.openxmlformats-officedocument.spreadsheetml.worksheet+xml" PartName="/xl/worksheets/sheet20873.xml"/>
  <Override ContentType="application/vnd.openxmlformats-officedocument.spreadsheetml.worksheet+xml" PartName="/xl/worksheets/sheet20874.xml"/>
  <Override ContentType="application/vnd.openxmlformats-officedocument.spreadsheetml.worksheet+xml" PartName="/xl/worksheets/sheet20875.xml"/>
  <Override ContentType="application/vnd.openxmlformats-officedocument.spreadsheetml.worksheet+xml" PartName="/xl/worksheets/sheet20876.xml"/>
  <Override ContentType="application/vnd.openxmlformats-officedocument.spreadsheetml.worksheet+xml" PartName="/xl/worksheets/sheet20877.xml"/>
  <Override ContentType="application/vnd.openxmlformats-officedocument.spreadsheetml.worksheet+xml" PartName="/xl/worksheets/sheet20878.xml"/>
  <Override ContentType="application/vnd.openxmlformats-officedocument.spreadsheetml.worksheet+xml" PartName="/xl/worksheets/sheet20879.xml"/>
  <Override ContentType="application/vnd.openxmlformats-officedocument.spreadsheetml.worksheet+xml" PartName="/xl/worksheets/sheet20880.xml"/>
  <Override ContentType="application/vnd.openxmlformats-officedocument.spreadsheetml.worksheet+xml" PartName="/xl/worksheets/sheet20881.xml"/>
  <Override ContentType="application/vnd.openxmlformats-officedocument.spreadsheetml.worksheet+xml" PartName="/xl/worksheets/sheet20882.xml"/>
  <Override ContentType="application/vnd.openxmlformats-officedocument.spreadsheetml.worksheet+xml" PartName="/xl/worksheets/sheet20883.xml"/>
  <Override ContentType="application/vnd.openxmlformats-officedocument.spreadsheetml.worksheet+xml" PartName="/xl/worksheets/sheet20884.xml"/>
  <Override ContentType="application/vnd.openxmlformats-officedocument.spreadsheetml.worksheet+xml" PartName="/xl/worksheets/sheet20885.xml"/>
  <Override ContentType="application/vnd.openxmlformats-officedocument.spreadsheetml.worksheet+xml" PartName="/xl/worksheets/sheet20886.xml"/>
  <Override ContentType="application/vnd.openxmlformats-officedocument.spreadsheetml.worksheet+xml" PartName="/xl/worksheets/sheet20887.xml"/>
  <Override ContentType="application/vnd.openxmlformats-officedocument.spreadsheetml.worksheet+xml" PartName="/xl/worksheets/sheet20888.xml"/>
  <Override ContentType="application/vnd.openxmlformats-officedocument.spreadsheetml.worksheet+xml" PartName="/xl/worksheets/sheet20889.xml"/>
  <Override ContentType="application/vnd.openxmlformats-officedocument.spreadsheetml.worksheet+xml" PartName="/xl/worksheets/sheet20890.xml"/>
  <Override ContentType="application/vnd.openxmlformats-officedocument.spreadsheetml.worksheet+xml" PartName="/xl/worksheets/sheet20891.xml"/>
  <Override ContentType="application/vnd.openxmlformats-officedocument.spreadsheetml.worksheet+xml" PartName="/xl/worksheets/sheet20892.xml"/>
  <Override ContentType="application/vnd.openxmlformats-officedocument.spreadsheetml.worksheet+xml" PartName="/xl/worksheets/sheet20893.xml"/>
  <Override ContentType="application/vnd.openxmlformats-officedocument.spreadsheetml.worksheet+xml" PartName="/xl/worksheets/sheet20894.xml"/>
  <Override ContentType="application/vnd.openxmlformats-officedocument.spreadsheetml.worksheet+xml" PartName="/xl/worksheets/sheet20895.xml"/>
  <Override ContentType="application/vnd.openxmlformats-officedocument.spreadsheetml.worksheet+xml" PartName="/xl/worksheets/sheet20896.xml"/>
  <Override ContentType="application/vnd.openxmlformats-officedocument.spreadsheetml.worksheet+xml" PartName="/xl/worksheets/sheet20897.xml"/>
  <Override ContentType="application/vnd.openxmlformats-officedocument.spreadsheetml.worksheet+xml" PartName="/xl/worksheets/sheet20898.xml"/>
  <Override ContentType="application/vnd.openxmlformats-officedocument.spreadsheetml.worksheet+xml" PartName="/xl/worksheets/sheet20899.xml"/>
  <Override ContentType="application/vnd.openxmlformats-officedocument.spreadsheetml.worksheet+xml" PartName="/xl/worksheets/sheet20900.xml"/>
  <Override ContentType="application/vnd.openxmlformats-officedocument.spreadsheetml.worksheet+xml" PartName="/xl/worksheets/sheet20901.xml"/>
  <Override ContentType="application/vnd.openxmlformats-officedocument.spreadsheetml.worksheet+xml" PartName="/xl/worksheets/sheet20902.xml"/>
  <Override ContentType="application/vnd.openxmlformats-officedocument.spreadsheetml.worksheet+xml" PartName="/xl/worksheets/sheet20903.xml"/>
  <Override ContentType="application/vnd.openxmlformats-officedocument.spreadsheetml.worksheet+xml" PartName="/xl/worksheets/sheet20904.xml"/>
  <Override ContentType="application/vnd.openxmlformats-officedocument.spreadsheetml.worksheet+xml" PartName="/xl/worksheets/sheet20905.xml"/>
  <Override ContentType="application/vnd.openxmlformats-officedocument.spreadsheetml.worksheet+xml" PartName="/xl/worksheets/sheet20906.xml"/>
  <Override ContentType="application/vnd.openxmlformats-officedocument.spreadsheetml.worksheet+xml" PartName="/xl/worksheets/sheet20907.xml"/>
  <Override ContentType="application/vnd.openxmlformats-officedocument.spreadsheetml.worksheet+xml" PartName="/xl/worksheets/sheet20908.xml"/>
  <Override ContentType="application/vnd.openxmlformats-officedocument.spreadsheetml.worksheet+xml" PartName="/xl/worksheets/sheet20909.xml"/>
  <Override ContentType="application/vnd.openxmlformats-officedocument.spreadsheetml.worksheet+xml" PartName="/xl/worksheets/sheet20910.xml"/>
  <Override ContentType="application/vnd.openxmlformats-officedocument.spreadsheetml.worksheet+xml" PartName="/xl/worksheets/sheet20911.xml"/>
  <Override ContentType="application/vnd.openxmlformats-officedocument.spreadsheetml.worksheet+xml" PartName="/xl/worksheets/sheet20912.xml"/>
  <Override ContentType="application/vnd.openxmlformats-officedocument.spreadsheetml.worksheet+xml" PartName="/xl/worksheets/sheet20913.xml"/>
  <Override ContentType="application/vnd.openxmlformats-officedocument.spreadsheetml.worksheet+xml" PartName="/xl/worksheets/sheet20914.xml"/>
  <Override ContentType="application/vnd.openxmlformats-officedocument.spreadsheetml.worksheet+xml" PartName="/xl/worksheets/sheet20915.xml"/>
  <Override ContentType="application/vnd.openxmlformats-officedocument.spreadsheetml.worksheet+xml" PartName="/xl/worksheets/sheet20916.xml"/>
  <Override ContentType="application/vnd.openxmlformats-officedocument.spreadsheetml.worksheet+xml" PartName="/xl/worksheets/sheet20917.xml"/>
  <Override ContentType="application/vnd.openxmlformats-officedocument.spreadsheetml.worksheet+xml" PartName="/xl/worksheets/sheet20918.xml"/>
  <Override ContentType="application/vnd.openxmlformats-officedocument.spreadsheetml.worksheet+xml" PartName="/xl/worksheets/sheet20919.xml"/>
  <Override ContentType="application/vnd.openxmlformats-officedocument.spreadsheetml.worksheet+xml" PartName="/xl/worksheets/sheet20920.xml"/>
  <Override ContentType="application/vnd.openxmlformats-officedocument.spreadsheetml.worksheet+xml" PartName="/xl/worksheets/sheet20921.xml"/>
  <Override ContentType="application/vnd.openxmlformats-officedocument.spreadsheetml.worksheet+xml" PartName="/xl/worksheets/sheet20922.xml"/>
  <Override ContentType="application/vnd.openxmlformats-officedocument.spreadsheetml.worksheet+xml" PartName="/xl/worksheets/sheet20923.xml"/>
  <Override ContentType="application/vnd.openxmlformats-officedocument.spreadsheetml.worksheet+xml" PartName="/xl/worksheets/sheet20924.xml"/>
  <Override ContentType="application/vnd.openxmlformats-officedocument.spreadsheetml.worksheet+xml" PartName="/xl/worksheets/sheet20925.xml"/>
  <Override ContentType="application/vnd.openxmlformats-officedocument.spreadsheetml.worksheet+xml" PartName="/xl/worksheets/sheet20926.xml"/>
  <Override ContentType="application/vnd.openxmlformats-officedocument.spreadsheetml.worksheet+xml" PartName="/xl/worksheets/sheet20927.xml"/>
  <Override ContentType="application/vnd.openxmlformats-officedocument.spreadsheetml.worksheet+xml" PartName="/xl/worksheets/sheet20928.xml"/>
  <Override ContentType="application/vnd.openxmlformats-officedocument.spreadsheetml.worksheet+xml" PartName="/xl/worksheets/sheet20929.xml"/>
  <Override ContentType="application/vnd.openxmlformats-officedocument.spreadsheetml.worksheet+xml" PartName="/xl/worksheets/sheet20930.xml"/>
  <Override ContentType="application/vnd.openxmlformats-officedocument.spreadsheetml.worksheet+xml" PartName="/xl/worksheets/sheet20931.xml"/>
  <Override ContentType="application/vnd.openxmlformats-officedocument.spreadsheetml.worksheet+xml" PartName="/xl/worksheets/sheet20932.xml"/>
  <Override ContentType="application/vnd.openxmlformats-officedocument.spreadsheetml.worksheet+xml" PartName="/xl/worksheets/sheet20933.xml"/>
  <Override ContentType="application/vnd.openxmlformats-officedocument.spreadsheetml.worksheet+xml" PartName="/xl/worksheets/sheet20934.xml"/>
  <Override ContentType="application/vnd.openxmlformats-officedocument.spreadsheetml.worksheet+xml" PartName="/xl/worksheets/sheet20935.xml"/>
  <Override ContentType="application/vnd.openxmlformats-officedocument.spreadsheetml.worksheet+xml" PartName="/xl/worksheets/sheet20936.xml"/>
  <Override ContentType="application/vnd.openxmlformats-officedocument.spreadsheetml.worksheet+xml" PartName="/xl/worksheets/sheet20937.xml"/>
  <Override ContentType="application/vnd.openxmlformats-officedocument.spreadsheetml.worksheet+xml" PartName="/xl/worksheets/sheet20938.xml"/>
  <Override ContentType="application/vnd.openxmlformats-officedocument.spreadsheetml.worksheet+xml" PartName="/xl/worksheets/sheet20939.xml"/>
  <Override ContentType="application/vnd.openxmlformats-officedocument.spreadsheetml.worksheet+xml" PartName="/xl/worksheets/sheet20940.xml"/>
  <Override ContentType="application/vnd.openxmlformats-officedocument.spreadsheetml.worksheet+xml" PartName="/xl/worksheets/sheet20941.xml"/>
  <Override ContentType="application/vnd.openxmlformats-officedocument.spreadsheetml.worksheet+xml" PartName="/xl/worksheets/sheet20942.xml"/>
  <Override ContentType="application/vnd.openxmlformats-officedocument.spreadsheetml.worksheet+xml" PartName="/xl/worksheets/sheet20943.xml"/>
  <Override ContentType="application/vnd.openxmlformats-officedocument.spreadsheetml.worksheet+xml" PartName="/xl/worksheets/sheet20944.xml"/>
  <Override ContentType="application/vnd.openxmlformats-officedocument.spreadsheetml.worksheet+xml" PartName="/xl/worksheets/sheet20945.xml"/>
  <Override ContentType="application/vnd.openxmlformats-officedocument.spreadsheetml.worksheet+xml" PartName="/xl/worksheets/sheet20946.xml"/>
  <Override ContentType="application/vnd.openxmlformats-officedocument.spreadsheetml.worksheet+xml" PartName="/xl/worksheets/sheet20947.xml"/>
  <Override ContentType="application/vnd.openxmlformats-officedocument.spreadsheetml.worksheet+xml" PartName="/xl/worksheets/sheet20948.xml"/>
  <Override ContentType="application/vnd.openxmlformats-officedocument.spreadsheetml.worksheet+xml" PartName="/xl/worksheets/sheet20949.xml"/>
  <Override ContentType="application/vnd.openxmlformats-officedocument.spreadsheetml.worksheet+xml" PartName="/xl/worksheets/sheet20950.xml"/>
  <Override ContentType="application/vnd.openxmlformats-officedocument.spreadsheetml.worksheet+xml" PartName="/xl/worksheets/sheet20951.xml"/>
  <Override ContentType="application/vnd.openxmlformats-officedocument.spreadsheetml.worksheet+xml" PartName="/xl/worksheets/sheet20952.xml"/>
  <Override ContentType="application/vnd.openxmlformats-officedocument.spreadsheetml.worksheet+xml" PartName="/xl/worksheets/sheet20953.xml"/>
  <Override ContentType="application/vnd.openxmlformats-officedocument.spreadsheetml.worksheet+xml" PartName="/xl/worksheets/sheet20954.xml"/>
  <Override ContentType="application/vnd.openxmlformats-officedocument.spreadsheetml.worksheet+xml" PartName="/xl/worksheets/sheet20955.xml"/>
  <Override ContentType="application/vnd.openxmlformats-officedocument.spreadsheetml.worksheet+xml" PartName="/xl/worksheets/sheet20956.xml"/>
  <Override ContentType="application/vnd.openxmlformats-officedocument.spreadsheetml.worksheet+xml" PartName="/xl/worksheets/sheet20957.xml"/>
  <Override ContentType="application/vnd.openxmlformats-officedocument.spreadsheetml.worksheet+xml" PartName="/xl/worksheets/sheet20958.xml"/>
  <Override ContentType="application/vnd.openxmlformats-officedocument.spreadsheetml.worksheet+xml" PartName="/xl/worksheets/sheet20959.xml"/>
  <Override ContentType="application/vnd.openxmlformats-officedocument.spreadsheetml.worksheet+xml" PartName="/xl/worksheets/sheet20960.xml"/>
  <Override ContentType="application/vnd.openxmlformats-officedocument.spreadsheetml.worksheet+xml" PartName="/xl/worksheets/sheet20961.xml"/>
  <Override ContentType="application/vnd.openxmlformats-officedocument.spreadsheetml.worksheet+xml" PartName="/xl/worksheets/sheet20962.xml"/>
  <Override ContentType="application/vnd.openxmlformats-officedocument.spreadsheetml.worksheet+xml" PartName="/xl/worksheets/sheet20963.xml"/>
  <Override ContentType="application/vnd.openxmlformats-officedocument.spreadsheetml.worksheet+xml" PartName="/xl/worksheets/sheet20964.xml"/>
  <Override ContentType="application/vnd.openxmlformats-officedocument.spreadsheetml.worksheet+xml" PartName="/xl/worksheets/sheet20965.xml"/>
  <Override ContentType="application/vnd.openxmlformats-officedocument.spreadsheetml.worksheet+xml" PartName="/xl/worksheets/sheet20966.xml"/>
  <Override ContentType="application/vnd.openxmlformats-officedocument.spreadsheetml.worksheet+xml" PartName="/xl/worksheets/sheet20967.xml"/>
  <Override ContentType="application/vnd.openxmlformats-officedocument.spreadsheetml.worksheet+xml" PartName="/xl/worksheets/sheet20968.xml"/>
  <Override ContentType="application/vnd.openxmlformats-officedocument.spreadsheetml.worksheet+xml" PartName="/xl/worksheets/sheet20969.xml"/>
  <Override ContentType="application/vnd.openxmlformats-officedocument.spreadsheetml.worksheet+xml" PartName="/xl/worksheets/sheet20970.xml"/>
  <Override ContentType="application/vnd.openxmlformats-officedocument.spreadsheetml.worksheet+xml" PartName="/xl/worksheets/sheet20971.xml"/>
  <Override ContentType="application/vnd.openxmlformats-officedocument.spreadsheetml.worksheet+xml" PartName="/xl/worksheets/sheet20972.xml"/>
  <Override ContentType="application/vnd.openxmlformats-officedocument.spreadsheetml.worksheet+xml" PartName="/xl/worksheets/sheet20973.xml"/>
  <Override ContentType="application/vnd.openxmlformats-officedocument.spreadsheetml.worksheet+xml" PartName="/xl/worksheets/sheet20974.xml"/>
  <Override ContentType="application/vnd.openxmlformats-officedocument.spreadsheetml.worksheet+xml" PartName="/xl/worksheets/sheet20975.xml"/>
  <Override ContentType="application/vnd.openxmlformats-officedocument.spreadsheetml.worksheet+xml" PartName="/xl/worksheets/sheet20976.xml"/>
  <Override ContentType="application/vnd.openxmlformats-officedocument.spreadsheetml.worksheet+xml" PartName="/xl/worksheets/sheet20977.xml"/>
  <Override ContentType="application/vnd.openxmlformats-officedocument.spreadsheetml.worksheet+xml" PartName="/xl/worksheets/sheet20978.xml"/>
  <Override ContentType="application/vnd.openxmlformats-officedocument.spreadsheetml.worksheet+xml" PartName="/xl/worksheets/sheet20979.xml"/>
  <Override ContentType="application/vnd.openxmlformats-officedocument.spreadsheetml.worksheet+xml" PartName="/xl/worksheets/sheet20980.xml"/>
  <Override ContentType="application/vnd.openxmlformats-officedocument.spreadsheetml.worksheet+xml" PartName="/xl/worksheets/sheet20981.xml"/>
  <Override ContentType="application/vnd.openxmlformats-officedocument.spreadsheetml.worksheet+xml" PartName="/xl/worksheets/sheet20982.xml"/>
  <Override ContentType="application/vnd.openxmlformats-officedocument.spreadsheetml.worksheet+xml" PartName="/xl/worksheets/sheet20983.xml"/>
  <Override ContentType="application/vnd.openxmlformats-officedocument.spreadsheetml.worksheet+xml" PartName="/xl/worksheets/sheet20984.xml"/>
  <Override ContentType="application/vnd.openxmlformats-officedocument.spreadsheetml.worksheet+xml" PartName="/xl/worksheets/sheet20985.xml"/>
  <Override ContentType="application/vnd.openxmlformats-officedocument.spreadsheetml.worksheet+xml" PartName="/xl/worksheets/sheet20986.xml"/>
  <Override ContentType="application/vnd.openxmlformats-officedocument.spreadsheetml.worksheet+xml" PartName="/xl/worksheets/sheet20987.xml"/>
  <Override ContentType="application/vnd.openxmlformats-officedocument.spreadsheetml.worksheet+xml" PartName="/xl/worksheets/sheet20988.xml"/>
  <Override ContentType="application/vnd.openxmlformats-officedocument.spreadsheetml.worksheet+xml" PartName="/xl/worksheets/sheet20989.xml"/>
  <Override ContentType="application/vnd.openxmlformats-officedocument.spreadsheetml.worksheet+xml" PartName="/xl/worksheets/sheet20990.xml"/>
  <Override ContentType="application/vnd.openxmlformats-officedocument.spreadsheetml.worksheet+xml" PartName="/xl/worksheets/sheet20991.xml"/>
  <Override ContentType="application/vnd.openxmlformats-officedocument.spreadsheetml.worksheet+xml" PartName="/xl/worksheets/sheet20992.xml"/>
  <Override ContentType="application/vnd.openxmlformats-officedocument.spreadsheetml.worksheet+xml" PartName="/xl/worksheets/sheet20993.xml"/>
  <Override ContentType="application/vnd.openxmlformats-officedocument.spreadsheetml.worksheet+xml" PartName="/xl/worksheets/sheet20994.xml"/>
  <Override ContentType="application/vnd.openxmlformats-officedocument.spreadsheetml.worksheet+xml" PartName="/xl/worksheets/sheet20995.xml"/>
  <Override ContentType="application/vnd.openxmlformats-officedocument.spreadsheetml.worksheet+xml" PartName="/xl/worksheets/sheet20996.xml"/>
  <Override ContentType="application/vnd.openxmlformats-officedocument.spreadsheetml.worksheet+xml" PartName="/xl/worksheets/sheet20997.xml"/>
  <Override ContentType="application/vnd.openxmlformats-officedocument.spreadsheetml.worksheet+xml" PartName="/xl/worksheets/sheet20998.xml"/>
  <Override ContentType="application/vnd.openxmlformats-officedocument.spreadsheetml.worksheet+xml" PartName="/xl/worksheets/sheet20999.xml"/>
  <Override ContentType="application/vnd.openxmlformats-officedocument.spreadsheetml.worksheet+xml" PartName="/xl/worksheets/sheet21000.xml"/>
  <Override ContentType="application/vnd.openxmlformats-officedocument.spreadsheetml.worksheet+xml" PartName="/xl/worksheets/sheet21001.xml"/>
  <Override ContentType="application/vnd.openxmlformats-officedocument.spreadsheetml.worksheet+xml" PartName="/xl/worksheets/sheet21002.xml"/>
  <Override ContentType="application/vnd.openxmlformats-officedocument.spreadsheetml.worksheet+xml" PartName="/xl/worksheets/sheet21003.xml"/>
  <Override ContentType="application/vnd.openxmlformats-officedocument.spreadsheetml.worksheet+xml" PartName="/xl/worksheets/sheet21004.xml"/>
  <Override ContentType="application/vnd.openxmlformats-officedocument.spreadsheetml.worksheet+xml" PartName="/xl/worksheets/sheet21005.xml"/>
  <Override ContentType="application/vnd.openxmlformats-officedocument.spreadsheetml.worksheet+xml" PartName="/xl/worksheets/sheet21006.xml"/>
  <Override ContentType="application/vnd.openxmlformats-officedocument.spreadsheetml.worksheet+xml" PartName="/xl/worksheets/sheet21007.xml"/>
  <Override ContentType="application/vnd.openxmlformats-officedocument.spreadsheetml.worksheet+xml" PartName="/xl/worksheets/sheet21008.xml"/>
  <Override ContentType="application/vnd.openxmlformats-officedocument.spreadsheetml.worksheet+xml" PartName="/xl/worksheets/sheet21009.xml"/>
  <Override ContentType="application/vnd.openxmlformats-officedocument.spreadsheetml.worksheet+xml" PartName="/xl/worksheets/sheet21010.xml"/>
  <Override ContentType="application/vnd.openxmlformats-officedocument.spreadsheetml.worksheet+xml" PartName="/xl/worksheets/sheet21011.xml"/>
  <Override ContentType="application/vnd.openxmlformats-officedocument.spreadsheetml.worksheet+xml" PartName="/xl/worksheets/sheet21012.xml"/>
  <Override ContentType="application/vnd.openxmlformats-officedocument.spreadsheetml.worksheet+xml" PartName="/xl/worksheets/sheet21013.xml"/>
  <Override ContentType="application/vnd.openxmlformats-officedocument.spreadsheetml.worksheet+xml" PartName="/xl/worksheets/sheet21014.xml"/>
  <Override ContentType="application/vnd.openxmlformats-officedocument.spreadsheetml.worksheet+xml" PartName="/xl/worksheets/sheet21015.xml"/>
  <Override ContentType="application/vnd.openxmlformats-officedocument.spreadsheetml.worksheet+xml" PartName="/xl/worksheets/sheet21016.xml"/>
  <Override ContentType="application/vnd.openxmlformats-officedocument.spreadsheetml.worksheet+xml" PartName="/xl/worksheets/sheet21017.xml"/>
  <Override ContentType="application/vnd.openxmlformats-officedocument.spreadsheetml.worksheet+xml" PartName="/xl/worksheets/sheet21018.xml"/>
  <Override ContentType="application/vnd.openxmlformats-officedocument.spreadsheetml.worksheet+xml" PartName="/xl/worksheets/sheet21019.xml"/>
  <Override ContentType="application/vnd.openxmlformats-officedocument.spreadsheetml.worksheet+xml" PartName="/xl/worksheets/sheet21020.xml"/>
  <Override ContentType="application/vnd.openxmlformats-officedocument.spreadsheetml.worksheet+xml" PartName="/xl/worksheets/sheet21021.xml"/>
  <Override ContentType="application/vnd.openxmlformats-officedocument.spreadsheetml.worksheet+xml" PartName="/xl/worksheets/sheet21022.xml"/>
  <Override ContentType="application/vnd.openxmlformats-officedocument.spreadsheetml.worksheet+xml" PartName="/xl/worksheets/sheet21023.xml"/>
  <Override ContentType="application/vnd.openxmlformats-officedocument.spreadsheetml.worksheet+xml" PartName="/xl/worksheets/sheet21024.xml"/>
  <Override ContentType="application/vnd.openxmlformats-officedocument.spreadsheetml.worksheet+xml" PartName="/xl/worksheets/sheet21025.xml"/>
  <Override ContentType="application/vnd.openxmlformats-officedocument.spreadsheetml.worksheet+xml" PartName="/xl/worksheets/sheet21026.xml"/>
  <Override ContentType="application/vnd.openxmlformats-officedocument.spreadsheetml.worksheet+xml" PartName="/xl/worksheets/sheet21027.xml"/>
  <Override ContentType="application/vnd.openxmlformats-officedocument.spreadsheetml.worksheet+xml" PartName="/xl/worksheets/sheet21028.xml"/>
  <Override ContentType="application/vnd.openxmlformats-officedocument.spreadsheetml.worksheet+xml" PartName="/xl/worksheets/sheet21029.xml"/>
  <Override ContentType="application/vnd.openxmlformats-officedocument.spreadsheetml.worksheet+xml" PartName="/xl/worksheets/sheet21030.xml"/>
  <Override ContentType="application/vnd.openxmlformats-officedocument.spreadsheetml.worksheet+xml" PartName="/xl/worksheets/sheet21031.xml"/>
  <Override ContentType="application/vnd.openxmlformats-officedocument.spreadsheetml.worksheet+xml" PartName="/xl/worksheets/sheet21032.xml"/>
  <Override ContentType="application/vnd.openxmlformats-officedocument.spreadsheetml.worksheet+xml" PartName="/xl/worksheets/sheet21033.xml"/>
  <Override ContentType="application/vnd.openxmlformats-officedocument.spreadsheetml.worksheet+xml" PartName="/xl/worksheets/sheet21034.xml"/>
  <Override ContentType="application/vnd.openxmlformats-officedocument.spreadsheetml.worksheet+xml" PartName="/xl/worksheets/sheet21035.xml"/>
  <Override ContentType="application/vnd.openxmlformats-officedocument.spreadsheetml.worksheet+xml" PartName="/xl/worksheets/sheet21036.xml"/>
  <Override ContentType="application/vnd.openxmlformats-officedocument.spreadsheetml.worksheet+xml" PartName="/xl/worksheets/sheet21037.xml"/>
  <Override ContentType="application/vnd.openxmlformats-officedocument.spreadsheetml.worksheet+xml" PartName="/xl/worksheets/sheet21038.xml"/>
  <Override ContentType="application/vnd.openxmlformats-officedocument.spreadsheetml.worksheet+xml" PartName="/xl/worksheets/sheet21039.xml"/>
  <Override ContentType="application/vnd.openxmlformats-officedocument.spreadsheetml.worksheet+xml" PartName="/xl/worksheets/sheet21040.xml"/>
  <Override ContentType="application/vnd.openxmlformats-officedocument.spreadsheetml.worksheet+xml" PartName="/xl/worksheets/sheet21041.xml"/>
  <Override ContentType="application/vnd.openxmlformats-officedocument.spreadsheetml.worksheet+xml" PartName="/xl/worksheets/sheet21042.xml"/>
  <Override ContentType="application/vnd.openxmlformats-officedocument.spreadsheetml.worksheet+xml" PartName="/xl/worksheets/sheet21043.xml"/>
  <Override ContentType="application/vnd.openxmlformats-officedocument.spreadsheetml.worksheet+xml" PartName="/xl/worksheets/sheet21044.xml"/>
  <Override ContentType="application/vnd.openxmlformats-officedocument.spreadsheetml.worksheet+xml" PartName="/xl/worksheets/sheet21045.xml"/>
  <Override ContentType="application/vnd.openxmlformats-officedocument.spreadsheetml.worksheet+xml" PartName="/xl/worksheets/sheet21046.xml"/>
  <Override ContentType="application/vnd.openxmlformats-officedocument.spreadsheetml.worksheet+xml" PartName="/xl/worksheets/sheet21047.xml"/>
  <Override ContentType="application/vnd.openxmlformats-officedocument.spreadsheetml.worksheet+xml" PartName="/xl/worksheets/sheet21048.xml"/>
  <Override ContentType="application/vnd.openxmlformats-officedocument.spreadsheetml.worksheet+xml" PartName="/xl/worksheets/sheet21049.xml"/>
  <Override ContentType="application/vnd.openxmlformats-officedocument.spreadsheetml.worksheet+xml" PartName="/xl/worksheets/sheet21050.xml"/>
  <Override ContentType="application/vnd.openxmlformats-officedocument.spreadsheetml.worksheet+xml" PartName="/xl/worksheets/sheet21051.xml"/>
  <Override ContentType="application/vnd.openxmlformats-officedocument.spreadsheetml.worksheet+xml" PartName="/xl/worksheets/sheet21052.xml"/>
  <Override ContentType="application/vnd.openxmlformats-officedocument.spreadsheetml.worksheet+xml" PartName="/xl/worksheets/sheet21053.xml"/>
  <Override ContentType="application/vnd.openxmlformats-officedocument.spreadsheetml.worksheet+xml" PartName="/xl/worksheets/sheet21054.xml"/>
  <Override ContentType="application/vnd.openxmlformats-officedocument.spreadsheetml.worksheet+xml" PartName="/xl/worksheets/sheet21055.xml"/>
  <Override ContentType="application/vnd.openxmlformats-officedocument.spreadsheetml.worksheet+xml" PartName="/xl/worksheets/sheet21056.xml"/>
  <Override ContentType="application/vnd.openxmlformats-officedocument.spreadsheetml.worksheet+xml" PartName="/xl/worksheets/sheet21057.xml"/>
  <Override ContentType="application/vnd.openxmlformats-officedocument.spreadsheetml.worksheet+xml" PartName="/xl/worksheets/sheet21058.xml"/>
  <Override ContentType="application/vnd.openxmlformats-officedocument.spreadsheetml.worksheet+xml" PartName="/xl/worksheets/sheet21059.xml"/>
  <Override ContentType="application/vnd.openxmlformats-officedocument.spreadsheetml.worksheet+xml" PartName="/xl/worksheets/sheet21060.xml"/>
  <Override ContentType="application/vnd.openxmlformats-officedocument.spreadsheetml.worksheet+xml" PartName="/xl/worksheets/sheet21061.xml"/>
  <Override ContentType="application/vnd.openxmlformats-officedocument.spreadsheetml.worksheet+xml" PartName="/xl/worksheets/sheet21062.xml"/>
  <Override ContentType="application/vnd.openxmlformats-officedocument.spreadsheetml.worksheet+xml" PartName="/xl/worksheets/sheet21063.xml"/>
  <Override ContentType="application/vnd.openxmlformats-officedocument.spreadsheetml.worksheet+xml" PartName="/xl/worksheets/sheet21064.xml"/>
  <Override ContentType="application/vnd.openxmlformats-officedocument.spreadsheetml.worksheet+xml" PartName="/xl/worksheets/sheet21065.xml"/>
  <Override ContentType="application/vnd.openxmlformats-officedocument.spreadsheetml.worksheet+xml" PartName="/xl/worksheets/sheet21066.xml"/>
  <Override ContentType="application/vnd.openxmlformats-officedocument.spreadsheetml.worksheet+xml" PartName="/xl/worksheets/sheet21067.xml"/>
  <Override ContentType="application/vnd.openxmlformats-officedocument.spreadsheetml.worksheet+xml" PartName="/xl/worksheets/sheet21068.xml"/>
  <Override ContentType="application/vnd.openxmlformats-officedocument.spreadsheetml.worksheet+xml" PartName="/xl/worksheets/sheet21069.xml"/>
  <Override ContentType="application/vnd.openxmlformats-officedocument.spreadsheetml.worksheet+xml" PartName="/xl/worksheets/sheet21070.xml"/>
  <Override ContentType="application/vnd.openxmlformats-officedocument.spreadsheetml.worksheet+xml" PartName="/xl/worksheets/sheet21071.xml"/>
  <Override ContentType="application/vnd.openxmlformats-officedocument.spreadsheetml.worksheet+xml" PartName="/xl/worksheets/sheet21072.xml"/>
  <Override ContentType="application/vnd.openxmlformats-officedocument.spreadsheetml.worksheet+xml" PartName="/xl/worksheets/sheet21073.xml"/>
  <Override ContentType="application/vnd.openxmlformats-officedocument.spreadsheetml.worksheet+xml" PartName="/xl/worksheets/sheet21074.xml"/>
  <Override ContentType="application/vnd.openxmlformats-officedocument.spreadsheetml.worksheet+xml" PartName="/xl/worksheets/sheet21075.xml"/>
  <Override ContentType="application/vnd.openxmlformats-officedocument.spreadsheetml.worksheet+xml" PartName="/xl/worksheets/sheet21076.xml"/>
  <Override ContentType="application/vnd.openxmlformats-officedocument.spreadsheetml.worksheet+xml" PartName="/xl/worksheets/sheet21077.xml"/>
  <Override ContentType="application/vnd.openxmlformats-officedocument.spreadsheetml.worksheet+xml" PartName="/xl/worksheets/sheet21078.xml"/>
  <Override ContentType="application/vnd.openxmlformats-officedocument.spreadsheetml.worksheet+xml" PartName="/xl/worksheets/sheet21079.xml"/>
  <Override ContentType="application/vnd.openxmlformats-officedocument.spreadsheetml.worksheet+xml" PartName="/xl/worksheets/sheet21080.xml"/>
  <Override ContentType="application/vnd.openxmlformats-officedocument.spreadsheetml.worksheet+xml" PartName="/xl/worksheets/sheet21081.xml"/>
  <Override ContentType="application/vnd.openxmlformats-officedocument.spreadsheetml.worksheet+xml" PartName="/xl/worksheets/sheet21082.xml"/>
  <Override ContentType="application/vnd.openxmlformats-officedocument.spreadsheetml.worksheet+xml" PartName="/xl/worksheets/sheet21083.xml"/>
  <Override ContentType="application/vnd.openxmlformats-officedocument.spreadsheetml.worksheet+xml" PartName="/xl/worksheets/sheet21084.xml"/>
  <Override ContentType="application/vnd.openxmlformats-officedocument.spreadsheetml.worksheet+xml" PartName="/xl/worksheets/sheet21085.xml"/>
  <Override ContentType="application/vnd.openxmlformats-officedocument.spreadsheetml.worksheet+xml" PartName="/xl/worksheets/sheet21086.xml"/>
  <Override ContentType="application/vnd.openxmlformats-officedocument.spreadsheetml.worksheet+xml" PartName="/xl/worksheets/sheet21087.xml"/>
  <Override ContentType="application/vnd.openxmlformats-officedocument.spreadsheetml.worksheet+xml" PartName="/xl/worksheets/sheet21088.xml"/>
  <Override ContentType="application/vnd.openxmlformats-officedocument.spreadsheetml.worksheet+xml" PartName="/xl/worksheets/sheet21089.xml"/>
  <Override ContentType="application/vnd.openxmlformats-officedocument.spreadsheetml.worksheet+xml" PartName="/xl/worksheets/sheet21090.xml"/>
  <Override ContentType="application/vnd.openxmlformats-officedocument.spreadsheetml.worksheet+xml" PartName="/xl/worksheets/sheet21091.xml"/>
  <Override ContentType="application/vnd.openxmlformats-officedocument.spreadsheetml.worksheet+xml" PartName="/xl/worksheets/sheet21092.xml"/>
  <Override ContentType="application/vnd.openxmlformats-officedocument.spreadsheetml.worksheet+xml" PartName="/xl/worksheets/sheet21093.xml"/>
  <Override ContentType="application/vnd.openxmlformats-officedocument.spreadsheetml.worksheet+xml" PartName="/xl/worksheets/sheet21094.xml"/>
  <Override ContentType="application/vnd.openxmlformats-officedocument.spreadsheetml.worksheet+xml" PartName="/xl/worksheets/sheet21095.xml"/>
  <Override ContentType="application/vnd.openxmlformats-officedocument.spreadsheetml.worksheet+xml" PartName="/xl/worksheets/sheet21096.xml"/>
  <Override ContentType="application/vnd.openxmlformats-officedocument.spreadsheetml.worksheet+xml" PartName="/xl/worksheets/sheet21097.xml"/>
  <Override ContentType="application/vnd.openxmlformats-officedocument.spreadsheetml.worksheet+xml" PartName="/xl/worksheets/sheet21098.xml"/>
  <Override ContentType="application/vnd.openxmlformats-officedocument.spreadsheetml.worksheet+xml" PartName="/xl/worksheets/sheet21099.xml"/>
  <Override ContentType="application/vnd.openxmlformats-officedocument.spreadsheetml.worksheet+xml" PartName="/xl/worksheets/sheet21100.xml"/>
  <Override ContentType="application/vnd.openxmlformats-officedocument.spreadsheetml.worksheet+xml" PartName="/xl/worksheets/sheet21101.xml"/>
  <Override ContentType="application/vnd.openxmlformats-officedocument.spreadsheetml.worksheet+xml" PartName="/xl/worksheets/sheet21102.xml"/>
  <Override ContentType="application/vnd.openxmlformats-officedocument.spreadsheetml.worksheet+xml" PartName="/xl/worksheets/sheet21103.xml"/>
  <Override ContentType="application/vnd.openxmlformats-officedocument.spreadsheetml.worksheet+xml" PartName="/xl/worksheets/sheet21104.xml"/>
  <Override ContentType="application/vnd.openxmlformats-officedocument.spreadsheetml.worksheet+xml" PartName="/xl/worksheets/sheet21105.xml"/>
  <Override ContentType="application/vnd.openxmlformats-officedocument.spreadsheetml.worksheet+xml" PartName="/xl/worksheets/sheet21106.xml"/>
  <Override ContentType="application/vnd.openxmlformats-officedocument.spreadsheetml.worksheet+xml" PartName="/xl/worksheets/sheet21107.xml"/>
  <Override ContentType="application/vnd.openxmlformats-officedocument.spreadsheetml.worksheet+xml" PartName="/xl/worksheets/sheet21108.xml"/>
  <Override ContentType="application/vnd.openxmlformats-officedocument.spreadsheetml.worksheet+xml" PartName="/xl/worksheets/sheet21109.xml"/>
  <Override ContentType="application/vnd.openxmlformats-officedocument.spreadsheetml.worksheet+xml" PartName="/xl/worksheets/sheet21110.xml"/>
  <Override ContentType="application/vnd.openxmlformats-officedocument.spreadsheetml.worksheet+xml" PartName="/xl/worksheets/sheet21111.xml"/>
  <Override ContentType="application/vnd.openxmlformats-officedocument.spreadsheetml.worksheet+xml" PartName="/xl/worksheets/sheet21112.xml"/>
  <Override ContentType="application/vnd.openxmlformats-officedocument.spreadsheetml.worksheet+xml" PartName="/xl/worksheets/sheet21113.xml"/>
  <Override ContentType="application/vnd.openxmlformats-officedocument.spreadsheetml.worksheet+xml" PartName="/xl/worksheets/sheet21114.xml"/>
  <Override ContentType="application/vnd.openxmlformats-officedocument.spreadsheetml.worksheet+xml" PartName="/xl/worksheets/sheet21115.xml"/>
  <Override ContentType="application/vnd.openxmlformats-officedocument.spreadsheetml.worksheet+xml" PartName="/xl/worksheets/sheet21116.xml"/>
  <Override ContentType="application/vnd.openxmlformats-officedocument.spreadsheetml.worksheet+xml" PartName="/xl/worksheets/sheet21117.xml"/>
  <Override ContentType="application/vnd.openxmlformats-officedocument.spreadsheetml.worksheet+xml" PartName="/xl/worksheets/sheet21118.xml"/>
  <Override ContentType="application/vnd.openxmlformats-officedocument.spreadsheetml.worksheet+xml" PartName="/xl/worksheets/sheet21119.xml"/>
  <Override ContentType="application/vnd.openxmlformats-officedocument.spreadsheetml.worksheet+xml" PartName="/xl/worksheets/sheet21120.xml"/>
  <Override ContentType="application/vnd.openxmlformats-officedocument.spreadsheetml.worksheet+xml" PartName="/xl/worksheets/sheet21121.xml"/>
  <Override ContentType="application/vnd.openxmlformats-officedocument.spreadsheetml.worksheet+xml" PartName="/xl/worksheets/sheet21122.xml"/>
  <Override ContentType="application/vnd.openxmlformats-officedocument.spreadsheetml.worksheet+xml" PartName="/xl/worksheets/sheet21123.xml"/>
  <Override ContentType="application/vnd.openxmlformats-officedocument.spreadsheetml.worksheet+xml" PartName="/xl/worksheets/sheet21124.xml"/>
  <Override ContentType="application/vnd.openxmlformats-officedocument.spreadsheetml.worksheet+xml" PartName="/xl/worksheets/sheet21125.xml"/>
  <Override ContentType="application/vnd.openxmlformats-officedocument.spreadsheetml.worksheet+xml" PartName="/xl/worksheets/sheet21126.xml"/>
  <Override ContentType="application/vnd.openxmlformats-officedocument.spreadsheetml.worksheet+xml" PartName="/xl/worksheets/sheet21127.xml"/>
  <Override ContentType="application/vnd.openxmlformats-officedocument.spreadsheetml.worksheet+xml" PartName="/xl/worksheets/sheet21128.xml"/>
  <Override ContentType="application/vnd.openxmlformats-officedocument.spreadsheetml.worksheet+xml" PartName="/xl/worksheets/sheet21129.xml"/>
  <Override ContentType="application/vnd.openxmlformats-officedocument.spreadsheetml.worksheet+xml" PartName="/xl/worksheets/sheet21130.xml"/>
  <Override ContentType="application/vnd.openxmlformats-officedocument.spreadsheetml.worksheet+xml" PartName="/xl/worksheets/sheet21131.xml"/>
  <Override ContentType="application/vnd.openxmlformats-officedocument.spreadsheetml.worksheet+xml" PartName="/xl/worksheets/sheet21132.xml"/>
  <Override ContentType="application/vnd.openxmlformats-officedocument.spreadsheetml.worksheet+xml" PartName="/xl/worksheets/sheet21133.xml"/>
  <Override ContentType="application/vnd.openxmlformats-officedocument.spreadsheetml.worksheet+xml" PartName="/xl/worksheets/sheet21134.xml"/>
  <Override ContentType="application/vnd.openxmlformats-officedocument.spreadsheetml.worksheet+xml" PartName="/xl/worksheets/sheet21135.xml"/>
  <Override ContentType="application/vnd.openxmlformats-officedocument.spreadsheetml.worksheet+xml" PartName="/xl/worksheets/sheet21136.xml"/>
  <Override ContentType="application/vnd.openxmlformats-officedocument.spreadsheetml.worksheet+xml" PartName="/xl/worksheets/sheet21137.xml"/>
  <Override ContentType="application/vnd.openxmlformats-officedocument.spreadsheetml.worksheet+xml" PartName="/xl/worksheets/sheet21138.xml"/>
  <Override ContentType="application/vnd.openxmlformats-officedocument.spreadsheetml.worksheet+xml" PartName="/xl/worksheets/sheet21139.xml"/>
  <Override ContentType="application/vnd.openxmlformats-officedocument.spreadsheetml.worksheet+xml" PartName="/xl/worksheets/sheet21140.xml"/>
  <Override ContentType="application/vnd.openxmlformats-officedocument.spreadsheetml.worksheet+xml" PartName="/xl/worksheets/sheet21141.xml"/>
  <Override ContentType="application/vnd.openxmlformats-officedocument.spreadsheetml.worksheet+xml" PartName="/xl/worksheets/sheet21142.xml"/>
  <Override ContentType="application/vnd.openxmlformats-officedocument.spreadsheetml.worksheet+xml" PartName="/xl/worksheets/sheet21143.xml"/>
  <Override ContentType="application/vnd.openxmlformats-officedocument.spreadsheetml.worksheet+xml" PartName="/xl/worksheets/sheet21144.xml"/>
  <Override ContentType="application/vnd.openxmlformats-officedocument.spreadsheetml.worksheet+xml" PartName="/xl/worksheets/sheet21145.xml"/>
  <Override ContentType="application/vnd.openxmlformats-officedocument.spreadsheetml.worksheet+xml" PartName="/xl/worksheets/sheet21146.xml"/>
  <Override ContentType="application/vnd.openxmlformats-officedocument.spreadsheetml.worksheet+xml" PartName="/xl/worksheets/sheet21147.xml"/>
  <Override ContentType="application/vnd.openxmlformats-officedocument.spreadsheetml.worksheet+xml" PartName="/xl/worksheets/sheet21148.xml"/>
  <Override ContentType="application/vnd.openxmlformats-officedocument.spreadsheetml.worksheet+xml" PartName="/xl/worksheets/sheet21149.xml"/>
  <Override ContentType="application/vnd.openxmlformats-officedocument.spreadsheetml.worksheet+xml" PartName="/xl/worksheets/sheet21150.xml"/>
  <Override ContentType="application/vnd.openxmlformats-officedocument.spreadsheetml.worksheet+xml" PartName="/xl/worksheets/sheet21151.xml"/>
  <Override ContentType="application/vnd.openxmlformats-officedocument.spreadsheetml.worksheet+xml" PartName="/xl/worksheets/sheet21152.xml"/>
  <Override ContentType="application/vnd.openxmlformats-officedocument.spreadsheetml.worksheet+xml" PartName="/xl/worksheets/sheet21153.xml"/>
  <Override ContentType="application/vnd.openxmlformats-officedocument.spreadsheetml.worksheet+xml" PartName="/xl/worksheets/sheet21154.xml"/>
  <Override ContentType="application/vnd.openxmlformats-officedocument.spreadsheetml.worksheet+xml" PartName="/xl/worksheets/sheet21155.xml"/>
  <Override ContentType="application/vnd.openxmlformats-officedocument.spreadsheetml.worksheet+xml" PartName="/xl/worksheets/sheet21156.xml"/>
  <Override ContentType="application/vnd.openxmlformats-officedocument.spreadsheetml.worksheet+xml" PartName="/xl/worksheets/sheet21157.xml"/>
  <Override ContentType="application/vnd.openxmlformats-officedocument.spreadsheetml.worksheet+xml" PartName="/xl/worksheets/sheet21158.xml"/>
  <Override ContentType="application/vnd.openxmlformats-officedocument.spreadsheetml.worksheet+xml" PartName="/xl/worksheets/sheet21159.xml"/>
  <Override ContentType="application/vnd.openxmlformats-officedocument.spreadsheetml.worksheet+xml" PartName="/xl/worksheets/sheet21160.xml"/>
  <Override ContentType="application/vnd.openxmlformats-officedocument.spreadsheetml.worksheet+xml" PartName="/xl/worksheets/sheet21161.xml"/>
  <Override ContentType="application/vnd.openxmlformats-officedocument.spreadsheetml.worksheet+xml" PartName="/xl/worksheets/sheet21162.xml"/>
  <Override ContentType="application/vnd.openxmlformats-officedocument.spreadsheetml.worksheet+xml" PartName="/xl/worksheets/sheet21163.xml"/>
  <Override ContentType="application/vnd.openxmlformats-officedocument.spreadsheetml.worksheet+xml" PartName="/xl/worksheets/sheet21164.xml"/>
  <Override ContentType="application/vnd.openxmlformats-officedocument.spreadsheetml.worksheet+xml" PartName="/xl/worksheets/sheet21165.xml"/>
  <Override ContentType="application/vnd.openxmlformats-officedocument.spreadsheetml.worksheet+xml" PartName="/xl/worksheets/sheet21166.xml"/>
  <Override ContentType="application/vnd.openxmlformats-officedocument.spreadsheetml.worksheet+xml" PartName="/xl/worksheets/sheet21167.xml"/>
  <Override ContentType="application/vnd.openxmlformats-officedocument.spreadsheetml.worksheet+xml" PartName="/xl/worksheets/sheet21168.xml"/>
  <Override ContentType="application/vnd.openxmlformats-officedocument.spreadsheetml.worksheet+xml" PartName="/xl/worksheets/sheet21169.xml"/>
  <Override ContentType="application/vnd.openxmlformats-officedocument.spreadsheetml.worksheet+xml" PartName="/xl/worksheets/sheet21170.xml"/>
  <Override ContentType="application/vnd.openxmlformats-officedocument.spreadsheetml.worksheet+xml" PartName="/xl/worksheets/sheet21171.xml"/>
  <Override ContentType="application/vnd.openxmlformats-officedocument.spreadsheetml.worksheet+xml" PartName="/xl/worksheets/sheet21172.xml"/>
  <Override ContentType="application/vnd.openxmlformats-officedocument.spreadsheetml.worksheet+xml" PartName="/xl/worksheets/sheet21173.xml"/>
  <Override ContentType="application/vnd.openxmlformats-officedocument.spreadsheetml.worksheet+xml" PartName="/xl/worksheets/sheet21174.xml"/>
  <Override ContentType="application/vnd.openxmlformats-officedocument.spreadsheetml.worksheet+xml" PartName="/xl/worksheets/sheet21175.xml"/>
  <Override ContentType="application/vnd.openxmlformats-officedocument.spreadsheetml.worksheet+xml" PartName="/xl/worksheets/sheet21176.xml"/>
  <Override ContentType="application/vnd.openxmlformats-officedocument.spreadsheetml.worksheet+xml" PartName="/xl/worksheets/sheet21177.xml"/>
  <Override ContentType="application/vnd.openxmlformats-officedocument.spreadsheetml.worksheet+xml" PartName="/xl/worksheets/sheet21178.xml"/>
  <Override ContentType="application/vnd.openxmlformats-officedocument.spreadsheetml.worksheet+xml" PartName="/xl/worksheets/sheet21179.xml"/>
  <Override ContentType="application/vnd.openxmlformats-officedocument.spreadsheetml.worksheet+xml" PartName="/xl/worksheets/sheet21180.xml"/>
  <Override ContentType="application/vnd.openxmlformats-officedocument.spreadsheetml.worksheet+xml" PartName="/xl/worksheets/sheet21181.xml"/>
  <Override ContentType="application/vnd.openxmlformats-officedocument.spreadsheetml.worksheet+xml" PartName="/xl/worksheets/sheet21182.xml"/>
  <Override ContentType="application/vnd.openxmlformats-officedocument.spreadsheetml.worksheet+xml" PartName="/xl/worksheets/sheet21183.xml"/>
  <Override ContentType="application/vnd.openxmlformats-officedocument.spreadsheetml.worksheet+xml" PartName="/xl/worksheets/sheet21184.xml"/>
  <Override ContentType="application/vnd.openxmlformats-officedocument.spreadsheetml.worksheet+xml" PartName="/xl/worksheets/sheet21185.xml"/>
  <Override ContentType="application/vnd.openxmlformats-officedocument.spreadsheetml.worksheet+xml" PartName="/xl/worksheets/sheet21186.xml"/>
  <Override ContentType="application/vnd.openxmlformats-officedocument.spreadsheetml.worksheet+xml" PartName="/xl/worksheets/sheet21187.xml"/>
  <Override ContentType="application/vnd.openxmlformats-officedocument.spreadsheetml.worksheet+xml" PartName="/xl/worksheets/sheet21188.xml"/>
  <Override ContentType="application/vnd.openxmlformats-officedocument.spreadsheetml.worksheet+xml" PartName="/xl/worksheets/sheet21189.xml"/>
  <Override ContentType="application/vnd.openxmlformats-officedocument.spreadsheetml.worksheet+xml" PartName="/xl/worksheets/sheet21190.xml"/>
  <Override ContentType="application/vnd.openxmlformats-officedocument.spreadsheetml.worksheet+xml" PartName="/xl/worksheets/sheet21191.xml"/>
  <Override ContentType="application/vnd.openxmlformats-officedocument.spreadsheetml.worksheet+xml" PartName="/xl/worksheets/sheet21192.xml"/>
  <Override ContentType="application/vnd.openxmlformats-officedocument.spreadsheetml.worksheet+xml" PartName="/xl/worksheets/sheet21193.xml"/>
  <Override ContentType="application/vnd.openxmlformats-officedocument.spreadsheetml.worksheet+xml" PartName="/xl/worksheets/sheet21194.xml"/>
  <Override ContentType="application/vnd.openxmlformats-officedocument.spreadsheetml.worksheet+xml" PartName="/xl/worksheets/sheet21195.xml"/>
  <Override ContentType="application/vnd.openxmlformats-officedocument.spreadsheetml.worksheet+xml" PartName="/xl/worksheets/sheet21196.xml"/>
  <Override ContentType="application/vnd.openxmlformats-officedocument.spreadsheetml.worksheet+xml" PartName="/xl/worksheets/sheet21197.xml"/>
  <Override ContentType="application/vnd.openxmlformats-officedocument.spreadsheetml.worksheet+xml" PartName="/xl/worksheets/sheet21198.xml"/>
  <Override ContentType="application/vnd.openxmlformats-officedocument.spreadsheetml.worksheet+xml" PartName="/xl/worksheets/sheet21199.xml"/>
  <Override ContentType="application/vnd.openxmlformats-officedocument.spreadsheetml.worksheet+xml" PartName="/xl/worksheets/sheet21200.xml"/>
  <Override ContentType="application/vnd.openxmlformats-officedocument.spreadsheetml.worksheet+xml" PartName="/xl/worksheets/sheet21201.xml"/>
  <Override ContentType="application/vnd.openxmlformats-officedocument.spreadsheetml.worksheet+xml" PartName="/xl/worksheets/sheet21202.xml"/>
  <Override ContentType="application/vnd.openxmlformats-officedocument.spreadsheetml.worksheet+xml" PartName="/xl/worksheets/sheet21203.xml"/>
  <Override ContentType="application/vnd.openxmlformats-officedocument.spreadsheetml.worksheet+xml" PartName="/xl/worksheets/sheet21204.xml"/>
  <Override ContentType="application/vnd.openxmlformats-officedocument.spreadsheetml.worksheet+xml" PartName="/xl/worksheets/sheet21205.xml"/>
  <Override ContentType="application/vnd.openxmlformats-officedocument.spreadsheetml.worksheet+xml" PartName="/xl/worksheets/sheet21206.xml"/>
  <Override ContentType="application/vnd.openxmlformats-officedocument.spreadsheetml.worksheet+xml" PartName="/xl/worksheets/sheet21207.xml"/>
  <Override ContentType="application/vnd.openxmlformats-officedocument.spreadsheetml.worksheet+xml" PartName="/xl/worksheets/sheet21208.xml"/>
  <Override ContentType="application/vnd.openxmlformats-officedocument.spreadsheetml.worksheet+xml" PartName="/xl/worksheets/sheet21209.xml"/>
  <Override ContentType="application/vnd.openxmlformats-officedocument.spreadsheetml.worksheet+xml" PartName="/xl/worksheets/sheet21210.xml"/>
  <Override ContentType="application/vnd.openxmlformats-officedocument.spreadsheetml.worksheet+xml" PartName="/xl/worksheets/sheet21211.xml"/>
  <Override ContentType="application/vnd.openxmlformats-officedocument.spreadsheetml.worksheet+xml" PartName="/xl/worksheets/sheet21212.xml"/>
  <Override ContentType="application/vnd.openxmlformats-officedocument.spreadsheetml.worksheet+xml" PartName="/xl/worksheets/sheet21213.xml"/>
  <Override ContentType="application/vnd.openxmlformats-officedocument.spreadsheetml.worksheet+xml" PartName="/xl/worksheets/sheet21214.xml"/>
  <Override ContentType="application/vnd.openxmlformats-officedocument.spreadsheetml.worksheet+xml" PartName="/xl/worksheets/sheet21215.xml"/>
  <Override ContentType="application/vnd.openxmlformats-officedocument.spreadsheetml.worksheet+xml" PartName="/xl/worksheets/sheet21216.xml"/>
  <Override ContentType="application/vnd.openxmlformats-officedocument.spreadsheetml.worksheet+xml" PartName="/xl/worksheets/sheet21217.xml"/>
  <Override ContentType="application/vnd.openxmlformats-officedocument.spreadsheetml.worksheet+xml" PartName="/xl/worksheets/sheet21218.xml"/>
  <Override ContentType="application/vnd.openxmlformats-officedocument.spreadsheetml.worksheet+xml" PartName="/xl/worksheets/sheet21219.xml"/>
  <Override ContentType="application/vnd.openxmlformats-officedocument.spreadsheetml.worksheet+xml" PartName="/xl/worksheets/sheet21220.xml"/>
  <Override ContentType="application/vnd.openxmlformats-officedocument.spreadsheetml.worksheet+xml" PartName="/xl/worksheets/sheet21221.xml"/>
  <Override ContentType="application/vnd.openxmlformats-officedocument.spreadsheetml.worksheet+xml" PartName="/xl/worksheets/sheet21222.xml"/>
  <Override ContentType="application/vnd.openxmlformats-officedocument.spreadsheetml.worksheet+xml" PartName="/xl/worksheets/sheet21223.xml"/>
  <Override ContentType="application/vnd.openxmlformats-officedocument.spreadsheetml.worksheet+xml" PartName="/xl/worksheets/sheet21224.xml"/>
  <Override ContentType="application/vnd.openxmlformats-officedocument.spreadsheetml.worksheet+xml" PartName="/xl/worksheets/sheet21225.xml"/>
  <Override ContentType="application/vnd.openxmlformats-officedocument.spreadsheetml.worksheet+xml" PartName="/xl/worksheets/sheet21226.xml"/>
  <Override ContentType="application/vnd.openxmlformats-officedocument.spreadsheetml.worksheet+xml" PartName="/xl/worksheets/sheet21227.xml"/>
  <Override ContentType="application/vnd.openxmlformats-officedocument.spreadsheetml.worksheet+xml" PartName="/xl/worksheets/sheet21228.xml"/>
  <Override ContentType="application/vnd.openxmlformats-officedocument.spreadsheetml.worksheet+xml" PartName="/xl/worksheets/sheet21229.xml"/>
  <Override ContentType="application/vnd.openxmlformats-officedocument.spreadsheetml.worksheet+xml" PartName="/xl/worksheets/sheet21230.xml"/>
  <Override ContentType="application/vnd.openxmlformats-officedocument.spreadsheetml.worksheet+xml" PartName="/xl/worksheets/sheet21231.xml"/>
  <Override ContentType="application/vnd.openxmlformats-officedocument.spreadsheetml.worksheet+xml" PartName="/xl/worksheets/sheet21232.xml"/>
  <Override ContentType="application/vnd.openxmlformats-officedocument.spreadsheetml.worksheet+xml" PartName="/xl/worksheets/sheet21233.xml"/>
  <Override ContentType="application/vnd.openxmlformats-officedocument.spreadsheetml.worksheet+xml" PartName="/xl/worksheets/sheet21234.xml"/>
  <Override ContentType="application/vnd.openxmlformats-officedocument.spreadsheetml.worksheet+xml" PartName="/xl/worksheets/sheet21235.xml"/>
  <Override ContentType="application/vnd.openxmlformats-officedocument.spreadsheetml.worksheet+xml" PartName="/xl/worksheets/sheet21236.xml"/>
  <Override ContentType="application/vnd.openxmlformats-officedocument.spreadsheetml.worksheet+xml" PartName="/xl/worksheets/sheet21237.xml"/>
  <Override ContentType="application/vnd.openxmlformats-officedocument.spreadsheetml.worksheet+xml" PartName="/xl/worksheets/sheet21238.xml"/>
  <Override ContentType="application/vnd.openxmlformats-officedocument.spreadsheetml.worksheet+xml" PartName="/xl/worksheets/sheet21239.xml"/>
  <Override ContentType="application/vnd.openxmlformats-officedocument.spreadsheetml.worksheet+xml" PartName="/xl/worksheets/sheet21240.xml"/>
  <Override ContentType="application/vnd.openxmlformats-officedocument.spreadsheetml.worksheet+xml" PartName="/xl/worksheets/sheet21241.xml"/>
  <Override ContentType="application/vnd.openxmlformats-officedocument.spreadsheetml.worksheet+xml" PartName="/xl/worksheets/sheet21242.xml"/>
  <Override ContentType="application/vnd.openxmlformats-officedocument.spreadsheetml.worksheet+xml" PartName="/xl/worksheets/sheet21243.xml"/>
  <Override ContentType="application/vnd.openxmlformats-officedocument.spreadsheetml.worksheet+xml" PartName="/xl/worksheets/sheet21244.xml"/>
  <Override ContentType="application/vnd.openxmlformats-officedocument.spreadsheetml.worksheet+xml" PartName="/xl/worksheets/sheet21245.xml"/>
  <Override ContentType="application/vnd.openxmlformats-officedocument.spreadsheetml.worksheet+xml" PartName="/xl/worksheets/sheet21246.xml"/>
  <Override ContentType="application/vnd.openxmlformats-officedocument.spreadsheetml.worksheet+xml" PartName="/xl/worksheets/sheet21247.xml"/>
  <Override ContentType="application/vnd.openxmlformats-officedocument.spreadsheetml.worksheet+xml" PartName="/xl/worksheets/sheet21248.xml"/>
  <Override ContentType="application/vnd.openxmlformats-officedocument.spreadsheetml.worksheet+xml" PartName="/xl/worksheets/sheet21249.xml"/>
  <Override ContentType="application/vnd.openxmlformats-officedocument.spreadsheetml.worksheet+xml" PartName="/xl/worksheets/sheet21250.xml"/>
  <Override ContentType="application/vnd.openxmlformats-officedocument.spreadsheetml.worksheet+xml" PartName="/xl/worksheets/sheet21251.xml"/>
  <Override ContentType="application/vnd.openxmlformats-officedocument.spreadsheetml.worksheet+xml" PartName="/xl/worksheets/sheet21252.xml"/>
  <Override ContentType="application/vnd.openxmlformats-officedocument.spreadsheetml.worksheet+xml" PartName="/xl/worksheets/sheet21253.xml"/>
  <Override ContentType="application/vnd.openxmlformats-officedocument.spreadsheetml.worksheet+xml" PartName="/xl/worksheets/sheet21254.xml"/>
  <Override ContentType="application/vnd.openxmlformats-officedocument.spreadsheetml.worksheet+xml" PartName="/xl/worksheets/sheet21255.xml"/>
  <Override ContentType="application/vnd.openxmlformats-officedocument.spreadsheetml.worksheet+xml" PartName="/xl/worksheets/sheet21256.xml"/>
  <Override ContentType="application/vnd.openxmlformats-officedocument.spreadsheetml.worksheet+xml" PartName="/xl/worksheets/sheet21257.xml"/>
  <Override ContentType="application/vnd.openxmlformats-officedocument.spreadsheetml.worksheet+xml" PartName="/xl/worksheets/sheet21258.xml"/>
  <Override ContentType="application/vnd.openxmlformats-officedocument.spreadsheetml.worksheet+xml" PartName="/xl/worksheets/sheet21259.xml"/>
  <Override ContentType="application/vnd.openxmlformats-officedocument.spreadsheetml.worksheet+xml" PartName="/xl/worksheets/sheet21260.xml"/>
  <Override ContentType="application/vnd.openxmlformats-officedocument.spreadsheetml.worksheet+xml" PartName="/xl/worksheets/sheet21261.xml"/>
  <Override ContentType="application/vnd.openxmlformats-officedocument.spreadsheetml.worksheet+xml" PartName="/xl/worksheets/sheet21262.xml"/>
  <Override ContentType="application/vnd.openxmlformats-officedocument.spreadsheetml.worksheet+xml" PartName="/xl/worksheets/sheet21263.xml"/>
  <Override ContentType="application/vnd.openxmlformats-officedocument.spreadsheetml.worksheet+xml" PartName="/xl/worksheets/sheet21264.xml"/>
  <Override ContentType="application/vnd.openxmlformats-officedocument.spreadsheetml.worksheet+xml" PartName="/xl/worksheets/sheet21265.xml"/>
  <Override ContentType="application/vnd.openxmlformats-officedocument.spreadsheetml.worksheet+xml" PartName="/xl/worksheets/sheet21266.xml"/>
  <Override ContentType="application/vnd.openxmlformats-officedocument.spreadsheetml.worksheet+xml" PartName="/xl/worksheets/sheet21267.xml"/>
  <Override ContentType="application/vnd.openxmlformats-officedocument.spreadsheetml.worksheet+xml" PartName="/xl/worksheets/sheet21268.xml"/>
  <Override ContentType="application/vnd.openxmlformats-officedocument.spreadsheetml.worksheet+xml" PartName="/xl/worksheets/sheet21269.xml"/>
  <Override ContentType="application/vnd.openxmlformats-officedocument.spreadsheetml.worksheet+xml" PartName="/xl/worksheets/sheet21270.xml"/>
  <Override ContentType="application/vnd.openxmlformats-officedocument.spreadsheetml.worksheet+xml" PartName="/xl/worksheets/sheet21271.xml"/>
  <Override ContentType="application/vnd.openxmlformats-officedocument.spreadsheetml.worksheet+xml" PartName="/xl/worksheets/sheet21272.xml"/>
  <Override ContentType="application/vnd.openxmlformats-officedocument.spreadsheetml.worksheet+xml" PartName="/xl/worksheets/sheet21273.xml"/>
  <Override ContentType="application/vnd.openxmlformats-officedocument.spreadsheetml.worksheet+xml" PartName="/xl/worksheets/sheet21274.xml"/>
  <Override ContentType="application/vnd.openxmlformats-officedocument.spreadsheetml.worksheet+xml" PartName="/xl/worksheets/sheet21275.xml"/>
  <Override ContentType="application/vnd.openxmlformats-officedocument.spreadsheetml.worksheet+xml" PartName="/xl/worksheets/sheet21276.xml"/>
  <Override ContentType="application/vnd.openxmlformats-officedocument.spreadsheetml.worksheet+xml" PartName="/xl/worksheets/sheet21277.xml"/>
  <Override ContentType="application/vnd.openxmlformats-officedocument.spreadsheetml.worksheet+xml" PartName="/xl/worksheets/sheet21278.xml"/>
  <Override ContentType="application/vnd.openxmlformats-officedocument.spreadsheetml.worksheet+xml" PartName="/xl/worksheets/sheet21279.xml"/>
  <Override ContentType="application/vnd.openxmlformats-officedocument.spreadsheetml.worksheet+xml" PartName="/xl/worksheets/sheet21280.xml"/>
  <Override ContentType="application/vnd.openxmlformats-officedocument.spreadsheetml.worksheet+xml" PartName="/xl/worksheets/sheet21281.xml"/>
  <Override ContentType="application/vnd.openxmlformats-officedocument.spreadsheetml.worksheet+xml" PartName="/xl/worksheets/sheet21282.xml"/>
  <Override ContentType="application/vnd.openxmlformats-officedocument.spreadsheetml.worksheet+xml" PartName="/xl/worksheets/sheet21283.xml"/>
  <Override ContentType="application/vnd.openxmlformats-officedocument.spreadsheetml.worksheet+xml" PartName="/xl/worksheets/sheet21284.xml"/>
  <Override ContentType="application/vnd.openxmlformats-officedocument.spreadsheetml.worksheet+xml" PartName="/xl/worksheets/sheet21285.xml"/>
  <Override ContentType="application/vnd.openxmlformats-officedocument.spreadsheetml.worksheet+xml" PartName="/xl/worksheets/sheet21286.xml"/>
  <Override ContentType="application/vnd.openxmlformats-officedocument.spreadsheetml.worksheet+xml" PartName="/xl/worksheets/sheet21287.xml"/>
  <Override ContentType="application/vnd.openxmlformats-officedocument.spreadsheetml.worksheet+xml" PartName="/xl/worksheets/sheet21288.xml"/>
  <Override ContentType="application/vnd.openxmlformats-officedocument.spreadsheetml.worksheet+xml" PartName="/xl/worksheets/sheet21289.xml"/>
  <Override ContentType="application/vnd.openxmlformats-officedocument.spreadsheetml.worksheet+xml" PartName="/xl/worksheets/sheet21290.xml"/>
  <Override ContentType="application/vnd.openxmlformats-officedocument.spreadsheetml.worksheet+xml" PartName="/xl/worksheets/sheet21291.xml"/>
  <Override ContentType="application/vnd.openxmlformats-officedocument.spreadsheetml.worksheet+xml" PartName="/xl/worksheets/sheet21292.xml"/>
  <Override ContentType="application/vnd.openxmlformats-officedocument.spreadsheetml.worksheet+xml" PartName="/xl/worksheets/sheet21293.xml"/>
  <Override ContentType="application/vnd.openxmlformats-officedocument.spreadsheetml.worksheet+xml" PartName="/xl/worksheets/sheet21294.xml"/>
  <Override ContentType="application/vnd.openxmlformats-officedocument.spreadsheetml.worksheet+xml" PartName="/xl/worksheets/sheet21295.xml"/>
  <Override ContentType="application/vnd.openxmlformats-officedocument.spreadsheetml.worksheet+xml" PartName="/xl/worksheets/sheet21296.xml"/>
  <Override ContentType="application/vnd.openxmlformats-officedocument.spreadsheetml.worksheet+xml" PartName="/xl/worksheets/sheet21297.xml"/>
  <Override ContentType="application/vnd.openxmlformats-officedocument.spreadsheetml.worksheet+xml" PartName="/xl/worksheets/sheet21298.xml"/>
  <Override ContentType="application/vnd.openxmlformats-officedocument.spreadsheetml.worksheet+xml" PartName="/xl/worksheets/sheet21299.xml"/>
  <Override ContentType="application/vnd.openxmlformats-officedocument.spreadsheetml.worksheet+xml" PartName="/xl/worksheets/sheet21300.xml"/>
  <Override ContentType="application/vnd.openxmlformats-officedocument.spreadsheetml.worksheet+xml" PartName="/xl/worksheets/sheet21301.xml"/>
  <Override ContentType="application/vnd.openxmlformats-officedocument.spreadsheetml.worksheet+xml" PartName="/xl/worksheets/sheet21302.xml"/>
  <Override ContentType="application/vnd.openxmlformats-officedocument.spreadsheetml.worksheet+xml" PartName="/xl/worksheets/sheet21303.xml"/>
  <Override ContentType="application/vnd.openxmlformats-officedocument.spreadsheetml.worksheet+xml" PartName="/xl/worksheets/sheet21304.xml"/>
  <Override ContentType="application/vnd.openxmlformats-officedocument.spreadsheetml.worksheet+xml" PartName="/xl/worksheets/sheet21305.xml"/>
  <Override ContentType="application/vnd.openxmlformats-officedocument.spreadsheetml.worksheet+xml" PartName="/xl/worksheets/sheet21306.xml"/>
  <Override ContentType="application/vnd.openxmlformats-officedocument.spreadsheetml.worksheet+xml" PartName="/xl/worksheets/sheet21307.xml"/>
  <Override ContentType="application/vnd.openxmlformats-officedocument.spreadsheetml.worksheet+xml" PartName="/xl/worksheets/sheet21308.xml"/>
  <Override ContentType="application/vnd.openxmlformats-officedocument.spreadsheetml.worksheet+xml" PartName="/xl/worksheets/sheet21309.xml"/>
  <Override ContentType="application/vnd.openxmlformats-officedocument.spreadsheetml.worksheet+xml" PartName="/xl/worksheets/sheet21310.xml"/>
  <Override ContentType="application/vnd.openxmlformats-officedocument.spreadsheetml.worksheet+xml" PartName="/xl/worksheets/sheet21311.xml"/>
  <Override ContentType="application/vnd.openxmlformats-officedocument.spreadsheetml.worksheet+xml" PartName="/xl/worksheets/sheet21312.xml"/>
  <Override ContentType="application/vnd.openxmlformats-officedocument.spreadsheetml.worksheet+xml" PartName="/xl/worksheets/sheet21313.xml"/>
  <Override ContentType="application/vnd.openxmlformats-officedocument.spreadsheetml.worksheet+xml" PartName="/xl/worksheets/sheet21314.xml"/>
  <Override ContentType="application/vnd.openxmlformats-officedocument.spreadsheetml.worksheet+xml" PartName="/xl/worksheets/sheet21315.xml"/>
  <Override ContentType="application/vnd.openxmlformats-officedocument.spreadsheetml.worksheet+xml" PartName="/xl/worksheets/sheet21316.xml"/>
  <Override ContentType="application/vnd.openxmlformats-officedocument.spreadsheetml.worksheet+xml" PartName="/xl/worksheets/sheet21317.xml"/>
  <Override ContentType="application/vnd.openxmlformats-officedocument.spreadsheetml.worksheet+xml" PartName="/xl/worksheets/sheet21318.xml"/>
  <Override ContentType="application/vnd.openxmlformats-officedocument.spreadsheetml.worksheet+xml" PartName="/xl/worksheets/sheet21319.xml"/>
  <Override ContentType="application/vnd.openxmlformats-officedocument.spreadsheetml.worksheet+xml" PartName="/xl/worksheets/sheet21320.xml"/>
  <Override ContentType="application/vnd.openxmlformats-officedocument.spreadsheetml.worksheet+xml" PartName="/xl/worksheets/sheet21321.xml"/>
  <Override ContentType="application/vnd.openxmlformats-officedocument.spreadsheetml.worksheet+xml" PartName="/xl/worksheets/sheet21322.xml"/>
  <Override ContentType="application/vnd.openxmlformats-officedocument.spreadsheetml.worksheet+xml" PartName="/xl/worksheets/sheet21323.xml"/>
  <Override ContentType="application/vnd.openxmlformats-officedocument.spreadsheetml.worksheet+xml" PartName="/xl/worksheets/sheet21324.xml"/>
  <Override ContentType="application/vnd.openxmlformats-officedocument.spreadsheetml.worksheet+xml" PartName="/xl/worksheets/sheet21325.xml"/>
  <Override ContentType="application/vnd.openxmlformats-officedocument.spreadsheetml.worksheet+xml" PartName="/xl/worksheets/sheet21326.xml"/>
  <Override ContentType="application/vnd.openxmlformats-officedocument.spreadsheetml.worksheet+xml" PartName="/xl/worksheets/sheet21327.xml"/>
  <Override ContentType="application/vnd.openxmlformats-officedocument.spreadsheetml.worksheet+xml" PartName="/xl/worksheets/sheet21328.xml"/>
  <Override ContentType="application/vnd.openxmlformats-officedocument.spreadsheetml.worksheet+xml" PartName="/xl/worksheets/sheet21329.xml"/>
  <Override ContentType="application/vnd.openxmlformats-officedocument.spreadsheetml.worksheet+xml" PartName="/xl/worksheets/sheet21330.xml"/>
  <Override ContentType="application/vnd.openxmlformats-officedocument.spreadsheetml.worksheet+xml" PartName="/xl/worksheets/sheet21331.xml"/>
  <Override ContentType="application/vnd.openxmlformats-officedocument.spreadsheetml.worksheet+xml" PartName="/xl/worksheets/sheet21332.xml"/>
  <Override ContentType="application/vnd.openxmlformats-officedocument.spreadsheetml.worksheet+xml" PartName="/xl/worksheets/sheet21333.xml"/>
  <Override ContentType="application/vnd.openxmlformats-officedocument.spreadsheetml.worksheet+xml" PartName="/xl/worksheets/sheet21334.xml"/>
  <Override ContentType="application/vnd.openxmlformats-officedocument.spreadsheetml.worksheet+xml" PartName="/xl/worksheets/sheet21335.xml"/>
  <Override ContentType="application/vnd.openxmlformats-officedocument.spreadsheetml.worksheet+xml" PartName="/xl/worksheets/sheet21336.xml"/>
  <Override ContentType="application/vnd.openxmlformats-officedocument.spreadsheetml.worksheet+xml" PartName="/xl/worksheets/sheet21337.xml"/>
  <Override ContentType="application/vnd.openxmlformats-officedocument.spreadsheetml.worksheet+xml" PartName="/xl/worksheets/sheet21338.xml"/>
  <Override ContentType="application/vnd.openxmlformats-officedocument.spreadsheetml.worksheet+xml" PartName="/xl/worksheets/sheet21339.xml"/>
  <Override ContentType="application/vnd.openxmlformats-officedocument.spreadsheetml.worksheet+xml" PartName="/xl/worksheets/sheet21340.xml"/>
  <Override ContentType="application/vnd.openxmlformats-officedocument.spreadsheetml.worksheet+xml" PartName="/xl/worksheets/sheet21341.xml"/>
  <Override ContentType="application/vnd.openxmlformats-officedocument.spreadsheetml.worksheet+xml" PartName="/xl/worksheets/sheet21342.xml"/>
  <Override ContentType="application/vnd.openxmlformats-officedocument.spreadsheetml.worksheet+xml" PartName="/xl/worksheets/sheet21343.xml"/>
  <Override ContentType="application/vnd.openxmlformats-officedocument.spreadsheetml.worksheet+xml" PartName="/xl/worksheets/sheet21344.xml"/>
  <Override ContentType="application/vnd.openxmlformats-officedocument.spreadsheetml.worksheet+xml" PartName="/xl/worksheets/sheet21345.xml"/>
  <Override ContentType="application/vnd.openxmlformats-officedocument.spreadsheetml.worksheet+xml" PartName="/xl/worksheets/sheet21346.xml"/>
  <Override ContentType="application/vnd.openxmlformats-officedocument.spreadsheetml.worksheet+xml" PartName="/xl/worksheets/sheet21347.xml"/>
  <Override ContentType="application/vnd.openxmlformats-officedocument.spreadsheetml.worksheet+xml" PartName="/xl/worksheets/sheet21348.xml"/>
  <Override ContentType="application/vnd.openxmlformats-officedocument.spreadsheetml.worksheet+xml" PartName="/xl/worksheets/sheet21349.xml"/>
  <Override ContentType="application/vnd.openxmlformats-officedocument.spreadsheetml.worksheet+xml" PartName="/xl/worksheets/sheet21350.xml"/>
  <Override ContentType="application/vnd.openxmlformats-officedocument.spreadsheetml.worksheet+xml" PartName="/xl/worksheets/sheet21351.xml"/>
  <Override ContentType="application/vnd.openxmlformats-officedocument.spreadsheetml.worksheet+xml" PartName="/xl/worksheets/sheet21352.xml"/>
  <Override ContentType="application/vnd.openxmlformats-officedocument.spreadsheetml.worksheet+xml" PartName="/xl/worksheets/sheet21353.xml"/>
  <Override ContentType="application/vnd.openxmlformats-officedocument.spreadsheetml.worksheet+xml" PartName="/xl/worksheets/sheet21354.xml"/>
  <Override ContentType="application/vnd.openxmlformats-officedocument.spreadsheetml.worksheet+xml" PartName="/xl/worksheets/sheet21355.xml"/>
  <Override ContentType="application/vnd.openxmlformats-officedocument.spreadsheetml.worksheet+xml" PartName="/xl/worksheets/sheet21356.xml"/>
  <Override ContentType="application/vnd.openxmlformats-officedocument.spreadsheetml.worksheet+xml" PartName="/xl/worksheets/sheet21357.xml"/>
  <Override ContentType="application/vnd.openxmlformats-officedocument.spreadsheetml.worksheet+xml" PartName="/xl/worksheets/sheet21358.xml"/>
  <Override ContentType="application/vnd.openxmlformats-officedocument.spreadsheetml.worksheet+xml" PartName="/xl/worksheets/sheet21359.xml"/>
  <Override ContentType="application/vnd.openxmlformats-officedocument.spreadsheetml.worksheet+xml" PartName="/xl/worksheets/sheet21360.xml"/>
  <Override ContentType="application/vnd.openxmlformats-officedocument.spreadsheetml.worksheet+xml" PartName="/xl/worksheets/sheet21361.xml"/>
  <Override ContentType="application/vnd.openxmlformats-officedocument.spreadsheetml.worksheet+xml" PartName="/xl/worksheets/sheet21362.xml"/>
  <Override ContentType="application/vnd.openxmlformats-officedocument.spreadsheetml.worksheet+xml" PartName="/xl/worksheets/sheet21363.xml"/>
  <Override ContentType="application/vnd.openxmlformats-officedocument.spreadsheetml.worksheet+xml" PartName="/xl/worksheets/sheet21364.xml"/>
  <Override ContentType="application/vnd.openxmlformats-officedocument.spreadsheetml.worksheet+xml" PartName="/xl/worksheets/sheet21365.xml"/>
  <Override ContentType="application/vnd.openxmlformats-officedocument.spreadsheetml.worksheet+xml" PartName="/xl/worksheets/sheet21366.xml"/>
  <Override ContentType="application/vnd.openxmlformats-officedocument.spreadsheetml.worksheet+xml" PartName="/xl/worksheets/sheet21367.xml"/>
  <Override ContentType="application/vnd.openxmlformats-officedocument.spreadsheetml.worksheet+xml" PartName="/xl/worksheets/sheet21368.xml"/>
  <Override ContentType="application/vnd.openxmlformats-officedocument.spreadsheetml.worksheet+xml" PartName="/xl/worksheets/sheet21369.xml"/>
  <Override ContentType="application/vnd.openxmlformats-officedocument.spreadsheetml.worksheet+xml" PartName="/xl/worksheets/sheet21370.xml"/>
  <Override ContentType="application/vnd.openxmlformats-officedocument.spreadsheetml.worksheet+xml" PartName="/xl/worksheets/sheet21371.xml"/>
  <Override ContentType="application/vnd.openxmlformats-officedocument.spreadsheetml.worksheet+xml" PartName="/xl/worksheets/sheet21372.xml"/>
  <Override ContentType="application/vnd.openxmlformats-officedocument.spreadsheetml.worksheet+xml" PartName="/xl/worksheets/sheet21373.xml"/>
  <Override ContentType="application/vnd.openxmlformats-officedocument.spreadsheetml.worksheet+xml" PartName="/xl/worksheets/sheet21374.xml"/>
  <Override ContentType="application/vnd.openxmlformats-officedocument.spreadsheetml.worksheet+xml" PartName="/xl/worksheets/sheet21375.xml"/>
  <Override ContentType="application/vnd.openxmlformats-officedocument.spreadsheetml.worksheet+xml" PartName="/xl/worksheets/sheet21376.xml"/>
  <Override ContentType="application/vnd.openxmlformats-officedocument.spreadsheetml.worksheet+xml" PartName="/xl/worksheets/sheet21377.xml"/>
  <Override ContentType="application/vnd.openxmlformats-officedocument.spreadsheetml.worksheet+xml" PartName="/xl/worksheets/sheet21378.xml"/>
  <Override ContentType="application/vnd.openxmlformats-officedocument.spreadsheetml.worksheet+xml" PartName="/xl/worksheets/sheet21379.xml"/>
  <Override ContentType="application/vnd.openxmlformats-officedocument.spreadsheetml.worksheet+xml" PartName="/xl/worksheets/sheet21380.xml"/>
  <Override ContentType="application/vnd.openxmlformats-officedocument.spreadsheetml.worksheet+xml" PartName="/xl/worksheets/sheet21381.xml"/>
  <Override ContentType="application/vnd.openxmlformats-officedocument.spreadsheetml.worksheet+xml" PartName="/xl/worksheets/sheet21382.xml"/>
  <Override ContentType="application/vnd.openxmlformats-officedocument.spreadsheetml.worksheet+xml" PartName="/xl/worksheets/sheet21383.xml"/>
  <Override ContentType="application/vnd.openxmlformats-officedocument.spreadsheetml.worksheet+xml" PartName="/xl/worksheets/sheet21384.xml"/>
  <Override ContentType="application/vnd.openxmlformats-officedocument.spreadsheetml.worksheet+xml" PartName="/xl/worksheets/sheet21385.xml"/>
  <Override ContentType="application/vnd.openxmlformats-officedocument.spreadsheetml.worksheet+xml" PartName="/xl/worksheets/sheet21386.xml"/>
  <Override ContentType="application/vnd.openxmlformats-officedocument.spreadsheetml.worksheet+xml" PartName="/xl/worksheets/sheet21387.xml"/>
  <Override ContentType="application/vnd.openxmlformats-officedocument.spreadsheetml.worksheet+xml" PartName="/xl/worksheets/sheet21388.xml"/>
  <Override ContentType="application/vnd.openxmlformats-officedocument.spreadsheetml.worksheet+xml" PartName="/xl/worksheets/sheet21389.xml"/>
  <Override ContentType="application/vnd.openxmlformats-officedocument.spreadsheetml.worksheet+xml" PartName="/xl/worksheets/sheet21390.xml"/>
  <Override ContentType="application/vnd.openxmlformats-officedocument.spreadsheetml.worksheet+xml" PartName="/xl/worksheets/sheet21391.xml"/>
  <Override ContentType="application/vnd.openxmlformats-officedocument.spreadsheetml.worksheet+xml" PartName="/xl/worksheets/sheet21392.xml"/>
  <Override ContentType="application/vnd.openxmlformats-officedocument.spreadsheetml.worksheet+xml" PartName="/xl/worksheets/sheet21393.xml"/>
  <Override ContentType="application/vnd.openxmlformats-officedocument.spreadsheetml.worksheet+xml" PartName="/xl/worksheets/sheet21394.xml"/>
  <Override ContentType="application/vnd.openxmlformats-officedocument.spreadsheetml.worksheet+xml" PartName="/xl/worksheets/sheet21395.xml"/>
  <Override ContentType="application/vnd.openxmlformats-officedocument.spreadsheetml.worksheet+xml" PartName="/xl/worksheets/sheet21396.xml"/>
  <Override ContentType="application/vnd.openxmlformats-officedocument.spreadsheetml.worksheet+xml" PartName="/xl/worksheets/sheet21397.xml"/>
  <Override ContentType="application/vnd.openxmlformats-officedocument.spreadsheetml.worksheet+xml" PartName="/xl/worksheets/sheet21398.xml"/>
  <Override ContentType="application/vnd.openxmlformats-officedocument.spreadsheetml.worksheet+xml" PartName="/xl/worksheets/sheet21399.xml"/>
  <Override ContentType="application/vnd.openxmlformats-officedocument.spreadsheetml.worksheet+xml" PartName="/xl/worksheets/sheet21400.xml"/>
  <Override ContentType="application/vnd.openxmlformats-officedocument.spreadsheetml.worksheet+xml" PartName="/xl/worksheets/sheet21401.xml"/>
  <Override ContentType="application/vnd.openxmlformats-officedocument.spreadsheetml.worksheet+xml" PartName="/xl/worksheets/sheet21402.xml"/>
  <Override ContentType="application/vnd.openxmlformats-officedocument.spreadsheetml.worksheet+xml" PartName="/xl/worksheets/sheet21403.xml"/>
  <Override ContentType="application/vnd.openxmlformats-officedocument.spreadsheetml.worksheet+xml" PartName="/xl/worksheets/sheet21404.xml"/>
  <Override ContentType="application/vnd.openxmlformats-officedocument.spreadsheetml.worksheet+xml" PartName="/xl/worksheets/sheet21405.xml"/>
  <Override ContentType="application/vnd.openxmlformats-officedocument.spreadsheetml.worksheet+xml" PartName="/xl/worksheets/sheet21406.xml"/>
  <Override ContentType="application/vnd.openxmlformats-officedocument.spreadsheetml.worksheet+xml" PartName="/xl/worksheets/sheet21407.xml"/>
  <Override ContentType="application/vnd.openxmlformats-officedocument.spreadsheetml.worksheet+xml" PartName="/xl/worksheets/sheet21408.xml"/>
  <Override ContentType="application/vnd.openxmlformats-officedocument.spreadsheetml.worksheet+xml" PartName="/xl/worksheets/sheet21409.xml"/>
  <Override ContentType="application/vnd.openxmlformats-officedocument.spreadsheetml.worksheet+xml" PartName="/xl/worksheets/sheet21410.xml"/>
  <Override ContentType="application/vnd.openxmlformats-officedocument.spreadsheetml.worksheet+xml" PartName="/xl/worksheets/sheet21411.xml"/>
  <Override ContentType="application/vnd.openxmlformats-officedocument.spreadsheetml.worksheet+xml" PartName="/xl/worksheets/sheet21412.xml"/>
  <Override ContentType="application/vnd.openxmlformats-officedocument.spreadsheetml.worksheet+xml" PartName="/xl/worksheets/sheet21413.xml"/>
  <Override ContentType="application/vnd.openxmlformats-officedocument.spreadsheetml.worksheet+xml" PartName="/xl/worksheets/sheet21414.xml"/>
  <Override ContentType="application/vnd.openxmlformats-officedocument.spreadsheetml.worksheet+xml" PartName="/xl/worksheets/sheet21415.xml"/>
  <Override ContentType="application/vnd.openxmlformats-officedocument.spreadsheetml.worksheet+xml" PartName="/xl/worksheets/sheet21416.xml"/>
  <Override ContentType="application/vnd.openxmlformats-officedocument.spreadsheetml.worksheet+xml" PartName="/xl/worksheets/sheet21417.xml"/>
  <Override ContentType="application/vnd.openxmlformats-officedocument.spreadsheetml.worksheet+xml" PartName="/xl/worksheets/sheet21418.xml"/>
  <Override ContentType="application/vnd.openxmlformats-officedocument.spreadsheetml.worksheet+xml" PartName="/xl/worksheets/sheet21419.xml"/>
  <Override ContentType="application/vnd.openxmlformats-officedocument.spreadsheetml.worksheet+xml" PartName="/xl/worksheets/sheet21420.xml"/>
  <Override ContentType="application/vnd.openxmlformats-officedocument.spreadsheetml.worksheet+xml" PartName="/xl/worksheets/sheet21421.xml"/>
  <Override ContentType="application/vnd.openxmlformats-officedocument.spreadsheetml.worksheet+xml" PartName="/xl/worksheets/sheet21422.xml"/>
  <Override ContentType="application/vnd.openxmlformats-officedocument.spreadsheetml.worksheet+xml" PartName="/xl/worksheets/sheet21423.xml"/>
  <Override ContentType="application/vnd.openxmlformats-officedocument.spreadsheetml.worksheet+xml" PartName="/xl/worksheets/sheet21424.xml"/>
  <Override ContentType="application/vnd.openxmlformats-officedocument.spreadsheetml.worksheet+xml" PartName="/xl/worksheets/sheet21425.xml"/>
  <Override ContentType="application/vnd.openxmlformats-officedocument.spreadsheetml.worksheet+xml" PartName="/xl/worksheets/sheet21426.xml"/>
  <Override ContentType="application/vnd.openxmlformats-officedocument.spreadsheetml.worksheet+xml" PartName="/xl/worksheets/sheet21427.xml"/>
  <Override ContentType="application/vnd.openxmlformats-officedocument.spreadsheetml.worksheet+xml" PartName="/xl/worksheets/sheet21428.xml"/>
  <Override ContentType="application/vnd.openxmlformats-officedocument.spreadsheetml.worksheet+xml" PartName="/xl/worksheets/sheet21429.xml"/>
  <Override ContentType="application/vnd.openxmlformats-officedocument.spreadsheetml.worksheet+xml" PartName="/xl/worksheets/sheet21430.xml"/>
  <Override ContentType="application/vnd.openxmlformats-officedocument.spreadsheetml.worksheet+xml" PartName="/xl/worksheets/sheet21431.xml"/>
  <Override ContentType="application/vnd.openxmlformats-officedocument.spreadsheetml.worksheet+xml" PartName="/xl/worksheets/sheet21432.xml"/>
  <Override ContentType="application/vnd.openxmlformats-officedocument.spreadsheetml.worksheet+xml" PartName="/xl/worksheets/sheet21433.xml"/>
  <Override ContentType="application/vnd.openxmlformats-officedocument.spreadsheetml.worksheet+xml" PartName="/xl/worksheets/sheet21434.xml"/>
  <Override ContentType="application/vnd.openxmlformats-officedocument.spreadsheetml.worksheet+xml" PartName="/xl/worksheets/sheet21435.xml"/>
  <Override ContentType="application/vnd.openxmlformats-officedocument.spreadsheetml.worksheet+xml" PartName="/xl/worksheets/sheet21436.xml"/>
  <Override ContentType="application/vnd.openxmlformats-officedocument.spreadsheetml.worksheet+xml" PartName="/xl/worksheets/sheet21437.xml"/>
  <Override ContentType="application/vnd.openxmlformats-officedocument.spreadsheetml.worksheet+xml" PartName="/xl/worksheets/sheet21438.xml"/>
  <Override ContentType="application/vnd.openxmlformats-officedocument.spreadsheetml.worksheet+xml" PartName="/xl/worksheets/sheet21439.xml"/>
  <Override ContentType="application/vnd.openxmlformats-officedocument.spreadsheetml.worksheet+xml" PartName="/xl/worksheets/sheet21440.xml"/>
  <Override ContentType="application/vnd.openxmlformats-officedocument.spreadsheetml.worksheet+xml" PartName="/xl/worksheets/sheet21441.xml"/>
  <Override ContentType="application/vnd.openxmlformats-officedocument.spreadsheetml.worksheet+xml" PartName="/xl/worksheets/sheet21442.xml"/>
  <Override ContentType="application/vnd.openxmlformats-officedocument.spreadsheetml.worksheet+xml" PartName="/xl/worksheets/sheet21443.xml"/>
  <Override ContentType="application/vnd.openxmlformats-officedocument.spreadsheetml.worksheet+xml" PartName="/xl/worksheets/sheet21444.xml"/>
  <Override ContentType="application/vnd.openxmlformats-officedocument.spreadsheetml.worksheet+xml" PartName="/xl/worksheets/sheet21445.xml"/>
  <Override ContentType="application/vnd.openxmlformats-officedocument.spreadsheetml.worksheet+xml" PartName="/xl/worksheets/sheet21446.xml"/>
  <Override ContentType="application/vnd.openxmlformats-officedocument.spreadsheetml.worksheet+xml" PartName="/xl/worksheets/sheet21447.xml"/>
  <Override ContentType="application/vnd.openxmlformats-officedocument.spreadsheetml.worksheet+xml" PartName="/xl/worksheets/sheet21448.xml"/>
  <Override ContentType="application/vnd.openxmlformats-officedocument.spreadsheetml.worksheet+xml" PartName="/xl/worksheets/sheet21449.xml"/>
  <Override ContentType="application/vnd.openxmlformats-officedocument.spreadsheetml.worksheet+xml" PartName="/xl/worksheets/sheet21450.xml"/>
  <Override ContentType="application/vnd.openxmlformats-officedocument.spreadsheetml.worksheet+xml" PartName="/xl/worksheets/sheet21451.xml"/>
  <Override ContentType="application/vnd.openxmlformats-officedocument.spreadsheetml.worksheet+xml" PartName="/xl/worksheets/sheet21452.xml"/>
  <Override ContentType="application/vnd.openxmlformats-officedocument.spreadsheetml.worksheet+xml" PartName="/xl/worksheets/sheet21453.xml"/>
  <Override ContentType="application/vnd.openxmlformats-officedocument.spreadsheetml.worksheet+xml" PartName="/xl/worksheets/sheet21454.xml"/>
  <Override ContentType="application/vnd.openxmlformats-officedocument.spreadsheetml.worksheet+xml" PartName="/xl/worksheets/sheet21455.xml"/>
  <Override ContentType="application/vnd.openxmlformats-officedocument.spreadsheetml.worksheet+xml" PartName="/xl/worksheets/sheet21456.xml"/>
  <Override ContentType="application/vnd.openxmlformats-officedocument.spreadsheetml.worksheet+xml" PartName="/xl/worksheets/sheet21457.xml"/>
  <Override ContentType="application/vnd.openxmlformats-officedocument.spreadsheetml.worksheet+xml" PartName="/xl/worksheets/sheet21458.xml"/>
  <Override ContentType="application/vnd.openxmlformats-officedocument.spreadsheetml.worksheet+xml" PartName="/xl/worksheets/sheet21459.xml"/>
  <Override ContentType="application/vnd.openxmlformats-officedocument.spreadsheetml.worksheet+xml" PartName="/xl/worksheets/sheet21460.xml"/>
  <Override ContentType="application/vnd.openxmlformats-officedocument.spreadsheetml.worksheet+xml" PartName="/xl/worksheets/sheet21461.xml"/>
  <Override ContentType="application/vnd.openxmlformats-officedocument.spreadsheetml.worksheet+xml" PartName="/xl/worksheets/sheet21462.xml"/>
  <Override ContentType="application/vnd.openxmlformats-officedocument.spreadsheetml.worksheet+xml" PartName="/xl/worksheets/sheet21463.xml"/>
  <Override ContentType="application/vnd.openxmlformats-officedocument.spreadsheetml.worksheet+xml" PartName="/xl/worksheets/sheet21464.xml"/>
  <Override ContentType="application/vnd.openxmlformats-officedocument.spreadsheetml.worksheet+xml" PartName="/xl/worksheets/sheet21465.xml"/>
  <Override ContentType="application/vnd.openxmlformats-officedocument.spreadsheetml.worksheet+xml" PartName="/xl/worksheets/sheet21466.xml"/>
  <Override ContentType="application/vnd.openxmlformats-officedocument.spreadsheetml.worksheet+xml" PartName="/xl/worksheets/sheet21467.xml"/>
  <Override ContentType="application/vnd.openxmlformats-officedocument.spreadsheetml.worksheet+xml" PartName="/xl/worksheets/sheet21468.xml"/>
  <Override ContentType="application/vnd.openxmlformats-officedocument.spreadsheetml.worksheet+xml" PartName="/xl/worksheets/sheet21469.xml"/>
  <Override ContentType="application/vnd.openxmlformats-officedocument.spreadsheetml.worksheet+xml" PartName="/xl/worksheets/sheet21470.xml"/>
  <Override ContentType="application/vnd.openxmlformats-officedocument.spreadsheetml.worksheet+xml" PartName="/xl/worksheets/sheet21471.xml"/>
  <Override ContentType="application/vnd.openxmlformats-officedocument.spreadsheetml.worksheet+xml" PartName="/xl/worksheets/sheet21472.xml"/>
  <Override ContentType="application/vnd.openxmlformats-officedocument.spreadsheetml.worksheet+xml" PartName="/xl/worksheets/sheet21473.xml"/>
  <Override ContentType="application/vnd.openxmlformats-officedocument.spreadsheetml.worksheet+xml" PartName="/xl/worksheets/sheet21474.xml"/>
  <Override ContentType="application/vnd.openxmlformats-officedocument.spreadsheetml.worksheet+xml" PartName="/xl/worksheets/sheet21475.xml"/>
  <Override ContentType="application/vnd.openxmlformats-officedocument.spreadsheetml.worksheet+xml" PartName="/xl/worksheets/sheet21476.xml"/>
  <Override ContentType="application/vnd.openxmlformats-officedocument.spreadsheetml.worksheet+xml" PartName="/xl/worksheets/sheet21477.xml"/>
  <Override ContentType="application/vnd.openxmlformats-officedocument.spreadsheetml.worksheet+xml" PartName="/xl/worksheets/sheet21478.xml"/>
  <Override ContentType="application/vnd.openxmlformats-officedocument.spreadsheetml.worksheet+xml" PartName="/xl/worksheets/sheet21479.xml"/>
  <Override ContentType="application/vnd.openxmlformats-officedocument.spreadsheetml.worksheet+xml" PartName="/xl/worksheets/sheet21480.xml"/>
  <Override ContentType="application/vnd.openxmlformats-officedocument.spreadsheetml.worksheet+xml" PartName="/xl/worksheets/sheet21481.xml"/>
  <Override ContentType="application/vnd.openxmlformats-officedocument.spreadsheetml.worksheet+xml" PartName="/xl/worksheets/sheet21482.xml"/>
  <Override ContentType="application/vnd.openxmlformats-officedocument.spreadsheetml.worksheet+xml" PartName="/xl/worksheets/sheet21483.xml"/>
  <Override ContentType="application/vnd.openxmlformats-officedocument.spreadsheetml.worksheet+xml" PartName="/xl/worksheets/sheet21484.xml"/>
  <Override ContentType="application/vnd.openxmlformats-officedocument.spreadsheetml.worksheet+xml" PartName="/xl/worksheets/sheet21485.xml"/>
  <Override ContentType="application/vnd.openxmlformats-officedocument.spreadsheetml.worksheet+xml" PartName="/xl/worksheets/sheet21486.xml"/>
  <Override ContentType="application/vnd.openxmlformats-officedocument.spreadsheetml.worksheet+xml" PartName="/xl/worksheets/sheet21487.xml"/>
  <Override ContentType="application/vnd.openxmlformats-officedocument.spreadsheetml.worksheet+xml" PartName="/xl/worksheets/sheet21488.xml"/>
  <Override ContentType="application/vnd.openxmlformats-officedocument.spreadsheetml.worksheet+xml" PartName="/xl/worksheets/sheet21489.xml"/>
  <Override ContentType="application/vnd.openxmlformats-officedocument.spreadsheetml.worksheet+xml" PartName="/xl/worksheets/sheet21490.xml"/>
  <Override ContentType="application/vnd.openxmlformats-officedocument.spreadsheetml.worksheet+xml" PartName="/xl/worksheets/sheet21491.xml"/>
  <Override ContentType="application/vnd.openxmlformats-officedocument.spreadsheetml.worksheet+xml" PartName="/xl/worksheets/sheet21492.xml"/>
  <Override ContentType="application/vnd.openxmlformats-officedocument.spreadsheetml.worksheet+xml" PartName="/xl/worksheets/sheet21493.xml"/>
  <Override ContentType="application/vnd.openxmlformats-officedocument.spreadsheetml.worksheet+xml" PartName="/xl/worksheets/sheet21494.xml"/>
  <Override ContentType="application/vnd.openxmlformats-officedocument.spreadsheetml.worksheet+xml" PartName="/xl/worksheets/sheet21495.xml"/>
  <Override ContentType="application/vnd.openxmlformats-officedocument.spreadsheetml.worksheet+xml" PartName="/xl/worksheets/sheet21496.xml"/>
  <Override ContentType="application/vnd.openxmlformats-officedocument.spreadsheetml.worksheet+xml" PartName="/xl/worksheets/sheet21497.xml"/>
  <Override ContentType="application/vnd.openxmlformats-officedocument.spreadsheetml.worksheet+xml" PartName="/xl/worksheets/sheet21498.xml"/>
  <Override ContentType="application/vnd.openxmlformats-officedocument.spreadsheetml.worksheet+xml" PartName="/xl/worksheets/sheet21499.xml"/>
  <Override ContentType="application/vnd.openxmlformats-officedocument.spreadsheetml.worksheet+xml" PartName="/xl/worksheets/sheet21500.xml"/>
  <Override ContentType="application/vnd.openxmlformats-officedocument.spreadsheetml.worksheet+xml" PartName="/xl/worksheets/sheet21501.xml"/>
  <Override ContentType="application/vnd.openxmlformats-officedocument.spreadsheetml.worksheet+xml" PartName="/xl/worksheets/sheet21502.xml"/>
  <Override ContentType="application/vnd.openxmlformats-officedocument.spreadsheetml.worksheet+xml" PartName="/xl/worksheets/sheet21503.xml"/>
  <Override ContentType="application/vnd.openxmlformats-officedocument.spreadsheetml.worksheet+xml" PartName="/xl/worksheets/sheet21504.xml"/>
  <Override ContentType="application/vnd.openxmlformats-officedocument.spreadsheetml.worksheet+xml" PartName="/xl/worksheets/sheet21505.xml"/>
  <Override ContentType="application/vnd.openxmlformats-officedocument.spreadsheetml.worksheet+xml" PartName="/xl/worksheets/sheet21506.xml"/>
  <Override ContentType="application/vnd.openxmlformats-officedocument.spreadsheetml.worksheet+xml" PartName="/xl/worksheets/sheet21507.xml"/>
  <Override ContentType="application/vnd.openxmlformats-officedocument.spreadsheetml.worksheet+xml" PartName="/xl/worksheets/sheet21508.xml"/>
  <Override ContentType="application/vnd.openxmlformats-officedocument.spreadsheetml.worksheet+xml" PartName="/xl/worksheets/sheet21509.xml"/>
  <Override ContentType="application/vnd.openxmlformats-officedocument.spreadsheetml.worksheet+xml" PartName="/xl/worksheets/sheet21510.xml"/>
  <Override ContentType="application/vnd.openxmlformats-officedocument.spreadsheetml.worksheet+xml" PartName="/xl/worksheets/sheet21511.xml"/>
  <Override ContentType="application/vnd.openxmlformats-officedocument.spreadsheetml.worksheet+xml" PartName="/xl/worksheets/sheet21512.xml"/>
  <Override ContentType="application/vnd.openxmlformats-officedocument.spreadsheetml.worksheet+xml" PartName="/xl/worksheets/sheet21513.xml"/>
  <Override ContentType="application/vnd.openxmlformats-officedocument.spreadsheetml.worksheet+xml" PartName="/xl/worksheets/sheet21514.xml"/>
  <Override ContentType="application/vnd.openxmlformats-officedocument.spreadsheetml.worksheet+xml" PartName="/xl/worksheets/sheet21515.xml"/>
  <Override ContentType="application/vnd.openxmlformats-officedocument.spreadsheetml.worksheet+xml" PartName="/xl/worksheets/sheet21516.xml"/>
  <Override ContentType="application/vnd.openxmlformats-officedocument.spreadsheetml.worksheet+xml" PartName="/xl/worksheets/sheet21517.xml"/>
  <Override ContentType="application/vnd.openxmlformats-officedocument.spreadsheetml.worksheet+xml" PartName="/xl/worksheets/sheet21518.xml"/>
  <Override ContentType="application/vnd.openxmlformats-officedocument.spreadsheetml.worksheet+xml" PartName="/xl/worksheets/sheet21519.xml"/>
  <Override ContentType="application/vnd.openxmlformats-officedocument.spreadsheetml.worksheet+xml" PartName="/xl/worksheets/sheet21520.xml"/>
  <Override ContentType="application/vnd.openxmlformats-officedocument.spreadsheetml.worksheet+xml" PartName="/xl/worksheets/sheet21521.xml"/>
  <Override ContentType="application/vnd.openxmlformats-officedocument.spreadsheetml.worksheet+xml" PartName="/xl/worksheets/sheet21522.xml"/>
  <Override ContentType="application/vnd.openxmlformats-officedocument.spreadsheetml.worksheet+xml" PartName="/xl/worksheets/sheet21523.xml"/>
  <Override ContentType="application/vnd.openxmlformats-officedocument.spreadsheetml.worksheet+xml" PartName="/xl/worksheets/sheet21524.xml"/>
  <Override ContentType="application/vnd.openxmlformats-officedocument.spreadsheetml.worksheet+xml" PartName="/xl/worksheets/sheet21525.xml"/>
  <Override ContentType="application/vnd.openxmlformats-officedocument.spreadsheetml.worksheet+xml" PartName="/xl/worksheets/sheet21526.xml"/>
  <Override ContentType="application/vnd.openxmlformats-officedocument.spreadsheetml.worksheet+xml" PartName="/xl/worksheets/sheet21527.xml"/>
  <Override ContentType="application/vnd.openxmlformats-officedocument.spreadsheetml.worksheet+xml" PartName="/xl/worksheets/sheet21528.xml"/>
  <Override ContentType="application/vnd.openxmlformats-officedocument.spreadsheetml.worksheet+xml" PartName="/xl/worksheets/sheet21529.xml"/>
  <Override ContentType="application/vnd.openxmlformats-officedocument.spreadsheetml.worksheet+xml" PartName="/xl/worksheets/sheet21530.xml"/>
  <Override ContentType="application/vnd.openxmlformats-officedocument.spreadsheetml.worksheet+xml" PartName="/xl/worksheets/sheet21531.xml"/>
  <Override ContentType="application/vnd.openxmlformats-officedocument.spreadsheetml.worksheet+xml" PartName="/xl/worksheets/sheet21532.xml"/>
  <Override ContentType="application/vnd.openxmlformats-officedocument.spreadsheetml.worksheet+xml" PartName="/xl/worksheets/sheet21533.xml"/>
  <Override ContentType="application/vnd.openxmlformats-officedocument.spreadsheetml.worksheet+xml" PartName="/xl/worksheets/sheet21534.xml"/>
  <Override ContentType="application/vnd.openxmlformats-officedocument.spreadsheetml.worksheet+xml" PartName="/xl/worksheets/sheet21535.xml"/>
  <Override ContentType="application/vnd.openxmlformats-officedocument.spreadsheetml.worksheet+xml" PartName="/xl/worksheets/sheet21536.xml"/>
  <Override ContentType="application/vnd.openxmlformats-officedocument.spreadsheetml.worksheet+xml" PartName="/xl/worksheets/sheet21537.xml"/>
  <Override ContentType="application/vnd.openxmlformats-officedocument.spreadsheetml.worksheet+xml" PartName="/xl/worksheets/sheet21538.xml"/>
  <Override ContentType="application/vnd.openxmlformats-officedocument.spreadsheetml.worksheet+xml" PartName="/xl/worksheets/sheet21539.xml"/>
  <Override ContentType="application/vnd.openxmlformats-officedocument.spreadsheetml.worksheet+xml" PartName="/xl/worksheets/sheet21540.xml"/>
  <Override ContentType="application/vnd.openxmlformats-officedocument.spreadsheetml.worksheet+xml" PartName="/xl/worksheets/sheet21541.xml"/>
  <Override ContentType="application/vnd.openxmlformats-officedocument.spreadsheetml.worksheet+xml" PartName="/xl/worksheets/sheet21542.xml"/>
  <Override ContentType="application/vnd.openxmlformats-officedocument.spreadsheetml.worksheet+xml" PartName="/xl/worksheets/sheet21543.xml"/>
  <Override ContentType="application/vnd.openxmlformats-officedocument.spreadsheetml.worksheet+xml" PartName="/xl/worksheets/sheet21544.xml"/>
  <Override ContentType="application/vnd.openxmlformats-officedocument.spreadsheetml.worksheet+xml" PartName="/xl/worksheets/sheet21545.xml"/>
  <Override ContentType="application/vnd.openxmlformats-officedocument.spreadsheetml.worksheet+xml" PartName="/xl/worksheets/sheet21546.xml"/>
  <Override ContentType="application/vnd.openxmlformats-officedocument.spreadsheetml.worksheet+xml" PartName="/xl/worksheets/sheet21547.xml"/>
  <Override ContentType="application/vnd.openxmlformats-officedocument.spreadsheetml.worksheet+xml" PartName="/xl/worksheets/sheet21548.xml"/>
  <Override ContentType="application/vnd.openxmlformats-officedocument.spreadsheetml.worksheet+xml" PartName="/xl/worksheets/sheet21549.xml"/>
  <Override ContentType="application/vnd.openxmlformats-officedocument.spreadsheetml.worksheet+xml" PartName="/xl/worksheets/sheet21550.xml"/>
  <Override ContentType="application/vnd.openxmlformats-officedocument.spreadsheetml.worksheet+xml" PartName="/xl/worksheets/sheet21551.xml"/>
  <Override ContentType="application/vnd.openxmlformats-officedocument.spreadsheetml.worksheet+xml" PartName="/xl/worksheets/sheet21552.xml"/>
  <Override ContentType="application/vnd.openxmlformats-officedocument.spreadsheetml.worksheet+xml" PartName="/xl/worksheets/sheet21553.xml"/>
  <Override ContentType="application/vnd.openxmlformats-officedocument.spreadsheetml.worksheet+xml" PartName="/xl/worksheets/sheet21554.xml"/>
  <Override ContentType="application/vnd.openxmlformats-officedocument.spreadsheetml.worksheet+xml" PartName="/xl/worksheets/sheet21555.xml"/>
  <Override ContentType="application/vnd.openxmlformats-officedocument.spreadsheetml.worksheet+xml" PartName="/xl/worksheets/sheet21556.xml"/>
  <Override ContentType="application/vnd.openxmlformats-officedocument.spreadsheetml.worksheet+xml" PartName="/xl/worksheets/sheet21557.xml"/>
  <Override ContentType="application/vnd.openxmlformats-officedocument.spreadsheetml.worksheet+xml" PartName="/xl/worksheets/sheet21558.xml"/>
  <Override ContentType="application/vnd.openxmlformats-officedocument.spreadsheetml.worksheet+xml" PartName="/xl/worksheets/sheet21559.xml"/>
  <Override ContentType="application/vnd.openxmlformats-officedocument.spreadsheetml.worksheet+xml" PartName="/xl/worksheets/sheet21560.xml"/>
  <Override ContentType="application/vnd.openxmlformats-officedocument.spreadsheetml.worksheet+xml" PartName="/xl/worksheets/sheet21561.xml"/>
  <Override ContentType="application/vnd.openxmlformats-officedocument.spreadsheetml.worksheet+xml" PartName="/xl/worksheets/sheet21562.xml"/>
  <Override ContentType="application/vnd.openxmlformats-officedocument.spreadsheetml.worksheet+xml" PartName="/xl/worksheets/sheet21563.xml"/>
  <Override ContentType="application/vnd.openxmlformats-officedocument.spreadsheetml.worksheet+xml" PartName="/xl/worksheets/sheet21564.xml"/>
  <Override ContentType="application/vnd.openxmlformats-officedocument.spreadsheetml.worksheet+xml" PartName="/xl/worksheets/sheet21565.xml"/>
  <Override ContentType="application/vnd.openxmlformats-officedocument.spreadsheetml.worksheet+xml" PartName="/xl/worksheets/sheet21566.xml"/>
  <Override ContentType="application/vnd.openxmlformats-officedocument.spreadsheetml.worksheet+xml" PartName="/xl/worksheets/sheet21567.xml"/>
  <Override ContentType="application/vnd.openxmlformats-officedocument.spreadsheetml.worksheet+xml" PartName="/xl/worksheets/sheet21568.xml"/>
  <Override ContentType="application/vnd.openxmlformats-officedocument.spreadsheetml.worksheet+xml" PartName="/xl/worksheets/sheet21569.xml"/>
  <Override ContentType="application/vnd.openxmlformats-officedocument.spreadsheetml.worksheet+xml" PartName="/xl/worksheets/sheet21570.xml"/>
  <Override ContentType="application/vnd.openxmlformats-officedocument.spreadsheetml.worksheet+xml" PartName="/xl/worksheets/sheet21571.xml"/>
  <Override ContentType="application/vnd.openxmlformats-officedocument.spreadsheetml.worksheet+xml" PartName="/xl/worksheets/sheet21572.xml"/>
  <Override ContentType="application/vnd.openxmlformats-officedocument.spreadsheetml.worksheet+xml" PartName="/xl/worksheets/sheet21573.xml"/>
  <Override ContentType="application/vnd.openxmlformats-officedocument.spreadsheetml.worksheet+xml" PartName="/xl/worksheets/sheet21574.xml"/>
  <Override ContentType="application/vnd.openxmlformats-officedocument.spreadsheetml.worksheet+xml" PartName="/xl/worksheets/sheet21575.xml"/>
  <Override ContentType="application/vnd.openxmlformats-officedocument.spreadsheetml.worksheet+xml" PartName="/xl/worksheets/sheet21576.xml"/>
  <Override ContentType="application/vnd.openxmlformats-officedocument.spreadsheetml.worksheet+xml" PartName="/xl/worksheets/sheet21577.xml"/>
  <Override ContentType="application/vnd.openxmlformats-officedocument.spreadsheetml.worksheet+xml" PartName="/xl/worksheets/sheet21578.xml"/>
  <Override ContentType="application/vnd.openxmlformats-officedocument.spreadsheetml.worksheet+xml" PartName="/xl/worksheets/sheet21579.xml"/>
  <Override ContentType="application/vnd.openxmlformats-officedocument.spreadsheetml.worksheet+xml" PartName="/xl/worksheets/sheet21580.xml"/>
  <Override ContentType="application/vnd.openxmlformats-officedocument.spreadsheetml.worksheet+xml" PartName="/xl/worksheets/sheet21581.xml"/>
  <Override ContentType="application/vnd.openxmlformats-officedocument.spreadsheetml.worksheet+xml" PartName="/xl/worksheets/sheet21582.xml"/>
  <Override ContentType="application/vnd.openxmlformats-officedocument.spreadsheetml.worksheet+xml" PartName="/xl/worksheets/sheet21583.xml"/>
  <Override ContentType="application/vnd.openxmlformats-officedocument.spreadsheetml.worksheet+xml" PartName="/xl/worksheets/sheet21584.xml"/>
  <Override ContentType="application/vnd.openxmlformats-officedocument.spreadsheetml.worksheet+xml" PartName="/xl/worksheets/sheet21585.xml"/>
  <Override ContentType="application/vnd.openxmlformats-officedocument.spreadsheetml.worksheet+xml" PartName="/xl/worksheets/sheet21586.xml"/>
  <Override ContentType="application/vnd.openxmlformats-officedocument.spreadsheetml.worksheet+xml" PartName="/xl/worksheets/sheet21587.xml"/>
  <Override ContentType="application/vnd.openxmlformats-officedocument.spreadsheetml.worksheet+xml" PartName="/xl/worksheets/sheet21588.xml"/>
  <Override ContentType="application/vnd.openxmlformats-officedocument.spreadsheetml.worksheet+xml" PartName="/xl/worksheets/sheet21589.xml"/>
  <Override ContentType="application/vnd.openxmlformats-officedocument.spreadsheetml.worksheet+xml" PartName="/xl/worksheets/sheet21590.xml"/>
  <Override ContentType="application/vnd.openxmlformats-officedocument.spreadsheetml.worksheet+xml" PartName="/xl/worksheets/sheet21591.xml"/>
  <Override ContentType="application/vnd.openxmlformats-officedocument.spreadsheetml.worksheet+xml" PartName="/xl/worksheets/sheet21592.xml"/>
  <Override ContentType="application/vnd.openxmlformats-officedocument.spreadsheetml.worksheet+xml" PartName="/xl/worksheets/sheet21593.xml"/>
  <Override ContentType="application/vnd.openxmlformats-officedocument.spreadsheetml.worksheet+xml" PartName="/xl/worksheets/sheet21594.xml"/>
  <Override ContentType="application/vnd.openxmlformats-officedocument.spreadsheetml.worksheet+xml" PartName="/xl/worksheets/sheet21595.xml"/>
  <Override ContentType="application/vnd.openxmlformats-officedocument.spreadsheetml.worksheet+xml" PartName="/xl/worksheets/sheet21596.xml"/>
  <Override ContentType="application/vnd.openxmlformats-officedocument.spreadsheetml.worksheet+xml" PartName="/xl/worksheets/sheet21597.xml"/>
  <Override ContentType="application/vnd.openxmlformats-officedocument.spreadsheetml.worksheet+xml" PartName="/xl/worksheets/sheet21598.xml"/>
  <Override ContentType="application/vnd.openxmlformats-officedocument.spreadsheetml.worksheet+xml" PartName="/xl/worksheets/sheet21599.xml"/>
  <Override ContentType="application/vnd.openxmlformats-officedocument.spreadsheetml.worksheet+xml" PartName="/xl/worksheets/sheet21600.xml"/>
  <Override ContentType="application/vnd.openxmlformats-officedocument.spreadsheetml.worksheet+xml" PartName="/xl/worksheets/sheet21601.xml"/>
  <Override ContentType="application/vnd.openxmlformats-officedocument.spreadsheetml.worksheet+xml" PartName="/xl/worksheets/sheet21602.xml"/>
  <Override ContentType="application/vnd.openxmlformats-officedocument.spreadsheetml.worksheet+xml" PartName="/xl/worksheets/sheet21603.xml"/>
  <Override ContentType="application/vnd.openxmlformats-officedocument.spreadsheetml.worksheet+xml" PartName="/xl/worksheets/sheet21604.xml"/>
  <Override ContentType="application/vnd.openxmlformats-officedocument.spreadsheetml.worksheet+xml" PartName="/xl/worksheets/sheet21605.xml"/>
  <Override ContentType="application/vnd.openxmlformats-officedocument.spreadsheetml.worksheet+xml" PartName="/xl/worksheets/sheet21606.xml"/>
  <Override ContentType="application/vnd.openxmlformats-officedocument.spreadsheetml.worksheet+xml" PartName="/xl/worksheets/sheet21607.xml"/>
  <Override ContentType="application/vnd.openxmlformats-officedocument.spreadsheetml.worksheet+xml" PartName="/xl/worksheets/sheet21608.xml"/>
  <Override ContentType="application/vnd.openxmlformats-officedocument.spreadsheetml.worksheet+xml" PartName="/xl/worksheets/sheet21609.xml"/>
  <Override ContentType="application/vnd.openxmlformats-officedocument.spreadsheetml.worksheet+xml" PartName="/xl/worksheets/sheet21610.xml"/>
  <Override ContentType="application/vnd.openxmlformats-officedocument.spreadsheetml.worksheet+xml" PartName="/xl/worksheets/sheet21611.xml"/>
  <Override ContentType="application/vnd.openxmlformats-officedocument.spreadsheetml.worksheet+xml" PartName="/xl/worksheets/sheet21612.xml"/>
  <Override ContentType="application/vnd.openxmlformats-officedocument.spreadsheetml.worksheet+xml" PartName="/xl/worksheets/sheet21613.xml"/>
  <Override ContentType="application/vnd.openxmlformats-officedocument.spreadsheetml.worksheet+xml" PartName="/xl/worksheets/sheet21614.xml"/>
  <Override ContentType="application/vnd.openxmlformats-officedocument.spreadsheetml.worksheet+xml" PartName="/xl/worksheets/sheet21615.xml"/>
  <Override ContentType="application/vnd.openxmlformats-officedocument.spreadsheetml.worksheet+xml" PartName="/xl/worksheets/sheet21616.xml"/>
  <Override ContentType="application/vnd.openxmlformats-officedocument.spreadsheetml.worksheet+xml" PartName="/xl/worksheets/sheet21617.xml"/>
  <Override ContentType="application/vnd.openxmlformats-officedocument.spreadsheetml.worksheet+xml" PartName="/xl/worksheets/sheet21618.xml"/>
  <Override ContentType="application/vnd.openxmlformats-officedocument.spreadsheetml.worksheet+xml" PartName="/xl/worksheets/sheet21619.xml"/>
  <Override ContentType="application/vnd.openxmlformats-officedocument.spreadsheetml.worksheet+xml" PartName="/xl/worksheets/sheet21620.xml"/>
  <Override ContentType="application/vnd.openxmlformats-officedocument.spreadsheetml.worksheet+xml" PartName="/xl/worksheets/sheet21621.xml"/>
  <Override ContentType="application/vnd.openxmlformats-officedocument.spreadsheetml.worksheet+xml" PartName="/xl/worksheets/sheet21622.xml"/>
  <Override ContentType="application/vnd.openxmlformats-officedocument.spreadsheetml.worksheet+xml" PartName="/xl/worksheets/sheet21623.xml"/>
  <Override ContentType="application/vnd.openxmlformats-officedocument.spreadsheetml.worksheet+xml" PartName="/xl/worksheets/sheet21624.xml"/>
  <Override ContentType="application/vnd.openxmlformats-officedocument.spreadsheetml.worksheet+xml" PartName="/xl/worksheets/sheet21625.xml"/>
  <Override ContentType="application/vnd.openxmlformats-officedocument.spreadsheetml.worksheet+xml" PartName="/xl/worksheets/sheet21626.xml"/>
  <Override ContentType="application/vnd.openxmlformats-officedocument.spreadsheetml.worksheet+xml" PartName="/xl/worksheets/sheet21627.xml"/>
  <Override ContentType="application/vnd.openxmlformats-officedocument.spreadsheetml.worksheet+xml" PartName="/xl/worksheets/sheet21628.xml"/>
  <Override ContentType="application/vnd.openxmlformats-officedocument.spreadsheetml.worksheet+xml" PartName="/xl/worksheets/sheet21629.xml"/>
  <Override ContentType="application/vnd.openxmlformats-officedocument.spreadsheetml.worksheet+xml" PartName="/xl/worksheets/sheet21630.xml"/>
  <Override ContentType="application/vnd.openxmlformats-officedocument.spreadsheetml.worksheet+xml" PartName="/xl/worksheets/sheet21631.xml"/>
  <Override ContentType="application/vnd.openxmlformats-officedocument.spreadsheetml.worksheet+xml" PartName="/xl/worksheets/sheet21632.xml"/>
  <Override ContentType="application/vnd.openxmlformats-officedocument.spreadsheetml.worksheet+xml" PartName="/xl/worksheets/sheet21633.xml"/>
  <Override ContentType="application/vnd.openxmlformats-officedocument.spreadsheetml.worksheet+xml" PartName="/xl/worksheets/sheet21634.xml"/>
  <Override ContentType="application/vnd.openxmlformats-officedocument.spreadsheetml.worksheet+xml" PartName="/xl/worksheets/sheet21635.xml"/>
  <Override ContentType="application/vnd.openxmlformats-officedocument.spreadsheetml.worksheet+xml" PartName="/xl/worksheets/sheet21636.xml"/>
  <Override ContentType="application/vnd.openxmlformats-officedocument.spreadsheetml.worksheet+xml" PartName="/xl/worksheets/sheet21637.xml"/>
  <Override ContentType="application/vnd.openxmlformats-officedocument.spreadsheetml.worksheet+xml" PartName="/xl/worksheets/sheet21638.xml"/>
  <Override ContentType="application/vnd.openxmlformats-officedocument.spreadsheetml.worksheet+xml" PartName="/xl/worksheets/sheet21639.xml"/>
  <Override ContentType="application/vnd.openxmlformats-officedocument.spreadsheetml.worksheet+xml" PartName="/xl/worksheets/sheet21640.xml"/>
  <Override ContentType="application/vnd.openxmlformats-officedocument.spreadsheetml.worksheet+xml" PartName="/xl/worksheets/sheet21641.xml"/>
  <Override ContentType="application/vnd.openxmlformats-officedocument.spreadsheetml.worksheet+xml" PartName="/xl/worksheets/sheet21642.xml"/>
  <Override ContentType="application/vnd.openxmlformats-officedocument.spreadsheetml.worksheet+xml" PartName="/xl/worksheets/sheet21643.xml"/>
  <Override ContentType="application/vnd.openxmlformats-officedocument.spreadsheetml.worksheet+xml" PartName="/xl/worksheets/sheet21644.xml"/>
  <Override ContentType="application/vnd.openxmlformats-officedocument.spreadsheetml.worksheet+xml" PartName="/xl/worksheets/sheet21645.xml"/>
  <Override ContentType="application/vnd.openxmlformats-officedocument.spreadsheetml.worksheet+xml" PartName="/xl/worksheets/sheet21646.xml"/>
  <Override ContentType="application/vnd.openxmlformats-officedocument.spreadsheetml.worksheet+xml" PartName="/xl/worksheets/sheet21647.xml"/>
  <Override ContentType="application/vnd.openxmlformats-officedocument.spreadsheetml.worksheet+xml" PartName="/xl/worksheets/sheet21648.xml"/>
  <Override ContentType="application/vnd.openxmlformats-officedocument.spreadsheetml.worksheet+xml" PartName="/xl/worksheets/sheet21649.xml"/>
  <Override ContentType="application/vnd.openxmlformats-officedocument.spreadsheetml.worksheet+xml" PartName="/xl/worksheets/sheet21650.xml"/>
  <Override ContentType="application/vnd.openxmlformats-officedocument.spreadsheetml.worksheet+xml" PartName="/xl/worksheets/sheet21651.xml"/>
  <Override ContentType="application/vnd.openxmlformats-officedocument.spreadsheetml.worksheet+xml" PartName="/xl/worksheets/sheet21652.xml"/>
  <Override ContentType="application/vnd.openxmlformats-officedocument.spreadsheetml.worksheet+xml" PartName="/xl/worksheets/sheet21653.xml"/>
  <Override ContentType="application/vnd.openxmlformats-officedocument.spreadsheetml.worksheet+xml" PartName="/xl/worksheets/sheet21654.xml"/>
  <Override ContentType="application/vnd.openxmlformats-officedocument.spreadsheetml.worksheet+xml" PartName="/xl/worksheets/sheet21655.xml"/>
  <Override ContentType="application/vnd.openxmlformats-officedocument.spreadsheetml.worksheet+xml" PartName="/xl/worksheets/sheet21656.xml"/>
  <Override ContentType="application/vnd.openxmlformats-officedocument.spreadsheetml.worksheet+xml" PartName="/xl/worksheets/sheet21657.xml"/>
  <Override ContentType="application/vnd.openxmlformats-officedocument.spreadsheetml.worksheet+xml" PartName="/xl/worksheets/sheet21658.xml"/>
  <Override ContentType="application/vnd.openxmlformats-officedocument.spreadsheetml.worksheet+xml" PartName="/xl/worksheets/sheet21659.xml"/>
  <Override ContentType="application/vnd.openxmlformats-officedocument.spreadsheetml.worksheet+xml" PartName="/xl/worksheets/sheet21660.xml"/>
  <Override ContentType="application/vnd.openxmlformats-officedocument.spreadsheetml.worksheet+xml" PartName="/xl/worksheets/sheet21661.xml"/>
  <Override ContentType="application/vnd.openxmlformats-officedocument.spreadsheetml.worksheet+xml" PartName="/xl/worksheets/sheet21662.xml"/>
  <Override ContentType="application/vnd.openxmlformats-officedocument.spreadsheetml.worksheet+xml" PartName="/xl/worksheets/sheet21663.xml"/>
  <Override ContentType="application/vnd.openxmlformats-officedocument.spreadsheetml.worksheet+xml" PartName="/xl/worksheets/sheet21664.xml"/>
  <Override ContentType="application/vnd.openxmlformats-officedocument.spreadsheetml.worksheet+xml" PartName="/xl/worksheets/sheet21665.xml"/>
  <Override ContentType="application/vnd.openxmlformats-officedocument.spreadsheetml.worksheet+xml" PartName="/xl/worksheets/sheet21666.xml"/>
  <Override ContentType="application/vnd.openxmlformats-officedocument.spreadsheetml.worksheet+xml" PartName="/xl/worksheets/sheet21667.xml"/>
  <Override ContentType="application/vnd.openxmlformats-officedocument.spreadsheetml.worksheet+xml" PartName="/xl/worksheets/sheet21668.xml"/>
  <Override ContentType="application/vnd.openxmlformats-officedocument.spreadsheetml.worksheet+xml" PartName="/xl/worksheets/sheet21669.xml"/>
  <Override ContentType="application/vnd.openxmlformats-officedocument.spreadsheetml.worksheet+xml" PartName="/xl/worksheets/sheet21670.xml"/>
  <Override ContentType="application/vnd.openxmlformats-officedocument.spreadsheetml.worksheet+xml" PartName="/xl/worksheets/sheet21671.xml"/>
  <Override ContentType="application/vnd.openxmlformats-officedocument.spreadsheetml.worksheet+xml" PartName="/xl/worksheets/sheet21672.xml"/>
  <Override ContentType="application/vnd.openxmlformats-officedocument.spreadsheetml.worksheet+xml" PartName="/xl/worksheets/sheet21673.xml"/>
  <Override ContentType="application/vnd.openxmlformats-officedocument.spreadsheetml.worksheet+xml" PartName="/xl/worksheets/sheet21674.xml"/>
  <Override ContentType="application/vnd.openxmlformats-officedocument.spreadsheetml.worksheet+xml" PartName="/xl/worksheets/sheet21675.xml"/>
  <Override ContentType="application/vnd.openxmlformats-officedocument.spreadsheetml.worksheet+xml" PartName="/xl/worksheets/sheet21676.xml"/>
  <Override ContentType="application/vnd.openxmlformats-officedocument.spreadsheetml.worksheet+xml" PartName="/xl/worksheets/sheet21677.xml"/>
  <Override ContentType="application/vnd.openxmlformats-officedocument.spreadsheetml.worksheet+xml" PartName="/xl/worksheets/sheet21678.xml"/>
  <Override ContentType="application/vnd.openxmlformats-officedocument.spreadsheetml.worksheet+xml" PartName="/xl/worksheets/sheet21679.xml"/>
  <Override ContentType="application/vnd.openxmlformats-officedocument.spreadsheetml.worksheet+xml" PartName="/xl/worksheets/sheet21680.xml"/>
  <Override ContentType="application/vnd.openxmlformats-officedocument.spreadsheetml.worksheet+xml" PartName="/xl/worksheets/sheet21681.xml"/>
  <Override ContentType="application/vnd.openxmlformats-officedocument.spreadsheetml.worksheet+xml" PartName="/xl/worksheets/sheet21682.xml"/>
  <Override ContentType="application/vnd.openxmlformats-officedocument.spreadsheetml.worksheet+xml" PartName="/xl/worksheets/sheet21683.xml"/>
  <Override ContentType="application/vnd.openxmlformats-officedocument.spreadsheetml.worksheet+xml" PartName="/xl/worksheets/sheet21684.xml"/>
  <Override ContentType="application/vnd.openxmlformats-officedocument.spreadsheetml.worksheet+xml" PartName="/xl/worksheets/sheet21685.xml"/>
  <Override ContentType="application/vnd.openxmlformats-officedocument.spreadsheetml.worksheet+xml" PartName="/xl/worksheets/sheet21686.xml"/>
  <Override ContentType="application/vnd.openxmlformats-officedocument.spreadsheetml.worksheet+xml" PartName="/xl/worksheets/sheet21687.xml"/>
  <Override ContentType="application/vnd.openxmlformats-officedocument.spreadsheetml.worksheet+xml" PartName="/xl/worksheets/sheet21688.xml"/>
  <Override ContentType="application/vnd.openxmlformats-officedocument.spreadsheetml.worksheet+xml" PartName="/xl/worksheets/sheet21689.xml"/>
  <Override ContentType="application/vnd.openxmlformats-officedocument.spreadsheetml.worksheet+xml" PartName="/xl/worksheets/sheet21690.xml"/>
  <Override ContentType="application/vnd.openxmlformats-officedocument.spreadsheetml.worksheet+xml" PartName="/xl/worksheets/sheet21691.xml"/>
  <Override ContentType="application/vnd.openxmlformats-officedocument.spreadsheetml.worksheet+xml" PartName="/xl/worksheets/sheet21692.xml"/>
  <Override ContentType="application/vnd.openxmlformats-officedocument.spreadsheetml.worksheet+xml" PartName="/xl/worksheets/sheet21693.xml"/>
  <Override ContentType="application/vnd.openxmlformats-officedocument.spreadsheetml.worksheet+xml" PartName="/xl/worksheets/sheet21694.xml"/>
  <Override ContentType="application/vnd.openxmlformats-officedocument.spreadsheetml.worksheet+xml" PartName="/xl/worksheets/sheet21695.xml"/>
  <Override ContentType="application/vnd.openxmlformats-officedocument.spreadsheetml.worksheet+xml" PartName="/xl/worksheets/sheet21696.xml"/>
  <Override ContentType="application/vnd.openxmlformats-officedocument.spreadsheetml.worksheet+xml" PartName="/xl/worksheets/sheet21697.xml"/>
  <Override ContentType="application/vnd.openxmlformats-officedocument.spreadsheetml.worksheet+xml" PartName="/xl/worksheets/sheet21698.xml"/>
  <Override ContentType="application/vnd.openxmlformats-officedocument.spreadsheetml.worksheet+xml" PartName="/xl/worksheets/sheet21699.xml"/>
  <Override ContentType="application/vnd.openxmlformats-officedocument.spreadsheetml.worksheet+xml" PartName="/xl/worksheets/sheet21700.xml"/>
  <Override ContentType="application/vnd.openxmlformats-officedocument.spreadsheetml.worksheet+xml" PartName="/xl/worksheets/sheet21701.xml"/>
  <Override ContentType="application/vnd.openxmlformats-officedocument.spreadsheetml.worksheet+xml" PartName="/xl/worksheets/sheet21702.xml"/>
  <Override ContentType="application/vnd.openxmlformats-officedocument.spreadsheetml.worksheet+xml" PartName="/xl/worksheets/sheet21703.xml"/>
  <Override ContentType="application/vnd.openxmlformats-officedocument.spreadsheetml.worksheet+xml" PartName="/xl/worksheets/sheet21704.xml"/>
  <Override ContentType="application/vnd.openxmlformats-officedocument.spreadsheetml.worksheet+xml" PartName="/xl/worksheets/sheet21705.xml"/>
  <Override ContentType="application/vnd.openxmlformats-officedocument.spreadsheetml.worksheet+xml" PartName="/xl/worksheets/sheet21706.xml"/>
  <Override ContentType="application/vnd.openxmlformats-officedocument.spreadsheetml.worksheet+xml" PartName="/xl/worksheets/sheet21707.xml"/>
  <Override ContentType="application/vnd.openxmlformats-officedocument.spreadsheetml.worksheet+xml" PartName="/xl/worksheets/sheet21708.xml"/>
  <Override ContentType="application/vnd.openxmlformats-officedocument.spreadsheetml.worksheet+xml" PartName="/xl/worksheets/sheet21709.xml"/>
  <Override ContentType="application/vnd.openxmlformats-officedocument.spreadsheetml.worksheet+xml" PartName="/xl/worksheets/sheet21710.xml"/>
  <Override ContentType="application/vnd.openxmlformats-officedocument.spreadsheetml.worksheet+xml" PartName="/xl/worksheets/sheet21711.xml"/>
  <Override ContentType="application/vnd.openxmlformats-officedocument.spreadsheetml.worksheet+xml" PartName="/xl/worksheets/sheet21712.xml"/>
  <Override ContentType="application/vnd.openxmlformats-officedocument.spreadsheetml.worksheet+xml" PartName="/xl/worksheets/sheet21713.xml"/>
  <Override ContentType="application/vnd.openxmlformats-officedocument.spreadsheetml.worksheet+xml" PartName="/xl/worksheets/sheet21714.xml"/>
  <Override ContentType="application/vnd.openxmlformats-officedocument.spreadsheetml.worksheet+xml" PartName="/xl/worksheets/sheet21715.xml"/>
  <Override ContentType="application/vnd.openxmlformats-officedocument.spreadsheetml.worksheet+xml" PartName="/xl/worksheets/sheet21716.xml"/>
  <Override ContentType="application/vnd.openxmlformats-officedocument.spreadsheetml.worksheet+xml" PartName="/xl/worksheets/sheet21717.xml"/>
  <Override ContentType="application/vnd.openxmlformats-officedocument.spreadsheetml.worksheet+xml" PartName="/xl/worksheets/sheet21718.xml"/>
  <Override ContentType="application/vnd.openxmlformats-officedocument.spreadsheetml.worksheet+xml" PartName="/xl/worksheets/sheet21719.xml"/>
  <Override ContentType="application/vnd.openxmlformats-officedocument.spreadsheetml.worksheet+xml" PartName="/xl/worksheets/sheet21720.xml"/>
  <Override ContentType="application/vnd.openxmlformats-officedocument.spreadsheetml.worksheet+xml" PartName="/xl/worksheets/sheet21721.xml"/>
  <Override ContentType="application/vnd.openxmlformats-officedocument.spreadsheetml.worksheet+xml" PartName="/xl/worksheets/sheet21722.xml"/>
  <Override ContentType="application/vnd.openxmlformats-officedocument.spreadsheetml.worksheet+xml" PartName="/xl/worksheets/sheet21723.xml"/>
  <Override ContentType="application/vnd.openxmlformats-officedocument.spreadsheetml.worksheet+xml" PartName="/xl/worksheets/sheet21724.xml"/>
  <Override ContentType="application/vnd.openxmlformats-officedocument.spreadsheetml.worksheet+xml" PartName="/xl/worksheets/sheet21725.xml"/>
  <Override ContentType="application/vnd.openxmlformats-officedocument.spreadsheetml.worksheet+xml" PartName="/xl/worksheets/sheet21726.xml"/>
  <Override ContentType="application/vnd.openxmlformats-officedocument.spreadsheetml.worksheet+xml" PartName="/xl/worksheets/sheet21727.xml"/>
  <Override ContentType="application/vnd.openxmlformats-officedocument.spreadsheetml.worksheet+xml" PartName="/xl/worksheets/sheet21728.xml"/>
  <Override ContentType="application/vnd.openxmlformats-officedocument.spreadsheetml.worksheet+xml" PartName="/xl/worksheets/sheet21729.xml"/>
  <Override ContentType="application/vnd.openxmlformats-officedocument.spreadsheetml.worksheet+xml" PartName="/xl/worksheets/sheet21730.xml"/>
  <Override ContentType="application/vnd.openxmlformats-officedocument.spreadsheetml.worksheet+xml" PartName="/xl/worksheets/sheet21731.xml"/>
  <Override ContentType="application/vnd.openxmlformats-officedocument.spreadsheetml.worksheet+xml" PartName="/xl/worksheets/sheet21732.xml"/>
  <Override ContentType="application/vnd.openxmlformats-officedocument.spreadsheetml.worksheet+xml" PartName="/xl/worksheets/sheet21733.xml"/>
  <Override ContentType="application/vnd.openxmlformats-officedocument.spreadsheetml.worksheet+xml" PartName="/xl/worksheets/sheet21734.xml"/>
  <Override ContentType="application/vnd.openxmlformats-officedocument.spreadsheetml.worksheet+xml" PartName="/xl/worksheets/sheet21735.xml"/>
  <Override ContentType="application/vnd.openxmlformats-officedocument.spreadsheetml.worksheet+xml" PartName="/xl/worksheets/sheet21736.xml"/>
  <Override ContentType="application/vnd.openxmlformats-officedocument.spreadsheetml.worksheet+xml" PartName="/xl/worksheets/sheet21737.xml"/>
  <Override ContentType="application/vnd.openxmlformats-officedocument.spreadsheetml.worksheet+xml" PartName="/xl/worksheets/sheet21738.xml"/>
  <Override ContentType="application/vnd.openxmlformats-officedocument.spreadsheetml.worksheet+xml" PartName="/xl/worksheets/sheet21739.xml"/>
  <Override ContentType="application/vnd.openxmlformats-officedocument.spreadsheetml.worksheet+xml" PartName="/xl/worksheets/sheet21740.xml"/>
  <Override ContentType="application/vnd.openxmlformats-officedocument.spreadsheetml.worksheet+xml" PartName="/xl/worksheets/sheet21741.xml"/>
  <Override ContentType="application/vnd.openxmlformats-officedocument.spreadsheetml.worksheet+xml" PartName="/xl/worksheets/sheet21742.xml"/>
  <Override ContentType="application/vnd.openxmlformats-officedocument.spreadsheetml.worksheet+xml" PartName="/xl/worksheets/sheet21743.xml"/>
  <Override ContentType="application/vnd.openxmlformats-officedocument.spreadsheetml.worksheet+xml" PartName="/xl/worksheets/sheet21744.xml"/>
  <Override ContentType="application/vnd.openxmlformats-officedocument.spreadsheetml.worksheet+xml" PartName="/xl/worksheets/sheet21745.xml"/>
  <Override ContentType="application/vnd.openxmlformats-officedocument.spreadsheetml.worksheet+xml" PartName="/xl/worksheets/sheet21746.xml"/>
  <Override ContentType="application/vnd.openxmlformats-officedocument.spreadsheetml.worksheet+xml" PartName="/xl/worksheets/sheet21747.xml"/>
  <Override ContentType="application/vnd.openxmlformats-officedocument.spreadsheetml.worksheet+xml" PartName="/xl/worksheets/sheet21748.xml"/>
  <Override ContentType="application/vnd.openxmlformats-officedocument.spreadsheetml.worksheet+xml" PartName="/xl/worksheets/sheet21749.xml"/>
  <Override ContentType="application/vnd.openxmlformats-officedocument.spreadsheetml.worksheet+xml" PartName="/xl/worksheets/sheet21750.xml"/>
  <Override ContentType="application/vnd.openxmlformats-officedocument.spreadsheetml.worksheet+xml" PartName="/xl/worksheets/sheet21751.xml"/>
  <Override ContentType="application/vnd.openxmlformats-officedocument.spreadsheetml.worksheet+xml" PartName="/xl/worksheets/sheet21752.xml"/>
  <Override ContentType="application/vnd.openxmlformats-officedocument.spreadsheetml.worksheet+xml" PartName="/xl/worksheets/sheet21753.xml"/>
  <Override ContentType="application/vnd.openxmlformats-officedocument.spreadsheetml.worksheet+xml" PartName="/xl/worksheets/sheet21754.xml"/>
  <Override ContentType="application/vnd.openxmlformats-officedocument.spreadsheetml.worksheet+xml" PartName="/xl/worksheets/sheet21755.xml"/>
  <Override ContentType="application/vnd.openxmlformats-officedocument.spreadsheetml.worksheet+xml" PartName="/xl/worksheets/sheet21756.xml"/>
  <Override ContentType="application/vnd.openxmlformats-officedocument.spreadsheetml.worksheet+xml" PartName="/xl/worksheets/sheet21757.xml"/>
  <Override ContentType="application/vnd.openxmlformats-officedocument.spreadsheetml.worksheet+xml" PartName="/xl/worksheets/sheet21758.xml"/>
  <Override ContentType="application/vnd.openxmlformats-officedocument.spreadsheetml.worksheet+xml" PartName="/xl/worksheets/sheet21759.xml"/>
  <Override ContentType="application/vnd.openxmlformats-officedocument.spreadsheetml.worksheet+xml" PartName="/xl/worksheets/sheet21760.xml"/>
  <Override ContentType="application/vnd.openxmlformats-officedocument.spreadsheetml.worksheet+xml" PartName="/xl/worksheets/sheet21761.xml"/>
  <Override ContentType="application/vnd.openxmlformats-officedocument.spreadsheetml.worksheet+xml" PartName="/xl/worksheets/sheet21762.xml"/>
  <Override ContentType="application/vnd.openxmlformats-officedocument.spreadsheetml.worksheet+xml" PartName="/xl/worksheets/sheet21763.xml"/>
  <Override ContentType="application/vnd.openxmlformats-officedocument.spreadsheetml.worksheet+xml" PartName="/xl/worksheets/sheet21764.xml"/>
  <Override ContentType="application/vnd.openxmlformats-officedocument.spreadsheetml.worksheet+xml" PartName="/xl/worksheets/sheet21765.xml"/>
  <Override ContentType="application/vnd.openxmlformats-officedocument.spreadsheetml.worksheet+xml" PartName="/xl/worksheets/sheet21766.xml"/>
  <Override ContentType="application/vnd.openxmlformats-officedocument.spreadsheetml.worksheet+xml" PartName="/xl/worksheets/sheet21767.xml"/>
  <Override ContentType="application/vnd.openxmlformats-officedocument.spreadsheetml.worksheet+xml" PartName="/xl/worksheets/sheet21768.xml"/>
  <Override ContentType="application/vnd.openxmlformats-officedocument.spreadsheetml.worksheet+xml" PartName="/xl/worksheets/sheet21769.xml"/>
  <Override ContentType="application/vnd.openxmlformats-officedocument.spreadsheetml.worksheet+xml" PartName="/xl/worksheets/sheet21770.xml"/>
  <Override ContentType="application/vnd.openxmlformats-officedocument.spreadsheetml.worksheet+xml" PartName="/xl/worksheets/sheet21771.xml"/>
  <Override ContentType="application/vnd.openxmlformats-officedocument.spreadsheetml.worksheet+xml" PartName="/xl/worksheets/sheet21772.xml"/>
  <Override ContentType="application/vnd.openxmlformats-officedocument.spreadsheetml.worksheet+xml" PartName="/xl/worksheets/sheet21773.xml"/>
  <Override ContentType="application/vnd.openxmlformats-officedocument.spreadsheetml.worksheet+xml" PartName="/xl/worksheets/sheet21774.xml"/>
  <Override ContentType="application/vnd.openxmlformats-officedocument.spreadsheetml.worksheet+xml" PartName="/xl/worksheets/sheet21775.xml"/>
  <Override ContentType="application/vnd.openxmlformats-officedocument.spreadsheetml.worksheet+xml" PartName="/xl/worksheets/sheet21776.xml"/>
  <Override ContentType="application/vnd.openxmlformats-officedocument.spreadsheetml.worksheet+xml" PartName="/xl/worksheets/sheet21777.xml"/>
  <Override ContentType="application/vnd.openxmlformats-officedocument.spreadsheetml.worksheet+xml" PartName="/xl/worksheets/sheet21778.xml"/>
  <Override ContentType="application/vnd.openxmlformats-officedocument.spreadsheetml.worksheet+xml" PartName="/xl/worksheets/sheet21779.xml"/>
  <Override ContentType="application/vnd.openxmlformats-officedocument.spreadsheetml.worksheet+xml" PartName="/xl/worksheets/sheet21780.xml"/>
  <Override ContentType="application/vnd.openxmlformats-officedocument.spreadsheetml.worksheet+xml" PartName="/xl/worksheets/sheet21781.xml"/>
  <Override ContentType="application/vnd.openxmlformats-officedocument.spreadsheetml.worksheet+xml" PartName="/xl/worksheets/sheet21782.xml"/>
  <Override ContentType="application/vnd.openxmlformats-officedocument.spreadsheetml.worksheet+xml" PartName="/xl/worksheets/sheet21783.xml"/>
  <Override ContentType="application/vnd.openxmlformats-officedocument.spreadsheetml.worksheet+xml" PartName="/xl/worksheets/sheet21784.xml"/>
  <Override ContentType="application/vnd.openxmlformats-officedocument.spreadsheetml.worksheet+xml" PartName="/xl/worksheets/sheet21785.xml"/>
  <Override ContentType="application/vnd.openxmlformats-officedocument.spreadsheetml.worksheet+xml" PartName="/xl/worksheets/sheet21786.xml"/>
  <Override ContentType="application/vnd.openxmlformats-officedocument.spreadsheetml.worksheet+xml" PartName="/xl/worksheets/sheet21787.xml"/>
  <Override ContentType="application/vnd.openxmlformats-officedocument.spreadsheetml.worksheet+xml" PartName="/xl/worksheets/sheet21788.xml"/>
  <Override ContentType="application/vnd.openxmlformats-officedocument.spreadsheetml.worksheet+xml" PartName="/xl/worksheets/sheet21789.xml"/>
  <Override ContentType="application/vnd.openxmlformats-officedocument.spreadsheetml.worksheet+xml" PartName="/xl/worksheets/sheet21790.xml"/>
  <Override ContentType="application/vnd.openxmlformats-officedocument.spreadsheetml.worksheet+xml" PartName="/xl/worksheets/sheet21791.xml"/>
  <Override ContentType="application/vnd.openxmlformats-officedocument.spreadsheetml.worksheet+xml" PartName="/xl/worksheets/sheet21792.xml"/>
  <Override ContentType="application/vnd.openxmlformats-officedocument.spreadsheetml.worksheet+xml" PartName="/xl/worksheets/sheet21793.xml"/>
  <Override ContentType="application/vnd.openxmlformats-officedocument.spreadsheetml.worksheet+xml" PartName="/xl/worksheets/sheet21794.xml"/>
  <Override ContentType="application/vnd.openxmlformats-officedocument.spreadsheetml.worksheet+xml" PartName="/xl/worksheets/sheet21795.xml"/>
  <Override ContentType="application/vnd.openxmlformats-officedocument.spreadsheetml.worksheet+xml" PartName="/xl/worksheets/sheet21796.xml"/>
  <Override ContentType="application/vnd.openxmlformats-officedocument.spreadsheetml.worksheet+xml" PartName="/xl/worksheets/sheet21797.xml"/>
  <Override ContentType="application/vnd.openxmlformats-officedocument.spreadsheetml.worksheet+xml" PartName="/xl/worksheets/sheet21798.xml"/>
  <Override ContentType="application/vnd.openxmlformats-officedocument.spreadsheetml.worksheet+xml" PartName="/xl/worksheets/sheet21799.xml"/>
  <Override ContentType="application/vnd.openxmlformats-officedocument.spreadsheetml.worksheet+xml" PartName="/xl/worksheets/sheet21800.xml"/>
  <Override ContentType="application/vnd.openxmlformats-officedocument.spreadsheetml.worksheet+xml" PartName="/xl/worksheets/sheet21801.xml"/>
  <Override ContentType="application/vnd.openxmlformats-officedocument.spreadsheetml.worksheet+xml" PartName="/xl/worksheets/sheet21802.xml"/>
  <Override ContentType="application/vnd.openxmlformats-officedocument.spreadsheetml.worksheet+xml" PartName="/xl/worksheets/sheet21803.xml"/>
  <Override ContentType="application/vnd.openxmlformats-officedocument.spreadsheetml.worksheet+xml" PartName="/xl/worksheets/sheet21804.xml"/>
  <Override ContentType="application/vnd.openxmlformats-officedocument.spreadsheetml.worksheet+xml" PartName="/xl/worksheets/sheet21805.xml"/>
  <Override ContentType="application/vnd.openxmlformats-officedocument.spreadsheetml.worksheet+xml" PartName="/xl/worksheets/sheet21806.xml"/>
  <Override ContentType="application/vnd.openxmlformats-officedocument.spreadsheetml.worksheet+xml" PartName="/xl/worksheets/sheet21807.xml"/>
  <Override ContentType="application/vnd.openxmlformats-officedocument.spreadsheetml.worksheet+xml" PartName="/xl/worksheets/sheet21808.xml"/>
  <Override ContentType="application/vnd.openxmlformats-officedocument.spreadsheetml.worksheet+xml" PartName="/xl/worksheets/sheet21809.xml"/>
  <Override ContentType="application/vnd.openxmlformats-officedocument.spreadsheetml.worksheet+xml" PartName="/xl/worksheets/sheet21810.xml"/>
  <Override ContentType="application/vnd.openxmlformats-officedocument.spreadsheetml.worksheet+xml" PartName="/xl/worksheets/sheet21811.xml"/>
  <Override ContentType="application/vnd.openxmlformats-officedocument.spreadsheetml.worksheet+xml" PartName="/xl/worksheets/sheet21812.xml"/>
  <Override ContentType="application/vnd.openxmlformats-officedocument.spreadsheetml.worksheet+xml" PartName="/xl/worksheets/sheet21813.xml"/>
  <Override ContentType="application/vnd.openxmlformats-officedocument.spreadsheetml.worksheet+xml" PartName="/xl/worksheets/sheet21814.xml"/>
  <Override ContentType="application/vnd.openxmlformats-officedocument.spreadsheetml.worksheet+xml" PartName="/xl/worksheets/sheet21815.xml"/>
  <Override ContentType="application/vnd.openxmlformats-officedocument.spreadsheetml.worksheet+xml" PartName="/xl/worksheets/sheet21816.xml"/>
  <Override ContentType="application/vnd.openxmlformats-officedocument.spreadsheetml.worksheet+xml" PartName="/xl/worksheets/sheet21817.xml"/>
  <Override ContentType="application/vnd.openxmlformats-officedocument.spreadsheetml.worksheet+xml" PartName="/xl/worksheets/sheet21818.xml"/>
  <Override ContentType="application/vnd.openxmlformats-officedocument.spreadsheetml.worksheet+xml" PartName="/xl/worksheets/sheet21819.xml"/>
  <Override ContentType="application/vnd.openxmlformats-officedocument.spreadsheetml.worksheet+xml" PartName="/xl/worksheets/sheet21820.xml"/>
  <Override ContentType="application/vnd.openxmlformats-officedocument.spreadsheetml.worksheet+xml" PartName="/xl/worksheets/sheet21821.xml"/>
  <Override ContentType="application/vnd.openxmlformats-officedocument.spreadsheetml.worksheet+xml" PartName="/xl/worksheets/sheet21822.xml"/>
  <Override ContentType="application/vnd.openxmlformats-officedocument.spreadsheetml.worksheet+xml" PartName="/xl/worksheets/sheet21823.xml"/>
  <Override ContentType="application/vnd.openxmlformats-officedocument.spreadsheetml.worksheet+xml" PartName="/xl/worksheets/sheet21824.xml"/>
  <Override ContentType="application/vnd.openxmlformats-officedocument.spreadsheetml.worksheet+xml" PartName="/xl/worksheets/sheet21825.xml"/>
  <Override ContentType="application/vnd.openxmlformats-officedocument.spreadsheetml.worksheet+xml" PartName="/xl/worksheets/sheet21826.xml"/>
  <Override ContentType="application/vnd.openxmlformats-officedocument.spreadsheetml.worksheet+xml" PartName="/xl/worksheets/sheet21827.xml"/>
  <Override ContentType="application/vnd.openxmlformats-officedocument.spreadsheetml.worksheet+xml" PartName="/xl/worksheets/sheet21828.xml"/>
  <Override ContentType="application/vnd.openxmlformats-officedocument.spreadsheetml.worksheet+xml" PartName="/xl/worksheets/sheet21829.xml"/>
  <Override ContentType="application/vnd.openxmlformats-officedocument.spreadsheetml.worksheet+xml" PartName="/xl/worksheets/sheet21830.xml"/>
  <Override ContentType="application/vnd.openxmlformats-officedocument.spreadsheetml.worksheet+xml" PartName="/xl/worksheets/sheet21831.xml"/>
  <Override ContentType="application/vnd.openxmlformats-officedocument.spreadsheetml.worksheet+xml" PartName="/xl/worksheets/sheet21832.xml"/>
  <Override ContentType="application/vnd.openxmlformats-officedocument.spreadsheetml.worksheet+xml" PartName="/xl/worksheets/sheet21833.xml"/>
  <Override ContentType="application/vnd.openxmlformats-officedocument.spreadsheetml.worksheet+xml" PartName="/xl/worksheets/sheet21834.xml"/>
  <Override ContentType="application/vnd.openxmlformats-officedocument.spreadsheetml.worksheet+xml" PartName="/xl/worksheets/sheet21835.xml"/>
  <Override ContentType="application/vnd.openxmlformats-officedocument.spreadsheetml.worksheet+xml" PartName="/xl/worksheets/sheet21836.xml"/>
  <Override ContentType="application/vnd.openxmlformats-officedocument.spreadsheetml.worksheet+xml" PartName="/xl/worksheets/sheet21837.xml"/>
  <Override ContentType="application/vnd.openxmlformats-officedocument.spreadsheetml.worksheet+xml" PartName="/xl/worksheets/sheet21838.xml"/>
  <Override ContentType="application/vnd.openxmlformats-officedocument.spreadsheetml.worksheet+xml" PartName="/xl/worksheets/sheet21839.xml"/>
  <Override ContentType="application/vnd.openxmlformats-officedocument.spreadsheetml.worksheet+xml" PartName="/xl/worksheets/sheet21840.xml"/>
  <Override ContentType="application/vnd.openxmlformats-officedocument.spreadsheetml.worksheet+xml" PartName="/xl/worksheets/sheet21841.xml"/>
  <Override ContentType="application/vnd.openxmlformats-officedocument.spreadsheetml.worksheet+xml" PartName="/xl/worksheets/sheet21842.xml"/>
  <Override ContentType="application/vnd.openxmlformats-officedocument.spreadsheetml.worksheet+xml" PartName="/xl/worksheets/sheet21843.xml"/>
  <Override ContentType="application/vnd.openxmlformats-officedocument.spreadsheetml.worksheet+xml" PartName="/xl/worksheets/sheet21844.xml"/>
  <Override ContentType="application/vnd.openxmlformats-officedocument.spreadsheetml.worksheet+xml" PartName="/xl/worksheets/sheet21845.xml"/>
  <Override ContentType="application/vnd.openxmlformats-officedocument.spreadsheetml.worksheet+xml" PartName="/xl/worksheets/sheet21846.xml"/>
  <Override ContentType="application/vnd.openxmlformats-officedocument.spreadsheetml.worksheet+xml" PartName="/xl/worksheets/sheet21847.xml"/>
  <Override ContentType="application/vnd.openxmlformats-officedocument.spreadsheetml.worksheet+xml" PartName="/xl/worksheets/sheet21848.xml"/>
  <Override ContentType="application/vnd.openxmlformats-officedocument.spreadsheetml.worksheet+xml" PartName="/xl/worksheets/sheet21849.xml"/>
  <Override ContentType="application/vnd.openxmlformats-officedocument.spreadsheetml.worksheet+xml" PartName="/xl/worksheets/sheet21850.xml"/>
  <Override ContentType="application/vnd.openxmlformats-officedocument.spreadsheetml.worksheet+xml" PartName="/xl/worksheets/sheet21851.xml"/>
  <Override ContentType="application/vnd.openxmlformats-officedocument.spreadsheetml.worksheet+xml" PartName="/xl/worksheets/sheet21852.xml"/>
  <Override ContentType="application/vnd.openxmlformats-officedocument.spreadsheetml.worksheet+xml" PartName="/xl/worksheets/sheet21853.xml"/>
  <Override ContentType="application/vnd.openxmlformats-officedocument.spreadsheetml.worksheet+xml" PartName="/xl/worksheets/sheet21854.xml"/>
  <Override ContentType="application/vnd.openxmlformats-officedocument.spreadsheetml.worksheet+xml" PartName="/xl/worksheets/sheet21855.xml"/>
  <Override ContentType="application/vnd.openxmlformats-officedocument.spreadsheetml.worksheet+xml" PartName="/xl/worksheets/sheet21856.xml"/>
  <Override ContentType="application/vnd.openxmlformats-officedocument.spreadsheetml.worksheet+xml" PartName="/xl/worksheets/sheet21857.xml"/>
  <Override ContentType="application/vnd.openxmlformats-officedocument.spreadsheetml.worksheet+xml" PartName="/xl/worksheets/sheet21858.xml"/>
  <Override ContentType="application/vnd.openxmlformats-officedocument.spreadsheetml.worksheet+xml" PartName="/xl/worksheets/sheet21859.xml"/>
  <Override ContentType="application/vnd.openxmlformats-officedocument.spreadsheetml.worksheet+xml" PartName="/xl/worksheets/sheet21860.xml"/>
  <Override ContentType="application/vnd.openxmlformats-officedocument.spreadsheetml.worksheet+xml" PartName="/xl/worksheets/sheet21861.xml"/>
  <Override ContentType="application/vnd.openxmlformats-officedocument.spreadsheetml.worksheet+xml" PartName="/xl/worksheets/sheet21862.xml"/>
  <Override ContentType="application/vnd.openxmlformats-officedocument.spreadsheetml.worksheet+xml" PartName="/xl/worksheets/sheet21863.xml"/>
  <Override ContentType="application/vnd.openxmlformats-officedocument.spreadsheetml.worksheet+xml" PartName="/xl/worksheets/sheet21864.xml"/>
  <Override ContentType="application/vnd.openxmlformats-officedocument.spreadsheetml.worksheet+xml" PartName="/xl/worksheets/sheet21865.xml"/>
  <Override ContentType="application/vnd.openxmlformats-officedocument.spreadsheetml.worksheet+xml" PartName="/xl/worksheets/sheet21866.xml"/>
  <Override ContentType="application/vnd.openxmlformats-officedocument.spreadsheetml.worksheet+xml" PartName="/xl/worksheets/sheet21867.xml"/>
  <Override ContentType="application/vnd.openxmlformats-officedocument.spreadsheetml.worksheet+xml" PartName="/xl/worksheets/sheet21868.xml"/>
  <Override ContentType="application/vnd.openxmlformats-officedocument.spreadsheetml.worksheet+xml" PartName="/xl/worksheets/sheet21869.xml"/>
  <Override ContentType="application/vnd.openxmlformats-officedocument.spreadsheetml.worksheet+xml" PartName="/xl/worksheets/sheet21870.xml"/>
  <Override ContentType="application/vnd.openxmlformats-officedocument.spreadsheetml.worksheet+xml" PartName="/xl/worksheets/sheet21871.xml"/>
  <Override ContentType="application/vnd.openxmlformats-officedocument.spreadsheetml.worksheet+xml" PartName="/xl/worksheets/sheet21872.xml"/>
  <Override ContentType="application/vnd.openxmlformats-officedocument.spreadsheetml.worksheet+xml" PartName="/xl/worksheets/sheet21873.xml"/>
  <Override ContentType="application/vnd.openxmlformats-officedocument.spreadsheetml.worksheet+xml" PartName="/xl/worksheets/sheet21874.xml"/>
  <Override ContentType="application/vnd.openxmlformats-officedocument.spreadsheetml.worksheet+xml" PartName="/xl/worksheets/sheet21875.xml"/>
  <Override ContentType="application/vnd.openxmlformats-officedocument.spreadsheetml.worksheet+xml" PartName="/xl/worksheets/sheet21876.xml"/>
  <Override ContentType="application/vnd.openxmlformats-officedocument.spreadsheetml.worksheet+xml" PartName="/xl/worksheets/sheet21877.xml"/>
  <Override ContentType="application/vnd.openxmlformats-officedocument.spreadsheetml.worksheet+xml" PartName="/xl/worksheets/sheet21878.xml"/>
  <Override ContentType="application/vnd.openxmlformats-officedocument.spreadsheetml.worksheet+xml" PartName="/xl/worksheets/sheet21879.xml"/>
  <Override ContentType="application/vnd.openxmlformats-officedocument.spreadsheetml.worksheet+xml" PartName="/xl/worksheets/sheet21880.xml"/>
  <Override ContentType="application/vnd.openxmlformats-officedocument.spreadsheetml.worksheet+xml" PartName="/xl/worksheets/sheet21881.xml"/>
  <Override ContentType="application/vnd.openxmlformats-officedocument.spreadsheetml.worksheet+xml" PartName="/xl/worksheets/sheet21882.xml"/>
  <Override ContentType="application/vnd.openxmlformats-officedocument.spreadsheetml.worksheet+xml" PartName="/xl/worksheets/sheet21883.xml"/>
  <Override ContentType="application/vnd.openxmlformats-officedocument.spreadsheetml.worksheet+xml" PartName="/xl/worksheets/sheet21884.xml"/>
  <Override ContentType="application/vnd.openxmlformats-officedocument.spreadsheetml.worksheet+xml" PartName="/xl/worksheets/sheet21885.xml"/>
  <Override ContentType="application/vnd.openxmlformats-officedocument.spreadsheetml.worksheet+xml" PartName="/xl/worksheets/sheet21886.xml"/>
  <Override ContentType="application/vnd.openxmlformats-officedocument.spreadsheetml.worksheet+xml" PartName="/xl/worksheets/sheet21887.xml"/>
  <Override ContentType="application/vnd.openxmlformats-officedocument.spreadsheetml.worksheet+xml" PartName="/xl/worksheets/sheet21888.xml"/>
  <Override ContentType="application/vnd.openxmlformats-officedocument.spreadsheetml.worksheet+xml" PartName="/xl/worksheets/sheet21889.xml"/>
  <Override ContentType="application/vnd.openxmlformats-officedocument.spreadsheetml.worksheet+xml" PartName="/xl/worksheets/sheet21890.xml"/>
  <Override ContentType="application/vnd.openxmlformats-officedocument.spreadsheetml.worksheet+xml" PartName="/xl/worksheets/sheet21891.xml"/>
  <Override ContentType="application/vnd.openxmlformats-officedocument.spreadsheetml.worksheet+xml" PartName="/xl/worksheets/sheet21892.xml"/>
  <Override ContentType="application/vnd.openxmlformats-officedocument.spreadsheetml.worksheet+xml" PartName="/xl/worksheets/sheet21893.xml"/>
  <Override ContentType="application/vnd.openxmlformats-officedocument.spreadsheetml.worksheet+xml" PartName="/xl/worksheets/sheet21894.xml"/>
  <Override ContentType="application/vnd.openxmlformats-officedocument.spreadsheetml.worksheet+xml" PartName="/xl/worksheets/sheet21895.xml"/>
  <Override ContentType="application/vnd.openxmlformats-officedocument.spreadsheetml.worksheet+xml" PartName="/xl/worksheets/sheet21896.xml"/>
  <Override ContentType="application/vnd.openxmlformats-officedocument.spreadsheetml.worksheet+xml" PartName="/xl/worksheets/sheet21897.xml"/>
  <Override ContentType="application/vnd.openxmlformats-officedocument.spreadsheetml.worksheet+xml" PartName="/xl/worksheets/sheet21898.xml"/>
  <Override ContentType="application/vnd.openxmlformats-officedocument.spreadsheetml.worksheet+xml" PartName="/xl/worksheets/sheet21899.xml"/>
  <Override ContentType="application/vnd.openxmlformats-officedocument.spreadsheetml.worksheet+xml" PartName="/xl/worksheets/sheet21900.xml"/>
  <Override ContentType="application/vnd.openxmlformats-officedocument.spreadsheetml.worksheet+xml" PartName="/xl/worksheets/sheet21901.xml"/>
  <Override ContentType="application/vnd.openxmlformats-officedocument.spreadsheetml.worksheet+xml" PartName="/xl/worksheets/sheet21902.xml"/>
  <Override ContentType="application/vnd.openxmlformats-officedocument.spreadsheetml.worksheet+xml" PartName="/xl/worksheets/sheet21903.xml"/>
  <Override ContentType="application/vnd.openxmlformats-officedocument.spreadsheetml.worksheet+xml" PartName="/xl/worksheets/sheet21904.xml"/>
  <Override ContentType="application/vnd.openxmlformats-officedocument.spreadsheetml.worksheet+xml" PartName="/xl/worksheets/sheet21905.xml"/>
  <Override ContentType="application/vnd.openxmlformats-officedocument.spreadsheetml.worksheet+xml" PartName="/xl/worksheets/sheet21906.xml"/>
  <Override ContentType="application/vnd.openxmlformats-officedocument.spreadsheetml.worksheet+xml" PartName="/xl/worksheets/sheet21907.xml"/>
  <Override ContentType="application/vnd.openxmlformats-officedocument.spreadsheetml.worksheet+xml" PartName="/xl/worksheets/sheet21908.xml"/>
  <Override ContentType="application/vnd.openxmlformats-officedocument.spreadsheetml.worksheet+xml" PartName="/xl/worksheets/sheet21909.xml"/>
  <Override ContentType="application/vnd.openxmlformats-officedocument.spreadsheetml.worksheet+xml" PartName="/xl/worksheets/sheet21910.xml"/>
  <Override ContentType="application/vnd.openxmlformats-officedocument.spreadsheetml.worksheet+xml" PartName="/xl/worksheets/sheet21911.xml"/>
  <Override ContentType="application/vnd.openxmlformats-officedocument.spreadsheetml.worksheet+xml" PartName="/xl/worksheets/sheet21912.xml"/>
  <Override ContentType="application/vnd.openxmlformats-officedocument.spreadsheetml.worksheet+xml" PartName="/xl/worksheets/sheet21913.xml"/>
  <Override ContentType="application/vnd.openxmlformats-officedocument.spreadsheetml.worksheet+xml" PartName="/xl/worksheets/sheet21914.xml"/>
  <Override ContentType="application/vnd.openxmlformats-officedocument.spreadsheetml.worksheet+xml" PartName="/xl/worksheets/sheet21915.xml"/>
  <Override ContentType="application/vnd.openxmlformats-officedocument.spreadsheetml.worksheet+xml" PartName="/xl/worksheets/sheet21916.xml"/>
  <Override ContentType="application/vnd.openxmlformats-officedocument.spreadsheetml.worksheet+xml" PartName="/xl/worksheets/sheet21917.xml"/>
  <Override ContentType="application/vnd.openxmlformats-officedocument.spreadsheetml.worksheet+xml" PartName="/xl/worksheets/sheet21918.xml"/>
  <Override ContentType="application/vnd.openxmlformats-officedocument.spreadsheetml.worksheet+xml" PartName="/xl/worksheets/sheet21919.xml"/>
  <Override ContentType="application/vnd.openxmlformats-officedocument.spreadsheetml.worksheet+xml" PartName="/xl/worksheets/sheet21920.xml"/>
  <Override ContentType="application/vnd.openxmlformats-officedocument.spreadsheetml.worksheet+xml" PartName="/xl/worksheets/sheet21921.xml"/>
  <Override ContentType="application/vnd.openxmlformats-officedocument.spreadsheetml.worksheet+xml" PartName="/xl/worksheets/sheet21922.xml"/>
  <Override ContentType="application/vnd.openxmlformats-officedocument.spreadsheetml.worksheet+xml" PartName="/xl/worksheets/sheet21923.xml"/>
  <Override ContentType="application/vnd.openxmlformats-officedocument.spreadsheetml.worksheet+xml" PartName="/xl/worksheets/sheet21924.xml"/>
  <Override ContentType="application/vnd.openxmlformats-officedocument.spreadsheetml.worksheet+xml" PartName="/xl/worksheets/sheet21925.xml"/>
  <Override ContentType="application/vnd.openxmlformats-officedocument.spreadsheetml.worksheet+xml" PartName="/xl/worksheets/sheet21926.xml"/>
  <Override ContentType="application/vnd.openxmlformats-officedocument.spreadsheetml.worksheet+xml" PartName="/xl/worksheets/sheet21927.xml"/>
  <Override ContentType="application/vnd.openxmlformats-officedocument.spreadsheetml.worksheet+xml" PartName="/xl/worksheets/sheet21928.xml"/>
  <Override ContentType="application/vnd.openxmlformats-officedocument.spreadsheetml.worksheet+xml" PartName="/xl/worksheets/sheet21929.xml"/>
  <Override ContentType="application/vnd.openxmlformats-officedocument.spreadsheetml.worksheet+xml" PartName="/xl/worksheets/sheet21930.xml"/>
  <Override ContentType="application/vnd.openxmlformats-officedocument.spreadsheetml.worksheet+xml" PartName="/xl/worksheets/sheet21931.xml"/>
  <Override ContentType="application/vnd.openxmlformats-officedocument.spreadsheetml.worksheet+xml" PartName="/xl/worksheets/sheet21932.xml"/>
  <Override ContentType="application/vnd.openxmlformats-officedocument.spreadsheetml.worksheet+xml" PartName="/xl/worksheets/sheet21933.xml"/>
  <Override ContentType="application/vnd.openxmlformats-officedocument.spreadsheetml.worksheet+xml" PartName="/xl/worksheets/sheet21934.xml"/>
  <Override ContentType="application/vnd.openxmlformats-officedocument.spreadsheetml.worksheet+xml" PartName="/xl/worksheets/sheet21935.xml"/>
  <Override ContentType="application/vnd.openxmlformats-officedocument.spreadsheetml.worksheet+xml" PartName="/xl/worksheets/sheet21936.xml"/>
  <Override ContentType="application/vnd.openxmlformats-officedocument.spreadsheetml.worksheet+xml" PartName="/xl/worksheets/sheet21937.xml"/>
  <Override ContentType="application/vnd.openxmlformats-officedocument.spreadsheetml.worksheet+xml" PartName="/xl/worksheets/sheet21938.xml"/>
  <Override ContentType="application/vnd.openxmlformats-officedocument.spreadsheetml.worksheet+xml" PartName="/xl/worksheets/sheet21939.xml"/>
  <Override ContentType="application/vnd.openxmlformats-officedocument.spreadsheetml.worksheet+xml" PartName="/xl/worksheets/sheet21940.xml"/>
  <Override ContentType="application/vnd.openxmlformats-officedocument.spreadsheetml.worksheet+xml" PartName="/xl/worksheets/sheet21941.xml"/>
  <Override ContentType="application/vnd.openxmlformats-officedocument.spreadsheetml.worksheet+xml" PartName="/xl/worksheets/sheet21942.xml"/>
  <Override ContentType="application/vnd.openxmlformats-officedocument.spreadsheetml.worksheet+xml" PartName="/xl/worksheets/sheet21943.xml"/>
  <Override ContentType="application/vnd.openxmlformats-officedocument.spreadsheetml.worksheet+xml" PartName="/xl/worksheets/sheet21944.xml"/>
  <Override ContentType="application/vnd.openxmlformats-officedocument.spreadsheetml.worksheet+xml" PartName="/xl/worksheets/sheet21945.xml"/>
  <Override ContentType="application/vnd.openxmlformats-officedocument.spreadsheetml.worksheet+xml" PartName="/xl/worksheets/sheet21946.xml"/>
  <Override ContentType="application/vnd.openxmlformats-officedocument.spreadsheetml.worksheet+xml" PartName="/xl/worksheets/sheet21947.xml"/>
  <Override ContentType="application/vnd.openxmlformats-officedocument.spreadsheetml.worksheet+xml" PartName="/xl/worksheets/sheet21948.xml"/>
  <Override ContentType="application/vnd.openxmlformats-officedocument.spreadsheetml.worksheet+xml" PartName="/xl/worksheets/sheet21949.xml"/>
  <Override ContentType="application/vnd.openxmlformats-officedocument.spreadsheetml.worksheet+xml" PartName="/xl/worksheets/sheet21950.xml"/>
  <Override ContentType="application/vnd.openxmlformats-officedocument.spreadsheetml.worksheet+xml" PartName="/xl/worksheets/sheet21951.xml"/>
  <Override ContentType="application/vnd.openxmlformats-officedocument.spreadsheetml.worksheet+xml" PartName="/xl/worksheets/sheet21952.xml"/>
  <Override ContentType="application/vnd.openxmlformats-officedocument.spreadsheetml.worksheet+xml" PartName="/xl/worksheets/sheet21953.xml"/>
  <Override ContentType="application/vnd.openxmlformats-officedocument.spreadsheetml.worksheet+xml" PartName="/xl/worksheets/sheet21954.xml"/>
  <Override ContentType="application/vnd.openxmlformats-officedocument.spreadsheetml.worksheet+xml" PartName="/xl/worksheets/sheet21955.xml"/>
  <Override ContentType="application/vnd.openxmlformats-officedocument.spreadsheetml.worksheet+xml" PartName="/xl/worksheets/sheet21956.xml"/>
  <Override ContentType="application/vnd.openxmlformats-officedocument.spreadsheetml.worksheet+xml" PartName="/xl/worksheets/sheet21957.xml"/>
  <Override ContentType="application/vnd.openxmlformats-officedocument.spreadsheetml.worksheet+xml" PartName="/xl/worksheets/sheet21958.xml"/>
  <Override ContentType="application/vnd.openxmlformats-officedocument.spreadsheetml.worksheet+xml" PartName="/xl/worksheets/sheet21959.xml"/>
  <Override ContentType="application/vnd.openxmlformats-officedocument.spreadsheetml.worksheet+xml" PartName="/xl/worksheets/sheet21960.xml"/>
  <Override ContentType="application/vnd.openxmlformats-officedocument.spreadsheetml.worksheet+xml" PartName="/xl/worksheets/sheet21961.xml"/>
  <Override ContentType="application/vnd.openxmlformats-officedocument.spreadsheetml.worksheet+xml" PartName="/xl/worksheets/sheet21962.xml"/>
  <Override ContentType="application/vnd.openxmlformats-officedocument.spreadsheetml.worksheet+xml" PartName="/xl/worksheets/sheet21963.xml"/>
  <Override ContentType="application/vnd.openxmlformats-officedocument.spreadsheetml.worksheet+xml" PartName="/xl/worksheets/sheet21964.xml"/>
  <Override ContentType="application/vnd.openxmlformats-officedocument.spreadsheetml.worksheet+xml" PartName="/xl/worksheets/sheet21965.xml"/>
  <Override ContentType="application/vnd.openxmlformats-officedocument.spreadsheetml.worksheet+xml" PartName="/xl/worksheets/sheet21966.xml"/>
  <Override ContentType="application/vnd.openxmlformats-officedocument.spreadsheetml.worksheet+xml" PartName="/xl/worksheets/sheet21967.xml"/>
  <Override ContentType="application/vnd.openxmlformats-officedocument.spreadsheetml.worksheet+xml" PartName="/xl/worksheets/sheet21968.xml"/>
  <Override ContentType="application/vnd.openxmlformats-officedocument.spreadsheetml.worksheet+xml" PartName="/xl/worksheets/sheet21969.xml"/>
  <Override ContentType="application/vnd.openxmlformats-officedocument.spreadsheetml.worksheet+xml" PartName="/xl/worksheets/sheet21970.xml"/>
  <Override ContentType="application/vnd.openxmlformats-officedocument.spreadsheetml.worksheet+xml" PartName="/xl/worksheets/sheet21971.xml"/>
  <Override ContentType="application/vnd.openxmlformats-officedocument.spreadsheetml.worksheet+xml" PartName="/xl/worksheets/sheet21972.xml"/>
  <Override ContentType="application/vnd.openxmlformats-officedocument.spreadsheetml.worksheet+xml" PartName="/xl/worksheets/sheet21973.xml"/>
  <Override ContentType="application/vnd.openxmlformats-officedocument.spreadsheetml.worksheet+xml" PartName="/xl/worksheets/sheet21974.xml"/>
  <Override ContentType="application/vnd.openxmlformats-officedocument.spreadsheetml.worksheet+xml" PartName="/xl/worksheets/sheet21975.xml"/>
  <Override ContentType="application/vnd.openxmlformats-officedocument.spreadsheetml.worksheet+xml" PartName="/xl/worksheets/sheet21976.xml"/>
  <Override ContentType="application/vnd.openxmlformats-officedocument.spreadsheetml.worksheet+xml" PartName="/xl/worksheets/sheet21977.xml"/>
  <Override ContentType="application/vnd.openxmlformats-officedocument.spreadsheetml.worksheet+xml" PartName="/xl/worksheets/sheet21978.xml"/>
  <Override ContentType="application/vnd.openxmlformats-officedocument.spreadsheetml.worksheet+xml" PartName="/xl/worksheets/sheet21979.xml"/>
  <Override ContentType="application/vnd.openxmlformats-officedocument.spreadsheetml.worksheet+xml" PartName="/xl/worksheets/sheet21980.xml"/>
  <Override ContentType="application/vnd.openxmlformats-officedocument.spreadsheetml.worksheet+xml" PartName="/xl/worksheets/sheet21981.xml"/>
  <Override ContentType="application/vnd.openxmlformats-officedocument.spreadsheetml.worksheet+xml" PartName="/xl/worksheets/sheet21982.xml"/>
  <Override ContentType="application/vnd.openxmlformats-officedocument.spreadsheetml.worksheet+xml" PartName="/xl/worksheets/sheet21983.xml"/>
  <Override ContentType="application/vnd.openxmlformats-officedocument.spreadsheetml.worksheet+xml" PartName="/xl/worksheets/sheet21984.xml"/>
  <Override ContentType="application/vnd.openxmlformats-officedocument.spreadsheetml.worksheet+xml" PartName="/xl/worksheets/sheet21985.xml"/>
  <Override ContentType="application/vnd.openxmlformats-officedocument.spreadsheetml.worksheet+xml" PartName="/xl/worksheets/sheet21986.xml"/>
  <Override ContentType="application/vnd.openxmlformats-officedocument.spreadsheetml.worksheet+xml" PartName="/xl/worksheets/sheet21987.xml"/>
  <Override ContentType="application/vnd.openxmlformats-officedocument.spreadsheetml.worksheet+xml" PartName="/xl/worksheets/sheet21988.xml"/>
  <Override ContentType="application/vnd.openxmlformats-officedocument.spreadsheetml.worksheet+xml" PartName="/xl/worksheets/sheet21989.xml"/>
  <Override ContentType="application/vnd.openxmlformats-officedocument.spreadsheetml.worksheet+xml" PartName="/xl/worksheets/sheet21990.xml"/>
  <Override ContentType="application/vnd.openxmlformats-officedocument.spreadsheetml.worksheet+xml" PartName="/xl/worksheets/sheet21991.xml"/>
  <Override ContentType="application/vnd.openxmlformats-officedocument.spreadsheetml.worksheet+xml" PartName="/xl/worksheets/sheet21992.xml"/>
  <Override ContentType="application/vnd.openxmlformats-officedocument.spreadsheetml.worksheet+xml" PartName="/xl/worksheets/sheet21993.xml"/>
  <Override ContentType="application/vnd.openxmlformats-officedocument.spreadsheetml.worksheet+xml" PartName="/xl/worksheets/sheet21994.xml"/>
  <Override ContentType="application/vnd.openxmlformats-officedocument.spreadsheetml.worksheet+xml" PartName="/xl/worksheets/sheet21995.xml"/>
  <Override ContentType="application/vnd.openxmlformats-officedocument.spreadsheetml.worksheet+xml" PartName="/xl/worksheets/sheet21996.xml"/>
  <Override ContentType="application/vnd.openxmlformats-officedocument.spreadsheetml.worksheet+xml" PartName="/xl/worksheets/sheet21997.xml"/>
  <Override ContentType="application/vnd.openxmlformats-officedocument.spreadsheetml.worksheet+xml" PartName="/xl/worksheets/sheet21998.xml"/>
  <Override ContentType="application/vnd.openxmlformats-officedocument.spreadsheetml.worksheet+xml" PartName="/xl/worksheets/sheet21999.xml"/>
  <Override ContentType="application/vnd.openxmlformats-officedocument.spreadsheetml.worksheet+xml" PartName="/xl/worksheets/sheet22000.xml"/>
  <Override ContentType="application/vnd.openxmlformats-officedocument.spreadsheetml.worksheet+xml" PartName="/xl/worksheets/sheet22001.xml"/>
  <Override ContentType="application/vnd.openxmlformats-officedocument.spreadsheetml.worksheet+xml" PartName="/xl/worksheets/sheet22002.xml"/>
  <Override ContentType="application/vnd.openxmlformats-officedocument.spreadsheetml.worksheet+xml" PartName="/xl/worksheets/sheet22003.xml"/>
  <Override ContentType="application/vnd.openxmlformats-officedocument.spreadsheetml.worksheet+xml" PartName="/xl/worksheets/sheet22004.xml"/>
  <Override ContentType="application/vnd.openxmlformats-officedocument.spreadsheetml.worksheet+xml" PartName="/xl/worksheets/sheet22005.xml"/>
  <Override ContentType="application/vnd.openxmlformats-officedocument.spreadsheetml.worksheet+xml" PartName="/xl/worksheets/sheet22006.xml"/>
  <Override ContentType="application/vnd.openxmlformats-officedocument.spreadsheetml.worksheet+xml" PartName="/xl/worksheets/sheet22007.xml"/>
  <Override ContentType="application/vnd.openxmlformats-officedocument.spreadsheetml.worksheet+xml" PartName="/xl/worksheets/sheet22008.xml"/>
  <Override ContentType="application/vnd.openxmlformats-officedocument.spreadsheetml.worksheet+xml" PartName="/xl/worksheets/sheet22009.xml"/>
  <Override ContentType="application/vnd.openxmlformats-officedocument.spreadsheetml.worksheet+xml" PartName="/xl/worksheets/sheet22010.xml"/>
  <Override ContentType="application/vnd.openxmlformats-officedocument.spreadsheetml.worksheet+xml" PartName="/xl/worksheets/sheet22011.xml"/>
  <Override ContentType="application/vnd.openxmlformats-officedocument.spreadsheetml.worksheet+xml" PartName="/xl/worksheets/sheet22012.xml"/>
  <Override ContentType="application/vnd.openxmlformats-officedocument.spreadsheetml.worksheet+xml" PartName="/xl/worksheets/sheet22013.xml"/>
  <Override ContentType="application/vnd.openxmlformats-officedocument.spreadsheetml.worksheet+xml" PartName="/xl/worksheets/sheet22014.xml"/>
  <Override ContentType="application/vnd.openxmlformats-officedocument.spreadsheetml.worksheet+xml" PartName="/xl/worksheets/sheet22015.xml"/>
  <Override ContentType="application/vnd.openxmlformats-officedocument.spreadsheetml.worksheet+xml" PartName="/xl/worksheets/sheet22016.xml"/>
  <Override ContentType="application/vnd.openxmlformats-officedocument.spreadsheetml.worksheet+xml" PartName="/xl/worksheets/sheet22017.xml"/>
  <Override ContentType="application/vnd.openxmlformats-officedocument.spreadsheetml.worksheet+xml" PartName="/xl/worksheets/sheet22018.xml"/>
  <Override ContentType="application/vnd.openxmlformats-officedocument.spreadsheetml.worksheet+xml" PartName="/xl/worksheets/sheet22019.xml"/>
  <Override ContentType="application/vnd.openxmlformats-officedocument.spreadsheetml.worksheet+xml" PartName="/xl/worksheets/sheet22020.xml"/>
  <Override ContentType="application/vnd.openxmlformats-officedocument.spreadsheetml.worksheet+xml" PartName="/xl/worksheets/sheet22021.xml"/>
  <Override ContentType="application/vnd.openxmlformats-officedocument.spreadsheetml.worksheet+xml" PartName="/xl/worksheets/sheet22022.xml"/>
  <Override ContentType="application/vnd.openxmlformats-officedocument.spreadsheetml.worksheet+xml" PartName="/xl/worksheets/sheet22023.xml"/>
  <Override ContentType="application/vnd.openxmlformats-officedocument.spreadsheetml.worksheet+xml" PartName="/xl/worksheets/sheet22024.xml"/>
  <Override ContentType="application/vnd.openxmlformats-officedocument.spreadsheetml.worksheet+xml" PartName="/xl/worksheets/sheet22025.xml"/>
  <Override ContentType="application/vnd.openxmlformats-officedocument.spreadsheetml.worksheet+xml" PartName="/xl/worksheets/sheet22026.xml"/>
  <Override ContentType="application/vnd.openxmlformats-officedocument.spreadsheetml.worksheet+xml" PartName="/xl/worksheets/sheet22027.xml"/>
  <Override ContentType="application/vnd.openxmlformats-officedocument.spreadsheetml.worksheet+xml" PartName="/xl/worksheets/sheet22028.xml"/>
  <Override ContentType="application/vnd.openxmlformats-officedocument.spreadsheetml.worksheet+xml" PartName="/xl/worksheets/sheet22029.xml"/>
  <Override ContentType="application/vnd.openxmlformats-officedocument.spreadsheetml.worksheet+xml" PartName="/xl/worksheets/sheet22030.xml"/>
  <Override ContentType="application/vnd.openxmlformats-officedocument.spreadsheetml.worksheet+xml" PartName="/xl/worksheets/sheet22031.xml"/>
  <Override ContentType="application/vnd.openxmlformats-officedocument.spreadsheetml.worksheet+xml" PartName="/xl/worksheets/sheet22032.xml"/>
  <Override ContentType="application/vnd.openxmlformats-officedocument.spreadsheetml.worksheet+xml" PartName="/xl/worksheets/sheet22033.xml"/>
  <Override ContentType="application/vnd.openxmlformats-officedocument.spreadsheetml.worksheet+xml" PartName="/xl/worksheets/sheet22034.xml"/>
  <Override ContentType="application/vnd.openxmlformats-officedocument.spreadsheetml.worksheet+xml" PartName="/xl/worksheets/sheet22035.xml"/>
  <Override ContentType="application/vnd.openxmlformats-officedocument.spreadsheetml.worksheet+xml" PartName="/xl/worksheets/sheet22036.xml"/>
  <Override ContentType="application/vnd.openxmlformats-officedocument.spreadsheetml.worksheet+xml" PartName="/xl/worksheets/sheet22037.xml"/>
  <Override ContentType="application/vnd.openxmlformats-officedocument.spreadsheetml.worksheet+xml" PartName="/xl/worksheets/sheet22038.xml"/>
  <Override ContentType="application/vnd.openxmlformats-officedocument.spreadsheetml.worksheet+xml" PartName="/xl/worksheets/sheet22039.xml"/>
  <Override ContentType="application/vnd.openxmlformats-officedocument.spreadsheetml.worksheet+xml" PartName="/xl/worksheets/sheet22040.xml"/>
  <Override ContentType="application/vnd.openxmlformats-officedocument.spreadsheetml.worksheet+xml" PartName="/xl/worksheets/sheet22041.xml"/>
  <Override ContentType="application/vnd.openxmlformats-officedocument.spreadsheetml.worksheet+xml" PartName="/xl/worksheets/sheet22042.xml"/>
  <Override ContentType="application/vnd.openxmlformats-officedocument.spreadsheetml.worksheet+xml" PartName="/xl/worksheets/sheet22043.xml"/>
  <Override ContentType="application/vnd.openxmlformats-officedocument.spreadsheetml.worksheet+xml" PartName="/xl/worksheets/sheet22044.xml"/>
  <Override ContentType="application/vnd.openxmlformats-officedocument.spreadsheetml.worksheet+xml" PartName="/xl/worksheets/sheet22045.xml"/>
  <Override ContentType="application/vnd.openxmlformats-officedocument.spreadsheetml.worksheet+xml" PartName="/xl/worksheets/sheet22046.xml"/>
  <Override ContentType="application/vnd.openxmlformats-officedocument.spreadsheetml.worksheet+xml" PartName="/xl/worksheets/sheet22047.xml"/>
  <Override ContentType="application/vnd.openxmlformats-officedocument.spreadsheetml.worksheet+xml" PartName="/xl/worksheets/sheet22048.xml"/>
  <Override ContentType="application/vnd.openxmlformats-officedocument.spreadsheetml.worksheet+xml" PartName="/xl/worksheets/sheet22049.xml"/>
  <Override ContentType="application/vnd.openxmlformats-officedocument.spreadsheetml.worksheet+xml" PartName="/xl/worksheets/sheet22050.xml"/>
  <Override ContentType="application/vnd.openxmlformats-officedocument.spreadsheetml.worksheet+xml" PartName="/xl/worksheets/sheet22051.xml"/>
  <Override ContentType="application/vnd.openxmlformats-officedocument.spreadsheetml.worksheet+xml" PartName="/xl/worksheets/sheet22052.xml"/>
  <Override ContentType="application/vnd.openxmlformats-officedocument.spreadsheetml.worksheet+xml" PartName="/xl/worksheets/sheet22053.xml"/>
  <Override ContentType="application/vnd.openxmlformats-officedocument.spreadsheetml.worksheet+xml" PartName="/xl/worksheets/sheet22054.xml"/>
  <Override ContentType="application/vnd.openxmlformats-officedocument.spreadsheetml.worksheet+xml" PartName="/xl/worksheets/sheet22055.xml"/>
  <Override ContentType="application/vnd.openxmlformats-officedocument.spreadsheetml.worksheet+xml" PartName="/xl/worksheets/sheet22056.xml"/>
  <Override ContentType="application/vnd.openxmlformats-officedocument.spreadsheetml.worksheet+xml" PartName="/xl/worksheets/sheet22057.xml"/>
  <Override ContentType="application/vnd.openxmlformats-officedocument.spreadsheetml.worksheet+xml" PartName="/xl/worksheets/sheet22058.xml"/>
  <Override ContentType="application/vnd.openxmlformats-officedocument.spreadsheetml.worksheet+xml" PartName="/xl/worksheets/sheet22059.xml"/>
  <Override ContentType="application/vnd.openxmlformats-officedocument.spreadsheetml.worksheet+xml" PartName="/xl/worksheets/sheet22060.xml"/>
  <Override ContentType="application/vnd.openxmlformats-officedocument.spreadsheetml.worksheet+xml" PartName="/xl/worksheets/sheet22061.xml"/>
  <Override ContentType="application/vnd.openxmlformats-officedocument.spreadsheetml.worksheet+xml" PartName="/xl/worksheets/sheet22062.xml"/>
  <Override ContentType="application/vnd.openxmlformats-officedocument.spreadsheetml.worksheet+xml" PartName="/xl/worksheets/sheet22063.xml"/>
  <Override ContentType="application/vnd.openxmlformats-officedocument.spreadsheetml.worksheet+xml" PartName="/xl/worksheets/sheet22064.xml"/>
  <Override ContentType="application/vnd.openxmlformats-officedocument.spreadsheetml.worksheet+xml" PartName="/xl/worksheets/sheet22065.xml"/>
  <Override ContentType="application/vnd.openxmlformats-officedocument.spreadsheetml.worksheet+xml" PartName="/xl/worksheets/sheet22066.xml"/>
  <Override ContentType="application/vnd.openxmlformats-officedocument.spreadsheetml.worksheet+xml" PartName="/xl/worksheets/sheet22067.xml"/>
  <Override ContentType="application/vnd.openxmlformats-officedocument.spreadsheetml.worksheet+xml" PartName="/xl/worksheets/sheet22068.xml"/>
  <Override ContentType="application/vnd.openxmlformats-officedocument.spreadsheetml.worksheet+xml" PartName="/xl/worksheets/sheet22069.xml"/>
  <Override ContentType="application/vnd.openxmlformats-officedocument.spreadsheetml.worksheet+xml" PartName="/xl/worksheets/sheet22070.xml"/>
  <Override ContentType="application/vnd.openxmlformats-officedocument.spreadsheetml.worksheet+xml" PartName="/xl/worksheets/sheet22071.xml"/>
  <Override ContentType="application/vnd.openxmlformats-officedocument.spreadsheetml.worksheet+xml" PartName="/xl/worksheets/sheet22072.xml"/>
  <Override ContentType="application/vnd.openxmlformats-officedocument.spreadsheetml.worksheet+xml" PartName="/xl/worksheets/sheet22073.xml"/>
  <Override ContentType="application/vnd.openxmlformats-officedocument.spreadsheetml.worksheet+xml" PartName="/xl/worksheets/sheet22074.xml"/>
  <Override ContentType="application/vnd.openxmlformats-officedocument.spreadsheetml.worksheet+xml" PartName="/xl/worksheets/sheet22075.xml"/>
  <Override ContentType="application/vnd.openxmlformats-officedocument.spreadsheetml.worksheet+xml" PartName="/xl/worksheets/sheet22076.xml"/>
  <Override ContentType="application/vnd.openxmlformats-officedocument.spreadsheetml.worksheet+xml" PartName="/xl/worksheets/sheet22077.xml"/>
  <Override ContentType="application/vnd.openxmlformats-officedocument.spreadsheetml.worksheet+xml" PartName="/xl/worksheets/sheet22078.xml"/>
  <Override ContentType="application/vnd.openxmlformats-officedocument.spreadsheetml.worksheet+xml" PartName="/xl/worksheets/sheet22079.xml"/>
  <Override ContentType="application/vnd.openxmlformats-officedocument.spreadsheetml.worksheet+xml" PartName="/xl/worksheets/sheet22080.xml"/>
  <Override ContentType="application/vnd.openxmlformats-officedocument.spreadsheetml.worksheet+xml" PartName="/xl/worksheets/sheet22081.xml"/>
  <Override ContentType="application/vnd.openxmlformats-officedocument.spreadsheetml.worksheet+xml" PartName="/xl/worksheets/sheet22082.xml"/>
  <Override ContentType="application/vnd.openxmlformats-officedocument.spreadsheetml.worksheet+xml" PartName="/xl/worksheets/sheet22083.xml"/>
  <Override ContentType="application/vnd.openxmlformats-officedocument.spreadsheetml.worksheet+xml" PartName="/xl/worksheets/sheet22084.xml"/>
  <Override ContentType="application/vnd.openxmlformats-officedocument.spreadsheetml.worksheet+xml" PartName="/xl/worksheets/sheet22085.xml"/>
  <Override ContentType="application/vnd.openxmlformats-officedocument.spreadsheetml.worksheet+xml" PartName="/xl/worksheets/sheet22086.xml"/>
  <Override ContentType="application/vnd.openxmlformats-officedocument.spreadsheetml.worksheet+xml" PartName="/xl/worksheets/sheet22087.xml"/>
  <Override ContentType="application/vnd.openxmlformats-officedocument.spreadsheetml.worksheet+xml" PartName="/xl/worksheets/sheet22088.xml"/>
  <Override ContentType="application/vnd.openxmlformats-officedocument.spreadsheetml.worksheet+xml" PartName="/xl/worksheets/sheet22089.xml"/>
  <Override ContentType="application/vnd.openxmlformats-officedocument.spreadsheetml.worksheet+xml" PartName="/xl/worksheets/sheet22090.xml"/>
  <Override ContentType="application/vnd.openxmlformats-officedocument.spreadsheetml.worksheet+xml" PartName="/xl/worksheets/sheet22091.xml"/>
  <Override ContentType="application/vnd.openxmlformats-officedocument.spreadsheetml.worksheet+xml" PartName="/xl/worksheets/sheet22092.xml"/>
  <Override ContentType="application/vnd.openxmlformats-officedocument.spreadsheetml.worksheet+xml" PartName="/xl/worksheets/sheet22093.xml"/>
  <Override ContentType="application/vnd.openxmlformats-officedocument.spreadsheetml.worksheet+xml" PartName="/xl/worksheets/sheet22094.xml"/>
  <Override ContentType="application/vnd.openxmlformats-officedocument.spreadsheetml.worksheet+xml" PartName="/xl/worksheets/sheet22095.xml"/>
  <Override ContentType="application/vnd.openxmlformats-officedocument.spreadsheetml.worksheet+xml" PartName="/xl/worksheets/sheet22096.xml"/>
  <Override ContentType="application/vnd.openxmlformats-officedocument.spreadsheetml.worksheet+xml" PartName="/xl/worksheets/sheet22097.xml"/>
  <Override ContentType="application/vnd.openxmlformats-officedocument.spreadsheetml.worksheet+xml" PartName="/xl/worksheets/sheet22098.xml"/>
  <Override ContentType="application/vnd.openxmlformats-officedocument.spreadsheetml.worksheet+xml" PartName="/xl/worksheets/sheet22099.xml"/>
  <Override ContentType="application/vnd.openxmlformats-officedocument.spreadsheetml.worksheet+xml" PartName="/xl/worksheets/sheet22100.xml"/>
  <Override ContentType="application/vnd.openxmlformats-officedocument.spreadsheetml.worksheet+xml" PartName="/xl/worksheets/sheet22101.xml"/>
  <Override ContentType="application/vnd.openxmlformats-officedocument.spreadsheetml.worksheet+xml" PartName="/xl/worksheets/sheet22102.xml"/>
  <Override ContentType="application/vnd.openxmlformats-officedocument.spreadsheetml.worksheet+xml" PartName="/xl/worksheets/sheet22103.xml"/>
  <Override ContentType="application/vnd.openxmlformats-officedocument.spreadsheetml.worksheet+xml" PartName="/xl/worksheets/sheet22104.xml"/>
  <Override ContentType="application/vnd.openxmlformats-officedocument.spreadsheetml.worksheet+xml" PartName="/xl/worksheets/sheet22105.xml"/>
  <Override ContentType="application/vnd.openxmlformats-officedocument.spreadsheetml.worksheet+xml" PartName="/xl/worksheets/sheet22106.xml"/>
  <Override ContentType="application/vnd.openxmlformats-officedocument.spreadsheetml.worksheet+xml" PartName="/xl/worksheets/sheet22107.xml"/>
  <Override ContentType="application/vnd.openxmlformats-officedocument.spreadsheetml.worksheet+xml" PartName="/xl/worksheets/sheet22108.xml"/>
  <Override ContentType="application/vnd.openxmlformats-officedocument.spreadsheetml.worksheet+xml" PartName="/xl/worksheets/sheet22109.xml"/>
  <Override ContentType="application/vnd.openxmlformats-officedocument.spreadsheetml.worksheet+xml" PartName="/xl/worksheets/sheet22110.xml"/>
  <Override ContentType="application/vnd.openxmlformats-officedocument.spreadsheetml.worksheet+xml" PartName="/xl/worksheets/sheet22111.xml"/>
  <Override ContentType="application/vnd.openxmlformats-officedocument.spreadsheetml.worksheet+xml" PartName="/xl/worksheets/sheet22112.xml"/>
  <Override ContentType="application/vnd.openxmlformats-officedocument.spreadsheetml.worksheet+xml" PartName="/xl/worksheets/sheet22113.xml"/>
  <Override ContentType="application/vnd.openxmlformats-officedocument.spreadsheetml.worksheet+xml" PartName="/xl/worksheets/sheet22114.xml"/>
  <Override ContentType="application/vnd.openxmlformats-officedocument.spreadsheetml.worksheet+xml" PartName="/xl/worksheets/sheet22115.xml"/>
  <Override ContentType="application/vnd.openxmlformats-officedocument.spreadsheetml.worksheet+xml" PartName="/xl/worksheets/sheet22116.xml"/>
  <Override ContentType="application/vnd.openxmlformats-officedocument.spreadsheetml.worksheet+xml" PartName="/xl/worksheets/sheet22117.xml"/>
  <Override ContentType="application/vnd.openxmlformats-officedocument.spreadsheetml.worksheet+xml" PartName="/xl/worksheets/sheet22118.xml"/>
  <Override ContentType="application/vnd.openxmlformats-officedocument.spreadsheetml.worksheet+xml" PartName="/xl/worksheets/sheet22119.xml"/>
  <Override ContentType="application/vnd.openxmlformats-officedocument.spreadsheetml.worksheet+xml" PartName="/xl/worksheets/sheet22120.xml"/>
  <Override ContentType="application/vnd.openxmlformats-officedocument.spreadsheetml.worksheet+xml" PartName="/xl/worksheets/sheet22121.xml"/>
  <Override ContentType="application/vnd.openxmlformats-officedocument.spreadsheetml.worksheet+xml" PartName="/xl/worksheets/sheet22122.xml"/>
  <Override ContentType="application/vnd.openxmlformats-officedocument.spreadsheetml.worksheet+xml" PartName="/xl/worksheets/sheet22123.xml"/>
  <Override ContentType="application/vnd.openxmlformats-officedocument.spreadsheetml.worksheet+xml" PartName="/xl/worksheets/sheet22124.xml"/>
  <Override ContentType="application/vnd.openxmlformats-officedocument.spreadsheetml.worksheet+xml" PartName="/xl/worksheets/sheet22125.xml"/>
  <Override ContentType="application/vnd.openxmlformats-officedocument.spreadsheetml.worksheet+xml" PartName="/xl/worksheets/sheet22126.xml"/>
  <Override ContentType="application/vnd.openxmlformats-officedocument.spreadsheetml.worksheet+xml" PartName="/xl/worksheets/sheet22127.xml"/>
  <Override ContentType="application/vnd.openxmlformats-officedocument.spreadsheetml.worksheet+xml" PartName="/xl/worksheets/sheet22128.xml"/>
  <Override ContentType="application/vnd.openxmlformats-officedocument.spreadsheetml.worksheet+xml" PartName="/xl/worksheets/sheet22129.xml"/>
  <Override ContentType="application/vnd.openxmlformats-officedocument.spreadsheetml.worksheet+xml" PartName="/xl/worksheets/sheet22130.xml"/>
  <Override ContentType="application/vnd.openxmlformats-officedocument.spreadsheetml.worksheet+xml" PartName="/xl/worksheets/sheet22131.xml"/>
  <Override ContentType="application/vnd.openxmlformats-officedocument.spreadsheetml.worksheet+xml" PartName="/xl/worksheets/sheet22132.xml"/>
  <Override ContentType="application/vnd.openxmlformats-officedocument.spreadsheetml.worksheet+xml" PartName="/xl/worksheets/sheet22133.xml"/>
  <Override ContentType="application/vnd.openxmlformats-officedocument.spreadsheetml.worksheet+xml" PartName="/xl/worksheets/sheet22134.xml"/>
  <Override ContentType="application/vnd.openxmlformats-officedocument.spreadsheetml.worksheet+xml" PartName="/xl/worksheets/sheet22135.xml"/>
  <Override ContentType="application/vnd.openxmlformats-officedocument.spreadsheetml.worksheet+xml" PartName="/xl/worksheets/sheet22136.xml"/>
  <Override ContentType="application/vnd.openxmlformats-officedocument.spreadsheetml.worksheet+xml" PartName="/xl/worksheets/sheet22137.xml"/>
  <Override ContentType="application/vnd.openxmlformats-officedocument.spreadsheetml.worksheet+xml" PartName="/xl/worksheets/sheet22138.xml"/>
  <Override ContentType="application/vnd.openxmlformats-officedocument.spreadsheetml.worksheet+xml" PartName="/xl/worksheets/sheet22139.xml"/>
  <Override ContentType="application/vnd.openxmlformats-officedocument.spreadsheetml.worksheet+xml" PartName="/xl/worksheets/sheet22140.xml"/>
  <Override ContentType="application/vnd.openxmlformats-officedocument.spreadsheetml.worksheet+xml" PartName="/xl/worksheets/sheet22141.xml"/>
  <Override ContentType="application/vnd.openxmlformats-officedocument.spreadsheetml.worksheet+xml" PartName="/xl/worksheets/sheet22142.xml"/>
  <Override ContentType="application/vnd.openxmlformats-officedocument.spreadsheetml.worksheet+xml" PartName="/xl/worksheets/sheet22143.xml"/>
  <Override ContentType="application/vnd.openxmlformats-officedocument.spreadsheetml.worksheet+xml" PartName="/xl/worksheets/sheet22144.xml"/>
  <Override ContentType="application/vnd.openxmlformats-officedocument.spreadsheetml.worksheet+xml" PartName="/xl/worksheets/sheet22145.xml"/>
  <Override ContentType="application/vnd.openxmlformats-officedocument.spreadsheetml.worksheet+xml" PartName="/xl/worksheets/sheet22146.xml"/>
  <Override ContentType="application/vnd.openxmlformats-officedocument.spreadsheetml.worksheet+xml" PartName="/xl/worksheets/sheet22147.xml"/>
  <Override ContentType="application/vnd.openxmlformats-officedocument.spreadsheetml.worksheet+xml" PartName="/xl/worksheets/sheet22148.xml"/>
  <Override ContentType="application/vnd.openxmlformats-officedocument.spreadsheetml.worksheet+xml" PartName="/xl/worksheets/sheet22149.xml"/>
  <Override ContentType="application/vnd.openxmlformats-officedocument.spreadsheetml.worksheet+xml" PartName="/xl/worksheets/sheet22150.xml"/>
  <Override ContentType="application/vnd.openxmlformats-officedocument.spreadsheetml.worksheet+xml" PartName="/xl/worksheets/sheet22151.xml"/>
  <Override ContentType="application/vnd.openxmlformats-officedocument.spreadsheetml.worksheet+xml" PartName="/xl/worksheets/sheet22152.xml"/>
  <Override ContentType="application/vnd.openxmlformats-officedocument.spreadsheetml.worksheet+xml" PartName="/xl/worksheets/sheet22153.xml"/>
  <Override ContentType="application/vnd.openxmlformats-officedocument.spreadsheetml.worksheet+xml" PartName="/xl/worksheets/sheet22154.xml"/>
  <Override ContentType="application/vnd.openxmlformats-officedocument.spreadsheetml.worksheet+xml" PartName="/xl/worksheets/sheet22155.xml"/>
  <Override ContentType="application/vnd.openxmlformats-officedocument.spreadsheetml.worksheet+xml" PartName="/xl/worksheets/sheet22156.xml"/>
  <Override ContentType="application/vnd.openxmlformats-officedocument.spreadsheetml.worksheet+xml" PartName="/xl/worksheets/sheet22157.xml"/>
  <Override ContentType="application/vnd.openxmlformats-officedocument.spreadsheetml.worksheet+xml" PartName="/xl/worksheets/sheet22158.xml"/>
  <Override ContentType="application/vnd.openxmlformats-officedocument.spreadsheetml.worksheet+xml" PartName="/xl/worksheets/sheet22159.xml"/>
  <Override ContentType="application/vnd.openxmlformats-officedocument.spreadsheetml.worksheet+xml" PartName="/xl/worksheets/sheet22160.xml"/>
  <Override ContentType="application/vnd.openxmlformats-officedocument.spreadsheetml.worksheet+xml" PartName="/xl/worksheets/sheet22161.xml"/>
  <Override ContentType="application/vnd.openxmlformats-officedocument.spreadsheetml.worksheet+xml" PartName="/xl/worksheets/sheet22162.xml"/>
  <Override ContentType="application/vnd.openxmlformats-officedocument.spreadsheetml.worksheet+xml" PartName="/xl/worksheets/sheet22163.xml"/>
  <Override ContentType="application/vnd.openxmlformats-officedocument.spreadsheetml.worksheet+xml" PartName="/xl/worksheets/sheet22164.xml"/>
  <Override ContentType="application/vnd.openxmlformats-officedocument.spreadsheetml.worksheet+xml" PartName="/xl/worksheets/sheet22165.xml"/>
  <Override ContentType="application/vnd.openxmlformats-officedocument.spreadsheetml.worksheet+xml" PartName="/xl/worksheets/sheet22166.xml"/>
  <Override ContentType="application/vnd.openxmlformats-officedocument.spreadsheetml.worksheet+xml" PartName="/xl/worksheets/sheet22167.xml"/>
  <Override ContentType="application/vnd.openxmlformats-officedocument.spreadsheetml.worksheet+xml" PartName="/xl/worksheets/sheet22168.xml"/>
  <Override ContentType="application/vnd.openxmlformats-officedocument.spreadsheetml.worksheet+xml" PartName="/xl/worksheets/sheet22169.xml"/>
  <Override ContentType="application/vnd.openxmlformats-officedocument.spreadsheetml.worksheet+xml" PartName="/xl/worksheets/sheet22170.xml"/>
  <Override ContentType="application/vnd.openxmlformats-officedocument.spreadsheetml.worksheet+xml" PartName="/xl/worksheets/sheet22171.xml"/>
  <Override ContentType="application/vnd.openxmlformats-officedocument.spreadsheetml.worksheet+xml" PartName="/xl/worksheets/sheet22172.xml"/>
  <Override ContentType="application/vnd.openxmlformats-officedocument.spreadsheetml.worksheet+xml" PartName="/xl/worksheets/sheet22173.xml"/>
  <Override ContentType="application/vnd.openxmlformats-officedocument.spreadsheetml.worksheet+xml" PartName="/xl/worksheets/sheet22174.xml"/>
  <Override ContentType="application/vnd.openxmlformats-officedocument.spreadsheetml.worksheet+xml" PartName="/xl/worksheets/sheet22175.xml"/>
  <Override ContentType="application/vnd.openxmlformats-officedocument.spreadsheetml.worksheet+xml" PartName="/xl/worksheets/sheet22176.xml"/>
  <Override ContentType="application/vnd.openxmlformats-officedocument.spreadsheetml.worksheet+xml" PartName="/xl/worksheets/sheet22177.xml"/>
  <Override ContentType="application/vnd.openxmlformats-officedocument.spreadsheetml.worksheet+xml" PartName="/xl/worksheets/sheet22178.xml"/>
  <Override ContentType="application/vnd.openxmlformats-officedocument.spreadsheetml.worksheet+xml" PartName="/xl/worksheets/sheet22179.xml"/>
  <Override ContentType="application/vnd.openxmlformats-officedocument.spreadsheetml.worksheet+xml" PartName="/xl/worksheets/sheet22180.xml"/>
  <Override ContentType="application/vnd.openxmlformats-officedocument.spreadsheetml.worksheet+xml" PartName="/xl/worksheets/sheet22181.xml"/>
  <Override ContentType="application/vnd.openxmlformats-officedocument.spreadsheetml.worksheet+xml" PartName="/xl/worksheets/sheet22182.xml"/>
  <Override ContentType="application/vnd.openxmlformats-officedocument.spreadsheetml.worksheet+xml" PartName="/xl/worksheets/sheet22183.xml"/>
  <Override ContentType="application/vnd.openxmlformats-officedocument.spreadsheetml.worksheet+xml" PartName="/xl/worksheets/sheet22184.xml"/>
  <Override ContentType="application/vnd.openxmlformats-officedocument.spreadsheetml.worksheet+xml" PartName="/xl/worksheets/sheet22185.xml"/>
  <Override ContentType="application/vnd.openxmlformats-officedocument.spreadsheetml.worksheet+xml" PartName="/xl/worksheets/sheet22186.xml"/>
  <Override ContentType="application/vnd.openxmlformats-officedocument.spreadsheetml.worksheet+xml" PartName="/xl/worksheets/sheet22187.xml"/>
  <Override ContentType="application/vnd.openxmlformats-officedocument.spreadsheetml.worksheet+xml" PartName="/xl/worksheets/sheet22188.xml"/>
  <Override ContentType="application/vnd.openxmlformats-officedocument.spreadsheetml.worksheet+xml" PartName="/xl/worksheets/sheet22189.xml"/>
  <Override ContentType="application/vnd.openxmlformats-officedocument.spreadsheetml.worksheet+xml" PartName="/xl/worksheets/sheet22190.xml"/>
  <Override ContentType="application/vnd.openxmlformats-officedocument.spreadsheetml.worksheet+xml" PartName="/xl/worksheets/sheet22191.xml"/>
  <Override ContentType="application/vnd.openxmlformats-officedocument.spreadsheetml.worksheet+xml" PartName="/xl/worksheets/sheet22192.xml"/>
  <Override ContentType="application/vnd.openxmlformats-officedocument.spreadsheetml.worksheet+xml" PartName="/xl/worksheets/sheet22193.xml"/>
  <Override ContentType="application/vnd.openxmlformats-officedocument.spreadsheetml.worksheet+xml" PartName="/xl/worksheets/sheet22194.xml"/>
  <Override ContentType="application/vnd.openxmlformats-officedocument.spreadsheetml.worksheet+xml" PartName="/xl/worksheets/sheet22195.xml"/>
  <Override ContentType="application/vnd.openxmlformats-officedocument.spreadsheetml.worksheet+xml" PartName="/xl/worksheets/sheet22196.xml"/>
  <Override ContentType="application/vnd.openxmlformats-officedocument.spreadsheetml.worksheet+xml" PartName="/xl/worksheets/sheet22197.xml"/>
  <Override ContentType="application/vnd.openxmlformats-officedocument.spreadsheetml.worksheet+xml" PartName="/xl/worksheets/sheet22198.xml"/>
  <Override ContentType="application/vnd.openxmlformats-officedocument.spreadsheetml.worksheet+xml" PartName="/xl/worksheets/sheet22199.xml"/>
  <Override ContentType="application/vnd.openxmlformats-officedocument.spreadsheetml.worksheet+xml" PartName="/xl/worksheets/sheet22200.xml"/>
  <Override ContentType="application/vnd.openxmlformats-officedocument.spreadsheetml.worksheet+xml" PartName="/xl/worksheets/sheet22201.xml"/>
  <Override ContentType="application/vnd.openxmlformats-officedocument.spreadsheetml.worksheet+xml" PartName="/xl/worksheets/sheet22202.xml"/>
  <Override ContentType="application/vnd.openxmlformats-officedocument.spreadsheetml.worksheet+xml" PartName="/xl/worksheets/sheet22203.xml"/>
  <Override ContentType="application/vnd.openxmlformats-officedocument.spreadsheetml.worksheet+xml" PartName="/xl/worksheets/sheet22204.xml"/>
  <Override ContentType="application/vnd.openxmlformats-officedocument.spreadsheetml.worksheet+xml" PartName="/xl/worksheets/sheet22205.xml"/>
  <Override ContentType="application/vnd.openxmlformats-officedocument.spreadsheetml.worksheet+xml" PartName="/xl/worksheets/sheet22206.xml"/>
  <Override ContentType="application/vnd.openxmlformats-officedocument.spreadsheetml.worksheet+xml" PartName="/xl/worksheets/sheet22207.xml"/>
  <Override ContentType="application/vnd.openxmlformats-officedocument.spreadsheetml.worksheet+xml" PartName="/xl/worksheets/sheet22208.xml"/>
  <Override ContentType="application/vnd.openxmlformats-officedocument.spreadsheetml.worksheet+xml" PartName="/xl/worksheets/sheet22209.xml"/>
  <Override ContentType="application/vnd.openxmlformats-officedocument.spreadsheetml.worksheet+xml" PartName="/xl/worksheets/sheet22210.xml"/>
  <Override ContentType="application/vnd.openxmlformats-officedocument.spreadsheetml.worksheet+xml" PartName="/xl/worksheets/sheet22211.xml"/>
  <Override ContentType="application/vnd.openxmlformats-officedocument.spreadsheetml.worksheet+xml" PartName="/xl/worksheets/sheet22212.xml"/>
  <Override ContentType="application/vnd.openxmlformats-officedocument.spreadsheetml.worksheet+xml" PartName="/xl/worksheets/sheet22213.xml"/>
  <Override ContentType="application/vnd.openxmlformats-officedocument.spreadsheetml.worksheet+xml" PartName="/xl/worksheets/sheet22214.xml"/>
  <Override ContentType="application/vnd.openxmlformats-officedocument.spreadsheetml.worksheet+xml" PartName="/xl/worksheets/sheet22215.xml"/>
  <Override ContentType="application/vnd.openxmlformats-officedocument.spreadsheetml.worksheet+xml" PartName="/xl/worksheets/sheet22216.xml"/>
  <Override ContentType="application/vnd.openxmlformats-officedocument.spreadsheetml.worksheet+xml" PartName="/xl/worksheets/sheet22217.xml"/>
  <Override ContentType="application/vnd.openxmlformats-officedocument.spreadsheetml.worksheet+xml" PartName="/xl/worksheets/sheet22218.xml"/>
  <Override ContentType="application/vnd.openxmlformats-officedocument.spreadsheetml.worksheet+xml" PartName="/xl/worksheets/sheet22219.xml"/>
  <Override ContentType="application/vnd.openxmlformats-officedocument.spreadsheetml.worksheet+xml" PartName="/xl/worksheets/sheet22220.xml"/>
  <Override ContentType="application/vnd.openxmlformats-officedocument.spreadsheetml.worksheet+xml" PartName="/xl/worksheets/sheet22221.xml"/>
  <Override ContentType="application/vnd.openxmlformats-officedocument.spreadsheetml.worksheet+xml" PartName="/xl/worksheets/sheet22222.xml"/>
  <Override ContentType="application/vnd.openxmlformats-officedocument.spreadsheetml.worksheet+xml" PartName="/xl/worksheets/sheet22223.xml"/>
  <Override ContentType="application/vnd.openxmlformats-officedocument.spreadsheetml.worksheet+xml" PartName="/xl/worksheets/sheet22224.xml"/>
  <Override ContentType="application/vnd.openxmlformats-officedocument.spreadsheetml.worksheet+xml" PartName="/xl/worksheets/sheet22225.xml"/>
  <Override ContentType="application/vnd.openxmlformats-officedocument.spreadsheetml.worksheet+xml" PartName="/xl/worksheets/sheet22226.xml"/>
  <Override ContentType="application/vnd.openxmlformats-officedocument.spreadsheetml.worksheet+xml" PartName="/xl/worksheets/sheet22227.xml"/>
  <Override ContentType="application/vnd.openxmlformats-officedocument.spreadsheetml.worksheet+xml" PartName="/xl/worksheets/sheet22228.xml"/>
  <Override ContentType="application/vnd.openxmlformats-officedocument.spreadsheetml.worksheet+xml" PartName="/xl/worksheets/sheet22229.xml"/>
  <Override ContentType="application/vnd.openxmlformats-officedocument.spreadsheetml.worksheet+xml" PartName="/xl/worksheets/sheet22230.xml"/>
  <Override ContentType="application/vnd.openxmlformats-officedocument.spreadsheetml.worksheet+xml" PartName="/xl/worksheets/sheet22231.xml"/>
  <Override ContentType="application/vnd.openxmlformats-officedocument.spreadsheetml.worksheet+xml" PartName="/xl/worksheets/sheet22232.xml"/>
  <Override ContentType="application/vnd.openxmlformats-officedocument.spreadsheetml.worksheet+xml" PartName="/xl/worksheets/sheet22233.xml"/>
  <Override ContentType="application/vnd.openxmlformats-officedocument.spreadsheetml.worksheet+xml" PartName="/xl/worksheets/sheet22234.xml"/>
  <Override ContentType="application/vnd.openxmlformats-officedocument.spreadsheetml.worksheet+xml" PartName="/xl/worksheets/sheet22235.xml"/>
  <Override ContentType="application/vnd.openxmlformats-officedocument.spreadsheetml.worksheet+xml" PartName="/xl/worksheets/sheet22236.xml"/>
  <Override ContentType="application/vnd.openxmlformats-officedocument.spreadsheetml.worksheet+xml" PartName="/xl/worksheets/sheet22237.xml"/>
  <Override ContentType="application/vnd.openxmlformats-officedocument.spreadsheetml.worksheet+xml" PartName="/xl/worksheets/sheet22238.xml"/>
  <Override ContentType="application/vnd.openxmlformats-officedocument.spreadsheetml.worksheet+xml" PartName="/xl/worksheets/sheet22239.xml"/>
  <Override ContentType="application/vnd.openxmlformats-officedocument.spreadsheetml.worksheet+xml" PartName="/xl/worksheets/sheet22240.xml"/>
  <Override ContentType="application/vnd.openxmlformats-officedocument.spreadsheetml.worksheet+xml" PartName="/xl/worksheets/sheet22241.xml"/>
  <Override ContentType="application/vnd.openxmlformats-officedocument.spreadsheetml.worksheet+xml" PartName="/xl/worksheets/sheet22242.xml"/>
  <Override ContentType="application/vnd.openxmlformats-officedocument.spreadsheetml.worksheet+xml" PartName="/xl/worksheets/sheet22243.xml"/>
  <Override ContentType="application/vnd.openxmlformats-officedocument.spreadsheetml.worksheet+xml" PartName="/xl/worksheets/sheet22244.xml"/>
  <Override ContentType="application/vnd.openxmlformats-officedocument.spreadsheetml.worksheet+xml" PartName="/xl/worksheets/sheet22245.xml"/>
  <Override ContentType="application/vnd.openxmlformats-officedocument.spreadsheetml.worksheet+xml" PartName="/xl/worksheets/sheet22246.xml"/>
  <Override ContentType="application/vnd.openxmlformats-officedocument.spreadsheetml.worksheet+xml" PartName="/xl/worksheets/sheet22247.xml"/>
  <Override ContentType="application/vnd.openxmlformats-officedocument.spreadsheetml.worksheet+xml" PartName="/xl/worksheets/sheet22248.xml"/>
  <Override ContentType="application/vnd.openxmlformats-officedocument.spreadsheetml.worksheet+xml" PartName="/xl/worksheets/sheet22249.xml"/>
  <Override ContentType="application/vnd.openxmlformats-officedocument.spreadsheetml.worksheet+xml" PartName="/xl/worksheets/sheet22250.xml"/>
  <Override ContentType="application/vnd.openxmlformats-officedocument.spreadsheetml.worksheet+xml" PartName="/xl/worksheets/sheet22251.xml"/>
  <Override ContentType="application/vnd.openxmlformats-officedocument.spreadsheetml.worksheet+xml" PartName="/xl/worksheets/sheet22252.xml"/>
  <Override ContentType="application/vnd.openxmlformats-officedocument.spreadsheetml.worksheet+xml" PartName="/xl/worksheets/sheet22253.xml"/>
  <Override ContentType="application/vnd.openxmlformats-officedocument.spreadsheetml.worksheet+xml" PartName="/xl/worksheets/sheet22254.xml"/>
  <Override ContentType="application/vnd.openxmlformats-officedocument.spreadsheetml.worksheet+xml" PartName="/xl/worksheets/sheet22255.xml"/>
  <Override ContentType="application/vnd.openxmlformats-officedocument.spreadsheetml.worksheet+xml" PartName="/xl/worksheets/sheet22256.xml"/>
  <Override ContentType="application/vnd.openxmlformats-officedocument.spreadsheetml.worksheet+xml" PartName="/xl/worksheets/sheet22257.xml"/>
  <Override ContentType="application/vnd.openxmlformats-officedocument.spreadsheetml.worksheet+xml" PartName="/xl/worksheets/sheet22258.xml"/>
  <Override ContentType="application/vnd.openxmlformats-officedocument.spreadsheetml.worksheet+xml" PartName="/xl/worksheets/sheet22259.xml"/>
  <Override ContentType="application/vnd.openxmlformats-officedocument.spreadsheetml.worksheet+xml" PartName="/xl/worksheets/sheet22260.xml"/>
  <Override ContentType="application/vnd.openxmlformats-officedocument.spreadsheetml.worksheet+xml" PartName="/xl/worksheets/sheet22261.xml"/>
  <Override ContentType="application/vnd.openxmlformats-officedocument.spreadsheetml.worksheet+xml" PartName="/xl/worksheets/sheet22262.xml"/>
  <Override ContentType="application/vnd.openxmlformats-officedocument.spreadsheetml.worksheet+xml" PartName="/xl/worksheets/sheet22263.xml"/>
  <Override ContentType="application/vnd.openxmlformats-officedocument.spreadsheetml.worksheet+xml" PartName="/xl/worksheets/sheet22264.xml"/>
  <Override ContentType="application/vnd.openxmlformats-officedocument.spreadsheetml.worksheet+xml" PartName="/xl/worksheets/sheet22265.xml"/>
  <Override ContentType="application/vnd.openxmlformats-officedocument.spreadsheetml.worksheet+xml" PartName="/xl/worksheets/sheet22266.xml"/>
  <Override ContentType="application/vnd.openxmlformats-officedocument.spreadsheetml.worksheet+xml" PartName="/xl/worksheets/sheet22267.xml"/>
  <Override ContentType="application/vnd.openxmlformats-officedocument.spreadsheetml.worksheet+xml" PartName="/xl/worksheets/sheet22268.xml"/>
  <Override ContentType="application/vnd.openxmlformats-officedocument.spreadsheetml.worksheet+xml" PartName="/xl/worksheets/sheet22269.xml"/>
  <Override ContentType="application/vnd.openxmlformats-officedocument.spreadsheetml.worksheet+xml" PartName="/xl/worksheets/sheet22270.xml"/>
  <Override ContentType="application/vnd.openxmlformats-officedocument.spreadsheetml.worksheet+xml" PartName="/xl/worksheets/sheet22271.xml"/>
  <Override ContentType="application/vnd.openxmlformats-officedocument.spreadsheetml.worksheet+xml" PartName="/xl/worksheets/sheet22272.xml"/>
  <Override ContentType="application/vnd.openxmlformats-officedocument.spreadsheetml.worksheet+xml" PartName="/xl/worksheets/sheet22273.xml"/>
  <Override ContentType="application/vnd.openxmlformats-officedocument.spreadsheetml.worksheet+xml" PartName="/xl/worksheets/sheet22274.xml"/>
  <Override ContentType="application/vnd.openxmlformats-officedocument.spreadsheetml.worksheet+xml" PartName="/xl/worksheets/sheet22275.xml"/>
  <Override ContentType="application/vnd.openxmlformats-officedocument.spreadsheetml.worksheet+xml" PartName="/xl/worksheets/sheet22276.xml"/>
  <Override ContentType="application/vnd.openxmlformats-officedocument.spreadsheetml.worksheet+xml" PartName="/xl/worksheets/sheet22277.xml"/>
  <Override ContentType="application/vnd.openxmlformats-officedocument.spreadsheetml.worksheet+xml" PartName="/xl/worksheets/sheet22278.xml"/>
  <Override ContentType="application/vnd.openxmlformats-officedocument.spreadsheetml.worksheet+xml" PartName="/xl/worksheets/sheet22279.xml"/>
  <Override ContentType="application/vnd.openxmlformats-officedocument.spreadsheetml.worksheet+xml" PartName="/xl/worksheets/sheet22280.xml"/>
  <Override ContentType="application/vnd.openxmlformats-officedocument.spreadsheetml.worksheet+xml" PartName="/xl/worksheets/sheet22281.xml"/>
  <Override ContentType="application/vnd.openxmlformats-officedocument.spreadsheetml.worksheet+xml" PartName="/xl/worksheets/sheet22282.xml"/>
  <Override ContentType="application/vnd.openxmlformats-officedocument.spreadsheetml.worksheet+xml" PartName="/xl/worksheets/sheet22283.xml"/>
  <Override ContentType="application/vnd.openxmlformats-officedocument.spreadsheetml.worksheet+xml" PartName="/xl/worksheets/sheet22284.xml"/>
  <Override ContentType="application/vnd.openxmlformats-officedocument.spreadsheetml.worksheet+xml" PartName="/xl/worksheets/sheet22285.xml"/>
  <Override ContentType="application/vnd.openxmlformats-officedocument.spreadsheetml.worksheet+xml" PartName="/xl/worksheets/sheet22286.xml"/>
  <Override ContentType="application/vnd.openxmlformats-officedocument.spreadsheetml.worksheet+xml" PartName="/xl/worksheets/sheet22287.xml"/>
  <Override ContentType="application/vnd.openxmlformats-officedocument.spreadsheetml.worksheet+xml" PartName="/xl/worksheets/sheet22288.xml"/>
  <Override ContentType="application/vnd.openxmlformats-officedocument.spreadsheetml.worksheet+xml" PartName="/xl/worksheets/sheet22289.xml"/>
  <Override ContentType="application/vnd.openxmlformats-officedocument.spreadsheetml.worksheet+xml" PartName="/xl/worksheets/sheet22290.xml"/>
  <Override ContentType="application/vnd.openxmlformats-officedocument.spreadsheetml.worksheet+xml" PartName="/xl/worksheets/sheet22291.xml"/>
  <Override ContentType="application/vnd.openxmlformats-officedocument.spreadsheetml.worksheet+xml" PartName="/xl/worksheets/sheet22292.xml"/>
  <Override ContentType="application/vnd.openxmlformats-officedocument.spreadsheetml.worksheet+xml" PartName="/xl/worksheets/sheet22293.xml"/>
  <Override ContentType="application/vnd.openxmlformats-officedocument.spreadsheetml.worksheet+xml" PartName="/xl/worksheets/sheet22294.xml"/>
  <Override ContentType="application/vnd.openxmlformats-officedocument.spreadsheetml.worksheet+xml" PartName="/xl/worksheets/sheet22295.xml"/>
  <Override ContentType="application/vnd.openxmlformats-officedocument.spreadsheetml.worksheet+xml" PartName="/xl/worksheets/sheet22296.xml"/>
  <Override ContentType="application/vnd.openxmlformats-officedocument.spreadsheetml.worksheet+xml" PartName="/xl/worksheets/sheet22297.xml"/>
  <Override ContentType="application/vnd.openxmlformats-officedocument.spreadsheetml.worksheet+xml" PartName="/xl/worksheets/sheet22298.xml"/>
  <Override ContentType="application/vnd.openxmlformats-officedocument.spreadsheetml.worksheet+xml" PartName="/xl/worksheets/sheet22299.xml"/>
  <Override ContentType="application/vnd.openxmlformats-officedocument.spreadsheetml.worksheet+xml" PartName="/xl/worksheets/sheet22300.xml"/>
  <Override ContentType="application/vnd.openxmlformats-officedocument.spreadsheetml.worksheet+xml" PartName="/xl/worksheets/sheet22301.xml"/>
  <Override ContentType="application/vnd.openxmlformats-officedocument.spreadsheetml.worksheet+xml" PartName="/xl/worksheets/sheet22302.xml"/>
  <Override ContentType="application/vnd.openxmlformats-officedocument.spreadsheetml.worksheet+xml" PartName="/xl/worksheets/sheet22303.xml"/>
  <Override ContentType="application/vnd.openxmlformats-officedocument.spreadsheetml.worksheet+xml" PartName="/xl/worksheets/sheet22304.xml"/>
  <Override ContentType="application/vnd.openxmlformats-officedocument.spreadsheetml.worksheet+xml" PartName="/xl/worksheets/sheet22305.xml"/>
  <Override ContentType="application/vnd.openxmlformats-officedocument.spreadsheetml.worksheet+xml" PartName="/xl/worksheets/sheet22306.xml"/>
  <Override ContentType="application/vnd.openxmlformats-officedocument.spreadsheetml.worksheet+xml" PartName="/xl/worksheets/sheet22307.xml"/>
  <Override ContentType="application/vnd.openxmlformats-officedocument.spreadsheetml.worksheet+xml" PartName="/xl/worksheets/sheet22308.xml"/>
  <Override ContentType="application/vnd.openxmlformats-officedocument.spreadsheetml.worksheet+xml" PartName="/xl/worksheets/sheet22309.xml"/>
  <Override ContentType="application/vnd.openxmlformats-officedocument.spreadsheetml.worksheet+xml" PartName="/xl/worksheets/sheet22310.xml"/>
  <Override ContentType="application/vnd.openxmlformats-officedocument.spreadsheetml.worksheet+xml" PartName="/xl/worksheets/sheet22311.xml"/>
  <Override ContentType="application/vnd.openxmlformats-officedocument.spreadsheetml.worksheet+xml" PartName="/xl/worksheets/sheet22312.xml"/>
  <Override ContentType="application/vnd.openxmlformats-officedocument.spreadsheetml.worksheet+xml" PartName="/xl/worksheets/sheet22313.xml"/>
  <Override ContentType="application/vnd.openxmlformats-officedocument.spreadsheetml.worksheet+xml" PartName="/xl/worksheets/sheet22314.xml"/>
  <Override ContentType="application/vnd.openxmlformats-officedocument.spreadsheetml.worksheet+xml" PartName="/xl/worksheets/sheet22315.xml"/>
  <Override ContentType="application/vnd.openxmlformats-officedocument.spreadsheetml.worksheet+xml" PartName="/xl/worksheets/sheet22316.xml"/>
  <Override ContentType="application/vnd.openxmlformats-officedocument.spreadsheetml.worksheet+xml" PartName="/xl/worksheets/sheet22317.xml"/>
  <Override ContentType="application/vnd.openxmlformats-officedocument.spreadsheetml.worksheet+xml" PartName="/xl/worksheets/sheet22318.xml"/>
  <Override ContentType="application/vnd.openxmlformats-officedocument.spreadsheetml.worksheet+xml" PartName="/xl/worksheets/sheet22319.xml"/>
  <Override ContentType="application/vnd.openxmlformats-officedocument.spreadsheetml.worksheet+xml" PartName="/xl/worksheets/sheet22320.xml"/>
  <Override ContentType="application/vnd.openxmlformats-officedocument.spreadsheetml.worksheet+xml" PartName="/xl/worksheets/sheet22321.xml"/>
  <Override ContentType="application/vnd.openxmlformats-officedocument.spreadsheetml.worksheet+xml" PartName="/xl/worksheets/sheet22322.xml"/>
  <Override ContentType="application/vnd.openxmlformats-officedocument.spreadsheetml.worksheet+xml" PartName="/xl/worksheets/sheet22323.xml"/>
  <Override ContentType="application/vnd.openxmlformats-officedocument.spreadsheetml.worksheet+xml" PartName="/xl/worksheets/sheet22324.xml"/>
  <Override ContentType="application/vnd.openxmlformats-officedocument.spreadsheetml.worksheet+xml" PartName="/xl/worksheets/sheet22325.xml"/>
  <Override ContentType="application/vnd.openxmlformats-officedocument.spreadsheetml.worksheet+xml" PartName="/xl/worksheets/sheet22326.xml"/>
  <Override ContentType="application/vnd.openxmlformats-officedocument.spreadsheetml.worksheet+xml" PartName="/xl/worksheets/sheet22327.xml"/>
  <Override ContentType="application/vnd.openxmlformats-officedocument.spreadsheetml.worksheet+xml" PartName="/xl/worksheets/sheet22328.xml"/>
  <Override ContentType="application/vnd.openxmlformats-officedocument.spreadsheetml.worksheet+xml" PartName="/xl/worksheets/sheet22329.xml"/>
  <Override ContentType="application/vnd.openxmlformats-officedocument.spreadsheetml.worksheet+xml" PartName="/xl/worksheets/sheet22330.xml"/>
  <Override ContentType="application/vnd.openxmlformats-officedocument.spreadsheetml.worksheet+xml" PartName="/xl/worksheets/sheet22331.xml"/>
  <Override ContentType="application/vnd.openxmlformats-officedocument.spreadsheetml.worksheet+xml" PartName="/xl/worksheets/sheet22332.xml"/>
  <Override ContentType="application/vnd.openxmlformats-officedocument.spreadsheetml.worksheet+xml" PartName="/xl/worksheets/sheet22333.xml"/>
  <Override ContentType="application/vnd.openxmlformats-officedocument.spreadsheetml.worksheet+xml" PartName="/xl/worksheets/sheet22334.xml"/>
  <Override ContentType="application/vnd.openxmlformats-officedocument.spreadsheetml.worksheet+xml" PartName="/xl/worksheets/sheet22335.xml"/>
  <Override ContentType="application/vnd.openxmlformats-officedocument.spreadsheetml.worksheet+xml" PartName="/xl/worksheets/sheet22336.xml"/>
  <Override ContentType="application/vnd.openxmlformats-officedocument.spreadsheetml.worksheet+xml" PartName="/xl/worksheets/sheet22337.xml"/>
  <Override ContentType="application/vnd.openxmlformats-officedocument.spreadsheetml.worksheet+xml" PartName="/xl/worksheets/sheet22338.xml"/>
  <Override ContentType="application/vnd.openxmlformats-officedocument.spreadsheetml.worksheet+xml" PartName="/xl/worksheets/sheet22339.xml"/>
  <Override ContentType="application/vnd.openxmlformats-officedocument.spreadsheetml.worksheet+xml" PartName="/xl/worksheets/sheet22340.xml"/>
  <Override ContentType="application/vnd.openxmlformats-officedocument.spreadsheetml.worksheet+xml" PartName="/xl/worksheets/sheet22341.xml"/>
  <Override ContentType="application/vnd.openxmlformats-officedocument.spreadsheetml.worksheet+xml" PartName="/xl/worksheets/sheet22342.xml"/>
  <Override ContentType="application/vnd.openxmlformats-officedocument.spreadsheetml.worksheet+xml" PartName="/xl/worksheets/sheet22343.xml"/>
  <Override ContentType="application/vnd.openxmlformats-officedocument.spreadsheetml.worksheet+xml" PartName="/xl/worksheets/sheet22344.xml"/>
  <Override ContentType="application/vnd.openxmlformats-officedocument.spreadsheetml.worksheet+xml" PartName="/xl/worksheets/sheet22345.xml"/>
  <Override ContentType="application/vnd.openxmlformats-officedocument.spreadsheetml.worksheet+xml" PartName="/xl/worksheets/sheet22346.xml"/>
  <Override ContentType="application/vnd.openxmlformats-officedocument.spreadsheetml.worksheet+xml" PartName="/xl/worksheets/sheet22347.xml"/>
  <Override ContentType="application/vnd.openxmlformats-officedocument.spreadsheetml.worksheet+xml" PartName="/xl/worksheets/sheet22348.xml"/>
  <Override ContentType="application/vnd.openxmlformats-officedocument.spreadsheetml.worksheet+xml" PartName="/xl/worksheets/sheet22349.xml"/>
  <Override ContentType="application/vnd.openxmlformats-officedocument.spreadsheetml.worksheet+xml" PartName="/xl/worksheets/sheet22350.xml"/>
  <Override ContentType="application/vnd.openxmlformats-officedocument.spreadsheetml.worksheet+xml" PartName="/xl/worksheets/sheet22351.xml"/>
  <Override ContentType="application/vnd.openxmlformats-officedocument.spreadsheetml.worksheet+xml" PartName="/xl/worksheets/sheet22352.xml"/>
  <Override ContentType="application/vnd.openxmlformats-officedocument.spreadsheetml.worksheet+xml" PartName="/xl/worksheets/sheet22353.xml"/>
  <Override ContentType="application/vnd.openxmlformats-officedocument.spreadsheetml.worksheet+xml" PartName="/xl/worksheets/sheet22354.xml"/>
  <Override ContentType="application/vnd.openxmlformats-officedocument.spreadsheetml.worksheet+xml" PartName="/xl/worksheets/sheet22355.xml"/>
  <Override ContentType="application/vnd.openxmlformats-officedocument.spreadsheetml.worksheet+xml" PartName="/xl/worksheets/sheet22356.xml"/>
  <Override ContentType="application/vnd.openxmlformats-officedocument.spreadsheetml.worksheet+xml" PartName="/xl/worksheets/sheet22357.xml"/>
  <Override ContentType="application/vnd.openxmlformats-officedocument.spreadsheetml.worksheet+xml" PartName="/xl/worksheets/sheet22358.xml"/>
  <Override ContentType="application/vnd.openxmlformats-officedocument.spreadsheetml.worksheet+xml" PartName="/xl/worksheets/sheet22359.xml"/>
  <Override ContentType="application/vnd.openxmlformats-officedocument.spreadsheetml.worksheet+xml" PartName="/xl/worksheets/sheet22360.xml"/>
  <Override ContentType="application/vnd.openxmlformats-officedocument.spreadsheetml.worksheet+xml" PartName="/xl/worksheets/sheet22361.xml"/>
  <Override ContentType="application/vnd.openxmlformats-officedocument.spreadsheetml.worksheet+xml" PartName="/xl/worksheets/sheet22362.xml"/>
  <Override ContentType="application/vnd.openxmlformats-officedocument.spreadsheetml.worksheet+xml" PartName="/xl/worksheets/sheet22363.xml"/>
  <Override ContentType="application/vnd.openxmlformats-officedocument.spreadsheetml.worksheet+xml" PartName="/xl/worksheets/sheet22364.xml"/>
  <Override ContentType="application/vnd.openxmlformats-officedocument.spreadsheetml.worksheet+xml" PartName="/xl/worksheets/sheet22365.xml"/>
  <Override ContentType="application/vnd.openxmlformats-officedocument.spreadsheetml.worksheet+xml" PartName="/xl/worksheets/sheet22366.xml"/>
  <Override ContentType="application/vnd.openxmlformats-officedocument.spreadsheetml.worksheet+xml" PartName="/xl/worksheets/sheet22367.xml"/>
  <Override ContentType="application/vnd.openxmlformats-officedocument.spreadsheetml.worksheet+xml" PartName="/xl/worksheets/sheet22368.xml"/>
  <Override ContentType="application/vnd.openxmlformats-officedocument.spreadsheetml.worksheet+xml" PartName="/xl/worksheets/sheet22369.xml"/>
  <Override ContentType="application/vnd.openxmlformats-officedocument.spreadsheetml.worksheet+xml" PartName="/xl/worksheets/sheet22370.xml"/>
  <Override ContentType="application/vnd.openxmlformats-officedocument.spreadsheetml.worksheet+xml" PartName="/xl/worksheets/sheet22371.xml"/>
  <Override ContentType="application/vnd.openxmlformats-officedocument.spreadsheetml.worksheet+xml" PartName="/xl/worksheets/sheet22372.xml"/>
  <Override ContentType="application/vnd.openxmlformats-officedocument.spreadsheetml.worksheet+xml" PartName="/xl/worksheets/sheet22373.xml"/>
  <Override ContentType="application/vnd.openxmlformats-officedocument.spreadsheetml.worksheet+xml" PartName="/xl/worksheets/sheet22374.xml"/>
  <Override ContentType="application/vnd.openxmlformats-officedocument.spreadsheetml.worksheet+xml" PartName="/xl/worksheets/sheet22375.xml"/>
  <Override ContentType="application/vnd.openxmlformats-officedocument.spreadsheetml.worksheet+xml" PartName="/xl/worksheets/sheet22376.xml"/>
  <Override ContentType="application/vnd.openxmlformats-officedocument.spreadsheetml.worksheet+xml" PartName="/xl/worksheets/sheet22377.xml"/>
  <Override ContentType="application/vnd.openxmlformats-officedocument.spreadsheetml.worksheet+xml" PartName="/xl/worksheets/sheet22378.xml"/>
  <Override ContentType="application/vnd.openxmlformats-officedocument.spreadsheetml.worksheet+xml" PartName="/xl/worksheets/sheet22379.xml"/>
  <Override ContentType="application/vnd.openxmlformats-officedocument.spreadsheetml.worksheet+xml" PartName="/xl/worksheets/sheet22380.xml"/>
  <Override ContentType="application/vnd.openxmlformats-officedocument.spreadsheetml.worksheet+xml" PartName="/xl/worksheets/sheet22381.xml"/>
  <Override ContentType="application/vnd.openxmlformats-officedocument.spreadsheetml.worksheet+xml" PartName="/xl/worksheets/sheet22382.xml"/>
  <Override ContentType="application/vnd.openxmlformats-officedocument.spreadsheetml.worksheet+xml" PartName="/xl/worksheets/sheet22383.xml"/>
  <Override ContentType="application/vnd.openxmlformats-officedocument.spreadsheetml.worksheet+xml" PartName="/xl/worksheets/sheet22384.xml"/>
  <Override ContentType="application/vnd.openxmlformats-officedocument.spreadsheetml.worksheet+xml" PartName="/xl/worksheets/sheet22385.xml"/>
  <Override ContentType="application/vnd.openxmlformats-officedocument.spreadsheetml.worksheet+xml" PartName="/xl/worksheets/sheet22386.xml"/>
  <Override ContentType="application/vnd.openxmlformats-officedocument.spreadsheetml.worksheet+xml" PartName="/xl/worksheets/sheet22387.xml"/>
  <Override ContentType="application/vnd.openxmlformats-officedocument.spreadsheetml.worksheet+xml" PartName="/xl/worksheets/sheet22388.xml"/>
  <Override ContentType="application/vnd.openxmlformats-officedocument.spreadsheetml.worksheet+xml" PartName="/xl/worksheets/sheet22389.xml"/>
  <Override ContentType="application/vnd.openxmlformats-officedocument.spreadsheetml.worksheet+xml" PartName="/xl/worksheets/sheet22390.xml"/>
  <Override ContentType="application/vnd.openxmlformats-officedocument.spreadsheetml.worksheet+xml" PartName="/xl/worksheets/sheet22391.xml"/>
  <Override ContentType="application/vnd.openxmlformats-officedocument.spreadsheetml.worksheet+xml" PartName="/xl/worksheets/sheet22392.xml"/>
  <Override ContentType="application/vnd.openxmlformats-officedocument.spreadsheetml.worksheet+xml" PartName="/xl/worksheets/sheet22393.xml"/>
  <Override ContentType="application/vnd.openxmlformats-officedocument.spreadsheetml.worksheet+xml" PartName="/xl/worksheets/sheet22394.xml"/>
  <Override ContentType="application/vnd.openxmlformats-officedocument.spreadsheetml.worksheet+xml" PartName="/xl/worksheets/sheet22395.xml"/>
  <Override ContentType="application/vnd.openxmlformats-officedocument.spreadsheetml.worksheet+xml" PartName="/xl/worksheets/sheet22396.xml"/>
  <Override ContentType="application/vnd.openxmlformats-officedocument.spreadsheetml.worksheet+xml" PartName="/xl/worksheets/sheet22397.xml"/>
  <Override ContentType="application/vnd.openxmlformats-officedocument.spreadsheetml.worksheet+xml" PartName="/xl/worksheets/sheet22398.xml"/>
  <Override ContentType="application/vnd.openxmlformats-officedocument.spreadsheetml.worksheet+xml" PartName="/xl/worksheets/sheet22399.xml"/>
  <Override ContentType="application/vnd.openxmlformats-officedocument.spreadsheetml.worksheet+xml" PartName="/xl/worksheets/sheet22400.xml"/>
  <Override ContentType="application/vnd.openxmlformats-officedocument.spreadsheetml.worksheet+xml" PartName="/xl/worksheets/sheet22401.xml"/>
  <Override ContentType="application/vnd.openxmlformats-officedocument.spreadsheetml.worksheet+xml" PartName="/xl/worksheets/sheet22402.xml"/>
  <Override ContentType="application/vnd.openxmlformats-officedocument.spreadsheetml.worksheet+xml" PartName="/xl/worksheets/sheet22403.xml"/>
  <Override ContentType="application/vnd.openxmlformats-officedocument.spreadsheetml.worksheet+xml" PartName="/xl/worksheets/sheet22404.xml"/>
  <Override ContentType="application/vnd.openxmlformats-officedocument.spreadsheetml.worksheet+xml" PartName="/xl/worksheets/sheet22405.xml"/>
  <Override ContentType="application/vnd.openxmlformats-officedocument.spreadsheetml.worksheet+xml" PartName="/xl/worksheets/sheet22406.xml"/>
  <Override ContentType="application/vnd.openxmlformats-officedocument.spreadsheetml.worksheet+xml" PartName="/xl/worksheets/sheet22407.xml"/>
  <Override ContentType="application/vnd.openxmlformats-officedocument.spreadsheetml.worksheet+xml" PartName="/xl/worksheets/sheet22408.xml"/>
  <Override ContentType="application/vnd.openxmlformats-officedocument.spreadsheetml.worksheet+xml" PartName="/xl/worksheets/sheet22409.xml"/>
  <Override ContentType="application/vnd.openxmlformats-officedocument.spreadsheetml.worksheet+xml" PartName="/xl/worksheets/sheet22410.xml"/>
  <Override ContentType="application/vnd.openxmlformats-officedocument.spreadsheetml.worksheet+xml" PartName="/xl/worksheets/sheet22411.xml"/>
  <Override ContentType="application/vnd.openxmlformats-officedocument.spreadsheetml.worksheet+xml" PartName="/xl/worksheets/sheet22412.xml"/>
  <Override ContentType="application/vnd.openxmlformats-officedocument.spreadsheetml.worksheet+xml" PartName="/xl/worksheets/sheet22413.xml"/>
  <Override ContentType="application/vnd.openxmlformats-officedocument.spreadsheetml.worksheet+xml" PartName="/xl/worksheets/sheet22414.xml"/>
  <Override ContentType="application/vnd.openxmlformats-officedocument.spreadsheetml.worksheet+xml" PartName="/xl/worksheets/sheet22415.xml"/>
  <Override ContentType="application/vnd.openxmlformats-officedocument.spreadsheetml.worksheet+xml" PartName="/xl/worksheets/sheet22416.xml"/>
  <Override ContentType="application/vnd.openxmlformats-officedocument.spreadsheetml.worksheet+xml" PartName="/xl/worksheets/sheet22417.xml"/>
  <Override ContentType="application/vnd.openxmlformats-officedocument.spreadsheetml.worksheet+xml" PartName="/xl/worksheets/sheet22418.xml"/>
  <Override ContentType="application/vnd.openxmlformats-officedocument.spreadsheetml.worksheet+xml" PartName="/xl/worksheets/sheet22419.xml"/>
  <Override ContentType="application/vnd.openxmlformats-officedocument.spreadsheetml.worksheet+xml" PartName="/xl/worksheets/sheet22420.xml"/>
  <Override ContentType="application/vnd.openxmlformats-officedocument.spreadsheetml.worksheet+xml" PartName="/xl/worksheets/sheet22421.xml"/>
  <Override ContentType="application/vnd.openxmlformats-officedocument.spreadsheetml.worksheet+xml" PartName="/xl/worksheets/sheet22422.xml"/>
  <Override ContentType="application/vnd.openxmlformats-officedocument.spreadsheetml.worksheet+xml" PartName="/xl/worksheets/sheet22423.xml"/>
  <Override ContentType="application/vnd.openxmlformats-officedocument.spreadsheetml.worksheet+xml" PartName="/xl/worksheets/sheet22424.xml"/>
  <Override ContentType="application/vnd.openxmlformats-officedocument.spreadsheetml.worksheet+xml" PartName="/xl/worksheets/sheet22425.xml"/>
  <Override ContentType="application/vnd.openxmlformats-officedocument.spreadsheetml.worksheet+xml" PartName="/xl/worksheets/sheet22426.xml"/>
  <Override ContentType="application/vnd.openxmlformats-officedocument.spreadsheetml.worksheet+xml" PartName="/xl/worksheets/sheet22427.xml"/>
  <Override ContentType="application/vnd.openxmlformats-officedocument.spreadsheetml.worksheet+xml" PartName="/xl/worksheets/sheet22428.xml"/>
  <Override ContentType="application/vnd.openxmlformats-officedocument.spreadsheetml.worksheet+xml" PartName="/xl/worksheets/sheet22429.xml"/>
  <Override ContentType="application/vnd.openxmlformats-officedocument.spreadsheetml.worksheet+xml" PartName="/xl/worksheets/sheet22430.xml"/>
  <Override ContentType="application/vnd.openxmlformats-officedocument.spreadsheetml.worksheet+xml" PartName="/xl/worksheets/sheet22431.xml"/>
  <Override ContentType="application/vnd.openxmlformats-officedocument.spreadsheetml.worksheet+xml" PartName="/xl/worksheets/sheet22432.xml"/>
  <Override ContentType="application/vnd.openxmlformats-officedocument.spreadsheetml.worksheet+xml" PartName="/xl/worksheets/sheet22433.xml"/>
  <Override ContentType="application/vnd.openxmlformats-officedocument.spreadsheetml.worksheet+xml" PartName="/xl/worksheets/sheet22434.xml"/>
  <Override ContentType="application/vnd.openxmlformats-officedocument.spreadsheetml.worksheet+xml" PartName="/xl/worksheets/sheet22435.xml"/>
  <Override ContentType="application/vnd.openxmlformats-officedocument.spreadsheetml.worksheet+xml" PartName="/xl/worksheets/sheet22436.xml"/>
  <Override ContentType="application/vnd.openxmlformats-officedocument.spreadsheetml.worksheet+xml" PartName="/xl/worksheets/sheet22437.xml"/>
  <Override ContentType="application/vnd.openxmlformats-officedocument.spreadsheetml.worksheet+xml" PartName="/xl/worksheets/sheet22438.xml"/>
  <Override ContentType="application/vnd.openxmlformats-officedocument.spreadsheetml.worksheet+xml" PartName="/xl/worksheets/sheet22439.xml"/>
  <Override ContentType="application/vnd.openxmlformats-officedocument.spreadsheetml.worksheet+xml" PartName="/xl/worksheets/sheet22440.xml"/>
  <Override ContentType="application/vnd.openxmlformats-officedocument.spreadsheetml.worksheet+xml" PartName="/xl/worksheets/sheet22441.xml"/>
  <Override ContentType="application/vnd.openxmlformats-officedocument.spreadsheetml.worksheet+xml" PartName="/xl/worksheets/sheet22442.xml"/>
  <Override ContentType="application/vnd.openxmlformats-officedocument.spreadsheetml.worksheet+xml" PartName="/xl/worksheets/sheet22443.xml"/>
  <Override ContentType="application/vnd.openxmlformats-officedocument.spreadsheetml.worksheet+xml" PartName="/xl/worksheets/sheet22444.xml"/>
  <Override ContentType="application/vnd.openxmlformats-officedocument.spreadsheetml.worksheet+xml" PartName="/xl/worksheets/sheet22445.xml"/>
  <Override ContentType="application/vnd.openxmlformats-officedocument.spreadsheetml.worksheet+xml" PartName="/xl/worksheets/sheet22446.xml"/>
  <Override ContentType="application/vnd.openxmlformats-officedocument.spreadsheetml.worksheet+xml" PartName="/xl/worksheets/sheet22447.xml"/>
  <Override ContentType="application/vnd.openxmlformats-officedocument.spreadsheetml.worksheet+xml" PartName="/xl/worksheets/sheet22448.xml"/>
  <Override ContentType="application/vnd.openxmlformats-officedocument.spreadsheetml.worksheet+xml" PartName="/xl/worksheets/sheet22449.xml"/>
  <Override ContentType="application/vnd.openxmlformats-officedocument.spreadsheetml.worksheet+xml" PartName="/xl/worksheets/sheet22450.xml"/>
  <Override ContentType="application/vnd.openxmlformats-officedocument.spreadsheetml.worksheet+xml" PartName="/xl/worksheets/sheet22451.xml"/>
  <Override ContentType="application/vnd.openxmlformats-officedocument.spreadsheetml.worksheet+xml" PartName="/xl/worksheets/sheet22452.xml"/>
  <Override ContentType="application/vnd.openxmlformats-officedocument.spreadsheetml.worksheet+xml" PartName="/xl/worksheets/sheet22453.xml"/>
  <Override ContentType="application/vnd.openxmlformats-officedocument.spreadsheetml.worksheet+xml" PartName="/xl/worksheets/sheet22454.xml"/>
  <Override ContentType="application/vnd.openxmlformats-officedocument.spreadsheetml.worksheet+xml" PartName="/xl/worksheets/sheet22455.xml"/>
  <Override ContentType="application/vnd.openxmlformats-officedocument.spreadsheetml.worksheet+xml" PartName="/xl/worksheets/sheet22456.xml"/>
  <Override ContentType="application/vnd.openxmlformats-officedocument.spreadsheetml.worksheet+xml" PartName="/xl/worksheets/sheet22457.xml"/>
  <Override ContentType="application/vnd.openxmlformats-officedocument.spreadsheetml.worksheet+xml" PartName="/xl/worksheets/sheet22458.xml"/>
  <Override ContentType="application/vnd.openxmlformats-officedocument.spreadsheetml.worksheet+xml" PartName="/xl/worksheets/sheet22459.xml"/>
  <Override ContentType="application/vnd.openxmlformats-officedocument.spreadsheetml.worksheet+xml" PartName="/xl/worksheets/sheet22460.xml"/>
  <Override ContentType="application/vnd.openxmlformats-officedocument.spreadsheetml.worksheet+xml" PartName="/xl/worksheets/sheet22461.xml"/>
  <Override ContentType="application/vnd.openxmlformats-officedocument.spreadsheetml.worksheet+xml" PartName="/xl/worksheets/sheet22462.xml"/>
  <Override ContentType="application/vnd.openxmlformats-officedocument.spreadsheetml.worksheet+xml" PartName="/xl/worksheets/sheet22463.xml"/>
  <Override ContentType="application/vnd.openxmlformats-officedocument.spreadsheetml.worksheet+xml" PartName="/xl/worksheets/sheet22464.xml"/>
  <Override ContentType="application/vnd.openxmlformats-officedocument.spreadsheetml.worksheet+xml" PartName="/xl/worksheets/sheet22465.xml"/>
  <Override ContentType="application/vnd.openxmlformats-officedocument.spreadsheetml.worksheet+xml" PartName="/xl/worksheets/sheet22466.xml"/>
  <Override ContentType="application/vnd.openxmlformats-officedocument.spreadsheetml.worksheet+xml" PartName="/xl/worksheets/sheet22467.xml"/>
  <Override ContentType="application/vnd.openxmlformats-officedocument.spreadsheetml.worksheet+xml" PartName="/xl/worksheets/sheet22468.xml"/>
  <Override ContentType="application/vnd.openxmlformats-officedocument.spreadsheetml.worksheet+xml" PartName="/xl/worksheets/sheet22469.xml"/>
  <Override ContentType="application/vnd.openxmlformats-officedocument.spreadsheetml.worksheet+xml" PartName="/xl/worksheets/sheet22470.xml"/>
  <Override ContentType="application/vnd.openxmlformats-officedocument.spreadsheetml.worksheet+xml" PartName="/xl/worksheets/sheet22471.xml"/>
  <Override ContentType="application/vnd.openxmlformats-officedocument.spreadsheetml.worksheet+xml" PartName="/xl/worksheets/sheet22472.xml"/>
  <Override ContentType="application/vnd.openxmlformats-officedocument.spreadsheetml.worksheet+xml" PartName="/xl/worksheets/sheet22473.xml"/>
  <Override ContentType="application/vnd.openxmlformats-officedocument.spreadsheetml.worksheet+xml" PartName="/xl/worksheets/sheet22474.xml"/>
  <Override ContentType="application/vnd.openxmlformats-officedocument.spreadsheetml.worksheet+xml" PartName="/xl/worksheets/sheet22475.xml"/>
  <Override ContentType="application/vnd.openxmlformats-officedocument.spreadsheetml.worksheet+xml" PartName="/xl/worksheets/sheet22476.xml"/>
  <Override ContentType="application/vnd.openxmlformats-officedocument.spreadsheetml.worksheet+xml" PartName="/xl/worksheets/sheet22477.xml"/>
  <Override ContentType="application/vnd.openxmlformats-officedocument.spreadsheetml.worksheet+xml" PartName="/xl/worksheets/sheet22478.xml"/>
  <Override ContentType="application/vnd.openxmlformats-officedocument.spreadsheetml.worksheet+xml" PartName="/xl/worksheets/sheet22479.xml"/>
  <Override ContentType="application/vnd.openxmlformats-officedocument.spreadsheetml.worksheet+xml" PartName="/xl/worksheets/sheet22480.xml"/>
  <Override ContentType="application/vnd.openxmlformats-officedocument.spreadsheetml.worksheet+xml" PartName="/xl/worksheets/sheet22481.xml"/>
  <Override ContentType="application/vnd.openxmlformats-officedocument.spreadsheetml.worksheet+xml" PartName="/xl/worksheets/sheet22482.xml"/>
  <Override ContentType="application/vnd.openxmlformats-officedocument.spreadsheetml.worksheet+xml" PartName="/xl/worksheets/sheet22483.xml"/>
  <Override ContentType="application/vnd.openxmlformats-officedocument.spreadsheetml.worksheet+xml" PartName="/xl/worksheets/sheet22484.xml"/>
  <Override ContentType="application/vnd.openxmlformats-officedocument.spreadsheetml.worksheet+xml" PartName="/xl/worksheets/sheet22485.xml"/>
  <Override ContentType="application/vnd.openxmlformats-officedocument.spreadsheetml.worksheet+xml" PartName="/xl/worksheets/sheet22486.xml"/>
  <Override ContentType="application/vnd.openxmlformats-officedocument.spreadsheetml.worksheet+xml" PartName="/xl/worksheets/sheet22487.xml"/>
  <Override ContentType="application/vnd.openxmlformats-officedocument.spreadsheetml.worksheet+xml" PartName="/xl/worksheets/sheet22488.xml"/>
  <Override ContentType="application/vnd.openxmlformats-officedocument.spreadsheetml.worksheet+xml" PartName="/xl/worksheets/sheet22489.xml"/>
  <Override ContentType="application/vnd.openxmlformats-officedocument.spreadsheetml.worksheet+xml" PartName="/xl/worksheets/sheet22490.xml"/>
  <Override ContentType="application/vnd.openxmlformats-officedocument.spreadsheetml.worksheet+xml" PartName="/xl/worksheets/sheet22491.xml"/>
  <Override ContentType="application/vnd.openxmlformats-officedocument.spreadsheetml.worksheet+xml" PartName="/xl/worksheets/sheet22492.xml"/>
  <Override ContentType="application/vnd.openxmlformats-officedocument.spreadsheetml.worksheet+xml" PartName="/xl/worksheets/sheet22493.xml"/>
  <Override ContentType="application/vnd.openxmlformats-officedocument.spreadsheetml.worksheet+xml" PartName="/xl/worksheets/sheet22494.xml"/>
  <Override ContentType="application/vnd.openxmlformats-officedocument.spreadsheetml.worksheet+xml" PartName="/xl/worksheets/sheet22495.xml"/>
  <Override ContentType="application/vnd.openxmlformats-officedocument.spreadsheetml.worksheet+xml" PartName="/xl/worksheets/sheet22496.xml"/>
  <Override ContentType="application/vnd.openxmlformats-officedocument.spreadsheetml.worksheet+xml" PartName="/xl/worksheets/sheet22497.xml"/>
  <Override ContentType="application/vnd.openxmlformats-officedocument.spreadsheetml.worksheet+xml" PartName="/xl/worksheets/sheet22498.xml"/>
  <Override ContentType="application/vnd.openxmlformats-officedocument.spreadsheetml.worksheet+xml" PartName="/xl/worksheets/sheet22499.xml"/>
  <Override ContentType="application/vnd.openxmlformats-officedocument.spreadsheetml.worksheet+xml" PartName="/xl/worksheets/sheet22500.xml"/>
  <Override ContentType="application/vnd.openxmlformats-officedocument.spreadsheetml.worksheet+xml" PartName="/xl/worksheets/sheet22501.xml"/>
  <Override ContentType="application/vnd.openxmlformats-officedocument.spreadsheetml.worksheet+xml" PartName="/xl/worksheets/sheet22502.xml"/>
  <Override ContentType="application/vnd.openxmlformats-officedocument.spreadsheetml.worksheet+xml" PartName="/xl/worksheets/sheet22503.xml"/>
  <Override ContentType="application/vnd.openxmlformats-officedocument.spreadsheetml.worksheet+xml" PartName="/xl/worksheets/sheet22504.xml"/>
  <Override ContentType="application/vnd.openxmlformats-officedocument.spreadsheetml.worksheet+xml" PartName="/xl/worksheets/sheet22505.xml"/>
  <Override ContentType="application/vnd.openxmlformats-officedocument.spreadsheetml.worksheet+xml" PartName="/xl/worksheets/sheet22506.xml"/>
  <Override ContentType="application/vnd.openxmlformats-officedocument.spreadsheetml.worksheet+xml" PartName="/xl/worksheets/sheet22507.xml"/>
  <Override ContentType="application/vnd.openxmlformats-officedocument.spreadsheetml.worksheet+xml" PartName="/xl/worksheets/sheet22508.xml"/>
  <Override ContentType="application/vnd.openxmlformats-officedocument.spreadsheetml.worksheet+xml" PartName="/xl/worksheets/sheet22509.xml"/>
  <Override ContentType="application/vnd.openxmlformats-officedocument.spreadsheetml.worksheet+xml" PartName="/xl/worksheets/sheet22510.xml"/>
  <Override ContentType="application/vnd.openxmlformats-officedocument.spreadsheetml.worksheet+xml" PartName="/xl/worksheets/sheet22511.xml"/>
  <Override ContentType="application/vnd.openxmlformats-officedocument.spreadsheetml.worksheet+xml" PartName="/xl/worksheets/sheet22512.xml"/>
  <Override ContentType="application/vnd.openxmlformats-officedocument.spreadsheetml.worksheet+xml" PartName="/xl/worksheets/sheet22513.xml"/>
  <Override ContentType="application/vnd.openxmlformats-officedocument.spreadsheetml.worksheet+xml" PartName="/xl/worksheets/sheet22514.xml"/>
  <Override ContentType="application/vnd.openxmlformats-officedocument.spreadsheetml.worksheet+xml" PartName="/xl/worksheets/sheet22515.xml"/>
  <Override ContentType="application/vnd.openxmlformats-officedocument.spreadsheetml.worksheet+xml" PartName="/xl/worksheets/sheet22516.xml"/>
  <Override ContentType="application/vnd.openxmlformats-officedocument.spreadsheetml.worksheet+xml" PartName="/xl/worksheets/sheet22517.xml"/>
  <Override ContentType="application/vnd.openxmlformats-officedocument.spreadsheetml.worksheet+xml" PartName="/xl/worksheets/sheet22518.xml"/>
  <Override ContentType="application/vnd.openxmlformats-officedocument.spreadsheetml.worksheet+xml" PartName="/xl/worksheets/sheet22519.xml"/>
  <Override ContentType="application/vnd.openxmlformats-officedocument.spreadsheetml.worksheet+xml" PartName="/xl/worksheets/sheet22520.xml"/>
  <Override ContentType="application/vnd.openxmlformats-officedocument.spreadsheetml.worksheet+xml" PartName="/xl/worksheets/sheet22521.xml"/>
  <Override ContentType="application/vnd.openxmlformats-officedocument.spreadsheetml.worksheet+xml" PartName="/xl/worksheets/sheet22522.xml"/>
  <Override ContentType="application/vnd.openxmlformats-officedocument.spreadsheetml.worksheet+xml" PartName="/xl/worksheets/sheet22523.xml"/>
  <Override ContentType="application/vnd.openxmlformats-officedocument.spreadsheetml.worksheet+xml" PartName="/xl/worksheets/sheet22524.xml"/>
  <Override ContentType="application/vnd.openxmlformats-officedocument.spreadsheetml.worksheet+xml" PartName="/xl/worksheets/sheet22525.xml"/>
  <Override ContentType="application/vnd.openxmlformats-officedocument.spreadsheetml.worksheet+xml" PartName="/xl/worksheets/sheet22526.xml"/>
  <Override ContentType="application/vnd.openxmlformats-officedocument.spreadsheetml.worksheet+xml" PartName="/xl/worksheets/sheet22527.xml"/>
  <Override ContentType="application/vnd.openxmlformats-officedocument.spreadsheetml.worksheet+xml" PartName="/xl/worksheets/sheet22528.xml"/>
  <Override ContentType="application/vnd.openxmlformats-officedocument.spreadsheetml.worksheet+xml" PartName="/xl/worksheets/sheet22529.xml"/>
  <Override ContentType="application/vnd.openxmlformats-officedocument.spreadsheetml.worksheet+xml" PartName="/xl/worksheets/sheet22530.xml"/>
  <Override ContentType="application/vnd.openxmlformats-officedocument.spreadsheetml.worksheet+xml" PartName="/xl/worksheets/sheet22531.xml"/>
  <Override ContentType="application/vnd.openxmlformats-officedocument.spreadsheetml.worksheet+xml" PartName="/xl/worksheets/sheet22532.xml"/>
  <Override ContentType="application/vnd.openxmlformats-officedocument.spreadsheetml.worksheet+xml" PartName="/xl/worksheets/sheet22533.xml"/>
  <Override ContentType="application/vnd.openxmlformats-officedocument.spreadsheetml.worksheet+xml" PartName="/xl/worksheets/sheet22534.xml"/>
  <Override ContentType="application/vnd.openxmlformats-officedocument.spreadsheetml.worksheet+xml" PartName="/xl/worksheets/sheet22535.xml"/>
  <Override ContentType="application/vnd.openxmlformats-officedocument.spreadsheetml.worksheet+xml" PartName="/xl/worksheets/sheet22536.xml"/>
  <Override ContentType="application/vnd.openxmlformats-officedocument.spreadsheetml.worksheet+xml" PartName="/xl/worksheets/sheet22537.xml"/>
  <Override ContentType="application/vnd.openxmlformats-officedocument.spreadsheetml.worksheet+xml" PartName="/xl/worksheets/sheet22538.xml"/>
  <Override ContentType="application/vnd.openxmlformats-officedocument.spreadsheetml.worksheet+xml" PartName="/xl/worksheets/sheet22539.xml"/>
  <Override ContentType="application/vnd.openxmlformats-officedocument.spreadsheetml.worksheet+xml" PartName="/xl/worksheets/sheet22540.xml"/>
  <Override ContentType="application/vnd.openxmlformats-officedocument.spreadsheetml.worksheet+xml" PartName="/xl/worksheets/sheet22541.xml"/>
  <Override ContentType="application/vnd.openxmlformats-officedocument.spreadsheetml.worksheet+xml" PartName="/xl/worksheets/sheet22542.xml"/>
  <Override ContentType="application/vnd.openxmlformats-officedocument.spreadsheetml.worksheet+xml" PartName="/xl/worksheets/sheet22543.xml"/>
  <Override ContentType="application/vnd.openxmlformats-officedocument.spreadsheetml.worksheet+xml" PartName="/xl/worksheets/sheet22544.xml"/>
  <Override ContentType="application/vnd.openxmlformats-officedocument.spreadsheetml.worksheet+xml" PartName="/xl/worksheets/sheet22545.xml"/>
  <Override ContentType="application/vnd.openxmlformats-officedocument.spreadsheetml.worksheet+xml" PartName="/xl/worksheets/sheet22546.xml"/>
  <Override ContentType="application/vnd.openxmlformats-officedocument.spreadsheetml.worksheet+xml" PartName="/xl/worksheets/sheet22547.xml"/>
  <Override ContentType="application/vnd.openxmlformats-officedocument.spreadsheetml.worksheet+xml" PartName="/xl/worksheets/sheet22548.xml"/>
  <Override ContentType="application/vnd.openxmlformats-officedocument.spreadsheetml.worksheet+xml" PartName="/xl/worksheets/sheet22549.xml"/>
  <Override ContentType="application/vnd.openxmlformats-officedocument.spreadsheetml.worksheet+xml" PartName="/xl/worksheets/sheet22550.xml"/>
  <Override ContentType="application/vnd.openxmlformats-officedocument.spreadsheetml.worksheet+xml" PartName="/xl/worksheets/sheet22551.xml"/>
  <Override ContentType="application/vnd.openxmlformats-officedocument.spreadsheetml.worksheet+xml" PartName="/xl/worksheets/sheet22552.xml"/>
  <Override ContentType="application/vnd.openxmlformats-officedocument.spreadsheetml.worksheet+xml" PartName="/xl/worksheets/sheet22553.xml"/>
  <Override ContentType="application/vnd.openxmlformats-officedocument.spreadsheetml.worksheet+xml" PartName="/xl/worksheets/sheet22554.xml"/>
  <Override ContentType="application/vnd.openxmlformats-officedocument.spreadsheetml.worksheet+xml" PartName="/xl/worksheets/sheet22555.xml"/>
  <Override ContentType="application/vnd.openxmlformats-officedocument.spreadsheetml.worksheet+xml" PartName="/xl/worksheets/sheet22556.xml"/>
  <Override ContentType="application/vnd.openxmlformats-officedocument.spreadsheetml.worksheet+xml" PartName="/xl/worksheets/sheet22557.xml"/>
  <Override ContentType="application/vnd.openxmlformats-officedocument.spreadsheetml.worksheet+xml" PartName="/xl/worksheets/sheet22558.xml"/>
  <Override ContentType="application/vnd.openxmlformats-officedocument.spreadsheetml.worksheet+xml" PartName="/xl/worksheets/sheet22559.xml"/>
  <Override ContentType="application/vnd.openxmlformats-officedocument.spreadsheetml.worksheet+xml" PartName="/xl/worksheets/sheet22560.xml"/>
  <Override ContentType="application/vnd.openxmlformats-officedocument.spreadsheetml.worksheet+xml" PartName="/xl/worksheets/sheet22561.xml"/>
  <Override ContentType="application/vnd.openxmlformats-officedocument.spreadsheetml.worksheet+xml" PartName="/xl/worksheets/sheet22562.xml"/>
  <Override ContentType="application/vnd.openxmlformats-officedocument.spreadsheetml.worksheet+xml" PartName="/xl/worksheets/sheet22563.xml"/>
  <Override ContentType="application/vnd.openxmlformats-officedocument.spreadsheetml.worksheet+xml" PartName="/xl/worksheets/sheet22564.xml"/>
  <Override ContentType="application/vnd.openxmlformats-officedocument.spreadsheetml.worksheet+xml" PartName="/xl/worksheets/sheet22565.xml"/>
  <Override ContentType="application/vnd.openxmlformats-officedocument.spreadsheetml.worksheet+xml" PartName="/xl/worksheets/sheet22566.xml"/>
  <Override ContentType="application/vnd.openxmlformats-officedocument.spreadsheetml.worksheet+xml" PartName="/xl/worksheets/sheet22567.xml"/>
  <Override ContentType="application/vnd.openxmlformats-officedocument.spreadsheetml.worksheet+xml" PartName="/xl/worksheets/sheet22568.xml"/>
  <Override ContentType="application/vnd.openxmlformats-officedocument.spreadsheetml.worksheet+xml" PartName="/xl/worksheets/sheet22569.xml"/>
  <Override ContentType="application/vnd.openxmlformats-officedocument.spreadsheetml.worksheet+xml" PartName="/xl/worksheets/sheet22570.xml"/>
  <Override ContentType="application/vnd.openxmlformats-officedocument.spreadsheetml.worksheet+xml" PartName="/xl/worksheets/sheet22571.xml"/>
  <Override ContentType="application/vnd.openxmlformats-officedocument.spreadsheetml.worksheet+xml" PartName="/xl/worksheets/sheet22572.xml"/>
  <Override ContentType="application/vnd.openxmlformats-officedocument.spreadsheetml.worksheet+xml" PartName="/xl/worksheets/sheet22573.xml"/>
  <Override ContentType="application/vnd.openxmlformats-officedocument.spreadsheetml.worksheet+xml" PartName="/xl/worksheets/sheet22574.xml"/>
  <Override ContentType="application/vnd.openxmlformats-officedocument.spreadsheetml.worksheet+xml" PartName="/xl/worksheets/sheet22575.xml"/>
  <Override ContentType="application/vnd.openxmlformats-officedocument.spreadsheetml.worksheet+xml" PartName="/xl/worksheets/sheet22576.xml"/>
  <Override ContentType="application/vnd.openxmlformats-officedocument.spreadsheetml.worksheet+xml" PartName="/xl/worksheets/sheet22577.xml"/>
  <Override ContentType="application/vnd.openxmlformats-officedocument.spreadsheetml.worksheet+xml" PartName="/xl/worksheets/sheet22578.xml"/>
  <Override ContentType="application/vnd.openxmlformats-officedocument.spreadsheetml.worksheet+xml" PartName="/xl/worksheets/sheet22579.xml"/>
  <Override ContentType="application/vnd.openxmlformats-officedocument.spreadsheetml.worksheet+xml" PartName="/xl/worksheets/sheet22580.xml"/>
  <Override ContentType="application/vnd.openxmlformats-officedocument.spreadsheetml.worksheet+xml" PartName="/xl/worksheets/sheet22581.xml"/>
  <Override ContentType="application/vnd.openxmlformats-officedocument.spreadsheetml.worksheet+xml" PartName="/xl/worksheets/sheet22582.xml"/>
  <Override ContentType="application/vnd.openxmlformats-officedocument.spreadsheetml.worksheet+xml" PartName="/xl/worksheets/sheet22583.xml"/>
  <Override ContentType="application/vnd.openxmlformats-officedocument.spreadsheetml.worksheet+xml" PartName="/xl/worksheets/sheet22584.xml"/>
  <Override ContentType="application/vnd.openxmlformats-officedocument.spreadsheetml.worksheet+xml" PartName="/xl/worksheets/sheet22585.xml"/>
  <Override ContentType="application/vnd.openxmlformats-officedocument.spreadsheetml.worksheet+xml" PartName="/xl/worksheets/sheet22586.xml"/>
  <Override ContentType="application/vnd.openxmlformats-officedocument.spreadsheetml.worksheet+xml" PartName="/xl/worksheets/sheet22587.xml"/>
  <Override ContentType="application/vnd.openxmlformats-officedocument.spreadsheetml.worksheet+xml" PartName="/xl/worksheets/sheet22588.xml"/>
  <Override ContentType="application/vnd.openxmlformats-officedocument.spreadsheetml.worksheet+xml" PartName="/xl/worksheets/sheet22589.xml"/>
  <Override ContentType="application/vnd.openxmlformats-officedocument.spreadsheetml.worksheet+xml" PartName="/xl/worksheets/sheet22590.xml"/>
  <Override ContentType="application/vnd.openxmlformats-officedocument.spreadsheetml.worksheet+xml" PartName="/xl/worksheets/sheet22591.xml"/>
  <Override ContentType="application/vnd.openxmlformats-officedocument.spreadsheetml.worksheet+xml" PartName="/xl/worksheets/sheet22592.xml"/>
  <Override ContentType="application/vnd.openxmlformats-officedocument.spreadsheetml.worksheet+xml" PartName="/xl/worksheets/sheet22593.xml"/>
  <Override ContentType="application/vnd.openxmlformats-officedocument.spreadsheetml.worksheet+xml" PartName="/xl/worksheets/sheet22594.xml"/>
  <Override ContentType="application/vnd.openxmlformats-officedocument.spreadsheetml.worksheet+xml" PartName="/xl/worksheets/sheet22595.xml"/>
  <Override ContentType="application/vnd.openxmlformats-officedocument.spreadsheetml.worksheet+xml" PartName="/xl/worksheets/sheet22596.xml"/>
  <Override ContentType="application/vnd.openxmlformats-officedocument.spreadsheetml.worksheet+xml" PartName="/xl/worksheets/sheet22597.xml"/>
  <Override ContentType="application/vnd.openxmlformats-officedocument.spreadsheetml.worksheet+xml" PartName="/xl/worksheets/sheet22598.xml"/>
  <Override ContentType="application/vnd.openxmlformats-officedocument.spreadsheetml.worksheet+xml" PartName="/xl/worksheets/sheet22599.xml"/>
  <Override ContentType="application/vnd.openxmlformats-officedocument.spreadsheetml.worksheet+xml" PartName="/xl/worksheets/sheet22600.xml"/>
  <Override ContentType="application/vnd.openxmlformats-officedocument.spreadsheetml.worksheet+xml" PartName="/xl/worksheets/sheet22601.xml"/>
  <Override ContentType="application/vnd.openxmlformats-officedocument.spreadsheetml.worksheet+xml" PartName="/xl/worksheets/sheet22602.xml"/>
  <Override ContentType="application/vnd.openxmlformats-officedocument.spreadsheetml.worksheet+xml" PartName="/xl/worksheets/sheet22603.xml"/>
  <Override ContentType="application/vnd.openxmlformats-officedocument.spreadsheetml.worksheet+xml" PartName="/xl/worksheets/sheet22604.xml"/>
  <Override ContentType="application/vnd.openxmlformats-officedocument.spreadsheetml.worksheet+xml" PartName="/xl/worksheets/sheet22605.xml"/>
  <Override ContentType="application/vnd.openxmlformats-officedocument.spreadsheetml.worksheet+xml" PartName="/xl/worksheets/sheet22606.xml"/>
  <Override ContentType="application/vnd.openxmlformats-officedocument.spreadsheetml.worksheet+xml" PartName="/xl/worksheets/sheet22607.xml"/>
  <Override ContentType="application/vnd.openxmlformats-officedocument.spreadsheetml.worksheet+xml" PartName="/xl/worksheets/sheet22608.xml"/>
  <Override ContentType="application/vnd.openxmlformats-officedocument.spreadsheetml.worksheet+xml" PartName="/xl/worksheets/sheet22609.xml"/>
  <Override ContentType="application/vnd.openxmlformats-officedocument.spreadsheetml.worksheet+xml" PartName="/xl/worksheets/sheet22610.xml"/>
  <Override ContentType="application/vnd.openxmlformats-officedocument.spreadsheetml.worksheet+xml" PartName="/xl/worksheets/sheet22611.xml"/>
  <Override ContentType="application/vnd.openxmlformats-officedocument.spreadsheetml.worksheet+xml" PartName="/xl/worksheets/sheet22612.xml"/>
  <Override ContentType="application/vnd.openxmlformats-officedocument.spreadsheetml.worksheet+xml" PartName="/xl/worksheets/sheet22613.xml"/>
  <Override ContentType="application/vnd.openxmlformats-officedocument.spreadsheetml.worksheet+xml" PartName="/xl/worksheets/sheet22614.xml"/>
  <Override ContentType="application/vnd.openxmlformats-officedocument.spreadsheetml.worksheet+xml" PartName="/xl/worksheets/sheet22615.xml"/>
  <Override ContentType="application/vnd.openxmlformats-officedocument.spreadsheetml.worksheet+xml" PartName="/xl/worksheets/sheet22616.xml"/>
  <Override ContentType="application/vnd.openxmlformats-officedocument.spreadsheetml.worksheet+xml" PartName="/xl/worksheets/sheet22617.xml"/>
  <Override ContentType="application/vnd.openxmlformats-officedocument.spreadsheetml.worksheet+xml" PartName="/xl/worksheets/sheet22618.xml"/>
  <Override ContentType="application/vnd.openxmlformats-officedocument.spreadsheetml.worksheet+xml" PartName="/xl/worksheets/sheet22619.xml"/>
  <Override ContentType="application/vnd.openxmlformats-officedocument.spreadsheetml.worksheet+xml" PartName="/xl/worksheets/sheet22620.xml"/>
  <Override ContentType="application/vnd.openxmlformats-officedocument.spreadsheetml.worksheet+xml" PartName="/xl/worksheets/sheet22621.xml"/>
  <Override ContentType="application/vnd.openxmlformats-officedocument.spreadsheetml.worksheet+xml" PartName="/xl/worksheets/sheet22622.xml"/>
  <Override ContentType="application/vnd.openxmlformats-officedocument.spreadsheetml.worksheet+xml" PartName="/xl/worksheets/sheet22623.xml"/>
  <Override ContentType="application/vnd.openxmlformats-officedocument.spreadsheetml.worksheet+xml" PartName="/xl/worksheets/sheet22624.xml"/>
  <Override ContentType="application/vnd.openxmlformats-officedocument.spreadsheetml.worksheet+xml" PartName="/xl/worksheets/sheet22625.xml"/>
  <Override ContentType="application/vnd.openxmlformats-officedocument.spreadsheetml.worksheet+xml" PartName="/xl/worksheets/sheet22626.xml"/>
  <Override ContentType="application/vnd.openxmlformats-officedocument.spreadsheetml.worksheet+xml" PartName="/xl/worksheets/sheet22627.xml"/>
  <Override ContentType="application/vnd.openxmlformats-officedocument.spreadsheetml.worksheet+xml" PartName="/xl/worksheets/sheet22628.xml"/>
  <Override ContentType="application/vnd.openxmlformats-officedocument.spreadsheetml.worksheet+xml" PartName="/xl/worksheets/sheet22629.xml"/>
  <Override ContentType="application/vnd.openxmlformats-officedocument.spreadsheetml.worksheet+xml" PartName="/xl/worksheets/sheet22630.xml"/>
  <Override ContentType="application/vnd.openxmlformats-officedocument.spreadsheetml.worksheet+xml" PartName="/xl/worksheets/sheet22631.xml"/>
  <Override ContentType="application/vnd.openxmlformats-officedocument.spreadsheetml.worksheet+xml" PartName="/xl/worksheets/sheet22632.xml"/>
  <Override ContentType="application/vnd.openxmlformats-officedocument.spreadsheetml.worksheet+xml" PartName="/xl/worksheets/sheet22633.xml"/>
  <Override ContentType="application/vnd.openxmlformats-officedocument.spreadsheetml.worksheet+xml" PartName="/xl/worksheets/sheet22634.xml"/>
  <Override ContentType="application/vnd.openxmlformats-officedocument.spreadsheetml.worksheet+xml" PartName="/xl/worksheets/sheet22635.xml"/>
  <Override ContentType="application/vnd.openxmlformats-officedocument.spreadsheetml.worksheet+xml" PartName="/xl/worksheets/sheet22636.xml"/>
  <Override ContentType="application/vnd.openxmlformats-officedocument.spreadsheetml.worksheet+xml" PartName="/xl/worksheets/sheet22637.xml"/>
  <Override ContentType="application/vnd.openxmlformats-officedocument.spreadsheetml.worksheet+xml" PartName="/xl/worksheets/sheet22638.xml"/>
  <Override ContentType="application/vnd.openxmlformats-officedocument.spreadsheetml.worksheet+xml" PartName="/xl/worksheets/sheet22639.xml"/>
  <Override ContentType="application/vnd.openxmlformats-officedocument.spreadsheetml.worksheet+xml" PartName="/xl/worksheets/sheet22640.xml"/>
  <Override ContentType="application/vnd.openxmlformats-officedocument.spreadsheetml.worksheet+xml" PartName="/xl/worksheets/sheet22641.xml"/>
  <Override ContentType="application/vnd.openxmlformats-officedocument.spreadsheetml.worksheet+xml" PartName="/xl/worksheets/sheet22642.xml"/>
  <Override ContentType="application/vnd.openxmlformats-officedocument.spreadsheetml.worksheet+xml" PartName="/xl/worksheets/sheet22643.xml"/>
  <Override ContentType="application/vnd.openxmlformats-officedocument.spreadsheetml.worksheet+xml" PartName="/xl/worksheets/sheet22644.xml"/>
  <Override ContentType="application/vnd.openxmlformats-officedocument.spreadsheetml.worksheet+xml" PartName="/xl/worksheets/sheet22645.xml"/>
  <Override ContentType="application/vnd.openxmlformats-officedocument.spreadsheetml.worksheet+xml" PartName="/xl/worksheets/sheet22646.xml"/>
  <Override ContentType="application/vnd.openxmlformats-officedocument.spreadsheetml.worksheet+xml" PartName="/xl/worksheets/sheet22647.xml"/>
  <Override ContentType="application/vnd.openxmlformats-officedocument.spreadsheetml.worksheet+xml" PartName="/xl/worksheets/sheet22648.xml"/>
  <Override ContentType="application/vnd.openxmlformats-officedocument.spreadsheetml.worksheet+xml" PartName="/xl/worksheets/sheet22649.xml"/>
  <Override ContentType="application/vnd.openxmlformats-officedocument.spreadsheetml.worksheet+xml" PartName="/xl/worksheets/sheet22650.xml"/>
  <Override ContentType="application/vnd.openxmlformats-officedocument.spreadsheetml.worksheet+xml" PartName="/xl/worksheets/sheet22651.xml"/>
  <Override ContentType="application/vnd.openxmlformats-officedocument.spreadsheetml.worksheet+xml" PartName="/xl/worksheets/sheet22652.xml"/>
  <Override ContentType="application/vnd.openxmlformats-officedocument.spreadsheetml.worksheet+xml" PartName="/xl/worksheets/sheet22653.xml"/>
  <Override ContentType="application/vnd.openxmlformats-officedocument.spreadsheetml.worksheet+xml" PartName="/xl/worksheets/sheet22654.xml"/>
  <Override ContentType="application/vnd.openxmlformats-officedocument.spreadsheetml.worksheet+xml" PartName="/xl/worksheets/sheet22655.xml"/>
  <Override ContentType="application/vnd.openxmlformats-officedocument.spreadsheetml.worksheet+xml" PartName="/xl/worksheets/sheet22656.xml"/>
  <Override ContentType="application/vnd.openxmlformats-officedocument.spreadsheetml.worksheet+xml" PartName="/xl/worksheets/sheet22657.xml"/>
  <Override ContentType="application/vnd.openxmlformats-officedocument.spreadsheetml.worksheet+xml" PartName="/xl/worksheets/sheet22658.xml"/>
  <Override ContentType="application/vnd.openxmlformats-officedocument.spreadsheetml.worksheet+xml" PartName="/xl/worksheets/sheet22659.xml"/>
  <Override ContentType="application/vnd.openxmlformats-officedocument.spreadsheetml.worksheet+xml" PartName="/xl/worksheets/sheet22660.xml"/>
  <Override ContentType="application/vnd.openxmlformats-officedocument.spreadsheetml.worksheet+xml" PartName="/xl/worksheets/sheet22661.xml"/>
  <Override ContentType="application/vnd.openxmlformats-officedocument.spreadsheetml.worksheet+xml" PartName="/xl/worksheets/sheet22662.xml"/>
  <Override ContentType="application/vnd.openxmlformats-officedocument.spreadsheetml.worksheet+xml" PartName="/xl/worksheets/sheet22663.xml"/>
  <Override ContentType="application/vnd.openxmlformats-officedocument.spreadsheetml.worksheet+xml" PartName="/xl/worksheets/sheet22664.xml"/>
  <Override ContentType="application/vnd.openxmlformats-officedocument.spreadsheetml.worksheet+xml" PartName="/xl/worksheets/sheet22665.xml"/>
  <Override ContentType="application/vnd.openxmlformats-officedocument.spreadsheetml.worksheet+xml" PartName="/xl/worksheets/sheet22666.xml"/>
  <Override ContentType="application/vnd.openxmlformats-officedocument.spreadsheetml.worksheet+xml" PartName="/xl/worksheets/sheet22667.xml"/>
  <Override ContentType="application/vnd.openxmlformats-officedocument.spreadsheetml.worksheet+xml" PartName="/xl/worksheets/sheet22668.xml"/>
  <Override ContentType="application/vnd.openxmlformats-officedocument.spreadsheetml.worksheet+xml" PartName="/xl/worksheets/sheet22669.xml"/>
  <Override ContentType="application/vnd.openxmlformats-officedocument.spreadsheetml.worksheet+xml" PartName="/xl/worksheets/sheet22670.xml"/>
  <Override ContentType="application/vnd.openxmlformats-officedocument.spreadsheetml.worksheet+xml" PartName="/xl/worksheets/sheet22671.xml"/>
  <Override ContentType="application/vnd.openxmlformats-officedocument.spreadsheetml.worksheet+xml" PartName="/xl/worksheets/sheet22672.xml"/>
  <Override ContentType="application/vnd.openxmlformats-officedocument.spreadsheetml.worksheet+xml" PartName="/xl/worksheets/sheet22673.xml"/>
  <Override ContentType="application/vnd.openxmlformats-officedocument.spreadsheetml.worksheet+xml" PartName="/xl/worksheets/sheet22674.xml"/>
  <Override ContentType="application/vnd.openxmlformats-officedocument.spreadsheetml.worksheet+xml" PartName="/xl/worksheets/sheet22675.xml"/>
  <Override ContentType="application/vnd.openxmlformats-officedocument.spreadsheetml.worksheet+xml" PartName="/xl/worksheets/sheet22676.xml"/>
  <Override ContentType="application/vnd.openxmlformats-officedocument.spreadsheetml.worksheet+xml" PartName="/xl/worksheets/sheet22677.xml"/>
  <Override ContentType="application/vnd.openxmlformats-officedocument.spreadsheetml.worksheet+xml" PartName="/xl/worksheets/sheet22678.xml"/>
  <Override ContentType="application/vnd.openxmlformats-officedocument.spreadsheetml.worksheet+xml" PartName="/xl/worksheets/sheet22679.xml"/>
  <Override ContentType="application/vnd.openxmlformats-officedocument.spreadsheetml.worksheet+xml" PartName="/xl/worksheets/sheet22680.xml"/>
  <Override ContentType="application/vnd.openxmlformats-officedocument.spreadsheetml.worksheet+xml" PartName="/xl/worksheets/sheet22681.xml"/>
  <Override ContentType="application/vnd.openxmlformats-officedocument.spreadsheetml.worksheet+xml" PartName="/xl/worksheets/sheet22682.xml"/>
  <Override ContentType="application/vnd.openxmlformats-officedocument.spreadsheetml.worksheet+xml" PartName="/xl/worksheets/sheet22683.xml"/>
  <Override ContentType="application/vnd.openxmlformats-officedocument.spreadsheetml.worksheet+xml" PartName="/xl/worksheets/sheet22684.xml"/>
  <Override ContentType="application/vnd.openxmlformats-officedocument.spreadsheetml.worksheet+xml" PartName="/xl/worksheets/sheet22685.xml"/>
  <Override ContentType="application/vnd.openxmlformats-officedocument.spreadsheetml.worksheet+xml" PartName="/xl/worksheets/sheet22686.xml"/>
  <Override ContentType="application/vnd.openxmlformats-officedocument.spreadsheetml.worksheet+xml" PartName="/xl/worksheets/sheet22687.xml"/>
  <Override ContentType="application/vnd.openxmlformats-officedocument.spreadsheetml.worksheet+xml" PartName="/xl/worksheets/sheet22688.xml"/>
  <Override ContentType="application/vnd.openxmlformats-officedocument.spreadsheetml.worksheet+xml" PartName="/xl/worksheets/sheet22689.xml"/>
  <Override ContentType="application/vnd.openxmlformats-officedocument.spreadsheetml.worksheet+xml" PartName="/xl/worksheets/sheet22690.xml"/>
  <Override ContentType="application/vnd.openxmlformats-officedocument.spreadsheetml.worksheet+xml" PartName="/xl/worksheets/sheet22691.xml"/>
  <Override ContentType="application/vnd.openxmlformats-officedocument.spreadsheetml.worksheet+xml" PartName="/xl/worksheets/sheet22692.xml"/>
  <Override ContentType="application/vnd.openxmlformats-officedocument.spreadsheetml.worksheet+xml" PartName="/xl/worksheets/sheet22693.xml"/>
  <Override ContentType="application/vnd.openxmlformats-officedocument.spreadsheetml.worksheet+xml" PartName="/xl/worksheets/sheet22694.xml"/>
  <Override ContentType="application/vnd.openxmlformats-officedocument.spreadsheetml.worksheet+xml" PartName="/xl/worksheets/sheet22695.xml"/>
  <Override ContentType="application/vnd.openxmlformats-officedocument.spreadsheetml.worksheet+xml" PartName="/xl/worksheets/sheet22696.xml"/>
  <Override ContentType="application/vnd.openxmlformats-officedocument.spreadsheetml.worksheet+xml" PartName="/xl/worksheets/sheet22697.xml"/>
  <Override ContentType="application/vnd.openxmlformats-officedocument.spreadsheetml.worksheet+xml" PartName="/xl/worksheets/sheet22698.xml"/>
  <Override ContentType="application/vnd.openxmlformats-officedocument.spreadsheetml.worksheet+xml" PartName="/xl/worksheets/sheet22699.xml"/>
  <Override ContentType="application/vnd.openxmlformats-officedocument.spreadsheetml.worksheet+xml" PartName="/xl/worksheets/sheet22700.xml"/>
  <Override ContentType="application/vnd.openxmlformats-officedocument.spreadsheetml.worksheet+xml" PartName="/xl/worksheets/sheet22701.xml"/>
  <Override ContentType="application/vnd.openxmlformats-officedocument.spreadsheetml.worksheet+xml" PartName="/xl/worksheets/sheet22702.xml"/>
  <Override ContentType="application/vnd.openxmlformats-officedocument.spreadsheetml.worksheet+xml" PartName="/xl/worksheets/sheet22703.xml"/>
  <Override ContentType="application/vnd.openxmlformats-officedocument.spreadsheetml.worksheet+xml" PartName="/xl/worksheets/sheet22704.xml"/>
  <Override ContentType="application/vnd.openxmlformats-officedocument.spreadsheetml.worksheet+xml" PartName="/xl/worksheets/sheet22705.xml"/>
  <Override ContentType="application/vnd.openxmlformats-officedocument.spreadsheetml.worksheet+xml" PartName="/xl/worksheets/sheet22706.xml"/>
  <Override ContentType="application/vnd.openxmlformats-officedocument.spreadsheetml.worksheet+xml" PartName="/xl/worksheets/sheet22707.xml"/>
  <Override ContentType="application/vnd.openxmlformats-officedocument.spreadsheetml.worksheet+xml" PartName="/xl/worksheets/sheet22708.xml"/>
  <Override ContentType="application/vnd.openxmlformats-officedocument.spreadsheetml.worksheet+xml" PartName="/xl/worksheets/sheet22709.xml"/>
  <Override ContentType="application/vnd.openxmlformats-officedocument.spreadsheetml.worksheet+xml" PartName="/xl/worksheets/sheet22710.xml"/>
  <Override ContentType="application/vnd.openxmlformats-officedocument.spreadsheetml.worksheet+xml" PartName="/xl/worksheets/sheet22711.xml"/>
  <Override ContentType="application/vnd.openxmlformats-officedocument.spreadsheetml.worksheet+xml" PartName="/xl/worksheets/sheet22712.xml"/>
  <Override ContentType="application/vnd.openxmlformats-officedocument.spreadsheetml.worksheet+xml" PartName="/xl/worksheets/sheet22713.xml"/>
  <Override ContentType="application/vnd.openxmlformats-officedocument.spreadsheetml.worksheet+xml" PartName="/xl/worksheets/sheet22714.xml"/>
  <Override ContentType="application/vnd.openxmlformats-officedocument.spreadsheetml.worksheet+xml" PartName="/xl/worksheets/sheet22715.xml"/>
  <Override ContentType="application/vnd.openxmlformats-officedocument.spreadsheetml.worksheet+xml" PartName="/xl/worksheets/sheet22716.xml"/>
  <Override ContentType="application/vnd.openxmlformats-officedocument.spreadsheetml.worksheet+xml" PartName="/xl/worksheets/sheet22717.xml"/>
  <Override ContentType="application/vnd.openxmlformats-officedocument.spreadsheetml.worksheet+xml" PartName="/xl/worksheets/sheet22718.xml"/>
  <Override ContentType="application/vnd.openxmlformats-officedocument.spreadsheetml.worksheet+xml" PartName="/xl/worksheets/sheet22719.xml"/>
  <Override ContentType="application/vnd.openxmlformats-officedocument.spreadsheetml.worksheet+xml" PartName="/xl/worksheets/sheet22720.xml"/>
  <Override ContentType="application/vnd.openxmlformats-officedocument.spreadsheetml.worksheet+xml" PartName="/xl/worksheets/sheet22721.xml"/>
  <Override ContentType="application/vnd.openxmlformats-officedocument.spreadsheetml.worksheet+xml" PartName="/xl/worksheets/sheet22722.xml"/>
  <Override ContentType="application/vnd.openxmlformats-officedocument.spreadsheetml.worksheet+xml" PartName="/xl/worksheets/sheet22723.xml"/>
  <Override ContentType="application/vnd.openxmlformats-officedocument.spreadsheetml.worksheet+xml" PartName="/xl/worksheets/sheet22724.xml"/>
  <Override ContentType="application/vnd.openxmlformats-officedocument.spreadsheetml.worksheet+xml" PartName="/xl/worksheets/sheet22725.xml"/>
  <Override ContentType="application/vnd.openxmlformats-officedocument.spreadsheetml.worksheet+xml" PartName="/xl/worksheets/sheet22726.xml"/>
  <Override ContentType="application/vnd.openxmlformats-officedocument.spreadsheetml.worksheet+xml" PartName="/xl/worksheets/sheet22727.xml"/>
  <Override ContentType="application/vnd.openxmlformats-officedocument.spreadsheetml.worksheet+xml" PartName="/xl/worksheets/sheet22728.xml"/>
  <Override ContentType="application/vnd.openxmlformats-officedocument.spreadsheetml.worksheet+xml" PartName="/xl/worksheets/sheet22729.xml"/>
  <Override ContentType="application/vnd.openxmlformats-officedocument.spreadsheetml.worksheet+xml" PartName="/xl/worksheets/sheet22730.xml"/>
  <Override ContentType="application/vnd.openxmlformats-officedocument.spreadsheetml.worksheet+xml" PartName="/xl/worksheets/sheet22731.xml"/>
  <Override ContentType="application/vnd.openxmlformats-officedocument.spreadsheetml.worksheet+xml" PartName="/xl/worksheets/sheet22732.xml"/>
  <Override ContentType="application/vnd.openxmlformats-officedocument.spreadsheetml.worksheet+xml" PartName="/xl/worksheets/sheet22733.xml"/>
  <Override ContentType="application/vnd.openxmlformats-officedocument.spreadsheetml.worksheet+xml" PartName="/xl/worksheets/sheet22734.xml"/>
  <Override ContentType="application/vnd.openxmlformats-officedocument.spreadsheetml.worksheet+xml" PartName="/xl/worksheets/sheet22735.xml"/>
  <Override ContentType="application/vnd.openxmlformats-officedocument.spreadsheetml.worksheet+xml" PartName="/xl/worksheets/sheet22736.xml"/>
  <Override ContentType="application/vnd.openxmlformats-officedocument.spreadsheetml.worksheet+xml" PartName="/xl/worksheets/sheet22737.xml"/>
  <Override ContentType="application/vnd.openxmlformats-officedocument.spreadsheetml.worksheet+xml" PartName="/xl/worksheets/sheet22738.xml"/>
  <Override ContentType="application/vnd.openxmlformats-officedocument.spreadsheetml.worksheet+xml" PartName="/xl/worksheets/sheet22739.xml"/>
  <Override ContentType="application/vnd.openxmlformats-officedocument.spreadsheetml.worksheet+xml" PartName="/xl/worksheets/sheet22740.xml"/>
  <Override ContentType="application/vnd.openxmlformats-officedocument.spreadsheetml.worksheet+xml" PartName="/xl/worksheets/sheet22741.xml"/>
  <Override ContentType="application/vnd.openxmlformats-officedocument.spreadsheetml.worksheet+xml" PartName="/xl/worksheets/sheet22742.xml"/>
  <Override ContentType="application/vnd.openxmlformats-officedocument.spreadsheetml.worksheet+xml" PartName="/xl/worksheets/sheet22743.xml"/>
  <Override ContentType="application/vnd.openxmlformats-officedocument.spreadsheetml.worksheet+xml" PartName="/xl/worksheets/sheet22744.xml"/>
  <Override ContentType="application/vnd.openxmlformats-officedocument.spreadsheetml.worksheet+xml" PartName="/xl/worksheets/sheet22745.xml"/>
  <Override ContentType="application/vnd.openxmlformats-officedocument.spreadsheetml.worksheet+xml" PartName="/xl/worksheets/sheet22746.xml"/>
  <Override ContentType="application/vnd.openxmlformats-officedocument.spreadsheetml.worksheet+xml" PartName="/xl/worksheets/sheet22747.xml"/>
  <Override ContentType="application/vnd.openxmlformats-officedocument.spreadsheetml.worksheet+xml" PartName="/xl/worksheets/sheet22748.xml"/>
  <Override ContentType="application/vnd.openxmlformats-officedocument.spreadsheetml.worksheet+xml" PartName="/xl/worksheets/sheet22749.xml"/>
  <Override ContentType="application/vnd.openxmlformats-officedocument.spreadsheetml.worksheet+xml" PartName="/xl/worksheets/sheet22750.xml"/>
  <Override ContentType="application/vnd.openxmlformats-officedocument.spreadsheetml.worksheet+xml" PartName="/xl/worksheets/sheet22751.xml"/>
  <Override ContentType="application/vnd.openxmlformats-officedocument.spreadsheetml.worksheet+xml" PartName="/xl/worksheets/sheet22752.xml"/>
  <Override ContentType="application/vnd.openxmlformats-officedocument.spreadsheetml.worksheet+xml" PartName="/xl/worksheets/sheet22753.xml"/>
  <Override ContentType="application/vnd.openxmlformats-officedocument.spreadsheetml.worksheet+xml" PartName="/xl/worksheets/sheet22754.xml"/>
  <Override ContentType="application/vnd.openxmlformats-officedocument.spreadsheetml.worksheet+xml" PartName="/xl/worksheets/sheet22755.xml"/>
  <Override ContentType="application/vnd.openxmlformats-officedocument.spreadsheetml.worksheet+xml" PartName="/xl/worksheets/sheet22756.xml"/>
  <Override ContentType="application/vnd.openxmlformats-officedocument.spreadsheetml.worksheet+xml" PartName="/xl/worksheets/sheet22757.xml"/>
  <Override ContentType="application/vnd.openxmlformats-officedocument.spreadsheetml.worksheet+xml" PartName="/xl/worksheets/sheet22758.xml"/>
  <Override ContentType="application/vnd.openxmlformats-officedocument.spreadsheetml.worksheet+xml" PartName="/xl/worksheets/sheet22759.xml"/>
  <Override ContentType="application/vnd.openxmlformats-officedocument.spreadsheetml.worksheet+xml" PartName="/xl/worksheets/sheet22760.xml"/>
  <Override ContentType="application/vnd.openxmlformats-officedocument.spreadsheetml.worksheet+xml" PartName="/xl/worksheets/sheet22761.xml"/>
  <Override ContentType="application/vnd.openxmlformats-officedocument.spreadsheetml.worksheet+xml" PartName="/xl/worksheets/sheet22762.xml"/>
  <Override ContentType="application/vnd.openxmlformats-officedocument.spreadsheetml.worksheet+xml" PartName="/xl/worksheets/sheet22763.xml"/>
  <Override ContentType="application/vnd.openxmlformats-officedocument.spreadsheetml.worksheet+xml" PartName="/xl/worksheets/sheet22764.xml"/>
  <Override ContentType="application/vnd.openxmlformats-officedocument.spreadsheetml.worksheet+xml" PartName="/xl/worksheets/sheet22765.xml"/>
  <Override ContentType="application/vnd.openxmlformats-officedocument.spreadsheetml.worksheet+xml" PartName="/xl/worksheets/sheet22766.xml"/>
  <Override ContentType="application/vnd.openxmlformats-officedocument.spreadsheetml.worksheet+xml" PartName="/xl/worksheets/sheet22767.xml"/>
  <Override ContentType="application/vnd.openxmlformats-officedocument.spreadsheetml.worksheet+xml" PartName="/xl/worksheets/sheet22768.xml"/>
  <Override ContentType="application/vnd.openxmlformats-officedocument.spreadsheetml.worksheet+xml" PartName="/xl/worksheets/sheet22769.xml"/>
  <Override ContentType="application/vnd.openxmlformats-officedocument.spreadsheetml.worksheet+xml" PartName="/xl/worksheets/sheet22770.xml"/>
  <Override ContentType="application/vnd.openxmlformats-officedocument.spreadsheetml.worksheet+xml" PartName="/xl/worksheets/sheet22771.xml"/>
  <Override ContentType="application/vnd.openxmlformats-officedocument.spreadsheetml.worksheet+xml" PartName="/xl/worksheets/sheet22772.xml"/>
  <Override ContentType="application/vnd.openxmlformats-officedocument.spreadsheetml.worksheet+xml" PartName="/xl/worksheets/sheet22773.xml"/>
  <Override ContentType="application/vnd.openxmlformats-officedocument.spreadsheetml.worksheet+xml" PartName="/xl/worksheets/sheet22774.xml"/>
  <Override ContentType="application/vnd.openxmlformats-officedocument.spreadsheetml.worksheet+xml" PartName="/xl/worksheets/sheet22775.xml"/>
  <Override ContentType="application/vnd.openxmlformats-officedocument.spreadsheetml.worksheet+xml" PartName="/xl/worksheets/sheet22776.xml"/>
  <Override ContentType="application/vnd.openxmlformats-officedocument.spreadsheetml.worksheet+xml" PartName="/xl/worksheets/sheet22777.xml"/>
  <Override ContentType="application/vnd.openxmlformats-officedocument.spreadsheetml.worksheet+xml" PartName="/xl/worksheets/sheet22778.xml"/>
  <Override ContentType="application/vnd.openxmlformats-officedocument.spreadsheetml.worksheet+xml" PartName="/xl/worksheets/sheet22779.xml"/>
  <Override ContentType="application/vnd.openxmlformats-officedocument.spreadsheetml.worksheet+xml" PartName="/xl/worksheets/sheet22780.xml"/>
  <Override ContentType="application/vnd.openxmlformats-officedocument.spreadsheetml.worksheet+xml" PartName="/xl/worksheets/sheet22781.xml"/>
  <Override ContentType="application/vnd.openxmlformats-officedocument.spreadsheetml.worksheet+xml" PartName="/xl/worksheets/sheet22782.xml"/>
  <Override ContentType="application/vnd.openxmlformats-officedocument.spreadsheetml.worksheet+xml" PartName="/xl/worksheets/sheet22783.xml"/>
  <Override ContentType="application/vnd.openxmlformats-officedocument.spreadsheetml.worksheet+xml" PartName="/xl/worksheets/sheet22784.xml"/>
  <Override ContentType="application/vnd.openxmlformats-officedocument.spreadsheetml.worksheet+xml" PartName="/xl/worksheets/sheet22785.xml"/>
  <Override ContentType="application/vnd.openxmlformats-officedocument.spreadsheetml.worksheet+xml" PartName="/xl/worksheets/sheet22786.xml"/>
  <Override ContentType="application/vnd.openxmlformats-officedocument.spreadsheetml.worksheet+xml" PartName="/xl/worksheets/sheet22787.xml"/>
  <Override ContentType="application/vnd.openxmlformats-officedocument.spreadsheetml.worksheet+xml" PartName="/xl/worksheets/sheet22788.xml"/>
  <Override ContentType="application/vnd.openxmlformats-officedocument.spreadsheetml.worksheet+xml" PartName="/xl/worksheets/sheet22789.xml"/>
  <Override ContentType="application/vnd.openxmlformats-officedocument.spreadsheetml.worksheet+xml" PartName="/xl/worksheets/sheet22790.xml"/>
  <Override ContentType="application/vnd.openxmlformats-officedocument.spreadsheetml.worksheet+xml" PartName="/xl/worksheets/sheet22791.xml"/>
  <Override ContentType="application/vnd.openxmlformats-officedocument.spreadsheetml.worksheet+xml" PartName="/xl/worksheets/sheet22792.xml"/>
  <Override ContentType="application/vnd.openxmlformats-officedocument.spreadsheetml.worksheet+xml" PartName="/xl/worksheets/sheet22793.xml"/>
  <Override ContentType="application/vnd.openxmlformats-officedocument.spreadsheetml.worksheet+xml" PartName="/xl/worksheets/sheet22794.xml"/>
  <Override ContentType="application/vnd.openxmlformats-officedocument.spreadsheetml.worksheet+xml" PartName="/xl/worksheets/sheet22795.xml"/>
  <Override ContentType="application/vnd.openxmlformats-officedocument.spreadsheetml.worksheet+xml" PartName="/xl/worksheets/sheet22796.xml"/>
  <Override ContentType="application/vnd.openxmlformats-officedocument.spreadsheetml.worksheet+xml" PartName="/xl/worksheets/sheet22797.xml"/>
  <Override ContentType="application/vnd.openxmlformats-officedocument.spreadsheetml.worksheet+xml" PartName="/xl/worksheets/sheet22798.xml"/>
  <Override ContentType="application/vnd.openxmlformats-officedocument.spreadsheetml.worksheet+xml" PartName="/xl/worksheets/sheet22799.xml"/>
  <Override ContentType="application/vnd.openxmlformats-officedocument.spreadsheetml.worksheet+xml" PartName="/xl/worksheets/sheet22800.xml"/>
  <Override ContentType="application/vnd.openxmlformats-officedocument.spreadsheetml.worksheet+xml" PartName="/xl/worksheets/sheet22801.xml"/>
  <Override ContentType="application/vnd.openxmlformats-officedocument.spreadsheetml.worksheet+xml" PartName="/xl/worksheets/sheet22802.xml"/>
  <Override ContentType="application/vnd.openxmlformats-officedocument.spreadsheetml.worksheet+xml" PartName="/xl/worksheets/sheet22803.xml"/>
  <Override ContentType="application/vnd.openxmlformats-officedocument.spreadsheetml.worksheet+xml" PartName="/xl/worksheets/sheet22804.xml"/>
  <Override ContentType="application/vnd.openxmlformats-officedocument.spreadsheetml.worksheet+xml" PartName="/xl/worksheets/sheet22805.xml"/>
  <Override ContentType="application/vnd.openxmlformats-officedocument.spreadsheetml.worksheet+xml" PartName="/xl/worksheets/sheet22806.xml"/>
  <Override ContentType="application/vnd.openxmlformats-officedocument.spreadsheetml.worksheet+xml" PartName="/xl/worksheets/sheet22807.xml"/>
  <Override ContentType="application/vnd.openxmlformats-officedocument.spreadsheetml.worksheet+xml" PartName="/xl/worksheets/sheet22808.xml"/>
  <Override ContentType="application/vnd.openxmlformats-officedocument.spreadsheetml.worksheet+xml" PartName="/xl/worksheets/sheet22809.xml"/>
  <Override ContentType="application/vnd.openxmlformats-officedocument.spreadsheetml.worksheet+xml" PartName="/xl/worksheets/sheet22810.xml"/>
  <Override ContentType="application/vnd.openxmlformats-officedocument.spreadsheetml.worksheet+xml" PartName="/xl/worksheets/sheet22811.xml"/>
  <Override ContentType="application/vnd.openxmlformats-officedocument.spreadsheetml.worksheet+xml" PartName="/xl/worksheets/sheet22812.xml"/>
  <Override ContentType="application/vnd.openxmlformats-officedocument.spreadsheetml.worksheet+xml" PartName="/xl/worksheets/sheet22813.xml"/>
  <Override ContentType="application/vnd.openxmlformats-officedocument.spreadsheetml.worksheet+xml" PartName="/xl/worksheets/sheet22814.xml"/>
  <Override ContentType="application/vnd.openxmlformats-officedocument.spreadsheetml.worksheet+xml" PartName="/xl/worksheets/sheet22815.xml"/>
  <Override ContentType="application/vnd.openxmlformats-officedocument.spreadsheetml.worksheet+xml" PartName="/xl/worksheets/sheet22816.xml"/>
  <Override ContentType="application/vnd.openxmlformats-officedocument.spreadsheetml.worksheet+xml" PartName="/xl/worksheets/sheet22817.xml"/>
  <Override ContentType="application/vnd.openxmlformats-officedocument.spreadsheetml.worksheet+xml" PartName="/xl/worksheets/sheet22818.xml"/>
  <Override ContentType="application/vnd.openxmlformats-officedocument.spreadsheetml.worksheet+xml" PartName="/xl/worksheets/sheet22819.xml"/>
  <Override ContentType="application/vnd.openxmlformats-officedocument.spreadsheetml.worksheet+xml" PartName="/xl/worksheets/sheet22820.xml"/>
  <Override ContentType="application/vnd.openxmlformats-officedocument.spreadsheetml.worksheet+xml" PartName="/xl/worksheets/sheet22821.xml"/>
  <Override ContentType="application/vnd.openxmlformats-officedocument.spreadsheetml.worksheet+xml" PartName="/xl/worksheets/sheet22822.xml"/>
  <Override ContentType="application/vnd.openxmlformats-officedocument.spreadsheetml.worksheet+xml" PartName="/xl/worksheets/sheet22823.xml"/>
  <Override ContentType="application/vnd.openxmlformats-officedocument.spreadsheetml.worksheet+xml" PartName="/xl/worksheets/sheet22824.xml"/>
  <Override ContentType="application/vnd.openxmlformats-officedocument.spreadsheetml.worksheet+xml" PartName="/xl/worksheets/sheet22825.xml"/>
  <Override ContentType="application/vnd.openxmlformats-officedocument.spreadsheetml.worksheet+xml" PartName="/xl/worksheets/sheet22826.xml"/>
  <Override ContentType="application/vnd.openxmlformats-officedocument.spreadsheetml.worksheet+xml" PartName="/xl/worksheets/sheet22827.xml"/>
  <Override ContentType="application/vnd.openxmlformats-officedocument.spreadsheetml.worksheet+xml" PartName="/xl/worksheets/sheet22828.xml"/>
  <Override ContentType="application/vnd.openxmlformats-officedocument.spreadsheetml.worksheet+xml" PartName="/xl/worksheets/sheet22829.xml"/>
  <Override ContentType="application/vnd.openxmlformats-officedocument.spreadsheetml.worksheet+xml" PartName="/xl/worksheets/sheet22830.xml"/>
  <Override ContentType="application/vnd.openxmlformats-officedocument.spreadsheetml.worksheet+xml" PartName="/xl/worksheets/sheet22831.xml"/>
  <Override ContentType="application/vnd.openxmlformats-officedocument.spreadsheetml.worksheet+xml" PartName="/xl/worksheets/sheet22832.xml"/>
  <Override ContentType="application/vnd.openxmlformats-officedocument.spreadsheetml.worksheet+xml" PartName="/xl/worksheets/sheet22833.xml"/>
  <Override ContentType="application/vnd.openxmlformats-officedocument.spreadsheetml.worksheet+xml" PartName="/xl/worksheets/sheet22834.xml"/>
  <Override ContentType="application/vnd.openxmlformats-officedocument.spreadsheetml.worksheet+xml" PartName="/xl/worksheets/sheet22835.xml"/>
  <Override ContentType="application/vnd.openxmlformats-officedocument.spreadsheetml.worksheet+xml" PartName="/xl/worksheets/sheet22836.xml"/>
  <Override ContentType="application/vnd.openxmlformats-officedocument.spreadsheetml.worksheet+xml" PartName="/xl/worksheets/sheet22837.xml"/>
  <Override ContentType="application/vnd.openxmlformats-officedocument.spreadsheetml.worksheet+xml" PartName="/xl/worksheets/sheet22838.xml"/>
  <Override ContentType="application/vnd.openxmlformats-officedocument.spreadsheetml.worksheet+xml" PartName="/xl/worksheets/sheet22839.xml"/>
  <Override ContentType="application/vnd.openxmlformats-officedocument.spreadsheetml.worksheet+xml" PartName="/xl/worksheets/sheet22840.xml"/>
  <Override ContentType="application/vnd.openxmlformats-officedocument.spreadsheetml.worksheet+xml" PartName="/xl/worksheets/sheet22841.xml"/>
  <Override ContentType="application/vnd.openxmlformats-officedocument.spreadsheetml.worksheet+xml" PartName="/xl/worksheets/sheet22842.xml"/>
  <Override ContentType="application/vnd.openxmlformats-officedocument.spreadsheetml.worksheet+xml" PartName="/xl/worksheets/sheet22843.xml"/>
  <Override ContentType="application/vnd.openxmlformats-officedocument.spreadsheetml.worksheet+xml" PartName="/xl/worksheets/sheet22844.xml"/>
  <Override ContentType="application/vnd.openxmlformats-officedocument.spreadsheetml.worksheet+xml" PartName="/xl/worksheets/sheet22845.xml"/>
  <Override ContentType="application/vnd.openxmlformats-officedocument.spreadsheetml.worksheet+xml" PartName="/xl/worksheets/sheet22846.xml"/>
  <Override ContentType="application/vnd.openxmlformats-officedocument.spreadsheetml.worksheet+xml" PartName="/xl/worksheets/sheet22847.xml"/>
  <Override ContentType="application/vnd.openxmlformats-officedocument.spreadsheetml.worksheet+xml" PartName="/xl/worksheets/sheet22848.xml"/>
  <Override ContentType="application/vnd.openxmlformats-officedocument.spreadsheetml.worksheet+xml" PartName="/xl/worksheets/sheet22849.xml"/>
  <Override ContentType="application/vnd.openxmlformats-officedocument.spreadsheetml.worksheet+xml" PartName="/xl/worksheets/sheet22850.xml"/>
  <Override ContentType="application/vnd.openxmlformats-officedocument.spreadsheetml.worksheet+xml" PartName="/xl/worksheets/sheet22851.xml"/>
  <Override ContentType="application/vnd.openxmlformats-officedocument.spreadsheetml.worksheet+xml" PartName="/xl/worksheets/sheet22852.xml"/>
  <Override ContentType="application/vnd.openxmlformats-officedocument.spreadsheetml.worksheet+xml" PartName="/xl/worksheets/sheet22853.xml"/>
  <Override ContentType="application/vnd.openxmlformats-officedocument.spreadsheetml.worksheet+xml" PartName="/xl/worksheets/sheet22854.xml"/>
  <Override ContentType="application/vnd.openxmlformats-officedocument.spreadsheetml.worksheet+xml" PartName="/xl/worksheets/sheet22855.xml"/>
  <Override ContentType="application/vnd.openxmlformats-officedocument.spreadsheetml.worksheet+xml" PartName="/xl/worksheets/sheet22856.xml"/>
  <Override ContentType="application/vnd.openxmlformats-officedocument.spreadsheetml.worksheet+xml" PartName="/xl/worksheets/sheet22857.xml"/>
  <Override ContentType="application/vnd.openxmlformats-officedocument.spreadsheetml.worksheet+xml" PartName="/xl/worksheets/sheet22858.xml"/>
  <Override ContentType="application/vnd.openxmlformats-officedocument.spreadsheetml.worksheet+xml" PartName="/xl/worksheets/sheet22859.xml"/>
  <Override ContentType="application/vnd.openxmlformats-officedocument.spreadsheetml.worksheet+xml" PartName="/xl/worksheets/sheet22860.xml"/>
  <Override ContentType="application/vnd.openxmlformats-officedocument.spreadsheetml.worksheet+xml" PartName="/xl/worksheets/sheet22861.xml"/>
  <Override ContentType="application/vnd.openxmlformats-officedocument.spreadsheetml.worksheet+xml" PartName="/xl/worksheets/sheet22862.xml"/>
  <Override ContentType="application/vnd.openxmlformats-officedocument.spreadsheetml.worksheet+xml" PartName="/xl/worksheets/sheet22863.xml"/>
  <Override ContentType="application/vnd.openxmlformats-officedocument.spreadsheetml.worksheet+xml" PartName="/xl/worksheets/sheet22864.xml"/>
  <Override ContentType="application/vnd.openxmlformats-officedocument.spreadsheetml.worksheet+xml" PartName="/xl/worksheets/sheet22865.xml"/>
  <Override ContentType="application/vnd.openxmlformats-officedocument.spreadsheetml.worksheet+xml" PartName="/xl/worksheets/sheet22866.xml"/>
  <Override ContentType="application/vnd.openxmlformats-officedocument.spreadsheetml.worksheet+xml" PartName="/xl/worksheets/sheet22867.xml"/>
  <Override ContentType="application/vnd.openxmlformats-officedocument.spreadsheetml.worksheet+xml" PartName="/xl/worksheets/sheet22868.xml"/>
  <Override ContentType="application/vnd.openxmlformats-officedocument.spreadsheetml.worksheet+xml" PartName="/xl/worksheets/sheet22869.xml"/>
  <Override ContentType="application/vnd.openxmlformats-officedocument.spreadsheetml.worksheet+xml" PartName="/xl/worksheets/sheet22870.xml"/>
  <Override ContentType="application/vnd.openxmlformats-officedocument.spreadsheetml.worksheet+xml" PartName="/xl/worksheets/sheet22871.xml"/>
  <Override ContentType="application/vnd.openxmlformats-officedocument.spreadsheetml.worksheet+xml" PartName="/xl/worksheets/sheet22872.xml"/>
  <Override ContentType="application/vnd.openxmlformats-officedocument.spreadsheetml.worksheet+xml" PartName="/xl/worksheets/sheet22873.xml"/>
  <Override ContentType="application/vnd.openxmlformats-officedocument.spreadsheetml.worksheet+xml" PartName="/xl/worksheets/sheet22874.xml"/>
  <Override ContentType="application/vnd.openxmlformats-officedocument.spreadsheetml.worksheet+xml" PartName="/xl/worksheets/sheet22875.xml"/>
  <Override ContentType="application/vnd.openxmlformats-officedocument.spreadsheetml.worksheet+xml" PartName="/xl/worksheets/sheet22876.xml"/>
  <Override ContentType="application/vnd.openxmlformats-officedocument.spreadsheetml.worksheet+xml" PartName="/xl/worksheets/sheet22877.xml"/>
  <Override ContentType="application/vnd.openxmlformats-officedocument.spreadsheetml.worksheet+xml" PartName="/xl/worksheets/sheet22878.xml"/>
  <Override ContentType="application/vnd.openxmlformats-officedocument.spreadsheetml.worksheet+xml" PartName="/xl/worksheets/sheet22879.xml"/>
  <Override ContentType="application/vnd.openxmlformats-officedocument.spreadsheetml.worksheet+xml" PartName="/xl/worksheets/sheet22880.xml"/>
  <Override ContentType="application/vnd.openxmlformats-officedocument.spreadsheetml.worksheet+xml" PartName="/xl/worksheets/sheet22881.xml"/>
  <Override ContentType="application/vnd.openxmlformats-officedocument.spreadsheetml.worksheet+xml" PartName="/xl/worksheets/sheet22882.xml"/>
  <Override ContentType="application/vnd.openxmlformats-officedocument.spreadsheetml.worksheet+xml" PartName="/xl/worksheets/sheet22883.xml"/>
  <Override ContentType="application/vnd.openxmlformats-officedocument.spreadsheetml.worksheet+xml" PartName="/xl/worksheets/sheet22884.xml"/>
  <Override ContentType="application/vnd.openxmlformats-officedocument.spreadsheetml.worksheet+xml" PartName="/xl/worksheets/sheet22885.xml"/>
  <Override ContentType="application/vnd.openxmlformats-officedocument.spreadsheetml.worksheet+xml" PartName="/xl/worksheets/sheet22886.xml"/>
  <Override ContentType="application/vnd.openxmlformats-officedocument.spreadsheetml.worksheet+xml" PartName="/xl/worksheets/sheet22887.xml"/>
  <Override ContentType="application/vnd.openxmlformats-officedocument.spreadsheetml.worksheet+xml" PartName="/xl/worksheets/sheet22888.xml"/>
  <Override ContentType="application/vnd.openxmlformats-officedocument.spreadsheetml.worksheet+xml" PartName="/xl/worksheets/sheet22889.xml"/>
  <Override ContentType="application/vnd.openxmlformats-officedocument.spreadsheetml.worksheet+xml" PartName="/xl/worksheets/sheet22890.xml"/>
  <Override ContentType="application/vnd.openxmlformats-officedocument.spreadsheetml.worksheet+xml" PartName="/xl/worksheets/sheet22891.xml"/>
  <Override ContentType="application/vnd.openxmlformats-officedocument.spreadsheetml.worksheet+xml" PartName="/xl/worksheets/sheet22892.xml"/>
  <Override ContentType="application/vnd.openxmlformats-officedocument.spreadsheetml.worksheet+xml" PartName="/xl/worksheets/sheet22893.xml"/>
  <Override ContentType="application/vnd.openxmlformats-officedocument.spreadsheetml.worksheet+xml" PartName="/xl/worksheets/sheet22894.xml"/>
  <Override ContentType="application/vnd.openxmlformats-officedocument.spreadsheetml.worksheet+xml" PartName="/xl/worksheets/sheet22895.xml"/>
  <Override ContentType="application/vnd.openxmlformats-officedocument.spreadsheetml.worksheet+xml" PartName="/xl/worksheets/sheet22896.xml"/>
  <Override ContentType="application/vnd.openxmlformats-officedocument.spreadsheetml.worksheet+xml" PartName="/xl/worksheets/sheet22897.xml"/>
  <Override ContentType="application/vnd.openxmlformats-officedocument.spreadsheetml.worksheet+xml" PartName="/xl/worksheets/sheet22898.xml"/>
  <Override ContentType="application/vnd.openxmlformats-officedocument.spreadsheetml.worksheet+xml" PartName="/xl/worksheets/sheet22899.xml"/>
  <Override ContentType="application/vnd.openxmlformats-officedocument.spreadsheetml.worksheet+xml" PartName="/xl/worksheets/sheet22900.xml"/>
  <Override ContentType="application/vnd.openxmlformats-officedocument.spreadsheetml.worksheet+xml" PartName="/xl/worksheets/sheet22901.xml"/>
  <Override ContentType="application/vnd.openxmlformats-officedocument.spreadsheetml.worksheet+xml" PartName="/xl/worksheets/sheet22902.xml"/>
  <Override ContentType="application/vnd.openxmlformats-officedocument.spreadsheetml.worksheet+xml" PartName="/xl/worksheets/sheet22903.xml"/>
  <Override ContentType="application/vnd.openxmlformats-officedocument.spreadsheetml.worksheet+xml" PartName="/xl/worksheets/sheet22904.xml"/>
  <Override ContentType="application/vnd.openxmlformats-officedocument.spreadsheetml.worksheet+xml" PartName="/xl/worksheets/sheet22905.xml"/>
  <Override ContentType="application/vnd.openxmlformats-officedocument.spreadsheetml.worksheet+xml" PartName="/xl/worksheets/sheet22906.xml"/>
  <Override ContentType="application/vnd.openxmlformats-officedocument.spreadsheetml.worksheet+xml" PartName="/xl/worksheets/sheet22907.xml"/>
  <Override ContentType="application/vnd.openxmlformats-officedocument.spreadsheetml.worksheet+xml" PartName="/xl/worksheets/sheet22908.xml"/>
  <Override ContentType="application/vnd.openxmlformats-officedocument.spreadsheetml.worksheet+xml" PartName="/xl/worksheets/sheet22909.xml"/>
  <Override ContentType="application/vnd.openxmlformats-officedocument.spreadsheetml.worksheet+xml" PartName="/xl/worksheets/sheet22910.xml"/>
  <Override ContentType="application/vnd.openxmlformats-officedocument.spreadsheetml.worksheet+xml" PartName="/xl/worksheets/sheet22911.xml"/>
  <Override ContentType="application/vnd.openxmlformats-officedocument.spreadsheetml.worksheet+xml" PartName="/xl/worksheets/sheet22912.xml"/>
  <Override ContentType="application/vnd.openxmlformats-officedocument.spreadsheetml.worksheet+xml" PartName="/xl/worksheets/sheet22913.xml"/>
  <Override ContentType="application/vnd.openxmlformats-officedocument.spreadsheetml.worksheet+xml" PartName="/xl/worksheets/sheet22914.xml"/>
  <Override ContentType="application/vnd.openxmlformats-officedocument.spreadsheetml.worksheet+xml" PartName="/xl/worksheets/sheet22915.xml"/>
  <Override ContentType="application/vnd.openxmlformats-officedocument.spreadsheetml.worksheet+xml" PartName="/xl/worksheets/sheet22916.xml"/>
  <Override ContentType="application/vnd.openxmlformats-officedocument.spreadsheetml.worksheet+xml" PartName="/xl/worksheets/sheet22917.xml"/>
  <Override ContentType="application/vnd.openxmlformats-officedocument.spreadsheetml.worksheet+xml" PartName="/xl/worksheets/sheet22918.xml"/>
  <Override ContentType="application/vnd.openxmlformats-officedocument.spreadsheetml.worksheet+xml" PartName="/xl/worksheets/sheet22919.xml"/>
  <Override ContentType="application/vnd.openxmlformats-officedocument.spreadsheetml.worksheet+xml" PartName="/xl/worksheets/sheet22920.xml"/>
  <Override ContentType="application/vnd.openxmlformats-officedocument.spreadsheetml.worksheet+xml" PartName="/xl/worksheets/sheet22921.xml"/>
  <Override ContentType="application/vnd.openxmlformats-officedocument.spreadsheetml.worksheet+xml" PartName="/xl/worksheets/sheet22922.xml"/>
  <Override ContentType="application/vnd.openxmlformats-officedocument.spreadsheetml.worksheet+xml" PartName="/xl/worksheets/sheet22923.xml"/>
  <Override ContentType="application/vnd.openxmlformats-officedocument.spreadsheetml.worksheet+xml" PartName="/xl/worksheets/sheet22924.xml"/>
  <Override ContentType="application/vnd.openxmlformats-officedocument.spreadsheetml.worksheet+xml" PartName="/xl/worksheets/sheet22925.xml"/>
  <Override ContentType="application/vnd.openxmlformats-officedocument.spreadsheetml.worksheet+xml" PartName="/xl/worksheets/sheet22926.xml"/>
  <Override ContentType="application/vnd.openxmlformats-officedocument.spreadsheetml.worksheet+xml" PartName="/xl/worksheets/sheet22927.xml"/>
  <Override ContentType="application/vnd.openxmlformats-officedocument.spreadsheetml.worksheet+xml" PartName="/xl/worksheets/sheet22928.xml"/>
  <Override ContentType="application/vnd.openxmlformats-officedocument.spreadsheetml.worksheet+xml" PartName="/xl/worksheets/sheet22929.xml"/>
  <Override ContentType="application/vnd.openxmlformats-officedocument.spreadsheetml.worksheet+xml" PartName="/xl/worksheets/sheet22930.xml"/>
  <Override ContentType="application/vnd.openxmlformats-officedocument.spreadsheetml.worksheet+xml" PartName="/xl/worksheets/sheet22931.xml"/>
  <Override ContentType="application/vnd.openxmlformats-officedocument.spreadsheetml.worksheet+xml" PartName="/xl/worksheets/sheet22932.xml"/>
  <Override ContentType="application/vnd.openxmlformats-officedocument.spreadsheetml.worksheet+xml" PartName="/xl/worksheets/sheet22933.xml"/>
  <Override ContentType="application/vnd.openxmlformats-officedocument.spreadsheetml.worksheet+xml" PartName="/xl/worksheets/sheet22934.xml"/>
  <Override ContentType="application/vnd.openxmlformats-officedocument.spreadsheetml.worksheet+xml" PartName="/xl/worksheets/sheet22935.xml"/>
  <Override ContentType="application/vnd.openxmlformats-officedocument.spreadsheetml.worksheet+xml" PartName="/xl/worksheets/sheet22936.xml"/>
  <Override ContentType="application/vnd.openxmlformats-officedocument.spreadsheetml.worksheet+xml" PartName="/xl/worksheets/sheet22937.xml"/>
  <Override ContentType="application/vnd.openxmlformats-officedocument.spreadsheetml.worksheet+xml" PartName="/xl/worksheets/sheet22938.xml"/>
  <Override ContentType="application/vnd.openxmlformats-officedocument.spreadsheetml.worksheet+xml" PartName="/xl/worksheets/sheet22939.xml"/>
  <Override ContentType="application/vnd.openxmlformats-officedocument.spreadsheetml.worksheet+xml" PartName="/xl/worksheets/sheet22940.xml"/>
  <Override ContentType="application/vnd.openxmlformats-officedocument.spreadsheetml.worksheet+xml" PartName="/xl/worksheets/sheet22941.xml"/>
  <Override ContentType="application/vnd.openxmlformats-officedocument.spreadsheetml.worksheet+xml" PartName="/xl/worksheets/sheet22942.xml"/>
  <Override ContentType="application/vnd.openxmlformats-officedocument.spreadsheetml.worksheet+xml" PartName="/xl/worksheets/sheet22943.xml"/>
  <Override ContentType="application/vnd.openxmlformats-officedocument.spreadsheetml.worksheet+xml" PartName="/xl/worksheets/sheet22944.xml"/>
  <Override ContentType="application/vnd.openxmlformats-officedocument.spreadsheetml.worksheet+xml" PartName="/xl/worksheets/sheet22945.xml"/>
  <Override ContentType="application/vnd.openxmlformats-officedocument.spreadsheetml.worksheet+xml" PartName="/xl/worksheets/sheet22946.xml"/>
  <Override ContentType="application/vnd.openxmlformats-officedocument.spreadsheetml.worksheet+xml" PartName="/xl/worksheets/sheet22947.xml"/>
  <Override ContentType="application/vnd.openxmlformats-officedocument.spreadsheetml.worksheet+xml" PartName="/xl/worksheets/sheet22948.xml"/>
  <Override ContentType="application/vnd.openxmlformats-officedocument.spreadsheetml.worksheet+xml" PartName="/xl/worksheets/sheet22949.xml"/>
  <Override ContentType="application/vnd.openxmlformats-officedocument.spreadsheetml.worksheet+xml" PartName="/xl/worksheets/sheet22950.xml"/>
  <Override ContentType="application/vnd.openxmlformats-officedocument.spreadsheetml.worksheet+xml" PartName="/xl/worksheets/sheet22951.xml"/>
  <Override ContentType="application/vnd.openxmlformats-officedocument.spreadsheetml.worksheet+xml" PartName="/xl/worksheets/sheet22952.xml"/>
  <Override ContentType="application/vnd.openxmlformats-officedocument.spreadsheetml.worksheet+xml" PartName="/xl/worksheets/sheet22953.xml"/>
  <Override ContentType="application/vnd.openxmlformats-officedocument.spreadsheetml.worksheet+xml" PartName="/xl/worksheets/sheet22954.xml"/>
  <Override ContentType="application/vnd.openxmlformats-officedocument.spreadsheetml.worksheet+xml" PartName="/xl/worksheets/sheet22955.xml"/>
  <Override ContentType="application/vnd.openxmlformats-officedocument.spreadsheetml.worksheet+xml" PartName="/xl/worksheets/sheet22956.xml"/>
  <Override ContentType="application/vnd.openxmlformats-officedocument.spreadsheetml.worksheet+xml" PartName="/xl/worksheets/sheet22957.xml"/>
  <Override ContentType="application/vnd.openxmlformats-officedocument.spreadsheetml.worksheet+xml" PartName="/xl/worksheets/sheet22958.xml"/>
  <Override ContentType="application/vnd.openxmlformats-officedocument.spreadsheetml.worksheet+xml" PartName="/xl/worksheets/sheet22959.xml"/>
  <Override ContentType="application/vnd.openxmlformats-officedocument.spreadsheetml.worksheet+xml" PartName="/xl/worksheets/sheet22960.xml"/>
  <Override ContentType="application/vnd.openxmlformats-officedocument.spreadsheetml.worksheet+xml" PartName="/xl/worksheets/sheet22961.xml"/>
  <Override ContentType="application/vnd.openxmlformats-officedocument.spreadsheetml.worksheet+xml" PartName="/xl/worksheets/sheet22962.xml"/>
  <Override ContentType="application/vnd.openxmlformats-officedocument.spreadsheetml.worksheet+xml" PartName="/xl/worksheets/sheet22963.xml"/>
  <Override ContentType="application/vnd.openxmlformats-officedocument.spreadsheetml.worksheet+xml" PartName="/xl/worksheets/sheet22964.xml"/>
  <Override ContentType="application/vnd.openxmlformats-officedocument.spreadsheetml.worksheet+xml" PartName="/xl/worksheets/sheet22965.xml"/>
  <Override ContentType="application/vnd.openxmlformats-officedocument.spreadsheetml.worksheet+xml" PartName="/xl/worksheets/sheet22966.xml"/>
  <Override ContentType="application/vnd.openxmlformats-officedocument.spreadsheetml.worksheet+xml" PartName="/xl/worksheets/sheet22967.xml"/>
  <Override ContentType="application/vnd.openxmlformats-officedocument.spreadsheetml.worksheet+xml" PartName="/xl/worksheets/sheet22968.xml"/>
  <Override ContentType="application/vnd.openxmlformats-officedocument.spreadsheetml.worksheet+xml" PartName="/xl/worksheets/sheet22969.xml"/>
  <Override ContentType="application/vnd.openxmlformats-officedocument.spreadsheetml.worksheet+xml" PartName="/xl/worksheets/sheet22970.xml"/>
  <Override ContentType="application/vnd.openxmlformats-officedocument.spreadsheetml.worksheet+xml" PartName="/xl/worksheets/sheet22971.xml"/>
  <Override ContentType="application/vnd.openxmlformats-officedocument.spreadsheetml.worksheet+xml" PartName="/xl/worksheets/sheet22972.xml"/>
  <Override ContentType="application/vnd.openxmlformats-officedocument.spreadsheetml.worksheet+xml" PartName="/xl/worksheets/sheet22973.xml"/>
  <Override ContentType="application/vnd.openxmlformats-officedocument.spreadsheetml.worksheet+xml" PartName="/xl/worksheets/sheet22974.xml"/>
  <Override ContentType="application/vnd.openxmlformats-officedocument.spreadsheetml.worksheet+xml" PartName="/xl/worksheets/sheet22975.xml"/>
  <Override ContentType="application/vnd.openxmlformats-officedocument.spreadsheetml.worksheet+xml" PartName="/xl/worksheets/sheet22976.xml"/>
  <Override ContentType="application/vnd.openxmlformats-officedocument.spreadsheetml.worksheet+xml" PartName="/xl/worksheets/sheet22977.xml"/>
  <Override ContentType="application/vnd.openxmlformats-officedocument.spreadsheetml.worksheet+xml" PartName="/xl/worksheets/sheet22978.xml"/>
  <Override ContentType="application/vnd.openxmlformats-officedocument.spreadsheetml.worksheet+xml" PartName="/xl/worksheets/sheet22979.xml"/>
  <Override ContentType="application/vnd.openxmlformats-officedocument.spreadsheetml.worksheet+xml" PartName="/xl/worksheets/sheet22980.xml"/>
  <Override ContentType="application/vnd.openxmlformats-officedocument.spreadsheetml.worksheet+xml" PartName="/xl/worksheets/sheet22981.xml"/>
  <Override ContentType="application/vnd.openxmlformats-officedocument.spreadsheetml.worksheet+xml" PartName="/xl/worksheets/sheet22982.xml"/>
  <Override ContentType="application/vnd.openxmlformats-officedocument.spreadsheetml.worksheet+xml" PartName="/xl/worksheets/sheet22983.xml"/>
  <Override ContentType="application/vnd.openxmlformats-officedocument.spreadsheetml.worksheet+xml" PartName="/xl/worksheets/sheet22984.xml"/>
  <Override ContentType="application/vnd.openxmlformats-officedocument.spreadsheetml.worksheet+xml" PartName="/xl/worksheets/sheet22985.xml"/>
  <Override ContentType="application/vnd.openxmlformats-officedocument.spreadsheetml.worksheet+xml" PartName="/xl/worksheets/sheet22986.xml"/>
  <Override ContentType="application/vnd.openxmlformats-officedocument.spreadsheetml.worksheet+xml" PartName="/xl/worksheets/sheet22987.xml"/>
  <Override ContentType="application/vnd.openxmlformats-officedocument.spreadsheetml.worksheet+xml" PartName="/xl/worksheets/sheet22988.xml"/>
  <Override ContentType="application/vnd.openxmlformats-officedocument.spreadsheetml.worksheet+xml" PartName="/xl/worksheets/sheet22989.xml"/>
  <Override ContentType="application/vnd.openxmlformats-officedocument.spreadsheetml.worksheet+xml" PartName="/xl/worksheets/sheet22990.xml"/>
  <Override ContentType="application/vnd.openxmlformats-officedocument.spreadsheetml.worksheet+xml" PartName="/xl/worksheets/sheet22991.xml"/>
  <Override ContentType="application/vnd.openxmlformats-officedocument.spreadsheetml.worksheet+xml" PartName="/xl/worksheets/sheet22992.xml"/>
  <Override ContentType="application/vnd.openxmlformats-officedocument.spreadsheetml.worksheet+xml" PartName="/xl/worksheets/sheet22993.xml"/>
  <Override ContentType="application/vnd.openxmlformats-officedocument.spreadsheetml.worksheet+xml" PartName="/xl/worksheets/sheet22994.xml"/>
  <Override ContentType="application/vnd.openxmlformats-officedocument.spreadsheetml.worksheet+xml" PartName="/xl/worksheets/sheet22995.xml"/>
  <Override ContentType="application/vnd.openxmlformats-officedocument.spreadsheetml.worksheet+xml" PartName="/xl/worksheets/sheet22996.xml"/>
  <Override ContentType="application/vnd.openxmlformats-officedocument.spreadsheetml.worksheet+xml" PartName="/xl/worksheets/sheet22997.xml"/>
  <Override ContentType="application/vnd.openxmlformats-officedocument.spreadsheetml.worksheet+xml" PartName="/xl/worksheets/sheet22998.xml"/>
  <Override ContentType="application/vnd.openxmlformats-officedocument.spreadsheetml.worksheet+xml" PartName="/xl/worksheets/sheet22999.xml"/>
  <Override ContentType="application/vnd.openxmlformats-officedocument.spreadsheetml.worksheet+xml" PartName="/xl/worksheets/sheet23000.xml"/>
  <Override ContentType="application/vnd.openxmlformats-officedocument.spreadsheetml.worksheet+xml" PartName="/xl/worksheets/sheet23001.xml"/>
  <Override ContentType="application/vnd.openxmlformats-officedocument.spreadsheetml.worksheet+xml" PartName="/xl/worksheets/sheet23002.xml"/>
  <Override ContentType="application/vnd.openxmlformats-officedocument.spreadsheetml.worksheet+xml" PartName="/xl/worksheets/sheet23003.xml"/>
  <Override ContentType="application/vnd.openxmlformats-officedocument.spreadsheetml.worksheet+xml" PartName="/xl/worksheets/sheet23004.xml"/>
  <Override ContentType="application/vnd.openxmlformats-officedocument.spreadsheetml.worksheet+xml" PartName="/xl/worksheets/sheet23005.xml"/>
  <Override ContentType="application/vnd.openxmlformats-officedocument.spreadsheetml.worksheet+xml" PartName="/xl/worksheets/sheet23006.xml"/>
  <Override ContentType="application/vnd.openxmlformats-officedocument.spreadsheetml.worksheet+xml" PartName="/xl/worksheets/sheet23007.xml"/>
  <Override ContentType="application/vnd.openxmlformats-officedocument.spreadsheetml.worksheet+xml" PartName="/xl/worksheets/sheet23008.xml"/>
  <Override ContentType="application/vnd.openxmlformats-officedocument.spreadsheetml.worksheet+xml" PartName="/xl/worksheets/sheet23009.xml"/>
  <Override ContentType="application/vnd.openxmlformats-officedocument.spreadsheetml.worksheet+xml" PartName="/xl/worksheets/sheet23010.xml"/>
  <Override ContentType="application/vnd.openxmlformats-officedocument.spreadsheetml.worksheet+xml" PartName="/xl/worksheets/sheet23011.xml"/>
  <Override ContentType="application/vnd.openxmlformats-officedocument.spreadsheetml.worksheet+xml" PartName="/xl/worksheets/sheet23012.xml"/>
  <Override ContentType="application/vnd.openxmlformats-officedocument.spreadsheetml.worksheet+xml" PartName="/xl/worksheets/sheet23013.xml"/>
  <Override ContentType="application/vnd.openxmlformats-officedocument.spreadsheetml.worksheet+xml" PartName="/xl/worksheets/sheet23014.xml"/>
  <Override ContentType="application/vnd.openxmlformats-officedocument.spreadsheetml.worksheet+xml" PartName="/xl/worksheets/sheet23015.xml"/>
  <Override ContentType="application/vnd.openxmlformats-officedocument.spreadsheetml.worksheet+xml" PartName="/xl/worksheets/sheet23016.xml"/>
  <Override ContentType="application/vnd.openxmlformats-officedocument.spreadsheetml.worksheet+xml" PartName="/xl/worksheets/sheet23017.xml"/>
  <Override ContentType="application/vnd.openxmlformats-officedocument.spreadsheetml.worksheet+xml" PartName="/xl/worksheets/sheet23018.xml"/>
  <Override ContentType="application/vnd.openxmlformats-officedocument.spreadsheetml.worksheet+xml" PartName="/xl/worksheets/sheet23019.xml"/>
  <Override ContentType="application/vnd.openxmlformats-officedocument.spreadsheetml.worksheet+xml" PartName="/xl/worksheets/sheet23020.xml"/>
  <Override ContentType="application/vnd.openxmlformats-officedocument.spreadsheetml.worksheet+xml" PartName="/xl/worksheets/sheet23021.xml"/>
  <Override ContentType="application/vnd.openxmlformats-officedocument.spreadsheetml.worksheet+xml" PartName="/xl/worksheets/sheet23022.xml"/>
  <Override ContentType="application/vnd.openxmlformats-officedocument.spreadsheetml.worksheet+xml" PartName="/xl/worksheets/sheet23023.xml"/>
  <Override ContentType="application/vnd.openxmlformats-officedocument.spreadsheetml.worksheet+xml" PartName="/xl/worksheets/sheet23024.xml"/>
  <Override ContentType="application/vnd.openxmlformats-officedocument.spreadsheetml.worksheet+xml" PartName="/xl/worksheets/sheet23025.xml"/>
  <Override ContentType="application/vnd.openxmlformats-officedocument.spreadsheetml.worksheet+xml" PartName="/xl/worksheets/sheet23026.xml"/>
  <Override ContentType="application/vnd.openxmlformats-officedocument.spreadsheetml.worksheet+xml" PartName="/xl/worksheets/sheet23027.xml"/>
  <Override ContentType="application/vnd.openxmlformats-officedocument.spreadsheetml.worksheet+xml" PartName="/xl/worksheets/sheet23028.xml"/>
  <Override ContentType="application/vnd.openxmlformats-officedocument.spreadsheetml.worksheet+xml" PartName="/xl/worksheets/sheet23029.xml"/>
  <Override ContentType="application/vnd.openxmlformats-officedocument.spreadsheetml.worksheet+xml" PartName="/xl/worksheets/sheet23030.xml"/>
  <Override ContentType="application/vnd.openxmlformats-officedocument.spreadsheetml.worksheet+xml" PartName="/xl/worksheets/sheet23031.xml"/>
  <Override ContentType="application/vnd.openxmlformats-officedocument.spreadsheetml.worksheet+xml" PartName="/xl/worksheets/sheet23032.xml"/>
  <Override ContentType="application/vnd.openxmlformats-officedocument.spreadsheetml.worksheet+xml" PartName="/xl/worksheets/sheet23033.xml"/>
  <Override ContentType="application/vnd.openxmlformats-officedocument.spreadsheetml.worksheet+xml" PartName="/xl/worksheets/sheet23034.xml"/>
  <Override ContentType="application/vnd.openxmlformats-officedocument.spreadsheetml.worksheet+xml" PartName="/xl/worksheets/sheet23035.xml"/>
  <Override ContentType="application/vnd.openxmlformats-officedocument.spreadsheetml.worksheet+xml" PartName="/xl/worksheets/sheet23036.xml"/>
  <Override ContentType="application/vnd.openxmlformats-officedocument.spreadsheetml.worksheet+xml" PartName="/xl/worksheets/sheet23037.xml"/>
  <Override ContentType="application/vnd.openxmlformats-officedocument.spreadsheetml.worksheet+xml" PartName="/xl/worksheets/sheet23038.xml"/>
  <Override ContentType="application/vnd.openxmlformats-officedocument.spreadsheetml.worksheet+xml" PartName="/xl/worksheets/sheet23039.xml"/>
  <Override ContentType="application/vnd.openxmlformats-officedocument.spreadsheetml.worksheet+xml" PartName="/xl/worksheets/sheet23040.xml"/>
  <Override ContentType="application/vnd.openxmlformats-officedocument.spreadsheetml.worksheet+xml" PartName="/xl/worksheets/sheet23041.xml"/>
  <Override ContentType="application/vnd.openxmlformats-officedocument.spreadsheetml.worksheet+xml" PartName="/xl/worksheets/sheet23042.xml"/>
  <Override ContentType="application/vnd.openxmlformats-officedocument.spreadsheetml.worksheet+xml" PartName="/xl/worksheets/sheet23043.xml"/>
  <Override ContentType="application/vnd.openxmlformats-officedocument.spreadsheetml.worksheet+xml" PartName="/xl/worksheets/sheet23044.xml"/>
  <Override ContentType="application/vnd.openxmlformats-officedocument.spreadsheetml.worksheet+xml" PartName="/xl/worksheets/sheet23045.xml"/>
  <Override ContentType="application/vnd.openxmlformats-officedocument.spreadsheetml.worksheet+xml" PartName="/xl/worksheets/sheet23046.xml"/>
  <Override ContentType="application/vnd.openxmlformats-officedocument.spreadsheetml.worksheet+xml" PartName="/xl/worksheets/sheet23047.xml"/>
  <Override ContentType="application/vnd.openxmlformats-officedocument.spreadsheetml.worksheet+xml" PartName="/xl/worksheets/sheet23048.xml"/>
  <Override ContentType="application/vnd.openxmlformats-officedocument.spreadsheetml.worksheet+xml" PartName="/xl/worksheets/sheet23049.xml"/>
  <Override ContentType="application/vnd.openxmlformats-officedocument.spreadsheetml.worksheet+xml" PartName="/xl/worksheets/sheet23050.xml"/>
  <Override ContentType="application/vnd.openxmlformats-officedocument.spreadsheetml.worksheet+xml" PartName="/xl/worksheets/sheet23051.xml"/>
  <Override ContentType="application/vnd.openxmlformats-officedocument.spreadsheetml.worksheet+xml" PartName="/xl/worksheets/sheet23052.xml"/>
  <Override ContentType="application/vnd.openxmlformats-officedocument.spreadsheetml.worksheet+xml" PartName="/xl/worksheets/sheet23053.xml"/>
  <Override ContentType="application/vnd.openxmlformats-officedocument.spreadsheetml.worksheet+xml" PartName="/xl/worksheets/sheet23054.xml"/>
  <Override ContentType="application/vnd.openxmlformats-officedocument.spreadsheetml.worksheet+xml" PartName="/xl/worksheets/sheet23055.xml"/>
  <Override ContentType="application/vnd.openxmlformats-officedocument.spreadsheetml.worksheet+xml" PartName="/xl/worksheets/sheet23056.xml"/>
  <Override ContentType="application/vnd.openxmlformats-officedocument.spreadsheetml.worksheet+xml" PartName="/xl/worksheets/sheet23057.xml"/>
  <Override ContentType="application/vnd.openxmlformats-officedocument.spreadsheetml.worksheet+xml" PartName="/xl/worksheets/sheet23058.xml"/>
  <Override ContentType="application/vnd.openxmlformats-officedocument.spreadsheetml.worksheet+xml" PartName="/xl/worksheets/sheet23059.xml"/>
  <Override ContentType="application/vnd.openxmlformats-officedocument.spreadsheetml.worksheet+xml" PartName="/xl/worksheets/sheet23060.xml"/>
  <Override ContentType="application/vnd.openxmlformats-officedocument.spreadsheetml.worksheet+xml" PartName="/xl/worksheets/sheet23061.xml"/>
  <Override ContentType="application/vnd.openxmlformats-officedocument.spreadsheetml.worksheet+xml" PartName="/xl/worksheets/sheet23062.xml"/>
  <Override ContentType="application/vnd.openxmlformats-officedocument.spreadsheetml.worksheet+xml" PartName="/xl/worksheets/sheet23063.xml"/>
  <Override ContentType="application/vnd.openxmlformats-officedocument.spreadsheetml.worksheet+xml" PartName="/xl/worksheets/sheet23064.xml"/>
  <Override ContentType="application/vnd.openxmlformats-officedocument.spreadsheetml.worksheet+xml" PartName="/xl/worksheets/sheet23065.xml"/>
  <Override ContentType="application/vnd.openxmlformats-officedocument.spreadsheetml.worksheet+xml" PartName="/xl/worksheets/sheet23066.xml"/>
  <Override ContentType="application/vnd.openxmlformats-officedocument.spreadsheetml.worksheet+xml" PartName="/xl/worksheets/sheet23067.xml"/>
  <Override ContentType="application/vnd.openxmlformats-officedocument.spreadsheetml.worksheet+xml" PartName="/xl/worksheets/sheet23068.xml"/>
  <Override ContentType="application/vnd.openxmlformats-officedocument.spreadsheetml.worksheet+xml" PartName="/xl/worksheets/sheet23069.xml"/>
  <Override ContentType="application/vnd.openxmlformats-officedocument.spreadsheetml.worksheet+xml" PartName="/xl/worksheets/sheet23070.xml"/>
  <Override ContentType="application/vnd.openxmlformats-officedocument.spreadsheetml.worksheet+xml" PartName="/xl/worksheets/sheet23071.xml"/>
  <Override ContentType="application/vnd.openxmlformats-officedocument.spreadsheetml.worksheet+xml" PartName="/xl/worksheets/sheet23072.xml"/>
  <Override ContentType="application/vnd.openxmlformats-officedocument.spreadsheetml.worksheet+xml" PartName="/xl/worksheets/sheet23073.xml"/>
  <Override ContentType="application/vnd.openxmlformats-officedocument.spreadsheetml.worksheet+xml" PartName="/xl/worksheets/sheet23074.xml"/>
  <Override ContentType="application/vnd.openxmlformats-officedocument.spreadsheetml.worksheet+xml" PartName="/xl/worksheets/sheet23075.xml"/>
  <Override ContentType="application/vnd.openxmlformats-officedocument.spreadsheetml.worksheet+xml" PartName="/xl/worksheets/sheet23076.xml"/>
  <Override ContentType="application/vnd.openxmlformats-officedocument.spreadsheetml.worksheet+xml" PartName="/xl/worksheets/sheet23077.xml"/>
  <Override ContentType="application/vnd.openxmlformats-officedocument.spreadsheetml.worksheet+xml" PartName="/xl/worksheets/sheet23078.xml"/>
  <Override ContentType="application/vnd.openxmlformats-officedocument.spreadsheetml.worksheet+xml" PartName="/xl/worksheets/sheet23079.xml"/>
  <Override ContentType="application/vnd.openxmlformats-officedocument.spreadsheetml.worksheet+xml" PartName="/xl/worksheets/sheet23080.xml"/>
  <Override ContentType="application/vnd.openxmlformats-officedocument.spreadsheetml.worksheet+xml" PartName="/xl/worksheets/sheet23081.xml"/>
  <Override ContentType="application/vnd.openxmlformats-officedocument.spreadsheetml.worksheet+xml" PartName="/xl/worksheets/sheet23082.xml"/>
  <Override ContentType="application/vnd.openxmlformats-officedocument.spreadsheetml.worksheet+xml" PartName="/xl/worksheets/sheet23083.xml"/>
  <Override ContentType="application/vnd.openxmlformats-officedocument.spreadsheetml.worksheet+xml" PartName="/xl/worksheets/sheet23084.xml"/>
  <Override ContentType="application/vnd.openxmlformats-officedocument.spreadsheetml.worksheet+xml" PartName="/xl/worksheets/sheet23085.xml"/>
  <Override ContentType="application/vnd.openxmlformats-officedocument.spreadsheetml.worksheet+xml" PartName="/xl/worksheets/sheet23086.xml"/>
  <Override ContentType="application/vnd.openxmlformats-officedocument.spreadsheetml.worksheet+xml" PartName="/xl/worksheets/sheet23087.xml"/>
  <Override ContentType="application/vnd.openxmlformats-officedocument.spreadsheetml.worksheet+xml" PartName="/xl/worksheets/sheet23088.xml"/>
  <Override ContentType="application/vnd.openxmlformats-officedocument.spreadsheetml.worksheet+xml" PartName="/xl/worksheets/sheet23089.xml"/>
  <Override ContentType="application/vnd.openxmlformats-officedocument.spreadsheetml.worksheet+xml" PartName="/xl/worksheets/sheet23090.xml"/>
  <Override ContentType="application/vnd.openxmlformats-officedocument.spreadsheetml.worksheet+xml" PartName="/xl/worksheets/sheet23091.xml"/>
  <Override ContentType="application/vnd.openxmlformats-officedocument.spreadsheetml.worksheet+xml" PartName="/xl/worksheets/sheet23092.xml"/>
  <Override ContentType="application/vnd.openxmlformats-officedocument.spreadsheetml.worksheet+xml" PartName="/xl/worksheets/sheet23093.xml"/>
  <Override ContentType="application/vnd.openxmlformats-officedocument.spreadsheetml.worksheet+xml" PartName="/xl/worksheets/sheet23094.xml"/>
  <Override ContentType="application/vnd.openxmlformats-officedocument.spreadsheetml.worksheet+xml" PartName="/xl/worksheets/sheet23095.xml"/>
  <Override ContentType="application/vnd.openxmlformats-officedocument.spreadsheetml.worksheet+xml" PartName="/xl/worksheets/sheet23096.xml"/>
  <Override ContentType="application/vnd.openxmlformats-officedocument.spreadsheetml.worksheet+xml" PartName="/xl/worksheets/sheet23097.xml"/>
  <Override ContentType="application/vnd.openxmlformats-officedocument.spreadsheetml.worksheet+xml" PartName="/xl/worksheets/sheet23098.xml"/>
  <Override ContentType="application/vnd.openxmlformats-officedocument.spreadsheetml.worksheet+xml" PartName="/xl/worksheets/sheet23099.xml"/>
  <Override ContentType="application/vnd.openxmlformats-officedocument.spreadsheetml.worksheet+xml" PartName="/xl/worksheets/sheet23100.xml"/>
  <Override ContentType="application/vnd.openxmlformats-officedocument.spreadsheetml.worksheet+xml" PartName="/xl/worksheets/sheet23101.xml"/>
  <Override ContentType="application/vnd.openxmlformats-officedocument.spreadsheetml.worksheet+xml" PartName="/xl/worksheets/sheet23102.xml"/>
  <Override ContentType="application/vnd.openxmlformats-officedocument.spreadsheetml.worksheet+xml" PartName="/xl/worksheets/sheet23103.xml"/>
  <Override ContentType="application/vnd.openxmlformats-officedocument.spreadsheetml.worksheet+xml" PartName="/xl/worksheets/sheet23104.xml"/>
  <Override ContentType="application/vnd.openxmlformats-officedocument.spreadsheetml.worksheet+xml" PartName="/xl/worksheets/sheet23105.xml"/>
  <Override ContentType="application/vnd.openxmlformats-officedocument.spreadsheetml.worksheet+xml" PartName="/xl/worksheets/sheet23106.xml"/>
  <Override ContentType="application/vnd.openxmlformats-officedocument.spreadsheetml.worksheet+xml" PartName="/xl/worksheets/sheet23107.xml"/>
  <Override ContentType="application/vnd.openxmlformats-officedocument.spreadsheetml.worksheet+xml" PartName="/xl/worksheets/sheet23108.xml"/>
  <Override ContentType="application/vnd.openxmlformats-officedocument.spreadsheetml.worksheet+xml" PartName="/xl/worksheets/sheet23109.xml"/>
  <Override ContentType="application/vnd.openxmlformats-officedocument.spreadsheetml.worksheet+xml" PartName="/xl/worksheets/sheet23110.xml"/>
  <Override ContentType="application/vnd.openxmlformats-officedocument.spreadsheetml.worksheet+xml" PartName="/xl/worksheets/sheet23111.xml"/>
  <Override ContentType="application/vnd.openxmlformats-officedocument.spreadsheetml.worksheet+xml" PartName="/xl/worksheets/sheet23112.xml"/>
  <Override ContentType="application/vnd.openxmlformats-officedocument.spreadsheetml.worksheet+xml" PartName="/xl/worksheets/sheet23113.xml"/>
  <Override ContentType="application/vnd.openxmlformats-officedocument.spreadsheetml.worksheet+xml" PartName="/xl/worksheets/sheet23114.xml"/>
  <Override ContentType="application/vnd.openxmlformats-officedocument.spreadsheetml.worksheet+xml" PartName="/xl/worksheets/sheet23115.xml"/>
  <Override ContentType="application/vnd.openxmlformats-officedocument.spreadsheetml.worksheet+xml" PartName="/xl/worksheets/sheet23116.xml"/>
  <Override ContentType="application/vnd.openxmlformats-officedocument.spreadsheetml.worksheet+xml" PartName="/xl/worksheets/sheet23117.xml"/>
  <Override ContentType="application/vnd.openxmlformats-officedocument.spreadsheetml.worksheet+xml" PartName="/xl/worksheets/sheet23118.xml"/>
  <Override ContentType="application/vnd.openxmlformats-officedocument.spreadsheetml.worksheet+xml" PartName="/xl/worksheets/sheet23119.xml"/>
  <Override ContentType="application/vnd.openxmlformats-officedocument.spreadsheetml.worksheet+xml" PartName="/xl/worksheets/sheet23120.xml"/>
  <Override ContentType="application/vnd.openxmlformats-officedocument.spreadsheetml.worksheet+xml" PartName="/xl/worksheets/sheet23121.xml"/>
  <Override ContentType="application/vnd.openxmlformats-officedocument.spreadsheetml.worksheet+xml" PartName="/xl/worksheets/sheet23122.xml"/>
  <Override ContentType="application/vnd.openxmlformats-officedocument.spreadsheetml.worksheet+xml" PartName="/xl/worksheets/sheet23123.xml"/>
  <Override ContentType="application/vnd.openxmlformats-officedocument.spreadsheetml.worksheet+xml" PartName="/xl/worksheets/sheet23124.xml"/>
  <Override ContentType="application/vnd.openxmlformats-officedocument.spreadsheetml.worksheet+xml" PartName="/xl/worksheets/sheet23125.xml"/>
  <Override ContentType="application/vnd.openxmlformats-officedocument.spreadsheetml.worksheet+xml" PartName="/xl/worksheets/sheet23126.xml"/>
  <Override ContentType="application/vnd.openxmlformats-officedocument.spreadsheetml.worksheet+xml" PartName="/xl/worksheets/sheet23127.xml"/>
  <Override ContentType="application/vnd.openxmlformats-officedocument.spreadsheetml.worksheet+xml" PartName="/xl/worksheets/sheet23128.xml"/>
  <Override ContentType="application/vnd.openxmlformats-officedocument.spreadsheetml.worksheet+xml" PartName="/xl/worksheets/sheet23129.xml"/>
  <Override ContentType="application/vnd.openxmlformats-officedocument.spreadsheetml.worksheet+xml" PartName="/xl/worksheets/sheet23130.xml"/>
  <Override ContentType="application/vnd.openxmlformats-officedocument.spreadsheetml.worksheet+xml" PartName="/xl/worksheets/sheet23131.xml"/>
  <Override ContentType="application/vnd.openxmlformats-officedocument.spreadsheetml.worksheet+xml" PartName="/xl/worksheets/sheet23132.xml"/>
  <Override ContentType="application/vnd.openxmlformats-officedocument.spreadsheetml.worksheet+xml" PartName="/xl/worksheets/sheet23133.xml"/>
  <Override ContentType="application/vnd.openxmlformats-officedocument.spreadsheetml.worksheet+xml" PartName="/xl/worksheets/sheet23134.xml"/>
  <Override ContentType="application/vnd.openxmlformats-officedocument.spreadsheetml.worksheet+xml" PartName="/xl/worksheets/sheet23135.xml"/>
  <Override ContentType="application/vnd.openxmlformats-officedocument.spreadsheetml.worksheet+xml" PartName="/xl/worksheets/sheet23136.xml"/>
  <Override ContentType="application/vnd.openxmlformats-officedocument.spreadsheetml.worksheet+xml" PartName="/xl/worksheets/sheet23137.xml"/>
  <Override ContentType="application/vnd.openxmlformats-officedocument.spreadsheetml.worksheet+xml" PartName="/xl/worksheets/sheet23138.xml"/>
  <Override ContentType="application/vnd.openxmlformats-officedocument.spreadsheetml.worksheet+xml" PartName="/xl/worksheets/sheet23139.xml"/>
  <Override ContentType="application/vnd.openxmlformats-officedocument.spreadsheetml.worksheet+xml" PartName="/xl/worksheets/sheet23140.xml"/>
  <Override ContentType="application/vnd.openxmlformats-officedocument.spreadsheetml.worksheet+xml" PartName="/xl/worksheets/sheet23141.xml"/>
  <Override ContentType="application/vnd.openxmlformats-officedocument.spreadsheetml.worksheet+xml" PartName="/xl/worksheets/sheet23142.xml"/>
  <Override ContentType="application/vnd.openxmlformats-officedocument.spreadsheetml.worksheet+xml" PartName="/xl/worksheets/sheet23143.xml"/>
  <Override ContentType="application/vnd.openxmlformats-officedocument.spreadsheetml.worksheet+xml" PartName="/xl/worksheets/sheet23144.xml"/>
  <Override ContentType="application/vnd.openxmlformats-officedocument.spreadsheetml.worksheet+xml" PartName="/xl/worksheets/sheet23145.xml"/>
  <Override ContentType="application/vnd.openxmlformats-officedocument.spreadsheetml.worksheet+xml" PartName="/xl/worksheets/sheet23146.xml"/>
  <Override ContentType="application/vnd.openxmlformats-officedocument.spreadsheetml.worksheet+xml" PartName="/xl/worksheets/sheet23147.xml"/>
  <Override ContentType="application/vnd.openxmlformats-officedocument.spreadsheetml.worksheet+xml" PartName="/xl/worksheets/sheet23148.xml"/>
  <Override ContentType="application/vnd.openxmlformats-officedocument.spreadsheetml.worksheet+xml" PartName="/xl/worksheets/sheet23149.xml"/>
  <Override ContentType="application/vnd.openxmlformats-officedocument.spreadsheetml.worksheet+xml" PartName="/xl/worksheets/sheet23150.xml"/>
  <Override ContentType="application/vnd.openxmlformats-officedocument.spreadsheetml.worksheet+xml" PartName="/xl/worksheets/sheet23151.xml"/>
  <Override ContentType="application/vnd.openxmlformats-officedocument.spreadsheetml.worksheet+xml" PartName="/xl/worksheets/sheet23152.xml"/>
  <Override ContentType="application/vnd.openxmlformats-officedocument.spreadsheetml.worksheet+xml" PartName="/xl/worksheets/sheet23153.xml"/>
  <Override ContentType="application/vnd.openxmlformats-officedocument.spreadsheetml.worksheet+xml" PartName="/xl/worksheets/sheet23154.xml"/>
  <Override ContentType="application/vnd.openxmlformats-officedocument.spreadsheetml.worksheet+xml" PartName="/xl/worksheets/sheet23155.xml"/>
  <Override ContentType="application/vnd.openxmlformats-officedocument.spreadsheetml.worksheet+xml" PartName="/xl/worksheets/sheet23156.xml"/>
  <Override ContentType="application/vnd.openxmlformats-officedocument.spreadsheetml.worksheet+xml" PartName="/xl/worksheets/sheet23157.xml"/>
  <Override ContentType="application/vnd.openxmlformats-officedocument.spreadsheetml.worksheet+xml" PartName="/xl/worksheets/sheet23158.xml"/>
  <Override ContentType="application/vnd.openxmlformats-officedocument.spreadsheetml.worksheet+xml" PartName="/xl/worksheets/sheet23159.xml"/>
  <Override ContentType="application/vnd.openxmlformats-officedocument.spreadsheetml.worksheet+xml" PartName="/xl/worksheets/sheet23160.xml"/>
  <Override ContentType="application/vnd.openxmlformats-officedocument.spreadsheetml.worksheet+xml" PartName="/xl/worksheets/sheet23161.xml"/>
  <Override ContentType="application/vnd.openxmlformats-officedocument.spreadsheetml.worksheet+xml" PartName="/xl/worksheets/sheet23162.xml"/>
  <Override ContentType="application/vnd.openxmlformats-officedocument.spreadsheetml.worksheet+xml" PartName="/xl/worksheets/sheet23163.xml"/>
  <Override ContentType="application/vnd.openxmlformats-officedocument.spreadsheetml.worksheet+xml" PartName="/xl/worksheets/sheet23164.xml"/>
  <Override ContentType="application/vnd.openxmlformats-officedocument.spreadsheetml.worksheet+xml" PartName="/xl/worksheets/sheet23165.xml"/>
  <Override ContentType="application/vnd.openxmlformats-officedocument.spreadsheetml.worksheet+xml" PartName="/xl/worksheets/sheet23166.xml"/>
  <Override ContentType="application/vnd.openxmlformats-officedocument.spreadsheetml.worksheet+xml" PartName="/xl/worksheets/sheet23167.xml"/>
  <Override ContentType="application/vnd.openxmlformats-officedocument.spreadsheetml.worksheet+xml" PartName="/xl/worksheets/sheet23168.xml"/>
  <Override ContentType="application/vnd.openxmlformats-officedocument.spreadsheetml.worksheet+xml" PartName="/xl/worksheets/sheet23169.xml"/>
  <Override ContentType="application/vnd.openxmlformats-officedocument.spreadsheetml.worksheet+xml" PartName="/xl/worksheets/sheet23170.xml"/>
  <Override ContentType="application/vnd.openxmlformats-officedocument.spreadsheetml.worksheet+xml" PartName="/xl/worksheets/sheet23171.xml"/>
  <Override ContentType="application/vnd.openxmlformats-officedocument.spreadsheetml.worksheet+xml" PartName="/xl/worksheets/sheet23172.xml"/>
  <Override ContentType="application/vnd.openxmlformats-officedocument.spreadsheetml.worksheet+xml" PartName="/xl/worksheets/sheet23173.xml"/>
  <Override ContentType="application/vnd.openxmlformats-officedocument.spreadsheetml.worksheet+xml" PartName="/xl/worksheets/sheet23174.xml"/>
  <Override ContentType="application/vnd.openxmlformats-officedocument.spreadsheetml.worksheet+xml" PartName="/xl/worksheets/sheet23175.xml"/>
  <Override ContentType="application/vnd.openxmlformats-officedocument.spreadsheetml.worksheet+xml" PartName="/xl/worksheets/sheet23176.xml"/>
  <Override ContentType="application/vnd.openxmlformats-officedocument.spreadsheetml.worksheet+xml" PartName="/xl/worksheets/sheet23177.xml"/>
  <Override ContentType="application/vnd.openxmlformats-officedocument.spreadsheetml.worksheet+xml" PartName="/xl/worksheets/sheet23178.xml"/>
  <Override ContentType="application/vnd.openxmlformats-officedocument.spreadsheetml.worksheet+xml" PartName="/xl/worksheets/sheet23179.xml"/>
  <Override ContentType="application/vnd.openxmlformats-officedocument.spreadsheetml.worksheet+xml" PartName="/xl/worksheets/sheet23180.xml"/>
  <Override ContentType="application/vnd.openxmlformats-officedocument.spreadsheetml.worksheet+xml" PartName="/xl/worksheets/sheet23181.xml"/>
  <Override ContentType="application/vnd.openxmlformats-officedocument.spreadsheetml.worksheet+xml" PartName="/xl/worksheets/sheet23182.xml"/>
  <Override ContentType="application/vnd.openxmlformats-officedocument.spreadsheetml.worksheet+xml" PartName="/xl/worksheets/sheet23183.xml"/>
  <Override ContentType="application/vnd.openxmlformats-officedocument.spreadsheetml.worksheet+xml" PartName="/xl/worksheets/sheet23184.xml"/>
  <Override ContentType="application/vnd.openxmlformats-officedocument.spreadsheetml.worksheet+xml" PartName="/xl/worksheets/sheet23185.xml"/>
  <Override ContentType="application/vnd.openxmlformats-officedocument.spreadsheetml.worksheet+xml" PartName="/xl/worksheets/sheet23186.xml"/>
  <Override ContentType="application/vnd.openxmlformats-officedocument.spreadsheetml.worksheet+xml" PartName="/xl/worksheets/sheet23187.xml"/>
  <Override ContentType="application/vnd.openxmlformats-officedocument.spreadsheetml.worksheet+xml" PartName="/xl/worksheets/sheet23188.xml"/>
  <Override ContentType="application/vnd.openxmlformats-officedocument.spreadsheetml.worksheet+xml" PartName="/xl/worksheets/sheet23189.xml"/>
  <Override ContentType="application/vnd.openxmlformats-officedocument.spreadsheetml.worksheet+xml" PartName="/xl/worksheets/sheet23190.xml"/>
  <Override ContentType="application/vnd.openxmlformats-officedocument.spreadsheetml.worksheet+xml" PartName="/xl/worksheets/sheet23191.xml"/>
  <Override ContentType="application/vnd.openxmlformats-officedocument.spreadsheetml.worksheet+xml" PartName="/xl/worksheets/sheet23192.xml"/>
  <Override ContentType="application/vnd.openxmlformats-officedocument.spreadsheetml.worksheet+xml" PartName="/xl/worksheets/sheet23193.xml"/>
  <Override ContentType="application/vnd.openxmlformats-officedocument.spreadsheetml.worksheet+xml" PartName="/xl/worksheets/sheet23194.xml"/>
  <Override ContentType="application/vnd.openxmlformats-officedocument.spreadsheetml.worksheet+xml" PartName="/xl/worksheets/sheet23195.xml"/>
  <Override ContentType="application/vnd.openxmlformats-officedocument.spreadsheetml.worksheet+xml" PartName="/xl/worksheets/sheet23196.xml"/>
  <Override ContentType="application/vnd.openxmlformats-officedocument.spreadsheetml.worksheet+xml" PartName="/xl/worksheets/sheet23197.xml"/>
  <Override ContentType="application/vnd.openxmlformats-officedocument.spreadsheetml.worksheet+xml" PartName="/xl/worksheets/sheet23198.xml"/>
  <Override ContentType="application/vnd.openxmlformats-officedocument.spreadsheetml.worksheet+xml" PartName="/xl/worksheets/sheet23199.xml"/>
  <Override ContentType="application/vnd.openxmlformats-officedocument.spreadsheetml.worksheet+xml" PartName="/xl/worksheets/sheet23200.xml"/>
  <Override ContentType="application/vnd.openxmlformats-officedocument.spreadsheetml.worksheet+xml" PartName="/xl/worksheets/sheet23201.xml"/>
  <Override ContentType="application/vnd.openxmlformats-officedocument.spreadsheetml.worksheet+xml" PartName="/xl/worksheets/sheet23202.xml"/>
  <Override ContentType="application/vnd.openxmlformats-officedocument.spreadsheetml.worksheet+xml" PartName="/xl/worksheets/sheet23203.xml"/>
  <Override ContentType="application/vnd.openxmlformats-officedocument.spreadsheetml.worksheet+xml" PartName="/xl/worksheets/sheet23204.xml"/>
  <Override ContentType="application/vnd.openxmlformats-officedocument.spreadsheetml.worksheet+xml" PartName="/xl/worksheets/sheet23205.xml"/>
  <Override ContentType="application/vnd.openxmlformats-officedocument.spreadsheetml.worksheet+xml" PartName="/xl/worksheets/sheet23206.xml"/>
  <Override ContentType="application/vnd.openxmlformats-officedocument.spreadsheetml.worksheet+xml" PartName="/xl/worksheets/sheet23207.xml"/>
  <Override ContentType="application/vnd.openxmlformats-officedocument.spreadsheetml.worksheet+xml" PartName="/xl/worksheets/sheet23208.xml"/>
  <Override ContentType="application/vnd.openxmlformats-officedocument.spreadsheetml.worksheet+xml" PartName="/xl/worksheets/sheet23209.xml"/>
  <Override ContentType="application/vnd.openxmlformats-officedocument.spreadsheetml.worksheet+xml" PartName="/xl/worksheets/sheet23210.xml"/>
  <Override ContentType="application/vnd.openxmlformats-officedocument.spreadsheetml.worksheet+xml" PartName="/xl/worksheets/sheet23211.xml"/>
  <Override ContentType="application/vnd.openxmlformats-officedocument.spreadsheetml.worksheet+xml" PartName="/xl/worksheets/sheet23212.xml"/>
  <Override ContentType="application/vnd.openxmlformats-officedocument.spreadsheetml.worksheet+xml" PartName="/xl/worksheets/sheet23213.xml"/>
  <Override ContentType="application/vnd.openxmlformats-officedocument.spreadsheetml.worksheet+xml" PartName="/xl/worksheets/sheet23214.xml"/>
  <Override ContentType="application/vnd.openxmlformats-officedocument.spreadsheetml.worksheet+xml" PartName="/xl/worksheets/sheet23215.xml"/>
  <Override ContentType="application/vnd.openxmlformats-officedocument.spreadsheetml.worksheet+xml" PartName="/xl/worksheets/sheet23216.xml"/>
  <Override ContentType="application/vnd.openxmlformats-officedocument.spreadsheetml.worksheet+xml" PartName="/xl/worksheets/sheet23217.xml"/>
  <Override ContentType="application/vnd.openxmlformats-officedocument.spreadsheetml.worksheet+xml" PartName="/xl/worksheets/sheet23218.xml"/>
  <Override ContentType="application/vnd.openxmlformats-officedocument.spreadsheetml.worksheet+xml" PartName="/xl/worksheets/sheet23219.xml"/>
  <Override ContentType="application/vnd.openxmlformats-officedocument.spreadsheetml.worksheet+xml" PartName="/xl/worksheets/sheet23220.xml"/>
  <Override ContentType="application/vnd.openxmlformats-officedocument.spreadsheetml.worksheet+xml" PartName="/xl/worksheets/sheet23221.xml"/>
  <Override ContentType="application/vnd.openxmlformats-officedocument.spreadsheetml.worksheet+xml" PartName="/xl/worksheets/sheet23222.xml"/>
  <Override ContentType="application/vnd.openxmlformats-officedocument.spreadsheetml.worksheet+xml" PartName="/xl/worksheets/sheet23223.xml"/>
  <Override ContentType="application/vnd.openxmlformats-officedocument.spreadsheetml.worksheet+xml" PartName="/xl/worksheets/sheet23224.xml"/>
  <Override ContentType="application/vnd.openxmlformats-officedocument.spreadsheetml.worksheet+xml" PartName="/xl/worksheets/sheet23225.xml"/>
  <Override ContentType="application/vnd.openxmlformats-officedocument.spreadsheetml.worksheet+xml" PartName="/xl/worksheets/sheet23226.xml"/>
  <Override ContentType="application/vnd.openxmlformats-officedocument.spreadsheetml.worksheet+xml" PartName="/xl/worksheets/sheet23227.xml"/>
  <Override ContentType="application/vnd.openxmlformats-officedocument.spreadsheetml.worksheet+xml" PartName="/xl/worksheets/sheet23228.xml"/>
  <Override ContentType="application/vnd.openxmlformats-officedocument.spreadsheetml.worksheet+xml" PartName="/xl/worksheets/sheet23229.xml"/>
  <Override ContentType="application/vnd.openxmlformats-officedocument.spreadsheetml.worksheet+xml" PartName="/xl/worksheets/sheet23230.xml"/>
  <Override ContentType="application/vnd.openxmlformats-officedocument.spreadsheetml.worksheet+xml" PartName="/xl/worksheets/sheet23231.xml"/>
  <Override ContentType="application/vnd.openxmlformats-officedocument.spreadsheetml.worksheet+xml" PartName="/xl/worksheets/sheet23232.xml"/>
  <Override ContentType="application/vnd.openxmlformats-officedocument.spreadsheetml.worksheet+xml" PartName="/xl/worksheets/sheet23233.xml"/>
  <Override ContentType="application/vnd.openxmlformats-officedocument.spreadsheetml.worksheet+xml" PartName="/xl/worksheets/sheet23234.xml"/>
  <Override ContentType="application/vnd.openxmlformats-officedocument.spreadsheetml.worksheet+xml" PartName="/xl/worksheets/sheet23235.xml"/>
  <Override ContentType="application/vnd.openxmlformats-officedocument.spreadsheetml.worksheet+xml" PartName="/xl/worksheets/sheet23236.xml"/>
  <Override ContentType="application/vnd.openxmlformats-officedocument.spreadsheetml.worksheet+xml" PartName="/xl/worksheets/sheet23237.xml"/>
  <Override ContentType="application/vnd.openxmlformats-officedocument.spreadsheetml.worksheet+xml" PartName="/xl/worksheets/sheet23238.xml"/>
  <Override ContentType="application/vnd.openxmlformats-officedocument.spreadsheetml.worksheet+xml" PartName="/xl/worksheets/sheet23239.xml"/>
  <Override ContentType="application/vnd.openxmlformats-officedocument.spreadsheetml.worksheet+xml" PartName="/xl/worksheets/sheet23240.xml"/>
  <Override ContentType="application/vnd.openxmlformats-officedocument.spreadsheetml.worksheet+xml" PartName="/xl/worksheets/sheet23241.xml"/>
  <Override ContentType="application/vnd.openxmlformats-officedocument.spreadsheetml.worksheet+xml" PartName="/xl/worksheets/sheet23242.xml"/>
  <Override ContentType="application/vnd.openxmlformats-officedocument.spreadsheetml.worksheet+xml" PartName="/xl/worksheets/sheet23243.xml"/>
  <Override ContentType="application/vnd.openxmlformats-officedocument.spreadsheetml.worksheet+xml" PartName="/xl/worksheets/sheet23244.xml"/>
  <Override ContentType="application/vnd.openxmlformats-officedocument.spreadsheetml.worksheet+xml" PartName="/xl/worksheets/sheet23245.xml"/>
  <Override ContentType="application/vnd.openxmlformats-officedocument.spreadsheetml.worksheet+xml" PartName="/xl/worksheets/sheet23246.xml"/>
  <Override ContentType="application/vnd.openxmlformats-officedocument.spreadsheetml.worksheet+xml" PartName="/xl/worksheets/sheet23247.xml"/>
  <Override ContentType="application/vnd.openxmlformats-officedocument.spreadsheetml.worksheet+xml" PartName="/xl/worksheets/sheet23248.xml"/>
  <Override ContentType="application/vnd.openxmlformats-officedocument.spreadsheetml.worksheet+xml" PartName="/xl/worksheets/sheet23249.xml"/>
  <Override ContentType="application/vnd.openxmlformats-officedocument.spreadsheetml.worksheet+xml" PartName="/xl/worksheets/sheet23250.xml"/>
  <Override ContentType="application/vnd.openxmlformats-officedocument.spreadsheetml.worksheet+xml" PartName="/xl/worksheets/sheet23251.xml"/>
  <Override ContentType="application/vnd.openxmlformats-officedocument.spreadsheetml.worksheet+xml" PartName="/xl/worksheets/sheet23252.xml"/>
  <Override ContentType="application/vnd.openxmlformats-officedocument.spreadsheetml.worksheet+xml" PartName="/xl/worksheets/sheet23253.xml"/>
  <Override ContentType="application/vnd.openxmlformats-officedocument.spreadsheetml.worksheet+xml" PartName="/xl/worksheets/sheet23254.xml"/>
  <Override ContentType="application/vnd.openxmlformats-officedocument.spreadsheetml.worksheet+xml" PartName="/xl/worksheets/sheet23255.xml"/>
  <Override ContentType="application/vnd.openxmlformats-officedocument.spreadsheetml.worksheet+xml" PartName="/xl/worksheets/sheet23256.xml"/>
  <Override ContentType="application/vnd.openxmlformats-officedocument.spreadsheetml.worksheet+xml" PartName="/xl/worksheets/sheet23257.xml"/>
  <Override ContentType="application/vnd.openxmlformats-officedocument.spreadsheetml.worksheet+xml" PartName="/xl/worksheets/sheet23258.xml"/>
  <Override ContentType="application/vnd.openxmlformats-officedocument.spreadsheetml.worksheet+xml" PartName="/xl/worksheets/sheet23259.xml"/>
  <Override ContentType="application/vnd.openxmlformats-officedocument.spreadsheetml.worksheet+xml" PartName="/xl/worksheets/sheet23260.xml"/>
  <Override ContentType="application/vnd.openxmlformats-officedocument.spreadsheetml.worksheet+xml" PartName="/xl/worksheets/sheet23261.xml"/>
  <Override ContentType="application/vnd.openxmlformats-officedocument.spreadsheetml.worksheet+xml" PartName="/xl/worksheets/sheet23262.xml"/>
  <Override ContentType="application/vnd.openxmlformats-officedocument.spreadsheetml.worksheet+xml" PartName="/xl/worksheets/sheet23263.xml"/>
  <Override ContentType="application/vnd.openxmlformats-officedocument.spreadsheetml.worksheet+xml" PartName="/xl/worksheets/sheet23264.xml"/>
  <Override ContentType="application/vnd.openxmlformats-officedocument.spreadsheetml.worksheet+xml" PartName="/xl/worksheets/sheet23265.xml"/>
  <Override ContentType="application/vnd.openxmlformats-officedocument.spreadsheetml.worksheet+xml" PartName="/xl/worksheets/sheet23266.xml"/>
  <Override ContentType="application/vnd.openxmlformats-officedocument.spreadsheetml.worksheet+xml" PartName="/xl/worksheets/sheet23267.xml"/>
  <Override ContentType="application/vnd.openxmlformats-officedocument.spreadsheetml.worksheet+xml" PartName="/xl/worksheets/sheet23268.xml"/>
  <Override ContentType="application/vnd.openxmlformats-officedocument.spreadsheetml.worksheet+xml" PartName="/xl/worksheets/sheet23269.xml"/>
  <Override ContentType="application/vnd.openxmlformats-officedocument.spreadsheetml.worksheet+xml" PartName="/xl/worksheets/sheet23270.xml"/>
  <Override ContentType="application/vnd.openxmlformats-officedocument.spreadsheetml.worksheet+xml" PartName="/xl/worksheets/sheet23271.xml"/>
  <Override ContentType="application/vnd.openxmlformats-officedocument.spreadsheetml.worksheet+xml" PartName="/xl/worksheets/sheet23272.xml"/>
  <Override ContentType="application/vnd.openxmlformats-officedocument.spreadsheetml.worksheet+xml" PartName="/xl/worksheets/sheet23273.xml"/>
  <Override ContentType="application/vnd.openxmlformats-officedocument.spreadsheetml.worksheet+xml" PartName="/xl/worksheets/sheet23274.xml"/>
  <Override ContentType="application/vnd.openxmlformats-officedocument.spreadsheetml.worksheet+xml" PartName="/xl/worksheets/sheet23275.xml"/>
  <Override ContentType="application/vnd.openxmlformats-officedocument.spreadsheetml.worksheet+xml" PartName="/xl/worksheets/sheet23276.xml"/>
  <Override ContentType="application/vnd.openxmlformats-officedocument.spreadsheetml.worksheet+xml" PartName="/xl/worksheets/sheet23277.xml"/>
  <Override ContentType="application/vnd.openxmlformats-officedocument.spreadsheetml.worksheet+xml" PartName="/xl/worksheets/sheet23278.xml"/>
  <Override ContentType="application/vnd.openxmlformats-officedocument.spreadsheetml.worksheet+xml" PartName="/xl/worksheets/sheet23279.xml"/>
  <Override ContentType="application/vnd.openxmlformats-officedocument.spreadsheetml.worksheet+xml" PartName="/xl/worksheets/sheet23280.xml"/>
  <Override ContentType="application/vnd.openxmlformats-officedocument.spreadsheetml.worksheet+xml" PartName="/xl/worksheets/sheet23281.xml"/>
  <Override ContentType="application/vnd.openxmlformats-officedocument.spreadsheetml.worksheet+xml" PartName="/xl/worksheets/sheet23282.xml"/>
  <Override ContentType="application/vnd.openxmlformats-officedocument.spreadsheetml.worksheet+xml" PartName="/xl/worksheets/sheet23283.xml"/>
  <Override ContentType="application/vnd.openxmlformats-officedocument.spreadsheetml.worksheet+xml" PartName="/xl/worksheets/sheet23284.xml"/>
  <Override ContentType="application/vnd.openxmlformats-officedocument.spreadsheetml.worksheet+xml" PartName="/xl/worksheets/sheet23285.xml"/>
  <Override ContentType="application/vnd.openxmlformats-officedocument.spreadsheetml.worksheet+xml" PartName="/xl/worksheets/sheet23286.xml"/>
  <Override ContentType="application/vnd.openxmlformats-officedocument.spreadsheetml.worksheet+xml" PartName="/xl/worksheets/sheet23287.xml"/>
  <Override ContentType="application/vnd.openxmlformats-officedocument.spreadsheetml.worksheet+xml" PartName="/xl/worksheets/sheet23288.xml"/>
  <Override ContentType="application/vnd.openxmlformats-officedocument.spreadsheetml.worksheet+xml" PartName="/xl/worksheets/sheet23289.xml"/>
  <Override ContentType="application/vnd.openxmlformats-officedocument.spreadsheetml.worksheet+xml" PartName="/xl/worksheets/sheet23290.xml"/>
  <Override ContentType="application/vnd.openxmlformats-officedocument.spreadsheetml.worksheet+xml" PartName="/xl/worksheets/sheet23291.xml"/>
  <Override ContentType="application/vnd.openxmlformats-officedocument.spreadsheetml.worksheet+xml" PartName="/xl/worksheets/sheet23292.xml"/>
  <Override ContentType="application/vnd.openxmlformats-officedocument.spreadsheetml.worksheet+xml" PartName="/xl/worksheets/sheet23293.xml"/>
  <Override ContentType="application/vnd.openxmlformats-officedocument.spreadsheetml.worksheet+xml" PartName="/xl/worksheets/sheet23294.xml"/>
  <Override ContentType="application/vnd.openxmlformats-officedocument.spreadsheetml.worksheet+xml" PartName="/xl/worksheets/sheet23295.xml"/>
  <Override ContentType="application/vnd.openxmlformats-officedocument.spreadsheetml.worksheet+xml" PartName="/xl/worksheets/sheet23296.xml"/>
  <Override ContentType="application/vnd.openxmlformats-officedocument.spreadsheetml.worksheet+xml" PartName="/xl/worksheets/sheet23297.xml"/>
  <Override ContentType="application/vnd.openxmlformats-officedocument.spreadsheetml.worksheet+xml" PartName="/xl/worksheets/sheet23298.xml"/>
  <Override ContentType="application/vnd.openxmlformats-officedocument.spreadsheetml.worksheet+xml" PartName="/xl/worksheets/sheet23299.xml"/>
  <Override ContentType="application/vnd.openxmlformats-officedocument.spreadsheetml.worksheet+xml" PartName="/xl/worksheets/sheet23300.xml"/>
  <Override ContentType="application/vnd.openxmlformats-officedocument.spreadsheetml.worksheet+xml" PartName="/xl/worksheets/sheet23301.xml"/>
  <Override ContentType="application/vnd.openxmlformats-officedocument.spreadsheetml.worksheet+xml" PartName="/xl/worksheets/sheet23302.xml"/>
  <Override ContentType="application/vnd.openxmlformats-officedocument.spreadsheetml.worksheet+xml" PartName="/xl/worksheets/sheet23303.xml"/>
  <Override ContentType="application/vnd.openxmlformats-officedocument.spreadsheetml.worksheet+xml" PartName="/xl/worksheets/sheet23304.xml"/>
  <Override ContentType="application/vnd.openxmlformats-officedocument.spreadsheetml.worksheet+xml" PartName="/xl/worksheets/sheet23305.xml"/>
  <Override ContentType="application/vnd.openxmlformats-officedocument.spreadsheetml.worksheet+xml" PartName="/xl/worksheets/sheet23306.xml"/>
  <Override ContentType="application/vnd.openxmlformats-officedocument.spreadsheetml.worksheet+xml" PartName="/xl/worksheets/sheet23307.xml"/>
  <Override ContentType="application/vnd.openxmlformats-officedocument.spreadsheetml.worksheet+xml" PartName="/xl/worksheets/sheet23308.xml"/>
  <Override ContentType="application/vnd.openxmlformats-officedocument.spreadsheetml.worksheet+xml" PartName="/xl/worksheets/sheet23309.xml"/>
  <Override ContentType="application/vnd.openxmlformats-officedocument.spreadsheetml.worksheet+xml" PartName="/xl/worksheets/sheet23310.xml"/>
  <Override ContentType="application/vnd.openxmlformats-officedocument.spreadsheetml.worksheet+xml" PartName="/xl/worksheets/sheet23311.xml"/>
  <Override ContentType="application/vnd.openxmlformats-officedocument.spreadsheetml.worksheet+xml" PartName="/xl/worksheets/sheet23312.xml"/>
  <Override ContentType="application/vnd.openxmlformats-officedocument.spreadsheetml.worksheet+xml" PartName="/xl/worksheets/sheet23313.xml"/>
  <Override ContentType="application/vnd.openxmlformats-officedocument.spreadsheetml.worksheet+xml" PartName="/xl/worksheets/sheet23314.xml"/>
  <Override ContentType="application/vnd.openxmlformats-officedocument.spreadsheetml.worksheet+xml" PartName="/xl/worksheets/sheet23315.xml"/>
  <Override ContentType="application/vnd.openxmlformats-officedocument.spreadsheetml.worksheet+xml" PartName="/xl/worksheets/sheet23316.xml"/>
  <Override ContentType="application/vnd.openxmlformats-officedocument.spreadsheetml.worksheet+xml" PartName="/xl/worksheets/sheet23317.xml"/>
  <Override ContentType="application/vnd.openxmlformats-officedocument.spreadsheetml.worksheet+xml" PartName="/xl/worksheets/sheet23318.xml"/>
  <Override ContentType="application/vnd.openxmlformats-officedocument.spreadsheetml.worksheet+xml" PartName="/xl/worksheets/sheet23319.xml"/>
  <Override ContentType="application/vnd.openxmlformats-officedocument.spreadsheetml.worksheet+xml" PartName="/xl/worksheets/sheet23320.xml"/>
  <Override ContentType="application/vnd.openxmlformats-officedocument.spreadsheetml.worksheet+xml" PartName="/xl/worksheets/sheet23321.xml"/>
  <Override ContentType="application/vnd.openxmlformats-officedocument.spreadsheetml.worksheet+xml" PartName="/xl/worksheets/sheet23322.xml"/>
  <Override ContentType="application/vnd.openxmlformats-officedocument.spreadsheetml.worksheet+xml" PartName="/xl/worksheets/sheet23323.xml"/>
  <Override ContentType="application/vnd.openxmlformats-officedocument.spreadsheetml.worksheet+xml" PartName="/xl/worksheets/sheet23324.xml"/>
  <Override ContentType="application/vnd.openxmlformats-officedocument.spreadsheetml.worksheet+xml" PartName="/xl/worksheets/sheet23325.xml"/>
  <Override ContentType="application/vnd.openxmlformats-officedocument.spreadsheetml.worksheet+xml" PartName="/xl/worksheets/sheet23326.xml"/>
  <Override ContentType="application/vnd.openxmlformats-officedocument.spreadsheetml.worksheet+xml" PartName="/xl/worksheets/sheet23327.xml"/>
  <Override ContentType="application/vnd.openxmlformats-officedocument.spreadsheetml.worksheet+xml" PartName="/xl/worksheets/sheet23328.xml"/>
  <Override ContentType="application/vnd.openxmlformats-officedocument.spreadsheetml.worksheet+xml" PartName="/xl/worksheets/sheet23329.xml"/>
  <Override ContentType="application/vnd.openxmlformats-officedocument.spreadsheetml.worksheet+xml" PartName="/xl/worksheets/sheet23330.xml"/>
  <Override ContentType="application/vnd.openxmlformats-officedocument.spreadsheetml.worksheet+xml" PartName="/xl/worksheets/sheet23331.xml"/>
  <Override ContentType="application/vnd.openxmlformats-officedocument.spreadsheetml.worksheet+xml" PartName="/xl/worksheets/sheet23332.xml"/>
  <Override ContentType="application/vnd.openxmlformats-officedocument.spreadsheetml.worksheet+xml" PartName="/xl/worksheets/sheet23333.xml"/>
  <Override ContentType="application/vnd.openxmlformats-officedocument.spreadsheetml.worksheet+xml" PartName="/xl/worksheets/sheet23334.xml"/>
  <Override ContentType="application/vnd.openxmlformats-officedocument.spreadsheetml.worksheet+xml" PartName="/xl/worksheets/sheet23335.xml"/>
  <Override ContentType="application/vnd.openxmlformats-officedocument.spreadsheetml.worksheet+xml" PartName="/xl/worksheets/sheet23336.xml"/>
  <Override ContentType="application/vnd.openxmlformats-officedocument.spreadsheetml.worksheet+xml" PartName="/xl/worksheets/sheet23337.xml"/>
  <Override ContentType="application/vnd.openxmlformats-officedocument.spreadsheetml.worksheet+xml" PartName="/xl/worksheets/sheet23338.xml"/>
  <Override ContentType="application/vnd.openxmlformats-officedocument.spreadsheetml.worksheet+xml" PartName="/xl/worksheets/sheet23339.xml"/>
  <Override ContentType="application/vnd.openxmlformats-officedocument.spreadsheetml.worksheet+xml" PartName="/xl/worksheets/sheet23340.xml"/>
  <Override ContentType="application/vnd.openxmlformats-officedocument.spreadsheetml.worksheet+xml" PartName="/xl/worksheets/sheet23341.xml"/>
  <Override ContentType="application/vnd.openxmlformats-officedocument.spreadsheetml.worksheet+xml" PartName="/xl/worksheets/sheet23342.xml"/>
  <Override ContentType="application/vnd.openxmlformats-officedocument.spreadsheetml.worksheet+xml" PartName="/xl/worksheets/sheet23343.xml"/>
  <Override ContentType="application/vnd.openxmlformats-officedocument.spreadsheetml.worksheet+xml" PartName="/xl/worksheets/sheet23344.xml"/>
  <Override ContentType="application/vnd.openxmlformats-officedocument.spreadsheetml.worksheet+xml" PartName="/xl/worksheets/sheet23345.xml"/>
  <Override ContentType="application/vnd.openxmlformats-officedocument.spreadsheetml.worksheet+xml" PartName="/xl/worksheets/sheet23346.xml"/>
  <Override ContentType="application/vnd.openxmlformats-officedocument.spreadsheetml.worksheet+xml" PartName="/xl/worksheets/sheet23347.xml"/>
  <Override ContentType="application/vnd.openxmlformats-officedocument.spreadsheetml.worksheet+xml" PartName="/xl/worksheets/sheet23348.xml"/>
  <Override ContentType="application/vnd.openxmlformats-officedocument.spreadsheetml.worksheet+xml" PartName="/xl/worksheets/sheet23349.xml"/>
  <Override ContentType="application/vnd.openxmlformats-officedocument.spreadsheetml.worksheet+xml" PartName="/xl/worksheets/sheet23350.xml"/>
  <Override ContentType="application/vnd.openxmlformats-officedocument.spreadsheetml.worksheet+xml" PartName="/xl/worksheets/sheet23351.xml"/>
  <Override ContentType="application/vnd.openxmlformats-officedocument.spreadsheetml.worksheet+xml" PartName="/xl/worksheets/sheet23352.xml"/>
  <Override ContentType="application/vnd.openxmlformats-officedocument.spreadsheetml.worksheet+xml" PartName="/xl/worksheets/sheet23353.xml"/>
  <Override ContentType="application/vnd.openxmlformats-officedocument.spreadsheetml.worksheet+xml" PartName="/xl/worksheets/sheet23354.xml"/>
  <Override ContentType="application/vnd.openxmlformats-officedocument.spreadsheetml.worksheet+xml" PartName="/xl/worksheets/sheet23355.xml"/>
  <Override ContentType="application/vnd.openxmlformats-officedocument.spreadsheetml.worksheet+xml" PartName="/xl/worksheets/sheet23356.xml"/>
  <Override ContentType="application/vnd.openxmlformats-officedocument.spreadsheetml.worksheet+xml" PartName="/xl/worksheets/sheet23357.xml"/>
  <Override ContentType="application/vnd.openxmlformats-officedocument.spreadsheetml.worksheet+xml" PartName="/xl/worksheets/sheet23358.xml"/>
  <Override ContentType="application/vnd.openxmlformats-officedocument.spreadsheetml.worksheet+xml" PartName="/xl/worksheets/sheet23359.xml"/>
  <Override ContentType="application/vnd.openxmlformats-officedocument.spreadsheetml.worksheet+xml" PartName="/xl/worksheets/sheet23360.xml"/>
  <Override ContentType="application/vnd.openxmlformats-officedocument.spreadsheetml.worksheet+xml" PartName="/xl/worksheets/sheet23361.xml"/>
  <Override ContentType="application/vnd.openxmlformats-officedocument.spreadsheetml.worksheet+xml" PartName="/xl/worksheets/sheet23362.xml"/>
  <Override ContentType="application/vnd.openxmlformats-officedocument.spreadsheetml.worksheet+xml" PartName="/xl/worksheets/sheet23363.xml"/>
  <Override ContentType="application/vnd.openxmlformats-officedocument.spreadsheetml.worksheet+xml" PartName="/xl/worksheets/sheet23364.xml"/>
  <Override ContentType="application/vnd.openxmlformats-officedocument.spreadsheetml.worksheet+xml" PartName="/xl/worksheets/sheet23365.xml"/>
  <Override ContentType="application/vnd.openxmlformats-officedocument.spreadsheetml.worksheet+xml" PartName="/xl/worksheets/sheet23366.xml"/>
  <Override ContentType="application/vnd.openxmlformats-officedocument.spreadsheetml.worksheet+xml" PartName="/xl/worksheets/sheet23367.xml"/>
  <Override ContentType="application/vnd.openxmlformats-officedocument.spreadsheetml.worksheet+xml" PartName="/xl/worksheets/sheet23368.xml"/>
  <Override ContentType="application/vnd.openxmlformats-officedocument.spreadsheetml.worksheet+xml" PartName="/xl/worksheets/sheet23369.xml"/>
  <Override ContentType="application/vnd.openxmlformats-officedocument.spreadsheetml.worksheet+xml" PartName="/xl/worksheets/sheet23370.xml"/>
  <Override ContentType="application/vnd.openxmlformats-officedocument.spreadsheetml.worksheet+xml" PartName="/xl/worksheets/sheet23371.xml"/>
  <Override ContentType="application/vnd.openxmlformats-officedocument.spreadsheetml.worksheet+xml" PartName="/xl/worksheets/sheet23372.xml"/>
  <Override ContentType="application/vnd.openxmlformats-officedocument.spreadsheetml.worksheet+xml" PartName="/xl/worksheets/sheet23373.xml"/>
  <Override ContentType="application/vnd.openxmlformats-officedocument.spreadsheetml.worksheet+xml" PartName="/xl/worksheets/sheet23374.xml"/>
  <Override ContentType="application/vnd.openxmlformats-officedocument.spreadsheetml.worksheet+xml" PartName="/xl/worksheets/sheet23375.xml"/>
  <Override ContentType="application/vnd.openxmlformats-officedocument.spreadsheetml.worksheet+xml" PartName="/xl/worksheets/sheet23376.xml"/>
  <Override ContentType="application/vnd.openxmlformats-officedocument.spreadsheetml.worksheet+xml" PartName="/xl/worksheets/sheet23377.xml"/>
  <Override ContentType="application/vnd.openxmlformats-officedocument.spreadsheetml.worksheet+xml" PartName="/xl/worksheets/sheet23378.xml"/>
  <Override ContentType="application/vnd.openxmlformats-officedocument.spreadsheetml.worksheet+xml" PartName="/xl/worksheets/sheet23379.xml"/>
  <Override ContentType="application/vnd.openxmlformats-officedocument.spreadsheetml.worksheet+xml" PartName="/xl/worksheets/sheet23380.xml"/>
  <Override ContentType="application/vnd.openxmlformats-officedocument.spreadsheetml.worksheet+xml" PartName="/xl/worksheets/sheet23381.xml"/>
  <Override ContentType="application/vnd.openxmlformats-officedocument.spreadsheetml.worksheet+xml" PartName="/xl/worksheets/sheet23382.xml"/>
  <Override ContentType="application/vnd.openxmlformats-officedocument.spreadsheetml.worksheet+xml" PartName="/xl/worksheets/sheet23383.xml"/>
  <Override ContentType="application/vnd.openxmlformats-officedocument.spreadsheetml.worksheet+xml" PartName="/xl/worksheets/sheet23384.xml"/>
  <Override ContentType="application/vnd.openxmlformats-officedocument.spreadsheetml.worksheet+xml" PartName="/xl/worksheets/sheet23385.xml"/>
  <Override ContentType="application/vnd.openxmlformats-officedocument.spreadsheetml.worksheet+xml" PartName="/xl/worksheets/sheet23386.xml"/>
  <Override ContentType="application/vnd.openxmlformats-officedocument.spreadsheetml.worksheet+xml" PartName="/xl/worksheets/sheet23387.xml"/>
  <Override ContentType="application/vnd.openxmlformats-officedocument.spreadsheetml.worksheet+xml" PartName="/xl/worksheets/sheet23388.xml"/>
  <Override ContentType="application/vnd.openxmlformats-officedocument.spreadsheetml.worksheet+xml" PartName="/xl/worksheets/sheet23389.xml"/>
  <Override ContentType="application/vnd.openxmlformats-officedocument.spreadsheetml.worksheet+xml" PartName="/xl/worksheets/sheet23390.xml"/>
  <Override ContentType="application/vnd.openxmlformats-officedocument.spreadsheetml.worksheet+xml" PartName="/xl/worksheets/sheet23391.xml"/>
  <Override ContentType="application/vnd.openxmlformats-officedocument.spreadsheetml.worksheet+xml" PartName="/xl/worksheets/sheet23392.xml"/>
  <Override ContentType="application/vnd.openxmlformats-officedocument.spreadsheetml.worksheet+xml" PartName="/xl/worksheets/sheet23393.xml"/>
  <Override ContentType="application/vnd.openxmlformats-officedocument.spreadsheetml.worksheet+xml" PartName="/xl/worksheets/sheet23394.xml"/>
  <Override ContentType="application/vnd.openxmlformats-officedocument.spreadsheetml.worksheet+xml" PartName="/xl/worksheets/sheet23395.xml"/>
  <Override ContentType="application/vnd.openxmlformats-officedocument.spreadsheetml.worksheet+xml" PartName="/xl/worksheets/sheet23396.xml"/>
  <Override ContentType="application/vnd.openxmlformats-officedocument.spreadsheetml.worksheet+xml" PartName="/xl/worksheets/sheet23397.xml"/>
  <Override ContentType="application/vnd.openxmlformats-officedocument.spreadsheetml.worksheet+xml" PartName="/xl/worksheets/sheet23398.xml"/>
  <Override ContentType="application/vnd.openxmlformats-officedocument.spreadsheetml.worksheet+xml" PartName="/xl/worksheets/sheet23399.xml"/>
  <Override ContentType="application/vnd.openxmlformats-officedocument.spreadsheetml.worksheet+xml" PartName="/xl/worksheets/sheet23400.xml"/>
  <Override ContentType="application/vnd.openxmlformats-officedocument.spreadsheetml.worksheet+xml" PartName="/xl/worksheets/sheet23401.xml"/>
  <Override ContentType="application/vnd.openxmlformats-officedocument.spreadsheetml.worksheet+xml" PartName="/xl/worksheets/sheet23402.xml"/>
  <Override ContentType="application/vnd.openxmlformats-officedocument.spreadsheetml.worksheet+xml" PartName="/xl/worksheets/sheet23403.xml"/>
  <Override ContentType="application/vnd.openxmlformats-officedocument.spreadsheetml.worksheet+xml" PartName="/xl/worksheets/sheet23404.xml"/>
  <Override ContentType="application/vnd.openxmlformats-officedocument.spreadsheetml.worksheet+xml" PartName="/xl/worksheets/sheet23405.xml"/>
  <Override ContentType="application/vnd.openxmlformats-officedocument.spreadsheetml.worksheet+xml" PartName="/xl/worksheets/sheet23406.xml"/>
  <Override ContentType="application/vnd.openxmlformats-officedocument.spreadsheetml.worksheet+xml" PartName="/xl/worksheets/sheet23407.xml"/>
  <Override ContentType="application/vnd.openxmlformats-officedocument.spreadsheetml.worksheet+xml" PartName="/xl/worksheets/sheet23408.xml"/>
  <Override ContentType="application/vnd.openxmlformats-officedocument.spreadsheetml.worksheet+xml" PartName="/xl/worksheets/sheet23409.xml"/>
  <Override ContentType="application/vnd.openxmlformats-officedocument.spreadsheetml.worksheet+xml" PartName="/xl/worksheets/sheet23410.xml"/>
  <Override ContentType="application/vnd.openxmlformats-officedocument.spreadsheetml.worksheet+xml" PartName="/xl/worksheets/sheet23411.xml"/>
  <Override ContentType="application/vnd.openxmlformats-officedocument.spreadsheetml.worksheet+xml" PartName="/xl/worksheets/sheet23412.xml"/>
  <Override ContentType="application/vnd.openxmlformats-officedocument.spreadsheetml.worksheet+xml" PartName="/xl/worksheets/sheet23413.xml"/>
  <Override ContentType="application/vnd.openxmlformats-officedocument.spreadsheetml.worksheet+xml" PartName="/xl/worksheets/sheet23414.xml"/>
  <Override ContentType="application/vnd.openxmlformats-officedocument.spreadsheetml.worksheet+xml" PartName="/xl/worksheets/sheet23415.xml"/>
  <Override ContentType="application/vnd.openxmlformats-officedocument.spreadsheetml.worksheet+xml" PartName="/xl/worksheets/sheet23416.xml"/>
  <Override ContentType="application/vnd.openxmlformats-officedocument.spreadsheetml.worksheet+xml" PartName="/xl/worksheets/sheet23417.xml"/>
  <Override ContentType="application/vnd.openxmlformats-officedocument.spreadsheetml.worksheet+xml" PartName="/xl/worksheets/sheet23418.xml"/>
  <Override ContentType="application/vnd.openxmlformats-officedocument.spreadsheetml.worksheet+xml" PartName="/xl/worksheets/sheet23419.xml"/>
  <Override ContentType="application/vnd.openxmlformats-officedocument.spreadsheetml.worksheet+xml" PartName="/xl/worksheets/sheet23420.xml"/>
  <Override ContentType="application/vnd.openxmlformats-officedocument.spreadsheetml.worksheet+xml" PartName="/xl/worksheets/sheet23421.xml"/>
  <Override ContentType="application/vnd.openxmlformats-officedocument.spreadsheetml.worksheet+xml" PartName="/xl/worksheets/sheet23422.xml"/>
  <Override ContentType="application/vnd.openxmlformats-officedocument.spreadsheetml.worksheet+xml" PartName="/xl/worksheets/sheet23423.xml"/>
  <Override ContentType="application/vnd.openxmlformats-officedocument.spreadsheetml.worksheet+xml" PartName="/xl/worksheets/sheet23424.xml"/>
  <Override ContentType="application/vnd.openxmlformats-officedocument.spreadsheetml.worksheet+xml" PartName="/xl/worksheets/sheet23425.xml"/>
  <Override ContentType="application/vnd.openxmlformats-officedocument.spreadsheetml.worksheet+xml" PartName="/xl/worksheets/sheet23426.xml"/>
  <Override ContentType="application/vnd.openxmlformats-officedocument.spreadsheetml.worksheet+xml" PartName="/xl/worksheets/sheet23427.xml"/>
  <Override ContentType="application/vnd.openxmlformats-officedocument.spreadsheetml.worksheet+xml" PartName="/xl/worksheets/sheet23428.xml"/>
  <Override ContentType="application/vnd.openxmlformats-officedocument.spreadsheetml.worksheet+xml" PartName="/xl/worksheets/sheet23429.xml"/>
  <Override ContentType="application/vnd.openxmlformats-officedocument.spreadsheetml.worksheet+xml" PartName="/xl/worksheets/sheet23430.xml"/>
  <Override ContentType="application/vnd.openxmlformats-officedocument.spreadsheetml.worksheet+xml" PartName="/xl/worksheets/sheet23431.xml"/>
  <Override ContentType="application/vnd.openxmlformats-officedocument.spreadsheetml.worksheet+xml" PartName="/xl/worksheets/sheet23432.xml"/>
  <Override ContentType="application/vnd.openxmlformats-officedocument.spreadsheetml.worksheet+xml" PartName="/xl/worksheets/sheet23433.xml"/>
  <Override ContentType="application/vnd.openxmlformats-officedocument.spreadsheetml.worksheet+xml" PartName="/xl/worksheets/sheet23434.xml"/>
  <Override ContentType="application/vnd.openxmlformats-officedocument.spreadsheetml.worksheet+xml" PartName="/xl/worksheets/sheet23435.xml"/>
  <Override ContentType="application/vnd.openxmlformats-officedocument.spreadsheetml.worksheet+xml" PartName="/xl/worksheets/sheet23436.xml"/>
  <Override ContentType="application/vnd.openxmlformats-officedocument.spreadsheetml.worksheet+xml" PartName="/xl/worksheets/sheet23437.xml"/>
  <Override ContentType="application/vnd.openxmlformats-officedocument.spreadsheetml.worksheet+xml" PartName="/xl/worksheets/sheet23438.xml"/>
  <Override ContentType="application/vnd.openxmlformats-officedocument.spreadsheetml.worksheet+xml" PartName="/xl/worksheets/sheet23439.xml"/>
  <Override ContentType="application/vnd.openxmlformats-officedocument.spreadsheetml.worksheet+xml" PartName="/xl/worksheets/sheet23440.xml"/>
  <Override ContentType="application/vnd.openxmlformats-officedocument.spreadsheetml.worksheet+xml" PartName="/xl/worksheets/sheet23441.xml"/>
  <Override ContentType="application/vnd.openxmlformats-officedocument.spreadsheetml.worksheet+xml" PartName="/xl/worksheets/sheet23442.xml"/>
  <Override ContentType="application/vnd.openxmlformats-officedocument.spreadsheetml.worksheet+xml" PartName="/xl/worksheets/sheet23443.xml"/>
  <Override ContentType="application/vnd.openxmlformats-officedocument.spreadsheetml.worksheet+xml" PartName="/xl/worksheets/sheet23444.xml"/>
  <Override ContentType="application/vnd.openxmlformats-officedocument.spreadsheetml.worksheet+xml" PartName="/xl/worksheets/sheet23445.xml"/>
  <Override ContentType="application/vnd.openxmlformats-officedocument.spreadsheetml.worksheet+xml" PartName="/xl/worksheets/sheet23446.xml"/>
  <Override ContentType="application/vnd.openxmlformats-officedocument.spreadsheetml.worksheet+xml" PartName="/xl/worksheets/sheet23447.xml"/>
  <Override ContentType="application/vnd.openxmlformats-officedocument.spreadsheetml.worksheet+xml" PartName="/xl/worksheets/sheet23448.xml"/>
  <Override ContentType="application/vnd.openxmlformats-officedocument.spreadsheetml.worksheet+xml" PartName="/xl/worksheets/sheet23449.xml"/>
  <Override ContentType="application/vnd.openxmlformats-officedocument.spreadsheetml.worksheet+xml" PartName="/xl/worksheets/sheet23450.xml"/>
  <Override ContentType="application/vnd.openxmlformats-officedocument.spreadsheetml.worksheet+xml" PartName="/xl/worksheets/sheet23451.xml"/>
  <Override ContentType="application/vnd.openxmlformats-officedocument.spreadsheetml.worksheet+xml" PartName="/xl/worksheets/sheet23452.xml"/>
  <Override ContentType="application/vnd.openxmlformats-officedocument.spreadsheetml.worksheet+xml" PartName="/xl/worksheets/sheet23453.xml"/>
  <Override ContentType="application/vnd.openxmlformats-officedocument.spreadsheetml.worksheet+xml" PartName="/xl/worksheets/sheet23454.xml"/>
  <Override ContentType="application/vnd.openxmlformats-officedocument.spreadsheetml.worksheet+xml" PartName="/xl/worksheets/sheet23455.xml"/>
  <Override ContentType="application/vnd.openxmlformats-officedocument.spreadsheetml.worksheet+xml" PartName="/xl/worksheets/sheet23456.xml"/>
  <Override ContentType="application/vnd.openxmlformats-officedocument.spreadsheetml.worksheet+xml" PartName="/xl/worksheets/sheet23457.xml"/>
  <Override ContentType="application/vnd.openxmlformats-officedocument.spreadsheetml.worksheet+xml" PartName="/xl/worksheets/sheet23458.xml"/>
  <Override ContentType="application/vnd.openxmlformats-officedocument.spreadsheetml.worksheet+xml" PartName="/xl/worksheets/sheet23459.xml"/>
  <Override ContentType="application/vnd.openxmlformats-officedocument.spreadsheetml.worksheet+xml" PartName="/xl/worksheets/sheet23460.xml"/>
  <Override ContentType="application/vnd.openxmlformats-officedocument.spreadsheetml.worksheet+xml" PartName="/xl/worksheets/sheet23461.xml"/>
  <Override ContentType="application/vnd.openxmlformats-officedocument.spreadsheetml.worksheet+xml" PartName="/xl/worksheets/sheet23462.xml"/>
  <Override ContentType="application/vnd.openxmlformats-officedocument.spreadsheetml.worksheet+xml" PartName="/xl/worksheets/sheet23463.xml"/>
  <Override ContentType="application/vnd.openxmlformats-officedocument.spreadsheetml.worksheet+xml" PartName="/xl/worksheets/sheet23464.xml"/>
  <Override ContentType="application/vnd.openxmlformats-officedocument.spreadsheetml.worksheet+xml" PartName="/xl/worksheets/sheet23465.xml"/>
  <Override ContentType="application/vnd.openxmlformats-officedocument.spreadsheetml.worksheet+xml" PartName="/xl/worksheets/sheet23466.xml"/>
  <Override ContentType="application/vnd.openxmlformats-officedocument.spreadsheetml.worksheet+xml" PartName="/xl/worksheets/sheet23467.xml"/>
  <Override ContentType="application/vnd.openxmlformats-officedocument.spreadsheetml.worksheet+xml" PartName="/xl/worksheets/sheet23468.xml"/>
  <Override ContentType="application/vnd.openxmlformats-officedocument.spreadsheetml.worksheet+xml" PartName="/xl/worksheets/sheet23469.xml"/>
  <Override ContentType="application/vnd.openxmlformats-officedocument.spreadsheetml.worksheet+xml" PartName="/xl/worksheets/sheet23470.xml"/>
  <Override ContentType="application/vnd.openxmlformats-officedocument.spreadsheetml.worksheet+xml" PartName="/xl/worksheets/sheet23471.xml"/>
  <Override ContentType="application/vnd.openxmlformats-officedocument.spreadsheetml.worksheet+xml" PartName="/xl/worksheets/sheet23472.xml"/>
  <Override ContentType="application/vnd.openxmlformats-officedocument.spreadsheetml.worksheet+xml" PartName="/xl/worksheets/sheet23473.xml"/>
  <Override ContentType="application/vnd.openxmlformats-officedocument.spreadsheetml.worksheet+xml" PartName="/xl/worksheets/sheet23474.xml"/>
  <Override ContentType="application/vnd.openxmlformats-officedocument.spreadsheetml.worksheet+xml" PartName="/xl/worksheets/sheet23475.xml"/>
  <Override ContentType="application/vnd.openxmlformats-officedocument.spreadsheetml.worksheet+xml" PartName="/xl/worksheets/sheet23476.xml"/>
  <Override ContentType="application/vnd.openxmlformats-officedocument.spreadsheetml.worksheet+xml" PartName="/xl/worksheets/sheet23477.xml"/>
  <Override ContentType="application/vnd.openxmlformats-officedocument.spreadsheetml.worksheet+xml" PartName="/xl/worksheets/sheet23478.xml"/>
  <Override ContentType="application/vnd.openxmlformats-officedocument.spreadsheetml.worksheet+xml" PartName="/xl/worksheets/sheet23479.xml"/>
  <Override ContentType="application/vnd.openxmlformats-officedocument.spreadsheetml.worksheet+xml" PartName="/xl/worksheets/sheet23480.xml"/>
  <Override ContentType="application/vnd.openxmlformats-officedocument.spreadsheetml.worksheet+xml" PartName="/xl/worksheets/sheet23481.xml"/>
  <Override ContentType="application/vnd.openxmlformats-officedocument.spreadsheetml.worksheet+xml" PartName="/xl/worksheets/sheet23482.xml"/>
  <Override ContentType="application/vnd.openxmlformats-officedocument.spreadsheetml.worksheet+xml" PartName="/xl/worksheets/sheet23483.xml"/>
  <Override ContentType="application/vnd.openxmlformats-officedocument.spreadsheetml.worksheet+xml" PartName="/xl/worksheets/sheet23484.xml"/>
  <Override ContentType="application/vnd.openxmlformats-officedocument.spreadsheetml.worksheet+xml" PartName="/xl/worksheets/sheet23485.xml"/>
  <Override ContentType="application/vnd.openxmlformats-officedocument.spreadsheetml.worksheet+xml" PartName="/xl/worksheets/sheet23486.xml"/>
  <Override ContentType="application/vnd.openxmlformats-officedocument.spreadsheetml.worksheet+xml" PartName="/xl/worksheets/sheet23487.xml"/>
  <Override ContentType="application/vnd.openxmlformats-officedocument.spreadsheetml.worksheet+xml" PartName="/xl/worksheets/sheet23488.xml"/>
  <Override ContentType="application/vnd.openxmlformats-officedocument.spreadsheetml.worksheet+xml" PartName="/xl/worksheets/sheet23489.xml"/>
  <Override ContentType="application/vnd.openxmlformats-officedocument.spreadsheetml.worksheet+xml" PartName="/xl/worksheets/sheet23490.xml"/>
  <Override ContentType="application/vnd.openxmlformats-officedocument.spreadsheetml.worksheet+xml" PartName="/xl/worksheets/sheet23491.xml"/>
  <Override ContentType="application/vnd.openxmlformats-officedocument.spreadsheetml.worksheet+xml" PartName="/xl/worksheets/sheet23492.xml"/>
  <Override ContentType="application/vnd.openxmlformats-officedocument.spreadsheetml.worksheet+xml" PartName="/xl/worksheets/sheet23493.xml"/>
  <Override ContentType="application/vnd.openxmlformats-officedocument.spreadsheetml.worksheet+xml" PartName="/xl/worksheets/sheet23494.xml"/>
  <Override ContentType="application/vnd.openxmlformats-officedocument.spreadsheetml.worksheet+xml" PartName="/xl/worksheets/sheet23495.xml"/>
  <Override ContentType="application/vnd.openxmlformats-officedocument.spreadsheetml.worksheet+xml" PartName="/xl/worksheets/sheet23496.xml"/>
  <Override ContentType="application/vnd.openxmlformats-officedocument.spreadsheetml.worksheet+xml" PartName="/xl/worksheets/sheet23497.xml"/>
  <Override ContentType="application/vnd.openxmlformats-officedocument.spreadsheetml.worksheet+xml" PartName="/xl/worksheets/sheet23498.xml"/>
  <Override ContentType="application/vnd.openxmlformats-officedocument.spreadsheetml.worksheet+xml" PartName="/xl/worksheets/sheet23499.xml"/>
  <Override ContentType="application/vnd.openxmlformats-officedocument.spreadsheetml.worksheet+xml" PartName="/xl/worksheets/sheet23500.xml"/>
  <Override ContentType="application/vnd.openxmlformats-officedocument.spreadsheetml.worksheet+xml" PartName="/xl/worksheets/sheet23501.xml"/>
  <Override ContentType="application/vnd.openxmlformats-officedocument.spreadsheetml.worksheet+xml" PartName="/xl/worksheets/sheet23502.xml"/>
  <Override ContentType="application/vnd.openxmlformats-officedocument.spreadsheetml.worksheet+xml" PartName="/xl/worksheets/sheet23503.xml"/>
  <Override ContentType="application/vnd.openxmlformats-officedocument.spreadsheetml.worksheet+xml" PartName="/xl/worksheets/sheet23504.xml"/>
  <Override ContentType="application/vnd.openxmlformats-officedocument.spreadsheetml.worksheet+xml" PartName="/xl/worksheets/sheet23505.xml"/>
  <Override ContentType="application/vnd.openxmlformats-officedocument.spreadsheetml.worksheet+xml" PartName="/xl/worksheets/sheet23506.xml"/>
  <Override ContentType="application/vnd.openxmlformats-officedocument.spreadsheetml.worksheet+xml" PartName="/xl/worksheets/sheet23507.xml"/>
  <Override ContentType="application/vnd.openxmlformats-officedocument.spreadsheetml.worksheet+xml" PartName="/xl/worksheets/sheet23508.xml"/>
  <Override ContentType="application/vnd.openxmlformats-officedocument.spreadsheetml.worksheet+xml" PartName="/xl/worksheets/sheet23509.xml"/>
  <Override ContentType="application/vnd.openxmlformats-officedocument.spreadsheetml.worksheet+xml" PartName="/xl/worksheets/sheet23510.xml"/>
  <Override ContentType="application/vnd.openxmlformats-officedocument.spreadsheetml.worksheet+xml" PartName="/xl/worksheets/sheet23511.xml"/>
  <Override ContentType="application/vnd.openxmlformats-officedocument.spreadsheetml.worksheet+xml" PartName="/xl/worksheets/sheet23512.xml"/>
  <Override ContentType="application/vnd.openxmlformats-officedocument.spreadsheetml.worksheet+xml" PartName="/xl/worksheets/sheet23513.xml"/>
  <Override ContentType="application/vnd.openxmlformats-officedocument.spreadsheetml.worksheet+xml" PartName="/xl/worksheets/sheet23514.xml"/>
  <Override ContentType="application/vnd.openxmlformats-officedocument.spreadsheetml.worksheet+xml" PartName="/xl/worksheets/sheet23515.xml"/>
  <Override ContentType="application/vnd.openxmlformats-officedocument.spreadsheetml.worksheet+xml" PartName="/xl/worksheets/sheet23516.xml"/>
  <Override ContentType="application/vnd.openxmlformats-officedocument.spreadsheetml.worksheet+xml" PartName="/xl/worksheets/sheet23517.xml"/>
  <Override ContentType="application/vnd.openxmlformats-officedocument.spreadsheetml.worksheet+xml" PartName="/xl/worksheets/sheet23518.xml"/>
  <Override ContentType="application/vnd.openxmlformats-officedocument.spreadsheetml.worksheet+xml" PartName="/xl/worksheets/sheet23519.xml"/>
  <Override ContentType="application/vnd.openxmlformats-officedocument.spreadsheetml.worksheet+xml" PartName="/xl/worksheets/sheet23520.xml"/>
  <Override ContentType="application/vnd.openxmlformats-officedocument.spreadsheetml.worksheet+xml" PartName="/xl/worksheets/sheet23521.xml"/>
  <Override ContentType="application/vnd.openxmlformats-officedocument.spreadsheetml.worksheet+xml" PartName="/xl/worksheets/sheet23522.xml"/>
  <Override ContentType="application/vnd.openxmlformats-officedocument.spreadsheetml.worksheet+xml" PartName="/xl/worksheets/sheet23523.xml"/>
  <Override ContentType="application/vnd.openxmlformats-officedocument.spreadsheetml.worksheet+xml" PartName="/xl/worksheets/sheet23524.xml"/>
  <Override ContentType="application/vnd.openxmlformats-officedocument.spreadsheetml.worksheet+xml" PartName="/xl/worksheets/sheet23525.xml"/>
  <Override ContentType="application/vnd.openxmlformats-officedocument.spreadsheetml.worksheet+xml" PartName="/xl/worksheets/sheet23526.xml"/>
  <Override ContentType="application/vnd.openxmlformats-officedocument.spreadsheetml.worksheet+xml" PartName="/xl/worksheets/sheet23527.xml"/>
  <Override ContentType="application/vnd.openxmlformats-officedocument.spreadsheetml.worksheet+xml" PartName="/xl/worksheets/sheet23528.xml"/>
  <Override ContentType="application/vnd.openxmlformats-officedocument.spreadsheetml.worksheet+xml" PartName="/xl/worksheets/sheet23529.xml"/>
  <Override ContentType="application/vnd.openxmlformats-officedocument.spreadsheetml.worksheet+xml" PartName="/xl/worksheets/sheet23530.xml"/>
  <Override ContentType="application/vnd.openxmlformats-officedocument.spreadsheetml.worksheet+xml" PartName="/xl/worksheets/sheet23531.xml"/>
  <Override ContentType="application/vnd.openxmlformats-officedocument.spreadsheetml.worksheet+xml" PartName="/xl/worksheets/sheet23532.xml"/>
  <Override ContentType="application/vnd.openxmlformats-officedocument.spreadsheetml.worksheet+xml" PartName="/xl/worksheets/sheet23533.xml"/>
  <Override ContentType="application/vnd.openxmlformats-officedocument.spreadsheetml.worksheet+xml" PartName="/xl/worksheets/sheet23534.xml"/>
  <Override ContentType="application/vnd.openxmlformats-officedocument.spreadsheetml.worksheet+xml" PartName="/xl/worksheets/sheet23535.xml"/>
  <Override ContentType="application/vnd.openxmlformats-officedocument.spreadsheetml.worksheet+xml" PartName="/xl/worksheets/sheet23536.xml"/>
  <Override ContentType="application/vnd.openxmlformats-officedocument.spreadsheetml.worksheet+xml" PartName="/xl/worksheets/sheet23537.xml"/>
  <Override ContentType="application/vnd.openxmlformats-officedocument.spreadsheetml.worksheet+xml" PartName="/xl/worksheets/sheet23538.xml"/>
  <Override ContentType="application/vnd.openxmlformats-officedocument.spreadsheetml.worksheet+xml" PartName="/xl/worksheets/sheet23539.xml"/>
  <Override ContentType="application/vnd.openxmlformats-officedocument.spreadsheetml.worksheet+xml" PartName="/xl/worksheets/sheet23540.xml"/>
  <Override ContentType="application/vnd.openxmlformats-officedocument.spreadsheetml.worksheet+xml" PartName="/xl/worksheets/sheet23541.xml"/>
  <Override ContentType="application/vnd.openxmlformats-officedocument.spreadsheetml.worksheet+xml" PartName="/xl/worksheets/sheet23542.xml"/>
  <Override ContentType="application/vnd.openxmlformats-officedocument.spreadsheetml.worksheet+xml" PartName="/xl/worksheets/sheet23543.xml"/>
  <Override ContentType="application/vnd.openxmlformats-officedocument.spreadsheetml.worksheet+xml" PartName="/xl/worksheets/sheet23544.xml"/>
  <Override ContentType="application/vnd.openxmlformats-officedocument.spreadsheetml.worksheet+xml" PartName="/xl/worksheets/sheet23545.xml"/>
  <Override ContentType="application/vnd.openxmlformats-officedocument.spreadsheetml.worksheet+xml" PartName="/xl/worksheets/sheet23546.xml"/>
  <Override ContentType="application/vnd.openxmlformats-officedocument.spreadsheetml.worksheet+xml" PartName="/xl/worksheets/sheet23547.xml"/>
  <Override ContentType="application/vnd.openxmlformats-officedocument.spreadsheetml.worksheet+xml" PartName="/xl/worksheets/sheet23548.xml"/>
  <Override ContentType="application/vnd.openxmlformats-officedocument.spreadsheetml.worksheet+xml" PartName="/xl/worksheets/sheet23549.xml"/>
  <Override ContentType="application/vnd.openxmlformats-officedocument.spreadsheetml.worksheet+xml" PartName="/xl/worksheets/sheet23550.xml"/>
  <Override ContentType="application/vnd.openxmlformats-officedocument.spreadsheetml.worksheet+xml" PartName="/xl/worksheets/sheet23551.xml"/>
  <Override ContentType="application/vnd.openxmlformats-officedocument.spreadsheetml.worksheet+xml" PartName="/xl/worksheets/sheet23552.xml"/>
  <Override ContentType="application/vnd.openxmlformats-officedocument.spreadsheetml.worksheet+xml" PartName="/xl/worksheets/sheet23553.xml"/>
  <Override ContentType="application/vnd.openxmlformats-officedocument.spreadsheetml.worksheet+xml" PartName="/xl/worksheets/sheet23554.xml"/>
  <Override ContentType="application/vnd.openxmlformats-officedocument.spreadsheetml.worksheet+xml" PartName="/xl/worksheets/sheet23555.xml"/>
  <Override ContentType="application/vnd.openxmlformats-officedocument.spreadsheetml.worksheet+xml" PartName="/xl/worksheets/sheet23556.xml"/>
  <Override ContentType="application/vnd.openxmlformats-officedocument.spreadsheetml.worksheet+xml" PartName="/xl/worksheets/sheet23557.xml"/>
  <Override ContentType="application/vnd.openxmlformats-officedocument.spreadsheetml.worksheet+xml" PartName="/xl/worksheets/sheet23558.xml"/>
  <Override ContentType="application/vnd.openxmlformats-officedocument.spreadsheetml.worksheet+xml" PartName="/xl/worksheets/sheet23559.xml"/>
  <Override ContentType="application/vnd.openxmlformats-officedocument.spreadsheetml.worksheet+xml" PartName="/xl/worksheets/sheet23560.xml"/>
  <Override ContentType="application/vnd.openxmlformats-officedocument.spreadsheetml.worksheet+xml" PartName="/xl/worksheets/sheet23561.xml"/>
  <Override ContentType="application/vnd.openxmlformats-officedocument.spreadsheetml.worksheet+xml" PartName="/xl/worksheets/sheet23562.xml"/>
  <Override ContentType="application/vnd.openxmlformats-officedocument.spreadsheetml.worksheet+xml" PartName="/xl/worksheets/sheet23563.xml"/>
  <Override ContentType="application/vnd.openxmlformats-officedocument.spreadsheetml.worksheet+xml" PartName="/xl/worksheets/sheet23564.xml"/>
  <Override ContentType="application/vnd.openxmlformats-officedocument.spreadsheetml.worksheet+xml" PartName="/xl/worksheets/sheet23565.xml"/>
  <Override ContentType="application/vnd.openxmlformats-officedocument.spreadsheetml.worksheet+xml" PartName="/xl/worksheets/sheet23566.xml"/>
  <Override ContentType="application/vnd.openxmlformats-officedocument.spreadsheetml.worksheet+xml" PartName="/xl/worksheets/sheet23567.xml"/>
  <Override ContentType="application/vnd.openxmlformats-officedocument.spreadsheetml.worksheet+xml" PartName="/xl/worksheets/sheet23568.xml"/>
  <Override ContentType="application/vnd.openxmlformats-officedocument.spreadsheetml.worksheet+xml" PartName="/xl/worksheets/sheet23569.xml"/>
  <Override ContentType="application/vnd.openxmlformats-officedocument.spreadsheetml.worksheet+xml" PartName="/xl/worksheets/sheet23570.xml"/>
  <Override ContentType="application/vnd.openxmlformats-officedocument.spreadsheetml.worksheet+xml" PartName="/xl/worksheets/sheet23571.xml"/>
  <Override ContentType="application/vnd.openxmlformats-officedocument.spreadsheetml.worksheet+xml" PartName="/xl/worksheets/sheet23572.xml"/>
  <Override ContentType="application/vnd.openxmlformats-officedocument.spreadsheetml.worksheet+xml" PartName="/xl/worksheets/sheet23573.xml"/>
  <Override ContentType="application/vnd.openxmlformats-officedocument.spreadsheetml.worksheet+xml" PartName="/xl/worksheets/sheet23574.xml"/>
  <Override ContentType="application/vnd.openxmlformats-officedocument.spreadsheetml.worksheet+xml" PartName="/xl/worksheets/sheet23575.xml"/>
  <Override ContentType="application/vnd.openxmlformats-officedocument.spreadsheetml.worksheet+xml" PartName="/xl/worksheets/sheet23576.xml"/>
  <Override ContentType="application/vnd.openxmlformats-officedocument.spreadsheetml.worksheet+xml" PartName="/xl/worksheets/sheet23577.xml"/>
  <Override ContentType="application/vnd.openxmlformats-officedocument.spreadsheetml.worksheet+xml" PartName="/xl/worksheets/sheet23578.xml"/>
  <Override ContentType="application/vnd.openxmlformats-officedocument.spreadsheetml.worksheet+xml" PartName="/xl/worksheets/sheet23579.xml"/>
  <Override ContentType="application/vnd.openxmlformats-officedocument.spreadsheetml.worksheet+xml" PartName="/xl/worksheets/sheet23580.xml"/>
  <Override ContentType="application/vnd.openxmlformats-officedocument.spreadsheetml.worksheet+xml" PartName="/xl/worksheets/sheet23581.xml"/>
  <Override ContentType="application/vnd.openxmlformats-officedocument.spreadsheetml.worksheet+xml" PartName="/xl/worksheets/sheet23582.xml"/>
  <Override ContentType="application/vnd.openxmlformats-officedocument.spreadsheetml.worksheet+xml" PartName="/xl/worksheets/sheet23583.xml"/>
  <Override ContentType="application/vnd.openxmlformats-officedocument.spreadsheetml.worksheet+xml" PartName="/xl/worksheets/sheet23584.xml"/>
  <Override ContentType="application/vnd.openxmlformats-officedocument.spreadsheetml.worksheet+xml" PartName="/xl/worksheets/sheet23585.xml"/>
  <Override ContentType="application/vnd.openxmlformats-officedocument.spreadsheetml.worksheet+xml" PartName="/xl/worksheets/sheet23586.xml"/>
  <Override ContentType="application/vnd.openxmlformats-officedocument.spreadsheetml.worksheet+xml" PartName="/xl/worksheets/sheet23587.xml"/>
  <Override ContentType="application/vnd.openxmlformats-officedocument.spreadsheetml.worksheet+xml" PartName="/xl/worksheets/sheet23588.xml"/>
  <Override ContentType="application/vnd.openxmlformats-officedocument.spreadsheetml.worksheet+xml" PartName="/xl/worksheets/sheet23589.xml"/>
  <Override ContentType="application/vnd.openxmlformats-officedocument.spreadsheetml.worksheet+xml" PartName="/xl/worksheets/sheet23590.xml"/>
  <Override ContentType="application/vnd.openxmlformats-officedocument.spreadsheetml.worksheet+xml" PartName="/xl/worksheets/sheet23591.xml"/>
  <Override ContentType="application/vnd.openxmlformats-officedocument.spreadsheetml.worksheet+xml" PartName="/xl/worksheets/sheet23592.xml"/>
  <Override ContentType="application/vnd.openxmlformats-officedocument.spreadsheetml.worksheet+xml" PartName="/xl/worksheets/sheet23593.xml"/>
  <Override ContentType="application/vnd.openxmlformats-officedocument.spreadsheetml.worksheet+xml" PartName="/xl/worksheets/sheet23594.xml"/>
  <Override ContentType="application/vnd.openxmlformats-officedocument.spreadsheetml.worksheet+xml" PartName="/xl/worksheets/sheet23595.xml"/>
  <Override ContentType="application/vnd.openxmlformats-officedocument.spreadsheetml.worksheet+xml" PartName="/xl/worksheets/sheet23596.xml"/>
  <Override ContentType="application/vnd.openxmlformats-officedocument.spreadsheetml.worksheet+xml" PartName="/xl/worksheets/sheet23597.xml"/>
  <Override ContentType="application/vnd.openxmlformats-officedocument.spreadsheetml.worksheet+xml" PartName="/xl/worksheets/sheet23598.xml"/>
  <Override ContentType="application/vnd.openxmlformats-officedocument.spreadsheetml.worksheet+xml" PartName="/xl/worksheets/sheet23599.xml"/>
  <Override ContentType="application/vnd.openxmlformats-officedocument.spreadsheetml.worksheet+xml" PartName="/xl/worksheets/sheet23600.xml"/>
  <Override ContentType="application/vnd.openxmlformats-officedocument.spreadsheetml.worksheet+xml" PartName="/xl/worksheets/sheet23601.xml"/>
  <Override ContentType="application/vnd.openxmlformats-officedocument.spreadsheetml.worksheet+xml" PartName="/xl/worksheets/sheet23602.xml"/>
  <Override ContentType="application/vnd.openxmlformats-officedocument.spreadsheetml.worksheet+xml" PartName="/xl/worksheets/sheet23603.xml"/>
  <Override ContentType="application/vnd.openxmlformats-officedocument.spreadsheetml.worksheet+xml" PartName="/xl/worksheets/sheet23604.xml"/>
  <Override ContentType="application/vnd.openxmlformats-officedocument.spreadsheetml.worksheet+xml" PartName="/xl/worksheets/sheet23605.xml"/>
  <Override ContentType="application/vnd.openxmlformats-officedocument.spreadsheetml.worksheet+xml" PartName="/xl/worksheets/sheet23606.xml"/>
  <Override ContentType="application/vnd.openxmlformats-officedocument.spreadsheetml.worksheet+xml" PartName="/xl/worksheets/sheet23607.xml"/>
  <Override ContentType="application/vnd.openxmlformats-officedocument.spreadsheetml.worksheet+xml" PartName="/xl/worksheets/sheet23608.xml"/>
  <Override ContentType="application/vnd.openxmlformats-officedocument.spreadsheetml.worksheet+xml" PartName="/xl/worksheets/sheet23609.xml"/>
  <Override ContentType="application/vnd.openxmlformats-officedocument.spreadsheetml.worksheet+xml" PartName="/xl/worksheets/sheet23610.xml"/>
  <Override ContentType="application/vnd.openxmlformats-officedocument.spreadsheetml.worksheet+xml" PartName="/xl/worksheets/sheet23611.xml"/>
  <Override ContentType="application/vnd.openxmlformats-officedocument.spreadsheetml.worksheet+xml" PartName="/xl/worksheets/sheet23612.xml"/>
  <Override ContentType="application/vnd.openxmlformats-officedocument.spreadsheetml.worksheet+xml" PartName="/xl/worksheets/sheet23613.xml"/>
  <Override ContentType="application/vnd.openxmlformats-officedocument.spreadsheetml.worksheet+xml" PartName="/xl/worksheets/sheet23614.xml"/>
  <Override ContentType="application/vnd.openxmlformats-officedocument.spreadsheetml.worksheet+xml" PartName="/xl/worksheets/sheet23615.xml"/>
  <Override ContentType="application/vnd.openxmlformats-officedocument.spreadsheetml.worksheet+xml" PartName="/xl/worksheets/sheet23616.xml"/>
  <Override ContentType="application/vnd.openxmlformats-officedocument.spreadsheetml.worksheet+xml" PartName="/xl/worksheets/sheet23617.xml"/>
  <Override ContentType="application/vnd.openxmlformats-officedocument.spreadsheetml.worksheet+xml" PartName="/xl/worksheets/sheet23618.xml"/>
  <Override ContentType="application/vnd.openxmlformats-officedocument.spreadsheetml.worksheet+xml" PartName="/xl/worksheets/sheet23619.xml"/>
  <Override ContentType="application/vnd.openxmlformats-officedocument.spreadsheetml.worksheet+xml" PartName="/xl/worksheets/sheet23620.xml"/>
  <Override ContentType="application/vnd.openxmlformats-officedocument.spreadsheetml.worksheet+xml" PartName="/xl/worksheets/sheet23621.xml"/>
  <Override ContentType="application/vnd.openxmlformats-officedocument.spreadsheetml.worksheet+xml" PartName="/xl/worksheets/sheet23622.xml"/>
  <Override ContentType="application/vnd.openxmlformats-officedocument.spreadsheetml.worksheet+xml" PartName="/xl/worksheets/sheet23623.xml"/>
  <Override ContentType="application/vnd.openxmlformats-officedocument.spreadsheetml.worksheet+xml" PartName="/xl/worksheets/sheet23624.xml"/>
  <Override ContentType="application/vnd.openxmlformats-officedocument.spreadsheetml.worksheet+xml" PartName="/xl/worksheets/sheet23625.xml"/>
  <Override ContentType="application/vnd.openxmlformats-officedocument.spreadsheetml.worksheet+xml" PartName="/xl/worksheets/sheet23626.xml"/>
  <Override ContentType="application/vnd.openxmlformats-officedocument.spreadsheetml.worksheet+xml" PartName="/xl/worksheets/sheet23627.xml"/>
  <Override ContentType="application/vnd.openxmlformats-officedocument.spreadsheetml.worksheet+xml" PartName="/xl/worksheets/sheet23628.xml"/>
  <Override ContentType="application/vnd.openxmlformats-officedocument.spreadsheetml.worksheet+xml" PartName="/xl/worksheets/sheet23629.xml"/>
  <Override ContentType="application/vnd.openxmlformats-officedocument.spreadsheetml.worksheet+xml" PartName="/xl/worksheets/sheet23630.xml"/>
  <Override ContentType="application/vnd.openxmlformats-officedocument.spreadsheetml.worksheet+xml" PartName="/xl/worksheets/sheet23631.xml"/>
  <Override ContentType="application/vnd.openxmlformats-officedocument.spreadsheetml.worksheet+xml" PartName="/xl/worksheets/sheet23632.xml"/>
  <Override ContentType="application/vnd.openxmlformats-officedocument.spreadsheetml.worksheet+xml" PartName="/xl/worksheets/sheet23633.xml"/>
  <Override ContentType="application/vnd.openxmlformats-officedocument.spreadsheetml.worksheet+xml" PartName="/xl/worksheets/sheet23634.xml"/>
  <Override ContentType="application/vnd.openxmlformats-officedocument.spreadsheetml.worksheet+xml" PartName="/xl/worksheets/sheet23635.xml"/>
  <Override ContentType="application/vnd.openxmlformats-officedocument.spreadsheetml.worksheet+xml" PartName="/xl/worksheets/sheet23636.xml"/>
  <Override ContentType="application/vnd.openxmlformats-officedocument.spreadsheetml.worksheet+xml" PartName="/xl/worksheets/sheet23637.xml"/>
  <Override ContentType="application/vnd.openxmlformats-officedocument.spreadsheetml.worksheet+xml" PartName="/xl/worksheets/sheet23638.xml"/>
  <Override ContentType="application/vnd.openxmlformats-officedocument.spreadsheetml.worksheet+xml" PartName="/xl/worksheets/sheet23639.xml"/>
  <Override ContentType="application/vnd.openxmlformats-officedocument.spreadsheetml.worksheet+xml" PartName="/xl/worksheets/sheet23640.xml"/>
  <Override ContentType="application/vnd.openxmlformats-officedocument.spreadsheetml.worksheet+xml" PartName="/xl/worksheets/sheet23641.xml"/>
  <Override ContentType="application/vnd.openxmlformats-officedocument.spreadsheetml.worksheet+xml" PartName="/xl/worksheets/sheet23642.xml"/>
  <Override ContentType="application/vnd.openxmlformats-officedocument.spreadsheetml.worksheet+xml" PartName="/xl/worksheets/sheet23643.xml"/>
  <Override ContentType="application/vnd.openxmlformats-officedocument.spreadsheetml.worksheet+xml" PartName="/xl/worksheets/sheet23644.xml"/>
  <Override ContentType="application/vnd.openxmlformats-officedocument.spreadsheetml.worksheet+xml" PartName="/xl/worksheets/sheet23645.xml"/>
  <Override ContentType="application/vnd.openxmlformats-officedocument.spreadsheetml.worksheet+xml" PartName="/xl/worksheets/sheet23646.xml"/>
  <Override ContentType="application/vnd.openxmlformats-officedocument.spreadsheetml.worksheet+xml" PartName="/xl/worksheets/sheet23647.xml"/>
  <Override ContentType="application/vnd.openxmlformats-officedocument.spreadsheetml.worksheet+xml" PartName="/xl/worksheets/sheet23648.xml"/>
  <Override ContentType="application/vnd.openxmlformats-officedocument.spreadsheetml.worksheet+xml" PartName="/xl/worksheets/sheet23649.xml"/>
  <Override ContentType="application/vnd.openxmlformats-officedocument.spreadsheetml.worksheet+xml" PartName="/xl/worksheets/sheet23650.xml"/>
  <Override ContentType="application/vnd.openxmlformats-officedocument.spreadsheetml.worksheet+xml" PartName="/xl/worksheets/sheet23651.xml"/>
  <Override ContentType="application/vnd.openxmlformats-officedocument.spreadsheetml.worksheet+xml" PartName="/xl/worksheets/sheet23652.xml"/>
  <Override ContentType="application/vnd.openxmlformats-officedocument.spreadsheetml.worksheet+xml" PartName="/xl/worksheets/sheet23653.xml"/>
  <Override ContentType="application/vnd.openxmlformats-officedocument.spreadsheetml.worksheet+xml" PartName="/xl/worksheets/sheet23654.xml"/>
  <Override ContentType="application/vnd.openxmlformats-officedocument.spreadsheetml.worksheet+xml" PartName="/xl/worksheets/sheet23655.xml"/>
  <Override ContentType="application/vnd.openxmlformats-officedocument.spreadsheetml.worksheet+xml" PartName="/xl/worksheets/sheet23656.xml"/>
  <Override ContentType="application/vnd.openxmlformats-officedocument.spreadsheetml.worksheet+xml" PartName="/xl/worksheets/sheet23657.xml"/>
  <Override ContentType="application/vnd.openxmlformats-officedocument.spreadsheetml.worksheet+xml" PartName="/xl/worksheets/sheet23658.xml"/>
  <Override ContentType="application/vnd.openxmlformats-officedocument.spreadsheetml.worksheet+xml" PartName="/xl/worksheets/sheet23659.xml"/>
  <Override ContentType="application/vnd.openxmlformats-officedocument.spreadsheetml.worksheet+xml" PartName="/xl/worksheets/sheet23660.xml"/>
  <Override ContentType="application/vnd.openxmlformats-officedocument.spreadsheetml.worksheet+xml" PartName="/xl/worksheets/sheet23661.xml"/>
  <Override ContentType="application/vnd.openxmlformats-officedocument.spreadsheetml.worksheet+xml" PartName="/xl/worksheets/sheet23662.xml"/>
  <Override ContentType="application/vnd.openxmlformats-officedocument.spreadsheetml.worksheet+xml" PartName="/xl/worksheets/sheet23663.xml"/>
  <Override ContentType="application/vnd.openxmlformats-officedocument.spreadsheetml.worksheet+xml" PartName="/xl/worksheets/sheet23664.xml"/>
  <Override ContentType="application/vnd.openxmlformats-officedocument.spreadsheetml.worksheet+xml" PartName="/xl/worksheets/sheet23665.xml"/>
  <Override ContentType="application/vnd.openxmlformats-officedocument.spreadsheetml.worksheet+xml" PartName="/xl/worksheets/sheet23666.xml"/>
  <Override ContentType="application/vnd.openxmlformats-officedocument.spreadsheetml.worksheet+xml" PartName="/xl/worksheets/sheet23667.xml"/>
  <Override ContentType="application/vnd.openxmlformats-officedocument.spreadsheetml.worksheet+xml" PartName="/xl/worksheets/sheet23668.xml"/>
  <Override ContentType="application/vnd.openxmlformats-officedocument.spreadsheetml.worksheet+xml" PartName="/xl/worksheets/sheet23669.xml"/>
  <Override ContentType="application/vnd.openxmlformats-officedocument.spreadsheetml.worksheet+xml" PartName="/xl/worksheets/sheet23670.xml"/>
  <Override ContentType="application/vnd.openxmlformats-officedocument.spreadsheetml.worksheet+xml" PartName="/xl/worksheets/sheet23671.xml"/>
  <Override ContentType="application/vnd.openxmlformats-officedocument.spreadsheetml.worksheet+xml" PartName="/xl/worksheets/sheet23672.xml"/>
  <Override ContentType="application/vnd.openxmlformats-officedocument.spreadsheetml.worksheet+xml" PartName="/xl/worksheets/sheet23673.xml"/>
  <Override ContentType="application/vnd.openxmlformats-officedocument.spreadsheetml.worksheet+xml" PartName="/xl/worksheets/sheet23674.xml"/>
  <Override ContentType="application/vnd.openxmlformats-officedocument.spreadsheetml.worksheet+xml" PartName="/xl/worksheets/sheet23675.xml"/>
  <Override ContentType="application/vnd.openxmlformats-officedocument.spreadsheetml.worksheet+xml" PartName="/xl/worksheets/sheet23676.xml"/>
  <Override ContentType="application/vnd.openxmlformats-officedocument.spreadsheetml.worksheet+xml" PartName="/xl/worksheets/sheet23677.xml"/>
  <Override ContentType="application/vnd.openxmlformats-officedocument.spreadsheetml.worksheet+xml" PartName="/xl/worksheets/sheet23678.xml"/>
  <Override ContentType="application/vnd.openxmlformats-officedocument.spreadsheetml.worksheet+xml" PartName="/xl/worksheets/sheet23679.xml"/>
  <Override ContentType="application/vnd.openxmlformats-officedocument.spreadsheetml.worksheet+xml" PartName="/xl/worksheets/sheet23680.xml"/>
  <Override ContentType="application/vnd.openxmlformats-officedocument.spreadsheetml.worksheet+xml" PartName="/xl/worksheets/sheet23681.xml"/>
  <Override ContentType="application/vnd.openxmlformats-officedocument.spreadsheetml.worksheet+xml" PartName="/xl/worksheets/sheet23682.xml"/>
  <Override ContentType="application/vnd.openxmlformats-officedocument.spreadsheetml.worksheet+xml" PartName="/xl/worksheets/sheet23683.xml"/>
  <Override ContentType="application/vnd.openxmlformats-officedocument.spreadsheetml.worksheet+xml" PartName="/xl/worksheets/sheet23684.xml"/>
  <Override ContentType="application/vnd.openxmlformats-officedocument.spreadsheetml.worksheet+xml" PartName="/xl/worksheets/sheet23685.xml"/>
  <Override ContentType="application/vnd.openxmlformats-officedocument.spreadsheetml.worksheet+xml" PartName="/xl/worksheets/sheet23686.xml"/>
  <Override ContentType="application/vnd.openxmlformats-officedocument.spreadsheetml.worksheet+xml" PartName="/xl/worksheets/sheet23687.xml"/>
  <Override ContentType="application/vnd.openxmlformats-officedocument.spreadsheetml.worksheet+xml" PartName="/xl/worksheets/sheet23688.xml"/>
  <Override ContentType="application/vnd.openxmlformats-officedocument.spreadsheetml.worksheet+xml" PartName="/xl/worksheets/sheet23689.xml"/>
  <Override ContentType="application/vnd.openxmlformats-officedocument.spreadsheetml.worksheet+xml" PartName="/xl/worksheets/sheet23690.xml"/>
  <Override ContentType="application/vnd.openxmlformats-officedocument.spreadsheetml.worksheet+xml" PartName="/xl/worksheets/sheet23691.xml"/>
  <Override ContentType="application/vnd.openxmlformats-officedocument.spreadsheetml.worksheet+xml" PartName="/xl/worksheets/sheet23692.xml"/>
  <Override ContentType="application/vnd.openxmlformats-officedocument.spreadsheetml.worksheet+xml" PartName="/xl/worksheets/sheet23693.xml"/>
  <Override ContentType="application/vnd.openxmlformats-officedocument.spreadsheetml.worksheet+xml" PartName="/xl/worksheets/sheet23694.xml"/>
  <Override ContentType="application/vnd.openxmlformats-officedocument.spreadsheetml.worksheet+xml" PartName="/xl/worksheets/sheet23695.xml"/>
  <Override ContentType="application/vnd.openxmlformats-officedocument.spreadsheetml.worksheet+xml" PartName="/xl/worksheets/sheet23696.xml"/>
  <Override ContentType="application/vnd.openxmlformats-officedocument.spreadsheetml.worksheet+xml" PartName="/xl/worksheets/sheet23697.xml"/>
  <Override ContentType="application/vnd.openxmlformats-officedocument.spreadsheetml.worksheet+xml" PartName="/xl/worksheets/sheet23698.xml"/>
  <Override ContentType="application/vnd.openxmlformats-officedocument.spreadsheetml.worksheet+xml" PartName="/xl/worksheets/sheet23699.xml"/>
  <Override ContentType="application/vnd.openxmlformats-officedocument.spreadsheetml.worksheet+xml" PartName="/xl/worksheets/sheet23700.xml"/>
  <Override ContentType="application/vnd.openxmlformats-officedocument.spreadsheetml.worksheet+xml" PartName="/xl/worksheets/sheet23701.xml"/>
  <Override ContentType="application/vnd.openxmlformats-officedocument.spreadsheetml.worksheet+xml" PartName="/xl/worksheets/sheet23702.xml"/>
  <Override ContentType="application/vnd.openxmlformats-officedocument.spreadsheetml.worksheet+xml" PartName="/xl/worksheets/sheet23703.xml"/>
  <Override ContentType="application/vnd.openxmlformats-officedocument.spreadsheetml.worksheet+xml" PartName="/xl/worksheets/sheet23704.xml"/>
  <Override ContentType="application/vnd.openxmlformats-officedocument.spreadsheetml.worksheet+xml" PartName="/xl/worksheets/sheet23705.xml"/>
  <Override ContentType="application/vnd.openxmlformats-officedocument.spreadsheetml.worksheet+xml" PartName="/xl/worksheets/sheet23706.xml"/>
  <Override ContentType="application/vnd.openxmlformats-officedocument.spreadsheetml.worksheet+xml" PartName="/xl/worksheets/sheet23707.xml"/>
  <Override ContentType="application/vnd.openxmlformats-officedocument.spreadsheetml.worksheet+xml" PartName="/xl/worksheets/sheet23708.xml"/>
  <Override ContentType="application/vnd.openxmlformats-officedocument.spreadsheetml.worksheet+xml" PartName="/xl/worksheets/sheet23709.xml"/>
  <Override ContentType="application/vnd.openxmlformats-officedocument.spreadsheetml.worksheet+xml" PartName="/xl/worksheets/sheet23710.xml"/>
  <Override ContentType="application/vnd.openxmlformats-officedocument.spreadsheetml.worksheet+xml" PartName="/xl/worksheets/sheet23711.xml"/>
  <Override ContentType="application/vnd.openxmlformats-officedocument.spreadsheetml.worksheet+xml" PartName="/xl/worksheets/sheet23712.xml"/>
  <Override ContentType="application/vnd.openxmlformats-officedocument.spreadsheetml.worksheet+xml" PartName="/xl/worksheets/sheet23713.xml"/>
  <Override ContentType="application/vnd.openxmlformats-officedocument.spreadsheetml.worksheet+xml" PartName="/xl/worksheets/sheet23714.xml"/>
  <Override ContentType="application/vnd.openxmlformats-officedocument.spreadsheetml.worksheet+xml" PartName="/xl/worksheets/sheet23715.xml"/>
  <Override ContentType="application/vnd.openxmlformats-officedocument.spreadsheetml.worksheet+xml" PartName="/xl/worksheets/sheet23716.xml"/>
  <Override ContentType="application/vnd.openxmlformats-officedocument.spreadsheetml.worksheet+xml" PartName="/xl/worksheets/sheet23717.xml"/>
  <Override ContentType="application/vnd.openxmlformats-officedocument.spreadsheetml.worksheet+xml" PartName="/xl/worksheets/sheet23718.xml"/>
  <Override ContentType="application/vnd.openxmlformats-officedocument.spreadsheetml.worksheet+xml" PartName="/xl/worksheets/sheet23719.xml"/>
  <Override ContentType="application/vnd.openxmlformats-officedocument.spreadsheetml.worksheet+xml" PartName="/xl/worksheets/sheet23720.xml"/>
  <Override ContentType="application/vnd.openxmlformats-officedocument.spreadsheetml.worksheet+xml" PartName="/xl/worksheets/sheet23721.xml"/>
  <Override ContentType="application/vnd.openxmlformats-officedocument.spreadsheetml.worksheet+xml" PartName="/xl/worksheets/sheet23722.xml"/>
  <Override ContentType="application/vnd.openxmlformats-officedocument.spreadsheetml.worksheet+xml" PartName="/xl/worksheets/sheet23723.xml"/>
  <Override ContentType="application/vnd.openxmlformats-officedocument.spreadsheetml.worksheet+xml" PartName="/xl/worksheets/sheet23724.xml"/>
  <Override ContentType="application/vnd.openxmlformats-officedocument.spreadsheetml.worksheet+xml" PartName="/xl/worksheets/sheet23725.xml"/>
  <Override ContentType="application/vnd.openxmlformats-officedocument.spreadsheetml.worksheet+xml" PartName="/xl/worksheets/sheet23726.xml"/>
  <Override ContentType="application/vnd.openxmlformats-officedocument.spreadsheetml.worksheet+xml" PartName="/xl/worksheets/sheet23727.xml"/>
  <Override ContentType="application/vnd.openxmlformats-officedocument.spreadsheetml.worksheet+xml" PartName="/xl/worksheets/sheet23728.xml"/>
  <Override ContentType="application/vnd.openxmlformats-officedocument.spreadsheetml.worksheet+xml" PartName="/xl/worksheets/sheet23729.xml"/>
  <Override ContentType="application/vnd.openxmlformats-officedocument.spreadsheetml.worksheet+xml" PartName="/xl/worksheets/sheet23730.xml"/>
  <Override ContentType="application/vnd.openxmlformats-officedocument.spreadsheetml.worksheet+xml" PartName="/xl/worksheets/sheet23731.xml"/>
  <Override ContentType="application/vnd.openxmlformats-officedocument.spreadsheetml.worksheet+xml" PartName="/xl/worksheets/sheet23732.xml"/>
  <Override ContentType="application/vnd.openxmlformats-officedocument.spreadsheetml.worksheet+xml" PartName="/xl/worksheets/sheet23733.xml"/>
  <Override ContentType="application/vnd.openxmlformats-officedocument.spreadsheetml.worksheet+xml" PartName="/xl/worksheets/sheet23734.xml"/>
  <Override ContentType="application/vnd.openxmlformats-officedocument.spreadsheetml.worksheet+xml" PartName="/xl/worksheets/sheet23735.xml"/>
  <Override ContentType="application/vnd.openxmlformats-officedocument.spreadsheetml.worksheet+xml" PartName="/xl/worksheets/sheet23736.xml"/>
  <Override ContentType="application/vnd.openxmlformats-officedocument.spreadsheetml.worksheet+xml" PartName="/xl/worksheets/sheet23737.xml"/>
  <Override ContentType="application/vnd.openxmlformats-officedocument.spreadsheetml.worksheet+xml" PartName="/xl/worksheets/sheet23738.xml"/>
  <Override ContentType="application/vnd.openxmlformats-officedocument.spreadsheetml.worksheet+xml" PartName="/xl/worksheets/sheet23739.xml"/>
  <Override ContentType="application/vnd.openxmlformats-officedocument.spreadsheetml.worksheet+xml" PartName="/xl/worksheets/sheet23740.xml"/>
  <Override ContentType="application/vnd.openxmlformats-officedocument.spreadsheetml.worksheet+xml" PartName="/xl/worksheets/sheet23741.xml"/>
  <Override ContentType="application/vnd.openxmlformats-officedocument.spreadsheetml.worksheet+xml" PartName="/xl/worksheets/sheet23742.xml"/>
  <Override ContentType="application/vnd.openxmlformats-officedocument.spreadsheetml.worksheet+xml" PartName="/xl/worksheets/sheet23743.xml"/>
  <Override ContentType="application/vnd.openxmlformats-officedocument.spreadsheetml.worksheet+xml" PartName="/xl/worksheets/sheet23744.xml"/>
  <Override ContentType="application/vnd.openxmlformats-officedocument.spreadsheetml.worksheet+xml" PartName="/xl/worksheets/sheet23745.xml"/>
  <Override ContentType="application/vnd.openxmlformats-officedocument.spreadsheetml.worksheet+xml" PartName="/xl/worksheets/sheet23746.xml"/>
  <Override ContentType="application/vnd.openxmlformats-officedocument.spreadsheetml.worksheet+xml" PartName="/xl/worksheets/sheet23747.xml"/>
  <Override ContentType="application/vnd.openxmlformats-officedocument.spreadsheetml.worksheet+xml" PartName="/xl/worksheets/sheet23748.xml"/>
  <Override ContentType="application/vnd.openxmlformats-officedocument.spreadsheetml.worksheet+xml" PartName="/xl/worksheets/sheet23749.xml"/>
  <Override ContentType="application/vnd.openxmlformats-officedocument.spreadsheetml.worksheet+xml" PartName="/xl/worksheets/sheet23750.xml"/>
  <Override ContentType="application/vnd.openxmlformats-officedocument.spreadsheetml.worksheet+xml" PartName="/xl/worksheets/sheet23751.xml"/>
  <Override ContentType="application/vnd.openxmlformats-officedocument.spreadsheetml.worksheet+xml" PartName="/xl/worksheets/sheet23752.xml"/>
  <Override ContentType="application/vnd.openxmlformats-officedocument.spreadsheetml.worksheet+xml" PartName="/xl/worksheets/sheet23753.xml"/>
  <Override ContentType="application/vnd.openxmlformats-officedocument.spreadsheetml.worksheet+xml" PartName="/xl/worksheets/sheet23754.xml"/>
  <Override ContentType="application/vnd.openxmlformats-officedocument.spreadsheetml.worksheet+xml" PartName="/xl/worksheets/sheet23755.xml"/>
  <Override ContentType="application/vnd.openxmlformats-officedocument.spreadsheetml.worksheet+xml" PartName="/xl/worksheets/sheet23756.xml"/>
  <Override ContentType="application/vnd.openxmlformats-officedocument.spreadsheetml.worksheet+xml" PartName="/xl/worksheets/sheet23757.xml"/>
  <Override ContentType="application/vnd.openxmlformats-officedocument.spreadsheetml.worksheet+xml" PartName="/xl/worksheets/sheet23758.xml"/>
  <Override ContentType="application/vnd.openxmlformats-officedocument.spreadsheetml.worksheet+xml" PartName="/xl/worksheets/sheet23759.xml"/>
  <Override ContentType="application/vnd.openxmlformats-officedocument.spreadsheetml.worksheet+xml" PartName="/xl/worksheets/sheet23760.xml"/>
  <Override ContentType="application/vnd.openxmlformats-officedocument.spreadsheetml.worksheet+xml" PartName="/xl/worksheets/sheet23761.xml"/>
  <Override ContentType="application/vnd.openxmlformats-officedocument.spreadsheetml.worksheet+xml" PartName="/xl/worksheets/sheet23762.xml"/>
  <Override ContentType="application/vnd.openxmlformats-officedocument.spreadsheetml.worksheet+xml" PartName="/xl/worksheets/sheet23763.xml"/>
  <Override ContentType="application/vnd.openxmlformats-officedocument.spreadsheetml.worksheet+xml" PartName="/xl/worksheets/sheet23764.xml"/>
  <Override ContentType="application/vnd.openxmlformats-officedocument.spreadsheetml.worksheet+xml" PartName="/xl/worksheets/sheet23765.xml"/>
  <Override ContentType="application/vnd.openxmlformats-officedocument.spreadsheetml.worksheet+xml" PartName="/xl/worksheets/sheet23766.xml"/>
  <Override ContentType="application/vnd.openxmlformats-officedocument.spreadsheetml.worksheet+xml" PartName="/xl/worksheets/sheet23767.xml"/>
  <Override ContentType="application/vnd.openxmlformats-officedocument.spreadsheetml.worksheet+xml" PartName="/xl/worksheets/sheet23768.xml"/>
  <Override ContentType="application/vnd.openxmlformats-officedocument.spreadsheetml.worksheet+xml" PartName="/xl/worksheets/sheet23769.xml"/>
  <Override ContentType="application/vnd.openxmlformats-officedocument.spreadsheetml.worksheet+xml" PartName="/xl/worksheets/sheet23770.xml"/>
  <Override ContentType="application/vnd.openxmlformats-officedocument.spreadsheetml.worksheet+xml" PartName="/xl/worksheets/sheet23771.xml"/>
  <Override ContentType="application/vnd.openxmlformats-officedocument.spreadsheetml.worksheet+xml" PartName="/xl/worksheets/sheet23772.xml"/>
  <Override ContentType="application/vnd.openxmlformats-officedocument.spreadsheetml.worksheet+xml" PartName="/xl/worksheets/sheet23773.xml"/>
  <Override ContentType="application/vnd.openxmlformats-officedocument.spreadsheetml.worksheet+xml" PartName="/xl/worksheets/sheet23774.xml"/>
  <Override ContentType="application/vnd.openxmlformats-officedocument.spreadsheetml.worksheet+xml" PartName="/xl/worksheets/sheet23775.xml"/>
  <Override ContentType="application/vnd.openxmlformats-officedocument.spreadsheetml.worksheet+xml" PartName="/xl/worksheets/sheet23776.xml"/>
  <Override ContentType="application/vnd.openxmlformats-officedocument.spreadsheetml.worksheet+xml" PartName="/xl/worksheets/sheet23777.xml"/>
  <Override ContentType="application/vnd.openxmlformats-officedocument.spreadsheetml.worksheet+xml" PartName="/xl/worksheets/sheet23778.xml"/>
  <Override ContentType="application/vnd.openxmlformats-officedocument.spreadsheetml.worksheet+xml" PartName="/xl/worksheets/sheet23779.xml"/>
  <Override ContentType="application/vnd.openxmlformats-officedocument.spreadsheetml.worksheet+xml" PartName="/xl/worksheets/sheet23780.xml"/>
  <Override ContentType="application/vnd.openxmlformats-officedocument.spreadsheetml.worksheet+xml" PartName="/xl/worksheets/sheet23781.xml"/>
  <Override ContentType="application/vnd.openxmlformats-officedocument.spreadsheetml.worksheet+xml" PartName="/xl/worksheets/sheet23782.xml"/>
  <Override ContentType="application/vnd.openxmlformats-officedocument.spreadsheetml.worksheet+xml" PartName="/xl/worksheets/sheet23783.xml"/>
  <Override ContentType="application/vnd.openxmlformats-officedocument.spreadsheetml.worksheet+xml" PartName="/xl/worksheets/sheet23784.xml"/>
  <Override ContentType="application/vnd.openxmlformats-officedocument.spreadsheetml.worksheet+xml" PartName="/xl/worksheets/sheet23785.xml"/>
  <Override ContentType="application/vnd.openxmlformats-officedocument.spreadsheetml.worksheet+xml" PartName="/xl/worksheets/sheet23786.xml"/>
  <Override ContentType="application/vnd.openxmlformats-officedocument.spreadsheetml.worksheet+xml" PartName="/xl/worksheets/sheet23787.xml"/>
  <Override ContentType="application/vnd.openxmlformats-officedocument.spreadsheetml.worksheet+xml" PartName="/xl/worksheets/sheet23788.xml"/>
  <Override ContentType="application/vnd.openxmlformats-officedocument.spreadsheetml.worksheet+xml" PartName="/xl/worksheets/sheet23789.xml"/>
  <Override ContentType="application/vnd.openxmlformats-officedocument.spreadsheetml.worksheet+xml" PartName="/xl/worksheets/sheet23790.xml"/>
  <Override ContentType="application/vnd.openxmlformats-officedocument.spreadsheetml.worksheet+xml" PartName="/xl/worksheets/sheet23791.xml"/>
  <Override ContentType="application/vnd.openxmlformats-officedocument.spreadsheetml.worksheet+xml" PartName="/xl/worksheets/sheet23792.xml"/>
  <Override ContentType="application/vnd.openxmlformats-officedocument.spreadsheetml.worksheet+xml" PartName="/xl/worksheets/sheet23793.xml"/>
  <Override ContentType="application/vnd.openxmlformats-officedocument.spreadsheetml.worksheet+xml" PartName="/xl/worksheets/sheet23794.xml"/>
  <Override ContentType="application/vnd.openxmlformats-officedocument.spreadsheetml.worksheet+xml" PartName="/xl/worksheets/sheet23795.xml"/>
  <Override ContentType="application/vnd.openxmlformats-officedocument.spreadsheetml.worksheet+xml" PartName="/xl/worksheets/sheet23796.xml"/>
  <Override ContentType="application/vnd.openxmlformats-officedocument.spreadsheetml.worksheet+xml" PartName="/xl/worksheets/sheet23797.xml"/>
  <Override ContentType="application/vnd.openxmlformats-officedocument.spreadsheetml.worksheet+xml" PartName="/xl/worksheets/sheet23798.xml"/>
  <Override ContentType="application/vnd.openxmlformats-officedocument.spreadsheetml.worksheet+xml" PartName="/xl/worksheets/sheet23799.xml"/>
  <Override ContentType="application/vnd.openxmlformats-officedocument.spreadsheetml.worksheet+xml" PartName="/xl/worksheets/sheet23800.xml"/>
  <Override ContentType="application/vnd.openxmlformats-officedocument.spreadsheetml.worksheet+xml" PartName="/xl/worksheets/sheet23801.xml"/>
  <Override ContentType="application/vnd.openxmlformats-officedocument.spreadsheetml.worksheet+xml" PartName="/xl/worksheets/sheet23802.xml"/>
  <Override ContentType="application/vnd.openxmlformats-officedocument.spreadsheetml.worksheet+xml" PartName="/xl/worksheets/sheet23803.xml"/>
  <Override ContentType="application/vnd.openxmlformats-officedocument.spreadsheetml.worksheet+xml" PartName="/xl/worksheets/sheet23804.xml"/>
  <Override ContentType="application/vnd.openxmlformats-officedocument.spreadsheetml.worksheet+xml" PartName="/xl/worksheets/sheet23805.xml"/>
  <Override ContentType="application/vnd.openxmlformats-officedocument.spreadsheetml.worksheet+xml" PartName="/xl/worksheets/sheet23806.xml"/>
  <Override ContentType="application/vnd.openxmlformats-officedocument.spreadsheetml.worksheet+xml" PartName="/xl/worksheets/sheet23807.xml"/>
  <Override ContentType="application/vnd.openxmlformats-officedocument.spreadsheetml.worksheet+xml" PartName="/xl/worksheets/sheet23808.xml"/>
  <Override ContentType="application/vnd.openxmlformats-officedocument.spreadsheetml.worksheet+xml" PartName="/xl/worksheets/sheet23809.xml"/>
  <Override ContentType="application/vnd.openxmlformats-officedocument.spreadsheetml.worksheet+xml" PartName="/xl/worksheets/sheet23810.xml"/>
  <Override ContentType="application/vnd.openxmlformats-officedocument.spreadsheetml.worksheet+xml" PartName="/xl/worksheets/sheet23811.xml"/>
  <Override ContentType="application/vnd.openxmlformats-officedocument.spreadsheetml.worksheet+xml" PartName="/xl/worksheets/sheet23812.xml"/>
  <Override ContentType="application/vnd.openxmlformats-officedocument.spreadsheetml.worksheet+xml" PartName="/xl/worksheets/sheet23813.xml"/>
  <Override ContentType="application/vnd.openxmlformats-officedocument.spreadsheetml.worksheet+xml" PartName="/xl/worksheets/sheet23814.xml"/>
  <Override ContentType="application/vnd.openxmlformats-officedocument.spreadsheetml.worksheet+xml" PartName="/xl/worksheets/sheet23815.xml"/>
  <Override ContentType="application/vnd.openxmlformats-officedocument.spreadsheetml.worksheet+xml" PartName="/xl/worksheets/sheet23816.xml"/>
  <Override ContentType="application/vnd.openxmlformats-officedocument.spreadsheetml.worksheet+xml" PartName="/xl/worksheets/sheet23817.xml"/>
  <Override ContentType="application/vnd.openxmlformats-officedocument.spreadsheetml.worksheet+xml" PartName="/xl/worksheets/sheet23818.xml"/>
  <Override ContentType="application/vnd.openxmlformats-officedocument.spreadsheetml.worksheet+xml" PartName="/xl/worksheets/sheet23819.xml"/>
  <Override ContentType="application/vnd.openxmlformats-officedocument.spreadsheetml.worksheet+xml" PartName="/xl/worksheets/sheet23820.xml"/>
  <Override ContentType="application/vnd.openxmlformats-officedocument.spreadsheetml.worksheet+xml" PartName="/xl/worksheets/sheet23821.xml"/>
  <Override ContentType="application/vnd.openxmlformats-officedocument.spreadsheetml.worksheet+xml" PartName="/xl/worksheets/sheet23822.xml"/>
  <Override ContentType="application/vnd.openxmlformats-officedocument.spreadsheetml.worksheet+xml" PartName="/xl/worksheets/sheet23823.xml"/>
  <Override ContentType="application/vnd.openxmlformats-officedocument.spreadsheetml.worksheet+xml" PartName="/xl/worksheets/sheet23824.xml"/>
  <Override ContentType="application/vnd.openxmlformats-officedocument.spreadsheetml.worksheet+xml" PartName="/xl/worksheets/sheet23825.xml"/>
  <Override ContentType="application/vnd.openxmlformats-officedocument.spreadsheetml.worksheet+xml" PartName="/xl/worksheets/sheet23826.xml"/>
  <Override ContentType="application/vnd.openxmlformats-officedocument.spreadsheetml.worksheet+xml" PartName="/xl/worksheets/sheet23827.xml"/>
  <Override ContentType="application/vnd.openxmlformats-officedocument.spreadsheetml.worksheet+xml" PartName="/xl/worksheets/sheet23828.xml"/>
  <Override ContentType="application/vnd.openxmlformats-officedocument.spreadsheetml.worksheet+xml" PartName="/xl/worksheets/sheet23829.xml"/>
  <Override ContentType="application/vnd.openxmlformats-officedocument.spreadsheetml.worksheet+xml" PartName="/xl/worksheets/sheet23830.xml"/>
  <Override ContentType="application/vnd.openxmlformats-officedocument.spreadsheetml.worksheet+xml" PartName="/xl/worksheets/sheet23831.xml"/>
  <Override ContentType="application/vnd.openxmlformats-officedocument.spreadsheetml.worksheet+xml" PartName="/xl/worksheets/sheet23832.xml"/>
  <Override ContentType="application/vnd.openxmlformats-officedocument.spreadsheetml.worksheet+xml" PartName="/xl/worksheets/sheet23833.xml"/>
  <Override ContentType="application/vnd.openxmlformats-officedocument.spreadsheetml.worksheet+xml" PartName="/xl/worksheets/sheet23834.xml"/>
  <Override ContentType="application/vnd.openxmlformats-officedocument.spreadsheetml.worksheet+xml" PartName="/xl/worksheets/sheet23835.xml"/>
  <Override ContentType="application/vnd.openxmlformats-officedocument.spreadsheetml.worksheet+xml" PartName="/xl/worksheets/sheet23836.xml"/>
  <Override ContentType="application/vnd.openxmlformats-officedocument.spreadsheetml.worksheet+xml" PartName="/xl/worksheets/sheet23837.xml"/>
  <Override ContentType="application/vnd.openxmlformats-officedocument.spreadsheetml.worksheet+xml" PartName="/xl/worksheets/sheet23838.xml"/>
  <Override ContentType="application/vnd.openxmlformats-officedocument.spreadsheetml.worksheet+xml" PartName="/xl/worksheets/sheet23839.xml"/>
  <Override ContentType="application/vnd.openxmlformats-officedocument.spreadsheetml.worksheet+xml" PartName="/xl/worksheets/sheet23840.xml"/>
  <Override ContentType="application/vnd.openxmlformats-officedocument.spreadsheetml.worksheet+xml" PartName="/xl/worksheets/sheet23841.xml"/>
  <Override ContentType="application/vnd.openxmlformats-officedocument.spreadsheetml.worksheet+xml" PartName="/xl/worksheets/sheet23842.xml"/>
  <Override ContentType="application/vnd.openxmlformats-officedocument.spreadsheetml.worksheet+xml" PartName="/xl/worksheets/sheet23843.xml"/>
  <Override ContentType="application/vnd.openxmlformats-officedocument.spreadsheetml.worksheet+xml" PartName="/xl/worksheets/sheet23844.xml"/>
  <Override ContentType="application/vnd.openxmlformats-officedocument.spreadsheetml.worksheet+xml" PartName="/xl/worksheets/sheet23845.xml"/>
  <Override ContentType="application/vnd.openxmlformats-officedocument.spreadsheetml.worksheet+xml" PartName="/xl/worksheets/sheet23846.xml"/>
  <Override ContentType="application/vnd.openxmlformats-officedocument.spreadsheetml.worksheet+xml" PartName="/xl/worksheets/sheet23847.xml"/>
  <Override ContentType="application/vnd.openxmlformats-officedocument.spreadsheetml.worksheet+xml" PartName="/xl/worksheets/sheet23848.xml"/>
  <Override ContentType="application/vnd.openxmlformats-officedocument.spreadsheetml.worksheet+xml" PartName="/xl/worksheets/sheet23849.xml"/>
  <Override ContentType="application/vnd.openxmlformats-officedocument.spreadsheetml.worksheet+xml" PartName="/xl/worksheets/sheet23850.xml"/>
  <Override ContentType="application/vnd.openxmlformats-officedocument.spreadsheetml.worksheet+xml" PartName="/xl/worksheets/sheet23851.xml"/>
  <Override ContentType="application/vnd.openxmlformats-officedocument.spreadsheetml.worksheet+xml" PartName="/xl/worksheets/sheet23852.xml"/>
  <Override ContentType="application/vnd.openxmlformats-officedocument.spreadsheetml.worksheet+xml" PartName="/xl/worksheets/sheet23853.xml"/>
  <Override ContentType="application/vnd.openxmlformats-officedocument.spreadsheetml.worksheet+xml" PartName="/xl/worksheets/sheet23854.xml"/>
  <Override ContentType="application/vnd.openxmlformats-officedocument.spreadsheetml.worksheet+xml" PartName="/xl/worksheets/sheet23855.xml"/>
  <Override ContentType="application/vnd.openxmlformats-officedocument.spreadsheetml.worksheet+xml" PartName="/xl/worksheets/sheet23856.xml"/>
  <Override ContentType="application/vnd.openxmlformats-officedocument.spreadsheetml.worksheet+xml" PartName="/xl/worksheets/sheet23857.xml"/>
  <Override ContentType="application/vnd.openxmlformats-officedocument.spreadsheetml.worksheet+xml" PartName="/xl/worksheets/sheet23858.xml"/>
  <Override ContentType="application/vnd.openxmlformats-officedocument.spreadsheetml.worksheet+xml" PartName="/xl/worksheets/sheet23859.xml"/>
  <Override ContentType="application/vnd.openxmlformats-officedocument.spreadsheetml.worksheet+xml" PartName="/xl/worksheets/sheet23860.xml"/>
  <Override ContentType="application/vnd.openxmlformats-officedocument.spreadsheetml.worksheet+xml" PartName="/xl/worksheets/sheet23861.xml"/>
  <Override ContentType="application/vnd.openxmlformats-officedocument.spreadsheetml.worksheet+xml" PartName="/xl/worksheets/sheet23862.xml"/>
  <Override ContentType="application/vnd.openxmlformats-officedocument.spreadsheetml.worksheet+xml" PartName="/xl/worksheets/sheet23863.xml"/>
  <Override ContentType="application/vnd.openxmlformats-officedocument.spreadsheetml.worksheet+xml" PartName="/xl/worksheets/sheet23864.xml"/>
  <Override ContentType="application/vnd.openxmlformats-officedocument.spreadsheetml.worksheet+xml" PartName="/xl/worksheets/sheet23865.xml"/>
  <Override ContentType="application/vnd.openxmlformats-officedocument.spreadsheetml.worksheet+xml" PartName="/xl/worksheets/sheet23866.xml"/>
  <Override ContentType="application/vnd.openxmlformats-officedocument.spreadsheetml.worksheet+xml" PartName="/xl/worksheets/sheet23867.xml"/>
  <Override ContentType="application/vnd.openxmlformats-officedocument.spreadsheetml.worksheet+xml" PartName="/xl/worksheets/sheet23868.xml"/>
  <Override ContentType="application/vnd.openxmlformats-officedocument.spreadsheetml.worksheet+xml" PartName="/xl/worksheets/sheet23869.xml"/>
  <Override ContentType="application/vnd.openxmlformats-officedocument.spreadsheetml.worksheet+xml" PartName="/xl/worksheets/sheet23870.xml"/>
  <Override ContentType="application/vnd.openxmlformats-officedocument.spreadsheetml.worksheet+xml" PartName="/xl/worksheets/sheet23871.xml"/>
  <Override ContentType="application/vnd.openxmlformats-officedocument.spreadsheetml.worksheet+xml" PartName="/xl/worksheets/sheet23872.xml"/>
  <Override ContentType="application/vnd.openxmlformats-officedocument.spreadsheetml.worksheet+xml" PartName="/xl/worksheets/sheet23873.xml"/>
  <Override ContentType="application/vnd.openxmlformats-officedocument.spreadsheetml.worksheet+xml" PartName="/xl/worksheets/sheet23874.xml"/>
  <Override ContentType="application/vnd.openxmlformats-officedocument.spreadsheetml.worksheet+xml" PartName="/xl/worksheets/sheet23875.xml"/>
  <Override ContentType="application/vnd.openxmlformats-officedocument.spreadsheetml.worksheet+xml" PartName="/xl/worksheets/sheet23876.xml"/>
  <Override ContentType="application/vnd.openxmlformats-officedocument.spreadsheetml.worksheet+xml" PartName="/xl/worksheets/sheet23877.xml"/>
  <Override ContentType="application/vnd.openxmlformats-officedocument.spreadsheetml.worksheet+xml" PartName="/xl/worksheets/sheet23878.xml"/>
  <Override ContentType="application/vnd.openxmlformats-officedocument.spreadsheetml.worksheet+xml" PartName="/xl/worksheets/sheet23879.xml"/>
  <Override ContentType="application/vnd.openxmlformats-officedocument.spreadsheetml.worksheet+xml" PartName="/xl/worksheets/sheet23880.xml"/>
  <Override ContentType="application/vnd.openxmlformats-officedocument.spreadsheetml.worksheet+xml" PartName="/xl/worksheets/sheet23881.xml"/>
  <Override ContentType="application/vnd.openxmlformats-officedocument.spreadsheetml.worksheet+xml" PartName="/xl/worksheets/sheet23882.xml"/>
  <Override ContentType="application/vnd.openxmlformats-officedocument.spreadsheetml.worksheet+xml" PartName="/xl/worksheets/sheet23883.xml"/>
  <Override ContentType="application/vnd.openxmlformats-officedocument.spreadsheetml.worksheet+xml" PartName="/xl/worksheets/sheet23884.xml"/>
  <Override ContentType="application/vnd.openxmlformats-officedocument.spreadsheetml.worksheet+xml" PartName="/xl/worksheets/sheet23885.xml"/>
  <Override ContentType="application/vnd.openxmlformats-officedocument.spreadsheetml.worksheet+xml" PartName="/xl/worksheets/sheet23886.xml"/>
  <Override ContentType="application/vnd.openxmlformats-officedocument.spreadsheetml.worksheet+xml" PartName="/xl/worksheets/sheet23887.xml"/>
  <Override ContentType="application/vnd.openxmlformats-officedocument.spreadsheetml.worksheet+xml" PartName="/xl/worksheets/sheet23888.xml"/>
  <Override ContentType="application/vnd.openxmlformats-officedocument.spreadsheetml.worksheet+xml" PartName="/xl/worksheets/sheet23889.xml"/>
  <Override ContentType="application/vnd.openxmlformats-officedocument.spreadsheetml.worksheet+xml" PartName="/xl/worksheets/sheet23890.xml"/>
  <Override ContentType="application/vnd.openxmlformats-officedocument.spreadsheetml.worksheet+xml" PartName="/xl/worksheets/sheet23891.xml"/>
  <Override ContentType="application/vnd.openxmlformats-officedocument.spreadsheetml.worksheet+xml" PartName="/xl/worksheets/sheet23892.xml"/>
  <Override ContentType="application/vnd.openxmlformats-officedocument.spreadsheetml.worksheet+xml" PartName="/xl/worksheets/sheet23893.xml"/>
  <Override ContentType="application/vnd.openxmlformats-officedocument.spreadsheetml.worksheet+xml" PartName="/xl/worksheets/sheet23894.xml"/>
  <Override ContentType="application/vnd.openxmlformats-officedocument.spreadsheetml.worksheet+xml" PartName="/xl/worksheets/sheet23895.xml"/>
  <Override ContentType="application/vnd.openxmlformats-officedocument.spreadsheetml.worksheet+xml" PartName="/xl/worksheets/sheet23896.xml"/>
  <Override ContentType="application/vnd.openxmlformats-officedocument.spreadsheetml.worksheet+xml" PartName="/xl/worksheets/sheet23897.xml"/>
  <Override ContentType="application/vnd.openxmlformats-officedocument.spreadsheetml.worksheet+xml" PartName="/xl/worksheets/sheet23898.xml"/>
  <Override ContentType="application/vnd.openxmlformats-officedocument.spreadsheetml.worksheet+xml" PartName="/xl/worksheets/sheet23899.xml"/>
  <Override ContentType="application/vnd.openxmlformats-officedocument.spreadsheetml.worksheet+xml" PartName="/xl/worksheets/sheet23900.xml"/>
  <Override ContentType="application/vnd.openxmlformats-officedocument.spreadsheetml.worksheet+xml" PartName="/xl/worksheets/sheet23901.xml"/>
  <Override ContentType="application/vnd.openxmlformats-officedocument.spreadsheetml.worksheet+xml" PartName="/xl/worksheets/sheet23902.xml"/>
  <Override ContentType="application/vnd.openxmlformats-officedocument.spreadsheetml.worksheet+xml" PartName="/xl/worksheets/sheet23903.xml"/>
  <Override ContentType="application/vnd.openxmlformats-officedocument.spreadsheetml.worksheet+xml" PartName="/xl/worksheets/sheet23904.xml"/>
  <Override ContentType="application/vnd.openxmlformats-officedocument.spreadsheetml.worksheet+xml" PartName="/xl/worksheets/sheet23905.xml"/>
  <Override ContentType="application/vnd.openxmlformats-officedocument.spreadsheetml.worksheet+xml" PartName="/xl/worksheets/sheet23906.xml"/>
  <Override ContentType="application/vnd.openxmlformats-officedocument.spreadsheetml.worksheet+xml" PartName="/xl/worksheets/sheet23907.xml"/>
  <Override ContentType="application/vnd.openxmlformats-officedocument.spreadsheetml.worksheet+xml" PartName="/xl/worksheets/sheet23908.xml"/>
  <Override ContentType="application/vnd.openxmlformats-officedocument.spreadsheetml.worksheet+xml" PartName="/xl/worksheets/sheet23909.xml"/>
  <Override ContentType="application/vnd.openxmlformats-officedocument.spreadsheetml.worksheet+xml" PartName="/xl/worksheets/sheet23910.xml"/>
  <Override ContentType="application/vnd.openxmlformats-officedocument.spreadsheetml.worksheet+xml" PartName="/xl/worksheets/sheet23911.xml"/>
  <Override ContentType="application/vnd.openxmlformats-officedocument.spreadsheetml.worksheet+xml" PartName="/xl/worksheets/sheet23912.xml"/>
  <Override ContentType="application/vnd.openxmlformats-officedocument.spreadsheetml.worksheet+xml" PartName="/xl/worksheets/sheet23913.xml"/>
  <Override ContentType="application/vnd.openxmlformats-officedocument.spreadsheetml.worksheet+xml" PartName="/xl/worksheets/sheet23914.xml"/>
  <Override ContentType="application/vnd.openxmlformats-officedocument.spreadsheetml.worksheet+xml" PartName="/xl/worksheets/sheet23915.xml"/>
  <Override ContentType="application/vnd.openxmlformats-officedocument.spreadsheetml.worksheet+xml" PartName="/xl/worksheets/sheet23916.xml"/>
  <Override ContentType="application/vnd.openxmlformats-officedocument.spreadsheetml.worksheet+xml" PartName="/xl/worksheets/sheet23917.xml"/>
  <Override ContentType="application/vnd.openxmlformats-officedocument.spreadsheetml.worksheet+xml" PartName="/xl/worksheets/sheet23918.xml"/>
  <Override ContentType="application/vnd.openxmlformats-officedocument.spreadsheetml.worksheet+xml" PartName="/xl/worksheets/sheet23919.xml"/>
  <Override ContentType="application/vnd.openxmlformats-officedocument.spreadsheetml.worksheet+xml" PartName="/xl/worksheets/sheet23920.xml"/>
  <Override ContentType="application/vnd.openxmlformats-officedocument.spreadsheetml.worksheet+xml" PartName="/xl/worksheets/sheet23921.xml"/>
  <Override ContentType="application/vnd.openxmlformats-officedocument.spreadsheetml.worksheet+xml" PartName="/xl/worksheets/sheet23922.xml"/>
  <Override ContentType="application/vnd.openxmlformats-officedocument.spreadsheetml.worksheet+xml" PartName="/xl/worksheets/sheet23923.xml"/>
  <Override ContentType="application/vnd.openxmlformats-officedocument.spreadsheetml.worksheet+xml" PartName="/xl/worksheets/sheet23924.xml"/>
  <Override ContentType="application/vnd.openxmlformats-officedocument.spreadsheetml.worksheet+xml" PartName="/xl/worksheets/sheet23925.xml"/>
  <Override ContentType="application/vnd.openxmlformats-officedocument.spreadsheetml.worksheet+xml" PartName="/xl/worksheets/sheet23926.xml"/>
  <Override ContentType="application/vnd.openxmlformats-officedocument.spreadsheetml.worksheet+xml" PartName="/xl/worksheets/sheet23927.xml"/>
  <Override ContentType="application/vnd.openxmlformats-officedocument.spreadsheetml.worksheet+xml" PartName="/xl/worksheets/sheet23928.xml"/>
  <Override ContentType="application/vnd.openxmlformats-officedocument.spreadsheetml.worksheet+xml" PartName="/xl/worksheets/sheet23929.xml"/>
  <Override ContentType="application/vnd.openxmlformats-officedocument.spreadsheetml.worksheet+xml" PartName="/xl/worksheets/sheet23930.xml"/>
  <Override ContentType="application/vnd.openxmlformats-officedocument.spreadsheetml.worksheet+xml" PartName="/xl/worksheets/sheet23931.xml"/>
  <Override ContentType="application/vnd.openxmlformats-officedocument.spreadsheetml.worksheet+xml" PartName="/xl/worksheets/sheet23932.xml"/>
  <Override ContentType="application/vnd.openxmlformats-officedocument.spreadsheetml.worksheet+xml" PartName="/xl/worksheets/sheet23933.xml"/>
  <Override ContentType="application/vnd.openxmlformats-officedocument.spreadsheetml.worksheet+xml" PartName="/xl/worksheets/sheet23934.xml"/>
  <Override ContentType="application/vnd.openxmlformats-officedocument.spreadsheetml.worksheet+xml" PartName="/xl/worksheets/sheet23935.xml"/>
  <Override ContentType="application/vnd.openxmlformats-officedocument.spreadsheetml.worksheet+xml" PartName="/xl/worksheets/sheet23936.xml"/>
  <Override ContentType="application/vnd.openxmlformats-officedocument.spreadsheetml.worksheet+xml" PartName="/xl/worksheets/sheet23937.xml"/>
  <Override ContentType="application/vnd.openxmlformats-officedocument.spreadsheetml.worksheet+xml" PartName="/xl/worksheets/sheet23938.xml"/>
  <Override ContentType="application/vnd.openxmlformats-officedocument.spreadsheetml.worksheet+xml" PartName="/xl/worksheets/sheet23939.xml"/>
  <Override ContentType="application/vnd.openxmlformats-officedocument.spreadsheetml.worksheet+xml" PartName="/xl/worksheets/sheet23940.xml"/>
  <Override ContentType="application/vnd.openxmlformats-officedocument.spreadsheetml.worksheet+xml" PartName="/xl/worksheets/sheet23941.xml"/>
  <Override ContentType="application/vnd.openxmlformats-officedocument.spreadsheetml.worksheet+xml" PartName="/xl/worksheets/sheet23942.xml"/>
  <Override ContentType="application/vnd.openxmlformats-officedocument.spreadsheetml.worksheet+xml" PartName="/xl/worksheets/sheet23943.xml"/>
  <Override ContentType="application/vnd.openxmlformats-officedocument.spreadsheetml.worksheet+xml" PartName="/xl/worksheets/sheet23944.xml"/>
  <Override ContentType="application/vnd.openxmlformats-officedocument.spreadsheetml.worksheet+xml" PartName="/xl/worksheets/sheet23945.xml"/>
  <Override ContentType="application/vnd.openxmlformats-officedocument.spreadsheetml.worksheet+xml" PartName="/xl/worksheets/sheet23946.xml"/>
  <Override ContentType="application/vnd.openxmlformats-officedocument.spreadsheetml.worksheet+xml" PartName="/xl/worksheets/sheet23947.xml"/>
  <Override ContentType="application/vnd.openxmlformats-officedocument.spreadsheetml.worksheet+xml" PartName="/xl/worksheets/sheet23948.xml"/>
  <Override ContentType="application/vnd.openxmlformats-officedocument.spreadsheetml.worksheet+xml" PartName="/xl/worksheets/sheet23949.xml"/>
  <Override ContentType="application/vnd.openxmlformats-officedocument.spreadsheetml.worksheet+xml" PartName="/xl/worksheets/sheet23950.xml"/>
  <Override ContentType="application/vnd.openxmlformats-officedocument.spreadsheetml.worksheet+xml" PartName="/xl/worksheets/sheet23951.xml"/>
  <Override ContentType="application/vnd.openxmlformats-officedocument.spreadsheetml.worksheet+xml" PartName="/xl/worksheets/sheet23952.xml"/>
  <Override ContentType="application/vnd.openxmlformats-officedocument.spreadsheetml.worksheet+xml" PartName="/xl/worksheets/sheet23953.xml"/>
  <Override ContentType="application/vnd.openxmlformats-officedocument.spreadsheetml.worksheet+xml" PartName="/xl/worksheets/sheet23954.xml"/>
  <Override ContentType="application/vnd.openxmlformats-officedocument.spreadsheetml.worksheet+xml" PartName="/xl/worksheets/sheet23955.xml"/>
  <Override ContentType="application/vnd.openxmlformats-officedocument.spreadsheetml.worksheet+xml" PartName="/xl/worksheets/sheet23956.xml"/>
  <Override ContentType="application/vnd.openxmlformats-officedocument.spreadsheetml.worksheet+xml" PartName="/xl/worksheets/sheet23957.xml"/>
  <Override ContentType="application/vnd.openxmlformats-officedocument.spreadsheetml.worksheet+xml" PartName="/xl/worksheets/sheet23958.xml"/>
  <Override ContentType="application/vnd.openxmlformats-officedocument.spreadsheetml.worksheet+xml" PartName="/xl/worksheets/sheet23959.xml"/>
  <Override ContentType="application/vnd.openxmlformats-officedocument.spreadsheetml.worksheet+xml" PartName="/xl/worksheets/sheet23960.xml"/>
  <Override ContentType="application/vnd.openxmlformats-officedocument.spreadsheetml.worksheet+xml" PartName="/xl/worksheets/sheet23961.xml"/>
  <Override ContentType="application/vnd.openxmlformats-officedocument.spreadsheetml.worksheet+xml" PartName="/xl/worksheets/sheet23962.xml"/>
  <Override ContentType="application/vnd.openxmlformats-officedocument.spreadsheetml.worksheet+xml" PartName="/xl/worksheets/sheet23963.xml"/>
  <Override ContentType="application/vnd.openxmlformats-officedocument.spreadsheetml.worksheet+xml" PartName="/xl/worksheets/sheet23964.xml"/>
  <Override ContentType="application/vnd.openxmlformats-officedocument.spreadsheetml.worksheet+xml" PartName="/xl/worksheets/sheet23965.xml"/>
  <Override ContentType="application/vnd.openxmlformats-officedocument.spreadsheetml.worksheet+xml" PartName="/xl/worksheets/sheet23966.xml"/>
  <Override ContentType="application/vnd.openxmlformats-officedocument.spreadsheetml.worksheet+xml" PartName="/xl/worksheets/sheet23967.xml"/>
  <Override ContentType="application/vnd.openxmlformats-officedocument.spreadsheetml.worksheet+xml" PartName="/xl/worksheets/sheet23968.xml"/>
  <Override ContentType="application/vnd.openxmlformats-officedocument.spreadsheetml.worksheet+xml" PartName="/xl/worksheets/sheet23969.xml"/>
  <Override ContentType="application/vnd.openxmlformats-officedocument.spreadsheetml.worksheet+xml" PartName="/xl/worksheets/sheet23970.xml"/>
  <Override ContentType="application/vnd.openxmlformats-officedocument.spreadsheetml.worksheet+xml" PartName="/xl/worksheets/sheet23971.xml"/>
  <Override ContentType="application/vnd.openxmlformats-officedocument.spreadsheetml.worksheet+xml" PartName="/xl/worksheets/sheet23972.xml"/>
  <Override ContentType="application/vnd.openxmlformats-officedocument.spreadsheetml.worksheet+xml" PartName="/xl/worksheets/sheet23973.xml"/>
  <Override ContentType="application/vnd.openxmlformats-officedocument.spreadsheetml.worksheet+xml" PartName="/xl/worksheets/sheet23974.xml"/>
  <Override ContentType="application/vnd.openxmlformats-officedocument.spreadsheetml.worksheet+xml" PartName="/xl/worksheets/sheet23975.xml"/>
  <Override ContentType="application/vnd.openxmlformats-officedocument.spreadsheetml.worksheet+xml" PartName="/xl/worksheets/sheet23976.xml"/>
  <Override ContentType="application/vnd.openxmlformats-officedocument.spreadsheetml.worksheet+xml" PartName="/xl/worksheets/sheet23977.xml"/>
  <Override ContentType="application/vnd.openxmlformats-officedocument.spreadsheetml.worksheet+xml" PartName="/xl/worksheets/sheet23978.xml"/>
  <Override ContentType="application/vnd.openxmlformats-officedocument.spreadsheetml.worksheet+xml" PartName="/xl/worksheets/sheet23979.xml"/>
  <Override ContentType="application/vnd.openxmlformats-officedocument.spreadsheetml.worksheet+xml" PartName="/xl/worksheets/sheet23980.xml"/>
  <Override ContentType="application/vnd.openxmlformats-officedocument.spreadsheetml.worksheet+xml" PartName="/xl/worksheets/sheet23981.xml"/>
  <Override ContentType="application/vnd.openxmlformats-officedocument.spreadsheetml.worksheet+xml" PartName="/xl/worksheets/sheet23982.xml"/>
  <Override ContentType="application/vnd.openxmlformats-officedocument.spreadsheetml.worksheet+xml" PartName="/xl/worksheets/sheet23983.xml"/>
  <Override ContentType="application/vnd.openxmlformats-officedocument.spreadsheetml.worksheet+xml" PartName="/xl/worksheets/sheet23984.xml"/>
  <Override ContentType="application/vnd.openxmlformats-officedocument.spreadsheetml.worksheet+xml" PartName="/xl/worksheets/sheet23985.xml"/>
  <Override ContentType="application/vnd.openxmlformats-officedocument.spreadsheetml.worksheet+xml" PartName="/xl/worksheets/sheet23986.xml"/>
  <Override ContentType="application/vnd.openxmlformats-officedocument.spreadsheetml.worksheet+xml" PartName="/xl/worksheets/sheet23987.xml"/>
  <Override ContentType="application/vnd.openxmlformats-officedocument.spreadsheetml.worksheet+xml" PartName="/xl/worksheets/sheet23988.xml"/>
  <Override ContentType="application/vnd.openxmlformats-officedocument.spreadsheetml.worksheet+xml" PartName="/xl/worksheets/sheet23989.xml"/>
  <Override ContentType="application/vnd.openxmlformats-officedocument.spreadsheetml.worksheet+xml" PartName="/xl/worksheets/sheet23990.xml"/>
  <Override ContentType="application/vnd.openxmlformats-officedocument.spreadsheetml.worksheet+xml" PartName="/xl/worksheets/sheet23991.xml"/>
  <Override ContentType="application/vnd.openxmlformats-officedocument.spreadsheetml.worksheet+xml" PartName="/xl/worksheets/sheet23992.xml"/>
  <Override ContentType="application/vnd.openxmlformats-officedocument.spreadsheetml.worksheet+xml" PartName="/xl/worksheets/sheet23993.xml"/>
  <Override ContentType="application/vnd.openxmlformats-officedocument.spreadsheetml.worksheet+xml" PartName="/xl/worksheets/sheet23994.xml"/>
  <Override ContentType="application/vnd.openxmlformats-officedocument.spreadsheetml.worksheet+xml" PartName="/xl/worksheets/sheet23995.xml"/>
  <Override ContentType="application/vnd.openxmlformats-officedocument.spreadsheetml.worksheet+xml" PartName="/xl/worksheets/sheet23996.xml"/>
  <Override ContentType="application/vnd.openxmlformats-officedocument.spreadsheetml.worksheet+xml" PartName="/xl/worksheets/sheet23997.xml"/>
  <Override ContentType="application/vnd.openxmlformats-officedocument.spreadsheetml.worksheet+xml" PartName="/xl/worksheets/sheet23998.xml"/>
  <Override ContentType="application/vnd.openxmlformats-officedocument.spreadsheetml.worksheet+xml" PartName="/xl/worksheets/sheet23999.xml"/>
  <Override ContentType="application/vnd.openxmlformats-officedocument.spreadsheetml.worksheet+xml" PartName="/xl/worksheets/sheet24000.xml"/>
  <Override ContentType="application/vnd.openxmlformats-officedocument.spreadsheetml.worksheet+xml" PartName="/xl/worksheets/sheet24001.xml"/>
  <Override ContentType="application/vnd.openxmlformats-officedocument.spreadsheetml.worksheet+xml" PartName="/xl/worksheets/sheet24002.xml"/>
  <Override ContentType="application/vnd.openxmlformats-officedocument.spreadsheetml.worksheet+xml" PartName="/xl/worksheets/sheet24003.xml"/>
  <Override ContentType="application/vnd.openxmlformats-officedocument.spreadsheetml.worksheet+xml" PartName="/xl/worksheets/sheet24004.xml"/>
  <Override ContentType="application/vnd.openxmlformats-officedocument.spreadsheetml.worksheet+xml" PartName="/xl/worksheets/sheet24005.xml"/>
  <Override ContentType="application/vnd.openxmlformats-officedocument.spreadsheetml.worksheet+xml" PartName="/xl/worksheets/sheet24006.xml"/>
  <Override ContentType="application/vnd.openxmlformats-officedocument.spreadsheetml.worksheet+xml" PartName="/xl/worksheets/sheet24007.xml"/>
  <Override ContentType="application/vnd.openxmlformats-officedocument.spreadsheetml.worksheet+xml" PartName="/xl/worksheets/sheet24008.xml"/>
  <Override ContentType="application/vnd.openxmlformats-officedocument.spreadsheetml.worksheet+xml" PartName="/xl/worksheets/sheet24009.xml"/>
  <Override ContentType="application/vnd.openxmlformats-officedocument.spreadsheetml.worksheet+xml" PartName="/xl/worksheets/sheet24010.xml"/>
  <Override ContentType="application/vnd.openxmlformats-officedocument.spreadsheetml.worksheet+xml" PartName="/xl/worksheets/sheet24011.xml"/>
  <Override ContentType="application/vnd.openxmlformats-officedocument.spreadsheetml.worksheet+xml" PartName="/xl/worksheets/sheet24012.xml"/>
  <Override ContentType="application/vnd.openxmlformats-officedocument.spreadsheetml.worksheet+xml" PartName="/xl/worksheets/sheet24013.xml"/>
  <Override ContentType="application/vnd.openxmlformats-officedocument.spreadsheetml.worksheet+xml" PartName="/xl/worksheets/sheet24014.xml"/>
  <Override ContentType="application/vnd.openxmlformats-officedocument.spreadsheetml.worksheet+xml" PartName="/xl/worksheets/sheet24015.xml"/>
  <Override ContentType="application/vnd.openxmlformats-officedocument.spreadsheetml.worksheet+xml" PartName="/xl/worksheets/sheet24016.xml"/>
  <Override ContentType="application/vnd.openxmlformats-officedocument.spreadsheetml.worksheet+xml" PartName="/xl/worksheets/sheet24017.xml"/>
  <Override ContentType="application/vnd.openxmlformats-officedocument.spreadsheetml.worksheet+xml" PartName="/xl/worksheets/sheet24018.xml"/>
  <Override ContentType="application/vnd.openxmlformats-officedocument.spreadsheetml.worksheet+xml" PartName="/xl/worksheets/sheet24019.xml"/>
  <Override ContentType="application/vnd.openxmlformats-officedocument.spreadsheetml.worksheet+xml" PartName="/xl/worksheets/sheet24020.xml"/>
  <Override ContentType="application/vnd.openxmlformats-officedocument.spreadsheetml.worksheet+xml" PartName="/xl/worksheets/sheet24021.xml"/>
  <Override ContentType="application/vnd.openxmlformats-officedocument.spreadsheetml.worksheet+xml" PartName="/xl/worksheets/sheet24022.xml"/>
  <Override ContentType="application/vnd.openxmlformats-officedocument.spreadsheetml.worksheet+xml" PartName="/xl/worksheets/sheet24023.xml"/>
  <Override ContentType="application/vnd.openxmlformats-officedocument.spreadsheetml.worksheet+xml" PartName="/xl/worksheets/sheet24024.xml"/>
  <Override ContentType="application/vnd.openxmlformats-officedocument.spreadsheetml.worksheet+xml" PartName="/xl/worksheets/sheet24025.xml"/>
  <Override ContentType="application/vnd.openxmlformats-officedocument.spreadsheetml.worksheet+xml" PartName="/xl/worksheets/sheet24026.xml"/>
  <Override ContentType="application/vnd.openxmlformats-officedocument.spreadsheetml.worksheet+xml" PartName="/xl/worksheets/sheet24027.xml"/>
  <Override ContentType="application/vnd.openxmlformats-officedocument.spreadsheetml.worksheet+xml" PartName="/xl/worksheets/sheet24028.xml"/>
  <Override ContentType="application/vnd.openxmlformats-officedocument.spreadsheetml.worksheet+xml" PartName="/xl/worksheets/sheet24029.xml"/>
  <Override ContentType="application/vnd.openxmlformats-officedocument.spreadsheetml.worksheet+xml" PartName="/xl/worksheets/sheet24030.xml"/>
  <Override ContentType="application/vnd.openxmlformats-officedocument.spreadsheetml.worksheet+xml" PartName="/xl/worksheets/sheet24031.xml"/>
  <Override ContentType="application/vnd.openxmlformats-officedocument.spreadsheetml.worksheet+xml" PartName="/xl/worksheets/sheet24032.xml"/>
  <Override ContentType="application/vnd.openxmlformats-officedocument.spreadsheetml.worksheet+xml" PartName="/xl/worksheets/sheet24033.xml"/>
  <Override ContentType="application/vnd.openxmlformats-officedocument.spreadsheetml.worksheet+xml" PartName="/xl/worksheets/sheet24034.xml"/>
  <Override ContentType="application/vnd.openxmlformats-officedocument.spreadsheetml.worksheet+xml" PartName="/xl/worksheets/sheet24035.xml"/>
  <Override ContentType="application/vnd.openxmlformats-officedocument.spreadsheetml.worksheet+xml" PartName="/xl/worksheets/sheet24036.xml"/>
  <Override ContentType="application/vnd.openxmlformats-officedocument.spreadsheetml.worksheet+xml" PartName="/xl/worksheets/sheet24037.xml"/>
  <Override ContentType="application/vnd.openxmlformats-officedocument.spreadsheetml.worksheet+xml" PartName="/xl/worksheets/sheet24038.xml"/>
  <Override ContentType="application/vnd.openxmlformats-officedocument.spreadsheetml.worksheet+xml" PartName="/xl/worksheets/sheet24039.xml"/>
  <Override ContentType="application/vnd.openxmlformats-officedocument.spreadsheetml.worksheet+xml" PartName="/xl/worksheets/sheet24040.xml"/>
  <Override ContentType="application/vnd.openxmlformats-officedocument.spreadsheetml.worksheet+xml" PartName="/xl/worksheets/sheet24041.xml"/>
  <Override ContentType="application/vnd.openxmlformats-officedocument.spreadsheetml.worksheet+xml" PartName="/xl/worksheets/sheet24042.xml"/>
  <Override ContentType="application/vnd.openxmlformats-officedocument.spreadsheetml.worksheet+xml" PartName="/xl/worksheets/sheet24043.xml"/>
  <Override ContentType="application/vnd.openxmlformats-officedocument.spreadsheetml.worksheet+xml" PartName="/xl/worksheets/sheet24044.xml"/>
  <Override ContentType="application/vnd.openxmlformats-officedocument.spreadsheetml.worksheet+xml" PartName="/xl/worksheets/sheet24045.xml"/>
  <Override ContentType="application/vnd.openxmlformats-officedocument.spreadsheetml.worksheet+xml" PartName="/xl/worksheets/sheet24046.xml"/>
  <Override ContentType="application/vnd.openxmlformats-officedocument.spreadsheetml.worksheet+xml" PartName="/xl/worksheets/sheet24047.xml"/>
  <Override ContentType="application/vnd.openxmlformats-officedocument.spreadsheetml.worksheet+xml" PartName="/xl/worksheets/sheet24048.xml"/>
  <Override ContentType="application/vnd.openxmlformats-officedocument.spreadsheetml.worksheet+xml" PartName="/xl/worksheets/sheet24049.xml"/>
  <Override ContentType="application/vnd.openxmlformats-officedocument.spreadsheetml.worksheet+xml" PartName="/xl/worksheets/sheet24050.xml"/>
  <Override ContentType="application/vnd.openxmlformats-officedocument.spreadsheetml.worksheet+xml" PartName="/xl/worksheets/sheet24051.xml"/>
  <Override ContentType="application/vnd.openxmlformats-officedocument.spreadsheetml.worksheet+xml" PartName="/xl/worksheets/sheet24052.xml"/>
  <Override ContentType="application/vnd.openxmlformats-officedocument.spreadsheetml.worksheet+xml" PartName="/xl/worksheets/sheet24053.xml"/>
  <Override ContentType="application/vnd.openxmlformats-officedocument.spreadsheetml.worksheet+xml" PartName="/xl/worksheets/sheet24054.xml"/>
  <Override ContentType="application/vnd.openxmlformats-officedocument.spreadsheetml.worksheet+xml" PartName="/xl/worksheets/sheet24055.xml"/>
  <Override ContentType="application/vnd.openxmlformats-officedocument.spreadsheetml.worksheet+xml" PartName="/xl/worksheets/sheet24056.xml"/>
  <Override ContentType="application/vnd.openxmlformats-officedocument.spreadsheetml.worksheet+xml" PartName="/xl/worksheets/sheet24057.xml"/>
  <Override ContentType="application/vnd.openxmlformats-officedocument.spreadsheetml.worksheet+xml" PartName="/xl/worksheets/sheet24058.xml"/>
  <Override ContentType="application/vnd.openxmlformats-officedocument.spreadsheetml.worksheet+xml" PartName="/xl/worksheets/sheet24059.xml"/>
  <Override ContentType="application/vnd.openxmlformats-officedocument.spreadsheetml.worksheet+xml" PartName="/xl/worksheets/sheet24060.xml"/>
  <Override ContentType="application/vnd.openxmlformats-officedocument.spreadsheetml.worksheet+xml" PartName="/xl/worksheets/sheet24061.xml"/>
  <Override ContentType="application/vnd.openxmlformats-officedocument.spreadsheetml.worksheet+xml" PartName="/xl/worksheets/sheet24062.xml"/>
  <Override ContentType="application/vnd.openxmlformats-officedocument.spreadsheetml.worksheet+xml" PartName="/xl/worksheets/sheet24063.xml"/>
  <Override ContentType="application/vnd.openxmlformats-officedocument.spreadsheetml.worksheet+xml" PartName="/xl/worksheets/sheet24064.xml"/>
  <Override ContentType="application/vnd.openxmlformats-officedocument.spreadsheetml.worksheet+xml" PartName="/xl/worksheets/sheet24065.xml"/>
  <Override ContentType="application/vnd.openxmlformats-officedocument.spreadsheetml.worksheet+xml" PartName="/xl/worksheets/sheet24066.xml"/>
  <Override ContentType="application/vnd.openxmlformats-officedocument.spreadsheetml.worksheet+xml" PartName="/xl/worksheets/sheet24067.xml"/>
  <Override ContentType="application/vnd.openxmlformats-officedocument.spreadsheetml.worksheet+xml" PartName="/xl/worksheets/sheet24068.xml"/>
  <Override ContentType="application/vnd.openxmlformats-officedocument.spreadsheetml.worksheet+xml" PartName="/xl/worksheets/sheet24069.xml"/>
  <Override ContentType="application/vnd.openxmlformats-officedocument.spreadsheetml.worksheet+xml" PartName="/xl/worksheets/sheet24070.xml"/>
  <Override ContentType="application/vnd.openxmlformats-officedocument.spreadsheetml.worksheet+xml" PartName="/xl/worksheets/sheet24071.xml"/>
  <Override ContentType="application/vnd.openxmlformats-officedocument.spreadsheetml.worksheet+xml" PartName="/xl/worksheets/sheet24072.xml"/>
  <Override ContentType="application/vnd.openxmlformats-officedocument.spreadsheetml.worksheet+xml" PartName="/xl/worksheets/sheet24073.xml"/>
  <Override ContentType="application/vnd.openxmlformats-officedocument.spreadsheetml.worksheet+xml" PartName="/xl/worksheets/sheet24074.xml"/>
  <Override ContentType="application/vnd.openxmlformats-officedocument.spreadsheetml.worksheet+xml" PartName="/xl/worksheets/sheet24075.xml"/>
  <Override ContentType="application/vnd.openxmlformats-officedocument.spreadsheetml.worksheet+xml" PartName="/xl/worksheets/sheet24076.xml"/>
  <Override ContentType="application/vnd.openxmlformats-officedocument.spreadsheetml.worksheet+xml" PartName="/xl/worksheets/sheet24077.xml"/>
  <Override ContentType="application/vnd.openxmlformats-officedocument.spreadsheetml.worksheet+xml" PartName="/xl/worksheets/sheet24078.xml"/>
  <Override ContentType="application/vnd.openxmlformats-officedocument.spreadsheetml.worksheet+xml" PartName="/xl/worksheets/sheet24079.xml"/>
  <Override ContentType="application/vnd.openxmlformats-officedocument.spreadsheetml.worksheet+xml" PartName="/xl/worksheets/sheet24080.xml"/>
  <Override ContentType="application/vnd.openxmlformats-officedocument.spreadsheetml.worksheet+xml" PartName="/xl/worksheets/sheet24081.xml"/>
  <Override ContentType="application/vnd.openxmlformats-officedocument.spreadsheetml.worksheet+xml" PartName="/xl/worksheets/sheet24082.xml"/>
  <Override ContentType="application/vnd.openxmlformats-officedocument.spreadsheetml.worksheet+xml" PartName="/xl/worksheets/sheet24083.xml"/>
  <Override ContentType="application/vnd.openxmlformats-officedocument.spreadsheetml.worksheet+xml" PartName="/xl/worksheets/sheet24084.xml"/>
  <Override ContentType="application/vnd.openxmlformats-officedocument.spreadsheetml.worksheet+xml" PartName="/xl/worksheets/sheet24085.xml"/>
  <Override ContentType="application/vnd.openxmlformats-officedocument.spreadsheetml.worksheet+xml" PartName="/xl/worksheets/sheet24086.xml"/>
  <Override ContentType="application/vnd.openxmlformats-officedocument.spreadsheetml.worksheet+xml" PartName="/xl/worksheets/sheet24087.xml"/>
  <Override ContentType="application/vnd.openxmlformats-officedocument.spreadsheetml.worksheet+xml" PartName="/xl/worksheets/sheet24088.xml"/>
  <Override ContentType="application/vnd.openxmlformats-officedocument.spreadsheetml.worksheet+xml" PartName="/xl/worksheets/sheet24089.xml"/>
  <Override ContentType="application/vnd.openxmlformats-officedocument.spreadsheetml.worksheet+xml" PartName="/xl/worksheets/sheet24090.xml"/>
  <Override ContentType="application/vnd.openxmlformats-officedocument.spreadsheetml.worksheet+xml" PartName="/xl/worksheets/sheet24091.xml"/>
  <Override ContentType="application/vnd.openxmlformats-officedocument.spreadsheetml.worksheet+xml" PartName="/xl/worksheets/sheet24092.xml"/>
  <Override ContentType="application/vnd.openxmlformats-officedocument.spreadsheetml.worksheet+xml" PartName="/xl/worksheets/sheet24093.xml"/>
  <Override ContentType="application/vnd.openxmlformats-officedocument.spreadsheetml.worksheet+xml" PartName="/xl/worksheets/sheet24094.xml"/>
  <Override ContentType="application/vnd.openxmlformats-officedocument.spreadsheetml.worksheet+xml" PartName="/xl/worksheets/sheet24095.xml"/>
  <Override ContentType="application/vnd.openxmlformats-officedocument.spreadsheetml.worksheet+xml" PartName="/xl/worksheets/sheet24096.xml"/>
  <Override ContentType="application/vnd.openxmlformats-officedocument.spreadsheetml.worksheet+xml" PartName="/xl/worksheets/sheet24097.xml"/>
  <Override ContentType="application/vnd.openxmlformats-officedocument.spreadsheetml.worksheet+xml" PartName="/xl/worksheets/sheet24098.xml"/>
  <Override ContentType="application/vnd.openxmlformats-officedocument.spreadsheetml.worksheet+xml" PartName="/xl/worksheets/sheet24099.xml"/>
  <Override ContentType="application/vnd.openxmlformats-officedocument.spreadsheetml.worksheet+xml" PartName="/xl/worksheets/sheet24100.xml"/>
  <Override ContentType="application/vnd.openxmlformats-officedocument.spreadsheetml.worksheet+xml" PartName="/xl/worksheets/sheet24101.xml"/>
  <Override ContentType="application/vnd.openxmlformats-officedocument.spreadsheetml.worksheet+xml" PartName="/xl/worksheets/sheet24102.xml"/>
  <Override ContentType="application/vnd.openxmlformats-officedocument.spreadsheetml.worksheet+xml" PartName="/xl/worksheets/sheet24103.xml"/>
  <Override ContentType="application/vnd.openxmlformats-officedocument.spreadsheetml.worksheet+xml" PartName="/xl/worksheets/sheet24104.xml"/>
  <Override ContentType="application/vnd.openxmlformats-officedocument.spreadsheetml.worksheet+xml" PartName="/xl/worksheets/sheet24105.xml"/>
  <Override ContentType="application/vnd.openxmlformats-officedocument.spreadsheetml.worksheet+xml" PartName="/xl/worksheets/sheet24106.xml"/>
  <Override ContentType="application/vnd.openxmlformats-officedocument.spreadsheetml.worksheet+xml" PartName="/xl/worksheets/sheet24107.xml"/>
  <Override ContentType="application/vnd.openxmlformats-officedocument.spreadsheetml.worksheet+xml" PartName="/xl/worksheets/sheet24108.xml"/>
  <Override ContentType="application/vnd.openxmlformats-officedocument.spreadsheetml.worksheet+xml" PartName="/xl/worksheets/sheet24109.xml"/>
  <Override ContentType="application/vnd.openxmlformats-officedocument.spreadsheetml.worksheet+xml" PartName="/xl/worksheets/sheet24110.xml"/>
  <Override ContentType="application/vnd.openxmlformats-officedocument.spreadsheetml.worksheet+xml" PartName="/xl/worksheets/sheet24111.xml"/>
  <Override ContentType="application/vnd.openxmlformats-officedocument.spreadsheetml.worksheet+xml" PartName="/xl/worksheets/sheet24112.xml"/>
  <Override ContentType="application/vnd.openxmlformats-officedocument.spreadsheetml.worksheet+xml" PartName="/xl/worksheets/sheet24113.xml"/>
  <Override ContentType="application/vnd.openxmlformats-officedocument.spreadsheetml.worksheet+xml" PartName="/xl/worksheets/sheet24114.xml"/>
  <Override ContentType="application/vnd.openxmlformats-officedocument.spreadsheetml.worksheet+xml" PartName="/xl/worksheets/sheet24115.xml"/>
  <Override ContentType="application/vnd.openxmlformats-officedocument.spreadsheetml.worksheet+xml" PartName="/xl/worksheets/sheet24116.xml"/>
  <Override ContentType="application/vnd.openxmlformats-officedocument.spreadsheetml.worksheet+xml" PartName="/xl/worksheets/sheet24117.xml"/>
  <Override ContentType="application/vnd.openxmlformats-officedocument.spreadsheetml.worksheet+xml" PartName="/xl/worksheets/sheet24118.xml"/>
  <Override ContentType="application/vnd.openxmlformats-officedocument.spreadsheetml.worksheet+xml" PartName="/xl/worksheets/sheet24119.xml"/>
  <Override ContentType="application/vnd.openxmlformats-officedocument.spreadsheetml.worksheet+xml" PartName="/xl/worksheets/sheet24120.xml"/>
  <Override ContentType="application/vnd.openxmlformats-officedocument.spreadsheetml.worksheet+xml" PartName="/xl/worksheets/sheet24121.xml"/>
  <Override ContentType="application/vnd.openxmlformats-officedocument.spreadsheetml.worksheet+xml" PartName="/xl/worksheets/sheet24122.xml"/>
  <Override ContentType="application/vnd.openxmlformats-officedocument.spreadsheetml.worksheet+xml" PartName="/xl/worksheets/sheet24123.xml"/>
  <Override ContentType="application/vnd.openxmlformats-officedocument.spreadsheetml.worksheet+xml" PartName="/xl/worksheets/sheet24124.xml"/>
  <Override ContentType="application/vnd.openxmlformats-officedocument.spreadsheetml.worksheet+xml" PartName="/xl/worksheets/sheet24125.xml"/>
  <Override ContentType="application/vnd.openxmlformats-officedocument.spreadsheetml.worksheet+xml" PartName="/xl/worksheets/sheet24126.xml"/>
  <Override ContentType="application/vnd.openxmlformats-officedocument.spreadsheetml.worksheet+xml" PartName="/xl/worksheets/sheet24127.xml"/>
  <Override ContentType="application/vnd.openxmlformats-officedocument.spreadsheetml.worksheet+xml" PartName="/xl/worksheets/sheet24128.xml"/>
  <Override ContentType="application/vnd.openxmlformats-officedocument.spreadsheetml.worksheet+xml" PartName="/xl/worksheets/sheet24129.xml"/>
  <Override ContentType="application/vnd.openxmlformats-officedocument.spreadsheetml.worksheet+xml" PartName="/xl/worksheets/sheet24130.xml"/>
  <Override ContentType="application/vnd.openxmlformats-officedocument.spreadsheetml.worksheet+xml" PartName="/xl/worksheets/sheet24131.xml"/>
  <Override ContentType="application/vnd.openxmlformats-officedocument.spreadsheetml.worksheet+xml" PartName="/xl/worksheets/sheet24132.xml"/>
  <Override ContentType="application/vnd.openxmlformats-officedocument.spreadsheetml.worksheet+xml" PartName="/xl/worksheets/sheet24133.xml"/>
  <Override ContentType="application/vnd.openxmlformats-officedocument.spreadsheetml.worksheet+xml" PartName="/xl/worksheets/sheet24134.xml"/>
  <Override ContentType="application/vnd.openxmlformats-officedocument.spreadsheetml.worksheet+xml" PartName="/xl/worksheets/sheet24135.xml"/>
  <Override ContentType="application/vnd.openxmlformats-officedocument.spreadsheetml.worksheet+xml" PartName="/xl/worksheets/sheet24136.xml"/>
  <Override ContentType="application/vnd.openxmlformats-officedocument.spreadsheetml.worksheet+xml" PartName="/xl/worksheets/sheet24137.xml"/>
  <Override ContentType="application/vnd.openxmlformats-officedocument.spreadsheetml.worksheet+xml" PartName="/xl/worksheets/sheet24138.xml"/>
  <Override ContentType="application/vnd.openxmlformats-officedocument.spreadsheetml.worksheet+xml" PartName="/xl/worksheets/sheet24139.xml"/>
  <Override ContentType="application/vnd.openxmlformats-officedocument.spreadsheetml.worksheet+xml" PartName="/xl/worksheets/sheet24140.xml"/>
  <Override ContentType="application/vnd.openxmlformats-officedocument.spreadsheetml.worksheet+xml" PartName="/xl/worksheets/sheet24141.xml"/>
  <Override ContentType="application/vnd.openxmlformats-officedocument.spreadsheetml.worksheet+xml" PartName="/xl/worksheets/sheet24142.xml"/>
  <Override ContentType="application/vnd.openxmlformats-officedocument.spreadsheetml.worksheet+xml" PartName="/xl/worksheets/sheet24143.xml"/>
  <Override ContentType="application/vnd.openxmlformats-officedocument.spreadsheetml.worksheet+xml" PartName="/xl/worksheets/sheet24144.xml"/>
  <Override ContentType="application/vnd.openxmlformats-officedocument.spreadsheetml.worksheet+xml" PartName="/xl/worksheets/sheet24145.xml"/>
  <Override ContentType="application/vnd.openxmlformats-officedocument.spreadsheetml.worksheet+xml" PartName="/xl/worksheets/sheet24146.xml"/>
  <Override ContentType="application/vnd.openxmlformats-officedocument.spreadsheetml.worksheet+xml" PartName="/xl/worksheets/sheet24147.xml"/>
  <Override ContentType="application/vnd.openxmlformats-officedocument.spreadsheetml.worksheet+xml" PartName="/xl/worksheets/sheet24148.xml"/>
  <Override ContentType="application/vnd.openxmlformats-officedocument.spreadsheetml.worksheet+xml" PartName="/xl/worksheets/sheet24149.xml"/>
  <Override ContentType="application/vnd.openxmlformats-officedocument.spreadsheetml.worksheet+xml" PartName="/xl/worksheets/sheet24150.xml"/>
  <Override ContentType="application/vnd.openxmlformats-officedocument.spreadsheetml.worksheet+xml" PartName="/xl/worksheets/sheet24151.xml"/>
  <Override ContentType="application/vnd.openxmlformats-officedocument.spreadsheetml.worksheet+xml" PartName="/xl/worksheets/sheet24152.xml"/>
  <Override ContentType="application/vnd.openxmlformats-officedocument.spreadsheetml.worksheet+xml" PartName="/xl/worksheets/sheet24153.xml"/>
  <Override ContentType="application/vnd.openxmlformats-officedocument.spreadsheetml.worksheet+xml" PartName="/xl/worksheets/sheet24154.xml"/>
  <Override ContentType="application/vnd.openxmlformats-officedocument.spreadsheetml.worksheet+xml" PartName="/xl/worksheets/sheet24155.xml"/>
  <Override ContentType="application/vnd.openxmlformats-officedocument.spreadsheetml.worksheet+xml" PartName="/xl/worksheets/sheet24156.xml"/>
  <Override ContentType="application/vnd.openxmlformats-officedocument.spreadsheetml.worksheet+xml" PartName="/xl/worksheets/sheet24157.xml"/>
  <Override ContentType="application/vnd.openxmlformats-officedocument.spreadsheetml.worksheet+xml" PartName="/xl/worksheets/sheet24158.xml"/>
  <Override ContentType="application/vnd.openxmlformats-officedocument.spreadsheetml.worksheet+xml" PartName="/xl/worksheets/sheet24159.xml"/>
  <Override ContentType="application/vnd.openxmlformats-officedocument.spreadsheetml.worksheet+xml" PartName="/xl/worksheets/sheet24160.xml"/>
  <Override ContentType="application/vnd.openxmlformats-officedocument.spreadsheetml.worksheet+xml" PartName="/xl/worksheets/sheet24161.xml"/>
  <Override ContentType="application/vnd.openxmlformats-officedocument.spreadsheetml.worksheet+xml" PartName="/xl/worksheets/sheet24162.xml"/>
  <Override ContentType="application/vnd.openxmlformats-officedocument.spreadsheetml.worksheet+xml" PartName="/xl/worksheets/sheet24163.xml"/>
  <Override ContentType="application/vnd.openxmlformats-officedocument.spreadsheetml.worksheet+xml" PartName="/xl/worksheets/sheet24164.xml"/>
  <Override ContentType="application/vnd.openxmlformats-officedocument.spreadsheetml.worksheet+xml" PartName="/xl/worksheets/sheet24165.xml"/>
  <Override ContentType="application/vnd.openxmlformats-officedocument.spreadsheetml.worksheet+xml" PartName="/xl/worksheets/sheet24166.xml"/>
  <Override ContentType="application/vnd.openxmlformats-officedocument.spreadsheetml.worksheet+xml" PartName="/xl/worksheets/sheet24167.xml"/>
  <Override ContentType="application/vnd.openxmlformats-officedocument.spreadsheetml.worksheet+xml" PartName="/xl/worksheets/sheet24168.xml"/>
  <Override ContentType="application/vnd.openxmlformats-officedocument.spreadsheetml.worksheet+xml" PartName="/xl/worksheets/sheet24169.xml"/>
  <Override ContentType="application/vnd.openxmlformats-officedocument.spreadsheetml.worksheet+xml" PartName="/xl/worksheets/sheet24170.xml"/>
  <Override ContentType="application/vnd.openxmlformats-officedocument.spreadsheetml.worksheet+xml" PartName="/xl/worksheets/sheet24171.xml"/>
  <Override ContentType="application/vnd.openxmlformats-officedocument.spreadsheetml.worksheet+xml" PartName="/xl/worksheets/sheet24172.xml"/>
  <Override ContentType="application/vnd.openxmlformats-officedocument.spreadsheetml.worksheet+xml" PartName="/xl/worksheets/sheet24173.xml"/>
  <Override ContentType="application/vnd.openxmlformats-officedocument.spreadsheetml.worksheet+xml" PartName="/xl/worksheets/sheet24174.xml"/>
  <Override ContentType="application/vnd.openxmlformats-officedocument.spreadsheetml.worksheet+xml" PartName="/xl/worksheets/sheet24175.xml"/>
  <Override ContentType="application/vnd.openxmlformats-officedocument.spreadsheetml.worksheet+xml" PartName="/xl/worksheets/sheet24176.xml"/>
  <Override ContentType="application/vnd.openxmlformats-officedocument.spreadsheetml.worksheet+xml" PartName="/xl/worksheets/sheet24177.xml"/>
  <Override ContentType="application/vnd.openxmlformats-officedocument.spreadsheetml.worksheet+xml" PartName="/xl/worksheets/sheet24178.xml"/>
  <Override ContentType="application/vnd.openxmlformats-officedocument.spreadsheetml.worksheet+xml" PartName="/xl/worksheets/sheet24179.xml"/>
  <Override ContentType="application/vnd.openxmlformats-officedocument.spreadsheetml.worksheet+xml" PartName="/xl/worksheets/sheet24180.xml"/>
  <Override ContentType="application/vnd.openxmlformats-officedocument.spreadsheetml.worksheet+xml" PartName="/xl/worksheets/sheet24181.xml"/>
  <Override ContentType="application/vnd.openxmlformats-officedocument.spreadsheetml.worksheet+xml" PartName="/xl/worksheets/sheet24182.xml"/>
  <Override ContentType="application/vnd.openxmlformats-officedocument.spreadsheetml.worksheet+xml" PartName="/xl/worksheets/sheet24183.xml"/>
  <Override ContentType="application/vnd.openxmlformats-officedocument.spreadsheetml.worksheet+xml" PartName="/xl/worksheets/sheet24184.xml"/>
  <Override ContentType="application/vnd.openxmlformats-officedocument.spreadsheetml.worksheet+xml" PartName="/xl/worksheets/sheet24185.xml"/>
  <Override ContentType="application/vnd.openxmlformats-officedocument.spreadsheetml.worksheet+xml" PartName="/xl/worksheets/sheet24186.xml"/>
  <Override ContentType="application/vnd.openxmlformats-officedocument.spreadsheetml.worksheet+xml" PartName="/xl/worksheets/sheet24187.xml"/>
  <Override ContentType="application/vnd.openxmlformats-officedocument.spreadsheetml.worksheet+xml" PartName="/xl/worksheets/sheet24188.xml"/>
  <Override ContentType="application/vnd.openxmlformats-officedocument.spreadsheetml.worksheet+xml" PartName="/xl/worksheets/sheet24189.xml"/>
  <Override ContentType="application/vnd.openxmlformats-officedocument.spreadsheetml.worksheet+xml" PartName="/xl/worksheets/sheet24190.xml"/>
  <Override ContentType="application/vnd.openxmlformats-officedocument.spreadsheetml.worksheet+xml" PartName="/xl/worksheets/sheet24191.xml"/>
  <Override ContentType="application/vnd.openxmlformats-officedocument.spreadsheetml.worksheet+xml" PartName="/xl/worksheets/sheet24192.xml"/>
  <Override ContentType="application/vnd.openxmlformats-officedocument.spreadsheetml.worksheet+xml" PartName="/xl/worksheets/sheet24193.xml"/>
  <Override ContentType="application/vnd.openxmlformats-officedocument.spreadsheetml.worksheet+xml" PartName="/xl/worksheets/sheet24194.xml"/>
  <Override ContentType="application/vnd.openxmlformats-officedocument.spreadsheetml.worksheet+xml" PartName="/xl/worksheets/sheet24195.xml"/>
  <Override ContentType="application/vnd.openxmlformats-officedocument.spreadsheetml.worksheet+xml" PartName="/xl/worksheets/sheet24196.xml"/>
  <Override ContentType="application/vnd.openxmlformats-officedocument.spreadsheetml.worksheet+xml" PartName="/xl/worksheets/sheet24197.xml"/>
  <Override ContentType="application/vnd.openxmlformats-officedocument.spreadsheetml.worksheet+xml" PartName="/xl/worksheets/sheet24198.xml"/>
  <Override ContentType="application/vnd.openxmlformats-officedocument.spreadsheetml.worksheet+xml" PartName="/xl/worksheets/sheet24199.xml"/>
  <Override ContentType="application/vnd.openxmlformats-officedocument.spreadsheetml.worksheet+xml" PartName="/xl/worksheets/sheet24200.xml"/>
  <Override ContentType="application/vnd.openxmlformats-officedocument.spreadsheetml.worksheet+xml" PartName="/xl/worksheets/sheet24201.xml"/>
  <Override ContentType="application/vnd.openxmlformats-officedocument.spreadsheetml.worksheet+xml" PartName="/xl/worksheets/sheet24202.xml"/>
  <Override ContentType="application/vnd.openxmlformats-officedocument.spreadsheetml.worksheet+xml" PartName="/xl/worksheets/sheet24203.xml"/>
  <Override ContentType="application/vnd.openxmlformats-officedocument.spreadsheetml.worksheet+xml" PartName="/xl/worksheets/sheet24204.xml"/>
  <Override ContentType="application/vnd.openxmlformats-officedocument.spreadsheetml.worksheet+xml" PartName="/xl/worksheets/sheet24205.xml"/>
  <Override ContentType="application/vnd.openxmlformats-officedocument.spreadsheetml.worksheet+xml" PartName="/xl/worksheets/sheet24206.xml"/>
  <Override ContentType="application/vnd.openxmlformats-officedocument.spreadsheetml.worksheet+xml" PartName="/xl/worksheets/sheet24207.xml"/>
  <Override ContentType="application/vnd.openxmlformats-officedocument.spreadsheetml.worksheet+xml" PartName="/xl/worksheets/sheet24208.xml"/>
  <Override ContentType="application/vnd.openxmlformats-officedocument.spreadsheetml.worksheet+xml" PartName="/xl/worksheets/sheet24209.xml"/>
  <Override ContentType="application/vnd.openxmlformats-officedocument.spreadsheetml.worksheet+xml" PartName="/xl/worksheets/sheet24210.xml"/>
  <Override ContentType="application/vnd.openxmlformats-officedocument.spreadsheetml.worksheet+xml" PartName="/xl/worksheets/sheet24211.xml"/>
  <Override ContentType="application/vnd.openxmlformats-officedocument.spreadsheetml.worksheet+xml" PartName="/xl/worksheets/sheet24212.xml"/>
  <Override ContentType="application/vnd.openxmlformats-officedocument.spreadsheetml.worksheet+xml" PartName="/xl/worksheets/sheet24213.xml"/>
  <Override ContentType="application/vnd.openxmlformats-officedocument.spreadsheetml.worksheet+xml" PartName="/xl/worksheets/sheet24214.xml"/>
  <Override ContentType="application/vnd.openxmlformats-officedocument.spreadsheetml.worksheet+xml" PartName="/xl/worksheets/sheet24215.xml"/>
  <Override ContentType="application/vnd.openxmlformats-officedocument.spreadsheetml.worksheet+xml" PartName="/xl/worksheets/sheet24216.xml"/>
  <Override ContentType="application/vnd.openxmlformats-officedocument.spreadsheetml.worksheet+xml" PartName="/xl/worksheets/sheet24217.xml"/>
  <Override ContentType="application/vnd.openxmlformats-officedocument.spreadsheetml.worksheet+xml" PartName="/xl/worksheets/sheet24218.xml"/>
  <Override ContentType="application/vnd.openxmlformats-officedocument.spreadsheetml.worksheet+xml" PartName="/xl/worksheets/sheet24219.xml"/>
  <Override ContentType="application/vnd.openxmlformats-officedocument.spreadsheetml.worksheet+xml" PartName="/xl/worksheets/sheet24220.xml"/>
  <Override ContentType="application/vnd.openxmlformats-officedocument.spreadsheetml.worksheet+xml" PartName="/xl/worksheets/sheet24221.xml"/>
  <Override ContentType="application/vnd.openxmlformats-officedocument.spreadsheetml.worksheet+xml" PartName="/xl/worksheets/sheet24222.xml"/>
  <Override ContentType="application/vnd.openxmlformats-officedocument.spreadsheetml.worksheet+xml" PartName="/xl/worksheets/sheet24223.xml"/>
  <Override ContentType="application/vnd.openxmlformats-officedocument.spreadsheetml.worksheet+xml" PartName="/xl/worksheets/sheet24224.xml"/>
  <Override ContentType="application/vnd.openxmlformats-officedocument.spreadsheetml.worksheet+xml" PartName="/xl/worksheets/sheet24225.xml"/>
  <Override ContentType="application/vnd.openxmlformats-officedocument.spreadsheetml.worksheet+xml" PartName="/xl/worksheets/sheet24226.xml"/>
  <Override ContentType="application/vnd.openxmlformats-officedocument.spreadsheetml.worksheet+xml" PartName="/xl/worksheets/sheet24227.xml"/>
  <Override ContentType="application/vnd.openxmlformats-officedocument.spreadsheetml.worksheet+xml" PartName="/xl/worksheets/sheet24228.xml"/>
  <Override ContentType="application/vnd.openxmlformats-officedocument.spreadsheetml.worksheet+xml" PartName="/xl/worksheets/sheet24229.xml"/>
  <Override ContentType="application/vnd.openxmlformats-officedocument.spreadsheetml.worksheet+xml" PartName="/xl/worksheets/sheet24230.xml"/>
  <Override ContentType="application/vnd.openxmlformats-officedocument.spreadsheetml.worksheet+xml" PartName="/xl/worksheets/sheet24231.xml"/>
  <Override ContentType="application/vnd.openxmlformats-officedocument.spreadsheetml.worksheet+xml" PartName="/xl/worksheets/sheet24232.xml"/>
  <Override ContentType="application/vnd.openxmlformats-officedocument.spreadsheetml.worksheet+xml" PartName="/xl/worksheets/sheet24233.xml"/>
  <Override ContentType="application/vnd.openxmlformats-officedocument.spreadsheetml.worksheet+xml" PartName="/xl/worksheets/sheet24234.xml"/>
  <Override ContentType="application/vnd.openxmlformats-officedocument.spreadsheetml.worksheet+xml" PartName="/xl/worksheets/sheet24235.xml"/>
  <Override ContentType="application/vnd.openxmlformats-officedocument.spreadsheetml.worksheet+xml" PartName="/xl/worksheets/sheet24236.xml"/>
  <Override ContentType="application/vnd.openxmlformats-officedocument.spreadsheetml.worksheet+xml" PartName="/xl/worksheets/sheet24237.xml"/>
  <Override ContentType="application/vnd.openxmlformats-officedocument.spreadsheetml.worksheet+xml" PartName="/xl/worksheets/sheet24238.xml"/>
  <Override ContentType="application/vnd.openxmlformats-officedocument.spreadsheetml.worksheet+xml" PartName="/xl/worksheets/sheet24239.xml"/>
  <Override ContentType="application/vnd.openxmlformats-officedocument.spreadsheetml.worksheet+xml" PartName="/xl/worksheets/sheet24240.xml"/>
  <Override ContentType="application/vnd.openxmlformats-officedocument.spreadsheetml.worksheet+xml" PartName="/xl/worksheets/sheet24241.xml"/>
  <Override ContentType="application/vnd.openxmlformats-officedocument.spreadsheetml.worksheet+xml" PartName="/xl/worksheets/sheet24242.xml"/>
  <Override ContentType="application/vnd.openxmlformats-officedocument.spreadsheetml.worksheet+xml" PartName="/xl/worksheets/sheet24243.xml"/>
  <Override ContentType="application/vnd.openxmlformats-officedocument.spreadsheetml.worksheet+xml" PartName="/xl/worksheets/sheet24244.xml"/>
  <Override ContentType="application/vnd.openxmlformats-officedocument.spreadsheetml.worksheet+xml" PartName="/xl/worksheets/sheet24245.xml"/>
  <Override ContentType="application/vnd.openxmlformats-officedocument.spreadsheetml.worksheet+xml" PartName="/xl/worksheets/sheet24246.xml"/>
  <Override ContentType="application/vnd.openxmlformats-officedocument.spreadsheetml.worksheet+xml" PartName="/xl/worksheets/sheet24247.xml"/>
  <Override ContentType="application/vnd.openxmlformats-officedocument.spreadsheetml.worksheet+xml" PartName="/xl/worksheets/sheet24248.xml"/>
  <Override ContentType="application/vnd.openxmlformats-officedocument.spreadsheetml.worksheet+xml" PartName="/xl/worksheets/sheet24249.xml"/>
  <Override ContentType="application/vnd.openxmlformats-officedocument.spreadsheetml.worksheet+xml" PartName="/xl/worksheets/sheet24250.xml"/>
  <Override ContentType="application/vnd.openxmlformats-officedocument.spreadsheetml.worksheet+xml" PartName="/xl/worksheets/sheet24251.xml"/>
  <Override ContentType="application/vnd.openxmlformats-officedocument.spreadsheetml.worksheet+xml" PartName="/xl/worksheets/sheet24252.xml"/>
  <Override ContentType="application/vnd.openxmlformats-officedocument.spreadsheetml.worksheet+xml" PartName="/xl/worksheets/sheet24253.xml"/>
  <Override ContentType="application/vnd.openxmlformats-officedocument.spreadsheetml.worksheet+xml" PartName="/xl/worksheets/sheet24254.xml"/>
  <Override ContentType="application/vnd.openxmlformats-officedocument.spreadsheetml.worksheet+xml" PartName="/xl/worksheets/sheet24255.xml"/>
  <Override ContentType="application/vnd.openxmlformats-officedocument.spreadsheetml.worksheet+xml" PartName="/xl/worksheets/sheet24256.xml"/>
  <Override ContentType="application/vnd.openxmlformats-officedocument.spreadsheetml.worksheet+xml" PartName="/xl/worksheets/sheet24257.xml"/>
  <Override ContentType="application/vnd.openxmlformats-officedocument.spreadsheetml.worksheet+xml" PartName="/xl/worksheets/sheet24258.xml"/>
  <Override ContentType="application/vnd.openxmlformats-officedocument.spreadsheetml.worksheet+xml" PartName="/xl/worksheets/sheet24259.xml"/>
  <Override ContentType="application/vnd.openxmlformats-officedocument.spreadsheetml.worksheet+xml" PartName="/xl/worksheets/sheet24260.xml"/>
  <Override ContentType="application/vnd.openxmlformats-officedocument.spreadsheetml.worksheet+xml" PartName="/xl/worksheets/sheet24261.xml"/>
  <Override ContentType="application/vnd.openxmlformats-officedocument.spreadsheetml.worksheet+xml" PartName="/xl/worksheets/sheet24262.xml"/>
  <Override ContentType="application/vnd.openxmlformats-officedocument.spreadsheetml.worksheet+xml" PartName="/xl/worksheets/sheet24263.xml"/>
  <Override ContentType="application/vnd.openxmlformats-officedocument.spreadsheetml.worksheet+xml" PartName="/xl/worksheets/sheet24264.xml"/>
  <Override ContentType="application/vnd.openxmlformats-officedocument.spreadsheetml.worksheet+xml" PartName="/xl/worksheets/sheet24265.xml"/>
  <Override ContentType="application/vnd.openxmlformats-officedocument.spreadsheetml.worksheet+xml" PartName="/xl/worksheets/sheet24266.xml"/>
  <Override ContentType="application/vnd.openxmlformats-officedocument.spreadsheetml.worksheet+xml" PartName="/xl/worksheets/sheet24267.xml"/>
  <Override ContentType="application/vnd.openxmlformats-officedocument.spreadsheetml.worksheet+xml" PartName="/xl/worksheets/sheet24268.xml"/>
  <Override ContentType="application/vnd.openxmlformats-officedocument.spreadsheetml.worksheet+xml" PartName="/xl/worksheets/sheet24269.xml"/>
  <Override ContentType="application/vnd.openxmlformats-officedocument.spreadsheetml.worksheet+xml" PartName="/xl/worksheets/sheet24270.xml"/>
  <Override ContentType="application/vnd.openxmlformats-officedocument.spreadsheetml.worksheet+xml" PartName="/xl/worksheets/sheet24271.xml"/>
  <Override ContentType="application/vnd.openxmlformats-officedocument.spreadsheetml.worksheet+xml" PartName="/xl/worksheets/sheet24272.xml"/>
  <Override ContentType="application/vnd.openxmlformats-officedocument.spreadsheetml.worksheet+xml" PartName="/xl/worksheets/sheet24273.xml"/>
  <Override ContentType="application/vnd.openxmlformats-officedocument.spreadsheetml.worksheet+xml" PartName="/xl/worksheets/sheet24274.xml"/>
  <Override ContentType="application/vnd.openxmlformats-officedocument.spreadsheetml.worksheet+xml" PartName="/xl/worksheets/sheet24275.xml"/>
  <Override ContentType="application/vnd.openxmlformats-officedocument.spreadsheetml.worksheet+xml" PartName="/xl/worksheets/sheet24276.xml"/>
  <Override ContentType="application/vnd.openxmlformats-officedocument.spreadsheetml.worksheet+xml" PartName="/xl/worksheets/sheet24277.xml"/>
  <Override ContentType="application/vnd.openxmlformats-officedocument.spreadsheetml.worksheet+xml" PartName="/xl/worksheets/sheet24278.xml"/>
  <Override ContentType="application/vnd.openxmlformats-officedocument.spreadsheetml.worksheet+xml" PartName="/xl/worksheets/sheet24279.xml"/>
  <Override ContentType="application/vnd.openxmlformats-officedocument.spreadsheetml.worksheet+xml" PartName="/xl/worksheets/sheet24280.xml"/>
  <Override ContentType="application/vnd.openxmlformats-officedocument.spreadsheetml.worksheet+xml" PartName="/xl/worksheets/sheet24281.xml"/>
  <Override ContentType="application/vnd.openxmlformats-officedocument.spreadsheetml.worksheet+xml" PartName="/xl/worksheets/sheet24282.xml"/>
  <Override ContentType="application/vnd.openxmlformats-officedocument.spreadsheetml.worksheet+xml" PartName="/xl/worksheets/sheet24283.xml"/>
  <Override ContentType="application/vnd.openxmlformats-officedocument.spreadsheetml.worksheet+xml" PartName="/xl/worksheets/sheet24284.xml"/>
  <Override ContentType="application/vnd.openxmlformats-officedocument.spreadsheetml.worksheet+xml" PartName="/xl/worksheets/sheet24285.xml"/>
  <Override ContentType="application/vnd.openxmlformats-officedocument.spreadsheetml.worksheet+xml" PartName="/xl/worksheets/sheet24286.xml"/>
  <Override ContentType="application/vnd.openxmlformats-officedocument.spreadsheetml.worksheet+xml" PartName="/xl/worksheets/sheet24287.xml"/>
  <Override ContentType="application/vnd.openxmlformats-officedocument.spreadsheetml.worksheet+xml" PartName="/xl/worksheets/sheet24288.xml"/>
  <Override ContentType="application/vnd.openxmlformats-officedocument.spreadsheetml.worksheet+xml" PartName="/xl/worksheets/sheet24289.xml"/>
  <Override ContentType="application/vnd.openxmlformats-officedocument.spreadsheetml.worksheet+xml" PartName="/xl/worksheets/sheet24290.xml"/>
  <Override ContentType="application/vnd.openxmlformats-officedocument.spreadsheetml.worksheet+xml" PartName="/xl/worksheets/sheet24291.xml"/>
  <Override ContentType="application/vnd.openxmlformats-officedocument.spreadsheetml.worksheet+xml" PartName="/xl/worksheets/sheet24292.xml"/>
  <Override ContentType="application/vnd.openxmlformats-officedocument.spreadsheetml.worksheet+xml" PartName="/xl/worksheets/sheet24293.xml"/>
  <Override ContentType="application/vnd.openxmlformats-officedocument.spreadsheetml.worksheet+xml" PartName="/xl/worksheets/sheet24294.xml"/>
  <Override ContentType="application/vnd.openxmlformats-officedocument.spreadsheetml.worksheet+xml" PartName="/xl/worksheets/sheet24295.xml"/>
  <Override ContentType="application/vnd.openxmlformats-officedocument.spreadsheetml.worksheet+xml" PartName="/xl/worksheets/sheet24296.xml"/>
  <Override ContentType="application/vnd.openxmlformats-officedocument.spreadsheetml.worksheet+xml" PartName="/xl/worksheets/sheet24297.xml"/>
  <Override ContentType="application/vnd.openxmlformats-officedocument.spreadsheetml.worksheet+xml" PartName="/xl/worksheets/sheet24298.xml"/>
  <Override ContentType="application/vnd.openxmlformats-officedocument.spreadsheetml.worksheet+xml" PartName="/xl/worksheets/sheet24299.xml"/>
  <Override ContentType="application/vnd.openxmlformats-officedocument.spreadsheetml.worksheet+xml" PartName="/xl/worksheets/sheet24300.xml"/>
  <Override ContentType="application/vnd.openxmlformats-officedocument.spreadsheetml.worksheet+xml" PartName="/xl/worksheets/sheet24301.xml"/>
  <Override ContentType="application/vnd.openxmlformats-officedocument.spreadsheetml.worksheet+xml" PartName="/xl/worksheets/sheet24302.xml"/>
  <Override ContentType="application/vnd.openxmlformats-officedocument.spreadsheetml.worksheet+xml" PartName="/xl/worksheets/sheet24303.xml"/>
  <Override ContentType="application/vnd.openxmlformats-officedocument.spreadsheetml.worksheet+xml" PartName="/xl/worksheets/sheet24304.xml"/>
  <Override ContentType="application/vnd.openxmlformats-officedocument.spreadsheetml.worksheet+xml" PartName="/xl/worksheets/sheet24305.xml"/>
  <Override ContentType="application/vnd.openxmlformats-officedocument.spreadsheetml.worksheet+xml" PartName="/xl/worksheets/sheet24306.xml"/>
  <Override ContentType="application/vnd.openxmlformats-officedocument.spreadsheetml.worksheet+xml" PartName="/xl/worksheets/sheet24307.xml"/>
  <Override ContentType="application/vnd.openxmlformats-officedocument.spreadsheetml.worksheet+xml" PartName="/xl/worksheets/sheet24308.xml"/>
  <Override ContentType="application/vnd.openxmlformats-officedocument.spreadsheetml.worksheet+xml" PartName="/xl/worksheets/sheet24309.xml"/>
  <Override ContentType="application/vnd.openxmlformats-officedocument.spreadsheetml.worksheet+xml" PartName="/xl/worksheets/sheet24310.xml"/>
  <Override ContentType="application/vnd.openxmlformats-officedocument.spreadsheetml.worksheet+xml" PartName="/xl/worksheets/sheet24311.xml"/>
  <Override ContentType="application/vnd.openxmlformats-officedocument.spreadsheetml.worksheet+xml" PartName="/xl/worksheets/sheet24312.xml"/>
  <Override ContentType="application/vnd.openxmlformats-officedocument.spreadsheetml.worksheet+xml" PartName="/xl/worksheets/sheet24313.xml"/>
  <Override ContentType="application/vnd.openxmlformats-officedocument.spreadsheetml.worksheet+xml" PartName="/xl/worksheets/sheet24314.xml"/>
  <Override ContentType="application/vnd.openxmlformats-officedocument.spreadsheetml.worksheet+xml" PartName="/xl/worksheets/sheet24315.xml"/>
  <Override ContentType="application/vnd.openxmlformats-officedocument.spreadsheetml.worksheet+xml" PartName="/xl/worksheets/sheet24316.xml"/>
  <Override ContentType="application/vnd.openxmlformats-officedocument.spreadsheetml.worksheet+xml" PartName="/xl/worksheets/sheet24317.xml"/>
  <Override ContentType="application/vnd.openxmlformats-officedocument.spreadsheetml.worksheet+xml" PartName="/xl/worksheets/sheet24318.xml"/>
  <Override ContentType="application/vnd.openxmlformats-officedocument.spreadsheetml.worksheet+xml" PartName="/xl/worksheets/sheet24319.xml"/>
  <Override ContentType="application/vnd.openxmlformats-officedocument.spreadsheetml.worksheet+xml" PartName="/xl/worksheets/sheet24320.xml"/>
  <Override ContentType="application/vnd.openxmlformats-officedocument.spreadsheetml.worksheet+xml" PartName="/xl/worksheets/sheet24321.xml"/>
  <Override ContentType="application/vnd.openxmlformats-officedocument.spreadsheetml.worksheet+xml" PartName="/xl/worksheets/sheet24322.xml"/>
  <Override ContentType="application/vnd.openxmlformats-officedocument.spreadsheetml.worksheet+xml" PartName="/xl/worksheets/sheet24323.xml"/>
  <Override ContentType="application/vnd.openxmlformats-officedocument.spreadsheetml.worksheet+xml" PartName="/xl/worksheets/sheet24324.xml"/>
  <Override ContentType="application/vnd.openxmlformats-officedocument.spreadsheetml.worksheet+xml" PartName="/xl/worksheets/sheet24325.xml"/>
  <Override ContentType="application/vnd.openxmlformats-officedocument.spreadsheetml.worksheet+xml" PartName="/xl/worksheets/sheet24326.xml"/>
  <Override ContentType="application/vnd.openxmlformats-officedocument.spreadsheetml.worksheet+xml" PartName="/xl/worksheets/sheet24327.xml"/>
  <Override ContentType="application/vnd.openxmlformats-officedocument.spreadsheetml.worksheet+xml" PartName="/xl/worksheets/sheet24328.xml"/>
  <Override ContentType="application/vnd.openxmlformats-officedocument.spreadsheetml.worksheet+xml" PartName="/xl/worksheets/sheet24329.xml"/>
  <Override ContentType="application/vnd.openxmlformats-officedocument.spreadsheetml.worksheet+xml" PartName="/xl/worksheets/sheet24330.xml"/>
  <Override ContentType="application/vnd.openxmlformats-officedocument.spreadsheetml.worksheet+xml" PartName="/xl/worksheets/sheet24331.xml"/>
  <Override ContentType="application/vnd.openxmlformats-officedocument.spreadsheetml.worksheet+xml" PartName="/xl/worksheets/sheet24332.xml"/>
  <Override ContentType="application/vnd.openxmlformats-officedocument.spreadsheetml.worksheet+xml" PartName="/xl/worksheets/sheet24333.xml"/>
  <Override ContentType="application/vnd.openxmlformats-officedocument.spreadsheetml.worksheet+xml" PartName="/xl/worksheets/sheet24334.xml"/>
  <Override ContentType="application/vnd.openxmlformats-officedocument.spreadsheetml.worksheet+xml" PartName="/xl/worksheets/sheet24335.xml"/>
  <Override ContentType="application/vnd.openxmlformats-officedocument.spreadsheetml.worksheet+xml" PartName="/xl/worksheets/sheet24336.xml"/>
  <Override ContentType="application/vnd.openxmlformats-officedocument.spreadsheetml.worksheet+xml" PartName="/xl/worksheets/sheet24337.xml"/>
  <Override ContentType="application/vnd.openxmlformats-officedocument.spreadsheetml.worksheet+xml" PartName="/xl/worksheets/sheet24338.xml"/>
  <Override ContentType="application/vnd.openxmlformats-officedocument.spreadsheetml.worksheet+xml" PartName="/xl/worksheets/sheet24339.xml"/>
  <Override ContentType="application/vnd.openxmlformats-officedocument.spreadsheetml.worksheet+xml" PartName="/xl/worksheets/sheet24340.xml"/>
  <Override ContentType="application/vnd.openxmlformats-officedocument.spreadsheetml.worksheet+xml" PartName="/xl/worksheets/sheet24341.xml"/>
  <Override ContentType="application/vnd.openxmlformats-officedocument.spreadsheetml.worksheet+xml" PartName="/xl/worksheets/sheet24342.xml"/>
  <Override ContentType="application/vnd.openxmlformats-officedocument.spreadsheetml.worksheet+xml" PartName="/xl/worksheets/sheet24343.xml"/>
  <Override ContentType="application/vnd.openxmlformats-officedocument.spreadsheetml.worksheet+xml" PartName="/xl/worksheets/sheet24344.xml"/>
  <Override ContentType="application/vnd.openxmlformats-officedocument.spreadsheetml.worksheet+xml" PartName="/xl/worksheets/sheet24345.xml"/>
  <Override ContentType="application/vnd.openxmlformats-officedocument.spreadsheetml.worksheet+xml" PartName="/xl/worksheets/sheet24346.xml"/>
  <Override ContentType="application/vnd.openxmlformats-officedocument.spreadsheetml.worksheet+xml" PartName="/xl/worksheets/sheet24347.xml"/>
  <Override ContentType="application/vnd.openxmlformats-officedocument.spreadsheetml.worksheet+xml" PartName="/xl/worksheets/sheet24348.xml"/>
  <Override ContentType="application/vnd.openxmlformats-officedocument.spreadsheetml.worksheet+xml" PartName="/xl/worksheets/sheet24349.xml"/>
  <Override ContentType="application/vnd.openxmlformats-officedocument.spreadsheetml.worksheet+xml" PartName="/xl/worksheets/sheet24350.xml"/>
  <Override ContentType="application/vnd.openxmlformats-officedocument.spreadsheetml.worksheet+xml" PartName="/xl/worksheets/sheet24351.xml"/>
  <Override ContentType="application/vnd.openxmlformats-officedocument.spreadsheetml.worksheet+xml" PartName="/xl/worksheets/sheet24352.xml"/>
  <Override ContentType="application/vnd.openxmlformats-officedocument.spreadsheetml.worksheet+xml" PartName="/xl/worksheets/sheet24353.xml"/>
  <Override ContentType="application/vnd.openxmlformats-officedocument.spreadsheetml.worksheet+xml" PartName="/xl/worksheets/sheet24354.xml"/>
  <Override ContentType="application/vnd.openxmlformats-officedocument.spreadsheetml.worksheet+xml" PartName="/xl/worksheets/sheet24355.xml"/>
  <Override ContentType="application/vnd.openxmlformats-officedocument.spreadsheetml.worksheet+xml" PartName="/xl/worksheets/sheet24356.xml"/>
  <Override ContentType="application/vnd.openxmlformats-officedocument.spreadsheetml.worksheet+xml" PartName="/xl/worksheets/sheet24357.xml"/>
  <Override ContentType="application/vnd.openxmlformats-officedocument.spreadsheetml.worksheet+xml" PartName="/xl/worksheets/sheet24358.xml"/>
  <Override ContentType="application/vnd.openxmlformats-officedocument.spreadsheetml.worksheet+xml" PartName="/xl/worksheets/sheet24359.xml"/>
  <Override ContentType="application/vnd.openxmlformats-officedocument.spreadsheetml.worksheet+xml" PartName="/xl/worksheets/sheet24360.xml"/>
  <Override ContentType="application/vnd.openxmlformats-officedocument.spreadsheetml.worksheet+xml" PartName="/xl/worksheets/sheet24361.xml"/>
  <Override ContentType="application/vnd.openxmlformats-officedocument.spreadsheetml.worksheet+xml" PartName="/xl/worksheets/sheet24362.xml"/>
  <Override ContentType="application/vnd.openxmlformats-officedocument.spreadsheetml.worksheet+xml" PartName="/xl/worksheets/sheet24363.xml"/>
  <Override ContentType="application/vnd.openxmlformats-officedocument.spreadsheetml.worksheet+xml" PartName="/xl/worksheets/sheet24364.xml"/>
  <Override ContentType="application/vnd.openxmlformats-officedocument.spreadsheetml.worksheet+xml" PartName="/xl/worksheets/sheet24365.xml"/>
  <Override ContentType="application/vnd.openxmlformats-officedocument.spreadsheetml.worksheet+xml" PartName="/xl/worksheets/sheet24366.xml"/>
  <Override ContentType="application/vnd.openxmlformats-officedocument.spreadsheetml.worksheet+xml" PartName="/xl/worksheets/sheet24367.xml"/>
  <Override ContentType="application/vnd.openxmlformats-officedocument.spreadsheetml.worksheet+xml" PartName="/xl/worksheets/sheet24368.xml"/>
  <Override ContentType="application/vnd.openxmlformats-officedocument.spreadsheetml.worksheet+xml" PartName="/xl/worksheets/sheet24369.xml"/>
  <Override ContentType="application/vnd.openxmlformats-officedocument.spreadsheetml.worksheet+xml" PartName="/xl/worksheets/sheet24370.xml"/>
  <Override ContentType="application/vnd.openxmlformats-officedocument.spreadsheetml.worksheet+xml" PartName="/xl/worksheets/sheet24371.xml"/>
  <Override ContentType="application/vnd.openxmlformats-officedocument.spreadsheetml.worksheet+xml" PartName="/xl/worksheets/sheet24372.xml"/>
  <Override ContentType="application/vnd.openxmlformats-officedocument.spreadsheetml.worksheet+xml" PartName="/xl/worksheets/sheet24373.xml"/>
  <Override ContentType="application/vnd.openxmlformats-officedocument.spreadsheetml.worksheet+xml" PartName="/xl/worksheets/sheet24374.xml"/>
  <Override ContentType="application/vnd.openxmlformats-officedocument.spreadsheetml.worksheet+xml" PartName="/xl/worksheets/sheet24375.xml"/>
  <Override ContentType="application/vnd.openxmlformats-officedocument.spreadsheetml.worksheet+xml" PartName="/xl/worksheets/sheet24376.xml"/>
  <Override ContentType="application/vnd.openxmlformats-officedocument.spreadsheetml.worksheet+xml" PartName="/xl/worksheets/sheet24377.xml"/>
  <Override ContentType="application/vnd.openxmlformats-officedocument.spreadsheetml.worksheet+xml" PartName="/xl/worksheets/sheet24378.xml"/>
  <Override ContentType="application/vnd.openxmlformats-officedocument.spreadsheetml.worksheet+xml" PartName="/xl/worksheets/sheet24379.xml"/>
  <Override ContentType="application/vnd.openxmlformats-officedocument.spreadsheetml.worksheet+xml" PartName="/xl/worksheets/sheet24380.xml"/>
  <Override ContentType="application/vnd.openxmlformats-officedocument.spreadsheetml.worksheet+xml" PartName="/xl/worksheets/sheet24381.xml"/>
  <Override ContentType="application/vnd.openxmlformats-officedocument.spreadsheetml.worksheet+xml" PartName="/xl/worksheets/sheet24382.xml"/>
  <Override ContentType="application/vnd.openxmlformats-officedocument.spreadsheetml.worksheet+xml" PartName="/xl/worksheets/sheet24383.xml"/>
  <Override ContentType="application/vnd.openxmlformats-officedocument.spreadsheetml.worksheet+xml" PartName="/xl/worksheets/sheet24384.xml"/>
  <Override ContentType="application/vnd.openxmlformats-officedocument.spreadsheetml.worksheet+xml" PartName="/xl/worksheets/sheet24385.xml"/>
  <Override ContentType="application/vnd.openxmlformats-officedocument.spreadsheetml.worksheet+xml" PartName="/xl/worksheets/sheet24386.xml"/>
  <Override ContentType="application/vnd.openxmlformats-officedocument.spreadsheetml.worksheet+xml" PartName="/xl/worksheets/sheet24387.xml"/>
  <Override ContentType="application/vnd.openxmlformats-officedocument.spreadsheetml.worksheet+xml" PartName="/xl/worksheets/sheet24388.xml"/>
  <Override ContentType="application/vnd.openxmlformats-officedocument.spreadsheetml.worksheet+xml" PartName="/xl/worksheets/sheet24389.xml"/>
  <Override ContentType="application/vnd.openxmlformats-officedocument.spreadsheetml.worksheet+xml" PartName="/xl/worksheets/sheet24390.xml"/>
  <Override ContentType="application/vnd.openxmlformats-officedocument.spreadsheetml.worksheet+xml" PartName="/xl/worksheets/sheet24391.xml"/>
  <Override ContentType="application/vnd.openxmlformats-officedocument.spreadsheetml.worksheet+xml" PartName="/xl/worksheets/sheet24392.xml"/>
  <Override ContentType="application/vnd.openxmlformats-officedocument.spreadsheetml.worksheet+xml" PartName="/xl/worksheets/sheet24393.xml"/>
  <Override ContentType="application/vnd.openxmlformats-officedocument.spreadsheetml.worksheet+xml" PartName="/xl/worksheets/sheet24394.xml"/>
  <Override ContentType="application/vnd.openxmlformats-officedocument.spreadsheetml.worksheet+xml" PartName="/xl/worksheets/sheet24395.xml"/>
  <Override ContentType="application/vnd.openxmlformats-officedocument.spreadsheetml.worksheet+xml" PartName="/xl/worksheets/sheet24396.xml"/>
  <Override ContentType="application/vnd.openxmlformats-officedocument.spreadsheetml.worksheet+xml" PartName="/xl/worksheets/sheet24397.xml"/>
  <Override ContentType="application/vnd.openxmlformats-officedocument.spreadsheetml.worksheet+xml" PartName="/xl/worksheets/sheet24398.xml"/>
  <Override ContentType="application/vnd.openxmlformats-officedocument.spreadsheetml.worksheet+xml" PartName="/xl/worksheets/sheet24399.xml"/>
  <Override ContentType="application/vnd.openxmlformats-officedocument.spreadsheetml.worksheet+xml" PartName="/xl/worksheets/sheet24400.xml"/>
  <Override ContentType="application/vnd.openxmlformats-officedocument.spreadsheetml.worksheet+xml" PartName="/xl/worksheets/sheet24401.xml"/>
  <Override ContentType="application/vnd.openxmlformats-officedocument.spreadsheetml.worksheet+xml" PartName="/xl/worksheets/sheet24402.xml"/>
  <Override ContentType="application/vnd.openxmlformats-officedocument.spreadsheetml.worksheet+xml" PartName="/xl/worksheets/sheet24403.xml"/>
  <Override ContentType="application/vnd.openxmlformats-officedocument.spreadsheetml.worksheet+xml" PartName="/xl/worksheets/sheet24404.xml"/>
  <Override ContentType="application/vnd.openxmlformats-officedocument.spreadsheetml.worksheet+xml" PartName="/xl/worksheets/sheet24405.xml"/>
  <Override ContentType="application/vnd.openxmlformats-officedocument.spreadsheetml.worksheet+xml" PartName="/xl/worksheets/sheet24406.xml"/>
  <Override ContentType="application/vnd.openxmlformats-officedocument.spreadsheetml.worksheet+xml" PartName="/xl/worksheets/sheet24407.xml"/>
  <Override ContentType="application/vnd.openxmlformats-officedocument.spreadsheetml.worksheet+xml" PartName="/xl/worksheets/sheet24408.xml"/>
  <Override ContentType="application/vnd.openxmlformats-officedocument.spreadsheetml.worksheet+xml" PartName="/xl/worksheets/sheet24409.xml"/>
  <Override ContentType="application/vnd.openxmlformats-officedocument.spreadsheetml.worksheet+xml" PartName="/xl/worksheets/sheet24410.xml"/>
  <Override ContentType="application/vnd.openxmlformats-officedocument.spreadsheetml.worksheet+xml" PartName="/xl/worksheets/sheet24411.xml"/>
  <Override ContentType="application/vnd.openxmlformats-officedocument.spreadsheetml.worksheet+xml" PartName="/xl/worksheets/sheet24412.xml"/>
  <Override ContentType="application/vnd.openxmlformats-officedocument.spreadsheetml.worksheet+xml" PartName="/xl/worksheets/sheet24413.xml"/>
  <Override ContentType="application/vnd.openxmlformats-officedocument.spreadsheetml.worksheet+xml" PartName="/xl/worksheets/sheet24414.xml"/>
  <Override ContentType="application/vnd.openxmlformats-officedocument.spreadsheetml.worksheet+xml" PartName="/xl/worksheets/sheet24415.xml"/>
  <Override ContentType="application/vnd.openxmlformats-officedocument.spreadsheetml.worksheet+xml" PartName="/xl/worksheets/sheet24416.xml"/>
  <Override ContentType="application/vnd.openxmlformats-officedocument.spreadsheetml.worksheet+xml" PartName="/xl/worksheets/sheet24417.xml"/>
  <Override ContentType="application/vnd.openxmlformats-officedocument.spreadsheetml.worksheet+xml" PartName="/xl/worksheets/sheet24418.xml"/>
  <Override ContentType="application/vnd.openxmlformats-officedocument.spreadsheetml.worksheet+xml" PartName="/xl/worksheets/sheet24419.xml"/>
  <Override ContentType="application/vnd.openxmlformats-officedocument.spreadsheetml.worksheet+xml" PartName="/xl/worksheets/sheet24420.xml"/>
  <Override ContentType="application/vnd.openxmlformats-officedocument.spreadsheetml.worksheet+xml" PartName="/xl/worksheets/sheet24421.xml"/>
  <Override ContentType="application/vnd.openxmlformats-officedocument.spreadsheetml.worksheet+xml" PartName="/xl/worksheets/sheet24422.xml"/>
  <Override ContentType="application/vnd.openxmlformats-officedocument.spreadsheetml.worksheet+xml" PartName="/xl/worksheets/sheet24423.xml"/>
  <Override ContentType="application/vnd.openxmlformats-officedocument.spreadsheetml.worksheet+xml" PartName="/xl/worksheets/sheet24424.xml"/>
  <Override ContentType="application/vnd.openxmlformats-officedocument.spreadsheetml.worksheet+xml" PartName="/xl/worksheets/sheet24425.xml"/>
  <Override ContentType="application/vnd.openxmlformats-officedocument.spreadsheetml.worksheet+xml" PartName="/xl/worksheets/sheet24426.xml"/>
  <Override ContentType="application/vnd.openxmlformats-officedocument.spreadsheetml.worksheet+xml" PartName="/xl/worksheets/sheet24427.xml"/>
  <Override ContentType="application/vnd.openxmlformats-officedocument.spreadsheetml.worksheet+xml" PartName="/xl/worksheets/sheet24428.xml"/>
  <Override ContentType="application/vnd.openxmlformats-officedocument.spreadsheetml.worksheet+xml" PartName="/xl/worksheets/sheet24429.xml"/>
  <Override ContentType="application/vnd.openxmlformats-officedocument.spreadsheetml.worksheet+xml" PartName="/xl/worksheets/sheet24430.xml"/>
  <Override ContentType="application/vnd.openxmlformats-officedocument.spreadsheetml.worksheet+xml" PartName="/xl/worksheets/sheet24431.xml"/>
  <Override ContentType="application/vnd.openxmlformats-officedocument.spreadsheetml.worksheet+xml" PartName="/xl/worksheets/sheet24432.xml"/>
  <Override ContentType="application/vnd.openxmlformats-officedocument.spreadsheetml.worksheet+xml" PartName="/xl/worksheets/sheet24433.xml"/>
  <Override ContentType="application/vnd.openxmlformats-officedocument.spreadsheetml.worksheet+xml" PartName="/xl/worksheets/sheet24434.xml"/>
  <Override ContentType="application/vnd.openxmlformats-officedocument.spreadsheetml.worksheet+xml" PartName="/xl/worksheets/sheet24435.xml"/>
  <Override ContentType="application/vnd.openxmlformats-officedocument.spreadsheetml.worksheet+xml" PartName="/xl/worksheets/sheet24436.xml"/>
  <Override ContentType="application/vnd.openxmlformats-officedocument.spreadsheetml.worksheet+xml" PartName="/xl/worksheets/sheet24437.xml"/>
  <Override ContentType="application/vnd.openxmlformats-officedocument.spreadsheetml.worksheet+xml" PartName="/xl/worksheets/sheet24438.xml"/>
  <Override ContentType="application/vnd.openxmlformats-officedocument.spreadsheetml.worksheet+xml" PartName="/xl/worksheets/sheet24439.xml"/>
  <Override ContentType="application/vnd.openxmlformats-officedocument.spreadsheetml.worksheet+xml" PartName="/xl/worksheets/sheet24440.xml"/>
  <Override ContentType="application/vnd.openxmlformats-officedocument.spreadsheetml.worksheet+xml" PartName="/xl/worksheets/sheet24441.xml"/>
  <Override ContentType="application/vnd.openxmlformats-officedocument.spreadsheetml.worksheet+xml" PartName="/xl/worksheets/sheet24442.xml"/>
  <Override ContentType="application/vnd.openxmlformats-officedocument.spreadsheetml.worksheet+xml" PartName="/xl/worksheets/sheet24443.xml"/>
  <Override ContentType="application/vnd.openxmlformats-officedocument.spreadsheetml.worksheet+xml" PartName="/xl/worksheets/sheet24444.xml"/>
  <Override ContentType="application/vnd.openxmlformats-officedocument.spreadsheetml.worksheet+xml" PartName="/xl/worksheets/sheet24445.xml"/>
  <Override ContentType="application/vnd.openxmlformats-officedocument.spreadsheetml.worksheet+xml" PartName="/xl/worksheets/sheet24446.xml"/>
  <Override ContentType="application/vnd.openxmlformats-officedocument.spreadsheetml.worksheet+xml" PartName="/xl/worksheets/sheet24447.xml"/>
  <Override ContentType="application/vnd.openxmlformats-officedocument.spreadsheetml.worksheet+xml" PartName="/xl/worksheets/sheet24448.xml"/>
  <Override ContentType="application/vnd.openxmlformats-officedocument.spreadsheetml.worksheet+xml" PartName="/xl/worksheets/sheet24449.xml"/>
  <Override ContentType="application/vnd.openxmlformats-officedocument.spreadsheetml.worksheet+xml" PartName="/xl/worksheets/sheet24450.xml"/>
  <Override ContentType="application/vnd.openxmlformats-officedocument.spreadsheetml.worksheet+xml" PartName="/xl/worksheets/sheet24451.xml"/>
  <Override ContentType="application/vnd.openxmlformats-officedocument.spreadsheetml.worksheet+xml" PartName="/xl/worksheets/sheet24452.xml"/>
  <Override ContentType="application/vnd.openxmlformats-officedocument.spreadsheetml.worksheet+xml" PartName="/xl/worksheets/sheet24453.xml"/>
  <Override ContentType="application/vnd.openxmlformats-officedocument.spreadsheetml.worksheet+xml" PartName="/xl/worksheets/sheet24454.xml"/>
  <Override ContentType="application/vnd.openxmlformats-officedocument.spreadsheetml.worksheet+xml" PartName="/xl/worksheets/sheet24455.xml"/>
  <Override ContentType="application/vnd.openxmlformats-officedocument.spreadsheetml.worksheet+xml" PartName="/xl/worksheets/sheet24456.xml"/>
  <Override ContentType="application/vnd.openxmlformats-officedocument.spreadsheetml.worksheet+xml" PartName="/xl/worksheets/sheet24457.xml"/>
  <Override ContentType="application/vnd.openxmlformats-officedocument.spreadsheetml.worksheet+xml" PartName="/xl/worksheets/sheet24458.xml"/>
  <Override ContentType="application/vnd.openxmlformats-officedocument.spreadsheetml.worksheet+xml" PartName="/xl/worksheets/sheet24459.xml"/>
  <Override ContentType="application/vnd.openxmlformats-officedocument.spreadsheetml.worksheet+xml" PartName="/xl/worksheets/sheet24460.xml"/>
  <Override ContentType="application/vnd.openxmlformats-officedocument.spreadsheetml.worksheet+xml" PartName="/xl/worksheets/sheet24461.xml"/>
  <Override ContentType="application/vnd.openxmlformats-officedocument.spreadsheetml.worksheet+xml" PartName="/xl/worksheets/sheet24462.xml"/>
  <Override ContentType="application/vnd.openxmlformats-officedocument.spreadsheetml.worksheet+xml" PartName="/xl/worksheets/sheet24463.xml"/>
  <Override ContentType="application/vnd.openxmlformats-officedocument.spreadsheetml.worksheet+xml" PartName="/xl/worksheets/sheet24464.xml"/>
  <Override ContentType="application/vnd.openxmlformats-officedocument.spreadsheetml.worksheet+xml" PartName="/xl/worksheets/sheet24465.xml"/>
  <Override ContentType="application/vnd.openxmlformats-officedocument.spreadsheetml.worksheet+xml" PartName="/xl/worksheets/sheet24466.xml"/>
  <Override ContentType="application/vnd.openxmlformats-officedocument.spreadsheetml.worksheet+xml" PartName="/xl/worksheets/sheet24467.xml"/>
  <Override ContentType="application/vnd.openxmlformats-officedocument.spreadsheetml.worksheet+xml" PartName="/xl/worksheets/sheet24468.xml"/>
  <Override ContentType="application/vnd.openxmlformats-officedocument.spreadsheetml.worksheet+xml" PartName="/xl/worksheets/sheet24469.xml"/>
  <Override ContentType="application/vnd.openxmlformats-officedocument.spreadsheetml.worksheet+xml" PartName="/xl/worksheets/sheet24470.xml"/>
  <Override ContentType="application/vnd.openxmlformats-officedocument.spreadsheetml.worksheet+xml" PartName="/xl/worksheets/sheet24471.xml"/>
  <Override ContentType="application/vnd.openxmlformats-officedocument.spreadsheetml.worksheet+xml" PartName="/xl/worksheets/sheet24472.xml"/>
  <Override ContentType="application/vnd.openxmlformats-officedocument.spreadsheetml.worksheet+xml" PartName="/xl/worksheets/sheet24473.xml"/>
  <Override ContentType="application/vnd.openxmlformats-officedocument.spreadsheetml.worksheet+xml" PartName="/xl/worksheets/sheet24474.xml"/>
  <Override ContentType="application/vnd.openxmlformats-officedocument.spreadsheetml.worksheet+xml" PartName="/xl/worksheets/sheet24475.xml"/>
  <Override ContentType="application/vnd.openxmlformats-officedocument.spreadsheetml.worksheet+xml" PartName="/xl/worksheets/sheet24476.xml"/>
  <Override ContentType="application/vnd.openxmlformats-officedocument.spreadsheetml.worksheet+xml" PartName="/xl/worksheets/sheet24477.xml"/>
  <Override ContentType="application/vnd.openxmlformats-officedocument.spreadsheetml.worksheet+xml" PartName="/xl/worksheets/sheet24478.xml"/>
  <Override ContentType="application/vnd.openxmlformats-officedocument.spreadsheetml.worksheet+xml" PartName="/xl/worksheets/sheet24479.xml"/>
  <Override ContentType="application/vnd.openxmlformats-officedocument.spreadsheetml.worksheet+xml" PartName="/xl/worksheets/sheet24480.xml"/>
  <Override ContentType="application/vnd.openxmlformats-officedocument.spreadsheetml.worksheet+xml" PartName="/xl/worksheets/sheet24481.xml"/>
  <Override ContentType="application/vnd.openxmlformats-officedocument.spreadsheetml.worksheet+xml" PartName="/xl/worksheets/sheet24482.xml"/>
  <Override ContentType="application/vnd.openxmlformats-officedocument.spreadsheetml.worksheet+xml" PartName="/xl/worksheets/sheet24483.xml"/>
  <Override ContentType="application/vnd.openxmlformats-officedocument.spreadsheetml.worksheet+xml" PartName="/xl/worksheets/sheet24484.xml"/>
  <Override ContentType="application/vnd.openxmlformats-officedocument.spreadsheetml.worksheet+xml" PartName="/xl/worksheets/sheet24485.xml"/>
  <Override ContentType="application/vnd.openxmlformats-officedocument.spreadsheetml.worksheet+xml" PartName="/xl/worksheets/sheet24486.xml"/>
  <Override ContentType="application/vnd.openxmlformats-officedocument.spreadsheetml.worksheet+xml" PartName="/xl/worksheets/sheet24487.xml"/>
  <Override ContentType="application/vnd.openxmlformats-officedocument.spreadsheetml.worksheet+xml" PartName="/xl/worksheets/sheet24488.xml"/>
  <Override ContentType="application/vnd.openxmlformats-officedocument.spreadsheetml.worksheet+xml" PartName="/xl/worksheets/sheet24489.xml"/>
  <Override ContentType="application/vnd.openxmlformats-officedocument.spreadsheetml.worksheet+xml" PartName="/xl/worksheets/sheet24490.xml"/>
  <Override ContentType="application/vnd.openxmlformats-officedocument.spreadsheetml.worksheet+xml" PartName="/xl/worksheets/sheet24491.xml"/>
  <Override ContentType="application/vnd.openxmlformats-officedocument.spreadsheetml.worksheet+xml" PartName="/xl/worksheets/sheet24492.xml"/>
  <Override ContentType="application/vnd.openxmlformats-officedocument.spreadsheetml.worksheet+xml" PartName="/xl/worksheets/sheet24493.xml"/>
  <Override ContentType="application/vnd.openxmlformats-officedocument.spreadsheetml.worksheet+xml" PartName="/xl/worksheets/sheet24494.xml"/>
  <Override ContentType="application/vnd.openxmlformats-officedocument.spreadsheetml.worksheet+xml" PartName="/xl/worksheets/sheet24495.xml"/>
  <Override ContentType="application/vnd.openxmlformats-officedocument.spreadsheetml.worksheet+xml" PartName="/xl/worksheets/sheet24496.xml"/>
  <Override ContentType="application/vnd.openxmlformats-officedocument.spreadsheetml.worksheet+xml" PartName="/xl/worksheets/sheet24497.xml"/>
  <Override ContentType="application/vnd.openxmlformats-officedocument.spreadsheetml.worksheet+xml" PartName="/xl/worksheets/sheet24498.xml"/>
  <Override ContentType="application/vnd.openxmlformats-officedocument.spreadsheetml.worksheet+xml" PartName="/xl/worksheets/sheet24499.xml"/>
  <Override ContentType="application/vnd.openxmlformats-officedocument.spreadsheetml.worksheet+xml" PartName="/xl/worksheets/sheet24500.xml"/>
  <Override ContentType="application/vnd.openxmlformats-officedocument.spreadsheetml.worksheet+xml" PartName="/xl/worksheets/sheet24501.xml"/>
  <Override ContentType="application/vnd.openxmlformats-officedocument.spreadsheetml.worksheet+xml" PartName="/xl/worksheets/sheet24502.xml"/>
  <Override ContentType="application/vnd.openxmlformats-officedocument.spreadsheetml.worksheet+xml" PartName="/xl/worksheets/sheet24503.xml"/>
  <Override ContentType="application/vnd.openxmlformats-officedocument.spreadsheetml.worksheet+xml" PartName="/xl/worksheets/sheet24504.xml"/>
  <Override ContentType="application/vnd.openxmlformats-officedocument.spreadsheetml.worksheet+xml" PartName="/xl/worksheets/sheet24505.xml"/>
  <Override ContentType="application/vnd.openxmlformats-officedocument.spreadsheetml.worksheet+xml" PartName="/xl/worksheets/sheet24506.xml"/>
  <Override ContentType="application/vnd.openxmlformats-officedocument.spreadsheetml.worksheet+xml" PartName="/xl/worksheets/sheet24507.xml"/>
  <Override ContentType="application/vnd.openxmlformats-officedocument.spreadsheetml.worksheet+xml" PartName="/xl/worksheets/sheet24508.xml"/>
  <Override ContentType="application/vnd.openxmlformats-officedocument.spreadsheetml.worksheet+xml" PartName="/xl/worksheets/sheet24509.xml"/>
  <Override ContentType="application/vnd.openxmlformats-officedocument.spreadsheetml.worksheet+xml" PartName="/xl/worksheets/sheet24510.xml"/>
  <Override ContentType="application/vnd.openxmlformats-officedocument.spreadsheetml.worksheet+xml" PartName="/xl/worksheets/sheet24511.xml"/>
  <Override ContentType="application/vnd.openxmlformats-officedocument.spreadsheetml.worksheet+xml" PartName="/xl/worksheets/sheet24512.xml"/>
  <Override ContentType="application/vnd.openxmlformats-officedocument.spreadsheetml.worksheet+xml" PartName="/xl/worksheets/sheet24513.xml"/>
  <Override ContentType="application/vnd.openxmlformats-officedocument.spreadsheetml.worksheet+xml" PartName="/xl/worksheets/sheet24514.xml"/>
  <Override ContentType="application/vnd.openxmlformats-officedocument.spreadsheetml.worksheet+xml" PartName="/xl/worksheets/sheet24515.xml"/>
  <Override ContentType="application/vnd.openxmlformats-officedocument.spreadsheetml.worksheet+xml" PartName="/xl/worksheets/sheet24516.xml"/>
  <Override ContentType="application/vnd.openxmlformats-officedocument.spreadsheetml.worksheet+xml" PartName="/xl/worksheets/sheet24517.xml"/>
  <Override ContentType="application/vnd.openxmlformats-officedocument.spreadsheetml.worksheet+xml" PartName="/xl/worksheets/sheet24518.xml"/>
  <Override ContentType="application/vnd.openxmlformats-officedocument.spreadsheetml.worksheet+xml" PartName="/xl/worksheets/sheet24519.xml"/>
  <Override ContentType="application/vnd.openxmlformats-officedocument.spreadsheetml.worksheet+xml" PartName="/xl/worksheets/sheet24520.xml"/>
  <Override ContentType="application/vnd.openxmlformats-officedocument.spreadsheetml.worksheet+xml" PartName="/xl/worksheets/sheet24521.xml"/>
  <Override ContentType="application/vnd.openxmlformats-officedocument.spreadsheetml.worksheet+xml" PartName="/xl/worksheets/sheet24522.xml"/>
  <Override ContentType="application/vnd.openxmlformats-officedocument.spreadsheetml.worksheet+xml" PartName="/xl/worksheets/sheet24523.xml"/>
  <Override ContentType="application/vnd.openxmlformats-officedocument.spreadsheetml.worksheet+xml" PartName="/xl/worksheets/sheet24524.xml"/>
  <Override ContentType="application/vnd.openxmlformats-officedocument.spreadsheetml.worksheet+xml" PartName="/xl/worksheets/sheet24525.xml"/>
  <Override ContentType="application/vnd.openxmlformats-officedocument.spreadsheetml.worksheet+xml" PartName="/xl/worksheets/sheet24526.xml"/>
  <Override ContentType="application/vnd.openxmlformats-officedocument.spreadsheetml.worksheet+xml" PartName="/xl/worksheets/sheet24527.xml"/>
  <Override ContentType="application/vnd.openxmlformats-officedocument.spreadsheetml.worksheet+xml" PartName="/xl/worksheets/sheet24528.xml"/>
  <Override ContentType="application/vnd.openxmlformats-officedocument.spreadsheetml.worksheet+xml" PartName="/xl/worksheets/sheet24529.xml"/>
  <Override ContentType="application/vnd.openxmlformats-officedocument.spreadsheetml.worksheet+xml" PartName="/xl/worksheets/sheet24530.xml"/>
  <Override ContentType="application/vnd.openxmlformats-officedocument.spreadsheetml.worksheet+xml" PartName="/xl/worksheets/sheet24531.xml"/>
  <Override ContentType="application/vnd.openxmlformats-officedocument.spreadsheetml.worksheet+xml" PartName="/xl/worksheets/sheet24532.xml"/>
  <Override ContentType="application/vnd.openxmlformats-officedocument.spreadsheetml.worksheet+xml" PartName="/xl/worksheets/sheet24533.xml"/>
  <Override ContentType="application/vnd.openxmlformats-officedocument.spreadsheetml.worksheet+xml" PartName="/xl/worksheets/sheet24534.xml"/>
  <Override ContentType="application/vnd.openxmlformats-officedocument.spreadsheetml.worksheet+xml" PartName="/xl/worksheets/sheet24535.xml"/>
  <Override ContentType="application/vnd.openxmlformats-officedocument.spreadsheetml.worksheet+xml" PartName="/xl/worksheets/sheet24536.xml"/>
  <Override ContentType="application/vnd.openxmlformats-officedocument.spreadsheetml.worksheet+xml" PartName="/xl/worksheets/sheet24537.xml"/>
  <Override ContentType="application/vnd.openxmlformats-officedocument.spreadsheetml.worksheet+xml" PartName="/xl/worksheets/sheet24538.xml"/>
  <Override ContentType="application/vnd.openxmlformats-officedocument.spreadsheetml.worksheet+xml" PartName="/xl/worksheets/sheet24539.xml"/>
  <Override ContentType="application/vnd.openxmlformats-officedocument.spreadsheetml.worksheet+xml" PartName="/xl/worksheets/sheet24540.xml"/>
  <Override ContentType="application/vnd.openxmlformats-officedocument.spreadsheetml.worksheet+xml" PartName="/xl/worksheets/sheet24541.xml"/>
  <Override ContentType="application/vnd.openxmlformats-officedocument.spreadsheetml.worksheet+xml" PartName="/xl/worksheets/sheet24542.xml"/>
  <Override ContentType="application/vnd.openxmlformats-officedocument.spreadsheetml.worksheet+xml" PartName="/xl/worksheets/sheet24543.xml"/>
  <Override ContentType="application/vnd.openxmlformats-officedocument.spreadsheetml.worksheet+xml" PartName="/xl/worksheets/sheet24544.xml"/>
  <Override ContentType="application/vnd.openxmlformats-officedocument.spreadsheetml.worksheet+xml" PartName="/xl/worksheets/sheet24545.xml"/>
  <Override ContentType="application/vnd.openxmlformats-officedocument.spreadsheetml.worksheet+xml" PartName="/xl/worksheets/sheet24546.xml"/>
  <Override ContentType="application/vnd.openxmlformats-officedocument.spreadsheetml.worksheet+xml" PartName="/xl/worksheets/sheet24547.xml"/>
  <Override ContentType="application/vnd.openxmlformats-officedocument.spreadsheetml.worksheet+xml" PartName="/xl/worksheets/sheet24548.xml"/>
  <Override ContentType="application/vnd.openxmlformats-officedocument.spreadsheetml.worksheet+xml" PartName="/xl/worksheets/sheet24549.xml"/>
  <Override ContentType="application/vnd.openxmlformats-officedocument.spreadsheetml.worksheet+xml" PartName="/xl/worksheets/sheet24550.xml"/>
  <Override ContentType="application/vnd.openxmlformats-officedocument.spreadsheetml.worksheet+xml" PartName="/xl/worksheets/sheet24551.xml"/>
  <Override ContentType="application/vnd.openxmlformats-officedocument.spreadsheetml.worksheet+xml" PartName="/xl/worksheets/sheet24552.xml"/>
  <Override ContentType="application/vnd.openxmlformats-officedocument.spreadsheetml.worksheet+xml" PartName="/xl/worksheets/sheet24553.xml"/>
  <Override ContentType="application/vnd.openxmlformats-officedocument.spreadsheetml.worksheet+xml" PartName="/xl/worksheets/sheet24554.xml"/>
  <Override ContentType="application/vnd.openxmlformats-officedocument.spreadsheetml.worksheet+xml" PartName="/xl/worksheets/sheet24555.xml"/>
  <Override ContentType="application/vnd.openxmlformats-officedocument.spreadsheetml.worksheet+xml" PartName="/xl/worksheets/sheet24556.xml"/>
  <Override ContentType="application/vnd.openxmlformats-officedocument.spreadsheetml.worksheet+xml" PartName="/xl/worksheets/sheet24557.xml"/>
  <Override ContentType="application/vnd.openxmlformats-officedocument.spreadsheetml.worksheet+xml" PartName="/xl/worksheets/sheet24558.xml"/>
  <Override ContentType="application/vnd.openxmlformats-officedocument.spreadsheetml.worksheet+xml" PartName="/xl/worksheets/sheet24559.xml"/>
  <Override ContentType="application/vnd.openxmlformats-officedocument.spreadsheetml.worksheet+xml" PartName="/xl/worksheets/sheet24560.xml"/>
  <Override ContentType="application/vnd.openxmlformats-officedocument.spreadsheetml.worksheet+xml" PartName="/xl/worksheets/sheet24561.xml"/>
  <Override ContentType="application/vnd.openxmlformats-officedocument.spreadsheetml.worksheet+xml" PartName="/xl/worksheets/sheet24562.xml"/>
  <Override ContentType="application/vnd.openxmlformats-officedocument.spreadsheetml.worksheet+xml" PartName="/xl/worksheets/sheet24563.xml"/>
  <Override ContentType="application/vnd.openxmlformats-officedocument.spreadsheetml.worksheet+xml" PartName="/xl/worksheets/sheet24564.xml"/>
  <Override ContentType="application/vnd.openxmlformats-officedocument.spreadsheetml.worksheet+xml" PartName="/xl/worksheets/sheet24565.xml"/>
  <Override ContentType="application/vnd.openxmlformats-officedocument.spreadsheetml.worksheet+xml" PartName="/xl/worksheets/sheet24566.xml"/>
  <Override ContentType="application/vnd.openxmlformats-officedocument.spreadsheetml.worksheet+xml" PartName="/xl/worksheets/sheet24567.xml"/>
  <Override ContentType="application/vnd.openxmlformats-officedocument.spreadsheetml.worksheet+xml" PartName="/xl/worksheets/sheet24568.xml"/>
  <Override ContentType="application/vnd.openxmlformats-officedocument.spreadsheetml.worksheet+xml" PartName="/xl/worksheets/sheet24569.xml"/>
  <Override ContentType="application/vnd.openxmlformats-officedocument.spreadsheetml.worksheet+xml" PartName="/xl/worksheets/sheet24570.xml"/>
  <Override ContentType="application/vnd.openxmlformats-officedocument.spreadsheetml.worksheet+xml" PartName="/xl/worksheets/sheet24571.xml"/>
  <Override ContentType="application/vnd.openxmlformats-officedocument.spreadsheetml.worksheet+xml" PartName="/xl/worksheets/sheet24572.xml"/>
  <Override ContentType="application/vnd.openxmlformats-officedocument.spreadsheetml.worksheet+xml" PartName="/xl/worksheets/sheet24573.xml"/>
  <Override ContentType="application/vnd.openxmlformats-officedocument.spreadsheetml.worksheet+xml" PartName="/xl/worksheets/sheet24574.xml"/>
  <Override ContentType="application/vnd.openxmlformats-officedocument.spreadsheetml.worksheet+xml" PartName="/xl/worksheets/sheet24575.xml"/>
  <Override ContentType="application/vnd.openxmlformats-officedocument.spreadsheetml.worksheet+xml" PartName="/xl/worksheets/sheet24576.xml"/>
  <Override ContentType="application/vnd.openxmlformats-officedocument.spreadsheetml.worksheet+xml" PartName="/xl/worksheets/sheet24577.xml"/>
  <Override ContentType="application/vnd.openxmlformats-officedocument.spreadsheetml.worksheet+xml" PartName="/xl/worksheets/sheet24578.xml"/>
  <Override ContentType="application/vnd.openxmlformats-officedocument.spreadsheetml.worksheet+xml" PartName="/xl/worksheets/sheet24579.xml"/>
  <Override ContentType="application/vnd.openxmlformats-officedocument.spreadsheetml.worksheet+xml" PartName="/xl/worksheets/sheet24580.xml"/>
  <Override ContentType="application/vnd.openxmlformats-officedocument.spreadsheetml.worksheet+xml" PartName="/xl/worksheets/sheet24581.xml"/>
  <Override ContentType="application/vnd.openxmlformats-officedocument.spreadsheetml.worksheet+xml" PartName="/xl/worksheets/sheet24582.xml"/>
  <Override ContentType="application/vnd.openxmlformats-officedocument.spreadsheetml.worksheet+xml" PartName="/xl/worksheets/sheet24583.xml"/>
  <Override ContentType="application/vnd.openxmlformats-officedocument.spreadsheetml.worksheet+xml" PartName="/xl/worksheets/sheet24584.xml"/>
  <Override ContentType="application/vnd.openxmlformats-officedocument.spreadsheetml.worksheet+xml" PartName="/xl/worksheets/sheet24585.xml"/>
  <Override ContentType="application/vnd.openxmlformats-officedocument.spreadsheetml.worksheet+xml" PartName="/xl/worksheets/sheet24586.xml"/>
  <Override ContentType="application/vnd.openxmlformats-officedocument.spreadsheetml.worksheet+xml" PartName="/xl/worksheets/sheet24587.xml"/>
  <Override ContentType="application/vnd.openxmlformats-officedocument.spreadsheetml.worksheet+xml" PartName="/xl/worksheets/sheet24588.xml"/>
  <Override ContentType="application/vnd.openxmlformats-officedocument.spreadsheetml.worksheet+xml" PartName="/xl/worksheets/sheet24589.xml"/>
  <Override ContentType="application/vnd.openxmlformats-officedocument.spreadsheetml.worksheet+xml" PartName="/xl/worksheets/sheet24590.xml"/>
  <Override ContentType="application/vnd.openxmlformats-officedocument.spreadsheetml.worksheet+xml" PartName="/xl/worksheets/sheet24591.xml"/>
  <Override ContentType="application/vnd.openxmlformats-officedocument.spreadsheetml.worksheet+xml" PartName="/xl/worksheets/sheet24592.xml"/>
  <Override ContentType="application/vnd.openxmlformats-officedocument.spreadsheetml.worksheet+xml" PartName="/xl/worksheets/sheet24593.xml"/>
  <Override ContentType="application/vnd.openxmlformats-officedocument.spreadsheetml.worksheet+xml" PartName="/xl/worksheets/sheet24594.xml"/>
  <Override ContentType="application/vnd.openxmlformats-officedocument.spreadsheetml.worksheet+xml" PartName="/xl/worksheets/sheet24595.xml"/>
  <Override ContentType="application/vnd.openxmlformats-officedocument.spreadsheetml.worksheet+xml" PartName="/xl/worksheets/sheet24596.xml"/>
  <Override ContentType="application/vnd.openxmlformats-officedocument.spreadsheetml.worksheet+xml" PartName="/xl/worksheets/sheet24597.xml"/>
  <Override ContentType="application/vnd.openxmlformats-officedocument.spreadsheetml.worksheet+xml" PartName="/xl/worksheets/sheet24598.xml"/>
  <Override ContentType="application/vnd.openxmlformats-officedocument.spreadsheetml.worksheet+xml" PartName="/xl/worksheets/sheet24599.xml"/>
  <Override ContentType="application/vnd.openxmlformats-officedocument.spreadsheetml.worksheet+xml" PartName="/xl/worksheets/sheet24600.xml"/>
  <Override ContentType="application/vnd.openxmlformats-officedocument.spreadsheetml.worksheet+xml" PartName="/xl/worksheets/sheet24601.xml"/>
  <Override ContentType="application/vnd.openxmlformats-officedocument.spreadsheetml.worksheet+xml" PartName="/xl/worksheets/sheet24602.xml"/>
  <Override ContentType="application/vnd.openxmlformats-officedocument.spreadsheetml.worksheet+xml" PartName="/xl/worksheets/sheet24603.xml"/>
  <Override ContentType="application/vnd.openxmlformats-officedocument.spreadsheetml.worksheet+xml" PartName="/xl/worksheets/sheet24604.xml"/>
  <Override ContentType="application/vnd.openxmlformats-officedocument.spreadsheetml.worksheet+xml" PartName="/xl/worksheets/sheet24605.xml"/>
  <Override ContentType="application/vnd.openxmlformats-officedocument.spreadsheetml.worksheet+xml" PartName="/xl/worksheets/sheet24606.xml"/>
  <Override ContentType="application/vnd.openxmlformats-officedocument.spreadsheetml.worksheet+xml" PartName="/xl/worksheets/sheet24607.xml"/>
  <Override ContentType="application/vnd.openxmlformats-officedocument.spreadsheetml.worksheet+xml" PartName="/xl/worksheets/sheet24608.xml"/>
  <Override ContentType="application/vnd.openxmlformats-officedocument.spreadsheetml.worksheet+xml" PartName="/xl/worksheets/sheet24609.xml"/>
  <Override ContentType="application/vnd.openxmlformats-officedocument.spreadsheetml.worksheet+xml" PartName="/xl/worksheets/sheet24610.xml"/>
  <Override ContentType="application/vnd.openxmlformats-officedocument.spreadsheetml.worksheet+xml" PartName="/xl/worksheets/sheet24611.xml"/>
  <Override ContentType="application/vnd.openxmlformats-officedocument.spreadsheetml.worksheet+xml" PartName="/xl/worksheets/sheet24612.xml"/>
  <Override ContentType="application/vnd.openxmlformats-officedocument.spreadsheetml.worksheet+xml" PartName="/xl/worksheets/sheet24613.xml"/>
  <Override ContentType="application/vnd.openxmlformats-officedocument.spreadsheetml.worksheet+xml" PartName="/xl/worksheets/sheet24614.xml"/>
  <Override ContentType="application/vnd.openxmlformats-officedocument.spreadsheetml.worksheet+xml" PartName="/xl/worksheets/sheet24615.xml"/>
  <Override ContentType="application/vnd.openxmlformats-officedocument.spreadsheetml.worksheet+xml" PartName="/xl/worksheets/sheet24616.xml"/>
  <Override ContentType="application/vnd.openxmlformats-officedocument.spreadsheetml.worksheet+xml" PartName="/xl/worksheets/sheet24617.xml"/>
  <Override ContentType="application/vnd.openxmlformats-officedocument.spreadsheetml.worksheet+xml" PartName="/xl/worksheets/sheet24618.xml"/>
  <Override ContentType="application/vnd.openxmlformats-officedocument.spreadsheetml.worksheet+xml" PartName="/xl/worksheets/sheet24619.xml"/>
  <Override ContentType="application/vnd.openxmlformats-officedocument.spreadsheetml.worksheet+xml" PartName="/xl/worksheets/sheet24620.xml"/>
  <Override ContentType="application/vnd.openxmlformats-officedocument.spreadsheetml.worksheet+xml" PartName="/xl/worksheets/sheet24621.xml"/>
  <Override ContentType="application/vnd.openxmlformats-officedocument.spreadsheetml.worksheet+xml" PartName="/xl/worksheets/sheet24622.xml"/>
  <Override ContentType="application/vnd.openxmlformats-officedocument.spreadsheetml.worksheet+xml" PartName="/xl/worksheets/sheet24623.xml"/>
  <Override ContentType="application/vnd.openxmlformats-officedocument.spreadsheetml.worksheet+xml" PartName="/xl/worksheets/sheet24624.xml"/>
  <Override ContentType="application/vnd.openxmlformats-officedocument.spreadsheetml.worksheet+xml" PartName="/xl/worksheets/sheet24625.xml"/>
  <Override ContentType="application/vnd.openxmlformats-officedocument.spreadsheetml.worksheet+xml" PartName="/xl/worksheets/sheet24626.xml"/>
  <Override ContentType="application/vnd.openxmlformats-officedocument.spreadsheetml.worksheet+xml" PartName="/xl/worksheets/sheet24627.xml"/>
  <Override ContentType="application/vnd.openxmlformats-officedocument.spreadsheetml.worksheet+xml" PartName="/xl/worksheets/sheet24628.xml"/>
  <Override ContentType="application/vnd.openxmlformats-officedocument.spreadsheetml.worksheet+xml" PartName="/xl/worksheets/sheet24629.xml"/>
  <Override ContentType="application/vnd.openxmlformats-officedocument.spreadsheetml.worksheet+xml" PartName="/xl/worksheets/sheet24630.xml"/>
  <Override ContentType="application/vnd.openxmlformats-officedocument.spreadsheetml.worksheet+xml" PartName="/xl/worksheets/sheet24631.xml"/>
  <Override ContentType="application/vnd.openxmlformats-officedocument.spreadsheetml.worksheet+xml" PartName="/xl/worksheets/sheet24632.xml"/>
  <Override ContentType="application/vnd.openxmlformats-officedocument.spreadsheetml.worksheet+xml" PartName="/xl/worksheets/sheet24633.xml"/>
  <Override ContentType="application/vnd.openxmlformats-officedocument.spreadsheetml.worksheet+xml" PartName="/xl/worksheets/sheet24634.xml"/>
  <Override ContentType="application/vnd.openxmlformats-officedocument.spreadsheetml.worksheet+xml" PartName="/xl/worksheets/sheet24635.xml"/>
  <Override ContentType="application/vnd.openxmlformats-officedocument.spreadsheetml.worksheet+xml" PartName="/xl/worksheets/sheet24636.xml"/>
  <Override ContentType="application/vnd.openxmlformats-officedocument.spreadsheetml.worksheet+xml" PartName="/xl/worksheets/sheet24637.xml"/>
  <Override ContentType="application/vnd.openxmlformats-officedocument.spreadsheetml.worksheet+xml" PartName="/xl/worksheets/sheet24638.xml"/>
  <Override ContentType="application/vnd.openxmlformats-officedocument.spreadsheetml.worksheet+xml" PartName="/xl/worksheets/sheet24639.xml"/>
  <Override ContentType="application/vnd.openxmlformats-officedocument.spreadsheetml.worksheet+xml" PartName="/xl/worksheets/sheet24640.xml"/>
  <Override ContentType="application/vnd.openxmlformats-officedocument.spreadsheetml.worksheet+xml" PartName="/xl/worksheets/sheet24641.xml"/>
  <Override ContentType="application/vnd.openxmlformats-officedocument.spreadsheetml.worksheet+xml" PartName="/xl/worksheets/sheet24642.xml"/>
  <Override ContentType="application/vnd.openxmlformats-officedocument.spreadsheetml.worksheet+xml" PartName="/xl/worksheets/sheet24643.xml"/>
  <Override ContentType="application/vnd.openxmlformats-officedocument.spreadsheetml.worksheet+xml" PartName="/xl/worksheets/sheet24644.xml"/>
  <Override ContentType="application/vnd.openxmlformats-officedocument.spreadsheetml.worksheet+xml" PartName="/xl/worksheets/sheet24645.xml"/>
  <Override ContentType="application/vnd.openxmlformats-officedocument.spreadsheetml.worksheet+xml" PartName="/xl/worksheets/sheet24646.xml"/>
  <Override ContentType="application/vnd.openxmlformats-officedocument.spreadsheetml.worksheet+xml" PartName="/xl/worksheets/sheet24647.xml"/>
  <Override ContentType="application/vnd.openxmlformats-officedocument.spreadsheetml.worksheet+xml" PartName="/xl/worksheets/sheet24648.xml"/>
  <Override ContentType="application/vnd.openxmlformats-officedocument.spreadsheetml.worksheet+xml" PartName="/xl/worksheets/sheet24649.xml"/>
  <Override ContentType="application/vnd.openxmlformats-officedocument.spreadsheetml.worksheet+xml" PartName="/xl/worksheets/sheet24650.xml"/>
  <Override ContentType="application/vnd.openxmlformats-officedocument.spreadsheetml.worksheet+xml" PartName="/xl/worksheets/sheet24651.xml"/>
  <Override ContentType="application/vnd.openxmlformats-officedocument.spreadsheetml.worksheet+xml" PartName="/xl/worksheets/sheet24652.xml"/>
  <Override ContentType="application/vnd.openxmlformats-officedocument.spreadsheetml.worksheet+xml" PartName="/xl/worksheets/sheet24653.xml"/>
  <Override ContentType="application/vnd.openxmlformats-officedocument.spreadsheetml.worksheet+xml" PartName="/xl/worksheets/sheet24654.xml"/>
  <Override ContentType="application/vnd.openxmlformats-officedocument.spreadsheetml.worksheet+xml" PartName="/xl/worksheets/sheet24655.xml"/>
  <Override ContentType="application/vnd.openxmlformats-officedocument.spreadsheetml.worksheet+xml" PartName="/xl/worksheets/sheet24656.xml"/>
  <Override ContentType="application/vnd.openxmlformats-officedocument.spreadsheetml.worksheet+xml" PartName="/xl/worksheets/sheet24657.xml"/>
  <Override ContentType="application/vnd.openxmlformats-officedocument.spreadsheetml.worksheet+xml" PartName="/xl/worksheets/sheet24658.xml"/>
  <Override ContentType="application/vnd.openxmlformats-officedocument.spreadsheetml.worksheet+xml" PartName="/xl/worksheets/sheet24659.xml"/>
  <Override ContentType="application/vnd.openxmlformats-officedocument.spreadsheetml.worksheet+xml" PartName="/xl/worksheets/sheet24660.xml"/>
  <Override ContentType="application/vnd.openxmlformats-officedocument.spreadsheetml.worksheet+xml" PartName="/xl/worksheets/sheet24661.xml"/>
  <Override ContentType="application/vnd.openxmlformats-officedocument.spreadsheetml.worksheet+xml" PartName="/xl/worksheets/sheet24662.xml"/>
  <Override ContentType="application/vnd.openxmlformats-officedocument.spreadsheetml.worksheet+xml" PartName="/xl/worksheets/sheet24663.xml"/>
  <Override ContentType="application/vnd.openxmlformats-officedocument.spreadsheetml.worksheet+xml" PartName="/xl/worksheets/sheet24664.xml"/>
  <Override ContentType="application/vnd.openxmlformats-officedocument.spreadsheetml.worksheet+xml" PartName="/xl/worksheets/sheet24665.xml"/>
  <Override ContentType="application/vnd.openxmlformats-officedocument.spreadsheetml.worksheet+xml" PartName="/xl/worksheets/sheet24666.xml"/>
  <Override ContentType="application/vnd.openxmlformats-officedocument.spreadsheetml.worksheet+xml" PartName="/xl/worksheets/sheet24667.xml"/>
  <Override ContentType="application/vnd.openxmlformats-officedocument.spreadsheetml.worksheet+xml" PartName="/xl/worksheets/sheet24668.xml"/>
  <Override ContentType="application/vnd.openxmlformats-officedocument.spreadsheetml.worksheet+xml" PartName="/xl/worksheets/sheet24669.xml"/>
  <Override ContentType="application/vnd.openxmlformats-officedocument.spreadsheetml.worksheet+xml" PartName="/xl/worksheets/sheet24670.xml"/>
  <Override ContentType="application/vnd.openxmlformats-officedocument.spreadsheetml.worksheet+xml" PartName="/xl/worksheets/sheet24671.xml"/>
  <Override ContentType="application/vnd.openxmlformats-officedocument.spreadsheetml.worksheet+xml" PartName="/xl/worksheets/sheet24672.xml"/>
  <Override ContentType="application/vnd.openxmlformats-officedocument.spreadsheetml.worksheet+xml" PartName="/xl/worksheets/sheet24673.xml"/>
  <Override ContentType="application/vnd.openxmlformats-officedocument.spreadsheetml.worksheet+xml" PartName="/xl/worksheets/sheet24674.xml"/>
  <Override ContentType="application/vnd.openxmlformats-officedocument.spreadsheetml.worksheet+xml" PartName="/xl/worksheets/sheet24675.xml"/>
  <Override ContentType="application/vnd.openxmlformats-officedocument.spreadsheetml.worksheet+xml" PartName="/xl/worksheets/sheet24676.xml"/>
  <Override ContentType="application/vnd.openxmlformats-officedocument.spreadsheetml.worksheet+xml" PartName="/xl/worksheets/sheet24677.xml"/>
  <Override ContentType="application/vnd.openxmlformats-officedocument.spreadsheetml.worksheet+xml" PartName="/xl/worksheets/sheet24678.xml"/>
  <Override ContentType="application/vnd.openxmlformats-officedocument.spreadsheetml.worksheet+xml" PartName="/xl/worksheets/sheet24679.xml"/>
  <Override ContentType="application/vnd.openxmlformats-officedocument.spreadsheetml.worksheet+xml" PartName="/xl/worksheets/sheet24680.xml"/>
  <Override ContentType="application/vnd.openxmlformats-officedocument.spreadsheetml.worksheet+xml" PartName="/xl/worksheets/sheet24681.xml"/>
  <Override ContentType="application/vnd.openxmlformats-officedocument.spreadsheetml.worksheet+xml" PartName="/xl/worksheets/sheet24682.xml"/>
  <Override ContentType="application/vnd.openxmlformats-officedocument.spreadsheetml.worksheet+xml" PartName="/xl/worksheets/sheet24683.xml"/>
  <Override ContentType="application/vnd.openxmlformats-officedocument.spreadsheetml.worksheet+xml" PartName="/xl/worksheets/sheet24684.xml"/>
  <Override ContentType="application/vnd.openxmlformats-officedocument.spreadsheetml.worksheet+xml" PartName="/xl/worksheets/sheet24685.xml"/>
  <Override ContentType="application/vnd.openxmlformats-officedocument.spreadsheetml.worksheet+xml" PartName="/xl/worksheets/sheet24686.xml"/>
  <Override ContentType="application/vnd.openxmlformats-officedocument.spreadsheetml.worksheet+xml" PartName="/xl/worksheets/sheet24687.xml"/>
  <Override ContentType="application/vnd.openxmlformats-officedocument.spreadsheetml.worksheet+xml" PartName="/xl/worksheets/sheet24688.xml"/>
  <Override ContentType="application/vnd.openxmlformats-officedocument.spreadsheetml.worksheet+xml" PartName="/xl/worksheets/sheet24689.xml"/>
  <Override ContentType="application/vnd.openxmlformats-officedocument.spreadsheetml.worksheet+xml" PartName="/xl/worksheets/sheet24690.xml"/>
  <Override ContentType="application/vnd.openxmlformats-officedocument.spreadsheetml.worksheet+xml" PartName="/xl/worksheets/sheet24691.xml"/>
  <Override ContentType="application/vnd.openxmlformats-officedocument.spreadsheetml.worksheet+xml" PartName="/xl/worksheets/sheet24692.xml"/>
  <Override ContentType="application/vnd.openxmlformats-officedocument.spreadsheetml.worksheet+xml" PartName="/xl/worksheets/sheet24693.xml"/>
  <Override ContentType="application/vnd.openxmlformats-officedocument.spreadsheetml.worksheet+xml" PartName="/xl/worksheets/sheet24694.xml"/>
  <Override ContentType="application/vnd.openxmlformats-officedocument.spreadsheetml.worksheet+xml" PartName="/xl/worksheets/sheet24695.xml"/>
  <Override ContentType="application/vnd.openxmlformats-officedocument.spreadsheetml.worksheet+xml" PartName="/xl/worksheets/sheet24696.xml"/>
  <Override ContentType="application/vnd.openxmlformats-officedocument.spreadsheetml.worksheet+xml" PartName="/xl/worksheets/sheet24697.xml"/>
  <Override ContentType="application/vnd.openxmlformats-officedocument.spreadsheetml.worksheet+xml" PartName="/xl/worksheets/sheet24698.xml"/>
  <Override ContentType="application/vnd.openxmlformats-officedocument.spreadsheetml.worksheet+xml" PartName="/xl/worksheets/sheet24699.xml"/>
  <Override ContentType="application/vnd.openxmlformats-officedocument.spreadsheetml.worksheet+xml" PartName="/xl/worksheets/sheet24700.xml"/>
  <Override ContentType="application/vnd.openxmlformats-officedocument.spreadsheetml.worksheet+xml" PartName="/xl/worksheets/sheet24701.xml"/>
  <Override ContentType="application/vnd.openxmlformats-officedocument.spreadsheetml.worksheet+xml" PartName="/xl/worksheets/sheet24702.xml"/>
  <Override ContentType="application/vnd.openxmlformats-officedocument.spreadsheetml.worksheet+xml" PartName="/xl/worksheets/sheet24703.xml"/>
  <Override ContentType="application/vnd.openxmlformats-officedocument.spreadsheetml.worksheet+xml" PartName="/xl/worksheets/sheet24704.xml"/>
  <Override ContentType="application/vnd.openxmlformats-officedocument.spreadsheetml.worksheet+xml" PartName="/xl/worksheets/sheet24705.xml"/>
  <Override ContentType="application/vnd.openxmlformats-officedocument.spreadsheetml.worksheet+xml" PartName="/xl/worksheets/sheet24706.xml"/>
  <Override ContentType="application/vnd.openxmlformats-officedocument.spreadsheetml.worksheet+xml" PartName="/xl/worksheets/sheet24707.xml"/>
  <Override ContentType="application/vnd.openxmlformats-officedocument.spreadsheetml.worksheet+xml" PartName="/xl/worksheets/sheet24708.xml"/>
  <Override ContentType="application/vnd.openxmlformats-officedocument.spreadsheetml.worksheet+xml" PartName="/xl/worksheets/sheet24709.xml"/>
  <Override ContentType="application/vnd.openxmlformats-officedocument.spreadsheetml.worksheet+xml" PartName="/xl/worksheets/sheet24710.xml"/>
  <Override ContentType="application/vnd.openxmlformats-officedocument.spreadsheetml.worksheet+xml" PartName="/xl/worksheets/sheet24711.xml"/>
  <Override ContentType="application/vnd.openxmlformats-officedocument.spreadsheetml.worksheet+xml" PartName="/xl/worksheets/sheet24712.xml"/>
  <Override ContentType="application/vnd.openxmlformats-officedocument.spreadsheetml.worksheet+xml" PartName="/xl/worksheets/sheet24713.xml"/>
  <Override ContentType="application/vnd.openxmlformats-officedocument.spreadsheetml.worksheet+xml" PartName="/xl/worksheets/sheet24714.xml"/>
  <Override ContentType="application/vnd.openxmlformats-officedocument.spreadsheetml.worksheet+xml" PartName="/xl/worksheets/sheet24715.xml"/>
  <Override ContentType="application/vnd.openxmlformats-officedocument.spreadsheetml.worksheet+xml" PartName="/xl/worksheets/sheet24716.xml"/>
  <Override ContentType="application/vnd.openxmlformats-officedocument.spreadsheetml.worksheet+xml" PartName="/xl/worksheets/sheet24717.xml"/>
  <Override ContentType="application/vnd.openxmlformats-officedocument.spreadsheetml.worksheet+xml" PartName="/xl/worksheets/sheet24718.xml"/>
  <Override ContentType="application/vnd.openxmlformats-officedocument.spreadsheetml.worksheet+xml" PartName="/xl/worksheets/sheet24719.xml"/>
  <Override ContentType="application/vnd.openxmlformats-officedocument.spreadsheetml.worksheet+xml" PartName="/xl/worksheets/sheet24720.xml"/>
  <Override ContentType="application/vnd.openxmlformats-officedocument.spreadsheetml.worksheet+xml" PartName="/xl/worksheets/sheet24721.xml"/>
  <Override ContentType="application/vnd.openxmlformats-officedocument.spreadsheetml.worksheet+xml" PartName="/xl/worksheets/sheet24722.xml"/>
  <Override ContentType="application/vnd.openxmlformats-officedocument.spreadsheetml.worksheet+xml" PartName="/xl/worksheets/sheet24723.xml"/>
  <Override ContentType="application/vnd.openxmlformats-officedocument.spreadsheetml.worksheet+xml" PartName="/xl/worksheets/sheet24724.xml"/>
  <Override ContentType="application/vnd.openxmlformats-officedocument.spreadsheetml.worksheet+xml" PartName="/xl/worksheets/sheet24725.xml"/>
  <Override ContentType="application/vnd.openxmlformats-officedocument.spreadsheetml.worksheet+xml" PartName="/xl/worksheets/sheet24726.xml"/>
  <Override ContentType="application/vnd.openxmlformats-officedocument.spreadsheetml.worksheet+xml" PartName="/xl/worksheets/sheet24727.xml"/>
  <Override ContentType="application/vnd.openxmlformats-officedocument.spreadsheetml.worksheet+xml" PartName="/xl/worksheets/sheet24728.xml"/>
  <Override ContentType="application/vnd.openxmlformats-officedocument.spreadsheetml.worksheet+xml" PartName="/xl/worksheets/sheet24729.xml"/>
  <Override ContentType="application/vnd.openxmlformats-officedocument.spreadsheetml.worksheet+xml" PartName="/xl/worksheets/sheet24730.xml"/>
  <Override ContentType="application/vnd.openxmlformats-officedocument.spreadsheetml.worksheet+xml" PartName="/xl/worksheets/sheet24731.xml"/>
  <Override ContentType="application/vnd.openxmlformats-officedocument.spreadsheetml.worksheet+xml" PartName="/xl/worksheets/sheet24732.xml"/>
  <Override ContentType="application/vnd.openxmlformats-officedocument.spreadsheetml.worksheet+xml" PartName="/xl/worksheets/sheet24733.xml"/>
  <Override ContentType="application/vnd.openxmlformats-officedocument.spreadsheetml.worksheet+xml" PartName="/xl/worksheets/sheet24734.xml"/>
  <Override ContentType="application/vnd.openxmlformats-officedocument.spreadsheetml.worksheet+xml" PartName="/xl/worksheets/sheet24735.xml"/>
  <Override ContentType="application/vnd.openxmlformats-officedocument.spreadsheetml.worksheet+xml" PartName="/xl/worksheets/sheet24736.xml"/>
  <Override ContentType="application/vnd.openxmlformats-officedocument.spreadsheetml.worksheet+xml" PartName="/xl/worksheets/sheet24737.xml"/>
  <Override ContentType="application/vnd.openxmlformats-officedocument.spreadsheetml.worksheet+xml" PartName="/xl/worksheets/sheet24738.xml"/>
  <Override ContentType="application/vnd.openxmlformats-officedocument.spreadsheetml.worksheet+xml" PartName="/xl/worksheets/sheet24739.xml"/>
  <Override ContentType="application/vnd.openxmlformats-officedocument.spreadsheetml.worksheet+xml" PartName="/xl/worksheets/sheet24740.xml"/>
  <Override ContentType="application/vnd.openxmlformats-officedocument.spreadsheetml.worksheet+xml" PartName="/xl/worksheets/sheet24741.xml"/>
  <Override ContentType="application/vnd.openxmlformats-officedocument.spreadsheetml.worksheet+xml" PartName="/xl/worksheets/sheet24742.xml"/>
  <Override ContentType="application/vnd.openxmlformats-officedocument.spreadsheetml.worksheet+xml" PartName="/xl/worksheets/sheet24743.xml"/>
  <Override ContentType="application/vnd.openxmlformats-officedocument.spreadsheetml.worksheet+xml" PartName="/xl/worksheets/sheet24744.xml"/>
  <Override ContentType="application/vnd.openxmlformats-officedocument.spreadsheetml.worksheet+xml" PartName="/xl/worksheets/sheet24745.xml"/>
  <Override ContentType="application/vnd.openxmlformats-officedocument.spreadsheetml.worksheet+xml" PartName="/xl/worksheets/sheet24746.xml"/>
  <Override ContentType="application/vnd.openxmlformats-officedocument.spreadsheetml.worksheet+xml" PartName="/xl/worksheets/sheet24747.xml"/>
  <Override ContentType="application/vnd.openxmlformats-officedocument.spreadsheetml.worksheet+xml" PartName="/xl/worksheets/sheet24748.xml"/>
  <Override ContentType="application/vnd.openxmlformats-officedocument.spreadsheetml.worksheet+xml" PartName="/xl/worksheets/sheet24749.xml"/>
  <Override ContentType="application/vnd.openxmlformats-officedocument.spreadsheetml.worksheet+xml" PartName="/xl/worksheets/sheet24750.xml"/>
  <Override ContentType="application/vnd.openxmlformats-officedocument.spreadsheetml.worksheet+xml" PartName="/xl/worksheets/sheet24751.xml"/>
  <Override ContentType="application/vnd.openxmlformats-officedocument.spreadsheetml.worksheet+xml" PartName="/xl/worksheets/sheet24752.xml"/>
  <Override ContentType="application/vnd.openxmlformats-officedocument.spreadsheetml.worksheet+xml" PartName="/xl/worksheets/sheet24753.xml"/>
  <Override ContentType="application/vnd.openxmlformats-officedocument.spreadsheetml.worksheet+xml" PartName="/xl/worksheets/sheet24754.xml"/>
  <Override ContentType="application/vnd.openxmlformats-officedocument.spreadsheetml.worksheet+xml" PartName="/xl/worksheets/sheet24755.xml"/>
  <Override ContentType="application/vnd.openxmlformats-officedocument.spreadsheetml.worksheet+xml" PartName="/xl/worksheets/sheet24756.xml"/>
  <Override ContentType="application/vnd.openxmlformats-officedocument.spreadsheetml.worksheet+xml" PartName="/xl/worksheets/sheet24757.xml"/>
  <Override ContentType="application/vnd.openxmlformats-officedocument.spreadsheetml.worksheet+xml" PartName="/xl/worksheets/sheet24758.xml"/>
  <Override ContentType="application/vnd.openxmlformats-officedocument.spreadsheetml.worksheet+xml" PartName="/xl/worksheets/sheet24759.xml"/>
  <Override ContentType="application/vnd.openxmlformats-officedocument.spreadsheetml.worksheet+xml" PartName="/xl/worksheets/sheet24760.xml"/>
  <Override ContentType="application/vnd.openxmlformats-officedocument.spreadsheetml.worksheet+xml" PartName="/xl/worksheets/sheet24761.xml"/>
  <Override ContentType="application/vnd.openxmlformats-officedocument.spreadsheetml.worksheet+xml" PartName="/xl/worksheets/sheet24762.xml"/>
  <Override ContentType="application/vnd.openxmlformats-officedocument.spreadsheetml.worksheet+xml" PartName="/xl/worksheets/sheet24763.xml"/>
  <Override ContentType="application/vnd.openxmlformats-officedocument.spreadsheetml.worksheet+xml" PartName="/xl/worksheets/sheet24764.xml"/>
  <Override ContentType="application/vnd.openxmlformats-officedocument.spreadsheetml.worksheet+xml" PartName="/xl/worksheets/sheet24765.xml"/>
  <Override ContentType="application/vnd.openxmlformats-officedocument.spreadsheetml.worksheet+xml" PartName="/xl/worksheets/sheet24766.xml"/>
  <Override ContentType="application/vnd.openxmlformats-officedocument.spreadsheetml.worksheet+xml" PartName="/xl/worksheets/sheet24767.xml"/>
  <Override ContentType="application/vnd.openxmlformats-officedocument.spreadsheetml.worksheet+xml" PartName="/xl/worksheets/sheet24768.xml"/>
  <Override ContentType="application/vnd.openxmlformats-officedocument.spreadsheetml.worksheet+xml" PartName="/xl/worksheets/sheet24769.xml"/>
  <Override ContentType="application/vnd.openxmlformats-officedocument.spreadsheetml.worksheet+xml" PartName="/xl/worksheets/sheet24770.xml"/>
  <Override ContentType="application/vnd.openxmlformats-officedocument.spreadsheetml.worksheet+xml" PartName="/xl/worksheets/sheet24771.xml"/>
  <Override ContentType="application/vnd.openxmlformats-officedocument.spreadsheetml.worksheet+xml" PartName="/xl/worksheets/sheet24772.xml"/>
  <Override ContentType="application/vnd.openxmlformats-officedocument.spreadsheetml.worksheet+xml" PartName="/xl/worksheets/sheet24773.xml"/>
  <Override ContentType="application/vnd.openxmlformats-officedocument.spreadsheetml.worksheet+xml" PartName="/xl/worksheets/sheet24774.xml"/>
  <Override ContentType="application/vnd.openxmlformats-officedocument.spreadsheetml.worksheet+xml" PartName="/xl/worksheets/sheet24775.xml"/>
  <Override ContentType="application/vnd.openxmlformats-officedocument.spreadsheetml.worksheet+xml" PartName="/xl/worksheets/sheet24776.xml"/>
  <Override ContentType="application/vnd.openxmlformats-officedocument.spreadsheetml.worksheet+xml" PartName="/xl/worksheets/sheet24777.xml"/>
  <Override ContentType="application/vnd.openxmlformats-officedocument.spreadsheetml.worksheet+xml" PartName="/xl/worksheets/sheet24778.xml"/>
  <Override ContentType="application/vnd.openxmlformats-officedocument.spreadsheetml.worksheet+xml" PartName="/xl/worksheets/sheet24779.xml"/>
  <Override ContentType="application/vnd.openxmlformats-officedocument.spreadsheetml.worksheet+xml" PartName="/xl/worksheets/sheet24780.xml"/>
  <Override ContentType="application/vnd.openxmlformats-officedocument.spreadsheetml.worksheet+xml" PartName="/xl/worksheets/sheet24781.xml"/>
  <Override ContentType="application/vnd.openxmlformats-officedocument.spreadsheetml.worksheet+xml" PartName="/xl/worksheets/sheet24782.xml"/>
  <Override ContentType="application/vnd.openxmlformats-officedocument.spreadsheetml.worksheet+xml" PartName="/xl/worksheets/sheet24783.xml"/>
  <Override ContentType="application/vnd.openxmlformats-officedocument.spreadsheetml.worksheet+xml" PartName="/xl/worksheets/sheet24784.xml"/>
  <Override ContentType="application/vnd.openxmlformats-officedocument.spreadsheetml.worksheet+xml" PartName="/xl/worksheets/sheet24785.xml"/>
  <Override ContentType="application/vnd.openxmlformats-officedocument.spreadsheetml.worksheet+xml" PartName="/xl/worksheets/sheet24786.xml"/>
  <Override ContentType="application/vnd.openxmlformats-officedocument.spreadsheetml.worksheet+xml" PartName="/xl/worksheets/sheet24787.xml"/>
  <Override ContentType="application/vnd.openxmlformats-officedocument.spreadsheetml.worksheet+xml" PartName="/xl/worksheets/sheet24788.xml"/>
  <Override ContentType="application/vnd.openxmlformats-officedocument.spreadsheetml.worksheet+xml" PartName="/xl/worksheets/sheet24789.xml"/>
  <Override ContentType="application/vnd.openxmlformats-officedocument.spreadsheetml.worksheet+xml" PartName="/xl/worksheets/sheet24790.xml"/>
  <Override ContentType="application/vnd.openxmlformats-officedocument.spreadsheetml.worksheet+xml" PartName="/xl/worksheets/sheet24791.xml"/>
  <Override ContentType="application/vnd.openxmlformats-officedocument.spreadsheetml.worksheet+xml" PartName="/xl/worksheets/sheet24792.xml"/>
  <Override ContentType="application/vnd.openxmlformats-officedocument.spreadsheetml.worksheet+xml" PartName="/xl/worksheets/sheet24793.xml"/>
  <Override ContentType="application/vnd.openxmlformats-officedocument.spreadsheetml.worksheet+xml" PartName="/xl/worksheets/sheet24794.xml"/>
  <Override ContentType="application/vnd.openxmlformats-officedocument.spreadsheetml.worksheet+xml" PartName="/xl/worksheets/sheet24795.xml"/>
  <Override ContentType="application/vnd.openxmlformats-officedocument.spreadsheetml.worksheet+xml" PartName="/xl/worksheets/sheet24796.xml"/>
  <Override ContentType="application/vnd.openxmlformats-officedocument.spreadsheetml.worksheet+xml" PartName="/xl/worksheets/sheet24797.xml"/>
  <Override ContentType="application/vnd.openxmlformats-officedocument.spreadsheetml.worksheet+xml" PartName="/xl/worksheets/sheet24798.xml"/>
  <Override ContentType="application/vnd.openxmlformats-officedocument.spreadsheetml.worksheet+xml" PartName="/xl/worksheets/sheet24799.xml"/>
  <Override ContentType="application/vnd.openxmlformats-officedocument.spreadsheetml.worksheet+xml" PartName="/xl/worksheets/sheet24800.xml"/>
  <Override ContentType="application/vnd.openxmlformats-officedocument.spreadsheetml.worksheet+xml" PartName="/xl/worksheets/sheet24801.xml"/>
  <Override ContentType="application/vnd.openxmlformats-officedocument.spreadsheetml.worksheet+xml" PartName="/xl/worksheets/sheet24802.xml"/>
  <Override ContentType="application/vnd.openxmlformats-officedocument.spreadsheetml.worksheet+xml" PartName="/xl/worksheets/sheet24803.xml"/>
  <Override ContentType="application/vnd.openxmlformats-officedocument.spreadsheetml.worksheet+xml" PartName="/xl/worksheets/sheet24804.xml"/>
  <Override ContentType="application/vnd.openxmlformats-officedocument.spreadsheetml.worksheet+xml" PartName="/xl/worksheets/sheet24805.xml"/>
  <Override ContentType="application/vnd.openxmlformats-officedocument.spreadsheetml.worksheet+xml" PartName="/xl/worksheets/sheet24806.xml"/>
  <Override ContentType="application/vnd.openxmlformats-officedocument.spreadsheetml.worksheet+xml" PartName="/xl/worksheets/sheet24807.xml"/>
  <Override ContentType="application/vnd.openxmlformats-officedocument.spreadsheetml.worksheet+xml" PartName="/xl/worksheets/sheet24808.xml"/>
  <Override ContentType="application/vnd.openxmlformats-officedocument.spreadsheetml.worksheet+xml" PartName="/xl/worksheets/sheet24809.xml"/>
  <Override ContentType="application/vnd.openxmlformats-officedocument.spreadsheetml.worksheet+xml" PartName="/xl/worksheets/sheet24810.xml"/>
  <Override ContentType="application/vnd.openxmlformats-officedocument.spreadsheetml.worksheet+xml" PartName="/xl/worksheets/sheet24811.xml"/>
  <Override ContentType="application/vnd.openxmlformats-officedocument.spreadsheetml.worksheet+xml" PartName="/xl/worksheets/sheet24812.xml"/>
  <Override ContentType="application/vnd.openxmlformats-officedocument.spreadsheetml.worksheet+xml" PartName="/xl/worksheets/sheet24813.xml"/>
  <Override ContentType="application/vnd.openxmlformats-officedocument.spreadsheetml.worksheet+xml" PartName="/xl/worksheets/sheet24814.xml"/>
  <Override ContentType="application/vnd.openxmlformats-officedocument.spreadsheetml.worksheet+xml" PartName="/xl/worksheets/sheet24815.xml"/>
  <Override ContentType="application/vnd.openxmlformats-officedocument.spreadsheetml.worksheet+xml" PartName="/xl/worksheets/sheet24816.xml"/>
  <Override ContentType="application/vnd.openxmlformats-officedocument.spreadsheetml.worksheet+xml" PartName="/xl/worksheets/sheet24817.xml"/>
  <Override ContentType="application/vnd.openxmlformats-officedocument.spreadsheetml.worksheet+xml" PartName="/xl/worksheets/sheet24818.xml"/>
  <Override ContentType="application/vnd.openxmlformats-officedocument.spreadsheetml.worksheet+xml" PartName="/xl/worksheets/sheet24819.xml"/>
  <Override ContentType="application/vnd.openxmlformats-officedocument.spreadsheetml.worksheet+xml" PartName="/xl/worksheets/sheet24820.xml"/>
  <Override ContentType="application/vnd.openxmlformats-officedocument.spreadsheetml.worksheet+xml" PartName="/xl/worksheets/sheet24821.xml"/>
  <Override ContentType="application/vnd.openxmlformats-officedocument.spreadsheetml.worksheet+xml" PartName="/xl/worksheets/sheet24822.xml"/>
  <Override ContentType="application/vnd.openxmlformats-officedocument.spreadsheetml.worksheet+xml" PartName="/xl/worksheets/sheet24823.xml"/>
  <Override ContentType="application/vnd.openxmlformats-officedocument.spreadsheetml.worksheet+xml" PartName="/xl/worksheets/sheet24824.xml"/>
  <Override ContentType="application/vnd.openxmlformats-officedocument.spreadsheetml.worksheet+xml" PartName="/xl/worksheets/sheet24825.xml"/>
  <Override ContentType="application/vnd.openxmlformats-officedocument.spreadsheetml.worksheet+xml" PartName="/xl/worksheets/sheet24826.xml"/>
  <Override ContentType="application/vnd.openxmlformats-officedocument.spreadsheetml.worksheet+xml" PartName="/xl/worksheets/sheet24827.xml"/>
  <Override ContentType="application/vnd.openxmlformats-officedocument.spreadsheetml.worksheet+xml" PartName="/xl/worksheets/sheet24828.xml"/>
  <Override ContentType="application/vnd.openxmlformats-officedocument.spreadsheetml.worksheet+xml" PartName="/xl/worksheets/sheet24829.xml"/>
  <Override ContentType="application/vnd.openxmlformats-officedocument.spreadsheetml.worksheet+xml" PartName="/xl/worksheets/sheet24830.xml"/>
  <Override ContentType="application/vnd.openxmlformats-officedocument.spreadsheetml.worksheet+xml" PartName="/xl/worksheets/sheet24831.xml"/>
  <Override ContentType="application/vnd.openxmlformats-officedocument.spreadsheetml.worksheet+xml" PartName="/xl/worksheets/sheet24832.xml"/>
  <Override ContentType="application/vnd.openxmlformats-officedocument.spreadsheetml.worksheet+xml" PartName="/xl/worksheets/sheet24833.xml"/>
  <Override ContentType="application/vnd.openxmlformats-officedocument.spreadsheetml.worksheet+xml" PartName="/xl/worksheets/sheet24834.xml"/>
  <Override ContentType="application/vnd.openxmlformats-officedocument.spreadsheetml.worksheet+xml" PartName="/xl/worksheets/sheet24835.xml"/>
  <Override ContentType="application/vnd.openxmlformats-officedocument.spreadsheetml.worksheet+xml" PartName="/xl/worksheets/sheet24836.xml"/>
  <Override ContentType="application/vnd.openxmlformats-officedocument.spreadsheetml.worksheet+xml" PartName="/xl/worksheets/sheet24837.xml"/>
  <Override ContentType="application/vnd.openxmlformats-officedocument.spreadsheetml.worksheet+xml" PartName="/xl/worksheets/sheet24838.xml"/>
  <Override ContentType="application/vnd.openxmlformats-officedocument.spreadsheetml.worksheet+xml" PartName="/xl/worksheets/sheet24839.xml"/>
  <Override ContentType="application/vnd.openxmlformats-officedocument.spreadsheetml.worksheet+xml" PartName="/xl/worksheets/sheet24840.xml"/>
  <Override ContentType="application/vnd.openxmlformats-officedocument.spreadsheetml.worksheet+xml" PartName="/xl/worksheets/sheet24841.xml"/>
  <Override ContentType="application/vnd.openxmlformats-officedocument.spreadsheetml.worksheet+xml" PartName="/xl/worksheets/sheet24842.xml"/>
  <Override ContentType="application/vnd.openxmlformats-officedocument.spreadsheetml.worksheet+xml" PartName="/xl/worksheets/sheet24843.xml"/>
  <Override ContentType="application/vnd.openxmlformats-officedocument.spreadsheetml.worksheet+xml" PartName="/xl/worksheets/sheet24844.xml"/>
  <Override ContentType="application/vnd.openxmlformats-officedocument.spreadsheetml.worksheet+xml" PartName="/xl/worksheets/sheet24845.xml"/>
  <Override ContentType="application/vnd.openxmlformats-officedocument.spreadsheetml.worksheet+xml" PartName="/xl/worksheets/sheet24846.xml"/>
  <Override ContentType="application/vnd.openxmlformats-officedocument.spreadsheetml.worksheet+xml" PartName="/xl/worksheets/sheet24847.xml"/>
  <Override ContentType="application/vnd.openxmlformats-officedocument.spreadsheetml.worksheet+xml" PartName="/xl/worksheets/sheet24848.xml"/>
  <Override ContentType="application/vnd.openxmlformats-officedocument.spreadsheetml.worksheet+xml" PartName="/xl/worksheets/sheet24849.xml"/>
  <Override ContentType="application/vnd.openxmlformats-officedocument.spreadsheetml.worksheet+xml" PartName="/xl/worksheets/sheet24850.xml"/>
  <Override ContentType="application/vnd.openxmlformats-officedocument.spreadsheetml.worksheet+xml" PartName="/xl/worksheets/sheet24851.xml"/>
  <Override ContentType="application/vnd.openxmlformats-officedocument.spreadsheetml.worksheet+xml" PartName="/xl/worksheets/sheet24852.xml"/>
  <Override ContentType="application/vnd.openxmlformats-officedocument.spreadsheetml.worksheet+xml" PartName="/xl/worksheets/sheet24853.xml"/>
  <Override ContentType="application/vnd.openxmlformats-officedocument.spreadsheetml.worksheet+xml" PartName="/xl/worksheets/sheet24854.xml"/>
  <Override ContentType="application/vnd.openxmlformats-officedocument.spreadsheetml.worksheet+xml" PartName="/xl/worksheets/sheet24855.xml"/>
  <Override ContentType="application/vnd.openxmlformats-officedocument.spreadsheetml.worksheet+xml" PartName="/xl/worksheets/sheet24856.xml"/>
  <Override ContentType="application/vnd.openxmlformats-officedocument.spreadsheetml.worksheet+xml" PartName="/xl/worksheets/sheet24857.xml"/>
  <Override ContentType="application/vnd.openxmlformats-officedocument.spreadsheetml.worksheet+xml" PartName="/xl/worksheets/sheet24858.xml"/>
  <Override ContentType="application/vnd.openxmlformats-officedocument.spreadsheetml.worksheet+xml" PartName="/xl/worksheets/sheet24859.xml"/>
  <Override ContentType="application/vnd.openxmlformats-officedocument.spreadsheetml.worksheet+xml" PartName="/xl/worksheets/sheet24860.xml"/>
  <Override ContentType="application/vnd.openxmlformats-officedocument.spreadsheetml.worksheet+xml" PartName="/xl/worksheets/sheet24861.xml"/>
  <Override ContentType="application/vnd.openxmlformats-officedocument.spreadsheetml.worksheet+xml" PartName="/xl/worksheets/sheet24862.xml"/>
  <Override ContentType="application/vnd.openxmlformats-officedocument.spreadsheetml.worksheet+xml" PartName="/xl/worksheets/sheet24863.xml"/>
  <Override ContentType="application/vnd.openxmlformats-officedocument.spreadsheetml.worksheet+xml" PartName="/xl/worksheets/sheet24864.xml"/>
  <Override ContentType="application/vnd.openxmlformats-officedocument.spreadsheetml.worksheet+xml" PartName="/xl/worksheets/sheet24865.xml"/>
  <Override ContentType="application/vnd.openxmlformats-officedocument.spreadsheetml.worksheet+xml" PartName="/xl/worksheets/sheet24866.xml"/>
  <Override ContentType="application/vnd.openxmlformats-officedocument.spreadsheetml.worksheet+xml" PartName="/xl/worksheets/sheet24867.xml"/>
  <Override ContentType="application/vnd.openxmlformats-officedocument.spreadsheetml.worksheet+xml" PartName="/xl/worksheets/sheet24868.xml"/>
  <Override ContentType="application/vnd.openxmlformats-officedocument.spreadsheetml.worksheet+xml" PartName="/xl/worksheets/sheet24869.xml"/>
  <Override ContentType="application/vnd.openxmlformats-officedocument.spreadsheetml.worksheet+xml" PartName="/xl/worksheets/sheet24870.xml"/>
  <Override ContentType="application/vnd.openxmlformats-officedocument.spreadsheetml.worksheet+xml" PartName="/xl/worksheets/sheet24871.xml"/>
  <Override ContentType="application/vnd.openxmlformats-officedocument.spreadsheetml.worksheet+xml" PartName="/xl/worksheets/sheet24872.xml"/>
  <Override ContentType="application/vnd.openxmlformats-officedocument.spreadsheetml.worksheet+xml" PartName="/xl/worksheets/sheet24873.xml"/>
  <Override ContentType="application/vnd.openxmlformats-officedocument.spreadsheetml.worksheet+xml" PartName="/xl/worksheets/sheet24874.xml"/>
  <Override ContentType="application/vnd.openxmlformats-officedocument.spreadsheetml.worksheet+xml" PartName="/xl/worksheets/sheet24875.xml"/>
  <Override ContentType="application/vnd.openxmlformats-officedocument.spreadsheetml.worksheet+xml" PartName="/xl/worksheets/sheet24876.xml"/>
  <Override ContentType="application/vnd.openxmlformats-officedocument.spreadsheetml.worksheet+xml" PartName="/xl/worksheets/sheet24877.xml"/>
  <Override ContentType="application/vnd.openxmlformats-officedocument.spreadsheetml.worksheet+xml" PartName="/xl/worksheets/sheet24878.xml"/>
  <Override ContentType="application/vnd.openxmlformats-officedocument.spreadsheetml.worksheet+xml" PartName="/xl/worksheets/sheet24879.xml"/>
  <Override ContentType="application/vnd.openxmlformats-officedocument.spreadsheetml.worksheet+xml" PartName="/xl/worksheets/sheet24880.xml"/>
  <Override ContentType="application/vnd.openxmlformats-officedocument.spreadsheetml.worksheet+xml" PartName="/xl/worksheets/sheet24881.xml"/>
  <Override ContentType="application/vnd.openxmlformats-officedocument.spreadsheetml.worksheet+xml" PartName="/xl/worksheets/sheet24882.xml"/>
  <Override ContentType="application/vnd.openxmlformats-officedocument.spreadsheetml.worksheet+xml" PartName="/xl/worksheets/sheet24883.xml"/>
  <Override ContentType="application/vnd.openxmlformats-officedocument.spreadsheetml.worksheet+xml" PartName="/xl/worksheets/sheet24884.xml"/>
  <Override ContentType="application/vnd.openxmlformats-officedocument.spreadsheetml.worksheet+xml" PartName="/xl/worksheets/sheet24885.xml"/>
  <Override ContentType="application/vnd.openxmlformats-officedocument.spreadsheetml.worksheet+xml" PartName="/xl/worksheets/sheet24886.xml"/>
  <Override ContentType="application/vnd.openxmlformats-officedocument.spreadsheetml.worksheet+xml" PartName="/xl/worksheets/sheet24887.xml"/>
  <Override ContentType="application/vnd.openxmlformats-officedocument.spreadsheetml.worksheet+xml" PartName="/xl/worksheets/sheet24888.xml"/>
  <Override ContentType="application/vnd.openxmlformats-officedocument.spreadsheetml.worksheet+xml" PartName="/xl/worksheets/sheet24889.xml"/>
  <Override ContentType="application/vnd.openxmlformats-officedocument.spreadsheetml.worksheet+xml" PartName="/xl/worksheets/sheet24890.xml"/>
  <Override ContentType="application/vnd.openxmlformats-officedocument.spreadsheetml.worksheet+xml" PartName="/xl/worksheets/sheet24891.xml"/>
  <Override ContentType="application/vnd.openxmlformats-officedocument.spreadsheetml.worksheet+xml" PartName="/xl/worksheets/sheet24892.xml"/>
  <Override ContentType="application/vnd.openxmlformats-officedocument.spreadsheetml.worksheet+xml" PartName="/xl/worksheets/sheet24893.xml"/>
  <Override ContentType="application/vnd.openxmlformats-officedocument.spreadsheetml.worksheet+xml" PartName="/xl/worksheets/sheet24894.xml"/>
  <Override ContentType="application/vnd.openxmlformats-officedocument.spreadsheetml.worksheet+xml" PartName="/xl/worksheets/sheet24895.xml"/>
  <Override ContentType="application/vnd.openxmlformats-officedocument.spreadsheetml.worksheet+xml" PartName="/xl/worksheets/sheet24896.xml"/>
  <Override ContentType="application/vnd.openxmlformats-officedocument.spreadsheetml.worksheet+xml" PartName="/xl/worksheets/sheet24897.xml"/>
  <Override ContentType="application/vnd.openxmlformats-officedocument.spreadsheetml.worksheet+xml" PartName="/xl/worksheets/sheet24898.xml"/>
  <Override ContentType="application/vnd.openxmlformats-officedocument.spreadsheetml.worksheet+xml" PartName="/xl/worksheets/sheet24899.xml"/>
  <Override ContentType="application/vnd.openxmlformats-officedocument.spreadsheetml.worksheet+xml" PartName="/xl/worksheets/sheet24900.xml"/>
  <Override ContentType="application/vnd.openxmlformats-officedocument.spreadsheetml.worksheet+xml" PartName="/xl/worksheets/sheet24901.xml"/>
  <Override ContentType="application/vnd.openxmlformats-officedocument.spreadsheetml.worksheet+xml" PartName="/xl/worksheets/sheet24902.xml"/>
  <Override ContentType="application/vnd.openxmlformats-officedocument.spreadsheetml.worksheet+xml" PartName="/xl/worksheets/sheet24903.xml"/>
  <Override ContentType="application/vnd.openxmlformats-officedocument.spreadsheetml.worksheet+xml" PartName="/xl/worksheets/sheet24904.xml"/>
  <Override ContentType="application/vnd.openxmlformats-officedocument.spreadsheetml.worksheet+xml" PartName="/xl/worksheets/sheet24905.xml"/>
  <Override ContentType="application/vnd.openxmlformats-officedocument.spreadsheetml.worksheet+xml" PartName="/xl/worksheets/sheet24906.xml"/>
  <Override ContentType="application/vnd.openxmlformats-officedocument.spreadsheetml.worksheet+xml" PartName="/xl/worksheets/sheet24907.xml"/>
  <Override ContentType="application/vnd.openxmlformats-officedocument.spreadsheetml.worksheet+xml" PartName="/xl/worksheets/sheet24908.xml"/>
  <Override ContentType="application/vnd.openxmlformats-officedocument.spreadsheetml.worksheet+xml" PartName="/xl/worksheets/sheet24909.xml"/>
  <Override ContentType="application/vnd.openxmlformats-officedocument.spreadsheetml.worksheet+xml" PartName="/xl/worksheets/sheet24910.xml"/>
  <Override ContentType="application/vnd.openxmlformats-officedocument.spreadsheetml.worksheet+xml" PartName="/xl/worksheets/sheet24911.xml"/>
  <Override ContentType="application/vnd.openxmlformats-officedocument.spreadsheetml.worksheet+xml" PartName="/xl/worksheets/sheet24912.xml"/>
  <Override ContentType="application/vnd.openxmlformats-officedocument.spreadsheetml.worksheet+xml" PartName="/xl/worksheets/sheet24913.xml"/>
  <Override ContentType="application/vnd.openxmlformats-officedocument.spreadsheetml.worksheet+xml" PartName="/xl/worksheets/sheet24914.xml"/>
  <Override ContentType="application/vnd.openxmlformats-officedocument.spreadsheetml.worksheet+xml" PartName="/xl/worksheets/sheet24915.xml"/>
  <Override ContentType="application/vnd.openxmlformats-officedocument.spreadsheetml.worksheet+xml" PartName="/xl/worksheets/sheet24916.xml"/>
  <Override ContentType="application/vnd.openxmlformats-officedocument.spreadsheetml.worksheet+xml" PartName="/xl/worksheets/sheet24917.xml"/>
  <Override ContentType="application/vnd.openxmlformats-officedocument.spreadsheetml.worksheet+xml" PartName="/xl/worksheets/sheet24918.xml"/>
  <Override ContentType="application/vnd.openxmlformats-officedocument.spreadsheetml.worksheet+xml" PartName="/xl/worksheets/sheet24919.xml"/>
  <Override ContentType="application/vnd.openxmlformats-officedocument.spreadsheetml.worksheet+xml" PartName="/xl/worksheets/sheet24920.xml"/>
  <Override ContentType="application/vnd.openxmlformats-officedocument.spreadsheetml.worksheet+xml" PartName="/xl/worksheets/sheet24921.xml"/>
  <Override ContentType="application/vnd.openxmlformats-officedocument.spreadsheetml.worksheet+xml" PartName="/xl/worksheets/sheet24922.xml"/>
  <Override ContentType="application/vnd.openxmlformats-officedocument.spreadsheetml.worksheet+xml" PartName="/xl/worksheets/sheet24923.xml"/>
  <Override ContentType="application/vnd.openxmlformats-officedocument.spreadsheetml.worksheet+xml" PartName="/xl/worksheets/sheet24924.xml"/>
  <Override ContentType="application/vnd.openxmlformats-officedocument.spreadsheetml.worksheet+xml" PartName="/xl/worksheets/sheet24925.xml"/>
  <Override ContentType="application/vnd.openxmlformats-officedocument.spreadsheetml.worksheet+xml" PartName="/xl/worksheets/sheet24926.xml"/>
  <Override ContentType="application/vnd.openxmlformats-officedocument.spreadsheetml.worksheet+xml" PartName="/xl/worksheets/sheet24927.xml"/>
  <Override ContentType="application/vnd.openxmlformats-officedocument.spreadsheetml.worksheet+xml" PartName="/xl/worksheets/sheet24928.xml"/>
  <Override ContentType="application/vnd.openxmlformats-officedocument.spreadsheetml.worksheet+xml" PartName="/xl/worksheets/sheet24929.xml"/>
  <Override ContentType="application/vnd.openxmlformats-officedocument.spreadsheetml.worksheet+xml" PartName="/xl/worksheets/sheet24930.xml"/>
  <Override ContentType="application/vnd.openxmlformats-officedocument.spreadsheetml.worksheet+xml" PartName="/xl/worksheets/sheet24931.xml"/>
  <Override ContentType="application/vnd.openxmlformats-officedocument.spreadsheetml.worksheet+xml" PartName="/xl/worksheets/sheet24932.xml"/>
  <Override ContentType="application/vnd.openxmlformats-officedocument.spreadsheetml.worksheet+xml" PartName="/xl/worksheets/sheet24933.xml"/>
  <Override ContentType="application/vnd.openxmlformats-officedocument.spreadsheetml.worksheet+xml" PartName="/xl/worksheets/sheet24934.xml"/>
  <Override ContentType="application/vnd.openxmlformats-officedocument.spreadsheetml.worksheet+xml" PartName="/xl/worksheets/sheet24935.xml"/>
  <Override ContentType="application/vnd.openxmlformats-officedocument.spreadsheetml.worksheet+xml" PartName="/xl/worksheets/sheet24936.xml"/>
  <Override ContentType="application/vnd.openxmlformats-officedocument.spreadsheetml.worksheet+xml" PartName="/xl/worksheets/sheet24937.xml"/>
  <Override ContentType="application/vnd.openxmlformats-officedocument.spreadsheetml.worksheet+xml" PartName="/xl/worksheets/sheet24938.xml"/>
  <Override ContentType="application/vnd.openxmlformats-officedocument.spreadsheetml.worksheet+xml" PartName="/xl/worksheets/sheet24939.xml"/>
  <Override ContentType="application/vnd.openxmlformats-officedocument.spreadsheetml.worksheet+xml" PartName="/xl/worksheets/sheet24940.xml"/>
  <Override ContentType="application/vnd.openxmlformats-officedocument.spreadsheetml.worksheet+xml" PartName="/xl/worksheets/sheet24941.xml"/>
  <Override ContentType="application/vnd.openxmlformats-officedocument.spreadsheetml.worksheet+xml" PartName="/xl/worksheets/sheet24942.xml"/>
  <Override ContentType="application/vnd.openxmlformats-officedocument.spreadsheetml.worksheet+xml" PartName="/xl/worksheets/sheet24943.xml"/>
  <Override ContentType="application/vnd.openxmlformats-officedocument.spreadsheetml.worksheet+xml" PartName="/xl/worksheets/sheet24944.xml"/>
  <Override ContentType="application/vnd.openxmlformats-officedocument.spreadsheetml.worksheet+xml" PartName="/xl/worksheets/sheet24945.xml"/>
  <Override ContentType="application/vnd.openxmlformats-officedocument.spreadsheetml.worksheet+xml" PartName="/xl/worksheets/sheet24946.xml"/>
  <Override ContentType="application/vnd.openxmlformats-officedocument.spreadsheetml.worksheet+xml" PartName="/xl/worksheets/sheet24947.xml"/>
  <Override ContentType="application/vnd.openxmlformats-officedocument.spreadsheetml.worksheet+xml" PartName="/xl/worksheets/sheet24948.xml"/>
  <Override ContentType="application/vnd.openxmlformats-officedocument.spreadsheetml.worksheet+xml" PartName="/xl/worksheets/sheet24949.xml"/>
  <Override ContentType="application/vnd.openxmlformats-officedocument.spreadsheetml.worksheet+xml" PartName="/xl/worksheets/sheet24950.xml"/>
  <Override ContentType="application/vnd.openxmlformats-officedocument.spreadsheetml.worksheet+xml" PartName="/xl/worksheets/sheet24951.xml"/>
  <Override ContentType="application/vnd.openxmlformats-officedocument.spreadsheetml.worksheet+xml" PartName="/xl/worksheets/sheet24952.xml"/>
  <Override ContentType="application/vnd.openxmlformats-officedocument.spreadsheetml.worksheet+xml" PartName="/xl/worksheets/sheet24953.xml"/>
  <Override ContentType="application/vnd.openxmlformats-officedocument.spreadsheetml.worksheet+xml" PartName="/xl/worksheets/sheet24954.xml"/>
  <Override ContentType="application/vnd.openxmlformats-officedocument.spreadsheetml.worksheet+xml" PartName="/xl/worksheets/sheet24955.xml"/>
  <Override ContentType="application/vnd.openxmlformats-officedocument.spreadsheetml.worksheet+xml" PartName="/xl/worksheets/sheet24956.xml"/>
  <Override ContentType="application/vnd.openxmlformats-officedocument.spreadsheetml.worksheet+xml" PartName="/xl/worksheets/sheet24957.xml"/>
  <Override ContentType="application/vnd.openxmlformats-officedocument.spreadsheetml.worksheet+xml" PartName="/xl/worksheets/sheet24958.xml"/>
  <Override ContentType="application/vnd.openxmlformats-officedocument.spreadsheetml.worksheet+xml" PartName="/xl/worksheets/sheet24959.xml"/>
  <Override ContentType="application/vnd.openxmlformats-officedocument.spreadsheetml.worksheet+xml" PartName="/xl/worksheets/sheet24960.xml"/>
  <Override ContentType="application/vnd.openxmlformats-officedocument.spreadsheetml.worksheet+xml" PartName="/xl/worksheets/sheet24961.xml"/>
  <Override ContentType="application/vnd.openxmlformats-officedocument.spreadsheetml.worksheet+xml" PartName="/xl/worksheets/sheet24962.xml"/>
  <Override ContentType="application/vnd.openxmlformats-officedocument.spreadsheetml.worksheet+xml" PartName="/xl/worksheets/sheet24963.xml"/>
  <Override ContentType="application/vnd.openxmlformats-officedocument.spreadsheetml.worksheet+xml" PartName="/xl/worksheets/sheet24964.xml"/>
  <Override ContentType="application/vnd.openxmlformats-officedocument.spreadsheetml.worksheet+xml" PartName="/xl/worksheets/sheet24965.xml"/>
  <Override ContentType="application/vnd.openxmlformats-officedocument.spreadsheetml.worksheet+xml" PartName="/xl/worksheets/sheet24966.xml"/>
  <Override ContentType="application/vnd.openxmlformats-officedocument.spreadsheetml.worksheet+xml" PartName="/xl/worksheets/sheet24967.xml"/>
  <Override ContentType="application/vnd.openxmlformats-officedocument.spreadsheetml.worksheet+xml" PartName="/xl/worksheets/sheet24968.xml"/>
  <Override ContentType="application/vnd.openxmlformats-officedocument.spreadsheetml.worksheet+xml" PartName="/xl/worksheets/sheet24969.xml"/>
  <Override ContentType="application/vnd.openxmlformats-officedocument.spreadsheetml.worksheet+xml" PartName="/xl/worksheets/sheet24970.xml"/>
  <Override ContentType="application/vnd.openxmlformats-officedocument.spreadsheetml.worksheet+xml" PartName="/xl/worksheets/sheet24971.xml"/>
  <Override ContentType="application/vnd.openxmlformats-officedocument.spreadsheetml.worksheet+xml" PartName="/xl/worksheets/sheet24972.xml"/>
  <Override ContentType="application/vnd.openxmlformats-officedocument.spreadsheetml.worksheet+xml" PartName="/xl/worksheets/sheet24973.xml"/>
  <Override ContentType="application/vnd.openxmlformats-officedocument.spreadsheetml.worksheet+xml" PartName="/xl/worksheets/sheet24974.xml"/>
  <Override ContentType="application/vnd.openxmlformats-officedocument.spreadsheetml.worksheet+xml" PartName="/xl/worksheets/sheet24975.xml"/>
  <Override ContentType="application/vnd.openxmlformats-officedocument.spreadsheetml.worksheet+xml" PartName="/xl/worksheets/sheet24976.xml"/>
  <Override ContentType="application/vnd.openxmlformats-officedocument.spreadsheetml.worksheet+xml" PartName="/xl/worksheets/sheet24977.xml"/>
  <Override ContentType="application/vnd.openxmlformats-officedocument.spreadsheetml.worksheet+xml" PartName="/xl/worksheets/sheet24978.xml"/>
  <Override ContentType="application/vnd.openxmlformats-officedocument.spreadsheetml.worksheet+xml" PartName="/xl/worksheets/sheet24979.xml"/>
  <Override ContentType="application/vnd.openxmlformats-officedocument.spreadsheetml.worksheet+xml" PartName="/xl/worksheets/sheet24980.xml"/>
  <Override ContentType="application/vnd.openxmlformats-officedocument.spreadsheetml.worksheet+xml" PartName="/xl/worksheets/sheet24981.xml"/>
  <Override ContentType="application/vnd.openxmlformats-officedocument.spreadsheetml.worksheet+xml" PartName="/xl/worksheets/sheet24982.xml"/>
  <Override ContentType="application/vnd.openxmlformats-officedocument.spreadsheetml.worksheet+xml" PartName="/xl/worksheets/sheet24983.xml"/>
  <Override ContentType="application/vnd.openxmlformats-officedocument.spreadsheetml.worksheet+xml" PartName="/xl/worksheets/sheet24984.xml"/>
  <Override ContentType="application/vnd.openxmlformats-officedocument.spreadsheetml.worksheet+xml" PartName="/xl/worksheets/sheet24985.xml"/>
  <Override ContentType="application/vnd.openxmlformats-officedocument.spreadsheetml.worksheet+xml" PartName="/xl/worksheets/sheet24986.xml"/>
  <Override ContentType="application/vnd.openxmlformats-officedocument.spreadsheetml.worksheet+xml" PartName="/xl/worksheets/sheet24987.xml"/>
  <Override ContentType="application/vnd.openxmlformats-officedocument.spreadsheetml.worksheet+xml" PartName="/xl/worksheets/sheet24988.xml"/>
  <Override ContentType="application/vnd.openxmlformats-officedocument.spreadsheetml.worksheet+xml" PartName="/xl/worksheets/sheet24989.xml"/>
  <Override ContentType="application/vnd.openxmlformats-officedocument.spreadsheetml.worksheet+xml" PartName="/xl/worksheets/sheet24990.xml"/>
  <Override ContentType="application/vnd.openxmlformats-officedocument.spreadsheetml.worksheet+xml" PartName="/xl/worksheets/sheet24991.xml"/>
  <Override ContentType="application/vnd.openxmlformats-officedocument.spreadsheetml.worksheet+xml" PartName="/xl/worksheets/sheet24992.xml"/>
  <Override ContentType="application/vnd.openxmlformats-officedocument.spreadsheetml.worksheet+xml" PartName="/xl/worksheets/sheet24993.xml"/>
  <Override ContentType="application/vnd.openxmlformats-officedocument.spreadsheetml.worksheet+xml" PartName="/xl/worksheets/sheet24994.xml"/>
  <Override ContentType="application/vnd.openxmlformats-officedocument.spreadsheetml.worksheet+xml" PartName="/xl/worksheets/sheet24995.xml"/>
  <Override ContentType="application/vnd.openxmlformats-officedocument.spreadsheetml.worksheet+xml" PartName="/xl/worksheets/sheet24996.xml"/>
  <Override ContentType="application/vnd.openxmlformats-officedocument.spreadsheetml.worksheet+xml" PartName="/xl/worksheets/sheet24997.xml"/>
  <Override ContentType="application/vnd.openxmlformats-officedocument.spreadsheetml.worksheet+xml" PartName="/xl/worksheets/sheet24998.xml"/>
  <Override ContentType="application/vnd.openxmlformats-officedocument.spreadsheetml.worksheet+xml" PartName="/xl/worksheets/sheet24999.xml"/>
  <Override ContentType="application/vnd.openxmlformats-officedocument.spreadsheetml.worksheet+xml" PartName="/xl/worksheets/sheet25000.xml"/>
  <Override ContentType="application/vnd.openxmlformats-officedocument.spreadsheetml.worksheet+xml" PartName="/xl/worksheets/sheet25001.xml"/>
  <Override ContentType="application/vnd.openxmlformats-officedocument.spreadsheetml.worksheet+xml" PartName="/xl/worksheets/sheet25002.xml"/>
  <Override ContentType="application/vnd.openxmlformats-officedocument.spreadsheetml.worksheet+xml" PartName="/xl/worksheets/sheet25003.xml"/>
  <Override ContentType="application/vnd.openxmlformats-officedocument.spreadsheetml.worksheet+xml" PartName="/xl/worksheets/sheet25004.xml"/>
  <Override ContentType="application/vnd.openxmlformats-officedocument.spreadsheetml.worksheet+xml" PartName="/xl/worksheets/sheet25005.xml"/>
  <Override ContentType="application/vnd.openxmlformats-officedocument.spreadsheetml.worksheet+xml" PartName="/xl/worksheets/sheet25006.xml"/>
  <Override ContentType="application/vnd.openxmlformats-officedocument.spreadsheetml.worksheet+xml" PartName="/xl/worksheets/sheet25007.xml"/>
  <Override ContentType="application/vnd.openxmlformats-officedocument.spreadsheetml.worksheet+xml" PartName="/xl/worksheets/sheet25008.xml"/>
  <Override ContentType="application/vnd.openxmlformats-officedocument.spreadsheetml.worksheet+xml" PartName="/xl/worksheets/sheet25009.xml"/>
  <Override ContentType="application/vnd.openxmlformats-officedocument.spreadsheetml.worksheet+xml" PartName="/xl/worksheets/sheet25010.xml"/>
  <Override ContentType="application/vnd.openxmlformats-officedocument.spreadsheetml.worksheet+xml" PartName="/xl/worksheets/sheet25011.xml"/>
  <Override ContentType="application/vnd.openxmlformats-officedocument.spreadsheetml.worksheet+xml" PartName="/xl/worksheets/sheet25012.xml"/>
  <Override ContentType="application/vnd.openxmlformats-officedocument.spreadsheetml.worksheet+xml" PartName="/xl/worksheets/sheet25013.xml"/>
  <Override ContentType="application/vnd.openxmlformats-officedocument.spreadsheetml.worksheet+xml" PartName="/xl/worksheets/sheet25014.xml"/>
  <Override ContentType="application/vnd.openxmlformats-officedocument.spreadsheetml.worksheet+xml" PartName="/xl/worksheets/sheet25015.xml"/>
  <Override ContentType="application/vnd.openxmlformats-officedocument.spreadsheetml.worksheet+xml" PartName="/xl/worksheets/sheet25016.xml"/>
  <Override ContentType="application/vnd.openxmlformats-officedocument.spreadsheetml.worksheet+xml" PartName="/xl/worksheets/sheet25017.xml"/>
  <Override ContentType="application/vnd.openxmlformats-officedocument.spreadsheetml.worksheet+xml" PartName="/xl/worksheets/sheet25018.xml"/>
  <Override ContentType="application/vnd.openxmlformats-officedocument.spreadsheetml.worksheet+xml" PartName="/xl/worksheets/sheet25019.xml"/>
  <Override ContentType="application/vnd.openxmlformats-officedocument.spreadsheetml.worksheet+xml" PartName="/xl/worksheets/sheet25020.xml"/>
  <Override ContentType="application/vnd.openxmlformats-officedocument.spreadsheetml.worksheet+xml" PartName="/xl/worksheets/sheet25021.xml"/>
  <Override ContentType="application/vnd.openxmlformats-officedocument.spreadsheetml.worksheet+xml" PartName="/xl/worksheets/sheet25022.xml"/>
  <Override ContentType="application/vnd.openxmlformats-officedocument.spreadsheetml.worksheet+xml" PartName="/xl/worksheets/sheet25023.xml"/>
  <Override ContentType="application/vnd.openxmlformats-officedocument.spreadsheetml.worksheet+xml" PartName="/xl/worksheets/sheet25024.xml"/>
  <Override ContentType="application/vnd.openxmlformats-officedocument.spreadsheetml.worksheet+xml" PartName="/xl/worksheets/sheet25025.xml"/>
  <Override ContentType="application/vnd.openxmlformats-officedocument.spreadsheetml.worksheet+xml" PartName="/xl/worksheets/sheet25026.xml"/>
  <Override ContentType="application/vnd.openxmlformats-officedocument.spreadsheetml.worksheet+xml" PartName="/xl/worksheets/sheet25027.xml"/>
  <Override ContentType="application/vnd.openxmlformats-officedocument.spreadsheetml.worksheet+xml" PartName="/xl/worksheets/sheet25028.xml"/>
  <Override ContentType="application/vnd.openxmlformats-officedocument.spreadsheetml.worksheet+xml" PartName="/xl/worksheets/sheet25029.xml"/>
  <Override ContentType="application/vnd.openxmlformats-officedocument.spreadsheetml.worksheet+xml" PartName="/xl/worksheets/sheet25030.xml"/>
  <Override ContentType="application/vnd.openxmlformats-officedocument.spreadsheetml.worksheet+xml" PartName="/xl/worksheets/sheet25031.xml"/>
  <Override ContentType="application/vnd.openxmlformats-officedocument.spreadsheetml.worksheet+xml" PartName="/xl/worksheets/sheet25032.xml"/>
  <Override ContentType="application/vnd.openxmlformats-officedocument.spreadsheetml.worksheet+xml" PartName="/xl/worksheets/sheet25033.xml"/>
  <Override ContentType="application/vnd.openxmlformats-officedocument.spreadsheetml.worksheet+xml" PartName="/xl/worksheets/sheet25034.xml"/>
  <Override ContentType="application/vnd.openxmlformats-officedocument.spreadsheetml.worksheet+xml" PartName="/xl/worksheets/sheet25035.xml"/>
  <Override ContentType="application/vnd.openxmlformats-officedocument.spreadsheetml.worksheet+xml" PartName="/xl/worksheets/sheet25036.xml"/>
  <Override ContentType="application/vnd.openxmlformats-officedocument.spreadsheetml.worksheet+xml" PartName="/xl/worksheets/sheet25037.xml"/>
  <Override ContentType="application/vnd.openxmlformats-officedocument.spreadsheetml.worksheet+xml" PartName="/xl/worksheets/sheet25038.xml"/>
  <Override ContentType="application/vnd.openxmlformats-officedocument.spreadsheetml.worksheet+xml" PartName="/xl/worksheets/sheet25039.xml"/>
  <Override ContentType="application/vnd.openxmlformats-officedocument.spreadsheetml.worksheet+xml" PartName="/xl/worksheets/sheet25040.xml"/>
  <Override ContentType="application/vnd.openxmlformats-officedocument.spreadsheetml.worksheet+xml" PartName="/xl/worksheets/sheet25041.xml"/>
  <Override ContentType="application/vnd.openxmlformats-officedocument.spreadsheetml.worksheet+xml" PartName="/xl/worksheets/sheet25042.xml"/>
  <Override ContentType="application/vnd.openxmlformats-officedocument.spreadsheetml.worksheet+xml" PartName="/xl/worksheets/sheet25043.xml"/>
  <Override ContentType="application/vnd.openxmlformats-officedocument.spreadsheetml.worksheet+xml" PartName="/xl/worksheets/sheet25044.xml"/>
  <Override ContentType="application/vnd.openxmlformats-officedocument.spreadsheetml.worksheet+xml" PartName="/xl/worksheets/sheet25045.xml"/>
  <Override ContentType="application/vnd.openxmlformats-officedocument.spreadsheetml.worksheet+xml" PartName="/xl/worksheets/sheet25046.xml"/>
  <Override ContentType="application/vnd.openxmlformats-officedocument.spreadsheetml.worksheet+xml" PartName="/xl/worksheets/sheet25047.xml"/>
  <Override ContentType="application/vnd.openxmlformats-officedocument.spreadsheetml.worksheet+xml" PartName="/xl/worksheets/sheet25048.xml"/>
  <Override ContentType="application/vnd.openxmlformats-officedocument.spreadsheetml.worksheet+xml" PartName="/xl/worksheets/sheet25049.xml"/>
  <Override ContentType="application/vnd.openxmlformats-officedocument.spreadsheetml.worksheet+xml" PartName="/xl/worksheets/sheet25050.xml"/>
  <Override ContentType="application/vnd.openxmlformats-officedocument.spreadsheetml.worksheet+xml" PartName="/xl/worksheets/sheet25051.xml"/>
  <Override ContentType="application/vnd.openxmlformats-officedocument.spreadsheetml.worksheet+xml" PartName="/xl/worksheets/sheet25052.xml"/>
  <Override ContentType="application/vnd.openxmlformats-officedocument.spreadsheetml.worksheet+xml" PartName="/xl/worksheets/sheet25053.xml"/>
  <Override ContentType="application/vnd.openxmlformats-officedocument.spreadsheetml.worksheet+xml" PartName="/xl/worksheets/sheet25054.xml"/>
  <Override ContentType="application/vnd.openxmlformats-officedocument.spreadsheetml.worksheet+xml" PartName="/xl/worksheets/sheet25055.xml"/>
  <Override ContentType="application/vnd.openxmlformats-officedocument.spreadsheetml.worksheet+xml" PartName="/xl/worksheets/sheet25056.xml"/>
  <Override ContentType="application/vnd.openxmlformats-officedocument.spreadsheetml.worksheet+xml" PartName="/xl/worksheets/sheet25057.xml"/>
  <Override ContentType="application/vnd.openxmlformats-officedocument.spreadsheetml.worksheet+xml" PartName="/xl/worksheets/sheet25058.xml"/>
  <Override ContentType="application/vnd.openxmlformats-officedocument.spreadsheetml.worksheet+xml" PartName="/xl/worksheets/sheet25059.xml"/>
  <Override ContentType="application/vnd.openxmlformats-officedocument.spreadsheetml.worksheet+xml" PartName="/xl/worksheets/sheet25060.xml"/>
  <Override ContentType="application/vnd.openxmlformats-officedocument.spreadsheetml.worksheet+xml" PartName="/xl/worksheets/sheet25061.xml"/>
  <Override ContentType="application/vnd.openxmlformats-officedocument.spreadsheetml.worksheet+xml" PartName="/xl/worksheets/sheet25062.xml"/>
  <Override ContentType="application/vnd.openxmlformats-officedocument.spreadsheetml.worksheet+xml" PartName="/xl/worksheets/sheet25063.xml"/>
  <Override ContentType="application/vnd.openxmlformats-officedocument.spreadsheetml.worksheet+xml" PartName="/xl/worksheets/sheet25064.xml"/>
  <Override ContentType="application/vnd.openxmlformats-officedocument.spreadsheetml.worksheet+xml" PartName="/xl/worksheets/sheet25065.xml"/>
  <Override ContentType="application/vnd.openxmlformats-officedocument.spreadsheetml.worksheet+xml" PartName="/xl/worksheets/sheet25066.xml"/>
  <Override ContentType="application/vnd.openxmlformats-officedocument.spreadsheetml.worksheet+xml" PartName="/xl/worksheets/sheet25067.xml"/>
  <Override ContentType="application/vnd.openxmlformats-officedocument.spreadsheetml.worksheet+xml" PartName="/xl/worksheets/sheet25068.xml"/>
  <Override ContentType="application/vnd.openxmlformats-officedocument.spreadsheetml.worksheet+xml" PartName="/xl/worksheets/sheet25069.xml"/>
  <Override ContentType="application/vnd.openxmlformats-officedocument.spreadsheetml.worksheet+xml" PartName="/xl/worksheets/sheet25070.xml"/>
  <Override ContentType="application/vnd.openxmlformats-officedocument.spreadsheetml.worksheet+xml" PartName="/xl/worksheets/sheet25071.xml"/>
  <Override ContentType="application/vnd.openxmlformats-officedocument.spreadsheetml.worksheet+xml" PartName="/xl/worksheets/sheet25072.xml"/>
  <Override ContentType="application/vnd.openxmlformats-officedocument.spreadsheetml.worksheet+xml" PartName="/xl/worksheets/sheet25073.xml"/>
  <Override ContentType="application/vnd.openxmlformats-officedocument.spreadsheetml.worksheet+xml" PartName="/xl/worksheets/sheet25074.xml"/>
  <Override ContentType="application/vnd.openxmlformats-officedocument.spreadsheetml.worksheet+xml" PartName="/xl/worksheets/sheet25075.xml"/>
  <Override ContentType="application/vnd.openxmlformats-officedocument.spreadsheetml.worksheet+xml" PartName="/xl/worksheets/sheet25076.xml"/>
  <Override ContentType="application/vnd.openxmlformats-officedocument.spreadsheetml.worksheet+xml" PartName="/xl/worksheets/sheet25077.xml"/>
  <Override ContentType="application/vnd.openxmlformats-officedocument.spreadsheetml.worksheet+xml" PartName="/xl/worksheets/sheet25078.xml"/>
  <Override ContentType="application/vnd.openxmlformats-officedocument.spreadsheetml.worksheet+xml" PartName="/xl/worksheets/sheet25079.xml"/>
  <Override ContentType="application/vnd.openxmlformats-officedocument.spreadsheetml.worksheet+xml" PartName="/xl/worksheets/sheet25080.xml"/>
  <Override ContentType="application/vnd.openxmlformats-officedocument.spreadsheetml.worksheet+xml" PartName="/xl/worksheets/sheet25081.xml"/>
  <Override ContentType="application/vnd.openxmlformats-officedocument.spreadsheetml.worksheet+xml" PartName="/xl/worksheets/sheet25082.xml"/>
  <Override ContentType="application/vnd.openxmlformats-officedocument.spreadsheetml.worksheet+xml" PartName="/xl/worksheets/sheet25083.xml"/>
  <Override ContentType="application/vnd.openxmlformats-officedocument.spreadsheetml.worksheet+xml" PartName="/xl/worksheets/sheet25084.xml"/>
  <Override ContentType="application/vnd.openxmlformats-officedocument.spreadsheetml.worksheet+xml" PartName="/xl/worksheets/sheet25085.xml"/>
  <Override ContentType="application/vnd.openxmlformats-officedocument.spreadsheetml.worksheet+xml" PartName="/xl/worksheets/sheet25086.xml"/>
  <Override ContentType="application/vnd.openxmlformats-officedocument.spreadsheetml.worksheet+xml" PartName="/xl/worksheets/sheet25087.xml"/>
  <Override ContentType="application/vnd.openxmlformats-officedocument.spreadsheetml.worksheet+xml" PartName="/xl/worksheets/sheet25088.xml"/>
  <Override ContentType="application/vnd.openxmlformats-officedocument.spreadsheetml.worksheet+xml" PartName="/xl/worksheets/sheet25089.xml"/>
  <Override ContentType="application/vnd.openxmlformats-officedocument.spreadsheetml.worksheet+xml" PartName="/xl/worksheets/sheet25090.xml"/>
  <Override ContentType="application/vnd.openxmlformats-officedocument.spreadsheetml.worksheet+xml" PartName="/xl/worksheets/sheet25091.xml"/>
  <Override ContentType="application/vnd.openxmlformats-officedocument.spreadsheetml.worksheet+xml" PartName="/xl/worksheets/sheet25092.xml"/>
  <Override ContentType="application/vnd.openxmlformats-officedocument.spreadsheetml.worksheet+xml" PartName="/xl/worksheets/sheet25093.xml"/>
  <Override ContentType="application/vnd.openxmlformats-officedocument.spreadsheetml.worksheet+xml" PartName="/xl/worksheets/sheet25094.xml"/>
  <Override ContentType="application/vnd.openxmlformats-officedocument.spreadsheetml.worksheet+xml" PartName="/xl/worksheets/sheet25095.xml"/>
  <Override ContentType="application/vnd.openxmlformats-officedocument.spreadsheetml.worksheet+xml" PartName="/xl/worksheets/sheet25096.xml"/>
  <Override ContentType="application/vnd.openxmlformats-officedocument.spreadsheetml.worksheet+xml" PartName="/xl/worksheets/sheet25097.xml"/>
  <Override ContentType="application/vnd.openxmlformats-officedocument.spreadsheetml.worksheet+xml" PartName="/xl/worksheets/sheet25098.xml"/>
  <Override ContentType="application/vnd.openxmlformats-officedocument.spreadsheetml.worksheet+xml" PartName="/xl/worksheets/sheet25099.xml"/>
  <Override ContentType="application/vnd.openxmlformats-officedocument.spreadsheetml.worksheet+xml" PartName="/xl/worksheets/sheet25100.xml"/>
  <Override ContentType="application/vnd.openxmlformats-officedocument.spreadsheetml.worksheet+xml" PartName="/xl/worksheets/sheet25101.xml"/>
  <Override ContentType="application/vnd.openxmlformats-officedocument.spreadsheetml.worksheet+xml" PartName="/xl/worksheets/sheet25102.xml"/>
  <Override ContentType="application/vnd.openxmlformats-officedocument.spreadsheetml.worksheet+xml" PartName="/xl/worksheets/sheet25103.xml"/>
  <Override ContentType="application/vnd.openxmlformats-officedocument.spreadsheetml.worksheet+xml" PartName="/xl/worksheets/sheet25104.xml"/>
  <Override ContentType="application/vnd.openxmlformats-officedocument.spreadsheetml.worksheet+xml" PartName="/xl/worksheets/sheet25105.xml"/>
  <Override ContentType="application/vnd.openxmlformats-officedocument.spreadsheetml.worksheet+xml" PartName="/xl/worksheets/sheet25106.xml"/>
  <Override ContentType="application/vnd.openxmlformats-officedocument.spreadsheetml.worksheet+xml" PartName="/xl/worksheets/sheet25107.xml"/>
  <Override ContentType="application/vnd.openxmlformats-officedocument.spreadsheetml.worksheet+xml" PartName="/xl/worksheets/sheet25108.xml"/>
  <Override ContentType="application/vnd.openxmlformats-officedocument.spreadsheetml.worksheet+xml" PartName="/xl/worksheets/sheet25109.xml"/>
  <Override ContentType="application/vnd.openxmlformats-officedocument.spreadsheetml.worksheet+xml" PartName="/xl/worksheets/sheet25110.xml"/>
  <Override ContentType="application/vnd.openxmlformats-officedocument.spreadsheetml.worksheet+xml" PartName="/xl/worksheets/sheet25111.xml"/>
  <Override ContentType="application/vnd.openxmlformats-officedocument.spreadsheetml.worksheet+xml" PartName="/xl/worksheets/sheet25112.xml"/>
  <Override ContentType="application/vnd.openxmlformats-officedocument.spreadsheetml.worksheet+xml" PartName="/xl/worksheets/sheet25113.xml"/>
  <Override ContentType="application/vnd.openxmlformats-officedocument.spreadsheetml.worksheet+xml" PartName="/xl/worksheets/sheet25114.xml"/>
  <Override ContentType="application/vnd.openxmlformats-officedocument.spreadsheetml.worksheet+xml" PartName="/xl/worksheets/sheet25115.xml"/>
  <Override ContentType="application/vnd.openxmlformats-officedocument.spreadsheetml.worksheet+xml" PartName="/xl/worksheets/sheet25116.xml"/>
  <Override ContentType="application/vnd.openxmlformats-officedocument.spreadsheetml.worksheet+xml" PartName="/xl/worksheets/sheet25117.xml"/>
  <Override ContentType="application/vnd.openxmlformats-officedocument.spreadsheetml.worksheet+xml" PartName="/xl/worksheets/sheet25118.xml"/>
  <Override ContentType="application/vnd.openxmlformats-officedocument.spreadsheetml.worksheet+xml" PartName="/xl/worksheets/sheet25119.xml"/>
  <Override ContentType="application/vnd.openxmlformats-officedocument.spreadsheetml.worksheet+xml" PartName="/xl/worksheets/sheet25120.xml"/>
  <Override ContentType="application/vnd.openxmlformats-officedocument.spreadsheetml.worksheet+xml" PartName="/xl/worksheets/sheet25121.xml"/>
  <Override ContentType="application/vnd.openxmlformats-officedocument.spreadsheetml.worksheet+xml" PartName="/xl/worksheets/sheet25122.xml"/>
  <Override ContentType="application/vnd.openxmlformats-officedocument.spreadsheetml.worksheet+xml" PartName="/xl/worksheets/sheet25123.xml"/>
  <Override ContentType="application/vnd.openxmlformats-officedocument.spreadsheetml.worksheet+xml" PartName="/xl/worksheets/sheet25124.xml"/>
  <Override ContentType="application/vnd.openxmlformats-officedocument.spreadsheetml.worksheet+xml" PartName="/xl/worksheets/sheet25125.xml"/>
  <Override ContentType="application/vnd.openxmlformats-officedocument.spreadsheetml.worksheet+xml" PartName="/xl/worksheets/sheet25126.xml"/>
  <Override ContentType="application/vnd.openxmlformats-officedocument.spreadsheetml.worksheet+xml" PartName="/xl/worksheets/sheet25127.xml"/>
  <Override ContentType="application/vnd.openxmlformats-officedocument.spreadsheetml.worksheet+xml" PartName="/xl/worksheets/sheet25128.xml"/>
  <Override ContentType="application/vnd.openxmlformats-officedocument.spreadsheetml.worksheet+xml" PartName="/xl/worksheets/sheet25129.xml"/>
  <Override ContentType="application/vnd.openxmlformats-officedocument.spreadsheetml.worksheet+xml" PartName="/xl/worksheets/sheet25130.xml"/>
  <Override ContentType="application/vnd.openxmlformats-officedocument.spreadsheetml.worksheet+xml" PartName="/xl/worksheets/sheet25131.xml"/>
  <Override ContentType="application/vnd.openxmlformats-officedocument.spreadsheetml.worksheet+xml" PartName="/xl/worksheets/sheet25132.xml"/>
  <Override ContentType="application/vnd.openxmlformats-officedocument.spreadsheetml.worksheet+xml" PartName="/xl/worksheets/sheet25133.xml"/>
  <Override ContentType="application/vnd.openxmlformats-officedocument.spreadsheetml.worksheet+xml" PartName="/xl/worksheets/sheet25134.xml"/>
  <Override ContentType="application/vnd.openxmlformats-officedocument.spreadsheetml.worksheet+xml" PartName="/xl/worksheets/sheet25135.xml"/>
  <Override ContentType="application/vnd.openxmlformats-officedocument.spreadsheetml.worksheet+xml" PartName="/xl/worksheets/sheet25136.xml"/>
  <Override ContentType="application/vnd.openxmlformats-officedocument.spreadsheetml.worksheet+xml" PartName="/xl/worksheets/sheet25137.xml"/>
  <Override ContentType="application/vnd.openxmlformats-officedocument.spreadsheetml.worksheet+xml" PartName="/xl/worksheets/sheet25138.xml"/>
  <Override ContentType="application/vnd.openxmlformats-officedocument.spreadsheetml.worksheet+xml" PartName="/xl/worksheets/sheet25139.xml"/>
  <Override ContentType="application/vnd.openxmlformats-officedocument.spreadsheetml.worksheet+xml" PartName="/xl/worksheets/sheet25140.xml"/>
  <Override ContentType="application/vnd.openxmlformats-officedocument.spreadsheetml.worksheet+xml" PartName="/xl/worksheets/sheet25141.xml"/>
  <Override ContentType="application/vnd.openxmlformats-officedocument.spreadsheetml.worksheet+xml" PartName="/xl/worksheets/sheet25142.xml"/>
  <Override ContentType="application/vnd.openxmlformats-officedocument.spreadsheetml.worksheet+xml" PartName="/xl/worksheets/sheet25143.xml"/>
  <Override ContentType="application/vnd.openxmlformats-officedocument.spreadsheetml.worksheet+xml" PartName="/xl/worksheets/sheet25144.xml"/>
  <Override ContentType="application/vnd.openxmlformats-officedocument.spreadsheetml.worksheet+xml" PartName="/xl/worksheets/sheet25145.xml"/>
  <Override ContentType="application/vnd.openxmlformats-officedocument.spreadsheetml.worksheet+xml" PartName="/xl/worksheets/sheet25146.xml"/>
  <Override ContentType="application/vnd.openxmlformats-officedocument.spreadsheetml.worksheet+xml" PartName="/xl/worksheets/sheet25147.xml"/>
  <Override ContentType="application/vnd.openxmlformats-officedocument.spreadsheetml.worksheet+xml" PartName="/xl/worksheets/sheet25148.xml"/>
  <Override ContentType="application/vnd.openxmlformats-officedocument.spreadsheetml.worksheet+xml" PartName="/xl/worksheets/sheet25149.xml"/>
  <Override ContentType="application/vnd.openxmlformats-officedocument.spreadsheetml.worksheet+xml" PartName="/xl/worksheets/sheet25150.xml"/>
  <Override ContentType="application/vnd.openxmlformats-officedocument.spreadsheetml.worksheet+xml" PartName="/xl/worksheets/sheet25151.xml"/>
  <Override ContentType="application/vnd.openxmlformats-officedocument.spreadsheetml.worksheet+xml" PartName="/xl/worksheets/sheet25152.xml"/>
  <Override ContentType="application/vnd.openxmlformats-officedocument.spreadsheetml.worksheet+xml" PartName="/xl/worksheets/sheet25153.xml"/>
  <Override ContentType="application/vnd.openxmlformats-officedocument.spreadsheetml.worksheet+xml" PartName="/xl/worksheets/sheet25154.xml"/>
  <Override ContentType="application/vnd.openxmlformats-officedocument.spreadsheetml.worksheet+xml" PartName="/xl/worksheets/sheet25155.xml"/>
  <Override ContentType="application/vnd.openxmlformats-officedocument.spreadsheetml.worksheet+xml" PartName="/xl/worksheets/sheet25156.xml"/>
  <Override ContentType="application/vnd.openxmlformats-officedocument.spreadsheetml.worksheet+xml" PartName="/xl/worksheets/sheet25157.xml"/>
  <Override ContentType="application/vnd.openxmlformats-officedocument.spreadsheetml.worksheet+xml" PartName="/xl/worksheets/sheet25158.xml"/>
  <Override ContentType="application/vnd.openxmlformats-officedocument.spreadsheetml.worksheet+xml" PartName="/xl/worksheets/sheet25159.xml"/>
  <Override ContentType="application/vnd.openxmlformats-officedocument.spreadsheetml.worksheet+xml" PartName="/xl/worksheets/sheet25160.xml"/>
  <Override ContentType="application/vnd.openxmlformats-officedocument.spreadsheetml.worksheet+xml" PartName="/xl/worksheets/sheet25161.xml"/>
  <Override ContentType="application/vnd.openxmlformats-officedocument.spreadsheetml.worksheet+xml" PartName="/xl/worksheets/sheet25162.xml"/>
  <Override ContentType="application/vnd.openxmlformats-officedocument.spreadsheetml.worksheet+xml" PartName="/xl/worksheets/sheet25163.xml"/>
  <Override ContentType="application/vnd.openxmlformats-officedocument.spreadsheetml.worksheet+xml" PartName="/xl/worksheets/sheet25164.xml"/>
  <Override ContentType="application/vnd.openxmlformats-officedocument.spreadsheetml.worksheet+xml" PartName="/xl/worksheets/sheet25165.xml"/>
  <Override ContentType="application/vnd.openxmlformats-officedocument.spreadsheetml.worksheet+xml" PartName="/xl/worksheets/sheet25166.xml"/>
  <Override ContentType="application/vnd.openxmlformats-officedocument.spreadsheetml.worksheet+xml" PartName="/xl/worksheets/sheet25167.xml"/>
  <Override ContentType="application/vnd.openxmlformats-officedocument.spreadsheetml.worksheet+xml" PartName="/xl/worksheets/sheet25168.xml"/>
  <Override ContentType="application/vnd.openxmlformats-officedocument.spreadsheetml.worksheet+xml" PartName="/xl/worksheets/sheet25169.xml"/>
  <Override ContentType="application/vnd.openxmlformats-officedocument.spreadsheetml.worksheet+xml" PartName="/xl/worksheets/sheet25170.xml"/>
  <Override ContentType="application/vnd.openxmlformats-officedocument.spreadsheetml.worksheet+xml" PartName="/xl/worksheets/sheet25171.xml"/>
  <Override ContentType="application/vnd.openxmlformats-officedocument.spreadsheetml.worksheet+xml" PartName="/xl/worksheets/sheet25172.xml"/>
  <Override ContentType="application/vnd.openxmlformats-officedocument.spreadsheetml.worksheet+xml" PartName="/xl/worksheets/sheet25173.xml"/>
  <Override ContentType="application/vnd.openxmlformats-officedocument.spreadsheetml.worksheet+xml" PartName="/xl/worksheets/sheet25174.xml"/>
  <Override ContentType="application/vnd.openxmlformats-officedocument.spreadsheetml.worksheet+xml" PartName="/xl/worksheets/sheet25175.xml"/>
  <Override ContentType="application/vnd.openxmlformats-officedocument.spreadsheetml.worksheet+xml" PartName="/xl/worksheets/sheet25176.xml"/>
  <Override ContentType="application/vnd.openxmlformats-officedocument.spreadsheetml.worksheet+xml" PartName="/xl/worksheets/sheet25177.xml"/>
  <Override ContentType="application/vnd.openxmlformats-officedocument.spreadsheetml.worksheet+xml" PartName="/xl/worksheets/sheet25178.xml"/>
  <Override ContentType="application/vnd.openxmlformats-officedocument.spreadsheetml.worksheet+xml" PartName="/xl/worksheets/sheet25179.xml"/>
  <Override ContentType="application/vnd.openxmlformats-officedocument.spreadsheetml.worksheet+xml" PartName="/xl/worksheets/sheet25180.xml"/>
  <Override ContentType="application/vnd.openxmlformats-officedocument.spreadsheetml.worksheet+xml" PartName="/xl/worksheets/sheet25181.xml"/>
  <Override ContentType="application/vnd.openxmlformats-officedocument.spreadsheetml.worksheet+xml" PartName="/xl/worksheets/sheet25182.xml"/>
  <Override ContentType="application/vnd.openxmlformats-officedocument.spreadsheetml.worksheet+xml" PartName="/xl/worksheets/sheet25183.xml"/>
  <Override ContentType="application/vnd.openxmlformats-officedocument.spreadsheetml.worksheet+xml" PartName="/xl/worksheets/sheet25184.xml"/>
  <Override ContentType="application/vnd.openxmlformats-officedocument.spreadsheetml.worksheet+xml" PartName="/xl/worksheets/sheet25185.xml"/>
  <Override ContentType="application/vnd.openxmlformats-officedocument.spreadsheetml.worksheet+xml" PartName="/xl/worksheets/sheet25186.xml"/>
  <Override ContentType="application/vnd.openxmlformats-officedocument.spreadsheetml.worksheet+xml" PartName="/xl/worksheets/sheet25187.xml"/>
  <Override ContentType="application/vnd.openxmlformats-officedocument.spreadsheetml.worksheet+xml" PartName="/xl/worksheets/sheet25188.xml"/>
  <Override ContentType="application/vnd.openxmlformats-officedocument.spreadsheetml.worksheet+xml" PartName="/xl/worksheets/sheet25189.xml"/>
  <Override ContentType="application/vnd.openxmlformats-officedocument.spreadsheetml.worksheet+xml" PartName="/xl/worksheets/sheet25190.xml"/>
  <Override ContentType="application/vnd.openxmlformats-officedocument.spreadsheetml.worksheet+xml" PartName="/xl/worksheets/sheet25191.xml"/>
  <Override ContentType="application/vnd.openxmlformats-officedocument.spreadsheetml.worksheet+xml" PartName="/xl/worksheets/sheet25192.xml"/>
  <Override ContentType="application/vnd.openxmlformats-officedocument.spreadsheetml.worksheet+xml" PartName="/xl/worksheets/sheet25193.xml"/>
  <Override ContentType="application/vnd.openxmlformats-officedocument.spreadsheetml.worksheet+xml" PartName="/xl/worksheets/sheet25194.xml"/>
  <Override ContentType="application/vnd.openxmlformats-officedocument.spreadsheetml.worksheet+xml" PartName="/xl/worksheets/sheet25195.xml"/>
  <Override ContentType="application/vnd.openxmlformats-officedocument.spreadsheetml.worksheet+xml" PartName="/xl/worksheets/sheet25196.xml"/>
  <Override ContentType="application/vnd.openxmlformats-officedocument.spreadsheetml.worksheet+xml" PartName="/xl/worksheets/sheet25197.xml"/>
  <Override ContentType="application/vnd.openxmlformats-officedocument.spreadsheetml.worksheet+xml" PartName="/xl/worksheets/sheet25198.xml"/>
  <Override ContentType="application/vnd.openxmlformats-officedocument.spreadsheetml.worksheet+xml" PartName="/xl/worksheets/sheet25199.xml"/>
  <Override ContentType="application/vnd.openxmlformats-officedocument.spreadsheetml.worksheet+xml" PartName="/xl/worksheets/sheet25200.xml"/>
  <Override ContentType="application/vnd.openxmlformats-officedocument.spreadsheetml.worksheet+xml" PartName="/xl/worksheets/sheet25201.xml"/>
  <Override ContentType="application/vnd.openxmlformats-officedocument.spreadsheetml.worksheet+xml" PartName="/xl/worksheets/sheet25202.xml"/>
  <Override ContentType="application/vnd.openxmlformats-officedocument.spreadsheetml.worksheet+xml" PartName="/xl/worksheets/sheet25203.xml"/>
  <Override ContentType="application/vnd.openxmlformats-officedocument.spreadsheetml.worksheet+xml" PartName="/xl/worksheets/sheet25204.xml"/>
  <Override ContentType="application/vnd.openxmlformats-officedocument.spreadsheetml.worksheet+xml" PartName="/xl/worksheets/sheet25205.xml"/>
  <Override ContentType="application/vnd.openxmlformats-officedocument.spreadsheetml.worksheet+xml" PartName="/xl/worksheets/sheet25206.xml"/>
  <Override ContentType="application/vnd.openxmlformats-officedocument.spreadsheetml.worksheet+xml" PartName="/xl/worksheets/sheet25207.xml"/>
  <Override ContentType="application/vnd.openxmlformats-officedocument.spreadsheetml.worksheet+xml" PartName="/xl/worksheets/sheet25208.xml"/>
  <Override ContentType="application/vnd.openxmlformats-officedocument.spreadsheetml.worksheet+xml" PartName="/xl/worksheets/sheet25209.xml"/>
  <Override ContentType="application/vnd.openxmlformats-officedocument.spreadsheetml.worksheet+xml" PartName="/xl/worksheets/sheet25210.xml"/>
  <Override ContentType="application/vnd.openxmlformats-officedocument.spreadsheetml.worksheet+xml" PartName="/xl/worksheets/sheet25211.xml"/>
  <Override ContentType="application/vnd.openxmlformats-officedocument.spreadsheetml.worksheet+xml" PartName="/xl/worksheets/sheet25212.xml"/>
  <Override ContentType="application/vnd.openxmlformats-officedocument.spreadsheetml.worksheet+xml" PartName="/xl/worksheets/sheet25213.xml"/>
  <Override ContentType="application/vnd.openxmlformats-officedocument.spreadsheetml.worksheet+xml" PartName="/xl/worksheets/sheet25214.xml"/>
  <Override ContentType="application/vnd.openxmlformats-officedocument.spreadsheetml.worksheet+xml" PartName="/xl/worksheets/sheet25215.xml"/>
  <Override ContentType="application/vnd.openxmlformats-officedocument.spreadsheetml.worksheet+xml" PartName="/xl/worksheets/sheet25216.xml"/>
  <Override ContentType="application/vnd.openxmlformats-officedocument.spreadsheetml.worksheet+xml" PartName="/xl/worksheets/sheet25217.xml"/>
  <Override ContentType="application/vnd.openxmlformats-officedocument.spreadsheetml.worksheet+xml" PartName="/xl/worksheets/sheet25218.xml"/>
  <Override ContentType="application/vnd.openxmlformats-officedocument.spreadsheetml.worksheet+xml" PartName="/xl/worksheets/sheet25219.xml"/>
  <Override ContentType="application/vnd.openxmlformats-officedocument.spreadsheetml.worksheet+xml" PartName="/xl/worksheets/sheet25220.xml"/>
  <Override ContentType="application/vnd.openxmlformats-officedocument.spreadsheetml.worksheet+xml" PartName="/xl/worksheets/sheet25221.xml"/>
  <Override ContentType="application/vnd.openxmlformats-officedocument.spreadsheetml.worksheet+xml" PartName="/xl/worksheets/sheet25222.xml"/>
  <Override ContentType="application/vnd.openxmlformats-officedocument.spreadsheetml.worksheet+xml" PartName="/xl/worksheets/sheet25223.xml"/>
  <Override ContentType="application/vnd.openxmlformats-officedocument.spreadsheetml.worksheet+xml" PartName="/xl/worksheets/sheet25224.xml"/>
  <Override ContentType="application/vnd.openxmlformats-officedocument.spreadsheetml.worksheet+xml" PartName="/xl/worksheets/sheet25225.xml"/>
  <Override ContentType="application/vnd.openxmlformats-officedocument.spreadsheetml.worksheet+xml" PartName="/xl/worksheets/sheet25226.xml"/>
  <Override ContentType="application/vnd.openxmlformats-officedocument.spreadsheetml.worksheet+xml" PartName="/xl/worksheets/sheet25227.xml"/>
  <Override ContentType="application/vnd.openxmlformats-officedocument.spreadsheetml.worksheet+xml" PartName="/xl/worksheets/sheet25228.xml"/>
  <Override ContentType="application/vnd.openxmlformats-officedocument.spreadsheetml.worksheet+xml" PartName="/xl/worksheets/sheet25229.xml"/>
  <Override ContentType="application/vnd.openxmlformats-officedocument.spreadsheetml.worksheet+xml" PartName="/xl/worksheets/sheet25230.xml"/>
  <Override ContentType="application/vnd.openxmlformats-officedocument.spreadsheetml.worksheet+xml" PartName="/xl/worksheets/sheet25231.xml"/>
  <Override ContentType="application/vnd.openxmlformats-officedocument.spreadsheetml.worksheet+xml" PartName="/xl/worksheets/sheet25232.xml"/>
  <Override ContentType="application/vnd.openxmlformats-officedocument.spreadsheetml.worksheet+xml" PartName="/xl/worksheets/sheet25233.xml"/>
  <Override ContentType="application/vnd.openxmlformats-officedocument.spreadsheetml.worksheet+xml" PartName="/xl/worksheets/sheet25234.xml"/>
  <Override ContentType="application/vnd.openxmlformats-officedocument.spreadsheetml.worksheet+xml" PartName="/xl/worksheets/sheet25235.xml"/>
  <Override ContentType="application/vnd.openxmlformats-officedocument.spreadsheetml.worksheet+xml" PartName="/xl/worksheets/sheet25236.xml"/>
  <Override ContentType="application/vnd.openxmlformats-officedocument.spreadsheetml.worksheet+xml" PartName="/xl/worksheets/sheet25237.xml"/>
  <Override ContentType="application/vnd.openxmlformats-officedocument.spreadsheetml.worksheet+xml" PartName="/xl/worksheets/sheet25238.xml"/>
  <Override ContentType="application/vnd.openxmlformats-officedocument.spreadsheetml.worksheet+xml" PartName="/xl/worksheets/sheet25239.xml"/>
  <Override ContentType="application/vnd.openxmlformats-officedocument.spreadsheetml.worksheet+xml" PartName="/xl/worksheets/sheet25240.xml"/>
  <Override ContentType="application/vnd.openxmlformats-officedocument.spreadsheetml.worksheet+xml" PartName="/xl/worksheets/sheet25241.xml"/>
  <Override ContentType="application/vnd.openxmlformats-officedocument.spreadsheetml.worksheet+xml" PartName="/xl/worksheets/sheet25242.xml"/>
  <Override ContentType="application/vnd.openxmlformats-officedocument.spreadsheetml.worksheet+xml" PartName="/xl/worksheets/sheet25243.xml"/>
  <Override ContentType="application/vnd.openxmlformats-officedocument.spreadsheetml.worksheet+xml" PartName="/xl/worksheets/sheet25244.xml"/>
  <Override ContentType="application/vnd.openxmlformats-officedocument.spreadsheetml.worksheet+xml" PartName="/xl/worksheets/sheet25245.xml"/>
  <Override ContentType="application/vnd.openxmlformats-officedocument.spreadsheetml.worksheet+xml" PartName="/xl/worksheets/sheet25246.xml"/>
  <Override ContentType="application/vnd.openxmlformats-officedocument.spreadsheetml.worksheet+xml" PartName="/xl/worksheets/sheet25247.xml"/>
  <Override ContentType="application/vnd.openxmlformats-officedocument.spreadsheetml.worksheet+xml" PartName="/xl/worksheets/sheet25248.xml"/>
  <Override ContentType="application/vnd.openxmlformats-officedocument.spreadsheetml.worksheet+xml" PartName="/xl/worksheets/sheet25249.xml"/>
  <Override ContentType="application/vnd.openxmlformats-officedocument.spreadsheetml.worksheet+xml" PartName="/xl/worksheets/sheet25250.xml"/>
  <Override ContentType="application/vnd.openxmlformats-officedocument.spreadsheetml.worksheet+xml" PartName="/xl/worksheets/sheet25251.xml"/>
  <Override ContentType="application/vnd.openxmlformats-officedocument.spreadsheetml.worksheet+xml" PartName="/xl/worksheets/sheet25252.xml"/>
  <Override ContentType="application/vnd.openxmlformats-officedocument.spreadsheetml.worksheet+xml" PartName="/xl/worksheets/sheet25253.xml"/>
  <Override ContentType="application/vnd.openxmlformats-officedocument.spreadsheetml.worksheet+xml" PartName="/xl/worksheets/sheet25254.xml"/>
  <Override ContentType="application/vnd.openxmlformats-officedocument.spreadsheetml.worksheet+xml" PartName="/xl/worksheets/sheet25255.xml"/>
  <Override ContentType="application/vnd.openxmlformats-officedocument.spreadsheetml.worksheet+xml" PartName="/xl/worksheets/sheet25256.xml"/>
  <Override ContentType="application/vnd.openxmlformats-officedocument.spreadsheetml.worksheet+xml" PartName="/xl/worksheets/sheet25257.xml"/>
  <Override ContentType="application/vnd.openxmlformats-officedocument.spreadsheetml.worksheet+xml" PartName="/xl/worksheets/sheet25258.xml"/>
  <Override ContentType="application/vnd.openxmlformats-officedocument.spreadsheetml.worksheet+xml" PartName="/xl/worksheets/sheet25259.xml"/>
  <Override ContentType="application/vnd.openxmlformats-officedocument.spreadsheetml.worksheet+xml" PartName="/xl/worksheets/sheet25260.xml"/>
  <Override ContentType="application/vnd.openxmlformats-officedocument.spreadsheetml.worksheet+xml" PartName="/xl/worksheets/sheet25261.xml"/>
  <Override ContentType="application/vnd.openxmlformats-officedocument.spreadsheetml.worksheet+xml" PartName="/xl/worksheets/sheet25262.xml"/>
  <Override ContentType="application/vnd.openxmlformats-officedocument.spreadsheetml.worksheet+xml" PartName="/xl/worksheets/sheet25263.xml"/>
  <Override ContentType="application/vnd.openxmlformats-officedocument.spreadsheetml.worksheet+xml" PartName="/xl/worksheets/sheet25264.xml"/>
  <Override ContentType="application/vnd.openxmlformats-officedocument.spreadsheetml.worksheet+xml" PartName="/xl/worksheets/sheet25265.xml"/>
  <Override ContentType="application/vnd.openxmlformats-officedocument.spreadsheetml.worksheet+xml" PartName="/xl/worksheets/sheet25266.xml"/>
  <Override ContentType="application/vnd.openxmlformats-officedocument.spreadsheetml.worksheet+xml" PartName="/xl/worksheets/sheet25267.xml"/>
  <Override ContentType="application/vnd.openxmlformats-officedocument.spreadsheetml.worksheet+xml" PartName="/xl/worksheets/sheet25268.xml"/>
  <Override ContentType="application/vnd.openxmlformats-officedocument.spreadsheetml.worksheet+xml" PartName="/xl/worksheets/sheet25269.xml"/>
  <Override ContentType="application/vnd.openxmlformats-officedocument.spreadsheetml.worksheet+xml" PartName="/xl/worksheets/sheet25270.xml"/>
  <Override ContentType="application/vnd.openxmlformats-officedocument.spreadsheetml.worksheet+xml" PartName="/xl/worksheets/sheet25271.xml"/>
  <Override ContentType="application/vnd.openxmlformats-officedocument.spreadsheetml.worksheet+xml" PartName="/xl/worksheets/sheet25272.xml"/>
  <Override ContentType="application/vnd.openxmlformats-officedocument.spreadsheetml.worksheet+xml" PartName="/xl/worksheets/sheet25273.xml"/>
  <Override ContentType="application/vnd.openxmlformats-officedocument.spreadsheetml.worksheet+xml" PartName="/xl/worksheets/sheet25274.xml"/>
  <Override ContentType="application/vnd.openxmlformats-officedocument.spreadsheetml.worksheet+xml" PartName="/xl/worksheets/sheet25275.xml"/>
  <Override ContentType="application/vnd.openxmlformats-officedocument.spreadsheetml.worksheet+xml" PartName="/xl/worksheets/sheet25276.xml"/>
  <Override ContentType="application/vnd.openxmlformats-officedocument.spreadsheetml.worksheet+xml" PartName="/xl/worksheets/sheet25277.xml"/>
  <Override ContentType="application/vnd.openxmlformats-officedocument.spreadsheetml.worksheet+xml" PartName="/xl/worksheets/sheet25278.xml"/>
  <Override ContentType="application/vnd.openxmlformats-officedocument.spreadsheetml.worksheet+xml" PartName="/xl/worksheets/sheet25279.xml"/>
  <Override ContentType="application/vnd.openxmlformats-officedocument.spreadsheetml.worksheet+xml" PartName="/xl/worksheets/sheet25280.xml"/>
  <Override ContentType="application/vnd.openxmlformats-officedocument.spreadsheetml.worksheet+xml" PartName="/xl/worksheets/sheet25281.xml"/>
  <Override ContentType="application/vnd.openxmlformats-officedocument.spreadsheetml.worksheet+xml" PartName="/xl/worksheets/sheet25282.xml"/>
  <Override ContentType="application/vnd.openxmlformats-officedocument.spreadsheetml.worksheet+xml" PartName="/xl/worksheets/sheet25283.xml"/>
  <Override ContentType="application/vnd.openxmlformats-officedocument.spreadsheetml.worksheet+xml" PartName="/xl/worksheets/sheet25284.xml"/>
  <Override ContentType="application/vnd.openxmlformats-officedocument.spreadsheetml.worksheet+xml" PartName="/xl/worksheets/sheet25285.xml"/>
  <Override ContentType="application/vnd.openxmlformats-officedocument.spreadsheetml.worksheet+xml" PartName="/xl/worksheets/sheet25286.xml"/>
  <Override ContentType="application/vnd.openxmlformats-officedocument.spreadsheetml.worksheet+xml" PartName="/xl/worksheets/sheet25287.xml"/>
  <Override ContentType="application/vnd.openxmlformats-officedocument.spreadsheetml.worksheet+xml" PartName="/xl/worksheets/sheet25288.xml"/>
  <Override ContentType="application/vnd.openxmlformats-officedocument.spreadsheetml.worksheet+xml" PartName="/xl/worksheets/sheet25289.xml"/>
  <Override ContentType="application/vnd.openxmlformats-officedocument.spreadsheetml.worksheet+xml" PartName="/xl/worksheets/sheet25290.xml"/>
  <Override ContentType="application/vnd.openxmlformats-officedocument.spreadsheetml.worksheet+xml" PartName="/xl/worksheets/sheet25291.xml"/>
  <Override ContentType="application/vnd.openxmlformats-officedocument.spreadsheetml.worksheet+xml" PartName="/xl/worksheets/sheet25292.xml"/>
  <Override ContentType="application/vnd.openxmlformats-officedocument.spreadsheetml.worksheet+xml" PartName="/xl/worksheets/sheet25293.xml"/>
  <Override ContentType="application/vnd.openxmlformats-officedocument.spreadsheetml.worksheet+xml" PartName="/xl/worksheets/sheet25294.xml"/>
  <Override ContentType="application/vnd.openxmlformats-officedocument.spreadsheetml.worksheet+xml" PartName="/xl/worksheets/sheet25295.xml"/>
  <Override ContentType="application/vnd.openxmlformats-officedocument.spreadsheetml.worksheet+xml" PartName="/xl/worksheets/sheet25296.xml"/>
  <Override ContentType="application/vnd.openxmlformats-officedocument.spreadsheetml.worksheet+xml" PartName="/xl/worksheets/sheet25297.xml"/>
  <Override ContentType="application/vnd.openxmlformats-officedocument.spreadsheetml.worksheet+xml" PartName="/xl/worksheets/sheet25298.xml"/>
  <Override ContentType="application/vnd.openxmlformats-officedocument.spreadsheetml.worksheet+xml" PartName="/xl/worksheets/sheet25299.xml"/>
  <Override ContentType="application/vnd.openxmlformats-officedocument.spreadsheetml.worksheet+xml" PartName="/xl/worksheets/sheet25300.xml"/>
  <Override ContentType="application/vnd.openxmlformats-officedocument.spreadsheetml.worksheet+xml" PartName="/xl/worksheets/sheet25301.xml"/>
  <Override ContentType="application/vnd.openxmlformats-officedocument.spreadsheetml.worksheet+xml" PartName="/xl/worksheets/sheet25302.xml"/>
  <Override ContentType="application/vnd.openxmlformats-officedocument.spreadsheetml.worksheet+xml" PartName="/xl/worksheets/sheet25303.xml"/>
  <Override ContentType="application/vnd.openxmlformats-officedocument.spreadsheetml.worksheet+xml" PartName="/xl/worksheets/sheet25304.xml"/>
  <Override ContentType="application/vnd.openxmlformats-officedocument.spreadsheetml.worksheet+xml" PartName="/xl/worksheets/sheet25305.xml"/>
  <Override ContentType="application/vnd.openxmlformats-officedocument.spreadsheetml.worksheet+xml" PartName="/xl/worksheets/sheet25306.xml"/>
  <Override ContentType="application/vnd.openxmlformats-officedocument.spreadsheetml.worksheet+xml" PartName="/xl/worksheets/sheet25307.xml"/>
  <Override ContentType="application/vnd.openxmlformats-officedocument.spreadsheetml.worksheet+xml" PartName="/xl/worksheets/sheet25308.xml"/>
  <Override ContentType="application/vnd.openxmlformats-officedocument.spreadsheetml.worksheet+xml" PartName="/xl/worksheets/sheet25309.xml"/>
  <Override ContentType="application/vnd.openxmlformats-officedocument.spreadsheetml.worksheet+xml" PartName="/xl/worksheets/sheet25310.xml"/>
  <Override ContentType="application/vnd.openxmlformats-officedocument.spreadsheetml.worksheet+xml" PartName="/xl/worksheets/sheet25311.xml"/>
  <Override ContentType="application/vnd.openxmlformats-officedocument.spreadsheetml.worksheet+xml" PartName="/xl/worksheets/sheet25312.xml"/>
  <Override ContentType="application/vnd.openxmlformats-officedocument.spreadsheetml.worksheet+xml" PartName="/xl/worksheets/sheet25313.xml"/>
  <Override ContentType="application/vnd.openxmlformats-officedocument.spreadsheetml.worksheet+xml" PartName="/xl/worksheets/sheet25314.xml"/>
  <Override ContentType="application/vnd.openxmlformats-officedocument.spreadsheetml.worksheet+xml" PartName="/xl/worksheets/sheet25315.xml"/>
  <Override ContentType="application/vnd.openxmlformats-officedocument.spreadsheetml.worksheet+xml" PartName="/xl/worksheets/sheet25316.xml"/>
  <Override ContentType="application/vnd.openxmlformats-officedocument.spreadsheetml.worksheet+xml" PartName="/xl/worksheets/sheet25317.xml"/>
  <Override ContentType="application/vnd.openxmlformats-officedocument.spreadsheetml.worksheet+xml" PartName="/xl/worksheets/sheet25318.xml"/>
  <Override ContentType="application/vnd.openxmlformats-officedocument.spreadsheetml.worksheet+xml" PartName="/xl/worksheets/sheet25319.xml"/>
  <Override ContentType="application/vnd.openxmlformats-officedocument.spreadsheetml.worksheet+xml" PartName="/xl/worksheets/sheet25320.xml"/>
  <Override ContentType="application/vnd.openxmlformats-officedocument.spreadsheetml.worksheet+xml" PartName="/xl/worksheets/sheet25321.xml"/>
  <Override ContentType="application/vnd.openxmlformats-officedocument.spreadsheetml.worksheet+xml" PartName="/xl/worksheets/sheet25322.xml"/>
  <Override ContentType="application/vnd.openxmlformats-officedocument.spreadsheetml.worksheet+xml" PartName="/xl/worksheets/sheet25323.xml"/>
  <Override ContentType="application/vnd.openxmlformats-officedocument.spreadsheetml.worksheet+xml" PartName="/xl/worksheets/sheet25324.xml"/>
  <Override ContentType="application/vnd.openxmlformats-officedocument.spreadsheetml.worksheet+xml" PartName="/xl/worksheets/sheet25325.xml"/>
  <Override ContentType="application/vnd.openxmlformats-officedocument.spreadsheetml.worksheet+xml" PartName="/xl/worksheets/sheet25326.xml"/>
  <Override ContentType="application/vnd.openxmlformats-officedocument.spreadsheetml.worksheet+xml" PartName="/xl/worksheets/sheet25327.xml"/>
  <Override ContentType="application/vnd.openxmlformats-officedocument.spreadsheetml.worksheet+xml" PartName="/xl/worksheets/sheet25328.xml"/>
  <Override ContentType="application/vnd.openxmlformats-officedocument.spreadsheetml.worksheet+xml" PartName="/xl/worksheets/sheet25329.xml"/>
  <Override ContentType="application/vnd.openxmlformats-officedocument.spreadsheetml.worksheet+xml" PartName="/xl/worksheets/sheet25330.xml"/>
  <Override ContentType="application/vnd.openxmlformats-officedocument.spreadsheetml.worksheet+xml" PartName="/xl/worksheets/sheet25331.xml"/>
  <Override ContentType="application/vnd.openxmlformats-officedocument.spreadsheetml.worksheet+xml" PartName="/xl/worksheets/sheet25332.xml"/>
  <Override ContentType="application/vnd.openxmlformats-officedocument.spreadsheetml.worksheet+xml" PartName="/xl/worksheets/sheet25333.xml"/>
  <Override ContentType="application/vnd.openxmlformats-officedocument.spreadsheetml.worksheet+xml" PartName="/xl/worksheets/sheet25334.xml"/>
  <Override ContentType="application/vnd.openxmlformats-officedocument.spreadsheetml.worksheet+xml" PartName="/xl/worksheets/sheet25335.xml"/>
  <Override ContentType="application/vnd.openxmlformats-officedocument.spreadsheetml.worksheet+xml" PartName="/xl/worksheets/sheet25336.xml"/>
  <Override ContentType="application/vnd.openxmlformats-officedocument.spreadsheetml.worksheet+xml" PartName="/xl/worksheets/sheet25337.xml"/>
  <Override ContentType="application/vnd.openxmlformats-officedocument.spreadsheetml.worksheet+xml" PartName="/xl/worksheets/sheet25338.xml"/>
  <Override ContentType="application/vnd.openxmlformats-officedocument.spreadsheetml.worksheet+xml" PartName="/xl/worksheets/sheet25339.xml"/>
  <Override ContentType="application/vnd.openxmlformats-officedocument.spreadsheetml.worksheet+xml" PartName="/xl/worksheets/sheet25340.xml"/>
  <Override ContentType="application/vnd.openxmlformats-officedocument.spreadsheetml.worksheet+xml" PartName="/xl/worksheets/sheet25341.xml"/>
  <Override ContentType="application/vnd.openxmlformats-officedocument.spreadsheetml.worksheet+xml" PartName="/xl/worksheets/sheet25342.xml"/>
  <Override ContentType="application/vnd.openxmlformats-officedocument.spreadsheetml.worksheet+xml" PartName="/xl/worksheets/sheet25343.xml"/>
  <Override ContentType="application/vnd.openxmlformats-officedocument.spreadsheetml.worksheet+xml" PartName="/xl/worksheets/sheet25344.xml"/>
  <Override ContentType="application/vnd.openxmlformats-officedocument.spreadsheetml.worksheet+xml" PartName="/xl/worksheets/sheet25345.xml"/>
  <Override ContentType="application/vnd.openxmlformats-officedocument.spreadsheetml.worksheet+xml" PartName="/xl/worksheets/sheet25346.xml"/>
  <Override ContentType="application/vnd.openxmlformats-officedocument.spreadsheetml.worksheet+xml" PartName="/xl/worksheets/sheet25347.xml"/>
  <Override ContentType="application/vnd.openxmlformats-officedocument.spreadsheetml.worksheet+xml" PartName="/xl/worksheets/sheet25348.xml"/>
  <Override ContentType="application/vnd.openxmlformats-officedocument.spreadsheetml.worksheet+xml" PartName="/xl/worksheets/sheet25349.xml"/>
  <Override ContentType="application/vnd.openxmlformats-officedocument.spreadsheetml.worksheet+xml" PartName="/xl/worksheets/sheet25350.xml"/>
  <Override ContentType="application/vnd.openxmlformats-officedocument.spreadsheetml.worksheet+xml" PartName="/xl/worksheets/sheet25351.xml"/>
  <Override ContentType="application/vnd.openxmlformats-officedocument.spreadsheetml.worksheet+xml" PartName="/xl/worksheets/sheet25352.xml"/>
  <Override ContentType="application/vnd.openxmlformats-officedocument.spreadsheetml.worksheet+xml" PartName="/xl/worksheets/sheet25353.xml"/>
  <Override ContentType="application/vnd.openxmlformats-officedocument.spreadsheetml.worksheet+xml" PartName="/xl/worksheets/sheet25354.xml"/>
  <Override ContentType="application/vnd.openxmlformats-officedocument.spreadsheetml.worksheet+xml" PartName="/xl/worksheets/sheet25355.xml"/>
  <Override ContentType="application/vnd.openxmlformats-officedocument.spreadsheetml.worksheet+xml" PartName="/xl/worksheets/sheet25356.xml"/>
  <Override ContentType="application/vnd.openxmlformats-officedocument.spreadsheetml.worksheet+xml" PartName="/xl/worksheets/sheet25357.xml"/>
  <Override ContentType="application/vnd.openxmlformats-officedocument.spreadsheetml.worksheet+xml" PartName="/xl/worksheets/sheet25358.xml"/>
  <Override ContentType="application/vnd.openxmlformats-officedocument.spreadsheetml.worksheet+xml" PartName="/xl/worksheets/sheet25359.xml"/>
  <Override ContentType="application/vnd.openxmlformats-officedocument.spreadsheetml.worksheet+xml" PartName="/xl/worksheets/sheet25360.xml"/>
  <Override ContentType="application/vnd.openxmlformats-officedocument.spreadsheetml.worksheet+xml" PartName="/xl/worksheets/sheet25361.xml"/>
  <Override ContentType="application/vnd.openxmlformats-officedocument.spreadsheetml.worksheet+xml" PartName="/xl/worksheets/sheet25362.xml"/>
  <Override ContentType="application/vnd.openxmlformats-officedocument.spreadsheetml.worksheet+xml" PartName="/xl/worksheets/sheet25363.xml"/>
  <Override ContentType="application/vnd.openxmlformats-officedocument.spreadsheetml.worksheet+xml" PartName="/xl/worksheets/sheet25364.xml"/>
  <Override ContentType="application/vnd.openxmlformats-officedocument.spreadsheetml.worksheet+xml" PartName="/xl/worksheets/sheet25365.xml"/>
  <Override ContentType="application/vnd.openxmlformats-officedocument.spreadsheetml.worksheet+xml" PartName="/xl/worksheets/sheet25366.xml"/>
  <Override ContentType="application/vnd.openxmlformats-officedocument.spreadsheetml.worksheet+xml" PartName="/xl/worksheets/sheet25367.xml"/>
  <Override ContentType="application/vnd.openxmlformats-officedocument.spreadsheetml.worksheet+xml" PartName="/xl/worksheets/sheet25368.xml"/>
  <Override ContentType="application/vnd.openxmlformats-officedocument.spreadsheetml.worksheet+xml" PartName="/xl/worksheets/sheet25369.xml"/>
  <Override ContentType="application/vnd.openxmlformats-officedocument.spreadsheetml.worksheet+xml" PartName="/xl/worksheets/sheet25370.xml"/>
  <Override ContentType="application/vnd.openxmlformats-officedocument.spreadsheetml.worksheet+xml" PartName="/xl/worksheets/sheet25371.xml"/>
  <Override ContentType="application/vnd.openxmlformats-officedocument.spreadsheetml.worksheet+xml" PartName="/xl/worksheets/sheet25372.xml"/>
  <Override ContentType="application/vnd.openxmlformats-officedocument.spreadsheetml.worksheet+xml" PartName="/xl/worksheets/sheet25373.xml"/>
  <Override ContentType="application/vnd.openxmlformats-officedocument.spreadsheetml.worksheet+xml" PartName="/xl/worksheets/sheet25374.xml"/>
  <Override ContentType="application/vnd.openxmlformats-officedocument.spreadsheetml.worksheet+xml" PartName="/xl/worksheets/sheet25375.xml"/>
  <Override ContentType="application/vnd.openxmlformats-officedocument.spreadsheetml.worksheet+xml" PartName="/xl/worksheets/sheet25376.xml"/>
  <Override ContentType="application/vnd.openxmlformats-officedocument.spreadsheetml.worksheet+xml" PartName="/xl/worksheets/sheet25377.xml"/>
  <Override ContentType="application/vnd.openxmlformats-officedocument.spreadsheetml.worksheet+xml" PartName="/xl/worksheets/sheet25378.xml"/>
  <Override ContentType="application/vnd.openxmlformats-officedocument.spreadsheetml.worksheet+xml" PartName="/xl/worksheets/sheet25379.xml"/>
  <Override ContentType="application/vnd.openxmlformats-officedocument.spreadsheetml.worksheet+xml" PartName="/xl/worksheets/sheet25380.xml"/>
  <Override ContentType="application/vnd.openxmlformats-officedocument.spreadsheetml.worksheet+xml" PartName="/xl/worksheets/sheet25381.xml"/>
  <Override ContentType="application/vnd.openxmlformats-officedocument.spreadsheetml.worksheet+xml" PartName="/xl/worksheets/sheet25382.xml"/>
  <Override ContentType="application/vnd.openxmlformats-officedocument.spreadsheetml.worksheet+xml" PartName="/xl/worksheets/sheet25383.xml"/>
  <Override ContentType="application/vnd.openxmlformats-officedocument.spreadsheetml.worksheet+xml" PartName="/xl/worksheets/sheet25384.xml"/>
  <Override ContentType="application/vnd.openxmlformats-officedocument.spreadsheetml.worksheet+xml" PartName="/xl/worksheets/sheet25385.xml"/>
  <Override ContentType="application/vnd.openxmlformats-officedocument.spreadsheetml.worksheet+xml" PartName="/xl/worksheets/sheet25386.xml"/>
  <Override ContentType="application/vnd.openxmlformats-officedocument.spreadsheetml.worksheet+xml" PartName="/xl/worksheets/sheet25387.xml"/>
  <Override ContentType="application/vnd.openxmlformats-officedocument.spreadsheetml.worksheet+xml" PartName="/xl/worksheets/sheet25388.xml"/>
  <Override ContentType="application/vnd.openxmlformats-officedocument.spreadsheetml.worksheet+xml" PartName="/xl/worksheets/sheet25389.xml"/>
  <Override ContentType="application/vnd.openxmlformats-officedocument.spreadsheetml.worksheet+xml" PartName="/xl/worksheets/sheet25390.xml"/>
  <Override ContentType="application/vnd.openxmlformats-officedocument.spreadsheetml.worksheet+xml" PartName="/xl/worksheets/sheet25391.xml"/>
  <Override ContentType="application/vnd.openxmlformats-officedocument.spreadsheetml.worksheet+xml" PartName="/xl/worksheets/sheet25392.xml"/>
  <Override ContentType="application/vnd.openxmlformats-officedocument.spreadsheetml.worksheet+xml" PartName="/xl/worksheets/sheet25393.xml"/>
  <Override ContentType="application/vnd.openxmlformats-officedocument.spreadsheetml.worksheet+xml" PartName="/xl/worksheets/sheet25394.xml"/>
  <Override ContentType="application/vnd.openxmlformats-officedocument.spreadsheetml.worksheet+xml" PartName="/xl/worksheets/sheet25395.xml"/>
  <Override ContentType="application/vnd.openxmlformats-officedocument.spreadsheetml.worksheet+xml" PartName="/xl/worksheets/sheet25396.xml"/>
  <Override ContentType="application/vnd.openxmlformats-officedocument.spreadsheetml.worksheet+xml" PartName="/xl/worksheets/sheet25397.xml"/>
  <Override ContentType="application/vnd.openxmlformats-officedocument.spreadsheetml.worksheet+xml" PartName="/xl/worksheets/sheet25398.xml"/>
  <Override ContentType="application/vnd.openxmlformats-officedocument.spreadsheetml.worksheet+xml" PartName="/xl/worksheets/sheet25399.xml"/>
  <Override ContentType="application/vnd.openxmlformats-officedocument.spreadsheetml.worksheet+xml" PartName="/xl/worksheets/sheet25400.xml"/>
  <Override ContentType="application/vnd.openxmlformats-officedocument.spreadsheetml.worksheet+xml" PartName="/xl/worksheets/sheet25401.xml"/>
  <Override ContentType="application/vnd.openxmlformats-officedocument.spreadsheetml.worksheet+xml" PartName="/xl/worksheets/sheet25402.xml"/>
  <Override ContentType="application/vnd.openxmlformats-officedocument.spreadsheetml.worksheet+xml" PartName="/xl/worksheets/sheet25403.xml"/>
  <Override ContentType="application/vnd.openxmlformats-officedocument.spreadsheetml.worksheet+xml" PartName="/xl/worksheets/sheet25404.xml"/>
  <Override ContentType="application/vnd.openxmlformats-officedocument.spreadsheetml.worksheet+xml" PartName="/xl/worksheets/sheet25405.xml"/>
  <Override ContentType="application/vnd.openxmlformats-officedocument.spreadsheetml.worksheet+xml" PartName="/xl/worksheets/sheet25406.xml"/>
  <Override ContentType="application/vnd.openxmlformats-officedocument.spreadsheetml.worksheet+xml" PartName="/xl/worksheets/sheet25407.xml"/>
  <Override ContentType="application/vnd.openxmlformats-officedocument.spreadsheetml.worksheet+xml" PartName="/xl/worksheets/sheet25408.xml"/>
  <Override ContentType="application/vnd.openxmlformats-officedocument.spreadsheetml.worksheet+xml" PartName="/xl/worksheets/sheet25409.xml"/>
  <Override ContentType="application/vnd.openxmlformats-officedocument.spreadsheetml.worksheet+xml" PartName="/xl/worksheets/sheet25410.xml"/>
  <Override ContentType="application/vnd.openxmlformats-officedocument.spreadsheetml.worksheet+xml" PartName="/xl/worksheets/sheet25411.xml"/>
  <Override ContentType="application/vnd.openxmlformats-officedocument.spreadsheetml.worksheet+xml" PartName="/xl/worksheets/sheet25412.xml"/>
  <Override ContentType="application/vnd.openxmlformats-officedocument.spreadsheetml.worksheet+xml" PartName="/xl/worksheets/sheet25413.xml"/>
  <Override ContentType="application/vnd.openxmlformats-officedocument.spreadsheetml.worksheet+xml" PartName="/xl/worksheets/sheet25414.xml"/>
  <Override ContentType="application/vnd.openxmlformats-officedocument.spreadsheetml.worksheet+xml" PartName="/xl/worksheets/sheet25415.xml"/>
  <Override ContentType="application/vnd.openxmlformats-officedocument.spreadsheetml.worksheet+xml" PartName="/xl/worksheets/sheet25416.xml"/>
  <Override ContentType="application/vnd.openxmlformats-officedocument.spreadsheetml.worksheet+xml" PartName="/xl/worksheets/sheet25417.xml"/>
  <Override ContentType="application/vnd.openxmlformats-officedocument.spreadsheetml.worksheet+xml" PartName="/xl/worksheets/sheet25418.xml"/>
  <Override ContentType="application/vnd.openxmlformats-officedocument.spreadsheetml.worksheet+xml" PartName="/xl/worksheets/sheet25419.xml"/>
  <Override ContentType="application/vnd.openxmlformats-officedocument.spreadsheetml.worksheet+xml" PartName="/xl/worksheets/sheet25420.xml"/>
  <Override ContentType="application/vnd.openxmlformats-officedocument.spreadsheetml.worksheet+xml" PartName="/xl/worksheets/sheet25421.xml"/>
  <Override ContentType="application/vnd.openxmlformats-officedocument.spreadsheetml.worksheet+xml" PartName="/xl/worksheets/sheet25422.xml"/>
  <Override ContentType="application/vnd.openxmlformats-officedocument.spreadsheetml.worksheet+xml" PartName="/xl/worksheets/sheet25423.xml"/>
  <Override ContentType="application/vnd.openxmlformats-officedocument.spreadsheetml.worksheet+xml" PartName="/xl/worksheets/sheet25424.xml"/>
  <Override ContentType="application/vnd.openxmlformats-officedocument.spreadsheetml.worksheet+xml" PartName="/xl/worksheets/sheet25425.xml"/>
  <Override ContentType="application/vnd.openxmlformats-officedocument.spreadsheetml.worksheet+xml" PartName="/xl/worksheets/sheet25426.xml"/>
  <Override ContentType="application/vnd.openxmlformats-officedocument.spreadsheetml.worksheet+xml" PartName="/xl/worksheets/sheet25427.xml"/>
  <Override ContentType="application/vnd.openxmlformats-officedocument.spreadsheetml.worksheet+xml" PartName="/xl/worksheets/sheet25428.xml"/>
  <Override ContentType="application/vnd.openxmlformats-officedocument.spreadsheetml.worksheet+xml" PartName="/xl/worksheets/sheet25429.xml"/>
  <Override ContentType="application/vnd.openxmlformats-officedocument.spreadsheetml.worksheet+xml" PartName="/xl/worksheets/sheet25430.xml"/>
  <Override ContentType="application/vnd.openxmlformats-officedocument.spreadsheetml.worksheet+xml" PartName="/xl/worksheets/sheet25431.xml"/>
  <Override ContentType="application/vnd.openxmlformats-officedocument.spreadsheetml.worksheet+xml" PartName="/xl/worksheets/sheet25432.xml"/>
  <Override ContentType="application/vnd.openxmlformats-officedocument.spreadsheetml.worksheet+xml" PartName="/xl/worksheets/sheet25433.xml"/>
  <Override ContentType="application/vnd.openxmlformats-officedocument.spreadsheetml.worksheet+xml" PartName="/xl/worksheets/sheet25434.xml"/>
  <Override ContentType="application/vnd.openxmlformats-officedocument.spreadsheetml.worksheet+xml" PartName="/xl/worksheets/sheet25435.xml"/>
  <Override ContentType="application/vnd.openxmlformats-officedocument.spreadsheetml.worksheet+xml" PartName="/xl/worksheets/sheet25436.xml"/>
  <Override ContentType="application/vnd.openxmlformats-officedocument.spreadsheetml.worksheet+xml" PartName="/xl/worksheets/sheet25437.xml"/>
  <Override ContentType="application/vnd.openxmlformats-officedocument.spreadsheetml.worksheet+xml" PartName="/xl/worksheets/sheet25438.xml"/>
  <Override ContentType="application/vnd.openxmlformats-officedocument.spreadsheetml.worksheet+xml" PartName="/xl/worksheets/sheet25439.xml"/>
  <Override ContentType="application/vnd.openxmlformats-officedocument.spreadsheetml.worksheet+xml" PartName="/xl/worksheets/sheet25440.xml"/>
  <Override ContentType="application/vnd.openxmlformats-officedocument.spreadsheetml.worksheet+xml" PartName="/xl/worksheets/sheet25441.xml"/>
  <Override ContentType="application/vnd.openxmlformats-officedocument.spreadsheetml.worksheet+xml" PartName="/xl/worksheets/sheet25442.xml"/>
  <Override ContentType="application/vnd.openxmlformats-officedocument.spreadsheetml.worksheet+xml" PartName="/xl/worksheets/sheet25443.xml"/>
  <Override ContentType="application/vnd.openxmlformats-officedocument.spreadsheetml.worksheet+xml" PartName="/xl/worksheets/sheet25444.xml"/>
  <Override ContentType="application/vnd.openxmlformats-officedocument.spreadsheetml.worksheet+xml" PartName="/xl/worksheets/sheet25445.xml"/>
  <Override ContentType="application/vnd.openxmlformats-officedocument.spreadsheetml.worksheet+xml" PartName="/xl/worksheets/sheet25446.xml"/>
  <Override ContentType="application/vnd.openxmlformats-officedocument.spreadsheetml.worksheet+xml" PartName="/xl/worksheets/sheet25447.xml"/>
  <Override ContentType="application/vnd.openxmlformats-officedocument.spreadsheetml.worksheet+xml" PartName="/xl/worksheets/sheet25448.xml"/>
  <Override ContentType="application/vnd.openxmlformats-officedocument.spreadsheetml.worksheet+xml" PartName="/xl/worksheets/sheet25449.xml"/>
  <Override ContentType="application/vnd.openxmlformats-officedocument.spreadsheetml.worksheet+xml" PartName="/xl/worksheets/sheet25450.xml"/>
  <Override ContentType="application/vnd.openxmlformats-officedocument.spreadsheetml.worksheet+xml" PartName="/xl/worksheets/sheet25451.xml"/>
  <Override ContentType="application/vnd.openxmlformats-officedocument.spreadsheetml.worksheet+xml" PartName="/xl/worksheets/sheet25452.xml"/>
  <Override ContentType="application/vnd.openxmlformats-officedocument.spreadsheetml.worksheet+xml" PartName="/xl/worksheets/sheet25453.xml"/>
  <Override ContentType="application/vnd.openxmlformats-officedocument.spreadsheetml.worksheet+xml" PartName="/xl/worksheets/sheet25454.xml"/>
  <Override ContentType="application/vnd.openxmlformats-officedocument.spreadsheetml.worksheet+xml" PartName="/xl/worksheets/sheet25455.xml"/>
  <Override ContentType="application/vnd.openxmlformats-officedocument.spreadsheetml.worksheet+xml" PartName="/xl/worksheets/sheet25456.xml"/>
  <Override ContentType="application/vnd.openxmlformats-officedocument.spreadsheetml.worksheet+xml" PartName="/xl/worksheets/sheet25457.xml"/>
  <Override ContentType="application/vnd.openxmlformats-officedocument.spreadsheetml.worksheet+xml" PartName="/xl/worksheets/sheet25458.xml"/>
  <Override ContentType="application/vnd.openxmlformats-officedocument.spreadsheetml.worksheet+xml" PartName="/xl/worksheets/sheet25459.xml"/>
  <Override ContentType="application/vnd.openxmlformats-officedocument.spreadsheetml.worksheet+xml" PartName="/xl/worksheets/sheet25460.xml"/>
  <Override ContentType="application/vnd.openxmlformats-officedocument.spreadsheetml.worksheet+xml" PartName="/xl/worksheets/sheet25461.xml"/>
  <Override ContentType="application/vnd.openxmlformats-officedocument.spreadsheetml.worksheet+xml" PartName="/xl/worksheets/sheet25462.xml"/>
  <Override ContentType="application/vnd.openxmlformats-officedocument.spreadsheetml.worksheet+xml" PartName="/xl/worksheets/sheet25463.xml"/>
  <Override ContentType="application/vnd.openxmlformats-officedocument.spreadsheetml.worksheet+xml" PartName="/xl/worksheets/sheet25464.xml"/>
  <Override ContentType="application/vnd.openxmlformats-officedocument.spreadsheetml.worksheet+xml" PartName="/xl/worksheets/sheet25465.xml"/>
  <Override ContentType="application/vnd.openxmlformats-officedocument.spreadsheetml.worksheet+xml" PartName="/xl/worksheets/sheet25466.xml"/>
  <Override ContentType="application/vnd.openxmlformats-officedocument.spreadsheetml.worksheet+xml" PartName="/xl/worksheets/sheet25467.xml"/>
  <Override ContentType="application/vnd.openxmlformats-officedocument.spreadsheetml.worksheet+xml" PartName="/xl/worksheets/sheet25468.xml"/>
  <Override ContentType="application/vnd.openxmlformats-officedocument.spreadsheetml.worksheet+xml" PartName="/xl/worksheets/sheet25469.xml"/>
  <Override ContentType="application/vnd.openxmlformats-officedocument.spreadsheetml.worksheet+xml" PartName="/xl/worksheets/sheet25470.xml"/>
  <Override ContentType="application/vnd.openxmlformats-officedocument.spreadsheetml.worksheet+xml" PartName="/xl/worksheets/sheet25471.xml"/>
  <Override ContentType="application/vnd.openxmlformats-officedocument.spreadsheetml.worksheet+xml" PartName="/xl/worksheets/sheet25472.xml"/>
  <Override ContentType="application/vnd.openxmlformats-officedocument.spreadsheetml.worksheet+xml" PartName="/xl/worksheets/sheet25473.xml"/>
  <Override ContentType="application/vnd.openxmlformats-officedocument.spreadsheetml.worksheet+xml" PartName="/xl/worksheets/sheet25474.xml"/>
  <Override ContentType="application/vnd.openxmlformats-officedocument.spreadsheetml.worksheet+xml" PartName="/xl/worksheets/sheet25475.xml"/>
  <Override ContentType="application/vnd.openxmlformats-officedocument.spreadsheetml.worksheet+xml" PartName="/xl/worksheets/sheet25476.xml"/>
  <Override ContentType="application/vnd.openxmlformats-officedocument.spreadsheetml.worksheet+xml" PartName="/xl/worksheets/sheet25477.xml"/>
  <Override ContentType="application/vnd.openxmlformats-officedocument.spreadsheetml.worksheet+xml" PartName="/xl/worksheets/sheet25478.xml"/>
  <Override ContentType="application/vnd.openxmlformats-officedocument.spreadsheetml.worksheet+xml" PartName="/xl/worksheets/sheet25479.xml"/>
  <Override ContentType="application/vnd.openxmlformats-officedocument.spreadsheetml.worksheet+xml" PartName="/xl/worksheets/sheet25480.xml"/>
  <Override ContentType="application/vnd.openxmlformats-officedocument.spreadsheetml.worksheet+xml" PartName="/xl/worksheets/sheet25481.xml"/>
  <Override ContentType="application/vnd.openxmlformats-officedocument.spreadsheetml.worksheet+xml" PartName="/xl/worksheets/sheet25482.xml"/>
  <Override ContentType="application/vnd.openxmlformats-officedocument.spreadsheetml.worksheet+xml" PartName="/xl/worksheets/sheet25483.xml"/>
  <Override ContentType="application/vnd.openxmlformats-officedocument.spreadsheetml.worksheet+xml" PartName="/xl/worksheets/sheet25484.xml"/>
  <Override ContentType="application/vnd.openxmlformats-officedocument.spreadsheetml.worksheet+xml" PartName="/xl/worksheets/sheet25485.xml"/>
  <Override ContentType="application/vnd.openxmlformats-officedocument.spreadsheetml.worksheet+xml" PartName="/xl/worksheets/sheet25486.xml"/>
  <Override ContentType="application/vnd.openxmlformats-officedocument.spreadsheetml.worksheet+xml" PartName="/xl/worksheets/sheet25487.xml"/>
  <Override ContentType="application/vnd.openxmlformats-officedocument.spreadsheetml.worksheet+xml" PartName="/xl/worksheets/sheet25488.xml"/>
  <Override ContentType="application/vnd.openxmlformats-officedocument.spreadsheetml.worksheet+xml" PartName="/xl/worksheets/sheet25489.xml"/>
  <Override ContentType="application/vnd.openxmlformats-officedocument.spreadsheetml.worksheet+xml" PartName="/xl/worksheets/sheet25490.xml"/>
  <Override ContentType="application/vnd.openxmlformats-officedocument.spreadsheetml.worksheet+xml" PartName="/xl/worksheets/sheet25491.xml"/>
  <Override ContentType="application/vnd.openxmlformats-officedocument.spreadsheetml.worksheet+xml" PartName="/xl/worksheets/sheet25492.xml"/>
  <Override ContentType="application/vnd.openxmlformats-officedocument.spreadsheetml.worksheet+xml" PartName="/xl/worksheets/sheet25493.xml"/>
  <Override ContentType="application/vnd.openxmlformats-officedocument.spreadsheetml.worksheet+xml" PartName="/xl/worksheets/sheet25494.xml"/>
  <Override ContentType="application/vnd.openxmlformats-officedocument.spreadsheetml.worksheet+xml" PartName="/xl/worksheets/sheet25495.xml"/>
  <Override ContentType="application/vnd.openxmlformats-officedocument.spreadsheetml.worksheet+xml" PartName="/xl/worksheets/sheet25496.xml"/>
  <Override ContentType="application/vnd.openxmlformats-officedocument.spreadsheetml.worksheet+xml" PartName="/xl/worksheets/sheet25497.xml"/>
  <Override ContentType="application/vnd.openxmlformats-officedocument.spreadsheetml.worksheet+xml" PartName="/xl/worksheets/sheet25498.xml"/>
  <Override ContentType="application/vnd.openxmlformats-officedocument.spreadsheetml.worksheet+xml" PartName="/xl/worksheets/sheet25499.xml"/>
  <Override ContentType="application/vnd.openxmlformats-officedocument.spreadsheetml.worksheet+xml" PartName="/xl/worksheets/sheet25500.xml"/>
  <Override ContentType="application/vnd.openxmlformats-officedocument.spreadsheetml.worksheet+xml" PartName="/xl/worksheets/sheet25501.xml"/>
  <Override ContentType="application/vnd.openxmlformats-officedocument.spreadsheetml.worksheet+xml" PartName="/xl/worksheets/sheet25502.xml"/>
  <Override ContentType="application/vnd.openxmlformats-officedocument.spreadsheetml.worksheet+xml" PartName="/xl/worksheets/sheet25503.xml"/>
  <Override ContentType="application/vnd.openxmlformats-officedocument.spreadsheetml.worksheet+xml" PartName="/xl/worksheets/sheet25504.xml"/>
  <Override ContentType="application/vnd.openxmlformats-officedocument.spreadsheetml.worksheet+xml" PartName="/xl/worksheets/sheet25505.xml"/>
  <Override ContentType="application/vnd.openxmlformats-officedocument.spreadsheetml.worksheet+xml" PartName="/xl/worksheets/sheet25506.xml"/>
  <Override ContentType="application/vnd.openxmlformats-officedocument.spreadsheetml.worksheet+xml" PartName="/xl/worksheets/sheet25507.xml"/>
  <Override ContentType="application/vnd.openxmlformats-officedocument.spreadsheetml.worksheet+xml" PartName="/xl/worksheets/sheet25508.xml"/>
  <Override ContentType="application/vnd.openxmlformats-officedocument.spreadsheetml.worksheet+xml" PartName="/xl/worksheets/sheet25509.xml"/>
  <Override ContentType="application/vnd.openxmlformats-officedocument.spreadsheetml.worksheet+xml" PartName="/xl/worksheets/sheet25510.xml"/>
  <Override ContentType="application/vnd.openxmlformats-officedocument.spreadsheetml.worksheet+xml" PartName="/xl/worksheets/sheet25511.xml"/>
  <Override ContentType="application/vnd.openxmlformats-officedocument.spreadsheetml.worksheet+xml" PartName="/xl/worksheets/sheet25512.xml"/>
  <Override ContentType="application/vnd.openxmlformats-officedocument.spreadsheetml.worksheet+xml" PartName="/xl/worksheets/sheet25513.xml"/>
  <Override ContentType="application/vnd.openxmlformats-officedocument.spreadsheetml.worksheet+xml" PartName="/xl/worksheets/sheet25514.xml"/>
  <Override ContentType="application/vnd.openxmlformats-officedocument.spreadsheetml.worksheet+xml" PartName="/xl/worksheets/sheet25515.xml"/>
  <Override ContentType="application/vnd.openxmlformats-officedocument.spreadsheetml.worksheet+xml" PartName="/xl/worksheets/sheet25516.xml"/>
  <Override ContentType="application/vnd.openxmlformats-officedocument.spreadsheetml.worksheet+xml" PartName="/xl/worksheets/sheet25517.xml"/>
  <Override ContentType="application/vnd.openxmlformats-officedocument.spreadsheetml.worksheet+xml" PartName="/xl/worksheets/sheet25518.xml"/>
  <Override ContentType="application/vnd.openxmlformats-officedocument.spreadsheetml.worksheet+xml" PartName="/xl/worksheets/sheet25519.xml"/>
  <Override ContentType="application/vnd.openxmlformats-officedocument.spreadsheetml.worksheet+xml" PartName="/xl/worksheets/sheet25520.xml"/>
  <Override ContentType="application/vnd.openxmlformats-officedocument.spreadsheetml.worksheet+xml" PartName="/xl/worksheets/sheet25521.xml"/>
  <Override ContentType="application/vnd.openxmlformats-officedocument.spreadsheetml.worksheet+xml" PartName="/xl/worksheets/sheet25522.xml"/>
  <Override ContentType="application/vnd.openxmlformats-officedocument.spreadsheetml.worksheet+xml" PartName="/xl/worksheets/sheet25523.xml"/>
  <Override ContentType="application/vnd.openxmlformats-officedocument.spreadsheetml.worksheet+xml" PartName="/xl/worksheets/sheet25524.xml"/>
  <Override ContentType="application/vnd.openxmlformats-officedocument.spreadsheetml.worksheet+xml" PartName="/xl/worksheets/sheet25525.xml"/>
  <Override ContentType="application/vnd.openxmlformats-officedocument.spreadsheetml.worksheet+xml" PartName="/xl/worksheets/sheet25526.xml"/>
  <Override ContentType="application/vnd.openxmlformats-officedocument.spreadsheetml.worksheet+xml" PartName="/xl/worksheets/sheet25527.xml"/>
  <Override ContentType="application/vnd.openxmlformats-officedocument.spreadsheetml.worksheet+xml" PartName="/xl/worksheets/sheet25528.xml"/>
  <Override ContentType="application/vnd.openxmlformats-officedocument.spreadsheetml.worksheet+xml" PartName="/xl/worksheets/sheet25529.xml"/>
  <Override ContentType="application/vnd.openxmlformats-officedocument.spreadsheetml.worksheet+xml" PartName="/xl/worksheets/sheet25530.xml"/>
  <Override ContentType="application/vnd.openxmlformats-officedocument.spreadsheetml.worksheet+xml" PartName="/xl/worksheets/sheet25531.xml"/>
  <Override ContentType="application/vnd.openxmlformats-officedocument.spreadsheetml.worksheet+xml" PartName="/xl/worksheets/sheet25532.xml"/>
  <Override ContentType="application/vnd.openxmlformats-officedocument.spreadsheetml.worksheet+xml" PartName="/xl/worksheets/sheet25533.xml"/>
  <Override ContentType="application/vnd.openxmlformats-officedocument.spreadsheetml.worksheet+xml" PartName="/xl/worksheets/sheet25534.xml"/>
  <Override ContentType="application/vnd.openxmlformats-officedocument.spreadsheetml.worksheet+xml" PartName="/xl/worksheets/sheet25535.xml"/>
  <Override ContentType="application/vnd.openxmlformats-officedocument.spreadsheetml.worksheet+xml" PartName="/xl/worksheets/sheet25536.xml"/>
  <Override ContentType="application/vnd.openxmlformats-officedocument.spreadsheetml.worksheet+xml" PartName="/xl/worksheets/sheet25537.xml"/>
  <Override ContentType="application/vnd.openxmlformats-officedocument.spreadsheetml.worksheet+xml" PartName="/xl/worksheets/sheet25538.xml"/>
  <Override ContentType="application/vnd.openxmlformats-officedocument.spreadsheetml.worksheet+xml" PartName="/xl/worksheets/sheet25539.xml"/>
  <Override ContentType="application/vnd.openxmlformats-officedocument.spreadsheetml.worksheet+xml" PartName="/xl/worksheets/sheet25540.xml"/>
  <Override ContentType="application/vnd.openxmlformats-officedocument.spreadsheetml.worksheet+xml" PartName="/xl/worksheets/sheet25541.xml"/>
  <Override ContentType="application/vnd.openxmlformats-officedocument.spreadsheetml.worksheet+xml" PartName="/xl/worksheets/sheet25542.xml"/>
  <Override ContentType="application/vnd.openxmlformats-officedocument.spreadsheetml.worksheet+xml" PartName="/xl/worksheets/sheet25543.xml"/>
  <Override ContentType="application/vnd.openxmlformats-officedocument.spreadsheetml.worksheet+xml" PartName="/xl/worksheets/sheet25544.xml"/>
  <Override ContentType="application/vnd.openxmlformats-officedocument.spreadsheetml.worksheet+xml" PartName="/xl/worksheets/sheet25545.xml"/>
  <Override ContentType="application/vnd.openxmlformats-officedocument.spreadsheetml.worksheet+xml" PartName="/xl/worksheets/sheet25546.xml"/>
  <Override ContentType="application/vnd.openxmlformats-officedocument.spreadsheetml.worksheet+xml" PartName="/xl/worksheets/sheet25547.xml"/>
  <Override ContentType="application/vnd.openxmlformats-officedocument.spreadsheetml.worksheet+xml" PartName="/xl/worksheets/sheet25548.xml"/>
  <Override ContentType="application/vnd.openxmlformats-officedocument.spreadsheetml.worksheet+xml" PartName="/xl/worksheets/sheet25549.xml"/>
  <Override ContentType="application/vnd.openxmlformats-officedocument.spreadsheetml.worksheet+xml" PartName="/xl/worksheets/sheet25550.xml"/>
  <Override ContentType="application/vnd.openxmlformats-officedocument.spreadsheetml.worksheet+xml" PartName="/xl/worksheets/sheet25551.xml"/>
  <Override ContentType="application/vnd.openxmlformats-officedocument.spreadsheetml.worksheet+xml" PartName="/xl/worksheets/sheet25552.xml"/>
  <Override ContentType="application/vnd.openxmlformats-officedocument.spreadsheetml.worksheet+xml" PartName="/xl/worksheets/sheet25553.xml"/>
  <Override ContentType="application/vnd.openxmlformats-officedocument.spreadsheetml.worksheet+xml" PartName="/xl/worksheets/sheet25554.xml"/>
  <Override ContentType="application/vnd.openxmlformats-officedocument.spreadsheetml.worksheet+xml" PartName="/xl/worksheets/sheet25555.xml"/>
  <Override ContentType="application/vnd.openxmlformats-officedocument.spreadsheetml.worksheet+xml" PartName="/xl/worksheets/sheet25556.xml"/>
  <Override ContentType="application/vnd.openxmlformats-officedocument.spreadsheetml.worksheet+xml" PartName="/xl/worksheets/sheet25557.xml"/>
  <Override ContentType="application/vnd.openxmlformats-officedocument.spreadsheetml.worksheet+xml" PartName="/xl/worksheets/sheet25558.xml"/>
  <Override ContentType="application/vnd.openxmlformats-officedocument.spreadsheetml.worksheet+xml" PartName="/xl/worksheets/sheet25559.xml"/>
  <Override ContentType="application/vnd.openxmlformats-officedocument.spreadsheetml.worksheet+xml" PartName="/xl/worksheets/sheet25560.xml"/>
  <Override ContentType="application/vnd.openxmlformats-officedocument.spreadsheetml.worksheet+xml" PartName="/xl/worksheets/sheet25561.xml"/>
  <Override ContentType="application/vnd.openxmlformats-officedocument.spreadsheetml.worksheet+xml" PartName="/xl/worksheets/sheet25562.xml"/>
  <Override ContentType="application/vnd.openxmlformats-officedocument.spreadsheetml.worksheet+xml" PartName="/xl/worksheets/sheet25563.xml"/>
  <Override ContentType="application/vnd.openxmlformats-officedocument.spreadsheetml.worksheet+xml" PartName="/xl/worksheets/sheet25564.xml"/>
  <Override ContentType="application/vnd.openxmlformats-officedocument.spreadsheetml.worksheet+xml" PartName="/xl/worksheets/sheet25565.xml"/>
  <Override ContentType="application/vnd.openxmlformats-officedocument.spreadsheetml.worksheet+xml" PartName="/xl/worksheets/sheet25566.xml"/>
  <Override ContentType="application/vnd.openxmlformats-officedocument.spreadsheetml.worksheet+xml" PartName="/xl/worksheets/sheet25567.xml"/>
  <Override ContentType="application/vnd.openxmlformats-officedocument.spreadsheetml.worksheet+xml" PartName="/xl/worksheets/sheet25568.xml"/>
  <Override ContentType="application/vnd.openxmlformats-officedocument.spreadsheetml.worksheet+xml" PartName="/xl/worksheets/sheet25569.xml"/>
  <Override ContentType="application/vnd.openxmlformats-officedocument.spreadsheetml.worksheet+xml" PartName="/xl/worksheets/sheet25570.xml"/>
  <Override ContentType="application/vnd.openxmlformats-officedocument.spreadsheetml.worksheet+xml" PartName="/xl/worksheets/sheet25571.xml"/>
  <Override ContentType="application/vnd.openxmlformats-officedocument.spreadsheetml.worksheet+xml" PartName="/xl/worksheets/sheet25572.xml"/>
  <Override ContentType="application/vnd.openxmlformats-officedocument.spreadsheetml.worksheet+xml" PartName="/xl/worksheets/sheet25573.xml"/>
  <Override ContentType="application/vnd.openxmlformats-officedocument.spreadsheetml.worksheet+xml" PartName="/xl/worksheets/sheet25574.xml"/>
  <Override ContentType="application/vnd.openxmlformats-officedocument.spreadsheetml.worksheet+xml" PartName="/xl/worksheets/sheet25575.xml"/>
  <Override ContentType="application/vnd.openxmlformats-officedocument.spreadsheetml.worksheet+xml" PartName="/xl/worksheets/sheet25576.xml"/>
  <Override ContentType="application/vnd.openxmlformats-officedocument.spreadsheetml.worksheet+xml" PartName="/xl/worksheets/sheet25577.xml"/>
  <Override ContentType="application/vnd.openxmlformats-officedocument.spreadsheetml.worksheet+xml" PartName="/xl/worksheets/sheet25578.xml"/>
  <Override ContentType="application/vnd.openxmlformats-officedocument.spreadsheetml.worksheet+xml" PartName="/xl/worksheets/sheet25579.xml"/>
  <Override ContentType="application/vnd.openxmlformats-officedocument.spreadsheetml.worksheet+xml" PartName="/xl/worksheets/sheet25580.xml"/>
  <Override ContentType="application/vnd.openxmlformats-officedocument.spreadsheetml.worksheet+xml" PartName="/xl/worksheets/sheet25581.xml"/>
  <Override ContentType="application/vnd.openxmlformats-officedocument.spreadsheetml.worksheet+xml" PartName="/xl/worksheets/sheet25582.xml"/>
  <Override ContentType="application/vnd.openxmlformats-officedocument.spreadsheetml.worksheet+xml" PartName="/xl/worksheets/sheet25583.xml"/>
  <Override ContentType="application/vnd.openxmlformats-officedocument.spreadsheetml.worksheet+xml" PartName="/xl/worksheets/sheet25584.xml"/>
  <Override ContentType="application/vnd.openxmlformats-officedocument.spreadsheetml.worksheet+xml" PartName="/xl/worksheets/sheet25585.xml"/>
  <Override ContentType="application/vnd.openxmlformats-officedocument.spreadsheetml.worksheet+xml" PartName="/xl/worksheets/sheet25586.xml"/>
  <Override ContentType="application/vnd.openxmlformats-officedocument.spreadsheetml.worksheet+xml" PartName="/xl/worksheets/sheet25587.xml"/>
  <Override ContentType="application/vnd.openxmlformats-officedocument.spreadsheetml.worksheet+xml" PartName="/xl/worksheets/sheet25588.xml"/>
  <Override ContentType="application/vnd.openxmlformats-officedocument.spreadsheetml.worksheet+xml" PartName="/xl/worksheets/sheet25589.xml"/>
  <Override ContentType="application/vnd.openxmlformats-officedocument.spreadsheetml.worksheet+xml" PartName="/xl/worksheets/sheet25590.xml"/>
  <Override ContentType="application/vnd.openxmlformats-officedocument.spreadsheetml.worksheet+xml" PartName="/xl/worksheets/sheet25591.xml"/>
  <Override ContentType="application/vnd.openxmlformats-officedocument.spreadsheetml.worksheet+xml" PartName="/xl/worksheets/sheet25592.xml"/>
  <Override ContentType="application/vnd.openxmlformats-officedocument.spreadsheetml.worksheet+xml" PartName="/xl/worksheets/sheet25593.xml"/>
  <Override ContentType="application/vnd.openxmlformats-officedocument.spreadsheetml.worksheet+xml" PartName="/xl/worksheets/sheet25594.xml"/>
  <Override ContentType="application/vnd.openxmlformats-officedocument.spreadsheetml.worksheet+xml" PartName="/xl/worksheets/sheet25595.xml"/>
  <Override ContentType="application/vnd.openxmlformats-officedocument.spreadsheetml.worksheet+xml" PartName="/xl/worksheets/sheet25596.xml"/>
  <Override ContentType="application/vnd.openxmlformats-officedocument.spreadsheetml.worksheet+xml" PartName="/xl/worksheets/sheet25597.xml"/>
  <Override ContentType="application/vnd.openxmlformats-officedocument.spreadsheetml.worksheet+xml" PartName="/xl/worksheets/sheet25598.xml"/>
  <Override ContentType="application/vnd.openxmlformats-officedocument.spreadsheetml.worksheet+xml" PartName="/xl/worksheets/sheet25599.xml"/>
  <Override ContentType="application/vnd.openxmlformats-officedocument.spreadsheetml.worksheet+xml" PartName="/xl/worksheets/sheet25600.xml"/>
  <Override ContentType="application/vnd.openxmlformats-officedocument.spreadsheetml.worksheet+xml" PartName="/xl/worksheets/sheet25601.xml"/>
  <Override ContentType="application/vnd.openxmlformats-officedocument.spreadsheetml.worksheet+xml" PartName="/xl/worksheets/sheet25602.xml"/>
  <Override ContentType="application/vnd.openxmlformats-officedocument.spreadsheetml.worksheet+xml" PartName="/xl/worksheets/sheet25603.xml"/>
  <Override ContentType="application/vnd.openxmlformats-officedocument.spreadsheetml.worksheet+xml" PartName="/xl/worksheets/sheet25604.xml"/>
  <Override ContentType="application/vnd.openxmlformats-officedocument.spreadsheetml.worksheet+xml" PartName="/xl/worksheets/sheet25605.xml"/>
  <Override ContentType="application/vnd.openxmlformats-officedocument.spreadsheetml.worksheet+xml" PartName="/xl/worksheets/sheet25606.xml"/>
  <Override ContentType="application/vnd.openxmlformats-officedocument.spreadsheetml.worksheet+xml" PartName="/xl/worksheets/sheet25607.xml"/>
  <Override ContentType="application/vnd.openxmlformats-officedocument.spreadsheetml.worksheet+xml" PartName="/xl/worksheets/sheet25608.xml"/>
  <Override ContentType="application/vnd.openxmlformats-officedocument.spreadsheetml.worksheet+xml" PartName="/xl/worksheets/sheet25609.xml"/>
  <Override ContentType="application/vnd.openxmlformats-officedocument.spreadsheetml.worksheet+xml" PartName="/xl/worksheets/sheet25610.xml"/>
  <Override ContentType="application/vnd.openxmlformats-officedocument.spreadsheetml.worksheet+xml" PartName="/xl/worksheets/sheet25611.xml"/>
  <Override ContentType="application/vnd.openxmlformats-officedocument.spreadsheetml.worksheet+xml" PartName="/xl/worksheets/sheet25612.xml"/>
  <Override ContentType="application/vnd.openxmlformats-officedocument.spreadsheetml.worksheet+xml" PartName="/xl/worksheets/sheet25613.xml"/>
  <Override ContentType="application/vnd.openxmlformats-officedocument.spreadsheetml.worksheet+xml" PartName="/xl/worksheets/sheet25614.xml"/>
  <Override ContentType="application/vnd.openxmlformats-officedocument.spreadsheetml.worksheet+xml" PartName="/xl/worksheets/sheet25615.xml"/>
  <Override ContentType="application/vnd.openxmlformats-officedocument.spreadsheetml.worksheet+xml" PartName="/xl/worksheets/sheet25616.xml"/>
  <Override ContentType="application/vnd.openxmlformats-officedocument.spreadsheetml.worksheet+xml" PartName="/xl/worksheets/sheet25617.xml"/>
  <Override ContentType="application/vnd.openxmlformats-officedocument.spreadsheetml.worksheet+xml" PartName="/xl/worksheets/sheet25618.xml"/>
  <Override ContentType="application/vnd.openxmlformats-officedocument.spreadsheetml.worksheet+xml" PartName="/xl/worksheets/sheet25619.xml"/>
  <Override ContentType="application/vnd.openxmlformats-officedocument.spreadsheetml.worksheet+xml" PartName="/xl/worksheets/sheet25620.xml"/>
  <Override ContentType="application/vnd.openxmlformats-officedocument.spreadsheetml.worksheet+xml" PartName="/xl/worksheets/sheet25621.xml"/>
  <Override ContentType="application/vnd.openxmlformats-officedocument.spreadsheetml.worksheet+xml" PartName="/xl/worksheets/sheet25622.xml"/>
  <Override ContentType="application/vnd.openxmlformats-officedocument.spreadsheetml.worksheet+xml" PartName="/xl/worksheets/sheet25623.xml"/>
  <Override ContentType="application/vnd.openxmlformats-officedocument.spreadsheetml.worksheet+xml" PartName="/xl/worksheets/sheet25624.xml"/>
  <Override ContentType="application/vnd.openxmlformats-officedocument.spreadsheetml.worksheet+xml" PartName="/xl/worksheets/sheet25625.xml"/>
  <Override ContentType="application/vnd.openxmlformats-officedocument.spreadsheetml.worksheet+xml" PartName="/xl/worksheets/sheet25626.xml"/>
  <Override ContentType="application/vnd.openxmlformats-officedocument.spreadsheetml.worksheet+xml" PartName="/xl/worksheets/sheet25627.xml"/>
  <Override ContentType="application/vnd.openxmlformats-officedocument.spreadsheetml.worksheet+xml" PartName="/xl/worksheets/sheet25628.xml"/>
  <Override ContentType="application/vnd.openxmlformats-officedocument.spreadsheetml.worksheet+xml" PartName="/xl/worksheets/sheet25629.xml"/>
  <Override ContentType="application/vnd.openxmlformats-officedocument.spreadsheetml.worksheet+xml" PartName="/xl/worksheets/sheet25630.xml"/>
  <Override ContentType="application/vnd.openxmlformats-officedocument.spreadsheetml.worksheet+xml" PartName="/xl/worksheets/sheet25631.xml"/>
  <Override ContentType="application/vnd.openxmlformats-officedocument.spreadsheetml.worksheet+xml" PartName="/xl/worksheets/sheet25632.xml"/>
  <Override ContentType="application/vnd.openxmlformats-officedocument.spreadsheetml.worksheet+xml" PartName="/xl/worksheets/sheet25633.xml"/>
  <Override ContentType="application/vnd.openxmlformats-officedocument.spreadsheetml.worksheet+xml" PartName="/xl/worksheets/sheet25634.xml"/>
  <Override ContentType="application/vnd.openxmlformats-officedocument.spreadsheetml.worksheet+xml" PartName="/xl/worksheets/sheet25635.xml"/>
  <Override ContentType="application/vnd.openxmlformats-officedocument.spreadsheetml.worksheet+xml" PartName="/xl/worksheets/sheet25636.xml"/>
  <Override ContentType="application/vnd.openxmlformats-officedocument.spreadsheetml.worksheet+xml" PartName="/xl/worksheets/sheet25637.xml"/>
  <Override ContentType="application/vnd.openxmlformats-officedocument.spreadsheetml.worksheet+xml" PartName="/xl/worksheets/sheet25638.xml"/>
  <Override ContentType="application/vnd.openxmlformats-officedocument.spreadsheetml.worksheet+xml" PartName="/xl/worksheets/sheet25639.xml"/>
  <Override ContentType="application/vnd.openxmlformats-officedocument.spreadsheetml.worksheet+xml" PartName="/xl/worksheets/sheet25640.xml"/>
  <Override ContentType="application/vnd.openxmlformats-officedocument.spreadsheetml.worksheet+xml" PartName="/xl/worksheets/sheet25641.xml"/>
  <Override ContentType="application/vnd.openxmlformats-officedocument.spreadsheetml.worksheet+xml" PartName="/xl/worksheets/sheet25642.xml"/>
  <Override ContentType="application/vnd.openxmlformats-officedocument.spreadsheetml.worksheet+xml" PartName="/xl/worksheets/sheet25643.xml"/>
  <Override ContentType="application/vnd.openxmlformats-officedocument.spreadsheetml.worksheet+xml" PartName="/xl/worksheets/sheet25644.xml"/>
  <Override ContentType="application/vnd.openxmlformats-officedocument.spreadsheetml.worksheet+xml" PartName="/xl/worksheets/sheet25645.xml"/>
  <Override ContentType="application/vnd.openxmlformats-officedocument.spreadsheetml.worksheet+xml" PartName="/xl/worksheets/sheet25646.xml"/>
  <Override ContentType="application/vnd.openxmlformats-officedocument.spreadsheetml.worksheet+xml" PartName="/xl/worksheets/sheet25647.xml"/>
  <Override ContentType="application/vnd.openxmlformats-officedocument.spreadsheetml.worksheet+xml" PartName="/xl/worksheets/sheet25648.xml"/>
  <Override ContentType="application/vnd.openxmlformats-officedocument.spreadsheetml.worksheet+xml" PartName="/xl/worksheets/sheet25649.xml"/>
  <Override ContentType="application/vnd.openxmlformats-officedocument.spreadsheetml.worksheet+xml" PartName="/xl/worksheets/sheet25650.xml"/>
  <Override ContentType="application/vnd.openxmlformats-officedocument.spreadsheetml.worksheet+xml" PartName="/xl/worksheets/sheet25651.xml"/>
  <Override ContentType="application/vnd.openxmlformats-officedocument.spreadsheetml.worksheet+xml" PartName="/xl/worksheets/sheet25652.xml"/>
  <Override ContentType="application/vnd.openxmlformats-officedocument.spreadsheetml.worksheet+xml" PartName="/xl/worksheets/sheet25653.xml"/>
  <Override ContentType="application/vnd.openxmlformats-officedocument.spreadsheetml.worksheet+xml" PartName="/xl/worksheets/sheet25654.xml"/>
  <Override ContentType="application/vnd.openxmlformats-officedocument.spreadsheetml.worksheet+xml" PartName="/xl/worksheets/sheet25655.xml"/>
  <Override ContentType="application/vnd.openxmlformats-officedocument.spreadsheetml.worksheet+xml" PartName="/xl/worksheets/sheet25656.xml"/>
  <Override ContentType="application/vnd.openxmlformats-officedocument.spreadsheetml.worksheet+xml" PartName="/xl/worksheets/sheet25657.xml"/>
  <Override ContentType="application/vnd.openxmlformats-officedocument.spreadsheetml.worksheet+xml" PartName="/xl/worksheets/sheet25658.xml"/>
  <Override ContentType="application/vnd.openxmlformats-officedocument.spreadsheetml.worksheet+xml" PartName="/xl/worksheets/sheet25659.xml"/>
  <Override ContentType="application/vnd.openxmlformats-officedocument.spreadsheetml.worksheet+xml" PartName="/xl/worksheets/sheet25660.xml"/>
  <Override ContentType="application/vnd.openxmlformats-officedocument.spreadsheetml.worksheet+xml" PartName="/xl/worksheets/sheet25661.xml"/>
  <Override ContentType="application/vnd.openxmlformats-officedocument.spreadsheetml.worksheet+xml" PartName="/xl/worksheets/sheet25662.xml"/>
  <Override ContentType="application/vnd.openxmlformats-officedocument.spreadsheetml.worksheet+xml" PartName="/xl/worksheets/sheet25663.xml"/>
  <Override ContentType="application/vnd.openxmlformats-officedocument.spreadsheetml.worksheet+xml" PartName="/xl/worksheets/sheet25664.xml"/>
  <Override ContentType="application/vnd.openxmlformats-officedocument.spreadsheetml.worksheet+xml" PartName="/xl/worksheets/sheet25665.xml"/>
  <Override ContentType="application/vnd.openxmlformats-officedocument.spreadsheetml.worksheet+xml" PartName="/xl/worksheets/sheet25666.xml"/>
  <Override ContentType="application/vnd.openxmlformats-officedocument.spreadsheetml.worksheet+xml" PartName="/xl/worksheets/sheet25667.xml"/>
  <Override ContentType="application/vnd.openxmlformats-officedocument.spreadsheetml.worksheet+xml" PartName="/xl/worksheets/sheet25668.xml"/>
  <Override ContentType="application/vnd.openxmlformats-officedocument.spreadsheetml.worksheet+xml" PartName="/xl/worksheets/sheet25669.xml"/>
  <Override ContentType="application/vnd.openxmlformats-officedocument.spreadsheetml.worksheet+xml" PartName="/xl/worksheets/sheet25670.xml"/>
  <Override ContentType="application/vnd.openxmlformats-officedocument.spreadsheetml.worksheet+xml" PartName="/xl/worksheets/sheet25671.xml"/>
  <Override ContentType="application/vnd.openxmlformats-officedocument.spreadsheetml.worksheet+xml" PartName="/xl/worksheets/sheet25672.xml"/>
  <Override ContentType="application/vnd.openxmlformats-officedocument.spreadsheetml.worksheet+xml" PartName="/xl/worksheets/sheet25673.xml"/>
  <Override ContentType="application/vnd.openxmlformats-officedocument.spreadsheetml.worksheet+xml" PartName="/xl/worksheets/sheet25674.xml"/>
  <Override ContentType="application/vnd.openxmlformats-officedocument.spreadsheetml.worksheet+xml" PartName="/xl/worksheets/sheet25675.xml"/>
  <Override ContentType="application/vnd.openxmlformats-officedocument.spreadsheetml.worksheet+xml" PartName="/xl/worksheets/sheet25676.xml"/>
  <Override ContentType="application/vnd.openxmlformats-officedocument.spreadsheetml.worksheet+xml" PartName="/xl/worksheets/sheet25677.xml"/>
  <Override ContentType="application/vnd.openxmlformats-officedocument.spreadsheetml.worksheet+xml" PartName="/xl/worksheets/sheet25678.xml"/>
  <Override ContentType="application/vnd.openxmlformats-officedocument.spreadsheetml.worksheet+xml" PartName="/xl/worksheets/sheet25679.xml"/>
  <Override ContentType="application/vnd.openxmlformats-officedocument.spreadsheetml.worksheet+xml" PartName="/xl/worksheets/sheet25680.xml"/>
  <Override ContentType="application/vnd.openxmlformats-officedocument.spreadsheetml.worksheet+xml" PartName="/xl/worksheets/sheet25681.xml"/>
  <Override ContentType="application/vnd.openxmlformats-officedocument.spreadsheetml.worksheet+xml" PartName="/xl/worksheets/sheet25682.xml"/>
  <Override ContentType="application/vnd.openxmlformats-officedocument.spreadsheetml.worksheet+xml" PartName="/xl/worksheets/sheet25683.xml"/>
  <Override ContentType="application/vnd.openxmlformats-officedocument.spreadsheetml.worksheet+xml" PartName="/xl/worksheets/sheet25684.xml"/>
  <Override ContentType="application/vnd.openxmlformats-officedocument.spreadsheetml.worksheet+xml" PartName="/xl/worksheets/sheet25685.xml"/>
  <Override ContentType="application/vnd.openxmlformats-officedocument.spreadsheetml.worksheet+xml" PartName="/xl/worksheets/sheet25686.xml"/>
  <Override ContentType="application/vnd.openxmlformats-officedocument.spreadsheetml.worksheet+xml" PartName="/xl/worksheets/sheet25687.xml"/>
  <Override ContentType="application/vnd.openxmlformats-officedocument.spreadsheetml.worksheet+xml" PartName="/xl/worksheets/sheet25688.xml"/>
  <Override ContentType="application/vnd.openxmlformats-officedocument.spreadsheetml.worksheet+xml" PartName="/xl/worksheets/sheet25689.xml"/>
  <Override ContentType="application/vnd.openxmlformats-officedocument.spreadsheetml.worksheet+xml" PartName="/xl/worksheets/sheet25690.xml"/>
  <Override ContentType="application/vnd.openxmlformats-officedocument.spreadsheetml.worksheet+xml" PartName="/xl/worksheets/sheet25691.xml"/>
  <Override ContentType="application/vnd.openxmlformats-officedocument.spreadsheetml.worksheet+xml" PartName="/xl/worksheets/sheet25692.xml"/>
  <Override ContentType="application/vnd.openxmlformats-officedocument.spreadsheetml.worksheet+xml" PartName="/xl/worksheets/sheet25693.xml"/>
  <Override ContentType="application/vnd.openxmlformats-officedocument.spreadsheetml.worksheet+xml" PartName="/xl/worksheets/sheet25694.xml"/>
  <Override ContentType="application/vnd.openxmlformats-officedocument.spreadsheetml.worksheet+xml" PartName="/xl/worksheets/sheet25695.xml"/>
  <Override ContentType="application/vnd.openxmlformats-officedocument.spreadsheetml.worksheet+xml" PartName="/xl/worksheets/sheet25696.xml"/>
  <Override ContentType="application/vnd.openxmlformats-officedocument.spreadsheetml.worksheet+xml" PartName="/xl/worksheets/sheet25697.xml"/>
  <Override ContentType="application/vnd.openxmlformats-officedocument.spreadsheetml.worksheet+xml" PartName="/xl/worksheets/sheet25698.xml"/>
  <Override ContentType="application/vnd.openxmlformats-officedocument.spreadsheetml.worksheet+xml" PartName="/xl/worksheets/sheet25699.xml"/>
  <Override ContentType="application/vnd.openxmlformats-officedocument.spreadsheetml.worksheet+xml" PartName="/xl/worksheets/sheet25700.xml"/>
  <Override ContentType="application/vnd.openxmlformats-officedocument.spreadsheetml.worksheet+xml" PartName="/xl/worksheets/sheet25701.xml"/>
  <Override ContentType="application/vnd.openxmlformats-officedocument.spreadsheetml.worksheet+xml" PartName="/xl/worksheets/sheet25702.xml"/>
  <Override ContentType="application/vnd.openxmlformats-officedocument.spreadsheetml.worksheet+xml" PartName="/xl/worksheets/sheet25703.xml"/>
  <Override ContentType="application/vnd.openxmlformats-officedocument.spreadsheetml.worksheet+xml" PartName="/xl/worksheets/sheet25704.xml"/>
  <Override ContentType="application/vnd.openxmlformats-officedocument.spreadsheetml.worksheet+xml" PartName="/xl/worksheets/sheet25705.xml"/>
  <Override ContentType="application/vnd.openxmlformats-officedocument.spreadsheetml.worksheet+xml" PartName="/xl/worksheets/sheet25706.xml"/>
  <Override ContentType="application/vnd.openxmlformats-officedocument.spreadsheetml.worksheet+xml" PartName="/xl/worksheets/sheet25707.xml"/>
  <Override ContentType="application/vnd.openxmlformats-officedocument.spreadsheetml.worksheet+xml" PartName="/xl/worksheets/sheet25708.xml"/>
  <Override ContentType="application/vnd.openxmlformats-officedocument.spreadsheetml.worksheet+xml" PartName="/xl/worksheets/sheet25709.xml"/>
  <Override ContentType="application/vnd.openxmlformats-officedocument.spreadsheetml.worksheet+xml" PartName="/xl/worksheets/sheet25710.xml"/>
  <Override ContentType="application/vnd.openxmlformats-officedocument.spreadsheetml.worksheet+xml" PartName="/xl/worksheets/sheet25711.xml"/>
  <Override ContentType="application/vnd.openxmlformats-officedocument.spreadsheetml.worksheet+xml" PartName="/xl/worksheets/sheet25712.xml"/>
  <Override ContentType="application/vnd.openxmlformats-officedocument.spreadsheetml.worksheet+xml" PartName="/xl/worksheets/sheet25713.xml"/>
  <Override ContentType="application/vnd.openxmlformats-officedocument.spreadsheetml.worksheet+xml" PartName="/xl/worksheets/sheet25714.xml"/>
  <Override ContentType="application/vnd.openxmlformats-officedocument.spreadsheetml.worksheet+xml" PartName="/xl/worksheets/sheet25715.xml"/>
  <Override ContentType="application/vnd.openxmlformats-officedocument.spreadsheetml.worksheet+xml" PartName="/xl/worksheets/sheet25716.xml"/>
  <Override ContentType="application/vnd.openxmlformats-officedocument.spreadsheetml.worksheet+xml" PartName="/xl/worksheets/sheet25717.xml"/>
  <Override ContentType="application/vnd.openxmlformats-officedocument.spreadsheetml.worksheet+xml" PartName="/xl/worksheets/sheet25718.xml"/>
  <Override ContentType="application/vnd.openxmlformats-officedocument.spreadsheetml.worksheet+xml" PartName="/xl/worksheets/sheet25719.xml"/>
  <Override ContentType="application/vnd.openxmlformats-officedocument.spreadsheetml.worksheet+xml" PartName="/xl/worksheets/sheet25720.xml"/>
  <Override ContentType="application/vnd.openxmlformats-officedocument.spreadsheetml.worksheet+xml" PartName="/xl/worksheets/sheet25721.xml"/>
  <Override ContentType="application/vnd.openxmlformats-officedocument.spreadsheetml.worksheet+xml" PartName="/xl/worksheets/sheet25722.xml"/>
  <Override ContentType="application/vnd.openxmlformats-officedocument.spreadsheetml.worksheet+xml" PartName="/xl/worksheets/sheet25723.xml"/>
  <Override ContentType="application/vnd.openxmlformats-officedocument.spreadsheetml.worksheet+xml" PartName="/xl/worksheets/sheet25724.xml"/>
  <Override ContentType="application/vnd.openxmlformats-officedocument.spreadsheetml.worksheet+xml" PartName="/xl/worksheets/sheet25725.xml"/>
  <Override ContentType="application/vnd.openxmlformats-officedocument.spreadsheetml.worksheet+xml" PartName="/xl/worksheets/sheet25726.xml"/>
  <Override ContentType="application/vnd.openxmlformats-officedocument.spreadsheetml.worksheet+xml" PartName="/xl/worksheets/sheet25727.xml"/>
  <Override ContentType="application/vnd.openxmlformats-officedocument.spreadsheetml.worksheet+xml" PartName="/xl/worksheets/sheet25728.xml"/>
  <Override ContentType="application/vnd.openxmlformats-officedocument.spreadsheetml.worksheet+xml" PartName="/xl/worksheets/sheet25729.xml"/>
  <Override ContentType="application/vnd.openxmlformats-officedocument.spreadsheetml.worksheet+xml" PartName="/xl/worksheets/sheet25730.xml"/>
  <Override ContentType="application/vnd.openxmlformats-officedocument.spreadsheetml.worksheet+xml" PartName="/xl/worksheets/sheet25731.xml"/>
  <Override ContentType="application/vnd.openxmlformats-officedocument.spreadsheetml.worksheet+xml" PartName="/xl/worksheets/sheet25732.xml"/>
  <Override ContentType="application/vnd.openxmlformats-officedocument.spreadsheetml.worksheet+xml" PartName="/xl/worksheets/sheet25733.xml"/>
  <Override ContentType="application/vnd.openxmlformats-officedocument.spreadsheetml.worksheet+xml" PartName="/xl/worksheets/sheet25734.xml"/>
  <Override ContentType="application/vnd.openxmlformats-officedocument.spreadsheetml.worksheet+xml" PartName="/xl/worksheets/sheet25735.xml"/>
  <Override ContentType="application/vnd.openxmlformats-officedocument.spreadsheetml.worksheet+xml" PartName="/xl/worksheets/sheet25736.xml"/>
  <Override ContentType="application/vnd.openxmlformats-officedocument.spreadsheetml.worksheet+xml" PartName="/xl/worksheets/sheet25737.xml"/>
  <Override ContentType="application/vnd.openxmlformats-officedocument.spreadsheetml.worksheet+xml" PartName="/xl/worksheets/sheet25738.xml"/>
  <Override ContentType="application/vnd.openxmlformats-officedocument.spreadsheetml.worksheet+xml" PartName="/xl/worksheets/sheet25739.xml"/>
  <Override ContentType="application/vnd.openxmlformats-officedocument.spreadsheetml.worksheet+xml" PartName="/xl/worksheets/sheet25740.xml"/>
  <Override ContentType="application/vnd.openxmlformats-officedocument.spreadsheetml.worksheet+xml" PartName="/xl/worksheets/sheet25741.xml"/>
  <Override ContentType="application/vnd.openxmlformats-officedocument.spreadsheetml.worksheet+xml" PartName="/xl/worksheets/sheet25742.xml"/>
  <Override ContentType="application/vnd.openxmlformats-officedocument.spreadsheetml.worksheet+xml" PartName="/xl/worksheets/sheet25743.xml"/>
  <Override ContentType="application/vnd.openxmlformats-officedocument.spreadsheetml.worksheet+xml" PartName="/xl/worksheets/sheet25744.xml"/>
  <Override ContentType="application/vnd.openxmlformats-officedocument.spreadsheetml.worksheet+xml" PartName="/xl/worksheets/sheet25745.xml"/>
  <Override ContentType="application/vnd.openxmlformats-officedocument.spreadsheetml.worksheet+xml" PartName="/xl/worksheets/sheet25746.xml"/>
  <Override ContentType="application/vnd.openxmlformats-officedocument.spreadsheetml.worksheet+xml" PartName="/xl/worksheets/sheet25747.xml"/>
  <Override ContentType="application/vnd.openxmlformats-officedocument.spreadsheetml.worksheet+xml" PartName="/xl/worksheets/sheet25748.xml"/>
  <Override ContentType="application/vnd.openxmlformats-officedocument.spreadsheetml.worksheet+xml" PartName="/xl/worksheets/sheet25749.xml"/>
  <Override ContentType="application/vnd.openxmlformats-officedocument.spreadsheetml.worksheet+xml" PartName="/xl/worksheets/sheet25750.xml"/>
  <Override ContentType="application/vnd.openxmlformats-officedocument.spreadsheetml.worksheet+xml" PartName="/xl/worksheets/sheet25751.xml"/>
  <Override ContentType="application/vnd.openxmlformats-officedocument.spreadsheetml.worksheet+xml" PartName="/xl/worksheets/sheet25752.xml"/>
  <Override ContentType="application/vnd.openxmlformats-officedocument.spreadsheetml.worksheet+xml" PartName="/xl/worksheets/sheet25753.xml"/>
  <Override ContentType="application/vnd.openxmlformats-officedocument.spreadsheetml.worksheet+xml" PartName="/xl/worksheets/sheet25754.xml"/>
  <Override ContentType="application/vnd.openxmlformats-officedocument.spreadsheetml.worksheet+xml" PartName="/xl/worksheets/sheet25755.xml"/>
  <Override ContentType="application/vnd.openxmlformats-officedocument.spreadsheetml.worksheet+xml" PartName="/xl/worksheets/sheet25756.xml"/>
  <Override ContentType="application/vnd.openxmlformats-officedocument.spreadsheetml.worksheet+xml" PartName="/xl/worksheets/sheet25757.xml"/>
  <Override ContentType="application/vnd.openxmlformats-officedocument.spreadsheetml.worksheet+xml" PartName="/xl/worksheets/sheet25758.xml"/>
  <Override ContentType="application/vnd.openxmlformats-officedocument.spreadsheetml.worksheet+xml" PartName="/xl/worksheets/sheet25759.xml"/>
  <Override ContentType="application/vnd.openxmlformats-officedocument.spreadsheetml.worksheet+xml" PartName="/xl/worksheets/sheet25760.xml"/>
  <Override ContentType="application/vnd.openxmlformats-officedocument.spreadsheetml.worksheet+xml" PartName="/xl/worksheets/sheet25761.xml"/>
  <Override ContentType="application/vnd.openxmlformats-officedocument.spreadsheetml.worksheet+xml" PartName="/xl/worksheets/sheet25762.xml"/>
  <Override ContentType="application/vnd.openxmlformats-officedocument.spreadsheetml.worksheet+xml" PartName="/xl/worksheets/sheet25763.xml"/>
  <Override ContentType="application/vnd.openxmlformats-officedocument.spreadsheetml.worksheet+xml" PartName="/xl/worksheets/sheet25764.xml"/>
  <Override ContentType="application/vnd.openxmlformats-officedocument.spreadsheetml.worksheet+xml" PartName="/xl/worksheets/sheet25765.xml"/>
  <Override ContentType="application/vnd.openxmlformats-officedocument.spreadsheetml.worksheet+xml" PartName="/xl/worksheets/sheet25766.xml"/>
  <Override ContentType="application/vnd.openxmlformats-officedocument.spreadsheetml.worksheet+xml" PartName="/xl/worksheets/sheet25767.xml"/>
  <Override ContentType="application/vnd.openxmlformats-officedocument.spreadsheetml.worksheet+xml" PartName="/xl/worksheets/sheet25768.xml"/>
  <Override ContentType="application/vnd.openxmlformats-officedocument.spreadsheetml.worksheet+xml" PartName="/xl/worksheets/sheet25769.xml"/>
  <Override ContentType="application/vnd.openxmlformats-officedocument.spreadsheetml.worksheet+xml" PartName="/xl/worksheets/sheet25770.xml"/>
  <Override ContentType="application/vnd.openxmlformats-officedocument.spreadsheetml.worksheet+xml" PartName="/xl/worksheets/sheet25771.xml"/>
  <Override ContentType="application/vnd.openxmlformats-officedocument.spreadsheetml.worksheet+xml" PartName="/xl/worksheets/sheet25772.xml"/>
  <Override ContentType="application/vnd.openxmlformats-officedocument.spreadsheetml.worksheet+xml" PartName="/xl/worksheets/sheet25773.xml"/>
  <Override ContentType="application/vnd.openxmlformats-officedocument.spreadsheetml.worksheet+xml" PartName="/xl/worksheets/sheet25774.xml"/>
  <Override ContentType="application/vnd.openxmlformats-officedocument.spreadsheetml.worksheet+xml" PartName="/xl/worksheets/sheet25775.xml"/>
  <Override ContentType="application/vnd.openxmlformats-officedocument.spreadsheetml.worksheet+xml" PartName="/xl/worksheets/sheet25776.xml"/>
  <Override ContentType="application/vnd.openxmlformats-officedocument.spreadsheetml.worksheet+xml" PartName="/xl/worksheets/sheet25777.xml"/>
  <Override ContentType="application/vnd.openxmlformats-officedocument.spreadsheetml.worksheet+xml" PartName="/xl/worksheets/sheet25778.xml"/>
  <Override ContentType="application/vnd.openxmlformats-officedocument.spreadsheetml.worksheet+xml" PartName="/xl/worksheets/sheet25779.xml"/>
  <Override ContentType="application/vnd.openxmlformats-officedocument.spreadsheetml.worksheet+xml" PartName="/xl/worksheets/sheet25780.xml"/>
  <Override ContentType="application/vnd.openxmlformats-officedocument.spreadsheetml.worksheet+xml" PartName="/xl/worksheets/sheet25781.xml"/>
  <Override ContentType="application/vnd.openxmlformats-officedocument.spreadsheetml.worksheet+xml" PartName="/xl/worksheets/sheet25782.xml"/>
  <Override ContentType="application/vnd.openxmlformats-officedocument.spreadsheetml.worksheet+xml" PartName="/xl/worksheets/sheet25783.xml"/>
  <Override ContentType="application/vnd.openxmlformats-officedocument.spreadsheetml.worksheet+xml" PartName="/xl/worksheets/sheet25784.xml"/>
  <Override ContentType="application/vnd.openxmlformats-officedocument.spreadsheetml.worksheet+xml" PartName="/xl/worksheets/sheet25785.xml"/>
  <Override ContentType="application/vnd.openxmlformats-officedocument.spreadsheetml.worksheet+xml" PartName="/xl/worksheets/sheet25786.xml"/>
  <Override ContentType="application/vnd.openxmlformats-officedocument.spreadsheetml.worksheet+xml" PartName="/xl/worksheets/sheet25787.xml"/>
  <Override ContentType="application/vnd.openxmlformats-officedocument.spreadsheetml.worksheet+xml" PartName="/xl/worksheets/sheet25788.xml"/>
  <Override ContentType="application/vnd.openxmlformats-officedocument.spreadsheetml.worksheet+xml" PartName="/xl/worksheets/sheet25789.xml"/>
  <Override ContentType="application/vnd.openxmlformats-officedocument.spreadsheetml.worksheet+xml" PartName="/xl/worksheets/sheet25790.xml"/>
  <Override ContentType="application/vnd.openxmlformats-officedocument.spreadsheetml.worksheet+xml" PartName="/xl/worksheets/sheet25791.xml"/>
  <Override ContentType="application/vnd.openxmlformats-officedocument.spreadsheetml.worksheet+xml" PartName="/xl/worksheets/sheet25792.xml"/>
  <Override ContentType="application/vnd.openxmlformats-officedocument.spreadsheetml.worksheet+xml" PartName="/xl/worksheets/sheet25793.xml"/>
  <Override ContentType="application/vnd.openxmlformats-officedocument.spreadsheetml.worksheet+xml" PartName="/xl/worksheets/sheet25794.xml"/>
  <Override ContentType="application/vnd.openxmlformats-officedocument.spreadsheetml.worksheet+xml" PartName="/xl/worksheets/sheet25795.xml"/>
  <Override ContentType="application/vnd.openxmlformats-officedocument.spreadsheetml.worksheet+xml" PartName="/xl/worksheets/sheet25796.xml"/>
  <Override ContentType="application/vnd.openxmlformats-officedocument.spreadsheetml.worksheet+xml" PartName="/xl/worksheets/sheet25797.xml"/>
  <Override ContentType="application/vnd.openxmlformats-officedocument.spreadsheetml.worksheet+xml" PartName="/xl/worksheets/sheet25798.xml"/>
  <Override ContentType="application/vnd.openxmlformats-officedocument.spreadsheetml.worksheet+xml" PartName="/xl/worksheets/sheet25799.xml"/>
  <Override ContentType="application/vnd.openxmlformats-officedocument.spreadsheetml.worksheet+xml" PartName="/xl/worksheets/sheet25800.xml"/>
  <Override ContentType="application/vnd.openxmlformats-officedocument.spreadsheetml.worksheet+xml" PartName="/xl/worksheets/sheet25801.xml"/>
  <Override ContentType="application/vnd.openxmlformats-officedocument.spreadsheetml.worksheet+xml" PartName="/xl/worksheets/sheet25802.xml"/>
  <Override ContentType="application/vnd.openxmlformats-officedocument.spreadsheetml.worksheet+xml" PartName="/xl/worksheets/sheet25803.xml"/>
  <Override ContentType="application/vnd.openxmlformats-officedocument.spreadsheetml.worksheet+xml" PartName="/xl/worksheets/sheet25804.xml"/>
  <Override ContentType="application/vnd.openxmlformats-officedocument.spreadsheetml.worksheet+xml" PartName="/xl/worksheets/sheet25805.xml"/>
  <Override ContentType="application/vnd.openxmlformats-officedocument.spreadsheetml.worksheet+xml" PartName="/xl/worksheets/sheet25806.xml"/>
  <Override ContentType="application/vnd.openxmlformats-officedocument.spreadsheetml.worksheet+xml" PartName="/xl/worksheets/sheet25807.xml"/>
  <Override ContentType="application/vnd.openxmlformats-officedocument.spreadsheetml.worksheet+xml" PartName="/xl/worksheets/sheet25808.xml"/>
  <Override ContentType="application/vnd.openxmlformats-officedocument.spreadsheetml.worksheet+xml" PartName="/xl/worksheets/sheet25809.xml"/>
  <Override ContentType="application/vnd.openxmlformats-officedocument.spreadsheetml.worksheet+xml" PartName="/xl/worksheets/sheet25810.xml"/>
  <Override ContentType="application/vnd.openxmlformats-officedocument.spreadsheetml.worksheet+xml" PartName="/xl/worksheets/sheet25811.xml"/>
  <Override ContentType="application/vnd.openxmlformats-officedocument.spreadsheetml.worksheet+xml" PartName="/xl/worksheets/sheet25812.xml"/>
  <Override ContentType="application/vnd.openxmlformats-officedocument.spreadsheetml.worksheet+xml" PartName="/xl/worksheets/sheet25813.xml"/>
  <Override ContentType="application/vnd.openxmlformats-officedocument.spreadsheetml.worksheet+xml" PartName="/xl/worksheets/sheet25814.xml"/>
  <Override ContentType="application/vnd.openxmlformats-officedocument.spreadsheetml.worksheet+xml" PartName="/xl/worksheets/sheet25815.xml"/>
  <Override ContentType="application/vnd.openxmlformats-officedocument.spreadsheetml.worksheet+xml" PartName="/xl/worksheets/sheet25816.xml"/>
  <Override ContentType="application/vnd.openxmlformats-officedocument.spreadsheetml.worksheet+xml" PartName="/xl/worksheets/sheet25817.xml"/>
  <Override ContentType="application/vnd.openxmlformats-officedocument.spreadsheetml.worksheet+xml" PartName="/xl/worksheets/sheet25818.xml"/>
  <Override ContentType="application/vnd.openxmlformats-officedocument.spreadsheetml.worksheet+xml" PartName="/xl/worksheets/sheet25819.xml"/>
  <Override ContentType="application/vnd.openxmlformats-officedocument.spreadsheetml.worksheet+xml" PartName="/xl/worksheets/sheet25820.xml"/>
  <Override ContentType="application/vnd.openxmlformats-officedocument.spreadsheetml.worksheet+xml" PartName="/xl/worksheets/sheet25821.xml"/>
  <Override ContentType="application/vnd.openxmlformats-officedocument.spreadsheetml.worksheet+xml" PartName="/xl/worksheets/sheet25822.xml"/>
  <Override ContentType="application/vnd.openxmlformats-officedocument.spreadsheetml.worksheet+xml" PartName="/xl/worksheets/sheet25823.xml"/>
  <Override ContentType="application/vnd.openxmlformats-officedocument.spreadsheetml.worksheet+xml" PartName="/xl/worksheets/sheet25824.xml"/>
  <Override ContentType="application/vnd.openxmlformats-officedocument.spreadsheetml.worksheet+xml" PartName="/xl/worksheets/sheet25825.xml"/>
  <Override ContentType="application/vnd.openxmlformats-officedocument.spreadsheetml.worksheet+xml" PartName="/xl/worksheets/sheet25826.xml"/>
  <Override ContentType="application/vnd.openxmlformats-officedocument.spreadsheetml.worksheet+xml" PartName="/xl/worksheets/sheet25827.xml"/>
  <Override ContentType="application/vnd.openxmlformats-officedocument.spreadsheetml.worksheet+xml" PartName="/xl/worksheets/sheet25828.xml"/>
  <Override ContentType="application/vnd.openxmlformats-officedocument.spreadsheetml.worksheet+xml" PartName="/xl/worksheets/sheet25829.xml"/>
  <Override ContentType="application/vnd.openxmlformats-officedocument.spreadsheetml.worksheet+xml" PartName="/xl/worksheets/sheet25830.xml"/>
  <Override ContentType="application/vnd.openxmlformats-officedocument.spreadsheetml.worksheet+xml" PartName="/xl/worksheets/sheet25831.xml"/>
  <Override ContentType="application/vnd.openxmlformats-officedocument.spreadsheetml.worksheet+xml" PartName="/xl/worksheets/sheet25832.xml"/>
  <Override ContentType="application/vnd.openxmlformats-officedocument.spreadsheetml.worksheet+xml" PartName="/xl/worksheets/sheet25833.xml"/>
  <Override ContentType="application/vnd.openxmlformats-officedocument.spreadsheetml.worksheet+xml" PartName="/xl/worksheets/sheet25834.xml"/>
  <Override ContentType="application/vnd.openxmlformats-officedocument.spreadsheetml.worksheet+xml" PartName="/xl/worksheets/sheet25835.xml"/>
  <Override ContentType="application/vnd.openxmlformats-officedocument.spreadsheetml.worksheet+xml" PartName="/xl/worksheets/sheet25836.xml"/>
  <Override ContentType="application/vnd.openxmlformats-officedocument.spreadsheetml.worksheet+xml" PartName="/xl/worksheets/sheet25837.xml"/>
  <Override ContentType="application/vnd.openxmlformats-officedocument.spreadsheetml.worksheet+xml" PartName="/xl/worksheets/sheet25838.xml"/>
  <Override ContentType="application/vnd.openxmlformats-officedocument.spreadsheetml.worksheet+xml" PartName="/xl/worksheets/sheet25839.xml"/>
  <Override ContentType="application/vnd.openxmlformats-officedocument.spreadsheetml.worksheet+xml" PartName="/xl/worksheets/sheet25840.xml"/>
  <Override ContentType="application/vnd.openxmlformats-officedocument.spreadsheetml.worksheet+xml" PartName="/xl/worksheets/sheet25841.xml"/>
  <Override ContentType="application/vnd.openxmlformats-officedocument.spreadsheetml.worksheet+xml" PartName="/xl/worksheets/sheet25842.xml"/>
  <Override ContentType="application/vnd.openxmlformats-officedocument.spreadsheetml.worksheet+xml" PartName="/xl/worksheets/sheet25843.xml"/>
  <Override ContentType="application/vnd.openxmlformats-officedocument.spreadsheetml.worksheet+xml" PartName="/xl/worksheets/sheet25844.xml"/>
  <Override ContentType="application/vnd.openxmlformats-officedocument.spreadsheetml.worksheet+xml" PartName="/xl/worksheets/sheet25845.xml"/>
  <Override ContentType="application/vnd.openxmlformats-officedocument.spreadsheetml.worksheet+xml" PartName="/xl/worksheets/sheet25846.xml"/>
  <Override ContentType="application/vnd.openxmlformats-officedocument.spreadsheetml.worksheet+xml" PartName="/xl/worksheets/sheet25847.xml"/>
  <Override ContentType="application/vnd.openxmlformats-officedocument.spreadsheetml.worksheet+xml" PartName="/xl/worksheets/sheet25848.xml"/>
  <Override ContentType="application/vnd.openxmlformats-officedocument.spreadsheetml.worksheet+xml" PartName="/xl/worksheets/sheet25849.xml"/>
  <Override ContentType="application/vnd.openxmlformats-officedocument.spreadsheetml.worksheet+xml" PartName="/xl/worksheets/sheet25850.xml"/>
  <Override ContentType="application/vnd.openxmlformats-officedocument.spreadsheetml.worksheet+xml" PartName="/xl/worksheets/sheet25851.xml"/>
  <Override ContentType="application/vnd.openxmlformats-officedocument.spreadsheetml.worksheet+xml" PartName="/xl/worksheets/sheet25852.xml"/>
  <Override ContentType="application/vnd.openxmlformats-officedocument.spreadsheetml.worksheet+xml" PartName="/xl/worksheets/sheet25853.xml"/>
  <Override ContentType="application/vnd.openxmlformats-officedocument.spreadsheetml.worksheet+xml" PartName="/xl/worksheets/sheet25854.xml"/>
  <Override ContentType="application/vnd.openxmlformats-officedocument.spreadsheetml.worksheet+xml" PartName="/xl/worksheets/sheet25855.xml"/>
  <Override ContentType="application/vnd.openxmlformats-officedocument.spreadsheetml.worksheet+xml" PartName="/xl/worksheets/sheet25856.xml"/>
  <Override ContentType="application/vnd.openxmlformats-officedocument.spreadsheetml.worksheet+xml" PartName="/xl/worksheets/sheet25857.xml"/>
  <Override ContentType="application/vnd.openxmlformats-officedocument.spreadsheetml.worksheet+xml" PartName="/xl/worksheets/sheet25858.xml"/>
  <Override ContentType="application/vnd.openxmlformats-officedocument.spreadsheetml.worksheet+xml" PartName="/xl/worksheets/sheet25859.xml"/>
  <Override ContentType="application/vnd.openxmlformats-officedocument.spreadsheetml.worksheet+xml" PartName="/xl/worksheets/sheet25860.xml"/>
  <Override ContentType="application/vnd.openxmlformats-officedocument.spreadsheetml.worksheet+xml" PartName="/xl/worksheets/sheet25861.xml"/>
  <Override ContentType="application/vnd.openxmlformats-officedocument.spreadsheetml.worksheet+xml" PartName="/xl/worksheets/sheet25862.xml"/>
  <Override ContentType="application/vnd.openxmlformats-officedocument.spreadsheetml.worksheet+xml" PartName="/xl/worksheets/sheet25863.xml"/>
  <Override ContentType="application/vnd.openxmlformats-officedocument.spreadsheetml.worksheet+xml" PartName="/xl/worksheets/sheet25864.xml"/>
  <Override ContentType="application/vnd.openxmlformats-officedocument.spreadsheetml.worksheet+xml" PartName="/xl/worksheets/sheet25865.xml"/>
  <Override ContentType="application/vnd.openxmlformats-officedocument.spreadsheetml.worksheet+xml" PartName="/xl/worksheets/sheet25866.xml"/>
  <Override ContentType="application/vnd.openxmlformats-officedocument.spreadsheetml.worksheet+xml" PartName="/xl/worksheets/sheet25867.xml"/>
  <Override ContentType="application/vnd.openxmlformats-officedocument.spreadsheetml.worksheet+xml" PartName="/xl/worksheets/sheet25868.xml"/>
  <Override ContentType="application/vnd.openxmlformats-officedocument.spreadsheetml.worksheet+xml" PartName="/xl/worksheets/sheet25869.xml"/>
  <Override ContentType="application/vnd.openxmlformats-officedocument.spreadsheetml.worksheet+xml" PartName="/xl/worksheets/sheet25870.xml"/>
  <Override ContentType="application/vnd.openxmlformats-officedocument.spreadsheetml.worksheet+xml" PartName="/xl/worksheets/sheet25871.xml"/>
  <Override ContentType="application/vnd.openxmlformats-officedocument.spreadsheetml.worksheet+xml" PartName="/xl/worksheets/sheet25872.xml"/>
  <Override ContentType="application/vnd.openxmlformats-officedocument.spreadsheetml.worksheet+xml" PartName="/xl/worksheets/sheet25873.xml"/>
  <Override ContentType="application/vnd.openxmlformats-officedocument.spreadsheetml.worksheet+xml" PartName="/xl/worksheets/sheet25874.xml"/>
  <Override ContentType="application/vnd.openxmlformats-officedocument.spreadsheetml.worksheet+xml" PartName="/xl/worksheets/sheet25875.xml"/>
  <Override ContentType="application/vnd.openxmlformats-officedocument.spreadsheetml.worksheet+xml" PartName="/xl/worksheets/sheet25876.xml"/>
  <Override ContentType="application/vnd.openxmlformats-officedocument.spreadsheetml.worksheet+xml" PartName="/xl/worksheets/sheet25877.xml"/>
  <Override ContentType="application/vnd.openxmlformats-officedocument.spreadsheetml.worksheet+xml" PartName="/xl/worksheets/sheet25878.xml"/>
  <Override ContentType="application/vnd.openxmlformats-officedocument.spreadsheetml.worksheet+xml" PartName="/xl/worksheets/sheet25879.xml"/>
  <Override ContentType="application/vnd.openxmlformats-officedocument.spreadsheetml.worksheet+xml" PartName="/xl/worksheets/sheet25880.xml"/>
  <Override ContentType="application/vnd.openxmlformats-officedocument.spreadsheetml.worksheet+xml" PartName="/xl/worksheets/sheet25881.xml"/>
  <Override ContentType="application/vnd.openxmlformats-officedocument.spreadsheetml.worksheet+xml" PartName="/xl/worksheets/sheet25882.xml"/>
  <Override ContentType="application/vnd.openxmlformats-officedocument.spreadsheetml.worksheet+xml" PartName="/xl/worksheets/sheet25883.xml"/>
  <Override ContentType="application/vnd.openxmlformats-officedocument.spreadsheetml.worksheet+xml" PartName="/xl/worksheets/sheet25884.xml"/>
  <Override ContentType="application/vnd.openxmlformats-officedocument.spreadsheetml.worksheet+xml" PartName="/xl/worksheets/sheet25885.xml"/>
  <Override ContentType="application/vnd.openxmlformats-officedocument.spreadsheetml.worksheet+xml" PartName="/xl/worksheets/sheet25886.xml"/>
  <Override ContentType="application/vnd.openxmlformats-officedocument.spreadsheetml.worksheet+xml" PartName="/xl/worksheets/sheet25887.xml"/>
  <Override ContentType="application/vnd.openxmlformats-officedocument.spreadsheetml.worksheet+xml" PartName="/xl/worksheets/sheet25888.xml"/>
  <Override ContentType="application/vnd.openxmlformats-officedocument.spreadsheetml.worksheet+xml" PartName="/xl/worksheets/sheet25889.xml"/>
  <Override ContentType="application/vnd.openxmlformats-officedocument.spreadsheetml.worksheet+xml" PartName="/xl/worksheets/sheet25890.xml"/>
  <Override ContentType="application/vnd.openxmlformats-officedocument.spreadsheetml.worksheet+xml" PartName="/xl/worksheets/sheet25891.xml"/>
  <Override ContentType="application/vnd.openxmlformats-officedocument.spreadsheetml.worksheet+xml" PartName="/xl/worksheets/sheet25892.xml"/>
  <Override ContentType="application/vnd.openxmlformats-officedocument.spreadsheetml.worksheet+xml" PartName="/xl/worksheets/sheet25893.xml"/>
  <Override ContentType="application/vnd.openxmlformats-officedocument.spreadsheetml.worksheet+xml" PartName="/xl/worksheets/sheet25894.xml"/>
  <Override ContentType="application/vnd.openxmlformats-officedocument.spreadsheetml.worksheet+xml" PartName="/xl/worksheets/sheet25895.xml"/>
  <Override ContentType="application/vnd.openxmlformats-officedocument.spreadsheetml.worksheet+xml" PartName="/xl/worksheets/sheet25896.xml"/>
  <Override ContentType="application/vnd.openxmlformats-officedocument.spreadsheetml.worksheet+xml" PartName="/xl/worksheets/sheet25897.xml"/>
  <Override ContentType="application/vnd.openxmlformats-officedocument.spreadsheetml.worksheet+xml" PartName="/xl/worksheets/sheet25898.xml"/>
  <Override ContentType="application/vnd.openxmlformats-officedocument.spreadsheetml.worksheet+xml" PartName="/xl/worksheets/sheet25899.xml"/>
  <Override ContentType="application/vnd.openxmlformats-officedocument.spreadsheetml.worksheet+xml" PartName="/xl/worksheets/sheet25900.xml"/>
  <Override ContentType="application/vnd.openxmlformats-officedocument.spreadsheetml.worksheet+xml" PartName="/xl/worksheets/sheet25901.xml"/>
  <Override ContentType="application/vnd.openxmlformats-officedocument.spreadsheetml.worksheet+xml" PartName="/xl/worksheets/sheet25902.xml"/>
  <Override ContentType="application/vnd.openxmlformats-officedocument.spreadsheetml.worksheet+xml" PartName="/xl/worksheets/sheet25903.xml"/>
  <Override ContentType="application/vnd.openxmlformats-officedocument.spreadsheetml.worksheet+xml" PartName="/xl/worksheets/sheet25904.xml"/>
  <Override ContentType="application/vnd.openxmlformats-officedocument.spreadsheetml.worksheet+xml" PartName="/xl/worksheets/sheet25905.xml"/>
  <Override ContentType="application/vnd.openxmlformats-officedocument.spreadsheetml.worksheet+xml" PartName="/xl/worksheets/sheet25906.xml"/>
  <Override ContentType="application/vnd.openxmlformats-officedocument.spreadsheetml.worksheet+xml" PartName="/xl/worksheets/sheet25907.xml"/>
  <Override ContentType="application/vnd.openxmlformats-officedocument.spreadsheetml.worksheet+xml" PartName="/xl/worksheets/sheet25908.xml"/>
  <Override ContentType="application/vnd.openxmlformats-officedocument.spreadsheetml.worksheet+xml" PartName="/xl/worksheets/sheet25909.xml"/>
  <Override ContentType="application/vnd.openxmlformats-officedocument.spreadsheetml.worksheet+xml" PartName="/xl/worksheets/sheet25910.xml"/>
  <Override ContentType="application/vnd.openxmlformats-officedocument.spreadsheetml.worksheet+xml" PartName="/xl/worksheets/sheet25911.xml"/>
  <Override ContentType="application/vnd.openxmlformats-officedocument.spreadsheetml.worksheet+xml" PartName="/xl/worksheets/sheet25912.xml"/>
  <Override ContentType="application/vnd.openxmlformats-officedocument.spreadsheetml.worksheet+xml" PartName="/xl/worksheets/sheet25913.xml"/>
  <Override ContentType="application/vnd.openxmlformats-officedocument.spreadsheetml.worksheet+xml" PartName="/xl/worksheets/sheet25914.xml"/>
  <Override ContentType="application/vnd.openxmlformats-officedocument.spreadsheetml.worksheet+xml" PartName="/xl/worksheets/sheet25915.xml"/>
  <Override ContentType="application/vnd.openxmlformats-officedocument.spreadsheetml.worksheet+xml" PartName="/xl/worksheets/sheet25916.xml"/>
  <Override ContentType="application/vnd.openxmlformats-officedocument.spreadsheetml.worksheet+xml" PartName="/xl/worksheets/sheet25917.xml"/>
  <Override ContentType="application/vnd.openxmlformats-officedocument.spreadsheetml.worksheet+xml" PartName="/xl/worksheets/sheet25918.xml"/>
  <Override ContentType="application/vnd.openxmlformats-officedocument.spreadsheetml.worksheet+xml" PartName="/xl/worksheets/sheet25919.xml"/>
  <Override ContentType="application/vnd.openxmlformats-officedocument.spreadsheetml.worksheet+xml" PartName="/xl/worksheets/sheet25920.xml"/>
  <Override ContentType="application/vnd.openxmlformats-officedocument.spreadsheetml.worksheet+xml" PartName="/xl/worksheets/sheet25921.xml"/>
  <Override ContentType="application/vnd.openxmlformats-officedocument.spreadsheetml.worksheet+xml" PartName="/xl/worksheets/sheet25922.xml"/>
  <Override ContentType="application/vnd.openxmlformats-officedocument.spreadsheetml.worksheet+xml" PartName="/xl/worksheets/sheet25923.xml"/>
  <Override ContentType="application/vnd.openxmlformats-officedocument.spreadsheetml.worksheet+xml" PartName="/xl/worksheets/sheet25924.xml"/>
  <Override ContentType="application/vnd.openxmlformats-officedocument.spreadsheetml.worksheet+xml" PartName="/xl/worksheets/sheet25925.xml"/>
  <Override ContentType="application/vnd.openxmlformats-officedocument.spreadsheetml.worksheet+xml" PartName="/xl/worksheets/sheet25926.xml"/>
  <Override ContentType="application/vnd.openxmlformats-officedocument.spreadsheetml.worksheet+xml" PartName="/xl/worksheets/sheet25927.xml"/>
  <Override ContentType="application/vnd.openxmlformats-officedocument.spreadsheetml.worksheet+xml" PartName="/xl/worksheets/sheet25928.xml"/>
  <Override ContentType="application/vnd.openxmlformats-officedocument.spreadsheetml.worksheet+xml" PartName="/xl/worksheets/sheet25929.xml"/>
  <Override ContentType="application/vnd.openxmlformats-officedocument.spreadsheetml.worksheet+xml" PartName="/xl/worksheets/sheet25930.xml"/>
  <Override ContentType="application/vnd.openxmlformats-officedocument.spreadsheetml.worksheet+xml" PartName="/xl/worksheets/sheet25931.xml"/>
  <Override ContentType="application/vnd.openxmlformats-officedocument.spreadsheetml.worksheet+xml" PartName="/xl/worksheets/sheet25932.xml"/>
  <Override ContentType="application/vnd.openxmlformats-officedocument.spreadsheetml.worksheet+xml" PartName="/xl/worksheets/sheet25933.xml"/>
  <Override ContentType="application/vnd.openxmlformats-officedocument.spreadsheetml.worksheet+xml" PartName="/xl/worksheets/sheet25934.xml"/>
  <Override ContentType="application/vnd.openxmlformats-officedocument.spreadsheetml.worksheet+xml" PartName="/xl/worksheets/sheet25935.xml"/>
  <Override ContentType="application/vnd.openxmlformats-officedocument.spreadsheetml.worksheet+xml" PartName="/xl/worksheets/sheet25936.xml"/>
  <Override ContentType="application/vnd.openxmlformats-officedocument.spreadsheetml.worksheet+xml" PartName="/xl/worksheets/sheet25937.xml"/>
  <Override ContentType="application/vnd.openxmlformats-officedocument.spreadsheetml.worksheet+xml" PartName="/xl/worksheets/sheet25938.xml"/>
  <Override ContentType="application/vnd.openxmlformats-officedocument.spreadsheetml.worksheet+xml" PartName="/xl/worksheets/sheet25939.xml"/>
  <Override ContentType="application/vnd.openxmlformats-officedocument.spreadsheetml.worksheet+xml" PartName="/xl/worksheets/sheet25940.xml"/>
  <Override ContentType="application/vnd.openxmlformats-officedocument.spreadsheetml.worksheet+xml" PartName="/xl/worksheets/sheet25941.xml"/>
  <Override ContentType="application/vnd.openxmlformats-officedocument.spreadsheetml.worksheet+xml" PartName="/xl/worksheets/sheet25942.xml"/>
  <Override ContentType="application/vnd.openxmlformats-officedocument.spreadsheetml.worksheet+xml" PartName="/xl/worksheets/sheet25943.xml"/>
  <Override ContentType="application/vnd.openxmlformats-officedocument.spreadsheetml.worksheet+xml" PartName="/xl/worksheets/sheet25944.xml"/>
  <Override ContentType="application/vnd.openxmlformats-officedocument.spreadsheetml.worksheet+xml" PartName="/xl/worksheets/sheet25945.xml"/>
  <Override ContentType="application/vnd.openxmlformats-officedocument.spreadsheetml.worksheet+xml" PartName="/xl/worksheets/sheet25946.xml"/>
  <Override ContentType="application/vnd.openxmlformats-officedocument.spreadsheetml.worksheet+xml" PartName="/xl/worksheets/sheet25947.xml"/>
  <Override ContentType="application/vnd.openxmlformats-officedocument.spreadsheetml.worksheet+xml" PartName="/xl/worksheets/sheet25948.xml"/>
  <Override ContentType="application/vnd.openxmlformats-officedocument.spreadsheetml.worksheet+xml" PartName="/xl/worksheets/sheet25949.xml"/>
  <Override ContentType="application/vnd.openxmlformats-officedocument.spreadsheetml.worksheet+xml" PartName="/xl/worksheets/sheet25950.xml"/>
  <Override ContentType="application/vnd.openxmlformats-officedocument.spreadsheetml.worksheet+xml" PartName="/xl/worksheets/sheet25951.xml"/>
  <Override ContentType="application/vnd.openxmlformats-officedocument.spreadsheetml.worksheet+xml" PartName="/xl/worksheets/sheet25952.xml"/>
  <Override ContentType="application/vnd.openxmlformats-officedocument.spreadsheetml.worksheet+xml" PartName="/xl/worksheets/sheet25953.xml"/>
  <Override ContentType="application/vnd.openxmlformats-officedocument.spreadsheetml.worksheet+xml" PartName="/xl/worksheets/sheet25954.xml"/>
  <Override ContentType="application/vnd.openxmlformats-officedocument.spreadsheetml.worksheet+xml" PartName="/xl/worksheets/sheet25955.xml"/>
  <Override ContentType="application/vnd.openxmlformats-officedocument.spreadsheetml.worksheet+xml" PartName="/xl/worksheets/sheet25956.xml"/>
  <Override ContentType="application/vnd.openxmlformats-officedocument.spreadsheetml.worksheet+xml" PartName="/xl/worksheets/sheet25957.xml"/>
  <Override ContentType="application/vnd.openxmlformats-officedocument.spreadsheetml.worksheet+xml" PartName="/xl/worksheets/sheet25958.xml"/>
  <Override ContentType="application/vnd.openxmlformats-officedocument.spreadsheetml.worksheet+xml" PartName="/xl/worksheets/sheet25959.xml"/>
  <Override ContentType="application/vnd.openxmlformats-officedocument.spreadsheetml.worksheet+xml" PartName="/xl/worksheets/sheet25960.xml"/>
  <Override ContentType="application/vnd.openxmlformats-officedocument.spreadsheetml.worksheet+xml" PartName="/xl/worksheets/sheet25961.xml"/>
  <Override ContentType="application/vnd.openxmlformats-officedocument.spreadsheetml.worksheet+xml" PartName="/xl/worksheets/sheet25962.xml"/>
  <Override ContentType="application/vnd.openxmlformats-officedocument.spreadsheetml.worksheet+xml" PartName="/xl/worksheets/sheet25963.xml"/>
  <Override ContentType="application/vnd.openxmlformats-officedocument.spreadsheetml.worksheet+xml" PartName="/xl/worksheets/sheet25964.xml"/>
  <Override ContentType="application/vnd.openxmlformats-officedocument.spreadsheetml.worksheet+xml" PartName="/xl/worksheets/sheet25965.xml"/>
  <Override ContentType="application/vnd.openxmlformats-officedocument.spreadsheetml.worksheet+xml" PartName="/xl/worksheets/sheet25966.xml"/>
  <Override ContentType="application/vnd.openxmlformats-officedocument.spreadsheetml.worksheet+xml" PartName="/xl/worksheets/sheet25967.xml"/>
  <Override ContentType="application/vnd.openxmlformats-officedocument.spreadsheetml.worksheet+xml" PartName="/xl/worksheets/sheet25968.xml"/>
  <Override ContentType="application/vnd.openxmlformats-officedocument.spreadsheetml.worksheet+xml" PartName="/xl/worksheets/sheet25969.xml"/>
  <Override ContentType="application/vnd.openxmlformats-officedocument.spreadsheetml.worksheet+xml" PartName="/xl/worksheets/sheet25970.xml"/>
  <Override ContentType="application/vnd.openxmlformats-officedocument.spreadsheetml.worksheet+xml" PartName="/xl/worksheets/sheet25971.xml"/>
  <Override ContentType="application/vnd.openxmlformats-officedocument.spreadsheetml.worksheet+xml" PartName="/xl/worksheets/sheet25972.xml"/>
  <Override ContentType="application/vnd.openxmlformats-officedocument.spreadsheetml.worksheet+xml" PartName="/xl/worksheets/sheet25973.xml"/>
  <Override ContentType="application/vnd.openxmlformats-officedocument.spreadsheetml.worksheet+xml" PartName="/xl/worksheets/sheet25974.xml"/>
  <Override ContentType="application/vnd.openxmlformats-officedocument.spreadsheetml.worksheet+xml" PartName="/xl/worksheets/sheet25975.xml"/>
  <Override ContentType="application/vnd.openxmlformats-officedocument.spreadsheetml.worksheet+xml" PartName="/xl/worksheets/sheet25976.xml"/>
  <Override ContentType="application/vnd.openxmlformats-officedocument.spreadsheetml.worksheet+xml" PartName="/xl/worksheets/sheet25977.xml"/>
  <Override ContentType="application/vnd.openxmlformats-officedocument.spreadsheetml.worksheet+xml" PartName="/xl/worksheets/sheet25978.xml"/>
  <Override ContentType="application/vnd.openxmlformats-officedocument.spreadsheetml.worksheet+xml" PartName="/xl/worksheets/sheet25979.xml"/>
  <Override ContentType="application/vnd.openxmlformats-officedocument.spreadsheetml.worksheet+xml" PartName="/xl/worksheets/sheet25980.xml"/>
  <Override ContentType="application/vnd.openxmlformats-officedocument.spreadsheetml.worksheet+xml" PartName="/xl/worksheets/sheet25981.xml"/>
  <Override ContentType="application/vnd.openxmlformats-officedocument.spreadsheetml.worksheet+xml" PartName="/xl/worksheets/sheet25982.xml"/>
  <Override ContentType="application/vnd.openxmlformats-officedocument.spreadsheetml.worksheet+xml" PartName="/xl/worksheets/sheet25983.xml"/>
  <Override ContentType="application/vnd.openxmlformats-officedocument.spreadsheetml.worksheet+xml" PartName="/xl/worksheets/sheet25984.xml"/>
  <Override ContentType="application/vnd.openxmlformats-officedocument.spreadsheetml.worksheet+xml" PartName="/xl/worksheets/sheet25985.xml"/>
  <Override ContentType="application/vnd.openxmlformats-officedocument.spreadsheetml.worksheet+xml" PartName="/xl/worksheets/sheet25986.xml"/>
  <Override ContentType="application/vnd.openxmlformats-officedocument.spreadsheetml.worksheet+xml" PartName="/xl/worksheets/sheet25987.xml"/>
  <Override ContentType="application/vnd.openxmlformats-officedocument.spreadsheetml.worksheet+xml" PartName="/xl/worksheets/sheet25988.xml"/>
  <Override ContentType="application/vnd.openxmlformats-officedocument.spreadsheetml.worksheet+xml" PartName="/xl/worksheets/sheet25989.xml"/>
  <Override ContentType="application/vnd.openxmlformats-officedocument.spreadsheetml.worksheet+xml" PartName="/xl/worksheets/sheet25990.xml"/>
  <Override ContentType="application/vnd.openxmlformats-officedocument.spreadsheetml.worksheet+xml" PartName="/xl/worksheets/sheet25991.xml"/>
  <Override ContentType="application/vnd.openxmlformats-officedocument.spreadsheetml.worksheet+xml" PartName="/xl/worksheets/sheet25992.xml"/>
  <Override ContentType="application/vnd.openxmlformats-officedocument.spreadsheetml.worksheet+xml" PartName="/xl/worksheets/sheet25993.xml"/>
  <Override ContentType="application/vnd.openxmlformats-officedocument.spreadsheetml.worksheet+xml" PartName="/xl/worksheets/sheet25994.xml"/>
  <Override ContentType="application/vnd.openxmlformats-officedocument.spreadsheetml.worksheet+xml" PartName="/xl/worksheets/sheet25995.xml"/>
  <Override ContentType="application/vnd.openxmlformats-officedocument.spreadsheetml.worksheet+xml" PartName="/xl/worksheets/sheet25996.xml"/>
  <Override ContentType="application/vnd.openxmlformats-officedocument.spreadsheetml.worksheet+xml" PartName="/xl/worksheets/sheet25997.xml"/>
  <Override ContentType="application/vnd.openxmlformats-officedocument.spreadsheetml.worksheet+xml" PartName="/xl/worksheets/sheet25998.xml"/>
  <Override ContentType="application/vnd.openxmlformats-officedocument.spreadsheetml.worksheet+xml" PartName="/xl/worksheets/sheet25999.xml"/>
  <Override ContentType="application/vnd.openxmlformats-officedocument.spreadsheetml.worksheet+xml" PartName="/xl/worksheets/sheet26000.xml"/>
  <Override ContentType="application/vnd.openxmlformats-officedocument.spreadsheetml.worksheet+xml" PartName="/xl/worksheets/sheet26001.xml"/>
  <Override ContentType="application/vnd.openxmlformats-officedocument.spreadsheetml.worksheet+xml" PartName="/xl/worksheets/sheet26002.xml"/>
  <Override ContentType="application/vnd.openxmlformats-officedocument.spreadsheetml.worksheet+xml" PartName="/xl/worksheets/sheet26003.xml"/>
  <Override ContentType="application/vnd.openxmlformats-officedocument.spreadsheetml.worksheet+xml" PartName="/xl/worksheets/sheet26004.xml"/>
  <Override ContentType="application/vnd.openxmlformats-officedocument.spreadsheetml.worksheet+xml" PartName="/xl/worksheets/sheet26005.xml"/>
  <Override ContentType="application/vnd.openxmlformats-officedocument.spreadsheetml.worksheet+xml" PartName="/xl/worksheets/sheet26006.xml"/>
  <Override ContentType="application/vnd.openxmlformats-officedocument.spreadsheetml.worksheet+xml" PartName="/xl/worksheets/sheet26007.xml"/>
  <Override ContentType="application/vnd.openxmlformats-officedocument.spreadsheetml.worksheet+xml" PartName="/xl/worksheets/sheet26008.xml"/>
  <Override ContentType="application/vnd.openxmlformats-officedocument.spreadsheetml.worksheet+xml" PartName="/xl/worksheets/sheet26009.xml"/>
  <Override ContentType="application/vnd.openxmlformats-officedocument.spreadsheetml.worksheet+xml" PartName="/xl/worksheets/sheet26010.xml"/>
  <Override ContentType="application/vnd.openxmlformats-officedocument.spreadsheetml.worksheet+xml" PartName="/xl/worksheets/sheet26011.xml"/>
  <Override ContentType="application/vnd.openxmlformats-officedocument.spreadsheetml.worksheet+xml" PartName="/xl/worksheets/sheet26012.xml"/>
  <Override ContentType="application/vnd.openxmlformats-officedocument.spreadsheetml.worksheet+xml" PartName="/xl/worksheets/sheet26013.xml"/>
  <Override ContentType="application/vnd.openxmlformats-officedocument.spreadsheetml.worksheet+xml" PartName="/xl/worksheets/sheet26014.xml"/>
  <Override ContentType="application/vnd.openxmlformats-officedocument.spreadsheetml.worksheet+xml" PartName="/xl/worksheets/sheet26015.xml"/>
  <Override ContentType="application/vnd.openxmlformats-officedocument.spreadsheetml.worksheet+xml" PartName="/xl/worksheets/sheet26016.xml"/>
  <Override ContentType="application/vnd.openxmlformats-officedocument.spreadsheetml.worksheet+xml" PartName="/xl/worksheets/sheet26017.xml"/>
  <Override ContentType="application/vnd.openxmlformats-officedocument.spreadsheetml.worksheet+xml" PartName="/xl/worksheets/sheet26018.xml"/>
  <Override ContentType="application/vnd.openxmlformats-officedocument.spreadsheetml.worksheet+xml" PartName="/xl/worksheets/sheet26019.xml"/>
  <Override ContentType="application/vnd.openxmlformats-officedocument.spreadsheetml.worksheet+xml" PartName="/xl/worksheets/sheet26020.xml"/>
  <Override ContentType="application/vnd.openxmlformats-officedocument.spreadsheetml.worksheet+xml" PartName="/xl/worksheets/sheet26021.xml"/>
  <Override ContentType="application/vnd.openxmlformats-officedocument.spreadsheetml.worksheet+xml" PartName="/xl/worksheets/sheet26022.xml"/>
  <Override ContentType="application/vnd.openxmlformats-officedocument.spreadsheetml.worksheet+xml" PartName="/xl/worksheets/sheet26023.xml"/>
  <Override ContentType="application/vnd.openxmlformats-officedocument.spreadsheetml.worksheet+xml" PartName="/xl/worksheets/sheet26024.xml"/>
  <Override ContentType="application/vnd.openxmlformats-officedocument.spreadsheetml.worksheet+xml" PartName="/xl/worksheets/sheet26025.xml"/>
  <Override ContentType="application/vnd.openxmlformats-officedocument.spreadsheetml.worksheet+xml" PartName="/xl/worksheets/sheet26026.xml"/>
  <Override ContentType="application/vnd.openxmlformats-officedocument.spreadsheetml.worksheet+xml" PartName="/xl/worksheets/sheet26027.xml"/>
  <Override ContentType="application/vnd.openxmlformats-officedocument.spreadsheetml.worksheet+xml" PartName="/xl/worksheets/sheet26028.xml"/>
  <Override ContentType="application/vnd.openxmlformats-officedocument.spreadsheetml.worksheet+xml" PartName="/xl/worksheets/sheet26029.xml"/>
  <Override ContentType="application/vnd.openxmlformats-officedocument.spreadsheetml.worksheet+xml" PartName="/xl/worksheets/sheet26030.xml"/>
  <Override ContentType="application/vnd.openxmlformats-officedocument.spreadsheetml.worksheet+xml" PartName="/xl/worksheets/sheet26031.xml"/>
  <Override ContentType="application/vnd.openxmlformats-officedocument.spreadsheetml.worksheet+xml" PartName="/xl/worksheets/sheet26032.xml"/>
  <Override ContentType="application/vnd.openxmlformats-officedocument.spreadsheetml.worksheet+xml" PartName="/xl/worksheets/sheet26033.xml"/>
  <Override ContentType="application/vnd.openxmlformats-officedocument.spreadsheetml.worksheet+xml" PartName="/xl/worksheets/sheet26034.xml"/>
  <Override ContentType="application/vnd.openxmlformats-officedocument.spreadsheetml.worksheet+xml" PartName="/xl/worksheets/sheet26035.xml"/>
  <Override ContentType="application/vnd.openxmlformats-officedocument.spreadsheetml.worksheet+xml" PartName="/xl/worksheets/sheet26036.xml"/>
  <Override ContentType="application/vnd.openxmlformats-officedocument.spreadsheetml.worksheet+xml" PartName="/xl/worksheets/sheet26037.xml"/>
  <Override ContentType="application/vnd.openxmlformats-officedocument.spreadsheetml.worksheet+xml" PartName="/xl/worksheets/sheet26038.xml"/>
  <Override ContentType="application/vnd.openxmlformats-officedocument.spreadsheetml.worksheet+xml" PartName="/xl/worksheets/sheet26039.xml"/>
  <Override ContentType="application/vnd.openxmlformats-officedocument.spreadsheetml.worksheet+xml" PartName="/xl/worksheets/sheet26040.xml"/>
  <Override ContentType="application/vnd.openxmlformats-officedocument.spreadsheetml.worksheet+xml" PartName="/xl/worksheets/sheet26041.xml"/>
  <Override ContentType="application/vnd.openxmlformats-officedocument.spreadsheetml.worksheet+xml" PartName="/xl/worksheets/sheet26042.xml"/>
  <Override ContentType="application/vnd.openxmlformats-officedocument.spreadsheetml.worksheet+xml" PartName="/xl/worksheets/sheet26043.xml"/>
  <Override ContentType="application/vnd.openxmlformats-officedocument.spreadsheetml.worksheet+xml" PartName="/xl/worksheets/sheet26044.xml"/>
  <Override ContentType="application/vnd.openxmlformats-officedocument.spreadsheetml.worksheet+xml" PartName="/xl/worksheets/sheet26045.xml"/>
  <Override ContentType="application/vnd.openxmlformats-officedocument.spreadsheetml.worksheet+xml" PartName="/xl/worksheets/sheet26046.xml"/>
  <Override ContentType="application/vnd.openxmlformats-officedocument.spreadsheetml.worksheet+xml" PartName="/xl/worksheets/sheet26047.xml"/>
  <Override ContentType="application/vnd.openxmlformats-officedocument.spreadsheetml.worksheet+xml" PartName="/xl/worksheets/sheet26048.xml"/>
  <Override ContentType="application/vnd.openxmlformats-officedocument.spreadsheetml.worksheet+xml" PartName="/xl/worksheets/sheet26049.xml"/>
  <Override ContentType="application/vnd.openxmlformats-officedocument.spreadsheetml.worksheet+xml" PartName="/xl/worksheets/sheet26050.xml"/>
  <Override ContentType="application/vnd.openxmlformats-officedocument.spreadsheetml.worksheet+xml" PartName="/xl/worksheets/sheet26051.xml"/>
  <Override ContentType="application/vnd.openxmlformats-officedocument.spreadsheetml.worksheet+xml" PartName="/xl/worksheets/sheet26052.xml"/>
  <Override ContentType="application/vnd.openxmlformats-officedocument.spreadsheetml.worksheet+xml" PartName="/xl/worksheets/sheet26053.xml"/>
  <Override ContentType="application/vnd.openxmlformats-officedocument.spreadsheetml.worksheet+xml" PartName="/xl/worksheets/sheet26054.xml"/>
  <Override ContentType="application/vnd.openxmlformats-officedocument.spreadsheetml.worksheet+xml" PartName="/xl/worksheets/sheet26055.xml"/>
  <Override ContentType="application/vnd.openxmlformats-officedocument.spreadsheetml.worksheet+xml" PartName="/xl/worksheets/sheet26056.xml"/>
  <Override ContentType="application/vnd.openxmlformats-officedocument.spreadsheetml.worksheet+xml" PartName="/xl/worksheets/sheet26057.xml"/>
  <Override ContentType="application/vnd.openxmlformats-officedocument.spreadsheetml.worksheet+xml" PartName="/xl/worksheets/sheet26058.xml"/>
  <Override ContentType="application/vnd.openxmlformats-officedocument.spreadsheetml.worksheet+xml" PartName="/xl/worksheets/sheet26059.xml"/>
  <Override ContentType="application/vnd.openxmlformats-officedocument.spreadsheetml.worksheet+xml" PartName="/xl/worksheets/sheet26060.xml"/>
  <Override ContentType="application/vnd.openxmlformats-officedocument.spreadsheetml.worksheet+xml" PartName="/xl/worksheets/sheet26061.xml"/>
  <Override ContentType="application/vnd.openxmlformats-officedocument.spreadsheetml.worksheet+xml" PartName="/xl/worksheets/sheet26062.xml"/>
  <Override ContentType="application/vnd.openxmlformats-officedocument.spreadsheetml.worksheet+xml" PartName="/xl/worksheets/sheet26063.xml"/>
  <Override ContentType="application/vnd.openxmlformats-officedocument.spreadsheetml.worksheet+xml" PartName="/xl/worksheets/sheet26064.xml"/>
  <Override ContentType="application/vnd.openxmlformats-officedocument.spreadsheetml.worksheet+xml" PartName="/xl/worksheets/sheet26065.xml"/>
  <Override ContentType="application/vnd.openxmlformats-officedocument.spreadsheetml.worksheet+xml" PartName="/xl/worksheets/sheet26066.xml"/>
  <Override ContentType="application/vnd.openxmlformats-officedocument.spreadsheetml.worksheet+xml" PartName="/xl/worksheets/sheet26067.xml"/>
  <Override ContentType="application/vnd.openxmlformats-officedocument.spreadsheetml.worksheet+xml" PartName="/xl/worksheets/sheet26068.xml"/>
  <Override ContentType="application/vnd.openxmlformats-officedocument.spreadsheetml.worksheet+xml" PartName="/xl/worksheets/sheet26069.xml"/>
  <Override ContentType="application/vnd.openxmlformats-officedocument.spreadsheetml.worksheet+xml" PartName="/xl/worksheets/sheet26070.xml"/>
  <Override ContentType="application/vnd.openxmlformats-officedocument.spreadsheetml.worksheet+xml" PartName="/xl/worksheets/sheet26071.xml"/>
  <Override ContentType="application/vnd.openxmlformats-officedocument.spreadsheetml.worksheet+xml" PartName="/xl/worksheets/sheet26072.xml"/>
  <Override ContentType="application/vnd.openxmlformats-officedocument.spreadsheetml.worksheet+xml" PartName="/xl/worksheets/sheet26073.xml"/>
  <Override ContentType="application/vnd.openxmlformats-officedocument.spreadsheetml.worksheet+xml" PartName="/xl/worksheets/sheet26074.xml"/>
  <Override ContentType="application/vnd.openxmlformats-officedocument.spreadsheetml.worksheet+xml" PartName="/xl/worksheets/sheet26075.xml"/>
  <Override ContentType="application/vnd.openxmlformats-officedocument.spreadsheetml.worksheet+xml" PartName="/xl/worksheets/sheet26076.xml"/>
  <Override ContentType="application/vnd.openxmlformats-officedocument.spreadsheetml.worksheet+xml" PartName="/xl/worksheets/sheet26077.xml"/>
  <Override ContentType="application/vnd.openxmlformats-officedocument.spreadsheetml.worksheet+xml" PartName="/xl/worksheets/sheet26078.xml"/>
  <Override ContentType="application/vnd.openxmlformats-officedocument.spreadsheetml.worksheet+xml" PartName="/xl/worksheets/sheet26079.xml"/>
  <Override ContentType="application/vnd.openxmlformats-officedocument.spreadsheetml.worksheet+xml" PartName="/xl/worksheets/sheet26080.xml"/>
  <Override ContentType="application/vnd.openxmlformats-officedocument.spreadsheetml.worksheet+xml" PartName="/xl/worksheets/sheet26081.xml"/>
  <Override ContentType="application/vnd.openxmlformats-officedocument.spreadsheetml.worksheet+xml" PartName="/xl/worksheets/sheet26082.xml"/>
  <Override ContentType="application/vnd.openxmlformats-officedocument.spreadsheetml.worksheet+xml" PartName="/xl/worksheets/sheet26083.xml"/>
  <Override ContentType="application/vnd.openxmlformats-officedocument.spreadsheetml.worksheet+xml" PartName="/xl/worksheets/sheet26084.xml"/>
  <Override ContentType="application/vnd.openxmlformats-officedocument.spreadsheetml.worksheet+xml" PartName="/xl/worksheets/sheet26085.xml"/>
  <Override ContentType="application/vnd.openxmlformats-officedocument.spreadsheetml.worksheet+xml" PartName="/xl/worksheets/sheet26086.xml"/>
  <Override ContentType="application/vnd.openxmlformats-officedocument.spreadsheetml.worksheet+xml" PartName="/xl/worksheets/sheet26087.xml"/>
  <Override ContentType="application/vnd.openxmlformats-officedocument.spreadsheetml.worksheet+xml" PartName="/xl/worksheets/sheet26088.xml"/>
  <Override ContentType="application/vnd.openxmlformats-officedocument.spreadsheetml.worksheet+xml" PartName="/xl/worksheets/sheet26089.xml"/>
  <Override ContentType="application/vnd.openxmlformats-officedocument.spreadsheetml.worksheet+xml" PartName="/xl/worksheets/sheet26090.xml"/>
  <Override ContentType="application/vnd.openxmlformats-officedocument.spreadsheetml.worksheet+xml" PartName="/xl/worksheets/sheet26091.xml"/>
  <Override ContentType="application/vnd.openxmlformats-officedocument.spreadsheetml.worksheet+xml" PartName="/xl/worksheets/sheet26092.xml"/>
  <Override ContentType="application/vnd.openxmlformats-officedocument.spreadsheetml.worksheet+xml" PartName="/xl/worksheets/sheet26093.xml"/>
  <Override ContentType="application/vnd.openxmlformats-officedocument.spreadsheetml.worksheet+xml" PartName="/xl/worksheets/sheet26094.xml"/>
  <Override ContentType="application/vnd.openxmlformats-officedocument.spreadsheetml.worksheet+xml" PartName="/xl/worksheets/sheet26095.xml"/>
  <Override ContentType="application/vnd.openxmlformats-officedocument.spreadsheetml.worksheet+xml" PartName="/xl/worksheets/sheet26096.xml"/>
  <Override ContentType="application/vnd.openxmlformats-officedocument.spreadsheetml.worksheet+xml" PartName="/xl/worksheets/sheet26097.xml"/>
  <Override ContentType="application/vnd.openxmlformats-officedocument.spreadsheetml.worksheet+xml" PartName="/xl/worksheets/sheet26098.xml"/>
  <Override ContentType="application/vnd.openxmlformats-officedocument.spreadsheetml.worksheet+xml" PartName="/xl/worksheets/sheet26099.xml"/>
  <Override ContentType="application/vnd.openxmlformats-officedocument.spreadsheetml.worksheet+xml" PartName="/xl/worksheets/sheet26100.xml"/>
  <Override ContentType="application/vnd.openxmlformats-officedocument.spreadsheetml.worksheet+xml" PartName="/xl/worksheets/sheet26101.xml"/>
  <Override ContentType="application/vnd.openxmlformats-officedocument.spreadsheetml.worksheet+xml" PartName="/xl/worksheets/sheet26102.xml"/>
  <Override ContentType="application/vnd.openxmlformats-officedocument.spreadsheetml.worksheet+xml" PartName="/xl/worksheets/sheet26103.xml"/>
  <Override ContentType="application/vnd.openxmlformats-officedocument.spreadsheetml.worksheet+xml" PartName="/xl/worksheets/sheet26104.xml"/>
  <Override ContentType="application/vnd.openxmlformats-officedocument.spreadsheetml.worksheet+xml" PartName="/xl/worksheets/sheet26105.xml"/>
  <Override ContentType="application/vnd.openxmlformats-officedocument.spreadsheetml.worksheet+xml" PartName="/xl/worksheets/sheet26106.xml"/>
  <Override ContentType="application/vnd.openxmlformats-officedocument.spreadsheetml.worksheet+xml" PartName="/xl/worksheets/sheet26107.xml"/>
  <Override ContentType="application/vnd.openxmlformats-officedocument.spreadsheetml.worksheet+xml" PartName="/xl/worksheets/sheet26108.xml"/>
  <Override ContentType="application/vnd.openxmlformats-officedocument.spreadsheetml.worksheet+xml" PartName="/xl/worksheets/sheet26109.xml"/>
  <Override ContentType="application/vnd.openxmlformats-officedocument.spreadsheetml.worksheet+xml" PartName="/xl/worksheets/sheet26110.xml"/>
  <Override ContentType="application/vnd.openxmlformats-officedocument.spreadsheetml.worksheet+xml" PartName="/xl/worksheets/sheet26111.xml"/>
  <Override ContentType="application/vnd.openxmlformats-officedocument.spreadsheetml.worksheet+xml" PartName="/xl/worksheets/sheet26112.xml"/>
  <Override ContentType="application/vnd.openxmlformats-officedocument.spreadsheetml.worksheet+xml" PartName="/xl/worksheets/sheet26113.xml"/>
  <Override ContentType="application/vnd.openxmlformats-officedocument.spreadsheetml.worksheet+xml" PartName="/xl/worksheets/sheet26114.xml"/>
  <Override ContentType="application/vnd.openxmlformats-officedocument.spreadsheetml.worksheet+xml" PartName="/xl/worksheets/sheet26115.xml"/>
  <Override ContentType="application/vnd.openxmlformats-officedocument.spreadsheetml.worksheet+xml" PartName="/xl/worksheets/sheet26116.xml"/>
  <Override ContentType="application/vnd.openxmlformats-officedocument.spreadsheetml.worksheet+xml" PartName="/xl/worksheets/sheet26117.xml"/>
  <Override ContentType="application/vnd.openxmlformats-officedocument.spreadsheetml.worksheet+xml" PartName="/xl/worksheets/sheet26118.xml"/>
  <Override ContentType="application/vnd.openxmlformats-officedocument.spreadsheetml.worksheet+xml" PartName="/xl/worksheets/sheet26119.xml"/>
  <Override ContentType="application/vnd.openxmlformats-officedocument.spreadsheetml.worksheet+xml" PartName="/xl/worksheets/sheet26120.xml"/>
  <Override ContentType="application/vnd.openxmlformats-officedocument.spreadsheetml.worksheet+xml" PartName="/xl/worksheets/sheet26121.xml"/>
  <Override ContentType="application/vnd.openxmlformats-officedocument.spreadsheetml.worksheet+xml" PartName="/xl/worksheets/sheet26122.xml"/>
  <Override ContentType="application/vnd.openxmlformats-officedocument.spreadsheetml.worksheet+xml" PartName="/xl/worksheets/sheet26123.xml"/>
  <Override ContentType="application/vnd.openxmlformats-officedocument.spreadsheetml.worksheet+xml" PartName="/xl/worksheets/sheet26124.xml"/>
  <Override ContentType="application/vnd.openxmlformats-officedocument.spreadsheetml.worksheet+xml" PartName="/xl/worksheets/sheet26125.xml"/>
  <Override ContentType="application/vnd.openxmlformats-officedocument.spreadsheetml.worksheet+xml" PartName="/xl/worksheets/sheet26126.xml"/>
  <Override ContentType="application/vnd.openxmlformats-officedocument.spreadsheetml.worksheet+xml" PartName="/xl/worksheets/sheet26127.xml"/>
  <Override ContentType="application/vnd.openxmlformats-officedocument.spreadsheetml.worksheet+xml" PartName="/xl/worksheets/sheet26128.xml"/>
  <Override ContentType="application/vnd.openxmlformats-officedocument.spreadsheetml.worksheet+xml" PartName="/xl/worksheets/sheet26129.xml"/>
  <Override ContentType="application/vnd.openxmlformats-officedocument.spreadsheetml.worksheet+xml" PartName="/xl/worksheets/sheet26130.xml"/>
  <Override ContentType="application/vnd.openxmlformats-officedocument.spreadsheetml.worksheet+xml" PartName="/xl/worksheets/sheet26131.xml"/>
  <Override ContentType="application/vnd.openxmlformats-officedocument.spreadsheetml.worksheet+xml" PartName="/xl/worksheets/sheet26132.xml"/>
  <Override ContentType="application/vnd.openxmlformats-officedocument.spreadsheetml.worksheet+xml" PartName="/xl/worksheets/sheet26133.xml"/>
  <Override ContentType="application/vnd.openxmlformats-officedocument.spreadsheetml.worksheet+xml" PartName="/xl/worksheets/sheet26134.xml"/>
  <Override ContentType="application/vnd.openxmlformats-officedocument.spreadsheetml.worksheet+xml" PartName="/xl/worksheets/sheet26135.xml"/>
  <Override ContentType="application/vnd.openxmlformats-officedocument.spreadsheetml.worksheet+xml" PartName="/xl/worksheets/sheet26136.xml"/>
  <Override ContentType="application/vnd.openxmlformats-officedocument.spreadsheetml.worksheet+xml" PartName="/xl/worksheets/sheet26137.xml"/>
  <Override ContentType="application/vnd.openxmlformats-officedocument.spreadsheetml.worksheet+xml" PartName="/xl/worksheets/sheet26138.xml"/>
  <Override ContentType="application/vnd.openxmlformats-officedocument.spreadsheetml.worksheet+xml" PartName="/xl/worksheets/sheet26139.xml"/>
  <Override ContentType="application/vnd.openxmlformats-officedocument.spreadsheetml.worksheet+xml" PartName="/xl/worksheets/sheet26140.xml"/>
  <Override ContentType="application/vnd.openxmlformats-officedocument.spreadsheetml.worksheet+xml" PartName="/xl/worksheets/sheet26141.xml"/>
  <Override ContentType="application/vnd.openxmlformats-officedocument.spreadsheetml.worksheet+xml" PartName="/xl/worksheets/sheet26142.xml"/>
  <Override ContentType="application/vnd.openxmlformats-officedocument.spreadsheetml.worksheet+xml" PartName="/xl/worksheets/sheet26143.xml"/>
  <Override ContentType="application/vnd.openxmlformats-officedocument.spreadsheetml.worksheet+xml" PartName="/xl/worksheets/sheet26144.xml"/>
  <Override ContentType="application/vnd.openxmlformats-officedocument.spreadsheetml.worksheet+xml" PartName="/xl/worksheets/sheet26145.xml"/>
  <Override ContentType="application/vnd.openxmlformats-officedocument.spreadsheetml.worksheet+xml" PartName="/xl/worksheets/sheet26146.xml"/>
  <Override ContentType="application/vnd.openxmlformats-officedocument.spreadsheetml.worksheet+xml" PartName="/xl/worksheets/sheet26147.xml"/>
  <Override ContentType="application/vnd.openxmlformats-officedocument.spreadsheetml.worksheet+xml" PartName="/xl/worksheets/sheet26148.xml"/>
  <Override ContentType="application/vnd.openxmlformats-officedocument.spreadsheetml.worksheet+xml" PartName="/xl/worksheets/sheet26149.xml"/>
  <Override ContentType="application/vnd.openxmlformats-officedocument.spreadsheetml.worksheet+xml" PartName="/xl/worksheets/sheet26150.xml"/>
  <Override ContentType="application/vnd.openxmlformats-officedocument.spreadsheetml.worksheet+xml" PartName="/xl/worksheets/sheet26151.xml"/>
  <Override ContentType="application/vnd.openxmlformats-officedocument.spreadsheetml.worksheet+xml" PartName="/xl/worksheets/sheet26152.xml"/>
  <Override ContentType="application/vnd.openxmlformats-officedocument.spreadsheetml.worksheet+xml" PartName="/xl/worksheets/sheet26153.xml"/>
  <Override ContentType="application/vnd.openxmlformats-officedocument.spreadsheetml.worksheet+xml" PartName="/xl/worksheets/sheet26154.xml"/>
  <Override ContentType="application/vnd.openxmlformats-officedocument.spreadsheetml.worksheet+xml" PartName="/xl/worksheets/sheet26155.xml"/>
  <Override ContentType="application/vnd.openxmlformats-officedocument.spreadsheetml.worksheet+xml" PartName="/xl/worksheets/sheet26156.xml"/>
  <Override ContentType="application/vnd.openxmlformats-officedocument.spreadsheetml.worksheet+xml" PartName="/xl/worksheets/sheet26157.xml"/>
  <Override ContentType="application/vnd.openxmlformats-officedocument.spreadsheetml.worksheet+xml" PartName="/xl/worksheets/sheet26158.xml"/>
  <Override ContentType="application/vnd.openxmlformats-officedocument.spreadsheetml.worksheet+xml" PartName="/xl/worksheets/sheet26159.xml"/>
  <Override ContentType="application/vnd.openxmlformats-officedocument.spreadsheetml.worksheet+xml" PartName="/xl/worksheets/sheet26160.xml"/>
  <Override ContentType="application/vnd.openxmlformats-officedocument.spreadsheetml.worksheet+xml" PartName="/xl/worksheets/sheet26161.xml"/>
  <Override ContentType="application/vnd.openxmlformats-officedocument.spreadsheetml.worksheet+xml" PartName="/xl/worksheets/sheet26162.xml"/>
  <Override ContentType="application/vnd.openxmlformats-officedocument.spreadsheetml.worksheet+xml" PartName="/xl/worksheets/sheet26163.xml"/>
  <Override ContentType="application/vnd.openxmlformats-officedocument.spreadsheetml.worksheet+xml" PartName="/xl/worksheets/sheet26164.xml"/>
  <Override ContentType="application/vnd.openxmlformats-officedocument.spreadsheetml.worksheet+xml" PartName="/xl/worksheets/sheet26165.xml"/>
  <Override ContentType="application/vnd.openxmlformats-officedocument.spreadsheetml.worksheet+xml" PartName="/xl/worksheets/sheet26166.xml"/>
  <Override ContentType="application/vnd.openxmlformats-officedocument.spreadsheetml.worksheet+xml" PartName="/xl/worksheets/sheet26167.xml"/>
  <Override ContentType="application/vnd.openxmlformats-officedocument.spreadsheetml.worksheet+xml" PartName="/xl/worksheets/sheet26168.xml"/>
  <Override ContentType="application/vnd.openxmlformats-officedocument.spreadsheetml.worksheet+xml" PartName="/xl/worksheets/sheet26169.xml"/>
  <Override ContentType="application/vnd.openxmlformats-officedocument.spreadsheetml.worksheet+xml" PartName="/xl/worksheets/sheet26170.xml"/>
  <Override ContentType="application/vnd.openxmlformats-officedocument.spreadsheetml.worksheet+xml" PartName="/xl/worksheets/sheet26171.xml"/>
  <Override ContentType="application/vnd.openxmlformats-officedocument.spreadsheetml.worksheet+xml" PartName="/xl/worksheets/sheet26172.xml"/>
  <Override ContentType="application/vnd.openxmlformats-officedocument.spreadsheetml.worksheet+xml" PartName="/xl/worksheets/sheet26173.xml"/>
  <Override ContentType="application/vnd.openxmlformats-officedocument.spreadsheetml.worksheet+xml" PartName="/xl/worksheets/sheet26174.xml"/>
  <Override ContentType="application/vnd.openxmlformats-officedocument.spreadsheetml.worksheet+xml" PartName="/xl/worksheets/sheet26175.xml"/>
  <Override ContentType="application/vnd.openxmlformats-officedocument.spreadsheetml.worksheet+xml" PartName="/xl/worksheets/sheet26176.xml"/>
  <Override ContentType="application/vnd.openxmlformats-officedocument.spreadsheetml.worksheet+xml" PartName="/xl/worksheets/sheet26177.xml"/>
  <Override ContentType="application/vnd.openxmlformats-officedocument.spreadsheetml.worksheet+xml" PartName="/xl/worksheets/sheet26178.xml"/>
  <Override ContentType="application/vnd.openxmlformats-officedocument.spreadsheetml.worksheet+xml" PartName="/xl/worksheets/sheet26179.xml"/>
  <Override ContentType="application/vnd.openxmlformats-officedocument.spreadsheetml.worksheet+xml" PartName="/xl/worksheets/sheet26180.xml"/>
  <Override ContentType="application/vnd.openxmlformats-officedocument.spreadsheetml.worksheet+xml" PartName="/xl/worksheets/sheet26181.xml"/>
  <Override ContentType="application/vnd.openxmlformats-officedocument.spreadsheetml.worksheet+xml" PartName="/xl/worksheets/sheet26182.xml"/>
  <Override ContentType="application/vnd.openxmlformats-officedocument.spreadsheetml.worksheet+xml" PartName="/xl/worksheets/sheet26183.xml"/>
  <Override ContentType="application/vnd.openxmlformats-officedocument.spreadsheetml.worksheet+xml" PartName="/xl/worksheets/sheet26184.xml"/>
  <Override ContentType="application/vnd.openxmlformats-officedocument.spreadsheetml.worksheet+xml" PartName="/xl/worksheets/sheet26185.xml"/>
  <Override ContentType="application/vnd.openxmlformats-officedocument.spreadsheetml.worksheet+xml" PartName="/xl/worksheets/sheet26186.xml"/>
  <Override ContentType="application/vnd.openxmlformats-officedocument.spreadsheetml.worksheet+xml" PartName="/xl/worksheets/sheet26187.xml"/>
  <Override ContentType="application/vnd.openxmlformats-officedocument.spreadsheetml.worksheet+xml" PartName="/xl/worksheets/sheet26188.xml"/>
  <Override ContentType="application/vnd.openxmlformats-officedocument.spreadsheetml.worksheet+xml" PartName="/xl/worksheets/sheet26189.xml"/>
  <Override ContentType="application/vnd.openxmlformats-officedocument.spreadsheetml.worksheet+xml" PartName="/xl/worksheets/sheet26190.xml"/>
  <Override ContentType="application/vnd.openxmlformats-officedocument.spreadsheetml.worksheet+xml" PartName="/xl/worksheets/sheet26191.xml"/>
  <Override ContentType="application/vnd.openxmlformats-officedocument.spreadsheetml.worksheet+xml" PartName="/xl/worksheets/sheet26192.xml"/>
  <Override ContentType="application/vnd.openxmlformats-officedocument.spreadsheetml.worksheet+xml" PartName="/xl/worksheets/sheet26193.xml"/>
  <Override ContentType="application/vnd.openxmlformats-officedocument.spreadsheetml.worksheet+xml" PartName="/xl/worksheets/sheet26194.xml"/>
  <Override ContentType="application/vnd.openxmlformats-officedocument.spreadsheetml.worksheet+xml" PartName="/xl/worksheets/sheet26195.xml"/>
  <Override ContentType="application/vnd.openxmlformats-officedocument.spreadsheetml.worksheet+xml" PartName="/xl/worksheets/sheet26196.xml"/>
  <Override ContentType="application/vnd.openxmlformats-officedocument.spreadsheetml.worksheet+xml" PartName="/xl/worksheets/sheet26197.xml"/>
  <Override ContentType="application/vnd.openxmlformats-officedocument.spreadsheetml.worksheet+xml" PartName="/xl/worksheets/sheet26198.xml"/>
  <Override ContentType="application/vnd.openxmlformats-officedocument.spreadsheetml.worksheet+xml" PartName="/xl/worksheets/sheet26199.xml"/>
  <Override ContentType="application/vnd.openxmlformats-officedocument.spreadsheetml.worksheet+xml" PartName="/xl/worksheets/sheet26200.xml"/>
  <Override ContentType="application/vnd.openxmlformats-officedocument.spreadsheetml.worksheet+xml" PartName="/xl/worksheets/sheet26201.xml"/>
  <Override ContentType="application/vnd.openxmlformats-officedocument.spreadsheetml.worksheet+xml" PartName="/xl/worksheets/sheet26202.xml"/>
  <Override ContentType="application/vnd.openxmlformats-officedocument.spreadsheetml.worksheet+xml" PartName="/xl/worksheets/sheet26203.xml"/>
  <Override ContentType="application/vnd.openxmlformats-officedocument.spreadsheetml.worksheet+xml" PartName="/xl/worksheets/sheet26204.xml"/>
  <Override ContentType="application/vnd.openxmlformats-officedocument.spreadsheetml.worksheet+xml" PartName="/xl/worksheets/sheet26205.xml"/>
  <Override ContentType="application/vnd.openxmlformats-officedocument.spreadsheetml.worksheet+xml" PartName="/xl/worksheets/sheet26206.xml"/>
  <Override ContentType="application/vnd.openxmlformats-officedocument.spreadsheetml.worksheet+xml" PartName="/xl/worksheets/sheet26207.xml"/>
  <Override ContentType="application/vnd.openxmlformats-officedocument.spreadsheetml.worksheet+xml" PartName="/xl/worksheets/sheet26208.xml"/>
  <Override ContentType="application/vnd.openxmlformats-officedocument.spreadsheetml.worksheet+xml" PartName="/xl/worksheets/sheet26209.xml"/>
  <Override ContentType="application/vnd.openxmlformats-officedocument.spreadsheetml.worksheet+xml" PartName="/xl/worksheets/sheet26210.xml"/>
  <Override ContentType="application/vnd.openxmlformats-officedocument.spreadsheetml.worksheet+xml" PartName="/xl/worksheets/sheet26211.xml"/>
  <Override ContentType="application/vnd.openxmlformats-officedocument.spreadsheetml.worksheet+xml" PartName="/xl/worksheets/sheet26212.xml"/>
  <Override ContentType="application/vnd.openxmlformats-officedocument.spreadsheetml.worksheet+xml" PartName="/xl/worksheets/sheet26213.xml"/>
  <Override ContentType="application/vnd.openxmlformats-officedocument.spreadsheetml.worksheet+xml" PartName="/xl/worksheets/sheet26214.xml"/>
  <Override ContentType="application/vnd.openxmlformats-officedocument.spreadsheetml.worksheet+xml" PartName="/xl/worksheets/sheet26215.xml"/>
  <Override ContentType="application/vnd.openxmlformats-officedocument.spreadsheetml.worksheet+xml" PartName="/xl/worksheets/sheet26216.xml"/>
  <Override ContentType="application/vnd.openxmlformats-officedocument.spreadsheetml.worksheet+xml" PartName="/xl/worksheets/sheet26217.xml"/>
  <Override ContentType="application/vnd.openxmlformats-officedocument.spreadsheetml.worksheet+xml" PartName="/xl/worksheets/sheet26218.xml"/>
  <Override ContentType="application/vnd.openxmlformats-officedocument.spreadsheetml.worksheet+xml" PartName="/xl/worksheets/sheet26219.xml"/>
  <Override ContentType="application/vnd.openxmlformats-officedocument.spreadsheetml.worksheet+xml" PartName="/xl/worksheets/sheet26220.xml"/>
  <Override ContentType="application/vnd.openxmlformats-officedocument.spreadsheetml.worksheet+xml" PartName="/xl/worksheets/sheet26221.xml"/>
  <Override ContentType="application/vnd.openxmlformats-officedocument.spreadsheetml.worksheet+xml" PartName="/xl/worksheets/sheet26222.xml"/>
  <Override ContentType="application/vnd.openxmlformats-officedocument.spreadsheetml.worksheet+xml" PartName="/xl/worksheets/sheet26223.xml"/>
  <Override ContentType="application/vnd.openxmlformats-officedocument.spreadsheetml.worksheet+xml" PartName="/xl/worksheets/sheet26224.xml"/>
  <Override ContentType="application/vnd.openxmlformats-officedocument.spreadsheetml.worksheet+xml" PartName="/xl/worksheets/sheet26225.xml"/>
  <Override ContentType="application/vnd.openxmlformats-officedocument.spreadsheetml.worksheet+xml" PartName="/xl/worksheets/sheet26226.xml"/>
  <Override ContentType="application/vnd.openxmlformats-officedocument.spreadsheetml.worksheet+xml" PartName="/xl/worksheets/sheet26227.xml"/>
  <Override ContentType="application/vnd.openxmlformats-officedocument.spreadsheetml.worksheet+xml" PartName="/xl/worksheets/sheet26228.xml"/>
  <Override ContentType="application/vnd.openxmlformats-officedocument.spreadsheetml.worksheet+xml" PartName="/xl/worksheets/sheet26229.xml"/>
  <Override ContentType="application/vnd.openxmlformats-officedocument.spreadsheetml.worksheet+xml" PartName="/xl/worksheets/sheet26230.xml"/>
  <Override ContentType="application/vnd.openxmlformats-officedocument.spreadsheetml.worksheet+xml" PartName="/xl/worksheets/sheet26231.xml"/>
  <Override ContentType="application/vnd.openxmlformats-officedocument.spreadsheetml.worksheet+xml" PartName="/xl/worksheets/sheet26232.xml"/>
  <Override ContentType="application/vnd.openxmlformats-officedocument.spreadsheetml.worksheet+xml" PartName="/xl/worksheets/sheet26233.xml"/>
  <Override ContentType="application/vnd.openxmlformats-officedocument.spreadsheetml.worksheet+xml" PartName="/xl/worksheets/sheet26234.xml"/>
  <Override ContentType="application/vnd.openxmlformats-officedocument.spreadsheetml.worksheet+xml" PartName="/xl/worksheets/sheet26235.xml"/>
  <Override ContentType="application/vnd.openxmlformats-officedocument.spreadsheetml.worksheet+xml" PartName="/xl/worksheets/sheet26236.xml"/>
  <Override ContentType="application/vnd.openxmlformats-officedocument.spreadsheetml.worksheet+xml" PartName="/xl/worksheets/sheet26237.xml"/>
  <Override ContentType="application/vnd.openxmlformats-officedocument.spreadsheetml.worksheet+xml" PartName="/xl/worksheets/sheet26238.xml"/>
  <Override ContentType="application/vnd.openxmlformats-officedocument.spreadsheetml.worksheet+xml" PartName="/xl/worksheets/sheet26239.xml"/>
  <Override ContentType="application/vnd.openxmlformats-officedocument.spreadsheetml.worksheet+xml" PartName="/xl/worksheets/sheet26240.xml"/>
  <Override ContentType="application/vnd.openxmlformats-officedocument.spreadsheetml.worksheet+xml" PartName="/xl/worksheets/sheet26241.xml"/>
  <Override ContentType="application/vnd.openxmlformats-officedocument.spreadsheetml.worksheet+xml" PartName="/xl/worksheets/sheet26242.xml"/>
  <Override ContentType="application/vnd.openxmlformats-officedocument.spreadsheetml.worksheet+xml" PartName="/xl/worksheets/sheet26243.xml"/>
  <Override ContentType="application/vnd.openxmlformats-officedocument.spreadsheetml.worksheet+xml" PartName="/xl/worksheets/sheet26244.xml"/>
  <Override ContentType="application/vnd.openxmlformats-officedocument.spreadsheetml.worksheet+xml" PartName="/xl/worksheets/sheet26245.xml"/>
  <Override ContentType="application/vnd.openxmlformats-officedocument.spreadsheetml.worksheet+xml" PartName="/xl/worksheets/sheet26246.xml"/>
  <Override ContentType="application/vnd.openxmlformats-officedocument.spreadsheetml.worksheet+xml" PartName="/xl/worksheets/sheet26247.xml"/>
  <Override ContentType="application/vnd.openxmlformats-officedocument.spreadsheetml.worksheet+xml" PartName="/xl/worksheets/sheet26248.xml"/>
  <Override ContentType="application/vnd.openxmlformats-officedocument.spreadsheetml.worksheet+xml" PartName="/xl/worksheets/sheet26249.xml"/>
  <Override ContentType="application/vnd.openxmlformats-officedocument.spreadsheetml.worksheet+xml" PartName="/xl/worksheets/sheet26250.xml"/>
  <Override ContentType="application/vnd.openxmlformats-officedocument.spreadsheetml.worksheet+xml" PartName="/xl/worksheets/sheet26251.xml"/>
  <Override ContentType="application/vnd.openxmlformats-officedocument.spreadsheetml.worksheet+xml" PartName="/xl/worksheets/sheet26252.xml"/>
  <Override ContentType="application/vnd.openxmlformats-officedocument.spreadsheetml.worksheet+xml" PartName="/xl/worksheets/sheet26253.xml"/>
  <Override ContentType="application/vnd.openxmlformats-officedocument.spreadsheetml.worksheet+xml" PartName="/xl/worksheets/sheet26254.xml"/>
  <Override ContentType="application/vnd.openxmlformats-officedocument.spreadsheetml.worksheet+xml" PartName="/xl/worksheets/sheet26255.xml"/>
  <Override ContentType="application/vnd.openxmlformats-officedocument.spreadsheetml.worksheet+xml" PartName="/xl/worksheets/sheet26256.xml"/>
  <Override ContentType="application/vnd.openxmlformats-officedocument.spreadsheetml.worksheet+xml" PartName="/xl/worksheets/sheet26257.xml"/>
  <Override ContentType="application/vnd.openxmlformats-officedocument.spreadsheetml.worksheet+xml" PartName="/xl/worksheets/sheet26258.xml"/>
  <Override ContentType="application/vnd.openxmlformats-officedocument.spreadsheetml.worksheet+xml" PartName="/xl/worksheets/sheet26259.xml"/>
  <Override ContentType="application/vnd.openxmlformats-officedocument.spreadsheetml.worksheet+xml" PartName="/xl/worksheets/sheet26260.xml"/>
  <Override ContentType="application/vnd.openxmlformats-officedocument.spreadsheetml.worksheet+xml" PartName="/xl/worksheets/sheet26261.xml"/>
  <Override ContentType="application/vnd.openxmlformats-officedocument.spreadsheetml.worksheet+xml" PartName="/xl/worksheets/sheet26262.xml"/>
  <Override ContentType="application/vnd.openxmlformats-officedocument.spreadsheetml.worksheet+xml" PartName="/xl/worksheets/sheet26263.xml"/>
  <Override ContentType="application/vnd.openxmlformats-officedocument.spreadsheetml.worksheet+xml" PartName="/xl/worksheets/sheet26264.xml"/>
  <Override ContentType="application/vnd.openxmlformats-officedocument.spreadsheetml.worksheet+xml" PartName="/xl/worksheets/sheet26265.xml"/>
  <Override ContentType="application/vnd.openxmlformats-officedocument.spreadsheetml.worksheet+xml" PartName="/xl/worksheets/sheet26266.xml"/>
  <Override ContentType="application/vnd.openxmlformats-officedocument.spreadsheetml.worksheet+xml" PartName="/xl/worksheets/sheet26267.xml"/>
  <Override ContentType="application/vnd.openxmlformats-officedocument.spreadsheetml.worksheet+xml" PartName="/xl/worksheets/sheet26268.xml"/>
  <Override ContentType="application/vnd.openxmlformats-officedocument.spreadsheetml.worksheet+xml" PartName="/xl/worksheets/sheet26269.xml"/>
  <Override ContentType="application/vnd.openxmlformats-officedocument.spreadsheetml.worksheet+xml" PartName="/xl/worksheets/sheet26270.xml"/>
  <Override ContentType="application/vnd.openxmlformats-officedocument.spreadsheetml.worksheet+xml" PartName="/xl/worksheets/sheet26271.xml"/>
  <Override ContentType="application/vnd.openxmlformats-officedocument.spreadsheetml.worksheet+xml" PartName="/xl/worksheets/sheet26272.xml"/>
  <Override ContentType="application/vnd.openxmlformats-officedocument.spreadsheetml.worksheet+xml" PartName="/xl/worksheets/sheet26273.xml"/>
  <Override ContentType="application/vnd.openxmlformats-officedocument.spreadsheetml.worksheet+xml" PartName="/xl/worksheets/sheet26274.xml"/>
  <Override ContentType="application/vnd.openxmlformats-officedocument.spreadsheetml.worksheet+xml" PartName="/xl/worksheets/sheet26275.xml"/>
  <Override ContentType="application/vnd.openxmlformats-officedocument.spreadsheetml.worksheet+xml" PartName="/xl/worksheets/sheet26276.xml"/>
  <Override ContentType="application/vnd.openxmlformats-officedocument.spreadsheetml.worksheet+xml" PartName="/xl/worksheets/sheet26277.xml"/>
  <Override ContentType="application/vnd.openxmlformats-officedocument.spreadsheetml.worksheet+xml" PartName="/xl/worksheets/sheet26278.xml"/>
  <Override ContentType="application/vnd.openxmlformats-officedocument.spreadsheetml.worksheet+xml" PartName="/xl/worksheets/sheet26279.xml"/>
  <Override ContentType="application/vnd.openxmlformats-officedocument.spreadsheetml.worksheet+xml" PartName="/xl/worksheets/sheet26280.xml"/>
  <Override ContentType="application/vnd.openxmlformats-officedocument.spreadsheetml.worksheet+xml" PartName="/xl/worksheets/sheet26281.xml"/>
  <Override ContentType="application/vnd.openxmlformats-officedocument.spreadsheetml.worksheet+xml" PartName="/xl/worksheets/sheet26282.xml"/>
  <Override ContentType="application/vnd.openxmlformats-officedocument.spreadsheetml.worksheet+xml" PartName="/xl/worksheets/sheet26283.xml"/>
  <Override ContentType="application/vnd.openxmlformats-officedocument.spreadsheetml.worksheet+xml" PartName="/xl/worksheets/sheet26284.xml"/>
  <Override ContentType="application/vnd.openxmlformats-officedocument.spreadsheetml.worksheet+xml" PartName="/xl/worksheets/sheet26285.xml"/>
  <Override ContentType="application/vnd.openxmlformats-officedocument.spreadsheetml.worksheet+xml" PartName="/xl/worksheets/sheet26286.xml"/>
  <Override ContentType="application/vnd.openxmlformats-officedocument.spreadsheetml.worksheet+xml" PartName="/xl/worksheets/sheet26287.xml"/>
  <Override ContentType="application/vnd.openxmlformats-officedocument.spreadsheetml.worksheet+xml" PartName="/xl/worksheets/sheet26288.xml"/>
  <Override ContentType="application/vnd.openxmlformats-officedocument.spreadsheetml.worksheet+xml" PartName="/xl/worksheets/sheet26289.xml"/>
  <Override ContentType="application/vnd.openxmlformats-officedocument.spreadsheetml.worksheet+xml" PartName="/xl/worksheets/sheet26290.xml"/>
  <Override ContentType="application/vnd.openxmlformats-officedocument.spreadsheetml.worksheet+xml" PartName="/xl/worksheets/sheet26291.xml"/>
  <Override ContentType="application/vnd.openxmlformats-officedocument.spreadsheetml.worksheet+xml" PartName="/xl/worksheets/sheet26292.xml"/>
  <Override ContentType="application/vnd.openxmlformats-officedocument.spreadsheetml.worksheet+xml" PartName="/xl/worksheets/sheet26293.xml"/>
  <Override ContentType="application/vnd.openxmlformats-officedocument.spreadsheetml.worksheet+xml" PartName="/xl/worksheets/sheet26294.xml"/>
  <Override ContentType="application/vnd.openxmlformats-officedocument.spreadsheetml.worksheet+xml" PartName="/xl/worksheets/sheet26295.xml"/>
  <Override ContentType="application/vnd.openxmlformats-officedocument.spreadsheetml.worksheet+xml" PartName="/xl/worksheets/sheet26296.xml"/>
  <Override ContentType="application/vnd.openxmlformats-officedocument.spreadsheetml.worksheet+xml" PartName="/xl/worksheets/sheet26297.xml"/>
  <Override ContentType="application/vnd.openxmlformats-officedocument.spreadsheetml.worksheet+xml" PartName="/xl/worksheets/sheet26298.xml"/>
  <Override ContentType="application/vnd.openxmlformats-officedocument.spreadsheetml.worksheet+xml" PartName="/xl/worksheets/sheet26299.xml"/>
  <Override ContentType="application/vnd.openxmlformats-officedocument.spreadsheetml.worksheet+xml" PartName="/xl/worksheets/sheet26300.xml"/>
  <Override ContentType="application/vnd.openxmlformats-officedocument.spreadsheetml.worksheet+xml" PartName="/xl/worksheets/sheet26301.xml"/>
  <Override ContentType="application/vnd.openxmlformats-officedocument.spreadsheetml.worksheet+xml" PartName="/xl/worksheets/sheet26302.xml"/>
  <Override ContentType="application/vnd.openxmlformats-officedocument.spreadsheetml.worksheet+xml" PartName="/xl/worksheets/sheet26303.xml"/>
  <Override ContentType="application/vnd.openxmlformats-officedocument.spreadsheetml.worksheet+xml" PartName="/xl/worksheets/sheet26304.xml"/>
  <Override ContentType="application/vnd.openxmlformats-officedocument.spreadsheetml.worksheet+xml" PartName="/xl/worksheets/sheet26305.xml"/>
  <Override ContentType="application/vnd.openxmlformats-officedocument.spreadsheetml.worksheet+xml" PartName="/xl/worksheets/sheet26306.xml"/>
  <Override ContentType="application/vnd.openxmlformats-officedocument.spreadsheetml.worksheet+xml" PartName="/xl/worksheets/sheet26307.xml"/>
  <Override ContentType="application/vnd.openxmlformats-officedocument.spreadsheetml.worksheet+xml" PartName="/xl/worksheets/sheet26308.xml"/>
  <Override ContentType="application/vnd.openxmlformats-officedocument.spreadsheetml.worksheet+xml" PartName="/xl/worksheets/sheet26309.xml"/>
  <Override ContentType="application/vnd.openxmlformats-officedocument.spreadsheetml.worksheet+xml" PartName="/xl/worksheets/sheet26310.xml"/>
  <Override ContentType="application/vnd.openxmlformats-officedocument.spreadsheetml.worksheet+xml" PartName="/xl/worksheets/sheet26311.xml"/>
  <Override ContentType="application/vnd.openxmlformats-officedocument.spreadsheetml.worksheet+xml" PartName="/xl/worksheets/sheet26312.xml"/>
  <Override ContentType="application/vnd.openxmlformats-officedocument.spreadsheetml.worksheet+xml" PartName="/xl/worksheets/sheet26313.xml"/>
  <Override ContentType="application/vnd.openxmlformats-officedocument.spreadsheetml.worksheet+xml" PartName="/xl/worksheets/sheet26314.xml"/>
  <Override ContentType="application/vnd.openxmlformats-officedocument.spreadsheetml.worksheet+xml" PartName="/xl/worksheets/sheet26315.xml"/>
  <Override ContentType="application/vnd.openxmlformats-officedocument.spreadsheetml.worksheet+xml" PartName="/xl/worksheets/sheet26316.xml"/>
  <Override ContentType="application/vnd.openxmlformats-officedocument.spreadsheetml.worksheet+xml" PartName="/xl/worksheets/sheet26317.xml"/>
  <Override ContentType="application/vnd.openxmlformats-officedocument.spreadsheetml.worksheet+xml" PartName="/xl/worksheets/sheet26318.xml"/>
  <Override ContentType="application/vnd.openxmlformats-officedocument.spreadsheetml.worksheet+xml" PartName="/xl/worksheets/sheet26319.xml"/>
  <Override ContentType="application/vnd.openxmlformats-officedocument.spreadsheetml.worksheet+xml" PartName="/xl/worksheets/sheet26320.xml"/>
  <Override ContentType="application/vnd.openxmlformats-officedocument.spreadsheetml.worksheet+xml" PartName="/xl/worksheets/sheet26321.xml"/>
  <Override ContentType="application/vnd.openxmlformats-officedocument.spreadsheetml.worksheet+xml" PartName="/xl/worksheets/sheet26322.xml"/>
  <Override ContentType="application/vnd.openxmlformats-officedocument.spreadsheetml.worksheet+xml" PartName="/xl/worksheets/sheet26323.xml"/>
  <Override ContentType="application/vnd.openxmlformats-officedocument.spreadsheetml.worksheet+xml" PartName="/xl/worksheets/sheet26324.xml"/>
  <Override ContentType="application/vnd.openxmlformats-officedocument.spreadsheetml.worksheet+xml" PartName="/xl/worksheets/sheet26325.xml"/>
  <Override ContentType="application/vnd.openxmlformats-officedocument.spreadsheetml.worksheet+xml" PartName="/xl/worksheets/sheet26326.xml"/>
  <Override ContentType="application/vnd.openxmlformats-officedocument.spreadsheetml.worksheet+xml" PartName="/xl/worksheets/sheet26327.xml"/>
  <Override ContentType="application/vnd.openxmlformats-officedocument.spreadsheetml.worksheet+xml" PartName="/xl/worksheets/sheet26328.xml"/>
  <Override ContentType="application/vnd.openxmlformats-officedocument.spreadsheetml.worksheet+xml" PartName="/xl/worksheets/sheet26329.xml"/>
  <Override ContentType="application/vnd.openxmlformats-officedocument.spreadsheetml.worksheet+xml" PartName="/xl/worksheets/sheet26330.xml"/>
  <Override ContentType="application/vnd.openxmlformats-officedocument.spreadsheetml.worksheet+xml" PartName="/xl/worksheets/sheet26331.xml"/>
  <Override ContentType="application/vnd.openxmlformats-officedocument.spreadsheetml.worksheet+xml" PartName="/xl/worksheets/sheet26332.xml"/>
  <Override ContentType="application/vnd.openxmlformats-officedocument.spreadsheetml.worksheet+xml" PartName="/xl/worksheets/sheet26333.xml"/>
  <Override ContentType="application/vnd.openxmlformats-officedocument.spreadsheetml.worksheet+xml" PartName="/xl/worksheets/sheet26334.xml"/>
  <Override ContentType="application/vnd.openxmlformats-officedocument.spreadsheetml.worksheet+xml" PartName="/xl/worksheets/sheet26335.xml"/>
  <Override ContentType="application/vnd.openxmlformats-officedocument.spreadsheetml.worksheet+xml" PartName="/xl/worksheets/sheet26336.xml"/>
  <Override ContentType="application/vnd.openxmlformats-officedocument.spreadsheetml.worksheet+xml" PartName="/xl/worksheets/sheet26337.xml"/>
  <Override ContentType="application/vnd.openxmlformats-officedocument.spreadsheetml.worksheet+xml" PartName="/xl/worksheets/sheet26338.xml"/>
  <Override ContentType="application/vnd.openxmlformats-officedocument.spreadsheetml.worksheet+xml" PartName="/xl/worksheets/sheet26339.xml"/>
  <Override ContentType="application/vnd.openxmlformats-officedocument.spreadsheetml.worksheet+xml" PartName="/xl/worksheets/sheet26340.xml"/>
  <Override ContentType="application/vnd.openxmlformats-officedocument.spreadsheetml.worksheet+xml" PartName="/xl/worksheets/sheet26341.xml"/>
  <Override ContentType="application/vnd.openxmlformats-officedocument.spreadsheetml.worksheet+xml" PartName="/xl/worksheets/sheet26342.xml"/>
  <Override ContentType="application/vnd.openxmlformats-officedocument.spreadsheetml.worksheet+xml" PartName="/xl/worksheets/sheet26343.xml"/>
  <Override ContentType="application/vnd.openxmlformats-officedocument.spreadsheetml.worksheet+xml" PartName="/xl/worksheets/sheet26344.xml"/>
  <Override ContentType="application/vnd.openxmlformats-officedocument.spreadsheetml.worksheet+xml" PartName="/xl/worksheets/sheet26345.xml"/>
  <Override ContentType="application/vnd.openxmlformats-officedocument.spreadsheetml.worksheet+xml" PartName="/xl/worksheets/sheet26346.xml"/>
  <Override ContentType="application/vnd.openxmlformats-officedocument.spreadsheetml.worksheet+xml" PartName="/xl/worksheets/sheet26347.xml"/>
  <Override ContentType="application/vnd.openxmlformats-officedocument.spreadsheetml.worksheet+xml" PartName="/xl/worksheets/sheet26348.xml"/>
  <Override ContentType="application/vnd.openxmlformats-officedocument.spreadsheetml.worksheet+xml" PartName="/xl/worksheets/sheet26349.xml"/>
  <Override ContentType="application/vnd.openxmlformats-officedocument.spreadsheetml.worksheet+xml" PartName="/xl/worksheets/sheet26350.xml"/>
  <Override ContentType="application/vnd.openxmlformats-officedocument.spreadsheetml.worksheet+xml" PartName="/xl/worksheets/sheet26351.xml"/>
  <Override ContentType="application/vnd.openxmlformats-officedocument.spreadsheetml.worksheet+xml" PartName="/xl/worksheets/sheet26352.xml"/>
  <Override ContentType="application/vnd.openxmlformats-officedocument.spreadsheetml.worksheet+xml" PartName="/xl/worksheets/sheet26353.xml"/>
  <Override ContentType="application/vnd.openxmlformats-officedocument.spreadsheetml.worksheet+xml" PartName="/xl/worksheets/sheet26354.xml"/>
  <Override ContentType="application/vnd.openxmlformats-officedocument.spreadsheetml.worksheet+xml" PartName="/xl/worksheets/sheet26355.xml"/>
  <Override ContentType="application/vnd.openxmlformats-officedocument.spreadsheetml.worksheet+xml" PartName="/xl/worksheets/sheet26356.xml"/>
  <Override ContentType="application/vnd.openxmlformats-officedocument.spreadsheetml.worksheet+xml" PartName="/xl/worksheets/sheet26357.xml"/>
  <Override ContentType="application/vnd.openxmlformats-officedocument.spreadsheetml.worksheet+xml" PartName="/xl/worksheets/sheet26358.xml"/>
  <Override ContentType="application/vnd.openxmlformats-officedocument.spreadsheetml.worksheet+xml" PartName="/xl/worksheets/sheet26359.xml"/>
  <Override ContentType="application/vnd.openxmlformats-officedocument.spreadsheetml.worksheet+xml" PartName="/xl/worksheets/sheet26360.xml"/>
  <Override ContentType="application/vnd.openxmlformats-officedocument.spreadsheetml.worksheet+xml" PartName="/xl/worksheets/sheet26361.xml"/>
  <Override ContentType="application/vnd.openxmlformats-officedocument.spreadsheetml.worksheet+xml" PartName="/xl/worksheets/sheet26362.xml"/>
  <Override ContentType="application/vnd.openxmlformats-officedocument.spreadsheetml.worksheet+xml" PartName="/xl/worksheets/sheet26363.xml"/>
  <Override ContentType="application/vnd.openxmlformats-officedocument.spreadsheetml.worksheet+xml" PartName="/xl/worksheets/sheet26364.xml"/>
  <Override ContentType="application/vnd.openxmlformats-officedocument.spreadsheetml.worksheet+xml" PartName="/xl/worksheets/sheet26365.xml"/>
  <Override ContentType="application/vnd.openxmlformats-officedocument.spreadsheetml.worksheet+xml" PartName="/xl/worksheets/sheet26366.xml"/>
  <Override ContentType="application/vnd.openxmlformats-officedocument.spreadsheetml.worksheet+xml" PartName="/xl/worksheets/sheet26367.xml"/>
  <Override ContentType="application/vnd.openxmlformats-officedocument.spreadsheetml.worksheet+xml" PartName="/xl/worksheets/sheet26368.xml"/>
  <Override ContentType="application/vnd.openxmlformats-officedocument.spreadsheetml.worksheet+xml" PartName="/xl/worksheets/sheet26369.xml"/>
  <Override ContentType="application/vnd.openxmlformats-officedocument.spreadsheetml.worksheet+xml" PartName="/xl/worksheets/sheet26370.xml"/>
  <Override ContentType="application/vnd.openxmlformats-officedocument.spreadsheetml.worksheet+xml" PartName="/xl/worksheets/sheet26371.xml"/>
  <Override ContentType="application/vnd.openxmlformats-officedocument.spreadsheetml.worksheet+xml" PartName="/xl/worksheets/sheet26372.xml"/>
  <Override ContentType="application/vnd.openxmlformats-officedocument.spreadsheetml.worksheet+xml" PartName="/xl/worksheets/sheet26373.xml"/>
  <Override ContentType="application/vnd.openxmlformats-officedocument.spreadsheetml.worksheet+xml" PartName="/xl/worksheets/sheet26374.xml"/>
  <Override ContentType="application/vnd.openxmlformats-officedocument.spreadsheetml.worksheet+xml" PartName="/xl/worksheets/sheet26375.xml"/>
  <Override ContentType="application/vnd.openxmlformats-officedocument.spreadsheetml.worksheet+xml" PartName="/xl/worksheets/sheet26376.xml"/>
  <Override ContentType="application/vnd.openxmlformats-officedocument.spreadsheetml.worksheet+xml" PartName="/xl/worksheets/sheet26377.xml"/>
  <Override ContentType="application/vnd.openxmlformats-officedocument.spreadsheetml.worksheet+xml" PartName="/xl/worksheets/sheet26378.xml"/>
  <Override ContentType="application/vnd.openxmlformats-officedocument.spreadsheetml.worksheet+xml" PartName="/xl/worksheets/sheet26379.xml"/>
  <Override ContentType="application/vnd.openxmlformats-officedocument.spreadsheetml.worksheet+xml" PartName="/xl/worksheets/sheet26380.xml"/>
  <Override ContentType="application/vnd.openxmlformats-officedocument.spreadsheetml.worksheet+xml" PartName="/xl/worksheets/sheet26381.xml"/>
  <Override ContentType="application/vnd.openxmlformats-officedocument.spreadsheetml.worksheet+xml" PartName="/xl/worksheets/sheet26382.xml"/>
  <Override ContentType="application/vnd.openxmlformats-officedocument.spreadsheetml.worksheet+xml" PartName="/xl/worksheets/sheet26383.xml"/>
  <Override ContentType="application/vnd.openxmlformats-officedocument.spreadsheetml.worksheet+xml" PartName="/xl/worksheets/sheet26384.xml"/>
  <Override ContentType="application/vnd.openxmlformats-officedocument.spreadsheetml.worksheet+xml" PartName="/xl/worksheets/sheet26385.xml"/>
  <Override ContentType="application/vnd.openxmlformats-officedocument.spreadsheetml.worksheet+xml" PartName="/xl/worksheets/sheet26386.xml"/>
  <Override ContentType="application/vnd.openxmlformats-officedocument.spreadsheetml.worksheet+xml" PartName="/xl/worksheets/sheet26387.xml"/>
  <Override ContentType="application/vnd.openxmlformats-officedocument.spreadsheetml.worksheet+xml" PartName="/xl/worksheets/sheet26388.xml"/>
  <Override ContentType="application/vnd.openxmlformats-officedocument.spreadsheetml.worksheet+xml" PartName="/xl/worksheets/sheet26389.xml"/>
  <Override ContentType="application/vnd.openxmlformats-officedocument.spreadsheetml.worksheet+xml" PartName="/xl/worksheets/sheet26390.xml"/>
  <Override ContentType="application/vnd.openxmlformats-officedocument.spreadsheetml.worksheet+xml" PartName="/xl/worksheets/sheet26391.xml"/>
  <Override ContentType="application/vnd.openxmlformats-officedocument.spreadsheetml.worksheet+xml" PartName="/xl/worksheets/sheet26392.xml"/>
  <Override ContentType="application/vnd.openxmlformats-officedocument.spreadsheetml.worksheet+xml" PartName="/xl/worksheets/sheet26393.xml"/>
  <Override ContentType="application/vnd.openxmlformats-officedocument.spreadsheetml.worksheet+xml" PartName="/xl/worksheets/sheet26394.xml"/>
  <Override ContentType="application/vnd.openxmlformats-officedocument.spreadsheetml.worksheet+xml" PartName="/xl/worksheets/sheet26395.xml"/>
  <Override ContentType="application/vnd.openxmlformats-officedocument.spreadsheetml.worksheet+xml" PartName="/xl/worksheets/sheet26396.xml"/>
  <Override ContentType="application/vnd.openxmlformats-officedocument.spreadsheetml.worksheet+xml" PartName="/xl/worksheets/sheet26397.xml"/>
  <Override ContentType="application/vnd.openxmlformats-officedocument.spreadsheetml.worksheet+xml" PartName="/xl/worksheets/sheet26398.xml"/>
  <Override ContentType="application/vnd.openxmlformats-officedocument.spreadsheetml.worksheet+xml" PartName="/xl/worksheets/sheet26399.xml"/>
  <Override ContentType="application/vnd.openxmlformats-officedocument.spreadsheetml.worksheet+xml" PartName="/xl/worksheets/sheet26400.xml"/>
  <Override ContentType="application/vnd.openxmlformats-officedocument.spreadsheetml.worksheet+xml" PartName="/xl/worksheets/sheet26401.xml"/>
  <Override ContentType="application/vnd.openxmlformats-officedocument.spreadsheetml.worksheet+xml" PartName="/xl/worksheets/sheet26402.xml"/>
  <Override ContentType="application/vnd.openxmlformats-officedocument.spreadsheetml.worksheet+xml" PartName="/xl/worksheets/sheet26403.xml"/>
  <Override ContentType="application/vnd.openxmlformats-officedocument.spreadsheetml.worksheet+xml" PartName="/xl/worksheets/sheet26404.xml"/>
  <Override ContentType="application/vnd.openxmlformats-officedocument.spreadsheetml.worksheet+xml" PartName="/xl/worksheets/sheet26405.xml"/>
  <Override ContentType="application/vnd.openxmlformats-officedocument.spreadsheetml.worksheet+xml" PartName="/xl/worksheets/sheet26406.xml"/>
  <Override ContentType="application/vnd.openxmlformats-officedocument.spreadsheetml.worksheet+xml" PartName="/xl/worksheets/sheet26407.xml"/>
  <Override ContentType="application/vnd.openxmlformats-officedocument.spreadsheetml.worksheet+xml" PartName="/xl/worksheets/sheet26408.xml"/>
  <Override ContentType="application/vnd.openxmlformats-officedocument.spreadsheetml.worksheet+xml" PartName="/xl/worksheets/sheet26409.xml"/>
  <Override ContentType="application/vnd.openxmlformats-officedocument.spreadsheetml.worksheet+xml" PartName="/xl/worksheets/sheet26410.xml"/>
  <Override ContentType="application/vnd.openxmlformats-officedocument.spreadsheetml.worksheet+xml" PartName="/xl/worksheets/sheet26411.xml"/>
  <Override ContentType="application/vnd.openxmlformats-officedocument.spreadsheetml.worksheet+xml" PartName="/xl/worksheets/sheet26412.xml"/>
  <Override ContentType="application/vnd.openxmlformats-officedocument.spreadsheetml.worksheet+xml" PartName="/xl/worksheets/sheet26413.xml"/>
  <Override ContentType="application/vnd.openxmlformats-officedocument.spreadsheetml.worksheet+xml" PartName="/xl/worksheets/sheet26414.xml"/>
  <Override ContentType="application/vnd.openxmlformats-officedocument.spreadsheetml.worksheet+xml" PartName="/xl/worksheets/sheet26415.xml"/>
  <Override ContentType="application/vnd.openxmlformats-officedocument.spreadsheetml.worksheet+xml" PartName="/xl/worksheets/sheet26416.xml"/>
  <Override ContentType="application/vnd.openxmlformats-officedocument.spreadsheetml.worksheet+xml" PartName="/xl/worksheets/sheet26417.xml"/>
  <Override ContentType="application/vnd.openxmlformats-officedocument.spreadsheetml.worksheet+xml" PartName="/xl/worksheets/sheet26418.xml"/>
  <Override ContentType="application/vnd.openxmlformats-officedocument.spreadsheetml.worksheet+xml" PartName="/xl/worksheets/sheet26419.xml"/>
  <Override ContentType="application/vnd.openxmlformats-officedocument.spreadsheetml.worksheet+xml" PartName="/xl/worksheets/sheet26420.xml"/>
  <Override ContentType="application/vnd.openxmlformats-officedocument.spreadsheetml.worksheet+xml" PartName="/xl/worksheets/sheet26421.xml"/>
  <Override ContentType="application/vnd.openxmlformats-officedocument.spreadsheetml.worksheet+xml" PartName="/xl/worksheets/sheet26422.xml"/>
  <Override ContentType="application/vnd.openxmlformats-officedocument.spreadsheetml.worksheet+xml" PartName="/xl/worksheets/sheet26423.xml"/>
  <Override ContentType="application/vnd.openxmlformats-officedocument.spreadsheetml.worksheet+xml" PartName="/xl/worksheets/sheet26424.xml"/>
  <Override ContentType="application/vnd.openxmlformats-officedocument.spreadsheetml.worksheet+xml" PartName="/xl/worksheets/sheet26425.xml"/>
  <Override ContentType="application/vnd.openxmlformats-officedocument.spreadsheetml.worksheet+xml" PartName="/xl/worksheets/sheet26426.xml"/>
  <Override ContentType="application/vnd.openxmlformats-officedocument.spreadsheetml.worksheet+xml" PartName="/xl/worksheets/sheet26427.xml"/>
  <Override ContentType="application/vnd.openxmlformats-officedocument.spreadsheetml.worksheet+xml" PartName="/xl/worksheets/sheet26428.xml"/>
  <Override ContentType="application/vnd.openxmlformats-officedocument.spreadsheetml.worksheet+xml" PartName="/xl/worksheets/sheet26429.xml"/>
  <Override ContentType="application/vnd.openxmlformats-officedocument.spreadsheetml.worksheet+xml" PartName="/xl/worksheets/sheet26430.xml"/>
  <Override ContentType="application/vnd.openxmlformats-officedocument.spreadsheetml.worksheet+xml" PartName="/xl/worksheets/sheet26431.xml"/>
  <Override ContentType="application/vnd.openxmlformats-officedocument.spreadsheetml.worksheet+xml" PartName="/xl/worksheets/sheet26432.xml"/>
  <Override ContentType="application/vnd.openxmlformats-officedocument.spreadsheetml.worksheet+xml" PartName="/xl/worksheets/sheet26433.xml"/>
  <Override ContentType="application/vnd.openxmlformats-officedocument.spreadsheetml.worksheet+xml" PartName="/xl/worksheets/sheet26434.xml"/>
  <Override ContentType="application/vnd.openxmlformats-officedocument.spreadsheetml.worksheet+xml" PartName="/xl/worksheets/sheet26435.xml"/>
  <Override ContentType="application/vnd.openxmlformats-officedocument.spreadsheetml.worksheet+xml" PartName="/xl/worksheets/sheet26436.xml"/>
  <Override ContentType="application/vnd.openxmlformats-officedocument.spreadsheetml.worksheet+xml" PartName="/xl/worksheets/sheet26437.xml"/>
  <Override ContentType="application/vnd.openxmlformats-officedocument.spreadsheetml.worksheet+xml" PartName="/xl/worksheets/sheet26438.xml"/>
  <Override ContentType="application/vnd.openxmlformats-officedocument.spreadsheetml.worksheet+xml" PartName="/xl/worksheets/sheet26439.xml"/>
  <Override ContentType="application/vnd.openxmlformats-officedocument.spreadsheetml.worksheet+xml" PartName="/xl/worksheets/sheet26440.xml"/>
  <Override ContentType="application/vnd.openxmlformats-officedocument.spreadsheetml.worksheet+xml" PartName="/xl/worksheets/sheet26441.xml"/>
  <Override ContentType="application/vnd.openxmlformats-officedocument.spreadsheetml.worksheet+xml" PartName="/xl/worksheets/sheet26442.xml"/>
  <Override ContentType="application/vnd.openxmlformats-officedocument.spreadsheetml.worksheet+xml" PartName="/xl/worksheets/sheet26443.xml"/>
  <Override ContentType="application/vnd.openxmlformats-officedocument.spreadsheetml.worksheet+xml" PartName="/xl/worksheets/sheet26444.xml"/>
  <Override ContentType="application/vnd.openxmlformats-officedocument.spreadsheetml.worksheet+xml" PartName="/xl/worksheets/sheet26445.xml"/>
  <Override ContentType="application/vnd.openxmlformats-officedocument.spreadsheetml.worksheet+xml" PartName="/xl/worksheets/sheet26446.xml"/>
  <Override ContentType="application/vnd.openxmlformats-officedocument.spreadsheetml.worksheet+xml" PartName="/xl/worksheets/sheet26447.xml"/>
  <Override ContentType="application/vnd.openxmlformats-officedocument.spreadsheetml.worksheet+xml" PartName="/xl/worksheets/sheet26448.xml"/>
  <Override ContentType="application/vnd.openxmlformats-officedocument.spreadsheetml.worksheet+xml" PartName="/xl/worksheets/sheet26449.xml"/>
  <Override ContentType="application/vnd.openxmlformats-officedocument.spreadsheetml.worksheet+xml" PartName="/xl/worksheets/sheet26450.xml"/>
  <Override ContentType="application/vnd.openxmlformats-officedocument.spreadsheetml.worksheet+xml" PartName="/xl/worksheets/sheet26451.xml"/>
  <Override ContentType="application/vnd.openxmlformats-officedocument.spreadsheetml.worksheet+xml" PartName="/xl/worksheets/sheet26452.xml"/>
  <Override ContentType="application/vnd.openxmlformats-officedocument.spreadsheetml.worksheet+xml" PartName="/xl/worksheets/sheet26453.xml"/>
  <Override ContentType="application/vnd.openxmlformats-officedocument.spreadsheetml.worksheet+xml" PartName="/xl/worksheets/sheet26454.xml"/>
  <Override ContentType="application/vnd.openxmlformats-officedocument.spreadsheetml.worksheet+xml" PartName="/xl/worksheets/sheet26455.xml"/>
  <Override ContentType="application/vnd.openxmlformats-officedocument.spreadsheetml.worksheet+xml" PartName="/xl/worksheets/sheet26456.xml"/>
  <Override ContentType="application/vnd.openxmlformats-officedocument.spreadsheetml.worksheet+xml" PartName="/xl/worksheets/sheet26457.xml"/>
  <Override ContentType="application/vnd.openxmlformats-officedocument.spreadsheetml.worksheet+xml" PartName="/xl/worksheets/sheet26458.xml"/>
  <Override ContentType="application/vnd.openxmlformats-officedocument.spreadsheetml.worksheet+xml" PartName="/xl/worksheets/sheet26459.xml"/>
  <Override ContentType="application/vnd.openxmlformats-officedocument.spreadsheetml.worksheet+xml" PartName="/xl/worksheets/sheet26460.xml"/>
  <Override ContentType="application/vnd.openxmlformats-officedocument.spreadsheetml.worksheet+xml" PartName="/xl/worksheets/sheet26461.xml"/>
  <Override ContentType="application/vnd.openxmlformats-officedocument.spreadsheetml.worksheet+xml" PartName="/xl/worksheets/sheet26462.xml"/>
  <Override ContentType="application/vnd.openxmlformats-officedocument.spreadsheetml.worksheet+xml" PartName="/xl/worksheets/sheet26463.xml"/>
  <Override ContentType="application/vnd.openxmlformats-officedocument.spreadsheetml.worksheet+xml" PartName="/xl/worksheets/sheet26464.xml"/>
  <Override ContentType="application/vnd.openxmlformats-officedocument.spreadsheetml.worksheet+xml" PartName="/xl/worksheets/sheet26465.xml"/>
  <Override ContentType="application/vnd.openxmlformats-officedocument.spreadsheetml.worksheet+xml" PartName="/xl/worksheets/sheet26466.xml"/>
  <Override ContentType="application/vnd.openxmlformats-officedocument.spreadsheetml.worksheet+xml" PartName="/xl/worksheets/sheet26467.xml"/>
  <Override ContentType="application/vnd.openxmlformats-officedocument.spreadsheetml.worksheet+xml" PartName="/xl/worksheets/sheet26468.xml"/>
  <Override ContentType="application/vnd.openxmlformats-officedocument.spreadsheetml.worksheet+xml" PartName="/xl/worksheets/sheet26469.xml"/>
  <Override ContentType="application/vnd.openxmlformats-officedocument.spreadsheetml.worksheet+xml" PartName="/xl/worksheets/sheet26470.xml"/>
  <Override ContentType="application/vnd.openxmlformats-officedocument.spreadsheetml.worksheet+xml" PartName="/xl/worksheets/sheet26471.xml"/>
  <Override ContentType="application/vnd.openxmlformats-officedocument.spreadsheetml.worksheet+xml" PartName="/xl/worksheets/sheet26472.xml"/>
  <Override ContentType="application/vnd.openxmlformats-officedocument.spreadsheetml.worksheet+xml" PartName="/xl/worksheets/sheet26473.xml"/>
  <Override ContentType="application/vnd.openxmlformats-officedocument.spreadsheetml.worksheet+xml" PartName="/xl/worksheets/sheet26474.xml"/>
  <Override ContentType="application/vnd.openxmlformats-officedocument.spreadsheetml.worksheet+xml" PartName="/xl/worksheets/sheet26475.xml"/>
  <Override ContentType="application/vnd.openxmlformats-officedocument.spreadsheetml.worksheet+xml" PartName="/xl/worksheets/sheet26476.xml"/>
  <Override ContentType="application/vnd.openxmlformats-officedocument.spreadsheetml.worksheet+xml" PartName="/xl/worksheets/sheet26477.xml"/>
  <Override ContentType="application/vnd.openxmlformats-officedocument.spreadsheetml.worksheet+xml" PartName="/xl/worksheets/sheet26478.xml"/>
  <Override ContentType="application/vnd.openxmlformats-officedocument.spreadsheetml.worksheet+xml" PartName="/xl/worksheets/sheet26479.xml"/>
  <Override ContentType="application/vnd.openxmlformats-officedocument.spreadsheetml.worksheet+xml" PartName="/xl/worksheets/sheet26480.xml"/>
  <Override ContentType="application/vnd.openxmlformats-officedocument.spreadsheetml.worksheet+xml" PartName="/xl/worksheets/sheet26481.xml"/>
  <Override ContentType="application/vnd.openxmlformats-officedocument.spreadsheetml.worksheet+xml" PartName="/xl/worksheets/sheet26482.xml"/>
  <Override ContentType="application/vnd.openxmlformats-officedocument.spreadsheetml.worksheet+xml" PartName="/xl/worksheets/sheet26483.xml"/>
  <Override ContentType="application/vnd.openxmlformats-officedocument.spreadsheetml.worksheet+xml" PartName="/xl/worksheets/sheet26484.xml"/>
  <Override ContentType="application/vnd.openxmlformats-officedocument.spreadsheetml.worksheet+xml" PartName="/xl/worksheets/sheet26485.xml"/>
  <Override ContentType="application/vnd.openxmlformats-officedocument.spreadsheetml.worksheet+xml" PartName="/xl/worksheets/sheet26486.xml"/>
  <Override ContentType="application/vnd.openxmlformats-officedocument.spreadsheetml.worksheet+xml" PartName="/xl/worksheets/sheet26487.xml"/>
  <Override ContentType="application/vnd.openxmlformats-officedocument.spreadsheetml.worksheet+xml" PartName="/xl/worksheets/sheet26488.xml"/>
  <Override ContentType="application/vnd.openxmlformats-officedocument.spreadsheetml.worksheet+xml" PartName="/xl/worksheets/sheet26489.xml"/>
  <Override ContentType="application/vnd.openxmlformats-officedocument.spreadsheetml.worksheet+xml" PartName="/xl/worksheets/sheet26490.xml"/>
  <Override ContentType="application/vnd.openxmlformats-officedocument.spreadsheetml.worksheet+xml" PartName="/xl/worksheets/sheet26491.xml"/>
  <Override ContentType="application/vnd.openxmlformats-officedocument.spreadsheetml.worksheet+xml" PartName="/xl/worksheets/sheet26492.xml"/>
  <Override ContentType="application/vnd.openxmlformats-officedocument.spreadsheetml.worksheet+xml" PartName="/xl/worksheets/sheet26493.xml"/>
  <Override ContentType="application/vnd.openxmlformats-officedocument.spreadsheetml.worksheet+xml" PartName="/xl/worksheets/sheet26494.xml"/>
  <Override ContentType="application/vnd.openxmlformats-officedocument.spreadsheetml.worksheet+xml" PartName="/xl/worksheets/sheet26495.xml"/>
  <Override ContentType="application/vnd.openxmlformats-officedocument.spreadsheetml.worksheet+xml" PartName="/xl/worksheets/sheet26496.xml"/>
  <Override ContentType="application/vnd.openxmlformats-officedocument.spreadsheetml.worksheet+xml" PartName="/xl/worksheets/sheet26497.xml"/>
  <Override ContentType="application/vnd.openxmlformats-officedocument.spreadsheetml.worksheet+xml" PartName="/xl/worksheets/sheet26498.xml"/>
  <Override ContentType="application/vnd.openxmlformats-officedocument.spreadsheetml.worksheet+xml" PartName="/xl/worksheets/sheet26499.xml"/>
  <Override ContentType="application/vnd.openxmlformats-officedocument.spreadsheetml.worksheet+xml" PartName="/xl/worksheets/sheet26500.xml"/>
  <Override ContentType="application/vnd.openxmlformats-officedocument.spreadsheetml.worksheet+xml" PartName="/xl/worksheets/sheet26501.xml"/>
  <Override ContentType="application/vnd.openxmlformats-officedocument.spreadsheetml.worksheet+xml" PartName="/xl/worksheets/sheet26502.xml"/>
  <Override ContentType="application/vnd.openxmlformats-officedocument.spreadsheetml.worksheet+xml" PartName="/xl/worksheets/sheet26503.xml"/>
  <Override ContentType="application/vnd.openxmlformats-officedocument.spreadsheetml.worksheet+xml" PartName="/xl/worksheets/sheet26504.xml"/>
  <Override ContentType="application/vnd.openxmlformats-officedocument.spreadsheetml.worksheet+xml" PartName="/xl/worksheets/sheet26505.xml"/>
  <Override ContentType="application/vnd.openxmlformats-officedocument.spreadsheetml.worksheet+xml" PartName="/xl/worksheets/sheet26506.xml"/>
  <Override ContentType="application/vnd.openxmlformats-officedocument.spreadsheetml.worksheet+xml" PartName="/xl/worksheets/sheet26507.xml"/>
  <Override ContentType="application/vnd.openxmlformats-officedocument.spreadsheetml.worksheet+xml" PartName="/xl/worksheets/sheet26508.xml"/>
  <Override ContentType="application/vnd.openxmlformats-officedocument.spreadsheetml.worksheet+xml" PartName="/xl/worksheets/sheet26509.xml"/>
  <Override ContentType="application/vnd.openxmlformats-officedocument.spreadsheetml.worksheet+xml" PartName="/xl/worksheets/sheet26510.xml"/>
  <Override ContentType="application/vnd.openxmlformats-officedocument.spreadsheetml.worksheet+xml" PartName="/xl/worksheets/sheet26511.xml"/>
  <Override ContentType="application/vnd.openxmlformats-officedocument.spreadsheetml.worksheet+xml" PartName="/xl/worksheets/sheet26512.xml"/>
  <Override ContentType="application/vnd.openxmlformats-officedocument.spreadsheetml.worksheet+xml" PartName="/xl/worksheets/sheet26513.xml"/>
  <Override ContentType="application/vnd.openxmlformats-officedocument.spreadsheetml.worksheet+xml" PartName="/xl/worksheets/sheet26514.xml"/>
  <Override ContentType="application/vnd.openxmlformats-officedocument.spreadsheetml.worksheet+xml" PartName="/xl/worksheets/sheet26515.xml"/>
  <Override ContentType="application/vnd.openxmlformats-officedocument.spreadsheetml.worksheet+xml" PartName="/xl/worksheets/sheet26516.xml"/>
  <Override ContentType="application/vnd.openxmlformats-officedocument.spreadsheetml.worksheet+xml" PartName="/xl/worksheets/sheet26517.xml"/>
  <Override ContentType="application/vnd.openxmlformats-officedocument.spreadsheetml.worksheet+xml" PartName="/xl/worksheets/sheet26518.xml"/>
  <Override ContentType="application/vnd.openxmlformats-officedocument.spreadsheetml.worksheet+xml" PartName="/xl/worksheets/sheet26519.xml"/>
  <Override ContentType="application/vnd.openxmlformats-officedocument.spreadsheetml.worksheet+xml" PartName="/xl/worksheets/sheet26520.xml"/>
  <Override ContentType="application/vnd.openxmlformats-officedocument.spreadsheetml.worksheet+xml" PartName="/xl/worksheets/sheet26521.xml"/>
  <Override ContentType="application/vnd.openxmlformats-officedocument.spreadsheetml.worksheet+xml" PartName="/xl/worksheets/sheet26522.xml"/>
  <Override ContentType="application/vnd.openxmlformats-officedocument.spreadsheetml.worksheet+xml" PartName="/xl/worksheets/sheet26523.xml"/>
  <Override ContentType="application/vnd.openxmlformats-officedocument.spreadsheetml.worksheet+xml" PartName="/xl/worksheets/sheet26524.xml"/>
  <Override ContentType="application/vnd.openxmlformats-officedocument.spreadsheetml.worksheet+xml" PartName="/xl/worksheets/sheet26525.xml"/>
  <Override ContentType="application/vnd.openxmlformats-officedocument.spreadsheetml.worksheet+xml" PartName="/xl/worksheets/sheet26526.xml"/>
  <Override ContentType="application/vnd.openxmlformats-officedocument.spreadsheetml.worksheet+xml" PartName="/xl/worksheets/sheet26527.xml"/>
  <Override ContentType="application/vnd.openxmlformats-officedocument.spreadsheetml.worksheet+xml" PartName="/xl/worksheets/sheet26528.xml"/>
  <Override ContentType="application/vnd.openxmlformats-officedocument.spreadsheetml.worksheet+xml" PartName="/xl/worksheets/sheet26529.xml"/>
  <Override ContentType="application/vnd.openxmlformats-officedocument.spreadsheetml.worksheet+xml" PartName="/xl/worksheets/sheet26530.xml"/>
  <Override ContentType="application/vnd.openxmlformats-officedocument.spreadsheetml.worksheet+xml" PartName="/xl/worksheets/sheet26531.xml"/>
  <Override ContentType="application/vnd.openxmlformats-officedocument.spreadsheetml.worksheet+xml" PartName="/xl/worksheets/sheet26532.xml"/>
  <Override ContentType="application/vnd.openxmlformats-officedocument.spreadsheetml.worksheet+xml" PartName="/xl/worksheets/sheet26533.xml"/>
  <Override ContentType="application/vnd.openxmlformats-officedocument.spreadsheetml.worksheet+xml" PartName="/xl/worksheets/sheet26534.xml"/>
  <Override ContentType="application/vnd.openxmlformats-officedocument.spreadsheetml.worksheet+xml" PartName="/xl/worksheets/sheet26535.xml"/>
  <Override ContentType="application/vnd.openxmlformats-officedocument.spreadsheetml.worksheet+xml" PartName="/xl/worksheets/sheet26536.xml"/>
  <Override ContentType="application/vnd.openxmlformats-officedocument.spreadsheetml.worksheet+xml" PartName="/xl/worksheets/sheet26537.xml"/>
  <Override ContentType="application/vnd.openxmlformats-officedocument.spreadsheetml.worksheet+xml" PartName="/xl/worksheets/sheet26538.xml"/>
  <Override ContentType="application/vnd.openxmlformats-officedocument.spreadsheetml.worksheet+xml" PartName="/xl/worksheets/sheet26539.xml"/>
  <Override ContentType="application/vnd.openxmlformats-officedocument.spreadsheetml.worksheet+xml" PartName="/xl/worksheets/sheet26540.xml"/>
  <Override ContentType="application/vnd.openxmlformats-officedocument.spreadsheetml.worksheet+xml" PartName="/xl/worksheets/sheet26541.xml"/>
  <Override ContentType="application/vnd.openxmlformats-officedocument.spreadsheetml.worksheet+xml" PartName="/xl/worksheets/sheet26542.xml"/>
  <Override ContentType="application/vnd.openxmlformats-officedocument.spreadsheetml.worksheet+xml" PartName="/xl/worksheets/sheet26543.xml"/>
  <Override ContentType="application/vnd.openxmlformats-officedocument.spreadsheetml.worksheet+xml" PartName="/xl/worksheets/sheet26544.xml"/>
  <Override ContentType="application/vnd.openxmlformats-officedocument.spreadsheetml.worksheet+xml" PartName="/xl/worksheets/sheet26545.xml"/>
  <Override ContentType="application/vnd.openxmlformats-officedocument.spreadsheetml.worksheet+xml" PartName="/xl/worksheets/sheet26546.xml"/>
  <Override ContentType="application/vnd.openxmlformats-officedocument.spreadsheetml.worksheet+xml" PartName="/xl/worksheets/sheet26547.xml"/>
  <Override ContentType="application/vnd.openxmlformats-officedocument.spreadsheetml.worksheet+xml" PartName="/xl/worksheets/sheet26548.xml"/>
  <Override ContentType="application/vnd.openxmlformats-officedocument.spreadsheetml.worksheet+xml" PartName="/xl/worksheets/sheet26549.xml"/>
  <Override ContentType="application/vnd.openxmlformats-officedocument.spreadsheetml.worksheet+xml" PartName="/xl/worksheets/sheet26550.xml"/>
  <Override ContentType="application/vnd.openxmlformats-officedocument.spreadsheetml.worksheet+xml" PartName="/xl/worksheets/sheet26551.xml"/>
  <Override ContentType="application/vnd.openxmlformats-officedocument.spreadsheetml.worksheet+xml" PartName="/xl/worksheets/sheet26552.xml"/>
  <Override ContentType="application/vnd.openxmlformats-officedocument.spreadsheetml.worksheet+xml" PartName="/xl/worksheets/sheet26553.xml"/>
  <Override ContentType="application/vnd.openxmlformats-officedocument.spreadsheetml.worksheet+xml" PartName="/xl/worksheets/sheet26554.xml"/>
  <Override ContentType="application/vnd.openxmlformats-officedocument.spreadsheetml.worksheet+xml" PartName="/xl/worksheets/sheet26555.xml"/>
  <Override ContentType="application/vnd.openxmlformats-officedocument.spreadsheetml.worksheet+xml" PartName="/xl/worksheets/sheet26556.xml"/>
  <Override ContentType="application/vnd.openxmlformats-officedocument.spreadsheetml.worksheet+xml" PartName="/xl/worksheets/sheet26557.xml"/>
  <Override ContentType="application/vnd.openxmlformats-officedocument.spreadsheetml.worksheet+xml" PartName="/xl/worksheets/sheet26558.xml"/>
  <Override ContentType="application/vnd.openxmlformats-officedocument.spreadsheetml.worksheet+xml" PartName="/xl/worksheets/sheet26559.xml"/>
  <Override ContentType="application/vnd.openxmlformats-officedocument.spreadsheetml.worksheet+xml" PartName="/xl/worksheets/sheet26560.xml"/>
  <Override ContentType="application/vnd.openxmlformats-officedocument.spreadsheetml.worksheet+xml" PartName="/xl/worksheets/sheet26561.xml"/>
  <Override ContentType="application/vnd.openxmlformats-officedocument.spreadsheetml.worksheet+xml" PartName="/xl/worksheets/sheet26562.xml"/>
  <Override ContentType="application/vnd.openxmlformats-officedocument.spreadsheetml.worksheet+xml" PartName="/xl/worksheets/sheet26563.xml"/>
  <Override ContentType="application/vnd.openxmlformats-officedocument.spreadsheetml.worksheet+xml" PartName="/xl/worksheets/sheet26564.xml"/>
  <Override ContentType="application/vnd.openxmlformats-officedocument.spreadsheetml.worksheet+xml" PartName="/xl/worksheets/sheet26565.xml"/>
  <Override ContentType="application/vnd.openxmlformats-officedocument.spreadsheetml.worksheet+xml" PartName="/xl/worksheets/sheet26566.xml"/>
  <Override ContentType="application/vnd.openxmlformats-officedocument.spreadsheetml.worksheet+xml" PartName="/xl/worksheets/sheet26567.xml"/>
  <Override ContentType="application/vnd.openxmlformats-officedocument.spreadsheetml.worksheet+xml" PartName="/xl/worksheets/sheet26568.xml"/>
  <Override ContentType="application/vnd.openxmlformats-officedocument.spreadsheetml.worksheet+xml" PartName="/xl/worksheets/sheet26569.xml"/>
  <Override ContentType="application/vnd.openxmlformats-officedocument.spreadsheetml.worksheet+xml" PartName="/xl/worksheets/sheet26570.xml"/>
  <Override ContentType="application/vnd.openxmlformats-officedocument.spreadsheetml.worksheet+xml" PartName="/xl/worksheets/sheet26571.xml"/>
  <Override ContentType="application/vnd.openxmlformats-officedocument.spreadsheetml.worksheet+xml" PartName="/xl/worksheets/sheet26572.xml"/>
  <Override ContentType="application/vnd.openxmlformats-officedocument.spreadsheetml.worksheet+xml" PartName="/xl/worksheets/sheet26573.xml"/>
  <Override ContentType="application/vnd.openxmlformats-officedocument.spreadsheetml.worksheet+xml" PartName="/xl/worksheets/sheet26574.xml"/>
  <Override ContentType="application/vnd.openxmlformats-officedocument.spreadsheetml.worksheet+xml" PartName="/xl/worksheets/sheet26575.xml"/>
  <Override ContentType="application/vnd.openxmlformats-officedocument.spreadsheetml.worksheet+xml" PartName="/xl/worksheets/sheet26576.xml"/>
  <Override ContentType="application/vnd.openxmlformats-officedocument.spreadsheetml.worksheet+xml" PartName="/xl/worksheets/sheet26577.xml"/>
  <Override ContentType="application/vnd.openxmlformats-officedocument.spreadsheetml.worksheet+xml" PartName="/xl/worksheets/sheet26578.xml"/>
  <Override ContentType="application/vnd.openxmlformats-officedocument.spreadsheetml.worksheet+xml" PartName="/xl/worksheets/sheet26579.xml"/>
  <Override ContentType="application/vnd.openxmlformats-officedocument.spreadsheetml.worksheet+xml" PartName="/xl/worksheets/sheet26580.xml"/>
  <Override ContentType="application/vnd.openxmlformats-officedocument.spreadsheetml.worksheet+xml" PartName="/xl/worksheets/sheet26581.xml"/>
  <Override ContentType="application/vnd.openxmlformats-officedocument.spreadsheetml.worksheet+xml" PartName="/xl/worksheets/sheet26582.xml"/>
  <Override ContentType="application/vnd.openxmlformats-officedocument.spreadsheetml.worksheet+xml" PartName="/xl/worksheets/sheet26583.xml"/>
  <Override ContentType="application/vnd.openxmlformats-officedocument.spreadsheetml.worksheet+xml" PartName="/xl/worksheets/sheet26584.xml"/>
  <Override ContentType="application/vnd.openxmlformats-officedocument.spreadsheetml.worksheet+xml" PartName="/xl/worksheets/sheet26585.xml"/>
  <Override ContentType="application/vnd.openxmlformats-officedocument.spreadsheetml.worksheet+xml" PartName="/xl/worksheets/sheet26586.xml"/>
  <Override ContentType="application/vnd.openxmlformats-officedocument.spreadsheetml.worksheet+xml" PartName="/xl/worksheets/sheet26587.xml"/>
  <Override ContentType="application/vnd.openxmlformats-officedocument.spreadsheetml.worksheet+xml" PartName="/xl/worksheets/sheet26588.xml"/>
  <Override ContentType="application/vnd.openxmlformats-officedocument.spreadsheetml.worksheet+xml" PartName="/xl/worksheets/sheet26589.xml"/>
  <Override ContentType="application/vnd.openxmlformats-officedocument.spreadsheetml.worksheet+xml" PartName="/xl/worksheets/sheet26590.xml"/>
  <Override ContentType="application/vnd.openxmlformats-officedocument.spreadsheetml.worksheet+xml" PartName="/xl/worksheets/sheet26591.xml"/>
  <Override ContentType="application/vnd.openxmlformats-officedocument.spreadsheetml.worksheet+xml" PartName="/xl/worksheets/sheet26592.xml"/>
  <Override ContentType="application/vnd.openxmlformats-officedocument.spreadsheetml.worksheet+xml" PartName="/xl/worksheets/sheet26593.xml"/>
  <Override ContentType="application/vnd.openxmlformats-officedocument.spreadsheetml.worksheet+xml" PartName="/xl/worksheets/sheet26594.xml"/>
  <Override ContentType="application/vnd.openxmlformats-officedocument.spreadsheetml.worksheet+xml" PartName="/xl/worksheets/sheet26595.xml"/>
  <Override ContentType="application/vnd.openxmlformats-officedocument.spreadsheetml.worksheet+xml" PartName="/xl/worksheets/sheet26596.xml"/>
  <Override ContentType="application/vnd.openxmlformats-officedocument.spreadsheetml.worksheet+xml" PartName="/xl/worksheets/sheet26597.xml"/>
  <Override ContentType="application/vnd.openxmlformats-officedocument.spreadsheetml.worksheet+xml" PartName="/xl/worksheets/sheet26598.xml"/>
  <Override ContentType="application/vnd.openxmlformats-officedocument.spreadsheetml.worksheet+xml" PartName="/xl/worksheets/sheet26599.xml"/>
  <Override ContentType="application/vnd.openxmlformats-officedocument.spreadsheetml.worksheet+xml" PartName="/xl/worksheets/sheet26600.xml"/>
  <Override ContentType="application/vnd.openxmlformats-officedocument.spreadsheetml.worksheet+xml" PartName="/xl/worksheets/sheet26601.xml"/>
  <Override ContentType="application/vnd.openxmlformats-officedocument.spreadsheetml.worksheet+xml" PartName="/xl/worksheets/sheet26602.xml"/>
  <Override ContentType="application/vnd.openxmlformats-officedocument.spreadsheetml.worksheet+xml" PartName="/xl/worksheets/sheet26603.xml"/>
  <Override ContentType="application/vnd.openxmlformats-officedocument.spreadsheetml.worksheet+xml" PartName="/xl/worksheets/sheet26604.xml"/>
  <Override ContentType="application/vnd.openxmlformats-officedocument.spreadsheetml.worksheet+xml" PartName="/xl/worksheets/sheet26605.xml"/>
  <Override ContentType="application/vnd.openxmlformats-officedocument.spreadsheetml.worksheet+xml" PartName="/xl/worksheets/sheet26606.xml"/>
  <Override ContentType="application/vnd.openxmlformats-officedocument.spreadsheetml.worksheet+xml" PartName="/xl/worksheets/sheet26607.xml"/>
  <Override ContentType="application/vnd.openxmlformats-officedocument.spreadsheetml.worksheet+xml" PartName="/xl/worksheets/sheet26608.xml"/>
  <Override ContentType="application/vnd.openxmlformats-officedocument.spreadsheetml.worksheet+xml" PartName="/xl/worksheets/sheet26609.xml"/>
  <Override ContentType="application/vnd.openxmlformats-officedocument.spreadsheetml.worksheet+xml" PartName="/xl/worksheets/sheet26610.xml"/>
  <Override ContentType="application/vnd.openxmlformats-officedocument.spreadsheetml.worksheet+xml" PartName="/xl/worksheets/sheet26611.xml"/>
  <Override ContentType="application/vnd.openxmlformats-officedocument.spreadsheetml.worksheet+xml" PartName="/xl/worksheets/sheet26612.xml"/>
  <Override ContentType="application/vnd.openxmlformats-officedocument.spreadsheetml.worksheet+xml" PartName="/xl/worksheets/sheet26613.xml"/>
  <Override ContentType="application/vnd.openxmlformats-officedocument.spreadsheetml.worksheet+xml" PartName="/xl/worksheets/sheet26614.xml"/>
  <Override ContentType="application/vnd.openxmlformats-officedocument.spreadsheetml.worksheet+xml" PartName="/xl/worksheets/sheet26615.xml"/>
  <Override ContentType="application/vnd.openxmlformats-officedocument.spreadsheetml.worksheet+xml" PartName="/xl/worksheets/sheet26616.xml"/>
  <Override ContentType="application/vnd.openxmlformats-officedocument.spreadsheetml.worksheet+xml" PartName="/xl/worksheets/sheet26617.xml"/>
  <Override ContentType="application/vnd.openxmlformats-officedocument.spreadsheetml.worksheet+xml" PartName="/xl/worksheets/sheet26618.xml"/>
  <Override ContentType="application/vnd.openxmlformats-officedocument.spreadsheetml.worksheet+xml" PartName="/xl/worksheets/sheet26619.xml"/>
  <Override ContentType="application/vnd.openxmlformats-officedocument.spreadsheetml.worksheet+xml" PartName="/xl/worksheets/sheet26620.xml"/>
  <Override ContentType="application/vnd.openxmlformats-officedocument.spreadsheetml.worksheet+xml" PartName="/xl/worksheets/sheet26621.xml"/>
  <Override ContentType="application/vnd.openxmlformats-officedocument.spreadsheetml.worksheet+xml" PartName="/xl/worksheets/sheet26622.xml"/>
  <Override ContentType="application/vnd.openxmlformats-officedocument.spreadsheetml.worksheet+xml" PartName="/xl/worksheets/sheet26623.xml"/>
  <Override ContentType="application/vnd.openxmlformats-officedocument.spreadsheetml.worksheet+xml" PartName="/xl/worksheets/sheet26624.xml"/>
  <Override ContentType="application/vnd.openxmlformats-officedocument.spreadsheetml.worksheet+xml" PartName="/xl/worksheets/sheet26625.xml"/>
  <Override ContentType="application/vnd.openxmlformats-officedocument.spreadsheetml.worksheet+xml" PartName="/xl/worksheets/sheet26626.xml"/>
  <Override ContentType="application/vnd.openxmlformats-officedocument.spreadsheetml.worksheet+xml" PartName="/xl/worksheets/sheet26627.xml"/>
  <Override ContentType="application/vnd.openxmlformats-officedocument.spreadsheetml.worksheet+xml" PartName="/xl/worksheets/sheet26628.xml"/>
  <Override ContentType="application/vnd.openxmlformats-officedocument.spreadsheetml.worksheet+xml" PartName="/xl/worksheets/sheet26629.xml"/>
  <Override ContentType="application/vnd.openxmlformats-officedocument.spreadsheetml.worksheet+xml" PartName="/xl/worksheets/sheet26630.xml"/>
  <Override ContentType="application/vnd.openxmlformats-officedocument.spreadsheetml.worksheet+xml" PartName="/xl/worksheets/sheet26631.xml"/>
  <Override ContentType="application/vnd.openxmlformats-officedocument.spreadsheetml.worksheet+xml" PartName="/xl/worksheets/sheet26632.xml"/>
  <Override ContentType="application/vnd.openxmlformats-officedocument.spreadsheetml.worksheet+xml" PartName="/xl/worksheets/sheet26633.xml"/>
  <Override ContentType="application/vnd.openxmlformats-officedocument.spreadsheetml.worksheet+xml" PartName="/xl/worksheets/sheet26634.xml"/>
  <Override ContentType="application/vnd.openxmlformats-officedocument.spreadsheetml.worksheet+xml" PartName="/xl/worksheets/sheet26635.xml"/>
  <Override ContentType="application/vnd.openxmlformats-officedocument.spreadsheetml.worksheet+xml" PartName="/xl/worksheets/sheet26636.xml"/>
  <Override ContentType="application/vnd.openxmlformats-officedocument.spreadsheetml.worksheet+xml" PartName="/xl/worksheets/sheet26637.xml"/>
  <Override ContentType="application/vnd.openxmlformats-officedocument.spreadsheetml.worksheet+xml" PartName="/xl/worksheets/sheet26638.xml"/>
  <Override ContentType="application/vnd.openxmlformats-officedocument.spreadsheetml.worksheet+xml" PartName="/xl/worksheets/sheet26639.xml"/>
  <Override ContentType="application/vnd.openxmlformats-officedocument.spreadsheetml.worksheet+xml" PartName="/xl/worksheets/sheet26640.xml"/>
  <Override ContentType="application/vnd.openxmlformats-officedocument.spreadsheetml.worksheet+xml" PartName="/xl/worksheets/sheet26641.xml"/>
  <Override ContentType="application/vnd.openxmlformats-officedocument.spreadsheetml.worksheet+xml" PartName="/xl/worksheets/sheet26642.xml"/>
  <Override ContentType="application/vnd.openxmlformats-officedocument.spreadsheetml.worksheet+xml" PartName="/xl/worksheets/sheet26643.xml"/>
  <Override ContentType="application/vnd.openxmlformats-officedocument.spreadsheetml.worksheet+xml" PartName="/xl/worksheets/sheet26644.xml"/>
  <Override ContentType="application/vnd.openxmlformats-officedocument.spreadsheetml.worksheet+xml" PartName="/xl/worksheets/sheet26645.xml"/>
  <Override ContentType="application/vnd.openxmlformats-officedocument.spreadsheetml.worksheet+xml" PartName="/xl/worksheets/sheet26646.xml"/>
  <Override ContentType="application/vnd.openxmlformats-officedocument.spreadsheetml.worksheet+xml" PartName="/xl/worksheets/sheet26647.xml"/>
  <Override ContentType="application/vnd.openxmlformats-officedocument.spreadsheetml.worksheet+xml" PartName="/xl/worksheets/sheet26648.xml"/>
  <Override ContentType="application/vnd.openxmlformats-officedocument.spreadsheetml.worksheet+xml" PartName="/xl/worksheets/sheet26649.xml"/>
  <Override ContentType="application/vnd.openxmlformats-officedocument.spreadsheetml.worksheet+xml" PartName="/xl/worksheets/sheet26650.xml"/>
  <Override ContentType="application/vnd.openxmlformats-officedocument.spreadsheetml.worksheet+xml" PartName="/xl/worksheets/sheet26651.xml"/>
  <Override ContentType="application/vnd.openxmlformats-officedocument.spreadsheetml.worksheet+xml" PartName="/xl/worksheets/sheet26652.xml"/>
  <Override ContentType="application/vnd.openxmlformats-officedocument.spreadsheetml.worksheet+xml" PartName="/xl/worksheets/sheet26653.xml"/>
  <Override ContentType="application/vnd.openxmlformats-officedocument.spreadsheetml.worksheet+xml" PartName="/xl/worksheets/sheet26654.xml"/>
  <Override ContentType="application/vnd.openxmlformats-officedocument.spreadsheetml.worksheet+xml" PartName="/xl/worksheets/sheet26655.xml"/>
  <Override ContentType="application/vnd.openxmlformats-officedocument.spreadsheetml.worksheet+xml" PartName="/xl/worksheets/sheet26656.xml"/>
  <Override ContentType="application/vnd.openxmlformats-officedocument.spreadsheetml.worksheet+xml" PartName="/xl/worksheets/sheet26657.xml"/>
  <Override ContentType="application/vnd.openxmlformats-officedocument.spreadsheetml.worksheet+xml" PartName="/xl/worksheets/sheet26658.xml"/>
  <Override ContentType="application/vnd.openxmlformats-officedocument.spreadsheetml.worksheet+xml" PartName="/xl/worksheets/sheet26659.xml"/>
  <Override ContentType="application/vnd.openxmlformats-officedocument.spreadsheetml.worksheet+xml" PartName="/xl/worksheets/sheet26660.xml"/>
  <Override ContentType="application/vnd.openxmlformats-officedocument.spreadsheetml.worksheet+xml" PartName="/xl/worksheets/sheet26661.xml"/>
  <Override ContentType="application/vnd.openxmlformats-officedocument.spreadsheetml.worksheet+xml" PartName="/xl/worksheets/sheet26662.xml"/>
  <Override ContentType="application/vnd.openxmlformats-officedocument.spreadsheetml.worksheet+xml" PartName="/xl/worksheets/sheet26663.xml"/>
  <Override ContentType="application/vnd.openxmlformats-officedocument.spreadsheetml.worksheet+xml" PartName="/xl/worksheets/sheet26664.xml"/>
  <Override ContentType="application/vnd.openxmlformats-officedocument.spreadsheetml.worksheet+xml" PartName="/xl/worksheets/sheet26665.xml"/>
  <Override ContentType="application/vnd.openxmlformats-officedocument.spreadsheetml.worksheet+xml" PartName="/xl/worksheets/sheet26666.xml"/>
  <Override ContentType="application/vnd.openxmlformats-officedocument.spreadsheetml.worksheet+xml" PartName="/xl/worksheets/sheet26667.xml"/>
  <Override ContentType="application/vnd.openxmlformats-officedocument.spreadsheetml.worksheet+xml" PartName="/xl/worksheets/sheet26668.xml"/>
  <Override ContentType="application/vnd.openxmlformats-officedocument.spreadsheetml.worksheet+xml" PartName="/xl/worksheets/sheet26669.xml"/>
  <Override ContentType="application/vnd.openxmlformats-officedocument.spreadsheetml.worksheet+xml" PartName="/xl/worksheets/sheet26670.xml"/>
  <Override ContentType="application/vnd.openxmlformats-officedocument.spreadsheetml.worksheet+xml" PartName="/xl/worksheets/sheet26671.xml"/>
  <Override ContentType="application/vnd.openxmlformats-officedocument.spreadsheetml.worksheet+xml" PartName="/xl/worksheets/sheet26672.xml"/>
  <Override ContentType="application/vnd.openxmlformats-officedocument.spreadsheetml.worksheet+xml" PartName="/xl/worksheets/sheet26673.xml"/>
  <Override ContentType="application/vnd.openxmlformats-officedocument.spreadsheetml.worksheet+xml" PartName="/xl/worksheets/sheet26674.xml"/>
  <Override ContentType="application/vnd.openxmlformats-officedocument.spreadsheetml.worksheet+xml" PartName="/xl/worksheets/sheet26675.xml"/>
  <Override ContentType="application/vnd.openxmlformats-officedocument.spreadsheetml.worksheet+xml" PartName="/xl/worksheets/sheet26676.xml"/>
  <Override ContentType="application/vnd.openxmlformats-officedocument.spreadsheetml.worksheet+xml" PartName="/xl/worksheets/sheet26677.xml"/>
  <Override ContentType="application/vnd.openxmlformats-officedocument.spreadsheetml.worksheet+xml" PartName="/xl/worksheets/sheet26678.xml"/>
  <Override ContentType="application/vnd.openxmlformats-officedocument.spreadsheetml.worksheet+xml" PartName="/xl/worksheets/sheet26679.xml"/>
  <Override ContentType="application/vnd.openxmlformats-officedocument.spreadsheetml.worksheet+xml" PartName="/xl/worksheets/sheet26680.xml"/>
  <Override ContentType="application/vnd.openxmlformats-officedocument.spreadsheetml.worksheet+xml" PartName="/xl/worksheets/sheet26681.xml"/>
  <Override ContentType="application/vnd.openxmlformats-officedocument.spreadsheetml.worksheet+xml" PartName="/xl/worksheets/sheet26682.xml"/>
  <Override ContentType="application/vnd.openxmlformats-officedocument.spreadsheetml.worksheet+xml" PartName="/xl/worksheets/sheet26683.xml"/>
  <Override ContentType="application/vnd.openxmlformats-officedocument.spreadsheetml.worksheet+xml" PartName="/xl/worksheets/sheet26684.xml"/>
  <Override ContentType="application/vnd.openxmlformats-officedocument.spreadsheetml.worksheet+xml" PartName="/xl/worksheets/sheet26685.xml"/>
  <Override ContentType="application/vnd.openxmlformats-officedocument.spreadsheetml.worksheet+xml" PartName="/xl/worksheets/sheet26686.xml"/>
  <Override ContentType="application/vnd.openxmlformats-officedocument.spreadsheetml.worksheet+xml" PartName="/xl/worksheets/sheet26687.xml"/>
  <Override ContentType="application/vnd.openxmlformats-officedocument.spreadsheetml.worksheet+xml" PartName="/xl/worksheets/sheet26688.xml"/>
  <Override ContentType="application/vnd.openxmlformats-officedocument.spreadsheetml.worksheet+xml" PartName="/xl/worksheets/sheet26689.xml"/>
  <Override ContentType="application/vnd.openxmlformats-officedocument.spreadsheetml.worksheet+xml" PartName="/xl/worksheets/sheet26690.xml"/>
  <Override ContentType="application/vnd.openxmlformats-officedocument.spreadsheetml.worksheet+xml" PartName="/xl/worksheets/sheet26691.xml"/>
  <Override ContentType="application/vnd.openxmlformats-officedocument.spreadsheetml.worksheet+xml" PartName="/xl/worksheets/sheet26692.xml"/>
  <Override ContentType="application/vnd.openxmlformats-officedocument.spreadsheetml.worksheet+xml" PartName="/xl/worksheets/sheet26693.xml"/>
  <Override ContentType="application/vnd.openxmlformats-officedocument.spreadsheetml.worksheet+xml" PartName="/xl/worksheets/sheet26694.xml"/>
  <Override ContentType="application/vnd.openxmlformats-officedocument.spreadsheetml.worksheet+xml" PartName="/xl/worksheets/sheet26695.xml"/>
  <Override ContentType="application/vnd.openxmlformats-officedocument.spreadsheetml.worksheet+xml" PartName="/xl/worksheets/sheet26696.xml"/>
  <Override ContentType="application/vnd.openxmlformats-officedocument.spreadsheetml.worksheet+xml" PartName="/xl/worksheets/sheet26697.xml"/>
  <Override ContentType="application/vnd.openxmlformats-officedocument.spreadsheetml.worksheet+xml" PartName="/xl/worksheets/sheet26698.xml"/>
  <Override ContentType="application/vnd.openxmlformats-officedocument.spreadsheetml.worksheet+xml" PartName="/xl/worksheets/sheet26699.xml"/>
  <Override ContentType="application/vnd.openxmlformats-officedocument.spreadsheetml.worksheet+xml" PartName="/xl/worksheets/sheet26700.xml"/>
  <Override ContentType="application/vnd.openxmlformats-officedocument.spreadsheetml.worksheet+xml" PartName="/xl/worksheets/sheet26701.xml"/>
  <Override ContentType="application/vnd.openxmlformats-officedocument.spreadsheetml.worksheet+xml" PartName="/xl/worksheets/sheet26702.xml"/>
  <Override ContentType="application/vnd.openxmlformats-officedocument.spreadsheetml.worksheet+xml" PartName="/xl/worksheets/sheet26703.xml"/>
  <Override ContentType="application/vnd.openxmlformats-officedocument.spreadsheetml.worksheet+xml" PartName="/xl/worksheets/sheet26704.xml"/>
  <Override ContentType="application/vnd.openxmlformats-officedocument.spreadsheetml.worksheet+xml" PartName="/xl/worksheets/sheet26705.xml"/>
  <Override ContentType="application/vnd.openxmlformats-officedocument.spreadsheetml.worksheet+xml" PartName="/xl/worksheets/sheet26706.xml"/>
  <Override ContentType="application/vnd.openxmlformats-officedocument.spreadsheetml.worksheet+xml" PartName="/xl/worksheets/sheet26707.xml"/>
  <Override ContentType="application/vnd.openxmlformats-officedocument.spreadsheetml.worksheet+xml" PartName="/xl/worksheets/sheet26708.xml"/>
  <Override ContentType="application/vnd.openxmlformats-officedocument.spreadsheetml.worksheet+xml" PartName="/xl/worksheets/sheet26709.xml"/>
  <Override ContentType="application/vnd.openxmlformats-officedocument.spreadsheetml.worksheet+xml" PartName="/xl/worksheets/sheet26710.xml"/>
  <Override ContentType="application/vnd.openxmlformats-officedocument.spreadsheetml.worksheet+xml" PartName="/xl/worksheets/sheet26711.xml"/>
  <Override ContentType="application/vnd.openxmlformats-officedocument.spreadsheetml.worksheet+xml" PartName="/xl/worksheets/sheet26712.xml"/>
  <Override ContentType="application/vnd.openxmlformats-officedocument.spreadsheetml.worksheet+xml" PartName="/xl/worksheets/sheet26713.xml"/>
  <Override ContentType="application/vnd.openxmlformats-officedocument.spreadsheetml.worksheet+xml" PartName="/xl/worksheets/sheet26714.xml"/>
  <Override ContentType="application/vnd.openxmlformats-officedocument.spreadsheetml.worksheet+xml" PartName="/xl/worksheets/sheet26715.xml"/>
  <Override ContentType="application/vnd.openxmlformats-officedocument.spreadsheetml.worksheet+xml" PartName="/xl/worksheets/sheet26716.xml"/>
  <Override ContentType="application/vnd.openxmlformats-officedocument.spreadsheetml.worksheet+xml" PartName="/xl/worksheets/sheet26717.xml"/>
  <Override ContentType="application/vnd.openxmlformats-officedocument.spreadsheetml.worksheet+xml" PartName="/xl/worksheets/sheet26718.xml"/>
  <Override ContentType="application/vnd.openxmlformats-officedocument.spreadsheetml.worksheet+xml" PartName="/xl/worksheets/sheet26719.xml"/>
  <Override ContentType="application/vnd.openxmlformats-officedocument.spreadsheetml.worksheet+xml" PartName="/xl/worksheets/sheet26720.xml"/>
  <Override ContentType="application/vnd.openxmlformats-officedocument.spreadsheetml.worksheet+xml" PartName="/xl/worksheets/sheet26721.xml"/>
  <Override ContentType="application/vnd.openxmlformats-officedocument.spreadsheetml.worksheet+xml" PartName="/xl/worksheets/sheet26722.xml"/>
  <Override ContentType="application/vnd.openxmlformats-officedocument.spreadsheetml.worksheet+xml" PartName="/xl/worksheets/sheet26723.xml"/>
  <Override ContentType="application/vnd.openxmlformats-officedocument.spreadsheetml.worksheet+xml" PartName="/xl/worksheets/sheet26724.xml"/>
  <Override ContentType="application/vnd.openxmlformats-officedocument.spreadsheetml.worksheet+xml" PartName="/xl/worksheets/sheet26725.xml"/>
  <Override ContentType="application/vnd.openxmlformats-officedocument.spreadsheetml.worksheet+xml" PartName="/xl/worksheets/sheet26726.xml"/>
  <Override ContentType="application/vnd.openxmlformats-officedocument.spreadsheetml.worksheet+xml" PartName="/xl/worksheets/sheet26727.xml"/>
  <Override ContentType="application/vnd.openxmlformats-officedocument.spreadsheetml.worksheet+xml" PartName="/xl/worksheets/sheet26728.xml"/>
  <Override ContentType="application/vnd.openxmlformats-officedocument.spreadsheetml.worksheet+xml" PartName="/xl/worksheets/sheet26729.xml"/>
  <Override ContentType="application/vnd.openxmlformats-officedocument.spreadsheetml.worksheet+xml" PartName="/xl/worksheets/sheet26730.xml"/>
  <Override ContentType="application/vnd.openxmlformats-officedocument.spreadsheetml.worksheet+xml" PartName="/xl/worksheets/sheet26731.xml"/>
  <Override ContentType="application/vnd.openxmlformats-officedocument.spreadsheetml.worksheet+xml" PartName="/xl/worksheets/sheet26732.xml"/>
  <Override ContentType="application/vnd.openxmlformats-officedocument.spreadsheetml.worksheet+xml" PartName="/xl/worksheets/sheet26733.xml"/>
  <Override ContentType="application/vnd.openxmlformats-officedocument.spreadsheetml.worksheet+xml" PartName="/xl/worksheets/sheet26734.xml"/>
  <Override ContentType="application/vnd.openxmlformats-officedocument.spreadsheetml.worksheet+xml" PartName="/xl/worksheets/sheet26735.xml"/>
  <Override ContentType="application/vnd.openxmlformats-officedocument.spreadsheetml.worksheet+xml" PartName="/xl/worksheets/sheet26736.xml"/>
  <Override ContentType="application/vnd.openxmlformats-officedocument.spreadsheetml.worksheet+xml" PartName="/xl/worksheets/sheet26737.xml"/>
  <Override ContentType="application/vnd.openxmlformats-officedocument.spreadsheetml.worksheet+xml" PartName="/xl/worksheets/sheet26738.xml"/>
  <Override ContentType="application/vnd.openxmlformats-officedocument.spreadsheetml.worksheet+xml" PartName="/xl/worksheets/sheet26739.xml"/>
  <Override ContentType="application/vnd.openxmlformats-officedocument.spreadsheetml.worksheet+xml" PartName="/xl/worksheets/sheet26740.xml"/>
  <Override ContentType="application/vnd.openxmlformats-officedocument.spreadsheetml.worksheet+xml" PartName="/xl/worksheets/sheet26741.xml"/>
  <Override ContentType="application/vnd.openxmlformats-officedocument.spreadsheetml.worksheet+xml" PartName="/xl/worksheets/sheet26742.xml"/>
  <Override ContentType="application/vnd.openxmlformats-officedocument.spreadsheetml.worksheet+xml" PartName="/xl/worksheets/sheet26743.xml"/>
  <Override ContentType="application/vnd.openxmlformats-officedocument.spreadsheetml.worksheet+xml" PartName="/xl/worksheets/sheet26744.xml"/>
  <Override ContentType="application/vnd.openxmlformats-officedocument.spreadsheetml.worksheet+xml" PartName="/xl/worksheets/sheet26745.xml"/>
  <Override ContentType="application/vnd.openxmlformats-officedocument.spreadsheetml.worksheet+xml" PartName="/xl/worksheets/sheet26746.xml"/>
  <Override ContentType="application/vnd.openxmlformats-officedocument.spreadsheetml.worksheet+xml" PartName="/xl/worksheets/sheet26747.xml"/>
  <Override ContentType="application/vnd.openxmlformats-officedocument.spreadsheetml.worksheet+xml" PartName="/xl/worksheets/sheet26748.xml"/>
  <Override ContentType="application/vnd.openxmlformats-officedocument.spreadsheetml.worksheet+xml" PartName="/xl/worksheets/sheet26749.xml"/>
  <Override ContentType="application/vnd.openxmlformats-officedocument.spreadsheetml.worksheet+xml" PartName="/xl/worksheets/sheet26750.xml"/>
  <Override ContentType="application/vnd.openxmlformats-officedocument.spreadsheetml.worksheet+xml" PartName="/xl/worksheets/sheet26751.xml"/>
  <Override ContentType="application/vnd.openxmlformats-officedocument.spreadsheetml.worksheet+xml" PartName="/xl/worksheets/sheet26752.xml"/>
  <Override ContentType="application/vnd.openxmlformats-officedocument.spreadsheetml.worksheet+xml" PartName="/xl/worksheets/sheet26753.xml"/>
  <Override ContentType="application/vnd.openxmlformats-officedocument.spreadsheetml.worksheet+xml" PartName="/xl/worksheets/sheet26754.xml"/>
  <Override ContentType="application/vnd.openxmlformats-officedocument.spreadsheetml.worksheet+xml" PartName="/xl/worksheets/sheet26755.xml"/>
  <Override ContentType="application/vnd.openxmlformats-officedocument.spreadsheetml.worksheet+xml" PartName="/xl/worksheets/sheet26756.xml"/>
  <Override ContentType="application/vnd.openxmlformats-officedocument.spreadsheetml.worksheet+xml" PartName="/xl/worksheets/sheet26757.xml"/>
  <Override ContentType="application/vnd.openxmlformats-officedocument.spreadsheetml.worksheet+xml" PartName="/xl/worksheets/sheet26758.xml"/>
  <Override ContentType="application/vnd.openxmlformats-officedocument.spreadsheetml.worksheet+xml" PartName="/xl/worksheets/sheet26759.xml"/>
  <Override ContentType="application/vnd.openxmlformats-officedocument.spreadsheetml.worksheet+xml" PartName="/xl/worksheets/sheet26760.xml"/>
  <Override ContentType="application/vnd.openxmlformats-officedocument.spreadsheetml.worksheet+xml" PartName="/xl/worksheets/sheet26761.xml"/>
  <Override ContentType="application/vnd.openxmlformats-officedocument.spreadsheetml.worksheet+xml" PartName="/xl/worksheets/sheet26762.xml"/>
  <Override ContentType="application/vnd.openxmlformats-officedocument.spreadsheetml.worksheet+xml" PartName="/xl/worksheets/sheet26763.xml"/>
  <Override ContentType="application/vnd.openxmlformats-officedocument.spreadsheetml.worksheet+xml" PartName="/xl/worksheets/sheet26764.xml"/>
  <Override ContentType="application/vnd.openxmlformats-officedocument.spreadsheetml.worksheet+xml" PartName="/xl/worksheets/sheet26765.xml"/>
  <Override ContentType="application/vnd.openxmlformats-officedocument.spreadsheetml.worksheet+xml" PartName="/xl/worksheets/sheet26766.xml"/>
  <Override ContentType="application/vnd.openxmlformats-officedocument.spreadsheetml.worksheet+xml" PartName="/xl/worksheets/sheet26767.xml"/>
  <Override ContentType="application/vnd.openxmlformats-officedocument.spreadsheetml.worksheet+xml" PartName="/xl/worksheets/sheet26768.xml"/>
  <Override ContentType="application/vnd.openxmlformats-officedocument.spreadsheetml.worksheet+xml" PartName="/xl/worksheets/sheet26769.xml"/>
  <Override ContentType="application/vnd.openxmlformats-officedocument.spreadsheetml.worksheet+xml" PartName="/xl/worksheets/sheet26770.xml"/>
  <Override ContentType="application/vnd.openxmlformats-officedocument.spreadsheetml.worksheet+xml" PartName="/xl/worksheets/sheet26771.xml"/>
  <Override ContentType="application/vnd.openxmlformats-officedocument.spreadsheetml.worksheet+xml" PartName="/xl/worksheets/sheet26772.xml"/>
  <Override ContentType="application/vnd.openxmlformats-officedocument.spreadsheetml.worksheet+xml" PartName="/xl/worksheets/sheet26773.xml"/>
  <Override ContentType="application/vnd.openxmlformats-officedocument.spreadsheetml.worksheet+xml" PartName="/xl/worksheets/sheet26774.xml"/>
  <Override ContentType="application/vnd.openxmlformats-officedocument.spreadsheetml.worksheet+xml" PartName="/xl/worksheets/sheet26775.xml"/>
  <Override ContentType="application/vnd.openxmlformats-officedocument.spreadsheetml.worksheet+xml" PartName="/xl/worksheets/sheet26776.xml"/>
  <Override ContentType="application/vnd.openxmlformats-officedocument.spreadsheetml.worksheet+xml" PartName="/xl/worksheets/sheet26777.xml"/>
  <Override ContentType="application/vnd.openxmlformats-officedocument.spreadsheetml.worksheet+xml" PartName="/xl/worksheets/sheet26778.xml"/>
  <Override ContentType="application/vnd.openxmlformats-officedocument.spreadsheetml.worksheet+xml" PartName="/xl/worksheets/sheet26779.xml"/>
  <Override ContentType="application/vnd.openxmlformats-officedocument.spreadsheetml.worksheet+xml" PartName="/xl/worksheets/sheet26780.xml"/>
  <Override ContentType="application/vnd.openxmlformats-officedocument.spreadsheetml.worksheet+xml" PartName="/xl/worksheets/sheet26781.xml"/>
  <Override ContentType="application/vnd.openxmlformats-officedocument.spreadsheetml.worksheet+xml" PartName="/xl/worksheets/sheet26782.xml"/>
  <Override ContentType="application/vnd.openxmlformats-officedocument.spreadsheetml.worksheet+xml" PartName="/xl/worksheets/sheet26783.xml"/>
  <Override ContentType="application/vnd.openxmlformats-officedocument.spreadsheetml.worksheet+xml" PartName="/xl/worksheets/sheet26784.xml"/>
  <Override ContentType="application/vnd.openxmlformats-officedocument.spreadsheetml.worksheet+xml" PartName="/xl/worksheets/sheet26785.xml"/>
  <Override ContentType="application/vnd.openxmlformats-officedocument.spreadsheetml.worksheet+xml" PartName="/xl/worksheets/sheet26786.xml"/>
  <Override ContentType="application/vnd.openxmlformats-officedocument.spreadsheetml.worksheet+xml" PartName="/xl/worksheets/sheet26787.xml"/>
  <Override ContentType="application/vnd.openxmlformats-officedocument.spreadsheetml.worksheet+xml" PartName="/xl/worksheets/sheet26788.xml"/>
  <Override ContentType="application/vnd.openxmlformats-officedocument.spreadsheetml.worksheet+xml" PartName="/xl/worksheets/sheet26789.xml"/>
  <Override ContentType="application/vnd.openxmlformats-officedocument.spreadsheetml.worksheet+xml" PartName="/xl/worksheets/sheet26790.xml"/>
  <Override ContentType="application/vnd.openxmlformats-officedocument.spreadsheetml.worksheet+xml" PartName="/xl/worksheets/sheet26791.xml"/>
  <Override ContentType="application/vnd.openxmlformats-officedocument.spreadsheetml.worksheet+xml" PartName="/xl/worksheets/sheet26792.xml"/>
  <Override ContentType="application/vnd.openxmlformats-officedocument.spreadsheetml.worksheet+xml" PartName="/xl/worksheets/sheet26793.xml"/>
  <Override ContentType="application/vnd.openxmlformats-officedocument.spreadsheetml.worksheet+xml" PartName="/xl/worksheets/sheet26794.xml"/>
  <Override ContentType="application/vnd.openxmlformats-officedocument.spreadsheetml.worksheet+xml" PartName="/xl/worksheets/sheet26795.xml"/>
  <Override ContentType="application/vnd.openxmlformats-officedocument.spreadsheetml.worksheet+xml" PartName="/xl/worksheets/sheet26796.xml"/>
  <Override ContentType="application/vnd.openxmlformats-officedocument.spreadsheetml.worksheet+xml" PartName="/xl/worksheets/sheet26797.xml"/>
  <Override ContentType="application/vnd.openxmlformats-officedocument.spreadsheetml.worksheet+xml" PartName="/xl/worksheets/sheet26798.xml"/>
  <Override ContentType="application/vnd.openxmlformats-officedocument.spreadsheetml.worksheet+xml" PartName="/xl/worksheets/sheet26799.xml"/>
  <Override ContentType="application/vnd.openxmlformats-officedocument.spreadsheetml.worksheet+xml" PartName="/xl/worksheets/sheet26800.xml"/>
  <Override ContentType="application/vnd.openxmlformats-officedocument.spreadsheetml.worksheet+xml" PartName="/xl/worksheets/sheet26801.xml"/>
  <Override ContentType="application/vnd.openxmlformats-officedocument.spreadsheetml.worksheet+xml" PartName="/xl/worksheets/sheet26802.xml"/>
  <Override ContentType="application/vnd.openxmlformats-officedocument.spreadsheetml.worksheet+xml" PartName="/xl/worksheets/sheet26803.xml"/>
  <Override ContentType="application/vnd.openxmlformats-officedocument.spreadsheetml.worksheet+xml" PartName="/xl/worksheets/sheet26804.xml"/>
  <Override ContentType="application/vnd.openxmlformats-officedocument.spreadsheetml.worksheet+xml" PartName="/xl/worksheets/sheet26805.xml"/>
  <Override ContentType="application/vnd.openxmlformats-officedocument.spreadsheetml.worksheet+xml" PartName="/xl/worksheets/sheet26806.xml"/>
  <Override ContentType="application/vnd.openxmlformats-officedocument.spreadsheetml.worksheet+xml" PartName="/xl/worksheets/sheet26807.xml"/>
  <Override ContentType="application/vnd.openxmlformats-officedocument.spreadsheetml.worksheet+xml" PartName="/xl/worksheets/sheet26808.xml"/>
  <Override ContentType="application/vnd.openxmlformats-officedocument.spreadsheetml.worksheet+xml" PartName="/xl/worksheets/sheet26809.xml"/>
  <Override ContentType="application/vnd.openxmlformats-officedocument.spreadsheetml.worksheet+xml" PartName="/xl/worksheets/sheet26810.xml"/>
  <Override ContentType="application/vnd.openxmlformats-officedocument.spreadsheetml.worksheet+xml" PartName="/xl/worksheets/sheet26811.xml"/>
  <Override ContentType="application/vnd.openxmlformats-officedocument.spreadsheetml.worksheet+xml" PartName="/xl/worksheets/sheet26812.xml"/>
  <Override ContentType="application/vnd.openxmlformats-officedocument.spreadsheetml.worksheet+xml" PartName="/xl/worksheets/sheet26813.xml"/>
  <Override ContentType="application/vnd.openxmlformats-officedocument.spreadsheetml.worksheet+xml" PartName="/xl/worksheets/sheet26814.xml"/>
  <Override ContentType="application/vnd.openxmlformats-officedocument.spreadsheetml.worksheet+xml" PartName="/xl/worksheets/sheet26815.xml"/>
  <Override ContentType="application/vnd.openxmlformats-officedocument.spreadsheetml.worksheet+xml" PartName="/xl/worksheets/sheet26816.xml"/>
  <Override ContentType="application/vnd.openxmlformats-officedocument.spreadsheetml.worksheet+xml" PartName="/xl/worksheets/sheet26817.xml"/>
  <Override ContentType="application/vnd.openxmlformats-officedocument.spreadsheetml.worksheet+xml" PartName="/xl/worksheets/sheet26818.xml"/>
  <Override ContentType="application/vnd.openxmlformats-officedocument.spreadsheetml.worksheet+xml" PartName="/xl/worksheets/sheet26819.xml"/>
  <Override ContentType="application/vnd.openxmlformats-officedocument.spreadsheetml.worksheet+xml" PartName="/xl/worksheets/sheet26820.xml"/>
  <Override ContentType="application/vnd.openxmlformats-officedocument.spreadsheetml.worksheet+xml" PartName="/xl/worksheets/sheet26821.xml"/>
  <Override ContentType="application/vnd.openxmlformats-officedocument.spreadsheetml.worksheet+xml" PartName="/xl/worksheets/sheet26822.xml"/>
  <Override ContentType="application/vnd.openxmlformats-officedocument.spreadsheetml.worksheet+xml" PartName="/xl/worksheets/sheet26823.xml"/>
  <Override ContentType="application/vnd.openxmlformats-officedocument.spreadsheetml.worksheet+xml" PartName="/xl/worksheets/sheet26824.xml"/>
  <Override ContentType="application/vnd.openxmlformats-officedocument.spreadsheetml.worksheet+xml" PartName="/xl/worksheets/sheet26825.xml"/>
  <Override ContentType="application/vnd.openxmlformats-officedocument.spreadsheetml.worksheet+xml" PartName="/xl/worksheets/sheet26826.xml"/>
  <Override ContentType="application/vnd.openxmlformats-officedocument.spreadsheetml.worksheet+xml" PartName="/xl/worksheets/sheet26827.xml"/>
  <Override ContentType="application/vnd.openxmlformats-officedocument.spreadsheetml.worksheet+xml" PartName="/xl/worksheets/sheet26828.xml"/>
  <Override ContentType="application/vnd.openxmlformats-officedocument.spreadsheetml.worksheet+xml" PartName="/xl/worksheets/sheet26829.xml"/>
  <Override ContentType="application/vnd.openxmlformats-officedocument.spreadsheetml.worksheet+xml" PartName="/xl/worksheets/sheet26830.xml"/>
  <Override ContentType="application/vnd.openxmlformats-officedocument.spreadsheetml.worksheet+xml" PartName="/xl/worksheets/sheet26831.xml"/>
  <Override ContentType="application/vnd.openxmlformats-officedocument.spreadsheetml.worksheet+xml" PartName="/xl/worksheets/sheet26832.xml"/>
  <Override ContentType="application/vnd.openxmlformats-officedocument.spreadsheetml.worksheet+xml" PartName="/xl/worksheets/sheet26833.xml"/>
  <Override ContentType="application/vnd.openxmlformats-officedocument.spreadsheetml.worksheet+xml" PartName="/xl/worksheets/sheet26834.xml"/>
  <Override ContentType="application/vnd.openxmlformats-officedocument.spreadsheetml.worksheet+xml" PartName="/xl/worksheets/sheet26835.xml"/>
  <Override ContentType="application/vnd.openxmlformats-officedocument.spreadsheetml.worksheet+xml" PartName="/xl/worksheets/sheet26836.xml"/>
  <Override ContentType="application/vnd.openxmlformats-officedocument.spreadsheetml.worksheet+xml" PartName="/xl/worksheets/sheet26837.xml"/>
  <Override ContentType="application/vnd.openxmlformats-officedocument.spreadsheetml.worksheet+xml" PartName="/xl/worksheets/sheet26838.xml"/>
  <Override ContentType="application/vnd.openxmlformats-officedocument.spreadsheetml.worksheet+xml" PartName="/xl/worksheets/sheet26839.xml"/>
  <Override ContentType="application/vnd.openxmlformats-officedocument.spreadsheetml.worksheet+xml" PartName="/xl/worksheets/sheet26840.xml"/>
  <Override ContentType="application/vnd.openxmlformats-officedocument.spreadsheetml.worksheet+xml" PartName="/xl/worksheets/sheet26841.xml"/>
  <Override ContentType="application/vnd.openxmlformats-officedocument.spreadsheetml.worksheet+xml" PartName="/xl/worksheets/sheet26842.xml"/>
  <Override ContentType="application/vnd.openxmlformats-officedocument.spreadsheetml.worksheet+xml" PartName="/xl/worksheets/sheet26843.xml"/>
  <Override ContentType="application/vnd.openxmlformats-officedocument.spreadsheetml.worksheet+xml" PartName="/xl/worksheets/sheet26844.xml"/>
  <Override ContentType="application/vnd.openxmlformats-officedocument.spreadsheetml.worksheet+xml" PartName="/xl/worksheets/sheet26845.xml"/>
  <Override ContentType="application/vnd.openxmlformats-officedocument.spreadsheetml.worksheet+xml" PartName="/xl/worksheets/sheet26846.xml"/>
  <Override ContentType="application/vnd.openxmlformats-officedocument.spreadsheetml.worksheet+xml" PartName="/xl/worksheets/sheet26847.xml"/>
  <Override ContentType="application/vnd.openxmlformats-officedocument.spreadsheetml.worksheet+xml" PartName="/xl/worksheets/sheet26848.xml"/>
  <Override ContentType="application/vnd.openxmlformats-officedocument.spreadsheetml.worksheet+xml" PartName="/xl/worksheets/sheet26849.xml"/>
  <Override ContentType="application/vnd.openxmlformats-officedocument.spreadsheetml.worksheet+xml" PartName="/xl/worksheets/sheet26850.xml"/>
  <Override ContentType="application/vnd.openxmlformats-officedocument.spreadsheetml.worksheet+xml" PartName="/xl/worksheets/sheet26851.xml"/>
  <Override ContentType="application/vnd.openxmlformats-officedocument.spreadsheetml.worksheet+xml" PartName="/xl/worksheets/sheet26852.xml"/>
  <Override ContentType="application/vnd.openxmlformats-officedocument.spreadsheetml.worksheet+xml" PartName="/xl/worksheets/sheet26853.xml"/>
  <Override ContentType="application/vnd.openxmlformats-officedocument.spreadsheetml.worksheet+xml" PartName="/xl/worksheets/sheet26854.xml"/>
  <Override ContentType="application/vnd.openxmlformats-officedocument.spreadsheetml.worksheet+xml" PartName="/xl/worksheets/sheet26855.xml"/>
  <Override ContentType="application/vnd.openxmlformats-officedocument.spreadsheetml.worksheet+xml" PartName="/xl/worksheets/sheet26856.xml"/>
  <Override ContentType="application/vnd.openxmlformats-officedocument.spreadsheetml.worksheet+xml" PartName="/xl/worksheets/sheet26857.xml"/>
  <Override ContentType="application/vnd.openxmlformats-officedocument.spreadsheetml.worksheet+xml" PartName="/xl/worksheets/sheet26858.xml"/>
  <Override ContentType="application/vnd.openxmlformats-officedocument.spreadsheetml.worksheet+xml" PartName="/xl/worksheets/sheet26859.xml"/>
  <Override ContentType="application/vnd.openxmlformats-officedocument.spreadsheetml.worksheet+xml" PartName="/xl/worksheets/sheet26860.xml"/>
  <Override ContentType="application/vnd.openxmlformats-officedocument.spreadsheetml.worksheet+xml" PartName="/xl/worksheets/sheet26861.xml"/>
  <Override ContentType="application/vnd.openxmlformats-officedocument.spreadsheetml.worksheet+xml" PartName="/xl/worksheets/sheet26862.xml"/>
  <Override ContentType="application/vnd.openxmlformats-officedocument.spreadsheetml.worksheet+xml" PartName="/xl/worksheets/sheet26863.xml"/>
  <Override ContentType="application/vnd.openxmlformats-officedocument.spreadsheetml.worksheet+xml" PartName="/xl/worksheets/sheet26864.xml"/>
  <Override ContentType="application/vnd.openxmlformats-officedocument.spreadsheetml.worksheet+xml" PartName="/xl/worksheets/sheet26865.xml"/>
  <Override ContentType="application/vnd.openxmlformats-officedocument.spreadsheetml.worksheet+xml" PartName="/xl/worksheets/sheet26866.xml"/>
  <Override ContentType="application/vnd.openxmlformats-officedocument.spreadsheetml.worksheet+xml" PartName="/xl/worksheets/sheet26867.xml"/>
  <Override ContentType="application/vnd.openxmlformats-officedocument.spreadsheetml.worksheet+xml" PartName="/xl/worksheets/sheet26868.xml"/>
  <Override ContentType="application/vnd.openxmlformats-officedocument.spreadsheetml.worksheet+xml" PartName="/xl/worksheets/sheet26869.xml"/>
  <Override ContentType="application/vnd.openxmlformats-officedocument.spreadsheetml.worksheet+xml" PartName="/xl/worksheets/sheet26870.xml"/>
  <Override ContentType="application/vnd.openxmlformats-officedocument.spreadsheetml.worksheet+xml" PartName="/xl/worksheets/sheet26871.xml"/>
  <Override ContentType="application/vnd.openxmlformats-officedocument.spreadsheetml.worksheet+xml" PartName="/xl/worksheets/sheet26872.xml"/>
  <Override ContentType="application/vnd.openxmlformats-officedocument.spreadsheetml.worksheet+xml" PartName="/xl/worksheets/sheet26873.xml"/>
  <Override ContentType="application/vnd.openxmlformats-officedocument.spreadsheetml.worksheet+xml" PartName="/xl/worksheets/sheet26874.xml"/>
  <Override ContentType="application/vnd.openxmlformats-officedocument.spreadsheetml.worksheet+xml" PartName="/xl/worksheets/sheet26875.xml"/>
  <Override ContentType="application/vnd.openxmlformats-officedocument.spreadsheetml.worksheet+xml" PartName="/xl/worksheets/sheet26876.xml"/>
  <Override ContentType="application/vnd.openxmlformats-officedocument.spreadsheetml.worksheet+xml" PartName="/xl/worksheets/sheet26877.xml"/>
  <Override ContentType="application/vnd.openxmlformats-officedocument.spreadsheetml.worksheet+xml" PartName="/xl/worksheets/sheet26878.xml"/>
  <Override ContentType="application/vnd.openxmlformats-officedocument.spreadsheetml.worksheet+xml" PartName="/xl/worksheets/sheet26879.xml"/>
  <Override ContentType="application/vnd.openxmlformats-officedocument.spreadsheetml.worksheet+xml" PartName="/xl/worksheets/sheet26880.xml"/>
  <Override ContentType="application/vnd.openxmlformats-officedocument.spreadsheetml.worksheet+xml" PartName="/xl/worksheets/sheet26881.xml"/>
  <Override ContentType="application/vnd.openxmlformats-officedocument.spreadsheetml.worksheet+xml" PartName="/xl/worksheets/sheet26882.xml"/>
  <Override ContentType="application/vnd.openxmlformats-officedocument.spreadsheetml.worksheet+xml" PartName="/xl/worksheets/sheet26883.xml"/>
  <Override ContentType="application/vnd.openxmlformats-officedocument.spreadsheetml.worksheet+xml" PartName="/xl/worksheets/sheet26884.xml"/>
  <Override ContentType="application/vnd.openxmlformats-officedocument.spreadsheetml.worksheet+xml" PartName="/xl/worksheets/sheet26885.xml"/>
  <Override ContentType="application/vnd.openxmlformats-officedocument.spreadsheetml.worksheet+xml" PartName="/xl/worksheets/sheet26886.xml"/>
  <Override ContentType="application/vnd.openxmlformats-officedocument.spreadsheetml.worksheet+xml" PartName="/xl/worksheets/sheet26887.xml"/>
  <Override ContentType="application/vnd.openxmlformats-officedocument.spreadsheetml.worksheet+xml" PartName="/xl/worksheets/sheet26888.xml"/>
  <Override ContentType="application/vnd.openxmlformats-officedocument.spreadsheetml.worksheet+xml" PartName="/xl/worksheets/sheet26889.xml"/>
  <Override ContentType="application/vnd.openxmlformats-officedocument.spreadsheetml.worksheet+xml" PartName="/xl/worksheets/sheet26890.xml"/>
  <Override ContentType="application/vnd.openxmlformats-officedocument.spreadsheetml.worksheet+xml" PartName="/xl/worksheets/sheet26891.xml"/>
  <Override ContentType="application/vnd.openxmlformats-officedocument.spreadsheetml.worksheet+xml" PartName="/xl/worksheets/sheet26892.xml"/>
  <Override ContentType="application/vnd.openxmlformats-officedocument.spreadsheetml.worksheet+xml" PartName="/xl/worksheets/sheet26893.xml"/>
  <Override ContentType="application/vnd.openxmlformats-officedocument.spreadsheetml.worksheet+xml" PartName="/xl/worksheets/sheet26894.xml"/>
  <Override ContentType="application/vnd.openxmlformats-officedocument.spreadsheetml.worksheet+xml" PartName="/xl/worksheets/sheet26895.xml"/>
  <Override ContentType="application/vnd.openxmlformats-officedocument.spreadsheetml.worksheet+xml" PartName="/xl/worksheets/sheet26896.xml"/>
  <Override ContentType="application/vnd.openxmlformats-officedocument.spreadsheetml.worksheet+xml" PartName="/xl/worksheets/sheet26897.xml"/>
  <Override ContentType="application/vnd.openxmlformats-officedocument.spreadsheetml.worksheet+xml" PartName="/xl/worksheets/sheet26898.xml"/>
  <Override ContentType="application/vnd.openxmlformats-officedocument.spreadsheetml.worksheet+xml" PartName="/xl/worksheets/sheet26899.xml"/>
  <Override ContentType="application/vnd.openxmlformats-officedocument.spreadsheetml.worksheet+xml" PartName="/xl/worksheets/sheet26900.xml"/>
  <Override ContentType="application/vnd.openxmlformats-officedocument.spreadsheetml.worksheet+xml" PartName="/xl/worksheets/sheet26901.xml"/>
  <Override ContentType="application/vnd.openxmlformats-officedocument.spreadsheetml.worksheet+xml" PartName="/xl/worksheets/sheet26902.xml"/>
  <Override ContentType="application/vnd.openxmlformats-officedocument.spreadsheetml.worksheet+xml" PartName="/xl/worksheets/sheet26903.xml"/>
  <Override ContentType="application/vnd.openxmlformats-officedocument.spreadsheetml.worksheet+xml" PartName="/xl/worksheets/sheet26904.xml"/>
  <Override ContentType="application/vnd.openxmlformats-officedocument.spreadsheetml.worksheet+xml" PartName="/xl/worksheets/sheet26905.xml"/>
  <Override ContentType="application/vnd.openxmlformats-officedocument.spreadsheetml.worksheet+xml" PartName="/xl/worksheets/sheet26906.xml"/>
  <Override ContentType="application/vnd.openxmlformats-officedocument.spreadsheetml.worksheet+xml" PartName="/xl/worksheets/sheet26907.xml"/>
  <Override ContentType="application/vnd.openxmlformats-officedocument.spreadsheetml.worksheet+xml" PartName="/xl/worksheets/sheet26908.xml"/>
  <Override ContentType="application/vnd.openxmlformats-officedocument.spreadsheetml.worksheet+xml" PartName="/xl/worksheets/sheet26909.xml"/>
  <Override ContentType="application/vnd.openxmlformats-officedocument.spreadsheetml.worksheet+xml" PartName="/xl/worksheets/sheet26910.xml"/>
  <Override ContentType="application/vnd.openxmlformats-officedocument.spreadsheetml.worksheet+xml" PartName="/xl/worksheets/sheet26911.xml"/>
  <Override ContentType="application/vnd.openxmlformats-officedocument.spreadsheetml.worksheet+xml" PartName="/xl/worksheets/sheet26912.xml"/>
  <Override ContentType="application/vnd.openxmlformats-officedocument.spreadsheetml.worksheet+xml" PartName="/xl/worksheets/sheet26913.xml"/>
  <Override ContentType="application/vnd.openxmlformats-officedocument.spreadsheetml.worksheet+xml" PartName="/xl/worksheets/sheet26914.xml"/>
  <Override ContentType="application/vnd.openxmlformats-officedocument.spreadsheetml.worksheet+xml" PartName="/xl/worksheets/sheet26915.xml"/>
  <Override ContentType="application/vnd.openxmlformats-officedocument.spreadsheetml.worksheet+xml" PartName="/xl/worksheets/sheet26916.xml"/>
  <Override ContentType="application/vnd.openxmlformats-officedocument.spreadsheetml.worksheet+xml" PartName="/xl/worksheets/sheet26917.xml"/>
  <Override ContentType="application/vnd.openxmlformats-officedocument.spreadsheetml.worksheet+xml" PartName="/xl/worksheets/sheet26918.xml"/>
  <Override ContentType="application/vnd.openxmlformats-officedocument.spreadsheetml.worksheet+xml" PartName="/xl/worksheets/sheet26919.xml"/>
  <Override ContentType="application/vnd.openxmlformats-officedocument.spreadsheetml.worksheet+xml" PartName="/xl/worksheets/sheet26920.xml"/>
  <Override ContentType="application/vnd.openxmlformats-officedocument.spreadsheetml.worksheet+xml" PartName="/xl/worksheets/sheet26921.xml"/>
  <Override ContentType="application/vnd.openxmlformats-officedocument.spreadsheetml.worksheet+xml" PartName="/xl/worksheets/sheet26922.xml"/>
  <Override ContentType="application/vnd.openxmlformats-officedocument.spreadsheetml.worksheet+xml" PartName="/xl/worksheets/sheet26923.xml"/>
  <Override ContentType="application/vnd.openxmlformats-officedocument.spreadsheetml.worksheet+xml" PartName="/xl/worksheets/sheet26924.xml"/>
  <Override ContentType="application/vnd.openxmlformats-officedocument.spreadsheetml.worksheet+xml" PartName="/xl/worksheets/sheet26925.xml"/>
  <Override ContentType="application/vnd.openxmlformats-officedocument.spreadsheetml.worksheet+xml" PartName="/xl/worksheets/sheet26926.xml"/>
  <Override ContentType="application/vnd.openxmlformats-officedocument.spreadsheetml.worksheet+xml" PartName="/xl/worksheets/sheet26927.xml"/>
  <Override ContentType="application/vnd.openxmlformats-officedocument.spreadsheetml.worksheet+xml" PartName="/xl/worksheets/sheet26928.xml"/>
  <Override ContentType="application/vnd.openxmlformats-officedocument.spreadsheetml.worksheet+xml" PartName="/xl/worksheets/sheet26929.xml"/>
  <Override ContentType="application/vnd.openxmlformats-officedocument.spreadsheetml.worksheet+xml" PartName="/xl/worksheets/sheet26930.xml"/>
  <Override ContentType="application/vnd.openxmlformats-officedocument.spreadsheetml.worksheet+xml" PartName="/xl/worksheets/sheet26931.xml"/>
  <Override ContentType="application/vnd.openxmlformats-officedocument.spreadsheetml.worksheet+xml" PartName="/xl/worksheets/sheet26932.xml"/>
  <Override ContentType="application/vnd.openxmlformats-officedocument.spreadsheetml.worksheet+xml" PartName="/xl/worksheets/sheet26933.xml"/>
  <Override ContentType="application/vnd.openxmlformats-officedocument.spreadsheetml.worksheet+xml" PartName="/xl/worksheets/sheet26934.xml"/>
  <Override ContentType="application/vnd.openxmlformats-officedocument.spreadsheetml.worksheet+xml" PartName="/xl/worksheets/sheet26935.xml"/>
  <Override ContentType="application/vnd.openxmlformats-officedocument.spreadsheetml.worksheet+xml" PartName="/xl/worksheets/sheet26936.xml"/>
  <Override ContentType="application/vnd.openxmlformats-officedocument.spreadsheetml.worksheet+xml" PartName="/xl/worksheets/sheet26937.xml"/>
  <Override ContentType="application/vnd.openxmlformats-officedocument.spreadsheetml.worksheet+xml" PartName="/xl/worksheets/sheet26938.xml"/>
  <Override ContentType="application/vnd.openxmlformats-officedocument.spreadsheetml.worksheet+xml" PartName="/xl/worksheets/sheet26939.xml"/>
  <Override ContentType="application/vnd.openxmlformats-officedocument.spreadsheetml.worksheet+xml" PartName="/xl/worksheets/sheet26940.xml"/>
  <Override ContentType="application/vnd.openxmlformats-officedocument.spreadsheetml.worksheet+xml" PartName="/xl/worksheets/sheet26941.xml"/>
  <Override ContentType="application/vnd.openxmlformats-officedocument.spreadsheetml.worksheet+xml" PartName="/xl/worksheets/sheet26942.xml"/>
  <Override ContentType="application/vnd.openxmlformats-officedocument.spreadsheetml.worksheet+xml" PartName="/xl/worksheets/sheet26943.xml"/>
  <Override ContentType="application/vnd.openxmlformats-officedocument.spreadsheetml.worksheet+xml" PartName="/xl/worksheets/sheet26944.xml"/>
  <Override ContentType="application/vnd.openxmlformats-officedocument.spreadsheetml.worksheet+xml" PartName="/xl/worksheets/sheet26945.xml"/>
  <Override ContentType="application/vnd.openxmlformats-officedocument.spreadsheetml.worksheet+xml" PartName="/xl/worksheets/sheet26946.xml"/>
  <Override ContentType="application/vnd.openxmlformats-officedocument.spreadsheetml.worksheet+xml" PartName="/xl/worksheets/sheet26947.xml"/>
  <Override ContentType="application/vnd.openxmlformats-officedocument.spreadsheetml.worksheet+xml" PartName="/xl/worksheets/sheet26948.xml"/>
  <Override ContentType="application/vnd.openxmlformats-officedocument.spreadsheetml.worksheet+xml" PartName="/xl/worksheets/sheet26949.xml"/>
  <Override ContentType="application/vnd.openxmlformats-officedocument.spreadsheetml.worksheet+xml" PartName="/xl/worksheets/sheet26950.xml"/>
  <Override ContentType="application/vnd.openxmlformats-officedocument.spreadsheetml.worksheet+xml" PartName="/xl/worksheets/sheet26951.xml"/>
  <Override ContentType="application/vnd.openxmlformats-officedocument.spreadsheetml.worksheet+xml" PartName="/xl/worksheets/sheet26952.xml"/>
  <Override ContentType="application/vnd.openxmlformats-officedocument.spreadsheetml.worksheet+xml" PartName="/xl/worksheets/sheet26953.xml"/>
  <Override ContentType="application/vnd.openxmlformats-officedocument.spreadsheetml.worksheet+xml" PartName="/xl/worksheets/sheet26954.xml"/>
  <Override ContentType="application/vnd.openxmlformats-officedocument.spreadsheetml.worksheet+xml" PartName="/xl/worksheets/sheet26955.xml"/>
  <Override ContentType="application/vnd.openxmlformats-officedocument.spreadsheetml.worksheet+xml" PartName="/xl/worksheets/sheet26956.xml"/>
  <Override ContentType="application/vnd.openxmlformats-officedocument.spreadsheetml.worksheet+xml" PartName="/xl/worksheets/sheet26957.xml"/>
  <Override ContentType="application/vnd.openxmlformats-officedocument.spreadsheetml.worksheet+xml" PartName="/xl/worksheets/sheet26958.xml"/>
  <Override ContentType="application/vnd.openxmlformats-officedocument.spreadsheetml.worksheet+xml" PartName="/xl/worksheets/sheet26959.xml"/>
  <Override ContentType="application/vnd.openxmlformats-officedocument.spreadsheetml.worksheet+xml" PartName="/xl/worksheets/sheet26960.xml"/>
  <Override ContentType="application/vnd.openxmlformats-officedocument.spreadsheetml.worksheet+xml" PartName="/xl/worksheets/sheet26961.xml"/>
  <Override ContentType="application/vnd.openxmlformats-officedocument.spreadsheetml.worksheet+xml" PartName="/xl/worksheets/sheet26962.xml"/>
  <Override ContentType="application/vnd.openxmlformats-officedocument.spreadsheetml.worksheet+xml" PartName="/xl/worksheets/sheet26963.xml"/>
  <Override ContentType="application/vnd.openxmlformats-officedocument.spreadsheetml.worksheet+xml" PartName="/xl/worksheets/sheet26964.xml"/>
  <Override ContentType="application/vnd.openxmlformats-officedocument.spreadsheetml.worksheet+xml" PartName="/xl/worksheets/sheet26965.xml"/>
  <Override ContentType="application/vnd.openxmlformats-officedocument.spreadsheetml.worksheet+xml" PartName="/xl/worksheets/sheet26966.xml"/>
  <Override ContentType="application/vnd.openxmlformats-officedocument.spreadsheetml.worksheet+xml" PartName="/xl/worksheets/sheet26967.xml"/>
  <Override ContentType="application/vnd.openxmlformats-officedocument.spreadsheetml.worksheet+xml" PartName="/xl/worksheets/sheet26968.xml"/>
  <Override ContentType="application/vnd.openxmlformats-officedocument.spreadsheetml.worksheet+xml" PartName="/xl/worksheets/sheet26969.xml"/>
  <Override ContentType="application/vnd.openxmlformats-officedocument.spreadsheetml.worksheet+xml" PartName="/xl/worksheets/sheet26970.xml"/>
  <Override ContentType="application/vnd.openxmlformats-officedocument.spreadsheetml.worksheet+xml" PartName="/xl/worksheets/sheet26971.xml"/>
  <Override ContentType="application/vnd.openxmlformats-officedocument.spreadsheetml.worksheet+xml" PartName="/xl/worksheets/sheet26972.xml"/>
  <Override ContentType="application/vnd.openxmlformats-officedocument.spreadsheetml.worksheet+xml" PartName="/xl/worksheets/sheet26973.xml"/>
  <Override ContentType="application/vnd.openxmlformats-officedocument.spreadsheetml.worksheet+xml" PartName="/xl/worksheets/sheet26974.xml"/>
  <Override ContentType="application/vnd.openxmlformats-officedocument.spreadsheetml.worksheet+xml" PartName="/xl/worksheets/sheet26975.xml"/>
  <Override ContentType="application/vnd.openxmlformats-officedocument.spreadsheetml.worksheet+xml" PartName="/xl/worksheets/sheet26976.xml"/>
  <Override ContentType="application/vnd.openxmlformats-officedocument.spreadsheetml.worksheet+xml" PartName="/xl/worksheets/sheet26977.xml"/>
  <Override ContentType="application/vnd.openxmlformats-officedocument.spreadsheetml.worksheet+xml" PartName="/xl/worksheets/sheet26978.xml"/>
  <Override ContentType="application/vnd.openxmlformats-officedocument.spreadsheetml.worksheet+xml" PartName="/xl/worksheets/sheet26979.xml"/>
  <Override ContentType="application/vnd.openxmlformats-officedocument.spreadsheetml.worksheet+xml" PartName="/xl/worksheets/sheet26980.xml"/>
  <Override ContentType="application/vnd.openxmlformats-officedocument.spreadsheetml.worksheet+xml" PartName="/xl/worksheets/sheet26981.xml"/>
  <Override ContentType="application/vnd.openxmlformats-officedocument.spreadsheetml.worksheet+xml" PartName="/xl/worksheets/sheet26982.xml"/>
  <Override ContentType="application/vnd.openxmlformats-officedocument.spreadsheetml.worksheet+xml" PartName="/xl/worksheets/sheet26983.xml"/>
  <Override ContentType="application/vnd.openxmlformats-officedocument.spreadsheetml.worksheet+xml" PartName="/xl/worksheets/sheet26984.xml"/>
  <Override ContentType="application/vnd.openxmlformats-officedocument.spreadsheetml.worksheet+xml" PartName="/xl/worksheets/sheet26985.xml"/>
  <Override ContentType="application/vnd.openxmlformats-officedocument.spreadsheetml.worksheet+xml" PartName="/xl/worksheets/sheet26986.xml"/>
  <Override ContentType="application/vnd.openxmlformats-officedocument.spreadsheetml.worksheet+xml" PartName="/xl/worksheets/sheet26987.xml"/>
  <Override ContentType="application/vnd.openxmlformats-officedocument.spreadsheetml.worksheet+xml" PartName="/xl/worksheets/sheet26988.xml"/>
  <Override ContentType="application/vnd.openxmlformats-officedocument.spreadsheetml.worksheet+xml" PartName="/xl/worksheets/sheet26989.xml"/>
  <Override ContentType="application/vnd.openxmlformats-officedocument.spreadsheetml.worksheet+xml" PartName="/xl/worksheets/sheet26990.xml"/>
  <Override ContentType="application/vnd.openxmlformats-officedocument.spreadsheetml.worksheet+xml" PartName="/xl/worksheets/sheet26991.xml"/>
  <Override ContentType="application/vnd.openxmlformats-officedocument.spreadsheetml.worksheet+xml" PartName="/xl/worksheets/sheet26992.xml"/>
  <Override ContentType="application/vnd.openxmlformats-officedocument.spreadsheetml.worksheet+xml" PartName="/xl/worksheets/sheet26993.xml"/>
  <Override ContentType="application/vnd.openxmlformats-officedocument.spreadsheetml.worksheet+xml" PartName="/xl/worksheets/sheet26994.xml"/>
  <Override ContentType="application/vnd.openxmlformats-officedocument.spreadsheetml.worksheet+xml" PartName="/xl/worksheets/sheet26995.xml"/>
  <Override ContentType="application/vnd.openxmlformats-officedocument.spreadsheetml.worksheet+xml" PartName="/xl/worksheets/sheet26996.xml"/>
  <Override ContentType="application/vnd.openxmlformats-officedocument.spreadsheetml.worksheet+xml" PartName="/xl/worksheets/sheet26997.xml"/>
  <Override ContentType="application/vnd.openxmlformats-officedocument.spreadsheetml.worksheet+xml" PartName="/xl/worksheets/sheet26998.xml"/>
  <Override ContentType="application/vnd.openxmlformats-officedocument.spreadsheetml.worksheet+xml" PartName="/xl/worksheets/sheet26999.xml"/>
  <Override ContentType="application/vnd.openxmlformats-officedocument.spreadsheetml.worksheet+xml" PartName="/xl/worksheets/sheet27000.xml"/>
  <Override ContentType="application/vnd.openxmlformats-officedocument.spreadsheetml.worksheet+xml" PartName="/xl/worksheets/sheet27001.xml"/>
  <Override ContentType="application/vnd.openxmlformats-officedocument.spreadsheetml.worksheet+xml" PartName="/xl/worksheets/sheet27002.xml"/>
  <Override ContentType="application/vnd.openxmlformats-officedocument.spreadsheetml.worksheet+xml" PartName="/xl/worksheets/sheet27003.xml"/>
  <Override ContentType="application/vnd.openxmlformats-officedocument.spreadsheetml.worksheet+xml" PartName="/xl/worksheets/sheet27004.xml"/>
  <Override ContentType="application/vnd.openxmlformats-officedocument.spreadsheetml.worksheet+xml" PartName="/xl/worksheets/sheet27005.xml"/>
  <Override ContentType="application/vnd.openxmlformats-officedocument.spreadsheetml.worksheet+xml" PartName="/xl/worksheets/sheet27006.xml"/>
  <Override ContentType="application/vnd.openxmlformats-officedocument.spreadsheetml.worksheet+xml" PartName="/xl/worksheets/sheet27007.xml"/>
  <Override ContentType="application/vnd.openxmlformats-officedocument.spreadsheetml.worksheet+xml" PartName="/xl/worksheets/sheet27008.xml"/>
  <Override ContentType="application/vnd.openxmlformats-officedocument.spreadsheetml.worksheet+xml" PartName="/xl/worksheets/sheet27009.xml"/>
  <Override ContentType="application/vnd.openxmlformats-officedocument.spreadsheetml.worksheet+xml" PartName="/xl/worksheets/sheet27010.xml"/>
  <Override ContentType="application/vnd.openxmlformats-officedocument.spreadsheetml.worksheet+xml" PartName="/xl/worksheets/sheet27011.xml"/>
  <Override ContentType="application/vnd.openxmlformats-officedocument.spreadsheetml.worksheet+xml" PartName="/xl/worksheets/sheet27012.xml"/>
  <Override ContentType="application/vnd.openxmlformats-officedocument.spreadsheetml.worksheet+xml" PartName="/xl/worksheets/sheet27013.xml"/>
  <Override ContentType="application/vnd.openxmlformats-officedocument.spreadsheetml.worksheet+xml" PartName="/xl/worksheets/sheet27014.xml"/>
  <Override ContentType="application/vnd.openxmlformats-officedocument.spreadsheetml.worksheet+xml" PartName="/xl/worksheets/sheet27015.xml"/>
  <Override ContentType="application/vnd.openxmlformats-officedocument.spreadsheetml.worksheet+xml" PartName="/xl/worksheets/sheet27016.xml"/>
  <Override ContentType="application/vnd.openxmlformats-officedocument.spreadsheetml.worksheet+xml" PartName="/xl/worksheets/sheet27017.xml"/>
  <Override ContentType="application/vnd.openxmlformats-officedocument.spreadsheetml.worksheet+xml" PartName="/xl/worksheets/sheet27018.xml"/>
  <Override ContentType="application/vnd.openxmlformats-officedocument.spreadsheetml.worksheet+xml" PartName="/xl/worksheets/sheet27019.xml"/>
  <Override ContentType="application/vnd.openxmlformats-officedocument.spreadsheetml.worksheet+xml" PartName="/xl/worksheets/sheet27020.xml"/>
  <Override ContentType="application/vnd.openxmlformats-officedocument.spreadsheetml.worksheet+xml" PartName="/xl/worksheets/sheet27021.xml"/>
  <Override ContentType="application/vnd.openxmlformats-officedocument.spreadsheetml.worksheet+xml" PartName="/xl/worksheets/sheet27022.xml"/>
  <Override ContentType="application/vnd.openxmlformats-officedocument.spreadsheetml.worksheet+xml" PartName="/xl/worksheets/sheet27023.xml"/>
  <Override ContentType="application/vnd.openxmlformats-officedocument.spreadsheetml.worksheet+xml" PartName="/xl/worksheets/sheet27024.xml"/>
  <Override ContentType="application/vnd.openxmlformats-officedocument.spreadsheetml.worksheet+xml" PartName="/xl/worksheets/sheet27025.xml"/>
  <Override ContentType="application/vnd.openxmlformats-officedocument.spreadsheetml.worksheet+xml" PartName="/xl/worksheets/sheet27026.xml"/>
  <Override ContentType="application/vnd.openxmlformats-officedocument.spreadsheetml.worksheet+xml" PartName="/xl/worksheets/sheet27027.xml"/>
  <Override ContentType="application/vnd.openxmlformats-officedocument.spreadsheetml.worksheet+xml" PartName="/xl/worksheets/sheet27028.xml"/>
  <Override ContentType="application/vnd.openxmlformats-officedocument.spreadsheetml.worksheet+xml" PartName="/xl/worksheets/sheet27029.xml"/>
  <Override ContentType="application/vnd.openxmlformats-officedocument.spreadsheetml.worksheet+xml" PartName="/xl/worksheets/sheet27030.xml"/>
  <Override ContentType="application/vnd.openxmlformats-officedocument.spreadsheetml.worksheet+xml" PartName="/xl/worksheets/sheet27031.xml"/>
  <Override ContentType="application/vnd.openxmlformats-officedocument.spreadsheetml.worksheet+xml" PartName="/xl/worksheets/sheet27032.xml"/>
  <Override ContentType="application/vnd.openxmlformats-officedocument.spreadsheetml.worksheet+xml" PartName="/xl/worksheets/sheet27033.xml"/>
  <Override ContentType="application/vnd.openxmlformats-officedocument.spreadsheetml.worksheet+xml" PartName="/xl/worksheets/sheet27034.xml"/>
  <Override ContentType="application/vnd.openxmlformats-officedocument.spreadsheetml.worksheet+xml" PartName="/xl/worksheets/sheet27035.xml"/>
  <Override ContentType="application/vnd.openxmlformats-officedocument.spreadsheetml.worksheet+xml" PartName="/xl/worksheets/sheet27036.xml"/>
  <Override ContentType="application/vnd.openxmlformats-officedocument.spreadsheetml.worksheet+xml" PartName="/xl/worksheets/sheet27037.xml"/>
  <Override ContentType="application/vnd.openxmlformats-officedocument.spreadsheetml.worksheet+xml" PartName="/xl/worksheets/sheet27038.xml"/>
  <Override ContentType="application/vnd.openxmlformats-officedocument.spreadsheetml.worksheet+xml" PartName="/xl/worksheets/sheet27039.xml"/>
  <Override ContentType="application/vnd.openxmlformats-officedocument.spreadsheetml.worksheet+xml" PartName="/xl/worksheets/sheet27040.xml"/>
  <Override ContentType="application/vnd.openxmlformats-officedocument.spreadsheetml.worksheet+xml" PartName="/xl/worksheets/sheet27041.xml"/>
  <Override ContentType="application/vnd.openxmlformats-officedocument.spreadsheetml.worksheet+xml" PartName="/xl/worksheets/sheet27042.xml"/>
  <Override ContentType="application/vnd.openxmlformats-officedocument.spreadsheetml.worksheet+xml" PartName="/xl/worksheets/sheet27043.xml"/>
  <Override ContentType="application/vnd.openxmlformats-officedocument.spreadsheetml.worksheet+xml" PartName="/xl/worksheets/sheet27044.xml"/>
  <Override ContentType="application/vnd.openxmlformats-officedocument.spreadsheetml.worksheet+xml" PartName="/xl/worksheets/sheet27045.xml"/>
  <Override ContentType="application/vnd.openxmlformats-officedocument.spreadsheetml.worksheet+xml" PartName="/xl/worksheets/sheet27046.xml"/>
  <Override ContentType="application/vnd.openxmlformats-officedocument.spreadsheetml.worksheet+xml" PartName="/xl/worksheets/sheet27047.xml"/>
  <Override ContentType="application/vnd.openxmlformats-officedocument.spreadsheetml.worksheet+xml" PartName="/xl/worksheets/sheet27048.xml"/>
  <Override ContentType="application/vnd.openxmlformats-officedocument.spreadsheetml.worksheet+xml" PartName="/xl/worksheets/sheet27049.xml"/>
  <Override ContentType="application/vnd.openxmlformats-officedocument.spreadsheetml.worksheet+xml" PartName="/xl/worksheets/sheet27050.xml"/>
  <Override ContentType="application/vnd.openxmlformats-officedocument.spreadsheetml.worksheet+xml" PartName="/xl/worksheets/sheet27051.xml"/>
  <Override ContentType="application/vnd.openxmlformats-officedocument.spreadsheetml.worksheet+xml" PartName="/xl/worksheets/sheet27052.xml"/>
  <Override ContentType="application/vnd.openxmlformats-officedocument.spreadsheetml.worksheet+xml" PartName="/xl/worksheets/sheet27053.xml"/>
  <Override ContentType="application/vnd.openxmlformats-officedocument.spreadsheetml.worksheet+xml" PartName="/xl/worksheets/sheet27054.xml"/>
  <Override ContentType="application/vnd.openxmlformats-officedocument.spreadsheetml.worksheet+xml" PartName="/xl/worksheets/sheet27055.xml"/>
  <Override ContentType="application/vnd.openxmlformats-officedocument.spreadsheetml.worksheet+xml" PartName="/xl/worksheets/sheet27056.xml"/>
  <Override ContentType="application/vnd.openxmlformats-officedocument.spreadsheetml.worksheet+xml" PartName="/xl/worksheets/sheet27057.xml"/>
  <Override ContentType="application/vnd.openxmlformats-officedocument.spreadsheetml.worksheet+xml" PartName="/xl/worksheets/sheet27058.xml"/>
  <Override ContentType="application/vnd.openxmlformats-officedocument.spreadsheetml.worksheet+xml" PartName="/xl/worksheets/sheet27059.xml"/>
  <Override ContentType="application/vnd.openxmlformats-officedocument.spreadsheetml.worksheet+xml" PartName="/xl/worksheets/sheet27060.xml"/>
  <Override ContentType="application/vnd.openxmlformats-officedocument.spreadsheetml.worksheet+xml" PartName="/xl/worksheets/sheet27061.xml"/>
  <Override ContentType="application/vnd.openxmlformats-officedocument.spreadsheetml.worksheet+xml" PartName="/xl/worksheets/sheet27062.xml"/>
  <Override ContentType="application/vnd.openxmlformats-officedocument.spreadsheetml.worksheet+xml" PartName="/xl/worksheets/sheet27063.xml"/>
  <Override ContentType="application/vnd.openxmlformats-officedocument.spreadsheetml.worksheet+xml" PartName="/xl/worksheets/sheet27064.xml"/>
  <Override ContentType="application/vnd.openxmlformats-officedocument.spreadsheetml.worksheet+xml" PartName="/xl/worksheets/sheet27065.xml"/>
  <Override ContentType="application/vnd.openxmlformats-officedocument.spreadsheetml.worksheet+xml" PartName="/xl/worksheets/sheet27066.xml"/>
  <Override ContentType="application/vnd.openxmlformats-officedocument.spreadsheetml.worksheet+xml" PartName="/xl/worksheets/sheet27067.xml"/>
  <Override ContentType="application/vnd.openxmlformats-officedocument.spreadsheetml.worksheet+xml" PartName="/xl/worksheets/sheet27068.xml"/>
  <Override ContentType="application/vnd.openxmlformats-officedocument.spreadsheetml.worksheet+xml" PartName="/xl/worksheets/sheet27069.xml"/>
  <Override ContentType="application/vnd.openxmlformats-officedocument.spreadsheetml.worksheet+xml" PartName="/xl/worksheets/sheet27070.xml"/>
  <Override ContentType="application/vnd.openxmlformats-officedocument.spreadsheetml.worksheet+xml" PartName="/xl/worksheets/sheet27071.xml"/>
  <Override ContentType="application/vnd.openxmlformats-officedocument.spreadsheetml.worksheet+xml" PartName="/xl/worksheets/sheet27072.xml"/>
  <Override ContentType="application/vnd.openxmlformats-officedocument.spreadsheetml.worksheet+xml" PartName="/xl/worksheets/sheet27073.xml"/>
  <Override ContentType="application/vnd.openxmlformats-officedocument.spreadsheetml.worksheet+xml" PartName="/xl/worksheets/sheet27074.xml"/>
  <Override ContentType="application/vnd.openxmlformats-officedocument.spreadsheetml.worksheet+xml" PartName="/xl/worksheets/sheet27075.xml"/>
  <Override ContentType="application/vnd.openxmlformats-officedocument.spreadsheetml.worksheet+xml" PartName="/xl/worksheets/sheet27076.xml"/>
  <Override ContentType="application/vnd.openxmlformats-officedocument.spreadsheetml.worksheet+xml" PartName="/xl/worksheets/sheet27077.xml"/>
  <Override ContentType="application/vnd.openxmlformats-officedocument.spreadsheetml.worksheet+xml" PartName="/xl/worksheets/sheet27078.xml"/>
  <Override ContentType="application/vnd.openxmlformats-officedocument.spreadsheetml.worksheet+xml" PartName="/xl/worksheets/sheet27079.xml"/>
  <Override ContentType="application/vnd.openxmlformats-officedocument.spreadsheetml.worksheet+xml" PartName="/xl/worksheets/sheet27080.xml"/>
  <Override ContentType="application/vnd.openxmlformats-officedocument.spreadsheetml.worksheet+xml" PartName="/xl/worksheets/sheet27081.xml"/>
  <Override ContentType="application/vnd.openxmlformats-officedocument.spreadsheetml.worksheet+xml" PartName="/xl/worksheets/sheet27082.xml"/>
  <Override ContentType="application/vnd.openxmlformats-officedocument.spreadsheetml.worksheet+xml" PartName="/xl/worksheets/sheet27083.xml"/>
  <Override ContentType="application/vnd.openxmlformats-officedocument.spreadsheetml.worksheet+xml" PartName="/xl/worksheets/sheet27084.xml"/>
  <Override ContentType="application/vnd.openxmlformats-officedocument.spreadsheetml.worksheet+xml" PartName="/xl/worksheets/sheet27085.xml"/>
  <Override ContentType="application/vnd.openxmlformats-officedocument.spreadsheetml.worksheet+xml" PartName="/xl/worksheets/sheet27086.xml"/>
  <Override ContentType="application/vnd.openxmlformats-officedocument.spreadsheetml.worksheet+xml" PartName="/xl/worksheets/sheet27087.xml"/>
  <Override ContentType="application/vnd.openxmlformats-officedocument.spreadsheetml.worksheet+xml" PartName="/xl/worksheets/sheet27088.xml"/>
  <Override ContentType="application/vnd.openxmlformats-officedocument.spreadsheetml.worksheet+xml" PartName="/xl/worksheets/sheet27089.xml"/>
  <Override ContentType="application/vnd.openxmlformats-officedocument.spreadsheetml.worksheet+xml" PartName="/xl/worksheets/sheet27090.xml"/>
  <Override ContentType="application/vnd.openxmlformats-officedocument.spreadsheetml.worksheet+xml" PartName="/xl/worksheets/sheet27091.xml"/>
  <Override ContentType="application/vnd.openxmlformats-officedocument.spreadsheetml.worksheet+xml" PartName="/xl/worksheets/sheet27092.xml"/>
  <Override ContentType="application/vnd.openxmlformats-officedocument.spreadsheetml.worksheet+xml" PartName="/xl/worksheets/sheet27093.xml"/>
  <Override ContentType="application/vnd.openxmlformats-officedocument.spreadsheetml.worksheet+xml" PartName="/xl/worksheets/sheet27094.xml"/>
  <Override ContentType="application/vnd.openxmlformats-officedocument.spreadsheetml.worksheet+xml" PartName="/xl/worksheets/sheet27095.xml"/>
  <Override ContentType="application/vnd.openxmlformats-officedocument.spreadsheetml.worksheet+xml" PartName="/xl/worksheets/sheet27096.xml"/>
  <Override ContentType="application/vnd.openxmlformats-officedocument.spreadsheetml.worksheet+xml" PartName="/xl/worksheets/sheet27097.xml"/>
  <Override ContentType="application/vnd.openxmlformats-officedocument.spreadsheetml.worksheet+xml" PartName="/xl/worksheets/sheet27098.xml"/>
  <Override ContentType="application/vnd.openxmlformats-officedocument.spreadsheetml.worksheet+xml" PartName="/xl/worksheets/sheet27099.xml"/>
  <Override ContentType="application/vnd.openxmlformats-officedocument.spreadsheetml.worksheet+xml" PartName="/xl/worksheets/sheet27100.xml"/>
  <Override ContentType="application/vnd.openxmlformats-officedocument.spreadsheetml.worksheet+xml" PartName="/xl/worksheets/sheet27101.xml"/>
  <Override ContentType="application/vnd.openxmlformats-officedocument.spreadsheetml.worksheet+xml" PartName="/xl/worksheets/sheet27102.xml"/>
  <Override ContentType="application/vnd.openxmlformats-officedocument.spreadsheetml.worksheet+xml" PartName="/xl/worksheets/sheet27103.xml"/>
  <Override ContentType="application/vnd.openxmlformats-officedocument.spreadsheetml.worksheet+xml" PartName="/xl/worksheets/sheet27104.xml"/>
  <Override ContentType="application/vnd.openxmlformats-officedocument.spreadsheetml.worksheet+xml" PartName="/xl/worksheets/sheet27105.xml"/>
  <Override ContentType="application/vnd.openxmlformats-officedocument.spreadsheetml.worksheet+xml" PartName="/xl/worksheets/sheet27106.xml"/>
  <Override ContentType="application/vnd.openxmlformats-officedocument.spreadsheetml.worksheet+xml" PartName="/xl/worksheets/sheet27107.xml"/>
  <Override ContentType="application/vnd.openxmlformats-officedocument.spreadsheetml.worksheet+xml" PartName="/xl/worksheets/sheet27108.xml"/>
  <Override ContentType="application/vnd.openxmlformats-officedocument.spreadsheetml.worksheet+xml" PartName="/xl/worksheets/sheet27109.xml"/>
  <Override ContentType="application/vnd.openxmlformats-officedocument.spreadsheetml.worksheet+xml" PartName="/xl/worksheets/sheet27110.xml"/>
  <Override ContentType="application/vnd.openxmlformats-officedocument.spreadsheetml.worksheet+xml" PartName="/xl/worksheets/sheet27111.xml"/>
  <Override ContentType="application/vnd.openxmlformats-officedocument.spreadsheetml.worksheet+xml" PartName="/xl/worksheets/sheet27112.xml"/>
  <Override ContentType="application/vnd.openxmlformats-officedocument.spreadsheetml.worksheet+xml" PartName="/xl/worksheets/sheet27113.xml"/>
  <Override ContentType="application/vnd.openxmlformats-officedocument.spreadsheetml.worksheet+xml" PartName="/xl/worksheets/sheet27114.xml"/>
  <Override ContentType="application/vnd.openxmlformats-officedocument.spreadsheetml.worksheet+xml" PartName="/xl/worksheets/sheet27115.xml"/>
  <Override ContentType="application/vnd.openxmlformats-officedocument.spreadsheetml.worksheet+xml" PartName="/xl/worksheets/sheet27116.xml"/>
  <Override ContentType="application/vnd.openxmlformats-officedocument.spreadsheetml.worksheet+xml" PartName="/xl/worksheets/sheet27117.xml"/>
  <Override ContentType="application/vnd.openxmlformats-officedocument.spreadsheetml.worksheet+xml" PartName="/xl/worksheets/sheet27118.xml"/>
  <Override ContentType="application/vnd.openxmlformats-officedocument.spreadsheetml.worksheet+xml" PartName="/xl/worksheets/sheet27119.xml"/>
  <Override ContentType="application/vnd.openxmlformats-officedocument.spreadsheetml.worksheet+xml" PartName="/xl/worksheets/sheet27120.xml"/>
  <Override ContentType="application/vnd.openxmlformats-officedocument.spreadsheetml.worksheet+xml" PartName="/xl/worksheets/sheet27121.xml"/>
  <Override ContentType="application/vnd.openxmlformats-officedocument.spreadsheetml.worksheet+xml" PartName="/xl/worksheets/sheet27122.xml"/>
  <Override ContentType="application/vnd.openxmlformats-officedocument.spreadsheetml.worksheet+xml" PartName="/xl/worksheets/sheet27123.xml"/>
  <Override ContentType="application/vnd.openxmlformats-officedocument.spreadsheetml.worksheet+xml" PartName="/xl/worksheets/sheet27124.xml"/>
  <Override ContentType="application/vnd.openxmlformats-officedocument.spreadsheetml.worksheet+xml" PartName="/xl/worksheets/sheet27125.xml"/>
  <Override ContentType="application/vnd.openxmlformats-officedocument.spreadsheetml.worksheet+xml" PartName="/xl/worksheets/sheet27126.xml"/>
  <Override ContentType="application/vnd.openxmlformats-officedocument.spreadsheetml.worksheet+xml" PartName="/xl/worksheets/sheet27127.xml"/>
  <Override ContentType="application/vnd.openxmlformats-officedocument.spreadsheetml.worksheet+xml" PartName="/xl/worksheets/sheet27128.xml"/>
  <Override ContentType="application/vnd.openxmlformats-officedocument.spreadsheetml.worksheet+xml" PartName="/xl/worksheets/sheet27129.xml"/>
  <Override ContentType="application/vnd.openxmlformats-officedocument.spreadsheetml.worksheet+xml" PartName="/xl/worksheets/sheet27130.xml"/>
  <Override ContentType="application/vnd.openxmlformats-officedocument.spreadsheetml.worksheet+xml" PartName="/xl/worksheets/sheet27131.xml"/>
  <Override ContentType="application/vnd.openxmlformats-officedocument.spreadsheetml.worksheet+xml" PartName="/xl/worksheets/sheet27132.xml"/>
  <Override ContentType="application/vnd.openxmlformats-officedocument.spreadsheetml.worksheet+xml" PartName="/xl/worksheets/sheet27133.xml"/>
  <Override ContentType="application/vnd.openxmlformats-officedocument.spreadsheetml.worksheet+xml" PartName="/xl/worksheets/sheet27134.xml"/>
  <Override ContentType="application/vnd.openxmlformats-officedocument.spreadsheetml.worksheet+xml" PartName="/xl/worksheets/sheet27135.xml"/>
  <Override ContentType="application/vnd.openxmlformats-officedocument.spreadsheetml.worksheet+xml" PartName="/xl/worksheets/sheet27136.xml"/>
  <Override ContentType="application/vnd.openxmlformats-officedocument.spreadsheetml.worksheet+xml" PartName="/xl/worksheets/sheet27137.xml"/>
  <Override ContentType="application/vnd.openxmlformats-officedocument.spreadsheetml.worksheet+xml" PartName="/xl/worksheets/sheet27138.xml"/>
  <Override ContentType="application/vnd.openxmlformats-officedocument.spreadsheetml.worksheet+xml" PartName="/xl/worksheets/sheet27139.xml"/>
  <Override ContentType="application/vnd.openxmlformats-officedocument.spreadsheetml.worksheet+xml" PartName="/xl/worksheets/sheet27140.xml"/>
  <Override ContentType="application/vnd.openxmlformats-officedocument.spreadsheetml.worksheet+xml" PartName="/xl/worksheets/sheet27141.xml"/>
  <Override ContentType="application/vnd.openxmlformats-officedocument.spreadsheetml.worksheet+xml" PartName="/xl/worksheets/sheet27142.xml"/>
  <Override ContentType="application/vnd.openxmlformats-officedocument.spreadsheetml.worksheet+xml" PartName="/xl/worksheets/sheet27143.xml"/>
  <Override ContentType="application/vnd.openxmlformats-officedocument.spreadsheetml.worksheet+xml" PartName="/xl/worksheets/sheet27144.xml"/>
  <Override ContentType="application/vnd.openxmlformats-officedocument.spreadsheetml.worksheet+xml" PartName="/xl/worksheets/sheet27145.xml"/>
  <Override ContentType="application/vnd.openxmlformats-officedocument.spreadsheetml.worksheet+xml" PartName="/xl/worksheets/sheet27146.xml"/>
  <Override ContentType="application/vnd.openxmlformats-officedocument.spreadsheetml.worksheet+xml" PartName="/xl/worksheets/sheet27147.xml"/>
  <Override ContentType="application/vnd.openxmlformats-officedocument.spreadsheetml.worksheet+xml" PartName="/xl/worksheets/sheet27148.xml"/>
  <Override ContentType="application/vnd.openxmlformats-officedocument.spreadsheetml.worksheet+xml" PartName="/xl/worksheets/sheet27149.xml"/>
  <Override ContentType="application/vnd.openxmlformats-officedocument.spreadsheetml.worksheet+xml" PartName="/xl/worksheets/sheet27150.xml"/>
  <Override ContentType="application/vnd.openxmlformats-officedocument.spreadsheetml.worksheet+xml" PartName="/xl/worksheets/sheet27151.xml"/>
  <Override ContentType="application/vnd.openxmlformats-officedocument.spreadsheetml.worksheet+xml" PartName="/xl/worksheets/sheet27152.xml"/>
  <Override ContentType="application/vnd.openxmlformats-officedocument.spreadsheetml.worksheet+xml" PartName="/xl/worksheets/sheet27153.xml"/>
  <Override ContentType="application/vnd.openxmlformats-officedocument.spreadsheetml.worksheet+xml" PartName="/xl/worksheets/sheet27154.xml"/>
  <Override ContentType="application/vnd.openxmlformats-officedocument.spreadsheetml.worksheet+xml" PartName="/xl/worksheets/sheet27155.xml"/>
  <Override ContentType="application/vnd.openxmlformats-officedocument.spreadsheetml.worksheet+xml" PartName="/xl/worksheets/sheet27156.xml"/>
  <Override ContentType="application/vnd.openxmlformats-officedocument.spreadsheetml.worksheet+xml" PartName="/xl/worksheets/sheet27157.xml"/>
  <Override ContentType="application/vnd.openxmlformats-officedocument.spreadsheetml.worksheet+xml" PartName="/xl/worksheets/sheet27158.xml"/>
  <Override ContentType="application/vnd.openxmlformats-officedocument.spreadsheetml.worksheet+xml" PartName="/xl/worksheets/sheet27159.xml"/>
  <Override ContentType="application/vnd.openxmlformats-officedocument.spreadsheetml.worksheet+xml" PartName="/xl/worksheets/sheet27160.xml"/>
  <Override ContentType="application/vnd.openxmlformats-officedocument.spreadsheetml.worksheet+xml" PartName="/xl/worksheets/sheet27161.xml"/>
  <Override ContentType="application/vnd.openxmlformats-officedocument.spreadsheetml.worksheet+xml" PartName="/xl/worksheets/sheet27162.xml"/>
  <Override ContentType="application/vnd.openxmlformats-officedocument.spreadsheetml.worksheet+xml" PartName="/xl/worksheets/sheet27163.xml"/>
  <Override ContentType="application/vnd.openxmlformats-officedocument.spreadsheetml.worksheet+xml" PartName="/xl/worksheets/sheet27164.xml"/>
  <Override ContentType="application/vnd.openxmlformats-officedocument.spreadsheetml.worksheet+xml" PartName="/xl/worksheets/sheet27165.xml"/>
  <Override ContentType="application/vnd.openxmlformats-officedocument.spreadsheetml.worksheet+xml" PartName="/xl/worksheets/sheet27166.xml"/>
  <Override ContentType="application/vnd.openxmlformats-officedocument.spreadsheetml.worksheet+xml" PartName="/xl/worksheets/sheet27167.xml"/>
  <Override ContentType="application/vnd.openxmlformats-officedocument.spreadsheetml.worksheet+xml" PartName="/xl/worksheets/sheet27168.xml"/>
  <Override ContentType="application/vnd.openxmlformats-officedocument.spreadsheetml.worksheet+xml" PartName="/xl/worksheets/sheet27169.xml"/>
  <Override ContentType="application/vnd.openxmlformats-officedocument.spreadsheetml.worksheet+xml" PartName="/xl/worksheets/sheet27170.xml"/>
  <Override ContentType="application/vnd.openxmlformats-officedocument.spreadsheetml.worksheet+xml" PartName="/xl/worksheets/sheet27171.xml"/>
  <Override ContentType="application/vnd.openxmlformats-officedocument.spreadsheetml.worksheet+xml" PartName="/xl/worksheets/sheet27172.xml"/>
  <Override ContentType="application/vnd.openxmlformats-officedocument.spreadsheetml.worksheet+xml" PartName="/xl/worksheets/sheet27173.xml"/>
  <Override ContentType="application/vnd.openxmlformats-officedocument.spreadsheetml.worksheet+xml" PartName="/xl/worksheets/sheet27174.xml"/>
  <Override ContentType="application/vnd.openxmlformats-officedocument.spreadsheetml.worksheet+xml" PartName="/xl/worksheets/sheet27175.xml"/>
  <Override ContentType="application/vnd.openxmlformats-officedocument.spreadsheetml.worksheet+xml" PartName="/xl/worksheets/sheet27176.xml"/>
  <Override ContentType="application/vnd.openxmlformats-officedocument.spreadsheetml.worksheet+xml" PartName="/xl/worksheets/sheet27177.xml"/>
  <Override ContentType="application/vnd.openxmlformats-officedocument.spreadsheetml.worksheet+xml" PartName="/xl/worksheets/sheet27178.xml"/>
  <Override ContentType="application/vnd.openxmlformats-officedocument.spreadsheetml.worksheet+xml" PartName="/xl/worksheets/sheet27179.xml"/>
  <Override ContentType="application/vnd.openxmlformats-officedocument.spreadsheetml.worksheet+xml" PartName="/xl/worksheets/sheet27180.xml"/>
  <Override ContentType="application/vnd.openxmlformats-officedocument.spreadsheetml.worksheet+xml" PartName="/xl/worksheets/sheet27181.xml"/>
  <Override ContentType="application/vnd.openxmlformats-officedocument.spreadsheetml.worksheet+xml" PartName="/xl/worksheets/sheet27182.xml"/>
  <Override ContentType="application/vnd.openxmlformats-officedocument.spreadsheetml.worksheet+xml" PartName="/xl/worksheets/sheet27183.xml"/>
  <Override ContentType="application/vnd.openxmlformats-officedocument.spreadsheetml.worksheet+xml" PartName="/xl/worksheets/sheet27184.xml"/>
  <Override ContentType="application/vnd.openxmlformats-officedocument.spreadsheetml.worksheet+xml" PartName="/xl/worksheets/sheet27185.xml"/>
  <Override ContentType="application/vnd.openxmlformats-officedocument.spreadsheetml.worksheet+xml" PartName="/xl/worksheets/sheet27186.xml"/>
  <Override ContentType="application/vnd.openxmlformats-officedocument.spreadsheetml.worksheet+xml" PartName="/xl/worksheets/sheet27187.xml"/>
  <Override ContentType="application/vnd.openxmlformats-officedocument.spreadsheetml.worksheet+xml" PartName="/xl/worksheets/sheet27188.xml"/>
  <Override ContentType="application/vnd.openxmlformats-officedocument.spreadsheetml.worksheet+xml" PartName="/xl/worksheets/sheet27189.xml"/>
  <Override ContentType="application/vnd.openxmlformats-officedocument.spreadsheetml.worksheet+xml" PartName="/xl/worksheets/sheet27190.xml"/>
  <Override ContentType="application/vnd.openxmlformats-officedocument.spreadsheetml.worksheet+xml" PartName="/xl/worksheets/sheet27191.xml"/>
  <Override ContentType="application/vnd.openxmlformats-officedocument.spreadsheetml.worksheet+xml" PartName="/xl/worksheets/sheet27192.xml"/>
  <Override ContentType="application/vnd.openxmlformats-officedocument.spreadsheetml.worksheet+xml" PartName="/xl/worksheets/sheet27193.xml"/>
  <Override ContentType="application/vnd.openxmlformats-officedocument.spreadsheetml.worksheet+xml" PartName="/xl/worksheets/sheet27194.xml"/>
  <Override ContentType="application/vnd.openxmlformats-officedocument.spreadsheetml.worksheet+xml" PartName="/xl/worksheets/sheet27195.xml"/>
  <Override ContentType="application/vnd.openxmlformats-officedocument.spreadsheetml.worksheet+xml" PartName="/xl/worksheets/sheet27196.xml"/>
  <Override ContentType="application/vnd.openxmlformats-officedocument.spreadsheetml.worksheet+xml" PartName="/xl/worksheets/sheet27197.xml"/>
  <Override ContentType="application/vnd.openxmlformats-officedocument.spreadsheetml.worksheet+xml" PartName="/xl/worksheets/sheet27198.xml"/>
  <Override ContentType="application/vnd.openxmlformats-officedocument.spreadsheetml.worksheet+xml" PartName="/xl/worksheets/sheet27199.xml"/>
  <Override ContentType="application/vnd.openxmlformats-officedocument.spreadsheetml.worksheet+xml" PartName="/xl/worksheets/sheet27200.xml"/>
  <Override ContentType="application/vnd.openxmlformats-officedocument.spreadsheetml.worksheet+xml" PartName="/xl/worksheets/sheet27201.xml"/>
  <Override ContentType="application/vnd.openxmlformats-officedocument.spreadsheetml.worksheet+xml" PartName="/xl/worksheets/sheet27202.xml"/>
  <Override ContentType="application/vnd.openxmlformats-officedocument.spreadsheetml.worksheet+xml" PartName="/xl/worksheets/sheet27203.xml"/>
  <Override ContentType="application/vnd.openxmlformats-officedocument.spreadsheetml.worksheet+xml" PartName="/xl/worksheets/sheet27204.xml"/>
  <Override ContentType="application/vnd.openxmlformats-officedocument.spreadsheetml.worksheet+xml" PartName="/xl/worksheets/sheet27205.xml"/>
  <Override ContentType="application/vnd.openxmlformats-officedocument.spreadsheetml.worksheet+xml" PartName="/xl/worksheets/sheet27206.xml"/>
  <Override ContentType="application/vnd.openxmlformats-officedocument.spreadsheetml.worksheet+xml" PartName="/xl/worksheets/sheet27207.xml"/>
  <Override ContentType="application/vnd.openxmlformats-officedocument.spreadsheetml.worksheet+xml" PartName="/xl/worksheets/sheet27208.xml"/>
  <Override ContentType="application/vnd.openxmlformats-officedocument.spreadsheetml.worksheet+xml" PartName="/xl/worksheets/sheet27209.xml"/>
  <Override ContentType="application/vnd.openxmlformats-officedocument.spreadsheetml.worksheet+xml" PartName="/xl/worksheets/sheet27210.xml"/>
  <Override ContentType="application/vnd.openxmlformats-officedocument.spreadsheetml.worksheet+xml" PartName="/xl/worksheets/sheet27211.xml"/>
  <Override ContentType="application/vnd.openxmlformats-officedocument.spreadsheetml.worksheet+xml" PartName="/xl/worksheets/sheet27212.xml"/>
  <Override ContentType="application/vnd.openxmlformats-officedocument.spreadsheetml.worksheet+xml" PartName="/xl/worksheets/sheet27213.xml"/>
  <Override ContentType="application/vnd.openxmlformats-officedocument.spreadsheetml.worksheet+xml" PartName="/xl/worksheets/sheet27214.xml"/>
  <Override ContentType="application/vnd.openxmlformats-officedocument.spreadsheetml.worksheet+xml" PartName="/xl/worksheets/sheet27215.xml"/>
  <Override ContentType="application/vnd.openxmlformats-officedocument.spreadsheetml.worksheet+xml" PartName="/xl/worksheets/sheet27216.xml"/>
  <Override ContentType="application/vnd.openxmlformats-officedocument.spreadsheetml.worksheet+xml" PartName="/xl/worksheets/sheet27217.xml"/>
  <Override ContentType="application/vnd.openxmlformats-officedocument.spreadsheetml.worksheet+xml" PartName="/xl/worksheets/sheet27218.xml"/>
  <Override ContentType="application/vnd.openxmlformats-officedocument.spreadsheetml.worksheet+xml" PartName="/xl/worksheets/sheet27219.xml"/>
  <Override ContentType="application/vnd.openxmlformats-officedocument.spreadsheetml.worksheet+xml" PartName="/xl/worksheets/sheet27220.xml"/>
  <Override ContentType="application/vnd.openxmlformats-officedocument.spreadsheetml.worksheet+xml" PartName="/xl/worksheets/sheet27221.xml"/>
  <Override ContentType="application/vnd.openxmlformats-officedocument.spreadsheetml.worksheet+xml" PartName="/xl/worksheets/sheet27222.xml"/>
  <Override ContentType="application/vnd.openxmlformats-officedocument.spreadsheetml.worksheet+xml" PartName="/xl/worksheets/sheet27223.xml"/>
  <Override ContentType="application/vnd.openxmlformats-officedocument.spreadsheetml.worksheet+xml" PartName="/xl/worksheets/sheet27224.xml"/>
  <Override ContentType="application/vnd.openxmlformats-officedocument.spreadsheetml.worksheet+xml" PartName="/xl/worksheets/sheet27225.xml"/>
  <Override ContentType="application/vnd.openxmlformats-officedocument.spreadsheetml.worksheet+xml" PartName="/xl/worksheets/sheet27226.xml"/>
  <Override ContentType="application/vnd.openxmlformats-officedocument.spreadsheetml.worksheet+xml" PartName="/xl/worksheets/sheet27227.xml"/>
  <Override ContentType="application/vnd.openxmlformats-officedocument.spreadsheetml.worksheet+xml" PartName="/xl/worksheets/sheet27228.xml"/>
  <Override ContentType="application/vnd.openxmlformats-officedocument.spreadsheetml.worksheet+xml" PartName="/xl/worksheets/sheet27229.xml"/>
  <Override ContentType="application/vnd.openxmlformats-officedocument.spreadsheetml.worksheet+xml" PartName="/xl/worksheets/sheet27230.xml"/>
  <Override ContentType="application/vnd.openxmlformats-officedocument.spreadsheetml.worksheet+xml" PartName="/xl/worksheets/sheet27231.xml"/>
  <Override ContentType="application/vnd.openxmlformats-officedocument.spreadsheetml.worksheet+xml" PartName="/xl/worksheets/sheet27232.xml"/>
  <Override ContentType="application/vnd.openxmlformats-officedocument.spreadsheetml.worksheet+xml" PartName="/xl/worksheets/sheet27233.xml"/>
  <Override ContentType="application/vnd.openxmlformats-officedocument.spreadsheetml.worksheet+xml" PartName="/xl/worksheets/sheet27234.xml"/>
  <Override ContentType="application/vnd.openxmlformats-officedocument.spreadsheetml.worksheet+xml" PartName="/xl/worksheets/sheet27235.xml"/>
  <Override ContentType="application/vnd.openxmlformats-officedocument.spreadsheetml.worksheet+xml" PartName="/xl/worksheets/sheet27236.xml"/>
  <Override ContentType="application/vnd.openxmlformats-officedocument.spreadsheetml.worksheet+xml" PartName="/xl/worksheets/sheet27237.xml"/>
  <Override ContentType="application/vnd.openxmlformats-officedocument.spreadsheetml.worksheet+xml" PartName="/xl/worksheets/sheet27238.xml"/>
  <Override ContentType="application/vnd.openxmlformats-officedocument.spreadsheetml.worksheet+xml" PartName="/xl/worksheets/sheet27239.xml"/>
  <Override ContentType="application/vnd.openxmlformats-officedocument.spreadsheetml.worksheet+xml" PartName="/xl/worksheets/sheet27240.xml"/>
  <Override ContentType="application/vnd.openxmlformats-officedocument.spreadsheetml.worksheet+xml" PartName="/xl/worksheets/sheet27241.xml"/>
  <Override ContentType="application/vnd.openxmlformats-officedocument.spreadsheetml.worksheet+xml" PartName="/xl/worksheets/sheet27242.xml"/>
  <Override ContentType="application/vnd.openxmlformats-officedocument.spreadsheetml.worksheet+xml" PartName="/xl/worksheets/sheet27243.xml"/>
  <Override ContentType="application/vnd.openxmlformats-officedocument.spreadsheetml.worksheet+xml" PartName="/xl/worksheets/sheet27244.xml"/>
  <Override ContentType="application/vnd.openxmlformats-officedocument.spreadsheetml.worksheet+xml" PartName="/xl/worksheets/sheet27245.xml"/>
  <Override ContentType="application/vnd.openxmlformats-officedocument.spreadsheetml.worksheet+xml" PartName="/xl/worksheets/sheet27246.xml"/>
  <Override ContentType="application/vnd.openxmlformats-officedocument.spreadsheetml.worksheet+xml" PartName="/xl/worksheets/sheet27247.xml"/>
  <Override ContentType="application/vnd.openxmlformats-officedocument.spreadsheetml.worksheet+xml" PartName="/xl/worksheets/sheet27248.xml"/>
  <Override ContentType="application/vnd.openxmlformats-officedocument.spreadsheetml.worksheet+xml" PartName="/xl/worksheets/sheet27249.xml"/>
  <Override ContentType="application/vnd.openxmlformats-officedocument.spreadsheetml.worksheet+xml" PartName="/xl/worksheets/sheet27250.xml"/>
  <Override ContentType="application/vnd.openxmlformats-officedocument.spreadsheetml.worksheet+xml" PartName="/xl/worksheets/sheet27251.xml"/>
  <Override ContentType="application/vnd.openxmlformats-officedocument.spreadsheetml.worksheet+xml" PartName="/xl/worksheets/sheet27252.xml"/>
  <Override ContentType="application/vnd.openxmlformats-officedocument.spreadsheetml.worksheet+xml" PartName="/xl/worksheets/sheet27253.xml"/>
  <Override ContentType="application/vnd.openxmlformats-officedocument.spreadsheetml.worksheet+xml" PartName="/xl/worksheets/sheet27254.xml"/>
  <Override ContentType="application/vnd.openxmlformats-officedocument.spreadsheetml.worksheet+xml" PartName="/xl/worksheets/sheet27255.xml"/>
  <Override ContentType="application/vnd.openxmlformats-officedocument.spreadsheetml.worksheet+xml" PartName="/xl/worksheets/sheet27256.xml"/>
  <Override ContentType="application/vnd.openxmlformats-officedocument.spreadsheetml.worksheet+xml" PartName="/xl/worksheets/sheet27257.xml"/>
  <Override ContentType="application/vnd.openxmlformats-officedocument.spreadsheetml.worksheet+xml" PartName="/xl/worksheets/sheet27258.xml"/>
  <Override ContentType="application/vnd.openxmlformats-officedocument.spreadsheetml.worksheet+xml" PartName="/xl/worksheets/sheet27259.xml"/>
  <Override ContentType="application/vnd.openxmlformats-officedocument.spreadsheetml.worksheet+xml" PartName="/xl/worksheets/sheet27260.xml"/>
  <Override ContentType="application/vnd.openxmlformats-officedocument.spreadsheetml.worksheet+xml" PartName="/xl/worksheets/sheet27261.xml"/>
  <Override ContentType="application/vnd.openxmlformats-officedocument.spreadsheetml.worksheet+xml" PartName="/xl/worksheets/sheet27262.xml"/>
  <Override ContentType="application/vnd.openxmlformats-officedocument.spreadsheetml.worksheet+xml" PartName="/xl/worksheets/sheet27263.xml"/>
  <Override ContentType="application/vnd.openxmlformats-officedocument.spreadsheetml.worksheet+xml" PartName="/xl/worksheets/sheet27264.xml"/>
  <Override ContentType="application/vnd.openxmlformats-officedocument.spreadsheetml.worksheet+xml" PartName="/xl/worksheets/sheet27265.xml"/>
  <Override ContentType="application/vnd.openxmlformats-officedocument.spreadsheetml.worksheet+xml" PartName="/xl/worksheets/sheet27266.xml"/>
  <Override ContentType="application/vnd.openxmlformats-officedocument.spreadsheetml.worksheet+xml" PartName="/xl/worksheets/sheet27267.xml"/>
  <Override ContentType="application/vnd.openxmlformats-officedocument.spreadsheetml.worksheet+xml" PartName="/xl/worksheets/sheet27268.xml"/>
  <Override ContentType="application/vnd.openxmlformats-officedocument.spreadsheetml.worksheet+xml" PartName="/xl/worksheets/sheet27269.xml"/>
  <Override ContentType="application/vnd.openxmlformats-officedocument.spreadsheetml.worksheet+xml" PartName="/xl/worksheets/sheet27270.xml"/>
  <Override ContentType="application/vnd.openxmlformats-officedocument.spreadsheetml.worksheet+xml" PartName="/xl/worksheets/sheet27271.xml"/>
  <Override ContentType="application/vnd.openxmlformats-officedocument.spreadsheetml.worksheet+xml" PartName="/xl/worksheets/sheet27272.xml"/>
  <Override ContentType="application/vnd.openxmlformats-officedocument.spreadsheetml.worksheet+xml" PartName="/xl/worksheets/sheet27273.xml"/>
  <Override ContentType="application/vnd.openxmlformats-officedocument.spreadsheetml.worksheet+xml" PartName="/xl/worksheets/sheet27274.xml"/>
  <Override ContentType="application/vnd.openxmlformats-officedocument.spreadsheetml.worksheet+xml" PartName="/xl/worksheets/sheet27275.xml"/>
  <Override ContentType="application/vnd.openxmlformats-officedocument.spreadsheetml.worksheet+xml" PartName="/xl/worksheets/sheet27276.xml"/>
  <Override ContentType="application/vnd.openxmlformats-officedocument.spreadsheetml.worksheet+xml" PartName="/xl/worksheets/sheet27277.xml"/>
  <Override ContentType="application/vnd.openxmlformats-officedocument.spreadsheetml.worksheet+xml" PartName="/xl/worksheets/sheet27278.xml"/>
  <Override ContentType="application/vnd.openxmlformats-officedocument.spreadsheetml.worksheet+xml" PartName="/xl/worksheets/sheet27279.xml"/>
  <Override ContentType="application/vnd.openxmlformats-officedocument.spreadsheetml.worksheet+xml" PartName="/xl/worksheets/sheet27280.xml"/>
  <Override ContentType="application/vnd.openxmlformats-officedocument.spreadsheetml.worksheet+xml" PartName="/xl/worksheets/sheet27281.xml"/>
  <Override ContentType="application/vnd.openxmlformats-officedocument.spreadsheetml.worksheet+xml" PartName="/xl/worksheets/sheet27282.xml"/>
  <Override ContentType="application/vnd.openxmlformats-officedocument.spreadsheetml.worksheet+xml" PartName="/xl/worksheets/sheet27283.xml"/>
  <Override ContentType="application/vnd.openxmlformats-officedocument.spreadsheetml.worksheet+xml" PartName="/xl/worksheets/sheet27284.xml"/>
  <Override ContentType="application/vnd.openxmlformats-officedocument.spreadsheetml.worksheet+xml" PartName="/xl/worksheets/sheet27285.xml"/>
  <Override ContentType="application/vnd.openxmlformats-officedocument.spreadsheetml.worksheet+xml" PartName="/xl/worksheets/sheet27286.xml"/>
  <Override ContentType="application/vnd.openxmlformats-officedocument.spreadsheetml.worksheet+xml" PartName="/xl/worksheets/sheet27287.xml"/>
  <Override ContentType="application/vnd.openxmlformats-officedocument.spreadsheetml.worksheet+xml" PartName="/xl/worksheets/sheet27288.xml"/>
  <Override ContentType="application/vnd.openxmlformats-officedocument.spreadsheetml.worksheet+xml" PartName="/xl/worksheets/sheet27289.xml"/>
  <Override ContentType="application/vnd.openxmlformats-officedocument.spreadsheetml.worksheet+xml" PartName="/xl/worksheets/sheet27290.xml"/>
  <Override ContentType="application/vnd.openxmlformats-officedocument.spreadsheetml.worksheet+xml" PartName="/xl/worksheets/sheet27291.xml"/>
  <Override ContentType="application/vnd.openxmlformats-officedocument.spreadsheetml.worksheet+xml" PartName="/xl/worksheets/sheet27292.xml"/>
  <Override ContentType="application/vnd.openxmlformats-officedocument.spreadsheetml.worksheet+xml" PartName="/xl/worksheets/sheet27293.xml"/>
  <Override ContentType="application/vnd.openxmlformats-officedocument.spreadsheetml.worksheet+xml" PartName="/xl/worksheets/sheet27294.xml"/>
  <Override ContentType="application/vnd.openxmlformats-officedocument.spreadsheetml.worksheet+xml" PartName="/xl/worksheets/sheet27295.xml"/>
  <Override ContentType="application/vnd.openxmlformats-officedocument.spreadsheetml.worksheet+xml" PartName="/xl/worksheets/sheet27296.xml"/>
  <Override ContentType="application/vnd.openxmlformats-officedocument.spreadsheetml.worksheet+xml" PartName="/xl/worksheets/sheet27297.xml"/>
  <Override ContentType="application/vnd.openxmlformats-officedocument.spreadsheetml.worksheet+xml" PartName="/xl/worksheets/sheet27298.xml"/>
  <Override ContentType="application/vnd.openxmlformats-officedocument.spreadsheetml.worksheet+xml" PartName="/xl/worksheets/sheet27299.xml"/>
  <Override ContentType="application/vnd.openxmlformats-officedocument.spreadsheetml.worksheet+xml" PartName="/xl/worksheets/sheet27300.xml"/>
  <Override ContentType="application/vnd.openxmlformats-officedocument.spreadsheetml.worksheet+xml" PartName="/xl/worksheets/sheet27301.xml"/>
  <Override ContentType="application/vnd.openxmlformats-officedocument.spreadsheetml.worksheet+xml" PartName="/xl/worksheets/sheet27302.xml"/>
  <Override ContentType="application/vnd.openxmlformats-officedocument.spreadsheetml.worksheet+xml" PartName="/xl/worksheets/sheet27303.xml"/>
  <Override ContentType="application/vnd.openxmlformats-officedocument.spreadsheetml.worksheet+xml" PartName="/xl/worksheets/sheet27304.xml"/>
  <Override ContentType="application/vnd.openxmlformats-officedocument.spreadsheetml.worksheet+xml" PartName="/xl/worksheets/sheet27305.xml"/>
  <Override ContentType="application/vnd.openxmlformats-officedocument.spreadsheetml.worksheet+xml" PartName="/xl/worksheets/sheet27306.xml"/>
  <Override ContentType="application/vnd.openxmlformats-officedocument.spreadsheetml.worksheet+xml" PartName="/xl/worksheets/sheet27307.xml"/>
  <Override ContentType="application/vnd.openxmlformats-officedocument.spreadsheetml.worksheet+xml" PartName="/xl/worksheets/sheet27308.xml"/>
  <Override ContentType="application/vnd.openxmlformats-officedocument.spreadsheetml.worksheet+xml" PartName="/xl/worksheets/sheet27309.xml"/>
  <Override ContentType="application/vnd.openxmlformats-officedocument.spreadsheetml.worksheet+xml" PartName="/xl/worksheets/sheet27310.xml"/>
  <Override ContentType="application/vnd.openxmlformats-officedocument.spreadsheetml.worksheet+xml" PartName="/xl/worksheets/sheet27311.xml"/>
  <Override ContentType="application/vnd.openxmlformats-officedocument.spreadsheetml.worksheet+xml" PartName="/xl/worksheets/sheet27312.xml"/>
  <Override ContentType="application/vnd.openxmlformats-officedocument.spreadsheetml.worksheet+xml" PartName="/xl/worksheets/sheet27313.xml"/>
  <Override ContentType="application/vnd.openxmlformats-officedocument.spreadsheetml.worksheet+xml" PartName="/xl/worksheets/sheet27314.xml"/>
  <Override ContentType="application/vnd.openxmlformats-officedocument.spreadsheetml.worksheet+xml" PartName="/xl/worksheets/sheet27315.xml"/>
  <Override ContentType="application/vnd.openxmlformats-officedocument.spreadsheetml.worksheet+xml" PartName="/xl/worksheets/sheet27316.xml"/>
  <Override ContentType="application/vnd.openxmlformats-officedocument.spreadsheetml.worksheet+xml" PartName="/xl/worksheets/sheet27317.xml"/>
  <Override ContentType="application/vnd.openxmlformats-officedocument.spreadsheetml.worksheet+xml" PartName="/xl/worksheets/sheet27318.xml"/>
  <Override ContentType="application/vnd.openxmlformats-officedocument.spreadsheetml.worksheet+xml" PartName="/xl/worksheets/sheet27319.xml"/>
  <Override ContentType="application/vnd.openxmlformats-officedocument.spreadsheetml.worksheet+xml" PartName="/xl/worksheets/sheet27320.xml"/>
  <Override ContentType="application/vnd.openxmlformats-officedocument.spreadsheetml.worksheet+xml" PartName="/xl/worksheets/sheet27321.xml"/>
  <Override ContentType="application/vnd.openxmlformats-officedocument.spreadsheetml.worksheet+xml" PartName="/xl/worksheets/sheet27322.xml"/>
  <Override ContentType="application/vnd.openxmlformats-officedocument.spreadsheetml.worksheet+xml" PartName="/xl/worksheets/sheet27323.xml"/>
  <Override ContentType="application/vnd.openxmlformats-officedocument.spreadsheetml.worksheet+xml" PartName="/xl/worksheets/sheet27324.xml"/>
  <Override ContentType="application/vnd.openxmlformats-officedocument.spreadsheetml.worksheet+xml" PartName="/xl/worksheets/sheet27325.xml"/>
  <Override ContentType="application/vnd.openxmlformats-officedocument.spreadsheetml.worksheet+xml" PartName="/xl/worksheets/sheet27326.xml"/>
  <Override ContentType="application/vnd.openxmlformats-officedocument.spreadsheetml.worksheet+xml" PartName="/xl/worksheets/sheet27327.xml"/>
  <Override ContentType="application/vnd.openxmlformats-officedocument.spreadsheetml.worksheet+xml" PartName="/xl/worksheets/sheet27328.xml"/>
  <Override ContentType="application/vnd.openxmlformats-officedocument.spreadsheetml.worksheet+xml" PartName="/xl/worksheets/sheet27329.xml"/>
  <Override ContentType="application/vnd.openxmlformats-officedocument.spreadsheetml.worksheet+xml" PartName="/xl/worksheets/sheet27330.xml"/>
  <Override ContentType="application/vnd.openxmlformats-officedocument.spreadsheetml.worksheet+xml" PartName="/xl/worksheets/sheet27331.xml"/>
  <Override ContentType="application/vnd.openxmlformats-officedocument.spreadsheetml.worksheet+xml" PartName="/xl/worksheets/sheet27332.xml"/>
  <Override ContentType="application/vnd.openxmlformats-officedocument.spreadsheetml.worksheet+xml" PartName="/xl/worksheets/sheet27333.xml"/>
  <Override ContentType="application/vnd.openxmlformats-officedocument.spreadsheetml.worksheet+xml" PartName="/xl/worksheets/sheet27334.xml"/>
  <Override ContentType="application/vnd.openxmlformats-officedocument.spreadsheetml.worksheet+xml" PartName="/xl/worksheets/sheet27335.xml"/>
  <Override ContentType="application/vnd.openxmlformats-officedocument.spreadsheetml.worksheet+xml" PartName="/xl/worksheets/sheet27336.xml"/>
  <Override ContentType="application/vnd.openxmlformats-officedocument.spreadsheetml.worksheet+xml" PartName="/xl/worksheets/sheet27337.xml"/>
  <Override ContentType="application/vnd.openxmlformats-officedocument.spreadsheetml.worksheet+xml" PartName="/xl/worksheets/sheet27338.xml"/>
  <Override ContentType="application/vnd.openxmlformats-officedocument.spreadsheetml.worksheet+xml" PartName="/xl/worksheets/sheet27339.xml"/>
  <Override ContentType="application/vnd.openxmlformats-officedocument.spreadsheetml.worksheet+xml" PartName="/xl/worksheets/sheet27340.xml"/>
  <Override ContentType="application/vnd.openxmlformats-officedocument.spreadsheetml.worksheet+xml" PartName="/xl/worksheets/sheet27341.xml"/>
  <Override ContentType="application/vnd.openxmlformats-officedocument.spreadsheetml.worksheet+xml" PartName="/xl/worksheets/sheet27342.xml"/>
  <Override ContentType="application/vnd.openxmlformats-officedocument.spreadsheetml.worksheet+xml" PartName="/xl/worksheets/sheet27343.xml"/>
  <Override ContentType="application/vnd.openxmlformats-officedocument.spreadsheetml.worksheet+xml" PartName="/xl/worksheets/sheet27344.xml"/>
  <Override ContentType="application/vnd.openxmlformats-officedocument.spreadsheetml.worksheet+xml" PartName="/xl/worksheets/sheet27345.xml"/>
  <Override ContentType="application/vnd.openxmlformats-officedocument.spreadsheetml.worksheet+xml" PartName="/xl/worksheets/sheet27346.xml"/>
  <Override ContentType="application/vnd.openxmlformats-officedocument.spreadsheetml.worksheet+xml" PartName="/xl/worksheets/sheet27347.xml"/>
  <Override ContentType="application/vnd.openxmlformats-officedocument.spreadsheetml.worksheet+xml" PartName="/xl/worksheets/sheet27348.xml"/>
  <Override ContentType="application/vnd.openxmlformats-officedocument.spreadsheetml.worksheet+xml" PartName="/xl/worksheets/sheet27349.xml"/>
  <Override ContentType="application/vnd.openxmlformats-officedocument.spreadsheetml.worksheet+xml" PartName="/xl/worksheets/sheet27350.xml"/>
  <Override ContentType="application/vnd.openxmlformats-officedocument.spreadsheetml.worksheet+xml" PartName="/xl/worksheets/sheet27351.xml"/>
  <Override ContentType="application/vnd.openxmlformats-officedocument.spreadsheetml.worksheet+xml" PartName="/xl/worksheets/sheet27352.xml"/>
  <Override ContentType="application/vnd.openxmlformats-officedocument.spreadsheetml.worksheet+xml" PartName="/xl/worksheets/sheet27353.xml"/>
  <Override ContentType="application/vnd.openxmlformats-officedocument.spreadsheetml.worksheet+xml" PartName="/xl/worksheets/sheet27354.xml"/>
  <Override ContentType="application/vnd.openxmlformats-officedocument.spreadsheetml.worksheet+xml" PartName="/xl/worksheets/sheet27355.xml"/>
  <Override ContentType="application/vnd.openxmlformats-officedocument.spreadsheetml.worksheet+xml" PartName="/xl/worksheets/sheet27356.xml"/>
  <Override ContentType="application/vnd.openxmlformats-officedocument.spreadsheetml.worksheet+xml" PartName="/xl/worksheets/sheet27357.xml"/>
  <Override ContentType="application/vnd.openxmlformats-officedocument.spreadsheetml.worksheet+xml" PartName="/xl/worksheets/sheet27358.xml"/>
  <Override ContentType="application/vnd.openxmlformats-officedocument.spreadsheetml.worksheet+xml" PartName="/xl/worksheets/sheet27359.xml"/>
  <Override ContentType="application/vnd.openxmlformats-officedocument.spreadsheetml.worksheet+xml" PartName="/xl/worksheets/sheet27360.xml"/>
  <Override ContentType="application/vnd.openxmlformats-officedocument.spreadsheetml.worksheet+xml" PartName="/xl/worksheets/sheet27361.xml"/>
  <Override ContentType="application/vnd.openxmlformats-officedocument.spreadsheetml.worksheet+xml" PartName="/xl/worksheets/sheet27362.xml"/>
  <Override ContentType="application/vnd.openxmlformats-officedocument.spreadsheetml.worksheet+xml" PartName="/xl/worksheets/sheet27363.xml"/>
  <Override ContentType="application/vnd.openxmlformats-officedocument.spreadsheetml.worksheet+xml" PartName="/xl/worksheets/sheet27364.xml"/>
  <Override ContentType="application/vnd.openxmlformats-officedocument.spreadsheetml.worksheet+xml" PartName="/xl/worksheets/sheet27365.xml"/>
  <Override ContentType="application/vnd.openxmlformats-officedocument.spreadsheetml.worksheet+xml" PartName="/xl/worksheets/sheet27366.xml"/>
  <Override ContentType="application/vnd.openxmlformats-officedocument.spreadsheetml.worksheet+xml" PartName="/xl/worksheets/sheet27367.xml"/>
  <Override ContentType="application/vnd.openxmlformats-officedocument.spreadsheetml.worksheet+xml" PartName="/xl/worksheets/sheet27368.xml"/>
  <Override ContentType="application/vnd.openxmlformats-officedocument.spreadsheetml.worksheet+xml" PartName="/xl/worksheets/sheet27369.xml"/>
  <Override ContentType="application/vnd.openxmlformats-officedocument.spreadsheetml.worksheet+xml" PartName="/xl/worksheets/sheet27370.xml"/>
  <Override ContentType="application/vnd.openxmlformats-officedocument.spreadsheetml.worksheet+xml" PartName="/xl/worksheets/sheet27371.xml"/>
  <Override ContentType="application/vnd.openxmlformats-officedocument.spreadsheetml.worksheet+xml" PartName="/xl/worksheets/sheet27372.xml"/>
  <Override ContentType="application/vnd.openxmlformats-officedocument.spreadsheetml.worksheet+xml" PartName="/xl/worksheets/sheet27373.xml"/>
  <Override ContentType="application/vnd.openxmlformats-officedocument.spreadsheetml.worksheet+xml" PartName="/xl/worksheets/sheet27374.xml"/>
  <Override ContentType="application/vnd.openxmlformats-officedocument.spreadsheetml.worksheet+xml" PartName="/xl/worksheets/sheet27375.xml"/>
  <Override ContentType="application/vnd.openxmlformats-officedocument.spreadsheetml.worksheet+xml" PartName="/xl/worksheets/sheet27376.xml"/>
  <Override ContentType="application/vnd.openxmlformats-officedocument.spreadsheetml.worksheet+xml" PartName="/xl/worksheets/sheet27377.xml"/>
  <Override ContentType="application/vnd.openxmlformats-officedocument.spreadsheetml.worksheet+xml" PartName="/xl/worksheets/sheet27378.xml"/>
  <Override ContentType="application/vnd.openxmlformats-officedocument.spreadsheetml.worksheet+xml" PartName="/xl/worksheets/sheet27379.xml"/>
  <Override ContentType="application/vnd.openxmlformats-officedocument.spreadsheetml.worksheet+xml" PartName="/xl/worksheets/sheet27380.xml"/>
  <Override ContentType="application/vnd.openxmlformats-officedocument.spreadsheetml.worksheet+xml" PartName="/xl/worksheets/sheet27381.xml"/>
  <Override ContentType="application/vnd.openxmlformats-officedocument.spreadsheetml.worksheet+xml" PartName="/xl/worksheets/sheet27382.xml"/>
  <Override ContentType="application/vnd.openxmlformats-officedocument.spreadsheetml.worksheet+xml" PartName="/xl/worksheets/sheet27383.xml"/>
  <Override ContentType="application/vnd.openxmlformats-officedocument.spreadsheetml.worksheet+xml" PartName="/xl/worksheets/sheet27384.xml"/>
  <Override ContentType="application/vnd.openxmlformats-officedocument.spreadsheetml.worksheet+xml" PartName="/xl/worksheets/sheet27385.xml"/>
  <Override ContentType="application/vnd.openxmlformats-officedocument.spreadsheetml.worksheet+xml" PartName="/xl/worksheets/sheet27386.xml"/>
  <Override ContentType="application/vnd.openxmlformats-officedocument.spreadsheetml.worksheet+xml" PartName="/xl/worksheets/sheet27387.xml"/>
  <Override ContentType="application/vnd.openxmlformats-officedocument.spreadsheetml.worksheet+xml" PartName="/xl/worksheets/sheet27388.xml"/>
  <Override ContentType="application/vnd.openxmlformats-officedocument.spreadsheetml.worksheet+xml" PartName="/xl/worksheets/sheet27389.xml"/>
  <Override ContentType="application/vnd.openxmlformats-officedocument.spreadsheetml.worksheet+xml" PartName="/xl/worksheets/sheet27390.xml"/>
  <Override ContentType="application/vnd.openxmlformats-officedocument.spreadsheetml.worksheet+xml" PartName="/xl/worksheets/sheet27391.xml"/>
  <Override ContentType="application/vnd.openxmlformats-officedocument.spreadsheetml.worksheet+xml" PartName="/xl/worksheets/sheet27392.xml"/>
  <Override ContentType="application/vnd.openxmlformats-officedocument.spreadsheetml.worksheet+xml" PartName="/xl/worksheets/sheet27393.xml"/>
  <Override ContentType="application/vnd.openxmlformats-officedocument.spreadsheetml.worksheet+xml" PartName="/xl/worksheets/sheet27394.xml"/>
  <Override ContentType="application/vnd.openxmlformats-officedocument.spreadsheetml.worksheet+xml" PartName="/xl/worksheets/sheet27395.xml"/>
  <Override ContentType="application/vnd.openxmlformats-officedocument.spreadsheetml.worksheet+xml" PartName="/xl/worksheets/sheet27396.xml"/>
  <Override ContentType="application/vnd.openxmlformats-officedocument.spreadsheetml.worksheet+xml" PartName="/xl/worksheets/sheet27397.xml"/>
  <Override ContentType="application/vnd.openxmlformats-officedocument.spreadsheetml.worksheet+xml" PartName="/xl/worksheets/sheet27398.xml"/>
  <Override ContentType="application/vnd.openxmlformats-officedocument.spreadsheetml.worksheet+xml" PartName="/xl/worksheets/sheet27399.xml"/>
  <Override ContentType="application/vnd.openxmlformats-officedocument.spreadsheetml.worksheet+xml" PartName="/xl/worksheets/sheet27400.xml"/>
  <Override ContentType="application/vnd.openxmlformats-officedocument.spreadsheetml.worksheet+xml" PartName="/xl/worksheets/sheet27401.xml"/>
  <Override ContentType="application/vnd.openxmlformats-officedocument.spreadsheetml.worksheet+xml" PartName="/xl/worksheets/sheet27402.xml"/>
  <Override ContentType="application/vnd.openxmlformats-officedocument.spreadsheetml.worksheet+xml" PartName="/xl/worksheets/sheet27403.xml"/>
  <Override ContentType="application/vnd.openxmlformats-officedocument.spreadsheetml.worksheet+xml" PartName="/xl/worksheets/sheet27404.xml"/>
  <Override ContentType="application/vnd.openxmlformats-officedocument.spreadsheetml.worksheet+xml" PartName="/xl/worksheets/sheet27405.xml"/>
  <Override ContentType="application/vnd.openxmlformats-officedocument.spreadsheetml.worksheet+xml" PartName="/xl/worksheets/sheet27406.xml"/>
  <Override ContentType="application/vnd.openxmlformats-officedocument.spreadsheetml.worksheet+xml" PartName="/xl/worksheets/sheet27407.xml"/>
  <Override ContentType="application/vnd.openxmlformats-officedocument.spreadsheetml.worksheet+xml" PartName="/xl/worksheets/sheet27408.xml"/>
  <Override ContentType="application/vnd.openxmlformats-officedocument.spreadsheetml.worksheet+xml" PartName="/xl/worksheets/sheet27409.xml"/>
  <Override ContentType="application/vnd.openxmlformats-officedocument.spreadsheetml.worksheet+xml" PartName="/xl/worksheets/sheet27410.xml"/>
  <Override ContentType="application/vnd.openxmlformats-officedocument.spreadsheetml.worksheet+xml" PartName="/xl/worksheets/sheet27411.xml"/>
  <Override ContentType="application/vnd.openxmlformats-officedocument.spreadsheetml.worksheet+xml" PartName="/xl/worksheets/sheet27412.xml"/>
  <Override ContentType="application/vnd.openxmlformats-officedocument.spreadsheetml.worksheet+xml" PartName="/xl/worksheets/sheet27413.xml"/>
  <Override ContentType="application/vnd.openxmlformats-officedocument.spreadsheetml.worksheet+xml" PartName="/xl/worksheets/sheet27414.xml"/>
  <Override ContentType="application/vnd.openxmlformats-officedocument.spreadsheetml.worksheet+xml" PartName="/xl/worksheets/sheet27415.xml"/>
  <Override ContentType="application/vnd.openxmlformats-officedocument.spreadsheetml.worksheet+xml" PartName="/xl/worksheets/sheet27416.xml"/>
  <Override ContentType="application/vnd.openxmlformats-officedocument.spreadsheetml.worksheet+xml" PartName="/xl/worksheets/sheet27417.xml"/>
  <Override ContentType="application/vnd.openxmlformats-officedocument.spreadsheetml.worksheet+xml" PartName="/xl/worksheets/sheet27418.xml"/>
  <Override ContentType="application/vnd.openxmlformats-officedocument.spreadsheetml.worksheet+xml" PartName="/xl/worksheets/sheet27419.xml"/>
  <Override ContentType="application/vnd.openxmlformats-officedocument.spreadsheetml.worksheet+xml" PartName="/xl/worksheets/sheet27420.xml"/>
  <Override ContentType="application/vnd.openxmlformats-officedocument.spreadsheetml.worksheet+xml" PartName="/xl/worksheets/sheet27421.xml"/>
  <Override ContentType="application/vnd.openxmlformats-officedocument.spreadsheetml.worksheet+xml" PartName="/xl/worksheets/sheet27422.xml"/>
  <Override ContentType="application/vnd.openxmlformats-officedocument.spreadsheetml.worksheet+xml" PartName="/xl/worksheets/sheet27423.xml"/>
  <Override ContentType="application/vnd.openxmlformats-officedocument.spreadsheetml.worksheet+xml" PartName="/xl/worksheets/sheet27424.xml"/>
  <Override ContentType="application/vnd.openxmlformats-officedocument.spreadsheetml.worksheet+xml" PartName="/xl/worksheets/sheet27425.xml"/>
  <Override ContentType="application/vnd.openxmlformats-officedocument.spreadsheetml.worksheet+xml" PartName="/xl/worksheets/sheet27426.xml"/>
  <Override ContentType="application/vnd.openxmlformats-officedocument.spreadsheetml.worksheet+xml" PartName="/xl/worksheets/sheet27427.xml"/>
  <Override ContentType="application/vnd.openxmlformats-officedocument.spreadsheetml.worksheet+xml" PartName="/xl/worksheets/sheet27428.xml"/>
  <Override ContentType="application/vnd.openxmlformats-officedocument.spreadsheetml.worksheet+xml" PartName="/xl/worksheets/sheet27429.xml"/>
  <Override ContentType="application/vnd.openxmlformats-officedocument.spreadsheetml.worksheet+xml" PartName="/xl/worksheets/sheet27430.xml"/>
  <Override ContentType="application/vnd.openxmlformats-officedocument.spreadsheetml.worksheet+xml" PartName="/xl/worksheets/sheet27431.xml"/>
  <Override ContentType="application/vnd.openxmlformats-officedocument.spreadsheetml.worksheet+xml" PartName="/xl/worksheets/sheet27432.xml"/>
  <Override ContentType="application/vnd.openxmlformats-officedocument.spreadsheetml.worksheet+xml" PartName="/xl/worksheets/sheet27433.xml"/>
  <Override ContentType="application/vnd.openxmlformats-officedocument.spreadsheetml.worksheet+xml" PartName="/xl/worksheets/sheet27434.xml"/>
  <Override ContentType="application/vnd.openxmlformats-officedocument.spreadsheetml.worksheet+xml" PartName="/xl/worksheets/sheet27435.xml"/>
  <Override ContentType="application/vnd.openxmlformats-officedocument.spreadsheetml.worksheet+xml" PartName="/xl/worksheets/sheet27436.xml"/>
  <Override ContentType="application/vnd.openxmlformats-officedocument.spreadsheetml.worksheet+xml" PartName="/xl/worksheets/sheet27437.xml"/>
  <Override ContentType="application/vnd.openxmlformats-officedocument.spreadsheetml.worksheet+xml" PartName="/xl/worksheets/sheet27438.xml"/>
  <Override ContentType="application/vnd.openxmlformats-officedocument.spreadsheetml.worksheet+xml" PartName="/xl/worksheets/sheet27439.xml"/>
  <Override ContentType="application/vnd.openxmlformats-officedocument.spreadsheetml.worksheet+xml" PartName="/xl/worksheets/sheet27440.xml"/>
  <Override ContentType="application/vnd.openxmlformats-officedocument.spreadsheetml.worksheet+xml" PartName="/xl/worksheets/sheet27441.xml"/>
  <Override ContentType="application/vnd.openxmlformats-officedocument.spreadsheetml.worksheet+xml" PartName="/xl/worksheets/sheet27442.xml"/>
  <Override ContentType="application/vnd.openxmlformats-officedocument.spreadsheetml.worksheet+xml" PartName="/xl/worksheets/sheet27443.xml"/>
  <Override ContentType="application/vnd.openxmlformats-officedocument.spreadsheetml.worksheet+xml" PartName="/xl/worksheets/sheet27444.xml"/>
  <Override ContentType="application/vnd.openxmlformats-officedocument.spreadsheetml.worksheet+xml" PartName="/xl/worksheets/sheet27445.xml"/>
  <Override ContentType="application/vnd.openxmlformats-officedocument.spreadsheetml.worksheet+xml" PartName="/xl/worksheets/sheet27446.xml"/>
  <Override ContentType="application/vnd.openxmlformats-officedocument.spreadsheetml.worksheet+xml" PartName="/xl/worksheets/sheet27447.xml"/>
  <Override ContentType="application/vnd.openxmlformats-officedocument.spreadsheetml.worksheet+xml" PartName="/xl/worksheets/sheet27448.xml"/>
  <Override ContentType="application/vnd.openxmlformats-officedocument.spreadsheetml.worksheet+xml" PartName="/xl/worksheets/sheet27449.xml"/>
  <Override ContentType="application/vnd.openxmlformats-officedocument.spreadsheetml.worksheet+xml" PartName="/xl/worksheets/sheet27450.xml"/>
  <Override ContentType="application/vnd.openxmlformats-officedocument.spreadsheetml.worksheet+xml" PartName="/xl/worksheets/sheet27451.xml"/>
  <Override ContentType="application/vnd.openxmlformats-officedocument.spreadsheetml.worksheet+xml" PartName="/xl/worksheets/sheet27452.xml"/>
  <Override ContentType="application/vnd.openxmlformats-officedocument.spreadsheetml.worksheet+xml" PartName="/xl/worksheets/sheet27453.xml"/>
  <Override ContentType="application/vnd.openxmlformats-officedocument.spreadsheetml.worksheet+xml" PartName="/xl/worksheets/sheet27454.xml"/>
  <Override ContentType="application/vnd.openxmlformats-officedocument.spreadsheetml.worksheet+xml" PartName="/xl/worksheets/sheet27455.xml"/>
  <Override ContentType="application/vnd.openxmlformats-officedocument.spreadsheetml.worksheet+xml" PartName="/xl/worksheets/sheet27456.xml"/>
  <Override ContentType="application/vnd.openxmlformats-officedocument.spreadsheetml.worksheet+xml" PartName="/xl/worksheets/sheet27457.xml"/>
  <Override ContentType="application/vnd.openxmlformats-officedocument.spreadsheetml.worksheet+xml" PartName="/xl/worksheets/sheet27458.xml"/>
  <Override ContentType="application/vnd.openxmlformats-officedocument.spreadsheetml.worksheet+xml" PartName="/xl/worksheets/sheet27459.xml"/>
  <Override ContentType="application/vnd.openxmlformats-officedocument.spreadsheetml.worksheet+xml" PartName="/xl/worksheets/sheet27460.xml"/>
  <Override ContentType="application/vnd.openxmlformats-officedocument.spreadsheetml.worksheet+xml" PartName="/xl/worksheets/sheet27461.xml"/>
  <Override ContentType="application/vnd.openxmlformats-officedocument.spreadsheetml.worksheet+xml" PartName="/xl/worksheets/sheet27462.xml"/>
  <Override ContentType="application/vnd.openxmlformats-officedocument.spreadsheetml.worksheet+xml" PartName="/xl/worksheets/sheet27463.xml"/>
  <Override ContentType="application/vnd.openxmlformats-officedocument.spreadsheetml.worksheet+xml" PartName="/xl/worksheets/sheet27464.xml"/>
  <Override ContentType="application/vnd.openxmlformats-officedocument.spreadsheetml.worksheet+xml" PartName="/xl/worksheets/sheet27465.xml"/>
  <Override ContentType="application/vnd.openxmlformats-officedocument.spreadsheetml.worksheet+xml" PartName="/xl/worksheets/sheet27466.xml"/>
  <Override ContentType="application/vnd.openxmlformats-officedocument.spreadsheetml.worksheet+xml" PartName="/xl/worksheets/sheet27467.xml"/>
  <Override ContentType="application/vnd.openxmlformats-officedocument.spreadsheetml.worksheet+xml" PartName="/xl/worksheets/sheet27468.xml"/>
  <Override ContentType="application/vnd.openxmlformats-officedocument.spreadsheetml.worksheet+xml" PartName="/xl/worksheets/sheet27469.xml"/>
  <Override ContentType="application/vnd.openxmlformats-officedocument.spreadsheetml.worksheet+xml" PartName="/xl/worksheets/sheet27470.xml"/>
  <Override ContentType="application/vnd.openxmlformats-officedocument.spreadsheetml.worksheet+xml" PartName="/xl/worksheets/sheet27471.xml"/>
  <Override ContentType="application/vnd.openxmlformats-officedocument.spreadsheetml.worksheet+xml" PartName="/xl/worksheets/sheet27472.xml"/>
  <Override ContentType="application/vnd.openxmlformats-officedocument.spreadsheetml.worksheet+xml" PartName="/xl/worksheets/sheet27473.xml"/>
  <Override ContentType="application/vnd.openxmlformats-officedocument.spreadsheetml.worksheet+xml" PartName="/xl/worksheets/sheet27474.xml"/>
  <Override ContentType="application/vnd.openxmlformats-officedocument.spreadsheetml.worksheet+xml" PartName="/xl/worksheets/sheet27475.xml"/>
  <Override ContentType="application/vnd.openxmlformats-officedocument.spreadsheetml.worksheet+xml" PartName="/xl/worksheets/sheet27476.xml"/>
  <Override ContentType="application/vnd.openxmlformats-officedocument.spreadsheetml.worksheet+xml" PartName="/xl/worksheets/sheet27477.xml"/>
  <Override ContentType="application/vnd.openxmlformats-officedocument.spreadsheetml.worksheet+xml" PartName="/xl/worksheets/sheet27478.xml"/>
  <Override ContentType="application/vnd.openxmlformats-officedocument.spreadsheetml.worksheet+xml" PartName="/xl/worksheets/sheet27479.xml"/>
  <Override ContentType="application/vnd.openxmlformats-officedocument.spreadsheetml.worksheet+xml" PartName="/xl/worksheets/sheet27480.xml"/>
  <Override ContentType="application/vnd.openxmlformats-officedocument.spreadsheetml.worksheet+xml" PartName="/xl/worksheets/sheet27481.xml"/>
  <Override ContentType="application/vnd.openxmlformats-officedocument.spreadsheetml.worksheet+xml" PartName="/xl/worksheets/sheet27482.xml"/>
  <Override ContentType="application/vnd.openxmlformats-officedocument.spreadsheetml.worksheet+xml" PartName="/xl/worksheets/sheet27483.xml"/>
  <Override ContentType="application/vnd.openxmlformats-officedocument.spreadsheetml.worksheet+xml" PartName="/xl/worksheets/sheet27484.xml"/>
  <Override ContentType="application/vnd.openxmlformats-officedocument.spreadsheetml.worksheet+xml" PartName="/xl/worksheets/sheet27485.xml"/>
  <Override ContentType="application/vnd.openxmlformats-officedocument.spreadsheetml.worksheet+xml" PartName="/xl/worksheets/sheet27486.xml"/>
  <Override ContentType="application/vnd.openxmlformats-officedocument.spreadsheetml.worksheet+xml" PartName="/xl/worksheets/sheet27487.xml"/>
  <Override ContentType="application/vnd.openxmlformats-officedocument.spreadsheetml.worksheet+xml" PartName="/xl/worksheets/sheet27488.xml"/>
  <Override ContentType="application/vnd.openxmlformats-officedocument.spreadsheetml.worksheet+xml" PartName="/xl/worksheets/sheet27489.xml"/>
  <Override ContentType="application/vnd.openxmlformats-officedocument.spreadsheetml.worksheet+xml" PartName="/xl/worksheets/sheet27490.xml"/>
  <Override ContentType="application/vnd.openxmlformats-officedocument.spreadsheetml.worksheet+xml" PartName="/xl/worksheets/sheet27491.xml"/>
  <Override ContentType="application/vnd.openxmlformats-officedocument.spreadsheetml.worksheet+xml" PartName="/xl/worksheets/sheet27492.xml"/>
  <Override ContentType="application/vnd.openxmlformats-officedocument.spreadsheetml.worksheet+xml" PartName="/xl/worksheets/sheet27493.xml"/>
  <Override ContentType="application/vnd.openxmlformats-officedocument.spreadsheetml.worksheet+xml" PartName="/xl/worksheets/sheet27494.xml"/>
  <Override ContentType="application/vnd.openxmlformats-officedocument.spreadsheetml.worksheet+xml" PartName="/xl/worksheets/sheet27495.xml"/>
  <Override ContentType="application/vnd.openxmlformats-officedocument.spreadsheetml.worksheet+xml" PartName="/xl/worksheets/sheet27496.xml"/>
  <Override ContentType="application/vnd.openxmlformats-officedocument.spreadsheetml.worksheet+xml" PartName="/xl/worksheets/sheet27497.xml"/>
  <Override ContentType="application/vnd.openxmlformats-officedocument.spreadsheetml.worksheet+xml" PartName="/xl/worksheets/sheet27498.xml"/>
  <Override ContentType="application/vnd.openxmlformats-officedocument.spreadsheetml.worksheet+xml" PartName="/xl/worksheets/sheet27499.xml"/>
  <Override ContentType="application/vnd.openxmlformats-officedocument.spreadsheetml.worksheet+xml" PartName="/xl/worksheets/sheet27500.xml"/>
  <Override ContentType="application/vnd.openxmlformats-officedocument.spreadsheetml.worksheet+xml" PartName="/xl/worksheets/sheet27501.xml"/>
  <Override ContentType="application/vnd.openxmlformats-officedocument.spreadsheetml.worksheet+xml" PartName="/xl/worksheets/sheet27502.xml"/>
  <Override ContentType="application/vnd.openxmlformats-officedocument.spreadsheetml.worksheet+xml" PartName="/xl/worksheets/sheet27503.xml"/>
  <Override ContentType="application/vnd.openxmlformats-officedocument.spreadsheetml.worksheet+xml" PartName="/xl/worksheets/sheet27504.xml"/>
  <Override ContentType="application/vnd.openxmlformats-officedocument.spreadsheetml.worksheet+xml" PartName="/xl/worksheets/sheet27505.xml"/>
  <Override ContentType="application/vnd.openxmlformats-officedocument.spreadsheetml.worksheet+xml" PartName="/xl/worksheets/sheet27506.xml"/>
  <Override ContentType="application/vnd.openxmlformats-officedocument.spreadsheetml.worksheet+xml" PartName="/xl/worksheets/sheet27507.xml"/>
  <Override ContentType="application/vnd.openxmlformats-officedocument.spreadsheetml.worksheet+xml" PartName="/xl/worksheets/sheet27508.xml"/>
  <Override ContentType="application/vnd.openxmlformats-officedocument.spreadsheetml.worksheet+xml" PartName="/xl/worksheets/sheet27509.xml"/>
  <Override ContentType="application/vnd.openxmlformats-officedocument.spreadsheetml.worksheet+xml" PartName="/xl/worksheets/sheet27510.xml"/>
  <Override ContentType="application/vnd.openxmlformats-officedocument.spreadsheetml.worksheet+xml" PartName="/xl/worksheets/sheet27511.xml"/>
  <Override ContentType="application/vnd.openxmlformats-officedocument.spreadsheetml.worksheet+xml" PartName="/xl/worksheets/sheet27512.xml"/>
  <Override ContentType="application/vnd.openxmlformats-officedocument.spreadsheetml.worksheet+xml" PartName="/xl/worksheets/sheet27513.xml"/>
  <Override ContentType="application/vnd.openxmlformats-officedocument.spreadsheetml.worksheet+xml" PartName="/xl/worksheets/sheet27514.xml"/>
  <Override ContentType="application/vnd.openxmlformats-officedocument.spreadsheetml.worksheet+xml" PartName="/xl/worksheets/sheet27515.xml"/>
  <Override ContentType="application/vnd.openxmlformats-officedocument.spreadsheetml.worksheet+xml" PartName="/xl/worksheets/sheet27516.xml"/>
  <Override ContentType="application/vnd.openxmlformats-officedocument.spreadsheetml.worksheet+xml" PartName="/xl/worksheets/sheet27517.xml"/>
  <Override ContentType="application/vnd.openxmlformats-officedocument.spreadsheetml.worksheet+xml" PartName="/xl/worksheets/sheet27518.xml"/>
  <Override ContentType="application/vnd.openxmlformats-officedocument.spreadsheetml.worksheet+xml" PartName="/xl/worksheets/sheet27519.xml"/>
  <Override ContentType="application/vnd.openxmlformats-officedocument.spreadsheetml.worksheet+xml" PartName="/xl/worksheets/sheet27520.xml"/>
  <Override ContentType="application/vnd.openxmlformats-officedocument.spreadsheetml.worksheet+xml" PartName="/xl/worksheets/sheet27521.xml"/>
  <Override ContentType="application/vnd.openxmlformats-officedocument.spreadsheetml.worksheet+xml" PartName="/xl/worksheets/sheet27522.xml"/>
  <Override ContentType="application/vnd.openxmlformats-officedocument.spreadsheetml.worksheet+xml" PartName="/xl/worksheets/sheet27523.xml"/>
  <Override ContentType="application/vnd.openxmlformats-officedocument.spreadsheetml.worksheet+xml" PartName="/xl/worksheets/sheet27524.xml"/>
  <Override ContentType="application/vnd.openxmlformats-officedocument.spreadsheetml.worksheet+xml" PartName="/xl/worksheets/sheet27525.xml"/>
  <Override ContentType="application/vnd.openxmlformats-officedocument.spreadsheetml.worksheet+xml" PartName="/xl/worksheets/sheet27526.xml"/>
  <Override ContentType="application/vnd.openxmlformats-officedocument.spreadsheetml.worksheet+xml" PartName="/xl/worksheets/sheet27527.xml"/>
  <Override ContentType="application/vnd.openxmlformats-officedocument.spreadsheetml.worksheet+xml" PartName="/xl/worksheets/sheet27528.xml"/>
  <Override ContentType="application/vnd.openxmlformats-officedocument.spreadsheetml.worksheet+xml" PartName="/xl/worksheets/sheet27529.xml"/>
  <Override ContentType="application/vnd.openxmlformats-officedocument.spreadsheetml.worksheet+xml" PartName="/xl/worksheets/sheet27530.xml"/>
  <Override ContentType="application/vnd.openxmlformats-officedocument.spreadsheetml.worksheet+xml" PartName="/xl/worksheets/sheet27531.xml"/>
  <Override ContentType="application/vnd.openxmlformats-officedocument.spreadsheetml.worksheet+xml" PartName="/xl/worksheets/sheet27532.xml"/>
  <Override ContentType="application/vnd.openxmlformats-officedocument.spreadsheetml.worksheet+xml" PartName="/xl/worksheets/sheet27533.xml"/>
  <Override ContentType="application/vnd.openxmlformats-officedocument.spreadsheetml.worksheet+xml" PartName="/xl/worksheets/sheet27534.xml"/>
  <Override ContentType="application/vnd.openxmlformats-officedocument.spreadsheetml.worksheet+xml" PartName="/xl/worksheets/sheet27535.xml"/>
  <Override ContentType="application/vnd.openxmlformats-officedocument.spreadsheetml.worksheet+xml" PartName="/xl/worksheets/sheet27536.xml"/>
  <Override ContentType="application/vnd.openxmlformats-officedocument.spreadsheetml.worksheet+xml" PartName="/xl/worksheets/sheet27537.xml"/>
  <Override ContentType="application/vnd.openxmlformats-officedocument.spreadsheetml.worksheet+xml" PartName="/xl/worksheets/sheet27538.xml"/>
  <Override ContentType="application/vnd.openxmlformats-officedocument.spreadsheetml.worksheet+xml" PartName="/xl/worksheets/sheet27539.xml"/>
  <Override ContentType="application/vnd.openxmlformats-officedocument.spreadsheetml.worksheet+xml" PartName="/xl/worksheets/sheet27540.xml"/>
  <Override ContentType="application/vnd.openxmlformats-officedocument.spreadsheetml.worksheet+xml" PartName="/xl/worksheets/sheet27541.xml"/>
  <Override ContentType="application/vnd.openxmlformats-officedocument.spreadsheetml.worksheet+xml" PartName="/xl/worksheets/sheet27542.xml"/>
  <Override ContentType="application/vnd.openxmlformats-officedocument.spreadsheetml.worksheet+xml" PartName="/xl/worksheets/sheet27543.xml"/>
  <Override ContentType="application/vnd.openxmlformats-officedocument.spreadsheetml.worksheet+xml" PartName="/xl/worksheets/sheet27544.xml"/>
  <Override ContentType="application/vnd.openxmlformats-officedocument.spreadsheetml.worksheet+xml" PartName="/xl/worksheets/sheet27545.xml"/>
  <Override ContentType="application/vnd.openxmlformats-officedocument.spreadsheetml.worksheet+xml" PartName="/xl/worksheets/sheet27546.xml"/>
  <Override ContentType="application/vnd.openxmlformats-officedocument.spreadsheetml.worksheet+xml" PartName="/xl/worksheets/sheet27547.xml"/>
  <Override ContentType="application/vnd.openxmlformats-officedocument.spreadsheetml.worksheet+xml" PartName="/xl/worksheets/sheet27548.xml"/>
  <Override ContentType="application/vnd.openxmlformats-officedocument.spreadsheetml.worksheet+xml" PartName="/xl/worksheets/sheet27549.xml"/>
  <Override ContentType="application/vnd.openxmlformats-officedocument.spreadsheetml.worksheet+xml" PartName="/xl/worksheets/sheet27550.xml"/>
  <Override ContentType="application/vnd.openxmlformats-officedocument.spreadsheetml.worksheet+xml" PartName="/xl/worksheets/sheet27551.xml"/>
  <Override ContentType="application/vnd.openxmlformats-officedocument.spreadsheetml.worksheet+xml" PartName="/xl/worksheets/sheet27552.xml"/>
  <Override ContentType="application/vnd.openxmlformats-officedocument.spreadsheetml.worksheet+xml" PartName="/xl/worksheets/sheet27553.xml"/>
  <Override ContentType="application/vnd.openxmlformats-officedocument.spreadsheetml.worksheet+xml" PartName="/xl/worksheets/sheet27554.xml"/>
  <Override ContentType="application/vnd.openxmlformats-officedocument.spreadsheetml.worksheet+xml" PartName="/xl/worksheets/sheet27555.xml"/>
  <Override ContentType="application/vnd.openxmlformats-officedocument.spreadsheetml.worksheet+xml" PartName="/xl/worksheets/sheet27556.xml"/>
  <Override ContentType="application/vnd.openxmlformats-officedocument.spreadsheetml.worksheet+xml" PartName="/xl/worksheets/sheet27557.xml"/>
  <Override ContentType="application/vnd.openxmlformats-officedocument.spreadsheetml.worksheet+xml" PartName="/xl/worksheets/sheet27558.xml"/>
  <Override ContentType="application/vnd.openxmlformats-officedocument.spreadsheetml.worksheet+xml" PartName="/xl/worksheets/sheet27559.xml"/>
  <Override ContentType="application/vnd.openxmlformats-officedocument.spreadsheetml.worksheet+xml" PartName="/xl/worksheets/sheet27560.xml"/>
  <Override ContentType="application/vnd.openxmlformats-officedocument.spreadsheetml.worksheet+xml" PartName="/xl/worksheets/sheet27561.xml"/>
  <Override ContentType="application/vnd.openxmlformats-officedocument.spreadsheetml.worksheet+xml" PartName="/xl/worksheets/sheet27562.xml"/>
  <Override ContentType="application/vnd.openxmlformats-officedocument.spreadsheetml.worksheet+xml" PartName="/xl/worksheets/sheet27563.xml"/>
  <Override ContentType="application/vnd.openxmlformats-officedocument.spreadsheetml.worksheet+xml" PartName="/xl/worksheets/sheet27564.xml"/>
  <Override ContentType="application/vnd.openxmlformats-officedocument.spreadsheetml.worksheet+xml" PartName="/xl/worksheets/sheet27565.xml"/>
  <Override ContentType="application/vnd.openxmlformats-officedocument.spreadsheetml.worksheet+xml" PartName="/xl/worksheets/sheet27566.xml"/>
  <Override ContentType="application/vnd.openxmlformats-officedocument.spreadsheetml.worksheet+xml" PartName="/xl/worksheets/sheet27567.xml"/>
  <Override ContentType="application/vnd.openxmlformats-officedocument.spreadsheetml.worksheet+xml" PartName="/xl/worksheets/sheet27568.xml"/>
  <Override ContentType="application/vnd.openxmlformats-officedocument.spreadsheetml.worksheet+xml" PartName="/xl/worksheets/sheet27569.xml"/>
  <Override ContentType="application/vnd.openxmlformats-officedocument.spreadsheetml.worksheet+xml" PartName="/xl/worksheets/sheet27570.xml"/>
  <Override ContentType="application/vnd.openxmlformats-officedocument.spreadsheetml.worksheet+xml" PartName="/xl/worksheets/sheet27571.xml"/>
  <Override ContentType="application/vnd.openxmlformats-officedocument.spreadsheetml.worksheet+xml" PartName="/xl/worksheets/sheet27572.xml"/>
  <Override ContentType="application/vnd.openxmlformats-officedocument.spreadsheetml.worksheet+xml" PartName="/xl/worksheets/sheet27573.xml"/>
  <Override ContentType="application/vnd.openxmlformats-officedocument.spreadsheetml.worksheet+xml" PartName="/xl/worksheets/sheet27574.xml"/>
  <Override ContentType="application/vnd.openxmlformats-officedocument.spreadsheetml.worksheet+xml" PartName="/xl/worksheets/sheet27575.xml"/>
  <Override ContentType="application/vnd.openxmlformats-officedocument.spreadsheetml.worksheet+xml" PartName="/xl/worksheets/sheet27576.xml"/>
  <Override ContentType="application/vnd.openxmlformats-officedocument.spreadsheetml.worksheet+xml" PartName="/xl/worksheets/sheet27577.xml"/>
  <Override ContentType="application/vnd.openxmlformats-officedocument.spreadsheetml.worksheet+xml" PartName="/xl/worksheets/sheet27578.xml"/>
  <Override ContentType="application/vnd.openxmlformats-officedocument.spreadsheetml.worksheet+xml" PartName="/xl/worksheets/sheet27579.xml"/>
  <Override ContentType="application/vnd.openxmlformats-officedocument.spreadsheetml.worksheet+xml" PartName="/xl/worksheets/sheet27580.xml"/>
  <Override ContentType="application/vnd.openxmlformats-officedocument.spreadsheetml.worksheet+xml" PartName="/xl/worksheets/sheet27581.xml"/>
  <Override ContentType="application/vnd.openxmlformats-officedocument.spreadsheetml.worksheet+xml" PartName="/xl/worksheets/sheet27582.xml"/>
  <Override ContentType="application/vnd.openxmlformats-officedocument.spreadsheetml.worksheet+xml" PartName="/xl/worksheets/sheet27583.xml"/>
  <Override ContentType="application/vnd.openxmlformats-officedocument.spreadsheetml.worksheet+xml" PartName="/xl/worksheets/sheet27584.xml"/>
  <Override ContentType="application/vnd.openxmlformats-officedocument.spreadsheetml.worksheet+xml" PartName="/xl/worksheets/sheet27585.xml"/>
  <Override ContentType="application/vnd.openxmlformats-officedocument.spreadsheetml.worksheet+xml" PartName="/xl/worksheets/sheet27586.xml"/>
  <Override ContentType="application/vnd.openxmlformats-officedocument.spreadsheetml.worksheet+xml" PartName="/xl/worksheets/sheet27587.xml"/>
  <Override ContentType="application/vnd.openxmlformats-officedocument.spreadsheetml.worksheet+xml" PartName="/xl/worksheets/sheet27588.xml"/>
  <Override ContentType="application/vnd.openxmlformats-officedocument.spreadsheetml.worksheet+xml" PartName="/xl/worksheets/sheet27589.xml"/>
  <Override ContentType="application/vnd.openxmlformats-officedocument.spreadsheetml.worksheet+xml" PartName="/xl/worksheets/sheet27590.xml"/>
  <Override ContentType="application/vnd.openxmlformats-officedocument.spreadsheetml.worksheet+xml" PartName="/xl/worksheets/sheet27591.xml"/>
  <Override ContentType="application/vnd.openxmlformats-officedocument.spreadsheetml.worksheet+xml" PartName="/xl/worksheets/sheet27592.xml"/>
  <Override ContentType="application/vnd.openxmlformats-officedocument.spreadsheetml.worksheet+xml" PartName="/xl/worksheets/sheet27593.xml"/>
  <Override ContentType="application/vnd.openxmlformats-officedocument.spreadsheetml.worksheet+xml" PartName="/xl/worksheets/sheet27594.xml"/>
  <Override ContentType="application/vnd.openxmlformats-officedocument.spreadsheetml.worksheet+xml" PartName="/xl/worksheets/sheet27595.xml"/>
  <Override ContentType="application/vnd.openxmlformats-officedocument.spreadsheetml.worksheet+xml" PartName="/xl/worksheets/sheet27596.xml"/>
  <Override ContentType="application/vnd.openxmlformats-officedocument.spreadsheetml.worksheet+xml" PartName="/xl/worksheets/sheet27597.xml"/>
  <Override ContentType="application/vnd.openxmlformats-officedocument.spreadsheetml.worksheet+xml" PartName="/xl/worksheets/sheet27598.xml"/>
  <Override ContentType="application/vnd.openxmlformats-officedocument.spreadsheetml.worksheet+xml" PartName="/xl/worksheets/sheet27599.xml"/>
  <Override ContentType="application/vnd.openxmlformats-officedocument.spreadsheetml.worksheet+xml" PartName="/xl/worksheets/sheet27600.xml"/>
  <Override ContentType="application/vnd.openxmlformats-officedocument.spreadsheetml.worksheet+xml" PartName="/xl/worksheets/sheet27601.xml"/>
  <Override ContentType="application/vnd.openxmlformats-officedocument.spreadsheetml.worksheet+xml" PartName="/xl/worksheets/sheet27602.xml"/>
  <Override ContentType="application/vnd.openxmlformats-officedocument.spreadsheetml.worksheet+xml" PartName="/xl/worksheets/sheet27603.xml"/>
  <Override ContentType="application/vnd.openxmlformats-officedocument.spreadsheetml.worksheet+xml" PartName="/xl/worksheets/sheet27604.xml"/>
  <Override ContentType="application/vnd.openxmlformats-officedocument.spreadsheetml.worksheet+xml" PartName="/xl/worksheets/sheet27605.xml"/>
  <Override ContentType="application/vnd.openxmlformats-officedocument.spreadsheetml.worksheet+xml" PartName="/xl/worksheets/sheet27606.xml"/>
  <Override ContentType="application/vnd.openxmlformats-officedocument.spreadsheetml.worksheet+xml" PartName="/xl/worksheets/sheet27607.xml"/>
  <Override ContentType="application/vnd.openxmlformats-officedocument.spreadsheetml.worksheet+xml" PartName="/xl/worksheets/sheet27608.xml"/>
  <Override ContentType="application/vnd.openxmlformats-officedocument.spreadsheetml.worksheet+xml" PartName="/xl/worksheets/sheet27609.xml"/>
  <Override ContentType="application/vnd.openxmlformats-officedocument.spreadsheetml.worksheet+xml" PartName="/xl/worksheets/sheet27610.xml"/>
  <Override ContentType="application/vnd.openxmlformats-officedocument.spreadsheetml.worksheet+xml" PartName="/xl/worksheets/sheet27611.xml"/>
  <Override ContentType="application/vnd.openxmlformats-officedocument.spreadsheetml.worksheet+xml" PartName="/xl/worksheets/sheet27612.xml"/>
  <Override ContentType="application/vnd.openxmlformats-officedocument.spreadsheetml.worksheet+xml" PartName="/xl/worksheets/sheet27613.xml"/>
  <Override ContentType="application/vnd.openxmlformats-officedocument.spreadsheetml.worksheet+xml" PartName="/xl/worksheets/sheet27614.xml"/>
  <Override ContentType="application/vnd.openxmlformats-officedocument.spreadsheetml.worksheet+xml" PartName="/xl/worksheets/sheet27615.xml"/>
  <Override ContentType="application/vnd.openxmlformats-officedocument.spreadsheetml.worksheet+xml" PartName="/xl/worksheets/sheet27616.xml"/>
  <Override ContentType="application/vnd.openxmlformats-officedocument.spreadsheetml.worksheet+xml" PartName="/xl/worksheets/sheet27617.xml"/>
  <Override ContentType="application/vnd.openxmlformats-officedocument.spreadsheetml.worksheet+xml" PartName="/xl/worksheets/sheet27618.xml"/>
  <Override ContentType="application/vnd.openxmlformats-officedocument.spreadsheetml.worksheet+xml" PartName="/xl/worksheets/sheet27619.xml"/>
  <Override ContentType="application/vnd.openxmlformats-officedocument.spreadsheetml.worksheet+xml" PartName="/xl/worksheets/sheet27620.xml"/>
  <Override ContentType="application/vnd.openxmlformats-officedocument.spreadsheetml.worksheet+xml" PartName="/xl/worksheets/sheet27621.xml"/>
  <Override ContentType="application/vnd.openxmlformats-officedocument.spreadsheetml.worksheet+xml" PartName="/xl/worksheets/sheet27622.xml"/>
  <Override ContentType="application/vnd.openxmlformats-officedocument.spreadsheetml.worksheet+xml" PartName="/xl/worksheets/sheet27623.xml"/>
  <Override ContentType="application/vnd.openxmlformats-officedocument.spreadsheetml.worksheet+xml" PartName="/xl/worksheets/sheet27624.xml"/>
  <Override ContentType="application/vnd.openxmlformats-officedocument.spreadsheetml.worksheet+xml" PartName="/xl/worksheets/sheet27625.xml"/>
  <Override ContentType="application/vnd.openxmlformats-officedocument.spreadsheetml.worksheet+xml" PartName="/xl/worksheets/sheet27626.xml"/>
  <Override ContentType="application/vnd.openxmlformats-officedocument.spreadsheetml.worksheet+xml" PartName="/xl/worksheets/sheet27627.xml"/>
  <Override ContentType="application/vnd.openxmlformats-officedocument.spreadsheetml.worksheet+xml" PartName="/xl/worksheets/sheet27628.xml"/>
  <Override ContentType="application/vnd.openxmlformats-officedocument.spreadsheetml.worksheet+xml" PartName="/xl/worksheets/sheet27629.xml"/>
  <Override ContentType="application/vnd.openxmlformats-officedocument.spreadsheetml.worksheet+xml" PartName="/xl/worksheets/sheet27630.xml"/>
  <Override ContentType="application/vnd.openxmlformats-officedocument.spreadsheetml.worksheet+xml" PartName="/xl/worksheets/sheet27631.xml"/>
  <Override ContentType="application/vnd.openxmlformats-officedocument.spreadsheetml.worksheet+xml" PartName="/xl/worksheets/sheet27632.xml"/>
  <Override ContentType="application/vnd.openxmlformats-officedocument.spreadsheetml.worksheet+xml" PartName="/xl/worksheets/sheet27633.xml"/>
  <Override ContentType="application/vnd.openxmlformats-officedocument.spreadsheetml.worksheet+xml" PartName="/xl/worksheets/sheet27634.xml"/>
  <Override ContentType="application/vnd.openxmlformats-officedocument.spreadsheetml.worksheet+xml" PartName="/xl/worksheets/sheet27635.xml"/>
  <Override ContentType="application/vnd.openxmlformats-officedocument.spreadsheetml.worksheet+xml" PartName="/xl/worksheets/sheet27636.xml"/>
  <Override ContentType="application/vnd.openxmlformats-officedocument.spreadsheetml.worksheet+xml" PartName="/xl/worksheets/sheet27637.xml"/>
  <Override ContentType="application/vnd.openxmlformats-officedocument.spreadsheetml.worksheet+xml" PartName="/xl/worksheets/sheet27638.xml"/>
  <Override ContentType="application/vnd.openxmlformats-officedocument.spreadsheetml.worksheet+xml" PartName="/xl/worksheets/sheet27639.xml"/>
  <Override ContentType="application/vnd.openxmlformats-officedocument.spreadsheetml.worksheet+xml" PartName="/xl/worksheets/sheet27640.xml"/>
  <Override ContentType="application/vnd.openxmlformats-officedocument.spreadsheetml.worksheet+xml" PartName="/xl/worksheets/sheet27641.xml"/>
  <Override ContentType="application/vnd.openxmlformats-officedocument.spreadsheetml.worksheet+xml" PartName="/xl/worksheets/sheet27642.xml"/>
  <Override ContentType="application/vnd.openxmlformats-officedocument.spreadsheetml.worksheet+xml" PartName="/xl/worksheets/sheet27643.xml"/>
  <Override ContentType="application/vnd.openxmlformats-officedocument.spreadsheetml.worksheet+xml" PartName="/xl/worksheets/sheet27644.xml"/>
  <Override ContentType="application/vnd.openxmlformats-officedocument.spreadsheetml.worksheet+xml" PartName="/xl/worksheets/sheet27645.xml"/>
  <Override ContentType="application/vnd.openxmlformats-officedocument.spreadsheetml.worksheet+xml" PartName="/xl/worksheets/sheet27646.xml"/>
  <Override ContentType="application/vnd.openxmlformats-officedocument.spreadsheetml.worksheet+xml" PartName="/xl/worksheets/sheet27647.xml"/>
  <Override ContentType="application/vnd.openxmlformats-officedocument.spreadsheetml.worksheet+xml" PartName="/xl/worksheets/sheet27648.xml"/>
  <Override ContentType="application/vnd.openxmlformats-officedocument.spreadsheetml.worksheet+xml" PartName="/xl/worksheets/sheet27649.xml"/>
  <Override ContentType="application/vnd.openxmlformats-officedocument.spreadsheetml.worksheet+xml" PartName="/xl/worksheets/sheet27650.xml"/>
  <Override ContentType="application/vnd.openxmlformats-officedocument.spreadsheetml.worksheet+xml" PartName="/xl/worksheets/sheet27651.xml"/>
  <Override ContentType="application/vnd.openxmlformats-officedocument.spreadsheetml.worksheet+xml" PartName="/xl/worksheets/sheet27652.xml"/>
  <Override ContentType="application/vnd.openxmlformats-officedocument.spreadsheetml.worksheet+xml" PartName="/xl/worksheets/sheet27653.xml"/>
  <Override ContentType="application/vnd.openxmlformats-officedocument.spreadsheetml.worksheet+xml" PartName="/xl/worksheets/sheet27654.xml"/>
  <Override ContentType="application/vnd.openxmlformats-officedocument.spreadsheetml.worksheet+xml" PartName="/xl/worksheets/sheet27655.xml"/>
  <Override ContentType="application/vnd.openxmlformats-officedocument.spreadsheetml.worksheet+xml" PartName="/xl/worksheets/sheet27656.xml"/>
  <Override ContentType="application/vnd.openxmlformats-officedocument.spreadsheetml.worksheet+xml" PartName="/xl/worksheets/sheet27657.xml"/>
  <Override ContentType="application/vnd.openxmlformats-officedocument.spreadsheetml.worksheet+xml" PartName="/xl/worksheets/sheet27658.xml"/>
  <Override ContentType="application/vnd.openxmlformats-officedocument.spreadsheetml.worksheet+xml" PartName="/xl/worksheets/sheet27659.xml"/>
  <Override ContentType="application/vnd.openxmlformats-officedocument.spreadsheetml.worksheet+xml" PartName="/xl/worksheets/sheet27660.xml"/>
  <Override ContentType="application/vnd.openxmlformats-officedocument.spreadsheetml.worksheet+xml" PartName="/xl/worksheets/sheet27661.xml"/>
  <Override ContentType="application/vnd.openxmlformats-officedocument.spreadsheetml.worksheet+xml" PartName="/xl/worksheets/sheet27662.xml"/>
  <Override ContentType="application/vnd.openxmlformats-officedocument.spreadsheetml.worksheet+xml" PartName="/xl/worksheets/sheet27663.xml"/>
  <Override ContentType="application/vnd.openxmlformats-officedocument.spreadsheetml.worksheet+xml" PartName="/xl/worksheets/sheet27664.xml"/>
  <Override ContentType="application/vnd.openxmlformats-officedocument.spreadsheetml.worksheet+xml" PartName="/xl/worksheets/sheet27665.xml"/>
  <Override ContentType="application/vnd.openxmlformats-officedocument.spreadsheetml.worksheet+xml" PartName="/xl/worksheets/sheet27666.xml"/>
  <Override ContentType="application/vnd.openxmlformats-officedocument.spreadsheetml.worksheet+xml" PartName="/xl/worksheets/sheet27667.xml"/>
  <Override ContentType="application/vnd.openxmlformats-officedocument.spreadsheetml.worksheet+xml" PartName="/xl/worksheets/sheet27668.xml"/>
  <Override ContentType="application/vnd.openxmlformats-officedocument.spreadsheetml.worksheet+xml" PartName="/xl/worksheets/sheet27669.xml"/>
  <Override ContentType="application/vnd.openxmlformats-officedocument.spreadsheetml.worksheet+xml" PartName="/xl/worksheets/sheet27670.xml"/>
  <Override ContentType="application/vnd.openxmlformats-officedocument.spreadsheetml.worksheet+xml" PartName="/xl/worksheets/sheet27671.xml"/>
  <Override ContentType="application/vnd.openxmlformats-officedocument.spreadsheetml.worksheet+xml" PartName="/xl/worksheets/sheet27672.xml"/>
  <Override ContentType="application/vnd.openxmlformats-officedocument.spreadsheetml.worksheet+xml" PartName="/xl/worksheets/sheet27673.xml"/>
  <Override ContentType="application/vnd.openxmlformats-officedocument.spreadsheetml.worksheet+xml" PartName="/xl/worksheets/sheet27674.xml"/>
  <Override ContentType="application/vnd.openxmlformats-officedocument.spreadsheetml.worksheet+xml" PartName="/xl/worksheets/sheet27675.xml"/>
  <Override ContentType="application/vnd.openxmlformats-officedocument.spreadsheetml.worksheet+xml" PartName="/xl/worksheets/sheet27676.xml"/>
  <Override ContentType="application/vnd.openxmlformats-officedocument.spreadsheetml.worksheet+xml" PartName="/xl/worksheets/sheet27677.xml"/>
  <Override ContentType="application/vnd.openxmlformats-officedocument.spreadsheetml.worksheet+xml" PartName="/xl/worksheets/sheet27678.xml"/>
  <Override ContentType="application/vnd.openxmlformats-officedocument.spreadsheetml.worksheet+xml" PartName="/xl/worksheets/sheet27679.xml"/>
  <Override ContentType="application/vnd.openxmlformats-officedocument.spreadsheetml.worksheet+xml" PartName="/xl/worksheets/sheet27680.xml"/>
  <Override ContentType="application/vnd.openxmlformats-officedocument.spreadsheetml.worksheet+xml" PartName="/xl/worksheets/sheet27681.xml"/>
  <Override ContentType="application/vnd.openxmlformats-officedocument.spreadsheetml.worksheet+xml" PartName="/xl/worksheets/sheet27682.xml"/>
  <Override ContentType="application/vnd.openxmlformats-officedocument.spreadsheetml.worksheet+xml" PartName="/xl/worksheets/sheet27683.xml"/>
  <Override ContentType="application/vnd.openxmlformats-officedocument.spreadsheetml.worksheet+xml" PartName="/xl/worksheets/sheet27684.xml"/>
  <Override ContentType="application/vnd.openxmlformats-officedocument.spreadsheetml.worksheet+xml" PartName="/xl/worksheets/sheet27685.xml"/>
  <Override ContentType="application/vnd.openxmlformats-officedocument.spreadsheetml.worksheet+xml" PartName="/xl/worksheets/sheet27686.xml"/>
  <Override ContentType="application/vnd.openxmlformats-officedocument.spreadsheetml.worksheet+xml" PartName="/xl/worksheets/sheet27687.xml"/>
  <Override ContentType="application/vnd.openxmlformats-officedocument.spreadsheetml.worksheet+xml" PartName="/xl/worksheets/sheet27688.xml"/>
  <Override ContentType="application/vnd.openxmlformats-officedocument.spreadsheetml.worksheet+xml" PartName="/xl/worksheets/sheet27689.xml"/>
  <Override ContentType="application/vnd.openxmlformats-officedocument.spreadsheetml.worksheet+xml" PartName="/xl/worksheets/sheet27690.xml"/>
  <Override ContentType="application/vnd.openxmlformats-officedocument.spreadsheetml.worksheet+xml" PartName="/xl/worksheets/sheet27691.xml"/>
  <Override ContentType="application/vnd.openxmlformats-officedocument.spreadsheetml.worksheet+xml" PartName="/xl/worksheets/sheet27692.xml"/>
  <Override ContentType="application/vnd.openxmlformats-officedocument.spreadsheetml.worksheet+xml" PartName="/xl/worksheets/sheet27693.xml"/>
  <Override ContentType="application/vnd.openxmlformats-officedocument.spreadsheetml.worksheet+xml" PartName="/xl/worksheets/sheet27694.xml"/>
  <Override ContentType="application/vnd.openxmlformats-officedocument.spreadsheetml.worksheet+xml" PartName="/xl/worksheets/sheet27695.xml"/>
  <Override ContentType="application/vnd.openxmlformats-officedocument.spreadsheetml.worksheet+xml" PartName="/xl/worksheets/sheet27696.xml"/>
  <Override ContentType="application/vnd.openxmlformats-officedocument.spreadsheetml.worksheet+xml" PartName="/xl/worksheets/sheet27697.xml"/>
  <Override ContentType="application/vnd.openxmlformats-officedocument.spreadsheetml.worksheet+xml" PartName="/xl/worksheets/sheet27698.xml"/>
  <Override ContentType="application/vnd.openxmlformats-officedocument.spreadsheetml.worksheet+xml" PartName="/xl/worksheets/sheet27699.xml"/>
  <Override ContentType="application/vnd.openxmlformats-officedocument.spreadsheetml.worksheet+xml" PartName="/xl/worksheets/sheet27700.xml"/>
  <Override ContentType="application/vnd.openxmlformats-officedocument.spreadsheetml.worksheet+xml" PartName="/xl/worksheets/sheet27701.xml"/>
  <Override ContentType="application/vnd.openxmlformats-officedocument.spreadsheetml.worksheet+xml" PartName="/xl/worksheets/sheet27702.xml"/>
  <Override ContentType="application/vnd.openxmlformats-officedocument.spreadsheetml.worksheet+xml" PartName="/xl/worksheets/sheet27703.xml"/>
  <Override ContentType="application/vnd.openxmlformats-officedocument.spreadsheetml.worksheet+xml" PartName="/xl/worksheets/sheet27704.xml"/>
  <Override ContentType="application/vnd.openxmlformats-officedocument.spreadsheetml.worksheet+xml" PartName="/xl/worksheets/sheet27705.xml"/>
  <Override ContentType="application/vnd.openxmlformats-officedocument.spreadsheetml.worksheet+xml" PartName="/xl/worksheets/sheet27706.xml"/>
  <Override ContentType="application/vnd.openxmlformats-officedocument.spreadsheetml.worksheet+xml" PartName="/xl/worksheets/sheet27707.xml"/>
  <Override ContentType="application/vnd.openxmlformats-officedocument.spreadsheetml.worksheet+xml" PartName="/xl/worksheets/sheet27708.xml"/>
  <Override ContentType="application/vnd.openxmlformats-officedocument.spreadsheetml.worksheet+xml" PartName="/xl/worksheets/sheet27709.xml"/>
  <Override ContentType="application/vnd.openxmlformats-officedocument.spreadsheetml.worksheet+xml" PartName="/xl/worksheets/sheet27710.xml"/>
  <Override ContentType="application/vnd.openxmlformats-officedocument.spreadsheetml.worksheet+xml" PartName="/xl/worksheets/sheet27711.xml"/>
  <Override ContentType="application/vnd.openxmlformats-officedocument.spreadsheetml.worksheet+xml" PartName="/xl/worksheets/sheet27712.xml"/>
  <Override ContentType="application/vnd.openxmlformats-officedocument.spreadsheetml.worksheet+xml" PartName="/xl/worksheets/sheet27713.xml"/>
  <Override ContentType="application/vnd.openxmlformats-officedocument.spreadsheetml.worksheet+xml" PartName="/xl/worksheets/sheet27714.xml"/>
  <Override ContentType="application/vnd.openxmlformats-officedocument.spreadsheetml.worksheet+xml" PartName="/xl/worksheets/sheet27715.xml"/>
  <Override ContentType="application/vnd.openxmlformats-officedocument.spreadsheetml.worksheet+xml" PartName="/xl/worksheets/sheet27716.xml"/>
  <Override ContentType="application/vnd.openxmlformats-officedocument.spreadsheetml.worksheet+xml" PartName="/xl/worksheets/sheet27717.xml"/>
  <Override ContentType="application/vnd.openxmlformats-officedocument.spreadsheetml.worksheet+xml" PartName="/xl/worksheets/sheet27718.xml"/>
  <Override ContentType="application/vnd.openxmlformats-officedocument.spreadsheetml.worksheet+xml" PartName="/xl/worksheets/sheet27719.xml"/>
  <Override ContentType="application/vnd.openxmlformats-officedocument.spreadsheetml.worksheet+xml" PartName="/xl/worksheets/sheet27720.xml"/>
  <Override ContentType="application/vnd.openxmlformats-officedocument.spreadsheetml.worksheet+xml" PartName="/xl/worksheets/sheet27721.xml"/>
  <Override ContentType="application/vnd.openxmlformats-officedocument.spreadsheetml.worksheet+xml" PartName="/xl/worksheets/sheet27722.xml"/>
  <Override ContentType="application/vnd.openxmlformats-officedocument.spreadsheetml.worksheet+xml" PartName="/xl/worksheets/sheet27723.xml"/>
  <Override ContentType="application/vnd.openxmlformats-officedocument.spreadsheetml.worksheet+xml" PartName="/xl/worksheets/sheet27724.xml"/>
  <Override ContentType="application/vnd.openxmlformats-officedocument.spreadsheetml.worksheet+xml" PartName="/xl/worksheets/sheet27725.xml"/>
  <Override ContentType="application/vnd.openxmlformats-officedocument.spreadsheetml.worksheet+xml" PartName="/xl/worksheets/sheet27726.xml"/>
  <Override ContentType="application/vnd.openxmlformats-officedocument.spreadsheetml.worksheet+xml" PartName="/xl/worksheets/sheet27727.xml"/>
  <Override ContentType="application/vnd.openxmlformats-officedocument.spreadsheetml.worksheet+xml" PartName="/xl/worksheets/sheet27728.xml"/>
  <Override ContentType="application/vnd.openxmlformats-officedocument.spreadsheetml.worksheet+xml" PartName="/xl/worksheets/sheet27729.xml"/>
  <Override ContentType="application/vnd.openxmlformats-officedocument.spreadsheetml.worksheet+xml" PartName="/xl/worksheets/sheet27730.xml"/>
  <Override ContentType="application/vnd.openxmlformats-officedocument.spreadsheetml.worksheet+xml" PartName="/xl/worksheets/sheet27731.xml"/>
  <Override ContentType="application/vnd.openxmlformats-officedocument.spreadsheetml.worksheet+xml" PartName="/xl/worksheets/sheet27732.xml"/>
  <Override ContentType="application/vnd.openxmlformats-officedocument.spreadsheetml.worksheet+xml" PartName="/xl/worksheets/sheet27733.xml"/>
  <Override ContentType="application/vnd.openxmlformats-officedocument.spreadsheetml.worksheet+xml" PartName="/xl/worksheets/sheet27734.xml"/>
  <Override ContentType="application/vnd.openxmlformats-officedocument.spreadsheetml.worksheet+xml" PartName="/xl/worksheets/sheet27735.xml"/>
  <Override ContentType="application/vnd.openxmlformats-officedocument.spreadsheetml.worksheet+xml" PartName="/xl/worksheets/sheet27736.xml"/>
  <Override ContentType="application/vnd.openxmlformats-officedocument.spreadsheetml.worksheet+xml" PartName="/xl/worksheets/sheet27737.xml"/>
  <Override ContentType="application/vnd.openxmlformats-officedocument.spreadsheetml.worksheet+xml" PartName="/xl/worksheets/sheet27738.xml"/>
  <Override ContentType="application/vnd.openxmlformats-officedocument.spreadsheetml.worksheet+xml" PartName="/xl/worksheets/sheet27739.xml"/>
  <Override ContentType="application/vnd.openxmlformats-officedocument.spreadsheetml.worksheet+xml" PartName="/xl/worksheets/sheet27740.xml"/>
  <Override ContentType="application/vnd.openxmlformats-officedocument.spreadsheetml.worksheet+xml" PartName="/xl/worksheets/sheet27741.xml"/>
  <Override ContentType="application/vnd.openxmlformats-officedocument.spreadsheetml.worksheet+xml" PartName="/xl/worksheets/sheet27742.xml"/>
  <Override ContentType="application/vnd.openxmlformats-officedocument.spreadsheetml.worksheet+xml" PartName="/xl/worksheets/sheet27743.xml"/>
  <Override ContentType="application/vnd.openxmlformats-officedocument.spreadsheetml.worksheet+xml" PartName="/xl/worksheets/sheet27744.xml"/>
  <Override ContentType="application/vnd.openxmlformats-officedocument.spreadsheetml.worksheet+xml" PartName="/xl/worksheets/sheet27745.xml"/>
  <Override ContentType="application/vnd.openxmlformats-officedocument.spreadsheetml.worksheet+xml" PartName="/xl/worksheets/sheet27746.xml"/>
  <Override ContentType="application/vnd.openxmlformats-officedocument.spreadsheetml.worksheet+xml" PartName="/xl/worksheets/sheet27747.xml"/>
  <Override ContentType="application/vnd.openxmlformats-officedocument.spreadsheetml.worksheet+xml" PartName="/xl/worksheets/sheet27748.xml"/>
  <Override ContentType="application/vnd.openxmlformats-officedocument.spreadsheetml.worksheet+xml" PartName="/xl/worksheets/sheet27749.xml"/>
  <Override ContentType="application/vnd.openxmlformats-officedocument.spreadsheetml.worksheet+xml" PartName="/xl/worksheets/sheet27750.xml"/>
  <Override ContentType="application/vnd.openxmlformats-officedocument.spreadsheetml.worksheet+xml" PartName="/xl/worksheets/sheet27751.xml"/>
  <Override ContentType="application/vnd.openxmlformats-officedocument.spreadsheetml.worksheet+xml" PartName="/xl/worksheets/sheet27752.xml"/>
  <Override ContentType="application/vnd.openxmlformats-officedocument.spreadsheetml.worksheet+xml" PartName="/xl/worksheets/sheet27753.xml"/>
  <Override ContentType="application/vnd.openxmlformats-officedocument.spreadsheetml.worksheet+xml" PartName="/xl/worksheets/sheet27754.xml"/>
  <Override ContentType="application/vnd.openxmlformats-officedocument.spreadsheetml.worksheet+xml" PartName="/xl/worksheets/sheet27755.xml"/>
  <Override ContentType="application/vnd.openxmlformats-officedocument.spreadsheetml.worksheet+xml" PartName="/xl/worksheets/sheet27756.xml"/>
  <Override ContentType="application/vnd.openxmlformats-officedocument.spreadsheetml.worksheet+xml" PartName="/xl/worksheets/sheet27757.xml"/>
  <Override ContentType="application/vnd.openxmlformats-officedocument.spreadsheetml.worksheet+xml" PartName="/xl/worksheets/sheet27758.xml"/>
  <Override ContentType="application/vnd.openxmlformats-officedocument.spreadsheetml.worksheet+xml" PartName="/xl/worksheets/sheet27759.xml"/>
  <Override ContentType="application/vnd.openxmlformats-officedocument.spreadsheetml.worksheet+xml" PartName="/xl/worksheets/sheet27760.xml"/>
  <Override ContentType="application/vnd.openxmlformats-officedocument.spreadsheetml.worksheet+xml" PartName="/xl/worksheets/sheet27761.xml"/>
  <Override ContentType="application/vnd.openxmlformats-officedocument.spreadsheetml.worksheet+xml" PartName="/xl/worksheets/sheet27762.xml"/>
  <Override ContentType="application/vnd.openxmlformats-officedocument.spreadsheetml.worksheet+xml" PartName="/xl/worksheets/sheet27763.xml"/>
  <Override ContentType="application/vnd.openxmlformats-officedocument.spreadsheetml.worksheet+xml" PartName="/xl/worksheets/sheet27764.xml"/>
  <Override ContentType="application/vnd.openxmlformats-officedocument.spreadsheetml.worksheet+xml" PartName="/xl/worksheets/sheet27765.xml"/>
  <Override ContentType="application/vnd.openxmlformats-officedocument.spreadsheetml.worksheet+xml" PartName="/xl/worksheets/sheet27766.xml"/>
  <Override ContentType="application/vnd.openxmlformats-officedocument.spreadsheetml.worksheet+xml" PartName="/xl/worksheets/sheet27767.xml"/>
  <Override ContentType="application/vnd.openxmlformats-officedocument.spreadsheetml.worksheet+xml" PartName="/xl/worksheets/sheet27768.xml"/>
  <Override ContentType="application/vnd.openxmlformats-officedocument.spreadsheetml.worksheet+xml" PartName="/xl/worksheets/sheet27769.xml"/>
  <Override ContentType="application/vnd.openxmlformats-officedocument.spreadsheetml.worksheet+xml" PartName="/xl/worksheets/sheet27770.xml"/>
  <Override ContentType="application/vnd.openxmlformats-officedocument.spreadsheetml.worksheet+xml" PartName="/xl/worksheets/sheet27771.xml"/>
  <Override ContentType="application/vnd.openxmlformats-officedocument.spreadsheetml.worksheet+xml" PartName="/xl/worksheets/sheet27772.xml"/>
  <Override ContentType="application/vnd.openxmlformats-officedocument.spreadsheetml.worksheet+xml" PartName="/xl/worksheets/sheet27773.xml"/>
  <Override ContentType="application/vnd.openxmlformats-officedocument.spreadsheetml.worksheet+xml" PartName="/xl/worksheets/sheet27774.xml"/>
  <Override ContentType="application/vnd.openxmlformats-officedocument.spreadsheetml.worksheet+xml" PartName="/xl/worksheets/sheet27775.xml"/>
  <Override ContentType="application/vnd.openxmlformats-officedocument.spreadsheetml.worksheet+xml" PartName="/xl/worksheets/sheet27776.xml"/>
  <Override ContentType="application/vnd.openxmlformats-officedocument.spreadsheetml.worksheet+xml" PartName="/xl/worksheets/sheet27777.xml"/>
  <Override ContentType="application/vnd.openxmlformats-officedocument.spreadsheetml.worksheet+xml" PartName="/xl/worksheets/sheet27778.xml"/>
  <Override ContentType="application/vnd.openxmlformats-officedocument.spreadsheetml.worksheet+xml" PartName="/xl/worksheets/sheet27779.xml"/>
  <Override ContentType="application/vnd.openxmlformats-officedocument.spreadsheetml.worksheet+xml" PartName="/xl/worksheets/sheet27780.xml"/>
  <Override ContentType="application/vnd.openxmlformats-officedocument.spreadsheetml.worksheet+xml" PartName="/xl/worksheets/sheet27781.xml"/>
  <Override ContentType="application/vnd.openxmlformats-officedocument.spreadsheetml.worksheet+xml" PartName="/xl/worksheets/sheet27782.xml"/>
  <Override ContentType="application/vnd.openxmlformats-officedocument.spreadsheetml.worksheet+xml" PartName="/xl/worksheets/sheet27783.xml"/>
  <Override ContentType="application/vnd.openxmlformats-officedocument.spreadsheetml.worksheet+xml" PartName="/xl/worksheets/sheet27784.xml"/>
  <Override ContentType="application/vnd.openxmlformats-officedocument.spreadsheetml.worksheet+xml" PartName="/xl/worksheets/sheet27785.xml"/>
  <Override ContentType="application/vnd.openxmlformats-officedocument.spreadsheetml.worksheet+xml" PartName="/xl/worksheets/sheet27786.xml"/>
  <Override ContentType="application/vnd.openxmlformats-officedocument.spreadsheetml.worksheet+xml" PartName="/xl/worksheets/sheet27787.xml"/>
  <Override ContentType="application/vnd.openxmlformats-officedocument.spreadsheetml.worksheet+xml" PartName="/xl/worksheets/sheet27788.xml"/>
  <Override ContentType="application/vnd.openxmlformats-officedocument.spreadsheetml.worksheet+xml" PartName="/xl/worksheets/sheet27789.xml"/>
  <Override ContentType="application/vnd.openxmlformats-officedocument.spreadsheetml.worksheet+xml" PartName="/xl/worksheets/sheet27790.xml"/>
  <Override ContentType="application/vnd.openxmlformats-officedocument.spreadsheetml.worksheet+xml" PartName="/xl/worksheets/sheet27791.xml"/>
  <Override ContentType="application/vnd.openxmlformats-officedocument.spreadsheetml.worksheet+xml" PartName="/xl/worksheets/sheet27792.xml"/>
  <Override ContentType="application/vnd.openxmlformats-officedocument.spreadsheetml.worksheet+xml" PartName="/xl/worksheets/sheet27793.xml"/>
  <Override ContentType="application/vnd.openxmlformats-officedocument.spreadsheetml.worksheet+xml" PartName="/xl/worksheets/sheet27794.xml"/>
  <Override ContentType="application/vnd.openxmlformats-officedocument.spreadsheetml.worksheet+xml" PartName="/xl/worksheets/sheet27795.xml"/>
  <Override ContentType="application/vnd.openxmlformats-officedocument.spreadsheetml.worksheet+xml" PartName="/xl/worksheets/sheet27796.xml"/>
  <Override ContentType="application/vnd.openxmlformats-officedocument.spreadsheetml.worksheet+xml" PartName="/xl/worksheets/sheet27797.xml"/>
  <Override ContentType="application/vnd.openxmlformats-officedocument.spreadsheetml.worksheet+xml" PartName="/xl/worksheets/sheet27798.xml"/>
  <Override ContentType="application/vnd.openxmlformats-officedocument.spreadsheetml.worksheet+xml" PartName="/xl/worksheets/sheet27799.xml"/>
  <Override ContentType="application/vnd.openxmlformats-officedocument.spreadsheetml.worksheet+xml" PartName="/xl/worksheets/sheet27800.xml"/>
  <Override ContentType="application/vnd.openxmlformats-officedocument.spreadsheetml.worksheet+xml" PartName="/xl/worksheets/sheet27801.xml"/>
  <Override ContentType="application/vnd.openxmlformats-officedocument.spreadsheetml.worksheet+xml" PartName="/xl/worksheets/sheet27802.xml"/>
  <Override ContentType="application/vnd.openxmlformats-officedocument.spreadsheetml.worksheet+xml" PartName="/xl/worksheets/sheet27803.xml"/>
  <Override ContentType="application/vnd.openxmlformats-officedocument.spreadsheetml.worksheet+xml" PartName="/xl/worksheets/sheet27804.xml"/>
  <Override ContentType="application/vnd.openxmlformats-officedocument.spreadsheetml.worksheet+xml" PartName="/xl/worksheets/sheet27805.xml"/>
  <Override ContentType="application/vnd.openxmlformats-officedocument.spreadsheetml.worksheet+xml" PartName="/xl/worksheets/sheet27806.xml"/>
  <Override ContentType="application/vnd.openxmlformats-officedocument.spreadsheetml.worksheet+xml" PartName="/xl/worksheets/sheet27807.xml"/>
  <Override ContentType="application/vnd.openxmlformats-officedocument.spreadsheetml.worksheet+xml" PartName="/xl/worksheets/sheet27808.xml"/>
  <Override ContentType="application/vnd.openxmlformats-officedocument.spreadsheetml.worksheet+xml" PartName="/xl/worksheets/sheet27809.xml"/>
  <Override ContentType="application/vnd.openxmlformats-officedocument.spreadsheetml.worksheet+xml" PartName="/xl/worksheets/sheet27810.xml"/>
  <Override ContentType="application/vnd.openxmlformats-officedocument.spreadsheetml.worksheet+xml" PartName="/xl/worksheets/sheet27811.xml"/>
  <Override ContentType="application/vnd.openxmlformats-officedocument.spreadsheetml.worksheet+xml" PartName="/xl/worksheets/sheet27812.xml"/>
  <Override ContentType="application/vnd.openxmlformats-officedocument.spreadsheetml.worksheet+xml" PartName="/xl/worksheets/sheet27813.xml"/>
  <Override ContentType="application/vnd.openxmlformats-officedocument.spreadsheetml.worksheet+xml" PartName="/xl/worksheets/sheet27814.xml"/>
  <Override ContentType="application/vnd.openxmlformats-officedocument.spreadsheetml.worksheet+xml" PartName="/xl/worksheets/sheet27815.xml"/>
  <Override ContentType="application/vnd.openxmlformats-officedocument.spreadsheetml.worksheet+xml" PartName="/xl/worksheets/sheet27816.xml"/>
  <Override ContentType="application/vnd.openxmlformats-officedocument.spreadsheetml.worksheet+xml" PartName="/xl/worksheets/sheet27817.xml"/>
  <Override ContentType="application/vnd.openxmlformats-officedocument.spreadsheetml.worksheet+xml" PartName="/xl/worksheets/sheet27818.xml"/>
  <Override ContentType="application/vnd.openxmlformats-officedocument.spreadsheetml.worksheet+xml" PartName="/xl/worksheets/sheet27819.xml"/>
  <Override ContentType="application/vnd.openxmlformats-officedocument.spreadsheetml.worksheet+xml" PartName="/xl/worksheets/sheet27820.xml"/>
  <Override ContentType="application/vnd.openxmlformats-officedocument.spreadsheetml.worksheet+xml" PartName="/xl/worksheets/sheet27821.xml"/>
  <Override ContentType="application/vnd.openxmlformats-officedocument.spreadsheetml.worksheet+xml" PartName="/xl/worksheets/sheet27822.xml"/>
  <Override ContentType="application/vnd.openxmlformats-officedocument.spreadsheetml.worksheet+xml" PartName="/xl/worksheets/sheet27823.xml"/>
  <Override ContentType="application/vnd.openxmlformats-officedocument.spreadsheetml.worksheet+xml" PartName="/xl/worksheets/sheet27824.xml"/>
  <Override ContentType="application/vnd.openxmlformats-officedocument.spreadsheetml.worksheet+xml" PartName="/xl/worksheets/sheet27825.xml"/>
  <Override ContentType="application/vnd.openxmlformats-officedocument.spreadsheetml.worksheet+xml" PartName="/xl/worksheets/sheet27826.xml"/>
  <Override ContentType="application/vnd.openxmlformats-officedocument.spreadsheetml.worksheet+xml" PartName="/xl/worksheets/sheet27827.xml"/>
  <Override ContentType="application/vnd.openxmlformats-officedocument.spreadsheetml.worksheet+xml" PartName="/xl/worksheets/sheet27828.xml"/>
  <Override ContentType="application/vnd.openxmlformats-officedocument.spreadsheetml.worksheet+xml" PartName="/xl/worksheets/sheet27829.xml"/>
  <Override ContentType="application/vnd.openxmlformats-officedocument.spreadsheetml.worksheet+xml" PartName="/xl/worksheets/sheet27830.xml"/>
  <Override ContentType="application/vnd.openxmlformats-officedocument.spreadsheetml.worksheet+xml" PartName="/xl/worksheets/sheet27831.xml"/>
  <Override ContentType="application/vnd.openxmlformats-officedocument.spreadsheetml.worksheet+xml" PartName="/xl/worksheets/sheet27832.xml"/>
  <Override ContentType="application/vnd.openxmlformats-officedocument.spreadsheetml.worksheet+xml" PartName="/xl/worksheets/sheet27833.xml"/>
  <Override ContentType="application/vnd.openxmlformats-officedocument.spreadsheetml.worksheet+xml" PartName="/xl/worksheets/sheet27834.xml"/>
  <Override ContentType="application/vnd.openxmlformats-officedocument.spreadsheetml.worksheet+xml" PartName="/xl/worksheets/sheet27835.xml"/>
  <Override ContentType="application/vnd.openxmlformats-officedocument.spreadsheetml.worksheet+xml" PartName="/xl/worksheets/sheet27836.xml"/>
  <Override ContentType="application/vnd.openxmlformats-officedocument.spreadsheetml.worksheet+xml" PartName="/xl/worksheets/sheet27837.xml"/>
  <Override ContentType="application/vnd.openxmlformats-officedocument.spreadsheetml.worksheet+xml" PartName="/xl/worksheets/sheet27838.xml"/>
  <Override ContentType="application/vnd.openxmlformats-officedocument.spreadsheetml.worksheet+xml" PartName="/xl/worksheets/sheet27839.xml"/>
  <Override ContentType="application/vnd.openxmlformats-officedocument.spreadsheetml.worksheet+xml" PartName="/xl/worksheets/sheet27840.xml"/>
  <Override ContentType="application/vnd.openxmlformats-officedocument.spreadsheetml.worksheet+xml" PartName="/xl/worksheets/sheet27841.xml"/>
  <Override ContentType="application/vnd.openxmlformats-officedocument.spreadsheetml.worksheet+xml" PartName="/xl/worksheets/sheet27842.xml"/>
  <Override ContentType="application/vnd.openxmlformats-officedocument.spreadsheetml.worksheet+xml" PartName="/xl/worksheets/sheet27843.xml"/>
  <Override ContentType="application/vnd.openxmlformats-officedocument.spreadsheetml.worksheet+xml" PartName="/xl/worksheets/sheet27844.xml"/>
  <Override ContentType="application/vnd.openxmlformats-officedocument.spreadsheetml.worksheet+xml" PartName="/xl/worksheets/sheet27845.xml"/>
  <Override ContentType="application/vnd.openxmlformats-officedocument.spreadsheetml.worksheet+xml" PartName="/xl/worksheets/sheet27846.xml"/>
  <Override ContentType="application/vnd.openxmlformats-officedocument.spreadsheetml.worksheet+xml" PartName="/xl/worksheets/sheet27847.xml"/>
  <Override ContentType="application/vnd.openxmlformats-officedocument.spreadsheetml.worksheet+xml" PartName="/xl/worksheets/sheet27848.xml"/>
  <Override ContentType="application/vnd.openxmlformats-officedocument.spreadsheetml.worksheet+xml" PartName="/xl/worksheets/sheet27849.xml"/>
  <Override ContentType="application/vnd.openxmlformats-officedocument.spreadsheetml.worksheet+xml" PartName="/xl/worksheets/sheet27850.xml"/>
  <Override ContentType="application/vnd.openxmlformats-officedocument.spreadsheetml.worksheet+xml" PartName="/xl/worksheets/sheet27851.xml"/>
  <Override ContentType="application/vnd.openxmlformats-officedocument.spreadsheetml.worksheet+xml" PartName="/xl/worksheets/sheet27852.xml"/>
  <Override ContentType="application/vnd.openxmlformats-officedocument.spreadsheetml.worksheet+xml" PartName="/xl/worksheets/sheet27853.xml"/>
  <Override ContentType="application/vnd.openxmlformats-officedocument.spreadsheetml.worksheet+xml" PartName="/xl/worksheets/sheet27854.xml"/>
  <Override ContentType="application/vnd.openxmlformats-officedocument.spreadsheetml.worksheet+xml" PartName="/xl/worksheets/sheet27855.xml"/>
  <Override ContentType="application/vnd.openxmlformats-officedocument.spreadsheetml.worksheet+xml" PartName="/xl/worksheets/sheet27856.xml"/>
  <Override ContentType="application/vnd.openxmlformats-officedocument.spreadsheetml.worksheet+xml" PartName="/xl/worksheets/sheet27857.xml"/>
  <Override ContentType="application/vnd.openxmlformats-officedocument.spreadsheetml.worksheet+xml" PartName="/xl/worksheets/sheet27858.xml"/>
  <Override ContentType="application/vnd.openxmlformats-officedocument.spreadsheetml.worksheet+xml" PartName="/xl/worksheets/sheet27859.xml"/>
  <Override ContentType="application/vnd.openxmlformats-officedocument.spreadsheetml.worksheet+xml" PartName="/xl/worksheets/sheet27860.xml"/>
  <Override ContentType="application/vnd.openxmlformats-officedocument.spreadsheetml.worksheet+xml" PartName="/xl/worksheets/sheet27861.xml"/>
  <Override ContentType="application/vnd.openxmlformats-officedocument.spreadsheetml.worksheet+xml" PartName="/xl/worksheets/sheet27862.xml"/>
  <Override ContentType="application/vnd.openxmlformats-officedocument.spreadsheetml.worksheet+xml" PartName="/xl/worksheets/sheet27863.xml"/>
  <Override ContentType="application/vnd.openxmlformats-officedocument.spreadsheetml.worksheet+xml" PartName="/xl/worksheets/sheet27864.xml"/>
  <Override ContentType="application/vnd.openxmlformats-officedocument.spreadsheetml.worksheet+xml" PartName="/xl/worksheets/sheet27865.xml"/>
  <Override ContentType="application/vnd.openxmlformats-officedocument.spreadsheetml.worksheet+xml" PartName="/xl/worksheets/sheet27866.xml"/>
  <Override ContentType="application/vnd.openxmlformats-officedocument.spreadsheetml.worksheet+xml" PartName="/xl/worksheets/sheet27867.xml"/>
  <Override ContentType="application/vnd.openxmlformats-officedocument.spreadsheetml.worksheet+xml" PartName="/xl/worksheets/sheet27868.xml"/>
  <Override ContentType="application/vnd.openxmlformats-officedocument.spreadsheetml.worksheet+xml" PartName="/xl/worksheets/sheet27869.xml"/>
  <Override ContentType="application/vnd.openxmlformats-officedocument.spreadsheetml.worksheet+xml" PartName="/xl/worksheets/sheet27870.xml"/>
  <Override ContentType="application/vnd.openxmlformats-officedocument.spreadsheetml.worksheet+xml" PartName="/xl/worksheets/sheet27871.xml"/>
  <Override ContentType="application/vnd.openxmlformats-officedocument.spreadsheetml.worksheet+xml" PartName="/xl/worksheets/sheet27872.xml"/>
  <Override ContentType="application/vnd.openxmlformats-officedocument.spreadsheetml.worksheet+xml" PartName="/xl/worksheets/sheet27873.xml"/>
  <Override ContentType="application/vnd.openxmlformats-officedocument.spreadsheetml.worksheet+xml" PartName="/xl/worksheets/sheet27874.xml"/>
  <Override ContentType="application/vnd.openxmlformats-officedocument.spreadsheetml.worksheet+xml" PartName="/xl/worksheets/sheet27875.xml"/>
  <Override ContentType="application/vnd.openxmlformats-officedocument.spreadsheetml.worksheet+xml" PartName="/xl/worksheets/sheet27876.xml"/>
  <Override ContentType="application/vnd.openxmlformats-officedocument.spreadsheetml.worksheet+xml" PartName="/xl/worksheets/sheet27877.xml"/>
  <Override ContentType="application/vnd.openxmlformats-officedocument.spreadsheetml.worksheet+xml" PartName="/xl/worksheets/sheet27878.xml"/>
  <Override ContentType="application/vnd.openxmlformats-officedocument.spreadsheetml.worksheet+xml" PartName="/xl/worksheets/sheet27879.xml"/>
  <Override ContentType="application/vnd.openxmlformats-officedocument.spreadsheetml.worksheet+xml" PartName="/xl/worksheets/sheet27880.xml"/>
  <Override ContentType="application/vnd.openxmlformats-officedocument.spreadsheetml.worksheet+xml" PartName="/xl/worksheets/sheet27881.xml"/>
  <Override ContentType="application/vnd.openxmlformats-officedocument.spreadsheetml.worksheet+xml" PartName="/xl/worksheets/sheet27882.xml"/>
  <Override ContentType="application/vnd.openxmlformats-officedocument.spreadsheetml.worksheet+xml" PartName="/xl/worksheets/sheet27883.xml"/>
  <Override ContentType="application/vnd.openxmlformats-officedocument.spreadsheetml.worksheet+xml" PartName="/xl/worksheets/sheet27884.xml"/>
  <Override ContentType="application/vnd.openxmlformats-officedocument.spreadsheetml.worksheet+xml" PartName="/xl/worksheets/sheet27885.xml"/>
  <Override ContentType="application/vnd.openxmlformats-officedocument.spreadsheetml.worksheet+xml" PartName="/xl/worksheets/sheet27886.xml"/>
  <Override ContentType="application/vnd.openxmlformats-officedocument.spreadsheetml.worksheet+xml" PartName="/xl/worksheets/sheet27887.xml"/>
  <Override ContentType="application/vnd.openxmlformats-officedocument.spreadsheetml.worksheet+xml" PartName="/xl/worksheets/sheet27888.xml"/>
  <Override ContentType="application/vnd.openxmlformats-officedocument.spreadsheetml.worksheet+xml" PartName="/xl/worksheets/sheet27889.xml"/>
  <Override ContentType="application/vnd.openxmlformats-officedocument.spreadsheetml.worksheet+xml" PartName="/xl/worksheets/sheet27890.xml"/>
  <Override ContentType="application/vnd.openxmlformats-officedocument.spreadsheetml.worksheet+xml" PartName="/xl/worksheets/sheet27891.xml"/>
  <Override ContentType="application/vnd.openxmlformats-officedocument.spreadsheetml.worksheet+xml" PartName="/xl/worksheets/sheet27892.xml"/>
  <Override ContentType="application/vnd.openxmlformats-officedocument.spreadsheetml.worksheet+xml" PartName="/xl/worksheets/sheet27893.xml"/>
  <Override ContentType="application/vnd.openxmlformats-officedocument.spreadsheetml.worksheet+xml" PartName="/xl/worksheets/sheet27894.xml"/>
  <Override ContentType="application/vnd.openxmlformats-officedocument.spreadsheetml.worksheet+xml" PartName="/xl/worksheets/sheet27895.xml"/>
  <Override ContentType="application/vnd.openxmlformats-officedocument.spreadsheetml.worksheet+xml" PartName="/xl/worksheets/sheet27896.xml"/>
  <Override ContentType="application/vnd.openxmlformats-officedocument.spreadsheetml.worksheet+xml" PartName="/xl/worksheets/sheet27897.xml"/>
  <Override ContentType="application/vnd.openxmlformats-officedocument.spreadsheetml.worksheet+xml" PartName="/xl/worksheets/sheet27898.xml"/>
  <Override ContentType="application/vnd.openxmlformats-officedocument.spreadsheetml.worksheet+xml" PartName="/xl/worksheets/sheet27899.xml"/>
  <Override ContentType="application/vnd.openxmlformats-officedocument.spreadsheetml.worksheet+xml" PartName="/xl/worksheets/sheet27900.xml"/>
  <Override ContentType="application/vnd.openxmlformats-officedocument.spreadsheetml.worksheet+xml" PartName="/xl/worksheets/sheet27901.xml"/>
  <Override ContentType="application/vnd.openxmlformats-officedocument.spreadsheetml.worksheet+xml" PartName="/xl/worksheets/sheet27902.xml"/>
  <Override ContentType="application/vnd.openxmlformats-officedocument.spreadsheetml.worksheet+xml" PartName="/xl/worksheets/sheet27903.xml"/>
  <Override ContentType="application/vnd.openxmlformats-officedocument.spreadsheetml.worksheet+xml" PartName="/xl/worksheets/sheet27904.xml"/>
  <Override ContentType="application/vnd.openxmlformats-officedocument.spreadsheetml.worksheet+xml" PartName="/xl/worksheets/sheet27905.xml"/>
  <Override ContentType="application/vnd.openxmlformats-officedocument.spreadsheetml.worksheet+xml" PartName="/xl/worksheets/sheet27906.xml"/>
  <Override ContentType="application/vnd.openxmlformats-officedocument.spreadsheetml.worksheet+xml" PartName="/xl/worksheets/sheet27907.xml"/>
  <Override ContentType="application/vnd.openxmlformats-officedocument.spreadsheetml.worksheet+xml" PartName="/xl/worksheets/sheet27908.xml"/>
  <Override ContentType="application/vnd.openxmlformats-officedocument.spreadsheetml.worksheet+xml" PartName="/xl/worksheets/sheet27909.xml"/>
  <Override ContentType="application/vnd.openxmlformats-officedocument.spreadsheetml.worksheet+xml" PartName="/xl/worksheets/sheet27910.xml"/>
  <Override ContentType="application/vnd.openxmlformats-officedocument.spreadsheetml.worksheet+xml" PartName="/xl/worksheets/sheet27911.xml"/>
  <Override ContentType="application/vnd.openxmlformats-officedocument.spreadsheetml.worksheet+xml" PartName="/xl/worksheets/sheet27912.xml"/>
  <Override ContentType="application/vnd.openxmlformats-officedocument.spreadsheetml.worksheet+xml" PartName="/xl/worksheets/sheet27913.xml"/>
  <Override ContentType="application/vnd.openxmlformats-officedocument.spreadsheetml.worksheet+xml" PartName="/xl/worksheets/sheet27914.xml"/>
  <Override ContentType="application/vnd.openxmlformats-officedocument.spreadsheetml.worksheet+xml" PartName="/xl/worksheets/sheet27915.xml"/>
  <Override ContentType="application/vnd.openxmlformats-officedocument.spreadsheetml.worksheet+xml" PartName="/xl/worksheets/sheet27916.xml"/>
  <Override ContentType="application/vnd.openxmlformats-officedocument.spreadsheetml.worksheet+xml" PartName="/xl/worksheets/sheet27917.xml"/>
  <Override ContentType="application/vnd.openxmlformats-officedocument.spreadsheetml.worksheet+xml" PartName="/xl/worksheets/sheet27918.xml"/>
  <Override ContentType="application/vnd.openxmlformats-officedocument.spreadsheetml.worksheet+xml" PartName="/xl/worksheets/sheet27919.xml"/>
  <Override ContentType="application/vnd.openxmlformats-officedocument.spreadsheetml.worksheet+xml" PartName="/xl/worksheets/sheet27920.xml"/>
  <Override ContentType="application/vnd.openxmlformats-officedocument.spreadsheetml.worksheet+xml" PartName="/xl/worksheets/sheet27921.xml"/>
  <Override ContentType="application/vnd.openxmlformats-officedocument.spreadsheetml.worksheet+xml" PartName="/xl/worksheets/sheet27922.xml"/>
  <Override ContentType="application/vnd.openxmlformats-officedocument.spreadsheetml.worksheet+xml" PartName="/xl/worksheets/sheet27923.xml"/>
  <Override ContentType="application/vnd.openxmlformats-officedocument.spreadsheetml.worksheet+xml" PartName="/xl/worksheets/sheet27924.xml"/>
  <Override ContentType="application/vnd.openxmlformats-officedocument.spreadsheetml.worksheet+xml" PartName="/xl/worksheets/sheet27925.xml"/>
  <Override ContentType="application/vnd.openxmlformats-officedocument.spreadsheetml.worksheet+xml" PartName="/xl/worksheets/sheet27926.xml"/>
  <Override ContentType="application/vnd.openxmlformats-officedocument.spreadsheetml.worksheet+xml" PartName="/xl/worksheets/sheet27927.xml"/>
  <Override ContentType="application/vnd.openxmlformats-officedocument.spreadsheetml.worksheet+xml" PartName="/xl/worksheets/sheet27928.xml"/>
  <Override ContentType="application/vnd.openxmlformats-officedocument.spreadsheetml.worksheet+xml" PartName="/xl/worksheets/sheet27929.xml"/>
  <Override ContentType="application/vnd.openxmlformats-officedocument.spreadsheetml.worksheet+xml" PartName="/xl/worksheets/sheet27930.xml"/>
  <Override ContentType="application/vnd.openxmlformats-officedocument.spreadsheetml.worksheet+xml" PartName="/xl/worksheets/sheet27931.xml"/>
  <Override ContentType="application/vnd.openxmlformats-officedocument.spreadsheetml.worksheet+xml" PartName="/xl/worksheets/sheet27932.xml"/>
  <Override ContentType="application/vnd.openxmlformats-officedocument.spreadsheetml.worksheet+xml" PartName="/xl/worksheets/sheet27933.xml"/>
  <Override ContentType="application/vnd.openxmlformats-officedocument.spreadsheetml.worksheet+xml" PartName="/xl/worksheets/sheet27934.xml"/>
  <Override ContentType="application/vnd.openxmlformats-officedocument.spreadsheetml.worksheet+xml" PartName="/xl/worksheets/sheet27935.xml"/>
  <Override ContentType="application/vnd.openxmlformats-officedocument.spreadsheetml.worksheet+xml" PartName="/xl/worksheets/sheet27936.xml"/>
  <Override ContentType="application/vnd.openxmlformats-officedocument.spreadsheetml.worksheet+xml" PartName="/xl/worksheets/sheet27937.xml"/>
  <Override ContentType="application/vnd.openxmlformats-officedocument.spreadsheetml.worksheet+xml" PartName="/xl/worksheets/sheet27938.xml"/>
  <Override ContentType="application/vnd.openxmlformats-officedocument.spreadsheetml.worksheet+xml" PartName="/xl/worksheets/sheet27939.xml"/>
  <Override ContentType="application/vnd.openxmlformats-officedocument.spreadsheetml.worksheet+xml" PartName="/xl/worksheets/sheet27940.xml"/>
  <Override ContentType="application/vnd.openxmlformats-officedocument.spreadsheetml.worksheet+xml" PartName="/xl/worksheets/sheet27941.xml"/>
  <Override ContentType="application/vnd.openxmlformats-officedocument.spreadsheetml.worksheet+xml" PartName="/xl/worksheets/sheet27942.xml"/>
  <Override ContentType="application/vnd.openxmlformats-officedocument.spreadsheetml.worksheet+xml" PartName="/xl/worksheets/sheet27943.xml"/>
  <Override ContentType="application/vnd.openxmlformats-officedocument.spreadsheetml.worksheet+xml" PartName="/xl/worksheets/sheet27944.xml"/>
  <Override ContentType="application/vnd.openxmlformats-officedocument.spreadsheetml.worksheet+xml" PartName="/xl/worksheets/sheet27945.xml"/>
  <Override ContentType="application/vnd.openxmlformats-officedocument.spreadsheetml.worksheet+xml" PartName="/xl/worksheets/sheet27946.xml"/>
  <Override ContentType="application/vnd.openxmlformats-officedocument.spreadsheetml.worksheet+xml" PartName="/xl/worksheets/sheet27947.xml"/>
  <Override ContentType="application/vnd.openxmlformats-officedocument.spreadsheetml.worksheet+xml" PartName="/xl/worksheets/sheet27948.xml"/>
  <Override ContentType="application/vnd.openxmlformats-officedocument.spreadsheetml.worksheet+xml" PartName="/xl/worksheets/sheet27949.xml"/>
  <Override ContentType="application/vnd.openxmlformats-officedocument.spreadsheetml.worksheet+xml" PartName="/xl/worksheets/sheet27950.xml"/>
  <Override ContentType="application/vnd.openxmlformats-officedocument.spreadsheetml.worksheet+xml" PartName="/xl/worksheets/sheet27951.xml"/>
  <Override ContentType="application/vnd.openxmlformats-officedocument.spreadsheetml.worksheet+xml" PartName="/xl/worksheets/sheet27952.xml"/>
  <Override ContentType="application/vnd.openxmlformats-officedocument.spreadsheetml.worksheet+xml" PartName="/xl/worksheets/sheet27953.xml"/>
  <Override ContentType="application/vnd.openxmlformats-officedocument.spreadsheetml.worksheet+xml" PartName="/xl/worksheets/sheet27954.xml"/>
  <Override ContentType="application/vnd.openxmlformats-officedocument.spreadsheetml.worksheet+xml" PartName="/xl/worksheets/sheet27955.xml"/>
  <Override ContentType="application/vnd.openxmlformats-officedocument.spreadsheetml.worksheet+xml" PartName="/xl/worksheets/sheet27956.xml"/>
  <Override ContentType="application/vnd.openxmlformats-officedocument.spreadsheetml.worksheet+xml" PartName="/xl/worksheets/sheet27957.xml"/>
  <Override ContentType="application/vnd.openxmlformats-officedocument.spreadsheetml.worksheet+xml" PartName="/xl/worksheets/sheet27958.xml"/>
  <Override ContentType="application/vnd.openxmlformats-officedocument.spreadsheetml.worksheet+xml" PartName="/xl/worksheets/sheet27959.xml"/>
  <Override ContentType="application/vnd.openxmlformats-officedocument.spreadsheetml.worksheet+xml" PartName="/xl/worksheets/sheet27960.xml"/>
  <Override ContentType="application/vnd.openxmlformats-officedocument.spreadsheetml.worksheet+xml" PartName="/xl/worksheets/sheet27961.xml"/>
  <Override ContentType="application/vnd.openxmlformats-officedocument.spreadsheetml.worksheet+xml" PartName="/xl/worksheets/sheet27962.xml"/>
  <Override ContentType="application/vnd.openxmlformats-officedocument.spreadsheetml.worksheet+xml" PartName="/xl/worksheets/sheet27963.xml"/>
  <Override ContentType="application/vnd.openxmlformats-officedocument.spreadsheetml.worksheet+xml" PartName="/xl/worksheets/sheet27964.xml"/>
  <Override ContentType="application/vnd.openxmlformats-officedocument.spreadsheetml.worksheet+xml" PartName="/xl/worksheets/sheet27965.xml"/>
  <Override ContentType="application/vnd.openxmlformats-officedocument.spreadsheetml.worksheet+xml" PartName="/xl/worksheets/sheet27966.xml"/>
  <Override ContentType="application/vnd.openxmlformats-officedocument.spreadsheetml.worksheet+xml" PartName="/xl/worksheets/sheet27967.xml"/>
  <Override ContentType="application/vnd.openxmlformats-officedocument.spreadsheetml.worksheet+xml" PartName="/xl/worksheets/sheet27968.xml"/>
  <Override ContentType="application/vnd.openxmlformats-officedocument.spreadsheetml.worksheet+xml" PartName="/xl/worksheets/sheet27969.xml"/>
  <Override ContentType="application/vnd.openxmlformats-officedocument.spreadsheetml.worksheet+xml" PartName="/xl/worksheets/sheet27970.xml"/>
  <Override ContentType="application/vnd.openxmlformats-officedocument.spreadsheetml.worksheet+xml" PartName="/xl/worksheets/sheet27971.xml"/>
  <Override ContentType="application/vnd.openxmlformats-officedocument.spreadsheetml.worksheet+xml" PartName="/xl/worksheets/sheet27972.xml"/>
  <Override ContentType="application/vnd.openxmlformats-officedocument.spreadsheetml.worksheet+xml" PartName="/xl/worksheets/sheet27973.xml"/>
  <Override ContentType="application/vnd.openxmlformats-officedocument.spreadsheetml.worksheet+xml" PartName="/xl/worksheets/sheet27974.xml"/>
  <Override ContentType="application/vnd.openxmlformats-officedocument.spreadsheetml.worksheet+xml" PartName="/xl/worksheets/sheet27975.xml"/>
  <Override ContentType="application/vnd.openxmlformats-officedocument.spreadsheetml.worksheet+xml" PartName="/xl/worksheets/sheet27976.xml"/>
  <Override ContentType="application/vnd.openxmlformats-officedocument.spreadsheetml.worksheet+xml" PartName="/xl/worksheets/sheet27977.xml"/>
  <Override ContentType="application/vnd.openxmlformats-officedocument.spreadsheetml.worksheet+xml" PartName="/xl/worksheets/sheet27978.xml"/>
  <Override ContentType="application/vnd.openxmlformats-officedocument.spreadsheetml.worksheet+xml" PartName="/xl/worksheets/sheet27979.xml"/>
  <Override ContentType="application/vnd.openxmlformats-officedocument.spreadsheetml.worksheet+xml" PartName="/xl/worksheets/sheet27980.xml"/>
  <Override ContentType="application/vnd.openxmlformats-officedocument.spreadsheetml.worksheet+xml" PartName="/xl/worksheets/sheet27981.xml"/>
  <Override ContentType="application/vnd.openxmlformats-officedocument.spreadsheetml.worksheet+xml" PartName="/xl/worksheets/sheet27982.xml"/>
  <Override ContentType="application/vnd.openxmlformats-officedocument.spreadsheetml.worksheet+xml" PartName="/xl/worksheets/sheet27983.xml"/>
  <Override ContentType="application/vnd.openxmlformats-officedocument.spreadsheetml.worksheet+xml" PartName="/xl/worksheets/sheet27984.xml"/>
  <Override ContentType="application/vnd.openxmlformats-officedocument.spreadsheetml.worksheet+xml" PartName="/xl/worksheets/sheet27985.xml"/>
  <Override ContentType="application/vnd.openxmlformats-officedocument.spreadsheetml.worksheet+xml" PartName="/xl/worksheets/sheet27986.xml"/>
  <Override ContentType="application/vnd.openxmlformats-officedocument.spreadsheetml.worksheet+xml" PartName="/xl/worksheets/sheet27987.xml"/>
  <Override ContentType="application/vnd.openxmlformats-officedocument.spreadsheetml.worksheet+xml" PartName="/xl/worksheets/sheet27988.xml"/>
  <Override ContentType="application/vnd.openxmlformats-officedocument.spreadsheetml.worksheet+xml" PartName="/xl/worksheets/sheet27989.xml"/>
  <Override ContentType="application/vnd.openxmlformats-officedocument.spreadsheetml.worksheet+xml" PartName="/xl/worksheets/sheet27990.xml"/>
  <Override ContentType="application/vnd.openxmlformats-officedocument.spreadsheetml.worksheet+xml" PartName="/xl/worksheets/sheet27991.xml"/>
  <Override ContentType="application/vnd.openxmlformats-officedocument.spreadsheetml.worksheet+xml" PartName="/xl/worksheets/sheet27992.xml"/>
  <Override ContentType="application/vnd.openxmlformats-officedocument.spreadsheetml.worksheet+xml" PartName="/xl/worksheets/sheet27993.xml"/>
  <Override ContentType="application/vnd.openxmlformats-officedocument.spreadsheetml.worksheet+xml" PartName="/xl/worksheets/sheet27994.xml"/>
  <Override ContentType="application/vnd.openxmlformats-officedocument.spreadsheetml.worksheet+xml" PartName="/xl/worksheets/sheet27995.xml"/>
  <Override ContentType="application/vnd.openxmlformats-officedocument.spreadsheetml.worksheet+xml" PartName="/xl/worksheets/sheet27996.xml"/>
  <Override ContentType="application/vnd.openxmlformats-officedocument.spreadsheetml.worksheet+xml" PartName="/xl/worksheets/sheet27997.xml"/>
  <Override ContentType="application/vnd.openxmlformats-officedocument.spreadsheetml.worksheet+xml" PartName="/xl/worksheets/sheet27998.xml"/>
  <Override ContentType="application/vnd.openxmlformats-officedocument.spreadsheetml.worksheet+xml" PartName="/xl/worksheets/sheet27999.xml"/>
  <Override ContentType="application/vnd.openxmlformats-officedocument.spreadsheetml.worksheet+xml" PartName="/xl/worksheets/sheet28000.xml"/>
  <Override ContentType="application/vnd.openxmlformats-officedocument.spreadsheetml.worksheet+xml" PartName="/xl/worksheets/sheet28001.xml"/>
  <Override ContentType="application/vnd.openxmlformats-officedocument.spreadsheetml.worksheet+xml" PartName="/xl/worksheets/sheet28002.xml"/>
  <Override ContentType="application/vnd.openxmlformats-officedocument.spreadsheetml.worksheet+xml" PartName="/xl/worksheets/sheet28003.xml"/>
  <Override ContentType="application/vnd.openxmlformats-officedocument.spreadsheetml.worksheet+xml" PartName="/xl/worksheets/sheet28004.xml"/>
  <Override ContentType="application/vnd.openxmlformats-officedocument.spreadsheetml.worksheet+xml" PartName="/xl/worksheets/sheet28005.xml"/>
  <Override ContentType="application/vnd.openxmlformats-officedocument.spreadsheetml.worksheet+xml" PartName="/xl/worksheets/sheet28006.xml"/>
  <Override ContentType="application/vnd.openxmlformats-officedocument.spreadsheetml.worksheet+xml" PartName="/xl/worksheets/sheet28007.xml"/>
  <Override ContentType="application/vnd.openxmlformats-officedocument.spreadsheetml.worksheet+xml" PartName="/xl/worksheets/sheet28008.xml"/>
  <Override ContentType="application/vnd.openxmlformats-officedocument.spreadsheetml.worksheet+xml" PartName="/xl/worksheets/sheet28009.xml"/>
  <Override ContentType="application/vnd.openxmlformats-officedocument.spreadsheetml.worksheet+xml" PartName="/xl/worksheets/sheet28010.xml"/>
  <Override ContentType="application/vnd.openxmlformats-officedocument.spreadsheetml.worksheet+xml" PartName="/xl/worksheets/sheet28011.xml"/>
  <Override ContentType="application/vnd.openxmlformats-officedocument.spreadsheetml.worksheet+xml" PartName="/xl/worksheets/sheet28012.xml"/>
  <Override ContentType="application/vnd.openxmlformats-officedocument.spreadsheetml.worksheet+xml" PartName="/xl/worksheets/sheet28013.xml"/>
  <Override ContentType="application/vnd.openxmlformats-officedocument.spreadsheetml.worksheet+xml" PartName="/xl/worksheets/sheet28014.xml"/>
  <Override ContentType="application/vnd.openxmlformats-officedocument.spreadsheetml.worksheet+xml" PartName="/xl/worksheets/sheet28015.xml"/>
  <Override ContentType="application/vnd.openxmlformats-officedocument.spreadsheetml.worksheet+xml" PartName="/xl/worksheets/sheet28016.xml"/>
  <Override ContentType="application/vnd.openxmlformats-officedocument.spreadsheetml.worksheet+xml" PartName="/xl/worksheets/sheet28017.xml"/>
  <Override ContentType="application/vnd.openxmlformats-officedocument.spreadsheetml.worksheet+xml" PartName="/xl/worksheets/sheet28018.xml"/>
  <Override ContentType="application/vnd.openxmlformats-officedocument.spreadsheetml.worksheet+xml" PartName="/xl/worksheets/sheet28019.xml"/>
  <Override ContentType="application/vnd.openxmlformats-officedocument.spreadsheetml.worksheet+xml" PartName="/xl/worksheets/sheet28020.xml"/>
  <Override ContentType="application/vnd.openxmlformats-officedocument.spreadsheetml.worksheet+xml" PartName="/xl/worksheets/sheet28021.xml"/>
  <Override ContentType="application/vnd.openxmlformats-officedocument.spreadsheetml.worksheet+xml" PartName="/xl/worksheets/sheet28022.xml"/>
  <Override ContentType="application/vnd.openxmlformats-officedocument.spreadsheetml.worksheet+xml" PartName="/xl/worksheets/sheet28023.xml"/>
  <Override ContentType="application/vnd.openxmlformats-officedocument.spreadsheetml.worksheet+xml" PartName="/xl/worksheets/sheet28024.xml"/>
  <Override ContentType="application/vnd.openxmlformats-officedocument.spreadsheetml.worksheet+xml" PartName="/xl/worksheets/sheet28025.xml"/>
  <Override ContentType="application/vnd.openxmlformats-officedocument.spreadsheetml.worksheet+xml" PartName="/xl/worksheets/sheet28026.xml"/>
  <Override ContentType="application/vnd.openxmlformats-officedocument.spreadsheetml.worksheet+xml" PartName="/xl/worksheets/sheet28027.xml"/>
  <Override ContentType="application/vnd.openxmlformats-officedocument.spreadsheetml.worksheet+xml" PartName="/xl/worksheets/sheet28028.xml"/>
  <Override ContentType="application/vnd.openxmlformats-officedocument.spreadsheetml.worksheet+xml" PartName="/xl/worksheets/sheet28029.xml"/>
  <Override ContentType="application/vnd.openxmlformats-officedocument.spreadsheetml.worksheet+xml" PartName="/xl/worksheets/sheet28030.xml"/>
  <Override ContentType="application/vnd.openxmlformats-officedocument.spreadsheetml.worksheet+xml" PartName="/xl/worksheets/sheet28031.xml"/>
  <Override ContentType="application/vnd.openxmlformats-officedocument.spreadsheetml.worksheet+xml" PartName="/xl/worksheets/sheet28032.xml"/>
  <Override ContentType="application/vnd.openxmlformats-officedocument.spreadsheetml.worksheet+xml" PartName="/xl/worksheets/sheet28033.xml"/>
  <Override ContentType="application/vnd.openxmlformats-officedocument.spreadsheetml.worksheet+xml" PartName="/xl/worksheets/sheet28034.xml"/>
  <Override ContentType="application/vnd.openxmlformats-officedocument.spreadsheetml.worksheet+xml" PartName="/xl/worksheets/sheet28035.xml"/>
  <Override ContentType="application/vnd.openxmlformats-officedocument.spreadsheetml.worksheet+xml" PartName="/xl/worksheets/sheet28036.xml"/>
  <Override ContentType="application/vnd.openxmlformats-officedocument.spreadsheetml.worksheet+xml" PartName="/xl/worksheets/sheet28037.xml"/>
  <Override ContentType="application/vnd.openxmlformats-officedocument.spreadsheetml.worksheet+xml" PartName="/xl/worksheets/sheet28038.xml"/>
  <Override ContentType="application/vnd.openxmlformats-officedocument.spreadsheetml.worksheet+xml" PartName="/xl/worksheets/sheet28039.xml"/>
  <Override ContentType="application/vnd.openxmlformats-officedocument.spreadsheetml.worksheet+xml" PartName="/xl/worksheets/sheet28040.xml"/>
  <Override ContentType="application/vnd.openxmlformats-officedocument.spreadsheetml.worksheet+xml" PartName="/xl/worksheets/sheet28041.xml"/>
  <Override ContentType="application/vnd.openxmlformats-officedocument.spreadsheetml.worksheet+xml" PartName="/xl/worksheets/sheet28042.xml"/>
  <Override ContentType="application/vnd.openxmlformats-officedocument.spreadsheetml.worksheet+xml" PartName="/xl/worksheets/sheet28043.xml"/>
  <Override ContentType="application/vnd.openxmlformats-officedocument.spreadsheetml.worksheet+xml" PartName="/xl/worksheets/sheet28044.xml"/>
  <Override ContentType="application/vnd.openxmlformats-officedocument.spreadsheetml.worksheet+xml" PartName="/xl/worksheets/sheet28045.xml"/>
  <Override ContentType="application/vnd.openxmlformats-officedocument.spreadsheetml.worksheet+xml" PartName="/xl/worksheets/sheet28046.xml"/>
  <Override ContentType="application/vnd.openxmlformats-officedocument.spreadsheetml.worksheet+xml" PartName="/xl/worksheets/sheet28047.xml"/>
  <Override ContentType="application/vnd.openxmlformats-officedocument.spreadsheetml.worksheet+xml" PartName="/xl/worksheets/sheet28048.xml"/>
  <Override ContentType="application/vnd.openxmlformats-officedocument.spreadsheetml.worksheet+xml" PartName="/xl/worksheets/sheet28049.xml"/>
  <Override ContentType="application/vnd.openxmlformats-officedocument.spreadsheetml.worksheet+xml" PartName="/xl/worksheets/sheet28050.xml"/>
  <Override ContentType="application/vnd.openxmlformats-officedocument.spreadsheetml.worksheet+xml" PartName="/xl/worksheets/sheet28051.xml"/>
  <Override ContentType="application/vnd.openxmlformats-officedocument.spreadsheetml.worksheet+xml" PartName="/xl/worksheets/sheet28052.xml"/>
  <Override ContentType="application/vnd.openxmlformats-officedocument.spreadsheetml.worksheet+xml" PartName="/xl/worksheets/sheet28053.xml"/>
  <Override ContentType="application/vnd.openxmlformats-officedocument.spreadsheetml.worksheet+xml" PartName="/xl/worksheets/sheet28054.xml"/>
  <Override ContentType="application/vnd.openxmlformats-officedocument.spreadsheetml.worksheet+xml" PartName="/xl/worksheets/sheet28055.xml"/>
  <Override ContentType="application/vnd.openxmlformats-officedocument.spreadsheetml.worksheet+xml" PartName="/xl/worksheets/sheet28056.xml"/>
  <Override ContentType="application/vnd.openxmlformats-officedocument.spreadsheetml.worksheet+xml" PartName="/xl/worksheets/sheet28057.xml"/>
  <Override ContentType="application/vnd.openxmlformats-officedocument.spreadsheetml.worksheet+xml" PartName="/xl/worksheets/sheet28058.xml"/>
  <Override ContentType="application/vnd.openxmlformats-officedocument.spreadsheetml.worksheet+xml" PartName="/xl/worksheets/sheet28059.xml"/>
  <Override ContentType="application/vnd.openxmlformats-officedocument.spreadsheetml.worksheet+xml" PartName="/xl/worksheets/sheet28060.xml"/>
  <Override ContentType="application/vnd.openxmlformats-officedocument.spreadsheetml.worksheet+xml" PartName="/xl/worksheets/sheet28061.xml"/>
  <Override ContentType="application/vnd.openxmlformats-officedocument.spreadsheetml.worksheet+xml" PartName="/xl/worksheets/sheet28062.xml"/>
  <Override ContentType="application/vnd.openxmlformats-officedocument.spreadsheetml.worksheet+xml" PartName="/xl/worksheets/sheet28063.xml"/>
  <Override ContentType="application/vnd.openxmlformats-officedocument.spreadsheetml.worksheet+xml" PartName="/xl/worksheets/sheet28064.xml"/>
  <Override ContentType="application/vnd.openxmlformats-officedocument.spreadsheetml.worksheet+xml" PartName="/xl/worksheets/sheet28065.xml"/>
  <Override ContentType="application/vnd.openxmlformats-officedocument.spreadsheetml.worksheet+xml" PartName="/xl/worksheets/sheet28066.xml"/>
  <Override ContentType="application/vnd.openxmlformats-officedocument.spreadsheetml.worksheet+xml" PartName="/xl/worksheets/sheet28067.xml"/>
  <Override ContentType="application/vnd.openxmlformats-officedocument.spreadsheetml.worksheet+xml" PartName="/xl/worksheets/sheet28068.xml"/>
  <Override ContentType="application/vnd.openxmlformats-officedocument.spreadsheetml.worksheet+xml" PartName="/xl/worksheets/sheet28069.xml"/>
  <Override ContentType="application/vnd.openxmlformats-officedocument.spreadsheetml.worksheet+xml" PartName="/xl/worksheets/sheet28070.xml"/>
  <Override ContentType="application/vnd.openxmlformats-officedocument.spreadsheetml.worksheet+xml" PartName="/xl/worksheets/sheet28071.xml"/>
  <Override ContentType="application/vnd.openxmlformats-officedocument.spreadsheetml.worksheet+xml" PartName="/xl/worksheets/sheet28072.xml"/>
  <Override ContentType="application/vnd.openxmlformats-officedocument.spreadsheetml.worksheet+xml" PartName="/xl/worksheets/sheet28073.xml"/>
  <Override ContentType="application/vnd.openxmlformats-officedocument.spreadsheetml.worksheet+xml" PartName="/xl/worksheets/sheet28074.xml"/>
  <Override ContentType="application/vnd.openxmlformats-officedocument.spreadsheetml.worksheet+xml" PartName="/xl/worksheets/sheet28075.xml"/>
  <Override ContentType="application/vnd.openxmlformats-officedocument.spreadsheetml.worksheet+xml" PartName="/xl/worksheets/sheet28076.xml"/>
  <Override ContentType="application/vnd.openxmlformats-officedocument.spreadsheetml.worksheet+xml" PartName="/xl/worksheets/sheet28077.xml"/>
  <Override ContentType="application/vnd.openxmlformats-officedocument.spreadsheetml.worksheet+xml" PartName="/xl/worksheets/sheet28078.xml"/>
  <Override ContentType="application/vnd.openxmlformats-officedocument.spreadsheetml.worksheet+xml" PartName="/xl/worksheets/sheet28079.xml"/>
  <Override ContentType="application/vnd.openxmlformats-officedocument.spreadsheetml.worksheet+xml" PartName="/xl/worksheets/sheet28080.xml"/>
  <Override ContentType="application/vnd.openxmlformats-officedocument.spreadsheetml.worksheet+xml" PartName="/xl/worksheets/sheet28081.xml"/>
  <Override ContentType="application/vnd.openxmlformats-officedocument.spreadsheetml.worksheet+xml" PartName="/xl/worksheets/sheet28082.xml"/>
  <Override ContentType="application/vnd.openxmlformats-officedocument.spreadsheetml.worksheet+xml" PartName="/xl/worksheets/sheet28083.xml"/>
  <Override ContentType="application/vnd.openxmlformats-officedocument.spreadsheetml.worksheet+xml" PartName="/xl/worksheets/sheet28084.xml"/>
  <Override ContentType="application/vnd.openxmlformats-officedocument.spreadsheetml.worksheet+xml" PartName="/xl/worksheets/sheet28085.xml"/>
  <Override ContentType="application/vnd.openxmlformats-officedocument.spreadsheetml.worksheet+xml" PartName="/xl/worksheets/sheet28086.xml"/>
  <Override ContentType="application/vnd.openxmlformats-officedocument.spreadsheetml.worksheet+xml" PartName="/xl/worksheets/sheet28087.xml"/>
  <Override ContentType="application/vnd.openxmlformats-officedocument.spreadsheetml.worksheet+xml" PartName="/xl/worksheets/sheet28088.xml"/>
  <Override ContentType="application/vnd.openxmlformats-officedocument.spreadsheetml.worksheet+xml" PartName="/xl/worksheets/sheet28089.xml"/>
  <Override ContentType="application/vnd.openxmlformats-officedocument.spreadsheetml.worksheet+xml" PartName="/xl/worksheets/sheet28090.xml"/>
  <Override ContentType="application/vnd.openxmlformats-officedocument.spreadsheetml.worksheet+xml" PartName="/xl/worksheets/sheet28091.xml"/>
  <Override ContentType="application/vnd.openxmlformats-officedocument.spreadsheetml.worksheet+xml" PartName="/xl/worksheets/sheet28092.xml"/>
  <Override ContentType="application/vnd.openxmlformats-officedocument.spreadsheetml.worksheet+xml" PartName="/xl/worksheets/sheet28093.xml"/>
  <Override ContentType="application/vnd.openxmlformats-officedocument.spreadsheetml.worksheet+xml" PartName="/xl/worksheets/sheet28094.xml"/>
  <Override ContentType="application/vnd.openxmlformats-officedocument.spreadsheetml.worksheet+xml" PartName="/xl/worksheets/sheet28095.xml"/>
  <Override ContentType="application/vnd.openxmlformats-officedocument.spreadsheetml.worksheet+xml" PartName="/xl/worksheets/sheet28096.xml"/>
  <Override ContentType="application/vnd.openxmlformats-officedocument.spreadsheetml.worksheet+xml" PartName="/xl/worksheets/sheet28097.xml"/>
  <Override ContentType="application/vnd.openxmlformats-officedocument.spreadsheetml.worksheet+xml" PartName="/xl/worksheets/sheet28098.xml"/>
  <Override ContentType="application/vnd.openxmlformats-officedocument.spreadsheetml.worksheet+xml" PartName="/xl/worksheets/sheet28099.xml"/>
  <Override ContentType="application/vnd.openxmlformats-officedocument.spreadsheetml.worksheet+xml" PartName="/xl/worksheets/sheet28100.xml"/>
  <Override ContentType="application/vnd.openxmlformats-officedocument.spreadsheetml.worksheet+xml" PartName="/xl/worksheets/sheet28101.xml"/>
  <Override ContentType="application/vnd.openxmlformats-officedocument.spreadsheetml.worksheet+xml" PartName="/xl/worksheets/sheet28102.xml"/>
  <Override ContentType="application/vnd.openxmlformats-officedocument.spreadsheetml.worksheet+xml" PartName="/xl/worksheets/sheet28103.xml"/>
  <Override ContentType="application/vnd.openxmlformats-officedocument.spreadsheetml.worksheet+xml" PartName="/xl/worksheets/sheet28104.xml"/>
  <Override ContentType="application/vnd.openxmlformats-officedocument.spreadsheetml.worksheet+xml" PartName="/xl/worksheets/sheet28105.xml"/>
  <Override ContentType="application/vnd.openxmlformats-officedocument.spreadsheetml.worksheet+xml" PartName="/xl/worksheets/sheet28106.xml"/>
  <Override ContentType="application/vnd.openxmlformats-officedocument.spreadsheetml.worksheet+xml" PartName="/xl/worksheets/sheet28107.xml"/>
  <Override ContentType="application/vnd.openxmlformats-officedocument.spreadsheetml.worksheet+xml" PartName="/xl/worksheets/sheet28108.xml"/>
  <Override ContentType="application/vnd.openxmlformats-officedocument.spreadsheetml.worksheet+xml" PartName="/xl/worksheets/sheet28109.xml"/>
  <Override ContentType="application/vnd.openxmlformats-officedocument.spreadsheetml.worksheet+xml" PartName="/xl/worksheets/sheet28110.xml"/>
  <Override ContentType="application/vnd.openxmlformats-officedocument.spreadsheetml.worksheet+xml" PartName="/xl/worksheets/sheet28111.xml"/>
  <Override ContentType="application/vnd.openxmlformats-officedocument.spreadsheetml.worksheet+xml" PartName="/xl/worksheets/sheet28112.xml"/>
  <Override ContentType="application/vnd.openxmlformats-officedocument.spreadsheetml.worksheet+xml" PartName="/xl/worksheets/sheet28113.xml"/>
  <Override ContentType="application/vnd.openxmlformats-officedocument.spreadsheetml.worksheet+xml" PartName="/xl/worksheets/sheet28114.xml"/>
  <Override ContentType="application/vnd.openxmlformats-officedocument.spreadsheetml.worksheet+xml" PartName="/xl/worksheets/sheet28115.xml"/>
  <Override ContentType="application/vnd.openxmlformats-officedocument.spreadsheetml.worksheet+xml" PartName="/xl/worksheets/sheet28116.xml"/>
  <Override ContentType="application/vnd.openxmlformats-officedocument.spreadsheetml.worksheet+xml" PartName="/xl/worksheets/sheet28117.xml"/>
  <Override ContentType="application/vnd.openxmlformats-officedocument.spreadsheetml.worksheet+xml" PartName="/xl/worksheets/sheet28118.xml"/>
  <Override ContentType="application/vnd.openxmlformats-officedocument.spreadsheetml.worksheet+xml" PartName="/xl/worksheets/sheet28119.xml"/>
  <Override ContentType="application/vnd.openxmlformats-officedocument.spreadsheetml.worksheet+xml" PartName="/xl/worksheets/sheet28120.xml"/>
  <Override ContentType="application/vnd.openxmlformats-officedocument.spreadsheetml.worksheet+xml" PartName="/xl/worksheets/sheet28121.xml"/>
  <Override ContentType="application/vnd.openxmlformats-officedocument.spreadsheetml.worksheet+xml" PartName="/xl/worksheets/sheet28122.xml"/>
  <Override ContentType="application/vnd.openxmlformats-officedocument.spreadsheetml.worksheet+xml" PartName="/xl/worksheets/sheet28123.xml"/>
  <Override ContentType="application/vnd.openxmlformats-officedocument.spreadsheetml.worksheet+xml" PartName="/xl/worksheets/sheet28124.xml"/>
  <Override ContentType="application/vnd.openxmlformats-officedocument.spreadsheetml.worksheet+xml" PartName="/xl/worksheets/sheet28125.xml"/>
  <Override ContentType="application/vnd.openxmlformats-officedocument.spreadsheetml.worksheet+xml" PartName="/xl/worksheets/sheet28126.xml"/>
  <Override ContentType="application/vnd.openxmlformats-officedocument.spreadsheetml.worksheet+xml" PartName="/xl/worksheets/sheet28127.xml"/>
  <Override ContentType="application/vnd.openxmlformats-officedocument.spreadsheetml.worksheet+xml" PartName="/xl/worksheets/sheet28128.xml"/>
  <Override ContentType="application/vnd.openxmlformats-officedocument.spreadsheetml.worksheet+xml" PartName="/xl/worksheets/sheet28129.xml"/>
  <Override ContentType="application/vnd.openxmlformats-officedocument.spreadsheetml.worksheet+xml" PartName="/xl/worksheets/sheet28130.xml"/>
  <Override ContentType="application/vnd.openxmlformats-officedocument.spreadsheetml.worksheet+xml" PartName="/xl/worksheets/sheet28131.xml"/>
  <Override ContentType="application/vnd.openxmlformats-officedocument.spreadsheetml.worksheet+xml" PartName="/xl/worksheets/sheet28132.xml"/>
  <Override ContentType="application/vnd.openxmlformats-officedocument.spreadsheetml.worksheet+xml" PartName="/xl/worksheets/sheet28133.xml"/>
  <Override ContentType="application/vnd.openxmlformats-officedocument.spreadsheetml.worksheet+xml" PartName="/xl/worksheets/sheet28134.xml"/>
  <Override ContentType="application/vnd.openxmlformats-officedocument.spreadsheetml.worksheet+xml" PartName="/xl/worksheets/sheet28135.xml"/>
  <Override ContentType="application/vnd.openxmlformats-officedocument.spreadsheetml.worksheet+xml" PartName="/xl/worksheets/sheet28136.xml"/>
  <Override ContentType="application/vnd.openxmlformats-officedocument.spreadsheetml.worksheet+xml" PartName="/xl/worksheets/sheet28137.xml"/>
  <Override ContentType="application/vnd.openxmlformats-officedocument.spreadsheetml.worksheet+xml" PartName="/xl/worksheets/sheet28138.xml"/>
  <Override ContentType="application/vnd.openxmlformats-officedocument.spreadsheetml.worksheet+xml" PartName="/xl/worksheets/sheet28139.xml"/>
  <Override ContentType="application/vnd.openxmlformats-officedocument.spreadsheetml.worksheet+xml" PartName="/xl/worksheets/sheet28140.xml"/>
  <Override ContentType="application/vnd.openxmlformats-officedocument.spreadsheetml.worksheet+xml" PartName="/xl/worksheets/sheet28141.xml"/>
  <Override ContentType="application/vnd.openxmlformats-officedocument.spreadsheetml.worksheet+xml" PartName="/xl/worksheets/sheet28142.xml"/>
  <Override ContentType="application/vnd.openxmlformats-officedocument.spreadsheetml.worksheet+xml" PartName="/xl/worksheets/sheet28143.xml"/>
  <Override ContentType="application/vnd.openxmlformats-officedocument.spreadsheetml.worksheet+xml" PartName="/xl/worksheets/sheet28144.xml"/>
  <Override ContentType="application/vnd.openxmlformats-officedocument.spreadsheetml.worksheet+xml" PartName="/xl/worksheets/sheet28145.xml"/>
  <Override ContentType="application/vnd.openxmlformats-officedocument.spreadsheetml.worksheet+xml" PartName="/xl/worksheets/sheet28146.xml"/>
  <Override ContentType="application/vnd.openxmlformats-officedocument.spreadsheetml.worksheet+xml" PartName="/xl/worksheets/sheet28147.xml"/>
  <Override ContentType="application/vnd.openxmlformats-officedocument.spreadsheetml.worksheet+xml" PartName="/xl/worksheets/sheet28148.xml"/>
  <Override ContentType="application/vnd.openxmlformats-officedocument.spreadsheetml.worksheet+xml" PartName="/xl/worksheets/sheet28149.xml"/>
  <Override ContentType="application/vnd.openxmlformats-officedocument.spreadsheetml.worksheet+xml" PartName="/xl/worksheets/sheet28150.xml"/>
  <Override ContentType="application/vnd.openxmlformats-officedocument.spreadsheetml.worksheet+xml" PartName="/xl/worksheets/sheet28151.xml"/>
  <Override ContentType="application/vnd.openxmlformats-officedocument.spreadsheetml.worksheet+xml" PartName="/xl/worksheets/sheet28152.xml"/>
  <Override ContentType="application/vnd.openxmlformats-officedocument.spreadsheetml.worksheet+xml" PartName="/xl/worksheets/sheet28153.xml"/>
  <Override ContentType="application/vnd.openxmlformats-officedocument.spreadsheetml.worksheet+xml" PartName="/xl/worksheets/sheet28154.xml"/>
  <Override ContentType="application/vnd.openxmlformats-officedocument.spreadsheetml.worksheet+xml" PartName="/xl/worksheets/sheet28155.xml"/>
  <Override ContentType="application/vnd.openxmlformats-officedocument.spreadsheetml.worksheet+xml" PartName="/xl/worksheets/sheet28156.xml"/>
  <Override ContentType="application/vnd.openxmlformats-officedocument.spreadsheetml.worksheet+xml" PartName="/xl/worksheets/sheet28157.xml"/>
  <Override ContentType="application/vnd.openxmlformats-officedocument.spreadsheetml.worksheet+xml" PartName="/xl/worksheets/sheet28158.xml"/>
  <Override ContentType="application/vnd.openxmlformats-officedocument.spreadsheetml.worksheet+xml" PartName="/xl/worksheets/sheet28159.xml"/>
  <Override ContentType="application/vnd.openxmlformats-officedocument.spreadsheetml.worksheet+xml" PartName="/xl/worksheets/sheet28160.xml"/>
  <Override ContentType="application/vnd.openxmlformats-officedocument.spreadsheetml.worksheet+xml" PartName="/xl/worksheets/sheet28161.xml"/>
  <Override ContentType="application/vnd.openxmlformats-officedocument.spreadsheetml.worksheet+xml" PartName="/xl/worksheets/sheet28162.xml"/>
  <Override ContentType="application/vnd.openxmlformats-officedocument.spreadsheetml.worksheet+xml" PartName="/xl/worksheets/sheet28163.xml"/>
  <Override ContentType="application/vnd.openxmlformats-officedocument.spreadsheetml.worksheet+xml" PartName="/xl/worksheets/sheet28164.xml"/>
  <Override ContentType="application/vnd.openxmlformats-officedocument.spreadsheetml.worksheet+xml" PartName="/xl/worksheets/sheet28165.xml"/>
  <Override ContentType="application/vnd.openxmlformats-officedocument.spreadsheetml.worksheet+xml" PartName="/xl/worksheets/sheet28166.xml"/>
  <Override ContentType="application/vnd.openxmlformats-officedocument.spreadsheetml.worksheet+xml" PartName="/xl/worksheets/sheet28167.xml"/>
  <Override ContentType="application/vnd.openxmlformats-officedocument.spreadsheetml.worksheet+xml" PartName="/xl/worksheets/sheet28168.xml"/>
  <Override ContentType="application/vnd.openxmlformats-officedocument.spreadsheetml.worksheet+xml" PartName="/xl/worksheets/sheet28169.xml"/>
  <Override ContentType="application/vnd.openxmlformats-officedocument.spreadsheetml.worksheet+xml" PartName="/xl/worksheets/sheet28170.xml"/>
  <Override ContentType="application/vnd.openxmlformats-officedocument.spreadsheetml.worksheet+xml" PartName="/xl/worksheets/sheet28171.xml"/>
  <Override ContentType="application/vnd.openxmlformats-officedocument.spreadsheetml.worksheet+xml" PartName="/xl/worksheets/sheet28172.xml"/>
  <Override ContentType="application/vnd.openxmlformats-officedocument.spreadsheetml.worksheet+xml" PartName="/xl/worksheets/sheet28173.xml"/>
  <Override ContentType="application/vnd.openxmlformats-officedocument.spreadsheetml.worksheet+xml" PartName="/xl/worksheets/sheet28174.xml"/>
  <Override ContentType="application/vnd.openxmlformats-officedocument.spreadsheetml.worksheet+xml" PartName="/xl/worksheets/sheet28175.xml"/>
  <Override ContentType="application/vnd.openxmlformats-officedocument.spreadsheetml.worksheet+xml" PartName="/xl/worksheets/sheet28176.xml"/>
  <Override ContentType="application/vnd.openxmlformats-officedocument.spreadsheetml.worksheet+xml" PartName="/xl/worksheets/sheet28177.xml"/>
  <Override ContentType="application/vnd.openxmlformats-officedocument.spreadsheetml.worksheet+xml" PartName="/xl/worksheets/sheet28178.xml"/>
  <Override ContentType="application/vnd.openxmlformats-officedocument.spreadsheetml.worksheet+xml" PartName="/xl/worksheets/sheet28179.xml"/>
  <Override ContentType="application/vnd.openxmlformats-officedocument.spreadsheetml.worksheet+xml" PartName="/xl/worksheets/sheet28180.xml"/>
  <Override ContentType="application/vnd.openxmlformats-officedocument.spreadsheetml.worksheet+xml" PartName="/xl/worksheets/sheet28181.xml"/>
  <Override ContentType="application/vnd.openxmlformats-officedocument.spreadsheetml.worksheet+xml" PartName="/xl/worksheets/sheet28182.xml"/>
  <Override ContentType="application/vnd.openxmlformats-officedocument.spreadsheetml.worksheet+xml" PartName="/xl/worksheets/sheet28183.xml"/>
  <Override ContentType="application/vnd.openxmlformats-officedocument.spreadsheetml.worksheet+xml" PartName="/xl/worksheets/sheet28184.xml"/>
  <Override ContentType="application/vnd.openxmlformats-officedocument.spreadsheetml.worksheet+xml" PartName="/xl/worksheets/sheet28185.xml"/>
  <Override ContentType="application/vnd.openxmlformats-officedocument.spreadsheetml.worksheet+xml" PartName="/xl/worksheets/sheet28186.xml"/>
  <Override ContentType="application/vnd.openxmlformats-officedocument.spreadsheetml.worksheet+xml" PartName="/xl/worksheets/sheet28187.xml"/>
  <Override ContentType="application/vnd.openxmlformats-officedocument.spreadsheetml.worksheet+xml" PartName="/xl/worksheets/sheet28188.xml"/>
  <Override ContentType="application/vnd.openxmlformats-officedocument.spreadsheetml.worksheet+xml" PartName="/xl/worksheets/sheet28189.xml"/>
  <Override ContentType="application/vnd.openxmlformats-officedocument.spreadsheetml.worksheet+xml" PartName="/xl/worksheets/sheet28190.xml"/>
  <Override ContentType="application/vnd.openxmlformats-officedocument.spreadsheetml.worksheet+xml" PartName="/xl/worksheets/sheet28191.xml"/>
  <Override ContentType="application/vnd.openxmlformats-officedocument.spreadsheetml.worksheet+xml" PartName="/xl/worksheets/sheet28192.xml"/>
  <Override ContentType="application/vnd.openxmlformats-officedocument.spreadsheetml.worksheet+xml" PartName="/xl/worksheets/sheet28193.xml"/>
  <Override ContentType="application/vnd.openxmlformats-officedocument.spreadsheetml.worksheet+xml" PartName="/xl/worksheets/sheet28194.xml"/>
  <Override ContentType="application/vnd.openxmlformats-officedocument.spreadsheetml.worksheet+xml" PartName="/xl/worksheets/sheet28195.xml"/>
  <Override ContentType="application/vnd.openxmlformats-officedocument.spreadsheetml.worksheet+xml" PartName="/xl/worksheets/sheet28196.xml"/>
  <Override ContentType="application/vnd.openxmlformats-officedocument.spreadsheetml.worksheet+xml" PartName="/xl/worksheets/sheet28197.xml"/>
  <Override ContentType="application/vnd.openxmlformats-officedocument.spreadsheetml.worksheet+xml" PartName="/xl/worksheets/sheet28198.xml"/>
  <Override ContentType="application/vnd.openxmlformats-officedocument.spreadsheetml.worksheet+xml" PartName="/xl/worksheets/sheet28199.xml"/>
  <Override ContentType="application/vnd.openxmlformats-officedocument.spreadsheetml.worksheet+xml" PartName="/xl/worksheets/sheet28200.xml"/>
  <Override ContentType="application/vnd.openxmlformats-officedocument.spreadsheetml.worksheet+xml" PartName="/xl/worksheets/sheet28201.xml"/>
  <Override ContentType="application/vnd.openxmlformats-officedocument.spreadsheetml.worksheet+xml" PartName="/xl/worksheets/sheet28202.xml"/>
  <Override ContentType="application/vnd.openxmlformats-officedocument.spreadsheetml.worksheet+xml" PartName="/xl/worksheets/sheet28203.xml"/>
  <Override ContentType="application/vnd.openxmlformats-officedocument.spreadsheetml.worksheet+xml" PartName="/xl/worksheets/sheet28204.xml"/>
  <Override ContentType="application/vnd.openxmlformats-officedocument.spreadsheetml.worksheet+xml" PartName="/xl/worksheets/sheet28205.xml"/>
  <Override ContentType="application/vnd.openxmlformats-officedocument.spreadsheetml.worksheet+xml" PartName="/xl/worksheets/sheet28206.xml"/>
  <Override ContentType="application/vnd.openxmlformats-officedocument.spreadsheetml.worksheet+xml" PartName="/xl/worksheets/sheet28207.xml"/>
  <Override ContentType="application/vnd.openxmlformats-officedocument.spreadsheetml.worksheet+xml" PartName="/xl/worksheets/sheet28208.xml"/>
  <Override ContentType="application/vnd.openxmlformats-officedocument.spreadsheetml.worksheet+xml" PartName="/xl/worksheets/sheet28209.xml"/>
  <Override ContentType="application/vnd.openxmlformats-officedocument.spreadsheetml.worksheet+xml" PartName="/xl/worksheets/sheet28210.xml"/>
  <Override ContentType="application/vnd.openxmlformats-officedocument.spreadsheetml.worksheet+xml" PartName="/xl/worksheets/sheet28211.xml"/>
  <Override ContentType="application/vnd.openxmlformats-officedocument.spreadsheetml.worksheet+xml" PartName="/xl/worksheets/sheet28212.xml"/>
  <Override ContentType="application/vnd.openxmlformats-officedocument.spreadsheetml.worksheet+xml" PartName="/xl/worksheets/sheet28213.xml"/>
  <Override ContentType="application/vnd.openxmlformats-officedocument.spreadsheetml.worksheet+xml" PartName="/xl/worksheets/sheet28214.xml"/>
  <Override ContentType="application/vnd.openxmlformats-officedocument.spreadsheetml.worksheet+xml" PartName="/xl/worksheets/sheet28215.xml"/>
  <Override ContentType="application/vnd.openxmlformats-officedocument.spreadsheetml.worksheet+xml" PartName="/xl/worksheets/sheet28216.xml"/>
  <Override ContentType="application/vnd.openxmlformats-officedocument.spreadsheetml.worksheet+xml" PartName="/xl/worksheets/sheet28217.xml"/>
  <Override ContentType="application/vnd.openxmlformats-officedocument.spreadsheetml.worksheet+xml" PartName="/xl/worksheets/sheet28218.xml"/>
  <Override ContentType="application/vnd.openxmlformats-officedocument.spreadsheetml.worksheet+xml" PartName="/xl/worksheets/sheet28219.xml"/>
  <Override ContentType="application/vnd.openxmlformats-officedocument.spreadsheetml.worksheet+xml" PartName="/xl/worksheets/sheet28220.xml"/>
  <Override ContentType="application/vnd.openxmlformats-officedocument.spreadsheetml.worksheet+xml" PartName="/xl/worksheets/sheet28221.xml"/>
  <Override ContentType="application/vnd.openxmlformats-officedocument.spreadsheetml.worksheet+xml" PartName="/xl/worksheets/sheet28222.xml"/>
  <Override ContentType="application/vnd.openxmlformats-officedocument.spreadsheetml.worksheet+xml" PartName="/xl/worksheets/sheet28223.xml"/>
  <Override ContentType="application/vnd.openxmlformats-officedocument.spreadsheetml.worksheet+xml" PartName="/xl/worksheets/sheet28224.xml"/>
  <Override ContentType="application/vnd.openxmlformats-officedocument.spreadsheetml.worksheet+xml" PartName="/xl/worksheets/sheet28225.xml"/>
  <Override ContentType="application/vnd.openxmlformats-officedocument.spreadsheetml.worksheet+xml" PartName="/xl/worksheets/sheet28226.xml"/>
  <Override ContentType="application/vnd.openxmlformats-officedocument.spreadsheetml.worksheet+xml" PartName="/xl/worksheets/sheet28227.xml"/>
  <Override ContentType="application/vnd.openxmlformats-officedocument.spreadsheetml.worksheet+xml" PartName="/xl/worksheets/sheet28228.xml"/>
  <Override ContentType="application/vnd.openxmlformats-officedocument.spreadsheetml.worksheet+xml" PartName="/xl/worksheets/sheet28229.xml"/>
  <Override ContentType="application/vnd.openxmlformats-officedocument.spreadsheetml.worksheet+xml" PartName="/xl/worksheets/sheet28230.xml"/>
  <Override ContentType="application/vnd.openxmlformats-officedocument.spreadsheetml.worksheet+xml" PartName="/xl/worksheets/sheet28231.xml"/>
  <Override ContentType="application/vnd.openxmlformats-officedocument.spreadsheetml.worksheet+xml" PartName="/xl/worksheets/sheet28232.xml"/>
  <Override ContentType="application/vnd.openxmlformats-officedocument.spreadsheetml.worksheet+xml" PartName="/xl/worksheets/sheet28233.xml"/>
  <Override ContentType="application/vnd.openxmlformats-officedocument.spreadsheetml.worksheet+xml" PartName="/xl/worksheets/sheet28234.xml"/>
  <Override ContentType="application/vnd.openxmlformats-officedocument.spreadsheetml.worksheet+xml" PartName="/xl/worksheets/sheet28235.xml"/>
  <Override ContentType="application/vnd.openxmlformats-officedocument.spreadsheetml.worksheet+xml" PartName="/xl/worksheets/sheet28236.xml"/>
  <Override ContentType="application/vnd.openxmlformats-officedocument.spreadsheetml.worksheet+xml" PartName="/xl/worksheets/sheet28237.xml"/>
  <Override ContentType="application/vnd.openxmlformats-officedocument.spreadsheetml.worksheet+xml" PartName="/xl/worksheets/sheet28238.xml"/>
  <Override ContentType="application/vnd.openxmlformats-officedocument.spreadsheetml.worksheet+xml" PartName="/xl/worksheets/sheet28239.xml"/>
  <Override ContentType="application/vnd.openxmlformats-officedocument.spreadsheetml.worksheet+xml" PartName="/xl/worksheets/sheet28240.xml"/>
  <Override ContentType="application/vnd.openxmlformats-officedocument.spreadsheetml.worksheet+xml" PartName="/xl/worksheets/sheet28241.xml"/>
  <Override ContentType="application/vnd.openxmlformats-officedocument.spreadsheetml.worksheet+xml" PartName="/xl/worksheets/sheet28242.xml"/>
  <Override ContentType="application/vnd.openxmlformats-officedocument.spreadsheetml.worksheet+xml" PartName="/xl/worksheets/sheet28243.xml"/>
  <Override ContentType="application/vnd.openxmlformats-officedocument.spreadsheetml.worksheet+xml" PartName="/xl/worksheets/sheet28244.xml"/>
  <Override ContentType="application/vnd.openxmlformats-officedocument.spreadsheetml.worksheet+xml" PartName="/xl/worksheets/sheet28245.xml"/>
  <Override ContentType="application/vnd.openxmlformats-officedocument.spreadsheetml.worksheet+xml" PartName="/xl/worksheets/sheet28246.xml"/>
  <Override ContentType="application/vnd.openxmlformats-officedocument.spreadsheetml.worksheet+xml" PartName="/xl/worksheets/sheet28247.xml"/>
  <Override ContentType="application/vnd.openxmlformats-officedocument.spreadsheetml.worksheet+xml" PartName="/xl/worksheets/sheet28248.xml"/>
  <Override ContentType="application/vnd.openxmlformats-officedocument.spreadsheetml.worksheet+xml" PartName="/xl/worksheets/sheet28249.xml"/>
  <Override ContentType="application/vnd.openxmlformats-officedocument.spreadsheetml.worksheet+xml" PartName="/xl/worksheets/sheet28250.xml"/>
  <Override ContentType="application/vnd.openxmlformats-officedocument.spreadsheetml.worksheet+xml" PartName="/xl/worksheets/sheet28251.xml"/>
  <Override ContentType="application/vnd.openxmlformats-officedocument.spreadsheetml.worksheet+xml" PartName="/xl/worksheets/sheet28252.xml"/>
  <Override ContentType="application/vnd.openxmlformats-officedocument.spreadsheetml.worksheet+xml" PartName="/xl/worksheets/sheet28253.xml"/>
  <Override ContentType="application/vnd.openxmlformats-officedocument.spreadsheetml.worksheet+xml" PartName="/xl/worksheets/sheet28254.xml"/>
  <Override ContentType="application/vnd.openxmlformats-officedocument.spreadsheetml.worksheet+xml" PartName="/xl/worksheets/sheet28255.xml"/>
  <Override ContentType="application/vnd.openxmlformats-officedocument.spreadsheetml.worksheet+xml" PartName="/xl/worksheets/sheet28256.xml"/>
  <Override ContentType="application/vnd.openxmlformats-officedocument.spreadsheetml.worksheet+xml" PartName="/xl/worksheets/sheet28257.xml"/>
  <Override ContentType="application/vnd.openxmlformats-officedocument.spreadsheetml.worksheet+xml" PartName="/xl/worksheets/sheet28258.xml"/>
  <Override ContentType="application/vnd.openxmlformats-officedocument.spreadsheetml.worksheet+xml" PartName="/xl/worksheets/sheet28259.xml"/>
  <Override ContentType="application/vnd.openxmlformats-officedocument.spreadsheetml.worksheet+xml" PartName="/xl/worksheets/sheet28260.xml"/>
  <Override ContentType="application/vnd.openxmlformats-officedocument.spreadsheetml.worksheet+xml" PartName="/xl/worksheets/sheet28261.xml"/>
  <Override ContentType="application/vnd.openxmlformats-officedocument.spreadsheetml.worksheet+xml" PartName="/xl/worksheets/sheet28262.xml"/>
  <Override ContentType="application/vnd.openxmlformats-officedocument.spreadsheetml.worksheet+xml" PartName="/xl/worksheets/sheet28263.xml"/>
  <Override ContentType="application/vnd.openxmlformats-officedocument.spreadsheetml.worksheet+xml" PartName="/xl/worksheets/sheet28264.xml"/>
  <Override ContentType="application/vnd.openxmlformats-officedocument.spreadsheetml.worksheet+xml" PartName="/xl/worksheets/sheet28265.xml"/>
  <Override ContentType="application/vnd.openxmlformats-officedocument.spreadsheetml.worksheet+xml" PartName="/xl/worksheets/sheet28266.xml"/>
  <Override ContentType="application/vnd.openxmlformats-officedocument.spreadsheetml.worksheet+xml" PartName="/xl/worksheets/sheet28267.xml"/>
  <Override ContentType="application/vnd.openxmlformats-officedocument.spreadsheetml.worksheet+xml" PartName="/xl/worksheets/sheet28268.xml"/>
  <Override ContentType="application/vnd.openxmlformats-officedocument.spreadsheetml.worksheet+xml" PartName="/xl/worksheets/sheet28269.xml"/>
  <Override ContentType="application/vnd.openxmlformats-officedocument.spreadsheetml.worksheet+xml" PartName="/xl/worksheets/sheet28270.xml"/>
  <Override ContentType="application/vnd.openxmlformats-officedocument.spreadsheetml.worksheet+xml" PartName="/xl/worksheets/sheet28271.xml"/>
  <Override ContentType="application/vnd.openxmlformats-officedocument.spreadsheetml.worksheet+xml" PartName="/xl/worksheets/sheet28272.xml"/>
  <Override ContentType="application/vnd.openxmlformats-officedocument.spreadsheetml.worksheet+xml" PartName="/xl/worksheets/sheet28273.xml"/>
  <Override ContentType="application/vnd.openxmlformats-officedocument.spreadsheetml.worksheet+xml" PartName="/xl/worksheets/sheet28274.xml"/>
  <Override ContentType="application/vnd.openxmlformats-officedocument.spreadsheetml.worksheet+xml" PartName="/xl/worksheets/sheet28275.xml"/>
  <Override ContentType="application/vnd.openxmlformats-officedocument.spreadsheetml.worksheet+xml" PartName="/xl/worksheets/sheet28276.xml"/>
  <Override ContentType="application/vnd.openxmlformats-officedocument.spreadsheetml.worksheet+xml" PartName="/xl/worksheets/sheet28277.xml"/>
  <Override ContentType="application/vnd.openxmlformats-officedocument.spreadsheetml.worksheet+xml" PartName="/xl/worksheets/sheet28278.xml"/>
  <Override ContentType="application/vnd.openxmlformats-officedocument.spreadsheetml.worksheet+xml" PartName="/xl/worksheets/sheet28279.xml"/>
  <Override ContentType="application/vnd.openxmlformats-officedocument.spreadsheetml.worksheet+xml" PartName="/xl/worksheets/sheet28280.xml"/>
  <Override ContentType="application/vnd.openxmlformats-officedocument.spreadsheetml.worksheet+xml" PartName="/xl/worksheets/sheet28281.xml"/>
  <Override ContentType="application/vnd.openxmlformats-officedocument.spreadsheetml.worksheet+xml" PartName="/xl/worksheets/sheet28282.xml"/>
  <Override ContentType="application/vnd.openxmlformats-officedocument.spreadsheetml.worksheet+xml" PartName="/xl/worksheets/sheet28283.xml"/>
  <Override ContentType="application/vnd.openxmlformats-officedocument.spreadsheetml.worksheet+xml" PartName="/xl/worksheets/sheet28284.xml"/>
  <Override ContentType="application/vnd.openxmlformats-officedocument.spreadsheetml.worksheet+xml" PartName="/xl/worksheets/sheet28285.xml"/>
  <Override ContentType="application/vnd.openxmlformats-officedocument.spreadsheetml.worksheet+xml" PartName="/xl/worksheets/sheet28286.xml"/>
  <Override ContentType="application/vnd.openxmlformats-officedocument.spreadsheetml.worksheet+xml" PartName="/xl/worksheets/sheet28287.xml"/>
  <Override ContentType="application/vnd.openxmlformats-officedocument.spreadsheetml.worksheet+xml" PartName="/xl/worksheets/sheet28288.xml"/>
  <Override ContentType="application/vnd.openxmlformats-officedocument.spreadsheetml.worksheet+xml" PartName="/xl/worksheets/sheet28289.xml"/>
  <Override ContentType="application/vnd.openxmlformats-officedocument.spreadsheetml.worksheet+xml" PartName="/xl/worksheets/sheet28290.xml"/>
  <Override ContentType="application/vnd.openxmlformats-officedocument.spreadsheetml.worksheet+xml" PartName="/xl/worksheets/sheet28291.xml"/>
  <Override ContentType="application/vnd.openxmlformats-officedocument.spreadsheetml.worksheet+xml" PartName="/xl/worksheets/sheet28292.xml"/>
  <Override ContentType="application/vnd.openxmlformats-officedocument.spreadsheetml.worksheet+xml" PartName="/xl/worksheets/sheet28293.xml"/>
  <Override ContentType="application/vnd.openxmlformats-officedocument.spreadsheetml.worksheet+xml" PartName="/xl/worksheets/sheet28294.xml"/>
  <Override ContentType="application/vnd.openxmlformats-officedocument.spreadsheetml.worksheet+xml" PartName="/xl/worksheets/sheet28295.xml"/>
  <Override ContentType="application/vnd.openxmlformats-officedocument.spreadsheetml.worksheet+xml" PartName="/xl/worksheets/sheet28296.xml"/>
  <Override ContentType="application/vnd.openxmlformats-officedocument.spreadsheetml.worksheet+xml" PartName="/xl/worksheets/sheet28297.xml"/>
  <Override ContentType="application/vnd.openxmlformats-officedocument.spreadsheetml.worksheet+xml" PartName="/xl/worksheets/sheet28298.xml"/>
  <Override ContentType="application/vnd.openxmlformats-officedocument.spreadsheetml.worksheet+xml" PartName="/xl/worksheets/sheet28299.xml"/>
  <Override ContentType="application/vnd.openxmlformats-officedocument.spreadsheetml.worksheet+xml" PartName="/xl/worksheets/sheet28300.xml"/>
  <Override ContentType="application/vnd.openxmlformats-officedocument.spreadsheetml.worksheet+xml" PartName="/xl/worksheets/sheet28301.xml"/>
  <Override ContentType="application/vnd.openxmlformats-officedocument.spreadsheetml.worksheet+xml" PartName="/xl/worksheets/sheet28302.xml"/>
  <Override ContentType="application/vnd.openxmlformats-officedocument.spreadsheetml.worksheet+xml" PartName="/xl/worksheets/sheet28303.xml"/>
  <Override ContentType="application/vnd.openxmlformats-officedocument.spreadsheetml.worksheet+xml" PartName="/xl/worksheets/sheet28304.xml"/>
  <Override ContentType="application/vnd.openxmlformats-officedocument.spreadsheetml.worksheet+xml" PartName="/xl/worksheets/sheet28305.xml"/>
  <Override ContentType="application/vnd.openxmlformats-officedocument.spreadsheetml.worksheet+xml" PartName="/xl/worksheets/sheet28306.xml"/>
  <Override ContentType="application/vnd.openxmlformats-officedocument.spreadsheetml.worksheet+xml" PartName="/xl/worksheets/sheet28307.xml"/>
  <Override ContentType="application/vnd.openxmlformats-officedocument.spreadsheetml.worksheet+xml" PartName="/xl/worksheets/sheet28308.xml"/>
  <Override ContentType="application/vnd.openxmlformats-officedocument.spreadsheetml.worksheet+xml" PartName="/xl/worksheets/sheet28309.xml"/>
  <Override ContentType="application/vnd.openxmlformats-officedocument.spreadsheetml.worksheet+xml" PartName="/xl/worksheets/sheet28310.xml"/>
  <Override ContentType="application/vnd.openxmlformats-officedocument.spreadsheetml.worksheet+xml" PartName="/xl/worksheets/sheet28311.xml"/>
  <Override ContentType="application/vnd.openxmlformats-officedocument.spreadsheetml.worksheet+xml" PartName="/xl/worksheets/sheet28312.xml"/>
  <Override ContentType="application/vnd.openxmlformats-officedocument.spreadsheetml.worksheet+xml" PartName="/xl/worksheets/sheet28313.xml"/>
  <Override ContentType="application/vnd.openxmlformats-officedocument.spreadsheetml.worksheet+xml" PartName="/xl/worksheets/sheet28314.xml"/>
  <Override ContentType="application/vnd.openxmlformats-officedocument.spreadsheetml.worksheet+xml" PartName="/xl/worksheets/sheet28315.xml"/>
  <Override ContentType="application/vnd.openxmlformats-officedocument.spreadsheetml.worksheet+xml" PartName="/xl/worksheets/sheet28316.xml"/>
  <Override ContentType="application/vnd.openxmlformats-officedocument.spreadsheetml.worksheet+xml" PartName="/xl/worksheets/sheet28317.xml"/>
  <Override ContentType="application/vnd.openxmlformats-officedocument.spreadsheetml.worksheet+xml" PartName="/xl/worksheets/sheet28318.xml"/>
  <Override ContentType="application/vnd.openxmlformats-officedocument.spreadsheetml.worksheet+xml" PartName="/xl/worksheets/sheet28319.xml"/>
  <Override ContentType="application/vnd.openxmlformats-officedocument.spreadsheetml.worksheet+xml" PartName="/xl/worksheets/sheet28320.xml"/>
  <Override ContentType="application/vnd.openxmlformats-officedocument.spreadsheetml.worksheet+xml" PartName="/xl/worksheets/sheet28321.xml"/>
  <Override ContentType="application/vnd.openxmlformats-officedocument.spreadsheetml.worksheet+xml" PartName="/xl/worksheets/sheet28322.xml"/>
  <Override ContentType="application/vnd.openxmlformats-officedocument.spreadsheetml.worksheet+xml" PartName="/xl/worksheets/sheet28323.xml"/>
  <Override ContentType="application/vnd.openxmlformats-officedocument.spreadsheetml.worksheet+xml" PartName="/xl/worksheets/sheet28324.xml"/>
  <Override ContentType="application/vnd.openxmlformats-officedocument.spreadsheetml.worksheet+xml" PartName="/xl/worksheets/sheet28325.xml"/>
  <Override ContentType="application/vnd.openxmlformats-officedocument.spreadsheetml.worksheet+xml" PartName="/xl/worksheets/sheet28326.xml"/>
  <Override ContentType="application/vnd.openxmlformats-officedocument.spreadsheetml.worksheet+xml" PartName="/xl/worksheets/sheet28327.xml"/>
  <Override ContentType="application/vnd.openxmlformats-officedocument.spreadsheetml.worksheet+xml" PartName="/xl/worksheets/sheet28328.xml"/>
  <Override ContentType="application/vnd.openxmlformats-officedocument.spreadsheetml.worksheet+xml" PartName="/xl/worksheets/sheet28329.xml"/>
  <Override ContentType="application/vnd.openxmlformats-officedocument.spreadsheetml.worksheet+xml" PartName="/xl/worksheets/sheet28330.xml"/>
  <Override ContentType="application/vnd.openxmlformats-officedocument.spreadsheetml.worksheet+xml" PartName="/xl/worksheets/sheet28331.xml"/>
  <Override ContentType="application/vnd.openxmlformats-officedocument.spreadsheetml.worksheet+xml" PartName="/xl/worksheets/sheet28332.xml"/>
  <Override ContentType="application/vnd.openxmlformats-officedocument.spreadsheetml.worksheet+xml" PartName="/xl/worksheets/sheet28333.xml"/>
  <Override ContentType="application/vnd.openxmlformats-officedocument.spreadsheetml.worksheet+xml" PartName="/xl/worksheets/sheet28334.xml"/>
  <Override ContentType="application/vnd.openxmlformats-officedocument.spreadsheetml.worksheet+xml" PartName="/xl/worksheets/sheet28335.xml"/>
  <Override ContentType="application/vnd.openxmlformats-officedocument.spreadsheetml.worksheet+xml" PartName="/xl/worksheets/sheet28336.xml"/>
  <Override ContentType="application/vnd.openxmlformats-officedocument.spreadsheetml.worksheet+xml" PartName="/xl/worksheets/sheet28337.xml"/>
  <Override ContentType="application/vnd.openxmlformats-officedocument.spreadsheetml.worksheet+xml" PartName="/xl/worksheets/sheet28338.xml"/>
  <Override ContentType="application/vnd.openxmlformats-officedocument.spreadsheetml.worksheet+xml" PartName="/xl/worksheets/sheet28339.xml"/>
  <Override ContentType="application/vnd.openxmlformats-officedocument.spreadsheetml.worksheet+xml" PartName="/xl/worksheets/sheet28340.xml"/>
  <Override ContentType="application/vnd.openxmlformats-officedocument.spreadsheetml.worksheet+xml" PartName="/xl/worksheets/sheet28341.xml"/>
  <Override ContentType="application/vnd.openxmlformats-officedocument.spreadsheetml.worksheet+xml" PartName="/xl/worksheets/sheet28342.xml"/>
  <Override ContentType="application/vnd.openxmlformats-officedocument.spreadsheetml.worksheet+xml" PartName="/xl/worksheets/sheet28343.xml"/>
  <Override ContentType="application/vnd.openxmlformats-officedocument.spreadsheetml.worksheet+xml" PartName="/xl/worksheets/sheet28344.xml"/>
  <Override ContentType="application/vnd.openxmlformats-officedocument.spreadsheetml.worksheet+xml" PartName="/xl/worksheets/sheet28345.xml"/>
  <Override ContentType="application/vnd.openxmlformats-officedocument.spreadsheetml.worksheet+xml" PartName="/xl/worksheets/sheet28346.xml"/>
  <Override ContentType="application/vnd.openxmlformats-officedocument.spreadsheetml.worksheet+xml" PartName="/xl/worksheets/sheet28347.xml"/>
  <Override ContentType="application/vnd.openxmlformats-officedocument.spreadsheetml.worksheet+xml" PartName="/xl/worksheets/sheet28348.xml"/>
  <Override ContentType="application/vnd.openxmlformats-officedocument.spreadsheetml.worksheet+xml" PartName="/xl/worksheets/sheet28349.xml"/>
  <Override ContentType="application/vnd.openxmlformats-officedocument.spreadsheetml.worksheet+xml" PartName="/xl/worksheets/sheet28350.xml"/>
  <Override ContentType="application/vnd.openxmlformats-officedocument.spreadsheetml.worksheet+xml" PartName="/xl/worksheets/sheet28351.xml"/>
  <Override ContentType="application/vnd.openxmlformats-officedocument.spreadsheetml.worksheet+xml" PartName="/xl/worksheets/sheet28352.xml"/>
  <Override ContentType="application/vnd.openxmlformats-officedocument.spreadsheetml.worksheet+xml" PartName="/xl/worksheets/sheet28353.xml"/>
  <Override ContentType="application/vnd.openxmlformats-officedocument.spreadsheetml.worksheet+xml" PartName="/xl/worksheets/sheet28354.xml"/>
  <Override ContentType="application/vnd.openxmlformats-officedocument.spreadsheetml.worksheet+xml" PartName="/xl/worksheets/sheet28355.xml"/>
  <Override ContentType="application/vnd.openxmlformats-officedocument.spreadsheetml.worksheet+xml" PartName="/xl/worksheets/sheet28356.xml"/>
  <Override ContentType="application/vnd.openxmlformats-officedocument.spreadsheetml.worksheet+xml" PartName="/xl/worksheets/sheet28357.xml"/>
  <Override ContentType="application/vnd.openxmlformats-officedocument.spreadsheetml.worksheet+xml" PartName="/xl/worksheets/sheet28358.xml"/>
  <Override ContentType="application/vnd.openxmlformats-officedocument.spreadsheetml.worksheet+xml" PartName="/xl/worksheets/sheet28359.xml"/>
  <Override ContentType="application/vnd.openxmlformats-officedocument.spreadsheetml.worksheet+xml" PartName="/xl/worksheets/sheet28360.xml"/>
  <Override ContentType="application/vnd.openxmlformats-officedocument.spreadsheetml.worksheet+xml" PartName="/xl/worksheets/sheet28361.xml"/>
  <Override ContentType="application/vnd.openxmlformats-officedocument.spreadsheetml.worksheet+xml" PartName="/xl/worksheets/sheet28362.xml"/>
  <Override ContentType="application/vnd.openxmlformats-officedocument.spreadsheetml.worksheet+xml" PartName="/xl/worksheets/sheet28363.xml"/>
  <Override ContentType="application/vnd.openxmlformats-officedocument.spreadsheetml.worksheet+xml" PartName="/xl/worksheets/sheet28364.xml"/>
  <Override ContentType="application/vnd.openxmlformats-officedocument.spreadsheetml.worksheet+xml" PartName="/xl/worksheets/sheet28365.xml"/>
  <Override ContentType="application/vnd.openxmlformats-officedocument.spreadsheetml.worksheet+xml" PartName="/xl/worksheets/sheet28366.xml"/>
  <Override ContentType="application/vnd.openxmlformats-officedocument.spreadsheetml.worksheet+xml" PartName="/xl/worksheets/sheet28367.xml"/>
  <Override ContentType="application/vnd.openxmlformats-officedocument.spreadsheetml.worksheet+xml" PartName="/xl/worksheets/sheet28368.xml"/>
  <Override ContentType="application/vnd.openxmlformats-officedocument.spreadsheetml.worksheet+xml" PartName="/xl/worksheets/sheet28369.xml"/>
  <Override ContentType="application/vnd.openxmlformats-officedocument.spreadsheetml.worksheet+xml" PartName="/xl/worksheets/sheet28370.xml"/>
  <Override ContentType="application/vnd.openxmlformats-officedocument.spreadsheetml.worksheet+xml" PartName="/xl/worksheets/sheet28371.xml"/>
  <Override ContentType="application/vnd.openxmlformats-officedocument.spreadsheetml.worksheet+xml" PartName="/xl/worksheets/sheet28372.xml"/>
  <Override ContentType="application/vnd.openxmlformats-officedocument.spreadsheetml.worksheet+xml" PartName="/xl/worksheets/sheet28373.xml"/>
  <Override ContentType="application/vnd.openxmlformats-officedocument.spreadsheetml.worksheet+xml" PartName="/xl/worksheets/sheet28374.xml"/>
  <Override ContentType="application/vnd.openxmlformats-officedocument.spreadsheetml.worksheet+xml" PartName="/xl/worksheets/sheet28375.xml"/>
  <Override ContentType="application/vnd.openxmlformats-officedocument.spreadsheetml.worksheet+xml" PartName="/xl/worksheets/sheet28376.xml"/>
  <Override ContentType="application/vnd.openxmlformats-officedocument.spreadsheetml.worksheet+xml" PartName="/xl/worksheets/sheet28377.xml"/>
  <Override ContentType="application/vnd.openxmlformats-officedocument.spreadsheetml.worksheet+xml" PartName="/xl/worksheets/sheet28378.xml"/>
  <Override ContentType="application/vnd.openxmlformats-officedocument.spreadsheetml.worksheet+xml" PartName="/xl/worksheets/sheet28379.xml"/>
  <Override ContentType="application/vnd.openxmlformats-officedocument.spreadsheetml.worksheet+xml" PartName="/xl/worksheets/sheet28380.xml"/>
  <Override ContentType="application/vnd.openxmlformats-officedocument.spreadsheetml.worksheet+xml" PartName="/xl/worksheets/sheet28381.xml"/>
  <Override ContentType="application/vnd.openxmlformats-officedocument.spreadsheetml.worksheet+xml" PartName="/xl/worksheets/sheet28382.xml"/>
  <Override ContentType="application/vnd.openxmlformats-officedocument.spreadsheetml.worksheet+xml" PartName="/xl/worksheets/sheet28383.xml"/>
  <Override ContentType="application/vnd.openxmlformats-officedocument.spreadsheetml.worksheet+xml" PartName="/xl/worksheets/sheet28384.xml"/>
  <Override ContentType="application/vnd.openxmlformats-officedocument.spreadsheetml.worksheet+xml" PartName="/xl/worksheets/sheet28385.xml"/>
  <Override ContentType="application/vnd.openxmlformats-officedocument.spreadsheetml.worksheet+xml" PartName="/xl/worksheets/sheet28386.xml"/>
  <Override ContentType="application/vnd.openxmlformats-officedocument.spreadsheetml.worksheet+xml" PartName="/xl/worksheets/sheet28387.xml"/>
  <Override ContentType="application/vnd.openxmlformats-officedocument.spreadsheetml.worksheet+xml" PartName="/xl/worksheets/sheet28388.xml"/>
  <Override ContentType="application/vnd.openxmlformats-officedocument.spreadsheetml.worksheet+xml" PartName="/xl/worksheets/sheet28389.xml"/>
  <Override ContentType="application/vnd.openxmlformats-officedocument.spreadsheetml.worksheet+xml" PartName="/xl/worksheets/sheet28390.xml"/>
  <Override ContentType="application/vnd.openxmlformats-officedocument.spreadsheetml.worksheet+xml" PartName="/xl/worksheets/sheet28391.xml"/>
  <Override ContentType="application/vnd.openxmlformats-officedocument.spreadsheetml.worksheet+xml" PartName="/xl/worksheets/sheet28392.xml"/>
  <Override ContentType="application/vnd.openxmlformats-officedocument.spreadsheetml.worksheet+xml" PartName="/xl/worksheets/sheet28393.xml"/>
  <Override ContentType="application/vnd.openxmlformats-officedocument.spreadsheetml.worksheet+xml" PartName="/xl/worksheets/sheet28394.xml"/>
  <Override ContentType="application/vnd.openxmlformats-officedocument.spreadsheetml.worksheet+xml" PartName="/xl/worksheets/sheet28395.xml"/>
  <Override ContentType="application/vnd.openxmlformats-officedocument.spreadsheetml.worksheet+xml" PartName="/xl/worksheets/sheet28396.xml"/>
  <Override ContentType="application/vnd.openxmlformats-officedocument.spreadsheetml.worksheet+xml" PartName="/xl/worksheets/sheet28397.xml"/>
  <Override ContentType="application/vnd.openxmlformats-officedocument.spreadsheetml.worksheet+xml" PartName="/xl/worksheets/sheet28398.xml"/>
  <Override ContentType="application/vnd.openxmlformats-officedocument.spreadsheetml.worksheet+xml" PartName="/xl/worksheets/sheet28399.xml"/>
  <Override ContentType="application/vnd.openxmlformats-officedocument.spreadsheetml.worksheet+xml" PartName="/xl/worksheets/sheet28400.xml"/>
  <Override ContentType="application/vnd.openxmlformats-officedocument.spreadsheetml.worksheet+xml" PartName="/xl/worksheets/sheet28401.xml"/>
  <Override ContentType="application/vnd.openxmlformats-officedocument.spreadsheetml.worksheet+xml" PartName="/xl/worksheets/sheet28402.xml"/>
  <Override ContentType="application/vnd.openxmlformats-officedocument.spreadsheetml.worksheet+xml" PartName="/xl/worksheets/sheet28403.xml"/>
  <Override ContentType="application/vnd.openxmlformats-officedocument.spreadsheetml.worksheet+xml" PartName="/xl/worksheets/sheet28404.xml"/>
  <Override ContentType="application/vnd.openxmlformats-officedocument.spreadsheetml.worksheet+xml" PartName="/xl/worksheets/sheet28405.xml"/>
  <Override ContentType="application/vnd.openxmlformats-officedocument.spreadsheetml.worksheet+xml" PartName="/xl/worksheets/sheet28406.xml"/>
  <Override ContentType="application/vnd.openxmlformats-officedocument.spreadsheetml.worksheet+xml" PartName="/xl/worksheets/sheet28407.xml"/>
  <Override ContentType="application/vnd.openxmlformats-officedocument.spreadsheetml.worksheet+xml" PartName="/xl/worksheets/sheet28408.xml"/>
  <Override ContentType="application/vnd.openxmlformats-officedocument.spreadsheetml.worksheet+xml" PartName="/xl/worksheets/sheet28409.xml"/>
  <Override ContentType="application/vnd.openxmlformats-officedocument.spreadsheetml.worksheet+xml" PartName="/xl/worksheets/sheet28410.xml"/>
  <Override ContentType="application/vnd.openxmlformats-officedocument.spreadsheetml.worksheet+xml" PartName="/xl/worksheets/sheet28411.xml"/>
  <Override ContentType="application/vnd.openxmlformats-officedocument.spreadsheetml.worksheet+xml" PartName="/xl/worksheets/sheet28412.xml"/>
  <Override ContentType="application/vnd.openxmlformats-officedocument.spreadsheetml.worksheet+xml" PartName="/xl/worksheets/sheet28413.xml"/>
  <Override ContentType="application/vnd.openxmlformats-officedocument.spreadsheetml.worksheet+xml" PartName="/xl/worksheets/sheet28414.xml"/>
  <Override ContentType="application/vnd.openxmlformats-officedocument.spreadsheetml.worksheet+xml" PartName="/xl/worksheets/sheet28415.xml"/>
  <Override ContentType="application/vnd.openxmlformats-officedocument.spreadsheetml.worksheet+xml" PartName="/xl/worksheets/sheet28416.xml"/>
  <Override ContentType="application/vnd.openxmlformats-officedocument.spreadsheetml.worksheet+xml" PartName="/xl/worksheets/sheet28417.xml"/>
  <Override ContentType="application/vnd.openxmlformats-officedocument.spreadsheetml.worksheet+xml" PartName="/xl/worksheets/sheet28418.xml"/>
  <Override ContentType="application/vnd.openxmlformats-officedocument.spreadsheetml.worksheet+xml" PartName="/xl/worksheets/sheet28419.xml"/>
  <Override ContentType="application/vnd.openxmlformats-officedocument.spreadsheetml.worksheet+xml" PartName="/xl/worksheets/sheet28420.xml"/>
  <Override ContentType="application/vnd.openxmlformats-officedocument.spreadsheetml.worksheet+xml" PartName="/xl/worksheets/sheet28421.xml"/>
  <Override ContentType="application/vnd.openxmlformats-officedocument.spreadsheetml.worksheet+xml" PartName="/xl/worksheets/sheet28422.xml"/>
  <Override ContentType="application/vnd.openxmlformats-officedocument.spreadsheetml.worksheet+xml" PartName="/xl/worksheets/sheet28423.xml"/>
  <Override ContentType="application/vnd.openxmlformats-officedocument.spreadsheetml.worksheet+xml" PartName="/xl/worksheets/sheet28424.xml"/>
  <Override ContentType="application/vnd.openxmlformats-officedocument.spreadsheetml.worksheet+xml" PartName="/xl/worksheets/sheet28425.xml"/>
  <Override ContentType="application/vnd.openxmlformats-officedocument.spreadsheetml.worksheet+xml" PartName="/xl/worksheets/sheet28426.xml"/>
  <Override ContentType="application/vnd.openxmlformats-officedocument.spreadsheetml.worksheet+xml" PartName="/xl/worksheets/sheet28427.xml"/>
  <Override ContentType="application/vnd.openxmlformats-officedocument.spreadsheetml.worksheet+xml" PartName="/xl/worksheets/sheet28428.xml"/>
  <Override ContentType="application/vnd.openxmlformats-officedocument.spreadsheetml.worksheet+xml" PartName="/xl/worksheets/sheet28429.xml"/>
  <Override ContentType="application/vnd.openxmlformats-officedocument.spreadsheetml.worksheet+xml" PartName="/xl/worksheets/sheet28430.xml"/>
  <Override ContentType="application/vnd.openxmlformats-officedocument.spreadsheetml.worksheet+xml" PartName="/xl/worksheets/sheet28431.xml"/>
  <Override ContentType="application/vnd.openxmlformats-officedocument.spreadsheetml.worksheet+xml" PartName="/xl/worksheets/sheet28432.xml"/>
  <Override ContentType="application/vnd.openxmlformats-officedocument.spreadsheetml.worksheet+xml" PartName="/xl/worksheets/sheet28433.xml"/>
  <Override ContentType="application/vnd.openxmlformats-officedocument.spreadsheetml.worksheet+xml" PartName="/xl/worksheets/sheet28434.xml"/>
  <Override ContentType="application/vnd.openxmlformats-officedocument.spreadsheetml.worksheet+xml" PartName="/xl/worksheets/sheet28435.xml"/>
  <Override ContentType="application/vnd.openxmlformats-officedocument.spreadsheetml.worksheet+xml" PartName="/xl/worksheets/sheet28436.xml"/>
  <Override ContentType="application/vnd.openxmlformats-officedocument.spreadsheetml.worksheet+xml" PartName="/xl/worksheets/sheet28437.xml"/>
  <Override ContentType="application/vnd.openxmlformats-officedocument.spreadsheetml.worksheet+xml" PartName="/xl/worksheets/sheet28438.xml"/>
  <Override ContentType="application/vnd.openxmlformats-officedocument.spreadsheetml.worksheet+xml" PartName="/xl/worksheets/sheet28439.xml"/>
  <Override ContentType="application/vnd.openxmlformats-officedocument.spreadsheetml.worksheet+xml" PartName="/xl/worksheets/sheet28440.xml"/>
  <Override ContentType="application/vnd.openxmlformats-officedocument.spreadsheetml.worksheet+xml" PartName="/xl/worksheets/sheet28441.xml"/>
  <Override ContentType="application/vnd.openxmlformats-officedocument.spreadsheetml.worksheet+xml" PartName="/xl/worksheets/sheet28442.xml"/>
  <Override ContentType="application/vnd.openxmlformats-officedocument.spreadsheetml.worksheet+xml" PartName="/xl/worksheets/sheet28443.xml"/>
  <Override ContentType="application/vnd.openxmlformats-officedocument.spreadsheetml.worksheet+xml" PartName="/xl/worksheets/sheet28444.xml"/>
  <Override ContentType="application/vnd.openxmlformats-officedocument.spreadsheetml.worksheet+xml" PartName="/xl/worksheets/sheet28445.xml"/>
  <Override ContentType="application/vnd.openxmlformats-officedocument.spreadsheetml.worksheet+xml" PartName="/xl/worksheets/sheet28446.xml"/>
  <Override ContentType="application/vnd.openxmlformats-officedocument.spreadsheetml.worksheet+xml" PartName="/xl/worksheets/sheet28447.xml"/>
  <Override ContentType="application/vnd.openxmlformats-officedocument.spreadsheetml.worksheet+xml" PartName="/xl/worksheets/sheet28448.xml"/>
  <Override ContentType="application/vnd.openxmlformats-officedocument.spreadsheetml.worksheet+xml" PartName="/xl/worksheets/sheet28449.xml"/>
  <Override ContentType="application/vnd.openxmlformats-officedocument.spreadsheetml.worksheet+xml" PartName="/xl/worksheets/sheet28450.xml"/>
  <Override ContentType="application/vnd.openxmlformats-officedocument.spreadsheetml.worksheet+xml" PartName="/xl/worksheets/sheet28451.xml"/>
  <Override ContentType="application/vnd.openxmlformats-officedocument.spreadsheetml.worksheet+xml" PartName="/xl/worksheets/sheet28452.xml"/>
  <Override ContentType="application/vnd.openxmlformats-officedocument.spreadsheetml.worksheet+xml" PartName="/xl/worksheets/sheet28453.xml"/>
  <Override ContentType="application/vnd.openxmlformats-officedocument.spreadsheetml.worksheet+xml" PartName="/xl/worksheets/sheet28454.xml"/>
  <Override ContentType="application/vnd.openxmlformats-officedocument.spreadsheetml.worksheet+xml" PartName="/xl/worksheets/sheet28455.xml"/>
  <Override ContentType="application/vnd.openxmlformats-officedocument.spreadsheetml.worksheet+xml" PartName="/xl/worksheets/sheet28456.xml"/>
  <Override ContentType="application/vnd.openxmlformats-officedocument.spreadsheetml.worksheet+xml" PartName="/xl/worksheets/sheet28457.xml"/>
  <Override ContentType="application/vnd.openxmlformats-officedocument.spreadsheetml.worksheet+xml" PartName="/xl/worksheets/sheet28458.xml"/>
  <Override ContentType="application/vnd.openxmlformats-officedocument.spreadsheetml.worksheet+xml" PartName="/xl/worksheets/sheet28459.xml"/>
  <Override ContentType="application/vnd.openxmlformats-officedocument.spreadsheetml.worksheet+xml" PartName="/xl/worksheets/sheet28460.xml"/>
  <Override ContentType="application/vnd.openxmlformats-officedocument.spreadsheetml.worksheet+xml" PartName="/xl/worksheets/sheet28461.xml"/>
  <Override ContentType="application/vnd.openxmlformats-officedocument.spreadsheetml.worksheet+xml" PartName="/xl/worksheets/sheet28462.xml"/>
  <Override ContentType="application/vnd.openxmlformats-officedocument.spreadsheetml.worksheet+xml" PartName="/xl/worksheets/sheet28463.xml"/>
  <Override ContentType="application/vnd.openxmlformats-officedocument.spreadsheetml.worksheet+xml" PartName="/xl/worksheets/sheet28464.xml"/>
  <Override ContentType="application/vnd.openxmlformats-officedocument.spreadsheetml.worksheet+xml" PartName="/xl/worksheets/sheet28465.xml"/>
  <Override ContentType="application/vnd.openxmlformats-officedocument.spreadsheetml.worksheet+xml" PartName="/xl/worksheets/sheet28466.xml"/>
  <Override ContentType="application/vnd.openxmlformats-officedocument.spreadsheetml.worksheet+xml" PartName="/xl/worksheets/sheet28467.xml"/>
  <Override ContentType="application/vnd.openxmlformats-officedocument.spreadsheetml.worksheet+xml" PartName="/xl/worksheets/sheet28468.xml"/>
  <Override ContentType="application/vnd.openxmlformats-officedocument.spreadsheetml.worksheet+xml" PartName="/xl/worksheets/sheet28469.xml"/>
  <Override ContentType="application/vnd.openxmlformats-officedocument.spreadsheetml.worksheet+xml" PartName="/xl/worksheets/sheet28470.xml"/>
  <Override ContentType="application/vnd.openxmlformats-officedocument.spreadsheetml.worksheet+xml" PartName="/xl/worksheets/sheet28471.xml"/>
  <Override ContentType="application/vnd.openxmlformats-officedocument.spreadsheetml.worksheet+xml" PartName="/xl/worksheets/sheet28472.xml"/>
  <Override ContentType="application/vnd.openxmlformats-officedocument.spreadsheetml.worksheet+xml" PartName="/xl/worksheets/sheet28473.xml"/>
  <Override ContentType="application/vnd.openxmlformats-officedocument.spreadsheetml.worksheet+xml" PartName="/xl/worksheets/sheet28474.xml"/>
  <Override ContentType="application/vnd.openxmlformats-officedocument.spreadsheetml.worksheet+xml" PartName="/xl/worksheets/sheet28475.xml"/>
  <Override ContentType="application/vnd.openxmlformats-officedocument.spreadsheetml.worksheet+xml" PartName="/xl/worksheets/sheet28476.xml"/>
  <Override ContentType="application/vnd.openxmlformats-officedocument.spreadsheetml.worksheet+xml" PartName="/xl/worksheets/sheet28477.xml"/>
  <Override ContentType="application/vnd.openxmlformats-officedocument.spreadsheetml.worksheet+xml" PartName="/xl/worksheets/sheet28478.xml"/>
  <Override ContentType="application/vnd.openxmlformats-officedocument.spreadsheetml.worksheet+xml" PartName="/xl/worksheets/sheet28479.xml"/>
  <Override ContentType="application/vnd.openxmlformats-officedocument.spreadsheetml.worksheet+xml" PartName="/xl/worksheets/sheet28480.xml"/>
  <Override ContentType="application/vnd.openxmlformats-officedocument.spreadsheetml.worksheet+xml" PartName="/xl/worksheets/sheet28481.xml"/>
  <Override ContentType="application/vnd.openxmlformats-officedocument.spreadsheetml.worksheet+xml" PartName="/xl/worksheets/sheet28482.xml"/>
  <Override ContentType="application/vnd.openxmlformats-officedocument.spreadsheetml.worksheet+xml" PartName="/xl/worksheets/sheet28483.xml"/>
  <Override ContentType="application/vnd.openxmlformats-officedocument.spreadsheetml.worksheet+xml" PartName="/xl/worksheets/sheet28484.xml"/>
  <Override ContentType="application/vnd.openxmlformats-officedocument.spreadsheetml.worksheet+xml" PartName="/xl/worksheets/sheet28485.xml"/>
  <Override ContentType="application/vnd.openxmlformats-officedocument.spreadsheetml.worksheet+xml" PartName="/xl/worksheets/sheet28486.xml"/>
  <Override ContentType="application/vnd.openxmlformats-officedocument.spreadsheetml.worksheet+xml" PartName="/xl/worksheets/sheet28487.xml"/>
  <Override ContentType="application/vnd.openxmlformats-officedocument.spreadsheetml.worksheet+xml" PartName="/xl/worksheets/sheet28488.xml"/>
  <Override ContentType="application/vnd.openxmlformats-officedocument.spreadsheetml.worksheet+xml" PartName="/xl/worksheets/sheet28489.xml"/>
  <Override ContentType="application/vnd.openxmlformats-officedocument.spreadsheetml.worksheet+xml" PartName="/xl/worksheets/sheet28490.xml"/>
  <Override ContentType="application/vnd.openxmlformats-officedocument.spreadsheetml.worksheet+xml" PartName="/xl/worksheets/sheet28491.xml"/>
  <Override ContentType="application/vnd.openxmlformats-officedocument.spreadsheetml.worksheet+xml" PartName="/xl/worksheets/sheet28492.xml"/>
  <Override ContentType="application/vnd.openxmlformats-officedocument.spreadsheetml.worksheet+xml" PartName="/xl/worksheets/sheet28493.xml"/>
  <Override ContentType="application/vnd.openxmlformats-officedocument.spreadsheetml.worksheet+xml" PartName="/xl/worksheets/sheet28494.xml"/>
  <Override ContentType="application/vnd.openxmlformats-officedocument.spreadsheetml.worksheet+xml" PartName="/xl/worksheets/sheet28495.xml"/>
  <Override ContentType="application/vnd.openxmlformats-officedocument.spreadsheetml.worksheet+xml" PartName="/xl/worksheets/sheet28496.xml"/>
  <Override ContentType="application/vnd.openxmlformats-officedocument.spreadsheetml.worksheet+xml" PartName="/xl/worksheets/sheet28497.xml"/>
  <Override ContentType="application/vnd.openxmlformats-officedocument.spreadsheetml.worksheet+xml" PartName="/xl/worksheets/sheet28498.xml"/>
  <Override ContentType="application/vnd.openxmlformats-officedocument.spreadsheetml.worksheet+xml" PartName="/xl/worksheets/sheet28499.xml"/>
  <Override ContentType="application/vnd.openxmlformats-officedocument.spreadsheetml.worksheet+xml" PartName="/xl/worksheets/sheet28500.xml"/>
  <Override ContentType="application/vnd.openxmlformats-officedocument.spreadsheetml.worksheet+xml" PartName="/xl/worksheets/sheet28501.xml"/>
  <Override ContentType="application/vnd.openxmlformats-officedocument.spreadsheetml.worksheet+xml" PartName="/xl/worksheets/sheet28502.xml"/>
  <Override ContentType="application/vnd.openxmlformats-officedocument.spreadsheetml.worksheet+xml" PartName="/xl/worksheets/sheet28503.xml"/>
  <Override ContentType="application/vnd.openxmlformats-officedocument.spreadsheetml.worksheet+xml" PartName="/xl/worksheets/sheet28504.xml"/>
  <Override ContentType="application/vnd.openxmlformats-officedocument.spreadsheetml.worksheet+xml" PartName="/xl/worksheets/sheet28505.xml"/>
  <Override ContentType="application/vnd.openxmlformats-officedocument.spreadsheetml.worksheet+xml" PartName="/xl/worksheets/sheet28506.xml"/>
  <Override ContentType="application/vnd.openxmlformats-officedocument.spreadsheetml.worksheet+xml" PartName="/xl/worksheets/sheet28507.xml"/>
  <Override ContentType="application/vnd.openxmlformats-officedocument.spreadsheetml.worksheet+xml" PartName="/xl/worksheets/sheet28508.xml"/>
  <Override ContentType="application/vnd.openxmlformats-officedocument.spreadsheetml.worksheet+xml" PartName="/xl/worksheets/sheet28509.xml"/>
  <Override ContentType="application/vnd.openxmlformats-officedocument.spreadsheetml.worksheet+xml" PartName="/xl/worksheets/sheet28510.xml"/>
  <Override ContentType="application/vnd.openxmlformats-officedocument.spreadsheetml.worksheet+xml" PartName="/xl/worksheets/sheet28511.xml"/>
  <Override ContentType="application/vnd.openxmlformats-officedocument.spreadsheetml.worksheet+xml" PartName="/xl/worksheets/sheet28512.xml"/>
  <Override ContentType="application/vnd.openxmlformats-officedocument.spreadsheetml.worksheet+xml" PartName="/xl/worksheets/sheet28513.xml"/>
  <Override ContentType="application/vnd.openxmlformats-officedocument.spreadsheetml.worksheet+xml" PartName="/xl/worksheets/sheet28514.xml"/>
  <Override ContentType="application/vnd.openxmlformats-officedocument.spreadsheetml.worksheet+xml" PartName="/xl/worksheets/sheet28515.xml"/>
  <Override ContentType="application/vnd.openxmlformats-officedocument.spreadsheetml.worksheet+xml" PartName="/xl/worksheets/sheet28516.xml"/>
  <Override ContentType="application/vnd.openxmlformats-officedocument.spreadsheetml.worksheet+xml" PartName="/xl/worksheets/sheet28517.xml"/>
  <Override ContentType="application/vnd.openxmlformats-officedocument.spreadsheetml.worksheet+xml" PartName="/xl/worksheets/sheet28518.xml"/>
  <Override ContentType="application/vnd.openxmlformats-officedocument.spreadsheetml.worksheet+xml" PartName="/xl/worksheets/sheet28519.xml"/>
  <Override ContentType="application/vnd.openxmlformats-officedocument.spreadsheetml.worksheet+xml" PartName="/xl/worksheets/sheet28520.xml"/>
  <Override ContentType="application/vnd.openxmlformats-officedocument.spreadsheetml.worksheet+xml" PartName="/xl/worksheets/sheet28521.xml"/>
  <Override ContentType="application/vnd.openxmlformats-officedocument.spreadsheetml.worksheet+xml" PartName="/xl/worksheets/sheet28522.xml"/>
  <Override ContentType="application/vnd.openxmlformats-officedocument.spreadsheetml.worksheet+xml" PartName="/xl/worksheets/sheet28523.xml"/>
  <Override ContentType="application/vnd.openxmlformats-officedocument.spreadsheetml.worksheet+xml" PartName="/xl/worksheets/sheet28524.xml"/>
  <Override ContentType="application/vnd.openxmlformats-officedocument.spreadsheetml.worksheet+xml" PartName="/xl/worksheets/sheet28525.xml"/>
  <Override ContentType="application/vnd.openxmlformats-officedocument.spreadsheetml.worksheet+xml" PartName="/xl/worksheets/sheet28526.xml"/>
  <Override ContentType="application/vnd.openxmlformats-officedocument.spreadsheetml.worksheet+xml" PartName="/xl/worksheets/sheet28527.xml"/>
  <Override ContentType="application/vnd.openxmlformats-officedocument.spreadsheetml.worksheet+xml" PartName="/xl/worksheets/sheet28528.xml"/>
  <Override ContentType="application/vnd.openxmlformats-officedocument.spreadsheetml.worksheet+xml" PartName="/xl/worksheets/sheet28529.xml"/>
  <Override ContentType="application/vnd.openxmlformats-officedocument.spreadsheetml.worksheet+xml" PartName="/xl/worksheets/sheet28530.xml"/>
  <Override ContentType="application/vnd.openxmlformats-officedocument.spreadsheetml.worksheet+xml" PartName="/xl/worksheets/sheet28531.xml"/>
  <Override ContentType="application/vnd.openxmlformats-officedocument.spreadsheetml.worksheet+xml" PartName="/xl/worksheets/sheet28532.xml"/>
  <Override ContentType="application/vnd.openxmlformats-officedocument.spreadsheetml.worksheet+xml" PartName="/xl/worksheets/sheet28533.xml"/>
  <Override ContentType="application/vnd.openxmlformats-officedocument.spreadsheetml.worksheet+xml" PartName="/xl/worksheets/sheet28534.xml"/>
  <Override ContentType="application/vnd.openxmlformats-officedocument.spreadsheetml.worksheet+xml" PartName="/xl/worksheets/sheet28535.xml"/>
  <Override ContentType="application/vnd.openxmlformats-officedocument.spreadsheetml.worksheet+xml" PartName="/xl/worksheets/sheet28536.xml"/>
  <Override ContentType="application/vnd.openxmlformats-officedocument.spreadsheetml.worksheet+xml" PartName="/xl/worksheets/sheet28537.xml"/>
  <Override ContentType="application/vnd.openxmlformats-officedocument.spreadsheetml.worksheet+xml" PartName="/xl/worksheets/sheet28538.xml"/>
  <Override ContentType="application/vnd.openxmlformats-officedocument.spreadsheetml.worksheet+xml" PartName="/xl/worksheets/sheet28539.xml"/>
  <Override ContentType="application/vnd.openxmlformats-officedocument.spreadsheetml.worksheet+xml" PartName="/xl/worksheets/sheet28540.xml"/>
  <Override ContentType="application/vnd.openxmlformats-officedocument.spreadsheetml.worksheet+xml" PartName="/xl/worksheets/sheet28541.xml"/>
  <Override ContentType="application/vnd.openxmlformats-officedocument.spreadsheetml.worksheet+xml" PartName="/xl/worksheets/sheet28542.xml"/>
  <Override ContentType="application/vnd.openxmlformats-officedocument.spreadsheetml.worksheet+xml" PartName="/xl/worksheets/sheet28543.xml"/>
  <Override ContentType="application/vnd.openxmlformats-officedocument.spreadsheetml.worksheet+xml" PartName="/xl/worksheets/sheet28544.xml"/>
  <Override ContentType="application/vnd.openxmlformats-officedocument.spreadsheetml.worksheet+xml" PartName="/xl/worksheets/sheet28545.xml"/>
  <Override ContentType="application/vnd.openxmlformats-officedocument.spreadsheetml.worksheet+xml" PartName="/xl/worksheets/sheet28546.xml"/>
  <Override ContentType="application/vnd.openxmlformats-officedocument.spreadsheetml.worksheet+xml" PartName="/xl/worksheets/sheet28547.xml"/>
  <Override ContentType="application/vnd.openxmlformats-officedocument.spreadsheetml.worksheet+xml" PartName="/xl/worksheets/sheet28548.xml"/>
  <Override ContentType="application/vnd.openxmlformats-officedocument.spreadsheetml.worksheet+xml" PartName="/xl/worksheets/sheet28549.xml"/>
  <Override ContentType="application/vnd.openxmlformats-officedocument.spreadsheetml.worksheet+xml" PartName="/xl/worksheets/sheet28550.xml"/>
  <Override ContentType="application/vnd.openxmlformats-officedocument.spreadsheetml.worksheet+xml" PartName="/xl/worksheets/sheet28551.xml"/>
  <Override ContentType="application/vnd.openxmlformats-officedocument.spreadsheetml.worksheet+xml" PartName="/xl/worksheets/sheet28552.xml"/>
  <Override ContentType="application/vnd.openxmlformats-officedocument.spreadsheetml.worksheet+xml" PartName="/xl/worksheets/sheet28553.xml"/>
  <Override ContentType="application/vnd.openxmlformats-officedocument.spreadsheetml.worksheet+xml" PartName="/xl/worksheets/sheet28554.xml"/>
  <Override ContentType="application/vnd.openxmlformats-officedocument.spreadsheetml.worksheet+xml" PartName="/xl/worksheets/sheet28555.xml"/>
  <Override ContentType="application/vnd.openxmlformats-officedocument.spreadsheetml.worksheet+xml" PartName="/xl/worksheets/sheet28556.xml"/>
  <Override ContentType="application/vnd.openxmlformats-officedocument.spreadsheetml.worksheet+xml" PartName="/xl/worksheets/sheet28557.xml"/>
  <Override ContentType="application/vnd.openxmlformats-officedocument.spreadsheetml.worksheet+xml" PartName="/xl/worksheets/sheet28558.xml"/>
  <Override ContentType="application/vnd.openxmlformats-officedocument.spreadsheetml.worksheet+xml" PartName="/xl/worksheets/sheet28559.xml"/>
  <Override ContentType="application/vnd.openxmlformats-officedocument.spreadsheetml.worksheet+xml" PartName="/xl/worksheets/sheet28560.xml"/>
  <Override ContentType="application/vnd.openxmlformats-officedocument.spreadsheetml.worksheet+xml" PartName="/xl/worksheets/sheet28561.xml"/>
  <Override ContentType="application/vnd.openxmlformats-officedocument.spreadsheetml.worksheet+xml" PartName="/xl/worksheets/sheet28562.xml"/>
  <Override ContentType="application/vnd.openxmlformats-officedocument.spreadsheetml.worksheet+xml" PartName="/xl/worksheets/sheet28563.xml"/>
  <Override ContentType="application/vnd.openxmlformats-officedocument.spreadsheetml.worksheet+xml" PartName="/xl/worksheets/sheet28564.xml"/>
  <Override ContentType="application/vnd.openxmlformats-officedocument.spreadsheetml.worksheet+xml" PartName="/xl/worksheets/sheet28565.xml"/>
  <Override ContentType="application/vnd.openxmlformats-officedocument.spreadsheetml.worksheet+xml" PartName="/xl/worksheets/sheet28566.xml"/>
  <Override ContentType="application/vnd.openxmlformats-officedocument.spreadsheetml.worksheet+xml" PartName="/xl/worksheets/sheet28567.xml"/>
  <Override ContentType="application/vnd.openxmlformats-officedocument.spreadsheetml.worksheet+xml" PartName="/xl/worksheets/sheet28568.xml"/>
  <Override ContentType="application/vnd.openxmlformats-officedocument.spreadsheetml.worksheet+xml" PartName="/xl/worksheets/sheet28569.xml"/>
  <Override ContentType="application/vnd.openxmlformats-officedocument.spreadsheetml.worksheet+xml" PartName="/xl/worksheets/sheet28570.xml"/>
  <Override ContentType="application/vnd.openxmlformats-officedocument.spreadsheetml.worksheet+xml" PartName="/xl/worksheets/sheet28571.xml"/>
  <Override ContentType="application/vnd.openxmlformats-officedocument.spreadsheetml.worksheet+xml" PartName="/xl/worksheets/sheet28572.xml"/>
  <Override ContentType="application/vnd.openxmlformats-officedocument.spreadsheetml.worksheet+xml" PartName="/xl/worksheets/sheet28573.xml"/>
  <Override ContentType="application/vnd.openxmlformats-officedocument.spreadsheetml.worksheet+xml" PartName="/xl/worksheets/sheet28574.xml"/>
  <Override ContentType="application/vnd.openxmlformats-officedocument.spreadsheetml.worksheet+xml" PartName="/xl/worksheets/sheet28575.xml"/>
  <Override ContentType="application/vnd.openxmlformats-officedocument.spreadsheetml.worksheet+xml" PartName="/xl/worksheets/sheet28576.xml"/>
  <Override ContentType="application/vnd.openxmlformats-officedocument.spreadsheetml.worksheet+xml" PartName="/xl/worksheets/sheet28577.xml"/>
  <Override ContentType="application/vnd.openxmlformats-officedocument.spreadsheetml.worksheet+xml" PartName="/xl/worksheets/sheet28578.xml"/>
  <Override ContentType="application/vnd.openxmlformats-officedocument.spreadsheetml.worksheet+xml" PartName="/xl/worksheets/sheet28579.xml"/>
  <Override ContentType="application/vnd.openxmlformats-officedocument.spreadsheetml.worksheet+xml" PartName="/xl/worksheets/sheet28580.xml"/>
  <Override ContentType="application/vnd.openxmlformats-officedocument.spreadsheetml.worksheet+xml" PartName="/xl/worksheets/sheet28581.xml"/>
  <Override ContentType="application/vnd.openxmlformats-officedocument.spreadsheetml.worksheet+xml" PartName="/xl/worksheets/sheet28582.xml"/>
  <Override ContentType="application/vnd.openxmlformats-officedocument.spreadsheetml.worksheet+xml" PartName="/xl/worksheets/sheet28583.xml"/>
  <Override ContentType="application/vnd.openxmlformats-officedocument.spreadsheetml.worksheet+xml" PartName="/xl/worksheets/sheet28584.xml"/>
  <Override ContentType="application/vnd.openxmlformats-officedocument.spreadsheetml.worksheet+xml" PartName="/xl/worksheets/sheet28585.xml"/>
  <Override ContentType="application/vnd.openxmlformats-officedocument.spreadsheetml.worksheet+xml" PartName="/xl/worksheets/sheet28586.xml"/>
  <Override ContentType="application/vnd.openxmlformats-officedocument.spreadsheetml.worksheet+xml" PartName="/xl/worksheets/sheet28587.xml"/>
  <Override ContentType="application/vnd.openxmlformats-officedocument.spreadsheetml.worksheet+xml" PartName="/xl/worksheets/sheet28588.xml"/>
  <Override ContentType="application/vnd.openxmlformats-officedocument.spreadsheetml.worksheet+xml" PartName="/xl/worksheets/sheet28589.xml"/>
  <Override ContentType="application/vnd.openxmlformats-officedocument.spreadsheetml.worksheet+xml" PartName="/xl/worksheets/sheet28590.xml"/>
  <Override ContentType="application/vnd.openxmlformats-officedocument.spreadsheetml.worksheet+xml" PartName="/xl/worksheets/sheet28591.xml"/>
  <Override ContentType="application/vnd.openxmlformats-officedocument.spreadsheetml.worksheet+xml" PartName="/xl/worksheets/sheet28592.xml"/>
  <Override ContentType="application/vnd.openxmlformats-officedocument.spreadsheetml.worksheet+xml" PartName="/xl/worksheets/sheet28593.xml"/>
  <Override ContentType="application/vnd.openxmlformats-officedocument.spreadsheetml.worksheet+xml" PartName="/xl/worksheets/sheet28594.xml"/>
  <Override ContentType="application/vnd.openxmlformats-officedocument.spreadsheetml.worksheet+xml" PartName="/xl/worksheets/sheet28595.xml"/>
  <Override ContentType="application/vnd.openxmlformats-officedocument.spreadsheetml.worksheet+xml" PartName="/xl/worksheets/sheet28596.xml"/>
  <Override ContentType="application/vnd.openxmlformats-officedocument.spreadsheetml.worksheet+xml" PartName="/xl/worksheets/sheet28597.xml"/>
  <Override ContentType="application/vnd.openxmlformats-officedocument.spreadsheetml.worksheet+xml" PartName="/xl/worksheets/sheet28598.xml"/>
  <Override ContentType="application/vnd.openxmlformats-officedocument.spreadsheetml.worksheet+xml" PartName="/xl/worksheets/sheet28599.xml"/>
  <Override ContentType="application/vnd.openxmlformats-officedocument.spreadsheetml.worksheet+xml" PartName="/xl/worksheets/sheet28600.xml"/>
  <Override ContentType="application/vnd.openxmlformats-officedocument.spreadsheetml.worksheet+xml" PartName="/xl/worksheets/sheet28601.xml"/>
  <Override ContentType="application/vnd.openxmlformats-officedocument.spreadsheetml.worksheet+xml" PartName="/xl/worksheets/sheet28602.xml"/>
  <Override ContentType="application/vnd.openxmlformats-officedocument.spreadsheetml.worksheet+xml" PartName="/xl/worksheets/sheet28603.xml"/>
  <Override ContentType="application/vnd.openxmlformats-officedocument.spreadsheetml.worksheet+xml" PartName="/xl/worksheets/sheet28604.xml"/>
  <Override ContentType="application/vnd.openxmlformats-officedocument.spreadsheetml.worksheet+xml" PartName="/xl/worksheets/sheet28605.xml"/>
  <Override ContentType="application/vnd.openxmlformats-officedocument.spreadsheetml.worksheet+xml" PartName="/xl/worksheets/sheet28606.xml"/>
  <Override ContentType="application/vnd.openxmlformats-officedocument.spreadsheetml.worksheet+xml" PartName="/xl/worksheets/sheet28607.xml"/>
  <Override ContentType="application/vnd.openxmlformats-officedocument.spreadsheetml.worksheet+xml" PartName="/xl/worksheets/sheet28608.xml"/>
  <Override ContentType="application/vnd.openxmlformats-officedocument.spreadsheetml.worksheet+xml" PartName="/xl/worksheets/sheet28609.xml"/>
  <Override ContentType="application/vnd.openxmlformats-officedocument.spreadsheetml.worksheet+xml" PartName="/xl/worksheets/sheet28610.xml"/>
  <Override ContentType="application/vnd.openxmlformats-officedocument.spreadsheetml.worksheet+xml" PartName="/xl/worksheets/sheet28611.xml"/>
  <Override ContentType="application/vnd.openxmlformats-officedocument.spreadsheetml.worksheet+xml" PartName="/xl/worksheets/sheet28612.xml"/>
  <Override ContentType="application/vnd.openxmlformats-officedocument.spreadsheetml.worksheet+xml" PartName="/xl/worksheets/sheet28613.xml"/>
  <Override ContentType="application/vnd.openxmlformats-officedocument.spreadsheetml.worksheet+xml" PartName="/xl/worksheets/sheet28614.xml"/>
  <Override ContentType="application/vnd.openxmlformats-officedocument.spreadsheetml.worksheet+xml" PartName="/xl/worksheets/sheet28615.xml"/>
  <Override ContentType="application/vnd.openxmlformats-officedocument.spreadsheetml.worksheet+xml" PartName="/xl/worksheets/sheet28616.xml"/>
  <Override ContentType="application/vnd.openxmlformats-officedocument.spreadsheetml.worksheet+xml" PartName="/xl/worksheets/sheet28617.xml"/>
  <Override ContentType="application/vnd.openxmlformats-officedocument.spreadsheetml.worksheet+xml" PartName="/xl/worksheets/sheet28618.xml"/>
  <Override ContentType="application/vnd.openxmlformats-officedocument.spreadsheetml.worksheet+xml" PartName="/xl/worksheets/sheet28619.xml"/>
  <Override ContentType="application/vnd.openxmlformats-officedocument.spreadsheetml.worksheet+xml" PartName="/xl/worksheets/sheet28620.xml"/>
  <Override ContentType="application/vnd.openxmlformats-officedocument.spreadsheetml.worksheet+xml" PartName="/xl/worksheets/sheet28621.xml"/>
  <Override ContentType="application/vnd.openxmlformats-officedocument.spreadsheetml.worksheet+xml" PartName="/xl/worksheets/sheet28622.xml"/>
  <Override ContentType="application/vnd.openxmlformats-officedocument.spreadsheetml.worksheet+xml" PartName="/xl/worksheets/sheet28623.xml"/>
  <Override ContentType="application/vnd.openxmlformats-officedocument.spreadsheetml.worksheet+xml" PartName="/xl/worksheets/sheet28624.xml"/>
  <Override ContentType="application/vnd.openxmlformats-officedocument.spreadsheetml.worksheet+xml" PartName="/xl/worksheets/sheet28625.xml"/>
  <Override ContentType="application/vnd.openxmlformats-officedocument.spreadsheetml.worksheet+xml" PartName="/xl/worksheets/sheet28626.xml"/>
  <Override ContentType="application/vnd.openxmlformats-officedocument.spreadsheetml.worksheet+xml" PartName="/xl/worksheets/sheet28627.xml"/>
  <Override ContentType="application/vnd.openxmlformats-officedocument.spreadsheetml.worksheet+xml" PartName="/xl/worksheets/sheet28628.xml"/>
  <Override ContentType="application/vnd.openxmlformats-officedocument.spreadsheetml.worksheet+xml" PartName="/xl/worksheets/sheet28629.xml"/>
  <Override ContentType="application/vnd.openxmlformats-officedocument.spreadsheetml.worksheet+xml" PartName="/xl/worksheets/sheet28630.xml"/>
  <Override ContentType="application/vnd.openxmlformats-officedocument.spreadsheetml.worksheet+xml" PartName="/xl/worksheets/sheet28631.xml"/>
  <Override ContentType="application/vnd.openxmlformats-officedocument.spreadsheetml.worksheet+xml" PartName="/xl/worksheets/sheet28632.xml"/>
  <Override ContentType="application/vnd.openxmlformats-officedocument.spreadsheetml.worksheet+xml" PartName="/xl/worksheets/sheet28633.xml"/>
  <Override ContentType="application/vnd.openxmlformats-officedocument.spreadsheetml.worksheet+xml" PartName="/xl/worksheets/sheet28634.xml"/>
  <Override ContentType="application/vnd.openxmlformats-officedocument.spreadsheetml.worksheet+xml" PartName="/xl/worksheets/sheet28635.xml"/>
  <Override ContentType="application/vnd.openxmlformats-officedocument.spreadsheetml.worksheet+xml" PartName="/xl/worksheets/sheet28636.xml"/>
  <Override ContentType="application/vnd.openxmlformats-officedocument.spreadsheetml.worksheet+xml" PartName="/xl/worksheets/sheet28637.xml"/>
  <Override ContentType="application/vnd.openxmlformats-officedocument.spreadsheetml.worksheet+xml" PartName="/xl/worksheets/sheet28638.xml"/>
  <Override ContentType="application/vnd.openxmlformats-officedocument.spreadsheetml.worksheet+xml" PartName="/xl/worksheets/sheet28639.xml"/>
  <Override ContentType="application/vnd.openxmlformats-officedocument.spreadsheetml.worksheet+xml" PartName="/xl/worksheets/sheet28640.xml"/>
  <Override ContentType="application/vnd.openxmlformats-officedocument.spreadsheetml.worksheet+xml" PartName="/xl/worksheets/sheet28641.xml"/>
  <Override ContentType="application/vnd.openxmlformats-officedocument.spreadsheetml.worksheet+xml" PartName="/xl/worksheets/sheet28642.xml"/>
  <Override ContentType="application/vnd.openxmlformats-officedocument.spreadsheetml.worksheet+xml" PartName="/xl/worksheets/sheet28643.xml"/>
  <Override ContentType="application/vnd.openxmlformats-officedocument.spreadsheetml.worksheet+xml" PartName="/xl/worksheets/sheet28644.xml"/>
  <Override ContentType="application/vnd.openxmlformats-officedocument.spreadsheetml.worksheet+xml" PartName="/xl/worksheets/sheet28645.xml"/>
  <Override ContentType="application/vnd.openxmlformats-officedocument.spreadsheetml.worksheet+xml" PartName="/xl/worksheets/sheet28646.xml"/>
  <Override ContentType="application/vnd.openxmlformats-officedocument.spreadsheetml.worksheet+xml" PartName="/xl/worksheets/sheet28647.xml"/>
  <Override ContentType="application/vnd.openxmlformats-officedocument.spreadsheetml.worksheet+xml" PartName="/xl/worksheets/sheet28648.xml"/>
  <Override ContentType="application/vnd.openxmlformats-officedocument.spreadsheetml.worksheet+xml" PartName="/xl/worksheets/sheet28649.xml"/>
  <Override ContentType="application/vnd.openxmlformats-officedocument.spreadsheetml.worksheet+xml" PartName="/xl/worksheets/sheet28650.xml"/>
  <Override ContentType="application/vnd.openxmlformats-officedocument.spreadsheetml.worksheet+xml" PartName="/xl/worksheets/sheet28651.xml"/>
  <Override ContentType="application/vnd.openxmlformats-officedocument.spreadsheetml.worksheet+xml" PartName="/xl/worksheets/sheet28652.xml"/>
  <Override ContentType="application/vnd.openxmlformats-officedocument.spreadsheetml.worksheet+xml" PartName="/xl/worksheets/sheet28653.xml"/>
  <Override ContentType="application/vnd.openxmlformats-officedocument.spreadsheetml.worksheet+xml" PartName="/xl/worksheets/sheet28654.xml"/>
  <Override ContentType="application/vnd.openxmlformats-officedocument.spreadsheetml.worksheet+xml" PartName="/xl/worksheets/sheet28655.xml"/>
  <Override ContentType="application/vnd.openxmlformats-officedocument.spreadsheetml.worksheet+xml" PartName="/xl/worksheets/sheet28656.xml"/>
  <Override ContentType="application/vnd.openxmlformats-officedocument.spreadsheetml.worksheet+xml" PartName="/xl/worksheets/sheet28657.xml"/>
  <Override ContentType="application/vnd.openxmlformats-officedocument.spreadsheetml.worksheet+xml" PartName="/xl/worksheets/sheet28658.xml"/>
  <Override ContentType="application/vnd.openxmlformats-officedocument.spreadsheetml.worksheet+xml" PartName="/xl/worksheets/sheet28659.xml"/>
  <Override ContentType="application/vnd.openxmlformats-officedocument.spreadsheetml.worksheet+xml" PartName="/xl/worksheets/sheet28660.xml"/>
  <Override ContentType="application/vnd.openxmlformats-officedocument.spreadsheetml.worksheet+xml" PartName="/xl/worksheets/sheet28661.xml"/>
  <Override ContentType="application/vnd.openxmlformats-officedocument.spreadsheetml.worksheet+xml" PartName="/xl/worksheets/sheet28662.xml"/>
  <Override ContentType="application/vnd.openxmlformats-officedocument.spreadsheetml.worksheet+xml" PartName="/xl/worksheets/sheet28663.xml"/>
  <Override ContentType="application/vnd.openxmlformats-officedocument.spreadsheetml.worksheet+xml" PartName="/xl/worksheets/sheet28664.xml"/>
  <Override ContentType="application/vnd.openxmlformats-officedocument.spreadsheetml.worksheet+xml" PartName="/xl/worksheets/sheet28665.xml"/>
  <Override ContentType="application/vnd.openxmlformats-officedocument.spreadsheetml.worksheet+xml" PartName="/xl/worksheets/sheet28666.xml"/>
  <Override ContentType="application/vnd.openxmlformats-officedocument.spreadsheetml.worksheet+xml" PartName="/xl/worksheets/sheet28667.xml"/>
  <Override ContentType="application/vnd.openxmlformats-officedocument.spreadsheetml.worksheet+xml" PartName="/xl/worksheets/sheet28668.xml"/>
  <Override ContentType="application/vnd.openxmlformats-officedocument.spreadsheetml.worksheet+xml" PartName="/xl/worksheets/sheet28669.xml"/>
  <Override ContentType="application/vnd.openxmlformats-officedocument.spreadsheetml.worksheet+xml" PartName="/xl/worksheets/sheet28670.xml"/>
  <Override ContentType="application/vnd.openxmlformats-officedocument.spreadsheetml.worksheet+xml" PartName="/xl/worksheets/sheet28671.xml"/>
  <Override ContentType="application/vnd.openxmlformats-officedocument.spreadsheetml.worksheet+xml" PartName="/xl/worksheets/sheet28672.xml"/>
  <Override ContentType="application/vnd.openxmlformats-officedocument.spreadsheetml.worksheet+xml" PartName="/xl/worksheets/sheet28673.xml"/>
  <Override ContentType="application/vnd.openxmlformats-officedocument.spreadsheetml.worksheet+xml" PartName="/xl/worksheets/sheet28674.xml"/>
  <Override ContentType="application/vnd.openxmlformats-officedocument.spreadsheetml.worksheet+xml" PartName="/xl/worksheets/sheet28675.xml"/>
  <Override ContentType="application/vnd.openxmlformats-officedocument.spreadsheetml.worksheet+xml" PartName="/xl/worksheets/sheet28676.xml"/>
  <Override ContentType="application/vnd.openxmlformats-officedocument.spreadsheetml.worksheet+xml" PartName="/xl/worksheets/sheet28677.xml"/>
  <Override ContentType="application/vnd.openxmlformats-officedocument.spreadsheetml.worksheet+xml" PartName="/xl/worksheets/sheet28678.xml"/>
  <Override ContentType="application/vnd.openxmlformats-officedocument.spreadsheetml.worksheet+xml" PartName="/xl/worksheets/sheet28679.xml"/>
  <Override ContentType="application/vnd.openxmlformats-officedocument.spreadsheetml.worksheet+xml" PartName="/xl/worksheets/sheet28680.xml"/>
  <Override ContentType="application/vnd.openxmlformats-officedocument.spreadsheetml.worksheet+xml" PartName="/xl/worksheets/sheet28681.xml"/>
  <Override ContentType="application/vnd.openxmlformats-officedocument.spreadsheetml.worksheet+xml" PartName="/xl/worksheets/sheet28682.xml"/>
  <Override ContentType="application/vnd.openxmlformats-officedocument.spreadsheetml.worksheet+xml" PartName="/xl/worksheets/sheet28683.xml"/>
  <Override ContentType="application/vnd.openxmlformats-officedocument.spreadsheetml.worksheet+xml" PartName="/xl/worksheets/sheet28684.xml"/>
  <Override ContentType="application/vnd.openxmlformats-officedocument.spreadsheetml.worksheet+xml" PartName="/xl/worksheets/sheet28685.xml"/>
  <Override ContentType="application/vnd.openxmlformats-officedocument.spreadsheetml.worksheet+xml" PartName="/xl/worksheets/sheet28686.xml"/>
  <Override ContentType="application/vnd.openxmlformats-officedocument.spreadsheetml.worksheet+xml" PartName="/xl/worksheets/sheet28687.xml"/>
  <Override ContentType="application/vnd.openxmlformats-officedocument.spreadsheetml.worksheet+xml" PartName="/xl/worksheets/sheet28688.xml"/>
  <Override ContentType="application/vnd.openxmlformats-officedocument.spreadsheetml.worksheet+xml" PartName="/xl/worksheets/sheet28689.xml"/>
  <Override ContentType="application/vnd.openxmlformats-officedocument.spreadsheetml.worksheet+xml" PartName="/xl/worksheets/sheet28690.xml"/>
  <Override ContentType="application/vnd.openxmlformats-officedocument.spreadsheetml.worksheet+xml" PartName="/xl/worksheets/sheet28691.xml"/>
  <Override ContentType="application/vnd.openxmlformats-officedocument.spreadsheetml.worksheet+xml" PartName="/xl/worksheets/sheet28692.xml"/>
  <Override ContentType="application/vnd.openxmlformats-officedocument.spreadsheetml.worksheet+xml" PartName="/xl/worksheets/sheet28693.xml"/>
  <Override ContentType="application/vnd.openxmlformats-officedocument.spreadsheetml.worksheet+xml" PartName="/xl/worksheets/sheet28694.xml"/>
  <Override ContentType="application/vnd.openxmlformats-officedocument.spreadsheetml.worksheet+xml" PartName="/xl/worksheets/sheet28695.xml"/>
  <Override ContentType="application/vnd.openxmlformats-officedocument.spreadsheetml.worksheet+xml" PartName="/xl/worksheets/sheet28696.xml"/>
  <Override ContentType="application/vnd.openxmlformats-officedocument.spreadsheetml.worksheet+xml" PartName="/xl/worksheets/sheet28697.xml"/>
  <Override ContentType="application/vnd.openxmlformats-officedocument.spreadsheetml.worksheet+xml" PartName="/xl/worksheets/sheet28698.xml"/>
  <Override ContentType="application/vnd.openxmlformats-officedocument.spreadsheetml.worksheet+xml" PartName="/xl/worksheets/sheet28699.xml"/>
  <Override ContentType="application/vnd.openxmlformats-officedocument.spreadsheetml.worksheet+xml" PartName="/xl/worksheets/sheet28700.xml"/>
  <Override ContentType="application/vnd.openxmlformats-officedocument.spreadsheetml.worksheet+xml" PartName="/xl/worksheets/sheet28701.xml"/>
  <Override ContentType="application/vnd.openxmlformats-officedocument.spreadsheetml.worksheet+xml" PartName="/xl/worksheets/sheet28702.xml"/>
  <Override ContentType="application/vnd.openxmlformats-officedocument.spreadsheetml.worksheet+xml" PartName="/xl/worksheets/sheet28703.xml"/>
  <Override ContentType="application/vnd.openxmlformats-officedocument.spreadsheetml.worksheet+xml" PartName="/xl/worksheets/sheet28704.xml"/>
  <Override ContentType="application/vnd.openxmlformats-officedocument.spreadsheetml.worksheet+xml" PartName="/xl/worksheets/sheet28705.xml"/>
  <Override ContentType="application/vnd.openxmlformats-officedocument.spreadsheetml.worksheet+xml" PartName="/xl/worksheets/sheet28706.xml"/>
  <Override ContentType="application/vnd.openxmlformats-officedocument.spreadsheetml.worksheet+xml" PartName="/xl/worksheets/sheet28707.xml"/>
  <Override ContentType="application/vnd.openxmlformats-officedocument.spreadsheetml.worksheet+xml" PartName="/xl/worksheets/sheet28708.xml"/>
  <Override ContentType="application/vnd.openxmlformats-officedocument.spreadsheetml.worksheet+xml" PartName="/xl/worksheets/sheet28709.xml"/>
  <Override ContentType="application/vnd.openxmlformats-officedocument.spreadsheetml.worksheet+xml" PartName="/xl/worksheets/sheet28710.xml"/>
  <Override ContentType="application/vnd.openxmlformats-officedocument.spreadsheetml.worksheet+xml" PartName="/xl/worksheets/sheet28711.xml"/>
  <Override ContentType="application/vnd.openxmlformats-officedocument.spreadsheetml.worksheet+xml" PartName="/xl/worksheets/sheet28712.xml"/>
  <Override ContentType="application/vnd.openxmlformats-officedocument.spreadsheetml.worksheet+xml" PartName="/xl/worksheets/sheet28713.xml"/>
  <Override ContentType="application/vnd.openxmlformats-officedocument.spreadsheetml.worksheet+xml" PartName="/xl/worksheets/sheet28714.xml"/>
  <Override ContentType="application/vnd.openxmlformats-officedocument.spreadsheetml.worksheet+xml" PartName="/xl/worksheets/sheet28715.xml"/>
  <Override ContentType="application/vnd.openxmlformats-officedocument.spreadsheetml.worksheet+xml" PartName="/xl/worksheets/sheet28716.xml"/>
  <Override ContentType="application/vnd.openxmlformats-officedocument.spreadsheetml.worksheet+xml" PartName="/xl/worksheets/sheet28717.xml"/>
  <Override ContentType="application/vnd.openxmlformats-officedocument.spreadsheetml.worksheet+xml" PartName="/xl/worksheets/sheet28718.xml"/>
  <Override ContentType="application/vnd.openxmlformats-officedocument.spreadsheetml.worksheet+xml" PartName="/xl/worksheets/sheet28719.xml"/>
  <Override ContentType="application/vnd.openxmlformats-officedocument.spreadsheetml.worksheet+xml" PartName="/xl/worksheets/sheet28720.xml"/>
  <Override ContentType="application/vnd.openxmlformats-officedocument.spreadsheetml.worksheet+xml" PartName="/xl/worksheets/sheet28721.xml"/>
  <Override ContentType="application/vnd.openxmlformats-officedocument.spreadsheetml.worksheet+xml" PartName="/xl/worksheets/sheet28722.xml"/>
  <Override ContentType="application/vnd.openxmlformats-officedocument.spreadsheetml.worksheet+xml" PartName="/xl/worksheets/sheet28723.xml"/>
  <Override ContentType="application/vnd.openxmlformats-officedocument.spreadsheetml.worksheet+xml" PartName="/xl/worksheets/sheet28724.xml"/>
  <Override ContentType="application/vnd.openxmlformats-officedocument.spreadsheetml.worksheet+xml" PartName="/xl/worksheets/sheet28725.xml"/>
  <Override ContentType="application/vnd.openxmlformats-officedocument.spreadsheetml.worksheet+xml" PartName="/xl/worksheets/sheet28726.xml"/>
  <Override ContentType="application/vnd.openxmlformats-officedocument.spreadsheetml.worksheet+xml" PartName="/xl/worksheets/sheet28727.xml"/>
  <Override ContentType="application/vnd.openxmlformats-officedocument.spreadsheetml.worksheet+xml" PartName="/xl/worksheets/sheet28728.xml"/>
  <Override ContentType="application/vnd.openxmlformats-officedocument.spreadsheetml.worksheet+xml" PartName="/xl/worksheets/sheet28729.xml"/>
  <Override ContentType="application/vnd.openxmlformats-officedocument.spreadsheetml.worksheet+xml" PartName="/xl/worksheets/sheet28730.xml"/>
  <Override ContentType="application/vnd.openxmlformats-officedocument.spreadsheetml.worksheet+xml" PartName="/xl/worksheets/sheet28731.xml"/>
  <Override ContentType="application/vnd.openxmlformats-officedocument.spreadsheetml.worksheet+xml" PartName="/xl/worksheets/sheet28732.xml"/>
  <Override ContentType="application/vnd.openxmlformats-officedocument.spreadsheetml.worksheet+xml" PartName="/xl/worksheets/sheet28733.xml"/>
  <Override ContentType="application/vnd.openxmlformats-officedocument.spreadsheetml.worksheet+xml" PartName="/xl/worksheets/sheet28734.xml"/>
  <Override ContentType="application/vnd.openxmlformats-officedocument.spreadsheetml.worksheet+xml" PartName="/xl/worksheets/sheet28735.xml"/>
  <Override ContentType="application/vnd.openxmlformats-officedocument.spreadsheetml.worksheet+xml" PartName="/xl/worksheets/sheet28736.xml"/>
  <Override ContentType="application/vnd.openxmlformats-officedocument.spreadsheetml.worksheet+xml" PartName="/xl/worksheets/sheet28737.xml"/>
  <Override ContentType="application/vnd.openxmlformats-officedocument.spreadsheetml.worksheet+xml" PartName="/xl/worksheets/sheet28738.xml"/>
  <Override ContentType="application/vnd.openxmlformats-officedocument.spreadsheetml.worksheet+xml" PartName="/xl/worksheets/sheet28739.xml"/>
  <Override ContentType="application/vnd.openxmlformats-officedocument.spreadsheetml.worksheet+xml" PartName="/xl/worksheets/sheet28740.xml"/>
  <Override ContentType="application/vnd.openxmlformats-officedocument.spreadsheetml.worksheet+xml" PartName="/xl/worksheets/sheet28741.xml"/>
  <Override ContentType="application/vnd.openxmlformats-officedocument.spreadsheetml.worksheet+xml" PartName="/xl/worksheets/sheet28742.xml"/>
  <Override ContentType="application/vnd.openxmlformats-officedocument.spreadsheetml.worksheet+xml" PartName="/xl/worksheets/sheet28743.xml"/>
  <Override ContentType="application/vnd.openxmlformats-officedocument.spreadsheetml.worksheet+xml" PartName="/xl/worksheets/sheet28744.xml"/>
  <Override ContentType="application/vnd.openxmlformats-officedocument.spreadsheetml.worksheet+xml" PartName="/xl/worksheets/sheet28745.xml"/>
  <Override ContentType="application/vnd.openxmlformats-officedocument.spreadsheetml.worksheet+xml" PartName="/xl/worksheets/sheet28746.xml"/>
  <Override ContentType="application/vnd.openxmlformats-officedocument.spreadsheetml.worksheet+xml" PartName="/xl/worksheets/sheet28747.xml"/>
  <Override ContentType="application/vnd.openxmlformats-officedocument.spreadsheetml.worksheet+xml" PartName="/xl/worksheets/sheet28748.xml"/>
  <Override ContentType="application/vnd.openxmlformats-officedocument.spreadsheetml.worksheet+xml" PartName="/xl/worksheets/sheet28749.xml"/>
  <Override ContentType="application/vnd.openxmlformats-officedocument.spreadsheetml.worksheet+xml" PartName="/xl/worksheets/sheet28750.xml"/>
  <Override ContentType="application/vnd.openxmlformats-officedocument.spreadsheetml.worksheet+xml" PartName="/xl/worksheets/sheet28751.xml"/>
  <Override ContentType="application/vnd.openxmlformats-officedocument.spreadsheetml.worksheet+xml" PartName="/xl/worksheets/sheet28752.xml"/>
  <Override ContentType="application/vnd.openxmlformats-officedocument.spreadsheetml.worksheet+xml" PartName="/xl/worksheets/sheet28753.xml"/>
  <Override ContentType="application/vnd.openxmlformats-officedocument.spreadsheetml.worksheet+xml" PartName="/xl/worksheets/sheet28754.xml"/>
  <Override ContentType="application/vnd.openxmlformats-officedocument.spreadsheetml.worksheet+xml" PartName="/xl/worksheets/sheet28755.xml"/>
  <Override ContentType="application/vnd.openxmlformats-officedocument.spreadsheetml.worksheet+xml" PartName="/xl/worksheets/sheet28756.xml"/>
  <Override ContentType="application/vnd.openxmlformats-officedocument.spreadsheetml.worksheet+xml" PartName="/xl/worksheets/sheet28757.xml"/>
  <Override ContentType="application/vnd.openxmlformats-officedocument.spreadsheetml.worksheet+xml" PartName="/xl/worksheets/sheet28758.xml"/>
  <Override ContentType="application/vnd.openxmlformats-officedocument.spreadsheetml.worksheet+xml" PartName="/xl/worksheets/sheet28759.xml"/>
  <Override ContentType="application/vnd.openxmlformats-officedocument.spreadsheetml.worksheet+xml" PartName="/xl/worksheets/sheet28760.xml"/>
  <Override ContentType="application/vnd.openxmlformats-officedocument.spreadsheetml.worksheet+xml" PartName="/xl/worksheets/sheet28761.xml"/>
  <Override ContentType="application/vnd.openxmlformats-officedocument.spreadsheetml.worksheet+xml" PartName="/xl/worksheets/sheet28762.xml"/>
  <Override ContentType="application/vnd.openxmlformats-officedocument.spreadsheetml.worksheet+xml" PartName="/xl/worksheets/sheet28763.xml"/>
  <Override ContentType="application/vnd.openxmlformats-officedocument.spreadsheetml.worksheet+xml" PartName="/xl/worksheets/sheet28764.xml"/>
  <Override ContentType="application/vnd.openxmlformats-officedocument.spreadsheetml.worksheet+xml" PartName="/xl/worksheets/sheet28765.xml"/>
  <Override ContentType="application/vnd.openxmlformats-officedocument.spreadsheetml.worksheet+xml" PartName="/xl/worksheets/sheet28766.xml"/>
  <Override ContentType="application/vnd.openxmlformats-officedocument.spreadsheetml.worksheet+xml" PartName="/xl/worksheets/sheet28767.xml"/>
  <Override ContentType="application/vnd.openxmlformats-officedocument.spreadsheetml.worksheet+xml" PartName="/xl/worksheets/sheet28768.xml"/>
  <Override ContentType="application/vnd.openxmlformats-officedocument.spreadsheetml.worksheet+xml" PartName="/xl/worksheets/sheet28769.xml"/>
  <Override ContentType="application/vnd.openxmlformats-officedocument.spreadsheetml.worksheet+xml" PartName="/xl/worksheets/sheet28770.xml"/>
  <Override ContentType="application/vnd.openxmlformats-officedocument.spreadsheetml.worksheet+xml" PartName="/xl/worksheets/sheet28771.xml"/>
  <Override ContentType="application/vnd.openxmlformats-officedocument.spreadsheetml.worksheet+xml" PartName="/xl/worksheets/sheet28772.xml"/>
  <Override ContentType="application/vnd.openxmlformats-officedocument.spreadsheetml.worksheet+xml" PartName="/xl/worksheets/sheet28773.xml"/>
  <Override ContentType="application/vnd.openxmlformats-officedocument.spreadsheetml.worksheet+xml" PartName="/xl/worksheets/sheet28774.xml"/>
  <Override ContentType="application/vnd.openxmlformats-officedocument.spreadsheetml.worksheet+xml" PartName="/xl/worksheets/sheet28775.xml"/>
  <Override ContentType="application/vnd.openxmlformats-officedocument.spreadsheetml.worksheet+xml" PartName="/xl/worksheets/sheet28776.xml"/>
  <Override ContentType="application/vnd.openxmlformats-officedocument.spreadsheetml.worksheet+xml" PartName="/xl/worksheets/sheet28777.xml"/>
  <Override ContentType="application/vnd.openxmlformats-officedocument.spreadsheetml.worksheet+xml" PartName="/xl/worksheets/sheet28778.xml"/>
  <Override ContentType="application/vnd.openxmlformats-officedocument.spreadsheetml.worksheet+xml" PartName="/xl/worksheets/sheet28779.xml"/>
  <Override ContentType="application/vnd.openxmlformats-officedocument.spreadsheetml.worksheet+xml" PartName="/xl/worksheets/sheet28780.xml"/>
  <Override ContentType="application/vnd.openxmlformats-officedocument.spreadsheetml.worksheet+xml" PartName="/xl/worksheets/sheet28781.xml"/>
  <Override ContentType="application/vnd.openxmlformats-officedocument.spreadsheetml.worksheet+xml" PartName="/xl/worksheets/sheet28782.xml"/>
  <Override ContentType="application/vnd.openxmlformats-officedocument.spreadsheetml.worksheet+xml" PartName="/xl/worksheets/sheet28783.xml"/>
  <Override ContentType="application/vnd.openxmlformats-officedocument.spreadsheetml.worksheet+xml" PartName="/xl/worksheets/sheet28784.xml"/>
  <Override ContentType="application/vnd.openxmlformats-officedocument.spreadsheetml.worksheet+xml" PartName="/xl/worksheets/sheet28785.xml"/>
  <Override ContentType="application/vnd.openxmlformats-officedocument.spreadsheetml.worksheet+xml" PartName="/xl/worksheets/sheet28786.xml"/>
  <Override ContentType="application/vnd.openxmlformats-officedocument.spreadsheetml.worksheet+xml" PartName="/xl/worksheets/sheet28787.xml"/>
  <Override ContentType="application/vnd.openxmlformats-officedocument.spreadsheetml.worksheet+xml" PartName="/xl/worksheets/sheet28788.xml"/>
  <Override ContentType="application/vnd.openxmlformats-officedocument.spreadsheetml.worksheet+xml" PartName="/xl/worksheets/sheet28789.xml"/>
  <Override ContentType="application/vnd.openxmlformats-officedocument.spreadsheetml.worksheet+xml" PartName="/xl/worksheets/sheet28790.xml"/>
  <Override ContentType="application/vnd.openxmlformats-officedocument.spreadsheetml.worksheet+xml" PartName="/xl/worksheets/sheet28791.xml"/>
  <Override ContentType="application/vnd.openxmlformats-officedocument.spreadsheetml.worksheet+xml" PartName="/xl/worksheets/sheet28792.xml"/>
  <Override ContentType="application/vnd.openxmlformats-officedocument.spreadsheetml.worksheet+xml" PartName="/xl/worksheets/sheet28793.xml"/>
  <Override ContentType="application/vnd.openxmlformats-officedocument.spreadsheetml.worksheet+xml" PartName="/xl/worksheets/sheet28794.xml"/>
  <Override ContentType="application/vnd.openxmlformats-officedocument.spreadsheetml.worksheet+xml" PartName="/xl/worksheets/sheet28795.xml"/>
  <Override ContentType="application/vnd.openxmlformats-officedocument.spreadsheetml.worksheet+xml" PartName="/xl/worksheets/sheet28796.xml"/>
  <Override ContentType="application/vnd.openxmlformats-officedocument.spreadsheetml.worksheet+xml" PartName="/xl/worksheets/sheet28797.xml"/>
  <Override ContentType="application/vnd.openxmlformats-officedocument.spreadsheetml.worksheet+xml" PartName="/xl/worksheets/sheet28798.xml"/>
  <Override ContentType="application/vnd.openxmlformats-officedocument.spreadsheetml.worksheet+xml" PartName="/xl/worksheets/sheet28799.xml"/>
  <Override ContentType="application/vnd.openxmlformats-officedocument.spreadsheetml.worksheet+xml" PartName="/xl/worksheets/sheet28800.xml"/>
  <Override ContentType="application/vnd.openxmlformats-officedocument.spreadsheetml.worksheet+xml" PartName="/xl/worksheets/sheet28801.xml"/>
  <Override ContentType="application/vnd.openxmlformats-officedocument.spreadsheetml.worksheet+xml" PartName="/xl/worksheets/sheet28802.xml"/>
  <Override ContentType="application/vnd.openxmlformats-officedocument.spreadsheetml.worksheet+xml" PartName="/xl/worksheets/sheet28803.xml"/>
  <Override ContentType="application/vnd.openxmlformats-officedocument.spreadsheetml.worksheet+xml" PartName="/xl/worksheets/sheet28804.xml"/>
  <Override ContentType="application/vnd.openxmlformats-officedocument.spreadsheetml.worksheet+xml" PartName="/xl/worksheets/sheet28805.xml"/>
  <Override ContentType="application/vnd.openxmlformats-officedocument.spreadsheetml.worksheet+xml" PartName="/xl/worksheets/sheet28806.xml"/>
  <Override ContentType="application/vnd.openxmlformats-officedocument.spreadsheetml.worksheet+xml" PartName="/xl/worksheets/sheet28807.xml"/>
  <Override ContentType="application/vnd.openxmlformats-officedocument.spreadsheetml.worksheet+xml" PartName="/xl/worksheets/sheet28808.xml"/>
  <Override ContentType="application/vnd.openxmlformats-officedocument.spreadsheetml.worksheet+xml" PartName="/xl/worksheets/sheet28809.xml"/>
  <Override ContentType="application/vnd.openxmlformats-officedocument.spreadsheetml.worksheet+xml" PartName="/xl/worksheets/sheet28810.xml"/>
  <Override ContentType="application/vnd.openxmlformats-officedocument.spreadsheetml.worksheet+xml" PartName="/xl/worksheets/sheet28811.xml"/>
  <Override ContentType="application/vnd.openxmlformats-officedocument.spreadsheetml.worksheet+xml" PartName="/xl/worksheets/sheet28812.xml"/>
  <Override ContentType="application/vnd.openxmlformats-officedocument.spreadsheetml.worksheet+xml" PartName="/xl/worksheets/sheet28813.xml"/>
  <Override ContentType="application/vnd.openxmlformats-officedocument.spreadsheetml.worksheet+xml" PartName="/xl/worksheets/sheet28814.xml"/>
  <Override ContentType="application/vnd.openxmlformats-officedocument.spreadsheetml.worksheet+xml" PartName="/xl/worksheets/sheet28815.xml"/>
  <Override ContentType="application/vnd.openxmlformats-officedocument.spreadsheetml.worksheet+xml" PartName="/xl/worksheets/sheet28816.xml"/>
  <Override ContentType="application/vnd.openxmlformats-officedocument.spreadsheetml.worksheet+xml" PartName="/xl/worksheets/sheet28817.xml"/>
  <Override ContentType="application/vnd.openxmlformats-officedocument.spreadsheetml.worksheet+xml" PartName="/xl/worksheets/sheet28818.xml"/>
  <Override ContentType="application/vnd.openxmlformats-officedocument.spreadsheetml.worksheet+xml" PartName="/xl/worksheets/sheet28819.xml"/>
  <Override ContentType="application/vnd.openxmlformats-officedocument.spreadsheetml.worksheet+xml" PartName="/xl/worksheets/sheet28820.xml"/>
  <Override ContentType="application/vnd.openxmlformats-officedocument.spreadsheetml.worksheet+xml" PartName="/xl/worksheets/sheet28821.xml"/>
  <Override ContentType="application/vnd.openxmlformats-officedocument.spreadsheetml.worksheet+xml" PartName="/xl/worksheets/sheet28822.xml"/>
  <Override ContentType="application/vnd.openxmlformats-officedocument.spreadsheetml.worksheet+xml" PartName="/xl/worksheets/sheet28823.xml"/>
  <Override ContentType="application/vnd.openxmlformats-officedocument.spreadsheetml.worksheet+xml" PartName="/xl/worksheets/sheet28824.xml"/>
  <Override ContentType="application/vnd.openxmlformats-officedocument.spreadsheetml.worksheet+xml" PartName="/xl/worksheets/sheet28825.xml"/>
  <Override ContentType="application/vnd.openxmlformats-officedocument.spreadsheetml.worksheet+xml" PartName="/xl/worksheets/sheet28826.xml"/>
  <Override ContentType="application/vnd.openxmlformats-officedocument.spreadsheetml.worksheet+xml" PartName="/xl/worksheets/sheet28827.xml"/>
  <Override ContentType="application/vnd.openxmlformats-officedocument.spreadsheetml.worksheet+xml" PartName="/xl/worksheets/sheet28828.xml"/>
  <Override ContentType="application/vnd.openxmlformats-officedocument.spreadsheetml.worksheet+xml" PartName="/xl/worksheets/sheet28829.xml"/>
  <Override ContentType="application/vnd.openxmlformats-officedocument.spreadsheetml.worksheet+xml" PartName="/xl/worksheets/sheet28830.xml"/>
  <Override ContentType="application/vnd.openxmlformats-officedocument.spreadsheetml.worksheet+xml" PartName="/xl/worksheets/sheet28831.xml"/>
  <Override ContentType="application/vnd.openxmlformats-officedocument.spreadsheetml.worksheet+xml" PartName="/xl/worksheets/sheet28832.xml"/>
  <Override ContentType="application/vnd.openxmlformats-officedocument.spreadsheetml.worksheet+xml" PartName="/xl/worksheets/sheet28833.xml"/>
  <Override ContentType="application/vnd.openxmlformats-officedocument.spreadsheetml.worksheet+xml" PartName="/xl/worksheets/sheet28834.xml"/>
  <Override ContentType="application/vnd.openxmlformats-officedocument.spreadsheetml.worksheet+xml" PartName="/xl/worksheets/sheet28835.xml"/>
  <Override ContentType="application/vnd.openxmlformats-officedocument.spreadsheetml.worksheet+xml" PartName="/xl/worksheets/sheet28836.xml"/>
  <Override ContentType="application/vnd.openxmlformats-officedocument.spreadsheetml.worksheet+xml" PartName="/xl/worksheets/sheet28837.xml"/>
  <Override ContentType="application/vnd.openxmlformats-officedocument.spreadsheetml.worksheet+xml" PartName="/xl/worksheets/sheet28838.xml"/>
  <Override ContentType="application/vnd.openxmlformats-officedocument.spreadsheetml.worksheet+xml" PartName="/xl/worksheets/sheet28839.xml"/>
  <Override ContentType="application/vnd.openxmlformats-officedocument.spreadsheetml.worksheet+xml" PartName="/xl/worksheets/sheet28840.xml"/>
  <Override ContentType="application/vnd.openxmlformats-officedocument.spreadsheetml.worksheet+xml" PartName="/xl/worksheets/sheet28841.xml"/>
  <Override ContentType="application/vnd.openxmlformats-officedocument.spreadsheetml.worksheet+xml" PartName="/xl/worksheets/sheet28842.xml"/>
  <Override ContentType="application/vnd.openxmlformats-officedocument.spreadsheetml.worksheet+xml" PartName="/xl/worksheets/sheet28843.xml"/>
  <Override ContentType="application/vnd.openxmlformats-officedocument.spreadsheetml.worksheet+xml" PartName="/xl/worksheets/sheet28844.xml"/>
  <Override ContentType="application/vnd.openxmlformats-officedocument.spreadsheetml.worksheet+xml" PartName="/xl/worksheets/sheet28845.xml"/>
  <Override ContentType="application/vnd.openxmlformats-officedocument.spreadsheetml.worksheet+xml" PartName="/xl/worksheets/sheet28846.xml"/>
  <Override ContentType="application/vnd.openxmlformats-officedocument.spreadsheetml.worksheet+xml" PartName="/xl/worksheets/sheet28847.xml"/>
  <Override ContentType="application/vnd.openxmlformats-officedocument.spreadsheetml.worksheet+xml" PartName="/xl/worksheets/sheet28848.xml"/>
  <Override ContentType="application/vnd.openxmlformats-officedocument.spreadsheetml.worksheet+xml" PartName="/xl/worksheets/sheet28849.xml"/>
  <Override ContentType="application/vnd.openxmlformats-officedocument.spreadsheetml.worksheet+xml" PartName="/xl/worksheets/sheet28850.xml"/>
  <Override ContentType="application/vnd.openxmlformats-officedocument.spreadsheetml.worksheet+xml" PartName="/xl/worksheets/sheet28851.xml"/>
  <Override ContentType="application/vnd.openxmlformats-officedocument.spreadsheetml.worksheet+xml" PartName="/xl/worksheets/sheet28852.xml"/>
  <Override ContentType="application/vnd.openxmlformats-officedocument.spreadsheetml.worksheet+xml" PartName="/xl/worksheets/sheet28853.xml"/>
  <Override ContentType="application/vnd.openxmlformats-officedocument.spreadsheetml.worksheet+xml" PartName="/xl/worksheets/sheet28854.xml"/>
  <Override ContentType="application/vnd.openxmlformats-officedocument.spreadsheetml.worksheet+xml" PartName="/xl/worksheets/sheet28855.xml"/>
  <Override ContentType="application/vnd.openxmlformats-officedocument.spreadsheetml.worksheet+xml" PartName="/xl/worksheets/sheet28856.xml"/>
  <Override ContentType="application/vnd.openxmlformats-officedocument.spreadsheetml.worksheet+xml" PartName="/xl/worksheets/sheet28857.xml"/>
  <Override ContentType="application/vnd.openxmlformats-officedocument.spreadsheetml.worksheet+xml" PartName="/xl/worksheets/sheet28858.xml"/>
  <Override ContentType="application/vnd.openxmlformats-officedocument.spreadsheetml.worksheet+xml" PartName="/xl/worksheets/sheet28859.xml"/>
  <Override ContentType="application/vnd.openxmlformats-officedocument.spreadsheetml.worksheet+xml" PartName="/xl/worksheets/sheet28860.xml"/>
  <Override ContentType="application/vnd.openxmlformats-officedocument.spreadsheetml.worksheet+xml" PartName="/xl/worksheets/sheet28861.xml"/>
  <Override ContentType="application/vnd.openxmlformats-officedocument.spreadsheetml.worksheet+xml" PartName="/xl/worksheets/sheet28862.xml"/>
  <Override ContentType="application/vnd.openxmlformats-officedocument.spreadsheetml.worksheet+xml" PartName="/xl/worksheets/sheet28863.xml"/>
  <Override ContentType="application/vnd.openxmlformats-officedocument.spreadsheetml.worksheet+xml" PartName="/xl/worksheets/sheet28864.xml"/>
  <Override ContentType="application/vnd.openxmlformats-officedocument.spreadsheetml.worksheet+xml" PartName="/xl/worksheets/sheet28865.xml"/>
  <Override ContentType="application/vnd.openxmlformats-officedocument.spreadsheetml.worksheet+xml" PartName="/xl/worksheets/sheet28866.xml"/>
  <Override ContentType="application/vnd.openxmlformats-officedocument.spreadsheetml.worksheet+xml" PartName="/xl/worksheets/sheet28867.xml"/>
  <Override ContentType="application/vnd.openxmlformats-officedocument.spreadsheetml.worksheet+xml" PartName="/xl/worksheets/sheet28868.xml"/>
  <Override ContentType="application/vnd.openxmlformats-officedocument.spreadsheetml.worksheet+xml" PartName="/xl/worksheets/sheet28869.xml"/>
  <Override ContentType="application/vnd.openxmlformats-officedocument.spreadsheetml.worksheet+xml" PartName="/xl/worksheets/sheet28870.xml"/>
  <Override ContentType="application/vnd.openxmlformats-officedocument.spreadsheetml.worksheet+xml" PartName="/xl/worksheets/sheet28871.xml"/>
  <Override ContentType="application/vnd.openxmlformats-officedocument.spreadsheetml.worksheet+xml" PartName="/xl/worksheets/sheet28872.xml"/>
  <Override ContentType="application/vnd.openxmlformats-officedocument.spreadsheetml.worksheet+xml" PartName="/xl/worksheets/sheet28873.xml"/>
  <Override ContentType="application/vnd.openxmlformats-officedocument.spreadsheetml.worksheet+xml" PartName="/xl/worksheets/sheet28874.xml"/>
  <Override ContentType="application/vnd.openxmlformats-officedocument.spreadsheetml.worksheet+xml" PartName="/xl/worksheets/sheet28875.xml"/>
  <Override ContentType="application/vnd.openxmlformats-officedocument.spreadsheetml.worksheet+xml" PartName="/xl/worksheets/sheet28876.xml"/>
  <Override ContentType="application/vnd.openxmlformats-officedocument.spreadsheetml.worksheet+xml" PartName="/xl/worksheets/sheet28877.xml"/>
  <Override ContentType="application/vnd.openxmlformats-officedocument.spreadsheetml.worksheet+xml" PartName="/xl/worksheets/sheet28878.xml"/>
  <Override ContentType="application/vnd.openxmlformats-officedocument.spreadsheetml.worksheet+xml" PartName="/xl/worksheets/sheet28879.xml"/>
  <Override ContentType="application/vnd.openxmlformats-officedocument.spreadsheetml.worksheet+xml" PartName="/xl/worksheets/sheet28880.xml"/>
  <Override ContentType="application/vnd.openxmlformats-officedocument.spreadsheetml.worksheet+xml" PartName="/xl/worksheets/sheet28881.xml"/>
  <Override ContentType="application/vnd.openxmlformats-officedocument.spreadsheetml.worksheet+xml" PartName="/xl/worksheets/sheet28882.xml"/>
  <Override ContentType="application/vnd.openxmlformats-officedocument.spreadsheetml.worksheet+xml" PartName="/xl/worksheets/sheet28883.xml"/>
  <Override ContentType="application/vnd.openxmlformats-officedocument.spreadsheetml.worksheet+xml" PartName="/xl/worksheets/sheet28884.xml"/>
  <Override ContentType="application/vnd.openxmlformats-officedocument.spreadsheetml.worksheet+xml" PartName="/xl/worksheets/sheet28885.xml"/>
  <Override ContentType="application/vnd.openxmlformats-officedocument.spreadsheetml.worksheet+xml" PartName="/xl/worksheets/sheet28886.xml"/>
  <Override ContentType="application/vnd.openxmlformats-officedocument.spreadsheetml.worksheet+xml" PartName="/xl/worksheets/sheet28887.xml"/>
  <Override ContentType="application/vnd.openxmlformats-officedocument.spreadsheetml.worksheet+xml" PartName="/xl/worksheets/sheet28888.xml"/>
  <Override ContentType="application/vnd.openxmlformats-officedocument.spreadsheetml.worksheet+xml" PartName="/xl/worksheets/sheet28889.xml"/>
  <Override ContentType="application/vnd.openxmlformats-officedocument.spreadsheetml.worksheet+xml" PartName="/xl/worksheets/sheet28890.xml"/>
  <Override ContentType="application/vnd.openxmlformats-officedocument.spreadsheetml.worksheet+xml" PartName="/xl/worksheets/sheet28891.xml"/>
  <Override ContentType="application/vnd.openxmlformats-officedocument.spreadsheetml.worksheet+xml" PartName="/xl/worksheets/sheet28892.xml"/>
  <Override ContentType="application/vnd.openxmlformats-officedocument.spreadsheetml.worksheet+xml" PartName="/xl/worksheets/sheet28893.xml"/>
  <Override ContentType="application/vnd.openxmlformats-officedocument.spreadsheetml.worksheet+xml" PartName="/xl/worksheets/sheet28894.xml"/>
  <Override ContentType="application/vnd.openxmlformats-officedocument.spreadsheetml.worksheet+xml" PartName="/xl/worksheets/sheet28895.xml"/>
  <Override ContentType="application/vnd.openxmlformats-officedocument.spreadsheetml.worksheet+xml" PartName="/xl/worksheets/sheet28896.xml"/>
  <Override ContentType="application/vnd.openxmlformats-officedocument.spreadsheetml.worksheet+xml" PartName="/xl/worksheets/sheet28897.xml"/>
  <Override ContentType="application/vnd.openxmlformats-officedocument.spreadsheetml.worksheet+xml" PartName="/xl/worksheets/sheet28898.xml"/>
  <Override ContentType="application/vnd.openxmlformats-officedocument.spreadsheetml.worksheet+xml" PartName="/xl/worksheets/sheet28899.xml"/>
  <Override ContentType="application/vnd.openxmlformats-officedocument.spreadsheetml.worksheet+xml" PartName="/xl/worksheets/sheet28900.xml"/>
  <Override ContentType="application/vnd.openxmlformats-officedocument.spreadsheetml.worksheet+xml" PartName="/xl/worksheets/sheet28901.xml"/>
  <Override ContentType="application/vnd.openxmlformats-officedocument.spreadsheetml.worksheet+xml" PartName="/xl/worksheets/sheet28902.xml"/>
  <Override ContentType="application/vnd.openxmlformats-officedocument.spreadsheetml.worksheet+xml" PartName="/xl/worksheets/sheet28903.xml"/>
  <Override ContentType="application/vnd.openxmlformats-officedocument.spreadsheetml.worksheet+xml" PartName="/xl/worksheets/sheet28904.xml"/>
  <Override ContentType="application/vnd.openxmlformats-officedocument.spreadsheetml.worksheet+xml" PartName="/xl/worksheets/sheet28905.xml"/>
  <Override ContentType="application/vnd.openxmlformats-officedocument.spreadsheetml.worksheet+xml" PartName="/xl/worksheets/sheet28906.xml"/>
  <Override ContentType="application/vnd.openxmlformats-officedocument.spreadsheetml.worksheet+xml" PartName="/xl/worksheets/sheet28907.xml"/>
  <Override ContentType="application/vnd.openxmlformats-officedocument.spreadsheetml.worksheet+xml" PartName="/xl/worksheets/sheet28908.xml"/>
  <Override ContentType="application/vnd.openxmlformats-officedocument.spreadsheetml.worksheet+xml" PartName="/xl/worksheets/sheet28909.xml"/>
  <Override ContentType="application/vnd.openxmlformats-officedocument.spreadsheetml.worksheet+xml" PartName="/xl/worksheets/sheet28910.xml"/>
  <Override ContentType="application/vnd.openxmlformats-officedocument.spreadsheetml.worksheet+xml" PartName="/xl/worksheets/sheet28911.xml"/>
  <Override ContentType="application/vnd.openxmlformats-officedocument.spreadsheetml.worksheet+xml" PartName="/xl/worksheets/sheet28912.xml"/>
  <Override ContentType="application/vnd.openxmlformats-officedocument.spreadsheetml.worksheet+xml" PartName="/xl/worksheets/sheet28913.xml"/>
  <Override ContentType="application/vnd.openxmlformats-officedocument.spreadsheetml.worksheet+xml" PartName="/xl/worksheets/sheet28914.xml"/>
  <Override ContentType="application/vnd.openxmlformats-officedocument.spreadsheetml.worksheet+xml" PartName="/xl/worksheets/sheet28915.xml"/>
  <Override ContentType="application/vnd.openxmlformats-officedocument.spreadsheetml.worksheet+xml" PartName="/xl/worksheets/sheet28916.xml"/>
  <Override ContentType="application/vnd.openxmlformats-officedocument.spreadsheetml.worksheet+xml" PartName="/xl/worksheets/sheet28917.xml"/>
  <Override ContentType="application/vnd.openxmlformats-officedocument.spreadsheetml.worksheet+xml" PartName="/xl/worksheets/sheet28918.xml"/>
  <Override ContentType="application/vnd.openxmlformats-officedocument.spreadsheetml.worksheet+xml" PartName="/xl/worksheets/sheet28919.xml"/>
  <Override ContentType="application/vnd.openxmlformats-officedocument.spreadsheetml.worksheet+xml" PartName="/xl/worksheets/sheet28920.xml"/>
  <Override ContentType="application/vnd.openxmlformats-officedocument.spreadsheetml.worksheet+xml" PartName="/xl/worksheets/sheet28921.xml"/>
  <Override ContentType="application/vnd.openxmlformats-officedocument.spreadsheetml.worksheet+xml" PartName="/xl/worksheets/sheet28922.xml"/>
  <Override ContentType="application/vnd.openxmlformats-officedocument.spreadsheetml.worksheet+xml" PartName="/xl/worksheets/sheet28923.xml"/>
  <Override ContentType="application/vnd.openxmlformats-officedocument.spreadsheetml.worksheet+xml" PartName="/xl/worksheets/sheet28924.xml"/>
  <Override ContentType="application/vnd.openxmlformats-officedocument.spreadsheetml.worksheet+xml" PartName="/xl/worksheets/sheet28925.xml"/>
  <Override ContentType="application/vnd.openxmlformats-officedocument.spreadsheetml.worksheet+xml" PartName="/xl/worksheets/sheet28926.xml"/>
  <Override ContentType="application/vnd.openxmlformats-officedocument.spreadsheetml.worksheet+xml" PartName="/xl/worksheets/sheet28927.xml"/>
  <Override ContentType="application/vnd.openxmlformats-officedocument.spreadsheetml.worksheet+xml" PartName="/xl/worksheets/sheet28928.xml"/>
  <Override ContentType="application/vnd.openxmlformats-officedocument.spreadsheetml.worksheet+xml" PartName="/xl/worksheets/sheet28929.xml"/>
  <Override ContentType="application/vnd.openxmlformats-officedocument.spreadsheetml.worksheet+xml" PartName="/xl/worksheets/sheet28930.xml"/>
  <Override ContentType="application/vnd.openxmlformats-officedocument.spreadsheetml.worksheet+xml" PartName="/xl/worksheets/sheet28931.xml"/>
  <Override ContentType="application/vnd.openxmlformats-officedocument.spreadsheetml.worksheet+xml" PartName="/xl/worksheets/sheet28932.xml"/>
  <Override ContentType="application/vnd.openxmlformats-officedocument.spreadsheetml.worksheet+xml" PartName="/xl/worksheets/sheet28933.xml"/>
  <Override ContentType="application/vnd.openxmlformats-officedocument.spreadsheetml.worksheet+xml" PartName="/xl/worksheets/sheet28934.xml"/>
  <Override ContentType="application/vnd.openxmlformats-officedocument.spreadsheetml.worksheet+xml" PartName="/xl/worksheets/sheet28935.xml"/>
  <Override ContentType="application/vnd.openxmlformats-officedocument.spreadsheetml.worksheet+xml" PartName="/xl/worksheets/sheet28936.xml"/>
  <Override ContentType="application/vnd.openxmlformats-officedocument.spreadsheetml.worksheet+xml" PartName="/xl/worksheets/sheet28937.xml"/>
  <Override ContentType="application/vnd.openxmlformats-officedocument.spreadsheetml.worksheet+xml" PartName="/xl/worksheets/sheet28938.xml"/>
  <Override ContentType="application/vnd.openxmlformats-officedocument.spreadsheetml.worksheet+xml" PartName="/xl/worksheets/sheet28939.xml"/>
  <Override ContentType="application/vnd.openxmlformats-officedocument.spreadsheetml.worksheet+xml" PartName="/xl/worksheets/sheet28940.xml"/>
  <Override ContentType="application/vnd.openxmlformats-officedocument.spreadsheetml.worksheet+xml" PartName="/xl/worksheets/sheet28941.xml"/>
  <Override ContentType="application/vnd.openxmlformats-officedocument.spreadsheetml.worksheet+xml" PartName="/xl/worksheets/sheet28942.xml"/>
  <Override ContentType="application/vnd.openxmlformats-officedocument.spreadsheetml.worksheet+xml" PartName="/xl/worksheets/sheet28943.xml"/>
  <Override ContentType="application/vnd.openxmlformats-officedocument.spreadsheetml.worksheet+xml" PartName="/xl/worksheets/sheet28944.xml"/>
  <Override ContentType="application/vnd.openxmlformats-officedocument.spreadsheetml.worksheet+xml" PartName="/xl/worksheets/sheet28945.xml"/>
  <Override ContentType="application/vnd.openxmlformats-officedocument.spreadsheetml.worksheet+xml" PartName="/xl/worksheets/sheet28946.xml"/>
  <Override ContentType="application/vnd.openxmlformats-officedocument.spreadsheetml.worksheet+xml" PartName="/xl/worksheets/sheet28947.xml"/>
  <Override ContentType="application/vnd.openxmlformats-officedocument.spreadsheetml.worksheet+xml" PartName="/xl/worksheets/sheet28948.xml"/>
  <Override ContentType="application/vnd.openxmlformats-officedocument.spreadsheetml.worksheet+xml" PartName="/xl/worksheets/sheet28949.xml"/>
  <Override ContentType="application/vnd.openxmlformats-officedocument.spreadsheetml.worksheet+xml" PartName="/xl/worksheets/sheet28950.xml"/>
  <Override ContentType="application/vnd.openxmlformats-officedocument.spreadsheetml.worksheet+xml" PartName="/xl/worksheets/sheet28951.xml"/>
  <Override ContentType="application/vnd.openxmlformats-officedocument.spreadsheetml.worksheet+xml" PartName="/xl/worksheets/sheet28952.xml"/>
  <Override ContentType="application/vnd.openxmlformats-officedocument.spreadsheetml.worksheet+xml" PartName="/xl/worksheets/sheet28953.xml"/>
  <Override ContentType="application/vnd.openxmlformats-officedocument.spreadsheetml.worksheet+xml" PartName="/xl/worksheets/sheet28954.xml"/>
  <Override ContentType="application/vnd.openxmlformats-officedocument.spreadsheetml.worksheet+xml" PartName="/xl/worksheets/sheet28955.xml"/>
  <Override ContentType="application/vnd.openxmlformats-officedocument.spreadsheetml.worksheet+xml" PartName="/xl/worksheets/sheet28956.xml"/>
  <Override ContentType="application/vnd.openxmlformats-officedocument.spreadsheetml.worksheet+xml" PartName="/xl/worksheets/sheet28957.xml"/>
  <Override ContentType="application/vnd.openxmlformats-officedocument.spreadsheetml.worksheet+xml" PartName="/xl/worksheets/sheet28958.xml"/>
  <Override ContentType="application/vnd.openxmlformats-officedocument.spreadsheetml.worksheet+xml" PartName="/xl/worksheets/sheet28959.xml"/>
  <Override ContentType="application/vnd.openxmlformats-officedocument.spreadsheetml.worksheet+xml" PartName="/xl/worksheets/sheet28960.xml"/>
  <Override ContentType="application/vnd.openxmlformats-officedocument.spreadsheetml.worksheet+xml" PartName="/xl/worksheets/sheet28961.xml"/>
  <Override ContentType="application/vnd.openxmlformats-officedocument.spreadsheetml.worksheet+xml" PartName="/xl/worksheets/sheet28962.xml"/>
  <Override ContentType="application/vnd.openxmlformats-officedocument.spreadsheetml.worksheet+xml" PartName="/xl/worksheets/sheet28963.xml"/>
  <Override ContentType="application/vnd.openxmlformats-officedocument.spreadsheetml.worksheet+xml" PartName="/xl/worksheets/sheet28964.xml"/>
  <Override ContentType="application/vnd.openxmlformats-officedocument.spreadsheetml.worksheet+xml" PartName="/xl/worksheets/sheet28965.xml"/>
  <Override ContentType="application/vnd.openxmlformats-officedocument.spreadsheetml.worksheet+xml" PartName="/xl/worksheets/sheet28966.xml"/>
  <Override ContentType="application/vnd.openxmlformats-officedocument.spreadsheetml.worksheet+xml" PartName="/xl/worksheets/sheet28967.xml"/>
  <Override ContentType="application/vnd.openxmlformats-officedocument.spreadsheetml.worksheet+xml" PartName="/xl/worksheets/sheet28968.xml"/>
  <Override ContentType="application/vnd.openxmlformats-officedocument.spreadsheetml.worksheet+xml" PartName="/xl/worksheets/sheet28969.xml"/>
  <Override ContentType="application/vnd.openxmlformats-officedocument.spreadsheetml.worksheet+xml" PartName="/xl/worksheets/sheet28970.xml"/>
  <Override ContentType="application/vnd.openxmlformats-officedocument.spreadsheetml.worksheet+xml" PartName="/xl/worksheets/sheet28971.xml"/>
  <Override ContentType="application/vnd.openxmlformats-officedocument.spreadsheetml.worksheet+xml" PartName="/xl/worksheets/sheet28972.xml"/>
  <Override ContentType="application/vnd.openxmlformats-officedocument.spreadsheetml.worksheet+xml" PartName="/xl/worksheets/sheet28973.xml"/>
  <Override ContentType="application/vnd.openxmlformats-officedocument.spreadsheetml.worksheet+xml" PartName="/xl/worksheets/sheet28974.xml"/>
  <Override ContentType="application/vnd.openxmlformats-officedocument.spreadsheetml.worksheet+xml" PartName="/xl/worksheets/sheet28975.xml"/>
  <Override ContentType="application/vnd.openxmlformats-officedocument.spreadsheetml.worksheet+xml" PartName="/xl/worksheets/sheet28976.xml"/>
  <Override ContentType="application/vnd.openxmlformats-officedocument.spreadsheetml.worksheet+xml" PartName="/xl/worksheets/sheet28977.xml"/>
  <Override ContentType="application/vnd.openxmlformats-officedocument.spreadsheetml.worksheet+xml" PartName="/xl/worksheets/sheet28978.xml"/>
  <Override ContentType="application/vnd.openxmlformats-officedocument.spreadsheetml.worksheet+xml" PartName="/xl/worksheets/sheet28979.xml"/>
  <Override ContentType="application/vnd.openxmlformats-officedocument.spreadsheetml.worksheet+xml" PartName="/xl/worksheets/sheet28980.xml"/>
  <Override ContentType="application/vnd.openxmlformats-officedocument.spreadsheetml.worksheet+xml" PartName="/xl/worksheets/sheet28981.xml"/>
  <Override ContentType="application/vnd.openxmlformats-officedocument.spreadsheetml.worksheet+xml" PartName="/xl/worksheets/sheet28982.xml"/>
  <Override ContentType="application/vnd.openxmlformats-officedocument.spreadsheetml.worksheet+xml" PartName="/xl/worksheets/sheet28983.xml"/>
  <Override ContentType="application/vnd.openxmlformats-officedocument.spreadsheetml.worksheet+xml" PartName="/xl/worksheets/sheet28984.xml"/>
  <Override ContentType="application/vnd.openxmlformats-officedocument.spreadsheetml.worksheet+xml" PartName="/xl/worksheets/sheet28985.xml"/>
  <Override ContentType="application/vnd.openxmlformats-officedocument.spreadsheetml.worksheet+xml" PartName="/xl/worksheets/sheet28986.xml"/>
  <Override ContentType="application/vnd.openxmlformats-officedocument.spreadsheetml.worksheet+xml" PartName="/xl/worksheets/sheet28987.xml"/>
  <Override ContentType="application/vnd.openxmlformats-officedocument.spreadsheetml.worksheet+xml" PartName="/xl/worksheets/sheet28988.xml"/>
  <Override ContentType="application/vnd.openxmlformats-officedocument.spreadsheetml.worksheet+xml" PartName="/xl/worksheets/sheet28989.xml"/>
  <Override ContentType="application/vnd.openxmlformats-officedocument.spreadsheetml.worksheet+xml" PartName="/xl/worksheets/sheet28990.xml"/>
  <Override ContentType="application/vnd.openxmlformats-officedocument.spreadsheetml.worksheet+xml" PartName="/xl/worksheets/sheet28991.xml"/>
  <Override ContentType="application/vnd.openxmlformats-officedocument.spreadsheetml.worksheet+xml" PartName="/xl/worksheets/sheet28992.xml"/>
  <Override ContentType="application/vnd.openxmlformats-officedocument.spreadsheetml.worksheet+xml" PartName="/xl/worksheets/sheet28993.xml"/>
  <Override ContentType="application/vnd.openxmlformats-officedocument.spreadsheetml.worksheet+xml" PartName="/xl/worksheets/sheet28994.xml"/>
  <Override ContentType="application/vnd.openxmlformats-officedocument.spreadsheetml.worksheet+xml" PartName="/xl/worksheets/sheet28995.xml"/>
  <Override ContentType="application/vnd.openxmlformats-officedocument.spreadsheetml.worksheet+xml" PartName="/xl/worksheets/sheet28996.xml"/>
  <Override ContentType="application/vnd.openxmlformats-officedocument.spreadsheetml.worksheet+xml" PartName="/xl/worksheets/sheet28997.xml"/>
  <Override ContentType="application/vnd.openxmlformats-officedocument.spreadsheetml.worksheet+xml" PartName="/xl/worksheets/sheet28998.xml"/>
  <Override ContentType="application/vnd.openxmlformats-officedocument.spreadsheetml.worksheet+xml" PartName="/xl/worksheets/sheet28999.xml"/>
  <Override ContentType="application/vnd.openxmlformats-officedocument.spreadsheetml.worksheet+xml" PartName="/xl/worksheets/sheet29000.xml"/>
  <Override ContentType="application/vnd.openxmlformats-officedocument.spreadsheetml.worksheet+xml" PartName="/xl/worksheets/sheet29001.xml"/>
  <Override ContentType="application/vnd.openxmlformats-officedocument.spreadsheetml.worksheet+xml" PartName="/xl/worksheets/sheet29002.xml"/>
  <Override ContentType="application/vnd.openxmlformats-officedocument.spreadsheetml.worksheet+xml" PartName="/xl/worksheets/sheet29003.xml"/>
  <Override ContentType="application/vnd.openxmlformats-officedocument.spreadsheetml.worksheet+xml" PartName="/xl/worksheets/sheet29004.xml"/>
  <Override ContentType="application/vnd.openxmlformats-officedocument.spreadsheetml.worksheet+xml" PartName="/xl/worksheets/sheet29005.xml"/>
  <Override ContentType="application/vnd.openxmlformats-officedocument.spreadsheetml.worksheet+xml" PartName="/xl/worksheets/sheet29006.xml"/>
  <Override ContentType="application/vnd.openxmlformats-officedocument.spreadsheetml.worksheet+xml" PartName="/xl/worksheets/sheet29007.xml"/>
  <Override ContentType="application/vnd.openxmlformats-officedocument.spreadsheetml.worksheet+xml" PartName="/xl/worksheets/sheet29008.xml"/>
  <Override ContentType="application/vnd.openxmlformats-officedocument.spreadsheetml.worksheet+xml" PartName="/xl/worksheets/sheet29009.xml"/>
  <Override ContentType="application/vnd.openxmlformats-officedocument.spreadsheetml.worksheet+xml" PartName="/xl/worksheets/sheet29010.xml"/>
  <Override ContentType="application/vnd.openxmlformats-officedocument.spreadsheetml.worksheet+xml" PartName="/xl/worksheets/sheet29011.xml"/>
  <Override ContentType="application/vnd.openxmlformats-officedocument.spreadsheetml.worksheet+xml" PartName="/xl/worksheets/sheet29012.xml"/>
  <Override ContentType="application/vnd.openxmlformats-officedocument.spreadsheetml.worksheet+xml" PartName="/xl/worksheets/sheet29013.xml"/>
  <Override ContentType="application/vnd.openxmlformats-officedocument.spreadsheetml.worksheet+xml" PartName="/xl/worksheets/sheet29014.xml"/>
  <Override ContentType="application/vnd.openxmlformats-officedocument.spreadsheetml.worksheet+xml" PartName="/xl/worksheets/sheet29015.xml"/>
  <Override ContentType="application/vnd.openxmlformats-officedocument.spreadsheetml.worksheet+xml" PartName="/xl/worksheets/sheet29016.xml"/>
  <Override ContentType="application/vnd.openxmlformats-officedocument.spreadsheetml.worksheet+xml" PartName="/xl/worksheets/sheet29017.xml"/>
  <Override ContentType="application/vnd.openxmlformats-officedocument.spreadsheetml.worksheet+xml" PartName="/xl/worksheets/sheet29018.xml"/>
  <Override ContentType="application/vnd.openxmlformats-officedocument.spreadsheetml.worksheet+xml" PartName="/xl/worksheets/sheet29019.xml"/>
  <Override ContentType="application/vnd.openxmlformats-officedocument.spreadsheetml.worksheet+xml" PartName="/xl/worksheets/sheet29020.xml"/>
  <Override ContentType="application/vnd.openxmlformats-officedocument.spreadsheetml.worksheet+xml" PartName="/xl/worksheets/sheet29021.xml"/>
  <Override ContentType="application/vnd.openxmlformats-officedocument.spreadsheetml.worksheet+xml" PartName="/xl/worksheets/sheet29022.xml"/>
  <Override ContentType="application/vnd.openxmlformats-officedocument.spreadsheetml.worksheet+xml" PartName="/xl/worksheets/sheet29023.xml"/>
  <Override ContentType="application/vnd.openxmlformats-officedocument.spreadsheetml.worksheet+xml" PartName="/xl/worksheets/sheet29024.xml"/>
  <Override ContentType="application/vnd.openxmlformats-officedocument.spreadsheetml.worksheet+xml" PartName="/xl/worksheets/sheet29025.xml"/>
  <Override ContentType="application/vnd.openxmlformats-officedocument.spreadsheetml.worksheet+xml" PartName="/xl/worksheets/sheet29026.xml"/>
  <Override ContentType="application/vnd.openxmlformats-officedocument.spreadsheetml.worksheet+xml" PartName="/xl/worksheets/sheet29027.xml"/>
  <Override ContentType="application/vnd.openxmlformats-officedocument.spreadsheetml.worksheet+xml" PartName="/xl/worksheets/sheet29028.xml"/>
  <Override ContentType="application/vnd.openxmlformats-officedocument.spreadsheetml.worksheet+xml" PartName="/xl/worksheets/sheet29029.xml"/>
  <Override ContentType="application/vnd.openxmlformats-officedocument.spreadsheetml.worksheet+xml" PartName="/xl/worksheets/sheet29030.xml"/>
  <Override ContentType="application/vnd.openxmlformats-officedocument.spreadsheetml.worksheet+xml" PartName="/xl/worksheets/sheet29031.xml"/>
  <Override ContentType="application/vnd.openxmlformats-officedocument.spreadsheetml.worksheet+xml" PartName="/xl/worksheets/sheet29032.xml"/>
  <Override ContentType="application/vnd.openxmlformats-officedocument.spreadsheetml.worksheet+xml" PartName="/xl/worksheets/sheet29033.xml"/>
  <Override ContentType="application/vnd.openxmlformats-officedocument.spreadsheetml.worksheet+xml" PartName="/xl/worksheets/sheet29034.xml"/>
  <Override ContentType="application/vnd.openxmlformats-officedocument.spreadsheetml.worksheet+xml" PartName="/xl/worksheets/sheet29035.xml"/>
  <Override ContentType="application/vnd.openxmlformats-officedocument.spreadsheetml.worksheet+xml" PartName="/xl/worksheets/sheet29036.xml"/>
  <Override ContentType="application/vnd.openxmlformats-officedocument.spreadsheetml.worksheet+xml" PartName="/xl/worksheets/sheet29037.xml"/>
  <Override ContentType="application/vnd.openxmlformats-officedocument.spreadsheetml.worksheet+xml" PartName="/xl/worksheets/sheet29038.xml"/>
  <Override ContentType="application/vnd.openxmlformats-officedocument.spreadsheetml.worksheet+xml" PartName="/xl/worksheets/sheet29039.xml"/>
  <Override ContentType="application/vnd.openxmlformats-officedocument.spreadsheetml.worksheet+xml" PartName="/xl/worksheets/sheet29040.xml"/>
  <Override ContentType="application/vnd.openxmlformats-officedocument.spreadsheetml.worksheet+xml" PartName="/xl/worksheets/sheet29041.xml"/>
  <Override ContentType="application/vnd.openxmlformats-officedocument.spreadsheetml.worksheet+xml" PartName="/xl/worksheets/sheet29042.xml"/>
  <Override ContentType="application/vnd.openxmlformats-officedocument.spreadsheetml.worksheet+xml" PartName="/xl/worksheets/sheet29043.xml"/>
  <Override ContentType="application/vnd.openxmlformats-officedocument.spreadsheetml.worksheet+xml" PartName="/xl/worksheets/sheet29044.xml"/>
  <Override ContentType="application/vnd.openxmlformats-officedocument.spreadsheetml.worksheet+xml" PartName="/xl/worksheets/sheet29045.xml"/>
  <Override ContentType="application/vnd.openxmlformats-officedocument.spreadsheetml.worksheet+xml" PartName="/xl/worksheets/sheet29046.xml"/>
  <Override ContentType="application/vnd.openxmlformats-officedocument.spreadsheetml.worksheet+xml" PartName="/xl/worksheets/sheet29047.xml"/>
  <Override ContentType="application/vnd.openxmlformats-officedocument.spreadsheetml.worksheet+xml" PartName="/xl/worksheets/sheet29048.xml"/>
  <Override ContentType="application/vnd.openxmlformats-officedocument.spreadsheetml.worksheet+xml" PartName="/xl/worksheets/sheet29049.xml"/>
  <Override ContentType="application/vnd.openxmlformats-officedocument.spreadsheetml.worksheet+xml" PartName="/xl/worksheets/sheet29050.xml"/>
  <Override ContentType="application/vnd.openxmlformats-officedocument.spreadsheetml.worksheet+xml" PartName="/xl/worksheets/sheet29051.xml"/>
  <Override ContentType="application/vnd.openxmlformats-officedocument.spreadsheetml.worksheet+xml" PartName="/xl/worksheets/sheet29052.xml"/>
  <Override ContentType="application/vnd.openxmlformats-officedocument.spreadsheetml.worksheet+xml" PartName="/xl/worksheets/sheet29053.xml"/>
  <Override ContentType="application/vnd.openxmlformats-officedocument.spreadsheetml.worksheet+xml" PartName="/xl/worksheets/sheet29054.xml"/>
  <Override ContentType="application/vnd.openxmlformats-officedocument.spreadsheetml.worksheet+xml" PartName="/xl/worksheets/sheet29055.xml"/>
  <Override ContentType="application/vnd.openxmlformats-officedocument.spreadsheetml.worksheet+xml" PartName="/xl/worksheets/sheet29056.xml"/>
  <Override ContentType="application/vnd.openxmlformats-officedocument.spreadsheetml.worksheet+xml" PartName="/xl/worksheets/sheet29057.xml"/>
  <Override ContentType="application/vnd.openxmlformats-officedocument.spreadsheetml.worksheet+xml" PartName="/xl/worksheets/sheet29058.xml"/>
  <Override ContentType="application/vnd.openxmlformats-officedocument.spreadsheetml.worksheet+xml" PartName="/xl/worksheets/sheet29059.xml"/>
  <Override ContentType="application/vnd.openxmlformats-officedocument.spreadsheetml.worksheet+xml" PartName="/xl/worksheets/sheet29060.xml"/>
  <Override ContentType="application/vnd.openxmlformats-officedocument.spreadsheetml.worksheet+xml" PartName="/xl/worksheets/sheet29061.xml"/>
  <Override ContentType="application/vnd.openxmlformats-officedocument.spreadsheetml.worksheet+xml" PartName="/xl/worksheets/sheet29062.xml"/>
  <Override ContentType="application/vnd.openxmlformats-officedocument.spreadsheetml.worksheet+xml" PartName="/xl/worksheets/sheet29063.xml"/>
  <Override ContentType="application/vnd.openxmlformats-officedocument.spreadsheetml.worksheet+xml" PartName="/xl/worksheets/sheet29064.xml"/>
  <Override ContentType="application/vnd.openxmlformats-officedocument.spreadsheetml.worksheet+xml" PartName="/xl/worksheets/sheet29065.xml"/>
  <Override ContentType="application/vnd.openxmlformats-officedocument.spreadsheetml.worksheet+xml" PartName="/xl/worksheets/sheet29066.xml"/>
  <Override ContentType="application/vnd.openxmlformats-officedocument.spreadsheetml.worksheet+xml" PartName="/xl/worksheets/sheet29067.xml"/>
  <Override ContentType="application/vnd.openxmlformats-officedocument.spreadsheetml.worksheet+xml" PartName="/xl/worksheets/sheet29068.xml"/>
  <Override ContentType="application/vnd.openxmlformats-officedocument.spreadsheetml.worksheet+xml" PartName="/xl/worksheets/sheet29069.xml"/>
  <Override ContentType="application/vnd.openxmlformats-officedocument.spreadsheetml.worksheet+xml" PartName="/xl/worksheets/sheet29070.xml"/>
  <Override ContentType="application/vnd.openxmlformats-officedocument.spreadsheetml.worksheet+xml" PartName="/xl/worksheets/sheet29071.xml"/>
  <Override ContentType="application/vnd.openxmlformats-officedocument.spreadsheetml.worksheet+xml" PartName="/xl/worksheets/sheet29072.xml"/>
  <Override ContentType="application/vnd.openxmlformats-officedocument.spreadsheetml.worksheet+xml" PartName="/xl/worksheets/sheet29073.xml"/>
  <Override ContentType="application/vnd.openxmlformats-officedocument.spreadsheetml.worksheet+xml" PartName="/xl/worksheets/sheet29074.xml"/>
  <Override ContentType="application/vnd.openxmlformats-officedocument.spreadsheetml.worksheet+xml" PartName="/xl/worksheets/sheet29075.xml"/>
  <Override ContentType="application/vnd.openxmlformats-officedocument.spreadsheetml.worksheet+xml" PartName="/xl/worksheets/sheet29076.xml"/>
  <Override ContentType="application/vnd.openxmlformats-officedocument.spreadsheetml.worksheet+xml" PartName="/xl/worksheets/sheet29077.xml"/>
  <Override ContentType="application/vnd.openxmlformats-officedocument.spreadsheetml.worksheet+xml" PartName="/xl/worksheets/sheet29078.xml"/>
  <Override ContentType="application/vnd.openxmlformats-officedocument.spreadsheetml.worksheet+xml" PartName="/xl/worksheets/sheet29079.xml"/>
  <Override ContentType="application/vnd.openxmlformats-officedocument.spreadsheetml.worksheet+xml" PartName="/xl/worksheets/sheet29080.xml"/>
  <Override ContentType="application/vnd.openxmlformats-officedocument.spreadsheetml.worksheet+xml" PartName="/xl/worksheets/sheet29081.xml"/>
  <Override ContentType="application/vnd.openxmlformats-officedocument.spreadsheetml.worksheet+xml" PartName="/xl/worksheets/sheet29082.xml"/>
  <Override ContentType="application/vnd.openxmlformats-officedocument.spreadsheetml.worksheet+xml" PartName="/xl/worksheets/sheet29083.xml"/>
  <Override ContentType="application/vnd.openxmlformats-officedocument.spreadsheetml.worksheet+xml" PartName="/xl/worksheets/sheet29084.xml"/>
  <Override ContentType="application/vnd.openxmlformats-officedocument.spreadsheetml.worksheet+xml" PartName="/xl/worksheets/sheet29085.xml"/>
  <Override ContentType="application/vnd.openxmlformats-officedocument.spreadsheetml.worksheet+xml" PartName="/xl/worksheets/sheet29086.xml"/>
  <Override ContentType="application/vnd.openxmlformats-officedocument.spreadsheetml.worksheet+xml" PartName="/xl/worksheets/sheet29087.xml"/>
  <Override ContentType="application/vnd.openxmlformats-officedocument.spreadsheetml.worksheet+xml" PartName="/xl/worksheets/sheet29088.xml"/>
  <Override ContentType="application/vnd.openxmlformats-officedocument.spreadsheetml.worksheet+xml" PartName="/xl/worksheets/sheet29089.xml"/>
  <Override ContentType="application/vnd.openxmlformats-officedocument.spreadsheetml.worksheet+xml" PartName="/xl/worksheets/sheet29090.xml"/>
  <Override ContentType="application/vnd.openxmlformats-officedocument.spreadsheetml.worksheet+xml" PartName="/xl/worksheets/sheet29091.xml"/>
  <Override ContentType="application/vnd.openxmlformats-officedocument.spreadsheetml.worksheet+xml" PartName="/xl/worksheets/sheet29092.xml"/>
  <Override ContentType="application/vnd.openxmlformats-officedocument.spreadsheetml.worksheet+xml" PartName="/xl/worksheets/sheet29093.xml"/>
  <Override ContentType="application/vnd.openxmlformats-officedocument.spreadsheetml.worksheet+xml" PartName="/xl/worksheets/sheet29094.xml"/>
  <Override ContentType="application/vnd.openxmlformats-officedocument.spreadsheetml.worksheet+xml" PartName="/xl/worksheets/sheet29095.xml"/>
  <Override ContentType="application/vnd.openxmlformats-officedocument.spreadsheetml.worksheet+xml" PartName="/xl/worksheets/sheet29096.xml"/>
  <Override ContentType="application/vnd.openxmlformats-officedocument.spreadsheetml.worksheet+xml" PartName="/xl/worksheets/sheet29097.xml"/>
  <Override ContentType="application/vnd.openxmlformats-officedocument.spreadsheetml.worksheet+xml" PartName="/xl/worksheets/sheet29098.xml"/>
  <Override ContentType="application/vnd.openxmlformats-officedocument.spreadsheetml.worksheet+xml" PartName="/xl/worksheets/sheet29099.xml"/>
  <Override ContentType="application/vnd.openxmlformats-officedocument.spreadsheetml.worksheet+xml" PartName="/xl/worksheets/sheet29100.xml"/>
  <Override ContentType="application/vnd.openxmlformats-officedocument.spreadsheetml.worksheet+xml" PartName="/xl/worksheets/sheet29101.xml"/>
  <Override ContentType="application/vnd.openxmlformats-officedocument.spreadsheetml.worksheet+xml" PartName="/xl/worksheets/sheet29102.xml"/>
  <Override ContentType="application/vnd.openxmlformats-officedocument.spreadsheetml.worksheet+xml" PartName="/xl/worksheets/sheet29103.xml"/>
  <Override ContentType="application/vnd.openxmlformats-officedocument.spreadsheetml.worksheet+xml" PartName="/xl/worksheets/sheet29104.xml"/>
  <Override ContentType="application/vnd.openxmlformats-officedocument.spreadsheetml.worksheet+xml" PartName="/xl/worksheets/sheet29105.xml"/>
  <Override ContentType="application/vnd.openxmlformats-officedocument.spreadsheetml.worksheet+xml" PartName="/xl/worksheets/sheet29106.xml"/>
  <Override ContentType="application/vnd.openxmlformats-officedocument.spreadsheetml.worksheet+xml" PartName="/xl/worksheets/sheet29107.xml"/>
  <Override ContentType="application/vnd.openxmlformats-officedocument.spreadsheetml.worksheet+xml" PartName="/xl/worksheets/sheet29108.xml"/>
  <Override ContentType="application/vnd.openxmlformats-officedocument.spreadsheetml.worksheet+xml" PartName="/xl/worksheets/sheet29109.xml"/>
  <Override ContentType="application/vnd.openxmlformats-officedocument.spreadsheetml.worksheet+xml" PartName="/xl/worksheets/sheet29110.xml"/>
  <Override ContentType="application/vnd.openxmlformats-officedocument.spreadsheetml.worksheet+xml" PartName="/xl/worksheets/sheet29111.xml"/>
  <Override ContentType="application/vnd.openxmlformats-officedocument.spreadsheetml.worksheet+xml" PartName="/xl/worksheets/sheet29112.xml"/>
  <Override ContentType="application/vnd.openxmlformats-officedocument.spreadsheetml.worksheet+xml" PartName="/xl/worksheets/sheet29113.xml"/>
  <Override ContentType="application/vnd.openxmlformats-officedocument.spreadsheetml.worksheet+xml" PartName="/xl/worksheets/sheet29114.xml"/>
  <Override ContentType="application/vnd.openxmlformats-officedocument.spreadsheetml.worksheet+xml" PartName="/xl/worksheets/sheet29115.xml"/>
  <Override ContentType="application/vnd.openxmlformats-officedocument.spreadsheetml.worksheet+xml" PartName="/xl/worksheets/sheet29116.xml"/>
  <Override ContentType="application/vnd.openxmlformats-officedocument.spreadsheetml.worksheet+xml" PartName="/xl/worksheets/sheet29117.xml"/>
  <Override ContentType="application/vnd.openxmlformats-officedocument.spreadsheetml.worksheet+xml" PartName="/xl/worksheets/sheet29118.xml"/>
  <Override ContentType="application/vnd.openxmlformats-officedocument.spreadsheetml.worksheet+xml" PartName="/xl/worksheets/sheet29119.xml"/>
  <Override ContentType="application/vnd.openxmlformats-officedocument.spreadsheetml.worksheet+xml" PartName="/xl/worksheets/sheet29120.xml"/>
  <Override ContentType="application/vnd.openxmlformats-officedocument.spreadsheetml.worksheet+xml" PartName="/xl/worksheets/sheet29121.xml"/>
  <Override ContentType="application/vnd.openxmlformats-officedocument.spreadsheetml.worksheet+xml" PartName="/xl/worksheets/sheet29122.xml"/>
  <Override ContentType="application/vnd.openxmlformats-officedocument.spreadsheetml.worksheet+xml" PartName="/xl/worksheets/sheet29123.xml"/>
  <Override ContentType="application/vnd.openxmlformats-officedocument.spreadsheetml.worksheet+xml" PartName="/xl/worksheets/sheet29124.xml"/>
  <Override ContentType="application/vnd.openxmlformats-officedocument.spreadsheetml.worksheet+xml" PartName="/xl/worksheets/sheet29125.xml"/>
  <Override ContentType="application/vnd.openxmlformats-officedocument.spreadsheetml.worksheet+xml" PartName="/xl/worksheets/sheet29126.xml"/>
  <Override ContentType="application/vnd.openxmlformats-officedocument.spreadsheetml.worksheet+xml" PartName="/xl/worksheets/sheet29127.xml"/>
  <Override ContentType="application/vnd.openxmlformats-officedocument.spreadsheetml.worksheet+xml" PartName="/xl/worksheets/sheet29128.xml"/>
  <Override ContentType="application/vnd.openxmlformats-officedocument.spreadsheetml.worksheet+xml" PartName="/xl/worksheets/sheet29129.xml"/>
  <Override ContentType="application/vnd.openxmlformats-officedocument.spreadsheetml.worksheet+xml" PartName="/xl/worksheets/sheet29130.xml"/>
  <Override ContentType="application/vnd.openxmlformats-officedocument.spreadsheetml.worksheet+xml" PartName="/xl/worksheets/sheet29131.xml"/>
  <Override ContentType="application/vnd.openxmlformats-officedocument.spreadsheetml.worksheet+xml" PartName="/xl/worksheets/sheet29132.xml"/>
  <Override ContentType="application/vnd.openxmlformats-officedocument.spreadsheetml.worksheet+xml" PartName="/xl/worksheets/sheet29133.xml"/>
  <Override ContentType="application/vnd.openxmlformats-officedocument.spreadsheetml.worksheet+xml" PartName="/xl/worksheets/sheet29134.xml"/>
  <Override ContentType="application/vnd.openxmlformats-officedocument.spreadsheetml.worksheet+xml" PartName="/xl/worksheets/sheet29135.xml"/>
  <Override ContentType="application/vnd.openxmlformats-officedocument.spreadsheetml.worksheet+xml" PartName="/xl/worksheets/sheet29136.xml"/>
  <Override ContentType="application/vnd.openxmlformats-officedocument.spreadsheetml.worksheet+xml" PartName="/xl/worksheets/sheet29137.xml"/>
  <Override ContentType="application/vnd.openxmlformats-officedocument.spreadsheetml.worksheet+xml" PartName="/xl/worksheets/sheet29138.xml"/>
  <Override ContentType="application/vnd.openxmlformats-officedocument.spreadsheetml.worksheet+xml" PartName="/xl/worksheets/sheet29139.xml"/>
  <Override ContentType="application/vnd.openxmlformats-officedocument.spreadsheetml.worksheet+xml" PartName="/xl/worksheets/sheet29140.xml"/>
  <Override ContentType="application/vnd.openxmlformats-officedocument.spreadsheetml.worksheet+xml" PartName="/xl/worksheets/sheet29141.xml"/>
  <Override ContentType="application/vnd.openxmlformats-officedocument.spreadsheetml.worksheet+xml" PartName="/xl/worksheets/sheet29142.xml"/>
  <Override ContentType="application/vnd.openxmlformats-officedocument.spreadsheetml.worksheet+xml" PartName="/xl/worksheets/sheet29143.xml"/>
  <Override ContentType="application/vnd.openxmlformats-officedocument.spreadsheetml.worksheet+xml" PartName="/xl/worksheets/sheet29144.xml"/>
  <Override ContentType="application/vnd.openxmlformats-officedocument.spreadsheetml.worksheet+xml" PartName="/xl/worksheets/sheet29145.xml"/>
  <Override ContentType="application/vnd.openxmlformats-officedocument.spreadsheetml.worksheet+xml" PartName="/xl/worksheets/sheet29146.xml"/>
  <Override ContentType="application/vnd.openxmlformats-officedocument.spreadsheetml.worksheet+xml" PartName="/xl/worksheets/sheet29147.xml"/>
  <Override ContentType="application/vnd.openxmlformats-officedocument.spreadsheetml.worksheet+xml" PartName="/xl/worksheets/sheet29148.xml"/>
  <Override ContentType="application/vnd.openxmlformats-officedocument.spreadsheetml.worksheet+xml" PartName="/xl/worksheets/sheet29149.xml"/>
  <Override ContentType="application/vnd.openxmlformats-officedocument.spreadsheetml.worksheet+xml" PartName="/xl/worksheets/sheet29150.xml"/>
  <Override ContentType="application/vnd.openxmlformats-officedocument.spreadsheetml.worksheet+xml" PartName="/xl/worksheets/sheet29151.xml"/>
  <Override ContentType="application/vnd.openxmlformats-officedocument.spreadsheetml.worksheet+xml" PartName="/xl/worksheets/sheet29152.xml"/>
  <Override ContentType="application/vnd.openxmlformats-officedocument.spreadsheetml.worksheet+xml" PartName="/xl/worksheets/sheet29153.xml"/>
  <Override ContentType="application/vnd.openxmlformats-officedocument.spreadsheetml.worksheet+xml" PartName="/xl/worksheets/sheet29154.xml"/>
  <Override ContentType="application/vnd.openxmlformats-officedocument.spreadsheetml.worksheet+xml" PartName="/xl/worksheets/sheet29155.xml"/>
  <Override ContentType="application/vnd.openxmlformats-officedocument.spreadsheetml.worksheet+xml" PartName="/xl/worksheets/sheet29156.xml"/>
  <Override ContentType="application/vnd.openxmlformats-officedocument.spreadsheetml.worksheet+xml" PartName="/xl/worksheets/sheet29157.xml"/>
  <Override ContentType="application/vnd.openxmlformats-officedocument.spreadsheetml.worksheet+xml" PartName="/xl/worksheets/sheet29158.xml"/>
  <Override ContentType="application/vnd.openxmlformats-officedocument.spreadsheetml.worksheet+xml" PartName="/xl/worksheets/sheet29159.xml"/>
  <Override ContentType="application/vnd.openxmlformats-officedocument.spreadsheetml.worksheet+xml" PartName="/xl/worksheets/sheet29160.xml"/>
  <Override ContentType="application/vnd.openxmlformats-officedocument.spreadsheetml.worksheet+xml" PartName="/xl/worksheets/sheet29161.xml"/>
  <Override ContentType="application/vnd.openxmlformats-officedocument.spreadsheetml.worksheet+xml" PartName="/xl/worksheets/sheet29162.xml"/>
  <Override ContentType="application/vnd.openxmlformats-officedocument.spreadsheetml.worksheet+xml" PartName="/xl/worksheets/sheet29163.xml"/>
  <Override ContentType="application/vnd.openxmlformats-officedocument.spreadsheetml.worksheet+xml" PartName="/xl/worksheets/sheet29164.xml"/>
  <Override ContentType="application/vnd.openxmlformats-officedocument.spreadsheetml.worksheet+xml" PartName="/xl/worksheets/sheet29165.xml"/>
  <Override ContentType="application/vnd.openxmlformats-officedocument.spreadsheetml.worksheet+xml" PartName="/xl/worksheets/sheet29166.xml"/>
  <Override ContentType="application/vnd.openxmlformats-officedocument.spreadsheetml.worksheet+xml" PartName="/xl/worksheets/sheet29167.xml"/>
  <Override ContentType="application/vnd.openxmlformats-officedocument.spreadsheetml.worksheet+xml" PartName="/xl/worksheets/sheet29168.xml"/>
  <Override ContentType="application/vnd.openxmlformats-officedocument.spreadsheetml.worksheet+xml" PartName="/xl/worksheets/sheet29169.xml"/>
  <Override ContentType="application/vnd.openxmlformats-officedocument.spreadsheetml.worksheet+xml" PartName="/xl/worksheets/sheet29170.xml"/>
  <Override ContentType="application/vnd.openxmlformats-officedocument.spreadsheetml.worksheet+xml" PartName="/xl/worksheets/sheet29171.xml"/>
  <Override ContentType="application/vnd.openxmlformats-officedocument.spreadsheetml.worksheet+xml" PartName="/xl/worksheets/sheet29172.xml"/>
  <Override ContentType="application/vnd.openxmlformats-officedocument.spreadsheetml.worksheet+xml" PartName="/xl/worksheets/sheet29173.xml"/>
  <Override ContentType="application/vnd.openxmlformats-officedocument.spreadsheetml.worksheet+xml" PartName="/xl/worksheets/sheet29174.xml"/>
  <Override ContentType="application/vnd.openxmlformats-officedocument.spreadsheetml.worksheet+xml" PartName="/xl/worksheets/sheet29175.xml"/>
  <Override ContentType="application/vnd.openxmlformats-officedocument.spreadsheetml.worksheet+xml" PartName="/xl/worksheets/sheet29176.xml"/>
  <Override ContentType="application/vnd.openxmlformats-officedocument.spreadsheetml.worksheet+xml" PartName="/xl/worksheets/sheet29177.xml"/>
  <Override ContentType="application/vnd.openxmlformats-officedocument.spreadsheetml.worksheet+xml" PartName="/xl/worksheets/sheet29178.xml"/>
  <Override ContentType="application/vnd.openxmlformats-officedocument.spreadsheetml.worksheet+xml" PartName="/xl/worksheets/sheet29179.xml"/>
  <Override ContentType="application/vnd.openxmlformats-officedocument.spreadsheetml.worksheet+xml" PartName="/xl/worksheets/sheet29180.xml"/>
  <Override ContentType="application/vnd.openxmlformats-officedocument.spreadsheetml.worksheet+xml" PartName="/xl/worksheets/sheet29181.xml"/>
  <Override ContentType="application/vnd.openxmlformats-officedocument.spreadsheetml.worksheet+xml" PartName="/xl/worksheets/sheet29182.xml"/>
  <Override ContentType="application/vnd.openxmlformats-officedocument.spreadsheetml.worksheet+xml" PartName="/xl/worksheets/sheet29183.xml"/>
  <Override ContentType="application/vnd.openxmlformats-officedocument.spreadsheetml.worksheet+xml" PartName="/xl/worksheets/sheet29184.xml"/>
  <Override ContentType="application/vnd.openxmlformats-officedocument.spreadsheetml.worksheet+xml" PartName="/xl/worksheets/sheet29185.xml"/>
  <Override ContentType="application/vnd.openxmlformats-officedocument.spreadsheetml.worksheet+xml" PartName="/xl/worksheets/sheet29186.xml"/>
  <Override ContentType="application/vnd.openxmlformats-officedocument.spreadsheetml.worksheet+xml" PartName="/xl/worksheets/sheet29187.xml"/>
  <Override ContentType="application/vnd.openxmlformats-officedocument.spreadsheetml.worksheet+xml" PartName="/xl/worksheets/sheet29188.xml"/>
  <Override ContentType="application/vnd.openxmlformats-officedocument.spreadsheetml.worksheet+xml" PartName="/xl/worksheets/sheet29189.xml"/>
  <Override ContentType="application/vnd.openxmlformats-officedocument.spreadsheetml.worksheet+xml" PartName="/xl/worksheets/sheet29190.xml"/>
  <Override ContentType="application/vnd.openxmlformats-officedocument.spreadsheetml.worksheet+xml" PartName="/xl/worksheets/sheet29191.xml"/>
  <Override ContentType="application/vnd.openxmlformats-officedocument.spreadsheetml.worksheet+xml" PartName="/xl/worksheets/sheet29192.xml"/>
  <Override ContentType="application/vnd.openxmlformats-officedocument.spreadsheetml.worksheet+xml" PartName="/xl/worksheets/sheet29193.xml"/>
  <Override ContentType="application/vnd.openxmlformats-officedocument.spreadsheetml.worksheet+xml" PartName="/xl/worksheets/sheet29194.xml"/>
  <Override ContentType="application/vnd.openxmlformats-officedocument.spreadsheetml.worksheet+xml" PartName="/xl/worksheets/sheet29195.xml"/>
  <Override ContentType="application/vnd.openxmlformats-officedocument.spreadsheetml.worksheet+xml" PartName="/xl/worksheets/sheet29196.xml"/>
  <Override ContentType="application/vnd.openxmlformats-officedocument.spreadsheetml.worksheet+xml" PartName="/xl/worksheets/sheet29197.xml"/>
  <Override ContentType="application/vnd.openxmlformats-officedocument.spreadsheetml.worksheet+xml" PartName="/xl/worksheets/sheet29198.xml"/>
  <Override ContentType="application/vnd.openxmlformats-officedocument.spreadsheetml.worksheet+xml" PartName="/xl/worksheets/sheet29199.xml"/>
  <Override ContentType="application/vnd.openxmlformats-officedocument.spreadsheetml.worksheet+xml" PartName="/xl/worksheets/sheet29200.xml"/>
  <Override ContentType="application/vnd.openxmlformats-officedocument.spreadsheetml.worksheet+xml" PartName="/xl/worksheets/sheet29201.xml"/>
  <Override ContentType="application/vnd.openxmlformats-officedocument.spreadsheetml.worksheet+xml" PartName="/xl/worksheets/sheet29202.xml"/>
  <Override ContentType="application/vnd.openxmlformats-officedocument.spreadsheetml.worksheet+xml" PartName="/xl/worksheets/sheet29203.xml"/>
  <Override ContentType="application/vnd.openxmlformats-officedocument.spreadsheetml.worksheet+xml" PartName="/xl/worksheets/sheet29204.xml"/>
  <Override ContentType="application/vnd.openxmlformats-officedocument.spreadsheetml.worksheet+xml" PartName="/xl/worksheets/sheet29205.xml"/>
  <Override ContentType="application/vnd.openxmlformats-officedocument.spreadsheetml.worksheet+xml" PartName="/xl/worksheets/sheet29206.xml"/>
  <Override ContentType="application/vnd.openxmlformats-officedocument.spreadsheetml.worksheet+xml" PartName="/xl/worksheets/sheet29207.xml"/>
  <Override ContentType="application/vnd.openxmlformats-officedocument.spreadsheetml.worksheet+xml" PartName="/xl/worksheets/sheet29208.xml"/>
  <Override ContentType="application/vnd.openxmlformats-officedocument.spreadsheetml.worksheet+xml" PartName="/xl/worksheets/sheet29209.xml"/>
  <Override ContentType="application/vnd.openxmlformats-officedocument.spreadsheetml.worksheet+xml" PartName="/xl/worksheets/sheet29210.xml"/>
  <Override ContentType="application/vnd.openxmlformats-officedocument.spreadsheetml.worksheet+xml" PartName="/xl/worksheets/sheet29211.xml"/>
  <Override ContentType="application/vnd.openxmlformats-officedocument.spreadsheetml.worksheet+xml" PartName="/xl/worksheets/sheet29212.xml"/>
  <Override ContentType="application/vnd.openxmlformats-officedocument.spreadsheetml.worksheet+xml" PartName="/xl/worksheets/sheet29213.xml"/>
  <Override ContentType="application/vnd.openxmlformats-officedocument.spreadsheetml.worksheet+xml" PartName="/xl/worksheets/sheet29214.xml"/>
  <Override ContentType="application/vnd.openxmlformats-officedocument.spreadsheetml.worksheet+xml" PartName="/xl/worksheets/sheet29215.xml"/>
  <Override ContentType="application/vnd.openxmlformats-officedocument.spreadsheetml.worksheet+xml" PartName="/xl/worksheets/sheet29216.xml"/>
  <Override ContentType="application/vnd.openxmlformats-officedocument.spreadsheetml.worksheet+xml" PartName="/xl/worksheets/sheet29217.xml"/>
  <Override ContentType="application/vnd.openxmlformats-officedocument.spreadsheetml.worksheet+xml" PartName="/xl/worksheets/sheet29218.xml"/>
  <Override ContentType="application/vnd.openxmlformats-officedocument.spreadsheetml.worksheet+xml" PartName="/xl/worksheets/sheet29219.xml"/>
  <Override ContentType="application/vnd.openxmlformats-officedocument.spreadsheetml.worksheet+xml" PartName="/xl/worksheets/sheet29220.xml"/>
  <Override ContentType="application/vnd.openxmlformats-officedocument.spreadsheetml.worksheet+xml" PartName="/xl/worksheets/sheet29221.xml"/>
  <Override ContentType="application/vnd.openxmlformats-officedocument.spreadsheetml.worksheet+xml" PartName="/xl/worksheets/sheet29222.xml"/>
  <Override ContentType="application/vnd.openxmlformats-officedocument.spreadsheetml.worksheet+xml" PartName="/xl/worksheets/sheet29223.xml"/>
  <Override ContentType="application/vnd.openxmlformats-officedocument.spreadsheetml.worksheet+xml" PartName="/xl/worksheets/sheet29224.xml"/>
  <Override ContentType="application/vnd.openxmlformats-officedocument.spreadsheetml.worksheet+xml" PartName="/xl/worksheets/sheet29225.xml"/>
  <Override ContentType="application/vnd.openxmlformats-officedocument.spreadsheetml.worksheet+xml" PartName="/xl/worksheets/sheet29226.xml"/>
  <Override ContentType="application/vnd.openxmlformats-officedocument.spreadsheetml.worksheet+xml" PartName="/xl/worksheets/sheet29227.xml"/>
  <Override ContentType="application/vnd.openxmlformats-officedocument.spreadsheetml.worksheet+xml" PartName="/xl/worksheets/sheet29228.xml"/>
  <Override ContentType="application/vnd.openxmlformats-officedocument.spreadsheetml.worksheet+xml" PartName="/xl/worksheets/sheet29229.xml"/>
  <Override ContentType="application/vnd.openxmlformats-officedocument.spreadsheetml.worksheet+xml" PartName="/xl/worksheets/sheet29230.xml"/>
  <Override ContentType="application/vnd.openxmlformats-officedocument.spreadsheetml.worksheet+xml" PartName="/xl/worksheets/sheet29231.xml"/>
  <Override ContentType="application/vnd.openxmlformats-officedocument.spreadsheetml.worksheet+xml" PartName="/xl/worksheets/sheet29232.xml"/>
  <Override ContentType="application/vnd.openxmlformats-officedocument.spreadsheetml.worksheet+xml" PartName="/xl/worksheets/sheet29233.xml"/>
  <Override ContentType="application/vnd.openxmlformats-officedocument.spreadsheetml.worksheet+xml" PartName="/xl/worksheets/sheet29234.xml"/>
  <Override ContentType="application/vnd.openxmlformats-officedocument.spreadsheetml.worksheet+xml" PartName="/xl/worksheets/sheet29235.xml"/>
  <Override ContentType="application/vnd.openxmlformats-officedocument.spreadsheetml.worksheet+xml" PartName="/xl/worksheets/sheet29236.xml"/>
  <Override ContentType="application/vnd.openxmlformats-officedocument.spreadsheetml.worksheet+xml" PartName="/xl/worksheets/sheet29237.xml"/>
  <Override ContentType="application/vnd.openxmlformats-officedocument.spreadsheetml.worksheet+xml" PartName="/xl/worksheets/sheet29238.xml"/>
  <Override ContentType="application/vnd.openxmlformats-officedocument.spreadsheetml.worksheet+xml" PartName="/xl/worksheets/sheet29239.xml"/>
  <Override ContentType="application/vnd.openxmlformats-officedocument.spreadsheetml.worksheet+xml" PartName="/xl/worksheets/sheet29240.xml"/>
  <Override ContentType="application/vnd.openxmlformats-officedocument.spreadsheetml.worksheet+xml" PartName="/xl/worksheets/sheet29241.xml"/>
  <Override ContentType="application/vnd.openxmlformats-officedocument.spreadsheetml.worksheet+xml" PartName="/xl/worksheets/sheet29242.xml"/>
  <Override ContentType="application/vnd.openxmlformats-officedocument.spreadsheetml.worksheet+xml" PartName="/xl/worksheets/sheet29243.xml"/>
  <Override ContentType="application/vnd.openxmlformats-officedocument.spreadsheetml.worksheet+xml" PartName="/xl/worksheets/sheet29244.xml"/>
  <Override ContentType="application/vnd.openxmlformats-officedocument.spreadsheetml.worksheet+xml" PartName="/xl/worksheets/sheet29245.xml"/>
  <Override ContentType="application/vnd.openxmlformats-officedocument.spreadsheetml.worksheet+xml" PartName="/xl/worksheets/sheet29246.xml"/>
  <Override ContentType="application/vnd.openxmlformats-officedocument.spreadsheetml.worksheet+xml" PartName="/xl/worksheets/sheet29247.xml"/>
  <Override ContentType="application/vnd.openxmlformats-officedocument.spreadsheetml.worksheet+xml" PartName="/xl/worksheets/sheet29248.xml"/>
  <Override ContentType="application/vnd.openxmlformats-officedocument.spreadsheetml.worksheet+xml" PartName="/xl/worksheets/sheet29249.xml"/>
  <Override ContentType="application/vnd.openxmlformats-officedocument.spreadsheetml.worksheet+xml" PartName="/xl/worksheets/sheet29250.xml"/>
  <Override ContentType="application/vnd.openxmlformats-officedocument.spreadsheetml.worksheet+xml" PartName="/xl/worksheets/sheet29251.xml"/>
  <Override ContentType="application/vnd.openxmlformats-officedocument.spreadsheetml.worksheet+xml" PartName="/xl/worksheets/sheet29252.xml"/>
  <Override ContentType="application/vnd.openxmlformats-officedocument.spreadsheetml.worksheet+xml" PartName="/xl/worksheets/sheet29253.xml"/>
  <Override ContentType="application/vnd.openxmlformats-officedocument.spreadsheetml.worksheet+xml" PartName="/xl/worksheets/sheet29254.xml"/>
  <Override ContentType="application/vnd.openxmlformats-officedocument.spreadsheetml.worksheet+xml" PartName="/xl/worksheets/sheet29255.xml"/>
  <Override ContentType="application/vnd.openxmlformats-officedocument.spreadsheetml.worksheet+xml" PartName="/xl/worksheets/sheet29256.xml"/>
  <Override ContentType="application/vnd.openxmlformats-officedocument.spreadsheetml.worksheet+xml" PartName="/xl/worksheets/sheet29257.xml"/>
  <Override ContentType="application/vnd.openxmlformats-officedocument.spreadsheetml.worksheet+xml" PartName="/xl/worksheets/sheet29258.xml"/>
  <Override ContentType="application/vnd.openxmlformats-officedocument.spreadsheetml.worksheet+xml" PartName="/xl/worksheets/sheet29259.xml"/>
  <Override ContentType="application/vnd.openxmlformats-officedocument.spreadsheetml.worksheet+xml" PartName="/xl/worksheets/sheet29260.xml"/>
  <Override ContentType="application/vnd.openxmlformats-officedocument.spreadsheetml.worksheet+xml" PartName="/xl/worksheets/sheet29261.xml"/>
  <Override ContentType="application/vnd.openxmlformats-officedocument.spreadsheetml.worksheet+xml" PartName="/xl/worksheets/sheet29262.xml"/>
  <Override ContentType="application/vnd.openxmlformats-officedocument.spreadsheetml.worksheet+xml" PartName="/xl/worksheets/sheet29263.xml"/>
  <Override ContentType="application/vnd.openxmlformats-officedocument.spreadsheetml.worksheet+xml" PartName="/xl/worksheets/sheet29264.xml"/>
  <Override ContentType="application/vnd.openxmlformats-officedocument.spreadsheetml.worksheet+xml" PartName="/xl/worksheets/sheet29265.xml"/>
  <Override ContentType="application/vnd.openxmlformats-officedocument.spreadsheetml.worksheet+xml" PartName="/xl/worksheets/sheet29266.xml"/>
  <Override ContentType="application/vnd.openxmlformats-officedocument.spreadsheetml.worksheet+xml" PartName="/xl/worksheets/sheet29267.xml"/>
  <Override ContentType="application/vnd.openxmlformats-officedocument.spreadsheetml.worksheet+xml" PartName="/xl/worksheets/sheet29268.xml"/>
  <Override ContentType="application/vnd.openxmlformats-officedocument.spreadsheetml.worksheet+xml" PartName="/xl/worksheets/sheet29269.xml"/>
  <Override ContentType="application/vnd.openxmlformats-officedocument.spreadsheetml.worksheet+xml" PartName="/xl/worksheets/sheet29270.xml"/>
  <Override ContentType="application/vnd.openxmlformats-officedocument.spreadsheetml.worksheet+xml" PartName="/xl/worksheets/sheet29271.xml"/>
  <Override ContentType="application/vnd.openxmlformats-officedocument.spreadsheetml.worksheet+xml" PartName="/xl/worksheets/sheet29272.xml"/>
  <Override ContentType="application/vnd.openxmlformats-officedocument.spreadsheetml.worksheet+xml" PartName="/xl/worksheets/sheet29273.xml"/>
  <Override ContentType="application/vnd.openxmlformats-officedocument.spreadsheetml.worksheet+xml" PartName="/xl/worksheets/sheet29274.xml"/>
  <Override ContentType="application/vnd.openxmlformats-officedocument.spreadsheetml.worksheet+xml" PartName="/xl/worksheets/sheet29275.xml"/>
  <Override ContentType="application/vnd.openxmlformats-officedocument.spreadsheetml.worksheet+xml" PartName="/xl/worksheets/sheet29276.xml"/>
  <Override ContentType="application/vnd.openxmlformats-officedocument.spreadsheetml.worksheet+xml" PartName="/xl/worksheets/sheet29277.xml"/>
  <Override ContentType="application/vnd.openxmlformats-officedocument.spreadsheetml.worksheet+xml" PartName="/xl/worksheets/sheet29278.xml"/>
  <Override ContentType="application/vnd.openxmlformats-officedocument.spreadsheetml.worksheet+xml" PartName="/xl/worksheets/sheet29279.xml"/>
  <Override ContentType="application/vnd.openxmlformats-officedocument.spreadsheetml.worksheet+xml" PartName="/xl/worksheets/sheet29280.xml"/>
  <Override ContentType="application/vnd.openxmlformats-officedocument.spreadsheetml.worksheet+xml" PartName="/xl/worksheets/sheet29281.xml"/>
  <Override ContentType="application/vnd.openxmlformats-officedocument.spreadsheetml.worksheet+xml" PartName="/xl/worksheets/sheet29282.xml"/>
  <Override ContentType="application/vnd.openxmlformats-officedocument.spreadsheetml.worksheet+xml" PartName="/xl/worksheets/sheet29283.xml"/>
  <Override ContentType="application/vnd.openxmlformats-officedocument.spreadsheetml.worksheet+xml" PartName="/xl/worksheets/sheet29284.xml"/>
  <Override ContentType="application/vnd.openxmlformats-officedocument.spreadsheetml.worksheet+xml" PartName="/xl/worksheets/sheet29285.xml"/>
  <Override ContentType="application/vnd.openxmlformats-officedocument.spreadsheetml.worksheet+xml" PartName="/xl/worksheets/sheet29286.xml"/>
  <Override ContentType="application/vnd.openxmlformats-officedocument.spreadsheetml.worksheet+xml" PartName="/xl/worksheets/sheet29287.xml"/>
  <Override ContentType="application/vnd.openxmlformats-officedocument.spreadsheetml.worksheet+xml" PartName="/xl/worksheets/sheet29288.xml"/>
  <Override ContentType="application/vnd.openxmlformats-officedocument.spreadsheetml.worksheet+xml" PartName="/xl/worksheets/sheet29289.xml"/>
  <Override ContentType="application/vnd.openxmlformats-officedocument.spreadsheetml.worksheet+xml" PartName="/xl/worksheets/sheet29290.xml"/>
  <Override ContentType="application/vnd.openxmlformats-officedocument.spreadsheetml.worksheet+xml" PartName="/xl/worksheets/sheet29291.xml"/>
  <Override ContentType="application/vnd.openxmlformats-officedocument.spreadsheetml.worksheet+xml" PartName="/xl/worksheets/sheet29292.xml"/>
  <Override ContentType="application/vnd.openxmlformats-officedocument.spreadsheetml.worksheet+xml" PartName="/xl/worksheets/sheet29293.xml"/>
  <Override ContentType="application/vnd.openxmlformats-officedocument.spreadsheetml.worksheet+xml" PartName="/xl/worksheets/sheet29294.xml"/>
  <Override ContentType="application/vnd.openxmlformats-officedocument.spreadsheetml.worksheet+xml" PartName="/xl/worksheets/sheet29295.xml"/>
  <Override ContentType="application/vnd.openxmlformats-officedocument.spreadsheetml.worksheet+xml" PartName="/xl/worksheets/sheet29296.xml"/>
  <Override ContentType="application/vnd.openxmlformats-officedocument.spreadsheetml.worksheet+xml" PartName="/xl/worksheets/sheet29297.xml"/>
  <Override ContentType="application/vnd.openxmlformats-officedocument.spreadsheetml.worksheet+xml" PartName="/xl/worksheets/sheet29298.xml"/>
  <Override ContentType="application/vnd.openxmlformats-officedocument.spreadsheetml.worksheet+xml" PartName="/xl/worksheets/sheet29299.xml"/>
  <Override ContentType="application/vnd.openxmlformats-officedocument.spreadsheetml.worksheet+xml" PartName="/xl/worksheets/sheet29300.xml"/>
  <Override ContentType="application/vnd.openxmlformats-officedocument.spreadsheetml.worksheet+xml" PartName="/xl/worksheets/sheet29301.xml"/>
  <Override ContentType="application/vnd.openxmlformats-officedocument.spreadsheetml.worksheet+xml" PartName="/xl/worksheets/sheet29302.xml"/>
  <Override ContentType="application/vnd.openxmlformats-officedocument.spreadsheetml.worksheet+xml" PartName="/xl/worksheets/sheet29303.xml"/>
  <Override ContentType="application/vnd.openxmlformats-officedocument.spreadsheetml.worksheet+xml" PartName="/xl/worksheets/sheet29304.xml"/>
  <Override ContentType="application/vnd.openxmlformats-officedocument.spreadsheetml.worksheet+xml" PartName="/xl/worksheets/sheet29305.xml"/>
  <Override ContentType="application/vnd.openxmlformats-officedocument.spreadsheetml.worksheet+xml" PartName="/xl/worksheets/sheet29306.xml"/>
  <Override ContentType="application/vnd.openxmlformats-officedocument.spreadsheetml.worksheet+xml" PartName="/xl/worksheets/sheet29307.xml"/>
  <Override ContentType="application/vnd.openxmlformats-officedocument.spreadsheetml.worksheet+xml" PartName="/xl/worksheets/sheet29308.xml"/>
  <Override ContentType="application/vnd.openxmlformats-officedocument.spreadsheetml.worksheet+xml" PartName="/xl/worksheets/sheet29309.xml"/>
  <Override ContentType="application/vnd.openxmlformats-officedocument.spreadsheetml.worksheet+xml" PartName="/xl/worksheets/sheet29310.xml"/>
  <Override ContentType="application/vnd.openxmlformats-officedocument.spreadsheetml.worksheet+xml" PartName="/xl/worksheets/sheet29311.xml"/>
  <Override ContentType="application/vnd.openxmlformats-officedocument.spreadsheetml.worksheet+xml" PartName="/xl/worksheets/sheet29312.xml"/>
  <Override ContentType="application/vnd.openxmlformats-officedocument.spreadsheetml.worksheet+xml" PartName="/xl/worksheets/sheet29313.xml"/>
  <Override ContentType="application/vnd.openxmlformats-officedocument.spreadsheetml.worksheet+xml" PartName="/xl/worksheets/sheet29314.xml"/>
  <Override ContentType="application/vnd.openxmlformats-officedocument.spreadsheetml.worksheet+xml" PartName="/xl/worksheets/sheet29315.xml"/>
  <Override ContentType="application/vnd.openxmlformats-officedocument.spreadsheetml.worksheet+xml" PartName="/xl/worksheets/sheet29316.xml"/>
  <Override ContentType="application/vnd.openxmlformats-officedocument.spreadsheetml.worksheet+xml" PartName="/xl/worksheets/sheet29317.xml"/>
  <Override ContentType="application/vnd.openxmlformats-officedocument.spreadsheetml.worksheet+xml" PartName="/xl/worksheets/sheet29318.xml"/>
  <Override ContentType="application/vnd.openxmlformats-officedocument.spreadsheetml.worksheet+xml" PartName="/xl/worksheets/sheet29319.xml"/>
  <Override ContentType="application/vnd.openxmlformats-officedocument.spreadsheetml.worksheet+xml" PartName="/xl/worksheets/sheet29320.xml"/>
  <Override ContentType="application/vnd.openxmlformats-officedocument.spreadsheetml.worksheet+xml" PartName="/xl/worksheets/sheet29321.xml"/>
  <Override ContentType="application/vnd.openxmlformats-officedocument.spreadsheetml.worksheet+xml" PartName="/xl/worksheets/sheet29322.xml"/>
  <Override ContentType="application/vnd.openxmlformats-officedocument.spreadsheetml.worksheet+xml" PartName="/xl/worksheets/sheet29323.xml"/>
  <Override ContentType="application/vnd.openxmlformats-officedocument.spreadsheetml.worksheet+xml" PartName="/xl/worksheets/sheet29324.xml"/>
  <Override ContentType="application/vnd.openxmlformats-officedocument.spreadsheetml.worksheet+xml" PartName="/xl/worksheets/sheet29325.xml"/>
  <Override ContentType="application/vnd.openxmlformats-officedocument.spreadsheetml.worksheet+xml" PartName="/xl/worksheets/sheet29326.xml"/>
  <Override ContentType="application/vnd.openxmlformats-officedocument.spreadsheetml.worksheet+xml" PartName="/xl/worksheets/sheet29327.xml"/>
  <Override ContentType="application/vnd.openxmlformats-officedocument.spreadsheetml.worksheet+xml" PartName="/xl/worksheets/sheet29328.xml"/>
  <Override ContentType="application/vnd.openxmlformats-officedocument.spreadsheetml.worksheet+xml" PartName="/xl/worksheets/sheet29329.xml"/>
  <Override ContentType="application/vnd.openxmlformats-officedocument.spreadsheetml.worksheet+xml" PartName="/xl/worksheets/sheet29330.xml"/>
  <Override ContentType="application/vnd.openxmlformats-officedocument.spreadsheetml.worksheet+xml" PartName="/xl/worksheets/sheet29331.xml"/>
  <Override ContentType="application/vnd.openxmlformats-officedocument.spreadsheetml.worksheet+xml" PartName="/xl/worksheets/sheet29332.xml"/>
  <Override ContentType="application/vnd.openxmlformats-officedocument.spreadsheetml.worksheet+xml" PartName="/xl/worksheets/sheet29333.xml"/>
  <Override ContentType="application/vnd.openxmlformats-officedocument.spreadsheetml.worksheet+xml" PartName="/xl/worksheets/sheet29334.xml"/>
  <Override ContentType="application/vnd.openxmlformats-officedocument.spreadsheetml.worksheet+xml" PartName="/xl/worksheets/sheet29335.xml"/>
  <Override ContentType="application/vnd.openxmlformats-officedocument.spreadsheetml.worksheet+xml" PartName="/xl/worksheets/sheet29336.xml"/>
  <Override ContentType="application/vnd.openxmlformats-officedocument.spreadsheetml.worksheet+xml" PartName="/xl/worksheets/sheet29337.xml"/>
  <Override ContentType="application/vnd.openxmlformats-officedocument.spreadsheetml.worksheet+xml" PartName="/xl/worksheets/sheet29338.xml"/>
  <Override ContentType="application/vnd.openxmlformats-officedocument.spreadsheetml.worksheet+xml" PartName="/xl/worksheets/sheet29339.xml"/>
  <Override ContentType="application/vnd.openxmlformats-officedocument.spreadsheetml.worksheet+xml" PartName="/xl/worksheets/sheet29340.xml"/>
  <Override ContentType="application/vnd.openxmlformats-officedocument.spreadsheetml.worksheet+xml" PartName="/xl/worksheets/sheet29341.xml"/>
  <Override ContentType="application/vnd.openxmlformats-officedocument.spreadsheetml.worksheet+xml" PartName="/xl/worksheets/sheet29342.xml"/>
  <Override ContentType="application/vnd.openxmlformats-officedocument.spreadsheetml.worksheet+xml" PartName="/xl/worksheets/sheet29343.xml"/>
  <Override ContentType="application/vnd.openxmlformats-officedocument.spreadsheetml.worksheet+xml" PartName="/xl/worksheets/sheet29344.xml"/>
  <Override ContentType="application/vnd.openxmlformats-officedocument.spreadsheetml.worksheet+xml" PartName="/xl/worksheets/sheet29345.xml"/>
  <Override ContentType="application/vnd.openxmlformats-officedocument.spreadsheetml.worksheet+xml" PartName="/xl/worksheets/sheet29346.xml"/>
  <Override ContentType="application/vnd.openxmlformats-officedocument.spreadsheetml.worksheet+xml" PartName="/xl/worksheets/sheet29347.xml"/>
  <Override ContentType="application/vnd.openxmlformats-officedocument.spreadsheetml.worksheet+xml" PartName="/xl/worksheets/sheet29348.xml"/>
  <Override ContentType="application/vnd.openxmlformats-officedocument.spreadsheetml.worksheet+xml" PartName="/xl/worksheets/sheet29349.xml"/>
  <Override ContentType="application/vnd.openxmlformats-officedocument.spreadsheetml.worksheet+xml" PartName="/xl/worksheets/sheet29350.xml"/>
  <Override ContentType="application/vnd.openxmlformats-officedocument.spreadsheetml.worksheet+xml" PartName="/xl/worksheets/sheet29351.xml"/>
  <Override ContentType="application/vnd.openxmlformats-officedocument.spreadsheetml.worksheet+xml" PartName="/xl/worksheets/sheet29352.xml"/>
  <Override ContentType="application/vnd.openxmlformats-officedocument.spreadsheetml.worksheet+xml" PartName="/xl/worksheets/sheet29353.xml"/>
  <Override ContentType="application/vnd.openxmlformats-officedocument.spreadsheetml.worksheet+xml" PartName="/xl/worksheets/sheet29354.xml"/>
  <Override ContentType="application/vnd.openxmlformats-officedocument.spreadsheetml.worksheet+xml" PartName="/xl/worksheets/sheet29355.xml"/>
  <Override ContentType="application/vnd.openxmlformats-officedocument.spreadsheetml.worksheet+xml" PartName="/xl/worksheets/sheet29356.xml"/>
  <Override ContentType="application/vnd.openxmlformats-officedocument.spreadsheetml.worksheet+xml" PartName="/xl/worksheets/sheet29357.xml"/>
  <Override ContentType="application/vnd.openxmlformats-officedocument.spreadsheetml.worksheet+xml" PartName="/xl/worksheets/sheet29358.xml"/>
  <Override ContentType="application/vnd.openxmlformats-officedocument.spreadsheetml.worksheet+xml" PartName="/xl/worksheets/sheet29359.xml"/>
  <Override ContentType="application/vnd.openxmlformats-officedocument.spreadsheetml.worksheet+xml" PartName="/xl/worksheets/sheet29360.xml"/>
  <Override ContentType="application/vnd.openxmlformats-officedocument.spreadsheetml.worksheet+xml" PartName="/xl/worksheets/sheet29361.xml"/>
  <Override ContentType="application/vnd.openxmlformats-officedocument.spreadsheetml.worksheet+xml" PartName="/xl/worksheets/sheet29362.xml"/>
  <Override ContentType="application/vnd.openxmlformats-officedocument.spreadsheetml.worksheet+xml" PartName="/xl/worksheets/sheet29363.xml"/>
  <Override ContentType="application/vnd.openxmlformats-officedocument.spreadsheetml.worksheet+xml" PartName="/xl/worksheets/sheet29364.xml"/>
  <Override ContentType="application/vnd.openxmlformats-officedocument.spreadsheetml.worksheet+xml" PartName="/xl/worksheets/sheet29365.xml"/>
  <Override ContentType="application/vnd.openxmlformats-officedocument.spreadsheetml.worksheet+xml" PartName="/xl/worksheets/sheet29366.xml"/>
  <Override ContentType="application/vnd.openxmlformats-officedocument.spreadsheetml.worksheet+xml" PartName="/xl/worksheets/sheet29367.xml"/>
  <Override ContentType="application/vnd.openxmlformats-officedocument.spreadsheetml.worksheet+xml" PartName="/xl/worksheets/sheet29368.xml"/>
  <Override ContentType="application/vnd.openxmlformats-officedocument.spreadsheetml.worksheet+xml" PartName="/xl/worksheets/sheet29369.xml"/>
  <Override ContentType="application/vnd.openxmlformats-officedocument.spreadsheetml.worksheet+xml" PartName="/xl/worksheets/sheet29370.xml"/>
  <Override ContentType="application/vnd.openxmlformats-officedocument.spreadsheetml.worksheet+xml" PartName="/xl/worksheets/sheet29371.xml"/>
  <Override ContentType="application/vnd.openxmlformats-officedocument.spreadsheetml.worksheet+xml" PartName="/xl/worksheets/sheet29372.xml"/>
  <Override ContentType="application/vnd.openxmlformats-officedocument.spreadsheetml.worksheet+xml" PartName="/xl/worksheets/sheet29373.xml"/>
  <Override ContentType="application/vnd.openxmlformats-officedocument.spreadsheetml.worksheet+xml" PartName="/xl/worksheets/sheet29374.xml"/>
  <Override ContentType="application/vnd.openxmlformats-officedocument.spreadsheetml.worksheet+xml" PartName="/xl/worksheets/sheet29375.xml"/>
  <Override ContentType="application/vnd.openxmlformats-officedocument.spreadsheetml.worksheet+xml" PartName="/xl/worksheets/sheet29376.xml"/>
  <Override ContentType="application/vnd.openxmlformats-officedocument.spreadsheetml.worksheet+xml" PartName="/xl/worksheets/sheet29377.xml"/>
  <Override ContentType="application/vnd.openxmlformats-officedocument.spreadsheetml.worksheet+xml" PartName="/xl/worksheets/sheet29378.xml"/>
  <Override ContentType="application/vnd.openxmlformats-officedocument.spreadsheetml.worksheet+xml" PartName="/xl/worksheets/sheet29379.xml"/>
  <Override ContentType="application/vnd.openxmlformats-officedocument.spreadsheetml.worksheet+xml" PartName="/xl/worksheets/sheet29380.xml"/>
  <Override ContentType="application/vnd.openxmlformats-officedocument.spreadsheetml.worksheet+xml" PartName="/xl/worksheets/sheet29381.xml"/>
  <Override ContentType="application/vnd.openxmlformats-officedocument.spreadsheetml.worksheet+xml" PartName="/xl/worksheets/sheet29382.xml"/>
  <Override ContentType="application/vnd.openxmlformats-officedocument.spreadsheetml.worksheet+xml" PartName="/xl/worksheets/sheet29383.xml"/>
  <Override ContentType="application/vnd.openxmlformats-officedocument.spreadsheetml.worksheet+xml" PartName="/xl/worksheets/sheet29384.xml"/>
  <Override ContentType="application/vnd.openxmlformats-officedocument.spreadsheetml.worksheet+xml" PartName="/xl/worksheets/sheet29385.xml"/>
  <Override ContentType="application/vnd.openxmlformats-officedocument.spreadsheetml.worksheet+xml" PartName="/xl/worksheets/sheet29386.xml"/>
  <Override ContentType="application/vnd.openxmlformats-officedocument.spreadsheetml.worksheet+xml" PartName="/xl/worksheets/sheet29387.xml"/>
  <Override ContentType="application/vnd.openxmlformats-officedocument.spreadsheetml.worksheet+xml" PartName="/xl/worksheets/sheet29388.xml"/>
  <Override ContentType="application/vnd.openxmlformats-officedocument.spreadsheetml.worksheet+xml" PartName="/xl/worksheets/sheet29389.xml"/>
  <Override ContentType="application/vnd.openxmlformats-officedocument.spreadsheetml.worksheet+xml" PartName="/xl/worksheets/sheet29390.xml"/>
  <Override ContentType="application/vnd.openxmlformats-officedocument.spreadsheetml.worksheet+xml" PartName="/xl/worksheets/sheet29391.xml"/>
  <Override ContentType="application/vnd.openxmlformats-officedocument.spreadsheetml.worksheet+xml" PartName="/xl/worksheets/sheet29392.xml"/>
  <Override ContentType="application/vnd.openxmlformats-officedocument.spreadsheetml.worksheet+xml" PartName="/xl/worksheets/sheet29393.xml"/>
  <Override ContentType="application/vnd.openxmlformats-officedocument.spreadsheetml.worksheet+xml" PartName="/xl/worksheets/sheet29394.xml"/>
  <Override ContentType="application/vnd.openxmlformats-officedocument.spreadsheetml.worksheet+xml" PartName="/xl/worksheets/sheet29395.xml"/>
  <Override ContentType="application/vnd.openxmlformats-officedocument.spreadsheetml.worksheet+xml" PartName="/xl/worksheets/sheet29396.xml"/>
  <Override ContentType="application/vnd.openxmlformats-officedocument.spreadsheetml.worksheet+xml" PartName="/xl/worksheets/sheet29397.xml"/>
  <Override ContentType="application/vnd.openxmlformats-officedocument.spreadsheetml.worksheet+xml" PartName="/xl/worksheets/sheet29398.xml"/>
  <Override ContentType="application/vnd.openxmlformats-officedocument.spreadsheetml.worksheet+xml" PartName="/xl/worksheets/sheet29399.xml"/>
  <Override ContentType="application/vnd.openxmlformats-officedocument.spreadsheetml.worksheet+xml" PartName="/xl/worksheets/sheet29400.xml"/>
  <Override ContentType="application/vnd.openxmlformats-officedocument.spreadsheetml.worksheet+xml" PartName="/xl/worksheets/sheet29401.xml"/>
  <Override ContentType="application/vnd.openxmlformats-officedocument.spreadsheetml.worksheet+xml" PartName="/xl/worksheets/sheet29402.xml"/>
  <Override ContentType="application/vnd.openxmlformats-officedocument.spreadsheetml.worksheet+xml" PartName="/xl/worksheets/sheet29403.xml"/>
  <Override ContentType="application/vnd.openxmlformats-officedocument.spreadsheetml.worksheet+xml" PartName="/xl/worksheets/sheet29404.xml"/>
  <Override ContentType="application/vnd.openxmlformats-officedocument.spreadsheetml.worksheet+xml" PartName="/xl/worksheets/sheet29405.xml"/>
  <Override ContentType="application/vnd.openxmlformats-officedocument.spreadsheetml.worksheet+xml" PartName="/xl/worksheets/sheet29406.xml"/>
  <Override ContentType="application/vnd.openxmlformats-officedocument.spreadsheetml.worksheet+xml" PartName="/xl/worksheets/sheet29407.xml"/>
  <Override ContentType="application/vnd.openxmlformats-officedocument.spreadsheetml.worksheet+xml" PartName="/xl/worksheets/sheet29408.xml"/>
  <Override ContentType="application/vnd.openxmlformats-officedocument.spreadsheetml.worksheet+xml" PartName="/xl/worksheets/sheet29409.xml"/>
  <Override ContentType="application/vnd.openxmlformats-officedocument.spreadsheetml.worksheet+xml" PartName="/xl/worksheets/sheet29410.xml"/>
  <Override ContentType="application/vnd.openxmlformats-officedocument.spreadsheetml.worksheet+xml" PartName="/xl/worksheets/sheet29411.xml"/>
  <Override ContentType="application/vnd.openxmlformats-officedocument.spreadsheetml.worksheet+xml" PartName="/xl/worksheets/sheet29412.xml"/>
  <Override ContentType="application/vnd.openxmlformats-officedocument.spreadsheetml.worksheet+xml" PartName="/xl/worksheets/sheet29413.xml"/>
  <Override ContentType="application/vnd.openxmlformats-officedocument.spreadsheetml.worksheet+xml" PartName="/xl/worksheets/sheet29414.xml"/>
  <Override ContentType="application/vnd.openxmlformats-officedocument.spreadsheetml.worksheet+xml" PartName="/xl/worksheets/sheet29415.xml"/>
  <Override ContentType="application/vnd.openxmlformats-officedocument.spreadsheetml.worksheet+xml" PartName="/xl/worksheets/sheet29416.xml"/>
  <Override ContentType="application/vnd.openxmlformats-officedocument.spreadsheetml.worksheet+xml" PartName="/xl/worksheets/sheet29417.xml"/>
  <Override ContentType="application/vnd.openxmlformats-officedocument.spreadsheetml.worksheet+xml" PartName="/xl/worksheets/sheet29418.xml"/>
  <Override ContentType="application/vnd.openxmlformats-officedocument.spreadsheetml.worksheet+xml" PartName="/xl/worksheets/sheet29419.xml"/>
  <Override ContentType="application/vnd.openxmlformats-officedocument.spreadsheetml.worksheet+xml" PartName="/xl/worksheets/sheet29420.xml"/>
  <Override ContentType="application/vnd.openxmlformats-officedocument.spreadsheetml.worksheet+xml" PartName="/xl/worksheets/sheet29421.xml"/>
  <Override ContentType="application/vnd.openxmlformats-officedocument.spreadsheetml.worksheet+xml" PartName="/xl/worksheets/sheet29422.xml"/>
  <Override ContentType="application/vnd.openxmlformats-officedocument.spreadsheetml.worksheet+xml" PartName="/xl/worksheets/sheet29423.xml"/>
  <Override ContentType="application/vnd.openxmlformats-officedocument.spreadsheetml.worksheet+xml" PartName="/xl/worksheets/sheet29424.xml"/>
  <Override ContentType="application/vnd.openxmlformats-officedocument.spreadsheetml.worksheet+xml" PartName="/xl/worksheets/sheet29425.xml"/>
  <Override ContentType="application/vnd.openxmlformats-officedocument.spreadsheetml.worksheet+xml" PartName="/xl/worksheets/sheet29426.xml"/>
  <Override ContentType="application/vnd.openxmlformats-officedocument.spreadsheetml.worksheet+xml" PartName="/xl/worksheets/sheet29427.xml"/>
  <Override ContentType="application/vnd.openxmlformats-officedocument.spreadsheetml.worksheet+xml" PartName="/xl/worksheets/sheet29428.xml"/>
  <Override ContentType="application/vnd.openxmlformats-officedocument.spreadsheetml.worksheet+xml" PartName="/xl/worksheets/sheet29429.xml"/>
  <Override ContentType="application/vnd.openxmlformats-officedocument.spreadsheetml.worksheet+xml" PartName="/xl/worksheets/sheet29430.xml"/>
  <Override ContentType="application/vnd.openxmlformats-officedocument.spreadsheetml.worksheet+xml" PartName="/xl/worksheets/sheet29431.xml"/>
  <Override ContentType="application/vnd.openxmlformats-officedocument.spreadsheetml.worksheet+xml" PartName="/xl/worksheets/sheet29432.xml"/>
  <Override ContentType="application/vnd.openxmlformats-officedocument.spreadsheetml.worksheet+xml" PartName="/xl/worksheets/sheet29433.xml"/>
  <Override ContentType="application/vnd.openxmlformats-officedocument.spreadsheetml.worksheet+xml" PartName="/xl/worksheets/sheet29434.xml"/>
  <Override ContentType="application/vnd.openxmlformats-officedocument.spreadsheetml.worksheet+xml" PartName="/xl/worksheets/sheet29435.xml"/>
  <Override ContentType="application/vnd.openxmlformats-officedocument.spreadsheetml.worksheet+xml" PartName="/xl/worksheets/sheet29436.xml"/>
  <Override ContentType="application/vnd.openxmlformats-officedocument.spreadsheetml.worksheet+xml" PartName="/xl/worksheets/sheet29437.xml"/>
  <Override ContentType="application/vnd.openxmlformats-officedocument.spreadsheetml.worksheet+xml" PartName="/xl/worksheets/sheet29438.xml"/>
  <Override ContentType="application/vnd.openxmlformats-officedocument.spreadsheetml.worksheet+xml" PartName="/xl/worksheets/sheet29439.xml"/>
  <Override ContentType="application/vnd.openxmlformats-officedocument.spreadsheetml.worksheet+xml" PartName="/xl/worksheets/sheet29440.xml"/>
  <Override ContentType="application/vnd.openxmlformats-officedocument.spreadsheetml.worksheet+xml" PartName="/xl/worksheets/sheet29441.xml"/>
  <Override ContentType="application/vnd.openxmlformats-officedocument.spreadsheetml.worksheet+xml" PartName="/xl/worksheets/sheet29442.xml"/>
  <Override ContentType="application/vnd.openxmlformats-officedocument.spreadsheetml.worksheet+xml" PartName="/xl/worksheets/sheet29443.xml"/>
  <Override ContentType="application/vnd.openxmlformats-officedocument.spreadsheetml.worksheet+xml" PartName="/xl/worksheets/sheet29444.xml"/>
  <Override ContentType="application/vnd.openxmlformats-officedocument.spreadsheetml.worksheet+xml" PartName="/xl/worksheets/sheet29445.xml"/>
  <Override ContentType="application/vnd.openxmlformats-officedocument.spreadsheetml.worksheet+xml" PartName="/xl/worksheets/sheet29446.xml"/>
  <Override ContentType="application/vnd.openxmlformats-officedocument.spreadsheetml.worksheet+xml" PartName="/xl/worksheets/sheet29447.xml"/>
  <Override ContentType="application/vnd.openxmlformats-officedocument.spreadsheetml.worksheet+xml" PartName="/xl/worksheets/sheet29448.xml"/>
  <Override ContentType="application/vnd.openxmlformats-officedocument.spreadsheetml.worksheet+xml" PartName="/xl/worksheets/sheet29449.xml"/>
  <Override ContentType="application/vnd.openxmlformats-officedocument.spreadsheetml.worksheet+xml" PartName="/xl/worksheets/sheet29450.xml"/>
  <Override ContentType="application/vnd.openxmlformats-officedocument.spreadsheetml.worksheet+xml" PartName="/xl/worksheets/sheet29451.xml"/>
  <Override ContentType="application/vnd.openxmlformats-officedocument.spreadsheetml.worksheet+xml" PartName="/xl/worksheets/sheet29452.xml"/>
  <Override ContentType="application/vnd.openxmlformats-officedocument.spreadsheetml.worksheet+xml" PartName="/xl/worksheets/sheet29453.xml"/>
  <Override ContentType="application/vnd.openxmlformats-officedocument.spreadsheetml.worksheet+xml" PartName="/xl/worksheets/sheet29454.xml"/>
  <Override ContentType="application/vnd.openxmlformats-officedocument.spreadsheetml.worksheet+xml" PartName="/xl/worksheets/sheet29455.xml"/>
  <Override ContentType="application/vnd.openxmlformats-officedocument.spreadsheetml.worksheet+xml" PartName="/xl/worksheets/sheet29456.xml"/>
  <Override ContentType="application/vnd.openxmlformats-officedocument.spreadsheetml.worksheet+xml" PartName="/xl/worksheets/sheet29457.xml"/>
  <Override ContentType="application/vnd.openxmlformats-officedocument.spreadsheetml.worksheet+xml" PartName="/xl/worksheets/sheet29458.xml"/>
  <Override ContentType="application/vnd.openxmlformats-officedocument.spreadsheetml.worksheet+xml" PartName="/xl/worksheets/sheet29459.xml"/>
  <Override ContentType="application/vnd.openxmlformats-officedocument.spreadsheetml.worksheet+xml" PartName="/xl/worksheets/sheet29460.xml"/>
  <Override ContentType="application/vnd.openxmlformats-officedocument.spreadsheetml.worksheet+xml" PartName="/xl/worksheets/sheet29461.xml"/>
  <Override ContentType="application/vnd.openxmlformats-officedocument.spreadsheetml.worksheet+xml" PartName="/xl/worksheets/sheet29462.xml"/>
  <Override ContentType="application/vnd.openxmlformats-officedocument.spreadsheetml.worksheet+xml" PartName="/xl/worksheets/sheet29463.xml"/>
  <Override ContentType="application/vnd.openxmlformats-officedocument.spreadsheetml.worksheet+xml" PartName="/xl/worksheets/sheet29464.xml"/>
  <Override ContentType="application/vnd.openxmlformats-officedocument.spreadsheetml.worksheet+xml" PartName="/xl/worksheets/sheet29465.xml"/>
  <Override ContentType="application/vnd.openxmlformats-officedocument.spreadsheetml.worksheet+xml" PartName="/xl/worksheets/sheet29466.xml"/>
  <Override ContentType="application/vnd.openxmlformats-officedocument.spreadsheetml.worksheet+xml" PartName="/xl/worksheets/sheet29467.xml"/>
  <Override ContentType="application/vnd.openxmlformats-officedocument.spreadsheetml.worksheet+xml" PartName="/xl/worksheets/sheet29468.xml"/>
  <Override ContentType="application/vnd.openxmlformats-officedocument.spreadsheetml.worksheet+xml" PartName="/xl/worksheets/sheet29469.xml"/>
  <Override ContentType="application/vnd.openxmlformats-officedocument.spreadsheetml.worksheet+xml" PartName="/xl/worksheets/sheet29470.xml"/>
  <Override ContentType="application/vnd.openxmlformats-officedocument.spreadsheetml.worksheet+xml" PartName="/xl/worksheets/sheet29471.xml"/>
  <Override ContentType="application/vnd.openxmlformats-officedocument.spreadsheetml.worksheet+xml" PartName="/xl/worksheets/sheet29472.xml"/>
  <Override ContentType="application/vnd.openxmlformats-officedocument.spreadsheetml.worksheet+xml" PartName="/xl/worksheets/sheet29473.xml"/>
  <Override ContentType="application/vnd.openxmlformats-officedocument.spreadsheetml.worksheet+xml" PartName="/xl/worksheets/sheet29474.xml"/>
  <Override ContentType="application/vnd.openxmlformats-officedocument.spreadsheetml.worksheet+xml" PartName="/xl/worksheets/sheet29475.xml"/>
  <Override ContentType="application/vnd.openxmlformats-officedocument.spreadsheetml.worksheet+xml" PartName="/xl/worksheets/sheet29476.xml"/>
  <Override ContentType="application/vnd.openxmlformats-officedocument.spreadsheetml.worksheet+xml" PartName="/xl/worksheets/sheet29477.xml"/>
  <Override ContentType="application/vnd.openxmlformats-officedocument.spreadsheetml.worksheet+xml" PartName="/xl/worksheets/sheet29478.xml"/>
  <Override ContentType="application/vnd.openxmlformats-officedocument.spreadsheetml.worksheet+xml" PartName="/xl/worksheets/sheet29479.xml"/>
  <Override ContentType="application/vnd.openxmlformats-officedocument.spreadsheetml.worksheet+xml" PartName="/xl/worksheets/sheet29480.xml"/>
  <Override ContentType="application/vnd.openxmlformats-officedocument.spreadsheetml.worksheet+xml" PartName="/xl/worksheets/sheet29481.xml"/>
  <Override ContentType="application/vnd.openxmlformats-officedocument.spreadsheetml.worksheet+xml" PartName="/xl/worksheets/sheet29482.xml"/>
  <Override ContentType="application/vnd.openxmlformats-officedocument.spreadsheetml.worksheet+xml" PartName="/xl/worksheets/sheet29483.xml"/>
  <Override ContentType="application/vnd.openxmlformats-officedocument.spreadsheetml.worksheet+xml" PartName="/xl/worksheets/sheet29484.xml"/>
  <Override ContentType="application/vnd.openxmlformats-officedocument.spreadsheetml.worksheet+xml" PartName="/xl/worksheets/sheet29485.xml"/>
  <Override ContentType="application/vnd.openxmlformats-officedocument.spreadsheetml.worksheet+xml" PartName="/xl/worksheets/sheet29486.xml"/>
  <Override ContentType="application/vnd.openxmlformats-officedocument.spreadsheetml.worksheet+xml" PartName="/xl/worksheets/sheet29487.xml"/>
  <Override ContentType="application/vnd.openxmlformats-officedocument.spreadsheetml.worksheet+xml" PartName="/xl/worksheets/sheet29488.xml"/>
  <Override ContentType="application/vnd.openxmlformats-officedocument.spreadsheetml.worksheet+xml" PartName="/xl/worksheets/sheet29489.xml"/>
  <Override ContentType="application/vnd.openxmlformats-officedocument.spreadsheetml.worksheet+xml" PartName="/xl/worksheets/sheet29490.xml"/>
  <Override ContentType="application/vnd.openxmlformats-officedocument.spreadsheetml.worksheet+xml" PartName="/xl/worksheets/sheet29491.xml"/>
  <Override ContentType="application/vnd.openxmlformats-officedocument.spreadsheetml.worksheet+xml" PartName="/xl/worksheets/sheet29492.xml"/>
  <Override ContentType="application/vnd.openxmlformats-officedocument.spreadsheetml.worksheet+xml" PartName="/xl/worksheets/sheet29493.xml"/>
  <Override ContentType="application/vnd.openxmlformats-officedocument.spreadsheetml.worksheet+xml" PartName="/xl/worksheets/sheet29494.xml"/>
  <Override ContentType="application/vnd.openxmlformats-officedocument.spreadsheetml.worksheet+xml" PartName="/xl/worksheets/sheet29495.xml"/>
  <Override ContentType="application/vnd.openxmlformats-officedocument.spreadsheetml.worksheet+xml" PartName="/xl/worksheets/sheet29496.xml"/>
  <Override ContentType="application/vnd.openxmlformats-officedocument.spreadsheetml.worksheet+xml" PartName="/xl/worksheets/sheet29497.xml"/>
  <Override ContentType="application/vnd.openxmlformats-officedocument.spreadsheetml.worksheet+xml" PartName="/xl/worksheets/sheet29498.xml"/>
  <Override ContentType="application/vnd.openxmlformats-officedocument.spreadsheetml.worksheet+xml" PartName="/xl/worksheets/sheet29499.xml"/>
  <Override ContentType="application/vnd.openxmlformats-officedocument.spreadsheetml.worksheet+xml" PartName="/xl/worksheets/sheet29500.xml"/>
  <Override ContentType="application/vnd.openxmlformats-officedocument.spreadsheetml.worksheet+xml" PartName="/xl/worksheets/sheet29501.xml"/>
  <Override ContentType="application/vnd.openxmlformats-officedocument.spreadsheetml.worksheet+xml" PartName="/xl/worksheets/sheet29502.xml"/>
  <Override ContentType="application/vnd.openxmlformats-officedocument.spreadsheetml.worksheet+xml" PartName="/xl/worksheets/sheet29503.xml"/>
  <Override ContentType="application/vnd.openxmlformats-officedocument.spreadsheetml.worksheet+xml" PartName="/xl/worksheets/sheet29504.xml"/>
  <Override ContentType="application/vnd.openxmlformats-officedocument.spreadsheetml.worksheet+xml" PartName="/xl/worksheets/sheet29505.xml"/>
  <Override ContentType="application/vnd.openxmlformats-officedocument.spreadsheetml.worksheet+xml" PartName="/xl/worksheets/sheet29506.xml"/>
  <Override ContentType="application/vnd.openxmlformats-officedocument.spreadsheetml.worksheet+xml" PartName="/xl/worksheets/sheet29507.xml"/>
  <Override ContentType="application/vnd.openxmlformats-officedocument.spreadsheetml.worksheet+xml" PartName="/xl/worksheets/sheet29508.xml"/>
  <Override ContentType="application/vnd.openxmlformats-officedocument.spreadsheetml.worksheet+xml" PartName="/xl/worksheets/sheet29509.xml"/>
  <Override ContentType="application/vnd.openxmlformats-officedocument.spreadsheetml.worksheet+xml" PartName="/xl/worksheets/sheet29510.xml"/>
  <Override ContentType="application/vnd.openxmlformats-officedocument.spreadsheetml.worksheet+xml" PartName="/xl/worksheets/sheet29511.xml"/>
  <Override ContentType="application/vnd.openxmlformats-officedocument.spreadsheetml.worksheet+xml" PartName="/xl/worksheets/sheet29512.xml"/>
  <Override ContentType="application/vnd.openxmlformats-officedocument.spreadsheetml.worksheet+xml" PartName="/xl/worksheets/sheet29513.xml"/>
  <Override ContentType="application/vnd.openxmlformats-officedocument.spreadsheetml.worksheet+xml" PartName="/xl/worksheets/sheet29514.xml"/>
  <Override ContentType="application/vnd.openxmlformats-officedocument.spreadsheetml.worksheet+xml" PartName="/xl/worksheets/sheet29515.xml"/>
  <Override ContentType="application/vnd.openxmlformats-officedocument.spreadsheetml.worksheet+xml" PartName="/xl/worksheets/sheet29516.xml"/>
  <Override ContentType="application/vnd.openxmlformats-officedocument.spreadsheetml.worksheet+xml" PartName="/xl/worksheets/sheet29517.xml"/>
  <Override ContentType="application/vnd.openxmlformats-officedocument.spreadsheetml.worksheet+xml" PartName="/xl/worksheets/sheet29518.xml"/>
  <Override ContentType="application/vnd.openxmlformats-officedocument.spreadsheetml.worksheet+xml" PartName="/xl/worksheets/sheet29519.xml"/>
  <Override ContentType="application/vnd.openxmlformats-officedocument.spreadsheetml.worksheet+xml" PartName="/xl/worksheets/sheet29520.xml"/>
  <Override ContentType="application/vnd.openxmlformats-officedocument.spreadsheetml.worksheet+xml" PartName="/xl/worksheets/sheet29521.xml"/>
  <Override ContentType="application/vnd.openxmlformats-officedocument.spreadsheetml.worksheet+xml" PartName="/xl/worksheets/sheet29522.xml"/>
  <Override ContentType="application/vnd.openxmlformats-officedocument.spreadsheetml.worksheet+xml" PartName="/xl/worksheets/sheet29523.xml"/>
  <Override ContentType="application/vnd.openxmlformats-officedocument.spreadsheetml.worksheet+xml" PartName="/xl/worksheets/sheet29524.xml"/>
  <Override ContentType="application/vnd.openxmlformats-officedocument.spreadsheetml.worksheet+xml" PartName="/xl/worksheets/sheet29525.xml"/>
  <Override ContentType="application/vnd.openxmlformats-officedocument.spreadsheetml.worksheet+xml" PartName="/xl/worksheets/sheet29526.xml"/>
  <Override ContentType="application/vnd.openxmlformats-officedocument.spreadsheetml.worksheet+xml" PartName="/xl/worksheets/sheet29527.xml"/>
  <Override ContentType="application/vnd.openxmlformats-officedocument.spreadsheetml.worksheet+xml" PartName="/xl/worksheets/sheet29528.xml"/>
  <Override ContentType="application/vnd.openxmlformats-officedocument.spreadsheetml.worksheet+xml" PartName="/xl/worksheets/sheet29529.xml"/>
  <Override ContentType="application/vnd.openxmlformats-officedocument.spreadsheetml.worksheet+xml" PartName="/xl/worksheets/sheet29530.xml"/>
  <Override ContentType="application/vnd.openxmlformats-officedocument.spreadsheetml.worksheet+xml" PartName="/xl/worksheets/sheet29531.xml"/>
  <Override ContentType="application/vnd.openxmlformats-officedocument.spreadsheetml.worksheet+xml" PartName="/xl/worksheets/sheet29532.xml"/>
  <Override ContentType="application/vnd.openxmlformats-officedocument.spreadsheetml.worksheet+xml" PartName="/xl/worksheets/sheet29533.xml"/>
  <Override ContentType="application/vnd.openxmlformats-officedocument.spreadsheetml.worksheet+xml" PartName="/xl/worksheets/sheet29534.xml"/>
  <Override ContentType="application/vnd.openxmlformats-officedocument.spreadsheetml.worksheet+xml" PartName="/xl/worksheets/sheet29535.xml"/>
  <Override ContentType="application/vnd.openxmlformats-officedocument.spreadsheetml.worksheet+xml" PartName="/xl/worksheets/sheet29536.xml"/>
  <Override ContentType="application/vnd.openxmlformats-officedocument.spreadsheetml.worksheet+xml" PartName="/xl/worksheets/sheet29537.xml"/>
  <Override ContentType="application/vnd.openxmlformats-officedocument.spreadsheetml.worksheet+xml" PartName="/xl/worksheets/sheet29538.xml"/>
  <Override ContentType="application/vnd.openxmlformats-officedocument.spreadsheetml.worksheet+xml" PartName="/xl/worksheets/sheet29539.xml"/>
  <Override ContentType="application/vnd.openxmlformats-officedocument.spreadsheetml.worksheet+xml" PartName="/xl/worksheets/sheet29540.xml"/>
  <Override ContentType="application/vnd.openxmlformats-officedocument.spreadsheetml.worksheet+xml" PartName="/xl/worksheets/sheet29541.xml"/>
  <Override ContentType="application/vnd.openxmlformats-officedocument.spreadsheetml.worksheet+xml" PartName="/xl/worksheets/sheet29542.xml"/>
  <Override ContentType="application/vnd.openxmlformats-officedocument.spreadsheetml.worksheet+xml" PartName="/xl/worksheets/sheet29543.xml"/>
  <Override ContentType="application/vnd.openxmlformats-officedocument.spreadsheetml.worksheet+xml" PartName="/xl/worksheets/sheet29544.xml"/>
  <Override ContentType="application/vnd.openxmlformats-officedocument.spreadsheetml.worksheet+xml" PartName="/xl/worksheets/sheet29545.xml"/>
  <Override ContentType="application/vnd.openxmlformats-officedocument.spreadsheetml.worksheet+xml" PartName="/xl/worksheets/sheet29546.xml"/>
  <Override ContentType="application/vnd.openxmlformats-officedocument.spreadsheetml.worksheet+xml" PartName="/xl/worksheets/sheet29547.xml"/>
  <Override ContentType="application/vnd.openxmlformats-officedocument.spreadsheetml.worksheet+xml" PartName="/xl/worksheets/sheet29548.xml"/>
  <Override ContentType="application/vnd.openxmlformats-officedocument.spreadsheetml.worksheet+xml" PartName="/xl/worksheets/sheet29549.xml"/>
  <Override ContentType="application/vnd.openxmlformats-officedocument.spreadsheetml.worksheet+xml" PartName="/xl/worksheets/sheet29550.xml"/>
  <Override ContentType="application/vnd.openxmlformats-officedocument.spreadsheetml.worksheet+xml" PartName="/xl/worksheets/sheet29551.xml"/>
  <Override ContentType="application/vnd.openxmlformats-officedocument.spreadsheetml.worksheet+xml" PartName="/xl/worksheets/sheet29552.xml"/>
  <Override ContentType="application/vnd.openxmlformats-officedocument.spreadsheetml.worksheet+xml" PartName="/xl/worksheets/sheet29553.xml"/>
  <Override ContentType="application/vnd.openxmlformats-officedocument.spreadsheetml.worksheet+xml" PartName="/xl/worksheets/sheet29554.xml"/>
  <Override ContentType="application/vnd.openxmlformats-officedocument.spreadsheetml.worksheet+xml" PartName="/xl/worksheets/sheet29555.xml"/>
  <Override ContentType="application/vnd.openxmlformats-officedocument.spreadsheetml.worksheet+xml" PartName="/xl/worksheets/sheet29556.xml"/>
  <Override ContentType="application/vnd.openxmlformats-officedocument.spreadsheetml.worksheet+xml" PartName="/xl/worksheets/sheet29557.xml"/>
  <Override ContentType="application/vnd.openxmlformats-officedocument.spreadsheetml.worksheet+xml" PartName="/xl/worksheets/sheet29558.xml"/>
  <Override ContentType="application/vnd.openxmlformats-officedocument.spreadsheetml.worksheet+xml" PartName="/xl/worksheets/sheet29559.xml"/>
  <Override ContentType="application/vnd.openxmlformats-officedocument.spreadsheetml.worksheet+xml" PartName="/xl/worksheets/sheet29560.xml"/>
  <Override ContentType="application/vnd.openxmlformats-officedocument.spreadsheetml.worksheet+xml" PartName="/xl/worksheets/sheet29561.xml"/>
  <Override ContentType="application/vnd.openxmlformats-officedocument.spreadsheetml.worksheet+xml" PartName="/xl/worksheets/sheet29562.xml"/>
  <Override ContentType="application/vnd.openxmlformats-officedocument.spreadsheetml.worksheet+xml" PartName="/xl/worksheets/sheet29563.xml"/>
  <Override ContentType="application/vnd.openxmlformats-officedocument.spreadsheetml.worksheet+xml" PartName="/xl/worksheets/sheet29564.xml"/>
  <Override ContentType="application/vnd.openxmlformats-officedocument.spreadsheetml.worksheet+xml" PartName="/xl/worksheets/sheet29565.xml"/>
  <Override ContentType="application/vnd.openxmlformats-officedocument.spreadsheetml.worksheet+xml" PartName="/xl/worksheets/sheet29566.xml"/>
  <Override ContentType="application/vnd.openxmlformats-officedocument.spreadsheetml.worksheet+xml" PartName="/xl/worksheets/sheet29567.xml"/>
  <Override ContentType="application/vnd.openxmlformats-officedocument.spreadsheetml.worksheet+xml" PartName="/xl/worksheets/sheet29568.xml"/>
  <Override ContentType="application/vnd.openxmlformats-officedocument.spreadsheetml.worksheet+xml" PartName="/xl/worksheets/sheet29569.xml"/>
  <Override ContentType="application/vnd.openxmlformats-officedocument.spreadsheetml.worksheet+xml" PartName="/xl/worksheets/sheet29570.xml"/>
  <Override ContentType="application/vnd.openxmlformats-officedocument.spreadsheetml.worksheet+xml" PartName="/xl/worksheets/sheet29571.xml"/>
  <Override ContentType="application/vnd.openxmlformats-officedocument.spreadsheetml.worksheet+xml" PartName="/xl/worksheets/sheet29572.xml"/>
  <Override ContentType="application/vnd.openxmlformats-officedocument.spreadsheetml.worksheet+xml" PartName="/xl/worksheets/sheet29573.xml"/>
  <Override ContentType="application/vnd.openxmlformats-officedocument.spreadsheetml.worksheet+xml" PartName="/xl/worksheets/sheet29574.xml"/>
  <Override ContentType="application/vnd.openxmlformats-officedocument.spreadsheetml.worksheet+xml" PartName="/xl/worksheets/sheet29575.xml"/>
  <Override ContentType="application/vnd.openxmlformats-officedocument.spreadsheetml.worksheet+xml" PartName="/xl/worksheets/sheet29576.xml"/>
  <Override ContentType="application/vnd.openxmlformats-officedocument.spreadsheetml.worksheet+xml" PartName="/xl/worksheets/sheet29577.xml"/>
  <Override ContentType="application/vnd.openxmlformats-officedocument.spreadsheetml.worksheet+xml" PartName="/xl/worksheets/sheet29578.xml"/>
  <Override ContentType="application/vnd.openxmlformats-officedocument.spreadsheetml.worksheet+xml" PartName="/xl/worksheets/sheet29579.xml"/>
  <Override ContentType="application/vnd.openxmlformats-officedocument.spreadsheetml.worksheet+xml" PartName="/xl/worksheets/sheet29580.xml"/>
  <Override ContentType="application/vnd.openxmlformats-officedocument.spreadsheetml.worksheet+xml" PartName="/xl/worksheets/sheet29581.xml"/>
  <Override ContentType="application/vnd.openxmlformats-officedocument.spreadsheetml.worksheet+xml" PartName="/xl/worksheets/sheet29582.xml"/>
  <Override ContentType="application/vnd.openxmlformats-officedocument.spreadsheetml.worksheet+xml" PartName="/xl/worksheets/sheet29583.xml"/>
  <Override ContentType="application/vnd.openxmlformats-officedocument.spreadsheetml.worksheet+xml" PartName="/xl/worksheets/sheet29584.xml"/>
  <Override ContentType="application/vnd.openxmlformats-officedocument.spreadsheetml.worksheet+xml" PartName="/xl/worksheets/sheet29585.xml"/>
  <Override ContentType="application/vnd.openxmlformats-officedocument.spreadsheetml.worksheet+xml" PartName="/xl/worksheets/sheet29586.xml"/>
  <Override ContentType="application/vnd.openxmlformats-officedocument.spreadsheetml.worksheet+xml" PartName="/xl/worksheets/sheet29587.xml"/>
  <Override ContentType="application/vnd.openxmlformats-officedocument.spreadsheetml.worksheet+xml" PartName="/xl/worksheets/sheet29588.xml"/>
  <Override ContentType="application/vnd.openxmlformats-officedocument.spreadsheetml.worksheet+xml" PartName="/xl/worksheets/sheet29589.xml"/>
  <Override ContentType="application/vnd.openxmlformats-officedocument.spreadsheetml.worksheet+xml" PartName="/xl/worksheets/sheet29590.xml"/>
  <Override ContentType="application/vnd.openxmlformats-officedocument.spreadsheetml.worksheet+xml" PartName="/xl/worksheets/sheet29591.xml"/>
  <Override ContentType="application/vnd.openxmlformats-officedocument.spreadsheetml.worksheet+xml" PartName="/xl/worksheets/sheet29592.xml"/>
  <Override ContentType="application/vnd.openxmlformats-officedocument.spreadsheetml.worksheet+xml" PartName="/xl/worksheets/sheet29593.xml"/>
  <Override ContentType="application/vnd.openxmlformats-officedocument.spreadsheetml.worksheet+xml" PartName="/xl/worksheets/sheet29594.xml"/>
  <Override ContentType="application/vnd.openxmlformats-officedocument.spreadsheetml.worksheet+xml" PartName="/xl/worksheets/sheet29595.xml"/>
  <Override ContentType="application/vnd.openxmlformats-officedocument.spreadsheetml.worksheet+xml" PartName="/xl/worksheets/sheet29596.xml"/>
  <Override ContentType="application/vnd.openxmlformats-officedocument.spreadsheetml.worksheet+xml" PartName="/xl/worksheets/sheet29597.xml"/>
  <Override ContentType="application/vnd.openxmlformats-officedocument.spreadsheetml.worksheet+xml" PartName="/xl/worksheets/sheet29598.xml"/>
  <Override ContentType="application/vnd.openxmlformats-officedocument.spreadsheetml.worksheet+xml" PartName="/xl/worksheets/sheet29599.xml"/>
  <Override ContentType="application/vnd.openxmlformats-officedocument.spreadsheetml.worksheet+xml" PartName="/xl/worksheets/sheet29600.xml"/>
  <Override ContentType="application/vnd.openxmlformats-officedocument.spreadsheetml.worksheet+xml" PartName="/xl/worksheets/sheet29601.xml"/>
  <Override ContentType="application/vnd.openxmlformats-officedocument.spreadsheetml.worksheet+xml" PartName="/xl/worksheets/sheet29602.xml"/>
  <Override ContentType="application/vnd.openxmlformats-officedocument.spreadsheetml.worksheet+xml" PartName="/xl/worksheets/sheet29603.xml"/>
  <Override ContentType="application/vnd.openxmlformats-officedocument.spreadsheetml.worksheet+xml" PartName="/xl/worksheets/sheet29604.xml"/>
  <Override ContentType="application/vnd.openxmlformats-officedocument.spreadsheetml.worksheet+xml" PartName="/xl/worksheets/sheet29605.xml"/>
  <Override ContentType="application/vnd.openxmlformats-officedocument.spreadsheetml.worksheet+xml" PartName="/xl/worksheets/sheet29606.xml"/>
  <Override ContentType="application/vnd.openxmlformats-officedocument.spreadsheetml.worksheet+xml" PartName="/xl/worksheets/sheet29607.xml"/>
  <Override ContentType="application/vnd.openxmlformats-officedocument.spreadsheetml.worksheet+xml" PartName="/xl/worksheets/sheet29608.xml"/>
  <Override ContentType="application/vnd.openxmlformats-officedocument.spreadsheetml.worksheet+xml" PartName="/xl/worksheets/sheet29609.xml"/>
  <Override ContentType="application/vnd.openxmlformats-officedocument.spreadsheetml.worksheet+xml" PartName="/xl/worksheets/sheet29610.xml"/>
  <Override ContentType="application/vnd.openxmlformats-officedocument.spreadsheetml.worksheet+xml" PartName="/xl/worksheets/sheet29611.xml"/>
  <Override ContentType="application/vnd.openxmlformats-officedocument.spreadsheetml.worksheet+xml" PartName="/xl/worksheets/sheet29612.xml"/>
  <Override ContentType="application/vnd.openxmlformats-officedocument.spreadsheetml.worksheet+xml" PartName="/xl/worksheets/sheet29613.xml"/>
  <Override ContentType="application/vnd.openxmlformats-officedocument.spreadsheetml.worksheet+xml" PartName="/xl/worksheets/sheet29614.xml"/>
  <Override ContentType="application/vnd.openxmlformats-officedocument.spreadsheetml.worksheet+xml" PartName="/xl/worksheets/sheet29615.xml"/>
  <Override ContentType="application/vnd.openxmlformats-officedocument.spreadsheetml.worksheet+xml" PartName="/xl/worksheets/sheet29616.xml"/>
  <Override ContentType="application/vnd.openxmlformats-officedocument.spreadsheetml.worksheet+xml" PartName="/xl/worksheets/sheet29617.xml"/>
  <Override ContentType="application/vnd.openxmlformats-officedocument.spreadsheetml.worksheet+xml" PartName="/xl/worksheets/sheet29618.xml"/>
  <Override ContentType="application/vnd.openxmlformats-officedocument.spreadsheetml.worksheet+xml" PartName="/xl/worksheets/sheet29619.xml"/>
  <Override ContentType="application/vnd.openxmlformats-officedocument.spreadsheetml.worksheet+xml" PartName="/xl/worksheets/sheet29620.xml"/>
  <Override ContentType="application/vnd.openxmlformats-officedocument.spreadsheetml.worksheet+xml" PartName="/xl/worksheets/sheet29621.xml"/>
  <Override ContentType="application/vnd.openxmlformats-officedocument.spreadsheetml.worksheet+xml" PartName="/xl/worksheets/sheet29622.xml"/>
  <Override ContentType="application/vnd.openxmlformats-officedocument.spreadsheetml.worksheet+xml" PartName="/xl/worksheets/sheet29623.xml"/>
  <Override ContentType="application/vnd.openxmlformats-officedocument.spreadsheetml.worksheet+xml" PartName="/xl/worksheets/sheet29624.xml"/>
  <Override ContentType="application/vnd.openxmlformats-officedocument.spreadsheetml.worksheet+xml" PartName="/xl/worksheets/sheet29625.xml"/>
  <Override ContentType="application/vnd.openxmlformats-officedocument.spreadsheetml.worksheet+xml" PartName="/xl/worksheets/sheet29626.xml"/>
  <Override ContentType="application/vnd.openxmlformats-officedocument.spreadsheetml.worksheet+xml" PartName="/xl/worksheets/sheet29627.xml"/>
  <Override ContentType="application/vnd.openxmlformats-officedocument.spreadsheetml.worksheet+xml" PartName="/xl/worksheets/sheet29628.xml"/>
  <Override ContentType="application/vnd.openxmlformats-officedocument.spreadsheetml.worksheet+xml" PartName="/xl/worksheets/sheet29629.xml"/>
  <Override ContentType="application/vnd.openxmlformats-officedocument.spreadsheetml.worksheet+xml" PartName="/xl/worksheets/sheet29630.xml"/>
  <Override ContentType="application/vnd.openxmlformats-officedocument.spreadsheetml.worksheet+xml" PartName="/xl/worksheets/sheet29631.xml"/>
  <Override ContentType="application/vnd.openxmlformats-officedocument.spreadsheetml.worksheet+xml" PartName="/xl/worksheets/sheet29632.xml"/>
  <Override ContentType="application/vnd.openxmlformats-officedocument.spreadsheetml.worksheet+xml" PartName="/xl/worksheets/sheet29633.xml"/>
  <Override ContentType="application/vnd.openxmlformats-officedocument.spreadsheetml.worksheet+xml" PartName="/xl/worksheets/sheet29634.xml"/>
  <Override ContentType="application/vnd.openxmlformats-officedocument.spreadsheetml.worksheet+xml" PartName="/xl/worksheets/sheet29635.xml"/>
  <Override ContentType="application/vnd.openxmlformats-officedocument.spreadsheetml.worksheet+xml" PartName="/xl/worksheets/sheet29636.xml"/>
  <Override ContentType="application/vnd.openxmlformats-officedocument.spreadsheetml.worksheet+xml" PartName="/xl/worksheets/sheet29637.xml"/>
  <Override ContentType="application/vnd.openxmlformats-officedocument.spreadsheetml.worksheet+xml" PartName="/xl/worksheets/sheet29638.xml"/>
  <Override ContentType="application/vnd.openxmlformats-officedocument.spreadsheetml.worksheet+xml" PartName="/xl/worksheets/sheet29639.xml"/>
  <Override ContentType="application/vnd.openxmlformats-officedocument.spreadsheetml.worksheet+xml" PartName="/xl/worksheets/sheet29640.xml"/>
  <Override ContentType="application/vnd.openxmlformats-officedocument.spreadsheetml.worksheet+xml" PartName="/xl/worksheets/sheet29641.xml"/>
  <Override ContentType="application/vnd.openxmlformats-officedocument.spreadsheetml.worksheet+xml" PartName="/xl/worksheets/sheet29642.xml"/>
  <Override ContentType="application/vnd.openxmlformats-officedocument.spreadsheetml.worksheet+xml" PartName="/xl/worksheets/sheet29643.xml"/>
  <Override ContentType="application/vnd.openxmlformats-officedocument.spreadsheetml.worksheet+xml" PartName="/xl/worksheets/sheet29644.xml"/>
  <Override ContentType="application/vnd.openxmlformats-officedocument.spreadsheetml.worksheet+xml" PartName="/xl/worksheets/sheet29645.xml"/>
  <Override ContentType="application/vnd.openxmlformats-officedocument.spreadsheetml.worksheet+xml" PartName="/xl/worksheets/sheet29646.xml"/>
  <Override ContentType="application/vnd.openxmlformats-officedocument.spreadsheetml.worksheet+xml" PartName="/xl/worksheets/sheet29647.xml"/>
  <Override ContentType="application/vnd.openxmlformats-officedocument.spreadsheetml.worksheet+xml" PartName="/xl/worksheets/sheet29648.xml"/>
  <Override ContentType="application/vnd.openxmlformats-officedocument.spreadsheetml.worksheet+xml" PartName="/xl/worksheets/sheet29649.xml"/>
  <Override ContentType="application/vnd.openxmlformats-officedocument.spreadsheetml.worksheet+xml" PartName="/xl/worksheets/sheet29650.xml"/>
  <Override ContentType="application/vnd.openxmlformats-officedocument.spreadsheetml.worksheet+xml" PartName="/xl/worksheets/sheet29651.xml"/>
  <Override ContentType="application/vnd.openxmlformats-officedocument.spreadsheetml.worksheet+xml" PartName="/xl/worksheets/sheet29652.xml"/>
  <Override ContentType="application/vnd.openxmlformats-officedocument.spreadsheetml.worksheet+xml" PartName="/xl/worksheets/sheet29653.xml"/>
  <Override ContentType="application/vnd.openxmlformats-officedocument.spreadsheetml.worksheet+xml" PartName="/xl/worksheets/sheet29654.xml"/>
  <Override ContentType="application/vnd.openxmlformats-officedocument.spreadsheetml.worksheet+xml" PartName="/xl/worksheets/sheet29655.xml"/>
  <Override ContentType="application/vnd.openxmlformats-officedocument.spreadsheetml.worksheet+xml" PartName="/xl/worksheets/sheet29656.xml"/>
  <Override ContentType="application/vnd.openxmlformats-officedocument.spreadsheetml.worksheet+xml" PartName="/xl/worksheets/sheet29657.xml"/>
  <Override ContentType="application/vnd.openxmlformats-officedocument.spreadsheetml.worksheet+xml" PartName="/xl/worksheets/sheet29658.xml"/>
  <Override ContentType="application/vnd.openxmlformats-officedocument.spreadsheetml.worksheet+xml" PartName="/xl/worksheets/sheet29659.xml"/>
  <Override ContentType="application/vnd.openxmlformats-officedocument.spreadsheetml.worksheet+xml" PartName="/xl/worksheets/sheet29660.xml"/>
  <Override ContentType="application/vnd.openxmlformats-officedocument.spreadsheetml.worksheet+xml" PartName="/xl/worksheets/sheet29661.xml"/>
  <Override ContentType="application/vnd.openxmlformats-officedocument.spreadsheetml.worksheet+xml" PartName="/xl/worksheets/sheet29662.xml"/>
  <Override ContentType="application/vnd.openxmlformats-officedocument.spreadsheetml.worksheet+xml" PartName="/xl/worksheets/sheet29663.xml"/>
  <Override ContentType="application/vnd.openxmlformats-officedocument.spreadsheetml.worksheet+xml" PartName="/xl/worksheets/sheet29664.xml"/>
  <Override ContentType="application/vnd.openxmlformats-officedocument.spreadsheetml.worksheet+xml" PartName="/xl/worksheets/sheet29665.xml"/>
  <Override ContentType="application/vnd.openxmlformats-officedocument.spreadsheetml.worksheet+xml" PartName="/xl/worksheets/sheet29666.xml"/>
  <Override ContentType="application/vnd.openxmlformats-officedocument.spreadsheetml.worksheet+xml" PartName="/xl/worksheets/sheet29667.xml"/>
  <Override ContentType="application/vnd.openxmlformats-officedocument.spreadsheetml.worksheet+xml" PartName="/xl/worksheets/sheet29668.xml"/>
  <Override ContentType="application/vnd.openxmlformats-officedocument.spreadsheetml.worksheet+xml" PartName="/xl/worksheets/sheet29669.xml"/>
  <Override ContentType="application/vnd.openxmlformats-officedocument.spreadsheetml.worksheet+xml" PartName="/xl/worksheets/sheet29670.xml"/>
  <Override ContentType="application/vnd.openxmlformats-officedocument.spreadsheetml.worksheet+xml" PartName="/xl/worksheets/sheet29671.xml"/>
  <Override ContentType="application/vnd.openxmlformats-officedocument.spreadsheetml.worksheet+xml" PartName="/xl/worksheets/sheet29672.xml"/>
  <Override ContentType="application/vnd.openxmlformats-officedocument.spreadsheetml.worksheet+xml" PartName="/xl/worksheets/sheet29673.xml"/>
  <Override ContentType="application/vnd.openxmlformats-officedocument.spreadsheetml.worksheet+xml" PartName="/xl/worksheets/sheet29674.xml"/>
  <Override ContentType="application/vnd.openxmlformats-officedocument.spreadsheetml.worksheet+xml" PartName="/xl/worksheets/sheet29675.xml"/>
  <Override ContentType="application/vnd.openxmlformats-officedocument.spreadsheetml.worksheet+xml" PartName="/xl/worksheets/sheet29676.xml"/>
  <Override ContentType="application/vnd.openxmlformats-officedocument.spreadsheetml.worksheet+xml" PartName="/xl/worksheets/sheet29677.xml"/>
  <Override ContentType="application/vnd.openxmlformats-officedocument.spreadsheetml.worksheet+xml" PartName="/xl/worksheets/sheet29678.xml"/>
  <Override ContentType="application/vnd.openxmlformats-officedocument.spreadsheetml.worksheet+xml" PartName="/xl/worksheets/sheet29679.xml"/>
  <Override ContentType="application/vnd.openxmlformats-officedocument.spreadsheetml.worksheet+xml" PartName="/xl/worksheets/sheet29680.xml"/>
  <Override ContentType="application/vnd.openxmlformats-officedocument.spreadsheetml.worksheet+xml" PartName="/xl/worksheets/sheet29681.xml"/>
  <Override ContentType="application/vnd.openxmlformats-officedocument.spreadsheetml.worksheet+xml" PartName="/xl/worksheets/sheet29682.xml"/>
  <Override ContentType="application/vnd.openxmlformats-officedocument.spreadsheetml.worksheet+xml" PartName="/xl/worksheets/sheet29683.xml"/>
  <Override ContentType="application/vnd.openxmlformats-officedocument.spreadsheetml.worksheet+xml" PartName="/xl/worksheets/sheet29684.xml"/>
  <Override ContentType="application/vnd.openxmlformats-officedocument.spreadsheetml.worksheet+xml" PartName="/xl/worksheets/sheet29685.xml"/>
  <Override ContentType="application/vnd.openxmlformats-officedocument.spreadsheetml.worksheet+xml" PartName="/xl/worksheets/sheet29686.xml"/>
  <Override ContentType="application/vnd.openxmlformats-officedocument.spreadsheetml.worksheet+xml" PartName="/xl/worksheets/sheet29687.xml"/>
  <Override ContentType="application/vnd.openxmlformats-officedocument.spreadsheetml.worksheet+xml" PartName="/xl/worksheets/sheet29688.xml"/>
  <Override ContentType="application/vnd.openxmlformats-officedocument.spreadsheetml.worksheet+xml" PartName="/xl/worksheets/sheet29689.xml"/>
  <Override ContentType="application/vnd.openxmlformats-officedocument.spreadsheetml.worksheet+xml" PartName="/xl/worksheets/sheet29690.xml"/>
  <Override ContentType="application/vnd.openxmlformats-officedocument.spreadsheetml.worksheet+xml" PartName="/xl/worksheets/sheet29691.xml"/>
  <Override ContentType="application/vnd.openxmlformats-officedocument.spreadsheetml.worksheet+xml" PartName="/xl/worksheets/sheet29692.xml"/>
  <Override ContentType="application/vnd.openxmlformats-officedocument.spreadsheetml.worksheet+xml" PartName="/xl/worksheets/sheet29693.xml"/>
  <Override ContentType="application/vnd.openxmlformats-officedocument.spreadsheetml.worksheet+xml" PartName="/xl/worksheets/sheet29694.xml"/>
  <Override ContentType="application/vnd.openxmlformats-officedocument.spreadsheetml.worksheet+xml" PartName="/xl/worksheets/sheet29695.xml"/>
  <Override ContentType="application/vnd.openxmlformats-officedocument.spreadsheetml.worksheet+xml" PartName="/xl/worksheets/sheet29696.xml"/>
  <Override ContentType="application/vnd.openxmlformats-officedocument.spreadsheetml.worksheet+xml" PartName="/xl/worksheets/sheet29697.xml"/>
  <Override ContentType="application/vnd.openxmlformats-officedocument.spreadsheetml.worksheet+xml" PartName="/xl/worksheets/sheet29698.xml"/>
  <Override ContentType="application/vnd.openxmlformats-officedocument.spreadsheetml.worksheet+xml" PartName="/xl/worksheets/sheet29699.xml"/>
  <Override ContentType="application/vnd.openxmlformats-officedocument.spreadsheetml.worksheet+xml" PartName="/xl/worksheets/sheet29700.xml"/>
  <Override ContentType="application/vnd.openxmlformats-officedocument.spreadsheetml.worksheet+xml" PartName="/xl/worksheets/sheet29701.xml"/>
  <Override ContentType="application/vnd.openxmlformats-officedocument.spreadsheetml.worksheet+xml" PartName="/xl/worksheets/sheet29702.xml"/>
  <Override ContentType="application/vnd.openxmlformats-officedocument.spreadsheetml.worksheet+xml" PartName="/xl/worksheets/sheet29703.xml"/>
  <Override ContentType="application/vnd.openxmlformats-officedocument.spreadsheetml.worksheet+xml" PartName="/xl/worksheets/sheet29704.xml"/>
  <Override ContentType="application/vnd.openxmlformats-officedocument.spreadsheetml.worksheet+xml" PartName="/xl/worksheets/sheet29705.xml"/>
  <Override ContentType="application/vnd.openxmlformats-officedocument.spreadsheetml.worksheet+xml" PartName="/xl/worksheets/sheet29706.xml"/>
  <Override ContentType="application/vnd.openxmlformats-officedocument.spreadsheetml.worksheet+xml" PartName="/xl/worksheets/sheet29707.xml"/>
  <Override ContentType="application/vnd.openxmlformats-officedocument.spreadsheetml.worksheet+xml" PartName="/xl/worksheets/sheet29708.xml"/>
  <Override ContentType="application/vnd.openxmlformats-officedocument.spreadsheetml.worksheet+xml" PartName="/xl/worksheets/sheet29709.xml"/>
  <Override ContentType="application/vnd.openxmlformats-officedocument.spreadsheetml.worksheet+xml" PartName="/xl/worksheets/sheet29710.xml"/>
  <Override ContentType="application/vnd.openxmlformats-officedocument.spreadsheetml.worksheet+xml" PartName="/xl/worksheets/sheet29711.xml"/>
  <Override ContentType="application/vnd.openxmlformats-officedocument.spreadsheetml.worksheet+xml" PartName="/xl/worksheets/sheet29712.xml"/>
  <Override ContentType="application/vnd.openxmlformats-officedocument.spreadsheetml.worksheet+xml" PartName="/xl/worksheets/sheet29713.xml"/>
  <Override ContentType="application/vnd.openxmlformats-officedocument.spreadsheetml.worksheet+xml" PartName="/xl/worksheets/sheet29714.xml"/>
  <Override ContentType="application/vnd.openxmlformats-officedocument.spreadsheetml.worksheet+xml" PartName="/xl/worksheets/sheet29715.xml"/>
  <Override ContentType="application/vnd.openxmlformats-officedocument.spreadsheetml.worksheet+xml" PartName="/xl/worksheets/sheet29716.xml"/>
  <Override ContentType="application/vnd.openxmlformats-officedocument.spreadsheetml.worksheet+xml" PartName="/xl/worksheets/sheet29717.xml"/>
  <Override ContentType="application/vnd.openxmlformats-officedocument.spreadsheetml.worksheet+xml" PartName="/xl/worksheets/sheet29718.xml"/>
  <Override ContentType="application/vnd.openxmlformats-officedocument.spreadsheetml.worksheet+xml" PartName="/xl/worksheets/sheet29719.xml"/>
  <Override ContentType="application/vnd.openxmlformats-officedocument.spreadsheetml.worksheet+xml" PartName="/xl/worksheets/sheet29720.xml"/>
  <Override ContentType="application/vnd.openxmlformats-officedocument.spreadsheetml.worksheet+xml" PartName="/xl/worksheets/sheet29721.xml"/>
  <Override ContentType="application/vnd.openxmlformats-officedocument.spreadsheetml.worksheet+xml" PartName="/xl/worksheets/sheet29722.xml"/>
  <Override ContentType="application/vnd.openxmlformats-officedocument.spreadsheetml.worksheet+xml" PartName="/xl/worksheets/sheet29723.xml"/>
  <Override ContentType="application/vnd.openxmlformats-officedocument.spreadsheetml.worksheet+xml" PartName="/xl/worksheets/sheet29724.xml"/>
  <Override ContentType="application/vnd.openxmlformats-officedocument.spreadsheetml.worksheet+xml" PartName="/xl/worksheets/sheet29725.xml"/>
  <Override ContentType="application/vnd.openxmlformats-officedocument.spreadsheetml.worksheet+xml" PartName="/xl/worksheets/sheet29726.xml"/>
  <Override ContentType="application/vnd.openxmlformats-officedocument.spreadsheetml.worksheet+xml" PartName="/xl/worksheets/sheet29727.xml"/>
  <Override ContentType="application/vnd.openxmlformats-officedocument.spreadsheetml.worksheet+xml" PartName="/xl/worksheets/sheet29728.xml"/>
  <Override ContentType="application/vnd.openxmlformats-officedocument.spreadsheetml.worksheet+xml" PartName="/xl/worksheets/sheet29729.xml"/>
  <Override ContentType="application/vnd.openxmlformats-officedocument.spreadsheetml.worksheet+xml" PartName="/xl/worksheets/sheet29730.xml"/>
  <Override ContentType="application/vnd.openxmlformats-officedocument.spreadsheetml.worksheet+xml" PartName="/xl/worksheets/sheet29731.xml"/>
  <Override ContentType="application/vnd.openxmlformats-officedocument.spreadsheetml.worksheet+xml" PartName="/xl/worksheets/sheet29732.xml"/>
  <Override ContentType="application/vnd.openxmlformats-officedocument.spreadsheetml.worksheet+xml" PartName="/xl/worksheets/sheet29733.xml"/>
  <Override ContentType="application/vnd.openxmlformats-officedocument.spreadsheetml.worksheet+xml" PartName="/xl/worksheets/sheet29734.xml"/>
  <Override ContentType="application/vnd.openxmlformats-officedocument.spreadsheetml.worksheet+xml" PartName="/xl/worksheets/sheet29735.xml"/>
  <Override ContentType="application/vnd.openxmlformats-officedocument.spreadsheetml.worksheet+xml" PartName="/xl/worksheets/sheet29736.xml"/>
  <Override ContentType="application/vnd.openxmlformats-officedocument.spreadsheetml.worksheet+xml" PartName="/xl/worksheets/sheet29737.xml"/>
  <Override ContentType="application/vnd.openxmlformats-officedocument.spreadsheetml.worksheet+xml" PartName="/xl/worksheets/sheet29738.xml"/>
  <Override ContentType="application/vnd.openxmlformats-officedocument.spreadsheetml.worksheet+xml" PartName="/xl/worksheets/sheet29739.xml"/>
  <Override ContentType="application/vnd.openxmlformats-officedocument.spreadsheetml.worksheet+xml" PartName="/xl/worksheets/sheet29740.xml"/>
  <Override ContentType="application/vnd.openxmlformats-officedocument.spreadsheetml.worksheet+xml" PartName="/xl/worksheets/sheet29741.xml"/>
  <Override ContentType="application/vnd.openxmlformats-officedocument.spreadsheetml.worksheet+xml" PartName="/xl/worksheets/sheet29742.xml"/>
  <Override ContentType="application/vnd.openxmlformats-officedocument.spreadsheetml.worksheet+xml" PartName="/xl/worksheets/sheet29743.xml"/>
  <Override ContentType="application/vnd.openxmlformats-officedocument.spreadsheetml.worksheet+xml" PartName="/xl/worksheets/sheet29744.xml"/>
  <Override ContentType="application/vnd.openxmlformats-officedocument.spreadsheetml.worksheet+xml" PartName="/xl/worksheets/sheet29745.xml"/>
  <Override ContentType="application/vnd.openxmlformats-officedocument.spreadsheetml.worksheet+xml" PartName="/xl/worksheets/sheet29746.xml"/>
  <Override ContentType="application/vnd.openxmlformats-officedocument.spreadsheetml.worksheet+xml" PartName="/xl/worksheets/sheet29747.xml"/>
  <Override ContentType="application/vnd.openxmlformats-officedocument.spreadsheetml.worksheet+xml" PartName="/xl/worksheets/sheet29748.xml"/>
  <Override ContentType="application/vnd.openxmlformats-officedocument.spreadsheetml.worksheet+xml" PartName="/xl/worksheets/sheet29749.xml"/>
  <Override ContentType="application/vnd.openxmlformats-officedocument.spreadsheetml.worksheet+xml" PartName="/xl/worksheets/sheet29750.xml"/>
  <Override ContentType="application/vnd.openxmlformats-officedocument.spreadsheetml.worksheet+xml" PartName="/xl/worksheets/sheet29751.xml"/>
  <Override ContentType="application/vnd.openxmlformats-officedocument.spreadsheetml.worksheet+xml" PartName="/xl/worksheets/sheet29752.xml"/>
  <Override ContentType="application/vnd.openxmlformats-officedocument.spreadsheetml.worksheet+xml" PartName="/xl/worksheets/sheet29753.xml"/>
  <Override ContentType="application/vnd.openxmlformats-officedocument.spreadsheetml.worksheet+xml" PartName="/xl/worksheets/sheet29754.xml"/>
  <Override ContentType="application/vnd.openxmlformats-officedocument.spreadsheetml.worksheet+xml" PartName="/xl/worksheets/sheet29755.xml"/>
  <Override ContentType="application/vnd.openxmlformats-officedocument.spreadsheetml.worksheet+xml" PartName="/xl/worksheets/sheet29756.xml"/>
  <Override ContentType="application/vnd.openxmlformats-officedocument.spreadsheetml.worksheet+xml" PartName="/xl/worksheets/sheet29757.xml"/>
  <Override ContentType="application/vnd.openxmlformats-officedocument.spreadsheetml.worksheet+xml" PartName="/xl/worksheets/sheet29758.xml"/>
  <Override ContentType="application/vnd.openxmlformats-officedocument.spreadsheetml.worksheet+xml" PartName="/xl/worksheets/sheet29759.xml"/>
  <Override ContentType="application/vnd.openxmlformats-officedocument.spreadsheetml.worksheet+xml" PartName="/xl/worksheets/sheet29760.xml"/>
  <Override ContentType="application/vnd.openxmlformats-officedocument.spreadsheetml.worksheet+xml" PartName="/xl/worksheets/sheet29761.xml"/>
  <Override ContentType="application/vnd.openxmlformats-officedocument.spreadsheetml.worksheet+xml" PartName="/xl/worksheets/sheet29762.xml"/>
  <Override ContentType="application/vnd.openxmlformats-officedocument.spreadsheetml.worksheet+xml" PartName="/xl/worksheets/sheet29763.xml"/>
  <Override ContentType="application/vnd.openxmlformats-officedocument.spreadsheetml.worksheet+xml" PartName="/xl/worksheets/sheet29764.xml"/>
  <Override ContentType="application/vnd.openxmlformats-officedocument.spreadsheetml.worksheet+xml" PartName="/xl/worksheets/sheet29765.xml"/>
  <Override ContentType="application/vnd.openxmlformats-officedocument.spreadsheetml.worksheet+xml" PartName="/xl/worksheets/sheet29766.xml"/>
  <Override ContentType="application/vnd.openxmlformats-officedocument.spreadsheetml.worksheet+xml" PartName="/xl/worksheets/sheet29767.xml"/>
  <Override ContentType="application/vnd.openxmlformats-officedocument.spreadsheetml.worksheet+xml" PartName="/xl/worksheets/sheet29768.xml"/>
  <Override ContentType="application/vnd.openxmlformats-officedocument.spreadsheetml.worksheet+xml" PartName="/xl/worksheets/sheet29769.xml"/>
  <Override ContentType="application/vnd.openxmlformats-officedocument.spreadsheetml.worksheet+xml" PartName="/xl/worksheets/sheet29770.xml"/>
  <Override ContentType="application/vnd.openxmlformats-officedocument.spreadsheetml.worksheet+xml" PartName="/xl/worksheets/sheet29771.xml"/>
  <Override ContentType="application/vnd.openxmlformats-officedocument.spreadsheetml.worksheet+xml" PartName="/xl/worksheets/sheet29772.xml"/>
  <Override ContentType="application/vnd.openxmlformats-officedocument.spreadsheetml.worksheet+xml" PartName="/xl/worksheets/sheet29773.xml"/>
  <Override ContentType="application/vnd.openxmlformats-officedocument.spreadsheetml.worksheet+xml" PartName="/xl/worksheets/sheet29774.xml"/>
  <Override ContentType="application/vnd.openxmlformats-officedocument.spreadsheetml.worksheet+xml" PartName="/xl/worksheets/sheet29775.xml"/>
  <Override ContentType="application/vnd.openxmlformats-officedocument.spreadsheetml.worksheet+xml" PartName="/xl/worksheets/sheet29776.xml"/>
  <Override ContentType="application/vnd.openxmlformats-officedocument.spreadsheetml.worksheet+xml" PartName="/xl/worksheets/sheet29777.xml"/>
  <Override ContentType="application/vnd.openxmlformats-officedocument.spreadsheetml.worksheet+xml" PartName="/xl/worksheets/sheet29778.xml"/>
  <Override ContentType="application/vnd.openxmlformats-officedocument.spreadsheetml.worksheet+xml" PartName="/xl/worksheets/sheet29779.xml"/>
  <Override ContentType="application/vnd.openxmlformats-officedocument.spreadsheetml.worksheet+xml" PartName="/xl/worksheets/sheet29780.xml"/>
  <Override ContentType="application/vnd.openxmlformats-officedocument.spreadsheetml.worksheet+xml" PartName="/xl/worksheets/sheet29781.xml"/>
  <Override ContentType="application/vnd.openxmlformats-officedocument.spreadsheetml.worksheet+xml" PartName="/xl/worksheets/sheet29782.xml"/>
  <Override ContentType="application/vnd.openxmlformats-officedocument.spreadsheetml.worksheet+xml" PartName="/xl/worksheets/sheet29783.xml"/>
  <Override ContentType="application/vnd.openxmlformats-officedocument.spreadsheetml.worksheet+xml" PartName="/xl/worksheets/sheet29784.xml"/>
  <Override ContentType="application/vnd.openxmlformats-officedocument.spreadsheetml.worksheet+xml" PartName="/xl/worksheets/sheet29785.xml"/>
  <Override ContentType="application/vnd.openxmlformats-officedocument.spreadsheetml.worksheet+xml" PartName="/xl/worksheets/sheet29786.xml"/>
  <Override ContentType="application/vnd.openxmlformats-officedocument.spreadsheetml.worksheet+xml" PartName="/xl/worksheets/sheet29787.xml"/>
  <Override ContentType="application/vnd.openxmlformats-officedocument.spreadsheetml.worksheet+xml" PartName="/xl/worksheets/sheet29788.xml"/>
  <Override ContentType="application/vnd.openxmlformats-officedocument.spreadsheetml.worksheet+xml" PartName="/xl/worksheets/sheet29789.xml"/>
  <Override ContentType="application/vnd.openxmlformats-officedocument.spreadsheetml.worksheet+xml" PartName="/xl/worksheets/sheet29790.xml"/>
  <Override ContentType="application/vnd.openxmlformats-officedocument.spreadsheetml.worksheet+xml" PartName="/xl/worksheets/sheet29791.xml"/>
  <Override ContentType="application/vnd.openxmlformats-officedocument.spreadsheetml.worksheet+xml" PartName="/xl/worksheets/sheet29792.xml"/>
  <Override ContentType="application/vnd.openxmlformats-officedocument.spreadsheetml.worksheet+xml" PartName="/xl/worksheets/sheet29793.xml"/>
  <Override ContentType="application/vnd.openxmlformats-officedocument.spreadsheetml.worksheet+xml" PartName="/xl/worksheets/sheet29794.xml"/>
  <Override ContentType="application/vnd.openxmlformats-officedocument.spreadsheetml.worksheet+xml" PartName="/xl/worksheets/sheet29795.xml"/>
  <Override ContentType="application/vnd.openxmlformats-officedocument.spreadsheetml.worksheet+xml" PartName="/xl/worksheets/sheet29796.xml"/>
  <Override ContentType="application/vnd.openxmlformats-officedocument.spreadsheetml.worksheet+xml" PartName="/xl/worksheets/sheet29797.xml"/>
  <Override ContentType="application/vnd.openxmlformats-officedocument.spreadsheetml.worksheet+xml" PartName="/xl/worksheets/sheet29798.xml"/>
  <Override ContentType="application/vnd.openxmlformats-officedocument.spreadsheetml.worksheet+xml" PartName="/xl/worksheets/sheet29799.xml"/>
  <Override ContentType="application/vnd.openxmlformats-officedocument.spreadsheetml.worksheet+xml" PartName="/xl/worksheets/sheet29800.xml"/>
  <Override ContentType="application/vnd.openxmlformats-officedocument.spreadsheetml.worksheet+xml" PartName="/xl/worksheets/sheet29801.xml"/>
  <Override ContentType="application/vnd.openxmlformats-officedocument.spreadsheetml.worksheet+xml" PartName="/xl/worksheets/sheet29802.xml"/>
  <Override ContentType="application/vnd.openxmlformats-officedocument.spreadsheetml.worksheet+xml" PartName="/xl/worksheets/sheet29803.xml"/>
  <Override ContentType="application/vnd.openxmlformats-officedocument.spreadsheetml.worksheet+xml" PartName="/xl/worksheets/sheet29804.xml"/>
  <Override ContentType="application/vnd.openxmlformats-officedocument.spreadsheetml.worksheet+xml" PartName="/xl/worksheets/sheet29805.xml"/>
  <Override ContentType="application/vnd.openxmlformats-officedocument.spreadsheetml.worksheet+xml" PartName="/xl/worksheets/sheet29806.xml"/>
  <Override ContentType="application/vnd.openxmlformats-officedocument.spreadsheetml.worksheet+xml" PartName="/xl/worksheets/sheet29807.xml"/>
  <Override ContentType="application/vnd.openxmlformats-officedocument.spreadsheetml.worksheet+xml" PartName="/xl/worksheets/sheet29808.xml"/>
  <Override ContentType="application/vnd.openxmlformats-officedocument.spreadsheetml.worksheet+xml" PartName="/xl/worksheets/sheet29809.xml"/>
  <Override ContentType="application/vnd.openxmlformats-officedocument.spreadsheetml.worksheet+xml" PartName="/xl/worksheets/sheet29810.xml"/>
  <Override ContentType="application/vnd.openxmlformats-officedocument.spreadsheetml.worksheet+xml" PartName="/xl/worksheets/sheet29811.xml"/>
  <Override ContentType="application/vnd.openxmlformats-officedocument.spreadsheetml.worksheet+xml" PartName="/xl/worksheets/sheet29812.xml"/>
  <Override ContentType="application/vnd.openxmlformats-officedocument.spreadsheetml.worksheet+xml" PartName="/xl/worksheets/sheet29813.xml"/>
  <Override ContentType="application/vnd.openxmlformats-officedocument.spreadsheetml.worksheet+xml" PartName="/xl/worksheets/sheet29814.xml"/>
  <Override ContentType="application/vnd.openxmlformats-officedocument.spreadsheetml.worksheet+xml" PartName="/xl/worksheets/sheet29815.xml"/>
  <Override ContentType="application/vnd.openxmlformats-officedocument.spreadsheetml.worksheet+xml" PartName="/xl/worksheets/sheet29816.xml"/>
  <Override ContentType="application/vnd.openxmlformats-officedocument.spreadsheetml.worksheet+xml" PartName="/xl/worksheets/sheet29817.xml"/>
  <Override ContentType="application/vnd.openxmlformats-officedocument.spreadsheetml.worksheet+xml" PartName="/xl/worksheets/sheet29818.xml"/>
  <Override ContentType="application/vnd.openxmlformats-officedocument.spreadsheetml.worksheet+xml" PartName="/xl/worksheets/sheet29819.xml"/>
  <Override ContentType="application/vnd.openxmlformats-officedocument.spreadsheetml.worksheet+xml" PartName="/xl/worksheets/sheet29820.xml"/>
  <Override ContentType="application/vnd.openxmlformats-officedocument.spreadsheetml.worksheet+xml" PartName="/xl/worksheets/sheet29821.xml"/>
  <Override ContentType="application/vnd.openxmlformats-officedocument.spreadsheetml.worksheet+xml" PartName="/xl/worksheets/sheet29822.xml"/>
  <Override ContentType="application/vnd.openxmlformats-officedocument.spreadsheetml.worksheet+xml" PartName="/xl/worksheets/sheet29823.xml"/>
  <Override ContentType="application/vnd.openxmlformats-officedocument.spreadsheetml.worksheet+xml" PartName="/xl/worksheets/sheet29824.xml"/>
  <Override ContentType="application/vnd.openxmlformats-officedocument.spreadsheetml.worksheet+xml" PartName="/xl/worksheets/sheet29825.xml"/>
  <Override ContentType="application/vnd.openxmlformats-officedocument.spreadsheetml.worksheet+xml" PartName="/xl/worksheets/sheet29826.xml"/>
  <Override ContentType="application/vnd.openxmlformats-officedocument.spreadsheetml.worksheet+xml" PartName="/xl/worksheets/sheet29827.xml"/>
  <Override ContentType="application/vnd.openxmlformats-officedocument.spreadsheetml.worksheet+xml" PartName="/xl/worksheets/sheet29828.xml"/>
  <Override ContentType="application/vnd.openxmlformats-officedocument.spreadsheetml.worksheet+xml" PartName="/xl/worksheets/sheet29829.xml"/>
  <Override ContentType="application/vnd.openxmlformats-officedocument.spreadsheetml.worksheet+xml" PartName="/xl/worksheets/sheet29830.xml"/>
  <Override ContentType="application/vnd.openxmlformats-officedocument.spreadsheetml.worksheet+xml" PartName="/xl/worksheets/sheet29831.xml"/>
  <Override ContentType="application/vnd.openxmlformats-officedocument.spreadsheetml.worksheet+xml" PartName="/xl/worksheets/sheet29832.xml"/>
  <Override ContentType="application/vnd.openxmlformats-officedocument.spreadsheetml.worksheet+xml" PartName="/xl/worksheets/sheet29833.xml"/>
  <Override ContentType="application/vnd.openxmlformats-officedocument.spreadsheetml.worksheet+xml" PartName="/xl/worksheets/sheet29834.xml"/>
  <Override ContentType="application/vnd.openxmlformats-officedocument.spreadsheetml.worksheet+xml" PartName="/xl/worksheets/sheet29835.xml"/>
  <Override ContentType="application/vnd.openxmlformats-officedocument.spreadsheetml.worksheet+xml" PartName="/xl/worksheets/sheet29836.xml"/>
  <Override ContentType="application/vnd.openxmlformats-officedocument.spreadsheetml.worksheet+xml" PartName="/xl/worksheets/sheet29837.xml"/>
  <Override ContentType="application/vnd.openxmlformats-officedocument.spreadsheetml.worksheet+xml" PartName="/xl/worksheets/sheet29838.xml"/>
  <Override ContentType="application/vnd.openxmlformats-officedocument.spreadsheetml.worksheet+xml" PartName="/xl/worksheets/sheet29839.xml"/>
  <Override ContentType="application/vnd.openxmlformats-officedocument.spreadsheetml.worksheet+xml" PartName="/xl/worksheets/sheet29840.xml"/>
  <Override ContentType="application/vnd.openxmlformats-officedocument.spreadsheetml.worksheet+xml" PartName="/xl/worksheets/sheet29841.xml"/>
  <Override ContentType="application/vnd.openxmlformats-officedocument.spreadsheetml.worksheet+xml" PartName="/xl/worksheets/sheet29842.xml"/>
  <Override ContentType="application/vnd.openxmlformats-officedocument.spreadsheetml.worksheet+xml" PartName="/xl/worksheets/sheet29843.xml"/>
  <Override ContentType="application/vnd.openxmlformats-officedocument.spreadsheetml.worksheet+xml" PartName="/xl/worksheets/sheet29844.xml"/>
  <Override ContentType="application/vnd.openxmlformats-officedocument.spreadsheetml.worksheet+xml" PartName="/xl/worksheets/sheet29845.xml"/>
  <Override ContentType="application/vnd.openxmlformats-officedocument.spreadsheetml.worksheet+xml" PartName="/xl/worksheets/sheet29846.xml"/>
  <Override ContentType="application/vnd.openxmlformats-officedocument.spreadsheetml.worksheet+xml" PartName="/xl/worksheets/sheet29847.xml"/>
  <Override ContentType="application/vnd.openxmlformats-officedocument.spreadsheetml.worksheet+xml" PartName="/xl/worksheets/sheet29848.xml"/>
  <Override ContentType="application/vnd.openxmlformats-officedocument.spreadsheetml.worksheet+xml" PartName="/xl/worksheets/sheet29849.xml"/>
  <Override ContentType="application/vnd.openxmlformats-officedocument.spreadsheetml.worksheet+xml" PartName="/xl/worksheets/sheet29850.xml"/>
  <Override ContentType="application/vnd.openxmlformats-officedocument.spreadsheetml.worksheet+xml" PartName="/xl/worksheets/sheet29851.xml"/>
  <Override ContentType="application/vnd.openxmlformats-officedocument.spreadsheetml.worksheet+xml" PartName="/xl/worksheets/sheet29852.xml"/>
  <Override ContentType="application/vnd.openxmlformats-officedocument.spreadsheetml.worksheet+xml" PartName="/xl/worksheets/sheet29853.xml"/>
  <Override ContentType="application/vnd.openxmlformats-officedocument.spreadsheetml.worksheet+xml" PartName="/xl/worksheets/sheet29854.xml"/>
  <Override ContentType="application/vnd.openxmlformats-officedocument.spreadsheetml.worksheet+xml" PartName="/xl/worksheets/sheet29855.xml"/>
  <Override ContentType="application/vnd.openxmlformats-officedocument.spreadsheetml.worksheet+xml" PartName="/xl/worksheets/sheet29856.xml"/>
  <Override ContentType="application/vnd.openxmlformats-officedocument.spreadsheetml.worksheet+xml" PartName="/xl/worksheets/sheet29857.xml"/>
  <Override ContentType="application/vnd.openxmlformats-officedocument.spreadsheetml.worksheet+xml" PartName="/xl/worksheets/sheet29858.xml"/>
  <Override ContentType="application/vnd.openxmlformats-officedocument.spreadsheetml.worksheet+xml" PartName="/xl/worksheets/sheet29859.xml"/>
  <Override ContentType="application/vnd.openxmlformats-officedocument.spreadsheetml.worksheet+xml" PartName="/xl/worksheets/sheet29860.xml"/>
  <Override ContentType="application/vnd.openxmlformats-officedocument.spreadsheetml.worksheet+xml" PartName="/xl/worksheets/sheet29861.xml"/>
  <Override ContentType="application/vnd.openxmlformats-officedocument.spreadsheetml.worksheet+xml" PartName="/xl/worksheets/sheet29862.xml"/>
  <Override ContentType="application/vnd.openxmlformats-officedocument.spreadsheetml.worksheet+xml" PartName="/xl/worksheets/sheet29863.xml"/>
  <Override ContentType="application/vnd.openxmlformats-officedocument.spreadsheetml.worksheet+xml" PartName="/xl/worksheets/sheet29864.xml"/>
  <Override ContentType="application/vnd.openxmlformats-officedocument.spreadsheetml.worksheet+xml" PartName="/xl/worksheets/sheet29865.xml"/>
  <Override ContentType="application/vnd.openxmlformats-officedocument.spreadsheetml.worksheet+xml" PartName="/xl/worksheets/sheet29866.xml"/>
  <Override ContentType="application/vnd.openxmlformats-officedocument.spreadsheetml.worksheet+xml" PartName="/xl/worksheets/sheet29867.xml"/>
  <Override ContentType="application/vnd.openxmlformats-officedocument.spreadsheetml.worksheet+xml" PartName="/xl/worksheets/sheet29868.xml"/>
  <Override ContentType="application/vnd.openxmlformats-officedocument.spreadsheetml.worksheet+xml" PartName="/xl/worksheets/sheet29869.xml"/>
  <Override ContentType="application/vnd.openxmlformats-officedocument.spreadsheetml.worksheet+xml" PartName="/xl/worksheets/sheet29870.xml"/>
  <Override ContentType="application/vnd.openxmlformats-officedocument.spreadsheetml.worksheet+xml" PartName="/xl/worksheets/sheet29871.xml"/>
  <Override ContentType="application/vnd.openxmlformats-officedocument.spreadsheetml.worksheet+xml" PartName="/xl/worksheets/sheet29872.xml"/>
  <Override ContentType="application/vnd.openxmlformats-officedocument.spreadsheetml.worksheet+xml" PartName="/xl/worksheets/sheet29873.xml"/>
  <Override ContentType="application/vnd.openxmlformats-officedocument.spreadsheetml.worksheet+xml" PartName="/xl/worksheets/sheet29874.xml"/>
  <Override ContentType="application/vnd.openxmlformats-officedocument.spreadsheetml.worksheet+xml" PartName="/xl/worksheets/sheet29875.xml"/>
  <Override ContentType="application/vnd.openxmlformats-officedocument.spreadsheetml.worksheet+xml" PartName="/xl/worksheets/sheet29876.xml"/>
  <Override ContentType="application/vnd.openxmlformats-officedocument.spreadsheetml.worksheet+xml" PartName="/xl/worksheets/sheet29877.xml"/>
  <Override ContentType="application/vnd.openxmlformats-officedocument.spreadsheetml.worksheet+xml" PartName="/xl/worksheets/sheet29878.xml"/>
  <Override ContentType="application/vnd.openxmlformats-officedocument.spreadsheetml.worksheet+xml" PartName="/xl/worksheets/sheet29879.xml"/>
  <Override ContentType="application/vnd.openxmlformats-officedocument.spreadsheetml.worksheet+xml" PartName="/xl/worksheets/sheet29880.xml"/>
  <Override ContentType="application/vnd.openxmlformats-officedocument.spreadsheetml.worksheet+xml" PartName="/xl/worksheets/sheet29881.xml"/>
  <Override ContentType="application/vnd.openxmlformats-officedocument.spreadsheetml.worksheet+xml" PartName="/xl/worksheets/sheet29882.xml"/>
  <Override ContentType="application/vnd.openxmlformats-officedocument.spreadsheetml.worksheet+xml" PartName="/xl/worksheets/sheet29883.xml"/>
  <Override ContentType="application/vnd.openxmlformats-officedocument.spreadsheetml.worksheet+xml" PartName="/xl/worksheets/sheet29884.xml"/>
  <Override ContentType="application/vnd.openxmlformats-officedocument.spreadsheetml.worksheet+xml" PartName="/xl/worksheets/sheet29885.xml"/>
  <Override ContentType="application/vnd.openxmlformats-officedocument.spreadsheetml.worksheet+xml" PartName="/xl/worksheets/sheet29886.xml"/>
  <Override ContentType="application/vnd.openxmlformats-officedocument.spreadsheetml.worksheet+xml" PartName="/xl/worksheets/sheet29887.xml"/>
  <Override ContentType="application/vnd.openxmlformats-officedocument.spreadsheetml.worksheet+xml" PartName="/xl/worksheets/sheet29888.xml"/>
  <Override ContentType="application/vnd.openxmlformats-officedocument.spreadsheetml.worksheet+xml" PartName="/xl/worksheets/sheet29889.xml"/>
  <Override ContentType="application/vnd.openxmlformats-officedocument.spreadsheetml.worksheet+xml" PartName="/xl/worksheets/sheet29890.xml"/>
  <Override ContentType="application/vnd.openxmlformats-officedocument.spreadsheetml.worksheet+xml" PartName="/xl/worksheets/sheet29891.xml"/>
  <Override ContentType="application/vnd.openxmlformats-officedocument.spreadsheetml.worksheet+xml" PartName="/xl/worksheets/sheet29892.xml"/>
  <Override ContentType="application/vnd.openxmlformats-officedocument.spreadsheetml.worksheet+xml" PartName="/xl/worksheets/sheet29893.xml"/>
  <Override ContentType="application/vnd.openxmlformats-officedocument.spreadsheetml.worksheet+xml" PartName="/xl/worksheets/sheet29894.xml"/>
  <Override ContentType="application/vnd.openxmlformats-officedocument.spreadsheetml.worksheet+xml" PartName="/xl/worksheets/sheet29895.xml"/>
  <Override ContentType="application/vnd.openxmlformats-officedocument.spreadsheetml.worksheet+xml" PartName="/xl/worksheets/sheet29896.xml"/>
  <Override ContentType="application/vnd.openxmlformats-officedocument.spreadsheetml.worksheet+xml" PartName="/xl/worksheets/sheet29897.xml"/>
  <Override ContentType="application/vnd.openxmlformats-officedocument.spreadsheetml.worksheet+xml" PartName="/xl/worksheets/sheet29898.xml"/>
  <Override ContentType="application/vnd.openxmlformats-officedocument.spreadsheetml.worksheet+xml" PartName="/xl/worksheets/sheet29899.xml"/>
  <Override ContentType="application/vnd.openxmlformats-officedocument.spreadsheetml.worksheet+xml" PartName="/xl/worksheets/sheet29900.xml"/>
  <Override ContentType="application/vnd.openxmlformats-officedocument.spreadsheetml.worksheet+xml" PartName="/xl/worksheets/sheet29901.xml"/>
  <Override ContentType="application/vnd.openxmlformats-officedocument.spreadsheetml.worksheet+xml" PartName="/xl/worksheets/sheet29902.xml"/>
  <Override ContentType="application/vnd.openxmlformats-officedocument.spreadsheetml.worksheet+xml" PartName="/xl/worksheets/sheet29903.xml"/>
  <Override ContentType="application/vnd.openxmlformats-officedocument.spreadsheetml.worksheet+xml" PartName="/xl/worksheets/sheet29904.xml"/>
  <Override ContentType="application/vnd.openxmlformats-officedocument.spreadsheetml.worksheet+xml" PartName="/xl/worksheets/sheet29905.xml"/>
  <Override ContentType="application/vnd.openxmlformats-officedocument.spreadsheetml.worksheet+xml" PartName="/xl/worksheets/sheet29906.xml"/>
  <Override ContentType="application/vnd.openxmlformats-officedocument.spreadsheetml.worksheet+xml" PartName="/xl/worksheets/sheet29907.xml"/>
  <Override ContentType="application/vnd.openxmlformats-officedocument.spreadsheetml.worksheet+xml" PartName="/xl/worksheets/sheet29908.xml"/>
  <Override ContentType="application/vnd.openxmlformats-officedocument.spreadsheetml.worksheet+xml" PartName="/xl/worksheets/sheet29909.xml"/>
  <Override ContentType="application/vnd.openxmlformats-officedocument.spreadsheetml.worksheet+xml" PartName="/xl/worksheets/sheet29910.xml"/>
  <Override ContentType="application/vnd.openxmlformats-officedocument.spreadsheetml.worksheet+xml" PartName="/xl/worksheets/sheet29911.xml"/>
  <Override ContentType="application/vnd.openxmlformats-officedocument.spreadsheetml.worksheet+xml" PartName="/xl/worksheets/sheet29912.xml"/>
  <Override ContentType="application/vnd.openxmlformats-officedocument.spreadsheetml.worksheet+xml" PartName="/xl/worksheets/sheet29913.xml"/>
  <Override ContentType="application/vnd.openxmlformats-officedocument.spreadsheetml.worksheet+xml" PartName="/xl/worksheets/sheet29914.xml"/>
  <Override ContentType="application/vnd.openxmlformats-officedocument.spreadsheetml.worksheet+xml" PartName="/xl/worksheets/sheet29915.xml"/>
  <Override ContentType="application/vnd.openxmlformats-officedocument.spreadsheetml.worksheet+xml" PartName="/xl/worksheets/sheet29916.xml"/>
  <Override ContentType="application/vnd.openxmlformats-officedocument.spreadsheetml.worksheet+xml" PartName="/xl/worksheets/sheet29917.xml"/>
  <Override ContentType="application/vnd.openxmlformats-officedocument.spreadsheetml.worksheet+xml" PartName="/xl/worksheets/sheet29918.xml"/>
  <Override ContentType="application/vnd.openxmlformats-officedocument.spreadsheetml.worksheet+xml" PartName="/xl/worksheets/sheet29919.xml"/>
  <Override ContentType="application/vnd.openxmlformats-officedocument.spreadsheetml.worksheet+xml" PartName="/xl/worksheets/sheet29920.xml"/>
  <Override ContentType="application/vnd.openxmlformats-officedocument.spreadsheetml.worksheet+xml" PartName="/xl/worksheets/sheet29921.xml"/>
  <Override ContentType="application/vnd.openxmlformats-officedocument.spreadsheetml.worksheet+xml" PartName="/xl/worksheets/sheet29922.xml"/>
  <Override ContentType="application/vnd.openxmlformats-officedocument.spreadsheetml.worksheet+xml" PartName="/xl/worksheets/sheet29923.xml"/>
  <Override ContentType="application/vnd.openxmlformats-officedocument.spreadsheetml.worksheet+xml" PartName="/xl/worksheets/sheet29924.xml"/>
  <Override ContentType="application/vnd.openxmlformats-officedocument.spreadsheetml.worksheet+xml" PartName="/xl/worksheets/sheet29925.xml"/>
  <Override ContentType="application/vnd.openxmlformats-officedocument.spreadsheetml.worksheet+xml" PartName="/xl/worksheets/sheet29926.xml"/>
  <Override ContentType="application/vnd.openxmlformats-officedocument.spreadsheetml.worksheet+xml" PartName="/xl/worksheets/sheet29927.xml"/>
  <Override ContentType="application/vnd.openxmlformats-officedocument.spreadsheetml.worksheet+xml" PartName="/xl/worksheets/sheet29928.xml"/>
  <Override ContentType="application/vnd.openxmlformats-officedocument.spreadsheetml.worksheet+xml" PartName="/xl/worksheets/sheet29929.xml"/>
  <Override ContentType="application/vnd.openxmlformats-officedocument.spreadsheetml.worksheet+xml" PartName="/xl/worksheets/sheet29930.xml"/>
  <Override ContentType="application/vnd.openxmlformats-officedocument.spreadsheetml.worksheet+xml" PartName="/xl/worksheets/sheet29931.xml"/>
  <Override ContentType="application/vnd.openxmlformats-officedocument.spreadsheetml.worksheet+xml" PartName="/xl/worksheets/sheet29932.xml"/>
  <Override ContentType="application/vnd.openxmlformats-officedocument.spreadsheetml.worksheet+xml" PartName="/xl/worksheets/sheet29933.xml"/>
  <Override ContentType="application/vnd.openxmlformats-officedocument.spreadsheetml.worksheet+xml" PartName="/xl/worksheets/sheet29934.xml"/>
  <Override ContentType="application/vnd.openxmlformats-officedocument.spreadsheetml.worksheet+xml" PartName="/xl/worksheets/sheet29935.xml"/>
  <Override ContentType="application/vnd.openxmlformats-officedocument.spreadsheetml.worksheet+xml" PartName="/xl/worksheets/sheet29936.xml"/>
  <Override ContentType="application/vnd.openxmlformats-officedocument.spreadsheetml.worksheet+xml" PartName="/xl/worksheets/sheet29937.xml"/>
  <Override ContentType="application/vnd.openxmlformats-officedocument.spreadsheetml.worksheet+xml" PartName="/xl/worksheets/sheet29938.xml"/>
  <Override ContentType="application/vnd.openxmlformats-officedocument.spreadsheetml.worksheet+xml" PartName="/xl/worksheets/sheet29939.xml"/>
  <Override ContentType="application/vnd.openxmlformats-officedocument.spreadsheetml.worksheet+xml" PartName="/xl/worksheets/sheet29940.xml"/>
  <Override ContentType="application/vnd.openxmlformats-officedocument.spreadsheetml.worksheet+xml" PartName="/xl/worksheets/sheet29941.xml"/>
  <Override ContentType="application/vnd.openxmlformats-officedocument.spreadsheetml.worksheet+xml" PartName="/xl/worksheets/sheet29942.xml"/>
  <Override ContentType="application/vnd.openxmlformats-officedocument.spreadsheetml.worksheet+xml" PartName="/xl/worksheets/sheet29943.xml"/>
  <Override ContentType="application/vnd.openxmlformats-officedocument.spreadsheetml.worksheet+xml" PartName="/xl/worksheets/sheet29944.xml"/>
  <Override ContentType="application/vnd.openxmlformats-officedocument.spreadsheetml.worksheet+xml" PartName="/xl/worksheets/sheet29945.xml"/>
  <Override ContentType="application/vnd.openxmlformats-officedocument.spreadsheetml.worksheet+xml" PartName="/xl/worksheets/sheet29946.xml"/>
  <Override ContentType="application/vnd.openxmlformats-officedocument.spreadsheetml.worksheet+xml" PartName="/xl/worksheets/sheet29947.xml"/>
  <Override ContentType="application/vnd.openxmlformats-officedocument.spreadsheetml.worksheet+xml" PartName="/xl/worksheets/sheet29948.xml"/>
  <Override ContentType="application/vnd.openxmlformats-officedocument.spreadsheetml.worksheet+xml" PartName="/xl/worksheets/sheet29949.xml"/>
  <Override ContentType="application/vnd.openxmlformats-officedocument.spreadsheetml.worksheet+xml" PartName="/xl/worksheets/sheet29950.xml"/>
  <Override ContentType="application/vnd.openxmlformats-officedocument.spreadsheetml.worksheet+xml" PartName="/xl/worksheets/sheet29951.xml"/>
  <Override ContentType="application/vnd.openxmlformats-officedocument.spreadsheetml.worksheet+xml" PartName="/xl/worksheets/sheet29952.xml"/>
  <Override ContentType="application/vnd.openxmlformats-officedocument.spreadsheetml.worksheet+xml" PartName="/xl/worksheets/sheet29953.xml"/>
  <Override ContentType="application/vnd.openxmlformats-officedocument.spreadsheetml.worksheet+xml" PartName="/xl/worksheets/sheet29954.xml"/>
  <Override ContentType="application/vnd.openxmlformats-officedocument.spreadsheetml.worksheet+xml" PartName="/xl/worksheets/sheet29955.xml"/>
  <Override ContentType="application/vnd.openxmlformats-officedocument.spreadsheetml.worksheet+xml" PartName="/xl/worksheets/sheet29956.xml"/>
  <Override ContentType="application/vnd.openxmlformats-officedocument.spreadsheetml.worksheet+xml" PartName="/xl/worksheets/sheet29957.xml"/>
  <Override ContentType="application/vnd.openxmlformats-officedocument.spreadsheetml.worksheet+xml" PartName="/xl/worksheets/sheet29958.xml"/>
  <Override ContentType="application/vnd.openxmlformats-officedocument.spreadsheetml.worksheet+xml" PartName="/xl/worksheets/sheet29959.xml"/>
  <Override ContentType="application/vnd.openxmlformats-officedocument.spreadsheetml.worksheet+xml" PartName="/xl/worksheets/sheet29960.xml"/>
  <Override ContentType="application/vnd.openxmlformats-officedocument.spreadsheetml.worksheet+xml" PartName="/xl/worksheets/sheet29961.xml"/>
  <Override ContentType="application/vnd.openxmlformats-officedocument.spreadsheetml.worksheet+xml" PartName="/xl/worksheets/sheet29962.xml"/>
  <Override ContentType="application/vnd.openxmlformats-officedocument.spreadsheetml.worksheet+xml" PartName="/xl/worksheets/sheet29963.xml"/>
  <Override ContentType="application/vnd.openxmlformats-officedocument.spreadsheetml.worksheet+xml" PartName="/xl/worksheets/sheet29964.xml"/>
  <Override ContentType="application/vnd.openxmlformats-officedocument.spreadsheetml.worksheet+xml" PartName="/xl/worksheets/sheet29965.xml"/>
  <Override ContentType="application/vnd.openxmlformats-officedocument.spreadsheetml.worksheet+xml" PartName="/xl/worksheets/sheet29966.xml"/>
  <Override ContentType="application/vnd.openxmlformats-officedocument.spreadsheetml.worksheet+xml" PartName="/xl/worksheets/sheet29967.xml"/>
  <Override ContentType="application/vnd.openxmlformats-officedocument.spreadsheetml.worksheet+xml" PartName="/xl/worksheets/sheet29968.xml"/>
  <Override ContentType="application/vnd.openxmlformats-officedocument.spreadsheetml.worksheet+xml" PartName="/xl/worksheets/sheet29969.xml"/>
  <Override ContentType="application/vnd.openxmlformats-officedocument.spreadsheetml.worksheet+xml" PartName="/xl/worksheets/sheet29970.xml"/>
  <Override ContentType="application/vnd.openxmlformats-officedocument.spreadsheetml.worksheet+xml" PartName="/xl/worksheets/sheet29971.xml"/>
  <Override ContentType="application/vnd.openxmlformats-officedocument.spreadsheetml.worksheet+xml" PartName="/xl/worksheets/sheet29972.xml"/>
  <Override ContentType="application/vnd.openxmlformats-officedocument.spreadsheetml.worksheet+xml" PartName="/xl/worksheets/sheet29973.xml"/>
  <Override ContentType="application/vnd.openxmlformats-officedocument.spreadsheetml.worksheet+xml" PartName="/xl/worksheets/sheet29974.xml"/>
  <Override ContentType="application/vnd.openxmlformats-officedocument.spreadsheetml.worksheet+xml" PartName="/xl/worksheets/sheet29975.xml"/>
  <Override ContentType="application/vnd.openxmlformats-officedocument.spreadsheetml.worksheet+xml" PartName="/xl/worksheets/sheet29976.xml"/>
  <Override ContentType="application/vnd.openxmlformats-officedocument.spreadsheetml.worksheet+xml" PartName="/xl/worksheets/sheet29977.xml"/>
  <Override ContentType="application/vnd.openxmlformats-officedocument.spreadsheetml.worksheet+xml" PartName="/xl/worksheets/sheet29978.xml"/>
  <Override ContentType="application/vnd.openxmlformats-officedocument.spreadsheetml.worksheet+xml" PartName="/xl/worksheets/sheet29979.xml"/>
  <Override ContentType="application/vnd.openxmlformats-officedocument.spreadsheetml.worksheet+xml" PartName="/xl/worksheets/sheet29980.xml"/>
  <Override ContentType="application/vnd.openxmlformats-officedocument.spreadsheetml.worksheet+xml" PartName="/xl/worksheets/sheet29981.xml"/>
  <Override ContentType="application/vnd.openxmlformats-officedocument.spreadsheetml.worksheet+xml" PartName="/xl/worksheets/sheet29982.xml"/>
  <Override ContentType="application/vnd.openxmlformats-officedocument.spreadsheetml.worksheet+xml" PartName="/xl/worksheets/sheet29983.xml"/>
  <Override ContentType="application/vnd.openxmlformats-officedocument.spreadsheetml.worksheet+xml" PartName="/xl/worksheets/sheet29984.xml"/>
  <Override ContentType="application/vnd.openxmlformats-officedocument.spreadsheetml.worksheet+xml" PartName="/xl/worksheets/sheet29985.xml"/>
  <Override ContentType="application/vnd.openxmlformats-officedocument.spreadsheetml.worksheet+xml" PartName="/xl/worksheets/sheet29986.xml"/>
  <Override ContentType="application/vnd.openxmlformats-officedocument.spreadsheetml.worksheet+xml" PartName="/xl/worksheets/sheet29987.xml"/>
  <Override ContentType="application/vnd.openxmlformats-officedocument.spreadsheetml.worksheet+xml" PartName="/xl/worksheets/sheet29988.xml"/>
  <Override ContentType="application/vnd.openxmlformats-officedocument.spreadsheetml.worksheet+xml" PartName="/xl/worksheets/sheet29989.xml"/>
  <Override ContentType="application/vnd.openxmlformats-officedocument.spreadsheetml.worksheet+xml" PartName="/xl/worksheets/sheet29990.xml"/>
  <Override ContentType="application/vnd.openxmlformats-officedocument.spreadsheetml.worksheet+xml" PartName="/xl/worksheets/sheet29991.xml"/>
  <Override ContentType="application/vnd.openxmlformats-officedocument.spreadsheetml.worksheet+xml" PartName="/xl/worksheets/sheet29992.xml"/>
  <Override ContentType="application/vnd.openxmlformats-officedocument.spreadsheetml.worksheet+xml" PartName="/xl/worksheets/sheet29993.xml"/>
  <Override ContentType="application/vnd.openxmlformats-officedocument.spreadsheetml.worksheet+xml" PartName="/xl/worksheets/sheet29994.xml"/>
  <Override ContentType="application/vnd.openxmlformats-officedocument.spreadsheetml.worksheet+xml" PartName="/xl/worksheets/sheet29995.xml"/>
  <Override ContentType="application/vnd.openxmlformats-officedocument.spreadsheetml.worksheet+xml" PartName="/xl/worksheets/sheet29996.xml"/>
  <Override ContentType="application/vnd.openxmlformats-officedocument.spreadsheetml.worksheet+xml" PartName="/xl/worksheets/sheet29997.xml"/>
  <Override ContentType="application/vnd.openxmlformats-officedocument.spreadsheetml.worksheet+xml" PartName="/xl/worksheets/sheet29998.xml"/>
  <Override ContentType="application/vnd.openxmlformats-officedocument.spreadsheetml.worksheet+xml" PartName="/xl/worksheets/sheet29999.xml"/>
  <Override ContentType="application/vnd.openxmlformats-officedocument.spreadsheetml.worksheet+xml" PartName="/xl/worksheets/sheet30000.xml"/>
  <Override ContentType="application/vnd.openxmlformats-officedocument.spreadsheetml.worksheet+xml" PartName="/xl/worksheets/sheet30001.xml"/>
  <Override ContentType="application/vnd.openxmlformats-officedocument.spreadsheetml.worksheet+xml" PartName="/xl/worksheets/sheet30002.xml"/>
  <Override ContentType="application/vnd.openxmlformats-officedocument.spreadsheetml.worksheet+xml" PartName="/xl/worksheets/sheet30003.xml"/>
  <Override ContentType="application/vnd.openxmlformats-officedocument.spreadsheetml.worksheet+xml" PartName="/xl/worksheets/sheet30004.xml"/>
  <Override ContentType="application/vnd.openxmlformats-officedocument.spreadsheetml.worksheet+xml" PartName="/xl/worksheets/sheet30005.xml"/>
  <Override ContentType="application/vnd.openxmlformats-officedocument.spreadsheetml.worksheet+xml" PartName="/xl/worksheets/sheet30006.xml"/>
  <Override ContentType="application/vnd.openxmlformats-officedocument.spreadsheetml.worksheet+xml" PartName="/xl/worksheets/sheet30007.xml"/>
  <Override ContentType="application/vnd.openxmlformats-officedocument.spreadsheetml.worksheet+xml" PartName="/xl/worksheets/sheet30008.xml"/>
  <Override ContentType="application/vnd.openxmlformats-officedocument.spreadsheetml.worksheet+xml" PartName="/xl/worksheets/sheet30009.xml"/>
  <Override ContentType="application/vnd.openxmlformats-officedocument.spreadsheetml.worksheet+xml" PartName="/xl/worksheets/sheet30010.xml"/>
  <Override ContentType="application/vnd.openxmlformats-officedocument.spreadsheetml.worksheet+xml" PartName="/xl/worksheets/sheet30011.xml"/>
  <Override ContentType="application/vnd.openxmlformats-officedocument.spreadsheetml.worksheet+xml" PartName="/xl/worksheets/sheet30012.xml"/>
  <Override ContentType="application/vnd.openxmlformats-officedocument.spreadsheetml.worksheet+xml" PartName="/xl/worksheets/sheet30013.xml"/>
  <Override ContentType="application/vnd.openxmlformats-officedocument.spreadsheetml.worksheet+xml" PartName="/xl/worksheets/sheet30014.xml"/>
  <Override ContentType="application/vnd.openxmlformats-officedocument.spreadsheetml.worksheet+xml" PartName="/xl/worksheets/sheet30015.xml"/>
  <Override ContentType="application/vnd.openxmlformats-officedocument.spreadsheetml.worksheet+xml" PartName="/xl/worksheets/sheet30016.xml"/>
  <Override ContentType="application/vnd.openxmlformats-officedocument.spreadsheetml.worksheet+xml" PartName="/xl/worksheets/sheet30017.xml"/>
  <Override ContentType="application/vnd.openxmlformats-officedocument.spreadsheetml.worksheet+xml" PartName="/xl/worksheets/sheet30018.xml"/>
  <Override ContentType="application/vnd.openxmlformats-officedocument.spreadsheetml.worksheet+xml" PartName="/xl/worksheets/sheet30019.xml"/>
  <Override ContentType="application/vnd.openxmlformats-officedocument.spreadsheetml.worksheet+xml" PartName="/xl/worksheets/sheet30020.xml"/>
  <Override ContentType="application/vnd.openxmlformats-officedocument.spreadsheetml.worksheet+xml" PartName="/xl/worksheets/sheet30021.xml"/>
  <Override ContentType="application/vnd.openxmlformats-officedocument.spreadsheetml.worksheet+xml" PartName="/xl/worksheets/sheet30022.xml"/>
  <Override ContentType="application/vnd.openxmlformats-officedocument.spreadsheetml.worksheet+xml" PartName="/xl/worksheets/sheet30023.xml"/>
  <Override ContentType="application/vnd.openxmlformats-officedocument.spreadsheetml.worksheet+xml" PartName="/xl/worksheets/sheet30024.xml"/>
  <Override ContentType="application/vnd.openxmlformats-officedocument.spreadsheetml.worksheet+xml" PartName="/xl/worksheets/sheet30025.xml"/>
  <Override ContentType="application/vnd.openxmlformats-officedocument.spreadsheetml.worksheet+xml" PartName="/xl/worksheets/sheet30026.xml"/>
  <Override ContentType="application/vnd.openxmlformats-officedocument.spreadsheetml.worksheet+xml" PartName="/xl/worksheets/sheet30027.xml"/>
  <Override ContentType="application/vnd.openxmlformats-officedocument.spreadsheetml.worksheet+xml" PartName="/xl/worksheets/sheet30028.xml"/>
  <Override ContentType="application/vnd.openxmlformats-officedocument.spreadsheetml.worksheet+xml" PartName="/xl/worksheets/sheet30029.xml"/>
  <Override ContentType="application/vnd.openxmlformats-officedocument.spreadsheetml.worksheet+xml" PartName="/xl/worksheets/sheet30030.xml"/>
  <Override ContentType="application/vnd.openxmlformats-officedocument.spreadsheetml.worksheet+xml" PartName="/xl/worksheets/sheet30031.xml"/>
  <Override ContentType="application/vnd.openxmlformats-officedocument.spreadsheetml.worksheet+xml" PartName="/xl/worksheets/sheet30032.xml"/>
  <Override ContentType="application/vnd.openxmlformats-officedocument.spreadsheetml.worksheet+xml" PartName="/xl/worksheets/sheet30033.xml"/>
  <Override ContentType="application/vnd.openxmlformats-officedocument.spreadsheetml.worksheet+xml" PartName="/xl/worksheets/sheet30034.xml"/>
  <Override ContentType="application/vnd.openxmlformats-officedocument.spreadsheetml.worksheet+xml" PartName="/xl/worksheets/sheet30035.xml"/>
  <Override ContentType="application/vnd.openxmlformats-officedocument.spreadsheetml.worksheet+xml" PartName="/xl/worksheets/sheet30036.xml"/>
  <Override ContentType="application/vnd.openxmlformats-officedocument.spreadsheetml.worksheet+xml" PartName="/xl/worksheets/sheet30037.xml"/>
  <Override ContentType="application/vnd.openxmlformats-officedocument.spreadsheetml.worksheet+xml" PartName="/xl/worksheets/sheet30038.xml"/>
  <Override ContentType="application/vnd.openxmlformats-officedocument.spreadsheetml.worksheet+xml" PartName="/xl/worksheets/sheet30039.xml"/>
  <Override ContentType="application/vnd.openxmlformats-officedocument.spreadsheetml.worksheet+xml" PartName="/xl/worksheets/sheet30040.xml"/>
  <Override ContentType="application/vnd.openxmlformats-officedocument.spreadsheetml.worksheet+xml" PartName="/xl/worksheets/sheet30041.xml"/>
  <Override ContentType="application/vnd.openxmlformats-officedocument.spreadsheetml.worksheet+xml" PartName="/xl/worksheets/sheet30042.xml"/>
  <Override ContentType="application/vnd.openxmlformats-officedocument.spreadsheetml.worksheet+xml" PartName="/xl/worksheets/sheet30043.xml"/>
  <Override ContentType="application/vnd.openxmlformats-officedocument.spreadsheetml.worksheet+xml" PartName="/xl/worksheets/sheet30044.xml"/>
  <Override ContentType="application/vnd.openxmlformats-officedocument.spreadsheetml.worksheet+xml" PartName="/xl/worksheets/sheet30045.xml"/>
  <Override ContentType="application/vnd.openxmlformats-officedocument.spreadsheetml.worksheet+xml" PartName="/xl/worksheets/sheet30046.xml"/>
  <Override ContentType="application/vnd.openxmlformats-officedocument.spreadsheetml.worksheet+xml" PartName="/xl/worksheets/sheet30047.xml"/>
  <Override ContentType="application/vnd.openxmlformats-officedocument.spreadsheetml.worksheet+xml" PartName="/xl/worksheets/sheet30048.xml"/>
  <Override ContentType="application/vnd.openxmlformats-officedocument.spreadsheetml.worksheet+xml" PartName="/xl/worksheets/sheet30049.xml"/>
  <Override ContentType="application/vnd.openxmlformats-officedocument.spreadsheetml.worksheet+xml" PartName="/xl/worksheets/sheet30050.xml"/>
  <Override ContentType="application/vnd.openxmlformats-officedocument.spreadsheetml.worksheet+xml" PartName="/xl/worksheets/sheet30051.xml"/>
  <Override ContentType="application/vnd.openxmlformats-officedocument.spreadsheetml.worksheet+xml" PartName="/xl/worksheets/sheet30052.xml"/>
  <Override ContentType="application/vnd.openxmlformats-officedocument.spreadsheetml.worksheet+xml" PartName="/xl/worksheets/sheet30053.xml"/>
  <Override ContentType="application/vnd.openxmlformats-officedocument.spreadsheetml.worksheet+xml" PartName="/xl/worksheets/sheet30054.xml"/>
  <Override ContentType="application/vnd.openxmlformats-officedocument.spreadsheetml.worksheet+xml" PartName="/xl/worksheets/sheet30055.xml"/>
  <Override ContentType="application/vnd.openxmlformats-officedocument.spreadsheetml.worksheet+xml" PartName="/xl/worksheets/sheet30056.xml"/>
  <Override ContentType="application/vnd.openxmlformats-officedocument.spreadsheetml.worksheet+xml" PartName="/xl/worksheets/sheet30057.xml"/>
  <Override ContentType="application/vnd.openxmlformats-officedocument.spreadsheetml.worksheet+xml" PartName="/xl/worksheets/sheet30058.xml"/>
  <Override ContentType="application/vnd.openxmlformats-officedocument.spreadsheetml.worksheet+xml" PartName="/xl/worksheets/sheet30059.xml"/>
  <Override ContentType="application/vnd.openxmlformats-officedocument.spreadsheetml.worksheet+xml" PartName="/xl/worksheets/sheet30060.xml"/>
  <Override ContentType="application/vnd.openxmlformats-officedocument.spreadsheetml.worksheet+xml" PartName="/xl/worksheets/sheet30061.xml"/>
  <Override ContentType="application/vnd.openxmlformats-officedocument.spreadsheetml.worksheet+xml" PartName="/xl/worksheets/sheet30062.xml"/>
  <Override ContentType="application/vnd.openxmlformats-officedocument.spreadsheetml.worksheet+xml" PartName="/xl/worksheets/sheet30063.xml"/>
  <Override ContentType="application/vnd.openxmlformats-officedocument.spreadsheetml.worksheet+xml" PartName="/xl/worksheets/sheet30064.xml"/>
  <Override ContentType="application/vnd.openxmlformats-officedocument.spreadsheetml.worksheet+xml" PartName="/xl/worksheets/sheet30065.xml"/>
  <Override ContentType="application/vnd.openxmlformats-officedocument.spreadsheetml.worksheet+xml" PartName="/xl/worksheets/sheet30066.xml"/>
  <Override ContentType="application/vnd.openxmlformats-officedocument.spreadsheetml.worksheet+xml" PartName="/xl/worksheets/sheet30067.xml"/>
  <Override ContentType="application/vnd.openxmlformats-officedocument.spreadsheetml.worksheet+xml" PartName="/xl/worksheets/sheet30068.xml"/>
  <Override ContentType="application/vnd.openxmlformats-officedocument.spreadsheetml.worksheet+xml" PartName="/xl/worksheets/sheet30069.xml"/>
  <Override ContentType="application/vnd.openxmlformats-officedocument.spreadsheetml.worksheet+xml" PartName="/xl/worksheets/sheet30070.xml"/>
  <Override ContentType="application/vnd.openxmlformats-officedocument.spreadsheetml.worksheet+xml" PartName="/xl/worksheets/sheet30071.xml"/>
  <Override ContentType="application/vnd.openxmlformats-officedocument.spreadsheetml.worksheet+xml" PartName="/xl/worksheets/sheet30072.xml"/>
  <Override ContentType="application/vnd.openxmlformats-officedocument.spreadsheetml.worksheet+xml" PartName="/xl/worksheets/sheet30073.xml"/>
  <Override ContentType="application/vnd.openxmlformats-officedocument.spreadsheetml.worksheet+xml" PartName="/xl/worksheets/sheet30074.xml"/>
  <Override ContentType="application/vnd.openxmlformats-officedocument.spreadsheetml.worksheet+xml" PartName="/xl/worksheets/sheet30075.xml"/>
  <Override ContentType="application/vnd.openxmlformats-officedocument.spreadsheetml.worksheet+xml" PartName="/xl/worksheets/sheet30076.xml"/>
  <Override ContentType="application/vnd.openxmlformats-officedocument.spreadsheetml.worksheet+xml" PartName="/xl/worksheets/sheet30077.xml"/>
  <Override ContentType="application/vnd.openxmlformats-officedocument.spreadsheetml.worksheet+xml" PartName="/xl/worksheets/sheet30078.xml"/>
  <Override ContentType="application/vnd.openxmlformats-officedocument.spreadsheetml.worksheet+xml" PartName="/xl/worksheets/sheet30079.xml"/>
  <Override ContentType="application/vnd.openxmlformats-officedocument.spreadsheetml.worksheet+xml" PartName="/xl/worksheets/sheet30080.xml"/>
  <Override ContentType="application/vnd.openxmlformats-officedocument.spreadsheetml.worksheet+xml" PartName="/xl/worksheets/sheet30081.xml"/>
  <Override ContentType="application/vnd.openxmlformats-officedocument.spreadsheetml.worksheet+xml" PartName="/xl/worksheets/sheet30082.xml"/>
  <Override ContentType="application/vnd.openxmlformats-officedocument.spreadsheetml.worksheet+xml" PartName="/xl/worksheets/sheet30083.xml"/>
  <Override ContentType="application/vnd.openxmlformats-officedocument.spreadsheetml.worksheet+xml" PartName="/xl/worksheets/sheet30084.xml"/>
  <Override ContentType="application/vnd.openxmlformats-officedocument.spreadsheetml.worksheet+xml" PartName="/xl/worksheets/sheet30085.xml"/>
  <Override ContentType="application/vnd.openxmlformats-officedocument.spreadsheetml.worksheet+xml" PartName="/xl/worksheets/sheet30086.xml"/>
  <Override ContentType="application/vnd.openxmlformats-officedocument.spreadsheetml.worksheet+xml" PartName="/xl/worksheets/sheet30087.xml"/>
  <Override ContentType="application/vnd.openxmlformats-officedocument.spreadsheetml.worksheet+xml" PartName="/xl/worksheets/sheet30088.xml"/>
  <Override ContentType="application/vnd.openxmlformats-officedocument.spreadsheetml.worksheet+xml" PartName="/xl/worksheets/sheet30089.xml"/>
  <Override ContentType="application/vnd.openxmlformats-officedocument.spreadsheetml.worksheet+xml" PartName="/xl/worksheets/sheet30090.xml"/>
  <Override ContentType="application/vnd.openxmlformats-officedocument.spreadsheetml.worksheet+xml" PartName="/xl/worksheets/sheet30091.xml"/>
  <Override ContentType="application/vnd.openxmlformats-officedocument.spreadsheetml.worksheet+xml" PartName="/xl/worksheets/sheet30092.xml"/>
  <Override ContentType="application/vnd.openxmlformats-officedocument.spreadsheetml.worksheet+xml" PartName="/xl/worksheets/sheet30093.xml"/>
  <Override ContentType="application/vnd.openxmlformats-officedocument.spreadsheetml.worksheet+xml" PartName="/xl/worksheets/sheet30094.xml"/>
  <Override ContentType="application/vnd.openxmlformats-officedocument.spreadsheetml.worksheet+xml" PartName="/xl/worksheets/sheet30095.xml"/>
  <Override ContentType="application/vnd.openxmlformats-officedocument.spreadsheetml.worksheet+xml" PartName="/xl/worksheets/sheet30096.xml"/>
  <Override ContentType="application/vnd.openxmlformats-officedocument.spreadsheetml.worksheet+xml" PartName="/xl/worksheets/sheet30097.xml"/>
  <Override ContentType="application/vnd.openxmlformats-officedocument.spreadsheetml.worksheet+xml" PartName="/xl/worksheets/sheet30098.xml"/>
  <Override ContentType="application/vnd.openxmlformats-officedocument.spreadsheetml.worksheet+xml" PartName="/xl/worksheets/sheet30099.xml"/>
  <Override ContentType="application/vnd.openxmlformats-officedocument.spreadsheetml.worksheet+xml" PartName="/xl/worksheets/sheet30100.xml"/>
  <Override ContentType="application/vnd.openxmlformats-officedocument.spreadsheetml.worksheet+xml" PartName="/xl/worksheets/sheet30101.xml"/>
  <Override ContentType="application/vnd.openxmlformats-officedocument.spreadsheetml.worksheet+xml" PartName="/xl/worksheets/sheet30102.xml"/>
  <Override ContentType="application/vnd.openxmlformats-officedocument.spreadsheetml.worksheet+xml" PartName="/xl/worksheets/sheet30103.xml"/>
  <Override ContentType="application/vnd.openxmlformats-officedocument.spreadsheetml.worksheet+xml" PartName="/xl/worksheets/sheet30104.xml"/>
  <Override ContentType="application/vnd.openxmlformats-officedocument.spreadsheetml.worksheet+xml" PartName="/xl/worksheets/sheet30105.xml"/>
  <Override ContentType="application/vnd.openxmlformats-officedocument.spreadsheetml.worksheet+xml" PartName="/xl/worksheets/sheet30106.xml"/>
  <Override ContentType="application/vnd.openxmlformats-officedocument.spreadsheetml.worksheet+xml" PartName="/xl/worksheets/sheet30107.xml"/>
  <Override ContentType="application/vnd.openxmlformats-officedocument.spreadsheetml.worksheet+xml" PartName="/xl/worksheets/sheet30108.xml"/>
  <Override ContentType="application/vnd.openxmlformats-officedocument.spreadsheetml.worksheet+xml" PartName="/xl/worksheets/sheet30109.xml"/>
  <Override ContentType="application/vnd.openxmlformats-officedocument.spreadsheetml.worksheet+xml" PartName="/xl/worksheets/sheet30110.xml"/>
  <Override ContentType="application/vnd.openxmlformats-officedocument.spreadsheetml.worksheet+xml" PartName="/xl/worksheets/sheet30111.xml"/>
  <Override ContentType="application/vnd.openxmlformats-officedocument.spreadsheetml.worksheet+xml" PartName="/xl/worksheets/sheet30112.xml"/>
  <Override ContentType="application/vnd.openxmlformats-officedocument.spreadsheetml.worksheet+xml" PartName="/xl/worksheets/sheet30113.xml"/>
  <Override ContentType="application/vnd.openxmlformats-officedocument.spreadsheetml.worksheet+xml" PartName="/xl/worksheets/sheet30114.xml"/>
  <Override ContentType="application/vnd.openxmlformats-officedocument.spreadsheetml.worksheet+xml" PartName="/xl/worksheets/sheet30115.xml"/>
  <Override ContentType="application/vnd.openxmlformats-officedocument.spreadsheetml.worksheet+xml" PartName="/xl/worksheets/sheet30116.xml"/>
  <Override ContentType="application/vnd.openxmlformats-officedocument.spreadsheetml.worksheet+xml" PartName="/xl/worksheets/sheet30117.xml"/>
  <Override ContentType="application/vnd.openxmlformats-officedocument.spreadsheetml.worksheet+xml" PartName="/xl/worksheets/sheet30118.xml"/>
  <Override ContentType="application/vnd.openxmlformats-officedocument.spreadsheetml.worksheet+xml" PartName="/xl/worksheets/sheet30119.xml"/>
  <Override ContentType="application/vnd.openxmlformats-officedocument.spreadsheetml.worksheet+xml" PartName="/xl/worksheets/sheet30120.xml"/>
  <Override ContentType="application/vnd.openxmlformats-officedocument.spreadsheetml.worksheet+xml" PartName="/xl/worksheets/sheet30121.xml"/>
  <Override ContentType="application/vnd.openxmlformats-officedocument.spreadsheetml.worksheet+xml" PartName="/xl/worksheets/sheet30122.xml"/>
  <Override ContentType="application/vnd.openxmlformats-officedocument.spreadsheetml.worksheet+xml" PartName="/xl/worksheets/sheet30123.xml"/>
  <Override ContentType="application/vnd.openxmlformats-officedocument.spreadsheetml.worksheet+xml" PartName="/xl/worksheets/sheet30124.xml"/>
  <Override ContentType="application/vnd.openxmlformats-officedocument.spreadsheetml.worksheet+xml" PartName="/xl/worksheets/sheet30125.xml"/>
  <Override ContentType="application/vnd.openxmlformats-officedocument.spreadsheetml.worksheet+xml" PartName="/xl/worksheets/sheet30126.xml"/>
  <Override ContentType="application/vnd.openxmlformats-officedocument.spreadsheetml.worksheet+xml" PartName="/xl/worksheets/sheet30127.xml"/>
  <Override ContentType="application/vnd.openxmlformats-officedocument.spreadsheetml.worksheet+xml" PartName="/xl/worksheets/sheet30128.xml"/>
  <Override ContentType="application/vnd.openxmlformats-officedocument.spreadsheetml.worksheet+xml" PartName="/xl/worksheets/sheet30129.xml"/>
  <Override ContentType="application/vnd.openxmlformats-officedocument.spreadsheetml.worksheet+xml" PartName="/xl/worksheets/sheet30130.xml"/>
  <Override ContentType="application/vnd.openxmlformats-officedocument.spreadsheetml.worksheet+xml" PartName="/xl/worksheets/sheet30131.xml"/>
  <Override ContentType="application/vnd.openxmlformats-officedocument.spreadsheetml.worksheet+xml" PartName="/xl/worksheets/sheet30132.xml"/>
  <Override ContentType="application/vnd.openxmlformats-officedocument.spreadsheetml.worksheet+xml" PartName="/xl/worksheets/sheet30133.xml"/>
  <Override ContentType="application/vnd.openxmlformats-officedocument.spreadsheetml.worksheet+xml" PartName="/xl/worksheets/sheet30134.xml"/>
  <Override ContentType="application/vnd.openxmlformats-officedocument.spreadsheetml.worksheet+xml" PartName="/xl/worksheets/sheet30135.xml"/>
  <Override ContentType="application/vnd.openxmlformats-officedocument.spreadsheetml.worksheet+xml" PartName="/xl/worksheets/sheet30136.xml"/>
  <Override ContentType="application/vnd.openxmlformats-officedocument.spreadsheetml.worksheet+xml" PartName="/xl/worksheets/sheet30137.xml"/>
  <Override ContentType="application/vnd.openxmlformats-officedocument.spreadsheetml.worksheet+xml" PartName="/xl/worksheets/sheet30138.xml"/>
  <Override ContentType="application/vnd.openxmlformats-officedocument.spreadsheetml.worksheet+xml" PartName="/xl/worksheets/sheet30139.xml"/>
  <Override ContentType="application/vnd.openxmlformats-officedocument.spreadsheetml.worksheet+xml" PartName="/xl/worksheets/sheet30140.xml"/>
  <Override ContentType="application/vnd.openxmlformats-officedocument.spreadsheetml.worksheet+xml" PartName="/xl/worksheets/sheet30141.xml"/>
  <Override ContentType="application/vnd.openxmlformats-officedocument.spreadsheetml.worksheet+xml" PartName="/xl/worksheets/sheet30142.xml"/>
  <Override ContentType="application/vnd.openxmlformats-officedocument.spreadsheetml.worksheet+xml" PartName="/xl/worksheets/sheet30143.xml"/>
  <Override ContentType="application/vnd.openxmlformats-officedocument.spreadsheetml.worksheet+xml" PartName="/xl/worksheets/sheet30144.xml"/>
  <Override ContentType="application/vnd.openxmlformats-officedocument.spreadsheetml.worksheet+xml" PartName="/xl/worksheets/sheet30145.xml"/>
  <Override ContentType="application/vnd.openxmlformats-officedocument.spreadsheetml.worksheet+xml" PartName="/xl/worksheets/sheet30146.xml"/>
  <Override ContentType="application/vnd.openxmlformats-officedocument.spreadsheetml.worksheet+xml" PartName="/xl/worksheets/sheet30147.xml"/>
  <Override ContentType="application/vnd.openxmlformats-officedocument.spreadsheetml.worksheet+xml" PartName="/xl/worksheets/sheet30148.xml"/>
  <Override ContentType="application/vnd.openxmlformats-officedocument.spreadsheetml.worksheet+xml" PartName="/xl/worksheets/sheet30149.xml"/>
  <Override ContentType="application/vnd.openxmlformats-officedocument.spreadsheetml.worksheet+xml" PartName="/xl/worksheets/sheet30150.xml"/>
  <Override ContentType="application/vnd.openxmlformats-officedocument.spreadsheetml.worksheet+xml" PartName="/xl/worksheets/sheet30151.xml"/>
  <Override ContentType="application/vnd.openxmlformats-officedocument.spreadsheetml.worksheet+xml" PartName="/xl/worksheets/sheet30152.xml"/>
  <Override ContentType="application/vnd.openxmlformats-officedocument.spreadsheetml.worksheet+xml" PartName="/xl/worksheets/sheet30153.xml"/>
  <Override ContentType="application/vnd.openxmlformats-officedocument.spreadsheetml.worksheet+xml" PartName="/xl/worksheets/sheet30154.xml"/>
  <Override ContentType="application/vnd.openxmlformats-officedocument.spreadsheetml.worksheet+xml" PartName="/xl/worksheets/sheet30155.xml"/>
  <Override ContentType="application/vnd.openxmlformats-officedocument.spreadsheetml.worksheet+xml" PartName="/xl/worksheets/sheet30156.xml"/>
  <Override ContentType="application/vnd.openxmlformats-officedocument.spreadsheetml.worksheet+xml" PartName="/xl/worksheets/sheet30157.xml"/>
  <Override ContentType="application/vnd.openxmlformats-officedocument.spreadsheetml.worksheet+xml" PartName="/xl/worksheets/sheet30158.xml"/>
  <Override ContentType="application/vnd.openxmlformats-officedocument.spreadsheetml.worksheet+xml" PartName="/xl/worksheets/sheet30159.xml"/>
  <Override ContentType="application/vnd.openxmlformats-officedocument.spreadsheetml.worksheet+xml" PartName="/xl/worksheets/sheet30160.xml"/>
  <Override ContentType="application/vnd.openxmlformats-officedocument.spreadsheetml.worksheet+xml" PartName="/xl/worksheets/sheet30161.xml"/>
  <Override ContentType="application/vnd.openxmlformats-officedocument.spreadsheetml.worksheet+xml" PartName="/xl/worksheets/sheet30162.xml"/>
  <Override ContentType="application/vnd.openxmlformats-officedocument.spreadsheetml.worksheet+xml" PartName="/xl/worksheets/sheet30163.xml"/>
  <Override ContentType="application/vnd.openxmlformats-officedocument.spreadsheetml.worksheet+xml" PartName="/xl/worksheets/sheet30164.xml"/>
  <Override ContentType="application/vnd.openxmlformats-officedocument.spreadsheetml.worksheet+xml" PartName="/xl/worksheets/sheet30165.xml"/>
  <Override ContentType="application/vnd.openxmlformats-officedocument.spreadsheetml.worksheet+xml" PartName="/xl/worksheets/sheet30166.xml"/>
  <Override ContentType="application/vnd.openxmlformats-officedocument.spreadsheetml.worksheet+xml" PartName="/xl/worksheets/sheet30167.xml"/>
  <Override ContentType="application/vnd.openxmlformats-officedocument.spreadsheetml.worksheet+xml" PartName="/xl/worksheets/sheet30168.xml"/>
  <Override ContentType="application/vnd.openxmlformats-officedocument.spreadsheetml.worksheet+xml" PartName="/xl/worksheets/sheet30169.xml"/>
  <Override ContentType="application/vnd.openxmlformats-officedocument.spreadsheetml.worksheet+xml" PartName="/xl/worksheets/sheet30170.xml"/>
  <Override ContentType="application/vnd.openxmlformats-officedocument.spreadsheetml.worksheet+xml" PartName="/xl/worksheets/sheet30171.xml"/>
  <Override ContentType="application/vnd.openxmlformats-officedocument.spreadsheetml.worksheet+xml" PartName="/xl/worksheets/sheet30172.xml"/>
  <Override ContentType="application/vnd.openxmlformats-officedocument.spreadsheetml.worksheet+xml" PartName="/xl/worksheets/sheet30173.xml"/>
  <Override ContentType="application/vnd.openxmlformats-officedocument.spreadsheetml.worksheet+xml" PartName="/xl/worksheets/sheet30174.xml"/>
  <Override ContentType="application/vnd.openxmlformats-officedocument.spreadsheetml.worksheet+xml" PartName="/xl/worksheets/sheet30175.xml"/>
  <Override ContentType="application/vnd.openxmlformats-officedocument.spreadsheetml.worksheet+xml" PartName="/xl/worksheets/sheet30176.xml"/>
  <Override ContentType="application/vnd.openxmlformats-officedocument.spreadsheetml.worksheet+xml" PartName="/xl/worksheets/sheet30177.xml"/>
  <Override ContentType="application/vnd.openxmlformats-officedocument.spreadsheetml.worksheet+xml" PartName="/xl/worksheets/sheet30178.xml"/>
  <Override ContentType="application/vnd.openxmlformats-officedocument.spreadsheetml.worksheet+xml" PartName="/xl/worksheets/sheet30179.xml"/>
  <Override ContentType="application/vnd.openxmlformats-officedocument.spreadsheetml.worksheet+xml" PartName="/xl/worksheets/sheet30180.xml"/>
  <Override ContentType="application/vnd.openxmlformats-officedocument.spreadsheetml.worksheet+xml" PartName="/xl/worksheets/sheet30181.xml"/>
  <Override ContentType="application/vnd.openxmlformats-officedocument.spreadsheetml.worksheet+xml" PartName="/xl/worksheets/sheet30182.xml"/>
  <Override ContentType="application/vnd.openxmlformats-officedocument.spreadsheetml.worksheet+xml" PartName="/xl/worksheets/sheet30183.xml"/>
  <Override ContentType="application/vnd.openxmlformats-officedocument.spreadsheetml.worksheet+xml" PartName="/xl/worksheets/sheet30184.xml"/>
  <Override ContentType="application/vnd.openxmlformats-officedocument.spreadsheetml.worksheet+xml" PartName="/xl/worksheets/sheet30185.xml"/>
  <Override ContentType="application/vnd.openxmlformats-officedocument.spreadsheetml.worksheet+xml" PartName="/xl/worksheets/sheet30186.xml"/>
  <Override ContentType="application/vnd.openxmlformats-officedocument.spreadsheetml.worksheet+xml" PartName="/xl/worksheets/sheet30187.xml"/>
  <Override ContentType="application/vnd.openxmlformats-officedocument.spreadsheetml.worksheet+xml" PartName="/xl/worksheets/sheet30188.xml"/>
  <Override ContentType="application/vnd.openxmlformats-officedocument.spreadsheetml.worksheet+xml" PartName="/xl/worksheets/sheet30189.xml"/>
  <Override ContentType="application/vnd.openxmlformats-officedocument.spreadsheetml.worksheet+xml" PartName="/xl/worksheets/sheet30190.xml"/>
  <Override ContentType="application/vnd.openxmlformats-officedocument.spreadsheetml.worksheet+xml" PartName="/xl/worksheets/sheet30191.xml"/>
  <Override ContentType="application/vnd.openxmlformats-officedocument.spreadsheetml.worksheet+xml" PartName="/xl/worksheets/sheet30192.xml"/>
  <Override ContentType="application/vnd.openxmlformats-officedocument.spreadsheetml.worksheet+xml" PartName="/xl/worksheets/sheet30193.xml"/>
  <Override ContentType="application/vnd.openxmlformats-officedocument.spreadsheetml.worksheet+xml" PartName="/xl/worksheets/sheet30194.xml"/>
  <Override ContentType="application/vnd.openxmlformats-officedocument.spreadsheetml.worksheet+xml" PartName="/xl/worksheets/sheet30195.xml"/>
  <Override ContentType="application/vnd.openxmlformats-officedocument.spreadsheetml.worksheet+xml" PartName="/xl/worksheets/sheet30196.xml"/>
  <Override ContentType="application/vnd.openxmlformats-officedocument.spreadsheetml.worksheet+xml" PartName="/xl/worksheets/sheet30197.xml"/>
  <Override ContentType="application/vnd.openxmlformats-officedocument.spreadsheetml.worksheet+xml" PartName="/xl/worksheets/sheet30198.xml"/>
  <Override ContentType="application/vnd.openxmlformats-officedocument.spreadsheetml.worksheet+xml" PartName="/xl/worksheets/sheet30199.xml"/>
  <Override ContentType="application/vnd.openxmlformats-officedocument.spreadsheetml.worksheet+xml" PartName="/xl/worksheets/sheet30200.xml"/>
  <Override ContentType="application/vnd.openxmlformats-officedocument.spreadsheetml.worksheet+xml" PartName="/xl/worksheets/sheet30201.xml"/>
  <Override ContentType="application/vnd.openxmlformats-officedocument.spreadsheetml.worksheet+xml" PartName="/xl/worksheets/sheet30202.xml"/>
  <Override ContentType="application/vnd.openxmlformats-officedocument.spreadsheetml.worksheet+xml" PartName="/xl/worksheets/sheet30203.xml"/>
  <Override ContentType="application/vnd.openxmlformats-officedocument.spreadsheetml.worksheet+xml" PartName="/xl/worksheets/sheet30204.xml"/>
  <Override ContentType="application/vnd.openxmlformats-officedocument.spreadsheetml.worksheet+xml" PartName="/xl/worksheets/sheet30205.xml"/>
  <Override ContentType="application/vnd.openxmlformats-officedocument.spreadsheetml.worksheet+xml" PartName="/xl/worksheets/sheet30206.xml"/>
  <Override ContentType="application/vnd.openxmlformats-officedocument.spreadsheetml.worksheet+xml" PartName="/xl/worksheets/sheet30207.xml"/>
  <Override ContentType="application/vnd.openxmlformats-officedocument.spreadsheetml.worksheet+xml" PartName="/xl/worksheets/sheet30208.xml"/>
  <Override ContentType="application/vnd.openxmlformats-officedocument.spreadsheetml.worksheet+xml" PartName="/xl/worksheets/sheet30209.xml"/>
  <Override ContentType="application/vnd.openxmlformats-officedocument.spreadsheetml.worksheet+xml" PartName="/xl/worksheets/sheet30210.xml"/>
  <Override ContentType="application/vnd.openxmlformats-officedocument.spreadsheetml.worksheet+xml" PartName="/xl/worksheets/sheet30211.xml"/>
  <Override ContentType="application/vnd.openxmlformats-officedocument.spreadsheetml.worksheet+xml" PartName="/xl/worksheets/sheet30212.xml"/>
  <Override ContentType="application/vnd.openxmlformats-officedocument.spreadsheetml.worksheet+xml" PartName="/xl/worksheets/sheet30213.xml"/>
  <Override ContentType="application/vnd.openxmlformats-officedocument.spreadsheetml.worksheet+xml" PartName="/xl/worksheets/sheet30214.xml"/>
  <Override ContentType="application/vnd.openxmlformats-officedocument.spreadsheetml.worksheet+xml" PartName="/xl/worksheets/sheet30215.xml"/>
  <Override ContentType="application/vnd.openxmlformats-officedocument.spreadsheetml.worksheet+xml" PartName="/xl/worksheets/sheet30216.xml"/>
  <Override ContentType="application/vnd.openxmlformats-officedocument.spreadsheetml.worksheet+xml" PartName="/xl/worksheets/sheet30217.xml"/>
  <Override ContentType="application/vnd.openxmlformats-officedocument.spreadsheetml.worksheet+xml" PartName="/xl/worksheets/sheet30218.xml"/>
  <Override ContentType="application/vnd.openxmlformats-officedocument.spreadsheetml.worksheet+xml" PartName="/xl/worksheets/sheet30219.xml"/>
  <Override ContentType="application/vnd.openxmlformats-officedocument.spreadsheetml.worksheet+xml" PartName="/xl/worksheets/sheet30220.xml"/>
  <Override ContentType="application/vnd.openxmlformats-officedocument.spreadsheetml.worksheet+xml" PartName="/xl/worksheets/sheet30221.xml"/>
  <Override ContentType="application/vnd.openxmlformats-officedocument.spreadsheetml.worksheet+xml" PartName="/xl/worksheets/sheet30222.xml"/>
  <Override ContentType="application/vnd.openxmlformats-officedocument.spreadsheetml.worksheet+xml" PartName="/xl/worksheets/sheet30223.xml"/>
  <Override ContentType="application/vnd.openxmlformats-officedocument.spreadsheetml.worksheet+xml" PartName="/xl/worksheets/sheet30224.xml"/>
  <Override ContentType="application/vnd.openxmlformats-officedocument.spreadsheetml.worksheet+xml" PartName="/xl/worksheets/sheet30225.xml"/>
  <Override ContentType="application/vnd.openxmlformats-officedocument.spreadsheetml.worksheet+xml" PartName="/xl/worksheets/sheet30226.xml"/>
  <Override ContentType="application/vnd.openxmlformats-officedocument.spreadsheetml.worksheet+xml" PartName="/xl/worksheets/sheet30227.xml"/>
  <Override ContentType="application/vnd.openxmlformats-officedocument.spreadsheetml.worksheet+xml" PartName="/xl/worksheets/sheet30228.xml"/>
  <Override ContentType="application/vnd.openxmlformats-officedocument.spreadsheetml.worksheet+xml" PartName="/xl/worksheets/sheet30229.xml"/>
  <Override ContentType="application/vnd.openxmlformats-officedocument.spreadsheetml.worksheet+xml" PartName="/xl/worksheets/sheet30230.xml"/>
  <Override ContentType="application/vnd.openxmlformats-officedocument.spreadsheetml.worksheet+xml" PartName="/xl/worksheets/sheet30231.xml"/>
  <Override ContentType="application/vnd.openxmlformats-officedocument.spreadsheetml.worksheet+xml" PartName="/xl/worksheets/sheet30232.xml"/>
  <Override ContentType="application/vnd.openxmlformats-officedocument.spreadsheetml.worksheet+xml" PartName="/xl/worksheets/sheet30233.xml"/>
  <Override ContentType="application/vnd.openxmlformats-officedocument.spreadsheetml.worksheet+xml" PartName="/xl/worksheets/sheet30234.xml"/>
  <Override ContentType="application/vnd.openxmlformats-officedocument.spreadsheetml.worksheet+xml" PartName="/xl/worksheets/sheet30235.xml"/>
  <Override ContentType="application/vnd.openxmlformats-officedocument.spreadsheetml.worksheet+xml" PartName="/xl/worksheets/sheet30236.xml"/>
  <Override ContentType="application/vnd.openxmlformats-officedocument.spreadsheetml.worksheet+xml" PartName="/xl/worksheets/sheet30237.xml"/>
  <Override ContentType="application/vnd.openxmlformats-officedocument.spreadsheetml.worksheet+xml" PartName="/xl/worksheets/sheet30238.xml"/>
  <Override ContentType="application/vnd.openxmlformats-officedocument.spreadsheetml.worksheet+xml" PartName="/xl/worksheets/sheet30239.xml"/>
  <Override ContentType="application/vnd.openxmlformats-officedocument.spreadsheetml.worksheet+xml" PartName="/xl/worksheets/sheet30240.xml"/>
  <Override ContentType="application/vnd.openxmlformats-officedocument.spreadsheetml.worksheet+xml" PartName="/xl/worksheets/sheet30241.xml"/>
  <Override ContentType="application/vnd.openxmlformats-officedocument.spreadsheetml.worksheet+xml" PartName="/xl/worksheets/sheet30242.xml"/>
  <Override ContentType="application/vnd.openxmlformats-officedocument.spreadsheetml.worksheet+xml" PartName="/xl/worksheets/sheet30243.xml"/>
  <Override ContentType="application/vnd.openxmlformats-officedocument.spreadsheetml.worksheet+xml" PartName="/xl/worksheets/sheet30244.xml"/>
  <Override ContentType="application/vnd.openxmlformats-officedocument.spreadsheetml.worksheet+xml" PartName="/xl/worksheets/sheet30245.xml"/>
  <Override ContentType="application/vnd.openxmlformats-officedocument.spreadsheetml.worksheet+xml" PartName="/xl/worksheets/sheet30246.xml"/>
  <Override ContentType="application/vnd.openxmlformats-officedocument.spreadsheetml.worksheet+xml" PartName="/xl/worksheets/sheet30247.xml"/>
  <Override ContentType="application/vnd.openxmlformats-officedocument.spreadsheetml.worksheet+xml" PartName="/xl/worksheets/sheet30248.xml"/>
  <Override ContentType="application/vnd.openxmlformats-officedocument.spreadsheetml.worksheet+xml" PartName="/xl/worksheets/sheet30249.xml"/>
  <Override ContentType="application/vnd.openxmlformats-officedocument.spreadsheetml.worksheet+xml" PartName="/xl/worksheets/sheet30250.xml"/>
  <Override ContentType="application/vnd.openxmlformats-officedocument.spreadsheetml.worksheet+xml" PartName="/xl/worksheets/sheet30251.xml"/>
  <Override ContentType="application/vnd.openxmlformats-officedocument.spreadsheetml.worksheet+xml" PartName="/xl/worksheets/sheet30252.xml"/>
  <Override ContentType="application/vnd.openxmlformats-officedocument.spreadsheetml.worksheet+xml" PartName="/xl/worksheets/sheet30253.xml"/>
  <Override ContentType="application/vnd.openxmlformats-officedocument.spreadsheetml.worksheet+xml" PartName="/xl/worksheets/sheet30254.xml"/>
  <Override ContentType="application/vnd.openxmlformats-officedocument.spreadsheetml.worksheet+xml" PartName="/xl/worksheets/sheet30255.xml"/>
  <Override ContentType="application/vnd.openxmlformats-officedocument.spreadsheetml.worksheet+xml" PartName="/xl/worksheets/sheet30256.xml"/>
  <Override ContentType="application/vnd.openxmlformats-officedocument.spreadsheetml.worksheet+xml" PartName="/xl/worksheets/sheet30257.xml"/>
  <Override ContentType="application/vnd.openxmlformats-officedocument.spreadsheetml.worksheet+xml" PartName="/xl/worksheets/sheet30258.xml"/>
  <Override ContentType="application/vnd.openxmlformats-officedocument.spreadsheetml.worksheet+xml" PartName="/xl/worksheets/sheet30259.xml"/>
  <Override ContentType="application/vnd.openxmlformats-officedocument.spreadsheetml.worksheet+xml" PartName="/xl/worksheets/sheet30260.xml"/>
  <Override ContentType="application/vnd.openxmlformats-officedocument.spreadsheetml.worksheet+xml" PartName="/xl/worksheets/sheet30261.xml"/>
  <Override ContentType="application/vnd.openxmlformats-officedocument.spreadsheetml.worksheet+xml" PartName="/xl/worksheets/sheet30262.xml"/>
  <Override ContentType="application/vnd.openxmlformats-officedocument.spreadsheetml.worksheet+xml" PartName="/xl/worksheets/sheet30263.xml"/>
  <Override ContentType="application/vnd.openxmlformats-officedocument.spreadsheetml.worksheet+xml" PartName="/xl/worksheets/sheet30264.xml"/>
  <Override ContentType="application/vnd.openxmlformats-officedocument.spreadsheetml.worksheet+xml" PartName="/xl/worksheets/sheet30265.xml"/>
  <Override ContentType="application/vnd.openxmlformats-officedocument.spreadsheetml.worksheet+xml" PartName="/xl/worksheets/sheet30266.xml"/>
  <Override ContentType="application/vnd.openxmlformats-officedocument.spreadsheetml.worksheet+xml" PartName="/xl/worksheets/sheet30267.xml"/>
  <Override ContentType="application/vnd.openxmlformats-officedocument.spreadsheetml.worksheet+xml" PartName="/xl/worksheets/sheet30268.xml"/>
  <Override ContentType="application/vnd.openxmlformats-officedocument.spreadsheetml.worksheet+xml" PartName="/xl/worksheets/sheet30269.xml"/>
  <Override ContentType="application/vnd.openxmlformats-officedocument.spreadsheetml.worksheet+xml" PartName="/xl/worksheets/sheet30270.xml"/>
  <Override ContentType="application/vnd.openxmlformats-officedocument.spreadsheetml.worksheet+xml" PartName="/xl/worksheets/sheet30271.xml"/>
  <Override ContentType="application/vnd.openxmlformats-officedocument.spreadsheetml.worksheet+xml" PartName="/xl/worksheets/sheet30272.xml"/>
  <Override ContentType="application/vnd.openxmlformats-officedocument.spreadsheetml.worksheet+xml" PartName="/xl/worksheets/sheet30273.xml"/>
  <Override ContentType="application/vnd.openxmlformats-officedocument.spreadsheetml.worksheet+xml" PartName="/xl/worksheets/sheet30274.xml"/>
  <Override ContentType="application/vnd.openxmlformats-officedocument.spreadsheetml.worksheet+xml" PartName="/xl/worksheets/sheet30275.xml"/>
  <Override ContentType="application/vnd.openxmlformats-officedocument.spreadsheetml.worksheet+xml" PartName="/xl/worksheets/sheet30276.xml"/>
  <Override ContentType="application/vnd.openxmlformats-officedocument.spreadsheetml.worksheet+xml" PartName="/xl/worksheets/sheet30277.xml"/>
  <Override ContentType="application/vnd.openxmlformats-officedocument.spreadsheetml.worksheet+xml" PartName="/xl/worksheets/sheet30278.xml"/>
  <Override ContentType="application/vnd.openxmlformats-officedocument.spreadsheetml.worksheet+xml" PartName="/xl/worksheets/sheet30279.xml"/>
  <Override ContentType="application/vnd.openxmlformats-officedocument.spreadsheetml.worksheet+xml" PartName="/xl/worksheets/sheet30280.xml"/>
  <Override ContentType="application/vnd.openxmlformats-officedocument.spreadsheetml.worksheet+xml" PartName="/xl/worksheets/sheet30281.xml"/>
  <Override ContentType="application/vnd.openxmlformats-officedocument.spreadsheetml.worksheet+xml" PartName="/xl/worksheets/sheet30282.xml"/>
  <Override ContentType="application/vnd.openxmlformats-officedocument.spreadsheetml.worksheet+xml" PartName="/xl/worksheets/sheet30283.xml"/>
  <Override ContentType="application/vnd.openxmlformats-officedocument.spreadsheetml.worksheet+xml" PartName="/xl/worksheets/sheet30284.xml"/>
  <Override ContentType="application/vnd.openxmlformats-officedocument.spreadsheetml.worksheet+xml" PartName="/xl/worksheets/sheet30285.xml"/>
  <Override ContentType="application/vnd.openxmlformats-officedocument.spreadsheetml.worksheet+xml" PartName="/xl/worksheets/sheet30286.xml"/>
  <Override ContentType="application/vnd.openxmlformats-officedocument.spreadsheetml.worksheet+xml" PartName="/xl/worksheets/sheet30287.xml"/>
  <Override ContentType="application/vnd.openxmlformats-officedocument.spreadsheetml.worksheet+xml" PartName="/xl/worksheets/sheet30288.xml"/>
  <Override ContentType="application/vnd.openxmlformats-officedocument.spreadsheetml.worksheet+xml" PartName="/xl/worksheets/sheet30289.xml"/>
  <Override ContentType="application/vnd.openxmlformats-officedocument.spreadsheetml.worksheet+xml" PartName="/xl/worksheets/sheet30290.xml"/>
  <Override ContentType="application/vnd.openxmlformats-officedocument.spreadsheetml.worksheet+xml" PartName="/xl/worksheets/sheet30291.xml"/>
  <Override ContentType="application/vnd.openxmlformats-officedocument.spreadsheetml.worksheet+xml" PartName="/xl/worksheets/sheet30292.xml"/>
  <Override ContentType="application/vnd.openxmlformats-officedocument.spreadsheetml.worksheet+xml" PartName="/xl/worksheets/sheet30293.xml"/>
  <Override ContentType="application/vnd.openxmlformats-officedocument.spreadsheetml.worksheet+xml" PartName="/xl/worksheets/sheet30294.xml"/>
  <Override ContentType="application/vnd.openxmlformats-officedocument.spreadsheetml.worksheet+xml" PartName="/xl/worksheets/sheet30295.xml"/>
  <Override ContentType="application/vnd.openxmlformats-officedocument.spreadsheetml.worksheet+xml" PartName="/xl/worksheets/sheet30296.xml"/>
  <Override ContentType="application/vnd.openxmlformats-officedocument.spreadsheetml.worksheet+xml" PartName="/xl/worksheets/sheet30297.xml"/>
  <Override ContentType="application/vnd.openxmlformats-officedocument.spreadsheetml.worksheet+xml" PartName="/xl/worksheets/sheet30298.xml"/>
  <Override ContentType="application/vnd.openxmlformats-officedocument.spreadsheetml.worksheet+xml" PartName="/xl/worksheets/sheet30299.xml"/>
  <Override ContentType="application/vnd.openxmlformats-officedocument.spreadsheetml.worksheet+xml" PartName="/xl/worksheets/sheet30300.xml"/>
  <Override ContentType="application/vnd.openxmlformats-officedocument.spreadsheetml.worksheet+xml" PartName="/xl/worksheets/sheet30301.xml"/>
  <Override ContentType="application/vnd.openxmlformats-officedocument.spreadsheetml.worksheet+xml" PartName="/xl/worksheets/sheet30302.xml"/>
  <Override ContentType="application/vnd.openxmlformats-officedocument.spreadsheetml.worksheet+xml" PartName="/xl/worksheets/sheet30303.xml"/>
  <Override ContentType="application/vnd.openxmlformats-officedocument.spreadsheetml.worksheet+xml" PartName="/xl/worksheets/sheet30304.xml"/>
  <Override ContentType="application/vnd.openxmlformats-officedocument.spreadsheetml.worksheet+xml" PartName="/xl/worksheets/sheet30305.xml"/>
  <Override ContentType="application/vnd.openxmlformats-officedocument.spreadsheetml.worksheet+xml" PartName="/xl/worksheets/sheet30306.xml"/>
  <Override ContentType="application/vnd.openxmlformats-officedocument.spreadsheetml.worksheet+xml" PartName="/xl/worksheets/sheet30307.xml"/>
  <Override ContentType="application/vnd.openxmlformats-officedocument.spreadsheetml.worksheet+xml" PartName="/xl/worksheets/sheet30308.xml"/>
  <Override ContentType="application/vnd.openxmlformats-officedocument.spreadsheetml.worksheet+xml" PartName="/xl/worksheets/sheet30309.xml"/>
  <Override ContentType="application/vnd.openxmlformats-officedocument.spreadsheetml.worksheet+xml" PartName="/xl/worksheets/sheet30310.xml"/>
  <Override ContentType="application/vnd.openxmlformats-officedocument.spreadsheetml.worksheet+xml" PartName="/xl/worksheets/sheet30311.xml"/>
  <Override ContentType="application/vnd.openxmlformats-officedocument.spreadsheetml.worksheet+xml" PartName="/xl/worksheets/sheet30312.xml"/>
  <Override ContentType="application/vnd.openxmlformats-officedocument.spreadsheetml.worksheet+xml" PartName="/xl/worksheets/sheet30313.xml"/>
  <Override ContentType="application/vnd.openxmlformats-officedocument.spreadsheetml.worksheet+xml" PartName="/xl/worksheets/sheet30314.xml"/>
  <Override ContentType="application/vnd.openxmlformats-officedocument.spreadsheetml.worksheet+xml" PartName="/xl/worksheets/sheet30315.xml"/>
  <Override ContentType="application/vnd.openxmlformats-officedocument.spreadsheetml.worksheet+xml" PartName="/xl/worksheets/sheet30316.xml"/>
  <Override ContentType="application/vnd.openxmlformats-officedocument.spreadsheetml.worksheet+xml" PartName="/xl/worksheets/sheet30317.xml"/>
  <Override ContentType="application/vnd.openxmlformats-officedocument.spreadsheetml.worksheet+xml" PartName="/xl/worksheets/sheet30318.xml"/>
  <Override ContentType="application/vnd.openxmlformats-officedocument.spreadsheetml.worksheet+xml" PartName="/xl/worksheets/sheet30319.xml"/>
  <Override ContentType="application/vnd.openxmlformats-officedocument.spreadsheetml.worksheet+xml" PartName="/xl/worksheets/sheet30320.xml"/>
  <Override ContentType="application/vnd.openxmlformats-officedocument.spreadsheetml.worksheet+xml" PartName="/xl/worksheets/sheet30321.xml"/>
  <Override ContentType="application/vnd.openxmlformats-officedocument.spreadsheetml.worksheet+xml" PartName="/xl/worksheets/sheet30322.xml"/>
  <Override ContentType="application/vnd.openxmlformats-officedocument.spreadsheetml.worksheet+xml" PartName="/xl/worksheets/sheet30323.xml"/>
  <Override ContentType="application/vnd.openxmlformats-officedocument.spreadsheetml.worksheet+xml" PartName="/xl/worksheets/sheet30324.xml"/>
  <Override ContentType="application/vnd.openxmlformats-officedocument.spreadsheetml.worksheet+xml" PartName="/xl/worksheets/sheet30325.xml"/>
  <Override ContentType="application/vnd.openxmlformats-officedocument.spreadsheetml.worksheet+xml" PartName="/xl/worksheets/sheet30326.xml"/>
  <Override ContentType="application/vnd.openxmlformats-officedocument.spreadsheetml.worksheet+xml" PartName="/xl/worksheets/sheet30327.xml"/>
  <Override ContentType="application/vnd.openxmlformats-officedocument.spreadsheetml.worksheet+xml" PartName="/xl/worksheets/sheet30328.xml"/>
  <Override ContentType="application/vnd.openxmlformats-officedocument.spreadsheetml.worksheet+xml" PartName="/xl/worksheets/sheet30329.xml"/>
  <Override ContentType="application/vnd.openxmlformats-officedocument.spreadsheetml.worksheet+xml" PartName="/xl/worksheets/sheet30330.xml"/>
  <Override ContentType="application/vnd.openxmlformats-officedocument.spreadsheetml.worksheet+xml" PartName="/xl/worksheets/sheet30331.xml"/>
  <Override ContentType="application/vnd.openxmlformats-officedocument.spreadsheetml.worksheet+xml" PartName="/xl/worksheets/sheet30332.xml"/>
  <Override ContentType="application/vnd.openxmlformats-officedocument.spreadsheetml.worksheet+xml" PartName="/xl/worksheets/sheet30333.xml"/>
  <Override ContentType="application/vnd.openxmlformats-officedocument.spreadsheetml.worksheet+xml" PartName="/xl/worksheets/sheet30334.xml"/>
  <Override ContentType="application/vnd.openxmlformats-officedocument.spreadsheetml.worksheet+xml" PartName="/xl/worksheets/sheet30335.xml"/>
  <Override ContentType="application/vnd.openxmlformats-officedocument.spreadsheetml.worksheet+xml" PartName="/xl/worksheets/sheet30336.xml"/>
  <Override ContentType="application/vnd.openxmlformats-officedocument.spreadsheetml.worksheet+xml" PartName="/xl/worksheets/sheet30337.xml"/>
  <Override ContentType="application/vnd.openxmlformats-officedocument.spreadsheetml.worksheet+xml" PartName="/xl/worksheets/sheet30338.xml"/>
  <Override ContentType="application/vnd.openxmlformats-officedocument.spreadsheetml.worksheet+xml" PartName="/xl/worksheets/sheet30339.xml"/>
  <Override ContentType="application/vnd.openxmlformats-officedocument.spreadsheetml.worksheet+xml" PartName="/xl/worksheets/sheet30340.xml"/>
  <Override ContentType="application/vnd.openxmlformats-officedocument.spreadsheetml.worksheet+xml" PartName="/xl/worksheets/sheet30341.xml"/>
  <Override ContentType="application/vnd.openxmlformats-officedocument.spreadsheetml.worksheet+xml" PartName="/xl/worksheets/sheet30342.xml"/>
  <Override ContentType="application/vnd.openxmlformats-officedocument.spreadsheetml.worksheet+xml" PartName="/xl/worksheets/sheet30343.xml"/>
  <Override ContentType="application/vnd.openxmlformats-officedocument.spreadsheetml.worksheet+xml" PartName="/xl/worksheets/sheet30344.xml"/>
  <Override ContentType="application/vnd.openxmlformats-officedocument.spreadsheetml.worksheet+xml" PartName="/xl/worksheets/sheet30345.xml"/>
  <Override ContentType="application/vnd.openxmlformats-officedocument.spreadsheetml.worksheet+xml" PartName="/xl/worksheets/sheet30346.xml"/>
  <Override ContentType="application/vnd.openxmlformats-officedocument.spreadsheetml.worksheet+xml" PartName="/xl/worksheets/sheet30347.xml"/>
  <Override ContentType="application/vnd.openxmlformats-officedocument.spreadsheetml.worksheet+xml" PartName="/xl/worksheets/sheet30348.xml"/>
  <Override ContentType="application/vnd.openxmlformats-officedocument.spreadsheetml.worksheet+xml" PartName="/xl/worksheets/sheet30349.xml"/>
  <Override ContentType="application/vnd.openxmlformats-officedocument.spreadsheetml.worksheet+xml" PartName="/xl/worksheets/sheet30350.xml"/>
  <Override ContentType="application/vnd.openxmlformats-officedocument.spreadsheetml.worksheet+xml" PartName="/xl/worksheets/sheet30351.xml"/>
  <Override ContentType="application/vnd.openxmlformats-officedocument.spreadsheetml.worksheet+xml" PartName="/xl/worksheets/sheet30352.xml"/>
  <Override ContentType="application/vnd.openxmlformats-officedocument.spreadsheetml.worksheet+xml" PartName="/xl/worksheets/sheet30353.xml"/>
  <Override ContentType="application/vnd.openxmlformats-officedocument.spreadsheetml.worksheet+xml" PartName="/xl/worksheets/sheet30354.xml"/>
  <Override ContentType="application/vnd.openxmlformats-officedocument.spreadsheetml.worksheet+xml" PartName="/xl/worksheets/sheet30355.xml"/>
  <Override ContentType="application/vnd.openxmlformats-officedocument.spreadsheetml.worksheet+xml" PartName="/xl/worksheets/sheet30356.xml"/>
  <Override ContentType="application/vnd.openxmlformats-officedocument.spreadsheetml.worksheet+xml" PartName="/xl/worksheets/sheet30357.xml"/>
  <Override ContentType="application/vnd.openxmlformats-officedocument.spreadsheetml.worksheet+xml" PartName="/xl/worksheets/sheet30358.xml"/>
  <Override ContentType="application/vnd.openxmlformats-officedocument.spreadsheetml.worksheet+xml" PartName="/xl/worksheets/sheet30359.xml"/>
  <Override ContentType="application/vnd.openxmlformats-officedocument.spreadsheetml.worksheet+xml" PartName="/xl/worksheets/sheet30360.xml"/>
  <Override ContentType="application/vnd.openxmlformats-officedocument.spreadsheetml.worksheet+xml" PartName="/xl/worksheets/sheet30361.xml"/>
  <Override ContentType="application/vnd.openxmlformats-officedocument.spreadsheetml.worksheet+xml" PartName="/xl/worksheets/sheet30362.xml"/>
  <Override ContentType="application/vnd.openxmlformats-officedocument.spreadsheetml.worksheet+xml" PartName="/xl/worksheets/sheet30363.xml"/>
  <Override ContentType="application/vnd.openxmlformats-officedocument.spreadsheetml.worksheet+xml" PartName="/xl/worksheets/sheet30364.xml"/>
  <Override ContentType="application/vnd.openxmlformats-officedocument.spreadsheetml.worksheet+xml" PartName="/xl/worksheets/sheet30365.xml"/>
  <Override ContentType="application/vnd.openxmlformats-officedocument.spreadsheetml.worksheet+xml" PartName="/xl/worksheets/sheet30366.xml"/>
  <Override ContentType="application/vnd.openxmlformats-officedocument.spreadsheetml.worksheet+xml" PartName="/xl/worksheets/sheet30367.xml"/>
  <Override ContentType="application/vnd.openxmlformats-officedocument.spreadsheetml.worksheet+xml" PartName="/xl/worksheets/sheet30368.xml"/>
  <Override ContentType="application/vnd.openxmlformats-officedocument.spreadsheetml.worksheet+xml" PartName="/xl/worksheets/sheet30369.xml"/>
  <Override ContentType="application/vnd.openxmlformats-officedocument.spreadsheetml.worksheet+xml" PartName="/xl/worksheets/sheet30370.xml"/>
  <Override ContentType="application/vnd.openxmlformats-officedocument.spreadsheetml.worksheet+xml" PartName="/xl/worksheets/sheet30371.xml"/>
  <Override ContentType="application/vnd.openxmlformats-officedocument.spreadsheetml.worksheet+xml" PartName="/xl/worksheets/sheet30372.xml"/>
  <Override ContentType="application/vnd.openxmlformats-officedocument.spreadsheetml.worksheet+xml" PartName="/xl/worksheets/sheet30373.xml"/>
  <Override ContentType="application/vnd.openxmlformats-officedocument.spreadsheetml.worksheet+xml" PartName="/xl/worksheets/sheet30374.xml"/>
  <Override ContentType="application/vnd.openxmlformats-officedocument.spreadsheetml.worksheet+xml" PartName="/xl/worksheets/sheet30375.xml"/>
  <Override ContentType="application/vnd.openxmlformats-officedocument.spreadsheetml.worksheet+xml" PartName="/xl/worksheets/sheet30376.xml"/>
  <Override ContentType="application/vnd.openxmlformats-officedocument.spreadsheetml.worksheet+xml" PartName="/xl/worksheets/sheet30377.xml"/>
  <Override ContentType="application/vnd.openxmlformats-officedocument.spreadsheetml.worksheet+xml" PartName="/xl/worksheets/sheet30378.xml"/>
  <Override ContentType="application/vnd.openxmlformats-officedocument.spreadsheetml.worksheet+xml" PartName="/xl/worksheets/sheet30379.xml"/>
  <Override ContentType="application/vnd.openxmlformats-officedocument.spreadsheetml.worksheet+xml" PartName="/xl/worksheets/sheet30380.xml"/>
  <Override ContentType="application/vnd.openxmlformats-officedocument.spreadsheetml.worksheet+xml" PartName="/xl/worksheets/sheet30381.xml"/>
  <Override ContentType="application/vnd.openxmlformats-officedocument.spreadsheetml.worksheet+xml" PartName="/xl/worksheets/sheet30382.xml"/>
  <Override ContentType="application/vnd.openxmlformats-officedocument.spreadsheetml.worksheet+xml" PartName="/xl/worksheets/sheet30383.xml"/>
  <Override ContentType="application/vnd.openxmlformats-officedocument.spreadsheetml.worksheet+xml" PartName="/xl/worksheets/sheet30384.xml"/>
  <Override ContentType="application/vnd.openxmlformats-officedocument.spreadsheetml.worksheet+xml" PartName="/xl/worksheets/sheet30385.xml"/>
  <Override ContentType="application/vnd.openxmlformats-officedocument.spreadsheetml.worksheet+xml" PartName="/xl/worksheets/sheet30386.xml"/>
  <Override ContentType="application/vnd.openxmlformats-officedocument.spreadsheetml.worksheet+xml" PartName="/xl/worksheets/sheet30387.xml"/>
  <Override ContentType="application/vnd.openxmlformats-officedocument.spreadsheetml.worksheet+xml" PartName="/xl/worksheets/sheet30388.xml"/>
  <Override ContentType="application/vnd.openxmlformats-officedocument.spreadsheetml.worksheet+xml" PartName="/xl/worksheets/sheet30389.xml"/>
  <Override ContentType="application/vnd.openxmlformats-officedocument.spreadsheetml.worksheet+xml" PartName="/xl/worksheets/sheet30390.xml"/>
  <Override ContentType="application/vnd.openxmlformats-officedocument.spreadsheetml.worksheet+xml" PartName="/xl/worksheets/sheet30391.xml"/>
  <Override ContentType="application/vnd.openxmlformats-officedocument.spreadsheetml.worksheet+xml" PartName="/xl/worksheets/sheet30392.xml"/>
  <Override ContentType="application/vnd.openxmlformats-officedocument.spreadsheetml.worksheet+xml" PartName="/xl/worksheets/sheet30393.xml"/>
  <Override ContentType="application/vnd.openxmlformats-officedocument.spreadsheetml.worksheet+xml" PartName="/xl/worksheets/sheet30394.xml"/>
  <Override ContentType="application/vnd.openxmlformats-officedocument.spreadsheetml.worksheet+xml" PartName="/xl/worksheets/sheet30395.xml"/>
  <Override ContentType="application/vnd.openxmlformats-officedocument.spreadsheetml.worksheet+xml" PartName="/xl/worksheets/sheet30396.xml"/>
  <Override ContentType="application/vnd.openxmlformats-officedocument.spreadsheetml.worksheet+xml" PartName="/xl/worksheets/sheet30397.xml"/>
  <Override ContentType="application/vnd.openxmlformats-officedocument.spreadsheetml.worksheet+xml" PartName="/xl/worksheets/sheet30398.xml"/>
  <Override ContentType="application/vnd.openxmlformats-officedocument.spreadsheetml.worksheet+xml" PartName="/xl/worksheets/sheet30399.xml"/>
  <Override ContentType="application/vnd.openxmlformats-officedocument.spreadsheetml.worksheet+xml" PartName="/xl/worksheets/sheet30400.xml"/>
  <Override ContentType="application/vnd.openxmlformats-officedocument.spreadsheetml.worksheet+xml" PartName="/xl/worksheets/sheet30401.xml"/>
  <Override ContentType="application/vnd.openxmlformats-officedocument.spreadsheetml.worksheet+xml" PartName="/xl/worksheets/sheet30402.xml"/>
  <Override ContentType="application/vnd.openxmlformats-officedocument.spreadsheetml.worksheet+xml" PartName="/xl/worksheets/sheet30403.xml"/>
  <Override ContentType="application/vnd.openxmlformats-officedocument.spreadsheetml.worksheet+xml" PartName="/xl/worksheets/sheet30404.xml"/>
  <Override ContentType="application/vnd.openxmlformats-officedocument.spreadsheetml.worksheet+xml" PartName="/xl/worksheets/sheet30405.xml"/>
  <Override ContentType="application/vnd.openxmlformats-officedocument.spreadsheetml.worksheet+xml" PartName="/xl/worksheets/sheet30406.xml"/>
  <Override ContentType="application/vnd.openxmlformats-officedocument.spreadsheetml.worksheet+xml" PartName="/xl/worksheets/sheet30407.xml"/>
  <Override ContentType="application/vnd.openxmlformats-officedocument.spreadsheetml.worksheet+xml" PartName="/xl/worksheets/sheet30408.xml"/>
  <Override ContentType="application/vnd.openxmlformats-officedocument.spreadsheetml.worksheet+xml" PartName="/xl/worksheets/sheet30409.xml"/>
  <Override ContentType="application/vnd.openxmlformats-officedocument.spreadsheetml.worksheet+xml" PartName="/xl/worksheets/sheet30410.xml"/>
  <Override ContentType="application/vnd.openxmlformats-officedocument.spreadsheetml.worksheet+xml" PartName="/xl/worksheets/sheet30411.xml"/>
  <Override ContentType="application/vnd.openxmlformats-officedocument.spreadsheetml.worksheet+xml" PartName="/xl/worksheets/sheet30412.xml"/>
  <Override ContentType="application/vnd.openxmlformats-officedocument.spreadsheetml.worksheet+xml" PartName="/xl/worksheets/sheet30413.xml"/>
  <Override ContentType="application/vnd.openxmlformats-officedocument.spreadsheetml.worksheet+xml" PartName="/xl/worksheets/sheet30414.xml"/>
  <Override ContentType="application/vnd.openxmlformats-officedocument.spreadsheetml.worksheet+xml" PartName="/xl/worksheets/sheet30415.xml"/>
  <Override ContentType="application/vnd.openxmlformats-officedocument.spreadsheetml.worksheet+xml" PartName="/xl/worksheets/sheet30416.xml"/>
  <Override ContentType="application/vnd.openxmlformats-officedocument.spreadsheetml.worksheet+xml" PartName="/xl/worksheets/sheet30417.xml"/>
  <Override ContentType="application/vnd.openxmlformats-officedocument.spreadsheetml.worksheet+xml" PartName="/xl/worksheets/sheet30418.xml"/>
  <Override ContentType="application/vnd.openxmlformats-officedocument.spreadsheetml.worksheet+xml" PartName="/xl/worksheets/sheet30419.xml"/>
  <Override ContentType="application/vnd.openxmlformats-officedocument.spreadsheetml.worksheet+xml" PartName="/xl/worksheets/sheet30420.xml"/>
  <Override ContentType="application/vnd.openxmlformats-officedocument.spreadsheetml.worksheet+xml" PartName="/xl/worksheets/sheet30421.xml"/>
  <Override ContentType="application/vnd.openxmlformats-officedocument.spreadsheetml.worksheet+xml" PartName="/xl/worksheets/sheet30422.xml"/>
  <Override ContentType="application/vnd.openxmlformats-officedocument.spreadsheetml.worksheet+xml" PartName="/xl/worksheets/sheet30423.xml"/>
  <Override ContentType="application/vnd.openxmlformats-officedocument.spreadsheetml.worksheet+xml" PartName="/xl/worksheets/sheet30424.xml"/>
  <Override ContentType="application/vnd.openxmlformats-officedocument.spreadsheetml.worksheet+xml" PartName="/xl/worksheets/sheet30425.xml"/>
  <Override ContentType="application/vnd.openxmlformats-officedocument.spreadsheetml.worksheet+xml" PartName="/xl/worksheets/sheet30426.xml"/>
  <Override ContentType="application/vnd.openxmlformats-officedocument.spreadsheetml.worksheet+xml" PartName="/xl/worksheets/sheet30427.xml"/>
  <Override ContentType="application/vnd.openxmlformats-officedocument.spreadsheetml.worksheet+xml" PartName="/xl/worksheets/sheet30428.xml"/>
  <Override ContentType="application/vnd.openxmlformats-officedocument.spreadsheetml.worksheet+xml" PartName="/xl/worksheets/sheet30429.xml"/>
  <Override ContentType="application/vnd.openxmlformats-officedocument.spreadsheetml.worksheet+xml" PartName="/xl/worksheets/sheet30430.xml"/>
  <Override ContentType="application/vnd.openxmlformats-officedocument.spreadsheetml.worksheet+xml" PartName="/xl/worksheets/sheet30431.xml"/>
  <Override ContentType="application/vnd.openxmlformats-officedocument.spreadsheetml.worksheet+xml" PartName="/xl/worksheets/sheet30432.xml"/>
  <Override ContentType="application/vnd.openxmlformats-officedocument.spreadsheetml.worksheet+xml" PartName="/xl/worksheets/sheet30433.xml"/>
  <Override ContentType="application/vnd.openxmlformats-officedocument.spreadsheetml.worksheet+xml" PartName="/xl/worksheets/sheet30434.xml"/>
  <Override ContentType="application/vnd.openxmlformats-officedocument.spreadsheetml.worksheet+xml" PartName="/xl/worksheets/sheet30435.xml"/>
  <Override ContentType="application/vnd.openxmlformats-officedocument.spreadsheetml.worksheet+xml" PartName="/xl/worksheets/sheet30436.xml"/>
  <Override ContentType="application/vnd.openxmlformats-officedocument.spreadsheetml.worksheet+xml" PartName="/xl/worksheets/sheet30437.xml"/>
  <Override ContentType="application/vnd.openxmlformats-officedocument.spreadsheetml.worksheet+xml" PartName="/xl/worksheets/sheet30438.xml"/>
  <Override ContentType="application/vnd.openxmlformats-officedocument.spreadsheetml.worksheet+xml" PartName="/xl/worksheets/sheet30439.xml"/>
  <Override ContentType="application/vnd.openxmlformats-officedocument.spreadsheetml.worksheet+xml" PartName="/xl/worksheets/sheet30440.xml"/>
  <Override ContentType="application/vnd.openxmlformats-officedocument.spreadsheetml.worksheet+xml" PartName="/xl/worksheets/sheet30441.xml"/>
  <Override ContentType="application/vnd.openxmlformats-officedocument.spreadsheetml.worksheet+xml" PartName="/xl/worksheets/sheet30442.xml"/>
  <Override ContentType="application/vnd.openxmlformats-officedocument.spreadsheetml.worksheet+xml" PartName="/xl/worksheets/sheet30443.xml"/>
  <Override ContentType="application/vnd.openxmlformats-officedocument.spreadsheetml.worksheet+xml" PartName="/xl/worksheets/sheet30444.xml"/>
  <Override ContentType="application/vnd.openxmlformats-officedocument.spreadsheetml.worksheet+xml" PartName="/xl/worksheets/sheet30445.xml"/>
  <Override ContentType="application/vnd.openxmlformats-officedocument.spreadsheetml.worksheet+xml" PartName="/xl/worksheets/sheet30446.xml"/>
  <Override ContentType="application/vnd.openxmlformats-officedocument.spreadsheetml.worksheet+xml" PartName="/xl/worksheets/sheet30447.xml"/>
  <Override ContentType="application/vnd.openxmlformats-officedocument.spreadsheetml.worksheet+xml" PartName="/xl/worksheets/sheet30448.xml"/>
  <Override ContentType="application/vnd.openxmlformats-officedocument.spreadsheetml.worksheet+xml" PartName="/xl/worksheets/sheet30449.xml"/>
  <Override ContentType="application/vnd.openxmlformats-officedocument.spreadsheetml.worksheet+xml" PartName="/xl/worksheets/sheet30450.xml"/>
  <Override ContentType="application/vnd.openxmlformats-officedocument.spreadsheetml.worksheet+xml" PartName="/xl/worksheets/sheet30451.xml"/>
  <Override ContentType="application/vnd.openxmlformats-officedocument.spreadsheetml.worksheet+xml" PartName="/xl/worksheets/sheet30452.xml"/>
  <Override ContentType="application/vnd.openxmlformats-officedocument.spreadsheetml.worksheet+xml" PartName="/xl/worksheets/sheet30453.xml"/>
  <Override ContentType="application/vnd.openxmlformats-officedocument.spreadsheetml.worksheet+xml" PartName="/xl/worksheets/sheet30454.xml"/>
  <Override ContentType="application/vnd.openxmlformats-officedocument.spreadsheetml.worksheet+xml" PartName="/xl/worksheets/sheet30455.xml"/>
  <Override ContentType="application/vnd.openxmlformats-officedocument.spreadsheetml.worksheet+xml" PartName="/xl/worksheets/sheet30456.xml"/>
  <Override ContentType="application/vnd.openxmlformats-officedocument.spreadsheetml.worksheet+xml" PartName="/xl/worksheets/sheet30457.xml"/>
  <Override ContentType="application/vnd.openxmlformats-officedocument.spreadsheetml.worksheet+xml" PartName="/xl/worksheets/sheet30458.xml"/>
  <Override ContentType="application/vnd.openxmlformats-officedocument.spreadsheetml.worksheet+xml" PartName="/xl/worksheets/sheet30459.xml"/>
  <Override ContentType="application/vnd.openxmlformats-officedocument.spreadsheetml.worksheet+xml" PartName="/xl/worksheets/sheet30460.xml"/>
  <Override ContentType="application/vnd.openxmlformats-officedocument.spreadsheetml.worksheet+xml" PartName="/xl/worksheets/sheet30461.xml"/>
  <Override ContentType="application/vnd.openxmlformats-officedocument.spreadsheetml.worksheet+xml" PartName="/xl/worksheets/sheet30462.xml"/>
  <Override ContentType="application/vnd.openxmlformats-officedocument.spreadsheetml.worksheet+xml" PartName="/xl/worksheets/sheet30463.xml"/>
  <Override ContentType="application/vnd.openxmlformats-officedocument.spreadsheetml.worksheet+xml" PartName="/xl/worksheets/sheet30464.xml"/>
  <Override ContentType="application/vnd.openxmlformats-officedocument.spreadsheetml.worksheet+xml" PartName="/xl/worksheets/sheet30465.xml"/>
  <Override ContentType="application/vnd.openxmlformats-officedocument.spreadsheetml.worksheet+xml" PartName="/xl/worksheets/sheet30466.xml"/>
  <Override ContentType="application/vnd.openxmlformats-officedocument.spreadsheetml.worksheet+xml" PartName="/xl/worksheets/sheet30467.xml"/>
  <Override ContentType="application/vnd.openxmlformats-officedocument.spreadsheetml.worksheet+xml" PartName="/xl/worksheets/sheet30468.xml"/>
  <Override ContentType="application/vnd.openxmlformats-officedocument.spreadsheetml.worksheet+xml" PartName="/xl/worksheets/sheet30469.xml"/>
  <Override ContentType="application/vnd.openxmlformats-officedocument.spreadsheetml.worksheet+xml" PartName="/xl/worksheets/sheet30470.xml"/>
  <Override ContentType="application/vnd.openxmlformats-officedocument.spreadsheetml.worksheet+xml" PartName="/xl/worksheets/sheet30471.xml"/>
  <Override ContentType="application/vnd.openxmlformats-officedocument.spreadsheetml.worksheet+xml" PartName="/xl/worksheets/sheet30472.xml"/>
  <Override ContentType="application/vnd.openxmlformats-officedocument.spreadsheetml.worksheet+xml" PartName="/xl/worksheets/sheet30473.xml"/>
  <Override ContentType="application/vnd.openxmlformats-officedocument.spreadsheetml.worksheet+xml" PartName="/xl/worksheets/sheet30474.xml"/>
  <Override ContentType="application/vnd.openxmlformats-officedocument.spreadsheetml.worksheet+xml" PartName="/xl/worksheets/sheet30475.xml"/>
  <Override ContentType="application/vnd.openxmlformats-officedocument.spreadsheetml.worksheet+xml" PartName="/xl/worksheets/sheet30476.xml"/>
  <Override ContentType="application/vnd.openxmlformats-officedocument.spreadsheetml.worksheet+xml" PartName="/xl/worksheets/sheet30477.xml"/>
  <Override ContentType="application/vnd.openxmlformats-officedocument.spreadsheetml.worksheet+xml" PartName="/xl/worksheets/sheet30478.xml"/>
  <Override ContentType="application/vnd.openxmlformats-officedocument.spreadsheetml.worksheet+xml" PartName="/xl/worksheets/sheet30479.xml"/>
  <Override ContentType="application/vnd.openxmlformats-officedocument.spreadsheetml.worksheet+xml" PartName="/xl/worksheets/sheet30480.xml"/>
  <Override ContentType="application/vnd.openxmlformats-officedocument.spreadsheetml.worksheet+xml" PartName="/xl/worksheets/sheet30481.xml"/>
  <Override ContentType="application/vnd.openxmlformats-officedocument.spreadsheetml.worksheet+xml" PartName="/xl/worksheets/sheet30482.xml"/>
  <Override ContentType="application/vnd.openxmlformats-officedocument.spreadsheetml.worksheet+xml" PartName="/xl/worksheets/sheet30483.xml"/>
  <Override ContentType="application/vnd.openxmlformats-officedocument.spreadsheetml.worksheet+xml" PartName="/xl/worksheets/sheet30484.xml"/>
  <Override ContentType="application/vnd.openxmlformats-officedocument.spreadsheetml.worksheet+xml" PartName="/xl/worksheets/sheet30485.xml"/>
  <Override ContentType="application/vnd.openxmlformats-officedocument.spreadsheetml.worksheet+xml" PartName="/xl/worksheets/sheet30486.xml"/>
  <Override ContentType="application/vnd.openxmlformats-officedocument.spreadsheetml.worksheet+xml" PartName="/xl/worksheets/sheet30487.xml"/>
  <Override ContentType="application/vnd.openxmlformats-officedocument.spreadsheetml.worksheet+xml" PartName="/xl/worksheets/sheet30488.xml"/>
  <Override ContentType="application/vnd.openxmlformats-officedocument.spreadsheetml.worksheet+xml" PartName="/xl/worksheets/sheet30489.xml"/>
  <Override ContentType="application/vnd.openxmlformats-officedocument.spreadsheetml.worksheet+xml" PartName="/xl/worksheets/sheet30490.xml"/>
  <Override ContentType="application/vnd.openxmlformats-officedocument.spreadsheetml.worksheet+xml" PartName="/xl/worksheets/sheet30491.xml"/>
  <Override ContentType="application/vnd.openxmlformats-officedocument.spreadsheetml.worksheet+xml" PartName="/xl/worksheets/sheet30492.xml"/>
  <Override ContentType="application/vnd.openxmlformats-officedocument.spreadsheetml.worksheet+xml" PartName="/xl/worksheets/sheet30493.xml"/>
  <Override ContentType="application/vnd.openxmlformats-officedocument.spreadsheetml.worksheet+xml" PartName="/xl/worksheets/sheet30494.xml"/>
  <Override ContentType="application/vnd.openxmlformats-officedocument.spreadsheetml.worksheet+xml" PartName="/xl/worksheets/sheet30495.xml"/>
  <Override ContentType="application/vnd.openxmlformats-officedocument.spreadsheetml.worksheet+xml" PartName="/xl/worksheets/sheet30496.xml"/>
  <Override ContentType="application/vnd.openxmlformats-officedocument.spreadsheetml.worksheet+xml" PartName="/xl/worksheets/sheet30497.xml"/>
  <Override ContentType="application/vnd.openxmlformats-officedocument.spreadsheetml.worksheet+xml" PartName="/xl/worksheets/sheet30498.xml"/>
  <Override ContentType="application/vnd.openxmlformats-officedocument.spreadsheetml.worksheet+xml" PartName="/xl/worksheets/sheet30499.xml"/>
  <Override ContentType="application/vnd.openxmlformats-officedocument.spreadsheetml.worksheet+xml" PartName="/xl/worksheets/sheet30500.xml"/>
  <Override ContentType="application/vnd.openxmlformats-officedocument.spreadsheetml.worksheet+xml" PartName="/xl/worksheets/sheet30501.xml"/>
  <Override ContentType="application/vnd.openxmlformats-officedocument.spreadsheetml.worksheet+xml" PartName="/xl/worksheets/sheet30502.xml"/>
  <Override ContentType="application/vnd.openxmlformats-officedocument.spreadsheetml.worksheet+xml" PartName="/xl/worksheets/sheet30503.xml"/>
  <Override ContentType="application/vnd.openxmlformats-officedocument.spreadsheetml.worksheet+xml" PartName="/xl/worksheets/sheet30504.xml"/>
  <Override ContentType="application/vnd.openxmlformats-officedocument.spreadsheetml.worksheet+xml" PartName="/xl/worksheets/sheet30505.xml"/>
  <Override ContentType="application/vnd.openxmlformats-officedocument.spreadsheetml.worksheet+xml" PartName="/xl/worksheets/sheet30506.xml"/>
  <Override ContentType="application/vnd.openxmlformats-officedocument.spreadsheetml.worksheet+xml" PartName="/xl/worksheets/sheet30507.xml"/>
  <Override ContentType="application/vnd.openxmlformats-officedocument.spreadsheetml.worksheet+xml" PartName="/xl/worksheets/sheet30508.xml"/>
  <Override ContentType="application/vnd.openxmlformats-officedocument.spreadsheetml.worksheet+xml" PartName="/xl/worksheets/sheet30509.xml"/>
  <Override ContentType="application/vnd.openxmlformats-officedocument.spreadsheetml.worksheet+xml" PartName="/xl/worksheets/sheet30510.xml"/>
  <Override ContentType="application/vnd.openxmlformats-officedocument.spreadsheetml.worksheet+xml" PartName="/xl/worksheets/sheet30511.xml"/>
  <Override ContentType="application/vnd.openxmlformats-officedocument.spreadsheetml.worksheet+xml" PartName="/xl/worksheets/sheet30512.xml"/>
  <Override ContentType="application/vnd.openxmlformats-officedocument.spreadsheetml.worksheet+xml" PartName="/xl/worksheets/sheet30513.xml"/>
  <Override ContentType="application/vnd.openxmlformats-officedocument.spreadsheetml.worksheet+xml" PartName="/xl/worksheets/sheet30514.xml"/>
  <Override ContentType="application/vnd.openxmlformats-officedocument.spreadsheetml.worksheet+xml" PartName="/xl/worksheets/sheet30515.xml"/>
  <Override ContentType="application/vnd.openxmlformats-officedocument.spreadsheetml.worksheet+xml" PartName="/xl/worksheets/sheet30516.xml"/>
  <Override ContentType="application/vnd.openxmlformats-officedocument.spreadsheetml.worksheet+xml" PartName="/xl/worksheets/sheet30517.xml"/>
  <Override ContentType="application/vnd.openxmlformats-officedocument.spreadsheetml.worksheet+xml" PartName="/xl/worksheets/sheet30518.xml"/>
  <Override ContentType="application/vnd.openxmlformats-officedocument.spreadsheetml.worksheet+xml" PartName="/xl/worksheets/sheet30519.xml"/>
  <Override ContentType="application/vnd.openxmlformats-officedocument.spreadsheetml.worksheet+xml" PartName="/xl/worksheets/sheet30520.xml"/>
  <Override ContentType="application/vnd.openxmlformats-officedocument.spreadsheetml.worksheet+xml" PartName="/xl/worksheets/sheet30521.xml"/>
  <Override ContentType="application/vnd.openxmlformats-officedocument.spreadsheetml.worksheet+xml" PartName="/xl/worksheets/sheet30522.xml"/>
  <Override ContentType="application/vnd.openxmlformats-officedocument.spreadsheetml.worksheet+xml" PartName="/xl/worksheets/sheet30523.xml"/>
  <Override ContentType="application/vnd.openxmlformats-officedocument.spreadsheetml.worksheet+xml" PartName="/xl/worksheets/sheet30524.xml"/>
  <Override ContentType="application/vnd.openxmlformats-officedocument.spreadsheetml.worksheet+xml" PartName="/xl/worksheets/sheet30525.xml"/>
  <Override ContentType="application/vnd.openxmlformats-officedocument.spreadsheetml.worksheet+xml" PartName="/xl/worksheets/sheet30526.xml"/>
  <Override ContentType="application/vnd.openxmlformats-officedocument.spreadsheetml.worksheet+xml" PartName="/xl/worksheets/sheet30527.xml"/>
  <Override ContentType="application/vnd.openxmlformats-officedocument.spreadsheetml.worksheet+xml" PartName="/xl/worksheets/sheet30528.xml"/>
  <Override ContentType="application/vnd.openxmlformats-officedocument.spreadsheetml.worksheet+xml" PartName="/xl/worksheets/sheet30529.xml"/>
  <Override ContentType="application/vnd.openxmlformats-officedocument.spreadsheetml.worksheet+xml" PartName="/xl/worksheets/sheet30530.xml"/>
  <Override ContentType="application/vnd.openxmlformats-officedocument.spreadsheetml.worksheet+xml" PartName="/xl/worksheets/sheet30531.xml"/>
  <Override ContentType="application/vnd.openxmlformats-officedocument.spreadsheetml.worksheet+xml" PartName="/xl/worksheets/sheet30532.xml"/>
  <Override ContentType="application/vnd.openxmlformats-officedocument.spreadsheetml.worksheet+xml" PartName="/xl/worksheets/sheet30533.xml"/>
  <Override ContentType="application/vnd.openxmlformats-officedocument.spreadsheetml.worksheet+xml" PartName="/xl/worksheets/sheet30534.xml"/>
  <Override ContentType="application/vnd.openxmlformats-officedocument.spreadsheetml.worksheet+xml" PartName="/xl/worksheets/sheet30535.xml"/>
  <Override ContentType="application/vnd.openxmlformats-officedocument.spreadsheetml.worksheet+xml" PartName="/xl/worksheets/sheet30536.xml"/>
  <Override ContentType="application/vnd.openxmlformats-officedocument.spreadsheetml.worksheet+xml" PartName="/xl/worksheets/sheet30537.xml"/>
  <Override ContentType="application/vnd.openxmlformats-officedocument.spreadsheetml.worksheet+xml" PartName="/xl/worksheets/sheet30538.xml"/>
  <Override ContentType="application/vnd.openxmlformats-officedocument.spreadsheetml.worksheet+xml" PartName="/xl/worksheets/sheet30539.xml"/>
  <Override ContentType="application/vnd.openxmlformats-officedocument.spreadsheetml.worksheet+xml" PartName="/xl/worksheets/sheet30540.xml"/>
  <Override ContentType="application/vnd.openxmlformats-officedocument.spreadsheetml.worksheet+xml" PartName="/xl/worksheets/sheet30541.xml"/>
  <Override ContentType="application/vnd.openxmlformats-officedocument.spreadsheetml.worksheet+xml" PartName="/xl/worksheets/sheet30542.xml"/>
  <Override ContentType="application/vnd.openxmlformats-officedocument.spreadsheetml.worksheet+xml" PartName="/xl/worksheets/sheet30543.xml"/>
  <Override ContentType="application/vnd.openxmlformats-officedocument.spreadsheetml.worksheet+xml" PartName="/xl/worksheets/sheet30544.xml"/>
  <Override ContentType="application/vnd.openxmlformats-officedocument.spreadsheetml.worksheet+xml" PartName="/xl/worksheets/sheet30545.xml"/>
  <Override ContentType="application/vnd.openxmlformats-officedocument.spreadsheetml.worksheet+xml" PartName="/xl/worksheets/sheet30546.xml"/>
  <Override ContentType="application/vnd.openxmlformats-officedocument.spreadsheetml.worksheet+xml" PartName="/xl/worksheets/sheet30547.xml"/>
  <Override ContentType="application/vnd.openxmlformats-officedocument.spreadsheetml.worksheet+xml" PartName="/xl/worksheets/sheet30548.xml"/>
  <Override ContentType="application/vnd.openxmlformats-officedocument.spreadsheetml.worksheet+xml" PartName="/xl/worksheets/sheet30549.xml"/>
  <Override ContentType="application/vnd.openxmlformats-officedocument.spreadsheetml.worksheet+xml" PartName="/xl/worksheets/sheet30550.xml"/>
  <Override ContentType="application/vnd.openxmlformats-officedocument.spreadsheetml.worksheet+xml" PartName="/xl/worksheets/sheet30551.xml"/>
  <Override ContentType="application/vnd.openxmlformats-officedocument.spreadsheetml.worksheet+xml" PartName="/xl/worksheets/sheet30552.xml"/>
  <Override ContentType="application/vnd.openxmlformats-officedocument.spreadsheetml.worksheet+xml" PartName="/xl/worksheets/sheet30553.xml"/>
  <Override ContentType="application/vnd.openxmlformats-officedocument.spreadsheetml.worksheet+xml" PartName="/xl/worksheets/sheet30554.xml"/>
  <Override ContentType="application/vnd.openxmlformats-officedocument.spreadsheetml.worksheet+xml" PartName="/xl/worksheets/sheet30555.xml"/>
  <Override ContentType="application/vnd.openxmlformats-officedocument.spreadsheetml.worksheet+xml" PartName="/xl/worksheets/sheet30556.xml"/>
  <Override ContentType="application/vnd.openxmlformats-officedocument.spreadsheetml.worksheet+xml" PartName="/xl/worksheets/sheet30557.xml"/>
  <Override ContentType="application/vnd.openxmlformats-officedocument.spreadsheetml.worksheet+xml" PartName="/xl/worksheets/sheet30558.xml"/>
  <Override ContentType="application/vnd.openxmlformats-officedocument.spreadsheetml.worksheet+xml" PartName="/xl/worksheets/sheet30559.xml"/>
  <Override ContentType="application/vnd.openxmlformats-officedocument.spreadsheetml.worksheet+xml" PartName="/xl/worksheets/sheet30560.xml"/>
  <Override ContentType="application/vnd.openxmlformats-officedocument.spreadsheetml.worksheet+xml" PartName="/xl/worksheets/sheet30561.xml"/>
  <Override ContentType="application/vnd.openxmlformats-officedocument.spreadsheetml.worksheet+xml" PartName="/xl/worksheets/sheet30562.xml"/>
  <Override ContentType="application/vnd.openxmlformats-officedocument.spreadsheetml.worksheet+xml" PartName="/xl/worksheets/sheet30563.xml"/>
  <Override ContentType="application/vnd.openxmlformats-officedocument.spreadsheetml.worksheet+xml" PartName="/xl/worksheets/sheet30564.xml"/>
  <Override ContentType="application/vnd.openxmlformats-officedocument.spreadsheetml.worksheet+xml" PartName="/xl/worksheets/sheet30565.xml"/>
  <Override ContentType="application/vnd.openxmlformats-officedocument.spreadsheetml.worksheet+xml" PartName="/xl/worksheets/sheet30566.xml"/>
  <Override ContentType="application/vnd.openxmlformats-officedocument.spreadsheetml.worksheet+xml" PartName="/xl/worksheets/sheet30567.xml"/>
  <Override ContentType="application/vnd.openxmlformats-officedocument.spreadsheetml.worksheet+xml" PartName="/xl/worksheets/sheet30568.xml"/>
  <Override ContentType="application/vnd.openxmlformats-officedocument.spreadsheetml.worksheet+xml" PartName="/xl/worksheets/sheet30569.xml"/>
  <Override ContentType="application/vnd.openxmlformats-officedocument.spreadsheetml.worksheet+xml" PartName="/xl/worksheets/sheet30570.xml"/>
  <Override ContentType="application/vnd.openxmlformats-officedocument.spreadsheetml.worksheet+xml" PartName="/xl/worksheets/sheet30571.xml"/>
  <Override ContentType="application/vnd.openxmlformats-officedocument.spreadsheetml.worksheet+xml" PartName="/xl/worksheets/sheet30572.xml"/>
  <Override ContentType="application/vnd.openxmlformats-officedocument.spreadsheetml.worksheet+xml" PartName="/xl/worksheets/sheet30573.xml"/>
  <Override ContentType="application/vnd.openxmlformats-officedocument.spreadsheetml.worksheet+xml" PartName="/xl/worksheets/sheet30574.xml"/>
  <Override ContentType="application/vnd.openxmlformats-officedocument.spreadsheetml.worksheet+xml" PartName="/xl/worksheets/sheet30575.xml"/>
  <Override ContentType="application/vnd.openxmlformats-officedocument.spreadsheetml.worksheet+xml" PartName="/xl/worksheets/sheet30576.xml"/>
  <Override ContentType="application/vnd.openxmlformats-officedocument.spreadsheetml.worksheet+xml" PartName="/xl/worksheets/sheet30577.xml"/>
  <Override ContentType="application/vnd.openxmlformats-officedocument.spreadsheetml.worksheet+xml" PartName="/xl/worksheets/sheet30578.xml"/>
  <Override ContentType="application/vnd.openxmlformats-officedocument.spreadsheetml.worksheet+xml" PartName="/xl/worksheets/sheet30579.xml"/>
  <Override ContentType="application/vnd.openxmlformats-officedocument.spreadsheetml.worksheet+xml" PartName="/xl/worksheets/sheet30580.xml"/>
  <Override ContentType="application/vnd.openxmlformats-officedocument.spreadsheetml.worksheet+xml" PartName="/xl/worksheets/sheet30581.xml"/>
  <Override ContentType="application/vnd.openxmlformats-officedocument.spreadsheetml.worksheet+xml" PartName="/xl/worksheets/sheet30582.xml"/>
  <Override ContentType="application/vnd.openxmlformats-officedocument.spreadsheetml.worksheet+xml" PartName="/xl/worksheets/sheet30583.xml"/>
  <Override ContentType="application/vnd.openxmlformats-officedocument.spreadsheetml.worksheet+xml" PartName="/xl/worksheets/sheet30584.xml"/>
  <Override ContentType="application/vnd.openxmlformats-officedocument.spreadsheetml.worksheet+xml" PartName="/xl/worksheets/sheet30585.xml"/>
  <Override ContentType="application/vnd.openxmlformats-officedocument.spreadsheetml.worksheet+xml" PartName="/xl/worksheets/sheet30586.xml"/>
  <Override ContentType="application/vnd.openxmlformats-officedocument.spreadsheetml.worksheet+xml" PartName="/xl/worksheets/sheet30587.xml"/>
  <Override ContentType="application/vnd.openxmlformats-officedocument.spreadsheetml.worksheet+xml" PartName="/xl/worksheets/sheet30588.xml"/>
  <Override ContentType="application/vnd.openxmlformats-officedocument.spreadsheetml.worksheet+xml" PartName="/xl/worksheets/sheet30589.xml"/>
  <Override ContentType="application/vnd.openxmlformats-officedocument.spreadsheetml.worksheet+xml" PartName="/xl/worksheets/sheet30590.xml"/>
  <Override ContentType="application/vnd.openxmlformats-officedocument.spreadsheetml.worksheet+xml" PartName="/xl/worksheets/sheet30591.xml"/>
  <Override ContentType="application/vnd.openxmlformats-officedocument.spreadsheetml.worksheet+xml" PartName="/xl/worksheets/sheet30592.xml"/>
  <Override ContentType="application/vnd.openxmlformats-officedocument.spreadsheetml.worksheet+xml" PartName="/xl/worksheets/sheet30593.xml"/>
  <Override ContentType="application/vnd.openxmlformats-officedocument.spreadsheetml.worksheet+xml" PartName="/xl/worksheets/sheet30594.xml"/>
  <Override ContentType="application/vnd.openxmlformats-officedocument.spreadsheetml.worksheet+xml" PartName="/xl/worksheets/sheet30595.xml"/>
  <Override ContentType="application/vnd.openxmlformats-officedocument.spreadsheetml.worksheet+xml" PartName="/xl/worksheets/sheet30596.xml"/>
  <Override ContentType="application/vnd.openxmlformats-officedocument.spreadsheetml.worksheet+xml" PartName="/xl/worksheets/sheet30597.xml"/>
  <Override ContentType="application/vnd.openxmlformats-officedocument.spreadsheetml.worksheet+xml" PartName="/xl/worksheets/sheet30598.xml"/>
  <Override ContentType="application/vnd.openxmlformats-officedocument.spreadsheetml.worksheet+xml" PartName="/xl/worksheets/sheet30599.xml"/>
  <Override ContentType="application/vnd.openxmlformats-officedocument.spreadsheetml.worksheet+xml" PartName="/xl/worksheets/sheet30600.xml"/>
  <Override ContentType="application/vnd.openxmlformats-officedocument.spreadsheetml.worksheet+xml" PartName="/xl/worksheets/sheet30601.xml"/>
  <Override ContentType="application/vnd.openxmlformats-officedocument.spreadsheetml.worksheet+xml" PartName="/xl/worksheets/sheet30602.xml"/>
  <Override ContentType="application/vnd.openxmlformats-officedocument.spreadsheetml.worksheet+xml" PartName="/xl/worksheets/sheet30603.xml"/>
  <Override ContentType="application/vnd.openxmlformats-officedocument.spreadsheetml.worksheet+xml" PartName="/xl/worksheets/sheet30604.xml"/>
  <Override ContentType="application/vnd.openxmlformats-officedocument.spreadsheetml.worksheet+xml" PartName="/xl/worksheets/sheet30605.xml"/>
  <Override ContentType="application/vnd.openxmlformats-officedocument.spreadsheetml.worksheet+xml" PartName="/xl/worksheets/sheet30606.xml"/>
  <Override ContentType="application/vnd.openxmlformats-officedocument.spreadsheetml.worksheet+xml" PartName="/xl/worksheets/sheet30607.xml"/>
  <Override ContentType="application/vnd.openxmlformats-officedocument.spreadsheetml.worksheet+xml" PartName="/xl/worksheets/sheet30608.xml"/>
  <Override ContentType="application/vnd.openxmlformats-officedocument.spreadsheetml.worksheet+xml" PartName="/xl/worksheets/sheet30609.xml"/>
  <Override ContentType="application/vnd.openxmlformats-officedocument.spreadsheetml.worksheet+xml" PartName="/xl/worksheets/sheet30610.xml"/>
  <Override ContentType="application/vnd.openxmlformats-officedocument.spreadsheetml.worksheet+xml" PartName="/xl/worksheets/sheet30611.xml"/>
  <Override ContentType="application/vnd.openxmlformats-officedocument.spreadsheetml.worksheet+xml" PartName="/xl/worksheets/sheet30612.xml"/>
  <Override ContentType="application/vnd.openxmlformats-officedocument.spreadsheetml.worksheet+xml" PartName="/xl/worksheets/sheet30613.xml"/>
  <Override ContentType="application/vnd.openxmlformats-officedocument.spreadsheetml.worksheet+xml" PartName="/xl/worksheets/sheet30614.xml"/>
  <Override ContentType="application/vnd.openxmlformats-officedocument.spreadsheetml.worksheet+xml" PartName="/xl/worksheets/sheet30615.xml"/>
  <Override ContentType="application/vnd.openxmlformats-officedocument.spreadsheetml.worksheet+xml" PartName="/xl/worksheets/sheet30616.xml"/>
  <Override ContentType="application/vnd.openxmlformats-officedocument.spreadsheetml.worksheet+xml" PartName="/xl/worksheets/sheet30617.xml"/>
  <Override ContentType="application/vnd.openxmlformats-officedocument.spreadsheetml.worksheet+xml" PartName="/xl/worksheets/sheet30618.xml"/>
  <Override ContentType="application/vnd.openxmlformats-officedocument.spreadsheetml.worksheet+xml" PartName="/xl/worksheets/sheet30619.xml"/>
  <Override ContentType="application/vnd.openxmlformats-officedocument.spreadsheetml.worksheet+xml" PartName="/xl/worksheets/sheet30620.xml"/>
  <Override ContentType="application/vnd.openxmlformats-officedocument.spreadsheetml.worksheet+xml" PartName="/xl/worksheets/sheet30621.xml"/>
  <Override ContentType="application/vnd.openxmlformats-officedocument.spreadsheetml.worksheet+xml" PartName="/xl/worksheets/sheet30622.xml"/>
  <Override ContentType="application/vnd.openxmlformats-officedocument.spreadsheetml.worksheet+xml" PartName="/xl/worksheets/sheet30623.xml"/>
  <Override ContentType="application/vnd.openxmlformats-officedocument.spreadsheetml.worksheet+xml" PartName="/xl/worksheets/sheet30624.xml"/>
  <Override ContentType="application/vnd.openxmlformats-officedocument.spreadsheetml.worksheet+xml" PartName="/xl/worksheets/sheet30625.xml"/>
  <Override ContentType="application/vnd.openxmlformats-officedocument.spreadsheetml.worksheet+xml" PartName="/xl/worksheets/sheet30626.xml"/>
  <Override ContentType="application/vnd.openxmlformats-officedocument.spreadsheetml.worksheet+xml" PartName="/xl/worksheets/sheet30627.xml"/>
  <Override ContentType="application/vnd.openxmlformats-officedocument.spreadsheetml.worksheet+xml" PartName="/xl/worksheets/sheet30628.xml"/>
  <Override ContentType="application/vnd.openxmlformats-officedocument.spreadsheetml.worksheet+xml" PartName="/xl/worksheets/sheet30629.xml"/>
  <Override ContentType="application/vnd.openxmlformats-officedocument.spreadsheetml.worksheet+xml" PartName="/xl/worksheets/sheet30630.xml"/>
  <Override ContentType="application/vnd.openxmlformats-officedocument.spreadsheetml.worksheet+xml" PartName="/xl/worksheets/sheet30631.xml"/>
  <Override ContentType="application/vnd.openxmlformats-officedocument.spreadsheetml.worksheet+xml" PartName="/xl/worksheets/sheet30632.xml"/>
  <Override ContentType="application/vnd.openxmlformats-officedocument.spreadsheetml.worksheet+xml" PartName="/xl/worksheets/sheet30633.xml"/>
  <Override ContentType="application/vnd.openxmlformats-officedocument.spreadsheetml.worksheet+xml" PartName="/xl/worksheets/sheet30634.xml"/>
  <Override ContentType="application/vnd.openxmlformats-officedocument.spreadsheetml.worksheet+xml" PartName="/xl/worksheets/sheet30635.xml"/>
  <Override ContentType="application/vnd.openxmlformats-officedocument.spreadsheetml.worksheet+xml" PartName="/xl/worksheets/sheet30636.xml"/>
  <Override ContentType="application/vnd.openxmlformats-officedocument.spreadsheetml.worksheet+xml" PartName="/xl/worksheets/sheet30637.xml"/>
  <Override ContentType="application/vnd.openxmlformats-officedocument.spreadsheetml.worksheet+xml" PartName="/xl/worksheets/sheet30638.xml"/>
  <Override ContentType="application/vnd.openxmlformats-officedocument.spreadsheetml.worksheet+xml" PartName="/xl/worksheets/sheet30639.xml"/>
  <Override ContentType="application/vnd.openxmlformats-officedocument.spreadsheetml.worksheet+xml" PartName="/xl/worksheets/sheet30640.xml"/>
  <Override ContentType="application/vnd.openxmlformats-officedocument.spreadsheetml.worksheet+xml" PartName="/xl/worksheets/sheet30641.xml"/>
  <Override ContentType="application/vnd.openxmlformats-officedocument.spreadsheetml.worksheet+xml" PartName="/xl/worksheets/sheet30642.xml"/>
  <Override ContentType="application/vnd.openxmlformats-officedocument.spreadsheetml.worksheet+xml" PartName="/xl/worksheets/sheet30643.xml"/>
  <Override ContentType="application/vnd.openxmlformats-officedocument.spreadsheetml.worksheet+xml" PartName="/xl/worksheets/sheet30644.xml"/>
  <Override ContentType="application/vnd.openxmlformats-officedocument.spreadsheetml.worksheet+xml" PartName="/xl/worksheets/sheet30645.xml"/>
  <Override ContentType="application/vnd.openxmlformats-officedocument.spreadsheetml.worksheet+xml" PartName="/xl/worksheets/sheet30646.xml"/>
  <Override ContentType="application/vnd.openxmlformats-officedocument.spreadsheetml.worksheet+xml" PartName="/xl/worksheets/sheet30647.xml"/>
  <Override ContentType="application/vnd.openxmlformats-officedocument.spreadsheetml.worksheet+xml" PartName="/xl/worksheets/sheet30648.xml"/>
  <Override ContentType="application/vnd.openxmlformats-officedocument.spreadsheetml.worksheet+xml" PartName="/xl/worksheets/sheet30649.xml"/>
  <Override ContentType="application/vnd.openxmlformats-officedocument.spreadsheetml.worksheet+xml" PartName="/xl/worksheets/sheet30650.xml"/>
  <Override ContentType="application/vnd.openxmlformats-officedocument.spreadsheetml.worksheet+xml" PartName="/xl/worksheets/sheet30651.xml"/>
  <Override ContentType="application/vnd.openxmlformats-officedocument.spreadsheetml.worksheet+xml" PartName="/xl/worksheets/sheet30652.xml"/>
  <Override ContentType="application/vnd.openxmlformats-officedocument.spreadsheetml.worksheet+xml" PartName="/xl/worksheets/sheet30653.xml"/>
  <Override ContentType="application/vnd.openxmlformats-officedocument.spreadsheetml.worksheet+xml" PartName="/xl/worksheets/sheet30654.xml"/>
  <Override ContentType="application/vnd.openxmlformats-officedocument.spreadsheetml.worksheet+xml" PartName="/xl/worksheets/sheet30655.xml"/>
  <Override ContentType="application/vnd.openxmlformats-officedocument.spreadsheetml.worksheet+xml" PartName="/xl/worksheets/sheet30656.xml"/>
  <Override ContentType="application/vnd.openxmlformats-officedocument.spreadsheetml.worksheet+xml" PartName="/xl/worksheets/sheet30657.xml"/>
  <Override ContentType="application/vnd.openxmlformats-officedocument.spreadsheetml.worksheet+xml" PartName="/xl/worksheets/sheet30658.xml"/>
  <Override ContentType="application/vnd.openxmlformats-officedocument.spreadsheetml.worksheet+xml" PartName="/xl/worksheets/sheet30659.xml"/>
  <Override ContentType="application/vnd.openxmlformats-officedocument.spreadsheetml.worksheet+xml" PartName="/xl/worksheets/sheet30660.xml"/>
  <Override ContentType="application/vnd.openxmlformats-officedocument.spreadsheetml.worksheet+xml" PartName="/xl/worksheets/sheet30661.xml"/>
  <Override ContentType="application/vnd.openxmlformats-officedocument.spreadsheetml.worksheet+xml" PartName="/xl/worksheets/sheet30662.xml"/>
  <Override ContentType="application/vnd.openxmlformats-officedocument.spreadsheetml.worksheet+xml" PartName="/xl/worksheets/sheet30663.xml"/>
  <Override ContentType="application/vnd.openxmlformats-officedocument.spreadsheetml.worksheet+xml" PartName="/xl/worksheets/sheet30664.xml"/>
  <Override ContentType="application/vnd.openxmlformats-officedocument.spreadsheetml.worksheet+xml" PartName="/xl/worksheets/sheet30665.xml"/>
  <Override ContentType="application/vnd.openxmlformats-officedocument.spreadsheetml.worksheet+xml" PartName="/xl/worksheets/sheet30666.xml"/>
  <Override ContentType="application/vnd.openxmlformats-officedocument.spreadsheetml.worksheet+xml" PartName="/xl/worksheets/sheet30667.xml"/>
  <Override ContentType="application/vnd.openxmlformats-officedocument.spreadsheetml.worksheet+xml" PartName="/xl/worksheets/sheet30668.xml"/>
  <Override ContentType="application/vnd.openxmlformats-officedocument.spreadsheetml.worksheet+xml" PartName="/xl/worksheets/sheet30669.xml"/>
  <Override ContentType="application/vnd.openxmlformats-officedocument.spreadsheetml.worksheet+xml" PartName="/xl/worksheets/sheet30670.xml"/>
  <Override ContentType="application/vnd.openxmlformats-officedocument.spreadsheetml.worksheet+xml" PartName="/xl/worksheets/sheet30671.xml"/>
  <Override ContentType="application/vnd.openxmlformats-officedocument.spreadsheetml.worksheet+xml" PartName="/xl/worksheets/sheet30672.xml"/>
  <Override ContentType="application/vnd.openxmlformats-officedocument.spreadsheetml.worksheet+xml" PartName="/xl/worksheets/sheet30673.xml"/>
  <Override ContentType="application/vnd.openxmlformats-officedocument.spreadsheetml.worksheet+xml" PartName="/xl/worksheets/sheet30674.xml"/>
  <Override ContentType="application/vnd.openxmlformats-officedocument.spreadsheetml.worksheet+xml" PartName="/xl/worksheets/sheet30675.xml"/>
  <Override ContentType="application/vnd.openxmlformats-officedocument.spreadsheetml.worksheet+xml" PartName="/xl/worksheets/sheet30676.xml"/>
  <Override ContentType="application/vnd.openxmlformats-officedocument.spreadsheetml.worksheet+xml" PartName="/xl/worksheets/sheet30677.xml"/>
  <Override ContentType="application/vnd.openxmlformats-officedocument.spreadsheetml.worksheet+xml" PartName="/xl/worksheets/sheet30678.xml"/>
  <Override ContentType="application/vnd.openxmlformats-officedocument.spreadsheetml.worksheet+xml" PartName="/xl/worksheets/sheet30679.xml"/>
  <Override ContentType="application/vnd.openxmlformats-officedocument.spreadsheetml.worksheet+xml" PartName="/xl/worksheets/sheet30680.xml"/>
  <Override ContentType="application/vnd.openxmlformats-officedocument.spreadsheetml.worksheet+xml" PartName="/xl/worksheets/sheet30681.xml"/>
  <Override ContentType="application/vnd.openxmlformats-officedocument.spreadsheetml.worksheet+xml" PartName="/xl/worksheets/sheet30682.xml"/>
  <Override ContentType="application/vnd.openxmlformats-officedocument.spreadsheetml.worksheet+xml" PartName="/xl/worksheets/sheet30683.xml"/>
  <Override ContentType="application/vnd.openxmlformats-officedocument.spreadsheetml.worksheet+xml" PartName="/xl/worksheets/sheet30684.xml"/>
  <Override ContentType="application/vnd.openxmlformats-officedocument.spreadsheetml.worksheet+xml" PartName="/xl/worksheets/sheet30685.xml"/>
  <Override ContentType="application/vnd.openxmlformats-officedocument.spreadsheetml.worksheet+xml" PartName="/xl/worksheets/sheet30686.xml"/>
  <Override ContentType="application/vnd.openxmlformats-officedocument.spreadsheetml.worksheet+xml" PartName="/xl/worksheets/sheet30687.xml"/>
  <Override ContentType="application/vnd.openxmlformats-officedocument.spreadsheetml.worksheet+xml" PartName="/xl/worksheets/sheet30688.xml"/>
  <Override ContentType="application/vnd.openxmlformats-officedocument.spreadsheetml.worksheet+xml" PartName="/xl/worksheets/sheet30689.xml"/>
  <Override ContentType="application/vnd.openxmlformats-officedocument.spreadsheetml.worksheet+xml" PartName="/xl/worksheets/sheet30690.xml"/>
  <Override ContentType="application/vnd.openxmlformats-officedocument.spreadsheetml.worksheet+xml" PartName="/xl/worksheets/sheet30691.xml"/>
  <Override ContentType="application/vnd.openxmlformats-officedocument.spreadsheetml.worksheet+xml" PartName="/xl/worksheets/sheet30692.xml"/>
  <Override ContentType="application/vnd.openxmlformats-officedocument.spreadsheetml.worksheet+xml" PartName="/xl/worksheets/sheet30693.xml"/>
  <Override ContentType="application/vnd.openxmlformats-officedocument.spreadsheetml.worksheet+xml" PartName="/xl/worksheets/sheet30694.xml"/>
  <Override ContentType="application/vnd.openxmlformats-officedocument.spreadsheetml.worksheet+xml" PartName="/xl/worksheets/sheet30695.xml"/>
  <Override ContentType="application/vnd.openxmlformats-officedocument.spreadsheetml.worksheet+xml" PartName="/xl/worksheets/sheet30696.xml"/>
  <Override ContentType="application/vnd.openxmlformats-officedocument.spreadsheetml.worksheet+xml" PartName="/xl/worksheets/sheet30697.xml"/>
  <Override ContentType="application/vnd.openxmlformats-officedocument.spreadsheetml.worksheet+xml" PartName="/xl/worksheets/sheet30698.xml"/>
  <Override ContentType="application/vnd.openxmlformats-officedocument.spreadsheetml.worksheet+xml" PartName="/xl/worksheets/sheet30699.xml"/>
  <Override ContentType="application/vnd.openxmlformats-officedocument.spreadsheetml.worksheet+xml" PartName="/xl/worksheets/sheet30700.xml"/>
  <Override ContentType="application/vnd.openxmlformats-officedocument.spreadsheetml.worksheet+xml" PartName="/xl/worksheets/sheet30701.xml"/>
  <Override ContentType="application/vnd.openxmlformats-officedocument.spreadsheetml.worksheet+xml" PartName="/xl/worksheets/sheet30702.xml"/>
  <Override ContentType="application/vnd.openxmlformats-officedocument.spreadsheetml.worksheet+xml" PartName="/xl/worksheets/sheet30703.xml"/>
  <Override ContentType="application/vnd.openxmlformats-officedocument.spreadsheetml.worksheet+xml" PartName="/xl/worksheets/sheet30704.xml"/>
  <Override ContentType="application/vnd.openxmlformats-officedocument.spreadsheetml.worksheet+xml" PartName="/xl/worksheets/sheet30705.xml"/>
  <Override ContentType="application/vnd.openxmlformats-officedocument.spreadsheetml.worksheet+xml" PartName="/xl/worksheets/sheet30706.xml"/>
  <Override ContentType="application/vnd.openxmlformats-officedocument.spreadsheetml.worksheet+xml" PartName="/xl/worksheets/sheet30707.xml"/>
  <Override ContentType="application/vnd.openxmlformats-officedocument.spreadsheetml.worksheet+xml" PartName="/xl/worksheets/sheet30708.xml"/>
  <Override ContentType="application/vnd.openxmlformats-officedocument.spreadsheetml.worksheet+xml" PartName="/xl/worksheets/sheet30709.xml"/>
  <Override ContentType="application/vnd.openxmlformats-officedocument.spreadsheetml.worksheet+xml" PartName="/xl/worksheets/sheet30710.xml"/>
  <Override ContentType="application/vnd.openxmlformats-officedocument.spreadsheetml.worksheet+xml" PartName="/xl/worksheets/sheet30711.xml"/>
  <Override ContentType="application/vnd.openxmlformats-officedocument.spreadsheetml.worksheet+xml" PartName="/xl/worksheets/sheet30712.xml"/>
  <Override ContentType="application/vnd.openxmlformats-officedocument.spreadsheetml.worksheet+xml" PartName="/xl/worksheets/sheet30713.xml"/>
  <Override ContentType="application/vnd.openxmlformats-officedocument.spreadsheetml.worksheet+xml" PartName="/xl/worksheets/sheet30714.xml"/>
  <Override ContentType="application/vnd.openxmlformats-officedocument.spreadsheetml.worksheet+xml" PartName="/xl/worksheets/sheet30715.xml"/>
  <Override ContentType="application/vnd.openxmlformats-officedocument.spreadsheetml.worksheet+xml" PartName="/xl/worksheets/sheet30716.xml"/>
  <Override ContentType="application/vnd.openxmlformats-officedocument.spreadsheetml.worksheet+xml" PartName="/xl/worksheets/sheet30717.xml"/>
  <Override ContentType="application/vnd.openxmlformats-officedocument.spreadsheetml.worksheet+xml" PartName="/xl/worksheets/sheet30718.xml"/>
  <Override ContentType="application/vnd.openxmlformats-officedocument.spreadsheetml.worksheet+xml" PartName="/xl/worksheets/sheet30719.xml"/>
  <Override ContentType="application/vnd.openxmlformats-officedocument.spreadsheetml.worksheet+xml" PartName="/xl/worksheets/sheet30720.xml"/>
  <Override ContentType="application/vnd.openxmlformats-officedocument.spreadsheetml.worksheet+xml" PartName="/xl/worksheets/sheet30721.xml"/>
  <Override ContentType="application/vnd.openxmlformats-officedocument.spreadsheetml.worksheet+xml" PartName="/xl/worksheets/sheet30722.xml"/>
  <Override ContentType="application/vnd.openxmlformats-officedocument.spreadsheetml.worksheet+xml" PartName="/xl/worksheets/sheet30723.xml"/>
  <Override ContentType="application/vnd.openxmlformats-officedocument.spreadsheetml.worksheet+xml" PartName="/xl/worksheets/sheet30724.xml"/>
  <Override ContentType="application/vnd.openxmlformats-officedocument.spreadsheetml.worksheet+xml" PartName="/xl/worksheets/sheet30725.xml"/>
  <Override ContentType="application/vnd.openxmlformats-officedocument.spreadsheetml.worksheet+xml" PartName="/xl/worksheets/sheet30726.xml"/>
  <Override ContentType="application/vnd.openxmlformats-officedocument.spreadsheetml.worksheet+xml" PartName="/xl/worksheets/sheet30727.xml"/>
  <Override ContentType="application/vnd.openxmlformats-officedocument.spreadsheetml.worksheet+xml" PartName="/xl/worksheets/sheet30728.xml"/>
  <Override ContentType="application/vnd.openxmlformats-officedocument.spreadsheetml.worksheet+xml" PartName="/xl/worksheets/sheet30729.xml"/>
  <Override ContentType="application/vnd.openxmlformats-officedocument.spreadsheetml.worksheet+xml" PartName="/xl/worksheets/sheet30730.xml"/>
  <Override ContentType="application/vnd.openxmlformats-officedocument.spreadsheetml.worksheet+xml" PartName="/xl/worksheets/sheet30731.xml"/>
  <Override ContentType="application/vnd.openxmlformats-officedocument.spreadsheetml.worksheet+xml" PartName="/xl/worksheets/sheet30732.xml"/>
  <Override ContentType="application/vnd.openxmlformats-officedocument.spreadsheetml.worksheet+xml" PartName="/xl/worksheets/sheet30733.xml"/>
  <Override ContentType="application/vnd.openxmlformats-officedocument.spreadsheetml.worksheet+xml" PartName="/xl/worksheets/sheet30734.xml"/>
  <Override ContentType="application/vnd.openxmlformats-officedocument.spreadsheetml.worksheet+xml" PartName="/xl/worksheets/sheet30735.xml"/>
  <Override ContentType="application/vnd.openxmlformats-officedocument.spreadsheetml.worksheet+xml" PartName="/xl/worksheets/sheet30736.xml"/>
  <Override ContentType="application/vnd.openxmlformats-officedocument.spreadsheetml.worksheet+xml" PartName="/xl/worksheets/sheet30737.xml"/>
  <Override ContentType="application/vnd.openxmlformats-officedocument.spreadsheetml.worksheet+xml" PartName="/xl/worksheets/sheet30738.xml"/>
  <Override ContentType="application/vnd.openxmlformats-officedocument.spreadsheetml.worksheet+xml" PartName="/xl/worksheets/sheet30739.xml"/>
  <Override ContentType="application/vnd.openxmlformats-officedocument.spreadsheetml.worksheet+xml" PartName="/xl/worksheets/sheet30740.xml"/>
  <Override ContentType="application/vnd.openxmlformats-officedocument.spreadsheetml.worksheet+xml" PartName="/xl/worksheets/sheet30741.xml"/>
  <Override ContentType="application/vnd.openxmlformats-officedocument.spreadsheetml.worksheet+xml" PartName="/xl/worksheets/sheet30742.xml"/>
  <Override ContentType="application/vnd.openxmlformats-officedocument.spreadsheetml.worksheet+xml" PartName="/xl/worksheets/sheet30743.xml"/>
  <Override ContentType="application/vnd.openxmlformats-officedocument.spreadsheetml.worksheet+xml" PartName="/xl/worksheets/sheet30744.xml"/>
  <Override ContentType="application/vnd.openxmlformats-officedocument.spreadsheetml.worksheet+xml" PartName="/xl/worksheets/sheet30745.xml"/>
  <Override ContentType="application/vnd.openxmlformats-officedocument.spreadsheetml.worksheet+xml" PartName="/xl/worksheets/sheet30746.xml"/>
  <Override ContentType="application/vnd.openxmlformats-officedocument.spreadsheetml.worksheet+xml" PartName="/xl/worksheets/sheet30747.xml"/>
  <Override ContentType="application/vnd.openxmlformats-officedocument.spreadsheetml.worksheet+xml" PartName="/xl/worksheets/sheet30748.xml"/>
  <Override ContentType="application/vnd.openxmlformats-officedocument.spreadsheetml.worksheet+xml" PartName="/xl/worksheets/sheet30749.xml"/>
  <Override ContentType="application/vnd.openxmlformats-officedocument.spreadsheetml.worksheet+xml" PartName="/xl/worksheets/sheet30750.xml"/>
  <Override ContentType="application/vnd.openxmlformats-officedocument.spreadsheetml.worksheet+xml" PartName="/xl/worksheets/sheet30751.xml"/>
  <Override ContentType="application/vnd.openxmlformats-officedocument.spreadsheetml.worksheet+xml" PartName="/xl/worksheets/sheet30752.xml"/>
  <Override ContentType="application/vnd.openxmlformats-officedocument.spreadsheetml.worksheet+xml" PartName="/xl/worksheets/sheet30753.xml"/>
  <Override ContentType="application/vnd.openxmlformats-officedocument.spreadsheetml.worksheet+xml" PartName="/xl/worksheets/sheet30754.xml"/>
  <Override ContentType="application/vnd.openxmlformats-officedocument.spreadsheetml.worksheet+xml" PartName="/xl/worksheets/sheet30755.xml"/>
  <Override ContentType="application/vnd.openxmlformats-officedocument.spreadsheetml.worksheet+xml" PartName="/xl/worksheets/sheet30756.xml"/>
  <Override ContentType="application/vnd.openxmlformats-officedocument.spreadsheetml.worksheet+xml" PartName="/xl/worksheets/sheet30757.xml"/>
  <Override ContentType="application/vnd.openxmlformats-officedocument.spreadsheetml.worksheet+xml" PartName="/xl/worksheets/sheet30758.xml"/>
  <Override ContentType="application/vnd.openxmlformats-officedocument.spreadsheetml.worksheet+xml" PartName="/xl/worksheets/sheet30759.xml"/>
  <Override ContentType="application/vnd.openxmlformats-officedocument.spreadsheetml.worksheet+xml" PartName="/xl/worksheets/sheet30760.xml"/>
  <Override ContentType="application/vnd.openxmlformats-officedocument.spreadsheetml.worksheet+xml" PartName="/xl/worksheets/sheet30761.xml"/>
  <Override ContentType="application/vnd.openxmlformats-officedocument.spreadsheetml.worksheet+xml" PartName="/xl/worksheets/sheet30762.xml"/>
  <Override ContentType="application/vnd.openxmlformats-officedocument.spreadsheetml.worksheet+xml" PartName="/xl/worksheets/sheet30763.xml"/>
  <Override ContentType="application/vnd.openxmlformats-officedocument.spreadsheetml.worksheet+xml" PartName="/xl/worksheets/sheet30764.xml"/>
  <Override ContentType="application/vnd.openxmlformats-officedocument.spreadsheetml.worksheet+xml" PartName="/xl/worksheets/sheet30765.xml"/>
  <Override ContentType="application/vnd.openxmlformats-officedocument.spreadsheetml.worksheet+xml" PartName="/xl/worksheets/sheet30766.xml"/>
  <Override ContentType="application/vnd.openxmlformats-officedocument.spreadsheetml.worksheet+xml" PartName="/xl/worksheets/sheet30767.xml"/>
  <Override ContentType="application/vnd.openxmlformats-officedocument.spreadsheetml.worksheet+xml" PartName="/xl/worksheets/sheet30768.xml"/>
  <Override ContentType="application/vnd.openxmlformats-officedocument.spreadsheetml.worksheet+xml" PartName="/xl/worksheets/sheet30769.xml"/>
  <Override ContentType="application/vnd.openxmlformats-officedocument.spreadsheetml.worksheet+xml" PartName="/xl/worksheets/sheet30770.xml"/>
  <Override ContentType="application/vnd.openxmlformats-officedocument.spreadsheetml.worksheet+xml" PartName="/xl/worksheets/sheet30771.xml"/>
  <Override ContentType="application/vnd.openxmlformats-officedocument.spreadsheetml.worksheet+xml" PartName="/xl/worksheets/sheet30772.xml"/>
  <Override ContentType="application/vnd.openxmlformats-officedocument.spreadsheetml.worksheet+xml" PartName="/xl/worksheets/sheet30773.xml"/>
  <Override ContentType="application/vnd.openxmlformats-officedocument.spreadsheetml.worksheet+xml" PartName="/xl/worksheets/sheet30774.xml"/>
  <Override ContentType="application/vnd.openxmlformats-officedocument.spreadsheetml.worksheet+xml" PartName="/xl/worksheets/sheet30775.xml"/>
  <Override ContentType="application/vnd.openxmlformats-officedocument.spreadsheetml.worksheet+xml" PartName="/xl/worksheets/sheet30776.xml"/>
  <Override ContentType="application/vnd.openxmlformats-officedocument.spreadsheetml.worksheet+xml" PartName="/xl/worksheets/sheet30777.xml"/>
  <Override ContentType="application/vnd.openxmlformats-officedocument.spreadsheetml.worksheet+xml" PartName="/xl/worksheets/sheet30778.xml"/>
  <Override ContentType="application/vnd.openxmlformats-officedocument.spreadsheetml.worksheet+xml" PartName="/xl/worksheets/sheet30779.xml"/>
  <Override ContentType="application/vnd.openxmlformats-officedocument.spreadsheetml.worksheet+xml" PartName="/xl/worksheets/sheet30780.xml"/>
  <Override ContentType="application/vnd.openxmlformats-officedocument.spreadsheetml.worksheet+xml" PartName="/xl/worksheets/sheet30781.xml"/>
  <Override ContentType="application/vnd.openxmlformats-officedocument.spreadsheetml.worksheet+xml" PartName="/xl/worksheets/sheet30782.xml"/>
  <Override ContentType="application/vnd.openxmlformats-officedocument.spreadsheetml.worksheet+xml" PartName="/xl/worksheets/sheet30783.xml"/>
  <Override ContentType="application/vnd.openxmlformats-officedocument.spreadsheetml.worksheet+xml" PartName="/xl/worksheets/sheet30784.xml"/>
  <Override ContentType="application/vnd.openxmlformats-officedocument.spreadsheetml.worksheet+xml" PartName="/xl/worksheets/sheet30785.xml"/>
  <Override ContentType="application/vnd.openxmlformats-officedocument.spreadsheetml.worksheet+xml" PartName="/xl/worksheets/sheet30786.xml"/>
  <Override ContentType="application/vnd.openxmlformats-officedocument.spreadsheetml.worksheet+xml" PartName="/xl/worksheets/sheet30787.xml"/>
  <Override ContentType="application/vnd.openxmlformats-officedocument.spreadsheetml.worksheet+xml" PartName="/xl/worksheets/sheet30788.xml"/>
  <Override ContentType="application/vnd.openxmlformats-officedocument.spreadsheetml.worksheet+xml" PartName="/xl/worksheets/sheet30789.xml"/>
  <Override ContentType="application/vnd.openxmlformats-officedocument.spreadsheetml.worksheet+xml" PartName="/xl/worksheets/sheet30790.xml"/>
  <Override ContentType="application/vnd.openxmlformats-officedocument.spreadsheetml.worksheet+xml" PartName="/xl/worksheets/sheet30791.xml"/>
  <Override ContentType="application/vnd.openxmlformats-officedocument.spreadsheetml.worksheet+xml" PartName="/xl/worksheets/sheet30792.xml"/>
  <Override ContentType="application/vnd.openxmlformats-officedocument.spreadsheetml.worksheet+xml" PartName="/xl/worksheets/sheet30793.xml"/>
  <Override ContentType="application/vnd.openxmlformats-officedocument.spreadsheetml.worksheet+xml" PartName="/xl/worksheets/sheet30794.xml"/>
  <Override ContentType="application/vnd.openxmlformats-officedocument.spreadsheetml.worksheet+xml" PartName="/xl/worksheets/sheet30795.xml"/>
  <Override ContentType="application/vnd.openxmlformats-officedocument.spreadsheetml.worksheet+xml" PartName="/xl/worksheets/sheet30796.xml"/>
  <Override ContentType="application/vnd.openxmlformats-officedocument.spreadsheetml.worksheet+xml" PartName="/xl/worksheets/sheet30797.xml"/>
  <Override ContentType="application/vnd.openxmlformats-officedocument.spreadsheetml.worksheet+xml" PartName="/xl/worksheets/sheet30798.xml"/>
  <Override ContentType="application/vnd.openxmlformats-officedocument.spreadsheetml.worksheet+xml" PartName="/xl/worksheets/sheet30799.xml"/>
  <Override ContentType="application/vnd.openxmlformats-officedocument.spreadsheetml.worksheet+xml" PartName="/xl/worksheets/sheet30800.xml"/>
  <Override ContentType="application/vnd.openxmlformats-officedocument.spreadsheetml.worksheet+xml" PartName="/xl/worksheets/sheet30801.xml"/>
  <Override ContentType="application/vnd.openxmlformats-officedocument.spreadsheetml.worksheet+xml" PartName="/xl/worksheets/sheet30802.xml"/>
  <Override ContentType="application/vnd.openxmlformats-officedocument.spreadsheetml.worksheet+xml" PartName="/xl/worksheets/sheet30803.xml"/>
  <Override ContentType="application/vnd.openxmlformats-officedocument.spreadsheetml.worksheet+xml" PartName="/xl/worksheets/sheet30804.xml"/>
  <Override ContentType="application/vnd.openxmlformats-officedocument.spreadsheetml.worksheet+xml" PartName="/xl/worksheets/sheet30805.xml"/>
  <Override ContentType="application/vnd.openxmlformats-officedocument.spreadsheetml.worksheet+xml" PartName="/xl/worksheets/sheet30806.xml"/>
  <Override ContentType="application/vnd.openxmlformats-officedocument.spreadsheetml.worksheet+xml" PartName="/xl/worksheets/sheet30807.xml"/>
  <Override ContentType="application/vnd.openxmlformats-officedocument.spreadsheetml.worksheet+xml" PartName="/xl/worksheets/sheet30808.xml"/>
  <Override ContentType="application/vnd.openxmlformats-officedocument.spreadsheetml.worksheet+xml" PartName="/xl/worksheets/sheet30809.xml"/>
  <Override ContentType="application/vnd.openxmlformats-officedocument.spreadsheetml.worksheet+xml" PartName="/xl/worksheets/sheet30810.xml"/>
  <Override ContentType="application/vnd.openxmlformats-officedocument.spreadsheetml.worksheet+xml" PartName="/xl/worksheets/sheet30811.xml"/>
  <Override ContentType="application/vnd.openxmlformats-officedocument.spreadsheetml.worksheet+xml" PartName="/xl/worksheets/sheet30812.xml"/>
  <Override ContentType="application/vnd.openxmlformats-officedocument.spreadsheetml.worksheet+xml" PartName="/xl/worksheets/sheet30813.xml"/>
  <Override ContentType="application/vnd.openxmlformats-officedocument.spreadsheetml.worksheet+xml" PartName="/xl/worksheets/sheet30814.xml"/>
  <Override ContentType="application/vnd.openxmlformats-officedocument.spreadsheetml.worksheet+xml" PartName="/xl/worksheets/sheet30815.xml"/>
  <Override ContentType="application/vnd.openxmlformats-officedocument.spreadsheetml.worksheet+xml" PartName="/xl/worksheets/sheet30816.xml"/>
  <Override ContentType="application/vnd.openxmlformats-officedocument.spreadsheetml.worksheet+xml" PartName="/xl/worksheets/sheet30817.xml"/>
  <Override ContentType="application/vnd.openxmlformats-officedocument.spreadsheetml.worksheet+xml" PartName="/xl/worksheets/sheet30818.xml"/>
  <Override ContentType="application/vnd.openxmlformats-officedocument.spreadsheetml.worksheet+xml" PartName="/xl/worksheets/sheet30819.xml"/>
  <Override ContentType="application/vnd.openxmlformats-officedocument.spreadsheetml.worksheet+xml" PartName="/xl/worksheets/sheet30820.xml"/>
  <Override ContentType="application/vnd.openxmlformats-officedocument.spreadsheetml.worksheet+xml" PartName="/xl/worksheets/sheet30821.xml"/>
  <Override ContentType="application/vnd.openxmlformats-officedocument.spreadsheetml.worksheet+xml" PartName="/xl/worksheets/sheet30822.xml"/>
  <Override ContentType="application/vnd.openxmlformats-officedocument.spreadsheetml.worksheet+xml" PartName="/xl/worksheets/sheet30823.xml"/>
  <Override ContentType="application/vnd.openxmlformats-officedocument.spreadsheetml.worksheet+xml" PartName="/xl/worksheets/sheet30824.xml"/>
  <Override ContentType="application/vnd.openxmlformats-officedocument.spreadsheetml.worksheet+xml" PartName="/xl/worksheets/sheet30825.xml"/>
  <Override ContentType="application/vnd.openxmlformats-officedocument.spreadsheetml.worksheet+xml" PartName="/xl/worksheets/sheet30826.xml"/>
  <Override ContentType="application/vnd.openxmlformats-officedocument.spreadsheetml.worksheet+xml" PartName="/xl/worksheets/sheet30827.xml"/>
  <Override ContentType="application/vnd.openxmlformats-officedocument.spreadsheetml.worksheet+xml" PartName="/xl/worksheets/sheet30828.xml"/>
  <Override ContentType="application/vnd.openxmlformats-officedocument.spreadsheetml.worksheet+xml" PartName="/xl/worksheets/sheet30829.xml"/>
  <Override ContentType="application/vnd.openxmlformats-officedocument.spreadsheetml.worksheet+xml" PartName="/xl/worksheets/sheet30830.xml"/>
  <Override ContentType="application/vnd.openxmlformats-officedocument.spreadsheetml.worksheet+xml" PartName="/xl/worksheets/sheet30831.xml"/>
  <Override ContentType="application/vnd.openxmlformats-officedocument.spreadsheetml.worksheet+xml" PartName="/xl/worksheets/sheet30832.xml"/>
  <Override ContentType="application/vnd.openxmlformats-officedocument.spreadsheetml.worksheet+xml" PartName="/xl/worksheets/sheet30833.xml"/>
  <Override ContentType="application/vnd.openxmlformats-officedocument.spreadsheetml.worksheet+xml" PartName="/xl/worksheets/sheet30834.xml"/>
  <Override ContentType="application/vnd.openxmlformats-officedocument.spreadsheetml.worksheet+xml" PartName="/xl/worksheets/sheet30835.xml"/>
  <Override ContentType="application/vnd.openxmlformats-officedocument.spreadsheetml.worksheet+xml" PartName="/xl/worksheets/sheet30836.xml"/>
  <Override ContentType="application/vnd.openxmlformats-officedocument.spreadsheetml.worksheet+xml" PartName="/xl/worksheets/sheet30837.xml"/>
  <Override ContentType="application/vnd.openxmlformats-officedocument.spreadsheetml.worksheet+xml" PartName="/xl/worksheets/sheet30838.xml"/>
  <Override ContentType="application/vnd.openxmlformats-officedocument.spreadsheetml.worksheet+xml" PartName="/xl/worksheets/sheet30839.xml"/>
  <Override ContentType="application/vnd.openxmlformats-officedocument.spreadsheetml.worksheet+xml" PartName="/xl/worksheets/sheet30840.xml"/>
  <Override ContentType="application/vnd.openxmlformats-officedocument.spreadsheetml.worksheet+xml" PartName="/xl/worksheets/sheet30841.xml"/>
  <Override ContentType="application/vnd.openxmlformats-officedocument.spreadsheetml.worksheet+xml" PartName="/xl/worksheets/sheet30842.xml"/>
  <Override ContentType="application/vnd.openxmlformats-officedocument.spreadsheetml.worksheet+xml" PartName="/xl/worksheets/sheet30843.xml"/>
  <Override ContentType="application/vnd.openxmlformats-officedocument.spreadsheetml.worksheet+xml" PartName="/xl/worksheets/sheet30844.xml"/>
  <Override ContentType="application/vnd.openxmlformats-officedocument.spreadsheetml.worksheet+xml" PartName="/xl/worksheets/sheet30845.xml"/>
  <Override ContentType="application/vnd.openxmlformats-officedocument.spreadsheetml.worksheet+xml" PartName="/xl/worksheets/sheet30846.xml"/>
  <Override ContentType="application/vnd.openxmlformats-officedocument.spreadsheetml.worksheet+xml" PartName="/xl/worksheets/sheet30847.xml"/>
  <Override ContentType="application/vnd.openxmlformats-officedocument.spreadsheetml.worksheet+xml" PartName="/xl/worksheets/sheet30848.xml"/>
  <Override ContentType="application/vnd.openxmlformats-officedocument.spreadsheetml.worksheet+xml" PartName="/xl/worksheets/sheet30849.xml"/>
  <Override ContentType="application/vnd.openxmlformats-officedocument.spreadsheetml.worksheet+xml" PartName="/xl/worksheets/sheet30850.xml"/>
  <Override ContentType="application/vnd.openxmlformats-officedocument.spreadsheetml.worksheet+xml" PartName="/xl/worksheets/sheet30851.xml"/>
  <Override ContentType="application/vnd.openxmlformats-officedocument.spreadsheetml.worksheet+xml" PartName="/xl/worksheets/sheet30852.xml"/>
  <Override ContentType="application/vnd.openxmlformats-officedocument.spreadsheetml.worksheet+xml" PartName="/xl/worksheets/sheet30853.xml"/>
  <Override ContentType="application/vnd.openxmlformats-officedocument.spreadsheetml.worksheet+xml" PartName="/xl/worksheets/sheet30854.xml"/>
  <Override ContentType="application/vnd.openxmlformats-officedocument.spreadsheetml.worksheet+xml" PartName="/xl/worksheets/sheet30855.xml"/>
  <Override ContentType="application/vnd.openxmlformats-officedocument.spreadsheetml.worksheet+xml" PartName="/xl/worksheets/sheet30856.xml"/>
  <Override ContentType="application/vnd.openxmlformats-officedocument.spreadsheetml.worksheet+xml" PartName="/xl/worksheets/sheet30857.xml"/>
  <Override ContentType="application/vnd.openxmlformats-officedocument.spreadsheetml.worksheet+xml" PartName="/xl/worksheets/sheet30858.xml"/>
  <Override ContentType="application/vnd.openxmlformats-officedocument.spreadsheetml.worksheet+xml" PartName="/xl/worksheets/sheet30859.xml"/>
  <Override ContentType="application/vnd.openxmlformats-officedocument.spreadsheetml.worksheet+xml" PartName="/xl/worksheets/sheet30860.xml"/>
  <Override ContentType="application/vnd.openxmlformats-officedocument.spreadsheetml.worksheet+xml" PartName="/xl/worksheets/sheet30861.xml"/>
  <Override ContentType="application/vnd.openxmlformats-officedocument.spreadsheetml.worksheet+xml" PartName="/xl/worksheets/sheet30862.xml"/>
  <Override ContentType="application/vnd.openxmlformats-officedocument.spreadsheetml.worksheet+xml" PartName="/xl/worksheets/sheet30863.xml"/>
  <Override ContentType="application/vnd.openxmlformats-officedocument.spreadsheetml.worksheet+xml" PartName="/xl/worksheets/sheet30864.xml"/>
  <Override ContentType="application/vnd.openxmlformats-officedocument.spreadsheetml.worksheet+xml" PartName="/xl/worksheets/sheet30865.xml"/>
  <Override ContentType="application/vnd.openxmlformats-officedocument.spreadsheetml.worksheet+xml" PartName="/xl/worksheets/sheet30866.xml"/>
  <Override ContentType="application/vnd.openxmlformats-officedocument.spreadsheetml.worksheet+xml" PartName="/xl/worksheets/sheet30867.xml"/>
  <Override ContentType="application/vnd.openxmlformats-officedocument.spreadsheetml.worksheet+xml" PartName="/xl/worksheets/sheet30868.xml"/>
  <Override ContentType="application/vnd.openxmlformats-officedocument.spreadsheetml.worksheet+xml" PartName="/xl/worksheets/sheet30869.xml"/>
  <Override ContentType="application/vnd.openxmlformats-officedocument.spreadsheetml.worksheet+xml" PartName="/xl/worksheets/sheet30870.xml"/>
  <Override ContentType="application/vnd.openxmlformats-officedocument.spreadsheetml.worksheet+xml" PartName="/xl/worksheets/sheet30871.xml"/>
  <Override ContentType="application/vnd.openxmlformats-officedocument.spreadsheetml.worksheet+xml" PartName="/xl/worksheets/sheet30872.xml"/>
  <Override ContentType="application/vnd.openxmlformats-officedocument.spreadsheetml.worksheet+xml" PartName="/xl/worksheets/sheet30873.xml"/>
  <Override ContentType="application/vnd.openxmlformats-officedocument.spreadsheetml.worksheet+xml" PartName="/xl/worksheets/sheet30874.xml"/>
  <Override ContentType="application/vnd.openxmlformats-officedocument.spreadsheetml.worksheet+xml" PartName="/xl/worksheets/sheet30875.xml"/>
  <Override ContentType="application/vnd.openxmlformats-officedocument.spreadsheetml.worksheet+xml" PartName="/xl/worksheets/sheet30876.xml"/>
  <Override ContentType="application/vnd.openxmlformats-officedocument.spreadsheetml.worksheet+xml" PartName="/xl/worksheets/sheet30877.xml"/>
  <Override ContentType="application/vnd.openxmlformats-officedocument.spreadsheetml.worksheet+xml" PartName="/xl/worksheets/sheet30878.xml"/>
  <Override ContentType="application/vnd.openxmlformats-officedocument.spreadsheetml.worksheet+xml" PartName="/xl/worksheets/sheet30879.xml"/>
  <Override ContentType="application/vnd.openxmlformats-officedocument.spreadsheetml.worksheet+xml" PartName="/xl/worksheets/sheet30880.xml"/>
  <Override ContentType="application/vnd.openxmlformats-officedocument.spreadsheetml.worksheet+xml" PartName="/xl/worksheets/sheet30881.xml"/>
  <Override ContentType="application/vnd.openxmlformats-officedocument.spreadsheetml.worksheet+xml" PartName="/xl/worksheets/sheet30882.xml"/>
  <Override ContentType="application/vnd.openxmlformats-officedocument.spreadsheetml.worksheet+xml" PartName="/xl/worksheets/sheet30883.xml"/>
  <Override ContentType="application/vnd.openxmlformats-officedocument.spreadsheetml.worksheet+xml" PartName="/xl/worksheets/sheet30884.xml"/>
  <Override ContentType="application/vnd.openxmlformats-officedocument.spreadsheetml.worksheet+xml" PartName="/xl/worksheets/sheet30885.xml"/>
  <Override ContentType="application/vnd.openxmlformats-officedocument.spreadsheetml.worksheet+xml" PartName="/xl/worksheets/sheet30886.xml"/>
  <Override ContentType="application/vnd.openxmlformats-officedocument.spreadsheetml.worksheet+xml" PartName="/xl/worksheets/sheet30887.xml"/>
  <Override ContentType="application/vnd.openxmlformats-officedocument.spreadsheetml.worksheet+xml" PartName="/xl/worksheets/sheet30888.xml"/>
  <Override ContentType="application/vnd.openxmlformats-officedocument.spreadsheetml.worksheet+xml" PartName="/xl/worksheets/sheet30889.xml"/>
  <Override ContentType="application/vnd.openxmlformats-officedocument.spreadsheetml.worksheet+xml" PartName="/xl/worksheets/sheet30890.xml"/>
  <Override ContentType="application/vnd.openxmlformats-officedocument.spreadsheetml.worksheet+xml" PartName="/xl/worksheets/sheet30891.xml"/>
  <Override ContentType="application/vnd.openxmlformats-officedocument.spreadsheetml.worksheet+xml" PartName="/xl/worksheets/sheet30892.xml"/>
  <Override ContentType="application/vnd.openxmlformats-officedocument.spreadsheetml.worksheet+xml" PartName="/xl/worksheets/sheet30893.xml"/>
  <Override ContentType="application/vnd.openxmlformats-officedocument.spreadsheetml.worksheet+xml" PartName="/xl/worksheets/sheet30894.xml"/>
  <Override ContentType="application/vnd.openxmlformats-officedocument.spreadsheetml.worksheet+xml" PartName="/xl/worksheets/sheet30895.xml"/>
  <Override ContentType="application/vnd.openxmlformats-officedocument.spreadsheetml.worksheet+xml" PartName="/xl/worksheets/sheet30896.xml"/>
  <Override ContentType="application/vnd.openxmlformats-officedocument.spreadsheetml.worksheet+xml" PartName="/xl/worksheets/sheet30897.xml"/>
  <Override ContentType="application/vnd.openxmlformats-officedocument.spreadsheetml.worksheet+xml" PartName="/xl/worksheets/sheet30898.xml"/>
  <Override ContentType="application/vnd.openxmlformats-officedocument.spreadsheetml.worksheet+xml" PartName="/xl/worksheets/sheet30899.xml"/>
  <Override ContentType="application/vnd.openxmlformats-officedocument.spreadsheetml.worksheet+xml" PartName="/xl/worksheets/sheet30900.xml"/>
  <Override ContentType="application/vnd.openxmlformats-officedocument.spreadsheetml.worksheet+xml" PartName="/xl/worksheets/sheet30901.xml"/>
  <Override ContentType="application/vnd.openxmlformats-officedocument.spreadsheetml.worksheet+xml" PartName="/xl/worksheets/sheet30902.xml"/>
  <Override ContentType="application/vnd.openxmlformats-officedocument.spreadsheetml.worksheet+xml" PartName="/xl/worksheets/sheet30903.xml"/>
  <Override ContentType="application/vnd.openxmlformats-officedocument.spreadsheetml.worksheet+xml" PartName="/xl/worksheets/sheet30904.xml"/>
  <Override ContentType="application/vnd.openxmlformats-officedocument.spreadsheetml.worksheet+xml" PartName="/xl/worksheets/sheet30905.xml"/>
  <Override ContentType="application/vnd.openxmlformats-officedocument.spreadsheetml.worksheet+xml" PartName="/xl/worksheets/sheet30906.xml"/>
  <Override ContentType="application/vnd.openxmlformats-officedocument.spreadsheetml.worksheet+xml" PartName="/xl/worksheets/sheet30907.xml"/>
  <Override ContentType="application/vnd.openxmlformats-officedocument.spreadsheetml.worksheet+xml" PartName="/xl/worksheets/sheet30908.xml"/>
  <Override ContentType="application/vnd.openxmlformats-officedocument.spreadsheetml.worksheet+xml" PartName="/xl/worksheets/sheet30909.xml"/>
  <Override ContentType="application/vnd.openxmlformats-officedocument.spreadsheetml.worksheet+xml" PartName="/xl/worksheets/sheet30910.xml"/>
  <Override ContentType="application/vnd.openxmlformats-officedocument.spreadsheetml.worksheet+xml" PartName="/xl/worksheets/sheet30911.xml"/>
  <Override ContentType="application/vnd.openxmlformats-officedocument.spreadsheetml.worksheet+xml" PartName="/xl/worksheets/sheet30912.xml"/>
  <Override ContentType="application/vnd.openxmlformats-officedocument.spreadsheetml.worksheet+xml" PartName="/xl/worksheets/sheet30913.xml"/>
  <Override ContentType="application/vnd.openxmlformats-officedocument.spreadsheetml.worksheet+xml" PartName="/xl/worksheets/sheet30914.xml"/>
  <Override ContentType="application/vnd.openxmlformats-officedocument.spreadsheetml.worksheet+xml" PartName="/xl/worksheets/sheet30915.xml"/>
  <Override ContentType="application/vnd.openxmlformats-officedocument.spreadsheetml.worksheet+xml" PartName="/xl/worksheets/sheet30916.xml"/>
  <Override ContentType="application/vnd.openxmlformats-officedocument.spreadsheetml.worksheet+xml" PartName="/xl/worksheets/sheet30917.xml"/>
  <Override ContentType="application/vnd.openxmlformats-officedocument.spreadsheetml.worksheet+xml" PartName="/xl/worksheets/sheet30918.xml"/>
  <Override ContentType="application/vnd.openxmlformats-officedocument.spreadsheetml.worksheet+xml" PartName="/xl/worksheets/sheet30919.xml"/>
  <Override ContentType="application/vnd.openxmlformats-officedocument.spreadsheetml.worksheet+xml" PartName="/xl/worksheets/sheet30920.xml"/>
  <Override ContentType="application/vnd.openxmlformats-officedocument.spreadsheetml.worksheet+xml" PartName="/xl/worksheets/sheet30921.xml"/>
  <Override ContentType="application/vnd.openxmlformats-officedocument.spreadsheetml.worksheet+xml" PartName="/xl/worksheets/sheet30922.xml"/>
  <Override ContentType="application/vnd.openxmlformats-officedocument.spreadsheetml.worksheet+xml" PartName="/xl/worksheets/sheet30923.xml"/>
  <Override ContentType="application/vnd.openxmlformats-officedocument.spreadsheetml.worksheet+xml" PartName="/xl/worksheets/sheet30924.xml"/>
  <Override ContentType="application/vnd.openxmlformats-officedocument.spreadsheetml.worksheet+xml" PartName="/xl/worksheets/sheet30925.xml"/>
  <Override ContentType="application/vnd.openxmlformats-officedocument.spreadsheetml.worksheet+xml" PartName="/xl/worksheets/sheet30926.xml"/>
  <Override ContentType="application/vnd.openxmlformats-officedocument.spreadsheetml.worksheet+xml" PartName="/xl/worksheets/sheet30927.xml"/>
  <Override ContentType="application/vnd.openxmlformats-officedocument.spreadsheetml.worksheet+xml" PartName="/xl/worksheets/sheet30928.xml"/>
  <Override ContentType="application/vnd.openxmlformats-officedocument.spreadsheetml.worksheet+xml" PartName="/xl/worksheets/sheet30929.xml"/>
  <Override ContentType="application/vnd.openxmlformats-officedocument.spreadsheetml.worksheet+xml" PartName="/xl/worksheets/sheet30930.xml"/>
  <Override ContentType="application/vnd.openxmlformats-officedocument.spreadsheetml.worksheet+xml" PartName="/xl/worksheets/sheet30931.xml"/>
  <Override ContentType="application/vnd.openxmlformats-officedocument.spreadsheetml.worksheet+xml" PartName="/xl/worksheets/sheet30932.xml"/>
  <Override ContentType="application/vnd.openxmlformats-officedocument.spreadsheetml.worksheet+xml" PartName="/xl/worksheets/sheet30933.xml"/>
  <Override ContentType="application/vnd.openxmlformats-officedocument.spreadsheetml.worksheet+xml" PartName="/xl/worksheets/sheet30934.xml"/>
  <Override ContentType="application/vnd.openxmlformats-officedocument.spreadsheetml.worksheet+xml" PartName="/xl/worksheets/sheet30935.xml"/>
  <Override ContentType="application/vnd.openxmlformats-officedocument.spreadsheetml.worksheet+xml" PartName="/xl/worksheets/sheet30936.xml"/>
  <Override ContentType="application/vnd.openxmlformats-officedocument.spreadsheetml.worksheet+xml" PartName="/xl/worksheets/sheet30937.xml"/>
  <Override ContentType="application/vnd.openxmlformats-officedocument.spreadsheetml.worksheet+xml" PartName="/xl/worksheets/sheet30938.xml"/>
  <Override ContentType="application/vnd.openxmlformats-officedocument.spreadsheetml.worksheet+xml" PartName="/xl/worksheets/sheet30939.xml"/>
  <Override ContentType="application/vnd.openxmlformats-officedocument.spreadsheetml.worksheet+xml" PartName="/xl/worksheets/sheet30940.xml"/>
  <Override ContentType="application/vnd.openxmlformats-officedocument.spreadsheetml.worksheet+xml" PartName="/xl/worksheets/sheet30941.xml"/>
  <Override ContentType="application/vnd.openxmlformats-officedocument.spreadsheetml.worksheet+xml" PartName="/xl/worksheets/sheet30942.xml"/>
  <Override ContentType="application/vnd.openxmlformats-officedocument.spreadsheetml.worksheet+xml" PartName="/xl/worksheets/sheet30943.xml"/>
  <Override ContentType="application/vnd.openxmlformats-officedocument.spreadsheetml.worksheet+xml" PartName="/xl/worksheets/sheet30944.xml"/>
  <Override ContentType="application/vnd.openxmlformats-officedocument.spreadsheetml.worksheet+xml" PartName="/xl/worksheets/sheet30945.xml"/>
  <Override ContentType="application/vnd.openxmlformats-officedocument.spreadsheetml.worksheet+xml" PartName="/xl/worksheets/sheet30946.xml"/>
  <Override ContentType="application/vnd.openxmlformats-officedocument.spreadsheetml.worksheet+xml" PartName="/xl/worksheets/sheet30947.xml"/>
  <Override ContentType="application/vnd.openxmlformats-officedocument.spreadsheetml.worksheet+xml" PartName="/xl/worksheets/sheet30948.xml"/>
  <Override ContentType="application/vnd.openxmlformats-officedocument.spreadsheetml.worksheet+xml" PartName="/xl/worksheets/sheet30949.xml"/>
  <Override ContentType="application/vnd.openxmlformats-officedocument.spreadsheetml.worksheet+xml" PartName="/xl/worksheets/sheet30950.xml"/>
  <Override ContentType="application/vnd.openxmlformats-officedocument.spreadsheetml.worksheet+xml" PartName="/xl/worksheets/sheet30951.xml"/>
  <Override ContentType="application/vnd.openxmlformats-officedocument.spreadsheetml.worksheet+xml" PartName="/xl/worksheets/sheet30952.xml"/>
  <Override ContentType="application/vnd.openxmlformats-officedocument.spreadsheetml.worksheet+xml" PartName="/xl/worksheets/sheet30953.xml"/>
  <Override ContentType="application/vnd.openxmlformats-officedocument.spreadsheetml.worksheet+xml" PartName="/xl/worksheets/sheet30954.xml"/>
  <Override ContentType="application/vnd.openxmlformats-officedocument.spreadsheetml.worksheet+xml" PartName="/xl/worksheets/sheet30955.xml"/>
  <Override ContentType="application/vnd.openxmlformats-officedocument.spreadsheetml.worksheet+xml" PartName="/xl/worksheets/sheet30956.xml"/>
  <Override ContentType="application/vnd.openxmlformats-officedocument.spreadsheetml.worksheet+xml" PartName="/xl/worksheets/sheet30957.xml"/>
  <Override ContentType="application/vnd.openxmlformats-officedocument.spreadsheetml.worksheet+xml" PartName="/xl/worksheets/sheet30958.xml"/>
  <Override ContentType="application/vnd.openxmlformats-officedocument.spreadsheetml.worksheet+xml" PartName="/xl/worksheets/sheet30959.xml"/>
  <Override ContentType="application/vnd.openxmlformats-officedocument.spreadsheetml.worksheet+xml" PartName="/xl/worksheets/sheet30960.xml"/>
  <Override ContentType="application/vnd.openxmlformats-officedocument.spreadsheetml.worksheet+xml" PartName="/xl/worksheets/sheet30961.xml"/>
  <Override ContentType="application/vnd.openxmlformats-officedocument.spreadsheetml.worksheet+xml" PartName="/xl/worksheets/sheet30962.xml"/>
  <Override ContentType="application/vnd.openxmlformats-officedocument.spreadsheetml.worksheet+xml" PartName="/xl/worksheets/sheet30963.xml"/>
  <Override ContentType="application/vnd.openxmlformats-officedocument.spreadsheetml.worksheet+xml" PartName="/xl/worksheets/sheet30964.xml"/>
  <Override ContentType="application/vnd.openxmlformats-officedocument.spreadsheetml.worksheet+xml" PartName="/xl/worksheets/sheet30965.xml"/>
  <Override ContentType="application/vnd.openxmlformats-officedocument.spreadsheetml.worksheet+xml" PartName="/xl/worksheets/sheet30966.xml"/>
  <Override ContentType="application/vnd.openxmlformats-officedocument.spreadsheetml.worksheet+xml" PartName="/xl/worksheets/sheet30967.xml"/>
  <Override ContentType="application/vnd.openxmlformats-officedocument.spreadsheetml.worksheet+xml" PartName="/xl/worksheets/sheet30968.xml"/>
  <Override ContentType="application/vnd.openxmlformats-officedocument.spreadsheetml.worksheet+xml" PartName="/xl/worksheets/sheet30969.xml"/>
  <Override ContentType="application/vnd.openxmlformats-officedocument.spreadsheetml.worksheet+xml" PartName="/xl/worksheets/sheet30970.xml"/>
  <Override ContentType="application/vnd.openxmlformats-officedocument.spreadsheetml.worksheet+xml" PartName="/xl/worksheets/sheet30971.xml"/>
  <Override ContentType="application/vnd.openxmlformats-officedocument.spreadsheetml.worksheet+xml" PartName="/xl/worksheets/sheet30972.xml"/>
  <Override ContentType="application/vnd.openxmlformats-officedocument.spreadsheetml.worksheet+xml" PartName="/xl/worksheets/sheet30973.xml"/>
  <Override ContentType="application/vnd.openxmlformats-officedocument.spreadsheetml.worksheet+xml" PartName="/xl/worksheets/sheet30974.xml"/>
  <Override ContentType="application/vnd.openxmlformats-officedocument.spreadsheetml.worksheet+xml" PartName="/xl/worksheets/sheet30975.xml"/>
  <Override ContentType="application/vnd.openxmlformats-officedocument.spreadsheetml.worksheet+xml" PartName="/xl/worksheets/sheet30976.xml"/>
  <Override ContentType="application/vnd.openxmlformats-officedocument.spreadsheetml.worksheet+xml" PartName="/xl/worksheets/sheet30977.xml"/>
  <Override ContentType="application/vnd.openxmlformats-officedocument.spreadsheetml.worksheet+xml" PartName="/xl/worksheets/sheet30978.xml"/>
  <Override ContentType="application/vnd.openxmlformats-officedocument.spreadsheetml.worksheet+xml" PartName="/xl/worksheets/sheet30979.xml"/>
  <Override ContentType="application/vnd.openxmlformats-officedocument.spreadsheetml.worksheet+xml" PartName="/xl/worksheets/sheet30980.xml"/>
  <Override ContentType="application/vnd.openxmlformats-officedocument.spreadsheetml.worksheet+xml" PartName="/xl/worksheets/sheet30981.xml"/>
  <Override ContentType="application/vnd.openxmlformats-officedocument.spreadsheetml.worksheet+xml" PartName="/xl/worksheets/sheet30982.xml"/>
  <Override ContentType="application/vnd.openxmlformats-officedocument.spreadsheetml.worksheet+xml" PartName="/xl/worksheets/sheet30983.xml"/>
  <Override ContentType="application/vnd.openxmlformats-officedocument.spreadsheetml.worksheet+xml" PartName="/xl/worksheets/sheet30984.xml"/>
  <Override ContentType="application/vnd.openxmlformats-officedocument.spreadsheetml.worksheet+xml" PartName="/xl/worksheets/sheet30985.xml"/>
  <Override ContentType="application/vnd.openxmlformats-officedocument.spreadsheetml.worksheet+xml" PartName="/xl/worksheets/sheet30986.xml"/>
  <Override ContentType="application/vnd.openxmlformats-officedocument.spreadsheetml.worksheet+xml" PartName="/xl/worksheets/sheet30987.xml"/>
  <Override ContentType="application/vnd.openxmlformats-officedocument.spreadsheetml.worksheet+xml" PartName="/xl/worksheets/sheet30988.xml"/>
  <Override ContentType="application/vnd.openxmlformats-officedocument.spreadsheetml.worksheet+xml" PartName="/xl/worksheets/sheet30989.xml"/>
  <Override ContentType="application/vnd.openxmlformats-officedocument.spreadsheetml.worksheet+xml" PartName="/xl/worksheets/sheet30990.xml"/>
  <Override ContentType="application/vnd.openxmlformats-officedocument.spreadsheetml.worksheet+xml" PartName="/xl/worksheets/sheet30991.xml"/>
  <Override ContentType="application/vnd.openxmlformats-officedocument.spreadsheetml.worksheet+xml" PartName="/xl/worksheets/sheet30992.xml"/>
  <Override ContentType="application/vnd.openxmlformats-officedocument.spreadsheetml.worksheet+xml" PartName="/xl/worksheets/sheet30993.xml"/>
  <Override ContentType="application/vnd.openxmlformats-officedocument.spreadsheetml.worksheet+xml" PartName="/xl/worksheets/sheet30994.xml"/>
  <Override ContentType="application/vnd.openxmlformats-officedocument.spreadsheetml.worksheet+xml" PartName="/xl/worksheets/sheet30995.xml"/>
  <Override ContentType="application/vnd.openxmlformats-officedocument.spreadsheetml.worksheet+xml" PartName="/xl/worksheets/sheet30996.xml"/>
  <Override ContentType="application/vnd.openxmlformats-officedocument.spreadsheetml.worksheet+xml" PartName="/xl/worksheets/sheet30997.xml"/>
  <Override ContentType="application/vnd.openxmlformats-officedocument.spreadsheetml.worksheet+xml" PartName="/xl/worksheets/sheet30998.xml"/>
  <Override ContentType="application/vnd.openxmlformats-officedocument.spreadsheetml.worksheet+xml" PartName="/xl/worksheets/sheet30999.xml"/>
  <Override ContentType="application/vnd.openxmlformats-officedocument.spreadsheetml.worksheet+xml" PartName="/xl/worksheets/sheet31000.xml"/>
  <Override ContentType="application/vnd.openxmlformats-officedocument.spreadsheetml.worksheet+xml" PartName="/xl/worksheets/sheet31001.xml"/>
  <Override ContentType="application/vnd.openxmlformats-officedocument.spreadsheetml.worksheet+xml" PartName="/xl/worksheets/sheet31002.xml"/>
  <Override ContentType="application/vnd.openxmlformats-officedocument.spreadsheetml.worksheet+xml" PartName="/xl/worksheets/sheet31003.xml"/>
  <Override ContentType="application/vnd.openxmlformats-officedocument.spreadsheetml.worksheet+xml" PartName="/xl/worksheets/sheet31004.xml"/>
  <Override ContentType="application/vnd.openxmlformats-officedocument.spreadsheetml.worksheet+xml" PartName="/xl/worksheets/sheet31005.xml"/>
  <Override ContentType="application/vnd.openxmlformats-officedocument.spreadsheetml.worksheet+xml" PartName="/xl/worksheets/sheet31006.xml"/>
  <Override ContentType="application/vnd.openxmlformats-officedocument.spreadsheetml.worksheet+xml" PartName="/xl/worksheets/sheet31007.xml"/>
  <Override ContentType="application/vnd.openxmlformats-officedocument.spreadsheetml.worksheet+xml" PartName="/xl/worksheets/sheet31008.xml"/>
  <Override ContentType="application/vnd.openxmlformats-officedocument.spreadsheetml.worksheet+xml" PartName="/xl/worksheets/sheet31009.xml"/>
  <Override ContentType="application/vnd.openxmlformats-officedocument.spreadsheetml.worksheet+xml" PartName="/xl/worksheets/sheet31010.xml"/>
  <Override ContentType="application/vnd.openxmlformats-officedocument.spreadsheetml.worksheet+xml" PartName="/xl/worksheets/sheet31011.xml"/>
  <Override ContentType="application/vnd.openxmlformats-officedocument.spreadsheetml.worksheet+xml" PartName="/xl/worksheets/sheet31012.xml"/>
  <Override ContentType="application/vnd.openxmlformats-officedocument.spreadsheetml.worksheet+xml" PartName="/xl/worksheets/sheet31013.xml"/>
  <Override ContentType="application/vnd.openxmlformats-officedocument.spreadsheetml.worksheet+xml" PartName="/xl/worksheets/sheet31014.xml"/>
  <Override ContentType="application/vnd.openxmlformats-officedocument.spreadsheetml.worksheet+xml" PartName="/xl/worksheets/sheet31015.xml"/>
  <Override ContentType="application/vnd.openxmlformats-officedocument.spreadsheetml.worksheet+xml" PartName="/xl/worksheets/sheet31016.xml"/>
  <Override ContentType="application/vnd.openxmlformats-officedocument.spreadsheetml.worksheet+xml" PartName="/xl/worksheets/sheet31017.xml"/>
  <Override ContentType="application/vnd.openxmlformats-officedocument.spreadsheetml.worksheet+xml" PartName="/xl/worksheets/sheet31018.xml"/>
  <Override ContentType="application/vnd.openxmlformats-officedocument.spreadsheetml.worksheet+xml" PartName="/xl/worksheets/sheet31019.xml"/>
  <Override ContentType="application/vnd.openxmlformats-officedocument.spreadsheetml.worksheet+xml" PartName="/xl/worksheets/sheet31020.xml"/>
  <Override ContentType="application/vnd.openxmlformats-officedocument.spreadsheetml.worksheet+xml" PartName="/xl/worksheets/sheet31021.xml"/>
  <Override ContentType="application/vnd.openxmlformats-officedocument.spreadsheetml.worksheet+xml" PartName="/xl/worksheets/sheet31022.xml"/>
  <Override ContentType="application/vnd.openxmlformats-officedocument.spreadsheetml.worksheet+xml" PartName="/xl/worksheets/sheet31023.xml"/>
  <Override ContentType="application/vnd.openxmlformats-officedocument.spreadsheetml.worksheet+xml" PartName="/xl/worksheets/sheet31024.xml"/>
  <Override ContentType="application/vnd.openxmlformats-officedocument.spreadsheetml.worksheet+xml" PartName="/xl/worksheets/sheet31025.xml"/>
  <Override ContentType="application/vnd.openxmlformats-officedocument.spreadsheetml.worksheet+xml" PartName="/xl/worksheets/sheet31026.xml"/>
  <Override ContentType="application/vnd.openxmlformats-officedocument.spreadsheetml.worksheet+xml" PartName="/xl/worksheets/sheet31027.xml"/>
  <Override ContentType="application/vnd.openxmlformats-officedocument.spreadsheetml.worksheet+xml" PartName="/xl/worksheets/sheet31028.xml"/>
  <Override ContentType="application/vnd.openxmlformats-officedocument.spreadsheetml.worksheet+xml" PartName="/xl/worksheets/sheet31029.xml"/>
  <Override ContentType="application/vnd.openxmlformats-officedocument.spreadsheetml.worksheet+xml" PartName="/xl/worksheets/sheet31030.xml"/>
  <Override ContentType="application/vnd.openxmlformats-officedocument.spreadsheetml.worksheet+xml" PartName="/xl/worksheets/sheet31031.xml"/>
  <Override ContentType="application/vnd.openxmlformats-officedocument.spreadsheetml.worksheet+xml" PartName="/xl/worksheets/sheet31032.xml"/>
  <Override ContentType="application/vnd.openxmlformats-officedocument.spreadsheetml.worksheet+xml" PartName="/xl/worksheets/sheet31033.xml"/>
  <Override ContentType="application/vnd.openxmlformats-officedocument.spreadsheetml.worksheet+xml" PartName="/xl/worksheets/sheet31034.xml"/>
  <Override ContentType="application/vnd.openxmlformats-officedocument.spreadsheetml.worksheet+xml" PartName="/xl/worksheets/sheet31035.xml"/>
  <Override ContentType="application/vnd.openxmlformats-officedocument.spreadsheetml.worksheet+xml" PartName="/xl/worksheets/sheet31036.xml"/>
  <Override ContentType="application/vnd.openxmlformats-officedocument.spreadsheetml.worksheet+xml" PartName="/xl/worksheets/sheet31037.xml"/>
  <Override ContentType="application/vnd.openxmlformats-officedocument.spreadsheetml.worksheet+xml" PartName="/xl/worksheets/sheet31038.xml"/>
  <Override ContentType="application/vnd.openxmlformats-officedocument.spreadsheetml.worksheet+xml" PartName="/xl/worksheets/sheet31039.xml"/>
  <Override ContentType="application/vnd.openxmlformats-officedocument.spreadsheetml.worksheet+xml" PartName="/xl/worksheets/sheet31040.xml"/>
  <Override ContentType="application/vnd.openxmlformats-officedocument.spreadsheetml.worksheet+xml" PartName="/xl/worksheets/sheet31041.xml"/>
  <Override ContentType="application/vnd.openxmlformats-officedocument.spreadsheetml.worksheet+xml" PartName="/xl/worksheets/sheet31042.xml"/>
  <Override ContentType="application/vnd.openxmlformats-officedocument.spreadsheetml.worksheet+xml" PartName="/xl/worksheets/sheet31043.xml"/>
  <Override ContentType="application/vnd.openxmlformats-officedocument.spreadsheetml.worksheet+xml" PartName="/xl/worksheets/sheet31044.xml"/>
  <Override ContentType="application/vnd.openxmlformats-officedocument.spreadsheetml.worksheet+xml" PartName="/xl/worksheets/sheet31045.xml"/>
  <Override ContentType="application/vnd.openxmlformats-officedocument.spreadsheetml.worksheet+xml" PartName="/xl/worksheets/sheet31046.xml"/>
  <Override ContentType="application/vnd.openxmlformats-officedocument.spreadsheetml.worksheet+xml" PartName="/xl/worksheets/sheet31047.xml"/>
  <Override ContentType="application/vnd.openxmlformats-officedocument.spreadsheetml.worksheet+xml" PartName="/xl/worksheets/sheet31048.xml"/>
  <Override ContentType="application/vnd.openxmlformats-officedocument.spreadsheetml.worksheet+xml" PartName="/xl/worksheets/sheet31049.xml"/>
  <Override ContentType="application/vnd.openxmlformats-officedocument.spreadsheetml.worksheet+xml" PartName="/xl/worksheets/sheet31050.xml"/>
  <Override ContentType="application/vnd.openxmlformats-officedocument.spreadsheetml.worksheet+xml" PartName="/xl/worksheets/sheet31051.xml"/>
  <Override ContentType="application/vnd.openxmlformats-officedocument.spreadsheetml.worksheet+xml" PartName="/xl/worksheets/sheet31052.xml"/>
  <Override ContentType="application/vnd.openxmlformats-officedocument.spreadsheetml.worksheet+xml" PartName="/xl/worksheets/sheet31053.xml"/>
  <Override ContentType="application/vnd.openxmlformats-officedocument.spreadsheetml.worksheet+xml" PartName="/xl/worksheets/sheet31054.xml"/>
  <Override ContentType="application/vnd.openxmlformats-officedocument.spreadsheetml.worksheet+xml" PartName="/xl/worksheets/sheet31055.xml"/>
  <Override ContentType="application/vnd.openxmlformats-officedocument.spreadsheetml.worksheet+xml" PartName="/xl/worksheets/sheet31056.xml"/>
  <Override ContentType="application/vnd.openxmlformats-officedocument.spreadsheetml.worksheet+xml" PartName="/xl/worksheets/sheet31057.xml"/>
  <Override ContentType="application/vnd.openxmlformats-officedocument.spreadsheetml.worksheet+xml" PartName="/xl/worksheets/sheet31058.xml"/>
  <Override ContentType="application/vnd.openxmlformats-officedocument.spreadsheetml.worksheet+xml" PartName="/xl/worksheets/sheet31059.xml"/>
  <Override ContentType="application/vnd.openxmlformats-officedocument.spreadsheetml.worksheet+xml" PartName="/xl/worksheets/sheet31060.xml"/>
  <Override ContentType="application/vnd.openxmlformats-officedocument.spreadsheetml.worksheet+xml" PartName="/xl/worksheets/sheet31061.xml"/>
  <Override ContentType="application/vnd.openxmlformats-officedocument.spreadsheetml.worksheet+xml" PartName="/xl/worksheets/sheet31062.xml"/>
  <Override ContentType="application/vnd.openxmlformats-officedocument.spreadsheetml.worksheet+xml" PartName="/xl/worksheets/sheet31063.xml"/>
  <Override ContentType="application/vnd.openxmlformats-officedocument.spreadsheetml.worksheet+xml" PartName="/xl/worksheets/sheet31064.xml"/>
  <Override ContentType="application/vnd.openxmlformats-officedocument.spreadsheetml.worksheet+xml" PartName="/xl/worksheets/sheet31065.xml"/>
  <Override ContentType="application/vnd.openxmlformats-officedocument.spreadsheetml.worksheet+xml" PartName="/xl/worksheets/sheet31066.xml"/>
  <Override ContentType="application/vnd.openxmlformats-officedocument.spreadsheetml.worksheet+xml" PartName="/xl/worksheets/sheet31067.xml"/>
  <Override ContentType="application/vnd.openxmlformats-officedocument.spreadsheetml.worksheet+xml" PartName="/xl/worksheets/sheet31068.xml"/>
  <Override ContentType="application/vnd.openxmlformats-officedocument.spreadsheetml.worksheet+xml" PartName="/xl/worksheets/sheet31069.xml"/>
  <Override ContentType="application/vnd.openxmlformats-officedocument.spreadsheetml.worksheet+xml" PartName="/xl/worksheets/sheet31070.xml"/>
  <Override ContentType="application/vnd.openxmlformats-officedocument.spreadsheetml.worksheet+xml" PartName="/xl/worksheets/sheet31071.xml"/>
  <Override ContentType="application/vnd.openxmlformats-officedocument.spreadsheetml.worksheet+xml" PartName="/xl/worksheets/sheet31072.xml"/>
  <Override ContentType="application/vnd.openxmlformats-officedocument.spreadsheetml.worksheet+xml" PartName="/xl/worksheets/sheet31073.xml"/>
  <Override ContentType="application/vnd.openxmlformats-officedocument.spreadsheetml.worksheet+xml" PartName="/xl/worksheets/sheet31074.xml"/>
  <Override ContentType="application/vnd.openxmlformats-officedocument.spreadsheetml.worksheet+xml" PartName="/xl/worksheets/sheet31075.xml"/>
  <Override ContentType="application/vnd.openxmlformats-officedocument.spreadsheetml.worksheet+xml" PartName="/xl/worksheets/sheet31076.xml"/>
  <Override ContentType="application/vnd.openxmlformats-officedocument.spreadsheetml.worksheet+xml" PartName="/xl/worksheets/sheet31077.xml"/>
  <Override ContentType="application/vnd.openxmlformats-officedocument.spreadsheetml.worksheet+xml" PartName="/xl/worksheets/sheet31078.xml"/>
  <Override ContentType="application/vnd.openxmlformats-officedocument.spreadsheetml.worksheet+xml" PartName="/xl/worksheets/sheet31079.xml"/>
  <Override ContentType="application/vnd.openxmlformats-officedocument.spreadsheetml.worksheet+xml" PartName="/xl/worksheets/sheet31080.xml"/>
  <Override ContentType="application/vnd.openxmlformats-officedocument.spreadsheetml.worksheet+xml" PartName="/xl/worksheets/sheet31081.xml"/>
  <Override ContentType="application/vnd.openxmlformats-officedocument.spreadsheetml.worksheet+xml" PartName="/xl/worksheets/sheet31082.xml"/>
  <Override ContentType="application/vnd.openxmlformats-officedocument.spreadsheetml.worksheet+xml" PartName="/xl/worksheets/sheet31083.xml"/>
  <Override ContentType="application/vnd.openxmlformats-officedocument.spreadsheetml.worksheet+xml" PartName="/xl/worksheets/sheet31084.xml"/>
  <Override ContentType="application/vnd.openxmlformats-officedocument.spreadsheetml.worksheet+xml" PartName="/xl/worksheets/sheet31085.xml"/>
  <Override ContentType="application/vnd.openxmlformats-officedocument.spreadsheetml.worksheet+xml" PartName="/xl/worksheets/sheet31086.xml"/>
  <Override ContentType="application/vnd.openxmlformats-officedocument.spreadsheetml.worksheet+xml" PartName="/xl/worksheets/sheet31087.xml"/>
  <Override ContentType="application/vnd.openxmlformats-officedocument.spreadsheetml.worksheet+xml" PartName="/xl/worksheets/sheet31088.xml"/>
  <Override ContentType="application/vnd.openxmlformats-officedocument.spreadsheetml.worksheet+xml" PartName="/xl/worksheets/sheet31089.xml"/>
  <Override ContentType="application/vnd.openxmlformats-officedocument.spreadsheetml.worksheet+xml" PartName="/xl/worksheets/sheet31090.xml"/>
  <Override ContentType="application/vnd.openxmlformats-officedocument.spreadsheetml.worksheet+xml" PartName="/xl/worksheets/sheet31091.xml"/>
  <Override ContentType="application/vnd.openxmlformats-officedocument.spreadsheetml.worksheet+xml" PartName="/xl/worksheets/sheet31092.xml"/>
  <Override ContentType="application/vnd.openxmlformats-officedocument.spreadsheetml.worksheet+xml" PartName="/xl/worksheets/sheet31093.xml"/>
  <Override ContentType="application/vnd.openxmlformats-officedocument.spreadsheetml.worksheet+xml" PartName="/xl/worksheets/sheet31094.xml"/>
  <Override ContentType="application/vnd.openxmlformats-officedocument.spreadsheetml.worksheet+xml" PartName="/xl/worksheets/sheet31095.xml"/>
  <Override ContentType="application/vnd.openxmlformats-officedocument.spreadsheetml.worksheet+xml" PartName="/xl/worksheets/sheet31096.xml"/>
  <Override ContentType="application/vnd.openxmlformats-officedocument.spreadsheetml.worksheet+xml" PartName="/xl/worksheets/sheet31097.xml"/>
  <Override ContentType="application/vnd.openxmlformats-officedocument.spreadsheetml.worksheet+xml" PartName="/xl/worksheets/sheet31098.xml"/>
  <Override ContentType="application/vnd.openxmlformats-officedocument.spreadsheetml.worksheet+xml" PartName="/xl/worksheets/sheet31099.xml"/>
  <Override ContentType="application/vnd.openxmlformats-officedocument.spreadsheetml.worksheet+xml" PartName="/xl/worksheets/sheet31100.xml"/>
  <Override ContentType="application/vnd.openxmlformats-officedocument.spreadsheetml.worksheet+xml" PartName="/xl/worksheets/sheet31101.xml"/>
  <Override ContentType="application/vnd.openxmlformats-officedocument.spreadsheetml.worksheet+xml" PartName="/xl/worksheets/sheet31102.xml"/>
  <Override ContentType="application/vnd.openxmlformats-officedocument.spreadsheetml.worksheet+xml" PartName="/xl/worksheets/sheet31103.xml"/>
  <Override ContentType="application/vnd.openxmlformats-officedocument.spreadsheetml.worksheet+xml" PartName="/xl/worksheets/sheet31104.xml"/>
  <Override ContentType="application/vnd.openxmlformats-officedocument.spreadsheetml.worksheet+xml" PartName="/xl/worksheets/sheet31105.xml"/>
  <Override ContentType="application/vnd.openxmlformats-officedocument.spreadsheetml.worksheet+xml" PartName="/xl/worksheets/sheet31106.xml"/>
  <Override ContentType="application/vnd.openxmlformats-officedocument.spreadsheetml.worksheet+xml" PartName="/xl/worksheets/sheet31107.xml"/>
  <Override ContentType="application/vnd.openxmlformats-officedocument.spreadsheetml.worksheet+xml" PartName="/xl/worksheets/sheet31108.xml"/>
  <Override ContentType="application/vnd.openxmlformats-officedocument.spreadsheetml.worksheet+xml" PartName="/xl/worksheets/sheet31109.xml"/>
  <Override ContentType="application/vnd.openxmlformats-officedocument.spreadsheetml.worksheet+xml" PartName="/xl/worksheets/sheet31110.xml"/>
  <Override ContentType="application/vnd.openxmlformats-officedocument.spreadsheetml.worksheet+xml" PartName="/xl/worksheets/sheet31111.xml"/>
  <Override ContentType="application/vnd.openxmlformats-officedocument.spreadsheetml.worksheet+xml" PartName="/xl/worksheets/sheet31112.xml"/>
  <Override ContentType="application/vnd.openxmlformats-officedocument.spreadsheetml.worksheet+xml" PartName="/xl/worksheets/sheet31113.xml"/>
  <Override ContentType="application/vnd.openxmlformats-officedocument.spreadsheetml.worksheet+xml" PartName="/xl/worksheets/sheet31114.xml"/>
  <Override ContentType="application/vnd.openxmlformats-officedocument.spreadsheetml.worksheet+xml" PartName="/xl/worksheets/sheet31115.xml"/>
  <Override ContentType="application/vnd.openxmlformats-officedocument.spreadsheetml.worksheet+xml" PartName="/xl/worksheets/sheet31116.xml"/>
  <Override ContentType="application/vnd.openxmlformats-officedocument.spreadsheetml.worksheet+xml" PartName="/xl/worksheets/sheet31117.xml"/>
  <Override ContentType="application/vnd.openxmlformats-officedocument.spreadsheetml.worksheet+xml" PartName="/xl/worksheets/sheet31118.xml"/>
  <Override ContentType="application/vnd.openxmlformats-officedocument.spreadsheetml.worksheet+xml" PartName="/xl/worksheets/sheet31119.xml"/>
  <Override ContentType="application/vnd.openxmlformats-officedocument.spreadsheetml.worksheet+xml" PartName="/xl/worksheets/sheet31120.xml"/>
  <Override ContentType="application/vnd.openxmlformats-officedocument.spreadsheetml.worksheet+xml" PartName="/xl/worksheets/sheet31121.xml"/>
  <Override ContentType="application/vnd.openxmlformats-officedocument.spreadsheetml.worksheet+xml" PartName="/xl/worksheets/sheet31122.xml"/>
  <Override ContentType="application/vnd.openxmlformats-officedocument.spreadsheetml.worksheet+xml" PartName="/xl/worksheets/sheet31123.xml"/>
  <Override ContentType="application/vnd.openxmlformats-officedocument.spreadsheetml.worksheet+xml" PartName="/xl/worksheets/sheet31124.xml"/>
  <Override ContentType="application/vnd.openxmlformats-officedocument.spreadsheetml.worksheet+xml" PartName="/xl/worksheets/sheet31125.xml"/>
  <Override ContentType="application/vnd.openxmlformats-officedocument.spreadsheetml.worksheet+xml" PartName="/xl/worksheets/sheet31126.xml"/>
  <Override ContentType="application/vnd.openxmlformats-officedocument.spreadsheetml.worksheet+xml" PartName="/xl/worksheets/sheet31127.xml"/>
  <Override ContentType="application/vnd.openxmlformats-officedocument.spreadsheetml.worksheet+xml" PartName="/xl/worksheets/sheet31128.xml"/>
  <Override ContentType="application/vnd.openxmlformats-officedocument.spreadsheetml.worksheet+xml" PartName="/xl/worksheets/sheet31129.xml"/>
  <Override ContentType="application/vnd.openxmlformats-officedocument.spreadsheetml.worksheet+xml" PartName="/xl/worksheets/sheet31130.xml"/>
  <Override ContentType="application/vnd.openxmlformats-officedocument.spreadsheetml.worksheet+xml" PartName="/xl/worksheets/sheet31131.xml"/>
  <Override ContentType="application/vnd.openxmlformats-officedocument.spreadsheetml.worksheet+xml" PartName="/xl/worksheets/sheet31132.xml"/>
  <Override ContentType="application/vnd.openxmlformats-officedocument.spreadsheetml.worksheet+xml" PartName="/xl/worksheets/sheet31133.xml"/>
  <Override ContentType="application/vnd.openxmlformats-officedocument.spreadsheetml.worksheet+xml" PartName="/xl/worksheets/sheet31134.xml"/>
  <Override ContentType="application/vnd.openxmlformats-officedocument.spreadsheetml.worksheet+xml" PartName="/xl/worksheets/sheet31135.xml"/>
  <Override ContentType="application/vnd.openxmlformats-officedocument.spreadsheetml.worksheet+xml" PartName="/xl/worksheets/sheet31136.xml"/>
  <Override ContentType="application/vnd.openxmlformats-officedocument.spreadsheetml.worksheet+xml" PartName="/xl/worksheets/sheet31137.xml"/>
  <Override ContentType="application/vnd.openxmlformats-officedocument.spreadsheetml.worksheet+xml" PartName="/xl/worksheets/sheet31138.xml"/>
  <Override ContentType="application/vnd.openxmlformats-officedocument.spreadsheetml.worksheet+xml" PartName="/xl/worksheets/sheet31139.xml"/>
  <Override ContentType="application/vnd.openxmlformats-officedocument.spreadsheetml.worksheet+xml" PartName="/xl/worksheets/sheet31140.xml"/>
  <Override ContentType="application/vnd.openxmlformats-officedocument.spreadsheetml.worksheet+xml" PartName="/xl/worksheets/sheet31141.xml"/>
  <Override ContentType="application/vnd.openxmlformats-officedocument.spreadsheetml.worksheet+xml" PartName="/xl/worksheets/sheet31142.xml"/>
  <Override ContentType="application/vnd.openxmlformats-officedocument.spreadsheetml.worksheet+xml" PartName="/xl/worksheets/sheet31143.xml"/>
  <Override ContentType="application/vnd.openxmlformats-officedocument.spreadsheetml.worksheet+xml" PartName="/xl/worksheets/sheet31144.xml"/>
  <Override ContentType="application/vnd.openxmlformats-officedocument.spreadsheetml.worksheet+xml" PartName="/xl/worksheets/sheet31145.xml"/>
  <Override ContentType="application/vnd.openxmlformats-officedocument.spreadsheetml.worksheet+xml" PartName="/xl/worksheets/sheet31146.xml"/>
  <Override ContentType="application/vnd.openxmlformats-officedocument.spreadsheetml.worksheet+xml" PartName="/xl/worksheets/sheet31147.xml"/>
  <Override ContentType="application/vnd.openxmlformats-officedocument.spreadsheetml.worksheet+xml" PartName="/xl/worksheets/sheet31148.xml"/>
  <Override ContentType="application/vnd.openxmlformats-officedocument.spreadsheetml.worksheet+xml" PartName="/xl/worksheets/sheet31149.xml"/>
  <Override ContentType="application/vnd.openxmlformats-officedocument.spreadsheetml.worksheet+xml" PartName="/xl/worksheets/sheet31150.xml"/>
  <Override ContentType="application/vnd.openxmlformats-officedocument.spreadsheetml.worksheet+xml" PartName="/xl/worksheets/sheet31151.xml"/>
  <Override ContentType="application/vnd.openxmlformats-officedocument.spreadsheetml.worksheet+xml" PartName="/xl/worksheets/sheet31152.xml"/>
  <Override ContentType="application/vnd.openxmlformats-officedocument.spreadsheetml.worksheet+xml" PartName="/xl/worksheets/sheet31153.xml"/>
  <Override ContentType="application/vnd.openxmlformats-officedocument.spreadsheetml.worksheet+xml" PartName="/xl/worksheets/sheet31154.xml"/>
  <Override ContentType="application/vnd.openxmlformats-officedocument.spreadsheetml.worksheet+xml" PartName="/xl/worksheets/sheet31155.xml"/>
  <Override ContentType="application/vnd.openxmlformats-officedocument.spreadsheetml.worksheet+xml" PartName="/xl/worksheets/sheet31156.xml"/>
  <Override ContentType="application/vnd.openxmlformats-officedocument.spreadsheetml.worksheet+xml" PartName="/xl/worksheets/sheet31157.xml"/>
  <Override ContentType="application/vnd.openxmlformats-officedocument.spreadsheetml.worksheet+xml" PartName="/xl/worksheets/sheet31158.xml"/>
  <Override ContentType="application/vnd.openxmlformats-officedocument.spreadsheetml.worksheet+xml" PartName="/xl/worksheets/sheet31159.xml"/>
  <Override ContentType="application/vnd.openxmlformats-officedocument.spreadsheetml.worksheet+xml" PartName="/xl/worksheets/sheet31160.xml"/>
  <Override ContentType="application/vnd.openxmlformats-officedocument.spreadsheetml.worksheet+xml" PartName="/xl/worksheets/sheet31161.xml"/>
  <Override ContentType="application/vnd.openxmlformats-officedocument.spreadsheetml.worksheet+xml" PartName="/xl/worksheets/sheet31162.xml"/>
  <Override ContentType="application/vnd.openxmlformats-officedocument.spreadsheetml.worksheet+xml" PartName="/xl/worksheets/sheet31163.xml"/>
  <Override ContentType="application/vnd.openxmlformats-officedocument.spreadsheetml.worksheet+xml" PartName="/xl/worksheets/sheet31164.xml"/>
  <Override ContentType="application/vnd.openxmlformats-officedocument.spreadsheetml.worksheet+xml" PartName="/xl/worksheets/sheet31165.xml"/>
  <Override ContentType="application/vnd.openxmlformats-officedocument.spreadsheetml.worksheet+xml" PartName="/xl/worksheets/sheet31166.xml"/>
  <Override ContentType="application/vnd.openxmlformats-officedocument.spreadsheetml.worksheet+xml" PartName="/xl/worksheets/sheet31167.xml"/>
  <Override ContentType="application/vnd.openxmlformats-officedocument.spreadsheetml.worksheet+xml" PartName="/xl/worksheets/sheet31168.xml"/>
  <Override ContentType="application/vnd.openxmlformats-officedocument.spreadsheetml.worksheet+xml" PartName="/xl/worksheets/sheet31169.xml"/>
  <Override ContentType="application/vnd.openxmlformats-officedocument.spreadsheetml.worksheet+xml" PartName="/xl/worksheets/sheet31170.xml"/>
  <Override ContentType="application/vnd.openxmlformats-officedocument.spreadsheetml.worksheet+xml" PartName="/xl/worksheets/sheet31171.xml"/>
  <Override ContentType="application/vnd.openxmlformats-officedocument.spreadsheetml.worksheet+xml" PartName="/xl/worksheets/sheet31172.xml"/>
  <Override ContentType="application/vnd.openxmlformats-officedocument.spreadsheetml.worksheet+xml" PartName="/xl/worksheets/sheet31173.xml"/>
  <Override ContentType="application/vnd.openxmlformats-officedocument.spreadsheetml.worksheet+xml" PartName="/xl/worksheets/sheet31174.xml"/>
  <Override ContentType="application/vnd.openxmlformats-officedocument.spreadsheetml.worksheet+xml" PartName="/xl/worksheets/sheet31175.xml"/>
  <Override ContentType="application/vnd.openxmlformats-officedocument.spreadsheetml.worksheet+xml" PartName="/xl/worksheets/sheet31176.xml"/>
  <Override ContentType="application/vnd.openxmlformats-officedocument.spreadsheetml.worksheet+xml" PartName="/xl/worksheets/sheet31177.xml"/>
  <Override ContentType="application/vnd.openxmlformats-officedocument.spreadsheetml.worksheet+xml" PartName="/xl/worksheets/sheet31178.xml"/>
  <Override ContentType="application/vnd.openxmlformats-officedocument.spreadsheetml.worksheet+xml" PartName="/xl/worksheets/sheet31179.xml"/>
  <Override ContentType="application/vnd.openxmlformats-officedocument.spreadsheetml.worksheet+xml" PartName="/xl/worksheets/sheet31180.xml"/>
  <Override ContentType="application/vnd.openxmlformats-officedocument.spreadsheetml.worksheet+xml" PartName="/xl/worksheets/sheet31181.xml"/>
  <Override ContentType="application/vnd.openxmlformats-officedocument.spreadsheetml.worksheet+xml" PartName="/xl/worksheets/sheet31182.xml"/>
  <Override ContentType="application/vnd.openxmlformats-officedocument.spreadsheetml.worksheet+xml" PartName="/xl/worksheets/sheet31183.xml"/>
  <Override ContentType="application/vnd.openxmlformats-officedocument.spreadsheetml.worksheet+xml" PartName="/xl/worksheets/sheet31184.xml"/>
  <Override ContentType="application/vnd.openxmlformats-officedocument.spreadsheetml.worksheet+xml" PartName="/xl/worksheets/sheet31185.xml"/>
  <Override ContentType="application/vnd.openxmlformats-officedocument.spreadsheetml.worksheet+xml" PartName="/xl/worksheets/sheet31186.xml"/>
  <Override ContentType="application/vnd.openxmlformats-officedocument.spreadsheetml.worksheet+xml" PartName="/xl/worksheets/sheet31187.xml"/>
  <Override ContentType="application/vnd.openxmlformats-officedocument.spreadsheetml.worksheet+xml" PartName="/xl/worksheets/sheet31188.xml"/>
  <Override ContentType="application/vnd.openxmlformats-officedocument.spreadsheetml.worksheet+xml" PartName="/xl/worksheets/sheet31189.xml"/>
  <Override ContentType="application/vnd.openxmlformats-officedocument.spreadsheetml.worksheet+xml" PartName="/xl/worksheets/sheet31190.xml"/>
  <Override ContentType="application/vnd.openxmlformats-officedocument.spreadsheetml.worksheet+xml" PartName="/xl/worksheets/sheet31191.xml"/>
  <Override ContentType="application/vnd.openxmlformats-officedocument.spreadsheetml.worksheet+xml" PartName="/xl/worksheets/sheet31192.xml"/>
  <Override ContentType="application/vnd.openxmlformats-officedocument.spreadsheetml.worksheet+xml" PartName="/xl/worksheets/sheet31193.xml"/>
  <Override ContentType="application/vnd.openxmlformats-officedocument.spreadsheetml.worksheet+xml" PartName="/xl/worksheets/sheet31194.xml"/>
  <Override ContentType="application/vnd.openxmlformats-officedocument.spreadsheetml.worksheet+xml" PartName="/xl/worksheets/sheet31195.xml"/>
  <Override ContentType="application/vnd.openxmlformats-officedocument.spreadsheetml.worksheet+xml" PartName="/xl/worksheets/sheet31196.xml"/>
  <Override ContentType="application/vnd.openxmlformats-officedocument.spreadsheetml.worksheet+xml" PartName="/xl/worksheets/sheet31197.xml"/>
  <Override ContentType="application/vnd.openxmlformats-officedocument.spreadsheetml.worksheet+xml" PartName="/xl/worksheets/sheet31198.xml"/>
  <Override ContentType="application/vnd.openxmlformats-officedocument.spreadsheetml.worksheet+xml" PartName="/xl/worksheets/sheet31199.xml"/>
  <Override ContentType="application/vnd.openxmlformats-officedocument.spreadsheetml.worksheet+xml" PartName="/xl/worksheets/sheet31200.xml"/>
  <Override ContentType="application/vnd.openxmlformats-officedocument.spreadsheetml.worksheet+xml" PartName="/xl/worksheets/sheet31201.xml"/>
  <Override ContentType="application/vnd.openxmlformats-officedocument.spreadsheetml.worksheet+xml" PartName="/xl/worksheets/sheet31202.xml"/>
  <Override ContentType="application/vnd.openxmlformats-officedocument.spreadsheetml.worksheet+xml" PartName="/xl/worksheets/sheet31203.xml"/>
  <Override ContentType="application/vnd.openxmlformats-officedocument.spreadsheetml.worksheet+xml" PartName="/xl/worksheets/sheet31204.xml"/>
  <Override ContentType="application/vnd.openxmlformats-officedocument.spreadsheetml.worksheet+xml" PartName="/xl/worksheets/sheet31205.xml"/>
  <Override ContentType="application/vnd.openxmlformats-officedocument.spreadsheetml.worksheet+xml" PartName="/xl/worksheets/sheet31206.xml"/>
  <Override ContentType="application/vnd.openxmlformats-officedocument.spreadsheetml.worksheet+xml" PartName="/xl/worksheets/sheet31207.xml"/>
  <Override ContentType="application/vnd.openxmlformats-officedocument.spreadsheetml.worksheet+xml" PartName="/xl/worksheets/sheet31208.xml"/>
  <Override ContentType="application/vnd.openxmlformats-officedocument.spreadsheetml.worksheet+xml" PartName="/xl/worksheets/sheet31209.xml"/>
  <Override ContentType="application/vnd.openxmlformats-officedocument.spreadsheetml.worksheet+xml" PartName="/xl/worksheets/sheet31210.xml"/>
  <Override ContentType="application/vnd.openxmlformats-officedocument.spreadsheetml.worksheet+xml" PartName="/xl/worksheets/sheet31211.xml"/>
  <Override ContentType="application/vnd.openxmlformats-officedocument.spreadsheetml.worksheet+xml" PartName="/xl/worksheets/sheet31212.xml"/>
  <Override ContentType="application/vnd.openxmlformats-officedocument.spreadsheetml.worksheet+xml" PartName="/xl/worksheets/sheet31213.xml"/>
  <Override ContentType="application/vnd.openxmlformats-officedocument.spreadsheetml.worksheet+xml" PartName="/xl/worksheets/sheet31214.xml"/>
  <Override ContentType="application/vnd.openxmlformats-officedocument.spreadsheetml.worksheet+xml" PartName="/xl/worksheets/sheet31215.xml"/>
  <Override ContentType="application/vnd.openxmlformats-officedocument.spreadsheetml.worksheet+xml" PartName="/xl/worksheets/sheet31216.xml"/>
  <Override ContentType="application/vnd.openxmlformats-officedocument.spreadsheetml.worksheet+xml" PartName="/xl/worksheets/sheet31217.xml"/>
  <Override ContentType="application/vnd.openxmlformats-officedocument.spreadsheetml.worksheet+xml" PartName="/xl/worksheets/sheet31218.xml"/>
  <Override ContentType="application/vnd.openxmlformats-officedocument.spreadsheetml.worksheet+xml" PartName="/xl/worksheets/sheet31219.xml"/>
  <Override ContentType="application/vnd.openxmlformats-officedocument.spreadsheetml.worksheet+xml" PartName="/xl/worksheets/sheet31220.xml"/>
  <Override ContentType="application/vnd.openxmlformats-officedocument.spreadsheetml.worksheet+xml" PartName="/xl/worksheets/sheet31221.xml"/>
  <Override ContentType="application/vnd.openxmlformats-officedocument.spreadsheetml.worksheet+xml" PartName="/xl/worksheets/sheet31222.xml"/>
  <Override ContentType="application/vnd.openxmlformats-officedocument.spreadsheetml.worksheet+xml" PartName="/xl/worksheets/sheet31223.xml"/>
  <Override ContentType="application/vnd.openxmlformats-officedocument.spreadsheetml.worksheet+xml" PartName="/xl/worksheets/sheet31224.xml"/>
  <Override ContentType="application/vnd.openxmlformats-officedocument.spreadsheetml.worksheet+xml" PartName="/xl/worksheets/sheet31225.xml"/>
  <Override ContentType="application/vnd.openxmlformats-officedocument.spreadsheetml.worksheet+xml" PartName="/xl/worksheets/sheet31226.xml"/>
  <Override ContentType="application/vnd.openxmlformats-officedocument.spreadsheetml.worksheet+xml" PartName="/xl/worksheets/sheet31227.xml"/>
  <Override ContentType="application/vnd.openxmlformats-officedocument.spreadsheetml.worksheet+xml" PartName="/xl/worksheets/sheet31228.xml"/>
  <Override ContentType="application/vnd.openxmlformats-officedocument.spreadsheetml.worksheet+xml" PartName="/xl/worksheets/sheet31229.xml"/>
  <Override ContentType="application/vnd.openxmlformats-officedocument.spreadsheetml.worksheet+xml" PartName="/xl/worksheets/sheet31230.xml"/>
  <Override ContentType="application/vnd.openxmlformats-officedocument.spreadsheetml.worksheet+xml" PartName="/xl/worksheets/sheet31231.xml"/>
  <Override ContentType="application/vnd.openxmlformats-officedocument.spreadsheetml.worksheet+xml" PartName="/xl/worksheets/sheet31232.xml"/>
  <Override ContentType="application/vnd.openxmlformats-officedocument.spreadsheetml.worksheet+xml" PartName="/xl/worksheets/sheet31233.xml"/>
  <Override ContentType="application/vnd.openxmlformats-officedocument.spreadsheetml.worksheet+xml" PartName="/xl/worksheets/sheet31234.xml"/>
  <Override ContentType="application/vnd.openxmlformats-officedocument.spreadsheetml.worksheet+xml" PartName="/xl/worksheets/sheet31235.xml"/>
  <Override ContentType="application/vnd.openxmlformats-officedocument.spreadsheetml.worksheet+xml" PartName="/xl/worksheets/sheet31236.xml"/>
  <Override ContentType="application/vnd.openxmlformats-officedocument.spreadsheetml.worksheet+xml" PartName="/xl/worksheets/sheet31237.xml"/>
  <Override ContentType="application/vnd.openxmlformats-officedocument.spreadsheetml.worksheet+xml" PartName="/xl/worksheets/sheet31238.xml"/>
  <Override ContentType="application/vnd.openxmlformats-officedocument.spreadsheetml.worksheet+xml" PartName="/xl/worksheets/sheet31239.xml"/>
  <Override ContentType="application/vnd.openxmlformats-officedocument.spreadsheetml.worksheet+xml" PartName="/xl/worksheets/sheet31240.xml"/>
  <Override ContentType="application/vnd.openxmlformats-officedocument.spreadsheetml.worksheet+xml" PartName="/xl/worksheets/sheet31241.xml"/>
  <Override ContentType="application/vnd.openxmlformats-officedocument.spreadsheetml.worksheet+xml" PartName="/xl/worksheets/sheet31242.xml"/>
  <Override ContentType="application/vnd.openxmlformats-officedocument.spreadsheetml.worksheet+xml" PartName="/xl/worksheets/sheet31243.xml"/>
  <Override ContentType="application/vnd.openxmlformats-officedocument.spreadsheetml.worksheet+xml" PartName="/xl/worksheets/sheet31244.xml"/>
  <Override ContentType="application/vnd.openxmlformats-officedocument.spreadsheetml.worksheet+xml" PartName="/xl/worksheets/sheet31245.xml"/>
  <Override ContentType="application/vnd.openxmlformats-officedocument.spreadsheetml.worksheet+xml" PartName="/xl/worksheets/sheet31246.xml"/>
  <Override ContentType="application/vnd.openxmlformats-officedocument.spreadsheetml.worksheet+xml" PartName="/xl/worksheets/sheet31247.xml"/>
  <Override ContentType="application/vnd.openxmlformats-officedocument.spreadsheetml.worksheet+xml" PartName="/xl/worksheets/sheet31248.xml"/>
  <Override ContentType="application/vnd.openxmlformats-officedocument.spreadsheetml.worksheet+xml" PartName="/xl/worksheets/sheet31249.xml"/>
  <Override ContentType="application/vnd.openxmlformats-officedocument.spreadsheetml.worksheet+xml" PartName="/xl/worksheets/sheet31250.xml"/>
  <Override ContentType="application/vnd.openxmlformats-officedocument.spreadsheetml.worksheet+xml" PartName="/xl/worksheets/sheet31251.xml"/>
  <Override ContentType="application/vnd.openxmlformats-officedocument.spreadsheetml.worksheet+xml" PartName="/xl/worksheets/sheet31252.xml"/>
  <Override ContentType="application/vnd.openxmlformats-officedocument.spreadsheetml.worksheet+xml" PartName="/xl/worksheets/sheet31253.xml"/>
  <Override ContentType="application/vnd.openxmlformats-officedocument.spreadsheetml.worksheet+xml" PartName="/xl/worksheets/sheet31254.xml"/>
  <Override ContentType="application/vnd.openxmlformats-officedocument.spreadsheetml.worksheet+xml" PartName="/xl/worksheets/sheet31255.xml"/>
  <Override ContentType="application/vnd.openxmlformats-officedocument.spreadsheetml.worksheet+xml" PartName="/xl/worksheets/sheet31256.xml"/>
  <Override ContentType="application/vnd.openxmlformats-officedocument.spreadsheetml.worksheet+xml" PartName="/xl/worksheets/sheet31257.xml"/>
  <Override ContentType="application/vnd.openxmlformats-officedocument.spreadsheetml.worksheet+xml" PartName="/xl/worksheets/sheet31258.xml"/>
  <Override ContentType="application/vnd.openxmlformats-officedocument.spreadsheetml.worksheet+xml" PartName="/xl/worksheets/sheet31259.xml"/>
  <Override ContentType="application/vnd.openxmlformats-officedocument.spreadsheetml.worksheet+xml" PartName="/xl/worksheets/sheet31260.xml"/>
  <Override ContentType="application/vnd.openxmlformats-officedocument.spreadsheetml.worksheet+xml" PartName="/xl/worksheets/sheet31261.xml"/>
  <Override ContentType="application/vnd.openxmlformats-officedocument.spreadsheetml.worksheet+xml" PartName="/xl/worksheets/sheet31262.xml"/>
  <Override ContentType="application/vnd.openxmlformats-officedocument.spreadsheetml.worksheet+xml" PartName="/xl/worksheets/sheet31263.xml"/>
  <Override ContentType="application/vnd.openxmlformats-officedocument.spreadsheetml.worksheet+xml" PartName="/xl/worksheets/sheet31264.xml"/>
  <Override ContentType="application/vnd.openxmlformats-officedocument.spreadsheetml.worksheet+xml" PartName="/xl/worksheets/sheet31265.xml"/>
  <Override ContentType="application/vnd.openxmlformats-officedocument.spreadsheetml.worksheet+xml" PartName="/xl/worksheets/sheet31266.xml"/>
  <Override ContentType="application/vnd.openxmlformats-officedocument.spreadsheetml.worksheet+xml" PartName="/xl/worksheets/sheet31267.xml"/>
  <Override ContentType="application/vnd.openxmlformats-officedocument.spreadsheetml.worksheet+xml" PartName="/xl/worksheets/sheet31268.xml"/>
  <Override ContentType="application/vnd.openxmlformats-officedocument.spreadsheetml.worksheet+xml" PartName="/xl/worksheets/sheet31269.xml"/>
  <Override ContentType="application/vnd.openxmlformats-officedocument.spreadsheetml.worksheet+xml" PartName="/xl/worksheets/sheet31270.xml"/>
  <Override ContentType="application/vnd.openxmlformats-officedocument.spreadsheetml.worksheet+xml" PartName="/xl/worksheets/sheet31271.xml"/>
  <Override ContentType="application/vnd.openxmlformats-officedocument.spreadsheetml.worksheet+xml" PartName="/xl/worksheets/sheet31272.xml"/>
  <Override ContentType="application/vnd.openxmlformats-officedocument.spreadsheetml.worksheet+xml" PartName="/xl/worksheets/sheet31273.xml"/>
  <Override ContentType="application/vnd.openxmlformats-officedocument.spreadsheetml.worksheet+xml" PartName="/xl/worksheets/sheet31274.xml"/>
  <Override ContentType="application/vnd.openxmlformats-officedocument.spreadsheetml.worksheet+xml" PartName="/xl/worksheets/sheet31275.xml"/>
  <Override ContentType="application/vnd.openxmlformats-officedocument.spreadsheetml.worksheet+xml" PartName="/xl/worksheets/sheet31276.xml"/>
  <Override ContentType="application/vnd.openxmlformats-officedocument.spreadsheetml.worksheet+xml" PartName="/xl/worksheets/sheet31277.xml"/>
  <Override ContentType="application/vnd.openxmlformats-officedocument.spreadsheetml.worksheet+xml" PartName="/xl/worksheets/sheet31278.xml"/>
  <Override ContentType="application/vnd.openxmlformats-officedocument.spreadsheetml.worksheet+xml" PartName="/xl/worksheets/sheet31279.xml"/>
  <Override ContentType="application/vnd.openxmlformats-officedocument.spreadsheetml.worksheet+xml" PartName="/xl/worksheets/sheet31280.xml"/>
  <Override ContentType="application/vnd.openxmlformats-officedocument.spreadsheetml.worksheet+xml" PartName="/xl/worksheets/sheet31281.xml"/>
  <Override ContentType="application/vnd.openxmlformats-officedocument.spreadsheetml.worksheet+xml" PartName="/xl/worksheets/sheet31282.xml"/>
  <Override ContentType="application/vnd.openxmlformats-officedocument.spreadsheetml.worksheet+xml" PartName="/xl/worksheets/sheet31283.xml"/>
  <Override ContentType="application/vnd.openxmlformats-officedocument.spreadsheetml.worksheet+xml" PartName="/xl/worksheets/sheet31284.xml"/>
  <Override ContentType="application/vnd.openxmlformats-officedocument.spreadsheetml.worksheet+xml" PartName="/xl/worksheets/sheet31285.xml"/>
  <Override ContentType="application/vnd.openxmlformats-officedocument.spreadsheetml.worksheet+xml" PartName="/xl/worksheets/sheet31286.xml"/>
  <Override ContentType="application/vnd.openxmlformats-officedocument.spreadsheetml.worksheet+xml" PartName="/xl/worksheets/sheet31287.xml"/>
  <Override ContentType="application/vnd.openxmlformats-officedocument.spreadsheetml.worksheet+xml" PartName="/xl/worksheets/sheet31288.xml"/>
  <Override ContentType="application/vnd.openxmlformats-officedocument.spreadsheetml.worksheet+xml" PartName="/xl/worksheets/sheet31289.xml"/>
  <Override ContentType="application/vnd.openxmlformats-officedocument.spreadsheetml.worksheet+xml" PartName="/xl/worksheets/sheet31290.xml"/>
  <Override ContentType="application/vnd.openxmlformats-officedocument.spreadsheetml.worksheet+xml" PartName="/xl/worksheets/sheet31291.xml"/>
  <Override ContentType="application/vnd.openxmlformats-officedocument.spreadsheetml.worksheet+xml" PartName="/xl/worksheets/sheet31292.xml"/>
  <Override ContentType="application/vnd.openxmlformats-officedocument.spreadsheetml.worksheet+xml" PartName="/xl/worksheets/sheet31293.xml"/>
  <Override ContentType="application/vnd.openxmlformats-officedocument.spreadsheetml.worksheet+xml" PartName="/xl/worksheets/sheet31294.xml"/>
  <Override ContentType="application/vnd.openxmlformats-officedocument.spreadsheetml.worksheet+xml" PartName="/xl/worksheets/sheet31295.xml"/>
  <Override ContentType="application/vnd.openxmlformats-officedocument.spreadsheetml.worksheet+xml" PartName="/xl/worksheets/sheet31296.xml"/>
  <Override ContentType="application/vnd.openxmlformats-officedocument.spreadsheetml.worksheet+xml" PartName="/xl/worksheets/sheet31297.xml"/>
  <Override ContentType="application/vnd.openxmlformats-officedocument.spreadsheetml.worksheet+xml" PartName="/xl/worksheets/sheet31298.xml"/>
  <Override ContentType="application/vnd.openxmlformats-officedocument.spreadsheetml.worksheet+xml" PartName="/xl/worksheets/sheet31299.xml"/>
  <Override ContentType="application/vnd.openxmlformats-officedocument.spreadsheetml.worksheet+xml" PartName="/xl/worksheets/sheet31300.xml"/>
  <Override ContentType="application/vnd.openxmlformats-officedocument.spreadsheetml.worksheet+xml" PartName="/xl/worksheets/sheet31301.xml"/>
  <Override ContentType="application/vnd.openxmlformats-officedocument.spreadsheetml.worksheet+xml" PartName="/xl/worksheets/sheet31302.xml"/>
  <Override ContentType="application/vnd.openxmlformats-officedocument.spreadsheetml.worksheet+xml" PartName="/xl/worksheets/sheet31303.xml"/>
  <Override ContentType="application/vnd.openxmlformats-officedocument.spreadsheetml.worksheet+xml" PartName="/xl/worksheets/sheet31304.xml"/>
  <Override ContentType="application/vnd.openxmlformats-officedocument.spreadsheetml.worksheet+xml" PartName="/xl/worksheets/sheet31305.xml"/>
  <Override ContentType="application/vnd.openxmlformats-officedocument.spreadsheetml.worksheet+xml" PartName="/xl/worksheets/sheet31306.xml"/>
  <Override ContentType="application/vnd.openxmlformats-officedocument.spreadsheetml.worksheet+xml" PartName="/xl/worksheets/sheet31307.xml"/>
  <Override ContentType="application/vnd.openxmlformats-officedocument.spreadsheetml.worksheet+xml" PartName="/xl/worksheets/sheet31308.xml"/>
  <Override ContentType="application/vnd.openxmlformats-officedocument.spreadsheetml.worksheet+xml" PartName="/xl/worksheets/sheet31309.xml"/>
  <Override ContentType="application/vnd.openxmlformats-officedocument.spreadsheetml.worksheet+xml" PartName="/xl/worksheets/sheet31310.xml"/>
  <Override ContentType="application/vnd.openxmlformats-officedocument.spreadsheetml.worksheet+xml" PartName="/xl/worksheets/sheet31311.xml"/>
  <Override ContentType="application/vnd.openxmlformats-officedocument.spreadsheetml.worksheet+xml" PartName="/xl/worksheets/sheet31312.xml"/>
  <Override ContentType="application/vnd.openxmlformats-officedocument.spreadsheetml.worksheet+xml" PartName="/xl/worksheets/sheet31313.xml"/>
  <Override ContentType="application/vnd.openxmlformats-officedocument.spreadsheetml.worksheet+xml" PartName="/xl/worksheets/sheet31314.xml"/>
  <Override ContentType="application/vnd.openxmlformats-officedocument.spreadsheetml.worksheet+xml" PartName="/xl/worksheets/sheet31315.xml"/>
  <Override ContentType="application/vnd.openxmlformats-officedocument.spreadsheetml.worksheet+xml" PartName="/xl/worksheets/sheet31316.xml"/>
  <Override ContentType="application/vnd.openxmlformats-officedocument.spreadsheetml.worksheet+xml" PartName="/xl/worksheets/sheet31317.xml"/>
  <Override ContentType="application/vnd.openxmlformats-officedocument.spreadsheetml.worksheet+xml" PartName="/xl/worksheets/sheet31318.xml"/>
  <Override ContentType="application/vnd.openxmlformats-officedocument.spreadsheetml.worksheet+xml" PartName="/xl/worksheets/sheet31319.xml"/>
  <Override ContentType="application/vnd.openxmlformats-officedocument.spreadsheetml.worksheet+xml" PartName="/xl/worksheets/sheet31320.xml"/>
  <Override ContentType="application/vnd.openxmlformats-officedocument.spreadsheetml.worksheet+xml" PartName="/xl/worksheets/sheet31321.xml"/>
  <Override ContentType="application/vnd.openxmlformats-officedocument.spreadsheetml.worksheet+xml" PartName="/xl/worksheets/sheet31322.xml"/>
  <Override ContentType="application/vnd.openxmlformats-officedocument.spreadsheetml.worksheet+xml" PartName="/xl/worksheets/sheet31323.xml"/>
  <Override ContentType="application/vnd.openxmlformats-officedocument.spreadsheetml.worksheet+xml" PartName="/xl/worksheets/sheet31324.xml"/>
  <Override ContentType="application/vnd.openxmlformats-officedocument.spreadsheetml.worksheet+xml" PartName="/xl/worksheets/sheet31325.xml"/>
  <Override ContentType="application/vnd.openxmlformats-officedocument.spreadsheetml.worksheet+xml" PartName="/xl/worksheets/sheet31326.xml"/>
  <Override ContentType="application/vnd.openxmlformats-officedocument.spreadsheetml.worksheet+xml" PartName="/xl/worksheets/sheet31327.xml"/>
  <Override ContentType="application/vnd.openxmlformats-officedocument.spreadsheetml.worksheet+xml" PartName="/xl/worksheets/sheet31328.xml"/>
  <Override ContentType="application/vnd.openxmlformats-officedocument.spreadsheetml.worksheet+xml" PartName="/xl/worksheets/sheet31329.xml"/>
  <Override ContentType="application/vnd.openxmlformats-officedocument.spreadsheetml.worksheet+xml" PartName="/xl/worksheets/sheet31330.xml"/>
  <Override ContentType="application/vnd.openxmlformats-officedocument.spreadsheetml.worksheet+xml" PartName="/xl/worksheets/sheet31331.xml"/>
  <Override ContentType="application/vnd.openxmlformats-officedocument.spreadsheetml.worksheet+xml" PartName="/xl/worksheets/sheet31332.xml"/>
  <Override ContentType="application/vnd.openxmlformats-officedocument.spreadsheetml.worksheet+xml" PartName="/xl/worksheets/sheet31333.xml"/>
  <Override ContentType="application/vnd.openxmlformats-officedocument.spreadsheetml.worksheet+xml" PartName="/xl/worksheets/sheet31334.xml"/>
  <Override ContentType="application/vnd.openxmlformats-officedocument.spreadsheetml.worksheet+xml" PartName="/xl/worksheets/sheet31335.xml"/>
  <Override ContentType="application/vnd.openxmlformats-officedocument.spreadsheetml.worksheet+xml" PartName="/xl/worksheets/sheet31336.xml"/>
  <Override ContentType="application/vnd.openxmlformats-officedocument.spreadsheetml.worksheet+xml" PartName="/xl/worksheets/sheet31337.xml"/>
  <Override ContentType="application/vnd.openxmlformats-officedocument.spreadsheetml.worksheet+xml" PartName="/xl/worksheets/sheet31338.xml"/>
  <Override ContentType="application/vnd.openxmlformats-officedocument.spreadsheetml.worksheet+xml" PartName="/xl/worksheets/sheet31339.xml"/>
  <Override ContentType="application/vnd.openxmlformats-officedocument.spreadsheetml.worksheet+xml" PartName="/xl/worksheets/sheet31340.xml"/>
  <Override ContentType="application/vnd.openxmlformats-officedocument.spreadsheetml.worksheet+xml" PartName="/xl/worksheets/sheet31341.xml"/>
  <Override ContentType="application/vnd.openxmlformats-officedocument.spreadsheetml.worksheet+xml" PartName="/xl/worksheets/sheet31342.xml"/>
  <Override ContentType="application/vnd.openxmlformats-officedocument.spreadsheetml.worksheet+xml" PartName="/xl/worksheets/sheet31343.xml"/>
  <Override ContentType="application/vnd.openxmlformats-officedocument.spreadsheetml.worksheet+xml" PartName="/xl/worksheets/sheet31344.xml"/>
  <Override ContentType="application/vnd.openxmlformats-officedocument.spreadsheetml.worksheet+xml" PartName="/xl/worksheets/sheet31345.xml"/>
  <Override ContentType="application/vnd.openxmlformats-officedocument.spreadsheetml.worksheet+xml" PartName="/xl/worksheets/sheet31346.xml"/>
  <Override ContentType="application/vnd.openxmlformats-officedocument.spreadsheetml.worksheet+xml" PartName="/xl/worksheets/sheet31347.xml"/>
  <Override ContentType="application/vnd.openxmlformats-officedocument.spreadsheetml.worksheet+xml" PartName="/xl/worksheets/sheet31348.xml"/>
  <Override ContentType="application/vnd.openxmlformats-officedocument.spreadsheetml.worksheet+xml" PartName="/xl/worksheets/sheet31349.xml"/>
  <Override ContentType="application/vnd.openxmlformats-officedocument.spreadsheetml.worksheet+xml" PartName="/xl/worksheets/sheet31350.xml"/>
  <Override ContentType="application/vnd.openxmlformats-officedocument.spreadsheetml.worksheet+xml" PartName="/xl/worksheets/sheet31351.xml"/>
  <Override ContentType="application/vnd.openxmlformats-officedocument.spreadsheetml.worksheet+xml" PartName="/xl/worksheets/sheet31352.xml"/>
  <Override ContentType="application/vnd.openxmlformats-officedocument.spreadsheetml.worksheet+xml" PartName="/xl/worksheets/sheet31353.xml"/>
  <Override ContentType="application/vnd.openxmlformats-officedocument.spreadsheetml.worksheet+xml" PartName="/xl/worksheets/sheet31354.xml"/>
  <Override ContentType="application/vnd.openxmlformats-officedocument.spreadsheetml.worksheet+xml" PartName="/xl/worksheets/sheet31355.xml"/>
  <Override ContentType="application/vnd.openxmlformats-officedocument.spreadsheetml.worksheet+xml" PartName="/xl/worksheets/sheet31356.xml"/>
  <Override ContentType="application/vnd.openxmlformats-officedocument.spreadsheetml.worksheet+xml" PartName="/xl/worksheets/sheet31357.xml"/>
  <Override ContentType="application/vnd.openxmlformats-officedocument.spreadsheetml.worksheet+xml" PartName="/xl/worksheets/sheet31358.xml"/>
  <Override ContentType="application/vnd.openxmlformats-officedocument.spreadsheetml.worksheet+xml" PartName="/xl/worksheets/sheet31359.xml"/>
  <Override ContentType="application/vnd.openxmlformats-officedocument.spreadsheetml.worksheet+xml" PartName="/xl/worksheets/sheet31360.xml"/>
  <Override ContentType="application/vnd.openxmlformats-officedocument.spreadsheetml.worksheet+xml" PartName="/xl/worksheets/sheet31361.xml"/>
  <Override ContentType="application/vnd.openxmlformats-officedocument.spreadsheetml.worksheet+xml" PartName="/xl/worksheets/sheet31362.xml"/>
  <Override ContentType="application/vnd.openxmlformats-officedocument.spreadsheetml.worksheet+xml" PartName="/xl/worksheets/sheet31363.xml"/>
  <Override ContentType="application/vnd.openxmlformats-officedocument.spreadsheetml.worksheet+xml" PartName="/xl/worksheets/sheet31364.xml"/>
  <Override ContentType="application/vnd.openxmlformats-officedocument.spreadsheetml.worksheet+xml" PartName="/xl/worksheets/sheet31365.xml"/>
  <Override ContentType="application/vnd.openxmlformats-officedocument.spreadsheetml.worksheet+xml" PartName="/xl/worksheets/sheet31366.xml"/>
  <Override ContentType="application/vnd.openxmlformats-officedocument.spreadsheetml.worksheet+xml" PartName="/xl/worksheets/sheet31367.xml"/>
  <Override ContentType="application/vnd.openxmlformats-officedocument.spreadsheetml.worksheet+xml" PartName="/xl/worksheets/sheet31368.xml"/>
  <Override ContentType="application/vnd.openxmlformats-officedocument.spreadsheetml.worksheet+xml" PartName="/xl/worksheets/sheet31369.xml"/>
  <Override ContentType="application/vnd.openxmlformats-officedocument.spreadsheetml.worksheet+xml" PartName="/xl/worksheets/sheet31370.xml"/>
  <Override ContentType="application/vnd.openxmlformats-officedocument.spreadsheetml.worksheet+xml" PartName="/xl/worksheets/sheet31371.xml"/>
  <Override ContentType="application/vnd.openxmlformats-officedocument.spreadsheetml.worksheet+xml" PartName="/xl/worksheets/sheet31372.xml"/>
  <Override ContentType="application/vnd.openxmlformats-officedocument.spreadsheetml.worksheet+xml" PartName="/xl/worksheets/sheet31373.xml"/>
  <Override ContentType="application/vnd.openxmlformats-officedocument.spreadsheetml.worksheet+xml" PartName="/xl/worksheets/sheet31374.xml"/>
  <Override ContentType="application/vnd.openxmlformats-officedocument.spreadsheetml.worksheet+xml" PartName="/xl/worksheets/sheet31375.xml"/>
  <Override ContentType="application/vnd.openxmlformats-officedocument.spreadsheetml.worksheet+xml" PartName="/xl/worksheets/sheet31376.xml"/>
  <Override ContentType="application/vnd.openxmlformats-officedocument.spreadsheetml.worksheet+xml" PartName="/xl/worksheets/sheet31377.xml"/>
  <Override ContentType="application/vnd.openxmlformats-officedocument.spreadsheetml.worksheet+xml" PartName="/xl/worksheets/sheet31378.xml"/>
  <Override ContentType="application/vnd.openxmlformats-officedocument.spreadsheetml.worksheet+xml" PartName="/xl/worksheets/sheet31379.xml"/>
  <Override ContentType="application/vnd.openxmlformats-officedocument.spreadsheetml.worksheet+xml" PartName="/xl/worksheets/sheet31380.xml"/>
  <Override ContentType="application/vnd.openxmlformats-officedocument.spreadsheetml.worksheet+xml" PartName="/xl/worksheets/sheet31381.xml"/>
  <Override ContentType="application/vnd.openxmlformats-officedocument.spreadsheetml.worksheet+xml" PartName="/xl/worksheets/sheet31382.xml"/>
  <Override ContentType="application/vnd.openxmlformats-officedocument.spreadsheetml.worksheet+xml" PartName="/xl/worksheets/sheet31383.xml"/>
  <Override ContentType="application/vnd.openxmlformats-officedocument.spreadsheetml.worksheet+xml" PartName="/xl/worksheets/sheet31384.xml"/>
  <Override ContentType="application/vnd.openxmlformats-officedocument.spreadsheetml.worksheet+xml" PartName="/xl/worksheets/sheet31385.xml"/>
  <Override ContentType="application/vnd.openxmlformats-officedocument.spreadsheetml.worksheet+xml" PartName="/xl/worksheets/sheet31386.xml"/>
  <Override ContentType="application/vnd.openxmlformats-officedocument.spreadsheetml.worksheet+xml" PartName="/xl/worksheets/sheet31387.xml"/>
  <Override ContentType="application/vnd.openxmlformats-officedocument.spreadsheetml.worksheet+xml" PartName="/xl/worksheets/sheet31388.xml"/>
  <Override ContentType="application/vnd.openxmlformats-officedocument.spreadsheetml.worksheet+xml" PartName="/xl/worksheets/sheet31389.xml"/>
  <Override ContentType="application/vnd.openxmlformats-officedocument.spreadsheetml.worksheet+xml" PartName="/xl/worksheets/sheet31390.xml"/>
  <Override ContentType="application/vnd.openxmlformats-officedocument.spreadsheetml.worksheet+xml" PartName="/xl/worksheets/sheet31391.xml"/>
  <Override ContentType="application/vnd.openxmlformats-officedocument.spreadsheetml.worksheet+xml" PartName="/xl/worksheets/sheet31392.xml"/>
  <Override ContentType="application/vnd.openxmlformats-officedocument.spreadsheetml.worksheet+xml" PartName="/xl/worksheets/sheet31393.xml"/>
  <Override ContentType="application/vnd.openxmlformats-officedocument.spreadsheetml.worksheet+xml" PartName="/xl/worksheets/sheet31394.xml"/>
  <Override ContentType="application/vnd.openxmlformats-officedocument.spreadsheetml.worksheet+xml" PartName="/xl/worksheets/sheet31395.xml"/>
  <Override ContentType="application/vnd.openxmlformats-officedocument.spreadsheetml.worksheet+xml" PartName="/xl/worksheets/sheet31396.xml"/>
  <Override ContentType="application/vnd.openxmlformats-officedocument.spreadsheetml.worksheet+xml" PartName="/xl/worksheets/sheet31397.xml"/>
  <Override ContentType="application/vnd.openxmlformats-officedocument.spreadsheetml.worksheet+xml" PartName="/xl/worksheets/sheet31398.xml"/>
  <Override ContentType="application/vnd.openxmlformats-officedocument.spreadsheetml.worksheet+xml" PartName="/xl/worksheets/sheet31399.xml"/>
  <Override ContentType="application/vnd.openxmlformats-officedocument.spreadsheetml.worksheet+xml" PartName="/xl/worksheets/sheet31400.xml"/>
  <Override ContentType="application/vnd.openxmlformats-officedocument.spreadsheetml.worksheet+xml" PartName="/xl/worksheets/sheet31401.xml"/>
  <Override ContentType="application/vnd.openxmlformats-officedocument.spreadsheetml.worksheet+xml" PartName="/xl/worksheets/sheet31402.xml"/>
  <Override ContentType="application/vnd.openxmlformats-officedocument.spreadsheetml.worksheet+xml" PartName="/xl/worksheets/sheet31403.xml"/>
  <Override ContentType="application/vnd.openxmlformats-officedocument.spreadsheetml.worksheet+xml" PartName="/xl/worksheets/sheet31404.xml"/>
  <Override ContentType="application/vnd.openxmlformats-officedocument.spreadsheetml.worksheet+xml" PartName="/xl/worksheets/sheet31405.xml"/>
  <Override ContentType="application/vnd.openxmlformats-officedocument.spreadsheetml.worksheet+xml" PartName="/xl/worksheets/sheet31406.xml"/>
  <Override ContentType="application/vnd.openxmlformats-officedocument.spreadsheetml.worksheet+xml" PartName="/xl/worksheets/sheet31407.xml"/>
  <Override ContentType="application/vnd.openxmlformats-officedocument.spreadsheetml.worksheet+xml" PartName="/xl/worksheets/sheet31408.xml"/>
  <Override ContentType="application/vnd.openxmlformats-officedocument.spreadsheetml.worksheet+xml" PartName="/xl/worksheets/sheet31409.xml"/>
  <Override ContentType="application/vnd.openxmlformats-officedocument.spreadsheetml.worksheet+xml" PartName="/xl/worksheets/sheet31410.xml"/>
  <Override ContentType="application/vnd.openxmlformats-officedocument.spreadsheetml.worksheet+xml" PartName="/xl/worksheets/sheet31411.xml"/>
  <Override ContentType="application/vnd.openxmlformats-officedocument.spreadsheetml.worksheet+xml" PartName="/xl/worksheets/sheet31412.xml"/>
  <Override ContentType="application/vnd.openxmlformats-officedocument.spreadsheetml.worksheet+xml" PartName="/xl/worksheets/sheet31413.xml"/>
  <Override ContentType="application/vnd.openxmlformats-officedocument.spreadsheetml.worksheet+xml" PartName="/xl/worksheets/sheet31414.xml"/>
  <Override ContentType="application/vnd.openxmlformats-officedocument.spreadsheetml.worksheet+xml" PartName="/xl/worksheets/sheet31415.xml"/>
  <Override ContentType="application/vnd.openxmlformats-officedocument.spreadsheetml.worksheet+xml" PartName="/xl/worksheets/sheet31416.xml"/>
  <Override ContentType="application/vnd.openxmlformats-officedocument.spreadsheetml.worksheet+xml" PartName="/xl/worksheets/sheet31417.xml"/>
  <Override ContentType="application/vnd.openxmlformats-officedocument.spreadsheetml.worksheet+xml" PartName="/xl/worksheets/sheet31418.xml"/>
  <Override ContentType="application/vnd.openxmlformats-officedocument.spreadsheetml.worksheet+xml" PartName="/xl/worksheets/sheet31419.xml"/>
  <Override ContentType="application/vnd.openxmlformats-officedocument.spreadsheetml.worksheet+xml" PartName="/xl/worksheets/sheet31420.xml"/>
  <Override ContentType="application/vnd.openxmlformats-officedocument.spreadsheetml.worksheet+xml" PartName="/xl/worksheets/sheet31421.xml"/>
  <Override ContentType="application/vnd.openxmlformats-officedocument.spreadsheetml.worksheet+xml" PartName="/xl/worksheets/sheet31422.xml"/>
  <Override ContentType="application/vnd.openxmlformats-officedocument.spreadsheetml.worksheet+xml" PartName="/xl/worksheets/sheet31423.xml"/>
  <Override ContentType="application/vnd.openxmlformats-officedocument.spreadsheetml.worksheet+xml" PartName="/xl/worksheets/sheet31424.xml"/>
  <Override ContentType="application/vnd.openxmlformats-officedocument.spreadsheetml.worksheet+xml" PartName="/xl/worksheets/sheet31425.xml"/>
  <Override ContentType="application/vnd.openxmlformats-officedocument.spreadsheetml.worksheet+xml" PartName="/xl/worksheets/sheet31426.xml"/>
  <Override ContentType="application/vnd.openxmlformats-officedocument.spreadsheetml.worksheet+xml" PartName="/xl/worksheets/sheet31427.xml"/>
  <Override ContentType="application/vnd.openxmlformats-officedocument.spreadsheetml.worksheet+xml" PartName="/xl/worksheets/sheet31428.xml"/>
  <Override ContentType="application/vnd.openxmlformats-officedocument.spreadsheetml.worksheet+xml" PartName="/xl/worksheets/sheet31429.xml"/>
  <Override ContentType="application/vnd.openxmlformats-officedocument.spreadsheetml.worksheet+xml" PartName="/xl/worksheets/sheet31430.xml"/>
  <Override ContentType="application/vnd.openxmlformats-officedocument.spreadsheetml.worksheet+xml" PartName="/xl/worksheets/sheet31431.xml"/>
  <Override ContentType="application/vnd.openxmlformats-officedocument.spreadsheetml.worksheet+xml" PartName="/xl/worksheets/sheet31432.xml"/>
  <Override ContentType="application/vnd.openxmlformats-officedocument.spreadsheetml.worksheet+xml" PartName="/xl/worksheets/sheet31433.xml"/>
  <Override ContentType="application/vnd.openxmlformats-officedocument.spreadsheetml.worksheet+xml" PartName="/xl/worksheets/sheet31434.xml"/>
  <Override ContentType="application/vnd.openxmlformats-officedocument.spreadsheetml.worksheet+xml" PartName="/xl/worksheets/sheet31435.xml"/>
  <Override ContentType="application/vnd.openxmlformats-officedocument.spreadsheetml.worksheet+xml" PartName="/xl/worksheets/sheet31436.xml"/>
  <Override ContentType="application/vnd.openxmlformats-officedocument.spreadsheetml.worksheet+xml" PartName="/xl/worksheets/sheet31437.xml"/>
  <Override ContentType="application/vnd.openxmlformats-officedocument.spreadsheetml.worksheet+xml" PartName="/xl/worksheets/sheet31438.xml"/>
  <Override ContentType="application/vnd.openxmlformats-officedocument.spreadsheetml.worksheet+xml" PartName="/xl/worksheets/sheet31439.xml"/>
  <Override ContentType="application/vnd.openxmlformats-officedocument.spreadsheetml.worksheet+xml" PartName="/xl/worksheets/sheet31440.xml"/>
  <Override ContentType="application/vnd.openxmlformats-officedocument.spreadsheetml.worksheet+xml" PartName="/xl/worksheets/sheet31441.xml"/>
  <Override ContentType="application/vnd.openxmlformats-officedocument.spreadsheetml.worksheet+xml" PartName="/xl/worksheets/sheet31442.xml"/>
  <Override ContentType="application/vnd.openxmlformats-officedocument.spreadsheetml.worksheet+xml" PartName="/xl/worksheets/sheet31443.xml"/>
  <Override ContentType="application/vnd.openxmlformats-officedocument.spreadsheetml.worksheet+xml" PartName="/xl/worksheets/sheet31444.xml"/>
  <Override ContentType="application/vnd.openxmlformats-officedocument.spreadsheetml.worksheet+xml" PartName="/xl/worksheets/sheet31445.xml"/>
  <Override ContentType="application/vnd.openxmlformats-officedocument.spreadsheetml.worksheet+xml" PartName="/xl/worksheets/sheet31446.xml"/>
  <Override ContentType="application/vnd.openxmlformats-officedocument.spreadsheetml.worksheet+xml" PartName="/xl/worksheets/sheet31447.xml"/>
  <Override ContentType="application/vnd.openxmlformats-officedocument.spreadsheetml.worksheet+xml" PartName="/xl/worksheets/sheet31448.xml"/>
  <Override ContentType="application/vnd.openxmlformats-officedocument.spreadsheetml.worksheet+xml" PartName="/xl/worksheets/sheet31449.xml"/>
  <Override ContentType="application/vnd.openxmlformats-officedocument.spreadsheetml.worksheet+xml" PartName="/xl/worksheets/sheet31450.xml"/>
  <Override ContentType="application/vnd.openxmlformats-officedocument.spreadsheetml.worksheet+xml" PartName="/xl/worksheets/sheet31451.xml"/>
  <Override ContentType="application/vnd.openxmlformats-officedocument.spreadsheetml.worksheet+xml" PartName="/xl/worksheets/sheet31452.xml"/>
  <Override ContentType="application/vnd.openxmlformats-officedocument.spreadsheetml.worksheet+xml" PartName="/xl/worksheets/sheet31453.xml"/>
  <Override ContentType="application/vnd.openxmlformats-officedocument.spreadsheetml.worksheet+xml" PartName="/xl/worksheets/sheet31454.xml"/>
  <Override ContentType="application/vnd.openxmlformats-officedocument.spreadsheetml.worksheet+xml" PartName="/xl/worksheets/sheet31455.xml"/>
  <Override ContentType="application/vnd.openxmlformats-officedocument.spreadsheetml.worksheet+xml" PartName="/xl/worksheets/sheet31456.xml"/>
  <Override ContentType="application/vnd.openxmlformats-officedocument.spreadsheetml.worksheet+xml" PartName="/xl/worksheets/sheet31457.xml"/>
  <Override ContentType="application/vnd.openxmlformats-officedocument.spreadsheetml.worksheet+xml" PartName="/xl/worksheets/sheet31458.xml"/>
  <Override ContentType="application/vnd.openxmlformats-officedocument.spreadsheetml.worksheet+xml" PartName="/xl/worksheets/sheet31459.xml"/>
  <Override ContentType="application/vnd.openxmlformats-officedocument.spreadsheetml.worksheet+xml" PartName="/xl/worksheets/sheet31460.xml"/>
  <Override ContentType="application/vnd.openxmlformats-officedocument.spreadsheetml.worksheet+xml" PartName="/xl/worksheets/sheet31461.xml"/>
  <Override ContentType="application/vnd.openxmlformats-officedocument.spreadsheetml.worksheet+xml" PartName="/xl/worksheets/sheet31462.xml"/>
  <Override ContentType="application/vnd.openxmlformats-officedocument.spreadsheetml.worksheet+xml" PartName="/xl/worksheets/sheet31463.xml"/>
  <Override ContentType="application/vnd.openxmlformats-officedocument.spreadsheetml.worksheet+xml" PartName="/xl/worksheets/sheet31464.xml"/>
  <Override ContentType="application/vnd.openxmlformats-officedocument.spreadsheetml.worksheet+xml" PartName="/xl/worksheets/sheet31465.xml"/>
  <Override ContentType="application/vnd.openxmlformats-officedocument.spreadsheetml.worksheet+xml" PartName="/xl/worksheets/sheet31466.xml"/>
  <Override ContentType="application/vnd.openxmlformats-officedocument.spreadsheetml.worksheet+xml" PartName="/xl/worksheets/sheet31467.xml"/>
  <Override ContentType="application/vnd.openxmlformats-officedocument.spreadsheetml.worksheet+xml" PartName="/xl/worksheets/sheet31468.xml"/>
  <Override ContentType="application/vnd.openxmlformats-officedocument.spreadsheetml.worksheet+xml" PartName="/xl/worksheets/sheet31469.xml"/>
  <Override ContentType="application/vnd.openxmlformats-officedocument.spreadsheetml.worksheet+xml" PartName="/xl/worksheets/sheet31470.xml"/>
  <Override ContentType="application/vnd.openxmlformats-officedocument.spreadsheetml.worksheet+xml" PartName="/xl/worksheets/sheet31471.xml"/>
  <Override ContentType="application/vnd.openxmlformats-officedocument.spreadsheetml.worksheet+xml" PartName="/xl/worksheets/sheet31472.xml"/>
  <Override ContentType="application/vnd.openxmlformats-officedocument.spreadsheetml.worksheet+xml" PartName="/xl/worksheets/sheet31473.xml"/>
  <Override ContentType="application/vnd.openxmlformats-officedocument.spreadsheetml.worksheet+xml" PartName="/xl/worksheets/sheet31474.xml"/>
  <Override ContentType="application/vnd.openxmlformats-officedocument.spreadsheetml.worksheet+xml" PartName="/xl/worksheets/sheet31475.xml"/>
  <Override ContentType="application/vnd.openxmlformats-officedocument.spreadsheetml.worksheet+xml" PartName="/xl/worksheets/sheet31476.xml"/>
  <Override ContentType="application/vnd.openxmlformats-officedocument.spreadsheetml.worksheet+xml" PartName="/xl/worksheets/sheet31477.xml"/>
  <Override ContentType="application/vnd.openxmlformats-officedocument.spreadsheetml.worksheet+xml" PartName="/xl/worksheets/sheet31478.xml"/>
  <Override ContentType="application/vnd.openxmlformats-officedocument.spreadsheetml.worksheet+xml" PartName="/xl/worksheets/sheet31479.xml"/>
  <Override ContentType="application/vnd.openxmlformats-officedocument.spreadsheetml.worksheet+xml" PartName="/xl/worksheets/sheet31480.xml"/>
  <Override ContentType="application/vnd.openxmlformats-officedocument.spreadsheetml.worksheet+xml" PartName="/xl/worksheets/sheet31481.xml"/>
  <Override ContentType="application/vnd.openxmlformats-officedocument.spreadsheetml.worksheet+xml" PartName="/xl/worksheets/sheet31482.xml"/>
  <Override ContentType="application/vnd.openxmlformats-officedocument.spreadsheetml.worksheet+xml" PartName="/xl/worksheets/sheet31483.xml"/>
  <Override ContentType="application/vnd.openxmlformats-officedocument.spreadsheetml.worksheet+xml" PartName="/xl/worksheets/sheet31484.xml"/>
  <Override ContentType="application/vnd.openxmlformats-officedocument.spreadsheetml.worksheet+xml" PartName="/xl/worksheets/sheet31485.xml"/>
  <Override ContentType="application/vnd.openxmlformats-officedocument.spreadsheetml.worksheet+xml" PartName="/xl/worksheets/sheet31486.xml"/>
  <Override ContentType="application/vnd.openxmlformats-officedocument.spreadsheetml.worksheet+xml" PartName="/xl/worksheets/sheet31487.xml"/>
  <Override ContentType="application/vnd.openxmlformats-officedocument.spreadsheetml.worksheet+xml" PartName="/xl/worksheets/sheet31488.xml"/>
  <Override ContentType="application/vnd.openxmlformats-officedocument.spreadsheetml.worksheet+xml" PartName="/xl/worksheets/sheet31489.xml"/>
  <Override ContentType="application/vnd.openxmlformats-officedocument.spreadsheetml.worksheet+xml" PartName="/xl/worksheets/sheet31490.xml"/>
  <Override ContentType="application/vnd.openxmlformats-officedocument.spreadsheetml.worksheet+xml" PartName="/xl/worksheets/sheet31491.xml"/>
  <Override ContentType="application/vnd.openxmlformats-officedocument.spreadsheetml.worksheet+xml" PartName="/xl/worksheets/sheet31492.xml"/>
  <Override ContentType="application/vnd.openxmlformats-officedocument.spreadsheetml.worksheet+xml" PartName="/xl/worksheets/sheet31493.xml"/>
  <Override ContentType="application/vnd.openxmlformats-officedocument.spreadsheetml.worksheet+xml" PartName="/xl/worksheets/sheet31494.xml"/>
  <Override ContentType="application/vnd.openxmlformats-officedocument.spreadsheetml.worksheet+xml" PartName="/xl/worksheets/sheet31495.xml"/>
  <Override ContentType="application/vnd.openxmlformats-officedocument.spreadsheetml.worksheet+xml" PartName="/xl/worksheets/sheet31496.xml"/>
  <Override ContentType="application/vnd.openxmlformats-officedocument.spreadsheetml.worksheet+xml" PartName="/xl/worksheets/sheet31497.xml"/>
  <Override ContentType="application/vnd.openxmlformats-officedocument.spreadsheetml.worksheet+xml" PartName="/xl/worksheets/sheet31498.xml"/>
  <Override ContentType="application/vnd.openxmlformats-officedocument.spreadsheetml.worksheet+xml" PartName="/xl/worksheets/sheet31499.xml"/>
  <Override ContentType="application/vnd.openxmlformats-officedocument.spreadsheetml.worksheet+xml" PartName="/xl/worksheets/sheet31500.xml"/>
  <Override ContentType="application/vnd.openxmlformats-officedocument.spreadsheetml.worksheet+xml" PartName="/xl/worksheets/sheet31501.xml"/>
  <Override ContentType="application/vnd.openxmlformats-officedocument.spreadsheetml.worksheet+xml" PartName="/xl/worksheets/sheet31502.xml"/>
  <Override ContentType="application/vnd.openxmlformats-officedocument.spreadsheetml.worksheet+xml" PartName="/xl/worksheets/sheet31503.xml"/>
  <Override ContentType="application/vnd.openxmlformats-officedocument.spreadsheetml.worksheet+xml" PartName="/xl/worksheets/sheet31504.xml"/>
  <Override ContentType="application/vnd.openxmlformats-officedocument.spreadsheetml.worksheet+xml" PartName="/xl/worksheets/sheet31505.xml"/>
  <Override ContentType="application/vnd.openxmlformats-officedocument.spreadsheetml.worksheet+xml" PartName="/xl/worksheets/sheet31506.xml"/>
  <Override ContentType="application/vnd.openxmlformats-officedocument.spreadsheetml.worksheet+xml" PartName="/xl/worksheets/sheet31507.xml"/>
  <Override ContentType="application/vnd.openxmlformats-officedocument.spreadsheetml.worksheet+xml" PartName="/xl/worksheets/sheet31508.xml"/>
  <Override ContentType="application/vnd.openxmlformats-officedocument.spreadsheetml.worksheet+xml" PartName="/xl/worksheets/sheet31509.xml"/>
  <Override ContentType="application/vnd.openxmlformats-officedocument.spreadsheetml.worksheet+xml" PartName="/xl/worksheets/sheet31510.xml"/>
  <Override ContentType="application/vnd.openxmlformats-officedocument.spreadsheetml.worksheet+xml" PartName="/xl/worksheets/sheet31511.xml"/>
  <Override ContentType="application/vnd.openxmlformats-officedocument.spreadsheetml.worksheet+xml" PartName="/xl/worksheets/sheet31512.xml"/>
  <Override ContentType="application/vnd.openxmlformats-officedocument.spreadsheetml.worksheet+xml" PartName="/xl/worksheets/sheet31513.xml"/>
  <Override ContentType="application/vnd.openxmlformats-officedocument.spreadsheetml.worksheet+xml" PartName="/xl/worksheets/sheet31514.xml"/>
  <Override ContentType="application/vnd.openxmlformats-officedocument.spreadsheetml.worksheet+xml" PartName="/xl/worksheets/sheet31515.xml"/>
  <Override ContentType="application/vnd.openxmlformats-officedocument.spreadsheetml.worksheet+xml" PartName="/xl/worksheets/sheet31516.xml"/>
  <Override ContentType="application/vnd.openxmlformats-officedocument.spreadsheetml.worksheet+xml" PartName="/xl/worksheets/sheet31517.xml"/>
  <Override ContentType="application/vnd.openxmlformats-officedocument.spreadsheetml.worksheet+xml" PartName="/xl/worksheets/sheet31518.xml"/>
  <Override ContentType="application/vnd.openxmlformats-officedocument.spreadsheetml.worksheet+xml" PartName="/xl/worksheets/sheet31519.xml"/>
  <Override ContentType="application/vnd.openxmlformats-officedocument.spreadsheetml.worksheet+xml" PartName="/xl/worksheets/sheet31520.xml"/>
  <Override ContentType="application/vnd.openxmlformats-officedocument.spreadsheetml.worksheet+xml" PartName="/xl/worksheets/sheet31521.xml"/>
  <Override ContentType="application/vnd.openxmlformats-officedocument.spreadsheetml.worksheet+xml" PartName="/xl/worksheets/sheet31522.xml"/>
  <Override ContentType="application/vnd.openxmlformats-officedocument.spreadsheetml.worksheet+xml" PartName="/xl/worksheets/sheet31523.xml"/>
  <Override ContentType="application/vnd.openxmlformats-officedocument.spreadsheetml.worksheet+xml" PartName="/xl/worksheets/sheet31524.xml"/>
  <Override ContentType="application/vnd.openxmlformats-officedocument.spreadsheetml.worksheet+xml" PartName="/xl/worksheets/sheet31525.xml"/>
  <Override ContentType="application/vnd.openxmlformats-officedocument.spreadsheetml.worksheet+xml" PartName="/xl/worksheets/sheet31526.xml"/>
  <Override ContentType="application/vnd.openxmlformats-officedocument.spreadsheetml.worksheet+xml" PartName="/xl/worksheets/sheet31527.xml"/>
  <Override ContentType="application/vnd.openxmlformats-officedocument.spreadsheetml.worksheet+xml" PartName="/xl/worksheets/sheet31528.xml"/>
  <Override ContentType="application/vnd.openxmlformats-officedocument.spreadsheetml.worksheet+xml" PartName="/xl/worksheets/sheet31529.xml"/>
  <Override ContentType="application/vnd.openxmlformats-officedocument.spreadsheetml.worksheet+xml" PartName="/xl/worksheets/sheet31530.xml"/>
  <Override ContentType="application/vnd.openxmlformats-officedocument.spreadsheetml.worksheet+xml" PartName="/xl/worksheets/sheet31531.xml"/>
  <Override ContentType="application/vnd.openxmlformats-officedocument.spreadsheetml.worksheet+xml" PartName="/xl/worksheets/sheet31532.xml"/>
  <Override ContentType="application/vnd.openxmlformats-officedocument.spreadsheetml.worksheet+xml" PartName="/xl/worksheets/sheet31533.xml"/>
  <Override ContentType="application/vnd.openxmlformats-officedocument.spreadsheetml.worksheet+xml" PartName="/xl/worksheets/sheet31534.xml"/>
  <Override ContentType="application/vnd.openxmlformats-officedocument.spreadsheetml.worksheet+xml" PartName="/xl/worksheets/sheet31535.xml"/>
  <Override ContentType="application/vnd.openxmlformats-officedocument.spreadsheetml.worksheet+xml" PartName="/xl/worksheets/sheet31536.xml"/>
  <Override ContentType="application/vnd.openxmlformats-officedocument.spreadsheetml.worksheet+xml" PartName="/xl/worksheets/sheet31537.xml"/>
  <Override ContentType="application/vnd.openxmlformats-officedocument.spreadsheetml.worksheet+xml" PartName="/xl/worksheets/sheet31538.xml"/>
  <Override ContentType="application/vnd.openxmlformats-officedocument.spreadsheetml.worksheet+xml" PartName="/xl/worksheets/sheet31539.xml"/>
  <Override ContentType="application/vnd.openxmlformats-officedocument.spreadsheetml.worksheet+xml" PartName="/xl/worksheets/sheet31540.xml"/>
  <Override ContentType="application/vnd.openxmlformats-officedocument.spreadsheetml.worksheet+xml" PartName="/xl/worksheets/sheet31541.xml"/>
  <Override ContentType="application/vnd.openxmlformats-officedocument.spreadsheetml.worksheet+xml" PartName="/xl/worksheets/sheet31542.xml"/>
  <Override ContentType="application/vnd.openxmlformats-officedocument.spreadsheetml.worksheet+xml" PartName="/xl/worksheets/sheet31543.xml"/>
  <Override ContentType="application/vnd.openxmlformats-officedocument.spreadsheetml.worksheet+xml" PartName="/xl/worksheets/sheet31544.xml"/>
  <Override ContentType="application/vnd.openxmlformats-officedocument.spreadsheetml.worksheet+xml" PartName="/xl/worksheets/sheet31545.xml"/>
  <Override ContentType="application/vnd.openxmlformats-officedocument.spreadsheetml.worksheet+xml" PartName="/xl/worksheets/sheet31546.xml"/>
  <Override ContentType="application/vnd.openxmlformats-officedocument.spreadsheetml.worksheet+xml" PartName="/xl/worksheets/sheet31547.xml"/>
  <Override ContentType="application/vnd.openxmlformats-officedocument.spreadsheetml.worksheet+xml" PartName="/xl/worksheets/sheet31548.xml"/>
  <Override ContentType="application/vnd.openxmlformats-officedocument.spreadsheetml.worksheet+xml" PartName="/xl/worksheets/sheet31549.xml"/>
  <Override ContentType="application/vnd.openxmlformats-officedocument.spreadsheetml.worksheet+xml" PartName="/xl/worksheets/sheet31550.xml"/>
  <Override ContentType="application/vnd.openxmlformats-officedocument.spreadsheetml.worksheet+xml" PartName="/xl/worksheets/sheet31551.xml"/>
  <Override ContentType="application/vnd.openxmlformats-officedocument.spreadsheetml.worksheet+xml" PartName="/xl/worksheets/sheet31552.xml"/>
  <Override ContentType="application/vnd.openxmlformats-officedocument.spreadsheetml.worksheet+xml" PartName="/xl/worksheets/sheet31553.xml"/>
  <Override ContentType="application/vnd.openxmlformats-officedocument.spreadsheetml.worksheet+xml" PartName="/xl/worksheets/sheet31554.xml"/>
  <Override ContentType="application/vnd.openxmlformats-officedocument.spreadsheetml.worksheet+xml" PartName="/xl/worksheets/sheet31555.xml"/>
  <Override ContentType="application/vnd.openxmlformats-officedocument.spreadsheetml.worksheet+xml" PartName="/xl/worksheets/sheet31556.xml"/>
  <Override ContentType="application/vnd.openxmlformats-officedocument.spreadsheetml.worksheet+xml" PartName="/xl/worksheets/sheet31557.xml"/>
  <Override ContentType="application/vnd.openxmlformats-officedocument.spreadsheetml.worksheet+xml" PartName="/xl/worksheets/sheet31558.xml"/>
  <Override ContentType="application/vnd.openxmlformats-officedocument.spreadsheetml.worksheet+xml" PartName="/xl/worksheets/sheet31559.xml"/>
  <Override ContentType="application/vnd.openxmlformats-officedocument.spreadsheetml.worksheet+xml" PartName="/xl/worksheets/sheet31560.xml"/>
  <Override ContentType="application/vnd.openxmlformats-officedocument.spreadsheetml.worksheet+xml" PartName="/xl/worksheets/sheet31561.xml"/>
  <Override ContentType="application/vnd.openxmlformats-officedocument.spreadsheetml.worksheet+xml" PartName="/xl/worksheets/sheet31562.xml"/>
  <Override ContentType="application/vnd.openxmlformats-officedocument.spreadsheetml.worksheet+xml" PartName="/xl/worksheets/sheet31563.xml"/>
  <Override ContentType="application/vnd.openxmlformats-officedocument.spreadsheetml.worksheet+xml" PartName="/xl/worksheets/sheet31564.xml"/>
  <Override ContentType="application/vnd.openxmlformats-officedocument.spreadsheetml.worksheet+xml" PartName="/xl/worksheets/sheet31565.xml"/>
  <Override ContentType="application/vnd.openxmlformats-officedocument.spreadsheetml.worksheet+xml" PartName="/xl/worksheets/sheet31566.xml"/>
  <Override ContentType="application/vnd.openxmlformats-officedocument.spreadsheetml.worksheet+xml" PartName="/xl/worksheets/sheet31567.xml"/>
  <Override ContentType="application/vnd.openxmlformats-officedocument.spreadsheetml.worksheet+xml" PartName="/xl/worksheets/sheet31568.xml"/>
  <Override ContentType="application/vnd.openxmlformats-officedocument.spreadsheetml.worksheet+xml" PartName="/xl/worksheets/sheet31569.xml"/>
  <Override ContentType="application/vnd.openxmlformats-officedocument.spreadsheetml.worksheet+xml" PartName="/xl/worksheets/sheet31570.xml"/>
  <Override ContentType="application/vnd.openxmlformats-officedocument.spreadsheetml.worksheet+xml" PartName="/xl/worksheets/sheet31571.xml"/>
  <Override ContentType="application/vnd.openxmlformats-officedocument.spreadsheetml.worksheet+xml" PartName="/xl/worksheets/sheet31572.xml"/>
  <Override ContentType="application/vnd.openxmlformats-officedocument.spreadsheetml.worksheet+xml" PartName="/xl/worksheets/sheet31573.xml"/>
  <Override ContentType="application/vnd.openxmlformats-officedocument.spreadsheetml.worksheet+xml" PartName="/xl/worksheets/sheet31574.xml"/>
  <Override ContentType="application/vnd.openxmlformats-officedocument.spreadsheetml.worksheet+xml" PartName="/xl/worksheets/sheet31575.xml"/>
  <Override ContentType="application/vnd.openxmlformats-officedocument.spreadsheetml.worksheet+xml" PartName="/xl/worksheets/sheet31576.xml"/>
  <Override ContentType="application/vnd.openxmlformats-officedocument.spreadsheetml.worksheet+xml" PartName="/xl/worksheets/sheet31577.xml"/>
  <Override ContentType="application/vnd.openxmlformats-officedocument.spreadsheetml.worksheet+xml" PartName="/xl/worksheets/sheet31578.xml"/>
  <Override ContentType="application/vnd.openxmlformats-officedocument.spreadsheetml.worksheet+xml" PartName="/xl/worksheets/sheet31579.xml"/>
  <Override ContentType="application/vnd.openxmlformats-officedocument.spreadsheetml.worksheet+xml" PartName="/xl/worksheets/sheet31580.xml"/>
  <Override ContentType="application/vnd.openxmlformats-officedocument.spreadsheetml.worksheet+xml" PartName="/xl/worksheets/sheet31581.xml"/>
  <Override ContentType="application/vnd.openxmlformats-officedocument.spreadsheetml.worksheet+xml" PartName="/xl/worksheets/sheet31582.xml"/>
  <Override ContentType="application/vnd.openxmlformats-officedocument.spreadsheetml.worksheet+xml" PartName="/xl/worksheets/sheet31583.xml"/>
  <Override ContentType="application/vnd.openxmlformats-officedocument.spreadsheetml.worksheet+xml" PartName="/xl/worksheets/sheet31584.xml"/>
  <Override ContentType="application/vnd.openxmlformats-officedocument.spreadsheetml.worksheet+xml" PartName="/xl/worksheets/sheet31585.xml"/>
  <Override ContentType="application/vnd.openxmlformats-officedocument.spreadsheetml.worksheet+xml" PartName="/xl/worksheets/sheet31586.xml"/>
  <Override ContentType="application/vnd.openxmlformats-officedocument.spreadsheetml.worksheet+xml" PartName="/xl/worksheets/sheet31587.xml"/>
  <Override ContentType="application/vnd.openxmlformats-officedocument.spreadsheetml.worksheet+xml" PartName="/xl/worksheets/sheet31588.xml"/>
  <Override ContentType="application/vnd.openxmlformats-officedocument.spreadsheetml.worksheet+xml" PartName="/xl/worksheets/sheet31589.xml"/>
  <Override ContentType="application/vnd.openxmlformats-officedocument.spreadsheetml.worksheet+xml" PartName="/xl/worksheets/sheet31590.xml"/>
  <Override ContentType="application/vnd.openxmlformats-officedocument.spreadsheetml.worksheet+xml" PartName="/xl/worksheets/sheet31591.xml"/>
  <Override ContentType="application/vnd.openxmlformats-officedocument.spreadsheetml.worksheet+xml" PartName="/xl/worksheets/sheet31592.xml"/>
  <Override ContentType="application/vnd.openxmlformats-officedocument.spreadsheetml.worksheet+xml" PartName="/xl/worksheets/sheet31593.xml"/>
  <Override ContentType="application/vnd.openxmlformats-officedocument.spreadsheetml.worksheet+xml" PartName="/xl/worksheets/sheet31594.xml"/>
  <Override ContentType="application/vnd.openxmlformats-officedocument.spreadsheetml.worksheet+xml" PartName="/xl/worksheets/sheet31595.xml"/>
  <Override ContentType="application/vnd.openxmlformats-officedocument.spreadsheetml.worksheet+xml" PartName="/xl/worksheets/sheet31596.xml"/>
  <Override ContentType="application/vnd.openxmlformats-officedocument.spreadsheetml.worksheet+xml" PartName="/xl/worksheets/sheet31597.xml"/>
  <Override ContentType="application/vnd.openxmlformats-officedocument.spreadsheetml.worksheet+xml" PartName="/xl/worksheets/sheet31598.xml"/>
  <Override ContentType="application/vnd.openxmlformats-officedocument.spreadsheetml.worksheet+xml" PartName="/xl/worksheets/sheet31599.xml"/>
  <Override ContentType="application/vnd.openxmlformats-officedocument.spreadsheetml.worksheet+xml" PartName="/xl/worksheets/sheet31600.xml"/>
  <Override ContentType="application/vnd.openxmlformats-officedocument.spreadsheetml.worksheet+xml" PartName="/xl/worksheets/sheet31601.xml"/>
  <Override ContentType="application/vnd.openxmlformats-officedocument.spreadsheetml.worksheet+xml" PartName="/xl/worksheets/sheet31602.xml"/>
  <Override ContentType="application/vnd.openxmlformats-officedocument.spreadsheetml.worksheet+xml" PartName="/xl/worksheets/sheet31603.xml"/>
  <Override ContentType="application/vnd.openxmlformats-officedocument.spreadsheetml.worksheet+xml" PartName="/xl/worksheets/sheet31604.xml"/>
  <Override ContentType="application/vnd.openxmlformats-officedocument.spreadsheetml.worksheet+xml" PartName="/xl/worksheets/sheet31605.xml"/>
  <Override ContentType="application/vnd.openxmlformats-officedocument.spreadsheetml.worksheet+xml" PartName="/xl/worksheets/sheet31606.xml"/>
  <Override ContentType="application/vnd.openxmlformats-officedocument.spreadsheetml.worksheet+xml" PartName="/xl/worksheets/sheet31607.xml"/>
  <Override ContentType="application/vnd.openxmlformats-officedocument.spreadsheetml.worksheet+xml" PartName="/xl/worksheets/sheet31608.xml"/>
  <Override ContentType="application/vnd.openxmlformats-officedocument.spreadsheetml.worksheet+xml" PartName="/xl/worksheets/sheet31609.xml"/>
  <Override ContentType="application/vnd.openxmlformats-officedocument.spreadsheetml.worksheet+xml" PartName="/xl/worksheets/sheet31610.xml"/>
  <Override ContentType="application/vnd.openxmlformats-officedocument.spreadsheetml.worksheet+xml" PartName="/xl/worksheets/sheet31611.xml"/>
  <Override ContentType="application/vnd.openxmlformats-officedocument.spreadsheetml.worksheet+xml" PartName="/xl/worksheets/sheet31612.xml"/>
  <Override ContentType="application/vnd.openxmlformats-officedocument.spreadsheetml.worksheet+xml" PartName="/xl/worksheets/sheet31613.xml"/>
  <Override ContentType="application/vnd.openxmlformats-officedocument.spreadsheetml.worksheet+xml" PartName="/xl/worksheets/sheet31614.xml"/>
  <Override ContentType="application/vnd.openxmlformats-officedocument.spreadsheetml.worksheet+xml" PartName="/xl/worksheets/sheet31615.xml"/>
  <Override ContentType="application/vnd.openxmlformats-officedocument.spreadsheetml.worksheet+xml" PartName="/xl/worksheets/sheet31616.xml"/>
  <Override ContentType="application/vnd.openxmlformats-officedocument.spreadsheetml.worksheet+xml" PartName="/xl/worksheets/sheet31617.xml"/>
  <Override ContentType="application/vnd.openxmlformats-officedocument.spreadsheetml.worksheet+xml" PartName="/xl/worksheets/sheet31618.xml"/>
  <Override ContentType="application/vnd.openxmlformats-officedocument.spreadsheetml.worksheet+xml" PartName="/xl/worksheets/sheet31619.xml"/>
  <Override ContentType="application/vnd.openxmlformats-officedocument.spreadsheetml.worksheet+xml" PartName="/xl/worksheets/sheet31620.xml"/>
  <Override ContentType="application/vnd.openxmlformats-officedocument.spreadsheetml.worksheet+xml" PartName="/xl/worksheets/sheet31621.xml"/>
  <Override ContentType="application/vnd.openxmlformats-officedocument.spreadsheetml.worksheet+xml" PartName="/xl/worksheets/sheet31622.xml"/>
  <Override ContentType="application/vnd.openxmlformats-officedocument.spreadsheetml.worksheet+xml" PartName="/xl/worksheets/sheet31623.xml"/>
  <Override ContentType="application/vnd.openxmlformats-officedocument.spreadsheetml.worksheet+xml" PartName="/xl/worksheets/sheet31624.xml"/>
  <Override ContentType="application/vnd.openxmlformats-officedocument.spreadsheetml.worksheet+xml" PartName="/xl/worksheets/sheet31625.xml"/>
  <Override ContentType="application/vnd.openxmlformats-officedocument.spreadsheetml.worksheet+xml" PartName="/xl/worksheets/sheet31626.xml"/>
  <Override ContentType="application/vnd.openxmlformats-officedocument.spreadsheetml.worksheet+xml" PartName="/xl/worksheets/sheet31627.xml"/>
  <Override ContentType="application/vnd.openxmlformats-officedocument.spreadsheetml.worksheet+xml" PartName="/xl/worksheets/sheet31628.xml"/>
  <Override ContentType="application/vnd.openxmlformats-officedocument.spreadsheetml.worksheet+xml" PartName="/xl/worksheets/sheet31629.xml"/>
  <Override ContentType="application/vnd.openxmlformats-officedocument.spreadsheetml.worksheet+xml" PartName="/xl/worksheets/sheet31630.xml"/>
  <Override ContentType="application/vnd.openxmlformats-officedocument.spreadsheetml.worksheet+xml" PartName="/xl/worksheets/sheet31631.xml"/>
  <Override ContentType="application/vnd.openxmlformats-officedocument.spreadsheetml.worksheet+xml" PartName="/xl/worksheets/sheet31632.xml"/>
  <Override ContentType="application/vnd.openxmlformats-officedocument.spreadsheetml.worksheet+xml" PartName="/xl/worksheets/sheet31633.xml"/>
  <Override ContentType="application/vnd.openxmlformats-officedocument.spreadsheetml.worksheet+xml" PartName="/xl/worksheets/sheet31634.xml"/>
  <Override ContentType="application/vnd.openxmlformats-officedocument.spreadsheetml.worksheet+xml" PartName="/xl/worksheets/sheet31635.xml"/>
  <Override ContentType="application/vnd.openxmlformats-officedocument.spreadsheetml.worksheet+xml" PartName="/xl/worksheets/sheet31636.xml"/>
  <Override ContentType="application/vnd.openxmlformats-officedocument.spreadsheetml.worksheet+xml" PartName="/xl/worksheets/sheet31637.xml"/>
  <Override ContentType="application/vnd.openxmlformats-officedocument.spreadsheetml.worksheet+xml" PartName="/xl/worksheets/sheet31638.xml"/>
  <Override ContentType="application/vnd.openxmlformats-officedocument.spreadsheetml.worksheet+xml" PartName="/xl/worksheets/sheet31639.xml"/>
  <Override ContentType="application/vnd.openxmlformats-officedocument.spreadsheetml.worksheet+xml" PartName="/xl/worksheets/sheet31640.xml"/>
  <Override ContentType="application/vnd.openxmlformats-officedocument.spreadsheetml.worksheet+xml" PartName="/xl/worksheets/sheet31641.xml"/>
  <Override ContentType="application/vnd.openxmlformats-officedocument.spreadsheetml.worksheet+xml" PartName="/xl/worksheets/sheet31642.xml"/>
  <Override ContentType="application/vnd.openxmlformats-officedocument.spreadsheetml.worksheet+xml" PartName="/xl/worksheets/sheet31643.xml"/>
  <Override ContentType="application/vnd.openxmlformats-officedocument.spreadsheetml.worksheet+xml" PartName="/xl/worksheets/sheet31644.xml"/>
  <Override ContentType="application/vnd.openxmlformats-officedocument.spreadsheetml.worksheet+xml" PartName="/xl/worksheets/sheet31645.xml"/>
  <Override ContentType="application/vnd.openxmlformats-officedocument.spreadsheetml.worksheet+xml" PartName="/xl/worksheets/sheet31646.xml"/>
  <Override ContentType="application/vnd.openxmlformats-officedocument.spreadsheetml.worksheet+xml" PartName="/xl/worksheets/sheet31647.xml"/>
  <Override ContentType="application/vnd.openxmlformats-officedocument.spreadsheetml.worksheet+xml" PartName="/xl/worksheets/sheet31648.xml"/>
  <Override ContentType="application/vnd.openxmlformats-officedocument.spreadsheetml.worksheet+xml" PartName="/xl/worksheets/sheet31649.xml"/>
  <Override ContentType="application/vnd.openxmlformats-officedocument.spreadsheetml.worksheet+xml" PartName="/xl/worksheets/sheet31650.xml"/>
  <Override ContentType="application/vnd.openxmlformats-officedocument.spreadsheetml.worksheet+xml" PartName="/xl/worksheets/sheet31651.xml"/>
  <Override ContentType="application/vnd.openxmlformats-officedocument.spreadsheetml.worksheet+xml" PartName="/xl/worksheets/sheet31652.xml"/>
  <Override ContentType="application/vnd.openxmlformats-officedocument.spreadsheetml.worksheet+xml" PartName="/xl/worksheets/sheet31653.xml"/>
  <Override ContentType="application/vnd.openxmlformats-officedocument.spreadsheetml.worksheet+xml" PartName="/xl/worksheets/sheet31654.xml"/>
  <Override ContentType="application/vnd.openxmlformats-officedocument.spreadsheetml.worksheet+xml" PartName="/xl/worksheets/sheet31655.xml"/>
  <Override ContentType="application/vnd.openxmlformats-officedocument.spreadsheetml.worksheet+xml" PartName="/xl/worksheets/sheet31656.xml"/>
  <Override ContentType="application/vnd.openxmlformats-officedocument.spreadsheetml.worksheet+xml" PartName="/xl/worksheets/sheet31657.xml"/>
  <Override ContentType="application/vnd.openxmlformats-officedocument.spreadsheetml.worksheet+xml" PartName="/xl/worksheets/sheet31658.xml"/>
  <Override ContentType="application/vnd.openxmlformats-officedocument.spreadsheetml.worksheet+xml" PartName="/xl/worksheets/sheet31659.xml"/>
  <Override ContentType="application/vnd.openxmlformats-officedocument.spreadsheetml.worksheet+xml" PartName="/xl/worksheets/sheet31660.xml"/>
  <Override ContentType="application/vnd.openxmlformats-officedocument.spreadsheetml.worksheet+xml" PartName="/xl/worksheets/sheet31661.xml"/>
  <Override ContentType="application/vnd.openxmlformats-officedocument.spreadsheetml.worksheet+xml" PartName="/xl/worksheets/sheet31662.xml"/>
  <Override ContentType="application/vnd.openxmlformats-officedocument.spreadsheetml.worksheet+xml" PartName="/xl/worksheets/sheet31663.xml"/>
  <Override ContentType="application/vnd.openxmlformats-officedocument.spreadsheetml.worksheet+xml" PartName="/xl/worksheets/sheet31664.xml"/>
  <Override ContentType="application/vnd.openxmlformats-officedocument.spreadsheetml.worksheet+xml" PartName="/xl/worksheets/sheet31665.xml"/>
  <Override ContentType="application/vnd.openxmlformats-officedocument.spreadsheetml.worksheet+xml" PartName="/xl/worksheets/sheet31666.xml"/>
  <Override ContentType="application/vnd.openxmlformats-officedocument.spreadsheetml.worksheet+xml" PartName="/xl/worksheets/sheet31667.xml"/>
  <Override ContentType="application/vnd.openxmlformats-officedocument.spreadsheetml.worksheet+xml" PartName="/xl/worksheets/sheet31668.xml"/>
  <Override ContentType="application/vnd.openxmlformats-officedocument.spreadsheetml.worksheet+xml" PartName="/xl/worksheets/sheet31669.xml"/>
  <Override ContentType="application/vnd.openxmlformats-officedocument.spreadsheetml.worksheet+xml" PartName="/xl/worksheets/sheet31670.xml"/>
  <Override ContentType="application/vnd.openxmlformats-officedocument.spreadsheetml.worksheet+xml" PartName="/xl/worksheets/sheet31671.xml"/>
  <Override ContentType="application/vnd.openxmlformats-officedocument.spreadsheetml.worksheet+xml" PartName="/xl/worksheets/sheet31672.xml"/>
  <Override ContentType="application/vnd.openxmlformats-officedocument.spreadsheetml.worksheet+xml" PartName="/xl/worksheets/sheet31673.xml"/>
  <Override ContentType="application/vnd.openxmlformats-officedocument.spreadsheetml.worksheet+xml" PartName="/xl/worksheets/sheet31674.xml"/>
  <Override ContentType="application/vnd.openxmlformats-officedocument.spreadsheetml.worksheet+xml" PartName="/xl/worksheets/sheet31675.xml"/>
  <Override ContentType="application/vnd.openxmlformats-officedocument.spreadsheetml.worksheet+xml" PartName="/xl/worksheets/sheet31676.xml"/>
  <Override ContentType="application/vnd.openxmlformats-officedocument.spreadsheetml.worksheet+xml" PartName="/xl/worksheets/sheet31677.xml"/>
  <Override ContentType="application/vnd.openxmlformats-officedocument.spreadsheetml.worksheet+xml" PartName="/xl/worksheets/sheet31678.xml"/>
  <Override ContentType="application/vnd.openxmlformats-officedocument.spreadsheetml.worksheet+xml" PartName="/xl/worksheets/sheet31679.xml"/>
  <Override ContentType="application/vnd.openxmlformats-officedocument.spreadsheetml.worksheet+xml" PartName="/xl/worksheets/sheet31680.xml"/>
  <Override ContentType="application/vnd.openxmlformats-officedocument.spreadsheetml.worksheet+xml" PartName="/xl/worksheets/sheet31681.xml"/>
  <Override ContentType="application/vnd.openxmlformats-officedocument.spreadsheetml.worksheet+xml" PartName="/xl/worksheets/sheet31682.xml"/>
  <Override ContentType="application/vnd.openxmlformats-officedocument.spreadsheetml.worksheet+xml" PartName="/xl/worksheets/sheet31683.xml"/>
  <Override ContentType="application/vnd.openxmlformats-officedocument.spreadsheetml.worksheet+xml" PartName="/xl/worksheets/sheet31684.xml"/>
  <Override ContentType="application/vnd.openxmlformats-officedocument.spreadsheetml.worksheet+xml" PartName="/xl/worksheets/sheet31685.xml"/>
  <Override ContentType="application/vnd.openxmlformats-officedocument.spreadsheetml.worksheet+xml" PartName="/xl/worksheets/sheet31686.xml"/>
  <Override ContentType="application/vnd.openxmlformats-officedocument.spreadsheetml.worksheet+xml" PartName="/xl/worksheets/sheet31687.xml"/>
  <Override ContentType="application/vnd.openxmlformats-officedocument.spreadsheetml.worksheet+xml" PartName="/xl/worksheets/sheet31688.xml"/>
  <Override ContentType="application/vnd.openxmlformats-officedocument.spreadsheetml.worksheet+xml" PartName="/xl/worksheets/sheet31689.xml"/>
  <Override ContentType="application/vnd.openxmlformats-officedocument.spreadsheetml.worksheet+xml" PartName="/xl/worksheets/sheet31690.xml"/>
  <Override ContentType="application/vnd.openxmlformats-officedocument.spreadsheetml.worksheet+xml" PartName="/xl/worksheets/sheet31691.xml"/>
  <Override ContentType="application/vnd.openxmlformats-officedocument.spreadsheetml.worksheet+xml" PartName="/xl/worksheets/sheet31692.xml"/>
  <Override ContentType="application/vnd.openxmlformats-officedocument.spreadsheetml.worksheet+xml" PartName="/xl/worksheets/sheet31693.xml"/>
  <Override ContentType="application/vnd.openxmlformats-officedocument.spreadsheetml.worksheet+xml" PartName="/xl/worksheets/sheet31694.xml"/>
  <Override ContentType="application/vnd.openxmlformats-officedocument.spreadsheetml.worksheet+xml" PartName="/xl/worksheets/sheet31695.xml"/>
  <Override ContentType="application/vnd.openxmlformats-officedocument.spreadsheetml.worksheet+xml" PartName="/xl/worksheets/sheet31696.xml"/>
  <Override ContentType="application/vnd.openxmlformats-officedocument.spreadsheetml.worksheet+xml" PartName="/xl/worksheets/sheet31697.xml"/>
  <Override ContentType="application/vnd.openxmlformats-officedocument.spreadsheetml.worksheet+xml" PartName="/xl/worksheets/sheet31698.xml"/>
  <Override ContentType="application/vnd.openxmlformats-officedocument.spreadsheetml.worksheet+xml" PartName="/xl/worksheets/sheet31699.xml"/>
  <Override ContentType="application/vnd.openxmlformats-officedocument.spreadsheetml.worksheet+xml" PartName="/xl/worksheets/sheet31700.xml"/>
  <Override ContentType="application/vnd.openxmlformats-officedocument.spreadsheetml.worksheet+xml" PartName="/xl/worksheets/sheet31701.xml"/>
  <Override ContentType="application/vnd.openxmlformats-officedocument.spreadsheetml.worksheet+xml" PartName="/xl/worksheets/sheet31702.xml"/>
  <Override ContentType="application/vnd.openxmlformats-officedocument.spreadsheetml.worksheet+xml" PartName="/xl/worksheets/sheet31703.xml"/>
  <Override ContentType="application/vnd.openxmlformats-officedocument.spreadsheetml.worksheet+xml" PartName="/xl/worksheets/sheet31704.xml"/>
  <Override ContentType="application/vnd.openxmlformats-officedocument.spreadsheetml.worksheet+xml" PartName="/xl/worksheets/sheet31705.xml"/>
  <Override ContentType="application/vnd.openxmlformats-officedocument.spreadsheetml.worksheet+xml" PartName="/xl/worksheets/sheet31706.xml"/>
  <Override ContentType="application/vnd.openxmlformats-officedocument.spreadsheetml.worksheet+xml" PartName="/xl/worksheets/sheet31707.xml"/>
  <Override ContentType="application/vnd.openxmlformats-officedocument.spreadsheetml.worksheet+xml" PartName="/xl/worksheets/sheet31708.xml"/>
  <Override ContentType="application/vnd.openxmlformats-officedocument.spreadsheetml.worksheet+xml" PartName="/xl/worksheets/sheet31709.xml"/>
  <Override ContentType="application/vnd.openxmlformats-officedocument.spreadsheetml.worksheet+xml" PartName="/xl/worksheets/sheet31710.xml"/>
  <Override ContentType="application/vnd.openxmlformats-officedocument.spreadsheetml.worksheet+xml" PartName="/xl/worksheets/sheet31711.xml"/>
  <Override ContentType="application/vnd.openxmlformats-officedocument.spreadsheetml.worksheet+xml" PartName="/xl/worksheets/sheet31712.xml"/>
  <Override ContentType="application/vnd.openxmlformats-officedocument.spreadsheetml.worksheet+xml" PartName="/xl/worksheets/sheet31713.xml"/>
  <Override ContentType="application/vnd.openxmlformats-officedocument.spreadsheetml.worksheet+xml" PartName="/xl/worksheets/sheet31714.xml"/>
  <Override ContentType="application/vnd.openxmlformats-officedocument.spreadsheetml.worksheet+xml" PartName="/xl/worksheets/sheet31715.xml"/>
  <Override ContentType="application/vnd.openxmlformats-officedocument.spreadsheetml.worksheet+xml" PartName="/xl/worksheets/sheet31716.xml"/>
  <Override ContentType="application/vnd.openxmlformats-officedocument.spreadsheetml.worksheet+xml" PartName="/xl/worksheets/sheet31717.xml"/>
  <Override ContentType="application/vnd.openxmlformats-officedocument.spreadsheetml.worksheet+xml" PartName="/xl/worksheets/sheet31718.xml"/>
  <Override ContentType="application/vnd.openxmlformats-officedocument.spreadsheetml.worksheet+xml" PartName="/xl/worksheets/sheet31719.xml"/>
  <Override ContentType="application/vnd.openxmlformats-officedocument.spreadsheetml.worksheet+xml" PartName="/xl/worksheets/sheet31720.xml"/>
  <Override ContentType="application/vnd.openxmlformats-officedocument.spreadsheetml.worksheet+xml" PartName="/xl/worksheets/sheet31721.xml"/>
  <Override ContentType="application/vnd.openxmlformats-officedocument.spreadsheetml.worksheet+xml" PartName="/xl/worksheets/sheet31722.xml"/>
  <Override ContentType="application/vnd.openxmlformats-officedocument.spreadsheetml.worksheet+xml" PartName="/xl/worksheets/sheet31723.xml"/>
  <Override ContentType="application/vnd.openxmlformats-officedocument.spreadsheetml.worksheet+xml" PartName="/xl/worksheets/sheet31724.xml"/>
  <Override ContentType="application/vnd.openxmlformats-officedocument.spreadsheetml.worksheet+xml" PartName="/xl/worksheets/sheet31725.xml"/>
  <Override ContentType="application/vnd.openxmlformats-officedocument.spreadsheetml.worksheet+xml" PartName="/xl/worksheets/sheet31726.xml"/>
  <Override ContentType="application/vnd.openxmlformats-officedocument.spreadsheetml.worksheet+xml" PartName="/xl/worksheets/sheet31727.xml"/>
  <Override ContentType="application/vnd.openxmlformats-officedocument.spreadsheetml.worksheet+xml" PartName="/xl/worksheets/sheet31728.xml"/>
  <Override ContentType="application/vnd.openxmlformats-officedocument.spreadsheetml.worksheet+xml" PartName="/xl/worksheets/sheet31729.xml"/>
  <Override ContentType="application/vnd.openxmlformats-officedocument.spreadsheetml.worksheet+xml" PartName="/xl/worksheets/sheet31730.xml"/>
  <Override ContentType="application/vnd.openxmlformats-officedocument.spreadsheetml.worksheet+xml" PartName="/xl/worksheets/sheet31731.xml"/>
  <Override ContentType="application/vnd.openxmlformats-officedocument.spreadsheetml.worksheet+xml" PartName="/xl/worksheets/sheet31732.xml"/>
  <Override ContentType="application/vnd.openxmlformats-officedocument.spreadsheetml.worksheet+xml" PartName="/xl/worksheets/sheet31733.xml"/>
  <Override ContentType="application/vnd.openxmlformats-officedocument.spreadsheetml.worksheet+xml" PartName="/xl/worksheets/sheet31734.xml"/>
  <Override ContentType="application/vnd.openxmlformats-officedocument.spreadsheetml.worksheet+xml" PartName="/xl/worksheets/sheet31735.xml"/>
  <Override ContentType="application/vnd.openxmlformats-officedocument.spreadsheetml.worksheet+xml" PartName="/xl/worksheets/sheet31736.xml"/>
  <Override ContentType="application/vnd.openxmlformats-officedocument.spreadsheetml.worksheet+xml" PartName="/xl/worksheets/sheet31737.xml"/>
  <Override ContentType="application/vnd.openxmlformats-officedocument.spreadsheetml.worksheet+xml" PartName="/xl/worksheets/sheet31738.xml"/>
  <Override ContentType="application/vnd.openxmlformats-officedocument.spreadsheetml.worksheet+xml" PartName="/xl/worksheets/sheet31739.xml"/>
  <Override ContentType="application/vnd.openxmlformats-officedocument.spreadsheetml.worksheet+xml" PartName="/xl/worksheets/sheet31740.xml"/>
  <Override ContentType="application/vnd.openxmlformats-officedocument.spreadsheetml.worksheet+xml" PartName="/xl/worksheets/sheet31741.xml"/>
  <Override ContentType="application/vnd.openxmlformats-officedocument.spreadsheetml.worksheet+xml" PartName="/xl/worksheets/sheet31742.xml"/>
  <Override ContentType="application/vnd.openxmlformats-officedocument.spreadsheetml.worksheet+xml" PartName="/xl/worksheets/sheet31743.xml"/>
  <Override ContentType="application/vnd.openxmlformats-officedocument.spreadsheetml.worksheet+xml" PartName="/xl/worksheets/sheet31744.xml"/>
  <Override ContentType="application/vnd.openxmlformats-officedocument.spreadsheetml.worksheet+xml" PartName="/xl/worksheets/sheet31745.xml"/>
  <Override ContentType="application/vnd.openxmlformats-officedocument.spreadsheetml.worksheet+xml" PartName="/xl/worksheets/sheet31746.xml"/>
  <Override ContentType="application/vnd.openxmlformats-officedocument.spreadsheetml.worksheet+xml" PartName="/xl/worksheets/sheet31747.xml"/>
  <Override ContentType="application/vnd.openxmlformats-officedocument.spreadsheetml.worksheet+xml" PartName="/xl/worksheets/sheet31748.xml"/>
  <Override ContentType="application/vnd.openxmlformats-officedocument.spreadsheetml.worksheet+xml" PartName="/xl/worksheets/sheet31749.xml"/>
  <Override ContentType="application/vnd.openxmlformats-officedocument.spreadsheetml.worksheet+xml" PartName="/xl/worksheets/sheet31750.xml"/>
  <Override ContentType="application/vnd.openxmlformats-officedocument.spreadsheetml.worksheet+xml" PartName="/xl/worksheets/sheet31751.xml"/>
  <Override ContentType="application/vnd.openxmlformats-officedocument.spreadsheetml.worksheet+xml" PartName="/xl/worksheets/sheet31752.xml"/>
  <Override ContentType="application/vnd.openxmlformats-officedocument.spreadsheetml.worksheet+xml" PartName="/xl/worksheets/sheet31753.xml"/>
  <Override ContentType="application/vnd.openxmlformats-officedocument.spreadsheetml.worksheet+xml" PartName="/xl/worksheets/sheet31754.xml"/>
  <Override ContentType="application/vnd.openxmlformats-officedocument.spreadsheetml.worksheet+xml" PartName="/xl/worksheets/sheet31755.xml"/>
  <Override ContentType="application/vnd.openxmlformats-officedocument.spreadsheetml.worksheet+xml" PartName="/xl/worksheets/sheet31756.xml"/>
  <Override ContentType="application/vnd.openxmlformats-officedocument.spreadsheetml.worksheet+xml" PartName="/xl/worksheets/sheet31757.xml"/>
  <Override ContentType="application/vnd.openxmlformats-officedocument.spreadsheetml.worksheet+xml" PartName="/xl/worksheets/sheet31758.xml"/>
  <Override ContentType="application/vnd.openxmlformats-officedocument.spreadsheetml.worksheet+xml" PartName="/xl/worksheets/sheet31759.xml"/>
  <Override ContentType="application/vnd.openxmlformats-officedocument.spreadsheetml.worksheet+xml" PartName="/xl/worksheets/sheet31760.xml"/>
  <Override ContentType="application/vnd.openxmlformats-officedocument.spreadsheetml.worksheet+xml" PartName="/xl/worksheets/sheet31761.xml"/>
  <Override ContentType="application/vnd.openxmlformats-officedocument.spreadsheetml.worksheet+xml" PartName="/xl/worksheets/sheet31762.xml"/>
  <Override ContentType="application/vnd.openxmlformats-officedocument.spreadsheetml.worksheet+xml" PartName="/xl/worksheets/sheet31763.xml"/>
  <Override ContentType="application/vnd.openxmlformats-officedocument.spreadsheetml.worksheet+xml" PartName="/xl/worksheets/sheet31764.xml"/>
  <Override ContentType="application/vnd.openxmlformats-officedocument.spreadsheetml.worksheet+xml" PartName="/xl/worksheets/sheet31765.xml"/>
  <Override ContentType="application/vnd.openxmlformats-officedocument.spreadsheetml.worksheet+xml" PartName="/xl/worksheets/sheet31766.xml"/>
  <Override ContentType="application/vnd.openxmlformats-officedocument.spreadsheetml.worksheet+xml" PartName="/xl/worksheets/sheet31767.xml"/>
  <Override ContentType="application/vnd.openxmlformats-officedocument.spreadsheetml.worksheet+xml" PartName="/xl/worksheets/sheet31768.xml"/>
  <Override ContentType="application/vnd.openxmlformats-officedocument.spreadsheetml.worksheet+xml" PartName="/xl/worksheets/sheet31769.xml"/>
  <Override ContentType="application/vnd.openxmlformats-officedocument.spreadsheetml.worksheet+xml" PartName="/xl/worksheets/sheet31770.xml"/>
  <Override ContentType="application/vnd.openxmlformats-officedocument.spreadsheetml.worksheet+xml" PartName="/xl/worksheets/sheet31771.xml"/>
  <Override ContentType="application/vnd.openxmlformats-officedocument.spreadsheetml.worksheet+xml" PartName="/xl/worksheets/sheet31772.xml"/>
  <Override ContentType="application/vnd.openxmlformats-officedocument.spreadsheetml.worksheet+xml" PartName="/xl/worksheets/sheet31773.xml"/>
  <Override ContentType="application/vnd.openxmlformats-officedocument.spreadsheetml.worksheet+xml" PartName="/xl/worksheets/sheet31774.xml"/>
  <Override ContentType="application/vnd.openxmlformats-officedocument.spreadsheetml.worksheet+xml" PartName="/xl/worksheets/sheet31775.xml"/>
  <Override ContentType="application/vnd.openxmlformats-officedocument.spreadsheetml.worksheet+xml" PartName="/xl/worksheets/sheet31776.xml"/>
  <Override ContentType="application/vnd.openxmlformats-officedocument.spreadsheetml.worksheet+xml" PartName="/xl/worksheets/sheet31777.xml"/>
  <Override ContentType="application/vnd.openxmlformats-officedocument.spreadsheetml.worksheet+xml" PartName="/xl/worksheets/sheet31778.xml"/>
  <Override ContentType="application/vnd.openxmlformats-officedocument.spreadsheetml.worksheet+xml" PartName="/xl/worksheets/sheet31779.xml"/>
  <Override ContentType="application/vnd.openxmlformats-officedocument.spreadsheetml.worksheet+xml" PartName="/xl/worksheets/sheet31780.xml"/>
  <Override ContentType="application/vnd.openxmlformats-officedocument.spreadsheetml.worksheet+xml" PartName="/xl/worksheets/sheet31781.xml"/>
  <Override ContentType="application/vnd.openxmlformats-officedocument.spreadsheetml.worksheet+xml" PartName="/xl/worksheets/sheet31782.xml"/>
  <Override ContentType="application/vnd.openxmlformats-officedocument.spreadsheetml.worksheet+xml" PartName="/xl/worksheets/sheet31783.xml"/>
  <Override ContentType="application/vnd.openxmlformats-officedocument.spreadsheetml.worksheet+xml" PartName="/xl/worksheets/sheet31784.xml"/>
  <Override ContentType="application/vnd.openxmlformats-officedocument.spreadsheetml.worksheet+xml" PartName="/xl/worksheets/sheet31785.xml"/>
  <Override ContentType="application/vnd.openxmlformats-officedocument.spreadsheetml.worksheet+xml" PartName="/xl/worksheets/sheet31786.xml"/>
  <Override ContentType="application/vnd.openxmlformats-officedocument.spreadsheetml.worksheet+xml" PartName="/xl/worksheets/sheet31787.xml"/>
  <Override ContentType="application/vnd.openxmlformats-officedocument.spreadsheetml.worksheet+xml" PartName="/xl/worksheets/sheet31788.xml"/>
  <Override ContentType="application/vnd.openxmlformats-officedocument.spreadsheetml.worksheet+xml" PartName="/xl/worksheets/sheet31789.xml"/>
  <Override ContentType="application/vnd.openxmlformats-officedocument.spreadsheetml.worksheet+xml" PartName="/xl/worksheets/sheet31790.xml"/>
  <Override ContentType="application/vnd.openxmlformats-officedocument.spreadsheetml.worksheet+xml" PartName="/xl/worksheets/sheet31791.xml"/>
  <Override ContentType="application/vnd.openxmlformats-officedocument.spreadsheetml.worksheet+xml" PartName="/xl/worksheets/sheet31792.xml"/>
  <Override ContentType="application/vnd.openxmlformats-officedocument.spreadsheetml.worksheet+xml" PartName="/xl/worksheets/sheet31793.xml"/>
  <Override ContentType="application/vnd.openxmlformats-officedocument.spreadsheetml.worksheet+xml" PartName="/xl/worksheets/sheet31794.xml"/>
  <Override ContentType="application/vnd.openxmlformats-officedocument.spreadsheetml.worksheet+xml" PartName="/xl/worksheets/sheet31795.xml"/>
  <Override ContentType="application/vnd.openxmlformats-officedocument.spreadsheetml.worksheet+xml" PartName="/xl/worksheets/sheet31796.xml"/>
  <Override ContentType="application/vnd.openxmlformats-officedocument.spreadsheetml.worksheet+xml" PartName="/xl/worksheets/sheet31797.xml"/>
  <Override ContentType="application/vnd.openxmlformats-officedocument.spreadsheetml.worksheet+xml" PartName="/xl/worksheets/sheet31798.xml"/>
  <Override ContentType="application/vnd.openxmlformats-officedocument.spreadsheetml.worksheet+xml" PartName="/xl/worksheets/sheet31799.xml"/>
  <Override ContentType="application/vnd.openxmlformats-officedocument.spreadsheetml.worksheet+xml" PartName="/xl/worksheets/sheet31800.xml"/>
  <Override ContentType="application/vnd.openxmlformats-officedocument.spreadsheetml.worksheet+xml" PartName="/xl/worksheets/sheet31801.xml"/>
  <Override ContentType="application/vnd.openxmlformats-officedocument.spreadsheetml.worksheet+xml" PartName="/xl/worksheets/sheet31802.xml"/>
  <Override ContentType="application/vnd.openxmlformats-officedocument.spreadsheetml.worksheet+xml" PartName="/xl/worksheets/sheet31803.xml"/>
  <Override ContentType="application/vnd.openxmlformats-officedocument.spreadsheetml.worksheet+xml" PartName="/xl/worksheets/sheet31804.xml"/>
  <Override ContentType="application/vnd.openxmlformats-officedocument.spreadsheetml.worksheet+xml" PartName="/xl/worksheets/sheet31805.xml"/>
  <Override ContentType="application/vnd.openxmlformats-officedocument.spreadsheetml.worksheet+xml" PartName="/xl/worksheets/sheet31806.xml"/>
  <Override ContentType="application/vnd.openxmlformats-officedocument.spreadsheetml.worksheet+xml" PartName="/xl/worksheets/sheet31807.xml"/>
  <Override ContentType="application/vnd.openxmlformats-officedocument.spreadsheetml.worksheet+xml" PartName="/xl/worksheets/sheet31808.xml"/>
  <Override ContentType="application/vnd.openxmlformats-officedocument.spreadsheetml.worksheet+xml" PartName="/xl/worksheets/sheet31809.xml"/>
  <Override ContentType="application/vnd.openxmlformats-officedocument.spreadsheetml.worksheet+xml" PartName="/xl/worksheets/sheet31810.xml"/>
  <Override ContentType="application/vnd.openxmlformats-officedocument.spreadsheetml.worksheet+xml" PartName="/xl/worksheets/sheet31811.xml"/>
  <Override ContentType="application/vnd.openxmlformats-officedocument.spreadsheetml.worksheet+xml" PartName="/xl/worksheets/sheet31812.xml"/>
  <Override ContentType="application/vnd.openxmlformats-officedocument.spreadsheetml.worksheet+xml" PartName="/xl/worksheets/sheet31813.xml"/>
  <Override ContentType="application/vnd.openxmlformats-officedocument.spreadsheetml.worksheet+xml" PartName="/xl/worksheets/sheet31814.xml"/>
  <Override ContentType="application/vnd.openxmlformats-officedocument.spreadsheetml.worksheet+xml" PartName="/xl/worksheets/sheet31815.xml"/>
  <Override ContentType="application/vnd.openxmlformats-officedocument.spreadsheetml.worksheet+xml" PartName="/xl/worksheets/sheet31816.xml"/>
  <Override ContentType="application/vnd.openxmlformats-officedocument.spreadsheetml.worksheet+xml" PartName="/xl/worksheets/sheet31817.xml"/>
  <Override ContentType="application/vnd.openxmlformats-officedocument.spreadsheetml.worksheet+xml" PartName="/xl/worksheets/sheet31818.xml"/>
  <Override ContentType="application/vnd.openxmlformats-officedocument.spreadsheetml.worksheet+xml" PartName="/xl/worksheets/sheet31819.xml"/>
  <Override ContentType="application/vnd.openxmlformats-officedocument.spreadsheetml.worksheet+xml" PartName="/xl/worksheets/sheet31820.xml"/>
  <Override ContentType="application/vnd.openxmlformats-officedocument.spreadsheetml.worksheet+xml" PartName="/xl/worksheets/sheet31821.xml"/>
  <Override ContentType="application/vnd.openxmlformats-officedocument.spreadsheetml.worksheet+xml" PartName="/xl/worksheets/sheet31822.xml"/>
  <Override ContentType="application/vnd.openxmlformats-officedocument.spreadsheetml.worksheet+xml" PartName="/xl/worksheets/sheet31823.xml"/>
  <Override ContentType="application/vnd.openxmlformats-officedocument.spreadsheetml.worksheet+xml" PartName="/xl/worksheets/sheet31824.xml"/>
  <Override ContentType="application/vnd.openxmlformats-officedocument.spreadsheetml.worksheet+xml" PartName="/xl/worksheets/sheet31825.xml"/>
  <Override ContentType="application/vnd.openxmlformats-officedocument.spreadsheetml.worksheet+xml" PartName="/xl/worksheets/sheet31826.xml"/>
  <Override ContentType="application/vnd.openxmlformats-officedocument.spreadsheetml.worksheet+xml" PartName="/xl/worksheets/sheet31827.xml"/>
  <Override ContentType="application/vnd.openxmlformats-officedocument.spreadsheetml.worksheet+xml" PartName="/xl/worksheets/sheet31828.xml"/>
  <Override ContentType="application/vnd.openxmlformats-officedocument.spreadsheetml.worksheet+xml" PartName="/xl/worksheets/sheet31829.xml"/>
  <Override ContentType="application/vnd.openxmlformats-officedocument.spreadsheetml.worksheet+xml" PartName="/xl/worksheets/sheet31830.xml"/>
  <Override ContentType="application/vnd.openxmlformats-officedocument.spreadsheetml.worksheet+xml" PartName="/xl/worksheets/sheet31831.xml"/>
  <Override ContentType="application/vnd.openxmlformats-officedocument.spreadsheetml.worksheet+xml" PartName="/xl/worksheets/sheet31832.xml"/>
  <Override ContentType="application/vnd.openxmlformats-officedocument.spreadsheetml.worksheet+xml" PartName="/xl/worksheets/sheet31833.xml"/>
  <Override ContentType="application/vnd.openxmlformats-officedocument.spreadsheetml.worksheet+xml" PartName="/xl/worksheets/sheet31834.xml"/>
  <Override ContentType="application/vnd.openxmlformats-officedocument.spreadsheetml.worksheet+xml" PartName="/xl/worksheets/sheet31835.xml"/>
  <Override ContentType="application/vnd.openxmlformats-officedocument.spreadsheetml.worksheet+xml" PartName="/xl/worksheets/sheet31836.xml"/>
  <Override ContentType="application/vnd.openxmlformats-officedocument.spreadsheetml.worksheet+xml" PartName="/xl/worksheets/sheet31837.xml"/>
  <Override ContentType="application/vnd.openxmlformats-officedocument.spreadsheetml.worksheet+xml" PartName="/xl/worksheets/sheet31838.xml"/>
  <Override ContentType="application/vnd.openxmlformats-officedocument.spreadsheetml.worksheet+xml" PartName="/xl/worksheets/sheet31839.xml"/>
  <Override ContentType="application/vnd.openxmlformats-officedocument.spreadsheetml.worksheet+xml" PartName="/xl/worksheets/sheet31840.xml"/>
  <Override ContentType="application/vnd.openxmlformats-officedocument.spreadsheetml.worksheet+xml" PartName="/xl/worksheets/sheet31841.xml"/>
  <Override ContentType="application/vnd.openxmlformats-officedocument.spreadsheetml.worksheet+xml" PartName="/xl/worksheets/sheet31842.xml"/>
  <Override ContentType="application/vnd.openxmlformats-officedocument.spreadsheetml.worksheet+xml" PartName="/xl/worksheets/sheet31843.xml"/>
  <Override ContentType="application/vnd.openxmlformats-officedocument.spreadsheetml.worksheet+xml" PartName="/xl/worksheets/sheet31844.xml"/>
  <Override ContentType="application/vnd.openxmlformats-officedocument.spreadsheetml.worksheet+xml" PartName="/xl/worksheets/sheet31845.xml"/>
  <Override ContentType="application/vnd.openxmlformats-officedocument.spreadsheetml.worksheet+xml" PartName="/xl/worksheets/sheet31846.xml"/>
  <Override ContentType="application/vnd.openxmlformats-officedocument.spreadsheetml.worksheet+xml" PartName="/xl/worksheets/sheet31847.xml"/>
  <Override ContentType="application/vnd.openxmlformats-officedocument.spreadsheetml.worksheet+xml" PartName="/xl/worksheets/sheet31848.xml"/>
  <Override ContentType="application/vnd.openxmlformats-officedocument.spreadsheetml.worksheet+xml" PartName="/xl/worksheets/sheet31849.xml"/>
  <Override ContentType="application/vnd.openxmlformats-officedocument.spreadsheetml.worksheet+xml" PartName="/xl/worksheets/sheet31850.xml"/>
  <Override ContentType="application/vnd.openxmlformats-officedocument.spreadsheetml.worksheet+xml" PartName="/xl/worksheets/sheet31851.xml"/>
  <Override ContentType="application/vnd.openxmlformats-officedocument.spreadsheetml.worksheet+xml" PartName="/xl/worksheets/sheet31852.xml"/>
  <Override ContentType="application/vnd.openxmlformats-officedocument.spreadsheetml.worksheet+xml" PartName="/xl/worksheets/sheet31853.xml"/>
  <Override ContentType="application/vnd.openxmlformats-officedocument.spreadsheetml.worksheet+xml" PartName="/xl/worksheets/sheet31854.xml"/>
  <Override ContentType="application/vnd.openxmlformats-officedocument.spreadsheetml.worksheet+xml" PartName="/xl/worksheets/sheet31855.xml"/>
  <Override ContentType="application/vnd.openxmlformats-officedocument.spreadsheetml.worksheet+xml" PartName="/xl/worksheets/sheet31856.xml"/>
  <Override ContentType="application/vnd.openxmlformats-officedocument.spreadsheetml.worksheet+xml" PartName="/xl/worksheets/sheet31857.xml"/>
  <Override ContentType="application/vnd.openxmlformats-officedocument.spreadsheetml.worksheet+xml" PartName="/xl/worksheets/sheet31858.xml"/>
  <Override ContentType="application/vnd.openxmlformats-officedocument.spreadsheetml.worksheet+xml" PartName="/xl/worksheets/sheet31859.xml"/>
  <Override ContentType="application/vnd.openxmlformats-officedocument.spreadsheetml.worksheet+xml" PartName="/xl/worksheets/sheet31860.xml"/>
  <Override ContentType="application/vnd.openxmlformats-officedocument.spreadsheetml.worksheet+xml" PartName="/xl/worksheets/sheet31861.xml"/>
  <Override ContentType="application/vnd.openxmlformats-officedocument.spreadsheetml.worksheet+xml" PartName="/xl/worksheets/sheet31862.xml"/>
  <Override ContentType="application/vnd.openxmlformats-officedocument.spreadsheetml.worksheet+xml" PartName="/xl/worksheets/sheet31863.xml"/>
  <Override ContentType="application/vnd.openxmlformats-officedocument.spreadsheetml.worksheet+xml" PartName="/xl/worksheets/sheet31864.xml"/>
  <Override ContentType="application/vnd.openxmlformats-officedocument.spreadsheetml.worksheet+xml" PartName="/xl/worksheets/sheet31865.xml"/>
  <Override ContentType="application/vnd.openxmlformats-officedocument.spreadsheetml.worksheet+xml" PartName="/xl/worksheets/sheet31866.xml"/>
  <Override ContentType="application/vnd.openxmlformats-officedocument.spreadsheetml.worksheet+xml" PartName="/xl/worksheets/sheet31867.xml"/>
  <Override ContentType="application/vnd.openxmlformats-officedocument.spreadsheetml.worksheet+xml" PartName="/xl/worksheets/sheet31868.xml"/>
  <Override ContentType="application/vnd.openxmlformats-officedocument.spreadsheetml.worksheet+xml" PartName="/xl/worksheets/sheet31869.xml"/>
  <Override ContentType="application/vnd.openxmlformats-officedocument.spreadsheetml.worksheet+xml" PartName="/xl/worksheets/sheet31870.xml"/>
  <Override ContentType="application/vnd.openxmlformats-officedocument.spreadsheetml.worksheet+xml" PartName="/xl/worksheets/sheet31871.xml"/>
  <Override ContentType="application/vnd.openxmlformats-officedocument.spreadsheetml.worksheet+xml" PartName="/xl/worksheets/sheet31872.xml"/>
  <Override ContentType="application/vnd.openxmlformats-officedocument.spreadsheetml.worksheet+xml" PartName="/xl/worksheets/sheet31873.xml"/>
  <Override ContentType="application/vnd.openxmlformats-officedocument.spreadsheetml.worksheet+xml" PartName="/xl/worksheets/sheet31874.xml"/>
  <Override ContentType="application/vnd.openxmlformats-officedocument.spreadsheetml.worksheet+xml" PartName="/xl/worksheets/sheet31875.xml"/>
  <Override ContentType="application/vnd.openxmlformats-officedocument.spreadsheetml.worksheet+xml" PartName="/xl/worksheets/sheet31876.xml"/>
  <Override ContentType="application/vnd.openxmlformats-officedocument.spreadsheetml.worksheet+xml" PartName="/xl/worksheets/sheet31877.xml"/>
  <Override ContentType="application/vnd.openxmlformats-officedocument.spreadsheetml.worksheet+xml" PartName="/xl/worksheets/sheet31878.xml"/>
  <Override ContentType="application/vnd.openxmlformats-officedocument.spreadsheetml.worksheet+xml" PartName="/xl/worksheets/sheet31879.xml"/>
  <Override ContentType="application/vnd.openxmlformats-officedocument.spreadsheetml.worksheet+xml" PartName="/xl/worksheets/sheet31880.xml"/>
  <Override ContentType="application/vnd.openxmlformats-officedocument.spreadsheetml.worksheet+xml" PartName="/xl/worksheets/sheet31881.xml"/>
  <Override ContentType="application/vnd.openxmlformats-officedocument.spreadsheetml.worksheet+xml" PartName="/xl/worksheets/sheet31882.xml"/>
  <Override ContentType="application/vnd.openxmlformats-officedocument.spreadsheetml.worksheet+xml" PartName="/xl/worksheets/sheet31883.xml"/>
  <Override ContentType="application/vnd.openxmlformats-officedocument.spreadsheetml.worksheet+xml" PartName="/xl/worksheets/sheet31884.xml"/>
  <Override ContentType="application/vnd.openxmlformats-officedocument.spreadsheetml.worksheet+xml" PartName="/xl/worksheets/sheet31885.xml"/>
  <Override ContentType="application/vnd.openxmlformats-officedocument.spreadsheetml.worksheet+xml" PartName="/xl/worksheets/sheet31886.xml"/>
  <Override ContentType="application/vnd.openxmlformats-officedocument.spreadsheetml.worksheet+xml" PartName="/xl/worksheets/sheet31887.xml"/>
  <Override ContentType="application/vnd.openxmlformats-officedocument.spreadsheetml.worksheet+xml" PartName="/xl/worksheets/sheet31888.xml"/>
  <Override ContentType="application/vnd.openxmlformats-officedocument.spreadsheetml.worksheet+xml" PartName="/xl/worksheets/sheet31889.xml"/>
  <Override ContentType="application/vnd.openxmlformats-officedocument.spreadsheetml.worksheet+xml" PartName="/xl/worksheets/sheet31890.xml"/>
  <Override ContentType="application/vnd.openxmlformats-officedocument.spreadsheetml.worksheet+xml" PartName="/xl/worksheets/sheet31891.xml"/>
  <Override ContentType="application/vnd.openxmlformats-officedocument.spreadsheetml.worksheet+xml" PartName="/xl/worksheets/sheet31892.xml"/>
  <Override ContentType="application/vnd.openxmlformats-officedocument.spreadsheetml.worksheet+xml" PartName="/xl/worksheets/sheet31893.xml"/>
  <Override ContentType="application/vnd.openxmlformats-officedocument.spreadsheetml.worksheet+xml" PartName="/xl/worksheets/sheet31894.xml"/>
  <Override ContentType="application/vnd.openxmlformats-officedocument.spreadsheetml.worksheet+xml" PartName="/xl/worksheets/sheet31895.xml"/>
  <Override ContentType="application/vnd.openxmlformats-officedocument.spreadsheetml.worksheet+xml" PartName="/xl/worksheets/sheet31896.xml"/>
  <Override ContentType="application/vnd.openxmlformats-officedocument.spreadsheetml.worksheet+xml" PartName="/xl/worksheets/sheet31897.xml"/>
  <Override ContentType="application/vnd.openxmlformats-officedocument.spreadsheetml.worksheet+xml" PartName="/xl/worksheets/sheet31898.xml"/>
  <Override ContentType="application/vnd.openxmlformats-officedocument.spreadsheetml.worksheet+xml" PartName="/xl/worksheets/sheet31899.xml"/>
  <Override ContentType="application/vnd.openxmlformats-officedocument.spreadsheetml.worksheet+xml" PartName="/xl/worksheets/sheet31900.xml"/>
  <Override ContentType="application/vnd.openxmlformats-officedocument.spreadsheetml.worksheet+xml" PartName="/xl/worksheets/sheet31901.xml"/>
  <Override ContentType="application/vnd.openxmlformats-officedocument.spreadsheetml.worksheet+xml" PartName="/xl/worksheets/sheet31902.xml"/>
  <Override ContentType="application/vnd.openxmlformats-officedocument.spreadsheetml.worksheet+xml" PartName="/xl/worksheets/sheet31903.xml"/>
  <Override ContentType="application/vnd.openxmlformats-officedocument.spreadsheetml.worksheet+xml" PartName="/xl/worksheets/sheet31904.xml"/>
  <Override ContentType="application/vnd.openxmlformats-officedocument.spreadsheetml.worksheet+xml" PartName="/xl/worksheets/sheet31905.xml"/>
  <Override ContentType="application/vnd.openxmlformats-officedocument.spreadsheetml.worksheet+xml" PartName="/xl/worksheets/sheet31906.xml"/>
  <Override ContentType="application/vnd.openxmlformats-officedocument.spreadsheetml.worksheet+xml" PartName="/xl/worksheets/sheet31907.xml"/>
  <Override ContentType="application/vnd.openxmlformats-officedocument.spreadsheetml.worksheet+xml" PartName="/xl/worksheets/sheet31908.xml"/>
  <Override ContentType="application/vnd.openxmlformats-officedocument.spreadsheetml.worksheet+xml" PartName="/xl/worksheets/sheet31909.xml"/>
  <Override ContentType="application/vnd.openxmlformats-officedocument.spreadsheetml.worksheet+xml" PartName="/xl/worksheets/sheet31910.xml"/>
  <Override ContentType="application/vnd.openxmlformats-officedocument.spreadsheetml.worksheet+xml" PartName="/xl/worksheets/sheet31911.xml"/>
  <Override ContentType="application/vnd.openxmlformats-officedocument.spreadsheetml.worksheet+xml" PartName="/xl/worksheets/sheet31912.xml"/>
  <Override ContentType="application/vnd.openxmlformats-officedocument.spreadsheetml.worksheet+xml" PartName="/xl/worksheets/sheet31913.xml"/>
  <Override ContentType="application/vnd.openxmlformats-officedocument.spreadsheetml.worksheet+xml" PartName="/xl/worksheets/sheet31914.xml"/>
  <Override ContentType="application/vnd.openxmlformats-officedocument.spreadsheetml.worksheet+xml" PartName="/xl/worksheets/sheet31915.xml"/>
  <Override ContentType="application/vnd.openxmlformats-officedocument.spreadsheetml.worksheet+xml" PartName="/xl/worksheets/sheet31916.xml"/>
  <Override ContentType="application/vnd.openxmlformats-officedocument.spreadsheetml.worksheet+xml" PartName="/xl/worksheets/sheet31917.xml"/>
  <Override ContentType="application/vnd.openxmlformats-officedocument.spreadsheetml.worksheet+xml" PartName="/xl/worksheets/sheet31918.xml"/>
  <Override ContentType="application/vnd.openxmlformats-officedocument.spreadsheetml.worksheet+xml" PartName="/xl/worksheets/sheet31919.xml"/>
  <Override ContentType="application/vnd.openxmlformats-officedocument.spreadsheetml.worksheet+xml" PartName="/xl/worksheets/sheet31920.xml"/>
  <Override ContentType="application/vnd.openxmlformats-officedocument.spreadsheetml.worksheet+xml" PartName="/xl/worksheets/sheet31921.xml"/>
  <Override ContentType="application/vnd.openxmlformats-officedocument.spreadsheetml.worksheet+xml" PartName="/xl/worksheets/sheet31922.xml"/>
  <Override ContentType="application/vnd.openxmlformats-officedocument.spreadsheetml.worksheet+xml" PartName="/xl/worksheets/sheet31923.xml"/>
  <Override ContentType="application/vnd.openxmlformats-officedocument.spreadsheetml.worksheet+xml" PartName="/xl/worksheets/sheet31924.xml"/>
  <Override ContentType="application/vnd.openxmlformats-officedocument.spreadsheetml.worksheet+xml" PartName="/xl/worksheets/sheet31925.xml"/>
  <Override ContentType="application/vnd.openxmlformats-officedocument.spreadsheetml.worksheet+xml" PartName="/xl/worksheets/sheet31926.xml"/>
  <Override ContentType="application/vnd.openxmlformats-officedocument.spreadsheetml.worksheet+xml" PartName="/xl/worksheets/sheet31927.xml"/>
  <Override ContentType="application/vnd.openxmlformats-officedocument.spreadsheetml.worksheet+xml" PartName="/xl/worksheets/sheet31928.xml"/>
  <Override ContentType="application/vnd.openxmlformats-officedocument.spreadsheetml.worksheet+xml" PartName="/xl/worksheets/sheet31929.xml"/>
  <Override ContentType="application/vnd.openxmlformats-officedocument.spreadsheetml.worksheet+xml" PartName="/xl/worksheets/sheet31930.xml"/>
  <Override ContentType="application/vnd.openxmlformats-officedocument.spreadsheetml.worksheet+xml" PartName="/xl/worksheets/sheet31931.xml"/>
  <Override ContentType="application/vnd.openxmlformats-officedocument.spreadsheetml.worksheet+xml" PartName="/xl/worksheets/sheet31932.xml"/>
  <Override ContentType="application/vnd.openxmlformats-officedocument.spreadsheetml.worksheet+xml" PartName="/xl/worksheets/sheet31933.xml"/>
  <Override ContentType="application/vnd.openxmlformats-officedocument.spreadsheetml.worksheet+xml" PartName="/xl/worksheets/sheet31934.xml"/>
  <Override ContentType="application/vnd.openxmlformats-officedocument.spreadsheetml.worksheet+xml" PartName="/xl/worksheets/sheet31935.xml"/>
  <Override ContentType="application/vnd.openxmlformats-officedocument.spreadsheetml.worksheet+xml" PartName="/xl/worksheets/sheet31936.xml"/>
  <Override ContentType="application/vnd.openxmlformats-officedocument.spreadsheetml.worksheet+xml" PartName="/xl/worksheets/sheet31937.xml"/>
  <Override ContentType="application/vnd.openxmlformats-officedocument.spreadsheetml.worksheet+xml" PartName="/xl/worksheets/sheet31938.xml"/>
  <Override ContentType="application/vnd.openxmlformats-officedocument.spreadsheetml.worksheet+xml" PartName="/xl/worksheets/sheet31939.xml"/>
  <Override ContentType="application/vnd.openxmlformats-officedocument.spreadsheetml.worksheet+xml" PartName="/xl/worksheets/sheet31940.xml"/>
  <Override ContentType="application/vnd.openxmlformats-officedocument.spreadsheetml.worksheet+xml" PartName="/xl/worksheets/sheet31941.xml"/>
  <Override ContentType="application/vnd.openxmlformats-officedocument.spreadsheetml.worksheet+xml" PartName="/xl/worksheets/sheet31942.xml"/>
  <Override ContentType="application/vnd.openxmlformats-officedocument.spreadsheetml.worksheet+xml" PartName="/xl/worksheets/sheet31943.xml"/>
  <Override ContentType="application/vnd.openxmlformats-officedocument.spreadsheetml.worksheet+xml" PartName="/xl/worksheets/sheet31944.xml"/>
  <Override ContentType="application/vnd.openxmlformats-officedocument.spreadsheetml.worksheet+xml" PartName="/xl/worksheets/sheet31945.xml"/>
  <Override ContentType="application/vnd.openxmlformats-officedocument.spreadsheetml.worksheet+xml" PartName="/xl/worksheets/sheet31946.xml"/>
  <Override ContentType="application/vnd.openxmlformats-officedocument.spreadsheetml.worksheet+xml" PartName="/xl/worksheets/sheet31947.xml"/>
  <Override ContentType="application/vnd.openxmlformats-officedocument.spreadsheetml.worksheet+xml" PartName="/xl/worksheets/sheet31948.xml"/>
  <Override ContentType="application/vnd.openxmlformats-officedocument.spreadsheetml.worksheet+xml" PartName="/xl/worksheets/sheet31949.xml"/>
  <Override ContentType="application/vnd.openxmlformats-officedocument.spreadsheetml.worksheet+xml" PartName="/xl/worksheets/sheet31950.xml"/>
  <Override ContentType="application/vnd.openxmlformats-officedocument.spreadsheetml.worksheet+xml" PartName="/xl/worksheets/sheet31951.xml"/>
  <Override ContentType="application/vnd.openxmlformats-officedocument.spreadsheetml.worksheet+xml" PartName="/xl/worksheets/sheet31952.xml"/>
  <Override ContentType="application/vnd.openxmlformats-officedocument.spreadsheetml.worksheet+xml" PartName="/xl/worksheets/sheet31953.xml"/>
  <Override ContentType="application/vnd.openxmlformats-officedocument.spreadsheetml.worksheet+xml" PartName="/xl/worksheets/sheet31954.xml"/>
  <Override ContentType="application/vnd.openxmlformats-officedocument.spreadsheetml.worksheet+xml" PartName="/xl/worksheets/sheet31955.xml"/>
  <Override ContentType="application/vnd.openxmlformats-officedocument.spreadsheetml.worksheet+xml" PartName="/xl/worksheets/sheet31956.xml"/>
  <Override ContentType="application/vnd.openxmlformats-officedocument.spreadsheetml.worksheet+xml" PartName="/xl/worksheets/sheet31957.xml"/>
  <Override ContentType="application/vnd.openxmlformats-officedocument.spreadsheetml.worksheet+xml" PartName="/xl/worksheets/sheet31958.xml"/>
  <Override ContentType="application/vnd.openxmlformats-officedocument.spreadsheetml.worksheet+xml" PartName="/xl/worksheets/sheet31959.xml"/>
  <Override ContentType="application/vnd.openxmlformats-officedocument.spreadsheetml.worksheet+xml" PartName="/xl/worksheets/sheet31960.xml"/>
  <Override ContentType="application/vnd.openxmlformats-officedocument.spreadsheetml.worksheet+xml" PartName="/xl/worksheets/sheet31961.xml"/>
  <Override ContentType="application/vnd.openxmlformats-officedocument.spreadsheetml.worksheet+xml" PartName="/xl/worksheets/sheet31962.xml"/>
  <Override ContentType="application/vnd.openxmlformats-officedocument.spreadsheetml.worksheet+xml" PartName="/xl/worksheets/sheet31963.xml"/>
  <Override ContentType="application/vnd.openxmlformats-officedocument.spreadsheetml.worksheet+xml" PartName="/xl/worksheets/sheet31964.xml"/>
  <Override ContentType="application/vnd.openxmlformats-officedocument.spreadsheetml.worksheet+xml" PartName="/xl/worksheets/sheet31965.xml"/>
  <Override ContentType="application/vnd.openxmlformats-officedocument.spreadsheetml.worksheet+xml" PartName="/xl/worksheets/sheet31966.xml"/>
  <Override ContentType="application/vnd.openxmlformats-officedocument.spreadsheetml.worksheet+xml" PartName="/xl/worksheets/sheet31967.xml"/>
  <Override ContentType="application/vnd.openxmlformats-officedocument.spreadsheetml.worksheet+xml" PartName="/xl/worksheets/sheet31968.xml"/>
  <Override ContentType="application/vnd.openxmlformats-officedocument.spreadsheetml.worksheet+xml" PartName="/xl/worksheets/sheet31969.xml"/>
  <Override ContentType="application/vnd.openxmlformats-officedocument.spreadsheetml.worksheet+xml" PartName="/xl/worksheets/sheet31970.xml"/>
  <Override ContentType="application/vnd.openxmlformats-officedocument.spreadsheetml.worksheet+xml" PartName="/xl/worksheets/sheet31971.xml"/>
  <Override ContentType="application/vnd.openxmlformats-officedocument.spreadsheetml.worksheet+xml" PartName="/xl/worksheets/sheet31972.xml"/>
  <Override ContentType="application/vnd.openxmlformats-officedocument.spreadsheetml.worksheet+xml" PartName="/xl/worksheets/sheet31973.xml"/>
  <Override ContentType="application/vnd.openxmlformats-officedocument.spreadsheetml.worksheet+xml" PartName="/xl/worksheets/sheet31974.xml"/>
  <Override ContentType="application/vnd.openxmlformats-officedocument.spreadsheetml.worksheet+xml" PartName="/xl/worksheets/sheet31975.xml"/>
  <Override ContentType="application/vnd.openxmlformats-officedocument.spreadsheetml.worksheet+xml" PartName="/xl/worksheets/sheet31976.xml"/>
  <Override ContentType="application/vnd.openxmlformats-officedocument.spreadsheetml.worksheet+xml" PartName="/xl/worksheets/sheet31977.xml"/>
  <Override ContentType="application/vnd.openxmlformats-officedocument.spreadsheetml.worksheet+xml" PartName="/xl/worksheets/sheet31978.xml"/>
  <Override ContentType="application/vnd.openxmlformats-officedocument.spreadsheetml.worksheet+xml" PartName="/xl/worksheets/sheet31979.xml"/>
  <Override ContentType="application/vnd.openxmlformats-officedocument.spreadsheetml.worksheet+xml" PartName="/xl/worksheets/sheet31980.xml"/>
  <Override ContentType="application/vnd.openxmlformats-officedocument.spreadsheetml.worksheet+xml" PartName="/xl/worksheets/sheet31981.xml"/>
  <Override ContentType="application/vnd.openxmlformats-officedocument.spreadsheetml.worksheet+xml" PartName="/xl/worksheets/sheet31982.xml"/>
  <Override ContentType="application/vnd.openxmlformats-officedocument.spreadsheetml.worksheet+xml" PartName="/xl/worksheets/sheet31983.xml"/>
  <Override ContentType="application/vnd.openxmlformats-officedocument.spreadsheetml.worksheet+xml" PartName="/xl/worksheets/sheet31984.xml"/>
  <Override ContentType="application/vnd.openxmlformats-officedocument.spreadsheetml.worksheet+xml" PartName="/xl/worksheets/sheet31985.xml"/>
  <Override ContentType="application/vnd.openxmlformats-officedocument.spreadsheetml.worksheet+xml" PartName="/xl/worksheets/sheet31986.xml"/>
  <Override ContentType="application/vnd.openxmlformats-officedocument.spreadsheetml.worksheet+xml" PartName="/xl/worksheets/sheet31987.xml"/>
  <Override ContentType="application/vnd.openxmlformats-officedocument.spreadsheetml.worksheet+xml" PartName="/xl/worksheets/sheet31988.xml"/>
  <Override ContentType="application/vnd.openxmlformats-officedocument.spreadsheetml.worksheet+xml" PartName="/xl/worksheets/sheet31989.xml"/>
  <Override ContentType="application/vnd.openxmlformats-officedocument.spreadsheetml.worksheet+xml" PartName="/xl/worksheets/sheet31990.xml"/>
  <Override ContentType="application/vnd.openxmlformats-officedocument.spreadsheetml.worksheet+xml" PartName="/xl/worksheets/sheet31991.xml"/>
  <Override ContentType="application/vnd.openxmlformats-officedocument.spreadsheetml.worksheet+xml" PartName="/xl/worksheets/sheet31992.xml"/>
  <Override ContentType="application/vnd.openxmlformats-officedocument.spreadsheetml.worksheet+xml" PartName="/xl/worksheets/sheet31993.xml"/>
  <Override ContentType="application/vnd.openxmlformats-officedocument.spreadsheetml.worksheet+xml" PartName="/xl/worksheets/sheet31994.xml"/>
  <Override ContentType="application/vnd.openxmlformats-officedocument.spreadsheetml.worksheet+xml" PartName="/xl/worksheets/sheet31995.xml"/>
  <Override ContentType="application/vnd.openxmlformats-officedocument.spreadsheetml.worksheet+xml" PartName="/xl/worksheets/sheet31996.xml"/>
  <Override ContentType="application/vnd.openxmlformats-officedocument.spreadsheetml.worksheet+xml" PartName="/xl/worksheets/sheet31997.xml"/>
  <Override ContentType="application/vnd.openxmlformats-officedocument.spreadsheetml.worksheet+xml" PartName="/xl/worksheets/sheet31998.xml"/>
  <Override ContentType="application/vnd.openxmlformats-officedocument.spreadsheetml.worksheet+xml" PartName="/xl/worksheets/sheet31999.xml"/>
  <Override ContentType="application/vnd.openxmlformats-officedocument.spreadsheetml.worksheet+xml" PartName="/xl/worksheets/sheet32000.xml"/>
  <Override ContentType="application/vnd.openxmlformats-officedocument.spreadsheetml.worksheet+xml" PartName="/xl/worksheets/sheet32001.xml"/>
  <Override ContentType="application/vnd.openxmlformats-officedocument.spreadsheetml.worksheet+xml" PartName="/xl/worksheets/sheet32002.xml"/>
  <Override ContentType="application/vnd.openxmlformats-officedocument.spreadsheetml.worksheet+xml" PartName="/xl/worksheets/sheet32003.xml"/>
  <Override ContentType="application/vnd.openxmlformats-officedocument.spreadsheetml.worksheet+xml" PartName="/xl/worksheets/sheet32004.xml"/>
  <Override ContentType="application/vnd.openxmlformats-officedocument.spreadsheetml.worksheet+xml" PartName="/xl/worksheets/sheet32005.xml"/>
  <Override ContentType="application/vnd.openxmlformats-officedocument.spreadsheetml.worksheet+xml" PartName="/xl/worksheets/sheet32006.xml"/>
  <Override ContentType="application/vnd.openxmlformats-officedocument.spreadsheetml.worksheet+xml" PartName="/xl/worksheets/sheet32007.xml"/>
  <Override ContentType="application/vnd.openxmlformats-officedocument.spreadsheetml.worksheet+xml" PartName="/xl/worksheets/sheet32008.xml"/>
  <Override ContentType="application/vnd.openxmlformats-officedocument.spreadsheetml.worksheet+xml" PartName="/xl/worksheets/sheet32009.xml"/>
  <Override ContentType="application/vnd.openxmlformats-officedocument.spreadsheetml.worksheet+xml" PartName="/xl/worksheets/sheet32010.xml"/>
  <Override ContentType="application/vnd.openxmlformats-officedocument.spreadsheetml.worksheet+xml" PartName="/xl/worksheets/sheet32011.xml"/>
  <Override ContentType="application/vnd.openxmlformats-officedocument.spreadsheetml.worksheet+xml" PartName="/xl/worksheets/sheet32012.xml"/>
  <Override ContentType="application/vnd.openxmlformats-officedocument.spreadsheetml.worksheet+xml" PartName="/xl/worksheets/sheet32013.xml"/>
  <Override ContentType="application/vnd.openxmlformats-officedocument.spreadsheetml.worksheet+xml" PartName="/xl/worksheets/sheet32014.xml"/>
  <Override ContentType="application/vnd.openxmlformats-officedocument.spreadsheetml.worksheet+xml" PartName="/xl/worksheets/sheet32015.xml"/>
  <Override ContentType="application/vnd.openxmlformats-officedocument.spreadsheetml.worksheet+xml" PartName="/xl/worksheets/sheet32016.xml"/>
  <Override ContentType="application/vnd.openxmlformats-officedocument.spreadsheetml.worksheet+xml" PartName="/xl/worksheets/sheet32017.xml"/>
  <Override ContentType="application/vnd.openxmlformats-officedocument.spreadsheetml.worksheet+xml" PartName="/xl/worksheets/sheet32018.xml"/>
  <Override ContentType="application/vnd.openxmlformats-officedocument.spreadsheetml.worksheet+xml" PartName="/xl/worksheets/sheet32019.xml"/>
  <Override ContentType="application/vnd.openxmlformats-officedocument.spreadsheetml.worksheet+xml" PartName="/xl/worksheets/sheet32020.xml"/>
  <Override ContentType="application/vnd.openxmlformats-officedocument.spreadsheetml.worksheet+xml" PartName="/xl/worksheets/sheet32021.xml"/>
  <Override ContentType="application/vnd.openxmlformats-officedocument.spreadsheetml.worksheet+xml" PartName="/xl/worksheets/sheet32022.xml"/>
  <Override ContentType="application/vnd.openxmlformats-officedocument.spreadsheetml.worksheet+xml" PartName="/xl/worksheets/sheet32023.xml"/>
  <Override ContentType="application/vnd.openxmlformats-officedocument.spreadsheetml.worksheet+xml" PartName="/xl/worksheets/sheet32024.xml"/>
  <Override ContentType="application/vnd.openxmlformats-officedocument.spreadsheetml.worksheet+xml" PartName="/xl/worksheets/sheet32025.xml"/>
  <Override ContentType="application/vnd.openxmlformats-officedocument.spreadsheetml.worksheet+xml" PartName="/xl/worksheets/sheet32026.xml"/>
  <Override ContentType="application/vnd.openxmlformats-officedocument.spreadsheetml.worksheet+xml" PartName="/xl/worksheets/sheet32027.xml"/>
  <Override ContentType="application/vnd.openxmlformats-officedocument.spreadsheetml.worksheet+xml" PartName="/xl/worksheets/sheet32028.xml"/>
  <Override ContentType="application/vnd.openxmlformats-officedocument.spreadsheetml.worksheet+xml" PartName="/xl/worksheets/sheet32029.xml"/>
  <Override ContentType="application/vnd.openxmlformats-officedocument.spreadsheetml.worksheet+xml" PartName="/xl/worksheets/sheet32030.xml"/>
  <Override ContentType="application/vnd.openxmlformats-officedocument.spreadsheetml.worksheet+xml" PartName="/xl/worksheets/sheet32031.xml"/>
  <Override ContentType="application/vnd.openxmlformats-officedocument.spreadsheetml.worksheet+xml" PartName="/xl/worksheets/sheet32032.xml"/>
  <Override ContentType="application/vnd.openxmlformats-officedocument.spreadsheetml.worksheet+xml" PartName="/xl/worksheets/sheet32033.xml"/>
  <Override ContentType="application/vnd.openxmlformats-officedocument.spreadsheetml.worksheet+xml" PartName="/xl/worksheets/sheet32034.xml"/>
  <Override ContentType="application/vnd.openxmlformats-officedocument.spreadsheetml.worksheet+xml" PartName="/xl/worksheets/sheet32035.xml"/>
  <Override ContentType="application/vnd.openxmlformats-officedocument.spreadsheetml.worksheet+xml" PartName="/xl/worksheets/sheet32036.xml"/>
  <Override ContentType="application/vnd.openxmlformats-officedocument.spreadsheetml.worksheet+xml" PartName="/xl/worksheets/sheet32037.xml"/>
  <Override ContentType="application/vnd.openxmlformats-officedocument.spreadsheetml.worksheet+xml" PartName="/xl/worksheets/sheet32038.xml"/>
  <Override ContentType="application/vnd.openxmlformats-officedocument.spreadsheetml.worksheet+xml" PartName="/xl/worksheets/sheet32039.xml"/>
  <Override ContentType="application/vnd.openxmlformats-officedocument.spreadsheetml.worksheet+xml" PartName="/xl/worksheets/sheet32040.xml"/>
  <Override ContentType="application/vnd.openxmlformats-officedocument.spreadsheetml.worksheet+xml" PartName="/xl/worksheets/sheet32041.xml"/>
  <Override ContentType="application/vnd.openxmlformats-officedocument.spreadsheetml.worksheet+xml" PartName="/xl/worksheets/sheet32042.xml"/>
  <Override ContentType="application/vnd.openxmlformats-officedocument.spreadsheetml.worksheet+xml" PartName="/xl/worksheets/sheet32043.xml"/>
  <Override ContentType="application/vnd.openxmlformats-officedocument.spreadsheetml.worksheet+xml" PartName="/xl/worksheets/sheet32044.xml"/>
  <Override ContentType="application/vnd.openxmlformats-officedocument.spreadsheetml.worksheet+xml" PartName="/xl/worksheets/sheet32045.xml"/>
  <Override ContentType="application/vnd.openxmlformats-officedocument.spreadsheetml.worksheet+xml" PartName="/xl/worksheets/sheet32046.xml"/>
  <Override ContentType="application/vnd.openxmlformats-officedocument.spreadsheetml.worksheet+xml" PartName="/xl/worksheets/sheet32047.xml"/>
  <Override ContentType="application/vnd.openxmlformats-officedocument.spreadsheetml.worksheet+xml" PartName="/xl/worksheets/sheet32048.xml"/>
  <Override ContentType="application/vnd.openxmlformats-officedocument.spreadsheetml.worksheet+xml" PartName="/xl/worksheets/sheet32049.xml"/>
  <Override ContentType="application/vnd.openxmlformats-officedocument.spreadsheetml.worksheet+xml" PartName="/xl/worksheets/sheet32050.xml"/>
  <Override ContentType="application/vnd.openxmlformats-officedocument.spreadsheetml.worksheet+xml" PartName="/xl/worksheets/sheet32051.xml"/>
  <Override ContentType="application/vnd.openxmlformats-officedocument.spreadsheetml.worksheet+xml" PartName="/xl/worksheets/sheet32052.xml"/>
  <Override ContentType="application/vnd.openxmlformats-officedocument.spreadsheetml.worksheet+xml" PartName="/xl/worksheets/sheet32053.xml"/>
  <Override ContentType="application/vnd.openxmlformats-officedocument.spreadsheetml.worksheet+xml" PartName="/xl/worksheets/sheet32054.xml"/>
  <Override ContentType="application/vnd.openxmlformats-officedocument.spreadsheetml.worksheet+xml" PartName="/xl/worksheets/sheet32055.xml"/>
  <Override ContentType="application/vnd.openxmlformats-officedocument.spreadsheetml.worksheet+xml" PartName="/xl/worksheets/sheet32056.xml"/>
  <Override ContentType="application/vnd.openxmlformats-officedocument.spreadsheetml.worksheet+xml" PartName="/xl/worksheets/sheet32057.xml"/>
  <Override ContentType="application/vnd.openxmlformats-officedocument.spreadsheetml.worksheet+xml" PartName="/xl/worksheets/sheet32058.xml"/>
  <Override ContentType="application/vnd.openxmlformats-officedocument.spreadsheetml.worksheet+xml" PartName="/xl/worksheets/sheet32059.xml"/>
  <Override ContentType="application/vnd.openxmlformats-officedocument.spreadsheetml.worksheet+xml" PartName="/xl/worksheets/sheet32060.xml"/>
  <Override ContentType="application/vnd.openxmlformats-officedocument.spreadsheetml.worksheet+xml" PartName="/xl/worksheets/sheet32061.xml"/>
  <Override ContentType="application/vnd.openxmlformats-officedocument.spreadsheetml.worksheet+xml" PartName="/xl/worksheets/sheet32062.xml"/>
  <Override ContentType="application/vnd.openxmlformats-officedocument.spreadsheetml.worksheet+xml" PartName="/xl/worksheets/sheet32063.xml"/>
  <Override ContentType="application/vnd.openxmlformats-officedocument.spreadsheetml.worksheet+xml" PartName="/xl/worksheets/sheet32064.xml"/>
  <Override ContentType="application/vnd.openxmlformats-officedocument.spreadsheetml.worksheet+xml" PartName="/xl/worksheets/sheet32065.xml"/>
  <Override ContentType="application/vnd.openxmlformats-officedocument.spreadsheetml.worksheet+xml" PartName="/xl/worksheets/sheet32066.xml"/>
  <Override ContentType="application/vnd.openxmlformats-officedocument.spreadsheetml.worksheet+xml" PartName="/xl/worksheets/sheet32067.xml"/>
  <Override ContentType="application/vnd.openxmlformats-officedocument.spreadsheetml.worksheet+xml" PartName="/xl/worksheets/sheet32068.xml"/>
  <Override ContentType="application/vnd.openxmlformats-officedocument.spreadsheetml.worksheet+xml" PartName="/xl/worksheets/sheet32069.xml"/>
  <Override ContentType="application/vnd.openxmlformats-officedocument.spreadsheetml.worksheet+xml" PartName="/xl/worksheets/sheet32070.xml"/>
  <Override ContentType="application/vnd.openxmlformats-officedocument.spreadsheetml.worksheet+xml" PartName="/xl/worksheets/sheet32071.xml"/>
  <Override ContentType="application/vnd.openxmlformats-officedocument.spreadsheetml.worksheet+xml" PartName="/xl/worksheets/sheet32072.xml"/>
  <Override ContentType="application/vnd.openxmlformats-officedocument.spreadsheetml.worksheet+xml" PartName="/xl/worksheets/sheet32073.xml"/>
  <Override ContentType="application/vnd.openxmlformats-officedocument.spreadsheetml.worksheet+xml" PartName="/xl/worksheets/sheet32074.xml"/>
  <Override ContentType="application/vnd.openxmlformats-officedocument.spreadsheetml.worksheet+xml" PartName="/xl/worksheets/sheet32075.xml"/>
  <Override ContentType="application/vnd.openxmlformats-officedocument.spreadsheetml.worksheet+xml" PartName="/xl/worksheets/sheet32076.xml"/>
  <Override ContentType="application/vnd.openxmlformats-officedocument.spreadsheetml.worksheet+xml" PartName="/xl/worksheets/sheet32077.xml"/>
  <Override ContentType="application/vnd.openxmlformats-officedocument.spreadsheetml.worksheet+xml" PartName="/xl/worksheets/sheet32078.xml"/>
  <Override ContentType="application/vnd.openxmlformats-officedocument.spreadsheetml.worksheet+xml" PartName="/xl/worksheets/sheet32079.xml"/>
  <Override ContentType="application/vnd.openxmlformats-officedocument.spreadsheetml.worksheet+xml" PartName="/xl/worksheets/sheet32080.xml"/>
  <Override ContentType="application/vnd.openxmlformats-officedocument.spreadsheetml.worksheet+xml" PartName="/xl/worksheets/sheet32081.xml"/>
  <Override ContentType="application/vnd.openxmlformats-officedocument.spreadsheetml.worksheet+xml" PartName="/xl/worksheets/sheet32082.xml"/>
  <Override ContentType="application/vnd.openxmlformats-officedocument.spreadsheetml.worksheet+xml" PartName="/xl/worksheets/sheet32083.xml"/>
  <Override ContentType="application/vnd.openxmlformats-officedocument.spreadsheetml.worksheet+xml" PartName="/xl/worksheets/sheet32084.xml"/>
  <Override ContentType="application/vnd.openxmlformats-officedocument.spreadsheetml.worksheet+xml" PartName="/xl/worksheets/sheet32085.xml"/>
  <Override ContentType="application/vnd.openxmlformats-officedocument.spreadsheetml.worksheet+xml" PartName="/xl/worksheets/sheet32086.xml"/>
  <Override ContentType="application/vnd.openxmlformats-officedocument.spreadsheetml.worksheet+xml" PartName="/xl/worksheets/sheet32087.xml"/>
  <Override ContentType="application/vnd.openxmlformats-officedocument.spreadsheetml.worksheet+xml" PartName="/xl/worksheets/sheet32088.xml"/>
  <Override ContentType="application/vnd.openxmlformats-officedocument.spreadsheetml.worksheet+xml" PartName="/xl/worksheets/sheet32089.xml"/>
  <Override ContentType="application/vnd.openxmlformats-officedocument.spreadsheetml.worksheet+xml" PartName="/xl/worksheets/sheet32090.xml"/>
  <Override ContentType="application/vnd.openxmlformats-officedocument.spreadsheetml.worksheet+xml" PartName="/xl/worksheets/sheet32091.xml"/>
  <Override ContentType="application/vnd.openxmlformats-officedocument.spreadsheetml.worksheet+xml" PartName="/xl/worksheets/sheet32092.xml"/>
  <Override ContentType="application/vnd.openxmlformats-officedocument.spreadsheetml.worksheet+xml" PartName="/xl/worksheets/sheet32093.xml"/>
  <Override ContentType="application/vnd.openxmlformats-officedocument.spreadsheetml.worksheet+xml" PartName="/xl/worksheets/sheet32094.xml"/>
  <Override ContentType="application/vnd.openxmlformats-officedocument.spreadsheetml.worksheet+xml" PartName="/xl/worksheets/sheet32095.xml"/>
  <Override ContentType="application/vnd.openxmlformats-officedocument.spreadsheetml.worksheet+xml" PartName="/xl/worksheets/sheet32096.xml"/>
  <Override ContentType="application/vnd.openxmlformats-officedocument.spreadsheetml.worksheet+xml" PartName="/xl/worksheets/sheet32097.xml"/>
  <Override ContentType="application/vnd.openxmlformats-officedocument.spreadsheetml.worksheet+xml" PartName="/xl/worksheets/sheet32098.xml"/>
  <Override ContentType="application/vnd.openxmlformats-officedocument.spreadsheetml.worksheet+xml" PartName="/xl/worksheets/sheet32099.xml"/>
  <Override ContentType="application/vnd.openxmlformats-officedocument.spreadsheetml.worksheet+xml" PartName="/xl/worksheets/sheet32100.xml"/>
  <Override ContentType="application/vnd.openxmlformats-officedocument.spreadsheetml.worksheet+xml" PartName="/xl/worksheets/sheet32101.xml"/>
  <Override ContentType="application/vnd.openxmlformats-officedocument.spreadsheetml.worksheet+xml" PartName="/xl/worksheets/sheet32102.xml"/>
  <Override ContentType="application/vnd.openxmlformats-officedocument.spreadsheetml.worksheet+xml" PartName="/xl/worksheets/sheet32103.xml"/>
  <Override ContentType="application/vnd.openxmlformats-officedocument.spreadsheetml.worksheet+xml" PartName="/xl/worksheets/sheet32104.xml"/>
  <Override ContentType="application/vnd.openxmlformats-officedocument.spreadsheetml.worksheet+xml" PartName="/xl/worksheets/sheet32105.xml"/>
  <Override ContentType="application/vnd.openxmlformats-officedocument.spreadsheetml.worksheet+xml" PartName="/xl/worksheets/sheet32106.xml"/>
  <Override ContentType="application/vnd.openxmlformats-officedocument.spreadsheetml.worksheet+xml" PartName="/xl/worksheets/sheet32107.xml"/>
  <Override ContentType="application/vnd.openxmlformats-officedocument.spreadsheetml.worksheet+xml" PartName="/xl/worksheets/sheet32108.xml"/>
  <Override ContentType="application/vnd.openxmlformats-officedocument.spreadsheetml.worksheet+xml" PartName="/xl/worksheets/sheet32109.xml"/>
  <Override ContentType="application/vnd.openxmlformats-officedocument.spreadsheetml.worksheet+xml" PartName="/xl/worksheets/sheet32110.xml"/>
  <Override ContentType="application/vnd.openxmlformats-officedocument.spreadsheetml.worksheet+xml" PartName="/xl/worksheets/sheet32111.xml"/>
  <Override ContentType="application/vnd.openxmlformats-officedocument.spreadsheetml.worksheet+xml" PartName="/xl/worksheets/sheet32112.xml"/>
  <Override ContentType="application/vnd.openxmlformats-officedocument.spreadsheetml.worksheet+xml" PartName="/xl/worksheets/sheet32113.xml"/>
  <Override ContentType="application/vnd.openxmlformats-officedocument.spreadsheetml.worksheet+xml" PartName="/xl/worksheets/sheet32114.xml"/>
  <Override ContentType="application/vnd.openxmlformats-officedocument.spreadsheetml.worksheet+xml" PartName="/xl/worksheets/sheet32115.xml"/>
  <Override ContentType="application/vnd.openxmlformats-officedocument.spreadsheetml.worksheet+xml" PartName="/xl/worksheets/sheet32116.xml"/>
  <Override ContentType="application/vnd.openxmlformats-officedocument.spreadsheetml.worksheet+xml" PartName="/xl/worksheets/sheet32117.xml"/>
  <Override ContentType="application/vnd.openxmlformats-officedocument.spreadsheetml.worksheet+xml" PartName="/xl/worksheets/sheet32118.xml"/>
  <Override ContentType="application/vnd.openxmlformats-officedocument.spreadsheetml.worksheet+xml" PartName="/xl/worksheets/sheet32119.xml"/>
  <Override ContentType="application/vnd.openxmlformats-officedocument.spreadsheetml.worksheet+xml" PartName="/xl/worksheets/sheet32120.xml"/>
  <Override ContentType="application/vnd.openxmlformats-officedocument.spreadsheetml.worksheet+xml" PartName="/xl/worksheets/sheet32121.xml"/>
  <Override ContentType="application/vnd.openxmlformats-officedocument.spreadsheetml.worksheet+xml" PartName="/xl/worksheets/sheet32122.xml"/>
  <Override ContentType="application/vnd.openxmlformats-officedocument.spreadsheetml.worksheet+xml" PartName="/xl/worksheets/sheet32123.xml"/>
  <Override ContentType="application/vnd.openxmlformats-officedocument.spreadsheetml.worksheet+xml" PartName="/xl/worksheets/sheet32124.xml"/>
  <Override ContentType="application/vnd.openxmlformats-officedocument.spreadsheetml.worksheet+xml" PartName="/xl/worksheets/sheet32125.xml"/>
  <Override ContentType="application/vnd.openxmlformats-officedocument.spreadsheetml.worksheet+xml" PartName="/xl/worksheets/sheet32126.xml"/>
  <Override ContentType="application/vnd.openxmlformats-officedocument.spreadsheetml.worksheet+xml" PartName="/xl/worksheets/sheet32127.xml"/>
  <Override ContentType="application/vnd.openxmlformats-officedocument.spreadsheetml.worksheet+xml" PartName="/xl/worksheets/sheet32128.xml"/>
  <Override ContentType="application/vnd.openxmlformats-officedocument.spreadsheetml.worksheet+xml" PartName="/xl/worksheets/sheet32129.xml"/>
  <Override ContentType="application/vnd.openxmlformats-officedocument.spreadsheetml.worksheet+xml" PartName="/xl/worksheets/sheet32130.xml"/>
  <Override ContentType="application/vnd.openxmlformats-officedocument.spreadsheetml.worksheet+xml" PartName="/xl/worksheets/sheet32131.xml"/>
  <Override ContentType="application/vnd.openxmlformats-officedocument.spreadsheetml.worksheet+xml" PartName="/xl/worksheets/sheet32132.xml"/>
  <Override ContentType="application/vnd.openxmlformats-officedocument.spreadsheetml.worksheet+xml" PartName="/xl/worksheets/sheet32133.xml"/>
  <Override ContentType="application/vnd.openxmlformats-officedocument.spreadsheetml.worksheet+xml" PartName="/xl/worksheets/sheet32134.xml"/>
  <Override ContentType="application/vnd.openxmlformats-officedocument.spreadsheetml.worksheet+xml" PartName="/xl/worksheets/sheet32135.xml"/>
  <Override ContentType="application/vnd.openxmlformats-officedocument.spreadsheetml.worksheet+xml" PartName="/xl/worksheets/sheet32136.xml"/>
  <Override ContentType="application/vnd.openxmlformats-officedocument.spreadsheetml.worksheet+xml" PartName="/xl/worksheets/sheet32137.xml"/>
  <Override ContentType="application/vnd.openxmlformats-officedocument.spreadsheetml.worksheet+xml" PartName="/xl/worksheets/sheet32138.xml"/>
  <Override ContentType="application/vnd.openxmlformats-officedocument.spreadsheetml.worksheet+xml" PartName="/xl/worksheets/sheet32139.xml"/>
  <Override ContentType="application/vnd.openxmlformats-officedocument.spreadsheetml.worksheet+xml" PartName="/xl/worksheets/sheet32140.xml"/>
  <Override ContentType="application/vnd.openxmlformats-officedocument.spreadsheetml.worksheet+xml" PartName="/xl/worksheets/sheet32141.xml"/>
  <Override ContentType="application/vnd.openxmlformats-officedocument.spreadsheetml.worksheet+xml" PartName="/xl/worksheets/sheet32142.xml"/>
  <Override ContentType="application/vnd.openxmlformats-officedocument.spreadsheetml.worksheet+xml" PartName="/xl/worksheets/sheet32143.xml"/>
  <Override ContentType="application/vnd.openxmlformats-officedocument.spreadsheetml.worksheet+xml" PartName="/xl/worksheets/sheet32144.xml"/>
  <Override ContentType="application/vnd.openxmlformats-officedocument.spreadsheetml.worksheet+xml" PartName="/xl/worksheets/sheet32145.xml"/>
  <Override ContentType="application/vnd.openxmlformats-officedocument.spreadsheetml.worksheet+xml" PartName="/xl/worksheets/sheet32146.xml"/>
  <Override ContentType="application/vnd.openxmlformats-officedocument.spreadsheetml.worksheet+xml" PartName="/xl/worksheets/sheet32147.xml"/>
  <Override ContentType="application/vnd.openxmlformats-officedocument.spreadsheetml.worksheet+xml" PartName="/xl/worksheets/sheet32148.xml"/>
  <Override ContentType="application/vnd.openxmlformats-officedocument.spreadsheetml.worksheet+xml" PartName="/xl/worksheets/sheet32149.xml"/>
  <Override ContentType="application/vnd.openxmlformats-officedocument.spreadsheetml.worksheet+xml" PartName="/xl/worksheets/sheet32150.xml"/>
  <Override ContentType="application/vnd.openxmlformats-officedocument.spreadsheetml.worksheet+xml" PartName="/xl/worksheets/sheet32151.xml"/>
  <Override ContentType="application/vnd.openxmlformats-officedocument.spreadsheetml.worksheet+xml" PartName="/xl/worksheets/sheet32152.xml"/>
  <Override ContentType="application/vnd.openxmlformats-officedocument.spreadsheetml.worksheet+xml" PartName="/xl/worksheets/sheet32153.xml"/>
  <Override ContentType="application/vnd.openxmlformats-officedocument.spreadsheetml.worksheet+xml" PartName="/xl/worksheets/sheet32154.xml"/>
  <Override ContentType="application/vnd.openxmlformats-officedocument.spreadsheetml.worksheet+xml" PartName="/xl/worksheets/sheet32155.xml"/>
  <Override ContentType="application/vnd.openxmlformats-officedocument.spreadsheetml.worksheet+xml" PartName="/xl/worksheets/sheet32156.xml"/>
  <Override ContentType="application/vnd.openxmlformats-officedocument.spreadsheetml.worksheet+xml" PartName="/xl/worksheets/sheet32157.xml"/>
  <Override ContentType="application/vnd.openxmlformats-officedocument.spreadsheetml.worksheet+xml" PartName="/xl/worksheets/sheet32158.xml"/>
  <Override ContentType="application/vnd.openxmlformats-officedocument.spreadsheetml.worksheet+xml" PartName="/xl/worksheets/sheet32159.xml"/>
  <Override ContentType="application/vnd.openxmlformats-officedocument.spreadsheetml.worksheet+xml" PartName="/xl/worksheets/sheet32160.xml"/>
  <Override ContentType="application/vnd.openxmlformats-officedocument.spreadsheetml.worksheet+xml" PartName="/xl/worksheets/sheet32161.xml"/>
  <Override ContentType="application/vnd.openxmlformats-officedocument.spreadsheetml.worksheet+xml" PartName="/xl/worksheets/sheet32162.xml"/>
  <Override ContentType="application/vnd.openxmlformats-officedocument.spreadsheetml.worksheet+xml" PartName="/xl/worksheets/sheet32163.xml"/>
  <Override ContentType="application/vnd.openxmlformats-officedocument.spreadsheetml.worksheet+xml" PartName="/xl/worksheets/sheet32164.xml"/>
  <Override ContentType="application/vnd.openxmlformats-officedocument.spreadsheetml.worksheet+xml" PartName="/xl/worksheets/sheet32165.xml"/>
  <Override ContentType="application/vnd.openxmlformats-officedocument.spreadsheetml.worksheet+xml" PartName="/xl/worksheets/sheet32166.xml"/>
  <Override ContentType="application/vnd.openxmlformats-officedocument.spreadsheetml.worksheet+xml" PartName="/xl/worksheets/sheet32167.xml"/>
  <Override ContentType="application/vnd.openxmlformats-officedocument.spreadsheetml.worksheet+xml" PartName="/xl/worksheets/sheet32168.xml"/>
  <Override ContentType="application/vnd.openxmlformats-officedocument.spreadsheetml.worksheet+xml" PartName="/xl/worksheets/sheet32169.xml"/>
  <Override ContentType="application/vnd.openxmlformats-officedocument.spreadsheetml.worksheet+xml" PartName="/xl/worksheets/sheet32170.xml"/>
  <Override ContentType="application/vnd.openxmlformats-officedocument.spreadsheetml.worksheet+xml" PartName="/xl/worksheets/sheet32171.xml"/>
  <Override ContentType="application/vnd.openxmlformats-officedocument.spreadsheetml.worksheet+xml" PartName="/xl/worksheets/sheet32172.xml"/>
  <Override ContentType="application/vnd.openxmlformats-officedocument.spreadsheetml.worksheet+xml" PartName="/xl/worksheets/sheet32173.xml"/>
  <Override ContentType="application/vnd.openxmlformats-officedocument.spreadsheetml.worksheet+xml" PartName="/xl/worksheets/sheet32174.xml"/>
  <Override ContentType="application/vnd.openxmlformats-officedocument.spreadsheetml.worksheet+xml" PartName="/xl/worksheets/sheet32175.xml"/>
  <Override ContentType="application/vnd.openxmlformats-officedocument.spreadsheetml.worksheet+xml" PartName="/xl/worksheets/sheet32176.xml"/>
  <Override ContentType="application/vnd.openxmlformats-officedocument.spreadsheetml.worksheet+xml" PartName="/xl/worksheets/sheet32177.xml"/>
  <Override ContentType="application/vnd.openxmlformats-officedocument.spreadsheetml.worksheet+xml" PartName="/xl/worksheets/sheet32178.xml"/>
  <Override ContentType="application/vnd.openxmlformats-officedocument.spreadsheetml.worksheet+xml" PartName="/xl/worksheets/sheet32179.xml"/>
  <Override ContentType="application/vnd.openxmlformats-officedocument.spreadsheetml.worksheet+xml" PartName="/xl/worksheets/sheet32180.xml"/>
  <Override ContentType="application/vnd.openxmlformats-officedocument.spreadsheetml.worksheet+xml" PartName="/xl/worksheets/sheet32181.xml"/>
  <Override ContentType="application/vnd.openxmlformats-officedocument.spreadsheetml.worksheet+xml" PartName="/xl/worksheets/sheet32182.xml"/>
  <Override ContentType="application/vnd.openxmlformats-officedocument.spreadsheetml.worksheet+xml" PartName="/xl/worksheets/sheet32183.xml"/>
  <Override ContentType="application/vnd.openxmlformats-officedocument.spreadsheetml.worksheet+xml" PartName="/xl/worksheets/sheet32184.xml"/>
  <Override ContentType="application/vnd.openxmlformats-officedocument.spreadsheetml.worksheet+xml" PartName="/xl/worksheets/sheet32185.xml"/>
  <Override ContentType="application/vnd.openxmlformats-officedocument.spreadsheetml.worksheet+xml" PartName="/xl/worksheets/sheet32186.xml"/>
  <Override ContentType="application/vnd.openxmlformats-officedocument.spreadsheetml.worksheet+xml" PartName="/xl/worksheets/sheet32187.xml"/>
  <Override ContentType="application/vnd.openxmlformats-officedocument.spreadsheetml.worksheet+xml" PartName="/xl/worksheets/sheet32188.xml"/>
  <Override ContentType="application/vnd.openxmlformats-officedocument.spreadsheetml.worksheet+xml" PartName="/xl/worksheets/sheet32189.xml"/>
  <Override ContentType="application/vnd.openxmlformats-officedocument.spreadsheetml.worksheet+xml" PartName="/xl/worksheets/sheet32190.xml"/>
  <Override ContentType="application/vnd.openxmlformats-officedocument.spreadsheetml.worksheet+xml" PartName="/xl/worksheets/sheet32191.xml"/>
  <Override ContentType="application/vnd.openxmlformats-officedocument.spreadsheetml.worksheet+xml" PartName="/xl/worksheets/sheet32192.xml"/>
  <Override ContentType="application/vnd.openxmlformats-officedocument.spreadsheetml.worksheet+xml" PartName="/xl/worksheets/sheet32193.xml"/>
  <Override ContentType="application/vnd.openxmlformats-officedocument.spreadsheetml.worksheet+xml" PartName="/xl/worksheets/sheet32194.xml"/>
  <Override ContentType="application/vnd.openxmlformats-officedocument.spreadsheetml.worksheet+xml" PartName="/xl/worksheets/sheet32195.xml"/>
  <Override ContentType="application/vnd.openxmlformats-officedocument.spreadsheetml.worksheet+xml" PartName="/xl/worksheets/sheet32196.xml"/>
  <Override ContentType="application/vnd.openxmlformats-officedocument.spreadsheetml.worksheet+xml" PartName="/xl/worksheets/sheet32197.xml"/>
  <Override ContentType="application/vnd.openxmlformats-officedocument.spreadsheetml.worksheet+xml" PartName="/xl/worksheets/sheet32198.xml"/>
  <Override ContentType="application/vnd.openxmlformats-officedocument.spreadsheetml.worksheet+xml" PartName="/xl/worksheets/sheet32199.xml"/>
  <Override ContentType="application/vnd.openxmlformats-officedocument.spreadsheetml.worksheet+xml" PartName="/xl/worksheets/sheet32200.xml"/>
  <Override ContentType="application/vnd.openxmlformats-officedocument.spreadsheetml.worksheet+xml" PartName="/xl/worksheets/sheet32201.xml"/>
  <Override ContentType="application/vnd.openxmlformats-officedocument.spreadsheetml.worksheet+xml" PartName="/xl/worksheets/sheet32202.xml"/>
  <Override ContentType="application/vnd.openxmlformats-officedocument.spreadsheetml.worksheet+xml" PartName="/xl/worksheets/sheet32203.xml"/>
  <Override ContentType="application/vnd.openxmlformats-officedocument.spreadsheetml.worksheet+xml" PartName="/xl/worksheets/sheet32204.xml"/>
  <Override ContentType="application/vnd.openxmlformats-officedocument.spreadsheetml.worksheet+xml" PartName="/xl/worksheets/sheet32205.xml"/>
  <Override ContentType="application/vnd.openxmlformats-officedocument.spreadsheetml.worksheet+xml" PartName="/xl/worksheets/sheet32206.xml"/>
  <Override ContentType="application/vnd.openxmlformats-officedocument.spreadsheetml.worksheet+xml" PartName="/xl/worksheets/sheet32207.xml"/>
  <Override ContentType="application/vnd.openxmlformats-officedocument.spreadsheetml.worksheet+xml" PartName="/xl/worksheets/sheet32208.xml"/>
  <Override ContentType="application/vnd.openxmlformats-officedocument.spreadsheetml.worksheet+xml" PartName="/xl/worksheets/sheet32209.xml"/>
  <Override ContentType="application/vnd.openxmlformats-officedocument.spreadsheetml.worksheet+xml" PartName="/xl/worksheets/sheet32210.xml"/>
  <Override ContentType="application/vnd.openxmlformats-officedocument.spreadsheetml.worksheet+xml" PartName="/xl/worksheets/sheet32211.xml"/>
  <Override ContentType="application/vnd.openxmlformats-officedocument.spreadsheetml.worksheet+xml" PartName="/xl/worksheets/sheet32212.xml"/>
  <Override ContentType="application/vnd.openxmlformats-officedocument.spreadsheetml.worksheet+xml" PartName="/xl/worksheets/sheet32213.xml"/>
  <Override ContentType="application/vnd.openxmlformats-officedocument.spreadsheetml.worksheet+xml" PartName="/xl/worksheets/sheet32214.xml"/>
  <Override ContentType="application/vnd.openxmlformats-officedocument.spreadsheetml.worksheet+xml" PartName="/xl/worksheets/sheet32215.xml"/>
  <Override ContentType="application/vnd.openxmlformats-officedocument.spreadsheetml.worksheet+xml" PartName="/xl/worksheets/sheet32216.xml"/>
  <Override ContentType="application/vnd.openxmlformats-officedocument.spreadsheetml.worksheet+xml" PartName="/xl/worksheets/sheet32217.xml"/>
  <Override ContentType="application/vnd.openxmlformats-officedocument.spreadsheetml.worksheet+xml" PartName="/xl/worksheets/sheet32218.xml"/>
  <Override ContentType="application/vnd.openxmlformats-officedocument.spreadsheetml.worksheet+xml" PartName="/xl/worksheets/sheet32219.xml"/>
  <Override ContentType="application/vnd.openxmlformats-officedocument.spreadsheetml.worksheet+xml" PartName="/xl/worksheets/sheet32220.xml"/>
  <Override ContentType="application/vnd.openxmlformats-officedocument.spreadsheetml.worksheet+xml" PartName="/xl/worksheets/sheet32221.xml"/>
  <Override ContentType="application/vnd.openxmlformats-officedocument.spreadsheetml.worksheet+xml" PartName="/xl/worksheets/sheet32222.xml"/>
  <Override ContentType="application/vnd.openxmlformats-officedocument.spreadsheetml.worksheet+xml" PartName="/xl/worksheets/sheet32223.xml"/>
  <Override ContentType="application/vnd.openxmlformats-officedocument.spreadsheetml.worksheet+xml" PartName="/xl/worksheets/sheet32224.xml"/>
  <Override ContentType="application/vnd.openxmlformats-officedocument.spreadsheetml.worksheet+xml" PartName="/xl/worksheets/sheet32225.xml"/>
  <Override ContentType="application/vnd.openxmlformats-officedocument.spreadsheetml.worksheet+xml" PartName="/xl/worksheets/sheet32226.xml"/>
  <Override ContentType="application/vnd.openxmlformats-officedocument.spreadsheetml.worksheet+xml" PartName="/xl/worksheets/sheet32227.xml"/>
  <Override ContentType="application/vnd.openxmlformats-officedocument.spreadsheetml.worksheet+xml" PartName="/xl/worksheets/sheet32228.xml"/>
  <Override ContentType="application/vnd.openxmlformats-officedocument.spreadsheetml.worksheet+xml" PartName="/xl/worksheets/sheet32229.xml"/>
  <Override ContentType="application/vnd.openxmlformats-officedocument.spreadsheetml.worksheet+xml" PartName="/xl/worksheets/sheet32230.xml"/>
  <Override ContentType="application/vnd.openxmlformats-officedocument.spreadsheetml.worksheet+xml" PartName="/xl/worksheets/sheet32231.xml"/>
  <Override ContentType="application/vnd.openxmlformats-officedocument.spreadsheetml.worksheet+xml" PartName="/xl/worksheets/sheet32232.xml"/>
  <Override ContentType="application/vnd.openxmlformats-officedocument.spreadsheetml.worksheet+xml" PartName="/xl/worksheets/sheet32233.xml"/>
  <Override ContentType="application/vnd.openxmlformats-officedocument.spreadsheetml.worksheet+xml" PartName="/xl/worksheets/sheet32234.xml"/>
  <Override ContentType="application/vnd.openxmlformats-officedocument.spreadsheetml.worksheet+xml" PartName="/xl/worksheets/sheet32235.xml"/>
  <Override ContentType="application/vnd.openxmlformats-officedocument.spreadsheetml.worksheet+xml" PartName="/xl/worksheets/sheet32236.xml"/>
  <Override ContentType="application/vnd.openxmlformats-officedocument.spreadsheetml.worksheet+xml" PartName="/xl/worksheets/sheet32237.xml"/>
  <Override ContentType="application/vnd.openxmlformats-officedocument.spreadsheetml.worksheet+xml" PartName="/xl/worksheets/sheet32238.xml"/>
  <Override ContentType="application/vnd.openxmlformats-officedocument.spreadsheetml.worksheet+xml" PartName="/xl/worksheets/sheet32239.xml"/>
  <Override ContentType="application/vnd.openxmlformats-officedocument.spreadsheetml.worksheet+xml" PartName="/xl/worksheets/sheet32240.xml"/>
  <Override ContentType="application/vnd.openxmlformats-officedocument.spreadsheetml.worksheet+xml" PartName="/xl/worksheets/sheet32241.xml"/>
  <Override ContentType="application/vnd.openxmlformats-officedocument.spreadsheetml.worksheet+xml" PartName="/xl/worksheets/sheet32242.xml"/>
  <Override ContentType="application/vnd.openxmlformats-officedocument.spreadsheetml.worksheet+xml" PartName="/xl/worksheets/sheet32243.xml"/>
  <Override ContentType="application/vnd.openxmlformats-officedocument.spreadsheetml.worksheet+xml" PartName="/xl/worksheets/sheet32244.xml"/>
  <Override ContentType="application/vnd.openxmlformats-officedocument.spreadsheetml.worksheet+xml" PartName="/xl/worksheets/sheet32245.xml"/>
  <Override ContentType="application/vnd.openxmlformats-officedocument.spreadsheetml.worksheet+xml" PartName="/xl/worksheets/sheet32246.xml"/>
  <Override ContentType="application/vnd.openxmlformats-officedocument.spreadsheetml.worksheet+xml" PartName="/xl/worksheets/sheet32247.xml"/>
  <Override ContentType="application/vnd.openxmlformats-officedocument.spreadsheetml.worksheet+xml" PartName="/xl/worksheets/sheet32248.xml"/>
  <Override ContentType="application/vnd.openxmlformats-officedocument.spreadsheetml.worksheet+xml" PartName="/xl/worksheets/sheet32249.xml"/>
  <Override ContentType="application/vnd.openxmlformats-officedocument.spreadsheetml.worksheet+xml" PartName="/xl/worksheets/sheet32250.xml"/>
  <Override ContentType="application/vnd.openxmlformats-officedocument.spreadsheetml.worksheet+xml" PartName="/xl/worksheets/sheet32251.xml"/>
  <Override ContentType="application/vnd.openxmlformats-officedocument.spreadsheetml.worksheet+xml" PartName="/xl/worksheets/sheet32252.xml"/>
  <Override ContentType="application/vnd.openxmlformats-officedocument.spreadsheetml.worksheet+xml" PartName="/xl/worksheets/sheet32253.xml"/>
  <Override ContentType="application/vnd.openxmlformats-officedocument.spreadsheetml.worksheet+xml" PartName="/xl/worksheets/sheet32254.xml"/>
  <Override ContentType="application/vnd.openxmlformats-officedocument.spreadsheetml.worksheet+xml" PartName="/xl/worksheets/sheet32255.xml"/>
  <Override ContentType="application/vnd.openxmlformats-officedocument.spreadsheetml.worksheet+xml" PartName="/xl/worksheets/sheet32256.xml"/>
  <Override ContentType="application/vnd.openxmlformats-officedocument.spreadsheetml.worksheet+xml" PartName="/xl/worksheets/sheet32257.xml"/>
  <Override ContentType="application/vnd.openxmlformats-officedocument.spreadsheetml.worksheet+xml" PartName="/xl/worksheets/sheet32258.xml"/>
  <Override ContentType="application/vnd.openxmlformats-officedocument.spreadsheetml.worksheet+xml" PartName="/xl/worksheets/sheet32259.xml"/>
  <Override ContentType="application/vnd.openxmlformats-officedocument.spreadsheetml.worksheet+xml" PartName="/xl/worksheets/sheet32260.xml"/>
  <Override ContentType="application/vnd.openxmlformats-officedocument.spreadsheetml.worksheet+xml" PartName="/xl/worksheets/sheet32261.xml"/>
  <Override ContentType="application/vnd.openxmlformats-officedocument.spreadsheetml.worksheet+xml" PartName="/xl/worksheets/sheet32262.xml"/>
  <Override ContentType="application/vnd.openxmlformats-officedocument.spreadsheetml.worksheet+xml" PartName="/xl/worksheets/sheet32263.xml"/>
  <Override ContentType="application/vnd.openxmlformats-officedocument.spreadsheetml.worksheet+xml" PartName="/xl/worksheets/sheet32264.xml"/>
  <Override ContentType="application/vnd.openxmlformats-officedocument.spreadsheetml.worksheet+xml" PartName="/xl/worksheets/sheet32265.xml"/>
  <Override ContentType="application/vnd.openxmlformats-officedocument.spreadsheetml.worksheet+xml" PartName="/xl/worksheets/sheet32266.xml"/>
  <Override ContentType="application/vnd.openxmlformats-officedocument.spreadsheetml.worksheet+xml" PartName="/xl/worksheets/sheet32267.xml"/>
  <Override ContentType="application/vnd.openxmlformats-officedocument.spreadsheetml.worksheet+xml" PartName="/xl/worksheets/sheet32268.xml"/>
  <Override ContentType="application/vnd.openxmlformats-officedocument.spreadsheetml.worksheet+xml" PartName="/xl/worksheets/sheet32269.xml"/>
  <Override ContentType="application/vnd.openxmlformats-officedocument.spreadsheetml.worksheet+xml" PartName="/xl/worksheets/sheet32270.xml"/>
  <Override ContentType="application/vnd.openxmlformats-officedocument.spreadsheetml.worksheet+xml" PartName="/xl/worksheets/sheet32271.xml"/>
  <Override ContentType="application/vnd.openxmlformats-officedocument.spreadsheetml.worksheet+xml" PartName="/xl/worksheets/sheet32272.xml"/>
  <Override ContentType="application/vnd.openxmlformats-officedocument.spreadsheetml.worksheet+xml" PartName="/xl/worksheets/sheet32273.xml"/>
  <Override ContentType="application/vnd.openxmlformats-officedocument.spreadsheetml.worksheet+xml" PartName="/xl/worksheets/sheet32274.xml"/>
  <Override ContentType="application/vnd.openxmlformats-officedocument.spreadsheetml.worksheet+xml" PartName="/xl/worksheets/sheet32275.xml"/>
  <Override ContentType="application/vnd.openxmlformats-officedocument.spreadsheetml.worksheet+xml" PartName="/xl/worksheets/sheet32276.xml"/>
  <Override ContentType="application/vnd.openxmlformats-officedocument.spreadsheetml.worksheet+xml" PartName="/xl/worksheets/sheet32277.xml"/>
  <Override ContentType="application/vnd.openxmlformats-officedocument.spreadsheetml.worksheet+xml" PartName="/xl/worksheets/sheet32278.xml"/>
  <Override ContentType="application/vnd.openxmlformats-officedocument.spreadsheetml.worksheet+xml" PartName="/xl/worksheets/sheet32279.xml"/>
  <Override ContentType="application/vnd.openxmlformats-officedocument.spreadsheetml.worksheet+xml" PartName="/xl/worksheets/sheet32280.xml"/>
  <Override ContentType="application/vnd.openxmlformats-officedocument.spreadsheetml.worksheet+xml" PartName="/xl/worksheets/sheet32281.xml"/>
  <Override ContentType="application/vnd.openxmlformats-officedocument.spreadsheetml.worksheet+xml" PartName="/xl/worksheets/sheet32282.xml"/>
  <Override ContentType="application/vnd.openxmlformats-officedocument.spreadsheetml.worksheet+xml" PartName="/xl/worksheets/sheet32283.xml"/>
  <Override ContentType="application/vnd.openxmlformats-officedocument.spreadsheetml.worksheet+xml" PartName="/xl/worksheets/sheet32284.xml"/>
  <Override ContentType="application/vnd.openxmlformats-officedocument.spreadsheetml.worksheet+xml" PartName="/xl/worksheets/sheet32285.xml"/>
  <Override ContentType="application/vnd.openxmlformats-officedocument.spreadsheetml.worksheet+xml" PartName="/xl/worksheets/sheet32286.xml"/>
  <Override ContentType="application/vnd.openxmlformats-officedocument.spreadsheetml.worksheet+xml" PartName="/xl/worksheets/sheet32287.xml"/>
  <Override ContentType="application/vnd.openxmlformats-officedocument.spreadsheetml.worksheet+xml" PartName="/xl/worksheets/sheet32288.xml"/>
  <Override ContentType="application/vnd.openxmlformats-officedocument.spreadsheetml.worksheet+xml" PartName="/xl/worksheets/sheet32289.xml"/>
  <Override ContentType="application/vnd.openxmlformats-officedocument.spreadsheetml.worksheet+xml" PartName="/xl/worksheets/sheet32290.xml"/>
  <Override ContentType="application/vnd.openxmlformats-officedocument.spreadsheetml.worksheet+xml" PartName="/xl/worksheets/sheet32291.xml"/>
  <Override ContentType="application/vnd.openxmlformats-officedocument.spreadsheetml.worksheet+xml" PartName="/xl/worksheets/sheet32292.xml"/>
  <Override ContentType="application/vnd.openxmlformats-officedocument.spreadsheetml.worksheet+xml" PartName="/xl/worksheets/sheet32293.xml"/>
  <Override ContentType="application/vnd.openxmlformats-officedocument.spreadsheetml.worksheet+xml" PartName="/xl/worksheets/sheet32294.xml"/>
  <Override ContentType="application/vnd.openxmlformats-officedocument.spreadsheetml.worksheet+xml" PartName="/xl/worksheets/sheet32295.xml"/>
  <Override ContentType="application/vnd.openxmlformats-officedocument.spreadsheetml.worksheet+xml" PartName="/xl/worksheets/sheet32296.xml"/>
  <Override ContentType="application/vnd.openxmlformats-officedocument.spreadsheetml.worksheet+xml" PartName="/xl/worksheets/sheet32297.xml"/>
  <Override ContentType="application/vnd.openxmlformats-officedocument.spreadsheetml.worksheet+xml" PartName="/xl/worksheets/sheet32298.xml"/>
  <Override ContentType="application/vnd.openxmlformats-officedocument.spreadsheetml.worksheet+xml" PartName="/xl/worksheets/sheet32299.xml"/>
  <Override ContentType="application/vnd.openxmlformats-officedocument.spreadsheetml.worksheet+xml" PartName="/xl/worksheets/sheet32300.xml"/>
  <Override ContentType="application/vnd.openxmlformats-officedocument.spreadsheetml.worksheet+xml" PartName="/xl/worksheets/sheet32301.xml"/>
  <Override ContentType="application/vnd.openxmlformats-officedocument.spreadsheetml.worksheet+xml" PartName="/xl/worksheets/sheet32302.xml"/>
  <Override ContentType="application/vnd.openxmlformats-officedocument.spreadsheetml.worksheet+xml" PartName="/xl/worksheets/sheet32303.xml"/>
  <Override ContentType="application/vnd.openxmlformats-officedocument.spreadsheetml.worksheet+xml" PartName="/xl/worksheets/sheet32304.xml"/>
  <Override ContentType="application/vnd.openxmlformats-officedocument.spreadsheetml.worksheet+xml" PartName="/xl/worksheets/sheet32305.xml"/>
  <Override ContentType="application/vnd.openxmlformats-officedocument.spreadsheetml.worksheet+xml" PartName="/xl/worksheets/sheet32306.xml"/>
  <Override ContentType="application/vnd.openxmlformats-officedocument.spreadsheetml.worksheet+xml" PartName="/xl/worksheets/sheet32307.xml"/>
  <Override ContentType="application/vnd.openxmlformats-officedocument.spreadsheetml.worksheet+xml" PartName="/xl/worksheets/sheet32308.xml"/>
  <Override ContentType="application/vnd.openxmlformats-officedocument.spreadsheetml.worksheet+xml" PartName="/xl/worksheets/sheet32309.xml"/>
  <Override ContentType="application/vnd.openxmlformats-officedocument.spreadsheetml.worksheet+xml" PartName="/xl/worksheets/sheet32310.xml"/>
  <Override ContentType="application/vnd.openxmlformats-officedocument.spreadsheetml.worksheet+xml" PartName="/xl/worksheets/sheet32311.xml"/>
  <Override ContentType="application/vnd.openxmlformats-officedocument.spreadsheetml.worksheet+xml" PartName="/xl/worksheets/sheet32312.xml"/>
  <Override ContentType="application/vnd.openxmlformats-officedocument.spreadsheetml.worksheet+xml" PartName="/xl/worksheets/sheet32313.xml"/>
  <Override ContentType="application/vnd.openxmlformats-officedocument.spreadsheetml.worksheet+xml" PartName="/xl/worksheets/sheet32314.xml"/>
  <Override ContentType="application/vnd.openxmlformats-officedocument.spreadsheetml.worksheet+xml" PartName="/xl/worksheets/sheet32315.xml"/>
  <Override ContentType="application/vnd.openxmlformats-officedocument.spreadsheetml.worksheet+xml" PartName="/xl/worksheets/sheet32316.xml"/>
  <Override ContentType="application/vnd.openxmlformats-officedocument.spreadsheetml.worksheet+xml" PartName="/xl/worksheets/sheet32317.xml"/>
  <Override ContentType="application/vnd.openxmlformats-officedocument.spreadsheetml.worksheet+xml" PartName="/xl/worksheets/sheet32318.xml"/>
  <Override ContentType="application/vnd.openxmlformats-officedocument.spreadsheetml.worksheet+xml" PartName="/xl/worksheets/sheet32319.xml"/>
  <Override ContentType="application/vnd.openxmlformats-officedocument.spreadsheetml.worksheet+xml" PartName="/xl/worksheets/sheet32320.xml"/>
  <Override ContentType="application/vnd.openxmlformats-officedocument.spreadsheetml.worksheet+xml" PartName="/xl/worksheets/sheet32321.xml"/>
  <Override ContentType="application/vnd.openxmlformats-officedocument.spreadsheetml.worksheet+xml" PartName="/xl/worksheets/sheet32322.xml"/>
  <Override ContentType="application/vnd.openxmlformats-officedocument.spreadsheetml.worksheet+xml" PartName="/xl/worksheets/sheet32323.xml"/>
  <Override ContentType="application/vnd.openxmlformats-officedocument.spreadsheetml.worksheet+xml" PartName="/xl/worksheets/sheet32324.xml"/>
  <Override ContentType="application/vnd.openxmlformats-officedocument.spreadsheetml.worksheet+xml" PartName="/xl/worksheets/sheet32325.xml"/>
  <Override ContentType="application/vnd.openxmlformats-officedocument.spreadsheetml.worksheet+xml" PartName="/xl/worksheets/sheet32326.xml"/>
  <Override ContentType="application/vnd.openxmlformats-officedocument.spreadsheetml.worksheet+xml" PartName="/xl/worksheets/sheet32327.xml"/>
  <Override ContentType="application/vnd.openxmlformats-officedocument.spreadsheetml.worksheet+xml" PartName="/xl/worksheets/sheet32328.xml"/>
  <Override ContentType="application/vnd.openxmlformats-officedocument.spreadsheetml.worksheet+xml" PartName="/xl/worksheets/sheet32329.xml"/>
  <Override ContentType="application/vnd.openxmlformats-officedocument.spreadsheetml.worksheet+xml" PartName="/xl/worksheets/sheet32330.xml"/>
  <Override ContentType="application/vnd.openxmlformats-officedocument.spreadsheetml.worksheet+xml" PartName="/xl/worksheets/sheet32331.xml"/>
  <Override ContentType="application/vnd.openxmlformats-officedocument.spreadsheetml.worksheet+xml" PartName="/xl/worksheets/sheet32332.xml"/>
  <Override ContentType="application/vnd.openxmlformats-officedocument.spreadsheetml.worksheet+xml" PartName="/xl/worksheets/sheet32333.xml"/>
  <Override ContentType="application/vnd.openxmlformats-officedocument.spreadsheetml.worksheet+xml" PartName="/xl/worksheets/sheet32334.xml"/>
  <Override ContentType="application/vnd.openxmlformats-officedocument.spreadsheetml.worksheet+xml" PartName="/xl/worksheets/sheet32335.xml"/>
  <Override ContentType="application/vnd.openxmlformats-officedocument.spreadsheetml.worksheet+xml" PartName="/xl/worksheets/sheet32336.xml"/>
  <Override ContentType="application/vnd.openxmlformats-officedocument.spreadsheetml.worksheet+xml" PartName="/xl/worksheets/sheet32337.xml"/>
  <Override ContentType="application/vnd.openxmlformats-officedocument.spreadsheetml.worksheet+xml" PartName="/xl/worksheets/sheet32338.xml"/>
  <Override ContentType="application/vnd.openxmlformats-officedocument.spreadsheetml.worksheet+xml" PartName="/xl/worksheets/sheet32339.xml"/>
  <Override ContentType="application/vnd.openxmlformats-officedocument.spreadsheetml.worksheet+xml" PartName="/xl/worksheets/sheet32340.xml"/>
  <Override ContentType="application/vnd.openxmlformats-officedocument.spreadsheetml.worksheet+xml" PartName="/xl/worksheets/sheet32341.xml"/>
  <Override ContentType="application/vnd.openxmlformats-officedocument.spreadsheetml.worksheet+xml" PartName="/xl/worksheets/sheet32342.xml"/>
  <Override ContentType="application/vnd.openxmlformats-officedocument.spreadsheetml.worksheet+xml" PartName="/xl/worksheets/sheet32343.xml"/>
  <Override ContentType="application/vnd.openxmlformats-officedocument.spreadsheetml.worksheet+xml" PartName="/xl/worksheets/sheet32344.xml"/>
  <Override ContentType="application/vnd.openxmlformats-officedocument.spreadsheetml.worksheet+xml" PartName="/xl/worksheets/sheet32345.xml"/>
  <Override ContentType="application/vnd.openxmlformats-officedocument.spreadsheetml.worksheet+xml" PartName="/xl/worksheets/sheet32346.xml"/>
  <Override ContentType="application/vnd.openxmlformats-officedocument.spreadsheetml.worksheet+xml" PartName="/xl/worksheets/sheet32347.xml"/>
  <Override ContentType="application/vnd.openxmlformats-officedocument.spreadsheetml.worksheet+xml" PartName="/xl/worksheets/sheet32348.xml"/>
  <Override ContentType="application/vnd.openxmlformats-officedocument.spreadsheetml.worksheet+xml" PartName="/xl/worksheets/sheet32349.xml"/>
  <Override ContentType="application/vnd.openxmlformats-officedocument.spreadsheetml.worksheet+xml" PartName="/xl/worksheets/sheet32350.xml"/>
  <Override ContentType="application/vnd.openxmlformats-officedocument.spreadsheetml.worksheet+xml" PartName="/xl/worksheets/sheet32351.xml"/>
  <Override ContentType="application/vnd.openxmlformats-officedocument.spreadsheetml.worksheet+xml" PartName="/xl/worksheets/sheet32352.xml"/>
  <Override ContentType="application/vnd.openxmlformats-officedocument.spreadsheetml.worksheet+xml" PartName="/xl/worksheets/sheet32353.xml"/>
  <Override ContentType="application/vnd.openxmlformats-officedocument.spreadsheetml.worksheet+xml" PartName="/xl/worksheets/sheet32354.xml"/>
  <Override ContentType="application/vnd.openxmlformats-officedocument.spreadsheetml.worksheet+xml" PartName="/xl/worksheets/sheet32355.xml"/>
  <Override ContentType="application/vnd.openxmlformats-officedocument.spreadsheetml.worksheet+xml" PartName="/xl/worksheets/sheet32356.xml"/>
  <Override ContentType="application/vnd.openxmlformats-officedocument.spreadsheetml.worksheet+xml" PartName="/xl/worksheets/sheet32357.xml"/>
  <Override ContentType="application/vnd.openxmlformats-officedocument.spreadsheetml.worksheet+xml" PartName="/xl/worksheets/sheet32358.xml"/>
  <Override ContentType="application/vnd.openxmlformats-officedocument.spreadsheetml.worksheet+xml" PartName="/xl/worksheets/sheet32359.xml"/>
  <Override ContentType="application/vnd.openxmlformats-officedocument.spreadsheetml.worksheet+xml" PartName="/xl/worksheets/sheet32360.xml"/>
  <Override ContentType="application/vnd.openxmlformats-officedocument.spreadsheetml.worksheet+xml" PartName="/xl/worksheets/sheet32361.xml"/>
  <Override ContentType="application/vnd.openxmlformats-officedocument.spreadsheetml.worksheet+xml" PartName="/xl/worksheets/sheet32362.xml"/>
  <Override ContentType="application/vnd.openxmlformats-officedocument.spreadsheetml.worksheet+xml" PartName="/xl/worksheets/sheet32363.xml"/>
  <Override ContentType="application/vnd.openxmlformats-officedocument.spreadsheetml.worksheet+xml" PartName="/xl/worksheets/sheet32364.xml"/>
  <Override ContentType="application/vnd.openxmlformats-officedocument.spreadsheetml.worksheet+xml" PartName="/xl/worksheets/sheet32365.xml"/>
  <Override ContentType="application/vnd.openxmlformats-officedocument.spreadsheetml.worksheet+xml" PartName="/xl/worksheets/sheet32366.xml"/>
  <Override ContentType="application/vnd.openxmlformats-officedocument.spreadsheetml.worksheet+xml" PartName="/xl/worksheets/sheet32367.xml"/>
  <Override ContentType="application/vnd.openxmlformats-officedocument.spreadsheetml.worksheet+xml" PartName="/xl/worksheets/sheet32368.xml"/>
  <Override ContentType="application/vnd.openxmlformats-officedocument.spreadsheetml.worksheet+xml" PartName="/xl/worksheets/sheet32369.xml"/>
  <Override ContentType="application/vnd.openxmlformats-officedocument.spreadsheetml.worksheet+xml" PartName="/xl/worksheets/sheet32370.xml"/>
  <Override ContentType="application/vnd.openxmlformats-officedocument.spreadsheetml.worksheet+xml" PartName="/xl/worksheets/sheet32371.xml"/>
  <Override ContentType="application/vnd.openxmlformats-officedocument.spreadsheetml.worksheet+xml" PartName="/xl/worksheets/sheet32372.xml"/>
  <Override ContentType="application/vnd.openxmlformats-officedocument.spreadsheetml.worksheet+xml" PartName="/xl/worksheets/sheet32373.xml"/>
  <Override ContentType="application/vnd.openxmlformats-officedocument.spreadsheetml.worksheet+xml" PartName="/xl/worksheets/sheet32374.xml"/>
  <Override ContentType="application/vnd.openxmlformats-officedocument.spreadsheetml.worksheet+xml" PartName="/xl/worksheets/sheet32375.xml"/>
  <Override ContentType="application/vnd.openxmlformats-officedocument.spreadsheetml.worksheet+xml" PartName="/xl/worksheets/sheet32376.xml"/>
  <Override ContentType="application/vnd.openxmlformats-officedocument.spreadsheetml.worksheet+xml" PartName="/xl/worksheets/sheet32377.xml"/>
  <Override ContentType="application/vnd.openxmlformats-officedocument.spreadsheetml.worksheet+xml" PartName="/xl/worksheets/sheet32378.xml"/>
  <Override ContentType="application/vnd.openxmlformats-officedocument.spreadsheetml.worksheet+xml" PartName="/xl/worksheets/sheet32379.xml"/>
  <Override ContentType="application/vnd.openxmlformats-officedocument.spreadsheetml.worksheet+xml" PartName="/xl/worksheets/sheet32380.xml"/>
  <Override ContentType="application/vnd.openxmlformats-officedocument.spreadsheetml.worksheet+xml" PartName="/xl/worksheets/sheet32381.xml"/>
  <Override ContentType="application/vnd.openxmlformats-officedocument.spreadsheetml.worksheet+xml" PartName="/xl/worksheets/sheet32382.xml"/>
  <Override ContentType="application/vnd.openxmlformats-officedocument.spreadsheetml.worksheet+xml" PartName="/xl/worksheets/sheet32383.xml"/>
  <Override ContentType="application/vnd.openxmlformats-officedocument.spreadsheetml.worksheet+xml" PartName="/xl/worksheets/sheet32384.xml"/>
  <Override ContentType="application/vnd.openxmlformats-officedocument.spreadsheetml.worksheet+xml" PartName="/xl/worksheets/sheet32385.xml"/>
  <Override ContentType="application/vnd.openxmlformats-officedocument.spreadsheetml.worksheet+xml" PartName="/xl/worksheets/sheet32386.xml"/>
  <Override ContentType="application/vnd.openxmlformats-officedocument.spreadsheetml.worksheet+xml" PartName="/xl/worksheets/sheet32387.xml"/>
  <Override ContentType="application/vnd.openxmlformats-officedocument.spreadsheetml.worksheet+xml" PartName="/xl/worksheets/sheet32388.xml"/>
  <Override ContentType="application/vnd.openxmlformats-officedocument.spreadsheetml.worksheet+xml" PartName="/xl/worksheets/sheet32389.xml"/>
  <Override ContentType="application/vnd.openxmlformats-officedocument.spreadsheetml.worksheet+xml" PartName="/xl/worksheets/sheet32390.xml"/>
  <Override ContentType="application/vnd.openxmlformats-officedocument.spreadsheetml.worksheet+xml" PartName="/xl/worksheets/sheet32391.xml"/>
  <Override ContentType="application/vnd.openxmlformats-officedocument.spreadsheetml.worksheet+xml" PartName="/xl/worksheets/sheet32392.xml"/>
  <Override ContentType="application/vnd.openxmlformats-officedocument.spreadsheetml.worksheet+xml" PartName="/xl/worksheets/sheet32393.xml"/>
  <Override ContentType="application/vnd.openxmlformats-officedocument.spreadsheetml.worksheet+xml" PartName="/xl/worksheets/sheet32394.xml"/>
  <Override ContentType="application/vnd.openxmlformats-officedocument.spreadsheetml.worksheet+xml" PartName="/xl/worksheets/sheet32395.xml"/>
  <Override ContentType="application/vnd.openxmlformats-officedocument.spreadsheetml.worksheet+xml" PartName="/xl/worksheets/sheet32396.xml"/>
  <Override ContentType="application/vnd.openxmlformats-officedocument.spreadsheetml.worksheet+xml" PartName="/xl/worksheets/sheet32397.xml"/>
  <Override ContentType="application/vnd.openxmlformats-officedocument.spreadsheetml.worksheet+xml" PartName="/xl/worksheets/sheet32398.xml"/>
  <Override ContentType="application/vnd.openxmlformats-officedocument.spreadsheetml.worksheet+xml" PartName="/xl/worksheets/sheet32399.xml"/>
  <Override ContentType="application/vnd.openxmlformats-officedocument.spreadsheetml.worksheet+xml" PartName="/xl/worksheets/sheet32400.xml"/>
  <Override ContentType="application/vnd.openxmlformats-officedocument.spreadsheetml.worksheet+xml" PartName="/xl/worksheets/sheet32401.xml"/>
  <Override ContentType="application/vnd.openxmlformats-officedocument.spreadsheetml.worksheet+xml" PartName="/xl/worksheets/sheet32402.xml"/>
  <Override ContentType="application/vnd.openxmlformats-officedocument.spreadsheetml.worksheet+xml" PartName="/xl/worksheets/sheet32403.xml"/>
  <Override ContentType="application/vnd.openxmlformats-officedocument.spreadsheetml.worksheet+xml" PartName="/xl/worksheets/sheet32404.xml"/>
  <Override ContentType="application/vnd.openxmlformats-officedocument.spreadsheetml.worksheet+xml" PartName="/xl/worksheets/sheet32405.xml"/>
  <Override ContentType="application/vnd.openxmlformats-officedocument.spreadsheetml.worksheet+xml" PartName="/xl/worksheets/sheet32406.xml"/>
  <Override ContentType="application/vnd.openxmlformats-officedocument.spreadsheetml.worksheet+xml" PartName="/xl/worksheets/sheet32407.xml"/>
  <Override ContentType="application/vnd.openxmlformats-officedocument.spreadsheetml.worksheet+xml" PartName="/xl/worksheets/sheet32408.xml"/>
  <Override ContentType="application/vnd.openxmlformats-officedocument.spreadsheetml.worksheet+xml" PartName="/xl/worksheets/sheet32409.xml"/>
  <Override ContentType="application/vnd.openxmlformats-officedocument.spreadsheetml.worksheet+xml" PartName="/xl/worksheets/sheet32410.xml"/>
  <Override ContentType="application/vnd.openxmlformats-officedocument.spreadsheetml.worksheet+xml" PartName="/xl/worksheets/sheet32411.xml"/>
  <Override ContentType="application/vnd.openxmlformats-officedocument.spreadsheetml.worksheet+xml" PartName="/xl/worksheets/sheet32412.xml"/>
  <Override ContentType="application/vnd.openxmlformats-officedocument.spreadsheetml.worksheet+xml" PartName="/xl/worksheets/sheet32413.xml"/>
  <Override ContentType="application/vnd.openxmlformats-officedocument.spreadsheetml.worksheet+xml" PartName="/xl/worksheets/sheet32414.xml"/>
  <Override ContentType="application/vnd.openxmlformats-officedocument.spreadsheetml.worksheet+xml" PartName="/xl/worksheets/sheet32415.xml"/>
  <Override ContentType="application/vnd.openxmlformats-officedocument.spreadsheetml.worksheet+xml" PartName="/xl/worksheets/sheet32416.xml"/>
  <Override ContentType="application/vnd.openxmlformats-officedocument.spreadsheetml.worksheet+xml" PartName="/xl/worksheets/sheet32417.xml"/>
  <Override ContentType="application/vnd.openxmlformats-officedocument.spreadsheetml.worksheet+xml" PartName="/xl/worksheets/sheet32418.xml"/>
  <Override ContentType="application/vnd.openxmlformats-officedocument.spreadsheetml.worksheet+xml" PartName="/xl/worksheets/sheet32419.xml"/>
  <Override ContentType="application/vnd.openxmlformats-officedocument.spreadsheetml.worksheet+xml" PartName="/xl/worksheets/sheet32420.xml"/>
  <Override ContentType="application/vnd.openxmlformats-officedocument.spreadsheetml.worksheet+xml" PartName="/xl/worksheets/sheet32421.xml"/>
  <Override ContentType="application/vnd.openxmlformats-officedocument.spreadsheetml.worksheet+xml" PartName="/xl/worksheets/sheet32422.xml"/>
  <Override ContentType="application/vnd.openxmlformats-officedocument.spreadsheetml.worksheet+xml" PartName="/xl/worksheets/sheet32423.xml"/>
  <Override ContentType="application/vnd.openxmlformats-officedocument.spreadsheetml.worksheet+xml" PartName="/xl/worksheets/sheet32424.xml"/>
  <Override ContentType="application/vnd.openxmlformats-officedocument.spreadsheetml.worksheet+xml" PartName="/xl/worksheets/sheet32425.xml"/>
  <Override ContentType="application/vnd.openxmlformats-officedocument.spreadsheetml.worksheet+xml" PartName="/xl/worksheets/sheet32426.xml"/>
  <Override ContentType="application/vnd.openxmlformats-officedocument.spreadsheetml.worksheet+xml" PartName="/xl/worksheets/sheet32427.xml"/>
  <Override ContentType="application/vnd.openxmlformats-officedocument.spreadsheetml.worksheet+xml" PartName="/xl/worksheets/sheet32428.xml"/>
  <Override ContentType="application/vnd.openxmlformats-officedocument.spreadsheetml.worksheet+xml" PartName="/xl/worksheets/sheet32429.xml"/>
  <Override ContentType="application/vnd.openxmlformats-officedocument.spreadsheetml.worksheet+xml" PartName="/xl/worksheets/sheet32430.xml"/>
  <Override ContentType="application/vnd.openxmlformats-officedocument.spreadsheetml.worksheet+xml" PartName="/xl/worksheets/sheet32431.xml"/>
  <Override ContentType="application/vnd.openxmlformats-officedocument.spreadsheetml.worksheet+xml" PartName="/xl/worksheets/sheet32432.xml"/>
  <Override ContentType="application/vnd.openxmlformats-officedocument.spreadsheetml.worksheet+xml" PartName="/xl/worksheets/sheet32433.xml"/>
  <Override ContentType="application/vnd.openxmlformats-officedocument.spreadsheetml.worksheet+xml" PartName="/xl/worksheets/sheet32434.xml"/>
  <Override ContentType="application/vnd.openxmlformats-officedocument.spreadsheetml.worksheet+xml" PartName="/xl/worksheets/sheet32435.xml"/>
  <Override ContentType="application/vnd.openxmlformats-officedocument.spreadsheetml.worksheet+xml" PartName="/xl/worksheets/sheet32436.xml"/>
  <Override ContentType="application/vnd.openxmlformats-officedocument.spreadsheetml.worksheet+xml" PartName="/xl/worksheets/sheet32437.xml"/>
  <Override ContentType="application/vnd.openxmlformats-officedocument.spreadsheetml.worksheet+xml" PartName="/xl/worksheets/sheet32438.xml"/>
  <Override ContentType="application/vnd.openxmlformats-officedocument.spreadsheetml.worksheet+xml" PartName="/xl/worksheets/sheet32439.xml"/>
  <Override ContentType="application/vnd.openxmlformats-officedocument.spreadsheetml.worksheet+xml" PartName="/xl/worksheets/sheet32440.xml"/>
  <Override ContentType="application/vnd.openxmlformats-officedocument.spreadsheetml.worksheet+xml" PartName="/xl/worksheets/sheet32441.xml"/>
  <Override ContentType="application/vnd.openxmlformats-officedocument.spreadsheetml.worksheet+xml" PartName="/xl/worksheets/sheet32442.xml"/>
  <Override ContentType="application/vnd.openxmlformats-officedocument.spreadsheetml.worksheet+xml" PartName="/xl/worksheets/sheet32443.xml"/>
  <Override ContentType="application/vnd.openxmlformats-officedocument.spreadsheetml.worksheet+xml" PartName="/xl/worksheets/sheet32444.xml"/>
  <Override ContentType="application/vnd.openxmlformats-officedocument.spreadsheetml.worksheet+xml" PartName="/xl/worksheets/sheet32445.xml"/>
  <Override ContentType="application/vnd.openxmlformats-officedocument.spreadsheetml.worksheet+xml" PartName="/xl/worksheets/sheet32446.xml"/>
  <Override ContentType="application/vnd.openxmlformats-officedocument.spreadsheetml.worksheet+xml" PartName="/xl/worksheets/sheet32447.xml"/>
  <Override ContentType="application/vnd.openxmlformats-officedocument.spreadsheetml.worksheet+xml" PartName="/xl/worksheets/sheet32448.xml"/>
  <Override ContentType="application/vnd.openxmlformats-officedocument.spreadsheetml.worksheet+xml" PartName="/xl/worksheets/sheet32449.xml"/>
  <Override ContentType="application/vnd.openxmlformats-officedocument.spreadsheetml.worksheet+xml" PartName="/xl/worksheets/sheet32450.xml"/>
  <Override ContentType="application/vnd.openxmlformats-officedocument.spreadsheetml.worksheet+xml" PartName="/xl/worksheets/sheet32451.xml"/>
  <Override ContentType="application/vnd.openxmlformats-officedocument.spreadsheetml.worksheet+xml" PartName="/xl/worksheets/sheet32452.xml"/>
  <Override ContentType="application/vnd.openxmlformats-officedocument.spreadsheetml.worksheet+xml" PartName="/xl/worksheets/sheet32453.xml"/>
  <Override ContentType="application/vnd.openxmlformats-officedocument.spreadsheetml.worksheet+xml" PartName="/xl/worksheets/sheet32454.xml"/>
  <Override ContentType="application/vnd.openxmlformats-officedocument.spreadsheetml.worksheet+xml" PartName="/xl/worksheets/sheet32455.xml"/>
  <Override ContentType="application/vnd.openxmlformats-officedocument.spreadsheetml.worksheet+xml" PartName="/xl/worksheets/sheet32456.xml"/>
  <Override ContentType="application/vnd.openxmlformats-officedocument.spreadsheetml.worksheet+xml" PartName="/xl/worksheets/sheet32457.xml"/>
  <Override ContentType="application/vnd.openxmlformats-officedocument.spreadsheetml.worksheet+xml" PartName="/xl/worksheets/sheet32458.xml"/>
  <Override ContentType="application/vnd.openxmlformats-officedocument.spreadsheetml.worksheet+xml" PartName="/xl/worksheets/sheet32459.xml"/>
  <Override ContentType="application/vnd.openxmlformats-officedocument.spreadsheetml.worksheet+xml" PartName="/xl/worksheets/sheet32460.xml"/>
  <Override ContentType="application/vnd.openxmlformats-officedocument.spreadsheetml.worksheet+xml" PartName="/xl/worksheets/sheet32461.xml"/>
  <Override ContentType="application/vnd.openxmlformats-officedocument.spreadsheetml.worksheet+xml" PartName="/xl/worksheets/sheet32462.xml"/>
  <Override ContentType="application/vnd.openxmlformats-officedocument.spreadsheetml.worksheet+xml" PartName="/xl/worksheets/sheet32463.xml"/>
  <Override ContentType="application/vnd.openxmlformats-officedocument.spreadsheetml.worksheet+xml" PartName="/xl/worksheets/sheet32464.xml"/>
  <Override ContentType="application/vnd.openxmlformats-officedocument.spreadsheetml.worksheet+xml" PartName="/xl/worksheets/sheet32465.xml"/>
  <Override ContentType="application/vnd.openxmlformats-officedocument.spreadsheetml.worksheet+xml" PartName="/xl/worksheets/sheet32466.xml"/>
  <Override ContentType="application/vnd.openxmlformats-officedocument.spreadsheetml.worksheet+xml" PartName="/xl/worksheets/sheet32467.xml"/>
  <Override ContentType="application/vnd.openxmlformats-officedocument.spreadsheetml.worksheet+xml" PartName="/xl/worksheets/sheet32468.xml"/>
  <Override ContentType="application/vnd.openxmlformats-officedocument.spreadsheetml.worksheet+xml" PartName="/xl/worksheets/sheet32469.xml"/>
  <Override ContentType="application/vnd.openxmlformats-officedocument.spreadsheetml.worksheet+xml" PartName="/xl/worksheets/sheet32470.xml"/>
  <Override ContentType="application/vnd.openxmlformats-officedocument.spreadsheetml.worksheet+xml" PartName="/xl/worksheets/sheet32471.xml"/>
  <Override ContentType="application/vnd.openxmlformats-officedocument.spreadsheetml.worksheet+xml" PartName="/xl/worksheets/sheet32472.xml"/>
  <Override ContentType="application/vnd.openxmlformats-officedocument.spreadsheetml.worksheet+xml" PartName="/xl/worksheets/sheet32473.xml"/>
  <Override ContentType="application/vnd.openxmlformats-officedocument.spreadsheetml.worksheet+xml" PartName="/xl/worksheets/sheet32474.xml"/>
  <Override ContentType="application/vnd.openxmlformats-officedocument.spreadsheetml.worksheet+xml" PartName="/xl/worksheets/sheet32475.xml"/>
  <Override ContentType="application/vnd.openxmlformats-officedocument.spreadsheetml.worksheet+xml" PartName="/xl/worksheets/sheet32476.xml"/>
  <Override ContentType="application/vnd.openxmlformats-officedocument.spreadsheetml.worksheet+xml" PartName="/xl/worksheets/sheet32477.xml"/>
  <Override ContentType="application/vnd.openxmlformats-officedocument.spreadsheetml.worksheet+xml" PartName="/xl/worksheets/sheet32478.xml"/>
  <Override ContentType="application/vnd.openxmlformats-officedocument.spreadsheetml.worksheet+xml" PartName="/xl/worksheets/sheet32479.xml"/>
  <Override ContentType="application/vnd.openxmlformats-officedocument.spreadsheetml.worksheet+xml" PartName="/xl/worksheets/sheet32480.xml"/>
  <Override ContentType="application/vnd.openxmlformats-officedocument.spreadsheetml.worksheet+xml" PartName="/xl/worksheets/sheet32481.xml"/>
  <Override ContentType="application/vnd.openxmlformats-officedocument.spreadsheetml.worksheet+xml" PartName="/xl/worksheets/sheet32482.xml"/>
  <Override ContentType="application/vnd.openxmlformats-officedocument.spreadsheetml.worksheet+xml" PartName="/xl/worksheets/sheet32483.xml"/>
  <Override ContentType="application/vnd.openxmlformats-officedocument.spreadsheetml.worksheet+xml" PartName="/xl/worksheets/sheet32484.xml"/>
  <Override ContentType="application/vnd.openxmlformats-officedocument.spreadsheetml.worksheet+xml" PartName="/xl/worksheets/sheet32485.xml"/>
  <Override ContentType="application/vnd.openxmlformats-officedocument.spreadsheetml.worksheet+xml" PartName="/xl/worksheets/sheet32486.xml"/>
  <Override ContentType="application/vnd.openxmlformats-officedocument.spreadsheetml.worksheet+xml" PartName="/xl/worksheets/sheet32487.xml"/>
  <Override ContentType="application/vnd.openxmlformats-officedocument.spreadsheetml.worksheet+xml" PartName="/xl/worksheets/sheet32488.xml"/>
  <Override ContentType="application/vnd.openxmlformats-officedocument.spreadsheetml.worksheet+xml" PartName="/xl/worksheets/sheet32489.xml"/>
  <Override ContentType="application/vnd.openxmlformats-officedocument.spreadsheetml.worksheet+xml" PartName="/xl/worksheets/sheet32490.xml"/>
  <Override ContentType="application/vnd.openxmlformats-officedocument.spreadsheetml.worksheet+xml" PartName="/xl/worksheets/sheet32491.xml"/>
  <Override ContentType="application/vnd.openxmlformats-officedocument.spreadsheetml.worksheet+xml" PartName="/xl/worksheets/sheet32492.xml"/>
  <Override ContentType="application/vnd.openxmlformats-officedocument.spreadsheetml.worksheet+xml" PartName="/xl/worksheets/sheet32493.xml"/>
  <Override ContentType="application/vnd.openxmlformats-officedocument.spreadsheetml.worksheet+xml" PartName="/xl/worksheets/sheet32494.xml"/>
  <Override ContentType="application/vnd.openxmlformats-officedocument.spreadsheetml.worksheet+xml" PartName="/xl/worksheets/sheet32495.xml"/>
  <Override ContentType="application/vnd.openxmlformats-officedocument.spreadsheetml.worksheet+xml" PartName="/xl/worksheets/sheet32496.xml"/>
  <Override ContentType="application/vnd.openxmlformats-officedocument.spreadsheetml.worksheet+xml" PartName="/xl/worksheets/sheet32497.xml"/>
  <Override ContentType="application/vnd.openxmlformats-officedocument.spreadsheetml.worksheet+xml" PartName="/xl/worksheets/sheet32498.xml"/>
  <Override ContentType="application/vnd.openxmlformats-officedocument.spreadsheetml.worksheet+xml" PartName="/xl/worksheets/sheet32499.xml"/>
  <Override ContentType="application/vnd.openxmlformats-officedocument.spreadsheetml.worksheet+xml" PartName="/xl/worksheets/sheet32500.xml"/>
  <Override ContentType="application/vnd.openxmlformats-officedocument.spreadsheetml.worksheet+xml" PartName="/xl/worksheets/sheet32501.xml"/>
  <Override ContentType="application/vnd.openxmlformats-officedocument.spreadsheetml.worksheet+xml" PartName="/xl/worksheets/sheet32502.xml"/>
  <Override ContentType="application/vnd.openxmlformats-officedocument.spreadsheetml.worksheet+xml" PartName="/xl/worksheets/sheet32503.xml"/>
  <Override ContentType="application/vnd.openxmlformats-officedocument.spreadsheetml.worksheet+xml" PartName="/xl/worksheets/sheet32504.xml"/>
  <Override ContentType="application/vnd.openxmlformats-officedocument.spreadsheetml.worksheet+xml" PartName="/xl/worksheets/sheet32505.xml"/>
  <Override ContentType="application/vnd.openxmlformats-officedocument.spreadsheetml.worksheet+xml" PartName="/xl/worksheets/sheet32506.xml"/>
  <Override ContentType="application/vnd.openxmlformats-officedocument.spreadsheetml.worksheet+xml" PartName="/xl/worksheets/sheet32507.xml"/>
  <Override ContentType="application/vnd.openxmlformats-officedocument.spreadsheetml.worksheet+xml" PartName="/xl/worksheets/sheet32508.xml"/>
  <Override ContentType="application/vnd.openxmlformats-officedocument.spreadsheetml.worksheet+xml" PartName="/xl/worksheets/sheet32509.xml"/>
  <Override ContentType="application/vnd.openxmlformats-officedocument.spreadsheetml.worksheet+xml" PartName="/xl/worksheets/sheet32510.xml"/>
  <Override ContentType="application/vnd.openxmlformats-officedocument.spreadsheetml.worksheet+xml" PartName="/xl/worksheets/sheet32511.xml"/>
  <Override ContentType="application/vnd.openxmlformats-officedocument.spreadsheetml.worksheet+xml" PartName="/xl/worksheets/sheet32512.xml"/>
  <Override ContentType="application/vnd.openxmlformats-officedocument.spreadsheetml.worksheet+xml" PartName="/xl/worksheets/sheet32513.xml"/>
  <Override ContentType="application/vnd.openxmlformats-officedocument.spreadsheetml.worksheet+xml" PartName="/xl/worksheets/sheet32514.xml"/>
  <Override ContentType="application/vnd.openxmlformats-officedocument.spreadsheetml.worksheet+xml" PartName="/xl/worksheets/sheet32515.xml"/>
  <Override ContentType="application/vnd.openxmlformats-officedocument.spreadsheetml.worksheet+xml" PartName="/xl/worksheets/sheet32516.xml"/>
  <Override ContentType="application/vnd.openxmlformats-officedocument.spreadsheetml.worksheet+xml" PartName="/xl/worksheets/sheet32517.xml"/>
  <Override ContentType="application/vnd.openxmlformats-officedocument.spreadsheetml.worksheet+xml" PartName="/xl/worksheets/sheet32518.xml"/>
  <Override ContentType="application/vnd.openxmlformats-officedocument.spreadsheetml.worksheet+xml" PartName="/xl/worksheets/sheet32519.xml"/>
  <Override ContentType="application/vnd.openxmlformats-officedocument.spreadsheetml.worksheet+xml" PartName="/xl/worksheets/sheet32520.xml"/>
  <Override ContentType="application/vnd.openxmlformats-officedocument.spreadsheetml.worksheet+xml" PartName="/xl/worksheets/sheet32521.xml"/>
  <Override ContentType="application/vnd.openxmlformats-officedocument.spreadsheetml.worksheet+xml" PartName="/xl/worksheets/sheet32522.xml"/>
  <Override ContentType="application/vnd.openxmlformats-officedocument.spreadsheetml.worksheet+xml" PartName="/xl/worksheets/sheet32523.xml"/>
  <Override ContentType="application/vnd.openxmlformats-officedocument.spreadsheetml.worksheet+xml" PartName="/xl/worksheets/sheet32524.xml"/>
  <Override ContentType="application/vnd.openxmlformats-officedocument.spreadsheetml.worksheet+xml" PartName="/xl/worksheets/sheet32525.xml"/>
  <Override ContentType="application/vnd.openxmlformats-officedocument.spreadsheetml.worksheet+xml" PartName="/xl/worksheets/sheet32526.xml"/>
  <Override ContentType="application/vnd.openxmlformats-officedocument.spreadsheetml.worksheet+xml" PartName="/xl/worksheets/sheet32527.xml"/>
  <Override ContentType="application/vnd.openxmlformats-officedocument.spreadsheetml.worksheet+xml" PartName="/xl/worksheets/sheet32528.xml"/>
  <Override ContentType="application/vnd.openxmlformats-officedocument.spreadsheetml.worksheet+xml" PartName="/xl/worksheets/sheet32529.xml"/>
  <Override ContentType="application/vnd.openxmlformats-officedocument.spreadsheetml.worksheet+xml" PartName="/xl/worksheets/sheet32530.xml"/>
  <Override ContentType="application/vnd.openxmlformats-officedocument.spreadsheetml.worksheet+xml" PartName="/xl/worksheets/sheet32531.xml"/>
  <Override ContentType="application/vnd.openxmlformats-officedocument.spreadsheetml.worksheet+xml" PartName="/xl/worksheets/sheet32532.xml"/>
  <Override ContentType="application/vnd.openxmlformats-officedocument.spreadsheetml.worksheet+xml" PartName="/xl/worksheets/sheet32533.xml"/>
  <Override ContentType="application/vnd.openxmlformats-officedocument.spreadsheetml.worksheet+xml" PartName="/xl/worksheets/sheet32534.xml"/>
  <Override ContentType="application/vnd.openxmlformats-officedocument.spreadsheetml.worksheet+xml" PartName="/xl/worksheets/sheet32535.xml"/>
  <Override ContentType="application/vnd.openxmlformats-officedocument.spreadsheetml.worksheet+xml" PartName="/xl/worksheets/sheet32536.xml"/>
  <Override ContentType="application/vnd.openxmlformats-officedocument.spreadsheetml.worksheet+xml" PartName="/xl/worksheets/sheet32537.xml"/>
  <Override ContentType="application/vnd.openxmlformats-officedocument.spreadsheetml.worksheet+xml" PartName="/xl/worksheets/sheet32538.xml"/>
  <Override ContentType="application/vnd.openxmlformats-officedocument.spreadsheetml.worksheet+xml" PartName="/xl/worksheets/sheet32539.xml"/>
  <Override ContentType="application/vnd.openxmlformats-officedocument.spreadsheetml.worksheet+xml" PartName="/xl/worksheets/sheet32540.xml"/>
  <Override ContentType="application/vnd.openxmlformats-officedocument.spreadsheetml.worksheet+xml" PartName="/xl/worksheets/sheet32541.xml"/>
  <Override ContentType="application/vnd.openxmlformats-officedocument.spreadsheetml.worksheet+xml" PartName="/xl/worksheets/sheet32542.xml"/>
  <Override ContentType="application/vnd.openxmlformats-officedocument.spreadsheetml.worksheet+xml" PartName="/xl/worksheets/sheet32543.xml"/>
  <Override ContentType="application/vnd.openxmlformats-officedocument.spreadsheetml.worksheet+xml" PartName="/xl/worksheets/sheet32544.xml"/>
  <Override ContentType="application/vnd.openxmlformats-officedocument.spreadsheetml.worksheet+xml" PartName="/xl/worksheets/sheet32545.xml"/>
  <Override ContentType="application/vnd.openxmlformats-officedocument.spreadsheetml.worksheet+xml" PartName="/xl/worksheets/sheet32546.xml"/>
  <Override ContentType="application/vnd.openxmlformats-officedocument.spreadsheetml.worksheet+xml" PartName="/xl/worksheets/sheet32547.xml"/>
  <Override ContentType="application/vnd.openxmlformats-officedocument.spreadsheetml.worksheet+xml" PartName="/xl/worksheets/sheet32548.xml"/>
  <Override ContentType="application/vnd.openxmlformats-officedocument.spreadsheetml.worksheet+xml" PartName="/xl/worksheets/sheet32549.xml"/>
  <Override ContentType="application/vnd.openxmlformats-officedocument.spreadsheetml.worksheet+xml" PartName="/xl/worksheets/sheet32550.xml"/>
  <Override ContentType="application/vnd.openxmlformats-officedocument.spreadsheetml.worksheet+xml" PartName="/xl/worksheets/sheet32551.xml"/>
  <Override ContentType="application/vnd.openxmlformats-officedocument.spreadsheetml.worksheet+xml" PartName="/xl/worksheets/sheet32552.xml"/>
  <Override ContentType="application/vnd.openxmlformats-officedocument.spreadsheetml.worksheet+xml" PartName="/xl/worksheets/sheet32553.xml"/>
  <Override ContentType="application/vnd.openxmlformats-officedocument.spreadsheetml.worksheet+xml" PartName="/xl/worksheets/sheet32554.xml"/>
  <Override ContentType="application/vnd.openxmlformats-officedocument.spreadsheetml.worksheet+xml" PartName="/xl/worksheets/sheet32555.xml"/>
  <Override ContentType="application/vnd.openxmlformats-officedocument.spreadsheetml.worksheet+xml" PartName="/xl/worksheets/sheet32556.xml"/>
  <Override ContentType="application/vnd.openxmlformats-officedocument.spreadsheetml.worksheet+xml" PartName="/xl/worksheets/sheet32557.xml"/>
  <Override ContentType="application/vnd.openxmlformats-officedocument.spreadsheetml.worksheet+xml" PartName="/xl/worksheets/sheet32558.xml"/>
  <Override ContentType="application/vnd.openxmlformats-officedocument.spreadsheetml.worksheet+xml" PartName="/xl/worksheets/sheet32559.xml"/>
  <Override ContentType="application/vnd.openxmlformats-officedocument.spreadsheetml.worksheet+xml" PartName="/xl/worksheets/sheet32560.xml"/>
  <Override ContentType="application/vnd.openxmlformats-officedocument.spreadsheetml.worksheet+xml" PartName="/xl/worksheets/sheet32561.xml"/>
  <Override ContentType="application/vnd.openxmlformats-officedocument.spreadsheetml.worksheet+xml" PartName="/xl/worksheets/sheet32562.xml"/>
  <Override ContentType="application/vnd.openxmlformats-officedocument.spreadsheetml.worksheet+xml" PartName="/xl/worksheets/sheet32563.xml"/>
  <Override ContentType="application/vnd.openxmlformats-officedocument.spreadsheetml.worksheet+xml" PartName="/xl/worksheets/sheet32564.xml"/>
  <Override ContentType="application/vnd.openxmlformats-officedocument.spreadsheetml.worksheet+xml" PartName="/xl/worksheets/sheet32565.xml"/>
  <Override ContentType="application/vnd.openxmlformats-officedocument.spreadsheetml.worksheet+xml" PartName="/xl/worksheets/sheet32566.xml"/>
  <Override ContentType="application/vnd.openxmlformats-officedocument.spreadsheetml.worksheet+xml" PartName="/xl/worksheets/sheet32567.xml"/>
  <Override ContentType="application/vnd.openxmlformats-officedocument.spreadsheetml.worksheet+xml" PartName="/xl/worksheets/sheet32568.xml"/>
  <Override ContentType="application/vnd.openxmlformats-officedocument.spreadsheetml.worksheet+xml" PartName="/xl/worksheets/sheet32569.xml"/>
  <Override ContentType="application/vnd.openxmlformats-officedocument.spreadsheetml.worksheet+xml" PartName="/xl/worksheets/sheet32570.xml"/>
  <Override ContentType="application/vnd.openxmlformats-officedocument.spreadsheetml.worksheet+xml" PartName="/xl/worksheets/sheet32571.xml"/>
  <Override ContentType="application/vnd.openxmlformats-officedocument.spreadsheetml.worksheet+xml" PartName="/xl/worksheets/sheet32572.xml"/>
  <Override ContentType="application/vnd.openxmlformats-officedocument.spreadsheetml.worksheet+xml" PartName="/xl/worksheets/sheet32573.xml"/>
  <Override ContentType="application/vnd.openxmlformats-officedocument.spreadsheetml.worksheet+xml" PartName="/xl/worksheets/sheet32574.xml"/>
  <Override ContentType="application/vnd.openxmlformats-officedocument.spreadsheetml.worksheet+xml" PartName="/xl/worksheets/sheet32575.xml"/>
  <Override ContentType="application/vnd.openxmlformats-officedocument.spreadsheetml.worksheet+xml" PartName="/xl/worksheets/sheet32576.xml"/>
  <Override ContentType="application/vnd.openxmlformats-officedocument.spreadsheetml.worksheet+xml" PartName="/xl/worksheets/sheet32577.xml"/>
  <Override ContentType="application/vnd.openxmlformats-officedocument.spreadsheetml.worksheet+xml" PartName="/xl/worksheets/sheet32578.xml"/>
  <Override ContentType="application/vnd.openxmlformats-officedocument.spreadsheetml.worksheet+xml" PartName="/xl/worksheets/sheet32579.xml"/>
  <Override ContentType="application/vnd.openxmlformats-officedocument.spreadsheetml.worksheet+xml" PartName="/xl/worksheets/sheet32580.xml"/>
  <Override ContentType="application/vnd.openxmlformats-officedocument.spreadsheetml.worksheet+xml" PartName="/xl/worksheets/sheet32581.xml"/>
  <Override ContentType="application/vnd.openxmlformats-officedocument.spreadsheetml.worksheet+xml" PartName="/xl/worksheets/sheet32582.xml"/>
  <Override ContentType="application/vnd.openxmlformats-officedocument.spreadsheetml.worksheet+xml" PartName="/xl/worksheets/sheet32583.xml"/>
  <Override ContentType="application/vnd.openxmlformats-officedocument.spreadsheetml.worksheet+xml" PartName="/xl/worksheets/sheet32584.xml"/>
  <Override ContentType="application/vnd.openxmlformats-officedocument.spreadsheetml.worksheet+xml" PartName="/xl/worksheets/sheet32585.xml"/>
  <Override ContentType="application/vnd.openxmlformats-officedocument.spreadsheetml.worksheet+xml" PartName="/xl/worksheets/sheet32586.xml"/>
  <Override ContentType="application/vnd.openxmlformats-officedocument.spreadsheetml.worksheet+xml" PartName="/xl/worksheets/sheet32587.xml"/>
  <Override ContentType="application/vnd.openxmlformats-officedocument.spreadsheetml.worksheet+xml" PartName="/xl/worksheets/sheet32588.xml"/>
  <Override ContentType="application/vnd.openxmlformats-officedocument.spreadsheetml.worksheet+xml" PartName="/xl/worksheets/sheet32589.xml"/>
  <Override ContentType="application/vnd.openxmlformats-officedocument.spreadsheetml.worksheet+xml" PartName="/xl/worksheets/sheet32590.xml"/>
  <Override ContentType="application/vnd.openxmlformats-officedocument.spreadsheetml.worksheet+xml" PartName="/xl/worksheets/sheet32591.xml"/>
  <Override ContentType="application/vnd.openxmlformats-officedocument.spreadsheetml.worksheet+xml" PartName="/xl/worksheets/sheet32592.xml"/>
  <Override ContentType="application/vnd.openxmlformats-officedocument.spreadsheetml.worksheet+xml" PartName="/xl/worksheets/sheet32593.xml"/>
  <Override ContentType="application/vnd.openxmlformats-officedocument.spreadsheetml.worksheet+xml" PartName="/xl/worksheets/sheet32594.xml"/>
  <Override ContentType="application/vnd.openxmlformats-officedocument.spreadsheetml.worksheet+xml" PartName="/xl/worksheets/sheet32595.xml"/>
  <Override ContentType="application/vnd.openxmlformats-officedocument.spreadsheetml.worksheet+xml" PartName="/xl/worksheets/sheet32596.xml"/>
  <Override ContentType="application/vnd.openxmlformats-officedocument.spreadsheetml.worksheet+xml" PartName="/xl/worksheets/sheet32597.xml"/>
  <Override ContentType="application/vnd.openxmlformats-officedocument.spreadsheetml.worksheet+xml" PartName="/xl/worksheets/sheet32598.xml"/>
  <Override ContentType="application/vnd.openxmlformats-officedocument.spreadsheetml.worksheet+xml" PartName="/xl/worksheets/sheet32599.xml"/>
  <Override ContentType="application/vnd.openxmlformats-officedocument.spreadsheetml.worksheet+xml" PartName="/xl/worksheets/sheet32600.xml"/>
  <Override ContentType="application/vnd.openxmlformats-officedocument.spreadsheetml.worksheet+xml" PartName="/xl/worksheets/sheet32601.xml"/>
  <Override ContentType="application/vnd.openxmlformats-officedocument.spreadsheetml.worksheet+xml" PartName="/xl/worksheets/sheet32602.xml"/>
  <Override ContentType="application/vnd.openxmlformats-officedocument.spreadsheetml.worksheet+xml" PartName="/xl/worksheets/sheet32603.xml"/>
  <Override ContentType="application/vnd.openxmlformats-officedocument.spreadsheetml.worksheet+xml" PartName="/xl/worksheets/sheet32604.xml"/>
  <Override ContentType="application/vnd.openxmlformats-officedocument.spreadsheetml.worksheet+xml" PartName="/xl/worksheets/sheet32605.xml"/>
  <Override ContentType="application/vnd.openxmlformats-officedocument.spreadsheetml.worksheet+xml" PartName="/xl/worksheets/sheet32606.xml"/>
  <Override ContentType="application/vnd.openxmlformats-officedocument.spreadsheetml.worksheet+xml" PartName="/xl/worksheets/sheet32607.xml"/>
  <Override ContentType="application/vnd.openxmlformats-officedocument.spreadsheetml.worksheet+xml" PartName="/xl/worksheets/sheet32608.xml"/>
  <Override ContentType="application/vnd.openxmlformats-officedocument.spreadsheetml.worksheet+xml" PartName="/xl/worksheets/sheet32609.xml"/>
  <Override ContentType="application/vnd.openxmlformats-officedocument.spreadsheetml.worksheet+xml" PartName="/xl/worksheets/sheet32610.xml"/>
  <Override ContentType="application/vnd.openxmlformats-officedocument.spreadsheetml.worksheet+xml" PartName="/xl/worksheets/sheet32611.xml"/>
  <Override ContentType="application/vnd.openxmlformats-officedocument.spreadsheetml.worksheet+xml" PartName="/xl/worksheets/sheet32612.xml"/>
  <Override ContentType="application/vnd.openxmlformats-officedocument.spreadsheetml.worksheet+xml" PartName="/xl/worksheets/sheet32613.xml"/>
  <Override ContentType="application/vnd.openxmlformats-officedocument.spreadsheetml.worksheet+xml" PartName="/xl/worksheets/sheet32614.xml"/>
  <Override ContentType="application/vnd.openxmlformats-officedocument.spreadsheetml.worksheet+xml" PartName="/xl/worksheets/sheet32615.xml"/>
  <Override ContentType="application/vnd.openxmlformats-officedocument.spreadsheetml.worksheet+xml" PartName="/xl/worksheets/sheet32616.xml"/>
  <Override ContentType="application/vnd.openxmlformats-officedocument.spreadsheetml.worksheet+xml" PartName="/xl/worksheets/sheet32617.xml"/>
  <Override ContentType="application/vnd.openxmlformats-officedocument.spreadsheetml.worksheet+xml" PartName="/xl/worksheets/sheet32618.xml"/>
  <Override ContentType="application/vnd.openxmlformats-officedocument.spreadsheetml.worksheet+xml" PartName="/xl/worksheets/sheet32619.xml"/>
  <Override ContentType="application/vnd.openxmlformats-officedocument.spreadsheetml.worksheet+xml" PartName="/xl/worksheets/sheet32620.xml"/>
  <Override ContentType="application/vnd.openxmlformats-officedocument.spreadsheetml.worksheet+xml" PartName="/xl/worksheets/sheet32621.xml"/>
  <Override ContentType="application/vnd.openxmlformats-officedocument.spreadsheetml.worksheet+xml" PartName="/xl/worksheets/sheet32622.xml"/>
  <Override ContentType="application/vnd.openxmlformats-officedocument.spreadsheetml.worksheet+xml" PartName="/xl/worksheets/sheet32623.xml"/>
  <Override ContentType="application/vnd.openxmlformats-officedocument.spreadsheetml.worksheet+xml" PartName="/xl/worksheets/sheet32624.xml"/>
  <Override ContentType="application/vnd.openxmlformats-officedocument.spreadsheetml.worksheet+xml" PartName="/xl/worksheets/sheet32625.xml"/>
  <Override ContentType="application/vnd.openxmlformats-officedocument.spreadsheetml.worksheet+xml" PartName="/xl/worksheets/sheet32626.xml"/>
  <Override ContentType="application/vnd.openxmlformats-officedocument.spreadsheetml.worksheet+xml" PartName="/xl/worksheets/sheet32627.xml"/>
  <Override ContentType="application/vnd.openxmlformats-officedocument.spreadsheetml.worksheet+xml" PartName="/xl/worksheets/sheet32628.xml"/>
  <Override ContentType="application/vnd.openxmlformats-officedocument.spreadsheetml.worksheet+xml" PartName="/xl/worksheets/sheet32629.xml"/>
  <Override ContentType="application/vnd.openxmlformats-officedocument.spreadsheetml.worksheet+xml" PartName="/xl/worksheets/sheet32630.xml"/>
  <Override ContentType="application/vnd.openxmlformats-officedocument.spreadsheetml.worksheet+xml" PartName="/xl/worksheets/sheet32631.xml"/>
  <Override ContentType="application/vnd.openxmlformats-officedocument.spreadsheetml.worksheet+xml" PartName="/xl/worksheets/sheet32632.xml"/>
  <Override ContentType="application/vnd.openxmlformats-officedocument.spreadsheetml.worksheet+xml" PartName="/xl/worksheets/sheet32633.xml"/>
  <Override ContentType="application/vnd.openxmlformats-officedocument.spreadsheetml.worksheet+xml" PartName="/xl/worksheets/sheet32634.xml"/>
  <Override ContentType="application/vnd.openxmlformats-officedocument.spreadsheetml.worksheet+xml" PartName="/xl/worksheets/sheet32635.xml"/>
  <Override ContentType="application/vnd.openxmlformats-officedocument.spreadsheetml.worksheet+xml" PartName="/xl/worksheets/sheet32636.xml"/>
  <Override ContentType="application/vnd.openxmlformats-officedocument.spreadsheetml.worksheet+xml" PartName="/xl/worksheets/sheet32637.xml"/>
  <Override ContentType="application/vnd.openxmlformats-officedocument.spreadsheetml.worksheet+xml" PartName="/xl/worksheets/sheet32638.xml"/>
  <Override ContentType="application/vnd.openxmlformats-officedocument.spreadsheetml.worksheet+xml" PartName="/xl/worksheets/sheet32639.xml"/>
  <Override ContentType="application/vnd.openxmlformats-officedocument.spreadsheetml.worksheet+xml" PartName="/xl/worksheets/sheet32640.xml"/>
  <Override ContentType="application/vnd.openxmlformats-officedocument.spreadsheetml.worksheet+xml" PartName="/xl/worksheets/sheet32641.xml"/>
  <Override ContentType="application/vnd.openxmlformats-officedocument.spreadsheetml.worksheet+xml" PartName="/xl/worksheets/sheet32642.xml"/>
  <Override ContentType="application/vnd.openxmlformats-officedocument.spreadsheetml.worksheet+xml" PartName="/xl/worksheets/sheet32643.xml"/>
  <Override ContentType="application/vnd.openxmlformats-officedocument.spreadsheetml.worksheet+xml" PartName="/xl/worksheets/sheet32644.xml"/>
  <Override ContentType="application/vnd.openxmlformats-officedocument.spreadsheetml.worksheet+xml" PartName="/xl/worksheets/sheet32645.xml"/>
  <Override ContentType="application/vnd.openxmlformats-officedocument.spreadsheetml.worksheet+xml" PartName="/xl/worksheets/sheet32646.xml"/>
  <Override ContentType="application/vnd.openxmlformats-officedocument.spreadsheetml.worksheet+xml" PartName="/xl/worksheets/sheet32647.xml"/>
  <Override ContentType="application/vnd.openxmlformats-officedocument.spreadsheetml.worksheet+xml" PartName="/xl/worksheets/sheet32648.xml"/>
  <Override ContentType="application/vnd.openxmlformats-officedocument.spreadsheetml.worksheet+xml" PartName="/xl/worksheets/sheet32649.xml"/>
  <Override ContentType="application/vnd.openxmlformats-officedocument.spreadsheetml.worksheet+xml" PartName="/xl/worksheets/sheet32650.xml"/>
  <Override ContentType="application/vnd.openxmlformats-officedocument.spreadsheetml.worksheet+xml" PartName="/xl/worksheets/sheet32651.xml"/>
  <Override ContentType="application/vnd.openxmlformats-officedocument.spreadsheetml.worksheet+xml" PartName="/xl/worksheets/sheet32652.xml"/>
  <Override ContentType="application/vnd.openxmlformats-officedocument.spreadsheetml.worksheet+xml" PartName="/xl/worksheets/sheet32653.xml"/>
  <Override ContentType="application/vnd.openxmlformats-officedocument.spreadsheetml.worksheet+xml" PartName="/xl/worksheets/sheet32654.xml"/>
  <Override ContentType="application/vnd.openxmlformats-officedocument.spreadsheetml.worksheet+xml" PartName="/xl/worksheets/sheet32655.xml"/>
  <Override ContentType="application/vnd.openxmlformats-officedocument.spreadsheetml.worksheet+xml" PartName="/xl/worksheets/sheet32656.xml"/>
  <Override ContentType="application/vnd.openxmlformats-officedocument.spreadsheetml.worksheet+xml" PartName="/xl/worksheets/sheet32657.xml"/>
  <Override ContentType="application/vnd.openxmlformats-officedocument.spreadsheetml.worksheet+xml" PartName="/xl/worksheets/sheet32658.xml"/>
  <Override ContentType="application/vnd.openxmlformats-officedocument.spreadsheetml.worksheet+xml" PartName="/xl/worksheets/sheet32659.xml"/>
  <Override ContentType="application/vnd.openxmlformats-officedocument.spreadsheetml.worksheet+xml" PartName="/xl/worksheets/sheet32660.xml"/>
  <Override ContentType="application/vnd.openxmlformats-officedocument.spreadsheetml.worksheet+xml" PartName="/xl/worksheets/sheet32661.xml"/>
  <Override ContentType="application/vnd.openxmlformats-officedocument.spreadsheetml.worksheet+xml" PartName="/xl/worksheets/sheet32662.xml"/>
  <Override ContentType="application/vnd.openxmlformats-officedocument.spreadsheetml.worksheet+xml" PartName="/xl/worksheets/sheet32663.xml"/>
  <Override ContentType="application/vnd.openxmlformats-officedocument.spreadsheetml.worksheet+xml" PartName="/xl/worksheets/sheet32664.xml"/>
  <Override ContentType="application/vnd.openxmlformats-officedocument.spreadsheetml.worksheet+xml" PartName="/xl/worksheets/sheet32665.xml"/>
  <Override ContentType="application/vnd.openxmlformats-officedocument.spreadsheetml.worksheet+xml" PartName="/xl/worksheets/sheet32666.xml"/>
  <Override ContentType="application/vnd.openxmlformats-officedocument.spreadsheetml.worksheet+xml" PartName="/xl/worksheets/sheet32667.xml"/>
  <Override ContentType="application/vnd.openxmlformats-officedocument.spreadsheetml.worksheet+xml" PartName="/xl/worksheets/sheet32668.xml"/>
  <Override ContentType="application/vnd.openxmlformats-officedocument.spreadsheetml.worksheet+xml" PartName="/xl/worksheets/sheet32669.xml"/>
  <Override ContentType="application/vnd.openxmlformats-officedocument.spreadsheetml.worksheet+xml" PartName="/xl/worksheets/sheet32670.xml"/>
  <Override ContentType="application/vnd.openxmlformats-officedocument.spreadsheetml.worksheet+xml" PartName="/xl/worksheets/sheet32671.xml"/>
  <Override ContentType="application/vnd.openxmlformats-officedocument.spreadsheetml.worksheet+xml" PartName="/xl/worksheets/sheet32672.xml"/>
  <Override ContentType="application/vnd.openxmlformats-officedocument.spreadsheetml.worksheet+xml" PartName="/xl/worksheets/sheet32673.xml"/>
  <Override ContentType="application/vnd.openxmlformats-officedocument.spreadsheetml.worksheet+xml" PartName="/xl/worksheets/sheet32674.xml"/>
  <Override ContentType="application/vnd.openxmlformats-officedocument.spreadsheetml.worksheet+xml" PartName="/xl/worksheets/sheet32675.xml"/>
  <Override ContentType="application/vnd.openxmlformats-officedocument.spreadsheetml.worksheet+xml" PartName="/xl/worksheets/sheet32676.xml"/>
  <Override ContentType="application/vnd.openxmlformats-officedocument.spreadsheetml.worksheet+xml" PartName="/xl/worksheets/sheet32677.xml"/>
  <Override ContentType="application/vnd.openxmlformats-officedocument.spreadsheetml.worksheet+xml" PartName="/xl/worksheets/sheet32678.xml"/>
  <Override ContentType="application/vnd.openxmlformats-officedocument.spreadsheetml.worksheet+xml" PartName="/xl/worksheets/sheet32679.xml"/>
  <Override ContentType="application/vnd.openxmlformats-officedocument.spreadsheetml.worksheet+xml" PartName="/xl/worksheets/sheet32680.xml"/>
  <Override ContentType="application/vnd.openxmlformats-officedocument.spreadsheetml.worksheet+xml" PartName="/xl/worksheets/sheet32681.xml"/>
  <Override ContentType="application/vnd.openxmlformats-officedocument.spreadsheetml.worksheet+xml" PartName="/xl/worksheets/sheet32682.xml"/>
  <Override ContentType="application/vnd.openxmlformats-officedocument.spreadsheetml.worksheet+xml" PartName="/xl/worksheets/sheet32683.xml"/>
  <Override ContentType="application/vnd.openxmlformats-officedocument.spreadsheetml.worksheet+xml" PartName="/xl/worksheets/sheet32684.xml"/>
  <Override ContentType="application/vnd.openxmlformats-officedocument.spreadsheetml.worksheet+xml" PartName="/xl/worksheets/sheet32685.xml"/>
  <Override ContentType="application/vnd.openxmlformats-officedocument.spreadsheetml.worksheet+xml" PartName="/xl/worksheets/sheet32686.xml"/>
  <Override ContentType="application/vnd.openxmlformats-officedocument.spreadsheetml.worksheet+xml" PartName="/xl/worksheets/sheet32687.xml"/>
  <Override ContentType="application/vnd.openxmlformats-officedocument.spreadsheetml.worksheet+xml" PartName="/xl/worksheets/sheet32688.xml"/>
  <Override ContentType="application/vnd.openxmlformats-officedocument.spreadsheetml.worksheet+xml" PartName="/xl/worksheets/sheet32689.xml"/>
  <Override ContentType="application/vnd.openxmlformats-officedocument.spreadsheetml.worksheet+xml" PartName="/xl/worksheets/sheet32690.xml"/>
  <Override ContentType="application/vnd.openxmlformats-officedocument.spreadsheetml.worksheet+xml" PartName="/xl/worksheets/sheet32691.xml"/>
  <Override ContentType="application/vnd.openxmlformats-officedocument.spreadsheetml.worksheet+xml" PartName="/xl/worksheets/sheet32692.xml"/>
  <Override ContentType="application/vnd.openxmlformats-officedocument.spreadsheetml.worksheet+xml" PartName="/xl/worksheets/sheet32693.xml"/>
  <Override ContentType="application/vnd.openxmlformats-officedocument.spreadsheetml.worksheet+xml" PartName="/xl/worksheets/sheet32694.xml"/>
  <Override ContentType="application/vnd.openxmlformats-officedocument.spreadsheetml.worksheet+xml" PartName="/xl/worksheets/sheet32695.xml"/>
  <Override ContentType="application/vnd.openxmlformats-officedocument.spreadsheetml.worksheet+xml" PartName="/xl/worksheets/sheet32696.xml"/>
  <Override ContentType="application/vnd.openxmlformats-officedocument.spreadsheetml.worksheet+xml" PartName="/xl/worksheets/sheet32697.xml"/>
  <Override ContentType="application/vnd.openxmlformats-officedocument.spreadsheetml.worksheet+xml" PartName="/xl/worksheets/sheet32698.xml"/>
  <Override ContentType="application/vnd.openxmlformats-officedocument.spreadsheetml.worksheet+xml" PartName="/xl/worksheets/sheet32699.xml"/>
  <Override ContentType="application/vnd.openxmlformats-officedocument.spreadsheetml.worksheet+xml" PartName="/xl/worksheets/sheet32700.xml"/>
  <Override ContentType="application/vnd.openxmlformats-officedocument.spreadsheetml.worksheet+xml" PartName="/xl/worksheets/sheet32701.xml"/>
  <Override ContentType="application/vnd.openxmlformats-officedocument.spreadsheetml.worksheet+xml" PartName="/xl/worksheets/sheet32702.xml"/>
  <Override ContentType="application/vnd.openxmlformats-officedocument.spreadsheetml.worksheet+xml" PartName="/xl/worksheets/sheet32703.xml"/>
  <Override ContentType="application/vnd.openxmlformats-officedocument.spreadsheetml.worksheet+xml" PartName="/xl/worksheets/sheet32704.xml"/>
  <Override ContentType="application/vnd.openxmlformats-officedocument.spreadsheetml.worksheet+xml" PartName="/xl/worksheets/sheet32705.xml"/>
  <Override ContentType="application/vnd.openxmlformats-officedocument.spreadsheetml.worksheet+xml" PartName="/xl/worksheets/sheet32706.xml"/>
  <Override ContentType="application/vnd.openxmlformats-officedocument.spreadsheetml.worksheet+xml" PartName="/xl/worksheets/sheet32707.xml"/>
  <Override ContentType="application/vnd.openxmlformats-officedocument.spreadsheetml.worksheet+xml" PartName="/xl/worksheets/sheet32708.xml"/>
  <Override ContentType="application/vnd.openxmlformats-officedocument.spreadsheetml.worksheet+xml" PartName="/xl/worksheets/sheet32709.xml"/>
  <Override ContentType="application/vnd.openxmlformats-officedocument.spreadsheetml.worksheet+xml" PartName="/xl/worksheets/sheet32710.xml"/>
  <Override ContentType="application/vnd.openxmlformats-officedocument.spreadsheetml.worksheet+xml" PartName="/xl/worksheets/sheet32711.xml"/>
  <Override ContentType="application/vnd.openxmlformats-officedocument.spreadsheetml.worksheet+xml" PartName="/xl/worksheets/sheet32712.xml"/>
  <Override ContentType="application/vnd.openxmlformats-officedocument.spreadsheetml.worksheet+xml" PartName="/xl/worksheets/sheet32713.xml"/>
  <Override ContentType="application/vnd.openxmlformats-officedocument.spreadsheetml.worksheet+xml" PartName="/xl/worksheets/sheet32714.xml"/>
  <Override ContentType="application/vnd.openxmlformats-officedocument.spreadsheetml.worksheet+xml" PartName="/xl/worksheets/sheet32715.xml"/>
  <Override ContentType="application/vnd.openxmlformats-officedocument.spreadsheetml.worksheet+xml" PartName="/xl/worksheets/sheet32716.xml"/>
  <Override ContentType="application/vnd.openxmlformats-officedocument.spreadsheetml.worksheet+xml" PartName="/xl/worksheets/sheet32717.xml"/>
  <Override ContentType="application/vnd.openxmlformats-officedocument.spreadsheetml.worksheet+xml" PartName="/xl/worksheets/sheet32718.xml"/>
  <Override ContentType="application/vnd.openxmlformats-officedocument.spreadsheetml.worksheet+xml" PartName="/xl/worksheets/sheet32719.xml"/>
  <Override ContentType="application/vnd.openxmlformats-officedocument.spreadsheetml.worksheet+xml" PartName="/xl/worksheets/sheet32720.xml"/>
  <Override ContentType="application/vnd.openxmlformats-officedocument.spreadsheetml.worksheet+xml" PartName="/xl/worksheets/sheet32721.xml"/>
  <Override ContentType="application/vnd.openxmlformats-officedocument.spreadsheetml.worksheet+xml" PartName="/xl/worksheets/sheet32722.xml"/>
  <Override ContentType="application/vnd.openxmlformats-officedocument.spreadsheetml.worksheet+xml" PartName="/xl/worksheets/sheet32723.xml"/>
  <Override ContentType="application/vnd.openxmlformats-officedocument.spreadsheetml.worksheet+xml" PartName="/xl/worksheets/sheet32724.xml"/>
  <Override ContentType="application/vnd.openxmlformats-officedocument.spreadsheetml.worksheet+xml" PartName="/xl/worksheets/sheet32725.xml"/>
  <Override ContentType="application/vnd.openxmlformats-officedocument.spreadsheetml.worksheet+xml" PartName="/xl/worksheets/sheet32726.xml"/>
  <Override ContentType="application/vnd.openxmlformats-officedocument.spreadsheetml.worksheet+xml" PartName="/xl/worksheets/sheet32727.xml"/>
  <Override ContentType="application/vnd.openxmlformats-officedocument.spreadsheetml.worksheet+xml" PartName="/xl/worksheets/sheet32728.xml"/>
  <Override ContentType="application/vnd.openxmlformats-officedocument.spreadsheetml.worksheet+xml" PartName="/xl/worksheets/sheet32729.xml"/>
  <Override ContentType="application/vnd.openxmlformats-officedocument.spreadsheetml.worksheet+xml" PartName="/xl/worksheets/sheet32730.xml"/>
  <Override ContentType="application/vnd.openxmlformats-officedocument.spreadsheetml.worksheet+xml" PartName="/xl/worksheets/sheet32731.xml"/>
  <Override ContentType="application/vnd.openxmlformats-officedocument.spreadsheetml.worksheet+xml" PartName="/xl/worksheets/sheet32732.xml"/>
  <Override ContentType="application/vnd.openxmlformats-officedocument.spreadsheetml.worksheet+xml" PartName="/xl/worksheets/sheet32733.xml"/>
  <Override ContentType="application/vnd.openxmlformats-officedocument.spreadsheetml.worksheet+xml" PartName="/xl/worksheets/sheet32734.xml"/>
  <Override ContentType="application/vnd.openxmlformats-officedocument.spreadsheetml.worksheet+xml" PartName="/xl/worksheets/sheet32735.xml"/>
  <Override ContentType="application/vnd.openxmlformats-officedocument.spreadsheetml.worksheet+xml" PartName="/xl/worksheets/sheet32736.xml"/>
  <Override ContentType="application/vnd.openxmlformats-officedocument.spreadsheetml.worksheet+xml" PartName="/xl/worksheets/sheet32737.xml"/>
  <Override ContentType="application/vnd.openxmlformats-officedocument.spreadsheetml.worksheet+xml" PartName="/xl/worksheets/sheet32738.xml"/>
  <Override ContentType="application/vnd.openxmlformats-officedocument.spreadsheetml.worksheet+xml" PartName="/xl/worksheets/sheet32739.xml"/>
  <Override ContentType="application/vnd.openxmlformats-officedocument.spreadsheetml.worksheet+xml" PartName="/xl/worksheets/sheet32740.xml"/>
  <Override ContentType="application/vnd.openxmlformats-officedocument.spreadsheetml.worksheet+xml" PartName="/xl/worksheets/sheet32741.xml"/>
  <Override ContentType="application/vnd.openxmlformats-officedocument.spreadsheetml.worksheet+xml" PartName="/xl/worksheets/sheet32742.xml"/>
  <Override ContentType="application/vnd.openxmlformats-officedocument.spreadsheetml.worksheet+xml" PartName="/xl/worksheets/sheet32743.xml"/>
  <Override ContentType="application/vnd.openxmlformats-officedocument.spreadsheetml.worksheet+xml" PartName="/xl/worksheets/sheet32744.xml"/>
  <Override ContentType="application/vnd.openxmlformats-officedocument.spreadsheetml.worksheet+xml" PartName="/xl/worksheets/sheet32745.xml"/>
  <Override ContentType="application/vnd.openxmlformats-officedocument.spreadsheetml.worksheet+xml" PartName="/xl/worksheets/sheet32746.xml"/>
  <Override ContentType="application/vnd.openxmlformats-officedocument.spreadsheetml.worksheet+xml" PartName="/xl/worksheets/sheet32747.xml"/>
  <Override ContentType="application/vnd.openxmlformats-officedocument.spreadsheetml.worksheet+xml" PartName="/xl/worksheets/sheet32748.xml"/>
  <Override ContentType="application/vnd.openxmlformats-officedocument.spreadsheetml.worksheet+xml" PartName="/xl/worksheets/sheet32749.xml"/>
  <Override ContentType="application/vnd.openxmlformats-officedocument.spreadsheetml.worksheet+xml" PartName="/xl/worksheets/sheet32750.xml"/>
  <Override ContentType="application/vnd.openxmlformats-officedocument.spreadsheetml.worksheet+xml" PartName="/xl/worksheets/sheet32751.xml"/>
  <Override ContentType="application/vnd.openxmlformats-officedocument.spreadsheetml.worksheet+xml" PartName="/xl/worksheets/sheet32752.xml"/>
  <Override ContentType="application/vnd.openxmlformats-officedocument.spreadsheetml.worksheet+xml" PartName="/xl/worksheets/sheet32753.xml"/>
  <Override ContentType="application/vnd.openxmlformats-officedocument.spreadsheetml.worksheet+xml" PartName="/xl/worksheets/sheet32754.xml"/>
  <Override ContentType="application/vnd.openxmlformats-officedocument.spreadsheetml.worksheet+xml" PartName="/xl/worksheets/sheet32755.xml"/>
  <Override ContentType="application/vnd.openxmlformats-officedocument.spreadsheetml.worksheet+xml" PartName="/xl/worksheets/sheet32756.xml"/>
  <Override ContentType="application/vnd.openxmlformats-officedocument.spreadsheetml.worksheet+xml" PartName="/xl/worksheets/sheet32757.xml"/>
  <Override ContentType="application/vnd.openxmlformats-officedocument.spreadsheetml.worksheet+xml" PartName="/xl/worksheets/sheet32758.xml"/>
  <Override ContentType="application/vnd.openxmlformats-officedocument.spreadsheetml.worksheet+xml" PartName="/xl/worksheets/sheet32759.xml"/>
  <Override ContentType="application/vnd.openxmlformats-officedocument.spreadsheetml.worksheet+xml" PartName="/xl/worksheets/sheet32760.xml"/>
  <Override ContentType="application/vnd.openxmlformats-officedocument.spreadsheetml.worksheet+xml" PartName="/xl/worksheets/sheet32761.xml"/>
  <Override ContentType="application/vnd.openxmlformats-officedocument.spreadsheetml.worksheet+xml" PartName="/xl/worksheets/sheet32762.xml"/>
  <Override ContentType="application/vnd.openxmlformats-officedocument.spreadsheetml.worksheet+xml" PartName="/xl/worksheets/sheet32763.xml"/>
  <Override ContentType="application/vnd.openxmlformats-officedocument.spreadsheetml.worksheet+xml" PartName="/xl/worksheets/sheet32764.xml"/>
  <Override ContentType="application/vnd.openxmlformats-officedocument.spreadsheetml.worksheet+xml" PartName="/xl/worksheets/sheet32765.xml"/>
  <Override ContentType="application/vnd.openxmlformats-officedocument.spreadsheetml.worksheet+xml" PartName="/xl/worksheets/sheet32766.xml"/>
  <Override ContentType="application/vnd.openxmlformats-officedocument.spreadsheetml.worksheet+xml" PartName="/xl/worksheets/sheet32767.xml"/>
  <Override ContentType="application/vnd.openxmlformats-officedocument.spreadsheetml.worksheet+xml" PartName="/xl/worksheets/sheet32768.xml"/>
  <Override ContentType="application/vnd.openxmlformats-officedocument.spreadsheetml.worksheet+xml" PartName="/xl/worksheets/sheet32769.xml"/>
  <Override ContentType="application/vnd.openxmlformats-officedocument.spreadsheetml.worksheet+xml" PartName="/xl/worksheets/sheet32770.xml"/>
  <Override ContentType="application/vnd.openxmlformats-officedocument.spreadsheetml.worksheet+xml" PartName="/xl/worksheets/sheet32771.xml"/>
  <Override ContentType="application/vnd.openxmlformats-officedocument.spreadsheetml.worksheet+xml" PartName="/xl/worksheets/sheet32772.xml"/>
  <Override ContentType="application/vnd.openxmlformats-officedocument.spreadsheetml.worksheet+xml" PartName="/xl/worksheets/sheet32773.xml"/>
  <Override ContentType="application/vnd.openxmlformats-officedocument.spreadsheetml.worksheet+xml" PartName="/xl/worksheets/sheet32774.xml"/>
  <Override ContentType="application/vnd.openxmlformats-officedocument.spreadsheetml.worksheet+xml" PartName="/xl/worksheets/sheet32775.xml"/>
  <Override ContentType="application/vnd.openxmlformats-officedocument.spreadsheetml.worksheet+xml" PartName="/xl/worksheets/sheet32776.xml"/>
  <Override ContentType="application/vnd.openxmlformats-officedocument.spreadsheetml.worksheet+xml" PartName="/xl/worksheets/sheet32777.xml"/>
  <Override ContentType="application/vnd.openxmlformats-officedocument.spreadsheetml.worksheet+xml" PartName="/xl/worksheets/sheet32778.xml"/>
  <Override ContentType="application/vnd.openxmlformats-officedocument.spreadsheetml.worksheet+xml" PartName="/xl/worksheets/sheet32779.xml"/>
  <Override ContentType="application/vnd.openxmlformats-officedocument.spreadsheetml.worksheet+xml" PartName="/xl/worksheets/sheet32780.xml"/>
  <Override ContentType="application/vnd.openxmlformats-officedocument.spreadsheetml.worksheet+xml" PartName="/xl/worksheets/sheet32781.xml"/>
  <Override ContentType="application/vnd.openxmlformats-officedocument.spreadsheetml.worksheet+xml" PartName="/xl/worksheets/sheet32782.xml"/>
  <Override ContentType="application/vnd.openxmlformats-officedocument.spreadsheetml.worksheet+xml" PartName="/xl/worksheets/sheet32783.xml"/>
  <Override ContentType="application/vnd.openxmlformats-officedocument.spreadsheetml.worksheet+xml" PartName="/xl/worksheets/sheet32784.xml"/>
  <Override ContentType="application/vnd.openxmlformats-officedocument.spreadsheetml.worksheet+xml" PartName="/xl/worksheets/sheet32785.xml"/>
  <Override ContentType="application/vnd.openxmlformats-officedocument.spreadsheetml.worksheet+xml" PartName="/xl/worksheets/sheet32786.xml"/>
  <Override ContentType="application/vnd.openxmlformats-officedocument.spreadsheetml.worksheet+xml" PartName="/xl/worksheets/sheet32787.xml"/>
  <Override ContentType="application/vnd.openxmlformats-officedocument.spreadsheetml.worksheet+xml" PartName="/xl/worksheets/sheet32788.xml"/>
  <Override ContentType="application/vnd.openxmlformats-officedocument.spreadsheetml.worksheet+xml" PartName="/xl/worksheets/sheet32789.xml"/>
  <Override ContentType="application/vnd.openxmlformats-officedocument.spreadsheetml.worksheet+xml" PartName="/xl/worksheets/sheet32790.xml"/>
  <Override ContentType="application/vnd.openxmlformats-officedocument.spreadsheetml.worksheet+xml" PartName="/xl/worksheets/sheet32791.xml"/>
  <Override ContentType="application/vnd.openxmlformats-officedocument.spreadsheetml.worksheet+xml" PartName="/xl/worksheets/sheet32792.xml"/>
  <Override ContentType="application/vnd.openxmlformats-officedocument.spreadsheetml.worksheet+xml" PartName="/xl/worksheets/sheet32793.xml"/>
  <Override ContentType="application/vnd.openxmlformats-officedocument.spreadsheetml.worksheet+xml" PartName="/xl/worksheets/sheet32794.xml"/>
  <Override ContentType="application/vnd.openxmlformats-officedocument.spreadsheetml.worksheet+xml" PartName="/xl/worksheets/sheet32795.xml"/>
  <Override ContentType="application/vnd.openxmlformats-officedocument.spreadsheetml.worksheet+xml" PartName="/xl/worksheets/sheet32796.xml"/>
  <Override ContentType="application/vnd.openxmlformats-officedocument.spreadsheetml.worksheet+xml" PartName="/xl/worksheets/sheet32797.xml"/>
  <Override ContentType="application/vnd.openxmlformats-officedocument.spreadsheetml.worksheet+xml" PartName="/xl/worksheets/sheet32798.xml"/>
  <Override ContentType="application/vnd.openxmlformats-officedocument.spreadsheetml.worksheet+xml" PartName="/xl/worksheets/sheet32799.xml"/>
  <Override ContentType="application/vnd.openxmlformats-officedocument.spreadsheetml.worksheet+xml" PartName="/xl/worksheets/sheet32800.xml"/>
  <Override ContentType="application/vnd.openxmlformats-officedocument.spreadsheetml.worksheet+xml" PartName="/xl/worksheets/sheet32801.xml"/>
  <Override ContentType="application/vnd.openxmlformats-officedocument.spreadsheetml.worksheet+xml" PartName="/xl/worksheets/sheet32802.xml"/>
  <Override ContentType="application/vnd.openxmlformats-officedocument.spreadsheetml.worksheet+xml" PartName="/xl/worksheets/sheet32803.xml"/>
  <Override ContentType="application/vnd.openxmlformats-officedocument.spreadsheetml.worksheet+xml" PartName="/xl/worksheets/sheet32804.xml"/>
  <Override ContentType="application/vnd.openxmlformats-officedocument.spreadsheetml.worksheet+xml" PartName="/xl/worksheets/sheet32805.xml"/>
  <Override ContentType="application/vnd.openxmlformats-officedocument.spreadsheetml.worksheet+xml" PartName="/xl/worksheets/sheet32806.xml"/>
  <Override ContentType="application/vnd.openxmlformats-officedocument.spreadsheetml.worksheet+xml" PartName="/xl/worksheets/sheet32807.xml"/>
  <Override ContentType="application/vnd.openxmlformats-officedocument.spreadsheetml.worksheet+xml" PartName="/xl/worksheets/sheet32808.xml"/>
  <Override ContentType="application/vnd.openxmlformats-officedocument.spreadsheetml.worksheet+xml" PartName="/xl/worksheets/sheet32809.xml"/>
  <Override ContentType="application/vnd.openxmlformats-officedocument.spreadsheetml.worksheet+xml" PartName="/xl/worksheets/sheet32810.xml"/>
  <Override ContentType="application/vnd.openxmlformats-officedocument.spreadsheetml.worksheet+xml" PartName="/xl/worksheets/sheet32811.xml"/>
  <Override ContentType="application/vnd.openxmlformats-officedocument.spreadsheetml.worksheet+xml" PartName="/xl/worksheets/sheet32812.xml"/>
  <Override ContentType="application/vnd.openxmlformats-officedocument.spreadsheetml.worksheet+xml" PartName="/xl/worksheets/sheet32813.xml"/>
  <Override ContentType="application/vnd.openxmlformats-officedocument.spreadsheetml.worksheet+xml" PartName="/xl/worksheets/sheet32814.xml"/>
  <Override ContentType="application/vnd.openxmlformats-officedocument.spreadsheetml.worksheet+xml" PartName="/xl/worksheets/sheet32815.xml"/>
  <Override ContentType="application/vnd.openxmlformats-officedocument.spreadsheetml.worksheet+xml" PartName="/xl/worksheets/sheet32816.xml"/>
  <Override ContentType="application/vnd.openxmlformats-officedocument.spreadsheetml.worksheet+xml" PartName="/xl/worksheets/sheet32817.xml"/>
  <Override ContentType="application/vnd.openxmlformats-officedocument.spreadsheetml.worksheet+xml" PartName="/xl/worksheets/sheet32818.xml"/>
  <Override ContentType="application/vnd.openxmlformats-officedocument.spreadsheetml.worksheet+xml" PartName="/xl/worksheets/sheet32819.xml"/>
  <Override ContentType="application/vnd.openxmlformats-officedocument.spreadsheetml.worksheet+xml" PartName="/xl/worksheets/sheet32820.xml"/>
  <Override ContentType="application/vnd.openxmlformats-officedocument.spreadsheetml.worksheet+xml" PartName="/xl/worksheets/sheet32821.xml"/>
  <Override ContentType="application/vnd.openxmlformats-officedocument.spreadsheetml.worksheet+xml" PartName="/xl/worksheets/sheet32822.xml"/>
  <Override ContentType="application/vnd.openxmlformats-officedocument.spreadsheetml.worksheet+xml" PartName="/xl/worksheets/sheet32823.xml"/>
  <Override ContentType="application/vnd.openxmlformats-officedocument.spreadsheetml.worksheet+xml" PartName="/xl/worksheets/sheet32824.xml"/>
  <Override ContentType="application/vnd.openxmlformats-officedocument.spreadsheetml.worksheet+xml" PartName="/xl/worksheets/sheet32825.xml"/>
  <Override ContentType="application/vnd.openxmlformats-officedocument.spreadsheetml.worksheet+xml" PartName="/xl/worksheets/sheet32826.xml"/>
  <Override ContentType="application/vnd.openxmlformats-officedocument.spreadsheetml.worksheet+xml" PartName="/xl/worksheets/sheet32827.xml"/>
  <Override ContentType="application/vnd.openxmlformats-officedocument.spreadsheetml.worksheet+xml" PartName="/xl/worksheets/sheet32828.xml"/>
  <Override ContentType="application/vnd.openxmlformats-officedocument.spreadsheetml.worksheet+xml" PartName="/xl/worksheets/sheet32829.xml"/>
  <Override ContentType="application/vnd.openxmlformats-officedocument.spreadsheetml.worksheet+xml" PartName="/xl/worksheets/sheet32830.xml"/>
  <Override ContentType="application/vnd.openxmlformats-officedocument.spreadsheetml.worksheet+xml" PartName="/xl/worksheets/sheet32831.xml"/>
  <Override ContentType="application/vnd.openxmlformats-officedocument.spreadsheetml.worksheet+xml" PartName="/xl/worksheets/sheet32832.xml"/>
  <Override ContentType="application/vnd.openxmlformats-officedocument.spreadsheetml.worksheet+xml" PartName="/xl/worksheets/sheet32833.xml"/>
  <Override ContentType="application/vnd.openxmlformats-officedocument.spreadsheetml.worksheet+xml" PartName="/xl/worksheets/sheet32834.xml"/>
  <Override ContentType="application/vnd.openxmlformats-officedocument.spreadsheetml.worksheet+xml" PartName="/xl/worksheets/sheet32835.xml"/>
  <Override ContentType="application/vnd.openxmlformats-officedocument.spreadsheetml.worksheet+xml" PartName="/xl/worksheets/sheet32836.xml"/>
  <Override ContentType="application/vnd.openxmlformats-officedocument.spreadsheetml.worksheet+xml" PartName="/xl/worksheets/sheet32837.xml"/>
  <Override ContentType="application/vnd.openxmlformats-officedocument.spreadsheetml.worksheet+xml" PartName="/xl/worksheets/sheet32838.xml"/>
  <Override ContentType="application/vnd.openxmlformats-officedocument.spreadsheetml.worksheet+xml" PartName="/xl/worksheets/sheet32839.xml"/>
  <Override ContentType="application/vnd.openxmlformats-officedocument.spreadsheetml.worksheet+xml" PartName="/xl/worksheets/sheet32840.xml"/>
  <Override ContentType="application/vnd.openxmlformats-officedocument.spreadsheetml.worksheet+xml" PartName="/xl/worksheets/sheet32841.xml"/>
  <Override ContentType="application/vnd.openxmlformats-officedocument.spreadsheetml.worksheet+xml" PartName="/xl/worksheets/sheet32842.xml"/>
  <Override ContentType="application/vnd.openxmlformats-officedocument.spreadsheetml.worksheet+xml" PartName="/xl/worksheets/sheet32843.xml"/>
  <Override ContentType="application/vnd.openxmlformats-officedocument.spreadsheetml.worksheet+xml" PartName="/xl/worksheets/sheet32844.xml"/>
  <Override ContentType="application/vnd.openxmlformats-officedocument.spreadsheetml.worksheet+xml" PartName="/xl/worksheets/sheet32845.xml"/>
  <Override ContentType="application/vnd.openxmlformats-officedocument.spreadsheetml.worksheet+xml" PartName="/xl/worksheets/sheet32846.xml"/>
  <Override ContentType="application/vnd.openxmlformats-officedocument.spreadsheetml.worksheet+xml" PartName="/xl/worksheets/sheet32847.xml"/>
  <Override ContentType="application/vnd.openxmlformats-officedocument.spreadsheetml.worksheet+xml" PartName="/xl/worksheets/sheet32848.xml"/>
  <Override ContentType="application/vnd.openxmlformats-officedocument.spreadsheetml.worksheet+xml" PartName="/xl/worksheets/sheet32849.xml"/>
  <Override ContentType="application/vnd.openxmlformats-officedocument.spreadsheetml.worksheet+xml" PartName="/xl/worksheets/sheet32850.xml"/>
  <Override ContentType="application/vnd.openxmlformats-officedocument.spreadsheetml.worksheet+xml" PartName="/xl/worksheets/sheet32851.xml"/>
  <Override ContentType="application/vnd.openxmlformats-officedocument.spreadsheetml.worksheet+xml" PartName="/xl/worksheets/sheet32852.xml"/>
  <Override ContentType="application/vnd.openxmlformats-officedocument.spreadsheetml.worksheet+xml" PartName="/xl/worksheets/sheet32853.xml"/>
  <Override ContentType="application/vnd.openxmlformats-officedocument.spreadsheetml.worksheet+xml" PartName="/xl/worksheets/sheet32854.xml"/>
  <Override ContentType="application/vnd.openxmlformats-officedocument.spreadsheetml.worksheet+xml" PartName="/xl/worksheets/sheet32855.xml"/>
  <Override ContentType="application/vnd.openxmlformats-officedocument.spreadsheetml.worksheet+xml" PartName="/xl/worksheets/sheet32856.xml"/>
  <Override ContentType="application/vnd.openxmlformats-officedocument.spreadsheetml.worksheet+xml" PartName="/xl/worksheets/sheet32857.xml"/>
  <Override ContentType="application/vnd.openxmlformats-officedocument.spreadsheetml.worksheet+xml" PartName="/xl/worksheets/sheet32858.xml"/>
  <Override ContentType="application/vnd.openxmlformats-officedocument.spreadsheetml.worksheet+xml" PartName="/xl/worksheets/sheet32859.xml"/>
  <Override ContentType="application/vnd.openxmlformats-officedocument.spreadsheetml.worksheet+xml" PartName="/xl/worksheets/sheet32860.xml"/>
  <Override ContentType="application/vnd.openxmlformats-officedocument.spreadsheetml.worksheet+xml" PartName="/xl/worksheets/sheet32861.xml"/>
  <Override ContentType="application/vnd.openxmlformats-officedocument.spreadsheetml.worksheet+xml" PartName="/xl/worksheets/sheet32862.xml"/>
  <Override ContentType="application/vnd.openxmlformats-officedocument.spreadsheetml.worksheet+xml" PartName="/xl/worksheets/sheet32863.xml"/>
  <Override ContentType="application/vnd.openxmlformats-officedocument.spreadsheetml.worksheet+xml" PartName="/xl/worksheets/sheet32864.xml"/>
  <Override ContentType="application/vnd.openxmlformats-officedocument.spreadsheetml.worksheet+xml" PartName="/xl/worksheets/sheet32865.xml"/>
  <Override ContentType="application/vnd.openxmlformats-officedocument.spreadsheetml.worksheet+xml" PartName="/xl/worksheets/sheet32866.xml"/>
  <Override ContentType="application/vnd.openxmlformats-officedocument.spreadsheetml.worksheet+xml" PartName="/xl/worksheets/sheet32867.xml"/>
  <Override ContentType="application/vnd.openxmlformats-officedocument.spreadsheetml.worksheet+xml" PartName="/xl/worksheets/sheet32868.xml"/>
  <Override ContentType="application/vnd.openxmlformats-officedocument.spreadsheetml.worksheet+xml" PartName="/xl/worksheets/sheet32869.xml"/>
  <Override ContentType="application/vnd.openxmlformats-officedocument.spreadsheetml.worksheet+xml" PartName="/xl/worksheets/sheet32870.xml"/>
  <Override ContentType="application/vnd.openxmlformats-officedocument.spreadsheetml.worksheet+xml" PartName="/xl/worksheets/sheet32871.xml"/>
  <Override ContentType="application/vnd.openxmlformats-officedocument.spreadsheetml.worksheet+xml" PartName="/xl/worksheets/sheet32872.xml"/>
  <Override ContentType="application/vnd.openxmlformats-officedocument.spreadsheetml.worksheet+xml" PartName="/xl/worksheets/sheet32873.xml"/>
  <Override ContentType="application/vnd.openxmlformats-officedocument.spreadsheetml.worksheet+xml" PartName="/xl/worksheets/sheet32874.xml"/>
  <Override ContentType="application/vnd.openxmlformats-officedocument.spreadsheetml.worksheet+xml" PartName="/xl/worksheets/sheet32875.xml"/>
  <Override ContentType="application/vnd.openxmlformats-officedocument.spreadsheetml.worksheet+xml" PartName="/xl/worksheets/sheet32876.xml"/>
  <Override ContentType="application/vnd.openxmlformats-officedocument.spreadsheetml.worksheet+xml" PartName="/xl/worksheets/sheet32877.xml"/>
  <Override ContentType="application/vnd.openxmlformats-officedocument.spreadsheetml.worksheet+xml" PartName="/xl/worksheets/sheet32878.xml"/>
  <Override ContentType="application/vnd.openxmlformats-officedocument.spreadsheetml.worksheet+xml" PartName="/xl/worksheets/sheet32879.xml"/>
  <Override ContentType="application/vnd.openxmlformats-officedocument.spreadsheetml.worksheet+xml" PartName="/xl/worksheets/sheet32880.xml"/>
  <Override ContentType="application/vnd.openxmlformats-officedocument.spreadsheetml.worksheet+xml" PartName="/xl/worksheets/sheet32881.xml"/>
  <Override ContentType="application/vnd.openxmlformats-officedocument.spreadsheetml.worksheet+xml" PartName="/xl/worksheets/sheet32882.xml"/>
  <Override ContentType="application/vnd.openxmlformats-officedocument.spreadsheetml.worksheet+xml" PartName="/xl/worksheets/sheet32883.xml"/>
  <Override ContentType="application/vnd.openxmlformats-officedocument.spreadsheetml.worksheet+xml" PartName="/xl/worksheets/sheet32884.xml"/>
  <Override ContentType="application/vnd.openxmlformats-officedocument.spreadsheetml.worksheet+xml" PartName="/xl/worksheets/sheet32885.xml"/>
  <Override ContentType="application/vnd.openxmlformats-officedocument.spreadsheetml.worksheet+xml" PartName="/xl/worksheets/sheet32886.xml"/>
  <Override ContentType="application/vnd.openxmlformats-officedocument.spreadsheetml.worksheet+xml" PartName="/xl/worksheets/sheet32887.xml"/>
  <Override ContentType="application/vnd.openxmlformats-officedocument.spreadsheetml.worksheet+xml" PartName="/xl/worksheets/sheet32888.xml"/>
  <Override ContentType="application/vnd.openxmlformats-officedocument.spreadsheetml.worksheet+xml" PartName="/xl/worksheets/sheet32889.xml"/>
  <Override ContentType="application/vnd.openxmlformats-officedocument.spreadsheetml.worksheet+xml" PartName="/xl/worksheets/sheet32890.xml"/>
  <Override ContentType="application/vnd.openxmlformats-officedocument.spreadsheetml.worksheet+xml" PartName="/xl/worksheets/sheet32891.xml"/>
  <Override ContentType="application/vnd.openxmlformats-officedocument.spreadsheetml.worksheet+xml" PartName="/xl/worksheets/sheet32892.xml"/>
  <Override ContentType="application/vnd.openxmlformats-officedocument.spreadsheetml.worksheet+xml" PartName="/xl/worksheets/sheet32893.xml"/>
  <Override ContentType="application/vnd.openxmlformats-officedocument.spreadsheetml.worksheet+xml" PartName="/xl/worksheets/sheet32894.xml"/>
  <Override ContentType="application/vnd.openxmlformats-officedocument.spreadsheetml.worksheet+xml" PartName="/xl/worksheets/sheet32895.xml"/>
  <Override ContentType="application/vnd.openxmlformats-officedocument.spreadsheetml.worksheet+xml" PartName="/xl/worksheets/sheet32896.xml"/>
  <Override ContentType="application/vnd.openxmlformats-officedocument.spreadsheetml.worksheet+xml" PartName="/xl/worksheets/sheet32897.xml"/>
  <Override ContentType="application/vnd.openxmlformats-officedocument.spreadsheetml.worksheet+xml" PartName="/xl/worksheets/sheet32898.xml"/>
  <Override ContentType="application/vnd.openxmlformats-officedocument.spreadsheetml.worksheet+xml" PartName="/xl/worksheets/sheet32899.xml"/>
  <Override ContentType="application/vnd.openxmlformats-officedocument.spreadsheetml.worksheet+xml" PartName="/xl/worksheets/sheet32900.xml"/>
  <Override ContentType="application/vnd.openxmlformats-officedocument.spreadsheetml.worksheet+xml" PartName="/xl/worksheets/sheet32901.xml"/>
  <Override ContentType="application/vnd.openxmlformats-officedocument.spreadsheetml.worksheet+xml" PartName="/xl/worksheets/sheet32902.xml"/>
  <Override ContentType="application/vnd.openxmlformats-officedocument.spreadsheetml.worksheet+xml" PartName="/xl/worksheets/sheet32903.xml"/>
  <Override ContentType="application/vnd.openxmlformats-officedocument.spreadsheetml.worksheet+xml" PartName="/xl/worksheets/sheet32904.xml"/>
  <Override ContentType="application/vnd.openxmlformats-officedocument.spreadsheetml.worksheet+xml" PartName="/xl/worksheets/sheet32905.xml"/>
  <Override ContentType="application/vnd.openxmlformats-officedocument.spreadsheetml.worksheet+xml" PartName="/xl/worksheets/sheet32906.xml"/>
  <Override ContentType="application/vnd.openxmlformats-officedocument.spreadsheetml.worksheet+xml" PartName="/xl/worksheets/sheet32907.xml"/>
  <Override ContentType="application/vnd.openxmlformats-officedocument.spreadsheetml.worksheet+xml" PartName="/xl/worksheets/sheet32908.xml"/>
  <Override ContentType="application/vnd.openxmlformats-officedocument.spreadsheetml.worksheet+xml" PartName="/xl/worksheets/sheet32909.xml"/>
  <Override ContentType="application/vnd.openxmlformats-officedocument.spreadsheetml.worksheet+xml" PartName="/xl/worksheets/sheet32910.xml"/>
  <Override ContentType="application/vnd.openxmlformats-officedocument.spreadsheetml.worksheet+xml" PartName="/xl/worksheets/sheet32911.xml"/>
  <Override ContentType="application/vnd.openxmlformats-officedocument.spreadsheetml.worksheet+xml" PartName="/xl/worksheets/sheet32912.xml"/>
  <Override ContentType="application/vnd.openxmlformats-officedocument.spreadsheetml.worksheet+xml" PartName="/xl/worksheets/sheet32913.xml"/>
  <Override ContentType="application/vnd.openxmlformats-officedocument.spreadsheetml.worksheet+xml" PartName="/xl/worksheets/sheet32914.xml"/>
  <Override ContentType="application/vnd.openxmlformats-officedocument.spreadsheetml.worksheet+xml" PartName="/xl/worksheets/sheet32915.xml"/>
  <Override ContentType="application/vnd.openxmlformats-officedocument.spreadsheetml.worksheet+xml" PartName="/xl/worksheets/sheet32916.xml"/>
  <Override ContentType="application/vnd.openxmlformats-officedocument.spreadsheetml.worksheet+xml" PartName="/xl/worksheets/sheet32917.xml"/>
  <Override ContentType="application/vnd.openxmlformats-officedocument.spreadsheetml.worksheet+xml" PartName="/xl/worksheets/sheet32918.xml"/>
  <Override ContentType="application/vnd.openxmlformats-officedocument.spreadsheetml.worksheet+xml" PartName="/xl/worksheets/sheet32919.xml"/>
  <Override ContentType="application/vnd.openxmlformats-officedocument.spreadsheetml.worksheet+xml" PartName="/xl/worksheets/sheet32920.xml"/>
  <Override ContentType="application/vnd.openxmlformats-officedocument.spreadsheetml.worksheet+xml" PartName="/xl/worksheets/sheet32921.xml"/>
  <Override ContentType="application/vnd.openxmlformats-officedocument.spreadsheetml.worksheet+xml" PartName="/xl/worksheets/sheet32922.xml"/>
  <Override ContentType="application/vnd.openxmlformats-officedocument.spreadsheetml.worksheet+xml" PartName="/xl/worksheets/sheet32923.xml"/>
  <Override ContentType="application/vnd.openxmlformats-officedocument.spreadsheetml.worksheet+xml" PartName="/xl/worksheets/sheet32924.xml"/>
  <Override ContentType="application/vnd.openxmlformats-officedocument.spreadsheetml.worksheet+xml" PartName="/xl/worksheets/sheet32925.xml"/>
  <Override ContentType="application/vnd.openxmlformats-officedocument.spreadsheetml.worksheet+xml" PartName="/xl/worksheets/sheet32926.xml"/>
  <Override ContentType="application/vnd.openxmlformats-officedocument.spreadsheetml.worksheet+xml" PartName="/xl/worksheets/sheet32927.xml"/>
  <Override ContentType="application/vnd.openxmlformats-officedocument.spreadsheetml.worksheet+xml" PartName="/xl/worksheets/sheet32928.xml"/>
  <Override ContentType="application/vnd.openxmlformats-officedocument.spreadsheetml.worksheet+xml" PartName="/xl/worksheets/sheet32929.xml"/>
  <Override ContentType="application/vnd.openxmlformats-officedocument.spreadsheetml.worksheet+xml" PartName="/xl/worksheets/sheet32930.xml"/>
  <Override ContentType="application/vnd.openxmlformats-officedocument.spreadsheetml.worksheet+xml" PartName="/xl/worksheets/sheet32931.xml"/>
  <Override ContentType="application/vnd.openxmlformats-officedocument.spreadsheetml.worksheet+xml" PartName="/xl/worksheets/sheet32932.xml"/>
  <Override ContentType="application/vnd.openxmlformats-officedocument.spreadsheetml.worksheet+xml" PartName="/xl/worksheets/sheet32933.xml"/>
  <Override ContentType="application/vnd.openxmlformats-officedocument.spreadsheetml.worksheet+xml" PartName="/xl/worksheets/sheet32934.xml"/>
  <Override ContentType="application/vnd.openxmlformats-officedocument.spreadsheetml.worksheet+xml" PartName="/xl/worksheets/sheet32935.xml"/>
  <Override ContentType="application/vnd.openxmlformats-officedocument.spreadsheetml.worksheet+xml" PartName="/xl/worksheets/sheet32936.xml"/>
  <Override ContentType="application/vnd.openxmlformats-officedocument.spreadsheetml.worksheet+xml" PartName="/xl/worksheets/sheet32937.xml"/>
  <Override ContentType="application/vnd.openxmlformats-officedocument.spreadsheetml.worksheet+xml" PartName="/xl/worksheets/sheet32938.xml"/>
  <Override ContentType="application/vnd.openxmlformats-officedocument.spreadsheetml.worksheet+xml" PartName="/xl/worksheets/sheet32939.xml"/>
  <Override ContentType="application/vnd.openxmlformats-officedocument.spreadsheetml.worksheet+xml" PartName="/xl/worksheets/sheet32940.xml"/>
  <Override ContentType="application/vnd.openxmlformats-officedocument.spreadsheetml.worksheet+xml" PartName="/xl/worksheets/sheet32941.xml"/>
  <Override ContentType="application/vnd.openxmlformats-officedocument.spreadsheetml.worksheet+xml" PartName="/xl/worksheets/sheet32942.xml"/>
  <Override ContentType="application/vnd.openxmlformats-officedocument.spreadsheetml.worksheet+xml" PartName="/xl/worksheets/sheet32943.xml"/>
  <Override ContentType="application/vnd.openxmlformats-officedocument.spreadsheetml.worksheet+xml" PartName="/xl/worksheets/sheet32944.xml"/>
  <Override ContentType="application/vnd.openxmlformats-officedocument.spreadsheetml.worksheet+xml" PartName="/xl/worksheets/sheet32945.xml"/>
  <Override ContentType="application/vnd.openxmlformats-officedocument.spreadsheetml.worksheet+xml" PartName="/xl/worksheets/sheet32946.xml"/>
  <Override ContentType="application/vnd.openxmlformats-officedocument.spreadsheetml.worksheet+xml" PartName="/xl/worksheets/sheet32947.xml"/>
  <Override ContentType="application/vnd.openxmlformats-officedocument.spreadsheetml.worksheet+xml" PartName="/xl/worksheets/sheet32948.xml"/>
  <Override ContentType="application/vnd.openxmlformats-officedocument.spreadsheetml.worksheet+xml" PartName="/xl/worksheets/sheet32949.xml"/>
  <Override ContentType="application/vnd.openxmlformats-officedocument.spreadsheetml.worksheet+xml" PartName="/xl/worksheets/sheet32950.xml"/>
  <Override ContentType="application/vnd.openxmlformats-officedocument.spreadsheetml.worksheet+xml" PartName="/xl/worksheets/sheet32951.xml"/>
  <Override ContentType="application/vnd.openxmlformats-officedocument.spreadsheetml.worksheet+xml" PartName="/xl/worksheets/sheet32952.xml"/>
  <Override ContentType="application/vnd.openxmlformats-officedocument.spreadsheetml.worksheet+xml" PartName="/xl/worksheets/sheet32953.xml"/>
  <Override ContentType="application/vnd.openxmlformats-officedocument.spreadsheetml.worksheet+xml" PartName="/xl/worksheets/sheet32954.xml"/>
  <Override ContentType="application/vnd.openxmlformats-officedocument.spreadsheetml.worksheet+xml" PartName="/xl/worksheets/sheet32955.xml"/>
  <Override ContentType="application/vnd.openxmlformats-officedocument.spreadsheetml.worksheet+xml" PartName="/xl/worksheets/sheet32956.xml"/>
  <Override ContentType="application/vnd.openxmlformats-officedocument.spreadsheetml.worksheet+xml" PartName="/xl/worksheets/sheet32957.xml"/>
  <Override ContentType="application/vnd.openxmlformats-officedocument.spreadsheetml.worksheet+xml" PartName="/xl/worksheets/sheet32958.xml"/>
  <Override ContentType="application/vnd.openxmlformats-officedocument.spreadsheetml.worksheet+xml" PartName="/xl/worksheets/sheet32959.xml"/>
  <Override ContentType="application/vnd.openxmlformats-officedocument.spreadsheetml.worksheet+xml" PartName="/xl/worksheets/sheet32960.xml"/>
  <Override ContentType="application/vnd.openxmlformats-officedocument.spreadsheetml.worksheet+xml" PartName="/xl/worksheets/sheet32961.xml"/>
  <Override ContentType="application/vnd.openxmlformats-officedocument.spreadsheetml.worksheet+xml" PartName="/xl/worksheets/sheet32962.xml"/>
  <Override ContentType="application/vnd.openxmlformats-officedocument.spreadsheetml.worksheet+xml" PartName="/xl/worksheets/sheet32963.xml"/>
  <Override ContentType="application/vnd.openxmlformats-officedocument.spreadsheetml.worksheet+xml" PartName="/xl/worksheets/sheet32964.xml"/>
  <Override ContentType="application/vnd.openxmlformats-officedocument.spreadsheetml.worksheet+xml" PartName="/xl/worksheets/sheet32965.xml"/>
  <Override ContentType="application/vnd.openxmlformats-officedocument.spreadsheetml.worksheet+xml" PartName="/xl/worksheets/sheet32966.xml"/>
  <Override ContentType="application/vnd.openxmlformats-officedocument.spreadsheetml.worksheet+xml" PartName="/xl/worksheets/sheet32967.xml"/>
  <Override ContentType="application/vnd.openxmlformats-officedocument.spreadsheetml.worksheet+xml" PartName="/xl/worksheets/sheet32968.xml"/>
  <Override ContentType="application/vnd.openxmlformats-officedocument.spreadsheetml.worksheet+xml" PartName="/xl/worksheets/sheet32969.xml"/>
  <Override ContentType="application/vnd.openxmlformats-officedocument.spreadsheetml.worksheet+xml" PartName="/xl/worksheets/sheet32970.xml"/>
  <Override ContentType="application/vnd.openxmlformats-officedocument.spreadsheetml.worksheet+xml" PartName="/xl/worksheets/sheet32971.xml"/>
  <Override ContentType="application/vnd.openxmlformats-officedocument.spreadsheetml.worksheet+xml" PartName="/xl/worksheets/sheet32972.xml"/>
  <Override ContentType="application/vnd.openxmlformats-officedocument.spreadsheetml.worksheet+xml" PartName="/xl/worksheets/sheet32973.xml"/>
  <Override ContentType="application/vnd.openxmlformats-officedocument.spreadsheetml.worksheet+xml" PartName="/xl/worksheets/sheet32974.xml"/>
  <Override ContentType="application/vnd.openxmlformats-officedocument.spreadsheetml.worksheet+xml" PartName="/xl/worksheets/sheet32975.xml"/>
  <Override ContentType="application/vnd.openxmlformats-officedocument.spreadsheetml.worksheet+xml" PartName="/xl/worksheets/sheet32976.xml"/>
  <Override ContentType="application/vnd.openxmlformats-officedocument.spreadsheetml.worksheet+xml" PartName="/xl/worksheets/sheet32977.xml"/>
  <Override ContentType="application/vnd.openxmlformats-officedocument.spreadsheetml.worksheet+xml" PartName="/xl/worksheets/sheet32978.xml"/>
  <Override ContentType="application/vnd.openxmlformats-officedocument.spreadsheetml.worksheet+xml" PartName="/xl/worksheets/sheet32979.xml"/>
  <Override ContentType="application/vnd.openxmlformats-officedocument.spreadsheetml.worksheet+xml" PartName="/xl/worksheets/sheet32980.xml"/>
  <Override ContentType="application/vnd.openxmlformats-officedocument.spreadsheetml.worksheet+xml" PartName="/xl/worksheets/sheet32981.xml"/>
  <Override ContentType="application/vnd.openxmlformats-officedocument.spreadsheetml.worksheet+xml" PartName="/xl/worksheets/sheet32982.xml"/>
  <Override ContentType="application/vnd.openxmlformats-officedocument.spreadsheetml.worksheet+xml" PartName="/xl/worksheets/sheet32983.xml"/>
  <Override ContentType="application/vnd.openxmlformats-officedocument.spreadsheetml.worksheet+xml" PartName="/xl/worksheets/sheet32984.xml"/>
  <Override ContentType="application/vnd.openxmlformats-officedocument.spreadsheetml.worksheet+xml" PartName="/xl/worksheets/sheet32985.xml"/>
  <Override ContentType="application/vnd.openxmlformats-officedocument.spreadsheetml.worksheet+xml" PartName="/xl/worksheets/sheet32986.xml"/>
  <Override ContentType="application/vnd.openxmlformats-officedocument.spreadsheetml.worksheet+xml" PartName="/xl/worksheets/sheet32987.xml"/>
  <Override ContentType="application/vnd.openxmlformats-officedocument.spreadsheetml.worksheet+xml" PartName="/xl/worksheets/sheet32988.xml"/>
  <Override ContentType="application/vnd.openxmlformats-officedocument.spreadsheetml.worksheet+xml" PartName="/xl/worksheets/sheet32989.xml"/>
  <Override ContentType="application/vnd.openxmlformats-officedocument.spreadsheetml.worksheet+xml" PartName="/xl/worksheets/sheet32990.xml"/>
  <Override ContentType="application/vnd.openxmlformats-officedocument.spreadsheetml.worksheet+xml" PartName="/xl/worksheets/sheet32991.xml"/>
  <Override ContentType="application/vnd.openxmlformats-officedocument.spreadsheetml.worksheet+xml" PartName="/xl/worksheets/sheet32992.xml"/>
  <Override ContentType="application/vnd.openxmlformats-officedocument.spreadsheetml.worksheet+xml" PartName="/xl/worksheets/sheet32993.xml"/>
  <Override ContentType="application/vnd.openxmlformats-officedocument.spreadsheetml.worksheet+xml" PartName="/xl/worksheets/sheet32994.xml"/>
  <Override ContentType="application/vnd.openxmlformats-officedocument.spreadsheetml.worksheet+xml" PartName="/xl/worksheets/sheet32995.xml"/>
  <Override ContentType="application/vnd.openxmlformats-officedocument.spreadsheetml.worksheet+xml" PartName="/xl/worksheets/sheet32996.xml"/>
  <Override ContentType="application/vnd.openxmlformats-officedocument.spreadsheetml.worksheet+xml" PartName="/xl/worksheets/sheet32997.xml"/>
  <Override ContentType="application/vnd.openxmlformats-officedocument.spreadsheetml.worksheet+xml" PartName="/xl/worksheets/sheet32998.xml"/>
  <Override ContentType="application/vnd.openxmlformats-officedocument.spreadsheetml.worksheet+xml" PartName="/xl/worksheets/sheet32999.xml"/>
  <Override ContentType="application/vnd.openxmlformats-officedocument.spreadsheetml.worksheet+xml" PartName="/xl/worksheets/sheet33000.xml"/>
  <Override ContentType="application/vnd.openxmlformats-officedocument.spreadsheetml.worksheet+xml" PartName="/xl/worksheets/sheet33001.xml"/>
  <Override ContentType="application/vnd.openxmlformats-officedocument.spreadsheetml.worksheet+xml" PartName="/xl/worksheets/sheet33002.xml"/>
  <Override ContentType="application/vnd.openxmlformats-officedocument.spreadsheetml.worksheet+xml" PartName="/xl/worksheets/sheet33003.xml"/>
  <Override ContentType="application/vnd.openxmlformats-officedocument.spreadsheetml.worksheet+xml" PartName="/xl/worksheets/sheet33004.xml"/>
  <Override ContentType="application/vnd.openxmlformats-officedocument.spreadsheetml.worksheet+xml" PartName="/xl/worksheets/sheet33005.xml"/>
  <Override ContentType="application/vnd.openxmlformats-officedocument.spreadsheetml.worksheet+xml" PartName="/xl/worksheets/sheet33006.xml"/>
  <Override ContentType="application/vnd.openxmlformats-officedocument.spreadsheetml.worksheet+xml" PartName="/xl/worksheets/sheet33007.xml"/>
  <Override ContentType="application/vnd.openxmlformats-officedocument.spreadsheetml.worksheet+xml" PartName="/xl/worksheets/sheet33008.xml"/>
  <Override ContentType="application/vnd.openxmlformats-officedocument.spreadsheetml.worksheet+xml" PartName="/xl/worksheets/sheet33009.xml"/>
  <Override ContentType="application/vnd.openxmlformats-officedocument.spreadsheetml.worksheet+xml" PartName="/xl/worksheets/sheet33010.xml"/>
  <Override ContentType="application/vnd.openxmlformats-officedocument.spreadsheetml.worksheet+xml" PartName="/xl/worksheets/sheet33011.xml"/>
  <Override ContentType="application/vnd.openxmlformats-officedocument.spreadsheetml.worksheet+xml" PartName="/xl/worksheets/sheet33012.xml"/>
  <Override ContentType="application/vnd.openxmlformats-officedocument.spreadsheetml.worksheet+xml" PartName="/xl/worksheets/sheet33013.xml"/>
  <Override ContentType="application/vnd.openxmlformats-officedocument.spreadsheetml.worksheet+xml" PartName="/xl/worksheets/sheet33014.xml"/>
  <Override ContentType="application/vnd.openxmlformats-officedocument.spreadsheetml.worksheet+xml" PartName="/xl/worksheets/sheet33015.xml"/>
  <Override ContentType="application/vnd.openxmlformats-officedocument.spreadsheetml.worksheet+xml" PartName="/xl/worksheets/sheet33016.xml"/>
  <Override ContentType="application/vnd.openxmlformats-officedocument.spreadsheetml.worksheet+xml" PartName="/xl/worksheets/sheet33017.xml"/>
  <Override ContentType="application/vnd.openxmlformats-officedocument.spreadsheetml.worksheet+xml" PartName="/xl/worksheets/sheet33018.xml"/>
  <Override ContentType="application/vnd.openxmlformats-officedocument.spreadsheetml.worksheet+xml" PartName="/xl/worksheets/sheet33019.xml"/>
  <Override ContentType="application/vnd.openxmlformats-officedocument.spreadsheetml.worksheet+xml" PartName="/xl/worksheets/sheet33020.xml"/>
  <Override ContentType="application/vnd.openxmlformats-officedocument.spreadsheetml.worksheet+xml" PartName="/xl/worksheets/sheet33021.xml"/>
  <Override ContentType="application/vnd.openxmlformats-officedocument.spreadsheetml.worksheet+xml" PartName="/xl/worksheets/sheet33022.xml"/>
  <Override ContentType="application/vnd.openxmlformats-officedocument.spreadsheetml.worksheet+xml" PartName="/xl/worksheets/sheet33023.xml"/>
  <Override ContentType="application/vnd.openxmlformats-officedocument.spreadsheetml.worksheet+xml" PartName="/xl/worksheets/sheet33024.xml"/>
  <Override ContentType="application/vnd.openxmlformats-officedocument.spreadsheetml.worksheet+xml" PartName="/xl/worksheets/sheet33025.xml"/>
  <Override ContentType="application/vnd.openxmlformats-officedocument.spreadsheetml.worksheet+xml" PartName="/xl/worksheets/sheet33026.xml"/>
  <Override ContentType="application/vnd.openxmlformats-officedocument.spreadsheetml.worksheet+xml" PartName="/xl/worksheets/sheet33027.xml"/>
  <Override ContentType="application/vnd.openxmlformats-officedocument.spreadsheetml.worksheet+xml" PartName="/xl/worksheets/sheet33028.xml"/>
  <Override ContentType="application/vnd.openxmlformats-officedocument.spreadsheetml.worksheet+xml" PartName="/xl/worksheets/sheet33029.xml"/>
  <Override ContentType="application/vnd.openxmlformats-officedocument.spreadsheetml.worksheet+xml" PartName="/xl/worksheets/sheet33030.xml"/>
  <Override ContentType="application/vnd.openxmlformats-officedocument.spreadsheetml.worksheet+xml" PartName="/xl/worksheets/sheet33031.xml"/>
  <Override ContentType="application/vnd.openxmlformats-officedocument.spreadsheetml.worksheet+xml" PartName="/xl/worksheets/sheet33032.xml"/>
  <Override ContentType="application/vnd.openxmlformats-officedocument.spreadsheetml.worksheet+xml" PartName="/xl/worksheets/sheet33033.xml"/>
  <Override ContentType="application/vnd.openxmlformats-officedocument.spreadsheetml.worksheet+xml" PartName="/xl/worksheets/sheet33034.xml"/>
  <Override ContentType="application/vnd.openxmlformats-officedocument.spreadsheetml.worksheet+xml" PartName="/xl/worksheets/sheet33035.xml"/>
  <Override ContentType="application/vnd.openxmlformats-officedocument.spreadsheetml.worksheet+xml" PartName="/xl/worksheets/sheet33036.xml"/>
  <Override ContentType="application/vnd.openxmlformats-officedocument.spreadsheetml.worksheet+xml" PartName="/xl/worksheets/sheet33037.xml"/>
  <Override ContentType="application/vnd.openxmlformats-officedocument.spreadsheetml.worksheet+xml" PartName="/xl/worksheets/sheet33038.xml"/>
  <Override ContentType="application/vnd.openxmlformats-officedocument.spreadsheetml.worksheet+xml" PartName="/xl/worksheets/sheet33039.xml"/>
  <Override ContentType="application/vnd.openxmlformats-officedocument.spreadsheetml.worksheet+xml" PartName="/xl/worksheets/sheet33040.xml"/>
  <Override ContentType="application/vnd.openxmlformats-officedocument.spreadsheetml.worksheet+xml" PartName="/xl/worksheets/sheet33041.xml"/>
  <Override ContentType="application/vnd.openxmlformats-officedocument.spreadsheetml.worksheet+xml" PartName="/xl/worksheets/sheet33042.xml"/>
  <Override ContentType="application/vnd.openxmlformats-officedocument.spreadsheetml.worksheet+xml" PartName="/xl/worksheets/sheet33043.xml"/>
  <Override ContentType="application/vnd.openxmlformats-officedocument.spreadsheetml.worksheet+xml" PartName="/xl/worksheets/sheet33044.xml"/>
  <Override ContentType="application/vnd.openxmlformats-officedocument.spreadsheetml.worksheet+xml" PartName="/xl/worksheets/sheet33045.xml"/>
  <Override ContentType="application/vnd.openxmlformats-officedocument.spreadsheetml.worksheet+xml" PartName="/xl/worksheets/sheet33046.xml"/>
  <Override ContentType="application/vnd.openxmlformats-officedocument.spreadsheetml.worksheet+xml" PartName="/xl/worksheets/sheet33047.xml"/>
  <Override ContentType="application/vnd.openxmlformats-officedocument.spreadsheetml.worksheet+xml" PartName="/xl/worksheets/sheet33048.xml"/>
  <Override ContentType="application/vnd.openxmlformats-officedocument.spreadsheetml.worksheet+xml" PartName="/xl/worksheets/sheet33049.xml"/>
  <Override ContentType="application/vnd.openxmlformats-officedocument.spreadsheetml.worksheet+xml" PartName="/xl/worksheets/sheet33050.xml"/>
  <Override ContentType="application/vnd.openxmlformats-officedocument.spreadsheetml.worksheet+xml" PartName="/xl/worksheets/sheet33051.xml"/>
  <Override ContentType="application/vnd.openxmlformats-officedocument.spreadsheetml.worksheet+xml" PartName="/xl/worksheets/sheet33052.xml"/>
  <Override ContentType="application/vnd.openxmlformats-officedocument.spreadsheetml.worksheet+xml" PartName="/xl/worksheets/sheet33053.xml"/>
  <Override ContentType="application/vnd.openxmlformats-officedocument.spreadsheetml.worksheet+xml" PartName="/xl/worksheets/sheet33054.xml"/>
  <Override ContentType="application/vnd.openxmlformats-officedocument.spreadsheetml.worksheet+xml" PartName="/xl/worksheets/sheet33055.xml"/>
  <Override ContentType="application/vnd.openxmlformats-officedocument.spreadsheetml.worksheet+xml" PartName="/xl/worksheets/sheet33056.xml"/>
  <Override ContentType="application/vnd.openxmlformats-officedocument.spreadsheetml.worksheet+xml" PartName="/xl/worksheets/sheet33057.xml"/>
  <Override ContentType="application/vnd.openxmlformats-officedocument.spreadsheetml.worksheet+xml" PartName="/xl/worksheets/sheet33058.xml"/>
  <Override ContentType="application/vnd.openxmlformats-officedocument.spreadsheetml.worksheet+xml" PartName="/xl/worksheets/sheet33059.xml"/>
  <Override ContentType="application/vnd.openxmlformats-officedocument.spreadsheetml.worksheet+xml" PartName="/xl/worksheets/sheet33060.xml"/>
  <Override ContentType="application/vnd.openxmlformats-officedocument.spreadsheetml.worksheet+xml" PartName="/xl/worksheets/sheet33061.xml"/>
  <Override ContentType="application/vnd.openxmlformats-officedocument.spreadsheetml.worksheet+xml" PartName="/xl/worksheets/sheet33062.xml"/>
  <Override ContentType="application/vnd.openxmlformats-officedocument.spreadsheetml.worksheet+xml" PartName="/xl/worksheets/sheet33063.xml"/>
  <Override ContentType="application/vnd.openxmlformats-officedocument.spreadsheetml.worksheet+xml" PartName="/xl/worksheets/sheet33064.xml"/>
  <Override ContentType="application/vnd.openxmlformats-officedocument.spreadsheetml.worksheet+xml" PartName="/xl/worksheets/sheet33065.xml"/>
  <Override ContentType="application/vnd.openxmlformats-officedocument.spreadsheetml.worksheet+xml" PartName="/xl/worksheets/sheet33066.xml"/>
  <Override ContentType="application/vnd.openxmlformats-officedocument.spreadsheetml.worksheet+xml" PartName="/xl/worksheets/sheet33067.xml"/>
  <Override ContentType="application/vnd.openxmlformats-officedocument.spreadsheetml.worksheet+xml" PartName="/xl/worksheets/sheet33068.xml"/>
  <Override ContentType="application/vnd.openxmlformats-officedocument.spreadsheetml.worksheet+xml" PartName="/xl/worksheets/sheet33069.xml"/>
  <Override ContentType="application/vnd.openxmlformats-officedocument.spreadsheetml.worksheet+xml" PartName="/xl/worksheets/sheet33070.xml"/>
  <Override ContentType="application/vnd.openxmlformats-officedocument.spreadsheetml.worksheet+xml" PartName="/xl/worksheets/sheet33071.xml"/>
  <Override ContentType="application/vnd.openxmlformats-officedocument.spreadsheetml.worksheet+xml" PartName="/xl/worksheets/sheet33072.xml"/>
  <Override ContentType="application/vnd.openxmlformats-officedocument.spreadsheetml.worksheet+xml" PartName="/xl/worksheets/sheet33073.xml"/>
  <Override ContentType="application/vnd.openxmlformats-officedocument.spreadsheetml.worksheet+xml" PartName="/xl/worksheets/sheet33074.xml"/>
  <Override ContentType="application/vnd.openxmlformats-officedocument.spreadsheetml.worksheet+xml" PartName="/xl/worksheets/sheet33075.xml"/>
  <Override ContentType="application/vnd.openxmlformats-officedocument.spreadsheetml.worksheet+xml" PartName="/xl/worksheets/sheet33076.xml"/>
  <Override ContentType="application/vnd.openxmlformats-officedocument.spreadsheetml.worksheet+xml" PartName="/xl/worksheets/sheet33077.xml"/>
  <Override ContentType="application/vnd.openxmlformats-officedocument.spreadsheetml.worksheet+xml" PartName="/xl/worksheets/sheet33078.xml"/>
  <Override ContentType="application/vnd.openxmlformats-officedocument.spreadsheetml.worksheet+xml" PartName="/xl/worksheets/sheet33079.xml"/>
  <Override ContentType="application/vnd.openxmlformats-officedocument.spreadsheetml.worksheet+xml" PartName="/xl/worksheets/sheet33080.xml"/>
  <Override ContentType="application/vnd.openxmlformats-officedocument.spreadsheetml.worksheet+xml" PartName="/xl/worksheets/sheet33081.xml"/>
  <Override ContentType="application/vnd.openxmlformats-officedocument.spreadsheetml.worksheet+xml" PartName="/xl/worksheets/sheet33082.xml"/>
  <Override ContentType="application/vnd.openxmlformats-officedocument.spreadsheetml.worksheet+xml" PartName="/xl/worksheets/sheet33083.xml"/>
  <Override ContentType="application/vnd.openxmlformats-officedocument.spreadsheetml.worksheet+xml" PartName="/xl/worksheets/sheet33084.xml"/>
  <Override ContentType="application/vnd.openxmlformats-officedocument.spreadsheetml.worksheet+xml" PartName="/xl/worksheets/sheet33085.xml"/>
  <Override ContentType="application/vnd.openxmlformats-officedocument.spreadsheetml.worksheet+xml" PartName="/xl/worksheets/sheet33086.xml"/>
  <Override ContentType="application/vnd.openxmlformats-officedocument.spreadsheetml.worksheet+xml" PartName="/xl/worksheets/sheet33087.xml"/>
  <Override ContentType="application/vnd.openxmlformats-officedocument.spreadsheetml.worksheet+xml" PartName="/xl/worksheets/sheet33088.xml"/>
  <Override ContentType="application/vnd.openxmlformats-officedocument.spreadsheetml.worksheet+xml" PartName="/xl/worksheets/sheet33089.xml"/>
  <Override ContentType="application/vnd.openxmlformats-officedocument.spreadsheetml.worksheet+xml" PartName="/xl/worksheets/sheet33090.xml"/>
  <Override ContentType="application/vnd.openxmlformats-officedocument.spreadsheetml.worksheet+xml" PartName="/xl/worksheets/sheet33091.xml"/>
  <Override ContentType="application/vnd.openxmlformats-officedocument.spreadsheetml.worksheet+xml" PartName="/xl/worksheets/sheet33092.xml"/>
  <Override ContentType="application/vnd.openxmlformats-officedocument.spreadsheetml.worksheet+xml" PartName="/xl/worksheets/sheet33093.xml"/>
  <Override ContentType="application/vnd.openxmlformats-officedocument.spreadsheetml.worksheet+xml" PartName="/xl/worksheets/sheet33094.xml"/>
  <Override ContentType="application/vnd.openxmlformats-officedocument.spreadsheetml.worksheet+xml" PartName="/xl/worksheets/sheet33095.xml"/>
  <Override ContentType="application/vnd.openxmlformats-officedocument.spreadsheetml.worksheet+xml" PartName="/xl/worksheets/sheet33096.xml"/>
  <Override ContentType="application/vnd.openxmlformats-officedocument.spreadsheetml.worksheet+xml" PartName="/xl/worksheets/sheet33097.xml"/>
  <Override ContentType="application/vnd.openxmlformats-officedocument.spreadsheetml.worksheet+xml" PartName="/xl/worksheets/sheet33098.xml"/>
  <Override ContentType="application/vnd.openxmlformats-officedocument.spreadsheetml.worksheet+xml" PartName="/xl/worksheets/sheet33099.xml"/>
  <Override ContentType="application/vnd.openxmlformats-officedocument.spreadsheetml.worksheet+xml" PartName="/xl/worksheets/sheet33100.xml"/>
  <Override ContentType="application/vnd.openxmlformats-officedocument.spreadsheetml.worksheet+xml" PartName="/xl/worksheets/sheet33101.xml"/>
  <Override ContentType="application/vnd.openxmlformats-officedocument.spreadsheetml.worksheet+xml" PartName="/xl/worksheets/sheet33102.xml"/>
  <Override ContentType="application/vnd.openxmlformats-officedocument.spreadsheetml.worksheet+xml" PartName="/xl/worksheets/sheet33103.xml"/>
  <Override ContentType="application/vnd.openxmlformats-officedocument.spreadsheetml.worksheet+xml" PartName="/xl/worksheets/sheet33104.xml"/>
  <Override ContentType="application/vnd.openxmlformats-officedocument.spreadsheetml.worksheet+xml" PartName="/xl/worksheets/sheet33105.xml"/>
  <Override ContentType="application/vnd.openxmlformats-officedocument.spreadsheetml.worksheet+xml" PartName="/xl/worksheets/sheet33106.xml"/>
  <Override ContentType="application/vnd.openxmlformats-officedocument.spreadsheetml.worksheet+xml" PartName="/xl/worksheets/sheet33107.xml"/>
  <Override ContentType="application/vnd.openxmlformats-officedocument.spreadsheetml.worksheet+xml" PartName="/xl/worksheets/sheet33108.xml"/>
  <Override ContentType="application/vnd.openxmlformats-officedocument.spreadsheetml.worksheet+xml" PartName="/xl/worksheets/sheet33109.xml"/>
  <Override ContentType="application/vnd.openxmlformats-officedocument.spreadsheetml.worksheet+xml" PartName="/xl/worksheets/sheet33110.xml"/>
  <Override ContentType="application/vnd.openxmlformats-officedocument.spreadsheetml.worksheet+xml" PartName="/xl/worksheets/sheet33111.xml"/>
  <Override ContentType="application/vnd.openxmlformats-officedocument.spreadsheetml.worksheet+xml" PartName="/xl/worksheets/sheet33112.xml"/>
  <Override ContentType="application/vnd.openxmlformats-officedocument.spreadsheetml.worksheet+xml" PartName="/xl/worksheets/sheet33113.xml"/>
  <Override ContentType="application/vnd.openxmlformats-officedocument.spreadsheetml.worksheet+xml" PartName="/xl/worksheets/sheet33114.xml"/>
  <Override ContentType="application/vnd.openxmlformats-officedocument.spreadsheetml.worksheet+xml" PartName="/xl/worksheets/sheet33115.xml"/>
  <Override ContentType="application/vnd.openxmlformats-officedocument.spreadsheetml.worksheet+xml" PartName="/xl/worksheets/sheet33116.xml"/>
  <Override ContentType="application/vnd.openxmlformats-officedocument.spreadsheetml.worksheet+xml" PartName="/xl/worksheets/sheet33117.xml"/>
  <Override ContentType="application/vnd.openxmlformats-officedocument.spreadsheetml.worksheet+xml" PartName="/xl/worksheets/sheet33118.xml"/>
  <Override ContentType="application/vnd.openxmlformats-officedocument.spreadsheetml.worksheet+xml" PartName="/xl/worksheets/sheet33119.xml"/>
  <Override ContentType="application/vnd.openxmlformats-officedocument.spreadsheetml.worksheet+xml" PartName="/xl/worksheets/sheet33120.xml"/>
  <Override ContentType="application/vnd.openxmlformats-officedocument.spreadsheetml.worksheet+xml" PartName="/xl/worksheets/sheet33121.xml"/>
  <Override ContentType="application/vnd.openxmlformats-officedocument.spreadsheetml.worksheet+xml" PartName="/xl/worksheets/sheet33122.xml"/>
  <Override ContentType="application/vnd.openxmlformats-officedocument.spreadsheetml.worksheet+xml" PartName="/xl/worksheets/sheet33123.xml"/>
  <Override ContentType="application/vnd.openxmlformats-officedocument.spreadsheetml.worksheet+xml" PartName="/xl/worksheets/sheet33124.xml"/>
  <Override ContentType="application/vnd.openxmlformats-officedocument.spreadsheetml.worksheet+xml" PartName="/xl/worksheets/sheet33125.xml"/>
  <Override ContentType="application/vnd.openxmlformats-officedocument.spreadsheetml.worksheet+xml" PartName="/xl/worksheets/sheet33126.xml"/>
  <Override ContentType="application/vnd.openxmlformats-officedocument.spreadsheetml.worksheet+xml" PartName="/xl/worksheets/sheet33127.xml"/>
  <Override ContentType="application/vnd.openxmlformats-officedocument.spreadsheetml.worksheet+xml" PartName="/xl/worksheets/sheet33128.xml"/>
  <Override ContentType="application/vnd.openxmlformats-officedocument.spreadsheetml.worksheet+xml" PartName="/xl/worksheets/sheet33129.xml"/>
  <Override ContentType="application/vnd.openxmlformats-officedocument.spreadsheetml.worksheet+xml" PartName="/xl/worksheets/sheet33130.xml"/>
  <Override ContentType="application/vnd.openxmlformats-officedocument.spreadsheetml.worksheet+xml" PartName="/xl/worksheets/sheet33131.xml"/>
  <Override ContentType="application/vnd.openxmlformats-officedocument.spreadsheetml.worksheet+xml" PartName="/xl/worksheets/sheet33132.xml"/>
  <Override ContentType="application/vnd.openxmlformats-officedocument.spreadsheetml.worksheet+xml" PartName="/xl/worksheets/sheet33133.xml"/>
  <Override ContentType="application/vnd.openxmlformats-officedocument.spreadsheetml.worksheet+xml" PartName="/xl/worksheets/sheet33134.xml"/>
  <Override ContentType="application/vnd.openxmlformats-officedocument.spreadsheetml.worksheet+xml" PartName="/xl/worksheets/sheet33135.xml"/>
  <Override ContentType="application/vnd.openxmlformats-officedocument.spreadsheetml.worksheet+xml" PartName="/xl/worksheets/sheet33136.xml"/>
  <Override ContentType="application/vnd.openxmlformats-officedocument.spreadsheetml.worksheet+xml" PartName="/xl/worksheets/sheet33137.xml"/>
  <Override ContentType="application/vnd.openxmlformats-officedocument.spreadsheetml.worksheet+xml" PartName="/xl/worksheets/sheet33138.xml"/>
  <Override ContentType="application/vnd.openxmlformats-officedocument.spreadsheetml.worksheet+xml" PartName="/xl/worksheets/sheet33139.xml"/>
  <Override ContentType="application/vnd.openxmlformats-officedocument.spreadsheetml.worksheet+xml" PartName="/xl/worksheets/sheet33140.xml"/>
  <Override ContentType="application/vnd.openxmlformats-officedocument.spreadsheetml.worksheet+xml" PartName="/xl/worksheets/sheet33141.xml"/>
  <Override ContentType="application/vnd.openxmlformats-officedocument.spreadsheetml.worksheet+xml" PartName="/xl/worksheets/sheet33142.xml"/>
  <Override ContentType="application/vnd.openxmlformats-officedocument.spreadsheetml.worksheet+xml" PartName="/xl/worksheets/sheet33143.xml"/>
  <Override ContentType="application/vnd.openxmlformats-officedocument.spreadsheetml.worksheet+xml" PartName="/xl/worksheets/sheet33144.xml"/>
  <Override ContentType="application/vnd.openxmlformats-officedocument.spreadsheetml.worksheet+xml" PartName="/xl/worksheets/sheet33145.xml"/>
  <Override ContentType="application/vnd.openxmlformats-officedocument.spreadsheetml.worksheet+xml" PartName="/xl/worksheets/sheet33146.xml"/>
  <Override ContentType="application/vnd.openxmlformats-officedocument.spreadsheetml.worksheet+xml" PartName="/xl/worksheets/sheet33147.xml"/>
  <Override ContentType="application/vnd.openxmlformats-officedocument.spreadsheetml.worksheet+xml" PartName="/xl/worksheets/sheet33148.xml"/>
  <Override ContentType="application/vnd.openxmlformats-officedocument.spreadsheetml.worksheet+xml" PartName="/xl/worksheets/sheet33149.xml"/>
  <Override ContentType="application/vnd.openxmlformats-officedocument.spreadsheetml.worksheet+xml" PartName="/xl/worksheets/sheet33150.xml"/>
  <Override ContentType="application/vnd.openxmlformats-officedocument.spreadsheetml.worksheet+xml" PartName="/xl/worksheets/sheet33151.xml"/>
  <Override ContentType="application/vnd.openxmlformats-officedocument.spreadsheetml.worksheet+xml" PartName="/xl/worksheets/sheet33152.xml"/>
  <Override ContentType="application/vnd.openxmlformats-officedocument.spreadsheetml.worksheet+xml" PartName="/xl/worksheets/sheet33153.xml"/>
  <Override ContentType="application/vnd.openxmlformats-officedocument.spreadsheetml.worksheet+xml" PartName="/xl/worksheets/sheet33154.xml"/>
  <Override ContentType="application/vnd.openxmlformats-officedocument.spreadsheetml.worksheet+xml" PartName="/xl/worksheets/sheet33155.xml"/>
  <Override ContentType="application/vnd.openxmlformats-officedocument.spreadsheetml.worksheet+xml" PartName="/xl/worksheets/sheet33156.xml"/>
  <Override ContentType="application/vnd.openxmlformats-officedocument.spreadsheetml.worksheet+xml" PartName="/xl/worksheets/sheet33157.xml"/>
  <Override ContentType="application/vnd.openxmlformats-officedocument.spreadsheetml.worksheet+xml" PartName="/xl/worksheets/sheet33158.xml"/>
  <Override ContentType="application/vnd.openxmlformats-officedocument.spreadsheetml.worksheet+xml" PartName="/xl/worksheets/sheet33159.xml"/>
  <Override ContentType="application/vnd.openxmlformats-officedocument.spreadsheetml.worksheet+xml" PartName="/xl/worksheets/sheet33160.xml"/>
  <Override ContentType="application/vnd.openxmlformats-officedocument.spreadsheetml.worksheet+xml" PartName="/xl/worksheets/sheet33161.xml"/>
  <Override ContentType="application/vnd.openxmlformats-officedocument.spreadsheetml.worksheet+xml" PartName="/xl/worksheets/sheet33162.xml"/>
  <Override ContentType="application/vnd.openxmlformats-officedocument.spreadsheetml.worksheet+xml" PartName="/xl/worksheets/sheet33163.xml"/>
  <Override ContentType="application/vnd.openxmlformats-officedocument.spreadsheetml.worksheet+xml" PartName="/xl/worksheets/sheet33164.xml"/>
  <Override ContentType="application/vnd.openxmlformats-officedocument.spreadsheetml.worksheet+xml" PartName="/xl/worksheets/sheet33165.xml"/>
  <Override ContentType="application/vnd.openxmlformats-officedocument.spreadsheetml.worksheet+xml" PartName="/xl/worksheets/sheet33166.xml"/>
  <Override ContentType="application/vnd.openxmlformats-officedocument.spreadsheetml.worksheet+xml" PartName="/xl/worksheets/sheet33167.xml"/>
  <Override ContentType="application/vnd.openxmlformats-officedocument.spreadsheetml.worksheet+xml" PartName="/xl/worksheets/sheet33168.xml"/>
  <Override ContentType="application/vnd.openxmlformats-officedocument.spreadsheetml.worksheet+xml" PartName="/xl/worksheets/sheet33169.xml"/>
  <Override ContentType="application/vnd.openxmlformats-officedocument.spreadsheetml.worksheet+xml" PartName="/xl/worksheets/sheet33170.xml"/>
  <Override ContentType="application/vnd.openxmlformats-officedocument.spreadsheetml.worksheet+xml" PartName="/xl/worksheets/sheet33171.xml"/>
  <Override ContentType="application/vnd.openxmlformats-officedocument.spreadsheetml.worksheet+xml" PartName="/xl/worksheets/sheet33172.xml"/>
  <Override ContentType="application/vnd.openxmlformats-officedocument.spreadsheetml.worksheet+xml" PartName="/xl/worksheets/sheet33173.xml"/>
  <Override ContentType="application/vnd.openxmlformats-officedocument.spreadsheetml.worksheet+xml" PartName="/xl/worksheets/sheet33174.xml"/>
  <Override ContentType="application/vnd.openxmlformats-officedocument.spreadsheetml.worksheet+xml" PartName="/xl/worksheets/sheet33175.xml"/>
  <Override ContentType="application/vnd.openxmlformats-officedocument.spreadsheetml.worksheet+xml" PartName="/xl/worksheets/sheet33176.xml"/>
  <Override ContentType="application/vnd.openxmlformats-officedocument.spreadsheetml.worksheet+xml" PartName="/xl/worksheets/sheet33177.xml"/>
  <Override ContentType="application/vnd.openxmlformats-officedocument.spreadsheetml.worksheet+xml" PartName="/xl/worksheets/sheet33178.xml"/>
  <Override ContentType="application/vnd.openxmlformats-officedocument.spreadsheetml.worksheet+xml" PartName="/xl/worksheets/sheet33179.xml"/>
  <Override ContentType="application/vnd.openxmlformats-officedocument.spreadsheetml.worksheet+xml" PartName="/xl/worksheets/sheet33180.xml"/>
  <Override ContentType="application/vnd.openxmlformats-officedocument.spreadsheetml.worksheet+xml" PartName="/xl/worksheets/sheet33181.xml"/>
  <Override ContentType="application/vnd.openxmlformats-officedocument.spreadsheetml.worksheet+xml" PartName="/xl/worksheets/sheet33182.xml"/>
  <Override ContentType="application/vnd.openxmlformats-officedocument.spreadsheetml.worksheet+xml" PartName="/xl/worksheets/sheet33183.xml"/>
  <Override ContentType="application/vnd.openxmlformats-officedocument.spreadsheetml.worksheet+xml" PartName="/xl/worksheets/sheet33184.xml"/>
  <Override ContentType="application/vnd.openxmlformats-officedocument.spreadsheetml.worksheet+xml" PartName="/xl/worksheets/sheet33185.xml"/>
  <Override ContentType="application/vnd.openxmlformats-officedocument.spreadsheetml.worksheet+xml" PartName="/xl/worksheets/sheet33186.xml"/>
  <Override ContentType="application/vnd.openxmlformats-officedocument.spreadsheetml.worksheet+xml" PartName="/xl/worksheets/sheet33187.xml"/>
  <Override ContentType="application/vnd.openxmlformats-officedocument.spreadsheetml.worksheet+xml" PartName="/xl/worksheets/sheet33188.xml"/>
  <Override ContentType="application/vnd.openxmlformats-officedocument.spreadsheetml.worksheet+xml" PartName="/xl/worksheets/sheet33189.xml"/>
  <Override ContentType="application/vnd.openxmlformats-officedocument.spreadsheetml.worksheet+xml" PartName="/xl/worksheets/sheet33190.xml"/>
  <Override ContentType="application/vnd.openxmlformats-officedocument.spreadsheetml.worksheet+xml" PartName="/xl/worksheets/sheet33191.xml"/>
  <Override ContentType="application/vnd.openxmlformats-officedocument.spreadsheetml.worksheet+xml" PartName="/xl/worksheets/sheet33192.xml"/>
  <Override ContentType="application/vnd.openxmlformats-officedocument.spreadsheetml.worksheet+xml" PartName="/xl/worksheets/sheet33193.xml"/>
  <Override ContentType="application/vnd.openxmlformats-officedocument.spreadsheetml.worksheet+xml" PartName="/xl/worksheets/sheet33194.xml"/>
  <Override ContentType="application/vnd.openxmlformats-officedocument.spreadsheetml.worksheet+xml" PartName="/xl/worksheets/sheet33195.xml"/>
  <Override ContentType="application/vnd.openxmlformats-officedocument.spreadsheetml.worksheet+xml" PartName="/xl/worksheets/sheet33196.xml"/>
  <Override ContentType="application/vnd.openxmlformats-officedocument.spreadsheetml.worksheet+xml" PartName="/xl/worksheets/sheet33197.xml"/>
  <Override ContentType="application/vnd.openxmlformats-officedocument.spreadsheetml.worksheet+xml" PartName="/xl/worksheets/sheet33198.xml"/>
  <Override ContentType="application/vnd.openxmlformats-officedocument.spreadsheetml.worksheet+xml" PartName="/xl/worksheets/sheet33199.xml"/>
  <Override ContentType="application/vnd.openxmlformats-officedocument.spreadsheetml.worksheet+xml" PartName="/xl/worksheets/sheet33200.xml"/>
  <Override ContentType="application/vnd.openxmlformats-officedocument.spreadsheetml.worksheet+xml" PartName="/xl/worksheets/sheet33201.xml"/>
  <Override ContentType="application/vnd.openxmlformats-officedocument.spreadsheetml.worksheet+xml" PartName="/xl/worksheets/sheet33202.xml"/>
  <Override ContentType="application/vnd.openxmlformats-officedocument.spreadsheetml.worksheet+xml" PartName="/xl/worksheets/sheet33203.xml"/>
  <Override ContentType="application/vnd.openxmlformats-officedocument.spreadsheetml.worksheet+xml" PartName="/xl/worksheets/sheet33204.xml"/>
  <Override ContentType="application/vnd.openxmlformats-officedocument.spreadsheetml.worksheet+xml" PartName="/xl/worksheets/sheet33205.xml"/>
  <Override ContentType="application/vnd.openxmlformats-officedocument.spreadsheetml.worksheet+xml" PartName="/xl/worksheets/sheet33206.xml"/>
  <Override ContentType="application/vnd.openxmlformats-officedocument.spreadsheetml.worksheet+xml" PartName="/xl/worksheets/sheet33207.xml"/>
  <Override ContentType="application/vnd.openxmlformats-officedocument.spreadsheetml.worksheet+xml" PartName="/xl/worksheets/sheet33208.xml"/>
  <Override ContentType="application/vnd.openxmlformats-officedocument.spreadsheetml.worksheet+xml" PartName="/xl/worksheets/sheet33209.xml"/>
  <Override ContentType="application/vnd.openxmlformats-officedocument.spreadsheetml.worksheet+xml" PartName="/xl/worksheets/sheet33210.xml"/>
  <Override ContentType="application/vnd.openxmlformats-officedocument.spreadsheetml.worksheet+xml" PartName="/xl/worksheets/sheet33211.xml"/>
  <Override ContentType="application/vnd.openxmlformats-officedocument.spreadsheetml.worksheet+xml" PartName="/xl/worksheets/sheet33212.xml"/>
  <Override ContentType="application/vnd.openxmlformats-officedocument.spreadsheetml.worksheet+xml" PartName="/xl/worksheets/sheet33213.xml"/>
  <Override ContentType="application/vnd.openxmlformats-officedocument.spreadsheetml.worksheet+xml" PartName="/xl/worksheets/sheet33214.xml"/>
  <Override ContentType="application/vnd.openxmlformats-officedocument.spreadsheetml.worksheet+xml" PartName="/xl/worksheets/sheet33215.xml"/>
  <Override ContentType="application/vnd.openxmlformats-officedocument.spreadsheetml.worksheet+xml" PartName="/xl/worksheets/sheet33216.xml"/>
  <Override ContentType="application/vnd.openxmlformats-officedocument.spreadsheetml.worksheet+xml" PartName="/xl/worksheets/sheet33217.xml"/>
  <Override ContentType="application/vnd.openxmlformats-officedocument.spreadsheetml.worksheet+xml" PartName="/xl/worksheets/sheet33218.xml"/>
  <Override ContentType="application/vnd.openxmlformats-officedocument.spreadsheetml.worksheet+xml" PartName="/xl/worksheets/sheet33219.xml"/>
  <Override ContentType="application/vnd.openxmlformats-officedocument.spreadsheetml.worksheet+xml" PartName="/xl/worksheets/sheet33220.xml"/>
  <Override ContentType="application/vnd.openxmlformats-officedocument.spreadsheetml.worksheet+xml" PartName="/xl/worksheets/sheet33221.xml"/>
  <Override ContentType="application/vnd.openxmlformats-officedocument.spreadsheetml.worksheet+xml" PartName="/xl/worksheets/sheet33222.xml"/>
  <Override ContentType="application/vnd.openxmlformats-officedocument.spreadsheetml.worksheet+xml" PartName="/xl/worksheets/sheet33223.xml"/>
  <Override ContentType="application/vnd.openxmlformats-officedocument.spreadsheetml.worksheet+xml" PartName="/xl/worksheets/sheet33224.xml"/>
  <Override ContentType="application/vnd.openxmlformats-officedocument.spreadsheetml.worksheet+xml" PartName="/xl/worksheets/sheet33225.xml"/>
  <Override ContentType="application/vnd.openxmlformats-officedocument.spreadsheetml.worksheet+xml" PartName="/xl/worksheets/sheet33226.xml"/>
  <Override ContentType="application/vnd.openxmlformats-officedocument.spreadsheetml.worksheet+xml" PartName="/xl/worksheets/sheet33227.xml"/>
  <Override ContentType="application/vnd.openxmlformats-officedocument.spreadsheetml.worksheet+xml" PartName="/xl/worksheets/sheet33228.xml"/>
  <Override ContentType="application/vnd.openxmlformats-officedocument.spreadsheetml.worksheet+xml" PartName="/xl/worksheets/sheet33229.xml"/>
  <Override ContentType="application/vnd.openxmlformats-officedocument.spreadsheetml.worksheet+xml" PartName="/xl/worksheets/sheet33230.xml"/>
  <Override ContentType="application/vnd.openxmlformats-officedocument.spreadsheetml.worksheet+xml" PartName="/xl/worksheets/sheet33231.xml"/>
  <Override ContentType="application/vnd.openxmlformats-officedocument.spreadsheetml.worksheet+xml" PartName="/xl/worksheets/sheet33232.xml"/>
  <Override ContentType="application/vnd.openxmlformats-officedocument.spreadsheetml.worksheet+xml" PartName="/xl/worksheets/sheet33233.xml"/>
  <Override ContentType="application/vnd.openxmlformats-officedocument.spreadsheetml.worksheet+xml" PartName="/xl/worksheets/sheet33234.xml"/>
  <Override ContentType="application/vnd.openxmlformats-officedocument.spreadsheetml.worksheet+xml" PartName="/xl/worksheets/sheet33235.xml"/>
  <Override ContentType="application/vnd.openxmlformats-officedocument.spreadsheetml.worksheet+xml" PartName="/xl/worksheets/sheet33236.xml"/>
  <Override ContentType="application/vnd.openxmlformats-officedocument.spreadsheetml.worksheet+xml" PartName="/xl/worksheets/sheet33237.xml"/>
  <Override ContentType="application/vnd.openxmlformats-officedocument.spreadsheetml.worksheet+xml" PartName="/xl/worksheets/sheet33238.xml"/>
  <Override ContentType="application/vnd.openxmlformats-officedocument.spreadsheetml.worksheet+xml" PartName="/xl/worksheets/sheet33239.xml"/>
  <Override ContentType="application/vnd.openxmlformats-officedocument.spreadsheetml.worksheet+xml" PartName="/xl/worksheets/sheet33240.xml"/>
  <Override ContentType="application/vnd.openxmlformats-officedocument.spreadsheetml.worksheet+xml" PartName="/xl/worksheets/sheet33241.xml"/>
  <Override ContentType="application/vnd.openxmlformats-officedocument.spreadsheetml.worksheet+xml" PartName="/xl/worksheets/sheet33242.xml"/>
  <Override ContentType="application/vnd.openxmlformats-officedocument.spreadsheetml.worksheet+xml" PartName="/xl/worksheets/sheet33243.xml"/>
  <Override ContentType="application/vnd.openxmlformats-officedocument.spreadsheetml.worksheet+xml" PartName="/xl/worksheets/sheet33244.xml"/>
  <Override ContentType="application/vnd.openxmlformats-officedocument.spreadsheetml.worksheet+xml" PartName="/xl/worksheets/sheet33245.xml"/>
  <Override ContentType="application/vnd.openxmlformats-officedocument.spreadsheetml.worksheet+xml" PartName="/xl/worksheets/sheet33246.xml"/>
  <Override ContentType="application/vnd.openxmlformats-officedocument.spreadsheetml.worksheet+xml" PartName="/xl/worksheets/sheet33247.xml"/>
  <Override ContentType="application/vnd.openxmlformats-officedocument.spreadsheetml.worksheet+xml" PartName="/xl/worksheets/sheet33248.xml"/>
  <Override ContentType="application/vnd.openxmlformats-officedocument.spreadsheetml.worksheet+xml" PartName="/xl/worksheets/sheet33249.xml"/>
  <Override ContentType="application/vnd.openxmlformats-officedocument.spreadsheetml.worksheet+xml" PartName="/xl/worksheets/sheet33250.xml"/>
  <Override ContentType="application/vnd.openxmlformats-officedocument.spreadsheetml.worksheet+xml" PartName="/xl/worksheets/sheet33251.xml"/>
  <Override ContentType="application/vnd.openxmlformats-officedocument.spreadsheetml.worksheet+xml" PartName="/xl/worksheets/sheet33252.xml"/>
  <Override ContentType="application/vnd.openxmlformats-officedocument.spreadsheetml.worksheet+xml" PartName="/xl/worksheets/sheet33253.xml"/>
  <Override ContentType="application/vnd.openxmlformats-officedocument.spreadsheetml.worksheet+xml" PartName="/xl/worksheets/sheet33254.xml"/>
  <Override ContentType="application/vnd.openxmlformats-officedocument.spreadsheetml.worksheet+xml" PartName="/xl/worksheets/sheet33255.xml"/>
  <Override ContentType="application/vnd.openxmlformats-officedocument.spreadsheetml.worksheet+xml" PartName="/xl/worksheets/sheet33256.xml"/>
  <Override ContentType="application/vnd.openxmlformats-officedocument.spreadsheetml.worksheet+xml" PartName="/xl/worksheets/sheet33257.xml"/>
  <Override ContentType="application/vnd.openxmlformats-officedocument.spreadsheetml.worksheet+xml" PartName="/xl/worksheets/sheet33258.xml"/>
  <Override ContentType="application/vnd.openxmlformats-officedocument.spreadsheetml.worksheet+xml" PartName="/xl/worksheets/sheet33259.xml"/>
  <Override ContentType="application/vnd.openxmlformats-officedocument.spreadsheetml.worksheet+xml" PartName="/xl/worksheets/sheet33260.xml"/>
  <Override ContentType="application/vnd.openxmlformats-officedocument.spreadsheetml.worksheet+xml" PartName="/xl/worksheets/sheet33261.xml"/>
  <Override ContentType="application/vnd.openxmlformats-officedocument.spreadsheetml.worksheet+xml" PartName="/xl/worksheets/sheet33262.xml"/>
  <Override ContentType="application/vnd.openxmlformats-officedocument.spreadsheetml.worksheet+xml" PartName="/xl/worksheets/sheet33263.xml"/>
  <Override ContentType="application/vnd.openxmlformats-officedocument.spreadsheetml.worksheet+xml" PartName="/xl/worksheets/sheet33264.xml"/>
  <Override ContentType="application/vnd.openxmlformats-officedocument.spreadsheetml.worksheet+xml" PartName="/xl/worksheets/sheet33265.xml"/>
  <Override ContentType="application/vnd.openxmlformats-officedocument.spreadsheetml.worksheet+xml" PartName="/xl/worksheets/sheet33266.xml"/>
  <Override ContentType="application/vnd.openxmlformats-officedocument.spreadsheetml.worksheet+xml" PartName="/xl/worksheets/sheet33267.xml"/>
  <Override ContentType="application/vnd.openxmlformats-officedocument.spreadsheetml.worksheet+xml" PartName="/xl/worksheets/sheet33268.xml"/>
  <Override ContentType="application/vnd.openxmlformats-officedocument.spreadsheetml.worksheet+xml" PartName="/xl/worksheets/sheet33269.xml"/>
  <Override ContentType="application/vnd.openxmlformats-officedocument.spreadsheetml.worksheet+xml" PartName="/xl/worksheets/sheet33270.xml"/>
  <Override ContentType="application/vnd.openxmlformats-officedocument.spreadsheetml.worksheet+xml" PartName="/xl/worksheets/sheet33271.xml"/>
  <Override ContentType="application/vnd.openxmlformats-officedocument.spreadsheetml.worksheet+xml" PartName="/xl/worksheets/sheet33272.xml"/>
  <Override ContentType="application/vnd.openxmlformats-officedocument.spreadsheetml.worksheet+xml" PartName="/xl/worksheets/sheet33273.xml"/>
  <Override ContentType="application/vnd.openxmlformats-officedocument.spreadsheetml.worksheet+xml" PartName="/xl/worksheets/sheet33274.xml"/>
  <Override ContentType="application/vnd.openxmlformats-officedocument.spreadsheetml.worksheet+xml" PartName="/xl/worksheets/sheet33275.xml"/>
  <Override ContentType="application/vnd.openxmlformats-officedocument.spreadsheetml.worksheet+xml" PartName="/xl/worksheets/sheet33276.xml"/>
  <Override ContentType="application/vnd.openxmlformats-officedocument.spreadsheetml.worksheet+xml" PartName="/xl/worksheets/sheet33277.xml"/>
  <Override ContentType="application/vnd.openxmlformats-officedocument.spreadsheetml.worksheet+xml" PartName="/xl/worksheets/sheet33278.xml"/>
  <Override ContentType="application/vnd.openxmlformats-officedocument.spreadsheetml.worksheet+xml" PartName="/xl/worksheets/sheet33279.xml"/>
  <Override ContentType="application/vnd.openxmlformats-officedocument.spreadsheetml.worksheet+xml" PartName="/xl/worksheets/sheet33280.xml"/>
  <Override ContentType="application/vnd.openxmlformats-officedocument.spreadsheetml.worksheet+xml" PartName="/xl/worksheets/sheet33281.xml"/>
  <Override ContentType="application/vnd.openxmlformats-officedocument.spreadsheetml.worksheet+xml" PartName="/xl/worksheets/sheet33282.xml"/>
  <Override ContentType="application/vnd.openxmlformats-officedocument.spreadsheetml.worksheet+xml" PartName="/xl/worksheets/sheet33283.xml"/>
  <Override ContentType="application/vnd.openxmlformats-officedocument.spreadsheetml.worksheet+xml" PartName="/xl/worksheets/sheet33284.xml"/>
  <Override ContentType="application/vnd.openxmlformats-officedocument.spreadsheetml.worksheet+xml" PartName="/xl/worksheets/sheet33285.xml"/>
  <Override ContentType="application/vnd.openxmlformats-officedocument.spreadsheetml.worksheet+xml" PartName="/xl/worksheets/sheet33286.xml"/>
  <Override ContentType="application/vnd.openxmlformats-officedocument.spreadsheetml.worksheet+xml" PartName="/xl/worksheets/sheet33287.xml"/>
  <Override ContentType="application/vnd.openxmlformats-officedocument.spreadsheetml.worksheet+xml" PartName="/xl/worksheets/sheet33288.xml"/>
  <Override ContentType="application/vnd.openxmlformats-officedocument.spreadsheetml.worksheet+xml" PartName="/xl/worksheets/sheet33289.xml"/>
  <Override ContentType="application/vnd.openxmlformats-officedocument.spreadsheetml.worksheet+xml" PartName="/xl/worksheets/sheet33290.xml"/>
  <Override ContentType="application/vnd.openxmlformats-officedocument.spreadsheetml.worksheet+xml" PartName="/xl/worksheets/sheet33291.xml"/>
  <Override ContentType="application/vnd.openxmlformats-officedocument.spreadsheetml.worksheet+xml" PartName="/xl/worksheets/sheet33292.xml"/>
  <Override ContentType="application/vnd.openxmlformats-officedocument.spreadsheetml.worksheet+xml" PartName="/xl/worksheets/sheet33293.xml"/>
  <Override ContentType="application/vnd.openxmlformats-officedocument.spreadsheetml.worksheet+xml" PartName="/xl/worksheets/sheet33294.xml"/>
  <Override ContentType="application/vnd.openxmlformats-officedocument.spreadsheetml.worksheet+xml" PartName="/xl/worksheets/sheet33295.xml"/>
  <Override ContentType="application/vnd.openxmlformats-officedocument.spreadsheetml.worksheet+xml" PartName="/xl/worksheets/sheet33296.xml"/>
  <Override ContentType="application/vnd.openxmlformats-officedocument.spreadsheetml.worksheet+xml" PartName="/xl/worksheets/sheet33297.xml"/>
  <Override ContentType="application/vnd.openxmlformats-officedocument.spreadsheetml.worksheet+xml" PartName="/xl/worksheets/sheet33298.xml"/>
  <Override ContentType="application/vnd.openxmlformats-officedocument.spreadsheetml.worksheet+xml" PartName="/xl/worksheets/sheet33299.xml"/>
  <Override ContentType="application/vnd.openxmlformats-officedocument.spreadsheetml.worksheet+xml" PartName="/xl/worksheets/sheet33300.xml"/>
  <Override ContentType="application/vnd.openxmlformats-officedocument.spreadsheetml.worksheet+xml" PartName="/xl/worksheets/sheet33301.xml"/>
  <Override ContentType="application/vnd.openxmlformats-officedocument.spreadsheetml.worksheet+xml" PartName="/xl/worksheets/sheet33302.xml"/>
  <Override ContentType="application/vnd.openxmlformats-officedocument.spreadsheetml.worksheet+xml" PartName="/xl/worksheets/sheet33303.xml"/>
  <Override ContentType="application/vnd.openxmlformats-officedocument.spreadsheetml.worksheet+xml" PartName="/xl/worksheets/sheet33304.xml"/>
  <Override ContentType="application/vnd.openxmlformats-officedocument.spreadsheetml.worksheet+xml" PartName="/xl/worksheets/sheet33305.xml"/>
  <Override ContentType="application/vnd.openxmlformats-officedocument.spreadsheetml.worksheet+xml" PartName="/xl/worksheets/sheet33306.xml"/>
  <Override ContentType="application/vnd.openxmlformats-officedocument.spreadsheetml.worksheet+xml" PartName="/xl/worksheets/sheet33307.xml"/>
  <Override ContentType="application/vnd.openxmlformats-officedocument.spreadsheetml.worksheet+xml" PartName="/xl/worksheets/sheet33308.xml"/>
  <Override ContentType="application/vnd.openxmlformats-officedocument.spreadsheetml.worksheet+xml" PartName="/xl/worksheets/sheet33309.xml"/>
  <Override ContentType="application/vnd.openxmlformats-officedocument.spreadsheetml.worksheet+xml" PartName="/xl/worksheets/sheet33310.xml"/>
  <Override ContentType="application/vnd.openxmlformats-officedocument.spreadsheetml.worksheet+xml" PartName="/xl/worksheets/sheet33311.xml"/>
  <Override ContentType="application/vnd.openxmlformats-officedocument.spreadsheetml.worksheet+xml" PartName="/xl/worksheets/sheet33312.xml"/>
  <Override ContentType="application/vnd.openxmlformats-officedocument.spreadsheetml.worksheet+xml" PartName="/xl/worksheets/sheet33313.xml"/>
  <Override ContentType="application/vnd.openxmlformats-officedocument.spreadsheetml.worksheet+xml" PartName="/xl/worksheets/sheet33314.xml"/>
  <Override ContentType="application/vnd.openxmlformats-officedocument.spreadsheetml.worksheet+xml" PartName="/xl/worksheets/sheet33315.xml"/>
  <Override ContentType="application/vnd.openxmlformats-officedocument.spreadsheetml.worksheet+xml" PartName="/xl/worksheets/sheet33316.xml"/>
  <Override ContentType="application/vnd.openxmlformats-officedocument.spreadsheetml.worksheet+xml" PartName="/xl/worksheets/sheet33317.xml"/>
  <Override ContentType="application/vnd.openxmlformats-officedocument.spreadsheetml.worksheet+xml" PartName="/xl/worksheets/sheet33318.xml"/>
  <Override ContentType="application/vnd.openxmlformats-officedocument.spreadsheetml.worksheet+xml" PartName="/xl/worksheets/sheet33319.xml"/>
  <Override ContentType="application/vnd.openxmlformats-officedocument.spreadsheetml.worksheet+xml" PartName="/xl/worksheets/sheet33320.xml"/>
  <Override ContentType="application/vnd.openxmlformats-officedocument.spreadsheetml.worksheet+xml" PartName="/xl/worksheets/sheet33321.xml"/>
  <Override ContentType="application/vnd.openxmlformats-officedocument.spreadsheetml.worksheet+xml" PartName="/xl/worksheets/sheet33322.xml"/>
  <Override ContentType="application/vnd.openxmlformats-officedocument.spreadsheetml.worksheet+xml" PartName="/xl/worksheets/sheet33323.xml"/>
  <Override ContentType="application/vnd.openxmlformats-officedocument.spreadsheetml.worksheet+xml" PartName="/xl/worksheets/sheet33324.xml"/>
  <Override ContentType="application/vnd.openxmlformats-officedocument.spreadsheetml.worksheet+xml" PartName="/xl/worksheets/sheet33325.xml"/>
  <Override ContentType="application/vnd.openxmlformats-officedocument.spreadsheetml.worksheet+xml" PartName="/xl/worksheets/sheet33326.xml"/>
  <Override ContentType="application/vnd.openxmlformats-officedocument.spreadsheetml.worksheet+xml" PartName="/xl/worksheets/sheet33327.xml"/>
  <Override ContentType="application/vnd.openxmlformats-officedocument.spreadsheetml.worksheet+xml" PartName="/xl/worksheets/sheet33328.xml"/>
  <Override ContentType="application/vnd.openxmlformats-officedocument.spreadsheetml.worksheet+xml" PartName="/xl/worksheets/sheet33329.xml"/>
  <Override ContentType="application/vnd.openxmlformats-officedocument.spreadsheetml.worksheet+xml" PartName="/xl/worksheets/sheet33330.xml"/>
  <Override ContentType="application/vnd.openxmlformats-officedocument.spreadsheetml.worksheet+xml" PartName="/xl/worksheets/sheet33331.xml"/>
  <Override ContentType="application/vnd.openxmlformats-officedocument.spreadsheetml.worksheet+xml" PartName="/xl/worksheets/sheet33332.xml"/>
  <Override ContentType="application/vnd.openxmlformats-officedocument.spreadsheetml.worksheet+xml" PartName="/xl/worksheets/sheet33333.xml"/>
  <Override ContentType="application/vnd.openxmlformats-officedocument.spreadsheetml.worksheet+xml" PartName="/xl/worksheets/sheet33334.xml"/>
  <Override ContentType="application/vnd.openxmlformats-officedocument.spreadsheetml.worksheet+xml" PartName="/xl/worksheets/sheet33335.xml"/>
  <Override ContentType="application/vnd.openxmlformats-officedocument.spreadsheetml.worksheet+xml" PartName="/xl/worksheets/sheet33336.xml"/>
  <Override ContentType="application/vnd.openxmlformats-officedocument.spreadsheetml.worksheet+xml" PartName="/xl/worksheets/sheet33337.xml"/>
  <Override ContentType="application/vnd.openxmlformats-officedocument.spreadsheetml.worksheet+xml" PartName="/xl/worksheets/sheet33338.xml"/>
  <Override ContentType="application/vnd.openxmlformats-officedocument.spreadsheetml.worksheet+xml" PartName="/xl/worksheets/sheet33339.xml"/>
  <Override ContentType="application/vnd.openxmlformats-officedocument.spreadsheetml.worksheet+xml" PartName="/xl/worksheets/sheet33340.xml"/>
  <Override ContentType="application/vnd.openxmlformats-officedocument.spreadsheetml.worksheet+xml" PartName="/xl/worksheets/sheet33341.xml"/>
  <Override ContentType="application/vnd.openxmlformats-officedocument.spreadsheetml.worksheet+xml" PartName="/xl/worksheets/sheet33342.xml"/>
  <Override ContentType="application/vnd.openxmlformats-officedocument.spreadsheetml.worksheet+xml" PartName="/xl/worksheets/sheet33343.xml"/>
  <Override ContentType="application/vnd.openxmlformats-officedocument.spreadsheetml.worksheet+xml" PartName="/xl/worksheets/sheet33344.xml"/>
  <Override ContentType="application/vnd.openxmlformats-officedocument.spreadsheetml.worksheet+xml" PartName="/xl/worksheets/sheet33345.xml"/>
  <Override ContentType="application/vnd.openxmlformats-officedocument.spreadsheetml.worksheet+xml" PartName="/xl/worksheets/sheet33346.xml"/>
  <Override ContentType="application/vnd.openxmlformats-officedocument.spreadsheetml.worksheet+xml" PartName="/xl/worksheets/sheet33347.xml"/>
  <Override ContentType="application/vnd.openxmlformats-officedocument.spreadsheetml.worksheet+xml" PartName="/xl/worksheets/sheet33348.xml"/>
  <Override ContentType="application/vnd.openxmlformats-officedocument.spreadsheetml.worksheet+xml" PartName="/xl/worksheets/sheet33349.xml"/>
  <Override ContentType="application/vnd.openxmlformats-officedocument.spreadsheetml.worksheet+xml" PartName="/xl/worksheets/sheet33350.xml"/>
  <Override ContentType="application/vnd.openxmlformats-officedocument.spreadsheetml.worksheet+xml" PartName="/xl/worksheets/sheet33351.xml"/>
  <Override ContentType="application/vnd.openxmlformats-officedocument.spreadsheetml.worksheet+xml" PartName="/xl/worksheets/sheet33352.xml"/>
  <Override ContentType="application/vnd.openxmlformats-officedocument.spreadsheetml.worksheet+xml" PartName="/xl/worksheets/sheet33353.xml"/>
  <Override ContentType="application/vnd.openxmlformats-officedocument.spreadsheetml.worksheet+xml" PartName="/xl/worksheets/sheet33354.xml"/>
  <Override ContentType="application/vnd.openxmlformats-officedocument.spreadsheetml.worksheet+xml" PartName="/xl/worksheets/sheet33355.xml"/>
  <Override ContentType="application/vnd.openxmlformats-officedocument.spreadsheetml.worksheet+xml" PartName="/xl/worksheets/sheet33356.xml"/>
  <Override ContentType="application/vnd.openxmlformats-officedocument.spreadsheetml.worksheet+xml" PartName="/xl/worksheets/sheet33357.xml"/>
  <Override ContentType="application/vnd.openxmlformats-officedocument.spreadsheetml.worksheet+xml" PartName="/xl/worksheets/sheet33358.xml"/>
  <Override ContentType="application/vnd.openxmlformats-officedocument.spreadsheetml.worksheet+xml" PartName="/xl/worksheets/sheet33359.xml"/>
  <Override ContentType="application/vnd.openxmlformats-officedocument.spreadsheetml.worksheet+xml" PartName="/xl/worksheets/sheet33360.xml"/>
  <Override ContentType="application/vnd.openxmlformats-officedocument.spreadsheetml.worksheet+xml" PartName="/xl/worksheets/sheet33361.xml"/>
  <Override ContentType="application/vnd.openxmlformats-officedocument.spreadsheetml.worksheet+xml" PartName="/xl/worksheets/sheet33362.xml"/>
  <Override ContentType="application/vnd.openxmlformats-officedocument.spreadsheetml.worksheet+xml" PartName="/xl/worksheets/sheet33363.xml"/>
  <Override ContentType="application/vnd.openxmlformats-officedocument.spreadsheetml.worksheet+xml" PartName="/xl/worksheets/sheet33364.xml"/>
  <Override ContentType="application/vnd.openxmlformats-officedocument.spreadsheetml.worksheet+xml" PartName="/xl/worksheets/sheet33365.xml"/>
  <Override ContentType="application/vnd.openxmlformats-officedocument.spreadsheetml.worksheet+xml" PartName="/xl/worksheets/sheet33366.xml"/>
  <Override ContentType="application/vnd.openxmlformats-officedocument.spreadsheetml.worksheet+xml" PartName="/xl/worksheets/sheet33367.xml"/>
  <Override ContentType="application/vnd.openxmlformats-officedocument.spreadsheetml.worksheet+xml" PartName="/xl/worksheets/sheet33368.xml"/>
  <Override ContentType="application/vnd.openxmlformats-officedocument.spreadsheetml.worksheet+xml" PartName="/xl/worksheets/sheet33369.xml"/>
  <Override ContentType="application/vnd.openxmlformats-officedocument.spreadsheetml.worksheet+xml" PartName="/xl/worksheets/sheet33370.xml"/>
  <Override ContentType="application/vnd.openxmlformats-officedocument.spreadsheetml.worksheet+xml" PartName="/xl/worksheets/sheet33371.xml"/>
  <Override ContentType="application/vnd.openxmlformats-officedocument.spreadsheetml.worksheet+xml" PartName="/xl/worksheets/sheet33372.xml"/>
  <Override ContentType="application/vnd.openxmlformats-officedocument.spreadsheetml.worksheet+xml" PartName="/xl/worksheets/sheet33373.xml"/>
  <Override ContentType="application/vnd.openxmlformats-officedocument.spreadsheetml.worksheet+xml" PartName="/xl/worksheets/sheet33374.xml"/>
  <Override ContentType="application/vnd.openxmlformats-officedocument.spreadsheetml.worksheet+xml" PartName="/xl/worksheets/sheet33375.xml"/>
  <Override ContentType="application/vnd.openxmlformats-officedocument.spreadsheetml.worksheet+xml" PartName="/xl/worksheets/sheet33376.xml"/>
  <Override ContentType="application/vnd.openxmlformats-officedocument.spreadsheetml.worksheet+xml" PartName="/xl/worksheets/sheet33377.xml"/>
  <Override ContentType="application/vnd.openxmlformats-officedocument.spreadsheetml.worksheet+xml" PartName="/xl/worksheets/sheet33378.xml"/>
  <Override ContentType="application/vnd.openxmlformats-officedocument.spreadsheetml.worksheet+xml" PartName="/xl/worksheets/sheet33379.xml"/>
  <Override ContentType="application/vnd.openxmlformats-officedocument.spreadsheetml.worksheet+xml" PartName="/xl/worksheets/sheet33380.xml"/>
  <Override ContentType="application/vnd.openxmlformats-officedocument.spreadsheetml.worksheet+xml" PartName="/xl/worksheets/sheet33381.xml"/>
  <Override ContentType="application/vnd.openxmlformats-officedocument.spreadsheetml.worksheet+xml" PartName="/xl/worksheets/sheet33382.xml"/>
  <Override ContentType="application/vnd.openxmlformats-officedocument.spreadsheetml.worksheet+xml" PartName="/xl/worksheets/sheet33383.xml"/>
  <Override ContentType="application/vnd.openxmlformats-officedocument.spreadsheetml.worksheet+xml" PartName="/xl/worksheets/sheet33384.xml"/>
  <Override ContentType="application/vnd.openxmlformats-officedocument.spreadsheetml.worksheet+xml" PartName="/xl/worksheets/sheet33385.xml"/>
  <Override ContentType="application/vnd.openxmlformats-officedocument.spreadsheetml.worksheet+xml" PartName="/xl/worksheets/sheet33386.xml"/>
  <Override ContentType="application/vnd.openxmlformats-officedocument.spreadsheetml.worksheet+xml" PartName="/xl/worksheets/sheet33387.xml"/>
  <Override ContentType="application/vnd.openxmlformats-officedocument.spreadsheetml.worksheet+xml" PartName="/xl/worksheets/sheet33388.xml"/>
  <Override ContentType="application/vnd.openxmlformats-officedocument.spreadsheetml.worksheet+xml" PartName="/xl/worksheets/sheet33389.xml"/>
  <Override ContentType="application/vnd.openxmlformats-officedocument.spreadsheetml.worksheet+xml" PartName="/xl/worksheets/sheet33390.xml"/>
  <Override ContentType="application/vnd.openxmlformats-officedocument.spreadsheetml.worksheet+xml" PartName="/xl/worksheets/sheet33391.xml"/>
  <Override ContentType="application/vnd.openxmlformats-officedocument.spreadsheetml.worksheet+xml" PartName="/xl/worksheets/sheet33392.xml"/>
  <Override ContentType="application/vnd.openxmlformats-officedocument.spreadsheetml.worksheet+xml" PartName="/xl/worksheets/sheet33393.xml"/>
  <Override ContentType="application/vnd.openxmlformats-officedocument.spreadsheetml.worksheet+xml" PartName="/xl/worksheets/sheet33394.xml"/>
  <Override ContentType="application/vnd.openxmlformats-officedocument.spreadsheetml.worksheet+xml" PartName="/xl/worksheets/sheet33395.xml"/>
  <Override ContentType="application/vnd.openxmlformats-officedocument.spreadsheetml.worksheet+xml" PartName="/xl/worksheets/sheet33396.xml"/>
  <Override ContentType="application/vnd.openxmlformats-officedocument.spreadsheetml.worksheet+xml" PartName="/xl/worksheets/sheet33397.xml"/>
  <Override ContentType="application/vnd.openxmlformats-officedocument.spreadsheetml.worksheet+xml" PartName="/xl/worksheets/sheet33398.xml"/>
  <Override ContentType="application/vnd.openxmlformats-officedocument.spreadsheetml.worksheet+xml" PartName="/xl/worksheets/sheet33399.xml"/>
  <Override ContentType="application/vnd.openxmlformats-officedocument.spreadsheetml.worksheet+xml" PartName="/xl/worksheets/sheet33400.xml"/>
  <Override ContentType="application/vnd.openxmlformats-officedocument.spreadsheetml.worksheet+xml" PartName="/xl/worksheets/sheet33401.xml"/>
  <Override ContentType="application/vnd.openxmlformats-officedocument.spreadsheetml.worksheet+xml" PartName="/xl/worksheets/sheet33402.xml"/>
  <Override ContentType="application/vnd.openxmlformats-officedocument.spreadsheetml.worksheet+xml" PartName="/xl/worksheets/sheet33403.xml"/>
  <Override ContentType="application/vnd.openxmlformats-officedocument.spreadsheetml.worksheet+xml" PartName="/xl/worksheets/sheet33404.xml"/>
  <Override ContentType="application/vnd.openxmlformats-officedocument.spreadsheetml.worksheet+xml" PartName="/xl/worksheets/sheet33405.xml"/>
  <Override ContentType="application/vnd.openxmlformats-officedocument.spreadsheetml.worksheet+xml" PartName="/xl/worksheets/sheet33406.xml"/>
  <Override ContentType="application/vnd.openxmlformats-officedocument.spreadsheetml.worksheet+xml" PartName="/xl/worksheets/sheet33407.xml"/>
  <Override ContentType="application/vnd.openxmlformats-officedocument.spreadsheetml.worksheet+xml" PartName="/xl/worksheets/sheet33408.xml"/>
  <Override ContentType="application/vnd.openxmlformats-officedocument.spreadsheetml.worksheet+xml" PartName="/xl/worksheets/sheet33409.xml"/>
  <Override ContentType="application/vnd.openxmlformats-officedocument.spreadsheetml.worksheet+xml" PartName="/xl/worksheets/sheet33410.xml"/>
  <Override ContentType="application/vnd.openxmlformats-officedocument.spreadsheetml.worksheet+xml" PartName="/xl/worksheets/sheet33411.xml"/>
  <Override ContentType="application/vnd.openxmlformats-officedocument.spreadsheetml.worksheet+xml" PartName="/xl/worksheets/sheet33412.xml"/>
  <Override ContentType="application/vnd.openxmlformats-officedocument.spreadsheetml.worksheet+xml" PartName="/xl/worksheets/sheet33413.xml"/>
  <Override ContentType="application/vnd.openxmlformats-officedocument.spreadsheetml.worksheet+xml" PartName="/xl/worksheets/sheet33414.xml"/>
  <Override ContentType="application/vnd.openxmlformats-officedocument.spreadsheetml.worksheet+xml" PartName="/xl/worksheets/sheet33415.xml"/>
  <Override ContentType="application/vnd.openxmlformats-officedocument.spreadsheetml.worksheet+xml" PartName="/xl/worksheets/sheet33416.xml"/>
  <Override ContentType="application/vnd.openxmlformats-officedocument.spreadsheetml.worksheet+xml" PartName="/xl/worksheets/sheet33417.xml"/>
  <Override ContentType="application/vnd.openxmlformats-officedocument.spreadsheetml.worksheet+xml" PartName="/xl/worksheets/sheet33418.xml"/>
  <Override ContentType="application/vnd.openxmlformats-officedocument.spreadsheetml.worksheet+xml" PartName="/xl/worksheets/sheet33419.xml"/>
  <Override ContentType="application/vnd.openxmlformats-officedocument.spreadsheetml.worksheet+xml" PartName="/xl/worksheets/sheet33420.xml"/>
  <Override ContentType="application/vnd.openxmlformats-officedocument.spreadsheetml.worksheet+xml" PartName="/xl/worksheets/sheet33421.xml"/>
  <Override ContentType="application/vnd.openxmlformats-officedocument.spreadsheetml.worksheet+xml" PartName="/xl/worksheets/sheet33422.xml"/>
  <Override ContentType="application/vnd.openxmlformats-officedocument.spreadsheetml.worksheet+xml" PartName="/xl/worksheets/sheet33423.xml"/>
  <Override ContentType="application/vnd.openxmlformats-officedocument.spreadsheetml.worksheet+xml" PartName="/xl/worksheets/sheet33424.xml"/>
  <Override ContentType="application/vnd.openxmlformats-officedocument.spreadsheetml.worksheet+xml" PartName="/xl/worksheets/sheet33425.xml"/>
  <Override ContentType="application/vnd.openxmlformats-officedocument.spreadsheetml.worksheet+xml" PartName="/xl/worksheets/sheet33426.xml"/>
  <Override ContentType="application/vnd.openxmlformats-officedocument.spreadsheetml.worksheet+xml" PartName="/xl/worksheets/sheet33427.xml"/>
  <Override ContentType="application/vnd.openxmlformats-officedocument.spreadsheetml.worksheet+xml" PartName="/xl/worksheets/sheet33428.xml"/>
  <Override ContentType="application/vnd.openxmlformats-officedocument.spreadsheetml.worksheet+xml" PartName="/xl/worksheets/sheet33429.xml"/>
  <Override ContentType="application/vnd.openxmlformats-officedocument.spreadsheetml.worksheet+xml" PartName="/xl/worksheets/sheet33430.xml"/>
  <Override ContentType="application/vnd.openxmlformats-officedocument.spreadsheetml.worksheet+xml" PartName="/xl/worksheets/sheet33431.xml"/>
  <Override ContentType="application/vnd.openxmlformats-officedocument.spreadsheetml.worksheet+xml" PartName="/xl/worksheets/sheet33432.xml"/>
  <Override ContentType="application/vnd.openxmlformats-officedocument.spreadsheetml.worksheet+xml" PartName="/xl/worksheets/sheet33433.xml"/>
  <Override ContentType="application/vnd.openxmlformats-officedocument.spreadsheetml.worksheet+xml" PartName="/xl/worksheets/sheet33434.xml"/>
  <Override ContentType="application/vnd.openxmlformats-officedocument.spreadsheetml.worksheet+xml" PartName="/xl/worksheets/sheet33435.xml"/>
  <Override ContentType="application/vnd.openxmlformats-officedocument.spreadsheetml.worksheet+xml" PartName="/xl/worksheets/sheet33436.xml"/>
  <Override ContentType="application/vnd.openxmlformats-officedocument.spreadsheetml.worksheet+xml" PartName="/xl/worksheets/sheet33437.xml"/>
  <Override ContentType="application/vnd.openxmlformats-officedocument.spreadsheetml.worksheet+xml" PartName="/xl/worksheets/sheet33438.xml"/>
  <Override ContentType="application/vnd.openxmlformats-officedocument.spreadsheetml.worksheet+xml" PartName="/xl/worksheets/sheet33439.xml"/>
  <Override ContentType="application/vnd.openxmlformats-officedocument.spreadsheetml.worksheet+xml" PartName="/xl/worksheets/sheet33440.xml"/>
  <Override ContentType="application/vnd.openxmlformats-officedocument.spreadsheetml.worksheet+xml" PartName="/xl/worksheets/sheet33441.xml"/>
  <Override ContentType="application/vnd.openxmlformats-officedocument.spreadsheetml.worksheet+xml" PartName="/xl/worksheets/sheet33442.xml"/>
  <Override ContentType="application/vnd.openxmlformats-officedocument.spreadsheetml.worksheet+xml" PartName="/xl/worksheets/sheet33443.xml"/>
  <Override ContentType="application/vnd.openxmlformats-officedocument.spreadsheetml.worksheet+xml" PartName="/xl/worksheets/sheet33444.xml"/>
  <Override ContentType="application/vnd.openxmlformats-officedocument.spreadsheetml.worksheet+xml" PartName="/xl/worksheets/sheet33445.xml"/>
  <Override ContentType="application/vnd.openxmlformats-officedocument.spreadsheetml.worksheet+xml" PartName="/xl/worksheets/sheet33446.xml"/>
  <Override ContentType="application/vnd.openxmlformats-officedocument.spreadsheetml.worksheet+xml" PartName="/xl/worksheets/sheet33447.xml"/>
  <Override ContentType="application/vnd.openxmlformats-officedocument.spreadsheetml.worksheet+xml" PartName="/xl/worksheets/sheet33448.xml"/>
  <Override ContentType="application/vnd.openxmlformats-officedocument.spreadsheetml.worksheet+xml" PartName="/xl/worksheets/sheet33449.xml"/>
  <Override ContentType="application/vnd.openxmlformats-officedocument.spreadsheetml.worksheet+xml" PartName="/xl/worksheets/sheet33450.xml"/>
  <Override ContentType="application/vnd.openxmlformats-officedocument.spreadsheetml.worksheet+xml" PartName="/xl/worksheets/sheet33451.xml"/>
  <Override ContentType="application/vnd.openxmlformats-officedocument.spreadsheetml.worksheet+xml" PartName="/xl/worksheets/sheet33452.xml"/>
  <Override ContentType="application/vnd.openxmlformats-officedocument.spreadsheetml.worksheet+xml" PartName="/xl/worksheets/sheet33453.xml"/>
  <Override ContentType="application/vnd.openxmlformats-officedocument.spreadsheetml.worksheet+xml" PartName="/xl/worksheets/sheet33454.xml"/>
  <Override ContentType="application/vnd.openxmlformats-officedocument.spreadsheetml.worksheet+xml" PartName="/xl/worksheets/sheet33455.xml"/>
  <Override ContentType="application/vnd.openxmlformats-officedocument.spreadsheetml.worksheet+xml" PartName="/xl/worksheets/sheet33456.xml"/>
  <Override ContentType="application/vnd.openxmlformats-officedocument.spreadsheetml.worksheet+xml" PartName="/xl/worksheets/sheet33457.xml"/>
  <Override ContentType="application/vnd.openxmlformats-officedocument.spreadsheetml.worksheet+xml" PartName="/xl/worksheets/sheet33458.xml"/>
  <Override ContentType="application/vnd.openxmlformats-officedocument.spreadsheetml.worksheet+xml" PartName="/xl/worksheets/sheet33459.xml"/>
  <Override ContentType="application/vnd.openxmlformats-officedocument.spreadsheetml.worksheet+xml" PartName="/xl/worksheets/sheet33460.xml"/>
  <Override ContentType="application/vnd.openxmlformats-officedocument.spreadsheetml.worksheet+xml" PartName="/xl/worksheets/sheet33461.xml"/>
  <Override ContentType="application/vnd.openxmlformats-officedocument.spreadsheetml.worksheet+xml" PartName="/xl/worksheets/sheet33462.xml"/>
  <Override ContentType="application/vnd.openxmlformats-officedocument.spreadsheetml.worksheet+xml" PartName="/xl/worksheets/sheet33463.xml"/>
  <Override ContentType="application/vnd.openxmlformats-officedocument.spreadsheetml.worksheet+xml" PartName="/xl/worksheets/sheet33464.xml"/>
  <Override ContentType="application/vnd.openxmlformats-officedocument.spreadsheetml.worksheet+xml" PartName="/xl/worksheets/sheet33465.xml"/>
  <Override ContentType="application/vnd.openxmlformats-officedocument.spreadsheetml.worksheet+xml" PartName="/xl/worksheets/sheet33466.xml"/>
  <Override ContentType="application/vnd.openxmlformats-officedocument.spreadsheetml.worksheet+xml" PartName="/xl/worksheets/sheet33467.xml"/>
  <Override ContentType="application/vnd.openxmlformats-officedocument.spreadsheetml.worksheet+xml" PartName="/xl/worksheets/sheet33468.xml"/>
  <Override ContentType="application/vnd.openxmlformats-officedocument.spreadsheetml.worksheet+xml" PartName="/xl/worksheets/sheet33469.xml"/>
  <Override ContentType="application/vnd.openxmlformats-officedocument.spreadsheetml.worksheet+xml" PartName="/xl/worksheets/sheet33470.xml"/>
  <Override ContentType="application/vnd.openxmlformats-officedocument.spreadsheetml.worksheet+xml" PartName="/xl/worksheets/sheet33471.xml"/>
  <Override ContentType="application/vnd.openxmlformats-officedocument.spreadsheetml.worksheet+xml" PartName="/xl/worksheets/sheet33472.xml"/>
  <Override ContentType="application/vnd.openxmlformats-officedocument.spreadsheetml.worksheet+xml" PartName="/xl/worksheets/sheet33473.xml"/>
  <Override ContentType="application/vnd.openxmlformats-officedocument.spreadsheetml.worksheet+xml" PartName="/xl/worksheets/sheet33474.xml"/>
  <Override ContentType="application/vnd.openxmlformats-officedocument.spreadsheetml.worksheet+xml" PartName="/xl/worksheets/sheet33475.xml"/>
  <Override ContentType="application/vnd.openxmlformats-officedocument.spreadsheetml.worksheet+xml" PartName="/xl/worksheets/sheet33476.xml"/>
  <Override ContentType="application/vnd.openxmlformats-officedocument.spreadsheetml.worksheet+xml" PartName="/xl/worksheets/sheet33477.xml"/>
  <Override ContentType="application/vnd.openxmlformats-officedocument.spreadsheetml.worksheet+xml" PartName="/xl/worksheets/sheet33478.xml"/>
  <Override ContentType="application/vnd.openxmlformats-officedocument.spreadsheetml.worksheet+xml" PartName="/xl/worksheets/sheet33479.xml"/>
  <Override ContentType="application/vnd.openxmlformats-officedocument.spreadsheetml.worksheet+xml" PartName="/xl/worksheets/sheet33480.xml"/>
  <Override ContentType="application/vnd.openxmlformats-officedocument.spreadsheetml.worksheet+xml" PartName="/xl/worksheets/sheet33481.xml"/>
  <Override ContentType="application/vnd.openxmlformats-officedocument.spreadsheetml.worksheet+xml" PartName="/xl/worksheets/sheet33482.xml"/>
  <Override ContentType="application/vnd.openxmlformats-officedocument.spreadsheetml.worksheet+xml" PartName="/xl/worksheets/sheet33483.xml"/>
  <Override ContentType="application/vnd.openxmlformats-officedocument.spreadsheetml.worksheet+xml" PartName="/xl/worksheets/sheet33484.xml"/>
  <Override ContentType="application/vnd.openxmlformats-officedocument.spreadsheetml.worksheet+xml" PartName="/xl/worksheets/sheet33485.xml"/>
  <Override ContentType="application/vnd.openxmlformats-officedocument.spreadsheetml.worksheet+xml" PartName="/xl/worksheets/sheet33486.xml"/>
  <Override ContentType="application/vnd.openxmlformats-officedocument.spreadsheetml.worksheet+xml" PartName="/xl/worksheets/sheet33487.xml"/>
  <Override ContentType="application/vnd.openxmlformats-officedocument.spreadsheetml.worksheet+xml" PartName="/xl/worksheets/sheet33488.xml"/>
  <Override ContentType="application/vnd.openxmlformats-officedocument.spreadsheetml.worksheet+xml" PartName="/xl/worksheets/sheet33489.xml"/>
  <Override ContentType="application/vnd.openxmlformats-officedocument.spreadsheetml.worksheet+xml" PartName="/xl/worksheets/sheet33490.xml"/>
  <Override ContentType="application/vnd.openxmlformats-officedocument.spreadsheetml.worksheet+xml" PartName="/xl/worksheets/sheet33491.xml"/>
  <Override ContentType="application/vnd.openxmlformats-officedocument.spreadsheetml.worksheet+xml" PartName="/xl/worksheets/sheet33492.xml"/>
  <Override ContentType="application/vnd.openxmlformats-officedocument.spreadsheetml.worksheet+xml" PartName="/xl/worksheets/sheet33493.xml"/>
  <Override ContentType="application/vnd.openxmlformats-officedocument.spreadsheetml.worksheet+xml" PartName="/xl/worksheets/sheet33494.xml"/>
  <Override ContentType="application/vnd.openxmlformats-officedocument.spreadsheetml.worksheet+xml" PartName="/xl/worksheets/sheet33495.xml"/>
  <Override ContentType="application/vnd.openxmlformats-officedocument.spreadsheetml.worksheet+xml" PartName="/xl/worksheets/sheet33496.xml"/>
  <Override ContentType="application/vnd.openxmlformats-officedocument.spreadsheetml.worksheet+xml" PartName="/xl/worksheets/sheet33497.xml"/>
  <Override ContentType="application/vnd.openxmlformats-officedocument.spreadsheetml.worksheet+xml" PartName="/xl/worksheets/sheet33498.xml"/>
  <Override ContentType="application/vnd.openxmlformats-officedocument.spreadsheetml.worksheet+xml" PartName="/xl/worksheets/sheet33499.xml"/>
  <Override ContentType="application/vnd.openxmlformats-officedocument.spreadsheetml.worksheet+xml" PartName="/xl/worksheets/sheet33500.xml"/>
  <Override ContentType="application/vnd.openxmlformats-officedocument.spreadsheetml.worksheet+xml" PartName="/xl/worksheets/sheet33501.xml"/>
  <Override ContentType="application/vnd.openxmlformats-officedocument.spreadsheetml.worksheet+xml" PartName="/xl/worksheets/sheet33502.xml"/>
  <Override ContentType="application/vnd.openxmlformats-officedocument.spreadsheetml.worksheet+xml" PartName="/xl/worksheets/sheet33503.xml"/>
  <Override ContentType="application/vnd.openxmlformats-officedocument.spreadsheetml.worksheet+xml" PartName="/xl/worksheets/sheet33504.xml"/>
  <Override ContentType="application/vnd.openxmlformats-officedocument.spreadsheetml.worksheet+xml" PartName="/xl/worksheets/sheet33505.xml"/>
  <Override ContentType="application/vnd.openxmlformats-officedocument.spreadsheetml.worksheet+xml" PartName="/xl/worksheets/sheet33506.xml"/>
  <Override ContentType="application/vnd.openxmlformats-officedocument.spreadsheetml.worksheet+xml" PartName="/xl/worksheets/sheet33507.xml"/>
  <Override ContentType="application/vnd.openxmlformats-officedocument.spreadsheetml.worksheet+xml" PartName="/xl/worksheets/sheet33508.xml"/>
  <Override ContentType="application/vnd.openxmlformats-officedocument.spreadsheetml.worksheet+xml" PartName="/xl/worksheets/sheet33509.xml"/>
  <Override ContentType="application/vnd.openxmlformats-officedocument.spreadsheetml.worksheet+xml" PartName="/xl/worksheets/sheet33510.xml"/>
  <Override ContentType="application/vnd.openxmlformats-officedocument.spreadsheetml.worksheet+xml" PartName="/xl/worksheets/sheet33511.xml"/>
  <Override ContentType="application/vnd.openxmlformats-officedocument.spreadsheetml.worksheet+xml" PartName="/xl/worksheets/sheet33512.xml"/>
  <Override ContentType="application/vnd.openxmlformats-officedocument.spreadsheetml.worksheet+xml" PartName="/xl/worksheets/sheet33513.xml"/>
  <Override ContentType="application/vnd.openxmlformats-officedocument.spreadsheetml.worksheet+xml" PartName="/xl/worksheets/sheet33514.xml"/>
  <Override ContentType="application/vnd.openxmlformats-officedocument.spreadsheetml.worksheet+xml" PartName="/xl/worksheets/sheet33515.xml"/>
  <Override ContentType="application/vnd.openxmlformats-officedocument.spreadsheetml.worksheet+xml" PartName="/xl/worksheets/sheet33516.xml"/>
  <Override ContentType="application/vnd.openxmlformats-officedocument.spreadsheetml.worksheet+xml" PartName="/xl/worksheets/sheet33517.xml"/>
  <Override ContentType="application/vnd.openxmlformats-officedocument.spreadsheetml.worksheet+xml" PartName="/xl/worksheets/sheet33518.xml"/>
  <Override ContentType="application/vnd.openxmlformats-officedocument.spreadsheetml.worksheet+xml" PartName="/xl/worksheets/sheet33519.xml"/>
  <Override ContentType="application/vnd.openxmlformats-officedocument.spreadsheetml.worksheet+xml" PartName="/xl/worksheets/sheet33520.xml"/>
  <Override ContentType="application/vnd.openxmlformats-officedocument.spreadsheetml.worksheet+xml" PartName="/xl/worksheets/sheet33521.xml"/>
  <Override ContentType="application/vnd.openxmlformats-officedocument.spreadsheetml.worksheet+xml" PartName="/xl/worksheets/sheet33522.xml"/>
  <Override ContentType="application/vnd.openxmlformats-officedocument.spreadsheetml.worksheet+xml" PartName="/xl/worksheets/sheet33523.xml"/>
  <Override ContentType="application/vnd.openxmlformats-officedocument.spreadsheetml.worksheet+xml" PartName="/xl/worksheets/sheet33524.xml"/>
  <Override ContentType="application/vnd.openxmlformats-officedocument.spreadsheetml.worksheet+xml" PartName="/xl/worksheets/sheet33525.xml"/>
  <Override ContentType="application/vnd.openxmlformats-officedocument.spreadsheetml.worksheet+xml" PartName="/xl/worksheets/sheet33526.xml"/>
  <Override ContentType="application/vnd.openxmlformats-officedocument.spreadsheetml.worksheet+xml" PartName="/xl/worksheets/sheet33527.xml"/>
  <Override ContentType="application/vnd.openxmlformats-officedocument.spreadsheetml.worksheet+xml" PartName="/xl/worksheets/sheet33528.xml"/>
  <Override ContentType="application/vnd.openxmlformats-officedocument.spreadsheetml.worksheet+xml" PartName="/xl/worksheets/sheet33529.xml"/>
  <Override ContentType="application/vnd.openxmlformats-officedocument.spreadsheetml.worksheet+xml" PartName="/xl/worksheets/sheet33530.xml"/>
  <Override ContentType="application/vnd.openxmlformats-officedocument.spreadsheetml.worksheet+xml" PartName="/xl/worksheets/sheet33531.xml"/>
  <Override ContentType="application/vnd.openxmlformats-officedocument.spreadsheetml.worksheet+xml" PartName="/xl/worksheets/sheet33532.xml"/>
  <Override ContentType="application/vnd.openxmlformats-officedocument.spreadsheetml.worksheet+xml" PartName="/xl/worksheets/sheet33533.xml"/>
  <Override ContentType="application/vnd.openxmlformats-officedocument.spreadsheetml.worksheet+xml" PartName="/xl/worksheets/sheet33534.xml"/>
  <Override ContentType="application/vnd.openxmlformats-officedocument.spreadsheetml.worksheet+xml" PartName="/xl/worksheets/sheet33535.xml"/>
  <Override ContentType="application/vnd.openxmlformats-officedocument.spreadsheetml.worksheet+xml" PartName="/xl/worksheets/sheet33536.xml"/>
  <Override ContentType="application/vnd.openxmlformats-officedocument.spreadsheetml.worksheet+xml" PartName="/xl/worksheets/sheet33537.xml"/>
  <Override ContentType="application/vnd.openxmlformats-officedocument.spreadsheetml.worksheet+xml" PartName="/xl/worksheets/sheet33538.xml"/>
  <Override ContentType="application/vnd.openxmlformats-officedocument.spreadsheetml.worksheet+xml" PartName="/xl/worksheets/sheet33539.xml"/>
  <Override ContentType="application/vnd.openxmlformats-officedocument.spreadsheetml.worksheet+xml" PartName="/xl/worksheets/sheet33540.xml"/>
  <Override ContentType="application/vnd.openxmlformats-officedocument.spreadsheetml.worksheet+xml" PartName="/xl/worksheets/sheet33541.xml"/>
  <Override ContentType="application/vnd.openxmlformats-officedocument.spreadsheetml.worksheet+xml" PartName="/xl/worksheets/sheet33542.xml"/>
  <Override ContentType="application/vnd.openxmlformats-officedocument.spreadsheetml.worksheet+xml" PartName="/xl/worksheets/sheet33543.xml"/>
  <Override ContentType="application/vnd.openxmlformats-officedocument.spreadsheetml.worksheet+xml" PartName="/xl/worksheets/sheet33544.xml"/>
  <Override ContentType="application/vnd.openxmlformats-officedocument.spreadsheetml.worksheet+xml" PartName="/xl/worksheets/sheet33545.xml"/>
  <Override ContentType="application/vnd.openxmlformats-officedocument.spreadsheetml.worksheet+xml" PartName="/xl/worksheets/sheet33546.xml"/>
  <Override ContentType="application/vnd.openxmlformats-officedocument.spreadsheetml.worksheet+xml" PartName="/xl/worksheets/sheet33547.xml"/>
  <Override ContentType="application/vnd.openxmlformats-officedocument.spreadsheetml.worksheet+xml" PartName="/xl/worksheets/sheet33548.xml"/>
  <Override ContentType="application/vnd.openxmlformats-officedocument.spreadsheetml.worksheet+xml" PartName="/xl/worksheets/sheet33549.xml"/>
  <Override ContentType="application/vnd.openxmlformats-officedocument.spreadsheetml.worksheet+xml" PartName="/xl/worksheets/sheet33550.xml"/>
  <Override ContentType="application/vnd.openxmlformats-officedocument.spreadsheetml.worksheet+xml" PartName="/xl/worksheets/sheet33551.xml"/>
  <Override ContentType="application/vnd.openxmlformats-officedocument.spreadsheetml.worksheet+xml" PartName="/xl/worksheets/sheet33552.xml"/>
  <Override ContentType="application/vnd.openxmlformats-officedocument.spreadsheetml.worksheet+xml" PartName="/xl/worksheets/sheet33553.xml"/>
  <Override ContentType="application/vnd.openxmlformats-officedocument.spreadsheetml.worksheet+xml" PartName="/xl/worksheets/sheet33554.xml"/>
  <Override ContentType="application/vnd.openxmlformats-officedocument.spreadsheetml.worksheet+xml" PartName="/xl/worksheets/sheet33555.xml"/>
  <Override ContentType="application/vnd.openxmlformats-officedocument.spreadsheetml.worksheet+xml" PartName="/xl/worksheets/sheet33556.xml"/>
  <Override ContentType="application/vnd.openxmlformats-officedocument.spreadsheetml.worksheet+xml" PartName="/xl/worksheets/sheet33557.xml"/>
  <Override ContentType="application/vnd.openxmlformats-officedocument.spreadsheetml.worksheet+xml" PartName="/xl/worksheets/sheet33558.xml"/>
  <Override ContentType="application/vnd.openxmlformats-officedocument.spreadsheetml.worksheet+xml" PartName="/xl/worksheets/sheet33559.xml"/>
  <Override ContentType="application/vnd.openxmlformats-officedocument.spreadsheetml.worksheet+xml" PartName="/xl/worksheets/sheet33560.xml"/>
  <Override ContentType="application/vnd.openxmlformats-officedocument.spreadsheetml.worksheet+xml" PartName="/xl/worksheets/sheet33561.xml"/>
  <Override ContentType="application/vnd.openxmlformats-officedocument.spreadsheetml.worksheet+xml" PartName="/xl/worksheets/sheet33562.xml"/>
  <Override ContentType="application/vnd.openxmlformats-officedocument.spreadsheetml.worksheet+xml" PartName="/xl/worksheets/sheet33563.xml"/>
  <Override ContentType="application/vnd.openxmlformats-officedocument.spreadsheetml.worksheet+xml" PartName="/xl/worksheets/sheet33564.xml"/>
  <Override ContentType="application/vnd.openxmlformats-officedocument.spreadsheetml.worksheet+xml" PartName="/xl/worksheets/sheet33565.xml"/>
  <Override ContentType="application/vnd.openxmlformats-officedocument.spreadsheetml.worksheet+xml" PartName="/xl/worksheets/sheet33566.xml"/>
  <Override ContentType="application/vnd.openxmlformats-officedocument.spreadsheetml.worksheet+xml" PartName="/xl/worksheets/sheet33567.xml"/>
  <Override ContentType="application/vnd.openxmlformats-officedocument.spreadsheetml.worksheet+xml" PartName="/xl/worksheets/sheet33568.xml"/>
  <Override ContentType="application/vnd.openxmlformats-officedocument.spreadsheetml.worksheet+xml" PartName="/xl/worksheets/sheet33569.xml"/>
  <Override ContentType="application/vnd.openxmlformats-officedocument.spreadsheetml.worksheet+xml" PartName="/xl/worksheets/sheet33570.xml"/>
  <Override ContentType="application/vnd.openxmlformats-officedocument.spreadsheetml.worksheet+xml" PartName="/xl/worksheets/sheet33571.xml"/>
  <Override ContentType="application/vnd.openxmlformats-officedocument.spreadsheetml.worksheet+xml" PartName="/xl/worksheets/sheet33572.xml"/>
  <Override ContentType="application/vnd.openxmlformats-officedocument.spreadsheetml.worksheet+xml" PartName="/xl/worksheets/sheet33573.xml"/>
  <Override ContentType="application/vnd.openxmlformats-officedocument.spreadsheetml.worksheet+xml" PartName="/xl/worksheets/sheet33574.xml"/>
  <Override ContentType="application/vnd.openxmlformats-officedocument.spreadsheetml.worksheet+xml" PartName="/xl/worksheets/sheet33575.xml"/>
  <Override ContentType="application/vnd.openxmlformats-officedocument.spreadsheetml.worksheet+xml" PartName="/xl/worksheets/sheet33576.xml"/>
  <Override ContentType="application/vnd.openxmlformats-officedocument.spreadsheetml.worksheet+xml" PartName="/xl/worksheets/sheet33577.xml"/>
  <Override ContentType="application/vnd.openxmlformats-officedocument.spreadsheetml.worksheet+xml" PartName="/xl/worksheets/sheet33578.xml"/>
  <Override ContentType="application/vnd.openxmlformats-officedocument.spreadsheetml.worksheet+xml" PartName="/xl/worksheets/sheet33579.xml"/>
  <Override ContentType="application/vnd.openxmlformats-officedocument.spreadsheetml.worksheet+xml" PartName="/xl/worksheets/sheet33580.xml"/>
  <Override ContentType="application/vnd.openxmlformats-officedocument.spreadsheetml.worksheet+xml" PartName="/xl/worksheets/sheet33581.xml"/>
  <Override ContentType="application/vnd.openxmlformats-officedocument.spreadsheetml.worksheet+xml" PartName="/xl/worksheets/sheet33582.xml"/>
  <Override ContentType="application/vnd.openxmlformats-officedocument.spreadsheetml.worksheet+xml" PartName="/xl/worksheets/sheet33583.xml"/>
  <Override ContentType="application/vnd.openxmlformats-officedocument.spreadsheetml.worksheet+xml" PartName="/xl/worksheets/sheet33584.xml"/>
  <Override ContentType="application/vnd.openxmlformats-officedocument.spreadsheetml.worksheet+xml" PartName="/xl/worksheets/sheet33585.xml"/>
  <Override ContentType="application/vnd.openxmlformats-officedocument.spreadsheetml.worksheet+xml" PartName="/xl/worksheets/sheet33586.xml"/>
  <Override ContentType="application/vnd.openxmlformats-officedocument.spreadsheetml.worksheet+xml" PartName="/xl/worksheets/sheet33587.xml"/>
  <Override ContentType="application/vnd.openxmlformats-officedocument.spreadsheetml.worksheet+xml" PartName="/xl/worksheets/sheet33588.xml"/>
  <Override ContentType="application/vnd.openxmlformats-officedocument.spreadsheetml.worksheet+xml" PartName="/xl/worksheets/sheet33589.xml"/>
  <Override ContentType="application/vnd.openxmlformats-officedocument.spreadsheetml.worksheet+xml" PartName="/xl/worksheets/sheet33590.xml"/>
  <Override ContentType="application/vnd.openxmlformats-officedocument.spreadsheetml.worksheet+xml" PartName="/xl/worksheets/sheet33591.xml"/>
  <Override ContentType="application/vnd.openxmlformats-officedocument.spreadsheetml.worksheet+xml" PartName="/xl/worksheets/sheet33592.xml"/>
  <Override ContentType="application/vnd.openxmlformats-officedocument.spreadsheetml.worksheet+xml" PartName="/xl/worksheets/sheet33593.xml"/>
  <Override ContentType="application/vnd.openxmlformats-officedocument.spreadsheetml.worksheet+xml" PartName="/xl/worksheets/sheet33594.xml"/>
  <Override ContentType="application/vnd.openxmlformats-officedocument.spreadsheetml.worksheet+xml" PartName="/xl/worksheets/sheet33595.xml"/>
  <Override ContentType="application/vnd.openxmlformats-officedocument.spreadsheetml.worksheet+xml" PartName="/xl/worksheets/sheet33596.xml"/>
  <Override ContentType="application/vnd.openxmlformats-officedocument.spreadsheetml.worksheet+xml" PartName="/xl/worksheets/sheet33597.xml"/>
  <Override ContentType="application/vnd.openxmlformats-officedocument.spreadsheetml.worksheet+xml" PartName="/xl/worksheets/sheet33598.xml"/>
  <Override ContentType="application/vnd.openxmlformats-officedocument.spreadsheetml.worksheet+xml" PartName="/xl/worksheets/sheet33599.xml"/>
  <Override ContentType="application/vnd.openxmlformats-officedocument.spreadsheetml.worksheet+xml" PartName="/xl/worksheets/sheet33600.xml"/>
  <Override ContentType="application/vnd.openxmlformats-officedocument.spreadsheetml.worksheet+xml" PartName="/xl/worksheets/sheet33601.xml"/>
  <Override ContentType="application/vnd.openxmlformats-officedocument.spreadsheetml.worksheet+xml" PartName="/xl/worksheets/sheet33602.xml"/>
  <Override ContentType="application/vnd.openxmlformats-officedocument.spreadsheetml.worksheet+xml" PartName="/xl/worksheets/sheet33603.xml"/>
  <Override ContentType="application/vnd.openxmlformats-officedocument.spreadsheetml.worksheet+xml" PartName="/xl/worksheets/sheet33604.xml"/>
  <Override ContentType="application/vnd.openxmlformats-officedocument.spreadsheetml.worksheet+xml" PartName="/xl/worksheets/sheet33605.xml"/>
  <Override ContentType="application/vnd.openxmlformats-officedocument.spreadsheetml.worksheet+xml" PartName="/xl/worksheets/sheet33606.xml"/>
  <Override ContentType="application/vnd.openxmlformats-officedocument.spreadsheetml.worksheet+xml" PartName="/xl/worksheets/sheet33607.xml"/>
  <Override ContentType="application/vnd.openxmlformats-officedocument.spreadsheetml.worksheet+xml" PartName="/xl/worksheets/sheet33608.xml"/>
  <Override ContentType="application/vnd.openxmlformats-officedocument.spreadsheetml.worksheet+xml" PartName="/xl/worksheets/sheet33609.xml"/>
  <Override ContentType="application/vnd.openxmlformats-officedocument.spreadsheetml.worksheet+xml" PartName="/xl/worksheets/sheet33610.xml"/>
  <Override ContentType="application/vnd.openxmlformats-officedocument.spreadsheetml.worksheet+xml" PartName="/xl/worksheets/sheet33611.xml"/>
  <Override ContentType="application/vnd.openxmlformats-officedocument.spreadsheetml.worksheet+xml" PartName="/xl/worksheets/sheet33612.xml"/>
  <Override ContentType="application/vnd.openxmlformats-officedocument.spreadsheetml.worksheet+xml" PartName="/xl/worksheets/sheet33613.xml"/>
  <Override ContentType="application/vnd.openxmlformats-officedocument.spreadsheetml.worksheet+xml" PartName="/xl/worksheets/sheet33614.xml"/>
  <Override ContentType="application/vnd.openxmlformats-officedocument.spreadsheetml.worksheet+xml" PartName="/xl/worksheets/sheet33615.xml"/>
  <Override ContentType="application/vnd.openxmlformats-officedocument.spreadsheetml.worksheet+xml" PartName="/xl/worksheets/sheet33616.xml"/>
  <Override ContentType="application/vnd.openxmlformats-officedocument.spreadsheetml.worksheet+xml" PartName="/xl/worksheets/sheet33617.xml"/>
  <Override ContentType="application/vnd.openxmlformats-officedocument.spreadsheetml.worksheet+xml" PartName="/xl/worksheets/sheet33618.xml"/>
  <Override ContentType="application/vnd.openxmlformats-officedocument.spreadsheetml.worksheet+xml" PartName="/xl/worksheets/sheet33619.xml"/>
  <Override ContentType="application/vnd.openxmlformats-officedocument.spreadsheetml.worksheet+xml" PartName="/xl/worksheets/sheet33620.xml"/>
  <Override ContentType="application/vnd.openxmlformats-officedocument.spreadsheetml.worksheet+xml" PartName="/xl/worksheets/sheet33621.xml"/>
  <Override ContentType="application/vnd.openxmlformats-officedocument.spreadsheetml.worksheet+xml" PartName="/xl/worksheets/sheet33622.xml"/>
  <Override ContentType="application/vnd.openxmlformats-officedocument.spreadsheetml.worksheet+xml" PartName="/xl/worksheets/sheet33623.xml"/>
  <Override ContentType="application/vnd.openxmlformats-officedocument.spreadsheetml.worksheet+xml" PartName="/xl/worksheets/sheet33624.xml"/>
  <Override ContentType="application/vnd.openxmlformats-officedocument.spreadsheetml.worksheet+xml" PartName="/xl/worksheets/sheet33625.xml"/>
  <Override ContentType="application/vnd.openxmlformats-officedocument.spreadsheetml.worksheet+xml" PartName="/xl/worksheets/sheet33626.xml"/>
  <Override ContentType="application/vnd.openxmlformats-officedocument.spreadsheetml.worksheet+xml" PartName="/xl/worksheets/sheet33627.xml"/>
  <Override ContentType="application/vnd.openxmlformats-officedocument.spreadsheetml.worksheet+xml" PartName="/xl/worksheets/sheet33628.xml"/>
  <Override ContentType="application/vnd.openxmlformats-officedocument.spreadsheetml.worksheet+xml" PartName="/xl/worksheets/sheet33629.xml"/>
  <Override ContentType="application/vnd.openxmlformats-officedocument.spreadsheetml.worksheet+xml" PartName="/xl/worksheets/sheet33630.xml"/>
  <Override ContentType="application/vnd.openxmlformats-officedocument.spreadsheetml.worksheet+xml" PartName="/xl/worksheets/sheet33631.xml"/>
  <Override ContentType="application/vnd.openxmlformats-officedocument.spreadsheetml.worksheet+xml" PartName="/xl/worksheets/sheet33632.xml"/>
  <Override ContentType="application/vnd.openxmlformats-officedocument.spreadsheetml.worksheet+xml" PartName="/xl/worksheets/sheet33633.xml"/>
  <Override ContentType="application/vnd.openxmlformats-officedocument.spreadsheetml.worksheet+xml" PartName="/xl/worksheets/sheet33634.xml"/>
  <Override ContentType="application/vnd.openxmlformats-officedocument.spreadsheetml.worksheet+xml" PartName="/xl/worksheets/sheet33635.xml"/>
  <Override ContentType="application/vnd.openxmlformats-officedocument.spreadsheetml.worksheet+xml" PartName="/xl/worksheets/sheet33636.xml"/>
  <Override ContentType="application/vnd.openxmlformats-officedocument.spreadsheetml.worksheet+xml" PartName="/xl/worksheets/sheet33637.xml"/>
  <Override ContentType="application/vnd.openxmlformats-officedocument.spreadsheetml.worksheet+xml" PartName="/xl/worksheets/sheet33638.xml"/>
  <Override ContentType="application/vnd.openxmlformats-officedocument.spreadsheetml.worksheet+xml" PartName="/xl/worksheets/sheet33639.xml"/>
  <Override ContentType="application/vnd.openxmlformats-officedocument.spreadsheetml.worksheet+xml" PartName="/xl/worksheets/sheet33640.xml"/>
  <Override ContentType="application/vnd.openxmlformats-officedocument.spreadsheetml.worksheet+xml" PartName="/xl/worksheets/sheet33641.xml"/>
  <Override ContentType="application/vnd.openxmlformats-officedocument.spreadsheetml.worksheet+xml" PartName="/xl/worksheets/sheet33642.xml"/>
  <Override ContentType="application/vnd.openxmlformats-officedocument.spreadsheetml.worksheet+xml" PartName="/xl/worksheets/sheet33643.xml"/>
  <Override ContentType="application/vnd.openxmlformats-officedocument.spreadsheetml.worksheet+xml" PartName="/xl/worksheets/sheet33644.xml"/>
  <Override ContentType="application/vnd.openxmlformats-officedocument.spreadsheetml.worksheet+xml" PartName="/xl/worksheets/sheet33645.xml"/>
  <Override ContentType="application/vnd.openxmlformats-officedocument.spreadsheetml.worksheet+xml" PartName="/xl/worksheets/sheet33646.xml"/>
  <Override ContentType="application/vnd.openxmlformats-officedocument.spreadsheetml.worksheet+xml" PartName="/xl/worksheets/sheet33647.xml"/>
  <Override ContentType="application/vnd.openxmlformats-officedocument.spreadsheetml.worksheet+xml" PartName="/xl/worksheets/sheet33648.xml"/>
  <Override ContentType="application/vnd.openxmlformats-officedocument.spreadsheetml.worksheet+xml" PartName="/xl/worksheets/sheet33649.xml"/>
  <Override ContentType="application/vnd.openxmlformats-officedocument.spreadsheetml.worksheet+xml" PartName="/xl/worksheets/sheet33650.xml"/>
  <Override ContentType="application/vnd.openxmlformats-officedocument.spreadsheetml.worksheet+xml" PartName="/xl/worksheets/sheet33651.xml"/>
  <Override ContentType="application/vnd.openxmlformats-officedocument.spreadsheetml.worksheet+xml" PartName="/xl/worksheets/sheet33652.xml"/>
  <Override ContentType="application/vnd.openxmlformats-officedocument.spreadsheetml.worksheet+xml" PartName="/xl/worksheets/sheet33653.xml"/>
  <Override ContentType="application/vnd.openxmlformats-officedocument.spreadsheetml.worksheet+xml" PartName="/xl/worksheets/sheet33654.xml"/>
  <Override ContentType="application/vnd.openxmlformats-officedocument.spreadsheetml.worksheet+xml" PartName="/xl/worksheets/sheet33655.xml"/>
  <Override ContentType="application/vnd.openxmlformats-officedocument.spreadsheetml.worksheet+xml" PartName="/xl/worksheets/sheet33656.xml"/>
  <Override ContentType="application/vnd.openxmlformats-officedocument.spreadsheetml.worksheet+xml" PartName="/xl/worksheets/sheet33657.xml"/>
  <Override ContentType="application/vnd.openxmlformats-officedocument.spreadsheetml.worksheet+xml" PartName="/xl/worksheets/sheet33658.xml"/>
  <Override ContentType="application/vnd.openxmlformats-officedocument.spreadsheetml.worksheet+xml" PartName="/xl/worksheets/sheet33659.xml"/>
  <Override ContentType="application/vnd.openxmlformats-officedocument.spreadsheetml.worksheet+xml" PartName="/xl/worksheets/sheet33660.xml"/>
  <Override ContentType="application/vnd.openxmlformats-officedocument.spreadsheetml.worksheet+xml" PartName="/xl/worksheets/sheet33661.xml"/>
  <Override ContentType="application/vnd.openxmlformats-officedocument.spreadsheetml.worksheet+xml" PartName="/xl/worksheets/sheet33662.xml"/>
  <Override ContentType="application/vnd.openxmlformats-officedocument.spreadsheetml.worksheet+xml" PartName="/xl/worksheets/sheet33663.xml"/>
  <Override ContentType="application/vnd.openxmlformats-officedocument.spreadsheetml.worksheet+xml" PartName="/xl/worksheets/sheet33664.xml"/>
  <Override ContentType="application/vnd.openxmlformats-officedocument.spreadsheetml.worksheet+xml" PartName="/xl/worksheets/sheet33665.xml"/>
  <Override ContentType="application/vnd.openxmlformats-officedocument.spreadsheetml.worksheet+xml" PartName="/xl/worksheets/sheet33666.xml"/>
  <Override ContentType="application/vnd.openxmlformats-officedocument.spreadsheetml.worksheet+xml" PartName="/xl/worksheets/sheet33667.xml"/>
  <Override ContentType="application/vnd.openxmlformats-officedocument.spreadsheetml.worksheet+xml" PartName="/xl/worksheets/sheet33668.xml"/>
  <Override ContentType="application/vnd.openxmlformats-officedocument.spreadsheetml.worksheet+xml" PartName="/xl/worksheets/sheet33669.xml"/>
  <Override ContentType="application/vnd.openxmlformats-officedocument.spreadsheetml.worksheet+xml" PartName="/xl/worksheets/sheet33670.xml"/>
  <Override ContentType="application/vnd.openxmlformats-officedocument.spreadsheetml.worksheet+xml" PartName="/xl/worksheets/sheet33671.xml"/>
  <Override ContentType="application/vnd.openxmlformats-officedocument.spreadsheetml.worksheet+xml" PartName="/xl/worksheets/sheet33672.xml"/>
  <Override ContentType="application/vnd.openxmlformats-officedocument.spreadsheetml.worksheet+xml" PartName="/xl/worksheets/sheet33673.xml"/>
  <Override ContentType="application/vnd.openxmlformats-officedocument.spreadsheetml.worksheet+xml" PartName="/xl/worksheets/sheet33674.xml"/>
  <Override ContentType="application/vnd.openxmlformats-officedocument.spreadsheetml.worksheet+xml" PartName="/xl/worksheets/sheet33675.xml"/>
  <Override ContentType="application/vnd.openxmlformats-officedocument.spreadsheetml.worksheet+xml" PartName="/xl/worksheets/sheet33676.xml"/>
  <Override ContentType="application/vnd.openxmlformats-officedocument.spreadsheetml.worksheet+xml" PartName="/xl/worksheets/sheet33677.xml"/>
  <Override ContentType="application/vnd.openxmlformats-officedocument.spreadsheetml.worksheet+xml" PartName="/xl/worksheets/sheet33678.xml"/>
  <Override ContentType="application/vnd.openxmlformats-officedocument.spreadsheetml.worksheet+xml" PartName="/xl/worksheets/sheet33679.xml"/>
  <Override ContentType="application/vnd.openxmlformats-officedocument.spreadsheetml.worksheet+xml" PartName="/xl/worksheets/sheet33680.xml"/>
  <Override ContentType="application/vnd.openxmlformats-officedocument.spreadsheetml.worksheet+xml" PartName="/xl/worksheets/sheet33681.xml"/>
  <Override ContentType="application/vnd.openxmlformats-officedocument.spreadsheetml.worksheet+xml" PartName="/xl/worksheets/sheet33682.xml"/>
  <Override ContentType="application/vnd.openxmlformats-officedocument.spreadsheetml.worksheet+xml" PartName="/xl/worksheets/sheet33683.xml"/>
  <Override ContentType="application/vnd.openxmlformats-officedocument.spreadsheetml.worksheet+xml" PartName="/xl/worksheets/sheet33684.xml"/>
  <Override ContentType="application/vnd.openxmlformats-officedocument.spreadsheetml.worksheet+xml" PartName="/xl/worksheets/sheet33685.xml"/>
  <Override ContentType="application/vnd.openxmlformats-officedocument.spreadsheetml.worksheet+xml" PartName="/xl/worksheets/sheet33686.xml"/>
  <Override ContentType="application/vnd.openxmlformats-officedocument.spreadsheetml.worksheet+xml" PartName="/xl/worksheets/sheet33687.xml"/>
  <Override ContentType="application/vnd.openxmlformats-officedocument.spreadsheetml.worksheet+xml" PartName="/xl/worksheets/sheet33688.xml"/>
  <Override ContentType="application/vnd.openxmlformats-officedocument.spreadsheetml.worksheet+xml" PartName="/xl/worksheets/sheet33689.xml"/>
  <Override ContentType="application/vnd.openxmlformats-officedocument.spreadsheetml.worksheet+xml" PartName="/xl/worksheets/sheet33690.xml"/>
  <Override ContentType="application/vnd.openxmlformats-officedocument.spreadsheetml.worksheet+xml" PartName="/xl/worksheets/sheet33691.xml"/>
  <Override ContentType="application/vnd.openxmlformats-officedocument.spreadsheetml.worksheet+xml" PartName="/xl/worksheets/sheet33692.xml"/>
  <Override ContentType="application/vnd.openxmlformats-officedocument.spreadsheetml.worksheet+xml" PartName="/xl/worksheets/sheet33693.xml"/>
  <Override ContentType="application/vnd.openxmlformats-officedocument.spreadsheetml.worksheet+xml" PartName="/xl/worksheets/sheet33694.xml"/>
  <Override ContentType="application/vnd.openxmlformats-officedocument.spreadsheetml.worksheet+xml" PartName="/xl/worksheets/sheet33695.xml"/>
  <Override ContentType="application/vnd.openxmlformats-officedocument.spreadsheetml.worksheet+xml" PartName="/xl/worksheets/sheet33696.xml"/>
  <Override ContentType="application/vnd.openxmlformats-officedocument.spreadsheetml.worksheet+xml" PartName="/xl/worksheets/sheet33697.xml"/>
  <Override ContentType="application/vnd.openxmlformats-officedocument.spreadsheetml.worksheet+xml" PartName="/xl/worksheets/sheet33698.xml"/>
  <Override ContentType="application/vnd.openxmlformats-officedocument.spreadsheetml.worksheet+xml" PartName="/xl/worksheets/sheet33699.xml"/>
  <Override ContentType="application/vnd.openxmlformats-officedocument.spreadsheetml.worksheet+xml" PartName="/xl/worksheets/sheet33700.xml"/>
  <Override ContentType="application/vnd.openxmlformats-officedocument.spreadsheetml.worksheet+xml" PartName="/xl/worksheets/sheet33701.xml"/>
  <Override ContentType="application/vnd.openxmlformats-officedocument.spreadsheetml.worksheet+xml" PartName="/xl/worksheets/sheet33702.xml"/>
  <Override ContentType="application/vnd.openxmlformats-officedocument.spreadsheetml.worksheet+xml" PartName="/xl/worksheets/sheet33703.xml"/>
  <Override ContentType="application/vnd.openxmlformats-officedocument.spreadsheetml.worksheet+xml" PartName="/xl/worksheets/sheet33704.xml"/>
  <Override ContentType="application/vnd.openxmlformats-officedocument.spreadsheetml.worksheet+xml" PartName="/xl/worksheets/sheet33705.xml"/>
  <Override ContentType="application/vnd.openxmlformats-officedocument.spreadsheetml.worksheet+xml" PartName="/xl/worksheets/sheet33706.xml"/>
  <Override ContentType="application/vnd.openxmlformats-officedocument.spreadsheetml.worksheet+xml" PartName="/xl/worksheets/sheet33707.xml"/>
  <Override ContentType="application/vnd.openxmlformats-officedocument.spreadsheetml.worksheet+xml" PartName="/xl/worksheets/sheet33708.xml"/>
  <Override ContentType="application/vnd.openxmlformats-officedocument.spreadsheetml.worksheet+xml" PartName="/xl/worksheets/sheet33709.xml"/>
  <Override ContentType="application/vnd.openxmlformats-officedocument.spreadsheetml.worksheet+xml" PartName="/xl/worksheets/sheet33710.xml"/>
  <Override ContentType="application/vnd.openxmlformats-officedocument.spreadsheetml.worksheet+xml" PartName="/xl/worksheets/sheet33711.xml"/>
  <Override ContentType="application/vnd.openxmlformats-officedocument.spreadsheetml.worksheet+xml" PartName="/xl/worksheets/sheet33712.xml"/>
  <Override ContentType="application/vnd.openxmlformats-officedocument.spreadsheetml.worksheet+xml" PartName="/xl/worksheets/sheet33713.xml"/>
  <Override ContentType="application/vnd.openxmlformats-officedocument.spreadsheetml.worksheet+xml" PartName="/xl/worksheets/sheet33714.xml"/>
  <Override ContentType="application/vnd.openxmlformats-officedocument.spreadsheetml.worksheet+xml" PartName="/xl/worksheets/sheet33715.xml"/>
  <Override ContentType="application/vnd.openxmlformats-officedocument.spreadsheetml.worksheet+xml" PartName="/xl/worksheets/sheet33716.xml"/>
  <Override ContentType="application/vnd.openxmlformats-officedocument.spreadsheetml.worksheet+xml" PartName="/xl/worksheets/sheet33717.xml"/>
  <Override ContentType="application/vnd.openxmlformats-officedocument.spreadsheetml.worksheet+xml" PartName="/xl/worksheets/sheet33718.xml"/>
  <Override ContentType="application/vnd.openxmlformats-officedocument.spreadsheetml.worksheet+xml" PartName="/xl/worksheets/sheet33719.xml"/>
  <Override ContentType="application/vnd.openxmlformats-officedocument.spreadsheetml.worksheet+xml" PartName="/xl/worksheets/sheet33720.xml"/>
  <Override ContentType="application/vnd.openxmlformats-officedocument.spreadsheetml.worksheet+xml" PartName="/xl/worksheets/sheet33721.xml"/>
  <Override ContentType="application/vnd.openxmlformats-officedocument.spreadsheetml.worksheet+xml" PartName="/xl/worksheets/sheet33722.xml"/>
  <Override ContentType="application/vnd.openxmlformats-officedocument.spreadsheetml.worksheet+xml" PartName="/xl/worksheets/sheet33723.xml"/>
  <Override ContentType="application/vnd.openxmlformats-officedocument.spreadsheetml.worksheet+xml" PartName="/xl/worksheets/sheet33724.xml"/>
  <Override ContentType="application/vnd.openxmlformats-officedocument.spreadsheetml.worksheet+xml" PartName="/xl/worksheets/sheet33725.xml"/>
  <Override ContentType="application/vnd.openxmlformats-officedocument.spreadsheetml.worksheet+xml" PartName="/xl/worksheets/sheet33726.xml"/>
  <Override ContentType="application/vnd.openxmlformats-officedocument.spreadsheetml.worksheet+xml" PartName="/xl/worksheets/sheet33727.xml"/>
  <Override ContentType="application/vnd.openxmlformats-officedocument.spreadsheetml.worksheet+xml" PartName="/xl/worksheets/sheet33728.xml"/>
  <Override ContentType="application/vnd.openxmlformats-officedocument.spreadsheetml.worksheet+xml" PartName="/xl/worksheets/sheet33729.xml"/>
  <Override ContentType="application/vnd.openxmlformats-officedocument.spreadsheetml.worksheet+xml" PartName="/xl/worksheets/sheet33730.xml"/>
  <Override ContentType="application/vnd.openxmlformats-officedocument.spreadsheetml.worksheet+xml" PartName="/xl/worksheets/sheet33731.xml"/>
  <Override ContentType="application/vnd.openxmlformats-officedocument.spreadsheetml.worksheet+xml" PartName="/xl/worksheets/sheet33732.xml"/>
  <Override ContentType="application/vnd.openxmlformats-officedocument.spreadsheetml.worksheet+xml" PartName="/xl/worksheets/sheet33733.xml"/>
  <Override ContentType="application/vnd.openxmlformats-officedocument.spreadsheetml.worksheet+xml" PartName="/xl/worksheets/sheet33734.xml"/>
  <Override ContentType="application/vnd.openxmlformats-officedocument.spreadsheetml.worksheet+xml" PartName="/xl/worksheets/sheet33735.xml"/>
  <Override ContentType="application/vnd.openxmlformats-officedocument.spreadsheetml.worksheet+xml" PartName="/xl/worksheets/sheet33736.xml"/>
  <Override ContentType="application/vnd.openxmlformats-officedocument.spreadsheetml.worksheet+xml" PartName="/xl/worksheets/sheet33737.xml"/>
  <Override ContentType="application/vnd.openxmlformats-officedocument.spreadsheetml.worksheet+xml" PartName="/xl/worksheets/sheet33738.xml"/>
  <Override ContentType="application/vnd.openxmlformats-officedocument.spreadsheetml.worksheet+xml" PartName="/xl/worksheets/sheet33739.xml"/>
  <Override ContentType="application/vnd.openxmlformats-officedocument.spreadsheetml.worksheet+xml" PartName="/xl/worksheets/sheet33740.xml"/>
  <Override ContentType="application/vnd.openxmlformats-officedocument.spreadsheetml.worksheet+xml" PartName="/xl/worksheets/sheet33741.xml"/>
  <Override ContentType="application/vnd.openxmlformats-officedocument.spreadsheetml.worksheet+xml" PartName="/xl/worksheets/sheet33742.xml"/>
  <Override ContentType="application/vnd.openxmlformats-officedocument.spreadsheetml.worksheet+xml" PartName="/xl/worksheets/sheet33743.xml"/>
  <Override ContentType="application/vnd.openxmlformats-officedocument.spreadsheetml.worksheet+xml" PartName="/xl/worksheets/sheet33744.xml"/>
  <Override ContentType="application/vnd.openxmlformats-officedocument.spreadsheetml.worksheet+xml" PartName="/xl/worksheets/sheet33745.xml"/>
  <Override ContentType="application/vnd.openxmlformats-officedocument.spreadsheetml.worksheet+xml" PartName="/xl/worksheets/sheet33746.xml"/>
  <Override ContentType="application/vnd.openxmlformats-officedocument.spreadsheetml.worksheet+xml" PartName="/xl/worksheets/sheet33747.xml"/>
  <Override ContentType="application/vnd.openxmlformats-officedocument.spreadsheetml.worksheet+xml" PartName="/xl/worksheets/sheet33748.xml"/>
  <Override ContentType="application/vnd.openxmlformats-officedocument.spreadsheetml.worksheet+xml" PartName="/xl/worksheets/sheet33749.xml"/>
  <Override ContentType="application/vnd.openxmlformats-officedocument.spreadsheetml.worksheet+xml" PartName="/xl/worksheets/sheet33750.xml"/>
  <Override ContentType="application/vnd.openxmlformats-officedocument.spreadsheetml.worksheet+xml" PartName="/xl/worksheets/sheet33751.xml"/>
  <Override ContentType="application/vnd.openxmlformats-officedocument.spreadsheetml.worksheet+xml" PartName="/xl/worksheets/sheet33752.xml"/>
  <Override ContentType="application/vnd.openxmlformats-officedocument.spreadsheetml.worksheet+xml" PartName="/xl/worksheets/sheet33753.xml"/>
  <Override ContentType="application/vnd.openxmlformats-officedocument.spreadsheetml.worksheet+xml" PartName="/xl/worksheets/sheet33754.xml"/>
  <Override ContentType="application/vnd.openxmlformats-officedocument.spreadsheetml.worksheet+xml" PartName="/xl/worksheets/sheet33755.xml"/>
  <Override ContentType="application/vnd.openxmlformats-officedocument.spreadsheetml.worksheet+xml" PartName="/xl/worksheets/sheet33756.xml"/>
  <Override ContentType="application/vnd.openxmlformats-officedocument.spreadsheetml.worksheet+xml" PartName="/xl/worksheets/sheet33757.xml"/>
  <Override ContentType="application/vnd.openxmlformats-officedocument.spreadsheetml.worksheet+xml" PartName="/xl/worksheets/sheet33758.xml"/>
  <Override ContentType="application/vnd.openxmlformats-officedocument.spreadsheetml.worksheet+xml" PartName="/xl/worksheets/sheet33759.xml"/>
  <Override ContentType="application/vnd.openxmlformats-officedocument.spreadsheetml.worksheet+xml" PartName="/xl/worksheets/sheet33760.xml"/>
  <Override ContentType="application/vnd.openxmlformats-officedocument.spreadsheetml.worksheet+xml" PartName="/xl/worksheets/sheet33761.xml"/>
  <Override ContentType="application/vnd.openxmlformats-officedocument.spreadsheetml.worksheet+xml" PartName="/xl/worksheets/sheet33762.xml"/>
  <Override ContentType="application/vnd.openxmlformats-officedocument.spreadsheetml.worksheet+xml" PartName="/xl/worksheets/sheet33763.xml"/>
  <Override ContentType="application/vnd.openxmlformats-officedocument.spreadsheetml.worksheet+xml" PartName="/xl/worksheets/sheet33764.xml"/>
  <Override ContentType="application/vnd.openxmlformats-officedocument.spreadsheetml.worksheet+xml" PartName="/xl/worksheets/sheet33765.xml"/>
  <Override ContentType="application/vnd.openxmlformats-officedocument.spreadsheetml.worksheet+xml" PartName="/xl/worksheets/sheet33766.xml"/>
  <Override ContentType="application/vnd.openxmlformats-officedocument.spreadsheetml.worksheet+xml" PartName="/xl/worksheets/sheet33767.xml"/>
  <Override ContentType="application/vnd.openxmlformats-officedocument.spreadsheetml.worksheet+xml" PartName="/xl/worksheets/sheet33768.xml"/>
  <Override ContentType="application/vnd.openxmlformats-officedocument.spreadsheetml.worksheet+xml" PartName="/xl/worksheets/sheet33769.xml"/>
  <Override ContentType="application/vnd.openxmlformats-officedocument.spreadsheetml.worksheet+xml" PartName="/xl/worksheets/sheet33770.xml"/>
  <Override ContentType="application/vnd.openxmlformats-officedocument.spreadsheetml.worksheet+xml" PartName="/xl/worksheets/sheet33771.xml"/>
  <Override ContentType="application/vnd.openxmlformats-officedocument.spreadsheetml.worksheet+xml" PartName="/xl/worksheets/sheet33772.xml"/>
  <Override ContentType="application/vnd.openxmlformats-officedocument.spreadsheetml.worksheet+xml" PartName="/xl/worksheets/sheet33773.xml"/>
  <Override ContentType="application/vnd.openxmlformats-officedocument.spreadsheetml.worksheet+xml" PartName="/xl/worksheets/sheet33774.xml"/>
  <Override ContentType="application/vnd.openxmlformats-officedocument.spreadsheetml.worksheet+xml" PartName="/xl/worksheets/sheet33775.xml"/>
  <Override ContentType="application/vnd.openxmlformats-officedocument.spreadsheetml.worksheet+xml" PartName="/xl/worksheets/sheet33776.xml"/>
  <Override ContentType="application/vnd.openxmlformats-officedocument.spreadsheetml.worksheet+xml" PartName="/xl/worksheets/sheet33777.xml"/>
  <Override ContentType="application/vnd.openxmlformats-officedocument.spreadsheetml.worksheet+xml" PartName="/xl/worksheets/sheet33778.xml"/>
  <Override ContentType="application/vnd.openxmlformats-officedocument.spreadsheetml.worksheet+xml" PartName="/xl/worksheets/sheet33779.xml"/>
  <Override ContentType="application/vnd.openxmlformats-officedocument.spreadsheetml.worksheet+xml" PartName="/xl/worksheets/sheet33780.xml"/>
  <Override ContentType="application/vnd.openxmlformats-officedocument.spreadsheetml.worksheet+xml" PartName="/xl/worksheets/sheet33781.xml"/>
  <Override ContentType="application/vnd.openxmlformats-officedocument.spreadsheetml.worksheet+xml" PartName="/xl/worksheets/sheet33782.xml"/>
  <Override ContentType="application/vnd.openxmlformats-officedocument.spreadsheetml.worksheet+xml" PartName="/xl/worksheets/sheet33783.xml"/>
  <Override ContentType="application/vnd.openxmlformats-officedocument.spreadsheetml.worksheet+xml" PartName="/xl/worksheets/sheet33784.xml"/>
  <Override ContentType="application/vnd.openxmlformats-officedocument.spreadsheetml.worksheet+xml" PartName="/xl/worksheets/sheet33785.xml"/>
  <Override ContentType="application/vnd.openxmlformats-officedocument.spreadsheetml.worksheet+xml" PartName="/xl/worksheets/sheet33786.xml"/>
  <Override ContentType="application/vnd.openxmlformats-officedocument.spreadsheetml.worksheet+xml" PartName="/xl/worksheets/sheet33787.xml"/>
  <Override ContentType="application/vnd.openxmlformats-officedocument.spreadsheetml.worksheet+xml" PartName="/xl/worksheets/sheet33788.xml"/>
  <Override ContentType="application/vnd.openxmlformats-officedocument.spreadsheetml.worksheet+xml" PartName="/xl/worksheets/sheet33789.xml"/>
  <Override ContentType="application/vnd.openxmlformats-officedocument.spreadsheetml.worksheet+xml" PartName="/xl/worksheets/sheet33790.xml"/>
  <Override ContentType="application/vnd.openxmlformats-officedocument.spreadsheetml.worksheet+xml" PartName="/xl/worksheets/sheet33791.xml"/>
  <Override ContentType="application/vnd.openxmlformats-officedocument.spreadsheetml.worksheet+xml" PartName="/xl/worksheets/sheet33792.xml"/>
  <Override ContentType="application/vnd.openxmlformats-officedocument.spreadsheetml.worksheet+xml" PartName="/xl/worksheets/sheet33793.xml"/>
  <Override ContentType="application/vnd.openxmlformats-officedocument.spreadsheetml.worksheet+xml" PartName="/xl/worksheets/sheet33794.xml"/>
  <Override ContentType="application/vnd.openxmlformats-officedocument.spreadsheetml.worksheet+xml" PartName="/xl/worksheets/sheet33795.xml"/>
  <Override ContentType="application/vnd.openxmlformats-officedocument.spreadsheetml.worksheet+xml" PartName="/xl/worksheets/sheet33796.xml"/>
  <Override ContentType="application/vnd.openxmlformats-officedocument.spreadsheetml.worksheet+xml" PartName="/xl/worksheets/sheet33797.xml"/>
  <Override ContentType="application/vnd.openxmlformats-officedocument.spreadsheetml.worksheet+xml" PartName="/xl/worksheets/sheet33798.xml"/>
  <Override ContentType="application/vnd.openxmlformats-officedocument.spreadsheetml.worksheet+xml" PartName="/xl/worksheets/sheet33799.xml"/>
  <Override ContentType="application/vnd.openxmlformats-officedocument.spreadsheetml.worksheet+xml" PartName="/xl/worksheets/sheet33800.xml"/>
  <Override ContentType="application/vnd.openxmlformats-officedocument.spreadsheetml.worksheet+xml" PartName="/xl/worksheets/sheet33801.xml"/>
  <Override ContentType="application/vnd.openxmlformats-officedocument.spreadsheetml.worksheet+xml" PartName="/xl/worksheets/sheet33802.xml"/>
  <Override ContentType="application/vnd.openxmlformats-officedocument.spreadsheetml.worksheet+xml" PartName="/xl/worksheets/sheet33803.xml"/>
  <Override ContentType="application/vnd.openxmlformats-officedocument.spreadsheetml.worksheet+xml" PartName="/xl/worksheets/sheet33804.xml"/>
  <Override ContentType="application/vnd.openxmlformats-officedocument.spreadsheetml.worksheet+xml" PartName="/xl/worksheets/sheet33805.xml"/>
  <Override ContentType="application/vnd.openxmlformats-officedocument.spreadsheetml.worksheet+xml" PartName="/xl/worksheets/sheet33806.xml"/>
  <Override ContentType="application/vnd.openxmlformats-officedocument.spreadsheetml.worksheet+xml" PartName="/xl/worksheets/sheet33807.xml"/>
  <Override ContentType="application/vnd.openxmlformats-officedocument.spreadsheetml.worksheet+xml" PartName="/xl/worksheets/sheet33808.xml"/>
  <Override ContentType="application/vnd.openxmlformats-officedocument.spreadsheetml.worksheet+xml" PartName="/xl/worksheets/sheet33809.xml"/>
  <Override ContentType="application/vnd.openxmlformats-officedocument.spreadsheetml.worksheet+xml" PartName="/xl/worksheets/sheet33810.xml"/>
  <Override ContentType="application/vnd.openxmlformats-officedocument.spreadsheetml.worksheet+xml" PartName="/xl/worksheets/sheet33811.xml"/>
  <Override ContentType="application/vnd.openxmlformats-officedocument.spreadsheetml.worksheet+xml" PartName="/xl/worksheets/sheet33812.xml"/>
  <Override ContentType="application/vnd.openxmlformats-officedocument.spreadsheetml.worksheet+xml" PartName="/xl/worksheets/sheet33813.xml"/>
  <Override ContentType="application/vnd.openxmlformats-officedocument.spreadsheetml.worksheet+xml" PartName="/xl/worksheets/sheet33814.xml"/>
  <Override ContentType="application/vnd.openxmlformats-officedocument.spreadsheetml.worksheet+xml" PartName="/xl/worksheets/sheet33815.xml"/>
  <Override ContentType="application/vnd.openxmlformats-officedocument.spreadsheetml.worksheet+xml" PartName="/xl/worksheets/sheet33816.xml"/>
  <Override ContentType="application/vnd.openxmlformats-officedocument.spreadsheetml.worksheet+xml" PartName="/xl/worksheets/sheet33817.xml"/>
  <Override ContentType="application/vnd.openxmlformats-officedocument.spreadsheetml.worksheet+xml" PartName="/xl/worksheets/sheet33818.xml"/>
  <Override ContentType="application/vnd.openxmlformats-officedocument.spreadsheetml.worksheet+xml" PartName="/xl/worksheets/sheet33819.xml"/>
  <Override ContentType="application/vnd.openxmlformats-officedocument.spreadsheetml.worksheet+xml" PartName="/xl/worksheets/sheet33820.xml"/>
  <Override ContentType="application/vnd.openxmlformats-officedocument.spreadsheetml.worksheet+xml" PartName="/xl/worksheets/sheet33821.xml"/>
  <Override ContentType="application/vnd.openxmlformats-officedocument.spreadsheetml.worksheet+xml" PartName="/xl/worksheets/sheet33822.xml"/>
  <Override ContentType="application/vnd.openxmlformats-officedocument.spreadsheetml.worksheet+xml" PartName="/xl/worksheets/sheet33823.xml"/>
  <Override ContentType="application/vnd.openxmlformats-officedocument.spreadsheetml.worksheet+xml" PartName="/xl/worksheets/sheet33824.xml"/>
  <Override ContentType="application/vnd.openxmlformats-officedocument.spreadsheetml.worksheet+xml" PartName="/xl/worksheets/sheet33825.xml"/>
  <Override ContentType="application/vnd.openxmlformats-officedocument.spreadsheetml.worksheet+xml" PartName="/xl/worksheets/sheet33826.xml"/>
  <Override ContentType="application/vnd.openxmlformats-officedocument.spreadsheetml.worksheet+xml" PartName="/xl/worksheets/sheet33827.xml"/>
  <Override ContentType="application/vnd.openxmlformats-officedocument.spreadsheetml.worksheet+xml" PartName="/xl/worksheets/sheet33828.xml"/>
  <Override ContentType="application/vnd.openxmlformats-officedocument.spreadsheetml.worksheet+xml" PartName="/xl/worksheets/sheet33829.xml"/>
  <Override ContentType="application/vnd.openxmlformats-officedocument.spreadsheetml.worksheet+xml" PartName="/xl/worksheets/sheet33830.xml"/>
  <Override ContentType="application/vnd.openxmlformats-officedocument.spreadsheetml.worksheet+xml" PartName="/xl/worksheets/sheet33831.xml"/>
  <Override ContentType="application/vnd.openxmlformats-officedocument.spreadsheetml.worksheet+xml" PartName="/xl/worksheets/sheet33832.xml"/>
  <Override ContentType="application/vnd.openxmlformats-officedocument.spreadsheetml.worksheet+xml" PartName="/xl/worksheets/sheet33833.xml"/>
  <Override ContentType="application/vnd.openxmlformats-officedocument.spreadsheetml.worksheet+xml" PartName="/xl/worksheets/sheet33834.xml"/>
  <Override ContentType="application/vnd.openxmlformats-officedocument.spreadsheetml.worksheet+xml" PartName="/xl/worksheets/sheet33835.xml"/>
  <Override ContentType="application/vnd.openxmlformats-officedocument.spreadsheetml.worksheet+xml" PartName="/xl/worksheets/sheet33836.xml"/>
  <Override ContentType="application/vnd.openxmlformats-officedocument.spreadsheetml.worksheet+xml" PartName="/xl/worksheets/sheet33837.xml"/>
  <Override ContentType="application/vnd.openxmlformats-officedocument.spreadsheetml.worksheet+xml" PartName="/xl/worksheets/sheet33838.xml"/>
  <Override ContentType="application/vnd.openxmlformats-officedocument.spreadsheetml.worksheet+xml" PartName="/xl/worksheets/sheet33839.xml"/>
  <Override ContentType="application/vnd.openxmlformats-officedocument.spreadsheetml.worksheet+xml" PartName="/xl/worksheets/sheet33840.xml"/>
  <Override ContentType="application/vnd.openxmlformats-officedocument.spreadsheetml.worksheet+xml" PartName="/xl/worksheets/sheet33841.xml"/>
  <Override ContentType="application/vnd.openxmlformats-officedocument.spreadsheetml.worksheet+xml" PartName="/xl/worksheets/sheet33842.xml"/>
  <Override ContentType="application/vnd.openxmlformats-officedocument.spreadsheetml.worksheet+xml" PartName="/xl/worksheets/sheet33843.xml"/>
  <Override ContentType="application/vnd.openxmlformats-officedocument.spreadsheetml.worksheet+xml" PartName="/xl/worksheets/sheet33844.xml"/>
  <Override ContentType="application/vnd.openxmlformats-officedocument.spreadsheetml.worksheet+xml" PartName="/xl/worksheets/sheet33845.xml"/>
  <Override ContentType="application/vnd.openxmlformats-officedocument.spreadsheetml.worksheet+xml" PartName="/xl/worksheets/sheet33846.xml"/>
  <Override ContentType="application/vnd.openxmlformats-officedocument.spreadsheetml.worksheet+xml" PartName="/xl/worksheets/sheet33847.xml"/>
  <Override ContentType="application/vnd.openxmlformats-officedocument.spreadsheetml.worksheet+xml" PartName="/xl/worksheets/sheet33848.xml"/>
  <Override ContentType="application/vnd.openxmlformats-officedocument.spreadsheetml.worksheet+xml" PartName="/xl/worksheets/sheet33849.xml"/>
  <Override ContentType="application/vnd.openxmlformats-officedocument.spreadsheetml.worksheet+xml" PartName="/xl/worksheets/sheet33850.xml"/>
  <Override ContentType="application/vnd.openxmlformats-officedocument.spreadsheetml.worksheet+xml" PartName="/xl/worksheets/sheet33851.xml"/>
  <Override ContentType="application/vnd.openxmlformats-officedocument.spreadsheetml.worksheet+xml" PartName="/xl/worksheets/sheet33852.xml"/>
  <Override ContentType="application/vnd.openxmlformats-officedocument.spreadsheetml.worksheet+xml" PartName="/xl/worksheets/sheet33853.xml"/>
  <Override ContentType="application/vnd.openxmlformats-officedocument.spreadsheetml.worksheet+xml" PartName="/xl/worksheets/sheet33854.xml"/>
  <Override ContentType="application/vnd.openxmlformats-officedocument.spreadsheetml.worksheet+xml" PartName="/xl/worksheets/sheet33855.xml"/>
  <Override ContentType="application/vnd.openxmlformats-officedocument.spreadsheetml.worksheet+xml" PartName="/xl/worksheets/sheet33856.xml"/>
  <Override ContentType="application/vnd.openxmlformats-officedocument.spreadsheetml.worksheet+xml" PartName="/xl/worksheets/sheet33857.xml"/>
  <Override ContentType="application/vnd.openxmlformats-officedocument.spreadsheetml.worksheet+xml" PartName="/xl/worksheets/sheet33858.xml"/>
  <Override ContentType="application/vnd.openxmlformats-officedocument.spreadsheetml.worksheet+xml" PartName="/xl/worksheets/sheet33859.xml"/>
  <Override ContentType="application/vnd.openxmlformats-officedocument.spreadsheetml.worksheet+xml" PartName="/xl/worksheets/sheet33860.xml"/>
  <Override ContentType="application/vnd.openxmlformats-officedocument.spreadsheetml.worksheet+xml" PartName="/xl/worksheets/sheet33861.xml"/>
  <Override ContentType="application/vnd.openxmlformats-officedocument.spreadsheetml.worksheet+xml" PartName="/xl/worksheets/sheet33862.xml"/>
  <Override ContentType="application/vnd.openxmlformats-officedocument.spreadsheetml.worksheet+xml" PartName="/xl/worksheets/sheet33863.xml"/>
  <Override ContentType="application/vnd.openxmlformats-officedocument.spreadsheetml.worksheet+xml" PartName="/xl/worksheets/sheet33864.xml"/>
  <Override ContentType="application/vnd.openxmlformats-officedocument.spreadsheetml.worksheet+xml" PartName="/xl/worksheets/sheet33865.xml"/>
  <Override ContentType="application/vnd.openxmlformats-officedocument.spreadsheetml.worksheet+xml" PartName="/xl/worksheets/sheet33866.xml"/>
  <Override ContentType="application/vnd.openxmlformats-officedocument.spreadsheetml.worksheet+xml" PartName="/xl/worksheets/sheet33867.xml"/>
  <Override ContentType="application/vnd.openxmlformats-officedocument.spreadsheetml.worksheet+xml" PartName="/xl/worksheets/sheet33868.xml"/>
  <Override ContentType="application/vnd.openxmlformats-officedocument.spreadsheetml.worksheet+xml" PartName="/xl/worksheets/sheet33869.xml"/>
  <Override ContentType="application/vnd.openxmlformats-officedocument.spreadsheetml.worksheet+xml" PartName="/xl/worksheets/sheet33870.xml"/>
  <Override ContentType="application/vnd.openxmlformats-officedocument.spreadsheetml.worksheet+xml" PartName="/xl/worksheets/sheet33871.xml"/>
  <Override ContentType="application/vnd.openxmlformats-officedocument.spreadsheetml.worksheet+xml" PartName="/xl/worksheets/sheet33872.xml"/>
  <Override ContentType="application/vnd.openxmlformats-officedocument.spreadsheetml.worksheet+xml" PartName="/xl/worksheets/sheet33873.xml"/>
  <Override ContentType="application/vnd.openxmlformats-officedocument.spreadsheetml.worksheet+xml" PartName="/xl/worksheets/sheet33874.xml"/>
  <Override ContentType="application/vnd.openxmlformats-officedocument.spreadsheetml.worksheet+xml" PartName="/xl/worksheets/sheet33875.xml"/>
  <Override ContentType="application/vnd.openxmlformats-officedocument.spreadsheetml.worksheet+xml" PartName="/xl/worksheets/sheet33876.xml"/>
  <Override ContentType="application/vnd.openxmlformats-officedocument.spreadsheetml.worksheet+xml" PartName="/xl/worksheets/sheet33877.xml"/>
  <Override ContentType="application/vnd.openxmlformats-officedocument.spreadsheetml.worksheet+xml" PartName="/xl/worksheets/sheet33878.xml"/>
  <Override ContentType="application/vnd.openxmlformats-officedocument.spreadsheetml.worksheet+xml" PartName="/xl/worksheets/sheet33879.xml"/>
  <Override ContentType="application/vnd.openxmlformats-officedocument.spreadsheetml.worksheet+xml" PartName="/xl/worksheets/sheet33880.xml"/>
  <Override ContentType="application/vnd.openxmlformats-officedocument.spreadsheetml.worksheet+xml" PartName="/xl/worksheets/sheet33881.xml"/>
  <Override ContentType="application/vnd.openxmlformats-officedocument.spreadsheetml.worksheet+xml" PartName="/xl/worksheets/sheet33882.xml"/>
  <Override ContentType="application/vnd.openxmlformats-officedocument.spreadsheetml.worksheet+xml" PartName="/xl/worksheets/sheet33883.xml"/>
  <Override ContentType="application/vnd.openxmlformats-officedocument.spreadsheetml.worksheet+xml" PartName="/xl/worksheets/sheet33884.xml"/>
  <Override ContentType="application/vnd.openxmlformats-officedocument.spreadsheetml.worksheet+xml" PartName="/xl/worksheets/sheet33885.xml"/>
  <Override ContentType="application/vnd.openxmlformats-officedocument.spreadsheetml.worksheet+xml" PartName="/xl/worksheets/sheet33886.xml"/>
  <Override ContentType="application/vnd.openxmlformats-officedocument.spreadsheetml.worksheet+xml" PartName="/xl/worksheets/sheet33887.xml"/>
  <Override ContentType="application/vnd.openxmlformats-officedocument.spreadsheetml.worksheet+xml" PartName="/xl/worksheets/sheet33888.xml"/>
  <Override ContentType="application/vnd.openxmlformats-officedocument.spreadsheetml.worksheet+xml" PartName="/xl/worksheets/sheet33889.xml"/>
  <Override ContentType="application/vnd.openxmlformats-officedocument.spreadsheetml.worksheet+xml" PartName="/xl/worksheets/sheet33890.xml"/>
  <Override ContentType="application/vnd.openxmlformats-officedocument.spreadsheetml.worksheet+xml" PartName="/xl/worksheets/sheet33891.xml"/>
  <Override ContentType="application/vnd.openxmlformats-officedocument.spreadsheetml.worksheet+xml" PartName="/xl/worksheets/sheet33892.xml"/>
  <Override ContentType="application/vnd.openxmlformats-officedocument.spreadsheetml.worksheet+xml" PartName="/xl/worksheets/sheet33893.xml"/>
  <Override ContentType="application/vnd.openxmlformats-officedocument.spreadsheetml.worksheet+xml" PartName="/xl/worksheets/sheet33894.xml"/>
  <Override ContentType="application/vnd.openxmlformats-officedocument.spreadsheetml.worksheet+xml" PartName="/xl/worksheets/sheet33895.xml"/>
  <Override ContentType="application/vnd.openxmlformats-officedocument.spreadsheetml.worksheet+xml" PartName="/xl/worksheets/sheet33896.xml"/>
  <Override ContentType="application/vnd.openxmlformats-officedocument.spreadsheetml.worksheet+xml" PartName="/xl/worksheets/sheet33897.xml"/>
  <Override ContentType="application/vnd.openxmlformats-officedocument.spreadsheetml.worksheet+xml" PartName="/xl/worksheets/sheet33898.xml"/>
  <Override ContentType="application/vnd.openxmlformats-officedocument.spreadsheetml.worksheet+xml" PartName="/xl/worksheets/sheet33899.xml"/>
  <Override ContentType="application/vnd.openxmlformats-officedocument.spreadsheetml.worksheet+xml" PartName="/xl/worksheets/sheet33900.xml"/>
  <Override ContentType="application/vnd.openxmlformats-officedocument.spreadsheetml.worksheet+xml" PartName="/xl/worksheets/sheet33901.xml"/>
  <Override ContentType="application/vnd.openxmlformats-officedocument.spreadsheetml.worksheet+xml" PartName="/xl/worksheets/sheet33902.xml"/>
  <Override ContentType="application/vnd.openxmlformats-officedocument.spreadsheetml.worksheet+xml" PartName="/xl/worksheets/sheet33903.xml"/>
  <Override ContentType="application/vnd.openxmlformats-officedocument.spreadsheetml.worksheet+xml" PartName="/xl/worksheets/sheet33904.xml"/>
  <Override ContentType="application/vnd.openxmlformats-officedocument.spreadsheetml.worksheet+xml" PartName="/xl/worksheets/sheet33905.xml"/>
  <Override ContentType="application/vnd.openxmlformats-officedocument.spreadsheetml.worksheet+xml" PartName="/xl/worksheets/sheet33906.xml"/>
  <Override ContentType="application/vnd.openxmlformats-officedocument.spreadsheetml.worksheet+xml" PartName="/xl/worksheets/sheet33907.xml"/>
  <Override ContentType="application/vnd.openxmlformats-officedocument.spreadsheetml.worksheet+xml" PartName="/xl/worksheets/sheet33908.xml"/>
  <Override ContentType="application/vnd.openxmlformats-officedocument.spreadsheetml.worksheet+xml" PartName="/xl/worksheets/sheet33909.xml"/>
  <Override ContentType="application/vnd.openxmlformats-officedocument.spreadsheetml.worksheet+xml" PartName="/xl/worksheets/sheet33910.xml"/>
  <Override ContentType="application/vnd.openxmlformats-officedocument.spreadsheetml.worksheet+xml" PartName="/xl/worksheets/sheet33911.xml"/>
  <Override ContentType="application/vnd.openxmlformats-officedocument.spreadsheetml.worksheet+xml" PartName="/xl/worksheets/sheet33912.xml"/>
  <Override ContentType="application/vnd.openxmlformats-officedocument.spreadsheetml.worksheet+xml" PartName="/xl/worksheets/sheet33913.xml"/>
  <Override ContentType="application/vnd.openxmlformats-officedocument.spreadsheetml.worksheet+xml" PartName="/xl/worksheets/sheet33914.xml"/>
  <Override ContentType="application/vnd.openxmlformats-officedocument.spreadsheetml.worksheet+xml" PartName="/xl/worksheets/sheet33915.xml"/>
  <Override ContentType="application/vnd.openxmlformats-officedocument.spreadsheetml.worksheet+xml" PartName="/xl/worksheets/sheet33916.xml"/>
  <Override ContentType="application/vnd.openxmlformats-officedocument.spreadsheetml.worksheet+xml" PartName="/xl/worksheets/sheet33917.xml"/>
  <Override ContentType="application/vnd.openxmlformats-officedocument.spreadsheetml.worksheet+xml" PartName="/xl/worksheets/sheet33918.xml"/>
  <Override ContentType="application/vnd.openxmlformats-officedocument.spreadsheetml.worksheet+xml" PartName="/xl/worksheets/sheet33919.xml"/>
  <Override ContentType="application/vnd.openxmlformats-officedocument.spreadsheetml.worksheet+xml" PartName="/xl/worksheets/sheet33920.xml"/>
  <Override ContentType="application/vnd.openxmlformats-officedocument.spreadsheetml.worksheet+xml" PartName="/xl/worksheets/sheet33921.xml"/>
  <Override ContentType="application/vnd.openxmlformats-officedocument.spreadsheetml.worksheet+xml" PartName="/xl/worksheets/sheet33922.xml"/>
  <Override ContentType="application/vnd.openxmlformats-officedocument.spreadsheetml.worksheet+xml" PartName="/xl/worksheets/sheet33923.xml"/>
  <Override ContentType="application/vnd.openxmlformats-officedocument.spreadsheetml.worksheet+xml" PartName="/xl/worksheets/sheet33924.xml"/>
  <Override ContentType="application/vnd.openxmlformats-officedocument.spreadsheetml.worksheet+xml" PartName="/xl/worksheets/sheet33925.xml"/>
  <Override ContentType="application/vnd.openxmlformats-officedocument.spreadsheetml.worksheet+xml" PartName="/xl/worksheets/sheet33926.xml"/>
  <Override ContentType="application/vnd.openxmlformats-officedocument.spreadsheetml.worksheet+xml" PartName="/xl/worksheets/sheet33927.xml"/>
  <Override ContentType="application/vnd.openxmlformats-officedocument.spreadsheetml.worksheet+xml" PartName="/xl/worksheets/sheet33928.xml"/>
  <Override ContentType="application/vnd.openxmlformats-officedocument.spreadsheetml.worksheet+xml" PartName="/xl/worksheets/sheet33929.xml"/>
  <Override ContentType="application/vnd.openxmlformats-officedocument.spreadsheetml.worksheet+xml" PartName="/xl/worksheets/sheet33930.xml"/>
  <Override ContentType="application/vnd.openxmlformats-officedocument.spreadsheetml.worksheet+xml" PartName="/xl/worksheets/sheet33931.xml"/>
  <Override ContentType="application/vnd.openxmlformats-officedocument.spreadsheetml.worksheet+xml" PartName="/xl/worksheets/sheet33932.xml"/>
  <Override ContentType="application/vnd.openxmlformats-officedocument.spreadsheetml.worksheet+xml" PartName="/xl/worksheets/sheet33933.xml"/>
  <Override ContentType="application/vnd.openxmlformats-officedocument.spreadsheetml.worksheet+xml" PartName="/xl/worksheets/sheet33934.xml"/>
  <Override ContentType="application/vnd.openxmlformats-officedocument.spreadsheetml.worksheet+xml" PartName="/xl/worksheets/sheet33935.xml"/>
  <Override ContentType="application/vnd.openxmlformats-officedocument.spreadsheetml.worksheet+xml" PartName="/xl/worksheets/sheet33936.xml"/>
  <Override ContentType="application/vnd.openxmlformats-officedocument.spreadsheetml.worksheet+xml" PartName="/xl/worksheets/sheet33937.xml"/>
  <Override ContentType="application/vnd.openxmlformats-officedocument.spreadsheetml.worksheet+xml" PartName="/xl/worksheets/sheet33938.xml"/>
  <Override ContentType="application/vnd.openxmlformats-officedocument.spreadsheetml.worksheet+xml" PartName="/xl/worksheets/sheet33939.xml"/>
  <Override ContentType="application/vnd.openxmlformats-officedocument.spreadsheetml.worksheet+xml" PartName="/xl/worksheets/sheet33940.xml"/>
  <Override ContentType="application/vnd.openxmlformats-officedocument.spreadsheetml.worksheet+xml" PartName="/xl/worksheets/sheet33941.xml"/>
  <Override ContentType="application/vnd.openxmlformats-officedocument.spreadsheetml.worksheet+xml" PartName="/xl/worksheets/sheet33942.xml"/>
  <Override ContentType="application/vnd.openxmlformats-officedocument.spreadsheetml.worksheet+xml" PartName="/xl/worksheets/sheet33943.xml"/>
  <Override ContentType="application/vnd.openxmlformats-officedocument.spreadsheetml.worksheet+xml" PartName="/xl/worksheets/sheet33944.xml"/>
  <Override ContentType="application/vnd.openxmlformats-officedocument.spreadsheetml.worksheet+xml" PartName="/xl/worksheets/sheet33945.xml"/>
  <Override ContentType="application/vnd.openxmlformats-officedocument.spreadsheetml.worksheet+xml" PartName="/xl/worksheets/sheet33946.xml"/>
  <Override ContentType="application/vnd.openxmlformats-officedocument.spreadsheetml.worksheet+xml" PartName="/xl/worksheets/sheet33947.xml"/>
  <Override ContentType="application/vnd.openxmlformats-officedocument.spreadsheetml.worksheet+xml" PartName="/xl/worksheets/sheet33948.xml"/>
  <Override ContentType="application/vnd.openxmlformats-officedocument.spreadsheetml.worksheet+xml" PartName="/xl/worksheets/sheet33949.xml"/>
  <Override ContentType="application/vnd.openxmlformats-officedocument.spreadsheetml.worksheet+xml" PartName="/xl/worksheets/sheet33950.xml"/>
  <Override ContentType="application/vnd.openxmlformats-officedocument.spreadsheetml.worksheet+xml" PartName="/xl/worksheets/sheet33951.xml"/>
  <Override ContentType="application/vnd.openxmlformats-officedocument.spreadsheetml.worksheet+xml" PartName="/xl/worksheets/sheet33952.xml"/>
  <Override ContentType="application/vnd.openxmlformats-officedocument.spreadsheetml.worksheet+xml" PartName="/xl/worksheets/sheet33953.xml"/>
  <Override ContentType="application/vnd.openxmlformats-officedocument.spreadsheetml.worksheet+xml" PartName="/xl/worksheets/sheet33954.xml"/>
  <Override ContentType="application/vnd.openxmlformats-officedocument.spreadsheetml.worksheet+xml" PartName="/xl/worksheets/sheet33955.xml"/>
  <Override ContentType="application/vnd.openxmlformats-officedocument.spreadsheetml.worksheet+xml" PartName="/xl/worksheets/sheet33956.xml"/>
  <Override ContentType="application/vnd.openxmlformats-officedocument.spreadsheetml.worksheet+xml" PartName="/xl/worksheets/sheet33957.xml"/>
  <Override ContentType="application/vnd.openxmlformats-officedocument.spreadsheetml.worksheet+xml" PartName="/xl/worksheets/sheet33958.xml"/>
  <Override ContentType="application/vnd.openxmlformats-officedocument.spreadsheetml.worksheet+xml" PartName="/xl/worksheets/sheet33959.xml"/>
  <Override ContentType="application/vnd.openxmlformats-officedocument.spreadsheetml.worksheet+xml" PartName="/xl/worksheets/sheet33960.xml"/>
  <Override ContentType="application/vnd.openxmlformats-officedocument.spreadsheetml.worksheet+xml" PartName="/xl/worksheets/sheet33961.xml"/>
  <Override ContentType="application/vnd.openxmlformats-officedocument.spreadsheetml.worksheet+xml" PartName="/xl/worksheets/sheet33962.xml"/>
  <Override ContentType="application/vnd.openxmlformats-officedocument.spreadsheetml.worksheet+xml" PartName="/xl/worksheets/sheet33963.xml"/>
  <Override ContentType="application/vnd.openxmlformats-officedocument.spreadsheetml.worksheet+xml" PartName="/xl/worksheets/sheet33964.xml"/>
  <Override ContentType="application/vnd.openxmlformats-officedocument.spreadsheetml.worksheet+xml" PartName="/xl/worksheets/sheet33965.xml"/>
  <Override ContentType="application/vnd.openxmlformats-officedocument.spreadsheetml.worksheet+xml" PartName="/xl/worksheets/sheet33966.xml"/>
  <Override ContentType="application/vnd.openxmlformats-officedocument.spreadsheetml.worksheet+xml" PartName="/xl/worksheets/sheet33967.xml"/>
  <Override ContentType="application/vnd.openxmlformats-officedocument.spreadsheetml.worksheet+xml" PartName="/xl/worksheets/sheet33968.xml"/>
  <Override ContentType="application/vnd.openxmlformats-officedocument.spreadsheetml.worksheet+xml" PartName="/xl/worksheets/sheet33969.xml"/>
  <Override ContentType="application/vnd.openxmlformats-officedocument.spreadsheetml.worksheet+xml" PartName="/xl/worksheets/sheet33970.xml"/>
  <Override ContentType="application/vnd.openxmlformats-officedocument.spreadsheetml.worksheet+xml" PartName="/xl/worksheets/sheet33971.xml"/>
  <Override ContentType="application/vnd.openxmlformats-officedocument.spreadsheetml.worksheet+xml" PartName="/xl/worksheets/sheet33972.xml"/>
  <Override ContentType="application/vnd.openxmlformats-officedocument.spreadsheetml.worksheet+xml" PartName="/xl/worksheets/sheet33973.xml"/>
  <Override ContentType="application/vnd.openxmlformats-officedocument.spreadsheetml.worksheet+xml" PartName="/xl/worksheets/sheet33974.xml"/>
  <Override ContentType="application/vnd.openxmlformats-officedocument.spreadsheetml.worksheet+xml" PartName="/xl/worksheets/sheet33975.xml"/>
  <Override ContentType="application/vnd.openxmlformats-officedocument.spreadsheetml.worksheet+xml" PartName="/xl/worksheets/sheet33976.xml"/>
  <Override ContentType="application/vnd.openxmlformats-officedocument.spreadsheetml.worksheet+xml" PartName="/xl/worksheets/sheet33977.xml"/>
  <Override ContentType="application/vnd.openxmlformats-officedocument.spreadsheetml.worksheet+xml" PartName="/xl/worksheets/sheet33978.xml"/>
  <Override ContentType="application/vnd.openxmlformats-officedocument.spreadsheetml.worksheet+xml" PartName="/xl/worksheets/sheet33979.xml"/>
  <Override ContentType="application/vnd.openxmlformats-officedocument.spreadsheetml.worksheet+xml" PartName="/xl/worksheets/sheet33980.xml"/>
  <Override ContentType="application/vnd.openxmlformats-officedocument.spreadsheetml.worksheet+xml" PartName="/xl/worksheets/sheet33981.xml"/>
  <Override ContentType="application/vnd.openxmlformats-officedocument.spreadsheetml.worksheet+xml" PartName="/xl/worksheets/sheet33982.xml"/>
  <Override ContentType="application/vnd.openxmlformats-officedocument.spreadsheetml.worksheet+xml" PartName="/xl/worksheets/sheet33983.xml"/>
  <Override ContentType="application/vnd.openxmlformats-officedocument.spreadsheetml.worksheet+xml" PartName="/xl/worksheets/sheet33984.xml"/>
  <Override ContentType="application/vnd.openxmlformats-officedocument.spreadsheetml.worksheet+xml" PartName="/xl/worksheets/sheet33985.xml"/>
  <Override ContentType="application/vnd.openxmlformats-officedocument.spreadsheetml.worksheet+xml" PartName="/xl/worksheets/sheet33986.xml"/>
  <Override ContentType="application/vnd.openxmlformats-officedocument.spreadsheetml.worksheet+xml" PartName="/xl/worksheets/sheet33987.xml"/>
  <Override ContentType="application/vnd.openxmlformats-officedocument.spreadsheetml.worksheet+xml" PartName="/xl/worksheets/sheet33988.xml"/>
  <Override ContentType="application/vnd.openxmlformats-officedocument.spreadsheetml.worksheet+xml" PartName="/xl/worksheets/sheet33989.xml"/>
  <Override ContentType="application/vnd.openxmlformats-officedocument.spreadsheetml.worksheet+xml" PartName="/xl/worksheets/sheet33990.xml"/>
  <Override ContentType="application/vnd.openxmlformats-officedocument.spreadsheetml.worksheet+xml" PartName="/xl/worksheets/sheet33991.xml"/>
  <Override ContentType="application/vnd.openxmlformats-officedocument.spreadsheetml.worksheet+xml" PartName="/xl/worksheets/sheet33992.xml"/>
  <Override ContentType="application/vnd.openxmlformats-officedocument.spreadsheetml.worksheet+xml" PartName="/xl/worksheets/sheet33993.xml"/>
  <Override ContentType="application/vnd.openxmlformats-officedocument.spreadsheetml.worksheet+xml" PartName="/xl/worksheets/sheet33994.xml"/>
  <Override ContentType="application/vnd.openxmlformats-officedocument.spreadsheetml.worksheet+xml" PartName="/xl/worksheets/sheet33995.xml"/>
  <Override ContentType="application/vnd.openxmlformats-officedocument.spreadsheetml.worksheet+xml" PartName="/xl/worksheets/sheet33996.xml"/>
  <Override ContentType="application/vnd.openxmlformats-officedocument.spreadsheetml.worksheet+xml" PartName="/xl/worksheets/sheet33997.xml"/>
  <Override ContentType="application/vnd.openxmlformats-officedocument.spreadsheetml.worksheet+xml" PartName="/xl/worksheets/sheet33998.xml"/>
  <Override ContentType="application/vnd.openxmlformats-officedocument.spreadsheetml.worksheet+xml" PartName="/xl/worksheets/sheet33999.xml"/>
  <Override ContentType="application/vnd.openxmlformats-officedocument.spreadsheetml.worksheet+xml" PartName="/xl/worksheets/sheet34000.xml"/>
  <Override ContentType="application/vnd.openxmlformats-officedocument.spreadsheetml.worksheet+xml" PartName="/xl/worksheets/sheet34001.xml"/>
  <Override ContentType="application/vnd.openxmlformats-officedocument.spreadsheetml.worksheet+xml" PartName="/xl/worksheets/sheet34002.xml"/>
  <Override ContentType="application/vnd.openxmlformats-officedocument.spreadsheetml.worksheet+xml" PartName="/xl/worksheets/sheet34003.xml"/>
  <Override ContentType="application/vnd.openxmlformats-officedocument.spreadsheetml.worksheet+xml" PartName="/xl/worksheets/sheet34004.xml"/>
  <Override ContentType="application/vnd.openxmlformats-officedocument.spreadsheetml.worksheet+xml" PartName="/xl/worksheets/sheet34005.xml"/>
  <Override ContentType="application/vnd.openxmlformats-officedocument.spreadsheetml.worksheet+xml" PartName="/xl/worksheets/sheet34006.xml"/>
  <Override ContentType="application/vnd.openxmlformats-officedocument.spreadsheetml.worksheet+xml" PartName="/xl/worksheets/sheet34007.xml"/>
  <Override ContentType="application/vnd.openxmlformats-officedocument.spreadsheetml.worksheet+xml" PartName="/xl/worksheets/sheet34008.xml"/>
  <Override ContentType="application/vnd.openxmlformats-officedocument.spreadsheetml.worksheet+xml" PartName="/xl/worksheets/sheet34009.xml"/>
  <Override ContentType="application/vnd.openxmlformats-officedocument.spreadsheetml.worksheet+xml" PartName="/xl/worksheets/sheet34010.xml"/>
  <Override ContentType="application/vnd.openxmlformats-officedocument.spreadsheetml.worksheet+xml" PartName="/xl/worksheets/sheet34011.xml"/>
  <Override ContentType="application/vnd.openxmlformats-officedocument.spreadsheetml.worksheet+xml" PartName="/xl/worksheets/sheet34012.xml"/>
  <Override ContentType="application/vnd.openxmlformats-officedocument.spreadsheetml.worksheet+xml" PartName="/xl/worksheets/sheet34013.xml"/>
  <Override ContentType="application/vnd.openxmlformats-officedocument.spreadsheetml.worksheet+xml" PartName="/xl/worksheets/sheet34014.xml"/>
  <Override ContentType="application/vnd.openxmlformats-officedocument.spreadsheetml.worksheet+xml" PartName="/xl/worksheets/sheet34015.xml"/>
  <Override ContentType="application/vnd.openxmlformats-officedocument.spreadsheetml.worksheet+xml" PartName="/xl/worksheets/sheet34016.xml"/>
  <Override ContentType="application/vnd.openxmlformats-officedocument.spreadsheetml.worksheet+xml" PartName="/xl/worksheets/sheet34017.xml"/>
  <Override ContentType="application/vnd.openxmlformats-officedocument.spreadsheetml.worksheet+xml" PartName="/xl/worksheets/sheet34018.xml"/>
  <Override ContentType="application/vnd.openxmlformats-officedocument.spreadsheetml.worksheet+xml" PartName="/xl/worksheets/sheet34019.xml"/>
  <Override ContentType="application/vnd.openxmlformats-officedocument.spreadsheetml.worksheet+xml" PartName="/xl/worksheets/sheet34020.xml"/>
  <Override ContentType="application/vnd.openxmlformats-officedocument.spreadsheetml.worksheet+xml" PartName="/xl/worksheets/sheet34021.xml"/>
  <Override ContentType="application/vnd.openxmlformats-officedocument.spreadsheetml.worksheet+xml" PartName="/xl/worksheets/sheet34022.xml"/>
  <Override ContentType="application/vnd.openxmlformats-officedocument.spreadsheetml.worksheet+xml" PartName="/xl/worksheets/sheet34023.xml"/>
  <Override ContentType="application/vnd.openxmlformats-officedocument.spreadsheetml.worksheet+xml" PartName="/xl/worksheets/sheet34024.xml"/>
  <Override ContentType="application/vnd.openxmlformats-officedocument.spreadsheetml.worksheet+xml" PartName="/xl/worksheets/sheet34025.xml"/>
  <Override ContentType="application/vnd.openxmlformats-officedocument.spreadsheetml.worksheet+xml" PartName="/xl/worksheets/sheet34026.xml"/>
  <Override ContentType="application/vnd.openxmlformats-officedocument.spreadsheetml.worksheet+xml" PartName="/xl/worksheets/sheet34027.xml"/>
  <Override ContentType="application/vnd.openxmlformats-officedocument.spreadsheetml.worksheet+xml" PartName="/xl/worksheets/sheet34028.xml"/>
  <Override ContentType="application/vnd.openxmlformats-officedocument.spreadsheetml.worksheet+xml" PartName="/xl/worksheets/sheet34029.xml"/>
  <Override ContentType="application/vnd.openxmlformats-officedocument.spreadsheetml.worksheet+xml" PartName="/xl/worksheets/sheet34030.xml"/>
  <Override ContentType="application/vnd.openxmlformats-officedocument.spreadsheetml.worksheet+xml" PartName="/xl/worksheets/sheet34031.xml"/>
  <Override ContentType="application/vnd.openxmlformats-officedocument.spreadsheetml.worksheet+xml" PartName="/xl/worksheets/sheet34032.xml"/>
  <Override ContentType="application/vnd.openxmlformats-officedocument.spreadsheetml.worksheet+xml" PartName="/xl/worksheets/sheet34033.xml"/>
  <Override ContentType="application/vnd.openxmlformats-officedocument.spreadsheetml.worksheet+xml" PartName="/xl/worksheets/sheet34034.xml"/>
  <Override ContentType="application/vnd.openxmlformats-officedocument.spreadsheetml.worksheet+xml" PartName="/xl/worksheets/sheet34035.xml"/>
  <Override ContentType="application/vnd.openxmlformats-officedocument.spreadsheetml.worksheet+xml" PartName="/xl/worksheets/sheet34036.xml"/>
  <Override ContentType="application/vnd.openxmlformats-officedocument.spreadsheetml.worksheet+xml" PartName="/xl/worksheets/sheet34037.xml"/>
  <Override ContentType="application/vnd.openxmlformats-officedocument.spreadsheetml.worksheet+xml" PartName="/xl/worksheets/sheet34038.xml"/>
  <Override ContentType="application/vnd.openxmlformats-officedocument.spreadsheetml.worksheet+xml" PartName="/xl/worksheets/sheet34039.xml"/>
  <Override ContentType="application/vnd.openxmlformats-officedocument.spreadsheetml.worksheet+xml" PartName="/xl/worksheets/sheet34040.xml"/>
  <Override ContentType="application/vnd.openxmlformats-officedocument.spreadsheetml.worksheet+xml" PartName="/xl/worksheets/sheet34041.xml"/>
  <Override ContentType="application/vnd.openxmlformats-officedocument.spreadsheetml.worksheet+xml" PartName="/xl/worksheets/sheet34042.xml"/>
  <Override ContentType="application/vnd.openxmlformats-officedocument.spreadsheetml.worksheet+xml" PartName="/xl/worksheets/sheet34043.xml"/>
  <Override ContentType="application/vnd.openxmlformats-officedocument.spreadsheetml.worksheet+xml" PartName="/xl/worksheets/sheet34044.xml"/>
  <Override ContentType="application/vnd.openxmlformats-officedocument.spreadsheetml.worksheet+xml" PartName="/xl/worksheets/sheet34045.xml"/>
  <Override ContentType="application/vnd.openxmlformats-officedocument.spreadsheetml.worksheet+xml" PartName="/xl/worksheets/sheet34046.xml"/>
  <Override ContentType="application/vnd.openxmlformats-officedocument.spreadsheetml.worksheet+xml" PartName="/xl/worksheets/sheet34047.xml"/>
  <Override ContentType="application/vnd.openxmlformats-officedocument.spreadsheetml.worksheet+xml" PartName="/xl/worksheets/sheet34048.xml"/>
  <Override ContentType="application/vnd.openxmlformats-officedocument.spreadsheetml.worksheet+xml" PartName="/xl/worksheets/sheet34049.xml"/>
  <Override ContentType="application/vnd.openxmlformats-officedocument.spreadsheetml.worksheet+xml" PartName="/xl/worksheets/sheet34050.xml"/>
  <Override ContentType="application/vnd.openxmlformats-officedocument.spreadsheetml.worksheet+xml" PartName="/xl/worksheets/sheet34051.xml"/>
  <Override ContentType="application/vnd.openxmlformats-officedocument.spreadsheetml.worksheet+xml" PartName="/xl/worksheets/sheet34052.xml"/>
  <Override ContentType="application/vnd.openxmlformats-officedocument.spreadsheetml.worksheet+xml" PartName="/xl/worksheets/sheet34053.xml"/>
  <Override ContentType="application/vnd.openxmlformats-officedocument.spreadsheetml.worksheet+xml" PartName="/xl/worksheets/sheet34054.xml"/>
  <Override ContentType="application/vnd.openxmlformats-officedocument.spreadsheetml.worksheet+xml" PartName="/xl/worksheets/sheet34055.xml"/>
  <Override ContentType="application/vnd.openxmlformats-officedocument.spreadsheetml.worksheet+xml" PartName="/xl/worksheets/sheet34056.xml"/>
  <Override ContentType="application/vnd.openxmlformats-officedocument.spreadsheetml.worksheet+xml" PartName="/xl/worksheets/sheet34057.xml"/>
  <Override ContentType="application/vnd.openxmlformats-officedocument.spreadsheetml.worksheet+xml" PartName="/xl/worksheets/sheet34058.xml"/>
  <Override ContentType="application/vnd.openxmlformats-officedocument.spreadsheetml.worksheet+xml" PartName="/xl/worksheets/sheet34059.xml"/>
  <Override ContentType="application/vnd.openxmlformats-officedocument.spreadsheetml.worksheet+xml" PartName="/xl/worksheets/sheet34060.xml"/>
  <Override ContentType="application/vnd.openxmlformats-officedocument.spreadsheetml.worksheet+xml" PartName="/xl/worksheets/sheet34061.xml"/>
  <Override ContentType="application/vnd.openxmlformats-officedocument.spreadsheetml.worksheet+xml" PartName="/xl/worksheets/sheet34062.xml"/>
  <Override ContentType="application/vnd.openxmlformats-officedocument.spreadsheetml.worksheet+xml" PartName="/xl/worksheets/sheet34063.xml"/>
  <Override ContentType="application/vnd.openxmlformats-officedocument.spreadsheetml.worksheet+xml" PartName="/xl/worksheets/sheet34064.xml"/>
  <Override ContentType="application/vnd.openxmlformats-officedocument.spreadsheetml.worksheet+xml" PartName="/xl/worksheets/sheet34065.xml"/>
  <Override ContentType="application/vnd.openxmlformats-officedocument.spreadsheetml.worksheet+xml" PartName="/xl/worksheets/sheet34066.xml"/>
  <Override ContentType="application/vnd.openxmlformats-officedocument.spreadsheetml.worksheet+xml" PartName="/xl/worksheets/sheet34067.xml"/>
  <Override ContentType="application/vnd.openxmlformats-officedocument.spreadsheetml.worksheet+xml" PartName="/xl/worksheets/sheet34068.xml"/>
  <Override ContentType="application/vnd.openxmlformats-officedocument.spreadsheetml.worksheet+xml" PartName="/xl/worksheets/sheet34069.xml"/>
  <Override ContentType="application/vnd.openxmlformats-officedocument.spreadsheetml.worksheet+xml" PartName="/xl/worksheets/sheet34070.xml"/>
  <Override ContentType="application/vnd.openxmlformats-officedocument.spreadsheetml.worksheet+xml" PartName="/xl/worksheets/sheet34071.xml"/>
  <Override ContentType="application/vnd.openxmlformats-officedocument.spreadsheetml.worksheet+xml" PartName="/xl/worksheets/sheet34072.xml"/>
  <Override ContentType="application/vnd.openxmlformats-officedocument.spreadsheetml.worksheet+xml" PartName="/xl/worksheets/sheet34073.xml"/>
  <Override ContentType="application/vnd.openxmlformats-officedocument.spreadsheetml.worksheet+xml" PartName="/xl/worksheets/sheet34074.xml"/>
  <Override ContentType="application/vnd.openxmlformats-officedocument.spreadsheetml.worksheet+xml" PartName="/xl/worksheets/sheet34075.xml"/>
  <Override ContentType="application/vnd.openxmlformats-officedocument.spreadsheetml.worksheet+xml" PartName="/xl/worksheets/sheet34076.xml"/>
  <Override ContentType="application/vnd.openxmlformats-officedocument.spreadsheetml.worksheet+xml" PartName="/xl/worksheets/sheet34077.xml"/>
  <Override ContentType="application/vnd.openxmlformats-officedocument.spreadsheetml.worksheet+xml" PartName="/xl/worksheets/sheet34078.xml"/>
  <Override ContentType="application/vnd.openxmlformats-officedocument.spreadsheetml.worksheet+xml" PartName="/xl/worksheets/sheet34079.xml"/>
  <Override ContentType="application/vnd.openxmlformats-officedocument.spreadsheetml.worksheet+xml" PartName="/xl/worksheets/sheet34080.xml"/>
  <Override ContentType="application/vnd.openxmlformats-officedocument.spreadsheetml.worksheet+xml" PartName="/xl/worksheets/sheet34081.xml"/>
  <Override ContentType="application/vnd.openxmlformats-officedocument.spreadsheetml.worksheet+xml" PartName="/xl/worksheets/sheet34082.xml"/>
  <Override ContentType="application/vnd.openxmlformats-officedocument.spreadsheetml.worksheet+xml" PartName="/xl/worksheets/sheet34083.xml"/>
  <Override ContentType="application/vnd.openxmlformats-officedocument.spreadsheetml.worksheet+xml" PartName="/xl/worksheets/sheet34084.xml"/>
  <Override ContentType="application/vnd.openxmlformats-officedocument.spreadsheetml.worksheet+xml" PartName="/xl/worksheets/sheet34085.xml"/>
  <Override ContentType="application/vnd.openxmlformats-officedocument.spreadsheetml.worksheet+xml" PartName="/xl/worksheets/sheet34086.xml"/>
  <Override ContentType="application/vnd.openxmlformats-officedocument.spreadsheetml.worksheet+xml" PartName="/xl/worksheets/sheet34087.xml"/>
  <Override ContentType="application/vnd.openxmlformats-officedocument.spreadsheetml.worksheet+xml" PartName="/xl/worksheets/sheet34088.xml"/>
  <Override ContentType="application/vnd.openxmlformats-officedocument.spreadsheetml.worksheet+xml" PartName="/xl/worksheets/sheet34089.xml"/>
  <Override ContentType="application/vnd.openxmlformats-officedocument.spreadsheetml.worksheet+xml" PartName="/xl/worksheets/sheet34090.xml"/>
  <Override ContentType="application/vnd.openxmlformats-officedocument.spreadsheetml.worksheet+xml" PartName="/xl/worksheets/sheet34091.xml"/>
  <Override ContentType="application/vnd.openxmlformats-officedocument.spreadsheetml.worksheet+xml" PartName="/xl/worksheets/sheet34092.xml"/>
  <Override ContentType="application/vnd.openxmlformats-officedocument.spreadsheetml.worksheet+xml" PartName="/xl/worksheets/sheet34093.xml"/>
  <Override ContentType="application/vnd.openxmlformats-officedocument.spreadsheetml.worksheet+xml" PartName="/xl/worksheets/sheet34094.xml"/>
  <Override ContentType="application/vnd.openxmlformats-officedocument.spreadsheetml.worksheet+xml" PartName="/xl/worksheets/sheet34095.xml"/>
  <Override ContentType="application/vnd.openxmlformats-officedocument.spreadsheetml.worksheet+xml" PartName="/xl/worksheets/sheet34096.xml"/>
  <Override ContentType="application/vnd.openxmlformats-officedocument.spreadsheetml.worksheet+xml" PartName="/xl/worksheets/sheet34097.xml"/>
  <Override ContentType="application/vnd.openxmlformats-officedocument.spreadsheetml.worksheet+xml" PartName="/xl/worksheets/sheet34098.xml"/>
  <Override ContentType="application/vnd.openxmlformats-officedocument.spreadsheetml.worksheet+xml" PartName="/xl/worksheets/sheet34099.xml"/>
  <Override ContentType="application/vnd.openxmlformats-officedocument.spreadsheetml.worksheet+xml" PartName="/xl/worksheets/sheet34100.xml"/>
  <Override ContentType="application/vnd.openxmlformats-officedocument.spreadsheetml.worksheet+xml" PartName="/xl/worksheets/sheet34101.xml"/>
  <Override ContentType="application/vnd.openxmlformats-officedocument.spreadsheetml.worksheet+xml" PartName="/xl/worksheets/sheet34102.xml"/>
  <Override ContentType="application/vnd.openxmlformats-officedocument.spreadsheetml.worksheet+xml" PartName="/xl/worksheets/sheet34103.xml"/>
  <Override ContentType="application/vnd.openxmlformats-officedocument.spreadsheetml.worksheet+xml" PartName="/xl/worksheets/sheet34104.xml"/>
  <Override ContentType="application/vnd.openxmlformats-officedocument.spreadsheetml.worksheet+xml" PartName="/xl/worksheets/sheet34105.xml"/>
  <Override ContentType="application/vnd.openxmlformats-officedocument.spreadsheetml.worksheet+xml" PartName="/xl/worksheets/sheet34106.xml"/>
  <Override ContentType="application/vnd.openxmlformats-officedocument.spreadsheetml.worksheet+xml" PartName="/xl/worksheets/sheet34107.xml"/>
  <Override ContentType="application/vnd.openxmlformats-officedocument.spreadsheetml.worksheet+xml" PartName="/xl/worksheets/sheet34108.xml"/>
  <Override ContentType="application/vnd.openxmlformats-officedocument.spreadsheetml.worksheet+xml" PartName="/xl/worksheets/sheet34109.xml"/>
  <Override ContentType="application/vnd.openxmlformats-officedocument.spreadsheetml.worksheet+xml" PartName="/xl/worksheets/sheet34110.xml"/>
  <Override ContentType="application/vnd.openxmlformats-officedocument.spreadsheetml.worksheet+xml" PartName="/xl/worksheets/sheet34111.xml"/>
  <Override ContentType="application/vnd.openxmlformats-officedocument.spreadsheetml.worksheet+xml" PartName="/xl/worksheets/sheet34112.xml"/>
  <Override ContentType="application/vnd.openxmlformats-officedocument.spreadsheetml.worksheet+xml" PartName="/xl/worksheets/sheet34113.xml"/>
  <Override ContentType="application/vnd.openxmlformats-officedocument.spreadsheetml.worksheet+xml" PartName="/xl/worksheets/sheet34114.xml"/>
  <Override ContentType="application/vnd.openxmlformats-officedocument.spreadsheetml.worksheet+xml" PartName="/xl/worksheets/sheet34115.xml"/>
  <Override ContentType="application/vnd.openxmlformats-officedocument.spreadsheetml.worksheet+xml" PartName="/xl/worksheets/sheet34116.xml"/>
  <Override ContentType="application/vnd.openxmlformats-officedocument.spreadsheetml.worksheet+xml" PartName="/xl/worksheets/sheet34117.xml"/>
  <Override ContentType="application/vnd.openxmlformats-officedocument.spreadsheetml.worksheet+xml" PartName="/xl/worksheets/sheet34118.xml"/>
  <Override ContentType="application/vnd.openxmlformats-officedocument.spreadsheetml.worksheet+xml" PartName="/xl/worksheets/sheet34119.xml"/>
  <Override ContentType="application/vnd.openxmlformats-officedocument.spreadsheetml.worksheet+xml" PartName="/xl/worksheets/sheet34120.xml"/>
  <Override ContentType="application/vnd.openxmlformats-officedocument.spreadsheetml.worksheet+xml" PartName="/xl/worksheets/sheet34121.xml"/>
  <Override ContentType="application/vnd.openxmlformats-officedocument.spreadsheetml.worksheet+xml" PartName="/xl/worksheets/sheet34122.xml"/>
  <Override ContentType="application/vnd.openxmlformats-officedocument.spreadsheetml.worksheet+xml" PartName="/xl/worksheets/sheet34123.xml"/>
  <Override ContentType="application/vnd.openxmlformats-officedocument.spreadsheetml.worksheet+xml" PartName="/xl/worksheets/sheet34124.xml"/>
  <Override ContentType="application/vnd.openxmlformats-officedocument.spreadsheetml.worksheet+xml" PartName="/xl/worksheets/sheet34125.xml"/>
  <Override ContentType="application/vnd.openxmlformats-officedocument.spreadsheetml.worksheet+xml" PartName="/xl/worksheets/sheet34126.xml"/>
  <Override ContentType="application/vnd.openxmlformats-officedocument.spreadsheetml.worksheet+xml" PartName="/xl/worksheets/sheet34127.xml"/>
  <Override ContentType="application/vnd.openxmlformats-officedocument.spreadsheetml.worksheet+xml" PartName="/xl/worksheets/sheet34128.xml"/>
  <Override ContentType="application/vnd.openxmlformats-officedocument.spreadsheetml.worksheet+xml" PartName="/xl/worksheets/sheet34129.xml"/>
  <Override ContentType="application/vnd.openxmlformats-officedocument.spreadsheetml.worksheet+xml" PartName="/xl/worksheets/sheet34130.xml"/>
  <Override ContentType="application/vnd.openxmlformats-officedocument.spreadsheetml.worksheet+xml" PartName="/xl/worksheets/sheet34131.xml"/>
  <Override ContentType="application/vnd.openxmlformats-officedocument.spreadsheetml.worksheet+xml" PartName="/xl/worksheets/sheet34132.xml"/>
  <Override ContentType="application/vnd.openxmlformats-officedocument.spreadsheetml.worksheet+xml" PartName="/xl/worksheets/sheet34133.xml"/>
  <Override ContentType="application/vnd.openxmlformats-officedocument.spreadsheetml.worksheet+xml" PartName="/xl/worksheets/sheet34134.xml"/>
  <Override ContentType="application/vnd.openxmlformats-officedocument.spreadsheetml.worksheet+xml" PartName="/xl/worksheets/sheet34135.xml"/>
  <Override ContentType="application/vnd.openxmlformats-officedocument.spreadsheetml.worksheet+xml" PartName="/xl/worksheets/sheet34136.xml"/>
  <Override ContentType="application/vnd.openxmlformats-officedocument.spreadsheetml.worksheet+xml" PartName="/xl/worksheets/sheet34137.xml"/>
  <Override ContentType="application/vnd.openxmlformats-officedocument.spreadsheetml.worksheet+xml" PartName="/xl/worksheets/sheet34138.xml"/>
  <Override ContentType="application/vnd.openxmlformats-officedocument.spreadsheetml.worksheet+xml" PartName="/xl/worksheets/sheet34139.xml"/>
  <Override ContentType="application/vnd.openxmlformats-officedocument.spreadsheetml.worksheet+xml" PartName="/xl/worksheets/sheet34140.xml"/>
  <Override ContentType="application/vnd.openxmlformats-officedocument.spreadsheetml.worksheet+xml" PartName="/xl/worksheets/sheet34141.xml"/>
  <Override ContentType="application/vnd.openxmlformats-officedocument.spreadsheetml.worksheet+xml" PartName="/xl/worksheets/sheet34142.xml"/>
  <Override ContentType="application/vnd.openxmlformats-officedocument.spreadsheetml.worksheet+xml" PartName="/xl/worksheets/sheet34143.xml"/>
  <Override ContentType="application/vnd.openxmlformats-officedocument.spreadsheetml.worksheet+xml" PartName="/xl/worksheets/sheet34144.xml"/>
  <Override ContentType="application/vnd.openxmlformats-officedocument.spreadsheetml.worksheet+xml" PartName="/xl/worksheets/sheet34145.xml"/>
  <Override ContentType="application/vnd.openxmlformats-officedocument.spreadsheetml.worksheet+xml" PartName="/xl/worksheets/sheet34146.xml"/>
  <Override ContentType="application/vnd.openxmlformats-officedocument.spreadsheetml.worksheet+xml" PartName="/xl/worksheets/sheet34147.xml"/>
  <Override ContentType="application/vnd.openxmlformats-officedocument.spreadsheetml.worksheet+xml" PartName="/xl/worksheets/sheet34148.xml"/>
  <Override ContentType="application/vnd.openxmlformats-officedocument.spreadsheetml.worksheet+xml" PartName="/xl/worksheets/sheet34149.xml"/>
  <Override ContentType="application/vnd.openxmlformats-officedocument.spreadsheetml.worksheet+xml" PartName="/xl/worksheets/sheet34150.xml"/>
  <Override ContentType="application/vnd.openxmlformats-officedocument.spreadsheetml.worksheet+xml" PartName="/xl/worksheets/sheet34151.xml"/>
  <Override ContentType="application/vnd.openxmlformats-officedocument.spreadsheetml.worksheet+xml" PartName="/xl/worksheets/sheet34152.xml"/>
  <Override ContentType="application/vnd.openxmlformats-officedocument.spreadsheetml.worksheet+xml" PartName="/xl/worksheets/sheet34153.xml"/>
  <Override ContentType="application/vnd.openxmlformats-officedocument.spreadsheetml.worksheet+xml" PartName="/xl/worksheets/sheet34154.xml"/>
  <Override ContentType="application/vnd.openxmlformats-officedocument.spreadsheetml.worksheet+xml" PartName="/xl/worksheets/sheet34155.xml"/>
  <Override ContentType="application/vnd.openxmlformats-officedocument.spreadsheetml.worksheet+xml" PartName="/xl/worksheets/sheet34156.xml"/>
  <Override ContentType="application/vnd.openxmlformats-officedocument.spreadsheetml.worksheet+xml" PartName="/xl/worksheets/sheet34157.xml"/>
  <Override ContentType="application/vnd.openxmlformats-officedocument.spreadsheetml.worksheet+xml" PartName="/xl/worksheets/sheet34158.xml"/>
  <Override ContentType="application/vnd.openxmlformats-officedocument.spreadsheetml.worksheet+xml" PartName="/xl/worksheets/sheet34159.xml"/>
  <Override ContentType="application/vnd.openxmlformats-officedocument.spreadsheetml.worksheet+xml" PartName="/xl/worksheets/sheet34160.xml"/>
  <Override ContentType="application/vnd.openxmlformats-officedocument.spreadsheetml.worksheet+xml" PartName="/xl/worksheets/sheet34161.xml"/>
  <Override ContentType="application/vnd.openxmlformats-officedocument.spreadsheetml.worksheet+xml" PartName="/xl/worksheets/sheet34162.xml"/>
  <Override ContentType="application/vnd.openxmlformats-officedocument.spreadsheetml.worksheet+xml" PartName="/xl/worksheets/sheet34163.xml"/>
  <Override ContentType="application/vnd.openxmlformats-officedocument.spreadsheetml.worksheet+xml" PartName="/xl/worksheets/sheet34164.xml"/>
  <Override ContentType="application/vnd.openxmlformats-officedocument.spreadsheetml.worksheet+xml" PartName="/xl/worksheets/sheet34165.xml"/>
  <Override ContentType="application/vnd.openxmlformats-officedocument.spreadsheetml.worksheet+xml" PartName="/xl/worksheets/sheet34166.xml"/>
  <Override ContentType="application/vnd.openxmlformats-officedocument.spreadsheetml.worksheet+xml" PartName="/xl/worksheets/sheet34167.xml"/>
  <Override ContentType="application/vnd.openxmlformats-officedocument.spreadsheetml.worksheet+xml" PartName="/xl/worksheets/sheet34168.xml"/>
  <Override ContentType="application/vnd.openxmlformats-officedocument.spreadsheetml.worksheet+xml" PartName="/xl/worksheets/sheet34169.xml"/>
  <Override ContentType="application/vnd.openxmlformats-officedocument.spreadsheetml.worksheet+xml" PartName="/xl/worksheets/sheet34170.xml"/>
  <Override ContentType="application/vnd.openxmlformats-officedocument.spreadsheetml.worksheet+xml" PartName="/xl/worksheets/sheet34171.xml"/>
  <Override ContentType="application/vnd.openxmlformats-officedocument.spreadsheetml.worksheet+xml" PartName="/xl/worksheets/sheet34172.xml"/>
  <Override ContentType="application/vnd.openxmlformats-officedocument.spreadsheetml.worksheet+xml" PartName="/xl/worksheets/sheet34173.xml"/>
  <Override ContentType="application/vnd.openxmlformats-officedocument.spreadsheetml.worksheet+xml" PartName="/xl/worksheets/sheet34174.xml"/>
  <Override ContentType="application/vnd.openxmlformats-officedocument.spreadsheetml.worksheet+xml" PartName="/xl/worksheets/sheet34175.xml"/>
  <Override ContentType="application/vnd.openxmlformats-officedocument.spreadsheetml.worksheet+xml" PartName="/xl/worksheets/sheet34176.xml"/>
  <Override ContentType="application/vnd.openxmlformats-officedocument.spreadsheetml.worksheet+xml" PartName="/xl/worksheets/sheet34177.xml"/>
  <Override ContentType="application/vnd.openxmlformats-officedocument.spreadsheetml.worksheet+xml" PartName="/xl/worksheets/sheet34178.xml"/>
  <Override ContentType="application/vnd.openxmlformats-officedocument.spreadsheetml.worksheet+xml" PartName="/xl/worksheets/sheet34179.xml"/>
  <Override ContentType="application/vnd.openxmlformats-officedocument.spreadsheetml.worksheet+xml" PartName="/xl/worksheets/sheet34180.xml"/>
  <Override ContentType="application/vnd.openxmlformats-officedocument.spreadsheetml.worksheet+xml" PartName="/xl/worksheets/sheet34181.xml"/>
  <Override ContentType="application/vnd.openxmlformats-officedocument.spreadsheetml.worksheet+xml" PartName="/xl/worksheets/sheet34182.xml"/>
  <Override ContentType="application/vnd.openxmlformats-officedocument.spreadsheetml.worksheet+xml" PartName="/xl/worksheets/sheet34183.xml"/>
  <Override ContentType="application/vnd.openxmlformats-officedocument.spreadsheetml.worksheet+xml" PartName="/xl/worksheets/sheet34184.xml"/>
  <Override ContentType="application/vnd.openxmlformats-officedocument.spreadsheetml.worksheet+xml" PartName="/xl/worksheets/sheet34185.xml"/>
  <Override ContentType="application/vnd.openxmlformats-officedocument.spreadsheetml.worksheet+xml" PartName="/xl/worksheets/sheet34186.xml"/>
  <Override ContentType="application/vnd.openxmlformats-officedocument.spreadsheetml.worksheet+xml" PartName="/xl/worksheets/sheet34187.xml"/>
  <Override ContentType="application/vnd.openxmlformats-officedocument.spreadsheetml.worksheet+xml" PartName="/xl/worksheets/sheet34188.xml"/>
  <Override ContentType="application/vnd.openxmlformats-officedocument.spreadsheetml.worksheet+xml" PartName="/xl/worksheets/sheet34189.xml"/>
  <Override ContentType="application/vnd.openxmlformats-officedocument.spreadsheetml.worksheet+xml" PartName="/xl/worksheets/sheet34190.xml"/>
  <Override ContentType="application/vnd.openxmlformats-officedocument.spreadsheetml.worksheet+xml" PartName="/xl/worksheets/sheet34191.xml"/>
  <Override ContentType="application/vnd.openxmlformats-officedocument.spreadsheetml.worksheet+xml" PartName="/xl/worksheets/sheet34192.xml"/>
  <Override ContentType="application/vnd.openxmlformats-officedocument.spreadsheetml.worksheet+xml" PartName="/xl/worksheets/sheet34193.xml"/>
  <Override ContentType="application/vnd.openxmlformats-officedocument.spreadsheetml.worksheet+xml" PartName="/xl/worksheets/sheet34194.xml"/>
  <Override ContentType="application/vnd.openxmlformats-officedocument.spreadsheetml.worksheet+xml" PartName="/xl/worksheets/sheet34195.xml"/>
  <Override ContentType="application/vnd.openxmlformats-officedocument.spreadsheetml.worksheet+xml" PartName="/xl/worksheets/sheet34196.xml"/>
  <Override ContentType="application/vnd.openxmlformats-officedocument.spreadsheetml.worksheet+xml" PartName="/xl/worksheets/sheet34197.xml"/>
  <Override ContentType="application/vnd.openxmlformats-officedocument.spreadsheetml.worksheet+xml" PartName="/xl/worksheets/sheet34198.xml"/>
  <Override ContentType="application/vnd.openxmlformats-officedocument.spreadsheetml.worksheet+xml" PartName="/xl/worksheets/sheet34199.xml"/>
  <Override ContentType="application/vnd.openxmlformats-officedocument.spreadsheetml.worksheet+xml" PartName="/xl/worksheets/sheet34200.xml"/>
  <Override ContentType="application/vnd.openxmlformats-officedocument.spreadsheetml.worksheet+xml" PartName="/xl/worksheets/sheet34201.xml"/>
  <Override ContentType="application/vnd.openxmlformats-officedocument.spreadsheetml.worksheet+xml" PartName="/xl/worksheets/sheet34202.xml"/>
  <Override ContentType="application/vnd.openxmlformats-officedocument.spreadsheetml.worksheet+xml" PartName="/xl/worksheets/sheet34203.xml"/>
  <Override ContentType="application/vnd.openxmlformats-officedocument.spreadsheetml.worksheet+xml" PartName="/xl/worksheets/sheet34204.xml"/>
  <Override ContentType="application/vnd.openxmlformats-officedocument.spreadsheetml.worksheet+xml" PartName="/xl/worksheets/sheet34205.xml"/>
  <Override ContentType="application/vnd.openxmlformats-officedocument.spreadsheetml.worksheet+xml" PartName="/xl/worksheets/sheet34206.xml"/>
  <Override ContentType="application/vnd.openxmlformats-officedocument.spreadsheetml.worksheet+xml" PartName="/xl/worksheets/sheet34207.xml"/>
  <Override ContentType="application/vnd.openxmlformats-officedocument.spreadsheetml.worksheet+xml" PartName="/xl/worksheets/sheet34208.xml"/>
  <Override ContentType="application/vnd.openxmlformats-officedocument.spreadsheetml.worksheet+xml" PartName="/xl/worksheets/sheet34209.xml"/>
  <Override ContentType="application/vnd.openxmlformats-officedocument.spreadsheetml.worksheet+xml" PartName="/xl/worksheets/sheet34210.xml"/>
  <Override ContentType="application/vnd.openxmlformats-officedocument.spreadsheetml.worksheet+xml" PartName="/xl/worksheets/sheet34211.xml"/>
  <Override ContentType="application/vnd.openxmlformats-officedocument.spreadsheetml.worksheet+xml" PartName="/xl/worksheets/sheet34212.xml"/>
  <Override ContentType="application/vnd.openxmlformats-officedocument.spreadsheetml.worksheet+xml" PartName="/xl/worksheets/sheet34213.xml"/>
  <Override ContentType="application/vnd.openxmlformats-officedocument.spreadsheetml.worksheet+xml" PartName="/xl/worksheets/sheet34214.xml"/>
  <Override ContentType="application/vnd.openxmlformats-officedocument.spreadsheetml.worksheet+xml" PartName="/xl/worksheets/sheet34215.xml"/>
  <Override ContentType="application/vnd.openxmlformats-officedocument.spreadsheetml.worksheet+xml" PartName="/xl/worksheets/sheet34216.xml"/>
  <Override ContentType="application/vnd.openxmlformats-officedocument.spreadsheetml.worksheet+xml" PartName="/xl/worksheets/sheet34217.xml"/>
  <Override ContentType="application/vnd.openxmlformats-officedocument.spreadsheetml.worksheet+xml" PartName="/xl/worksheets/sheet34218.xml"/>
  <Override ContentType="application/vnd.openxmlformats-officedocument.spreadsheetml.worksheet+xml" PartName="/xl/worksheets/sheet34219.xml"/>
  <Override ContentType="application/vnd.openxmlformats-officedocument.spreadsheetml.worksheet+xml" PartName="/xl/worksheets/sheet34220.xml"/>
  <Override ContentType="application/vnd.openxmlformats-officedocument.spreadsheetml.worksheet+xml" PartName="/xl/worksheets/sheet34221.xml"/>
  <Override ContentType="application/vnd.openxmlformats-officedocument.spreadsheetml.worksheet+xml" PartName="/xl/worksheets/sheet34222.xml"/>
  <Override ContentType="application/vnd.openxmlformats-officedocument.spreadsheetml.worksheet+xml" PartName="/xl/worksheets/sheet34223.xml"/>
  <Override ContentType="application/vnd.openxmlformats-officedocument.spreadsheetml.worksheet+xml" PartName="/xl/worksheets/sheet34224.xml"/>
  <Override ContentType="application/vnd.openxmlformats-officedocument.spreadsheetml.worksheet+xml" PartName="/xl/worksheets/sheet34225.xml"/>
  <Override ContentType="application/vnd.openxmlformats-officedocument.spreadsheetml.worksheet+xml" PartName="/xl/worksheets/sheet34226.xml"/>
  <Override ContentType="application/vnd.openxmlformats-officedocument.spreadsheetml.worksheet+xml" PartName="/xl/worksheets/sheet34227.xml"/>
  <Override ContentType="application/vnd.openxmlformats-officedocument.spreadsheetml.worksheet+xml" PartName="/xl/worksheets/sheet34228.xml"/>
  <Override ContentType="application/vnd.openxmlformats-officedocument.spreadsheetml.worksheet+xml" PartName="/xl/worksheets/sheet34229.xml"/>
  <Override ContentType="application/vnd.openxmlformats-officedocument.spreadsheetml.worksheet+xml" PartName="/xl/worksheets/sheet34230.xml"/>
  <Override ContentType="application/vnd.openxmlformats-officedocument.spreadsheetml.worksheet+xml" PartName="/xl/worksheets/sheet34231.xml"/>
  <Override ContentType="application/vnd.openxmlformats-officedocument.spreadsheetml.worksheet+xml" PartName="/xl/worksheets/sheet34232.xml"/>
  <Override ContentType="application/vnd.openxmlformats-officedocument.spreadsheetml.worksheet+xml" PartName="/xl/worksheets/sheet34233.xml"/>
  <Override ContentType="application/vnd.openxmlformats-officedocument.spreadsheetml.worksheet+xml" PartName="/xl/worksheets/sheet34234.xml"/>
  <Override ContentType="application/vnd.openxmlformats-officedocument.spreadsheetml.worksheet+xml" PartName="/xl/worksheets/sheet34235.xml"/>
  <Override ContentType="application/vnd.openxmlformats-officedocument.spreadsheetml.worksheet+xml" PartName="/xl/worksheets/sheet34236.xml"/>
  <Override ContentType="application/vnd.openxmlformats-officedocument.spreadsheetml.worksheet+xml" PartName="/xl/worksheets/sheet34237.xml"/>
  <Override ContentType="application/vnd.openxmlformats-officedocument.spreadsheetml.worksheet+xml" PartName="/xl/worksheets/sheet34238.xml"/>
  <Override ContentType="application/vnd.openxmlformats-officedocument.spreadsheetml.worksheet+xml" PartName="/xl/worksheets/sheet34239.xml"/>
  <Override ContentType="application/vnd.openxmlformats-officedocument.spreadsheetml.worksheet+xml" PartName="/xl/worksheets/sheet34240.xml"/>
  <Override ContentType="application/vnd.openxmlformats-officedocument.spreadsheetml.worksheet+xml" PartName="/xl/worksheets/sheet34241.xml"/>
  <Override ContentType="application/vnd.openxmlformats-officedocument.spreadsheetml.worksheet+xml" PartName="/xl/worksheets/sheet34242.xml"/>
  <Override ContentType="application/vnd.openxmlformats-officedocument.spreadsheetml.worksheet+xml" PartName="/xl/worksheets/sheet34243.xml"/>
  <Override ContentType="application/vnd.openxmlformats-officedocument.spreadsheetml.worksheet+xml" PartName="/xl/worksheets/sheet34244.xml"/>
  <Override ContentType="application/vnd.openxmlformats-officedocument.spreadsheetml.worksheet+xml" PartName="/xl/worksheets/sheet34245.xml"/>
  <Override ContentType="application/vnd.openxmlformats-officedocument.spreadsheetml.worksheet+xml" PartName="/xl/worksheets/sheet34246.xml"/>
  <Override ContentType="application/vnd.openxmlformats-officedocument.spreadsheetml.worksheet+xml" PartName="/xl/worksheets/sheet34247.xml"/>
  <Override ContentType="application/vnd.openxmlformats-officedocument.spreadsheetml.worksheet+xml" PartName="/xl/worksheets/sheet34248.xml"/>
  <Override ContentType="application/vnd.openxmlformats-officedocument.spreadsheetml.worksheet+xml" PartName="/xl/worksheets/sheet34249.xml"/>
  <Override ContentType="application/vnd.openxmlformats-officedocument.spreadsheetml.worksheet+xml" PartName="/xl/worksheets/sheet34250.xml"/>
  <Override ContentType="application/vnd.openxmlformats-officedocument.spreadsheetml.worksheet+xml" PartName="/xl/worksheets/sheet34251.xml"/>
  <Override ContentType="application/vnd.openxmlformats-officedocument.spreadsheetml.worksheet+xml" PartName="/xl/worksheets/sheet34252.xml"/>
  <Override ContentType="application/vnd.openxmlformats-officedocument.spreadsheetml.worksheet+xml" PartName="/xl/worksheets/sheet34253.xml"/>
  <Override ContentType="application/vnd.openxmlformats-officedocument.spreadsheetml.worksheet+xml" PartName="/xl/worksheets/sheet34254.xml"/>
  <Override ContentType="application/vnd.openxmlformats-officedocument.spreadsheetml.worksheet+xml" PartName="/xl/worksheets/sheet34255.xml"/>
  <Override ContentType="application/vnd.openxmlformats-officedocument.spreadsheetml.worksheet+xml" PartName="/xl/worksheets/sheet34256.xml"/>
  <Override ContentType="application/vnd.openxmlformats-officedocument.spreadsheetml.worksheet+xml" PartName="/xl/worksheets/sheet34257.xml"/>
  <Override ContentType="application/vnd.openxmlformats-officedocument.spreadsheetml.worksheet+xml" PartName="/xl/worksheets/sheet34258.xml"/>
  <Override ContentType="application/vnd.openxmlformats-officedocument.spreadsheetml.worksheet+xml" PartName="/xl/worksheets/sheet34259.xml"/>
  <Override ContentType="application/vnd.openxmlformats-officedocument.spreadsheetml.worksheet+xml" PartName="/xl/worksheets/sheet34260.xml"/>
  <Override ContentType="application/vnd.openxmlformats-officedocument.spreadsheetml.worksheet+xml" PartName="/xl/worksheets/sheet34261.xml"/>
  <Override ContentType="application/vnd.openxmlformats-officedocument.spreadsheetml.worksheet+xml" PartName="/xl/worksheets/sheet34262.xml"/>
  <Override ContentType="application/vnd.openxmlformats-officedocument.spreadsheetml.worksheet+xml" PartName="/xl/worksheets/sheet34263.xml"/>
  <Override ContentType="application/vnd.openxmlformats-officedocument.spreadsheetml.worksheet+xml" PartName="/xl/worksheets/sheet34264.xml"/>
  <Override ContentType="application/vnd.openxmlformats-officedocument.spreadsheetml.worksheet+xml" PartName="/xl/worksheets/sheet34265.xml"/>
  <Override ContentType="application/vnd.openxmlformats-officedocument.spreadsheetml.worksheet+xml" PartName="/xl/worksheets/sheet34266.xml"/>
  <Override ContentType="application/vnd.openxmlformats-officedocument.spreadsheetml.worksheet+xml" PartName="/xl/worksheets/sheet34267.xml"/>
  <Override ContentType="application/vnd.openxmlformats-officedocument.spreadsheetml.worksheet+xml" PartName="/xl/worksheets/sheet34268.xml"/>
  <Override ContentType="application/vnd.openxmlformats-officedocument.spreadsheetml.worksheet+xml" PartName="/xl/worksheets/sheet34269.xml"/>
  <Override ContentType="application/vnd.openxmlformats-officedocument.spreadsheetml.worksheet+xml" PartName="/xl/worksheets/sheet34270.xml"/>
  <Override ContentType="application/vnd.openxmlformats-officedocument.spreadsheetml.worksheet+xml" PartName="/xl/worksheets/sheet34271.xml"/>
  <Override ContentType="application/vnd.openxmlformats-officedocument.spreadsheetml.worksheet+xml" PartName="/xl/worksheets/sheet34272.xml"/>
  <Override ContentType="application/vnd.openxmlformats-officedocument.spreadsheetml.worksheet+xml" PartName="/xl/worksheets/sheet34273.xml"/>
  <Override ContentType="application/vnd.openxmlformats-officedocument.spreadsheetml.worksheet+xml" PartName="/xl/worksheets/sheet34274.xml"/>
  <Override ContentType="application/vnd.openxmlformats-officedocument.spreadsheetml.worksheet+xml" PartName="/xl/worksheets/sheet34275.xml"/>
  <Override ContentType="application/vnd.openxmlformats-officedocument.spreadsheetml.worksheet+xml" PartName="/xl/worksheets/sheet34276.xml"/>
  <Override ContentType="application/vnd.openxmlformats-officedocument.spreadsheetml.worksheet+xml" PartName="/xl/worksheets/sheet34277.xml"/>
  <Override ContentType="application/vnd.openxmlformats-officedocument.spreadsheetml.worksheet+xml" PartName="/xl/worksheets/sheet34278.xml"/>
  <Override ContentType="application/vnd.openxmlformats-officedocument.spreadsheetml.worksheet+xml" PartName="/xl/worksheets/sheet34279.xml"/>
  <Override ContentType="application/vnd.openxmlformats-officedocument.spreadsheetml.worksheet+xml" PartName="/xl/worksheets/sheet34280.xml"/>
  <Override ContentType="application/vnd.openxmlformats-officedocument.spreadsheetml.worksheet+xml" PartName="/xl/worksheets/sheet34281.xml"/>
  <Override ContentType="application/vnd.openxmlformats-officedocument.spreadsheetml.worksheet+xml" PartName="/xl/worksheets/sheet34282.xml"/>
  <Override ContentType="application/vnd.openxmlformats-officedocument.spreadsheetml.worksheet+xml" PartName="/xl/worksheets/sheet34283.xml"/>
  <Override ContentType="application/vnd.openxmlformats-officedocument.spreadsheetml.worksheet+xml" PartName="/xl/worksheets/sheet34284.xml"/>
  <Override ContentType="application/vnd.openxmlformats-officedocument.spreadsheetml.worksheet+xml" PartName="/xl/worksheets/sheet34285.xml"/>
  <Override ContentType="application/vnd.openxmlformats-officedocument.spreadsheetml.worksheet+xml" PartName="/xl/worksheets/sheet34286.xml"/>
  <Override ContentType="application/vnd.openxmlformats-officedocument.spreadsheetml.worksheet+xml" PartName="/xl/worksheets/sheet34287.xml"/>
  <Override ContentType="application/vnd.openxmlformats-officedocument.spreadsheetml.worksheet+xml" PartName="/xl/worksheets/sheet34288.xml"/>
  <Override ContentType="application/vnd.openxmlformats-officedocument.spreadsheetml.worksheet+xml" PartName="/xl/worksheets/sheet34289.xml"/>
  <Override ContentType="application/vnd.openxmlformats-officedocument.spreadsheetml.worksheet+xml" PartName="/xl/worksheets/sheet34290.xml"/>
  <Override ContentType="application/vnd.openxmlformats-officedocument.spreadsheetml.worksheet+xml" PartName="/xl/worksheets/sheet34291.xml"/>
  <Override ContentType="application/vnd.openxmlformats-officedocument.spreadsheetml.worksheet+xml" PartName="/xl/worksheets/sheet34292.xml"/>
  <Override ContentType="application/vnd.openxmlformats-officedocument.spreadsheetml.worksheet+xml" PartName="/xl/worksheets/sheet34293.xml"/>
  <Override ContentType="application/vnd.openxmlformats-officedocument.spreadsheetml.worksheet+xml" PartName="/xl/worksheets/sheet34294.xml"/>
  <Override ContentType="application/vnd.openxmlformats-officedocument.spreadsheetml.worksheet+xml" PartName="/xl/worksheets/sheet34295.xml"/>
  <Override ContentType="application/vnd.openxmlformats-officedocument.spreadsheetml.worksheet+xml" PartName="/xl/worksheets/sheet34296.xml"/>
  <Override ContentType="application/vnd.openxmlformats-officedocument.spreadsheetml.worksheet+xml" PartName="/xl/worksheets/sheet34297.xml"/>
  <Override ContentType="application/vnd.openxmlformats-officedocument.spreadsheetml.worksheet+xml" PartName="/xl/worksheets/sheet34298.xml"/>
  <Override ContentType="application/vnd.openxmlformats-officedocument.spreadsheetml.worksheet+xml" PartName="/xl/worksheets/sheet34299.xml"/>
  <Override ContentType="application/vnd.openxmlformats-officedocument.spreadsheetml.worksheet+xml" PartName="/xl/worksheets/sheet34300.xml"/>
  <Override ContentType="application/vnd.openxmlformats-officedocument.spreadsheetml.worksheet+xml" PartName="/xl/worksheets/sheet34301.xml"/>
  <Override ContentType="application/vnd.openxmlformats-officedocument.spreadsheetml.worksheet+xml" PartName="/xl/worksheets/sheet34302.xml"/>
  <Override ContentType="application/vnd.openxmlformats-officedocument.spreadsheetml.worksheet+xml" PartName="/xl/worksheets/sheet34303.xml"/>
  <Override ContentType="application/vnd.openxmlformats-officedocument.spreadsheetml.worksheet+xml" PartName="/xl/worksheets/sheet34304.xml"/>
  <Override ContentType="application/vnd.openxmlformats-officedocument.spreadsheetml.worksheet+xml" PartName="/xl/worksheets/sheet34305.xml"/>
  <Override ContentType="application/vnd.openxmlformats-officedocument.spreadsheetml.worksheet+xml" PartName="/xl/worksheets/sheet34306.xml"/>
  <Override ContentType="application/vnd.openxmlformats-officedocument.spreadsheetml.worksheet+xml" PartName="/xl/worksheets/sheet34307.xml"/>
  <Override ContentType="application/vnd.openxmlformats-officedocument.spreadsheetml.worksheet+xml" PartName="/xl/worksheets/sheet34308.xml"/>
  <Override ContentType="application/vnd.openxmlformats-officedocument.spreadsheetml.worksheet+xml" PartName="/xl/worksheets/sheet34309.xml"/>
  <Override ContentType="application/vnd.openxmlformats-officedocument.spreadsheetml.worksheet+xml" PartName="/xl/worksheets/sheet34310.xml"/>
  <Override ContentType="application/vnd.openxmlformats-officedocument.spreadsheetml.worksheet+xml" PartName="/xl/worksheets/sheet34311.xml"/>
  <Override ContentType="application/vnd.openxmlformats-officedocument.spreadsheetml.worksheet+xml" PartName="/xl/worksheets/sheet34312.xml"/>
  <Override ContentType="application/vnd.openxmlformats-officedocument.spreadsheetml.worksheet+xml" PartName="/xl/worksheets/sheet34313.xml"/>
  <Override ContentType="application/vnd.openxmlformats-officedocument.spreadsheetml.worksheet+xml" PartName="/xl/worksheets/sheet34314.xml"/>
  <Override ContentType="application/vnd.openxmlformats-officedocument.spreadsheetml.worksheet+xml" PartName="/xl/worksheets/sheet34315.xml"/>
  <Override ContentType="application/vnd.openxmlformats-officedocument.spreadsheetml.worksheet+xml" PartName="/xl/worksheets/sheet34316.xml"/>
  <Override ContentType="application/vnd.openxmlformats-officedocument.spreadsheetml.worksheet+xml" PartName="/xl/worksheets/sheet34317.xml"/>
  <Override ContentType="application/vnd.openxmlformats-officedocument.spreadsheetml.worksheet+xml" PartName="/xl/worksheets/sheet34318.xml"/>
  <Override ContentType="application/vnd.openxmlformats-officedocument.spreadsheetml.worksheet+xml" PartName="/xl/worksheets/sheet34319.xml"/>
  <Override ContentType="application/vnd.openxmlformats-officedocument.spreadsheetml.worksheet+xml" PartName="/xl/worksheets/sheet34320.xml"/>
  <Override ContentType="application/vnd.openxmlformats-officedocument.spreadsheetml.worksheet+xml" PartName="/xl/worksheets/sheet34321.xml"/>
  <Override ContentType="application/vnd.openxmlformats-officedocument.spreadsheetml.worksheet+xml" PartName="/xl/worksheets/sheet34322.xml"/>
  <Override ContentType="application/vnd.openxmlformats-officedocument.spreadsheetml.worksheet+xml" PartName="/xl/worksheets/sheet34323.xml"/>
  <Override ContentType="application/vnd.openxmlformats-officedocument.spreadsheetml.worksheet+xml" PartName="/xl/worksheets/sheet34324.xml"/>
  <Override ContentType="application/vnd.openxmlformats-officedocument.spreadsheetml.worksheet+xml" PartName="/xl/worksheets/sheet34325.xml"/>
  <Override ContentType="application/vnd.openxmlformats-officedocument.spreadsheetml.worksheet+xml" PartName="/xl/worksheets/sheet34326.xml"/>
  <Override ContentType="application/vnd.openxmlformats-officedocument.spreadsheetml.worksheet+xml" PartName="/xl/worksheets/sheet34327.xml"/>
  <Override ContentType="application/vnd.openxmlformats-officedocument.spreadsheetml.worksheet+xml" PartName="/xl/worksheets/sheet34328.xml"/>
  <Override ContentType="application/vnd.openxmlformats-officedocument.spreadsheetml.worksheet+xml" PartName="/xl/worksheets/sheet34329.xml"/>
  <Override ContentType="application/vnd.openxmlformats-officedocument.spreadsheetml.worksheet+xml" PartName="/xl/worksheets/sheet34330.xml"/>
  <Override ContentType="application/vnd.openxmlformats-officedocument.spreadsheetml.worksheet+xml" PartName="/xl/worksheets/sheet34331.xml"/>
  <Override ContentType="application/vnd.openxmlformats-officedocument.spreadsheetml.worksheet+xml" PartName="/xl/worksheets/sheet34332.xml"/>
  <Override ContentType="application/vnd.openxmlformats-officedocument.spreadsheetml.worksheet+xml" PartName="/xl/worksheets/sheet34333.xml"/>
  <Override ContentType="application/vnd.openxmlformats-officedocument.spreadsheetml.worksheet+xml" PartName="/xl/worksheets/sheet34334.xml"/>
  <Override ContentType="application/vnd.openxmlformats-officedocument.spreadsheetml.worksheet+xml" PartName="/xl/worksheets/sheet34335.xml"/>
  <Override ContentType="application/vnd.openxmlformats-officedocument.spreadsheetml.worksheet+xml" PartName="/xl/worksheets/sheet34336.xml"/>
  <Override ContentType="application/vnd.openxmlformats-officedocument.spreadsheetml.worksheet+xml" PartName="/xl/worksheets/sheet34337.xml"/>
  <Override ContentType="application/vnd.openxmlformats-officedocument.spreadsheetml.worksheet+xml" PartName="/xl/worksheets/sheet34338.xml"/>
  <Override ContentType="application/vnd.openxmlformats-officedocument.spreadsheetml.worksheet+xml" PartName="/xl/worksheets/sheet34339.xml"/>
  <Override ContentType="application/vnd.openxmlformats-officedocument.spreadsheetml.worksheet+xml" PartName="/xl/worksheets/sheet34340.xml"/>
  <Override ContentType="application/vnd.openxmlformats-officedocument.spreadsheetml.worksheet+xml" PartName="/xl/worksheets/sheet34341.xml"/>
  <Override ContentType="application/vnd.openxmlformats-officedocument.spreadsheetml.worksheet+xml" PartName="/xl/worksheets/sheet34342.xml"/>
  <Override ContentType="application/vnd.openxmlformats-officedocument.spreadsheetml.worksheet+xml" PartName="/xl/worksheets/sheet34343.xml"/>
  <Override ContentType="application/vnd.openxmlformats-officedocument.spreadsheetml.worksheet+xml" PartName="/xl/worksheets/sheet34344.xml"/>
  <Override ContentType="application/vnd.openxmlformats-officedocument.spreadsheetml.worksheet+xml" PartName="/xl/worksheets/sheet34345.xml"/>
  <Override ContentType="application/vnd.openxmlformats-officedocument.spreadsheetml.worksheet+xml" PartName="/xl/worksheets/sheet34346.xml"/>
  <Override ContentType="application/vnd.openxmlformats-officedocument.spreadsheetml.worksheet+xml" PartName="/xl/worksheets/sheet34347.xml"/>
  <Override ContentType="application/vnd.openxmlformats-officedocument.spreadsheetml.worksheet+xml" PartName="/xl/worksheets/sheet34348.xml"/>
  <Override ContentType="application/vnd.openxmlformats-officedocument.spreadsheetml.worksheet+xml" PartName="/xl/worksheets/sheet34349.xml"/>
  <Override ContentType="application/vnd.openxmlformats-officedocument.spreadsheetml.worksheet+xml" PartName="/xl/worksheets/sheet34350.xml"/>
  <Override ContentType="application/vnd.openxmlformats-officedocument.spreadsheetml.worksheet+xml" PartName="/xl/worksheets/sheet34351.xml"/>
  <Override ContentType="application/vnd.openxmlformats-officedocument.spreadsheetml.worksheet+xml" PartName="/xl/worksheets/sheet34352.xml"/>
  <Override ContentType="application/vnd.openxmlformats-officedocument.spreadsheetml.worksheet+xml" PartName="/xl/worksheets/sheet34353.xml"/>
  <Override ContentType="application/vnd.openxmlformats-officedocument.spreadsheetml.worksheet+xml" PartName="/xl/worksheets/sheet34354.xml"/>
  <Override ContentType="application/vnd.openxmlformats-officedocument.spreadsheetml.worksheet+xml" PartName="/xl/worksheets/sheet34355.xml"/>
  <Override ContentType="application/vnd.openxmlformats-officedocument.spreadsheetml.worksheet+xml" PartName="/xl/worksheets/sheet34356.xml"/>
  <Override ContentType="application/vnd.openxmlformats-officedocument.spreadsheetml.worksheet+xml" PartName="/xl/worksheets/sheet34357.xml"/>
  <Override ContentType="application/vnd.openxmlformats-officedocument.spreadsheetml.worksheet+xml" PartName="/xl/worksheets/sheet34358.xml"/>
  <Override ContentType="application/vnd.openxmlformats-officedocument.spreadsheetml.worksheet+xml" PartName="/xl/worksheets/sheet34359.xml"/>
  <Override ContentType="application/vnd.openxmlformats-officedocument.spreadsheetml.worksheet+xml" PartName="/xl/worksheets/sheet34360.xml"/>
  <Override ContentType="application/vnd.openxmlformats-officedocument.spreadsheetml.worksheet+xml" PartName="/xl/worksheets/sheet34361.xml"/>
  <Override ContentType="application/vnd.openxmlformats-officedocument.spreadsheetml.worksheet+xml" PartName="/xl/worksheets/sheet34362.xml"/>
  <Override ContentType="application/vnd.openxmlformats-officedocument.spreadsheetml.worksheet+xml" PartName="/xl/worksheets/sheet34363.xml"/>
  <Override ContentType="application/vnd.openxmlformats-officedocument.spreadsheetml.worksheet+xml" PartName="/xl/worksheets/sheet34364.xml"/>
  <Override ContentType="application/vnd.openxmlformats-officedocument.spreadsheetml.worksheet+xml" PartName="/xl/worksheets/sheet34365.xml"/>
  <Override ContentType="application/vnd.openxmlformats-officedocument.spreadsheetml.worksheet+xml" PartName="/xl/worksheets/sheet34366.xml"/>
  <Override ContentType="application/vnd.openxmlformats-officedocument.spreadsheetml.worksheet+xml" PartName="/xl/worksheets/sheet34367.xml"/>
  <Override ContentType="application/vnd.openxmlformats-officedocument.spreadsheetml.worksheet+xml" PartName="/xl/worksheets/sheet34368.xml"/>
  <Override ContentType="application/vnd.openxmlformats-officedocument.spreadsheetml.worksheet+xml" PartName="/xl/worksheets/sheet34369.xml"/>
  <Override ContentType="application/vnd.openxmlformats-officedocument.spreadsheetml.worksheet+xml" PartName="/xl/worksheets/sheet34370.xml"/>
  <Override ContentType="application/vnd.openxmlformats-officedocument.spreadsheetml.worksheet+xml" PartName="/xl/worksheets/sheet34371.xml"/>
  <Override ContentType="application/vnd.openxmlformats-officedocument.spreadsheetml.worksheet+xml" PartName="/xl/worksheets/sheet34372.xml"/>
  <Override ContentType="application/vnd.openxmlformats-officedocument.spreadsheetml.worksheet+xml" PartName="/xl/worksheets/sheet34373.xml"/>
  <Override ContentType="application/vnd.openxmlformats-officedocument.spreadsheetml.worksheet+xml" PartName="/xl/worksheets/sheet34374.xml"/>
  <Override ContentType="application/vnd.openxmlformats-officedocument.spreadsheetml.worksheet+xml" PartName="/xl/worksheets/sheet34375.xml"/>
  <Override ContentType="application/vnd.openxmlformats-officedocument.spreadsheetml.worksheet+xml" PartName="/xl/worksheets/sheet34376.xml"/>
  <Override ContentType="application/vnd.openxmlformats-officedocument.spreadsheetml.worksheet+xml" PartName="/xl/worksheets/sheet34377.xml"/>
  <Override ContentType="application/vnd.openxmlformats-officedocument.spreadsheetml.worksheet+xml" PartName="/xl/worksheets/sheet34378.xml"/>
  <Override ContentType="application/vnd.openxmlformats-officedocument.spreadsheetml.worksheet+xml" PartName="/xl/worksheets/sheet34379.xml"/>
  <Override ContentType="application/vnd.openxmlformats-officedocument.spreadsheetml.worksheet+xml" PartName="/xl/worksheets/sheet34380.xml"/>
  <Override ContentType="application/vnd.openxmlformats-officedocument.spreadsheetml.worksheet+xml" PartName="/xl/worksheets/sheet34381.xml"/>
  <Override ContentType="application/vnd.openxmlformats-officedocument.spreadsheetml.worksheet+xml" PartName="/xl/worksheets/sheet34382.xml"/>
  <Override ContentType="application/vnd.openxmlformats-officedocument.spreadsheetml.worksheet+xml" PartName="/xl/worksheets/sheet34383.xml"/>
  <Override ContentType="application/vnd.openxmlformats-officedocument.spreadsheetml.worksheet+xml" PartName="/xl/worksheets/sheet34384.xml"/>
  <Override ContentType="application/vnd.openxmlformats-officedocument.spreadsheetml.worksheet+xml" PartName="/xl/worksheets/sheet34385.xml"/>
  <Override ContentType="application/vnd.openxmlformats-officedocument.spreadsheetml.worksheet+xml" PartName="/xl/worksheets/sheet34386.xml"/>
  <Override ContentType="application/vnd.openxmlformats-officedocument.spreadsheetml.worksheet+xml" PartName="/xl/worksheets/sheet34387.xml"/>
  <Override ContentType="application/vnd.openxmlformats-officedocument.spreadsheetml.worksheet+xml" PartName="/xl/worksheets/sheet34388.xml"/>
  <Override ContentType="application/vnd.openxmlformats-officedocument.spreadsheetml.worksheet+xml" PartName="/xl/worksheets/sheet34389.xml"/>
  <Override ContentType="application/vnd.openxmlformats-officedocument.spreadsheetml.worksheet+xml" PartName="/xl/worksheets/sheet34390.xml"/>
  <Override ContentType="application/vnd.openxmlformats-officedocument.spreadsheetml.worksheet+xml" PartName="/xl/worksheets/sheet34391.xml"/>
  <Override ContentType="application/vnd.openxmlformats-officedocument.spreadsheetml.worksheet+xml" PartName="/xl/worksheets/sheet34392.xml"/>
  <Override ContentType="application/vnd.openxmlformats-officedocument.spreadsheetml.worksheet+xml" PartName="/xl/worksheets/sheet34393.xml"/>
  <Override ContentType="application/vnd.openxmlformats-officedocument.spreadsheetml.worksheet+xml" PartName="/xl/worksheets/sheet34394.xml"/>
  <Override ContentType="application/vnd.openxmlformats-officedocument.spreadsheetml.worksheet+xml" PartName="/xl/worksheets/sheet34395.xml"/>
  <Override ContentType="application/vnd.openxmlformats-officedocument.spreadsheetml.worksheet+xml" PartName="/xl/worksheets/sheet34396.xml"/>
  <Override ContentType="application/vnd.openxmlformats-officedocument.spreadsheetml.worksheet+xml" PartName="/xl/worksheets/sheet34397.xml"/>
  <Override ContentType="application/vnd.openxmlformats-officedocument.spreadsheetml.worksheet+xml" PartName="/xl/worksheets/sheet34398.xml"/>
  <Override ContentType="application/vnd.openxmlformats-officedocument.spreadsheetml.worksheet+xml" PartName="/xl/worksheets/sheet34399.xml"/>
  <Override ContentType="application/vnd.openxmlformats-officedocument.spreadsheetml.worksheet+xml" PartName="/xl/worksheets/sheet34400.xml"/>
  <Override ContentType="application/vnd.openxmlformats-officedocument.spreadsheetml.worksheet+xml" PartName="/xl/worksheets/sheet34401.xml"/>
  <Override ContentType="application/vnd.openxmlformats-officedocument.spreadsheetml.worksheet+xml" PartName="/xl/worksheets/sheet34402.xml"/>
  <Override ContentType="application/vnd.openxmlformats-officedocument.spreadsheetml.worksheet+xml" PartName="/xl/worksheets/sheet34403.xml"/>
  <Override ContentType="application/vnd.openxmlformats-officedocument.spreadsheetml.worksheet+xml" PartName="/xl/worksheets/sheet34404.xml"/>
  <Override ContentType="application/vnd.openxmlformats-officedocument.spreadsheetml.worksheet+xml" PartName="/xl/worksheets/sheet34405.xml"/>
  <Override ContentType="application/vnd.openxmlformats-officedocument.spreadsheetml.worksheet+xml" PartName="/xl/worksheets/sheet34406.xml"/>
  <Override ContentType="application/vnd.openxmlformats-officedocument.spreadsheetml.worksheet+xml" PartName="/xl/worksheets/sheet34407.xml"/>
  <Override ContentType="application/vnd.openxmlformats-officedocument.spreadsheetml.worksheet+xml" PartName="/xl/worksheets/sheet34408.xml"/>
  <Override ContentType="application/vnd.openxmlformats-officedocument.spreadsheetml.worksheet+xml" PartName="/xl/worksheets/sheet34409.xml"/>
  <Override ContentType="application/vnd.openxmlformats-officedocument.spreadsheetml.worksheet+xml" PartName="/xl/worksheets/sheet34410.xml"/>
  <Override ContentType="application/vnd.openxmlformats-officedocument.spreadsheetml.worksheet+xml" PartName="/xl/worksheets/sheet34411.xml"/>
  <Override ContentType="application/vnd.openxmlformats-officedocument.spreadsheetml.worksheet+xml" PartName="/xl/worksheets/sheet34412.xml"/>
  <Override ContentType="application/vnd.openxmlformats-officedocument.spreadsheetml.worksheet+xml" PartName="/xl/worksheets/sheet34413.xml"/>
  <Override ContentType="application/vnd.openxmlformats-officedocument.spreadsheetml.worksheet+xml" PartName="/xl/worksheets/sheet34414.xml"/>
  <Override ContentType="application/vnd.openxmlformats-officedocument.spreadsheetml.worksheet+xml" PartName="/xl/worksheets/sheet34415.xml"/>
  <Override ContentType="application/vnd.openxmlformats-officedocument.spreadsheetml.worksheet+xml" PartName="/xl/worksheets/sheet34416.xml"/>
  <Override ContentType="application/vnd.openxmlformats-officedocument.spreadsheetml.worksheet+xml" PartName="/xl/worksheets/sheet34417.xml"/>
  <Override ContentType="application/vnd.openxmlformats-officedocument.spreadsheetml.worksheet+xml" PartName="/xl/worksheets/sheet34418.xml"/>
  <Override ContentType="application/vnd.openxmlformats-officedocument.spreadsheetml.worksheet+xml" PartName="/xl/worksheets/sheet34419.xml"/>
  <Override ContentType="application/vnd.openxmlformats-officedocument.spreadsheetml.worksheet+xml" PartName="/xl/worksheets/sheet34420.xml"/>
  <Override ContentType="application/vnd.openxmlformats-officedocument.spreadsheetml.worksheet+xml" PartName="/xl/worksheets/sheet34421.xml"/>
  <Override ContentType="application/vnd.openxmlformats-officedocument.spreadsheetml.worksheet+xml" PartName="/xl/worksheets/sheet34422.xml"/>
  <Override ContentType="application/vnd.openxmlformats-officedocument.spreadsheetml.worksheet+xml" PartName="/xl/worksheets/sheet34423.xml"/>
  <Override ContentType="application/vnd.openxmlformats-officedocument.spreadsheetml.worksheet+xml" PartName="/xl/worksheets/sheet34424.xml"/>
  <Override ContentType="application/vnd.openxmlformats-officedocument.spreadsheetml.worksheet+xml" PartName="/xl/worksheets/sheet34425.xml"/>
  <Override ContentType="application/vnd.openxmlformats-officedocument.spreadsheetml.worksheet+xml" PartName="/xl/worksheets/sheet34426.xml"/>
  <Override ContentType="application/vnd.openxmlformats-officedocument.spreadsheetml.worksheet+xml" PartName="/xl/worksheets/sheet34427.xml"/>
  <Override ContentType="application/vnd.openxmlformats-officedocument.spreadsheetml.worksheet+xml" PartName="/xl/worksheets/sheet34428.xml"/>
  <Override ContentType="application/vnd.openxmlformats-officedocument.spreadsheetml.worksheet+xml" PartName="/xl/worksheets/sheet34429.xml"/>
  <Override ContentType="application/vnd.openxmlformats-officedocument.spreadsheetml.worksheet+xml" PartName="/xl/worksheets/sheet34430.xml"/>
  <Override ContentType="application/vnd.openxmlformats-officedocument.spreadsheetml.worksheet+xml" PartName="/xl/worksheets/sheet34431.xml"/>
  <Override ContentType="application/vnd.openxmlformats-officedocument.spreadsheetml.worksheet+xml" PartName="/xl/worksheets/sheet34432.xml"/>
  <Override ContentType="application/vnd.openxmlformats-officedocument.spreadsheetml.worksheet+xml" PartName="/xl/worksheets/sheet34433.xml"/>
  <Override ContentType="application/vnd.openxmlformats-officedocument.spreadsheetml.worksheet+xml" PartName="/xl/worksheets/sheet34434.xml"/>
  <Override ContentType="application/vnd.openxmlformats-officedocument.spreadsheetml.worksheet+xml" PartName="/xl/worksheets/sheet34435.xml"/>
  <Override ContentType="application/vnd.openxmlformats-officedocument.spreadsheetml.worksheet+xml" PartName="/xl/worksheets/sheet34436.xml"/>
  <Override ContentType="application/vnd.openxmlformats-officedocument.spreadsheetml.worksheet+xml" PartName="/xl/worksheets/sheet34437.xml"/>
  <Override ContentType="application/vnd.openxmlformats-officedocument.spreadsheetml.worksheet+xml" PartName="/xl/worksheets/sheet34438.xml"/>
  <Override ContentType="application/vnd.openxmlformats-officedocument.spreadsheetml.worksheet+xml" PartName="/xl/worksheets/sheet34439.xml"/>
  <Override ContentType="application/vnd.openxmlformats-officedocument.spreadsheetml.worksheet+xml" PartName="/xl/worksheets/sheet34440.xml"/>
  <Override ContentType="application/vnd.openxmlformats-officedocument.spreadsheetml.worksheet+xml" PartName="/xl/worksheets/sheet34441.xml"/>
  <Override ContentType="application/vnd.openxmlformats-officedocument.spreadsheetml.worksheet+xml" PartName="/xl/worksheets/sheet34442.xml"/>
  <Override ContentType="application/vnd.openxmlformats-officedocument.spreadsheetml.worksheet+xml" PartName="/xl/worksheets/sheet34443.xml"/>
  <Override ContentType="application/vnd.openxmlformats-officedocument.spreadsheetml.worksheet+xml" PartName="/xl/worksheets/sheet34444.xml"/>
  <Override ContentType="application/vnd.openxmlformats-officedocument.spreadsheetml.worksheet+xml" PartName="/xl/worksheets/sheet34445.xml"/>
  <Override ContentType="application/vnd.openxmlformats-officedocument.spreadsheetml.worksheet+xml" PartName="/xl/worksheets/sheet34446.xml"/>
  <Override ContentType="application/vnd.openxmlformats-officedocument.spreadsheetml.worksheet+xml" PartName="/xl/worksheets/sheet34447.xml"/>
  <Override ContentType="application/vnd.openxmlformats-officedocument.spreadsheetml.worksheet+xml" PartName="/xl/worksheets/sheet34448.xml"/>
  <Override ContentType="application/vnd.openxmlformats-officedocument.spreadsheetml.worksheet+xml" PartName="/xl/worksheets/sheet34449.xml"/>
  <Override ContentType="application/vnd.openxmlformats-officedocument.spreadsheetml.worksheet+xml" PartName="/xl/worksheets/sheet34450.xml"/>
  <Override ContentType="application/vnd.openxmlformats-officedocument.spreadsheetml.worksheet+xml" PartName="/xl/worksheets/sheet34451.xml"/>
  <Override ContentType="application/vnd.openxmlformats-officedocument.spreadsheetml.worksheet+xml" PartName="/xl/worksheets/sheet34452.xml"/>
  <Override ContentType="application/vnd.openxmlformats-officedocument.spreadsheetml.worksheet+xml" PartName="/xl/worksheets/sheet34453.xml"/>
  <Override ContentType="application/vnd.openxmlformats-officedocument.spreadsheetml.worksheet+xml" PartName="/xl/worksheets/sheet34454.xml"/>
  <Override ContentType="application/vnd.openxmlformats-officedocument.spreadsheetml.worksheet+xml" PartName="/xl/worksheets/sheet34455.xml"/>
  <Override ContentType="application/vnd.openxmlformats-officedocument.spreadsheetml.worksheet+xml" PartName="/xl/worksheets/sheet34456.xml"/>
  <Override ContentType="application/vnd.openxmlformats-officedocument.spreadsheetml.worksheet+xml" PartName="/xl/worksheets/sheet34457.xml"/>
  <Override ContentType="application/vnd.openxmlformats-officedocument.spreadsheetml.worksheet+xml" PartName="/xl/worksheets/sheet34458.xml"/>
  <Override ContentType="application/vnd.openxmlformats-officedocument.spreadsheetml.worksheet+xml" PartName="/xl/worksheets/sheet34459.xml"/>
  <Override ContentType="application/vnd.openxmlformats-officedocument.spreadsheetml.worksheet+xml" PartName="/xl/worksheets/sheet34460.xml"/>
  <Override ContentType="application/vnd.openxmlformats-officedocument.spreadsheetml.worksheet+xml" PartName="/xl/worksheets/sheet34461.xml"/>
  <Override ContentType="application/vnd.openxmlformats-officedocument.spreadsheetml.worksheet+xml" PartName="/xl/worksheets/sheet34462.xml"/>
  <Override ContentType="application/vnd.openxmlformats-officedocument.spreadsheetml.worksheet+xml" PartName="/xl/worksheets/sheet34463.xml"/>
  <Override ContentType="application/vnd.openxmlformats-officedocument.spreadsheetml.worksheet+xml" PartName="/xl/worksheets/sheet34464.xml"/>
  <Override ContentType="application/vnd.openxmlformats-officedocument.spreadsheetml.worksheet+xml" PartName="/xl/worksheets/sheet34465.xml"/>
  <Override ContentType="application/vnd.openxmlformats-officedocument.spreadsheetml.worksheet+xml" PartName="/xl/worksheets/sheet34466.xml"/>
  <Override ContentType="application/vnd.openxmlformats-officedocument.spreadsheetml.worksheet+xml" PartName="/xl/worksheets/sheet34467.xml"/>
  <Override ContentType="application/vnd.openxmlformats-officedocument.spreadsheetml.worksheet+xml" PartName="/xl/worksheets/sheet34468.xml"/>
  <Override ContentType="application/vnd.openxmlformats-officedocument.spreadsheetml.worksheet+xml" PartName="/xl/worksheets/sheet34469.xml"/>
  <Override ContentType="application/vnd.openxmlformats-officedocument.spreadsheetml.worksheet+xml" PartName="/xl/worksheets/sheet34470.xml"/>
  <Override ContentType="application/vnd.openxmlformats-officedocument.spreadsheetml.worksheet+xml" PartName="/xl/worksheets/sheet34471.xml"/>
  <Override ContentType="application/vnd.openxmlformats-officedocument.spreadsheetml.worksheet+xml" PartName="/xl/worksheets/sheet34472.xml"/>
  <Override ContentType="application/vnd.openxmlformats-officedocument.spreadsheetml.worksheet+xml" PartName="/xl/worksheets/sheet34473.xml"/>
  <Override ContentType="application/vnd.openxmlformats-officedocument.spreadsheetml.worksheet+xml" PartName="/xl/worksheets/sheet34474.xml"/>
  <Override ContentType="application/vnd.openxmlformats-officedocument.spreadsheetml.worksheet+xml" PartName="/xl/worksheets/sheet34475.xml"/>
  <Override ContentType="application/vnd.openxmlformats-officedocument.spreadsheetml.worksheet+xml" PartName="/xl/worksheets/sheet34476.xml"/>
  <Override ContentType="application/vnd.openxmlformats-officedocument.spreadsheetml.worksheet+xml" PartName="/xl/worksheets/sheet34477.xml"/>
  <Override ContentType="application/vnd.openxmlformats-officedocument.spreadsheetml.worksheet+xml" PartName="/xl/worksheets/sheet34478.xml"/>
  <Override ContentType="application/vnd.openxmlformats-officedocument.spreadsheetml.worksheet+xml" PartName="/xl/worksheets/sheet34479.xml"/>
  <Override ContentType="application/vnd.openxmlformats-officedocument.spreadsheetml.worksheet+xml" PartName="/xl/worksheets/sheet34480.xml"/>
  <Override ContentType="application/vnd.openxmlformats-officedocument.spreadsheetml.worksheet+xml" PartName="/xl/worksheets/sheet34481.xml"/>
  <Override ContentType="application/vnd.openxmlformats-officedocument.spreadsheetml.worksheet+xml" PartName="/xl/worksheets/sheet34482.xml"/>
  <Override ContentType="application/vnd.openxmlformats-officedocument.spreadsheetml.worksheet+xml" PartName="/xl/worksheets/sheet34483.xml"/>
  <Override ContentType="application/vnd.openxmlformats-officedocument.spreadsheetml.worksheet+xml" PartName="/xl/worksheets/sheet34484.xml"/>
  <Override ContentType="application/vnd.openxmlformats-officedocument.spreadsheetml.worksheet+xml" PartName="/xl/worksheets/sheet34485.xml"/>
  <Override ContentType="application/vnd.openxmlformats-officedocument.spreadsheetml.worksheet+xml" PartName="/xl/worksheets/sheet34486.xml"/>
  <Override ContentType="application/vnd.openxmlformats-officedocument.spreadsheetml.worksheet+xml" PartName="/xl/worksheets/sheet34487.xml"/>
  <Override ContentType="application/vnd.openxmlformats-officedocument.spreadsheetml.worksheet+xml" PartName="/xl/worksheets/sheet34488.xml"/>
  <Override ContentType="application/vnd.openxmlformats-officedocument.spreadsheetml.worksheet+xml" PartName="/xl/worksheets/sheet34489.xml"/>
  <Override ContentType="application/vnd.openxmlformats-officedocument.spreadsheetml.worksheet+xml" PartName="/xl/worksheets/sheet34490.xml"/>
  <Override ContentType="application/vnd.openxmlformats-officedocument.spreadsheetml.worksheet+xml" PartName="/xl/worksheets/sheet34491.xml"/>
  <Override ContentType="application/vnd.openxmlformats-officedocument.spreadsheetml.worksheet+xml" PartName="/xl/worksheets/sheet34492.xml"/>
  <Override ContentType="application/vnd.openxmlformats-officedocument.spreadsheetml.worksheet+xml" PartName="/xl/worksheets/sheet34493.xml"/>
  <Override ContentType="application/vnd.openxmlformats-officedocument.spreadsheetml.worksheet+xml" PartName="/xl/worksheets/sheet34494.xml"/>
  <Override ContentType="application/vnd.openxmlformats-officedocument.spreadsheetml.worksheet+xml" PartName="/xl/worksheets/sheet34495.xml"/>
  <Override ContentType="application/vnd.openxmlformats-officedocument.spreadsheetml.worksheet+xml" PartName="/xl/worksheets/sheet34496.xml"/>
  <Override ContentType="application/vnd.openxmlformats-officedocument.spreadsheetml.worksheet+xml" PartName="/xl/worksheets/sheet34497.xml"/>
  <Override ContentType="application/vnd.openxmlformats-officedocument.spreadsheetml.worksheet+xml" PartName="/xl/worksheets/sheet34498.xml"/>
  <Override ContentType="application/vnd.openxmlformats-officedocument.spreadsheetml.worksheet+xml" PartName="/xl/worksheets/sheet34499.xml"/>
  <Override ContentType="application/vnd.openxmlformats-officedocument.spreadsheetml.worksheet+xml" PartName="/xl/worksheets/sheet34500.xml"/>
  <Override ContentType="application/vnd.openxmlformats-officedocument.spreadsheetml.worksheet+xml" PartName="/xl/worksheets/sheet34501.xml"/>
  <Override ContentType="application/vnd.openxmlformats-officedocument.spreadsheetml.worksheet+xml" PartName="/xl/worksheets/sheet34502.xml"/>
  <Override ContentType="application/vnd.openxmlformats-officedocument.spreadsheetml.worksheet+xml" PartName="/xl/worksheets/sheet34503.xml"/>
  <Override ContentType="application/vnd.openxmlformats-officedocument.spreadsheetml.worksheet+xml" PartName="/xl/worksheets/sheet34504.xml"/>
  <Override ContentType="application/vnd.openxmlformats-officedocument.spreadsheetml.worksheet+xml" PartName="/xl/worksheets/sheet34505.xml"/>
  <Override ContentType="application/vnd.openxmlformats-officedocument.spreadsheetml.worksheet+xml" PartName="/xl/worksheets/sheet34506.xml"/>
  <Override ContentType="application/vnd.openxmlformats-officedocument.spreadsheetml.worksheet+xml" PartName="/xl/worksheets/sheet34507.xml"/>
  <Override ContentType="application/vnd.openxmlformats-officedocument.spreadsheetml.worksheet+xml" PartName="/xl/worksheets/sheet34508.xml"/>
  <Override ContentType="application/vnd.openxmlformats-officedocument.spreadsheetml.worksheet+xml" PartName="/xl/worksheets/sheet34509.xml"/>
  <Override ContentType="application/vnd.openxmlformats-officedocument.spreadsheetml.worksheet+xml" PartName="/xl/worksheets/sheet34510.xml"/>
  <Override ContentType="application/vnd.openxmlformats-officedocument.spreadsheetml.worksheet+xml" PartName="/xl/worksheets/sheet34511.xml"/>
  <Override ContentType="application/vnd.openxmlformats-officedocument.spreadsheetml.worksheet+xml" PartName="/xl/worksheets/sheet34512.xml"/>
  <Override ContentType="application/vnd.openxmlformats-officedocument.spreadsheetml.worksheet+xml" PartName="/xl/worksheets/sheet34513.xml"/>
  <Override ContentType="application/vnd.openxmlformats-officedocument.spreadsheetml.worksheet+xml" PartName="/xl/worksheets/sheet34514.xml"/>
  <Override ContentType="application/vnd.openxmlformats-officedocument.spreadsheetml.worksheet+xml" PartName="/xl/worksheets/sheet34515.xml"/>
  <Override ContentType="application/vnd.openxmlformats-officedocument.spreadsheetml.worksheet+xml" PartName="/xl/worksheets/sheet34516.xml"/>
  <Override ContentType="application/vnd.openxmlformats-officedocument.spreadsheetml.worksheet+xml" PartName="/xl/worksheets/sheet34517.xml"/>
  <Override ContentType="application/vnd.openxmlformats-officedocument.spreadsheetml.worksheet+xml" PartName="/xl/worksheets/sheet34518.xml"/>
  <Override ContentType="application/vnd.openxmlformats-officedocument.spreadsheetml.worksheet+xml" PartName="/xl/worksheets/sheet34519.xml"/>
  <Override ContentType="application/vnd.openxmlformats-officedocument.spreadsheetml.worksheet+xml" PartName="/xl/worksheets/sheet34520.xml"/>
  <Override ContentType="application/vnd.openxmlformats-officedocument.spreadsheetml.worksheet+xml" PartName="/xl/worksheets/sheet34521.xml"/>
  <Override ContentType="application/vnd.openxmlformats-officedocument.spreadsheetml.worksheet+xml" PartName="/xl/worksheets/sheet34522.xml"/>
  <Override ContentType="application/vnd.openxmlformats-officedocument.spreadsheetml.worksheet+xml" PartName="/xl/worksheets/sheet34523.xml"/>
  <Override ContentType="application/vnd.openxmlformats-officedocument.spreadsheetml.worksheet+xml" PartName="/xl/worksheets/sheet34524.xml"/>
  <Override ContentType="application/vnd.openxmlformats-officedocument.spreadsheetml.worksheet+xml" PartName="/xl/worksheets/sheet34525.xml"/>
  <Override ContentType="application/vnd.openxmlformats-officedocument.spreadsheetml.worksheet+xml" PartName="/xl/worksheets/sheet34526.xml"/>
  <Override ContentType="application/vnd.openxmlformats-officedocument.spreadsheetml.worksheet+xml" PartName="/xl/worksheets/sheet34527.xml"/>
  <Override ContentType="application/vnd.openxmlformats-officedocument.spreadsheetml.worksheet+xml" PartName="/xl/worksheets/sheet34528.xml"/>
  <Override ContentType="application/vnd.openxmlformats-officedocument.spreadsheetml.worksheet+xml" PartName="/xl/worksheets/sheet34529.xml"/>
  <Override ContentType="application/vnd.openxmlformats-officedocument.spreadsheetml.worksheet+xml" PartName="/xl/worksheets/sheet34530.xml"/>
  <Override ContentType="application/vnd.openxmlformats-officedocument.spreadsheetml.worksheet+xml" PartName="/xl/worksheets/sheet34531.xml"/>
  <Override ContentType="application/vnd.openxmlformats-officedocument.spreadsheetml.worksheet+xml" PartName="/xl/worksheets/sheet34532.xml"/>
  <Override ContentType="application/vnd.openxmlformats-officedocument.spreadsheetml.worksheet+xml" PartName="/xl/worksheets/sheet34533.xml"/>
  <Override ContentType="application/vnd.openxmlformats-officedocument.spreadsheetml.worksheet+xml" PartName="/xl/worksheets/sheet34534.xml"/>
  <Override ContentType="application/vnd.openxmlformats-officedocument.spreadsheetml.worksheet+xml" PartName="/xl/worksheets/sheet34535.xml"/>
  <Override ContentType="application/vnd.openxmlformats-officedocument.spreadsheetml.worksheet+xml" PartName="/xl/worksheets/sheet34536.xml"/>
  <Override ContentType="application/vnd.openxmlformats-officedocument.spreadsheetml.worksheet+xml" PartName="/xl/worksheets/sheet34537.xml"/>
  <Override ContentType="application/vnd.openxmlformats-officedocument.spreadsheetml.worksheet+xml" PartName="/xl/worksheets/sheet34538.xml"/>
  <Override ContentType="application/vnd.openxmlformats-officedocument.spreadsheetml.worksheet+xml" PartName="/xl/worksheets/sheet34539.xml"/>
  <Override ContentType="application/vnd.openxmlformats-officedocument.spreadsheetml.worksheet+xml" PartName="/xl/worksheets/sheet34540.xml"/>
  <Override ContentType="application/vnd.openxmlformats-officedocument.spreadsheetml.worksheet+xml" PartName="/xl/worksheets/sheet34541.xml"/>
  <Override ContentType="application/vnd.openxmlformats-officedocument.spreadsheetml.worksheet+xml" PartName="/xl/worksheets/sheet34542.xml"/>
  <Override ContentType="application/vnd.openxmlformats-officedocument.spreadsheetml.worksheet+xml" PartName="/xl/worksheets/sheet34543.xml"/>
  <Override ContentType="application/vnd.openxmlformats-officedocument.spreadsheetml.worksheet+xml" PartName="/xl/worksheets/sheet34544.xml"/>
  <Override ContentType="application/vnd.openxmlformats-officedocument.spreadsheetml.worksheet+xml" PartName="/xl/worksheets/sheet34545.xml"/>
  <Override ContentType="application/vnd.openxmlformats-officedocument.spreadsheetml.worksheet+xml" PartName="/xl/worksheets/sheet34546.xml"/>
  <Override ContentType="application/vnd.openxmlformats-officedocument.spreadsheetml.worksheet+xml" PartName="/xl/worksheets/sheet34547.xml"/>
  <Override ContentType="application/vnd.openxmlformats-officedocument.spreadsheetml.worksheet+xml" PartName="/xl/worksheets/sheet34548.xml"/>
  <Override ContentType="application/vnd.openxmlformats-officedocument.spreadsheetml.worksheet+xml" PartName="/xl/worksheets/sheet34549.xml"/>
  <Override ContentType="application/vnd.openxmlformats-officedocument.spreadsheetml.worksheet+xml" PartName="/xl/worksheets/sheet34550.xml"/>
  <Override ContentType="application/vnd.openxmlformats-officedocument.spreadsheetml.worksheet+xml" PartName="/xl/worksheets/sheet34551.xml"/>
  <Override ContentType="application/vnd.openxmlformats-officedocument.spreadsheetml.worksheet+xml" PartName="/xl/worksheets/sheet34552.xml"/>
  <Override ContentType="application/vnd.openxmlformats-officedocument.spreadsheetml.worksheet+xml" PartName="/xl/worksheets/sheet34553.xml"/>
  <Override ContentType="application/vnd.openxmlformats-officedocument.spreadsheetml.worksheet+xml" PartName="/xl/worksheets/sheet34554.xml"/>
  <Override ContentType="application/vnd.openxmlformats-officedocument.spreadsheetml.worksheet+xml" PartName="/xl/worksheets/sheet34555.xml"/>
  <Override ContentType="application/vnd.openxmlformats-officedocument.spreadsheetml.worksheet+xml" PartName="/xl/worksheets/sheet34556.xml"/>
  <Override ContentType="application/vnd.openxmlformats-officedocument.spreadsheetml.worksheet+xml" PartName="/xl/worksheets/sheet34557.xml"/>
  <Override ContentType="application/vnd.openxmlformats-officedocument.spreadsheetml.worksheet+xml" PartName="/xl/worksheets/sheet34558.xml"/>
  <Override ContentType="application/vnd.openxmlformats-officedocument.spreadsheetml.worksheet+xml" PartName="/xl/worksheets/sheet34559.xml"/>
  <Override ContentType="application/vnd.openxmlformats-officedocument.spreadsheetml.worksheet+xml" PartName="/xl/worksheets/sheet34560.xml"/>
  <Override ContentType="application/vnd.openxmlformats-officedocument.spreadsheetml.worksheet+xml" PartName="/xl/worksheets/sheet34561.xml"/>
  <Override ContentType="application/vnd.openxmlformats-officedocument.spreadsheetml.worksheet+xml" PartName="/xl/worksheets/sheet34562.xml"/>
  <Override ContentType="application/vnd.openxmlformats-officedocument.spreadsheetml.worksheet+xml" PartName="/xl/worksheets/sheet34563.xml"/>
  <Override ContentType="application/vnd.openxmlformats-officedocument.spreadsheetml.worksheet+xml" PartName="/xl/worksheets/sheet34564.xml"/>
  <Override ContentType="application/vnd.openxmlformats-officedocument.spreadsheetml.worksheet+xml" PartName="/xl/worksheets/sheet34565.xml"/>
  <Override ContentType="application/vnd.openxmlformats-officedocument.spreadsheetml.worksheet+xml" PartName="/xl/worksheets/sheet34566.xml"/>
  <Override ContentType="application/vnd.openxmlformats-officedocument.spreadsheetml.worksheet+xml" PartName="/xl/worksheets/sheet34567.xml"/>
  <Override ContentType="application/vnd.openxmlformats-officedocument.spreadsheetml.worksheet+xml" PartName="/xl/worksheets/sheet34568.xml"/>
  <Override ContentType="application/vnd.openxmlformats-officedocument.spreadsheetml.worksheet+xml" PartName="/xl/worksheets/sheet34569.xml"/>
  <Override ContentType="application/vnd.openxmlformats-officedocument.spreadsheetml.worksheet+xml" PartName="/xl/worksheets/sheet34570.xml"/>
  <Override ContentType="application/vnd.openxmlformats-officedocument.spreadsheetml.worksheet+xml" PartName="/xl/worksheets/sheet34571.xml"/>
  <Override ContentType="application/vnd.openxmlformats-officedocument.spreadsheetml.worksheet+xml" PartName="/xl/worksheets/sheet34572.xml"/>
  <Override ContentType="application/vnd.openxmlformats-officedocument.spreadsheetml.worksheet+xml" PartName="/xl/worksheets/sheet34573.xml"/>
  <Override ContentType="application/vnd.openxmlformats-officedocument.spreadsheetml.worksheet+xml" PartName="/xl/worksheets/sheet34574.xml"/>
  <Override ContentType="application/vnd.openxmlformats-officedocument.spreadsheetml.worksheet+xml" PartName="/xl/worksheets/sheet34575.xml"/>
  <Override ContentType="application/vnd.openxmlformats-officedocument.spreadsheetml.worksheet+xml" PartName="/xl/worksheets/sheet34576.xml"/>
  <Override ContentType="application/vnd.openxmlformats-officedocument.spreadsheetml.worksheet+xml" PartName="/xl/worksheets/sheet34577.xml"/>
  <Override ContentType="application/vnd.openxmlformats-officedocument.spreadsheetml.worksheet+xml" PartName="/xl/worksheets/sheet34578.xml"/>
  <Override ContentType="application/vnd.openxmlformats-officedocument.spreadsheetml.worksheet+xml" PartName="/xl/worksheets/sheet34579.xml"/>
  <Override ContentType="application/vnd.openxmlformats-officedocument.spreadsheetml.worksheet+xml" PartName="/xl/worksheets/sheet34580.xml"/>
  <Override ContentType="application/vnd.openxmlformats-officedocument.spreadsheetml.worksheet+xml" PartName="/xl/worksheets/sheet34581.xml"/>
  <Override ContentType="application/vnd.openxmlformats-officedocument.spreadsheetml.worksheet+xml" PartName="/xl/worksheets/sheet34582.xml"/>
  <Override ContentType="application/vnd.openxmlformats-officedocument.spreadsheetml.worksheet+xml" PartName="/xl/worksheets/sheet34583.xml"/>
  <Override ContentType="application/vnd.openxmlformats-officedocument.spreadsheetml.worksheet+xml" PartName="/xl/worksheets/sheet34584.xml"/>
  <Override ContentType="application/vnd.openxmlformats-officedocument.spreadsheetml.worksheet+xml" PartName="/xl/worksheets/sheet34585.xml"/>
  <Override ContentType="application/vnd.openxmlformats-officedocument.spreadsheetml.worksheet+xml" PartName="/xl/worksheets/sheet34586.xml"/>
  <Override ContentType="application/vnd.openxmlformats-officedocument.spreadsheetml.worksheet+xml" PartName="/xl/worksheets/sheet34587.xml"/>
  <Override ContentType="application/vnd.openxmlformats-officedocument.spreadsheetml.worksheet+xml" PartName="/xl/worksheets/sheet34588.xml"/>
  <Override ContentType="application/vnd.openxmlformats-officedocument.spreadsheetml.worksheet+xml" PartName="/xl/worksheets/sheet34589.xml"/>
  <Override ContentType="application/vnd.openxmlformats-officedocument.spreadsheetml.worksheet+xml" PartName="/xl/worksheets/sheet34590.xml"/>
  <Override ContentType="application/vnd.openxmlformats-officedocument.spreadsheetml.worksheet+xml" PartName="/xl/worksheets/sheet34591.xml"/>
  <Override ContentType="application/vnd.openxmlformats-officedocument.spreadsheetml.worksheet+xml" PartName="/xl/worksheets/sheet34592.xml"/>
  <Override ContentType="application/vnd.openxmlformats-officedocument.spreadsheetml.worksheet+xml" PartName="/xl/worksheets/sheet34593.xml"/>
  <Override ContentType="application/vnd.openxmlformats-officedocument.spreadsheetml.worksheet+xml" PartName="/xl/worksheets/sheet34594.xml"/>
  <Override ContentType="application/vnd.openxmlformats-officedocument.spreadsheetml.worksheet+xml" PartName="/xl/worksheets/sheet34595.xml"/>
  <Override ContentType="application/vnd.openxmlformats-officedocument.spreadsheetml.worksheet+xml" PartName="/xl/worksheets/sheet34596.xml"/>
  <Override ContentType="application/vnd.openxmlformats-officedocument.spreadsheetml.worksheet+xml" PartName="/xl/worksheets/sheet34597.xml"/>
  <Override ContentType="application/vnd.openxmlformats-officedocument.spreadsheetml.worksheet+xml" PartName="/xl/worksheets/sheet34598.xml"/>
  <Override ContentType="application/vnd.openxmlformats-officedocument.spreadsheetml.worksheet+xml" PartName="/xl/worksheets/sheet34599.xml"/>
  <Override ContentType="application/vnd.openxmlformats-officedocument.spreadsheetml.worksheet+xml" PartName="/xl/worksheets/sheet34600.xml"/>
  <Override ContentType="application/vnd.openxmlformats-officedocument.spreadsheetml.worksheet+xml" PartName="/xl/worksheets/sheet34601.xml"/>
  <Override ContentType="application/vnd.openxmlformats-officedocument.spreadsheetml.worksheet+xml" PartName="/xl/worksheets/sheet34602.xml"/>
  <Override ContentType="application/vnd.openxmlformats-officedocument.spreadsheetml.worksheet+xml" PartName="/xl/worksheets/sheet34603.xml"/>
  <Override ContentType="application/vnd.openxmlformats-officedocument.spreadsheetml.worksheet+xml" PartName="/xl/worksheets/sheet34604.xml"/>
  <Override ContentType="application/vnd.openxmlformats-officedocument.spreadsheetml.worksheet+xml" PartName="/xl/worksheets/sheet34605.xml"/>
  <Override ContentType="application/vnd.openxmlformats-officedocument.spreadsheetml.worksheet+xml" PartName="/xl/worksheets/sheet34606.xml"/>
  <Override ContentType="application/vnd.openxmlformats-officedocument.spreadsheetml.worksheet+xml" PartName="/xl/worksheets/sheet34607.xml"/>
  <Override ContentType="application/vnd.openxmlformats-officedocument.spreadsheetml.worksheet+xml" PartName="/xl/worksheets/sheet34608.xml"/>
  <Override ContentType="application/vnd.openxmlformats-officedocument.spreadsheetml.worksheet+xml" PartName="/xl/worksheets/sheet34609.xml"/>
  <Override ContentType="application/vnd.openxmlformats-officedocument.spreadsheetml.worksheet+xml" PartName="/xl/worksheets/sheet34610.xml"/>
  <Override ContentType="application/vnd.openxmlformats-officedocument.spreadsheetml.worksheet+xml" PartName="/xl/worksheets/sheet34611.xml"/>
  <Override ContentType="application/vnd.openxmlformats-officedocument.spreadsheetml.worksheet+xml" PartName="/xl/worksheets/sheet34612.xml"/>
  <Override ContentType="application/vnd.openxmlformats-officedocument.spreadsheetml.worksheet+xml" PartName="/xl/worksheets/sheet34613.xml"/>
  <Override ContentType="application/vnd.openxmlformats-officedocument.spreadsheetml.worksheet+xml" PartName="/xl/worksheets/sheet34614.xml"/>
  <Override ContentType="application/vnd.openxmlformats-officedocument.spreadsheetml.worksheet+xml" PartName="/xl/worksheets/sheet34615.xml"/>
  <Override ContentType="application/vnd.openxmlformats-officedocument.spreadsheetml.worksheet+xml" PartName="/xl/worksheets/sheet34616.xml"/>
  <Override ContentType="application/vnd.openxmlformats-officedocument.spreadsheetml.worksheet+xml" PartName="/xl/worksheets/sheet34617.xml"/>
  <Override ContentType="application/vnd.openxmlformats-officedocument.spreadsheetml.worksheet+xml" PartName="/xl/worksheets/sheet34618.xml"/>
  <Override ContentType="application/vnd.openxmlformats-officedocument.spreadsheetml.worksheet+xml" PartName="/xl/worksheets/sheet34619.xml"/>
  <Override ContentType="application/vnd.openxmlformats-officedocument.spreadsheetml.worksheet+xml" PartName="/xl/worksheets/sheet34620.xml"/>
  <Override ContentType="application/vnd.openxmlformats-officedocument.spreadsheetml.worksheet+xml" PartName="/xl/worksheets/sheet34621.xml"/>
  <Override ContentType="application/vnd.openxmlformats-officedocument.spreadsheetml.worksheet+xml" PartName="/xl/worksheets/sheet34622.xml"/>
  <Override ContentType="application/vnd.openxmlformats-officedocument.spreadsheetml.worksheet+xml" PartName="/xl/worksheets/sheet34623.xml"/>
  <Override ContentType="application/vnd.openxmlformats-officedocument.spreadsheetml.worksheet+xml" PartName="/xl/worksheets/sheet34624.xml"/>
  <Override ContentType="application/vnd.openxmlformats-officedocument.spreadsheetml.worksheet+xml" PartName="/xl/worksheets/sheet34625.xml"/>
  <Override ContentType="application/vnd.openxmlformats-officedocument.spreadsheetml.worksheet+xml" PartName="/xl/worksheets/sheet34626.xml"/>
  <Override ContentType="application/vnd.openxmlformats-officedocument.spreadsheetml.worksheet+xml" PartName="/xl/worksheets/sheet34627.xml"/>
  <Override ContentType="application/vnd.openxmlformats-officedocument.spreadsheetml.worksheet+xml" PartName="/xl/worksheets/sheet34628.xml"/>
  <Override ContentType="application/vnd.openxmlformats-officedocument.spreadsheetml.worksheet+xml" PartName="/xl/worksheets/sheet34629.xml"/>
  <Override ContentType="application/vnd.openxmlformats-officedocument.spreadsheetml.worksheet+xml" PartName="/xl/worksheets/sheet34630.xml"/>
  <Override ContentType="application/vnd.openxmlformats-officedocument.spreadsheetml.worksheet+xml" PartName="/xl/worksheets/sheet34631.xml"/>
  <Override ContentType="application/vnd.openxmlformats-officedocument.spreadsheetml.worksheet+xml" PartName="/xl/worksheets/sheet34632.xml"/>
  <Override ContentType="application/vnd.openxmlformats-officedocument.spreadsheetml.worksheet+xml" PartName="/xl/worksheets/sheet34633.xml"/>
  <Override ContentType="application/vnd.openxmlformats-officedocument.spreadsheetml.worksheet+xml" PartName="/xl/worksheets/sheet34634.xml"/>
  <Override ContentType="application/vnd.openxmlformats-officedocument.spreadsheetml.worksheet+xml" PartName="/xl/worksheets/sheet34635.xml"/>
  <Override ContentType="application/vnd.openxmlformats-officedocument.spreadsheetml.worksheet+xml" PartName="/xl/worksheets/sheet34636.xml"/>
  <Override ContentType="application/vnd.openxmlformats-officedocument.spreadsheetml.worksheet+xml" PartName="/xl/worksheets/sheet34637.xml"/>
  <Override ContentType="application/vnd.openxmlformats-officedocument.spreadsheetml.worksheet+xml" PartName="/xl/worksheets/sheet34638.xml"/>
  <Override ContentType="application/vnd.openxmlformats-officedocument.spreadsheetml.worksheet+xml" PartName="/xl/worksheets/sheet34639.xml"/>
  <Override ContentType="application/vnd.openxmlformats-officedocument.spreadsheetml.worksheet+xml" PartName="/xl/worksheets/sheet34640.xml"/>
  <Override ContentType="application/vnd.openxmlformats-officedocument.spreadsheetml.worksheet+xml" PartName="/xl/worksheets/sheet34641.xml"/>
  <Override ContentType="application/vnd.openxmlformats-officedocument.spreadsheetml.worksheet+xml" PartName="/xl/worksheets/sheet34642.xml"/>
  <Override ContentType="application/vnd.openxmlformats-officedocument.spreadsheetml.worksheet+xml" PartName="/xl/worksheets/sheet34643.xml"/>
  <Override ContentType="application/vnd.openxmlformats-officedocument.spreadsheetml.worksheet+xml" PartName="/xl/worksheets/sheet34644.xml"/>
  <Override ContentType="application/vnd.openxmlformats-officedocument.spreadsheetml.worksheet+xml" PartName="/xl/worksheets/sheet34645.xml"/>
  <Override ContentType="application/vnd.openxmlformats-officedocument.spreadsheetml.worksheet+xml" PartName="/xl/worksheets/sheet34646.xml"/>
  <Override ContentType="application/vnd.openxmlformats-officedocument.spreadsheetml.worksheet+xml" PartName="/xl/worksheets/sheet34647.xml"/>
  <Override ContentType="application/vnd.openxmlformats-officedocument.spreadsheetml.worksheet+xml" PartName="/xl/worksheets/sheet34648.xml"/>
  <Override ContentType="application/vnd.openxmlformats-officedocument.spreadsheetml.worksheet+xml" PartName="/xl/worksheets/sheet34649.xml"/>
  <Override ContentType="application/vnd.openxmlformats-officedocument.spreadsheetml.worksheet+xml" PartName="/xl/worksheets/sheet34650.xml"/>
  <Override ContentType="application/vnd.openxmlformats-officedocument.spreadsheetml.worksheet+xml" PartName="/xl/worksheets/sheet34651.xml"/>
  <Override ContentType="application/vnd.openxmlformats-officedocument.spreadsheetml.worksheet+xml" PartName="/xl/worksheets/sheet34652.xml"/>
  <Override ContentType="application/vnd.openxmlformats-officedocument.spreadsheetml.worksheet+xml" PartName="/xl/worksheets/sheet34653.xml"/>
  <Override ContentType="application/vnd.openxmlformats-officedocument.spreadsheetml.worksheet+xml" PartName="/xl/worksheets/sheet34654.xml"/>
  <Override ContentType="application/vnd.openxmlformats-officedocument.spreadsheetml.worksheet+xml" PartName="/xl/worksheets/sheet34655.xml"/>
  <Override ContentType="application/vnd.openxmlformats-officedocument.spreadsheetml.worksheet+xml" PartName="/xl/worksheets/sheet34656.xml"/>
  <Override ContentType="application/vnd.openxmlformats-officedocument.spreadsheetml.worksheet+xml" PartName="/xl/worksheets/sheet34657.xml"/>
  <Override ContentType="application/vnd.openxmlformats-officedocument.spreadsheetml.worksheet+xml" PartName="/xl/worksheets/sheet34658.xml"/>
  <Override ContentType="application/vnd.openxmlformats-officedocument.spreadsheetml.worksheet+xml" PartName="/xl/worksheets/sheet34659.xml"/>
  <Override ContentType="application/vnd.openxmlformats-officedocument.spreadsheetml.worksheet+xml" PartName="/xl/worksheets/sheet34660.xml"/>
  <Override ContentType="application/vnd.openxmlformats-officedocument.spreadsheetml.worksheet+xml" PartName="/xl/worksheets/sheet34661.xml"/>
  <Override ContentType="application/vnd.openxmlformats-officedocument.spreadsheetml.worksheet+xml" PartName="/xl/worksheets/sheet34662.xml"/>
  <Override ContentType="application/vnd.openxmlformats-officedocument.spreadsheetml.worksheet+xml" PartName="/xl/worksheets/sheet34663.xml"/>
  <Override ContentType="application/vnd.openxmlformats-officedocument.spreadsheetml.worksheet+xml" PartName="/xl/worksheets/sheet34664.xml"/>
  <Override ContentType="application/vnd.openxmlformats-officedocument.spreadsheetml.worksheet+xml" PartName="/xl/worksheets/sheet34665.xml"/>
  <Override ContentType="application/vnd.openxmlformats-officedocument.spreadsheetml.worksheet+xml" PartName="/xl/worksheets/sheet34666.xml"/>
  <Override ContentType="application/vnd.openxmlformats-officedocument.spreadsheetml.worksheet+xml" PartName="/xl/worksheets/sheet34667.xml"/>
  <Override ContentType="application/vnd.openxmlformats-officedocument.spreadsheetml.worksheet+xml" PartName="/xl/worksheets/sheet34668.xml"/>
  <Override ContentType="application/vnd.openxmlformats-officedocument.spreadsheetml.worksheet+xml" PartName="/xl/worksheets/sheet34669.xml"/>
  <Override ContentType="application/vnd.openxmlformats-officedocument.spreadsheetml.worksheet+xml" PartName="/xl/worksheets/sheet34670.xml"/>
  <Override ContentType="application/vnd.openxmlformats-officedocument.spreadsheetml.worksheet+xml" PartName="/xl/worksheets/sheet34671.xml"/>
  <Override ContentType="application/vnd.openxmlformats-officedocument.spreadsheetml.worksheet+xml" PartName="/xl/worksheets/sheet34672.xml"/>
  <Override ContentType="application/vnd.openxmlformats-officedocument.spreadsheetml.worksheet+xml" PartName="/xl/worksheets/sheet34673.xml"/>
  <Override ContentType="application/vnd.openxmlformats-officedocument.spreadsheetml.worksheet+xml" PartName="/xl/worksheets/sheet34674.xml"/>
  <Override ContentType="application/vnd.openxmlformats-officedocument.spreadsheetml.worksheet+xml" PartName="/xl/worksheets/sheet34675.xml"/>
  <Override ContentType="application/vnd.openxmlformats-officedocument.spreadsheetml.worksheet+xml" PartName="/xl/worksheets/sheet34676.xml"/>
  <Override ContentType="application/vnd.openxmlformats-officedocument.spreadsheetml.worksheet+xml" PartName="/xl/worksheets/sheet34677.xml"/>
  <Override ContentType="application/vnd.openxmlformats-officedocument.spreadsheetml.worksheet+xml" PartName="/xl/worksheets/sheet34678.xml"/>
  <Override ContentType="application/vnd.openxmlformats-officedocument.spreadsheetml.worksheet+xml" PartName="/xl/worksheets/sheet34679.xml"/>
  <Override ContentType="application/vnd.openxmlformats-officedocument.spreadsheetml.worksheet+xml" PartName="/xl/worksheets/sheet34680.xml"/>
  <Override ContentType="application/vnd.openxmlformats-officedocument.spreadsheetml.worksheet+xml" PartName="/xl/worksheets/sheet34681.xml"/>
  <Override ContentType="application/vnd.openxmlformats-officedocument.spreadsheetml.worksheet+xml" PartName="/xl/worksheets/sheet34682.xml"/>
  <Override ContentType="application/vnd.openxmlformats-officedocument.spreadsheetml.worksheet+xml" PartName="/xl/worksheets/sheet34683.xml"/>
  <Override ContentType="application/vnd.openxmlformats-officedocument.spreadsheetml.worksheet+xml" PartName="/xl/worksheets/sheet34684.xml"/>
  <Override ContentType="application/vnd.openxmlformats-officedocument.spreadsheetml.worksheet+xml" PartName="/xl/worksheets/sheet34685.xml"/>
  <Override ContentType="application/vnd.openxmlformats-officedocument.spreadsheetml.worksheet+xml" PartName="/xl/worksheets/sheet34686.xml"/>
  <Override ContentType="application/vnd.openxmlformats-officedocument.spreadsheetml.worksheet+xml" PartName="/xl/worksheets/sheet34687.xml"/>
  <Override ContentType="application/vnd.openxmlformats-officedocument.spreadsheetml.worksheet+xml" PartName="/xl/worksheets/sheet34688.xml"/>
  <Override ContentType="application/vnd.openxmlformats-officedocument.spreadsheetml.worksheet+xml" PartName="/xl/worksheets/sheet34689.xml"/>
  <Override ContentType="application/vnd.openxmlformats-officedocument.spreadsheetml.worksheet+xml" PartName="/xl/worksheets/sheet34690.xml"/>
  <Override ContentType="application/vnd.openxmlformats-officedocument.spreadsheetml.worksheet+xml" PartName="/xl/worksheets/sheet34691.xml"/>
  <Override ContentType="application/vnd.openxmlformats-officedocument.spreadsheetml.worksheet+xml" PartName="/xl/worksheets/sheet34692.xml"/>
  <Override ContentType="application/vnd.openxmlformats-officedocument.spreadsheetml.worksheet+xml" PartName="/xl/worksheets/sheet34693.xml"/>
  <Override ContentType="application/vnd.openxmlformats-officedocument.spreadsheetml.worksheet+xml" PartName="/xl/worksheets/sheet34694.xml"/>
  <Override ContentType="application/vnd.openxmlformats-officedocument.spreadsheetml.worksheet+xml" PartName="/xl/worksheets/sheet34695.xml"/>
  <Override ContentType="application/vnd.openxmlformats-officedocument.spreadsheetml.worksheet+xml" PartName="/xl/worksheets/sheet34696.xml"/>
  <Override ContentType="application/vnd.openxmlformats-officedocument.spreadsheetml.worksheet+xml" PartName="/xl/worksheets/sheet34697.xml"/>
  <Override ContentType="application/vnd.openxmlformats-officedocument.spreadsheetml.worksheet+xml" PartName="/xl/worksheets/sheet34698.xml"/>
  <Override ContentType="application/vnd.openxmlformats-officedocument.spreadsheetml.worksheet+xml" PartName="/xl/worksheets/sheet34699.xml"/>
  <Override ContentType="application/vnd.openxmlformats-officedocument.spreadsheetml.worksheet+xml" PartName="/xl/worksheets/sheet34700.xml"/>
  <Override ContentType="application/vnd.openxmlformats-officedocument.spreadsheetml.worksheet+xml" PartName="/xl/worksheets/sheet34701.xml"/>
  <Override ContentType="application/vnd.openxmlformats-officedocument.spreadsheetml.worksheet+xml" PartName="/xl/worksheets/sheet34702.xml"/>
  <Override ContentType="application/vnd.openxmlformats-officedocument.spreadsheetml.worksheet+xml" PartName="/xl/worksheets/sheet34703.xml"/>
  <Override ContentType="application/vnd.openxmlformats-officedocument.spreadsheetml.worksheet+xml" PartName="/xl/worksheets/sheet34704.xml"/>
  <Override ContentType="application/vnd.openxmlformats-officedocument.spreadsheetml.worksheet+xml" PartName="/xl/worksheets/sheet34705.xml"/>
  <Override ContentType="application/vnd.openxmlformats-officedocument.spreadsheetml.worksheet+xml" PartName="/xl/worksheets/sheet34706.xml"/>
  <Override ContentType="application/vnd.openxmlformats-officedocument.spreadsheetml.worksheet+xml" PartName="/xl/worksheets/sheet34707.xml"/>
  <Override ContentType="application/vnd.openxmlformats-officedocument.spreadsheetml.worksheet+xml" PartName="/xl/worksheets/sheet34708.xml"/>
  <Override ContentType="application/vnd.openxmlformats-officedocument.spreadsheetml.worksheet+xml" PartName="/xl/worksheets/sheet34709.xml"/>
  <Override ContentType="application/vnd.openxmlformats-officedocument.spreadsheetml.worksheet+xml" PartName="/xl/worksheets/sheet34710.xml"/>
  <Override ContentType="application/vnd.openxmlformats-officedocument.spreadsheetml.worksheet+xml" PartName="/xl/worksheets/sheet34711.xml"/>
  <Override ContentType="application/vnd.openxmlformats-officedocument.spreadsheetml.worksheet+xml" PartName="/xl/worksheets/sheet34712.xml"/>
  <Override ContentType="application/vnd.openxmlformats-officedocument.spreadsheetml.worksheet+xml" PartName="/xl/worksheets/sheet34713.xml"/>
  <Override ContentType="application/vnd.openxmlformats-officedocument.spreadsheetml.worksheet+xml" PartName="/xl/worksheets/sheet34714.xml"/>
  <Override ContentType="application/vnd.openxmlformats-officedocument.spreadsheetml.worksheet+xml" PartName="/xl/worksheets/sheet34715.xml"/>
  <Override ContentType="application/vnd.openxmlformats-officedocument.spreadsheetml.worksheet+xml" PartName="/xl/worksheets/sheet34716.xml"/>
  <Override ContentType="application/vnd.openxmlformats-officedocument.spreadsheetml.worksheet+xml" PartName="/xl/worksheets/sheet34717.xml"/>
  <Override ContentType="application/vnd.openxmlformats-officedocument.spreadsheetml.worksheet+xml" PartName="/xl/worksheets/sheet34718.xml"/>
  <Override ContentType="application/vnd.openxmlformats-officedocument.spreadsheetml.worksheet+xml" PartName="/xl/worksheets/sheet34719.xml"/>
  <Override ContentType="application/vnd.openxmlformats-officedocument.spreadsheetml.worksheet+xml" PartName="/xl/worksheets/sheet34720.xml"/>
  <Override ContentType="application/vnd.openxmlformats-officedocument.spreadsheetml.worksheet+xml" PartName="/xl/worksheets/sheet34721.xml"/>
  <Override ContentType="application/vnd.openxmlformats-officedocument.spreadsheetml.worksheet+xml" PartName="/xl/worksheets/sheet34722.xml"/>
  <Override ContentType="application/vnd.openxmlformats-officedocument.spreadsheetml.worksheet+xml" PartName="/xl/worksheets/sheet34723.xml"/>
  <Override ContentType="application/vnd.openxmlformats-officedocument.spreadsheetml.worksheet+xml" PartName="/xl/worksheets/sheet34724.xml"/>
  <Override ContentType="application/vnd.openxmlformats-officedocument.spreadsheetml.worksheet+xml" PartName="/xl/worksheets/sheet34725.xml"/>
  <Override ContentType="application/vnd.openxmlformats-officedocument.spreadsheetml.worksheet+xml" PartName="/xl/worksheets/sheet34726.xml"/>
  <Override ContentType="application/vnd.openxmlformats-officedocument.spreadsheetml.worksheet+xml" PartName="/xl/worksheets/sheet34727.xml"/>
  <Override ContentType="application/vnd.openxmlformats-officedocument.spreadsheetml.worksheet+xml" PartName="/xl/worksheets/sheet34728.xml"/>
  <Override ContentType="application/vnd.openxmlformats-officedocument.spreadsheetml.worksheet+xml" PartName="/xl/worksheets/sheet34729.xml"/>
  <Override ContentType="application/vnd.openxmlformats-officedocument.spreadsheetml.worksheet+xml" PartName="/xl/worksheets/sheet34730.xml"/>
  <Override ContentType="application/vnd.openxmlformats-officedocument.spreadsheetml.worksheet+xml" PartName="/xl/worksheets/sheet34731.xml"/>
  <Override ContentType="application/vnd.openxmlformats-officedocument.spreadsheetml.worksheet+xml" PartName="/xl/worksheets/sheet34732.xml"/>
  <Override ContentType="application/vnd.openxmlformats-officedocument.spreadsheetml.worksheet+xml" PartName="/xl/worksheets/sheet34733.xml"/>
  <Override ContentType="application/vnd.openxmlformats-officedocument.spreadsheetml.worksheet+xml" PartName="/xl/worksheets/sheet34734.xml"/>
  <Override ContentType="application/vnd.openxmlformats-officedocument.spreadsheetml.worksheet+xml" PartName="/xl/worksheets/sheet34735.xml"/>
  <Override ContentType="application/vnd.openxmlformats-officedocument.spreadsheetml.worksheet+xml" PartName="/xl/worksheets/sheet34736.xml"/>
  <Override ContentType="application/vnd.openxmlformats-officedocument.spreadsheetml.worksheet+xml" PartName="/xl/worksheets/sheet34737.xml"/>
  <Override ContentType="application/vnd.openxmlformats-officedocument.spreadsheetml.worksheet+xml" PartName="/xl/worksheets/sheet34738.xml"/>
  <Override ContentType="application/vnd.openxmlformats-officedocument.spreadsheetml.worksheet+xml" PartName="/xl/worksheets/sheet34739.xml"/>
  <Override ContentType="application/vnd.openxmlformats-officedocument.spreadsheetml.worksheet+xml" PartName="/xl/worksheets/sheet34740.xml"/>
  <Override ContentType="application/vnd.openxmlformats-officedocument.spreadsheetml.worksheet+xml" PartName="/xl/worksheets/sheet34741.xml"/>
  <Override ContentType="application/vnd.openxmlformats-officedocument.spreadsheetml.worksheet+xml" PartName="/xl/worksheets/sheet34742.xml"/>
  <Override ContentType="application/vnd.openxmlformats-officedocument.spreadsheetml.worksheet+xml" PartName="/xl/worksheets/sheet34743.xml"/>
  <Override ContentType="application/vnd.openxmlformats-officedocument.spreadsheetml.worksheet+xml" PartName="/xl/worksheets/sheet34744.xml"/>
  <Override ContentType="application/vnd.openxmlformats-officedocument.spreadsheetml.worksheet+xml" PartName="/xl/worksheets/sheet34745.xml"/>
  <Override ContentType="application/vnd.openxmlformats-officedocument.spreadsheetml.worksheet+xml" PartName="/xl/worksheets/sheet34746.xml"/>
  <Override ContentType="application/vnd.openxmlformats-officedocument.spreadsheetml.worksheet+xml" PartName="/xl/worksheets/sheet34747.xml"/>
  <Override ContentType="application/vnd.openxmlformats-officedocument.spreadsheetml.worksheet+xml" PartName="/xl/worksheets/sheet34748.xml"/>
  <Override ContentType="application/vnd.openxmlformats-officedocument.spreadsheetml.worksheet+xml" PartName="/xl/worksheets/sheet34749.xml"/>
  <Override ContentType="application/vnd.openxmlformats-officedocument.spreadsheetml.worksheet+xml" PartName="/xl/worksheets/sheet34750.xml"/>
  <Override ContentType="application/vnd.openxmlformats-officedocument.spreadsheetml.worksheet+xml" PartName="/xl/worksheets/sheet34751.xml"/>
  <Override ContentType="application/vnd.openxmlformats-officedocument.spreadsheetml.worksheet+xml" PartName="/xl/worksheets/sheet34752.xml"/>
  <Override ContentType="application/vnd.openxmlformats-officedocument.spreadsheetml.worksheet+xml" PartName="/xl/worksheets/sheet34753.xml"/>
  <Override ContentType="application/vnd.openxmlformats-officedocument.spreadsheetml.worksheet+xml" PartName="/xl/worksheets/sheet34754.xml"/>
  <Override ContentType="application/vnd.openxmlformats-officedocument.spreadsheetml.worksheet+xml" PartName="/xl/worksheets/sheet34755.xml"/>
  <Override ContentType="application/vnd.openxmlformats-officedocument.spreadsheetml.worksheet+xml" PartName="/xl/worksheets/sheet34756.xml"/>
  <Override ContentType="application/vnd.openxmlformats-officedocument.spreadsheetml.worksheet+xml" PartName="/xl/worksheets/sheet34757.xml"/>
  <Override ContentType="application/vnd.openxmlformats-officedocument.spreadsheetml.worksheet+xml" PartName="/xl/worksheets/sheet34758.xml"/>
  <Override ContentType="application/vnd.openxmlformats-officedocument.spreadsheetml.worksheet+xml" PartName="/xl/worksheets/sheet34759.xml"/>
  <Override ContentType="application/vnd.openxmlformats-officedocument.spreadsheetml.worksheet+xml" PartName="/xl/worksheets/sheet34760.xml"/>
  <Override ContentType="application/vnd.openxmlformats-officedocument.spreadsheetml.worksheet+xml" PartName="/xl/worksheets/sheet34761.xml"/>
  <Override ContentType="application/vnd.openxmlformats-officedocument.spreadsheetml.worksheet+xml" PartName="/xl/worksheets/sheet34762.xml"/>
  <Override ContentType="application/vnd.openxmlformats-officedocument.spreadsheetml.worksheet+xml" PartName="/xl/worksheets/sheet34763.xml"/>
  <Override ContentType="application/vnd.openxmlformats-officedocument.spreadsheetml.worksheet+xml" PartName="/xl/worksheets/sheet34764.xml"/>
  <Override ContentType="application/vnd.openxmlformats-officedocument.spreadsheetml.worksheet+xml" PartName="/xl/worksheets/sheet34765.xml"/>
  <Override ContentType="application/vnd.openxmlformats-officedocument.spreadsheetml.worksheet+xml" PartName="/xl/worksheets/sheet34766.xml"/>
  <Override ContentType="application/vnd.openxmlformats-officedocument.spreadsheetml.worksheet+xml" PartName="/xl/worksheets/sheet34767.xml"/>
  <Override ContentType="application/vnd.openxmlformats-officedocument.spreadsheetml.worksheet+xml" PartName="/xl/worksheets/sheet34768.xml"/>
  <Override ContentType="application/vnd.openxmlformats-officedocument.spreadsheetml.worksheet+xml" PartName="/xl/worksheets/sheet34769.xml"/>
  <Override ContentType="application/vnd.openxmlformats-officedocument.spreadsheetml.worksheet+xml" PartName="/xl/worksheets/sheet34770.xml"/>
  <Override ContentType="application/vnd.openxmlformats-officedocument.spreadsheetml.worksheet+xml" PartName="/xl/worksheets/sheet34771.xml"/>
  <Override ContentType="application/vnd.openxmlformats-officedocument.spreadsheetml.worksheet+xml" PartName="/xl/worksheets/sheet34772.xml"/>
  <Override ContentType="application/vnd.openxmlformats-officedocument.spreadsheetml.worksheet+xml" PartName="/xl/worksheets/sheet34773.xml"/>
  <Override ContentType="application/vnd.openxmlformats-officedocument.spreadsheetml.worksheet+xml" PartName="/xl/worksheets/sheet34774.xml"/>
  <Override ContentType="application/vnd.openxmlformats-officedocument.spreadsheetml.worksheet+xml" PartName="/xl/worksheets/sheet34775.xml"/>
  <Override ContentType="application/vnd.openxmlformats-officedocument.spreadsheetml.worksheet+xml" PartName="/xl/worksheets/sheet34776.xml"/>
  <Override ContentType="application/vnd.openxmlformats-officedocument.spreadsheetml.worksheet+xml" PartName="/xl/worksheets/sheet34777.xml"/>
  <Override ContentType="application/vnd.openxmlformats-officedocument.spreadsheetml.worksheet+xml" PartName="/xl/worksheets/sheet34778.xml"/>
  <Override ContentType="application/vnd.openxmlformats-officedocument.spreadsheetml.worksheet+xml" PartName="/xl/worksheets/sheet34779.xml"/>
  <Override ContentType="application/vnd.openxmlformats-officedocument.spreadsheetml.worksheet+xml" PartName="/xl/worksheets/sheet34780.xml"/>
  <Override ContentType="application/vnd.openxmlformats-officedocument.spreadsheetml.worksheet+xml" PartName="/xl/worksheets/sheet34781.xml"/>
  <Override ContentType="application/vnd.openxmlformats-officedocument.spreadsheetml.worksheet+xml" PartName="/xl/worksheets/sheet34782.xml"/>
  <Override ContentType="application/vnd.openxmlformats-officedocument.spreadsheetml.worksheet+xml" PartName="/xl/worksheets/sheet34783.xml"/>
  <Override ContentType="application/vnd.openxmlformats-officedocument.spreadsheetml.worksheet+xml" PartName="/xl/worksheets/sheet34784.xml"/>
  <Override ContentType="application/vnd.openxmlformats-officedocument.spreadsheetml.worksheet+xml" PartName="/xl/worksheets/sheet34785.xml"/>
  <Override ContentType="application/vnd.openxmlformats-officedocument.spreadsheetml.worksheet+xml" PartName="/xl/worksheets/sheet34786.xml"/>
  <Override ContentType="application/vnd.openxmlformats-officedocument.spreadsheetml.worksheet+xml" PartName="/xl/worksheets/sheet34787.xml"/>
  <Override ContentType="application/vnd.openxmlformats-officedocument.spreadsheetml.worksheet+xml" PartName="/xl/worksheets/sheet34788.xml"/>
  <Override ContentType="application/vnd.openxmlformats-officedocument.spreadsheetml.worksheet+xml" PartName="/xl/worksheets/sheet34789.xml"/>
  <Override ContentType="application/vnd.openxmlformats-officedocument.spreadsheetml.worksheet+xml" PartName="/xl/worksheets/sheet34790.xml"/>
  <Override ContentType="application/vnd.openxmlformats-officedocument.spreadsheetml.worksheet+xml" PartName="/xl/worksheets/sheet34791.xml"/>
  <Override ContentType="application/vnd.openxmlformats-officedocument.spreadsheetml.worksheet+xml" PartName="/xl/worksheets/sheet34792.xml"/>
  <Override ContentType="application/vnd.openxmlformats-officedocument.spreadsheetml.worksheet+xml" PartName="/xl/worksheets/sheet34793.xml"/>
  <Override ContentType="application/vnd.openxmlformats-officedocument.spreadsheetml.worksheet+xml" PartName="/xl/worksheets/sheet34794.xml"/>
  <Override ContentType="application/vnd.openxmlformats-officedocument.spreadsheetml.worksheet+xml" PartName="/xl/worksheets/sheet34795.xml"/>
  <Override ContentType="application/vnd.openxmlformats-officedocument.spreadsheetml.worksheet+xml" PartName="/xl/worksheets/sheet34796.xml"/>
  <Override ContentType="application/vnd.openxmlformats-officedocument.spreadsheetml.worksheet+xml" PartName="/xl/worksheets/sheet34797.xml"/>
  <Override ContentType="application/vnd.openxmlformats-officedocument.spreadsheetml.worksheet+xml" PartName="/xl/worksheets/sheet34798.xml"/>
  <Override ContentType="application/vnd.openxmlformats-officedocument.spreadsheetml.worksheet+xml" PartName="/xl/worksheets/sheet34799.xml"/>
  <Override ContentType="application/vnd.openxmlformats-officedocument.spreadsheetml.worksheet+xml" PartName="/xl/worksheets/sheet34800.xml"/>
  <Override ContentType="application/vnd.openxmlformats-officedocument.spreadsheetml.worksheet+xml" PartName="/xl/worksheets/sheet34801.xml"/>
  <Override ContentType="application/vnd.openxmlformats-officedocument.spreadsheetml.worksheet+xml" PartName="/xl/worksheets/sheet34802.xml"/>
  <Override ContentType="application/vnd.openxmlformats-officedocument.spreadsheetml.worksheet+xml" PartName="/xl/worksheets/sheet34803.xml"/>
  <Override ContentType="application/vnd.openxmlformats-officedocument.spreadsheetml.worksheet+xml" PartName="/xl/worksheets/sheet34804.xml"/>
  <Override ContentType="application/vnd.openxmlformats-officedocument.spreadsheetml.worksheet+xml" PartName="/xl/worksheets/sheet34805.xml"/>
  <Override ContentType="application/vnd.openxmlformats-officedocument.spreadsheetml.worksheet+xml" PartName="/xl/worksheets/sheet34806.xml"/>
  <Override ContentType="application/vnd.openxmlformats-officedocument.spreadsheetml.worksheet+xml" PartName="/xl/worksheets/sheet34807.xml"/>
  <Override ContentType="application/vnd.openxmlformats-officedocument.spreadsheetml.worksheet+xml" PartName="/xl/worksheets/sheet34808.xml"/>
  <Override ContentType="application/vnd.openxmlformats-officedocument.spreadsheetml.worksheet+xml" PartName="/xl/worksheets/sheet34809.xml"/>
  <Override ContentType="application/vnd.openxmlformats-officedocument.spreadsheetml.worksheet+xml" PartName="/xl/worksheets/sheet34810.xml"/>
  <Override ContentType="application/vnd.openxmlformats-officedocument.spreadsheetml.worksheet+xml" PartName="/xl/worksheets/sheet34811.xml"/>
  <Override ContentType="application/vnd.openxmlformats-officedocument.spreadsheetml.worksheet+xml" PartName="/xl/worksheets/sheet34812.xml"/>
  <Override ContentType="application/vnd.openxmlformats-officedocument.spreadsheetml.worksheet+xml" PartName="/xl/worksheets/sheet34813.xml"/>
  <Override ContentType="application/vnd.openxmlformats-officedocument.spreadsheetml.worksheet+xml" PartName="/xl/worksheets/sheet34814.xml"/>
  <Override ContentType="application/vnd.openxmlformats-officedocument.spreadsheetml.worksheet+xml" PartName="/xl/worksheets/sheet34815.xml"/>
  <Override ContentType="application/vnd.openxmlformats-officedocument.spreadsheetml.worksheet+xml" PartName="/xl/worksheets/sheet34816.xml"/>
  <Override ContentType="application/vnd.openxmlformats-officedocument.spreadsheetml.worksheet+xml" PartName="/xl/worksheets/sheet34817.xml"/>
  <Override ContentType="application/vnd.openxmlformats-officedocument.spreadsheetml.worksheet+xml" PartName="/xl/worksheets/sheet34818.xml"/>
  <Override ContentType="application/vnd.openxmlformats-officedocument.spreadsheetml.worksheet+xml" PartName="/xl/worksheets/sheet34819.xml"/>
  <Override ContentType="application/vnd.openxmlformats-officedocument.spreadsheetml.worksheet+xml" PartName="/xl/worksheets/sheet34820.xml"/>
  <Override ContentType="application/vnd.openxmlformats-officedocument.spreadsheetml.worksheet+xml" PartName="/xl/worksheets/sheet34821.xml"/>
  <Override ContentType="application/vnd.openxmlformats-officedocument.spreadsheetml.worksheet+xml" PartName="/xl/worksheets/sheet34822.xml"/>
  <Override ContentType="application/vnd.openxmlformats-officedocument.spreadsheetml.worksheet+xml" PartName="/xl/worksheets/sheet34823.xml"/>
  <Override ContentType="application/vnd.openxmlformats-officedocument.spreadsheetml.worksheet+xml" PartName="/xl/worksheets/sheet34824.xml"/>
  <Override ContentType="application/vnd.openxmlformats-officedocument.spreadsheetml.worksheet+xml" PartName="/xl/worksheets/sheet34825.xml"/>
  <Override ContentType="application/vnd.openxmlformats-officedocument.spreadsheetml.worksheet+xml" PartName="/xl/worksheets/sheet34826.xml"/>
  <Override ContentType="application/vnd.openxmlformats-officedocument.spreadsheetml.worksheet+xml" PartName="/xl/worksheets/sheet34827.xml"/>
  <Override ContentType="application/vnd.openxmlformats-officedocument.spreadsheetml.worksheet+xml" PartName="/xl/worksheets/sheet34828.xml"/>
  <Override ContentType="application/vnd.openxmlformats-officedocument.spreadsheetml.worksheet+xml" PartName="/xl/worksheets/sheet34829.xml"/>
  <Override ContentType="application/vnd.openxmlformats-officedocument.spreadsheetml.worksheet+xml" PartName="/xl/worksheets/sheet34830.xml"/>
  <Override ContentType="application/vnd.openxmlformats-officedocument.spreadsheetml.worksheet+xml" PartName="/xl/worksheets/sheet34831.xml"/>
  <Override ContentType="application/vnd.openxmlformats-officedocument.spreadsheetml.worksheet+xml" PartName="/xl/worksheets/sheet34832.xml"/>
  <Override ContentType="application/vnd.openxmlformats-officedocument.spreadsheetml.worksheet+xml" PartName="/xl/worksheets/sheet34833.xml"/>
  <Override ContentType="application/vnd.openxmlformats-officedocument.spreadsheetml.worksheet+xml" PartName="/xl/worksheets/sheet34834.xml"/>
  <Override ContentType="application/vnd.openxmlformats-officedocument.spreadsheetml.worksheet+xml" PartName="/xl/worksheets/sheet34835.xml"/>
  <Override ContentType="application/vnd.openxmlformats-officedocument.spreadsheetml.worksheet+xml" PartName="/xl/worksheets/sheet34836.xml"/>
  <Override ContentType="application/vnd.openxmlformats-officedocument.spreadsheetml.worksheet+xml" PartName="/xl/worksheets/sheet34837.xml"/>
  <Override ContentType="application/vnd.openxmlformats-officedocument.spreadsheetml.worksheet+xml" PartName="/xl/worksheets/sheet34838.xml"/>
  <Override ContentType="application/vnd.openxmlformats-officedocument.spreadsheetml.worksheet+xml" PartName="/xl/worksheets/sheet34839.xml"/>
  <Override ContentType="application/vnd.openxmlformats-officedocument.spreadsheetml.worksheet+xml" PartName="/xl/worksheets/sheet34840.xml"/>
  <Override ContentType="application/vnd.openxmlformats-officedocument.spreadsheetml.worksheet+xml" PartName="/xl/worksheets/sheet34841.xml"/>
  <Override ContentType="application/vnd.openxmlformats-officedocument.spreadsheetml.worksheet+xml" PartName="/xl/worksheets/sheet34842.xml"/>
  <Override ContentType="application/vnd.openxmlformats-officedocument.spreadsheetml.worksheet+xml" PartName="/xl/worksheets/sheet34843.xml"/>
  <Override ContentType="application/vnd.openxmlformats-officedocument.spreadsheetml.worksheet+xml" PartName="/xl/worksheets/sheet34844.xml"/>
  <Override ContentType="application/vnd.openxmlformats-officedocument.spreadsheetml.worksheet+xml" PartName="/xl/worksheets/sheet34845.xml"/>
  <Override ContentType="application/vnd.openxmlformats-officedocument.spreadsheetml.worksheet+xml" PartName="/xl/worksheets/sheet34846.xml"/>
  <Override ContentType="application/vnd.openxmlformats-officedocument.spreadsheetml.worksheet+xml" PartName="/xl/worksheets/sheet34847.xml"/>
  <Override ContentType="application/vnd.openxmlformats-officedocument.spreadsheetml.worksheet+xml" PartName="/xl/worksheets/sheet34848.xml"/>
  <Override ContentType="application/vnd.openxmlformats-officedocument.spreadsheetml.worksheet+xml" PartName="/xl/worksheets/sheet34849.xml"/>
  <Override ContentType="application/vnd.openxmlformats-officedocument.spreadsheetml.worksheet+xml" PartName="/xl/worksheets/sheet34850.xml"/>
  <Override ContentType="application/vnd.openxmlformats-officedocument.spreadsheetml.worksheet+xml" PartName="/xl/worksheets/sheet34851.xml"/>
  <Override ContentType="application/vnd.openxmlformats-officedocument.spreadsheetml.worksheet+xml" PartName="/xl/worksheets/sheet34852.xml"/>
  <Override ContentType="application/vnd.openxmlformats-officedocument.spreadsheetml.worksheet+xml" PartName="/xl/worksheets/sheet34853.xml"/>
  <Override ContentType="application/vnd.openxmlformats-officedocument.spreadsheetml.worksheet+xml" PartName="/xl/worksheets/sheet34854.xml"/>
  <Override ContentType="application/vnd.openxmlformats-officedocument.spreadsheetml.worksheet+xml" PartName="/xl/worksheets/sheet34855.xml"/>
  <Override ContentType="application/vnd.openxmlformats-officedocument.spreadsheetml.worksheet+xml" PartName="/xl/worksheets/sheet34856.xml"/>
  <Override ContentType="application/vnd.openxmlformats-officedocument.spreadsheetml.worksheet+xml" PartName="/xl/worksheets/sheet34857.xml"/>
  <Override ContentType="application/vnd.openxmlformats-officedocument.spreadsheetml.worksheet+xml" PartName="/xl/worksheets/sheet34858.xml"/>
  <Override ContentType="application/vnd.openxmlformats-officedocument.spreadsheetml.worksheet+xml" PartName="/xl/worksheets/sheet34859.xml"/>
  <Override ContentType="application/vnd.openxmlformats-officedocument.spreadsheetml.worksheet+xml" PartName="/xl/worksheets/sheet34860.xml"/>
  <Override ContentType="application/vnd.openxmlformats-officedocument.spreadsheetml.worksheet+xml" PartName="/xl/worksheets/sheet34861.xml"/>
  <Override ContentType="application/vnd.openxmlformats-officedocument.spreadsheetml.worksheet+xml" PartName="/xl/worksheets/sheet34862.xml"/>
  <Override ContentType="application/vnd.openxmlformats-officedocument.spreadsheetml.worksheet+xml" PartName="/xl/worksheets/sheet34863.xml"/>
  <Override ContentType="application/vnd.openxmlformats-officedocument.spreadsheetml.worksheet+xml" PartName="/xl/worksheets/sheet34864.xml"/>
  <Override ContentType="application/vnd.openxmlformats-officedocument.spreadsheetml.worksheet+xml" PartName="/xl/worksheets/sheet34865.xml"/>
  <Override ContentType="application/vnd.openxmlformats-officedocument.spreadsheetml.worksheet+xml" PartName="/xl/worksheets/sheet34866.xml"/>
  <Override ContentType="application/vnd.openxmlformats-officedocument.spreadsheetml.worksheet+xml" PartName="/xl/worksheets/sheet34867.xml"/>
  <Override ContentType="application/vnd.openxmlformats-officedocument.spreadsheetml.worksheet+xml" PartName="/xl/worksheets/sheet34868.xml"/>
  <Override ContentType="application/vnd.openxmlformats-officedocument.spreadsheetml.worksheet+xml" PartName="/xl/worksheets/sheet34869.xml"/>
  <Override ContentType="application/vnd.openxmlformats-officedocument.spreadsheetml.worksheet+xml" PartName="/xl/worksheets/sheet34870.xml"/>
  <Override ContentType="application/vnd.openxmlformats-officedocument.spreadsheetml.worksheet+xml" PartName="/xl/worksheets/sheet34871.xml"/>
  <Override ContentType="application/vnd.openxmlformats-officedocument.spreadsheetml.worksheet+xml" PartName="/xl/worksheets/sheet34872.xml"/>
  <Override ContentType="application/vnd.openxmlformats-officedocument.spreadsheetml.worksheet+xml" PartName="/xl/worksheets/sheet34873.xml"/>
  <Override ContentType="application/vnd.openxmlformats-officedocument.spreadsheetml.worksheet+xml" PartName="/xl/worksheets/sheet34874.xml"/>
  <Override ContentType="application/vnd.openxmlformats-officedocument.spreadsheetml.worksheet+xml" PartName="/xl/worksheets/sheet34875.xml"/>
  <Override ContentType="application/vnd.openxmlformats-officedocument.spreadsheetml.worksheet+xml" PartName="/xl/worksheets/sheet34876.xml"/>
  <Override ContentType="application/vnd.openxmlformats-officedocument.spreadsheetml.worksheet+xml" PartName="/xl/worksheets/sheet34877.xml"/>
  <Override ContentType="application/vnd.openxmlformats-officedocument.spreadsheetml.worksheet+xml" PartName="/xl/worksheets/sheet34878.xml"/>
  <Override ContentType="application/vnd.openxmlformats-officedocument.spreadsheetml.worksheet+xml" PartName="/xl/worksheets/sheet34879.xml"/>
  <Override ContentType="application/vnd.openxmlformats-officedocument.spreadsheetml.worksheet+xml" PartName="/xl/worksheets/sheet34880.xml"/>
  <Override ContentType="application/vnd.openxmlformats-officedocument.spreadsheetml.worksheet+xml" PartName="/xl/worksheets/sheet34881.xml"/>
  <Override ContentType="application/vnd.openxmlformats-officedocument.spreadsheetml.worksheet+xml" PartName="/xl/worksheets/sheet34882.xml"/>
  <Override ContentType="application/vnd.openxmlformats-officedocument.spreadsheetml.worksheet+xml" PartName="/xl/worksheets/sheet34883.xml"/>
  <Override ContentType="application/vnd.openxmlformats-officedocument.spreadsheetml.worksheet+xml" PartName="/xl/worksheets/sheet34884.xml"/>
  <Override ContentType="application/vnd.openxmlformats-officedocument.spreadsheetml.worksheet+xml" PartName="/xl/worksheets/sheet34885.xml"/>
  <Override ContentType="application/vnd.openxmlformats-officedocument.spreadsheetml.worksheet+xml" PartName="/xl/worksheets/sheet34886.xml"/>
  <Override ContentType="application/vnd.openxmlformats-officedocument.spreadsheetml.worksheet+xml" PartName="/xl/worksheets/sheet34887.xml"/>
  <Override ContentType="application/vnd.openxmlformats-officedocument.spreadsheetml.worksheet+xml" PartName="/xl/worksheets/sheet34888.xml"/>
  <Override ContentType="application/vnd.openxmlformats-officedocument.spreadsheetml.worksheet+xml" PartName="/xl/worksheets/sheet34889.xml"/>
  <Override ContentType="application/vnd.openxmlformats-officedocument.spreadsheetml.worksheet+xml" PartName="/xl/worksheets/sheet34890.xml"/>
  <Override ContentType="application/vnd.openxmlformats-officedocument.spreadsheetml.worksheet+xml" PartName="/xl/worksheets/sheet34891.xml"/>
  <Override ContentType="application/vnd.openxmlformats-officedocument.spreadsheetml.worksheet+xml" PartName="/xl/worksheets/sheet34892.xml"/>
  <Override ContentType="application/vnd.openxmlformats-officedocument.spreadsheetml.worksheet+xml" PartName="/xl/worksheets/sheet34893.xml"/>
  <Override ContentType="application/vnd.openxmlformats-officedocument.spreadsheetml.worksheet+xml" PartName="/xl/worksheets/sheet34894.xml"/>
  <Override ContentType="application/vnd.openxmlformats-officedocument.spreadsheetml.worksheet+xml" PartName="/xl/worksheets/sheet34895.xml"/>
  <Override ContentType="application/vnd.openxmlformats-officedocument.spreadsheetml.worksheet+xml" PartName="/xl/worksheets/sheet34896.xml"/>
  <Override ContentType="application/vnd.openxmlformats-officedocument.spreadsheetml.worksheet+xml" PartName="/xl/worksheets/sheet34897.xml"/>
  <Override ContentType="application/vnd.openxmlformats-officedocument.spreadsheetml.worksheet+xml" PartName="/xl/worksheets/sheet34898.xml"/>
  <Override ContentType="application/vnd.openxmlformats-officedocument.spreadsheetml.worksheet+xml" PartName="/xl/worksheets/sheet34899.xml"/>
  <Override ContentType="application/vnd.openxmlformats-officedocument.spreadsheetml.worksheet+xml" PartName="/xl/worksheets/sheet34900.xml"/>
  <Override ContentType="application/vnd.openxmlformats-officedocument.spreadsheetml.worksheet+xml" PartName="/xl/worksheets/sheet34901.xml"/>
  <Override ContentType="application/vnd.openxmlformats-officedocument.spreadsheetml.worksheet+xml" PartName="/xl/worksheets/sheet34902.xml"/>
  <Override ContentType="application/vnd.openxmlformats-officedocument.spreadsheetml.worksheet+xml" PartName="/xl/worksheets/sheet34903.xml"/>
  <Override ContentType="application/vnd.openxmlformats-officedocument.spreadsheetml.worksheet+xml" PartName="/xl/worksheets/sheet34904.xml"/>
  <Override ContentType="application/vnd.openxmlformats-officedocument.spreadsheetml.worksheet+xml" PartName="/xl/worksheets/sheet34905.xml"/>
  <Override ContentType="application/vnd.openxmlformats-officedocument.spreadsheetml.worksheet+xml" PartName="/xl/worksheets/sheet34906.xml"/>
  <Override ContentType="application/vnd.openxmlformats-officedocument.spreadsheetml.worksheet+xml" PartName="/xl/worksheets/sheet34907.xml"/>
  <Override ContentType="application/vnd.openxmlformats-officedocument.spreadsheetml.worksheet+xml" PartName="/xl/worksheets/sheet34908.xml"/>
  <Override ContentType="application/vnd.openxmlformats-officedocument.spreadsheetml.worksheet+xml" PartName="/xl/worksheets/sheet34909.xml"/>
  <Override ContentType="application/vnd.openxmlformats-officedocument.spreadsheetml.worksheet+xml" PartName="/xl/worksheets/sheet34910.xml"/>
  <Override ContentType="application/vnd.openxmlformats-officedocument.spreadsheetml.worksheet+xml" PartName="/xl/worksheets/sheet34911.xml"/>
  <Override ContentType="application/vnd.openxmlformats-officedocument.spreadsheetml.worksheet+xml" PartName="/xl/worksheets/sheet34912.xml"/>
  <Override ContentType="application/vnd.openxmlformats-officedocument.spreadsheetml.worksheet+xml" PartName="/xl/worksheets/sheet34913.xml"/>
  <Override ContentType="application/vnd.openxmlformats-officedocument.spreadsheetml.worksheet+xml" PartName="/xl/worksheets/sheet34914.xml"/>
  <Override ContentType="application/vnd.openxmlformats-officedocument.spreadsheetml.worksheet+xml" PartName="/xl/worksheets/sheet34915.xml"/>
  <Override ContentType="application/vnd.openxmlformats-officedocument.spreadsheetml.worksheet+xml" PartName="/xl/worksheets/sheet34916.xml"/>
  <Override ContentType="application/vnd.openxmlformats-officedocument.spreadsheetml.worksheet+xml" PartName="/xl/worksheets/sheet34917.xml"/>
  <Override ContentType="application/vnd.openxmlformats-officedocument.spreadsheetml.worksheet+xml" PartName="/xl/worksheets/sheet34918.xml"/>
  <Override ContentType="application/vnd.openxmlformats-officedocument.spreadsheetml.worksheet+xml" PartName="/xl/worksheets/sheet34919.xml"/>
  <Override ContentType="application/vnd.openxmlformats-officedocument.spreadsheetml.worksheet+xml" PartName="/xl/worksheets/sheet34920.xml"/>
  <Override ContentType="application/vnd.openxmlformats-officedocument.spreadsheetml.worksheet+xml" PartName="/xl/worksheets/sheet34921.xml"/>
  <Override ContentType="application/vnd.openxmlformats-officedocument.spreadsheetml.worksheet+xml" PartName="/xl/worksheets/sheet34922.xml"/>
  <Override ContentType="application/vnd.openxmlformats-officedocument.spreadsheetml.worksheet+xml" PartName="/xl/worksheets/sheet34923.xml"/>
  <Override ContentType="application/vnd.openxmlformats-officedocument.spreadsheetml.worksheet+xml" PartName="/xl/worksheets/sheet34924.xml"/>
  <Override ContentType="application/vnd.openxmlformats-officedocument.spreadsheetml.worksheet+xml" PartName="/xl/worksheets/sheet34925.xml"/>
  <Override ContentType="application/vnd.openxmlformats-officedocument.spreadsheetml.worksheet+xml" PartName="/xl/worksheets/sheet34926.xml"/>
  <Override ContentType="application/vnd.openxmlformats-officedocument.spreadsheetml.worksheet+xml" PartName="/xl/worksheets/sheet34927.xml"/>
  <Override ContentType="application/vnd.openxmlformats-officedocument.spreadsheetml.worksheet+xml" PartName="/xl/worksheets/sheet34928.xml"/>
  <Override ContentType="application/vnd.openxmlformats-officedocument.spreadsheetml.worksheet+xml" PartName="/xl/worksheets/sheet34929.xml"/>
  <Override ContentType="application/vnd.openxmlformats-officedocument.spreadsheetml.worksheet+xml" PartName="/xl/worksheets/sheet34930.xml"/>
  <Override ContentType="application/vnd.openxmlformats-officedocument.spreadsheetml.worksheet+xml" PartName="/xl/worksheets/sheet34931.xml"/>
  <Override ContentType="application/vnd.openxmlformats-officedocument.spreadsheetml.worksheet+xml" PartName="/xl/worksheets/sheet34932.xml"/>
  <Override ContentType="application/vnd.openxmlformats-officedocument.spreadsheetml.worksheet+xml" PartName="/xl/worksheets/sheet34933.xml"/>
  <Override ContentType="application/vnd.openxmlformats-officedocument.spreadsheetml.worksheet+xml" PartName="/xl/worksheets/sheet34934.xml"/>
  <Override ContentType="application/vnd.openxmlformats-officedocument.spreadsheetml.worksheet+xml" PartName="/xl/worksheets/sheet34935.xml"/>
  <Override ContentType="application/vnd.openxmlformats-officedocument.spreadsheetml.worksheet+xml" PartName="/xl/worksheets/sheet34936.xml"/>
  <Override ContentType="application/vnd.openxmlformats-officedocument.spreadsheetml.worksheet+xml" PartName="/xl/worksheets/sheet34937.xml"/>
  <Override ContentType="application/vnd.openxmlformats-officedocument.spreadsheetml.worksheet+xml" PartName="/xl/worksheets/sheet34938.xml"/>
  <Override ContentType="application/vnd.openxmlformats-officedocument.spreadsheetml.worksheet+xml" PartName="/xl/worksheets/sheet34939.xml"/>
  <Override ContentType="application/vnd.openxmlformats-officedocument.spreadsheetml.worksheet+xml" PartName="/xl/worksheets/sheet34940.xml"/>
  <Override ContentType="application/vnd.openxmlformats-officedocument.spreadsheetml.worksheet+xml" PartName="/xl/worksheets/sheet34941.xml"/>
  <Override ContentType="application/vnd.openxmlformats-officedocument.spreadsheetml.worksheet+xml" PartName="/xl/worksheets/sheet34942.xml"/>
  <Override ContentType="application/vnd.openxmlformats-officedocument.spreadsheetml.worksheet+xml" PartName="/xl/worksheets/sheet34943.xml"/>
  <Override ContentType="application/vnd.openxmlformats-officedocument.spreadsheetml.worksheet+xml" PartName="/xl/worksheets/sheet34944.xml"/>
  <Override ContentType="application/vnd.openxmlformats-officedocument.spreadsheetml.worksheet+xml" PartName="/xl/worksheets/sheet34945.xml"/>
  <Override ContentType="application/vnd.openxmlformats-officedocument.spreadsheetml.worksheet+xml" PartName="/xl/worksheets/sheet34946.xml"/>
  <Override ContentType="application/vnd.openxmlformats-officedocument.spreadsheetml.worksheet+xml" PartName="/xl/worksheets/sheet34947.xml"/>
  <Override ContentType="application/vnd.openxmlformats-officedocument.spreadsheetml.worksheet+xml" PartName="/xl/worksheets/sheet34948.xml"/>
  <Override ContentType="application/vnd.openxmlformats-officedocument.spreadsheetml.worksheet+xml" PartName="/xl/worksheets/sheet34949.xml"/>
  <Override ContentType="application/vnd.openxmlformats-officedocument.spreadsheetml.worksheet+xml" PartName="/xl/worksheets/sheet34950.xml"/>
  <Override ContentType="application/vnd.openxmlformats-officedocument.spreadsheetml.worksheet+xml" PartName="/xl/worksheets/sheet34951.xml"/>
  <Override ContentType="application/vnd.openxmlformats-officedocument.spreadsheetml.worksheet+xml" PartName="/xl/worksheets/sheet34952.xml"/>
  <Override ContentType="application/vnd.openxmlformats-officedocument.spreadsheetml.worksheet+xml" PartName="/xl/worksheets/sheet34953.xml"/>
  <Override ContentType="application/vnd.openxmlformats-officedocument.spreadsheetml.worksheet+xml" PartName="/xl/worksheets/sheet34954.xml"/>
  <Override ContentType="application/vnd.openxmlformats-officedocument.spreadsheetml.worksheet+xml" PartName="/xl/worksheets/sheet34955.xml"/>
  <Override ContentType="application/vnd.openxmlformats-officedocument.spreadsheetml.worksheet+xml" PartName="/xl/worksheets/sheet34956.xml"/>
  <Override ContentType="application/vnd.openxmlformats-officedocument.spreadsheetml.worksheet+xml" PartName="/xl/worksheets/sheet34957.xml"/>
  <Override ContentType="application/vnd.openxmlformats-officedocument.spreadsheetml.worksheet+xml" PartName="/xl/worksheets/sheet34958.xml"/>
  <Override ContentType="application/vnd.openxmlformats-officedocument.spreadsheetml.worksheet+xml" PartName="/xl/worksheets/sheet34959.xml"/>
  <Override ContentType="application/vnd.openxmlformats-officedocument.spreadsheetml.worksheet+xml" PartName="/xl/worksheets/sheet34960.xml"/>
  <Override ContentType="application/vnd.openxmlformats-officedocument.spreadsheetml.worksheet+xml" PartName="/xl/worksheets/sheet34961.xml"/>
  <Override ContentType="application/vnd.openxmlformats-officedocument.spreadsheetml.worksheet+xml" PartName="/xl/worksheets/sheet34962.xml"/>
  <Override ContentType="application/vnd.openxmlformats-officedocument.spreadsheetml.worksheet+xml" PartName="/xl/worksheets/sheet34963.xml"/>
  <Override ContentType="application/vnd.openxmlformats-officedocument.spreadsheetml.worksheet+xml" PartName="/xl/worksheets/sheet34964.xml"/>
  <Override ContentType="application/vnd.openxmlformats-officedocument.spreadsheetml.worksheet+xml" PartName="/xl/worksheets/sheet34965.xml"/>
  <Override ContentType="application/vnd.openxmlformats-officedocument.spreadsheetml.worksheet+xml" PartName="/xl/worksheets/sheet34966.xml"/>
  <Override ContentType="application/vnd.openxmlformats-officedocument.spreadsheetml.worksheet+xml" PartName="/xl/worksheets/sheet34967.xml"/>
  <Override ContentType="application/vnd.openxmlformats-officedocument.spreadsheetml.worksheet+xml" PartName="/xl/worksheets/sheet34968.xml"/>
  <Override ContentType="application/vnd.openxmlformats-officedocument.spreadsheetml.worksheet+xml" PartName="/xl/worksheets/sheet34969.xml"/>
  <Override ContentType="application/vnd.openxmlformats-officedocument.spreadsheetml.worksheet+xml" PartName="/xl/worksheets/sheet34970.xml"/>
  <Override ContentType="application/vnd.openxmlformats-officedocument.spreadsheetml.worksheet+xml" PartName="/xl/worksheets/sheet34971.xml"/>
  <Override ContentType="application/vnd.openxmlformats-officedocument.spreadsheetml.worksheet+xml" PartName="/xl/worksheets/sheet34972.xml"/>
  <Override ContentType="application/vnd.openxmlformats-officedocument.spreadsheetml.worksheet+xml" PartName="/xl/worksheets/sheet34973.xml"/>
  <Override ContentType="application/vnd.openxmlformats-officedocument.spreadsheetml.worksheet+xml" PartName="/xl/worksheets/sheet34974.xml"/>
  <Override ContentType="application/vnd.openxmlformats-officedocument.spreadsheetml.worksheet+xml" PartName="/xl/worksheets/sheet34975.xml"/>
  <Override ContentType="application/vnd.openxmlformats-officedocument.spreadsheetml.worksheet+xml" PartName="/xl/worksheets/sheet34976.xml"/>
  <Override ContentType="application/vnd.openxmlformats-officedocument.spreadsheetml.worksheet+xml" PartName="/xl/worksheets/sheet34977.xml"/>
  <Override ContentType="application/vnd.openxmlformats-officedocument.spreadsheetml.worksheet+xml" PartName="/xl/worksheets/sheet34978.xml"/>
  <Override ContentType="application/vnd.openxmlformats-officedocument.spreadsheetml.worksheet+xml" PartName="/xl/worksheets/sheet34979.xml"/>
  <Override ContentType="application/vnd.openxmlformats-officedocument.spreadsheetml.worksheet+xml" PartName="/xl/worksheets/sheet34980.xml"/>
  <Override ContentType="application/vnd.openxmlformats-officedocument.spreadsheetml.worksheet+xml" PartName="/xl/worksheets/sheet34981.xml"/>
  <Override ContentType="application/vnd.openxmlformats-officedocument.spreadsheetml.worksheet+xml" PartName="/xl/worksheets/sheet34982.xml"/>
  <Override ContentType="application/vnd.openxmlformats-officedocument.spreadsheetml.worksheet+xml" PartName="/xl/worksheets/sheet34983.xml"/>
  <Override ContentType="application/vnd.openxmlformats-officedocument.spreadsheetml.worksheet+xml" PartName="/xl/worksheets/sheet34984.xml"/>
  <Override ContentType="application/vnd.openxmlformats-officedocument.spreadsheetml.worksheet+xml" PartName="/xl/worksheets/sheet34985.xml"/>
  <Override ContentType="application/vnd.openxmlformats-officedocument.spreadsheetml.worksheet+xml" PartName="/xl/worksheets/sheet34986.xml"/>
  <Override ContentType="application/vnd.openxmlformats-officedocument.spreadsheetml.worksheet+xml" PartName="/xl/worksheets/sheet34987.xml"/>
  <Override ContentType="application/vnd.openxmlformats-officedocument.spreadsheetml.worksheet+xml" PartName="/xl/worksheets/sheet34988.xml"/>
  <Override ContentType="application/vnd.openxmlformats-officedocument.spreadsheetml.worksheet+xml" PartName="/xl/worksheets/sheet34989.xml"/>
  <Override ContentType="application/vnd.openxmlformats-officedocument.spreadsheetml.worksheet+xml" PartName="/xl/worksheets/sheet34990.xml"/>
  <Override ContentType="application/vnd.openxmlformats-officedocument.spreadsheetml.worksheet+xml" PartName="/xl/worksheets/sheet34991.xml"/>
  <Override ContentType="application/vnd.openxmlformats-officedocument.spreadsheetml.worksheet+xml" PartName="/xl/worksheets/sheet34992.xml"/>
  <Override ContentType="application/vnd.openxmlformats-officedocument.spreadsheetml.worksheet+xml" PartName="/xl/worksheets/sheet34993.xml"/>
  <Override ContentType="application/vnd.openxmlformats-officedocument.spreadsheetml.worksheet+xml" PartName="/xl/worksheets/sheet34994.xml"/>
  <Override ContentType="application/vnd.openxmlformats-officedocument.spreadsheetml.worksheet+xml" PartName="/xl/worksheets/sheet34995.xml"/>
  <Override ContentType="application/vnd.openxmlformats-officedocument.spreadsheetml.worksheet+xml" PartName="/xl/worksheets/sheet34996.xml"/>
  <Override ContentType="application/vnd.openxmlformats-officedocument.spreadsheetml.worksheet+xml" PartName="/xl/worksheets/sheet34997.xml"/>
  <Override ContentType="application/vnd.openxmlformats-officedocument.spreadsheetml.worksheet+xml" PartName="/xl/worksheets/sheet34998.xml"/>
  <Override ContentType="application/vnd.openxmlformats-officedocument.spreadsheetml.worksheet+xml" PartName="/xl/worksheets/sheet34999.xml"/>
  <Override ContentType="application/vnd.openxmlformats-officedocument.spreadsheetml.worksheet+xml" PartName="/xl/worksheets/sheet35000.xml"/>
  <Override ContentType="application/vnd.openxmlformats-officedocument.spreadsheetml.worksheet+xml" PartName="/xl/worksheets/sheet35001.xml"/>
  <Override ContentType="application/vnd.openxmlformats-officedocument.spreadsheetml.worksheet+xml" PartName="/xl/worksheets/sheet35002.xml"/>
  <Override ContentType="application/vnd.openxmlformats-officedocument.spreadsheetml.worksheet+xml" PartName="/xl/worksheets/sheet35003.xml"/>
  <Override ContentType="application/vnd.openxmlformats-officedocument.spreadsheetml.worksheet+xml" PartName="/xl/worksheets/sheet35004.xml"/>
  <Override ContentType="application/vnd.openxmlformats-officedocument.spreadsheetml.worksheet+xml" PartName="/xl/worksheets/sheet35005.xml"/>
  <Override ContentType="application/vnd.openxmlformats-officedocument.spreadsheetml.worksheet+xml" PartName="/xl/worksheets/sheet35006.xml"/>
  <Override ContentType="application/vnd.openxmlformats-officedocument.spreadsheetml.worksheet+xml" PartName="/xl/worksheets/sheet35007.xml"/>
  <Override ContentType="application/vnd.openxmlformats-officedocument.spreadsheetml.worksheet+xml" PartName="/xl/worksheets/sheet35008.xml"/>
  <Override ContentType="application/vnd.openxmlformats-officedocument.spreadsheetml.worksheet+xml" PartName="/xl/worksheets/sheet35009.xml"/>
  <Override ContentType="application/vnd.openxmlformats-officedocument.spreadsheetml.worksheet+xml" PartName="/xl/worksheets/sheet35010.xml"/>
  <Override ContentType="application/vnd.openxmlformats-officedocument.spreadsheetml.worksheet+xml" PartName="/xl/worksheets/sheet35011.xml"/>
  <Override ContentType="application/vnd.openxmlformats-officedocument.spreadsheetml.worksheet+xml" PartName="/xl/worksheets/sheet35012.xml"/>
  <Override ContentType="application/vnd.openxmlformats-officedocument.spreadsheetml.worksheet+xml" PartName="/xl/worksheets/sheet35013.xml"/>
  <Override ContentType="application/vnd.openxmlformats-officedocument.spreadsheetml.worksheet+xml" PartName="/xl/worksheets/sheet35014.xml"/>
  <Override ContentType="application/vnd.openxmlformats-officedocument.spreadsheetml.worksheet+xml" PartName="/xl/worksheets/sheet35015.xml"/>
  <Override ContentType="application/vnd.openxmlformats-officedocument.spreadsheetml.worksheet+xml" PartName="/xl/worksheets/sheet35016.xml"/>
  <Override ContentType="application/vnd.openxmlformats-officedocument.spreadsheetml.worksheet+xml" PartName="/xl/worksheets/sheet35017.xml"/>
  <Override ContentType="application/vnd.openxmlformats-officedocument.spreadsheetml.worksheet+xml" PartName="/xl/worksheets/sheet35018.xml"/>
  <Override ContentType="application/vnd.openxmlformats-officedocument.spreadsheetml.worksheet+xml" PartName="/xl/worksheets/sheet35019.xml"/>
  <Override ContentType="application/vnd.openxmlformats-officedocument.spreadsheetml.worksheet+xml" PartName="/xl/worksheets/sheet35020.xml"/>
  <Override ContentType="application/vnd.openxmlformats-officedocument.spreadsheetml.worksheet+xml" PartName="/xl/worksheets/sheet35021.xml"/>
  <Override ContentType="application/vnd.openxmlformats-officedocument.spreadsheetml.worksheet+xml" PartName="/xl/worksheets/sheet35022.xml"/>
  <Override ContentType="application/vnd.openxmlformats-officedocument.spreadsheetml.worksheet+xml" PartName="/xl/worksheets/sheet35023.xml"/>
  <Override ContentType="application/vnd.openxmlformats-officedocument.spreadsheetml.worksheet+xml" PartName="/xl/worksheets/sheet35024.xml"/>
  <Override ContentType="application/vnd.openxmlformats-officedocument.spreadsheetml.worksheet+xml" PartName="/xl/worksheets/sheet35025.xml"/>
  <Override ContentType="application/vnd.openxmlformats-officedocument.spreadsheetml.worksheet+xml" PartName="/xl/worksheets/sheet35026.xml"/>
  <Override ContentType="application/vnd.openxmlformats-officedocument.spreadsheetml.worksheet+xml" PartName="/xl/worksheets/sheet35027.xml"/>
  <Override ContentType="application/vnd.openxmlformats-officedocument.spreadsheetml.worksheet+xml" PartName="/xl/worksheets/sheet35028.xml"/>
  <Override ContentType="application/vnd.openxmlformats-officedocument.spreadsheetml.worksheet+xml" PartName="/xl/worksheets/sheet35029.xml"/>
  <Override ContentType="application/vnd.openxmlformats-officedocument.spreadsheetml.worksheet+xml" PartName="/xl/worksheets/sheet35030.xml"/>
  <Override ContentType="application/vnd.openxmlformats-officedocument.spreadsheetml.worksheet+xml" PartName="/xl/worksheets/sheet35031.xml"/>
  <Override ContentType="application/vnd.openxmlformats-officedocument.spreadsheetml.worksheet+xml" PartName="/xl/worksheets/sheet35032.xml"/>
  <Override ContentType="application/vnd.openxmlformats-officedocument.spreadsheetml.worksheet+xml" PartName="/xl/worksheets/sheet35033.xml"/>
  <Override ContentType="application/vnd.openxmlformats-officedocument.spreadsheetml.worksheet+xml" PartName="/xl/worksheets/sheet35034.xml"/>
  <Override ContentType="application/vnd.openxmlformats-officedocument.spreadsheetml.worksheet+xml" PartName="/xl/worksheets/sheet35035.xml"/>
  <Override ContentType="application/vnd.openxmlformats-officedocument.spreadsheetml.worksheet+xml" PartName="/xl/worksheets/sheet35036.xml"/>
  <Override ContentType="application/vnd.openxmlformats-officedocument.spreadsheetml.worksheet+xml" PartName="/xl/worksheets/sheet35037.xml"/>
  <Override ContentType="application/vnd.openxmlformats-officedocument.spreadsheetml.worksheet+xml" PartName="/xl/worksheets/sheet35038.xml"/>
  <Override ContentType="application/vnd.openxmlformats-officedocument.spreadsheetml.worksheet+xml" PartName="/xl/worksheets/sheet35039.xml"/>
  <Override ContentType="application/vnd.openxmlformats-officedocument.spreadsheetml.worksheet+xml" PartName="/xl/worksheets/sheet35040.xml"/>
  <Override ContentType="application/vnd.openxmlformats-officedocument.spreadsheetml.worksheet+xml" PartName="/xl/worksheets/sheet35041.xml"/>
  <Override ContentType="application/vnd.openxmlformats-officedocument.spreadsheetml.worksheet+xml" PartName="/xl/worksheets/sheet35042.xml"/>
  <Override ContentType="application/vnd.openxmlformats-officedocument.spreadsheetml.worksheet+xml" PartName="/xl/worksheets/sheet35043.xml"/>
  <Override ContentType="application/vnd.openxmlformats-officedocument.spreadsheetml.worksheet+xml" PartName="/xl/worksheets/sheet35044.xml"/>
  <Override ContentType="application/vnd.openxmlformats-officedocument.spreadsheetml.worksheet+xml" PartName="/xl/worksheets/sheet35045.xml"/>
  <Override ContentType="application/vnd.openxmlformats-officedocument.spreadsheetml.worksheet+xml" PartName="/xl/worksheets/sheet35046.xml"/>
  <Override ContentType="application/vnd.openxmlformats-officedocument.spreadsheetml.worksheet+xml" PartName="/xl/worksheets/sheet35047.xml"/>
  <Override ContentType="application/vnd.openxmlformats-officedocument.spreadsheetml.worksheet+xml" PartName="/xl/worksheets/sheet35048.xml"/>
  <Override ContentType="application/vnd.openxmlformats-officedocument.spreadsheetml.worksheet+xml" PartName="/xl/worksheets/sheet35049.xml"/>
  <Override ContentType="application/vnd.openxmlformats-officedocument.spreadsheetml.worksheet+xml" PartName="/xl/worksheets/sheet35050.xml"/>
  <Override ContentType="application/vnd.openxmlformats-officedocument.spreadsheetml.worksheet+xml" PartName="/xl/worksheets/sheet35051.xml"/>
  <Override ContentType="application/vnd.openxmlformats-officedocument.spreadsheetml.worksheet+xml" PartName="/xl/worksheets/sheet35052.xml"/>
  <Override ContentType="application/vnd.openxmlformats-officedocument.spreadsheetml.worksheet+xml" PartName="/xl/worksheets/sheet35053.xml"/>
  <Override ContentType="application/vnd.openxmlformats-officedocument.spreadsheetml.worksheet+xml" PartName="/xl/worksheets/sheet35054.xml"/>
  <Override ContentType="application/vnd.openxmlformats-officedocument.spreadsheetml.worksheet+xml" PartName="/xl/worksheets/sheet35055.xml"/>
  <Override ContentType="application/vnd.openxmlformats-officedocument.spreadsheetml.worksheet+xml" PartName="/xl/worksheets/sheet35056.xml"/>
  <Override ContentType="application/vnd.openxmlformats-officedocument.spreadsheetml.worksheet+xml" PartName="/xl/worksheets/sheet35057.xml"/>
  <Override ContentType="application/vnd.openxmlformats-officedocument.spreadsheetml.worksheet+xml" PartName="/xl/worksheets/sheet35058.xml"/>
  <Override ContentType="application/vnd.openxmlformats-officedocument.spreadsheetml.worksheet+xml" PartName="/xl/worksheets/sheet35059.xml"/>
  <Override ContentType="application/vnd.openxmlformats-officedocument.spreadsheetml.worksheet+xml" PartName="/xl/worksheets/sheet35060.xml"/>
  <Override ContentType="application/vnd.openxmlformats-officedocument.spreadsheetml.worksheet+xml" PartName="/xl/worksheets/sheet35061.xml"/>
  <Override ContentType="application/vnd.openxmlformats-officedocument.spreadsheetml.worksheet+xml" PartName="/xl/worksheets/sheet35062.xml"/>
  <Override ContentType="application/vnd.openxmlformats-officedocument.spreadsheetml.worksheet+xml" PartName="/xl/worksheets/sheet35063.xml"/>
  <Override ContentType="application/vnd.openxmlformats-officedocument.spreadsheetml.worksheet+xml" PartName="/xl/worksheets/sheet35064.xml"/>
  <Override ContentType="application/vnd.openxmlformats-officedocument.spreadsheetml.worksheet+xml" PartName="/xl/worksheets/sheet35065.xml"/>
  <Override ContentType="application/vnd.openxmlformats-officedocument.spreadsheetml.worksheet+xml" PartName="/xl/worksheets/sheet35066.xml"/>
  <Override ContentType="application/vnd.openxmlformats-officedocument.spreadsheetml.worksheet+xml" PartName="/xl/worksheets/sheet35067.xml"/>
  <Override ContentType="application/vnd.openxmlformats-officedocument.spreadsheetml.worksheet+xml" PartName="/xl/worksheets/sheet35068.xml"/>
  <Override ContentType="application/vnd.openxmlformats-officedocument.spreadsheetml.worksheet+xml" PartName="/xl/worksheets/sheet35069.xml"/>
  <Override ContentType="application/vnd.openxmlformats-officedocument.spreadsheetml.worksheet+xml" PartName="/xl/worksheets/sheet35070.xml"/>
  <Override ContentType="application/vnd.openxmlformats-officedocument.spreadsheetml.worksheet+xml" PartName="/xl/worksheets/sheet35071.xml"/>
  <Override ContentType="application/vnd.openxmlformats-officedocument.spreadsheetml.worksheet+xml" PartName="/xl/worksheets/sheet35072.xml"/>
  <Override ContentType="application/vnd.openxmlformats-officedocument.spreadsheetml.worksheet+xml" PartName="/xl/worksheets/sheet35073.xml"/>
  <Override ContentType="application/vnd.openxmlformats-officedocument.spreadsheetml.worksheet+xml" PartName="/xl/worksheets/sheet35074.xml"/>
  <Override ContentType="application/vnd.openxmlformats-officedocument.spreadsheetml.worksheet+xml" PartName="/xl/worksheets/sheet35075.xml"/>
  <Override ContentType="application/vnd.openxmlformats-officedocument.spreadsheetml.worksheet+xml" PartName="/xl/worksheets/sheet35076.xml"/>
  <Override ContentType="application/vnd.openxmlformats-officedocument.spreadsheetml.worksheet+xml" PartName="/xl/worksheets/sheet35077.xml"/>
  <Override ContentType="application/vnd.openxmlformats-officedocument.spreadsheetml.worksheet+xml" PartName="/xl/worksheets/sheet35078.xml"/>
  <Override ContentType="application/vnd.openxmlformats-officedocument.spreadsheetml.worksheet+xml" PartName="/xl/worksheets/sheet35079.xml"/>
  <Override ContentType="application/vnd.openxmlformats-officedocument.spreadsheetml.worksheet+xml" PartName="/xl/worksheets/sheet35080.xml"/>
  <Override ContentType="application/vnd.openxmlformats-officedocument.spreadsheetml.worksheet+xml" PartName="/xl/worksheets/sheet35081.xml"/>
  <Override ContentType="application/vnd.openxmlformats-officedocument.spreadsheetml.worksheet+xml" PartName="/xl/worksheets/sheet35082.xml"/>
  <Override ContentType="application/vnd.openxmlformats-officedocument.spreadsheetml.worksheet+xml" PartName="/xl/worksheets/sheet35083.xml"/>
  <Override ContentType="application/vnd.openxmlformats-officedocument.spreadsheetml.worksheet+xml" PartName="/xl/worksheets/sheet35084.xml"/>
  <Override ContentType="application/vnd.openxmlformats-officedocument.spreadsheetml.worksheet+xml" PartName="/xl/worksheets/sheet35085.xml"/>
  <Override ContentType="application/vnd.openxmlformats-officedocument.spreadsheetml.worksheet+xml" PartName="/xl/worksheets/sheet35086.xml"/>
  <Override ContentType="application/vnd.openxmlformats-officedocument.spreadsheetml.worksheet+xml" PartName="/xl/worksheets/sheet35087.xml"/>
  <Override ContentType="application/vnd.openxmlformats-officedocument.spreadsheetml.worksheet+xml" PartName="/xl/worksheets/sheet35088.xml"/>
  <Override ContentType="application/vnd.openxmlformats-officedocument.spreadsheetml.worksheet+xml" PartName="/xl/worksheets/sheet35089.xml"/>
  <Override ContentType="application/vnd.openxmlformats-officedocument.spreadsheetml.worksheet+xml" PartName="/xl/worksheets/sheet35090.xml"/>
  <Override ContentType="application/vnd.openxmlformats-officedocument.spreadsheetml.worksheet+xml" PartName="/xl/worksheets/sheet35091.xml"/>
  <Override ContentType="application/vnd.openxmlformats-officedocument.spreadsheetml.worksheet+xml" PartName="/xl/worksheets/sheet35092.xml"/>
  <Override ContentType="application/vnd.openxmlformats-officedocument.spreadsheetml.worksheet+xml" PartName="/xl/worksheets/sheet35093.xml"/>
  <Override ContentType="application/vnd.openxmlformats-officedocument.spreadsheetml.worksheet+xml" PartName="/xl/worksheets/sheet35094.xml"/>
  <Override ContentType="application/vnd.openxmlformats-officedocument.spreadsheetml.worksheet+xml" PartName="/xl/worksheets/sheet35095.xml"/>
  <Override ContentType="application/vnd.openxmlformats-officedocument.spreadsheetml.worksheet+xml" PartName="/xl/worksheets/sheet35096.xml"/>
  <Override ContentType="application/vnd.openxmlformats-officedocument.spreadsheetml.worksheet+xml" PartName="/xl/worksheets/sheet35097.xml"/>
  <Override ContentType="application/vnd.openxmlformats-officedocument.spreadsheetml.worksheet+xml" PartName="/xl/worksheets/sheet35098.xml"/>
  <Override ContentType="application/vnd.openxmlformats-officedocument.spreadsheetml.worksheet+xml" PartName="/xl/worksheets/sheet35099.xml"/>
  <Override ContentType="application/vnd.openxmlformats-officedocument.spreadsheetml.worksheet+xml" PartName="/xl/worksheets/sheet35100.xml"/>
  <Override ContentType="application/vnd.openxmlformats-officedocument.spreadsheetml.worksheet+xml" PartName="/xl/worksheets/sheet35101.xml"/>
  <Override ContentType="application/vnd.openxmlformats-officedocument.spreadsheetml.worksheet+xml" PartName="/xl/worksheets/sheet35102.xml"/>
  <Override ContentType="application/vnd.openxmlformats-officedocument.spreadsheetml.worksheet+xml" PartName="/xl/worksheets/sheet35103.xml"/>
  <Override ContentType="application/vnd.openxmlformats-officedocument.spreadsheetml.worksheet+xml" PartName="/xl/worksheets/sheet35104.xml"/>
  <Override ContentType="application/vnd.openxmlformats-officedocument.spreadsheetml.worksheet+xml" PartName="/xl/worksheets/sheet35105.xml"/>
  <Override ContentType="application/vnd.openxmlformats-officedocument.spreadsheetml.worksheet+xml" PartName="/xl/worksheets/sheet35106.xml"/>
  <Override ContentType="application/vnd.openxmlformats-officedocument.spreadsheetml.worksheet+xml" PartName="/xl/worksheets/sheet35107.xml"/>
  <Override ContentType="application/vnd.openxmlformats-officedocument.spreadsheetml.worksheet+xml" PartName="/xl/worksheets/sheet35108.xml"/>
  <Override ContentType="application/vnd.openxmlformats-officedocument.spreadsheetml.worksheet+xml" PartName="/xl/worksheets/sheet35109.xml"/>
  <Override ContentType="application/vnd.openxmlformats-officedocument.spreadsheetml.worksheet+xml" PartName="/xl/worksheets/sheet35110.xml"/>
  <Override ContentType="application/vnd.openxmlformats-officedocument.spreadsheetml.worksheet+xml" PartName="/xl/worksheets/sheet35111.xml"/>
  <Override ContentType="application/vnd.openxmlformats-officedocument.spreadsheetml.worksheet+xml" PartName="/xl/worksheets/sheet35112.xml"/>
  <Override ContentType="application/vnd.openxmlformats-officedocument.spreadsheetml.worksheet+xml" PartName="/xl/worksheets/sheet35113.xml"/>
  <Override ContentType="application/vnd.openxmlformats-officedocument.spreadsheetml.worksheet+xml" PartName="/xl/worksheets/sheet35114.xml"/>
  <Override ContentType="application/vnd.openxmlformats-officedocument.spreadsheetml.worksheet+xml" PartName="/xl/worksheets/sheet35115.xml"/>
  <Override ContentType="application/vnd.openxmlformats-officedocument.spreadsheetml.worksheet+xml" PartName="/xl/worksheets/sheet35116.xml"/>
  <Override ContentType="application/vnd.openxmlformats-officedocument.spreadsheetml.worksheet+xml" PartName="/xl/worksheets/sheet35117.xml"/>
  <Override ContentType="application/vnd.openxmlformats-officedocument.spreadsheetml.worksheet+xml" PartName="/xl/worksheets/sheet35118.xml"/>
  <Override ContentType="application/vnd.openxmlformats-officedocument.spreadsheetml.worksheet+xml" PartName="/xl/worksheets/sheet35119.xml"/>
  <Override ContentType="application/vnd.openxmlformats-officedocument.spreadsheetml.worksheet+xml" PartName="/xl/worksheets/sheet35120.xml"/>
  <Override ContentType="application/vnd.openxmlformats-officedocument.spreadsheetml.worksheet+xml" PartName="/xl/worksheets/sheet35121.xml"/>
  <Override ContentType="application/vnd.openxmlformats-officedocument.spreadsheetml.worksheet+xml" PartName="/xl/worksheets/sheet35122.xml"/>
  <Override ContentType="application/vnd.openxmlformats-officedocument.spreadsheetml.worksheet+xml" PartName="/xl/worksheets/sheet35123.xml"/>
  <Override ContentType="application/vnd.openxmlformats-officedocument.spreadsheetml.worksheet+xml" PartName="/xl/worksheets/sheet35124.xml"/>
  <Override ContentType="application/vnd.openxmlformats-officedocument.spreadsheetml.worksheet+xml" PartName="/xl/worksheets/sheet35125.xml"/>
  <Override ContentType="application/vnd.openxmlformats-officedocument.spreadsheetml.worksheet+xml" PartName="/xl/worksheets/sheet35126.xml"/>
  <Override ContentType="application/vnd.openxmlformats-officedocument.spreadsheetml.worksheet+xml" PartName="/xl/worksheets/sheet35127.xml"/>
  <Override ContentType="application/vnd.openxmlformats-officedocument.spreadsheetml.worksheet+xml" PartName="/xl/worksheets/sheet35128.xml"/>
  <Override ContentType="application/vnd.openxmlformats-officedocument.spreadsheetml.worksheet+xml" PartName="/xl/worksheets/sheet35129.xml"/>
  <Override ContentType="application/vnd.openxmlformats-officedocument.spreadsheetml.worksheet+xml" PartName="/xl/worksheets/sheet35130.xml"/>
  <Override ContentType="application/vnd.openxmlformats-officedocument.spreadsheetml.worksheet+xml" PartName="/xl/worksheets/sheet35131.xml"/>
  <Override ContentType="application/vnd.openxmlformats-officedocument.spreadsheetml.worksheet+xml" PartName="/xl/worksheets/sheet35132.xml"/>
  <Override ContentType="application/vnd.openxmlformats-officedocument.spreadsheetml.worksheet+xml" PartName="/xl/worksheets/sheet35133.xml"/>
  <Override ContentType="application/vnd.openxmlformats-officedocument.spreadsheetml.worksheet+xml" PartName="/xl/worksheets/sheet35134.xml"/>
  <Override ContentType="application/vnd.openxmlformats-officedocument.spreadsheetml.worksheet+xml" PartName="/xl/worksheets/sheet35135.xml"/>
  <Override ContentType="application/vnd.openxmlformats-officedocument.spreadsheetml.worksheet+xml" PartName="/xl/worksheets/sheet35136.xml"/>
  <Override ContentType="application/vnd.openxmlformats-officedocument.spreadsheetml.worksheet+xml" PartName="/xl/worksheets/sheet35137.xml"/>
  <Override ContentType="application/vnd.openxmlformats-officedocument.spreadsheetml.worksheet+xml" PartName="/xl/worksheets/sheet35138.xml"/>
  <Override ContentType="application/vnd.openxmlformats-officedocument.spreadsheetml.worksheet+xml" PartName="/xl/worksheets/sheet35139.xml"/>
  <Override ContentType="application/vnd.openxmlformats-officedocument.spreadsheetml.worksheet+xml" PartName="/xl/worksheets/sheet35140.xml"/>
  <Override ContentType="application/vnd.openxmlformats-officedocument.spreadsheetml.worksheet+xml" PartName="/xl/worksheets/sheet35141.xml"/>
  <Override ContentType="application/vnd.openxmlformats-officedocument.spreadsheetml.worksheet+xml" PartName="/xl/worksheets/sheet35142.xml"/>
  <Override ContentType="application/vnd.openxmlformats-officedocument.spreadsheetml.worksheet+xml" PartName="/xl/worksheets/sheet35143.xml"/>
  <Override ContentType="application/vnd.openxmlformats-officedocument.spreadsheetml.worksheet+xml" PartName="/xl/worksheets/sheet35144.xml"/>
  <Override ContentType="application/vnd.openxmlformats-officedocument.spreadsheetml.worksheet+xml" PartName="/xl/worksheets/sheet35145.xml"/>
  <Override ContentType="application/vnd.openxmlformats-officedocument.spreadsheetml.worksheet+xml" PartName="/xl/worksheets/sheet35146.xml"/>
  <Override ContentType="application/vnd.openxmlformats-officedocument.spreadsheetml.worksheet+xml" PartName="/xl/worksheets/sheet35147.xml"/>
  <Override ContentType="application/vnd.openxmlformats-officedocument.spreadsheetml.worksheet+xml" PartName="/xl/worksheets/sheet35148.xml"/>
  <Override ContentType="application/vnd.openxmlformats-officedocument.spreadsheetml.worksheet+xml" PartName="/xl/worksheets/sheet35149.xml"/>
  <Override ContentType="application/vnd.openxmlformats-officedocument.spreadsheetml.worksheet+xml" PartName="/xl/worksheets/sheet35150.xml"/>
  <Override ContentType="application/vnd.openxmlformats-officedocument.spreadsheetml.worksheet+xml" PartName="/xl/worksheets/sheet35151.xml"/>
  <Override ContentType="application/vnd.openxmlformats-officedocument.spreadsheetml.worksheet+xml" PartName="/xl/worksheets/sheet35152.xml"/>
  <Override ContentType="application/vnd.openxmlformats-officedocument.spreadsheetml.worksheet+xml" PartName="/xl/worksheets/sheet35153.xml"/>
  <Override ContentType="application/vnd.openxmlformats-officedocument.spreadsheetml.worksheet+xml" PartName="/xl/worksheets/sheet35154.xml"/>
  <Override ContentType="application/vnd.openxmlformats-officedocument.spreadsheetml.worksheet+xml" PartName="/xl/worksheets/sheet35155.xml"/>
  <Override ContentType="application/vnd.openxmlformats-officedocument.spreadsheetml.worksheet+xml" PartName="/xl/worksheets/sheet35156.xml"/>
  <Override ContentType="application/vnd.openxmlformats-officedocument.spreadsheetml.worksheet+xml" PartName="/xl/worksheets/sheet35157.xml"/>
  <Override ContentType="application/vnd.openxmlformats-officedocument.spreadsheetml.worksheet+xml" PartName="/xl/worksheets/sheet35158.xml"/>
  <Override ContentType="application/vnd.openxmlformats-officedocument.spreadsheetml.worksheet+xml" PartName="/xl/worksheets/sheet35159.xml"/>
  <Override ContentType="application/vnd.openxmlformats-officedocument.spreadsheetml.worksheet+xml" PartName="/xl/worksheets/sheet35160.xml"/>
  <Override ContentType="application/vnd.openxmlformats-officedocument.spreadsheetml.worksheet+xml" PartName="/xl/worksheets/sheet35161.xml"/>
  <Override ContentType="application/vnd.openxmlformats-officedocument.spreadsheetml.worksheet+xml" PartName="/xl/worksheets/sheet35162.xml"/>
  <Override ContentType="application/vnd.openxmlformats-officedocument.spreadsheetml.worksheet+xml" PartName="/xl/worksheets/sheet35163.xml"/>
  <Override ContentType="application/vnd.openxmlformats-officedocument.spreadsheetml.worksheet+xml" PartName="/xl/worksheets/sheet35164.xml"/>
  <Override ContentType="application/vnd.openxmlformats-officedocument.spreadsheetml.worksheet+xml" PartName="/xl/worksheets/sheet35165.xml"/>
  <Override ContentType="application/vnd.openxmlformats-officedocument.spreadsheetml.worksheet+xml" PartName="/xl/worksheets/sheet35166.xml"/>
  <Override ContentType="application/vnd.openxmlformats-officedocument.spreadsheetml.worksheet+xml" PartName="/xl/worksheets/sheet35167.xml"/>
  <Override ContentType="application/vnd.openxmlformats-officedocument.spreadsheetml.worksheet+xml" PartName="/xl/worksheets/sheet35168.xml"/>
  <Override ContentType="application/vnd.openxmlformats-officedocument.spreadsheetml.worksheet+xml" PartName="/xl/worksheets/sheet35169.xml"/>
  <Override ContentType="application/vnd.openxmlformats-officedocument.spreadsheetml.worksheet+xml" PartName="/xl/worksheets/sheet35170.xml"/>
  <Override ContentType="application/vnd.openxmlformats-officedocument.spreadsheetml.worksheet+xml" PartName="/xl/worksheets/sheet35171.xml"/>
  <Override ContentType="application/vnd.openxmlformats-officedocument.spreadsheetml.worksheet+xml" PartName="/xl/worksheets/sheet35172.xml"/>
  <Override ContentType="application/vnd.openxmlformats-officedocument.spreadsheetml.worksheet+xml" PartName="/xl/worksheets/sheet35173.xml"/>
  <Override ContentType="application/vnd.openxmlformats-officedocument.spreadsheetml.worksheet+xml" PartName="/xl/worksheets/sheet35174.xml"/>
  <Override ContentType="application/vnd.openxmlformats-officedocument.spreadsheetml.worksheet+xml" PartName="/xl/worksheets/sheet35175.xml"/>
  <Override ContentType="application/vnd.openxmlformats-officedocument.spreadsheetml.worksheet+xml" PartName="/xl/worksheets/sheet35176.xml"/>
  <Override ContentType="application/vnd.openxmlformats-officedocument.spreadsheetml.worksheet+xml" PartName="/xl/worksheets/sheet35177.xml"/>
  <Override ContentType="application/vnd.openxmlformats-officedocument.spreadsheetml.worksheet+xml" PartName="/xl/worksheets/sheet35178.xml"/>
  <Override ContentType="application/vnd.openxmlformats-officedocument.spreadsheetml.worksheet+xml" PartName="/xl/worksheets/sheet35179.xml"/>
  <Override ContentType="application/vnd.openxmlformats-officedocument.spreadsheetml.worksheet+xml" PartName="/xl/worksheets/sheet35180.xml"/>
  <Override ContentType="application/vnd.openxmlformats-officedocument.spreadsheetml.worksheet+xml" PartName="/xl/worksheets/sheet35181.xml"/>
  <Override ContentType="application/vnd.openxmlformats-officedocument.spreadsheetml.worksheet+xml" PartName="/xl/worksheets/sheet35182.xml"/>
  <Override ContentType="application/vnd.openxmlformats-officedocument.spreadsheetml.worksheet+xml" PartName="/xl/worksheets/sheet35183.xml"/>
  <Override ContentType="application/vnd.openxmlformats-officedocument.spreadsheetml.worksheet+xml" PartName="/xl/worksheets/sheet35184.xml"/>
  <Override ContentType="application/vnd.openxmlformats-officedocument.spreadsheetml.worksheet+xml" PartName="/xl/worksheets/sheet35185.xml"/>
  <Override ContentType="application/vnd.openxmlformats-officedocument.spreadsheetml.worksheet+xml" PartName="/xl/worksheets/sheet35186.xml"/>
  <Override ContentType="application/vnd.openxmlformats-officedocument.spreadsheetml.worksheet+xml" PartName="/xl/worksheets/sheet35187.xml"/>
  <Override ContentType="application/vnd.openxmlformats-officedocument.spreadsheetml.worksheet+xml" PartName="/xl/worksheets/sheet35188.xml"/>
  <Override ContentType="application/vnd.openxmlformats-officedocument.spreadsheetml.worksheet+xml" PartName="/xl/worksheets/sheet35189.xml"/>
  <Override ContentType="application/vnd.openxmlformats-officedocument.spreadsheetml.worksheet+xml" PartName="/xl/worksheets/sheet35190.xml"/>
  <Override ContentType="application/vnd.openxmlformats-officedocument.spreadsheetml.worksheet+xml" PartName="/xl/worksheets/sheet35191.xml"/>
  <Override ContentType="application/vnd.openxmlformats-officedocument.spreadsheetml.worksheet+xml" PartName="/xl/worksheets/sheet35192.xml"/>
  <Override ContentType="application/vnd.openxmlformats-officedocument.spreadsheetml.worksheet+xml" PartName="/xl/worksheets/sheet35193.xml"/>
  <Override ContentType="application/vnd.openxmlformats-officedocument.spreadsheetml.worksheet+xml" PartName="/xl/worksheets/sheet35194.xml"/>
  <Override ContentType="application/vnd.openxmlformats-officedocument.spreadsheetml.worksheet+xml" PartName="/xl/worksheets/sheet35195.xml"/>
  <Override ContentType="application/vnd.openxmlformats-officedocument.spreadsheetml.worksheet+xml" PartName="/xl/worksheets/sheet35196.xml"/>
  <Override ContentType="application/vnd.openxmlformats-officedocument.spreadsheetml.worksheet+xml" PartName="/xl/worksheets/sheet35197.xml"/>
  <Override ContentType="application/vnd.openxmlformats-officedocument.spreadsheetml.worksheet+xml" PartName="/xl/worksheets/sheet35198.xml"/>
  <Override ContentType="application/vnd.openxmlformats-officedocument.spreadsheetml.worksheet+xml" PartName="/xl/worksheets/sheet35199.xml"/>
  <Override ContentType="application/vnd.openxmlformats-officedocument.spreadsheetml.worksheet+xml" PartName="/xl/worksheets/sheet35200.xml"/>
  <Override ContentType="application/vnd.openxmlformats-officedocument.spreadsheetml.worksheet+xml" PartName="/xl/worksheets/sheet35201.xml"/>
  <Override ContentType="application/vnd.openxmlformats-officedocument.spreadsheetml.worksheet+xml" PartName="/xl/worksheets/sheet35202.xml"/>
  <Override ContentType="application/vnd.openxmlformats-officedocument.spreadsheetml.worksheet+xml" PartName="/xl/worksheets/sheet35203.xml"/>
  <Override ContentType="application/vnd.openxmlformats-officedocument.spreadsheetml.worksheet+xml" PartName="/xl/worksheets/sheet35204.xml"/>
  <Override ContentType="application/vnd.openxmlformats-officedocument.spreadsheetml.worksheet+xml" PartName="/xl/worksheets/sheet35205.xml"/>
  <Override ContentType="application/vnd.openxmlformats-officedocument.spreadsheetml.worksheet+xml" PartName="/xl/worksheets/sheet35206.xml"/>
  <Override ContentType="application/vnd.openxmlformats-officedocument.spreadsheetml.worksheet+xml" PartName="/xl/worksheets/sheet35207.xml"/>
  <Override ContentType="application/vnd.openxmlformats-officedocument.spreadsheetml.worksheet+xml" PartName="/xl/worksheets/sheet35208.xml"/>
  <Override ContentType="application/vnd.openxmlformats-officedocument.spreadsheetml.worksheet+xml" PartName="/xl/worksheets/sheet35209.xml"/>
  <Override ContentType="application/vnd.openxmlformats-officedocument.spreadsheetml.worksheet+xml" PartName="/xl/worksheets/sheet35210.xml"/>
  <Override ContentType="application/vnd.openxmlformats-officedocument.spreadsheetml.worksheet+xml" PartName="/xl/worksheets/sheet35211.xml"/>
  <Override ContentType="application/vnd.openxmlformats-officedocument.spreadsheetml.worksheet+xml" PartName="/xl/worksheets/sheet35212.xml"/>
  <Override ContentType="application/vnd.openxmlformats-officedocument.spreadsheetml.worksheet+xml" PartName="/xl/worksheets/sheet35213.xml"/>
  <Override ContentType="application/vnd.openxmlformats-officedocument.spreadsheetml.worksheet+xml" PartName="/xl/worksheets/sheet35214.xml"/>
  <Override ContentType="application/vnd.openxmlformats-officedocument.spreadsheetml.worksheet+xml" PartName="/xl/worksheets/sheet35215.xml"/>
  <Override ContentType="application/vnd.openxmlformats-officedocument.spreadsheetml.worksheet+xml" PartName="/xl/worksheets/sheet35216.xml"/>
  <Override ContentType="application/vnd.openxmlformats-officedocument.spreadsheetml.worksheet+xml" PartName="/xl/worksheets/sheet35217.xml"/>
  <Override ContentType="application/vnd.openxmlformats-officedocument.spreadsheetml.worksheet+xml" PartName="/xl/worksheets/sheet35218.xml"/>
  <Override ContentType="application/vnd.openxmlformats-officedocument.spreadsheetml.worksheet+xml" PartName="/xl/worksheets/sheet35219.xml"/>
  <Override ContentType="application/vnd.openxmlformats-officedocument.spreadsheetml.worksheet+xml" PartName="/xl/worksheets/sheet35220.xml"/>
  <Override ContentType="application/vnd.openxmlformats-officedocument.spreadsheetml.worksheet+xml" PartName="/xl/worksheets/sheet35221.xml"/>
  <Override ContentType="application/vnd.openxmlformats-officedocument.spreadsheetml.worksheet+xml" PartName="/xl/worksheets/sheet35222.xml"/>
  <Override ContentType="application/vnd.openxmlformats-officedocument.spreadsheetml.worksheet+xml" PartName="/xl/worksheets/sheet35223.xml"/>
  <Override ContentType="application/vnd.openxmlformats-officedocument.spreadsheetml.worksheet+xml" PartName="/xl/worksheets/sheet35224.xml"/>
  <Override ContentType="application/vnd.openxmlformats-officedocument.spreadsheetml.worksheet+xml" PartName="/xl/worksheets/sheet35225.xml"/>
  <Override ContentType="application/vnd.openxmlformats-officedocument.spreadsheetml.worksheet+xml" PartName="/xl/worksheets/sheet35226.xml"/>
  <Override ContentType="application/vnd.openxmlformats-officedocument.spreadsheetml.worksheet+xml" PartName="/xl/worksheets/sheet35227.xml"/>
  <Override ContentType="application/vnd.openxmlformats-officedocument.spreadsheetml.worksheet+xml" PartName="/xl/worksheets/sheet35228.xml"/>
  <Override ContentType="application/vnd.openxmlformats-officedocument.spreadsheetml.worksheet+xml" PartName="/xl/worksheets/sheet35229.xml"/>
  <Override ContentType="application/vnd.openxmlformats-officedocument.spreadsheetml.worksheet+xml" PartName="/xl/worksheets/sheet35230.xml"/>
  <Override ContentType="application/vnd.openxmlformats-officedocument.spreadsheetml.worksheet+xml" PartName="/xl/worksheets/sheet35231.xml"/>
  <Override ContentType="application/vnd.openxmlformats-officedocument.spreadsheetml.worksheet+xml" PartName="/xl/worksheets/sheet35232.xml"/>
  <Override ContentType="application/vnd.openxmlformats-officedocument.spreadsheetml.worksheet+xml" PartName="/xl/worksheets/sheet35233.xml"/>
  <Override ContentType="application/vnd.openxmlformats-officedocument.spreadsheetml.worksheet+xml" PartName="/xl/worksheets/sheet35234.xml"/>
  <Override ContentType="application/vnd.openxmlformats-officedocument.spreadsheetml.worksheet+xml" PartName="/xl/worksheets/sheet35235.xml"/>
  <Override ContentType="application/vnd.openxmlformats-officedocument.spreadsheetml.worksheet+xml" PartName="/xl/worksheets/sheet35236.xml"/>
  <Override ContentType="application/vnd.openxmlformats-officedocument.spreadsheetml.worksheet+xml" PartName="/xl/worksheets/sheet35237.xml"/>
  <Override ContentType="application/vnd.openxmlformats-officedocument.spreadsheetml.worksheet+xml" PartName="/xl/worksheets/sheet35238.xml"/>
  <Override ContentType="application/vnd.openxmlformats-officedocument.spreadsheetml.worksheet+xml" PartName="/xl/worksheets/sheet35239.xml"/>
  <Override ContentType="application/vnd.openxmlformats-officedocument.spreadsheetml.worksheet+xml" PartName="/xl/worksheets/sheet35240.xml"/>
  <Override ContentType="application/vnd.openxmlformats-officedocument.spreadsheetml.worksheet+xml" PartName="/xl/worksheets/sheet35241.xml"/>
  <Override ContentType="application/vnd.openxmlformats-officedocument.spreadsheetml.worksheet+xml" PartName="/xl/worksheets/sheet35242.xml"/>
  <Override ContentType="application/vnd.openxmlformats-officedocument.spreadsheetml.worksheet+xml" PartName="/xl/worksheets/sheet35243.xml"/>
  <Override ContentType="application/vnd.openxmlformats-officedocument.spreadsheetml.worksheet+xml" PartName="/xl/worksheets/sheet35244.xml"/>
  <Override ContentType="application/vnd.openxmlformats-officedocument.spreadsheetml.worksheet+xml" PartName="/xl/worksheets/sheet35245.xml"/>
  <Override ContentType="application/vnd.openxmlformats-officedocument.spreadsheetml.worksheet+xml" PartName="/xl/worksheets/sheet35246.xml"/>
  <Override ContentType="application/vnd.openxmlformats-officedocument.spreadsheetml.worksheet+xml" PartName="/xl/worksheets/sheet35247.xml"/>
  <Override ContentType="application/vnd.openxmlformats-officedocument.spreadsheetml.worksheet+xml" PartName="/xl/worksheets/sheet35248.xml"/>
  <Override ContentType="application/vnd.openxmlformats-officedocument.spreadsheetml.worksheet+xml" PartName="/xl/worksheets/sheet35249.xml"/>
  <Override ContentType="application/vnd.openxmlformats-officedocument.spreadsheetml.worksheet+xml" PartName="/xl/worksheets/sheet35250.xml"/>
  <Override ContentType="application/vnd.openxmlformats-officedocument.spreadsheetml.worksheet+xml" PartName="/xl/worksheets/sheet35251.xml"/>
  <Override ContentType="application/vnd.openxmlformats-officedocument.spreadsheetml.worksheet+xml" PartName="/xl/worksheets/sheet35252.xml"/>
  <Override ContentType="application/vnd.openxmlformats-officedocument.spreadsheetml.worksheet+xml" PartName="/xl/worksheets/sheet35253.xml"/>
  <Override ContentType="application/vnd.openxmlformats-officedocument.spreadsheetml.worksheet+xml" PartName="/xl/worksheets/sheet35254.xml"/>
  <Override ContentType="application/vnd.openxmlformats-officedocument.spreadsheetml.worksheet+xml" PartName="/xl/worksheets/sheet35255.xml"/>
  <Override ContentType="application/vnd.openxmlformats-officedocument.spreadsheetml.worksheet+xml" PartName="/xl/worksheets/sheet35256.xml"/>
  <Override ContentType="application/vnd.openxmlformats-officedocument.spreadsheetml.worksheet+xml" PartName="/xl/worksheets/sheet35257.xml"/>
  <Override ContentType="application/vnd.openxmlformats-officedocument.spreadsheetml.worksheet+xml" PartName="/xl/worksheets/sheet35258.xml"/>
  <Override ContentType="application/vnd.openxmlformats-officedocument.spreadsheetml.worksheet+xml" PartName="/xl/worksheets/sheet35259.xml"/>
  <Override ContentType="application/vnd.openxmlformats-officedocument.spreadsheetml.worksheet+xml" PartName="/xl/worksheets/sheet35260.xml"/>
  <Override ContentType="application/vnd.openxmlformats-officedocument.spreadsheetml.worksheet+xml" PartName="/xl/worksheets/sheet35261.xml"/>
  <Override ContentType="application/vnd.openxmlformats-officedocument.spreadsheetml.worksheet+xml" PartName="/xl/worksheets/sheet35262.xml"/>
  <Override ContentType="application/vnd.openxmlformats-officedocument.spreadsheetml.worksheet+xml" PartName="/xl/worksheets/sheet35263.xml"/>
  <Override ContentType="application/vnd.openxmlformats-officedocument.spreadsheetml.worksheet+xml" PartName="/xl/worksheets/sheet35264.xml"/>
  <Override ContentType="application/vnd.openxmlformats-officedocument.spreadsheetml.worksheet+xml" PartName="/xl/worksheets/sheet35265.xml"/>
  <Override ContentType="application/vnd.openxmlformats-officedocument.spreadsheetml.worksheet+xml" PartName="/xl/worksheets/sheet35266.xml"/>
  <Override ContentType="application/vnd.openxmlformats-officedocument.spreadsheetml.worksheet+xml" PartName="/xl/worksheets/sheet35267.xml"/>
  <Override ContentType="application/vnd.openxmlformats-officedocument.spreadsheetml.worksheet+xml" PartName="/xl/worksheets/sheet35268.xml"/>
  <Override ContentType="application/vnd.openxmlformats-officedocument.spreadsheetml.worksheet+xml" PartName="/xl/worksheets/sheet35269.xml"/>
  <Override ContentType="application/vnd.openxmlformats-officedocument.spreadsheetml.worksheet+xml" PartName="/xl/worksheets/sheet35270.xml"/>
  <Override ContentType="application/vnd.openxmlformats-officedocument.spreadsheetml.worksheet+xml" PartName="/xl/worksheets/sheet35271.xml"/>
  <Override ContentType="application/vnd.openxmlformats-officedocument.spreadsheetml.worksheet+xml" PartName="/xl/worksheets/sheet35272.xml"/>
  <Override ContentType="application/vnd.openxmlformats-officedocument.spreadsheetml.worksheet+xml" PartName="/xl/worksheets/sheet35273.xml"/>
  <Override ContentType="application/vnd.openxmlformats-officedocument.spreadsheetml.worksheet+xml" PartName="/xl/worksheets/sheet35274.xml"/>
  <Override ContentType="application/vnd.openxmlformats-officedocument.spreadsheetml.worksheet+xml" PartName="/xl/worksheets/sheet35275.xml"/>
  <Override ContentType="application/vnd.openxmlformats-officedocument.spreadsheetml.worksheet+xml" PartName="/xl/worksheets/sheet35276.xml"/>
  <Override ContentType="application/vnd.openxmlformats-officedocument.spreadsheetml.worksheet+xml" PartName="/xl/worksheets/sheet35277.xml"/>
  <Override ContentType="application/vnd.openxmlformats-officedocument.spreadsheetml.worksheet+xml" PartName="/xl/worksheets/sheet35278.xml"/>
  <Override ContentType="application/vnd.openxmlformats-officedocument.spreadsheetml.worksheet+xml" PartName="/xl/worksheets/sheet35279.xml"/>
  <Override ContentType="application/vnd.openxmlformats-officedocument.spreadsheetml.worksheet+xml" PartName="/xl/worksheets/sheet35280.xml"/>
  <Override ContentType="application/vnd.openxmlformats-officedocument.spreadsheetml.worksheet+xml" PartName="/xl/worksheets/sheet35281.xml"/>
  <Override ContentType="application/vnd.openxmlformats-officedocument.spreadsheetml.worksheet+xml" PartName="/xl/worksheets/sheet35282.xml"/>
  <Override ContentType="application/vnd.openxmlformats-officedocument.spreadsheetml.worksheet+xml" PartName="/xl/worksheets/sheet35283.xml"/>
  <Override ContentType="application/vnd.openxmlformats-officedocument.spreadsheetml.worksheet+xml" PartName="/xl/worksheets/sheet35284.xml"/>
  <Override ContentType="application/vnd.openxmlformats-officedocument.spreadsheetml.worksheet+xml" PartName="/xl/worksheets/sheet35285.xml"/>
  <Override ContentType="application/vnd.openxmlformats-officedocument.spreadsheetml.worksheet+xml" PartName="/xl/worksheets/sheet35286.xml"/>
  <Override ContentType="application/vnd.openxmlformats-officedocument.spreadsheetml.worksheet+xml" PartName="/xl/worksheets/sheet35287.xml"/>
  <Override ContentType="application/vnd.openxmlformats-officedocument.spreadsheetml.worksheet+xml" PartName="/xl/worksheets/sheet35288.xml"/>
  <Override ContentType="application/vnd.openxmlformats-officedocument.spreadsheetml.worksheet+xml" PartName="/xl/worksheets/sheet35289.xml"/>
  <Override ContentType="application/vnd.openxmlformats-officedocument.spreadsheetml.worksheet+xml" PartName="/xl/worksheets/sheet35290.xml"/>
  <Override ContentType="application/vnd.openxmlformats-officedocument.spreadsheetml.worksheet+xml" PartName="/xl/worksheets/sheet35291.xml"/>
  <Override ContentType="application/vnd.openxmlformats-officedocument.spreadsheetml.worksheet+xml" PartName="/xl/worksheets/sheet35292.xml"/>
  <Override ContentType="application/vnd.openxmlformats-officedocument.spreadsheetml.worksheet+xml" PartName="/xl/worksheets/sheet35293.xml"/>
  <Override ContentType="application/vnd.openxmlformats-officedocument.spreadsheetml.worksheet+xml" PartName="/xl/worksheets/sheet35294.xml"/>
  <Override ContentType="application/vnd.openxmlformats-officedocument.spreadsheetml.worksheet+xml" PartName="/xl/worksheets/sheet35295.xml"/>
  <Override ContentType="application/vnd.openxmlformats-officedocument.spreadsheetml.worksheet+xml" PartName="/xl/worksheets/sheet35296.xml"/>
  <Override ContentType="application/vnd.openxmlformats-officedocument.spreadsheetml.worksheet+xml" PartName="/xl/worksheets/sheet35297.xml"/>
  <Override ContentType="application/vnd.openxmlformats-officedocument.spreadsheetml.worksheet+xml" PartName="/xl/worksheets/sheet35298.xml"/>
  <Override ContentType="application/vnd.openxmlformats-officedocument.spreadsheetml.worksheet+xml" PartName="/xl/worksheets/sheet35299.xml"/>
  <Override ContentType="application/vnd.openxmlformats-officedocument.spreadsheetml.worksheet+xml" PartName="/xl/worksheets/sheet35300.xml"/>
  <Override ContentType="application/vnd.openxmlformats-officedocument.spreadsheetml.worksheet+xml" PartName="/xl/worksheets/sheet35301.xml"/>
  <Override ContentType="application/vnd.openxmlformats-officedocument.spreadsheetml.worksheet+xml" PartName="/xl/worksheets/sheet35302.xml"/>
  <Override ContentType="application/vnd.openxmlformats-officedocument.spreadsheetml.worksheet+xml" PartName="/xl/worksheets/sheet35303.xml"/>
  <Override ContentType="application/vnd.openxmlformats-officedocument.spreadsheetml.worksheet+xml" PartName="/xl/worksheets/sheet35304.xml"/>
  <Override ContentType="application/vnd.openxmlformats-officedocument.spreadsheetml.worksheet+xml" PartName="/xl/worksheets/sheet35305.xml"/>
  <Override ContentType="application/vnd.openxmlformats-officedocument.spreadsheetml.worksheet+xml" PartName="/xl/worksheets/sheet35306.xml"/>
  <Override ContentType="application/vnd.openxmlformats-officedocument.spreadsheetml.worksheet+xml" PartName="/xl/worksheets/sheet35307.xml"/>
  <Override ContentType="application/vnd.openxmlformats-officedocument.spreadsheetml.worksheet+xml" PartName="/xl/worksheets/sheet35308.xml"/>
  <Override ContentType="application/vnd.openxmlformats-officedocument.spreadsheetml.worksheet+xml" PartName="/xl/worksheets/sheet35309.xml"/>
  <Override ContentType="application/vnd.openxmlformats-officedocument.spreadsheetml.worksheet+xml" PartName="/xl/worksheets/sheet35310.xml"/>
  <Override ContentType="application/vnd.openxmlformats-officedocument.spreadsheetml.worksheet+xml" PartName="/xl/worksheets/sheet35311.xml"/>
  <Override ContentType="application/vnd.openxmlformats-officedocument.spreadsheetml.worksheet+xml" PartName="/xl/worksheets/sheet35312.xml"/>
  <Override ContentType="application/vnd.openxmlformats-officedocument.spreadsheetml.worksheet+xml" PartName="/xl/worksheets/sheet35313.xml"/>
  <Override ContentType="application/vnd.openxmlformats-officedocument.spreadsheetml.worksheet+xml" PartName="/xl/worksheets/sheet35314.xml"/>
  <Override ContentType="application/vnd.openxmlformats-officedocument.spreadsheetml.worksheet+xml" PartName="/xl/worksheets/sheet35315.xml"/>
  <Override ContentType="application/vnd.openxmlformats-officedocument.spreadsheetml.worksheet+xml" PartName="/xl/worksheets/sheet35316.xml"/>
  <Override ContentType="application/vnd.openxmlformats-officedocument.spreadsheetml.worksheet+xml" PartName="/xl/worksheets/sheet35317.xml"/>
  <Override ContentType="application/vnd.openxmlformats-officedocument.spreadsheetml.worksheet+xml" PartName="/xl/worksheets/sheet35318.xml"/>
  <Override ContentType="application/vnd.openxmlformats-officedocument.spreadsheetml.worksheet+xml" PartName="/xl/worksheets/sheet35319.xml"/>
  <Override ContentType="application/vnd.openxmlformats-officedocument.spreadsheetml.worksheet+xml" PartName="/xl/worksheets/sheet35320.xml"/>
  <Override ContentType="application/vnd.openxmlformats-officedocument.spreadsheetml.worksheet+xml" PartName="/xl/worksheets/sheet35321.xml"/>
  <Override ContentType="application/vnd.openxmlformats-officedocument.spreadsheetml.worksheet+xml" PartName="/xl/worksheets/sheet35322.xml"/>
  <Override ContentType="application/vnd.openxmlformats-officedocument.spreadsheetml.worksheet+xml" PartName="/xl/worksheets/sheet35323.xml"/>
  <Override ContentType="application/vnd.openxmlformats-officedocument.spreadsheetml.worksheet+xml" PartName="/xl/worksheets/sheet35324.xml"/>
  <Override ContentType="application/vnd.openxmlformats-officedocument.spreadsheetml.worksheet+xml" PartName="/xl/worksheets/sheet35325.xml"/>
  <Override ContentType="application/vnd.openxmlformats-officedocument.spreadsheetml.worksheet+xml" PartName="/xl/worksheets/sheet35326.xml"/>
  <Override ContentType="application/vnd.openxmlformats-officedocument.spreadsheetml.worksheet+xml" PartName="/xl/worksheets/sheet35327.xml"/>
  <Override ContentType="application/vnd.openxmlformats-officedocument.spreadsheetml.worksheet+xml" PartName="/xl/worksheets/sheet35328.xml"/>
  <Override ContentType="application/vnd.openxmlformats-officedocument.spreadsheetml.worksheet+xml" PartName="/xl/worksheets/sheet35329.xml"/>
  <Override ContentType="application/vnd.openxmlformats-officedocument.spreadsheetml.worksheet+xml" PartName="/xl/worksheets/sheet35330.xml"/>
  <Override ContentType="application/vnd.openxmlformats-officedocument.spreadsheetml.worksheet+xml" PartName="/xl/worksheets/sheet35331.xml"/>
  <Override ContentType="application/vnd.openxmlformats-officedocument.spreadsheetml.worksheet+xml" PartName="/xl/worksheets/sheet35332.xml"/>
  <Override ContentType="application/vnd.openxmlformats-officedocument.spreadsheetml.worksheet+xml" PartName="/xl/worksheets/sheet35333.xml"/>
  <Override ContentType="application/vnd.openxmlformats-officedocument.spreadsheetml.worksheet+xml" PartName="/xl/worksheets/sheet35334.xml"/>
  <Override ContentType="application/vnd.openxmlformats-officedocument.spreadsheetml.worksheet+xml" PartName="/xl/worksheets/sheet35335.xml"/>
  <Override ContentType="application/vnd.openxmlformats-officedocument.spreadsheetml.worksheet+xml" PartName="/xl/worksheets/sheet35336.xml"/>
  <Override ContentType="application/vnd.openxmlformats-officedocument.spreadsheetml.worksheet+xml" PartName="/xl/worksheets/sheet35337.xml"/>
  <Override ContentType="application/vnd.openxmlformats-officedocument.spreadsheetml.worksheet+xml" PartName="/xl/worksheets/sheet35338.xml"/>
  <Override ContentType="application/vnd.openxmlformats-officedocument.spreadsheetml.worksheet+xml" PartName="/xl/worksheets/sheet35339.xml"/>
  <Override ContentType="application/vnd.openxmlformats-officedocument.spreadsheetml.worksheet+xml" PartName="/xl/worksheets/sheet35340.xml"/>
  <Override ContentType="application/vnd.openxmlformats-officedocument.spreadsheetml.worksheet+xml" PartName="/xl/worksheets/sheet35341.xml"/>
  <Override ContentType="application/vnd.openxmlformats-officedocument.spreadsheetml.worksheet+xml" PartName="/xl/worksheets/sheet35342.xml"/>
  <Override ContentType="application/vnd.openxmlformats-officedocument.spreadsheetml.worksheet+xml" PartName="/xl/worksheets/sheet35343.xml"/>
  <Override ContentType="application/vnd.openxmlformats-officedocument.spreadsheetml.worksheet+xml" PartName="/xl/worksheets/sheet35344.xml"/>
  <Override ContentType="application/vnd.openxmlformats-officedocument.spreadsheetml.worksheet+xml" PartName="/xl/worksheets/sheet35345.xml"/>
  <Override ContentType="application/vnd.openxmlformats-officedocument.spreadsheetml.worksheet+xml" PartName="/xl/worksheets/sheet35346.xml"/>
  <Override ContentType="application/vnd.openxmlformats-officedocument.spreadsheetml.worksheet+xml" PartName="/xl/worksheets/sheet35347.xml"/>
  <Override ContentType="application/vnd.openxmlformats-officedocument.spreadsheetml.worksheet+xml" PartName="/xl/worksheets/sheet35348.xml"/>
  <Override ContentType="application/vnd.openxmlformats-officedocument.spreadsheetml.worksheet+xml" PartName="/xl/worksheets/sheet35349.xml"/>
  <Override ContentType="application/vnd.openxmlformats-officedocument.spreadsheetml.worksheet+xml" PartName="/xl/worksheets/sheet35350.xml"/>
  <Override ContentType="application/vnd.openxmlformats-officedocument.spreadsheetml.worksheet+xml" PartName="/xl/worksheets/sheet35351.xml"/>
  <Override ContentType="application/vnd.openxmlformats-officedocument.spreadsheetml.worksheet+xml" PartName="/xl/worksheets/sheet35352.xml"/>
  <Override ContentType="application/vnd.openxmlformats-officedocument.spreadsheetml.worksheet+xml" PartName="/xl/worksheets/sheet35353.xml"/>
  <Override ContentType="application/vnd.openxmlformats-officedocument.spreadsheetml.worksheet+xml" PartName="/xl/worksheets/sheet35354.xml"/>
  <Override ContentType="application/vnd.openxmlformats-officedocument.spreadsheetml.worksheet+xml" PartName="/xl/worksheets/sheet35355.xml"/>
  <Override ContentType="application/vnd.openxmlformats-officedocument.spreadsheetml.worksheet+xml" PartName="/xl/worksheets/sheet35356.xml"/>
  <Override ContentType="application/vnd.openxmlformats-officedocument.spreadsheetml.worksheet+xml" PartName="/xl/worksheets/sheet35357.xml"/>
  <Override ContentType="application/vnd.openxmlformats-officedocument.spreadsheetml.worksheet+xml" PartName="/xl/worksheets/sheet35358.xml"/>
  <Override ContentType="application/vnd.openxmlformats-officedocument.spreadsheetml.worksheet+xml" PartName="/xl/worksheets/sheet35359.xml"/>
  <Override ContentType="application/vnd.openxmlformats-officedocument.spreadsheetml.worksheet+xml" PartName="/xl/worksheets/sheet35360.xml"/>
  <Override ContentType="application/vnd.openxmlformats-officedocument.spreadsheetml.worksheet+xml" PartName="/xl/worksheets/sheet35361.xml"/>
  <Override ContentType="application/vnd.openxmlformats-officedocument.spreadsheetml.worksheet+xml" PartName="/xl/worksheets/sheet35362.xml"/>
  <Override ContentType="application/vnd.openxmlformats-officedocument.spreadsheetml.worksheet+xml" PartName="/xl/worksheets/sheet35363.xml"/>
  <Override ContentType="application/vnd.openxmlformats-officedocument.spreadsheetml.worksheet+xml" PartName="/xl/worksheets/sheet35364.xml"/>
  <Override ContentType="application/vnd.openxmlformats-officedocument.spreadsheetml.worksheet+xml" PartName="/xl/worksheets/sheet35365.xml"/>
  <Override ContentType="application/vnd.openxmlformats-officedocument.spreadsheetml.worksheet+xml" PartName="/xl/worksheets/sheet35366.xml"/>
  <Override ContentType="application/vnd.openxmlformats-officedocument.spreadsheetml.worksheet+xml" PartName="/xl/worksheets/sheet35367.xml"/>
  <Override ContentType="application/vnd.openxmlformats-officedocument.spreadsheetml.worksheet+xml" PartName="/xl/worksheets/sheet35368.xml"/>
  <Override ContentType="application/vnd.openxmlformats-officedocument.spreadsheetml.worksheet+xml" PartName="/xl/worksheets/sheet35369.xml"/>
  <Override ContentType="application/vnd.openxmlformats-officedocument.spreadsheetml.worksheet+xml" PartName="/xl/worksheets/sheet35370.xml"/>
  <Override ContentType="application/vnd.openxmlformats-officedocument.spreadsheetml.worksheet+xml" PartName="/xl/worksheets/sheet35371.xml"/>
  <Override ContentType="application/vnd.openxmlformats-officedocument.spreadsheetml.worksheet+xml" PartName="/xl/worksheets/sheet35372.xml"/>
  <Override ContentType="application/vnd.openxmlformats-officedocument.spreadsheetml.worksheet+xml" PartName="/xl/worksheets/sheet35373.xml"/>
  <Override ContentType="application/vnd.openxmlformats-officedocument.spreadsheetml.worksheet+xml" PartName="/xl/worksheets/sheet35374.xml"/>
  <Override ContentType="application/vnd.openxmlformats-officedocument.spreadsheetml.worksheet+xml" PartName="/xl/worksheets/sheet35375.xml"/>
  <Override ContentType="application/vnd.openxmlformats-officedocument.spreadsheetml.worksheet+xml" PartName="/xl/worksheets/sheet35376.xml"/>
  <Override ContentType="application/vnd.openxmlformats-officedocument.spreadsheetml.worksheet+xml" PartName="/xl/worksheets/sheet35377.xml"/>
  <Override ContentType="application/vnd.openxmlformats-officedocument.spreadsheetml.worksheet+xml" PartName="/xl/worksheets/sheet35378.xml"/>
  <Override ContentType="application/vnd.openxmlformats-officedocument.spreadsheetml.worksheet+xml" PartName="/xl/worksheets/sheet35379.xml"/>
  <Override ContentType="application/vnd.openxmlformats-officedocument.spreadsheetml.worksheet+xml" PartName="/xl/worksheets/sheet35380.xml"/>
  <Override ContentType="application/vnd.openxmlformats-officedocument.spreadsheetml.worksheet+xml" PartName="/xl/worksheets/sheet35381.xml"/>
  <Override ContentType="application/vnd.openxmlformats-officedocument.spreadsheetml.worksheet+xml" PartName="/xl/worksheets/sheet35382.xml"/>
  <Override ContentType="application/vnd.openxmlformats-officedocument.spreadsheetml.worksheet+xml" PartName="/xl/worksheets/sheet35383.xml"/>
  <Override ContentType="application/vnd.openxmlformats-officedocument.spreadsheetml.worksheet+xml" PartName="/xl/worksheets/sheet35384.xml"/>
  <Override ContentType="application/vnd.openxmlformats-officedocument.spreadsheetml.worksheet+xml" PartName="/xl/worksheets/sheet35385.xml"/>
  <Override ContentType="application/vnd.openxmlformats-officedocument.spreadsheetml.worksheet+xml" PartName="/xl/worksheets/sheet35386.xml"/>
  <Override ContentType="application/vnd.openxmlformats-officedocument.spreadsheetml.worksheet+xml" PartName="/xl/worksheets/sheet35387.xml"/>
  <Override ContentType="application/vnd.openxmlformats-officedocument.spreadsheetml.worksheet+xml" PartName="/xl/worksheets/sheet35388.xml"/>
  <Override ContentType="application/vnd.openxmlformats-officedocument.spreadsheetml.worksheet+xml" PartName="/xl/worksheets/sheet35389.xml"/>
  <Override ContentType="application/vnd.openxmlformats-officedocument.spreadsheetml.worksheet+xml" PartName="/xl/worksheets/sheet35390.xml"/>
  <Override ContentType="application/vnd.openxmlformats-officedocument.spreadsheetml.worksheet+xml" PartName="/xl/worksheets/sheet35391.xml"/>
  <Override ContentType="application/vnd.openxmlformats-officedocument.spreadsheetml.worksheet+xml" PartName="/xl/worksheets/sheet35392.xml"/>
  <Override ContentType="application/vnd.openxmlformats-officedocument.spreadsheetml.worksheet+xml" PartName="/xl/worksheets/sheet35393.xml"/>
  <Override ContentType="application/vnd.openxmlformats-officedocument.spreadsheetml.worksheet+xml" PartName="/xl/worksheets/sheet35394.xml"/>
  <Override ContentType="application/vnd.openxmlformats-officedocument.spreadsheetml.worksheet+xml" PartName="/xl/worksheets/sheet35395.xml"/>
  <Override ContentType="application/vnd.openxmlformats-officedocument.spreadsheetml.worksheet+xml" PartName="/xl/worksheets/sheet35396.xml"/>
  <Override ContentType="application/vnd.openxmlformats-officedocument.spreadsheetml.worksheet+xml" PartName="/xl/worksheets/sheet35397.xml"/>
  <Override ContentType="application/vnd.openxmlformats-officedocument.spreadsheetml.worksheet+xml" PartName="/xl/worksheets/sheet35398.xml"/>
  <Override ContentType="application/vnd.openxmlformats-officedocument.spreadsheetml.worksheet+xml" PartName="/xl/worksheets/sheet35399.xml"/>
  <Override ContentType="application/vnd.openxmlformats-officedocument.spreadsheetml.worksheet+xml" PartName="/xl/worksheets/sheet35400.xml"/>
  <Override ContentType="application/vnd.openxmlformats-officedocument.spreadsheetml.worksheet+xml" PartName="/xl/worksheets/sheet35401.xml"/>
  <Override ContentType="application/vnd.openxmlformats-officedocument.spreadsheetml.worksheet+xml" PartName="/xl/worksheets/sheet35402.xml"/>
  <Override ContentType="application/vnd.openxmlformats-officedocument.spreadsheetml.worksheet+xml" PartName="/xl/worksheets/sheet35403.xml"/>
  <Override ContentType="application/vnd.openxmlformats-officedocument.spreadsheetml.worksheet+xml" PartName="/xl/worksheets/sheet35404.xml"/>
  <Override ContentType="application/vnd.openxmlformats-officedocument.spreadsheetml.worksheet+xml" PartName="/xl/worksheets/sheet35405.xml"/>
  <Override ContentType="application/vnd.openxmlformats-officedocument.spreadsheetml.worksheet+xml" PartName="/xl/worksheets/sheet35406.xml"/>
  <Override ContentType="application/vnd.openxmlformats-officedocument.spreadsheetml.worksheet+xml" PartName="/xl/worksheets/sheet35407.xml"/>
  <Override ContentType="application/vnd.openxmlformats-officedocument.spreadsheetml.worksheet+xml" PartName="/xl/worksheets/sheet35408.xml"/>
  <Override ContentType="application/vnd.openxmlformats-officedocument.spreadsheetml.worksheet+xml" PartName="/xl/worksheets/sheet35409.xml"/>
  <Override ContentType="application/vnd.openxmlformats-officedocument.spreadsheetml.worksheet+xml" PartName="/xl/worksheets/sheet35410.xml"/>
  <Override ContentType="application/vnd.openxmlformats-officedocument.spreadsheetml.worksheet+xml" PartName="/xl/worksheets/sheet35411.xml"/>
  <Override ContentType="application/vnd.openxmlformats-officedocument.spreadsheetml.worksheet+xml" PartName="/xl/worksheets/sheet35412.xml"/>
  <Override ContentType="application/vnd.openxmlformats-officedocument.spreadsheetml.worksheet+xml" PartName="/xl/worksheets/sheet35413.xml"/>
  <Override ContentType="application/vnd.openxmlformats-officedocument.spreadsheetml.worksheet+xml" PartName="/xl/worksheets/sheet35414.xml"/>
  <Override ContentType="application/vnd.openxmlformats-officedocument.spreadsheetml.worksheet+xml" PartName="/xl/worksheets/sheet35415.xml"/>
  <Override ContentType="application/vnd.openxmlformats-officedocument.spreadsheetml.worksheet+xml" PartName="/xl/worksheets/sheet35416.xml"/>
  <Override ContentType="application/vnd.openxmlformats-officedocument.spreadsheetml.worksheet+xml" PartName="/xl/worksheets/sheet35417.xml"/>
  <Override ContentType="application/vnd.openxmlformats-officedocument.spreadsheetml.worksheet+xml" PartName="/xl/worksheets/sheet35418.xml"/>
  <Override ContentType="application/vnd.openxmlformats-officedocument.spreadsheetml.worksheet+xml" PartName="/xl/worksheets/sheet35419.xml"/>
  <Override ContentType="application/vnd.openxmlformats-officedocument.spreadsheetml.worksheet+xml" PartName="/xl/worksheets/sheet35420.xml"/>
  <Override ContentType="application/vnd.openxmlformats-officedocument.spreadsheetml.worksheet+xml" PartName="/xl/worksheets/sheet35421.xml"/>
  <Override ContentType="application/vnd.openxmlformats-officedocument.spreadsheetml.worksheet+xml" PartName="/xl/worksheets/sheet35422.xml"/>
  <Override ContentType="application/vnd.openxmlformats-officedocument.spreadsheetml.worksheet+xml" PartName="/xl/worksheets/sheet35423.xml"/>
  <Override ContentType="application/vnd.openxmlformats-officedocument.spreadsheetml.worksheet+xml" PartName="/xl/worksheets/sheet35424.xml"/>
  <Override ContentType="application/vnd.openxmlformats-officedocument.spreadsheetml.worksheet+xml" PartName="/xl/worksheets/sheet35425.xml"/>
  <Override ContentType="application/vnd.openxmlformats-officedocument.spreadsheetml.worksheet+xml" PartName="/xl/worksheets/sheet35426.xml"/>
  <Override ContentType="application/vnd.openxmlformats-officedocument.spreadsheetml.worksheet+xml" PartName="/xl/worksheets/sheet35427.xml"/>
  <Override ContentType="application/vnd.openxmlformats-officedocument.spreadsheetml.worksheet+xml" PartName="/xl/worksheets/sheet35428.xml"/>
  <Override ContentType="application/vnd.openxmlformats-officedocument.spreadsheetml.worksheet+xml" PartName="/xl/worksheets/sheet35429.xml"/>
  <Override ContentType="application/vnd.openxmlformats-officedocument.spreadsheetml.worksheet+xml" PartName="/xl/worksheets/sheet35430.xml"/>
  <Override ContentType="application/vnd.openxmlformats-officedocument.spreadsheetml.worksheet+xml" PartName="/xl/worksheets/sheet35431.xml"/>
  <Override ContentType="application/vnd.openxmlformats-officedocument.spreadsheetml.worksheet+xml" PartName="/xl/worksheets/sheet35432.xml"/>
  <Override ContentType="application/vnd.openxmlformats-officedocument.spreadsheetml.worksheet+xml" PartName="/xl/worksheets/sheet35433.xml"/>
  <Override ContentType="application/vnd.openxmlformats-officedocument.spreadsheetml.worksheet+xml" PartName="/xl/worksheets/sheet35434.xml"/>
  <Override ContentType="application/vnd.openxmlformats-officedocument.spreadsheetml.worksheet+xml" PartName="/xl/worksheets/sheet35435.xml"/>
  <Override ContentType="application/vnd.openxmlformats-officedocument.spreadsheetml.worksheet+xml" PartName="/xl/worksheets/sheet35436.xml"/>
  <Override ContentType="application/vnd.openxmlformats-officedocument.spreadsheetml.worksheet+xml" PartName="/xl/worksheets/sheet35437.xml"/>
  <Override ContentType="application/vnd.openxmlformats-officedocument.spreadsheetml.worksheet+xml" PartName="/xl/worksheets/sheet35438.xml"/>
  <Override ContentType="application/vnd.openxmlformats-officedocument.spreadsheetml.worksheet+xml" PartName="/xl/worksheets/sheet35439.xml"/>
  <Override ContentType="application/vnd.openxmlformats-officedocument.spreadsheetml.worksheet+xml" PartName="/xl/worksheets/sheet35440.xml"/>
  <Override ContentType="application/vnd.openxmlformats-officedocument.spreadsheetml.worksheet+xml" PartName="/xl/worksheets/sheet35441.xml"/>
  <Override ContentType="application/vnd.openxmlformats-officedocument.spreadsheetml.worksheet+xml" PartName="/xl/worksheets/sheet35442.xml"/>
  <Override ContentType="application/vnd.openxmlformats-officedocument.spreadsheetml.worksheet+xml" PartName="/xl/worksheets/sheet35443.xml"/>
  <Override ContentType="application/vnd.openxmlformats-officedocument.spreadsheetml.worksheet+xml" PartName="/xl/worksheets/sheet35444.xml"/>
  <Override ContentType="application/vnd.openxmlformats-officedocument.spreadsheetml.worksheet+xml" PartName="/xl/worksheets/sheet35445.xml"/>
  <Override ContentType="application/vnd.openxmlformats-officedocument.spreadsheetml.worksheet+xml" PartName="/xl/worksheets/sheet35446.xml"/>
  <Override ContentType="application/vnd.openxmlformats-officedocument.spreadsheetml.worksheet+xml" PartName="/xl/worksheets/sheet35447.xml"/>
  <Override ContentType="application/vnd.openxmlformats-officedocument.spreadsheetml.worksheet+xml" PartName="/xl/worksheets/sheet35448.xml"/>
  <Override ContentType="application/vnd.openxmlformats-officedocument.spreadsheetml.worksheet+xml" PartName="/xl/worksheets/sheet35449.xml"/>
  <Override ContentType="application/vnd.openxmlformats-officedocument.spreadsheetml.worksheet+xml" PartName="/xl/worksheets/sheet35450.xml"/>
  <Override ContentType="application/vnd.openxmlformats-officedocument.spreadsheetml.worksheet+xml" PartName="/xl/worksheets/sheet35451.xml"/>
  <Override ContentType="application/vnd.openxmlformats-officedocument.spreadsheetml.worksheet+xml" PartName="/xl/worksheets/sheet35452.xml"/>
  <Override ContentType="application/vnd.openxmlformats-officedocument.spreadsheetml.worksheet+xml" PartName="/xl/worksheets/sheet35453.xml"/>
  <Override ContentType="application/vnd.openxmlformats-officedocument.spreadsheetml.worksheet+xml" PartName="/xl/worksheets/sheet35454.xml"/>
  <Override ContentType="application/vnd.openxmlformats-officedocument.spreadsheetml.worksheet+xml" PartName="/xl/worksheets/sheet35455.xml"/>
  <Override ContentType="application/vnd.openxmlformats-officedocument.spreadsheetml.worksheet+xml" PartName="/xl/worksheets/sheet35456.xml"/>
  <Override ContentType="application/vnd.openxmlformats-officedocument.spreadsheetml.worksheet+xml" PartName="/xl/worksheets/sheet35457.xml"/>
  <Override ContentType="application/vnd.openxmlformats-officedocument.spreadsheetml.worksheet+xml" PartName="/xl/worksheets/sheet35458.xml"/>
  <Override ContentType="application/vnd.openxmlformats-officedocument.spreadsheetml.worksheet+xml" PartName="/xl/worksheets/sheet35459.xml"/>
  <Override ContentType="application/vnd.openxmlformats-officedocument.spreadsheetml.worksheet+xml" PartName="/xl/worksheets/sheet35460.xml"/>
  <Override ContentType="application/vnd.openxmlformats-officedocument.spreadsheetml.worksheet+xml" PartName="/xl/worksheets/sheet35461.xml"/>
  <Override ContentType="application/vnd.openxmlformats-officedocument.spreadsheetml.worksheet+xml" PartName="/xl/worksheets/sheet35462.xml"/>
  <Override ContentType="application/vnd.openxmlformats-officedocument.spreadsheetml.worksheet+xml" PartName="/xl/worksheets/sheet35463.xml"/>
  <Override ContentType="application/vnd.openxmlformats-officedocument.spreadsheetml.worksheet+xml" PartName="/xl/worksheets/sheet35464.xml"/>
  <Override ContentType="application/vnd.openxmlformats-officedocument.spreadsheetml.worksheet+xml" PartName="/xl/worksheets/sheet35465.xml"/>
  <Override ContentType="application/vnd.openxmlformats-officedocument.spreadsheetml.worksheet+xml" PartName="/xl/worksheets/sheet35466.xml"/>
  <Override ContentType="application/vnd.openxmlformats-officedocument.spreadsheetml.worksheet+xml" PartName="/xl/worksheets/sheet35467.xml"/>
  <Override ContentType="application/vnd.openxmlformats-officedocument.spreadsheetml.worksheet+xml" PartName="/xl/worksheets/sheet35468.xml"/>
  <Override ContentType="application/vnd.openxmlformats-officedocument.spreadsheetml.worksheet+xml" PartName="/xl/worksheets/sheet35469.xml"/>
  <Override ContentType="application/vnd.openxmlformats-officedocument.spreadsheetml.worksheet+xml" PartName="/xl/worksheets/sheet35470.xml"/>
  <Override ContentType="application/vnd.openxmlformats-officedocument.spreadsheetml.worksheet+xml" PartName="/xl/worksheets/sheet35471.xml"/>
  <Override ContentType="application/vnd.openxmlformats-officedocument.spreadsheetml.worksheet+xml" PartName="/xl/worksheets/sheet35472.xml"/>
  <Override ContentType="application/vnd.openxmlformats-officedocument.spreadsheetml.worksheet+xml" PartName="/xl/worksheets/sheet35473.xml"/>
  <Override ContentType="application/vnd.openxmlformats-officedocument.spreadsheetml.worksheet+xml" PartName="/xl/worksheets/sheet35474.xml"/>
  <Override ContentType="application/vnd.openxmlformats-officedocument.spreadsheetml.worksheet+xml" PartName="/xl/worksheets/sheet35475.xml"/>
  <Override ContentType="application/vnd.openxmlformats-officedocument.spreadsheetml.worksheet+xml" PartName="/xl/worksheets/sheet35476.xml"/>
  <Override ContentType="application/vnd.openxmlformats-officedocument.spreadsheetml.worksheet+xml" PartName="/xl/worksheets/sheet35477.xml"/>
  <Override ContentType="application/vnd.openxmlformats-officedocument.spreadsheetml.worksheet+xml" PartName="/xl/worksheets/sheet35478.xml"/>
  <Override ContentType="application/vnd.openxmlformats-officedocument.spreadsheetml.worksheet+xml" PartName="/xl/worksheets/sheet35479.xml"/>
  <Override ContentType="application/vnd.openxmlformats-officedocument.spreadsheetml.worksheet+xml" PartName="/xl/worksheets/sheet35480.xml"/>
  <Override ContentType="application/vnd.openxmlformats-officedocument.spreadsheetml.worksheet+xml" PartName="/xl/worksheets/sheet35481.xml"/>
  <Override ContentType="application/vnd.openxmlformats-officedocument.spreadsheetml.worksheet+xml" PartName="/xl/worksheets/sheet35482.xml"/>
  <Override ContentType="application/vnd.openxmlformats-officedocument.spreadsheetml.worksheet+xml" PartName="/xl/worksheets/sheet35483.xml"/>
  <Override ContentType="application/vnd.openxmlformats-officedocument.spreadsheetml.worksheet+xml" PartName="/xl/worksheets/sheet35484.xml"/>
  <Override ContentType="application/vnd.openxmlformats-officedocument.spreadsheetml.worksheet+xml" PartName="/xl/worksheets/sheet35485.xml"/>
  <Override ContentType="application/vnd.openxmlformats-officedocument.spreadsheetml.worksheet+xml" PartName="/xl/worksheets/sheet35486.xml"/>
  <Override ContentType="application/vnd.openxmlformats-officedocument.spreadsheetml.worksheet+xml" PartName="/xl/worksheets/sheet35487.xml"/>
  <Override ContentType="application/vnd.openxmlformats-officedocument.spreadsheetml.worksheet+xml" PartName="/xl/worksheets/sheet35488.xml"/>
  <Override ContentType="application/vnd.openxmlformats-officedocument.spreadsheetml.worksheet+xml" PartName="/xl/worksheets/sheet35489.xml"/>
  <Override ContentType="application/vnd.openxmlformats-officedocument.spreadsheetml.worksheet+xml" PartName="/xl/worksheets/sheet35490.xml"/>
  <Override ContentType="application/vnd.openxmlformats-officedocument.spreadsheetml.worksheet+xml" PartName="/xl/worksheets/sheet35491.xml"/>
  <Override ContentType="application/vnd.openxmlformats-officedocument.spreadsheetml.worksheet+xml" PartName="/xl/worksheets/sheet35492.xml"/>
  <Override ContentType="application/vnd.openxmlformats-officedocument.spreadsheetml.worksheet+xml" PartName="/xl/worksheets/sheet35493.xml"/>
  <Override ContentType="application/vnd.openxmlformats-officedocument.spreadsheetml.worksheet+xml" PartName="/xl/worksheets/sheet35494.xml"/>
  <Override ContentType="application/vnd.openxmlformats-officedocument.spreadsheetml.worksheet+xml" PartName="/xl/worksheets/sheet35495.xml"/>
  <Override ContentType="application/vnd.openxmlformats-officedocument.spreadsheetml.worksheet+xml" PartName="/xl/worksheets/sheet35496.xml"/>
  <Override ContentType="application/vnd.openxmlformats-officedocument.spreadsheetml.worksheet+xml" PartName="/xl/worksheets/sheet35497.xml"/>
  <Override ContentType="application/vnd.openxmlformats-officedocument.spreadsheetml.worksheet+xml" PartName="/xl/worksheets/sheet35498.xml"/>
  <Override ContentType="application/vnd.openxmlformats-officedocument.spreadsheetml.worksheet+xml" PartName="/xl/worksheets/sheet35499.xml"/>
  <Override ContentType="application/vnd.openxmlformats-officedocument.spreadsheetml.worksheet+xml" PartName="/xl/worksheets/sheet35500.xml"/>
  <Override ContentType="application/vnd.openxmlformats-officedocument.spreadsheetml.worksheet+xml" PartName="/xl/worksheets/sheet35501.xml"/>
  <Override ContentType="application/vnd.openxmlformats-officedocument.spreadsheetml.worksheet+xml" PartName="/xl/worksheets/sheet35502.xml"/>
  <Override ContentType="application/vnd.openxmlformats-officedocument.spreadsheetml.worksheet+xml" PartName="/xl/worksheets/sheet35503.xml"/>
  <Override ContentType="application/vnd.openxmlformats-officedocument.spreadsheetml.worksheet+xml" PartName="/xl/worksheets/sheet35504.xml"/>
  <Override ContentType="application/vnd.openxmlformats-officedocument.spreadsheetml.worksheet+xml" PartName="/xl/worksheets/sheet35505.xml"/>
  <Override ContentType="application/vnd.openxmlformats-officedocument.spreadsheetml.worksheet+xml" PartName="/xl/worksheets/sheet35506.xml"/>
  <Override ContentType="application/vnd.openxmlformats-officedocument.spreadsheetml.worksheet+xml" PartName="/xl/worksheets/sheet35507.xml"/>
  <Override ContentType="application/vnd.openxmlformats-officedocument.spreadsheetml.worksheet+xml" PartName="/xl/worksheets/sheet35508.xml"/>
  <Override ContentType="application/vnd.openxmlformats-officedocument.spreadsheetml.worksheet+xml" PartName="/xl/worksheets/sheet35509.xml"/>
  <Override ContentType="application/vnd.openxmlformats-officedocument.spreadsheetml.worksheet+xml" PartName="/xl/worksheets/sheet35510.xml"/>
  <Override ContentType="application/vnd.openxmlformats-officedocument.spreadsheetml.worksheet+xml" PartName="/xl/worksheets/sheet35511.xml"/>
  <Override ContentType="application/vnd.openxmlformats-officedocument.spreadsheetml.worksheet+xml" PartName="/xl/worksheets/sheet35512.xml"/>
  <Override ContentType="application/vnd.openxmlformats-officedocument.spreadsheetml.worksheet+xml" PartName="/xl/worksheets/sheet35513.xml"/>
  <Override ContentType="application/vnd.openxmlformats-officedocument.spreadsheetml.worksheet+xml" PartName="/xl/worksheets/sheet35514.xml"/>
  <Override ContentType="application/vnd.openxmlformats-officedocument.spreadsheetml.worksheet+xml" PartName="/xl/worksheets/sheet35515.xml"/>
  <Override ContentType="application/vnd.openxmlformats-officedocument.spreadsheetml.worksheet+xml" PartName="/xl/worksheets/sheet35516.xml"/>
  <Override ContentType="application/vnd.openxmlformats-officedocument.spreadsheetml.worksheet+xml" PartName="/xl/worksheets/sheet35517.xml"/>
  <Override ContentType="application/vnd.openxmlformats-officedocument.spreadsheetml.worksheet+xml" PartName="/xl/worksheets/sheet35518.xml"/>
  <Override ContentType="application/vnd.openxmlformats-officedocument.spreadsheetml.worksheet+xml" PartName="/xl/worksheets/sheet35519.xml"/>
  <Override ContentType="application/vnd.openxmlformats-officedocument.spreadsheetml.worksheet+xml" PartName="/xl/worksheets/sheet35520.xml"/>
  <Override ContentType="application/vnd.openxmlformats-officedocument.spreadsheetml.worksheet+xml" PartName="/xl/worksheets/sheet35521.xml"/>
  <Override ContentType="application/vnd.openxmlformats-officedocument.spreadsheetml.worksheet+xml" PartName="/xl/worksheets/sheet35522.xml"/>
  <Override ContentType="application/vnd.openxmlformats-officedocument.spreadsheetml.worksheet+xml" PartName="/xl/worksheets/sheet35523.xml"/>
  <Override ContentType="application/vnd.openxmlformats-officedocument.spreadsheetml.worksheet+xml" PartName="/xl/worksheets/sheet35524.xml"/>
  <Override ContentType="application/vnd.openxmlformats-officedocument.spreadsheetml.worksheet+xml" PartName="/xl/worksheets/sheet35525.xml"/>
  <Override ContentType="application/vnd.openxmlformats-officedocument.spreadsheetml.worksheet+xml" PartName="/xl/worksheets/sheet35526.xml"/>
  <Override ContentType="application/vnd.openxmlformats-officedocument.spreadsheetml.worksheet+xml" PartName="/xl/worksheets/sheet35527.xml"/>
  <Override ContentType="application/vnd.openxmlformats-officedocument.spreadsheetml.worksheet+xml" PartName="/xl/worksheets/sheet35528.xml"/>
  <Override ContentType="application/vnd.openxmlformats-officedocument.spreadsheetml.worksheet+xml" PartName="/xl/worksheets/sheet35529.xml"/>
  <Override ContentType="application/vnd.openxmlformats-officedocument.spreadsheetml.worksheet+xml" PartName="/xl/worksheets/sheet35530.xml"/>
  <Override ContentType="application/vnd.openxmlformats-officedocument.spreadsheetml.worksheet+xml" PartName="/xl/worksheets/sheet35531.xml"/>
  <Override ContentType="application/vnd.openxmlformats-officedocument.spreadsheetml.worksheet+xml" PartName="/xl/worksheets/sheet35532.xml"/>
  <Override ContentType="application/vnd.openxmlformats-officedocument.spreadsheetml.worksheet+xml" PartName="/xl/worksheets/sheet35533.xml"/>
  <Override ContentType="application/vnd.openxmlformats-officedocument.spreadsheetml.worksheet+xml" PartName="/xl/worksheets/sheet35534.xml"/>
  <Override ContentType="application/vnd.openxmlformats-officedocument.spreadsheetml.worksheet+xml" PartName="/xl/worksheets/sheet35535.xml"/>
  <Override ContentType="application/vnd.openxmlformats-officedocument.spreadsheetml.worksheet+xml" PartName="/xl/worksheets/sheet35536.xml"/>
  <Override ContentType="application/vnd.openxmlformats-officedocument.spreadsheetml.worksheet+xml" PartName="/xl/worksheets/sheet35537.xml"/>
  <Override ContentType="application/vnd.openxmlformats-officedocument.spreadsheetml.worksheet+xml" PartName="/xl/worksheets/sheet35538.xml"/>
  <Override ContentType="application/vnd.openxmlformats-officedocument.spreadsheetml.worksheet+xml" PartName="/xl/worksheets/sheet35539.xml"/>
  <Override ContentType="application/vnd.openxmlformats-officedocument.spreadsheetml.worksheet+xml" PartName="/xl/worksheets/sheet35540.xml"/>
  <Override ContentType="application/vnd.openxmlformats-officedocument.spreadsheetml.worksheet+xml" PartName="/xl/worksheets/sheet35541.xml"/>
  <Override ContentType="application/vnd.openxmlformats-officedocument.spreadsheetml.worksheet+xml" PartName="/xl/worksheets/sheet35542.xml"/>
  <Override ContentType="application/vnd.openxmlformats-officedocument.spreadsheetml.worksheet+xml" PartName="/xl/worksheets/sheet35543.xml"/>
  <Override ContentType="application/vnd.openxmlformats-officedocument.spreadsheetml.worksheet+xml" PartName="/xl/worksheets/sheet35544.xml"/>
  <Override ContentType="application/vnd.openxmlformats-officedocument.spreadsheetml.worksheet+xml" PartName="/xl/worksheets/sheet35545.xml"/>
  <Override ContentType="application/vnd.openxmlformats-officedocument.spreadsheetml.worksheet+xml" PartName="/xl/worksheets/sheet35546.xml"/>
  <Override ContentType="application/vnd.openxmlformats-officedocument.spreadsheetml.worksheet+xml" PartName="/xl/worksheets/sheet35547.xml"/>
  <Override ContentType="application/vnd.openxmlformats-officedocument.spreadsheetml.worksheet+xml" PartName="/xl/worksheets/sheet35548.xml"/>
  <Override ContentType="application/vnd.openxmlformats-officedocument.spreadsheetml.worksheet+xml" PartName="/xl/worksheets/sheet35549.xml"/>
  <Override ContentType="application/vnd.openxmlformats-officedocument.spreadsheetml.worksheet+xml" PartName="/xl/worksheets/sheet35550.xml"/>
  <Override ContentType="application/vnd.openxmlformats-officedocument.spreadsheetml.worksheet+xml" PartName="/xl/worksheets/sheet35551.xml"/>
  <Override ContentType="application/vnd.openxmlformats-officedocument.spreadsheetml.worksheet+xml" PartName="/xl/worksheets/sheet35552.xml"/>
  <Override ContentType="application/vnd.openxmlformats-officedocument.spreadsheetml.worksheet+xml" PartName="/xl/worksheets/sheet35553.xml"/>
  <Override ContentType="application/vnd.openxmlformats-officedocument.spreadsheetml.worksheet+xml" PartName="/xl/worksheets/sheet35554.xml"/>
  <Override ContentType="application/vnd.openxmlformats-officedocument.spreadsheetml.worksheet+xml" PartName="/xl/worksheets/sheet35555.xml"/>
  <Override ContentType="application/vnd.openxmlformats-officedocument.spreadsheetml.worksheet+xml" PartName="/xl/worksheets/sheet35556.xml"/>
  <Override ContentType="application/vnd.openxmlformats-officedocument.spreadsheetml.worksheet+xml" PartName="/xl/worksheets/sheet35557.xml"/>
  <Override ContentType="application/vnd.openxmlformats-officedocument.spreadsheetml.worksheet+xml" PartName="/xl/worksheets/sheet35558.xml"/>
  <Override ContentType="application/vnd.openxmlformats-officedocument.spreadsheetml.worksheet+xml" PartName="/xl/worksheets/sheet35559.xml"/>
  <Override ContentType="application/vnd.openxmlformats-officedocument.spreadsheetml.worksheet+xml" PartName="/xl/worksheets/sheet35560.xml"/>
  <Override ContentType="application/vnd.openxmlformats-officedocument.spreadsheetml.worksheet+xml" PartName="/xl/worksheets/sheet35561.xml"/>
  <Override ContentType="application/vnd.openxmlformats-officedocument.spreadsheetml.worksheet+xml" PartName="/xl/worksheets/sheet35562.xml"/>
  <Override ContentType="application/vnd.openxmlformats-officedocument.spreadsheetml.worksheet+xml" PartName="/xl/worksheets/sheet35563.xml"/>
  <Override ContentType="application/vnd.openxmlformats-officedocument.spreadsheetml.worksheet+xml" PartName="/xl/worksheets/sheet35564.xml"/>
  <Override ContentType="application/vnd.openxmlformats-officedocument.spreadsheetml.worksheet+xml" PartName="/xl/worksheets/sheet35565.xml"/>
  <Override ContentType="application/vnd.openxmlformats-officedocument.spreadsheetml.worksheet+xml" PartName="/xl/worksheets/sheet35566.xml"/>
  <Override ContentType="application/vnd.openxmlformats-officedocument.spreadsheetml.worksheet+xml" PartName="/xl/worksheets/sheet35567.xml"/>
  <Override ContentType="application/vnd.openxmlformats-officedocument.spreadsheetml.worksheet+xml" PartName="/xl/worksheets/sheet35568.xml"/>
  <Override ContentType="application/vnd.openxmlformats-officedocument.spreadsheetml.worksheet+xml" PartName="/xl/worksheets/sheet35569.xml"/>
  <Override ContentType="application/vnd.openxmlformats-officedocument.spreadsheetml.worksheet+xml" PartName="/xl/worksheets/sheet35570.xml"/>
  <Override ContentType="application/vnd.openxmlformats-officedocument.spreadsheetml.worksheet+xml" PartName="/xl/worksheets/sheet35571.xml"/>
  <Override ContentType="application/vnd.openxmlformats-officedocument.spreadsheetml.worksheet+xml" PartName="/xl/worksheets/sheet35572.xml"/>
  <Override ContentType="application/vnd.openxmlformats-officedocument.spreadsheetml.worksheet+xml" PartName="/xl/worksheets/sheet35573.xml"/>
  <Override ContentType="application/vnd.openxmlformats-officedocument.spreadsheetml.worksheet+xml" PartName="/xl/worksheets/sheet35574.xml"/>
  <Override ContentType="application/vnd.openxmlformats-officedocument.spreadsheetml.worksheet+xml" PartName="/xl/worksheets/sheet35575.xml"/>
  <Override ContentType="application/vnd.openxmlformats-officedocument.spreadsheetml.worksheet+xml" PartName="/xl/worksheets/sheet35576.xml"/>
  <Override ContentType="application/vnd.openxmlformats-officedocument.spreadsheetml.worksheet+xml" PartName="/xl/worksheets/sheet35577.xml"/>
  <Override ContentType="application/vnd.openxmlformats-officedocument.spreadsheetml.worksheet+xml" PartName="/xl/worksheets/sheet35578.xml"/>
  <Override ContentType="application/vnd.openxmlformats-officedocument.spreadsheetml.worksheet+xml" PartName="/xl/worksheets/sheet35579.xml"/>
  <Override ContentType="application/vnd.openxmlformats-officedocument.spreadsheetml.worksheet+xml" PartName="/xl/worksheets/sheet35580.xml"/>
  <Override ContentType="application/vnd.openxmlformats-officedocument.spreadsheetml.worksheet+xml" PartName="/xl/worksheets/sheet35581.xml"/>
  <Override ContentType="application/vnd.openxmlformats-officedocument.spreadsheetml.worksheet+xml" PartName="/xl/worksheets/sheet35582.xml"/>
  <Override ContentType="application/vnd.openxmlformats-officedocument.spreadsheetml.worksheet+xml" PartName="/xl/worksheets/sheet35583.xml"/>
  <Override ContentType="application/vnd.openxmlformats-officedocument.spreadsheetml.worksheet+xml" PartName="/xl/worksheets/sheet35584.xml"/>
  <Override ContentType="application/vnd.openxmlformats-officedocument.spreadsheetml.worksheet+xml" PartName="/xl/worksheets/sheet35585.xml"/>
  <Override ContentType="application/vnd.openxmlformats-officedocument.spreadsheetml.worksheet+xml" PartName="/xl/worksheets/sheet35586.xml"/>
  <Override ContentType="application/vnd.openxmlformats-officedocument.spreadsheetml.worksheet+xml" PartName="/xl/worksheets/sheet35587.xml"/>
  <Override ContentType="application/vnd.openxmlformats-officedocument.spreadsheetml.worksheet+xml" PartName="/xl/worksheets/sheet35588.xml"/>
  <Override ContentType="application/vnd.openxmlformats-officedocument.spreadsheetml.worksheet+xml" PartName="/xl/worksheets/sheet35589.xml"/>
  <Override ContentType="application/vnd.openxmlformats-officedocument.spreadsheetml.worksheet+xml" PartName="/xl/worksheets/sheet35590.xml"/>
  <Override ContentType="application/vnd.openxmlformats-officedocument.spreadsheetml.worksheet+xml" PartName="/xl/worksheets/sheet35591.xml"/>
  <Override ContentType="application/vnd.openxmlformats-officedocument.spreadsheetml.worksheet+xml" PartName="/xl/worksheets/sheet35592.xml"/>
  <Override ContentType="application/vnd.openxmlformats-officedocument.spreadsheetml.worksheet+xml" PartName="/xl/worksheets/sheet35593.xml"/>
  <Override ContentType="application/vnd.openxmlformats-officedocument.spreadsheetml.worksheet+xml" PartName="/xl/worksheets/sheet35594.xml"/>
  <Override ContentType="application/vnd.openxmlformats-officedocument.spreadsheetml.worksheet+xml" PartName="/xl/worksheets/sheet35595.xml"/>
  <Override ContentType="application/vnd.openxmlformats-officedocument.spreadsheetml.worksheet+xml" PartName="/xl/worksheets/sheet35596.xml"/>
  <Override ContentType="application/vnd.openxmlformats-officedocument.spreadsheetml.worksheet+xml" PartName="/xl/worksheets/sheet35597.xml"/>
  <Override ContentType="application/vnd.openxmlformats-officedocument.spreadsheetml.worksheet+xml" PartName="/xl/worksheets/sheet35598.xml"/>
  <Override ContentType="application/vnd.openxmlformats-officedocument.spreadsheetml.worksheet+xml" PartName="/xl/worksheets/sheet35599.xml"/>
  <Override ContentType="application/vnd.openxmlformats-officedocument.spreadsheetml.worksheet+xml" PartName="/xl/worksheets/sheet35600.xml"/>
  <Override ContentType="application/vnd.openxmlformats-officedocument.spreadsheetml.worksheet+xml" PartName="/xl/worksheets/sheet35601.xml"/>
  <Override ContentType="application/vnd.openxmlformats-officedocument.spreadsheetml.worksheet+xml" PartName="/xl/worksheets/sheet35602.xml"/>
  <Override ContentType="application/vnd.openxmlformats-officedocument.spreadsheetml.worksheet+xml" PartName="/xl/worksheets/sheet35603.xml"/>
  <Override ContentType="application/vnd.openxmlformats-officedocument.spreadsheetml.worksheet+xml" PartName="/xl/worksheets/sheet35604.xml"/>
  <Override ContentType="application/vnd.openxmlformats-officedocument.spreadsheetml.worksheet+xml" PartName="/xl/worksheets/sheet35605.xml"/>
  <Override ContentType="application/vnd.openxmlformats-officedocument.spreadsheetml.worksheet+xml" PartName="/xl/worksheets/sheet35606.xml"/>
  <Override ContentType="application/vnd.openxmlformats-officedocument.spreadsheetml.worksheet+xml" PartName="/xl/worksheets/sheet35607.xml"/>
  <Override ContentType="application/vnd.openxmlformats-officedocument.spreadsheetml.worksheet+xml" PartName="/xl/worksheets/sheet35608.xml"/>
  <Override ContentType="application/vnd.openxmlformats-officedocument.spreadsheetml.worksheet+xml" PartName="/xl/worksheets/sheet35609.xml"/>
  <Override ContentType="application/vnd.openxmlformats-officedocument.spreadsheetml.worksheet+xml" PartName="/xl/worksheets/sheet35610.xml"/>
  <Override ContentType="application/vnd.openxmlformats-officedocument.spreadsheetml.worksheet+xml" PartName="/xl/worksheets/sheet35611.xml"/>
  <Override ContentType="application/vnd.openxmlformats-officedocument.spreadsheetml.worksheet+xml" PartName="/xl/worksheets/sheet35612.xml"/>
  <Override ContentType="application/vnd.openxmlformats-officedocument.spreadsheetml.worksheet+xml" PartName="/xl/worksheets/sheet35613.xml"/>
  <Override ContentType="application/vnd.openxmlformats-officedocument.spreadsheetml.worksheet+xml" PartName="/xl/worksheets/sheet35614.xml"/>
  <Override ContentType="application/vnd.openxmlformats-officedocument.spreadsheetml.worksheet+xml" PartName="/xl/worksheets/sheet35615.xml"/>
  <Override ContentType="application/vnd.openxmlformats-officedocument.spreadsheetml.worksheet+xml" PartName="/xl/worksheets/sheet35616.xml"/>
  <Override ContentType="application/vnd.openxmlformats-officedocument.spreadsheetml.worksheet+xml" PartName="/xl/worksheets/sheet35617.xml"/>
  <Override ContentType="application/vnd.openxmlformats-officedocument.spreadsheetml.worksheet+xml" PartName="/xl/worksheets/sheet35618.xml"/>
  <Override ContentType="application/vnd.openxmlformats-officedocument.spreadsheetml.worksheet+xml" PartName="/xl/worksheets/sheet35619.xml"/>
  <Override ContentType="application/vnd.openxmlformats-officedocument.spreadsheetml.worksheet+xml" PartName="/xl/worksheets/sheet35620.xml"/>
  <Override ContentType="application/vnd.openxmlformats-officedocument.spreadsheetml.worksheet+xml" PartName="/xl/worksheets/sheet35621.xml"/>
  <Override ContentType="application/vnd.openxmlformats-officedocument.spreadsheetml.worksheet+xml" PartName="/xl/worksheets/sheet35622.xml"/>
  <Override ContentType="application/vnd.openxmlformats-officedocument.spreadsheetml.worksheet+xml" PartName="/xl/worksheets/sheet35623.xml"/>
  <Override ContentType="application/vnd.openxmlformats-officedocument.spreadsheetml.worksheet+xml" PartName="/xl/worksheets/sheet35624.xml"/>
  <Override ContentType="application/vnd.openxmlformats-officedocument.spreadsheetml.worksheet+xml" PartName="/xl/worksheets/sheet35625.xml"/>
  <Override ContentType="application/vnd.openxmlformats-officedocument.spreadsheetml.worksheet+xml" PartName="/xl/worksheets/sheet35626.xml"/>
  <Override ContentType="application/vnd.openxmlformats-officedocument.spreadsheetml.worksheet+xml" PartName="/xl/worksheets/sheet35627.xml"/>
  <Override ContentType="application/vnd.openxmlformats-officedocument.spreadsheetml.worksheet+xml" PartName="/xl/worksheets/sheet35628.xml"/>
  <Override ContentType="application/vnd.openxmlformats-officedocument.spreadsheetml.worksheet+xml" PartName="/xl/worksheets/sheet35629.xml"/>
  <Override ContentType="application/vnd.openxmlformats-officedocument.spreadsheetml.worksheet+xml" PartName="/xl/worksheets/sheet35630.xml"/>
  <Override ContentType="application/vnd.openxmlformats-officedocument.spreadsheetml.worksheet+xml" PartName="/xl/worksheets/sheet35631.xml"/>
  <Override ContentType="application/vnd.openxmlformats-officedocument.spreadsheetml.worksheet+xml" PartName="/xl/worksheets/sheet35632.xml"/>
  <Override ContentType="application/vnd.openxmlformats-officedocument.spreadsheetml.worksheet+xml" PartName="/xl/worksheets/sheet35633.xml"/>
  <Override ContentType="application/vnd.openxmlformats-officedocument.spreadsheetml.worksheet+xml" PartName="/xl/worksheets/sheet35634.xml"/>
  <Override ContentType="application/vnd.openxmlformats-officedocument.spreadsheetml.worksheet+xml" PartName="/xl/worksheets/sheet35635.xml"/>
  <Override ContentType="application/vnd.openxmlformats-officedocument.spreadsheetml.worksheet+xml" PartName="/xl/worksheets/sheet35636.xml"/>
  <Override ContentType="application/vnd.openxmlformats-officedocument.spreadsheetml.worksheet+xml" PartName="/xl/worksheets/sheet35637.xml"/>
  <Override ContentType="application/vnd.openxmlformats-officedocument.spreadsheetml.worksheet+xml" PartName="/xl/worksheets/sheet35638.xml"/>
  <Override ContentType="application/vnd.openxmlformats-officedocument.spreadsheetml.worksheet+xml" PartName="/xl/worksheets/sheet35639.xml"/>
  <Override ContentType="application/vnd.openxmlformats-officedocument.spreadsheetml.worksheet+xml" PartName="/xl/worksheets/sheet35640.xml"/>
  <Override ContentType="application/vnd.openxmlformats-officedocument.spreadsheetml.worksheet+xml" PartName="/xl/worksheets/sheet35641.xml"/>
  <Override ContentType="application/vnd.openxmlformats-officedocument.spreadsheetml.worksheet+xml" PartName="/xl/worksheets/sheet35642.xml"/>
  <Override ContentType="application/vnd.openxmlformats-officedocument.spreadsheetml.worksheet+xml" PartName="/xl/worksheets/sheet35643.xml"/>
  <Override ContentType="application/vnd.openxmlformats-officedocument.spreadsheetml.worksheet+xml" PartName="/xl/worksheets/sheet35644.xml"/>
  <Override ContentType="application/vnd.openxmlformats-officedocument.spreadsheetml.worksheet+xml" PartName="/xl/worksheets/sheet35645.xml"/>
  <Override ContentType="application/vnd.openxmlformats-officedocument.spreadsheetml.worksheet+xml" PartName="/xl/worksheets/sheet35646.xml"/>
  <Override ContentType="application/vnd.openxmlformats-officedocument.spreadsheetml.worksheet+xml" PartName="/xl/worksheets/sheet35647.xml"/>
  <Override ContentType="application/vnd.openxmlformats-officedocument.spreadsheetml.worksheet+xml" PartName="/xl/worksheets/sheet35648.xml"/>
  <Override ContentType="application/vnd.openxmlformats-officedocument.spreadsheetml.worksheet+xml" PartName="/xl/worksheets/sheet35649.xml"/>
  <Override ContentType="application/vnd.openxmlformats-officedocument.spreadsheetml.worksheet+xml" PartName="/xl/worksheets/sheet35650.xml"/>
  <Override ContentType="application/vnd.openxmlformats-officedocument.spreadsheetml.worksheet+xml" PartName="/xl/worksheets/sheet35651.xml"/>
  <Override ContentType="application/vnd.openxmlformats-officedocument.spreadsheetml.worksheet+xml" PartName="/xl/worksheets/sheet35652.xml"/>
  <Override ContentType="application/vnd.openxmlformats-officedocument.spreadsheetml.worksheet+xml" PartName="/xl/worksheets/sheet35653.xml"/>
  <Override ContentType="application/vnd.openxmlformats-officedocument.spreadsheetml.worksheet+xml" PartName="/xl/worksheets/sheet35654.xml"/>
  <Override ContentType="application/vnd.openxmlformats-officedocument.spreadsheetml.worksheet+xml" PartName="/xl/worksheets/sheet35655.xml"/>
  <Override ContentType="application/vnd.openxmlformats-officedocument.spreadsheetml.worksheet+xml" PartName="/xl/worksheets/sheet35656.xml"/>
  <Override ContentType="application/vnd.openxmlformats-officedocument.spreadsheetml.worksheet+xml" PartName="/xl/worksheets/sheet35657.xml"/>
  <Override ContentType="application/vnd.openxmlformats-officedocument.spreadsheetml.worksheet+xml" PartName="/xl/worksheets/sheet35658.xml"/>
  <Override ContentType="application/vnd.openxmlformats-officedocument.spreadsheetml.worksheet+xml" PartName="/xl/worksheets/sheet35659.xml"/>
  <Override ContentType="application/vnd.openxmlformats-officedocument.spreadsheetml.worksheet+xml" PartName="/xl/worksheets/sheet35660.xml"/>
  <Override ContentType="application/vnd.openxmlformats-officedocument.spreadsheetml.worksheet+xml" PartName="/xl/worksheets/sheet35661.xml"/>
  <Override ContentType="application/vnd.openxmlformats-officedocument.spreadsheetml.worksheet+xml" PartName="/xl/worksheets/sheet35662.xml"/>
  <Override ContentType="application/vnd.openxmlformats-officedocument.spreadsheetml.worksheet+xml" PartName="/xl/worksheets/sheet35663.xml"/>
  <Override ContentType="application/vnd.openxmlformats-officedocument.spreadsheetml.worksheet+xml" PartName="/xl/worksheets/sheet35664.xml"/>
  <Override ContentType="application/vnd.openxmlformats-officedocument.spreadsheetml.worksheet+xml" PartName="/xl/worksheets/sheet35665.xml"/>
  <Override ContentType="application/vnd.openxmlformats-officedocument.spreadsheetml.worksheet+xml" PartName="/xl/worksheets/sheet35666.xml"/>
  <Override ContentType="application/vnd.openxmlformats-officedocument.spreadsheetml.worksheet+xml" PartName="/xl/worksheets/sheet35667.xml"/>
  <Override ContentType="application/vnd.openxmlformats-officedocument.spreadsheetml.worksheet+xml" PartName="/xl/worksheets/sheet35668.xml"/>
  <Override ContentType="application/vnd.openxmlformats-officedocument.spreadsheetml.worksheet+xml" PartName="/xl/worksheets/sheet35669.xml"/>
  <Override ContentType="application/vnd.openxmlformats-officedocument.spreadsheetml.worksheet+xml" PartName="/xl/worksheets/sheet35670.xml"/>
  <Override ContentType="application/vnd.openxmlformats-officedocument.spreadsheetml.worksheet+xml" PartName="/xl/worksheets/sheet35671.xml"/>
  <Override ContentType="application/vnd.openxmlformats-officedocument.spreadsheetml.worksheet+xml" PartName="/xl/worksheets/sheet35672.xml"/>
  <Override ContentType="application/vnd.openxmlformats-officedocument.spreadsheetml.worksheet+xml" PartName="/xl/worksheets/sheet35673.xml"/>
  <Override ContentType="application/vnd.openxmlformats-officedocument.spreadsheetml.worksheet+xml" PartName="/xl/worksheets/sheet35674.xml"/>
  <Override ContentType="application/vnd.openxmlformats-officedocument.spreadsheetml.worksheet+xml" PartName="/xl/worksheets/sheet35675.xml"/>
  <Override ContentType="application/vnd.openxmlformats-officedocument.spreadsheetml.worksheet+xml" PartName="/xl/worksheets/sheet35676.xml"/>
  <Override ContentType="application/vnd.openxmlformats-officedocument.spreadsheetml.worksheet+xml" PartName="/xl/worksheets/sheet35677.xml"/>
  <Override ContentType="application/vnd.openxmlformats-officedocument.spreadsheetml.worksheet+xml" PartName="/xl/worksheets/sheet35678.xml"/>
  <Override ContentType="application/vnd.openxmlformats-officedocument.spreadsheetml.worksheet+xml" PartName="/xl/worksheets/sheet35679.xml"/>
  <Override ContentType="application/vnd.openxmlformats-officedocument.spreadsheetml.worksheet+xml" PartName="/xl/worksheets/sheet35680.xml"/>
  <Override ContentType="application/vnd.openxmlformats-officedocument.spreadsheetml.worksheet+xml" PartName="/xl/worksheets/sheet35681.xml"/>
  <Override ContentType="application/vnd.openxmlformats-officedocument.spreadsheetml.worksheet+xml" PartName="/xl/worksheets/sheet35682.xml"/>
  <Override ContentType="application/vnd.openxmlformats-officedocument.spreadsheetml.worksheet+xml" PartName="/xl/worksheets/sheet35683.xml"/>
  <Override ContentType="application/vnd.openxmlformats-officedocument.spreadsheetml.worksheet+xml" PartName="/xl/worksheets/sheet35684.xml"/>
  <Override ContentType="application/vnd.openxmlformats-officedocument.spreadsheetml.worksheet+xml" PartName="/xl/worksheets/sheet35685.xml"/>
  <Override ContentType="application/vnd.openxmlformats-officedocument.spreadsheetml.worksheet+xml" PartName="/xl/worksheets/sheet35686.xml"/>
  <Override ContentType="application/vnd.openxmlformats-officedocument.spreadsheetml.worksheet+xml" PartName="/xl/worksheets/sheet35687.xml"/>
  <Override ContentType="application/vnd.openxmlformats-officedocument.spreadsheetml.worksheet+xml" PartName="/xl/worksheets/sheet35688.xml"/>
  <Override ContentType="application/vnd.openxmlformats-officedocument.spreadsheetml.worksheet+xml" PartName="/xl/worksheets/sheet35689.xml"/>
  <Override ContentType="application/vnd.openxmlformats-officedocument.spreadsheetml.worksheet+xml" PartName="/xl/worksheets/sheet35690.xml"/>
  <Override ContentType="application/vnd.openxmlformats-officedocument.spreadsheetml.worksheet+xml" PartName="/xl/worksheets/sheet35691.xml"/>
  <Override ContentType="application/vnd.openxmlformats-officedocument.spreadsheetml.worksheet+xml" PartName="/xl/worksheets/sheet35692.xml"/>
  <Override ContentType="application/vnd.openxmlformats-officedocument.spreadsheetml.worksheet+xml" PartName="/xl/worksheets/sheet35693.xml"/>
  <Override ContentType="application/vnd.openxmlformats-officedocument.spreadsheetml.worksheet+xml" PartName="/xl/worksheets/sheet35694.xml"/>
  <Override ContentType="application/vnd.openxmlformats-officedocument.spreadsheetml.worksheet+xml" PartName="/xl/worksheets/sheet35695.xml"/>
  <Override ContentType="application/vnd.openxmlformats-officedocument.spreadsheetml.worksheet+xml" PartName="/xl/worksheets/sheet35696.xml"/>
  <Override ContentType="application/vnd.openxmlformats-officedocument.spreadsheetml.worksheet+xml" PartName="/xl/worksheets/sheet35697.xml"/>
  <Override ContentType="application/vnd.openxmlformats-officedocument.spreadsheetml.worksheet+xml" PartName="/xl/worksheets/sheet35698.xml"/>
  <Override ContentType="application/vnd.openxmlformats-officedocument.spreadsheetml.worksheet+xml" PartName="/xl/worksheets/sheet35699.xml"/>
  <Override ContentType="application/vnd.openxmlformats-officedocument.spreadsheetml.worksheet+xml" PartName="/xl/worksheets/sheet35700.xml"/>
  <Override ContentType="application/vnd.openxmlformats-officedocument.spreadsheetml.worksheet+xml" PartName="/xl/worksheets/sheet35701.xml"/>
  <Override ContentType="application/vnd.openxmlformats-officedocument.spreadsheetml.worksheet+xml" PartName="/xl/worksheets/sheet35702.xml"/>
  <Override ContentType="application/vnd.openxmlformats-officedocument.spreadsheetml.worksheet+xml" PartName="/xl/worksheets/sheet35703.xml"/>
  <Override ContentType="application/vnd.openxmlformats-officedocument.spreadsheetml.worksheet+xml" PartName="/xl/worksheets/sheet35704.xml"/>
  <Override ContentType="application/vnd.openxmlformats-officedocument.spreadsheetml.worksheet+xml" PartName="/xl/worksheets/sheet35705.xml"/>
  <Override ContentType="application/vnd.openxmlformats-officedocument.spreadsheetml.worksheet+xml" PartName="/xl/worksheets/sheet35706.xml"/>
  <Override ContentType="application/vnd.openxmlformats-officedocument.spreadsheetml.worksheet+xml" PartName="/xl/worksheets/sheet35707.xml"/>
  <Override ContentType="application/vnd.openxmlformats-officedocument.spreadsheetml.worksheet+xml" PartName="/xl/worksheets/sheet35708.xml"/>
  <Override ContentType="application/vnd.openxmlformats-officedocument.spreadsheetml.worksheet+xml" PartName="/xl/worksheets/sheet35709.xml"/>
  <Override ContentType="application/vnd.openxmlformats-officedocument.spreadsheetml.worksheet+xml" PartName="/xl/worksheets/sheet35710.xml"/>
  <Override ContentType="application/vnd.openxmlformats-officedocument.spreadsheetml.worksheet+xml" PartName="/xl/worksheets/sheet35711.xml"/>
  <Override ContentType="application/vnd.openxmlformats-officedocument.spreadsheetml.worksheet+xml" PartName="/xl/worksheets/sheet35712.xml"/>
  <Override ContentType="application/vnd.openxmlformats-officedocument.spreadsheetml.worksheet+xml" PartName="/xl/worksheets/sheet35713.xml"/>
  <Override ContentType="application/vnd.openxmlformats-officedocument.spreadsheetml.worksheet+xml" PartName="/xl/worksheets/sheet35714.xml"/>
  <Override ContentType="application/vnd.openxmlformats-officedocument.spreadsheetml.worksheet+xml" PartName="/xl/worksheets/sheet35715.xml"/>
  <Override ContentType="application/vnd.openxmlformats-officedocument.spreadsheetml.worksheet+xml" PartName="/xl/worksheets/sheet35716.xml"/>
  <Override ContentType="application/vnd.openxmlformats-officedocument.spreadsheetml.worksheet+xml" PartName="/xl/worksheets/sheet35717.xml"/>
  <Override ContentType="application/vnd.openxmlformats-officedocument.spreadsheetml.worksheet+xml" PartName="/xl/worksheets/sheet35718.xml"/>
  <Override ContentType="application/vnd.openxmlformats-officedocument.spreadsheetml.worksheet+xml" PartName="/xl/worksheets/sheet35719.xml"/>
  <Override ContentType="application/vnd.openxmlformats-officedocument.spreadsheetml.worksheet+xml" PartName="/xl/worksheets/sheet35720.xml"/>
  <Override ContentType="application/vnd.openxmlformats-officedocument.spreadsheetml.worksheet+xml" PartName="/xl/worksheets/sheet35721.xml"/>
  <Override ContentType="application/vnd.openxmlformats-officedocument.spreadsheetml.worksheet+xml" PartName="/xl/worksheets/sheet35722.xml"/>
  <Override ContentType="application/vnd.openxmlformats-officedocument.spreadsheetml.worksheet+xml" PartName="/xl/worksheets/sheet35723.xml"/>
  <Override ContentType="application/vnd.openxmlformats-officedocument.spreadsheetml.worksheet+xml" PartName="/xl/worksheets/sheet35724.xml"/>
  <Override ContentType="application/vnd.openxmlformats-officedocument.spreadsheetml.worksheet+xml" PartName="/xl/worksheets/sheet35725.xml"/>
  <Override ContentType="application/vnd.openxmlformats-officedocument.spreadsheetml.worksheet+xml" PartName="/xl/worksheets/sheet35726.xml"/>
  <Override ContentType="application/vnd.openxmlformats-officedocument.spreadsheetml.worksheet+xml" PartName="/xl/worksheets/sheet35727.xml"/>
  <Override ContentType="application/vnd.openxmlformats-officedocument.spreadsheetml.worksheet+xml" PartName="/xl/worksheets/sheet35728.xml"/>
  <Override ContentType="application/vnd.openxmlformats-officedocument.spreadsheetml.worksheet+xml" PartName="/xl/worksheets/sheet35729.xml"/>
  <Override ContentType="application/vnd.openxmlformats-officedocument.spreadsheetml.worksheet+xml" PartName="/xl/worksheets/sheet35730.xml"/>
  <Override ContentType="application/vnd.openxmlformats-officedocument.spreadsheetml.worksheet+xml" PartName="/xl/worksheets/sheet35731.xml"/>
  <Override ContentType="application/vnd.openxmlformats-officedocument.spreadsheetml.worksheet+xml" PartName="/xl/worksheets/sheet35732.xml"/>
  <Override ContentType="application/vnd.openxmlformats-officedocument.spreadsheetml.worksheet+xml" PartName="/xl/worksheets/sheet35733.xml"/>
  <Override ContentType="application/vnd.openxmlformats-officedocument.spreadsheetml.worksheet+xml" PartName="/xl/worksheets/sheet35734.xml"/>
  <Override ContentType="application/vnd.openxmlformats-officedocument.spreadsheetml.worksheet+xml" PartName="/xl/worksheets/sheet35735.xml"/>
  <Override ContentType="application/vnd.openxmlformats-officedocument.spreadsheetml.worksheet+xml" PartName="/xl/worksheets/sheet35736.xml"/>
  <Override ContentType="application/vnd.openxmlformats-officedocument.spreadsheetml.worksheet+xml" PartName="/xl/worksheets/sheet35737.xml"/>
  <Override ContentType="application/vnd.openxmlformats-officedocument.spreadsheetml.worksheet+xml" PartName="/xl/worksheets/sheet35738.xml"/>
  <Override ContentType="application/vnd.openxmlformats-officedocument.spreadsheetml.worksheet+xml" PartName="/xl/worksheets/sheet35739.xml"/>
  <Override ContentType="application/vnd.openxmlformats-officedocument.spreadsheetml.worksheet+xml" PartName="/xl/worksheets/sheet35740.xml"/>
  <Override ContentType="application/vnd.openxmlformats-officedocument.spreadsheetml.worksheet+xml" PartName="/xl/worksheets/sheet35741.xml"/>
  <Override ContentType="application/vnd.openxmlformats-officedocument.spreadsheetml.worksheet+xml" PartName="/xl/worksheets/sheet35742.xml"/>
  <Override ContentType="application/vnd.openxmlformats-officedocument.spreadsheetml.worksheet+xml" PartName="/xl/worksheets/sheet35743.xml"/>
  <Override ContentType="application/vnd.openxmlformats-officedocument.spreadsheetml.worksheet+xml" PartName="/xl/worksheets/sheet35744.xml"/>
  <Override ContentType="application/vnd.openxmlformats-officedocument.spreadsheetml.worksheet+xml" PartName="/xl/worksheets/sheet35745.xml"/>
  <Override ContentType="application/vnd.openxmlformats-officedocument.spreadsheetml.worksheet+xml" PartName="/xl/worksheets/sheet35746.xml"/>
  <Override ContentType="application/vnd.openxmlformats-officedocument.spreadsheetml.worksheet+xml" PartName="/xl/worksheets/sheet35747.xml"/>
  <Override ContentType="application/vnd.openxmlformats-officedocument.spreadsheetml.worksheet+xml" PartName="/xl/worksheets/sheet35748.xml"/>
  <Override ContentType="application/vnd.openxmlformats-officedocument.spreadsheetml.worksheet+xml" PartName="/xl/worksheets/sheet35749.xml"/>
  <Override ContentType="application/vnd.openxmlformats-officedocument.spreadsheetml.worksheet+xml" PartName="/xl/worksheets/sheet35750.xml"/>
  <Override ContentType="application/vnd.openxmlformats-officedocument.spreadsheetml.worksheet+xml" PartName="/xl/worksheets/sheet35751.xml"/>
  <Override ContentType="application/vnd.openxmlformats-officedocument.spreadsheetml.worksheet+xml" PartName="/xl/worksheets/sheet35752.xml"/>
  <Override ContentType="application/vnd.openxmlformats-officedocument.spreadsheetml.worksheet+xml" PartName="/xl/worksheets/sheet35753.xml"/>
  <Override ContentType="application/vnd.openxmlformats-officedocument.spreadsheetml.worksheet+xml" PartName="/xl/worksheets/sheet35754.xml"/>
  <Override ContentType="application/vnd.openxmlformats-officedocument.spreadsheetml.worksheet+xml" PartName="/xl/worksheets/sheet35755.xml"/>
  <Override ContentType="application/vnd.openxmlformats-officedocument.spreadsheetml.worksheet+xml" PartName="/xl/worksheets/sheet35756.xml"/>
  <Override ContentType="application/vnd.openxmlformats-officedocument.spreadsheetml.worksheet+xml" PartName="/xl/worksheets/sheet35757.xml"/>
  <Override ContentType="application/vnd.openxmlformats-officedocument.spreadsheetml.worksheet+xml" PartName="/xl/worksheets/sheet35758.xml"/>
  <Override ContentType="application/vnd.openxmlformats-officedocument.spreadsheetml.worksheet+xml" PartName="/xl/worksheets/sheet35759.xml"/>
  <Override ContentType="application/vnd.openxmlformats-officedocument.spreadsheetml.worksheet+xml" PartName="/xl/worksheets/sheet35760.xml"/>
  <Override ContentType="application/vnd.openxmlformats-officedocument.spreadsheetml.worksheet+xml" PartName="/xl/worksheets/sheet35761.xml"/>
  <Override ContentType="application/vnd.openxmlformats-officedocument.spreadsheetml.worksheet+xml" PartName="/xl/worksheets/sheet35762.xml"/>
  <Override ContentType="application/vnd.openxmlformats-officedocument.spreadsheetml.worksheet+xml" PartName="/xl/worksheets/sheet35763.xml"/>
  <Override ContentType="application/vnd.openxmlformats-officedocument.spreadsheetml.worksheet+xml" PartName="/xl/worksheets/sheet35764.xml"/>
  <Override ContentType="application/vnd.openxmlformats-officedocument.spreadsheetml.worksheet+xml" PartName="/xl/worksheets/sheet35765.xml"/>
  <Override ContentType="application/vnd.openxmlformats-officedocument.spreadsheetml.worksheet+xml" PartName="/xl/worksheets/sheet35766.xml"/>
  <Override ContentType="application/vnd.openxmlformats-officedocument.spreadsheetml.worksheet+xml" PartName="/xl/worksheets/sheet35767.xml"/>
  <Override ContentType="application/vnd.openxmlformats-officedocument.spreadsheetml.worksheet+xml" PartName="/xl/worksheets/sheet35768.xml"/>
  <Override ContentType="application/vnd.openxmlformats-officedocument.spreadsheetml.worksheet+xml" PartName="/xl/worksheets/sheet35769.xml"/>
  <Override ContentType="application/vnd.openxmlformats-officedocument.spreadsheetml.worksheet+xml" PartName="/xl/worksheets/sheet35770.xml"/>
  <Override ContentType="application/vnd.openxmlformats-officedocument.spreadsheetml.worksheet+xml" PartName="/xl/worksheets/sheet35771.xml"/>
  <Override ContentType="application/vnd.openxmlformats-officedocument.spreadsheetml.worksheet+xml" PartName="/xl/worksheets/sheet35772.xml"/>
  <Override ContentType="application/vnd.openxmlformats-officedocument.spreadsheetml.worksheet+xml" PartName="/xl/worksheets/sheet35773.xml"/>
  <Override ContentType="application/vnd.openxmlformats-officedocument.spreadsheetml.worksheet+xml" PartName="/xl/worksheets/sheet35774.xml"/>
  <Override ContentType="application/vnd.openxmlformats-officedocument.spreadsheetml.worksheet+xml" PartName="/xl/worksheets/sheet35775.xml"/>
  <Override ContentType="application/vnd.openxmlformats-officedocument.spreadsheetml.worksheet+xml" PartName="/xl/worksheets/sheet35776.xml"/>
  <Override ContentType="application/vnd.openxmlformats-officedocument.spreadsheetml.worksheet+xml" PartName="/xl/worksheets/sheet35777.xml"/>
  <Override ContentType="application/vnd.openxmlformats-officedocument.spreadsheetml.worksheet+xml" PartName="/xl/worksheets/sheet35778.xml"/>
  <Override ContentType="application/vnd.openxmlformats-officedocument.spreadsheetml.worksheet+xml" PartName="/xl/worksheets/sheet35779.xml"/>
  <Override ContentType="application/vnd.openxmlformats-officedocument.spreadsheetml.worksheet+xml" PartName="/xl/worksheets/sheet35780.xml"/>
  <Override ContentType="application/vnd.openxmlformats-officedocument.spreadsheetml.worksheet+xml" PartName="/xl/worksheets/sheet35781.xml"/>
  <Override ContentType="application/vnd.openxmlformats-officedocument.spreadsheetml.worksheet+xml" PartName="/xl/worksheets/sheet35782.xml"/>
  <Override ContentType="application/vnd.openxmlformats-officedocument.spreadsheetml.worksheet+xml" PartName="/xl/worksheets/sheet35783.xml"/>
  <Override ContentType="application/vnd.openxmlformats-officedocument.spreadsheetml.worksheet+xml" PartName="/xl/worksheets/sheet35784.xml"/>
  <Override ContentType="application/vnd.openxmlformats-officedocument.spreadsheetml.worksheet+xml" PartName="/xl/worksheets/sheet35785.xml"/>
  <Override ContentType="application/vnd.openxmlformats-officedocument.spreadsheetml.worksheet+xml" PartName="/xl/worksheets/sheet35786.xml"/>
  <Override ContentType="application/vnd.openxmlformats-officedocument.spreadsheetml.worksheet+xml" PartName="/xl/worksheets/sheet35787.xml"/>
  <Override ContentType="application/vnd.openxmlformats-officedocument.spreadsheetml.worksheet+xml" PartName="/xl/worksheets/sheet35788.xml"/>
  <Override ContentType="application/vnd.openxmlformats-officedocument.spreadsheetml.worksheet+xml" PartName="/xl/worksheets/sheet35789.xml"/>
  <Override ContentType="application/vnd.openxmlformats-officedocument.spreadsheetml.worksheet+xml" PartName="/xl/worksheets/sheet35790.xml"/>
  <Override ContentType="application/vnd.openxmlformats-officedocument.spreadsheetml.worksheet+xml" PartName="/xl/worksheets/sheet35791.xml"/>
  <Override ContentType="application/vnd.openxmlformats-officedocument.spreadsheetml.worksheet+xml" PartName="/xl/worksheets/sheet35792.xml"/>
  <Override ContentType="application/vnd.openxmlformats-officedocument.spreadsheetml.worksheet+xml" PartName="/xl/worksheets/sheet35793.xml"/>
  <Override ContentType="application/vnd.openxmlformats-officedocument.spreadsheetml.worksheet+xml" PartName="/xl/worksheets/sheet35794.xml"/>
  <Override ContentType="application/vnd.openxmlformats-officedocument.spreadsheetml.worksheet+xml" PartName="/xl/worksheets/sheet35795.xml"/>
  <Override ContentType="application/vnd.openxmlformats-officedocument.spreadsheetml.worksheet+xml" PartName="/xl/worksheets/sheet35796.xml"/>
  <Override ContentType="application/vnd.openxmlformats-officedocument.spreadsheetml.worksheet+xml" PartName="/xl/worksheets/sheet35797.xml"/>
  <Override ContentType="application/vnd.openxmlformats-officedocument.spreadsheetml.worksheet+xml" PartName="/xl/worksheets/sheet35798.xml"/>
  <Override ContentType="application/vnd.openxmlformats-officedocument.spreadsheetml.worksheet+xml" PartName="/xl/worksheets/sheet35799.xml"/>
  <Override ContentType="application/vnd.openxmlformats-officedocument.spreadsheetml.worksheet+xml" PartName="/xl/worksheets/sheet35800.xml"/>
  <Override ContentType="application/vnd.openxmlformats-officedocument.spreadsheetml.worksheet+xml" PartName="/xl/worksheets/sheet35801.xml"/>
  <Override ContentType="application/vnd.openxmlformats-officedocument.spreadsheetml.worksheet+xml" PartName="/xl/worksheets/sheet35802.xml"/>
  <Override ContentType="application/vnd.openxmlformats-officedocument.spreadsheetml.worksheet+xml" PartName="/xl/worksheets/sheet35803.xml"/>
  <Override ContentType="application/vnd.openxmlformats-officedocument.spreadsheetml.worksheet+xml" PartName="/xl/worksheets/sheet35804.xml"/>
  <Override ContentType="application/vnd.openxmlformats-officedocument.spreadsheetml.worksheet+xml" PartName="/xl/worksheets/sheet35805.xml"/>
  <Override ContentType="application/vnd.openxmlformats-officedocument.spreadsheetml.worksheet+xml" PartName="/xl/worksheets/sheet35806.xml"/>
  <Override ContentType="application/vnd.openxmlformats-officedocument.spreadsheetml.worksheet+xml" PartName="/xl/worksheets/sheet35807.xml"/>
  <Override ContentType="application/vnd.openxmlformats-officedocument.spreadsheetml.worksheet+xml" PartName="/xl/worksheets/sheet35808.xml"/>
  <Override ContentType="application/vnd.openxmlformats-officedocument.spreadsheetml.worksheet+xml" PartName="/xl/worksheets/sheet35809.xml"/>
  <Override ContentType="application/vnd.openxmlformats-officedocument.spreadsheetml.worksheet+xml" PartName="/xl/worksheets/sheet35810.xml"/>
  <Override ContentType="application/vnd.openxmlformats-officedocument.spreadsheetml.worksheet+xml" PartName="/xl/worksheets/sheet35811.xml"/>
  <Override ContentType="application/vnd.openxmlformats-officedocument.spreadsheetml.worksheet+xml" PartName="/xl/worksheets/sheet35812.xml"/>
  <Override ContentType="application/vnd.openxmlformats-officedocument.spreadsheetml.worksheet+xml" PartName="/xl/worksheets/sheet35813.xml"/>
  <Override ContentType="application/vnd.openxmlformats-officedocument.spreadsheetml.worksheet+xml" PartName="/xl/worksheets/sheet35814.xml"/>
  <Override ContentType="application/vnd.openxmlformats-officedocument.spreadsheetml.worksheet+xml" PartName="/xl/worksheets/sheet35815.xml"/>
  <Override ContentType="application/vnd.openxmlformats-officedocument.spreadsheetml.worksheet+xml" PartName="/xl/worksheets/sheet35816.xml"/>
  <Override ContentType="application/vnd.openxmlformats-officedocument.spreadsheetml.worksheet+xml" PartName="/xl/worksheets/sheet35817.xml"/>
  <Override ContentType="application/vnd.openxmlformats-officedocument.spreadsheetml.worksheet+xml" PartName="/xl/worksheets/sheet35818.xml"/>
  <Override ContentType="application/vnd.openxmlformats-officedocument.spreadsheetml.worksheet+xml" PartName="/xl/worksheets/sheet35819.xml"/>
  <Override ContentType="application/vnd.openxmlformats-officedocument.spreadsheetml.worksheet+xml" PartName="/xl/worksheets/sheet35820.xml"/>
  <Override ContentType="application/vnd.openxmlformats-officedocument.spreadsheetml.worksheet+xml" PartName="/xl/worksheets/sheet35821.xml"/>
  <Override ContentType="application/vnd.openxmlformats-officedocument.spreadsheetml.worksheet+xml" PartName="/xl/worksheets/sheet35822.xml"/>
  <Override ContentType="application/vnd.openxmlformats-officedocument.spreadsheetml.worksheet+xml" PartName="/xl/worksheets/sheet35823.xml"/>
  <Override ContentType="application/vnd.openxmlformats-officedocument.spreadsheetml.worksheet+xml" PartName="/xl/worksheets/sheet35824.xml"/>
  <Override ContentType="application/vnd.openxmlformats-officedocument.spreadsheetml.worksheet+xml" PartName="/xl/worksheets/sheet35825.xml"/>
  <Override ContentType="application/vnd.openxmlformats-officedocument.spreadsheetml.worksheet+xml" PartName="/xl/worksheets/sheet35826.xml"/>
  <Override ContentType="application/vnd.openxmlformats-officedocument.spreadsheetml.worksheet+xml" PartName="/xl/worksheets/sheet35827.xml"/>
  <Override ContentType="application/vnd.openxmlformats-officedocument.spreadsheetml.worksheet+xml" PartName="/xl/worksheets/sheet35828.xml"/>
  <Override ContentType="application/vnd.openxmlformats-officedocument.spreadsheetml.worksheet+xml" PartName="/xl/worksheets/sheet35829.xml"/>
  <Override ContentType="application/vnd.openxmlformats-officedocument.spreadsheetml.worksheet+xml" PartName="/xl/worksheets/sheet35830.xml"/>
  <Override ContentType="application/vnd.openxmlformats-officedocument.spreadsheetml.worksheet+xml" PartName="/xl/worksheets/sheet35831.xml"/>
  <Override ContentType="application/vnd.openxmlformats-officedocument.spreadsheetml.worksheet+xml" PartName="/xl/worksheets/sheet35832.xml"/>
  <Override ContentType="application/vnd.openxmlformats-officedocument.spreadsheetml.worksheet+xml" PartName="/xl/worksheets/sheet35833.xml"/>
  <Override ContentType="application/vnd.openxmlformats-officedocument.spreadsheetml.worksheet+xml" PartName="/xl/worksheets/sheet35834.xml"/>
  <Override ContentType="application/vnd.openxmlformats-officedocument.spreadsheetml.worksheet+xml" PartName="/xl/worksheets/sheet35835.xml"/>
  <Override ContentType="application/vnd.openxmlformats-officedocument.spreadsheetml.worksheet+xml" PartName="/xl/worksheets/sheet35836.xml"/>
  <Override ContentType="application/vnd.openxmlformats-officedocument.spreadsheetml.worksheet+xml" PartName="/xl/worksheets/sheet35837.xml"/>
  <Override ContentType="application/vnd.openxmlformats-officedocument.spreadsheetml.worksheet+xml" PartName="/xl/worksheets/sheet35838.xml"/>
  <Override ContentType="application/vnd.openxmlformats-officedocument.spreadsheetml.worksheet+xml" PartName="/xl/worksheets/sheet35839.xml"/>
  <Override ContentType="application/vnd.openxmlformats-officedocument.spreadsheetml.worksheet+xml" PartName="/xl/worksheets/sheet35840.xml"/>
  <Override ContentType="application/vnd.openxmlformats-officedocument.spreadsheetml.worksheet+xml" PartName="/xl/worksheets/sheet35841.xml"/>
  <Override ContentType="application/vnd.openxmlformats-officedocument.spreadsheetml.worksheet+xml" PartName="/xl/worksheets/sheet35842.xml"/>
  <Override ContentType="application/vnd.openxmlformats-officedocument.spreadsheetml.worksheet+xml" PartName="/xl/worksheets/sheet35843.xml"/>
  <Override ContentType="application/vnd.openxmlformats-officedocument.spreadsheetml.worksheet+xml" PartName="/xl/worksheets/sheet35844.xml"/>
  <Override ContentType="application/vnd.openxmlformats-officedocument.spreadsheetml.worksheet+xml" PartName="/xl/worksheets/sheet35845.xml"/>
  <Override ContentType="application/vnd.openxmlformats-officedocument.spreadsheetml.worksheet+xml" PartName="/xl/worksheets/sheet35846.xml"/>
  <Override ContentType="application/vnd.openxmlformats-officedocument.spreadsheetml.worksheet+xml" PartName="/xl/worksheets/sheet35847.xml"/>
  <Override ContentType="application/vnd.openxmlformats-officedocument.spreadsheetml.worksheet+xml" PartName="/xl/worksheets/sheet35848.xml"/>
  <Override ContentType="application/vnd.openxmlformats-officedocument.spreadsheetml.worksheet+xml" PartName="/xl/worksheets/sheet35849.xml"/>
  <Override ContentType="application/vnd.openxmlformats-officedocument.spreadsheetml.worksheet+xml" PartName="/xl/worksheets/sheet35850.xml"/>
  <Override ContentType="application/vnd.openxmlformats-officedocument.spreadsheetml.worksheet+xml" PartName="/xl/worksheets/sheet35851.xml"/>
  <Override ContentType="application/vnd.openxmlformats-officedocument.spreadsheetml.worksheet+xml" PartName="/xl/worksheets/sheet35852.xml"/>
  <Override ContentType="application/vnd.openxmlformats-officedocument.spreadsheetml.worksheet+xml" PartName="/xl/worksheets/sheet35853.xml"/>
  <Override ContentType="application/vnd.openxmlformats-officedocument.spreadsheetml.worksheet+xml" PartName="/xl/worksheets/sheet35854.xml"/>
  <Override ContentType="application/vnd.openxmlformats-officedocument.spreadsheetml.worksheet+xml" PartName="/xl/worksheets/sheet35855.xml"/>
  <Override ContentType="application/vnd.openxmlformats-officedocument.spreadsheetml.worksheet+xml" PartName="/xl/worksheets/sheet35856.xml"/>
  <Override ContentType="application/vnd.openxmlformats-officedocument.spreadsheetml.worksheet+xml" PartName="/xl/worksheets/sheet35857.xml"/>
  <Override ContentType="application/vnd.openxmlformats-officedocument.spreadsheetml.worksheet+xml" PartName="/xl/worksheets/sheet35858.xml"/>
  <Override ContentType="application/vnd.openxmlformats-officedocument.spreadsheetml.worksheet+xml" PartName="/xl/worksheets/sheet35859.xml"/>
  <Override ContentType="application/vnd.openxmlformats-officedocument.spreadsheetml.worksheet+xml" PartName="/xl/worksheets/sheet35860.xml"/>
  <Override ContentType="application/vnd.openxmlformats-officedocument.spreadsheetml.worksheet+xml" PartName="/xl/worksheets/sheet35861.xml"/>
  <Override ContentType="application/vnd.openxmlformats-officedocument.spreadsheetml.worksheet+xml" PartName="/xl/worksheets/sheet35862.xml"/>
  <Override ContentType="application/vnd.openxmlformats-officedocument.spreadsheetml.worksheet+xml" PartName="/xl/worksheets/sheet35863.xml"/>
  <Override ContentType="application/vnd.openxmlformats-officedocument.spreadsheetml.worksheet+xml" PartName="/xl/worksheets/sheet35864.xml"/>
  <Override ContentType="application/vnd.openxmlformats-officedocument.spreadsheetml.worksheet+xml" PartName="/xl/worksheets/sheet35865.xml"/>
  <Override ContentType="application/vnd.openxmlformats-officedocument.spreadsheetml.worksheet+xml" PartName="/xl/worksheets/sheet35866.xml"/>
  <Override ContentType="application/vnd.openxmlformats-officedocument.spreadsheetml.worksheet+xml" PartName="/xl/worksheets/sheet35867.xml"/>
  <Override ContentType="application/vnd.openxmlformats-officedocument.spreadsheetml.worksheet+xml" PartName="/xl/worksheets/sheet35868.xml"/>
  <Override ContentType="application/vnd.openxmlformats-officedocument.spreadsheetml.worksheet+xml" PartName="/xl/worksheets/sheet35869.xml"/>
  <Override ContentType="application/vnd.openxmlformats-officedocument.spreadsheetml.worksheet+xml" PartName="/xl/worksheets/sheet35870.xml"/>
  <Override ContentType="application/vnd.openxmlformats-officedocument.spreadsheetml.worksheet+xml" PartName="/xl/worksheets/sheet35871.xml"/>
  <Override ContentType="application/vnd.openxmlformats-officedocument.spreadsheetml.worksheet+xml" PartName="/xl/worksheets/sheet35872.xml"/>
  <Override ContentType="application/vnd.openxmlformats-officedocument.spreadsheetml.worksheet+xml" PartName="/xl/worksheets/sheet35873.xml"/>
  <Override ContentType="application/vnd.openxmlformats-officedocument.spreadsheetml.worksheet+xml" PartName="/xl/worksheets/sheet35874.xml"/>
  <Override ContentType="application/vnd.openxmlformats-officedocument.spreadsheetml.worksheet+xml" PartName="/xl/worksheets/sheet35875.xml"/>
  <Override ContentType="application/vnd.openxmlformats-officedocument.spreadsheetml.worksheet+xml" PartName="/xl/worksheets/sheet35876.xml"/>
  <Override ContentType="application/vnd.openxmlformats-officedocument.spreadsheetml.worksheet+xml" PartName="/xl/worksheets/sheet35877.xml"/>
  <Override ContentType="application/vnd.openxmlformats-officedocument.spreadsheetml.worksheet+xml" PartName="/xl/worksheets/sheet35878.xml"/>
  <Override ContentType="application/vnd.openxmlformats-officedocument.spreadsheetml.worksheet+xml" PartName="/xl/worksheets/sheet35879.xml"/>
  <Override ContentType="application/vnd.openxmlformats-officedocument.spreadsheetml.worksheet+xml" PartName="/xl/worksheets/sheet35880.xml"/>
  <Override ContentType="application/vnd.openxmlformats-officedocument.spreadsheetml.worksheet+xml" PartName="/xl/worksheets/sheet35881.xml"/>
  <Override ContentType="application/vnd.openxmlformats-officedocument.spreadsheetml.worksheet+xml" PartName="/xl/worksheets/sheet35882.xml"/>
  <Override ContentType="application/vnd.openxmlformats-officedocument.spreadsheetml.worksheet+xml" PartName="/xl/worksheets/sheet35883.xml"/>
  <Override ContentType="application/vnd.openxmlformats-officedocument.spreadsheetml.worksheet+xml" PartName="/xl/worksheets/sheet35884.xml"/>
  <Override ContentType="application/vnd.openxmlformats-officedocument.spreadsheetml.worksheet+xml" PartName="/xl/worksheets/sheet35885.xml"/>
  <Override ContentType="application/vnd.openxmlformats-officedocument.spreadsheetml.worksheet+xml" PartName="/xl/worksheets/sheet35886.xml"/>
  <Override ContentType="application/vnd.openxmlformats-officedocument.spreadsheetml.worksheet+xml" PartName="/xl/worksheets/sheet35887.xml"/>
  <Override ContentType="application/vnd.openxmlformats-officedocument.spreadsheetml.worksheet+xml" PartName="/xl/worksheets/sheet35888.xml"/>
  <Override ContentType="application/vnd.openxmlformats-officedocument.spreadsheetml.worksheet+xml" PartName="/xl/worksheets/sheet35889.xml"/>
  <Override ContentType="application/vnd.openxmlformats-officedocument.spreadsheetml.worksheet+xml" PartName="/xl/worksheets/sheet35890.xml"/>
  <Override ContentType="application/vnd.openxmlformats-officedocument.spreadsheetml.worksheet+xml" PartName="/xl/worksheets/sheet35891.xml"/>
  <Override ContentType="application/vnd.openxmlformats-officedocument.spreadsheetml.worksheet+xml" PartName="/xl/worksheets/sheet35892.xml"/>
  <Override ContentType="application/vnd.openxmlformats-officedocument.spreadsheetml.worksheet+xml" PartName="/xl/worksheets/sheet35893.xml"/>
  <Override ContentType="application/vnd.openxmlformats-officedocument.spreadsheetml.worksheet+xml" PartName="/xl/worksheets/sheet35894.xml"/>
  <Override ContentType="application/vnd.openxmlformats-officedocument.spreadsheetml.worksheet+xml" PartName="/xl/worksheets/sheet35895.xml"/>
  <Override ContentType="application/vnd.openxmlformats-officedocument.spreadsheetml.worksheet+xml" PartName="/xl/worksheets/sheet35896.xml"/>
  <Override ContentType="application/vnd.openxmlformats-officedocument.spreadsheetml.worksheet+xml" PartName="/xl/worksheets/sheet35897.xml"/>
  <Override ContentType="application/vnd.openxmlformats-officedocument.spreadsheetml.worksheet+xml" PartName="/xl/worksheets/sheet35898.xml"/>
  <Override ContentType="application/vnd.openxmlformats-officedocument.spreadsheetml.worksheet+xml" PartName="/xl/worksheets/sheet35899.xml"/>
  <Override ContentType="application/vnd.openxmlformats-officedocument.spreadsheetml.worksheet+xml" PartName="/xl/worksheets/sheet35900.xml"/>
  <Override ContentType="application/vnd.openxmlformats-officedocument.spreadsheetml.worksheet+xml" PartName="/xl/worksheets/sheet35901.xml"/>
  <Override ContentType="application/vnd.openxmlformats-officedocument.spreadsheetml.worksheet+xml" PartName="/xl/worksheets/sheet35902.xml"/>
  <Override ContentType="application/vnd.openxmlformats-officedocument.spreadsheetml.worksheet+xml" PartName="/xl/worksheets/sheet35903.xml"/>
  <Override ContentType="application/vnd.openxmlformats-officedocument.spreadsheetml.worksheet+xml" PartName="/xl/worksheets/sheet35904.xml"/>
  <Override ContentType="application/vnd.openxmlformats-officedocument.spreadsheetml.worksheet+xml" PartName="/xl/worksheets/sheet35905.xml"/>
  <Override ContentType="application/vnd.openxmlformats-officedocument.spreadsheetml.worksheet+xml" PartName="/xl/worksheets/sheet35906.xml"/>
  <Override ContentType="application/vnd.openxmlformats-officedocument.spreadsheetml.worksheet+xml" PartName="/xl/worksheets/sheet35907.xml"/>
  <Override ContentType="application/vnd.openxmlformats-officedocument.spreadsheetml.worksheet+xml" PartName="/xl/worksheets/sheet35908.xml"/>
  <Override ContentType="application/vnd.openxmlformats-officedocument.spreadsheetml.worksheet+xml" PartName="/xl/worksheets/sheet35909.xml"/>
  <Override ContentType="application/vnd.openxmlformats-officedocument.spreadsheetml.worksheet+xml" PartName="/xl/worksheets/sheet35910.xml"/>
  <Override ContentType="application/vnd.openxmlformats-officedocument.spreadsheetml.worksheet+xml" PartName="/xl/worksheets/sheet35911.xml"/>
  <Override ContentType="application/vnd.openxmlformats-officedocument.spreadsheetml.worksheet+xml" PartName="/xl/worksheets/sheet35912.xml"/>
  <Override ContentType="application/vnd.openxmlformats-officedocument.spreadsheetml.worksheet+xml" PartName="/xl/worksheets/sheet35913.xml"/>
  <Override ContentType="application/vnd.openxmlformats-officedocument.spreadsheetml.worksheet+xml" PartName="/xl/worksheets/sheet35914.xml"/>
  <Override ContentType="application/vnd.openxmlformats-officedocument.spreadsheetml.worksheet+xml" PartName="/xl/worksheets/sheet35915.xml"/>
  <Override ContentType="application/vnd.openxmlformats-officedocument.spreadsheetml.worksheet+xml" PartName="/xl/worksheets/sheet35916.xml"/>
  <Override ContentType="application/vnd.openxmlformats-officedocument.spreadsheetml.worksheet+xml" PartName="/xl/worksheets/sheet35917.xml"/>
  <Override ContentType="application/vnd.openxmlformats-officedocument.spreadsheetml.worksheet+xml" PartName="/xl/worksheets/sheet35918.xml"/>
  <Override ContentType="application/vnd.openxmlformats-officedocument.spreadsheetml.worksheet+xml" PartName="/xl/worksheets/sheet35919.xml"/>
  <Override ContentType="application/vnd.openxmlformats-officedocument.spreadsheetml.worksheet+xml" PartName="/xl/worksheets/sheet35920.xml"/>
  <Override ContentType="application/vnd.openxmlformats-officedocument.spreadsheetml.worksheet+xml" PartName="/xl/worksheets/sheet35921.xml"/>
  <Override ContentType="application/vnd.openxmlformats-officedocument.spreadsheetml.worksheet+xml" PartName="/xl/worksheets/sheet35922.xml"/>
  <Override ContentType="application/vnd.openxmlformats-officedocument.spreadsheetml.worksheet+xml" PartName="/xl/worksheets/sheet35923.xml"/>
  <Override ContentType="application/vnd.openxmlformats-officedocument.spreadsheetml.worksheet+xml" PartName="/xl/worksheets/sheet35924.xml"/>
  <Override ContentType="application/vnd.openxmlformats-officedocument.spreadsheetml.worksheet+xml" PartName="/xl/worksheets/sheet35925.xml"/>
  <Override ContentType="application/vnd.openxmlformats-officedocument.spreadsheetml.worksheet+xml" PartName="/xl/worksheets/sheet35926.xml"/>
  <Override ContentType="application/vnd.openxmlformats-officedocument.spreadsheetml.worksheet+xml" PartName="/xl/worksheets/sheet35927.xml"/>
  <Override ContentType="application/vnd.openxmlformats-officedocument.spreadsheetml.worksheet+xml" PartName="/xl/worksheets/sheet35928.xml"/>
  <Override ContentType="application/vnd.openxmlformats-officedocument.spreadsheetml.worksheet+xml" PartName="/xl/worksheets/sheet35929.xml"/>
  <Override ContentType="application/vnd.openxmlformats-officedocument.spreadsheetml.worksheet+xml" PartName="/xl/worksheets/sheet35930.xml"/>
  <Override ContentType="application/vnd.openxmlformats-officedocument.spreadsheetml.worksheet+xml" PartName="/xl/worksheets/sheet35931.xml"/>
  <Override ContentType="application/vnd.openxmlformats-officedocument.spreadsheetml.worksheet+xml" PartName="/xl/worksheets/sheet35932.xml"/>
  <Override ContentType="application/vnd.openxmlformats-officedocument.spreadsheetml.worksheet+xml" PartName="/xl/worksheets/sheet35933.xml"/>
  <Override ContentType="application/vnd.openxmlformats-officedocument.spreadsheetml.worksheet+xml" PartName="/xl/worksheets/sheet35934.xml"/>
  <Override ContentType="application/vnd.openxmlformats-officedocument.spreadsheetml.worksheet+xml" PartName="/xl/worksheets/sheet35935.xml"/>
  <Override ContentType="application/vnd.openxmlformats-officedocument.spreadsheetml.worksheet+xml" PartName="/xl/worksheets/sheet35936.xml"/>
  <Override ContentType="application/vnd.openxmlformats-officedocument.spreadsheetml.worksheet+xml" PartName="/xl/worksheets/sheet35937.xml"/>
  <Override ContentType="application/vnd.openxmlformats-officedocument.spreadsheetml.worksheet+xml" PartName="/xl/worksheets/sheet35938.xml"/>
  <Override ContentType="application/vnd.openxmlformats-officedocument.spreadsheetml.worksheet+xml" PartName="/xl/worksheets/sheet35939.xml"/>
  <Override ContentType="application/vnd.openxmlformats-officedocument.spreadsheetml.worksheet+xml" PartName="/xl/worksheets/sheet35940.xml"/>
  <Override ContentType="application/vnd.openxmlformats-officedocument.spreadsheetml.worksheet+xml" PartName="/xl/worksheets/sheet35941.xml"/>
  <Override ContentType="application/vnd.openxmlformats-officedocument.spreadsheetml.worksheet+xml" PartName="/xl/worksheets/sheet35942.xml"/>
  <Override ContentType="application/vnd.openxmlformats-officedocument.spreadsheetml.worksheet+xml" PartName="/xl/worksheets/sheet35943.xml"/>
  <Override ContentType="application/vnd.openxmlformats-officedocument.spreadsheetml.worksheet+xml" PartName="/xl/worksheets/sheet35944.xml"/>
  <Override ContentType="application/vnd.openxmlformats-officedocument.spreadsheetml.worksheet+xml" PartName="/xl/worksheets/sheet35945.xml"/>
  <Override ContentType="application/vnd.openxmlformats-officedocument.spreadsheetml.worksheet+xml" PartName="/xl/worksheets/sheet35946.xml"/>
  <Override ContentType="application/vnd.openxmlformats-officedocument.spreadsheetml.worksheet+xml" PartName="/xl/worksheets/sheet35947.xml"/>
  <Override ContentType="application/vnd.openxmlformats-officedocument.spreadsheetml.worksheet+xml" PartName="/xl/worksheets/sheet35948.xml"/>
  <Override ContentType="application/vnd.openxmlformats-officedocument.spreadsheetml.worksheet+xml" PartName="/xl/worksheets/sheet35949.xml"/>
  <Override ContentType="application/vnd.openxmlformats-officedocument.spreadsheetml.worksheet+xml" PartName="/xl/worksheets/sheet35950.xml"/>
  <Override ContentType="application/vnd.openxmlformats-officedocument.spreadsheetml.worksheet+xml" PartName="/xl/worksheets/sheet35951.xml"/>
  <Override ContentType="application/vnd.openxmlformats-officedocument.spreadsheetml.worksheet+xml" PartName="/xl/worksheets/sheet35952.xml"/>
  <Override ContentType="application/vnd.openxmlformats-officedocument.spreadsheetml.worksheet+xml" PartName="/xl/worksheets/sheet35953.xml"/>
  <Override ContentType="application/vnd.openxmlformats-officedocument.spreadsheetml.worksheet+xml" PartName="/xl/worksheets/sheet35954.xml"/>
  <Override ContentType="application/vnd.openxmlformats-officedocument.spreadsheetml.worksheet+xml" PartName="/xl/worksheets/sheet35955.xml"/>
  <Override ContentType="application/vnd.openxmlformats-officedocument.spreadsheetml.worksheet+xml" PartName="/xl/worksheets/sheet35956.xml"/>
  <Override ContentType="application/vnd.openxmlformats-officedocument.spreadsheetml.worksheet+xml" PartName="/xl/worksheets/sheet35957.xml"/>
  <Override ContentType="application/vnd.openxmlformats-officedocument.spreadsheetml.worksheet+xml" PartName="/xl/worksheets/sheet35958.xml"/>
  <Override ContentType="application/vnd.openxmlformats-officedocument.spreadsheetml.worksheet+xml" PartName="/xl/worksheets/sheet35959.xml"/>
  <Override ContentType="application/vnd.openxmlformats-officedocument.spreadsheetml.worksheet+xml" PartName="/xl/worksheets/sheet35960.xml"/>
  <Override ContentType="application/vnd.openxmlformats-officedocument.spreadsheetml.worksheet+xml" PartName="/xl/worksheets/sheet35961.xml"/>
  <Override ContentType="application/vnd.openxmlformats-officedocument.spreadsheetml.worksheet+xml" PartName="/xl/worksheets/sheet35962.xml"/>
  <Override ContentType="application/vnd.openxmlformats-officedocument.spreadsheetml.worksheet+xml" PartName="/xl/worksheets/sheet35963.xml"/>
  <Override ContentType="application/vnd.openxmlformats-officedocument.spreadsheetml.worksheet+xml" PartName="/xl/worksheets/sheet35964.xml"/>
  <Override ContentType="application/vnd.openxmlformats-officedocument.spreadsheetml.worksheet+xml" PartName="/xl/worksheets/sheet35965.xml"/>
  <Override ContentType="application/vnd.openxmlformats-officedocument.spreadsheetml.worksheet+xml" PartName="/xl/worksheets/sheet35966.xml"/>
  <Override ContentType="application/vnd.openxmlformats-officedocument.spreadsheetml.worksheet+xml" PartName="/xl/worksheets/sheet35967.xml"/>
  <Override ContentType="application/vnd.openxmlformats-officedocument.spreadsheetml.worksheet+xml" PartName="/xl/worksheets/sheet35968.xml"/>
  <Override ContentType="application/vnd.openxmlformats-officedocument.spreadsheetml.worksheet+xml" PartName="/xl/worksheets/sheet35969.xml"/>
  <Override ContentType="application/vnd.openxmlformats-officedocument.spreadsheetml.worksheet+xml" PartName="/xl/worksheets/sheet35970.xml"/>
  <Override ContentType="application/vnd.openxmlformats-officedocument.spreadsheetml.worksheet+xml" PartName="/xl/worksheets/sheet35971.xml"/>
  <Override ContentType="application/vnd.openxmlformats-officedocument.spreadsheetml.worksheet+xml" PartName="/xl/worksheets/sheet35972.xml"/>
  <Override ContentType="application/vnd.openxmlformats-officedocument.spreadsheetml.worksheet+xml" PartName="/xl/worksheets/sheet35973.xml"/>
  <Override ContentType="application/vnd.openxmlformats-officedocument.spreadsheetml.worksheet+xml" PartName="/xl/worksheets/sheet35974.xml"/>
  <Override ContentType="application/vnd.openxmlformats-officedocument.spreadsheetml.worksheet+xml" PartName="/xl/worksheets/sheet35975.xml"/>
  <Override ContentType="application/vnd.openxmlformats-officedocument.spreadsheetml.worksheet+xml" PartName="/xl/worksheets/sheet35976.xml"/>
  <Override ContentType="application/vnd.openxmlformats-officedocument.spreadsheetml.worksheet+xml" PartName="/xl/worksheets/sheet35977.xml"/>
  <Override ContentType="application/vnd.openxmlformats-officedocument.spreadsheetml.worksheet+xml" PartName="/xl/worksheets/sheet35978.xml"/>
  <Override ContentType="application/vnd.openxmlformats-officedocument.spreadsheetml.worksheet+xml" PartName="/xl/worksheets/sheet35979.xml"/>
  <Override ContentType="application/vnd.openxmlformats-officedocument.spreadsheetml.worksheet+xml" PartName="/xl/worksheets/sheet35980.xml"/>
  <Override ContentType="application/vnd.openxmlformats-officedocument.spreadsheetml.worksheet+xml" PartName="/xl/worksheets/sheet35981.xml"/>
  <Override ContentType="application/vnd.openxmlformats-officedocument.spreadsheetml.worksheet+xml" PartName="/xl/worksheets/sheet35982.xml"/>
  <Override ContentType="application/vnd.openxmlformats-officedocument.spreadsheetml.worksheet+xml" PartName="/xl/worksheets/sheet35983.xml"/>
  <Override ContentType="application/vnd.openxmlformats-officedocument.spreadsheetml.worksheet+xml" PartName="/xl/worksheets/sheet35984.xml"/>
  <Override ContentType="application/vnd.openxmlformats-officedocument.spreadsheetml.worksheet+xml" PartName="/xl/worksheets/sheet35985.xml"/>
  <Override ContentType="application/vnd.openxmlformats-officedocument.spreadsheetml.worksheet+xml" PartName="/xl/worksheets/sheet35986.xml"/>
  <Override ContentType="application/vnd.openxmlformats-officedocument.spreadsheetml.worksheet+xml" PartName="/xl/worksheets/sheet35987.xml"/>
  <Override ContentType="application/vnd.openxmlformats-officedocument.spreadsheetml.worksheet+xml" PartName="/xl/worksheets/sheet35988.xml"/>
  <Override ContentType="application/vnd.openxmlformats-officedocument.spreadsheetml.worksheet+xml" PartName="/xl/worksheets/sheet35989.xml"/>
  <Override ContentType="application/vnd.openxmlformats-officedocument.spreadsheetml.worksheet+xml" PartName="/xl/worksheets/sheet35990.xml"/>
  <Override ContentType="application/vnd.openxmlformats-officedocument.spreadsheetml.worksheet+xml" PartName="/xl/worksheets/sheet35991.xml"/>
  <Override ContentType="application/vnd.openxmlformats-officedocument.spreadsheetml.worksheet+xml" PartName="/xl/worksheets/sheet35992.xml"/>
  <Override ContentType="application/vnd.openxmlformats-officedocument.spreadsheetml.worksheet+xml" PartName="/xl/worksheets/sheet35993.xml"/>
  <Override ContentType="application/vnd.openxmlformats-officedocument.spreadsheetml.worksheet+xml" PartName="/xl/worksheets/sheet35994.xml"/>
  <Override ContentType="application/vnd.openxmlformats-officedocument.spreadsheetml.worksheet+xml" PartName="/xl/worksheets/sheet35995.xml"/>
  <Override ContentType="application/vnd.openxmlformats-officedocument.spreadsheetml.worksheet+xml" PartName="/xl/worksheets/sheet35996.xml"/>
  <Override ContentType="application/vnd.openxmlformats-officedocument.spreadsheetml.worksheet+xml" PartName="/xl/worksheets/sheet35997.xml"/>
  <Override ContentType="application/vnd.openxmlformats-officedocument.spreadsheetml.worksheet+xml" PartName="/xl/worksheets/sheet35998.xml"/>
  <Override ContentType="application/vnd.openxmlformats-officedocument.spreadsheetml.worksheet+xml" PartName="/xl/worksheets/sheet35999.xml"/>
  <Override ContentType="application/vnd.openxmlformats-officedocument.spreadsheetml.worksheet+xml" PartName="/xl/worksheets/sheet36000.xml"/>
  <Override ContentType="application/vnd.openxmlformats-officedocument.spreadsheetml.worksheet+xml" PartName="/xl/worksheets/sheet36001.xml"/>
  <Override ContentType="application/vnd.openxmlformats-officedocument.spreadsheetml.worksheet+xml" PartName="/xl/worksheets/sheet36002.xml"/>
  <Override ContentType="application/vnd.openxmlformats-officedocument.spreadsheetml.worksheet+xml" PartName="/xl/worksheets/sheet36003.xml"/>
  <Override ContentType="application/vnd.openxmlformats-officedocument.spreadsheetml.worksheet+xml" PartName="/xl/worksheets/sheet36004.xml"/>
  <Override ContentType="application/vnd.openxmlformats-officedocument.spreadsheetml.worksheet+xml" PartName="/xl/worksheets/sheet36005.xml"/>
  <Override ContentType="application/vnd.openxmlformats-officedocument.spreadsheetml.worksheet+xml" PartName="/xl/worksheets/sheet36006.xml"/>
  <Override ContentType="application/vnd.openxmlformats-officedocument.spreadsheetml.worksheet+xml" PartName="/xl/worksheets/sheet36007.xml"/>
  <Override ContentType="application/vnd.openxmlformats-officedocument.spreadsheetml.worksheet+xml" PartName="/xl/worksheets/sheet36008.xml"/>
  <Override ContentType="application/vnd.openxmlformats-officedocument.spreadsheetml.worksheet+xml" PartName="/xl/worksheets/sheet36009.xml"/>
  <Override ContentType="application/vnd.openxmlformats-officedocument.spreadsheetml.worksheet+xml" PartName="/xl/worksheets/sheet36010.xml"/>
  <Override ContentType="application/vnd.openxmlformats-officedocument.spreadsheetml.worksheet+xml" PartName="/xl/worksheets/sheet36011.xml"/>
  <Override ContentType="application/vnd.openxmlformats-officedocument.spreadsheetml.worksheet+xml" PartName="/xl/worksheets/sheet36012.xml"/>
  <Override ContentType="application/vnd.openxmlformats-officedocument.spreadsheetml.worksheet+xml" PartName="/xl/worksheets/sheet36013.xml"/>
  <Override ContentType="application/vnd.openxmlformats-officedocument.spreadsheetml.worksheet+xml" PartName="/xl/worksheets/sheet36014.xml"/>
  <Override ContentType="application/vnd.openxmlformats-officedocument.spreadsheetml.worksheet+xml" PartName="/xl/worksheets/sheet36015.xml"/>
  <Override ContentType="application/vnd.openxmlformats-officedocument.spreadsheetml.worksheet+xml" PartName="/xl/worksheets/sheet36016.xml"/>
  <Override ContentType="application/vnd.openxmlformats-officedocument.spreadsheetml.worksheet+xml" PartName="/xl/worksheets/sheet36017.xml"/>
  <Override ContentType="application/vnd.openxmlformats-officedocument.spreadsheetml.worksheet+xml" PartName="/xl/worksheets/sheet36018.xml"/>
  <Override ContentType="application/vnd.openxmlformats-officedocument.spreadsheetml.worksheet+xml" PartName="/xl/worksheets/sheet36019.xml"/>
  <Override ContentType="application/vnd.openxmlformats-officedocument.spreadsheetml.worksheet+xml" PartName="/xl/worksheets/sheet36020.xml"/>
  <Override ContentType="application/vnd.openxmlformats-officedocument.spreadsheetml.worksheet+xml" PartName="/xl/worksheets/sheet36021.xml"/>
  <Override ContentType="application/vnd.openxmlformats-officedocument.spreadsheetml.worksheet+xml" PartName="/xl/worksheets/sheet36022.xml"/>
  <Override ContentType="application/vnd.openxmlformats-officedocument.spreadsheetml.worksheet+xml" PartName="/xl/worksheets/sheet36023.xml"/>
  <Override ContentType="application/vnd.openxmlformats-officedocument.spreadsheetml.worksheet+xml" PartName="/xl/worksheets/sheet36024.xml"/>
  <Override ContentType="application/vnd.openxmlformats-officedocument.spreadsheetml.worksheet+xml" PartName="/xl/worksheets/sheet36025.xml"/>
  <Override ContentType="application/vnd.openxmlformats-officedocument.spreadsheetml.worksheet+xml" PartName="/xl/worksheets/sheet36026.xml"/>
  <Override ContentType="application/vnd.openxmlformats-officedocument.spreadsheetml.worksheet+xml" PartName="/xl/worksheets/sheet36027.xml"/>
  <Override ContentType="application/vnd.openxmlformats-officedocument.spreadsheetml.worksheet+xml" PartName="/xl/worksheets/sheet36028.xml"/>
  <Override ContentType="application/vnd.openxmlformats-officedocument.spreadsheetml.worksheet+xml" PartName="/xl/worksheets/sheet36029.xml"/>
  <Override ContentType="application/vnd.openxmlformats-officedocument.spreadsheetml.worksheet+xml" PartName="/xl/worksheets/sheet36030.xml"/>
  <Override ContentType="application/vnd.openxmlformats-officedocument.spreadsheetml.worksheet+xml" PartName="/xl/worksheets/sheet36031.xml"/>
  <Override ContentType="application/vnd.openxmlformats-officedocument.spreadsheetml.worksheet+xml" PartName="/xl/worksheets/sheet36032.xml"/>
  <Override ContentType="application/vnd.openxmlformats-officedocument.spreadsheetml.worksheet+xml" PartName="/xl/worksheets/sheet36033.xml"/>
  <Override ContentType="application/vnd.openxmlformats-officedocument.spreadsheetml.worksheet+xml" PartName="/xl/worksheets/sheet36034.xml"/>
  <Override ContentType="application/vnd.openxmlformats-officedocument.spreadsheetml.worksheet+xml" PartName="/xl/worksheets/sheet36035.xml"/>
  <Override ContentType="application/vnd.openxmlformats-officedocument.spreadsheetml.worksheet+xml" PartName="/xl/worksheets/sheet36036.xml"/>
  <Override ContentType="application/vnd.openxmlformats-officedocument.spreadsheetml.worksheet+xml" PartName="/xl/worksheets/sheet36037.xml"/>
  <Override ContentType="application/vnd.openxmlformats-officedocument.spreadsheetml.worksheet+xml" PartName="/xl/worksheets/sheet36038.xml"/>
  <Override ContentType="application/vnd.openxmlformats-officedocument.spreadsheetml.worksheet+xml" PartName="/xl/worksheets/sheet36039.xml"/>
  <Override ContentType="application/vnd.openxmlformats-officedocument.spreadsheetml.worksheet+xml" PartName="/xl/worksheets/sheet36040.xml"/>
  <Override ContentType="application/vnd.openxmlformats-officedocument.spreadsheetml.worksheet+xml" PartName="/xl/worksheets/sheet36041.xml"/>
  <Override ContentType="application/vnd.openxmlformats-officedocument.spreadsheetml.worksheet+xml" PartName="/xl/worksheets/sheet36042.xml"/>
  <Override ContentType="application/vnd.openxmlformats-officedocument.spreadsheetml.worksheet+xml" PartName="/xl/worksheets/sheet36043.xml"/>
  <Override ContentType="application/vnd.openxmlformats-officedocument.spreadsheetml.worksheet+xml" PartName="/xl/worksheets/sheet36044.xml"/>
  <Override ContentType="application/vnd.openxmlformats-officedocument.spreadsheetml.worksheet+xml" PartName="/xl/worksheets/sheet36045.xml"/>
  <Override ContentType="application/vnd.openxmlformats-officedocument.spreadsheetml.worksheet+xml" PartName="/xl/worksheets/sheet36046.xml"/>
  <Override ContentType="application/vnd.openxmlformats-officedocument.spreadsheetml.worksheet+xml" PartName="/xl/worksheets/sheet36047.xml"/>
  <Override ContentType="application/vnd.openxmlformats-officedocument.spreadsheetml.worksheet+xml" PartName="/xl/worksheets/sheet36048.xml"/>
  <Override ContentType="application/vnd.openxmlformats-officedocument.spreadsheetml.worksheet+xml" PartName="/xl/worksheets/sheet36049.xml"/>
  <Override ContentType="application/vnd.openxmlformats-officedocument.spreadsheetml.worksheet+xml" PartName="/xl/worksheets/sheet36050.xml"/>
  <Override ContentType="application/vnd.openxmlformats-officedocument.spreadsheetml.worksheet+xml" PartName="/xl/worksheets/sheet36051.xml"/>
  <Override ContentType="application/vnd.openxmlformats-officedocument.spreadsheetml.worksheet+xml" PartName="/xl/worksheets/sheet36052.xml"/>
  <Override ContentType="application/vnd.openxmlformats-officedocument.spreadsheetml.worksheet+xml" PartName="/xl/worksheets/sheet36053.xml"/>
  <Override ContentType="application/vnd.openxmlformats-officedocument.spreadsheetml.worksheet+xml" PartName="/xl/worksheets/sheet36054.xml"/>
  <Override ContentType="application/vnd.openxmlformats-officedocument.spreadsheetml.worksheet+xml" PartName="/xl/worksheets/sheet36055.xml"/>
  <Override ContentType="application/vnd.openxmlformats-officedocument.spreadsheetml.worksheet+xml" PartName="/xl/worksheets/sheet36056.xml"/>
  <Override ContentType="application/vnd.openxmlformats-officedocument.spreadsheetml.worksheet+xml" PartName="/xl/worksheets/sheet36057.xml"/>
  <Override ContentType="application/vnd.openxmlformats-officedocument.spreadsheetml.worksheet+xml" PartName="/xl/worksheets/sheet36058.xml"/>
  <Override ContentType="application/vnd.openxmlformats-officedocument.spreadsheetml.worksheet+xml" PartName="/xl/worksheets/sheet36059.xml"/>
  <Override ContentType="application/vnd.openxmlformats-officedocument.spreadsheetml.worksheet+xml" PartName="/xl/worksheets/sheet36060.xml"/>
  <Override ContentType="application/vnd.openxmlformats-officedocument.spreadsheetml.worksheet+xml" PartName="/xl/worksheets/sheet36061.xml"/>
  <Override ContentType="application/vnd.openxmlformats-officedocument.spreadsheetml.worksheet+xml" PartName="/xl/worksheets/sheet36062.xml"/>
  <Override ContentType="application/vnd.openxmlformats-officedocument.spreadsheetml.worksheet+xml" PartName="/xl/worksheets/sheet36063.xml"/>
  <Override ContentType="application/vnd.openxmlformats-officedocument.spreadsheetml.worksheet+xml" PartName="/xl/worksheets/sheet36064.xml"/>
  <Override ContentType="application/vnd.openxmlformats-officedocument.spreadsheetml.worksheet+xml" PartName="/xl/worksheets/sheet36065.xml"/>
  <Override ContentType="application/vnd.openxmlformats-officedocument.spreadsheetml.worksheet+xml" PartName="/xl/worksheets/sheet36066.xml"/>
  <Override ContentType="application/vnd.openxmlformats-officedocument.spreadsheetml.worksheet+xml" PartName="/xl/worksheets/sheet36067.xml"/>
  <Override ContentType="application/vnd.openxmlformats-officedocument.spreadsheetml.worksheet+xml" PartName="/xl/worksheets/sheet36068.xml"/>
  <Override ContentType="application/vnd.openxmlformats-officedocument.spreadsheetml.worksheet+xml" PartName="/xl/worksheets/sheet36069.xml"/>
  <Override ContentType="application/vnd.openxmlformats-officedocument.spreadsheetml.worksheet+xml" PartName="/xl/worksheets/sheet36070.xml"/>
  <Override ContentType="application/vnd.openxmlformats-officedocument.spreadsheetml.worksheet+xml" PartName="/xl/worksheets/sheet36071.xml"/>
  <Override ContentType="application/vnd.openxmlformats-officedocument.spreadsheetml.worksheet+xml" PartName="/xl/worksheets/sheet36072.xml"/>
  <Override ContentType="application/vnd.openxmlformats-officedocument.spreadsheetml.worksheet+xml" PartName="/xl/worksheets/sheet36073.xml"/>
  <Override ContentType="application/vnd.openxmlformats-officedocument.spreadsheetml.worksheet+xml" PartName="/xl/worksheets/sheet36074.xml"/>
  <Override ContentType="application/vnd.openxmlformats-officedocument.spreadsheetml.worksheet+xml" PartName="/xl/worksheets/sheet36075.xml"/>
  <Override ContentType="application/vnd.openxmlformats-officedocument.spreadsheetml.worksheet+xml" PartName="/xl/worksheets/sheet36076.xml"/>
  <Override ContentType="application/vnd.openxmlformats-officedocument.spreadsheetml.worksheet+xml" PartName="/xl/worksheets/sheet36077.xml"/>
  <Override ContentType="application/vnd.openxmlformats-officedocument.spreadsheetml.worksheet+xml" PartName="/xl/worksheets/sheet36078.xml"/>
  <Override ContentType="application/vnd.openxmlformats-officedocument.spreadsheetml.worksheet+xml" PartName="/xl/worksheets/sheet36079.xml"/>
  <Override ContentType="application/vnd.openxmlformats-officedocument.spreadsheetml.worksheet+xml" PartName="/xl/worksheets/sheet36080.xml"/>
  <Override ContentType="application/vnd.openxmlformats-officedocument.spreadsheetml.worksheet+xml" PartName="/xl/worksheets/sheet36081.xml"/>
  <Override ContentType="application/vnd.openxmlformats-officedocument.spreadsheetml.worksheet+xml" PartName="/xl/worksheets/sheet36082.xml"/>
  <Override ContentType="application/vnd.openxmlformats-officedocument.spreadsheetml.worksheet+xml" PartName="/xl/worksheets/sheet36083.xml"/>
  <Override ContentType="application/vnd.openxmlformats-officedocument.spreadsheetml.worksheet+xml" PartName="/xl/worksheets/sheet36084.xml"/>
  <Override ContentType="application/vnd.openxmlformats-officedocument.spreadsheetml.worksheet+xml" PartName="/xl/worksheets/sheet36085.xml"/>
  <Override ContentType="application/vnd.openxmlformats-officedocument.spreadsheetml.worksheet+xml" PartName="/xl/worksheets/sheet36086.xml"/>
  <Override ContentType="application/vnd.openxmlformats-officedocument.spreadsheetml.worksheet+xml" PartName="/xl/worksheets/sheet36087.xml"/>
  <Override ContentType="application/vnd.openxmlformats-officedocument.spreadsheetml.worksheet+xml" PartName="/xl/worksheets/sheet36088.xml"/>
  <Override ContentType="application/vnd.openxmlformats-officedocument.spreadsheetml.worksheet+xml" PartName="/xl/worksheets/sheet36089.xml"/>
  <Override ContentType="application/vnd.openxmlformats-officedocument.spreadsheetml.worksheet+xml" PartName="/xl/worksheets/sheet36090.xml"/>
  <Override ContentType="application/vnd.openxmlformats-officedocument.spreadsheetml.worksheet+xml" PartName="/xl/worksheets/sheet36091.xml"/>
  <Override ContentType="application/vnd.openxmlformats-officedocument.spreadsheetml.worksheet+xml" PartName="/xl/worksheets/sheet36092.xml"/>
  <Override ContentType="application/vnd.openxmlformats-officedocument.spreadsheetml.worksheet+xml" PartName="/xl/worksheets/sheet36093.xml"/>
  <Override ContentType="application/vnd.openxmlformats-officedocument.spreadsheetml.worksheet+xml" PartName="/xl/worksheets/sheet36094.xml"/>
  <Override ContentType="application/vnd.openxmlformats-officedocument.spreadsheetml.worksheet+xml" PartName="/xl/worksheets/sheet36095.xml"/>
  <Override ContentType="application/vnd.openxmlformats-officedocument.spreadsheetml.worksheet+xml" PartName="/xl/worksheets/sheet36096.xml"/>
  <Override ContentType="application/vnd.openxmlformats-officedocument.spreadsheetml.worksheet+xml" PartName="/xl/worksheets/sheet36097.xml"/>
  <Override ContentType="application/vnd.openxmlformats-officedocument.spreadsheetml.worksheet+xml" PartName="/xl/worksheets/sheet36098.xml"/>
  <Override ContentType="application/vnd.openxmlformats-officedocument.spreadsheetml.worksheet+xml" PartName="/xl/worksheets/sheet36099.xml"/>
  <Override ContentType="application/vnd.openxmlformats-officedocument.spreadsheetml.worksheet+xml" PartName="/xl/worksheets/sheet36100.xml"/>
  <Override ContentType="application/vnd.openxmlformats-officedocument.spreadsheetml.worksheet+xml" PartName="/xl/worksheets/sheet36101.xml"/>
  <Override ContentType="application/vnd.openxmlformats-officedocument.spreadsheetml.worksheet+xml" PartName="/xl/worksheets/sheet36102.xml"/>
  <Override ContentType="application/vnd.openxmlformats-officedocument.spreadsheetml.worksheet+xml" PartName="/xl/worksheets/sheet36103.xml"/>
  <Override ContentType="application/vnd.openxmlformats-officedocument.spreadsheetml.worksheet+xml" PartName="/xl/worksheets/sheet36104.xml"/>
  <Override ContentType="application/vnd.openxmlformats-officedocument.spreadsheetml.worksheet+xml" PartName="/xl/worksheets/sheet36105.xml"/>
  <Override ContentType="application/vnd.openxmlformats-officedocument.spreadsheetml.worksheet+xml" PartName="/xl/worksheets/sheet36106.xml"/>
  <Override ContentType="application/vnd.openxmlformats-officedocument.spreadsheetml.worksheet+xml" PartName="/xl/worksheets/sheet36107.xml"/>
  <Override ContentType="application/vnd.openxmlformats-officedocument.spreadsheetml.worksheet+xml" PartName="/xl/worksheets/sheet36108.xml"/>
  <Override ContentType="application/vnd.openxmlformats-officedocument.spreadsheetml.worksheet+xml" PartName="/xl/worksheets/sheet36109.xml"/>
  <Override ContentType="application/vnd.openxmlformats-officedocument.spreadsheetml.worksheet+xml" PartName="/xl/worksheets/sheet36110.xml"/>
  <Override ContentType="application/vnd.openxmlformats-officedocument.spreadsheetml.worksheet+xml" PartName="/xl/worksheets/sheet36111.xml"/>
  <Override ContentType="application/vnd.openxmlformats-officedocument.spreadsheetml.worksheet+xml" PartName="/xl/worksheets/sheet36112.xml"/>
  <Override ContentType="application/vnd.openxmlformats-officedocument.spreadsheetml.worksheet+xml" PartName="/xl/worksheets/sheet36113.xml"/>
  <Override ContentType="application/vnd.openxmlformats-officedocument.spreadsheetml.worksheet+xml" PartName="/xl/worksheets/sheet36114.xml"/>
  <Override ContentType="application/vnd.openxmlformats-officedocument.spreadsheetml.worksheet+xml" PartName="/xl/worksheets/sheet36115.xml"/>
  <Override ContentType="application/vnd.openxmlformats-officedocument.spreadsheetml.worksheet+xml" PartName="/xl/worksheets/sheet36116.xml"/>
  <Override ContentType="application/vnd.openxmlformats-officedocument.spreadsheetml.worksheet+xml" PartName="/xl/worksheets/sheet36117.xml"/>
  <Override ContentType="application/vnd.openxmlformats-officedocument.spreadsheetml.worksheet+xml" PartName="/xl/worksheets/sheet36118.xml"/>
  <Override ContentType="application/vnd.openxmlformats-officedocument.spreadsheetml.worksheet+xml" PartName="/xl/worksheets/sheet36119.xml"/>
  <Override ContentType="application/vnd.openxmlformats-officedocument.spreadsheetml.worksheet+xml" PartName="/xl/worksheets/sheet36120.xml"/>
  <Override ContentType="application/vnd.openxmlformats-officedocument.spreadsheetml.worksheet+xml" PartName="/xl/worksheets/sheet36121.xml"/>
  <Override ContentType="application/vnd.openxmlformats-officedocument.spreadsheetml.worksheet+xml" PartName="/xl/worksheets/sheet36122.xml"/>
  <Override ContentType="application/vnd.openxmlformats-officedocument.spreadsheetml.worksheet+xml" PartName="/xl/worksheets/sheet36123.xml"/>
  <Override ContentType="application/vnd.openxmlformats-officedocument.spreadsheetml.worksheet+xml" PartName="/xl/worksheets/sheet36124.xml"/>
  <Override ContentType="application/vnd.openxmlformats-officedocument.spreadsheetml.worksheet+xml" PartName="/xl/worksheets/sheet36125.xml"/>
  <Override ContentType="application/vnd.openxmlformats-officedocument.spreadsheetml.worksheet+xml" PartName="/xl/worksheets/sheet36126.xml"/>
  <Override ContentType="application/vnd.openxmlformats-officedocument.spreadsheetml.worksheet+xml" PartName="/xl/worksheets/sheet36127.xml"/>
  <Override ContentType="application/vnd.openxmlformats-officedocument.spreadsheetml.worksheet+xml" PartName="/xl/worksheets/sheet36128.xml"/>
  <Override ContentType="application/vnd.openxmlformats-officedocument.spreadsheetml.worksheet+xml" PartName="/xl/worksheets/sheet36129.xml"/>
  <Override ContentType="application/vnd.openxmlformats-officedocument.spreadsheetml.worksheet+xml" PartName="/xl/worksheets/sheet36130.xml"/>
  <Override ContentType="application/vnd.openxmlformats-officedocument.spreadsheetml.worksheet+xml" PartName="/xl/worksheets/sheet36131.xml"/>
  <Override ContentType="application/vnd.openxmlformats-officedocument.spreadsheetml.worksheet+xml" PartName="/xl/worksheets/sheet36132.xml"/>
  <Override ContentType="application/vnd.openxmlformats-officedocument.spreadsheetml.worksheet+xml" PartName="/xl/worksheets/sheet36133.xml"/>
  <Override ContentType="application/vnd.openxmlformats-officedocument.spreadsheetml.worksheet+xml" PartName="/xl/worksheets/sheet36134.xml"/>
  <Override ContentType="application/vnd.openxmlformats-officedocument.spreadsheetml.worksheet+xml" PartName="/xl/worksheets/sheet36135.xml"/>
  <Override ContentType="application/vnd.openxmlformats-officedocument.spreadsheetml.worksheet+xml" PartName="/xl/worksheets/sheet36136.xml"/>
  <Override ContentType="application/vnd.openxmlformats-officedocument.spreadsheetml.worksheet+xml" PartName="/xl/worksheets/sheet36137.xml"/>
  <Override ContentType="application/vnd.openxmlformats-officedocument.spreadsheetml.worksheet+xml" PartName="/xl/worksheets/sheet36138.xml"/>
  <Override ContentType="application/vnd.openxmlformats-officedocument.spreadsheetml.worksheet+xml" PartName="/xl/worksheets/sheet36139.xml"/>
  <Override ContentType="application/vnd.openxmlformats-officedocument.spreadsheetml.worksheet+xml" PartName="/xl/worksheets/sheet36140.xml"/>
  <Override ContentType="application/vnd.openxmlformats-officedocument.spreadsheetml.worksheet+xml" PartName="/xl/worksheets/sheet36141.xml"/>
  <Override ContentType="application/vnd.openxmlformats-officedocument.spreadsheetml.worksheet+xml" PartName="/xl/worksheets/sheet36142.xml"/>
  <Override ContentType="application/vnd.openxmlformats-officedocument.spreadsheetml.worksheet+xml" PartName="/xl/worksheets/sheet36143.xml"/>
  <Override ContentType="application/vnd.openxmlformats-officedocument.spreadsheetml.worksheet+xml" PartName="/xl/worksheets/sheet36144.xml"/>
  <Override ContentType="application/vnd.openxmlformats-officedocument.spreadsheetml.worksheet+xml" PartName="/xl/worksheets/sheet36145.xml"/>
  <Override ContentType="application/vnd.openxmlformats-officedocument.spreadsheetml.worksheet+xml" PartName="/xl/worksheets/sheet36146.xml"/>
  <Override ContentType="application/vnd.openxmlformats-officedocument.spreadsheetml.worksheet+xml" PartName="/xl/worksheets/sheet36147.xml"/>
  <Override ContentType="application/vnd.openxmlformats-officedocument.spreadsheetml.worksheet+xml" PartName="/xl/worksheets/sheet36148.xml"/>
  <Override ContentType="application/vnd.openxmlformats-officedocument.spreadsheetml.worksheet+xml" PartName="/xl/worksheets/sheet36149.xml"/>
  <Override ContentType="application/vnd.openxmlformats-officedocument.spreadsheetml.worksheet+xml" PartName="/xl/worksheets/sheet36150.xml"/>
  <Override ContentType="application/vnd.openxmlformats-officedocument.spreadsheetml.worksheet+xml" PartName="/xl/worksheets/sheet36151.xml"/>
  <Override ContentType="application/vnd.openxmlformats-officedocument.spreadsheetml.worksheet+xml" PartName="/xl/worksheets/sheet36152.xml"/>
  <Override ContentType="application/vnd.openxmlformats-officedocument.spreadsheetml.worksheet+xml" PartName="/xl/worksheets/sheet36153.xml"/>
  <Override ContentType="application/vnd.openxmlformats-officedocument.spreadsheetml.worksheet+xml" PartName="/xl/worksheets/sheet36154.xml"/>
  <Override ContentType="application/vnd.openxmlformats-officedocument.spreadsheetml.worksheet+xml" PartName="/xl/worksheets/sheet36155.xml"/>
  <Override ContentType="application/vnd.openxmlformats-officedocument.spreadsheetml.worksheet+xml" PartName="/xl/worksheets/sheet36156.xml"/>
  <Override ContentType="application/vnd.openxmlformats-officedocument.spreadsheetml.worksheet+xml" PartName="/xl/worksheets/sheet36157.xml"/>
  <Override ContentType="application/vnd.openxmlformats-officedocument.spreadsheetml.worksheet+xml" PartName="/xl/worksheets/sheet36158.xml"/>
  <Override ContentType="application/vnd.openxmlformats-officedocument.spreadsheetml.worksheet+xml" PartName="/xl/worksheets/sheet36159.xml"/>
  <Override ContentType="application/vnd.openxmlformats-officedocument.spreadsheetml.worksheet+xml" PartName="/xl/worksheets/sheet36160.xml"/>
  <Override ContentType="application/vnd.openxmlformats-officedocument.spreadsheetml.worksheet+xml" PartName="/xl/worksheets/sheet36161.xml"/>
  <Override ContentType="application/vnd.openxmlformats-officedocument.spreadsheetml.worksheet+xml" PartName="/xl/worksheets/sheet36162.xml"/>
  <Override ContentType="application/vnd.openxmlformats-officedocument.spreadsheetml.worksheet+xml" PartName="/xl/worksheets/sheet36163.xml"/>
  <Override ContentType="application/vnd.openxmlformats-officedocument.spreadsheetml.worksheet+xml" PartName="/xl/worksheets/sheet36164.xml"/>
  <Override ContentType="application/vnd.openxmlformats-officedocument.spreadsheetml.worksheet+xml" PartName="/xl/worksheets/sheet36165.xml"/>
  <Override ContentType="application/vnd.openxmlformats-officedocument.spreadsheetml.worksheet+xml" PartName="/xl/worksheets/sheet36166.xml"/>
  <Override ContentType="application/vnd.openxmlformats-officedocument.spreadsheetml.worksheet+xml" PartName="/xl/worksheets/sheet36167.xml"/>
  <Override ContentType="application/vnd.openxmlformats-officedocument.spreadsheetml.worksheet+xml" PartName="/xl/worksheets/sheet36168.xml"/>
  <Override ContentType="application/vnd.openxmlformats-officedocument.spreadsheetml.worksheet+xml" PartName="/xl/worksheets/sheet36169.xml"/>
  <Override ContentType="application/vnd.openxmlformats-officedocument.spreadsheetml.worksheet+xml" PartName="/xl/worksheets/sheet36170.xml"/>
  <Override ContentType="application/vnd.openxmlformats-officedocument.spreadsheetml.worksheet+xml" PartName="/xl/worksheets/sheet36171.xml"/>
  <Override ContentType="application/vnd.openxmlformats-officedocument.spreadsheetml.worksheet+xml" PartName="/xl/worksheets/sheet36172.xml"/>
  <Override ContentType="application/vnd.openxmlformats-officedocument.spreadsheetml.worksheet+xml" PartName="/xl/worksheets/sheet36173.xml"/>
  <Override ContentType="application/vnd.openxmlformats-officedocument.spreadsheetml.worksheet+xml" PartName="/xl/worksheets/sheet36174.xml"/>
  <Override ContentType="application/vnd.openxmlformats-officedocument.spreadsheetml.worksheet+xml" PartName="/xl/worksheets/sheet36175.xml"/>
  <Override ContentType="application/vnd.openxmlformats-officedocument.spreadsheetml.worksheet+xml" PartName="/xl/worksheets/sheet36176.xml"/>
  <Override ContentType="application/vnd.openxmlformats-officedocument.spreadsheetml.worksheet+xml" PartName="/xl/worksheets/sheet36177.xml"/>
  <Override ContentType="application/vnd.openxmlformats-officedocument.spreadsheetml.worksheet+xml" PartName="/xl/worksheets/sheet36178.xml"/>
  <Override ContentType="application/vnd.openxmlformats-officedocument.spreadsheetml.worksheet+xml" PartName="/xl/worksheets/sheet36179.xml"/>
  <Override ContentType="application/vnd.openxmlformats-officedocument.spreadsheetml.worksheet+xml" PartName="/xl/worksheets/sheet36180.xml"/>
  <Override ContentType="application/vnd.openxmlformats-officedocument.spreadsheetml.worksheet+xml" PartName="/xl/worksheets/sheet36181.xml"/>
  <Override ContentType="application/vnd.openxmlformats-officedocument.spreadsheetml.worksheet+xml" PartName="/xl/worksheets/sheet36182.xml"/>
  <Override ContentType="application/vnd.openxmlformats-officedocument.spreadsheetml.worksheet+xml" PartName="/xl/worksheets/sheet36183.xml"/>
  <Override ContentType="application/vnd.openxmlformats-officedocument.spreadsheetml.worksheet+xml" PartName="/xl/worksheets/sheet36184.xml"/>
  <Override ContentType="application/vnd.openxmlformats-officedocument.spreadsheetml.worksheet+xml" PartName="/xl/worksheets/sheet36185.xml"/>
  <Override ContentType="application/vnd.openxmlformats-officedocument.spreadsheetml.worksheet+xml" PartName="/xl/worksheets/sheet36186.xml"/>
  <Override ContentType="application/vnd.openxmlformats-officedocument.spreadsheetml.worksheet+xml" PartName="/xl/worksheets/sheet36187.xml"/>
  <Override ContentType="application/vnd.openxmlformats-officedocument.spreadsheetml.worksheet+xml" PartName="/xl/worksheets/sheet36188.xml"/>
  <Override ContentType="application/vnd.openxmlformats-officedocument.spreadsheetml.worksheet+xml" PartName="/xl/worksheets/sheet36189.xml"/>
  <Override ContentType="application/vnd.openxmlformats-officedocument.spreadsheetml.worksheet+xml" PartName="/xl/worksheets/sheet36190.xml"/>
  <Override ContentType="application/vnd.openxmlformats-officedocument.spreadsheetml.worksheet+xml" PartName="/xl/worksheets/sheet36191.xml"/>
  <Override ContentType="application/vnd.openxmlformats-officedocument.spreadsheetml.worksheet+xml" PartName="/xl/worksheets/sheet36192.xml"/>
  <Override ContentType="application/vnd.openxmlformats-officedocument.spreadsheetml.worksheet+xml" PartName="/xl/worksheets/sheet36193.xml"/>
  <Override ContentType="application/vnd.openxmlformats-officedocument.spreadsheetml.worksheet+xml" PartName="/xl/worksheets/sheet36194.xml"/>
  <Override ContentType="application/vnd.openxmlformats-officedocument.spreadsheetml.worksheet+xml" PartName="/xl/worksheets/sheet36195.xml"/>
  <Override ContentType="application/vnd.openxmlformats-officedocument.spreadsheetml.worksheet+xml" PartName="/xl/worksheets/sheet36196.xml"/>
  <Override ContentType="application/vnd.openxmlformats-officedocument.spreadsheetml.worksheet+xml" PartName="/xl/worksheets/sheet36197.xml"/>
  <Override ContentType="application/vnd.openxmlformats-officedocument.spreadsheetml.worksheet+xml" PartName="/xl/worksheets/sheet36198.xml"/>
  <Override ContentType="application/vnd.openxmlformats-officedocument.spreadsheetml.worksheet+xml" PartName="/xl/worksheets/sheet36199.xml"/>
  <Override ContentType="application/vnd.openxmlformats-officedocument.spreadsheetml.worksheet+xml" PartName="/xl/worksheets/sheet36200.xml"/>
  <Override ContentType="application/vnd.openxmlformats-officedocument.spreadsheetml.worksheet+xml" PartName="/xl/worksheets/sheet36201.xml"/>
  <Override ContentType="application/vnd.openxmlformats-officedocument.spreadsheetml.worksheet+xml" PartName="/xl/worksheets/sheet36202.xml"/>
  <Override ContentType="application/vnd.openxmlformats-officedocument.spreadsheetml.worksheet+xml" PartName="/xl/worksheets/sheet36203.xml"/>
  <Override ContentType="application/vnd.openxmlformats-officedocument.spreadsheetml.worksheet+xml" PartName="/xl/worksheets/sheet36204.xml"/>
  <Override ContentType="application/vnd.openxmlformats-officedocument.spreadsheetml.worksheet+xml" PartName="/xl/worksheets/sheet36205.xml"/>
  <Override ContentType="application/vnd.openxmlformats-officedocument.spreadsheetml.worksheet+xml" PartName="/xl/worksheets/sheet36206.xml"/>
  <Override ContentType="application/vnd.openxmlformats-officedocument.spreadsheetml.worksheet+xml" PartName="/xl/worksheets/sheet36207.xml"/>
  <Override ContentType="application/vnd.openxmlformats-officedocument.spreadsheetml.worksheet+xml" PartName="/xl/worksheets/sheet36208.xml"/>
  <Override ContentType="application/vnd.openxmlformats-officedocument.spreadsheetml.worksheet+xml" PartName="/xl/worksheets/sheet36209.xml"/>
  <Override ContentType="application/vnd.openxmlformats-officedocument.spreadsheetml.worksheet+xml" PartName="/xl/worksheets/sheet36210.xml"/>
  <Override ContentType="application/vnd.openxmlformats-officedocument.spreadsheetml.worksheet+xml" PartName="/xl/worksheets/sheet36211.xml"/>
  <Override ContentType="application/vnd.openxmlformats-officedocument.spreadsheetml.worksheet+xml" PartName="/xl/worksheets/sheet36212.xml"/>
  <Override ContentType="application/vnd.openxmlformats-officedocument.spreadsheetml.worksheet+xml" PartName="/xl/worksheets/sheet36213.xml"/>
  <Override ContentType="application/vnd.openxmlformats-officedocument.spreadsheetml.worksheet+xml" PartName="/xl/worksheets/sheet36214.xml"/>
  <Override ContentType="application/vnd.openxmlformats-officedocument.spreadsheetml.worksheet+xml" PartName="/xl/worksheets/sheet36215.xml"/>
  <Override ContentType="application/vnd.openxmlformats-officedocument.spreadsheetml.worksheet+xml" PartName="/xl/worksheets/sheet36216.xml"/>
  <Override ContentType="application/vnd.openxmlformats-officedocument.spreadsheetml.worksheet+xml" PartName="/xl/worksheets/sheet36217.xml"/>
  <Override ContentType="application/vnd.openxmlformats-officedocument.spreadsheetml.worksheet+xml" PartName="/xl/worksheets/sheet36218.xml"/>
  <Override ContentType="application/vnd.openxmlformats-officedocument.spreadsheetml.worksheet+xml" PartName="/xl/worksheets/sheet36219.xml"/>
  <Override ContentType="application/vnd.openxmlformats-officedocument.spreadsheetml.worksheet+xml" PartName="/xl/worksheets/sheet36220.xml"/>
  <Override ContentType="application/vnd.openxmlformats-officedocument.spreadsheetml.worksheet+xml" PartName="/xl/worksheets/sheet36221.xml"/>
  <Override ContentType="application/vnd.openxmlformats-officedocument.spreadsheetml.worksheet+xml" PartName="/xl/worksheets/sheet36222.xml"/>
  <Override ContentType="application/vnd.openxmlformats-officedocument.spreadsheetml.worksheet+xml" PartName="/xl/worksheets/sheet36223.xml"/>
  <Override ContentType="application/vnd.openxmlformats-officedocument.spreadsheetml.worksheet+xml" PartName="/xl/worksheets/sheet36224.xml"/>
  <Override ContentType="application/vnd.openxmlformats-officedocument.spreadsheetml.worksheet+xml" PartName="/xl/worksheets/sheet36225.xml"/>
  <Override ContentType="application/vnd.openxmlformats-officedocument.spreadsheetml.worksheet+xml" PartName="/xl/worksheets/sheet36226.xml"/>
  <Override ContentType="application/vnd.openxmlformats-officedocument.spreadsheetml.worksheet+xml" PartName="/xl/worksheets/sheet36227.xml"/>
  <Override ContentType="application/vnd.openxmlformats-officedocument.spreadsheetml.worksheet+xml" PartName="/xl/worksheets/sheet36228.xml"/>
  <Override ContentType="application/vnd.openxmlformats-officedocument.spreadsheetml.worksheet+xml" PartName="/xl/worksheets/sheet36229.xml"/>
  <Override ContentType="application/vnd.openxmlformats-officedocument.spreadsheetml.worksheet+xml" PartName="/xl/worksheets/sheet36230.xml"/>
  <Override ContentType="application/vnd.openxmlformats-officedocument.spreadsheetml.worksheet+xml" PartName="/xl/worksheets/sheet36231.xml"/>
  <Override ContentType="application/vnd.openxmlformats-officedocument.spreadsheetml.worksheet+xml" PartName="/xl/worksheets/sheet36232.xml"/>
  <Override ContentType="application/vnd.openxmlformats-officedocument.spreadsheetml.worksheet+xml" PartName="/xl/worksheets/sheet36233.xml"/>
  <Override ContentType="application/vnd.openxmlformats-officedocument.spreadsheetml.worksheet+xml" PartName="/xl/worksheets/sheet36234.xml"/>
  <Override ContentType="application/vnd.openxmlformats-officedocument.spreadsheetml.worksheet+xml" PartName="/xl/worksheets/sheet36235.xml"/>
  <Override ContentType="application/vnd.openxmlformats-officedocument.spreadsheetml.worksheet+xml" PartName="/xl/worksheets/sheet36236.xml"/>
  <Override ContentType="application/vnd.openxmlformats-officedocument.spreadsheetml.worksheet+xml" PartName="/xl/worksheets/sheet36237.xml"/>
  <Override ContentType="application/vnd.openxmlformats-officedocument.spreadsheetml.worksheet+xml" PartName="/xl/worksheets/sheet36238.xml"/>
  <Override ContentType="application/vnd.openxmlformats-officedocument.spreadsheetml.worksheet+xml" PartName="/xl/worksheets/sheet36239.xml"/>
  <Override ContentType="application/vnd.openxmlformats-officedocument.spreadsheetml.worksheet+xml" PartName="/xl/worksheets/sheet36240.xml"/>
  <Override ContentType="application/vnd.openxmlformats-officedocument.spreadsheetml.worksheet+xml" PartName="/xl/worksheets/sheet36241.xml"/>
  <Override ContentType="application/vnd.openxmlformats-officedocument.spreadsheetml.worksheet+xml" PartName="/xl/worksheets/sheet36242.xml"/>
  <Override ContentType="application/vnd.openxmlformats-officedocument.spreadsheetml.worksheet+xml" PartName="/xl/worksheets/sheet36243.xml"/>
  <Override ContentType="application/vnd.openxmlformats-officedocument.spreadsheetml.worksheet+xml" PartName="/xl/worksheets/sheet36244.xml"/>
  <Override ContentType="application/vnd.openxmlformats-officedocument.spreadsheetml.worksheet+xml" PartName="/xl/worksheets/sheet36245.xml"/>
  <Override ContentType="application/vnd.openxmlformats-officedocument.spreadsheetml.worksheet+xml" PartName="/xl/worksheets/sheet36246.xml"/>
  <Override ContentType="application/vnd.openxmlformats-officedocument.spreadsheetml.worksheet+xml" PartName="/xl/worksheets/sheet36247.xml"/>
  <Override ContentType="application/vnd.openxmlformats-officedocument.spreadsheetml.worksheet+xml" PartName="/xl/worksheets/sheet36248.xml"/>
  <Override ContentType="application/vnd.openxmlformats-officedocument.spreadsheetml.worksheet+xml" PartName="/xl/worksheets/sheet36249.xml"/>
  <Override ContentType="application/vnd.openxmlformats-officedocument.spreadsheetml.worksheet+xml" PartName="/xl/worksheets/sheet36250.xml"/>
  <Override ContentType="application/vnd.openxmlformats-officedocument.spreadsheetml.worksheet+xml" PartName="/xl/worksheets/sheet36251.xml"/>
  <Override ContentType="application/vnd.openxmlformats-officedocument.spreadsheetml.worksheet+xml" PartName="/xl/worksheets/sheet36252.xml"/>
  <Override ContentType="application/vnd.openxmlformats-officedocument.spreadsheetml.worksheet+xml" PartName="/xl/worksheets/sheet36253.xml"/>
  <Override ContentType="application/vnd.openxmlformats-officedocument.spreadsheetml.worksheet+xml" PartName="/xl/worksheets/sheet36254.xml"/>
  <Override ContentType="application/vnd.openxmlformats-officedocument.spreadsheetml.worksheet+xml" PartName="/xl/worksheets/sheet36255.xml"/>
  <Override ContentType="application/vnd.openxmlformats-officedocument.spreadsheetml.worksheet+xml" PartName="/xl/worksheets/sheet36256.xml"/>
  <Override ContentType="application/vnd.openxmlformats-officedocument.spreadsheetml.worksheet+xml" PartName="/xl/worksheets/sheet36257.xml"/>
  <Override ContentType="application/vnd.openxmlformats-officedocument.spreadsheetml.worksheet+xml" PartName="/xl/worksheets/sheet36258.xml"/>
  <Override ContentType="application/vnd.openxmlformats-officedocument.spreadsheetml.worksheet+xml" PartName="/xl/worksheets/sheet36259.xml"/>
  <Override ContentType="application/vnd.openxmlformats-officedocument.spreadsheetml.worksheet+xml" PartName="/xl/worksheets/sheet36260.xml"/>
  <Override ContentType="application/vnd.openxmlformats-officedocument.spreadsheetml.worksheet+xml" PartName="/xl/worksheets/sheet36261.xml"/>
  <Override ContentType="application/vnd.openxmlformats-officedocument.spreadsheetml.worksheet+xml" PartName="/xl/worksheets/sheet36262.xml"/>
  <Override ContentType="application/vnd.openxmlformats-officedocument.spreadsheetml.worksheet+xml" PartName="/xl/worksheets/sheet36263.xml"/>
  <Override ContentType="application/vnd.openxmlformats-officedocument.spreadsheetml.worksheet+xml" PartName="/xl/worksheets/sheet36264.xml"/>
  <Override ContentType="application/vnd.openxmlformats-officedocument.spreadsheetml.worksheet+xml" PartName="/xl/worksheets/sheet36265.xml"/>
  <Override ContentType="application/vnd.openxmlformats-officedocument.spreadsheetml.worksheet+xml" PartName="/xl/worksheets/sheet36266.xml"/>
  <Override ContentType="application/vnd.openxmlformats-officedocument.spreadsheetml.worksheet+xml" PartName="/xl/worksheets/sheet36267.xml"/>
  <Override ContentType="application/vnd.openxmlformats-officedocument.spreadsheetml.worksheet+xml" PartName="/xl/worksheets/sheet36268.xml"/>
  <Override ContentType="application/vnd.openxmlformats-officedocument.spreadsheetml.worksheet+xml" PartName="/xl/worksheets/sheet36269.xml"/>
  <Override ContentType="application/vnd.openxmlformats-officedocument.spreadsheetml.worksheet+xml" PartName="/xl/worksheets/sheet36270.xml"/>
  <Override ContentType="application/vnd.openxmlformats-officedocument.spreadsheetml.worksheet+xml" PartName="/xl/worksheets/sheet36271.xml"/>
  <Override ContentType="application/vnd.openxmlformats-officedocument.spreadsheetml.worksheet+xml" PartName="/xl/worksheets/sheet36272.xml"/>
  <Override ContentType="application/vnd.openxmlformats-officedocument.spreadsheetml.worksheet+xml" PartName="/xl/worksheets/sheet36273.xml"/>
  <Override ContentType="application/vnd.openxmlformats-officedocument.spreadsheetml.worksheet+xml" PartName="/xl/worksheets/sheet36274.xml"/>
  <Override ContentType="application/vnd.openxmlformats-officedocument.spreadsheetml.worksheet+xml" PartName="/xl/worksheets/sheet36275.xml"/>
  <Override ContentType="application/vnd.openxmlformats-officedocument.spreadsheetml.worksheet+xml" PartName="/xl/worksheets/sheet36276.xml"/>
  <Override ContentType="application/vnd.openxmlformats-officedocument.spreadsheetml.worksheet+xml" PartName="/xl/worksheets/sheet36277.xml"/>
  <Override ContentType="application/vnd.openxmlformats-officedocument.spreadsheetml.worksheet+xml" PartName="/xl/worksheets/sheet36278.xml"/>
  <Override ContentType="application/vnd.openxmlformats-officedocument.spreadsheetml.worksheet+xml" PartName="/xl/worksheets/sheet36279.xml"/>
  <Override ContentType="application/vnd.openxmlformats-officedocument.spreadsheetml.worksheet+xml" PartName="/xl/worksheets/sheet36280.xml"/>
  <Override ContentType="application/vnd.openxmlformats-officedocument.spreadsheetml.worksheet+xml" PartName="/xl/worksheets/sheet36281.xml"/>
  <Override ContentType="application/vnd.openxmlformats-officedocument.spreadsheetml.worksheet+xml" PartName="/xl/worksheets/sheet36282.xml"/>
  <Override ContentType="application/vnd.openxmlformats-officedocument.spreadsheetml.worksheet+xml" PartName="/xl/worksheets/sheet36283.xml"/>
  <Override ContentType="application/vnd.openxmlformats-officedocument.spreadsheetml.worksheet+xml" PartName="/xl/worksheets/sheet36284.xml"/>
  <Override ContentType="application/vnd.openxmlformats-officedocument.spreadsheetml.worksheet+xml" PartName="/xl/worksheets/sheet36285.xml"/>
  <Override ContentType="application/vnd.openxmlformats-officedocument.spreadsheetml.worksheet+xml" PartName="/xl/worksheets/sheet36286.xml"/>
  <Override ContentType="application/vnd.openxmlformats-officedocument.spreadsheetml.worksheet+xml" PartName="/xl/worksheets/sheet36287.xml"/>
  <Override ContentType="application/vnd.openxmlformats-officedocument.spreadsheetml.worksheet+xml" PartName="/xl/worksheets/sheet36288.xml"/>
  <Override ContentType="application/vnd.openxmlformats-officedocument.spreadsheetml.worksheet+xml" PartName="/xl/worksheets/sheet36289.xml"/>
  <Override ContentType="application/vnd.openxmlformats-officedocument.spreadsheetml.worksheet+xml" PartName="/xl/worksheets/sheet36290.xml"/>
  <Override ContentType="application/vnd.openxmlformats-officedocument.spreadsheetml.worksheet+xml" PartName="/xl/worksheets/sheet36291.xml"/>
  <Override ContentType="application/vnd.openxmlformats-officedocument.spreadsheetml.worksheet+xml" PartName="/xl/worksheets/sheet36292.xml"/>
  <Override ContentType="application/vnd.openxmlformats-officedocument.spreadsheetml.worksheet+xml" PartName="/xl/worksheets/sheet36293.xml"/>
  <Override ContentType="application/vnd.openxmlformats-officedocument.spreadsheetml.worksheet+xml" PartName="/xl/worksheets/sheet36294.xml"/>
  <Override ContentType="application/vnd.openxmlformats-officedocument.spreadsheetml.worksheet+xml" PartName="/xl/worksheets/sheet36295.xml"/>
  <Override ContentType="application/vnd.openxmlformats-officedocument.spreadsheetml.worksheet+xml" PartName="/xl/worksheets/sheet36296.xml"/>
  <Override ContentType="application/vnd.openxmlformats-officedocument.spreadsheetml.worksheet+xml" PartName="/xl/worksheets/sheet36297.xml"/>
  <Override ContentType="application/vnd.openxmlformats-officedocument.spreadsheetml.worksheet+xml" PartName="/xl/worksheets/sheet36298.xml"/>
  <Override ContentType="application/vnd.openxmlformats-officedocument.spreadsheetml.worksheet+xml" PartName="/xl/worksheets/sheet36299.xml"/>
  <Override ContentType="application/vnd.openxmlformats-officedocument.spreadsheetml.worksheet+xml" PartName="/xl/worksheets/sheet36300.xml"/>
  <Override ContentType="application/vnd.openxmlformats-officedocument.spreadsheetml.worksheet+xml" PartName="/xl/worksheets/sheet36301.xml"/>
  <Override ContentType="application/vnd.openxmlformats-officedocument.spreadsheetml.worksheet+xml" PartName="/xl/worksheets/sheet36302.xml"/>
  <Override ContentType="application/vnd.openxmlformats-officedocument.spreadsheetml.worksheet+xml" PartName="/xl/worksheets/sheet36303.xml"/>
  <Override ContentType="application/vnd.openxmlformats-officedocument.spreadsheetml.worksheet+xml" PartName="/xl/worksheets/sheet36304.xml"/>
  <Override ContentType="application/vnd.openxmlformats-officedocument.spreadsheetml.worksheet+xml" PartName="/xl/worksheets/sheet36305.xml"/>
  <Override ContentType="application/vnd.openxmlformats-officedocument.spreadsheetml.worksheet+xml" PartName="/xl/worksheets/sheet36306.xml"/>
  <Override ContentType="application/vnd.openxmlformats-officedocument.spreadsheetml.worksheet+xml" PartName="/xl/worksheets/sheet36307.xml"/>
  <Override ContentType="application/vnd.openxmlformats-officedocument.spreadsheetml.worksheet+xml" PartName="/xl/worksheets/sheet36308.xml"/>
  <Override ContentType="application/vnd.openxmlformats-officedocument.spreadsheetml.worksheet+xml" PartName="/xl/worksheets/sheet36309.xml"/>
  <Override ContentType="application/vnd.openxmlformats-officedocument.spreadsheetml.worksheet+xml" PartName="/xl/worksheets/sheet36310.xml"/>
  <Override ContentType="application/vnd.openxmlformats-officedocument.spreadsheetml.worksheet+xml" PartName="/xl/worksheets/sheet36311.xml"/>
  <Override ContentType="application/vnd.openxmlformats-officedocument.spreadsheetml.worksheet+xml" PartName="/xl/worksheets/sheet36312.xml"/>
  <Override ContentType="application/vnd.openxmlformats-officedocument.spreadsheetml.worksheet+xml" PartName="/xl/worksheets/sheet36313.xml"/>
  <Override ContentType="application/vnd.openxmlformats-officedocument.spreadsheetml.worksheet+xml" PartName="/xl/worksheets/sheet36314.xml"/>
  <Override ContentType="application/vnd.openxmlformats-officedocument.spreadsheetml.worksheet+xml" PartName="/xl/worksheets/sheet36315.xml"/>
  <Override ContentType="application/vnd.openxmlformats-officedocument.spreadsheetml.worksheet+xml" PartName="/xl/worksheets/sheet36316.xml"/>
  <Override ContentType="application/vnd.openxmlformats-officedocument.spreadsheetml.worksheet+xml" PartName="/xl/worksheets/sheet36317.xml"/>
  <Override ContentType="application/vnd.openxmlformats-officedocument.spreadsheetml.worksheet+xml" PartName="/xl/worksheets/sheet36318.xml"/>
  <Override ContentType="application/vnd.openxmlformats-officedocument.spreadsheetml.worksheet+xml" PartName="/xl/worksheets/sheet36319.xml"/>
  <Override ContentType="application/vnd.openxmlformats-officedocument.spreadsheetml.worksheet+xml" PartName="/xl/worksheets/sheet36320.xml"/>
  <Override ContentType="application/vnd.openxmlformats-officedocument.spreadsheetml.worksheet+xml" PartName="/xl/worksheets/sheet36321.xml"/>
  <Override ContentType="application/vnd.openxmlformats-officedocument.spreadsheetml.worksheet+xml" PartName="/xl/worksheets/sheet36322.xml"/>
  <Override ContentType="application/vnd.openxmlformats-officedocument.spreadsheetml.worksheet+xml" PartName="/xl/worksheets/sheet36323.xml"/>
  <Override ContentType="application/vnd.openxmlformats-officedocument.spreadsheetml.worksheet+xml" PartName="/xl/worksheets/sheet36324.xml"/>
  <Override ContentType="application/vnd.openxmlformats-officedocument.spreadsheetml.worksheet+xml" PartName="/xl/worksheets/sheet36325.xml"/>
  <Override ContentType="application/vnd.openxmlformats-officedocument.spreadsheetml.worksheet+xml" PartName="/xl/worksheets/sheet36326.xml"/>
  <Override ContentType="application/vnd.openxmlformats-officedocument.spreadsheetml.worksheet+xml" PartName="/xl/worksheets/sheet36327.xml"/>
  <Override ContentType="application/vnd.openxmlformats-officedocument.spreadsheetml.worksheet+xml" PartName="/xl/worksheets/sheet36328.xml"/>
  <Override ContentType="application/vnd.openxmlformats-officedocument.spreadsheetml.worksheet+xml" PartName="/xl/worksheets/sheet36329.xml"/>
  <Override ContentType="application/vnd.openxmlformats-officedocument.spreadsheetml.worksheet+xml" PartName="/xl/worksheets/sheet36330.xml"/>
  <Override ContentType="application/vnd.openxmlformats-officedocument.spreadsheetml.worksheet+xml" PartName="/xl/worksheets/sheet36331.xml"/>
  <Override ContentType="application/vnd.openxmlformats-officedocument.spreadsheetml.worksheet+xml" PartName="/xl/worksheets/sheet36332.xml"/>
  <Override ContentType="application/vnd.openxmlformats-officedocument.spreadsheetml.worksheet+xml" PartName="/xl/worksheets/sheet36333.xml"/>
  <Override ContentType="application/vnd.openxmlformats-officedocument.spreadsheetml.worksheet+xml" PartName="/xl/worksheets/sheet36334.xml"/>
  <Override ContentType="application/vnd.openxmlformats-officedocument.spreadsheetml.worksheet+xml" PartName="/xl/worksheets/sheet36335.xml"/>
  <Override ContentType="application/vnd.openxmlformats-officedocument.spreadsheetml.worksheet+xml" PartName="/xl/worksheets/sheet36336.xml"/>
  <Override ContentType="application/vnd.openxmlformats-officedocument.spreadsheetml.worksheet+xml" PartName="/xl/worksheets/sheet36337.xml"/>
  <Override ContentType="application/vnd.openxmlformats-officedocument.spreadsheetml.worksheet+xml" PartName="/xl/worksheets/sheet36338.xml"/>
  <Override ContentType="application/vnd.openxmlformats-officedocument.spreadsheetml.worksheet+xml" PartName="/xl/worksheets/sheet36339.xml"/>
  <Override ContentType="application/vnd.openxmlformats-officedocument.spreadsheetml.worksheet+xml" PartName="/xl/worksheets/sheet36340.xml"/>
  <Override ContentType="application/vnd.openxmlformats-officedocument.spreadsheetml.worksheet+xml" PartName="/xl/worksheets/sheet36341.xml"/>
  <Override ContentType="application/vnd.openxmlformats-officedocument.spreadsheetml.worksheet+xml" PartName="/xl/worksheets/sheet36342.xml"/>
  <Override ContentType="application/vnd.openxmlformats-officedocument.spreadsheetml.worksheet+xml" PartName="/xl/worksheets/sheet36343.xml"/>
  <Override ContentType="application/vnd.openxmlformats-officedocument.spreadsheetml.worksheet+xml" PartName="/xl/worksheets/sheet36344.xml"/>
  <Override ContentType="application/vnd.openxmlformats-officedocument.spreadsheetml.worksheet+xml" PartName="/xl/worksheets/sheet36345.xml"/>
  <Override ContentType="application/vnd.openxmlformats-officedocument.spreadsheetml.worksheet+xml" PartName="/xl/worksheets/sheet36346.xml"/>
  <Override ContentType="application/vnd.openxmlformats-officedocument.spreadsheetml.worksheet+xml" PartName="/xl/worksheets/sheet36347.xml"/>
  <Override ContentType="application/vnd.openxmlformats-officedocument.spreadsheetml.worksheet+xml" PartName="/xl/worksheets/sheet36348.xml"/>
  <Override ContentType="application/vnd.openxmlformats-officedocument.spreadsheetml.worksheet+xml" PartName="/xl/worksheets/sheet36349.xml"/>
  <Override ContentType="application/vnd.openxmlformats-officedocument.spreadsheetml.worksheet+xml" PartName="/xl/worksheets/sheet36350.xml"/>
  <Override ContentType="application/vnd.openxmlformats-officedocument.spreadsheetml.worksheet+xml" PartName="/xl/worksheets/sheet36351.xml"/>
  <Override ContentType="application/vnd.openxmlformats-officedocument.spreadsheetml.worksheet+xml" PartName="/xl/worksheets/sheet36352.xml"/>
  <Override ContentType="application/vnd.openxmlformats-officedocument.spreadsheetml.worksheet+xml" PartName="/xl/worksheets/sheet36353.xml"/>
  <Override ContentType="application/vnd.openxmlformats-officedocument.spreadsheetml.worksheet+xml" PartName="/xl/worksheets/sheet36354.xml"/>
  <Override ContentType="application/vnd.openxmlformats-officedocument.spreadsheetml.worksheet+xml" PartName="/xl/worksheets/sheet36355.xml"/>
  <Override ContentType="application/vnd.openxmlformats-officedocument.spreadsheetml.worksheet+xml" PartName="/xl/worksheets/sheet36356.xml"/>
  <Override ContentType="application/vnd.openxmlformats-officedocument.spreadsheetml.worksheet+xml" PartName="/xl/worksheets/sheet36357.xml"/>
  <Override ContentType="application/vnd.openxmlformats-officedocument.spreadsheetml.worksheet+xml" PartName="/xl/worksheets/sheet36358.xml"/>
  <Override ContentType="application/vnd.openxmlformats-officedocument.spreadsheetml.worksheet+xml" PartName="/xl/worksheets/sheet36359.xml"/>
  <Override ContentType="application/vnd.openxmlformats-officedocument.spreadsheetml.worksheet+xml" PartName="/xl/worksheets/sheet36360.xml"/>
  <Override ContentType="application/vnd.openxmlformats-officedocument.spreadsheetml.worksheet+xml" PartName="/xl/worksheets/sheet36361.xml"/>
  <Override ContentType="application/vnd.openxmlformats-officedocument.spreadsheetml.worksheet+xml" PartName="/xl/worksheets/sheet36362.xml"/>
  <Override ContentType="application/vnd.openxmlformats-officedocument.spreadsheetml.worksheet+xml" PartName="/xl/worksheets/sheet36363.xml"/>
  <Override ContentType="application/vnd.openxmlformats-officedocument.spreadsheetml.worksheet+xml" PartName="/xl/worksheets/sheet36364.xml"/>
  <Override ContentType="application/vnd.openxmlformats-officedocument.spreadsheetml.worksheet+xml" PartName="/xl/worksheets/sheet36365.xml"/>
  <Override ContentType="application/vnd.openxmlformats-officedocument.spreadsheetml.worksheet+xml" PartName="/xl/worksheets/sheet36366.xml"/>
  <Override ContentType="application/vnd.openxmlformats-officedocument.spreadsheetml.worksheet+xml" PartName="/xl/worksheets/sheet36367.xml"/>
  <Override ContentType="application/vnd.openxmlformats-officedocument.spreadsheetml.worksheet+xml" PartName="/xl/worksheets/sheet36368.xml"/>
  <Override ContentType="application/vnd.openxmlformats-officedocument.spreadsheetml.worksheet+xml" PartName="/xl/worksheets/sheet36369.xml"/>
  <Override ContentType="application/vnd.openxmlformats-officedocument.spreadsheetml.worksheet+xml" PartName="/xl/worksheets/sheet36370.xml"/>
  <Override ContentType="application/vnd.openxmlformats-officedocument.spreadsheetml.worksheet+xml" PartName="/xl/worksheets/sheet36371.xml"/>
  <Override ContentType="application/vnd.openxmlformats-officedocument.spreadsheetml.worksheet+xml" PartName="/xl/worksheets/sheet36372.xml"/>
  <Override ContentType="application/vnd.openxmlformats-officedocument.spreadsheetml.worksheet+xml" PartName="/xl/worksheets/sheet36373.xml"/>
  <Override ContentType="application/vnd.openxmlformats-officedocument.spreadsheetml.worksheet+xml" PartName="/xl/worksheets/sheet36374.xml"/>
  <Override ContentType="application/vnd.openxmlformats-officedocument.spreadsheetml.worksheet+xml" PartName="/xl/worksheets/sheet36375.xml"/>
  <Override ContentType="application/vnd.openxmlformats-officedocument.spreadsheetml.worksheet+xml" PartName="/xl/worksheets/sheet36376.xml"/>
  <Override ContentType="application/vnd.openxmlformats-officedocument.spreadsheetml.worksheet+xml" PartName="/xl/worksheets/sheet36377.xml"/>
  <Override ContentType="application/vnd.openxmlformats-officedocument.spreadsheetml.worksheet+xml" PartName="/xl/worksheets/sheet36378.xml"/>
  <Override ContentType="application/vnd.openxmlformats-officedocument.spreadsheetml.worksheet+xml" PartName="/xl/worksheets/sheet36379.xml"/>
  <Override ContentType="application/vnd.openxmlformats-officedocument.spreadsheetml.worksheet+xml" PartName="/xl/worksheets/sheet36380.xml"/>
  <Override ContentType="application/vnd.openxmlformats-officedocument.spreadsheetml.worksheet+xml" PartName="/xl/worksheets/sheet36381.xml"/>
  <Override ContentType="application/vnd.openxmlformats-officedocument.spreadsheetml.worksheet+xml" PartName="/xl/worksheets/sheet36382.xml"/>
  <Override ContentType="application/vnd.openxmlformats-officedocument.spreadsheetml.worksheet+xml" PartName="/xl/worksheets/sheet36383.xml"/>
  <Override ContentType="application/vnd.openxmlformats-officedocument.spreadsheetml.worksheet+xml" PartName="/xl/worksheets/sheet36384.xml"/>
  <Override ContentType="application/vnd.openxmlformats-officedocument.spreadsheetml.worksheet+xml" PartName="/xl/worksheets/sheet36385.xml"/>
  <Override ContentType="application/vnd.openxmlformats-officedocument.spreadsheetml.worksheet+xml" PartName="/xl/worksheets/sheet36386.xml"/>
  <Override ContentType="application/vnd.openxmlformats-officedocument.spreadsheetml.worksheet+xml" PartName="/xl/worksheets/sheet36387.xml"/>
  <Override ContentType="application/vnd.openxmlformats-officedocument.spreadsheetml.worksheet+xml" PartName="/xl/worksheets/sheet36388.xml"/>
  <Override ContentType="application/vnd.openxmlformats-officedocument.spreadsheetml.worksheet+xml" PartName="/xl/worksheets/sheet36389.xml"/>
  <Override ContentType="application/vnd.openxmlformats-officedocument.spreadsheetml.worksheet+xml" PartName="/xl/worksheets/sheet36390.xml"/>
  <Override ContentType="application/vnd.openxmlformats-officedocument.spreadsheetml.worksheet+xml" PartName="/xl/worksheets/sheet36391.xml"/>
  <Override ContentType="application/vnd.openxmlformats-officedocument.spreadsheetml.worksheet+xml" PartName="/xl/worksheets/sheet36392.xml"/>
  <Override ContentType="application/vnd.openxmlformats-officedocument.spreadsheetml.worksheet+xml" PartName="/xl/worksheets/sheet36393.xml"/>
  <Override ContentType="application/vnd.openxmlformats-officedocument.spreadsheetml.worksheet+xml" PartName="/xl/worksheets/sheet36394.xml"/>
  <Override ContentType="application/vnd.openxmlformats-officedocument.spreadsheetml.worksheet+xml" PartName="/xl/worksheets/sheet36395.xml"/>
  <Override ContentType="application/vnd.openxmlformats-officedocument.spreadsheetml.worksheet+xml" PartName="/xl/worksheets/sheet36396.xml"/>
  <Override ContentType="application/vnd.openxmlformats-officedocument.spreadsheetml.worksheet+xml" PartName="/xl/worksheets/sheet36397.xml"/>
  <Override ContentType="application/vnd.openxmlformats-officedocument.spreadsheetml.worksheet+xml" PartName="/xl/worksheets/sheet36398.xml"/>
  <Override ContentType="application/vnd.openxmlformats-officedocument.spreadsheetml.worksheet+xml" PartName="/xl/worksheets/sheet36399.xml"/>
  <Override ContentType="application/vnd.openxmlformats-officedocument.spreadsheetml.worksheet+xml" PartName="/xl/worksheets/sheet36400.xml"/>
  <Override ContentType="application/vnd.openxmlformats-officedocument.spreadsheetml.worksheet+xml" PartName="/xl/worksheets/sheet36401.xml"/>
  <Override ContentType="application/vnd.openxmlformats-officedocument.spreadsheetml.worksheet+xml" PartName="/xl/worksheets/sheet36402.xml"/>
  <Override ContentType="application/vnd.openxmlformats-officedocument.spreadsheetml.worksheet+xml" PartName="/xl/worksheets/sheet36403.xml"/>
  <Override ContentType="application/vnd.openxmlformats-officedocument.spreadsheetml.worksheet+xml" PartName="/xl/worksheets/sheet36404.xml"/>
  <Override ContentType="application/vnd.openxmlformats-officedocument.spreadsheetml.worksheet+xml" PartName="/xl/worksheets/sheet36405.xml"/>
  <Override ContentType="application/vnd.openxmlformats-officedocument.spreadsheetml.worksheet+xml" PartName="/xl/worksheets/sheet36406.xml"/>
  <Override ContentType="application/vnd.openxmlformats-officedocument.spreadsheetml.worksheet+xml" PartName="/xl/worksheets/sheet36407.xml"/>
  <Override ContentType="application/vnd.openxmlformats-officedocument.spreadsheetml.worksheet+xml" PartName="/xl/worksheets/sheet36408.xml"/>
  <Override ContentType="application/vnd.openxmlformats-officedocument.spreadsheetml.worksheet+xml" PartName="/xl/worksheets/sheet36409.xml"/>
  <Override ContentType="application/vnd.openxmlformats-officedocument.spreadsheetml.worksheet+xml" PartName="/xl/worksheets/sheet36410.xml"/>
  <Override ContentType="application/vnd.openxmlformats-officedocument.spreadsheetml.worksheet+xml" PartName="/xl/worksheets/sheet36411.xml"/>
  <Override ContentType="application/vnd.openxmlformats-officedocument.spreadsheetml.worksheet+xml" PartName="/xl/worksheets/sheet36412.xml"/>
  <Override ContentType="application/vnd.openxmlformats-officedocument.spreadsheetml.worksheet+xml" PartName="/xl/worksheets/sheet36413.xml"/>
  <Override ContentType="application/vnd.openxmlformats-officedocument.spreadsheetml.worksheet+xml" PartName="/xl/worksheets/sheet36414.xml"/>
  <Override ContentType="application/vnd.openxmlformats-officedocument.spreadsheetml.worksheet+xml" PartName="/xl/worksheets/sheet36415.xml"/>
  <Override ContentType="application/vnd.openxmlformats-officedocument.spreadsheetml.worksheet+xml" PartName="/xl/worksheets/sheet36416.xml"/>
  <Override ContentType="application/vnd.openxmlformats-officedocument.spreadsheetml.worksheet+xml" PartName="/xl/worksheets/sheet36417.xml"/>
  <Override ContentType="application/vnd.openxmlformats-officedocument.spreadsheetml.worksheet+xml" PartName="/xl/worksheets/sheet36418.xml"/>
  <Override ContentType="application/vnd.openxmlformats-officedocument.spreadsheetml.worksheet+xml" PartName="/xl/worksheets/sheet36419.xml"/>
  <Override ContentType="application/vnd.openxmlformats-officedocument.spreadsheetml.worksheet+xml" PartName="/xl/worksheets/sheet36420.xml"/>
  <Override ContentType="application/vnd.openxmlformats-officedocument.spreadsheetml.worksheet+xml" PartName="/xl/worksheets/sheet36421.xml"/>
  <Override ContentType="application/vnd.openxmlformats-officedocument.spreadsheetml.worksheet+xml" PartName="/xl/worksheets/sheet36422.xml"/>
  <Override ContentType="application/vnd.openxmlformats-officedocument.spreadsheetml.worksheet+xml" PartName="/xl/worksheets/sheet36423.xml"/>
  <Override ContentType="application/vnd.openxmlformats-officedocument.spreadsheetml.worksheet+xml" PartName="/xl/worksheets/sheet36424.xml"/>
  <Override ContentType="application/vnd.openxmlformats-officedocument.spreadsheetml.worksheet+xml" PartName="/xl/worksheets/sheet36425.xml"/>
  <Override ContentType="application/vnd.openxmlformats-officedocument.spreadsheetml.worksheet+xml" PartName="/xl/worksheets/sheet36426.xml"/>
  <Override ContentType="application/vnd.openxmlformats-officedocument.spreadsheetml.worksheet+xml" PartName="/xl/worksheets/sheet36427.xml"/>
  <Override ContentType="application/vnd.openxmlformats-officedocument.spreadsheetml.worksheet+xml" PartName="/xl/worksheets/sheet36428.xml"/>
  <Override ContentType="application/vnd.openxmlformats-officedocument.spreadsheetml.worksheet+xml" PartName="/xl/worksheets/sheet36429.xml"/>
  <Override ContentType="application/vnd.openxmlformats-officedocument.spreadsheetml.worksheet+xml" PartName="/xl/worksheets/sheet36430.xml"/>
  <Override ContentType="application/vnd.openxmlformats-officedocument.spreadsheetml.worksheet+xml" PartName="/xl/worksheets/sheet36431.xml"/>
  <Override ContentType="application/vnd.openxmlformats-officedocument.spreadsheetml.worksheet+xml" PartName="/xl/worksheets/sheet36432.xml"/>
  <Override ContentType="application/vnd.openxmlformats-officedocument.spreadsheetml.worksheet+xml" PartName="/xl/worksheets/sheet36433.xml"/>
  <Override ContentType="application/vnd.openxmlformats-officedocument.spreadsheetml.worksheet+xml" PartName="/xl/worksheets/sheet36434.xml"/>
  <Override ContentType="application/vnd.openxmlformats-officedocument.spreadsheetml.worksheet+xml" PartName="/xl/worksheets/sheet36435.xml"/>
  <Override ContentType="application/vnd.openxmlformats-officedocument.spreadsheetml.worksheet+xml" PartName="/xl/worksheets/sheet36436.xml"/>
  <Override ContentType="application/vnd.openxmlformats-officedocument.spreadsheetml.worksheet+xml" PartName="/xl/worksheets/sheet36437.xml"/>
  <Override ContentType="application/vnd.openxmlformats-officedocument.spreadsheetml.worksheet+xml" PartName="/xl/worksheets/sheet36438.xml"/>
  <Override ContentType="application/vnd.openxmlformats-officedocument.spreadsheetml.worksheet+xml" PartName="/xl/worksheets/sheet36439.xml"/>
  <Override ContentType="application/vnd.openxmlformats-officedocument.spreadsheetml.worksheet+xml" PartName="/xl/worksheets/sheet36440.xml"/>
  <Override ContentType="application/vnd.openxmlformats-officedocument.spreadsheetml.worksheet+xml" PartName="/xl/worksheets/sheet36441.xml"/>
  <Override ContentType="application/vnd.openxmlformats-officedocument.spreadsheetml.worksheet+xml" PartName="/xl/worksheets/sheet36442.xml"/>
  <Override ContentType="application/vnd.openxmlformats-officedocument.spreadsheetml.worksheet+xml" PartName="/xl/worksheets/sheet36443.xml"/>
  <Override ContentType="application/vnd.openxmlformats-officedocument.spreadsheetml.worksheet+xml" PartName="/xl/worksheets/sheet36444.xml"/>
  <Override ContentType="application/vnd.openxmlformats-officedocument.spreadsheetml.worksheet+xml" PartName="/xl/worksheets/sheet36445.xml"/>
  <Override ContentType="application/vnd.openxmlformats-officedocument.spreadsheetml.worksheet+xml" PartName="/xl/worksheets/sheet36446.xml"/>
  <Override ContentType="application/vnd.openxmlformats-officedocument.spreadsheetml.worksheet+xml" PartName="/xl/worksheets/sheet36447.xml"/>
  <Override ContentType="application/vnd.openxmlformats-officedocument.spreadsheetml.worksheet+xml" PartName="/xl/worksheets/sheet36448.xml"/>
  <Override ContentType="application/vnd.openxmlformats-officedocument.spreadsheetml.worksheet+xml" PartName="/xl/worksheets/sheet36449.xml"/>
  <Override ContentType="application/vnd.openxmlformats-officedocument.spreadsheetml.worksheet+xml" PartName="/xl/worksheets/sheet36450.xml"/>
  <Override ContentType="application/vnd.openxmlformats-officedocument.spreadsheetml.worksheet+xml" PartName="/xl/worksheets/sheet36451.xml"/>
  <Override ContentType="application/vnd.openxmlformats-officedocument.spreadsheetml.worksheet+xml" PartName="/xl/worksheets/sheet36452.xml"/>
  <Override ContentType="application/vnd.openxmlformats-officedocument.spreadsheetml.worksheet+xml" PartName="/xl/worksheets/sheet36453.xml"/>
  <Override ContentType="application/vnd.openxmlformats-officedocument.spreadsheetml.worksheet+xml" PartName="/xl/worksheets/sheet36454.xml"/>
  <Override ContentType="application/vnd.openxmlformats-officedocument.spreadsheetml.worksheet+xml" PartName="/xl/worksheets/sheet36455.xml"/>
  <Override ContentType="application/vnd.openxmlformats-officedocument.spreadsheetml.worksheet+xml" PartName="/xl/worksheets/sheet36456.xml"/>
  <Override ContentType="application/vnd.openxmlformats-officedocument.spreadsheetml.worksheet+xml" PartName="/xl/worksheets/sheet36457.xml"/>
  <Override ContentType="application/vnd.openxmlformats-officedocument.spreadsheetml.worksheet+xml" PartName="/xl/worksheets/sheet36458.xml"/>
  <Override ContentType="application/vnd.openxmlformats-officedocument.spreadsheetml.worksheet+xml" PartName="/xl/worksheets/sheet36459.xml"/>
  <Override ContentType="application/vnd.openxmlformats-officedocument.spreadsheetml.worksheet+xml" PartName="/xl/worksheets/sheet36460.xml"/>
  <Override ContentType="application/vnd.openxmlformats-officedocument.spreadsheetml.worksheet+xml" PartName="/xl/worksheets/sheet36461.xml"/>
  <Override ContentType="application/vnd.openxmlformats-officedocument.spreadsheetml.worksheet+xml" PartName="/xl/worksheets/sheet36462.xml"/>
  <Override ContentType="application/vnd.openxmlformats-officedocument.spreadsheetml.worksheet+xml" PartName="/xl/worksheets/sheet36463.xml"/>
  <Override ContentType="application/vnd.openxmlformats-officedocument.spreadsheetml.worksheet+xml" PartName="/xl/worksheets/sheet36464.xml"/>
  <Override ContentType="application/vnd.openxmlformats-officedocument.spreadsheetml.worksheet+xml" PartName="/xl/worksheets/sheet36465.xml"/>
  <Override ContentType="application/vnd.openxmlformats-officedocument.spreadsheetml.worksheet+xml" PartName="/xl/worksheets/sheet36466.xml"/>
  <Override ContentType="application/vnd.openxmlformats-officedocument.spreadsheetml.worksheet+xml" PartName="/xl/worksheets/sheet36467.xml"/>
  <Override ContentType="application/vnd.openxmlformats-officedocument.spreadsheetml.worksheet+xml" PartName="/xl/worksheets/sheet36468.xml"/>
  <Override ContentType="application/vnd.openxmlformats-officedocument.spreadsheetml.worksheet+xml" PartName="/xl/worksheets/sheet36469.xml"/>
  <Override ContentType="application/vnd.openxmlformats-officedocument.spreadsheetml.worksheet+xml" PartName="/xl/worksheets/sheet36470.xml"/>
  <Override ContentType="application/vnd.openxmlformats-officedocument.spreadsheetml.worksheet+xml" PartName="/xl/worksheets/sheet36471.xml"/>
  <Override ContentType="application/vnd.openxmlformats-officedocument.spreadsheetml.worksheet+xml" PartName="/xl/worksheets/sheet36472.xml"/>
  <Override ContentType="application/vnd.openxmlformats-officedocument.spreadsheetml.worksheet+xml" PartName="/xl/worksheets/sheet36473.xml"/>
  <Override ContentType="application/vnd.openxmlformats-officedocument.spreadsheetml.worksheet+xml" PartName="/xl/worksheets/sheet36474.xml"/>
  <Override ContentType="application/vnd.openxmlformats-officedocument.spreadsheetml.worksheet+xml" PartName="/xl/worksheets/sheet36475.xml"/>
  <Override ContentType="application/vnd.openxmlformats-officedocument.spreadsheetml.worksheet+xml" PartName="/xl/worksheets/sheet36476.xml"/>
  <Override ContentType="application/vnd.openxmlformats-officedocument.spreadsheetml.worksheet+xml" PartName="/xl/worksheets/sheet36477.xml"/>
  <Override ContentType="application/vnd.openxmlformats-officedocument.spreadsheetml.worksheet+xml" PartName="/xl/worksheets/sheet36478.xml"/>
  <Override ContentType="application/vnd.openxmlformats-officedocument.spreadsheetml.worksheet+xml" PartName="/xl/worksheets/sheet36479.xml"/>
  <Override ContentType="application/vnd.openxmlformats-officedocument.spreadsheetml.worksheet+xml" PartName="/xl/worksheets/sheet36480.xml"/>
  <Override ContentType="application/vnd.openxmlformats-officedocument.spreadsheetml.worksheet+xml" PartName="/xl/worksheets/sheet36481.xml"/>
  <Override ContentType="application/vnd.openxmlformats-officedocument.spreadsheetml.worksheet+xml" PartName="/xl/worksheets/sheet36482.xml"/>
  <Override ContentType="application/vnd.openxmlformats-officedocument.spreadsheetml.worksheet+xml" PartName="/xl/worksheets/sheet36483.xml"/>
  <Override ContentType="application/vnd.openxmlformats-officedocument.spreadsheetml.worksheet+xml" PartName="/xl/worksheets/sheet36484.xml"/>
  <Override ContentType="application/vnd.openxmlformats-officedocument.spreadsheetml.worksheet+xml" PartName="/xl/worksheets/sheet36485.xml"/>
  <Override ContentType="application/vnd.openxmlformats-officedocument.spreadsheetml.worksheet+xml" PartName="/xl/worksheets/sheet36486.xml"/>
  <Override ContentType="application/vnd.openxmlformats-officedocument.spreadsheetml.worksheet+xml" PartName="/xl/worksheets/sheet36487.xml"/>
  <Override ContentType="application/vnd.openxmlformats-officedocument.spreadsheetml.worksheet+xml" PartName="/xl/worksheets/sheet36488.xml"/>
  <Override ContentType="application/vnd.openxmlformats-officedocument.spreadsheetml.worksheet+xml" PartName="/xl/worksheets/sheet36489.xml"/>
  <Override ContentType="application/vnd.openxmlformats-officedocument.spreadsheetml.worksheet+xml" PartName="/xl/worksheets/sheet36490.xml"/>
  <Override ContentType="application/vnd.openxmlformats-officedocument.spreadsheetml.worksheet+xml" PartName="/xl/worksheets/sheet36491.xml"/>
  <Override ContentType="application/vnd.openxmlformats-officedocument.spreadsheetml.worksheet+xml" PartName="/xl/worksheets/sheet36492.xml"/>
  <Override ContentType="application/vnd.openxmlformats-officedocument.spreadsheetml.worksheet+xml" PartName="/xl/worksheets/sheet36493.xml"/>
  <Override ContentType="application/vnd.openxmlformats-officedocument.spreadsheetml.worksheet+xml" PartName="/xl/worksheets/sheet36494.xml"/>
  <Override ContentType="application/vnd.openxmlformats-officedocument.spreadsheetml.worksheet+xml" PartName="/xl/worksheets/sheet36495.xml"/>
  <Override ContentType="application/vnd.openxmlformats-officedocument.spreadsheetml.worksheet+xml" PartName="/xl/worksheets/sheet36496.xml"/>
  <Override ContentType="application/vnd.openxmlformats-officedocument.spreadsheetml.worksheet+xml" PartName="/xl/worksheets/sheet36497.xml"/>
  <Override ContentType="application/vnd.openxmlformats-officedocument.spreadsheetml.worksheet+xml" PartName="/xl/worksheets/sheet36498.xml"/>
  <Override ContentType="application/vnd.openxmlformats-officedocument.spreadsheetml.worksheet+xml" PartName="/xl/worksheets/sheet36499.xml"/>
  <Override ContentType="application/vnd.openxmlformats-officedocument.spreadsheetml.worksheet+xml" PartName="/xl/worksheets/sheet36500.xml"/>
  <Override ContentType="application/vnd.openxmlformats-officedocument.spreadsheetml.worksheet+xml" PartName="/xl/worksheets/sheet36501.xml"/>
  <Override ContentType="application/vnd.openxmlformats-officedocument.spreadsheetml.worksheet+xml" PartName="/xl/worksheets/sheet36502.xml"/>
  <Override ContentType="application/vnd.openxmlformats-officedocument.spreadsheetml.worksheet+xml" PartName="/xl/worksheets/sheet36503.xml"/>
  <Override ContentType="application/vnd.openxmlformats-officedocument.spreadsheetml.worksheet+xml" PartName="/xl/worksheets/sheet36504.xml"/>
  <Override ContentType="application/vnd.openxmlformats-officedocument.spreadsheetml.worksheet+xml" PartName="/xl/worksheets/sheet36505.xml"/>
  <Override ContentType="application/vnd.openxmlformats-officedocument.spreadsheetml.worksheet+xml" PartName="/xl/worksheets/sheet36506.xml"/>
  <Override ContentType="application/vnd.openxmlformats-officedocument.spreadsheetml.worksheet+xml" PartName="/xl/worksheets/sheet36507.xml"/>
  <Override ContentType="application/vnd.openxmlformats-officedocument.spreadsheetml.worksheet+xml" PartName="/xl/worksheets/sheet36508.xml"/>
  <Override ContentType="application/vnd.openxmlformats-officedocument.spreadsheetml.worksheet+xml" PartName="/xl/worksheets/sheet36509.xml"/>
  <Override ContentType="application/vnd.openxmlformats-officedocument.spreadsheetml.worksheet+xml" PartName="/xl/worksheets/sheet36510.xml"/>
  <Override ContentType="application/vnd.openxmlformats-officedocument.spreadsheetml.worksheet+xml" PartName="/xl/worksheets/sheet36511.xml"/>
  <Override ContentType="application/vnd.openxmlformats-officedocument.spreadsheetml.worksheet+xml" PartName="/xl/worksheets/sheet36512.xml"/>
  <Override ContentType="application/vnd.openxmlformats-officedocument.spreadsheetml.worksheet+xml" PartName="/xl/worksheets/sheet36513.xml"/>
  <Override ContentType="application/vnd.openxmlformats-officedocument.spreadsheetml.worksheet+xml" PartName="/xl/worksheets/sheet36514.xml"/>
  <Override ContentType="application/vnd.openxmlformats-officedocument.spreadsheetml.worksheet+xml" PartName="/xl/worksheets/sheet36515.xml"/>
  <Override ContentType="application/vnd.openxmlformats-officedocument.spreadsheetml.worksheet+xml" PartName="/xl/worksheets/sheet36516.xml"/>
  <Override ContentType="application/vnd.openxmlformats-officedocument.spreadsheetml.worksheet+xml" PartName="/xl/worksheets/sheet36517.xml"/>
  <Override ContentType="application/vnd.openxmlformats-officedocument.spreadsheetml.worksheet+xml" PartName="/xl/worksheets/sheet36518.xml"/>
  <Override ContentType="application/vnd.openxmlformats-officedocument.spreadsheetml.worksheet+xml" PartName="/xl/worksheets/sheet36519.xml"/>
  <Override ContentType="application/vnd.openxmlformats-officedocument.spreadsheetml.worksheet+xml" PartName="/xl/worksheets/sheet36520.xml"/>
  <Override ContentType="application/vnd.openxmlformats-officedocument.spreadsheetml.worksheet+xml" PartName="/xl/worksheets/sheet36521.xml"/>
  <Override ContentType="application/vnd.openxmlformats-officedocument.spreadsheetml.worksheet+xml" PartName="/xl/worksheets/sheet36522.xml"/>
  <Override ContentType="application/vnd.openxmlformats-officedocument.spreadsheetml.worksheet+xml" PartName="/xl/worksheets/sheet36523.xml"/>
  <Override ContentType="application/vnd.openxmlformats-officedocument.spreadsheetml.worksheet+xml" PartName="/xl/worksheets/sheet36524.xml"/>
  <Override ContentType="application/vnd.openxmlformats-officedocument.spreadsheetml.worksheet+xml" PartName="/xl/worksheets/sheet36525.xml"/>
  <Override ContentType="application/vnd.openxmlformats-officedocument.spreadsheetml.worksheet+xml" PartName="/xl/worksheets/sheet36526.xml"/>
  <Override ContentType="application/vnd.openxmlformats-officedocument.spreadsheetml.worksheet+xml" PartName="/xl/worksheets/sheet36527.xml"/>
  <Override ContentType="application/vnd.openxmlformats-officedocument.spreadsheetml.worksheet+xml" PartName="/xl/worksheets/sheet36528.xml"/>
  <Override ContentType="application/vnd.openxmlformats-officedocument.spreadsheetml.worksheet+xml" PartName="/xl/worksheets/sheet36529.xml"/>
  <Override ContentType="application/vnd.openxmlformats-officedocument.spreadsheetml.worksheet+xml" PartName="/xl/worksheets/sheet36530.xml"/>
  <Override ContentType="application/vnd.openxmlformats-officedocument.spreadsheetml.worksheet+xml" PartName="/xl/worksheets/sheet36531.xml"/>
  <Override ContentType="application/vnd.openxmlformats-officedocument.spreadsheetml.worksheet+xml" PartName="/xl/worksheets/sheet36532.xml"/>
  <Override ContentType="application/vnd.openxmlformats-officedocument.spreadsheetml.worksheet+xml" PartName="/xl/worksheets/sheet36533.xml"/>
  <Override ContentType="application/vnd.openxmlformats-officedocument.spreadsheetml.worksheet+xml" PartName="/xl/worksheets/sheet36534.xml"/>
  <Override ContentType="application/vnd.openxmlformats-officedocument.spreadsheetml.worksheet+xml" PartName="/xl/worksheets/sheet36535.xml"/>
  <Override ContentType="application/vnd.openxmlformats-officedocument.spreadsheetml.worksheet+xml" PartName="/xl/worksheets/sheet36536.xml"/>
  <Override ContentType="application/vnd.openxmlformats-officedocument.spreadsheetml.worksheet+xml" PartName="/xl/worksheets/sheet36537.xml"/>
  <Override ContentType="application/vnd.openxmlformats-officedocument.spreadsheetml.worksheet+xml" PartName="/xl/worksheets/sheet36538.xml"/>
  <Override ContentType="application/vnd.openxmlformats-officedocument.spreadsheetml.worksheet+xml" PartName="/xl/worksheets/sheet36539.xml"/>
  <Override ContentType="application/vnd.openxmlformats-officedocument.spreadsheetml.worksheet+xml" PartName="/xl/worksheets/sheet36540.xml"/>
  <Override ContentType="application/vnd.openxmlformats-officedocument.spreadsheetml.worksheet+xml" PartName="/xl/worksheets/sheet36541.xml"/>
  <Override ContentType="application/vnd.openxmlformats-officedocument.spreadsheetml.worksheet+xml" PartName="/xl/worksheets/sheet36542.xml"/>
  <Override ContentType="application/vnd.openxmlformats-officedocument.spreadsheetml.worksheet+xml" PartName="/xl/worksheets/sheet36543.xml"/>
  <Override ContentType="application/vnd.openxmlformats-officedocument.spreadsheetml.worksheet+xml" PartName="/xl/worksheets/sheet36544.xml"/>
  <Override ContentType="application/vnd.openxmlformats-officedocument.spreadsheetml.worksheet+xml" PartName="/xl/worksheets/sheet36545.xml"/>
  <Override ContentType="application/vnd.openxmlformats-officedocument.spreadsheetml.worksheet+xml" PartName="/xl/worksheets/sheet36546.xml"/>
  <Override ContentType="application/vnd.openxmlformats-officedocument.spreadsheetml.worksheet+xml" PartName="/xl/worksheets/sheet36547.xml"/>
  <Override ContentType="application/vnd.openxmlformats-officedocument.spreadsheetml.worksheet+xml" PartName="/xl/worksheets/sheet36548.xml"/>
  <Override ContentType="application/vnd.openxmlformats-officedocument.spreadsheetml.worksheet+xml" PartName="/xl/worksheets/sheet36549.xml"/>
  <Override ContentType="application/vnd.openxmlformats-officedocument.spreadsheetml.worksheet+xml" PartName="/xl/worksheets/sheet36550.xml"/>
  <Override ContentType="application/vnd.openxmlformats-officedocument.spreadsheetml.worksheet+xml" PartName="/xl/worksheets/sheet36551.xml"/>
  <Override ContentType="application/vnd.openxmlformats-officedocument.spreadsheetml.worksheet+xml" PartName="/xl/worksheets/sheet36552.xml"/>
  <Override ContentType="application/vnd.openxmlformats-officedocument.spreadsheetml.worksheet+xml" PartName="/xl/worksheets/sheet36553.xml"/>
  <Override ContentType="application/vnd.openxmlformats-officedocument.spreadsheetml.worksheet+xml" PartName="/xl/worksheets/sheet36554.xml"/>
  <Override ContentType="application/vnd.openxmlformats-officedocument.spreadsheetml.worksheet+xml" PartName="/xl/worksheets/sheet36555.xml"/>
  <Override ContentType="application/vnd.openxmlformats-officedocument.spreadsheetml.worksheet+xml" PartName="/xl/worksheets/sheet36556.xml"/>
  <Override ContentType="application/vnd.openxmlformats-officedocument.spreadsheetml.worksheet+xml" PartName="/xl/worksheets/sheet36557.xml"/>
  <Override ContentType="application/vnd.openxmlformats-officedocument.spreadsheetml.worksheet+xml" PartName="/xl/worksheets/sheet36558.xml"/>
  <Override ContentType="application/vnd.openxmlformats-officedocument.spreadsheetml.worksheet+xml" PartName="/xl/worksheets/sheet36559.xml"/>
  <Override ContentType="application/vnd.openxmlformats-officedocument.spreadsheetml.worksheet+xml" PartName="/xl/worksheets/sheet36560.xml"/>
  <Override ContentType="application/vnd.openxmlformats-officedocument.spreadsheetml.worksheet+xml" PartName="/xl/worksheets/sheet36561.xml"/>
  <Override ContentType="application/vnd.openxmlformats-officedocument.spreadsheetml.worksheet+xml" PartName="/xl/worksheets/sheet36562.xml"/>
  <Override ContentType="application/vnd.openxmlformats-officedocument.spreadsheetml.worksheet+xml" PartName="/xl/worksheets/sheet36563.xml"/>
  <Override ContentType="application/vnd.openxmlformats-officedocument.spreadsheetml.worksheet+xml" PartName="/xl/worksheets/sheet36564.xml"/>
  <Override ContentType="application/vnd.openxmlformats-officedocument.spreadsheetml.worksheet+xml" PartName="/xl/worksheets/sheet36565.xml"/>
  <Override ContentType="application/vnd.openxmlformats-officedocument.spreadsheetml.worksheet+xml" PartName="/xl/worksheets/sheet36566.xml"/>
  <Override ContentType="application/vnd.openxmlformats-officedocument.spreadsheetml.worksheet+xml" PartName="/xl/worksheets/sheet36567.xml"/>
  <Override ContentType="application/vnd.openxmlformats-officedocument.spreadsheetml.worksheet+xml" PartName="/xl/worksheets/sheet36568.xml"/>
  <Override ContentType="application/vnd.openxmlformats-officedocument.spreadsheetml.worksheet+xml" PartName="/xl/worksheets/sheet36569.xml"/>
  <Override ContentType="application/vnd.openxmlformats-officedocument.spreadsheetml.worksheet+xml" PartName="/xl/worksheets/sheet36570.xml"/>
  <Override ContentType="application/vnd.openxmlformats-officedocument.spreadsheetml.worksheet+xml" PartName="/xl/worksheets/sheet36571.xml"/>
  <Override ContentType="application/vnd.openxmlformats-officedocument.spreadsheetml.worksheet+xml" PartName="/xl/worksheets/sheet36572.xml"/>
  <Override ContentType="application/vnd.openxmlformats-officedocument.spreadsheetml.worksheet+xml" PartName="/xl/worksheets/sheet36573.xml"/>
  <Override ContentType="application/vnd.openxmlformats-officedocument.spreadsheetml.worksheet+xml" PartName="/xl/worksheets/sheet36574.xml"/>
  <Override ContentType="application/vnd.openxmlformats-officedocument.spreadsheetml.worksheet+xml" PartName="/xl/worksheets/sheet36575.xml"/>
  <Override ContentType="application/vnd.openxmlformats-officedocument.spreadsheetml.worksheet+xml" PartName="/xl/worksheets/sheet36576.xml"/>
  <Override ContentType="application/vnd.openxmlformats-officedocument.spreadsheetml.worksheet+xml" PartName="/xl/worksheets/sheet36577.xml"/>
  <Override ContentType="application/vnd.openxmlformats-officedocument.spreadsheetml.worksheet+xml" PartName="/xl/worksheets/sheet36578.xml"/>
  <Override ContentType="application/vnd.openxmlformats-officedocument.spreadsheetml.worksheet+xml" PartName="/xl/worksheets/sheet36579.xml"/>
  <Override ContentType="application/vnd.openxmlformats-officedocument.spreadsheetml.worksheet+xml" PartName="/xl/worksheets/sheet36580.xml"/>
  <Override ContentType="application/vnd.openxmlformats-officedocument.spreadsheetml.worksheet+xml" PartName="/xl/worksheets/sheet36581.xml"/>
  <Override ContentType="application/vnd.openxmlformats-officedocument.spreadsheetml.worksheet+xml" PartName="/xl/worksheets/sheet36582.xml"/>
  <Override ContentType="application/vnd.openxmlformats-officedocument.spreadsheetml.worksheet+xml" PartName="/xl/worksheets/sheet36583.xml"/>
  <Override ContentType="application/vnd.openxmlformats-officedocument.spreadsheetml.worksheet+xml" PartName="/xl/worksheets/sheet36584.xml"/>
  <Override ContentType="application/vnd.openxmlformats-officedocument.spreadsheetml.worksheet+xml" PartName="/xl/worksheets/sheet36585.xml"/>
  <Override ContentType="application/vnd.openxmlformats-officedocument.spreadsheetml.worksheet+xml" PartName="/xl/worksheets/sheet36586.xml"/>
  <Override ContentType="application/vnd.openxmlformats-officedocument.spreadsheetml.worksheet+xml" PartName="/xl/worksheets/sheet36587.xml"/>
  <Override ContentType="application/vnd.openxmlformats-officedocument.spreadsheetml.worksheet+xml" PartName="/xl/worksheets/sheet36588.xml"/>
  <Override ContentType="application/vnd.openxmlformats-officedocument.spreadsheetml.worksheet+xml" PartName="/xl/worksheets/sheet36589.xml"/>
  <Override ContentType="application/vnd.openxmlformats-officedocument.spreadsheetml.worksheet+xml" PartName="/xl/worksheets/sheet36590.xml"/>
  <Override ContentType="application/vnd.openxmlformats-officedocument.spreadsheetml.worksheet+xml" PartName="/xl/worksheets/sheet36591.xml"/>
  <Override ContentType="application/vnd.openxmlformats-officedocument.spreadsheetml.worksheet+xml" PartName="/xl/worksheets/sheet36592.xml"/>
  <Override ContentType="application/vnd.openxmlformats-officedocument.spreadsheetml.worksheet+xml" PartName="/xl/worksheets/sheet36593.xml"/>
  <Override ContentType="application/vnd.openxmlformats-officedocument.spreadsheetml.worksheet+xml" PartName="/xl/worksheets/sheet36594.xml"/>
  <Override ContentType="application/vnd.openxmlformats-officedocument.spreadsheetml.worksheet+xml" PartName="/xl/worksheets/sheet36595.xml"/>
  <Override ContentType="application/vnd.openxmlformats-officedocument.spreadsheetml.worksheet+xml" PartName="/xl/worksheets/sheet36596.xml"/>
  <Override ContentType="application/vnd.openxmlformats-officedocument.spreadsheetml.worksheet+xml" PartName="/xl/worksheets/sheet36597.xml"/>
  <Override ContentType="application/vnd.openxmlformats-officedocument.spreadsheetml.worksheet+xml" PartName="/xl/worksheets/sheet36598.xml"/>
  <Override ContentType="application/vnd.openxmlformats-officedocument.spreadsheetml.worksheet+xml" PartName="/xl/worksheets/sheet36599.xml"/>
  <Override ContentType="application/vnd.openxmlformats-officedocument.spreadsheetml.worksheet+xml" PartName="/xl/worksheets/sheet36600.xml"/>
  <Override ContentType="application/vnd.openxmlformats-officedocument.spreadsheetml.worksheet+xml" PartName="/xl/worksheets/sheet36601.xml"/>
  <Override ContentType="application/vnd.openxmlformats-officedocument.spreadsheetml.worksheet+xml" PartName="/xl/worksheets/sheet36602.xml"/>
  <Override ContentType="application/vnd.openxmlformats-officedocument.spreadsheetml.worksheet+xml" PartName="/xl/worksheets/sheet36603.xml"/>
  <Override ContentType="application/vnd.openxmlformats-officedocument.spreadsheetml.worksheet+xml" PartName="/xl/worksheets/sheet36604.xml"/>
  <Override ContentType="application/vnd.openxmlformats-officedocument.spreadsheetml.worksheet+xml" PartName="/xl/worksheets/sheet36605.xml"/>
  <Override ContentType="application/vnd.openxmlformats-officedocument.spreadsheetml.worksheet+xml" PartName="/xl/worksheets/sheet36606.xml"/>
  <Override ContentType="application/vnd.openxmlformats-officedocument.spreadsheetml.worksheet+xml" PartName="/xl/worksheets/sheet36607.xml"/>
  <Override ContentType="application/vnd.openxmlformats-officedocument.spreadsheetml.worksheet+xml" PartName="/xl/worksheets/sheet36608.xml"/>
  <Override ContentType="application/vnd.openxmlformats-officedocument.spreadsheetml.worksheet+xml" PartName="/xl/worksheets/sheet36609.xml"/>
  <Override ContentType="application/vnd.openxmlformats-officedocument.spreadsheetml.worksheet+xml" PartName="/xl/worksheets/sheet36610.xml"/>
  <Override ContentType="application/vnd.openxmlformats-officedocument.spreadsheetml.worksheet+xml" PartName="/xl/worksheets/sheet36611.xml"/>
  <Override ContentType="application/vnd.openxmlformats-officedocument.spreadsheetml.worksheet+xml" PartName="/xl/worksheets/sheet36612.xml"/>
  <Override ContentType="application/vnd.openxmlformats-officedocument.spreadsheetml.worksheet+xml" PartName="/xl/worksheets/sheet36613.xml"/>
  <Override ContentType="application/vnd.openxmlformats-officedocument.spreadsheetml.worksheet+xml" PartName="/xl/worksheets/sheet36614.xml"/>
  <Override ContentType="application/vnd.openxmlformats-officedocument.spreadsheetml.worksheet+xml" PartName="/xl/worksheets/sheet36615.xml"/>
  <Override ContentType="application/vnd.openxmlformats-officedocument.spreadsheetml.worksheet+xml" PartName="/xl/worksheets/sheet36616.xml"/>
  <Override ContentType="application/vnd.openxmlformats-officedocument.spreadsheetml.worksheet+xml" PartName="/xl/worksheets/sheet36617.xml"/>
  <Override ContentType="application/vnd.openxmlformats-officedocument.spreadsheetml.worksheet+xml" PartName="/xl/worksheets/sheet36618.xml"/>
  <Override ContentType="application/vnd.openxmlformats-officedocument.spreadsheetml.worksheet+xml" PartName="/xl/worksheets/sheet36619.xml"/>
  <Override ContentType="application/vnd.openxmlformats-officedocument.spreadsheetml.worksheet+xml" PartName="/xl/worksheets/sheet36620.xml"/>
  <Override ContentType="application/vnd.openxmlformats-officedocument.spreadsheetml.worksheet+xml" PartName="/xl/worksheets/sheet36621.xml"/>
  <Override ContentType="application/vnd.openxmlformats-officedocument.spreadsheetml.worksheet+xml" PartName="/xl/worksheets/sheet36622.xml"/>
  <Override ContentType="application/vnd.openxmlformats-officedocument.spreadsheetml.worksheet+xml" PartName="/xl/worksheets/sheet36623.xml"/>
  <Override ContentType="application/vnd.openxmlformats-officedocument.spreadsheetml.worksheet+xml" PartName="/xl/worksheets/sheet36624.xml"/>
  <Override ContentType="application/vnd.openxmlformats-officedocument.spreadsheetml.worksheet+xml" PartName="/xl/worksheets/sheet36625.xml"/>
  <Override ContentType="application/vnd.openxmlformats-officedocument.spreadsheetml.worksheet+xml" PartName="/xl/worksheets/sheet36626.xml"/>
  <Override ContentType="application/vnd.openxmlformats-officedocument.spreadsheetml.worksheet+xml" PartName="/xl/worksheets/sheet36627.xml"/>
  <Override ContentType="application/vnd.openxmlformats-officedocument.spreadsheetml.worksheet+xml" PartName="/xl/worksheets/sheet36628.xml"/>
  <Override ContentType="application/vnd.openxmlformats-officedocument.spreadsheetml.worksheet+xml" PartName="/xl/worksheets/sheet36629.xml"/>
  <Override ContentType="application/vnd.openxmlformats-officedocument.spreadsheetml.worksheet+xml" PartName="/xl/worksheets/sheet36630.xml"/>
  <Override ContentType="application/vnd.openxmlformats-officedocument.spreadsheetml.worksheet+xml" PartName="/xl/worksheets/sheet36631.xml"/>
  <Override ContentType="application/vnd.openxmlformats-officedocument.spreadsheetml.worksheet+xml" PartName="/xl/worksheets/sheet36632.xml"/>
  <Override ContentType="application/vnd.openxmlformats-officedocument.spreadsheetml.worksheet+xml" PartName="/xl/worksheets/sheet36633.xml"/>
  <Override ContentType="application/vnd.openxmlformats-officedocument.spreadsheetml.worksheet+xml" PartName="/xl/worksheets/sheet36634.xml"/>
  <Override ContentType="application/vnd.openxmlformats-officedocument.spreadsheetml.worksheet+xml" PartName="/xl/worksheets/sheet36635.xml"/>
  <Override ContentType="application/vnd.openxmlformats-officedocument.spreadsheetml.worksheet+xml" PartName="/xl/worksheets/sheet36636.xml"/>
  <Override ContentType="application/vnd.openxmlformats-officedocument.spreadsheetml.worksheet+xml" PartName="/xl/worksheets/sheet36637.xml"/>
  <Override ContentType="application/vnd.openxmlformats-officedocument.spreadsheetml.worksheet+xml" PartName="/xl/worksheets/sheet36638.xml"/>
  <Override ContentType="application/vnd.openxmlformats-officedocument.spreadsheetml.worksheet+xml" PartName="/xl/worksheets/sheet36639.xml"/>
  <Override ContentType="application/vnd.openxmlformats-officedocument.spreadsheetml.worksheet+xml" PartName="/xl/worksheets/sheet36640.xml"/>
  <Override ContentType="application/vnd.openxmlformats-officedocument.spreadsheetml.worksheet+xml" PartName="/xl/worksheets/sheet36641.xml"/>
  <Override ContentType="application/vnd.openxmlformats-officedocument.spreadsheetml.worksheet+xml" PartName="/xl/worksheets/sheet36642.xml"/>
  <Override ContentType="application/vnd.openxmlformats-officedocument.spreadsheetml.worksheet+xml" PartName="/xl/worksheets/sheet36643.xml"/>
  <Override ContentType="application/vnd.openxmlformats-officedocument.spreadsheetml.worksheet+xml" PartName="/xl/worksheets/sheet36644.xml"/>
  <Override ContentType="application/vnd.openxmlformats-officedocument.spreadsheetml.worksheet+xml" PartName="/xl/worksheets/sheet36645.xml"/>
  <Override ContentType="application/vnd.openxmlformats-officedocument.spreadsheetml.worksheet+xml" PartName="/xl/worksheets/sheet36646.xml"/>
  <Override ContentType="application/vnd.openxmlformats-officedocument.spreadsheetml.worksheet+xml" PartName="/xl/worksheets/sheet36647.xml"/>
  <Override ContentType="application/vnd.openxmlformats-officedocument.spreadsheetml.worksheet+xml" PartName="/xl/worksheets/sheet36648.xml"/>
  <Override ContentType="application/vnd.openxmlformats-officedocument.spreadsheetml.worksheet+xml" PartName="/xl/worksheets/sheet36649.xml"/>
  <Override ContentType="application/vnd.openxmlformats-officedocument.spreadsheetml.worksheet+xml" PartName="/xl/worksheets/sheet36650.xml"/>
  <Override ContentType="application/vnd.openxmlformats-officedocument.spreadsheetml.worksheet+xml" PartName="/xl/worksheets/sheet36651.xml"/>
  <Override ContentType="application/vnd.openxmlformats-officedocument.spreadsheetml.worksheet+xml" PartName="/xl/worksheets/sheet36652.xml"/>
  <Override ContentType="application/vnd.openxmlformats-officedocument.spreadsheetml.worksheet+xml" PartName="/xl/worksheets/sheet36653.xml"/>
  <Override ContentType="application/vnd.openxmlformats-officedocument.spreadsheetml.worksheet+xml" PartName="/xl/worksheets/sheet36654.xml"/>
  <Override ContentType="application/vnd.openxmlformats-officedocument.spreadsheetml.worksheet+xml" PartName="/xl/worksheets/sheet36655.xml"/>
  <Override ContentType="application/vnd.openxmlformats-officedocument.spreadsheetml.worksheet+xml" PartName="/xl/worksheets/sheet36656.xml"/>
  <Override ContentType="application/vnd.openxmlformats-officedocument.spreadsheetml.worksheet+xml" PartName="/xl/worksheets/sheet36657.xml"/>
  <Override ContentType="application/vnd.openxmlformats-officedocument.spreadsheetml.worksheet+xml" PartName="/xl/worksheets/sheet36658.xml"/>
  <Override ContentType="application/vnd.openxmlformats-officedocument.spreadsheetml.worksheet+xml" PartName="/xl/worksheets/sheet36659.xml"/>
  <Override ContentType="application/vnd.openxmlformats-officedocument.spreadsheetml.worksheet+xml" PartName="/xl/worksheets/sheet36660.xml"/>
  <Override ContentType="application/vnd.openxmlformats-officedocument.spreadsheetml.worksheet+xml" PartName="/xl/worksheets/sheet36661.xml"/>
  <Override ContentType="application/vnd.openxmlformats-officedocument.spreadsheetml.worksheet+xml" PartName="/xl/worksheets/sheet36662.xml"/>
  <Override ContentType="application/vnd.openxmlformats-officedocument.spreadsheetml.worksheet+xml" PartName="/xl/worksheets/sheet36663.xml"/>
  <Override ContentType="application/vnd.openxmlformats-officedocument.spreadsheetml.worksheet+xml" PartName="/xl/worksheets/sheet36664.xml"/>
  <Override ContentType="application/vnd.openxmlformats-officedocument.spreadsheetml.worksheet+xml" PartName="/xl/worksheets/sheet36665.xml"/>
  <Override ContentType="application/vnd.openxmlformats-officedocument.spreadsheetml.worksheet+xml" PartName="/xl/worksheets/sheet36666.xml"/>
  <Override ContentType="application/vnd.openxmlformats-officedocument.spreadsheetml.worksheet+xml" PartName="/xl/worksheets/sheet36667.xml"/>
  <Override ContentType="application/vnd.openxmlformats-officedocument.spreadsheetml.worksheet+xml" PartName="/xl/worksheets/sheet36668.xml"/>
  <Override ContentType="application/vnd.openxmlformats-officedocument.spreadsheetml.worksheet+xml" PartName="/xl/worksheets/sheet36669.xml"/>
  <Override ContentType="application/vnd.openxmlformats-officedocument.spreadsheetml.worksheet+xml" PartName="/xl/worksheets/sheet36670.xml"/>
  <Override ContentType="application/vnd.openxmlformats-officedocument.spreadsheetml.worksheet+xml" PartName="/xl/worksheets/sheet36671.xml"/>
  <Override ContentType="application/vnd.openxmlformats-officedocument.spreadsheetml.worksheet+xml" PartName="/xl/worksheets/sheet36672.xml"/>
  <Override ContentType="application/vnd.openxmlformats-officedocument.spreadsheetml.worksheet+xml" PartName="/xl/worksheets/sheet36673.xml"/>
  <Override ContentType="application/vnd.openxmlformats-officedocument.spreadsheetml.worksheet+xml" PartName="/xl/worksheets/sheet36674.xml"/>
  <Override ContentType="application/vnd.openxmlformats-officedocument.spreadsheetml.worksheet+xml" PartName="/xl/worksheets/sheet36675.xml"/>
  <Override ContentType="application/vnd.openxmlformats-officedocument.spreadsheetml.worksheet+xml" PartName="/xl/worksheets/sheet36676.xml"/>
  <Override ContentType="application/vnd.openxmlformats-officedocument.spreadsheetml.worksheet+xml" PartName="/xl/worksheets/sheet36677.xml"/>
  <Override ContentType="application/vnd.openxmlformats-officedocument.spreadsheetml.worksheet+xml" PartName="/xl/worksheets/sheet36678.xml"/>
  <Override ContentType="application/vnd.openxmlformats-officedocument.spreadsheetml.worksheet+xml" PartName="/xl/worksheets/sheet36679.xml"/>
  <Override ContentType="application/vnd.openxmlformats-officedocument.spreadsheetml.worksheet+xml" PartName="/xl/worksheets/sheet36680.xml"/>
  <Override ContentType="application/vnd.openxmlformats-officedocument.spreadsheetml.worksheet+xml" PartName="/xl/worksheets/sheet36681.xml"/>
  <Override ContentType="application/vnd.openxmlformats-officedocument.spreadsheetml.worksheet+xml" PartName="/xl/worksheets/sheet36682.xml"/>
  <Override ContentType="application/vnd.openxmlformats-officedocument.spreadsheetml.worksheet+xml" PartName="/xl/worksheets/sheet36683.xml"/>
  <Override ContentType="application/vnd.openxmlformats-officedocument.spreadsheetml.worksheet+xml" PartName="/xl/worksheets/sheet36684.xml"/>
  <Override ContentType="application/vnd.openxmlformats-officedocument.spreadsheetml.worksheet+xml" PartName="/xl/worksheets/sheet36685.xml"/>
  <Override ContentType="application/vnd.openxmlformats-officedocument.spreadsheetml.worksheet+xml" PartName="/xl/worksheets/sheet36686.xml"/>
  <Override ContentType="application/vnd.openxmlformats-officedocument.spreadsheetml.worksheet+xml" PartName="/xl/worksheets/sheet36687.xml"/>
  <Override ContentType="application/vnd.openxmlformats-officedocument.spreadsheetml.worksheet+xml" PartName="/xl/worksheets/sheet36688.xml"/>
  <Override ContentType="application/vnd.openxmlformats-officedocument.spreadsheetml.worksheet+xml" PartName="/xl/worksheets/sheet36689.xml"/>
  <Override ContentType="application/vnd.openxmlformats-officedocument.spreadsheetml.worksheet+xml" PartName="/xl/worksheets/sheet36690.xml"/>
  <Override ContentType="application/vnd.openxmlformats-officedocument.spreadsheetml.worksheet+xml" PartName="/xl/worksheets/sheet36691.xml"/>
  <Override ContentType="application/vnd.openxmlformats-officedocument.spreadsheetml.worksheet+xml" PartName="/xl/worksheets/sheet36692.xml"/>
  <Override ContentType="application/vnd.openxmlformats-officedocument.spreadsheetml.worksheet+xml" PartName="/xl/worksheets/sheet36693.xml"/>
  <Override ContentType="application/vnd.openxmlformats-officedocument.spreadsheetml.worksheet+xml" PartName="/xl/worksheets/sheet36694.xml"/>
  <Override ContentType="application/vnd.openxmlformats-officedocument.spreadsheetml.worksheet+xml" PartName="/xl/worksheets/sheet36695.xml"/>
  <Override ContentType="application/vnd.openxmlformats-officedocument.spreadsheetml.worksheet+xml" PartName="/xl/worksheets/sheet36696.xml"/>
  <Override ContentType="application/vnd.openxmlformats-officedocument.spreadsheetml.worksheet+xml" PartName="/xl/worksheets/sheet36697.xml"/>
  <Override ContentType="application/vnd.openxmlformats-officedocument.spreadsheetml.worksheet+xml" PartName="/xl/worksheets/sheet36698.xml"/>
  <Override ContentType="application/vnd.openxmlformats-officedocument.spreadsheetml.worksheet+xml" PartName="/xl/worksheets/sheet36699.xml"/>
  <Override ContentType="application/vnd.openxmlformats-officedocument.spreadsheetml.worksheet+xml" PartName="/xl/worksheets/sheet36700.xml"/>
  <Override ContentType="application/vnd.openxmlformats-officedocument.spreadsheetml.worksheet+xml" PartName="/xl/worksheets/sheet36701.xml"/>
  <Override ContentType="application/vnd.openxmlformats-officedocument.spreadsheetml.worksheet+xml" PartName="/xl/worksheets/sheet36702.xml"/>
  <Override ContentType="application/vnd.openxmlformats-officedocument.spreadsheetml.worksheet+xml" PartName="/xl/worksheets/sheet36703.xml"/>
  <Override ContentType="application/vnd.openxmlformats-officedocument.spreadsheetml.worksheet+xml" PartName="/xl/worksheets/sheet36704.xml"/>
  <Override ContentType="application/vnd.openxmlformats-officedocument.spreadsheetml.worksheet+xml" PartName="/xl/worksheets/sheet36705.xml"/>
  <Override ContentType="application/vnd.openxmlformats-officedocument.spreadsheetml.worksheet+xml" PartName="/xl/worksheets/sheet36706.xml"/>
  <Override ContentType="application/vnd.openxmlformats-officedocument.spreadsheetml.worksheet+xml" PartName="/xl/worksheets/sheet36707.xml"/>
  <Override ContentType="application/vnd.openxmlformats-officedocument.spreadsheetml.worksheet+xml" PartName="/xl/worksheets/sheet36708.xml"/>
  <Override ContentType="application/vnd.openxmlformats-officedocument.spreadsheetml.worksheet+xml" PartName="/xl/worksheets/sheet36709.xml"/>
  <Override ContentType="application/vnd.openxmlformats-officedocument.spreadsheetml.worksheet+xml" PartName="/xl/worksheets/sheet36710.xml"/>
  <Override ContentType="application/vnd.openxmlformats-officedocument.spreadsheetml.worksheet+xml" PartName="/xl/worksheets/sheet36711.xml"/>
  <Override ContentType="application/vnd.openxmlformats-officedocument.spreadsheetml.worksheet+xml" PartName="/xl/worksheets/sheet36712.xml"/>
  <Override ContentType="application/vnd.openxmlformats-officedocument.spreadsheetml.worksheet+xml" PartName="/xl/worksheets/sheet36713.xml"/>
  <Override ContentType="application/vnd.openxmlformats-officedocument.spreadsheetml.worksheet+xml" PartName="/xl/worksheets/sheet36714.xml"/>
  <Override ContentType="application/vnd.openxmlformats-officedocument.spreadsheetml.worksheet+xml" PartName="/xl/worksheets/sheet36715.xml"/>
  <Override ContentType="application/vnd.openxmlformats-officedocument.spreadsheetml.worksheet+xml" PartName="/xl/worksheets/sheet36716.xml"/>
  <Override ContentType="application/vnd.openxmlformats-officedocument.spreadsheetml.worksheet+xml" PartName="/xl/worksheets/sheet36717.xml"/>
  <Override ContentType="application/vnd.openxmlformats-officedocument.spreadsheetml.worksheet+xml" PartName="/xl/worksheets/sheet36718.xml"/>
  <Override ContentType="application/vnd.openxmlformats-officedocument.spreadsheetml.worksheet+xml" PartName="/xl/worksheets/sheet36719.xml"/>
  <Override ContentType="application/vnd.openxmlformats-officedocument.spreadsheetml.worksheet+xml" PartName="/xl/worksheets/sheet36720.xml"/>
  <Override ContentType="application/vnd.openxmlformats-officedocument.spreadsheetml.worksheet+xml" PartName="/xl/worksheets/sheet36721.xml"/>
  <Override ContentType="application/vnd.openxmlformats-officedocument.spreadsheetml.worksheet+xml" PartName="/xl/worksheets/sheet36722.xml"/>
  <Override ContentType="application/vnd.openxmlformats-officedocument.spreadsheetml.worksheet+xml" PartName="/xl/worksheets/sheet36723.xml"/>
  <Override ContentType="application/vnd.openxmlformats-officedocument.spreadsheetml.worksheet+xml" PartName="/xl/worksheets/sheet36724.xml"/>
  <Override ContentType="application/vnd.openxmlformats-officedocument.spreadsheetml.worksheet+xml" PartName="/xl/worksheets/sheet36725.xml"/>
  <Override ContentType="application/vnd.openxmlformats-officedocument.spreadsheetml.worksheet+xml" PartName="/xl/worksheets/sheet36726.xml"/>
  <Override ContentType="application/vnd.openxmlformats-officedocument.spreadsheetml.worksheet+xml" PartName="/xl/worksheets/sheet36727.xml"/>
  <Override ContentType="application/vnd.openxmlformats-officedocument.spreadsheetml.worksheet+xml" PartName="/xl/worksheets/sheet36728.xml"/>
  <Override ContentType="application/vnd.openxmlformats-officedocument.spreadsheetml.worksheet+xml" PartName="/xl/worksheets/sheet36729.xml"/>
  <Override ContentType="application/vnd.openxmlformats-officedocument.spreadsheetml.worksheet+xml" PartName="/xl/worksheets/sheet36730.xml"/>
  <Override ContentType="application/vnd.openxmlformats-officedocument.spreadsheetml.worksheet+xml" PartName="/xl/worksheets/sheet36731.xml"/>
  <Override ContentType="application/vnd.openxmlformats-officedocument.spreadsheetml.worksheet+xml" PartName="/xl/worksheets/sheet36732.xml"/>
  <Override ContentType="application/vnd.openxmlformats-officedocument.spreadsheetml.worksheet+xml" PartName="/xl/worksheets/sheet36733.xml"/>
  <Override ContentType="application/vnd.openxmlformats-officedocument.spreadsheetml.worksheet+xml" PartName="/xl/worksheets/sheet36734.xml"/>
  <Override ContentType="application/vnd.openxmlformats-officedocument.spreadsheetml.worksheet+xml" PartName="/xl/worksheets/sheet36735.xml"/>
  <Override ContentType="application/vnd.openxmlformats-officedocument.spreadsheetml.worksheet+xml" PartName="/xl/worksheets/sheet36736.xml"/>
  <Override ContentType="application/vnd.openxmlformats-officedocument.spreadsheetml.worksheet+xml" PartName="/xl/worksheets/sheet36737.xml"/>
  <Override ContentType="application/vnd.openxmlformats-officedocument.spreadsheetml.worksheet+xml" PartName="/xl/worksheets/sheet36738.xml"/>
  <Override ContentType="application/vnd.openxmlformats-officedocument.spreadsheetml.worksheet+xml" PartName="/xl/worksheets/sheet36739.xml"/>
  <Override ContentType="application/vnd.openxmlformats-officedocument.spreadsheetml.worksheet+xml" PartName="/xl/worksheets/sheet36740.xml"/>
  <Override ContentType="application/vnd.openxmlformats-officedocument.spreadsheetml.worksheet+xml" PartName="/xl/worksheets/sheet36741.xml"/>
  <Override ContentType="application/vnd.openxmlformats-officedocument.spreadsheetml.worksheet+xml" PartName="/xl/worksheets/sheet36742.xml"/>
  <Override ContentType="application/vnd.openxmlformats-officedocument.spreadsheetml.worksheet+xml" PartName="/xl/worksheets/sheet36743.xml"/>
  <Override ContentType="application/vnd.openxmlformats-officedocument.spreadsheetml.worksheet+xml" PartName="/xl/worksheets/sheet36744.xml"/>
  <Override ContentType="application/vnd.openxmlformats-officedocument.spreadsheetml.worksheet+xml" PartName="/xl/worksheets/sheet36745.xml"/>
  <Override ContentType="application/vnd.openxmlformats-officedocument.spreadsheetml.worksheet+xml" PartName="/xl/worksheets/sheet36746.xml"/>
  <Override ContentType="application/vnd.openxmlformats-officedocument.spreadsheetml.worksheet+xml" PartName="/xl/worksheets/sheet36747.xml"/>
  <Override ContentType="application/vnd.openxmlformats-officedocument.spreadsheetml.worksheet+xml" PartName="/xl/worksheets/sheet36748.xml"/>
  <Override ContentType="application/vnd.openxmlformats-officedocument.spreadsheetml.worksheet+xml" PartName="/xl/worksheets/sheet36749.xml"/>
  <Override ContentType="application/vnd.openxmlformats-officedocument.spreadsheetml.worksheet+xml" PartName="/xl/worksheets/sheet36750.xml"/>
  <Override ContentType="application/vnd.openxmlformats-officedocument.spreadsheetml.worksheet+xml" PartName="/xl/worksheets/sheet36751.xml"/>
  <Override ContentType="application/vnd.openxmlformats-officedocument.spreadsheetml.worksheet+xml" PartName="/xl/worksheets/sheet36752.xml"/>
  <Override ContentType="application/vnd.openxmlformats-officedocument.spreadsheetml.worksheet+xml" PartName="/xl/worksheets/sheet36753.xml"/>
  <Override ContentType="application/vnd.openxmlformats-officedocument.spreadsheetml.worksheet+xml" PartName="/xl/worksheets/sheet36754.xml"/>
  <Override ContentType="application/vnd.openxmlformats-officedocument.spreadsheetml.worksheet+xml" PartName="/xl/worksheets/sheet36755.xml"/>
  <Override ContentType="application/vnd.openxmlformats-officedocument.spreadsheetml.worksheet+xml" PartName="/xl/worksheets/sheet36756.xml"/>
  <Override ContentType="application/vnd.openxmlformats-officedocument.spreadsheetml.worksheet+xml" PartName="/xl/worksheets/sheet36757.xml"/>
  <Override ContentType="application/vnd.openxmlformats-officedocument.spreadsheetml.worksheet+xml" PartName="/xl/worksheets/sheet36758.xml"/>
  <Override ContentType="application/vnd.openxmlformats-officedocument.spreadsheetml.worksheet+xml" PartName="/xl/worksheets/sheet36759.xml"/>
  <Override ContentType="application/vnd.openxmlformats-officedocument.spreadsheetml.worksheet+xml" PartName="/xl/worksheets/sheet36760.xml"/>
  <Override ContentType="application/vnd.openxmlformats-officedocument.spreadsheetml.worksheet+xml" PartName="/xl/worksheets/sheet36761.xml"/>
  <Override ContentType="application/vnd.openxmlformats-officedocument.spreadsheetml.worksheet+xml" PartName="/xl/worksheets/sheet36762.xml"/>
  <Override ContentType="application/vnd.openxmlformats-officedocument.spreadsheetml.worksheet+xml" PartName="/xl/worksheets/sheet36763.xml"/>
  <Override ContentType="application/vnd.openxmlformats-officedocument.spreadsheetml.worksheet+xml" PartName="/xl/worksheets/sheet36764.xml"/>
  <Override ContentType="application/vnd.openxmlformats-officedocument.spreadsheetml.worksheet+xml" PartName="/xl/worksheets/sheet36765.xml"/>
  <Override ContentType="application/vnd.openxmlformats-officedocument.spreadsheetml.worksheet+xml" PartName="/xl/worksheets/sheet36766.xml"/>
  <Override ContentType="application/vnd.openxmlformats-officedocument.spreadsheetml.worksheet+xml" PartName="/xl/worksheets/sheet36767.xml"/>
  <Override ContentType="application/vnd.openxmlformats-officedocument.spreadsheetml.worksheet+xml" PartName="/xl/worksheets/sheet36768.xml"/>
  <Override ContentType="application/vnd.openxmlformats-officedocument.spreadsheetml.worksheet+xml" PartName="/xl/worksheets/sheet36769.xml"/>
  <Override ContentType="application/vnd.openxmlformats-officedocument.spreadsheetml.worksheet+xml" PartName="/xl/worksheets/sheet36770.xml"/>
  <Override ContentType="application/vnd.openxmlformats-officedocument.spreadsheetml.worksheet+xml" PartName="/xl/worksheets/sheet36771.xml"/>
  <Override ContentType="application/vnd.openxmlformats-officedocument.spreadsheetml.worksheet+xml" PartName="/xl/worksheets/sheet36772.xml"/>
  <Override ContentType="application/vnd.openxmlformats-officedocument.spreadsheetml.worksheet+xml" PartName="/xl/worksheets/sheet36773.xml"/>
  <Override ContentType="application/vnd.openxmlformats-officedocument.spreadsheetml.worksheet+xml" PartName="/xl/worksheets/sheet36774.xml"/>
  <Override ContentType="application/vnd.openxmlformats-officedocument.spreadsheetml.worksheet+xml" PartName="/xl/worksheets/sheet36775.xml"/>
  <Override ContentType="application/vnd.openxmlformats-officedocument.spreadsheetml.worksheet+xml" PartName="/xl/worksheets/sheet36776.xml"/>
  <Override ContentType="application/vnd.openxmlformats-officedocument.spreadsheetml.worksheet+xml" PartName="/xl/worksheets/sheet36777.xml"/>
  <Override ContentType="application/vnd.openxmlformats-officedocument.spreadsheetml.worksheet+xml" PartName="/xl/worksheets/sheet36778.xml"/>
  <Override ContentType="application/vnd.openxmlformats-officedocument.spreadsheetml.worksheet+xml" PartName="/xl/worksheets/sheet36779.xml"/>
  <Override ContentType="application/vnd.openxmlformats-officedocument.spreadsheetml.worksheet+xml" PartName="/xl/worksheets/sheet36780.xml"/>
  <Override ContentType="application/vnd.openxmlformats-officedocument.spreadsheetml.worksheet+xml" PartName="/xl/worksheets/sheet36781.xml"/>
  <Override ContentType="application/vnd.openxmlformats-officedocument.spreadsheetml.worksheet+xml" PartName="/xl/worksheets/sheet36782.xml"/>
  <Override ContentType="application/vnd.openxmlformats-officedocument.spreadsheetml.worksheet+xml" PartName="/xl/worksheets/sheet36783.xml"/>
  <Override ContentType="application/vnd.openxmlformats-officedocument.spreadsheetml.worksheet+xml" PartName="/xl/worksheets/sheet36784.xml"/>
  <Override ContentType="application/vnd.openxmlformats-officedocument.spreadsheetml.worksheet+xml" PartName="/xl/worksheets/sheet36785.xml"/>
  <Override ContentType="application/vnd.openxmlformats-officedocument.spreadsheetml.worksheet+xml" PartName="/xl/worksheets/sheet36786.xml"/>
  <Override ContentType="application/vnd.openxmlformats-officedocument.spreadsheetml.worksheet+xml" PartName="/xl/worksheets/sheet36787.xml"/>
  <Override ContentType="application/vnd.openxmlformats-officedocument.spreadsheetml.worksheet+xml" PartName="/xl/worksheets/sheet36788.xml"/>
  <Override ContentType="application/vnd.openxmlformats-officedocument.spreadsheetml.worksheet+xml" PartName="/xl/worksheets/sheet36789.xml"/>
  <Override ContentType="application/vnd.openxmlformats-officedocument.spreadsheetml.worksheet+xml" PartName="/xl/worksheets/sheet36790.xml"/>
  <Override ContentType="application/vnd.openxmlformats-officedocument.spreadsheetml.worksheet+xml" PartName="/xl/worksheets/sheet36791.xml"/>
  <Override ContentType="application/vnd.openxmlformats-officedocument.spreadsheetml.worksheet+xml" PartName="/xl/worksheets/sheet36792.xml"/>
  <Override ContentType="application/vnd.openxmlformats-officedocument.spreadsheetml.worksheet+xml" PartName="/xl/worksheets/sheet36793.xml"/>
  <Override ContentType="application/vnd.openxmlformats-officedocument.spreadsheetml.worksheet+xml" PartName="/xl/worksheets/sheet36794.xml"/>
  <Override ContentType="application/vnd.openxmlformats-officedocument.spreadsheetml.worksheet+xml" PartName="/xl/worksheets/sheet36795.xml"/>
  <Override ContentType="application/vnd.openxmlformats-officedocument.spreadsheetml.worksheet+xml" PartName="/xl/worksheets/sheet36796.xml"/>
  <Override ContentType="application/vnd.openxmlformats-officedocument.spreadsheetml.worksheet+xml" PartName="/xl/worksheets/sheet36797.xml"/>
  <Override ContentType="application/vnd.openxmlformats-officedocument.spreadsheetml.worksheet+xml" PartName="/xl/worksheets/sheet36798.xml"/>
  <Override ContentType="application/vnd.openxmlformats-officedocument.spreadsheetml.worksheet+xml" PartName="/xl/worksheets/sheet36799.xml"/>
  <Override ContentType="application/vnd.openxmlformats-officedocument.spreadsheetml.worksheet+xml" PartName="/xl/worksheets/sheet36800.xml"/>
  <Override ContentType="application/vnd.openxmlformats-officedocument.spreadsheetml.worksheet+xml" PartName="/xl/worksheets/sheet36801.xml"/>
  <Override ContentType="application/vnd.openxmlformats-officedocument.spreadsheetml.worksheet+xml" PartName="/xl/worksheets/sheet36802.xml"/>
  <Override ContentType="application/vnd.openxmlformats-officedocument.spreadsheetml.worksheet+xml" PartName="/xl/worksheets/sheet36803.xml"/>
  <Override ContentType="application/vnd.openxmlformats-officedocument.spreadsheetml.worksheet+xml" PartName="/xl/worksheets/sheet36804.xml"/>
  <Override ContentType="application/vnd.openxmlformats-officedocument.spreadsheetml.worksheet+xml" PartName="/xl/worksheets/sheet36805.xml"/>
  <Override ContentType="application/vnd.openxmlformats-officedocument.spreadsheetml.worksheet+xml" PartName="/xl/worksheets/sheet36806.xml"/>
  <Override ContentType="application/vnd.openxmlformats-officedocument.spreadsheetml.worksheet+xml" PartName="/xl/worksheets/sheet36807.xml"/>
  <Override ContentType="application/vnd.openxmlformats-officedocument.spreadsheetml.worksheet+xml" PartName="/xl/worksheets/sheet36808.xml"/>
  <Override ContentType="application/vnd.openxmlformats-officedocument.spreadsheetml.worksheet+xml" PartName="/xl/worksheets/sheet36809.xml"/>
  <Override ContentType="application/vnd.openxmlformats-officedocument.spreadsheetml.worksheet+xml" PartName="/xl/worksheets/sheet36810.xml"/>
  <Override ContentType="application/vnd.openxmlformats-officedocument.spreadsheetml.worksheet+xml" PartName="/xl/worksheets/sheet36811.xml"/>
  <Override ContentType="application/vnd.openxmlformats-officedocument.spreadsheetml.worksheet+xml" PartName="/xl/worksheets/sheet36812.xml"/>
  <Override ContentType="application/vnd.openxmlformats-officedocument.spreadsheetml.worksheet+xml" PartName="/xl/worksheets/sheet36813.xml"/>
  <Override ContentType="application/vnd.openxmlformats-officedocument.spreadsheetml.worksheet+xml" PartName="/xl/worksheets/sheet36814.xml"/>
  <Override ContentType="application/vnd.openxmlformats-officedocument.spreadsheetml.worksheet+xml" PartName="/xl/worksheets/sheet36815.xml"/>
  <Override ContentType="application/vnd.openxmlformats-officedocument.spreadsheetml.worksheet+xml" PartName="/xl/worksheets/sheet36816.xml"/>
  <Override ContentType="application/vnd.openxmlformats-officedocument.spreadsheetml.worksheet+xml" PartName="/xl/worksheets/sheet36817.xml"/>
  <Override ContentType="application/vnd.openxmlformats-officedocument.spreadsheetml.worksheet+xml" PartName="/xl/worksheets/sheet36818.xml"/>
  <Override ContentType="application/vnd.openxmlformats-officedocument.spreadsheetml.worksheet+xml" PartName="/xl/worksheets/sheet36819.xml"/>
  <Override ContentType="application/vnd.openxmlformats-officedocument.spreadsheetml.worksheet+xml" PartName="/xl/worksheets/sheet36820.xml"/>
  <Override ContentType="application/vnd.openxmlformats-officedocument.spreadsheetml.worksheet+xml" PartName="/xl/worksheets/sheet36821.xml"/>
  <Override ContentType="application/vnd.openxmlformats-officedocument.spreadsheetml.worksheet+xml" PartName="/xl/worksheets/sheet36822.xml"/>
  <Override ContentType="application/vnd.openxmlformats-officedocument.spreadsheetml.worksheet+xml" PartName="/xl/worksheets/sheet36823.xml"/>
  <Override ContentType="application/vnd.openxmlformats-officedocument.spreadsheetml.worksheet+xml" PartName="/xl/worksheets/sheet36824.xml"/>
  <Override ContentType="application/vnd.openxmlformats-officedocument.spreadsheetml.worksheet+xml" PartName="/xl/worksheets/sheet36825.xml"/>
  <Override ContentType="application/vnd.openxmlformats-officedocument.spreadsheetml.worksheet+xml" PartName="/xl/worksheets/sheet36826.xml"/>
  <Override ContentType="application/vnd.openxmlformats-officedocument.spreadsheetml.worksheet+xml" PartName="/xl/worksheets/sheet36827.xml"/>
  <Override ContentType="application/vnd.openxmlformats-officedocument.spreadsheetml.worksheet+xml" PartName="/xl/worksheets/sheet36828.xml"/>
  <Override ContentType="application/vnd.openxmlformats-officedocument.spreadsheetml.worksheet+xml" PartName="/xl/worksheets/sheet36829.xml"/>
  <Override ContentType="application/vnd.openxmlformats-officedocument.spreadsheetml.worksheet+xml" PartName="/xl/worksheets/sheet36830.xml"/>
  <Override ContentType="application/vnd.openxmlformats-officedocument.spreadsheetml.worksheet+xml" PartName="/xl/worksheets/sheet36831.xml"/>
  <Override ContentType="application/vnd.openxmlformats-officedocument.spreadsheetml.worksheet+xml" PartName="/xl/worksheets/sheet36832.xml"/>
  <Override ContentType="application/vnd.openxmlformats-officedocument.spreadsheetml.worksheet+xml" PartName="/xl/worksheets/sheet36833.xml"/>
  <Override ContentType="application/vnd.openxmlformats-officedocument.spreadsheetml.worksheet+xml" PartName="/xl/worksheets/sheet36834.xml"/>
  <Override ContentType="application/vnd.openxmlformats-officedocument.spreadsheetml.worksheet+xml" PartName="/xl/worksheets/sheet36835.xml"/>
  <Override ContentType="application/vnd.openxmlformats-officedocument.spreadsheetml.worksheet+xml" PartName="/xl/worksheets/sheet36836.xml"/>
  <Override ContentType="application/vnd.openxmlformats-officedocument.spreadsheetml.worksheet+xml" PartName="/xl/worksheets/sheet36837.xml"/>
  <Override ContentType="application/vnd.openxmlformats-officedocument.spreadsheetml.worksheet+xml" PartName="/xl/worksheets/sheet36838.xml"/>
  <Override ContentType="application/vnd.openxmlformats-officedocument.spreadsheetml.worksheet+xml" PartName="/xl/worksheets/sheet36839.xml"/>
  <Override ContentType="application/vnd.openxmlformats-officedocument.spreadsheetml.worksheet+xml" PartName="/xl/worksheets/sheet36840.xml"/>
  <Override ContentType="application/vnd.openxmlformats-officedocument.spreadsheetml.worksheet+xml" PartName="/xl/worksheets/sheet36841.xml"/>
  <Override ContentType="application/vnd.openxmlformats-officedocument.spreadsheetml.worksheet+xml" PartName="/xl/worksheets/sheet36842.xml"/>
  <Override ContentType="application/vnd.openxmlformats-officedocument.spreadsheetml.worksheet+xml" PartName="/xl/worksheets/sheet36843.xml"/>
  <Override ContentType="application/vnd.openxmlformats-officedocument.spreadsheetml.worksheet+xml" PartName="/xl/worksheets/sheet36844.xml"/>
  <Override ContentType="application/vnd.openxmlformats-officedocument.spreadsheetml.worksheet+xml" PartName="/xl/worksheets/sheet36845.xml"/>
  <Override ContentType="application/vnd.openxmlformats-officedocument.spreadsheetml.worksheet+xml" PartName="/xl/worksheets/sheet36846.xml"/>
  <Override ContentType="application/vnd.openxmlformats-officedocument.spreadsheetml.worksheet+xml" PartName="/xl/worksheets/sheet36847.xml"/>
  <Override ContentType="application/vnd.openxmlformats-officedocument.spreadsheetml.worksheet+xml" PartName="/xl/worksheets/sheet36848.xml"/>
  <Override ContentType="application/vnd.openxmlformats-officedocument.spreadsheetml.worksheet+xml" PartName="/xl/worksheets/sheet36849.xml"/>
  <Override ContentType="application/vnd.openxmlformats-officedocument.spreadsheetml.worksheet+xml" PartName="/xl/worksheets/sheet36850.xml"/>
  <Override ContentType="application/vnd.openxmlformats-officedocument.spreadsheetml.worksheet+xml" PartName="/xl/worksheets/sheet36851.xml"/>
  <Override ContentType="application/vnd.openxmlformats-officedocument.spreadsheetml.worksheet+xml" PartName="/xl/worksheets/sheet36852.xml"/>
  <Override ContentType="application/vnd.openxmlformats-officedocument.spreadsheetml.worksheet+xml" PartName="/xl/worksheets/sheet36853.xml"/>
  <Override ContentType="application/vnd.openxmlformats-officedocument.spreadsheetml.worksheet+xml" PartName="/xl/worksheets/sheet36854.xml"/>
  <Override ContentType="application/vnd.openxmlformats-officedocument.spreadsheetml.worksheet+xml" PartName="/xl/worksheets/sheet36855.xml"/>
  <Override ContentType="application/vnd.openxmlformats-officedocument.spreadsheetml.worksheet+xml" PartName="/xl/worksheets/sheet36856.xml"/>
  <Override ContentType="application/vnd.openxmlformats-officedocument.spreadsheetml.worksheet+xml" PartName="/xl/worksheets/sheet36857.xml"/>
  <Override ContentType="application/vnd.openxmlformats-officedocument.spreadsheetml.worksheet+xml" PartName="/xl/worksheets/sheet36858.xml"/>
  <Override ContentType="application/vnd.openxmlformats-officedocument.spreadsheetml.worksheet+xml" PartName="/xl/worksheets/sheet36859.xml"/>
  <Override ContentType="application/vnd.openxmlformats-officedocument.spreadsheetml.worksheet+xml" PartName="/xl/worksheets/sheet36860.xml"/>
  <Override ContentType="application/vnd.openxmlformats-officedocument.spreadsheetml.worksheet+xml" PartName="/xl/worksheets/sheet36861.xml"/>
  <Override ContentType="application/vnd.openxmlformats-officedocument.spreadsheetml.worksheet+xml" PartName="/xl/worksheets/sheet36862.xml"/>
  <Override ContentType="application/vnd.openxmlformats-officedocument.spreadsheetml.worksheet+xml" PartName="/xl/worksheets/sheet36863.xml"/>
  <Override ContentType="application/vnd.openxmlformats-officedocument.spreadsheetml.worksheet+xml" PartName="/xl/worksheets/sheet36864.xml"/>
  <Override ContentType="application/vnd.openxmlformats-officedocument.spreadsheetml.worksheet+xml" PartName="/xl/worksheets/sheet36865.xml"/>
  <Override ContentType="application/vnd.openxmlformats-officedocument.spreadsheetml.worksheet+xml" PartName="/xl/worksheets/sheet36866.xml"/>
  <Override ContentType="application/vnd.openxmlformats-officedocument.spreadsheetml.worksheet+xml" PartName="/xl/worksheets/sheet36867.xml"/>
  <Override ContentType="application/vnd.openxmlformats-officedocument.spreadsheetml.worksheet+xml" PartName="/xl/worksheets/sheet36868.xml"/>
  <Override ContentType="application/vnd.openxmlformats-officedocument.spreadsheetml.worksheet+xml" PartName="/xl/worksheets/sheet36869.xml"/>
  <Override ContentType="application/vnd.openxmlformats-officedocument.spreadsheetml.worksheet+xml" PartName="/xl/worksheets/sheet36870.xml"/>
  <Override ContentType="application/vnd.openxmlformats-officedocument.spreadsheetml.worksheet+xml" PartName="/xl/worksheets/sheet36871.xml"/>
  <Override ContentType="application/vnd.openxmlformats-officedocument.spreadsheetml.worksheet+xml" PartName="/xl/worksheets/sheet36872.xml"/>
  <Override ContentType="application/vnd.openxmlformats-officedocument.spreadsheetml.worksheet+xml" PartName="/xl/worksheets/sheet36873.xml"/>
  <Override ContentType="application/vnd.openxmlformats-officedocument.spreadsheetml.worksheet+xml" PartName="/xl/worksheets/sheet36874.xml"/>
  <Override ContentType="application/vnd.openxmlformats-officedocument.spreadsheetml.worksheet+xml" PartName="/xl/worksheets/sheet36875.xml"/>
  <Override ContentType="application/vnd.openxmlformats-officedocument.spreadsheetml.worksheet+xml" PartName="/xl/worksheets/sheet36876.xml"/>
  <Override ContentType="application/vnd.openxmlformats-officedocument.spreadsheetml.worksheet+xml" PartName="/xl/worksheets/sheet36877.xml"/>
  <Override ContentType="application/vnd.openxmlformats-officedocument.spreadsheetml.worksheet+xml" PartName="/xl/worksheets/sheet36878.xml"/>
  <Override ContentType="application/vnd.openxmlformats-officedocument.spreadsheetml.worksheet+xml" PartName="/xl/worksheets/sheet36879.xml"/>
  <Override ContentType="application/vnd.openxmlformats-officedocument.spreadsheetml.worksheet+xml" PartName="/xl/worksheets/sheet36880.xml"/>
  <Override ContentType="application/vnd.openxmlformats-officedocument.spreadsheetml.worksheet+xml" PartName="/xl/worksheets/sheet36881.xml"/>
  <Override ContentType="application/vnd.openxmlformats-officedocument.spreadsheetml.worksheet+xml" PartName="/xl/worksheets/sheet36882.xml"/>
  <Override ContentType="application/vnd.openxmlformats-officedocument.spreadsheetml.worksheet+xml" PartName="/xl/worksheets/sheet36883.xml"/>
  <Override ContentType="application/vnd.openxmlformats-officedocument.spreadsheetml.worksheet+xml" PartName="/xl/worksheets/sheet36884.xml"/>
  <Override ContentType="application/vnd.openxmlformats-officedocument.spreadsheetml.worksheet+xml" PartName="/xl/worksheets/sheet36885.xml"/>
  <Override ContentType="application/vnd.openxmlformats-officedocument.spreadsheetml.worksheet+xml" PartName="/xl/worksheets/sheet36886.xml"/>
  <Override ContentType="application/vnd.openxmlformats-officedocument.spreadsheetml.worksheet+xml" PartName="/xl/worksheets/sheet36887.xml"/>
  <Override ContentType="application/vnd.openxmlformats-officedocument.spreadsheetml.worksheet+xml" PartName="/xl/worksheets/sheet36888.xml"/>
  <Override ContentType="application/vnd.openxmlformats-officedocument.spreadsheetml.worksheet+xml" PartName="/xl/worksheets/sheet36889.xml"/>
  <Override ContentType="application/vnd.openxmlformats-officedocument.spreadsheetml.worksheet+xml" PartName="/xl/worksheets/sheet36890.xml"/>
  <Override ContentType="application/vnd.openxmlformats-officedocument.spreadsheetml.worksheet+xml" PartName="/xl/worksheets/sheet36891.xml"/>
  <Override ContentType="application/vnd.openxmlformats-officedocument.spreadsheetml.worksheet+xml" PartName="/xl/worksheets/sheet36892.xml"/>
  <Override ContentType="application/vnd.openxmlformats-officedocument.spreadsheetml.worksheet+xml" PartName="/xl/worksheets/sheet36893.xml"/>
  <Override ContentType="application/vnd.openxmlformats-officedocument.spreadsheetml.worksheet+xml" PartName="/xl/worksheets/sheet36894.xml"/>
  <Override ContentType="application/vnd.openxmlformats-officedocument.spreadsheetml.worksheet+xml" PartName="/xl/worksheets/sheet36895.xml"/>
  <Override ContentType="application/vnd.openxmlformats-officedocument.spreadsheetml.worksheet+xml" PartName="/xl/worksheets/sheet36896.xml"/>
  <Override ContentType="application/vnd.openxmlformats-officedocument.spreadsheetml.worksheet+xml" PartName="/xl/worksheets/sheet36897.xml"/>
  <Override ContentType="application/vnd.openxmlformats-officedocument.spreadsheetml.worksheet+xml" PartName="/xl/worksheets/sheet36898.xml"/>
  <Override ContentType="application/vnd.openxmlformats-officedocument.spreadsheetml.worksheet+xml" PartName="/xl/worksheets/sheet36899.xml"/>
  <Override ContentType="application/vnd.openxmlformats-officedocument.spreadsheetml.worksheet+xml" PartName="/xl/worksheets/sheet36900.xml"/>
  <Override ContentType="application/vnd.openxmlformats-officedocument.spreadsheetml.worksheet+xml" PartName="/xl/worksheets/sheet36901.xml"/>
  <Override ContentType="application/vnd.openxmlformats-officedocument.spreadsheetml.worksheet+xml" PartName="/xl/worksheets/sheet36902.xml"/>
  <Override ContentType="application/vnd.openxmlformats-officedocument.spreadsheetml.worksheet+xml" PartName="/xl/worksheets/sheet36903.xml"/>
  <Override ContentType="application/vnd.openxmlformats-officedocument.spreadsheetml.worksheet+xml" PartName="/xl/worksheets/sheet36904.xml"/>
  <Override ContentType="application/vnd.openxmlformats-officedocument.spreadsheetml.worksheet+xml" PartName="/xl/worksheets/sheet36905.xml"/>
  <Override ContentType="application/vnd.openxmlformats-officedocument.spreadsheetml.worksheet+xml" PartName="/xl/worksheets/sheet36906.xml"/>
  <Override ContentType="application/vnd.openxmlformats-officedocument.spreadsheetml.worksheet+xml" PartName="/xl/worksheets/sheet36907.xml"/>
  <Override ContentType="application/vnd.openxmlformats-officedocument.spreadsheetml.worksheet+xml" PartName="/xl/worksheets/sheet36908.xml"/>
  <Override ContentType="application/vnd.openxmlformats-officedocument.spreadsheetml.worksheet+xml" PartName="/xl/worksheets/sheet36909.xml"/>
  <Override ContentType="application/vnd.openxmlformats-officedocument.spreadsheetml.worksheet+xml" PartName="/xl/worksheets/sheet36910.xml"/>
  <Override ContentType="application/vnd.openxmlformats-officedocument.spreadsheetml.worksheet+xml" PartName="/xl/worksheets/sheet36911.xml"/>
  <Override ContentType="application/vnd.openxmlformats-officedocument.spreadsheetml.worksheet+xml" PartName="/xl/worksheets/sheet36912.xml"/>
  <Override ContentType="application/vnd.openxmlformats-officedocument.spreadsheetml.worksheet+xml" PartName="/xl/worksheets/sheet36913.xml"/>
  <Override ContentType="application/vnd.openxmlformats-officedocument.spreadsheetml.worksheet+xml" PartName="/xl/worksheets/sheet36914.xml"/>
  <Override ContentType="application/vnd.openxmlformats-officedocument.spreadsheetml.worksheet+xml" PartName="/xl/worksheets/sheet36915.xml"/>
  <Override ContentType="application/vnd.openxmlformats-officedocument.spreadsheetml.worksheet+xml" PartName="/xl/worksheets/sheet36916.xml"/>
  <Override ContentType="application/vnd.openxmlformats-officedocument.spreadsheetml.worksheet+xml" PartName="/xl/worksheets/sheet36917.xml"/>
  <Override ContentType="application/vnd.openxmlformats-officedocument.spreadsheetml.worksheet+xml" PartName="/xl/worksheets/sheet36918.xml"/>
  <Override ContentType="application/vnd.openxmlformats-officedocument.spreadsheetml.worksheet+xml" PartName="/xl/worksheets/sheet36919.xml"/>
  <Override ContentType="application/vnd.openxmlformats-officedocument.spreadsheetml.worksheet+xml" PartName="/xl/worksheets/sheet36920.xml"/>
  <Override ContentType="application/vnd.openxmlformats-officedocument.spreadsheetml.worksheet+xml" PartName="/xl/worksheets/sheet36921.xml"/>
  <Override ContentType="application/vnd.openxmlformats-officedocument.spreadsheetml.worksheet+xml" PartName="/xl/worksheets/sheet36922.xml"/>
  <Override ContentType="application/vnd.openxmlformats-officedocument.spreadsheetml.worksheet+xml" PartName="/xl/worksheets/sheet36923.xml"/>
  <Override ContentType="application/vnd.openxmlformats-officedocument.spreadsheetml.worksheet+xml" PartName="/xl/worksheets/sheet36924.xml"/>
  <Override ContentType="application/vnd.openxmlformats-officedocument.spreadsheetml.worksheet+xml" PartName="/xl/worksheets/sheet36925.xml"/>
  <Override ContentType="application/vnd.openxmlformats-officedocument.spreadsheetml.worksheet+xml" PartName="/xl/worksheets/sheet36926.xml"/>
  <Override ContentType="application/vnd.openxmlformats-officedocument.spreadsheetml.worksheet+xml" PartName="/xl/worksheets/sheet36927.xml"/>
  <Override ContentType="application/vnd.openxmlformats-officedocument.spreadsheetml.worksheet+xml" PartName="/xl/worksheets/sheet36928.xml"/>
  <Override ContentType="application/vnd.openxmlformats-officedocument.spreadsheetml.worksheet+xml" PartName="/xl/worksheets/sheet36929.xml"/>
  <Override ContentType="application/vnd.openxmlformats-officedocument.spreadsheetml.worksheet+xml" PartName="/xl/worksheets/sheet36930.xml"/>
  <Override ContentType="application/vnd.openxmlformats-officedocument.spreadsheetml.worksheet+xml" PartName="/xl/worksheets/sheet36931.xml"/>
  <Override ContentType="application/vnd.openxmlformats-officedocument.spreadsheetml.worksheet+xml" PartName="/xl/worksheets/sheet36932.xml"/>
  <Override ContentType="application/vnd.openxmlformats-officedocument.spreadsheetml.worksheet+xml" PartName="/xl/worksheets/sheet36933.xml"/>
  <Override ContentType="application/vnd.openxmlformats-officedocument.spreadsheetml.worksheet+xml" PartName="/xl/worksheets/sheet36934.xml"/>
  <Override ContentType="application/vnd.openxmlformats-officedocument.spreadsheetml.worksheet+xml" PartName="/xl/worksheets/sheet36935.xml"/>
  <Override ContentType="application/vnd.openxmlformats-officedocument.spreadsheetml.worksheet+xml" PartName="/xl/worksheets/sheet36936.xml"/>
  <Override ContentType="application/vnd.openxmlformats-officedocument.spreadsheetml.worksheet+xml" PartName="/xl/worksheets/sheet36937.xml"/>
  <Override ContentType="application/vnd.openxmlformats-officedocument.spreadsheetml.worksheet+xml" PartName="/xl/worksheets/sheet36938.xml"/>
  <Override ContentType="application/vnd.openxmlformats-officedocument.spreadsheetml.worksheet+xml" PartName="/xl/worksheets/sheet36939.xml"/>
  <Override ContentType="application/vnd.openxmlformats-officedocument.spreadsheetml.worksheet+xml" PartName="/xl/worksheets/sheet36940.xml"/>
  <Override ContentType="application/vnd.openxmlformats-officedocument.spreadsheetml.worksheet+xml" PartName="/xl/worksheets/sheet36941.xml"/>
  <Override ContentType="application/vnd.openxmlformats-officedocument.spreadsheetml.worksheet+xml" PartName="/xl/worksheets/sheet36942.xml"/>
  <Override ContentType="application/vnd.openxmlformats-officedocument.spreadsheetml.worksheet+xml" PartName="/xl/worksheets/sheet36943.xml"/>
  <Override ContentType="application/vnd.openxmlformats-officedocument.spreadsheetml.worksheet+xml" PartName="/xl/worksheets/sheet36944.xml"/>
  <Override ContentType="application/vnd.openxmlformats-officedocument.spreadsheetml.worksheet+xml" PartName="/xl/worksheets/sheet36945.xml"/>
  <Override ContentType="application/vnd.openxmlformats-officedocument.spreadsheetml.worksheet+xml" PartName="/xl/worksheets/sheet36946.xml"/>
  <Override ContentType="application/vnd.openxmlformats-officedocument.spreadsheetml.worksheet+xml" PartName="/xl/worksheets/sheet36947.xml"/>
  <Override ContentType="application/vnd.openxmlformats-officedocument.spreadsheetml.worksheet+xml" PartName="/xl/worksheets/sheet36948.xml"/>
  <Override ContentType="application/vnd.openxmlformats-officedocument.spreadsheetml.worksheet+xml" PartName="/xl/worksheets/sheet36949.xml"/>
  <Override ContentType="application/vnd.openxmlformats-officedocument.spreadsheetml.worksheet+xml" PartName="/xl/worksheets/sheet36950.xml"/>
  <Override ContentType="application/vnd.openxmlformats-officedocument.spreadsheetml.worksheet+xml" PartName="/xl/worksheets/sheet36951.xml"/>
  <Override ContentType="application/vnd.openxmlformats-officedocument.spreadsheetml.worksheet+xml" PartName="/xl/worksheets/sheet36952.xml"/>
  <Override ContentType="application/vnd.openxmlformats-officedocument.spreadsheetml.worksheet+xml" PartName="/xl/worksheets/sheet36953.xml"/>
  <Override ContentType="application/vnd.openxmlformats-officedocument.spreadsheetml.worksheet+xml" PartName="/xl/worksheets/sheet36954.xml"/>
  <Override ContentType="application/vnd.openxmlformats-officedocument.spreadsheetml.worksheet+xml" PartName="/xl/worksheets/sheet36955.xml"/>
  <Override ContentType="application/vnd.openxmlformats-officedocument.spreadsheetml.worksheet+xml" PartName="/xl/worksheets/sheet36956.xml"/>
  <Override ContentType="application/vnd.openxmlformats-officedocument.spreadsheetml.worksheet+xml" PartName="/xl/worksheets/sheet36957.xml"/>
  <Override ContentType="application/vnd.openxmlformats-officedocument.spreadsheetml.worksheet+xml" PartName="/xl/worksheets/sheet36958.xml"/>
  <Override ContentType="application/vnd.openxmlformats-officedocument.spreadsheetml.worksheet+xml" PartName="/xl/worksheets/sheet36959.xml"/>
  <Override ContentType="application/vnd.openxmlformats-officedocument.spreadsheetml.worksheet+xml" PartName="/xl/worksheets/sheet36960.xml"/>
  <Override ContentType="application/vnd.openxmlformats-officedocument.spreadsheetml.worksheet+xml" PartName="/xl/worksheets/sheet36961.xml"/>
  <Override ContentType="application/vnd.openxmlformats-officedocument.spreadsheetml.worksheet+xml" PartName="/xl/worksheets/sheet36962.xml"/>
  <Override ContentType="application/vnd.openxmlformats-officedocument.spreadsheetml.worksheet+xml" PartName="/xl/worksheets/sheet36963.xml"/>
  <Override ContentType="application/vnd.openxmlformats-officedocument.spreadsheetml.worksheet+xml" PartName="/xl/worksheets/sheet36964.xml"/>
  <Override ContentType="application/vnd.openxmlformats-officedocument.spreadsheetml.worksheet+xml" PartName="/xl/worksheets/sheet36965.xml"/>
  <Override ContentType="application/vnd.openxmlformats-officedocument.spreadsheetml.worksheet+xml" PartName="/xl/worksheets/sheet36966.xml"/>
  <Override ContentType="application/vnd.openxmlformats-officedocument.spreadsheetml.worksheet+xml" PartName="/xl/worksheets/sheet36967.xml"/>
  <Override ContentType="application/vnd.openxmlformats-officedocument.spreadsheetml.worksheet+xml" PartName="/xl/worksheets/sheet36968.xml"/>
  <Override ContentType="application/vnd.openxmlformats-officedocument.spreadsheetml.worksheet+xml" PartName="/xl/worksheets/sheet36969.xml"/>
  <Override ContentType="application/vnd.openxmlformats-officedocument.spreadsheetml.worksheet+xml" PartName="/xl/worksheets/sheet36970.xml"/>
  <Override ContentType="application/vnd.openxmlformats-officedocument.spreadsheetml.worksheet+xml" PartName="/xl/worksheets/sheet36971.xml"/>
  <Override ContentType="application/vnd.openxmlformats-officedocument.spreadsheetml.worksheet+xml" PartName="/xl/worksheets/sheet36972.xml"/>
  <Override ContentType="application/vnd.openxmlformats-officedocument.spreadsheetml.worksheet+xml" PartName="/xl/worksheets/sheet36973.xml"/>
  <Override ContentType="application/vnd.openxmlformats-officedocument.spreadsheetml.worksheet+xml" PartName="/xl/worksheets/sheet36974.xml"/>
  <Override ContentType="application/vnd.openxmlformats-officedocument.spreadsheetml.worksheet+xml" PartName="/xl/worksheets/sheet36975.xml"/>
  <Override ContentType="application/vnd.openxmlformats-officedocument.spreadsheetml.worksheet+xml" PartName="/xl/worksheets/sheet36976.xml"/>
  <Override ContentType="application/vnd.openxmlformats-officedocument.spreadsheetml.worksheet+xml" PartName="/xl/worksheets/sheet36977.xml"/>
  <Override ContentType="application/vnd.openxmlformats-officedocument.spreadsheetml.worksheet+xml" PartName="/xl/worksheets/sheet36978.xml"/>
  <Override ContentType="application/vnd.openxmlformats-officedocument.spreadsheetml.worksheet+xml" PartName="/xl/worksheets/sheet36979.xml"/>
  <Override ContentType="application/vnd.openxmlformats-officedocument.spreadsheetml.worksheet+xml" PartName="/xl/worksheets/sheet36980.xml"/>
  <Override ContentType="application/vnd.openxmlformats-officedocument.spreadsheetml.worksheet+xml" PartName="/xl/worksheets/sheet36981.xml"/>
  <Override ContentType="application/vnd.openxmlformats-officedocument.spreadsheetml.worksheet+xml" PartName="/xl/worksheets/sheet36982.xml"/>
  <Override ContentType="application/vnd.openxmlformats-officedocument.spreadsheetml.worksheet+xml" PartName="/xl/worksheets/sheet36983.xml"/>
  <Override ContentType="application/vnd.openxmlformats-officedocument.spreadsheetml.worksheet+xml" PartName="/xl/worksheets/sheet36984.xml"/>
  <Override ContentType="application/vnd.openxmlformats-officedocument.spreadsheetml.worksheet+xml" PartName="/xl/worksheets/sheet36985.xml"/>
  <Override ContentType="application/vnd.openxmlformats-officedocument.spreadsheetml.worksheet+xml" PartName="/xl/worksheets/sheet36986.xml"/>
  <Override ContentType="application/vnd.openxmlformats-officedocument.spreadsheetml.worksheet+xml" PartName="/xl/worksheets/sheet36987.xml"/>
  <Override ContentType="application/vnd.openxmlformats-officedocument.spreadsheetml.worksheet+xml" PartName="/xl/worksheets/sheet36988.xml"/>
  <Override ContentType="application/vnd.openxmlformats-officedocument.spreadsheetml.worksheet+xml" PartName="/xl/worksheets/sheet36989.xml"/>
  <Override ContentType="application/vnd.openxmlformats-officedocument.spreadsheetml.worksheet+xml" PartName="/xl/worksheets/sheet36990.xml"/>
  <Override ContentType="application/vnd.openxmlformats-officedocument.spreadsheetml.worksheet+xml" PartName="/xl/worksheets/sheet36991.xml"/>
  <Override ContentType="application/vnd.openxmlformats-officedocument.spreadsheetml.worksheet+xml" PartName="/xl/worksheets/sheet36992.xml"/>
  <Override ContentType="application/vnd.openxmlformats-officedocument.spreadsheetml.worksheet+xml" PartName="/xl/worksheets/sheet36993.xml"/>
  <Override ContentType="application/vnd.openxmlformats-officedocument.spreadsheetml.worksheet+xml" PartName="/xl/worksheets/sheet36994.xml"/>
  <Override ContentType="application/vnd.openxmlformats-officedocument.spreadsheetml.worksheet+xml" PartName="/xl/worksheets/sheet36995.xml"/>
  <Override ContentType="application/vnd.openxmlformats-officedocument.spreadsheetml.worksheet+xml" PartName="/xl/worksheets/sheet36996.xml"/>
  <Override ContentType="application/vnd.openxmlformats-officedocument.spreadsheetml.worksheet+xml" PartName="/xl/worksheets/sheet36997.xml"/>
  <Override ContentType="application/vnd.openxmlformats-officedocument.spreadsheetml.worksheet+xml" PartName="/xl/worksheets/sheet36998.xml"/>
  <Override ContentType="application/vnd.openxmlformats-officedocument.spreadsheetml.worksheet+xml" PartName="/xl/worksheets/sheet36999.xml"/>
  <Override ContentType="application/vnd.openxmlformats-officedocument.spreadsheetml.worksheet+xml" PartName="/xl/worksheets/sheet37000.xml"/>
  <Override ContentType="application/vnd.openxmlformats-officedocument.spreadsheetml.worksheet+xml" PartName="/xl/worksheets/sheet37001.xml"/>
  <Override ContentType="application/vnd.openxmlformats-officedocument.spreadsheetml.worksheet+xml" PartName="/xl/worksheets/sheet37002.xml"/>
  <Override ContentType="application/vnd.openxmlformats-officedocument.spreadsheetml.worksheet+xml" PartName="/xl/worksheets/sheet37003.xml"/>
  <Override ContentType="application/vnd.openxmlformats-officedocument.spreadsheetml.worksheet+xml" PartName="/xl/worksheets/sheet37004.xml"/>
  <Override ContentType="application/vnd.openxmlformats-officedocument.spreadsheetml.worksheet+xml" PartName="/xl/worksheets/sheet37005.xml"/>
  <Override ContentType="application/vnd.openxmlformats-officedocument.spreadsheetml.worksheet+xml" PartName="/xl/worksheets/sheet37006.xml"/>
  <Override ContentType="application/vnd.openxmlformats-officedocument.spreadsheetml.worksheet+xml" PartName="/xl/worksheets/sheet37007.xml"/>
  <Override ContentType="application/vnd.openxmlformats-officedocument.spreadsheetml.worksheet+xml" PartName="/xl/worksheets/sheet37008.xml"/>
  <Override ContentType="application/vnd.openxmlformats-officedocument.spreadsheetml.worksheet+xml" PartName="/xl/worksheets/sheet37009.xml"/>
  <Override ContentType="application/vnd.openxmlformats-officedocument.spreadsheetml.worksheet+xml" PartName="/xl/worksheets/sheet37010.xml"/>
  <Override ContentType="application/vnd.openxmlformats-officedocument.spreadsheetml.worksheet+xml" PartName="/xl/worksheets/sheet37011.xml"/>
  <Override ContentType="application/vnd.openxmlformats-officedocument.spreadsheetml.worksheet+xml" PartName="/xl/worksheets/sheet37012.xml"/>
  <Override ContentType="application/vnd.openxmlformats-officedocument.spreadsheetml.worksheet+xml" PartName="/xl/worksheets/sheet37013.xml"/>
  <Override ContentType="application/vnd.openxmlformats-officedocument.spreadsheetml.worksheet+xml" PartName="/xl/worksheets/sheet37014.xml"/>
  <Override ContentType="application/vnd.openxmlformats-officedocument.spreadsheetml.worksheet+xml" PartName="/xl/worksheets/sheet37015.xml"/>
  <Override ContentType="application/vnd.openxmlformats-officedocument.spreadsheetml.worksheet+xml" PartName="/xl/worksheets/sheet37016.xml"/>
  <Override ContentType="application/vnd.openxmlformats-officedocument.spreadsheetml.worksheet+xml" PartName="/xl/worksheets/sheet37017.xml"/>
  <Override ContentType="application/vnd.openxmlformats-officedocument.spreadsheetml.worksheet+xml" PartName="/xl/worksheets/sheet37018.xml"/>
  <Override ContentType="application/vnd.openxmlformats-officedocument.spreadsheetml.worksheet+xml" PartName="/xl/worksheets/sheet37019.xml"/>
  <Override ContentType="application/vnd.openxmlformats-officedocument.spreadsheetml.worksheet+xml" PartName="/xl/worksheets/sheet37020.xml"/>
  <Override ContentType="application/vnd.openxmlformats-officedocument.spreadsheetml.worksheet+xml" PartName="/xl/worksheets/sheet37021.xml"/>
  <Override ContentType="application/vnd.openxmlformats-officedocument.spreadsheetml.worksheet+xml" PartName="/xl/worksheets/sheet37022.xml"/>
  <Override ContentType="application/vnd.openxmlformats-officedocument.spreadsheetml.worksheet+xml" PartName="/xl/worksheets/sheet37023.xml"/>
  <Override ContentType="application/vnd.openxmlformats-officedocument.spreadsheetml.worksheet+xml" PartName="/xl/worksheets/sheet37024.xml"/>
  <Override ContentType="application/vnd.openxmlformats-officedocument.spreadsheetml.worksheet+xml" PartName="/xl/worksheets/sheet37025.xml"/>
  <Override ContentType="application/vnd.openxmlformats-officedocument.spreadsheetml.worksheet+xml" PartName="/xl/worksheets/sheet37026.xml"/>
  <Override ContentType="application/vnd.openxmlformats-officedocument.spreadsheetml.worksheet+xml" PartName="/xl/worksheets/sheet37027.xml"/>
  <Override ContentType="application/vnd.openxmlformats-officedocument.spreadsheetml.worksheet+xml" PartName="/xl/worksheets/sheet37028.xml"/>
  <Override ContentType="application/vnd.openxmlformats-officedocument.spreadsheetml.worksheet+xml" PartName="/xl/worksheets/sheet37029.xml"/>
  <Override ContentType="application/vnd.openxmlformats-officedocument.spreadsheetml.worksheet+xml" PartName="/xl/worksheets/sheet37030.xml"/>
  <Override ContentType="application/vnd.openxmlformats-officedocument.spreadsheetml.worksheet+xml" PartName="/xl/worksheets/sheet37031.xml"/>
  <Override ContentType="application/vnd.openxmlformats-officedocument.spreadsheetml.worksheet+xml" PartName="/xl/worksheets/sheet37032.xml"/>
  <Override ContentType="application/vnd.openxmlformats-officedocument.spreadsheetml.worksheet+xml" PartName="/xl/worksheets/sheet37033.xml"/>
  <Override ContentType="application/vnd.openxmlformats-officedocument.spreadsheetml.worksheet+xml" PartName="/xl/worksheets/sheet37034.xml"/>
  <Override ContentType="application/vnd.openxmlformats-officedocument.spreadsheetml.worksheet+xml" PartName="/xl/worksheets/sheet37035.xml"/>
  <Override ContentType="application/vnd.openxmlformats-officedocument.spreadsheetml.worksheet+xml" PartName="/xl/worksheets/sheet37036.xml"/>
  <Override ContentType="application/vnd.openxmlformats-officedocument.spreadsheetml.worksheet+xml" PartName="/xl/worksheets/sheet37037.xml"/>
  <Override ContentType="application/vnd.openxmlformats-officedocument.spreadsheetml.worksheet+xml" PartName="/xl/worksheets/sheet37038.xml"/>
  <Override ContentType="application/vnd.openxmlformats-officedocument.spreadsheetml.worksheet+xml" PartName="/xl/worksheets/sheet37039.xml"/>
  <Override ContentType="application/vnd.openxmlformats-officedocument.spreadsheetml.worksheet+xml" PartName="/xl/worksheets/sheet37040.xml"/>
  <Override ContentType="application/vnd.openxmlformats-officedocument.spreadsheetml.worksheet+xml" PartName="/xl/worksheets/sheet37041.xml"/>
  <Override ContentType="application/vnd.openxmlformats-officedocument.spreadsheetml.worksheet+xml" PartName="/xl/worksheets/sheet37042.xml"/>
  <Override ContentType="application/vnd.openxmlformats-officedocument.spreadsheetml.worksheet+xml" PartName="/xl/worksheets/sheet37043.xml"/>
  <Override ContentType="application/vnd.openxmlformats-officedocument.spreadsheetml.worksheet+xml" PartName="/xl/worksheets/sheet37044.xml"/>
  <Override ContentType="application/vnd.openxmlformats-officedocument.spreadsheetml.worksheet+xml" PartName="/xl/worksheets/sheet37045.xml"/>
  <Override ContentType="application/vnd.openxmlformats-officedocument.spreadsheetml.worksheet+xml" PartName="/xl/worksheets/sheet37046.xml"/>
  <Override ContentType="application/vnd.openxmlformats-officedocument.spreadsheetml.worksheet+xml" PartName="/xl/worksheets/sheet37047.xml"/>
  <Override ContentType="application/vnd.openxmlformats-officedocument.spreadsheetml.worksheet+xml" PartName="/xl/worksheets/sheet37048.xml"/>
  <Override ContentType="application/vnd.openxmlformats-officedocument.spreadsheetml.worksheet+xml" PartName="/xl/worksheets/sheet37049.xml"/>
  <Override ContentType="application/vnd.openxmlformats-officedocument.spreadsheetml.worksheet+xml" PartName="/xl/worksheets/sheet37050.xml"/>
  <Override ContentType="application/vnd.openxmlformats-officedocument.spreadsheetml.worksheet+xml" PartName="/xl/worksheets/sheet37051.xml"/>
  <Override ContentType="application/vnd.openxmlformats-officedocument.spreadsheetml.worksheet+xml" PartName="/xl/worksheets/sheet37052.xml"/>
  <Override ContentType="application/vnd.openxmlformats-officedocument.spreadsheetml.worksheet+xml" PartName="/xl/worksheets/sheet37053.xml"/>
  <Override ContentType="application/vnd.openxmlformats-officedocument.spreadsheetml.worksheet+xml" PartName="/xl/worksheets/sheet37054.xml"/>
  <Override ContentType="application/vnd.openxmlformats-officedocument.spreadsheetml.worksheet+xml" PartName="/xl/worksheets/sheet37055.xml"/>
  <Override ContentType="application/vnd.openxmlformats-officedocument.spreadsheetml.worksheet+xml" PartName="/xl/worksheets/sheet37056.xml"/>
  <Override ContentType="application/vnd.openxmlformats-officedocument.spreadsheetml.worksheet+xml" PartName="/xl/worksheets/sheet37057.xml"/>
  <Override ContentType="application/vnd.openxmlformats-officedocument.spreadsheetml.worksheet+xml" PartName="/xl/worksheets/sheet37058.xml"/>
  <Override ContentType="application/vnd.openxmlformats-officedocument.spreadsheetml.worksheet+xml" PartName="/xl/worksheets/sheet37059.xml"/>
  <Override ContentType="application/vnd.openxmlformats-officedocument.spreadsheetml.worksheet+xml" PartName="/xl/worksheets/sheet37060.xml"/>
  <Override ContentType="application/vnd.openxmlformats-officedocument.spreadsheetml.worksheet+xml" PartName="/xl/worksheets/sheet37061.xml"/>
  <Override ContentType="application/vnd.openxmlformats-officedocument.spreadsheetml.worksheet+xml" PartName="/xl/worksheets/sheet37062.xml"/>
  <Override ContentType="application/vnd.openxmlformats-officedocument.spreadsheetml.worksheet+xml" PartName="/xl/worksheets/sheet37063.xml"/>
  <Override ContentType="application/vnd.openxmlformats-officedocument.spreadsheetml.worksheet+xml" PartName="/xl/worksheets/sheet37064.xml"/>
  <Override ContentType="application/vnd.openxmlformats-officedocument.spreadsheetml.worksheet+xml" PartName="/xl/worksheets/sheet37065.xml"/>
  <Override ContentType="application/vnd.openxmlformats-officedocument.spreadsheetml.worksheet+xml" PartName="/xl/worksheets/sheet37066.xml"/>
  <Override ContentType="application/vnd.openxmlformats-officedocument.spreadsheetml.worksheet+xml" PartName="/xl/worksheets/sheet37067.xml"/>
  <Override ContentType="application/vnd.openxmlformats-officedocument.spreadsheetml.worksheet+xml" PartName="/xl/worksheets/sheet37068.xml"/>
  <Override ContentType="application/vnd.openxmlformats-officedocument.spreadsheetml.worksheet+xml" PartName="/xl/worksheets/sheet37069.xml"/>
  <Override ContentType="application/vnd.openxmlformats-officedocument.spreadsheetml.worksheet+xml" PartName="/xl/worksheets/sheet37070.xml"/>
  <Override ContentType="application/vnd.openxmlformats-officedocument.spreadsheetml.worksheet+xml" PartName="/xl/worksheets/sheet37071.xml"/>
  <Override ContentType="application/vnd.openxmlformats-officedocument.spreadsheetml.worksheet+xml" PartName="/xl/worksheets/sheet37072.xml"/>
  <Override ContentType="application/vnd.openxmlformats-officedocument.spreadsheetml.worksheet+xml" PartName="/xl/worksheets/sheet37073.xml"/>
  <Override ContentType="application/vnd.openxmlformats-officedocument.spreadsheetml.worksheet+xml" PartName="/xl/worksheets/sheet37074.xml"/>
  <Override ContentType="application/vnd.openxmlformats-officedocument.spreadsheetml.worksheet+xml" PartName="/xl/worksheets/sheet37075.xml"/>
  <Override ContentType="application/vnd.openxmlformats-officedocument.spreadsheetml.worksheet+xml" PartName="/xl/worksheets/sheet37076.xml"/>
  <Override ContentType="application/vnd.openxmlformats-officedocument.spreadsheetml.worksheet+xml" PartName="/xl/worksheets/sheet37077.xml"/>
  <Override ContentType="application/vnd.openxmlformats-officedocument.spreadsheetml.worksheet+xml" PartName="/xl/worksheets/sheet37078.xml"/>
  <Override ContentType="application/vnd.openxmlformats-officedocument.spreadsheetml.worksheet+xml" PartName="/xl/worksheets/sheet37079.xml"/>
  <Override ContentType="application/vnd.openxmlformats-officedocument.spreadsheetml.worksheet+xml" PartName="/xl/worksheets/sheet37080.xml"/>
  <Override ContentType="application/vnd.openxmlformats-officedocument.spreadsheetml.worksheet+xml" PartName="/xl/worksheets/sheet37081.xml"/>
  <Override ContentType="application/vnd.openxmlformats-officedocument.spreadsheetml.worksheet+xml" PartName="/xl/worksheets/sheet37082.xml"/>
  <Override ContentType="application/vnd.openxmlformats-officedocument.spreadsheetml.worksheet+xml" PartName="/xl/worksheets/sheet37083.xml"/>
  <Override ContentType="application/vnd.openxmlformats-officedocument.spreadsheetml.worksheet+xml" PartName="/xl/worksheets/sheet37084.xml"/>
  <Override ContentType="application/vnd.openxmlformats-officedocument.spreadsheetml.worksheet+xml" PartName="/xl/worksheets/sheet37085.xml"/>
  <Override ContentType="application/vnd.openxmlformats-officedocument.spreadsheetml.worksheet+xml" PartName="/xl/worksheets/sheet37086.xml"/>
  <Override ContentType="application/vnd.openxmlformats-officedocument.spreadsheetml.worksheet+xml" PartName="/xl/worksheets/sheet37087.xml"/>
  <Override ContentType="application/vnd.openxmlformats-officedocument.spreadsheetml.worksheet+xml" PartName="/xl/worksheets/sheet37088.xml"/>
  <Override ContentType="application/vnd.openxmlformats-officedocument.spreadsheetml.worksheet+xml" PartName="/xl/worksheets/sheet37089.xml"/>
  <Override ContentType="application/vnd.openxmlformats-officedocument.spreadsheetml.worksheet+xml" PartName="/xl/worksheets/sheet37090.xml"/>
  <Override ContentType="application/vnd.openxmlformats-officedocument.spreadsheetml.worksheet+xml" PartName="/xl/worksheets/sheet37091.xml"/>
  <Override ContentType="application/vnd.openxmlformats-officedocument.spreadsheetml.worksheet+xml" PartName="/xl/worksheets/sheet37092.xml"/>
  <Override ContentType="application/vnd.openxmlformats-officedocument.spreadsheetml.worksheet+xml" PartName="/xl/worksheets/sheet37093.xml"/>
  <Override ContentType="application/vnd.openxmlformats-officedocument.spreadsheetml.worksheet+xml" PartName="/xl/worksheets/sheet37094.xml"/>
  <Override ContentType="application/vnd.openxmlformats-officedocument.spreadsheetml.worksheet+xml" PartName="/xl/worksheets/sheet37095.xml"/>
  <Override ContentType="application/vnd.openxmlformats-officedocument.spreadsheetml.worksheet+xml" PartName="/xl/worksheets/sheet37096.xml"/>
  <Override ContentType="application/vnd.openxmlformats-officedocument.spreadsheetml.worksheet+xml" PartName="/xl/worksheets/sheet37097.xml"/>
  <Override ContentType="application/vnd.openxmlformats-officedocument.spreadsheetml.worksheet+xml" PartName="/xl/worksheets/sheet37098.xml"/>
  <Override ContentType="application/vnd.openxmlformats-officedocument.spreadsheetml.worksheet+xml" PartName="/xl/worksheets/sheet37099.xml"/>
  <Override ContentType="application/vnd.openxmlformats-officedocument.spreadsheetml.worksheet+xml" PartName="/xl/worksheets/sheet37100.xml"/>
  <Override ContentType="application/vnd.openxmlformats-officedocument.spreadsheetml.worksheet+xml" PartName="/xl/worksheets/sheet37101.xml"/>
  <Override ContentType="application/vnd.openxmlformats-officedocument.spreadsheetml.worksheet+xml" PartName="/xl/worksheets/sheet37102.xml"/>
  <Override ContentType="application/vnd.openxmlformats-officedocument.spreadsheetml.worksheet+xml" PartName="/xl/worksheets/sheet37103.xml"/>
  <Override ContentType="application/vnd.openxmlformats-officedocument.spreadsheetml.worksheet+xml" PartName="/xl/worksheets/sheet37104.xml"/>
  <Override ContentType="application/vnd.openxmlformats-officedocument.spreadsheetml.worksheet+xml" PartName="/xl/worksheets/sheet37105.xml"/>
  <Override ContentType="application/vnd.openxmlformats-officedocument.spreadsheetml.worksheet+xml" PartName="/xl/worksheets/sheet37106.xml"/>
  <Override ContentType="application/vnd.openxmlformats-officedocument.spreadsheetml.worksheet+xml" PartName="/xl/worksheets/sheet37107.xml"/>
  <Override ContentType="application/vnd.openxmlformats-officedocument.spreadsheetml.worksheet+xml" PartName="/xl/worksheets/sheet37108.xml"/>
  <Override ContentType="application/vnd.openxmlformats-officedocument.spreadsheetml.worksheet+xml" PartName="/xl/worksheets/sheet37109.xml"/>
  <Override ContentType="application/vnd.openxmlformats-officedocument.spreadsheetml.worksheet+xml" PartName="/xl/worksheets/sheet37110.xml"/>
  <Override ContentType="application/vnd.openxmlformats-officedocument.spreadsheetml.worksheet+xml" PartName="/xl/worksheets/sheet37111.xml"/>
  <Override ContentType="application/vnd.openxmlformats-officedocument.spreadsheetml.worksheet+xml" PartName="/xl/worksheets/sheet37112.xml"/>
  <Override ContentType="application/vnd.openxmlformats-officedocument.spreadsheetml.worksheet+xml" PartName="/xl/worksheets/sheet37113.xml"/>
  <Override ContentType="application/vnd.openxmlformats-officedocument.spreadsheetml.worksheet+xml" PartName="/xl/worksheets/sheet37114.xml"/>
  <Override ContentType="application/vnd.openxmlformats-officedocument.spreadsheetml.worksheet+xml" PartName="/xl/worksheets/sheet37115.xml"/>
  <Override ContentType="application/vnd.openxmlformats-officedocument.spreadsheetml.worksheet+xml" PartName="/xl/worksheets/sheet37116.xml"/>
  <Override ContentType="application/vnd.openxmlformats-officedocument.spreadsheetml.worksheet+xml" PartName="/xl/worksheets/sheet37117.xml"/>
  <Override ContentType="application/vnd.openxmlformats-officedocument.spreadsheetml.worksheet+xml" PartName="/xl/worksheets/sheet37118.xml"/>
  <Override ContentType="application/vnd.openxmlformats-officedocument.spreadsheetml.worksheet+xml" PartName="/xl/worksheets/sheet37119.xml"/>
  <Override ContentType="application/vnd.openxmlformats-officedocument.spreadsheetml.worksheet+xml" PartName="/xl/worksheets/sheet37120.xml"/>
  <Override ContentType="application/vnd.openxmlformats-officedocument.spreadsheetml.worksheet+xml" PartName="/xl/worksheets/sheet37121.xml"/>
  <Override ContentType="application/vnd.openxmlformats-officedocument.spreadsheetml.worksheet+xml" PartName="/xl/worksheets/sheet37122.xml"/>
  <Override ContentType="application/vnd.openxmlformats-officedocument.spreadsheetml.worksheet+xml" PartName="/xl/worksheets/sheet37123.xml"/>
  <Override ContentType="application/vnd.openxmlformats-officedocument.spreadsheetml.worksheet+xml" PartName="/xl/worksheets/sheet37124.xml"/>
  <Override ContentType="application/vnd.openxmlformats-officedocument.spreadsheetml.worksheet+xml" PartName="/xl/worksheets/sheet37125.xml"/>
  <Override ContentType="application/vnd.openxmlformats-officedocument.spreadsheetml.worksheet+xml" PartName="/xl/worksheets/sheet37126.xml"/>
  <Override ContentType="application/vnd.openxmlformats-officedocument.spreadsheetml.worksheet+xml" PartName="/xl/worksheets/sheet37127.xml"/>
  <Override ContentType="application/vnd.openxmlformats-officedocument.spreadsheetml.worksheet+xml" PartName="/xl/worksheets/sheet37128.xml"/>
  <Override ContentType="application/vnd.openxmlformats-officedocument.spreadsheetml.worksheet+xml" PartName="/xl/worksheets/sheet37129.xml"/>
  <Override ContentType="application/vnd.openxmlformats-officedocument.spreadsheetml.worksheet+xml" PartName="/xl/worksheets/sheet37130.xml"/>
  <Override ContentType="application/vnd.openxmlformats-officedocument.spreadsheetml.worksheet+xml" PartName="/xl/worksheets/sheet37131.xml"/>
  <Override ContentType="application/vnd.openxmlformats-officedocument.spreadsheetml.worksheet+xml" PartName="/xl/worksheets/sheet37132.xml"/>
  <Override ContentType="application/vnd.openxmlformats-officedocument.spreadsheetml.worksheet+xml" PartName="/xl/worksheets/sheet37133.xml"/>
  <Override ContentType="application/vnd.openxmlformats-officedocument.spreadsheetml.worksheet+xml" PartName="/xl/worksheets/sheet37134.xml"/>
  <Override ContentType="application/vnd.openxmlformats-officedocument.spreadsheetml.worksheet+xml" PartName="/xl/worksheets/sheet37135.xml"/>
  <Override ContentType="application/vnd.openxmlformats-officedocument.spreadsheetml.worksheet+xml" PartName="/xl/worksheets/sheet37136.xml"/>
  <Override ContentType="application/vnd.openxmlformats-officedocument.spreadsheetml.worksheet+xml" PartName="/xl/worksheets/sheet37137.xml"/>
  <Override ContentType="application/vnd.openxmlformats-officedocument.spreadsheetml.worksheet+xml" PartName="/xl/worksheets/sheet37138.xml"/>
  <Override ContentType="application/vnd.openxmlformats-officedocument.spreadsheetml.worksheet+xml" PartName="/xl/worksheets/sheet37139.xml"/>
  <Override ContentType="application/vnd.openxmlformats-officedocument.spreadsheetml.worksheet+xml" PartName="/xl/worksheets/sheet37140.xml"/>
  <Override ContentType="application/vnd.openxmlformats-officedocument.spreadsheetml.worksheet+xml" PartName="/xl/worksheets/sheet37141.xml"/>
  <Override ContentType="application/vnd.openxmlformats-officedocument.spreadsheetml.worksheet+xml" PartName="/xl/worksheets/sheet37142.xml"/>
  <Override ContentType="application/vnd.openxmlformats-officedocument.spreadsheetml.worksheet+xml" PartName="/xl/worksheets/sheet37143.xml"/>
  <Override ContentType="application/vnd.openxmlformats-officedocument.spreadsheetml.worksheet+xml" PartName="/xl/worksheets/sheet37144.xml"/>
  <Override ContentType="application/vnd.openxmlformats-officedocument.spreadsheetml.worksheet+xml" PartName="/xl/worksheets/sheet37145.xml"/>
  <Override ContentType="application/vnd.openxmlformats-officedocument.spreadsheetml.worksheet+xml" PartName="/xl/worksheets/sheet37146.xml"/>
  <Override ContentType="application/vnd.openxmlformats-officedocument.spreadsheetml.worksheet+xml" PartName="/xl/worksheets/sheet37147.xml"/>
  <Override ContentType="application/vnd.openxmlformats-officedocument.spreadsheetml.worksheet+xml" PartName="/xl/worksheets/sheet37148.xml"/>
  <Override ContentType="application/vnd.openxmlformats-officedocument.spreadsheetml.worksheet+xml" PartName="/xl/worksheets/sheet37149.xml"/>
  <Override ContentType="application/vnd.openxmlformats-officedocument.spreadsheetml.worksheet+xml" PartName="/xl/worksheets/sheet37150.xml"/>
  <Override ContentType="application/vnd.openxmlformats-officedocument.spreadsheetml.worksheet+xml" PartName="/xl/worksheets/sheet37151.xml"/>
  <Override ContentType="application/vnd.openxmlformats-officedocument.spreadsheetml.worksheet+xml" PartName="/xl/worksheets/sheet37152.xml"/>
  <Override ContentType="application/vnd.openxmlformats-officedocument.spreadsheetml.worksheet+xml" PartName="/xl/worksheets/sheet37153.xml"/>
  <Override ContentType="application/vnd.openxmlformats-officedocument.spreadsheetml.worksheet+xml" PartName="/xl/worksheets/sheet37154.xml"/>
  <Override ContentType="application/vnd.openxmlformats-officedocument.spreadsheetml.worksheet+xml" PartName="/xl/worksheets/sheet37155.xml"/>
  <Override ContentType="application/vnd.openxmlformats-officedocument.spreadsheetml.worksheet+xml" PartName="/xl/worksheets/sheet37156.xml"/>
  <Override ContentType="application/vnd.openxmlformats-officedocument.spreadsheetml.worksheet+xml" PartName="/xl/worksheets/sheet37157.xml"/>
  <Override ContentType="application/vnd.openxmlformats-officedocument.spreadsheetml.worksheet+xml" PartName="/xl/worksheets/sheet37158.xml"/>
  <Override ContentType="application/vnd.openxmlformats-officedocument.spreadsheetml.worksheet+xml" PartName="/xl/worksheets/sheet37159.xml"/>
  <Override ContentType="application/vnd.openxmlformats-officedocument.spreadsheetml.worksheet+xml" PartName="/xl/worksheets/sheet37160.xml"/>
  <Override ContentType="application/vnd.openxmlformats-officedocument.spreadsheetml.worksheet+xml" PartName="/xl/worksheets/sheet37161.xml"/>
  <Override ContentType="application/vnd.openxmlformats-officedocument.spreadsheetml.worksheet+xml" PartName="/xl/worksheets/sheet37162.xml"/>
  <Override ContentType="application/vnd.openxmlformats-officedocument.spreadsheetml.worksheet+xml" PartName="/xl/worksheets/sheet37163.xml"/>
  <Override ContentType="application/vnd.openxmlformats-officedocument.spreadsheetml.worksheet+xml" PartName="/xl/worksheets/sheet37164.xml"/>
  <Override ContentType="application/vnd.openxmlformats-officedocument.spreadsheetml.worksheet+xml" PartName="/xl/worksheets/sheet37165.xml"/>
  <Override ContentType="application/vnd.openxmlformats-officedocument.spreadsheetml.worksheet+xml" PartName="/xl/worksheets/sheet37166.xml"/>
  <Override ContentType="application/vnd.openxmlformats-officedocument.spreadsheetml.worksheet+xml" PartName="/xl/worksheets/sheet37167.xml"/>
  <Override ContentType="application/vnd.openxmlformats-officedocument.spreadsheetml.worksheet+xml" PartName="/xl/worksheets/sheet37168.xml"/>
  <Override ContentType="application/vnd.openxmlformats-officedocument.spreadsheetml.worksheet+xml" PartName="/xl/worksheets/sheet37169.xml"/>
  <Override ContentType="application/vnd.openxmlformats-officedocument.spreadsheetml.worksheet+xml" PartName="/xl/worksheets/sheet37170.xml"/>
  <Override ContentType="application/vnd.openxmlformats-officedocument.spreadsheetml.worksheet+xml" PartName="/xl/worksheets/sheet37171.xml"/>
  <Override ContentType="application/vnd.openxmlformats-officedocument.spreadsheetml.worksheet+xml" PartName="/xl/worksheets/sheet37172.xml"/>
  <Override ContentType="application/vnd.openxmlformats-officedocument.spreadsheetml.worksheet+xml" PartName="/xl/worksheets/sheet37173.xml"/>
  <Override ContentType="application/vnd.openxmlformats-officedocument.spreadsheetml.worksheet+xml" PartName="/xl/worksheets/sheet37174.xml"/>
  <Override ContentType="application/vnd.openxmlformats-officedocument.spreadsheetml.worksheet+xml" PartName="/xl/worksheets/sheet37175.xml"/>
  <Override ContentType="application/vnd.openxmlformats-officedocument.spreadsheetml.worksheet+xml" PartName="/xl/worksheets/sheet37176.xml"/>
  <Override ContentType="application/vnd.openxmlformats-officedocument.spreadsheetml.worksheet+xml" PartName="/xl/worksheets/sheet37177.xml"/>
  <Override ContentType="application/vnd.openxmlformats-officedocument.spreadsheetml.worksheet+xml" PartName="/xl/worksheets/sheet37178.xml"/>
  <Override ContentType="application/vnd.openxmlformats-officedocument.spreadsheetml.worksheet+xml" PartName="/xl/worksheets/sheet37179.xml"/>
  <Override ContentType="application/vnd.openxmlformats-officedocument.spreadsheetml.worksheet+xml" PartName="/xl/worksheets/sheet37180.xml"/>
  <Override ContentType="application/vnd.openxmlformats-officedocument.spreadsheetml.worksheet+xml" PartName="/xl/worksheets/sheet37181.xml"/>
  <Override ContentType="application/vnd.openxmlformats-officedocument.spreadsheetml.worksheet+xml" PartName="/xl/worksheets/sheet37182.xml"/>
  <Override ContentType="application/vnd.openxmlformats-officedocument.spreadsheetml.worksheet+xml" PartName="/xl/worksheets/sheet37183.xml"/>
  <Override ContentType="application/vnd.openxmlformats-officedocument.spreadsheetml.worksheet+xml" PartName="/xl/worksheets/sheet37184.xml"/>
  <Override ContentType="application/vnd.openxmlformats-officedocument.spreadsheetml.worksheet+xml" PartName="/xl/worksheets/sheet37185.xml"/>
  <Override ContentType="application/vnd.openxmlformats-officedocument.spreadsheetml.worksheet+xml" PartName="/xl/worksheets/sheet37186.xml"/>
  <Override ContentType="application/vnd.openxmlformats-officedocument.spreadsheetml.worksheet+xml" PartName="/xl/worksheets/sheet37187.xml"/>
  <Override ContentType="application/vnd.openxmlformats-officedocument.spreadsheetml.worksheet+xml" PartName="/xl/worksheets/sheet37188.xml"/>
  <Override ContentType="application/vnd.openxmlformats-officedocument.spreadsheetml.worksheet+xml" PartName="/xl/worksheets/sheet37189.xml"/>
  <Override ContentType="application/vnd.openxmlformats-officedocument.spreadsheetml.worksheet+xml" PartName="/xl/worksheets/sheet37190.xml"/>
  <Override ContentType="application/vnd.openxmlformats-officedocument.spreadsheetml.worksheet+xml" PartName="/xl/worksheets/sheet37191.xml"/>
  <Override ContentType="application/vnd.openxmlformats-officedocument.spreadsheetml.worksheet+xml" PartName="/xl/worksheets/sheet37192.xml"/>
  <Override ContentType="application/vnd.openxmlformats-officedocument.spreadsheetml.worksheet+xml" PartName="/xl/worksheets/sheet37193.xml"/>
  <Override ContentType="application/vnd.openxmlformats-officedocument.spreadsheetml.worksheet+xml" PartName="/xl/worksheets/sheet37194.xml"/>
  <Override ContentType="application/vnd.openxmlformats-officedocument.spreadsheetml.worksheet+xml" PartName="/xl/worksheets/sheet37195.xml"/>
  <Override ContentType="application/vnd.openxmlformats-officedocument.spreadsheetml.worksheet+xml" PartName="/xl/worksheets/sheet37196.xml"/>
  <Override ContentType="application/vnd.openxmlformats-officedocument.spreadsheetml.worksheet+xml" PartName="/xl/worksheets/sheet37197.xml"/>
  <Override ContentType="application/vnd.openxmlformats-officedocument.spreadsheetml.worksheet+xml" PartName="/xl/worksheets/sheet37198.xml"/>
  <Override ContentType="application/vnd.openxmlformats-officedocument.spreadsheetml.worksheet+xml" PartName="/xl/worksheets/sheet37199.xml"/>
  <Override ContentType="application/vnd.openxmlformats-officedocument.spreadsheetml.worksheet+xml" PartName="/xl/worksheets/sheet37200.xml"/>
  <Override ContentType="application/vnd.openxmlformats-officedocument.spreadsheetml.worksheet+xml" PartName="/xl/worksheets/sheet37201.xml"/>
  <Override ContentType="application/vnd.openxmlformats-officedocument.spreadsheetml.worksheet+xml" PartName="/xl/worksheets/sheet37202.xml"/>
  <Override ContentType="application/vnd.openxmlformats-officedocument.spreadsheetml.worksheet+xml" PartName="/xl/worksheets/sheet37203.xml"/>
  <Override ContentType="application/vnd.openxmlformats-officedocument.spreadsheetml.worksheet+xml" PartName="/xl/worksheets/sheet37204.xml"/>
  <Override ContentType="application/vnd.openxmlformats-officedocument.spreadsheetml.worksheet+xml" PartName="/xl/worksheets/sheet37205.xml"/>
  <Override ContentType="application/vnd.openxmlformats-officedocument.spreadsheetml.worksheet+xml" PartName="/xl/worksheets/sheet37206.xml"/>
  <Override ContentType="application/vnd.openxmlformats-officedocument.spreadsheetml.worksheet+xml" PartName="/xl/worksheets/sheet37207.xml"/>
  <Override ContentType="application/vnd.openxmlformats-officedocument.spreadsheetml.worksheet+xml" PartName="/xl/worksheets/sheet37208.xml"/>
  <Override ContentType="application/vnd.openxmlformats-officedocument.spreadsheetml.worksheet+xml" PartName="/xl/worksheets/sheet37209.xml"/>
  <Override ContentType="application/vnd.openxmlformats-officedocument.spreadsheetml.worksheet+xml" PartName="/xl/worksheets/sheet37210.xml"/>
  <Override ContentType="application/vnd.openxmlformats-officedocument.spreadsheetml.worksheet+xml" PartName="/xl/worksheets/sheet37211.xml"/>
  <Override ContentType="application/vnd.openxmlformats-officedocument.spreadsheetml.worksheet+xml" PartName="/xl/worksheets/sheet37212.xml"/>
  <Override ContentType="application/vnd.openxmlformats-officedocument.spreadsheetml.worksheet+xml" PartName="/xl/worksheets/sheet37213.xml"/>
  <Override ContentType="application/vnd.openxmlformats-officedocument.spreadsheetml.worksheet+xml" PartName="/xl/worksheets/sheet37214.xml"/>
  <Override ContentType="application/vnd.openxmlformats-officedocument.spreadsheetml.worksheet+xml" PartName="/xl/worksheets/sheet37215.xml"/>
  <Override ContentType="application/vnd.openxmlformats-officedocument.spreadsheetml.worksheet+xml" PartName="/xl/worksheets/sheet37216.xml"/>
  <Override ContentType="application/vnd.openxmlformats-officedocument.spreadsheetml.worksheet+xml" PartName="/xl/worksheets/sheet37217.xml"/>
  <Override ContentType="application/vnd.openxmlformats-officedocument.spreadsheetml.worksheet+xml" PartName="/xl/worksheets/sheet37218.xml"/>
  <Override ContentType="application/vnd.openxmlformats-officedocument.spreadsheetml.worksheet+xml" PartName="/xl/worksheets/sheet37219.xml"/>
  <Override ContentType="application/vnd.openxmlformats-officedocument.spreadsheetml.worksheet+xml" PartName="/xl/worksheets/sheet37220.xml"/>
  <Override ContentType="application/vnd.openxmlformats-officedocument.spreadsheetml.worksheet+xml" PartName="/xl/worksheets/sheet37221.xml"/>
  <Override ContentType="application/vnd.openxmlformats-officedocument.spreadsheetml.worksheet+xml" PartName="/xl/worksheets/sheet37222.xml"/>
  <Override ContentType="application/vnd.openxmlformats-officedocument.spreadsheetml.worksheet+xml" PartName="/xl/worksheets/sheet37223.xml"/>
  <Override ContentType="application/vnd.openxmlformats-officedocument.spreadsheetml.worksheet+xml" PartName="/xl/worksheets/sheet37224.xml"/>
  <Override ContentType="application/vnd.openxmlformats-officedocument.spreadsheetml.worksheet+xml" PartName="/xl/worksheets/sheet37225.xml"/>
  <Override ContentType="application/vnd.openxmlformats-officedocument.spreadsheetml.worksheet+xml" PartName="/xl/worksheets/sheet37226.xml"/>
  <Override ContentType="application/vnd.openxmlformats-officedocument.spreadsheetml.worksheet+xml" PartName="/xl/worksheets/sheet37227.xml"/>
  <Override ContentType="application/vnd.openxmlformats-officedocument.spreadsheetml.worksheet+xml" PartName="/xl/worksheets/sheet37228.xml"/>
  <Override ContentType="application/vnd.openxmlformats-officedocument.spreadsheetml.worksheet+xml" PartName="/xl/worksheets/sheet37229.xml"/>
  <Override ContentType="application/vnd.openxmlformats-officedocument.spreadsheetml.worksheet+xml" PartName="/xl/worksheets/sheet37230.xml"/>
  <Override ContentType="application/vnd.openxmlformats-officedocument.spreadsheetml.worksheet+xml" PartName="/xl/worksheets/sheet37231.xml"/>
  <Override ContentType="application/vnd.openxmlformats-officedocument.spreadsheetml.worksheet+xml" PartName="/xl/worksheets/sheet37232.xml"/>
  <Override ContentType="application/vnd.openxmlformats-officedocument.spreadsheetml.worksheet+xml" PartName="/xl/worksheets/sheet37233.xml"/>
  <Override ContentType="application/vnd.openxmlformats-officedocument.spreadsheetml.worksheet+xml" PartName="/xl/worksheets/sheet37234.xml"/>
  <Override ContentType="application/vnd.openxmlformats-officedocument.spreadsheetml.worksheet+xml" PartName="/xl/worksheets/sheet37235.xml"/>
  <Override ContentType="application/vnd.openxmlformats-officedocument.spreadsheetml.worksheet+xml" PartName="/xl/worksheets/sheet37236.xml"/>
  <Override ContentType="application/vnd.openxmlformats-officedocument.spreadsheetml.worksheet+xml" PartName="/xl/worksheets/sheet37237.xml"/>
  <Override ContentType="application/vnd.openxmlformats-officedocument.spreadsheetml.worksheet+xml" PartName="/xl/worksheets/sheet37238.xml"/>
  <Override ContentType="application/vnd.openxmlformats-officedocument.spreadsheetml.worksheet+xml" PartName="/xl/worksheets/sheet37239.xml"/>
  <Override ContentType="application/vnd.openxmlformats-officedocument.spreadsheetml.worksheet+xml" PartName="/xl/worksheets/sheet37240.xml"/>
  <Override ContentType="application/vnd.openxmlformats-officedocument.spreadsheetml.worksheet+xml" PartName="/xl/worksheets/sheet37241.xml"/>
  <Override ContentType="application/vnd.openxmlformats-officedocument.spreadsheetml.worksheet+xml" PartName="/xl/worksheets/sheet37242.xml"/>
  <Override ContentType="application/vnd.openxmlformats-officedocument.spreadsheetml.worksheet+xml" PartName="/xl/worksheets/sheet37243.xml"/>
  <Override ContentType="application/vnd.openxmlformats-officedocument.spreadsheetml.worksheet+xml" PartName="/xl/worksheets/sheet37244.xml"/>
  <Override ContentType="application/vnd.openxmlformats-officedocument.spreadsheetml.worksheet+xml" PartName="/xl/worksheets/sheet37245.xml"/>
  <Override ContentType="application/vnd.openxmlformats-officedocument.spreadsheetml.worksheet+xml" PartName="/xl/worksheets/sheet37246.xml"/>
  <Override ContentType="application/vnd.openxmlformats-officedocument.spreadsheetml.worksheet+xml" PartName="/xl/worksheets/sheet37247.xml"/>
  <Override ContentType="application/vnd.openxmlformats-officedocument.spreadsheetml.worksheet+xml" PartName="/xl/worksheets/sheet37248.xml"/>
  <Override ContentType="application/vnd.openxmlformats-officedocument.spreadsheetml.worksheet+xml" PartName="/xl/worksheets/sheet37249.xml"/>
  <Override ContentType="application/vnd.openxmlformats-officedocument.spreadsheetml.worksheet+xml" PartName="/xl/worksheets/sheet37250.xml"/>
  <Override ContentType="application/vnd.openxmlformats-officedocument.spreadsheetml.worksheet+xml" PartName="/xl/worksheets/sheet37251.xml"/>
  <Override ContentType="application/vnd.openxmlformats-officedocument.spreadsheetml.worksheet+xml" PartName="/xl/worksheets/sheet37252.xml"/>
  <Override ContentType="application/vnd.openxmlformats-officedocument.spreadsheetml.worksheet+xml" PartName="/xl/worksheets/sheet37253.xml"/>
  <Override ContentType="application/vnd.openxmlformats-officedocument.spreadsheetml.worksheet+xml" PartName="/xl/worksheets/sheet37254.xml"/>
  <Override ContentType="application/vnd.openxmlformats-officedocument.spreadsheetml.worksheet+xml" PartName="/xl/worksheets/sheet37255.xml"/>
  <Override ContentType="application/vnd.openxmlformats-officedocument.spreadsheetml.worksheet+xml" PartName="/xl/worksheets/sheet37256.xml"/>
  <Override ContentType="application/vnd.openxmlformats-officedocument.spreadsheetml.worksheet+xml" PartName="/xl/worksheets/sheet37257.xml"/>
  <Override ContentType="application/vnd.openxmlformats-officedocument.spreadsheetml.worksheet+xml" PartName="/xl/worksheets/sheet37258.xml"/>
  <Override ContentType="application/vnd.openxmlformats-officedocument.spreadsheetml.worksheet+xml" PartName="/xl/worksheets/sheet37259.xml"/>
  <Override ContentType="application/vnd.openxmlformats-officedocument.spreadsheetml.worksheet+xml" PartName="/xl/worksheets/sheet37260.xml"/>
  <Override ContentType="application/vnd.openxmlformats-officedocument.spreadsheetml.worksheet+xml" PartName="/xl/worksheets/sheet37261.xml"/>
  <Override ContentType="application/vnd.openxmlformats-officedocument.spreadsheetml.worksheet+xml" PartName="/xl/worksheets/sheet37262.xml"/>
  <Override ContentType="application/vnd.openxmlformats-officedocument.spreadsheetml.worksheet+xml" PartName="/xl/worksheets/sheet37263.xml"/>
  <Override ContentType="application/vnd.openxmlformats-officedocument.spreadsheetml.worksheet+xml" PartName="/xl/worksheets/sheet37264.xml"/>
  <Override ContentType="application/vnd.openxmlformats-officedocument.spreadsheetml.worksheet+xml" PartName="/xl/worksheets/sheet37265.xml"/>
  <Override ContentType="application/vnd.openxmlformats-officedocument.spreadsheetml.worksheet+xml" PartName="/xl/worksheets/sheet37266.xml"/>
  <Override ContentType="application/vnd.openxmlformats-officedocument.spreadsheetml.worksheet+xml" PartName="/xl/worksheets/sheet37267.xml"/>
  <Override ContentType="application/vnd.openxmlformats-officedocument.spreadsheetml.worksheet+xml" PartName="/xl/worksheets/sheet37268.xml"/>
  <Override ContentType="application/vnd.openxmlformats-officedocument.spreadsheetml.worksheet+xml" PartName="/xl/worksheets/sheet37269.xml"/>
  <Override ContentType="application/vnd.openxmlformats-officedocument.spreadsheetml.worksheet+xml" PartName="/xl/worksheets/sheet37270.xml"/>
  <Override ContentType="application/vnd.openxmlformats-officedocument.spreadsheetml.worksheet+xml" PartName="/xl/worksheets/sheet37271.xml"/>
  <Override ContentType="application/vnd.openxmlformats-officedocument.spreadsheetml.worksheet+xml" PartName="/xl/worksheets/sheet37272.xml"/>
  <Override ContentType="application/vnd.openxmlformats-officedocument.spreadsheetml.worksheet+xml" PartName="/xl/worksheets/sheet37273.xml"/>
  <Override ContentType="application/vnd.openxmlformats-officedocument.spreadsheetml.worksheet+xml" PartName="/xl/worksheets/sheet37274.xml"/>
  <Override ContentType="application/vnd.openxmlformats-officedocument.spreadsheetml.worksheet+xml" PartName="/xl/worksheets/sheet37275.xml"/>
  <Override ContentType="application/vnd.openxmlformats-officedocument.spreadsheetml.worksheet+xml" PartName="/xl/worksheets/sheet37276.xml"/>
  <Override ContentType="application/vnd.openxmlformats-officedocument.spreadsheetml.worksheet+xml" PartName="/xl/worksheets/sheet37277.xml"/>
  <Override ContentType="application/vnd.openxmlformats-officedocument.spreadsheetml.worksheet+xml" PartName="/xl/worksheets/sheet37278.xml"/>
  <Override ContentType="application/vnd.openxmlformats-officedocument.spreadsheetml.worksheet+xml" PartName="/xl/worksheets/sheet37279.xml"/>
  <Override ContentType="application/vnd.openxmlformats-officedocument.spreadsheetml.worksheet+xml" PartName="/xl/worksheets/sheet37280.xml"/>
  <Override ContentType="application/vnd.openxmlformats-officedocument.spreadsheetml.worksheet+xml" PartName="/xl/worksheets/sheet37281.xml"/>
  <Override ContentType="application/vnd.openxmlformats-officedocument.spreadsheetml.worksheet+xml" PartName="/xl/worksheets/sheet37282.xml"/>
  <Override ContentType="application/vnd.openxmlformats-officedocument.spreadsheetml.worksheet+xml" PartName="/xl/worksheets/sheet37283.xml"/>
  <Override ContentType="application/vnd.openxmlformats-officedocument.spreadsheetml.worksheet+xml" PartName="/xl/worksheets/sheet37284.xml"/>
  <Override ContentType="application/vnd.openxmlformats-officedocument.spreadsheetml.worksheet+xml" PartName="/xl/worksheets/sheet37285.xml"/>
  <Override ContentType="application/vnd.openxmlformats-officedocument.spreadsheetml.worksheet+xml" PartName="/xl/worksheets/sheet37286.xml"/>
  <Override ContentType="application/vnd.openxmlformats-officedocument.spreadsheetml.worksheet+xml" PartName="/xl/worksheets/sheet37287.xml"/>
  <Override ContentType="application/vnd.openxmlformats-officedocument.spreadsheetml.worksheet+xml" PartName="/xl/worksheets/sheet37288.xml"/>
  <Override ContentType="application/vnd.openxmlformats-officedocument.spreadsheetml.worksheet+xml" PartName="/xl/worksheets/sheet37289.xml"/>
  <Override ContentType="application/vnd.openxmlformats-officedocument.spreadsheetml.worksheet+xml" PartName="/xl/worksheets/sheet37290.xml"/>
  <Override ContentType="application/vnd.openxmlformats-officedocument.spreadsheetml.worksheet+xml" PartName="/xl/worksheets/sheet37291.xml"/>
  <Override ContentType="application/vnd.openxmlformats-officedocument.spreadsheetml.worksheet+xml" PartName="/xl/worksheets/sheet37292.xml"/>
  <Override ContentType="application/vnd.openxmlformats-officedocument.spreadsheetml.worksheet+xml" PartName="/xl/worksheets/sheet37293.xml"/>
  <Override ContentType="application/vnd.openxmlformats-officedocument.spreadsheetml.worksheet+xml" PartName="/xl/worksheets/sheet37294.xml"/>
  <Override ContentType="application/vnd.openxmlformats-officedocument.spreadsheetml.worksheet+xml" PartName="/xl/worksheets/sheet37295.xml"/>
  <Override ContentType="application/vnd.openxmlformats-officedocument.spreadsheetml.worksheet+xml" PartName="/xl/worksheets/sheet37296.xml"/>
  <Override ContentType="application/vnd.openxmlformats-officedocument.spreadsheetml.worksheet+xml" PartName="/xl/worksheets/sheet37297.xml"/>
  <Override ContentType="application/vnd.openxmlformats-officedocument.spreadsheetml.worksheet+xml" PartName="/xl/worksheets/sheet37298.xml"/>
  <Override ContentType="application/vnd.openxmlformats-officedocument.spreadsheetml.worksheet+xml" PartName="/xl/worksheets/sheet37299.xml"/>
  <Override ContentType="application/vnd.openxmlformats-officedocument.spreadsheetml.worksheet+xml" PartName="/xl/worksheets/sheet37300.xml"/>
  <Override ContentType="application/vnd.openxmlformats-officedocument.spreadsheetml.worksheet+xml" PartName="/xl/worksheets/sheet37301.xml"/>
  <Override ContentType="application/vnd.openxmlformats-officedocument.spreadsheetml.worksheet+xml" PartName="/xl/worksheets/sheet37302.xml"/>
  <Override ContentType="application/vnd.openxmlformats-officedocument.spreadsheetml.worksheet+xml" PartName="/xl/worksheets/sheet37303.xml"/>
  <Override ContentType="application/vnd.openxmlformats-officedocument.spreadsheetml.worksheet+xml" PartName="/xl/worksheets/sheet37304.xml"/>
  <Override ContentType="application/vnd.openxmlformats-officedocument.spreadsheetml.worksheet+xml" PartName="/xl/worksheets/sheet37305.xml"/>
  <Override ContentType="application/vnd.openxmlformats-officedocument.spreadsheetml.worksheet+xml" PartName="/xl/worksheets/sheet37306.xml"/>
  <Override ContentType="application/vnd.openxmlformats-officedocument.spreadsheetml.worksheet+xml" PartName="/xl/worksheets/sheet37307.xml"/>
  <Override ContentType="application/vnd.openxmlformats-officedocument.spreadsheetml.worksheet+xml" PartName="/xl/worksheets/sheet37308.xml"/>
  <Override ContentType="application/vnd.openxmlformats-officedocument.spreadsheetml.worksheet+xml" PartName="/xl/worksheets/sheet37309.xml"/>
  <Override ContentType="application/vnd.openxmlformats-officedocument.spreadsheetml.worksheet+xml" PartName="/xl/worksheets/sheet37310.xml"/>
  <Override ContentType="application/vnd.openxmlformats-officedocument.spreadsheetml.worksheet+xml" PartName="/xl/worksheets/sheet37311.xml"/>
  <Override ContentType="application/vnd.openxmlformats-officedocument.spreadsheetml.worksheet+xml" PartName="/xl/worksheets/sheet37312.xml"/>
  <Override ContentType="application/vnd.openxmlformats-officedocument.spreadsheetml.worksheet+xml" PartName="/xl/worksheets/sheet37313.xml"/>
  <Override ContentType="application/vnd.openxmlformats-officedocument.spreadsheetml.worksheet+xml" PartName="/xl/worksheets/sheet37314.xml"/>
  <Override ContentType="application/vnd.openxmlformats-officedocument.spreadsheetml.worksheet+xml" PartName="/xl/worksheets/sheet37315.xml"/>
  <Override ContentType="application/vnd.openxmlformats-officedocument.spreadsheetml.worksheet+xml" PartName="/xl/worksheets/sheet37316.xml"/>
  <Override ContentType="application/vnd.openxmlformats-officedocument.spreadsheetml.worksheet+xml" PartName="/xl/worksheets/sheet37317.xml"/>
  <Override ContentType="application/vnd.openxmlformats-officedocument.spreadsheetml.worksheet+xml" PartName="/xl/worksheets/sheet37318.xml"/>
  <Override ContentType="application/vnd.openxmlformats-officedocument.spreadsheetml.worksheet+xml" PartName="/xl/worksheets/sheet37319.xml"/>
  <Override ContentType="application/vnd.openxmlformats-officedocument.spreadsheetml.worksheet+xml" PartName="/xl/worksheets/sheet37320.xml"/>
  <Override ContentType="application/vnd.openxmlformats-officedocument.spreadsheetml.worksheet+xml" PartName="/xl/worksheets/sheet37321.xml"/>
  <Override ContentType="application/vnd.openxmlformats-officedocument.spreadsheetml.worksheet+xml" PartName="/xl/worksheets/sheet37322.xml"/>
  <Override ContentType="application/vnd.openxmlformats-officedocument.spreadsheetml.worksheet+xml" PartName="/xl/worksheets/sheet37323.xml"/>
  <Override ContentType="application/vnd.openxmlformats-officedocument.spreadsheetml.worksheet+xml" PartName="/xl/worksheets/sheet37324.xml"/>
  <Override ContentType="application/vnd.openxmlformats-officedocument.spreadsheetml.worksheet+xml" PartName="/xl/worksheets/sheet37325.xml"/>
  <Override ContentType="application/vnd.openxmlformats-officedocument.spreadsheetml.worksheet+xml" PartName="/xl/worksheets/sheet37326.xml"/>
  <Override ContentType="application/vnd.openxmlformats-officedocument.spreadsheetml.worksheet+xml" PartName="/xl/worksheets/sheet37327.xml"/>
  <Override ContentType="application/vnd.openxmlformats-officedocument.spreadsheetml.worksheet+xml" PartName="/xl/worksheets/sheet37328.xml"/>
  <Override ContentType="application/vnd.openxmlformats-officedocument.spreadsheetml.worksheet+xml" PartName="/xl/worksheets/sheet37329.xml"/>
  <Override ContentType="application/vnd.openxmlformats-officedocument.spreadsheetml.worksheet+xml" PartName="/xl/worksheets/sheet37330.xml"/>
  <Override ContentType="application/vnd.openxmlformats-officedocument.spreadsheetml.worksheet+xml" PartName="/xl/worksheets/sheet37331.xml"/>
  <Override ContentType="application/vnd.openxmlformats-officedocument.spreadsheetml.worksheet+xml" PartName="/xl/worksheets/sheet37332.xml"/>
  <Override ContentType="application/vnd.openxmlformats-officedocument.spreadsheetml.worksheet+xml" PartName="/xl/worksheets/sheet37333.xml"/>
  <Override ContentType="application/vnd.openxmlformats-officedocument.spreadsheetml.worksheet+xml" PartName="/xl/worksheets/sheet37334.xml"/>
  <Override ContentType="application/vnd.openxmlformats-officedocument.spreadsheetml.worksheet+xml" PartName="/xl/worksheets/sheet37335.xml"/>
  <Override ContentType="application/vnd.openxmlformats-officedocument.spreadsheetml.worksheet+xml" PartName="/xl/worksheets/sheet37336.xml"/>
  <Override ContentType="application/vnd.openxmlformats-officedocument.spreadsheetml.worksheet+xml" PartName="/xl/worksheets/sheet37337.xml"/>
  <Override ContentType="application/vnd.openxmlformats-officedocument.spreadsheetml.worksheet+xml" PartName="/xl/worksheets/sheet37338.xml"/>
  <Override ContentType="application/vnd.openxmlformats-officedocument.spreadsheetml.worksheet+xml" PartName="/xl/worksheets/sheet37339.xml"/>
  <Override ContentType="application/vnd.openxmlformats-officedocument.spreadsheetml.worksheet+xml" PartName="/xl/worksheets/sheet37340.xml"/>
  <Override ContentType="application/vnd.openxmlformats-officedocument.spreadsheetml.worksheet+xml" PartName="/xl/worksheets/sheet37341.xml"/>
  <Override ContentType="application/vnd.openxmlformats-officedocument.spreadsheetml.worksheet+xml" PartName="/xl/worksheets/sheet37342.xml"/>
  <Override ContentType="application/vnd.openxmlformats-officedocument.spreadsheetml.worksheet+xml" PartName="/xl/worksheets/sheet37343.xml"/>
  <Override ContentType="application/vnd.openxmlformats-officedocument.spreadsheetml.worksheet+xml" PartName="/xl/worksheets/sheet37344.xml"/>
  <Override ContentType="application/vnd.openxmlformats-officedocument.spreadsheetml.worksheet+xml" PartName="/xl/worksheets/sheet37345.xml"/>
  <Override ContentType="application/vnd.openxmlformats-officedocument.spreadsheetml.worksheet+xml" PartName="/xl/worksheets/sheet37346.xml"/>
  <Override ContentType="application/vnd.openxmlformats-officedocument.spreadsheetml.worksheet+xml" PartName="/xl/worksheets/sheet37347.xml"/>
  <Override ContentType="application/vnd.openxmlformats-officedocument.spreadsheetml.worksheet+xml" PartName="/xl/worksheets/sheet37348.xml"/>
  <Override ContentType="application/vnd.openxmlformats-officedocument.spreadsheetml.worksheet+xml" PartName="/xl/worksheets/sheet37349.xml"/>
  <Override ContentType="application/vnd.openxmlformats-officedocument.spreadsheetml.worksheet+xml" PartName="/xl/worksheets/sheet37350.xml"/>
  <Override ContentType="application/vnd.openxmlformats-officedocument.spreadsheetml.worksheet+xml" PartName="/xl/worksheets/sheet37351.xml"/>
  <Override ContentType="application/vnd.openxmlformats-officedocument.spreadsheetml.worksheet+xml" PartName="/xl/worksheets/sheet37352.xml"/>
  <Override ContentType="application/vnd.openxmlformats-officedocument.spreadsheetml.worksheet+xml" PartName="/xl/worksheets/sheet37353.xml"/>
  <Override ContentType="application/vnd.openxmlformats-officedocument.spreadsheetml.worksheet+xml" PartName="/xl/worksheets/sheet37354.xml"/>
  <Override ContentType="application/vnd.openxmlformats-officedocument.spreadsheetml.worksheet+xml" PartName="/xl/worksheets/sheet37355.xml"/>
  <Override ContentType="application/vnd.openxmlformats-officedocument.spreadsheetml.worksheet+xml" PartName="/xl/worksheets/sheet37356.xml"/>
  <Override ContentType="application/vnd.openxmlformats-officedocument.spreadsheetml.worksheet+xml" PartName="/xl/worksheets/sheet37357.xml"/>
  <Override ContentType="application/vnd.openxmlformats-officedocument.spreadsheetml.worksheet+xml" PartName="/xl/worksheets/sheet37358.xml"/>
  <Override ContentType="application/vnd.openxmlformats-officedocument.spreadsheetml.worksheet+xml" PartName="/xl/worksheets/sheet37359.xml"/>
  <Override ContentType="application/vnd.openxmlformats-officedocument.spreadsheetml.worksheet+xml" PartName="/xl/worksheets/sheet37360.xml"/>
  <Override ContentType="application/vnd.openxmlformats-officedocument.spreadsheetml.worksheet+xml" PartName="/xl/worksheets/sheet37361.xml"/>
  <Override ContentType="application/vnd.openxmlformats-officedocument.spreadsheetml.worksheet+xml" PartName="/xl/worksheets/sheet37362.xml"/>
  <Override ContentType="application/vnd.openxmlformats-officedocument.spreadsheetml.worksheet+xml" PartName="/xl/worksheets/sheet37363.xml"/>
  <Override ContentType="application/vnd.openxmlformats-officedocument.spreadsheetml.worksheet+xml" PartName="/xl/worksheets/sheet37364.xml"/>
  <Override ContentType="application/vnd.openxmlformats-officedocument.spreadsheetml.worksheet+xml" PartName="/xl/worksheets/sheet37365.xml"/>
  <Override ContentType="application/vnd.openxmlformats-officedocument.spreadsheetml.worksheet+xml" PartName="/xl/worksheets/sheet37366.xml"/>
  <Override ContentType="application/vnd.openxmlformats-officedocument.spreadsheetml.worksheet+xml" PartName="/xl/worksheets/sheet37367.xml"/>
  <Override ContentType="application/vnd.openxmlformats-officedocument.spreadsheetml.worksheet+xml" PartName="/xl/worksheets/sheet37368.xml"/>
  <Override ContentType="application/vnd.openxmlformats-officedocument.spreadsheetml.worksheet+xml" PartName="/xl/worksheets/sheet37369.xml"/>
  <Override ContentType="application/vnd.openxmlformats-officedocument.spreadsheetml.worksheet+xml" PartName="/xl/worksheets/sheet37370.xml"/>
  <Override ContentType="application/vnd.openxmlformats-officedocument.spreadsheetml.worksheet+xml" PartName="/xl/worksheets/sheet37371.xml"/>
  <Override ContentType="application/vnd.openxmlformats-officedocument.spreadsheetml.worksheet+xml" PartName="/xl/worksheets/sheet37372.xml"/>
  <Override ContentType="application/vnd.openxmlformats-officedocument.spreadsheetml.worksheet+xml" PartName="/xl/worksheets/sheet37373.xml"/>
  <Override ContentType="application/vnd.openxmlformats-officedocument.spreadsheetml.worksheet+xml" PartName="/xl/worksheets/sheet37374.xml"/>
  <Override ContentType="application/vnd.openxmlformats-officedocument.spreadsheetml.worksheet+xml" PartName="/xl/worksheets/sheet37375.xml"/>
  <Override ContentType="application/vnd.openxmlformats-officedocument.spreadsheetml.worksheet+xml" PartName="/xl/worksheets/sheet37376.xml"/>
  <Override ContentType="application/vnd.openxmlformats-officedocument.spreadsheetml.worksheet+xml" PartName="/xl/worksheets/sheet37377.xml"/>
  <Override ContentType="application/vnd.openxmlformats-officedocument.spreadsheetml.worksheet+xml" PartName="/xl/worksheets/sheet37378.xml"/>
  <Override ContentType="application/vnd.openxmlformats-officedocument.spreadsheetml.worksheet+xml" PartName="/xl/worksheets/sheet37379.xml"/>
  <Override ContentType="application/vnd.openxmlformats-officedocument.spreadsheetml.worksheet+xml" PartName="/xl/worksheets/sheet37380.xml"/>
  <Override ContentType="application/vnd.openxmlformats-officedocument.spreadsheetml.worksheet+xml" PartName="/xl/worksheets/sheet37381.xml"/>
  <Override ContentType="application/vnd.openxmlformats-officedocument.spreadsheetml.worksheet+xml" PartName="/xl/worksheets/sheet37382.xml"/>
  <Override ContentType="application/vnd.openxmlformats-officedocument.spreadsheetml.worksheet+xml" PartName="/xl/worksheets/sheet37383.xml"/>
  <Override ContentType="application/vnd.openxmlformats-officedocument.spreadsheetml.worksheet+xml" PartName="/xl/worksheets/sheet37384.xml"/>
  <Override ContentType="application/vnd.openxmlformats-officedocument.spreadsheetml.worksheet+xml" PartName="/xl/worksheets/sheet37385.xml"/>
  <Override ContentType="application/vnd.openxmlformats-officedocument.spreadsheetml.worksheet+xml" PartName="/xl/worksheets/sheet37386.xml"/>
  <Override ContentType="application/vnd.openxmlformats-officedocument.spreadsheetml.worksheet+xml" PartName="/xl/worksheets/sheet37387.xml"/>
  <Override ContentType="application/vnd.openxmlformats-officedocument.spreadsheetml.worksheet+xml" PartName="/xl/worksheets/sheet37388.xml"/>
  <Override ContentType="application/vnd.openxmlformats-officedocument.spreadsheetml.worksheet+xml" PartName="/xl/worksheets/sheet37389.xml"/>
  <Override ContentType="application/vnd.openxmlformats-officedocument.spreadsheetml.worksheet+xml" PartName="/xl/worksheets/sheet37390.xml"/>
  <Override ContentType="application/vnd.openxmlformats-officedocument.spreadsheetml.worksheet+xml" PartName="/xl/worksheets/sheet37391.xml"/>
  <Override ContentType="application/vnd.openxmlformats-officedocument.spreadsheetml.worksheet+xml" PartName="/xl/worksheets/sheet37392.xml"/>
  <Override ContentType="application/vnd.openxmlformats-officedocument.spreadsheetml.worksheet+xml" PartName="/xl/worksheets/sheet37393.xml"/>
  <Override ContentType="application/vnd.openxmlformats-officedocument.spreadsheetml.worksheet+xml" PartName="/xl/worksheets/sheet37394.xml"/>
  <Override ContentType="application/vnd.openxmlformats-officedocument.spreadsheetml.worksheet+xml" PartName="/xl/worksheets/sheet37395.xml"/>
  <Override ContentType="application/vnd.openxmlformats-officedocument.spreadsheetml.worksheet+xml" PartName="/xl/worksheets/sheet37396.xml"/>
  <Override ContentType="application/vnd.openxmlformats-officedocument.spreadsheetml.worksheet+xml" PartName="/xl/worksheets/sheet37397.xml"/>
  <Override ContentType="application/vnd.openxmlformats-officedocument.spreadsheetml.worksheet+xml" PartName="/xl/worksheets/sheet37398.xml"/>
  <Override ContentType="application/vnd.openxmlformats-officedocument.spreadsheetml.worksheet+xml" PartName="/xl/worksheets/sheet37399.xml"/>
  <Override ContentType="application/vnd.openxmlformats-officedocument.spreadsheetml.worksheet+xml" PartName="/xl/worksheets/sheet37400.xml"/>
  <Override ContentType="application/vnd.openxmlformats-officedocument.spreadsheetml.worksheet+xml" PartName="/xl/worksheets/sheet37401.xml"/>
  <Override ContentType="application/vnd.openxmlformats-officedocument.spreadsheetml.worksheet+xml" PartName="/xl/worksheets/sheet37402.xml"/>
  <Override ContentType="application/vnd.openxmlformats-officedocument.spreadsheetml.worksheet+xml" PartName="/xl/worksheets/sheet37403.xml"/>
  <Override ContentType="application/vnd.openxmlformats-officedocument.spreadsheetml.worksheet+xml" PartName="/xl/worksheets/sheet37404.xml"/>
  <Override ContentType="application/vnd.openxmlformats-officedocument.spreadsheetml.worksheet+xml" PartName="/xl/worksheets/sheet37405.xml"/>
  <Override ContentType="application/vnd.openxmlformats-officedocument.spreadsheetml.worksheet+xml" PartName="/xl/worksheets/sheet37406.xml"/>
  <Override ContentType="application/vnd.openxmlformats-officedocument.spreadsheetml.worksheet+xml" PartName="/xl/worksheets/sheet37407.xml"/>
  <Override ContentType="application/vnd.openxmlformats-officedocument.spreadsheetml.worksheet+xml" PartName="/xl/worksheets/sheet37408.xml"/>
  <Override ContentType="application/vnd.openxmlformats-officedocument.spreadsheetml.worksheet+xml" PartName="/xl/worksheets/sheet37409.xml"/>
  <Override ContentType="application/vnd.openxmlformats-officedocument.spreadsheetml.worksheet+xml" PartName="/xl/worksheets/sheet37410.xml"/>
  <Override ContentType="application/vnd.openxmlformats-officedocument.spreadsheetml.worksheet+xml" PartName="/xl/worksheets/sheet37411.xml"/>
  <Override ContentType="application/vnd.openxmlformats-officedocument.spreadsheetml.worksheet+xml" PartName="/xl/worksheets/sheet37412.xml"/>
  <Override ContentType="application/vnd.openxmlformats-officedocument.spreadsheetml.worksheet+xml" PartName="/xl/worksheets/sheet37413.xml"/>
  <Override ContentType="application/vnd.openxmlformats-officedocument.spreadsheetml.worksheet+xml" PartName="/xl/worksheets/sheet37414.xml"/>
  <Override ContentType="application/vnd.openxmlformats-officedocument.spreadsheetml.worksheet+xml" PartName="/xl/worksheets/sheet37415.xml"/>
  <Override ContentType="application/vnd.openxmlformats-officedocument.spreadsheetml.worksheet+xml" PartName="/xl/worksheets/sheet37416.xml"/>
  <Override ContentType="application/vnd.openxmlformats-officedocument.spreadsheetml.worksheet+xml" PartName="/xl/worksheets/sheet37417.xml"/>
  <Override ContentType="application/vnd.openxmlformats-officedocument.spreadsheetml.worksheet+xml" PartName="/xl/worksheets/sheet37418.xml"/>
  <Override ContentType="application/vnd.openxmlformats-officedocument.spreadsheetml.worksheet+xml" PartName="/xl/worksheets/sheet37419.xml"/>
  <Override ContentType="application/vnd.openxmlformats-officedocument.spreadsheetml.worksheet+xml" PartName="/xl/worksheets/sheet37420.xml"/>
  <Override ContentType="application/vnd.openxmlformats-officedocument.spreadsheetml.worksheet+xml" PartName="/xl/worksheets/sheet37421.xml"/>
  <Override ContentType="application/vnd.openxmlformats-officedocument.spreadsheetml.worksheet+xml" PartName="/xl/worksheets/sheet37422.xml"/>
  <Override ContentType="application/vnd.openxmlformats-officedocument.spreadsheetml.worksheet+xml" PartName="/xl/worksheets/sheet37423.xml"/>
  <Override ContentType="application/vnd.openxmlformats-officedocument.spreadsheetml.worksheet+xml" PartName="/xl/worksheets/sheet37424.xml"/>
  <Override ContentType="application/vnd.openxmlformats-officedocument.spreadsheetml.worksheet+xml" PartName="/xl/worksheets/sheet37425.xml"/>
  <Override ContentType="application/vnd.openxmlformats-officedocument.spreadsheetml.worksheet+xml" PartName="/xl/worksheets/sheet37426.xml"/>
  <Override ContentType="application/vnd.openxmlformats-officedocument.spreadsheetml.worksheet+xml" PartName="/xl/worksheets/sheet37427.xml"/>
  <Override ContentType="application/vnd.openxmlformats-officedocument.spreadsheetml.worksheet+xml" PartName="/xl/worksheets/sheet37428.xml"/>
  <Override ContentType="application/vnd.openxmlformats-officedocument.spreadsheetml.worksheet+xml" PartName="/xl/worksheets/sheet37429.xml"/>
  <Override ContentType="application/vnd.openxmlformats-officedocument.spreadsheetml.worksheet+xml" PartName="/xl/worksheets/sheet37430.xml"/>
  <Override ContentType="application/vnd.openxmlformats-officedocument.spreadsheetml.worksheet+xml" PartName="/xl/worksheets/sheet37431.xml"/>
  <Override ContentType="application/vnd.openxmlformats-officedocument.spreadsheetml.worksheet+xml" PartName="/xl/worksheets/sheet37432.xml"/>
  <Override ContentType="application/vnd.openxmlformats-officedocument.spreadsheetml.worksheet+xml" PartName="/xl/worksheets/sheet37433.xml"/>
  <Override ContentType="application/vnd.openxmlformats-officedocument.spreadsheetml.worksheet+xml" PartName="/xl/worksheets/sheet37434.xml"/>
  <Override ContentType="application/vnd.openxmlformats-officedocument.spreadsheetml.worksheet+xml" PartName="/xl/worksheets/sheet37435.xml"/>
  <Override ContentType="application/vnd.openxmlformats-officedocument.spreadsheetml.worksheet+xml" PartName="/xl/worksheets/sheet37436.xml"/>
  <Override ContentType="application/vnd.openxmlformats-officedocument.spreadsheetml.worksheet+xml" PartName="/xl/worksheets/sheet37437.xml"/>
  <Override ContentType="application/vnd.openxmlformats-officedocument.spreadsheetml.worksheet+xml" PartName="/xl/worksheets/sheet37438.xml"/>
  <Override ContentType="application/vnd.openxmlformats-officedocument.spreadsheetml.worksheet+xml" PartName="/xl/worksheets/sheet37439.xml"/>
  <Override ContentType="application/vnd.openxmlformats-officedocument.spreadsheetml.worksheet+xml" PartName="/xl/worksheets/sheet37440.xml"/>
  <Override ContentType="application/vnd.openxmlformats-officedocument.spreadsheetml.worksheet+xml" PartName="/xl/worksheets/sheet37441.xml"/>
  <Override ContentType="application/vnd.openxmlformats-officedocument.spreadsheetml.worksheet+xml" PartName="/xl/worksheets/sheet37442.xml"/>
  <Override ContentType="application/vnd.openxmlformats-officedocument.spreadsheetml.worksheet+xml" PartName="/xl/worksheets/sheet37443.xml"/>
  <Override ContentType="application/vnd.openxmlformats-officedocument.spreadsheetml.worksheet+xml" PartName="/xl/worksheets/sheet37444.xml"/>
  <Override ContentType="application/vnd.openxmlformats-officedocument.spreadsheetml.worksheet+xml" PartName="/xl/worksheets/sheet37445.xml"/>
  <Override ContentType="application/vnd.openxmlformats-officedocument.spreadsheetml.worksheet+xml" PartName="/xl/worksheets/sheet37446.xml"/>
  <Override ContentType="application/vnd.openxmlformats-officedocument.spreadsheetml.worksheet+xml" PartName="/xl/worksheets/sheet37447.xml"/>
  <Override ContentType="application/vnd.openxmlformats-officedocument.spreadsheetml.worksheet+xml" PartName="/xl/worksheets/sheet37448.xml"/>
  <Override ContentType="application/vnd.openxmlformats-officedocument.spreadsheetml.worksheet+xml" PartName="/xl/worksheets/sheet37449.xml"/>
  <Override ContentType="application/vnd.openxmlformats-officedocument.spreadsheetml.worksheet+xml" PartName="/xl/worksheets/sheet37450.xml"/>
  <Override ContentType="application/vnd.openxmlformats-officedocument.spreadsheetml.worksheet+xml" PartName="/xl/worksheets/sheet37451.xml"/>
  <Override ContentType="application/vnd.openxmlformats-officedocument.spreadsheetml.worksheet+xml" PartName="/xl/worksheets/sheet37452.xml"/>
  <Override ContentType="application/vnd.openxmlformats-officedocument.spreadsheetml.worksheet+xml" PartName="/xl/worksheets/sheet37453.xml"/>
  <Override ContentType="application/vnd.openxmlformats-officedocument.spreadsheetml.worksheet+xml" PartName="/xl/worksheets/sheet37454.xml"/>
  <Override ContentType="application/vnd.openxmlformats-officedocument.spreadsheetml.worksheet+xml" PartName="/xl/worksheets/sheet37455.xml"/>
  <Override ContentType="application/vnd.openxmlformats-officedocument.spreadsheetml.worksheet+xml" PartName="/xl/worksheets/sheet37456.xml"/>
  <Override ContentType="application/vnd.openxmlformats-officedocument.spreadsheetml.worksheet+xml" PartName="/xl/worksheets/sheet37457.xml"/>
  <Override ContentType="application/vnd.openxmlformats-officedocument.spreadsheetml.worksheet+xml" PartName="/xl/worksheets/sheet37458.xml"/>
  <Override ContentType="application/vnd.openxmlformats-officedocument.spreadsheetml.worksheet+xml" PartName="/xl/worksheets/sheet37459.xml"/>
  <Override ContentType="application/vnd.openxmlformats-officedocument.spreadsheetml.worksheet+xml" PartName="/xl/worksheets/sheet37460.xml"/>
  <Override ContentType="application/vnd.openxmlformats-officedocument.spreadsheetml.worksheet+xml" PartName="/xl/worksheets/sheet37461.xml"/>
  <Override ContentType="application/vnd.openxmlformats-officedocument.spreadsheetml.worksheet+xml" PartName="/xl/worksheets/sheet37462.xml"/>
  <Override ContentType="application/vnd.openxmlformats-officedocument.spreadsheetml.worksheet+xml" PartName="/xl/worksheets/sheet37463.xml"/>
  <Override ContentType="application/vnd.openxmlformats-officedocument.spreadsheetml.worksheet+xml" PartName="/xl/worksheets/sheet37464.xml"/>
  <Override ContentType="application/vnd.openxmlformats-officedocument.spreadsheetml.worksheet+xml" PartName="/xl/worksheets/sheet37465.xml"/>
  <Override ContentType="application/vnd.openxmlformats-officedocument.spreadsheetml.worksheet+xml" PartName="/xl/worksheets/sheet37466.xml"/>
  <Override ContentType="application/vnd.openxmlformats-officedocument.spreadsheetml.worksheet+xml" PartName="/xl/worksheets/sheet37467.xml"/>
  <Override ContentType="application/vnd.openxmlformats-officedocument.spreadsheetml.worksheet+xml" PartName="/xl/worksheets/sheet37468.xml"/>
  <Override ContentType="application/vnd.openxmlformats-officedocument.spreadsheetml.worksheet+xml" PartName="/xl/worksheets/sheet37469.xml"/>
  <Override ContentType="application/vnd.openxmlformats-officedocument.spreadsheetml.worksheet+xml" PartName="/xl/worksheets/sheet37470.xml"/>
  <Override ContentType="application/vnd.openxmlformats-officedocument.spreadsheetml.worksheet+xml" PartName="/xl/worksheets/sheet37471.xml"/>
  <Override ContentType="application/vnd.openxmlformats-officedocument.spreadsheetml.worksheet+xml" PartName="/xl/worksheets/sheet37472.xml"/>
  <Override ContentType="application/vnd.openxmlformats-officedocument.spreadsheetml.worksheet+xml" PartName="/xl/worksheets/sheet37473.xml"/>
  <Override ContentType="application/vnd.openxmlformats-officedocument.spreadsheetml.worksheet+xml" PartName="/xl/worksheets/sheet37474.xml"/>
  <Override ContentType="application/vnd.openxmlformats-officedocument.spreadsheetml.worksheet+xml" PartName="/xl/worksheets/sheet37475.xml"/>
  <Override ContentType="application/vnd.openxmlformats-officedocument.spreadsheetml.worksheet+xml" PartName="/xl/worksheets/sheet37476.xml"/>
  <Override ContentType="application/vnd.openxmlformats-officedocument.spreadsheetml.worksheet+xml" PartName="/xl/worksheets/sheet37477.xml"/>
  <Override ContentType="application/vnd.openxmlformats-officedocument.spreadsheetml.worksheet+xml" PartName="/xl/worksheets/sheet37478.xml"/>
  <Override ContentType="application/vnd.openxmlformats-officedocument.spreadsheetml.worksheet+xml" PartName="/xl/worksheets/sheet37479.xml"/>
  <Override ContentType="application/vnd.openxmlformats-officedocument.spreadsheetml.worksheet+xml" PartName="/xl/worksheets/sheet37480.xml"/>
  <Override ContentType="application/vnd.openxmlformats-officedocument.spreadsheetml.worksheet+xml" PartName="/xl/worksheets/sheet37481.xml"/>
  <Override ContentType="application/vnd.openxmlformats-officedocument.spreadsheetml.worksheet+xml" PartName="/xl/worksheets/sheet37482.xml"/>
  <Override ContentType="application/vnd.openxmlformats-officedocument.spreadsheetml.worksheet+xml" PartName="/xl/worksheets/sheet37483.xml"/>
  <Override ContentType="application/vnd.openxmlformats-officedocument.spreadsheetml.worksheet+xml" PartName="/xl/worksheets/sheet37484.xml"/>
  <Override ContentType="application/vnd.openxmlformats-officedocument.spreadsheetml.worksheet+xml" PartName="/xl/worksheets/sheet37485.xml"/>
  <Override ContentType="application/vnd.openxmlformats-officedocument.spreadsheetml.worksheet+xml" PartName="/xl/worksheets/sheet37486.xml"/>
  <Override ContentType="application/vnd.openxmlformats-officedocument.spreadsheetml.worksheet+xml" PartName="/xl/worksheets/sheet37487.xml"/>
  <Override ContentType="application/vnd.openxmlformats-officedocument.spreadsheetml.worksheet+xml" PartName="/xl/worksheets/sheet37488.xml"/>
  <Override ContentType="application/vnd.openxmlformats-officedocument.spreadsheetml.worksheet+xml" PartName="/xl/worksheets/sheet37489.xml"/>
  <Override ContentType="application/vnd.openxmlformats-officedocument.spreadsheetml.worksheet+xml" PartName="/xl/worksheets/sheet37490.xml"/>
  <Override ContentType="application/vnd.openxmlformats-officedocument.spreadsheetml.worksheet+xml" PartName="/xl/worksheets/sheet37491.xml"/>
  <Override ContentType="application/vnd.openxmlformats-officedocument.spreadsheetml.worksheet+xml" PartName="/xl/worksheets/sheet37492.xml"/>
  <Override ContentType="application/vnd.openxmlformats-officedocument.spreadsheetml.worksheet+xml" PartName="/xl/worksheets/sheet37493.xml"/>
  <Override ContentType="application/vnd.openxmlformats-officedocument.spreadsheetml.worksheet+xml" PartName="/xl/worksheets/sheet37494.xml"/>
  <Override ContentType="application/vnd.openxmlformats-officedocument.spreadsheetml.worksheet+xml" PartName="/xl/worksheets/sheet37495.xml"/>
  <Override ContentType="application/vnd.openxmlformats-officedocument.spreadsheetml.worksheet+xml" PartName="/xl/worksheets/sheet37496.xml"/>
  <Override ContentType="application/vnd.openxmlformats-officedocument.spreadsheetml.worksheet+xml" PartName="/xl/worksheets/sheet37497.xml"/>
  <Override ContentType="application/vnd.openxmlformats-officedocument.spreadsheetml.worksheet+xml" PartName="/xl/worksheets/sheet37498.xml"/>
  <Override ContentType="application/vnd.openxmlformats-officedocument.spreadsheetml.worksheet+xml" PartName="/xl/worksheets/sheet37499.xml"/>
  <Override ContentType="application/vnd.openxmlformats-officedocument.spreadsheetml.worksheet+xml" PartName="/xl/worksheets/sheet37500.xml"/>
  <Override ContentType="application/vnd.openxmlformats-officedocument.spreadsheetml.worksheet+xml" PartName="/xl/worksheets/sheet37501.xml"/>
  <Override ContentType="application/vnd.openxmlformats-officedocument.spreadsheetml.worksheet+xml" PartName="/xl/worksheets/sheet37502.xml"/>
  <Override ContentType="application/vnd.openxmlformats-officedocument.spreadsheetml.worksheet+xml" PartName="/xl/worksheets/sheet37503.xml"/>
  <Override ContentType="application/vnd.openxmlformats-officedocument.spreadsheetml.worksheet+xml" PartName="/xl/worksheets/sheet37504.xml"/>
  <Override ContentType="application/vnd.openxmlformats-officedocument.spreadsheetml.worksheet+xml" PartName="/xl/worksheets/sheet37505.xml"/>
  <Override ContentType="application/vnd.openxmlformats-officedocument.spreadsheetml.worksheet+xml" PartName="/xl/worksheets/sheet37506.xml"/>
  <Override ContentType="application/vnd.openxmlformats-officedocument.spreadsheetml.worksheet+xml" PartName="/xl/worksheets/sheet37507.xml"/>
  <Override ContentType="application/vnd.openxmlformats-officedocument.spreadsheetml.worksheet+xml" PartName="/xl/worksheets/sheet37508.xml"/>
  <Override ContentType="application/vnd.openxmlformats-officedocument.spreadsheetml.worksheet+xml" PartName="/xl/worksheets/sheet37509.xml"/>
  <Override ContentType="application/vnd.openxmlformats-officedocument.spreadsheetml.worksheet+xml" PartName="/xl/worksheets/sheet37510.xml"/>
  <Override ContentType="application/vnd.openxmlformats-officedocument.spreadsheetml.worksheet+xml" PartName="/xl/worksheets/sheet37511.xml"/>
  <Override ContentType="application/vnd.openxmlformats-officedocument.spreadsheetml.worksheet+xml" PartName="/xl/worksheets/sheet37512.xml"/>
  <Override ContentType="application/vnd.openxmlformats-officedocument.spreadsheetml.worksheet+xml" PartName="/xl/worksheets/sheet37513.xml"/>
  <Override ContentType="application/vnd.openxmlformats-officedocument.spreadsheetml.worksheet+xml" PartName="/xl/worksheets/sheet37514.xml"/>
  <Override ContentType="application/vnd.openxmlformats-officedocument.spreadsheetml.worksheet+xml" PartName="/xl/worksheets/sheet37515.xml"/>
  <Override ContentType="application/vnd.openxmlformats-officedocument.spreadsheetml.worksheet+xml" PartName="/xl/worksheets/sheet37516.xml"/>
  <Override ContentType="application/vnd.openxmlformats-officedocument.spreadsheetml.worksheet+xml" PartName="/xl/worksheets/sheet37517.xml"/>
  <Override ContentType="application/vnd.openxmlformats-officedocument.spreadsheetml.worksheet+xml" PartName="/xl/worksheets/sheet37518.xml"/>
  <Override ContentType="application/vnd.openxmlformats-officedocument.spreadsheetml.worksheet+xml" PartName="/xl/worksheets/sheet37519.xml"/>
  <Override ContentType="application/vnd.openxmlformats-officedocument.spreadsheetml.worksheet+xml" PartName="/xl/worksheets/sheet37520.xml"/>
  <Override ContentType="application/vnd.openxmlformats-officedocument.spreadsheetml.worksheet+xml" PartName="/xl/worksheets/sheet37521.xml"/>
  <Override ContentType="application/vnd.openxmlformats-officedocument.spreadsheetml.worksheet+xml" PartName="/xl/worksheets/sheet37522.xml"/>
  <Override ContentType="application/vnd.openxmlformats-officedocument.spreadsheetml.worksheet+xml" PartName="/xl/worksheets/sheet37523.xml"/>
  <Override ContentType="application/vnd.openxmlformats-officedocument.spreadsheetml.worksheet+xml" PartName="/xl/worksheets/sheet37524.xml"/>
  <Override ContentType="application/vnd.openxmlformats-officedocument.spreadsheetml.worksheet+xml" PartName="/xl/worksheets/sheet37525.xml"/>
  <Override ContentType="application/vnd.openxmlformats-officedocument.spreadsheetml.worksheet+xml" PartName="/xl/worksheets/sheet37526.xml"/>
  <Override ContentType="application/vnd.openxmlformats-officedocument.spreadsheetml.worksheet+xml" PartName="/xl/worksheets/sheet37527.xml"/>
  <Override ContentType="application/vnd.openxmlformats-officedocument.spreadsheetml.worksheet+xml" PartName="/xl/worksheets/sheet37528.xml"/>
  <Override ContentType="application/vnd.openxmlformats-officedocument.spreadsheetml.worksheet+xml" PartName="/xl/worksheets/sheet37529.xml"/>
  <Override ContentType="application/vnd.openxmlformats-officedocument.spreadsheetml.worksheet+xml" PartName="/xl/worksheets/sheet37530.xml"/>
  <Override ContentType="application/vnd.openxmlformats-officedocument.spreadsheetml.worksheet+xml" PartName="/xl/worksheets/sheet37531.xml"/>
  <Override ContentType="application/vnd.openxmlformats-officedocument.spreadsheetml.worksheet+xml" PartName="/xl/worksheets/sheet37532.xml"/>
  <Override ContentType="application/vnd.openxmlformats-officedocument.spreadsheetml.worksheet+xml" PartName="/xl/worksheets/sheet37533.xml"/>
  <Override ContentType="application/vnd.openxmlformats-officedocument.spreadsheetml.worksheet+xml" PartName="/xl/worksheets/sheet37534.xml"/>
  <Override ContentType="application/vnd.openxmlformats-officedocument.spreadsheetml.worksheet+xml" PartName="/xl/worksheets/sheet37535.xml"/>
  <Override ContentType="application/vnd.openxmlformats-officedocument.spreadsheetml.worksheet+xml" PartName="/xl/worksheets/sheet37536.xml"/>
  <Override ContentType="application/vnd.openxmlformats-officedocument.spreadsheetml.worksheet+xml" PartName="/xl/worksheets/sheet37537.xml"/>
  <Override ContentType="application/vnd.openxmlformats-officedocument.spreadsheetml.worksheet+xml" PartName="/xl/worksheets/sheet37538.xml"/>
  <Override ContentType="application/vnd.openxmlformats-officedocument.spreadsheetml.worksheet+xml" PartName="/xl/worksheets/sheet37539.xml"/>
  <Override ContentType="application/vnd.openxmlformats-officedocument.spreadsheetml.worksheet+xml" PartName="/xl/worksheets/sheet37540.xml"/>
  <Override ContentType="application/vnd.openxmlformats-officedocument.spreadsheetml.worksheet+xml" PartName="/xl/worksheets/sheet37541.xml"/>
  <Override ContentType="application/vnd.openxmlformats-officedocument.spreadsheetml.worksheet+xml" PartName="/xl/worksheets/sheet37542.xml"/>
  <Override ContentType="application/vnd.openxmlformats-officedocument.spreadsheetml.worksheet+xml" PartName="/xl/worksheets/sheet37543.xml"/>
  <Override ContentType="application/vnd.openxmlformats-officedocument.spreadsheetml.worksheet+xml" PartName="/xl/worksheets/sheet37544.xml"/>
  <Override ContentType="application/vnd.openxmlformats-officedocument.spreadsheetml.worksheet+xml" PartName="/xl/worksheets/sheet37545.xml"/>
  <Override ContentType="application/vnd.openxmlformats-officedocument.spreadsheetml.worksheet+xml" PartName="/xl/worksheets/sheet37546.xml"/>
  <Override ContentType="application/vnd.openxmlformats-officedocument.spreadsheetml.worksheet+xml" PartName="/xl/worksheets/sheet37547.xml"/>
  <Override ContentType="application/vnd.openxmlformats-officedocument.spreadsheetml.worksheet+xml" PartName="/xl/worksheets/sheet37548.xml"/>
  <Override ContentType="application/vnd.openxmlformats-officedocument.spreadsheetml.worksheet+xml" PartName="/xl/worksheets/sheet37549.xml"/>
  <Override ContentType="application/vnd.openxmlformats-officedocument.spreadsheetml.worksheet+xml" PartName="/xl/worksheets/sheet37550.xml"/>
  <Override ContentType="application/vnd.openxmlformats-officedocument.spreadsheetml.worksheet+xml" PartName="/xl/worksheets/sheet37551.xml"/>
  <Override ContentType="application/vnd.openxmlformats-officedocument.spreadsheetml.worksheet+xml" PartName="/xl/worksheets/sheet37552.xml"/>
  <Override ContentType="application/vnd.openxmlformats-officedocument.spreadsheetml.worksheet+xml" PartName="/xl/worksheets/sheet37553.xml"/>
  <Override ContentType="application/vnd.openxmlformats-officedocument.spreadsheetml.worksheet+xml" PartName="/xl/worksheets/sheet37554.xml"/>
  <Override ContentType="application/vnd.openxmlformats-officedocument.spreadsheetml.worksheet+xml" PartName="/xl/worksheets/sheet37555.xml"/>
  <Override ContentType="application/vnd.openxmlformats-officedocument.spreadsheetml.worksheet+xml" PartName="/xl/worksheets/sheet37556.xml"/>
  <Override ContentType="application/vnd.openxmlformats-officedocument.spreadsheetml.worksheet+xml" PartName="/xl/worksheets/sheet37557.xml"/>
  <Override ContentType="application/vnd.openxmlformats-officedocument.spreadsheetml.worksheet+xml" PartName="/xl/worksheets/sheet37558.xml"/>
  <Override ContentType="application/vnd.openxmlformats-officedocument.spreadsheetml.worksheet+xml" PartName="/xl/worksheets/sheet37559.xml"/>
  <Override ContentType="application/vnd.openxmlformats-officedocument.spreadsheetml.worksheet+xml" PartName="/xl/worksheets/sheet37560.xml"/>
  <Override ContentType="application/vnd.openxmlformats-officedocument.spreadsheetml.worksheet+xml" PartName="/xl/worksheets/sheet37561.xml"/>
  <Override ContentType="application/vnd.openxmlformats-officedocument.spreadsheetml.worksheet+xml" PartName="/xl/worksheets/sheet37562.xml"/>
  <Override ContentType="application/vnd.openxmlformats-officedocument.spreadsheetml.worksheet+xml" PartName="/xl/worksheets/sheet37563.xml"/>
  <Override ContentType="application/vnd.openxmlformats-officedocument.spreadsheetml.worksheet+xml" PartName="/xl/worksheets/sheet37564.xml"/>
  <Override ContentType="application/vnd.openxmlformats-officedocument.spreadsheetml.worksheet+xml" PartName="/xl/worksheets/sheet37565.xml"/>
  <Override ContentType="application/vnd.openxmlformats-officedocument.spreadsheetml.worksheet+xml" PartName="/xl/worksheets/sheet37566.xml"/>
  <Override ContentType="application/vnd.openxmlformats-officedocument.spreadsheetml.worksheet+xml" PartName="/xl/worksheets/sheet37567.xml"/>
  <Override ContentType="application/vnd.openxmlformats-officedocument.spreadsheetml.worksheet+xml" PartName="/xl/worksheets/sheet37568.xml"/>
  <Override ContentType="application/vnd.openxmlformats-officedocument.spreadsheetml.worksheet+xml" PartName="/xl/worksheets/sheet37569.xml"/>
  <Override ContentType="application/vnd.openxmlformats-officedocument.spreadsheetml.worksheet+xml" PartName="/xl/worksheets/sheet37570.xml"/>
  <Override ContentType="application/vnd.openxmlformats-officedocument.spreadsheetml.worksheet+xml" PartName="/xl/worksheets/sheet37571.xml"/>
  <Override ContentType="application/vnd.openxmlformats-officedocument.spreadsheetml.worksheet+xml" PartName="/xl/worksheets/sheet37572.xml"/>
  <Override ContentType="application/vnd.openxmlformats-officedocument.spreadsheetml.worksheet+xml" PartName="/xl/worksheets/sheet37573.xml"/>
  <Override ContentType="application/vnd.openxmlformats-officedocument.spreadsheetml.worksheet+xml" PartName="/xl/worksheets/sheet37574.xml"/>
  <Override ContentType="application/vnd.openxmlformats-officedocument.spreadsheetml.worksheet+xml" PartName="/xl/worksheets/sheet37575.xml"/>
  <Override ContentType="application/vnd.openxmlformats-officedocument.spreadsheetml.worksheet+xml" PartName="/xl/worksheets/sheet37576.xml"/>
  <Override ContentType="application/vnd.openxmlformats-officedocument.spreadsheetml.worksheet+xml" PartName="/xl/worksheets/sheet37577.xml"/>
  <Override ContentType="application/vnd.openxmlformats-officedocument.spreadsheetml.worksheet+xml" PartName="/xl/worksheets/sheet37578.xml"/>
  <Override ContentType="application/vnd.openxmlformats-officedocument.spreadsheetml.worksheet+xml" PartName="/xl/worksheets/sheet37579.xml"/>
  <Override ContentType="application/vnd.openxmlformats-officedocument.spreadsheetml.worksheet+xml" PartName="/xl/worksheets/sheet37580.xml"/>
  <Override ContentType="application/vnd.openxmlformats-officedocument.spreadsheetml.worksheet+xml" PartName="/xl/worksheets/sheet37581.xml"/>
  <Override ContentType="application/vnd.openxmlformats-officedocument.spreadsheetml.worksheet+xml" PartName="/xl/worksheets/sheet37582.xml"/>
  <Override ContentType="application/vnd.openxmlformats-officedocument.spreadsheetml.worksheet+xml" PartName="/xl/worksheets/sheet37583.xml"/>
  <Override ContentType="application/vnd.openxmlformats-officedocument.spreadsheetml.worksheet+xml" PartName="/xl/worksheets/sheet37584.xml"/>
  <Override ContentType="application/vnd.openxmlformats-officedocument.spreadsheetml.worksheet+xml" PartName="/xl/worksheets/sheet37585.xml"/>
  <Override ContentType="application/vnd.openxmlformats-officedocument.spreadsheetml.worksheet+xml" PartName="/xl/worksheets/sheet37586.xml"/>
  <Override ContentType="application/vnd.openxmlformats-officedocument.spreadsheetml.worksheet+xml" PartName="/xl/worksheets/sheet37587.xml"/>
  <Override ContentType="application/vnd.openxmlformats-officedocument.spreadsheetml.worksheet+xml" PartName="/xl/worksheets/sheet37588.xml"/>
  <Override ContentType="application/vnd.openxmlformats-officedocument.spreadsheetml.worksheet+xml" PartName="/xl/worksheets/sheet37589.xml"/>
  <Override ContentType="application/vnd.openxmlformats-officedocument.spreadsheetml.worksheet+xml" PartName="/xl/worksheets/sheet37590.xml"/>
  <Override ContentType="application/vnd.openxmlformats-officedocument.spreadsheetml.worksheet+xml" PartName="/xl/worksheets/sheet37591.xml"/>
  <Override ContentType="application/vnd.openxmlformats-officedocument.spreadsheetml.worksheet+xml" PartName="/xl/worksheets/sheet37592.xml"/>
  <Override ContentType="application/vnd.openxmlformats-officedocument.spreadsheetml.worksheet+xml" PartName="/xl/worksheets/sheet37593.xml"/>
  <Override ContentType="application/vnd.openxmlformats-officedocument.spreadsheetml.worksheet+xml" PartName="/xl/worksheets/sheet37594.xml"/>
  <Override ContentType="application/vnd.openxmlformats-officedocument.spreadsheetml.worksheet+xml" PartName="/xl/worksheets/sheet37595.xml"/>
  <Override ContentType="application/vnd.openxmlformats-officedocument.spreadsheetml.worksheet+xml" PartName="/xl/worksheets/sheet37596.xml"/>
  <Override ContentType="application/vnd.openxmlformats-officedocument.spreadsheetml.worksheet+xml" PartName="/xl/worksheets/sheet37597.xml"/>
  <Override ContentType="application/vnd.openxmlformats-officedocument.spreadsheetml.worksheet+xml" PartName="/xl/worksheets/sheet37598.xml"/>
  <Override ContentType="application/vnd.openxmlformats-officedocument.spreadsheetml.worksheet+xml" PartName="/xl/worksheets/sheet37599.xml"/>
  <Override ContentType="application/vnd.openxmlformats-officedocument.spreadsheetml.worksheet+xml" PartName="/xl/worksheets/sheet37600.xml"/>
  <Override ContentType="application/vnd.openxmlformats-officedocument.spreadsheetml.worksheet+xml" PartName="/xl/worksheets/sheet37601.xml"/>
  <Override ContentType="application/vnd.openxmlformats-officedocument.spreadsheetml.worksheet+xml" PartName="/xl/worksheets/sheet37602.xml"/>
  <Override ContentType="application/vnd.openxmlformats-officedocument.spreadsheetml.worksheet+xml" PartName="/xl/worksheets/sheet37603.xml"/>
  <Override ContentType="application/vnd.openxmlformats-officedocument.spreadsheetml.worksheet+xml" PartName="/xl/worksheets/sheet37604.xml"/>
  <Override ContentType="application/vnd.openxmlformats-officedocument.spreadsheetml.worksheet+xml" PartName="/xl/worksheets/sheet37605.xml"/>
  <Override ContentType="application/vnd.openxmlformats-officedocument.spreadsheetml.worksheet+xml" PartName="/xl/worksheets/sheet37606.xml"/>
  <Override ContentType="application/vnd.openxmlformats-officedocument.spreadsheetml.worksheet+xml" PartName="/xl/worksheets/sheet37607.xml"/>
  <Override ContentType="application/vnd.openxmlformats-officedocument.spreadsheetml.worksheet+xml" PartName="/xl/worksheets/sheet37608.xml"/>
  <Override ContentType="application/vnd.openxmlformats-officedocument.spreadsheetml.worksheet+xml" PartName="/xl/worksheets/sheet37609.xml"/>
  <Override ContentType="application/vnd.openxmlformats-officedocument.spreadsheetml.worksheet+xml" PartName="/xl/worksheets/sheet37610.xml"/>
  <Override ContentType="application/vnd.openxmlformats-officedocument.spreadsheetml.worksheet+xml" PartName="/xl/worksheets/sheet37611.xml"/>
  <Override ContentType="application/vnd.openxmlformats-officedocument.spreadsheetml.worksheet+xml" PartName="/xl/worksheets/sheet37612.xml"/>
  <Override ContentType="application/vnd.openxmlformats-officedocument.spreadsheetml.worksheet+xml" PartName="/xl/worksheets/sheet37613.xml"/>
  <Override ContentType="application/vnd.openxmlformats-officedocument.spreadsheetml.worksheet+xml" PartName="/xl/worksheets/sheet37614.xml"/>
  <Override ContentType="application/vnd.openxmlformats-officedocument.spreadsheetml.worksheet+xml" PartName="/xl/worksheets/sheet37615.xml"/>
  <Override ContentType="application/vnd.openxmlformats-officedocument.spreadsheetml.worksheet+xml" PartName="/xl/worksheets/sheet37616.xml"/>
  <Override ContentType="application/vnd.openxmlformats-officedocument.spreadsheetml.worksheet+xml" PartName="/xl/worksheets/sheet37617.xml"/>
  <Override ContentType="application/vnd.openxmlformats-officedocument.spreadsheetml.worksheet+xml" PartName="/xl/worksheets/sheet37618.xml"/>
  <Override ContentType="application/vnd.openxmlformats-officedocument.spreadsheetml.worksheet+xml" PartName="/xl/worksheets/sheet37619.xml"/>
  <Override ContentType="application/vnd.openxmlformats-officedocument.spreadsheetml.worksheet+xml" PartName="/xl/worksheets/sheet37620.xml"/>
  <Override ContentType="application/vnd.openxmlformats-officedocument.spreadsheetml.worksheet+xml" PartName="/xl/worksheets/sheet37621.xml"/>
  <Override ContentType="application/vnd.openxmlformats-officedocument.spreadsheetml.worksheet+xml" PartName="/xl/worksheets/sheet37622.xml"/>
  <Override ContentType="application/vnd.openxmlformats-officedocument.spreadsheetml.worksheet+xml" PartName="/xl/worksheets/sheet37623.xml"/>
  <Override ContentType="application/vnd.openxmlformats-officedocument.spreadsheetml.worksheet+xml" PartName="/xl/worksheets/sheet37624.xml"/>
  <Override ContentType="application/vnd.openxmlformats-officedocument.spreadsheetml.worksheet+xml" PartName="/xl/worksheets/sheet37625.xml"/>
  <Override ContentType="application/vnd.openxmlformats-officedocument.spreadsheetml.worksheet+xml" PartName="/xl/worksheets/sheet37626.xml"/>
  <Override ContentType="application/vnd.openxmlformats-officedocument.spreadsheetml.worksheet+xml" PartName="/xl/worksheets/sheet37627.xml"/>
  <Override ContentType="application/vnd.openxmlformats-officedocument.spreadsheetml.worksheet+xml" PartName="/xl/worksheets/sheet37628.xml"/>
  <Override ContentType="application/vnd.openxmlformats-officedocument.spreadsheetml.worksheet+xml" PartName="/xl/worksheets/sheet37629.xml"/>
  <Override ContentType="application/vnd.openxmlformats-officedocument.spreadsheetml.worksheet+xml" PartName="/xl/worksheets/sheet37630.xml"/>
  <Override ContentType="application/vnd.openxmlformats-officedocument.spreadsheetml.worksheet+xml" PartName="/xl/worksheets/sheet37631.xml"/>
  <Override ContentType="application/vnd.openxmlformats-officedocument.spreadsheetml.worksheet+xml" PartName="/xl/worksheets/sheet37632.xml"/>
  <Override ContentType="application/vnd.openxmlformats-officedocument.spreadsheetml.worksheet+xml" PartName="/xl/worksheets/sheet37633.xml"/>
  <Override ContentType="application/vnd.openxmlformats-officedocument.spreadsheetml.worksheet+xml" PartName="/xl/worksheets/sheet37634.xml"/>
  <Override ContentType="application/vnd.openxmlformats-officedocument.spreadsheetml.worksheet+xml" PartName="/xl/worksheets/sheet37635.xml"/>
  <Override ContentType="application/vnd.openxmlformats-officedocument.spreadsheetml.worksheet+xml" PartName="/xl/worksheets/sheet37636.xml"/>
  <Override ContentType="application/vnd.openxmlformats-officedocument.spreadsheetml.worksheet+xml" PartName="/xl/worksheets/sheet37637.xml"/>
  <Override ContentType="application/vnd.openxmlformats-officedocument.spreadsheetml.worksheet+xml" PartName="/xl/worksheets/sheet37638.xml"/>
  <Override ContentType="application/vnd.openxmlformats-officedocument.spreadsheetml.worksheet+xml" PartName="/xl/worksheets/sheet37639.xml"/>
  <Override ContentType="application/vnd.openxmlformats-officedocument.spreadsheetml.worksheet+xml" PartName="/xl/worksheets/sheet37640.xml"/>
  <Override ContentType="application/vnd.openxmlformats-officedocument.spreadsheetml.worksheet+xml" PartName="/xl/worksheets/sheet37641.xml"/>
  <Override ContentType="application/vnd.openxmlformats-officedocument.spreadsheetml.worksheet+xml" PartName="/xl/worksheets/sheet37642.xml"/>
  <Override ContentType="application/vnd.openxmlformats-officedocument.spreadsheetml.worksheet+xml" PartName="/xl/worksheets/sheet37643.xml"/>
  <Override ContentType="application/vnd.openxmlformats-officedocument.spreadsheetml.worksheet+xml" PartName="/xl/worksheets/sheet37644.xml"/>
  <Override ContentType="application/vnd.openxmlformats-officedocument.spreadsheetml.worksheet+xml" PartName="/xl/worksheets/sheet37645.xml"/>
  <Override ContentType="application/vnd.openxmlformats-officedocument.spreadsheetml.worksheet+xml" PartName="/xl/worksheets/sheet37646.xml"/>
  <Override ContentType="application/vnd.openxmlformats-officedocument.spreadsheetml.worksheet+xml" PartName="/xl/worksheets/sheet37647.xml"/>
  <Override ContentType="application/vnd.openxmlformats-officedocument.spreadsheetml.worksheet+xml" PartName="/xl/worksheets/sheet37648.xml"/>
  <Override ContentType="application/vnd.openxmlformats-officedocument.spreadsheetml.worksheet+xml" PartName="/xl/worksheets/sheet37649.xml"/>
  <Override ContentType="application/vnd.openxmlformats-officedocument.spreadsheetml.worksheet+xml" PartName="/xl/worksheets/sheet37650.xml"/>
  <Override ContentType="application/vnd.openxmlformats-officedocument.spreadsheetml.worksheet+xml" PartName="/xl/worksheets/sheet37651.xml"/>
  <Override ContentType="application/vnd.openxmlformats-officedocument.spreadsheetml.worksheet+xml" PartName="/xl/worksheets/sheet37652.xml"/>
  <Override ContentType="application/vnd.openxmlformats-officedocument.spreadsheetml.worksheet+xml" PartName="/xl/worksheets/sheet37653.xml"/>
  <Override ContentType="application/vnd.openxmlformats-officedocument.spreadsheetml.worksheet+xml" PartName="/xl/worksheets/sheet37654.xml"/>
  <Override ContentType="application/vnd.openxmlformats-officedocument.spreadsheetml.worksheet+xml" PartName="/xl/worksheets/sheet37655.xml"/>
  <Override ContentType="application/vnd.openxmlformats-officedocument.spreadsheetml.worksheet+xml" PartName="/xl/worksheets/sheet37656.xml"/>
  <Override ContentType="application/vnd.openxmlformats-officedocument.spreadsheetml.worksheet+xml" PartName="/xl/worksheets/sheet37657.xml"/>
  <Override ContentType="application/vnd.openxmlformats-officedocument.spreadsheetml.worksheet+xml" PartName="/xl/worksheets/sheet37658.xml"/>
  <Override ContentType="application/vnd.openxmlformats-officedocument.spreadsheetml.worksheet+xml" PartName="/xl/worksheets/sheet37659.xml"/>
  <Override ContentType="application/vnd.openxmlformats-officedocument.spreadsheetml.worksheet+xml" PartName="/xl/worksheets/sheet37660.xml"/>
  <Override ContentType="application/vnd.openxmlformats-officedocument.spreadsheetml.worksheet+xml" PartName="/xl/worksheets/sheet37661.xml"/>
  <Override ContentType="application/vnd.openxmlformats-officedocument.spreadsheetml.worksheet+xml" PartName="/xl/worksheets/sheet37662.xml"/>
  <Override ContentType="application/vnd.openxmlformats-officedocument.spreadsheetml.worksheet+xml" PartName="/xl/worksheets/sheet37663.xml"/>
  <Override ContentType="application/vnd.openxmlformats-officedocument.spreadsheetml.worksheet+xml" PartName="/xl/worksheets/sheet37664.xml"/>
  <Override ContentType="application/vnd.openxmlformats-officedocument.spreadsheetml.worksheet+xml" PartName="/xl/worksheets/sheet37665.xml"/>
  <Override ContentType="application/vnd.openxmlformats-officedocument.spreadsheetml.worksheet+xml" PartName="/xl/worksheets/sheet37666.xml"/>
  <Override ContentType="application/vnd.openxmlformats-officedocument.spreadsheetml.worksheet+xml" PartName="/xl/worksheets/sheet37667.xml"/>
  <Override ContentType="application/vnd.openxmlformats-officedocument.spreadsheetml.worksheet+xml" PartName="/xl/worksheets/sheet37668.xml"/>
  <Override ContentType="application/vnd.openxmlformats-officedocument.spreadsheetml.worksheet+xml" PartName="/xl/worksheets/sheet37669.xml"/>
  <Override ContentType="application/vnd.openxmlformats-officedocument.spreadsheetml.worksheet+xml" PartName="/xl/worksheets/sheet37670.xml"/>
  <Override ContentType="application/vnd.openxmlformats-officedocument.spreadsheetml.worksheet+xml" PartName="/xl/worksheets/sheet37671.xml"/>
  <Override ContentType="application/vnd.openxmlformats-officedocument.spreadsheetml.worksheet+xml" PartName="/xl/worksheets/sheet37672.xml"/>
  <Override ContentType="application/vnd.openxmlformats-officedocument.spreadsheetml.worksheet+xml" PartName="/xl/worksheets/sheet37673.xml"/>
  <Override ContentType="application/vnd.openxmlformats-officedocument.spreadsheetml.worksheet+xml" PartName="/xl/worksheets/sheet37674.xml"/>
  <Override ContentType="application/vnd.openxmlformats-officedocument.spreadsheetml.worksheet+xml" PartName="/xl/worksheets/sheet37675.xml"/>
  <Override ContentType="application/vnd.openxmlformats-officedocument.spreadsheetml.worksheet+xml" PartName="/xl/worksheets/sheet37676.xml"/>
  <Override ContentType="application/vnd.openxmlformats-officedocument.spreadsheetml.worksheet+xml" PartName="/xl/worksheets/sheet37677.xml"/>
  <Override ContentType="application/vnd.openxmlformats-officedocument.spreadsheetml.worksheet+xml" PartName="/xl/worksheets/sheet37678.xml"/>
  <Override ContentType="application/vnd.openxmlformats-officedocument.spreadsheetml.worksheet+xml" PartName="/xl/worksheets/sheet37679.xml"/>
  <Override ContentType="application/vnd.openxmlformats-officedocument.spreadsheetml.worksheet+xml" PartName="/xl/worksheets/sheet37680.xml"/>
  <Override ContentType="application/vnd.openxmlformats-officedocument.spreadsheetml.worksheet+xml" PartName="/xl/worksheets/sheet37681.xml"/>
  <Override ContentType="application/vnd.openxmlformats-officedocument.spreadsheetml.worksheet+xml" PartName="/xl/worksheets/sheet37682.xml"/>
  <Override ContentType="application/vnd.openxmlformats-officedocument.spreadsheetml.worksheet+xml" PartName="/xl/worksheets/sheet37683.xml"/>
  <Override ContentType="application/vnd.openxmlformats-officedocument.spreadsheetml.worksheet+xml" PartName="/xl/worksheets/sheet37684.xml"/>
  <Override ContentType="application/vnd.openxmlformats-officedocument.spreadsheetml.worksheet+xml" PartName="/xl/worksheets/sheet37685.xml"/>
  <Override ContentType="application/vnd.openxmlformats-officedocument.spreadsheetml.worksheet+xml" PartName="/xl/worksheets/sheet37686.xml"/>
  <Override ContentType="application/vnd.openxmlformats-officedocument.spreadsheetml.worksheet+xml" PartName="/xl/worksheets/sheet37687.xml"/>
  <Override ContentType="application/vnd.openxmlformats-officedocument.spreadsheetml.worksheet+xml" PartName="/xl/worksheets/sheet37688.xml"/>
  <Override ContentType="application/vnd.openxmlformats-officedocument.spreadsheetml.worksheet+xml" PartName="/xl/worksheets/sheet37689.xml"/>
  <Override ContentType="application/vnd.openxmlformats-officedocument.spreadsheetml.worksheet+xml" PartName="/xl/worksheets/sheet37690.xml"/>
  <Override ContentType="application/vnd.openxmlformats-officedocument.spreadsheetml.worksheet+xml" PartName="/xl/worksheets/sheet37691.xml"/>
  <Override ContentType="application/vnd.openxmlformats-officedocument.spreadsheetml.worksheet+xml" PartName="/xl/worksheets/sheet37692.xml"/>
  <Override ContentType="application/vnd.openxmlformats-officedocument.spreadsheetml.worksheet+xml" PartName="/xl/worksheets/sheet37693.xml"/>
  <Override ContentType="application/vnd.openxmlformats-officedocument.spreadsheetml.worksheet+xml" PartName="/xl/worksheets/sheet37694.xml"/>
  <Override ContentType="application/vnd.openxmlformats-officedocument.spreadsheetml.worksheet+xml" PartName="/xl/worksheets/sheet37695.xml"/>
  <Override ContentType="application/vnd.openxmlformats-officedocument.spreadsheetml.worksheet+xml" PartName="/xl/worksheets/sheet37696.xml"/>
  <Override ContentType="application/vnd.openxmlformats-officedocument.spreadsheetml.worksheet+xml" PartName="/xl/worksheets/sheet37697.xml"/>
  <Override ContentType="application/vnd.openxmlformats-officedocument.spreadsheetml.worksheet+xml" PartName="/xl/worksheets/sheet37698.xml"/>
  <Override ContentType="application/vnd.openxmlformats-officedocument.spreadsheetml.worksheet+xml" PartName="/xl/worksheets/sheet37699.xml"/>
  <Override ContentType="application/vnd.openxmlformats-officedocument.spreadsheetml.worksheet+xml" PartName="/xl/worksheets/sheet37700.xml"/>
  <Override ContentType="application/vnd.openxmlformats-officedocument.spreadsheetml.worksheet+xml" PartName="/xl/worksheets/sheet37701.xml"/>
  <Override ContentType="application/vnd.openxmlformats-officedocument.spreadsheetml.worksheet+xml" PartName="/xl/worksheets/sheet37702.xml"/>
  <Override ContentType="application/vnd.openxmlformats-officedocument.spreadsheetml.worksheet+xml" PartName="/xl/worksheets/sheet37703.xml"/>
  <Override ContentType="application/vnd.openxmlformats-officedocument.spreadsheetml.worksheet+xml" PartName="/xl/worksheets/sheet37704.xml"/>
  <Override ContentType="application/vnd.openxmlformats-officedocument.spreadsheetml.worksheet+xml" PartName="/xl/worksheets/sheet37705.xml"/>
  <Override ContentType="application/vnd.openxmlformats-officedocument.spreadsheetml.worksheet+xml" PartName="/xl/worksheets/sheet37706.xml"/>
  <Override ContentType="application/vnd.openxmlformats-officedocument.spreadsheetml.worksheet+xml" PartName="/xl/worksheets/sheet37707.xml"/>
  <Override ContentType="application/vnd.openxmlformats-officedocument.spreadsheetml.worksheet+xml" PartName="/xl/worksheets/sheet37708.xml"/>
  <Override ContentType="application/vnd.openxmlformats-officedocument.spreadsheetml.worksheet+xml" PartName="/xl/worksheets/sheet37709.xml"/>
  <Override ContentType="application/vnd.openxmlformats-officedocument.spreadsheetml.worksheet+xml" PartName="/xl/worksheets/sheet37710.xml"/>
  <Override ContentType="application/vnd.openxmlformats-officedocument.spreadsheetml.worksheet+xml" PartName="/xl/worksheets/sheet37711.xml"/>
  <Override ContentType="application/vnd.openxmlformats-officedocument.spreadsheetml.worksheet+xml" PartName="/xl/worksheets/sheet37712.xml"/>
  <Override ContentType="application/vnd.openxmlformats-officedocument.spreadsheetml.worksheet+xml" PartName="/xl/worksheets/sheet37713.xml"/>
  <Override ContentType="application/vnd.openxmlformats-officedocument.spreadsheetml.worksheet+xml" PartName="/xl/worksheets/sheet37714.xml"/>
  <Override ContentType="application/vnd.openxmlformats-officedocument.spreadsheetml.worksheet+xml" PartName="/xl/worksheets/sheet37715.xml"/>
  <Override ContentType="application/vnd.openxmlformats-officedocument.spreadsheetml.worksheet+xml" PartName="/xl/worksheets/sheet37716.xml"/>
  <Override ContentType="application/vnd.openxmlformats-officedocument.spreadsheetml.worksheet+xml" PartName="/xl/worksheets/sheet37717.xml"/>
  <Override ContentType="application/vnd.openxmlformats-officedocument.spreadsheetml.worksheet+xml" PartName="/xl/worksheets/sheet37718.xml"/>
  <Override ContentType="application/vnd.openxmlformats-officedocument.spreadsheetml.worksheet+xml" PartName="/xl/worksheets/sheet37719.xml"/>
  <Override ContentType="application/vnd.openxmlformats-officedocument.spreadsheetml.worksheet+xml" PartName="/xl/worksheets/sheet37720.xml"/>
  <Override ContentType="application/vnd.openxmlformats-officedocument.spreadsheetml.worksheet+xml" PartName="/xl/worksheets/sheet37721.xml"/>
  <Override ContentType="application/vnd.openxmlformats-officedocument.spreadsheetml.worksheet+xml" PartName="/xl/worksheets/sheet37722.xml"/>
  <Override ContentType="application/vnd.openxmlformats-officedocument.spreadsheetml.worksheet+xml" PartName="/xl/worksheets/sheet37723.xml"/>
  <Override ContentType="application/vnd.openxmlformats-officedocument.spreadsheetml.worksheet+xml" PartName="/xl/worksheets/sheet37724.xml"/>
  <Override ContentType="application/vnd.openxmlformats-officedocument.spreadsheetml.worksheet+xml" PartName="/xl/worksheets/sheet37725.xml"/>
  <Override ContentType="application/vnd.openxmlformats-officedocument.spreadsheetml.worksheet+xml" PartName="/xl/worksheets/sheet37726.xml"/>
  <Override ContentType="application/vnd.openxmlformats-officedocument.spreadsheetml.worksheet+xml" PartName="/xl/worksheets/sheet37727.xml"/>
  <Override ContentType="application/vnd.openxmlformats-officedocument.spreadsheetml.worksheet+xml" PartName="/xl/worksheets/sheet37728.xml"/>
  <Override ContentType="application/vnd.openxmlformats-officedocument.spreadsheetml.worksheet+xml" PartName="/xl/worksheets/sheet37729.xml"/>
  <Override ContentType="application/vnd.openxmlformats-officedocument.spreadsheetml.worksheet+xml" PartName="/xl/worksheets/sheet37730.xml"/>
  <Override ContentType="application/vnd.openxmlformats-officedocument.spreadsheetml.worksheet+xml" PartName="/xl/worksheets/sheet37731.xml"/>
  <Override ContentType="application/vnd.openxmlformats-officedocument.spreadsheetml.worksheet+xml" PartName="/xl/worksheets/sheet37732.xml"/>
  <Override ContentType="application/vnd.openxmlformats-officedocument.spreadsheetml.worksheet+xml" PartName="/xl/worksheets/sheet37733.xml"/>
  <Override ContentType="application/vnd.openxmlformats-officedocument.spreadsheetml.worksheet+xml" PartName="/xl/worksheets/sheet37734.xml"/>
  <Override ContentType="application/vnd.openxmlformats-officedocument.spreadsheetml.worksheet+xml" PartName="/xl/worksheets/sheet37735.xml"/>
  <Override ContentType="application/vnd.openxmlformats-officedocument.spreadsheetml.worksheet+xml" PartName="/xl/worksheets/sheet37736.xml"/>
  <Override ContentType="application/vnd.openxmlformats-officedocument.spreadsheetml.worksheet+xml" PartName="/xl/worksheets/sheet37737.xml"/>
  <Override ContentType="application/vnd.openxmlformats-officedocument.spreadsheetml.worksheet+xml" PartName="/xl/worksheets/sheet37738.xml"/>
  <Override ContentType="application/vnd.openxmlformats-officedocument.spreadsheetml.worksheet+xml" PartName="/xl/worksheets/sheet37739.xml"/>
  <Override ContentType="application/vnd.openxmlformats-officedocument.spreadsheetml.worksheet+xml" PartName="/xl/worksheets/sheet37740.xml"/>
  <Override ContentType="application/vnd.openxmlformats-officedocument.spreadsheetml.worksheet+xml" PartName="/xl/worksheets/sheet37741.xml"/>
  <Override ContentType="application/vnd.openxmlformats-officedocument.spreadsheetml.worksheet+xml" PartName="/xl/worksheets/sheet37742.xml"/>
  <Override ContentType="application/vnd.openxmlformats-officedocument.spreadsheetml.worksheet+xml" PartName="/xl/worksheets/sheet37743.xml"/>
  <Override ContentType="application/vnd.openxmlformats-officedocument.spreadsheetml.worksheet+xml" PartName="/xl/worksheets/sheet37744.xml"/>
  <Override ContentType="application/vnd.openxmlformats-officedocument.spreadsheetml.worksheet+xml" PartName="/xl/worksheets/sheet37745.xml"/>
  <Override ContentType="application/vnd.openxmlformats-officedocument.spreadsheetml.worksheet+xml" PartName="/xl/worksheets/sheet37746.xml"/>
  <Override ContentType="application/vnd.openxmlformats-officedocument.spreadsheetml.worksheet+xml" PartName="/xl/worksheets/sheet37747.xml"/>
  <Override ContentType="application/vnd.openxmlformats-officedocument.spreadsheetml.worksheet+xml" PartName="/xl/worksheets/sheet37748.xml"/>
  <Override ContentType="application/vnd.openxmlformats-officedocument.spreadsheetml.worksheet+xml" PartName="/xl/worksheets/sheet37749.xml"/>
  <Override ContentType="application/vnd.openxmlformats-officedocument.spreadsheetml.worksheet+xml" PartName="/xl/worksheets/sheet37750.xml"/>
  <Override ContentType="application/vnd.openxmlformats-officedocument.spreadsheetml.worksheet+xml" PartName="/xl/worksheets/sheet37751.xml"/>
  <Override ContentType="application/vnd.openxmlformats-officedocument.spreadsheetml.worksheet+xml" PartName="/xl/worksheets/sheet37752.xml"/>
  <Override ContentType="application/vnd.openxmlformats-officedocument.spreadsheetml.worksheet+xml" PartName="/xl/worksheets/sheet37753.xml"/>
  <Override ContentType="application/vnd.openxmlformats-officedocument.spreadsheetml.worksheet+xml" PartName="/xl/worksheets/sheet37754.xml"/>
  <Override ContentType="application/vnd.openxmlformats-officedocument.spreadsheetml.worksheet+xml" PartName="/xl/worksheets/sheet37755.xml"/>
  <Override ContentType="application/vnd.openxmlformats-officedocument.spreadsheetml.worksheet+xml" PartName="/xl/worksheets/sheet37756.xml"/>
  <Override ContentType="application/vnd.openxmlformats-officedocument.spreadsheetml.worksheet+xml" PartName="/xl/worksheets/sheet37757.xml"/>
  <Override ContentType="application/vnd.openxmlformats-officedocument.spreadsheetml.worksheet+xml" PartName="/xl/worksheets/sheet37758.xml"/>
  <Override ContentType="application/vnd.openxmlformats-officedocument.spreadsheetml.worksheet+xml" PartName="/xl/worksheets/sheet37759.xml"/>
  <Override ContentType="application/vnd.openxmlformats-officedocument.spreadsheetml.worksheet+xml" PartName="/xl/worksheets/sheet37760.xml"/>
  <Override ContentType="application/vnd.openxmlformats-officedocument.spreadsheetml.worksheet+xml" PartName="/xl/worksheets/sheet37761.xml"/>
  <Override ContentType="application/vnd.openxmlformats-officedocument.spreadsheetml.worksheet+xml" PartName="/xl/worksheets/sheet37762.xml"/>
  <Override ContentType="application/vnd.openxmlformats-officedocument.spreadsheetml.worksheet+xml" PartName="/xl/worksheets/sheet37763.xml"/>
  <Override ContentType="application/vnd.openxmlformats-officedocument.spreadsheetml.worksheet+xml" PartName="/xl/worksheets/sheet37764.xml"/>
  <Override ContentType="application/vnd.openxmlformats-officedocument.spreadsheetml.worksheet+xml" PartName="/xl/worksheets/sheet37765.xml"/>
  <Override ContentType="application/vnd.openxmlformats-officedocument.spreadsheetml.worksheet+xml" PartName="/xl/worksheets/sheet37766.xml"/>
  <Override ContentType="application/vnd.openxmlformats-officedocument.spreadsheetml.worksheet+xml" PartName="/xl/worksheets/sheet37767.xml"/>
  <Override ContentType="application/vnd.openxmlformats-officedocument.spreadsheetml.worksheet+xml" PartName="/xl/worksheets/sheet37768.xml"/>
  <Override ContentType="application/vnd.openxmlformats-officedocument.spreadsheetml.worksheet+xml" PartName="/xl/worksheets/sheet37769.xml"/>
  <Override ContentType="application/vnd.openxmlformats-officedocument.spreadsheetml.worksheet+xml" PartName="/xl/worksheets/sheet37770.xml"/>
  <Override ContentType="application/vnd.openxmlformats-officedocument.spreadsheetml.worksheet+xml" PartName="/xl/worksheets/sheet37771.xml"/>
  <Override ContentType="application/vnd.openxmlformats-officedocument.spreadsheetml.worksheet+xml" PartName="/xl/worksheets/sheet37772.xml"/>
  <Override ContentType="application/vnd.openxmlformats-officedocument.spreadsheetml.worksheet+xml" PartName="/xl/worksheets/sheet37773.xml"/>
  <Override ContentType="application/vnd.openxmlformats-officedocument.spreadsheetml.worksheet+xml" PartName="/xl/worksheets/sheet37774.xml"/>
  <Override ContentType="application/vnd.openxmlformats-officedocument.spreadsheetml.worksheet+xml" PartName="/xl/worksheets/sheet37775.xml"/>
  <Override ContentType="application/vnd.openxmlformats-officedocument.spreadsheetml.worksheet+xml" PartName="/xl/worksheets/sheet37776.xml"/>
  <Override ContentType="application/vnd.openxmlformats-officedocument.spreadsheetml.worksheet+xml" PartName="/xl/worksheets/sheet37777.xml"/>
  <Override ContentType="application/vnd.openxmlformats-officedocument.spreadsheetml.worksheet+xml" PartName="/xl/worksheets/sheet37778.xml"/>
  <Override ContentType="application/vnd.openxmlformats-officedocument.spreadsheetml.worksheet+xml" PartName="/xl/worksheets/sheet37779.xml"/>
  <Override ContentType="application/vnd.openxmlformats-officedocument.spreadsheetml.worksheet+xml" PartName="/xl/worksheets/sheet37780.xml"/>
  <Override ContentType="application/vnd.openxmlformats-officedocument.spreadsheetml.worksheet+xml" PartName="/xl/worksheets/sheet37781.xml"/>
  <Override ContentType="application/vnd.openxmlformats-officedocument.spreadsheetml.worksheet+xml" PartName="/xl/worksheets/sheet37782.xml"/>
  <Override ContentType="application/vnd.openxmlformats-officedocument.spreadsheetml.worksheet+xml" PartName="/xl/worksheets/sheet37783.xml"/>
  <Override ContentType="application/vnd.openxmlformats-officedocument.spreadsheetml.worksheet+xml" PartName="/xl/worksheets/sheet37784.xml"/>
  <Override ContentType="application/vnd.openxmlformats-officedocument.spreadsheetml.worksheet+xml" PartName="/xl/worksheets/sheet37785.xml"/>
  <Override ContentType="application/vnd.openxmlformats-officedocument.spreadsheetml.worksheet+xml" PartName="/xl/worksheets/sheet37786.xml"/>
  <Override ContentType="application/vnd.openxmlformats-officedocument.spreadsheetml.worksheet+xml" PartName="/xl/worksheets/sheet37787.xml"/>
  <Override ContentType="application/vnd.openxmlformats-officedocument.spreadsheetml.worksheet+xml" PartName="/xl/worksheets/sheet37788.xml"/>
  <Override ContentType="application/vnd.openxmlformats-officedocument.spreadsheetml.worksheet+xml" PartName="/xl/worksheets/sheet37789.xml"/>
  <Override ContentType="application/vnd.openxmlformats-officedocument.spreadsheetml.worksheet+xml" PartName="/xl/worksheets/sheet37790.xml"/>
  <Override ContentType="application/vnd.openxmlformats-officedocument.spreadsheetml.worksheet+xml" PartName="/xl/worksheets/sheet37791.xml"/>
  <Override ContentType="application/vnd.openxmlformats-officedocument.spreadsheetml.worksheet+xml" PartName="/xl/worksheets/sheet37792.xml"/>
  <Override ContentType="application/vnd.openxmlformats-officedocument.spreadsheetml.worksheet+xml" PartName="/xl/worksheets/sheet37793.xml"/>
  <Override ContentType="application/vnd.openxmlformats-officedocument.spreadsheetml.worksheet+xml" PartName="/xl/worksheets/sheet37794.xml"/>
  <Override ContentType="application/vnd.openxmlformats-officedocument.spreadsheetml.worksheet+xml" PartName="/xl/worksheets/sheet37795.xml"/>
  <Override ContentType="application/vnd.openxmlformats-officedocument.spreadsheetml.worksheet+xml" PartName="/xl/worksheets/sheet37796.xml"/>
  <Override ContentType="application/vnd.openxmlformats-officedocument.spreadsheetml.worksheet+xml" PartName="/xl/worksheets/sheet37797.xml"/>
  <Override ContentType="application/vnd.openxmlformats-officedocument.spreadsheetml.worksheet+xml" PartName="/xl/worksheets/sheet37798.xml"/>
  <Override ContentType="application/vnd.openxmlformats-officedocument.spreadsheetml.worksheet+xml" PartName="/xl/worksheets/sheet37799.xml"/>
  <Override ContentType="application/vnd.openxmlformats-officedocument.spreadsheetml.worksheet+xml" PartName="/xl/worksheets/sheet37800.xml"/>
  <Override ContentType="application/vnd.openxmlformats-officedocument.spreadsheetml.worksheet+xml" PartName="/xl/worksheets/sheet37801.xml"/>
  <Override ContentType="application/vnd.openxmlformats-officedocument.spreadsheetml.worksheet+xml" PartName="/xl/worksheets/sheet37802.xml"/>
  <Override ContentType="application/vnd.openxmlformats-officedocument.spreadsheetml.worksheet+xml" PartName="/xl/worksheets/sheet37803.xml"/>
  <Override ContentType="application/vnd.openxmlformats-officedocument.spreadsheetml.worksheet+xml" PartName="/xl/worksheets/sheet37804.xml"/>
  <Override ContentType="application/vnd.openxmlformats-officedocument.spreadsheetml.worksheet+xml" PartName="/xl/worksheets/sheet37805.xml"/>
  <Override ContentType="application/vnd.openxmlformats-officedocument.spreadsheetml.worksheet+xml" PartName="/xl/worksheets/sheet37806.xml"/>
  <Override ContentType="application/vnd.openxmlformats-officedocument.spreadsheetml.worksheet+xml" PartName="/xl/worksheets/sheet37807.xml"/>
  <Override ContentType="application/vnd.openxmlformats-officedocument.spreadsheetml.worksheet+xml" PartName="/xl/worksheets/sheet37808.xml"/>
  <Override ContentType="application/vnd.openxmlformats-officedocument.spreadsheetml.worksheet+xml" PartName="/xl/worksheets/sheet37809.xml"/>
  <Override ContentType="application/vnd.openxmlformats-officedocument.spreadsheetml.worksheet+xml" PartName="/xl/worksheets/sheet37810.xml"/>
  <Override ContentType="application/vnd.openxmlformats-officedocument.spreadsheetml.worksheet+xml" PartName="/xl/worksheets/sheet37811.xml"/>
  <Override ContentType="application/vnd.openxmlformats-officedocument.spreadsheetml.worksheet+xml" PartName="/xl/worksheets/sheet37812.xml"/>
  <Override ContentType="application/vnd.openxmlformats-officedocument.spreadsheetml.worksheet+xml" PartName="/xl/worksheets/sheet37813.xml"/>
  <Override ContentType="application/vnd.openxmlformats-officedocument.spreadsheetml.worksheet+xml" PartName="/xl/worksheets/sheet37814.xml"/>
  <Override ContentType="application/vnd.openxmlformats-officedocument.spreadsheetml.worksheet+xml" PartName="/xl/worksheets/sheet37815.xml"/>
  <Override ContentType="application/vnd.openxmlformats-officedocument.spreadsheetml.worksheet+xml" PartName="/xl/worksheets/sheet37816.xml"/>
  <Override ContentType="application/vnd.openxmlformats-officedocument.spreadsheetml.worksheet+xml" PartName="/xl/worksheets/sheet37817.xml"/>
  <Override ContentType="application/vnd.openxmlformats-officedocument.spreadsheetml.worksheet+xml" PartName="/xl/worksheets/sheet37818.xml"/>
  <Override ContentType="application/vnd.openxmlformats-officedocument.spreadsheetml.worksheet+xml" PartName="/xl/worksheets/sheet37819.xml"/>
  <Override ContentType="application/vnd.openxmlformats-officedocument.spreadsheetml.worksheet+xml" PartName="/xl/worksheets/sheet37820.xml"/>
  <Override ContentType="application/vnd.openxmlformats-officedocument.spreadsheetml.worksheet+xml" PartName="/xl/worksheets/sheet37821.xml"/>
  <Override ContentType="application/vnd.openxmlformats-officedocument.spreadsheetml.worksheet+xml" PartName="/xl/worksheets/sheet37822.xml"/>
  <Override ContentType="application/vnd.openxmlformats-officedocument.spreadsheetml.worksheet+xml" PartName="/xl/worksheets/sheet37823.xml"/>
  <Override ContentType="application/vnd.openxmlformats-officedocument.spreadsheetml.worksheet+xml" PartName="/xl/worksheets/sheet37824.xml"/>
  <Override ContentType="application/vnd.openxmlformats-officedocument.spreadsheetml.worksheet+xml" PartName="/xl/worksheets/sheet37825.xml"/>
  <Override ContentType="application/vnd.openxmlformats-officedocument.spreadsheetml.worksheet+xml" PartName="/xl/worksheets/sheet37826.xml"/>
  <Override ContentType="application/vnd.openxmlformats-officedocument.spreadsheetml.worksheet+xml" PartName="/xl/worksheets/sheet37827.xml"/>
  <Override ContentType="application/vnd.openxmlformats-officedocument.spreadsheetml.worksheet+xml" PartName="/xl/worksheets/sheet37828.xml"/>
  <Override ContentType="application/vnd.openxmlformats-officedocument.spreadsheetml.worksheet+xml" PartName="/xl/worksheets/sheet37829.xml"/>
  <Override ContentType="application/vnd.openxmlformats-officedocument.spreadsheetml.worksheet+xml" PartName="/xl/worksheets/sheet37830.xml"/>
  <Override ContentType="application/vnd.openxmlformats-officedocument.spreadsheetml.worksheet+xml" PartName="/xl/worksheets/sheet37831.xml"/>
  <Override ContentType="application/vnd.openxmlformats-officedocument.spreadsheetml.worksheet+xml" PartName="/xl/worksheets/sheet37832.xml"/>
  <Override ContentType="application/vnd.openxmlformats-officedocument.spreadsheetml.worksheet+xml" PartName="/xl/worksheets/sheet37833.xml"/>
  <Override ContentType="application/vnd.openxmlformats-officedocument.spreadsheetml.worksheet+xml" PartName="/xl/worksheets/sheet37834.xml"/>
  <Override ContentType="application/vnd.openxmlformats-officedocument.spreadsheetml.worksheet+xml" PartName="/xl/worksheets/sheet37835.xml"/>
  <Override ContentType="application/vnd.openxmlformats-officedocument.spreadsheetml.worksheet+xml" PartName="/xl/worksheets/sheet37836.xml"/>
  <Override ContentType="application/vnd.openxmlformats-officedocument.spreadsheetml.worksheet+xml" PartName="/xl/worksheets/sheet37837.xml"/>
  <Override ContentType="application/vnd.openxmlformats-officedocument.spreadsheetml.worksheet+xml" PartName="/xl/worksheets/sheet37838.xml"/>
  <Override ContentType="application/vnd.openxmlformats-officedocument.spreadsheetml.worksheet+xml" PartName="/xl/worksheets/sheet37839.xml"/>
  <Override ContentType="application/vnd.openxmlformats-officedocument.spreadsheetml.worksheet+xml" PartName="/xl/worksheets/sheet37840.xml"/>
  <Override ContentType="application/vnd.openxmlformats-officedocument.spreadsheetml.worksheet+xml" PartName="/xl/worksheets/sheet37841.xml"/>
  <Override ContentType="application/vnd.openxmlformats-officedocument.spreadsheetml.worksheet+xml" PartName="/xl/worksheets/sheet37842.xml"/>
  <Override ContentType="application/vnd.openxmlformats-officedocument.spreadsheetml.worksheet+xml" PartName="/xl/worksheets/sheet37843.xml"/>
  <Override ContentType="application/vnd.openxmlformats-officedocument.spreadsheetml.worksheet+xml" PartName="/xl/worksheets/sheet37844.xml"/>
  <Override ContentType="application/vnd.openxmlformats-officedocument.spreadsheetml.worksheet+xml" PartName="/xl/worksheets/sheet37845.xml"/>
  <Override ContentType="application/vnd.openxmlformats-officedocument.spreadsheetml.worksheet+xml" PartName="/xl/worksheets/sheet37846.xml"/>
  <Override ContentType="application/vnd.openxmlformats-officedocument.spreadsheetml.worksheet+xml" PartName="/xl/worksheets/sheet37847.xml"/>
  <Override ContentType="application/vnd.openxmlformats-officedocument.spreadsheetml.worksheet+xml" PartName="/xl/worksheets/sheet37848.xml"/>
  <Override ContentType="application/vnd.openxmlformats-officedocument.spreadsheetml.worksheet+xml" PartName="/xl/worksheets/sheet37849.xml"/>
  <Override ContentType="application/vnd.openxmlformats-officedocument.spreadsheetml.worksheet+xml" PartName="/xl/worksheets/sheet37850.xml"/>
  <Override ContentType="application/vnd.openxmlformats-officedocument.spreadsheetml.worksheet+xml" PartName="/xl/worksheets/sheet37851.xml"/>
  <Override ContentType="application/vnd.openxmlformats-officedocument.spreadsheetml.worksheet+xml" PartName="/xl/worksheets/sheet37852.xml"/>
  <Override ContentType="application/vnd.openxmlformats-officedocument.spreadsheetml.worksheet+xml" PartName="/xl/worksheets/sheet37853.xml"/>
  <Override ContentType="application/vnd.openxmlformats-officedocument.spreadsheetml.worksheet+xml" PartName="/xl/worksheets/sheet37854.xml"/>
  <Override ContentType="application/vnd.openxmlformats-officedocument.spreadsheetml.worksheet+xml" PartName="/xl/worksheets/sheet37855.xml"/>
  <Override ContentType="application/vnd.openxmlformats-officedocument.spreadsheetml.worksheet+xml" PartName="/xl/worksheets/sheet37856.xml"/>
  <Override ContentType="application/vnd.openxmlformats-officedocument.spreadsheetml.worksheet+xml" PartName="/xl/worksheets/sheet37857.xml"/>
  <Override ContentType="application/vnd.openxmlformats-officedocument.spreadsheetml.worksheet+xml" PartName="/xl/worksheets/sheet37858.xml"/>
  <Override ContentType="application/vnd.openxmlformats-officedocument.spreadsheetml.worksheet+xml" PartName="/xl/worksheets/sheet37859.xml"/>
  <Override ContentType="application/vnd.openxmlformats-officedocument.spreadsheetml.worksheet+xml" PartName="/xl/worksheets/sheet37860.xml"/>
  <Override ContentType="application/vnd.openxmlformats-officedocument.spreadsheetml.worksheet+xml" PartName="/xl/worksheets/sheet37861.xml"/>
  <Override ContentType="application/vnd.openxmlformats-officedocument.spreadsheetml.worksheet+xml" PartName="/xl/worksheets/sheet37862.xml"/>
  <Override ContentType="application/vnd.openxmlformats-officedocument.spreadsheetml.worksheet+xml" PartName="/xl/worksheets/sheet37863.xml"/>
  <Override ContentType="application/vnd.openxmlformats-officedocument.spreadsheetml.worksheet+xml" PartName="/xl/worksheets/sheet37864.xml"/>
  <Override ContentType="application/vnd.openxmlformats-officedocument.spreadsheetml.worksheet+xml" PartName="/xl/worksheets/sheet37865.xml"/>
  <Override ContentType="application/vnd.openxmlformats-officedocument.spreadsheetml.worksheet+xml" PartName="/xl/worksheets/sheet37866.xml"/>
  <Override ContentType="application/vnd.openxmlformats-officedocument.spreadsheetml.worksheet+xml" PartName="/xl/worksheets/sheet37867.xml"/>
  <Override ContentType="application/vnd.openxmlformats-officedocument.spreadsheetml.worksheet+xml" PartName="/xl/worksheets/sheet37868.xml"/>
  <Override ContentType="application/vnd.openxmlformats-officedocument.spreadsheetml.worksheet+xml" PartName="/xl/worksheets/sheet37869.xml"/>
  <Override ContentType="application/vnd.openxmlformats-officedocument.spreadsheetml.worksheet+xml" PartName="/xl/worksheets/sheet37870.xml"/>
  <Override ContentType="application/vnd.openxmlformats-officedocument.spreadsheetml.worksheet+xml" PartName="/xl/worksheets/sheet37871.xml"/>
  <Override ContentType="application/vnd.openxmlformats-officedocument.spreadsheetml.worksheet+xml" PartName="/xl/worksheets/sheet37872.xml"/>
  <Override ContentType="application/vnd.openxmlformats-officedocument.spreadsheetml.worksheet+xml" PartName="/xl/worksheets/sheet37873.xml"/>
  <Override ContentType="application/vnd.openxmlformats-officedocument.spreadsheetml.worksheet+xml" PartName="/xl/worksheets/sheet37874.xml"/>
  <Override ContentType="application/vnd.openxmlformats-officedocument.spreadsheetml.worksheet+xml" PartName="/xl/worksheets/sheet37875.xml"/>
  <Override ContentType="application/vnd.openxmlformats-officedocument.spreadsheetml.worksheet+xml" PartName="/xl/worksheets/sheet37876.xml"/>
  <Override ContentType="application/vnd.openxmlformats-officedocument.spreadsheetml.worksheet+xml" PartName="/xl/worksheets/sheet37877.xml"/>
  <Override ContentType="application/vnd.openxmlformats-officedocument.spreadsheetml.worksheet+xml" PartName="/xl/worksheets/sheet37878.xml"/>
  <Override ContentType="application/vnd.openxmlformats-officedocument.spreadsheetml.worksheet+xml" PartName="/xl/worksheets/sheet37879.xml"/>
  <Override ContentType="application/vnd.openxmlformats-officedocument.spreadsheetml.worksheet+xml" PartName="/xl/worksheets/sheet37880.xml"/>
  <Override ContentType="application/vnd.openxmlformats-officedocument.spreadsheetml.worksheet+xml" PartName="/xl/worksheets/sheet37881.xml"/>
  <Override ContentType="application/vnd.openxmlformats-officedocument.spreadsheetml.worksheet+xml" PartName="/xl/worksheets/sheet37882.xml"/>
  <Override ContentType="application/vnd.openxmlformats-officedocument.spreadsheetml.worksheet+xml" PartName="/xl/worksheets/sheet37883.xml"/>
  <Override ContentType="application/vnd.openxmlformats-officedocument.spreadsheetml.worksheet+xml" PartName="/xl/worksheets/sheet37884.xml"/>
  <Override ContentType="application/vnd.openxmlformats-officedocument.spreadsheetml.worksheet+xml" PartName="/xl/worksheets/sheet37885.xml"/>
  <Override ContentType="application/vnd.openxmlformats-officedocument.spreadsheetml.worksheet+xml" PartName="/xl/worksheets/sheet37886.xml"/>
  <Override ContentType="application/vnd.openxmlformats-officedocument.spreadsheetml.worksheet+xml" PartName="/xl/worksheets/sheet37887.xml"/>
  <Override ContentType="application/vnd.openxmlformats-officedocument.spreadsheetml.worksheet+xml" PartName="/xl/worksheets/sheet37888.xml"/>
  <Override ContentType="application/vnd.openxmlformats-officedocument.spreadsheetml.worksheet+xml" PartName="/xl/worksheets/sheet37889.xml"/>
  <Override ContentType="application/vnd.openxmlformats-officedocument.spreadsheetml.worksheet+xml" PartName="/xl/worksheets/sheet37890.xml"/>
  <Override ContentType="application/vnd.openxmlformats-officedocument.spreadsheetml.worksheet+xml" PartName="/xl/worksheets/sheet37891.xml"/>
  <Override ContentType="application/vnd.openxmlformats-officedocument.spreadsheetml.worksheet+xml" PartName="/xl/worksheets/sheet37892.xml"/>
  <Override ContentType="application/vnd.openxmlformats-officedocument.spreadsheetml.worksheet+xml" PartName="/xl/worksheets/sheet37893.xml"/>
  <Override ContentType="application/vnd.openxmlformats-officedocument.spreadsheetml.worksheet+xml" PartName="/xl/worksheets/sheet37894.xml"/>
  <Override ContentType="application/vnd.openxmlformats-officedocument.spreadsheetml.worksheet+xml" PartName="/xl/worksheets/sheet37895.xml"/>
  <Override ContentType="application/vnd.openxmlformats-officedocument.spreadsheetml.worksheet+xml" PartName="/xl/worksheets/sheet37896.xml"/>
  <Override ContentType="application/vnd.openxmlformats-officedocument.spreadsheetml.worksheet+xml" PartName="/xl/worksheets/sheet37897.xml"/>
  <Override ContentType="application/vnd.openxmlformats-officedocument.spreadsheetml.worksheet+xml" PartName="/xl/worksheets/sheet37898.xml"/>
  <Override ContentType="application/vnd.openxmlformats-officedocument.spreadsheetml.worksheet+xml" PartName="/xl/worksheets/sheet37899.xml"/>
  <Override ContentType="application/vnd.openxmlformats-officedocument.spreadsheetml.worksheet+xml" PartName="/xl/worksheets/sheet37900.xml"/>
  <Override ContentType="application/vnd.openxmlformats-officedocument.spreadsheetml.worksheet+xml" PartName="/xl/worksheets/sheet37901.xml"/>
  <Override ContentType="application/vnd.openxmlformats-officedocument.spreadsheetml.worksheet+xml" PartName="/xl/worksheets/sheet37902.xml"/>
  <Override ContentType="application/vnd.openxmlformats-officedocument.spreadsheetml.worksheet+xml" PartName="/xl/worksheets/sheet37903.xml"/>
  <Override ContentType="application/vnd.openxmlformats-officedocument.spreadsheetml.worksheet+xml" PartName="/xl/worksheets/sheet37904.xml"/>
  <Override ContentType="application/vnd.openxmlformats-officedocument.spreadsheetml.worksheet+xml" PartName="/xl/worksheets/sheet37905.xml"/>
  <Override ContentType="application/vnd.openxmlformats-officedocument.spreadsheetml.worksheet+xml" PartName="/xl/worksheets/sheet37906.xml"/>
  <Override ContentType="application/vnd.openxmlformats-officedocument.spreadsheetml.worksheet+xml" PartName="/xl/worksheets/sheet37907.xml"/>
  <Override ContentType="application/vnd.openxmlformats-officedocument.spreadsheetml.worksheet+xml" PartName="/xl/worksheets/sheet37908.xml"/>
  <Override ContentType="application/vnd.openxmlformats-officedocument.spreadsheetml.worksheet+xml" PartName="/xl/worksheets/sheet37909.xml"/>
  <Override ContentType="application/vnd.openxmlformats-officedocument.spreadsheetml.worksheet+xml" PartName="/xl/worksheets/sheet37910.xml"/>
  <Override ContentType="application/vnd.openxmlformats-officedocument.spreadsheetml.worksheet+xml" PartName="/xl/worksheets/sheet37911.xml"/>
  <Override ContentType="application/vnd.openxmlformats-officedocument.spreadsheetml.worksheet+xml" PartName="/xl/worksheets/sheet37912.xml"/>
  <Override ContentType="application/vnd.openxmlformats-officedocument.spreadsheetml.worksheet+xml" PartName="/xl/worksheets/sheet37913.xml"/>
  <Override ContentType="application/vnd.openxmlformats-officedocument.spreadsheetml.worksheet+xml" PartName="/xl/worksheets/sheet37914.xml"/>
  <Override ContentType="application/vnd.openxmlformats-officedocument.spreadsheetml.worksheet+xml" PartName="/xl/worksheets/sheet37915.xml"/>
  <Override ContentType="application/vnd.openxmlformats-officedocument.spreadsheetml.worksheet+xml" PartName="/xl/worksheets/sheet37916.xml"/>
  <Override ContentType="application/vnd.openxmlformats-officedocument.spreadsheetml.worksheet+xml" PartName="/xl/worksheets/sheet37917.xml"/>
  <Override ContentType="application/vnd.openxmlformats-officedocument.spreadsheetml.worksheet+xml" PartName="/xl/worksheets/sheet37918.xml"/>
  <Override ContentType="application/vnd.openxmlformats-officedocument.spreadsheetml.worksheet+xml" PartName="/xl/worksheets/sheet37919.xml"/>
  <Override ContentType="application/vnd.openxmlformats-officedocument.spreadsheetml.worksheet+xml" PartName="/xl/worksheets/sheet37920.xml"/>
  <Override ContentType="application/vnd.openxmlformats-officedocument.spreadsheetml.worksheet+xml" PartName="/xl/worksheets/sheet37921.xml"/>
  <Override ContentType="application/vnd.openxmlformats-officedocument.spreadsheetml.worksheet+xml" PartName="/xl/worksheets/sheet37922.xml"/>
  <Override ContentType="application/vnd.openxmlformats-officedocument.spreadsheetml.worksheet+xml" PartName="/xl/worksheets/sheet37923.xml"/>
  <Override ContentType="application/vnd.openxmlformats-officedocument.spreadsheetml.worksheet+xml" PartName="/xl/worksheets/sheet37924.xml"/>
  <Override ContentType="application/vnd.openxmlformats-officedocument.spreadsheetml.worksheet+xml" PartName="/xl/worksheets/sheet37925.xml"/>
  <Override ContentType="application/vnd.openxmlformats-officedocument.spreadsheetml.worksheet+xml" PartName="/xl/worksheets/sheet37926.xml"/>
  <Override ContentType="application/vnd.openxmlformats-officedocument.spreadsheetml.worksheet+xml" PartName="/xl/worksheets/sheet37927.xml"/>
  <Override ContentType="application/vnd.openxmlformats-officedocument.spreadsheetml.worksheet+xml" PartName="/xl/worksheets/sheet37928.xml"/>
  <Override ContentType="application/vnd.openxmlformats-officedocument.spreadsheetml.worksheet+xml" PartName="/xl/worksheets/sheet37929.xml"/>
  <Override ContentType="application/vnd.openxmlformats-officedocument.spreadsheetml.worksheet+xml" PartName="/xl/worksheets/sheet37930.xml"/>
  <Override ContentType="application/vnd.openxmlformats-officedocument.spreadsheetml.worksheet+xml" PartName="/xl/worksheets/sheet37931.xml"/>
  <Override ContentType="application/vnd.openxmlformats-officedocument.spreadsheetml.worksheet+xml" PartName="/xl/worksheets/sheet37932.xml"/>
  <Override ContentType="application/vnd.openxmlformats-officedocument.spreadsheetml.worksheet+xml" PartName="/xl/worksheets/sheet37933.xml"/>
  <Override ContentType="application/vnd.openxmlformats-officedocument.spreadsheetml.worksheet+xml" PartName="/xl/worksheets/sheet37934.xml"/>
  <Override ContentType="application/vnd.openxmlformats-officedocument.spreadsheetml.worksheet+xml" PartName="/xl/worksheets/sheet37935.xml"/>
  <Override ContentType="application/vnd.openxmlformats-officedocument.spreadsheetml.worksheet+xml" PartName="/xl/worksheets/sheet37936.xml"/>
  <Override ContentType="application/vnd.openxmlformats-officedocument.spreadsheetml.worksheet+xml" PartName="/xl/worksheets/sheet37937.xml"/>
  <Override ContentType="application/vnd.openxmlformats-officedocument.spreadsheetml.worksheet+xml" PartName="/xl/worksheets/sheet37938.xml"/>
  <Override ContentType="application/vnd.openxmlformats-officedocument.spreadsheetml.worksheet+xml" PartName="/xl/worksheets/sheet37939.xml"/>
  <Override ContentType="application/vnd.openxmlformats-officedocument.spreadsheetml.worksheet+xml" PartName="/xl/worksheets/sheet37940.xml"/>
  <Override ContentType="application/vnd.openxmlformats-officedocument.spreadsheetml.worksheet+xml" PartName="/xl/worksheets/sheet37941.xml"/>
  <Override ContentType="application/vnd.openxmlformats-officedocument.spreadsheetml.worksheet+xml" PartName="/xl/worksheets/sheet37942.xml"/>
  <Override ContentType="application/vnd.openxmlformats-officedocument.spreadsheetml.worksheet+xml" PartName="/xl/worksheets/sheet37943.xml"/>
  <Override ContentType="application/vnd.openxmlformats-officedocument.spreadsheetml.worksheet+xml" PartName="/xl/worksheets/sheet37944.xml"/>
  <Override ContentType="application/vnd.openxmlformats-officedocument.spreadsheetml.worksheet+xml" PartName="/xl/worksheets/sheet37945.xml"/>
  <Override ContentType="application/vnd.openxmlformats-officedocument.spreadsheetml.worksheet+xml" PartName="/xl/worksheets/sheet37946.xml"/>
  <Override ContentType="application/vnd.openxmlformats-officedocument.spreadsheetml.worksheet+xml" PartName="/xl/worksheets/sheet37947.xml"/>
  <Override ContentType="application/vnd.openxmlformats-officedocument.spreadsheetml.worksheet+xml" PartName="/xl/worksheets/sheet37948.xml"/>
  <Override ContentType="application/vnd.openxmlformats-officedocument.spreadsheetml.worksheet+xml" PartName="/xl/worksheets/sheet37949.xml"/>
  <Override ContentType="application/vnd.openxmlformats-officedocument.spreadsheetml.worksheet+xml" PartName="/xl/worksheets/sheet37950.xml"/>
  <Override ContentType="application/vnd.openxmlformats-officedocument.spreadsheetml.worksheet+xml" PartName="/xl/worksheets/sheet37951.xml"/>
  <Override ContentType="application/vnd.openxmlformats-officedocument.spreadsheetml.worksheet+xml" PartName="/xl/worksheets/sheet37952.xml"/>
  <Override ContentType="application/vnd.openxmlformats-officedocument.spreadsheetml.worksheet+xml" PartName="/xl/worksheets/sheet37953.xml"/>
  <Override ContentType="application/vnd.openxmlformats-officedocument.spreadsheetml.worksheet+xml" PartName="/xl/worksheets/sheet37954.xml"/>
  <Override ContentType="application/vnd.openxmlformats-officedocument.spreadsheetml.worksheet+xml" PartName="/xl/worksheets/sheet37955.xml"/>
  <Override ContentType="application/vnd.openxmlformats-officedocument.spreadsheetml.worksheet+xml" PartName="/xl/worksheets/sheet37956.xml"/>
  <Override ContentType="application/vnd.openxmlformats-officedocument.spreadsheetml.worksheet+xml" PartName="/xl/worksheets/sheet37957.xml"/>
  <Override ContentType="application/vnd.openxmlformats-officedocument.spreadsheetml.worksheet+xml" PartName="/xl/worksheets/sheet37958.xml"/>
  <Override ContentType="application/vnd.openxmlformats-officedocument.spreadsheetml.worksheet+xml" PartName="/xl/worksheets/sheet37959.xml"/>
  <Override ContentType="application/vnd.openxmlformats-officedocument.spreadsheetml.worksheet+xml" PartName="/xl/worksheets/sheet37960.xml"/>
  <Override ContentType="application/vnd.openxmlformats-officedocument.spreadsheetml.worksheet+xml" PartName="/xl/worksheets/sheet37961.xml"/>
  <Override ContentType="application/vnd.openxmlformats-officedocument.spreadsheetml.worksheet+xml" PartName="/xl/worksheets/sheet37962.xml"/>
  <Override ContentType="application/vnd.openxmlformats-officedocument.spreadsheetml.worksheet+xml" PartName="/xl/worksheets/sheet37963.xml"/>
  <Override ContentType="application/vnd.openxmlformats-officedocument.spreadsheetml.worksheet+xml" PartName="/xl/worksheets/sheet37964.xml"/>
  <Override ContentType="application/vnd.openxmlformats-officedocument.spreadsheetml.worksheet+xml" PartName="/xl/worksheets/sheet37965.xml"/>
  <Override ContentType="application/vnd.openxmlformats-officedocument.spreadsheetml.worksheet+xml" PartName="/xl/worksheets/sheet37966.xml"/>
  <Override ContentType="application/vnd.openxmlformats-officedocument.spreadsheetml.worksheet+xml" PartName="/xl/worksheets/sheet37967.xml"/>
  <Override ContentType="application/vnd.openxmlformats-officedocument.spreadsheetml.worksheet+xml" PartName="/xl/worksheets/sheet37968.xml"/>
  <Override ContentType="application/vnd.openxmlformats-officedocument.spreadsheetml.worksheet+xml" PartName="/xl/worksheets/sheet37969.xml"/>
  <Override ContentType="application/vnd.openxmlformats-officedocument.spreadsheetml.worksheet+xml" PartName="/xl/worksheets/sheet37970.xml"/>
  <Override ContentType="application/vnd.openxmlformats-officedocument.spreadsheetml.worksheet+xml" PartName="/xl/worksheets/sheet37971.xml"/>
  <Override ContentType="application/vnd.openxmlformats-officedocument.spreadsheetml.worksheet+xml" PartName="/xl/worksheets/sheet37972.xml"/>
  <Override ContentType="application/vnd.openxmlformats-officedocument.spreadsheetml.worksheet+xml" PartName="/xl/worksheets/sheet37973.xml"/>
  <Override ContentType="application/vnd.openxmlformats-officedocument.spreadsheetml.worksheet+xml" PartName="/xl/worksheets/sheet37974.xml"/>
  <Override ContentType="application/vnd.openxmlformats-officedocument.spreadsheetml.worksheet+xml" PartName="/xl/worksheets/sheet37975.xml"/>
  <Override ContentType="application/vnd.openxmlformats-officedocument.spreadsheetml.worksheet+xml" PartName="/xl/worksheets/sheet37976.xml"/>
  <Override ContentType="application/vnd.openxmlformats-officedocument.spreadsheetml.worksheet+xml" PartName="/xl/worksheets/sheet37977.xml"/>
  <Override ContentType="application/vnd.openxmlformats-officedocument.spreadsheetml.worksheet+xml" PartName="/xl/worksheets/sheet37978.xml"/>
  <Override ContentType="application/vnd.openxmlformats-officedocument.spreadsheetml.worksheet+xml" PartName="/xl/worksheets/sheet37979.xml"/>
  <Override ContentType="application/vnd.openxmlformats-officedocument.spreadsheetml.worksheet+xml" PartName="/xl/worksheets/sheet37980.xml"/>
  <Override ContentType="application/vnd.openxmlformats-officedocument.spreadsheetml.worksheet+xml" PartName="/xl/worksheets/sheet37981.xml"/>
  <Override ContentType="application/vnd.openxmlformats-officedocument.spreadsheetml.worksheet+xml" PartName="/xl/worksheets/sheet37982.xml"/>
  <Override ContentType="application/vnd.openxmlformats-officedocument.spreadsheetml.worksheet+xml" PartName="/xl/worksheets/sheet37983.xml"/>
  <Override ContentType="application/vnd.openxmlformats-officedocument.spreadsheetml.worksheet+xml" PartName="/xl/worksheets/sheet37984.xml"/>
  <Override ContentType="application/vnd.openxmlformats-officedocument.spreadsheetml.worksheet+xml" PartName="/xl/worksheets/sheet37985.xml"/>
  <Override ContentType="application/vnd.openxmlformats-officedocument.spreadsheetml.worksheet+xml" PartName="/xl/worksheets/sheet37986.xml"/>
  <Override ContentType="application/vnd.openxmlformats-officedocument.spreadsheetml.worksheet+xml" PartName="/xl/worksheets/sheet37987.xml"/>
  <Override ContentType="application/vnd.openxmlformats-officedocument.spreadsheetml.worksheet+xml" PartName="/xl/worksheets/sheet37988.xml"/>
  <Override ContentType="application/vnd.openxmlformats-officedocument.spreadsheetml.worksheet+xml" PartName="/xl/worksheets/sheet37989.xml"/>
  <Override ContentType="application/vnd.openxmlformats-officedocument.spreadsheetml.worksheet+xml" PartName="/xl/worksheets/sheet37990.xml"/>
  <Override ContentType="application/vnd.openxmlformats-officedocument.spreadsheetml.worksheet+xml" PartName="/xl/worksheets/sheet37991.xml"/>
  <Override ContentType="application/vnd.openxmlformats-officedocument.spreadsheetml.worksheet+xml" PartName="/xl/worksheets/sheet37992.xml"/>
  <Override ContentType="application/vnd.openxmlformats-officedocument.spreadsheetml.worksheet+xml" PartName="/xl/worksheets/sheet37993.xml"/>
  <Override ContentType="application/vnd.openxmlformats-officedocument.spreadsheetml.worksheet+xml" PartName="/xl/worksheets/sheet37994.xml"/>
  <Override ContentType="application/vnd.openxmlformats-officedocument.spreadsheetml.worksheet+xml" PartName="/xl/worksheets/sheet37995.xml"/>
  <Override ContentType="application/vnd.openxmlformats-officedocument.spreadsheetml.worksheet+xml" PartName="/xl/worksheets/sheet37996.xml"/>
  <Override ContentType="application/vnd.openxmlformats-officedocument.spreadsheetml.worksheet+xml" PartName="/xl/worksheets/sheet37997.xml"/>
  <Override ContentType="application/vnd.openxmlformats-officedocument.spreadsheetml.worksheet+xml" PartName="/xl/worksheets/sheet37998.xml"/>
  <Override ContentType="application/vnd.openxmlformats-officedocument.spreadsheetml.worksheet+xml" PartName="/xl/worksheets/sheet37999.xml"/>
  <Override ContentType="application/vnd.openxmlformats-officedocument.spreadsheetml.worksheet+xml" PartName="/xl/worksheets/sheet38000.xml"/>
  <Override ContentType="application/vnd.openxmlformats-officedocument.spreadsheetml.worksheet+xml" PartName="/xl/worksheets/sheet38001.xml"/>
  <Override ContentType="application/vnd.openxmlformats-officedocument.spreadsheetml.worksheet+xml" PartName="/xl/worksheets/sheet38002.xml"/>
  <Override ContentType="application/vnd.openxmlformats-officedocument.spreadsheetml.worksheet+xml" PartName="/xl/worksheets/sheet38003.xml"/>
  <Override ContentType="application/vnd.openxmlformats-officedocument.spreadsheetml.worksheet+xml" PartName="/xl/worksheets/sheet38004.xml"/>
  <Override ContentType="application/vnd.openxmlformats-officedocument.spreadsheetml.worksheet+xml" PartName="/xl/worksheets/sheet38005.xml"/>
  <Override ContentType="application/vnd.openxmlformats-officedocument.spreadsheetml.worksheet+xml" PartName="/xl/worksheets/sheet38006.xml"/>
  <Override ContentType="application/vnd.openxmlformats-officedocument.spreadsheetml.worksheet+xml" PartName="/xl/worksheets/sheet38007.xml"/>
  <Override ContentType="application/vnd.openxmlformats-officedocument.spreadsheetml.worksheet+xml" PartName="/xl/worksheets/sheet38008.xml"/>
  <Override ContentType="application/vnd.openxmlformats-officedocument.spreadsheetml.worksheet+xml" PartName="/xl/worksheets/sheet38009.xml"/>
  <Override ContentType="application/vnd.openxmlformats-officedocument.spreadsheetml.worksheet+xml" PartName="/xl/worksheets/sheet38010.xml"/>
  <Override ContentType="application/vnd.openxmlformats-officedocument.spreadsheetml.worksheet+xml" PartName="/xl/worksheets/sheet38011.xml"/>
  <Override ContentType="application/vnd.openxmlformats-officedocument.spreadsheetml.worksheet+xml" PartName="/xl/worksheets/sheet38012.xml"/>
  <Override ContentType="application/vnd.openxmlformats-officedocument.spreadsheetml.worksheet+xml" PartName="/xl/worksheets/sheet38013.xml"/>
  <Override ContentType="application/vnd.openxmlformats-officedocument.spreadsheetml.worksheet+xml" PartName="/xl/worksheets/sheet38014.xml"/>
  <Override ContentType="application/vnd.openxmlformats-officedocument.spreadsheetml.worksheet+xml" PartName="/xl/worksheets/sheet38015.xml"/>
  <Override ContentType="application/vnd.openxmlformats-officedocument.spreadsheetml.worksheet+xml" PartName="/xl/worksheets/sheet38016.xml"/>
  <Override ContentType="application/vnd.openxmlformats-officedocument.spreadsheetml.worksheet+xml" PartName="/xl/worksheets/sheet38017.xml"/>
  <Override ContentType="application/vnd.openxmlformats-officedocument.spreadsheetml.worksheet+xml" PartName="/xl/worksheets/sheet38018.xml"/>
  <Override ContentType="application/vnd.openxmlformats-officedocument.spreadsheetml.worksheet+xml" PartName="/xl/worksheets/sheet38019.xml"/>
  <Override ContentType="application/vnd.openxmlformats-officedocument.spreadsheetml.worksheet+xml" PartName="/xl/worksheets/sheet38020.xml"/>
  <Override ContentType="application/vnd.openxmlformats-officedocument.spreadsheetml.worksheet+xml" PartName="/xl/worksheets/sheet38021.xml"/>
  <Override ContentType="application/vnd.openxmlformats-officedocument.spreadsheetml.worksheet+xml" PartName="/xl/worksheets/sheet38022.xml"/>
  <Override ContentType="application/vnd.openxmlformats-officedocument.spreadsheetml.worksheet+xml" PartName="/xl/worksheets/sheet38023.xml"/>
  <Override ContentType="application/vnd.openxmlformats-officedocument.spreadsheetml.worksheet+xml" PartName="/xl/worksheets/sheet38024.xml"/>
  <Override ContentType="application/vnd.openxmlformats-officedocument.spreadsheetml.worksheet+xml" PartName="/xl/worksheets/sheet38025.xml"/>
  <Override ContentType="application/vnd.openxmlformats-officedocument.spreadsheetml.worksheet+xml" PartName="/xl/worksheets/sheet38026.xml"/>
  <Override ContentType="application/vnd.openxmlformats-officedocument.spreadsheetml.worksheet+xml" PartName="/xl/worksheets/sheet38027.xml"/>
  <Override ContentType="application/vnd.openxmlformats-officedocument.spreadsheetml.worksheet+xml" PartName="/xl/worksheets/sheet38028.xml"/>
  <Override ContentType="application/vnd.openxmlformats-officedocument.spreadsheetml.worksheet+xml" PartName="/xl/worksheets/sheet38029.xml"/>
  <Override ContentType="application/vnd.openxmlformats-officedocument.spreadsheetml.worksheet+xml" PartName="/xl/worksheets/sheet38030.xml"/>
  <Override ContentType="application/vnd.openxmlformats-officedocument.spreadsheetml.worksheet+xml" PartName="/xl/worksheets/sheet38031.xml"/>
  <Override ContentType="application/vnd.openxmlformats-officedocument.spreadsheetml.worksheet+xml" PartName="/xl/worksheets/sheet38032.xml"/>
  <Override ContentType="application/vnd.openxmlformats-officedocument.spreadsheetml.worksheet+xml" PartName="/xl/worksheets/sheet38033.xml"/>
  <Override ContentType="application/vnd.openxmlformats-officedocument.spreadsheetml.worksheet+xml" PartName="/xl/worksheets/sheet38034.xml"/>
  <Override ContentType="application/vnd.openxmlformats-officedocument.spreadsheetml.worksheet+xml" PartName="/xl/worksheets/sheet38035.xml"/>
  <Override ContentType="application/vnd.openxmlformats-officedocument.spreadsheetml.worksheet+xml" PartName="/xl/worksheets/sheet38036.xml"/>
  <Override ContentType="application/vnd.openxmlformats-officedocument.spreadsheetml.worksheet+xml" PartName="/xl/worksheets/sheet38037.xml"/>
  <Override ContentType="application/vnd.openxmlformats-officedocument.spreadsheetml.worksheet+xml" PartName="/xl/worksheets/sheet38038.xml"/>
  <Override ContentType="application/vnd.openxmlformats-officedocument.spreadsheetml.worksheet+xml" PartName="/xl/worksheets/sheet38039.xml"/>
  <Override ContentType="application/vnd.openxmlformats-officedocument.spreadsheetml.worksheet+xml" PartName="/xl/worksheets/sheet38040.xml"/>
  <Override ContentType="application/vnd.openxmlformats-officedocument.spreadsheetml.worksheet+xml" PartName="/xl/worksheets/sheet38041.xml"/>
  <Override ContentType="application/vnd.openxmlformats-officedocument.spreadsheetml.worksheet+xml" PartName="/xl/worksheets/sheet38042.xml"/>
  <Override ContentType="application/vnd.openxmlformats-officedocument.spreadsheetml.worksheet+xml" PartName="/xl/worksheets/sheet38043.xml"/>
  <Override ContentType="application/vnd.openxmlformats-officedocument.spreadsheetml.worksheet+xml" PartName="/xl/worksheets/sheet38044.xml"/>
  <Override ContentType="application/vnd.openxmlformats-officedocument.spreadsheetml.worksheet+xml" PartName="/xl/worksheets/sheet38045.xml"/>
  <Override ContentType="application/vnd.openxmlformats-officedocument.spreadsheetml.worksheet+xml" PartName="/xl/worksheets/sheet38046.xml"/>
  <Override ContentType="application/vnd.openxmlformats-officedocument.spreadsheetml.worksheet+xml" PartName="/xl/worksheets/sheet38047.xml"/>
  <Override ContentType="application/vnd.openxmlformats-officedocument.spreadsheetml.worksheet+xml" PartName="/xl/worksheets/sheet38048.xml"/>
  <Override ContentType="application/vnd.openxmlformats-officedocument.spreadsheetml.worksheet+xml" PartName="/xl/worksheets/sheet38049.xml"/>
  <Override ContentType="application/vnd.openxmlformats-officedocument.spreadsheetml.worksheet+xml" PartName="/xl/worksheets/sheet38050.xml"/>
  <Override ContentType="application/vnd.openxmlformats-officedocument.spreadsheetml.worksheet+xml" PartName="/xl/worksheets/sheet38051.xml"/>
  <Override ContentType="application/vnd.openxmlformats-officedocument.spreadsheetml.worksheet+xml" PartName="/xl/worksheets/sheet38052.xml"/>
  <Override ContentType="application/vnd.openxmlformats-officedocument.spreadsheetml.worksheet+xml" PartName="/xl/worksheets/sheet38053.xml"/>
  <Override ContentType="application/vnd.openxmlformats-officedocument.spreadsheetml.worksheet+xml" PartName="/xl/worksheets/sheet38054.xml"/>
  <Override ContentType="application/vnd.openxmlformats-officedocument.spreadsheetml.worksheet+xml" PartName="/xl/worksheets/sheet38055.xml"/>
  <Override ContentType="application/vnd.openxmlformats-officedocument.spreadsheetml.worksheet+xml" PartName="/xl/worksheets/sheet38056.xml"/>
  <Override ContentType="application/vnd.openxmlformats-officedocument.spreadsheetml.worksheet+xml" PartName="/xl/worksheets/sheet38057.xml"/>
  <Override ContentType="application/vnd.openxmlformats-officedocument.spreadsheetml.worksheet+xml" PartName="/xl/worksheets/sheet38058.xml"/>
  <Override ContentType="application/vnd.openxmlformats-officedocument.spreadsheetml.worksheet+xml" PartName="/xl/worksheets/sheet38059.xml"/>
  <Override ContentType="application/vnd.openxmlformats-officedocument.spreadsheetml.worksheet+xml" PartName="/xl/worksheets/sheet38060.xml"/>
  <Override ContentType="application/vnd.openxmlformats-officedocument.spreadsheetml.worksheet+xml" PartName="/xl/worksheets/sheet38061.xml"/>
  <Override ContentType="application/vnd.openxmlformats-officedocument.spreadsheetml.worksheet+xml" PartName="/xl/worksheets/sheet38062.xml"/>
  <Override ContentType="application/vnd.openxmlformats-officedocument.spreadsheetml.worksheet+xml" PartName="/xl/worksheets/sheet38063.xml"/>
  <Override ContentType="application/vnd.openxmlformats-officedocument.spreadsheetml.worksheet+xml" PartName="/xl/worksheets/sheet38064.xml"/>
  <Override ContentType="application/vnd.openxmlformats-officedocument.spreadsheetml.worksheet+xml" PartName="/xl/worksheets/sheet38065.xml"/>
  <Override ContentType="application/vnd.openxmlformats-officedocument.spreadsheetml.worksheet+xml" PartName="/xl/worksheets/sheet38066.xml"/>
  <Override ContentType="application/vnd.openxmlformats-officedocument.spreadsheetml.worksheet+xml" PartName="/xl/worksheets/sheet38067.xml"/>
  <Override ContentType="application/vnd.openxmlformats-officedocument.spreadsheetml.worksheet+xml" PartName="/xl/worksheets/sheet38068.xml"/>
  <Override ContentType="application/vnd.openxmlformats-officedocument.spreadsheetml.worksheet+xml" PartName="/xl/worksheets/sheet38069.xml"/>
  <Override ContentType="application/vnd.openxmlformats-officedocument.spreadsheetml.worksheet+xml" PartName="/xl/worksheets/sheet38070.xml"/>
  <Override ContentType="application/vnd.openxmlformats-officedocument.spreadsheetml.worksheet+xml" PartName="/xl/worksheets/sheet38071.xml"/>
  <Override ContentType="application/vnd.openxmlformats-officedocument.spreadsheetml.worksheet+xml" PartName="/xl/worksheets/sheet38072.xml"/>
  <Override ContentType="application/vnd.openxmlformats-officedocument.spreadsheetml.worksheet+xml" PartName="/xl/worksheets/sheet38073.xml"/>
  <Override ContentType="application/vnd.openxmlformats-officedocument.spreadsheetml.worksheet+xml" PartName="/xl/worksheets/sheet38074.xml"/>
  <Override ContentType="application/vnd.openxmlformats-officedocument.spreadsheetml.worksheet+xml" PartName="/xl/worksheets/sheet38075.xml"/>
  <Override ContentType="application/vnd.openxmlformats-officedocument.spreadsheetml.worksheet+xml" PartName="/xl/worksheets/sheet38076.xml"/>
  <Override ContentType="application/vnd.openxmlformats-officedocument.spreadsheetml.worksheet+xml" PartName="/xl/worksheets/sheet38077.xml"/>
  <Override ContentType="application/vnd.openxmlformats-officedocument.spreadsheetml.worksheet+xml" PartName="/xl/worksheets/sheet38078.xml"/>
  <Override ContentType="application/vnd.openxmlformats-officedocument.spreadsheetml.worksheet+xml" PartName="/xl/worksheets/sheet38079.xml"/>
  <Override ContentType="application/vnd.openxmlformats-officedocument.spreadsheetml.worksheet+xml" PartName="/xl/worksheets/sheet38080.xml"/>
  <Override ContentType="application/vnd.openxmlformats-officedocument.spreadsheetml.worksheet+xml" PartName="/xl/worksheets/sheet38081.xml"/>
  <Override ContentType="application/vnd.openxmlformats-officedocument.spreadsheetml.worksheet+xml" PartName="/xl/worksheets/sheet38082.xml"/>
  <Override ContentType="application/vnd.openxmlformats-officedocument.spreadsheetml.worksheet+xml" PartName="/xl/worksheets/sheet38083.xml"/>
  <Override ContentType="application/vnd.openxmlformats-officedocument.spreadsheetml.worksheet+xml" PartName="/xl/worksheets/sheet38084.xml"/>
  <Override ContentType="application/vnd.openxmlformats-officedocument.spreadsheetml.worksheet+xml" PartName="/xl/worksheets/sheet38085.xml"/>
  <Override ContentType="application/vnd.openxmlformats-officedocument.spreadsheetml.worksheet+xml" PartName="/xl/worksheets/sheet38086.xml"/>
  <Override ContentType="application/vnd.openxmlformats-officedocument.spreadsheetml.worksheet+xml" PartName="/xl/worksheets/sheet38087.xml"/>
  <Override ContentType="application/vnd.openxmlformats-officedocument.spreadsheetml.worksheet+xml" PartName="/xl/worksheets/sheet38088.xml"/>
  <Override ContentType="application/vnd.openxmlformats-officedocument.spreadsheetml.worksheet+xml" PartName="/xl/worksheets/sheet38089.xml"/>
  <Override ContentType="application/vnd.openxmlformats-officedocument.spreadsheetml.worksheet+xml" PartName="/xl/worksheets/sheet38090.xml"/>
  <Override ContentType="application/vnd.openxmlformats-officedocument.spreadsheetml.worksheet+xml" PartName="/xl/worksheets/sheet38091.xml"/>
  <Override ContentType="application/vnd.openxmlformats-officedocument.spreadsheetml.worksheet+xml" PartName="/xl/worksheets/sheet38092.xml"/>
  <Override ContentType="application/vnd.openxmlformats-officedocument.spreadsheetml.worksheet+xml" PartName="/xl/worksheets/sheet38093.xml"/>
  <Override ContentType="application/vnd.openxmlformats-officedocument.spreadsheetml.worksheet+xml" PartName="/xl/worksheets/sheet38094.xml"/>
  <Override ContentType="application/vnd.openxmlformats-officedocument.spreadsheetml.worksheet+xml" PartName="/xl/worksheets/sheet38095.xml"/>
  <Override ContentType="application/vnd.openxmlformats-officedocument.spreadsheetml.worksheet+xml" PartName="/xl/worksheets/sheet38096.xml"/>
  <Override ContentType="application/vnd.openxmlformats-officedocument.spreadsheetml.worksheet+xml" PartName="/xl/worksheets/sheet38097.xml"/>
  <Override ContentType="application/vnd.openxmlformats-officedocument.spreadsheetml.worksheet+xml" PartName="/xl/worksheets/sheet38098.xml"/>
  <Override ContentType="application/vnd.openxmlformats-officedocument.spreadsheetml.worksheet+xml" PartName="/xl/worksheets/sheet38099.xml"/>
  <Override ContentType="application/vnd.openxmlformats-officedocument.spreadsheetml.worksheet+xml" PartName="/xl/worksheets/sheet38100.xml"/>
  <Override ContentType="application/vnd.openxmlformats-officedocument.spreadsheetml.worksheet+xml" PartName="/xl/worksheets/sheet38101.xml"/>
  <Override ContentType="application/vnd.openxmlformats-officedocument.spreadsheetml.worksheet+xml" PartName="/xl/worksheets/sheet38102.xml"/>
  <Override ContentType="application/vnd.openxmlformats-officedocument.spreadsheetml.worksheet+xml" PartName="/xl/worksheets/sheet38103.xml"/>
  <Override ContentType="application/vnd.openxmlformats-officedocument.spreadsheetml.worksheet+xml" PartName="/xl/worksheets/sheet38104.xml"/>
  <Override ContentType="application/vnd.openxmlformats-officedocument.spreadsheetml.worksheet+xml" PartName="/xl/worksheets/sheet38105.xml"/>
  <Override ContentType="application/vnd.openxmlformats-officedocument.spreadsheetml.worksheet+xml" PartName="/xl/worksheets/sheet38106.xml"/>
  <Override ContentType="application/vnd.openxmlformats-officedocument.spreadsheetml.worksheet+xml" PartName="/xl/worksheets/sheet38107.xml"/>
  <Override ContentType="application/vnd.openxmlformats-officedocument.spreadsheetml.worksheet+xml" PartName="/xl/worksheets/sheet38108.xml"/>
  <Override ContentType="application/vnd.openxmlformats-officedocument.spreadsheetml.worksheet+xml" PartName="/xl/worksheets/sheet38109.xml"/>
  <Override ContentType="application/vnd.openxmlformats-officedocument.spreadsheetml.worksheet+xml" PartName="/xl/worksheets/sheet38110.xml"/>
  <Override ContentType="application/vnd.openxmlformats-officedocument.spreadsheetml.worksheet+xml" PartName="/xl/worksheets/sheet38111.xml"/>
  <Override ContentType="application/vnd.openxmlformats-officedocument.spreadsheetml.worksheet+xml" PartName="/xl/worksheets/sheet38112.xml"/>
  <Override ContentType="application/vnd.openxmlformats-officedocument.spreadsheetml.worksheet+xml" PartName="/xl/worksheets/sheet38113.xml"/>
  <Override ContentType="application/vnd.openxmlformats-officedocument.spreadsheetml.worksheet+xml" PartName="/xl/worksheets/sheet38114.xml"/>
  <Override ContentType="application/vnd.openxmlformats-officedocument.spreadsheetml.worksheet+xml" PartName="/xl/worksheets/sheet38115.xml"/>
  <Override ContentType="application/vnd.openxmlformats-officedocument.spreadsheetml.worksheet+xml" PartName="/xl/worksheets/sheet38116.xml"/>
  <Override ContentType="application/vnd.openxmlformats-officedocument.spreadsheetml.worksheet+xml" PartName="/xl/worksheets/sheet38117.xml"/>
  <Override ContentType="application/vnd.openxmlformats-officedocument.spreadsheetml.worksheet+xml" PartName="/xl/worksheets/sheet38118.xml"/>
  <Override ContentType="application/vnd.openxmlformats-officedocument.spreadsheetml.worksheet+xml" PartName="/xl/worksheets/sheet38119.xml"/>
  <Override ContentType="application/vnd.openxmlformats-officedocument.spreadsheetml.worksheet+xml" PartName="/xl/worksheets/sheet38120.xml"/>
  <Override ContentType="application/vnd.openxmlformats-officedocument.spreadsheetml.worksheet+xml" PartName="/xl/worksheets/sheet38121.xml"/>
  <Override ContentType="application/vnd.openxmlformats-officedocument.spreadsheetml.worksheet+xml" PartName="/xl/worksheets/sheet38122.xml"/>
  <Override ContentType="application/vnd.openxmlformats-officedocument.spreadsheetml.worksheet+xml" PartName="/xl/worksheets/sheet38123.xml"/>
  <Override ContentType="application/vnd.openxmlformats-officedocument.spreadsheetml.worksheet+xml" PartName="/xl/worksheets/sheet38124.xml"/>
  <Override ContentType="application/vnd.openxmlformats-officedocument.spreadsheetml.worksheet+xml" PartName="/xl/worksheets/sheet38125.xml"/>
  <Override ContentType="application/vnd.openxmlformats-officedocument.spreadsheetml.worksheet+xml" PartName="/xl/worksheets/sheet38126.xml"/>
  <Override ContentType="application/vnd.openxmlformats-officedocument.spreadsheetml.worksheet+xml" PartName="/xl/worksheets/sheet38127.xml"/>
  <Override ContentType="application/vnd.openxmlformats-officedocument.spreadsheetml.worksheet+xml" PartName="/xl/worksheets/sheet38128.xml"/>
  <Override ContentType="application/vnd.openxmlformats-officedocument.spreadsheetml.worksheet+xml" PartName="/xl/worksheets/sheet38129.xml"/>
  <Override ContentType="application/vnd.openxmlformats-officedocument.spreadsheetml.worksheet+xml" PartName="/xl/worksheets/sheet38130.xml"/>
  <Override ContentType="application/vnd.openxmlformats-officedocument.spreadsheetml.worksheet+xml" PartName="/xl/worksheets/sheet38131.xml"/>
  <Override ContentType="application/vnd.openxmlformats-officedocument.spreadsheetml.worksheet+xml" PartName="/xl/worksheets/sheet38132.xml"/>
  <Override ContentType="application/vnd.openxmlformats-officedocument.spreadsheetml.worksheet+xml" PartName="/xl/worksheets/sheet38133.xml"/>
  <Override ContentType="application/vnd.openxmlformats-officedocument.spreadsheetml.worksheet+xml" PartName="/xl/worksheets/sheet38134.xml"/>
  <Override ContentType="application/vnd.openxmlformats-officedocument.spreadsheetml.worksheet+xml" PartName="/xl/worksheets/sheet38135.xml"/>
  <Override ContentType="application/vnd.openxmlformats-officedocument.spreadsheetml.worksheet+xml" PartName="/xl/worksheets/sheet38136.xml"/>
  <Override ContentType="application/vnd.openxmlformats-officedocument.spreadsheetml.worksheet+xml" PartName="/xl/worksheets/sheet38137.xml"/>
  <Override ContentType="application/vnd.openxmlformats-officedocument.spreadsheetml.worksheet+xml" PartName="/xl/worksheets/sheet38138.xml"/>
  <Override ContentType="application/vnd.openxmlformats-officedocument.spreadsheetml.worksheet+xml" PartName="/xl/worksheets/sheet38139.xml"/>
  <Override ContentType="application/vnd.openxmlformats-officedocument.spreadsheetml.worksheet+xml" PartName="/xl/worksheets/sheet38140.xml"/>
  <Override ContentType="application/vnd.openxmlformats-officedocument.spreadsheetml.worksheet+xml" PartName="/xl/worksheets/sheet38141.xml"/>
  <Override ContentType="application/vnd.openxmlformats-officedocument.spreadsheetml.worksheet+xml" PartName="/xl/worksheets/sheet38142.xml"/>
  <Override ContentType="application/vnd.openxmlformats-officedocument.spreadsheetml.worksheet+xml" PartName="/xl/worksheets/sheet38143.xml"/>
  <Override ContentType="application/vnd.openxmlformats-officedocument.spreadsheetml.worksheet+xml" PartName="/xl/worksheets/sheet38144.xml"/>
  <Override ContentType="application/vnd.openxmlformats-officedocument.spreadsheetml.worksheet+xml" PartName="/xl/worksheets/sheet38145.xml"/>
  <Override ContentType="application/vnd.openxmlformats-officedocument.spreadsheetml.worksheet+xml" PartName="/xl/worksheets/sheet38146.xml"/>
  <Override ContentType="application/vnd.openxmlformats-officedocument.spreadsheetml.worksheet+xml" PartName="/xl/worksheets/sheet38147.xml"/>
  <Override ContentType="application/vnd.openxmlformats-officedocument.spreadsheetml.worksheet+xml" PartName="/xl/worksheets/sheet38148.xml"/>
  <Override ContentType="application/vnd.openxmlformats-officedocument.spreadsheetml.worksheet+xml" PartName="/xl/worksheets/sheet38149.xml"/>
  <Override ContentType="application/vnd.openxmlformats-officedocument.spreadsheetml.worksheet+xml" PartName="/xl/worksheets/sheet38150.xml"/>
  <Override ContentType="application/vnd.openxmlformats-officedocument.spreadsheetml.worksheet+xml" PartName="/xl/worksheets/sheet38151.xml"/>
  <Override ContentType="application/vnd.openxmlformats-officedocument.spreadsheetml.worksheet+xml" PartName="/xl/worksheets/sheet38152.xml"/>
  <Override ContentType="application/vnd.openxmlformats-officedocument.spreadsheetml.worksheet+xml" PartName="/xl/worksheets/sheet38153.xml"/>
  <Override ContentType="application/vnd.openxmlformats-officedocument.spreadsheetml.worksheet+xml" PartName="/xl/worksheets/sheet38154.xml"/>
  <Override ContentType="application/vnd.openxmlformats-officedocument.spreadsheetml.worksheet+xml" PartName="/xl/worksheets/sheet38155.xml"/>
  <Override ContentType="application/vnd.openxmlformats-officedocument.spreadsheetml.worksheet+xml" PartName="/xl/worksheets/sheet38156.xml"/>
  <Override ContentType="application/vnd.openxmlformats-officedocument.spreadsheetml.worksheet+xml" PartName="/xl/worksheets/sheet38157.xml"/>
  <Override ContentType="application/vnd.openxmlformats-officedocument.spreadsheetml.worksheet+xml" PartName="/xl/worksheets/sheet38158.xml"/>
  <Override ContentType="application/vnd.openxmlformats-officedocument.spreadsheetml.worksheet+xml" PartName="/xl/worksheets/sheet38159.xml"/>
  <Override ContentType="application/vnd.openxmlformats-officedocument.spreadsheetml.worksheet+xml" PartName="/xl/worksheets/sheet38160.xml"/>
  <Override ContentType="application/vnd.openxmlformats-officedocument.spreadsheetml.worksheet+xml" PartName="/xl/worksheets/sheet38161.xml"/>
  <Override ContentType="application/vnd.openxmlformats-officedocument.spreadsheetml.worksheet+xml" PartName="/xl/worksheets/sheet38162.xml"/>
  <Override ContentType="application/vnd.openxmlformats-officedocument.spreadsheetml.worksheet+xml" PartName="/xl/worksheets/sheet38163.xml"/>
  <Override ContentType="application/vnd.openxmlformats-officedocument.spreadsheetml.worksheet+xml" PartName="/xl/worksheets/sheet38164.xml"/>
  <Override ContentType="application/vnd.openxmlformats-officedocument.spreadsheetml.worksheet+xml" PartName="/xl/worksheets/sheet38165.xml"/>
  <Override ContentType="application/vnd.openxmlformats-officedocument.spreadsheetml.worksheet+xml" PartName="/xl/worksheets/sheet38166.xml"/>
  <Override ContentType="application/vnd.openxmlformats-officedocument.spreadsheetml.worksheet+xml" PartName="/xl/worksheets/sheet38167.xml"/>
  <Override ContentType="application/vnd.openxmlformats-officedocument.spreadsheetml.worksheet+xml" PartName="/xl/worksheets/sheet38168.xml"/>
  <Override ContentType="application/vnd.openxmlformats-officedocument.spreadsheetml.worksheet+xml" PartName="/xl/worksheets/sheet38169.xml"/>
  <Override ContentType="application/vnd.openxmlformats-officedocument.spreadsheetml.worksheet+xml" PartName="/xl/worksheets/sheet38170.xml"/>
  <Override ContentType="application/vnd.openxmlformats-officedocument.spreadsheetml.worksheet+xml" PartName="/xl/worksheets/sheet38171.xml"/>
  <Override ContentType="application/vnd.openxmlformats-officedocument.spreadsheetml.worksheet+xml" PartName="/xl/worksheets/sheet38172.xml"/>
  <Override ContentType="application/vnd.openxmlformats-officedocument.spreadsheetml.worksheet+xml" PartName="/xl/worksheets/sheet38173.xml"/>
  <Override ContentType="application/vnd.openxmlformats-officedocument.spreadsheetml.worksheet+xml" PartName="/xl/worksheets/sheet38174.xml"/>
  <Override ContentType="application/vnd.openxmlformats-officedocument.spreadsheetml.worksheet+xml" PartName="/xl/worksheets/sheet38175.xml"/>
  <Override ContentType="application/vnd.openxmlformats-officedocument.spreadsheetml.worksheet+xml" PartName="/xl/worksheets/sheet38176.xml"/>
  <Override ContentType="application/vnd.openxmlformats-officedocument.spreadsheetml.worksheet+xml" PartName="/xl/worksheets/sheet38177.xml"/>
  <Override ContentType="application/vnd.openxmlformats-officedocument.spreadsheetml.worksheet+xml" PartName="/xl/worksheets/sheet38178.xml"/>
  <Override ContentType="application/vnd.openxmlformats-officedocument.spreadsheetml.worksheet+xml" PartName="/xl/worksheets/sheet38179.xml"/>
  <Override ContentType="application/vnd.openxmlformats-officedocument.spreadsheetml.worksheet+xml" PartName="/xl/worksheets/sheet38180.xml"/>
  <Override ContentType="application/vnd.openxmlformats-officedocument.spreadsheetml.worksheet+xml" PartName="/xl/worksheets/sheet38181.xml"/>
  <Override ContentType="application/vnd.openxmlformats-officedocument.spreadsheetml.worksheet+xml" PartName="/xl/worksheets/sheet38182.xml"/>
  <Override ContentType="application/vnd.openxmlformats-officedocument.spreadsheetml.worksheet+xml" PartName="/xl/worksheets/sheet38183.xml"/>
  <Override ContentType="application/vnd.openxmlformats-officedocument.spreadsheetml.worksheet+xml" PartName="/xl/worksheets/sheet38184.xml"/>
  <Override ContentType="application/vnd.openxmlformats-officedocument.spreadsheetml.worksheet+xml" PartName="/xl/worksheets/sheet38185.xml"/>
  <Override ContentType="application/vnd.openxmlformats-officedocument.spreadsheetml.worksheet+xml" PartName="/xl/worksheets/sheet38186.xml"/>
  <Override ContentType="application/vnd.openxmlformats-officedocument.spreadsheetml.worksheet+xml" PartName="/xl/worksheets/sheet38187.xml"/>
  <Override ContentType="application/vnd.openxmlformats-officedocument.spreadsheetml.worksheet+xml" PartName="/xl/worksheets/sheet38188.xml"/>
  <Override ContentType="application/vnd.openxmlformats-officedocument.spreadsheetml.worksheet+xml" PartName="/xl/worksheets/sheet38189.xml"/>
  <Override ContentType="application/vnd.openxmlformats-officedocument.spreadsheetml.worksheet+xml" PartName="/xl/worksheets/sheet38190.xml"/>
  <Override ContentType="application/vnd.openxmlformats-officedocument.spreadsheetml.worksheet+xml" PartName="/xl/worksheets/sheet38191.xml"/>
  <Override ContentType="application/vnd.openxmlformats-officedocument.spreadsheetml.worksheet+xml" PartName="/xl/worksheets/sheet38192.xml"/>
  <Override ContentType="application/vnd.openxmlformats-officedocument.spreadsheetml.worksheet+xml" PartName="/xl/worksheets/sheet38193.xml"/>
  <Override ContentType="application/vnd.openxmlformats-officedocument.spreadsheetml.worksheet+xml" PartName="/xl/worksheets/sheet38194.xml"/>
  <Override ContentType="application/vnd.openxmlformats-officedocument.spreadsheetml.worksheet+xml" PartName="/xl/worksheets/sheet38195.xml"/>
  <Override ContentType="application/vnd.openxmlformats-officedocument.spreadsheetml.worksheet+xml" PartName="/xl/worksheets/sheet38196.xml"/>
  <Override ContentType="application/vnd.openxmlformats-officedocument.spreadsheetml.worksheet+xml" PartName="/xl/worksheets/sheet38197.xml"/>
  <Override ContentType="application/vnd.openxmlformats-officedocument.spreadsheetml.worksheet+xml" PartName="/xl/worksheets/sheet38198.xml"/>
  <Override ContentType="application/vnd.openxmlformats-officedocument.spreadsheetml.worksheet+xml" PartName="/xl/worksheets/sheet38199.xml"/>
  <Override ContentType="application/vnd.openxmlformats-officedocument.spreadsheetml.worksheet+xml" PartName="/xl/worksheets/sheet38200.xml"/>
  <Override ContentType="application/vnd.openxmlformats-officedocument.spreadsheetml.worksheet+xml" PartName="/xl/worksheets/sheet38201.xml"/>
  <Override ContentType="application/vnd.openxmlformats-officedocument.spreadsheetml.worksheet+xml" PartName="/xl/worksheets/sheet38202.xml"/>
  <Override ContentType="application/vnd.openxmlformats-officedocument.spreadsheetml.worksheet+xml" PartName="/xl/worksheets/sheet38203.xml"/>
  <Override ContentType="application/vnd.openxmlformats-officedocument.spreadsheetml.worksheet+xml" PartName="/xl/worksheets/sheet38204.xml"/>
  <Override ContentType="application/vnd.openxmlformats-officedocument.spreadsheetml.worksheet+xml" PartName="/xl/worksheets/sheet38205.xml"/>
  <Override ContentType="application/vnd.openxmlformats-officedocument.spreadsheetml.worksheet+xml" PartName="/xl/worksheets/sheet38206.xml"/>
  <Override ContentType="application/vnd.openxmlformats-officedocument.spreadsheetml.worksheet+xml" PartName="/xl/worksheets/sheet38207.xml"/>
  <Override ContentType="application/vnd.openxmlformats-officedocument.spreadsheetml.worksheet+xml" PartName="/xl/worksheets/sheet38208.xml"/>
  <Override ContentType="application/vnd.openxmlformats-officedocument.spreadsheetml.worksheet+xml" PartName="/xl/worksheets/sheet38209.xml"/>
  <Override ContentType="application/vnd.openxmlformats-officedocument.spreadsheetml.worksheet+xml" PartName="/xl/worksheets/sheet38210.xml"/>
  <Override ContentType="application/vnd.openxmlformats-officedocument.spreadsheetml.worksheet+xml" PartName="/xl/worksheets/sheet38211.xml"/>
  <Override ContentType="application/vnd.openxmlformats-officedocument.spreadsheetml.worksheet+xml" PartName="/xl/worksheets/sheet38212.xml"/>
  <Override ContentType="application/vnd.openxmlformats-officedocument.spreadsheetml.worksheet+xml" PartName="/xl/worksheets/sheet38213.xml"/>
  <Override ContentType="application/vnd.openxmlformats-officedocument.spreadsheetml.worksheet+xml" PartName="/xl/worksheets/sheet38214.xml"/>
  <Override ContentType="application/vnd.openxmlformats-officedocument.spreadsheetml.worksheet+xml" PartName="/xl/worksheets/sheet38215.xml"/>
  <Override ContentType="application/vnd.openxmlformats-officedocument.spreadsheetml.worksheet+xml" PartName="/xl/worksheets/sheet38216.xml"/>
  <Override ContentType="application/vnd.openxmlformats-officedocument.spreadsheetml.worksheet+xml" PartName="/xl/worksheets/sheet38217.xml"/>
  <Override ContentType="application/vnd.openxmlformats-officedocument.spreadsheetml.worksheet+xml" PartName="/xl/worksheets/sheet38218.xml"/>
  <Override ContentType="application/vnd.openxmlformats-officedocument.spreadsheetml.worksheet+xml" PartName="/xl/worksheets/sheet38219.xml"/>
  <Override ContentType="application/vnd.openxmlformats-officedocument.spreadsheetml.worksheet+xml" PartName="/xl/worksheets/sheet38220.xml"/>
  <Override ContentType="application/vnd.openxmlformats-officedocument.spreadsheetml.worksheet+xml" PartName="/xl/worksheets/sheet38221.xml"/>
  <Override ContentType="application/vnd.openxmlformats-officedocument.spreadsheetml.worksheet+xml" PartName="/xl/worksheets/sheet38222.xml"/>
  <Override ContentType="application/vnd.openxmlformats-officedocument.spreadsheetml.worksheet+xml" PartName="/xl/worksheets/sheet38223.xml"/>
  <Override ContentType="application/vnd.openxmlformats-officedocument.spreadsheetml.worksheet+xml" PartName="/xl/worksheets/sheet38224.xml"/>
  <Override ContentType="application/vnd.openxmlformats-officedocument.spreadsheetml.worksheet+xml" PartName="/xl/worksheets/sheet38225.xml"/>
  <Override ContentType="application/vnd.openxmlformats-officedocument.spreadsheetml.worksheet+xml" PartName="/xl/worksheets/sheet38226.xml"/>
  <Override ContentType="application/vnd.openxmlformats-officedocument.spreadsheetml.worksheet+xml" PartName="/xl/worksheets/sheet38227.xml"/>
  <Override ContentType="application/vnd.openxmlformats-officedocument.spreadsheetml.worksheet+xml" PartName="/xl/worksheets/sheet38228.xml"/>
  <Override ContentType="application/vnd.openxmlformats-officedocument.spreadsheetml.worksheet+xml" PartName="/xl/worksheets/sheet38229.xml"/>
  <Override ContentType="application/vnd.openxmlformats-officedocument.spreadsheetml.worksheet+xml" PartName="/xl/worksheets/sheet38230.xml"/>
  <Override ContentType="application/vnd.openxmlformats-officedocument.spreadsheetml.worksheet+xml" PartName="/xl/worksheets/sheet38231.xml"/>
  <Override ContentType="application/vnd.openxmlformats-officedocument.spreadsheetml.worksheet+xml" PartName="/xl/worksheets/sheet38232.xml"/>
  <Override ContentType="application/vnd.openxmlformats-officedocument.spreadsheetml.worksheet+xml" PartName="/xl/worksheets/sheet38233.xml"/>
  <Override ContentType="application/vnd.openxmlformats-officedocument.spreadsheetml.worksheet+xml" PartName="/xl/worksheets/sheet38234.xml"/>
  <Override ContentType="application/vnd.openxmlformats-officedocument.spreadsheetml.worksheet+xml" PartName="/xl/worksheets/sheet38235.xml"/>
  <Override ContentType="application/vnd.openxmlformats-officedocument.spreadsheetml.worksheet+xml" PartName="/xl/worksheets/sheet38236.xml"/>
  <Override ContentType="application/vnd.openxmlformats-officedocument.spreadsheetml.worksheet+xml" PartName="/xl/worksheets/sheet38237.xml"/>
  <Override ContentType="application/vnd.openxmlformats-officedocument.spreadsheetml.worksheet+xml" PartName="/xl/worksheets/sheet38238.xml"/>
  <Override ContentType="application/vnd.openxmlformats-officedocument.spreadsheetml.worksheet+xml" PartName="/xl/worksheets/sheet38239.xml"/>
  <Override ContentType="application/vnd.openxmlformats-officedocument.spreadsheetml.worksheet+xml" PartName="/xl/worksheets/sheet38240.xml"/>
  <Override ContentType="application/vnd.openxmlformats-officedocument.spreadsheetml.worksheet+xml" PartName="/xl/worksheets/sheet38241.xml"/>
  <Override ContentType="application/vnd.openxmlformats-officedocument.spreadsheetml.worksheet+xml" PartName="/xl/worksheets/sheet38242.xml"/>
  <Override ContentType="application/vnd.openxmlformats-officedocument.spreadsheetml.worksheet+xml" PartName="/xl/worksheets/sheet38243.xml"/>
  <Override ContentType="application/vnd.openxmlformats-officedocument.spreadsheetml.worksheet+xml" PartName="/xl/worksheets/sheet38244.xml"/>
  <Override ContentType="application/vnd.openxmlformats-officedocument.spreadsheetml.worksheet+xml" PartName="/xl/worksheets/sheet38245.xml"/>
  <Override ContentType="application/vnd.openxmlformats-officedocument.spreadsheetml.worksheet+xml" PartName="/xl/worksheets/sheet38246.xml"/>
  <Override ContentType="application/vnd.openxmlformats-officedocument.spreadsheetml.worksheet+xml" PartName="/xl/worksheets/sheet38247.xml"/>
  <Override ContentType="application/vnd.openxmlformats-officedocument.spreadsheetml.worksheet+xml" PartName="/xl/worksheets/sheet38248.xml"/>
  <Override ContentType="application/vnd.openxmlformats-officedocument.spreadsheetml.worksheet+xml" PartName="/xl/worksheets/sheet38249.xml"/>
  <Override ContentType="application/vnd.openxmlformats-officedocument.spreadsheetml.worksheet+xml" PartName="/xl/worksheets/sheet38250.xml"/>
  <Override ContentType="application/vnd.openxmlformats-officedocument.spreadsheetml.worksheet+xml" PartName="/xl/worksheets/sheet38251.xml"/>
  <Override ContentType="application/vnd.openxmlformats-officedocument.spreadsheetml.worksheet+xml" PartName="/xl/worksheets/sheet38252.xml"/>
  <Override ContentType="application/vnd.openxmlformats-officedocument.spreadsheetml.worksheet+xml" PartName="/xl/worksheets/sheet38253.xml"/>
  <Override ContentType="application/vnd.openxmlformats-officedocument.spreadsheetml.worksheet+xml" PartName="/xl/worksheets/sheet38254.xml"/>
  <Override ContentType="application/vnd.openxmlformats-officedocument.spreadsheetml.worksheet+xml" PartName="/xl/worksheets/sheet38255.xml"/>
  <Override ContentType="application/vnd.openxmlformats-officedocument.spreadsheetml.worksheet+xml" PartName="/xl/worksheets/sheet38256.xml"/>
  <Override ContentType="application/vnd.openxmlformats-officedocument.spreadsheetml.worksheet+xml" PartName="/xl/worksheets/sheet38257.xml"/>
  <Override ContentType="application/vnd.openxmlformats-officedocument.spreadsheetml.worksheet+xml" PartName="/xl/worksheets/sheet38258.xml"/>
  <Override ContentType="application/vnd.openxmlformats-officedocument.spreadsheetml.worksheet+xml" PartName="/xl/worksheets/sheet38259.xml"/>
  <Override ContentType="application/vnd.openxmlformats-officedocument.spreadsheetml.worksheet+xml" PartName="/xl/worksheets/sheet38260.xml"/>
  <Override ContentType="application/vnd.openxmlformats-officedocument.spreadsheetml.worksheet+xml" PartName="/xl/worksheets/sheet38261.xml"/>
  <Override ContentType="application/vnd.openxmlformats-officedocument.spreadsheetml.worksheet+xml" PartName="/xl/worksheets/sheet38262.xml"/>
  <Override ContentType="application/vnd.openxmlformats-officedocument.spreadsheetml.worksheet+xml" PartName="/xl/worksheets/sheet38263.xml"/>
  <Override ContentType="application/vnd.openxmlformats-officedocument.spreadsheetml.worksheet+xml" PartName="/xl/worksheets/sheet38264.xml"/>
  <Override ContentType="application/vnd.openxmlformats-officedocument.spreadsheetml.worksheet+xml" PartName="/xl/worksheets/sheet38265.xml"/>
  <Override ContentType="application/vnd.openxmlformats-officedocument.spreadsheetml.worksheet+xml" PartName="/xl/worksheets/sheet38266.xml"/>
  <Override ContentType="application/vnd.openxmlformats-officedocument.spreadsheetml.worksheet+xml" PartName="/xl/worksheets/sheet38267.xml"/>
  <Override ContentType="application/vnd.openxmlformats-officedocument.spreadsheetml.worksheet+xml" PartName="/xl/worksheets/sheet38268.xml"/>
  <Override ContentType="application/vnd.openxmlformats-officedocument.spreadsheetml.worksheet+xml" PartName="/xl/worksheets/sheet38269.xml"/>
  <Override ContentType="application/vnd.openxmlformats-officedocument.spreadsheetml.worksheet+xml" PartName="/xl/worksheets/sheet38270.xml"/>
  <Override ContentType="application/vnd.openxmlformats-officedocument.spreadsheetml.worksheet+xml" PartName="/xl/worksheets/sheet38271.xml"/>
  <Override ContentType="application/vnd.openxmlformats-officedocument.spreadsheetml.worksheet+xml" PartName="/xl/worksheets/sheet38272.xml"/>
  <Override ContentType="application/vnd.openxmlformats-officedocument.spreadsheetml.worksheet+xml" PartName="/xl/worksheets/sheet38273.xml"/>
  <Override ContentType="application/vnd.openxmlformats-officedocument.spreadsheetml.worksheet+xml" PartName="/xl/worksheets/sheet38274.xml"/>
  <Override ContentType="application/vnd.openxmlformats-officedocument.spreadsheetml.worksheet+xml" PartName="/xl/worksheets/sheet38275.xml"/>
  <Override ContentType="application/vnd.openxmlformats-officedocument.spreadsheetml.worksheet+xml" PartName="/xl/worksheets/sheet38276.xml"/>
  <Override ContentType="application/vnd.openxmlformats-officedocument.spreadsheetml.worksheet+xml" PartName="/xl/worksheets/sheet38277.xml"/>
  <Override ContentType="application/vnd.openxmlformats-officedocument.spreadsheetml.worksheet+xml" PartName="/xl/worksheets/sheet38278.xml"/>
  <Override ContentType="application/vnd.openxmlformats-officedocument.spreadsheetml.worksheet+xml" PartName="/xl/worksheets/sheet38279.xml"/>
  <Override ContentType="application/vnd.openxmlformats-officedocument.spreadsheetml.worksheet+xml" PartName="/xl/worksheets/sheet38280.xml"/>
  <Override ContentType="application/vnd.openxmlformats-officedocument.spreadsheetml.worksheet+xml" PartName="/xl/worksheets/sheet38281.xml"/>
  <Override ContentType="application/vnd.openxmlformats-officedocument.spreadsheetml.worksheet+xml" PartName="/xl/worksheets/sheet38282.xml"/>
  <Override ContentType="application/vnd.openxmlformats-officedocument.spreadsheetml.worksheet+xml" PartName="/xl/worksheets/sheet38283.xml"/>
  <Override ContentType="application/vnd.openxmlformats-officedocument.spreadsheetml.worksheet+xml" PartName="/xl/worksheets/sheet38284.xml"/>
  <Override ContentType="application/vnd.openxmlformats-officedocument.spreadsheetml.worksheet+xml" PartName="/xl/worksheets/sheet38285.xml"/>
  <Override ContentType="application/vnd.openxmlformats-officedocument.spreadsheetml.worksheet+xml" PartName="/xl/worksheets/sheet38286.xml"/>
  <Override ContentType="application/vnd.openxmlformats-officedocument.spreadsheetml.worksheet+xml" PartName="/xl/worksheets/sheet38287.xml"/>
  <Override ContentType="application/vnd.openxmlformats-officedocument.spreadsheetml.worksheet+xml" PartName="/xl/worksheets/sheet38288.xml"/>
  <Override ContentType="application/vnd.openxmlformats-officedocument.spreadsheetml.worksheet+xml" PartName="/xl/worksheets/sheet38289.xml"/>
  <Override ContentType="application/vnd.openxmlformats-officedocument.spreadsheetml.worksheet+xml" PartName="/xl/worksheets/sheet38290.xml"/>
  <Override ContentType="application/vnd.openxmlformats-officedocument.spreadsheetml.worksheet+xml" PartName="/xl/worksheets/sheet38291.xml"/>
  <Override ContentType="application/vnd.openxmlformats-officedocument.spreadsheetml.worksheet+xml" PartName="/xl/worksheets/sheet38292.xml"/>
  <Override ContentType="application/vnd.openxmlformats-officedocument.spreadsheetml.worksheet+xml" PartName="/xl/worksheets/sheet38293.xml"/>
  <Override ContentType="application/vnd.openxmlformats-officedocument.spreadsheetml.worksheet+xml" PartName="/xl/worksheets/sheet38294.xml"/>
  <Override ContentType="application/vnd.openxmlformats-officedocument.spreadsheetml.worksheet+xml" PartName="/xl/worksheets/sheet38295.xml"/>
  <Override ContentType="application/vnd.openxmlformats-officedocument.spreadsheetml.worksheet+xml" PartName="/xl/worksheets/sheet38296.xml"/>
  <Override ContentType="application/vnd.openxmlformats-officedocument.spreadsheetml.worksheet+xml" PartName="/xl/worksheets/sheet38297.xml"/>
  <Override ContentType="application/vnd.openxmlformats-officedocument.spreadsheetml.worksheet+xml" PartName="/xl/worksheets/sheet38298.xml"/>
  <Override ContentType="application/vnd.openxmlformats-officedocument.spreadsheetml.worksheet+xml" PartName="/xl/worksheets/sheet38299.xml"/>
  <Override ContentType="application/vnd.openxmlformats-officedocument.spreadsheetml.worksheet+xml" PartName="/xl/worksheets/sheet38300.xml"/>
  <Override ContentType="application/vnd.openxmlformats-officedocument.spreadsheetml.worksheet+xml" PartName="/xl/worksheets/sheet38301.xml"/>
  <Override ContentType="application/vnd.openxmlformats-officedocument.spreadsheetml.worksheet+xml" PartName="/xl/worksheets/sheet38302.xml"/>
  <Override ContentType="application/vnd.openxmlformats-officedocument.spreadsheetml.worksheet+xml" PartName="/xl/worksheets/sheet38303.xml"/>
  <Override ContentType="application/vnd.openxmlformats-officedocument.spreadsheetml.worksheet+xml" PartName="/xl/worksheets/sheet38304.xml"/>
  <Override ContentType="application/vnd.openxmlformats-officedocument.spreadsheetml.worksheet+xml" PartName="/xl/worksheets/sheet38305.xml"/>
  <Override ContentType="application/vnd.openxmlformats-officedocument.spreadsheetml.worksheet+xml" PartName="/xl/worksheets/sheet38306.xml"/>
  <Override ContentType="application/vnd.openxmlformats-officedocument.spreadsheetml.worksheet+xml" PartName="/xl/worksheets/sheet38307.xml"/>
  <Override ContentType="application/vnd.openxmlformats-officedocument.spreadsheetml.worksheet+xml" PartName="/xl/worksheets/sheet38308.xml"/>
  <Override ContentType="application/vnd.openxmlformats-officedocument.spreadsheetml.worksheet+xml" PartName="/xl/worksheets/sheet38309.xml"/>
  <Override ContentType="application/vnd.openxmlformats-officedocument.spreadsheetml.worksheet+xml" PartName="/xl/worksheets/sheet38310.xml"/>
  <Override ContentType="application/vnd.openxmlformats-officedocument.spreadsheetml.worksheet+xml" PartName="/xl/worksheets/sheet38311.xml"/>
  <Override ContentType="application/vnd.openxmlformats-officedocument.spreadsheetml.worksheet+xml" PartName="/xl/worksheets/sheet38312.xml"/>
  <Override ContentType="application/vnd.openxmlformats-officedocument.spreadsheetml.worksheet+xml" PartName="/xl/worksheets/sheet38313.xml"/>
  <Override ContentType="application/vnd.openxmlformats-officedocument.spreadsheetml.worksheet+xml" PartName="/xl/worksheets/sheet38314.xml"/>
  <Override ContentType="application/vnd.openxmlformats-officedocument.spreadsheetml.worksheet+xml" PartName="/xl/worksheets/sheet38315.xml"/>
  <Override ContentType="application/vnd.openxmlformats-officedocument.spreadsheetml.worksheet+xml" PartName="/xl/worksheets/sheet38316.xml"/>
  <Override ContentType="application/vnd.openxmlformats-officedocument.spreadsheetml.worksheet+xml" PartName="/xl/worksheets/sheet38317.xml"/>
  <Override ContentType="application/vnd.openxmlformats-officedocument.spreadsheetml.worksheet+xml" PartName="/xl/worksheets/sheet38318.xml"/>
  <Override ContentType="application/vnd.openxmlformats-officedocument.spreadsheetml.worksheet+xml" PartName="/xl/worksheets/sheet38319.xml"/>
  <Override ContentType="application/vnd.openxmlformats-officedocument.spreadsheetml.worksheet+xml" PartName="/xl/worksheets/sheet38320.xml"/>
  <Override ContentType="application/vnd.openxmlformats-officedocument.spreadsheetml.worksheet+xml" PartName="/xl/worksheets/sheet38321.xml"/>
  <Override ContentType="application/vnd.openxmlformats-officedocument.spreadsheetml.worksheet+xml" PartName="/xl/worksheets/sheet38322.xml"/>
  <Override ContentType="application/vnd.openxmlformats-officedocument.spreadsheetml.worksheet+xml" PartName="/xl/worksheets/sheet38323.xml"/>
  <Override ContentType="application/vnd.openxmlformats-officedocument.spreadsheetml.worksheet+xml" PartName="/xl/worksheets/sheet38324.xml"/>
  <Override ContentType="application/vnd.openxmlformats-officedocument.spreadsheetml.worksheet+xml" PartName="/xl/worksheets/sheet38325.xml"/>
  <Override ContentType="application/vnd.openxmlformats-officedocument.spreadsheetml.worksheet+xml" PartName="/xl/worksheets/sheet38326.xml"/>
  <Override ContentType="application/vnd.openxmlformats-officedocument.spreadsheetml.worksheet+xml" PartName="/xl/worksheets/sheet38327.xml"/>
  <Override ContentType="application/vnd.openxmlformats-officedocument.spreadsheetml.worksheet+xml" PartName="/xl/worksheets/sheet38328.xml"/>
  <Override ContentType="application/vnd.openxmlformats-officedocument.spreadsheetml.worksheet+xml" PartName="/xl/worksheets/sheet38329.xml"/>
  <Override ContentType="application/vnd.openxmlformats-officedocument.spreadsheetml.worksheet+xml" PartName="/xl/worksheets/sheet38330.xml"/>
  <Override ContentType="application/vnd.openxmlformats-officedocument.spreadsheetml.worksheet+xml" PartName="/xl/worksheets/sheet38331.xml"/>
  <Override ContentType="application/vnd.openxmlformats-officedocument.spreadsheetml.worksheet+xml" PartName="/xl/worksheets/sheet38332.xml"/>
  <Override ContentType="application/vnd.openxmlformats-officedocument.spreadsheetml.worksheet+xml" PartName="/xl/worksheets/sheet38333.xml"/>
  <Override ContentType="application/vnd.openxmlformats-officedocument.spreadsheetml.worksheet+xml" PartName="/xl/worksheets/sheet38334.xml"/>
  <Override ContentType="application/vnd.openxmlformats-officedocument.spreadsheetml.worksheet+xml" PartName="/xl/worksheets/sheet38335.xml"/>
  <Override ContentType="application/vnd.openxmlformats-officedocument.spreadsheetml.worksheet+xml" PartName="/xl/worksheets/sheet38336.xml"/>
  <Override ContentType="application/vnd.openxmlformats-officedocument.spreadsheetml.worksheet+xml" PartName="/xl/worksheets/sheet38337.xml"/>
  <Override ContentType="application/vnd.openxmlformats-officedocument.spreadsheetml.worksheet+xml" PartName="/xl/worksheets/sheet38338.xml"/>
  <Override ContentType="application/vnd.openxmlformats-officedocument.spreadsheetml.worksheet+xml" PartName="/xl/worksheets/sheet38339.xml"/>
  <Override ContentType="application/vnd.openxmlformats-officedocument.spreadsheetml.worksheet+xml" PartName="/xl/worksheets/sheet38340.xml"/>
  <Override ContentType="application/vnd.openxmlformats-officedocument.spreadsheetml.worksheet+xml" PartName="/xl/worksheets/sheet38341.xml"/>
  <Override ContentType="application/vnd.openxmlformats-officedocument.spreadsheetml.worksheet+xml" PartName="/xl/worksheets/sheet38342.xml"/>
  <Override ContentType="application/vnd.openxmlformats-officedocument.spreadsheetml.worksheet+xml" PartName="/xl/worksheets/sheet38343.xml"/>
  <Override ContentType="application/vnd.openxmlformats-officedocument.spreadsheetml.worksheet+xml" PartName="/xl/worksheets/sheet38344.xml"/>
  <Override ContentType="application/vnd.openxmlformats-officedocument.spreadsheetml.worksheet+xml" PartName="/xl/worksheets/sheet38345.xml"/>
  <Override ContentType="application/vnd.openxmlformats-officedocument.spreadsheetml.worksheet+xml" PartName="/xl/worksheets/sheet38346.xml"/>
  <Override ContentType="application/vnd.openxmlformats-officedocument.spreadsheetml.worksheet+xml" PartName="/xl/worksheets/sheet38347.xml"/>
  <Override ContentType="application/vnd.openxmlformats-officedocument.spreadsheetml.worksheet+xml" PartName="/xl/worksheets/sheet38348.xml"/>
  <Override ContentType="application/vnd.openxmlformats-officedocument.spreadsheetml.worksheet+xml" PartName="/xl/worksheets/sheet38349.xml"/>
  <Override ContentType="application/vnd.openxmlformats-officedocument.spreadsheetml.worksheet+xml" PartName="/xl/worksheets/sheet38350.xml"/>
  <Override ContentType="application/vnd.openxmlformats-officedocument.spreadsheetml.worksheet+xml" PartName="/xl/worksheets/sheet38351.xml"/>
  <Override ContentType="application/vnd.openxmlformats-officedocument.spreadsheetml.worksheet+xml" PartName="/xl/worksheets/sheet38352.xml"/>
  <Override ContentType="application/vnd.openxmlformats-officedocument.spreadsheetml.worksheet+xml" PartName="/xl/worksheets/sheet38353.xml"/>
  <Override ContentType="application/vnd.openxmlformats-officedocument.spreadsheetml.worksheet+xml" PartName="/xl/worksheets/sheet38354.xml"/>
  <Override ContentType="application/vnd.openxmlformats-officedocument.spreadsheetml.worksheet+xml" PartName="/xl/worksheets/sheet38355.xml"/>
  <Override ContentType="application/vnd.openxmlformats-officedocument.spreadsheetml.worksheet+xml" PartName="/xl/worksheets/sheet38356.xml"/>
  <Override ContentType="application/vnd.openxmlformats-officedocument.spreadsheetml.worksheet+xml" PartName="/xl/worksheets/sheet38357.xml"/>
  <Override ContentType="application/vnd.openxmlformats-officedocument.spreadsheetml.worksheet+xml" PartName="/xl/worksheets/sheet38358.xml"/>
  <Override ContentType="application/vnd.openxmlformats-officedocument.spreadsheetml.worksheet+xml" PartName="/xl/worksheets/sheet38359.xml"/>
  <Override ContentType="application/vnd.openxmlformats-officedocument.spreadsheetml.worksheet+xml" PartName="/xl/worksheets/sheet38360.xml"/>
  <Override ContentType="application/vnd.openxmlformats-officedocument.spreadsheetml.worksheet+xml" PartName="/xl/worksheets/sheet38361.xml"/>
  <Override ContentType="application/vnd.openxmlformats-officedocument.spreadsheetml.worksheet+xml" PartName="/xl/worksheets/sheet38362.xml"/>
  <Override ContentType="application/vnd.openxmlformats-officedocument.spreadsheetml.worksheet+xml" PartName="/xl/worksheets/sheet38363.xml"/>
  <Override ContentType="application/vnd.openxmlformats-officedocument.spreadsheetml.worksheet+xml" PartName="/xl/worksheets/sheet38364.xml"/>
  <Override ContentType="application/vnd.openxmlformats-officedocument.spreadsheetml.worksheet+xml" PartName="/xl/worksheets/sheet38365.xml"/>
  <Override ContentType="application/vnd.openxmlformats-officedocument.spreadsheetml.worksheet+xml" PartName="/xl/worksheets/sheet38366.xml"/>
  <Override ContentType="application/vnd.openxmlformats-officedocument.spreadsheetml.worksheet+xml" PartName="/xl/worksheets/sheet38367.xml"/>
  <Override ContentType="application/vnd.openxmlformats-officedocument.spreadsheetml.worksheet+xml" PartName="/xl/worksheets/sheet38368.xml"/>
  <Override ContentType="application/vnd.openxmlformats-officedocument.spreadsheetml.worksheet+xml" PartName="/xl/worksheets/sheet38369.xml"/>
  <Override ContentType="application/vnd.openxmlformats-officedocument.spreadsheetml.worksheet+xml" PartName="/xl/worksheets/sheet38370.xml"/>
  <Override ContentType="application/vnd.openxmlformats-officedocument.spreadsheetml.worksheet+xml" PartName="/xl/worksheets/sheet38371.xml"/>
  <Override ContentType="application/vnd.openxmlformats-officedocument.spreadsheetml.worksheet+xml" PartName="/xl/worksheets/sheet38372.xml"/>
  <Override ContentType="application/vnd.openxmlformats-officedocument.spreadsheetml.worksheet+xml" PartName="/xl/worksheets/sheet38373.xml"/>
  <Override ContentType="application/vnd.openxmlformats-officedocument.spreadsheetml.worksheet+xml" PartName="/xl/worksheets/sheet38374.xml"/>
  <Override ContentType="application/vnd.openxmlformats-officedocument.spreadsheetml.worksheet+xml" PartName="/xl/worksheets/sheet38375.xml"/>
  <Override ContentType="application/vnd.openxmlformats-officedocument.spreadsheetml.worksheet+xml" PartName="/xl/worksheets/sheet38376.xml"/>
  <Override ContentType="application/vnd.openxmlformats-officedocument.spreadsheetml.worksheet+xml" PartName="/xl/worksheets/sheet38377.xml"/>
  <Override ContentType="application/vnd.openxmlformats-officedocument.spreadsheetml.worksheet+xml" PartName="/xl/worksheets/sheet38378.xml"/>
  <Override ContentType="application/vnd.openxmlformats-officedocument.spreadsheetml.worksheet+xml" PartName="/xl/worksheets/sheet38379.xml"/>
  <Override ContentType="application/vnd.openxmlformats-officedocument.spreadsheetml.worksheet+xml" PartName="/xl/worksheets/sheet38380.xml"/>
  <Override ContentType="application/vnd.openxmlformats-officedocument.spreadsheetml.worksheet+xml" PartName="/xl/worksheets/sheet38381.xml"/>
  <Override ContentType="application/vnd.openxmlformats-officedocument.spreadsheetml.worksheet+xml" PartName="/xl/worksheets/sheet38382.xml"/>
  <Override ContentType="application/vnd.openxmlformats-officedocument.spreadsheetml.worksheet+xml" PartName="/xl/worksheets/sheet38383.xml"/>
  <Override ContentType="application/vnd.openxmlformats-officedocument.spreadsheetml.worksheet+xml" PartName="/xl/worksheets/sheet38384.xml"/>
  <Override ContentType="application/vnd.openxmlformats-officedocument.spreadsheetml.worksheet+xml" PartName="/xl/worksheets/sheet38385.xml"/>
  <Override ContentType="application/vnd.openxmlformats-officedocument.spreadsheetml.worksheet+xml" PartName="/xl/worksheets/sheet38386.xml"/>
  <Override ContentType="application/vnd.openxmlformats-officedocument.spreadsheetml.worksheet+xml" PartName="/xl/worksheets/sheet38387.xml"/>
  <Override ContentType="application/vnd.openxmlformats-officedocument.spreadsheetml.worksheet+xml" PartName="/xl/worksheets/sheet38388.xml"/>
  <Override ContentType="application/vnd.openxmlformats-officedocument.spreadsheetml.worksheet+xml" PartName="/xl/worksheets/sheet38389.xml"/>
  <Override ContentType="application/vnd.openxmlformats-officedocument.spreadsheetml.worksheet+xml" PartName="/xl/worksheets/sheet38390.xml"/>
  <Override ContentType="application/vnd.openxmlformats-officedocument.spreadsheetml.worksheet+xml" PartName="/xl/worksheets/sheet38391.xml"/>
  <Override ContentType="application/vnd.openxmlformats-officedocument.spreadsheetml.worksheet+xml" PartName="/xl/worksheets/sheet38392.xml"/>
  <Override ContentType="application/vnd.openxmlformats-officedocument.spreadsheetml.worksheet+xml" PartName="/xl/worksheets/sheet38393.xml"/>
  <Override ContentType="application/vnd.openxmlformats-officedocument.spreadsheetml.worksheet+xml" PartName="/xl/worksheets/sheet38394.xml"/>
  <Override ContentType="application/vnd.openxmlformats-officedocument.spreadsheetml.worksheet+xml" PartName="/xl/worksheets/sheet38395.xml"/>
  <Override ContentType="application/vnd.openxmlformats-officedocument.spreadsheetml.worksheet+xml" PartName="/xl/worksheets/sheet38396.xml"/>
  <Override ContentType="application/vnd.openxmlformats-officedocument.spreadsheetml.worksheet+xml" PartName="/xl/worksheets/sheet38397.xml"/>
  <Override ContentType="application/vnd.openxmlformats-officedocument.spreadsheetml.worksheet+xml" PartName="/xl/worksheets/sheet38398.xml"/>
  <Override ContentType="application/vnd.openxmlformats-officedocument.spreadsheetml.worksheet+xml" PartName="/xl/worksheets/sheet38399.xml"/>
  <Override ContentType="application/vnd.openxmlformats-officedocument.spreadsheetml.worksheet+xml" PartName="/xl/worksheets/sheet38400.xml"/>
  <Override ContentType="application/vnd.openxmlformats-officedocument.spreadsheetml.worksheet+xml" PartName="/xl/worksheets/sheet38401.xml"/>
  <Override ContentType="application/vnd.openxmlformats-officedocument.spreadsheetml.worksheet+xml" PartName="/xl/worksheets/sheet38402.xml"/>
  <Override ContentType="application/vnd.openxmlformats-officedocument.spreadsheetml.worksheet+xml" PartName="/xl/worksheets/sheet38403.xml"/>
  <Override ContentType="application/vnd.openxmlformats-officedocument.spreadsheetml.worksheet+xml" PartName="/xl/worksheets/sheet38404.xml"/>
  <Override ContentType="application/vnd.openxmlformats-officedocument.spreadsheetml.worksheet+xml" PartName="/xl/worksheets/sheet38405.xml"/>
  <Override ContentType="application/vnd.openxmlformats-officedocument.spreadsheetml.worksheet+xml" PartName="/xl/worksheets/sheet38406.xml"/>
  <Override ContentType="application/vnd.openxmlformats-officedocument.spreadsheetml.worksheet+xml" PartName="/xl/worksheets/sheet38407.xml"/>
  <Override ContentType="application/vnd.openxmlformats-officedocument.spreadsheetml.worksheet+xml" PartName="/xl/worksheets/sheet38408.xml"/>
  <Override ContentType="application/vnd.openxmlformats-officedocument.spreadsheetml.worksheet+xml" PartName="/xl/worksheets/sheet38409.xml"/>
  <Override ContentType="application/vnd.openxmlformats-officedocument.spreadsheetml.worksheet+xml" PartName="/xl/worksheets/sheet38410.xml"/>
  <Override ContentType="application/vnd.openxmlformats-officedocument.spreadsheetml.worksheet+xml" PartName="/xl/worksheets/sheet38411.xml"/>
  <Override ContentType="application/vnd.openxmlformats-officedocument.spreadsheetml.worksheet+xml" PartName="/xl/worksheets/sheet38412.xml"/>
  <Override ContentType="application/vnd.openxmlformats-officedocument.spreadsheetml.worksheet+xml" PartName="/xl/worksheets/sheet38413.xml"/>
  <Override ContentType="application/vnd.openxmlformats-officedocument.spreadsheetml.worksheet+xml" PartName="/xl/worksheets/sheet38414.xml"/>
  <Override ContentType="application/vnd.openxmlformats-officedocument.spreadsheetml.worksheet+xml" PartName="/xl/worksheets/sheet38415.xml"/>
  <Override ContentType="application/vnd.openxmlformats-officedocument.spreadsheetml.worksheet+xml" PartName="/xl/worksheets/sheet38416.xml"/>
  <Override ContentType="application/vnd.openxmlformats-officedocument.spreadsheetml.worksheet+xml" PartName="/xl/worksheets/sheet38417.xml"/>
  <Override ContentType="application/vnd.openxmlformats-officedocument.spreadsheetml.worksheet+xml" PartName="/xl/worksheets/sheet38418.xml"/>
  <Override ContentType="application/vnd.openxmlformats-officedocument.spreadsheetml.worksheet+xml" PartName="/xl/worksheets/sheet38419.xml"/>
  <Override ContentType="application/vnd.openxmlformats-officedocument.spreadsheetml.worksheet+xml" PartName="/xl/worksheets/sheet38420.xml"/>
  <Override ContentType="application/vnd.openxmlformats-officedocument.spreadsheetml.worksheet+xml" PartName="/xl/worksheets/sheet38421.xml"/>
  <Override ContentType="application/vnd.openxmlformats-officedocument.spreadsheetml.worksheet+xml" PartName="/xl/worksheets/sheet38422.xml"/>
  <Override ContentType="application/vnd.openxmlformats-officedocument.spreadsheetml.worksheet+xml" PartName="/xl/worksheets/sheet38423.xml"/>
  <Override ContentType="application/vnd.openxmlformats-officedocument.spreadsheetml.worksheet+xml" PartName="/xl/worksheets/sheet38424.xml"/>
  <Override ContentType="application/vnd.openxmlformats-officedocument.spreadsheetml.worksheet+xml" PartName="/xl/worksheets/sheet38425.xml"/>
  <Override ContentType="application/vnd.openxmlformats-officedocument.spreadsheetml.worksheet+xml" PartName="/xl/worksheets/sheet38426.xml"/>
  <Override ContentType="application/vnd.openxmlformats-officedocument.spreadsheetml.worksheet+xml" PartName="/xl/worksheets/sheet38427.xml"/>
  <Override ContentType="application/vnd.openxmlformats-officedocument.spreadsheetml.worksheet+xml" PartName="/xl/worksheets/sheet38428.xml"/>
  <Override ContentType="application/vnd.openxmlformats-officedocument.spreadsheetml.worksheet+xml" PartName="/xl/worksheets/sheet38429.xml"/>
  <Override ContentType="application/vnd.openxmlformats-officedocument.spreadsheetml.worksheet+xml" PartName="/xl/worksheets/sheet38430.xml"/>
  <Override ContentType="application/vnd.openxmlformats-officedocument.spreadsheetml.worksheet+xml" PartName="/xl/worksheets/sheet38431.xml"/>
  <Override ContentType="application/vnd.openxmlformats-officedocument.spreadsheetml.worksheet+xml" PartName="/xl/worksheets/sheet38432.xml"/>
  <Override ContentType="application/vnd.openxmlformats-officedocument.spreadsheetml.worksheet+xml" PartName="/xl/worksheets/sheet38433.xml"/>
  <Override ContentType="application/vnd.openxmlformats-officedocument.spreadsheetml.worksheet+xml" PartName="/xl/worksheets/sheet38434.xml"/>
  <Override ContentType="application/vnd.openxmlformats-officedocument.spreadsheetml.worksheet+xml" PartName="/xl/worksheets/sheet38435.xml"/>
  <Override ContentType="application/vnd.openxmlformats-officedocument.spreadsheetml.worksheet+xml" PartName="/xl/worksheets/sheet38436.xml"/>
  <Override ContentType="application/vnd.openxmlformats-officedocument.spreadsheetml.worksheet+xml" PartName="/xl/worksheets/sheet38437.xml"/>
  <Override ContentType="application/vnd.openxmlformats-officedocument.spreadsheetml.worksheet+xml" PartName="/xl/worksheets/sheet38438.xml"/>
  <Override ContentType="application/vnd.openxmlformats-officedocument.spreadsheetml.worksheet+xml" PartName="/xl/worksheets/sheet38439.xml"/>
  <Override ContentType="application/vnd.openxmlformats-officedocument.spreadsheetml.worksheet+xml" PartName="/xl/worksheets/sheet38440.xml"/>
  <Override ContentType="application/vnd.openxmlformats-officedocument.spreadsheetml.worksheet+xml" PartName="/xl/worksheets/sheet38441.xml"/>
  <Override ContentType="application/vnd.openxmlformats-officedocument.spreadsheetml.worksheet+xml" PartName="/xl/worksheets/sheet38442.xml"/>
  <Override ContentType="application/vnd.openxmlformats-officedocument.spreadsheetml.worksheet+xml" PartName="/xl/worksheets/sheet38443.xml"/>
  <Override ContentType="application/vnd.openxmlformats-officedocument.spreadsheetml.worksheet+xml" PartName="/xl/worksheets/sheet38444.xml"/>
  <Override ContentType="application/vnd.openxmlformats-officedocument.spreadsheetml.worksheet+xml" PartName="/xl/worksheets/sheet38445.xml"/>
  <Override ContentType="application/vnd.openxmlformats-officedocument.spreadsheetml.worksheet+xml" PartName="/xl/worksheets/sheet38446.xml"/>
  <Override ContentType="application/vnd.openxmlformats-officedocument.spreadsheetml.worksheet+xml" PartName="/xl/worksheets/sheet38447.xml"/>
  <Override ContentType="application/vnd.openxmlformats-officedocument.spreadsheetml.worksheet+xml" PartName="/xl/worksheets/sheet38448.xml"/>
  <Override ContentType="application/vnd.openxmlformats-officedocument.spreadsheetml.worksheet+xml" PartName="/xl/worksheets/sheet38449.xml"/>
  <Override ContentType="application/vnd.openxmlformats-officedocument.spreadsheetml.worksheet+xml" PartName="/xl/worksheets/sheet38450.xml"/>
  <Override ContentType="application/vnd.openxmlformats-officedocument.spreadsheetml.worksheet+xml" PartName="/xl/worksheets/sheet38451.xml"/>
  <Override ContentType="application/vnd.openxmlformats-officedocument.spreadsheetml.worksheet+xml" PartName="/xl/worksheets/sheet38452.xml"/>
  <Override ContentType="application/vnd.openxmlformats-officedocument.spreadsheetml.worksheet+xml" PartName="/xl/worksheets/sheet38453.xml"/>
  <Override ContentType="application/vnd.openxmlformats-officedocument.spreadsheetml.worksheet+xml" PartName="/xl/worksheets/sheet38454.xml"/>
  <Override ContentType="application/vnd.openxmlformats-officedocument.spreadsheetml.worksheet+xml" PartName="/xl/worksheets/sheet38455.xml"/>
  <Override ContentType="application/vnd.openxmlformats-officedocument.spreadsheetml.worksheet+xml" PartName="/xl/worksheets/sheet38456.xml"/>
  <Override ContentType="application/vnd.openxmlformats-officedocument.spreadsheetml.worksheet+xml" PartName="/xl/worksheets/sheet38457.xml"/>
  <Override ContentType="application/vnd.openxmlformats-officedocument.spreadsheetml.worksheet+xml" PartName="/xl/worksheets/sheet38458.xml"/>
  <Override ContentType="application/vnd.openxmlformats-officedocument.spreadsheetml.worksheet+xml" PartName="/xl/worksheets/sheet38459.xml"/>
  <Override ContentType="application/vnd.openxmlformats-officedocument.spreadsheetml.worksheet+xml" PartName="/xl/worksheets/sheet38460.xml"/>
  <Override ContentType="application/vnd.openxmlformats-officedocument.spreadsheetml.worksheet+xml" PartName="/xl/worksheets/sheet38461.xml"/>
  <Override ContentType="application/vnd.openxmlformats-officedocument.spreadsheetml.worksheet+xml" PartName="/xl/worksheets/sheet38462.xml"/>
  <Override ContentType="application/vnd.openxmlformats-officedocument.spreadsheetml.worksheet+xml" PartName="/xl/worksheets/sheet38463.xml"/>
  <Override ContentType="application/vnd.openxmlformats-officedocument.spreadsheetml.worksheet+xml" PartName="/xl/worksheets/sheet38464.xml"/>
  <Override ContentType="application/vnd.openxmlformats-officedocument.spreadsheetml.worksheet+xml" PartName="/xl/worksheets/sheet38465.xml"/>
  <Override ContentType="application/vnd.openxmlformats-officedocument.spreadsheetml.worksheet+xml" PartName="/xl/worksheets/sheet38466.xml"/>
  <Override ContentType="application/vnd.openxmlformats-officedocument.spreadsheetml.worksheet+xml" PartName="/xl/worksheets/sheet38467.xml"/>
  <Override ContentType="application/vnd.openxmlformats-officedocument.spreadsheetml.worksheet+xml" PartName="/xl/worksheets/sheet38468.xml"/>
  <Override ContentType="application/vnd.openxmlformats-officedocument.spreadsheetml.worksheet+xml" PartName="/xl/worksheets/sheet38469.xml"/>
  <Override ContentType="application/vnd.openxmlformats-officedocument.spreadsheetml.worksheet+xml" PartName="/xl/worksheets/sheet38470.xml"/>
  <Override ContentType="application/vnd.openxmlformats-officedocument.spreadsheetml.worksheet+xml" PartName="/xl/worksheets/sheet38471.xml"/>
  <Override ContentType="application/vnd.openxmlformats-officedocument.spreadsheetml.worksheet+xml" PartName="/xl/worksheets/sheet38472.xml"/>
  <Override ContentType="application/vnd.openxmlformats-officedocument.spreadsheetml.worksheet+xml" PartName="/xl/worksheets/sheet38473.xml"/>
  <Override ContentType="application/vnd.openxmlformats-officedocument.spreadsheetml.worksheet+xml" PartName="/xl/worksheets/sheet38474.xml"/>
  <Override ContentType="application/vnd.openxmlformats-officedocument.spreadsheetml.worksheet+xml" PartName="/xl/worksheets/sheet38475.xml"/>
  <Override ContentType="application/vnd.openxmlformats-officedocument.spreadsheetml.worksheet+xml" PartName="/xl/worksheets/sheet38476.xml"/>
  <Override ContentType="application/vnd.openxmlformats-officedocument.spreadsheetml.worksheet+xml" PartName="/xl/worksheets/sheet38477.xml"/>
  <Override ContentType="application/vnd.openxmlformats-officedocument.spreadsheetml.worksheet+xml" PartName="/xl/worksheets/sheet38478.xml"/>
  <Override ContentType="application/vnd.openxmlformats-officedocument.spreadsheetml.worksheet+xml" PartName="/xl/worksheets/sheet38479.xml"/>
  <Override ContentType="application/vnd.openxmlformats-officedocument.spreadsheetml.worksheet+xml" PartName="/xl/worksheets/sheet38480.xml"/>
  <Override ContentType="application/vnd.openxmlformats-officedocument.spreadsheetml.worksheet+xml" PartName="/xl/worksheets/sheet38481.xml"/>
  <Override ContentType="application/vnd.openxmlformats-officedocument.spreadsheetml.worksheet+xml" PartName="/xl/worksheets/sheet38482.xml"/>
  <Override ContentType="application/vnd.openxmlformats-officedocument.spreadsheetml.worksheet+xml" PartName="/xl/worksheets/sheet38483.xml"/>
  <Override ContentType="application/vnd.openxmlformats-officedocument.spreadsheetml.worksheet+xml" PartName="/xl/worksheets/sheet38484.xml"/>
  <Override ContentType="application/vnd.openxmlformats-officedocument.spreadsheetml.worksheet+xml" PartName="/xl/worksheets/sheet38485.xml"/>
  <Override ContentType="application/vnd.openxmlformats-officedocument.spreadsheetml.worksheet+xml" PartName="/xl/worksheets/sheet38486.xml"/>
  <Override ContentType="application/vnd.openxmlformats-officedocument.spreadsheetml.worksheet+xml" PartName="/xl/worksheets/sheet38487.xml"/>
  <Override ContentType="application/vnd.openxmlformats-officedocument.spreadsheetml.worksheet+xml" PartName="/xl/worksheets/sheet38488.xml"/>
  <Override ContentType="application/vnd.openxmlformats-officedocument.spreadsheetml.worksheet+xml" PartName="/xl/worksheets/sheet38489.xml"/>
  <Override ContentType="application/vnd.openxmlformats-officedocument.spreadsheetml.worksheet+xml" PartName="/xl/worksheets/sheet38490.xml"/>
  <Override ContentType="application/vnd.openxmlformats-officedocument.spreadsheetml.worksheet+xml" PartName="/xl/worksheets/sheet38491.xml"/>
  <Override ContentType="application/vnd.openxmlformats-officedocument.spreadsheetml.worksheet+xml" PartName="/xl/worksheets/sheet38492.xml"/>
  <Override ContentType="application/vnd.openxmlformats-officedocument.spreadsheetml.worksheet+xml" PartName="/xl/worksheets/sheet38493.xml"/>
  <Override ContentType="application/vnd.openxmlformats-officedocument.spreadsheetml.worksheet+xml" PartName="/xl/worksheets/sheet38494.xml"/>
  <Override ContentType="application/vnd.openxmlformats-officedocument.spreadsheetml.worksheet+xml" PartName="/xl/worksheets/sheet38495.xml"/>
  <Override ContentType="application/vnd.openxmlformats-officedocument.spreadsheetml.worksheet+xml" PartName="/xl/worksheets/sheet38496.xml"/>
  <Override ContentType="application/vnd.openxmlformats-officedocument.spreadsheetml.worksheet+xml" PartName="/xl/worksheets/sheet38497.xml"/>
  <Override ContentType="application/vnd.openxmlformats-officedocument.spreadsheetml.worksheet+xml" PartName="/xl/worksheets/sheet38498.xml"/>
  <Override ContentType="application/vnd.openxmlformats-officedocument.spreadsheetml.worksheet+xml" PartName="/xl/worksheets/sheet38499.xml"/>
  <Override ContentType="application/vnd.openxmlformats-officedocument.spreadsheetml.worksheet+xml" PartName="/xl/worksheets/sheet38500.xml"/>
  <Override ContentType="application/vnd.openxmlformats-officedocument.spreadsheetml.worksheet+xml" PartName="/xl/worksheets/sheet38501.xml"/>
  <Override ContentType="application/vnd.openxmlformats-officedocument.spreadsheetml.worksheet+xml" PartName="/xl/worksheets/sheet38502.xml"/>
  <Override ContentType="application/vnd.openxmlformats-officedocument.spreadsheetml.worksheet+xml" PartName="/xl/worksheets/sheet38503.xml"/>
  <Override ContentType="application/vnd.openxmlformats-officedocument.spreadsheetml.worksheet+xml" PartName="/xl/worksheets/sheet38504.xml"/>
  <Override ContentType="application/vnd.openxmlformats-officedocument.spreadsheetml.worksheet+xml" PartName="/xl/worksheets/sheet38505.xml"/>
  <Override ContentType="application/vnd.openxmlformats-officedocument.spreadsheetml.worksheet+xml" PartName="/xl/worksheets/sheet38506.xml"/>
  <Override ContentType="application/vnd.openxmlformats-officedocument.spreadsheetml.worksheet+xml" PartName="/xl/worksheets/sheet38507.xml"/>
  <Override ContentType="application/vnd.openxmlformats-officedocument.spreadsheetml.worksheet+xml" PartName="/xl/worksheets/sheet38508.xml"/>
  <Override ContentType="application/vnd.openxmlformats-officedocument.spreadsheetml.worksheet+xml" PartName="/xl/worksheets/sheet38509.xml"/>
  <Override ContentType="application/vnd.openxmlformats-officedocument.spreadsheetml.worksheet+xml" PartName="/xl/worksheets/sheet38510.xml"/>
  <Override ContentType="application/vnd.openxmlformats-officedocument.spreadsheetml.worksheet+xml" PartName="/xl/worksheets/sheet38511.xml"/>
  <Override ContentType="application/vnd.openxmlformats-officedocument.spreadsheetml.worksheet+xml" PartName="/xl/worksheets/sheet38512.xml"/>
  <Override ContentType="application/vnd.openxmlformats-officedocument.spreadsheetml.worksheet+xml" PartName="/xl/worksheets/sheet38513.xml"/>
  <Override ContentType="application/vnd.openxmlformats-officedocument.spreadsheetml.worksheet+xml" PartName="/xl/worksheets/sheet38514.xml"/>
  <Override ContentType="application/vnd.openxmlformats-officedocument.spreadsheetml.worksheet+xml" PartName="/xl/worksheets/sheet38515.xml"/>
  <Override ContentType="application/vnd.openxmlformats-officedocument.spreadsheetml.worksheet+xml" PartName="/xl/worksheets/sheet38516.xml"/>
  <Override ContentType="application/vnd.openxmlformats-officedocument.spreadsheetml.worksheet+xml" PartName="/xl/worksheets/sheet38517.xml"/>
  <Override ContentType="application/vnd.openxmlformats-officedocument.spreadsheetml.worksheet+xml" PartName="/xl/worksheets/sheet38518.xml"/>
  <Override ContentType="application/vnd.openxmlformats-officedocument.spreadsheetml.worksheet+xml" PartName="/xl/worksheets/sheet38519.xml"/>
  <Override ContentType="application/vnd.openxmlformats-officedocument.spreadsheetml.worksheet+xml" PartName="/xl/worksheets/sheet38520.xml"/>
  <Override ContentType="application/vnd.openxmlformats-officedocument.spreadsheetml.worksheet+xml" PartName="/xl/worksheets/sheet38521.xml"/>
  <Override ContentType="application/vnd.openxmlformats-officedocument.spreadsheetml.worksheet+xml" PartName="/xl/worksheets/sheet38522.xml"/>
  <Override ContentType="application/vnd.openxmlformats-officedocument.spreadsheetml.worksheet+xml" PartName="/xl/worksheets/sheet38523.xml"/>
  <Override ContentType="application/vnd.openxmlformats-officedocument.spreadsheetml.worksheet+xml" PartName="/xl/worksheets/sheet38524.xml"/>
  <Override ContentType="application/vnd.openxmlformats-officedocument.spreadsheetml.worksheet+xml" PartName="/xl/worksheets/sheet38525.xml"/>
  <Override ContentType="application/vnd.openxmlformats-officedocument.spreadsheetml.worksheet+xml" PartName="/xl/worksheets/sheet38526.xml"/>
  <Override ContentType="application/vnd.openxmlformats-officedocument.spreadsheetml.worksheet+xml" PartName="/xl/worksheets/sheet38527.xml"/>
  <Override ContentType="application/vnd.openxmlformats-officedocument.spreadsheetml.worksheet+xml" PartName="/xl/worksheets/sheet38528.xml"/>
  <Override ContentType="application/vnd.openxmlformats-officedocument.spreadsheetml.worksheet+xml" PartName="/xl/worksheets/sheet38529.xml"/>
  <Override ContentType="application/vnd.openxmlformats-officedocument.spreadsheetml.worksheet+xml" PartName="/xl/worksheets/sheet38530.xml"/>
  <Override ContentType="application/vnd.openxmlformats-officedocument.spreadsheetml.worksheet+xml" PartName="/xl/worksheets/sheet38531.xml"/>
  <Override ContentType="application/vnd.openxmlformats-officedocument.spreadsheetml.worksheet+xml" PartName="/xl/worksheets/sheet38532.xml"/>
  <Override ContentType="application/vnd.openxmlformats-officedocument.spreadsheetml.worksheet+xml" PartName="/xl/worksheets/sheet38533.xml"/>
  <Override ContentType="application/vnd.openxmlformats-officedocument.spreadsheetml.worksheet+xml" PartName="/xl/worksheets/sheet38534.xml"/>
  <Override ContentType="application/vnd.openxmlformats-officedocument.spreadsheetml.worksheet+xml" PartName="/xl/worksheets/sheet38535.xml"/>
  <Override ContentType="application/vnd.openxmlformats-officedocument.spreadsheetml.worksheet+xml" PartName="/xl/worksheets/sheet38536.xml"/>
  <Override ContentType="application/vnd.openxmlformats-officedocument.spreadsheetml.worksheet+xml" PartName="/xl/worksheets/sheet38537.xml"/>
  <Override ContentType="application/vnd.openxmlformats-officedocument.spreadsheetml.worksheet+xml" PartName="/xl/worksheets/sheet38538.xml"/>
  <Override ContentType="application/vnd.openxmlformats-officedocument.spreadsheetml.worksheet+xml" PartName="/xl/worksheets/sheet38539.xml"/>
  <Override ContentType="application/vnd.openxmlformats-officedocument.spreadsheetml.worksheet+xml" PartName="/xl/worksheets/sheet38540.xml"/>
  <Override ContentType="application/vnd.openxmlformats-officedocument.spreadsheetml.worksheet+xml" PartName="/xl/worksheets/sheet38541.xml"/>
  <Override ContentType="application/vnd.openxmlformats-officedocument.spreadsheetml.worksheet+xml" PartName="/xl/worksheets/sheet38542.xml"/>
  <Override ContentType="application/vnd.openxmlformats-officedocument.spreadsheetml.worksheet+xml" PartName="/xl/worksheets/sheet38543.xml"/>
  <Override ContentType="application/vnd.openxmlformats-officedocument.spreadsheetml.worksheet+xml" PartName="/xl/worksheets/sheet38544.xml"/>
  <Override ContentType="application/vnd.openxmlformats-officedocument.spreadsheetml.worksheet+xml" PartName="/xl/worksheets/sheet38545.xml"/>
  <Override ContentType="application/vnd.openxmlformats-officedocument.spreadsheetml.worksheet+xml" PartName="/xl/worksheets/sheet38546.xml"/>
  <Override ContentType="application/vnd.openxmlformats-officedocument.spreadsheetml.worksheet+xml" PartName="/xl/worksheets/sheet38547.xml"/>
  <Override ContentType="application/vnd.openxmlformats-officedocument.spreadsheetml.worksheet+xml" PartName="/xl/worksheets/sheet38548.xml"/>
  <Override ContentType="application/vnd.openxmlformats-officedocument.spreadsheetml.worksheet+xml" PartName="/xl/worksheets/sheet38549.xml"/>
  <Override ContentType="application/vnd.openxmlformats-officedocument.spreadsheetml.worksheet+xml" PartName="/xl/worksheets/sheet38550.xml"/>
  <Override ContentType="application/vnd.openxmlformats-officedocument.spreadsheetml.worksheet+xml" PartName="/xl/worksheets/sheet38551.xml"/>
  <Override ContentType="application/vnd.openxmlformats-officedocument.spreadsheetml.worksheet+xml" PartName="/xl/worksheets/sheet38552.xml"/>
  <Override ContentType="application/vnd.openxmlformats-officedocument.spreadsheetml.worksheet+xml" PartName="/xl/worksheets/sheet38553.xml"/>
  <Override ContentType="application/vnd.openxmlformats-officedocument.spreadsheetml.worksheet+xml" PartName="/xl/worksheets/sheet38554.xml"/>
  <Override ContentType="application/vnd.openxmlformats-officedocument.spreadsheetml.worksheet+xml" PartName="/xl/worksheets/sheet38555.xml"/>
  <Override ContentType="application/vnd.openxmlformats-officedocument.spreadsheetml.worksheet+xml" PartName="/xl/worksheets/sheet38556.xml"/>
  <Override ContentType="application/vnd.openxmlformats-officedocument.spreadsheetml.worksheet+xml" PartName="/xl/worksheets/sheet38557.xml"/>
  <Override ContentType="application/vnd.openxmlformats-officedocument.spreadsheetml.worksheet+xml" PartName="/xl/worksheets/sheet38558.xml"/>
  <Override ContentType="application/vnd.openxmlformats-officedocument.spreadsheetml.worksheet+xml" PartName="/xl/worksheets/sheet38559.xml"/>
  <Override ContentType="application/vnd.openxmlformats-officedocument.spreadsheetml.worksheet+xml" PartName="/xl/worksheets/sheet38560.xml"/>
  <Override ContentType="application/vnd.openxmlformats-officedocument.spreadsheetml.worksheet+xml" PartName="/xl/worksheets/sheet38561.xml"/>
  <Override ContentType="application/vnd.openxmlformats-officedocument.spreadsheetml.worksheet+xml" PartName="/xl/worksheets/sheet38562.xml"/>
  <Override ContentType="application/vnd.openxmlformats-officedocument.spreadsheetml.worksheet+xml" PartName="/xl/worksheets/sheet38563.xml"/>
  <Override ContentType="application/vnd.openxmlformats-officedocument.spreadsheetml.worksheet+xml" PartName="/xl/worksheets/sheet38564.xml"/>
  <Override ContentType="application/vnd.openxmlformats-officedocument.spreadsheetml.worksheet+xml" PartName="/xl/worksheets/sheet38565.xml"/>
  <Override ContentType="application/vnd.openxmlformats-officedocument.spreadsheetml.worksheet+xml" PartName="/xl/worksheets/sheet38566.xml"/>
  <Override ContentType="application/vnd.openxmlformats-officedocument.spreadsheetml.worksheet+xml" PartName="/xl/worksheets/sheet38567.xml"/>
  <Override ContentType="application/vnd.openxmlformats-officedocument.spreadsheetml.worksheet+xml" PartName="/xl/worksheets/sheet38568.xml"/>
  <Override ContentType="application/vnd.openxmlformats-officedocument.spreadsheetml.worksheet+xml" PartName="/xl/worksheets/sheet38569.xml"/>
  <Override ContentType="application/vnd.openxmlformats-officedocument.spreadsheetml.worksheet+xml" PartName="/xl/worksheets/sheet38570.xml"/>
  <Override ContentType="application/vnd.openxmlformats-officedocument.spreadsheetml.worksheet+xml" PartName="/xl/worksheets/sheet38571.xml"/>
  <Override ContentType="application/vnd.openxmlformats-officedocument.spreadsheetml.worksheet+xml" PartName="/xl/worksheets/sheet38572.xml"/>
  <Override ContentType="application/vnd.openxmlformats-officedocument.spreadsheetml.worksheet+xml" PartName="/xl/worksheets/sheet38573.xml"/>
  <Override ContentType="application/vnd.openxmlformats-officedocument.spreadsheetml.worksheet+xml" PartName="/xl/worksheets/sheet38574.xml"/>
  <Override ContentType="application/vnd.openxmlformats-officedocument.spreadsheetml.worksheet+xml" PartName="/xl/worksheets/sheet38575.xml"/>
  <Override ContentType="application/vnd.openxmlformats-officedocument.spreadsheetml.worksheet+xml" PartName="/xl/worksheets/sheet38576.xml"/>
  <Override ContentType="application/vnd.openxmlformats-officedocument.spreadsheetml.worksheet+xml" PartName="/xl/worksheets/sheet38577.xml"/>
  <Override ContentType="application/vnd.openxmlformats-officedocument.spreadsheetml.worksheet+xml" PartName="/xl/worksheets/sheet38578.xml"/>
  <Override ContentType="application/vnd.openxmlformats-officedocument.spreadsheetml.worksheet+xml" PartName="/xl/worksheets/sheet38579.xml"/>
  <Override ContentType="application/vnd.openxmlformats-officedocument.spreadsheetml.worksheet+xml" PartName="/xl/worksheets/sheet38580.xml"/>
  <Override ContentType="application/vnd.openxmlformats-officedocument.spreadsheetml.worksheet+xml" PartName="/xl/worksheets/sheet38581.xml"/>
  <Override ContentType="application/vnd.openxmlformats-officedocument.spreadsheetml.worksheet+xml" PartName="/xl/worksheets/sheet38582.xml"/>
  <Override ContentType="application/vnd.openxmlformats-officedocument.spreadsheetml.worksheet+xml" PartName="/xl/worksheets/sheet38583.xml"/>
  <Override ContentType="application/vnd.openxmlformats-officedocument.spreadsheetml.worksheet+xml" PartName="/xl/worksheets/sheet38584.xml"/>
  <Override ContentType="application/vnd.openxmlformats-officedocument.spreadsheetml.worksheet+xml" PartName="/xl/worksheets/sheet38585.xml"/>
  <Override ContentType="application/vnd.openxmlformats-officedocument.spreadsheetml.worksheet+xml" PartName="/xl/worksheets/sheet38586.xml"/>
  <Override ContentType="application/vnd.openxmlformats-officedocument.spreadsheetml.worksheet+xml" PartName="/xl/worksheets/sheet38587.xml"/>
  <Override ContentType="application/vnd.openxmlformats-officedocument.spreadsheetml.worksheet+xml" PartName="/xl/worksheets/sheet38588.xml"/>
  <Override ContentType="application/vnd.openxmlformats-officedocument.spreadsheetml.worksheet+xml" PartName="/xl/worksheets/sheet38589.xml"/>
  <Override ContentType="application/vnd.openxmlformats-officedocument.spreadsheetml.worksheet+xml" PartName="/xl/worksheets/sheet38590.xml"/>
  <Override ContentType="application/vnd.openxmlformats-officedocument.spreadsheetml.worksheet+xml" PartName="/xl/worksheets/sheet38591.xml"/>
  <Override ContentType="application/vnd.openxmlformats-officedocument.spreadsheetml.worksheet+xml" PartName="/xl/worksheets/sheet38592.xml"/>
  <Override ContentType="application/vnd.openxmlformats-officedocument.spreadsheetml.worksheet+xml" PartName="/xl/worksheets/sheet38593.xml"/>
  <Override ContentType="application/vnd.openxmlformats-officedocument.spreadsheetml.worksheet+xml" PartName="/xl/worksheets/sheet38594.xml"/>
  <Override ContentType="application/vnd.openxmlformats-officedocument.spreadsheetml.worksheet+xml" PartName="/xl/worksheets/sheet38595.xml"/>
  <Override ContentType="application/vnd.openxmlformats-officedocument.spreadsheetml.worksheet+xml" PartName="/xl/worksheets/sheet38596.xml"/>
  <Override ContentType="application/vnd.openxmlformats-officedocument.spreadsheetml.worksheet+xml" PartName="/xl/worksheets/sheet38597.xml"/>
  <Override ContentType="application/vnd.openxmlformats-officedocument.spreadsheetml.worksheet+xml" PartName="/xl/worksheets/sheet38598.xml"/>
  <Override ContentType="application/vnd.openxmlformats-officedocument.spreadsheetml.worksheet+xml" PartName="/xl/worksheets/sheet38599.xml"/>
  <Override ContentType="application/vnd.openxmlformats-officedocument.spreadsheetml.worksheet+xml" PartName="/xl/worksheets/sheet38600.xml"/>
  <Override ContentType="application/vnd.openxmlformats-officedocument.spreadsheetml.worksheet+xml" PartName="/xl/worksheets/sheet38601.xml"/>
  <Override ContentType="application/vnd.openxmlformats-officedocument.spreadsheetml.worksheet+xml" PartName="/xl/worksheets/sheet38602.xml"/>
  <Override ContentType="application/vnd.openxmlformats-officedocument.spreadsheetml.worksheet+xml" PartName="/xl/worksheets/sheet38603.xml"/>
  <Override ContentType="application/vnd.openxmlformats-officedocument.spreadsheetml.worksheet+xml" PartName="/xl/worksheets/sheet38604.xml"/>
  <Override ContentType="application/vnd.openxmlformats-officedocument.spreadsheetml.worksheet+xml" PartName="/xl/worksheets/sheet38605.xml"/>
  <Override ContentType="application/vnd.openxmlformats-officedocument.spreadsheetml.worksheet+xml" PartName="/xl/worksheets/sheet38606.xml"/>
  <Override ContentType="application/vnd.openxmlformats-officedocument.spreadsheetml.worksheet+xml" PartName="/xl/worksheets/sheet38607.xml"/>
  <Override ContentType="application/vnd.openxmlformats-officedocument.spreadsheetml.worksheet+xml" PartName="/xl/worksheets/sheet38608.xml"/>
  <Override ContentType="application/vnd.openxmlformats-officedocument.spreadsheetml.worksheet+xml" PartName="/xl/worksheets/sheet38609.xml"/>
  <Override ContentType="application/vnd.openxmlformats-officedocument.spreadsheetml.worksheet+xml" PartName="/xl/worksheets/sheet38610.xml"/>
  <Override ContentType="application/vnd.openxmlformats-officedocument.spreadsheetml.worksheet+xml" PartName="/xl/worksheets/sheet38611.xml"/>
  <Override ContentType="application/vnd.openxmlformats-officedocument.spreadsheetml.worksheet+xml" PartName="/xl/worksheets/sheet38612.xml"/>
  <Override ContentType="application/vnd.openxmlformats-officedocument.spreadsheetml.worksheet+xml" PartName="/xl/worksheets/sheet38613.xml"/>
  <Override ContentType="application/vnd.openxmlformats-officedocument.spreadsheetml.worksheet+xml" PartName="/xl/worksheets/sheet38614.xml"/>
  <Override ContentType="application/vnd.openxmlformats-officedocument.spreadsheetml.worksheet+xml" PartName="/xl/worksheets/sheet38615.xml"/>
  <Override ContentType="application/vnd.openxmlformats-officedocument.spreadsheetml.worksheet+xml" PartName="/xl/worksheets/sheet38616.xml"/>
  <Override ContentType="application/vnd.openxmlformats-officedocument.spreadsheetml.worksheet+xml" PartName="/xl/worksheets/sheet38617.xml"/>
  <Override ContentType="application/vnd.openxmlformats-officedocument.spreadsheetml.worksheet+xml" PartName="/xl/worksheets/sheet38618.xml"/>
  <Override ContentType="application/vnd.openxmlformats-officedocument.spreadsheetml.worksheet+xml" PartName="/xl/worksheets/sheet38619.xml"/>
  <Override ContentType="application/vnd.openxmlformats-officedocument.spreadsheetml.worksheet+xml" PartName="/xl/worksheets/sheet38620.xml"/>
  <Override ContentType="application/vnd.openxmlformats-officedocument.spreadsheetml.worksheet+xml" PartName="/xl/worksheets/sheet38621.xml"/>
  <Override ContentType="application/vnd.openxmlformats-officedocument.spreadsheetml.worksheet+xml" PartName="/xl/worksheets/sheet38622.xml"/>
  <Override ContentType="application/vnd.openxmlformats-officedocument.spreadsheetml.worksheet+xml" PartName="/xl/worksheets/sheet38623.xml"/>
  <Override ContentType="application/vnd.openxmlformats-officedocument.spreadsheetml.worksheet+xml" PartName="/xl/worksheets/sheet38624.xml"/>
  <Override ContentType="application/vnd.openxmlformats-officedocument.spreadsheetml.worksheet+xml" PartName="/xl/worksheets/sheet38625.xml"/>
  <Override ContentType="application/vnd.openxmlformats-officedocument.spreadsheetml.worksheet+xml" PartName="/xl/worksheets/sheet38626.xml"/>
  <Override ContentType="application/vnd.openxmlformats-officedocument.spreadsheetml.worksheet+xml" PartName="/xl/worksheets/sheet38627.xml"/>
  <Override ContentType="application/vnd.openxmlformats-officedocument.spreadsheetml.worksheet+xml" PartName="/xl/worksheets/sheet38628.xml"/>
  <Override ContentType="application/vnd.openxmlformats-officedocument.spreadsheetml.worksheet+xml" PartName="/xl/worksheets/sheet38629.xml"/>
  <Override ContentType="application/vnd.openxmlformats-officedocument.spreadsheetml.worksheet+xml" PartName="/xl/worksheets/sheet38630.xml"/>
  <Override ContentType="application/vnd.openxmlformats-officedocument.spreadsheetml.worksheet+xml" PartName="/xl/worksheets/sheet38631.xml"/>
  <Override ContentType="application/vnd.openxmlformats-officedocument.spreadsheetml.worksheet+xml" PartName="/xl/worksheets/sheet38632.xml"/>
  <Override ContentType="application/vnd.openxmlformats-officedocument.spreadsheetml.worksheet+xml" PartName="/xl/worksheets/sheet38633.xml"/>
  <Override ContentType="application/vnd.openxmlformats-officedocument.spreadsheetml.worksheet+xml" PartName="/xl/worksheets/sheet38634.xml"/>
  <Override ContentType="application/vnd.openxmlformats-officedocument.spreadsheetml.worksheet+xml" PartName="/xl/worksheets/sheet38635.xml"/>
  <Override ContentType="application/vnd.openxmlformats-officedocument.spreadsheetml.worksheet+xml" PartName="/xl/worksheets/sheet38636.xml"/>
  <Override ContentType="application/vnd.openxmlformats-officedocument.spreadsheetml.worksheet+xml" PartName="/xl/worksheets/sheet38637.xml"/>
  <Override ContentType="application/vnd.openxmlformats-officedocument.spreadsheetml.worksheet+xml" PartName="/xl/worksheets/sheet38638.xml"/>
  <Override ContentType="application/vnd.openxmlformats-officedocument.spreadsheetml.worksheet+xml" PartName="/xl/worksheets/sheet38639.xml"/>
  <Override ContentType="application/vnd.openxmlformats-officedocument.spreadsheetml.worksheet+xml" PartName="/xl/worksheets/sheet38640.xml"/>
  <Override ContentType="application/vnd.openxmlformats-officedocument.spreadsheetml.worksheet+xml" PartName="/xl/worksheets/sheet38641.xml"/>
  <Override ContentType="application/vnd.openxmlformats-officedocument.spreadsheetml.worksheet+xml" PartName="/xl/worksheets/sheet38642.xml"/>
  <Override ContentType="application/vnd.openxmlformats-officedocument.spreadsheetml.worksheet+xml" PartName="/xl/worksheets/sheet38643.xml"/>
  <Override ContentType="application/vnd.openxmlformats-officedocument.spreadsheetml.worksheet+xml" PartName="/xl/worksheets/sheet38644.xml"/>
  <Override ContentType="application/vnd.openxmlformats-officedocument.spreadsheetml.worksheet+xml" PartName="/xl/worksheets/sheet38645.xml"/>
  <Override ContentType="application/vnd.openxmlformats-officedocument.spreadsheetml.worksheet+xml" PartName="/xl/worksheets/sheet38646.xml"/>
  <Override ContentType="application/vnd.openxmlformats-officedocument.spreadsheetml.worksheet+xml" PartName="/xl/worksheets/sheet38647.xml"/>
  <Override ContentType="application/vnd.openxmlformats-officedocument.spreadsheetml.worksheet+xml" PartName="/xl/worksheets/sheet38648.xml"/>
  <Override ContentType="application/vnd.openxmlformats-officedocument.spreadsheetml.worksheet+xml" PartName="/xl/worksheets/sheet38649.xml"/>
  <Override ContentType="application/vnd.openxmlformats-officedocument.spreadsheetml.worksheet+xml" PartName="/xl/worksheets/sheet38650.xml"/>
  <Override ContentType="application/vnd.openxmlformats-officedocument.spreadsheetml.worksheet+xml" PartName="/xl/worksheets/sheet38651.xml"/>
  <Override ContentType="application/vnd.openxmlformats-officedocument.spreadsheetml.worksheet+xml" PartName="/xl/worksheets/sheet38652.xml"/>
  <Override ContentType="application/vnd.openxmlformats-officedocument.spreadsheetml.worksheet+xml" PartName="/xl/worksheets/sheet38653.xml"/>
  <Override ContentType="application/vnd.openxmlformats-officedocument.spreadsheetml.worksheet+xml" PartName="/xl/worksheets/sheet38654.xml"/>
  <Override ContentType="application/vnd.openxmlformats-officedocument.spreadsheetml.worksheet+xml" PartName="/xl/worksheets/sheet38655.xml"/>
  <Override ContentType="application/vnd.openxmlformats-officedocument.spreadsheetml.worksheet+xml" PartName="/xl/worksheets/sheet38656.xml"/>
  <Override ContentType="application/vnd.openxmlformats-officedocument.spreadsheetml.worksheet+xml" PartName="/xl/worksheets/sheet38657.xml"/>
  <Override ContentType="application/vnd.openxmlformats-officedocument.spreadsheetml.worksheet+xml" PartName="/xl/worksheets/sheet38658.xml"/>
  <Override ContentType="application/vnd.openxmlformats-officedocument.spreadsheetml.worksheet+xml" PartName="/xl/worksheets/sheet38659.xml"/>
  <Override ContentType="application/vnd.openxmlformats-officedocument.spreadsheetml.worksheet+xml" PartName="/xl/worksheets/sheet38660.xml"/>
  <Override ContentType="application/vnd.openxmlformats-officedocument.spreadsheetml.worksheet+xml" PartName="/xl/worksheets/sheet38661.xml"/>
  <Override ContentType="application/vnd.openxmlformats-officedocument.spreadsheetml.worksheet+xml" PartName="/xl/worksheets/sheet38662.xml"/>
  <Override ContentType="application/vnd.openxmlformats-officedocument.spreadsheetml.worksheet+xml" PartName="/xl/worksheets/sheet38663.xml"/>
  <Override ContentType="application/vnd.openxmlformats-officedocument.spreadsheetml.worksheet+xml" PartName="/xl/worksheets/sheet38664.xml"/>
  <Override ContentType="application/vnd.openxmlformats-officedocument.spreadsheetml.worksheet+xml" PartName="/xl/worksheets/sheet38665.xml"/>
  <Override ContentType="application/vnd.openxmlformats-officedocument.spreadsheetml.worksheet+xml" PartName="/xl/worksheets/sheet38666.xml"/>
  <Override ContentType="application/vnd.openxmlformats-officedocument.spreadsheetml.worksheet+xml" PartName="/xl/worksheets/sheet38667.xml"/>
  <Override ContentType="application/vnd.openxmlformats-officedocument.spreadsheetml.worksheet+xml" PartName="/xl/worksheets/sheet38668.xml"/>
  <Override ContentType="application/vnd.openxmlformats-officedocument.spreadsheetml.worksheet+xml" PartName="/xl/worksheets/sheet38669.xml"/>
  <Override ContentType="application/vnd.openxmlformats-officedocument.spreadsheetml.worksheet+xml" PartName="/xl/worksheets/sheet38670.xml"/>
  <Override ContentType="application/vnd.openxmlformats-officedocument.spreadsheetml.worksheet+xml" PartName="/xl/worksheets/sheet38671.xml"/>
  <Override ContentType="application/vnd.openxmlformats-officedocument.spreadsheetml.worksheet+xml" PartName="/xl/worksheets/sheet38672.xml"/>
  <Override ContentType="application/vnd.openxmlformats-officedocument.spreadsheetml.worksheet+xml" PartName="/xl/worksheets/sheet38673.xml"/>
  <Override ContentType="application/vnd.openxmlformats-officedocument.spreadsheetml.worksheet+xml" PartName="/xl/worksheets/sheet38674.xml"/>
  <Override ContentType="application/vnd.openxmlformats-officedocument.spreadsheetml.worksheet+xml" PartName="/xl/worksheets/sheet38675.xml"/>
  <Override ContentType="application/vnd.openxmlformats-officedocument.spreadsheetml.worksheet+xml" PartName="/xl/worksheets/sheet38676.xml"/>
  <Override ContentType="application/vnd.openxmlformats-officedocument.spreadsheetml.worksheet+xml" PartName="/xl/worksheets/sheet38677.xml"/>
  <Override ContentType="application/vnd.openxmlformats-officedocument.spreadsheetml.worksheet+xml" PartName="/xl/worksheets/sheet38678.xml"/>
  <Override ContentType="application/vnd.openxmlformats-officedocument.spreadsheetml.worksheet+xml" PartName="/xl/worksheets/sheet38679.xml"/>
  <Override ContentType="application/vnd.openxmlformats-officedocument.spreadsheetml.worksheet+xml" PartName="/xl/worksheets/sheet38680.xml"/>
  <Override ContentType="application/vnd.openxmlformats-officedocument.spreadsheetml.worksheet+xml" PartName="/xl/worksheets/sheet38681.xml"/>
  <Override ContentType="application/vnd.openxmlformats-officedocument.spreadsheetml.worksheet+xml" PartName="/xl/worksheets/sheet38682.xml"/>
  <Override ContentType="application/vnd.openxmlformats-officedocument.spreadsheetml.worksheet+xml" PartName="/xl/worksheets/sheet38683.xml"/>
  <Override ContentType="application/vnd.openxmlformats-officedocument.spreadsheetml.worksheet+xml" PartName="/xl/worksheets/sheet38684.xml"/>
  <Override ContentType="application/vnd.openxmlformats-officedocument.spreadsheetml.worksheet+xml" PartName="/xl/worksheets/sheet38685.xml"/>
  <Override ContentType="application/vnd.openxmlformats-officedocument.spreadsheetml.worksheet+xml" PartName="/xl/worksheets/sheet38686.xml"/>
  <Override ContentType="application/vnd.openxmlformats-officedocument.spreadsheetml.worksheet+xml" PartName="/xl/worksheets/sheet38687.xml"/>
  <Override ContentType="application/vnd.openxmlformats-officedocument.spreadsheetml.worksheet+xml" PartName="/xl/worksheets/sheet38688.xml"/>
  <Override ContentType="application/vnd.openxmlformats-officedocument.spreadsheetml.worksheet+xml" PartName="/xl/worksheets/sheet38689.xml"/>
  <Override ContentType="application/vnd.openxmlformats-officedocument.spreadsheetml.worksheet+xml" PartName="/xl/worksheets/sheet38690.xml"/>
  <Override ContentType="application/vnd.openxmlformats-officedocument.spreadsheetml.worksheet+xml" PartName="/xl/worksheets/sheet38691.xml"/>
  <Override ContentType="application/vnd.openxmlformats-officedocument.spreadsheetml.worksheet+xml" PartName="/xl/worksheets/sheet38692.xml"/>
  <Override ContentType="application/vnd.openxmlformats-officedocument.spreadsheetml.worksheet+xml" PartName="/xl/worksheets/sheet38693.xml"/>
  <Override ContentType="application/vnd.openxmlformats-officedocument.spreadsheetml.worksheet+xml" PartName="/xl/worksheets/sheet38694.xml"/>
  <Override ContentType="application/vnd.openxmlformats-officedocument.spreadsheetml.worksheet+xml" PartName="/xl/worksheets/sheet38695.xml"/>
  <Override ContentType="application/vnd.openxmlformats-officedocument.spreadsheetml.worksheet+xml" PartName="/xl/worksheets/sheet38696.xml"/>
  <Override ContentType="application/vnd.openxmlformats-officedocument.spreadsheetml.worksheet+xml" PartName="/xl/worksheets/sheet38697.xml"/>
  <Override ContentType="application/vnd.openxmlformats-officedocument.spreadsheetml.worksheet+xml" PartName="/xl/worksheets/sheet38698.xml"/>
  <Override ContentType="application/vnd.openxmlformats-officedocument.spreadsheetml.worksheet+xml" PartName="/xl/worksheets/sheet38699.xml"/>
  <Override ContentType="application/vnd.openxmlformats-officedocument.spreadsheetml.worksheet+xml" PartName="/xl/worksheets/sheet38700.xml"/>
  <Override ContentType="application/vnd.openxmlformats-officedocument.spreadsheetml.worksheet+xml" PartName="/xl/worksheets/sheet38701.xml"/>
  <Override ContentType="application/vnd.openxmlformats-officedocument.spreadsheetml.worksheet+xml" PartName="/xl/worksheets/sheet38702.xml"/>
  <Override ContentType="application/vnd.openxmlformats-officedocument.spreadsheetml.worksheet+xml" PartName="/xl/worksheets/sheet38703.xml"/>
  <Override ContentType="application/vnd.openxmlformats-officedocument.spreadsheetml.worksheet+xml" PartName="/xl/worksheets/sheet38704.xml"/>
  <Override ContentType="application/vnd.openxmlformats-officedocument.spreadsheetml.worksheet+xml" PartName="/xl/worksheets/sheet38705.xml"/>
  <Override ContentType="application/vnd.openxmlformats-officedocument.spreadsheetml.worksheet+xml" PartName="/xl/worksheets/sheet38706.xml"/>
  <Override ContentType="application/vnd.openxmlformats-officedocument.spreadsheetml.worksheet+xml" PartName="/xl/worksheets/sheet38707.xml"/>
  <Override ContentType="application/vnd.openxmlformats-officedocument.spreadsheetml.worksheet+xml" PartName="/xl/worksheets/sheet38708.xml"/>
  <Override ContentType="application/vnd.openxmlformats-officedocument.spreadsheetml.worksheet+xml" PartName="/xl/worksheets/sheet38709.xml"/>
  <Override ContentType="application/vnd.openxmlformats-officedocument.spreadsheetml.worksheet+xml" PartName="/xl/worksheets/sheet38710.xml"/>
  <Override ContentType="application/vnd.openxmlformats-officedocument.spreadsheetml.worksheet+xml" PartName="/xl/worksheets/sheet38711.xml"/>
  <Override ContentType="application/vnd.openxmlformats-officedocument.spreadsheetml.worksheet+xml" PartName="/xl/worksheets/sheet38712.xml"/>
  <Override ContentType="application/vnd.openxmlformats-officedocument.spreadsheetml.worksheet+xml" PartName="/xl/worksheets/sheet38713.xml"/>
  <Override ContentType="application/vnd.openxmlformats-officedocument.spreadsheetml.worksheet+xml" PartName="/xl/worksheets/sheet38714.xml"/>
  <Override ContentType="application/vnd.openxmlformats-officedocument.spreadsheetml.worksheet+xml" PartName="/xl/worksheets/sheet38715.xml"/>
  <Override ContentType="application/vnd.openxmlformats-officedocument.spreadsheetml.worksheet+xml" PartName="/xl/worksheets/sheet38716.xml"/>
  <Override ContentType="application/vnd.openxmlformats-officedocument.spreadsheetml.worksheet+xml" PartName="/xl/worksheets/sheet38717.xml"/>
  <Override ContentType="application/vnd.openxmlformats-officedocument.spreadsheetml.worksheet+xml" PartName="/xl/worksheets/sheet38718.xml"/>
  <Override ContentType="application/vnd.openxmlformats-officedocument.spreadsheetml.worksheet+xml" PartName="/xl/worksheets/sheet38719.xml"/>
  <Override ContentType="application/vnd.openxmlformats-officedocument.spreadsheetml.worksheet+xml" PartName="/xl/worksheets/sheet38720.xml"/>
  <Override ContentType="application/vnd.openxmlformats-officedocument.spreadsheetml.worksheet+xml" PartName="/xl/worksheets/sheet38721.xml"/>
  <Override ContentType="application/vnd.openxmlformats-officedocument.spreadsheetml.worksheet+xml" PartName="/xl/worksheets/sheet38722.xml"/>
  <Override ContentType="application/vnd.openxmlformats-officedocument.spreadsheetml.worksheet+xml" PartName="/xl/worksheets/sheet38723.xml"/>
  <Override ContentType="application/vnd.openxmlformats-officedocument.spreadsheetml.worksheet+xml" PartName="/xl/worksheets/sheet38724.xml"/>
  <Override ContentType="application/vnd.openxmlformats-officedocument.spreadsheetml.worksheet+xml" PartName="/xl/worksheets/sheet38725.xml"/>
  <Override ContentType="application/vnd.openxmlformats-officedocument.spreadsheetml.worksheet+xml" PartName="/xl/worksheets/sheet38726.xml"/>
  <Override ContentType="application/vnd.openxmlformats-officedocument.spreadsheetml.worksheet+xml" PartName="/xl/worksheets/sheet38727.xml"/>
  <Override ContentType="application/vnd.openxmlformats-officedocument.spreadsheetml.worksheet+xml" PartName="/xl/worksheets/sheet38728.xml"/>
  <Override ContentType="application/vnd.openxmlformats-officedocument.spreadsheetml.worksheet+xml" PartName="/xl/worksheets/sheet38729.xml"/>
  <Override ContentType="application/vnd.openxmlformats-officedocument.spreadsheetml.worksheet+xml" PartName="/xl/worksheets/sheet38730.xml"/>
  <Override ContentType="application/vnd.openxmlformats-officedocument.spreadsheetml.worksheet+xml" PartName="/xl/worksheets/sheet38731.xml"/>
  <Override ContentType="application/vnd.openxmlformats-officedocument.spreadsheetml.worksheet+xml" PartName="/xl/worksheets/sheet38732.xml"/>
  <Override ContentType="application/vnd.openxmlformats-officedocument.spreadsheetml.worksheet+xml" PartName="/xl/worksheets/sheet38733.xml"/>
  <Override ContentType="application/vnd.openxmlformats-officedocument.spreadsheetml.worksheet+xml" PartName="/xl/worksheets/sheet38734.xml"/>
  <Override ContentType="application/vnd.openxmlformats-officedocument.spreadsheetml.worksheet+xml" PartName="/xl/worksheets/sheet38735.xml"/>
  <Override ContentType="application/vnd.openxmlformats-officedocument.spreadsheetml.worksheet+xml" PartName="/xl/worksheets/sheet38736.xml"/>
  <Override ContentType="application/vnd.openxmlformats-officedocument.spreadsheetml.worksheet+xml" PartName="/xl/worksheets/sheet38737.xml"/>
  <Override ContentType="application/vnd.openxmlformats-officedocument.spreadsheetml.worksheet+xml" PartName="/xl/worksheets/sheet38738.xml"/>
  <Override ContentType="application/vnd.openxmlformats-officedocument.spreadsheetml.worksheet+xml" PartName="/xl/worksheets/sheet38739.xml"/>
  <Override ContentType="application/vnd.openxmlformats-officedocument.spreadsheetml.worksheet+xml" PartName="/xl/worksheets/sheet38740.xml"/>
  <Override ContentType="application/vnd.openxmlformats-officedocument.spreadsheetml.worksheet+xml" PartName="/xl/worksheets/sheet38741.xml"/>
  <Override ContentType="application/vnd.openxmlformats-officedocument.spreadsheetml.worksheet+xml" PartName="/xl/worksheets/sheet38742.xml"/>
  <Override ContentType="application/vnd.openxmlformats-officedocument.spreadsheetml.worksheet+xml" PartName="/xl/worksheets/sheet38743.xml"/>
  <Override ContentType="application/vnd.openxmlformats-officedocument.spreadsheetml.worksheet+xml" PartName="/xl/worksheets/sheet38744.xml"/>
  <Override ContentType="application/vnd.openxmlformats-officedocument.spreadsheetml.worksheet+xml" PartName="/xl/worksheets/sheet38745.xml"/>
  <Override ContentType="application/vnd.openxmlformats-officedocument.spreadsheetml.worksheet+xml" PartName="/xl/worksheets/sheet38746.xml"/>
  <Override ContentType="application/vnd.openxmlformats-officedocument.spreadsheetml.worksheet+xml" PartName="/xl/worksheets/sheet38747.xml"/>
  <Override ContentType="application/vnd.openxmlformats-officedocument.spreadsheetml.worksheet+xml" PartName="/xl/worksheets/sheet38748.xml"/>
  <Override ContentType="application/vnd.openxmlformats-officedocument.spreadsheetml.worksheet+xml" PartName="/xl/worksheets/sheet38749.xml"/>
  <Override ContentType="application/vnd.openxmlformats-officedocument.spreadsheetml.worksheet+xml" PartName="/xl/worksheets/sheet38750.xml"/>
  <Override ContentType="application/vnd.openxmlformats-officedocument.spreadsheetml.worksheet+xml" PartName="/xl/worksheets/sheet38751.xml"/>
  <Override ContentType="application/vnd.openxmlformats-officedocument.spreadsheetml.worksheet+xml" PartName="/xl/worksheets/sheet38752.xml"/>
  <Override ContentType="application/vnd.openxmlformats-officedocument.spreadsheetml.worksheet+xml" PartName="/xl/worksheets/sheet38753.xml"/>
  <Override ContentType="application/vnd.openxmlformats-officedocument.spreadsheetml.worksheet+xml" PartName="/xl/worksheets/sheet38754.xml"/>
  <Override ContentType="application/vnd.openxmlformats-officedocument.spreadsheetml.worksheet+xml" PartName="/xl/worksheets/sheet38755.xml"/>
  <Override ContentType="application/vnd.openxmlformats-officedocument.spreadsheetml.worksheet+xml" PartName="/xl/worksheets/sheet38756.xml"/>
  <Override ContentType="application/vnd.openxmlformats-officedocument.spreadsheetml.worksheet+xml" PartName="/xl/worksheets/sheet38757.xml"/>
  <Override ContentType="application/vnd.openxmlformats-officedocument.spreadsheetml.worksheet+xml" PartName="/xl/worksheets/sheet38758.xml"/>
  <Override ContentType="application/vnd.openxmlformats-officedocument.spreadsheetml.worksheet+xml" PartName="/xl/worksheets/sheet38759.xml"/>
  <Override ContentType="application/vnd.openxmlformats-officedocument.spreadsheetml.worksheet+xml" PartName="/xl/worksheets/sheet38760.xml"/>
  <Override ContentType="application/vnd.openxmlformats-officedocument.spreadsheetml.worksheet+xml" PartName="/xl/worksheets/sheet38761.xml"/>
  <Override ContentType="application/vnd.openxmlformats-officedocument.spreadsheetml.worksheet+xml" PartName="/xl/worksheets/sheet38762.xml"/>
  <Override ContentType="application/vnd.openxmlformats-officedocument.spreadsheetml.worksheet+xml" PartName="/xl/worksheets/sheet38763.xml"/>
  <Override ContentType="application/vnd.openxmlformats-officedocument.spreadsheetml.worksheet+xml" PartName="/xl/worksheets/sheet38764.xml"/>
  <Override ContentType="application/vnd.openxmlformats-officedocument.spreadsheetml.worksheet+xml" PartName="/xl/worksheets/sheet38765.xml"/>
  <Override ContentType="application/vnd.openxmlformats-officedocument.spreadsheetml.worksheet+xml" PartName="/xl/worksheets/sheet38766.xml"/>
  <Override ContentType="application/vnd.openxmlformats-officedocument.spreadsheetml.worksheet+xml" PartName="/xl/worksheets/sheet38767.xml"/>
  <Override ContentType="application/vnd.openxmlformats-officedocument.spreadsheetml.worksheet+xml" PartName="/xl/worksheets/sheet38768.xml"/>
  <Override ContentType="application/vnd.openxmlformats-officedocument.spreadsheetml.worksheet+xml" PartName="/xl/worksheets/sheet38769.xml"/>
  <Override ContentType="application/vnd.openxmlformats-officedocument.spreadsheetml.worksheet+xml" PartName="/xl/worksheets/sheet38770.xml"/>
  <Override ContentType="application/vnd.openxmlformats-officedocument.spreadsheetml.worksheet+xml" PartName="/xl/worksheets/sheet38771.xml"/>
  <Override ContentType="application/vnd.openxmlformats-officedocument.spreadsheetml.worksheet+xml" PartName="/xl/worksheets/sheet38772.xml"/>
  <Override ContentType="application/vnd.openxmlformats-officedocument.spreadsheetml.worksheet+xml" PartName="/xl/worksheets/sheet38773.xml"/>
  <Override ContentType="application/vnd.openxmlformats-officedocument.spreadsheetml.worksheet+xml" PartName="/xl/worksheets/sheet38774.xml"/>
  <Override ContentType="application/vnd.openxmlformats-officedocument.spreadsheetml.worksheet+xml" PartName="/xl/worksheets/sheet38775.xml"/>
  <Override ContentType="application/vnd.openxmlformats-officedocument.spreadsheetml.worksheet+xml" PartName="/xl/worksheets/sheet38776.xml"/>
  <Override ContentType="application/vnd.openxmlformats-officedocument.spreadsheetml.worksheet+xml" PartName="/xl/worksheets/sheet38777.xml"/>
  <Override ContentType="application/vnd.openxmlformats-officedocument.spreadsheetml.worksheet+xml" PartName="/xl/worksheets/sheet38778.xml"/>
  <Override ContentType="application/vnd.openxmlformats-officedocument.spreadsheetml.worksheet+xml" PartName="/xl/worksheets/sheet38779.xml"/>
  <Override ContentType="application/vnd.openxmlformats-officedocument.spreadsheetml.worksheet+xml" PartName="/xl/worksheets/sheet38780.xml"/>
  <Override ContentType="application/vnd.openxmlformats-officedocument.spreadsheetml.worksheet+xml" PartName="/xl/worksheets/sheet38781.xml"/>
  <Override ContentType="application/vnd.openxmlformats-officedocument.spreadsheetml.worksheet+xml" PartName="/xl/worksheets/sheet38782.xml"/>
  <Override ContentType="application/vnd.openxmlformats-officedocument.spreadsheetml.worksheet+xml" PartName="/xl/worksheets/sheet38783.xml"/>
  <Override ContentType="application/vnd.openxmlformats-officedocument.spreadsheetml.worksheet+xml" PartName="/xl/worksheets/sheet38784.xml"/>
  <Override ContentType="application/vnd.openxmlformats-officedocument.spreadsheetml.worksheet+xml" PartName="/xl/worksheets/sheet38785.xml"/>
  <Override ContentType="application/vnd.openxmlformats-officedocument.spreadsheetml.worksheet+xml" PartName="/xl/worksheets/sheet38786.xml"/>
  <Override ContentType="application/vnd.openxmlformats-officedocument.spreadsheetml.worksheet+xml" PartName="/xl/worksheets/sheet38787.xml"/>
  <Override ContentType="application/vnd.openxmlformats-officedocument.spreadsheetml.worksheet+xml" PartName="/xl/worksheets/sheet38788.xml"/>
  <Override ContentType="application/vnd.openxmlformats-officedocument.spreadsheetml.worksheet+xml" PartName="/xl/worksheets/sheet38789.xml"/>
  <Override ContentType="application/vnd.openxmlformats-officedocument.spreadsheetml.worksheet+xml" PartName="/xl/worksheets/sheet38790.xml"/>
  <Override ContentType="application/vnd.openxmlformats-officedocument.spreadsheetml.worksheet+xml" PartName="/xl/worksheets/sheet38791.xml"/>
  <Override ContentType="application/vnd.openxmlformats-officedocument.spreadsheetml.worksheet+xml" PartName="/xl/worksheets/sheet38792.xml"/>
  <Override ContentType="application/vnd.openxmlformats-officedocument.spreadsheetml.worksheet+xml" PartName="/xl/worksheets/sheet38793.xml"/>
  <Override ContentType="application/vnd.openxmlformats-officedocument.spreadsheetml.worksheet+xml" PartName="/xl/worksheets/sheet38794.xml"/>
  <Override ContentType="application/vnd.openxmlformats-officedocument.spreadsheetml.worksheet+xml" PartName="/xl/worksheets/sheet38795.xml"/>
  <Override ContentType="application/vnd.openxmlformats-officedocument.spreadsheetml.worksheet+xml" PartName="/xl/worksheets/sheet38796.xml"/>
  <Override ContentType="application/vnd.openxmlformats-officedocument.spreadsheetml.worksheet+xml" PartName="/xl/worksheets/sheet38797.xml"/>
  <Override ContentType="application/vnd.openxmlformats-officedocument.spreadsheetml.worksheet+xml" PartName="/xl/worksheets/sheet38798.xml"/>
  <Override ContentType="application/vnd.openxmlformats-officedocument.spreadsheetml.worksheet+xml" PartName="/xl/worksheets/sheet38799.xml"/>
  <Override ContentType="application/vnd.openxmlformats-officedocument.spreadsheetml.worksheet+xml" PartName="/xl/worksheets/sheet38800.xml"/>
  <Override ContentType="application/vnd.openxmlformats-officedocument.spreadsheetml.worksheet+xml" PartName="/xl/worksheets/sheet38801.xml"/>
  <Override ContentType="application/vnd.openxmlformats-officedocument.spreadsheetml.worksheet+xml" PartName="/xl/worksheets/sheet38802.xml"/>
  <Override ContentType="application/vnd.openxmlformats-officedocument.spreadsheetml.worksheet+xml" PartName="/xl/worksheets/sheet38803.xml"/>
  <Override ContentType="application/vnd.openxmlformats-officedocument.spreadsheetml.worksheet+xml" PartName="/xl/worksheets/sheet38804.xml"/>
  <Override ContentType="application/vnd.openxmlformats-officedocument.spreadsheetml.worksheet+xml" PartName="/xl/worksheets/sheet38805.xml"/>
  <Override ContentType="application/vnd.openxmlformats-officedocument.spreadsheetml.worksheet+xml" PartName="/xl/worksheets/sheet38806.xml"/>
  <Override ContentType="application/vnd.openxmlformats-officedocument.spreadsheetml.worksheet+xml" PartName="/xl/worksheets/sheet38807.xml"/>
  <Override ContentType="application/vnd.openxmlformats-officedocument.spreadsheetml.worksheet+xml" PartName="/xl/worksheets/sheet38808.xml"/>
  <Override ContentType="application/vnd.openxmlformats-officedocument.spreadsheetml.worksheet+xml" PartName="/xl/worksheets/sheet38809.xml"/>
  <Override ContentType="application/vnd.openxmlformats-officedocument.spreadsheetml.worksheet+xml" PartName="/xl/worksheets/sheet38810.xml"/>
  <Override ContentType="application/vnd.openxmlformats-officedocument.spreadsheetml.worksheet+xml" PartName="/xl/worksheets/sheet38811.xml"/>
  <Override ContentType="application/vnd.openxmlformats-officedocument.spreadsheetml.worksheet+xml" PartName="/xl/worksheets/sheet38812.xml"/>
  <Override ContentType="application/vnd.openxmlformats-officedocument.spreadsheetml.worksheet+xml" PartName="/xl/worksheets/sheet38813.xml"/>
  <Override ContentType="application/vnd.openxmlformats-officedocument.spreadsheetml.worksheet+xml" PartName="/xl/worksheets/sheet38814.xml"/>
  <Override ContentType="application/vnd.openxmlformats-officedocument.spreadsheetml.worksheet+xml" PartName="/xl/worksheets/sheet38815.xml"/>
  <Override ContentType="application/vnd.openxmlformats-officedocument.spreadsheetml.worksheet+xml" PartName="/xl/worksheets/sheet38816.xml"/>
  <Override ContentType="application/vnd.openxmlformats-officedocument.spreadsheetml.worksheet+xml" PartName="/xl/worksheets/sheet38817.xml"/>
  <Override ContentType="application/vnd.openxmlformats-officedocument.spreadsheetml.worksheet+xml" PartName="/xl/worksheets/sheet38818.xml"/>
  <Override ContentType="application/vnd.openxmlformats-officedocument.spreadsheetml.worksheet+xml" PartName="/xl/worksheets/sheet38819.xml"/>
  <Override ContentType="application/vnd.openxmlformats-officedocument.spreadsheetml.worksheet+xml" PartName="/xl/worksheets/sheet38820.xml"/>
  <Override ContentType="application/vnd.openxmlformats-officedocument.spreadsheetml.worksheet+xml" PartName="/xl/worksheets/sheet38821.xml"/>
  <Override ContentType="application/vnd.openxmlformats-officedocument.spreadsheetml.worksheet+xml" PartName="/xl/worksheets/sheet38822.xml"/>
  <Override ContentType="application/vnd.openxmlformats-officedocument.spreadsheetml.worksheet+xml" PartName="/xl/worksheets/sheet38823.xml"/>
  <Override ContentType="application/vnd.openxmlformats-officedocument.spreadsheetml.worksheet+xml" PartName="/xl/worksheets/sheet38824.xml"/>
  <Override ContentType="application/vnd.openxmlformats-officedocument.spreadsheetml.worksheet+xml" PartName="/xl/worksheets/sheet38825.xml"/>
  <Override ContentType="application/vnd.openxmlformats-officedocument.spreadsheetml.worksheet+xml" PartName="/xl/worksheets/sheet38826.xml"/>
  <Override ContentType="application/vnd.openxmlformats-officedocument.spreadsheetml.worksheet+xml" PartName="/xl/worksheets/sheet38827.xml"/>
  <Override ContentType="application/vnd.openxmlformats-officedocument.spreadsheetml.worksheet+xml" PartName="/xl/worksheets/sheet38828.xml"/>
  <Override ContentType="application/vnd.openxmlformats-officedocument.spreadsheetml.worksheet+xml" PartName="/xl/worksheets/sheet38829.xml"/>
  <Override ContentType="application/vnd.openxmlformats-officedocument.spreadsheetml.worksheet+xml" PartName="/xl/worksheets/sheet38830.xml"/>
  <Override ContentType="application/vnd.openxmlformats-officedocument.spreadsheetml.worksheet+xml" PartName="/xl/worksheets/sheet38831.xml"/>
  <Override ContentType="application/vnd.openxmlformats-officedocument.spreadsheetml.worksheet+xml" PartName="/xl/worksheets/sheet38832.xml"/>
  <Override ContentType="application/vnd.openxmlformats-officedocument.spreadsheetml.worksheet+xml" PartName="/xl/worksheets/sheet38833.xml"/>
  <Override ContentType="application/vnd.openxmlformats-officedocument.spreadsheetml.worksheet+xml" PartName="/xl/worksheets/sheet38834.xml"/>
  <Override ContentType="application/vnd.openxmlformats-officedocument.spreadsheetml.worksheet+xml" PartName="/xl/worksheets/sheet38835.xml"/>
  <Override ContentType="application/vnd.openxmlformats-officedocument.spreadsheetml.worksheet+xml" PartName="/xl/worksheets/sheet38836.xml"/>
  <Override ContentType="application/vnd.openxmlformats-officedocument.spreadsheetml.worksheet+xml" PartName="/xl/worksheets/sheet38837.xml"/>
  <Override ContentType="application/vnd.openxmlformats-officedocument.spreadsheetml.worksheet+xml" PartName="/xl/worksheets/sheet38838.xml"/>
  <Override ContentType="application/vnd.openxmlformats-officedocument.spreadsheetml.worksheet+xml" PartName="/xl/worksheets/sheet38839.xml"/>
  <Override ContentType="application/vnd.openxmlformats-officedocument.spreadsheetml.worksheet+xml" PartName="/xl/worksheets/sheet38840.xml"/>
  <Override ContentType="application/vnd.openxmlformats-officedocument.spreadsheetml.worksheet+xml" PartName="/xl/worksheets/sheet38841.xml"/>
  <Override ContentType="application/vnd.openxmlformats-officedocument.spreadsheetml.worksheet+xml" PartName="/xl/worksheets/sheet38842.xml"/>
  <Override ContentType="application/vnd.openxmlformats-officedocument.spreadsheetml.worksheet+xml" PartName="/xl/worksheets/sheet38843.xml"/>
  <Override ContentType="application/vnd.openxmlformats-officedocument.spreadsheetml.worksheet+xml" PartName="/xl/worksheets/sheet38844.xml"/>
  <Override ContentType="application/vnd.openxmlformats-officedocument.spreadsheetml.worksheet+xml" PartName="/xl/worksheets/sheet38845.xml"/>
  <Override ContentType="application/vnd.openxmlformats-officedocument.spreadsheetml.worksheet+xml" PartName="/xl/worksheets/sheet38846.xml"/>
  <Override ContentType="application/vnd.openxmlformats-officedocument.spreadsheetml.worksheet+xml" PartName="/xl/worksheets/sheet38847.xml"/>
  <Override ContentType="application/vnd.openxmlformats-officedocument.spreadsheetml.worksheet+xml" PartName="/xl/worksheets/sheet38848.xml"/>
  <Override ContentType="application/vnd.openxmlformats-officedocument.spreadsheetml.worksheet+xml" PartName="/xl/worksheets/sheet38849.xml"/>
  <Override ContentType="application/vnd.openxmlformats-officedocument.spreadsheetml.worksheet+xml" PartName="/xl/worksheets/sheet38850.xml"/>
  <Override ContentType="application/vnd.openxmlformats-officedocument.spreadsheetml.worksheet+xml" PartName="/xl/worksheets/sheet38851.xml"/>
  <Override ContentType="application/vnd.openxmlformats-officedocument.spreadsheetml.worksheet+xml" PartName="/xl/worksheets/sheet38852.xml"/>
  <Override ContentType="application/vnd.openxmlformats-officedocument.spreadsheetml.worksheet+xml" PartName="/xl/worksheets/sheet38853.xml"/>
  <Override ContentType="application/vnd.openxmlformats-officedocument.spreadsheetml.worksheet+xml" PartName="/xl/worksheets/sheet38854.xml"/>
  <Override ContentType="application/vnd.openxmlformats-officedocument.spreadsheetml.worksheet+xml" PartName="/xl/worksheets/sheet38855.xml"/>
  <Override ContentType="application/vnd.openxmlformats-officedocument.spreadsheetml.worksheet+xml" PartName="/xl/worksheets/sheet38856.xml"/>
  <Override ContentType="application/vnd.openxmlformats-officedocument.spreadsheetml.worksheet+xml" PartName="/xl/worksheets/sheet38857.xml"/>
  <Override ContentType="application/vnd.openxmlformats-officedocument.spreadsheetml.worksheet+xml" PartName="/xl/worksheets/sheet38858.xml"/>
  <Override ContentType="application/vnd.openxmlformats-officedocument.spreadsheetml.worksheet+xml" PartName="/xl/worksheets/sheet38859.xml"/>
  <Override ContentType="application/vnd.openxmlformats-officedocument.spreadsheetml.worksheet+xml" PartName="/xl/worksheets/sheet38860.xml"/>
  <Override ContentType="application/vnd.openxmlformats-officedocument.spreadsheetml.worksheet+xml" PartName="/xl/worksheets/sheet38861.xml"/>
  <Override ContentType="application/vnd.openxmlformats-officedocument.spreadsheetml.worksheet+xml" PartName="/xl/worksheets/sheet38862.xml"/>
  <Override ContentType="application/vnd.openxmlformats-officedocument.spreadsheetml.worksheet+xml" PartName="/xl/worksheets/sheet38863.xml"/>
  <Override ContentType="application/vnd.openxmlformats-officedocument.spreadsheetml.worksheet+xml" PartName="/xl/worksheets/sheet38864.xml"/>
  <Override ContentType="application/vnd.openxmlformats-officedocument.spreadsheetml.worksheet+xml" PartName="/xl/worksheets/sheet38865.xml"/>
  <Override ContentType="application/vnd.openxmlformats-officedocument.spreadsheetml.worksheet+xml" PartName="/xl/worksheets/sheet38866.xml"/>
  <Override ContentType="application/vnd.openxmlformats-officedocument.spreadsheetml.worksheet+xml" PartName="/xl/worksheets/sheet38867.xml"/>
  <Override ContentType="application/vnd.openxmlformats-officedocument.spreadsheetml.worksheet+xml" PartName="/xl/worksheets/sheet38868.xml"/>
  <Override ContentType="application/vnd.openxmlformats-officedocument.spreadsheetml.worksheet+xml" PartName="/xl/worksheets/sheet38869.xml"/>
  <Override ContentType="application/vnd.openxmlformats-officedocument.spreadsheetml.worksheet+xml" PartName="/xl/worksheets/sheet38870.xml"/>
  <Override ContentType="application/vnd.openxmlformats-officedocument.spreadsheetml.worksheet+xml" PartName="/xl/worksheets/sheet38871.xml"/>
  <Override ContentType="application/vnd.openxmlformats-officedocument.spreadsheetml.worksheet+xml" PartName="/xl/worksheets/sheet38872.xml"/>
  <Override ContentType="application/vnd.openxmlformats-officedocument.spreadsheetml.worksheet+xml" PartName="/xl/worksheets/sheet38873.xml"/>
  <Override ContentType="application/vnd.openxmlformats-officedocument.spreadsheetml.worksheet+xml" PartName="/xl/worksheets/sheet38874.xml"/>
  <Override ContentType="application/vnd.openxmlformats-officedocument.spreadsheetml.worksheet+xml" PartName="/xl/worksheets/sheet38875.xml"/>
  <Override ContentType="application/vnd.openxmlformats-officedocument.spreadsheetml.worksheet+xml" PartName="/xl/worksheets/sheet38876.xml"/>
  <Override ContentType="application/vnd.openxmlformats-officedocument.spreadsheetml.worksheet+xml" PartName="/xl/worksheets/sheet38877.xml"/>
  <Override ContentType="application/vnd.openxmlformats-officedocument.spreadsheetml.worksheet+xml" PartName="/xl/worksheets/sheet38878.xml"/>
  <Override ContentType="application/vnd.openxmlformats-officedocument.spreadsheetml.worksheet+xml" PartName="/xl/worksheets/sheet38879.xml"/>
  <Override ContentType="application/vnd.openxmlformats-officedocument.spreadsheetml.worksheet+xml" PartName="/xl/worksheets/sheet38880.xml"/>
  <Override ContentType="application/vnd.openxmlformats-officedocument.spreadsheetml.worksheet+xml" PartName="/xl/worksheets/sheet38881.xml"/>
  <Override ContentType="application/vnd.openxmlformats-officedocument.spreadsheetml.worksheet+xml" PartName="/xl/worksheets/sheet38882.xml"/>
  <Override ContentType="application/vnd.openxmlformats-officedocument.spreadsheetml.worksheet+xml" PartName="/xl/worksheets/sheet38883.xml"/>
  <Override ContentType="application/vnd.openxmlformats-officedocument.spreadsheetml.worksheet+xml" PartName="/xl/worksheets/sheet38884.xml"/>
  <Override ContentType="application/vnd.openxmlformats-officedocument.spreadsheetml.worksheet+xml" PartName="/xl/worksheets/sheet38885.xml"/>
  <Override ContentType="application/vnd.openxmlformats-officedocument.spreadsheetml.worksheet+xml" PartName="/xl/worksheets/sheet38886.xml"/>
  <Override ContentType="application/vnd.openxmlformats-officedocument.spreadsheetml.worksheet+xml" PartName="/xl/worksheets/sheet38887.xml"/>
  <Override ContentType="application/vnd.openxmlformats-officedocument.spreadsheetml.worksheet+xml" PartName="/xl/worksheets/sheet38888.xml"/>
  <Override ContentType="application/vnd.openxmlformats-officedocument.spreadsheetml.worksheet+xml" PartName="/xl/worksheets/sheet38889.xml"/>
  <Override ContentType="application/vnd.openxmlformats-officedocument.spreadsheetml.worksheet+xml" PartName="/xl/worksheets/sheet38890.xml"/>
  <Override ContentType="application/vnd.openxmlformats-officedocument.spreadsheetml.worksheet+xml" PartName="/xl/worksheets/sheet38891.xml"/>
  <Override ContentType="application/vnd.openxmlformats-officedocument.spreadsheetml.worksheet+xml" PartName="/xl/worksheets/sheet38892.xml"/>
  <Override ContentType="application/vnd.openxmlformats-officedocument.spreadsheetml.worksheet+xml" PartName="/xl/worksheets/sheet38893.xml"/>
  <Override ContentType="application/vnd.openxmlformats-officedocument.spreadsheetml.worksheet+xml" PartName="/xl/worksheets/sheet38894.xml"/>
  <Override ContentType="application/vnd.openxmlformats-officedocument.spreadsheetml.worksheet+xml" PartName="/xl/worksheets/sheet38895.xml"/>
  <Override ContentType="application/vnd.openxmlformats-officedocument.spreadsheetml.worksheet+xml" PartName="/xl/worksheets/sheet38896.xml"/>
  <Override ContentType="application/vnd.openxmlformats-officedocument.spreadsheetml.worksheet+xml" PartName="/xl/worksheets/sheet38897.xml"/>
  <Override ContentType="application/vnd.openxmlformats-officedocument.spreadsheetml.worksheet+xml" PartName="/xl/worksheets/sheet38898.xml"/>
  <Override ContentType="application/vnd.openxmlformats-officedocument.spreadsheetml.worksheet+xml" PartName="/xl/worksheets/sheet38899.xml"/>
  <Override ContentType="application/vnd.openxmlformats-officedocument.spreadsheetml.worksheet+xml" PartName="/xl/worksheets/sheet38900.xml"/>
  <Override ContentType="application/vnd.openxmlformats-officedocument.spreadsheetml.worksheet+xml" PartName="/xl/worksheets/sheet38901.xml"/>
  <Override ContentType="application/vnd.openxmlformats-officedocument.spreadsheetml.worksheet+xml" PartName="/xl/worksheets/sheet38902.xml"/>
  <Override ContentType="application/vnd.openxmlformats-officedocument.spreadsheetml.worksheet+xml" PartName="/xl/worksheets/sheet38903.xml"/>
  <Override ContentType="application/vnd.openxmlformats-officedocument.spreadsheetml.worksheet+xml" PartName="/xl/worksheets/sheet38904.xml"/>
  <Override ContentType="application/vnd.openxmlformats-officedocument.spreadsheetml.worksheet+xml" PartName="/xl/worksheets/sheet38905.xml"/>
  <Override ContentType="application/vnd.openxmlformats-officedocument.spreadsheetml.worksheet+xml" PartName="/xl/worksheets/sheet38906.xml"/>
  <Override ContentType="application/vnd.openxmlformats-officedocument.spreadsheetml.worksheet+xml" PartName="/xl/worksheets/sheet38907.xml"/>
  <Override ContentType="application/vnd.openxmlformats-officedocument.spreadsheetml.worksheet+xml" PartName="/xl/worksheets/sheet38908.xml"/>
  <Override ContentType="application/vnd.openxmlformats-officedocument.spreadsheetml.worksheet+xml" PartName="/xl/worksheets/sheet38909.xml"/>
  <Override ContentType="application/vnd.openxmlformats-officedocument.spreadsheetml.worksheet+xml" PartName="/xl/worksheets/sheet38910.xml"/>
  <Override ContentType="application/vnd.openxmlformats-officedocument.spreadsheetml.worksheet+xml" PartName="/xl/worksheets/sheet38911.xml"/>
  <Override ContentType="application/vnd.openxmlformats-officedocument.spreadsheetml.worksheet+xml" PartName="/xl/worksheets/sheet38912.xml"/>
  <Override ContentType="application/vnd.openxmlformats-officedocument.spreadsheetml.worksheet+xml" PartName="/xl/worksheets/sheet38913.xml"/>
  <Override ContentType="application/vnd.openxmlformats-officedocument.spreadsheetml.worksheet+xml" PartName="/xl/worksheets/sheet38914.xml"/>
  <Override ContentType="application/vnd.openxmlformats-officedocument.spreadsheetml.worksheet+xml" PartName="/xl/worksheets/sheet38915.xml"/>
  <Override ContentType="application/vnd.openxmlformats-officedocument.spreadsheetml.worksheet+xml" PartName="/xl/worksheets/sheet38916.xml"/>
  <Override ContentType="application/vnd.openxmlformats-officedocument.spreadsheetml.worksheet+xml" PartName="/xl/worksheets/sheet38917.xml"/>
  <Override ContentType="application/vnd.openxmlformats-officedocument.spreadsheetml.worksheet+xml" PartName="/xl/worksheets/sheet38918.xml"/>
  <Override ContentType="application/vnd.openxmlformats-officedocument.spreadsheetml.worksheet+xml" PartName="/xl/worksheets/sheet38919.xml"/>
  <Override ContentType="application/vnd.openxmlformats-officedocument.spreadsheetml.worksheet+xml" PartName="/xl/worksheets/sheet38920.xml"/>
  <Override ContentType="application/vnd.openxmlformats-officedocument.spreadsheetml.worksheet+xml" PartName="/xl/worksheets/sheet38921.xml"/>
  <Override ContentType="application/vnd.openxmlformats-officedocument.spreadsheetml.worksheet+xml" PartName="/xl/worksheets/sheet38922.xml"/>
  <Override ContentType="application/vnd.openxmlformats-officedocument.spreadsheetml.worksheet+xml" PartName="/xl/worksheets/sheet38923.xml"/>
  <Override ContentType="application/vnd.openxmlformats-officedocument.spreadsheetml.worksheet+xml" PartName="/xl/worksheets/sheet38924.xml"/>
  <Override ContentType="application/vnd.openxmlformats-officedocument.spreadsheetml.worksheet+xml" PartName="/xl/worksheets/sheet38925.xml"/>
  <Override ContentType="application/vnd.openxmlformats-officedocument.spreadsheetml.worksheet+xml" PartName="/xl/worksheets/sheet38926.xml"/>
  <Override ContentType="application/vnd.openxmlformats-officedocument.spreadsheetml.worksheet+xml" PartName="/xl/worksheets/sheet38927.xml"/>
  <Override ContentType="application/vnd.openxmlformats-officedocument.spreadsheetml.worksheet+xml" PartName="/xl/worksheets/sheet38928.xml"/>
  <Override ContentType="application/vnd.openxmlformats-officedocument.spreadsheetml.worksheet+xml" PartName="/xl/worksheets/sheet38929.xml"/>
  <Override ContentType="application/vnd.openxmlformats-officedocument.spreadsheetml.worksheet+xml" PartName="/xl/worksheets/sheet38930.xml"/>
  <Override ContentType="application/vnd.openxmlformats-officedocument.spreadsheetml.worksheet+xml" PartName="/xl/worksheets/sheet38931.xml"/>
  <Override ContentType="application/vnd.openxmlformats-officedocument.spreadsheetml.worksheet+xml" PartName="/xl/worksheets/sheet38932.xml"/>
  <Override ContentType="application/vnd.openxmlformats-officedocument.spreadsheetml.worksheet+xml" PartName="/xl/worksheets/sheet38933.xml"/>
  <Override ContentType="application/vnd.openxmlformats-officedocument.spreadsheetml.worksheet+xml" PartName="/xl/worksheets/sheet38934.xml"/>
  <Override ContentType="application/vnd.openxmlformats-officedocument.spreadsheetml.worksheet+xml" PartName="/xl/worksheets/sheet38935.xml"/>
  <Override ContentType="application/vnd.openxmlformats-officedocument.spreadsheetml.worksheet+xml" PartName="/xl/worksheets/sheet38936.xml"/>
  <Override ContentType="application/vnd.openxmlformats-officedocument.spreadsheetml.worksheet+xml" PartName="/xl/worksheets/sheet38937.xml"/>
  <Override ContentType="application/vnd.openxmlformats-officedocument.spreadsheetml.worksheet+xml" PartName="/xl/worksheets/sheet38938.xml"/>
  <Override ContentType="application/vnd.openxmlformats-officedocument.spreadsheetml.worksheet+xml" PartName="/xl/worksheets/sheet38939.xml"/>
  <Override ContentType="application/vnd.openxmlformats-officedocument.spreadsheetml.worksheet+xml" PartName="/xl/worksheets/sheet38940.xml"/>
  <Override ContentType="application/vnd.openxmlformats-officedocument.spreadsheetml.worksheet+xml" PartName="/xl/worksheets/sheet38941.xml"/>
  <Override ContentType="application/vnd.openxmlformats-officedocument.spreadsheetml.worksheet+xml" PartName="/xl/worksheets/sheet38942.xml"/>
  <Override ContentType="application/vnd.openxmlformats-officedocument.spreadsheetml.worksheet+xml" PartName="/xl/worksheets/sheet38943.xml"/>
  <Override ContentType="application/vnd.openxmlformats-officedocument.spreadsheetml.worksheet+xml" PartName="/xl/worksheets/sheet38944.xml"/>
  <Override ContentType="application/vnd.openxmlformats-officedocument.spreadsheetml.worksheet+xml" PartName="/xl/worksheets/sheet38945.xml"/>
  <Override ContentType="application/vnd.openxmlformats-officedocument.spreadsheetml.worksheet+xml" PartName="/xl/worksheets/sheet38946.xml"/>
  <Override ContentType="application/vnd.openxmlformats-officedocument.spreadsheetml.worksheet+xml" PartName="/xl/worksheets/sheet38947.xml"/>
  <Override ContentType="application/vnd.openxmlformats-officedocument.spreadsheetml.worksheet+xml" PartName="/xl/worksheets/sheet38948.xml"/>
  <Override ContentType="application/vnd.openxmlformats-officedocument.spreadsheetml.worksheet+xml" PartName="/xl/worksheets/sheet38949.xml"/>
  <Override ContentType="application/vnd.openxmlformats-officedocument.spreadsheetml.worksheet+xml" PartName="/xl/worksheets/sheet38950.xml"/>
  <Override ContentType="application/vnd.openxmlformats-officedocument.spreadsheetml.worksheet+xml" PartName="/xl/worksheets/sheet38951.xml"/>
  <Override ContentType="application/vnd.openxmlformats-officedocument.spreadsheetml.worksheet+xml" PartName="/xl/worksheets/sheet38952.xml"/>
  <Override ContentType="application/vnd.openxmlformats-officedocument.spreadsheetml.worksheet+xml" PartName="/xl/worksheets/sheet38953.xml"/>
  <Override ContentType="application/vnd.openxmlformats-officedocument.spreadsheetml.worksheet+xml" PartName="/xl/worksheets/sheet38954.xml"/>
  <Override ContentType="application/vnd.openxmlformats-officedocument.spreadsheetml.worksheet+xml" PartName="/xl/worksheets/sheet38955.xml"/>
  <Override ContentType="application/vnd.openxmlformats-officedocument.spreadsheetml.worksheet+xml" PartName="/xl/worksheets/sheet38956.xml"/>
  <Override ContentType="application/vnd.openxmlformats-officedocument.spreadsheetml.worksheet+xml" PartName="/xl/worksheets/sheet38957.xml"/>
  <Override ContentType="application/vnd.openxmlformats-officedocument.spreadsheetml.worksheet+xml" PartName="/xl/worksheets/sheet38958.xml"/>
  <Override ContentType="application/vnd.openxmlformats-officedocument.spreadsheetml.worksheet+xml" PartName="/xl/worksheets/sheet38959.xml"/>
  <Override ContentType="application/vnd.openxmlformats-officedocument.spreadsheetml.worksheet+xml" PartName="/xl/worksheets/sheet38960.xml"/>
  <Override ContentType="application/vnd.openxmlformats-officedocument.spreadsheetml.worksheet+xml" PartName="/xl/worksheets/sheet38961.xml"/>
  <Override ContentType="application/vnd.openxmlformats-officedocument.spreadsheetml.worksheet+xml" PartName="/xl/worksheets/sheet38962.xml"/>
  <Override ContentType="application/vnd.openxmlformats-officedocument.spreadsheetml.worksheet+xml" PartName="/xl/worksheets/sheet38963.xml"/>
  <Override ContentType="application/vnd.openxmlformats-officedocument.spreadsheetml.worksheet+xml" PartName="/xl/worksheets/sheet38964.xml"/>
  <Override ContentType="application/vnd.openxmlformats-officedocument.spreadsheetml.worksheet+xml" PartName="/xl/worksheets/sheet38965.xml"/>
  <Override ContentType="application/vnd.openxmlformats-officedocument.spreadsheetml.worksheet+xml" PartName="/xl/worksheets/sheet38966.xml"/>
  <Override ContentType="application/vnd.openxmlformats-officedocument.spreadsheetml.worksheet+xml" PartName="/xl/worksheets/sheet38967.xml"/>
  <Override ContentType="application/vnd.openxmlformats-officedocument.spreadsheetml.worksheet+xml" PartName="/xl/worksheets/sheet38968.xml"/>
  <Override ContentType="application/vnd.openxmlformats-officedocument.spreadsheetml.worksheet+xml" PartName="/xl/worksheets/sheet38969.xml"/>
  <Override ContentType="application/vnd.openxmlformats-officedocument.spreadsheetml.worksheet+xml" PartName="/xl/worksheets/sheet38970.xml"/>
  <Override ContentType="application/vnd.openxmlformats-officedocument.spreadsheetml.worksheet+xml" PartName="/xl/worksheets/sheet38971.xml"/>
  <Override ContentType="application/vnd.openxmlformats-officedocument.spreadsheetml.worksheet+xml" PartName="/xl/worksheets/sheet38972.xml"/>
  <Override ContentType="application/vnd.openxmlformats-officedocument.spreadsheetml.worksheet+xml" PartName="/xl/worksheets/sheet38973.xml"/>
  <Override ContentType="application/vnd.openxmlformats-officedocument.spreadsheetml.worksheet+xml" PartName="/xl/worksheets/sheet38974.xml"/>
  <Override ContentType="application/vnd.openxmlformats-officedocument.spreadsheetml.worksheet+xml" PartName="/xl/worksheets/sheet38975.xml"/>
  <Override ContentType="application/vnd.openxmlformats-officedocument.spreadsheetml.worksheet+xml" PartName="/xl/worksheets/sheet38976.xml"/>
  <Override ContentType="application/vnd.openxmlformats-officedocument.spreadsheetml.worksheet+xml" PartName="/xl/worksheets/sheet38977.xml"/>
  <Override ContentType="application/vnd.openxmlformats-officedocument.spreadsheetml.worksheet+xml" PartName="/xl/worksheets/sheet38978.xml"/>
  <Override ContentType="application/vnd.openxmlformats-officedocument.spreadsheetml.worksheet+xml" PartName="/xl/worksheets/sheet38979.xml"/>
  <Override ContentType="application/vnd.openxmlformats-officedocument.spreadsheetml.worksheet+xml" PartName="/xl/worksheets/sheet38980.xml"/>
  <Override ContentType="application/vnd.openxmlformats-officedocument.spreadsheetml.worksheet+xml" PartName="/xl/worksheets/sheet38981.xml"/>
  <Override ContentType="application/vnd.openxmlformats-officedocument.spreadsheetml.worksheet+xml" PartName="/xl/worksheets/sheet38982.xml"/>
  <Override ContentType="application/vnd.openxmlformats-officedocument.spreadsheetml.worksheet+xml" PartName="/xl/worksheets/sheet38983.xml"/>
  <Override ContentType="application/vnd.openxmlformats-officedocument.spreadsheetml.worksheet+xml" PartName="/xl/worksheets/sheet38984.xml"/>
  <Override ContentType="application/vnd.openxmlformats-officedocument.spreadsheetml.worksheet+xml" PartName="/xl/worksheets/sheet38985.xml"/>
  <Override ContentType="application/vnd.openxmlformats-officedocument.spreadsheetml.worksheet+xml" PartName="/xl/worksheets/sheet38986.xml"/>
  <Override ContentType="application/vnd.openxmlformats-officedocument.spreadsheetml.worksheet+xml" PartName="/xl/worksheets/sheet38987.xml"/>
  <Override ContentType="application/vnd.openxmlformats-officedocument.spreadsheetml.worksheet+xml" PartName="/xl/worksheets/sheet38988.xml"/>
  <Override ContentType="application/vnd.openxmlformats-officedocument.spreadsheetml.worksheet+xml" PartName="/xl/worksheets/sheet38989.xml"/>
  <Override ContentType="application/vnd.openxmlformats-officedocument.spreadsheetml.worksheet+xml" PartName="/xl/worksheets/sheet38990.xml"/>
  <Override ContentType="application/vnd.openxmlformats-officedocument.spreadsheetml.worksheet+xml" PartName="/xl/worksheets/sheet38991.xml"/>
  <Override ContentType="application/vnd.openxmlformats-officedocument.spreadsheetml.worksheet+xml" PartName="/xl/worksheets/sheet38992.xml"/>
  <Override ContentType="application/vnd.openxmlformats-officedocument.spreadsheetml.worksheet+xml" PartName="/xl/worksheets/sheet38993.xml"/>
  <Override ContentType="application/vnd.openxmlformats-officedocument.spreadsheetml.worksheet+xml" PartName="/xl/worksheets/sheet38994.xml"/>
  <Override ContentType="application/vnd.openxmlformats-officedocument.spreadsheetml.worksheet+xml" PartName="/xl/worksheets/sheet38995.xml"/>
  <Override ContentType="application/vnd.openxmlformats-officedocument.spreadsheetml.worksheet+xml" PartName="/xl/worksheets/sheet38996.xml"/>
  <Override ContentType="application/vnd.openxmlformats-officedocument.spreadsheetml.worksheet+xml" PartName="/xl/worksheets/sheet38997.xml"/>
  <Override ContentType="application/vnd.openxmlformats-officedocument.spreadsheetml.worksheet+xml" PartName="/xl/worksheets/sheet38998.xml"/>
  <Override ContentType="application/vnd.openxmlformats-officedocument.spreadsheetml.worksheet+xml" PartName="/xl/worksheets/sheet38999.xml"/>
  <Override ContentType="application/vnd.openxmlformats-officedocument.spreadsheetml.worksheet+xml" PartName="/xl/worksheets/sheet39000.xml"/>
  <Override ContentType="application/vnd.openxmlformats-officedocument.spreadsheetml.worksheet+xml" PartName="/xl/worksheets/sheet39001.xml"/>
  <Override ContentType="application/vnd.openxmlformats-officedocument.spreadsheetml.worksheet+xml" PartName="/xl/worksheets/sheet39002.xml"/>
  <Override ContentType="application/vnd.openxmlformats-officedocument.spreadsheetml.worksheet+xml" PartName="/xl/worksheets/sheet39003.xml"/>
  <Override ContentType="application/vnd.openxmlformats-officedocument.spreadsheetml.worksheet+xml" PartName="/xl/worksheets/sheet39004.xml"/>
  <Override ContentType="application/vnd.openxmlformats-officedocument.spreadsheetml.worksheet+xml" PartName="/xl/worksheets/sheet39005.xml"/>
  <Override ContentType="application/vnd.openxmlformats-officedocument.spreadsheetml.worksheet+xml" PartName="/xl/worksheets/sheet39006.xml"/>
  <Override ContentType="application/vnd.openxmlformats-officedocument.spreadsheetml.worksheet+xml" PartName="/xl/worksheets/sheet39007.xml"/>
  <Override ContentType="application/vnd.openxmlformats-officedocument.spreadsheetml.worksheet+xml" PartName="/xl/worksheets/sheet39008.xml"/>
  <Override ContentType="application/vnd.openxmlformats-officedocument.spreadsheetml.worksheet+xml" PartName="/xl/worksheets/sheet39009.xml"/>
  <Override ContentType="application/vnd.openxmlformats-officedocument.spreadsheetml.worksheet+xml" PartName="/xl/worksheets/sheet39010.xml"/>
  <Override ContentType="application/vnd.openxmlformats-officedocument.spreadsheetml.worksheet+xml" PartName="/xl/worksheets/sheet39011.xml"/>
  <Override ContentType="application/vnd.openxmlformats-officedocument.spreadsheetml.worksheet+xml" PartName="/xl/worksheets/sheet39012.xml"/>
  <Override ContentType="application/vnd.openxmlformats-officedocument.spreadsheetml.worksheet+xml" PartName="/xl/worksheets/sheet39013.xml"/>
  <Override ContentType="application/vnd.openxmlformats-officedocument.spreadsheetml.worksheet+xml" PartName="/xl/worksheets/sheet39014.xml"/>
  <Override ContentType="application/vnd.openxmlformats-officedocument.spreadsheetml.worksheet+xml" PartName="/xl/worksheets/sheet39015.xml"/>
  <Override ContentType="application/vnd.openxmlformats-officedocument.spreadsheetml.worksheet+xml" PartName="/xl/worksheets/sheet39016.xml"/>
  <Override ContentType="application/vnd.openxmlformats-officedocument.spreadsheetml.worksheet+xml" PartName="/xl/worksheets/sheet39017.xml"/>
  <Override ContentType="application/vnd.openxmlformats-officedocument.spreadsheetml.worksheet+xml" PartName="/xl/worksheets/sheet39018.xml"/>
  <Override ContentType="application/vnd.openxmlformats-officedocument.spreadsheetml.worksheet+xml" PartName="/xl/worksheets/sheet39019.xml"/>
  <Override ContentType="application/vnd.openxmlformats-officedocument.spreadsheetml.worksheet+xml" PartName="/xl/worksheets/sheet39020.xml"/>
  <Override ContentType="application/vnd.openxmlformats-officedocument.spreadsheetml.worksheet+xml" PartName="/xl/worksheets/sheet39021.xml"/>
  <Override ContentType="application/vnd.openxmlformats-officedocument.spreadsheetml.worksheet+xml" PartName="/xl/worksheets/sheet39022.xml"/>
  <Override ContentType="application/vnd.openxmlformats-officedocument.spreadsheetml.worksheet+xml" PartName="/xl/worksheets/sheet39023.xml"/>
  <Override ContentType="application/vnd.openxmlformats-officedocument.spreadsheetml.worksheet+xml" PartName="/xl/worksheets/sheet39024.xml"/>
  <Override ContentType="application/vnd.openxmlformats-officedocument.spreadsheetml.worksheet+xml" PartName="/xl/worksheets/sheet39025.xml"/>
  <Override ContentType="application/vnd.openxmlformats-officedocument.spreadsheetml.worksheet+xml" PartName="/xl/worksheets/sheet39026.xml"/>
  <Override ContentType="application/vnd.openxmlformats-officedocument.spreadsheetml.worksheet+xml" PartName="/xl/worksheets/sheet39027.xml"/>
  <Override ContentType="application/vnd.openxmlformats-officedocument.spreadsheetml.worksheet+xml" PartName="/xl/worksheets/sheet39028.xml"/>
  <Override ContentType="application/vnd.openxmlformats-officedocument.spreadsheetml.worksheet+xml" PartName="/xl/worksheets/sheet39029.xml"/>
  <Override ContentType="application/vnd.openxmlformats-officedocument.spreadsheetml.worksheet+xml" PartName="/xl/worksheets/sheet39030.xml"/>
  <Override ContentType="application/vnd.openxmlformats-officedocument.spreadsheetml.worksheet+xml" PartName="/xl/worksheets/sheet39031.xml"/>
  <Override ContentType="application/vnd.openxmlformats-officedocument.spreadsheetml.worksheet+xml" PartName="/xl/worksheets/sheet39032.xml"/>
  <Override ContentType="application/vnd.openxmlformats-officedocument.spreadsheetml.worksheet+xml" PartName="/xl/worksheets/sheet39033.xml"/>
  <Override ContentType="application/vnd.openxmlformats-officedocument.spreadsheetml.worksheet+xml" PartName="/xl/worksheets/sheet39034.xml"/>
  <Override ContentType="application/vnd.openxmlformats-officedocument.spreadsheetml.worksheet+xml" PartName="/xl/worksheets/sheet39035.xml"/>
  <Override ContentType="application/vnd.openxmlformats-officedocument.spreadsheetml.worksheet+xml" PartName="/xl/worksheets/sheet39036.xml"/>
  <Override ContentType="application/vnd.openxmlformats-officedocument.spreadsheetml.worksheet+xml" PartName="/xl/worksheets/sheet39037.xml"/>
  <Override ContentType="application/vnd.openxmlformats-officedocument.spreadsheetml.worksheet+xml" PartName="/xl/worksheets/sheet39038.xml"/>
  <Override ContentType="application/vnd.openxmlformats-officedocument.spreadsheetml.worksheet+xml" PartName="/xl/worksheets/sheet39039.xml"/>
  <Override ContentType="application/vnd.openxmlformats-officedocument.spreadsheetml.worksheet+xml" PartName="/xl/worksheets/sheet39040.xml"/>
  <Override ContentType="application/vnd.openxmlformats-officedocument.spreadsheetml.worksheet+xml" PartName="/xl/worksheets/sheet39041.xml"/>
  <Override ContentType="application/vnd.openxmlformats-officedocument.spreadsheetml.worksheet+xml" PartName="/xl/worksheets/sheet39042.xml"/>
  <Override ContentType="application/vnd.openxmlformats-officedocument.spreadsheetml.worksheet+xml" PartName="/xl/worksheets/sheet39043.xml"/>
  <Override ContentType="application/vnd.openxmlformats-officedocument.spreadsheetml.worksheet+xml" PartName="/xl/worksheets/sheet39044.xml"/>
  <Override ContentType="application/vnd.openxmlformats-officedocument.spreadsheetml.worksheet+xml" PartName="/xl/worksheets/sheet39045.xml"/>
  <Override ContentType="application/vnd.openxmlformats-officedocument.spreadsheetml.worksheet+xml" PartName="/xl/worksheets/sheet39046.xml"/>
  <Override ContentType="application/vnd.openxmlformats-officedocument.spreadsheetml.worksheet+xml" PartName="/xl/worksheets/sheet39047.xml"/>
  <Override ContentType="application/vnd.openxmlformats-officedocument.spreadsheetml.worksheet+xml" PartName="/xl/worksheets/sheet39048.xml"/>
  <Override ContentType="application/vnd.openxmlformats-officedocument.spreadsheetml.worksheet+xml" PartName="/xl/worksheets/sheet39049.xml"/>
  <Override ContentType="application/vnd.openxmlformats-officedocument.spreadsheetml.worksheet+xml" PartName="/xl/worksheets/sheet39050.xml"/>
  <Override ContentType="application/vnd.openxmlformats-officedocument.spreadsheetml.worksheet+xml" PartName="/xl/worksheets/sheet39051.xml"/>
  <Override ContentType="application/vnd.openxmlformats-officedocument.spreadsheetml.worksheet+xml" PartName="/xl/worksheets/sheet39052.xml"/>
  <Override ContentType="application/vnd.openxmlformats-officedocument.spreadsheetml.worksheet+xml" PartName="/xl/worksheets/sheet39053.xml"/>
  <Override ContentType="application/vnd.openxmlformats-officedocument.spreadsheetml.worksheet+xml" PartName="/xl/worksheets/sheet39054.xml"/>
  <Override ContentType="application/vnd.openxmlformats-officedocument.spreadsheetml.worksheet+xml" PartName="/xl/worksheets/sheet39055.xml"/>
  <Override ContentType="application/vnd.openxmlformats-officedocument.spreadsheetml.worksheet+xml" PartName="/xl/worksheets/sheet39056.xml"/>
  <Override ContentType="application/vnd.openxmlformats-officedocument.spreadsheetml.worksheet+xml" PartName="/xl/worksheets/sheet39057.xml"/>
  <Override ContentType="application/vnd.openxmlformats-officedocument.spreadsheetml.worksheet+xml" PartName="/xl/worksheets/sheet39058.xml"/>
  <Override ContentType="application/vnd.openxmlformats-officedocument.spreadsheetml.worksheet+xml" PartName="/xl/worksheets/sheet39059.xml"/>
  <Override ContentType="application/vnd.openxmlformats-officedocument.spreadsheetml.worksheet+xml" PartName="/xl/worksheets/sheet39060.xml"/>
  <Override ContentType="application/vnd.openxmlformats-officedocument.spreadsheetml.worksheet+xml" PartName="/xl/worksheets/sheet39061.xml"/>
  <Override ContentType="application/vnd.openxmlformats-officedocument.spreadsheetml.worksheet+xml" PartName="/xl/worksheets/sheet39062.xml"/>
  <Override ContentType="application/vnd.openxmlformats-officedocument.spreadsheetml.worksheet+xml" PartName="/xl/worksheets/sheet39063.xml"/>
  <Override ContentType="application/vnd.openxmlformats-officedocument.spreadsheetml.worksheet+xml" PartName="/xl/worksheets/sheet39064.xml"/>
  <Override ContentType="application/vnd.openxmlformats-officedocument.spreadsheetml.worksheet+xml" PartName="/xl/worksheets/sheet39065.xml"/>
  <Override ContentType="application/vnd.openxmlformats-officedocument.spreadsheetml.worksheet+xml" PartName="/xl/worksheets/sheet39066.xml"/>
  <Override ContentType="application/vnd.openxmlformats-officedocument.spreadsheetml.worksheet+xml" PartName="/xl/worksheets/sheet39067.xml"/>
  <Override ContentType="application/vnd.openxmlformats-officedocument.spreadsheetml.worksheet+xml" PartName="/xl/worksheets/sheet39068.xml"/>
  <Override ContentType="application/vnd.openxmlformats-officedocument.spreadsheetml.worksheet+xml" PartName="/xl/worksheets/sheet39069.xml"/>
  <Override ContentType="application/vnd.openxmlformats-officedocument.spreadsheetml.worksheet+xml" PartName="/xl/worksheets/sheet39070.xml"/>
  <Override ContentType="application/vnd.openxmlformats-officedocument.spreadsheetml.worksheet+xml" PartName="/xl/worksheets/sheet39071.xml"/>
  <Override ContentType="application/vnd.openxmlformats-officedocument.spreadsheetml.worksheet+xml" PartName="/xl/worksheets/sheet39072.xml"/>
  <Override ContentType="application/vnd.openxmlformats-officedocument.spreadsheetml.worksheet+xml" PartName="/xl/worksheets/sheet39073.xml"/>
  <Override ContentType="application/vnd.openxmlformats-officedocument.spreadsheetml.worksheet+xml" PartName="/xl/worksheets/sheet39074.xml"/>
  <Override ContentType="application/vnd.openxmlformats-officedocument.spreadsheetml.worksheet+xml" PartName="/xl/worksheets/sheet39075.xml"/>
  <Override ContentType="application/vnd.openxmlformats-officedocument.spreadsheetml.worksheet+xml" PartName="/xl/worksheets/sheet39076.xml"/>
  <Override ContentType="application/vnd.openxmlformats-officedocument.spreadsheetml.worksheet+xml" PartName="/xl/worksheets/sheet39077.xml"/>
  <Override ContentType="application/vnd.openxmlformats-officedocument.spreadsheetml.worksheet+xml" PartName="/xl/worksheets/sheet39078.xml"/>
  <Override ContentType="application/vnd.openxmlformats-officedocument.spreadsheetml.worksheet+xml" PartName="/xl/worksheets/sheet39079.xml"/>
  <Override ContentType="application/vnd.openxmlformats-officedocument.spreadsheetml.worksheet+xml" PartName="/xl/worksheets/sheet39080.xml"/>
  <Override ContentType="application/vnd.openxmlformats-officedocument.spreadsheetml.worksheet+xml" PartName="/xl/worksheets/sheet39081.xml"/>
  <Override ContentType="application/vnd.openxmlformats-officedocument.spreadsheetml.worksheet+xml" PartName="/xl/worksheets/sheet39082.xml"/>
  <Override ContentType="application/vnd.openxmlformats-officedocument.spreadsheetml.worksheet+xml" PartName="/xl/worksheets/sheet39083.xml"/>
  <Override ContentType="application/vnd.openxmlformats-officedocument.spreadsheetml.worksheet+xml" PartName="/xl/worksheets/sheet39084.xml"/>
  <Override ContentType="application/vnd.openxmlformats-officedocument.spreadsheetml.worksheet+xml" PartName="/xl/worksheets/sheet39085.xml"/>
  <Override ContentType="application/vnd.openxmlformats-officedocument.spreadsheetml.worksheet+xml" PartName="/xl/worksheets/sheet39086.xml"/>
  <Override ContentType="application/vnd.openxmlformats-officedocument.spreadsheetml.worksheet+xml" PartName="/xl/worksheets/sheet39087.xml"/>
  <Override ContentType="application/vnd.openxmlformats-officedocument.spreadsheetml.worksheet+xml" PartName="/xl/worksheets/sheet39088.xml"/>
  <Override ContentType="application/vnd.openxmlformats-officedocument.spreadsheetml.worksheet+xml" PartName="/xl/worksheets/sheet39089.xml"/>
  <Override ContentType="application/vnd.openxmlformats-officedocument.spreadsheetml.worksheet+xml" PartName="/xl/worksheets/sheet39090.xml"/>
  <Override ContentType="application/vnd.openxmlformats-officedocument.spreadsheetml.worksheet+xml" PartName="/xl/worksheets/sheet39091.xml"/>
  <Override ContentType="application/vnd.openxmlformats-officedocument.spreadsheetml.worksheet+xml" PartName="/xl/worksheets/sheet39092.xml"/>
  <Override ContentType="application/vnd.openxmlformats-officedocument.spreadsheetml.worksheet+xml" PartName="/xl/worksheets/sheet39093.xml"/>
  <Override ContentType="application/vnd.openxmlformats-officedocument.spreadsheetml.worksheet+xml" PartName="/xl/worksheets/sheet39094.xml"/>
  <Override ContentType="application/vnd.openxmlformats-officedocument.spreadsheetml.worksheet+xml" PartName="/xl/worksheets/sheet39095.xml"/>
  <Override ContentType="application/vnd.openxmlformats-officedocument.spreadsheetml.worksheet+xml" PartName="/xl/worksheets/sheet39096.xml"/>
  <Override ContentType="application/vnd.openxmlformats-officedocument.spreadsheetml.worksheet+xml" PartName="/xl/worksheets/sheet39097.xml"/>
  <Override ContentType="application/vnd.openxmlformats-officedocument.spreadsheetml.worksheet+xml" PartName="/xl/worksheets/sheet39098.xml"/>
  <Override ContentType="application/vnd.openxmlformats-officedocument.spreadsheetml.worksheet+xml" PartName="/xl/worksheets/sheet39099.xml"/>
  <Override ContentType="application/vnd.openxmlformats-officedocument.spreadsheetml.worksheet+xml" PartName="/xl/worksheets/sheet39100.xml"/>
  <Override ContentType="application/vnd.openxmlformats-officedocument.spreadsheetml.worksheet+xml" PartName="/xl/worksheets/sheet39101.xml"/>
  <Override ContentType="application/vnd.openxmlformats-officedocument.spreadsheetml.worksheet+xml" PartName="/xl/worksheets/sheet39102.xml"/>
  <Override ContentType="application/vnd.openxmlformats-officedocument.spreadsheetml.worksheet+xml" PartName="/xl/worksheets/sheet39103.xml"/>
  <Override ContentType="application/vnd.openxmlformats-officedocument.spreadsheetml.worksheet+xml" PartName="/xl/worksheets/sheet39104.xml"/>
  <Override ContentType="application/vnd.openxmlformats-officedocument.spreadsheetml.worksheet+xml" PartName="/xl/worksheets/sheet39105.xml"/>
  <Override ContentType="application/vnd.openxmlformats-officedocument.spreadsheetml.worksheet+xml" PartName="/xl/worksheets/sheet39106.xml"/>
  <Override ContentType="application/vnd.openxmlformats-officedocument.spreadsheetml.worksheet+xml" PartName="/xl/worksheets/sheet39107.xml"/>
  <Override ContentType="application/vnd.openxmlformats-officedocument.spreadsheetml.worksheet+xml" PartName="/xl/worksheets/sheet39108.xml"/>
  <Override ContentType="application/vnd.openxmlformats-officedocument.spreadsheetml.worksheet+xml" PartName="/xl/worksheets/sheet39109.xml"/>
  <Override ContentType="application/vnd.openxmlformats-officedocument.spreadsheetml.worksheet+xml" PartName="/xl/worksheets/sheet39110.xml"/>
  <Override ContentType="application/vnd.openxmlformats-officedocument.spreadsheetml.worksheet+xml" PartName="/xl/worksheets/sheet39111.xml"/>
  <Override ContentType="application/vnd.openxmlformats-officedocument.spreadsheetml.worksheet+xml" PartName="/xl/worksheets/sheet39112.xml"/>
  <Override ContentType="application/vnd.openxmlformats-officedocument.spreadsheetml.worksheet+xml" PartName="/xl/worksheets/sheet39113.xml"/>
  <Override ContentType="application/vnd.openxmlformats-officedocument.spreadsheetml.worksheet+xml" PartName="/xl/worksheets/sheet39114.xml"/>
  <Override ContentType="application/vnd.openxmlformats-officedocument.spreadsheetml.worksheet+xml" PartName="/xl/worksheets/sheet39115.xml"/>
  <Override ContentType="application/vnd.openxmlformats-officedocument.spreadsheetml.worksheet+xml" PartName="/xl/worksheets/sheet39116.xml"/>
  <Override ContentType="application/vnd.openxmlformats-officedocument.spreadsheetml.worksheet+xml" PartName="/xl/worksheets/sheet39117.xml"/>
  <Override ContentType="application/vnd.openxmlformats-officedocument.spreadsheetml.worksheet+xml" PartName="/xl/worksheets/sheet39118.xml"/>
  <Override ContentType="application/vnd.openxmlformats-officedocument.spreadsheetml.worksheet+xml" PartName="/xl/worksheets/sheet39119.xml"/>
  <Override ContentType="application/vnd.openxmlformats-officedocument.spreadsheetml.worksheet+xml" PartName="/xl/worksheets/sheet39120.xml"/>
  <Override ContentType="application/vnd.openxmlformats-officedocument.spreadsheetml.worksheet+xml" PartName="/xl/worksheets/sheet39121.xml"/>
  <Override ContentType="application/vnd.openxmlformats-officedocument.spreadsheetml.worksheet+xml" PartName="/xl/worksheets/sheet39122.xml"/>
  <Override ContentType="application/vnd.openxmlformats-officedocument.spreadsheetml.worksheet+xml" PartName="/xl/worksheets/sheet39123.xml"/>
  <Override ContentType="application/vnd.openxmlformats-officedocument.spreadsheetml.worksheet+xml" PartName="/xl/worksheets/sheet39124.xml"/>
  <Override ContentType="application/vnd.openxmlformats-officedocument.spreadsheetml.worksheet+xml" PartName="/xl/worksheets/sheet39125.xml"/>
  <Override ContentType="application/vnd.openxmlformats-officedocument.spreadsheetml.worksheet+xml" PartName="/xl/worksheets/sheet39126.xml"/>
  <Override ContentType="application/vnd.openxmlformats-officedocument.spreadsheetml.worksheet+xml" PartName="/xl/worksheets/sheet39127.xml"/>
  <Override ContentType="application/vnd.openxmlformats-officedocument.spreadsheetml.worksheet+xml" PartName="/xl/worksheets/sheet39128.xml"/>
  <Override ContentType="application/vnd.openxmlformats-officedocument.spreadsheetml.worksheet+xml" PartName="/xl/worksheets/sheet39129.xml"/>
  <Override ContentType="application/vnd.openxmlformats-officedocument.spreadsheetml.worksheet+xml" PartName="/xl/worksheets/sheet39130.xml"/>
  <Override ContentType="application/vnd.openxmlformats-officedocument.spreadsheetml.worksheet+xml" PartName="/xl/worksheets/sheet39131.xml"/>
  <Override ContentType="application/vnd.openxmlformats-officedocument.spreadsheetml.worksheet+xml" PartName="/xl/worksheets/sheet39132.xml"/>
  <Override ContentType="application/vnd.openxmlformats-officedocument.spreadsheetml.worksheet+xml" PartName="/xl/worksheets/sheet39133.xml"/>
  <Override ContentType="application/vnd.openxmlformats-officedocument.spreadsheetml.worksheet+xml" PartName="/xl/worksheets/sheet39134.xml"/>
  <Override ContentType="application/vnd.openxmlformats-officedocument.spreadsheetml.worksheet+xml" PartName="/xl/worksheets/sheet39135.xml"/>
  <Override ContentType="application/vnd.openxmlformats-officedocument.spreadsheetml.worksheet+xml" PartName="/xl/worksheets/sheet39136.xml"/>
  <Override ContentType="application/vnd.openxmlformats-officedocument.spreadsheetml.worksheet+xml" PartName="/xl/worksheets/sheet39137.xml"/>
  <Override ContentType="application/vnd.openxmlformats-officedocument.spreadsheetml.worksheet+xml" PartName="/xl/worksheets/sheet39138.xml"/>
  <Override ContentType="application/vnd.openxmlformats-officedocument.spreadsheetml.worksheet+xml" PartName="/xl/worksheets/sheet39139.xml"/>
  <Override ContentType="application/vnd.openxmlformats-officedocument.spreadsheetml.worksheet+xml" PartName="/xl/worksheets/sheet39140.xml"/>
  <Override ContentType="application/vnd.openxmlformats-officedocument.spreadsheetml.worksheet+xml" PartName="/xl/worksheets/sheet39141.xml"/>
  <Override ContentType="application/vnd.openxmlformats-officedocument.spreadsheetml.worksheet+xml" PartName="/xl/worksheets/sheet39142.xml"/>
  <Override ContentType="application/vnd.openxmlformats-officedocument.spreadsheetml.worksheet+xml" PartName="/xl/worksheets/sheet39143.xml"/>
  <Override ContentType="application/vnd.openxmlformats-officedocument.spreadsheetml.worksheet+xml" PartName="/xl/worksheets/sheet39144.xml"/>
  <Override ContentType="application/vnd.openxmlformats-officedocument.spreadsheetml.worksheet+xml" PartName="/xl/worksheets/sheet39145.xml"/>
  <Override ContentType="application/vnd.openxmlformats-officedocument.spreadsheetml.worksheet+xml" PartName="/xl/worksheets/sheet39146.xml"/>
  <Override ContentType="application/vnd.openxmlformats-officedocument.spreadsheetml.worksheet+xml" PartName="/xl/worksheets/sheet39147.xml"/>
  <Override ContentType="application/vnd.openxmlformats-officedocument.spreadsheetml.worksheet+xml" PartName="/xl/worksheets/sheet39148.xml"/>
  <Override ContentType="application/vnd.openxmlformats-officedocument.spreadsheetml.worksheet+xml" PartName="/xl/worksheets/sheet39149.xml"/>
  <Override ContentType="application/vnd.openxmlformats-officedocument.spreadsheetml.worksheet+xml" PartName="/xl/worksheets/sheet39150.xml"/>
  <Override ContentType="application/vnd.openxmlformats-officedocument.spreadsheetml.worksheet+xml" PartName="/xl/worksheets/sheet39151.xml"/>
  <Override ContentType="application/vnd.openxmlformats-officedocument.spreadsheetml.worksheet+xml" PartName="/xl/worksheets/sheet39152.xml"/>
  <Override ContentType="application/vnd.openxmlformats-officedocument.spreadsheetml.worksheet+xml" PartName="/xl/worksheets/sheet39153.xml"/>
  <Override ContentType="application/vnd.openxmlformats-officedocument.spreadsheetml.worksheet+xml" PartName="/xl/worksheets/sheet39154.xml"/>
  <Override ContentType="application/vnd.openxmlformats-officedocument.spreadsheetml.worksheet+xml" PartName="/xl/worksheets/sheet39155.xml"/>
  <Override ContentType="application/vnd.openxmlformats-officedocument.spreadsheetml.worksheet+xml" PartName="/xl/worksheets/sheet39156.xml"/>
  <Override ContentType="application/vnd.openxmlformats-officedocument.spreadsheetml.worksheet+xml" PartName="/xl/worksheets/sheet39157.xml"/>
  <Override ContentType="application/vnd.openxmlformats-officedocument.spreadsheetml.worksheet+xml" PartName="/xl/worksheets/sheet39158.xml"/>
  <Override ContentType="application/vnd.openxmlformats-officedocument.spreadsheetml.worksheet+xml" PartName="/xl/worksheets/sheet39159.xml"/>
  <Override ContentType="application/vnd.openxmlformats-officedocument.spreadsheetml.worksheet+xml" PartName="/xl/worksheets/sheet39160.xml"/>
  <Override ContentType="application/vnd.openxmlformats-officedocument.spreadsheetml.worksheet+xml" PartName="/xl/worksheets/sheet39161.xml"/>
  <Override ContentType="application/vnd.openxmlformats-officedocument.spreadsheetml.worksheet+xml" PartName="/xl/worksheets/sheet39162.xml"/>
  <Override ContentType="application/vnd.openxmlformats-officedocument.spreadsheetml.worksheet+xml" PartName="/xl/worksheets/sheet39163.xml"/>
  <Override ContentType="application/vnd.openxmlformats-officedocument.spreadsheetml.worksheet+xml" PartName="/xl/worksheets/sheet39164.xml"/>
  <Override ContentType="application/vnd.openxmlformats-officedocument.spreadsheetml.worksheet+xml" PartName="/xl/worksheets/sheet39165.xml"/>
  <Override ContentType="application/vnd.openxmlformats-officedocument.spreadsheetml.worksheet+xml" PartName="/xl/worksheets/sheet39166.xml"/>
  <Override ContentType="application/vnd.openxmlformats-officedocument.spreadsheetml.worksheet+xml" PartName="/xl/worksheets/sheet39167.xml"/>
  <Override ContentType="application/vnd.openxmlformats-officedocument.spreadsheetml.worksheet+xml" PartName="/xl/worksheets/sheet39168.xml"/>
  <Override ContentType="application/vnd.openxmlformats-officedocument.spreadsheetml.worksheet+xml" PartName="/xl/worksheets/sheet39169.xml"/>
  <Override ContentType="application/vnd.openxmlformats-officedocument.spreadsheetml.worksheet+xml" PartName="/xl/worksheets/sheet39170.xml"/>
  <Override ContentType="application/vnd.openxmlformats-officedocument.spreadsheetml.worksheet+xml" PartName="/xl/worksheets/sheet39171.xml"/>
  <Override ContentType="application/vnd.openxmlformats-officedocument.spreadsheetml.worksheet+xml" PartName="/xl/worksheets/sheet39172.xml"/>
  <Override ContentType="application/vnd.openxmlformats-officedocument.spreadsheetml.worksheet+xml" PartName="/xl/worksheets/sheet39173.xml"/>
  <Override ContentType="application/vnd.openxmlformats-officedocument.spreadsheetml.worksheet+xml" PartName="/xl/worksheets/sheet39174.xml"/>
  <Override ContentType="application/vnd.openxmlformats-officedocument.spreadsheetml.worksheet+xml" PartName="/xl/worksheets/sheet39175.xml"/>
  <Override ContentType="application/vnd.openxmlformats-officedocument.spreadsheetml.worksheet+xml" PartName="/xl/worksheets/sheet39176.xml"/>
  <Override ContentType="application/vnd.openxmlformats-officedocument.spreadsheetml.worksheet+xml" PartName="/xl/worksheets/sheet39177.xml"/>
  <Override ContentType="application/vnd.openxmlformats-officedocument.spreadsheetml.worksheet+xml" PartName="/xl/worksheets/sheet39178.xml"/>
  <Override ContentType="application/vnd.openxmlformats-officedocument.spreadsheetml.worksheet+xml" PartName="/xl/worksheets/sheet39179.xml"/>
  <Override ContentType="application/vnd.openxmlformats-officedocument.spreadsheetml.worksheet+xml" PartName="/xl/worksheets/sheet39180.xml"/>
  <Override ContentType="application/vnd.openxmlformats-officedocument.spreadsheetml.worksheet+xml" PartName="/xl/worksheets/sheet39181.xml"/>
  <Override ContentType="application/vnd.openxmlformats-officedocument.spreadsheetml.worksheet+xml" PartName="/xl/worksheets/sheet39182.xml"/>
  <Override ContentType="application/vnd.openxmlformats-officedocument.spreadsheetml.worksheet+xml" PartName="/xl/worksheets/sheet39183.xml"/>
  <Override ContentType="application/vnd.openxmlformats-officedocument.spreadsheetml.worksheet+xml" PartName="/xl/worksheets/sheet39184.xml"/>
  <Override ContentType="application/vnd.openxmlformats-officedocument.spreadsheetml.worksheet+xml" PartName="/xl/worksheets/sheet39185.xml"/>
  <Override ContentType="application/vnd.openxmlformats-officedocument.spreadsheetml.worksheet+xml" PartName="/xl/worksheets/sheet39186.xml"/>
  <Override ContentType="application/vnd.openxmlformats-officedocument.spreadsheetml.worksheet+xml" PartName="/xl/worksheets/sheet39187.xml"/>
  <Override ContentType="application/vnd.openxmlformats-officedocument.spreadsheetml.worksheet+xml" PartName="/xl/worksheets/sheet39188.xml"/>
  <Override ContentType="application/vnd.openxmlformats-officedocument.spreadsheetml.worksheet+xml" PartName="/xl/worksheets/sheet39189.xml"/>
  <Override ContentType="application/vnd.openxmlformats-officedocument.spreadsheetml.worksheet+xml" PartName="/xl/worksheets/sheet39190.xml"/>
  <Override ContentType="application/vnd.openxmlformats-officedocument.spreadsheetml.worksheet+xml" PartName="/xl/worksheets/sheet39191.xml"/>
  <Override ContentType="application/vnd.openxmlformats-officedocument.spreadsheetml.worksheet+xml" PartName="/xl/worksheets/sheet39192.xml"/>
  <Override ContentType="application/vnd.openxmlformats-officedocument.spreadsheetml.worksheet+xml" PartName="/xl/worksheets/sheet39193.xml"/>
  <Override ContentType="application/vnd.openxmlformats-officedocument.spreadsheetml.worksheet+xml" PartName="/xl/worksheets/sheet39194.xml"/>
  <Override ContentType="application/vnd.openxmlformats-officedocument.spreadsheetml.worksheet+xml" PartName="/xl/worksheets/sheet39195.xml"/>
  <Override ContentType="application/vnd.openxmlformats-officedocument.spreadsheetml.worksheet+xml" PartName="/xl/worksheets/sheet39196.xml"/>
  <Override ContentType="application/vnd.openxmlformats-officedocument.spreadsheetml.worksheet+xml" PartName="/xl/worksheets/sheet39197.xml"/>
  <Override ContentType="application/vnd.openxmlformats-officedocument.spreadsheetml.worksheet+xml" PartName="/xl/worksheets/sheet39198.xml"/>
  <Override ContentType="application/vnd.openxmlformats-officedocument.spreadsheetml.worksheet+xml" PartName="/xl/worksheets/sheet39199.xml"/>
  <Override ContentType="application/vnd.openxmlformats-officedocument.spreadsheetml.worksheet+xml" PartName="/xl/worksheets/sheet39200.xml"/>
  <Override ContentType="application/vnd.openxmlformats-officedocument.spreadsheetml.worksheet+xml" PartName="/xl/worksheets/sheet39201.xml"/>
  <Override ContentType="application/vnd.openxmlformats-officedocument.spreadsheetml.worksheet+xml" PartName="/xl/worksheets/sheet39202.xml"/>
  <Override ContentType="application/vnd.openxmlformats-officedocument.spreadsheetml.worksheet+xml" PartName="/xl/worksheets/sheet39203.xml"/>
  <Override ContentType="application/vnd.openxmlformats-officedocument.spreadsheetml.worksheet+xml" PartName="/xl/worksheets/sheet39204.xml"/>
  <Override ContentType="application/vnd.openxmlformats-officedocument.spreadsheetml.worksheet+xml" PartName="/xl/worksheets/sheet39205.xml"/>
  <Override ContentType="application/vnd.openxmlformats-officedocument.spreadsheetml.worksheet+xml" PartName="/xl/worksheets/sheet39206.xml"/>
  <Override ContentType="application/vnd.openxmlformats-officedocument.spreadsheetml.worksheet+xml" PartName="/xl/worksheets/sheet39207.xml"/>
  <Override ContentType="application/vnd.openxmlformats-officedocument.spreadsheetml.worksheet+xml" PartName="/xl/worksheets/sheet39208.xml"/>
  <Override ContentType="application/vnd.openxmlformats-officedocument.spreadsheetml.worksheet+xml" PartName="/xl/worksheets/sheet39209.xml"/>
  <Override ContentType="application/vnd.openxmlformats-officedocument.spreadsheetml.worksheet+xml" PartName="/xl/worksheets/sheet39210.xml"/>
  <Override ContentType="application/vnd.openxmlformats-officedocument.spreadsheetml.worksheet+xml" PartName="/xl/worksheets/sheet39211.xml"/>
  <Override ContentType="application/vnd.openxmlformats-officedocument.spreadsheetml.worksheet+xml" PartName="/xl/worksheets/sheet39212.xml"/>
  <Override ContentType="application/vnd.openxmlformats-officedocument.spreadsheetml.worksheet+xml" PartName="/xl/worksheets/sheet39213.xml"/>
  <Override ContentType="application/vnd.openxmlformats-officedocument.spreadsheetml.worksheet+xml" PartName="/xl/worksheets/sheet39214.xml"/>
  <Override ContentType="application/vnd.openxmlformats-officedocument.spreadsheetml.worksheet+xml" PartName="/xl/worksheets/sheet39215.xml"/>
  <Override ContentType="application/vnd.openxmlformats-officedocument.spreadsheetml.worksheet+xml" PartName="/xl/worksheets/sheet39216.xml"/>
  <Override ContentType="application/vnd.openxmlformats-officedocument.spreadsheetml.worksheet+xml" PartName="/xl/worksheets/sheet39217.xml"/>
  <Override ContentType="application/vnd.openxmlformats-officedocument.spreadsheetml.worksheet+xml" PartName="/xl/worksheets/sheet39218.xml"/>
  <Override ContentType="application/vnd.openxmlformats-officedocument.spreadsheetml.worksheet+xml" PartName="/xl/worksheets/sheet39219.xml"/>
  <Override ContentType="application/vnd.openxmlformats-officedocument.spreadsheetml.worksheet+xml" PartName="/xl/worksheets/sheet39220.xml"/>
  <Override ContentType="application/vnd.openxmlformats-officedocument.spreadsheetml.worksheet+xml" PartName="/xl/worksheets/sheet39221.xml"/>
  <Override ContentType="application/vnd.openxmlformats-officedocument.spreadsheetml.worksheet+xml" PartName="/xl/worksheets/sheet39222.xml"/>
  <Override ContentType="application/vnd.openxmlformats-officedocument.spreadsheetml.worksheet+xml" PartName="/xl/worksheets/sheet39223.xml"/>
  <Override ContentType="application/vnd.openxmlformats-officedocument.spreadsheetml.worksheet+xml" PartName="/xl/worksheets/sheet39224.xml"/>
  <Override ContentType="application/vnd.openxmlformats-officedocument.spreadsheetml.worksheet+xml" PartName="/xl/worksheets/sheet39225.xml"/>
  <Override ContentType="application/vnd.openxmlformats-officedocument.spreadsheetml.worksheet+xml" PartName="/xl/worksheets/sheet39226.xml"/>
  <Override ContentType="application/vnd.openxmlformats-officedocument.spreadsheetml.worksheet+xml" PartName="/xl/worksheets/sheet39227.xml"/>
  <Override ContentType="application/vnd.openxmlformats-officedocument.spreadsheetml.worksheet+xml" PartName="/xl/worksheets/sheet39228.xml"/>
  <Override ContentType="application/vnd.openxmlformats-officedocument.spreadsheetml.worksheet+xml" PartName="/xl/worksheets/sheet39229.xml"/>
  <Override ContentType="application/vnd.openxmlformats-officedocument.spreadsheetml.worksheet+xml" PartName="/xl/worksheets/sheet39230.xml"/>
  <Override ContentType="application/vnd.openxmlformats-officedocument.spreadsheetml.worksheet+xml" PartName="/xl/worksheets/sheet39231.xml"/>
  <Override ContentType="application/vnd.openxmlformats-officedocument.spreadsheetml.worksheet+xml" PartName="/xl/worksheets/sheet39232.xml"/>
  <Override ContentType="application/vnd.openxmlformats-officedocument.spreadsheetml.worksheet+xml" PartName="/xl/worksheets/sheet39233.xml"/>
  <Override ContentType="application/vnd.openxmlformats-officedocument.spreadsheetml.worksheet+xml" PartName="/xl/worksheets/sheet39234.xml"/>
  <Override ContentType="application/vnd.openxmlformats-officedocument.spreadsheetml.worksheet+xml" PartName="/xl/worksheets/sheet39235.xml"/>
  <Override ContentType="application/vnd.openxmlformats-officedocument.spreadsheetml.worksheet+xml" PartName="/xl/worksheets/sheet39236.xml"/>
  <Override ContentType="application/vnd.openxmlformats-officedocument.spreadsheetml.worksheet+xml" PartName="/xl/worksheets/sheet39237.xml"/>
  <Override ContentType="application/vnd.openxmlformats-officedocument.spreadsheetml.worksheet+xml" PartName="/xl/worksheets/sheet39238.xml"/>
  <Override ContentType="application/vnd.openxmlformats-officedocument.spreadsheetml.worksheet+xml" PartName="/xl/worksheets/sheet39239.xml"/>
  <Override ContentType="application/vnd.openxmlformats-officedocument.spreadsheetml.worksheet+xml" PartName="/xl/worksheets/sheet39240.xml"/>
  <Override ContentType="application/vnd.openxmlformats-officedocument.spreadsheetml.worksheet+xml" PartName="/xl/worksheets/sheet39241.xml"/>
  <Override ContentType="application/vnd.openxmlformats-officedocument.spreadsheetml.worksheet+xml" PartName="/xl/worksheets/sheet39242.xml"/>
  <Override ContentType="application/vnd.openxmlformats-officedocument.spreadsheetml.worksheet+xml" PartName="/xl/worksheets/sheet39243.xml"/>
  <Override ContentType="application/vnd.openxmlformats-officedocument.spreadsheetml.worksheet+xml" PartName="/xl/worksheets/sheet39244.xml"/>
  <Override ContentType="application/vnd.openxmlformats-officedocument.spreadsheetml.worksheet+xml" PartName="/xl/worksheets/sheet39245.xml"/>
  <Override ContentType="application/vnd.openxmlformats-officedocument.spreadsheetml.worksheet+xml" PartName="/xl/worksheets/sheet39246.xml"/>
  <Override ContentType="application/vnd.openxmlformats-officedocument.spreadsheetml.worksheet+xml" PartName="/xl/worksheets/sheet39247.xml"/>
  <Override ContentType="application/vnd.openxmlformats-officedocument.spreadsheetml.worksheet+xml" PartName="/xl/worksheets/sheet39248.xml"/>
  <Override ContentType="application/vnd.openxmlformats-officedocument.spreadsheetml.worksheet+xml" PartName="/xl/worksheets/sheet39249.xml"/>
  <Override ContentType="application/vnd.openxmlformats-officedocument.spreadsheetml.worksheet+xml" PartName="/xl/worksheets/sheet39250.xml"/>
  <Override ContentType="application/vnd.openxmlformats-officedocument.spreadsheetml.worksheet+xml" PartName="/xl/worksheets/sheet39251.xml"/>
  <Override ContentType="application/vnd.openxmlformats-officedocument.spreadsheetml.worksheet+xml" PartName="/xl/worksheets/sheet39252.xml"/>
  <Override ContentType="application/vnd.openxmlformats-officedocument.spreadsheetml.worksheet+xml" PartName="/xl/worksheets/sheet39253.xml"/>
  <Override ContentType="application/vnd.openxmlformats-officedocument.spreadsheetml.worksheet+xml" PartName="/xl/worksheets/sheet39254.xml"/>
  <Override ContentType="application/vnd.openxmlformats-officedocument.spreadsheetml.worksheet+xml" PartName="/xl/worksheets/sheet39255.xml"/>
  <Override ContentType="application/vnd.openxmlformats-officedocument.spreadsheetml.worksheet+xml" PartName="/xl/worksheets/sheet39256.xml"/>
  <Override ContentType="application/vnd.openxmlformats-officedocument.spreadsheetml.worksheet+xml" PartName="/xl/worksheets/sheet39257.xml"/>
  <Override ContentType="application/vnd.openxmlformats-officedocument.spreadsheetml.worksheet+xml" PartName="/xl/worksheets/sheet39258.xml"/>
  <Override ContentType="application/vnd.openxmlformats-officedocument.spreadsheetml.worksheet+xml" PartName="/xl/worksheets/sheet39259.xml"/>
  <Override ContentType="application/vnd.openxmlformats-officedocument.spreadsheetml.worksheet+xml" PartName="/xl/worksheets/sheet39260.xml"/>
  <Override ContentType="application/vnd.openxmlformats-officedocument.spreadsheetml.worksheet+xml" PartName="/xl/worksheets/sheet39261.xml"/>
  <Override ContentType="application/vnd.openxmlformats-officedocument.spreadsheetml.worksheet+xml" PartName="/xl/worksheets/sheet39262.xml"/>
  <Override ContentType="application/vnd.openxmlformats-officedocument.spreadsheetml.worksheet+xml" PartName="/xl/worksheets/sheet39263.xml"/>
  <Override ContentType="application/vnd.openxmlformats-officedocument.spreadsheetml.worksheet+xml" PartName="/xl/worksheets/sheet39264.xml"/>
  <Override ContentType="application/vnd.openxmlformats-officedocument.spreadsheetml.worksheet+xml" PartName="/xl/worksheets/sheet39265.xml"/>
  <Override ContentType="application/vnd.openxmlformats-officedocument.spreadsheetml.worksheet+xml" PartName="/xl/worksheets/sheet39266.xml"/>
  <Override ContentType="application/vnd.openxmlformats-officedocument.spreadsheetml.worksheet+xml" PartName="/xl/worksheets/sheet39267.xml"/>
  <Override ContentType="application/vnd.openxmlformats-officedocument.spreadsheetml.worksheet+xml" PartName="/xl/worksheets/sheet39268.xml"/>
  <Override ContentType="application/vnd.openxmlformats-officedocument.spreadsheetml.worksheet+xml" PartName="/xl/worksheets/sheet39269.xml"/>
  <Override ContentType="application/vnd.openxmlformats-officedocument.spreadsheetml.worksheet+xml" PartName="/xl/worksheets/sheet39270.xml"/>
  <Override ContentType="application/vnd.openxmlformats-officedocument.spreadsheetml.worksheet+xml" PartName="/xl/worksheets/sheet39271.xml"/>
  <Override ContentType="application/vnd.openxmlformats-officedocument.spreadsheetml.worksheet+xml" PartName="/xl/worksheets/sheet39272.xml"/>
  <Override ContentType="application/vnd.openxmlformats-officedocument.spreadsheetml.worksheet+xml" PartName="/xl/worksheets/sheet39273.xml"/>
  <Override ContentType="application/vnd.openxmlformats-officedocument.spreadsheetml.worksheet+xml" PartName="/xl/worksheets/sheet39274.xml"/>
  <Override ContentType="application/vnd.openxmlformats-officedocument.spreadsheetml.worksheet+xml" PartName="/xl/worksheets/sheet39275.xml"/>
  <Override ContentType="application/vnd.openxmlformats-officedocument.spreadsheetml.worksheet+xml" PartName="/xl/worksheets/sheet39276.xml"/>
  <Override ContentType="application/vnd.openxmlformats-officedocument.spreadsheetml.worksheet+xml" PartName="/xl/worksheets/sheet39277.xml"/>
  <Override ContentType="application/vnd.openxmlformats-officedocument.spreadsheetml.worksheet+xml" PartName="/xl/worksheets/sheet39278.xml"/>
  <Override ContentType="application/vnd.openxmlformats-officedocument.spreadsheetml.worksheet+xml" PartName="/xl/worksheets/sheet39279.xml"/>
  <Override ContentType="application/vnd.openxmlformats-officedocument.spreadsheetml.worksheet+xml" PartName="/xl/worksheets/sheet39280.xml"/>
  <Override ContentType="application/vnd.openxmlformats-officedocument.spreadsheetml.worksheet+xml" PartName="/xl/worksheets/sheet39281.xml"/>
  <Override ContentType="application/vnd.openxmlformats-officedocument.spreadsheetml.worksheet+xml" PartName="/xl/worksheets/sheet39282.xml"/>
  <Override ContentType="application/vnd.openxmlformats-officedocument.spreadsheetml.worksheet+xml" PartName="/xl/worksheets/sheet39283.xml"/>
  <Override ContentType="application/vnd.openxmlformats-officedocument.spreadsheetml.worksheet+xml" PartName="/xl/worksheets/sheet39284.xml"/>
  <Override ContentType="application/vnd.openxmlformats-officedocument.spreadsheetml.worksheet+xml" PartName="/xl/worksheets/sheet39285.xml"/>
  <Override ContentType="application/vnd.openxmlformats-officedocument.spreadsheetml.worksheet+xml" PartName="/xl/worksheets/sheet39286.xml"/>
  <Override ContentType="application/vnd.openxmlformats-officedocument.spreadsheetml.worksheet+xml" PartName="/xl/worksheets/sheet39287.xml"/>
  <Override ContentType="application/vnd.openxmlformats-officedocument.spreadsheetml.worksheet+xml" PartName="/xl/worksheets/sheet39288.xml"/>
  <Override ContentType="application/vnd.openxmlformats-officedocument.spreadsheetml.worksheet+xml" PartName="/xl/worksheets/sheet39289.xml"/>
  <Override ContentType="application/vnd.openxmlformats-officedocument.spreadsheetml.worksheet+xml" PartName="/xl/worksheets/sheet39290.xml"/>
  <Override ContentType="application/vnd.openxmlformats-officedocument.spreadsheetml.worksheet+xml" PartName="/xl/worksheets/sheet39291.xml"/>
  <Override ContentType="application/vnd.openxmlformats-officedocument.spreadsheetml.worksheet+xml" PartName="/xl/worksheets/sheet39292.xml"/>
  <Override ContentType="application/vnd.openxmlformats-officedocument.spreadsheetml.worksheet+xml" PartName="/xl/worksheets/sheet39293.xml"/>
  <Override ContentType="application/vnd.openxmlformats-officedocument.spreadsheetml.worksheet+xml" PartName="/xl/worksheets/sheet39294.xml"/>
  <Override ContentType="application/vnd.openxmlformats-officedocument.spreadsheetml.worksheet+xml" PartName="/xl/worksheets/sheet39295.xml"/>
  <Override ContentType="application/vnd.openxmlformats-officedocument.spreadsheetml.worksheet+xml" PartName="/xl/worksheets/sheet39296.xml"/>
  <Override ContentType="application/vnd.openxmlformats-officedocument.spreadsheetml.worksheet+xml" PartName="/xl/worksheets/sheet39297.xml"/>
  <Override ContentType="application/vnd.openxmlformats-officedocument.spreadsheetml.worksheet+xml" PartName="/xl/worksheets/sheet39298.xml"/>
  <Override ContentType="application/vnd.openxmlformats-officedocument.spreadsheetml.worksheet+xml" PartName="/xl/worksheets/sheet39299.xml"/>
  <Override ContentType="application/vnd.openxmlformats-officedocument.spreadsheetml.worksheet+xml" PartName="/xl/worksheets/sheet39300.xml"/>
  <Override ContentType="application/vnd.openxmlformats-officedocument.spreadsheetml.worksheet+xml" PartName="/xl/worksheets/sheet39301.xml"/>
  <Override ContentType="application/vnd.openxmlformats-officedocument.spreadsheetml.worksheet+xml" PartName="/xl/worksheets/sheet39302.xml"/>
  <Override ContentType="application/vnd.openxmlformats-officedocument.spreadsheetml.worksheet+xml" PartName="/xl/worksheets/sheet39303.xml"/>
  <Override ContentType="application/vnd.openxmlformats-officedocument.spreadsheetml.worksheet+xml" PartName="/xl/worksheets/sheet39304.xml"/>
  <Override ContentType="application/vnd.openxmlformats-officedocument.spreadsheetml.worksheet+xml" PartName="/xl/worksheets/sheet39305.xml"/>
  <Override ContentType="application/vnd.openxmlformats-officedocument.spreadsheetml.worksheet+xml" PartName="/xl/worksheets/sheet39306.xml"/>
  <Override ContentType="application/vnd.openxmlformats-officedocument.spreadsheetml.worksheet+xml" PartName="/xl/worksheets/sheet39307.xml"/>
  <Override ContentType="application/vnd.openxmlformats-officedocument.spreadsheetml.worksheet+xml" PartName="/xl/worksheets/sheet39308.xml"/>
  <Override ContentType="application/vnd.openxmlformats-officedocument.spreadsheetml.worksheet+xml" PartName="/xl/worksheets/sheet39309.xml"/>
  <Override ContentType="application/vnd.openxmlformats-officedocument.spreadsheetml.worksheet+xml" PartName="/xl/worksheets/sheet39310.xml"/>
  <Override ContentType="application/vnd.openxmlformats-officedocument.spreadsheetml.worksheet+xml" PartName="/xl/worksheets/sheet39311.xml"/>
  <Override ContentType="application/vnd.openxmlformats-officedocument.spreadsheetml.worksheet+xml" PartName="/xl/worksheets/sheet39312.xml"/>
  <Override ContentType="application/vnd.openxmlformats-officedocument.spreadsheetml.worksheet+xml" PartName="/xl/worksheets/sheet39313.xml"/>
  <Override ContentType="application/vnd.openxmlformats-officedocument.spreadsheetml.worksheet+xml" PartName="/xl/worksheets/sheet39314.xml"/>
  <Override ContentType="application/vnd.openxmlformats-officedocument.spreadsheetml.worksheet+xml" PartName="/xl/worksheets/sheet39315.xml"/>
  <Override ContentType="application/vnd.openxmlformats-officedocument.spreadsheetml.worksheet+xml" PartName="/xl/worksheets/sheet39316.xml"/>
  <Override ContentType="application/vnd.openxmlformats-officedocument.spreadsheetml.worksheet+xml" PartName="/xl/worksheets/sheet39317.xml"/>
  <Override ContentType="application/vnd.openxmlformats-officedocument.spreadsheetml.worksheet+xml" PartName="/xl/worksheets/sheet39318.xml"/>
  <Override ContentType="application/vnd.openxmlformats-officedocument.spreadsheetml.worksheet+xml" PartName="/xl/worksheets/sheet39319.xml"/>
  <Override ContentType="application/vnd.openxmlformats-officedocument.spreadsheetml.worksheet+xml" PartName="/xl/worksheets/sheet39320.xml"/>
  <Override ContentType="application/vnd.openxmlformats-officedocument.spreadsheetml.worksheet+xml" PartName="/xl/worksheets/sheet39321.xml"/>
  <Override ContentType="application/vnd.openxmlformats-officedocument.spreadsheetml.worksheet+xml" PartName="/xl/worksheets/sheet39322.xml"/>
  <Override ContentType="application/vnd.openxmlformats-officedocument.spreadsheetml.worksheet+xml" PartName="/xl/worksheets/sheet39323.xml"/>
  <Override ContentType="application/vnd.openxmlformats-officedocument.spreadsheetml.worksheet+xml" PartName="/xl/worksheets/sheet39324.xml"/>
  <Override ContentType="application/vnd.openxmlformats-officedocument.spreadsheetml.worksheet+xml" PartName="/xl/worksheets/sheet39325.xml"/>
  <Override ContentType="application/vnd.openxmlformats-officedocument.spreadsheetml.worksheet+xml" PartName="/xl/worksheets/sheet39326.xml"/>
  <Override ContentType="application/vnd.openxmlformats-officedocument.spreadsheetml.worksheet+xml" PartName="/xl/worksheets/sheet39327.xml"/>
  <Override ContentType="application/vnd.openxmlformats-officedocument.spreadsheetml.worksheet+xml" PartName="/xl/worksheets/sheet39328.xml"/>
  <Override ContentType="application/vnd.openxmlformats-officedocument.spreadsheetml.worksheet+xml" PartName="/xl/worksheets/sheet39329.xml"/>
  <Override ContentType="application/vnd.openxmlformats-officedocument.spreadsheetml.worksheet+xml" PartName="/xl/worksheets/sheet39330.xml"/>
  <Override ContentType="application/vnd.openxmlformats-officedocument.spreadsheetml.worksheet+xml" PartName="/xl/worksheets/sheet39331.xml"/>
  <Override ContentType="application/vnd.openxmlformats-officedocument.spreadsheetml.worksheet+xml" PartName="/xl/worksheets/sheet39332.xml"/>
  <Override ContentType="application/vnd.openxmlformats-officedocument.spreadsheetml.worksheet+xml" PartName="/xl/worksheets/sheet39333.xml"/>
  <Override ContentType="application/vnd.openxmlformats-officedocument.spreadsheetml.worksheet+xml" PartName="/xl/worksheets/sheet39334.xml"/>
  <Override ContentType="application/vnd.openxmlformats-officedocument.spreadsheetml.worksheet+xml" PartName="/xl/worksheets/sheet39335.xml"/>
  <Override ContentType="application/vnd.openxmlformats-officedocument.spreadsheetml.worksheet+xml" PartName="/xl/worksheets/sheet39336.xml"/>
  <Override ContentType="application/vnd.openxmlformats-officedocument.spreadsheetml.worksheet+xml" PartName="/xl/worksheets/sheet39337.xml"/>
  <Override ContentType="application/vnd.openxmlformats-officedocument.spreadsheetml.worksheet+xml" PartName="/xl/worksheets/sheet39338.xml"/>
  <Override ContentType="application/vnd.openxmlformats-officedocument.spreadsheetml.worksheet+xml" PartName="/xl/worksheets/sheet39339.xml"/>
  <Override ContentType="application/vnd.openxmlformats-officedocument.spreadsheetml.worksheet+xml" PartName="/xl/worksheets/sheet39340.xml"/>
  <Override ContentType="application/vnd.openxmlformats-officedocument.spreadsheetml.worksheet+xml" PartName="/xl/worksheets/sheet39341.xml"/>
  <Override ContentType="application/vnd.openxmlformats-officedocument.spreadsheetml.worksheet+xml" PartName="/xl/worksheets/sheet39342.xml"/>
  <Override ContentType="application/vnd.openxmlformats-officedocument.spreadsheetml.worksheet+xml" PartName="/xl/worksheets/sheet39343.xml"/>
  <Override ContentType="application/vnd.openxmlformats-officedocument.spreadsheetml.worksheet+xml" PartName="/xl/worksheets/sheet39344.xml"/>
  <Override ContentType="application/vnd.openxmlformats-officedocument.spreadsheetml.worksheet+xml" PartName="/xl/worksheets/sheet39345.xml"/>
  <Override ContentType="application/vnd.openxmlformats-officedocument.spreadsheetml.worksheet+xml" PartName="/xl/worksheets/sheet39346.xml"/>
  <Override ContentType="application/vnd.openxmlformats-officedocument.spreadsheetml.worksheet+xml" PartName="/xl/worksheets/sheet39347.xml"/>
  <Override ContentType="application/vnd.openxmlformats-officedocument.spreadsheetml.worksheet+xml" PartName="/xl/worksheets/sheet39348.xml"/>
  <Override ContentType="application/vnd.openxmlformats-officedocument.spreadsheetml.worksheet+xml" PartName="/xl/worksheets/sheet39349.xml"/>
  <Override ContentType="application/vnd.openxmlformats-officedocument.spreadsheetml.worksheet+xml" PartName="/xl/worksheets/sheet39350.xml"/>
  <Override ContentType="application/vnd.openxmlformats-officedocument.spreadsheetml.worksheet+xml" PartName="/xl/worksheets/sheet39351.xml"/>
  <Override ContentType="application/vnd.openxmlformats-officedocument.spreadsheetml.worksheet+xml" PartName="/xl/worksheets/sheet39352.xml"/>
  <Override ContentType="application/vnd.openxmlformats-officedocument.spreadsheetml.worksheet+xml" PartName="/xl/worksheets/sheet39353.xml"/>
  <Override ContentType="application/vnd.openxmlformats-officedocument.spreadsheetml.worksheet+xml" PartName="/xl/worksheets/sheet39354.xml"/>
  <Override ContentType="application/vnd.openxmlformats-officedocument.spreadsheetml.worksheet+xml" PartName="/xl/worksheets/sheet39355.xml"/>
  <Override ContentType="application/vnd.openxmlformats-officedocument.spreadsheetml.worksheet+xml" PartName="/xl/worksheets/sheet39356.xml"/>
  <Override ContentType="application/vnd.openxmlformats-officedocument.spreadsheetml.worksheet+xml" PartName="/xl/worksheets/sheet39357.xml"/>
  <Override ContentType="application/vnd.openxmlformats-officedocument.spreadsheetml.worksheet+xml" PartName="/xl/worksheets/sheet39358.xml"/>
  <Override ContentType="application/vnd.openxmlformats-officedocument.spreadsheetml.worksheet+xml" PartName="/xl/worksheets/sheet39359.xml"/>
  <Override ContentType="application/vnd.openxmlformats-officedocument.spreadsheetml.worksheet+xml" PartName="/xl/worksheets/sheet39360.xml"/>
  <Override ContentType="application/vnd.openxmlformats-officedocument.spreadsheetml.worksheet+xml" PartName="/xl/worksheets/sheet39361.xml"/>
  <Override ContentType="application/vnd.openxmlformats-officedocument.spreadsheetml.worksheet+xml" PartName="/xl/worksheets/sheet39362.xml"/>
  <Override ContentType="application/vnd.openxmlformats-officedocument.spreadsheetml.worksheet+xml" PartName="/xl/worksheets/sheet39363.xml"/>
  <Override ContentType="application/vnd.openxmlformats-officedocument.spreadsheetml.worksheet+xml" PartName="/xl/worksheets/sheet39364.xml"/>
  <Override ContentType="application/vnd.openxmlformats-officedocument.spreadsheetml.worksheet+xml" PartName="/xl/worksheets/sheet39365.xml"/>
  <Override ContentType="application/vnd.openxmlformats-officedocument.spreadsheetml.worksheet+xml" PartName="/xl/worksheets/sheet39366.xml"/>
  <Override ContentType="application/vnd.openxmlformats-officedocument.spreadsheetml.worksheet+xml" PartName="/xl/worksheets/sheet39367.xml"/>
  <Override ContentType="application/vnd.openxmlformats-officedocument.spreadsheetml.worksheet+xml" PartName="/xl/worksheets/sheet39368.xml"/>
  <Override ContentType="application/vnd.openxmlformats-officedocument.spreadsheetml.worksheet+xml" PartName="/xl/worksheets/sheet39369.xml"/>
  <Override ContentType="application/vnd.openxmlformats-officedocument.spreadsheetml.worksheet+xml" PartName="/xl/worksheets/sheet39370.xml"/>
  <Override ContentType="application/vnd.openxmlformats-officedocument.spreadsheetml.worksheet+xml" PartName="/xl/worksheets/sheet39371.xml"/>
  <Override ContentType="application/vnd.openxmlformats-officedocument.spreadsheetml.worksheet+xml" PartName="/xl/worksheets/sheet39372.xml"/>
  <Override ContentType="application/vnd.openxmlformats-officedocument.spreadsheetml.worksheet+xml" PartName="/xl/worksheets/sheet39373.xml"/>
  <Override ContentType="application/vnd.openxmlformats-officedocument.spreadsheetml.worksheet+xml" PartName="/xl/worksheets/sheet39374.xml"/>
  <Override ContentType="application/vnd.openxmlformats-officedocument.spreadsheetml.worksheet+xml" PartName="/xl/worksheets/sheet39375.xml"/>
  <Override ContentType="application/vnd.openxmlformats-officedocument.spreadsheetml.worksheet+xml" PartName="/xl/worksheets/sheet39376.xml"/>
  <Override ContentType="application/vnd.openxmlformats-officedocument.spreadsheetml.worksheet+xml" PartName="/xl/worksheets/sheet39377.xml"/>
  <Override ContentType="application/vnd.openxmlformats-officedocument.spreadsheetml.worksheet+xml" PartName="/xl/worksheets/sheet39378.xml"/>
  <Override ContentType="application/vnd.openxmlformats-officedocument.spreadsheetml.worksheet+xml" PartName="/xl/worksheets/sheet39379.xml"/>
  <Override ContentType="application/vnd.openxmlformats-officedocument.spreadsheetml.worksheet+xml" PartName="/xl/worksheets/sheet39380.xml"/>
  <Override ContentType="application/vnd.openxmlformats-officedocument.spreadsheetml.worksheet+xml" PartName="/xl/worksheets/sheet39381.xml"/>
  <Override ContentType="application/vnd.openxmlformats-officedocument.spreadsheetml.worksheet+xml" PartName="/xl/worksheets/sheet39382.xml"/>
  <Override ContentType="application/vnd.openxmlformats-officedocument.spreadsheetml.worksheet+xml" PartName="/xl/worksheets/sheet39383.xml"/>
  <Override ContentType="application/vnd.openxmlformats-officedocument.spreadsheetml.worksheet+xml" PartName="/xl/worksheets/sheet39384.xml"/>
  <Override ContentType="application/vnd.openxmlformats-officedocument.spreadsheetml.worksheet+xml" PartName="/xl/worksheets/sheet39385.xml"/>
  <Override ContentType="application/vnd.openxmlformats-officedocument.spreadsheetml.worksheet+xml" PartName="/xl/worksheets/sheet39386.xml"/>
  <Override ContentType="application/vnd.openxmlformats-officedocument.spreadsheetml.worksheet+xml" PartName="/xl/worksheets/sheet39387.xml"/>
  <Override ContentType="application/vnd.openxmlformats-officedocument.spreadsheetml.worksheet+xml" PartName="/xl/worksheets/sheet39388.xml"/>
  <Override ContentType="application/vnd.openxmlformats-officedocument.spreadsheetml.worksheet+xml" PartName="/xl/worksheets/sheet39389.xml"/>
  <Override ContentType="application/vnd.openxmlformats-officedocument.spreadsheetml.worksheet+xml" PartName="/xl/worksheets/sheet39390.xml"/>
  <Override ContentType="application/vnd.openxmlformats-officedocument.spreadsheetml.worksheet+xml" PartName="/xl/worksheets/sheet39391.xml"/>
  <Override ContentType="application/vnd.openxmlformats-officedocument.spreadsheetml.worksheet+xml" PartName="/xl/worksheets/sheet39392.xml"/>
  <Override ContentType="application/vnd.openxmlformats-officedocument.spreadsheetml.worksheet+xml" PartName="/xl/worksheets/sheet39393.xml"/>
  <Override ContentType="application/vnd.openxmlformats-officedocument.spreadsheetml.worksheet+xml" PartName="/xl/worksheets/sheet39394.xml"/>
  <Override ContentType="application/vnd.openxmlformats-officedocument.spreadsheetml.worksheet+xml" PartName="/xl/worksheets/sheet39395.xml"/>
  <Override ContentType="application/vnd.openxmlformats-officedocument.spreadsheetml.worksheet+xml" PartName="/xl/worksheets/sheet39396.xml"/>
  <Override ContentType="application/vnd.openxmlformats-officedocument.spreadsheetml.worksheet+xml" PartName="/xl/worksheets/sheet39397.xml"/>
  <Override ContentType="application/vnd.openxmlformats-officedocument.spreadsheetml.worksheet+xml" PartName="/xl/worksheets/sheet39398.xml"/>
  <Override ContentType="application/vnd.openxmlformats-officedocument.spreadsheetml.worksheet+xml" PartName="/xl/worksheets/sheet39399.xml"/>
  <Override ContentType="application/vnd.openxmlformats-officedocument.spreadsheetml.worksheet+xml" PartName="/xl/worksheets/sheet39400.xml"/>
  <Override ContentType="application/vnd.openxmlformats-officedocument.spreadsheetml.worksheet+xml" PartName="/xl/worksheets/sheet39401.xml"/>
  <Override ContentType="application/vnd.openxmlformats-officedocument.spreadsheetml.worksheet+xml" PartName="/xl/worksheets/sheet39402.xml"/>
  <Override ContentType="application/vnd.openxmlformats-officedocument.spreadsheetml.worksheet+xml" PartName="/xl/worksheets/sheet39403.xml"/>
  <Override ContentType="application/vnd.openxmlformats-officedocument.spreadsheetml.worksheet+xml" PartName="/xl/worksheets/sheet39404.xml"/>
  <Override ContentType="application/vnd.openxmlformats-officedocument.spreadsheetml.worksheet+xml" PartName="/xl/worksheets/sheet39405.xml"/>
  <Override ContentType="application/vnd.openxmlformats-officedocument.spreadsheetml.worksheet+xml" PartName="/xl/worksheets/sheet39406.xml"/>
  <Override ContentType="application/vnd.openxmlformats-officedocument.spreadsheetml.worksheet+xml" PartName="/xl/worksheets/sheet39407.xml"/>
  <Override ContentType="application/vnd.openxmlformats-officedocument.spreadsheetml.worksheet+xml" PartName="/xl/worksheets/sheet39408.xml"/>
  <Override ContentType="application/vnd.openxmlformats-officedocument.spreadsheetml.worksheet+xml" PartName="/xl/worksheets/sheet39409.xml"/>
  <Override ContentType="application/vnd.openxmlformats-officedocument.spreadsheetml.worksheet+xml" PartName="/xl/worksheets/sheet39410.xml"/>
  <Override ContentType="application/vnd.openxmlformats-officedocument.spreadsheetml.worksheet+xml" PartName="/xl/worksheets/sheet39411.xml"/>
  <Override ContentType="application/vnd.openxmlformats-officedocument.spreadsheetml.worksheet+xml" PartName="/xl/worksheets/sheet39412.xml"/>
  <Override ContentType="application/vnd.openxmlformats-officedocument.spreadsheetml.worksheet+xml" PartName="/xl/worksheets/sheet39413.xml"/>
  <Override ContentType="application/vnd.openxmlformats-officedocument.spreadsheetml.worksheet+xml" PartName="/xl/worksheets/sheet39414.xml"/>
  <Override ContentType="application/vnd.openxmlformats-officedocument.spreadsheetml.worksheet+xml" PartName="/xl/worksheets/sheet39415.xml"/>
  <Override ContentType="application/vnd.openxmlformats-officedocument.spreadsheetml.worksheet+xml" PartName="/xl/worksheets/sheet39416.xml"/>
  <Override ContentType="application/vnd.openxmlformats-officedocument.spreadsheetml.worksheet+xml" PartName="/xl/worksheets/sheet39417.xml"/>
  <Override ContentType="application/vnd.openxmlformats-officedocument.spreadsheetml.worksheet+xml" PartName="/xl/worksheets/sheet39418.xml"/>
  <Override ContentType="application/vnd.openxmlformats-officedocument.spreadsheetml.worksheet+xml" PartName="/xl/worksheets/sheet39419.xml"/>
  <Override ContentType="application/vnd.openxmlformats-officedocument.spreadsheetml.worksheet+xml" PartName="/xl/worksheets/sheet39420.xml"/>
  <Override ContentType="application/vnd.openxmlformats-officedocument.spreadsheetml.worksheet+xml" PartName="/xl/worksheets/sheet39421.xml"/>
  <Override ContentType="application/vnd.openxmlformats-officedocument.spreadsheetml.worksheet+xml" PartName="/xl/worksheets/sheet39422.xml"/>
  <Override ContentType="application/vnd.openxmlformats-officedocument.spreadsheetml.worksheet+xml" PartName="/xl/worksheets/sheet39423.xml"/>
  <Override ContentType="application/vnd.openxmlformats-officedocument.spreadsheetml.worksheet+xml" PartName="/xl/worksheets/sheet39424.xml"/>
  <Override ContentType="application/vnd.openxmlformats-officedocument.spreadsheetml.worksheet+xml" PartName="/xl/worksheets/sheet39425.xml"/>
  <Override ContentType="application/vnd.openxmlformats-officedocument.spreadsheetml.worksheet+xml" PartName="/xl/worksheets/sheet39426.xml"/>
  <Override ContentType="application/vnd.openxmlformats-officedocument.spreadsheetml.worksheet+xml" PartName="/xl/worksheets/sheet39427.xml"/>
  <Override ContentType="application/vnd.openxmlformats-officedocument.spreadsheetml.worksheet+xml" PartName="/xl/worksheets/sheet39428.xml"/>
  <Override ContentType="application/vnd.openxmlformats-officedocument.spreadsheetml.worksheet+xml" PartName="/xl/worksheets/sheet39429.xml"/>
  <Override ContentType="application/vnd.openxmlformats-officedocument.spreadsheetml.worksheet+xml" PartName="/xl/worksheets/sheet39430.xml"/>
  <Override ContentType="application/vnd.openxmlformats-officedocument.spreadsheetml.worksheet+xml" PartName="/xl/worksheets/sheet39431.xml"/>
  <Override ContentType="application/vnd.openxmlformats-officedocument.spreadsheetml.worksheet+xml" PartName="/xl/worksheets/sheet39432.xml"/>
  <Override ContentType="application/vnd.openxmlformats-officedocument.spreadsheetml.worksheet+xml" PartName="/xl/worksheets/sheet39433.xml"/>
  <Override ContentType="application/vnd.openxmlformats-officedocument.spreadsheetml.worksheet+xml" PartName="/xl/worksheets/sheet39434.xml"/>
  <Override ContentType="application/vnd.openxmlformats-officedocument.spreadsheetml.worksheet+xml" PartName="/xl/worksheets/sheet39435.xml"/>
  <Override ContentType="application/vnd.openxmlformats-officedocument.spreadsheetml.worksheet+xml" PartName="/xl/worksheets/sheet39436.xml"/>
  <Override ContentType="application/vnd.openxmlformats-officedocument.spreadsheetml.worksheet+xml" PartName="/xl/worksheets/sheet39437.xml"/>
  <Override ContentType="application/vnd.openxmlformats-officedocument.spreadsheetml.worksheet+xml" PartName="/xl/worksheets/sheet39438.xml"/>
  <Override ContentType="application/vnd.openxmlformats-officedocument.spreadsheetml.worksheet+xml" PartName="/xl/worksheets/sheet39439.xml"/>
  <Override ContentType="application/vnd.openxmlformats-officedocument.spreadsheetml.worksheet+xml" PartName="/xl/worksheets/sheet39440.xml"/>
  <Override ContentType="application/vnd.openxmlformats-officedocument.spreadsheetml.worksheet+xml" PartName="/xl/worksheets/sheet39441.xml"/>
  <Override ContentType="application/vnd.openxmlformats-officedocument.spreadsheetml.worksheet+xml" PartName="/xl/worksheets/sheet39442.xml"/>
  <Override ContentType="application/vnd.openxmlformats-officedocument.spreadsheetml.worksheet+xml" PartName="/xl/worksheets/sheet39443.xml"/>
  <Override ContentType="application/vnd.openxmlformats-officedocument.spreadsheetml.worksheet+xml" PartName="/xl/worksheets/sheet39444.xml"/>
  <Override ContentType="application/vnd.openxmlformats-officedocument.spreadsheetml.worksheet+xml" PartName="/xl/worksheets/sheet39445.xml"/>
  <Override ContentType="application/vnd.openxmlformats-officedocument.spreadsheetml.worksheet+xml" PartName="/xl/worksheets/sheet39446.xml"/>
  <Override ContentType="application/vnd.openxmlformats-officedocument.spreadsheetml.worksheet+xml" PartName="/xl/worksheets/sheet39447.xml"/>
  <Override ContentType="application/vnd.openxmlformats-officedocument.spreadsheetml.worksheet+xml" PartName="/xl/worksheets/sheet39448.xml"/>
  <Override ContentType="application/vnd.openxmlformats-officedocument.spreadsheetml.worksheet+xml" PartName="/xl/worksheets/sheet39449.xml"/>
  <Override ContentType="application/vnd.openxmlformats-officedocument.spreadsheetml.worksheet+xml" PartName="/xl/worksheets/sheet39450.xml"/>
  <Override ContentType="application/vnd.openxmlformats-officedocument.spreadsheetml.worksheet+xml" PartName="/xl/worksheets/sheet39451.xml"/>
  <Override ContentType="application/vnd.openxmlformats-officedocument.spreadsheetml.worksheet+xml" PartName="/xl/worksheets/sheet39452.xml"/>
  <Override ContentType="application/vnd.openxmlformats-officedocument.spreadsheetml.worksheet+xml" PartName="/xl/worksheets/sheet39453.xml"/>
  <Override ContentType="application/vnd.openxmlformats-officedocument.spreadsheetml.worksheet+xml" PartName="/xl/worksheets/sheet39454.xml"/>
  <Override ContentType="application/vnd.openxmlformats-officedocument.spreadsheetml.worksheet+xml" PartName="/xl/worksheets/sheet39455.xml"/>
  <Override ContentType="application/vnd.openxmlformats-officedocument.spreadsheetml.worksheet+xml" PartName="/xl/worksheets/sheet39456.xml"/>
  <Override ContentType="application/vnd.openxmlformats-officedocument.spreadsheetml.worksheet+xml" PartName="/xl/worksheets/sheet39457.xml"/>
  <Override ContentType="application/vnd.openxmlformats-officedocument.spreadsheetml.worksheet+xml" PartName="/xl/worksheets/sheet39458.xml"/>
  <Override ContentType="application/vnd.openxmlformats-officedocument.spreadsheetml.worksheet+xml" PartName="/xl/worksheets/sheet39459.xml"/>
  <Override ContentType="application/vnd.openxmlformats-officedocument.spreadsheetml.worksheet+xml" PartName="/xl/worksheets/sheet39460.xml"/>
  <Override ContentType="application/vnd.openxmlformats-officedocument.spreadsheetml.worksheet+xml" PartName="/xl/worksheets/sheet39461.xml"/>
  <Override ContentType="application/vnd.openxmlformats-officedocument.spreadsheetml.worksheet+xml" PartName="/xl/worksheets/sheet39462.xml"/>
  <Override ContentType="application/vnd.openxmlformats-officedocument.spreadsheetml.worksheet+xml" PartName="/xl/worksheets/sheet39463.xml"/>
  <Override ContentType="application/vnd.openxmlformats-officedocument.spreadsheetml.worksheet+xml" PartName="/xl/worksheets/sheet39464.xml"/>
  <Override ContentType="application/vnd.openxmlformats-officedocument.spreadsheetml.worksheet+xml" PartName="/xl/worksheets/sheet39465.xml"/>
  <Override ContentType="application/vnd.openxmlformats-officedocument.spreadsheetml.worksheet+xml" PartName="/xl/worksheets/sheet39466.xml"/>
  <Override ContentType="application/vnd.openxmlformats-officedocument.spreadsheetml.worksheet+xml" PartName="/xl/worksheets/sheet39467.xml"/>
  <Override ContentType="application/vnd.openxmlformats-officedocument.spreadsheetml.worksheet+xml" PartName="/xl/worksheets/sheet39468.xml"/>
  <Override ContentType="application/vnd.openxmlformats-officedocument.spreadsheetml.worksheet+xml" PartName="/xl/worksheets/sheet39469.xml"/>
  <Override ContentType="application/vnd.openxmlformats-officedocument.spreadsheetml.worksheet+xml" PartName="/xl/worksheets/sheet39470.xml"/>
  <Override ContentType="application/vnd.openxmlformats-officedocument.spreadsheetml.worksheet+xml" PartName="/xl/worksheets/sheet39471.xml"/>
  <Override ContentType="application/vnd.openxmlformats-officedocument.spreadsheetml.worksheet+xml" PartName="/xl/worksheets/sheet39472.xml"/>
  <Override ContentType="application/vnd.openxmlformats-officedocument.spreadsheetml.worksheet+xml" PartName="/xl/worksheets/sheet39473.xml"/>
  <Override ContentType="application/vnd.openxmlformats-officedocument.spreadsheetml.worksheet+xml" PartName="/xl/worksheets/sheet39474.xml"/>
  <Override ContentType="application/vnd.openxmlformats-officedocument.spreadsheetml.worksheet+xml" PartName="/xl/worksheets/sheet39475.xml"/>
  <Override ContentType="application/vnd.openxmlformats-officedocument.spreadsheetml.worksheet+xml" PartName="/xl/worksheets/sheet39476.xml"/>
  <Override ContentType="application/vnd.openxmlformats-officedocument.spreadsheetml.worksheet+xml" PartName="/xl/worksheets/sheet39477.xml"/>
  <Override ContentType="application/vnd.openxmlformats-officedocument.spreadsheetml.worksheet+xml" PartName="/xl/worksheets/sheet39478.xml"/>
  <Override ContentType="application/vnd.openxmlformats-officedocument.spreadsheetml.worksheet+xml" PartName="/xl/worksheets/sheet39479.xml"/>
  <Override ContentType="application/vnd.openxmlformats-officedocument.spreadsheetml.worksheet+xml" PartName="/xl/worksheets/sheet39480.xml"/>
  <Override ContentType="application/vnd.openxmlformats-officedocument.spreadsheetml.worksheet+xml" PartName="/xl/worksheets/sheet39481.xml"/>
  <Override ContentType="application/vnd.openxmlformats-officedocument.spreadsheetml.worksheet+xml" PartName="/xl/worksheets/sheet39482.xml"/>
  <Override ContentType="application/vnd.openxmlformats-officedocument.spreadsheetml.worksheet+xml" PartName="/xl/worksheets/sheet39483.xml"/>
  <Override ContentType="application/vnd.openxmlformats-officedocument.spreadsheetml.worksheet+xml" PartName="/xl/worksheets/sheet39484.xml"/>
  <Override ContentType="application/vnd.openxmlformats-officedocument.spreadsheetml.worksheet+xml" PartName="/xl/worksheets/sheet39485.xml"/>
  <Override ContentType="application/vnd.openxmlformats-officedocument.spreadsheetml.worksheet+xml" PartName="/xl/worksheets/sheet39486.xml"/>
  <Override ContentType="application/vnd.openxmlformats-officedocument.spreadsheetml.worksheet+xml" PartName="/xl/worksheets/sheet39487.xml"/>
  <Override ContentType="application/vnd.openxmlformats-officedocument.spreadsheetml.worksheet+xml" PartName="/xl/worksheets/sheet39488.xml"/>
  <Override ContentType="application/vnd.openxmlformats-officedocument.spreadsheetml.worksheet+xml" PartName="/xl/worksheets/sheet39489.xml"/>
  <Override ContentType="application/vnd.openxmlformats-officedocument.spreadsheetml.worksheet+xml" PartName="/xl/worksheets/sheet39490.xml"/>
  <Override ContentType="application/vnd.openxmlformats-officedocument.spreadsheetml.worksheet+xml" PartName="/xl/worksheets/sheet39491.xml"/>
  <Override ContentType="application/vnd.openxmlformats-officedocument.spreadsheetml.worksheet+xml" PartName="/xl/worksheets/sheet39492.xml"/>
  <Override ContentType="application/vnd.openxmlformats-officedocument.spreadsheetml.worksheet+xml" PartName="/xl/worksheets/sheet39493.xml"/>
  <Override ContentType="application/vnd.openxmlformats-officedocument.spreadsheetml.worksheet+xml" PartName="/xl/worksheets/sheet39494.xml"/>
  <Override ContentType="application/vnd.openxmlformats-officedocument.spreadsheetml.worksheet+xml" PartName="/xl/worksheets/sheet39495.xml"/>
  <Override ContentType="application/vnd.openxmlformats-officedocument.spreadsheetml.worksheet+xml" PartName="/xl/worksheets/sheet39496.xml"/>
  <Override ContentType="application/vnd.openxmlformats-officedocument.spreadsheetml.worksheet+xml" PartName="/xl/worksheets/sheet39497.xml"/>
  <Override ContentType="application/vnd.openxmlformats-officedocument.spreadsheetml.worksheet+xml" PartName="/xl/worksheets/sheet39498.xml"/>
  <Override ContentType="application/vnd.openxmlformats-officedocument.spreadsheetml.worksheet+xml" PartName="/xl/worksheets/sheet39499.xml"/>
  <Override ContentType="application/vnd.openxmlformats-officedocument.spreadsheetml.worksheet+xml" PartName="/xl/worksheets/sheet39500.xml"/>
  <Override ContentType="application/vnd.openxmlformats-officedocument.spreadsheetml.worksheet+xml" PartName="/xl/worksheets/sheet39501.xml"/>
  <Override ContentType="application/vnd.openxmlformats-officedocument.spreadsheetml.worksheet+xml" PartName="/xl/worksheets/sheet39502.xml"/>
  <Override ContentType="application/vnd.openxmlformats-officedocument.spreadsheetml.worksheet+xml" PartName="/xl/worksheets/sheet39503.xml"/>
  <Override ContentType="application/vnd.openxmlformats-officedocument.spreadsheetml.worksheet+xml" PartName="/xl/worksheets/sheet39504.xml"/>
  <Override ContentType="application/vnd.openxmlformats-officedocument.spreadsheetml.worksheet+xml" PartName="/xl/worksheets/sheet39505.xml"/>
  <Override ContentType="application/vnd.openxmlformats-officedocument.spreadsheetml.worksheet+xml" PartName="/xl/worksheets/sheet39506.xml"/>
  <Override ContentType="application/vnd.openxmlformats-officedocument.spreadsheetml.worksheet+xml" PartName="/xl/worksheets/sheet39507.xml"/>
  <Override ContentType="application/vnd.openxmlformats-officedocument.spreadsheetml.worksheet+xml" PartName="/xl/worksheets/sheet39508.xml"/>
  <Override ContentType="application/vnd.openxmlformats-officedocument.spreadsheetml.worksheet+xml" PartName="/xl/worksheets/sheet39509.xml"/>
  <Override ContentType="application/vnd.openxmlformats-officedocument.spreadsheetml.worksheet+xml" PartName="/xl/worksheets/sheet39510.xml"/>
  <Override ContentType="application/vnd.openxmlformats-officedocument.spreadsheetml.worksheet+xml" PartName="/xl/worksheets/sheet39511.xml"/>
  <Override ContentType="application/vnd.openxmlformats-officedocument.spreadsheetml.worksheet+xml" PartName="/xl/worksheets/sheet39512.xml"/>
  <Override ContentType="application/vnd.openxmlformats-officedocument.spreadsheetml.worksheet+xml" PartName="/xl/worksheets/sheet39513.xml"/>
  <Override ContentType="application/vnd.openxmlformats-officedocument.spreadsheetml.worksheet+xml" PartName="/xl/worksheets/sheet39514.xml"/>
  <Override ContentType="application/vnd.openxmlformats-officedocument.spreadsheetml.worksheet+xml" PartName="/xl/worksheets/sheet39515.xml"/>
  <Override ContentType="application/vnd.openxmlformats-officedocument.spreadsheetml.worksheet+xml" PartName="/xl/worksheets/sheet39516.xml"/>
  <Override ContentType="application/vnd.openxmlformats-officedocument.spreadsheetml.worksheet+xml" PartName="/xl/worksheets/sheet39517.xml"/>
  <Override ContentType="application/vnd.openxmlformats-officedocument.spreadsheetml.worksheet+xml" PartName="/xl/worksheets/sheet39518.xml"/>
  <Override ContentType="application/vnd.openxmlformats-officedocument.spreadsheetml.worksheet+xml" PartName="/xl/worksheets/sheet39519.xml"/>
  <Override ContentType="application/vnd.openxmlformats-officedocument.spreadsheetml.worksheet+xml" PartName="/xl/worksheets/sheet39520.xml"/>
  <Override ContentType="application/vnd.openxmlformats-officedocument.spreadsheetml.worksheet+xml" PartName="/xl/worksheets/sheet39521.xml"/>
  <Override ContentType="application/vnd.openxmlformats-officedocument.spreadsheetml.worksheet+xml" PartName="/xl/worksheets/sheet39522.xml"/>
  <Override ContentType="application/vnd.openxmlformats-officedocument.spreadsheetml.worksheet+xml" PartName="/xl/worksheets/sheet39523.xml"/>
  <Override ContentType="application/vnd.openxmlformats-officedocument.spreadsheetml.worksheet+xml" PartName="/xl/worksheets/sheet39524.xml"/>
  <Override ContentType="application/vnd.openxmlformats-officedocument.spreadsheetml.worksheet+xml" PartName="/xl/worksheets/sheet39525.xml"/>
  <Override ContentType="application/vnd.openxmlformats-officedocument.spreadsheetml.worksheet+xml" PartName="/xl/worksheets/sheet39526.xml"/>
  <Override ContentType="application/vnd.openxmlformats-officedocument.spreadsheetml.worksheet+xml" PartName="/xl/worksheets/sheet39527.xml"/>
  <Override ContentType="application/vnd.openxmlformats-officedocument.spreadsheetml.worksheet+xml" PartName="/xl/worksheets/sheet39528.xml"/>
  <Override ContentType="application/vnd.openxmlformats-officedocument.spreadsheetml.worksheet+xml" PartName="/xl/worksheets/sheet39529.xml"/>
  <Override ContentType="application/vnd.openxmlformats-officedocument.spreadsheetml.worksheet+xml" PartName="/xl/worksheets/sheet39530.xml"/>
  <Override ContentType="application/vnd.openxmlformats-officedocument.spreadsheetml.worksheet+xml" PartName="/xl/worksheets/sheet39531.xml"/>
  <Override ContentType="application/vnd.openxmlformats-officedocument.spreadsheetml.worksheet+xml" PartName="/xl/worksheets/sheet39532.xml"/>
  <Override ContentType="application/vnd.openxmlformats-officedocument.spreadsheetml.worksheet+xml" PartName="/xl/worksheets/sheet39533.xml"/>
  <Override ContentType="application/vnd.openxmlformats-officedocument.spreadsheetml.worksheet+xml" PartName="/xl/worksheets/sheet39534.xml"/>
  <Override ContentType="application/vnd.openxmlformats-officedocument.spreadsheetml.worksheet+xml" PartName="/xl/worksheets/sheet39535.xml"/>
  <Override ContentType="application/vnd.openxmlformats-officedocument.spreadsheetml.worksheet+xml" PartName="/xl/worksheets/sheet39536.xml"/>
  <Override ContentType="application/vnd.openxmlformats-officedocument.spreadsheetml.worksheet+xml" PartName="/xl/worksheets/sheet39537.xml"/>
  <Override ContentType="application/vnd.openxmlformats-officedocument.spreadsheetml.worksheet+xml" PartName="/xl/worksheets/sheet39538.xml"/>
  <Override ContentType="application/vnd.openxmlformats-officedocument.spreadsheetml.worksheet+xml" PartName="/xl/worksheets/sheet39539.xml"/>
  <Override ContentType="application/vnd.openxmlformats-officedocument.spreadsheetml.worksheet+xml" PartName="/xl/worksheets/sheet39540.xml"/>
  <Override ContentType="application/vnd.openxmlformats-officedocument.spreadsheetml.worksheet+xml" PartName="/xl/worksheets/sheet39541.xml"/>
  <Override ContentType="application/vnd.openxmlformats-officedocument.spreadsheetml.worksheet+xml" PartName="/xl/worksheets/sheet39542.xml"/>
  <Override ContentType="application/vnd.openxmlformats-officedocument.spreadsheetml.worksheet+xml" PartName="/xl/worksheets/sheet39543.xml"/>
  <Override ContentType="application/vnd.openxmlformats-officedocument.spreadsheetml.worksheet+xml" PartName="/xl/worksheets/sheet39544.xml"/>
  <Override ContentType="application/vnd.openxmlformats-officedocument.spreadsheetml.worksheet+xml" PartName="/xl/worksheets/sheet39545.xml"/>
  <Override ContentType="application/vnd.openxmlformats-officedocument.spreadsheetml.worksheet+xml" PartName="/xl/worksheets/sheet39546.xml"/>
  <Override ContentType="application/vnd.openxmlformats-officedocument.spreadsheetml.worksheet+xml" PartName="/xl/worksheets/sheet39547.xml"/>
  <Override ContentType="application/vnd.openxmlformats-officedocument.spreadsheetml.worksheet+xml" PartName="/xl/worksheets/sheet39548.xml"/>
  <Override ContentType="application/vnd.openxmlformats-officedocument.spreadsheetml.worksheet+xml" PartName="/xl/worksheets/sheet39549.xml"/>
  <Override ContentType="application/vnd.openxmlformats-officedocument.spreadsheetml.worksheet+xml" PartName="/xl/worksheets/sheet39550.xml"/>
  <Override ContentType="application/vnd.openxmlformats-officedocument.spreadsheetml.worksheet+xml" PartName="/xl/worksheets/sheet39551.xml"/>
  <Override ContentType="application/vnd.openxmlformats-officedocument.spreadsheetml.worksheet+xml" PartName="/xl/worksheets/sheet39552.xml"/>
  <Override ContentType="application/vnd.openxmlformats-officedocument.spreadsheetml.worksheet+xml" PartName="/xl/worksheets/sheet39553.xml"/>
  <Override ContentType="application/vnd.openxmlformats-officedocument.spreadsheetml.worksheet+xml" PartName="/xl/worksheets/sheet39554.xml"/>
  <Override ContentType="application/vnd.openxmlformats-officedocument.spreadsheetml.worksheet+xml" PartName="/xl/worksheets/sheet39555.xml"/>
  <Override ContentType="application/vnd.openxmlformats-officedocument.spreadsheetml.worksheet+xml" PartName="/xl/worksheets/sheet39556.xml"/>
  <Override ContentType="application/vnd.openxmlformats-officedocument.spreadsheetml.worksheet+xml" PartName="/xl/worksheets/sheet39557.xml"/>
  <Override ContentType="application/vnd.openxmlformats-officedocument.spreadsheetml.worksheet+xml" PartName="/xl/worksheets/sheet39558.xml"/>
  <Override ContentType="application/vnd.openxmlformats-officedocument.spreadsheetml.worksheet+xml" PartName="/xl/worksheets/sheet39559.xml"/>
  <Override ContentType="application/vnd.openxmlformats-officedocument.spreadsheetml.worksheet+xml" PartName="/xl/worksheets/sheet39560.xml"/>
  <Override ContentType="application/vnd.openxmlformats-officedocument.spreadsheetml.worksheet+xml" PartName="/xl/worksheets/sheet39561.xml"/>
  <Override ContentType="application/vnd.openxmlformats-officedocument.spreadsheetml.worksheet+xml" PartName="/xl/worksheets/sheet39562.xml"/>
  <Override ContentType="application/vnd.openxmlformats-officedocument.spreadsheetml.worksheet+xml" PartName="/xl/worksheets/sheet39563.xml"/>
  <Override ContentType="application/vnd.openxmlformats-officedocument.spreadsheetml.worksheet+xml" PartName="/xl/worksheets/sheet39564.xml"/>
  <Override ContentType="application/vnd.openxmlformats-officedocument.spreadsheetml.worksheet+xml" PartName="/xl/worksheets/sheet39565.xml"/>
  <Override ContentType="application/vnd.openxmlformats-officedocument.spreadsheetml.worksheet+xml" PartName="/xl/worksheets/sheet39566.xml"/>
  <Override ContentType="application/vnd.openxmlformats-officedocument.spreadsheetml.worksheet+xml" PartName="/xl/worksheets/sheet39567.xml"/>
  <Override ContentType="application/vnd.openxmlformats-officedocument.spreadsheetml.worksheet+xml" PartName="/xl/worksheets/sheet39568.xml"/>
  <Override ContentType="application/vnd.openxmlformats-officedocument.spreadsheetml.worksheet+xml" PartName="/xl/worksheets/sheet39569.xml"/>
  <Override ContentType="application/vnd.openxmlformats-officedocument.spreadsheetml.worksheet+xml" PartName="/xl/worksheets/sheet39570.xml"/>
  <Override ContentType="application/vnd.openxmlformats-officedocument.spreadsheetml.worksheet+xml" PartName="/xl/worksheets/sheet39571.xml"/>
  <Override ContentType="application/vnd.openxmlformats-officedocument.spreadsheetml.worksheet+xml" PartName="/xl/worksheets/sheet39572.xml"/>
  <Override ContentType="application/vnd.openxmlformats-officedocument.spreadsheetml.worksheet+xml" PartName="/xl/worksheets/sheet39573.xml"/>
  <Override ContentType="application/vnd.openxmlformats-officedocument.spreadsheetml.worksheet+xml" PartName="/xl/worksheets/sheet39574.xml"/>
  <Override ContentType="application/vnd.openxmlformats-officedocument.spreadsheetml.worksheet+xml" PartName="/xl/worksheets/sheet39575.xml"/>
  <Override ContentType="application/vnd.openxmlformats-officedocument.spreadsheetml.worksheet+xml" PartName="/xl/worksheets/sheet39576.xml"/>
  <Override ContentType="application/vnd.openxmlformats-officedocument.spreadsheetml.worksheet+xml" PartName="/xl/worksheets/sheet39577.xml"/>
  <Override ContentType="application/vnd.openxmlformats-officedocument.spreadsheetml.worksheet+xml" PartName="/xl/worksheets/sheet39578.xml"/>
  <Override ContentType="application/vnd.openxmlformats-officedocument.spreadsheetml.worksheet+xml" PartName="/xl/worksheets/sheet39579.xml"/>
  <Override ContentType="application/vnd.openxmlformats-officedocument.spreadsheetml.worksheet+xml" PartName="/xl/worksheets/sheet39580.xml"/>
  <Override ContentType="application/vnd.openxmlformats-officedocument.spreadsheetml.worksheet+xml" PartName="/xl/worksheets/sheet39581.xml"/>
  <Override ContentType="application/vnd.openxmlformats-officedocument.spreadsheetml.worksheet+xml" PartName="/xl/worksheets/sheet39582.xml"/>
  <Override ContentType="application/vnd.openxmlformats-officedocument.spreadsheetml.worksheet+xml" PartName="/xl/worksheets/sheet39583.xml"/>
  <Override ContentType="application/vnd.openxmlformats-officedocument.spreadsheetml.worksheet+xml" PartName="/xl/worksheets/sheet39584.xml"/>
  <Override ContentType="application/vnd.openxmlformats-officedocument.spreadsheetml.worksheet+xml" PartName="/xl/worksheets/sheet39585.xml"/>
  <Override ContentType="application/vnd.openxmlformats-officedocument.spreadsheetml.worksheet+xml" PartName="/xl/worksheets/sheet39586.xml"/>
  <Override ContentType="application/vnd.openxmlformats-officedocument.spreadsheetml.worksheet+xml" PartName="/xl/worksheets/sheet39587.xml"/>
  <Override ContentType="application/vnd.openxmlformats-officedocument.spreadsheetml.worksheet+xml" PartName="/xl/worksheets/sheet39588.xml"/>
  <Override ContentType="application/vnd.openxmlformats-officedocument.spreadsheetml.worksheet+xml" PartName="/xl/worksheets/sheet39589.xml"/>
  <Override ContentType="application/vnd.openxmlformats-officedocument.spreadsheetml.worksheet+xml" PartName="/xl/worksheets/sheet39590.xml"/>
  <Override ContentType="application/vnd.openxmlformats-officedocument.spreadsheetml.worksheet+xml" PartName="/xl/worksheets/sheet39591.xml"/>
  <Override ContentType="application/vnd.openxmlformats-officedocument.spreadsheetml.worksheet+xml" PartName="/xl/worksheets/sheet39592.xml"/>
  <Override ContentType="application/vnd.openxmlformats-officedocument.spreadsheetml.worksheet+xml" PartName="/xl/worksheets/sheet39593.xml"/>
  <Override ContentType="application/vnd.openxmlformats-officedocument.spreadsheetml.worksheet+xml" PartName="/xl/worksheets/sheet39594.xml"/>
  <Override ContentType="application/vnd.openxmlformats-officedocument.spreadsheetml.worksheet+xml" PartName="/xl/worksheets/sheet39595.xml"/>
  <Override ContentType="application/vnd.openxmlformats-officedocument.spreadsheetml.worksheet+xml" PartName="/xl/worksheets/sheet39596.xml"/>
  <Override ContentType="application/vnd.openxmlformats-officedocument.spreadsheetml.worksheet+xml" PartName="/xl/worksheets/sheet39597.xml"/>
  <Override ContentType="application/vnd.openxmlformats-officedocument.spreadsheetml.worksheet+xml" PartName="/xl/worksheets/sheet39598.xml"/>
  <Override ContentType="application/vnd.openxmlformats-officedocument.spreadsheetml.worksheet+xml" PartName="/xl/worksheets/sheet39599.xml"/>
  <Override ContentType="application/vnd.openxmlformats-officedocument.spreadsheetml.worksheet+xml" PartName="/xl/worksheets/sheet39600.xml"/>
  <Override ContentType="application/vnd.openxmlformats-officedocument.spreadsheetml.worksheet+xml" PartName="/xl/worksheets/sheet39601.xml"/>
  <Override ContentType="application/vnd.openxmlformats-officedocument.spreadsheetml.worksheet+xml" PartName="/xl/worksheets/sheet39602.xml"/>
  <Override ContentType="application/vnd.openxmlformats-officedocument.spreadsheetml.worksheet+xml" PartName="/xl/worksheets/sheet39603.xml"/>
  <Override ContentType="application/vnd.openxmlformats-officedocument.spreadsheetml.worksheet+xml" PartName="/xl/worksheets/sheet39604.xml"/>
  <Override ContentType="application/vnd.openxmlformats-officedocument.spreadsheetml.worksheet+xml" PartName="/xl/worksheets/sheet39605.xml"/>
  <Override ContentType="application/vnd.openxmlformats-officedocument.spreadsheetml.worksheet+xml" PartName="/xl/worksheets/sheet39606.xml"/>
  <Override ContentType="application/vnd.openxmlformats-officedocument.spreadsheetml.worksheet+xml" PartName="/xl/worksheets/sheet39607.xml"/>
  <Override ContentType="application/vnd.openxmlformats-officedocument.spreadsheetml.worksheet+xml" PartName="/xl/worksheets/sheet39608.xml"/>
  <Override ContentType="application/vnd.openxmlformats-officedocument.spreadsheetml.worksheet+xml" PartName="/xl/worksheets/sheet39609.xml"/>
  <Override ContentType="application/vnd.openxmlformats-officedocument.spreadsheetml.worksheet+xml" PartName="/xl/worksheets/sheet39610.xml"/>
  <Override ContentType="application/vnd.openxmlformats-officedocument.spreadsheetml.worksheet+xml" PartName="/xl/worksheets/sheet39611.xml"/>
  <Override ContentType="application/vnd.openxmlformats-officedocument.spreadsheetml.worksheet+xml" PartName="/xl/worksheets/sheet39612.xml"/>
  <Override ContentType="application/vnd.openxmlformats-officedocument.spreadsheetml.worksheet+xml" PartName="/xl/worksheets/sheet39613.xml"/>
  <Override ContentType="application/vnd.openxmlformats-officedocument.spreadsheetml.worksheet+xml" PartName="/xl/worksheets/sheet39614.xml"/>
  <Override ContentType="application/vnd.openxmlformats-officedocument.spreadsheetml.worksheet+xml" PartName="/xl/worksheets/sheet39615.xml"/>
  <Override ContentType="application/vnd.openxmlformats-officedocument.spreadsheetml.worksheet+xml" PartName="/xl/worksheets/sheet39616.xml"/>
  <Override ContentType="application/vnd.openxmlformats-officedocument.spreadsheetml.worksheet+xml" PartName="/xl/worksheets/sheet39617.xml"/>
  <Override ContentType="application/vnd.openxmlformats-officedocument.spreadsheetml.worksheet+xml" PartName="/xl/worksheets/sheet39618.xml"/>
  <Override ContentType="application/vnd.openxmlformats-officedocument.spreadsheetml.worksheet+xml" PartName="/xl/worksheets/sheet39619.xml"/>
  <Override ContentType="application/vnd.openxmlformats-officedocument.spreadsheetml.worksheet+xml" PartName="/xl/worksheets/sheet39620.xml"/>
  <Override ContentType="application/vnd.openxmlformats-officedocument.spreadsheetml.worksheet+xml" PartName="/xl/worksheets/sheet39621.xml"/>
  <Override ContentType="application/vnd.openxmlformats-officedocument.spreadsheetml.worksheet+xml" PartName="/xl/worksheets/sheet39622.xml"/>
  <Override ContentType="application/vnd.openxmlformats-officedocument.spreadsheetml.worksheet+xml" PartName="/xl/worksheets/sheet39623.xml"/>
  <Override ContentType="application/vnd.openxmlformats-officedocument.spreadsheetml.worksheet+xml" PartName="/xl/worksheets/sheet39624.xml"/>
  <Override ContentType="application/vnd.openxmlformats-officedocument.spreadsheetml.worksheet+xml" PartName="/xl/worksheets/sheet39625.xml"/>
  <Override ContentType="application/vnd.openxmlformats-officedocument.spreadsheetml.worksheet+xml" PartName="/xl/worksheets/sheet39626.xml"/>
  <Override ContentType="application/vnd.openxmlformats-officedocument.spreadsheetml.worksheet+xml" PartName="/xl/worksheets/sheet39627.xml"/>
  <Override ContentType="application/vnd.openxmlformats-officedocument.spreadsheetml.worksheet+xml" PartName="/xl/worksheets/sheet39628.xml"/>
  <Override ContentType="application/vnd.openxmlformats-officedocument.spreadsheetml.worksheet+xml" PartName="/xl/worksheets/sheet39629.xml"/>
  <Override ContentType="application/vnd.openxmlformats-officedocument.spreadsheetml.worksheet+xml" PartName="/xl/worksheets/sheet39630.xml"/>
  <Override ContentType="application/vnd.openxmlformats-officedocument.spreadsheetml.worksheet+xml" PartName="/xl/worksheets/sheet39631.xml"/>
  <Override ContentType="application/vnd.openxmlformats-officedocument.spreadsheetml.worksheet+xml" PartName="/xl/worksheets/sheet39632.xml"/>
  <Override ContentType="application/vnd.openxmlformats-officedocument.spreadsheetml.worksheet+xml" PartName="/xl/worksheets/sheet39633.xml"/>
  <Override ContentType="application/vnd.openxmlformats-officedocument.spreadsheetml.worksheet+xml" PartName="/xl/worksheets/sheet39634.xml"/>
  <Override ContentType="application/vnd.openxmlformats-officedocument.spreadsheetml.worksheet+xml" PartName="/xl/worksheets/sheet39635.xml"/>
  <Override ContentType="application/vnd.openxmlformats-officedocument.spreadsheetml.worksheet+xml" PartName="/xl/worksheets/sheet39636.xml"/>
  <Override ContentType="application/vnd.openxmlformats-officedocument.spreadsheetml.worksheet+xml" PartName="/xl/worksheets/sheet39637.xml"/>
  <Override ContentType="application/vnd.openxmlformats-officedocument.spreadsheetml.worksheet+xml" PartName="/xl/worksheets/sheet39638.xml"/>
  <Override ContentType="application/vnd.openxmlformats-officedocument.spreadsheetml.worksheet+xml" PartName="/xl/worksheets/sheet39639.xml"/>
  <Override ContentType="application/vnd.openxmlformats-officedocument.spreadsheetml.worksheet+xml" PartName="/xl/worksheets/sheet39640.xml"/>
  <Override ContentType="application/vnd.openxmlformats-officedocument.spreadsheetml.worksheet+xml" PartName="/xl/worksheets/sheet39641.xml"/>
  <Override ContentType="application/vnd.openxmlformats-officedocument.spreadsheetml.worksheet+xml" PartName="/xl/worksheets/sheet39642.xml"/>
  <Override ContentType="application/vnd.openxmlformats-officedocument.spreadsheetml.worksheet+xml" PartName="/xl/worksheets/sheet39643.xml"/>
  <Override ContentType="application/vnd.openxmlformats-officedocument.spreadsheetml.worksheet+xml" PartName="/xl/worksheets/sheet39644.xml"/>
  <Override ContentType="application/vnd.openxmlformats-officedocument.spreadsheetml.worksheet+xml" PartName="/xl/worksheets/sheet39645.xml"/>
  <Override ContentType="application/vnd.openxmlformats-officedocument.spreadsheetml.worksheet+xml" PartName="/xl/worksheets/sheet39646.xml"/>
  <Override ContentType="application/vnd.openxmlformats-officedocument.spreadsheetml.worksheet+xml" PartName="/xl/worksheets/sheet39647.xml"/>
  <Override ContentType="application/vnd.openxmlformats-officedocument.spreadsheetml.worksheet+xml" PartName="/xl/worksheets/sheet39648.xml"/>
  <Override ContentType="application/vnd.openxmlformats-officedocument.spreadsheetml.worksheet+xml" PartName="/xl/worksheets/sheet39649.xml"/>
  <Override ContentType="application/vnd.openxmlformats-officedocument.spreadsheetml.worksheet+xml" PartName="/xl/worksheets/sheet39650.xml"/>
  <Override ContentType="application/vnd.openxmlformats-officedocument.spreadsheetml.worksheet+xml" PartName="/xl/worksheets/sheet39651.xml"/>
  <Override ContentType="application/vnd.openxmlformats-officedocument.spreadsheetml.worksheet+xml" PartName="/xl/worksheets/sheet39652.xml"/>
  <Override ContentType="application/vnd.openxmlformats-officedocument.spreadsheetml.worksheet+xml" PartName="/xl/worksheets/sheet39653.xml"/>
  <Override ContentType="application/vnd.openxmlformats-officedocument.spreadsheetml.worksheet+xml" PartName="/xl/worksheets/sheet39654.xml"/>
  <Override ContentType="application/vnd.openxmlformats-officedocument.spreadsheetml.worksheet+xml" PartName="/xl/worksheets/sheet39655.xml"/>
  <Override ContentType="application/vnd.openxmlformats-officedocument.spreadsheetml.worksheet+xml" PartName="/xl/worksheets/sheet39656.xml"/>
  <Override ContentType="application/vnd.openxmlformats-officedocument.spreadsheetml.worksheet+xml" PartName="/xl/worksheets/sheet39657.xml"/>
  <Override ContentType="application/vnd.openxmlformats-officedocument.spreadsheetml.worksheet+xml" PartName="/xl/worksheets/sheet39658.xml"/>
  <Override ContentType="application/vnd.openxmlformats-officedocument.spreadsheetml.worksheet+xml" PartName="/xl/worksheets/sheet39659.xml"/>
  <Override ContentType="application/vnd.openxmlformats-officedocument.spreadsheetml.worksheet+xml" PartName="/xl/worksheets/sheet39660.xml"/>
  <Override ContentType="application/vnd.openxmlformats-officedocument.spreadsheetml.worksheet+xml" PartName="/xl/worksheets/sheet39661.xml"/>
  <Override ContentType="application/vnd.openxmlformats-officedocument.spreadsheetml.worksheet+xml" PartName="/xl/worksheets/sheet39662.xml"/>
  <Override ContentType="application/vnd.openxmlformats-officedocument.spreadsheetml.worksheet+xml" PartName="/xl/worksheets/sheet39663.xml"/>
  <Override ContentType="application/vnd.openxmlformats-officedocument.spreadsheetml.worksheet+xml" PartName="/xl/worksheets/sheet39664.xml"/>
  <Override ContentType="application/vnd.openxmlformats-officedocument.spreadsheetml.worksheet+xml" PartName="/xl/worksheets/sheet39665.xml"/>
  <Override ContentType="application/vnd.openxmlformats-officedocument.spreadsheetml.worksheet+xml" PartName="/xl/worksheets/sheet39666.xml"/>
  <Override ContentType="application/vnd.openxmlformats-officedocument.spreadsheetml.worksheet+xml" PartName="/xl/worksheets/sheet39667.xml"/>
  <Override ContentType="application/vnd.openxmlformats-officedocument.spreadsheetml.worksheet+xml" PartName="/xl/worksheets/sheet39668.xml"/>
  <Override ContentType="application/vnd.openxmlformats-officedocument.spreadsheetml.worksheet+xml" PartName="/xl/worksheets/sheet39669.xml"/>
  <Override ContentType="application/vnd.openxmlformats-officedocument.spreadsheetml.worksheet+xml" PartName="/xl/worksheets/sheet39670.xml"/>
  <Override ContentType="application/vnd.openxmlformats-officedocument.spreadsheetml.worksheet+xml" PartName="/xl/worksheets/sheet39671.xml"/>
  <Override ContentType="application/vnd.openxmlformats-officedocument.spreadsheetml.worksheet+xml" PartName="/xl/worksheets/sheet39672.xml"/>
  <Override ContentType="application/vnd.openxmlformats-officedocument.spreadsheetml.worksheet+xml" PartName="/xl/worksheets/sheet39673.xml"/>
  <Override ContentType="application/vnd.openxmlformats-officedocument.spreadsheetml.worksheet+xml" PartName="/xl/worksheets/sheet39674.xml"/>
  <Override ContentType="application/vnd.openxmlformats-officedocument.spreadsheetml.worksheet+xml" PartName="/xl/worksheets/sheet39675.xml"/>
  <Override ContentType="application/vnd.openxmlformats-officedocument.spreadsheetml.worksheet+xml" PartName="/xl/worksheets/sheet39676.xml"/>
  <Override ContentType="application/vnd.openxmlformats-officedocument.spreadsheetml.worksheet+xml" PartName="/xl/worksheets/sheet39677.xml"/>
  <Override ContentType="application/vnd.openxmlformats-officedocument.spreadsheetml.worksheet+xml" PartName="/xl/worksheets/sheet39678.xml"/>
  <Override ContentType="application/vnd.openxmlformats-officedocument.spreadsheetml.worksheet+xml" PartName="/xl/worksheets/sheet39679.xml"/>
  <Override ContentType="application/vnd.openxmlformats-officedocument.spreadsheetml.worksheet+xml" PartName="/xl/worksheets/sheet39680.xml"/>
  <Override ContentType="application/vnd.openxmlformats-officedocument.spreadsheetml.worksheet+xml" PartName="/xl/worksheets/sheet39681.xml"/>
  <Override ContentType="application/vnd.openxmlformats-officedocument.spreadsheetml.worksheet+xml" PartName="/xl/worksheets/sheet39682.xml"/>
  <Override ContentType="application/vnd.openxmlformats-officedocument.spreadsheetml.worksheet+xml" PartName="/xl/worksheets/sheet39683.xml"/>
  <Override ContentType="application/vnd.openxmlformats-officedocument.spreadsheetml.worksheet+xml" PartName="/xl/worksheets/sheet39684.xml"/>
  <Override ContentType="application/vnd.openxmlformats-officedocument.spreadsheetml.worksheet+xml" PartName="/xl/worksheets/sheet39685.xml"/>
  <Override ContentType="application/vnd.openxmlformats-officedocument.spreadsheetml.worksheet+xml" PartName="/xl/worksheets/sheet39686.xml"/>
  <Override ContentType="application/vnd.openxmlformats-officedocument.spreadsheetml.worksheet+xml" PartName="/xl/worksheets/sheet39687.xml"/>
  <Override ContentType="application/vnd.openxmlformats-officedocument.spreadsheetml.worksheet+xml" PartName="/xl/worksheets/sheet39688.xml"/>
  <Override ContentType="application/vnd.openxmlformats-officedocument.spreadsheetml.worksheet+xml" PartName="/xl/worksheets/sheet39689.xml"/>
  <Override ContentType="application/vnd.openxmlformats-officedocument.spreadsheetml.worksheet+xml" PartName="/xl/worksheets/sheet39690.xml"/>
  <Override ContentType="application/vnd.openxmlformats-officedocument.spreadsheetml.worksheet+xml" PartName="/xl/worksheets/sheet39691.xml"/>
  <Override ContentType="application/vnd.openxmlformats-officedocument.spreadsheetml.worksheet+xml" PartName="/xl/worksheets/sheet39692.xml"/>
  <Override ContentType="application/vnd.openxmlformats-officedocument.spreadsheetml.worksheet+xml" PartName="/xl/worksheets/sheet39693.xml"/>
  <Override ContentType="application/vnd.openxmlformats-officedocument.spreadsheetml.worksheet+xml" PartName="/xl/worksheets/sheet39694.xml"/>
  <Override ContentType="application/vnd.openxmlformats-officedocument.spreadsheetml.worksheet+xml" PartName="/xl/worksheets/sheet39695.xml"/>
  <Override ContentType="application/vnd.openxmlformats-officedocument.spreadsheetml.worksheet+xml" PartName="/xl/worksheets/sheet39696.xml"/>
  <Override ContentType="application/vnd.openxmlformats-officedocument.spreadsheetml.worksheet+xml" PartName="/xl/worksheets/sheet39697.xml"/>
  <Override ContentType="application/vnd.openxmlformats-officedocument.spreadsheetml.worksheet+xml" PartName="/xl/worksheets/sheet39698.xml"/>
  <Override ContentType="application/vnd.openxmlformats-officedocument.spreadsheetml.worksheet+xml" PartName="/xl/worksheets/sheet39699.xml"/>
  <Override ContentType="application/vnd.openxmlformats-officedocument.spreadsheetml.worksheet+xml" PartName="/xl/worksheets/sheet39700.xml"/>
  <Override ContentType="application/vnd.openxmlformats-officedocument.spreadsheetml.worksheet+xml" PartName="/xl/worksheets/sheet39701.xml"/>
  <Override ContentType="application/vnd.openxmlformats-officedocument.spreadsheetml.worksheet+xml" PartName="/xl/worksheets/sheet39702.xml"/>
  <Override ContentType="application/vnd.openxmlformats-officedocument.spreadsheetml.worksheet+xml" PartName="/xl/worksheets/sheet39703.xml"/>
  <Override ContentType="application/vnd.openxmlformats-officedocument.spreadsheetml.worksheet+xml" PartName="/xl/worksheets/sheet39704.xml"/>
  <Override ContentType="application/vnd.openxmlformats-officedocument.spreadsheetml.worksheet+xml" PartName="/xl/worksheets/sheet39705.xml"/>
  <Override ContentType="application/vnd.openxmlformats-officedocument.spreadsheetml.worksheet+xml" PartName="/xl/worksheets/sheet39706.xml"/>
  <Override ContentType="application/vnd.openxmlformats-officedocument.spreadsheetml.worksheet+xml" PartName="/xl/worksheets/sheet39707.xml"/>
  <Override ContentType="application/vnd.openxmlformats-officedocument.spreadsheetml.worksheet+xml" PartName="/xl/worksheets/sheet39708.xml"/>
  <Override ContentType="application/vnd.openxmlformats-officedocument.spreadsheetml.worksheet+xml" PartName="/xl/worksheets/sheet39709.xml"/>
  <Override ContentType="application/vnd.openxmlformats-officedocument.spreadsheetml.worksheet+xml" PartName="/xl/worksheets/sheet39710.xml"/>
  <Override ContentType="application/vnd.openxmlformats-officedocument.spreadsheetml.worksheet+xml" PartName="/xl/worksheets/sheet39711.xml"/>
  <Override ContentType="application/vnd.openxmlformats-officedocument.spreadsheetml.worksheet+xml" PartName="/xl/worksheets/sheet39712.xml"/>
  <Override ContentType="application/vnd.openxmlformats-officedocument.spreadsheetml.worksheet+xml" PartName="/xl/worksheets/sheet39713.xml"/>
  <Override ContentType="application/vnd.openxmlformats-officedocument.spreadsheetml.worksheet+xml" PartName="/xl/worksheets/sheet39714.xml"/>
  <Override ContentType="application/vnd.openxmlformats-officedocument.spreadsheetml.worksheet+xml" PartName="/xl/worksheets/sheet39715.xml"/>
  <Override ContentType="application/vnd.openxmlformats-officedocument.spreadsheetml.worksheet+xml" PartName="/xl/worksheets/sheet39716.xml"/>
  <Override ContentType="application/vnd.openxmlformats-officedocument.spreadsheetml.worksheet+xml" PartName="/xl/worksheets/sheet39717.xml"/>
  <Override ContentType="application/vnd.openxmlformats-officedocument.spreadsheetml.worksheet+xml" PartName="/xl/worksheets/sheet39718.xml"/>
  <Override ContentType="application/vnd.openxmlformats-officedocument.spreadsheetml.worksheet+xml" PartName="/xl/worksheets/sheet39719.xml"/>
  <Override ContentType="application/vnd.openxmlformats-officedocument.spreadsheetml.worksheet+xml" PartName="/xl/worksheets/sheet39720.xml"/>
  <Override ContentType="application/vnd.openxmlformats-officedocument.spreadsheetml.worksheet+xml" PartName="/xl/worksheets/sheet39721.xml"/>
  <Override ContentType="application/vnd.openxmlformats-officedocument.spreadsheetml.worksheet+xml" PartName="/xl/worksheets/sheet39722.xml"/>
  <Override ContentType="application/vnd.openxmlformats-officedocument.spreadsheetml.worksheet+xml" PartName="/xl/worksheets/sheet39723.xml"/>
  <Override ContentType="application/vnd.openxmlformats-officedocument.spreadsheetml.worksheet+xml" PartName="/xl/worksheets/sheet39724.xml"/>
  <Override ContentType="application/vnd.openxmlformats-officedocument.spreadsheetml.worksheet+xml" PartName="/xl/worksheets/sheet39725.xml"/>
  <Override ContentType="application/vnd.openxmlformats-officedocument.spreadsheetml.worksheet+xml" PartName="/xl/worksheets/sheet39726.xml"/>
  <Override ContentType="application/vnd.openxmlformats-officedocument.spreadsheetml.worksheet+xml" PartName="/xl/worksheets/sheet39727.xml"/>
  <Override ContentType="application/vnd.openxmlformats-officedocument.spreadsheetml.worksheet+xml" PartName="/xl/worksheets/sheet39728.xml"/>
  <Override ContentType="application/vnd.openxmlformats-officedocument.spreadsheetml.worksheet+xml" PartName="/xl/worksheets/sheet39729.xml"/>
  <Override ContentType="application/vnd.openxmlformats-officedocument.spreadsheetml.worksheet+xml" PartName="/xl/worksheets/sheet39730.xml"/>
  <Override ContentType="application/vnd.openxmlformats-officedocument.spreadsheetml.worksheet+xml" PartName="/xl/worksheets/sheet39731.xml"/>
  <Override ContentType="application/vnd.openxmlformats-officedocument.spreadsheetml.worksheet+xml" PartName="/xl/worksheets/sheet39732.xml"/>
  <Override ContentType="application/vnd.openxmlformats-officedocument.spreadsheetml.worksheet+xml" PartName="/xl/worksheets/sheet39733.xml"/>
  <Override ContentType="application/vnd.openxmlformats-officedocument.spreadsheetml.worksheet+xml" PartName="/xl/worksheets/sheet39734.xml"/>
  <Override ContentType="application/vnd.openxmlformats-officedocument.spreadsheetml.worksheet+xml" PartName="/xl/worksheets/sheet39735.xml"/>
  <Override ContentType="application/vnd.openxmlformats-officedocument.spreadsheetml.worksheet+xml" PartName="/xl/worksheets/sheet39736.xml"/>
  <Override ContentType="application/vnd.openxmlformats-officedocument.spreadsheetml.worksheet+xml" PartName="/xl/worksheets/sheet39737.xml"/>
  <Override ContentType="application/vnd.openxmlformats-officedocument.spreadsheetml.worksheet+xml" PartName="/xl/worksheets/sheet39738.xml"/>
  <Override ContentType="application/vnd.openxmlformats-officedocument.spreadsheetml.worksheet+xml" PartName="/xl/worksheets/sheet39739.xml"/>
  <Override ContentType="application/vnd.openxmlformats-officedocument.spreadsheetml.worksheet+xml" PartName="/xl/worksheets/sheet39740.xml"/>
  <Override ContentType="application/vnd.openxmlformats-officedocument.spreadsheetml.worksheet+xml" PartName="/xl/worksheets/sheet39741.xml"/>
  <Override ContentType="application/vnd.openxmlformats-officedocument.spreadsheetml.worksheet+xml" PartName="/xl/worksheets/sheet39742.xml"/>
  <Override ContentType="application/vnd.openxmlformats-officedocument.spreadsheetml.worksheet+xml" PartName="/xl/worksheets/sheet39743.xml"/>
  <Override ContentType="application/vnd.openxmlformats-officedocument.spreadsheetml.worksheet+xml" PartName="/xl/worksheets/sheet39744.xml"/>
  <Override ContentType="application/vnd.openxmlformats-officedocument.spreadsheetml.worksheet+xml" PartName="/xl/worksheets/sheet39745.xml"/>
  <Override ContentType="application/vnd.openxmlformats-officedocument.spreadsheetml.worksheet+xml" PartName="/xl/worksheets/sheet39746.xml"/>
  <Override ContentType="application/vnd.openxmlformats-officedocument.spreadsheetml.worksheet+xml" PartName="/xl/worksheets/sheet39747.xml"/>
  <Override ContentType="application/vnd.openxmlformats-officedocument.spreadsheetml.worksheet+xml" PartName="/xl/worksheets/sheet39748.xml"/>
  <Override ContentType="application/vnd.openxmlformats-officedocument.spreadsheetml.worksheet+xml" PartName="/xl/worksheets/sheet39749.xml"/>
  <Override ContentType="application/vnd.openxmlformats-officedocument.spreadsheetml.worksheet+xml" PartName="/xl/worksheets/sheet39750.xml"/>
  <Override ContentType="application/vnd.openxmlformats-officedocument.spreadsheetml.worksheet+xml" PartName="/xl/worksheets/sheet39751.xml"/>
  <Override ContentType="application/vnd.openxmlformats-officedocument.spreadsheetml.worksheet+xml" PartName="/xl/worksheets/sheet39752.xml"/>
  <Override ContentType="application/vnd.openxmlformats-officedocument.spreadsheetml.worksheet+xml" PartName="/xl/worksheets/sheet39753.xml"/>
  <Override ContentType="application/vnd.openxmlformats-officedocument.spreadsheetml.worksheet+xml" PartName="/xl/worksheets/sheet39754.xml"/>
  <Override ContentType="application/vnd.openxmlformats-officedocument.spreadsheetml.worksheet+xml" PartName="/xl/worksheets/sheet39755.xml"/>
  <Override ContentType="application/vnd.openxmlformats-officedocument.spreadsheetml.worksheet+xml" PartName="/xl/worksheets/sheet39756.xml"/>
  <Override ContentType="application/vnd.openxmlformats-officedocument.spreadsheetml.worksheet+xml" PartName="/xl/worksheets/sheet39757.xml"/>
  <Override ContentType="application/vnd.openxmlformats-officedocument.spreadsheetml.worksheet+xml" PartName="/xl/worksheets/sheet39758.xml"/>
  <Override ContentType="application/vnd.openxmlformats-officedocument.spreadsheetml.worksheet+xml" PartName="/xl/worksheets/sheet39759.xml"/>
  <Override ContentType="application/vnd.openxmlformats-officedocument.spreadsheetml.worksheet+xml" PartName="/xl/worksheets/sheet39760.xml"/>
  <Override ContentType="application/vnd.openxmlformats-officedocument.spreadsheetml.worksheet+xml" PartName="/xl/worksheets/sheet39761.xml"/>
  <Override ContentType="application/vnd.openxmlformats-officedocument.spreadsheetml.worksheet+xml" PartName="/xl/worksheets/sheet39762.xml"/>
  <Override ContentType="application/vnd.openxmlformats-officedocument.spreadsheetml.worksheet+xml" PartName="/xl/worksheets/sheet39763.xml"/>
  <Override ContentType="application/vnd.openxmlformats-officedocument.spreadsheetml.worksheet+xml" PartName="/xl/worksheets/sheet39764.xml"/>
  <Override ContentType="application/vnd.openxmlformats-officedocument.spreadsheetml.worksheet+xml" PartName="/xl/worksheets/sheet39765.xml"/>
  <Override ContentType="application/vnd.openxmlformats-officedocument.spreadsheetml.worksheet+xml" PartName="/xl/worksheets/sheet39766.xml"/>
  <Override ContentType="application/vnd.openxmlformats-officedocument.spreadsheetml.worksheet+xml" PartName="/xl/worksheets/sheet39767.xml"/>
  <Override ContentType="application/vnd.openxmlformats-officedocument.spreadsheetml.worksheet+xml" PartName="/xl/worksheets/sheet39768.xml"/>
  <Override ContentType="application/vnd.openxmlformats-officedocument.spreadsheetml.worksheet+xml" PartName="/xl/worksheets/sheet39769.xml"/>
  <Override ContentType="application/vnd.openxmlformats-officedocument.spreadsheetml.worksheet+xml" PartName="/xl/worksheets/sheet39770.xml"/>
  <Override ContentType="application/vnd.openxmlformats-officedocument.spreadsheetml.worksheet+xml" PartName="/xl/worksheets/sheet39771.xml"/>
  <Override ContentType="application/vnd.openxmlformats-officedocument.spreadsheetml.worksheet+xml" PartName="/xl/worksheets/sheet39772.xml"/>
  <Override ContentType="application/vnd.openxmlformats-officedocument.spreadsheetml.worksheet+xml" PartName="/xl/worksheets/sheet39773.xml"/>
  <Override ContentType="application/vnd.openxmlformats-officedocument.spreadsheetml.worksheet+xml" PartName="/xl/worksheets/sheet39774.xml"/>
  <Override ContentType="application/vnd.openxmlformats-officedocument.spreadsheetml.worksheet+xml" PartName="/xl/worksheets/sheet39775.xml"/>
  <Override ContentType="application/vnd.openxmlformats-officedocument.spreadsheetml.worksheet+xml" PartName="/xl/worksheets/sheet39776.xml"/>
  <Override ContentType="application/vnd.openxmlformats-officedocument.spreadsheetml.worksheet+xml" PartName="/xl/worksheets/sheet39777.xml"/>
  <Override ContentType="application/vnd.openxmlformats-officedocument.spreadsheetml.worksheet+xml" PartName="/xl/worksheets/sheet39778.xml"/>
  <Override ContentType="application/vnd.openxmlformats-officedocument.spreadsheetml.worksheet+xml" PartName="/xl/worksheets/sheet39779.xml"/>
  <Override ContentType="application/vnd.openxmlformats-officedocument.spreadsheetml.worksheet+xml" PartName="/xl/worksheets/sheet39780.xml"/>
  <Override ContentType="application/vnd.openxmlformats-officedocument.spreadsheetml.worksheet+xml" PartName="/xl/worksheets/sheet39781.xml"/>
  <Override ContentType="application/vnd.openxmlformats-officedocument.spreadsheetml.worksheet+xml" PartName="/xl/worksheets/sheet39782.xml"/>
  <Override ContentType="application/vnd.openxmlformats-officedocument.spreadsheetml.worksheet+xml" PartName="/xl/worksheets/sheet39783.xml"/>
  <Override ContentType="application/vnd.openxmlformats-officedocument.spreadsheetml.worksheet+xml" PartName="/xl/worksheets/sheet39784.xml"/>
  <Override ContentType="application/vnd.openxmlformats-officedocument.spreadsheetml.worksheet+xml" PartName="/xl/worksheets/sheet39785.xml"/>
  <Override ContentType="application/vnd.openxmlformats-officedocument.spreadsheetml.worksheet+xml" PartName="/xl/worksheets/sheet39786.xml"/>
  <Override ContentType="application/vnd.openxmlformats-officedocument.spreadsheetml.worksheet+xml" PartName="/xl/worksheets/sheet39787.xml"/>
  <Override ContentType="application/vnd.openxmlformats-officedocument.spreadsheetml.worksheet+xml" PartName="/xl/worksheets/sheet39788.xml"/>
  <Override ContentType="application/vnd.openxmlformats-officedocument.spreadsheetml.worksheet+xml" PartName="/xl/worksheets/sheet39789.xml"/>
  <Override ContentType="application/vnd.openxmlformats-officedocument.spreadsheetml.worksheet+xml" PartName="/xl/worksheets/sheet39790.xml"/>
  <Override ContentType="application/vnd.openxmlformats-officedocument.spreadsheetml.worksheet+xml" PartName="/xl/worksheets/sheet39791.xml"/>
  <Override ContentType="application/vnd.openxmlformats-officedocument.spreadsheetml.worksheet+xml" PartName="/xl/worksheets/sheet39792.xml"/>
  <Override ContentType="application/vnd.openxmlformats-officedocument.spreadsheetml.worksheet+xml" PartName="/xl/worksheets/sheet39793.xml"/>
  <Override ContentType="application/vnd.openxmlformats-officedocument.spreadsheetml.worksheet+xml" PartName="/xl/worksheets/sheet39794.xml"/>
  <Override ContentType="application/vnd.openxmlformats-officedocument.spreadsheetml.worksheet+xml" PartName="/xl/worksheets/sheet39795.xml"/>
  <Override ContentType="application/vnd.openxmlformats-officedocument.spreadsheetml.worksheet+xml" PartName="/xl/worksheets/sheet39796.xml"/>
  <Override ContentType="application/vnd.openxmlformats-officedocument.spreadsheetml.worksheet+xml" PartName="/xl/worksheets/sheet39797.xml"/>
  <Override ContentType="application/vnd.openxmlformats-officedocument.spreadsheetml.worksheet+xml" PartName="/xl/worksheets/sheet39798.xml"/>
  <Override ContentType="application/vnd.openxmlformats-officedocument.spreadsheetml.worksheet+xml" PartName="/xl/worksheets/sheet39799.xml"/>
  <Override ContentType="application/vnd.openxmlformats-officedocument.spreadsheetml.worksheet+xml" PartName="/xl/worksheets/sheet39800.xml"/>
  <Override ContentType="application/vnd.openxmlformats-officedocument.spreadsheetml.worksheet+xml" PartName="/xl/worksheets/sheet39801.xml"/>
  <Override ContentType="application/vnd.openxmlformats-officedocument.spreadsheetml.worksheet+xml" PartName="/xl/worksheets/sheet39802.xml"/>
  <Override ContentType="application/vnd.openxmlformats-officedocument.spreadsheetml.worksheet+xml" PartName="/xl/worksheets/sheet39803.xml"/>
  <Override ContentType="application/vnd.openxmlformats-officedocument.spreadsheetml.worksheet+xml" PartName="/xl/worksheets/sheet39804.xml"/>
  <Override ContentType="application/vnd.openxmlformats-officedocument.spreadsheetml.worksheet+xml" PartName="/xl/worksheets/sheet39805.xml"/>
  <Override ContentType="application/vnd.openxmlformats-officedocument.spreadsheetml.worksheet+xml" PartName="/xl/worksheets/sheet39806.xml"/>
  <Override ContentType="application/vnd.openxmlformats-officedocument.spreadsheetml.worksheet+xml" PartName="/xl/worksheets/sheet39807.xml"/>
  <Override ContentType="application/vnd.openxmlformats-officedocument.spreadsheetml.worksheet+xml" PartName="/xl/worksheets/sheet39808.xml"/>
  <Override ContentType="application/vnd.openxmlformats-officedocument.spreadsheetml.worksheet+xml" PartName="/xl/worksheets/sheet39809.xml"/>
  <Override ContentType="application/vnd.openxmlformats-officedocument.spreadsheetml.worksheet+xml" PartName="/xl/worksheets/sheet39810.xml"/>
  <Override ContentType="application/vnd.openxmlformats-officedocument.spreadsheetml.worksheet+xml" PartName="/xl/worksheets/sheet39811.xml"/>
  <Override ContentType="application/vnd.openxmlformats-officedocument.spreadsheetml.worksheet+xml" PartName="/xl/worksheets/sheet39812.xml"/>
  <Override ContentType="application/vnd.openxmlformats-officedocument.spreadsheetml.worksheet+xml" PartName="/xl/worksheets/sheet39813.xml"/>
  <Override ContentType="application/vnd.openxmlformats-officedocument.spreadsheetml.worksheet+xml" PartName="/xl/worksheets/sheet39814.xml"/>
  <Override ContentType="application/vnd.openxmlformats-officedocument.spreadsheetml.worksheet+xml" PartName="/xl/worksheets/sheet39815.xml"/>
  <Override ContentType="application/vnd.openxmlformats-officedocument.spreadsheetml.worksheet+xml" PartName="/xl/worksheets/sheet39816.xml"/>
  <Override ContentType="application/vnd.openxmlformats-officedocument.spreadsheetml.worksheet+xml" PartName="/xl/worksheets/sheet39817.xml"/>
  <Override ContentType="application/vnd.openxmlformats-officedocument.spreadsheetml.worksheet+xml" PartName="/xl/worksheets/sheet39818.xml"/>
  <Override ContentType="application/vnd.openxmlformats-officedocument.spreadsheetml.worksheet+xml" PartName="/xl/worksheets/sheet39819.xml"/>
  <Override ContentType="application/vnd.openxmlformats-officedocument.spreadsheetml.worksheet+xml" PartName="/xl/worksheets/sheet39820.xml"/>
  <Override ContentType="application/vnd.openxmlformats-officedocument.spreadsheetml.worksheet+xml" PartName="/xl/worksheets/sheet39821.xml"/>
  <Override ContentType="application/vnd.openxmlformats-officedocument.spreadsheetml.worksheet+xml" PartName="/xl/worksheets/sheet39822.xml"/>
  <Override ContentType="application/vnd.openxmlformats-officedocument.spreadsheetml.worksheet+xml" PartName="/xl/worksheets/sheet39823.xml"/>
  <Override ContentType="application/vnd.openxmlformats-officedocument.spreadsheetml.worksheet+xml" PartName="/xl/worksheets/sheet39824.xml"/>
  <Override ContentType="application/vnd.openxmlformats-officedocument.spreadsheetml.worksheet+xml" PartName="/xl/worksheets/sheet39825.xml"/>
  <Override ContentType="application/vnd.openxmlformats-officedocument.spreadsheetml.worksheet+xml" PartName="/xl/worksheets/sheet39826.xml"/>
  <Override ContentType="application/vnd.openxmlformats-officedocument.spreadsheetml.worksheet+xml" PartName="/xl/worksheets/sheet39827.xml"/>
  <Override ContentType="application/vnd.openxmlformats-officedocument.spreadsheetml.worksheet+xml" PartName="/xl/worksheets/sheet39828.xml"/>
  <Override ContentType="application/vnd.openxmlformats-officedocument.spreadsheetml.worksheet+xml" PartName="/xl/worksheets/sheet39829.xml"/>
  <Override ContentType="application/vnd.openxmlformats-officedocument.spreadsheetml.worksheet+xml" PartName="/xl/worksheets/sheet39830.xml"/>
  <Override ContentType="application/vnd.openxmlformats-officedocument.spreadsheetml.worksheet+xml" PartName="/xl/worksheets/sheet39831.xml"/>
  <Override ContentType="application/vnd.openxmlformats-officedocument.spreadsheetml.worksheet+xml" PartName="/xl/worksheets/sheet39832.xml"/>
  <Override ContentType="application/vnd.openxmlformats-officedocument.spreadsheetml.worksheet+xml" PartName="/xl/worksheets/sheet39833.xml"/>
  <Override ContentType="application/vnd.openxmlformats-officedocument.spreadsheetml.worksheet+xml" PartName="/xl/worksheets/sheet39834.xml"/>
  <Override ContentType="application/vnd.openxmlformats-officedocument.spreadsheetml.worksheet+xml" PartName="/xl/worksheets/sheet39835.xml"/>
  <Override ContentType="application/vnd.openxmlformats-officedocument.spreadsheetml.worksheet+xml" PartName="/xl/worksheets/sheet39836.xml"/>
  <Override ContentType="application/vnd.openxmlformats-officedocument.spreadsheetml.worksheet+xml" PartName="/xl/worksheets/sheet39837.xml"/>
  <Override ContentType="application/vnd.openxmlformats-officedocument.spreadsheetml.worksheet+xml" PartName="/xl/worksheets/sheet39838.xml"/>
  <Override ContentType="application/vnd.openxmlformats-officedocument.spreadsheetml.worksheet+xml" PartName="/xl/worksheets/sheet39839.xml"/>
  <Override ContentType="application/vnd.openxmlformats-officedocument.spreadsheetml.worksheet+xml" PartName="/xl/worksheets/sheet39840.xml"/>
  <Override ContentType="application/vnd.openxmlformats-officedocument.spreadsheetml.worksheet+xml" PartName="/xl/worksheets/sheet39841.xml"/>
  <Override ContentType="application/vnd.openxmlformats-officedocument.spreadsheetml.worksheet+xml" PartName="/xl/worksheets/sheet39842.xml"/>
  <Override ContentType="application/vnd.openxmlformats-officedocument.spreadsheetml.worksheet+xml" PartName="/xl/worksheets/sheet39843.xml"/>
  <Override ContentType="application/vnd.openxmlformats-officedocument.spreadsheetml.worksheet+xml" PartName="/xl/worksheets/sheet39844.xml"/>
  <Override ContentType="application/vnd.openxmlformats-officedocument.spreadsheetml.worksheet+xml" PartName="/xl/worksheets/sheet39845.xml"/>
  <Override ContentType="application/vnd.openxmlformats-officedocument.spreadsheetml.worksheet+xml" PartName="/xl/worksheets/sheet39846.xml"/>
  <Override ContentType="application/vnd.openxmlformats-officedocument.spreadsheetml.worksheet+xml" PartName="/xl/worksheets/sheet39847.xml"/>
  <Override ContentType="application/vnd.openxmlformats-officedocument.spreadsheetml.worksheet+xml" PartName="/xl/worksheets/sheet39848.xml"/>
  <Override ContentType="application/vnd.openxmlformats-officedocument.spreadsheetml.worksheet+xml" PartName="/xl/worksheets/sheet39849.xml"/>
  <Override ContentType="application/vnd.openxmlformats-officedocument.spreadsheetml.worksheet+xml" PartName="/xl/worksheets/sheet39850.xml"/>
  <Override ContentType="application/vnd.openxmlformats-officedocument.spreadsheetml.worksheet+xml" PartName="/xl/worksheets/sheet39851.xml"/>
  <Override ContentType="application/vnd.openxmlformats-officedocument.spreadsheetml.worksheet+xml" PartName="/xl/worksheets/sheet39852.xml"/>
  <Override ContentType="application/vnd.openxmlformats-officedocument.spreadsheetml.worksheet+xml" PartName="/xl/worksheets/sheet39853.xml"/>
  <Override ContentType="application/vnd.openxmlformats-officedocument.spreadsheetml.worksheet+xml" PartName="/xl/worksheets/sheet39854.xml"/>
  <Override ContentType="application/vnd.openxmlformats-officedocument.spreadsheetml.worksheet+xml" PartName="/xl/worksheets/sheet39855.xml"/>
  <Override ContentType="application/vnd.openxmlformats-officedocument.spreadsheetml.worksheet+xml" PartName="/xl/worksheets/sheet39856.xml"/>
  <Override ContentType="application/vnd.openxmlformats-officedocument.spreadsheetml.worksheet+xml" PartName="/xl/worksheets/sheet39857.xml"/>
  <Override ContentType="application/vnd.openxmlformats-officedocument.spreadsheetml.worksheet+xml" PartName="/xl/worksheets/sheet39858.xml"/>
  <Override ContentType="application/vnd.openxmlformats-officedocument.spreadsheetml.worksheet+xml" PartName="/xl/worksheets/sheet39859.xml"/>
  <Override ContentType="application/vnd.openxmlformats-officedocument.spreadsheetml.worksheet+xml" PartName="/xl/worksheets/sheet39860.xml"/>
  <Override ContentType="application/vnd.openxmlformats-officedocument.spreadsheetml.worksheet+xml" PartName="/xl/worksheets/sheet39861.xml"/>
  <Override ContentType="application/vnd.openxmlformats-officedocument.spreadsheetml.worksheet+xml" PartName="/xl/worksheets/sheet39862.xml"/>
  <Override ContentType="application/vnd.openxmlformats-officedocument.spreadsheetml.worksheet+xml" PartName="/xl/worksheets/sheet39863.xml"/>
  <Override ContentType="application/vnd.openxmlformats-officedocument.spreadsheetml.worksheet+xml" PartName="/xl/worksheets/sheet39864.xml"/>
  <Override ContentType="application/vnd.openxmlformats-officedocument.spreadsheetml.worksheet+xml" PartName="/xl/worksheets/sheet39865.xml"/>
  <Override ContentType="application/vnd.openxmlformats-officedocument.spreadsheetml.worksheet+xml" PartName="/xl/worksheets/sheet39866.xml"/>
  <Override ContentType="application/vnd.openxmlformats-officedocument.spreadsheetml.worksheet+xml" PartName="/xl/worksheets/sheet39867.xml"/>
  <Override ContentType="application/vnd.openxmlformats-officedocument.spreadsheetml.worksheet+xml" PartName="/xl/worksheets/sheet39868.xml"/>
  <Override ContentType="application/vnd.openxmlformats-officedocument.spreadsheetml.worksheet+xml" PartName="/xl/worksheets/sheet39869.xml"/>
  <Override ContentType="application/vnd.openxmlformats-officedocument.spreadsheetml.worksheet+xml" PartName="/xl/worksheets/sheet39870.xml"/>
  <Override ContentType="application/vnd.openxmlformats-officedocument.spreadsheetml.worksheet+xml" PartName="/xl/worksheets/sheet39871.xml"/>
  <Override ContentType="application/vnd.openxmlformats-officedocument.spreadsheetml.worksheet+xml" PartName="/xl/worksheets/sheet39872.xml"/>
  <Override ContentType="application/vnd.openxmlformats-officedocument.spreadsheetml.worksheet+xml" PartName="/xl/worksheets/sheet39873.xml"/>
  <Override ContentType="application/vnd.openxmlformats-officedocument.spreadsheetml.worksheet+xml" PartName="/xl/worksheets/sheet39874.xml"/>
  <Override ContentType="application/vnd.openxmlformats-officedocument.spreadsheetml.worksheet+xml" PartName="/xl/worksheets/sheet39875.xml"/>
  <Override ContentType="application/vnd.openxmlformats-officedocument.spreadsheetml.worksheet+xml" PartName="/xl/worksheets/sheet39876.xml"/>
  <Override ContentType="application/vnd.openxmlformats-officedocument.spreadsheetml.worksheet+xml" PartName="/xl/worksheets/sheet39877.xml"/>
  <Override ContentType="application/vnd.openxmlformats-officedocument.spreadsheetml.worksheet+xml" PartName="/xl/worksheets/sheet39878.xml"/>
  <Override ContentType="application/vnd.openxmlformats-officedocument.spreadsheetml.worksheet+xml" PartName="/xl/worksheets/sheet39879.xml"/>
  <Override ContentType="application/vnd.openxmlformats-officedocument.spreadsheetml.worksheet+xml" PartName="/xl/worksheets/sheet39880.xml"/>
  <Override ContentType="application/vnd.openxmlformats-officedocument.spreadsheetml.worksheet+xml" PartName="/xl/worksheets/sheet39881.xml"/>
  <Override ContentType="application/vnd.openxmlformats-officedocument.spreadsheetml.worksheet+xml" PartName="/xl/worksheets/sheet39882.xml"/>
  <Override ContentType="application/vnd.openxmlformats-officedocument.spreadsheetml.worksheet+xml" PartName="/xl/worksheets/sheet39883.xml"/>
  <Override ContentType="application/vnd.openxmlformats-officedocument.spreadsheetml.worksheet+xml" PartName="/xl/worksheets/sheet39884.xml"/>
  <Override ContentType="application/vnd.openxmlformats-officedocument.spreadsheetml.worksheet+xml" PartName="/xl/worksheets/sheet39885.xml"/>
  <Override ContentType="application/vnd.openxmlformats-officedocument.spreadsheetml.worksheet+xml" PartName="/xl/worksheets/sheet39886.xml"/>
  <Override ContentType="application/vnd.openxmlformats-officedocument.spreadsheetml.worksheet+xml" PartName="/xl/worksheets/sheet39887.xml"/>
  <Override ContentType="application/vnd.openxmlformats-officedocument.spreadsheetml.worksheet+xml" PartName="/xl/worksheets/sheet39888.xml"/>
  <Override ContentType="application/vnd.openxmlformats-officedocument.spreadsheetml.worksheet+xml" PartName="/xl/worksheets/sheet39889.xml"/>
  <Override ContentType="application/vnd.openxmlformats-officedocument.spreadsheetml.worksheet+xml" PartName="/xl/worksheets/sheet39890.xml"/>
  <Override ContentType="application/vnd.openxmlformats-officedocument.spreadsheetml.worksheet+xml" PartName="/xl/worksheets/sheet39891.xml"/>
  <Override ContentType="application/vnd.openxmlformats-officedocument.spreadsheetml.worksheet+xml" PartName="/xl/worksheets/sheet39892.xml"/>
  <Override ContentType="application/vnd.openxmlformats-officedocument.spreadsheetml.worksheet+xml" PartName="/xl/worksheets/sheet39893.xml"/>
  <Override ContentType="application/vnd.openxmlformats-officedocument.spreadsheetml.worksheet+xml" PartName="/xl/worksheets/sheet39894.xml"/>
  <Override ContentType="application/vnd.openxmlformats-officedocument.spreadsheetml.worksheet+xml" PartName="/xl/worksheets/sheet39895.xml"/>
  <Override ContentType="application/vnd.openxmlformats-officedocument.spreadsheetml.worksheet+xml" PartName="/xl/worksheets/sheet39896.xml"/>
  <Override ContentType="application/vnd.openxmlformats-officedocument.spreadsheetml.worksheet+xml" PartName="/xl/worksheets/sheet39897.xml"/>
  <Override ContentType="application/vnd.openxmlformats-officedocument.spreadsheetml.worksheet+xml" PartName="/xl/worksheets/sheet39898.xml"/>
  <Override ContentType="application/vnd.openxmlformats-officedocument.spreadsheetml.worksheet+xml" PartName="/xl/worksheets/sheet39899.xml"/>
  <Override ContentType="application/vnd.openxmlformats-officedocument.spreadsheetml.worksheet+xml" PartName="/xl/worksheets/sheet39900.xml"/>
  <Override ContentType="application/vnd.openxmlformats-officedocument.spreadsheetml.worksheet+xml" PartName="/xl/worksheets/sheet39901.xml"/>
  <Override ContentType="application/vnd.openxmlformats-officedocument.spreadsheetml.worksheet+xml" PartName="/xl/worksheets/sheet39902.xml"/>
  <Override ContentType="application/vnd.openxmlformats-officedocument.spreadsheetml.worksheet+xml" PartName="/xl/worksheets/sheet39903.xml"/>
  <Override ContentType="application/vnd.openxmlformats-officedocument.spreadsheetml.worksheet+xml" PartName="/xl/worksheets/sheet39904.xml"/>
  <Override ContentType="application/vnd.openxmlformats-officedocument.spreadsheetml.worksheet+xml" PartName="/xl/worksheets/sheet39905.xml"/>
  <Override ContentType="application/vnd.openxmlformats-officedocument.spreadsheetml.worksheet+xml" PartName="/xl/worksheets/sheet39906.xml"/>
  <Override ContentType="application/vnd.openxmlformats-officedocument.spreadsheetml.worksheet+xml" PartName="/xl/worksheets/sheet39907.xml"/>
  <Override ContentType="application/vnd.openxmlformats-officedocument.spreadsheetml.worksheet+xml" PartName="/xl/worksheets/sheet39908.xml"/>
  <Override ContentType="application/vnd.openxmlformats-officedocument.spreadsheetml.worksheet+xml" PartName="/xl/worksheets/sheet39909.xml"/>
  <Override ContentType="application/vnd.openxmlformats-officedocument.spreadsheetml.worksheet+xml" PartName="/xl/worksheets/sheet39910.xml"/>
  <Override ContentType="application/vnd.openxmlformats-officedocument.spreadsheetml.worksheet+xml" PartName="/xl/worksheets/sheet39911.xml"/>
  <Override ContentType="application/vnd.openxmlformats-officedocument.spreadsheetml.worksheet+xml" PartName="/xl/worksheets/sheet39912.xml"/>
  <Override ContentType="application/vnd.openxmlformats-officedocument.spreadsheetml.worksheet+xml" PartName="/xl/worksheets/sheet39913.xml"/>
  <Override ContentType="application/vnd.openxmlformats-officedocument.spreadsheetml.worksheet+xml" PartName="/xl/worksheets/sheet39914.xml"/>
  <Override ContentType="application/vnd.openxmlformats-officedocument.spreadsheetml.worksheet+xml" PartName="/xl/worksheets/sheet39915.xml"/>
  <Override ContentType="application/vnd.openxmlformats-officedocument.spreadsheetml.worksheet+xml" PartName="/xl/worksheets/sheet39916.xml"/>
  <Override ContentType="application/vnd.openxmlformats-officedocument.spreadsheetml.worksheet+xml" PartName="/xl/worksheets/sheet39917.xml"/>
  <Override ContentType="application/vnd.openxmlformats-officedocument.spreadsheetml.worksheet+xml" PartName="/xl/worksheets/sheet39918.xml"/>
  <Override ContentType="application/vnd.openxmlformats-officedocument.spreadsheetml.worksheet+xml" PartName="/xl/worksheets/sheet39919.xml"/>
  <Override ContentType="application/vnd.openxmlformats-officedocument.spreadsheetml.worksheet+xml" PartName="/xl/worksheets/sheet39920.xml"/>
  <Override ContentType="application/vnd.openxmlformats-officedocument.spreadsheetml.worksheet+xml" PartName="/xl/worksheets/sheet39921.xml"/>
  <Override ContentType="application/vnd.openxmlformats-officedocument.spreadsheetml.worksheet+xml" PartName="/xl/worksheets/sheet39922.xml"/>
  <Override ContentType="application/vnd.openxmlformats-officedocument.spreadsheetml.worksheet+xml" PartName="/xl/worksheets/sheet39923.xml"/>
  <Override ContentType="application/vnd.openxmlformats-officedocument.spreadsheetml.worksheet+xml" PartName="/xl/worksheets/sheet39924.xml"/>
  <Override ContentType="application/vnd.openxmlformats-officedocument.spreadsheetml.worksheet+xml" PartName="/xl/worksheets/sheet39925.xml"/>
  <Override ContentType="application/vnd.openxmlformats-officedocument.spreadsheetml.worksheet+xml" PartName="/xl/worksheets/sheet39926.xml"/>
  <Override ContentType="application/vnd.openxmlformats-officedocument.spreadsheetml.worksheet+xml" PartName="/xl/worksheets/sheet39927.xml"/>
  <Override ContentType="application/vnd.openxmlformats-officedocument.spreadsheetml.worksheet+xml" PartName="/xl/worksheets/sheet39928.xml"/>
  <Override ContentType="application/vnd.openxmlformats-officedocument.spreadsheetml.worksheet+xml" PartName="/xl/worksheets/sheet39929.xml"/>
  <Override ContentType="application/vnd.openxmlformats-officedocument.spreadsheetml.worksheet+xml" PartName="/xl/worksheets/sheet39930.xml"/>
  <Override ContentType="application/vnd.openxmlformats-officedocument.spreadsheetml.worksheet+xml" PartName="/xl/worksheets/sheet39931.xml"/>
  <Override ContentType="application/vnd.openxmlformats-officedocument.spreadsheetml.worksheet+xml" PartName="/xl/worksheets/sheet39932.xml"/>
  <Override ContentType="application/vnd.openxmlformats-officedocument.spreadsheetml.worksheet+xml" PartName="/xl/worksheets/sheet39933.xml"/>
  <Override ContentType="application/vnd.openxmlformats-officedocument.spreadsheetml.worksheet+xml" PartName="/xl/worksheets/sheet39934.xml"/>
  <Override ContentType="application/vnd.openxmlformats-officedocument.spreadsheetml.worksheet+xml" PartName="/xl/worksheets/sheet39935.xml"/>
  <Override ContentType="application/vnd.openxmlformats-officedocument.spreadsheetml.worksheet+xml" PartName="/xl/worksheets/sheet39936.xml"/>
  <Override ContentType="application/vnd.openxmlformats-officedocument.spreadsheetml.worksheet+xml" PartName="/xl/worksheets/sheet39937.xml"/>
  <Override ContentType="application/vnd.openxmlformats-officedocument.spreadsheetml.worksheet+xml" PartName="/xl/worksheets/sheet39938.xml"/>
  <Override ContentType="application/vnd.openxmlformats-officedocument.spreadsheetml.worksheet+xml" PartName="/xl/worksheets/sheet39939.xml"/>
  <Override ContentType="application/vnd.openxmlformats-officedocument.spreadsheetml.worksheet+xml" PartName="/xl/worksheets/sheet39940.xml"/>
  <Override ContentType="application/vnd.openxmlformats-officedocument.spreadsheetml.worksheet+xml" PartName="/xl/worksheets/sheet39941.xml"/>
  <Override ContentType="application/vnd.openxmlformats-officedocument.spreadsheetml.worksheet+xml" PartName="/xl/worksheets/sheet39942.xml"/>
  <Override ContentType="application/vnd.openxmlformats-officedocument.spreadsheetml.worksheet+xml" PartName="/xl/worksheets/sheet39943.xml"/>
  <Override ContentType="application/vnd.openxmlformats-officedocument.spreadsheetml.worksheet+xml" PartName="/xl/worksheets/sheet39944.xml"/>
  <Override ContentType="application/vnd.openxmlformats-officedocument.spreadsheetml.worksheet+xml" PartName="/xl/worksheets/sheet39945.xml"/>
  <Override ContentType="application/vnd.openxmlformats-officedocument.spreadsheetml.worksheet+xml" PartName="/xl/worksheets/sheet39946.xml"/>
  <Override ContentType="application/vnd.openxmlformats-officedocument.spreadsheetml.worksheet+xml" PartName="/xl/worksheets/sheet39947.xml"/>
  <Override ContentType="application/vnd.openxmlformats-officedocument.spreadsheetml.worksheet+xml" PartName="/xl/worksheets/sheet39948.xml"/>
  <Override ContentType="application/vnd.openxmlformats-officedocument.spreadsheetml.worksheet+xml" PartName="/xl/worksheets/sheet39949.xml"/>
  <Override ContentType="application/vnd.openxmlformats-officedocument.spreadsheetml.worksheet+xml" PartName="/xl/worksheets/sheet39950.xml"/>
  <Override ContentType="application/vnd.openxmlformats-officedocument.spreadsheetml.worksheet+xml" PartName="/xl/worksheets/sheet39951.xml"/>
  <Override ContentType="application/vnd.openxmlformats-officedocument.spreadsheetml.worksheet+xml" PartName="/xl/worksheets/sheet39952.xml"/>
  <Override ContentType="application/vnd.openxmlformats-officedocument.spreadsheetml.worksheet+xml" PartName="/xl/worksheets/sheet39953.xml"/>
  <Override ContentType="application/vnd.openxmlformats-officedocument.spreadsheetml.worksheet+xml" PartName="/xl/worksheets/sheet39954.xml"/>
  <Override ContentType="application/vnd.openxmlformats-officedocument.spreadsheetml.worksheet+xml" PartName="/xl/worksheets/sheet39955.xml"/>
  <Override ContentType="application/vnd.openxmlformats-officedocument.spreadsheetml.worksheet+xml" PartName="/xl/worksheets/sheet39956.xml"/>
  <Override ContentType="application/vnd.openxmlformats-officedocument.spreadsheetml.worksheet+xml" PartName="/xl/worksheets/sheet39957.xml"/>
  <Override ContentType="application/vnd.openxmlformats-officedocument.spreadsheetml.worksheet+xml" PartName="/xl/worksheets/sheet39958.xml"/>
  <Override ContentType="application/vnd.openxmlformats-officedocument.spreadsheetml.worksheet+xml" PartName="/xl/worksheets/sheet39959.xml"/>
  <Override ContentType="application/vnd.openxmlformats-officedocument.spreadsheetml.worksheet+xml" PartName="/xl/worksheets/sheet39960.xml"/>
  <Override ContentType="application/vnd.openxmlformats-officedocument.spreadsheetml.worksheet+xml" PartName="/xl/worksheets/sheet39961.xml"/>
  <Override ContentType="application/vnd.openxmlformats-officedocument.spreadsheetml.worksheet+xml" PartName="/xl/worksheets/sheet39962.xml"/>
  <Override ContentType="application/vnd.openxmlformats-officedocument.spreadsheetml.worksheet+xml" PartName="/xl/worksheets/sheet39963.xml"/>
  <Override ContentType="application/vnd.openxmlformats-officedocument.spreadsheetml.worksheet+xml" PartName="/xl/worksheets/sheet39964.xml"/>
  <Override ContentType="application/vnd.openxmlformats-officedocument.spreadsheetml.worksheet+xml" PartName="/xl/worksheets/sheet39965.xml"/>
  <Override ContentType="application/vnd.openxmlformats-officedocument.spreadsheetml.worksheet+xml" PartName="/xl/worksheets/sheet39966.xml"/>
  <Override ContentType="application/vnd.openxmlformats-officedocument.spreadsheetml.worksheet+xml" PartName="/xl/worksheets/sheet39967.xml"/>
  <Override ContentType="application/vnd.openxmlformats-officedocument.spreadsheetml.worksheet+xml" PartName="/xl/worksheets/sheet39968.xml"/>
  <Override ContentType="application/vnd.openxmlformats-officedocument.spreadsheetml.worksheet+xml" PartName="/xl/worksheets/sheet39969.xml"/>
  <Override ContentType="application/vnd.openxmlformats-officedocument.spreadsheetml.worksheet+xml" PartName="/xl/worksheets/sheet39970.xml"/>
  <Override ContentType="application/vnd.openxmlformats-officedocument.spreadsheetml.worksheet+xml" PartName="/xl/worksheets/sheet39971.xml"/>
  <Override ContentType="application/vnd.openxmlformats-officedocument.spreadsheetml.worksheet+xml" PartName="/xl/worksheets/sheet39972.xml"/>
  <Override ContentType="application/vnd.openxmlformats-officedocument.spreadsheetml.worksheet+xml" PartName="/xl/worksheets/sheet39973.xml"/>
  <Override ContentType="application/vnd.openxmlformats-officedocument.spreadsheetml.worksheet+xml" PartName="/xl/worksheets/sheet39974.xml"/>
  <Override ContentType="application/vnd.openxmlformats-officedocument.spreadsheetml.worksheet+xml" PartName="/xl/worksheets/sheet39975.xml"/>
  <Override ContentType="application/vnd.openxmlformats-officedocument.spreadsheetml.worksheet+xml" PartName="/xl/worksheets/sheet39976.xml"/>
  <Override ContentType="application/vnd.openxmlformats-officedocument.spreadsheetml.worksheet+xml" PartName="/xl/worksheets/sheet39977.xml"/>
  <Override ContentType="application/vnd.openxmlformats-officedocument.spreadsheetml.worksheet+xml" PartName="/xl/worksheets/sheet39978.xml"/>
  <Override ContentType="application/vnd.openxmlformats-officedocument.spreadsheetml.worksheet+xml" PartName="/xl/worksheets/sheet39979.xml"/>
  <Override ContentType="application/vnd.openxmlformats-officedocument.spreadsheetml.worksheet+xml" PartName="/xl/worksheets/sheet39980.xml"/>
  <Override ContentType="application/vnd.openxmlformats-officedocument.spreadsheetml.worksheet+xml" PartName="/xl/worksheets/sheet39981.xml"/>
  <Override ContentType="application/vnd.openxmlformats-officedocument.spreadsheetml.worksheet+xml" PartName="/xl/worksheets/sheet39982.xml"/>
  <Override ContentType="application/vnd.openxmlformats-officedocument.spreadsheetml.worksheet+xml" PartName="/xl/worksheets/sheet39983.xml"/>
  <Override ContentType="application/vnd.openxmlformats-officedocument.spreadsheetml.worksheet+xml" PartName="/xl/worksheets/sheet39984.xml"/>
  <Override ContentType="application/vnd.openxmlformats-officedocument.spreadsheetml.worksheet+xml" PartName="/xl/worksheets/sheet39985.xml"/>
  <Override ContentType="application/vnd.openxmlformats-officedocument.spreadsheetml.worksheet+xml" PartName="/xl/worksheets/sheet39986.xml"/>
  <Override ContentType="application/vnd.openxmlformats-officedocument.spreadsheetml.worksheet+xml" PartName="/xl/worksheets/sheet39987.xml"/>
  <Override ContentType="application/vnd.openxmlformats-officedocument.spreadsheetml.worksheet+xml" PartName="/xl/worksheets/sheet39988.xml"/>
  <Override ContentType="application/vnd.openxmlformats-officedocument.spreadsheetml.worksheet+xml" PartName="/xl/worksheets/sheet39989.xml"/>
  <Override ContentType="application/vnd.openxmlformats-officedocument.spreadsheetml.worksheet+xml" PartName="/xl/worksheets/sheet39990.xml"/>
  <Override ContentType="application/vnd.openxmlformats-officedocument.spreadsheetml.worksheet+xml" PartName="/xl/worksheets/sheet39991.xml"/>
  <Override ContentType="application/vnd.openxmlformats-officedocument.spreadsheetml.worksheet+xml" PartName="/xl/worksheets/sheet39992.xml"/>
  <Override ContentType="application/vnd.openxmlformats-officedocument.spreadsheetml.worksheet+xml" PartName="/xl/worksheets/sheet39993.xml"/>
  <Override ContentType="application/vnd.openxmlformats-officedocument.spreadsheetml.worksheet+xml" PartName="/xl/worksheets/sheet39994.xml"/>
  <Override ContentType="application/vnd.openxmlformats-officedocument.spreadsheetml.worksheet+xml" PartName="/xl/worksheets/sheet39995.xml"/>
  <Override ContentType="application/vnd.openxmlformats-officedocument.spreadsheetml.worksheet+xml" PartName="/xl/worksheets/sheet39996.xml"/>
  <Override ContentType="application/vnd.openxmlformats-officedocument.spreadsheetml.worksheet+xml" PartName="/xl/worksheets/sheet39997.xml"/>
  <Override ContentType="application/vnd.openxmlformats-officedocument.spreadsheetml.worksheet+xml" PartName="/xl/worksheets/sheet39998.xml"/>
  <Override ContentType="application/vnd.openxmlformats-officedocument.spreadsheetml.worksheet+xml" PartName="/xl/worksheets/sheet39999.xml"/>
  <Override ContentType="application/vnd.openxmlformats-officedocument.spreadsheetml.worksheet+xml" PartName="/xl/worksheets/sheet40000.xml"/>
  <Override ContentType="application/vnd.openxmlformats-officedocument.spreadsheetml.worksheet+xml" PartName="/xl/worksheets/sheet40001.xml"/>
  <Override ContentType="application/vnd.openxmlformats-officedocument.spreadsheetml.worksheet+xml" PartName="/xl/worksheets/sheet40002.xml"/>
  <Override ContentType="application/vnd.openxmlformats-officedocument.spreadsheetml.worksheet+xml" PartName="/xl/worksheets/sheet40003.xml"/>
  <Override ContentType="application/vnd.openxmlformats-officedocument.spreadsheetml.worksheet+xml" PartName="/xl/worksheets/sheet40004.xml"/>
  <Override ContentType="application/vnd.openxmlformats-officedocument.spreadsheetml.worksheet+xml" PartName="/xl/worksheets/sheet40005.xml"/>
  <Override ContentType="application/vnd.openxmlformats-officedocument.spreadsheetml.worksheet+xml" PartName="/xl/worksheets/sheet40006.xml"/>
  <Override ContentType="application/vnd.openxmlformats-officedocument.spreadsheetml.worksheet+xml" PartName="/xl/worksheets/sheet40007.xml"/>
  <Override ContentType="application/vnd.openxmlformats-officedocument.spreadsheetml.worksheet+xml" PartName="/xl/worksheets/sheet40008.xml"/>
  <Override ContentType="application/vnd.openxmlformats-officedocument.spreadsheetml.worksheet+xml" PartName="/xl/worksheets/sheet40009.xml"/>
  <Override ContentType="application/vnd.openxmlformats-officedocument.spreadsheetml.worksheet+xml" PartName="/xl/worksheets/sheet40010.xml"/>
  <Override ContentType="application/vnd.openxmlformats-officedocument.spreadsheetml.worksheet+xml" PartName="/xl/worksheets/sheet40011.xml"/>
  <Override ContentType="application/vnd.openxmlformats-officedocument.spreadsheetml.worksheet+xml" PartName="/xl/worksheets/sheet40012.xml"/>
  <Override ContentType="application/vnd.openxmlformats-officedocument.spreadsheetml.worksheet+xml" PartName="/xl/worksheets/sheet40013.xml"/>
  <Override ContentType="application/vnd.openxmlformats-officedocument.spreadsheetml.worksheet+xml" PartName="/xl/worksheets/sheet40014.xml"/>
  <Override ContentType="application/vnd.openxmlformats-officedocument.spreadsheetml.worksheet+xml" PartName="/xl/worksheets/sheet40015.xml"/>
  <Override ContentType="application/vnd.openxmlformats-officedocument.spreadsheetml.worksheet+xml" PartName="/xl/worksheets/sheet40016.xml"/>
  <Override ContentType="application/vnd.openxmlformats-officedocument.spreadsheetml.worksheet+xml" PartName="/xl/worksheets/sheet40017.xml"/>
  <Override ContentType="application/vnd.openxmlformats-officedocument.spreadsheetml.worksheet+xml" PartName="/xl/worksheets/sheet40018.xml"/>
  <Override ContentType="application/vnd.openxmlformats-officedocument.spreadsheetml.worksheet+xml" PartName="/xl/worksheets/sheet40019.xml"/>
  <Override ContentType="application/vnd.openxmlformats-officedocument.spreadsheetml.worksheet+xml" PartName="/xl/worksheets/sheet40020.xml"/>
  <Override ContentType="application/vnd.openxmlformats-officedocument.spreadsheetml.worksheet+xml" PartName="/xl/worksheets/sheet40021.xml"/>
  <Override ContentType="application/vnd.openxmlformats-officedocument.spreadsheetml.worksheet+xml" PartName="/xl/worksheets/sheet40022.xml"/>
  <Override ContentType="application/vnd.openxmlformats-officedocument.spreadsheetml.worksheet+xml" PartName="/xl/worksheets/sheet40023.xml"/>
  <Override ContentType="application/vnd.openxmlformats-officedocument.spreadsheetml.worksheet+xml" PartName="/xl/worksheets/sheet40024.xml"/>
  <Override ContentType="application/vnd.openxmlformats-officedocument.spreadsheetml.worksheet+xml" PartName="/xl/worksheets/sheet40025.xml"/>
  <Override ContentType="application/vnd.openxmlformats-officedocument.spreadsheetml.worksheet+xml" PartName="/xl/worksheets/sheet40026.xml"/>
  <Override ContentType="application/vnd.openxmlformats-officedocument.spreadsheetml.worksheet+xml" PartName="/xl/worksheets/sheet40027.xml"/>
  <Override ContentType="application/vnd.openxmlformats-officedocument.spreadsheetml.worksheet+xml" PartName="/xl/worksheets/sheet40028.xml"/>
  <Override ContentType="application/vnd.openxmlformats-officedocument.spreadsheetml.worksheet+xml" PartName="/xl/worksheets/sheet40029.xml"/>
  <Override ContentType="application/vnd.openxmlformats-officedocument.spreadsheetml.worksheet+xml" PartName="/xl/worksheets/sheet40030.xml"/>
  <Override ContentType="application/vnd.openxmlformats-officedocument.spreadsheetml.worksheet+xml" PartName="/xl/worksheets/sheet40031.xml"/>
  <Override ContentType="application/vnd.openxmlformats-officedocument.spreadsheetml.worksheet+xml" PartName="/xl/worksheets/sheet40032.xml"/>
  <Override ContentType="application/vnd.openxmlformats-officedocument.spreadsheetml.worksheet+xml" PartName="/xl/worksheets/sheet40033.xml"/>
  <Override ContentType="application/vnd.openxmlformats-officedocument.spreadsheetml.worksheet+xml" PartName="/xl/worksheets/sheet40034.xml"/>
  <Override ContentType="application/vnd.openxmlformats-officedocument.spreadsheetml.worksheet+xml" PartName="/xl/worksheets/sheet40035.xml"/>
  <Override ContentType="application/vnd.openxmlformats-officedocument.spreadsheetml.worksheet+xml" PartName="/xl/worksheets/sheet40036.xml"/>
  <Override ContentType="application/vnd.openxmlformats-officedocument.spreadsheetml.worksheet+xml" PartName="/xl/worksheets/sheet40037.xml"/>
  <Override ContentType="application/vnd.openxmlformats-officedocument.spreadsheetml.worksheet+xml" PartName="/xl/worksheets/sheet40038.xml"/>
  <Override ContentType="application/vnd.openxmlformats-officedocument.spreadsheetml.worksheet+xml" PartName="/xl/worksheets/sheet40039.xml"/>
  <Override ContentType="application/vnd.openxmlformats-officedocument.spreadsheetml.worksheet+xml" PartName="/xl/worksheets/sheet40040.xml"/>
  <Override ContentType="application/vnd.openxmlformats-officedocument.spreadsheetml.worksheet+xml" PartName="/xl/worksheets/sheet40041.xml"/>
  <Override ContentType="application/vnd.openxmlformats-officedocument.spreadsheetml.worksheet+xml" PartName="/xl/worksheets/sheet40042.xml"/>
  <Override ContentType="application/vnd.openxmlformats-officedocument.spreadsheetml.worksheet+xml" PartName="/xl/worksheets/sheet40043.xml"/>
  <Override ContentType="application/vnd.openxmlformats-officedocument.spreadsheetml.worksheet+xml" PartName="/xl/worksheets/sheet40044.xml"/>
  <Override ContentType="application/vnd.openxmlformats-officedocument.spreadsheetml.worksheet+xml" PartName="/xl/worksheets/sheet40045.xml"/>
  <Override ContentType="application/vnd.openxmlformats-officedocument.spreadsheetml.worksheet+xml" PartName="/xl/worksheets/sheet40046.xml"/>
  <Override ContentType="application/vnd.openxmlformats-officedocument.spreadsheetml.worksheet+xml" PartName="/xl/worksheets/sheet40047.xml"/>
  <Override ContentType="application/vnd.openxmlformats-officedocument.spreadsheetml.worksheet+xml" PartName="/xl/worksheets/sheet40048.xml"/>
  <Override ContentType="application/vnd.openxmlformats-officedocument.spreadsheetml.worksheet+xml" PartName="/xl/worksheets/sheet40049.xml"/>
  <Override ContentType="application/vnd.openxmlformats-officedocument.spreadsheetml.worksheet+xml" PartName="/xl/worksheets/sheet40050.xml"/>
  <Override ContentType="application/vnd.openxmlformats-officedocument.spreadsheetml.worksheet+xml" PartName="/xl/worksheets/sheet40051.xml"/>
  <Override ContentType="application/vnd.openxmlformats-officedocument.spreadsheetml.worksheet+xml" PartName="/xl/worksheets/sheet40052.xml"/>
  <Override ContentType="application/vnd.openxmlformats-officedocument.spreadsheetml.worksheet+xml" PartName="/xl/worksheets/sheet40053.xml"/>
  <Override ContentType="application/vnd.openxmlformats-officedocument.spreadsheetml.worksheet+xml" PartName="/xl/worksheets/sheet40054.xml"/>
  <Override ContentType="application/vnd.openxmlformats-officedocument.spreadsheetml.worksheet+xml" PartName="/xl/worksheets/sheet40055.xml"/>
  <Override ContentType="application/vnd.openxmlformats-officedocument.spreadsheetml.worksheet+xml" PartName="/xl/worksheets/sheet40056.xml"/>
  <Override ContentType="application/vnd.openxmlformats-officedocument.spreadsheetml.worksheet+xml" PartName="/xl/worksheets/sheet40057.xml"/>
  <Override ContentType="application/vnd.openxmlformats-officedocument.spreadsheetml.worksheet+xml" PartName="/xl/worksheets/sheet40058.xml"/>
  <Override ContentType="application/vnd.openxmlformats-officedocument.spreadsheetml.worksheet+xml" PartName="/xl/worksheets/sheet40059.xml"/>
  <Override ContentType="application/vnd.openxmlformats-officedocument.spreadsheetml.worksheet+xml" PartName="/xl/worksheets/sheet40060.xml"/>
  <Override ContentType="application/vnd.openxmlformats-officedocument.spreadsheetml.worksheet+xml" PartName="/xl/worksheets/sheet40061.xml"/>
  <Override ContentType="application/vnd.openxmlformats-officedocument.spreadsheetml.worksheet+xml" PartName="/xl/worksheets/sheet40062.xml"/>
  <Override ContentType="application/vnd.openxmlformats-officedocument.spreadsheetml.worksheet+xml" PartName="/xl/worksheets/sheet40063.xml"/>
  <Override ContentType="application/vnd.openxmlformats-officedocument.spreadsheetml.worksheet+xml" PartName="/xl/worksheets/sheet40064.xml"/>
  <Override ContentType="application/vnd.openxmlformats-officedocument.spreadsheetml.worksheet+xml" PartName="/xl/worksheets/sheet40065.xml"/>
  <Override ContentType="application/vnd.openxmlformats-officedocument.spreadsheetml.worksheet+xml" PartName="/xl/worksheets/sheet40066.xml"/>
  <Override ContentType="application/vnd.openxmlformats-officedocument.spreadsheetml.worksheet+xml" PartName="/xl/worksheets/sheet40067.xml"/>
  <Override ContentType="application/vnd.openxmlformats-officedocument.spreadsheetml.worksheet+xml" PartName="/xl/worksheets/sheet40068.xml"/>
  <Override ContentType="application/vnd.openxmlformats-officedocument.spreadsheetml.worksheet+xml" PartName="/xl/worksheets/sheet40069.xml"/>
  <Override ContentType="application/vnd.openxmlformats-officedocument.spreadsheetml.worksheet+xml" PartName="/xl/worksheets/sheet40070.xml"/>
  <Override ContentType="application/vnd.openxmlformats-officedocument.spreadsheetml.worksheet+xml" PartName="/xl/worksheets/sheet40071.xml"/>
  <Override ContentType="application/vnd.openxmlformats-officedocument.spreadsheetml.worksheet+xml" PartName="/xl/worksheets/sheet40072.xml"/>
  <Override ContentType="application/vnd.openxmlformats-officedocument.spreadsheetml.worksheet+xml" PartName="/xl/worksheets/sheet40073.xml"/>
  <Override ContentType="application/vnd.openxmlformats-officedocument.spreadsheetml.worksheet+xml" PartName="/xl/worksheets/sheet40074.xml"/>
  <Override ContentType="application/vnd.openxmlformats-officedocument.spreadsheetml.worksheet+xml" PartName="/xl/worksheets/sheet40075.xml"/>
  <Override ContentType="application/vnd.openxmlformats-officedocument.spreadsheetml.worksheet+xml" PartName="/xl/worksheets/sheet40076.xml"/>
  <Override ContentType="application/vnd.openxmlformats-officedocument.spreadsheetml.worksheet+xml" PartName="/xl/worksheets/sheet40077.xml"/>
  <Override ContentType="application/vnd.openxmlformats-officedocument.spreadsheetml.worksheet+xml" PartName="/xl/worksheets/sheet40078.xml"/>
  <Override ContentType="application/vnd.openxmlformats-officedocument.spreadsheetml.worksheet+xml" PartName="/xl/worksheets/sheet40079.xml"/>
  <Override ContentType="application/vnd.openxmlformats-officedocument.spreadsheetml.worksheet+xml" PartName="/xl/worksheets/sheet40080.xml"/>
  <Override ContentType="application/vnd.openxmlformats-officedocument.spreadsheetml.worksheet+xml" PartName="/xl/worksheets/sheet40081.xml"/>
  <Override ContentType="application/vnd.openxmlformats-officedocument.spreadsheetml.worksheet+xml" PartName="/xl/worksheets/sheet40082.xml"/>
  <Override ContentType="application/vnd.openxmlformats-officedocument.spreadsheetml.worksheet+xml" PartName="/xl/worksheets/sheet40083.xml"/>
  <Override ContentType="application/vnd.openxmlformats-officedocument.spreadsheetml.worksheet+xml" PartName="/xl/worksheets/sheet40084.xml"/>
  <Override ContentType="application/vnd.openxmlformats-officedocument.spreadsheetml.worksheet+xml" PartName="/xl/worksheets/sheet40085.xml"/>
  <Override ContentType="application/vnd.openxmlformats-officedocument.spreadsheetml.worksheet+xml" PartName="/xl/worksheets/sheet40086.xml"/>
  <Override ContentType="application/vnd.openxmlformats-officedocument.spreadsheetml.worksheet+xml" PartName="/xl/worksheets/sheet40087.xml"/>
  <Override ContentType="application/vnd.openxmlformats-officedocument.spreadsheetml.worksheet+xml" PartName="/xl/worksheets/sheet40088.xml"/>
  <Override ContentType="application/vnd.openxmlformats-officedocument.spreadsheetml.worksheet+xml" PartName="/xl/worksheets/sheet40089.xml"/>
  <Override ContentType="application/vnd.openxmlformats-officedocument.spreadsheetml.worksheet+xml" PartName="/xl/worksheets/sheet40090.xml"/>
  <Override ContentType="application/vnd.openxmlformats-officedocument.spreadsheetml.worksheet+xml" PartName="/xl/worksheets/sheet40091.xml"/>
  <Override ContentType="application/vnd.openxmlformats-officedocument.spreadsheetml.worksheet+xml" PartName="/xl/worksheets/sheet40092.xml"/>
  <Override ContentType="application/vnd.openxmlformats-officedocument.spreadsheetml.worksheet+xml" PartName="/xl/worksheets/sheet40093.xml"/>
  <Override ContentType="application/vnd.openxmlformats-officedocument.spreadsheetml.worksheet+xml" PartName="/xl/worksheets/sheet40094.xml"/>
  <Override ContentType="application/vnd.openxmlformats-officedocument.spreadsheetml.worksheet+xml" PartName="/xl/worksheets/sheet40095.xml"/>
  <Override ContentType="application/vnd.openxmlformats-officedocument.spreadsheetml.worksheet+xml" PartName="/xl/worksheets/sheet40096.xml"/>
  <Override ContentType="application/vnd.openxmlformats-officedocument.spreadsheetml.worksheet+xml" PartName="/xl/worksheets/sheet40097.xml"/>
  <Override ContentType="application/vnd.openxmlformats-officedocument.spreadsheetml.worksheet+xml" PartName="/xl/worksheets/sheet40098.xml"/>
  <Override ContentType="application/vnd.openxmlformats-officedocument.spreadsheetml.worksheet+xml" PartName="/xl/worksheets/sheet40099.xml"/>
  <Override ContentType="application/vnd.openxmlformats-officedocument.spreadsheetml.worksheet+xml" PartName="/xl/worksheets/sheet40100.xml"/>
  <Override ContentType="application/vnd.openxmlformats-officedocument.spreadsheetml.worksheet+xml" PartName="/xl/worksheets/sheet40101.xml"/>
  <Override ContentType="application/vnd.openxmlformats-officedocument.spreadsheetml.worksheet+xml" PartName="/xl/worksheets/sheet40102.xml"/>
  <Override ContentType="application/vnd.openxmlformats-officedocument.spreadsheetml.worksheet+xml" PartName="/xl/worksheets/sheet40103.xml"/>
  <Override ContentType="application/vnd.openxmlformats-officedocument.spreadsheetml.worksheet+xml" PartName="/xl/worksheets/sheet40104.xml"/>
  <Override ContentType="application/vnd.openxmlformats-officedocument.spreadsheetml.worksheet+xml" PartName="/xl/worksheets/sheet40105.xml"/>
  <Override ContentType="application/vnd.openxmlformats-officedocument.spreadsheetml.worksheet+xml" PartName="/xl/worksheets/sheet40106.xml"/>
  <Override ContentType="application/vnd.openxmlformats-officedocument.spreadsheetml.worksheet+xml" PartName="/xl/worksheets/sheet40107.xml"/>
  <Override ContentType="application/vnd.openxmlformats-officedocument.spreadsheetml.worksheet+xml" PartName="/xl/worksheets/sheet40108.xml"/>
  <Override ContentType="application/vnd.openxmlformats-officedocument.spreadsheetml.worksheet+xml" PartName="/xl/worksheets/sheet40109.xml"/>
  <Override ContentType="application/vnd.openxmlformats-officedocument.spreadsheetml.worksheet+xml" PartName="/xl/worksheets/sheet40110.xml"/>
  <Override ContentType="application/vnd.openxmlformats-officedocument.spreadsheetml.worksheet+xml" PartName="/xl/worksheets/sheet40111.xml"/>
  <Override ContentType="application/vnd.openxmlformats-officedocument.spreadsheetml.worksheet+xml" PartName="/xl/worksheets/sheet40112.xml"/>
  <Override ContentType="application/vnd.openxmlformats-officedocument.spreadsheetml.worksheet+xml" PartName="/xl/worksheets/sheet40113.xml"/>
  <Override ContentType="application/vnd.openxmlformats-officedocument.spreadsheetml.worksheet+xml" PartName="/xl/worksheets/sheet40114.xml"/>
  <Override ContentType="application/vnd.openxmlformats-officedocument.spreadsheetml.worksheet+xml" PartName="/xl/worksheets/sheet40115.xml"/>
  <Override ContentType="application/vnd.openxmlformats-officedocument.spreadsheetml.worksheet+xml" PartName="/xl/worksheets/sheet40116.xml"/>
  <Override ContentType="application/vnd.openxmlformats-officedocument.spreadsheetml.worksheet+xml" PartName="/xl/worksheets/sheet40117.xml"/>
  <Override ContentType="application/vnd.openxmlformats-officedocument.spreadsheetml.worksheet+xml" PartName="/xl/worksheets/sheet40118.xml"/>
  <Override ContentType="application/vnd.openxmlformats-officedocument.spreadsheetml.worksheet+xml" PartName="/xl/worksheets/sheet40119.xml"/>
  <Override ContentType="application/vnd.openxmlformats-officedocument.spreadsheetml.worksheet+xml" PartName="/xl/worksheets/sheet40120.xml"/>
  <Override ContentType="application/vnd.openxmlformats-officedocument.spreadsheetml.worksheet+xml" PartName="/xl/worksheets/sheet40121.xml"/>
  <Override ContentType="application/vnd.openxmlformats-officedocument.spreadsheetml.worksheet+xml" PartName="/xl/worksheets/sheet40122.xml"/>
  <Override ContentType="application/vnd.openxmlformats-officedocument.spreadsheetml.worksheet+xml" PartName="/xl/worksheets/sheet40123.xml"/>
  <Override ContentType="application/vnd.openxmlformats-officedocument.spreadsheetml.worksheet+xml" PartName="/xl/worksheets/sheet40124.xml"/>
  <Override ContentType="application/vnd.openxmlformats-officedocument.spreadsheetml.worksheet+xml" PartName="/xl/worksheets/sheet40125.xml"/>
  <Override ContentType="application/vnd.openxmlformats-officedocument.spreadsheetml.worksheet+xml" PartName="/xl/worksheets/sheet40126.xml"/>
  <Override ContentType="application/vnd.openxmlformats-officedocument.spreadsheetml.worksheet+xml" PartName="/xl/worksheets/sheet40127.xml"/>
  <Override ContentType="application/vnd.openxmlformats-officedocument.spreadsheetml.worksheet+xml" PartName="/xl/worksheets/sheet40128.xml"/>
  <Override ContentType="application/vnd.openxmlformats-officedocument.spreadsheetml.worksheet+xml" PartName="/xl/worksheets/sheet40129.xml"/>
  <Override ContentType="application/vnd.openxmlformats-officedocument.spreadsheetml.worksheet+xml" PartName="/xl/worksheets/sheet40130.xml"/>
  <Override ContentType="application/vnd.openxmlformats-officedocument.spreadsheetml.worksheet+xml" PartName="/xl/worksheets/sheet40131.xml"/>
  <Override ContentType="application/vnd.openxmlformats-officedocument.spreadsheetml.worksheet+xml" PartName="/xl/worksheets/sheet40132.xml"/>
  <Override ContentType="application/vnd.openxmlformats-officedocument.spreadsheetml.worksheet+xml" PartName="/xl/worksheets/sheet40133.xml"/>
  <Override ContentType="application/vnd.openxmlformats-officedocument.spreadsheetml.worksheet+xml" PartName="/xl/worksheets/sheet40134.xml"/>
  <Override ContentType="application/vnd.openxmlformats-officedocument.spreadsheetml.worksheet+xml" PartName="/xl/worksheets/sheet40135.xml"/>
  <Override ContentType="application/vnd.openxmlformats-officedocument.spreadsheetml.worksheet+xml" PartName="/xl/worksheets/sheet40136.xml"/>
  <Override ContentType="application/vnd.openxmlformats-officedocument.spreadsheetml.worksheet+xml" PartName="/xl/worksheets/sheet40137.xml"/>
  <Override ContentType="application/vnd.openxmlformats-officedocument.spreadsheetml.worksheet+xml" PartName="/xl/worksheets/sheet40138.xml"/>
  <Override ContentType="application/vnd.openxmlformats-officedocument.spreadsheetml.worksheet+xml" PartName="/xl/worksheets/sheet40139.xml"/>
  <Override ContentType="application/vnd.openxmlformats-officedocument.spreadsheetml.worksheet+xml" PartName="/xl/worksheets/sheet40140.xml"/>
  <Override ContentType="application/vnd.openxmlformats-officedocument.spreadsheetml.worksheet+xml" PartName="/xl/worksheets/sheet40141.xml"/>
  <Override ContentType="application/vnd.openxmlformats-officedocument.spreadsheetml.worksheet+xml" PartName="/xl/worksheets/sheet40142.xml"/>
  <Override ContentType="application/vnd.openxmlformats-officedocument.spreadsheetml.worksheet+xml" PartName="/xl/worksheets/sheet40143.xml"/>
  <Override ContentType="application/vnd.openxmlformats-officedocument.spreadsheetml.worksheet+xml" PartName="/xl/worksheets/sheet40144.xml"/>
  <Override ContentType="application/vnd.openxmlformats-officedocument.spreadsheetml.worksheet+xml" PartName="/xl/worksheets/sheet40145.xml"/>
  <Override ContentType="application/vnd.openxmlformats-officedocument.spreadsheetml.worksheet+xml" PartName="/xl/worksheets/sheet40146.xml"/>
  <Override ContentType="application/vnd.openxmlformats-officedocument.spreadsheetml.worksheet+xml" PartName="/xl/worksheets/sheet40147.xml"/>
  <Override ContentType="application/vnd.openxmlformats-officedocument.spreadsheetml.worksheet+xml" PartName="/xl/worksheets/sheet40148.xml"/>
  <Override ContentType="application/vnd.openxmlformats-officedocument.spreadsheetml.worksheet+xml" PartName="/xl/worksheets/sheet40149.xml"/>
  <Override ContentType="application/vnd.openxmlformats-officedocument.spreadsheetml.worksheet+xml" PartName="/xl/worksheets/sheet40150.xml"/>
  <Override ContentType="application/vnd.openxmlformats-officedocument.spreadsheetml.worksheet+xml" PartName="/xl/worksheets/sheet40151.xml"/>
  <Override ContentType="application/vnd.openxmlformats-officedocument.spreadsheetml.worksheet+xml" PartName="/xl/worksheets/sheet40152.xml"/>
  <Override ContentType="application/vnd.openxmlformats-officedocument.spreadsheetml.worksheet+xml" PartName="/xl/worksheets/sheet40153.xml"/>
  <Override ContentType="application/vnd.openxmlformats-officedocument.spreadsheetml.worksheet+xml" PartName="/xl/worksheets/sheet40154.xml"/>
  <Override ContentType="application/vnd.openxmlformats-officedocument.spreadsheetml.worksheet+xml" PartName="/xl/worksheets/sheet40155.xml"/>
  <Override ContentType="application/vnd.openxmlformats-officedocument.spreadsheetml.worksheet+xml" PartName="/xl/worksheets/sheet40156.xml"/>
  <Override ContentType="application/vnd.openxmlformats-officedocument.spreadsheetml.worksheet+xml" PartName="/xl/worksheets/sheet40157.xml"/>
  <Override ContentType="application/vnd.openxmlformats-officedocument.spreadsheetml.worksheet+xml" PartName="/xl/worksheets/sheet40158.xml"/>
  <Override ContentType="application/vnd.openxmlformats-officedocument.spreadsheetml.worksheet+xml" PartName="/xl/worksheets/sheet40159.xml"/>
  <Override ContentType="application/vnd.openxmlformats-officedocument.spreadsheetml.worksheet+xml" PartName="/xl/worksheets/sheet40160.xml"/>
  <Override ContentType="application/vnd.openxmlformats-officedocument.spreadsheetml.worksheet+xml" PartName="/xl/worksheets/sheet40161.xml"/>
  <Override ContentType="application/vnd.openxmlformats-officedocument.spreadsheetml.worksheet+xml" PartName="/xl/worksheets/sheet40162.xml"/>
  <Override ContentType="application/vnd.openxmlformats-officedocument.spreadsheetml.worksheet+xml" PartName="/xl/worksheets/sheet40163.xml"/>
  <Override ContentType="application/vnd.openxmlformats-officedocument.spreadsheetml.worksheet+xml" PartName="/xl/worksheets/sheet40164.xml"/>
  <Override ContentType="application/vnd.openxmlformats-officedocument.spreadsheetml.worksheet+xml" PartName="/xl/worksheets/sheet40165.xml"/>
  <Override ContentType="application/vnd.openxmlformats-officedocument.spreadsheetml.worksheet+xml" PartName="/xl/worksheets/sheet40166.xml"/>
  <Override ContentType="application/vnd.openxmlformats-officedocument.spreadsheetml.worksheet+xml" PartName="/xl/worksheets/sheet40167.xml"/>
  <Override ContentType="application/vnd.openxmlformats-officedocument.spreadsheetml.worksheet+xml" PartName="/xl/worksheets/sheet40168.xml"/>
  <Override ContentType="application/vnd.openxmlformats-officedocument.spreadsheetml.worksheet+xml" PartName="/xl/worksheets/sheet40169.xml"/>
  <Override ContentType="application/vnd.openxmlformats-officedocument.spreadsheetml.worksheet+xml" PartName="/xl/worksheets/sheet40170.xml"/>
  <Override ContentType="application/vnd.openxmlformats-officedocument.spreadsheetml.worksheet+xml" PartName="/xl/worksheets/sheet40171.xml"/>
  <Override ContentType="application/vnd.openxmlformats-officedocument.spreadsheetml.worksheet+xml" PartName="/xl/worksheets/sheet40172.xml"/>
  <Override ContentType="application/vnd.openxmlformats-officedocument.spreadsheetml.worksheet+xml" PartName="/xl/worksheets/sheet40173.xml"/>
  <Override ContentType="application/vnd.openxmlformats-officedocument.spreadsheetml.worksheet+xml" PartName="/xl/worksheets/sheet40174.xml"/>
  <Override ContentType="application/vnd.openxmlformats-officedocument.spreadsheetml.worksheet+xml" PartName="/xl/worksheets/sheet40175.xml"/>
  <Override ContentType="application/vnd.openxmlformats-officedocument.spreadsheetml.worksheet+xml" PartName="/xl/worksheets/sheet40176.xml"/>
  <Override ContentType="application/vnd.openxmlformats-officedocument.spreadsheetml.worksheet+xml" PartName="/xl/worksheets/sheet40177.xml"/>
  <Override ContentType="application/vnd.openxmlformats-officedocument.spreadsheetml.worksheet+xml" PartName="/xl/worksheets/sheet40178.xml"/>
  <Override ContentType="application/vnd.openxmlformats-officedocument.spreadsheetml.worksheet+xml" PartName="/xl/worksheets/sheet40179.xml"/>
  <Override ContentType="application/vnd.openxmlformats-officedocument.spreadsheetml.worksheet+xml" PartName="/xl/worksheets/sheet40180.xml"/>
  <Override ContentType="application/vnd.openxmlformats-officedocument.spreadsheetml.worksheet+xml" PartName="/xl/worksheets/sheet40181.xml"/>
  <Override ContentType="application/vnd.openxmlformats-officedocument.spreadsheetml.worksheet+xml" PartName="/xl/worksheets/sheet40182.xml"/>
  <Override ContentType="application/vnd.openxmlformats-officedocument.spreadsheetml.worksheet+xml" PartName="/xl/worksheets/sheet40183.xml"/>
  <Override ContentType="application/vnd.openxmlformats-officedocument.spreadsheetml.worksheet+xml" PartName="/xl/worksheets/sheet40184.xml"/>
  <Override ContentType="application/vnd.openxmlformats-officedocument.spreadsheetml.worksheet+xml" PartName="/xl/worksheets/sheet40185.xml"/>
  <Override ContentType="application/vnd.openxmlformats-officedocument.spreadsheetml.worksheet+xml" PartName="/xl/worksheets/sheet40186.xml"/>
  <Override ContentType="application/vnd.openxmlformats-officedocument.spreadsheetml.worksheet+xml" PartName="/xl/worksheets/sheet40187.xml"/>
  <Override ContentType="application/vnd.openxmlformats-officedocument.spreadsheetml.worksheet+xml" PartName="/xl/worksheets/sheet40188.xml"/>
  <Override ContentType="application/vnd.openxmlformats-officedocument.spreadsheetml.worksheet+xml" PartName="/xl/worksheets/sheet40189.xml"/>
  <Override ContentType="application/vnd.openxmlformats-officedocument.spreadsheetml.worksheet+xml" PartName="/xl/worksheets/sheet40190.xml"/>
  <Override ContentType="application/vnd.openxmlformats-officedocument.spreadsheetml.worksheet+xml" PartName="/xl/worksheets/sheet40191.xml"/>
  <Override ContentType="application/vnd.openxmlformats-officedocument.spreadsheetml.worksheet+xml" PartName="/xl/worksheets/sheet40192.xml"/>
  <Override ContentType="application/vnd.openxmlformats-officedocument.spreadsheetml.worksheet+xml" PartName="/xl/worksheets/sheet40193.xml"/>
  <Override ContentType="application/vnd.openxmlformats-officedocument.spreadsheetml.worksheet+xml" PartName="/xl/worksheets/sheet40194.xml"/>
  <Override ContentType="application/vnd.openxmlformats-officedocument.spreadsheetml.worksheet+xml" PartName="/xl/worksheets/sheet40195.xml"/>
  <Override ContentType="application/vnd.openxmlformats-officedocument.spreadsheetml.worksheet+xml" PartName="/xl/worksheets/sheet40196.xml"/>
  <Override ContentType="application/vnd.openxmlformats-officedocument.spreadsheetml.worksheet+xml" PartName="/xl/worksheets/sheet40197.xml"/>
  <Override ContentType="application/vnd.openxmlformats-officedocument.spreadsheetml.worksheet+xml" PartName="/xl/worksheets/sheet40198.xml"/>
  <Override ContentType="application/vnd.openxmlformats-officedocument.spreadsheetml.worksheet+xml" PartName="/xl/worksheets/sheet40199.xml"/>
  <Override ContentType="application/vnd.openxmlformats-officedocument.spreadsheetml.worksheet+xml" PartName="/xl/worksheets/sheet40200.xml"/>
  <Override ContentType="application/vnd.openxmlformats-officedocument.spreadsheetml.worksheet+xml" PartName="/xl/worksheets/sheet40201.xml"/>
  <Override ContentType="application/vnd.openxmlformats-officedocument.spreadsheetml.worksheet+xml" PartName="/xl/worksheets/sheet40202.xml"/>
  <Override ContentType="application/vnd.openxmlformats-officedocument.spreadsheetml.worksheet+xml" PartName="/xl/worksheets/sheet40203.xml"/>
  <Override ContentType="application/vnd.openxmlformats-officedocument.spreadsheetml.worksheet+xml" PartName="/xl/worksheets/sheet40204.xml"/>
  <Override ContentType="application/vnd.openxmlformats-officedocument.spreadsheetml.worksheet+xml" PartName="/xl/worksheets/sheet40205.xml"/>
  <Override ContentType="application/vnd.openxmlformats-officedocument.spreadsheetml.worksheet+xml" PartName="/xl/worksheets/sheet40206.xml"/>
  <Override ContentType="application/vnd.openxmlformats-officedocument.spreadsheetml.worksheet+xml" PartName="/xl/worksheets/sheet40207.xml"/>
  <Override ContentType="application/vnd.openxmlformats-officedocument.spreadsheetml.worksheet+xml" PartName="/xl/worksheets/sheet40208.xml"/>
  <Override ContentType="application/vnd.openxmlformats-officedocument.spreadsheetml.worksheet+xml" PartName="/xl/worksheets/sheet40209.xml"/>
  <Override ContentType="application/vnd.openxmlformats-officedocument.spreadsheetml.worksheet+xml" PartName="/xl/worksheets/sheet40210.xml"/>
  <Override ContentType="application/vnd.openxmlformats-officedocument.spreadsheetml.worksheet+xml" PartName="/xl/worksheets/sheet40211.xml"/>
  <Override ContentType="application/vnd.openxmlformats-officedocument.spreadsheetml.worksheet+xml" PartName="/xl/worksheets/sheet40212.xml"/>
  <Override ContentType="application/vnd.openxmlformats-officedocument.spreadsheetml.worksheet+xml" PartName="/xl/worksheets/sheet40213.xml"/>
  <Override ContentType="application/vnd.openxmlformats-officedocument.spreadsheetml.worksheet+xml" PartName="/xl/worksheets/sheet40214.xml"/>
  <Override ContentType="application/vnd.openxmlformats-officedocument.spreadsheetml.worksheet+xml" PartName="/xl/worksheets/sheet40215.xml"/>
  <Override ContentType="application/vnd.openxmlformats-officedocument.spreadsheetml.worksheet+xml" PartName="/xl/worksheets/sheet40216.xml"/>
  <Override ContentType="application/vnd.openxmlformats-officedocument.spreadsheetml.worksheet+xml" PartName="/xl/worksheets/sheet40217.xml"/>
  <Override ContentType="application/vnd.openxmlformats-officedocument.spreadsheetml.worksheet+xml" PartName="/xl/worksheets/sheet40218.xml"/>
  <Override ContentType="application/vnd.openxmlformats-officedocument.spreadsheetml.worksheet+xml" PartName="/xl/worksheets/sheet40219.xml"/>
  <Override ContentType="application/vnd.openxmlformats-officedocument.spreadsheetml.worksheet+xml" PartName="/xl/worksheets/sheet40220.xml"/>
  <Override ContentType="application/vnd.openxmlformats-officedocument.spreadsheetml.worksheet+xml" PartName="/xl/worksheets/sheet40221.xml"/>
  <Override ContentType="application/vnd.openxmlformats-officedocument.spreadsheetml.worksheet+xml" PartName="/xl/worksheets/sheet40222.xml"/>
  <Override ContentType="application/vnd.openxmlformats-officedocument.spreadsheetml.worksheet+xml" PartName="/xl/worksheets/sheet40223.xml"/>
  <Override ContentType="application/vnd.openxmlformats-officedocument.spreadsheetml.worksheet+xml" PartName="/xl/worksheets/sheet40224.xml"/>
  <Override ContentType="application/vnd.openxmlformats-officedocument.spreadsheetml.worksheet+xml" PartName="/xl/worksheets/sheet40225.xml"/>
  <Override ContentType="application/vnd.openxmlformats-officedocument.spreadsheetml.worksheet+xml" PartName="/xl/worksheets/sheet40226.xml"/>
  <Override ContentType="application/vnd.openxmlformats-officedocument.spreadsheetml.worksheet+xml" PartName="/xl/worksheets/sheet40227.xml"/>
  <Override ContentType="application/vnd.openxmlformats-officedocument.spreadsheetml.worksheet+xml" PartName="/xl/worksheets/sheet40228.xml"/>
  <Override ContentType="application/vnd.openxmlformats-officedocument.spreadsheetml.worksheet+xml" PartName="/xl/worksheets/sheet40229.xml"/>
  <Override ContentType="application/vnd.openxmlformats-officedocument.spreadsheetml.worksheet+xml" PartName="/xl/worksheets/sheet40230.xml"/>
  <Override ContentType="application/vnd.openxmlformats-officedocument.spreadsheetml.worksheet+xml" PartName="/xl/worksheets/sheet40231.xml"/>
  <Override ContentType="application/vnd.openxmlformats-officedocument.spreadsheetml.worksheet+xml" PartName="/xl/worksheets/sheet40232.xml"/>
  <Override ContentType="application/vnd.openxmlformats-officedocument.spreadsheetml.worksheet+xml" PartName="/xl/worksheets/sheet40233.xml"/>
  <Override ContentType="application/vnd.openxmlformats-officedocument.spreadsheetml.worksheet+xml" PartName="/xl/worksheets/sheet40234.xml"/>
  <Override ContentType="application/vnd.openxmlformats-officedocument.spreadsheetml.worksheet+xml" PartName="/xl/worksheets/sheet40235.xml"/>
  <Override ContentType="application/vnd.openxmlformats-officedocument.spreadsheetml.worksheet+xml" PartName="/xl/worksheets/sheet40236.xml"/>
  <Override ContentType="application/vnd.openxmlformats-officedocument.spreadsheetml.worksheet+xml" PartName="/xl/worksheets/sheet40237.xml"/>
  <Override ContentType="application/vnd.openxmlformats-officedocument.spreadsheetml.worksheet+xml" PartName="/xl/worksheets/sheet40238.xml"/>
  <Override ContentType="application/vnd.openxmlformats-officedocument.spreadsheetml.worksheet+xml" PartName="/xl/worksheets/sheet40239.xml"/>
  <Override ContentType="application/vnd.openxmlformats-officedocument.spreadsheetml.worksheet+xml" PartName="/xl/worksheets/sheet40240.xml"/>
  <Override ContentType="application/vnd.openxmlformats-officedocument.spreadsheetml.worksheet+xml" PartName="/xl/worksheets/sheet40241.xml"/>
  <Override ContentType="application/vnd.openxmlformats-officedocument.spreadsheetml.worksheet+xml" PartName="/xl/worksheets/sheet40242.xml"/>
  <Override ContentType="application/vnd.openxmlformats-officedocument.spreadsheetml.worksheet+xml" PartName="/xl/worksheets/sheet40243.xml"/>
  <Override ContentType="application/vnd.openxmlformats-officedocument.spreadsheetml.worksheet+xml" PartName="/xl/worksheets/sheet40244.xml"/>
  <Override ContentType="application/vnd.openxmlformats-officedocument.spreadsheetml.worksheet+xml" PartName="/xl/worksheets/sheet40245.xml"/>
  <Override ContentType="application/vnd.openxmlformats-officedocument.spreadsheetml.worksheet+xml" PartName="/xl/worksheets/sheet40246.xml"/>
  <Override ContentType="application/vnd.openxmlformats-officedocument.spreadsheetml.worksheet+xml" PartName="/xl/worksheets/sheet40247.xml"/>
  <Override ContentType="application/vnd.openxmlformats-officedocument.spreadsheetml.worksheet+xml" PartName="/xl/worksheets/sheet40248.xml"/>
  <Override ContentType="application/vnd.openxmlformats-officedocument.spreadsheetml.worksheet+xml" PartName="/xl/worksheets/sheet40249.xml"/>
  <Override ContentType="application/vnd.openxmlformats-officedocument.spreadsheetml.worksheet+xml" PartName="/xl/worksheets/sheet40250.xml"/>
  <Override ContentType="application/vnd.openxmlformats-officedocument.spreadsheetml.worksheet+xml" PartName="/xl/worksheets/sheet40251.xml"/>
  <Override ContentType="application/vnd.openxmlformats-officedocument.spreadsheetml.worksheet+xml" PartName="/xl/worksheets/sheet40252.xml"/>
  <Override ContentType="application/vnd.openxmlformats-officedocument.spreadsheetml.worksheet+xml" PartName="/xl/worksheets/sheet40253.xml"/>
  <Override ContentType="application/vnd.openxmlformats-officedocument.spreadsheetml.worksheet+xml" PartName="/xl/worksheets/sheet40254.xml"/>
  <Override ContentType="application/vnd.openxmlformats-officedocument.spreadsheetml.worksheet+xml" PartName="/xl/worksheets/sheet40255.xml"/>
  <Override ContentType="application/vnd.openxmlformats-officedocument.spreadsheetml.worksheet+xml" PartName="/xl/worksheets/sheet40256.xml"/>
  <Override ContentType="application/vnd.openxmlformats-officedocument.spreadsheetml.worksheet+xml" PartName="/xl/worksheets/sheet40257.xml"/>
  <Override ContentType="application/vnd.openxmlformats-officedocument.spreadsheetml.worksheet+xml" PartName="/xl/worksheets/sheet40258.xml"/>
  <Override ContentType="application/vnd.openxmlformats-officedocument.spreadsheetml.worksheet+xml" PartName="/xl/worksheets/sheet40259.xml"/>
  <Override ContentType="application/vnd.openxmlformats-officedocument.spreadsheetml.worksheet+xml" PartName="/xl/worksheets/sheet40260.xml"/>
  <Override ContentType="application/vnd.openxmlformats-officedocument.spreadsheetml.worksheet+xml" PartName="/xl/worksheets/sheet40261.xml"/>
  <Override ContentType="application/vnd.openxmlformats-officedocument.spreadsheetml.worksheet+xml" PartName="/xl/worksheets/sheet40262.xml"/>
  <Override ContentType="application/vnd.openxmlformats-officedocument.spreadsheetml.worksheet+xml" PartName="/xl/worksheets/sheet40263.xml"/>
  <Override ContentType="application/vnd.openxmlformats-officedocument.spreadsheetml.worksheet+xml" PartName="/xl/worksheets/sheet40264.xml"/>
  <Override ContentType="application/vnd.openxmlformats-officedocument.spreadsheetml.worksheet+xml" PartName="/xl/worksheets/sheet40265.xml"/>
  <Override ContentType="application/vnd.openxmlformats-officedocument.spreadsheetml.worksheet+xml" PartName="/xl/worksheets/sheet40266.xml"/>
  <Override ContentType="application/vnd.openxmlformats-officedocument.spreadsheetml.worksheet+xml" PartName="/xl/worksheets/sheet40267.xml"/>
  <Override ContentType="application/vnd.openxmlformats-officedocument.spreadsheetml.worksheet+xml" PartName="/xl/worksheets/sheet40268.xml"/>
  <Override ContentType="application/vnd.openxmlformats-officedocument.spreadsheetml.worksheet+xml" PartName="/xl/worksheets/sheet40269.xml"/>
  <Override ContentType="application/vnd.openxmlformats-officedocument.spreadsheetml.worksheet+xml" PartName="/xl/worksheets/sheet40270.xml"/>
  <Override ContentType="application/vnd.openxmlformats-officedocument.spreadsheetml.worksheet+xml" PartName="/xl/worksheets/sheet40271.xml"/>
  <Override ContentType="application/vnd.openxmlformats-officedocument.spreadsheetml.worksheet+xml" PartName="/xl/worksheets/sheet40272.xml"/>
  <Override ContentType="application/vnd.openxmlformats-officedocument.spreadsheetml.worksheet+xml" PartName="/xl/worksheets/sheet40273.xml"/>
  <Override ContentType="application/vnd.openxmlformats-officedocument.spreadsheetml.worksheet+xml" PartName="/xl/worksheets/sheet40274.xml"/>
  <Override ContentType="application/vnd.openxmlformats-officedocument.spreadsheetml.worksheet+xml" PartName="/xl/worksheets/sheet40275.xml"/>
  <Override ContentType="application/vnd.openxmlformats-officedocument.spreadsheetml.worksheet+xml" PartName="/xl/worksheets/sheet40276.xml"/>
  <Override ContentType="application/vnd.openxmlformats-officedocument.spreadsheetml.worksheet+xml" PartName="/xl/worksheets/sheet40277.xml"/>
  <Override ContentType="application/vnd.openxmlformats-officedocument.spreadsheetml.worksheet+xml" PartName="/xl/worksheets/sheet40278.xml"/>
  <Override ContentType="application/vnd.openxmlformats-officedocument.spreadsheetml.worksheet+xml" PartName="/xl/worksheets/sheet40279.xml"/>
  <Override ContentType="application/vnd.openxmlformats-officedocument.spreadsheetml.worksheet+xml" PartName="/xl/worksheets/sheet40280.xml"/>
  <Override ContentType="application/vnd.openxmlformats-officedocument.spreadsheetml.worksheet+xml" PartName="/xl/worksheets/sheet40281.xml"/>
  <Override ContentType="application/vnd.openxmlformats-officedocument.spreadsheetml.worksheet+xml" PartName="/xl/worksheets/sheet40282.xml"/>
  <Override ContentType="application/vnd.openxmlformats-officedocument.spreadsheetml.worksheet+xml" PartName="/xl/worksheets/sheet40283.xml"/>
  <Override ContentType="application/vnd.openxmlformats-officedocument.spreadsheetml.worksheet+xml" PartName="/xl/worksheets/sheet40284.xml"/>
  <Override ContentType="application/vnd.openxmlformats-officedocument.spreadsheetml.worksheet+xml" PartName="/xl/worksheets/sheet40285.xml"/>
  <Override ContentType="application/vnd.openxmlformats-officedocument.spreadsheetml.worksheet+xml" PartName="/xl/worksheets/sheet40286.xml"/>
  <Override ContentType="application/vnd.openxmlformats-officedocument.spreadsheetml.worksheet+xml" PartName="/xl/worksheets/sheet40287.xml"/>
  <Override ContentType="application/vnd.openxmlformats-officedocument.spreadsheetml.worksheet+xml" PartName="/xl/worksheets/sheet40288.xml"/>
  <Override ContentType="application/vnd.openxmlformats-officedocument.spreadsheetml.worksheet+xml" PartName="/xl/worksheets/sheet40289.xml"/>
  <Override ContentType="application/vnd.openxmlformats-officedocument.spreadsheetml.worksheet+xml" PartName="/xl/worksheets/sheet40290.xml"/>
  <Override ContentType="application/vnd.openxmlformats-officedocument.spreadsheetml.worksheet+xml" PartName="/xl/worksheets/sheet40291.xml"/>
  <Override ContentType="application/vnd.openxmlformats-officedocument.spreadsheetml.worksheet+xml" PartName="/xl/worksheets/sheet40292.xml"/>
  <Override ContentType="application/vnd.openxmlformats-officedocument.spreadsheetml.worksheet+xml" PartName="/xl/worksheets/sheet40293.xml"/>
  <Override ContentType="application/vnd.openxmlformats-officedocument.spreadsheetml.worksheet+xml" PartName="/xl/worksheets/sheet40294.xml"/>
  <Override ContentType="application/vnd.openxmlformats-officedocument.spreadsheetml.worksheet+xml" PartName="/xl/worksheets/sheet40295.xml"/>
  <Override ContentType="application/vnd.openxmlformats-officedocument.spreadsheetml.worksheet+xml" PartName="/xl/worksheets/sheet40296.xml"/>
  <Override ContentType="application/vnd.openxmlformats-officedocument.spreadsheetml.worksheet+xml" PartName="/xl/worksheets/sheet40297.xml"/>
  <Override ContentType="application/vnd.openxmlformats-officedocument.spreadsheetml.worksheet+xml" PartName="/xl/worksheets/sheet40298.xml"/>
  <Override ContentType="application/vnd.openxmlformats-officedocument.spreadsheetml.worksheet+xml" PartName="/xl/worksheets/sheet40299.xml"/>
  <Override ContentType="application/vnd.openxmlformats-officedocument.spreadsheetml.worksheet+xml" PartName="/xl/worksheets/sheet40300.xml"/>
  <Override ContentType="application/vnd.openxmlformats-officedocument.spreadsheetml.worksheet+xml" PartName="/xl/worksheets/sheet40301.xml"/>
  <Override ContentType="application/vnd.openxmlformats-officedocument.spreadsheetml.worksheet+xml" PartName="/xl/worksheets/sheet40302.xml"/>
  <Override ContentType="application/vnd.openxmlformats-officedocument.spreadsheetml.worksheet+xml" PartName="/xl/worksheets/sheet40303.xml"/>
  <Override ContentType="application/vnd.openxmlformats-officedocument.spreadsheetml.worksheet+xml" PartName="/xl/worksheets/sheet40304.xml"/>
  <Override ContentType="application/vnd.openxmlformats-officedocument.spreadsheetml.worksheet+xml" PartName="/xl/worksheets/sheet40305.xml"/>
  <Override ContentType="application/vnd.openxmlformats-officedocument.spreadsheetml.worksheet+xml" PartName="/xl/worksheets/sheet40306.xml"/>
  <Override ContentType="application/vnd.openxmlformats-officedocument.spreadsheetml.worksheet+xml" PartName="/xl/worksheets/sheet40307.xml"/>
  <Override ContentType="application/vnd.openxmlformats-officedocument.spreadsheetml.worksheet+xml" PartName="/xl/worksheets/sheet40308.xml"/>
  <Override ContentType="application/vnd.openxmlformats-officedocument.spreadsheetml.worksheet+xml" PartName="/xl/worksheets/sheet40309.xml"/>
  <Override ContentType="application/vnd.openxmlformats-officedocument.spreadsheetml.worksheet+xml" PartName="/xl/worksheets/sheet40310.xml"/>
  <Override ContentType="application/vnd.openxmlformats-officedocument.spreadsheetml.worksheet+xml" PartName="/xl/worksheets/sheet40311.xml"/>
  <Override ContentType="application/vnd.openxmlformats-officedocument.spreadsheetml.worksheet+xml" PartName="/xl/worksheets/sheet40312.xml"/>
  <Override ContentType="application/vnd.openxmlformats-officedocument.spreadsheetml.worksheet+xml" PartName="/xl/worksheets/sheet40313.xml"/>
  <Override ContentType="application/vnd.openxmlformats-officedocument.spreadsheetml.worksheet+xml" PartName="/xl/worksheets/sheet40314.xml"/>
  <Override ContentType="application/vnd.openxmlformats-officedocument.spreadsheetml.worksheet+xml" PartName="/xl/worksheets/sheet40315.xml"/>
  <Override ContentType="application/vnd.openxmlformats-officedocument.spreadsheetml.worksheet+xml" PartName="/xl/worksheets/sheet40316.xml"/>
  <Override ContentType="application/vnd.openxmlformats-officedocument.spreadsheetml.worksheet+xml" PartName="/xl/worksheets/sheet40317.xml"/>
  <Override ContentType="application/vnd.openxmlformats-officedocument.spreadsheetml.worksheet+xml" PartName="/xl/worksheets/sheet40318.xml"/>
  <Override ContentType="application/vnd.openxmlformats-officedocument.spreadsheetml.worksheet+xml" PartName="/xl/worksheets/sheet40319.xml"/>
  <Override ContentType="application/vnd.openxmlformats-officedocument.spreadsheetml.worksheet+xml" PartName="/xl/worksheets/sheet40320.xml"/>
  <Override ContentType="application/vnd.openxmlformats-officedocument.spreadsheetml.worksheet+xml" PartName="/xl/worksheets/sheet40321.xml"/>
  <Override ContentType="application/vnd.openxmlformats-officedocument.spreadsheetml.worksheet+xml" PartName="/xl/worksheets/sheet40322.xml"/>
  <Override ContentType="application/vnd.openxmlformats-officedocument.spreadsheetml.worksheet+xml" PartName="/xl/worksheets/sheet40323.xml"/>
  <Override ContentType="application/vnd.openxmlformats-officedocument.spreadsheetml.worksheet+xml" PartName="/xl/worksheets/sheet40324.xml"/>
  <Override ContentType="application/vnd.openxmlformats-officedocument.spreadsheetml.worksheet+xml" PartName="/xl/worksheets/sheet40325.xml"/>
  <Override ContentType="application/vnd.openxmlformats-officedocument.spreadsheetml.worksheet+xml" PartName="/xl/worksheets/sheet40326.xml"/>
  <Override ContentType="application/vnd.openxmlformats-officedocument.spreadsheetml.worksheet+xml" PartName="/xl/worksheets/sheet40327.xml"/>
  <Override ContentType="application/vnd.openxmlformats-officedocument.spreadsheetml.worksheet+xml" PartName="/xl/worksheets/sheet40328.xml"/>
  <Override ContentType="application/vnd.openxmlformats-officedocument.spreadsheetml.worksheet+xml" PartName="/xl/worksheets/sheet40329.xml"/>
  <Override ContentType="application/vnd.openxmlformats-officedocument.spreadsheetml.worksheet+xml" PartName="/xl/worksheets/sheet40330.xml"/>
  <Override ContentType="application/vnd.openxmlformats-officedocument.spreadsheetml.worksheet+xml" PartName="/xl/worksheets/sheet40331.xml"/>
  <Override ContentType="application/vnd.openxmlformats-officedocument.spreadsheetml.worksheet+xml" PartName="/xl/worksheets/sheet40332.xml"/>
  <Override ContentType="application/vnd.openxmlformats-officedocument.spreadsheetml.worksheet+xml" PartName="/xl/worksheets/sheet40333.xml"/>
  <Override ContentType="application/vnd.openxmlformats-officedocument.spreadsheetml.worksheet+xml" PartName="/xl/worksheets/sheet40334.xml"/>
  <Override ContentType="application/vnd.openxmlformats-officedocument.spreadsheetml.worksheet+xml" PartName="/xl/worksheets/sheet40335.xml"/>
  <Override ContentType="application/vnd.openxmlformats-officedocument.spreadsheetml.worksheet+xml" PartName="/xl/worksheets/sheet40336.xml"/>
  <Override ContentType="application/vnd.openxmlformats-officedocument.spreadsheetml.worksheet+xml" PartName="/xl/worksheets/sheet40337.xml"/>
  <Override ContentType="application/vnd.openxmlformats-officedocument.spreadsheetml.worksheet+xml" PartName="/xl/worksheets/sheet40338.xml"/>
  <Override ContentType="application/vnd.openxmlformats-officedocument.spreadsheetml.worksheet+xml" PartName="/xl/worksheets/sheet40339.xml"/>
  <Override ContentType="application/vnd.openxmlformats-officedocument.spreadsheetml.worksheet+xml" PartName="/xl/worksheets/sheet40340.xml"/>
  <Override ContentType="application/vnd.openxmlformats-officedocument.spreadsheetml.worksheet+xml" PartName="/xl/worksheets/sheet40341.xml"/>
  <Override ContentType="application/vnd.openxmlformats-officedocument.spreadsheetml.worksheet+xml" PartName="/xl/worksheets/sheet40342.xml"/>
  <Override ContentType="application/vnd.openxmlformats-officedocument.spreadsheetml.worksheet+xml" PartName="/xl/worksheets/sheet40343.xml"/>
  <Override ContentType="application/vnd.openxmlformats-officedocument.spreadsheetml.worksheet+xml" PartName="/xl/worksheets/sheet40344.xml"/>
  <Override ContentType="application/vnd.openxmlformats-officedocument.spreadsheetml.worksheet+xml" PartName="/xl/worksheets/sheet40345.xml"/>
  <Override ContentType="application/vnd.openxmlformats-officedocument.spreadsheetml.worksheet+xml" PartName="/xl/worksheets/sheet40346.xml"/>
  <Override ContentType="application/vnd.openxmlformats-officedocument.spreadsheetml.worksheet+xml" PartName="/xl/worksheets/sheet40347.xml"/>
  <Override ContentType="application/vnd.openxmlformats-officedocument.spreadsheetml.worksheet+xml" PartName="/xl/worksheets/sheet40348.xml"/>
  <Override ContentType="application/vnd.openxmlformats-officedocument.spreadsheetml.worksheet+xml" PartName="/xl/worksheets/sheet40349.xml"/>
  <Override ContentType="application/vnd.openxmlformats-officedocument.spreadsheetml.worksheet+xml" PartName="/xl/worksheets/sheet40350.xml"/>
  <Override ContentType="application/vnd.openxmlformats-officedocument.spreadsheetml.worksheet+xml" PartName="/xl/worksheets/sheet40351.xml"/>
  <Override ContentType="application/vnd.openxmlformats-officedocument.spreadsheetml.worksheet+xml" PartName="/xl/worksheets/sheet40352.xml"/>
  <Override ContentType="application/vnd.openxmlformats-officedocument.spreadsheetml.worksheet+xml" PartName="/xl/worksheets/sheet40353.xml"/>
  <Override ContentType="application/vnd.openxmlformats-officedocument.spreadsheetml.worksheet+xml" PartName="/xl/worksheets/sheet40354.xml"/>
  <Override ContentType="application/vnd.openxmlformats-officedocument.spreadsheetml.worksheet+xml" PartName="/xl/worksheets/sheet40355.xml"/>
  <Override ContentType="application/vnd.openxmlformats-officedocument.spreadsheetml.worksheet+xml" PartName="/xl/worksheets/sheet40356.xml"/>
  <Override ContentType="application/vnd.openxmlformats-officedocument.spreadsheetml.worksheet+xml" PartName="/xl/worksheets/sheet40357.xml"/>
  <Override ContentType="application/vnd.openxmlformats-officedocument.spreadsheetml.worksheet+xml" PartName="/xl/worksheets/sheet40358.xml"/>
  <Override ContentType="application/vnd.openxmlformats-officedocument.spreadsheetml.worksheet+xml" PartName="/xl/worksheets/sheet40359.xml"/>
  <Override ContentType="application/vnd.openxmlformats-officedocument.spreadsheetml.worksheet+xml" PartName="/xl/worksheets/sheet40360.xml"/>
  <Override ContentType="application/vnd.openxmlformats-officedocument.spreadsheetml.worksheet+xml" PartName="/xl/worksheets/sheet40361.xml"/>
  <Override ContentType="application/vnd.openxmlformats-officedocument.spreadsheetml.worksheet+xml" PartName="/xl/worksheets/sheet40362.xml"/>
  <Override ContentType="application/vnd.openxmlformats-officedocument.spreadsheetml.worksheet+xml" PartName="/xl/worksheets/sheet40363.xml"/>
  <Override ContentType="application/vnd.openxmlformats-officedocument.spreadsheetml.worksheet+xml" PartName="/xl/worksheets/sheet40364.xml"/>
  <Override ContentType="application/vnd.openxmlformats-officedocument.spreadsheetml.worksheet+xml" PartName="/xl/worksheets/sheet40365.xml"/>
  <Override ContentType="application/vnd.openxmlformats-officedocument.spreadsheetml.worksheet+xml" PartName="/xl/worksheets/sheet40366.xml"/>
  <Override ContentType="application/vnd.openxmlformats-officedocument.spreadsheetml.worksheet+xml" PartName="/xl/worksheets/sheet40367.xml"/>
  <Override ContentType="application/vnd.openxmlformats-officedocument.spreadsheetml.worksheet+xml" PartName="/xl/worksheets/sheet40368.xml"/>
  <Override ContentType="application/vnd.openxmlformats-officedocument.spreadsheetml.worksheet+xml" PartName="/xl/worksheets/sheet40369.xml"/>
  <Override ContentType="application/vnd.openxmlformats-officedocument.spreadsheetml.worksheet+xml" PartName="/xl/worksheets/sheet40370.xml"/>
  <Override ContentType="application/vnd.openxmlformats-officedocument.spreadsheetml.worksheet+xml" PartName="/xl/worksheets/sheet40371.xml"/>
  <Override ContentType="application/vnd.openxmlformats-officedocument.spreadsheetml.worksheet+xml" PartName="/xl/worksheets/sheet40372.xml"/>
  <Override ContentType="application/vnd.openxmlformats-officedocument.spreadsheetml.worksheet+xml" PartName="/xl/worksheets/sheet40373.xml"/>
  <Override ContentType="application/vnd.openxmlformats-officedocument.spreadsheetml.worksheet+xml" PartName="/xl/worksheets/sheet40374.xml"/>
  <Override ContentType="application/vnd.openxmlformats-officedocument.spreadsheetml.worksheet+xml" PartName="/xl/worksheets/sheet40375.xml"/>
  <Override ContentType="application/vnd.openxmlformats-officedocument.spreadsheetml.worksheet+xml" PartName="/xl/worksheets/sheet40376.xml"/>
  <Override ContentType="application/vnd.openxmlformats-officedocument.spreadsheetml.worksheet+xml" PartName="/xl/worksheets/sheet40377.xml"/>
  <Override ContentType="application/vnd.openxmlformats-officedocument.spreadsheetml.worksheet+xml" PartName="/xl/worksheets/sheet40378.xml"/>
  <Override ContentType="application/vnd.openxmlformats-officedocument.spreadsheetml.worksheet+xml" PartName="/xl/worksheets/sheet40379.xml"/>
  <Override ContentType="application/vnd.openxmlformats-officedocument.spreadsheetml.worksheet+xml" PartName="/xl/worksheets/sheet40380.xml"/>
  <Override ContentType="application/vnd.openxmlformats-officedocument.spreadsheetml.worksheet+xml" PartName="/xl/worksheets/sheet40381.xml"/>
  <Override ContentType="application/vnd.openxmlformats-officedocument.spreadsheetml.worksheet+xml" PartName="/xl/worksheets/sheet40382.xml"/>
  <Override ContentType="application/vnd.openxmlformats-officedocument.spreadsheetml.worksheet+xml" PartName="/xl/worksheets/sheet40383.xml"/>
  <Override ContentType="application/vnd.openxmlformats-officedocument.spreadsheetml.worksheet+xml" PartName="/xl/worksheets/sheet40384.xml"/>
  <Override ContentType="application/vnd.openxmlformats-officedocument.spreadsheetml.worksheet+xml" PartName="/xl/worksheets/sheet40385.xml"/>
  <Override ContentType="application/vnd.openxmlformats-officedocument.spreadsheetml.worksheet+xml" PartName="/xl/worksheets/sheet40386.xml"/>
  <Override ContentType="application/vnd.openxmlformats-officedocument.spreadsheetml.worksheet+xml" PartName="/xl/worksheets/sheet40387.xml"/>
  <Override ContentType="application/vnd.openxmlformats-officedocument.spreadsheetml.worksheet+xml" PartName="/xl/worksheets/sheet40388.xml"/>
  <Override ContentType="application/vnd.openxmlformats-officedocument.spreadsheetml.worksheet+xml" PartName="/xl/worksheets/sheet40389.xml"/>
  <Override ContentType="application/vnd.openxmlformats-officedocument.spreadsheetml.worksheet+xml" PartName="/xl/worksheets/sheet40390.xml"/>
  <Override ContentType="application/vnd.openxmlformats-officedocument.spreadsheetml.worksheet+xml" PartName="/xl/worksheets/sheet40391.xml"/>
  <Override ContentType="application/vnd.openxmlformats-officedocument.spreadsheetml.worksheet+xml" PartName="/xl/worksheets/sheet40392.xml"/>
  <Override ContentType="application/vnd.openxmlformats-officedocument.spreadsheetml.worksheet+xml" PartName="/xl/worksheets/sheet40393.xml"/>
  <Override ContentType="application/vnd.openxmlformats-officedocument.spreadsheetml.worksheet+xml" PartName="/xl/worksheets/sheet40394.xml"/>
  <Override ContentType="application/vnd.openxmlformats-officedocument.spreadsheetml.worksheet+xml" PartName="/xl/worksheets/sheet40395.xml"/>
  <Override ContentType="application/vnd.openxmlformats-officedocument.spreadsheetml.worksheet+xml" PartName="/xl/worksheets/sheet40396.xml"/>
  <Override ContentType="application/vnd.openxmlformats-officedocument.spreadsheetml.worksheet+xml" PartName="/xl/worksheets/sheet40397.xml"/>
  <Override ContentType="application/vnd.openxmlformats-officedocument.spreadsheetml.worksheet+xml" PartName="/xl/worksheets/sheet40398.xml"/>
  <Override ContentType="application/vnd.openxmlformats-officedocument.spreadsheetml.worksheet+xml" PartName="/xl/worksheets/sheet40399.xml"/>
  <Override ContentType="application/vnd.openxmlformats-officedocument.spreadsheetml.worksheet+xml" PartName="/xl/worksheets/sheet40400.xml"/>
  <Override ContentType="application/vnd.openxmlformats-officedocument.spreadsheetml.worksheet+xml" PartName="/xl/worksheets/sheet40401.xml"/>
  <Override ContentType="application/vnd.openxmlformats-officedocument.spreadsheetml.worksheet+xml" PartName="/xl/worksheets/sheet40402.xml"/>
  <Override ContentType="application/vnd.openxmlformats-officedocument.spreadsheetml.worksheet+xml" PartName="/xl/worksheets/sheet40403.xml"/>
  <Override ContentType="application/vnd.openxmlformats-officedocument.spreadsheetml.worksheet+xml" PartName="/xl/worksheets/sheet40404.xml"/>
  <Override ContentType="application/vnd.openxmlformats-officedocument.spreadsheetml.worksheet+xml" PartName="/xl/worksheets/sheet40405.xml"/>
  <Override ContentType="application/vnd.openxmlformats-officedocument.spreadsheetml.worksheet+xml" PartName="/xl/worksheets/sheet40406.xml"/>
  <Override ContentType="application/vnd.openxmlformats-officedocument.spreadsheetml.worksheet+xml" PartName="/xl/worksheets/sheet40407.xml"/>
  <Override ContentType="application/vnd.openxmlformats-officedocument.spreadsheetml.worksheet+xml" PartName="/xl/worksheets/sheet40408.xml"/>
  <Override ContentType="application/vnd.openxmlformats-officedocument.spreadsheetml.worksheet+xml" PartName="/xl/worksheets/sheet40409.xml"/>
  <Override ContentType="application/vnd.openxmlformats-officedocument.spreadsheetml.worksheet+xml" PartName="/xl/worksheets/sheet40410.xml"/>
  <Override ContentType="application/vnd.openxmlformats-officedocument.spreadsheetml.worksheet+xml" PartName="/xl/worksheets/sheet40411.xml"/>
  <Override ContentType="application/vnd.openxmlformats-officedocument.spreadsheetml.worksheet+xml" PartName="/xl/worksheets/sheet40412.xml"/>
  <Override ContentType="application/vnd.openxmlformats-officedocument.spreadsheetml.worksheet+xml" PartName="/xl/worksheets/sheet40413.xml"/>
  <Override ContentType="application/vnd.openxmlformats-officedocument.spreadsheetml.worksheet+xml" PartName="/xl/worksheets/sheet40414.xml"/>
  <Override ContentType="application/vnd.openxmlformats-officedocument.spreadsheetml.worksheet+xml" PartName="/xl/worksheets/sheet40415.xml"/>
  <Override ContentType="application/vnd.openxmlformats-officedocument.spreadsheetml.worksheet+xml" PartName="/xl/worksheets/sheet40416.xml"/>
  <Override ContentType="application/vnd.openxmlformats-officedocument.spreadsheetml.worksheet+xml" PartName="/xl/worksheets/sheet40417.xml"/>
  <Override ContentType="application/vnd.openxmlformats-officedocument.spreadsheetml.worksheet+xml" PartName="/xl/worksheets/sheet40418.xml"/>
  <Override ContentType="application/vnd.openxmlformats-officedocument.spreadsheetml.worksheet+xml" PartName="/xl/worksheets/sheet40419.xml"/>
  <Override ContentType="application/vnd.openxmlformats-officedocument.spreadsheetml.worksheet+xml" PartName="/xl/worksheets/sheet40420.xml"/>
  <Override ContentType="application/vnd.openxmlformats-officedocument.spreadsheetml.worksheet+xml" PartName="/xl/worksheets/sheet40421.xml"/>
  <Override ContentType="application/vnd.openxmlformats-officedocument.spreadsheetml.worksheet+xml" PartName="/xl/worksheets/sheet40422.xml"/>
  <Override ContentType="application/vnd.openxmlformats-officedocument.spreadsheetml.worksheet+xml" PartName="/xl/worksheets/sheet40423.xml"/>
  <Override ContentType="application/vnd.openxmlformats-officedocument.spreadsheetml.worksheet+xml" PartName="/xl/worksheets/sheet40424.xml"/>
  <Override ContentType="application/vnd.openxmlformats-officedocument.spreadsheetml.worksheet+xml" PartName="/xl/worksheets/sheet40425.xml"/>
  <Override ContentType="application/vnd.openxmlformats-officedocument.spreadsheetml.worksheet+xml" PartName="/xl/worksheets/sheet40426.xml"/>
  <Override ContentType="application/vnd.openxmlformats-officedocument.spreadsheetml.worksheet+xml" PartName="/xl/worksheets/sheet40427.xml"/>
  <Override ContentType="application/vnd.openxmlformats-officedocument.spreadsheetml.worksheet+xml" PartName="/xl/worksheets/sheet40428.xml"/>
  <Override ContentType="application/vnd.openxmlformats-officedocument.spreadsheetml.worksheet+xml" PartName="/xl/worksheets/sheet40429.xml"/>
  <Override ContentType="application/vnd.openxmlformats-officedocument.spreadsheetml.worksheet+xml" PartName="/xl/worksheets/sheet40430.xml"/>
  <Override ContentType="application/vnd.openxmlformats-officedocument.spreadsheetml.worksheet+xml" PartName="/xl/worksheets/sheet40431.xml"/>
  <Override ContentType="application/vnd.openxmlformats-officedocument.spreadsheetml.worksheet+xml" PartName="/xl/worksheets/sheet40432.xml"/>
  <Override ContentType="application/vnd.openxmlformats-officedocument.spreadsheetml.worksheet+xml" PartName="/xl/worksheets/sheet40433.xml"/>
  <Override ContentType="application/vnd.openxmlformats-officedocument.spreadsheetml.worksheet+xml" PartName="/xl/worksheets/sheet40434.xml"/>
  <Override ContentType="application/vnd.openxmlformats-officedocument.spreadsheetml.worksheet+xml" PartName="/xl/worksheets/sheet40435.xml"/>
  <Override ContentType="application/vnd.openxmlformats-officedocument.spreadsheetml.worksheet+xml" PartName="/xl/worksheets/sheet40436.xml"/>
  <Override ContentType="application/vnd.openxmlformats-officedocument.spreadsheetml.worksheet+xml" PartName="/xl/worksheets/sheet40437.xml"/>
  <Override ContentType="application/vnd.openxmlformats-officedocument.spreadsheetml.worksheet+xml" PartName="/xl/worksheets/sheet40438.xml"/>
  <Override ContentType="application/vnd.openxmlformats-officedocument.spreadsheetml.worksheet+xml" PartName="/xl/worksheets/sheet40439.xml"/>
  <Override ContentType="application/vnd.openxmlformats-officedocument.spreadsheetml.worksheet+xml" PartName="/xl/worksheets/sheet40440.xml"/>
  <Override ContentType="application/vnd.openxmlformats-officedocument.spreadsheetml.worksheet+xml" PartName="/xl/worksheets/sheet40441.xml"/>
  <Override ContentType="application/vnd.openxmlformats-officedocument.spreadsheetml.worksheet+xml" PartName="/xl/worksheets/sheet40442.xml"/>
  <Override ContentType="application/vnd.openxmlformats-officedocument.spreadsheetml.worksheet+xml" PartName="/xl/worksheets/sheet40443.xml"/>
  <Override ContentType="application/vnd.openxmlformats-officedocument.spreadsheetml.worksheet+xml" PartName="/xl/worksheets/sheet40444.xml"/>
  <Override ContentType="application/vnd.openxmlformats-officedocument.spreadsheetml.worksheet+xml" PartName="/xl/worksheets/sheet40445.xml"/>
  <Override ContentType="application/vnd.openxmlformats-officedocument.spreadsheetml.worksheet+xml" PartName="/xl/worksheets/sheet40446.xml"/>
  <Override ContentType="application/vnd.openxmlformats-officedocument.spreadsheetml.worksheet+xml" PartName="/xl/worksheets/sheet40447.xml"/>
  <Override ContentType="application/vnd.openxmlformats-officedocument.spreadsheetml.worksheet+xml" PartName="/xl/worksheets/sheet40448.xml"/>
  <Override ContentType="application/vnd.openxmlformats-officedocument.spreadsheetml.worksheet+xml" PartName="/xl/worksheets/sheet40449.xml"/>
  <Override ContentType="application/vnd.openxmlformats-officedocument.spreadsheetml.worksheet+xml" PartName="/xl/worksheets/sheet40450.xml"/>
  <Override ContentType="application/vnd.openxmlformats-officedocument.spreadsheetml.worksheet+xml" PartName="/xl/worksheets/sheet40451.xml"/>
  <Override ContentType="application/vnd.openxmlformats-officedocument.spreadsheetml.worksheet+xml" PartName="/xl/worksheets/sheet40452.xml"/>
  <Override ContentType="application/vnd.openxmlformats-officedocument.spreadsheetml.worksheet+xml" PartName="/xl/worksheets/sheet40453.xml"/>
  <Override ContentType="application/vnd.openxmlformats-officedocument.spreadsheetml.worksheet+xml" PartName="/xl/worksheets/sheet40454.xml"/>
  <Override ContentType="application/vnd.openxmlformats-officedocument.spreadsheetml.worksheet+xml" PartName="/xl/worksheets/sheet40455.xml"/>
  <Override ContentType="application/vnd.openxmlformats-officedocument.spreadsheetml.worksheet+xml" PartName="/xl/worksheets/sheet40456.xml"/>
  <Override ContentType="application/vnd.openxmlformats-officedocument.spreadsheetml.worksheet+xml" PartName="/xl/worksheets/sheet40457.xml"/>
  <Override ContentType="application/vnd.openxmlformats-officedocument.spreadsheetml.worksheet+xml" PartName="/xl/worksheets/sheet40458.xml"/>
  <Override ContentType="application/vnd.openxmlformats-officedocument.spreadsheetml.worksheet+xml" PartName="/xl/worksheets/sheet40459.xml"/>
  <Override ContentType="application/vnd.openxmlformats-officedocument.spreadsheetml.worksheet+xml" PartName="/xl/worksheets/sheet40460.xml"/>
  <Override ContentType="application/vnd.openxmlformats-officedocument.spreadsheetml.worksheet+xml" PartName="/xl/worksheets/sheet40461.xml"/>
  <Override ContentType="application/vnd.openxmlformats-officedocument.spreadsheetml.worksheet+xml" PartName="/xl/worksheets/sheet40462.xml"/>
  <Override ContentType="application/vnd.openxmlformats-officedocument.spreadsheetml.worksheet+xml" PartName="/xl/worksheets/sheet40463.xml"/>
  <Override ContentType="application/vnd.openxmlformats-officedocument.spreadsheetml.worksheet+xml" PartName="/xl/worksheets/sheet40464.xml"/>
  <Override ContentType="application/vnd.openxmlformats-officedocument.spreadsheetml.worksheet+xml" PartName="/xl/worksheets/sheet40465.xml"/>
  <Override ContentType="application/vnd.openxmlformats-officedocument.spreadsheetml.worksheet+xml" PartName="/xl/worksheets/sheet40466.xml"/>
  <Override ContentType="application/vnd.openxmlformats-officedocument.spreadsheetml.worksheet+xml" PartName="/xl/worksheets/sheet40467.xml"/>
  <Override ContentType="application/vnd.openxmlformats-officedocument.spreadsheetml.worksheet+xml" PartName="/xl/worksheets/sheet40468.xml"/>
  <Override ContentType="application/vnd.openxmlformats-officedocument.spreadsheetml.worksheet+xml" PartName="/xl/worksheets/sheet40469.xml"/>
  <Override ContentType="application/vnd.openxmlformats-officedocument.spreadsheetml.worksheet+xml" PartName="/xl/worksheets/sheet40470.xml"/>
  <Override ContentType="application/vnd.openxmlformats-officedocument.spreadsheetml.worksheet+xml" PartName="/xl/worksheets/sheet40471.xml"/>
  <Override ContentType="application/vnd.openxmlformats-officedocument.spreadsheetml.worksheet+xml" PartName="/xl/worksheets/sheet40472.xml"/>
  <Override ContentType="application/vnd.openxmlformats-officedocument.spreadsheetml.worksheet+xml" PartName="/xl/worksheets/sheet40473.xml"/>
  <Override ContentType="application/vnd.openxmlformats-officedocument.spreadsheetml.worksheet+xml" PartName="/xl/worksheets/sheet40474.xml"/>
  <Override ContentType="application/vnd.openxmlformats-officedocument.spreadsheetml.worksheet+xml" PartName="/xl/worksheets/sheet40475.xml"/>
  <Override ContentType="application/vnd.openxmlformats-officedocument.spreadsheetml.worksheet+xml" PartName="/xl/worksheets/sheet40476.xml"/>
  <Override ContentType="application/vnd.openxmlformats-officedocument.spreadsheetml.worksheet+xml" PartName="/xl/worksheets/sheet40477.xml"/>
  <Override ContentType="application/vnd.openxmlformats-officedocument.spreadsheetml.worksheet+xml" PartName="/xl/worksheets/sheet40478.xml"/>
  <Override ContentType="application/vnd.openxmlformats-officedocument.spreadsheetml.worksheet+xml" PartName="/xl/worksheets/sheet40479.xml"/>
  <Override ContentType="application/vnd.openxmlformats-officedocument.spreadsheetml.worksheet+xml" PartName="/xl/worksheets/sheet40480.xml"/>
  <Override ContentType="application/vnd.openxmlformats-officedocument.spreadsheetml.worksheet+xml" PartName="/xl/worksheets/sheet40481.xml"/>
  <Override ContentType="application/vnd.openxmlformats-officedocument.spreadsheetml.worksheet+xml" PartName="/xl/worksheets/sheet40482.xml"/>
  <Override ContentType="application/vnd.openxmlformats-officedocument.spreadsheetml.worksheet+xml" PartName="/xl/worksheets/sheet40483.xml"/>
  <Override ContentType="application/vnd.openxmlformats-officedocument.spreadsheetml.worksheet+xml" PartName="/xl/worksheets/sheet40484.xml"/>
  <Override ContentType="application/vnd.openxmlformats-officedocument.spreadsheetml.worksheet+xml" PartName="/xl/worksheets/sheet40485.xml"/>
  <Override ContentType="application/vnd.openxmlformats-officedocument.spreadsheetml.worksheet+xml" PartName="/xl/worksheets/sheet40486.xml"/>
  <Override ContentType="application/vnd.openxmlformats-officedocument.spreadsheetml.worksheet+xml" PartName="/xl/worksheets/sheet40487.xml"/>
  <Override ContentType="application/vnd.openxmlformats-officedocument.spreadsheetml.worksheet+xml" PartName="/xl/worksheets/sheet40488.xml"/>
  <Override ContentType="application/vnd.openxmlformats-officedocument.spreadsheetml.worksheet+xml" PartName="/xl/worksheets/sheet40489.xml"/>
  <Override ContentType="application/vnd.openxmlformats-officedocument.spreadsheetml.worksheet+xml" PartName="/xl/worksheets/sheet40490.xml"/>
  <Override ContentType="application/vnd.openxmlformats-officedocument.spreadsheetml.worksheet+xml" PartName="/xl/worksheets/sheet40491.xml"/>
  <Override ContentType="application/vnd.openxmlformats-officedocument.spreadsheetml.worksheet+xml" PartName="/xl/worksheets/sheet40492.xml"/>
  <Override ContentType="application/vnd.openxmlformats-officedocument.spreadsheetml.worksheet+xml" PartName="/xl/worksheets/sheet40493.xml"/>
  <Override ContentType="application/vnd.openxmlformats-officedocument.spreadsheetml.worksheet+xml" PartName="/xl/worksheets/sheet40494.xml"/>
  <Override ContentType="application/vnd.openxmlformats-officedocument.spreadsheetml.worksheet+xml" PartName="/xl/worksheets/sheet40495.xml"/>
  <Override ContentType="application/vnd.openxmlformats-officedocument.spreadsheetml.worksheet+xml" PartName="/xl/worksheets/sheet40496.xml"/>
  <Override ContentType="application/vnd.openxmlformats-officedocument.spreadsheetml.worksheet+xml" PartName="/xl/worksheets/sheet40497.xml"/>
  <Override ContentType="application/vnd.openxmlformats-officedocument.spreadsheetml.worksheet+xml" PartName="/xl/worksheets/sheet40498.xml"/>
  <Override ContentType="application/vnd.openxmlformats-officedocument.spreadsheetml.worksheet+xml" PartName="/xl/worksheets/sheet40499.xml"/>
  <Override ContentType="application/vnd.openxmlformats-officedocument.spreadsheetml.worksheet+xml" PartName="/xl/worksheets/sheet40500.xml"/>
  <Override ContentType="application/vnd.openxmlformats-officedocument.spreadsheetml.worksheet+xml" PartName="/xl/worksheets/sheet40501.xml"/>
  <Override ContentType="application/vnd.openxmlformats-officedocument.spreadsheetml.worksheet+xml" PartName="/xl/worksheets/sheet40502.xml"/>
  <Override ContentType="application/vnd.openxmlformats-officedocument.spreadsheetml.worksheet+xml" PartName="/xl/worksheets/sheet40503.xml"/>
  <Override ContentType="application/vnd.openxmlformats-officedocument.spreadsheetml.worksheet+xml" PartName="/xl/worksheets/sheet40504.xml"/>
  <Override ContentType="application/vnd.openxmlformats-officedocument.spreadsheetml.worksheet+xml" PartName="/xl/worksheets/sheet40505.xml"/>
  <Override ContentType="application/vnd.openxmlformats-officedocument.spreadsheetml.worksheet+xml" PartName="/xl/worksheets/sheet40506.xml"/>
  <Override ContentType="application/vnd.openxmlformats-officedocument.spreadsheetml.worksheet+xml" PartName="/xl/worksheets/sheet40507.xml"/>
  <Override ContentType="application/vnd.openxmlformats-officedocument.spreadsheetml.worksheet+xml" PartName="/xl/worksheets/sheet40508.xml"/>
  <Override ContentType="application/vnd.openxmlformats-officedocument.spreadsheetml.worksheet+xml" PartName="/xl/worksheets/sheet40509.xml"/>
  <Override ContentType="application/vnd.openxmlformats-officedocument.spreadsheetml.worksheet+xml" PartName="/xl/worksheets/sheet40510.xml"/>
  <Override ContentType="application/vnd.openxmlformats-officedocument.spreadsheetml.worksheet+xml" PartName="/xl/worksheets/sheet40511.xml"/>
  <Override ContentType="application/vnd.openxmlformats-officedocument.spreadsheetml.worksheet+xml" PartName="/xl/worksheets/sheet40512.xml"/>
  <Override ContentType="application/vnd.openxmlformats-officedocument.spreadsheetml.worksheet+xml" PartName="/xl/worksheets/sheet40513.xml"/>
  <Override ContentType="application/vnd.openxmlformats-officedocument.spreadsheetml.worksheet+xml" PartName="/xl/worksheets/sheet40514.xml"/>
  <Override ContentType="application/vnd.openxmlformats-officedocument.spreadsheetml.worksheet+xml" PartName="/xl/worksheets/sheet40515.xml"/>
  <Override ContentType="application/vnd.openxmlformats-officedocument.spreadsheetml.worksheet+xml" PartName="/xl/worksheets/sheet40516.xml"/>
  <Override ContentType="application/vnd.openxmlformats-officedocument.spreadsheetml.worksheet+xml" PartName="/xl/worksheets/sheet40517.xml"/>
  <Override ContentType="application/vnd.openxmlformats-officedocument.spreadsheetml.worksheet+xml" PartName="/xl/worksheets/sheet40518.xml"/>
  <Override ContentType="application/vnd.openxmlformats-officedocument.spreadsheetml.worksheet+xml" PartName="/xl/worksheets/sheet40519.xml"/>
  <Override ContentType="application/vnd.openxmlformats-officedocument.spreadsheetml.worksheet+xml" PartName="/xl/worksheets/sheet40520.xml"/>
  <Override ContentType="application/vnd.openxmlformats-officedocument.spreadsheetml.worksheet+xml" PartName="/xl/worksheets/sheet40521.xml"/>
  <Override ContentType="application/vnd.openxmlformats-officedocument.spreadsheetml.worksheet+xml" PartName="/xl/worksheets/sheet40522.xml"/>
  <Override ContentType="application/vnd.openxmlformats-officedocument.spreadsheetml.worksheet+xml" PartName="/xl/worksheets/sheet40523.xml"/>
  <Override ContentType="application/vnd.openxmlformats-officedocument.spreadsheetml.worksheet+xml" PartName="/xl/worksheets/sheet40524.xml"/>
  <Override ContentType="application/vnd.openxmlformats-officedocument.spreadsheetml.worksheet+xml" PartName="/xl/worksheets/sheet40525.xml"/>
  <Override ContentType="application/vnd.openxmlformats-officedocument.spreadsheetml.worksheet+xml" PartName="/xl/worksheets/sheet40526.xml"/>
  <Override ContentType="application/vnd.openxmlformats-officedocument.spreadsheetml.worksheet+xml" PartName="/xl/worksheets/sheet40527.xml"/>
  <Override ContentType="application/vnd.openxmlformats-officedocument.spreadsheetml.worksheet+xml" PartName="/xl/worksheets/sheet40528.xml"/>
  <Override ContentType="application/vnd.openxmlformats-officedocument.spreadsheetml.worksheet+xml" PartName="/xl/worksheets/sheet40529.xml"/>
  <Override ContentType="application/vnd.openxmlformats-officedocument.spreadsheetml.worksheet+xml" PartName="/xl/worksheets/sheet40530.xml"/>
  <Override ContentType="application/vnd.openxmlformats-officedocument.spreadsheetml.worksheet+xml" PartName="/xl/worksheets/sheet40531.xml"/>
  <Override ContentType="application/vnd.openxmlformats-officedocument.spreadsheetml.worksheet+xml" PartName="/xl/worksheets/sheet40532.xml"/>
  <Override ContentType="application/vnd.openxmlformats-officedocument.spreadsheetml.worksheet+xml" PartName="/xl/worksheets/sheet40533.xml"/>
  <Override ContentType="application/vnd.openxmlformats-officedocument.spreadsheetml.worksheet+xml" PartName="/xl/worksheets/sheet40534.xml"/>
  <Override ContentType="application/vnd.openxmlformats-officedocument.spreadsheetml.worksheet+xml" PartName="/xl/worksheets/sheet40535.xml"/>
  <Override ContentType="application/vnd.openxmlformats-officedocument.spreadsheetml.worksheet+xml" PartName="/xl/worksheets/sheet40536.xml"/>
  <Override ContentType="application/vnd.openxmlformats-officedocument.spreadsheetml.worksheet+xml" PartName="/xl/worksheets/sheet40537.xml"/>
  <Override ContentType="application/vnd.openxmlformats-officedocument.spreadsheetml.worksheet+xml" PartName="/xl/worksheets/sheet40538.xml"/>
  <Override ContentType="application/vnd.openxmlformats-officedocument.spreadsheetml.worksheet+xml" PartName="/xl/worksheets/sheet40539.xml"/>
  <Override ContentType="application/vnd.openxmlformats-officedocument.spreadsheetml.worksheet+xml" PartName="/xl/worksheets/sheet40540.xml"/>
  <Override ContentType="application/vnd.openxmlformats-officedocument.spreadsheetml.worksheet+xml" PartName="/xl/worksheets/sheet40541.xml"/>
  <Override ContentType="application/vnd.openxmlformats-officedocument.spreadsheetml.worksheet+xml" PartName="/xl/worksheets/sheet40542.xml"/>
  <Override ContentType="application/vnd.openxmlformats-officedocument.spreadsheetml.worksheet+xml" PartName="/xl/worksheets/sheet40543.xml"/>
  <Override ContentType="application/vnd.openxmlformats-officedocument.spreadsheetml.worksheet+xml" PartName="/xl/worksheets/sheet40544.xml"/>
  <Override ContentType="application/vnd.openxmlformats-officedocument.spreadsheetml.worksheet+xml" PartName="/xl/worksheets/sheet40545.xml"/>
  <Override ContentType="application/vnd.openxmlformats-officedocument.spreadsheetml.worksheet+xml" PartName="/xl/worksheets/sheet40546.xml"/>
  <Override ContentType="application/vnd.openxmlformats-officedocument.spreadsheetml.worksheet+xml" PartName="/xl/worksheets/sheet40547.xml"/>
  <Override ContentType="application/vnd.openxmlformats-officedocument.spreadsheetml.worksheet+xml" PartName="/xl/worksheets/sheet40548.xml"/>
  <Override ContentType="application/vnd.openxmlformats-officedocument.spreadsheetml.worksheet+xml" PartName="/xl/worksheets/sheet40549.xml"/>
  <Override ContentType="application/vnd.openxmlformats-officedocument.spreadsheetml.worksheet+xml" PartName="/xl/worksheets/sheet40550.xml"/>
  <Override ContentType="application/vnd.openxmlformats-officedocument.spreadsheetml.worksheet+xml" PartName="/xl/worksheets/sheet40551.xml"/>
  <Override ContentType="application/vnd.openxmlformats-officedocument.spreadsheetml.worksheet+xml" PartName="/xl/worksheets/sheet40552.xml"/>
  <Override ContentType="application/vnd.openxmlformats-officedocument.spreadsheetml.worksheet+xml" PartName="/xl/worksheets/sheet40553.xml"/>
  <Override ContentType="application/vnd.openxmlformats-officedocument.spreadsheetml.worksheet+xml" PartName="/xl/worksheets/sheet40554.xml"/>
  <Override ContentType="application/vnd.openxmlformats-officedocument.spreadsheetml.worksheet+xml" PartName="/xl/worksheets/sheet40555.xml"/>
  <Override ContentType="application/vnd.openxmlformats-officedocument.spreadsheetml.worksheet+xml" PartName="/xl/worksheets/sheet40556.xml"/>
  <Override ContentType="application/vnd.openxmlformats-officedocument.spreadsheetml.worksheet+xml" PartName="/xl/worksheets/sheet40557.xml"/>
  <Override ContentType="application/vnd.openxmlformats-officedocument.spreadsheetml.worksheet+xml" PartName="/xl/worksheets/sheet40558.xml"/>
  <Override ContentType="application/vnd.openxmlformats-officedocument.spreadsheetml.worksheet+xml" PartName="/xl/worksheets/sheet40559.xml"/>
  <Override ContentType="application/vnd.openxmlformats-officedocument.spreadsheetml.worksheet+xml" PartName="/xl/worksheets/sheet40560.xml"/>
  <Override ContentType="application/vnd.openxmlformats-officedocument.spreadsheetml.worksheet+xml" PartName="/xl/worksheets/sheet40561.xml"/>
  <Override ContentType="application/vnd.openxmlformats-officedocument.spreadsheetml.worksheet+xml" PartName="/xl/worksheets/sheet40562.xml"/>
  <Override ContentType="application/vnd.openxmlformats-officedocument.spreadsheetml.worksheet+xml" PartName="/xl/worksheets/sheet40563.xml"/>
  <Override ContentType="application/vnd.openxmlformats-officedocument.spreadsheetml.worksheet+xml" PartName="/xl/worksheets/sheet40564.xml"/>
  <Override ContentType="application/vnd.openxmlformats-officedocument.spreadsheetml.worksheet+xml" PartName="/xl/worksheets/sheet40565.xml"/>
  <Override ContentType="application/vnd.openxmlformats-officedocument.spreadsheetml.worksheet+xml" PartName="/xl/worksheets/sheet40566.xml"/>
  <Override ContentType="application/vnd.openxmlformats-officedocument.spreadsheetml.worksheet+xml" PartName="/xl/worksheets/sheet40567.xml"/>
  <Override ContentType="application/vnd.openxmlformats-officedocument.spreadsheetml.worksheet+xml" PartName="/xl/worksheets/sheet40568.xml"/>
  <Override ContentType="application/vnd.openxmlformats-officedocument.spreadsheetml.worksheet+xml" PartName="/xl/worksheets/sheet40569.xml"/>
  <Override ContentType="application/vnd.openxmlformats-officedocument.spreadsheetml.worksheet+xml" PartName="/xl/worksheets/sheet40570.xml"/>
  <Override ContentType="application/vnd.openxmlformats-officedocument.spreadsheetml.worksheet+xml" PartName="/xl/worksheets/sheet40571.xml"/>
  <Override ContentType="application/vnd.openxmlformats-officedocument.spreadsheetml.worksheet+xml" PartName="/xl/worksheets/sheet40572.xml"/>
  <Override ContentType="application/vnd.openxmlformats-officedocument.spreadsheetml.worksheet+xml" PartName="/xl/worksheets/sheet40573.xml"/>
  <Override ContentType="application/vnd.openxmlformats-officedocument.spreadsheetml.worksheet+xml" PartName="/xl/worksheets/sheet40574.xml"/>
  <Override ContentType="application/vnd.openxmlformats-officedocument.spreadsheetml.worksheet+xml" PartName="/xl/worksheets/sheet40575.xml"/>
  <Override ContentType="application/vnd.openxmlformats-officedocument.spreadsheetml.worksheet+xml" PartName="/xl/worksheets/sheet40576.xml"/>
  <Override ContentType="application/vnd.openxmlformats-officedocument.spreadsheetml.worksheet+xml" PartName="/xl/worksheets/sheet40577.xml"/>
  <Override ContentType="application/vnd.openxmlformats-officedocument.spreadsheetml.worksheet+xml" PartName="/xl/worksheets/sheet40578.xml"/>
  <Override ContentType="application/vnd.openxmlformats-officedocument.spreadsheetml.worksheet+xml" PartName="/xl/worksheets/sheet40579.xml"/>
  <Override ContentType="application/vnd.openxmlformats-officedocument.spreadsheetml.worksheet+xml" PartName="/xl/worksheets/sheet40580.xml"/>
  <Override ContentType="application/vnd.openxmlformats-officedocument.spreadsheetml.worksheet+xml" PartName="/xl/worksheets/sheet40581.xml"/>
  <Override ContentType="application/vnd.openxmlformats-officedocument.spreadsheetml.worksheet+xml" PartName="/xl/worksheets/sheet40582.xml"/>
  <Override ContentType="application/vnd.openxmlformats-officedocument.spreadsheetml.worksheet+xml" PartName="/xl/worksheets/sheet40583.xml"/>
  <Override ContentType="application/vnd.openxmlformats-officedocument.spreadsheetml.worksheet+xml" PartName="/xl/worksheets/sheet40584.xml"/>
  <Override ContentType="application/vnd.openxmlformats-officedocument.spreadsheetml.worksheet+xml" PartName="/xl/worksheets/sheet40585.xml"/>
  <Override ContentType="application/vnd.openxmlformats-officedocument.spreadsheetml.worksheet+xml" PartName="/xl/worksheets/sheet40586.xml"/>
  <Override ContentType="application/vnd.openxmlformats-officedocument.spreadsheetml.worksheet+xml" PartName="/xl/worksheets/sheet40587.xml"/>
  <Override ContentType="application/vnd.openxmlformats-officedocument.spreadsheetml.worksheet+xml" PartName="/xl/worksheets/sheet40588.xml"/>
  <Override ContentType="application/vnd.openxmlformats-officedocument.spreadsheetml.worksheet+xml" PartName="/xl/worksheets/sheet40589.xml"/>
  <Override ContentType="application/vnd.openxmlformats-officedocument.spreadsheetml.worksheet+xml" PartName="/xl/worksheets/sheet40590.xml"/>
  <Override ContentType="application/vnd.openxmlformats-officedocument.spreadsheetml.worksheet+xml" PartName="/xl/worksheets/sheet40591.xml"/>
  <Override ContentType="application/vnd.openxmlformats-officedocument.spreadsheetml.worksheet+xml" PartName="/xl/worksheets/sheet40592.xml"/>
  <Override ContentType="application/vnd.openxmlformats-officedocument.spreadsheetml.worksheet+xml" PartName="/xl/worksheets/sheet40593.xml"/>
  <Override ContentType="application/vnd.openxmlformats-officedocument.spreadsheetml.worksheet+xml" PartName="/xl/worksheets/sheet40594.xml"/>
  <Override ContentType="application/vnd.openxmlformats-officedocument.spreadsheetml.worksheet+xml" PartName="/xl/worksheets/sheet40595.xml"/>
  <Override ContentType="application/vnd.openxmlformats-officedocument.spreadsheetml.worksheet+xml" PartName="/xl/worksheets/sheet40596.xml"/>
  <Override ContentType="application/vnd.openxmlformats-officedocument.spreadsheetml.worksheet+xml" PartName="/xl/worksheets/sheet40597.xml"/>
  <Override ContentType="application/vnd.openxmlformats-officedocument.spreadsheetml.worksheet+xml" PartName="/xl/worksheets/sheet40598.xml"/>
  <Override ContentType="application/vnd.openxmlformats-officedocument.spreadsheetml.worksheet+xml" PartName="/xl/worksheets/sheet40599.xml"/>
  <Override ContentType="application/vnd.openxmlformats-officedocument.spreadsheetml.worksheet+xml" PartName="/xl/worksheets/sheet40600.xml"/>
  <Override ContentType="application/vnd.openxmlformats-officedocument.spreadsheetml.worksheet+xml" PartName="/xl/worksheets/sheet40601.xml"/>
  <Override ContentType="application/vnd.openxmlformats-officedocument.spreadsheetml.worksheet+xml" PartName="/xl/worksheets/sheet40602.xml"/>
  <Override ContentType="application/vnd.openxmlformats-officedocument.spreadsheetml.worksheet+xml" PartName="/xl/worksheets/sheet40603.xml"/>
  <Override ContentType="application/vnd.openxmlformats-officedocument.spreadsheetml.worksheet+xml" PartName="/xl/worksheets/sheet40604.xml"/>
  <Override ContentType="application/vnd.openxmlformats-officedocument.spreadsheetml.worksheet+xml" PartName="/xl/worksheets/sheet40605.xml"/>
  <Override ContentType="application/vnd.openxmlformats-officedocument.spreadsheetml.worksheet+xml" PartName="/xl/worksheets/sheet40606.xml"/>
  <Override ContentType="application/vnd.openxmlformats-officedocument.spreadsheetml.worksheet+xml" PartName="/xl/worksheets/sheet40607.xml"/>
  <Override ContentType="application/vnd.openxmlformats-officedocument.spreadsheetml.worksheet+xml" PartName="/xl/worksheets/sheet40608.xml"/>
  <Override ContentType="application/vnd.openxmlformats-officedocument.spreadsheetml.worksheet+xml" PartName="/xl/worksheets/sheet40609.xml"/>
  <Override ContentType="application/vnd.openxmlformats-officedocument.spreadsheetml.worksheet+xml" PartName="/xl/worksheets/sheet40610.xml"/>
  <Override ContentType="application/vnd.openxmlformats-officedocument.spreadsheetml.worksheet+xml" PartName="/xl/worksheets/sheet40611.xml"/>
  <Override ContentType="application/vnd.openxmlformats-officedocument.spreadsheetml.worksheet+xml" PartName="/xl/worksheets/sheet40612.xml"/>
  <Override ContentType="application/vnd.openxmlformats-officedocument.spreadsheetml.worksheet+xml" PartName="/xl/worksheets/sheet40613.xml"/>
  <Override ContentType="application/vnd.openxmlformats-officedocument.spreadsheetml.worksheet+xml" PartName="/xl/worksheets/sheet40614.xml"/>
  <Override ContentType="application/vnd.openxmlformats-officedocument.spreadsheetml.worksheet+xml" PartName="/xl/worksheets/sheet40615.xml"/>
  <Override ContentType="application/vnd.openxmlformats-officedocument.spreadsheetml.worksheet+xml" PartName="/xl/worksheets/sheet40616.xml"/>
  <Override ContentType="application/vnd.openxmlformats-officedocument.spreadsheetml.worksheet+xml" PartName="/xl/worksheets/sheet40617.xml"/>
  <Override ContentType="application/vnd.openxmlformats-officedocument.spreadsheetml.worksheet+xml" PartName="/xl/worksheets/sheet40618.xml"/>
  <Override ContentType="application/vnd.openxmlformats-officedocument.spreadsheetml.worksheet+xml" PartName="/xl/worksheets/sheet40619.xml"/>
  <Override ContentType="application/vnd.openxmlformats-officedocument.spreadsheetml.worksheet+xml" PartName="/xl/worksheets/sheet40620.xml"/>
  <Override ContentType="application/vnd.openxmlformats-officedocument.spreadsheetml.worksheet+xml" PartName="/xl/worksheets/sheet40621.xml"/>
  <Override ContentType="application/vnd.openxmlformats-officedocument.spreadsheetml.worksheet+xml" PartName="/xl/worksheets/sheet40622.xml"/>
  <Override ContentType="application/vnd.openxmlformats-officedocument.spreadsheetml.worksheet+xml" PartName="/xl/worksheets/sheet40623.xml"/>
  <Override ContentType="application/vnd.openxmlformats-officedocument.spreadsheetml.worksheet+xml" PartName="/xl/worksheets/sheet40624.xml"/>
  <Override ContentType="application/vnd.openxmlformats-officedocument.spreadsheetml.worksheet+xml" PartName="/xl/worksheets/sheet40625.xml"/>
  <Override ContentType="application/vnd.openxmlformats-officedocument.spreadsheetml.worksheet+xml" PartName="/xl/worksheets/sheet40626.xml"/>
  <Override ContentType="application/vnd.openxmlformats-officedocument.spreadsheetml.worksheet+xml" PartName="/xl/worksheets/sheet40627.xml"/>
  <Override ContentType="application/vnd.openxmlformats-officedocument.spreadsheetml.worksheet+xml" PartName="/xl/worksheets/sheet40628.xml"/>
  <Override ContentType="application/vnd.openxmlformats-officedocument.spreadsheetml.worksheet+xml" PartName="/xl/worksheets/sheet40629.xml"/>
  <Override ContentType="application/vnd.openxmlformats-officedocument.spreadsheetml.worksheet+xml" PartName="/xl/worksheets/sheet40630.xml"/>
  <Override ContentType="application/vnd.openxmlformats-officedocument.spreadsheetml.worksheet+xml" PartName="/xl/worksheets/sheet40631.xml"/>
  <Override ContentType="application/vnd.openxmlformats-officedocument.spreadsheetml.worksheet+xml" PartName="/xl/worksheets/sheet40632.xml"/>
  <Override ContentType="application/vnd.openxmlformats-officedocument.spreadsheetml.worksheet+xml" PartName="/xl/worksheets/sheet40633.xml"/>
  <Override ContentType="application/vnd.openxmlformats-officedocument.spreadsheetml.worksheet+xml" PartName="/xl/worksheets/sheet40634.xml"/>
  <Override ContentType="application/vnd.openxmlformats-officedocument.spreadsheetml.worksheet+xml" PartName="/xl/worksheets/sheet40635.xml"/>
  <Override ContentType="application/vnd.openxmlformats-officedocument.spreadsheetml.worksheet+xml" PartName="/xl/worksheets/sheet40636.xml"/>
  <Override ContentType="application/vnd.openxmlformats-officedocument.spreadsheetml.worksheet+xml" PartName="/xl/worksheets/sheet40637.xml"/>
  <Override ContentType="application/vnd.openxmlformats-officedocument.spreadsheetml.worksheet+xml" PartName="/xl/worksheets/sheet40638.xml"/>
  <Override ContentType="application/vnd.openxmlformats-officedocument.spreadsheetml.worksheet+xml" PartName="/xl/worksheets/sheet40639.xml"/>
  <Override ContentType="application/vnd.openxmlformats-officedocument.spreadsheetml.worksheet+xml" PartName="/xl/worksheets/sheet40640.xml"/>
  <Override ContentType="application/vnd.openxmlformats-officedocument.spreadsheetml.worksheet+xml" PartName="/xl/worksheets/sheet40641.xml"/>
  <Override ContentType="application/vnd.openxmlformats-officedocument.spreadsheetml.worksheet+xml" PartName="/xl/worksheets/sheet40642.xml"/>
  <Override ContentType="application/vnd.openxmlformats-officedocument.spreadsheetml.worksheet+xml" PartName="/xl/worksheets/sheet40643.xml"/>
  <Override ContentType="application/vnd.openxmlformats-officedocument.spreadsheetml.worksheet+xml" PartName="/xl/worksheets/sheet40644.xml"/>
  <Override ContentType="application/vnd.openxmlformats-officedocument.spreadsheetml.worksheet+xml" PartName="/xl/worksheets/sheet40645.xml"/>
  <Override ContentType="application/vnd.openxmlformats-officedocument.spreadsheetml.worksheet+xml" PartName="/xl/worksheets/sheet40646.xml"/>
  <Override ContentType="application/vnd.openxmlformats-officedocument.spreadsheetml.worksheet+xml" PartName="/xl/worksheets/sheet40647.xml"/>
  <Override ContentType="application/vnd.openxmlformats-officedocument.spreadsheetml.worksheet+xml" PartName="/xl/worksheets/sheet40648.xml"/>
  <Override ContentType="application/vnd.openxmlformats-officedocument.spreadsheetml.worksheet+xml" PartName="/xl/worksheets/sheet40649.xml"/>
  <Override ContentType="application/vnd.openxmlformats-officedocument.spreadsheetml.worksheet+xml" PartName="/xl/worksheets/sheet40650.xml"/>
  <Override ContentType="application/vnd.openxmlformats-officedocument.spreadsheetml.worksheet+xml" PartName="/xl/worksheets/sheet40651.xml"/>
  <Override ContentType="application/vnd.openxmlformats-officedocument.spreadsheetml.worksheet+xml" PartName="/xl/worksheets/sheet40652.xml"/>
  <Override ContentType="application/vnd.openxmlformats-officedocument.spreadsheetml.worksheet+xml" PartName="/xl/worksheets/sheet40653.xml"/>
  <Override ContentType="application/vnd.openxmlformats-officedocument.spreadsheetml.worksheet+xml" PartName="/xl/worksheets/sheet40654.xml"/>
  <Override ContentType="application/vnd.openxmlformats-officedocument.spreadsheetml.worksheet+xml" PartName="/xl/worksheets/sheet40655.xml"/>
  <Override ContentType="application/vnd.openxmlformats-officedocument.spreadsheetml.worksheet+xml" PartName="/xl/worksheets/sheet40656.xml"/>
  <Override ContentType="application/vnd.openxmlformats-officedocument.spreadsheetml.worksheet+xml" PartName="/xl/worksheets/sheet40657.xml"/>
  <Override ContentType="application/vnd.openxmlformats-officedocument.spreadsheetml.worksheet+xml" PartName="/xl/worksheets/sheet40658.xml"/>
  <Override ContentType="application/vnd.openxmlformats-officedocument.spreadsheetml.worksheet+xml" PartName="/xl/worksheets/sheet40659.xml"/>
  <Override ContentType="application/vnd.openxmlformats-officedocument.spreadsheetml.worksheet+xml" PartName="/xl/worksheets/sheet40660.xml"/>
  <Override ContentType="application/vnd.openxmlformats-officedocument.spreadsheetml.worksheet+xml" PartName="/xl/worksheets/sheet40661.xml"/>
  <Override ContentType="application/vnd.openxmlformats-officedocument.spreadsheetml.worksheet+xml" PartName="/xl/worksheets/sheet40662.xml"/>
  <Override ContentType="application/vnd.openxmlformats-officedocument.spreadsheetml.worksheet+xml" PartName="/xl/worksheets/sheet40663.xml"/>
  <Override ContentType="application/vnd.openxmlformats-officedocument.spreadsheetml.worksheet+xml" PartName="/xl/worksheets/sheet40664.xml"/>
  <Override ContentType="application/vnd.openxmlformats-officedocument.spreadsheetml.worksheet+xml" PartName="/xl/worksheets/sheet40665.xml"/>
  <Override ContentType="application/vnd.openxmlformats-officedocument.spreadsheetml.worksheet+xml" PartName="/xl/worksheets/sheet40666.xml"/>
  <Override ContentType="application/vnd.openxmlformats-officedocument.spreadsheetml.worksheet+xml" PartName="/xl/worksheets/sheet40667.xml"/>
  <Override ContentType="application/vnd.openxmlformats-officedocument.spreadsheetml.worksheet+xml" PartName="/xl/worksheets/sheet40668.xml"/>
  <Override ContentType="application/vnd.openxmlformats-officedocument.spreadsheetml.worksheet+xml" PartName="/xl/worksheets/sheet40669.xml"/>
  <Override ContentType="application/vnd.openxmlformats-officedocument.spreadsheetml.worksheet+xml" PartName="/xl/worksheets/sheet40670.xml"/>
  <Override ContentType="application/vnd.openxmlformats-officedocument.spreadsheetml.worksheet+xml" PartName="/xl/worksheets/sheet40671.xml"/>
  <Override ContentType="application/vnd.openxmlformats-officedocument.spreadsheetml.worksheet+xml" PartName="/xl/worksheets/sheet40672.xml"/>
  <Override ContentType="application/vnd.openxmlformats-officedocument.spreadsheetml.worksheet+xml" PartName="/xl/worksheets/sheet40673.xml"/>
  <Override ContentType="application/vnd.openxmlformats-officedocument.spreadsheetml.worksheet+xml" PartName="/xl/worksheets/sheet40674.xml"/>
  <Override ContentType="application/vnd.openxmlformats-officedocument.spreadsheetml.worksheet+xml" PartName="/xl/worksheets/sheet40675.xml"/>
  <Override ContentType="application/vnd.openxmlformats-officedocument.spreadsheetml.worksheet+xml" PartName="/xl/worksheets/sheet40676.xml"/>
  <Override ContentType="application/vnd.openxmlformats-officedocument.spreadsheetml.worksheet+xml" PartName="/xl/worksheets/sheet40677.xml"/>
  <Override ContentType="application/vnd.openxmlformats-officedocument.spreadsheetml.worksheet+xml" PartName="/xl/worksheets/sheet40678.xml"/>
  <Override ContentType="application/vnd.openxmlformats-officedocument.spreadsheetml.worksheet+xml" PartName="/xl/worksheets/sheet40679.xml"/>
  <Override ContentType="application/vnd.openxmlformats-officedocument.spreadsheetml.worksheet+xml" PartName="/xl/worksheets/sheet40680.xml"/>
  <Override ContentType="application/vnd.openxmlformats-officedocument.spreadsheetml.worksheet+xml" PartName="/xl/worksheets/sheet40681.xml"/>
  <Override ContentType="application/vnd.openxmlformats-officedocument.spreadsheetml.worksheet+xml" PartName="/xl/worksheets/sheet40682.xml"/>
  <Override ContentType="application/vnd.openxmlformats-officedocument.spreadsheetml.worksheet+xml" PartName="/xl/worksheets/sheet40683.xml"/>
  <Override ContentType="application/vnd.openxmlformats-officedocument.spreadsheetml.worksheet+xml" PartName="/xl/worksheets/sheet40684.xml"/>
  <Override ContentType="application/vnd.openxmlformats-officedocument.spreadsheetml.worksheet+xml" PartName="/xl/worksheets/sheet40685.xml"/>
  <Override ContentType="application/vnd.openxmlformats-officedocument.spreadsheetml.worksheet+xml" PartName="/xl/worksheets/sheet40686.xml"/>
  <Override ContentType="application/vnd.openxmlformats-officedocument.spreadsheetml.worksheet+xml" PartName="/xl/worksheets/sheet40687.xml"/>
  <Override ContentType="application/vnd.openxmlformats-officedocument.spreadsheetml.worksheet+xml" PartName="/xl/worksheets/sheet40688.xml"/>
  <Override ContentType="application/vnd.openxmlformats-officedocument.spreadsheetml.worksheet+xml" PartName="/xl/worksheets/sheet40689.xml"/>
  <Override ContentType="application/vnd.openxmlformats-officedocument.spreadsheetml.worksheet+xml" PartName="/xl/worksheets/sheet40690.xml"/>
  <Override ContentType="application/vnd.openxmlformats-officedocument.spreadsheetml.worksheet+xml" PartName="/xl/worksheets/sheet40691.xml"/>
  <Override ContentType="application/vnd.openxmlformats-officedocument.spreadsheetml.worksheet+xml" PartName="/xl/worksheets/sheet40692.xml"/>
  <Override ContentType="application/vnd.openxmlformats-officedocument.spreadsheetml.worksheet+xml" PartName="/xl/worksheets/sheet40693.xml"/>
  <Override ContentType="application/vnd.openxmlformats-officedocument.spreadsheetml.worksheet+xml" PartName="/xl/worksheets/sheet40694.xml"/>
  <Override ContentType="application/vnd.openxmlformats-officedocument.spreadsheetml.worksheet+xml" PartName="/xl/worksheets/sheet40695.xml"/>
  <Override ContentType="application/vnd.openxmlformats-officedocument.spreadsheetml.worksheet+xml" PartName="/xl/worksheets/sheet40696.xml"/>
  <Override ContentType="application/vnd.openxmlformats-officedocument.spreadsheetml.worksheet+xml" PartName="/xl/worksheets/sheet40697.xml"/>
  <Override ContentType="application/vnd.openxmlformats-officedocument.spreadsheetml.worksheet+xml" PartName="/xl/worksheets/sheet40698.xml"/>
  <Override ContentType="application/vnd.openxmlformats-officedocument.spreadsheetml.worksheet+xml" PartName="/xl/worksheets/sheet40699.xml"/>
  <Override ContentType="application/vnd.openxmlformats-officedocument.spreadsheetml.worksheet+xml" PartName="/xl/worksheets/sheet40700.xml"/>
  <Override ContentType="application/vnd.openxmlformats-officedocument.spreadsheetml.worksheet+xml" PartName="/xl/worksheets/sheet40701.xml"/>
  <Override ContentType="application/vnd.openxmlformats-officedocument.spreadsheetml.worksheet+xml" PartName="/xl/worksheets/sheet40702.xml"/>
  <Override ContentType="application/vnd.openxmlformats-officedocument.spreadsheetml.worksheet+xml" PartName="/xl/worksheets/sheet40703.xml"/>
  <Override ContentType="application/vnd.openxmlformats-officedocument.spreadsheetml.worksheet+xml" PartName="/xl/worksheets/sheet40704.xml"/>
  <Override ContentType="application/vnd.openxmlformats-officedocument.spreadsheetml.worksheet+xml" PartName="/xl/worksheets/sheet40705.xml"/>
  <Override ContentType="application/vnd.openxmlformats-officedocument.spreadsheetml.worksheet+xml" PartName="/xl/worksheets/sheet40706.xml"/>
  <Override ContentType="application/vnd.openxmlformats-officedocument.spreadsheetml.worksheet+xml" PartName="/xl/worksheets/sheet40707.xml"/>
  <Override ContentType="application/vnd.openxmlformats-officedocument.spreadsheetml.worksheet+xml" PartName="/xl/worksheets/sheet40708.xml"/>
  <Override ContentType="application/vnd.openxmlformats-officedocument.spreadsheetml.worksheet+xml" PartName="/xl/worksheets/sheet40709.xml"/>
  <Override ContentType="application/vnd.openxmlformats-officedocument.spreadsheetml.worksheet+xml" PartName="/xl/worksheets/sheet40710.xml"/>
  <Override ContentType="application/vnd.openxmlformats-officedocument.spreadsheetml.worksheet+xml" PartName="/xl/worksheets/sheet40711.xml"/>
  <Override ContentType="application/vnd.openxmlformats-officedocument.spreadsheetml.worksheet+xml" PartName="/xl/worksheets/sheet40712.xml"/>
  <Override ContentType="application/vnd.openxmlformats-officedocument.spreadsheetml.worksheet+xml" PartName="/xl/worksheets/sheet40713.xml"/>
  <Override ContentType="application/vnd.openxmlformats-officedocument.spreadsheetml.worksheet+xml" PartName="/xl/worksheets/sheet40714.xml"/>
  <Override ContentType="application/vnd.openxmlformats-officedocument.spreadsheetml.worksheet+xml" PartName="/xl/worksheets/sheet40715.xml"/>
  <Override ContentType="application/vnd.openxmlformats-officedocument.spreadsheetml.worksheet+xml" PartName="/xl/worksheets/sheet40716.xml"/>
  <Override ContentType="application/vnd.openxmlformats-officedocument.spreadsheetml.worksheet+xml" PartName="/xl/worksheets/sheet40717.xml"/>
  <Override ContentType="application/vnd.openxmlformats-officedocument.spreadsheetml.worksheet+xml" PartName="/xl/worksheets/sheet40718.xml"/>
  <Override ContentType="application/vnd.openxmlformats-officedocument.spreadsheetml.worksheet+xml" PartName="/xl/worksheets/sheet40719.xml"/>
  <Override ContentType="application/vnd.openxmlformats-officedocument.spreadsheetml.worksheet+xml" PartName="/xl/worksheets/sheet40720.xml"/>
  <Override ContentType="application/vnd.openxmlformats-officedocument.spreadsheetml.worksheet+xml" PartName="/xl/worksheets/sheet40721.xml"/>
  <Override ContentType="application/vnd.openxmlformats-officedocument.spreadsheetml.worksheet+xml" PartName="/xl/worksheets/sheet40722.xml"/>
  <Override ContentType="application/vnd.openxmlformats-officedocument.spreadsheetml.worksheet+xml" PartName="/xl/worksheets/sheet40723.xml"/>
  <Override ContentType="application/vnd.openxmlformats-officedocument.spreadsheetml.worksheet+xml" PartName="/xl/worksheets/sheet40724.xml"/>
  <Override ContentType="application/vnd.openxmlformats-officedocument.spreadsheetml.worksheet+xml" PartName="/xl/worksheets/sheet40725.xml"/>
  <Override ContentType="application/vnd.openxmlformats-officedocument.spreadsheetml.worksheet+xml" PartName="/xl/worksheets/sheet40726.xml"/>
  <Override ContentType="application/vnd.openxmlformats-officedocument.spreadsheetml.worksheet+xml" PartName="/xl/worksheets/sheet40727.xml"/>
  <Override ContentType="application/vnd.openxmlformats-officedocument.spreadsheetml.worksheet+xml" PartName="/xl/worksheets/sheet40728.xml"/>
  <Override ContentType="application/vnd.openxmlformats-officedocument.spreadsheetml.worksheet+xml" PartName="/xl/worksheets/sheet40729.xml"/>
  <Override ContentType="application/vnd.openxmlformats-officedocument.spreadsheetml.worksheet+xml" PartName="/xl/worksheets/sheet40730.xml"/>
  <Override ContentType="application/vnd.openxmlformats-officedocument.spreadsheetml.worksheet+xml" PartName="/xl/worksheets/sheet40731.xml"/>
  <Override ContentType="application/vnd.openxmlformats-officedocument.spreadsheetml.worksheet+xml" PartName="/xl/worksheets/sheet40732.xml"/>
  <Override ContentType="application/vnd.openxmlformats-officedocument.spreadsheetml.worksheet+xml" PartName="/xl/worksheets/sheet40733.xml"/>
  <Override ContentType="application/vnd.openxmlformats-officedocument.spreadsheetml.worksheet+xml" PartName="/xl/worksheets/sheet40734.xml"/>
  <Override ContentType="application/vnd.openxmlformats-officedocument.spreadsheetml.worksheet+xml" PartName="/xl/worksheets/sheet40735.xml"/>
  <Override ContentType="application/vnd.openxmlformats-officedocument.spreadsheetml.worksheet+xml" PartName="/xl/worksheets/sheet40736.xml"/>
  <Override ContentType="application/vnd.openxmlformats-officedocument.spreadsheetml.worksheet+xml" PartName="/xl/worksheets/sheet40737.xml"/>
  <Override ContentType="application/vnd.openxmlformats-officedocument.spreadsheetml.worksheet+xml" PartName="/xl/worksheets/sheet40738.xml"/>
  <Override ContentType="application/vnd.openxmlformats-officedocument.spreadsheetml.worksheet+xml" PartName="/xl/worksheets/sheet40739.xml"/>
  <Override ContentType="application/vnd.openxmlformats-officedocument.spreadsheetml.worksheet+xml" PartName="/xl/worksheets/sheet40740.xml"/>
  <Override ContentType="application/vnd.openxmlformats-officedocument.spreadsheetml.worksheet+xml" PartName="/xl/worksheets/sheet40741.xml"/>
  <Override ContentType="application/vnd.openxmlformats-officedocument.spreadsheetml.worksheet+xml" PartName="/xl/worksheets/sheet40742.xml"/>
  <Override ContentType="application/vnd.openxmlformats-officedocument.spreadsheetml.worksheet+xml" PartName="/xl/worksheets/sheet40743.xml"/>
  <Override ContentType="application/vnd.openxmlformats-officedocument.spreadsheetml.worksheet+xml" PartName="/xl/worksheets/sheet40744.xml"/>
  <Override ContentType="application/vnd.openxmlformats-officedocument.spreadsheetml.worksheet+xml" PartName="/xl/worksheets/sheet40745.xml"/>
  <Override ContentType="application/vnd.openxmlformats-officedocument.spreadsheetml.worksheet+xml" PartName="/xl/worksheets/sheet40746.xml"/>
  <Override ContentType="application/vnd.openxmlformats-officedocument.spreadsheetml.worksheet+xml" PartName="/xl/worksheets/sheet40747.xml"/>
  <Override ContentType="application/vnd.openxmlformats-officedocument.spreadsheetml.worksheet+xml" PartName="/xl/worksheets/sheet40748.xml"/>
  <Override ContentType="application/vnd.openxmlformats-officedocument.spreadsheetml.worksheet+xml" PartName="/xl/worksheets/sheet40749.xml"/>
  <Override ContentType="application/vnd.openxmlformats-officedocument.spreadsheetml.worksheet+xml" PartName="/xl/worksheets/sheet40750.xml"/>
  <Override ContentType="application/vnd.openxmlformats-officedocument.spreadsheetml.worksheet+xml" PartName="/xl/worksheets/sheet40751.xml"/>
  <Override ContentType="application/vnd.openxmlformats-officedocument.spreadsheetml.worksheet+xml" PartName="/xl/worksheets/sheet40752.xml"/>
  <Override ContentType="application/vnd.openxmlformats-officedocument.spreadsheetml.worksheet+xml" PartName="/xl/worksheets/sheet40753.xml"/>
  <Override ContentType="application/vnd.openxmlformats-officedocument.spreadsheetml.worksheet+xml" PartName="/xl/worksheets/sheet40754.xml"/>
  <Override ContentType="application/vnd.openxmlformats-officedocument.spreadsheetml.worksheet+xml" PartName="/xl/worksheets/sheet40755.xml"/>
  <Override ContentType="application/vnd.openxmlformats-officedocument.spreadsheetml.worksheet+xml" PartName="/xl/worksheets/sheet40756.xml"/>
  <Override ContentType="application/vnd.openxmlformats-officedocument.spreadsheetml.worksheet+xml" PartName="/xl/worksheets/sheet40757.xml"/>
  <Override ContentType="application/vnd.openxmlformats-officedocument.spreadsheetml.worksheet+xml" PartName="/xl/worksheets/sheet40758.xml"/>
  <Override ContentType="application/vnd.openxmlformats-officedocument.spreadsheetml.worksheet+xml" PartName="/xl/worksheets/sheet40759.xml"/>
  <Override ContentType="application/vnd.openxmlformats-officedocument.spreadsheetml.worksheet+xml" PartName="/xl/worksheets/sheet40760.xml"/>
  <Override ContentType="application/vnd.openxmlformats-officedocument.spreadsheetml.worksheet+xml" PartName="/xl/worksheets/sheet40761.xml"/>
  <Override ContentType="application/vnd.openxmlformats-officedocument.spreadsheetml.worksheet+xml" PartName="/xl/worksheets/sheet40762.xml"/>
  <Override ContentType="application/vnd.openxmlformats-officedocument.spreadsheetml.worksheet+xml" PartName="/xl/worksheets/sheet40763.xml"/>
  <Override ContentType="application/vnd.openxmlformats-officedocument.spreadsheetml.worksheet+xml" PartName="/xl/worksheets/sheet40764.xml"/>
  <Override ContentType="application/vnd.openxmlformats-officedocument.spreadsheetml.worksheet+xml" PartName="/xl/worksheets/sheet40765.xml"/>
  <Override ContentType="application/vnd.openxmlformats-officedocument.spreadsheetml.worksheet+xml" PartName="/xl/worksheets/sheet40766.xml"/>
  <Override ContentType="application/vnd.openxmlformats-officedocument.spreadsheetml.worksheet+xml" PartName="/xl/worksheets/sheet40767.xml"/>
  <Override ContentType="application/vnd.openxmlformats-officedocument.spreadsheetml.worksheet+xml" PartName="/xl/worksheets/sheet40768.xml"/>
  <Override ContentType="application/vnd.openxmlformats-officedocument.spreadsheetml.worksheet+xml" PartName="/xl/worksheets/sheet40769.xml"/>
  <Override ContentType="application/vnd.openxmlformats-officedocument.spreadsheetml.worksheet+xml" PartName="/xl/worksheets/sheet40770.xml"/>
  <Override ContentType="application/vnd.openxmlformats-officedocument.spreadsheetml.worksheet+xml" PartName="/xl/worksheets/sheet40771.xml"/>
  <Override ContentType="application/vnd.openxmlformats-officedocument.spreadsheetml.worksheet+xml" PartName="/xl/worksheets/sheet40772.xml"/>
  <Override ContentType="application/vnd.openxmlformats-officedocument.spreadsheetml.worksheet+xml" PartName="/xl/worksheets/sheet40773.xml"/>
  <Override ContentType="application/vnd.openxmlformats-officedocument.spreadsheetml.worksheet+xml" PartName="/xl/worksheets/sheet40774.xml"/>
  <Override ContentType="application/vnd.openxmlformats-officedocument.spreadsheetml.worksheet+xml" PartName="/xl/worksheets/sheet40775.xml"/>
  <Override ContentType="application/vnd.openxmlformats-officedocument.spreadsheetml.worksheet+xml" PartName="/xl/worksheets/sheet40776.xml"/>
  <Override ContentType="application/vnd.openxmlformats-officedocument.spreadsheetml.worksheet+xml" PartName="/xl/worksheets/sheet40777.xml"/>
  <Override ContentType="application/vnd.openxmlformats-officedocument.spreadsheetml.worksheet+xml" PartName="/xl/worksheets/sheet40778.xml"/>
  <Override ContentType="application/vnd.openxmlformats-officedocument.spreadsheetml.worksheet+xml" PartName="/xl/worksheets/sheet40779.xml"/>
  <Override ContentType="application/vnd.openxmlformats-officedocument.spreadsheetml.worksheet+xml" PartName="/xl/worksheets/sheet40780.xml"/>
  <Override ContentType="application/vnd.openxmlformats-officedocument.spreadsheetml.worksheet+xml" PartName="/xl/worksheets/sheet40781.xml"/>
  <Override ContentType="application/vnd.openxmlformats-officedocument.spreadsheetml.worksheet+xml" PartName="/xl/worksheets/sheet40782.xml"/>
  <Override ContentType="application/vnd.openxmlformats-officedocument.spreadsheetml.worksheet+xml" PartName="/xl/worksheets/sheet40783.xml"/>
  <Override ContentType="application/vnd.openxmlformats-officedocument.spreadsheetml.worksheet+xml" PartName="/xl/worksheets/sheet40784.xml"/>
  <Override ContentType="application/vnd.openxmlformats-officedocument.spreadsheetml.worksheet+xml" PartName="/xl/worksheets/sheet40785.xml"/>
  <Override ContentType="application/vnd.openxmlformats-officedocument.spreadsheetml.worksheet+xml" PartName="/xl/worksheets/sheet40786.xml"/>
  <Override ContentType="application/vnd.openxmlformats-officedocument.spreadsheetml.worksheet+xml" PartName="/xl/worksheets/sheet40787.xml"/>
  <Override ContentType="application/vnd.openxmlformats-officedocument.spreadsheetml.worksheet+xml" PartName="/xl/worksheets/sheet40788.xml"/>
  <Override ContentType="application/vnd.openxmlformats-officedocument.spreadsheetml.worksheet+xml" PartName="/xl/worksheets/sheet40789.xml"/>
  <Override ContentType="application/vnd.openxmlformats-officedocument.spreadsheetml.worksheet+xml" PartName="/xl/worksheets/sheet40790.xml"/>
  <Override ContentType="application/vnd.openxmlformats-officedocument.spreadsheetml.worksheet+xml" PartName="/xl/worksheets/sheet40791.xml"/>
  <Override ContentType="application/vnd.openxmlformats-officedocument.spreadsheetml.worksheet+xml" PartName="/xl/worksheets/sheet40792.xml"/>
  <Override ContentType="application/vnd.openxmlformats-officedocument.spreadsheetml.worksheet+xml" PartName="/xl/worksheets/sheet40793.xml"/>
  <Override ContentType="application/vnd.openxmlformats-officedocument.spreadsheetml.worksheet+xml" PartName="/xl/worksheets/sheet40794.xml"/>
  <Override ContentType="application/vnd.openxmlformats-officedocument.spreadsheetml.worksheet+xml" PartName="/xl/worksheets/sheet40795.xml"/>
  <Override ContentType="application/vnd.openxmlformats-officedocument.spreadsheetml.worksheet+xml" PartName="/xl/worksheets/sheet40796.xml"/>
  <Override ContentType="application/vnd.openxmlformats-officedocument.spreadsheetml.worksheet+xml" PartName="/xl/worksheets/sheet40797.xml"/>
  <Override ContentType="application/vnd.openxmlformats-officedocument.spreadsheetml.worksheet+xml" PartName="/xl/worksheets/sheet40798.xml"/>
  <Override ContentType="application/vnd.openxmlformats-officedocument.spreadsheetml.worksheet+xml" PartName="/xl/worksheets/sheet40799.xml"/>
  <Override ContentType="application/vnd.openxmlformats-officedocument.spreadsheetml.worksheet+xml" PartName="/xl/worksheets/sheet40800.xml"/>
  <Override ContentType="application/vnd.openxmlformats-officedocument.spreadsheetml.worksheet+xml" PartName="/xl/worksheets/sheet40801.xml"/>
  <Override ContentType="application/vnd.openxmlformats-officedocument.spreadsheetml.worksheet+xml" PartName="/xl/worksheets/sheet40802.xml"/>
  <Override ContentType="application/vnd.openxmlformats-officedocument.spreadsheetml.worksheet+xml" PartName="/xl/worksheets/sheet40803.xml"/>
  <Override ContentType="application/vnd.openxmlformats-officedocument.spreadsheetml.worksheet+xml" PartName="/xl/worksheets/sheet40804.xml"/>
  <Override ContentType="application/vnd.openxmlformats-officedocument.spreadsheetml.worksheet+xml" PartName="/xl/worksheets/sheet40805.xml"/>
  <Override ContentType="application/vnd.openxmlformats-officedocument.spreadsheetml.worksheet+xml" PartName="/xl/worksheets/sheet40806.xml"/>
  <Override ContentType="application/vnd.openxmlformats-officedocument.spreadsheetml.worksheet+xml" PartName="/xl/worksheets/sheet40807.xml"/>
  <Override ContentType="application/vnd.openxmlformats-officedocument.spreadsheetml.worksheet+xml" PartName="/xl/worksheets/sheet40808.xml"/>
  <Override ContentType="application/vnd.openxmlformats-officedocument.spreadsheetml.worksheet+xml" PartName="/xl/worksheets/sheet40809.xml"/>
  <Override ContentType="application/vnd.openxmlformats-officedocument.spreadsheetml.worksheet+xml" PartName="/xl/worksheets/sheet40810.xml"/>
  <Override ContentType="application/vnd.openxmlformats-officedocument.spreadsheetml.worksheet+xml" PartName="/xl/worksheets/sheet40811.xml"/>
  <Override ContentType="application/vnd.openxmlformats-officedocument.spreadsheetml.worksheet+xml" PartName="/xl/worksheets/sheet40812.xml"/>
  <Override ContentType="application/vnd.openxmlformats-officedocument.spreadsheetml.worksheet+xml" PartName="/xl/worksheets/sheet40813.xml"/>
  <Override ContentType="application/vnd.openxmlformats-officedocument.spreadsheetml.worksheet+xml" PartName="/xl/worksheets/sheet40814.xml"/>
  <Override ContentType="application/vnd.openxmlformats-officedocument.spreadsheetml.worksheet+xml" PartName="/xl/worksheets/sheet40815.xml"/>
  <Override ContentType="application/vnd.openxmlformats-officedocument.spreadsheetml.worksheet+xml" PartName="/xl/worksheets/sheet40816.xml"/>
  <Override ContentType="application/vnd.openxmlformats-officedocument.spreadsheetml.worksheet+xml" PartName="/xl/worksheets/sheet40817.xml"/>
  <Override ContentType="application/vnd.openxmlformats-officedocument.spreadsheetml.worksheet+xml" PartName="/xl/worksheets/sheet40818.xml"/>
  <Override ContentType="application/vnd.openxmlformats-officedocument.spreadsheetml.worksheet+xml" PartName="/xl/worksheets/sheet40819.xml"/>
  <Override ContentType="application/vnd.openxmlformats-officedocument.spreadsheetml.worksheet+xml" PartName="/xl/worksheets/sheet40820.xml"/>
  <Override ContentType="application/vnd.openxmlformats-officedocument.spreadsheetml.worksheet+xml" PartName="/xl/worksheets/sheet40821.xml"/>
  <Override ContentType="application/vnd.openxmlformats-officedocument.spreadsheetml.worksheet+xml" PartName="/xl/worksheets/sheet40822.xml"/>
  <Override ContentType="application/vnd.openxmlformats-officedocument.spreadsheetml.worksheet+xml" PartName="/xl/worksheets/sheet40823.xml"/>
  <Override ContentType="application/vnd.openxmlformats-officedocument.spreadsheetml.worksheet+xml" PartName="/xl/worksheets/sheet40824.xml"/>
  <Override ContentType="application/vnd.openxmlformats-officedocument.spreadsheetml.worksheet+xml" PartName="/xl/worksheets/sheet40825.xml"/>
  <Override ContentType="application/vnd.openxmlformats-officedocument.spreadsheetml.worksheet+xml" PartName="/xl/worksheets/sheet40826.xml"/>
  <Override ContentType="application/vnd.openxmlformats-officedocument.spreadsheetml.worksheet+xml" PartName="/xl/worksheets/sheet40827.xml"/>
  <Override ContentType="application/vnd.openxmlformats-officedocument.spreadsheetml.worksheet+xml" PartName="/xl/worksheets/sheet40828.xml"/>
  <Override ContentType="application/vnd.openxmlformats-officedocument.spreadsheetml.worksheet+xml" PartName="/xl/worksheets/sheet40829.xml"/>
  <Override ContentType="application/vnd.openxmlformats-officedocument.spreadsheetml.worksheet+xml" PartName="/xl/worksheets/sheet40830.xml"/>
  <Override ContentType="application/vnd.openxmlformats-officedocument.spreadsheetml.worksheet+xml" PartName="/xl/worksheets/sheet40831.xml"/>
  <Override ContentType="application/vnd.openxmlformats-officedocument.spreadsheetml.worksheet+xml" PartName="/xl/worksheets/sheet40832.xml"/>
  <Override ContentType="application/vnd.openxmlformats-officedocument.spreadsheetml.worksheet+xml" PartName="/xl/worksheets/sheet40833.xml"/>
  <Override ContentType="application/vnd.openxmlformats-officedocument.spreadsheetml.worksheet+xml" PartName="/xl/worksheets/sheet40834.xml"/>
  <Override ContentType="application/vnd.openxmlformats-officedocument.spreadsheetml.worksheet+xml" PartName="/xl/worksheets/sheet40835.xml"/>
  <Override ContentType="application/vnd.openxmlformats-officedocument.spreadsheetml.worksheet+xml" PartName="/xl/worksheets/sheet40836.xml"/>
  <Override ContentType="application/vnd.openxmlformats-officedocument.spreadsheetml.worksheet+xml" PartName="/xl/worksheets/sheet40837.xml"/>
  <Override ContentType="application/vnd.openxmlformats-officedocument.spreadsheetml.worksheet+xml" PartName="/xl/worksheets/sheet40838.xml"/>
  <Override ContentType="application/vnd.openxmlformats-officedocument.spreadsheetml.worksheet+xml" PartName="/xl/worksheets/sheet40839.xml"/>
  <Override ContentType="application/vnd.openxmlformats-officedocument.spreadsheetml.worksheet+xml" PartName="/xl/worksheets/sheet40840.xml"/>
  <Override ContentType="application/vnd.openxmlformats-officedocument.spreadsheetml.worksheet+xml" PartName="/xl/worksheets/sheet40841.xml"/>
  <Override ContentType="application/vnd.openxmlformats-officedocument.spreadsheetml.worksheet+xml" PartName="/xl/worksheets/sheet40842.xml"/>
  <Override ContentType="application/vnd.openxmlformats-officedocument.spreadsheetml.worksheet+xml" PartName="/xl/worksheets/sheet40843.xml"/>
  <Override ContentType="application/vnd.openxmlformats-officedocument.spreadsheetml.worksheet+xml" PartName="/xl/worksheets/sheet40844.xml"/>
  <Override ContentType="application/vnd.openxmlformats-officedocument.spreadsheetml.worksheet+xml" PartName="/xl/worksheets/sheet40845.xml"/>
  <Override ContentType="application/vnd.openxmlformats-officedocument.spreadsheetml.worksheet+xml" PartName="/xl/worksheets/sheet40846.xml"/>
  <Override ContentType="application/vnd.openxmlformats-officedocument.spreadsheetml.worksheet+xml" PartName="/xl/worksheets/sheet40847.xml"/>
  <Override ContentType="application/vnd.openxmlformats-officedocument.spreadsheetml.worksheet+xml" PartName="/xl/worksheets/sheet40848.xml"/>
  <Override ContentType="application/vnd.openxmlformats-officedocument.spreadsheetml.worksheet+xml" PartName="/xl/worksheets/sheet40849.xml"/>
  <Override ContentType="application/vnd.openxmlformats-officedocument.spreadsheetml.worksheet+xml" PartName="/xl/worksheets/sheet40850.xml"/>
  <Override ContentType="application/vnd.openxmlformats-officedocument.spreadsheetml.worksheet+xml" PartName="/xl/worksheets/sheet40851.xml"/>
  <Override ContentType="application/vnd.openxmlformats-officedocument.spreadsheetml.worksheet+xml" PartName="/xl/worksheets/sheet40852.xml"/>
  <Override ContentType="application/vnd.openxmlformats-officedocument.spreadsheetml.worksheet+xml" PartName="/xl/worksheets/sheet40853.xml"/>
  <Override ContentType="application/vnd.openxmlformats-officedocument.spreadsheetml.worksheet+xml" PartName="/xl/worksheets/sheet40854.xml"/>
  <Override ContentType="application/vnd.openxmlformats-officedocument.spreadsheetml.worksheet+xml" PartName="/xl/worksheets/sheet40855.xml"/>
  <Override ContentType="application/vnd.openxmlformats-officedocument.spreadsheetml.worksheet+xml" PartName="/xl/worksheets/sheet40856.xml"/>
  <Override ContentType="application/vnd.openxmlformats-officedocument.spreadsheetml.worksheet+xml" PartName="/xl/worksheets/sheet40857.xml"/>
  <Override ContentType="application/vnd.openxmlformats-officedocument.spreadsheetml.worksheet+xml" PartName="/xl/worksheets/sheet40858.xml"/>
  <Override ContentType="application/vnd.openxmlformats-officedocument.spreadsheetml.worksheet+xml" PartName="/xl/worksheets/sheet40859.xml"/>
  <Override ContentType="application/vnd.openxmlformats-officedocument.spreadsheetml.worksheet+xml" PartName="/xl/worksheets/sheet40860.xml"/>
  <Override ContentType="application/vnd.openxmlformats-officedocument.spreadsheetml.worksheet+xml" PartName="/xl/worksheets/sheet40861.xml"/>
  <Override ContentType="application/vnd.openxmlformats-officedocument.spreadsheetml.worksheet+xml" PartName="/xl/worksheets/sheet40862.xml"/>
  <Override ContentType="application/vnd.openxmlformats-officedocument.spreadsheetml.worksheet+xml" PartName="/xl/worksheets/sheet40863.xml"/>
  <Override ContentType="application/vnd.openxmlformats-officedocument.spreadsheetml.worksheet+xml" PartName="/xl/worksheets/sheet40864.xml"/>
  <Override ContentType="application/vnd.openxmlformats-officedocument.spreadsheetml.worksheet+xml" PartName="/xl/worksheets/sheet40865.xml"/>
  <Override ContentType="application/vnd.openxmlformats-officedocument.spreadsheetml.worksheet+xml" PartName="/xl/worksheets/sheet40866.xml"/>
  <Override ContentType="application/vnd.openxmlformats-officedocument.spreadsheetml.worksheet+xml" PartName="/xl/worksheets/sheet40867.xml"/>
  <Override ContentType="application/vnd.openxmlformats-officedocument.spreadsheetml.worksheet+xml" PartName="/xl/worksheets/sheet40868.xml"/>
  <Override ContentType="application/vnd.openxmlformats-officedocument.spreadsheetml.worksheet+xml" PartName="/xl/worksheets/sheet40869.xml"/>
  <Override ContentType="application/vnd.openxmlformats-officedocument.spreadsheetml.worksheet+xml" PartName="/xl/worksheets/sheet40870.xml"/>
  <Override ContentType="application/vnd.openxmlformats-officedocument.spreadsheetml.worksheet+xml" PartName="/xl/worksheets/sheet40871.xml"/>
  <Override ContentType="application/vnd.openxmlformats-officedocument.spreadsheetml.worksheet+xml" PartName="/xl/worksheets/sheet40872.xml"/>
  <Override ContentType="application/vnd.openxmlformats-officedocument.spreadsheetml.worksheet+xml" PartName="/xl/worksheets/sheet40873.xml"/>
  <Override ContentType="application/vnd.openxmlformats-officedocument.spreadsheetml.worksheet+xml" PartName="/xl/worksheets/sheet40874.xml"/>
  <Override ContentType="application/vnd.openxmlformats-officedocument.spreadsheetml.worksheet+xml" PartName="/xl/worksheets/sheet40875.xml"/>
  <Override ContentType="application/vnd.openxmlformats-officedocument.spreadsheetml.worksheet+xml" PartName="/xl/worksheets/sheet40876.xml"/>
  <Override ContentType="application/vnd.openxmlformats-officedocument.spreadsheetml.worksheet+xml" PartName="/xl/worksheets/sheet40877.xml"/>
  <Override ContentType="application/vnd.openxmlformats-officedocument.spreadsheetml.worksheet+xml" PartName="/xl/worksheets/sheet40878.xml"/>
  <Override ContentType="application/vnd.openxmlformats-officedocument.spreadsheetml.worksheet+xml" PartName="/xl/worksheets/sheet40879.xml"/>
  <Override ContentType="application/vnd.openxmlformats-officedocument.spreadsheetml.worksheet+xml" PartName="/xl/worksheets/sheet40880.xml"/>
  <Override ContentType="application/vnd.openxmlformats-officedocument.spreadsheetml.worksheet+xml" PartName="/xl/worksheets/sheet40881.xml"/>
  <Override ContentType="application/vnd.openxmlformats-officedocument.spreadsheetml.worksheet+xml" PartName="/xl/worksheets/sheet40882.xml"/>
  <Override ContentType="application/vnd.openxmlformats-officedocument.spreadsheetml.worksheet+xml" PartName="/xl/worksheets/sheet40883.xml"/>
  <Override ContentType="application/vnd.openxmlformats-officedocument.spreadsheetml.worksheet+xml" PartName="/xl/worksheets/sheet40884.xml"/>
  <Override ContentType="application/vnd.openxmlformats-officedocument.spreadsheetml.worksheet+xml" PartName="/xl/worksheets/sheet40885.xml"/>
  <Override ContentType="application/vnd.openxmlformats-officedocument.spreadsheetml.worksheet+xml" PartName="/xl/worksheets/sheet40886.xml"/>
  <Override ContentType="application/vnd.openxmlformats-officedocument.spreadsheetml.worksheet+xml" PartName="/xl/worksheets/sheet40887.xml"/>
  <Override ContentType="application/vnd.openxmlformats-officedocument.spreadsheetml.worksheet+xml" PartName="/xl/worksheets/sheet40888.xml"/>
  <Override ContentType="application/vnd.openxmlformats-officedocument.spreadsheetml.worksheet+xml" PartName="/xl/worksheets/sheet40889.xml"/>
  <Override ContentType="application/vnd.openxmlformats-officedocument.spreadsheetml.worksheet+xml" PartName="/xl/worksheets/sheet40890.xml"/>
  <Override ContentType="application/vnd.openxmlformats-officedocument.spreadsheetml.worksheet+xml" PartName="/xl/worksheets/sheet40891.xml"/>
  <Override ContentType="application/vnd.openxmlformats-officedocument.spreadsheetml.worksheet+xml" PartName="/xl/worksheets/sheet40892.xml"/>
  <Override ContentType="application/vnd.openxmlformats-officedocument.spreadsheetml.worksheet+xml" PartName="/xl/worksheets/sheet40893.xml"/>
  <Override ContentType="application/vnd.openxmlformats-officedocument.spreadsheetml.worksheet+xml" PartName="/xl/worksheets/sheet40894.xml"/>
  <Override ContentType="application/vnd.openxmlformats-officedocument.spreadsheetml.worksheet+xml" PartName="/xl/worksheets/sheet40895.xml"/>
  <Override ContentType="application/vnd.openxmlformats-officedocument.spreadsheetml.worksheet+xml" PartName="/xl/worksheets/sheet40896.xml"/>
  <Override ContentType="application/vnd.openxmlformats-officedocument.spreadsheetml.worksheet+xml" PartName="/xl/worksheets/sheet40897.xml"/>
  <Override ContentType="application/vnd.openxmlformats-officedocument.spreadsheetml.worksheet+xml" PartName="/xl/worksheets/sheet40898.xml"/>
  <Override ContentType="application/vnd.openxmlformats-officedocument.spreadsheetml.worksheet+xml" PartName="/xl/worksheets/sheet40899.xml"/>
  <Override ContentType="application/vnd.openxmlformats-officedocument.spreadsheetml.worksheet+xml" PartName="/xl/worksheets/sheet40900.xml"/>
  <Override ContentType="application/vnd.openxmlformats-officedocument.spreadsheetml.worksheet+xml" PartName="/xl/worksheets/sheet40901.xml"/>
  <Override ContentType="application/vnd.openxmlformats-officedocument.spreadsheetml.worksheet+xml" PartName="/xl/worksheets/sheet40902.xml"/>
  <Override ContentType="application/vnd.openxmlformats-officedocument.spreadsheetml.worksheet+xml" PartName="/xl/worksheets/sheet40903.xml"/>
  <Override ContentType="application/vnd.openxmlformats-officedocument.spreadsheetml.worksheet+xml" PartName="/xl/worksheets/sheet40904.xml"/>
  <Override ContentType="application/vnd.openxmlformats-officedocument.spreadsheetml.worksheet+xml" PartName="/xl/worksheets/sheet40905.xml"/>
  <Override ContentType="application/vnd.openxmlformats-officedocument.spreadsheetml.worksheet+xml" PartName="/xl/worksheets/sheet40906.xml"/>
  <Override ContentType="application/vnd.openxmlformats-officedocument.spreadsheetml.worksheet+xml" PartName="/xl/worksheets/sheet40907.xml"/>
  <Override ContentType="application/vnd.openxmlformats-officedocument.spreadsheetml.worksheet+xml" PartName="/xl/worksheets/sheet40908.xml"/>
  <Override ContentType="application/vnd.openxmlformats-officedocument.spreadsheetml.worksheet+xml" PartName="/xl/worksheets/sheet40909.xml"/>
  <Override ContentType="application/vnd.openxmlformats-officedocument.spreadsheetml.worksheet+xml" PartName="/xl/worksheets/sheet40910.xml"/>
  <Override ContentType="application/vnd.openxmlformats-officedocument.spreadsheetml.worksheet+xml" PartName="/xl/worksheets/sheet40911.xml"/>
  <Override ContentType="application/vnd.openxmlformats-officedocument.spreadsheetml.worksheet+xml" PartName="/xl/worksheets/sheet40912.xml"/>
  <Override ContentType="application/vnd.openxmlformats-officedocument.spreadsheetml.worksheet+xml" PartName="/xl/worksheets/sheet40913.xml"/>
  <Override ContentType="application/vnd.openxmlformats-officedocument.spreadsheetml.worksheet+xml" PartName="/xl/worksheets/sheet40914.xml"/>
  <Override ContentType="application/vnd.openxmlformats-officedocument.spreadsheetml.worksheet+xml" PartName="/xl/worksheets/sheet40915.xml"/>
  <Override ContentType="application/vnd.openxmlformats-officedocument.spreadsheetml.worksheet+xml" PartName="/xl/worksheets/sheet40916.xml"/>
  <Override ContentType="application/vnd.openxmlformats-officedocument.spreadsheetml.worksheet+xml" PartName="/xl/worksheets/sheet40917.xml"/>
  <Override ContentType="application/vnd.openxmlformats-officedocument.spreadsheetml.worksheet+xml" PartName="/xl/worksheets/sheet40918.xml"/>
  <Override ContentType="application/vnd.openxmlformats-officedocument.spreadsheetml.worksheet+xml" PartName="/xl/worksheets/sheet40919.xml"/>
  <Override ContentType="application/vnd.openxmlformats-officedocument.spreadsheetml.worksheet+xml" PartName="/xl/worksheets/sheet40920.xml"/>
  <Override ContentType="application/vnd.openxmlformats-officedocument.spreadsheetml.worksheet+xml" PartName="/xl/worksheets/sheet40921.xml"/>
  <Override ContentType="application/vnd.openxmlformats-officedocument.spreadsheetml.worksheet+xml" PartName="/xl/worksheets/sheet40922.xml"/>
  <Override ContentType="application/vnd.openxmlformats-officedocument.spreadsheetml.worksheet+xml" PartName="/xl/worksheets/sheet40923.xml"/>
  <Override ContentType="application/vnd.openxmlformats-officedocument.spreadsheetml.worksheet+xml" PartName="/xl/worksheets/sheet40924.xml"/>
  <Override ContentType="application/vnd.openxmlformats-officedocument.spreadsheetml.worksheet+xml" PartName="/xl/worksheets/sheet40925.xml"/>
  <Override ContentType="application/vnd.openxmlformats-officedocument.spreadsheetml.worksheet+xml" PartName="/xl/worksheets/sheet40926.xml"/>
  <Override ContentType="application/vnd.openxmlformats-officedocument.spreadsheetml.worksheet+xml" PartName="/xl/worksheets/sheet40927.xml"/>
  <Override ContentType="application/vnd.openxmlformats-officedocument.spreadsheetml.worksheet+xml" PartName="/xl/worksheets/sheet40928.xml"/>
  <Override ContentType="application/vnd.openxmlformats-officedocument.spreadsheetml.worksheet+xml" PartName="/xl/worksheets/sheet40929.xml"/>
  <Override ContentType="application/vnd.openxmlformats-officedocument.spreadsheetml.worksheet+xml" PartName="/xl/worksheets/sheet40930.xml"/>
  <Override ContentType="application/vnd.openxmlformats-officedocument.spreadsheetml.worksheet+xml" PartName="/xl/worksheets/sheet40931.xml"/>
  <Override ContentType="application/vnd.openxmlformats-officedocument.spreadsheetml.worksheet+xml" PartName="/xl/worksheets/sheet40932.xml"/>
  <Override ContentType="application/vnd.openxmlformats-officedocument.spreadsheetml.worksheet+xml" PartName="/xl/worksheets/sheet40933.xml"/>
  <Override ContentType="application/vnd.openxmlformats-officedocument.spreadsheetml.worksheet+xml" PartName="/xl/worksheets/sheet40934.xml"/>
  <Override ContentType="application/vnd.openxmlformats-officedocument.spreadsheetml.worksheet+xml" PartName="/xl/worksheets/sheet40935.xml"/>
  <Override ContentType="application/vnd.openxmlformats-officedocument.spreadsheetml.worksheet+xml" PartName="/xl/worksheets/sheet40936.xml"/>
  <Override ContentType="application/vnd.openxmlformats-officedocument.spreadsheetml.worksheet+xml" PartName="/xl/worksheets/sheet40937.xml"/>
  <Override ContentType="application/vnd.openxmlformats-officedocument.spreadsheetml.worksheet+xml" PartName="/xl/worksheets/sheet40938.xml"/>
  <Override ContentType="application/vnd.openxmlformats-officedocument.spreadsheetml.worksheet+xml" PartName="/xl/worksheets/sheet40939.xml"/>
  <Override ContentType="application/vnd.openxmlformats-officedocument.spreadsheetml.worksheet+xml" PartName="/xl/worksheets/sheet40940.xml"/>
  <Override ContentType="application/vnd.openxmlformats-officedocument.spreadsheetml.worksheet+xml" PartName="/xl/worksheets/sheet40941.xml"/>
  <Override ContentType="application/vnd.openxmlformats-officedocument.spreadsheetml.worksheet+xml" PartName="/xl/worksheets/sheet40942.xml"/>
  <Override ContentType="application/vnd.openxmlformats-officedocument.spreadsheetml.worksheet+xml" PartName="/xl/worksheets/sheet40943.xml"/>
  <Override ContentType="application/vnd.openxmlformats-officedocument.spreadsheetml.worksheet+xml" PartName="/xl/worksheets/sheet40944.xml"/>
  <Override ContentType="application/vnd.openxmlformats-officedocument.spreadsheetml.worksheet+xml" PartName="/xl/worksheets/sheet40945.xml"/>
  <Override ContentType="application/vnd.openxmlformats-officedocument.spreadsheetml.worksheet+xml" PartName="/xl/worksheets/sheet40946.xml"/>
  <Override ContentType="application/vnd.openxmlformats-officedocument.spreadsheetml.worksheet+xml" PartName="/xl/worksheets/sheet40947.xml"/>
  <Override ContentType="application/vnd.openxmlformats-officedocument.spreadsheetml.worksheet+xml" PartName="/xl/worksheets/sheet40948.xml"/>
  <Override ContentType="application/vnd.openxmlformats-officedocument.spreadsheetml.worksheet+xml" PartName="/xl/worksheets/sheet40949.xml"/>
  <Override ContentType="application/vnd.openxmlformats-officedocument.spreadsheetml.worksheet+xml" PartName="/xl/worksheets/sheet40950.xml"/>
  <Override ContentType="application/vnd.openxmlformats-officedocument.spreadsheetml.worksheet+xml" PartName="/xl/worksheets/sheet40951.xml"/>
  <Override ContentType="application/vnd.openxmlformats-officedocument.spreadsheetml.worksheet+xml" PartName="/xl/worksheets/sheet40952.xml"/>
  <Override ContentType="application/vnd.openxmlformats-officedocument.spreadsheetml.worksheet+xml" PartName="/xl/worksheets/sheet40953.xml"/>
  <Override ContentType="application/vnd.openxmlformats-officedocument.spreadsheetml.worksheet+xml" PartName="/xl/worksheets/sheet40954.xml"/>
  <Override ContentType="application/vnd.openxmlformats-officedocument.spreadsheetml.worksheet+xml" PartName="/xl/worksheets/sheet40955.xml"/>
  <Override ContentType="application/vnd.openxmlformats-officedocument.spreadsheetml.worksheet+xml" PartName="/xl/worksheets/sheet40956.xml"/>
  <Override ContentType="application/vnd.openxmlformats-officedocument.spreadsheetml.worksheet+xml" PartName="/xl/worksheets/sheet40957.xml"/>
  <Override ContentType="application/vnd.openxmlformats-officedocument.spreadsheetml.worksheet+xml" PartName="/xl/worksheets/sheet40958.xml"/>
  <Override ContentType="application/vnd.openxmlformats-officedocument.spreadsheetml.worksheet+xml" PartName="/xl/worksheets/sheet40959.xml"/>
  <Override ContentType="application/vnd.openxmlformats-officedocument.spreadsheetml.worksheet+xml" PartName="/xl/worksheets/sheet40960.xml"/>
  <Override ContentType="application/vnd.openxmlformats-officedocument.spreadsheetml.worksheet+xml" PartName="/xl/worksheets/sheet40961.xml"/>
  <Override ContentType="application/vnd.openxmlformats-officedocument.spreadsheetml.worksheet+xml" PartName="/xl/worksheets/sheet40962.xml"/>
  <Override ContentType="application/vnd.openxmlformats-officedocument.spreadsheetml.worksheet+xml" PartName="/xl/worksheets/sheet40963.xml"/>
  <Override ContentType="application/vnd.openxmlformats-officedocument.spreadsheetml.worksheet+xml" PartName="/xl/worksheets/sheet40964.xml"/>
  <Override ContentType="application/vnd.openxmlformats-officedocument.spreadsheetml.worksheet+xml" PartName="/xl/worksheets/sheet40965.xml"/>
  <Override ContentType="application/vnd.openxmlformats-officedocument.spreadsheetml.worksheet+xml" PartName="/xl/worksheets/sheet40966.xml"/>
  <Override ContentType="application/vnd.openxmlformats-officedocument.spreadsheetml.worksheet+xml" PartName="/xl/worksheets/sheet40967.xml"/>
  <Override ContentType="application/vnd.openxmlformats-officedocument.spreadsheetml.worksheet+xml" PartName="/xl/worksheets/sheet40968.xml"/>
  <Override ContentType="application/vnd.openxmlformats-officedocument.spreadsheetml.worksheet+xml" PartName="/xl/worksheets/sheet40969.xml"/>
  <Override ContentType="application/vnd.openxmlformats-officedocument.spreadsheetml.worksheet+xml" PartName="/xl/worksheets/sheet40970.xml"/>
  <Override ContentType="application/vnd.openxmlformats-officedocument.spreadsheetml.worksheet+xml" PartName="/xl/worksheets/sheet40971.xml"/>
  <Override ContentType="application/vnd.openxmlformats-officedocument.spreadsheetml.worksheet+xml" PartName="/xl/worksheets/sheet40972.xml"/>
  <Override ContentType="application/vnd.openxmlformats-officedocument.spreadsheetml.worksheet+xml" PartName="/xl/worksheets/sheet40973.xml"/>
  <Override ContentType="application/vnd.openxmlformats-officedocument.spreadsheetml.worksheet+xml" PartName="/xl/worksheets/sheet40974.xml"/>
  <Override ContentType="application/vnd.openxmlformats-officedocument.spreadsheetml.worksheet+xml" PartName="/xl/worksheets/sheet40975.xml"/>
  <Override ContentType="application/vnd.openxmlformats-officedocument.spreadsheetml.worksheet+xml" PartName="/xl/worksheets/sheet40976.xml"/>
  <Override ContentType="application/vnd.openxmlformats-officedocument.spreadsheetml.worksheet+xml" PartName="/xl/worksheets/sheet40977.xml"/>
  <Override ContentType="application/vnd.openxmlformats-officedocument.spreadsheetml.worksheet+xml" PartName="/xl/worksheets/sheet40978.xml"/>
  <Override ContentType="application/vnd.openxmlformats-officedocument.spreadsheetml.worksheet+xml" PartName="/xl/worksheets/sheet40979.xml"/>
  <Override ContentType="application/vnd.openxmlformats-officedocument.spreadsheetml.worksheet+xml" PartName="/xl/worksheets/sheet40980.xml"/>
  <Override ContentType="application/vnd.openxmlformats-officedocument.spreadsheetml.worksheet+xml" PartName="/xl/worksheets/sheet40981.xml"/>
  <Override ContentType="application/vnd.openxmlformats-officedocument.spreadsheetml.worksheet+xml" PartName="/xl/worksheets/sheet40982.xml"/>
  <Override ContentType="application/vnd.openxmlformats-officedocument.spreadsheetml.worksheet+xml" PartName="/xl/worksheets/sheet40983.xml"/>
  <Override ContentType="application/vnd.openxmlformats-officedocument.spreadsheetml.worksheet+xml" PartName="/xl/worksheets/sheet40984.xml"/>
  <Override ContentType="application/vnd.openxmlformats-officedocument.spreadsheetml.worksheet+xml" PartName="/xl/worksheets/sheet40985.xml"/>
  <Override ContentType="application/vnd.openxmlformats-officedocument.spreadsheetml.worksheet+xml" PartName="/xl/worksheets/sheet40986.xml"/>
  <Override ContentType="application/vnd.openxmlformats-officedocument.spreadsheetml.worksheet+xml" PartName="/xl/worksheets/sheet40987.xml"/>
  <Override ContentType="application/vnd.openxmlformats-officedocument.spreadsheetml.worksheet+xml" PartName="/xl/worksheets/sheet40988.xml"/>
  <Override ContentType="application/vnd.openxmlformats-officedocument.spreadsheetml.worksheet+xml" PartName="/xl/worksheets/sheet40989.xml"/>
  <Override ContentType="application/vnd.openxmlformats-officedocument.spreadsheetml.worksheet+xml" PartName="/xl/worksheets/sheet40990.xml"/>
  <Override ContentType="application/vnd.openxmlformats-officedocument.spreadsheetml.worksheet+xml" PartName="/xl/worksheets/sheet40991.xml"/>
  <Override ContentType="application/vnd.openxmlformats-officedocument.spreadsheetml.worksheet+xml" PartName="/xl/worksheets/sheet40992.xml"/>
  <Override ContentType="application/vnd.openxmlformats-officedocument.spreadsheetml.worksheet+xml" PartName="/xl/worksheets/sheet40993.xml"/>
  <Override ContentType="application/vnd.openxmlformats-officedocument.spreadsheetml.worksheet+xml" PartName="/xl/worksheets/sheet40994.xml"/>
  <Override ContentType="application/vnd.openxmlformats-officedocument.spreadsheetml.worksheet+xml" PartName="/xl/worksheets/sheet40995.xml"/>
  <Override ContentType="application/vnd.openxmlformats-officedocument.spreadsheetml.worksheet+xml" PartName="/xl/worksheets/sheet40996.xml"/>
  <Override ContentType="application/vnd.openxmlformats-officedocument.spreadsheetml.worksheet+xml" PartName="/xl/worksheets/sheet40997.xml"/>
  <Override ContentType="application/vnd.openxmlformats-officedocument.spreadsheetml.worksheet+xml" PartName="/xl/worksheets/sheet40998.xml"/>
  <Override ContentType="application/vnd.openxmlformats-officedocument.spreadsheetml.worksheet+xml" PartName="/xl/worksheets/sheet40999.xml"/>
  <Override ContentType="application/vnd.openxmlformats-officedocument.spreadsheetml.worksheet+xml" PartName="/xl/worksheets/sheet41000.xml"/>
  <Override ContentType="application/vnd.openxmlformats-officedocument.spreadsheetml.worksheet+xml" PartName="/xl/worksheets/sheet41001.xml"/>
  <Override ContentType="application/vnd.openxmlformats-officedocument.spreadsheetml.worksheet+xml" PartName="/xl/worksheets/sheet41002.xml"/>
  <Override ContentType="application/vnd.openxmlformats-officedocument.spreadsheetml.worksheet+xml" PartName="/xl/worksheets/sheet41003.xml"/>
  <Override ContentType="application/vnd.openxmlformats-officedocument.spreadsheetml.worksheet+xml" PartName="/xl/worksheets/sheet41004.xml"/>
  <Override ContentType="application/vnd.openxmlformats-officedocument.spreadsheetml.worksheet+xml" PartName="/xl/worksheets/sheet41005.xml"/>
  <Override ContentType="application/vnd.openxmlformats-officedocument.spreadsheetml.worksheet+xml" PartName="/xl/worksheets/sheet41006.xml"/>
  <Override ContentType="application/vnd.openxmlformats-officedocument.spreadsheetml.worksheet+xml" PartName="/xl/worksheets/sheet41007.xml"/>
  <Override ContentType="application/vnd.openxmlformats-officedocument.spreadsheetml.worksheet+xml" PartName="/xl/worksheets/sheet41008.xml"/>
  <Override ContentType="application/vnd.openxmlformats-officedocument.spreadsheetml.worksheet+xml" PartName="/xl/worksheets/sheet41009.xml"/>
  <Override ContentType="application/vnd.openxmlformats-officedocument.spreadsheetml.worksheet+xml" PartName="/xl/worksheets/sheet41010.xml"/>
  <Override ContentType="application/vnd.openxmlformats-officedocument.spreadsheetml.worksheet+xml" PartName="/xl/worksheets/sheet41011.xml"/>
  <Override ContentType="application/vnd.openxmlformats-officedocument.spreadsheetml.worksheet+xml" PartName="/xl/worksheets/sheet41012.xml"/>
  <Override ContentType="application/vnd.openxmlformats-officedocument.spreadsheetml.worksheet+xml" PartName="/xl/worksheets/sheet41013.xml"/>
  <Override ContentType="application/vnd.openxmlformats-officedocument.spreadsheetml.worksheet+xml" PartName="/xl/worksheets/sheet41014.xml"/>
  <Override ContentType="application/vnd.openxmlformats-officedocument.spreadsheetml.worksheet+xml" PartName="/xl/worksheets/sheet41015.xml"/>
  <Override ContentType="application/vnd.openxmlformats-officedocument.spreadsheetml.worksheet+xml" PartName="/xl/worksheets/sheet41016.xml"/>
  <Override ContentType="application/vnd.openxmlformats-officedocument.spreadsheetml.worksheet+xml" PartName="/xl/worksheets/sheet41017.xml"/>
  <Override ContentType="application/vnd.openxmlformats-officedocument.spreadsheetml.worksheet+xml" PartName="/xl/worksheets/sheet41018.xml"/>
  <Override ContentType="application/vnd.openxmlformats-officedocument.spreadsheetml.worksheet+xml" PartName="/xl/worksheets/sheet41019.xml"/>
  <Override ContentType="application/vnd.openxmlformats-officedocument.spreadsheetml.worksheet+xml" PartName="/xl/worksheets/sheet41020.xml"/>
  <Override ContentType="application/vnd.openxmlformats-officedocument.spreadsheetml.worksheet+xml" PartName="/xl/worksheets/sheet41021.xml"/>
  <Override ContentType="application/vnd.openxmlformats-officedocument.spreadsheetml.worksheet+xml" PartName="/xl/worksheets/sheet41022.xml"/>
  <Override ContentType="application/vnd.openxmlformats-officedocument.spreadsheetml.worksheet+xml" PartName="/xl/worksheets/sheet41023.xml"/>
  <Override ContentType="application/vnd.openxmlformats-officedocument.spreadsheetml.worksheet+xml" PartName="/xl/worksheets/sheet41024.xml"/>
  <Override ContentType="application/vnd.openxmlformats-officedocument.spreadsheetml.worksheet+xml" PartName="/xl/worksheets/sheet41025.xml"/>
  <Override ContentType="application/vnd.openxmlformats-officedocument.spreadsheetml.worksheet+xml" PartName="/xl/worksheets/sheet41026.xml"/>
  <Override ContentType="application/vnd.openxmlformats-officedocument.spreadsheetml.worksheet+xml" PartName="/xl/worksheets/sheet41027.xml"/>
  <Override ContentType="application/vnd.openxmlformats-officedocument.spreadsheetml.worksheet+xml" PartName="/xl/worksheets/sheet41028.xml"/>
  <Override ContentType="application/vnd.openxmlformats-officedocument.spreadsheetml.worksheet+xml" PartName="/xl/worksheets/sheet41029.xml"/>
  <Override ContentType="application/vnd.openxmlformats-officedocument.spreadsheetml.worksheet+xml" PartName="/xl/worksheets/sheet41030.xml"/>
  <Override ContentType="application/vnd.openxmlformats-officedocument.spreadsheetml.worksheet+xml" PartName="/xl/worksheets/sheet41031.xml"/>
  <Override ContentType="application/vnd.openxmlformats-officedocument.spreadsheetml.worksheet+xml" PartName="/xl/worksheets/sheet41032.xml"/>
  <Override ContentType="application/vnd.openxmlformats-officedocument.spreadsheetml.worksheet+xml" PartName="/xl/worksheets/sheet41033.xml"/>
  <Override ContentType="application/vnd.openxmlformats-officedocument.spreadsheetml.worksheet+xml" PartName="/xl/worksheets/sheet41034.xml"/>
  <Override ContentType="application/vnd.openxmlformats-officedocument.spreadsheetml.worksheet+xml" PartName="/xl/worksheets/sheet41035.xml"/>
  <Override ContentType="application/vnd.openxmlformats-officedocument.spreadsheetml.worksheet+xml" PartName="/xl/worksheets/sheet41036.xml"/>
  <Override ContentType="application/vnd.openxmlformats-officedocument.spreadsheetml.worksheet+xml" PartName="/xl/worksheets/sheet41037.xml"/>
  <Override ContentType="application/vnd.openxmlformats-officedocument.spreadsheetml.worksheet+xml" PartName="/xl/worksheets/sheet41038.xml"/>
  <Override ContentType="application/vnd.openxmlformats-officedocument.spreadsheetml.worksheet+xml" PartName="/xl/worksheets/sheet41039.xml"/>
  <Override ContentType="application/vnd.openxmlformats-officedocument.spreadsheetml.worksheet+xml" PartName="/xl/worksheets/sheet41040.xml"/>
  <Override ContentType="application/vnd.openxmlformats-officedocument.spreadsheetml.worksheet+xml" PartName="/xl/worksheets/sheet41041.xml"/>
  <Override ContentType="application/vnd.openxmlformats-officedocument.spreadsheetml.worksheet+xml" PartName="/xl/worksheets/sheet41042.xml"/>
  <Override ContentType="application/vnd.openxmlformats-officedocument.spreadsheetml.worksheet+xml" PartName="/xl/worksheets/sheet41043.xml"/>
  <Override ContentType="application/vnd.openxmlformats-officedocument.spreadsheetml.worksheet+xml" PartName="/xl/worksheets/sheet41044.xml"/>
  <Override ContentType="application/vnd.openxmlformats-officedocument.spreadsheetml.worksheet+xml" PartName="/xl/worksheets/sheet41045.xml"/>
  <Override ContentType="application/vnd.openxmlformats-officedocument.spreadsheetml.worksheet+xml" PartName="/xl/worksheets/sheet41046.xml"/>
  <Override ContentType="application/vnd.openxmlformats-officedocument.spreadsheetml.worksheet+xml" PartName="/xl/worksheets/sheet41047.xml"/>
  <Override ContentType="application/vnd.openxmlformats-officedocument.spreadsheetml.worksheet+xml" PartName="/xl/worksheets/sheet41048.xml"/>
  <Override ContentType="application/vnd.openxmlformats-officedocument.spreadsheetml.worksheet+xml" PartName="/xl/worksheets/sheet41049.xml"/>
  <Override ContentType="application/vnd.openxmlformats-officedocument.spreadsheetml.worksheet+xml" PartName="/xl/worksheets/sheet41050.xml"/>
  <Override ContentType="application/vnd.openxmlformats-officedocument.spreadsheetml.worksheet+xml" PartName="/xl/worksheets/sheet41051.xml"/>
  <Override ContentType="application/vnd.openxmlformats-officedocument.spreadsheetml.worksheet+xml" PartName="/xl/worksheets/sheet41052.xml"/>
  <Override ContentType="application/vnd.openxmlformats-officedocument.spreadsheetml.worksheet+xml" PartName="/xl/worksheets/sheet41053.xml"/>
  <Override ContentType="application/vnd.openxmlformats-officedocument.spreadsheetml.worksheet+xml" PartName="/xl/worksheets/sheet41054.xml"/>
  <Override ContentType="application/vnd.openxmlformats-officedocument.spreadsheetml.worksheet+xml" PartName="/xl/worksheets/sheet41055.xml"/>
  <Override ContentType="application/vnd.openxmlformats-officedocument.spreadsheetml.worksheet+xml" PartName="/xl/worksheets/sheet41056.xml"/>
  <Override ContentType="application/vnd.openxmlformats-officedocument.spreadsheetml.worksheet+xml" PartName="/xl/worksheets/sheet41057.xml"/>
  <Override ContentType="application/vnd.openxmlformats-officedocument.spreadsheetml.worksheet+xml" PartName="/xl/worksheets/sheet41058.xml"/>
  <Override ContentType="application/vnd.openxmlformats-officedocument.spreadsheetml.worksheet+xml" PartName="/xl/worksheets/sheet41059.xml"/>
  <Override ContentType="application/vnd.openxmlformats-officedocument.spreadsheetml.worksheet+xml" PartName="/xl/worksheets/sheet41060.xml"/>
  <Override ContentType="application/vnd.openxmlformats-officedocument.spreadsheetml.worksheet+xml" PartName="/xl/worksheets/sheet41061.xml"/>
  <Override ContentType="application/vnd.openxmlformats-officedocument.spreadsheetml.worksheet+xml" PartName="/xl/worksheets/sheet41062.xml"/>
  <Override ContentType="application/vnd.openxmlformats-officedocument.spreadsheetml.worksheet+xml" PartName="/xl/worksheets/sheet41063.xml"/>
  <Override ContentType="application/vnd.openxmlformats-officedocument.spreadsheetml.worksheet+xml" PartName="/xl/worksheets/sheet41064.xml"/>
  <Override ContentType="application/vnd.openxmlformats-officedocument.spreadsheetml.worksheet+xml" PartName="/xl/worksheets/sheet41065.xml"/>
  <Override ContentType="application/vnd.openxmlformats-officedocument.spreadsheetml.worksheet+xml" PartName="/xl/worksheets/sheet41066.xml"/>
  <Override ContentType="application/vnd.openxmlformats-officedocument.spreadsheetml.worksheet+xml" PartName="/xl/worksheets/sheet41067.xml"/>
  <Override ContentType="application/vnd.openxmlformats-officedocument.spreadsheetml.worksheet+xml" PartName="/xl/worksheets/sheet41068.xml"/>
  <Override ContentType="application/vnd.openxmlformats-officedocument.spreadsheetml.worksheet+xml" PartName="/xl/worksheets/sheet41069.xml"/>
  <Override ContentType="application/vnd.openxmlformats-officedocument.spreadsheetml.worksheet+xml" PartName="/xl/worksheets/sheet41070.xml"/>
  <Override ContentType="application/vnd.openxmlformats-officedocument.spreadsheetml.worksheet+xml" PartName="/xl/worksheets/sheet41071.xml"/>
  <Override ContentType="application/vnd.openxmlformats-officedocument.spreadsheetml.worksheet+xml" PartName="/xl/worksheets/sheet41072.xml"/>
  <Override ContentType="application/vnd.openxmlformats-officedocument.spreadsheetml.worksheet+xml" PartName="/xl/worksheets/sheet41073.xml"/>
  <Override ContentType="application/vnd.openxmlformats-officedocument.spreadsheetml.worksheet+xml" PartName="/xl/worksheets/sheet41074.xml"/>
  <Override ContentType="application/vnd.openxmlformats-officedocument.spreadsheetml.worksheet+xml" PartName="/xl/worksheets/sheet41075.xml"/>
  <Override ContentType="application/vnd.openxmlformats-officedocument.spreadsheetml.worksheet+xml" PartName="/xl/worksheets/sheet41076.xml"/>
  <Override ContentType="application/vnd.openxmlformats-officedocument.spreadsheetml.worksheet+xml" PartName="/xl/worksheets/sheet41077.xml"/>
  <Override ContentType="application/vnd.openxmlformats-officedocument.spreadsheetml.worksheet+xml" PartName="/xl/worksheets/sheet41078.xml"/>
  <Override ContentType="application/vnd.openxmlformats-officedocument.spreadsheetml.worksheet+xml" PartName="/xl/worksheets/sheet41079.xml"/>
  <Override ContentType="application/vnd.openxmlformats-officedocument.spreadsheetml.worksheet+xml" PartName="/xl/worksheets/sheet41080.xml"/>
  <Override ContentType="application/vnd.openxmlformats-officedocument.spreadsheetml.worksheet+xml" PartName="/xl/worksheets/sheet41081.xml"/>
  <Override ContentType="application/vnd.openxmlformats-officedocument.spreadsheetml.worksheet+xml" PartName="/xl/worksheets/sheet41082.xml"/>
  <Override ContentType="application/vnd.openxmlformats-officedocument.spreadsheetml.worksheet+xml" PartName="/xl/worksheets/sheet41083.xml"/>
  <Override ContentType="application/vnd.openxmlformats-officedocument.spreadsheetml.worksheet+xml" PartName="/xl/worksheets/sheet41084.xml"/>
  <Override ContentType="application/vnd.openxmlformats-officedocument.spreadsheetml.worksheet+xml" PartName="/xl/worksheets/sheet41085.xml"/>
  <Override ContentType="application/vnd.openxmlformats-officedocument.spreadsheetml.worksheet+xml" PartName="/xl/worksheets/sheet41086.xml"/>
  <Override ContentType="application/vnd.openxmlformats-officedocument.spreadsheetml.worksheet+xml" PartName="/xl/worksheets/sheet41087.xml"/>
  <Override ContentType="application/vnd.openxmlformats-officedocument.spreadsheetml.worksheet+xml" PartName="/xl/worksheets/sheet41088.xml"/>
  <Override ContentType="application/vnd.openxmlformats-officedocument.spreadsheetml.worksheet+xml" PartName="/xl/worksheets/sheet41089.xml"/>
  <Override ContentType="application/vnd.openxmlformats-officedocument.spreadsheetml.worksheet+xml" PartName="/xl/worksheets/sheet41090.xml"/>
  <Override ContentType="application/vnd.openxmlformats-officedocument.spreadsheetml.worksheet+xml" PartName="/xl/worksheets/sheet41091.xml"/>
  <Override ContentType="application/vnd.openxmlformats-officedocument.spreadsheetml.worksheet+xml" PartName="/xl/worksheets/sheet41092.xml"/>
  <Override ContentType="application/vnd.openxmlformats-officedocument.spreadsheetml.worksheet+xml" PartName="/xl/worksheets/sheet41093.xml"/>
  <Override ContentType="application/vnd.openxmlformats-officedocument.spreadsheetml.worksheet+xml" PartName="/xl/worksheets/sheet41094.xml"/>
  <Override ContentType="application/vnd.openxmlformats-officedocument.spreadsheetml.worksheet+xml" PartName="/xl/worksheets/sheet41095.xml"/>
  <Override ContentType="application/vnd.openxmlformats-officedocument.spreadsheetml.worksheet+xml" PartName="/xl/worksheets/sheet41096.xml"/>
  <Override ContentType="application/vnd.openxmlformats-officedocument.spreadsheetml.worksheet+xml" PartName="/xl/worksheets/sheet41097.xml"/>
  <Override ContentType="application/vnd.openxmlformats-officedocument.spreadsheetml.worksheet+xml" PartName="/xl/worksheets/sheet41098.xml"/>
  <Override ContentType="application/vnd.openxmlformats-officedocument.spreadsheetml.worksheet+xml" PartName="/xl/worksheets/sheet41099.xml"/>
  <Override ContentType="application/vnd.openxmlformats-officedocument.spreadsheetml.worksheet+xml" PartName="/xl/worksheets/sheet41100.xml"/>
  <Override ContentType="application/vnd.openxmlformats-officedocument.spreadsheetml.worksheet+xml" PartName="/xl/worksheets/sheet41101.xml"/>
  <Override ContentType="application/vnd.openxmlformats-officedocument.spreadsheetml.worksheet+xml" PartName="/xl/worksheets/sheet41102.xml"/>
  <Override ContentType="application/vnd.openxmlformats-officedocument.spreadsheetml.worksheet+xml" PartName="/xl/worksheets/sheet41103.xml"/>
  <Override ContentType="application/vnd.openxmlformats-officedocument.spreadsheetml.worksheet+xml" PartName="/xl/worksheets/sheet41104.xml"/>
  <Override ContentType="application/vnd.openxmlformats-officedocument.spreadsheetml.worksheet+xml" PartName="/xl/worksheets/sheet41105.xml"/>
  <Override ContentType="application/vnd.openxmlformats-officedocument.spreadsheetml.worksheet+xml" PartName="/xl/worksheets/sheet41106.xml"/>
  <Override ContentType="application/vnd.openxmlformats-officedocument.spreadsheetml.worksheet+xml" PartName="/xl/worksheets/sheet41107.xml"/>
  <Override ContentType="application/vnd.openxmlformats-officedocument.spreadsheetml.worksheet+xml" PartName="/xl/worksheets/sheet41108.xml"/>
  <Override ContentType="application/vnd.openxmlformats-officedocument.spreadsheetml.worksheet+xml" PartName="/xl/worksheets/sheet41109.xml"/>
  <Override ContentType="application/vnd.openxmlformats-officedocument.spreadsheetml.worksheet+xml" PartName="/xl/worksheets/sheet41110.xml"/>
  <Override ContentType="application/vnd.openxmlformats-officedocument.spreadsheetml.worksheet+xml" PartName="/xl/worksheets/sheet41111.xml"/>
  <Override ContentType="application/vnd.openxmlformats-officedocument.spreadsheetml.worksheet+xml" PartName="/xl/worksheets/sheet41112.xml"/>
  <Override ContentType="application/vnd.openxmlformats-officedocument.spreadsheetml.worksheet+xml" PartName="/xl/worksheets/sheet41113.xml"/>
  <Override ContentType="application/vnd.openxmlformats-officedocument.spreadsheetml.worksheet+xml" PartName="/xl/worksheets/sheet41114.xml"/>
  <Override ContentType="application/vnd.openxmlformats-officedocument.spreadsheetml.worksheet+xml" PartName="/xl/worksheets/sheet41115.xml"/>
  <Override ContentType="application/vnd.openxmlformats-officedocument.spreadsheetml.worksheet+xml" PartName="/xl/worksheets/sheet41116.xml"/>
  <Override ContentType="application/vnd.openxmlformats-officedocument.spreadsheetml.worksheet+xml" PartName="/xl/worksheets/sheet41117.xml"/>
  <Override ContentType="application/vnd.openxmlformats-officedocument.spreadsheetml.worksheet+xml" PartName="/xl/worksheets/sheet41118.xml"/>
  <Override ContentType="application/vnd.openxmlformats-officedocument.spreadsheetml.worksheet+xml" PartName="/xl/worksheets/sheet41119.xml"/>
  <Override ContentType="application/vnd.openxmlformats-officedocument.spreadsheetml.worksheet+xml" PartName="/xl/worksheets/sheet41120.xml"/>
  <Override ContentType="application/vnd.openxmlformats-officedocument.spreadsheetml.worksheet+xml" PartName="/xl/worksheets/sheet41121.xml"/>
  <Override ContentType="application/vnd.openxmlformats-officedocument.spreadsheetml.worksheet+xml" PartName="/xl/worksheets/sheet41122.xml"/>
  <Override ContentType="application/vnd.openxmlformats-officedocument.spreadsheetml.worksheet+xml" PartName="/xl/worksheets/sheet41123.xml"/>
  <Override ContentType="application/vnd.openxmlformats-officedocument.spreadsheetml.worksheet+xml" PartName="/xl/worksheets/sheet41124.xml"/>
  <Override ContentType="application/vnd.openxmlformats-officedocument.spreadsheetml.worksheet+xml" PartName="/xl/worksheets/sheet41125.xml"/>
  <Override ContentType="application/vnd.openxmlformats-officedocument.spreadsheetml.worksheet+xml" PartName="/xl/worksheets/sheet41126.xml"/>
  <Override ContentType="application/vnd.openxmlformats-officedocument.spreadsheetml.worksheet+xml" PartName="/xl/worksheets/sheet41127.xml"/>
  <Override ContentType="application/vnd.openxmlformats-officedocument.spreadsheetml.worksheet+xml" PartName="/xl/worksheets/sheet41128.xml"/>
  <Override ContentType="application/vnd.openxmlformats-officedocument.spreadsheetml.worksheet+xml" PartName="/xl/worksheets/sheet41129.xml"/>
  <Override ContentType="application/vnd.openxmlformats-officedocument.spreadsheetml.worksheet+xml" PartName="/xl/worksheets/sheet41130.xml"/>
  <Override ContentType="application/vnd.openxmlformats-officedocument.spreadsheetml.worksheet+xml" PartName="/xl/worksheets/sheet41131.xml"/>
  <Override ContentType="application/vnd.openxmlformats-officedocument.spreadsheetml.worksheet+xml" PartName="/xl/worksheets/sheet41132.xml"/>
  <Override ContentType="application/vnd.openxmlformats-officedocument.spreadsheetml.worksheet+xml" PartName="/xl/worksheets/sheet41133.xml"/>
  <Override ContentType="application/vnd.openxmlformats-officedocument.spreadsheetml.worksheet+xml" PartName="/xl/worksheets/sheet41134.xml"/>
  <Override ContentType="application/vnd.openxmlformats-officedocument.spreadsheetml.worksheet+xml" PartName="/xl/worksheets/sheet41135.xml"/>
  <Override ContentType="application/vnd.openxmlformats-officedocument.spreadsheetml.worksheet+xml" PartName="/xl/worksheets/sheet41136.xml"/>
  <Override ContentType="application/vnd.openxmlformats-officedocument.spreadsheetml.worksheet+xml" PartName="/xl/worksheets/sheet41137.xml"/>
  <Override ContentType="application/vnd.openxmlformats-officedocument.spreadsheetml.worksheet+xml" PartName="/xl/worksheets/sheet41138.xml"/>
  <Override ContentType="application/vnd.openxmlformats-officedocument.spreadsheetml.worksheet+xml" PartName="/xl/worksheets/sheet41139.xml"/>
  <Override ContentType="application/vnd.openxmlformats-officedocument.spreadsheetml.worksheet+xml" PartName="/xl/worksheets/sheet41140.xml"/>
  <Override ContentType="application/vnd.openxmlformats-officedocument.spreadsheetml.worksheet+xml" PartName="/xl/worksheets/sheet41141.xml"/>
  <Override ContentType="application/vnd.openxmlformats-officedocument.spreadsheetml.worksheet+xml" PartName="/xl/worksheets/sheet41142.xml"/>
  <Override ContentType="application/vnd.openxmlformats-officedocument.spreadsheetml.worksheet+xml" PartName="/xl/worksheets/sheet41143.xml"/>
  <Override ContentType="application/vnd.openxmlformats-officedocument.spreadsheetml.worksheet+xml" PartName="/xl/worksheets/sheet41144.xml"/>
  <Override ContentType="application/vnd.openxmlformats-officedocument.spreadsheetml.worksheet+xml" PartName="/xl/worksheets/sheet41145.xml"/>
  <Override ContentType="application/vnd.openxmlformats-officedocument.spreadsheetml.worksheet+xml" PartName="/xl/worksheets/sheet41146.xml"/>
  <Override ContentType="application/vnd.openxmlformats-officedocument.spreadsheetml.worksheet+xml" PartName="/xl/worksheets/sheet41147.xml"/>
  <Override ContentType="application/vnd.openxmlformats-officedocument.spreadsheetml.worksheet+xml" PartName="/xl/worksheets/sheet41148.xml"/>
  <Override ContentType="application/vnd.openxmlformats-officedocument.spreadsheetml.worksheet+xml" PartName="/xl/worksheets/sheet41149.xml"/>
  <Override ContentType="application/vnd.openxmlformats-officedocument.spreadsheetml.worksheet+xml" PartName="/xl/worksheets/sheet41150.xml"/>
  <Override ContentType="application/vnd.openxmlformats-officedocument.spreadsheetml.worksheet+xml" PartName="/xl/worksheets/sheet41151.xml"/>
  <Override ContentType="application/vnd.openxmlformats-officedocument.spreadsheetml.worksheet+xml" PartName="/xl/worksheets/sheet41152.xml"/>
  <Override ContentType="application/vnd.openxmlformats-officedocument.spreadsheetml.worksheet+xml" PartName="/xl/worksheets/sheet41153.xml"/>
  <Override ContentType="application/vnd.openxmlformats-officedocument.spreadsheetml.worksheet+xml" PartName="/xl/worksheets/sheet41154.xml"/>
  <Override ContentType="application/vnd.openxmlformats-officedocument.spreadsheetml.worksheet+xml" PartName="/xl/worksheets/sheet41155.xml"/>
  <Override ContentType="application/vnd.openxmlformats-officedocument.spreadsheetml.worksheet+xml" PartName="/xl/worksheets/sheet41156.xml"/>
  <Override ContentType="application/vnd.openxmlformats-officedocument.spreadsheetml.worksheet+xml" PartName="/xl/worksheets/sheet41157.xml"/>
  <Override ContentType="application/vnd.openxmlformats-officedocument.spreadsheetml.worksheet+xml" PartName="/xl/worksheets/sheet41158.xml"/>
  <Override ContentType="application/vnd.openxmlformats-officedocument.spreadsheetml.worksheet+xml" PartName="/xl/worksheets/sheet41159.xml"/>
  <Override ContentType="application/vnd.openxmlformats-officedocument.spreadsheetml.worksheet+xml" PartName="/xl/worksheets/sheet41160.xml"/>
  <Override ContentType="application/vnd.openxmlformats-officedocument.spreadsheetml.worksheet+xml" PartName="/xl/worksheets/sheet41161.xml"/>
  <Override ContentType="application/vnd.openxmlformats-officedocument.spreadsheetml.worksheet+xml" PartName="/xl/worksheets/sheet41162.xml"/>
  <Override ContentType="application/vnd.openxmlformats-officedocument.spreadsheetml.worksheet+xml" PartName="/xl/worksheets/sheet41163.xml"/>
  <Override ContentType="application/vnd.openxmlformats-officedocument.spreadsheetml.worksheet+xml" PartName="/xl/worksheets/sheet41164.xml"/>
  <Override ContentType="application/vnd.openxmlformats-officedocument.spreadsheetml.worksheet+xml" PartName="/xl/worksheets/sheet41165.xml"/>
  <Override ContentType="application/vnd.openxmlformats-officedocument.spreadsheetml.worksheet+xml" PartName="/xl/worksheets/sheet41166.xml"/>
  <Override ContentType="application/vnd.openxmlformats-officedocument.spreadsheetml.worksheet+xml" PartName="/xl/worksheets/sheet41167.xml"/>
  <Override ContentType="application/vnd.openxmlformats-officedocument.spreadsheetml.worksheet+xml" PartName="/xl/worksheets/sheet41168.xml"/>
  <Override ContentType="application/vnd.openxmlformats-officedocument.spreadsheetml.worksheet+xml" PartName="/xl/worksheets/sheet41169.xml"/>
  <Override ContentType="application/vnd.openxmlformats-officedocument.spreadsheetml.worksheet+xml" PartName="/xl/worksheets/sheet41170.xml"/>
  <Override ContentType="application/vnd.openxmlformats-officedocument.spreadsheetml.worksheet+xml" PartName="/xl/worksheets/sheet41171.xml"/>
  <Override ContentType="application/vnd.openxmlformats-officedocument.spreadsheetml.worksheet+xml" PartName="/xl/worksheets/sheet41172.xml"/>
  <Override ContentType="application/vnd.openxmlformats-officedocument.spreadsheetml.worksheet+xml" PartName="/xl/worksheets/sheet41173.xml"/>
  <Override ContentType="application/vnd.openxmlformats-officedocument.spreadsheetml.worksheet+xml" PartName="/xl/worksheets/sheet41174.xml"/>
  <Override ContentType="application/vnd.openxmlformats-officedocument.spreadsheetml.worksheet+xml" PartName="/xl/worksheets/sheet41175.xml"/>
  <Override ContentType="application/vnd.openxmlformats-officedocument.spreadsheetml.worksheet+xml" PartName="/xl/worksheets/sheet41176.xml"/>
  <Override ContentType="application/vnd.openxmlformats-officedocument.spreadsheetml.worksheet+xml" PartName="/xl/worksheets/sheet41177.xml"/>
  <Override ContentType="application/vnd.openxmlformats-officedocument.spreadsheetml.worksheet+xml" PartName="/xl/worksheets/sheet41178.xml"/>
  <Override ContentType="application/vnd.openxmlformats-officedocument.spreadsheetml.worksheet+xml" PartName="/xl/worksheets/sheet41179.xml"/>
  <Override ContentType="application/vnd.openxmlformats-officedocument.spreadsheetml.worksheet+xml" PartName="/xl/worksheets/sheet41180.xml"/>
  <Override ContentType="application/vnd.openxmlformats-officedocument.spreadsheetml.worksheet+xml" PartName="/xl/worksheets/sheet41181.xml"/>
  <Override ContentType="application/vnd.openxmlformats-officedocument.spreadsheetml.worksheet+xml" PartName="/xl/worksheets/sheet41182.xml"/>
  <Override ContentType="application/vnd.openxmlformats-officedocument.spreadsheetml.worksheet+xml" PartName="/xl/worksheets/sheet41183.xml"/>
  <Override ContentType="application/vnd.openxmlformats-officedocument.spreadsheetml.worksheet+xml" PartName="/xl/worksheets/sheet41184.xml"/>
  <Override ContentType="application/vnd.openxmlformats-officedocument.spreadsheetml.worksheet+xml" PartName="/xl/worksheets/sheet41185.xml"/>
  <Override ContentType="application/vnd.openxmlformats-officedocument.spreadsheetml.worksheet+xml" PartName="/xl/worksheets/sheet41186.xml"/>
  <Override ContentType="application/vnd.openxmlformats-officedocument.spreadsheetml.worksheet+xml" PartName="/xl/worksheets/sheet41187.xml"/>
  <Override ContentType="application/vnd.openxmlformats-officedocument.spreadsheetml.worksheet+xml" PartName="/xl/worksheets/sheet41188.xml"/>
  <Override ContentType="application/vnd.openxmlformats-officedocument.spreadsheetml.worksheet+xml" PartName="/xl/worksheets/sheet41189.xml"/>
  <Override ContentType="application/vnd.openxmlformats-officedocument.spreadsheetml.worksheet+xml" PartName="/xl/worksheets/sheet41190.xml"/>
  <Override ContentType="application/vnd.openxmlformats-officedocument.spreadsheetml.worksheet+xml" PartName="/xl/worksheets/sheet41191.xml"/>
  <Override ContentType="application/vnd.openxmlformats-officedocument.spreadsheetml.worksheet+xml" PartName="/xl/worksheets/sheet41192.xml"/>
  <Override ContentType="application/vnd.openxmlformats-officedocument.spreadsheetml.worksheet+xml" PartName="/xl/worksheets/sheet41193.xml"/>
  <Override ContentType="application/vnd.openxmlformats-officedocument.spreadsheetml.worksheet+xml" PartName="/xl/worksheets/sheet41194.xml"/>
  <Override ContentType="application/vnd.openxmlformats-officedocument.spreadsheetml.worksheet+xml" PartName="/xl/worksheets/sheet41195.xml"/>
  <Override ContentType="application/vnd.openxmlformats-officedocument.spreadsheetml.worksheet+xml" PartName="/xl/worksheets/sheet41196.xml"/>
  <Override ContentType="application/vnd.openxmlformats-officedocument.spreadsheetml.worksheet+xml" PartName="/xl/worksheets/sheet41197.xml"/>
  <Override ContentType="application/vnd.openxmlformats-officedocument.spreadsheetml.worksheet+xml" PartName="/xl/worksheets/sheet41198.xml"/>
  <Override ContentType="application/vnd.openxmlformats-officedocument.spreadsheetml.worksheet+xml" PartName="/xl/worksheets/sheet41199.xml"/>
  <Override ContentType="application/vnd.openxmlformats-officedocument.spreadsheetml.worksheet+xml" PartName="/xl/worksheets/sheet41200.xml"/>
  <Override ContentType="application/vnd.openxmlformats-officedocument.spreadsheetml.worksheet+xml" PartName="/xl/worksheets/sheet41201.xml"/>
  <Override ContentType="application/vnd.openxmlformats-officedocument.spreadsheetml.worksheet+xml" PartName="/xl/worksheets/sheet41202.xml"/>
  <Override ContentType="application/vnd.openxmlformats-officedocument.spreadsheetml.worksheet+xml" PartName="/xl/worksheets/sheet41203.xml"/>
  <Override ContentType="application/vnd.openxmlformats-officedocument.spreadsheetml.worksheet+xml" PartName="/xl/worksheets/sheet41204.xml"/>
  <Override ContentType="application/vnd.openxmlformats-officedocument.spreadsheetml.worksheet+xml" PartName="/xl/worksheets/sheet41205.xml"/>
  <Override ContentType="application/vnd.openxmlformats-officedocument.spreadsheetml.worksheet+xml" PartName="/xl/worksheets/sheet41206.xml"/>
  <Override ContentType="application/vnd.openxmlformats-officedocument.spreadsheetml.worksheet+xml" PartName="/xl/worksheets/sheet41207.xml"/>
  <Override ContentType="application/vnd.openxmlformats-officedocument.spreadsheetml.worksheet+xml" PartName="/xl/worksheets/sheet41208.xml"/>
  <Override ContentType="application/vnd.openxmlformats-officedocument.spreadsheetml.worksheet+xml" PartName="/xl/worksheets/sheet41209.xml"/>
  <Override ContentType="application/vnd.openxmlformats-officedocument.spreadsheetml.worksheet+xml" PartName="/xl/worksheets/sheet41210.xml"/>
  <Override ContentType="application/vnd.openxmlformats-officedocument.spreadsheetml.worksheet+xml" PartName="/xl/worksheets/sheet41211.xml"/>
  <Override ContentType="application/vnd.openxmlformats-officedocument.spreadsheetml.worksheet+xml" PartName="/xl/worksheets/sheet41212.xml"/>
  <Override ContentType="application/vnd.openxmlformats-officedocument.spreadsheetml.worksheet+xml" PartName="/xl/worksheets/sheet41213.xml"/>
  <Override ContentType="application/vnd.openxmlformats-officedocument.spreadsheetml.worksheet+xml" PartName="/xl/worksheets/sheet41214.xml"/>
  <Override ContentType="application/vnd.openxmlformats-officedocument.spreadsheetml.worksheet+xml" PartName="/xl/worksheets/sheet41215.xml"/>
  <Override ContentType="application/vnd.openxmlformats-officedocument.spreadsheetml.worksheet+xml" PartName="/xl/worksheets/sheet41216.xml"/>
  <Override ContentType="application/vnd.openxmlformats-officedocument.spreadsheetml.worksheet+xml" PartName="/xl/worksheets/sheet41217.xml"/>
  <Override ContentType="application/vnd.openxmlformats-officedocument.spreadsheetml.worksheet+xml" PartName="/xl/worksheets/sheet41218.xml"/>
  <Override ContentType="application/vnd.openxmlformats-officedocument.spreadsheetml.worksheet+xml" PartName="/xl/worksheets/sheet41219.xml"/>
  <Override ContentType="application/vnd.openxmlformats-officedocument.spreadsheetml.worksheet+xml" PartName="/xl/worksheets/sheet41220.xml"/>
  <Override ContentType="application/vnd.openxmlformats-officedocument.spreadsheetml.worksheet+xml" PartName="/xl/worksheets/sheet41221.xml"/>
  <Override ContentType="application/vnd.openxmlformats-officedocument.spreadsheetml.worksheet+xml" PartName="/xl/worksheets/sheet41222.xml"/>
  <Override ContentType="application/vnd.openxmlformats-officedocument.spreadsheetml.worksheet+xml" PartName="/xl/worksheets/sheet41223.xml"/>
  <Override ContentType="application/vnd.openxmlformats-officedocument.spreadsheetml.worksheet+xml" PartName="/xl/worksheets/sheet41224.xml"/>
  <Override ContentType="application/vnd.openxmlformats-officedocument.spreadsheetml.worksheet+xml" PartName="/xl/worksheets/sheet41225.xml"/>
  <Override ContentType="application/vnd.openxmlformats-officedocument.spreadsheetml.worksheet+xml" PartName="/xl/worksheets/sheet41226.xml"/>
  <Override ContentType="application/vnd.openxmlformats-officedocument.spreadsheetml.worksheet+xml" PartName="/xl/worksheets/sheet41227.xml"/>
  <Override ContentType="application/vnd.openxmlformats-officedocument.spreadsheetml.worksheet+xml" PartName="/xl/worksheets/sheet41228.xml"/>
  <Override ContentType="application/vnd.openxmlformats-officedocument.spreadsheetml.worksheet+xml" PartName="/xl/worksheets/sheet41229.xml"/>
  <Override ContentType="application/vnd.openxmlformats-officedocument.spreadsheetml.worksheet+xml" PartName="/xl/worksheets/sheet41230.xml"/>
  <Override ContentType="application/vnd.openxmlformats-officedocument.spreadsheetml.worksheet+xml" PartName="/xl/worksheets/sheet41231.xml"/>
  <Override ContentType="application/vnd.openxmlformats-officedocument.spreadsheetml.worksheet+xml" PartName="/xl/worksheets/sheet41232.xml"/>
  <Override ContentType="application/vnd.openxmlformats-officedocument.spreadsheetml.worksheet+xml" PartName="/xl/worksheets/sheet41233.xml"/>
  <Override ContentType="application/vnd.openxmlformats-officedocument.spreadsheetml.worksheet+xml" PartName="/xl/worksheets/sheet41234.xml"/>
  <Override ContentType="application/vnd.openxmlformats-officedocument.spreadsheetml.worksheet+xml" PartName="/xl/worksheets/sheet41235.xml"/>
  <Override ContentType="application/vnd.openxmlformats-officedocument.spreadsheetml.worksheet+xml" PartName="/xl/worksheets/sheet41236.xml"/>
  <Override ContentType="application/vnd.openxmlformats-officedocument.spreadsheetml.worksheet+xml" PartName="/xl/worksheets/sheet41237.xml"/>
  <Override ContentType="application/vnd.openxmlformats-officedocument.spreadsheetml.worksheet+xml" PartName="/xl/worksheets/sheet41238.xml"/>
  <Override ContentType="application/vnd.openxmlformats-officedocument.spreadsheetml.worksheet+xml" PartName="/xl/worksheets/sheet41239.xml"/>
  <Override ContentType="application/vnd.openxmlformats-officedocument.spreadsheetml.worksheet+xml" PartName="/xl/worksheets/sheet41240.xml"/>
  <Override ContentType="application/vnd.openxmlformats-officedocument.spreadsheetml.worksheet+xml" PartName="/xl/worksheets/sheet41241.xml"/>
  <Override ContentType="application/vnd.openxmlformats-officedocument.spreadsheetml.worksheet+xml" PartName="/xl/worksheets/sheet41242.xml"/>
  <Override ContentType="application/vnd.openxmlformats-officedocument.spreadsheetml.worksheet+xml" PartName="/xl/worksheets/sheet41243.xml"/>
  <Override ContentType="application/vnd.openxmlformats-officedocument.spreadsheetml.worksheet+xml" PartName="/xl/worksheets/sheet41244.xml"/>
  <Override ContentType="application/vnd.openxmlformats-officedocument.spreadsheetml.worksheet+xml" PartName="/xl/worksheets/sheet41245.xml"/>
  <Override ContentType="application/vnd.openxmlformats-officedocument.spreadsheetml.worksheet+xml" PartName="/xl/worksheets/sheet41246.xml"/>
  <Override ContentType="application/vnd.openxmlformats-officedocument.spreadsheetml.worksheet+xml" PartName="/xl/worksheets/sheet41247.xml"/>
  <Override ContentType="application/vnd.openxmlformats-officedocument.spreadsheetml.worksheet+xml" PartName="/xl/worksheets/sheet41248.xml"/>
  <Override ContentType="application/vnd.openxmlformats-officedocument.spreadsheetml.worksheet+xml" PartName="/xl/worksheets/sheet41249.xml"/>
  <Override ContentType="application/vnd.openxmlformats-officedocument.spreadsheetml.worksheet+xml" PartName="/xl/worksheets/sheet41250.xml"/>
  <Override ContentType="application/vnd.openxmlformats-officedocument.spreadsheetml.worksheet+xml" PartName="/xl/worksheets/sheet41251.xml"/>
  <Override ContentType="application/vnd.openxmlformats-officedocument.spreadsheetml.worksheet+xml" PartName="/xl/worksheets/sheet41252.xml"/>
  <Override ContentType="application/vnd.openxmlformats-officedocument.spreadsheetml.worksheet+xml" PartName="/xl/worksheets/sheet41253.xml"/>
  <Override ContentType="application/vnd.openxmlformats-officedocument.spreadsheetml.worksheet+xml" PartName="/xl/worksheets/sheet41254.xml"/>
  <Override ContentType="application/vnd.openxmlformats-officedocument.spreadsheetml.worksheet+xml" PartName="/xl/worksheets/sheet41255.xml"/>
  <Override ContentType="application/vnd.openxmlformats-officedocument.spreadsheetml.worksheet+xml" PartName="/xl/worksheets/sheet41256.xml"/>
  <Override ContentType="application/vnd.openxmlformats-officedocument.spreadsheetml.worksheet+xml" PartName="/xl/worksheets/sheet41257.xml"/>
  <Override ContentType="application/vnd.openxmlformats-officedocument.spreadsheetml.worksheet+xml" PartName="/xl/worksheets/sheet41258.xml"/>
  <Override ContentType="application/vnd.openxmlformats-officedocument.spreadsheetml.worksheet+xml" PartName="/xl/worksheets/sheet41259.xml"/>
  <Override ContentType="application/vnd.openxmlformats-officedocument.spreadsheetml.worksheet+xml" PartName="/xl/worksheets/sheet41260.xml"/>
  <Override ContentType="application/vnd.openxmlformats-officedocument.spreadsheetml.worksheet+xml" PartName="/xl/worksheets/sheet41261.xml"/>
  <Override ContentType="application/vnd.openxmlformats-officedocument.spreadsheetml.worksheet+xml" PartName="/xl/worksheets/sheet41262.xml"/>
  <Override ContentType="application/vnd.openxmlformats-officedocument.spreadsheetml.worksheet+xml" PartName="/xl/worksheets/sheet41263.xml"/>
  <Override ContentType="application/vnd.openxmlformats-officedocument.spreadsheetml.worksheet+xml" PartName="/xl/worksheets/sheet41264.xml"/>
  <Override ContentType="application/vnd.openxmlformats-officedocument.spreadsheetml.worksheet+xml" PartName="/xl/worksheets/sheet41265.xml"/>
  <Override ContentType="application/vnd.openxmlformats-officedocument.spreadsheetml.worksheet+xml" PartName="/xl/worksheets/sheet41266.xml"/>
  <Override ContentType="application/vnd.openxmlformats-officedocument.spreadsheetml.worksheet+xml" PartName="/xl/worksheets/sheet41267.xml"/>
  <Override ContentType="application/vnd.openxmlformats-officedocument.spreadsheetml.worksheet+xml" PartName="/xl/worksheets/sheet41268.xml"/>
  <Override ContentType="application/vnd.openxmlformats-officedocument.spreadsheetml.worksheet+xml" PartName="/xl/worksheets/sheet41269.xml"/>
  <Override ContentType="application/vnd.openxmlformats-officedocument.spreadsheetml.worksheet+xml" PartName="/xl/worksheets/sheet41270.xml"/>
  <Override ContentType="application/vnd.openxmlformats-officedocument.spreadsheetml.worksheet+xml" PartName="/xl/worksheets/sheet41271.xml"/>
  <Override ContentType="application/vnd.openxmlformats-officedocument.spreadsheetml.worksheet+xml" PartName="/xl/worksheets/sheet41272.xml"/>
  <Override ContentType="application/vnd.openxmlformats-officedocument.spreadsheetml.worksheet+xml" PartName="/xl/worksheets/sheet41273.xml"/>
  <Override ContentType="application/vnd.openxmlformats-officedocument.spreadsheetml.worksheet+xml" PartName="/xl/worksheets/sheet41274.xml"/>
  <Override ContentType="application/vnd.openxmlformats-officedocument.spreadsheetml.worksheet+xml" PartName="/xl/worksheets/sheet41275.xml"/>
  <Override ContentType="application/vnd.openxmlformats-officedocument.spreadsheetml.worksheet+xml" PartName="/xl/worksheets/sheet41276.xml"/>
  <Override ContentType="application/vnd.openxmlformats-officedocument.spreadsheetml.worksheet+xml" PartName="/xl/worksheets/sheet41277.xml"/>
  <Override ContentType="application/vnd.openxmlformats-officedocument.spreadsheetml.worksheet+xml" PartName="/xl/worksheets/sheet41278.xml"/>
  <Override ContentType="application/vnd.openxmlformats-officedocument.spreadsheetml.worksheet+xml" PartName="/xl/worksheets/sheet41279.xml"/>
  <Override ContentType="application/vnd.openxmlformats-officedocument.spreadsheetml.worksheet+xml" PartName="/xl/worksheets/sheet41280.xml"/>
  <Override ContentType="application/vnd.openxmlformats-officedocument.spreadsheetml.worksheet+xml" PartName="/xl/worksheets/sheet41281.xml"/>
  <Override ContentType="application/vnd.openxmlformats-officedocument.spreadsheetml.worksheet+xml" PartName="/xl/worksheets/sheet41282.xml"/>
  <Override ContentType="application/vnd.openxmlformats-officedocument.spreadsheetml.worksheet+xml" PartName="/xl/worksheets/sheet41283.xml"/>
  <Override ContentType="application/vnd.openxmlformats-officedocument.spreadsheetml.worksheet+xml" PartName="/xl/worksheets/sheet41284.xml"/>
  <Override ContentType="application/vnd.openxmlformats-officedocument.spreadsheetml.worksheet+xml" PartName="/xl/worksheets/sheet41285.xml"/>
  <Override ContentType="application/vnd.openxmlformats-officedocument.spreadsheetml.worksheet+xml" PartName="/xl/worksheets/sheet41286.xml"/>
  <Override ContentType="application/vnd.openxmlformats-officedocument.spreadsheetml.worksheet+xml" PartName="/xl/worksheets/sheet41287.xml"/>
  <Override ContentType="application/vnd.openxmlformats-officedocument.spreadsheetml.worksheet+xml" PartName="/xl/worksheets/sheet41288.xml"/>
  <Override ContentType="application/vnd.openxmlformats-officedocument.spreadsheetml.worksheet+xml" PartName="/xl/worksheets/sheet41289.xml"/>
  <Override ContentType="application/vnd.openxmlformats-officedocument.spreadsheetml.worksheet+xml" PartName="/xl/worksheets/sheet41290.xml"/>
  <Override ContentType="application/vnd.openxmlformats-officedocument.spreadsheetml.worksheet+xml" PartName="/xl/worksheets/sheet41291.xml"/>
  <Override ContentType="application/vnd.openxmlformats-officedocument.spreadsheetml.worksheet+xml" PartName="/xl/worksheets/sheet41292.xml"/>
  <Override ContentType="application/vnd.openxmlformats-officedocument.spreadsheetml.worksheet+xml" PartName="/xl/worksheets/sheet41293.xml"/>
  <Override ContentType="application/vnd.openxmlformats-officedocument.spreadsheetml.worksheet+xml" PartName="/xl/worksheets/sheet41294.xml"/>
  <Override ContentType="application/vnd.openxmlformats-officedocument.spreadsheetml.worksheet+xml" PartName="/xl/worksheets/sheet41295.xml"/>
  <Override ContentType="application/vnd.openxmlformats-officedocument.spreadsheetml.worksheet+xml" PartName="/xl/worksheets/sheet41296.xml"/>
  <Override ContentType="application/vnd.openxmlformats-officedocument.spreadsheetml.worksheet+xml" PartName="/xl/worksheets/sheet41297.xml"/>
  <Override ContentType="application/vnd.openxmlformats-officedocument.spreadsheetml.worksheet+xml" PartName="/xl/worksheets/sheet41298.xml"/>
  <Override ContentType="application/vnd.openxmlformats-officedocument.spreadsheetml.worksheet+xml" PartName="/xl/worksheets/sheet41299.xml"/>
  <Override ContentType="application/vnd.openxmlformats-officedocument.spreadsheetml.worksheet+xml" PartName="/xl/worksheets/sheet41300.xml"/>
  <Override ContentType="application/vnd.openxmlformats-officedocument.spreadsheetml.worksheet+xml" PartName="/xl/worksheets/sheet41301.xml"/>
  <Override ContentType="application/vnd.openxmlformats-officedocument.spreadsheetml.worksheet+xml" PartName="/xl/worksheets/sheet41302.xml"/>
  <Override ContentType="application/vnd.openxmlformats-officedocument.spreadsheetml.worksheet+xml" PartName="/xl/worksheets/sheet41303.xml"/>
  <Override ContentType="application/vnd.openxmlformats-officedocument.spreadsheetml.worksheet+xml" PartName="/xl/worksheets/sheet41304.xml"/>
  <Override ContentType="application/vnd.openxmlformats-officedocument.spreadsheetml.worksheet+xml" PartName="/xl/worksheets/sheet41305.xml"/>
  <Override ContentType="application/vnd.openxmlformats-officedocument.spreadsheetml.worksheet+xml" PartName="/xl/worksheets/sheet41306.xml"/>
  <Override ContentType="application/vnd.openxmlformats-officedocument.spreadsheetml.worksheet+xml" PartName="/xl/worksheets/sheet41307.xml"/>
  <Override ContentType="application/vnd.openxmlformats-officedocument.spreadsheetml.worksheet+xml" PartName="/xl/worksheets/sheet41308.xml"/>
  <Override ContentType="application/vnd.openxmlformats-officedocument.spreadsheetml.worksheet+xml" PartName="/xl/worksheets/sheet41309.xml"/>
  <Override ContentType="application/vnd.openxmlformats-officedocument.spreadsheetml.worksheet+xml" PartName="/xl/worksheets/sheet41310.xml"/>
  <Override ContentType="application/vnd.openxmlformats-officedocument.spreadsheetml.worksheet+xml" PartName="/xl/worksheets/sheet41311.xml"/>
  <Override ContentType="application/vnd.openxmlformats-officedocument.spreadsheetml.worksheet+xml" PartName="/xl/worksheets/sheet41312.xml"/>
  <Override ContentType="application/vnd.openxmlformats-officedocument.spreadsheetml.worksheet+xml" PartName="/xl/worksheets/sheet41313.xml"/>
  <Override ContentType="application/vnd.openxmlformats-officedocument.spreadsheetml.worksheet+xml" PartName="/xl/worksheets/sheet41314.xml"/>
  <Override ContentType="application/vnd.openxmlformats-officedocument.spreadsheetml.worksheet+xml" PartName="/xl/worksheets/sheet41315.xml"/>
  <Override ContentType="application/vnd.openxmlformats-officedocument.spreadsheetml.worksheet+xml" PartName="/xl/worksheets/sheet41316.xml"/>
  <Override ContentType="application/vnd.openxmlformats-officedocument.spreadsheetml.worksheet+xml" PartName="/xl/worksheets/sheet41317.xml"/>
  <Override ContentType="application/vnd.openxmlformats-officedocument.spreadsheetml.worksheet+xml" PartName="/xl/worksheets/sheet41318.xml"/>
  <Override ContentType="application/vnd.openxmlformats-officedocument.spreadsheetml.worksheet+xml" PartName="/xl/worksheets/sheet41319.xml"/>
  <Override ContentType="application/vnd.openxmlformats-officedocument.spreadsheetml.worksheet+xml" PartName="/xl/worksheets/sheet41320.xml"/>
  <Override ContentType="application/vnd.openxmlformats-officedocument.spreadsheetml.worksheet+xml" PartName="/xl/worksheets/sheet41321.xml"/>
  <Override ContentType="application/vnd.openxmlformats-officedocument.spreadsheetml.worksheet+xml" PartName="/xl/worksheets/sheet41322.xml"/>
  <Override ContentType="application/vnd.openxmlformats-officedocument.spreadsheetml.worksheet+xml" PartName="/xl/worksheets/sheet41323.xml"/>
  <Override ContentType="application/vnd.openxmlformats-officedocument.spreadsheetml.worksheet+xml" PartName="/xl/worksheets/sheet41324.xml"/>
  <Override ContentType="application/vnd.openxmlformats-officedocument.spreadsheetml.worksheet+xml" PartName="/xl/worksheets/sheet41325.xml"/>
  <Override ContentType="application/vnd.openxmlformats-officedocument.spreadsheetml.worksheet+xml" PartName="/xl/worksheets/sheet41326.xml"/>
  <Override ContentType="application/vnd.openxmlformats-officedocument.spreadsheetml.worksheet+xml" PartName="/xl/worksheets/sheet41327.xml"/>
  <Override ContentType="application/vnd.openxmlformats-officedocument.spreadsheetml.worksheet+xml" PartName="/xl/worksheets/sheet41328.xml"/>
  <Override ContentType="application/vnd.openxmlformats-officedocument.spreadsheetml.worksheet+xml" PartName="/xl/worksheets/sheet41329.xml"/>
  <Override ContentType="application/vnd.openxmlformats-officedocument.spreadsheetml.worksheet+xml" PartName="/xl/worksheets/sheet41330.xml"/>
  <Override ContentType="application/vnd.openxmlformats-officedocument.spreadsheetml.worksheet+xml" PartName="/xl/worksheets/sheet41331.xml"/>
  <Override ContentType="application/vnd.openxmlformats-officedocument.spreadsheetml.worksheet+xml" PartName="/xl/worksheets/sheet41332.xml"/>
  <Override ContentType="application/vnd.openxmlformats-officedocument.spreadsheetml.worksheet+xml" PartName="/xl/worksheets/sheet41333.xml"/>
  <Override ContentType="application/vnd.openxmlformats-officedocument.spreadsheetml.worksheet+xml" PartName="/xl/worksheets/sheet41334.xml"/>
  <Override ContentType="application/vnd.openxmlformats-officedocument.spreadsheetml.worksheet+xml" PartName="/xl/worksheets/sheet41335.xml"/>
  <Override ContentType="application/vnd.openxmlformats-officedocument.spreadsheetml.worksheet+xml" PartName="/xl/worksheets/sheet41336.xml"/>
  <Override ContentType="application/vnd.openxmlformats-officedocument.spreadsheetml.worksheet+xml" PartName="/xl/worksheets/sheet41337.xml"/>
  <Override ContentType="application/vnd.openxmlformats-officedocument.spreadsheetml.worksheet+xml" PartName="/xl/worksheets/sheet41338.xml"/>
  <Override ContentType="application/vnd.openxmlformats-officedocument.spreadsheetml.worksheet+xml" PartName="/xl/worksheets/sheet41339.xml"/>
  <Override ContentType="application/vnd.openxmlformats-officedocument.spreadsheetml.worksheet+xml" PartName="/xl/worksheets/sheet41340.xml"/>
  <Override ContentType="application/vnd.openxmlformats-officedocument.spreadsheetml.worksheet+xml" PartName="/xl/worksheets/sheet41341.xml"/>
  <Override ContentType="application/vnd.openxmlformats-officedocument.spreadsheetml.worksheet+xml" PartName="/xl/worksheets/sheet41342.xml"/>
  <Override ContentType="application/vnd.openxmlformats-officedocument.spreadsheetml.worksheet+xml" PartName="/xl/worksheets/sheet41343.xml"/>
  <Override ContentType="application/vnd.openxmlformats-officedocument.spreadsheetml.worksheet+xml" PartName="/xl/worksheets/sheet41344.xml"/>
  <Override ContentType="application/vnd.openxmlformats-officedocument.spreadsheetml.worksheet+xml" PartName="/xl/worksheets/sheet41345.xml"/>
  <Override ContentType="application/vnd.openxmlformats-officedocument.spreadsheetml.worksheet+xml" PartName="/xl/worksheets/sheet41346.xml"/>
  <Override ContentType="application/vnd.openxmlformats-officedocument.spreadsheetml.worksheet+xml" PartName="/xl/worksheets/sheet41347.xml"/>
  <Override ContentType="application/vnd.openxmlformats-officedocument.spreadsheetml.worksheet+xml" PartName="/xl/worksheets/sheet41348.xml"/>
  <Override ContentType="application/vnd.openxmlformats-officedocument.spreadsheetml.worksheet+xml" PartName="/xl/worksheets/sheet41349.xml"/>
  <Override ContentType="application/vnd.openxmlformats-officedocument.spreadsheetml.worksheet+xml" PartName="/xl/worksheets/sheet41350.xml"/>
  <Override ContentType="application/vnd.openxmlformats-officedocument.spreadsheetml.worksheet+xml" PartName="/xl/worksheets/sheet41351.xml"/>
  <Override ContentType="application/vnd.openxmlformats-officedocument.spreadsheetml.worksheet+xml" PartName="/xl/worksheets/sheet41352.xml"/>
  <Override ContentType="application/vnd.openxmlformats-officedocument.spreadsheetml.worksheet+xml" PartName="/xl/worksheets/sheet41353.xml"/>
  <Override ContentType="application/vnd.openxmlformats-officedocument.spreadsheetml.worksheet+xml" PartName="/xl/worksheets/sheet41354.xml"/>
  <Override ContentType="application/vnd.openxmlformats-officedocument.spreadsheetml.worksheet+xml" PartName="/xl/worksheets/sheet41355.xml"/>
  <Override ContentType="application/vnd.openxmlformats-officedocument.spreadsheetml.worksheet+xml" PartName="/xl/worksheets/sheet41356.xml"/>
  <Override ContentType="application/vnd.openxmlformats-officedocument.spreadsheetml.worksheet+xml" PartName="/xl/worksheets/sheet41357.xml"/>
  <Override ContentType="application/vnd.openxmlformats-officedocument.spreadsheetml.worksheet+xml" PartName="/xl/worksheets/sheet41358.xml"/>
  <Override ContentType="application/vnd.openxmlformats-officedocument.spreadsheetml.worksheet+xml" PartName="/xl/worksheets/sheet41359.xml"/>
  <Override ContentType="application/vnd.openxmlformats-officedocument.spreadsheetml.worksheet+xml" PartName="/xl/worksheets/sheet41360.xml"/>
  <Override ContentType="application/vnd.openxmlformats-officedocument.spreadsheetml.worksheet+xml" PartName="/xl/worksheets/sheet41361.xml"/>
  <Override ContentType="application/vnd.openxmlformats-officedocument.spreadsheetml.worksheet+xml" PartName="/xl/worksheets/sheet41362.xml"/>
  <Override ContentType="application/vnd.openxmlformats-officedocument.spreadsheetml.worksheet+xml" PartName="/xl/worksheets/sheet41363.xml"/>
  <Override ContentType="application/vnd.openxmlformats-officedocument.spreadsheetml.worksheet+xml" PartName="/xl/worksheets/sheet41364.xml"/>
  <Override ContentType="application/vnd.openxmlformats-officedocument.spreadsheetml.worksheet+xml" PartName="/xl/worksheets/sheet41365.xml"/>
  <Override ContentType="application/vnd.openxmlformats-officedocument.spreadsheetml.worksheet+xml" PartName="/xl/worksheets/sheet41366.xml"/>
  <Override ContentType="application/vnd.openxmlformats-officedocument.spreadsheetml.worksheet+xml" PartName="/xl/worksheets/sheet41367.xml"/>
  <Override ContentType="application/vnd.openxmlformats-officedocument.spreadsheetml.worksheet+xml" PartName="/xl/worksheets/sheet41368.xml"/>
  <Override ContentType="application/vnd.openxmlformats-officedocument.spreadsheetml.worksheet+xml" PartName="/xl/worksheets/sheet41369.xml"/>
  <Override ContentType="application/vnd.openxmlformats-officedocument.spreadsheetml.worksheet+xml" PartName="/xl/worksheets/sheet41370.xml"/>
  <Override ContentType="application/vnd.openxmlformats-officedocument.spreadsheetml.worksheet+xml" PartName="/xl/worksheets/sheet41371.xml"/>
  <Override ContentType="application/vnd.openxmlformats-officedocument.spreadsheetml.worksheet+xml" PartName="/xl/worksheets/sheet41372.xml"/>
  <Override ContentType="application/vnd.openxmlformats-officedocument.spreadsheetml.worksheet+xml" PartName="/xl/worksheets/sheet41373.xml"/>
  <Override ContentType="application/vnd.openxmlformats-officedocument.spreadsheetml.worksheet+xml" PartName="/xl/worksheets/sheet41374.xml"/>
  <Override ContentType="application/vnd.openxmlformats-officedocument.spreadsheetml.worksheet+xml" PartName="/xl/worksheets/sheet41375.xml"/>
  <Override ContentType="application/vnd.openxmlformats-officedocument.spreadsheetml.worksheet+xml" PartName="/xl/worksheets/sheet41376.xml"/>
  <Override ContentType="application/vnd.openxmlformats-officedocument.spreadsheetml.worksheet+xml" PartName="/xl/worksheets/sheet41377.xml"/>
  <Override ContentType="application/vnd.openxmlformats-officedocument.spreadsheetml.worksheet+xml" PartName="/xl/worksheets/sheet41378.xml"/>
  <Override ContentType="application/vnd.openxmlformats-officedocument.spreadsheetml.worksheet+xml" PartName="/xl/worksheets/sheet41379.xml"/>
  <Override ContentType="application/vnd.openxmlformats-officedocument.spreadsheetml.worksheet+xml" PartName="/xl/worksheets/sheet41380.xml"/>
  <Override ContentType="application/vnd.openxmlformats-officedocument.spreadsheetml.worksheet+xml" PartName="/xl/worksheets/sheet41381.xml"/>
  <Override ContentType="application/vnd.openxmlformats-officedocument.spreadsheetml.worksheet+xml" PartName="/xl/worksheets/sheet41382.xml"/>
  <Override ContentType="application/vnd.openxmlformats-officedocument.spreadsheetml.worksheet+xml" PartName="/xl/worksheets/sheet41383.xml"/>
  <Override ContentType="application/vnd.openxmlformats-officedocument.spreadsheetml.worksheet+xml" PartName="/xl/worksheets/sheet41384.xml"/>
  <Override ContentType="application/vnd.openxmlformats-officedocument.spreadsheetml.worksheet+xml" PartName="/xl/worksheets/sheet41385.xml"/>
  <Override ContentType="application/vnd.openxmlformats-officedocument.spreadsheetml.worksheet+xml" PartName="/xl/worksheets/sheet41386.xml"/>
  <Override ContentType="application/vnd.openxmlformats-officedocument.spreadsheetml.worksheet+xml" PartName="/xl/worksheets/sheet41387.xml"/>
  <Override ContentType="application/vnd.openxmlformats-officedocument.spreadsheetml.worksheet+xml" PartName="/xl/worksheets/sheet41388.xml"/>
  <Override ContentType="application/vnd.openxmlformats-officedocument.spreadsheetml.worksheet+xml" PartName="/xl/worksheets/sheet41389.xml"/>
  <Override ContentType="application/vnd.openxmlformats-officedocument.spreadsheetml.worksheet+xml" PartName="/xl/worksheets/sheet41390.xml"/>
  <Override ContentType="application/vnd.openxmlformats-officedocument.spreadsheetml.worksheet+xml" PartName="/xl/worksheets/sheet41391.xml"/>
  <Override ContentType="application/vnd.openxmlformats-officedocument.spreadsheetml.worksheet+xml" PartName="/xl/worksheets/sheet41392.xml"/>
  <Override ContentType="application/vnd.openxmlformats-officedocument.spreadsheetml.worksheet+xml" PartName="/xl/worksheets/sheet41393.xml"/>
  <Override ContentType="application/vnd.openxmlformats-officedocument.spreadsheetml.worksheet+xml" PartName="/xl/worksheets/sheet41394.xml"/>
  <Override ContentType="application/vnd.openxmlformats-officedocument.spreadsheetml.worksheet+xml" PartName="/xl/worksheets/sheet41395.xml"/>
  <Override ContentType="application/vnd.openxmlformats-officedocument.spreadsheetml.worksheet+xml" PartName="/xl/worksheets/sheet41396.xml"/>
  <Override ContentType="application/vnd.openxmlformats-officedocument.spreadsheetml.worksheet+xml" PartName="/xl/worksheets/sheet41397.xml"/>
  <Override ContentType="application/vnd.openxmlformats-officedocument.spreadsheetml.worksheet+xml" PartName="/xl/worksheets/sheet41398.xml"/>
  <Override ContentType="application/vnd.openxmlformats-officedocument.spreadsheetml.worksheet+xml" PartName="/xl/worksheets/sheet41399.xml"/>
  <Override ContentType="application/vnd.openxmlformats-officedocument.spreadsheetml.worksheet+xml" PartName="/xl/worksheets/sheet41400.xml"/>
  <Override ContentType="application/vnd.openxmlformats-officedocument.spreadsheetml.worksheet+xml" PartName="/xl/worksheets/sheet41401.xml"/>
  <Override ContentType="application/vnd.openxmlformats-officedocument.spreadsheetml.worksheet+xml" PartName="/xl/worksheets/sheet41402.xml"/>
  <Override ContentType="application/vnd.openxmlformats-officedocument.spreadsheetml.worksheet+xml" PartName="/xl/worksheets/sheet41403.xml"/>
  <Override ContentType="application/vnd.openxmlformats-officedocument.spreadsheetml.worksheet+xml" PartName="/xl/worksheets/sheet41404.xml"/>
  <Override ContentType="application/vnd.openxmlformats-officedocument.spreadsheetml.worksheet+xml" PartName="/xl/worksheets/sheet41405.xml"/>
  <Override ContentType="application/vnd.openxmlformats-officedocument.spreadsheetml.worksheet+xml" PartName="/xl/worksheets/sheet41406.xml"/>
  <Override ContentType="application/vnd.openxmlformats-officedocument.spreadsheetml.worksheet+xml" PartName="/xl/worksheets/sheet41407.xml"/>
  <Override ContentType="application/vnd.openxmlformats-officedocument.spreadsheetml.worksheet+xml" PartName="/xl/worksheets/sheet41408.xml"/>
  <Override ContentType="application/vnd.openxmlformats-officedocument.spreadsheetml.worksheet+xml" PartName="/xl/worksheets/sheet41409.xml"/>
  <Override ContentType="application/vnd.openxmlformats-officedocument.spreadsheetml.worksheet+xml" PartName="/xl/worksheets/sheet41410.xml"/>
  <Override ContentType="application/vnd.openxmlformats-officedocument.spreadsheetml.worksheet+xml" PartName="/xl/worksheets/sheet41411.xml"/>
  <Override ContentType="application/vnd.openxmlformats-officedocument.spreadsheetml.worksheet+xml" PartName="/xl/worksheets/sheet41412.xml"/>
  <Override ContentType="application/vnd.openxmlformats-officedocument.spreadsheetml.worksheet+xml" PartName="/xl/worksheets/sheet41413.xml"/>
  <Override ContentType="application/vnd.openxmlformats-officedocument.spreadsheetml.worksheet+xml" PartName="/xl/worksheets/sheet41414.xml"/>
  <Override ContentType="application/vnd.openxmlformats-officedocument.spreadsheetml.worksheet+xml" PartName="/xl/worksheets/sheet41415.xml"/>
  <Override ContentType="application/vnd.openxmlformats-officedocument.spreadsheetml.worksheet+xml" PartName="/xl/worksheets/sheet41416.xml"/>
  <Override ContentType="application/vnd.openxmlformats-officedocument.spreadsheetml.worksheet+xml" PartName="/xl/worksheets/sheet41417.xml"/>
  <Override ContentType="application/vnd.openxmlformats-officedocument.spreadsheetml.worksheet+xml" PartName="/xl/worksheets/sheet41418.xml"/>
  <Override ContentType="application/vnd.openxmlformats-officedocument.spreadsheetml.worksheet+xml" PartName="/xl/worksheets/sheet41419.xml"/>
  <Override ContentType="application/vnd.openxmlformats-officedocument.spreadsheetml.worksheet+xml" PartName="/xl/worksheets/sheet41420.xml"/>
  <Override ContentType="application/vnd.openxmlformats-officedocument.spreadsheetml.worksheet+xml" PartName="/xl/worksheets/sheet41421.xml"/>
  <Override ContentType="application/vnd.openxmlformats-officedocument.spreadsheetml.worksheet+xml" PartName="/xl/worksheets/sheet41422.xml"/>
  <Override ContentType="application/vnd.openxmlformats-officedocument.spreadsheetml.worksheet+xml" PartName="/xl/worksheets/sheet41423.xml"/>
  <Override ContentType="application/vnd.openxmlformats-officedocument.spreadsheetml.worksheet+xml" PartName="/xl/worksheets/sheet41424.xml"/>
  <Override ContentType="application/vnd.openxmlformats-officedocument.spreadsheetml.worksheet+xml" PartName="/xl/worksheets/sheet41425.xml"/>
  <Override ContentType="application/vnd.openxmlformats-officedocument.spreadsheetml.worksheet+xml" PartName="/xl/worksheets/sheet41426.xml"/>
  <Override ContentType="application/vnd.openxmlformats-officedocument.spreadsheetml.worksheet+xml" PartName="/xl/worksheets/sheet41427.xml"/>
  <Override ContentType="application/vnd.openxmlformats-officedocument.spreadsheetml.worksheet+xml" PartName="/xl/worksheets/sheet41428.xml"/>
  <Override ContentType="application/vnd.openxmlformats-officedocument.spreadsheetml.worksheet+xml" PartName="/xl/worksheets/sheet41429.xml"/>
  <Override ContentType="application/vnd.openxmlformats-officedocument.spreadsheetml.worksheet+xml" PartName="/xl/worksheets/sheet41430.xml"/>
  <Override ContentType="application/vnd.openxmlformats-officedocument.spreadsheetml.worksheet+xml" PartName="/xl/worksheets/sheet41431.xml"/>
  <Override ContentType="application/vnd.openxmlformats-officedocument.spreadsheetml.worksheet+xml" PartName="/xl/worksheets/sheet41432.xml"/>
  <Override ContentType="application/vnd.openxmlformats-officedocument.spreadsheetml.worksheet+xml" PartName="/xl/worksheets/sheet41433.xml"/>
  <Override ContentType="application/vnd.openxmlformats-officedocument.spreadsheetml.worksheet+xml" PartName="/xl/worksheets/sheet41434.xml"/>
  <Override ContentType="application/vnd.openxmlformats-officedocument.spreadsheetml.worksheet+xml" PartName="/xl/worksheets/sheet41435.xml"/>
  <Override ContentType="application/vnd.openxmlformats-officedocument.spreadsheetml.worksheet+xml" PartName="/xl/worksheets/sheet41436.xml"/>
  <Override ContentType="application/vnd.openxmlformats-officedocument.spreadsheetml.worksheet+xml" PartName="/xl/worksheets/sheet41437.xml"/>
  <Override ContentType="application/vnd.openxmlformats-officedocument.spreadsheetml.worksheet+xml" PartName="/xl/worksheets/sheet41438.xml"/>
  <Override ContentType="application/vnd.openxmlformats-officedocument.spreadsheetml.worksheet+xml" PartName="/xl/worksheets/sheet41439.xml"/>
  <Override ContentType="application/vnd.openxmlformats-officedocument.spreadsheetml.worksheet+xml" PartName="/xl/worksheets/sheet41440.xml"/>
  <Override ContentType="application/vnd.openxmlformats-officedocument.spreadsheetml.worksheet+xml" PartName="/xl/worksheets/sheet41441.xml"/>
  <Override ContentType="application/vnd.openxmlformats-officedocument.spreadsheetml.worksheet+xml" PartName="/xl/worksheets/sheet41442.xml"/>
  <Override ContentType="application/vnd.openxmlformats-officedocument.spreadsheetml.worksheet+xml" PartName="/xl/worksheets/sheet41443.xml"/>
  <Override ContentType="application/vnd.openxmlformats-officedocument.spreadsheetml.worksheet+xml" PartName="/xl/worksheets/sheet41444.xml"/>
  <Override ContentType="application/vnd.openxmlformats-officedocument.spreadsheetml.worksheet+xml" PartName="/xl/worksheets/sheet41445.xml"/>
  <Override ContentType="application/vnd.openxmlformats-officedocument.spreadsheetml.worksheet+xml" PartName="/xl/worksheets/sheet41446.xml"/>
  <Override ContentType="application/vnd.openxmlformats-officedocument.spreadsheetml.worksheet+xml" PartName="/xl/worksheets/sheet41447.xml"/>
  <Override ContentType="application/vnd.openxmlformats-officedocument.spreadsheetml.worksheet+xml" PartName="/xl/worksheets/sheet41448.xml"/>
  <Override ContentType="application/vnd.openxmlformats-officedocument.spreadsheetml.worksheet+xml" PartName="/xl/worksheets/sheet41449.xml"/>
  <Override ContentType="application/vnd.openxmlformats-officedocument.spreadsheetml.worksheet+xml" PartName="/xl/worksheets/sheet41450.xml"/>
  <Override ContentType="application/vnd.openxmlformats-officedocument.spreadsheetml.worksheet+xml" PartName="/xl/worksheets/sheet41451.xml"/>
  <Override ContentType="application/vnd.openxmlformats-officedocument.spreadsheetml.worksheet+xml" PartName="/xl/worksheets/sheet41452.xml"/>
  <Override ContentType="application/vnd.openxmlformats-officedocument.spreadsheetml.worksheet+xml" PartName="/xl/worksheets/sheet41453.xml"/>
  <Override ContentType="application/vnd.openxmlformats-officedocument.spreadsheetml.worksheet+xml" PartName="/xl/worksheets/sheet41454.xml"/>
  <Override ContentType="application/vnd.openxmlformats-officedocument.spreadsheetml.worksheet+xml" PartName="/xl/worksheets/sheet41455.xml"/>
  <Override ContentType="application/vnd.openxmlformats-officedocument.spreadsheetml.worksheet+xml" PartName="/xl/worksheets/sheet41456.xml"/>
  <Override ContentType="application/vnd.openxmlformats-officedocument.spreadsheetml.worksheet+xml" PartName="/xl/worksheets/sheet41457.xml"/>
  <Override ContentType="application/vnd.openxmlformats-officedocument.spreadsheetml.worksheet+xml" PartName="/xl/worksheets/sheet41458.xml"/>
  <Override ContentType="application/vnd.openxmlformats-officedocument.spreadsheetml.worksheet+xml" PartName="/xl/worksheets/sheet41459.xml"/>
  <Override ContentType="application/vnd.openxmlformats-officedocument.spreadsheetml.worksheet+xml" PartName="/xl/worksheets/sheet41460.xml"/>
  <Override ContentType="application/vnd.openxmlformats-officedocument.spreadsheetml.worksheet+xml" PartName="/xl/worksheets/sheet41461.xml"/>
  <Override ContentType="application/vnd.openxmlformats-officedocument.spreadsheetml.worksheet+xml" PartName="/xl/worksheets/sheet41462.xml"/>
  <Override ContentType="application/vnd.openxmlformats-officedocument.spreadsheetml.worksheet+xml" PartName="/xl/worksheets/sheet41463.xml"/>
  <Override ContentType="application/vnd.openxmlformats-officedocument.spreadsheetml.worksheet+xml" PartName="/xl/worksheets/sheet41464.xml"/>
  <Override ContentType="application/vnd.openxmlformats-officedocument.spreadsheetml.worksheet+xml" PartName="/xl/worksheets/sheet41465.xml"/>
  <Override ContentType="application/vnd.openxmlformats-officedocument.spreadsheetml.worksheet+xml" PartName="/xl/worksheets/sheet41466.xml"/>
  <Override ContentType="application/vnd.openxmlformats-officedocument.spreadsheetml.worksheet+xml" PartName="/xl/worksheets/sheet41467.xml"/>
  <Override ContentType="application/vnd.openxmlformats-officedocument.spreadsheetml.worksheet+xml" PartName="/xl/worksheets/sheet41468.xml"/>
  <Override ContentType="application/vnd.openxmlformats-officedocument.spreadsheetml.worksheet+xml" PartName="/xl/worksheets/sheet41469.xml"/>
  <Override ContentType="application/vnd.openxmlformats-officedocument.spreadsheetml.worksheet+xml" PartName="/xl/worksheets/sheet41470.xml"/>
  <Override ContentType="application/vnd.openxmlformats-officedocument.spreadsheetml.worksheet+xml" PartName="/xl/worksheets/sheet41471.xml"/>
  <Override ContentType="application/vnd.openxmlformats-officedocument.spreadsheetml.worksheet+xml" PartName="/xl/worksheets/sheet41472.xml"/>
  <Override ContentType="application/vnd.openxmlformats-officedocument.spreadsheetml.worksheet+xml" PartName="/xl/worksheets/sheet41473.xml"/>
  <Override ContentType="application/vnd.openxmlformats-officedocument.spreadsheetml.worksheet+xml" PartName="/xl/worksheets/sheet41474.xml"/>
  <Override ContentType="application/vnd.openxmlformats-officedocument.spreadsheetml.worksheet+xml" PartName="/xl/worksheets/sheet41475.xml"/>
  <Override ContentType="application/vnd.openxmlformats-officedocument.spreadsheetml.worksheet+xml" PartName="/xl/worksheets/sheet41476.xml"/>
  <Override ContentType="application/vnd.openxmlformats-officedocument.spreadsheetml.worksheet+xml" PartName="/xl/worksheets/sheet41477.xml"/>
  <Override ContentType="application/vnd.openxmlformats-officedocument.spreadsheetml.worksheet+xml" PartName="/xl/worksheets/sheet41478.xml"/>
  <Override ContentType="application/vnd.openxmlformats-officedocument.spreadsheetml.worksheet+xml" PartName="/xl/worksheets/sheet41479.xml"/>
  <Override ContentType="application/vnd.openxmlformats-officedocument.spreadsheetml.worksheet+xml" PartName="/xl/worksheets/sheet41480.xml"/>
  <Override ContentType="application/vnd.openxmlformats-officedocument.spreadsheetml.worksheet+xml" PartName="/xl/worksheets/sheet41481.xml"/>
  <Override ContentType="application/vnd.openxmlformats-officedocument.spreadsheetml.worksheet+xml" PartName="/xl/worksheets/sheet41482.xml"/>
  <Override ContentType="application/vnd.openxmlformats-officedocument.spreadsheetml.worksheet+xml" PartName="/xl/worksheets/sheet41483.xml"/>
  <Override ContentType="application/vnd.openxmlformats-officedocument.spreadsheetml.worksheet+xml" PartName="/xl/worksheets/sheet41484.xml"/>
  <Override ContentType="application/vnd.openxmlformats-officedocument.spreadsheetml.worksheet+xml" PartName="/xl/worksheets/sheet41485.xml"/>
  <Override ContentType="application/vnd.openxmlformats-officedocument.spreadsheetml.worksheet+xml" PartName="/xl/worksheets/sheet41486.xml"/>
  <Override ContentType="application/vnd.openxmlformats-officedocument.spreadsheetml.worksheet+xml" PartName="/xl/worksheets/sheet41487.xml"/>
  <Override ContentType="application/vnd.openxmlformats-officedocument.spreadsheetml.worksheet+xml" PartName="/xl/worksheets/sheet41488.xml"/>
  <Override ContentType="application/vnd.openxmlformats-officedocument.spreadsheetml.worksheet+xml" PartName="/xl/worksheets/sheet41489.xml"/>
  <Override ContentType="application/vnd.openxmlformats-officedocument.spreadsheetml.worksheet+xml" PartName="/xl/worksheets/sheet41490.xml"/>
  <Override ContentType="application/vnd.openxmlformats-officedocument.spreadsheetml.worksheet+xml" PartName="/xl/worksheets/sheet41491.xml"/>
  <Override ContentType="application/vnd.openxmlformats-officedocument.spreadsheetml.worksheet+xml" PartName="/xl/worksheets/sheet41492.xml"/>
  <Override ContentType="application/vnd.openxmlformats-officedocument.spreadsheetml.worksheet+xml" PartName="/xl/worksheets/sheet41493.xml"/>
  <Override ContentType="application/vnd.openxmlformats-officedocument.spreadsheetml.worksheet+xml" PartName="/xl/worksheets/sheet41494.xml"/>
  <Override ContentType="application/vnd.openxmlformats-officedocument.spreadsheetml.worksheet+xml" PartName="/xl/worksheets/sheet41495.xml"/>
  <Override ContentType="application/vnd.openxmlformats-officedocument.spreadsheetml.worksheet+xml" PartName="/xl/worksheets/sheet41496.xml"/>
  <Override ContentType="application/vnd.openxmlformats-officedocument.spreadsheetml.worksheet+xml" PartName="/xl/worksheets/sheet41497.xml"/>
  <Override ContentType="application/vnd.openxmlformats-officedocument.spreadsheetml.worksheet+xml" PartName="/xl/worksheets/sheet41498.xml"/>
  <Override ContentType="application/vnd.openxmlformats-officedocument.spreadsheetml.worksheet+xml" PartName="/xl/worksheets/sheet41499.xml"/>
  <Override ContentType="application/vnd.openxmlformats-officedocument.spreadsheetml.worksheet+xml" PartName="/xl/worksheets/sheet41500.xml"/>
  <Override ContentType="application/vnd.openxmlformats-officedocument.spreadsheetml.worksheet+xml" PartName="/xl/worksheets/sheet41501.xml"/>
  <Override ContentType="application/vnd.openxmlformats-officedocument.spreadsheetml.worksheet+xml" PartName="/xl/worksheets/sheet41502.xml"/>
  <Override ContentType="application/vnd.openxmlformats-officedocument.spreadsheetml.worksheet+xml" PartName="/xl/worksheets/sheet41503.xml"/>
  <Override ContentType="application/vnd.openxmlformats-officedocument.spreadsheetml.worksheet+xml" PartName="/xl/worksheets/sheet41504.xml"/>
  <Override ContentType="application/vnd.openxmlformats-officedocument.spreadsheetml.worksheet+xml" PartName="/xl/worksheets/sheet41505.xml"/>
  <Override ContentType="application/vnd.openxmlformats-officedocument.spreadsheetml.worksheet+xml" PartName="/xl/worksheets/sheet41506.xml"/>
  <Override ContentType="application/vnd.openxmlformats-officedocument.spreadsheetml.worksheet+xml" PartName="/xl/worksheets/sheet41507.xml"/>
  <Override ContentType="application/vnd.openxmlformats-officedocument.spreadsheetml.worksheet+xml" PartName="/xl/worksheets/sheet41508.xml"/>
  <Override ContentType="application/vnd.openxmlformats-officedocument.spreadsheetml.worksheet+xml" PartName="/xl/worksheets/sheet41509.xml"/>
  <Override ContentType="application/vnd.openxmlformats-officedocument.spreadsheetml.worksheet+xml" PartName="/xl/worksheets/sheet41510.xml"/>
  <Override ContentType="application/vnd.openxmlformats-officedocument.spreadsheetml.worksheet+xml" PartName="/xl/worksheets/sheet41511.xml"/>
  <Override ContentType="application/vnd.openxmlformats-officedocument.spreadsheetml.worksheet+xml" PartName="/xl/worksheets/sheet41512.xml"/>
  <Override ContentType="application/vnd.openxmlformats-officedocument.spreadsheetml.worksheet+xml" PartName="/xl/worksheets/sheet41513.xml"/>
  <Override ContentType="application/vnd.openxmlformats-officedocument.spreadsheetml.worksheet+xml" PartName="/xl/worksheets/sheet41514.xml"/>
  <Override ContentType="application/vnd.openxmlformats-officedocument.spreadsheetml.worksheet+xml" PartName="/xl/worksheets/sheet41515.xml"/>
  <Override ContentType="application/vnd.openxmlformats-officedocument.spreadsheetml.worksheet+xml" PartName="/xl/worksheets/sheet41516.xml"/>
  <Override ContentType="application/vnd.openxmlformats-officedocument.spreadsheetml.worksheet+xml" PartName="/xl/worksheets/sheet41517.xml"/>
  <Override ContentType="application/vnd.openxmlformats-officedocument.spreadsheetml.worksheet+xml" PartName="/xl/worksheets/sheet41518.xml"/>
  <Override ContentType="application/vnd.openxmlformats-officedocument.spreadsheetml.worksheet+xml" PartName="/xl/worksheets/sheet41519.xml"/>
  <Override ContentType="application/vnd.openxmlformats-officedocument.spreadsheetml.worksheet+xml" PartName="/xl/worksheets/sheet41520.xml"/>
  <Override ContentType="application/vnd.openxmlformats-officedocument.spreadsheetml.worksheet+xml" PartName="/xl/worksheets/sheet41521.xml"/>
  <Override ContentType="application/vnd.openxmlformats-officedocument.spreadsheetml.worksheet+xml" PartName="/xl/worksheets/sheet41522.xml"/>
  <Override ContentType="application/vnd.openxmlformats-officedocument.spreadsheetml.worksheet+xml" PartName="/xl/worksheets/sheet41523.xml"/>
  <Override ContentType="application/vnd.openxmlformats-officedocument.spreadsheetml.worksheet+xml" PartName="/xl/worksheets/sheet41524.xml"/>
  <Override ContentType="application/vnd.openxmlformats-officedocument.spreadsheetml.worksheet+xml" PartName="/xl/worksheets/sheet41525.xml"/>
  <Override ContentType="application/vnd.openxmlformats-officedocument.spreadsheetml.worksheet+xml" PartName="/xl/worksheets/sheet41526.xml"/>
  <Override ContentType="application/vnd.openxmlformats-officedocument.spreadsheetml.worksheet+xml" PartName="/xl/worksheets/sheet41527.xml"/>
  <Override ContentType="application/vnd.openxmlformats-officedocument.spreadsheetml.worksheet+xml" PartName="/xl/worksheets/sheet41528.xml"/>
  <Override ContentType="application/vnd.openxmlformats-officedocument.spreadsheetml.worksheet+xml" PartName="/xl/worksheets/sheet41529.xml"/>
  <Override ContentType="application/vnd.openxmlformats-officedocument.spreadsheetml.worksheet+xml" PartName="/xl/worksheets/sheet41530.xml"/>
  <Override ContentType="application/vnd.openxmlformats-officedocument.spreadsheetml.worksheet+xml" PartName="/xl/worksheets/sheet41531.xml"/>
  <Override ContentType="application/vnd.openxmlformats-officedocument.spreadsheetml.worksheet+xml" PartName="/xl/worksheets/sheet41532.xml"/>
  <Override ContentType="application/vnd.openxmlformats-officedocument.spreadsheetml.worksheet+xml" PartName="/xl/worksheets/sheet41533.xml"/>
  <Override ContentType="application/vnd.openxmlformats-officedocument.spreadsheetml.worksheet+xml" PartName="/xl/worksheets/sheet41534.xml"/>
  <Override ContentType="application/vnd.openxmlformats-officedocument.spreadsheetml.worksheet+xml" PartName="/xl/worksheets/sheet41535.xml"/>
  <Override ContentType="application/vnd.openxmlformats-officedocument.spreadsheetml.worksheet+xml" PartName="/xl/worksheets/sheet41536.xml"/>
  <Override ContentType="application/vnd.openxmlformats-officedocument.spreadsheetml.worksheet+xml" PartName="/xl/worksheets/sheet41537.xml"/>
  <Override ContentType="application/vnd.openxmlformats-officedocument.spreadsheetml.worksheet+xml" PartName="/xl/worksheets/sheet41538.xml"/>
  <Override ContentType="application/vnd.openxmlformats-officedocument.spreadsheetml.worksheet+xml" PartName="/xl/worksheets/sheet41539.xml"/>
  <Override ContentType="application/vnd.openxmlformats-officedocument.spreadsheetml.worksheet+xml" PartName="/xl/worksheets/sheet41540.xml"/>
  <Override ContentType="application/vnd.openxmlformats-officedocument.spreadsheetml.worksheet+xml" PartName="/xl/worksheets/sheet41541.xml"/>
  <Override ContentType="application/vnd.openxmlformats-officedocument.spreadsheetml.worksheet+xml" PartName="/xl/worksheets/sheet41542.xml"/>
  <Override ContentType="application/vnd.openxmlformats-officedocument.spreadsheetml.worksheet+xml" PartName="/xl/worksheets/sheet41543.xml"/>
  <Override ContentType="application/vnd.openxmlformats-officedocument.spreadsheetml.worksheet+xml" PartName="/xl/worksheets/sheet41544.xml"/>
  <Override ContentType="application/vnd.openxmlformats-officedocument.spreadsheetml.worksheet+xml" PartName="/xl/worksheets/sheet41545.xml"/>
  <Override ContentType="application/vnd.openxmlformats-officedocument.spreadsheetml.worksheet+xml" PartName="/xl/worksheets/sheet41546.xml"/>
  <Override ContentType="application/vnd.openxmlformats-officedocument.spreadsheetml.worksheet+xml" PartName="/xl/worksheets/sheet41547.xml"/>
  <Override ContentType="application/vnd.openxmlformats-officedocument.spreadsheetml.worksheet+xml" PartName="/xl/worksheets/sheet41548.xml"/>
  <Override ContentType="application/vnd.openxmlformats-officedocument.spreadsheetml.worksheet+xml" PartName="/xl/worksheets/sheet41549.xml"/>
  <Override ContentType="application/vnd.openxmlformats-officedocument.spreadsheetml.worksheet+xml" PartName="/xl/worksheets/sheet41550.xml"/>
  <Override ContentType="application/vnd.openxmlformats-officedocument.spreadsheetml.worksheet+xml" PartName="/xl/worksheets/sheet41551.xml"/>
  <Override ContentType="application/vnd.openxmlformats-officedocument.spreadsheetml.worksheet+xml" PartName="/xl/worksheets/sheet41552.xml"/>
  <Override ContentType="application/vnd.openxmlformats-officedocument.spreadsheetml.worksheet+xml" PartName="/xl/worksheets/sheet41553.xml"/>
  <Override ContentType="application/vnd.openxmlformats-officedocument.spreadsheetml.worksheet+xml" PartName="/xl/worksheets/sheet41554.xml"/>
  <Override ContentType="application/vnd.openxmlformats-officedocument.spreadsheetml.worksheet+xml" PartName="/xl/worksheets/sheet41555.xml"/>
  <Override ContentType="application/vnd.openxmlformats-officedocument.spreadsheetml.worksheet+xml" PartName="/xl/worksheets/sheet41556.xml"/>
  <Override ContentType="application/vnd.openxmlformats-officedocument.spreadsheetml.worksheet+xml" PartName="/xl/worksheets/sheet41557.xml"/>
  <Override ContentType="application/vnd.openxmlformats-officedocument.spreadsheetml.worksheet+xml" PartName="/xl/worksheets/sheet41558.xml"/>
  <Override ContentType="application/vnd.openxmlformats-officedocument.spreadsheetml.worksheet+xml" PartName="/xl/worksheets/sheet41559.xml"/>
  <Override ContentType="application/vnd.openxmlformats-officedocument.spreadsheetml.worksheet+xml" PartName="/xl/worksheets/sheet41560.xml"/>
  <Override ContentType="application/vnd.openxmlformats-officedocument.spreadsheetml.worksheet+xml" PartName="/xl/worksheets/sheet41561.xml"/>
  <Override ContentType="application/vnd.openxmlformats-officedocument.spreadsheetml.worksheet+xml" PartName="/xl/worksheets/sheet41562.xml"/>
  <Override ContentType="application/vnd.openxmlformats-officedocument.spreadsheetml.worksheet+xml" PartName="/xl/worksheets/sheet41563.xml"/>
  <Override ContentType="application/vnd.openxmlformats-officedocument.spreadsheetml.worksheet+xml" PartName="/xl/worksheets/sheet41564.xml"/>
  <Override ContentType="application/vnd.openxmlformats-officedocument.spreadsheetml.worksheet+xml" PartName="/xl/worksheets/sheet41565.xml"/>
  <Override ContentType="application/vnd.openxmlformats-officedocument.spreadsheetml.worksheet+xml" PartName="/xl/worksheets/sheet41566.xml"/>
  <Override ContentType="application/vnd.openxmlformats-officedocument.spreadsheetml.worksheet+xml" PartName="/xl/worksheets/sheet41567.xml"/>
  <Override ContentType="application/vnd.openxmlformats-officedocument.spreadsheetml.worksheet+xml" PartName="/xl/worksheets/sheet41568.xml"/>
  <Override ContentType="application/vnd.openxmlformats-officedocument.spreadsheetml.worksheet+xml" PartName="/xl/worksheets/sheet41569.xml"/>
  <Override ContentType="application/vnd.openxmlformats-officedocument.spreadsheetml.worksheet+xml" PartName="/xl/worksheets/sheet41570.xml"/>
  <Override ContentType="application/vnd.openxmlformats-officedocument.spreadsheetml.worksheet+xml" PartName="/xl/worksheets/sheet41571.xml"/>
  <Override ContentType="application/vnd.openxmlformats-officedocument.spreadsheetml.worksheet+xml" PartName="/xl/worksheets/sheet41572.xml"/>
  <Override ContentType="application/vnd.openxmlformats-officedocument.spreadsheetml.worksheet+xml" PartName="/xl/worksheets/sheet41573.xml"/>
  <Override ContentType="application/vnd.openxmlformats-officedocument.spreadsheetml.worksheet+xml" PartName="/xl/worksheets/sheet41574.xml"/>
  <Override ContentType="application/vnd.openxmlformats-officedocument.spreadsheetml.worksheet+xml" PartName="/xl/worksheets/sheet41575.xml"/>
  <Override ContentType="application/vnd.openxmlformats-officedocument.spreadsheetml.worksheet+xml" PartName="/xl/worksheets/sheet41576.xml"/>
  <Override ContentType="application/vnd.openxmlformats-officedocument.spreadsheetml.worksheet+xml" PartName="/xl/worksheets/sheet41577.xml"/>
  <Override ContentType="application/vnd.openxmlformats-officedocument.spreadsheetml.worksheet+xml" PartName="/xl/worksheets/sheet41578.xml"/>
  <Override ContentType="application/vnd.openxmlformats-officedocument.spreadsheetml.worksheet+xml" PartName="/xl/worksheets/sheet41579.xml"/>
  <Override ContentType="application/vnd.openxmlformats-officedocument.spreadsheetml.worksheet+xml" PartName="/xl/worksheets/sheet41580.xml"/>
  <Override ContentType="application/vnd.openxmlformats-officedocument.spreadsheetml.worksheet+xml" PartName="/xl/worksheets/sheet41581.xml"/>
  <Override ContentType="application/vnd.openxmlformats-officedocument.spreadsheetml.worksheet+xml" PartName="/xl/worksheets/sheet41582.xml"/>
  <Override ContentType="application/vnd.openxmlformats-officedocument.spreadsheetml.worksheet+xml" PartName="/xl/worksheets/sheet41583.xml"/>
  <Override ContentType="application/vnd.openxmlformats-officedocument.spreadsheetml.worksheet+xml" PartName="/xl/worksheets/sheet41584.xml"/>
  <Override ContentType="application/vnd.openxmlformats-officedocument.spreadsheetml.worksheet+xml" PartName="/xl/worksheets/sheet41585.xml"/>
  <Override ContentType="application/vnd.openxmlformats-officedocument.spreadsheetml.worksheet+xml" PartName="/xl/worksheets/sheet41586.xml"/>
  <Override ContentType="application/vnd.openxmlformats-officedocument.spreadsheetml.worksheet+xml" PartName="/xl/worksheets/sheet41587.xml"/>
  <Override ContentType="application/vnd.openxmlformats-officedocument.spreadsheetml.worksheet+xml" PartName="/xl/worksheets/sheet41588.xml"/>
  <Override ContentType="application/vnd.openxmlformats-officedocument.spreadsheetml.worksheet+xml" PartName="/xl/worksheets/sheet41589.xml"/>
  <Override ContentType="application/vnd.openxmlformats-officedocument.spreadsheetml.worksheet+xml" PartName="/xl/worksheets/sheet41590.xml"/>
  <Override ContentType="application/vnd.openxmlformats-officedocument.spreadsheetml.worksheet+xml" PartName="/xl/worksheets/sheet41591.xml"/>
  <Override ContentType="application/vnd.openxmlformats-officedocument.spreadsheetml.worksheet+xml" PartName="/xl/worksheets/sheet41592.xml"/>
  <Override ContentType="application/vnd.openxmlformats-officedocument.spreadsheetml.worksheet+xml" PartName="/xl/worksheets/sheet41593.xml"/>
  <Override ContentType="application/vnd.openxmlformats-officedocument.spreadsheetml.worksheet+xml" PartName="/xl/worksheets/sheet41594.xml"/>
  <Override ContentType="application/vnd.openxmlformats-officedocument.spreadsheetml.worksheet+xml" PartName="/xl/worksheets/sheet41595.xml"/>
  <Override ContentType="application/vnd.openxmlformats-officedocument.spreadsheetml.worksheet+xml" PartName="/xl/worksheets/sheet41596.xml"/>
  <Override ContentType="application/vnd.openxmlformats-officedocument.spreadsheetml.worksheet+xml" PartName="/xl/worksheets/sheet41597.xml"/>
  <Override ContentType="application/vnd.openxmlformats-officedocument.spreadsheetml.worksheet+xml" PartName="/xl/worksheets/sheet41598.xml"/>
  <Override ContentType="application/vnd.openxmlformats-officedocument.spreadsheetml.worksheet+xml" PartName="/xl/worksheets/sheet41599.xml"/>
  <Override ContentType="application/vnd.openxmlformats-officedocument.spreadsheetml.worksheet+xml" PartName="/xl/worksheets/sheet41600.xml"/>
  <Override ContentType="application/vnd.openxmlformats-officedocument.spreadsheetml.worksheet+xml" PartName="/xl/worksheets/sheet41601.xml"/>
  <Override ContentType="application/vnd.openxmlformats-officedocument.spreadsheetml.worksheet+xml" PartName="/xl/worksheets/sheet41602.xml"/>
  <Override ContentType="application/vnd.openxmlformats-officedocument.spreadsheetml.worksheet+xml" PartName="/xl/worksheets/sheet41603.xml"/>
  <Override ContentType="application/vnd.openxmlformats-officedocument.spreadsheetml.worksheet+xml" PartName="/xl/worksheets/sheet41604.xml"/>
  <Override ContentType="application/vnd.openxmlformats-officedocument.spreadsheetml.worksheet+xml" PartName="/xl/worksheets/sheet41605.xml"/>
  <Override ContentType="application/vnd.openxmlformats-officedocument.spreadsheetml.worksheet+xml" PartName="/xl/worksheets/sheet41606.xml"/>
  <Override ContentType="application/vnd.openxmlformats-officedocument.spreadsheetml.worksheet+xml" PartName="/xl/worksheets/sheet41607.xml"/>
  <Override ContentType="application/vnd.openxmlformats-officedocument.spreadsheetml.worksheet+xml" PartName="/xl/worksheets/sheet41608.xml"/>
  <Override ContentType="application/vnd.openxmlformats-officedocument.spreadsheetml.worksheet+xml" PartName="/xl/worksheets/sheet41609.xml"/>
  <Override ContentType="application/vnd.openxmlformats-officedocument.spreadsheetml.worksheet+xml" PartName="/xl/worksheets/sheet41610.xml"/>
  <Override ContentType="application/vnd.openxmlformats-officedocument.spreadsheetml.worksheet+xml" PartName="/xl/worksheets/sheet41611.xml"/>
  <Override ContentType="application/vnd.openxmlformats-officedocument.spreadsheetml.worksheet+xml" PartName="/xl/worksheets/sheet41612.xml"/>
  <Override ContentType="application/vnd.openxmlformats-officedocument.spreadsheetml.worksheet+xml" PartName="/xl/worksheets/sheet41613.xml"/>
  <Override ContentType="application/vnd.openxmlformats-officedocument.spreadsheetml.worksheet+xml" PartName="/xl/worksheets/sheet41614.xml"/>
  <Override ContentType="application/vnd.openxmlformats-officedocument.spreadsheetml.worksheet+xml" PartName="/xl/worksheets/sheet41615.xml"/>
  <Override ContentType="application/vnd.openxmlformats-officedocument.spreadsheetml.worksheet+xml" PartName="/xl/worksheets/sheet41616.xml"/>
  <Override ContentType="application/vnd.openxmlformats-officedocument.spreadsheetml.worksheet+xml" PartName="/xl/worksheets/sheet41617.xml"/>
  <Override ContentType="application/vnd.openxmlformats-officedocument.spreadsheetml.worksheet+xml" PartName="/xl/worksheets/sheet41618.xml"/>
  <Override ContentType="application/vnd.openxmlformats-officedocument.spreadsheetml.worksheet+xml" PartName="/xl/worksheets/sheet41619.xml"/>
  <Override ContentType="application/vnd.openxmlformats-officedocument.spreadsheetml.worksheet+xml" PartName="/xl/worksheets/sheet41620.xml"/>
  <Override ContentType="application/vnd.openxmlformats-officedocument.spreadsheetml.worksheet+xml" PartName="/xl/worksheets/sheet41621.xml"/>
  <Override ContentType="application/vnd.openxmlformats-officedocument.spreadsheetml.worksheet+xml" PartName="/xl/worksheets/sheet41622.xml"/>
  <Override ContentType="application/vnd.openxmlformats-officedocument.spreadsheetml.worksheet+xml" PartName="/xl/worksheets/sheet41623.xml"/>
  <Override ContentType="application/vnd.openxmlformats-officedocument.spreadsheetml.worksheet+xml" PartName="/xl/worksheets/sheet41624.xml"/>
  <Override ContentType="application/vnd.openxmlformats-officedocument.spreadsheetml.worksheet+xml" PartName="/xl/worksheets/sheet41625.xml"/>
  <Override ContentType="application/vnd.openxmlformats-officedocument.spreadsheetml.worksheet+xml" PartName="/xl/worksheets/sheet41626.xml"/>
  <Override ContentType="application/vnd.openxmlformats-officedocument.spreadsheetml.worksheet+xml" PartName="/xl/worksheets/sheet41627.xml"/>
  <Override ContentType="application/vnd.openxmlformats-officedocument.spreadsheetml.worksheet+xml" PartName="/xl/worksheets/sheet41628.xml"/>
  <Override ContentType="application/vnd.openxmlformats-officedocument.spreadsheetml.worksheet+xml" PartName="/xl/worksheets/sheet41629.xml"/>
  <Override ContentType="application/vnd.openxmlformats-officedocument.spreadsheetml.worksheet+xml" PartName="/xl/worksheets/sheet41630.xml"/>
  <Override ContentType="application/vnd.openxmlformats-officedocument.spreadsheetml.worksheet+xml" PartName="/xl/worksheets/sheet41631.xml"/>
  <Override ContentType="application/vnd.openxmlformats-officedocument.spreadsheetml.worksheet+xml" PartName="/xl/worksheets/sheet41632.xml"/>
  <Override ContentType="application/vnd.openxmlformats-officedocument.spreadsheetml.worksheet+xml" PartName="/xl/worksheets/sheet41633.xml"/>
  <Override ContentType="application/vnd.openxmlformats-officedocument.spreadsheetml.worksheet+xml" PartName="/xl/worksheets/sheet41634.xml"/>
  <Override ContentType="application/vnd.openxmlformats-officedocument.spreadsheetml.worksheet+xml" PartName="/xl/worksheets/sheet41635.xml"/>
  <Override ContentType="application/vnd.openxmlformats-officedocument.spreadsheetml.worksheet+xml" PartName="/xl/worksheets/sheet41636.xml"/>
  <Override ContentType="application/vnd.openxmlformats-officedocument.spreadsheetml.worksheet+xml" PartName="/xl/worksheets/sheet41637.xml"/>
  <Override ContentType="application/vnd.openxmlformats-officedocument.spreadsheetml.worksheet+xml" PartName="/xl/worksheets/sheet41638.xml"/>
  <Override ContentType="application/vnd.openxmlformats-officedocument.spreadsheetml.worksheet+xml" PartName="/xl/worksheets/sheet41639.xml"/>
  <Override ContentType="application/vnd.openxmlformats-officedocument.spreadsheetml.worksheet+xml" PartName="/xl/worksheets/sheet41640.xml"/>
  <Override ContentType="application/vnd.openxmlformats-officedocument.spreadsheetml.worksheet+xml" PartName="/xl/worksheets/sheet41641.xml"/>
  <Override ContentType="application/vnd.openxmlformats-officedocument.spreadsheetml.worksheet+xml" PartName="/xl/worksheets/sheet41642.xml"/>
  <Override ContentType="application/vnd.openxmlformats-officedocument.spreadsheetml.worksheet+xml" PartName="/xl/worksheets/sheet41643.xml"/>
  <Override ContentType="application/vnd.openxmlformats-officedocument.spreadsheetml.worksheet+xml" PartName="/xl/worksheets/sheet41644.xml"/>
  <Override ContentType="application/vnd.openxmlformats-officedocument.spreadsheetml.worksheet+xml" PartName="/xl/worksheets/sheet41645.xml"/>
  <Override ContentType="application/vnd.openxmlformats-officedocument.spreadsheetml.worksheet+xml" PartName="/xl/worksheets/sheet41646.xml"/>
  <Override ContentType="application/vnd.openxmlformats-officedocument.spreadsheetml.worksheet+xml" PartName="/xl/worksheets/sheet41647.xml"/>
  <Override ContentType="application/vnd.openxmlformats-officedocument.spreadsheetml.worksheet+xml" PartName="/xl/worksheets/sheet41648.xml"/>
  <Override ContentType="application/vnd.openxmlformats-officedocument.spreadsheetml.worksheet+xml" PartName="/xl/worksheets/sheet41649.xml"/>
  <Override ContentType="application/vnd.openxmlformats-officedocument.spreadsheetml.worksheet+xml" PartName="/xl/worksheets/sheet41650.xml"/>
  <Override ContentType="application/vnd.openxmlformats-officedocument.spreadsheetml.worksheet+xml" PartName="/xl/worksheets/sheet41651.xml"/>
  <Override ContentType="application/vnd.openxmlformats-officedocument.spreadsheetml.worksheet+xml" PartName="/xl/worksheets/sheet41652.xml"/>
  <Override ContentType="application/vnd.openxmlformats-officedocument.spreadsheetml.worksheet+xml" PartName="/xl/worksheets/sheet41653.xml"/>
  <Override ContentType="application/vnd.openxmlformats-officedocument.spreadsheetml.worksheet+xml" PartName="/xl/worksheets/sheet41654.xml"/>
  <Override ContentType="application/vnd.openxmlformats-officedocument.spreadsheetml.worksheet+xml" PartName="/xl/worksheets/sheet41655.xml"/>
  <Override ContentType="application/vnd.openxmlformats-officedocument.spreadsheetml.worksheet+xml" PartName="/xl/worksheets/sheet41656.xml"/>
  <Override ContentType="application/vnd.openxmlformats-officedocument.spreadsheetml.worksheet+xml" PartName="/xl/worksheets/sheet41657.xml"/>
  <Override ContentType="application/vnd.openxmlformats-officedocument.spreadsheetml.worksheet+xml" PartName="/xl/worksheets/sheet41658.xml"/>
  <Override ContentType="application/vnd.openxmlformats-officedocument.spreadsheetml.worksheet+xml" PartName="/xl/worksheets/sheet41659.xml"/>
  <Override ContentType="application/vnd.openxmlformats-officedocument.spreadsheetml.worksheet+xml" PartName="/xl/worksheets/sheet41660.xml"/>
  <Override ContentType="application/vnd.openxmlformats-officedocument.spreadsheetml.worksheet+xml" PartName="/xl/worksheets/sheet41661.xml"/>
  <Override ContentType="application/vnd.openxmlformats-officedocument.spreadsheetml.worksheet+xml" PartName="/xl/worksheets/sheet41662.xml"/>
  <Override ContentType="application/vnd.openxmlformats-officedocument.spreadsheetml.worksheet+xml" PartName="/xl/worksheets/sheet41663.xml"/>
  <Override ContentType="application/vnd.openxmlformats-officedocument.spreadsheetml.worksheet+xml" PartName="/xl/worksheets/sheet41664.xml"/>
  <Override ContentType="application/vnd.openxmlformats-officedocument.spreadsheetml.worksheet+xml" PartName="/xl/worksheets/sheet41665.xml"/>
  <Override ContentType="application/vnd.openxmlformats-officedocument.spreadsheetml.worksheet+xml" PartName="/xl/worksheets/sheet41666.xml"/>
  <Override ContentType="application/vnd.openxmlformats-officedocument.spreadsheetml.worksheet+xml" PartName="/xl/worksheets/sheet41667.xml"/>
  <Override ContentType="application/vnd.openxmlformats-officedocument.spreadsheetml.worksheet+xml" PartName="/xl/worksheets/sheet41668.xml"/>
  <Override ContentType="application/vnd.openxmlformats-officedocument.spreadsheetml.worksheet+xml" PartName="/xl/worksheets/sheet41669.xml"/>
  <Override ContentType="application/vnd.openxmlformats-officedocument.spreadsheetml.worksheet+xml" PartName="/xl/worksheets/sheet41670.xml"/>
  <Override ContentType="application/vnd.openxmlformats-officedocument.spreadsheetml.worksheet+xml" PartName="/xl/worksheets/sheet41671.xml"/>
  <Override ContentType="application/vnd.openxmlformats-officedocument.spreadsheetml.worksheet+xml" PartName="/xl/worksheets/sheet41672.xml"/>
  <Override ContentType="application/vnd.openxmlformats-officedocument.spreadsheetml.worksheet+xml" PartName="/xl/worksheets/sheet41673.xml"/>
  <Override ContentType="application/vnd.openxmlformats-officedocument.spreadsheetml.worksheet+xml" PartName="/xl/worksheets/sheet41674.xml"/>
  <Override ContentType="application/vnd.openxmlformats-officedocument.spreadsheetml.worksheet+xml" PartName="/xl/worksheets/sheet41675.xml"/>
  <Override ContentType="application/vnd.openxmlformats-officedocument.spreadsheetml.worksheet+xml" PartName="/xl/worksheets/sheet41676.xml"/>
  <Override ContentType="application/vnd.openxmlformats-officedocument.spreadsheetml.worksheet+xml" PartName="/xl/worksheets/sheet41677.xml"/>
  <Override ContentType="application/vnd.openxmlformats-officedocument.spreadsheetml.worksheet+xml" PartName="/xl/worksheets/sheet41678.xml"/>
  <Override ContentType="application/vnd.openxmlformats-officedocument.spreadsheetml.worksheet+xml" PartName="/xl/worksheets/sheet41679.xml"/>
  <Override ContentType="application/vnd.openxmlformats-officedocument.spreadsheetml.worksheet+xml" PartName="/xl/worksheets/sheet41680.xml"/>
  <Override ContentType="application/vnd.openxmlformats-officedocument.spreadsheetml.worksheet+xml" PartName="/xl/worksheets/sheet41681.xml"/>
  <Override ContentType="application/vnd.openxmlformats-officedocument.spreadsheetml.worksheet+xml" PartName="/xl/worksheets/sheet41682.xml"/>
  <Override ContentType="application/vnd.openxmlformats-officedocument.spreadsheetml.worksheet+xml" PartName="/xl/worksheets/sheet41683.xml"/>
  <Override ContentType="application/vnd.openxmlformats-officedocument.spreadsheetml.worksheet+xml" PartName="/xl/worksheets/sheet41684.xml"/>
  <Override ContentType="application/vnd.openxmlformats-officedocument.spreadsheetml.worksheet+xml" PartName="/xl/worksheets/sheet41685.xml"/>
  <Override ContentType="application/vnd.openxmlformats-officedocument.spreadsheetml.worksheet+xml" PartName="/xl/worksheets/sheet41686.xml"/>
  <Override ContentType="application/vnd.openxmlformats-officedocument.spreadsheetml.worksheet+xml" PartName="/xl/worksheets/sheet41687.xml"/>
  <Override ContentType="application/vnd.openxmlformats-officedocument.spreadsheetml.worksheet+xml" PartName="/xl/worksheets/sheet41688.xml"/>
  <Override ContentType="application/vnd.openxmlformats-officedocument.spreadsheetml.worksheet+xml" PartName="/xl/worksheets/sheet41689.xml"/>
  <Override ContentType="application/vnd.openxmlformats-officedocument.spreadsheetml.worksheet+xml" PartName="/xl/worksheets/sheet41690.xml"/>
  <Override ContentType="application/vnd.openxmlformats-officedocument.spreadsheetml.worksheet+xml" PartName="/xl/worksheets/sheet41691.xml"/>
  <Override ContentType="application/vnd.openxmlformats-officedocument.spreadsheetml.worksheet+xml" PartName="/xl/worksheets/sheet41692.xml"/>
  <Override ContentType="application/vnd.openxmlformats-officedocument.spreadsheetml.worksheet+xml" PartName="/xl/worksheets/sheet41693.xml"/>
  <Override ContentType="application/vnd.openxmlformats-officedocument.spreadsheetml.worksheet+xml" PartName="/xl/worksheets/sheet41694.xml"/>
  <Override ContentType="application/vnd.openxmlformats-officedocument.spreadsheetml.worksheet+xml" PartName="/xl/worksheets/sheet41695.xml"/>
  <Override ContentType="application/vnd.openxmlformats-officedocument.spreadsheetml.worksheet+xml" PartName="/xl/worksheets/sheet41696.xml"/>
  <Override ContentType="application/vnd.openxmlformats-officedocument.spreadsheetml.worksheet+xml" PartName="/xl/worksheets/sheet41697.xml"/>
  <Override ContentType="application/vnd.openxmlformats-officedocument.spreadsheetml.worksheet+xml" PartName="/xl/worksheets/sheet41698.xml"/>
  <Override ContentType="application/vnd.openxmlformats-officedocument.spreadsheetml.worksheet+xml" PartName="/xl/worksheets/sheet41699.xml"/>
  <Override ContentType="application/vnd.openxmlformats-officedocument.spreadsheetml.worksheet+xml" PartName="/xl/worksheets/sheet41700.xml"/>
  <Override ContentType="application/vnd.openxmlformats-officedocument.spreadsheetml.worksheet+xml" PartName="/xl/worksheets/sheet41701.xml"/>
  <Override ContentType="application/vnd.openxmlformats-officedocument.spreadsheetml.worksheet+xml" PartName="/xl/worksheets/sheet41702.xml"/>
  <Override ContentType="application/vnd.openxmlformats-officedocument.spreadsheetml.worksheet+xml" PartName="/xl/worksheets/sheet41703.xml"/>
  <Override ContentType="application/vnd.openxmlformats-officedocument.spreadsheetml.worksheet+xml" PartName="/xl/worksheets/sheet41704.xml"/>
  <Override ContentType="application/vnd.openxmlformats-officedocument.spreadsheetml.worksheet+xml" PartName="/xl/worksheets/sheet41705.xml"/>
  <Override ContentType="application/vnd.openxmlformats-officedocument.spreadsheetml.worksheet+xml" PartName="/xl/worksheets/sheet41706.xml"/>
  <Override ContentType="application/vnd.openxmlformats-officedocument.spreadsheetml.worksheet+xml" PartName="/xl/worksheets/sheet41707.xml"/>
  <Override ContentType="application/vnd.openxmlformats-officedocument.spreadsheetml.worksheet+xml" PartName="/xl/worksheets/sheet41708.xml"/>
  <Override ContentType="application/vnd.openxmlformats-officedocument.spreadsheetml.worksheet+xml" PartName="/xl/worksheets/sheet41709.xml"/>
  <Override ContentType="application/vnd.openxmlformats-officedocument.spreadsheetml.worksheet+xml" PartName="/xl/worksheets/sheet41710.xml"/>
  <Override ContentType="application/vnd.openxmlformats-officedocument.spreadsheetml.worksheet+xml" PartName="/xl/worksheets/sheet41711.xml"/>
  <Override ContentType="application/vnd.openxmlformats-officedocument.spreadsheetml.worksheet+xml" PartName="/xl/worksheets/sheet41712.xml"/>
  <Override ContentType="application/vnd.openxmlformats-officedocument.spreadsheetml.worksheet+xml" PartName="/xl/worksheets/sheet41713.xml"/>
  <Override ContentType="application/vnd.openxmlformats-officedocument.spreadsheetml.worksheet+xml" PartName="/xl/worksheets/sheet41714.xml"/>
  <Override ContentType="application/vnd.openxmlformats-officedocument.spreadsheetml.worksheet+xml" PartName="/xl/worksheets/sheet41715.xml"/>
  <Override ContentType="application/vnd.openxmlformats-officedocument.spreadsheetml.worksheet+xml" PartName="/xl/worksheets/sheet41716.xml"/>
  <Override ContentType="application/vnd.openxmlformats-officedocument.spreadsheetml.worksheet+xml" PartName="/xl/worksheets/sheet41717.xml"/>
  <Override ContentType="application/vnd.openxmlformats-officedocument.spreadsheetml.worksheet+xml" PartName="/xl/worksheets/sheet41718.xml"/>
  <Override ContentType="application/vnd.openxmlformats-officedocument.spreadsheetml.worksheet+xml" PartName="/xl/worksheets/sheet41719.xml"/>
  <Override ContentType="application/vnd.openxmlformats-officedocument.spreadsheetml.worksheet+xml" PartName="/xl/worksheets/sheet41720.xml"/>
  <Override ContentType="application/vnd.openxmlformats-officedocument.spreadsheetml.worksheet+xml" PartName="/xl/worksheets/sheet41721.xml"/>
  <Override ContentType="application/vnd.openxmlformats-officedocument.spreadsheetml.worksheet+xml" PartName="/xl/worksheets/sheet41722.xml"/>
  <Override ContentType="application/vnd.openxmlformats-officedocument.spreadsheetml.worksheet+xml" PartName="/xl/worksheets/sheet41723.xml"/>
  <Override ContentType="application/vnd.openxmlformats-officedocument.spreadsheetml.worksheet+xml" PartName="/xl/worksheets/sheet41724.xml"/>
  <Override ContentType="application/vnd.openxmlformats-officedocument.spreadsheetml.worksheet+xml" PartName="/xl/worksheets/sheet41725.xml"/>
  <Override ContentType="application/vnd.openxmlformats-officedocument.spreadsheetml.worksheet+xml" PartName="/xl/worksheets/sheet41726.xml"/>
  <Override ContentType="application/vnd.openxmlformats-officedocument.spreadsheetml.worksheet+xml" PartName="/xl/worksheets/sheet41727.xml"/>
  <Override ContentType="application/vnd.openxmlformats-officedocument.spreadsheetml.worksheet+xml" PartName="/xl/worksheets/sheet41728.xml"/>
  <Override ContentType="application/vnd.openxmlformats-officedocument.spreadsheetml.worksheet+xml" PartName="/xl/worksheets/sheet41729.xml"/>
  <Override ContentType="application/vnd.openxmlformats-officedocument.spreadsheetml.worksheet+xml" PartName="/xl/worksheets/sheet41730.xml"/>
  <Override ContentType="application/vnd.openxmlformats-officedocument.spreadsheetml.worksheet+xml" PartName="/xl/worksheets/sheet41731.xml"/>
  <Override ContentType="application/vnd.openxmlformats-officedocument.spreadsheetml.worksheet+xml" PartName="/xl/worksheets/sheet41732.xml"/>
  <Override ContentType="application/vnd.openxmlformats-officedocument.spreadsheetml.worksheet+xml" PartName="/xl/worksheets/sheet41733.xml"/>
  <Override ContentType="application/vnd.openxmlformats-officedocument.spreadsheetml.worksheet+xml" PartName="/xl/worksheets/sheet41734.xml"/>
  <Override ContentType="application/vnd.openxmlformats-officedocument.spreadsheetml.worksheet+xml" PartName="/xl/worksheets/sheet41735.xml"/>
  <Override ContentType="application/vnd.openxmlformats-officedocument.spreadsheetml.worksheet+xml" PartName="/xl/worksheets/sheet41736.xml"/>
  <Override ContentType="application/vnd.openxmlformats-officedocument.spreadsheetml.worksheet+xml" PartName="/xl/worksheets/sheet41737.xml"/>
  <Override ContentType="application/vnd.openxmlformats-officedocument.spreadsheetml.worksheet+xml" PartName="/xl/worksheets/sheet41738.xml"/>
  <Override ContentType="application/vnd.openxmlformats-officedocument.spreadsheetml.worksheet+xml" PartName="/xl/worksheets/sheet41739.xml"/>
  <Override ContentType="application/vnd.openxmlformats-officedocument.spreadsheetml.worksheet+xml" PartName="/xl/worksheets/sheet41740.xml"/>
  <Override ContentType="application/vnd.openxmlformats-officedocument.spreadsheetml.worksheet+xml" PartName="/xl/worksheets/sheet41741.xml"/>
  <Override ContentType="application/vnd.openxmlformats-officedocument.spreadsheetml.worksheet+xml" PartName="/xl/worksheets/sheet41742.xml"/>
  <Override ContentType="application/vnd.openxmlformats-officedocument.spreadsheetml.worksheet+xml" PartName="/xl/worksheets/sheet41743.xml"/>
  <Override ContentType="application/vnd.openxmlformats-officedocument.spreadsheetml.worksheet+xml" PartName="/xl/worksheets/sheet41744.xml"/>
  <Override ContentType="application/vnd.openxmlformats-officedocument.spreadsheetml.worksheet+xml" PartName="/xl/worksheets/sheet41745.xml"/>
  <Override ContentType="application/vnd.openxmlformats-officedocument.spreadsheetml.worksheet+xml" PartName="/xl/worksheets/sheet41746.xml"/>
  <Override ContentType="application/vnd.openxmlformats-officedocument.spreadsheetml.worksheet+xml" PartName="/xl/worksheets/sheet41747.xml"/>
  <Override ContentType="application/vnd.openxmlformats-officedocument.spreadsheetml.worksheet+xml" PartName="/xl/worksheets/sheet41748.xml"/>
  <Override ContentType="application/vnd.openxmlformats-officedocument.spreadsheetml.worksheet+xml" PartName="/xl/worksheets/sheet41749.xml"/>
  <Override ContentType="application/vnd.openxmlformats-officedocument.spreadsheetml.worksheet+xml" PartName="/xl/worksheets/sheet41750.xml"/>
  <Override ContentType="application/vnd.openxmlformats-officedocument.spreadsheetml.worksheet+xml" PartName="/xl/worksheets/sheet41751.xml"/>
  <Override ContentType="application/vnd.openxmlformats-officedocument.spreadsheetml.worksheet+xml" PartName="/xl/worksheets/sheet41752.xml"/>
  <Override ContentType="application/vnd.openxmlformats-officedocument.spreadsheetml.worksheet+xml" PartName="/xl/worksheets/sheet41753.xml"/>
  <Override ContentType="application/vnd.openxmlformats-officedocument.spreadsheetml.worksheet+xml" PartName="/xl/worksheets/sheet41754.xml"/>
  <Override ContentType="application/vnd.openxmlformats-officedocument.spreadsheetml.worksheet+xml" PartName="/xl/worksheets/sheet41755.xml"/>
  <Override ContentType="application/vnd.openxmlformats-officedocument.spreadsheetml.worksheet+xml" PartName="/xl/worksheets/sheet41756.xml"/>
  <Override ContentType="application/vnd.openxmlformats-officedocument.spreadsheetml.worksheet+xml" PartName="/xl/worksheets/sheet41757.xml"/>
  <Override ContentType="application/vnd.openxmlformats-officedocument.spreadsheetml.worksheet+xml" PartName="/xl/worksheets/sheet41758.xml"/>
  <Override ContentType="application/vnd.openxmlformats-officedocument.spreadsheetml.worksheet+xml" PartName="/xl/worksheets/sheet41759.xml"/>
  <Override ContentType="application/vnd.openxmlformats-officedocument.spreadsheetml.worksheet+xml" PartName="/xl/worksheets/sheet41760.xml"/>
  <Override ContentType="application/vnd.openxmlformats-officedocument.spreadsheetml.worksheet+xml" PartName="/xl/worksheets/sheet41761.xml"/>
  <Override ContentType="application/vnd.openxmlformats-officedocument.spreadsheetml.worksheet+xml" PartName="/xl/worksheets/sheet41762.xml"/>
  <Override ContentType="application/vnd.openxmlformats-officedocument.spreadsheetml.worksheet+xml" PartName="/xl/worksheets/sheet41763.xml"/>
  <Override ContentType="application/vnd.openxmlformats-officedocument.spreadsheetml.worksheet+xml" PartName="/xl/worksheets/sheet41764.xml"/>
  <Override ContentType="application/vnd.openxmlformats-officedocument.spreadsheetml.worksheet+xml" PartName="/xl/worksheets/sheet41765.xml"/>
  <Override ContentType="application/vnd.openxmlformats-officedocument.spreadsheetml.worksheet+xml" PartName="/xl/worksheets/sheet41766.xml"/>
  <Override ContentType="application/vnd.openxmlformats-officedocument.spreadsheetml.worksheet+xml" PartName="/xl/worksheets/sheet41767.xml"/>
  <Override ContentType="application/vnd.openxmlformats-officedocument.spreadsheetml.worksheet+xml" PartName="/xl/worksheets/sheet41768.xml"/>
  <Override ContentType="application/vnd.openxmlformats-officedocument.spreadsheetml.worksheet+xml" PartName="/xl/worksheets/sheet41769.xml"/>
  <Override ContentType="application/vnd.openxmlformats-officedocument.spreadsheetml.worksheet+xml" PartName="/xl/worksheets/sheet41770.xml"/>
  <Override ContentType="application/vnd.openxmlformats-officedocument.spreadsheetml.worksheet+xml" PartName="/xl/worksheets/sheet41771.xml"/>
  <Override ContentType="application/vnd.openxmlformats-officedocument.spreadsheetml.worksheet+xml" PartName="/xl/worksheets/sheet41772.xml"/>
  <Override ContentType="application/vnd.openxmlformats-officedocument.spreadsheetml.worksheet+xml" PartName="/xl/worksheets/sheet41773.xml"/>
  <Override ContentType="application/vnd.openxmlformats-officedocument.spreadsheetml.worksheet+xml" PartName="/xl/worksheets/sheet41774.xml"/>
  <Override ContentType="application/vnd.openxmlformats-officedocument.spreadsheetml.worksheet+xml" PartName="/xl/worksheets/sheet41775.xml"/>
  <Override ContentType="application/vnd.openxmlformats-officedocument.spreadsheetml.worksheet+xml" PartName="/xl/worksheets/sheet41776.xml"/>
  <Override ContentType="application/vnd.openxmlformats-officedocument.spreadsheetml.worksheet+xml" PartName="/xl/worksheets/sheet41777.xml"/>
  <Override ContentType="application/vnd.openxmlformats-officedocument.spreadsheetml.worksheet+xml" PartName="/xl/worksheets/sheet41778.xml"/>
  <Override ContentType="application/vnd.openxmlformats-officedocument.spreadsheetml.worksheet+xml" PartName="/xl/worksheets/sheet41779.xml"/>
  <Override ContentType="application/vnd.openxmlformats-officedocument.spreadsheetml.worksheet+xml" PartName="/xl/worksheets/sheet41780.xml"/>
  <Override ContentType="application/vnd.openxmlformats-officedocument.spreadsheetml.worksheet+xml" PartName="/xl/worksheets/sheet41781.xml"/>
  <Override ContentType="application/vnd.openxmlformats-officedocument.spreadsheetml.worksheet+xml" PartName="/xl/worksheets/sheet41782.xml"/>
  <Override ContentType="application/vnd.openxmlformats-officedocument.spreadsheetml.worksheet+xml" PartName="/xl/worksheets/sheet41783.xml"/>
  <Override ContentType="application/vnd.openxmlformats-officedocument.spreadsheetml.worksheet+xml" PartName="/xl/worksheets/sheet41784.xml"/>
  <Override ContentType="application/vnd.openxmlformats-officedocument.spreadsheetml.worksheet+xml" PartName="/xl/worksheets/sheet41785.xml"/>
  <Override ContentType="application/vnd.openxmlformats-officedocument.spreadsheetml.worksheet+xml" PartName="/xl/worksheets/sheet41786.xml"/>
  <Override ContentType="application/vnd.openxmlformats-officedocument.spreadsheetml.worksheet+xml" PartName="/xl/worksheets/sheet41787.xml"/>
  <Override ContentType="application/vnd.openxmlformats-officedocument.spreadsheetml.worksheet+xml" PartName="/xl/worksheets/sheet41788.xml"/>
  <Override ContentType="application/vnd.openxmlformats-officedocument.spreadsheetml.worksheet+xml" PartName="/xl/worksheets/sheet41789.xml"/>
  <Override ContentType="application/vnd.openxmlformats-officedocument.spreadsheetml.worksheet+xml" PartName="/xl/worksheets/sheet41790.xml"/>
  <Override ContentType="application/vnd.openxmlformats-officedocument.spreadsheetml.worksheet+xml" PartName="/xl/worksheets/sheet41791.xml"/>
  <Override ContentType="application/vnd.openxmlformats-officedocument.spreadsheetml.worksheet+xml" PartName="/xl/worksheets/sheet41792.xml"/>
  <Override ContentType="application/vnd.openxmlformats-officedocument.spreadsheetml.worksheet+xml" PartName="/xl/worksheets/sheet41793.xml"/>
  <Override ContentType="application/vnd.openxmlformats-officedocument.spreadsheetml.worksheet+xml" PartName="/xl/worksheets/sheet41794.xml"/>
  <Override ContentType="application/vnd.openxmlformats-officedocument.spreadsheetml.worksheet+xml" PartName="/xl/worksheets/sheet41795.xml"/>
  <Override ContentType="application/vnd.openxmlformats-officedocument.spreadsheetml.worksheet+xml" PartName="/xl/worksheets/sheet41796.xml"/>
  <Override ContentType="application/vnd.openxmlformats-officedocument.spreadsheetml.worksheet+xml" PartName="/xl/worksheets/sheet41797.xml"/>
  <Override ContentType="application/vnd.openxmlformats-officedocument.spreadsheetml.worksheet+xml" PartName="/xl/worksheets/sheet41798.xml"/>
  <Override ContentType="application/vnd.openxmlformats-officedocument.spreadsheetml.worksheet+xml" PartName="/xl/worksheets/sheet41799.xml"/>
  <Override ContentType="application/vnd.openxmlformats-officedocument.spreadsheetml.worksheet+xml" PartName="/xl/worksheets/sheet41800.xml"/>
  <Override ContentType="application/vnd.openxmlformats-officedocument.spreadsheetml.worksheet+xml" PartName="/xl/worksheets/sheet41801.xml"/>
  <Override ContentType="application/vnd.openxmlformats-officedocument.spreadsheetml.worksheet+xml" PartName="/xl/worksheets/sheet41802.xml"/>
  <Override ContentType="application/vnd.openxmlformats-officedocument.spreadsheetml.worksheet+xml" PartName="/xl/worksheets/sheet41803.xml"/>
  <Override ContentType="application/vnd.openxmlformats-officedocument.spreadsheetml.worksheet+xml" PartName="/xl/worksheets/sheet41804.xml"/>
  <Override ContentType="application/vnd.openxmlformats-officedocument.spreadsheetml.worksheet+xml" PartName="/xl/worksheets/sheet41805.xml"/>
  <Override ContentType="application/vnd.openxmlformats-officedocument.spreadsheetml.worksheet+xml" PartName="/xl/worksheets/sheet41806.xml"/>
  <Override ContentType="application/vnd.openxmlformats-officedocument.spreadsheetml.worksheet+xml" PartName="/xl/worksheets/sheet41807.xml"/>
  <Override ContentType="application/vnd.openxmlformats-officedocument.spreadsheetml.worksheet+xml" PartName="/xl/worksheets/sheet41808.xml"/>
  <Override ContentType="application/vnd.openxmlformats-officedocument.spreadsheetml.worksheet+xml" PartName="/xl/worksheets/sheet41809.xml"/>
  <Override ContentType="application/vnd.openxmlformats-officedocument.spreadsheetml.worksheet+xml" PartName="/xl/worksheets/sheet41810.xml"/>
  <Override ContentType="application/vnd.openxmlformats-officedocument.spreadsheetml.worksheet+xml" PartName="/xl/worksheets/sheet41811.xml"/>
  <Override ContentType="application/vnd.openxmlformats-officedocument.spreadsheetml.worksheet+xml" PartName="/xl/worksheets/sheet41812.xml"/>
  <Override ContentType="application/vnd.openxmlformats-officedocument.spreadsheetml.worksheet+xml" PartName="/xl/worksheets/sheet41813.xml"/>
  <Override ContentType="application/vnd.openxmlformats-officedocument.spreadsheetml.worksheet+xml" PartName="/xl/worksheets/sheet41814.xml"/>
  <Override ContentType="application/vnd.openxmlformats-officedocument.spreadsheetml.worksheet+xml" PartName="/xl/worksheets/sheet41815.xml"/>
  <Override ContentType="application/vnd.openxmlformats-officedocument.spreadsheetml.worksheet+xml" PartName="/xl/worksheets/sheet41816.xml"/>
  <Override ContentType="application/vnd.openxmlformats-officedocument.spreadsheetml.worksheet+xml" PartName="/xl/worksheets/sheet41817.xml"/>
  <Override ContentType="application/vnd.openxmlformats-officedocument.spreadsheetml.worksheet+xml" PartName="/xl/worksheets/sheet41818.xml"/>
  <Override ContentType="application/vnd.openxmlformats-officedocument.spreadsheetml.worksheet+xml" PartName="/xl/worksheets/sheet41819.xml"/>
  <Override ContentType="application/vnd.openxmlformats-officedocument.spreadsheetml.worksheet+xml" PartName="/xl/worksheets/sheet41820.xml"/>
  <Override ContentType="application/vnd.openxmlformats-officedocument.spreadsheetml.worksheet+xml" PartName="/xl/worksheets/sheet41821.xml"/>
  <Override ContentType="application/vnd.openxmlformats-officedocument.spreadsheetml.worksheet+xml" PartName="/xl/worksheets/sheet41822.xml"/>
  <Override ContentType="application/vnd.openxmlformats-officedocument.spreadsheetml.worksheet+xml" PartName="/xl/worksheets/sheet41823.xml"/>
  <Override ContentType="application/vnd.openxmlformats-officedocument.spreadsheetml.worksheet+xml" PartName="/xl/worksheets/sheet41824.xml"/>
  <Override ContentType="application/vnd.openxmlformats-officedocument.spreadsheetml.worksheet+xml" PartName="/xl/worksheets/sheet41825.xml"/>
  <Override ContentType="application/vnd.openxmlformats-officedocument.spreadsheetml.worksheet+xml" PartName="/xl/worksheets/sheet41826.xml"/>
  <Override ContentType="application/vnd.openxmlformats-officedocument.spreadsheetml.worksheet+xml" PartName="/xl/worksheets/sheet41827.xml"/>
  <Override ContentType="application/vnd.openxmlformats-officedocument.spreadsheetml.worksheet+xml" PartName="/xl/worksheets/sheet41828.xml"/>
  <Override ContentType="application/vnd.openxmlformats-officedocument.spreadsheetml.worksheet+xml" PartName="/xl/worksheets/sheet41829.xml"/>
  <Override ContentType="application/vnd.openxmlformats-officedocument.spreadsheetml.worksheet+xml" PartName="/xl/worksheets/sheet41830.xml"/>
  <Override ContentType="application/vnd.openxmlformats-officedocument.spreadsheetml.worksheet+xml" PartName="/xl/worksheets/sheet41831.xml"/>
  <Override ContentType="application/vnd.openxmlformats-officedocument.spreadsheetml.worksheet+xml" PartName="/xl/worksheets/sheet41832.xml"/>
  <Override ContentType="application/vnd.openxmlformats-officedocument.spreadsheetml.worksheet+xml" PartName="/xl/worksheets/sheet41833.xml"/>
  <Override ContentType="application/vnd.openxmlformats-officedocument.spreadsheetml.worksheet+xml" PartName="/xl/worksheets/sheet41834.xml"/>
  <Override ContentType="application/vnd.openxmlformats-officedocument.spreadsheetml.worksheet+xml" PartName="/xl/worksheets/sheet41835.xml"/>
  <Override ContentType="application/vnd.openxmlformats-officedocument.spreadsheetml.worksheet+xml" PartName="/xl/worksheets/sheet41836.xml"/>
  <Override ContentType="application/vnd.openxmlformats-officedocument.spreadsheetml.worksheet+xml" PartName="/xl/worksheets/sheet41837.xml"/>
  <Override ContentType="application/vnd.openxmlformats-officedocument.spreadsheetml.worksheet+xml" PartName="/xl/worksheets/sheet41838.xml"/>
  <Override ContentType="application/vnd.openxmlformats-officedocument.spreadsheetml.worksheet+xml" PartName="/xl/worksheets/sheet41839.xml"/>
  <Override ContentType="application/vnd.openxmlformats-officedocument.spreadsheetml.worksheet+xml" PartName="/xl/worksheets/sheet41840.xml"/>
  <Override ContentType="application/vnd.openxmlformats-officedocument.spreadsheetml.worksheet+xml" PartName="/xl/worksheets/sheet41841.xml"/>
  <Override ContentType="application/vnd.openxmlformats-officedocument.spreadsheetml.worksheet+xml" PartName="/xl/worksheets/sheet41842.xml"/>
  <Override ContentType="application/vnd.openxmlformats-officedocument.spreadsheetml.worksheet+xml" PartName="/xl/worksheets/sheet41843.xml"/>
  <Override ContentType="application/vnd.openxmlformats-officedocument.spreadsheetml.worksheet+xml" PartName="/xl/worksheets/sheet41844.xml"/>
  <Override ContentType="application/vnd.openxmlformats-officedocument.spreadsheetml.worksheet+xml" PartName="/xl/worksheets/sheet41845.xml"/>
  <Override ContentType="application/vnd.openxmlformats-officedocument.spreadsheetml.worksheet+xml" PartName="/xl/worksheets/sheet41846.xml"/>
  <Override ContentType="application/vnd.openxmlformats-officedocument.spreadsheetml.worksheet+xml" PartName="/xl/worksheets/sheet41847.xml"/>
  <Override ContentType="application/vnd.openxmlformats-officedocument.spreadsheetml.worksheet+xml" PartName="/xl/worksheets/sheet41848.xml"/>
  <Override ContentType="application/vnd.openxmlformats-officedocument.spreadsheetml.worksheet+xml" PartName="/xl/worksheets/sheet41849.xml"/>
  <Override ContentType="application/vnd.openxmlformats-officedocument.spreadsheetml.worksheet+xml" PartName="/xl/worksheets/sheet41850.xml"/>
  <Override ContentType="application/vnd.openxmlformats-officedocument.spreadsheetml.worksheet+xml" PartName="/xl/worksheets/sheet41851.xml"/>
  <Override ContentType="application/vnd.openxmlformats-officedocument.spreadsheetml.worksheet+xml" PartName="/xl/worksheets/sheet41852.xml"/>
  <Override ContentType="application/vnd.openxmlformats-officedocument.spreadsheetml.worksheet+xml" PartName="/xl/worksheets/sheet41853.xml"/>
  <Override ContentType="application/vnd.openxmlformats-officedocument.spreadsheetml.worksheet+xml" PartName="/xl/worksheets/sheet41854.xml"/>
  <Override ContentType="application/vnd.openxmlformats-officedocument.spreadsheetml.worksheet+xml" PartName="/xl/worksheets/sheet41855.xml"/>
  <Override ContentType="application/vnd.openxmlformats-officedocument.spreadsheetml.worksheet+xml" PartName="/xl/worksheets/sheet41856.xml"/>
  <Override ContentType="application/vnd.openxmlformats-officedocument.spreadsheetml.worksheet+xml" PartName="/xl/worksheets/sheet41857.xml"/>
  <Override ContentType="application/vnd.openxmlformats-officedocument.spreadsheetml.worksheet+xml" PartName="/xl/worksheets/sheet41858.xml"/>
  <Override ContentType="application/vnd.openxmlformats-officedocument.spreadsheetml.worksheet+xml" PartName="/xl/worksheets/sheet41859.xml"/>
  <Override ContentType="application/vnd.openxmlformats-officedocument.spreadsheetml.worksheet+xml" PartName="/xl/worksheets/sheet41860.xml"/>
  <Override ContentType="application/vnd.openxmlformats-officedocument.spreadsheetml.worksheet+xml" PartName="/xl/worksheets/sheet41861.xml"/>
  <Override ContentType="application/vnd.openxmlformats-officedocument.spreadsheetml.worksheet+xml" PartName="/xl/worksheets/sheet41862.xml"/>
  <Override ContentType="application/vnd.openxmlformats-officedocument.spreadsheetml.worksheet+xml" PartName="/xl/worksheets/sheet41863.xml"/>
  <Override ContentType="application/vnd.openxmlformats-officedocument.spreadsheetml.worksheet+xml" PartName="/xl/worksheets/sheet41864.xml"/>
  <Override ContentType="application/vnd.openxmlformats-officedocument.spreadsheetml.worksheet+xml" PartName="/xl/worksheets/sheet41865.xml"/>
  <Override ContentType="application/vnd.openxmlformats-officedocument.spreadsheetml.worksheet+xml" PartName="/xl/worksheets/sheet41866.xml"/>
  <Override ContentType="application/vnd.openxmlformats-officedocument.spreadsheetml.worksheet+xml" PartName="/xl/worksheets/sheet41867.xml"/>
  <Override ContentType="application/vnd.openxmlformats-officedocument.spreadsheetml.worksheet+xml" PartName="/xl/worksheets/sheet41868.xml"/>
  <Override ContentType="application/vnd.openxmlformats-officedocument.spreadsheetml.worksheet+xml" PartName="/xl/worksheets/sheet41869.xml"/>
  <Override ContentType="application/vnd.openxmlformats-officedocument.spreadsheetml.worksheet+xml" PartName="/xl/worksheets/sheet41870.xml"/>
  <Override ContentType="application/vnd.openxmlformats-officedocument.spreadsheetml.worksheet+xml" PartName="/xl/worksheets/sheet41871.xml"/>
  <Override ContentType="application/vnd.openxmlformats-officedocument.spreadsheetml.worksheet+xml" PartName="/xl/worksheets/sheet41872.xml"/>
  <Override ContentType="application/vnd.openxmlformats-officedocument.spreadsheetml.worksheet+xml" PartName="/xl/worksheets/sheet41873.xml"/>
  <Override ContentType="application/vnd.openxmlformats-officedocument.spreadsheetml.worksheet+xml" PartName="/xl/worksheets/sheet41874.xml"/>
  <Override ContentType="application/vnd.openxmlformats-officedocument.spreadsheetml.worksheet+xml" PartName="/xl/worksheets/sheet41875.xml"/>
  <Override ContentType="application/vnd.openxmlformats-officedocument.spreadsheetml.worksheet+xml" PartName="/xl/worksheets/sheet41876.xml"/>
  <Override ContentType="application/vnd.openxmlformats-officedocument.spreadsheetml.worksheet+xml" PartName="/xl/worksheets/sheet41877.xml"/>
  <Override ContentType="application/vnd.openxmlformats-officedocument.spreadsheetml.worksheet+xml" PartName="/xl/worksheets/sheet41878.xml"/>
  <Override ContentType="application/vnd.openxmlformats-officedocument.spreadsheetml.worksheet+xml" PartName="/xl/worksheets/sheet41879.xml"/>
  <Override ContentType="application/vnd.openxmlformats-officedocument.spreadsheetml.worksheet+xml" PartName="/xl/worksheets/sheet41880.xml"/>
  <Override ContentType="application/vnd.openxmlformats-officedocument.spreadsheetml.worksheet+xml" PartName="/xl/worksheets/sheet41881.xml"/>
  <Override ContentType="application/vnd.openxmlformats-officedocument.spreadsheetml.worksheet+xml" PartName="/xl/worksheets/sheet41882.xml"/>
  <Override ContentType="application/vnd.openxmlformats-officedocument.spreadsheetml.worksheet+xml" PartName="/xl/worksheets/sheet41883.xml"/>
  <Override ContentType="application/vnd.openxmlformats-officedocument.spreadsheetml.worksheet+xml" PartName="/xl/worksheets/sheet41884.xml"/>
  <Override ContentType="application/vnd.openxmlformats-officedocument.spreadsheetml.worksheet+xml" PartName="/xl/worksheets/sheet41885.xml"/>
  <Override ContentType="application/vnd.openxmlformats-officedocument.spreadsheetml.worksheet+xml" PartName="/xl/worksheets/sheet41886.xml"/>
  <Override ContentType="application/vnd.openxmlformats-officedocument.spreadsheetml.worksheet+xml" PartName="/xl/worksheets/sheet41887.xml"/>
  <Override ContentType="application/vnd.openxmlformats-officedocument.spreadsheetml.worksheet+xml" PartName="/xl/worksheets/sheet41888.xml"/>
  <Override ContentType="application/vnd.openxmlformats-officedocument.spreadsheetml.worksheet+xml" PartName="/xl/worksheets/sheet41889.xml"/>
  <Override ContentType="application/vnd.openxmlformats-officedocument.spreadsheetml.worksheet+xml" PartName="/xl/worksheets/sheet41890.xml"/>
  <Override ContentType="application/vnd.openxmlformats-officedocument.spreadsheetml.worksheet+xml" PartName="/xl/worksheets/sheet41891.xml"/>
  <Override ContentType="application/vnd.openxmlformats-officedocument.spreadsheetml.worksheet+xml" PartName="/xl/worksheets/sheet41892.xml"/>
  <Override ContentType="application/vnd.openxmlformats-officedocument.spreadsheetml.worksheet+xml" PartName="/xl/worksheets/sheet41893.xml"/>
  <Override ContentType="application/vnd.openxmlformats-officedocument.spreadsheetml.worksheet+xml" PartName="/xl/worksheets/sheet41894.xml"/>
  <Override ContentType="application/vnd.openxmlformats-officedocument.spreadsheetml.worksheet+xml" PartName="/xl/worksheets/sheet41895.xml"/>
  <Override ContentType="application/vnd.openxmlformats-officedocument.spreadsheetml.worksheet+xml" PartName="/xl/worksheets/sheet41896.xml"/>
  <Override ContentType="application/vnd.openxmlformats-officedocument.spreadsheetml.worksheet+xml" PartName="/xl/worksheets/sheet41897.xml"/>
  <Override ContentType="application/vnd.openxmlformats-officedocument.spreadsheetml.worksheet+xml" PartName="/xl/worksheets/sheet41898.xml"/>
  <Override ContentType="application/vnd.openxmlformats-officedocument.spreadsheetml.worksheet+xml" PartName="/xl/worksheets/sheet41899.xml"/>
  <Override ContentType="application/vnd.openxmlformats-officedocument.spreadsheetml.worksheet+xml" PartName="/xl/worksheets/sheet41900.xml"/>
  <Override ContentType="application/vnd.openxmlformats-officedocument.spreadsheetml.worksheet+xml" PartName="/xl/worksheets/sheet41901.xml"/>
  <Override ContentType="application/vnd.openxmlformats-officedocument.spreadsheetml.worksheet+xml" PartName="/xl/worksheets/sheet41902.xml"/>
  <Override ContentType="application/vnd.openxmlformats-officedocument.spreadsheetml.worksheet+xml" PartName="/xl/worksheets/sheet41903.xml"/>
  <Override ContentType="application/vnd.openxmlformats-officedocument.spreadsheetml.worksheet+xml" PartName="/xl/worksheets/sheet41904.xml"/>
  <Override ContentType="application/vnd.openxmlformats-officedocument.spreadsheetml.worksheet+xml" PartName="/xl/worksheets/sheet41905.xml"/>
  <Override ContentType="application/vnd.openxmlformats-officedocument.spreadsheetml.worksheet+xml" PartName="/xl/worksheets/sheet41906.xml"/>
  <Override ContentType="application/vnd.openxmlformats-officedocument.spreadsheetml.worksheet+xml" PartName="/xl/worksheets/sheet41907.xml"/>
  <Override ContentType="application/vnd.openxmlformats-officedocument.spreadsheetml.worksheet+xml" PartName="/xl/worksheets/sheet41908.xml"/>
  <Override ContentType="application/vnd.openxmlformats-officedocument.spreadsheetml.worksheet+xml" PartName="/xl/worksheets/sheet41909.xml"/>
  <Override ContentType="application/vnd.openxmlformats-officedocument.spreadsheetml.worksheet+xml" PartName="/xl/worksheets/sheet41910.xml"/>
  <Override ContentType="application/vnd.openxmlformats-officedocument.spreadsheetml.worksheet+xml" PartName="/xl/worksheets/sheet41911.xml"/>
  <Override ContentType="application/vnd.openxmlformats-officedocument.spreadsheetml.worksheet+xml" PartName="/xl/worksheets/sheet41912.xml"/>
  <Override ContentType="application/vnd.openxmlformats-officedocument.spreadsheetml.worksheet+xml" PartName="/xl/worksheets/sheet41913.xml"/>
  <Override ContentType="application/vnd.openxmlformats-officedocument.spreadsheetml.worksheet+xml" PartName="/xl/worksheets/sheet41914.xml"/>
  <Override ContentType="application/vnd.openxmlformats-officedocument.spreadsheetml.worksheet+xml" PartName="/xl/worksheets/sheet41915.xml"/>
  <Override ContentType="application/vnd.openxmlformats-officedocument.spreadsheetml.worksheet+xml" PartName="/xl/worksheets/sheet41916.xml"/>
  <Override ContentType="application/vnd.openxmlformats-officedocument.spreadsheetml.worksheet+xml" PartName="/xl/worksheets/sheet41917.xml"/>
  <Override ContentType="application/vnd.openxmlformats-officedocument.spreadsheetml.worksheet+xml" PartName="/xl/worksheets/sheet41918.xml"/>
  <Override ContentType="application/vnd.openxmlformats-officedocument.spreadsheetml.worksheet+xml" PartName="/xl/worksheets/sheet41919.xml"/>
  <Override ContentType="application/vnd.openxmlformats-officedocument.spreadsheetml.worksheet+xml" PartName="/xl/worksheets/sheet41920.xml"/>
  <Override ContentType="application/vnd.openxmlformats-officedocument.spreadsheetml.worksheet+xml" PartName="/xl/worksheets/sheet41921.xml"/>
  <Override ContentType="application/vnd.openxmlformats-officedocument.spreadsheetml.worksheet+xml" PartName="/xl/worksheets/sheet41922.xml"/>
  <Override ContentType="application/vnd.openxmlformats-officedocument.spreadsheetml.worksheet+xml" PartName="/xl/worksheets/sheet41923.xml"/>
  <Override ContentType="application/vnd.openxmlformats-officedocument.spreadsheetml.worksheet+xml" PartName="/xl/worksheets/sheet41924.xml"/>
  <Override ContentType="application/vnd.openxmlformats-officedocument.spreadsheetml.worksheet+xml" PartName="/xl/worksheets/sheet41925.xml"/>
  <Override ContentType="application/vnd.openxmlformats-officedocument.spreadsheetml.worksheet+xml" PartName="/xl/worksheets/sheet41926.xml"/>
  <Override ContentType="application/vnd.openxmlformats-officedocument.spreadsheetml.worksheet+xml" PartName="/xl/worksheets/sheet41927.xml"/>
  <Override ContentType="application/vnd.openxmlformats-officedocument.spreadsheetml.worksheet+xml" PartName="/xl/worksheets/sheet41928.xml"/>
  <Override ContentType="application/vnd.openxmlformats-officedocument.spreadsheetml.worksheet+xml" PartName="/xl/worksheets/sheet41929.xml"/>
  <Override ContentType="application/vnd.openxmlformats-officedocument.spreadsheetml.worksheet+xml" PartName="/xl/worksheets/sheet41930.xml"/>
  <Override ContentType="application/vnd.openxmlformats-officedocument.spreadsheetml.worksheet+xml" PartName="/xl/worksheets/sheet41931.xml"/>
  <Override ContentType="application/vnd.openxmlformats-officedocument.spreadsheetml.worksheet+xml" PartName="/xl/worksheets/sheet41932.xml"/>
  <Override ContentType="application/vnd.openxmlformats-officedocument.spreadsheetml.worksheet+xml" PartName="/xl/worksheets/sheet41933.xml"/>
  <Override ContentType="application/vnd.openxmlformats-officedocument.spreadsheetml.worksheet+xml" PartName="/xl/worksheets/sheet41934.xml"/>
  <Override ContentType="application/vnd.openxmlformats-officedocument.spreadsheetml.worksheet+xml" PartName="/xl/worksheets/sheet41935.xml"/>
  <Override ContentType="application/vnd.openxmlformats-officedocument.spreadsheetml.worksheet+xml" PartName="/xl/worksheets/sheet41936.xml"/>
  <Override ContentType="application/vnd.openxmlformats-officedocument.spreadsheetml.worksheet+xml" PartName="/xl/worksheets/sheet41937.xml"/>
  <Override ContentType="application/vnd.openxmlformats-officedocument.spreadsheetml.worksheet+xml" PartName="/xl/worksheets/sheet41938.xml"/>
  <Override ContentType="application/vnd.openxmlformats-officedocument.spreadsheetml.worksheet+xml" PartName="/xl/worksheets/sheet41939.xml"/>
  <Override ContentType="application/vnd.openxmlformats-officedocument.spreadsheetml.worksheet+xml" PartName="/xl/worksheets/sheet41940.xml"/>
  <Override ContentType="application/vnd.openxmlformats-officedocument.spreadsheetml.worksheet+xml" PartName="/xl/worksheets/sheet41941.xml"/>
  <Override ContentType="application/vnd.openxmlformats-officedocument.spreadsheetml.worksheet+xml" PartName="/xl/worksheets/sheet41942.xml"/>
  <Override ContentType="application/vnd.openxmlformats-officedocument.spreadsheetml.worksheet+xml" PartName="/xl/worksheets/sheet41943.xml"/>
  <Override ContentType="application/vnd.openxmlformats-officedocument.spreadsheetml.worksheet+xml" PartName="/xl/worksheets/sheet41944.xml"/>
  <Override ContentType="application/vnd.openxmlformats-officedocument.spreadsheetml.worksheet+xml" PartName="/xl/worksheets/sheet41945.xml"/>
  <Override ContentType="application/vnd.openxmlformats-officedocument.spreadsheetml.worksheet+xml" PartName="/xl/worksheets/sheet41946.xml"/>
  <Override ContentType="application/vnd.openxmlformats-officedocument.spreadsheetml.worksheet+xml" PartName="/xl/worksheets/sheet41947.xml"/>
  <Override ContentType="application/vnd.openxmlformats-officedocument.spreadsheetml.worksheet+xml" PartName="/xl/worksheets/sheet41948.xml"/>
  <Override ContentType="application/vnd.openxmlformats-officedocument.spreadsheetml.worksheet+xml" PartName="/xl/worksheets/sheet41949.xml"/>
  <Override ContentType="application/vnd.openxmlformats-officedocument.spreadsheetml.worksheet+xml" PartName="/xl/worksheets/sheet41950.xml"/>
  <Override ContentType="application/vnd.openxmlformats-officedocument.spreadsheetml.worksheet+xml" PartName="/xl/worksheets/sheet41951.xml"/>
  <Override ContentType="application/vnd.openxmlformats-officedocument.spreadsheetml.worksheet+xml" PartName="/xl/worksheets/sheet41952.xml"/>
  <Override ContentType="application/vnd.openxmlformats-officedocument.spreadsheetml.worksheet+xml" PartName="/xl/worksheets/sheet41953.xml"/>
  <Override ContentType="application/vnd.openxmlformats-officedocument.spreadsheetml.worksheet+xml" PartName="/xl/worksheets/sheet41954.xml"/>
  <Override ContentType="application/vnd.openxmlformats-officedocument.spreadsheetml.worksheet+xml" PartName="/xl/worksheets/sheet41955.xml"/>
  <Override ContentType="application/vnd.openxmlformats-officedocument.spreadsheetml.worksheet+xml" PartName="/xl/worksheets/sheet41956.xml"/>
  <Override ContentType="application/vnd.openxmlformats-officedocument.spreadsheetml.worksheet+xml" PartName="/xl/worksheets/sheet41957.xml"/>
  <Override ContentType="application/vnd.openxmlformats-officedocument.spreadsheetml.worksheet+xml" PartName="/xl/worksheets/sheet41958.xml"/>
  <Override ContentType="application/vnd.openxmlformats-officedocument.spreadsheetml.worksheet+xml" PartName="/xl/worksheets/sheet41959.xml"/>
  <Override ContentType="application/vnd.openxmlformats-officedocument.spreadsheetml.worksheet+xml" PartName="/xl/worksheets/sheet41960.xml"/>
  <Override ContentType="application/vnd.openxmlformats-officedocument.spreadsheetml.worksheet+xml" PartName="/xl/worksheets/sheet41961.xml"/>
  <Override ContentType="application/vnd.openxmlformats-officedocument.spreadsheetml.worksheet+xml" PartName="/xl/worksheets/sheet41962.xml"/>
  <Override ContentType="application/vnd.openxmlformats-officedocument.spreadsheetml.worksheet+xml" PartName="/xl/worksheets/sheet41963.xml"/>
  <Override ContentType="application/vnd.openxmlformats-officedocument.spreadsheetml.worksheet+xml" PartName="/xl/worksheets/sheet41964.xml"/>
  <Override ContentType="application/vnd.openxmlformats-officedocument.spreadsheetml.worksheet+xml" PartName="/xl/worksheets/sheet41965.xml"/>
  <Override ContentType="application/vnd.openxmlformats-officedocument.spreadsheetml.worksheet+xml" PartName="/xl/worksheets/sheet41966.xml"/>
  <Override ContentType="application/vnd.openxmlformats-officedocument.spreadsheetml.worksheet+xml" PartName="/xl/worksheets/sheet41967.xml"/>
  <Override ContentType="application/vnd.openxmlformats-officedocument.spreadsheetml.worksheet+xml" PartName="/xl/worksheets/sheet41968.xml"/>
  <Override ContentType="application/vnd.openxmlformats-officedocument.spreadsheetml.worksheet+xml" PartName="/xl/worksheets/sheet41969.xml"/>
  <Override ContentType="application/vnd.openxmlformats-officedocument.spreadsheetml.worksheet+xml" PartName="/xl/worksheets/sheet41970.xml"/>
  <Override ContentType="application/vnd.openxmlformats-officedocument.spreadsheetml.worksheet+xml" PartName="/xl/worksheets/sheet41971.xml"/>
  <Override ContentType="application/vnd.openxmlformats-officedocument.spreadsheetml.worksheet+xml" PartName="/xl/worksheets/sheet41972.xml"/>
  <Override ContentType="application/vnd.openxmlformats-officedocument.spreadsheetml.worksheet+xml" PartName="/xl/worksheets/sheet41973.xml"/>
  <Override ContentType="application/vnd.openxmlformats-officedocument.spreadsheetml.worksheet+xml" PartName="/xl/worksheets/sheet41974.xml"/>
  <Override ContentType="application/vnd.openxmlformats-officedocument.spreadsheetml.worksheet+xml" PartName="/xl/worksheets/sheet41975.xml"/>
  <Override ContentType="application/vnd.openxmlformats-officedocument.spreadsheetml.worksheet+xml" PartName="/xl/worksheets/sheet41976.xml"/>
  <Override ContentType="application/vnd.openxmlformats-officedocument.spreadsheetml.worksheet+xml" PartName="/xl/worksheets/sheet41977.xml"/>
  <Override ContentType="application/vnd.openxmlformats-officedocument.spreadsheetml.worksheet+xml" PartName="/xl/worksheets/sheet41978.xml"/>
  <Override ContentType="application/vnd.openxmlformats-officedocument.spreadsheetml.worksheet+xml" PartName="/xl/worksheets/sheet41979.xml"/>
  <Override ContentType="application/vnd.openxmlformats-officedocument.spreadsheetml.worksheet+xml" PartName="/xl/worksheets/sheet41980.xml"/>
  <Override ContentType="application/vnd.openxmlformats-officedocument.spreadsheetml.worksheet+xml" PartName="/xl/worksheets/sheet41981.xml"/>
  <Override ContentType="application/vnd.openxmlformats-officedocument.spreadsheetml.worksheet+xml" PartName="/xl/worksheets/sheet41982.xml"/>
  <Override ContentType="application/vnd.openxmlformats-officedocument.spreadsheetml.worksheet+xml" PartName="/xl/worksheets/sheet41983.xml"/>
  <Override ContentType="application/vnd.openxmlformats-officedocument.spreadsheetml.worksheet+xml" PartName="/xl/worksheets/sheet41984.xml"/>
  <Override ContentType="application/vnd.openxmlformats-officedocument.spreadsheetml.worksheet+xml" PartName="/xl/worksheets/sheet41985.xml"/>
  <Override ContentType="application/vnd.openxmlformats-officedocument.spreadsheetml.worksheet+xml" PartName="/xl/worksheets/sheet41986.xml"/>
  <Override ContentType="application/vnd.openxmlformats-officedocument.spreadsheetml.worksheet+xml" PartName="/xl/worksheets/sheet41987.xml"/>
  <Override ContentType="application/vnd.openxmlformats-officedocument.spreadsheetml.worksheet+xml" PartName="/xl/worksheets/sheet41988.xml"/>
  <Override ContentType="application/vnd.openxmlformats-officedocument.spreadsheetml.worksheet+xml" PartName="/xl/worksheets/sheet41989.xml"/>
  <Override ContentType="application/vnd.openxmlformats-officedocument.spreadsheetml.worksheet+xml" PartName="/xl/worksheets/sheet41990.xml"/>
  <Override ContentType="application/vnd.openxmlformats-officedocument.spreadsheetml.worksheet+xml" PartName="/xl/worksheets/sheet41991.xml"/>
  <Override ContentType="application/vnd.openxmlformats-officedocument.spreadsheetml.worksheet+xml" PartName="/xl/worksheets/sheet41992.xml"/>
  <Override ContentType="application/vnd.openxmlformats-officedocument.spreadsheetml.worksheet+xml" PartName="/xl/worksheets/sheet41993.xml"/>
  <Override ContentType="application/vnd.openxmlformats-officedocument.spreadsheetml.worksheet+xml" PartName="/xl/worksheets/sheet41994.xml"/>
  <Override ContentType="application/vnd.openxmlformats-officedocument.spreadsheetml.worksheet+xml" PartName="/xl/worksheets/sheet41995.xml"/>
  <Override ContentType="application/vnd.openxmlformats-officedocument.spreadsheetml.worksheet+xml" PartName="/xl/worksheets/sheet41996.xml"/>
  <Override ContentType="application/vnd.openxmlformats-officedocument.spreadsheetml.worksheet+xml" PartName="/xl/worksheets/sheet41997.xml"/>
  <Override ContentType="application/vnd.openxmlformats-officedocument.spreadsheetml.worksheet+xml" PartName="/xl/worksheets/sheet41998.xml"/>
  <Override ContentType="application/vnd.openxmlformats-officedocument.spreadsheetml.worksheet+xml" PartName="/xl/worksheets/sheet41999.xml"/>
  <Override ContentType="application/vnd.openxmlformats-officedocument.spreadsheetml.worksheet+xml" PartName="/xl/worksheets/sheet42000.xml"/>
  <Override ContentType="application/vnd.openxmlformats-officedocument.spreadsheetml.worksheet+xml" PartName="/xl/worksheets/sheet42001.xml"/>
  <Override ContentType="application/vnd.openxmlformats-officedocument.spreadsheetml.worksheet+xml" PartName="/xl/worksheets/sheet42002.xml"/>
  <Override ContentType="application/vnd.openxmlformats-officedocument.spreadsheetml.worksheet+xml" PartName="/xl/worksheets/sheet42003.xml"/>
  <Override ContentType="application/vnd.openxmlformats-officedocument.spreadsheetml.worksheet+xml" PartName="/xl/worksheets/sheet42004.xml"/>
  <Override ContentType="application/vnd.openxmlformats-officedocument.spreadsheetml.worksheet+xml" PartName="/xl/worksheets/sheet42005.xml"/>
  <Override ContentType="application/vnd.openxmlformats-officedocument.spreadsheetml.worksheet+xml" PartName="/xl/worksheets/sheet42006.xml"/>
  <Override ContentType="application/vnd.openxmlformats-officedocument.spreadsheetml.worksheet+xml" PartName="/xl/worksheets/sheet42007.xml"/>
  <Override ContentType="application/vnd.openxmlformats-officedocument.spreadsheetml.worksheet+xml" PartName="/xl/worksheets/sheet42008.xml"/>
  <Override ContentType="application/vnd.openxmlformats-officedocument.spreadsheetml.worksheet+xml" PartName="/xl/worksheets/sheet42009.xml"/>
  <Override ContentType="application/vnd.openxmlformats-officedocument.spreadsheetml.worksheet+xml" PartName="/xl/worksheets/sheet42010.xml"/>
  <Override ContentType="application/vnd.openxmlformats-officedocument.spreadsheetml.worksheet+xml" PartName="/xl/worksheets/sheet42011.xml"/>
  <Override ContentType="application/vnd.openxmlformats-officedocument.spreadsheetml.worksheet+xml" PartName="/xl/worksheets/sheet42012.xml"/>
  <Override ContentType="application/vnd.openxmlformats-officedocument.spreadsheetml.worksheet+xml" PartName="/xl/worksheets/sheet42013.xml"/>
  <Override ContentType="application/vnd.openxmlformats-officedocument.spreadsheetml.worksheet+xml" PartName="/xl/worksheets/sheet42014.xml"/>
  <Override ContentType="application/vnd.openxmlformats-officedocument.spreadsheetml.worksheet+xml" PartName="/xl/worksheets/sheet42015.xml"/>
  <Override ContentType="application/vnd.openxmlformats-officedocument.spreadsheetml.worksheet+xml" PartName="/xl/worksheets/sheet42016.xml"/>
  <Override ContentType="application/vnd.openxmlformats-officedocument.spreadsheetml.worksheet+xml" PartName="/xl/worksheets/sheet42017.xml"/>
  <Override ContentType="application/vnd.openxmlformats-officedocument.spreadsheetml.worksheet+xml" PartName="/xl/worksheets/sheet42018.xml"/>
  <Override ContentType="application/vnd.openxmlformats-officedocument.spreadsheetml.worksheet+xml" PartName="/xl/worksheets/sheet42019.xml"/>
  <Override ContentType="application/vnd.openxmlformats-officedocument.spreadsheetml.worksheet+xml" PartName="/xl/worksheets/sheet42020.xml"/>
  <Override ContentType="application/vnd.openxmlformats-officedocument.spreadsheetml.worksheet+xml" PartName="/xl/worksheets/sheet42021.xml"/>
  <Override ContentType="application/vnd.openxmlformats-officedocument.spreadsheetml.worksheet+xml" PartName="/xl/worksheets/sheet42022.xml"/>
  <Override ContentType="application/vnd.openxmlformats-officedocument.spreadsheetml.worksheet+xml" PartName="/xl/worksheets/sheet42023.xml"/>
  <Override ContentType="application/vnd.openxmlformats-officedocument.spreadsheetml.worksheet+xml" PartName="/xl/worksheets/sheet42024.xml"/>
  <Override ContentType="application/vnd.openxmlformats-officedocument.spreadsheetml.worksheet+xml" PartName="/xl/worksheets/sheet42025.xml"/>
  <Override ContentType="application/vnd.openxmlformats-officedocument.spreadsheetml.worksheet+xml" PartName="/xl/worksheets/sheet42026.xml"/>
  <Override ContentType="application/vnd.openxmlformats-officedocument.spreadsheetml.worksheet+xml" PartName="/xl/worksheets/sheet42027.xml"/>
  <Override ContentType="application/vnd.openxmlformats-officedocument.spreadsheetml.worksheet+xml" PartName="/xl/worksheets/sheet42028.xml"/>
  <Override ContentType="application/vnd.openxmlformats-officedocument.spreadsheetml.worksheet+xml" PartName="/xl/worksheets/sheet42029.xml"/>
  <Override ContentType="application/vnd.openxmlformats-officedocument.spreadsheetml.worksheet+xml" PartName="/xl/worksheets/sheet42030.xml"/>
  <Override ContentType="application/vnd.openxmlformats-officedocument.spreadsheetml.worksheet+xml" PartName="/xl/worksheets/sheet42031.xml"/>
  <Override ContentType="application/vnd.openxmlformats-officedocument.spreadsheetml.worksheet+xml" PartName="/xl/worksheets/sheet42032.xml"/>
  <Override ContentType="application/vnd.openxmlformats-officedocument.spreadsheetml.worksheet+xml" PartName="/xl/worksheets/sheet42033.xml"/>
  <Override ContentType="application/vnd.openxmlformats-officedocument.spreadsheetml.worksheet+xml" PartName="/xl/worksheets/sheet42034.xml"/>
  <Override ContentType="application/vnd.openxmlformats-officedocument.spreadsheetml.worksheet+xml" PartName="/xl/worksheets/sheet42035.xml"/>
  <Override ContentType="application/vnd.openxmlformats-officedocument.spreadsheetml.worksheet+xml" PartName="/xl/worksheets/sheet42036.xml"/>
  <Override ContentType="application/vnd.openxmlformats-officedocument.spreadsheetml.worksheet+xml" PartName="/xl/worksheets/sheet42037.xml"/>
  <Override ContentType="application/vnd.openxmlformats-officedocument.spreadsheetml.worksheet+xml" PartName="/xl/worksheets/sheet42038.xml"/>
  <Override ContentType="application/vnd.openxmlformats-officedocument.spreadsheetml.worksheet+xml" PartName="/xl/worksheets/sheet42039.xml"/>
  <Override ContentType="application/vnd.openxmlformats-officedocument.spreadsheetml.worksheet+xml" PartName="/xl/worksheets/sheet42040.xml"/>
  <Override ContentType="application/vnd.openxmlformats-officedocument.spreadsheetml.worksheet+xml" PartName="/xl/worksheets/sheet42041.xml"/>
  <Override ContentType="application/vnd.openxmlformats-officedocument.spreadsheetml.worksheet+xml" PartName="/xl/worksheets/sheet42042.xml"/>
  <Override ContentType="application/vnd.openxmlformats-officedocument.spreadsheetml.worksheet+xml" PartName="/xl/worksheets/sheet42043.xml"/>
  <Override ContentType="application/vnd.openxmlformats-officedocument.spreadsheetml.worksheet+xml" PartName="/xl/worksheets/sheet42044.xml"/>
  <Override ContentType="application/vnd.openxmlformats-officedocument.spreadsheetml.worksheet+xml" PartName="/xl/worksheets/sheet42045.xml"/>
  <Override ContentType="application/vnd.openxmlformats-officedocument.spreadsheetml.worksheet+xml" PartName="/xl/worksheets/sheet42046.xml"/>
  <Override ContentType="application/vnd.openxmlformats-officedocument.spreadsheetml.worksheet+xml" PartName="/xl/worksheets/sheet42047.xml"/>
  <Override ContentType="application/vnd.openxmlformats-officedocument.spreadsheetml.worksheet+xml" PartName="/xl/worksheets/sheet42048.xml"/>
  <Override ContentType="application/vnd.openxmlformats-officedocument.spreadsheetml.worksheet+xml" PartName="/xl/worksheets/sheet42049.xml"/>
  <Override ContentType="application/vnd.openxmlformats-officedocument.spreadsheetml.worksheet+xml" PartName="/xl/worksheets/sheet42050.xml"/>
  <Override ContentType="application/vnd.openxmlformats-officedocument.spreadsheetml.worksheet+xml" PartName="/xl/worksheets/sheet42051.xml"/>
  <Override ContentType="application/vnd.openxmlformats-officedocument.spreadsheetml.worksheet+xml" PartName="/xl/worksheets/sheet42052.xml"/>
  <Override ContentType="application/vnd.openxmlformats-officedocument.spreadsheetml.worksheet+xml" PartName="/xl/worksheets/sheet42053.xml"/>
  <Override ContentType="application/vnd.openxmlformats-officedocument.spreadsheetml.worksheet+xml" PartName="/xl/worksheets/sheet42054.xml"/>
  <Override ContentType="application/vnd.openxmlformats-officedocument.spreadsheetml.worksheet+xml" PartName="/xl/worksheets/sheet42055.xml"/>
  <Override ContentType="application/vnd.openxmlformats-officedocument.spreadsheetml.worksheet+xml" PartName="/xl/worksheets/sheet42056.xml"/>
  <Override ContentType="application/vnd.openxmlformats-officedocument.spreadsheetml.worksheet+xml" PartName="/xl/worksheets/sheet42057.xml"/>
  <Override ContentType="application/vnd.openxmlformats-officedocument.spreadsheetml.worksheet+xml" PartName="/xl/worksheets/sheet42058.xml"/>
  <Override ContentType="application/vnd.openxmlformats-officedocument.spreadsheetml.worksheet+xml" PartName="/xl/worksheets/sheet42059.xml"/>
  <Override ContentType="application/vnd.openxmlformats-officedocument.spreadsheetml.worksheet+xml" PartName="/xl/worksheets/sheet42060.xml"/>
  <Override ContentType="application/vnd.openxmlformats-officedocument.spreadsheetml.worksheet+xml" PartName="/xl/worksheets/sheet42061.xml"/>
  <Override ContentType="application/vnd.openxmlformats-officedocument.spreadsheetml.worksheet+xml" PartName="/xl/worksheets/sheet42062.xml"/>
  <Override ContentType="application/vnd.openxmlformats-officedocument.spreadsheetml.worksheet+xml" PartName="/xl/worksheets/sheet42063.xml"/>
  <Override ContentType="application/vnd.openxmlformats-officedocument.spreadsheetml.worksheet+xml" PartName="/xl/worksheets/sheet42064.xml"/>
  <Override ContentType="application/vnd.openxmlformats-officedocument.spreadsheetml.worksheet+xml" PartName="/xl/worksheets/sheet42065.xml"/>
  <Override ContentType="application/vnd.openxmlformats-officedocument.spreadsheetml.worksheet+xml" PartName="/xl/worksheets/sheet42066.xml"/>
  <Override ContentType="application/vnd.openxmlformats-officedocument.spreadsheetml.worksheet+xml" PartName="/xl/worksheets/sheet42067.xml"/>
  <Override ContentType="application/vnd.openxmlformats-officedocument.spreadsheetml.worksheet+xml" PartName="/xl/worksheets/sheet42068.xml"/>
  <Override ContentType="application/vnd.openxmlformats-officedocument.spreadsheetml.worksheet+xml" PartName="/xl/worksheets/sheet42069.xml"/>
  <Override ContentType="application/vnd.openxmlformats-officedocument.spreadsheetml.worksheet+xml" PartName="/xl/worksheets/sheet42070.xml"/>
  <Override ContentType="application/vnd.openxmlformats-officedocument.spreadsheetml.worksheet+xml" PartName="/xl/worksheets/sheet42071.xml"/>
  <Override ContentType="application/vnd.openxmlformats-officedocument.spreadsheetml.worksheet+xml" PartName="/xl/worksheets/sheet42072.xml"/>
  <Override ContentType="application/vnd.openxmlformats-officedocument.spreadsheetml.worksheet+xml" PartName="/xl/worksheets/sheet42073.xml"/>
  <Override ContentType="application/vnd.openxmlformats-officedocument.spreadsheetml.worksheet+xml" PartName="/xl/worksheets/sheet42074.xml"/>
  <Override ContentType="application/vnd.openxmlformats-officedocument.spreadsheetml.worksheet+xml" PartName="/xl/worksheets/sheet42075.xml"/>
  <Override ContentType="application/vnd.openxmlformats-officedocument.spreadsheetml.worksheet+xml" PartName="/xl/worksheets/sheet42076.xml"/>
  <Override ContentType="application/vnd.openxmlformats-officedocument.spreadsheetml.worksheet+xml" PartName="/xl/worksheets/sheet42077.xml"/>
  <Override ContentType="application/vnd.openxmlformats-officedocument.spreadsheetml.worksheet+xml" PartName="/xl/worksheets/sheet42078.xml"/>
  <Override ContentType="application/vnd.openxmlformats-officedocument.spreadsheetml.worksheet+xml" PartName="/xl/worksheets/sheet42079.xml"/>
  <Override ContentType="application/vnd.openxmlformats-officedocument.spreadsheetml.worksheet+xml" PartName="/xl/worksheets/sheet42080.xml"/>
  <Override ContentType="application/vnd.openxmlformats-officedocument.spreadsheetml.worksheet+xml" PartName="/xl/worksheets/sheet42081.xml"/>
  <Override ContentType="application/vnd.openxmlformats-officedocument.spreadsheetml.worksheet+xml" PartName="/xl/worksheets/sheet42082.xml"/>
  <Override ContentType="application/vnd.openxmlformats-officedocument.spreadsheetml.worksheet+xml" PartName="/xl/worksheets/sheet42083.xml"/>
  <Override ContentType="application/vnd.openxmlformats-officedocument.spreadsheetml.worksheet+xml" PartName="/xl/worksheets/sheet42084.xml"/>
  <Override ContentType="application/vnd.openxmlformats-officedocument.spreadsheetml.worksheet+xml" PartName="/xl/worksheets/sheet42085.xml"/>
  <Override ContentType="application/vnd.openxmlformats-officedocument.spreadsheetml.worksheet+xml" PartName="/xl/worksheets/sheet42086.xml"/>
  <Override ContentType="application/vnd.openxmlformats-officedocument.spreadsheetml.worksheet+xml" PartName="/xl/worksheets/sheet42087.xml"/>
  <Override ContentType="application/vnd.openxmlformats-officedocument.spreadsheetml.worksheet+xml" PartName="/xl/worksheets/sheet42088.xml"/>
  <Override ContentType="application/vnd.openxmlformats-officedocument.spreadsheetml.worksheet+xml" PartName="/xl/worksheets/sheet42089.xml"/>
  <Override ContentType="application/vnd.openxmlformats-officedocument.spreadsheetml.worksheet+xml" PartName="/xl/worksheets/sheet42090.xml"/>
  <Override ContentType="application/vnd.openxmlformats-officedocument.spreadsheetml.worksheet+xml" PartName="/xl/worksheets/sheet42091.xml"/>
  <Override ContentType="application/vnd.openxmlformats-officedocument.spreadsheetml.worksheet+xml" PartName="/xl/worksheets/sheet42092.xml"/>
  <Override ContentType="application/vnd.openxmlformats-officedocument.spreadsheetml.worksheet+xml" PartName="/xl/worksheets/sheet42093.xml"/>
  <Override ContentType="application/vnd.openxmlformats-officedocument.spreadsheetml.worksheet+xml" PartName="/xl/worksheets/sheet42094.xml"/>
  <Override ContentType="application/vnd.openxmlformats-officedocument.spreadsheetml.worksheet+xml" PartName="/xl/worksheets/sheet42095.xml"/>
  <Override ContentType="application/vnd.openxmlformats-officedocument.spreadsheetml.worksheet+xml" PartName="/xl/worksheets/sheet42096.xml"/>
  <Override ContentType="application/vnd.openxmlformats-officedocument.spreadsheetml.worksheet+xml" PartName="/xl/worksheets/sheet42097.xml"/>
  <Override ContentType="application/vnd.openxmlformats-officedocument.spreadsheetml.worksheet+xml" PartName="/xl/worksheets/sheet42098.xml"/>
  <Override ContentType="application/vnd.openxmlformats-officedocument.spreadsheetml.worksheet+xml" PartName="/xl/worksheets/sheet42099.xml"/>
  <Override ContentType="application/vnd.openxmlformats-officedocument.spreadsheetml.worksheet+xml" PartName="/xl/worksheets/sheet42100.xml"/>
  <Override ContentType="application/vnd.openxmlformats-officedocument.spreadsheetml.worksheet+xml" PartName="/xl/worksheets/sheet42101.xml"/>
  <Override ContentType="application/vnd.openxmlformats-officedocument.spreadsheetml.worksheet+xml" PartName="/xl/worksheets/sheet42102.xml"/>
  <Override ContentType="application/vnd.openxmlformats-officedocument.spreadsheetml.worksheet+xml" PartName="/xl/worksheets/sheet42103.xml"/>
  <Override ContentType="application/vnd.openxmlformats-officedocument.spreadsheetml.worksheet+xml" PartName="/xl/worksheets/sheet42104.xml"/>
  <Override ContentType="application/vnd.openxmlformats-officedocument.spreadsheetml.worksheet+xml" PartName="/xl/worksheets/sheet42105.xml"/>
  <Override ContentType="application/vnd.openxmlformats-officedocument.spreadsheetml.worksheet+xml" PartName="/xl/worksheets/sheet42106.xml"/>
  <Override ContentType="application/vnd.openxmlformats-officedocument.spreadsheetml.worksheet+xml" PartName="/xl/worksheets/sheet42107.xml"/>
  <Override ContentType="application/vnd.openxmlformats-officedocument.spreadsheetml.worksheet+xml" PartName="/xl/worksheets/sheet42108.xml"/>
  <Override ContentType="application/vnd.openxmlformats-officedocument.spreadsheetml.worksheet+xml" PartName="/xl/worksheets/sheet42109.xml"/>
  <Override ContentType="application/vnd.openxmlformats-officedocument.spreadsheetml.worksheet+xml" PartName="/xl/worksheets/sheet42110.xml"/>
  <Override ContentType="application/vnd.openxmlformats-officedocument.spreadsheetml.worksheet+xml" PartName="/xl/worksheets/sheet42111.xml"/>
  <Override ContentType="application/vnd.openxmlformats-officedocument.spreadsheetml.worksheet+xml" PartName="/xl/worksheets/sheet42112.xml"/>
  <Override ContentType="application/vnd.openxmlformats-officedocument.spreadsheetml.worksheet+xml" PartName="/xl/worksheets/sheet42113.xml"/>
  <Override ContentType="application/vnd.openxmlformats-officedocument.spreadsheetml.worksheet+xml" PartName="/xl/worksheets/sheet42114.xml"/>
  <Override ContentType="application/vnd.openxmlformats-officedocument.spreadsheetml.worksheet+xml" PartName="/xl/worksheets/sheet42115.xml"/>
  <Override ContentType="application/vnd.openxmlformats-officedocument.spreadsheetml.worksheet+xml" PartName="/xl/worksheets/sheet42116.xml"/>
  <Override ContentType="application/vnd.openxmlformats-officedocument.spreadsheetml.worksheet+xml" PartName="/xl/worksheets/sheet42117.xml"/>
  <Override ContentType="application/vnd.openxmlformats-officedocument.spreadsheetml.worksheet+xml" PartName="/xl/worksheets/sheet42118.xml"/>
  <Override ContentType="application/vnd.openxmlformats-officedocument.spreadsheetml.worksheet+xml" PartName="/xl/worksheets/sheet42119.xml"/>
  <Override ContentType="application/vnd.openxmlformats-officedocument.spreadsheetml.worksheet+xml" PartName="/xl/worksheets/sheet42120.xml"/>
  <Override ContentType="application/vnd.openxmlformats-officedocument.spreadsheetml.worksheet+xml" PartName="/xl/worksheets/sheet42121.xml"/>
  <Override ContentType="application/vnd.openxmlformats-officedocument.spreadsheetml.worksheet+xml" PartName="/xl/worksheets/sheet42122.xml"/>
  <Override ContentType="application/vnd.openxmlformats-officedocument.spreadsheetml.worksheet+xml" PartName="/xl/worksheets/sheet42123.xml"/>
  <Override ContentType="application/vnd.openxmlformats-officedocument.spreadsheetml.worksheet+xml" PartName="/xl/worksheets/sheet42124.xml"/>
  <Override ContentType="application/vnd.openxmlformats-officedocument.spreadsheetml.worksheet+xml" PartName="/xl/worksheets/sheet42125.xml"/>
  <Override ContentType="application/vnd.openxmlformats-officedocument.spreadsheetml.worksheet+xml" PartName="/xl/worksheets/sheet42126.xml"/>
  <Override ContentType="application/vnd.openxmlformats-officedocument.spreadsheetml.worksheet+xml" PartName="/xl/worksheets/sheet42127.xml"/>
  <Override ContentType="application/vnd.openxmlformats-officedocument.spreadsheetml.worksheet+xml" PartName="/xl/worksheets/sheet42128.xml"/>
  <Override ContentType="application/vnd.openxmlformats-officedocument.spreadsheetml.worksheet+xml" PartName="/xl/worksheets/sheet42129.xml"/>
  <Override ContentType="application/vnd.openxmlformats-officedocument.spreadsheetml.worksheet+xml" PartName="/xl/worksheets/sheet42130.xml"/>
  <Override ContentType="application/vnd.openxmlformats-officedocument.spreadsheetml.worksheet+xml" PartName="/xl/worksheets/sheet42131.xml"/>
  <Override ContentType="application/vnd.openxmlformats-officedocument.spreadsheetml.worksheet+xml" PartName="/xl/worksheets/sheet42132.xml"/>
  <Override ContentType="application/vnd.openxmlformats-officedocument.spreadsheetml.worksheet+xml" PartName="/xl/worksheets/sheet42133.xml"/>
  <Override ContentType="application/vnd.openxmlformats-officedocument.spreadsheetml.worksheet+xml" PartName="/xl/worksheets/sheet42134.xml"/>
  <Override ContentType="application/vnd.openxmlformats-officedocument.spreadsheetml.worksheet+xml" PartName="/xl/worksheets/sheet42135.xml"/>
  <Override ContentType="application/vnd.openxmlformats-officedocument.spreadsheetml.worksheet+xml" PartName="/xl/worksheets/sheet42136.xml"/>
  <Override ContentType="application/vnd.openxmlformats-officedocument.spreadsheetml.worksheet+xml" PartName="/xl/worksheets/sheet42137.xml"/>
  <Override ContentType="application/vnd.openxmlformats-officedocument.spreadsheetml.worksheet+xml" PartName="/xl/worksheets/sheet42138.xml"/>
  <Override ContentType="application/vnd.openxmlformats-officedocument.spreadsheetml.worksheet+xml" PartName="/xl/worksheets/sheet42139.xml"/>
  <Override ContentType="application/vnd.openxmlformats-officedocument.spreadsheetml.worksheet+xml" PartName="/xl/worksheets/sheet42140.xml"/>
  <Override ContentType="application/vnd.openxmlformats-officedocument.spreadsheetml.worksheet+xml" PartName="/xl/worksheets/sheet42141.xml"/>
  <Override ContentType="application/vnd.openxmlformats-officedocument.spreadsheetml.worksheet+xml" PartName="/xl/worksheets/sheet42142.xml"/>
  <Override ContentType="application/vnd.openxmlformats-officedocument.spreadsheetml.worksheet+xml" PartName="/xl/worksheets/sheet42143.xml"/>
  <Override ContentType="application/vnd.openxmlformats-officedocument.spreadsheetml.worksheet+xml" PartName="/xl/worksheets/sheet42144.xml"/>
  <Override ContentType="application/vnd.openxmlformats-officedocument.spreadsheetml.worksheet+xml" PartName="/xl/worksheets/sheet42145.xml"/>
  <Override ContentType="application/vnd.openxmlformats-officedocument.spreadsheetml.worksheet+xml" PartName="/xl/worksheets/sheet42146.xml"/>
  <Override ContentType="application/vnd.openxmlformats-officedocument.spreadsheetml.worksheet+xml" PartName="/xl/worksheets/sheet42147.xml"/>
  <Override ContentType="application/vnd.openxmlformats-officedocument.spreadsheetml.worksheet+xml" PartName="/xl/worksheets/sheet42148.xml"/>
  <Override ContentType="application/vnd.openxmlformats-officedocument.spreadsheetml.worksheet+xml" PartName="/xl/worksheets/sheet42149.xml"/>
  <Override ContentType="application/vnd.openxmlformats-officedocument.spreadsheetml.worksheet+xml" PartName="/xl/worksheets/sheet42150.xml"/>
  <Override ContentType="application/vnd.openxmlformats-officedocument.spreadsheetml.worksheet+xml" PartName="/xl/worksheets/sheet42151.xml"/>
  <Override ContentType="application/vnd.openxmlformats-officedocument.spreadsheetml.worksheet+xml" PartName="/xl/worksheets/sheet42152.xml"/>
  <Override ContentType="application/vnd.openxmlformats-officedocument.spreadsheetml.worksheet+xml" PartName="/xl/worksheets/sheet42153.xml"/>
  <Override ContentType="application/vnd.openxmlformats-officedocument.spreadsheetml.worksheet+xml" PartName="/xl/worksheets/sheet42154.xml"/>
  <Override ContentType="application/vnd.openxmlformats-officedocument.spreadsheetml.worksheet+xml" PartName="/xl/worksheets/sheet42155.xml"/>
  <Override ContentType="application/vnd.openxmlformats-officedocument.spreadsheetml.worksheet+xml" PartName="/xl/worksheets/sheet42156.xml"/>
  <Override ContentType="application/vnd.openxmlformats-officedocument.spreadsheetml.worksheet+xml" PartName="/xl/worksheets/sheet42157.xml"/>
  <Override ContentType="application/vnd.openxmlformats-officedocument.spreadsheetml.worksheet+xml" PartName="/xl/worksheets/sheet42158.xml"/>
  <Override ContentType="application/vnd.openxmlformats-officedocument.spreadsheetml.worksheet+xml" PartName="/xl/worksheets/sheet42159.xml"/>
  <Override ContentType="application/vnd.openxmlformats-officedocument.spreadsheetml.worksheet+xml" PartName="/xl/worksheets/sheet42160.xml"/>
  <Override ContentType="application/vnd.openxmlformats-officedocument.spreadsheetml.worksheet+xml" PartName="/xl/worksheets/sheet42161.xml"/>
  <Override ContentType="application/vnd.openxmlformats-officedocument.spreadsheetml.worksheet+xml" PartName="/xl/worksheets/sheet42162.xml"/>
  <Override ContentType="application/vnd.openxmlformats-officedocument.spreadsheetml.worksheet+xml" PartName="/xl/worksheets/sheet42163.xml"/>
  <Override ContentType="application/vnd.openxmlformats-officedocument.spreadsheetml.worksheet+xml" PartName="/xl/worksheets/sheet42164.xml"/>
  <Override ContentType="application/vnd.openxmlformats-officedocument.spreadsheetml.worksheet+xml" PartName="/xl/worksheets/sheet42165.xml"/>
  <Override ContentType="application/vnd.openxmlformats-officedocument.spreadsheetml.worksheet+xml" PartName="/xl/worksheets/sheet42166.xml"/>
  <Override ContentType="application/vnd.openxmlformats-officedocument.spreadsheetml.worksheet+xml" PartName="/xl/worksheets/sheet42167.xml"/>
  <Override ContentType="application/vnd.openxmlformats-officedocument.spreadsheetml.worksheet+xml" PartName="/xl/worksheets/sheet42168.xml"/>
  <Override ContentType="application/vnd.openxmlformats-officedocument.spreadsheetml.worksheet+xml" PartName="/xl/worksheets/sheet42169.xml"/>
  <Override ContentType="application/vnd.openxmlformats-officedocument.spreadsheetml.worksheet+xml" PartName="/xl/worksheets/sheet42170.xml"/>
  <Override ContentType="application/vnd.openxmlformats-officedocument.spreadsheetml.worksheet+xml" PartName="/xl/worksheets/sheet42171.xml"/>
  <Override ContentType="application/vnd.openxmlformats-officedocument.spreadsheetml.worksheet+xml" PartName="/xl/worksheets/sheet42172.xml"/>
  <Override ContentType="application/vnd.openxmlformats-officedocument.spreadsheetml.worksheet+xml" PartName="/xl/worksheets/sheet42173.xml"/>
  <Override ContentType="application/vnd.openxmlformats-officedocument.spreadsheetml.worksheet+xml" PartName="/xl/worksheets/sheet42174.xml"/>
  <Override ContentType="application/vnd.openxmlformats-officedocument.spreadsheetml.worksheet+xml" PartName="/xl/worksheets/sheet42175.xml"/>
  <Override ContentType="application/vnd.openxmlformats-officedocument.spreadsheetml.worksheet+xml" PartName="/xl/worksheets/sheet42176.xml"/>
  <Override ContentType="application/vnd.openxmlformats-officedocument.spreadsheetml.worksheet+xml" PartName="/xl/worksheets/sheet42177.xml"/>
  <Override ContentType="application/vnd.openxmlformats-officedocument.spreadsheetml.worksheet+xml" PartName="/xl/worksheets/sheet42178.xml"/>
  <Override ContentType="application/vnd.openxmlformats-officedocument.spreadsheetml.worksheet+xml" PartName="/xl/worksheets/sheet42179.xml"/>
  <Override ContentType="application/vnd.openxmlformats-officedocument.spreadsheetml.worksheet+xml" PartName="/xl/worksheets/sheet42180.xml"/>
  <Override ContentType="application/vnd.openxmlformats-officedocument.spreadsheetml.worksheet+xml" PartName="/xl/worksheets/sheet42181.xml"/>
  <Override ContentType="application/vnd.openxmlformats-officedocument.spreadsheetml.worksheet+xml" PartName="/xl/worksheets/sheet42182.xml"/>
  <Override ContentType="application/vnd.openxmlformats-officedocument.spreadsheetml.worksheet+xml" PartName="/xl/worksheets/sheet42183.xml"/>
  <Override ContentType="application/vnd.openxmlformats-officedocument.spreadsheetml.worksheet+xml" PartName="/xl/worksheets/sheet42184.xml"/>
  <Override ContentType="application/vnd.openxmlformats-officedocument.spreadsheetml.worksheet+xml" PartName="/xl/worksheets/sheet42185.xml"/>
  <Override ContentType="application/vnd.openxmlformats-officedocument.spreadsheetml.worksheet+xml" PartName="/xl/worksheets/sheet42186.xml"/>
  <Override ContentType="application/vnd.openxmlformats-officedocument.spreadsheetml.worksheet+xml" PartName="/xl/worksheets/sheet42187.xml"/>
  <Override ContentType="application/vnd.openxmlformats-officedocument.spreadsheetml.worksheet+xml" PartName="/xl/worksheets/sheet42188.xml"/>
  <Override ContentType="application/vnd.openxmlformats-officedocument.spreadsheetml.worksheet+xml" PartName="/xl/worksheets/sheet42189.xml"/>
  <Override ContentType="application/vnd.openxmlformats-officedocument.spreadsheetml.worksheet+xml" PartName="/xl/worksheets/sheet42190.xml"/>
  <Override ContentType="application/vnd.openxmlformats-officedocument.spreadsheetml.worksheet+xml" PartName="/xl/worksheets/sheet42191.xml"/>
  <Override ContentType="application/vnd.openxmlformats-officedocument.spreadsheetml.worksheet+xml" PartName="/xl/worksheets/sheet42192.xml"/>
  <Override ContentType="application/vnd.openxmlformats-officedocument.spreadsheetml.worksheet+xml" PartName="/xl/worksheets/sheet42193.xml"/>
  <Override ContentType="application/vnd.openxmlformats-officedocument.spreadsheetml.worksheet+xml" PartName="/xl/worksheets/sheet42194.xml"/>
  <Override ContentType="application/vnd.openxmlformats-officedocument.spreadsheetml.worksheet+xml" PartName="/xl/worksheets/sheet42195.xml"/>
  <Override ContentType="application/vnd.openxmlformats-officedocument.spreadsheetml.worksheet+xml" PartName="/xl/worksheets/sheet42196.xml"/>
  <Override ContentType="application/vnd.openxmlformats-officedocument.spreadsheetml.worksheet+xml" PartName="/xl/worksheets/sheet42197.xml"/>
  <Override ContentType="application/vnd.openxmlformats-officedocument.spreadsheetml.worksheet+xml" PartName="/xl/worksheets/sheet42198.xml"/>
  <Override ContentType="application/vnd.openxmlformats-officedocument.spreadsheetml.worksheet+xml" PartName="/xl/worksheets/sheet42199.xml"/>
  <Override ContentType="application/vnd.openxmlformats-officedocument.spreadsheetml.worksheet+xml" PartName="/xl/worksheets/sheet42200.xml"/>
  <Override ContentType="application/vnd.openxmlformats-officedocument.spreadsheetml.worksheet+xml" PartName="/xl/worksheets/sheet42201.xml"/>
  <Override ContentType="application/vnd.openxmlformats-officedocument.spreadsheetml.worksheet+xml" PartName="/xl/worksheets/sheet42202.xml"/>
  <Override ContentType="application/vnd.openxmlformats-officedocument.spreadsheetml.worksheet+xml" PartName="/xl/worksheets/sheet42203.xml"/>
  <Override ContentType="application/vnd.openxmlformats-officedocument.spreadsheetml.worksheet+xml" PartName="/xl/worksheets/sheet42204.xml"/>
  <Override ContentType="application/vnd.openxmlformats-officedocument.spreadsheetml.worksheet+xml" PartName="/xl/worksheets/sheet42205.xml"/>
  <Override ContentType="application/vnd.openxmlformats-officedocument.spreadsheetml.worksheet+xml" PartName="/xl/worksheets/sheet42206.xml"/>
  <Override ContentType="application/vnd.openxmlformats-officedocument.spreadsheetml.worksheet+xml" PartName="/xl/worksheets/sheet42207.xml"/>
  <Override ContentType="application/vnd.openxmlformats-officedocument.spreadsheetml.worksheet+xml" PartName="/xl/worksheets/sheet42208.xml"/>
  <Override ContentType="application/vnd.openxmlformats-officedocument.spreadsheetml.worksheet+xml" PartName="/xl/worksheets/sheet42209.xml"/>
  <Override ContentType="application/vnd.openxmlformats-officedocument.spreadsheetml.worksheet+xml" PartName="/xl/worksheets/sheet42210.xml"/>
  <Override ContentType="application/vnd.openxmlformats-officedocument.spreadsheetml.worksheet+xml" PartName="/xl/worksheets/sheet42211.xml"/>
  <Override ContentType="application/vnd.openxmlformats-officedocument.spreadsheetml.worksheet+xml" PartName="/xl/worksheets/sheet42212.xml"/>
  <Override ContentType="application/vnd.openxmlformats-officedocument.spreadsheetml.worksheet+xml" PartName="/xl/worksheets/sheet42213.xml"/>
  <Override ContentType="application/vnd.openxmlformats-officedocument.spreadsheetml.worksheet+xml" PartName="/xl/worksheets/sheet42214.xml"/>
  <Override ContentType="application/vnd.openxmlformats-officedocument.spreadsheetml.worksheet+xml" PartName="/xl/worksheets/sheet42215.xml"/>
  <Override ContentType="application/vnd.openxmlformats-officedocument.spreadsheetml.worksheet+xml" PartName="/xl/worksheets/sheet42216.xml"/>
  <Override ContentType="application/vnd.openxmlformats-officedocument.spreadsheetml.worksheet+xml" PartName="/xl/worksheets/sheet42217.xml"/>
  <Override ContentType="application/vnd.openxmlformats-officedocument.spreadsheetml.worksheet+xml" PartName="/xl/worksheets/sheet42218.xml"/>
  <Override ContentType="application/vnd.openxmlformats-officedocument.spreadsheetml.worksheet+xml" PartName="/xl/worksheets/sheet42219.xml"/>
  <Override ContentType="application/vnd.openxmlformats-officedocument.spreadsheetml.worksheet+xml" PartName="/xl/worksheets/sheet42220.xml"/>
  <Override ContentType="application/vnd.openxmlformats-officedocument.spreadsheetml.worksheet+xml" PartName="/xl/worksheets/sheet42221.xml"/>
  <Override ContentType="application/vnd.openxmlformats-officedocument.spreadsheetml.worksheet+xml" PartName="/xl/worksheets/sheet42222.xml"/>
  <Override ContentType="application/vnd.openxmlformats-officedocument.spreadsheetml.worksheet+xml" PartName="/xl/worksheets/sheet42223.xml"/>
  <Override ContentType="application/vnd.openxmlformats-officedocument.spreadsheetml.worksheet+xml" PartName="/xl/worksheets/sheet42224.xml"/>
  <Override ContentType="application/vnd.openxmlformats-officedocument.spreadsheetml.worksheet+xml" PartName="/xl/worksheets/sheet42225.xml"/>
  <Override ContentType="application/vnd.openxmlformats-officedocument.spreadsheetml.worksheet+xml" PartName="/xl/worksheets/sheet42226.xml"/>
  <Override ContentType="application/vnd.openxmlformats-officedocument.spreadsheetml.worksheet+xml" PartName="/xl/worksheets/sheet42227.xml"/>
  <Override ContentType="application/vnd.openxmlformats-officedocument.spreadsheetml.worksheet+xml" PartName="/xl/worksheets/sheet42228.xml"/>
  <Override ContentType="application/vnd.openxmlformats-officedocument.spreadsheetml.worksheet+xml" PartName="/xl/worksheets/sheet42229.xml"/>
  <Override ContentType="application/vnd.openxmlformats-officedocument.spreadsheetml.worksheet+xml" PartName="/xl/worksheets/sheet42230.xml"/>
  <Override ContentType="application/vnd.openxmlformats-officedocument.spreadsheetml.worksheet+xml" PartName="/xl/worksheets/sheet42231.xml"/>
  <Override ContentType="application/vnd.openxmlformats-officedocument.spreadsheetml.worksheet+xml" PartName="/xl/worksheets/sheet42232.xml"/>
  <Override ContentType="application/vnd.openxmlformats-officedocument.spreadsheetml.worksheet+xml" PartName="/xl/worksheets/sheet42233.xml"/>
  <Override ContentType="application/vnd.openxmlformats-officedocument.spreadsheetml.worksheet+xml" PartName="/xl/worksheets/sheet42234.xml"/>
  <Override ContentType="application/vnd.openxmlformats-officedocument.spreadsheetml.worksheet+xml" PartName="/xl/worksheets/sheet42235.xml"/>
  <Override ContentType="application/vnd.openxmlformats-officedocument.spreadsheetml.worksheet+xml" PartName="/xl/worksheets/sheet42236.xml"/>
  <Override ContentType="application/vnd.openxmlformats-officedocument.spreadsheetml.worksheet+xml" PartName="/xl/worksheets/sheet42237.xml"/>
  <Override ContentType="application/vnd.openxmlformats-officedocument.spreadsheetml.worksheet+xml" PartName="/xl/worksheets/sheet42238.xml"/>
  <Override ContentType="application/vnd.openxmlformats-officedocument.spreadsheetml.worksheet+xml" PartName="/xl/worksheets/sheet42239.xml"/>
  <Override ContentType="application/vnd.openxmlformats-officedocument.spreadsheetml.worksheet+xml" PartName="/xl/worksheets/sheet42240.xml"/>
  <Override ContentType="application/vnd.openxmlformats-officedocument.spreadsheetml.worksheet+xml" PartName="/xl/worksheets/sheet42241.xml"/>
  <Override ContentType="application/vnd.openxmlformats-officedocument.spreadsheetml.worksheet+xml" PartName="/xl/worksheets/sheet42242.xml"/>
  <Override ContentType="application/vnd.openxmlformats-officedocument.spreadsheetml.worksheet+xml" PartName="/xl/worksheets/sheet42243.xml"/>
  <Override ContentType="application/vnd.openxmlformats-officedocument.spreadsheetml.worksheet+xml" PartName="/xl/worksheets/sheet42244.xml"/>
  <Override ContentType="application/vnd.openxmlformats-officedocument.spreadsheetml.worksheet+xml" PartName="/xl/worksheets/sheet42245.xml"/>
  <Override ContentType="application/vnd.openxmlformats-officedocument.spreadsheetml.worksheet+xml" PartName="/xl/worksheets/sheet42246.xml"/>
  <Override ContentType="application/vnd.openxmlformats-officedocument.spreadsheetml.worksheet+xml" PartName="/xl/worksheets/sheet42247.xml"/>
  <Override ContentType="application/vnd.openxmlformats-officedocument.spreadsheetml.worksheet+xml" PartName="/xl/worksheets/sheet42248.xml"/>
  <Override ContentType="application/vnd.openxmlformats-officedocument.spreadsheetml.worksheet+xml" PartName="/xl/worksheets/sheet42249.xml"/>
  <Override ContentType="application/vnd.openxmlformats-officedocument.spreadsheetml.worksheet+xml" PartName="/xl/worksheets/sheet42250.xml"/>
  <Override ContentType="application/vnd.openxmlformats-officedocument.spreadsheetml.worksheet+xml" PartName="/xl/worksheets/sheet42251.xml"/>
  <Override ContentType="application/vnd.openxmlformats-officedocument.spreadsheetml.worksheet+xml" PartName="/xl/worksheets/sheet42252.xml"/>
  <Override ContentType="application/vnd.openxmlformats-officedocument.spreadsheetml.worksheet+xml" PartName="/xl/worksheets/sheet42253.xml"/>
  <Override ContentType="application/vnd.openxmlformats-officedocument.spreadsheetml.worksheet+xml" PartName="/xl/worksheets/sheet42254.xml"/>
  <Override ContentType="application/vnd.openxmlformats-officedocument.spreadsheetml.worksheet+xml" PartName="/xl/worksheets/sheet42255.xml"/>
  <Override ContentType="application/vnd.openxmlformats-officedocument.spreadsheetml.worksheet+xml" PartName="/xl/worksheets/sheet42256.xml"/>
  <Override ContentType="application/vnd.openxmlformats-officedocument.spreadsheetml.worksheet+xml" PartName="/xl/worksheets/sheet42257.xml"/>
  <Override ContentType="application/vnd.openxmlformats-officedocument.spreadsheetml.worksheet+xml" PartName="/xl/worksheets/sheet42258.xml"/>
  <Override ContentType="application/vnd.openxmlformats-officedocument.spreadsheetml.worksheet+xml" PartName="/xl/worksheets/sheet42259.xml"/>
  <Override ContentType="application/vnd.openxmlformats-officedocument.spreadsheetml.worksheet+xml" PartName="/xl/worksheets/sheet42260.xml"/>
  <Override ContentType="application/vnd.openxmlformats-officedocument.spreadsheetml.worksheet+xml" PartName="/xl/worksheets/sheet42261.xml"/>
  <Override ContentType="application/vnd.openxmlformats-officedocument.spreadsheetml.worksheet+xml" PartName="/xl/worksheets/sheet42262.xml"/>
  <Override ContentType="application/vnd.openxmlformats-officedocument.spreadsheetml.worksheet+xml" PartName="/xl/worksheets/sheet42263.xml"/>
  <Override ContentType="application/vnd.openxmlformats-officedocument.spreadsheetml.worksheet+xml" PartName="/xl/worksheets/sheet42264.xml"/>
  <Override ContentType="application/vnd.openxmlformats-officedocument.spreadsheetml.worksheet+xml" PartName="/xl/worksheets/sheet42265.xml"/>
  <Override ContentType="application/vnd.openxmlformats-officedocument.spreadsheetml.worksheet+xml" PartName="/xl/worksheets/sheet42266.xml"/>
  <Override ContentType="application/vnd.openxmlformats-officedocument.spreadsheetml.worksheet+xml" PartName="/xl/worksheets/sheet42267.xml"/>
  <Override ContentType="application/vnd.openxmlformats-officedocument.spreadsheetml.worksheet+xml" PartName="/xl/worksheets/sheet42268.xml"/>
  <Override ContentType="application/vnd.openxmlformats-officedocument.spreadsheetml.worksheet+xml" PartName="/xl/worksheets/sheet42269.xml"/>
  <Override ContentType="application/vnd.openxmlformats-officedocument.spreadsheetml.worksheet+xml" PartName="/xl/worksheets/sheet42270.xml"/>
  <Override ContentType="application/vnd.openxmlformats-officedocument.spreadsheetml.worksheet+xml" PartName="/xl/worksheets/sheet42271.xml"/>
  <Override ContentType="application/vnd.openxmlformats-officedocument.spreadsheetml.worksheet+xml" PartName="/xl/worksheets/sheet42272.xml"/>
  <Override ContentType="application/vnd.openxmlformats-officedocument.spreadsheetml.worksheet+xml" PartName="/xl/worksheets/sheet42273.xml"/>
  <Override ContentType="application/vnd.openxmlformats-officedocument.spreadsheetml.worksheet+xml" PartName="/xl/worksheets/sheet42274.xml"/>
  <Override ContentType="application/vnd.openxmlformats-officedocument.spreadsheetml.worksheet+xml" PartName="/xl/worksheets/sheet42275.xml"/>
  <Override ContentType="application/vnd.openxmlformats-officedocument.spreadsheetml.worksheet+xml" PartName="/xl/worksheets/sheet42276.xml"/>
  <Override ContentType="application/vnd.openxmlformats-officedocument.spreadsheetml.worksheet+xml" PartName="/xl/worksheets/sheet42277.xml"/>
  <Override ContentType="application/vnd.openxmlformats-officedocument.spreadsheetml.worksheet+xml" PartName="/xl/worksheets/sheet42278.xml"/>
  <Override ContentType="application/vnd.openxmlformats-officedocument.spreadsheetml.worksheet+xml" PartName="/xl/worksheets/sheet42279.xml"/>
  <Override ContentType="application/vnd.openxmlformats-officedocument.spreadsheetml.worksheet+xml" PartName="/xl/worksheets/sheet42280.xml"/>
  <Override ContentType="application/vnd.openxmlformats-officedocument.spreadsheetml.worksheet+xml" PartName="/xl/worksheets/sheet42281.xml"/>
  <Override ContentType="application/vnd.openxmlformats-officedocument.spreadsheetml.worksheet+xml" PartName="/xl/worksheets/sheet42282.xml"/>
  <Override ContentType="application/vnd.openxmlformats-officedocument.spreadsheetml.worksheet+xml" PartName="/xl/worksheets/sheet42283.xml"/>
  <Override ContentType="application/vnd.openxmlformats-officedocument.spreadsheetml.worksheet+xml" PartName="/xl/worksheets/sheet42284.xml"/>
  <Override ContentType="application/vnd.openxmlformats-officedocument.spreadsheetml.worksheet+xml" PartName="/xl/worksheets/sheet42285.xml"/>
  <Override ContentType="application/vnd.openxmlformats-officedocument.spreadsheetml.worksheet+xml" PartName="/xl/worksheets/sheet42286.xml"/>
  <Override ContentType="application/vnd.openxmlformats-officedocument.spreadsheetml.worksheet+xml" PartName="/xl/worksheets/sheet42287.xml"/>
  <Override ContentType="application/vnd.openxmlformats-officedocument.spreadsheetml.worksheet+xml" PartName="/xl/worksheets/sheet42288.xml"/>
  <Override ContentType="application/vnd.openxmlformats-officedocument.spreadsheetml.worksheet+xml" PartName="/xl/worksheets/sheet42289.xml"/>
  <Override ContentType="application/vnd.openxmlformats-officedocument.spreadsheetml.worksheet+xml" PartName="/xl/worksheets/sheet42290.xml"/>
  <Override ContentType="application/vnd.openxmlformats-officedocument.spreadsheetml.worksheet+xml" PartName="/xl/worksheets/sheet42291.xml"/>
  <Override ContentType="application/vnd.openxmlformats-officedocument.spreadsheetml.worksheet+xml" PartName="/xl/worksheets/sheet42292.xml"/>
  <Override ContentType="application/vnd.openxmlformats-officedocument.spreadsheetml.worksheet+xml" PartName="/xl/worksheets/sheet42293.xml"/>
  <Override ContentType="application/vnd.openxmlformats-officedocument.spreadsheetml.worksheet+xml" PartName="/xl/worksheets/sheet42294.xml"/>
  <Override ContentType="application/vnd.openxmlformats-officedocument.spreadsheetml.worksheet+xml" PartName="/xl/worksheets/sheet42295.xml"/>
  <Override ContentType="application/vnd.openxmlformats-officedocument.spreadsheetml.worksheet+xml" PartName="/xl/worksheets/sheet42296.xml"/>
  <Override ContentType="application/vnd.openxmlformats-officedocument.spreadsheetml.worksheet+xml" PartName="/xl/worksheets/sheet42297.xml"/>
  <Override ContentType="application/vnd.openxmlformats-officedocument.spreadsheetml.worksheet+xml" PartName="/xl/worksheets/sheet42298.xml"/>
  <Override ContentType="application/vnd.openxmlformats-officedocument.spreadsheetml.worksheet+xml" PartName="/xl/worksheets/sheet42299.xml"/>
  <Override ContentType="application/vnd.openxmlformats-officedocument.spreadsheetml.worksheet+xml" PartName="/xl/worksheets/sheet42300.xml"/>
  <Override ContentType="application/vnd.openxmlformats-officedocument.spreadsheetml.worksheet+xml" PartName="/xl/worksheets/sheet42301.xml"/>
  <Override ContentType="application/vnd.openxmlformats-officedocument.spreadsheetml.worksheet+xml" PartName="/xl/worksheets/sheet42302.xml"/>
  <Override ContentType="application/vnd.openxmlformats-officedocument.spreadsheetml.worksheet+xml" PartName="/xl/worksheets/sheet42303.xml"/>
  <Override ContentType="application/vnd.openxmlformats-officedocument.spreadsheetml.worksheet+xml" PartName="/xl/worksheets/sheet42304.xml"/>
  <Override ContentType="application/vnd.openxmlformats-officedocument.spreadsheetml.worksheet+xml" PartName="/xl/worksheets/sheet42305.xml"/>
  <Override ContentType="application/vnd.openxmlformats-officedocument.spreadsheetml.worksheet+xml" PartName="/xl/worksheets/sheet42306.xml"/>
  <Override ContentType="application/vnd.openxmlformats-officedocument.spreadsheetml.worksheet+xml" PartName="/xl/worksheets/sheet42307.xml"/>
  <Override ContentType="application/vnd.openxmlformats-officedocument.spreadsheetml.worksheet+xml" PartName="/xl/worksheets/sheet42308.xml"/>
  <Override ContentType="application/vnd.openxmlformats-officedocument.spreadsheetml.worksheet+xml" PartName="/xl/worksheets/sheet42309.xml"/>
  <Override ContentType="application/vnd.openxmlformats-officedocument.spreadsheetml.worksheet+xml" PartName="/xl/worksheets/sheet42310.xml"/>
  <Override ContentType="application/vnd.openxmlformats-officedocument.spreadsheetml.worksheet+xml" PartName="/xl/worksheets/sheet42311.xml"/>
  <Override ContentType="application/vnd.openxmlformats-officedocument.spreadsheetml.worksheet+xml" PartName="/xl/worksheets/sheet42312.xml"/>
  <Override ContentType="application/vnd.openxmlformats-officedocument.spreadsheetml.worksheet+xml" PartName="/xl/worksheets/sheet42313.xml"/>
  <Override ContentType="application/vnd.openxmlformats-officedocument.spreadsheetml.worksheet+xml" PartName="/xl/worksheets/sheet42314.xml"/>
  <Override ContentType="application/vnd.openxmlformats-officedocument.spreadsheetml.worksheet+xml" PartName="/xl/worksheets/sheet42315.xml"/>
  <Override ContentType="application/vnd.openxmlformats-officedocument.spreadsheetml.worksheet+xml" PartName="/xl/worksheets/sheet42316.xml"/>
  <Override ContentType="application/vnd.openxmlformats-officedocument.spreadsheetml.worksheet+xml" PartName="/xl/worksheets/sheet42317.xml"/>
  <Override ContentType="application/vnd.openxmlformats-officedocument.spreadsheetml.worksheet+xml" PartName="/xl/worksheets/sheet42318.xml"/>
  <Override ContentType="application/vnd.openxmlformats-officedocument.spreadsheetml.worksheet+xml" PartName="/xl/worksheets/sheet42319.xml"/>
  <Override ContentType="application/vnd.openxmlformats-officedocument.spreadsheetml.worksheet+xml" PartName="/xl/worksheets/sheet42320.xml"/>
  <Override ContentType="application/vnd.openxmlformats-officedocument.spreadsheetml.worksheet+xml" PartName="/xl/worksheets/sheet42321.xml"/>
  <Override ContentType="application/vnd.openxmlformats-officedocument.spreadsheetml.worksheet+xml" PartName="/xl/worksheets/sheet42322.xml"/>
  <Override ContentType="application/vnd.openxmlformats-officedocument.spreadsheetml.worksheet+xml" PartName="/xl/worksheets/sheet42323.xml"/>
  <Override ContentType="application/vnd.openxmlformats-officedocument.spreadsheetml.worksheet+xml" PartName="/xl/worksheets/sheet42324.xml"/>
  <Override ContentType="application/vnd.openxmlformats-officedocument.spreadsheetml.worksheet+xml" PartName="/xl/worksheets/sheet42325.xml"/>
  <Override ContentType="application/vnd.openxmlformats-officedocument.spreadsheetml.worksheet+xml" PartName="/xl/worksheets/sheet42326.xml"/>
  <Override ContentType="application/vnd.openxmlformats-officedocument.spreadsheetml.worksheet+xml" PartName="/xl/worksheets/sheet42327.xml"/>
  <Override ContentType="application/vnd.openxmlformats-officedocument.spreadsheetml.worksheet+xml" PartName="/xl/worksheets/sheet42328.xml"/>
  <Override ContentType="application/vnd.openxmlformats-officedocument.spreadsheetml.worksheet+xml" PartName="/xl/worksheets/sheet42329.xml"/>
  <Override ContentType="application/vnd.openxmlformats-officedocument.spreadsheetml.worksheet+xml" PartName="/xl/worksheets/sheet42330.xml"/>
  <Override ContentType="application/vnd.openxmlformats-officedocument.spreadsheetml.worksheet+xml" PartName="/xl/worksheets/sheet42331.xml"/>
  <Override ContentType="application/vnd.openxmlformats-officedocument.spreadsheetml.worksheet+xml" PartName="/xl/worksheets/sheet42332.xml"/>
  <Override ContentType="application/vnd.openxmlformats-officedocument.spreadsheetml.worksheet+xml" PartName="/xl/worksheets/sheet42333.xml"/>
  <Override ContentType="application/vnd.openxmlformats-officedocument.spreadsheetml.worksheet+xml" PartName="/xl/worksheets/sheet42334.xml"/>
  <Override ContentType="application/vnd.openxmlformats-officedocument.spreadsheetml.worksheet+xml" PartName="/xl/worksheets/sheet42335.xml"/>
  <Override ContentType="application/vnd.openxmlformats-officedocument.spreadsheetml.worksheet+xml" PartName="/xl/worksheets/sheet42336.xml"/>
  <Override ContentType="application/vnd.openxmlformats-officedocument.spreadsheetml.worksheet+xml" PartName="/xl/worksheets/sheet42337.xml"/>
  <Override ContentType="application/vnd.openxmlformats-officedocument.spreadsheetml.worksheet+xml" PartName="/xl/worksheets/sheet42338.xml"/>
  <Override ContentType="application/vnd.openxmlformats-officedocument.spreadsheetml.worksheet+xml" PartName="/xl/worksheets/sheet42339.xml"/>
  <Override ContentType="application/vnd.openxmlformats-officedocument.spreadsheetml.worksheet+xml" PartName="/xl/worksheets/sheet42340.xml"/>
  <Override ContentType="application/vnd.openxmlformats-officedocument.spreadsheetml.worksheet+xml" PartName="/xl/worksheets/sheet42341.xml"/>
  <Override ContentType="application/vnd.openxmlformats-officedocument.spreadsheetml.worksheet+xml" PartName="/xl/worksheets/sheet42342.xml"/>
  <Override ContentType="application/vnd.openxmlformats-officedocument.spreadsheetml.worksheet+xml" PartName="/xl/worksheets/sheet42343.xml"/>
  <Override ContentType="application/vnd.openxmlformats-officedocument.spreadsheetml.worksheet+xml" PartName="/xl/worksheets/sheet42344.xml"/>
  <Override ContentType="application/vnd.openxmlformats-officedocument.spreadsheetml.worksheet+xml" PartName="/xl/worksheets/sheet42345.xml"/>
  <Override ContentType="application/vnd.openxmlformats-officedocument.spreadsheetml.worksheet+xml" PartName="/xl/worksheets/sheet42346.xml"/>
  <Override ContentType="application/vnd.openxmlformats-officedocument.spreadsheetml.worksheet+xml" PartName="/xl/worksheets/sheet42347.xml"/>
  <Override ContentType="application/vnd.openxmlformats-officedocument.spreadsheetml.worksheet+xml" PartName="/xl/worksheets/sheet42348.xml"/>
  <Override ContentType="application/vnd.openxmlformats-officedocument.spreadsheetml.worksheet+xml" PartName="/xl/worksheets/sheet42349.xml"/>
  <Override ContentType="application/vnd.openxmlformats-officedocument.spreadsheetml.worksheet+xml" PartName="/xl/worksheets/sheet42350.xml"/>
  <Override ContentType="application/vnd.openxmlformats-officedocument.spreadsheetml.worksheet+xml" PartName="/xl/worksheets/sheet42351.xml"/>
  <Override ContentType="application/vnd.openxmlformats-officedocument.spreadsheetml.worksheet+xml" PartName="/xl/worksheets/sheet42352.xml"/>
  <Override ContentType="application/vnd.openxmlformats-officedocument.spreadsheetml.worksheet+xml" PartName="/xl/worksheets/sheet42353.xml"/>
  <Override ContentType="application/vnd.openxmlformats-officedocument.spreadsheetml.worksheet+xml" PartName="/xl/worksheets/sheet42354.xml"/>
  <Override ContentType="application/vnd.openxmlformats-officedocument.spreadsheetml.worksheet+xml" PartName="/xl/worksheets/sheet42355.xml"/>
  <Override ContentType="application/vnd.openxmlformats-officedocument.spreadsheetml.worksheet+xml" PartName="/xl/worksheets/sheet42356.xml"/>
  <Override ContentType="application/vnd.openxmlformats-officedocument.spreadsheetml.worksheet+xml" PartName="/xl/worksheets/sheet42357.xml"/>
  <Override ContentType="application/vnd.openxmlformats-officedocument.spreadsheetml.worksheet+xml" PartName="/xl/worksheets/sheet42358.xml"/>
  <Override ContentType="application/vnd.openxmlformats-officedocument.spreadsheetml.worksheet+xml" PartName="/xl/worksheets/sheet42359.xml"/>
  <Override ContentType="application/vnd.openxmlformats-officedocument.spreadsheetml.worksheet+xml" PartName="/xl/worksheets/sheet42360.xml"/>
  <Override ContentType="application/vnd.openxmlformats-officedocument.spreadsheetml.worksheet+xml" PartName="/xl/worksheets/sheet42361.xml"/>
  <Override ContentType="application/vnd.openxmlformats-officedocument.spreadsheetml.worksheet+xml" PartName="/xl/worksheets/sheet42362.xml"/>
  <Override ContentType="application/vnd.openxmlformats-officedocument.spreadsheetml.worksheet+xml" PartName="/xl/worksheets/sheet42363.xml"/>
  <Override ContentType="application/vnd.openxmlformats-officedocument.spreadsheetml.worksheet+xml" PartName="/xl/worksheets/sheet42364.xml"/>
  <Override ContentType="application/vnd.openxmlformats-officedocument.spreadsheetml.worksheet+xml" PartName="/xl/worksheets/sheet42365.xml"/>
  <Override ContentType="application/vnd.openxmlformats-officedocument.spreadsheetml.worksheet+xml" PartName="/xl/worksheets/sheet42366.xml"/>
  <Override ContentType="application/vnd.openxmlformats-officedocument.spreadsheetml.worksheet+xml" PartName="/xl/worksheets/sheet42367.xml"/>
  <Override ContentType="application/vnd.openxmlformats-officedocument.spreadsheetml.worksheet+xml" PartName="/xl/worksheets/sheet42368.xml"/>
  <Override ContentType="application/vnd.openxmlformats-officedocument.spreadsheetml.worksheet+xml" PartName="/xl/worksheets/sheet42369.xml"/>
  <Override ContentType="application/vnd.openxmlformats-officedocument.spreadsheetml.worksheet+xml" PartName="/xl/worksheets/sheet42370.xml"/>
  <Override ContentType="application/vnd.openxmlformats-officedocument.spreadsheetml.worksheet+xml" PartName="/xl/worksheets/sheet42371.xml"/>
  <Override ContentType="application/vnd.openxmlformats-officedocument.spreadsheetml.worksheet+xml" PartName="/xl/worksheets/sheet42372.xml"/>
  <Override ContentType="application/vnd.openxmlformats-officedocument.spreadsheetml.worksheet+xml" PartName="/xl/worksheets/sheet42373.xml"/>
  <Override ContentType="application/vnd.openxmlformats-officedocument.spreadsheetml.worksheet+xml" PartName="/xl/worksheets/sheet42374.xml"/>
  <Override ContentType="application/vnd.openxmlformats-officedocument.spreadsheetml.worksheet+xml" PartName="/xl/worksheets/sheet42375.xml"/>
  <Override ContentType="application/vnd.openxmlformats-officedocument.spreadsheetml.worksheet+xml" PartName="/xl/worksheets/sheet42376.xml"/>
  <Override ContentType="application/vnd.openxmlformats-officedocument.spreadsheetml.worksheet+xml" PartName="/xl/worksheets/sheet42377.xml"/>
  <Override ContentType="application/vnd.openxmlformats-officedocument.spreadsheetml.worksheet+xml" PartName="/xl/worksheets/sheet42378.xml"/>
  <Override ContentType="application/vnd.openxmlformats-officedocument.spreadsheetml.worksheet+xml" PartName="/xl/worksheets/sheet42379.xml"/>
  <Override ContentType="application/vnd.openxmlformats-officedocument.spreadsheetml.worksheet+xml" PartName="/xl/worksheets/sheet42380.xml"/>
  <Override ContentType="application/vnd.openxmlformats-officedocument.spreadsheetml.worksheet+xml" PartName="/xl/worksheets/sheet42381.xml"/>
  <Override ContentType="application/vnd.openxmlformats-officedocument.spreadsheetml.worksheet+xml" PartName="/xl/worksheets/sheet42382.xml"/>
  <Override ContentType="application/vnd.openxmlformats-officedocument.spreadsheetml.worksheet+xml" PartName="/xl/worksheets/sheet42383.xml"/>
  <Override ContentType="application/vnd.openxmlformats-officedocument.spreadsheetml.worksheet+xml" PartName="/xl/worksheets/sheet42384.xml"/>
  <Override ContentType="application/vnd.openxmlformats-officedocument.spreadsheetml.worksheet+xml" PartName="/xl/worksheets/sheet42385.xml"/>
  <Override ContentType="application/vnd.openxmlformats-officedocument.spreadsheetml.worksheet+xml" PartName="/xl/worksheets/sheet42386.xml"/>
  <Override ContentType="application/vnd.openxmlformats-officedocument.spreadsheetml.worksheet+xml" PartName="/xl/worksheets/sheet42387.xml"/>
  <Override ContentType="application/vnd.openxmlformats-officedocument.spreadsheetml.worksheet+xml" PartName="/xl/worksheets/sheet42388.xml"/>
  <Override ContentType="application/vnd.openxmlformats-officedocument.spreadsheetml.worksheet+xml" PartName="/xl/worksheets/sheet42389.xml"/>
  <Override ContentType="application/vnd.openxmlformats-officedocument.spreadsheetml.worksheet+xml" PartName="/xl/worksheets/sheet42390.xml"/>
  <Override ContentType="application/vnd.openxmlformats-officedocument.spreadsheetml.worksheet+xml" PartName="/xl/worksheets/sheet42391.xml"/>
  <Override ContentType="application/vnd.openxmlformats-officedocument.spreadsheetml.worksheet+xml" PartName="/xl/worksheets/sheet42392.xml"/>
  <Override ContentType="application/vnd.openxmlformats-officedocument.spreadsheetml.worksheet+xml" PartName="/xl/worksheets/sheet42393.xml"/>
  <Override ContentType="application/vnd.openxmlformats-officedocument.spreadsheetml.worksheet+xml" PartName="/xl/worksheets/sheet42394.xml"/>
  <Override ContentType="application/vnd.openxmlformats-officedocument.spreadsheetml.worksheet+xml" PartName="/xl/worksheets/sheet42395.xml"/>
  <Override ContentType="application/vnd.openxmlformats-officedocument.spreadsheetml.worksheet+xml" PartName="/xl/worksheets/sheet42396.xml"/>
  <Override ContentType="application/vnd.openxmlformats-officedocument.spreadsheetml.worksheet+xml" PartName="/xl/worksheets/sheet42397.xml"/>
  <Override ContentType="application/vnd.openxmlformats-officedocument.spreadsheetml.worksheet+xml" PartName="/xl/worksheets/sheet42398.xml"/>
  <Override ContentType="application/vnd.openxmlformats-officedocument.spreadsheetml.worksheet+xml" PartName="/xl/worksheets/sheet42399.xml"/>
  <Override ContentType="application/vnd.openxmlformats-officedocument.spreadsheetml.worksheet+xml" PartName="/xl/worksheets/sheet42400.xml"/>
  <Override ContentType="application/vnd.openxmlformats-officedocument.spreadsheetml.worksheet+xml" PartName="/xl/worksheets/sheet42401.xml"/>
  <Override ContentType="application/vnd.openxmlformats-officedocument.spreadsheetml.worksheet+xml" PartName="/xl/worksheets/sheet42402.xml"/>
  <Override ContentType="application/vnd.openxmlformats-officedocument.spreadsheetml.worksheet+xml" PartName="/xl/worksheets/sheet42403.xml"/>
  <Override ContentType="application/vnd.openxmlformats-officedocument.spreadsheetml.worksheet+xml" PartName="/xl/worksheets/sheet42404.xml"/>
  <Override ContentType="application/vnd.openxmlformats-officedocument.spreadsheetml.worksheet+xml" PartName="/xl/worksheets/sheet42405.xml"/>
  <Override ContentType="application/vnd.openxmlformats-officedocument.spreadsheetml.worksheet+xml" PartName="/xl/worksheets/sheet42406.xml"/>
  <Override ContentType="application/vnd.openxmlformats-officedocument.spreadsheetml.worksheet+xml" PartName="/xl/worksheets/sheet42407.xml"/>
  <Override ContentType="application/vnd.openxmlformats-officedocument.spreadsheetml.worksheet+xml" PartName="/xl/worksheets/sheet42408.xml"/>
  <Override ContentType="application/vnd.openxmlformats-officedocument.spreadsheetml.worksheet+xml" PartName="/xl/worksheets/sheet42409.xml"/>
  <Override ContentType="application/vnd.openxmlformats-officedocument.spreadsheetml.worksheet+xml" PartName="/xl/worksheets/sheet42410.xml"/>
  <Override ContentType="application/vnd.openxmlformats-officedocument.spreadsheetml.worksheet+xml" PartName="/xl/worksheets/sheet42411.xml"/>
  <Override ContentType="application/vnd.openxmlformats-officedocument.spreadsheetml.worksheet+xml" PartName="/xl/worksheets/sheet42412.xml"/>
  <Override ContentType="application/vnd.openxmlformats-officedocument.spreadsheetml.worksheet+xml" PartName="/xl/worksheets/sheet42413.xml"/>
  <Override ContentType="application/vnd.openxmlformats-officedocument.spreadsheetml.worksheet+xml" PartName="/xl/worksheets/sheet42414.xml"/>
  <Override ContentType="application/vnd.openxmlformats-officedocument.spreadsheetml.worksheet+xml" PartName="/xl/worksheets/sheet42415.xml"/>
  <Override ContentType="application/vnd.openxmlformats-officedocument.spreadsheetml.worksheet+xml" PartName="/xl/worksheets/sheet42416.xml"/>
  <Override ContentType="application/vnd.openxmlformats-officedocument.spreadsheetml.worksheet+xml" PartName="/xl/worksheets/sheet42417.xml"/>
  <Override ContentType="application/vnd.openxmlformats-officedocument.spreadsheetml.worksheet+xml" PartName="/xl/worksheets/sheet42418.xml"/>
  <Override ContentType="application/vnd.openxmlformats-officedocument.spreadsheetml.worksheet+xml" PartName="/xl/worksheets/sheet42419.xml"/>
  <Override ContentType="application/vnd.openxmlformats-officedocument.spreadsheetml.worksheet+xml" PartName="/xl/worksheets/sheet42420.xml"/>
  <Override ContentType="application/vnd.openxmlformats-officedocument.spreadsheetml.worksheet+xml" PartName="/xl/worksheets/sheet42421.xml"/>
  <Override ContentType="application/vnd.openxmlformats-officedocument.spreadsheetml.worksheet+xml" PartName="/xl/worksheets/sheet42422.xml"/>
  <Override ContentType="application/vnd.openxmlformats-officedocument.spreadsheetml.worksheet+xml" PartName="/xl/worksheets/sheet42423.xml"/>
  <Override ContentType="application/vnd.openxmlformats-officedocument.spreadsheetml.worksheet+xml" PartName="/xl/worksheets/sheet42424.xml"/>
  <Override ContentType="application/vnd.openxmlformats-officedocument.spreadsheetml.worksheet+xml" PartName="/xl/worksheets/sheet42425.xml"/>
  <Override ContentType="application/vnd.openxmlformats-officedocument.spreadsheetml.worksheet+xml" PartName="/xl/worksheets/sheet42426.xml"/>
  <Override ContentType="application/vnd.openxmlformats-officedocument.spreadsheetml.worksheet+xml" PartName="/xl/worksheets/sheet42427.xml"/>
  <Override ContentType="application/vnd.openxmlformats-officedocument.spreadsheetml.worksheet+xml" PartName="/xl/worksheets/sheet42428.xml"/>
  <Override ContentType="application/vnd.openxmlformats-officedocument.spreadsheetml.worksheet+xml" PartName="/xl/worksheets/sheet42429.xml"/>
  <Override ContentType="application/vnd.openxmlformats-officedocument.spreadsheetml.worksheet+xml" PartName="/xl/worksheets/sheet42430.xml"/>
  <Override ContentType="application/vnd.openxmlformats-officedocument.spreadsheetml.worksheet+xml" PartName="/xl/worksheets/sheet42431.xml"/>
  <Override ContentType="application/vnd.openxmlformats-officedocument.spreadsheetml.worksheet+xml" PartName="/xl/worksheets/sheet42432.xml"/>
  <Override ContentType="application/vnd.openxmlformats-officedocument.spreadsheetml.worksheet+xml" PartName="/xl/worksheets/sheet42433.xml"/>
  <Override ContentType="application/vnd.openxmlformats-officedocument.spreadsheetml.worksheet+xml" PartName="/xl/worksheets/sheet42434.xml"/>
  <Override ContentType="application/vnd.openxmlformats-officedocument.spreadsheetml.worksheet+xml" PartName="/xl/worksheets/sheet42435.xml"/>
  <Override ContentType="application/vnd.openxmlformats-officedocument.spreadsheetml.worksheet+xml" PartName="/xl/worksheets/sheet42436.xml"/>
  <Override ContentType="application/vnd.openxmlformats-officedocument.spreadsheetml.worksheet+xml" PartName="/xl/worksheets/sheet42437.xml"/>
  <Override ContentType="application/vnd.openxmlformats-officedocument.spreadsheetml.worksheet+xml" PartName="/xl/worksheets/sheet42438.xml"/>
  <Override ContentType="application/vnd.openxmlformats-officedocument.spreadsheetml.worksheet+xml" PartName="/xl/worksheets/sheet42439.xml"/>
  <Override ContentType="application/vnd.openxmlformats-officedocument.spreadsheetml.worksheet+xml" PartName="/xl/worksheets/sheet42440.xml"/>
  <Override ContentType="application/vnd.openxmlformats-officedocument.spreadsheetml.worksheet+xml" PartName="/xl/worksheets/sheet42441.xml"/>
  <Override ContentType="application/vnd.openxmlformats-officedocument.spreadsheetml.worksheet+xml" PartName="/xl/worksheets/sheet42442.xml"/>
  <Override ContentType="application/vnd.openxmlformats-officedocument.spreadsheetml.worksheet+xml" PartName="/xl/worksheets/sheet42443.xml"/>
  <Override ContentType="application/vnd.openxmlformats-officedocument.spreadsheetml.worksheet+xml" PartName="/xl/worksheets/sheet42444.xml"/>
  <Override ContentType="application/vnd.openxmlformats-officedocument.spreadsheetml.worksheet+xml" PartName="/xl/worksheets/sheet42445.xml"/>
  <Override ContentType="application/vnd.openxmlformats-officedocument.spreadsheetml.worksheet+xml" PartName="/xl/worksheets/sheet42446.xml"/>
  <Override ContentType="application/vnd.openxmlformats-officedocument.spreadsheetml.worksheet+xml" PartName="/xl/worksheets/sheet42447.xml"/>
  <Override ContentType="application/vnd.openxmlformats-officedocument.spreadsheetml.worksheet+xml" PartName="/xl/worksheets/sheet42448.xml"/>
  <Override ContentType="application/vnd.openxmlformats-officedocument.spreadsheetml.worksheet+xml" PartName="/xl/worksheets/sheet42449.xml"/>
  <Override ContentType="application/vnd.openxmlformats-officedocument.spreadsheetml.worksheet+xml" PartName="/xl/worksheets/sheet42450.xml"/>
  <Override ContentType="application/vnd.openxmlformats-officedocument.spreadsheetml.worksheet+xml" PartName="/xl/worksheets/sheet42451.xml"/>
  <Override ContentType="application/vnd.openxmlformats-officedocument.spreadsheetml.worksheet+xml" PartName="/xl/worksheets/sheet42452.xml"/>
  <Override ContentType="application/vnd.openxmlformats-officedocument.spreadsheetml.worksheet+xml" PartName="/xl/worksheets/sheet42453.xml"/>
  <Override ContentType="application/vnd.openxmlformats-officedocument.spreadsheetml.worksheet+xml" PartName="/xl/worksheets/sheet42454.xml"/>
  <Override ContentType="application/vnd.openxmlformats-officedocument.spreadsheetml.worksheet+xml" PartName="/xl/worksheets/sheet42455.xml"/>
  <Override ContentType="application/vnd.openxmlformats-officedocument.spreadsheetml.worksheet+xml" PartName="/xl/worksheets/sheet42456.xml"/>
  <Override ContentType="application/vnd.openxmlformats-officedocument.spreadsheetml.worksheet+xml" PartName="/xl/worksheets/sheet42457.xml"/>
  <Override ContentType="application/vnd.openxmlformats-officedocument.spreadsheetml.worksheet+xml" PartName="/xl/worksheets/sheet42458.xml"/>
  <Override ContentType="application/vnd.openxmlformats-officedocument.spreadsheetml.worksheet+xml" PartName="/xl/worksheets/sheet42459.xml"/>
  <Override ContentType="application/vnd.openxmlformats-officedocument.spreadsheetml.worksheet+xml" PartName="/xl/worksheets/sheet42460.xml"/>
  <Override ContentType="application/vnd.openxmlformats-officedocument.spreadsheetml.worksheet+xml" PartName="/xl/worksheets/sheet42461.xml"/>
  <Override ContentType="application/vnd.openxmlformats-officedocument.spreadsheetml.worksheet+xml" PartName="/xl/worksheets/sheet42462.xml"/>
  <Override ContentType="application/vnd.openxmlformats-officedocument.spreadsheetml.worksheet+xml" PartName="/xl/worksheets/sheet42463.xml"/>
  <Override ContentType="application/vnd.openxmlformats-officedocument.spreadsheetml.worksheet+xml" PartName="/xl/worksheets/sheet42464.xml"/>
  <Override ContentType="application/vnd.openxmlformats-officedocument.spreadsheetml.worksheet+xml" PartName="/xl/worksheets/sheet42465.xml"/>
  <Override ContentType="application/vnd.openxmlformats-officedocument.spreadsheetml.worksheet+xml" PartName="/xl/worksheets/sheet42466.xml"/>
  <Override ContentType="application/vnd.openxmlformats-officedocument.spreadsheetml.worksheet+xml" PartName="/xl/worksheets/sheet42467.xml"/>
  <Override ContentType="application/vnd.openxmlformats-officedocument.spreadsheetml.worksheet+xml" PartName="/xl/worksheets/sheet42468.xml"/>
  <Override ContentType="application/vnd.openxmlformats-officedocument.spreadsheetml.worksheet+xml" PartName="/xl/worksheets/sheet42469.xml"/>
  <Override ContentType="application/vnd.openxmlformats-officedocument.spreadsheetml.worksheet+xml" PartName="/xl/worksheets/sheet42470.xml"/>
  <Override ContentType="application/vnd.openxmlformats-officedocument.spreadsheetml.worksheet+xml" PartName="/xl/worksheets/sheet42471.xml"/>
  <Override ContentType="application/vnd.openxmlformats-officedocument.spreadsheetml.worksheet+xml" PartName="/xl/worksheets/sheet42472.xml"/>
  <Override ContentType="application/vnd.openxmlformats-officedocument.spreadsheetml.worksheet+xml" PartName="/xl/worksheets/sheet42473.xml"/>
  <Override ContentType="application/vnd.openxmlformats-officedocument.spreadsheetml.worksheet+xml" PartName="/xl/worksheets/sheet42474.xml"/>
  <Override ContentType="application/vnd.openxmlformats-officedocument.spreadsheetml.worksheet+xml" PartName="/xl/worksheets/sheet42475.xml"/>
  <Override ContentType="application/vnd.openxmlformats-officedocument.spreadsheetml.worksheet+xml" PartName="/xl/worksheets/sheet42476.xml"/>
  <Override ContentType="application/vnd.openxmlformats-officedocument.spreadsheetml.worksheet+xml" PartName="/xl/worksheets/sheet42477.xml"/>
  <Override ContentType="application/vnd.openxmlformats-officedocument.spreadsheetml.worksheet+xml" PartName="/xl/worksheets/sheet42478.xml"/>
  <Override ContentType="application/vnd.openxmlformats-officedocument.spreadsheetml.worksheet+xml" PartName="/xl/worksheets/sheet42479.xml"/>
  <Override ContentType="application/vnd.openxmlformats-officedocument.spreadsheetml.worksheet+xml" PartName="/xl/worksheets/sheet42480.xml"/>
  <Override ContentType="application/vnd.openxmlformats-officedocument.spreadsheetml.worksheet+xml" PartName="/xl/worksheets/sheet42481.xml"/>
  <Override ContentType="application/vnd.openxmlformats-officedocument.spreadsheetml.worksheet+xml" PartName="/xl/worksheets/sheet42482.xml"/>
  <Override ContentType="application/vnd.openxmlformats-officedocument.spreadsheetml.worksheet+xml" PartName="/xl/worksheets/sheet42483.xml"/>
  <Override ContentType="application/vnd.openxmlformats-officedocument.spreadsheetml.worksheet+xml" PartName="/xl/worksheets/sheet42484.xml"/>
  <Override ContentType="application/vnd.openxmlformats-officedocument.spreadsheetml.worksheet+xml" PartName="/xl/worksheets/sheet42485.xml"/>
  <Override ContentType="application/vnd.openxmlformats-officedocument.spreadsheetml.worksheet+xml" PartName="/xl/worksheets/sheet42486.xml"/>
  <Override ContentType="application/vnd.openxmlformats-officedocument.spreadsheetml.worksheet+xml" PartName="/xl/worksheets/sheet42487.xml"/>
  <Override ContentType="application/vnd.openxmlformats-officedocument.spreadsheetml.worksheet+xml" PartName="/xl/worksheets/sheet42488.xml"/>
  <Override ContentType="application/vnd.openxmlformats-officedocument.spreadsheetml.worksheet+xml" PartName="/xl/worksheets/sheet42489.xml"/>
  <Override ContentType="application/vnd.openxmlformats-officedocument.spreadsheetml.worksheet+xml" PartName="/xl/worksheets/sheet42490.xml"/>
  <Override ContentType="application/vnd.openxmlformats-officedocument.spreadsheetml.worksheet+xml" PartName="/xl/worksheets/sheet42491.xml"/>
  <Override ContentType="application/vnd.openxmlformats-officedocument.spreadsheetml.worksheet+xml" PartName="/xl/worksheets/sheet42492.xml"/>
  <Override ContentType="application/vnd.openxmlformats-officedocument.spreadsheetml.worksheet+xml" PartName="/xl/worksheets/sheet42493.xml"/>
  <Override ContentType="application/vnd.openxmlformats-officedocument.spreadsheetml.worksheet+xml" PartName="/xl/worksheets/sheet42494.xml"/>
  <Override ContentType="application/vnd.openxmlformats-officedocument.spreadsheetml.worksheet+xml" PartName="/xl/worksheets/sheet42495.xml"/>
  <Override ContentType="application/vnd.openxmlformats-officedocument.spreadsheetml.worksheet+xml" PartName="/xl/worksheets/sheet42496.xml"/>
  <Override ContentType="application/vnd.openxmlformats-officedocument.spreadsheetml.worksheet+xml" PartName="/xl/worksheets/sheet42497.xml"/>
  <Override ContentType="application/vnd.openxmlformats-officedocument.spreadsheetml.worksheet+xml" PartName="/xl/worksheets/sheet42498.xml"/>
  <Override ContentType="application/vnd.openxmlformats-officedocument.spreadsheetml.worksheet+xml" PartName="/xl/worksheets/sheet42499.xml"/>
  <Override ContentType="application/vnd.openxmlformats-officedocument.spreadsheetml.worksheet+xml" PartName="/xl/worksheets/sheet42500.xml"/>
  <Override ContentType="application/vnd.openxmlformats-officedocument.spreadsheetml.worksheet+xml" PartName="/xl/worksheets/sheet42501.xml"/>
  <Override ContentType="application/vnd.openxmlformats-officedocument.spreadsheetml.worksheet+xml" PartName="/xl/worksheets/sheet42502.xml"/>
  <Override ContentType="application/vnd.openxmlformats-officedocument.spreadsheetml.worksheet+xml" PartName="/xl/worksheets/sheet42503.xml"/>
  <Override ContentType="application/vnd.openxmlformats-officedocument.spreadsheetml.worksheet+xml" PartName="/xl/worksheets/sheet42504.xml"/>
  <Override ContentType="application/vnd.openxmlformats-officedocument.spreadsheetml.worksheet+xml" PartName="/xl/worksheets/sheet42505.xml"/>
  <Override ContentType="application/vnd.openxmlformats-officedocument.spreadsheetml.worksheet+xml" PartName="/xl/worksheets/sheet42506.xml"/>
  <Override ContentType="application/vnd.openxmlformats-officedocument.spreadsheetml.worksheet+xml" PartName="/xl/worksheets/sheet42507.xml"/>
  <Override ContentType="application/vnd.openxmlformats-officedocument.spreadsheetml.worksheet+xml" PartName="/xl/worksheets/sheet42508.xml"/>
  <Override ContentType="application/vnd.openxmlformats-officedocument.spreadsheetml.worksheet+xml" PartName="/xl/worksheets/sheet42509.xml"/>
  <Override ContentType="application/vnd.openxmlformats-officedocument.spreadsheetml.worksheet+xml" PartName="/xl/worksheets/sheet42510.xml"/>
  <Override ContentType="application/vnd.openxmlformats-officedocument.spreadsheetml.worksheet+xml" PartName="/xl/worksheets/sheet42511.xml"/>
  <Override ContentType="application/vnd.openxmlformats-officedocument.spreadsheetml.worksheet+xml" PartName="/xl/worksheets/sheet42512.xml"/>
  <Override ContentType="application/vnd.openxmlformats-officedocument.spreadsheetml.worksheet+xml" PartName="/xl/worksheets/sheet42513.xml"/>
  <Override ContentType="application/vnd.openxmlformats-officedocument.spreadsheetml.worksheet+xml" PartName="/xl/worksheets/sheet42514.xml"/>
  <Override ContentType="application/vnd.openxmlformats-officedocument.spreadsheetml.worksheet+xml" PartName="/xl/worksheets/sheet42515.xml"/>
  <Override ContentType="application/vnd.openxmlformats-officedocument.spreadsheetml.worksheet+xml" PartName="/xl/worksheets/sheet42516.xml"/>
  <Override ContentType="application/vnd.openxmlformats-officedocument.spreadsheetml.worksheet+xml" PartName="/xl/worksheets/sheet42517.xml"/>
  <Override ContentType="application/vnd.openxmlformats-officedocument.spreadsheetml.worksheet+xml" PartName="/xl/worksheets/sheet42518.xml"/>
  <Override ContentType="application/vnd.openxmlformats-officedocument.spreadsheetml.worksheet+xml" PartName="/xl/worksheets/sheet42519.xml"/>
  <Override ContentType="application/vnd.openxmlformats-officedocument.spreadsheetml.worksheet+xml" PartName="/xl/worksheets/sheet42520.xml"/>
  <Override ContentType="application/vnd.openxmlformats-officedocument.spreadsheetml.worksheet+xml" PartName="/xl/worksheets/sheet42521.xml"/>
  <Override ContentType="application/vnd.openxmlformats-officedocument.spreadsheetml.worksheet+xml" PartName="/xl/worksheets/sheet42522.xml"/>
  <Override ContentType="application/vnd.openxmlformats-officedocument.spreadsheetml.worksheet+xml" PartName="/xl/worksheets/sheet42523.xml"/>
  <Override ContentType="application/vnd.openxmlformats-officedocument.spreadsheetml.worksheet+xml" PartName="/xl/worksheets/sheet42524.xml"/>
  <Override ContentType="application/vnd.openxmlformats-officedocument.spreadsheetml.worksheet+xml" PartName="/xl/worksheets/sheet42525.xml"/>
  <Override ContentType="application/vnd.openxmlformats-officedocument.spreadsheetml.worksheet+xml" PartName="/xl/worksheets/sheet42526.xml"/>
  <Override ContentType="application/vnd.openxmlformats-officedocument.spreadsheetml.worksheet+xml" PartName="/xl/worksheets/sheet42527.xml"/>
  <Override ContentType="application/vnd.openxmlformats-officedocument.spreadsheetml.worksheet+xml" PartName="/xl/worksheets/sheet42528.xml"/>
  <Override ContentType="application/vnd.openxmlformats-officedocument.spreadsheetml.worksheet+xml" PartName="/xl/worksheets/sheet42529.xml"/>
  <Override ContentType="application/vnd.openxmlformats-officedocument.spreadsheetml.worksheet+xml" PartName="/xl/worksheets/sheet42530.xml"/>
  <Override ContentType="application/vnd.openxmlformats-officedocument.spreadsheetml.worksheet+xml" PartName="/xl/worksheets/sheet42531.xml"/>
  <Override ContentType="application/vnd.openxmlformats-officedocument.spreadsheetml.worksheet+xml" PartName="/xl/worksheets/sheet42532.xml"/>
  <Override ContentType="application/vnd.openxmlformats-officedocument.spreadsheetml.worksheet+xml" PartName="/xl/worksheets/sheet42533.xml"/>
  <Override ContentType="application/vnd.openxmlformats-officedocument.spreadsheetml.worksheet+xml" PartName="/xl/worksheets/sheet42534.xml"/>
  <Override ContentType="application/vnd.openxmlformats-officedocument.spreadsheetml.worksheet+xml" PartName="/xl/worksheets/sheet42535.xml"/>
  <Override ContentType="application/vnd.openxmlformats-officedocument.spreadsheetml.worksheet+xml" PartName="/xl/worksheets/sheet42536.xml"/>
  <Override ContentType="application/vnd.openxmlformats-officedocument.spreadsheetml.worksheet+xml" PartName="/xl/worksheets/sheet42537.xml"/>
  <Override ContentType="application/vnd.openxmlformats-officedocument.spreadsheetml.worksheet+xml" PartName="/xl/worksheets/sheet42538.xml"/>
  <Override ContentType="application/vnd.openxmlformats-officedocument.spreadsheetml.worksheet+xml" PartName="/xl/worksheets/sheet42539.xml"/>
  <Override ContentType="application/vnd.openxmlformats-officedocument.spreadsheetml.worksheet+xml" PartName="/xl/worksheets/sheet42540.xml"/>
  <Override ContentType="application/vnd.openxmlformats-officedocument.spreadsheetml.worksheet+xml" PartName="/xl/worksheets/sheet42541.xml"/>
  <Override ContentType="application/vnd.openxmlformats-officedocument.spreadsheetml.worksheet+xml" PartName="/xl/worksheets/sheet42542.xml"/>
  <Override ContentType="application/vnd.openxmlformats-officedocument.spreadsheetml.worksheet+xml" PartName="/xl/worksheets/sheet42543.xml"/>
  <Override ContentType="application/vnd.openxmlformats-officedocument.spreadsheetml.worksheet+xml" PartName="/xl/worksheets/sheet42544.xml"/>
  <Override ContentType="application/vnd.openxmlformats-officedocument.spreadsheetml.worksheet+xml" PartName="/xl/worksheets/sheet42545.xml"/>
  <Override ContentType="application/vnd.openxmlformats-officedocument.spreadsheetml.worksheet+xml" PartName="/xl/worksheets/sheet42546.xml"/>
  <Override ContentType="application/vnd.openxmlformats-officedocument.spreadsheetml.worksheet+xml" PartName="/xl/worksheets/sheet42547.xml"/>
  <Override ContentType="application/vnd.openxmlformats-officedocument.spreadsheetml.worksheet+xml" PartName="/xl/worksheets/sheet42548.xml"/>
  <Override ContentType="application/vnd.openxmlformats-officedocument.spreadsheetml.worksheet+xml" PartName="/xl/worksheets/sheet42549.xml"/>
  <Override ContentType="application/vnd.openxmlformats-officedocument.spreadsheetml.worksheet+xml" PartName="/xl/worksheets/sheet42550.xml"/>
  <Override ContentType="application/vnd.openxmlformats-officedocument.spreadsheetml.worksheet+xml" PartName="/xl/worksheets/sheet42551.xml"/>
  <Override ContentType="application/vnd.openxmlformats-officedocument.spreadsheetml.worksheet+xml" PartName="/xl/worksheets/sheet42552.xml"/>
  <Override ContentType="application/vnd.openxmlformats-officedocument.spreadsheetml.worksheet+xml" PartName="/xl/worksheets/sheet42553.xml"/>
  <Override ContentType="application/vnd.openxmlformats-officedocument.spreadsheetml.worksheet+xml" PartName="/xl/worksheets/sheet42554.xml"/>
  <Override ContentType="application/vnd.openxmlformats-officedocument.spreadsheetml.worksheet+xml" PartName="/xl/worksheets/sheet42555.xml"/>
  <Override ContentType="application/vnd.openxmlformats-officedocument.spreadsheetml.worksheet+xml" PartName="/xl/worksheets/sheet42556.xml"/>
  <Override ContentType="application/vnd.openxmlformats-officedocument.spreadsheetml.worksheet+xml" PartName="/xl/worksheets/sheet42557.xml"/>
  <Override ContentType="application/vnd.openxmlformats-officedocument.spreadsheetml.worksheet+xml" PartName="/xl/worksheets/sheet42558.xml"/>
  <Override ContentType="application/vnd.openxmlformats-officedocument.spreadsheetml.worksheet+xml" PartName="/xl/worksheets/sheet42559.xml"/>
  <Override ContentType="application/vnd.openxmlformats-officedocument.spreadsheetml.worksheet+xml" PartName="/xl/worksheets/sheet42560.xml"/>
  <Override ContentType="application/vnd.openxmlformats-officedocument.spreadsheetml.worksheet+xml" PartName="/xl/worksheets/sheet42561.xml"/>
  <Override ContentType="application/vnd.openxmlformats-officedocument.spreadsheetml.worksheet+xml" PartName="/xl/worksheets/sheet42562.xml"/>
  <Override ContentType="application/vnd.openxmlformats-officedocument.spreadsheetml.worksheet+xml" PartName="/xl/worksheets/sheet42563.xml"/>
  <Override ContentType="application/vnd.openxmlformats-officedocument.spreadsheetml.worksheet+xml" PartName="/xl/worksheets/sheet42564.xml"/>
  <Override ContentType="application/vnd.openxmlformats-officedocument.spreadsheetml.worksheet+xml" PartName="/xl/worksheets/sheet42565.xml"/>
  <Override ContentType="application/vnd.openxmlformats-officedocument.spreadsheetml.worksheet+xml" PartName="/xl/worksheets/sheet42566.xml"/>
  <Override ContentType="application/vnd.openxmlformats-officedocument.spreadsheetml.worksheet+xml" PartName="/xl/worksheets/sheet42567.xml"/>
  <Override ContentType="application/vnd.openxmlformats-officedocument.spreadsheetml.worksheet+xml" PartName="/xl/worksheets/sheet42568.xml"/>
  <Override ContentType="application/vnd.openxmlformats-officedocument.spreadsheetml.worksheet+xml" PartName="/xl/worksheets/sheet42569.xml"/>
  <Override ContentType="application/vnd.openxmlformats-officedocument.spreadsheetml.worksheet+xml" PartName="/xl/worksheets/sheet42570.xml"/>
  <Override ContentType="application/vnd.openxmlformats-officedocument.spreadsheetml.worksheet+xml" PartName="/xl/worksheets/sheet42571.xml"/>
  <Override ContentType="application/vnd.openxmlformats-officedocument.spreadsheetml.worksheet+xml" PartName="/xl/worksheets/sheet42572.xml"/>
  <Override ContentType="application/vnd.openxmlformats-officedocument.spreadsheetml.worksheet+xml" PartName="/xl/worksheets/sheet42573.xml"/>
  <Override ContentType="application/vnd.openxmlformats-officedocument.spreadsheetml.worksheet+xml" PartName="/xl/worksheets/sheet42574.xml"/>
  <Override ContentType="application/vnd.openxmlformats-officedocument.spreadsheetml.worksheet+xml" PartName="/xl/worksheets/sheet42575.xml"/>
  <Override ContentType="application/vnd.openxmlformats-officedocument.spreadsheetml.worksheet+xml" PartName="/xl/worksheets/sheet42576.xml"/>
  <Override ContentType="application/vnd.openxmlformats-officedocument.spreadsheetml.worksheet+xml" PartName="/xl/worksheets/sheet42577.xml"/>
  <Override ContentType="application/vnd.openxmlformats-officedocument.spreadsheetml.worksheet+xml" PartName="/xl/worksheets/sheet42578.xml"/>
  <Override ContentType="application/vnd.openxmlformats-officedocument.spreadsheetml.worksheet+xml" PartName="/xl/worksheets/sheet42579.xml"/>
  <Override ContentType="application/vnd.openxmlformats-officedocument.spreadsheetml.worksheet+xml" PartName="/xl/worksheets/sheet42580.xml"/>
  <Override ContentType="application/vnd.openxmlformats-officedocument.spreadsheetml.worksheet+xml" PartName="/xl/worksheets/sheet42581.xml"/>
  <Override ContentType="application/vnd.openxmlformats-officedocument.spreadsheetml.worksheet+xml" PartName="/xl/worksheets/sheet42582.xml"/>
  <Override ContentType="application/vnd.openxmlformats-officedocument.spreadsheetml.worksheet+xml" PartName="/xl/worksheets/sheet42583.xml"/>
  <Override ContentType="application/vnd.openxmlformats-officedocument.spreadsheetml.worksheet+xml" PartName="/xl/worksheets/sheet42584.xml"/>
  <Override ContentType="application/vnd.openxmlformats-officedocument.spreadsheetml.worksheet+xml" PartName="/xl/worksheets/sheet42585.xml"/>
  <Override ContentType="application/vnd.openxmlformats-officedocument.spreadsheetml.worksheet+xml" PartName="/xl/worksheets/sheet42586.xml"/>
  <Override ContentType="application/vnd.openxmlformats-officedocument.spreadsheetml.worksheet+xml" PartName="/xl/worksheets/sheet42587.xml"/>
  <Override ContentType="application/vnd.openxmlformats-officedocument.spreadsheetml.worksheet+xml" PartName="/xl/worksheets/sheet42588.xml"/>
  <Override ContentType="application/vnd.openxmlformats-officedocument.spreadsheetml.worksheet+xml" PartName="/xl/worksheets/sheet42589.xml"/>
  <Override ContentType="application/vnd.openxmlformats-officedocument.spreadsheetml.worksheet+xml" PartName="/xl/worksheets/sheet42590.xml"/>
  <Override ContentType="application/vnd.openxmlformats-officedocument.spreadsheetml.worksheet+xml" PartName="/xl/worksheets/sheet42591.xml"/>
  <Override ContentType="application/vnd.openxmlformats-officedocument.spreadsheetml.worksheet+xml" PartName="/xl/worksheets/sheet42592.xml"/>
  <Override ContentType="application/vnd.openxmlformats-officedocument.spreadsheetml.worksheet+xml" PartName="/xl/worksheets/sheet42593.xml"/>
  <Override ContentType="application/vnd.openxmlformats-officedocument.spreadsheetml.worksheet+xml" PartName="/xl/worksheets/sheet42594.xml"/>
  <Override ContentType="application/vnd.openxmlformats-officedocument.spreadsheetml.worksheet+xml" PartName="/xl/worksheets/sheet42595.xml"/>
  <Override ContentType="application/vnd.openxmlformats-officedocument.spreadsheetml.worksheet+xml" PartName="/xl/worksheets/sheet42596.xml"/>
  <Override ContentType="application/vnd.openxmlformats-officedocument.spreadsheetml.worksheet+xml" PartName="/xl/worksheets/sheet42597.xml"/>
  <Override ContentType="application/vnd.openxmlformats-officedocument.spreadsheetml.worksheet+xml" PartName="/xl/worksheets/sheet42598.xml"/>
  <Override ContentType="application/vnd.openxmlformats-officedocument.spreadsheetml.worksheet+xml" PartName="/xl/worksheets/sheet42599.xml"/>
  <Override ContentType="application/vnd.openxmlformats-officedocument.spreadsheetml.worksheet+xml" PartName="/xl/worksheets/sheet42600.xml"/>
  <Override ContentType="application/vnd.openxmlformats-officedocument.spreadsheetml.worksheet+xml" PartName="/xl/worksheets/sheet42601.xml"/>
  <Override ContentType="application/vnd.openxmlformats-officedocument.spreadsheetml.worksheet+xml" PartName="/xl/worksheets/sheet42602.xml"/>
  <Override ContentType="application/vnd.openxmlformats-officedocument.spreadsheetml.worksheet+xml" PartName="/xl/worksheets/sheet42603.xml"/>
  <Override ContentType="application/vnd.openxmlformats-officedocument.spreadsheetml.worksheet+xml" PartName="/xl/worksheets/sheet42604.xml"/>
  <Override ContentType="application/vnd.openxmlformats-officedocument.spreadsheetml.worksheet+xml" PartName="/xl/worksheets/sheet42605.xml"/>
  <Override ContentType="application/vnd.openxmlformats-officedocument.spreadsheetml.worksheet+xml" PartName="/xl/worksheets/sheet42606.xml"/>
  <Override ContentType="application/vnd.openxmlformats-officedocument.spreadsheetml.worksheet+xml" PartName="/xl/worksheets/sheet42607.xml"/>
  <Override ContentType="application/vnd.openxmlformats-officedocument.spreadsheetml.worksheet+xml" PartName="/xl/worksheets/sheet42608.xml"/>
  <Override ContentType="application/vnd.openxmlformats-officedocument.spreadsheetml.worksheet+xml" PartName="/xl/worksheets/sheet42609.xml"/>
  <Override ContentType="application/vnd.openxmlformats-officedocument.spreadsheetml.worksheet+xml" PartName="/xl/worksheets/sheet42610.xml"/>
  <Override ContentType="application/vnd.openxmlformats-officedocument.spreadsheetml.worksheet+xml" PartName="/xl/worksheets/sheet42611.xml"/>
  <Override ContentType="application/vnd.openxmlformats-officedocument.spreadsheetml.worksheet+xml" PartName="/xl/worksheets/sheet42612.xml"/>
  <Override ContentType="application/vnd.openxmlformats-officedocument.spreadsheetml.worksheet+xml" PartName="/xl/worksheets/sheet42613.xml"/>
  <Override ContentType="application/vnd.openxmlformats-officedocument.spreadsheetml.worksheet+xml" PartName="/xl/worksheets/sheet42614.xml"/>
  <Override ContentType="application/vnd.openxmlformats-officedocument.spreadsheetml.worksheet+xml" PartName="/xl/worksheets/sheet42615.xml"/>
  <Override ContentType="application/vnd.openxmlformats-officedocument.spreadsheetml.worksheet+xml" PartName="/xl/worksheets/sheet42616.xml"/>
  <Override ContentType="application/vnd.openxmlformats-officedocument.spreadsheetml.worksheet+xml" PartName="/xl/worksheets/sheet42617.xml"/>
  <Override ContentType="application/vnd.openxmlformats-officedocument.spreadsheetml.worksheet+xml" PartName="/xl/worksheets/sheet42618.xml"/>
  <Override ContentType="application/vnd.openxmlformats-officedocument.spreadsheetml.worksheet+xml" PartName="/xl/worksheets/sheet42619.xml"/>
  <Override ContentType="application/vnd.openxmlformats-officedocument.spreadsheetml.worksheet+xml" PartName="/xl/worksheets/sheet42620.xml"/>
  <Override ContentType="application/vnd.openxmlformats-officedocument.spreadsheetml.worksheet+xml" PartName="/xl/worksheets/sheet42621.xml"/>
  <Override ContentType="application/vnd.openxmlformats-officedocument.spreadsheetml.worksheet+xml" PartName="/xl/worksheets/sheet42622.xml"/>
  <Override ContentType="application/vnd.openxmlformats-officedocument.spreadsheetml.worksheet+xml" PartName="/xl/worksheets/sheet42623.xml"/>
  <Override ContentType="application/vnd.openxmlformats-officedocument.spreadsheetml.worksheet+xml" PartName="/xl/worksheets/sheet42624.xml"/>
  <Override ContentType="application/vnd.openxmlformats-officedocument.spreadsheetml.worksheet+xml" PartName="/xl/worksheets/sheet42625.xml"/>
  <Override ContentType="application/vnd.openxmlformats-officedocument.spreadsheetml.worksheet+xml" PartName="/xl/worksheets/sheet42626.xml"/>
  <Override ContentType="application/vnd.openxmlformats-officedocument.spreadsheetml.worksheet+xml" PartName="/xl/worksheets/sheet42627.xml"/>
  <Override ContentType="application/vnd.openxmlformats-officedocument.spreadsheetml.worksheet+xml" PartName="/xl/worksheets/sheet42628.xml"/>
  <Override ContentType="application/vnd.openxmlformats-officedocument.spreadsheetml.worksheet+xml" PartName="/xl/worksheets/sheet42629.xml"/>
  <Override ContentType="application/vnd.openxmlformats-officedocument.spreadsheetml.worksheet+xml" PartName="/xl/worksheets/sheet42630.xml"/>
  <Override ContentType="application/vnd.openxmlformats-officedocument.spreadsheetml.worksheet+xml" PartName="/xl/worksheets/sheet42631.xml"/>
  <Override ContentType="application/vnd.openxmlformats-officedocument.spreadsheetml.worksheet+xml" PartName="/xl/worksheets/sheet42632.xml"/>
  <Override ContentType="application/vnd.openxmlformats-officedocument.spreadsheetml.worksheet+xml" PartName="/xl/worksheets/sheet42633.xml"/>
  <Override ContentType="application/vnd.openxmlformats-officedocument.spreadsheetml.worksheet+xml" PartName="/xl/worksheets/sheet42634.xml"/>
  <Override ContentType="application/vnd.openxmlformats-officedocument.spreadsheetml.worksheet+xml" PartName="/xl/worksheets/sheet42635.xml"/>
  <Override ContentType="application/vnd.openxmlformats-officedocument.spreadsheetml.worksheet+xml" PartName="/xl/worksheets/sheet42636.xml"/>
  <Override ContentType="application/vnd.openxmlformats-officedocument.spreadsheetml.worksheet+xml" PartName="/xl/worksheets/sheet42637.xml"/>
  <Override ContentType="application/vnd.openxmlformats-officedocument.spreadsheetml.worksheet+xml" PartName="/xl/worksheets/sheet42638.xml"/>
  <Override ContentType="application/vnd.openxmlformats-officedocument.spreadsheetml.worksheet+xml" PartName="/xl/worksheets/sheet42639.xml"/>
  <Override ContentType="application/vnd.openxmlformats-officedocument.spreadsheetml.worksheet+xml" PartName="/xl/worksheets/sheet42640.xml"/>
  <Override ContentType="application/vnd.openxmlformats-officedocument.spreadsheetml.worksheet+xml" PartName="/xl/worksheets/sheet42641.xml"/>
  <Override ContentType="application/vnd.openxmlformats-officedocument.spreadsheetml.worksheet+xml" PartName="/xl/worksheets/sheet42642.xml"/>
  <Override ContentType="application/vnd.openxmlformats-officedocument.spreadsheetml.worksheet+xml" PartName="/xl/worksheets/sheet42643.xml"/>
  <Override ContentType="application/vnd.openxmlformats-officedocument.spreadsheetml.worksheet+xml" PartName="/xl/worksheets/sheet42644.xml"/>
  <Override ContentType="application/vnd.openxmlformats-officedocument.spreadsheetml.worksheet+xml" PartName="/xl/worksheets/sheet42645.xml"/>
  <Override ContentType="application/vnd.openxmlformats-officedocument.spreadsheetml.worksheet+xml" PartName="/xl/worksheets/sheet42646.xml"/>
  <Override ContentType="application/vnd.openxmlformats-officedocument.spreadsheetml.worksheet+xml" PartName="/xl/worksheets/sheet42647.xml"/>
  <Override ContentType="application/vnd.openxmlformats-officedocument.spreadsheetml.worksheet+xml" PartName="/xl/worksheets/sheet42648.xml"/>
  <Override ContentType="application/vnd.openxmlformats-officedocument.spreadsheetml.worksheet+xml" PartName="/xl/worksheets/sheet42649.xml"/>
  <Override ContentType="application/vnd.openxmlformats-officedocument.spreadsheetml.worksheet+xml" PartName="/xl/worksheets/sheet42650.xml"/>
  <Override ContentType="application/vnd.openxmlformats-officedocument.spreadsheetml.worksheet+xml" PartName="/xl/worksheets/sheet42651.xml"/>
  <Override ContentType="application/vnd.openxmlformats-officedocument.spreadsheetml.worksheet+xml" PartName="/xl/worksheets/sheet42652.xml"/>
  <Override ContentType="application/vnd.openxmlformats-officedocument.spreadsheetml.worksheet+xml" PartName="/xl/worksheets/sheet42653.xml"/>
  <Override ContentType="application/vnd.openxmlformats-officedocument.spreadsheetml.worksheet+xml" PartName="/xl/worksheets/sheet42654.xml"/>
  <Override ContentType="application/vnd.openxmlformats-officedocument.spreadsheetml.worksheet+xml" PartName="/xl/worksheets/sheet42655.xml"/>
  <Override ContentType="application/vnd.openxmlformats-officedocument.spreadsheetml.worksheet+xml" PartName="/xl/worksheets/sheet42656.xml"/>
  <Override ContentType="application/vnd.openxmlformats-officedocument.spreadsheetml.worksheet+xml" PartName="/xl/worksheets/sheet42657.xml"/>
  <Override ContentType="application/vnd.openxmlformats-officedocument.spreadsheetml.worksheet+xml" PartName="/xl/worksheets/sheet42658.xml"/>
  <Override ContentType="application/vnd.openxmlformats-officedocument.spreadsheetml.worksheet+xml" PartName="/xl/worksheets/sheet42659.xml"/>
  <Override ContentType="application/vnd.openxmlformats-officedocument.spreadsheetml.worksheet+xml" PartName="/xl/worksheets/sheet42660.xml"/>
  <Override ContentType="application/vnd.openxmlformats-officedocument.spreadsheetml.worksheet+xml" PartName="/xl/worksheets/sheet42661.xml"/>
  <Override ContentType="application/vnd.openxmlformats-officedocument.spreadsheetml.worksheet+xml" PartName="/xl/worksheets/sheet42662.xml"/>
  <Override ContentType="application/vnd.openxmlformats-officedocument.spreadsheetml.worksheet+xml" PartName="/xl/worksheets/sheet42663.xml"/>
  <Override ContentType="application/vnd.openxmlformats-officedocument.spreadsheetml.worksheet+xml" PartName="/xl/worksheets/sheet42664.xml"/>
  <Override ContentType="application/vnd.openxmlformats-officedocument.spreadsheetml.worksheet+xml" PartName="/xl/worksheets/sheet42665.xml"/>
  <Override ContentType="application/vnd.openxmlformats-officedocument.spreadsheetml.worksheet+xml" PartName="/xl/worksheets/sheet42666.xml"/>
  <Override ContentType="application/vnd.openxmlformats-officedocument.spreadsheetml.worksheet+xml" PartName="/xl/worksheets/sheet42667.xml"/>
  <Override ContentType="application/vnd.openxmlformats-officedocument.spreadsheetml.worksheet+xml" PartName="/xl/worksheets/sheet42668.xml"/>
  <Override ContentType="application/vnd.openxmlformats-officedocument.spreadsheetml.worksheet+xml" PartName="/xl/worksheets/sheet42669.xml"/>
  <Override ContentType="application/vnd.openxmlformats-officedocument.spreadsheetml.worksheet+xml" PartName="/xl/worksheets/sheet42670.xml"/>
  <Override ContentType="application/vnd.openxmlformats-officedocument.spreadsheetml.worksheet+xml" PartName="/xl/worksheets/sheet42671.xml"/>
  <Override ContentType="application/vnd.openxmlformats-officedocument.spreadsheetml.worksheet+xml" PartName="/xl/worksheets/sheet42672.xml"/>
  <Override ContentType="application/vnd.openxmlformats-officedocument.spreadsheetml.worksheet+xml" PartName="/xl/worksheets/sheet42673.xml"/>
  <Override ContentType="application/vnd.openxmlformats-officedocument.spreadsheetml.worksheet+xml" PartName="/xl/worksheets/sheet42674.xml"/>
  <Override ContentType="application/vnd.openxmlformats-officedocument.spreadsheetml.worksheet+xml" PartName="/xl/worksheets/sheet42675.xml"/>
  <Override ContentType="application/vnd.openxmlformats-officedocument.spreadsheetml.worksheet+xml" PartName="/xl/worksheets/sheet42676.xml"/>
  <Override ContentType="application/vnd.openxmlformats-officedocument.spreadsheetml.worksheet+xml" PartName="/xl/worksheets/sheet42677.xml"/>
  <Override ContentType="application/vnd.openxmlformats-officedocument.spreadsheetml.worksheet+xml" PartName="/xl/worksheets/sheet42678.xml"/>
  <Override ContentType="application/vnd.openxmlformats-officedocument.spreadsheetml.worksheet+xml" PartName="/xl/worksheets/sheet42679.xml"/>
  <Override ContentType="application/vnd.openxmlformats-officedocument.spreadsheetml.worksheet+xml" PartName="/xl/worksheets/sheet42680.xml"/>
  <Override ContentType="application/vnd.openxmlformats-officedocument.spreadsheetml.worksheet+xml" PartName="/xl/worksheets/sheet42681.xml"/>
  <Override ContentType="application/vnd.openxmlformats-officedocument.spreadsheetml.worksheet+xml" PartName="/xl/worksheets/sheet42682.xml"/>
  <Override ContentType="application/vnd.openxmlformats-officedocument.spreadsheetml.worksheet+xml" PartName="/xl/worksheets/sheet42683.xml"/>
  <Override ContentType="application/vnd.openxmlformats-officedocument.spreadsheetml.worksheet+xml" PartName="/xl/worksheets/sheet42684.xml"/>
  <Override ContentType="application/vnd.openxmlformats-officedocument.spreadsheetml.worksheet+xml" PartName="/xl/worksheets/sheet42685.xml"/>
  <Override ContentType="application/vnd.openxmlformats-officedocument.spreadsheetml.worksheet+xml" PartName="/xl/worksheets/sheet42686.xml"/>
  <Override ContentType="application/vnd.openxmlformats-officedocument.spreadsheetml.worksheet+xml" PartName="/xl/worksheets/sheet42687.xml"/>
  <Override ContentType="application/vnd.openxmlformats-officedocument.spreadsheetml.worksheet+xml" PartName="/xl/worksheets/sheet42688.xml"/>
  <Override ContentType="application/vnd.openxmlformats-officedocument.spreadsheetml.worksheet+xml" PartName="/xl/worksheets/sheet42689.xml"/>
  <Override ContentType="application/vnd.openxmlformats-officedocument.spreadsheetml.worksheet+xml" PartName="/xl/worksheets/sheet42690.xml"/>
  <Override ContentType="application/vnd.openxmlformats-officedocument.spreadsheetml.worksheet+xml" PartName="/xl/worksheets/sheet42691.xml"/>
  <Override ContentType="application/vnd.openxmlformats-officedocument.spreadsheetml.worksheet+xml" PartName="/xl/worksheets/sheet42692.xml"/>
  <Override ContentType="application/vnd.openxmlformats-officedocument.spreadsheetml.worksheet+xml" PartName="/xl/worksheets/sheet42693.xml"/>
  <Override ContentType="application/vnd.openxmlformats-officedocument.spreadsheetml.worksheet+xml" PartName="/xl/worksheets/sheet42694.xml"/>
  <Override ContentType="application/vnd.openxmlformats-officedocument.spreadsheetml.worksheet+xml" PartName="/xl/worksheets/sheet42695.xml"/>
  <Override ContentType="application/vnd.openxmlformats-officedocument.spreadsheetml.worksheet+xml" PartName="/xl/worksheets/sheet42696.xml"/>
  <Override ContentType="application/vnd.openxmlformats-officedocument.spreadsheetml.worksheet+xml" PartName="/xl/worksheets/sheet42697.xml"/>
  <Override ContentType="application/vnd.openxmlformats-officedocument.spreadsheetml.worksheet+xml" PartName="/xl/worksheets/sheet42698.xml"/>
  <Override ContentType="application/vnd.openxmlformats-officedocument.spreadsheetml.worksheet+xml" PartName="/xl/worksheets/sheet42699.xml"/>
  <Override ContentType="application/vnd.openxmlformats-officedocument.spreadsheetml.worksheet+xml" PartName="/xl/worksheets/sheet42700.xml"/>
  <Override ContentType="application/vnd.openxmlformats-officedocument.spreadsheetml.worksheet+xml" PartName="/xl/worksheets/sheet42701.xml"/>
  <Override ContentType="application/vnd.openxmlformats-officedocument.spreadsheetml.worksheet+xml" PartName="/xl/worksheets/sheet42702.xml"/>
  <Override ContentType="application/vnd.openxmlformats-officedocument.spreadsheetml.worksheet+xml" PartName="/xl/worksheets/sheet42703.xml"/>
  <Override ContentType="application/vnd.openxmlformats-officedocument.spreadsheetml.worksheet+xml" PartName="/xl/worksheets/sheet42704.xml"/>
  <Override ContentType="application/vnd.openxmlformats-officedocument.spreadsheetml.worksheet+xml" PartName="/xl/worksheets/sheet42705.xml"/>
  <Override ContentType="application/vnd.openxmlformats-officedocument.spreadsheetml.worksheet+xml" PartName="/xl/worksheets/sheet42706.xml"/>
  <Override ContentType="application/vnd.openxmlformats-officedocument.spreadsheetml.worksheet+xml" PartName="/xl/worksheets/sheet42707.xml"/>
  <Override ContentType="application/vnd.openxmlformats-officedocument.spreadsheetml.worksheet+xml" PartName="/xl/worksheets/sheet42708.xml"/>
  <Override ContentType="application/vnd.openxmlformats-officedocument.spreadsheetml.worksheet+xml" PartName="/xl/worksheets/sheet42709.xml"/>
  <Override ContentType="application/vnd.openxmlformats-officedocument.spreadsheetml.worksheet+xml" PartName="/xl/worksheets/sheet42710.xml"/>
  <Override ContentType="application/vnd.openxmlformats-officedocument.spreadsheetml.worksheet+xml" PartName="/xl/worksheets/sheet42711.xml"/>
  <Override ContentType="application/vnd.openxmlformats-officedocument.spreadsheetml.worksheet+xml" PartName="/xl/worksheets/sheet42712.xml"/>
  <Override ContentType="application/vnd.openxmlformats-officedocument.spreadsheetml.worksheet+xml" PartName="/xl/worksheets/sheet42713.xml"/>
  <Override ContentType="application/vnd.openxmlformats-officedocument.spreadsheetml.worksheet+xml" PartName="/xl/worksheets/sheet42714.xml"/>
  <Override ContentType="application/vnd.openxmlformats-officedocument.spreadsheetml.worksheet+xml" PartName="/xl/worksheets/sheet42715.xml"/>
  <Override ContentType="application/vnd.openxmlformats-officedocument.spreadsheetml.worksheet+xml" PartName="/xl/worksheets/sheet42716.xml"/>
  <Override ContentType="application/vnd.openxmlformats-officedocument.spreadsheetml.worksheet+xml" PartName="/xl/worksheets/sheet42717.xml"/>
  <Override ContentType="application/vnd.openxmlformats-officedocument.spreadsheetml.worksheet+xml" PartName="/xl/worksheets/sheet42718.xml"/>
  <Override ContentType="application/vnd.openxmlformats-officedocument.spreadsheetml.worksheet+xml" PartName="/xl/worksheets/sheet42719.xml"/>
  <Override ContentType="application/vnd.openxmlformats-officedocument.spreadsheetml.worksheet+xml" PartName="/xl/worksheets/sheet42720.xml"/>
  <Override ContentType="application/vnd.openxmlformats-officedocument.spreadsheetml.worksheet+xml" PartName="/xl/worksheets/sheet42721.xml"/>
  <Override ContentType="application/vnd.openxmlformats-officedocument.spreadsheetml.worksheet+xml" PartName="/xl/worksheets/sheet42722.xml"/>
  <Override ContentType="application/vnd.openxmlformats-officedocument.spreadsheetml.worksheet+xml" PartName="/xl/worksheets/sheet42723.xml"/>
  <Override ContentType="application/vnd.openxmlformats-officedocument.spreadsheetml.worksheet+xml" PartName="/xl/worksheets/sheet42724.xml"/>
  <Override ContentType="application/vnd.openxmlformats-officedocument.spreadsheetml.worksheet+xml" PartName="/xl/worksheets/sheet42725.xml"/>
  <Override ContentType="application/vnd.openxmlformats-officedocument.spreadsheetml.worksheet+xml" PartName="/xl/worksheets/sheet42726.xml"/>
  <Override ContentType="application/vnd.openxmlformats-officedocument.spreadsheetml.worksheet+xml" PartName="/xl/worksheets/sheet42727.xml"/>
  <Override ContentType="application/vnd.openxmlformats-officedocument.spreadsheetml.worksheet+xml" PartName="/xl/worksheets/sheet42728.xml"/>
  <Override ContentType="application/vnd.openxmlformats-officedocument.spreadsheetml.worksheet+xml" PartName="/xl/worksheets/sheet42729.xml"/>
  <Override ContentType="application/vnd.openxmlformats-officedocument.spreadsheetml.worksheet+xml" PartName="/xl/worksheets/sheet42730.xml"/>
  <Override ContentType="application/vnd.openxmlformats-officedocument.spreadsheetml.worksheet+xml" PartName="/xl/worksheets/sheet42731.xml"/>
  <Override ContentType="application/vnd.openxmlformats-officedocument.spreadsheetml.worksheet+xml" PartName="/xl/worksheets/sheet42732.xml"/>
  <Override ContentType="application/vnd.openxmlformats-officedocument.spreadsheetml.worksheet+xml" PartName="/xl/worksheets/sheet42733.xml"/>
  <Override ContentType="application/vnd.openxmlformats-officedocument.spreadsheetml.worksheet+xml" PartName="/xl/worksheets/sheet42734.xml"/>
  <Override ContentType="application/vnd.openxmlformats-officedocument.spreadsheetml.worksheet+xml" PartName="/xl/worksheets/sheet42735.xml"/>
  <Override ContentType="application/vnd.openxmlformats-officedocument.spreadsheetml.worksheet+xml" PartName="/xl/worksheets/sheet42736.xml"/>
  <Override ContentType="application/vnd.openxmlformats-officedocument.spreadsheetml.worksheet+xml" PartName="/xl/worksheets/sheet42737.xml"/>
  <Override ContentType="application/vnd.openxmlformats-officedocument.spreadsheetml.worksheet+xml" PartName="/xl/worksheets/sheet42738.xml"/>
  <Override ContentType="application/vnd.openxmlformats-officedocument.spreadsheetml.worksheet+xml" PartName="/xl/worksheets/sheet42739.xml"/>
  <Override ContentType="application/vnd.openxmlformats-officedocument.spreadsheetml.worksheet+xml" PartName="/xl/worksheets/sheet42740.xml"/>
  <Override ContentType="application/vnd.openxmlformats-officedocument.spreadsheetml.worksheet+xml" PartName="/xl/worksheets/sheet42741.xml"/>
  <Override ContentType="application/vnd.openxmlformats-officedocument.spreadsheetml.worksheet+xml" PartName="/xl/worksheets/sheet42742.xml"/>
  <Override ContentType="application/vnd.openxmlformats-officedocument.spreadsheetml.worksheet+xml" PartName="/xl/worksheets/sheet42743.xml"/>
  <Override ContentType="application/vnd.openxmlformats-officedocument.spreadsheetml.worksheet+xml" PartName="/xl/worksheets/sheet42744.xml"/>
  <Override ContentType="application/vnd.openxmlformats-officedocument.spreadsheetml.worksheet+xml" PartName="/xl/worksheets/sheet42745.xml"/>
  <Override ContentType="application/vnd.openxmlformats-officedocument.spreadsheetml.worksheet+xml" PartName="/xl/worksheets/sheet42746.xml"/>
  <Override ContentType="application/vnd.openxmlformats-officedocument.spreadsheetml.worksheet+xml" PartName="/xl/worksheets/sheet42747.xml"/>
  <Override ContentType="application/vnd.openxmlformats-officedocument.spreadsheetml.worksheet+xml" PartName="/xl/worksheets/sheet42748.xml"/>
  <Override ContentType="application/vnd.openxmlformats-officedocument.spreadsheetml.worksheet+xml" PartName="/xl/worksheets/sheet42749.xml"/>
  <Override ContentType="application/vnd.openxmlformats-officedocument.spreadsheetml.worksheet+xml" PartName="/xl/worksheets/sheet42750.xml"/>
  <Override ContentType="application/vnd.openxmlformats-officedocument.spreadsheetml.worksheet+xml" PartName="/xl/worksheets/sheet42751.xml"/>
  <Override ContentType="application/vnd.openxmlformats-officedocument.spreadsheetml.worksheet+xml" PartName="/xl/worksheets/sheet42752.xml"/>
  <Override ContentType="application/vnd.openxmlformats-officedocument.spreadsheetml.worksheet+xml" PartName="/xl/worksheets/sheet42753.xml"/>
  <Override ContentType="application/vnd.openxmlformats-officedocument.spreadsheetml.worksheet+xml" PartName="/xl/worksheets/sheet42754.xml"/>
  <Override ContentType="application/vnd.openxmlformats-officedocument.spreadsheetml.worksheet+xml" PartName="/xl/worksheets/sheet42755.xml"/>
  <Override ContentType="application/vnd.openxmlformats-officedocument.spreadsheetml.worksheet+xml" PartName="/xl/worksheets/sheet42756.xml"/>
  <Override ContentType="application/vnd.openxmlformats-officedocument.spreadsheetml.worksheet+xml" PartName="/xl/worksheets/sheet42757.xml"/>
  <Override ContentType="application/vnd.openxmlformats-officedocument.spreadsheetml.worksheet+xml" PartName="/xl/worksheets/sheet42758.xml"/>
  <Override ContentType="application/vnd.openxmlformats-officedocument.spreadsheetml.worksheet+xml" PartName="/xl/worksheets/sheet42759.xml"/>
  <Override ContentType="application/vnd.openxmlformats-officedocument.spreadsheetml.worksheet+xml" PartName="/xl/worksheets/sheet42760.xml"/>
  <Override ContentType="application/vnd.openxmlformats-officedocument.spreadsheetml.worksheet+xml" PartName="/xl/worksheets/sheet42761.xml"/>
  <Override ContentType="application/vnd.openxmlformats-officedocument.spreadsheetml.worksheet+xml" PartName="/xl/worksheets/sheet42762.xml"/>
  <Override ContentType="application/vnd.openxmlformats-officedocument.spreadsheetml.worksheet+xml" PartName="/xl/worksheets/sheet42763.xml"/>
  <Override ContentType="application/vnd.openxmlformats-officedocument.spreadsheetml.worksheet+xml" PartName="/xl/worksheets/sheet42764.xml"/>
  <Override ContentType="application/vnd.openxmlformats-officedocument.spreadsheetml.worksheet+xml" PartName="/xl/worksheets/sheet42765.xml"/>
  <Override ContentType="application/vnd.openxmlformats-officedocument.spreadsheetml.worksheet+xml" PartName="/xl/worksheets/sheet42766.xml"/>
  <Override ContentType="application/vnd.openxmlformats-officedocument.spreadsheetml.worksheet+xml" PartName="/xl/worksheets/sheet42767.xml"/>
  <Override ContentType="application/vnd.openxmlformats-officedocument.spreadsheetml.worksheet+xml" PartName="/xl/worksheets/sheet42768.xml"/>
  <Override ContentType="application/vnd.openxmlformats-officedocument.spreadsheetml.worksheet+xml" PartName="/xl/worksheets/sheet42769.xml"/>
  <Override ContentType="application/vnd.openxmlformats-officedocument.spreadsheetml.worksheet+xml" PartName="/xl/worksheets/sheet42770.xml"/>
  <Override ContentType="application/vnd.openxmlformats-officedocument.spreadsheetml.worksheet+xml" PartName="/xl/worksheets/sheet42771.xml"/>
  <Override ContentType="application/vnd.openxmlformats-officedocument.spreadsheetml.worksheet+xml" PartName="/xl/worksheets/sheet42772.xml"/>
  <Override ContentType="application/vnd.openxmlformats-officedocument.spreadsheetml.worksheet+xml" PartName="/xl/worksheets/sheet42773.xml"/>
  <Override ContentType="application/vnd.openxmlformats-officedocument.spreadsheetml.worksheet+xml" PartName="/xl/worksheets/sheet42774.xml"/>
  <Override ContentType="application/vnd.openxmlformats-officedocument.spreadsheetml.worksheet+xml" PartName="/xl/worksheets/sheet42775.xml"/>
  <Override ContentType="application/vnd.openxmlformats-officedocument.spreadsheetml.worksheet+xml" PartName="/xl/worksheets/sheet42776.xml"/>
  <Override ContentType="application/vnd.openxmlformats-officedocument.spreadsheetml.worksheet+xml" PartName="/xl/worksheets/sheet42777.xml"/>
  <Override ContentType="application/vnd.openxmlformats-officedocument.spreadsheetml.worksheet+xml" PartName="/xl/worksheets/sheet42778.xml"/>
  <Override ContentType="application/vnd.openxmlformats-officedocument.spreadsheetml.worksheet+xml" PartName="/xl/worksheets/sheet42779.xml"/>
  <Override ContentType="application/vnd.openxmlformats-officedocument.spreadsheetml.worksheet+xml" PartName="/xl/worksheets/sheet42780.xml"/>
  <Override ContentType="application/vnd.openxmlformats-officedocument.spreadsheetml.worksheet+xml" PartName="/xl/worksheets/sheet42781.xml"/>
  <Override ContentType="application/vnd.openxmlformats-officedocument.spreadsheetml.worksheet+xml" PartName="/xl/worksheets/sheet42782.xml"/>
  <Override ContentType="application/vnd.openxmlformats-officedocument.spreadsheetml.worksheet+xml" PartName="/xl/worksheets/sheet42783.xml"/>
  <Override ContentType="application/vnd.openxmlformats-officedocument.spreadsheetml.worksheet+xml" PartName="/xl/worksheets/sheet42784.xml"/>
  <Override ContentType="application/vnd.openxmlformats-officedocument.spreadsheetml.worksheet+xml" PartName="/xl/worksheets/sheet42785.xml"/>
  <Override ContentType="application/vnd.openxmlformats-officedocument.spreadsheetml.worksheet+xml" PartName="/xl/worksheets/sheet42786.xml"/>
  <Override ContentType="application/vnd.openxmlformats-officedocument.spreadsheetml.worksheet+xml" PartName="/xl/worksheets/sheet42787.xml"/>
  <Override ContentType="application/vnd.openxmlformats-officedocument.spreadsheetml.worksheet+xml" PartName="/xl/worksheets/sheet42788.xml"/>
  <Override ContentType="application/vnd.openxmlformats-officedocument.spreadsheetml.worksheet+xml" PartName="/xl/worksheets/sheet42789.xml"/>
  <Override ContentType="application/vnd.openxmlformats-officedocument.spreadsheetml.worksheet+xml" PartName="/xl/worksheets/sheet42790.xml"/>
  <Override ContentType="application/vnd.openxmlformats-officedocument.spreadsheetml.worksheet+xml" PartName="/xl/worksheets/sheet42791.xml"/>
  <Override ContentType="application/vnd.openxmlformats-officedocument.spreadsheetml.worksheet+xml" PartName="/xl/worksheets/sheet42792.xml"/>
  <Override ContentType="application/vnd.openxmlformats-officedocument.spreadsheetml.worksheet+xml" PartName="/xl/worksheets/sheet42793.xml"/>
  <Override ContentType="application/vnd.openxmlformats-officedocument.spreadsheetml.worksheet+xml" PartName="/xl/worksheets/sheet42794.xml"/>
  <Override ContentType="application/vnd.openxmlformats-officedocument.spreadsheetml.worksheet+xml" PartName="/xl/worksheets/sheet42795.xml"/>
  <Override ContentType="application/vnd.openxmlformats-officedocument.spreadsheetml.worksheet+xml" PartName="/xl/worksheets/sheet42796.xml"/>
  <Override ContentType="application/vnd.openxmlformats-officedocument.spreadsheetml.worksheet+xml" PartName="/xl/worksheets/sheet42797.xml"/>
  <Override ContentType="application/vnd.openxmlformats-officedocument.spreadsheetml.worksheet+xml" PartName="/xl/worksheets/sheet42798.xml"/>
  <Override ContentType="application/vnd.openxmlformats-officedocument.spreadsheetml.worksheet+xml" PartName="/xl/worksheets/sheet42799.xml"/>
  <Override ContentType="application/vnd.openxmlformats-officedocument.spreadsheetml.worksheet+xml" PartName="/xl/worksheets/sheet42800.xml"/>
  <Override ContentType="application/vnd.openxmlformats-officedocument.spreadsheetml.worksheet+xml" PartName="/xl/worksheets/sheet42801.xml"/>
  <Override ContentType="application/vnd.openxmlformats-officedocument.spreadsheetml.worksheet+xml" PartName="/xl/worksheets/sheet42802.xml"/>
  <Override ContentType="application/vnd.openxmlformats-officedocument.spreadsheetml.worksheet+xml" PartName="/xl/worksheets/sheet42803.xml"/>
  <Override ContentType="application/vnd.openxmlformats-officedocument.spreadsheetml.worksheet+xml" PartName="/xl/worksheets/sheet42804.xml"/>
  <Override ContentType="application/vnd.openxmlformats-officedocument.spreadsheetml.worksheet+xml" PartName="/xl/worksheets/sheet42805.xml"/>
  <Override ContentType="application/vnd.openxmlformats-officedocument.spreadsheetml.worksheet+xml" PartName="/xl/worksheets/sheet42806.xml"/>
  <Override ContentType="application/vnd.openxmlformats-officedocument.spreadsheetml.worksheet+xml" PartName="/xl/worksheets/sheet42807.xml"/>
  <Override ContentType="application/vnd.openxmlformats-officedocument.spreadsheetml.worksheet+xml" PartName="/xl/worksheets/sheet42808.xml"/>
  <Override ContentType="application/vnd.openxmlformats-officedocument.spreadsheetml.worksheet+xml" PartName="/xl/worksheets/sheet42809.xml"/>
  <Override ContentType="application/vnd.openxmlformats-officedocument.spreadsheetml.worksheet+xml" PartName="/xl/worksheets/sheet42810.xml"/>
  <Override ContentType="application/vnd.openxmlformats-officedocument.spreadsheetml.worksheet+xml" PartName="/xl/worksheets/sheet42811.xml"/>
  <Override ContentType="application/vnd.openxmlformats-officedocument.spreadsheetml.worksheet+xml" PartName="/xl/worksheets/sheet42812.xml"/>
  <Override ContentType="application/vnd.openxmlformats-officedocument.spreadsheetml.worksheet+xml" PartName="/xl/worksheets/sheet42813.xml"/>
  <Override ContentType="application/vnd.openxmlformats-officedocument.spreadsheetml.worksheet+xml" PartName="/xl/worksheets/sheet42814.xml"/>
  <Override ContentType="application/vnd.openxmlformats-officedocument.spreadsheetml.worksheet+xml" PartName="/xl/worksheets/sheet42815.xml"/>
  <Override ContentType="application/vnd.openxmlformats-officedocument.spreadsheetml.worksheet+xml" PartName="/xl/worksheets/sheet42816.xml"/>
  <Override ContentType="application/vnd.openxmlformats-officedocument.spreadsheetml.worksheet+xml" PartName="/xl/worksheets/sheet42817.xml"/>
  <Override ContentType="application/vnd.openxmlformats-officedocument.spreadsheetml.worksheet+xml" PartName="/xl/worksheets/sheet42818.xml"/>
  <Override ContentType="application/vnd.openxmlformats-officedocument.spreadsheetml.worksheet+xml" PartName="/xl/worksheets/sheet42819.xml"/>
  <Override ContentType="application/vnd.openxmlformats-officedocument.spreadsheetml.worksheet+xml" PartName="/xl/worksheets/sheet42820.xml"/>
  <Override ContentType="application/vnd.openxmlformats-officedocument.spreadsheetml.worksheet+xml" PartName="/xl/worksheets/sheet42821.xml"/>
  <Override ContentType="application/vnd.openxmlformats-officedocument.spreadsheetml.worksheet+xml" PartName="/xl/worksheets/sheet42822.xml"/>
  <Override ContentType="application/vnd.openxmlformats-officedocument.spreadsheetml.worksheet+xml" PartName="/xl/worksheets/sheet42823.xml"/>
  <Override ContentType="application/vnd.openxmlformats-officedocument.spreadsheetml.worksheet+xml" PartName="/xl/worksheets/sheet42824.xml"/>
  <Override ContentType="application/vnd.openxmlformats-officedocument.spreadsheetml.worksheet+xml" PartName="/xl/worksheets/sheet42825.xml"/>
  <Override ContentType="application/vnd.openxmlformats-officedocument.spreadsheetml.worksheet+xml" PartName="/xl/worksheets/sheet42826.xml"/>
  <Override ContentType="application/vnd.openxmlformats-officedocument.spreadsheetml.worksheet+xml" PartName="/xl/worksheets/sheet42827.xml"/>
  <Override ContentType="application/vnd.openxmlformats-officedocument.spreadsheetml.worksheet+xml" PartName="/xl/worksheets/sheet42828.xml"/>
  <Override ContentType="application/vnd.openxmlformats-officedocument.spreadsheetml.worksheet+xml" PartName="/xl/worksheets/sheet42829.xml"/>
  <Override ContentType="application/vnd.openxmlformats-officedocument.spreadsheetml.worksheet+xml" PartName="/xl/worksheets/sheet42830.xml"/>
  <Override ContentType="application/vnd.openxmlformats-officedocument.spreadsheetml.worksheet+xml" PartName="/xl/worksheets/sheet42831.xml"/>
  <Override ContentType="application/vnd.openxmlformats-officedocument.spreadsheetml.worksheet+xml" PartName="/xl/worksheets/sheet42832.xml"/>
  <Override ContentType="application/vnd.openxmlformats-officedocument.spreadsheetml.worksheet+xml" PartName="/xl/worksheets/sheet42833.xml"/>
  <Override ContentType="application/vnd.openxmlformats-officedocument.spreadsheetml.worksheet+xml" PartName="/xl/worksheets/sheet42834.xml"/>
  <Override ContentType="application/vnd.openxmlformats-officedocument.spreadsheetml.worksheet+xml" PartName="/xl/worksheets/sheet42835.xml"/>
  <Override ContentType="application/vnd.openxmlformats-officedocument.spreadsheetml.worksheet+xml" PartName="/xl/worksheets/sheet42836.xml"/>
  <Override ContentType="application/vnd.openxmlformats-officedocument.spreadsheetml.worksheet+xml" PartName="/xl/worksheets/sheet42837.xml"/>
  <Override ContentType="application/vnd.openxmlformats-officedocument.spreadsheetml.worksheet+xml" PartName="/xl/worksheets/sheet42838.xml"/>
  <Override ContentType="application/vnd.openxmlformats-officedocument.spreadsheetml.worksheet+xml" PartName="/xl/worksheets/sheet42839.xml"/>
  <Override ContentType="application/vnd.openxmlformats-officedocument.spreadsheetml.worksheet+xml" PartName="/xl/worksheets/sheet42840.xml"/>
  <Override ContentType="application/vnd.openxmlformats-officedocument.spreadsheetml.worksheet+xml" PartName="/xl/worksheets/sheet42841.xml"/>
  <Override ContentType="application/vnd.openxmlformats-officedocument.spreadsheetml.worksheet+xml" PartName="/xl/worksheets/sheet42842.xml"/>
  <Override ContentType="application/vnd.openxmlformats-officedocument.spreadsheetml.worksheet+xml" PartName="/xl/worksheets/sheet42843.xml"/>
  <Override ContentType="application/vnd.openxmlformats-officedocument.spreadsheetml.worksheet+xml" PartName="/xl/worksheets/sheet42844.xml"/>
  <Override ContentType="application/vnd.openxmlformats-officedocument.spreadsheetml.worksheet+xml" PartName="/xl/worksheets/sheet42845.xml"/>
  <Override ContentType="application/vnd.openxmlformats-officedocument.spreadsheetml.worksheet+xml" PartName="/xl/worksheets/sheet42846.xml"/>
  <Override ContentType="application/vnd.openxmlformats-officedocument.spreadsheetml.worksheet+xml" PartName="/xl/worksheets/sheet42847.xml"/>
  <Override ContentType="application/vnd.openxmlformats-officedocument.spreadsheetml.worksheet+xml" PartName="/xl/worksheets/sheet42848.xml"/>
  <Override ContentType="application/vnd.openxmlformats-officedocument.spreadsheetml.worksheet+xml" PartName="/xl/worksheets/sheet42849.xml"/>
  <Override ContentType="application/vnd.openxmlformats-officedocument.spreadsheetml.worksheet+xml" PartName="/xl/worksheets/sheet42850.xml"/>
  <Override ContentType="application/vnd.openxmlformats-officedocument.spreadsheetml.worksheet+xml" PartName="/xl/worksheets/sheet42851.xml"/>
  <Override ContentType="application/vnd.openxmlformats-officedocument.spreadsheetml.worksheet+xml" PartName="/xl/worksheets/sheet42852.xml"/>
  <Override ContentType="application/vnd.openxmlformats-officedocument.spreadsheetml.worksheet+xml" PartName="/xl/worksheets/sheet42853.xml"/>
  <Override ContentType="application/vnd.openxmlformats-officedocument.spreadsheetml.worksheet+xml" PartName="/xl/worksheets/sheet42854.xml"/>
  <Override ContentType="application/vnd.openxmlformats-officedocument.spreadsheetml.worksheet+xml" PartName="/xl/worksheets/sheet42855.xml"/>
  <Override ContentType="application/vnd.openxmlformats-officedocument.spreadsheetml.worksheet+xml" PartName="/xl/worksheets/sheet42856.xml"/>
  <Override ContentType="application/vnd.openxmlformats-officedocument.spreadsheetml.worksheet+xml" PartName="/xl/worksheets/sheet42857.xml"/>
  <Override ContentType="application/vnd.openxmlformats-officedocument.spreadsheetml.worksheet+xml" PartName="/xl/worksheets/sheet42858.xml"/>
  <Override ContentType="application/vnd.openxmlformats-officedocument.spreadsheetml.worksheet+xml" PartName="/xl/worksheets/sheet42859.xml"/>
  <Override ContentType="application/vnd.openxmlformats-officedocument.spreadsheetml.worksheet+xml" PartName="/xl/worksheets/sheet42860.xml"/>
  <Override ContentType="application/vnd.openxmlformats-officedocument.spreadsheetml.worksheet+xml" PartName="/xl/worksheets/sheet42861.xml"/>
  <Override ContentType="application/vnd.openxmlformats-officedocument.spreadsheetml.worksheet+xml" PartName="/xl/worksheets/sheet42862.xml"/>
  <Override ContentType="application/vnd.openxmlformats-officedocument.spreadsheetml.worksheet+xml" PartName="/xl/worksheets/sheet42863.xml"/>
  <Override ContentType="application/vnd.openxmlformats-officedocument.spreadsheetml.worksheet+xml" PartName="/xl/worksheets/sheet42864.xml"/>
  <Override ContentType="application/vnd.openxmlformats-officedocument.spreadsheetml.worksheet+xml" PartName="/xl/worksheets/sheet42865.xml"/>
  <Override ContentType="application/vnd.openxmlformats-officedocument.spreadsheetml.worksheet+xml" PartName="/xl/worksheets/sheet42866.xml"/>
  <Override ContentType="application/vnd.openxmlformats-officedocument.spreadsheetml.worksheet+xml" PartName="/xl/worksheets/sheet42867.xml"/>
  <Override ContentType="application/vnd.openxmlformats-officedocument.spreadsheetml.worksheet+xml" PartName="/xl/worksheets/sheet42868.xml"/>
  <Override ContentType="application/vnd.openxmlformats-officedocument.spreadsheetml.worksheet+xml" PartName="/xl/worksheets/sheet42869.xml"/>
  <Override ContentType="application/vnd.openxmlformats-officedocument.spreadsheetml.worksheet+xml" PartName="/xl/worksheets/sheet42870.xml"/>
  <Override ContentType="application/vnd.openxmlformats-officedocument.spreadsheetml.worksheet+xml" PartName="/xl/worksheets/sheet42871.xml"/>
  <Override ContentType="application/vnd.openxmlformats-officedocument.spreadsheetml.worksheet+xml" PartName="/xl/worksheets/sheet42872.xml"/>
  <Override ContentType="application/vnd.openxmlformats-officedocument.spreadsheetml.worksheet+xml" PartName="/xl/worksheets/sheet42873.xml"/>
  <Override ContentType="application/vnd.openxmlformats-officedocument.spreadsheetml.worksheet+xml" PartName="/xl/worksheets/sheet42874.xml"/>
  <Override ContentType="application/vnd.openxmlformats-officedocument.spreadsheetml.worksheet+xml" PartName="/xl/worksheets/sheet42875.xml"/>
  <Override ContentType="application/vnd.openxmlformats-officedocument.spreadsheetml.worksheet+xml" PartName="/xl/worksheets/sheet42876.xml"/>
  <Override ContentType="application/vnd.openxmlformats-officedocument.spreadsheetml.worksheet+xml" PartName="/xl/worksheets/sheet42877.xml"/>
  <Override ContentType="application/vnd.openxmlformats-officedocument.spreadsheetml.worksheet+xml" PartName="/xl/worksheets/sheet42878.xml"/>
  <Override ContentType="application/vnd.openxmlformats-officedocument.spreadsheetml.worksheet+xml" PartName="/xl/worksheets/sheet42879.xml"/>
  <Override ContentType="application/vnd.openxmlformats-officedocument.spreadsheetml.worksheet+xml" PartName="/xl/worksheets/sheet42880.xml"/>
  <Override ContentType="application/vnd.openxmlformats-officedocument.spreadsheetml.worksheet+xml" PartName="/xl/worksheets/sheet42881.xml"/>
  <Override ContentType="application/vnd.openxmlformats-officedocument.spreadsheetml.worksheet+xml" PartName="/xl/worksheets/sheet42882.xml"/>
  <Override ContentType="application/vnd.openxmlformats-officedocument.spreadsheetml.worksheet+xml" PartName="/xl/worksheets/sheet42883.xml"/>
  <Override ContentType="application/vnd.openxmlformats-officedocument.spreadsheetml.worksheet+xml" PartName="/xl/worksheets/sheet42884.xml"/>
  <Override ContentType="application/vnd.openxmlformats-officedocument.spreadsheetml.worksheet+xml" PartName="/xl/worksheets/sheet42885.xml"/>
  <Override ContentType="application/vnd.openxmlformats-officedocument.spreadsheetml.worksheet+xml" PartName="/xl/worksheets/sheet42886.xml"/>
  <Override ContentType="application/vnd.openxmlformats-officedocument.spreadsheetml.worksheet+xml" PartName="/xl/worksheets/sheet42887.xml"/>
  <Override ContentType="application/vnd.openxmlformats-officedocument.spreadsheetml.worksheet+xml" PartName="/xl/worksheets/sheet42888.xml"/>
  <Override ContentType="application/vnd.openxmlformats-officedocument.spreadsheetml.worksheet+xml" PartName="/xl/worksheets/sheet42889.xml"/>
  <Override ContentType="application/vnd.openxmlformats-officedocument.spreadsheetml.worksheet+xml" PartName="/xl/worksheets/sheet42890.xml"/>
  <Override ContentType="application/vnd.openxmlformats-officedocument.spreadsheetml.worksheet+xml" PartName="/xl/worksheets/sheet42891.xml"/>
  <Override ContentType="application/vnd.openxmlformats-officedocument.spreadsheetml.worksheet+xml" PartName="/xl/worksheets/sheet42892.xml"/>
  <Override ContentType="application/vnd.openxmlformats-officedocument.spreadsheetml.worksheet+xml" PartName="/xl/worksheets/sheet42893.xml"/>
  <Override ContentType="application/vnd.openxmlformats-officedocument.spreadsheetml.worksheet+xml" PartName="/xl/worksheets/sheet42894.xml"/>
  <Override ContentType="application/vnd.openxmlformats-officedocument.spreadsheetml.worksheet+xml" PartName="/xl/worksheets/sheet42895.xml"/>
  <Override ContentType="application/vnd.openxmlformats-officedocument.spreadsheetml.worksheet+xml" PartName="/xl/worksheets/sheet42896.xml"/>
  <Override ContentType="application/vnd.openxmlformats-officedocument.spreadsheetml.worksheet+xml" PartName="/xl/worksheets/sheet42897.xml"/>
  <Override ContentType="application/vnd.openxmlformats-officedocument.spreadsheetml.worksheet+xml" PartName="/xl/worksheets/sheet42898.xml"/>
  <Override ContentType="application/vnd.openxmlformats-officedocument.spreadsheetml.worksheet+xml" PartName="/xl/worksheets/sheet42899.xml"/>
  <Override ContentType="application/vnd.openxmlformats-officedocument.spreadsheetml.worksheet+xml" PartName="/xl/worksheets/sheet42900.xml"/>
  <Override ContentType="application/vnd.openxmlformats-officedocument.spreadsheetml.worksheet+xml" PartName="/xl/worksheets/sheet42901.xml"/>
  <Override ContentType="application/vnd.openxmlformats-officedocument.spreadsheetml.worksheet+xml" PartName="/xl/worksheets/sheet42902.xml"/>
  <Override ContentType="application/vnd.openxmlformats-officedocument.spreadsheetml.worksheet+xml" PartName="/xl/worksheets/sheet42903.xml"/>
  <Override ContentType="application/vnd.openxmlformats-officedocument.spreadsheetml.worksheet+xml" PartName="/xl/worksheets/sheet42904.xml"/>
  <Override ContentType="application/vnd.openxmlformats-officedocument.spreadsheetml.worksheet+xml" PartName="/xl/worksheets/sheet42905.xml"/>
  <Override ContentType="application/vnd.openxmlformats-officedocument.spreadsheetml.worksheet+xml" PartName="/xl/worksheets/sheet42906.xml"/>
  <Override ContentType="application/vnd.openxmlformats-officedocument.spreadsheetml.worksheet+xml" PartName="/xl/worksheets/sheet42907.xml"/>
  <Override ContentType="application/vnd.openxmlformats-officedocument.spreadsheetml.worksheet+xml" PartName="/xl/worksheets/sheet42908.xml"/>
  <Override ContentType="application/vnd.openxmlformats-officedocument.spreadsheetml.worksheet+xml" PartName="/xl/worksheets/sheet42909.xml"/>
  <Override ContentType="application/vnd.openxmlformats-officedocument.spreadsheetml.worksheet+xml" PartName="/xl/worksheets/sheet42910.xml"/>
  <Override ContentType="application/vnd.openxmlformats-officedocument.spreadsheetml.worksheet+xml" PartName="/xl/worksheets/sheet42911.xml"/>
  <Override ContentType="application/vnd.openxmlformats-officedocument.spreadsheetml.worksheet+xml" PartName="/xl/worksheets/sheet42912.xml"/>
  <Override ContentType="application/vnd.openxmlformats-officedocument.spreadsheetml.worksheet+xml" PartName="/xl/worksheets/sheet42913.xml"/>
  <Override ContentType="application/vnd.openxmlformats-officedocument.spreadsheetml.worksheet+xml" PartName="/xl/worksheets/sheet42914.xml"/>
  <Override ContentType="application/vnd.openxmlformats-officedocument.spreadsheetml.worksheet+xml" PartName="/xl/worksheets/sheet42915.xml"/>
  <Override ContentType="application/vnd.openxmlformats-officedocument.spreadsheetml.worksheet+xml" PartName="/xl/worksheets/sheet42916.xml"/>
  <Override ContentType="application/vnd.openxmlformats-officedocument.spreadsheetml.worksheet+xml" PartName="/xl/worksheets/sheet42917.xml"/>
  <Override ContentType="application/vnd.openxmlformats-officedocument.spreadsheetml.worksheet+xml" PartName="/xl/worksheets/sheet42918.xml"/>
  <Override ContentType="application/vnd.openxmlformats-officedocument.spreadsheetml.worksheet+xml" PartName="/xl/worksheets/sheet42919.xml"/>
  <Override ContentType="application/vnd.openxmlformats-officedocument.spreadsheetml.worksheet+xml" PartName="/xl/worksheets/sheet42920.xml"/>
  <Override ContentType="application/vnd.openxmlformats-officedocument.spreadsheetml.worksheet+xml" PartName="/xl/worksheets/sheet42921.xml"/>
  <Override ContentType="application/vnd.openxmlformats-officedocument.spreadsheetml.worksheet+xml" PartName="/xl/worksheets/sheet42922.xml"/>
  <Override ContentType="application/vnd.openxmlformats-officedocument.spreadsheetml.worksheet+xml" PartName="/xl/worksheets/sheet42923.xml"/>
  <Override ContentType="application/vnd.openxmlformats-officedocument.spreadsheetml.worksheet+xml" PartName="/xl/worksheets/sheet42924.xml"/>
  <Override ContentType="application/vnd.openxmlformats-officedocument.spreadsheetml.worksheet+xml" PartName="/xl/worksheets/sheet42925.xml"/>
  <Override ContentType="application/vnd.openxmlformats-officedocument.spreadsheetml.worksheet+xml" PartName="/xl/worksheets/sheet42926.xml"/>
  <Override ContentType="application/vnd.openxmlformats-officedocument.spreadsheetml.worksheet+xml" PartName="/xl/worksheets/sheet42927.xml"/>
  <Override ContentType="application/vnd.openxmlformats-officedocument.spreadsheetml.worksheet+xml" PartName="/xl/worksheets/sheet42928.xml"/>
  <Override ContentType="application/vnd.openxmlformats-officedocument.spreadsheetml.worksheet+xml" PartName="/xl/worksheets/sheet42929.xml"/>
  <Override ContentType="application/vnd.openxmlformats-officedocument.spreadsheetml.worksheet+xml" PartName="/xl/worksheets/sheet42930.xml"/>
  <Override ContentType="application/vnd.openxmlformats-officedocument.spreadsheetml.worksheet+xml" PartName="/xl/worksheets/sheet42931.xml"/>
  <Override ContentType="application/vnd.openxmlformats-officedocument.spreadsheetml.worksheet+xml" PartName="/xl/worksheets/sheet42932.xml"/>
  <Override ContentType="application/vnd.openxmlformats-officedocument.spreadsheetml.worksheet+xml" PartName="/xl/worksheets/sheet42933.xml"/>
  <Override ContentType="application/vnd.openxmlformats-officedocument.spreadsheetml.worksheet+xml" PartName="/xl/worksheets/sheet42934.xml"/>
  <Override ContentType="application/vnd.openxmlformats-officedocument.spreadsheetml.worksheet+xml" PartName="/xl/worksheets/sheet42935.xml"/>
  <Override ContentType="application/vnd.openxmlformats-officedocument.spreadsheetml.worksheet+xml" PartName="/xl/worksheets/sheet42936.xml"/>
  <Override ContentType="application/vnd.openxmlformats-officedocument.spreadsheetml.worksheet+xml" PartName="/xl/worksheets/sheet42937.xml"/>
  <Override ContentType="application/vnd.openxmlformats-officedocument.spreadsheetml.worksheet+xml" PartName="/xl/worksheets/sheet42938.xml"/>
  <Override ContentType="application/vnd.openxmlformats-officedocument.spreadsheetml.worksheet+xml" PartName="/xl/worksheets/sheet42939.xml"/>
  <Override ContentType="application/vnd.openxmlformats-officedocument.spreadsheetml.worksheet+xml" PartName="/xl/worksheets/sheet42940.xml"/>
  <Override ContentType="application/vnd.openxmlformats-officedocument.spreadsheetml.worksheet+xml" PartName="/xl/worksheets/sheet42941.xml"/>
  <Override ContentType="application/vnd.openxmlformats-officedocument.spreadsheetml.worksheet+xml" PartName="/xl/worksheets/sheet42942.xml"/>
  <Override ContentType="application/vnd.openxmlformats-officedocument.spreadsheetml.worksheet+xml" PartName="/xl/worksheets/sheet42943.xml"/>
  <Override ContentType="application/vnd.openxmlformats-officedocument.spreadsheetml.worksheet+xml" PartName="/xl/worksheets/sheet42944.xml"/>
  <Override ContentType="application/vnd.openxmlformats-officedocument.spreadsheetml.worksheet+xml" PartName="/xl/worksheets/sheet42945.xml"/>
  <Override ContentType="application/vnd.openxmlformats-officedocument.spreadsheetml.worksheet+xml" PartName="/xl/worksheets/sheet42946.xml"/>
  <Override ContentType="application/vnd.openxmlformats-officedocument.spreadsheetml.worksheet+xml" PartName="/xl/worksheets/sheet42947.xml"/>
  <Override ContentType="application/vnd.openxmlformats-officedocument.spreadsheetml.worksheet+xml" PartName="/xl/worksheets/sheet42948.xml"/>
  <Override ContentType="application/vnd.openxmlformats-officedocument.spreadsheetml.worksheet+xml" PartName="/xl/worksheets/sheet42949.xml"/>
  <Override ContentType="application/vnd.openxmlformats-officedocument.spreadsheetml.worksheet+xml" PartName="/xl/worksheets/sheet42950.xml"/>
  <Override ContentType="application/vnd.openxmlformats-officedocument.spreadsheetml.worksheet+xml" PartName="/xl/worksheets/sheet42951.xml"/>
  <Override ContentType="application/vnd.openxmlformats-officedocument.spreadsheetml.worksheet+xml" PartName="/xl/worksheets/sheet42952.xml"/>
  <Override ContentType="application/vnd.openxmlformats-officedocument.spreadsheetml.worksheet+xml" PartName="/xl/worksheets/sheet42953.xml"/>
  <Override ContentType="application/vnd.openxmlformats-officedocument.spreadsheetml.worksheet+xml" PartName="/xl/worksheets/sheet42954.xml"/>
  <Override ContentType="application/vnd.openxmlformats-officedocument.spreadsheetml.worksheet+xml" PartName="/xl/worksheets/sheet42955.xml"/>
  <Override ContentType="application/vnd.openxmlformats-officedocument.spreadsheetml.worksheet+xml" PartName="/xl/worksheets/sheet42956.xml"/>
  <Override ContentType="application/vnd.openxmlformats-officedocument.spreadsheetml.worksheet+xml" PartName="/xl/worksheets/sheet42957.xml"/>
  <Override ContentType="application/vnd.openxmlformats-officedocument.spreadsheetml.worksheet+xml" PartName="/xl/worksheets/sheet42958.xml"/>
  <Override ContentType="application/vnd.openxmlformats-officedocument.spreadsheetml.worksheet+xml" PartName="/xl/worksheets/sheet42959.xml"/>
  <Override ContentType="application/vnd.openxmlformats-officedocument.spreadsheetml.worksheet+xml" PartName="/xl/worksheets/sheet42960.xml"/>
  <Override ContentType="application/vnd.openxmlformats-officedocument.spreadsheetml.worksheet+xml" PartName="/xl/worksheets/sheet42961.xml"/>
  <Override ContentType="application/vnd.openxmlformats-officedocument.spreadsheetml.worksheet+xml" PartName="/xl/worksheets/sheet42962.xml"/>
  <Override ContentType="application/vnd.openxmlformats-officedocument.spreadsheetml.worksheet+xml" PartName="/xl/worksheets/sheet42963.xml"/>
  <Override ContentType="application/vnd.openxmlformats-officedocument.spreadsheetml.worksheet+xml" PartName="/xl/worksheets/sheet42964.xml"/>
  <Override ContentType="application/vnd.openxmlformats-officedocument.spreadsheetml.worksheet+xml" PartName="/xl/worksheets/sheet42965.xml"/>
  <Override ContentType="application/vnd.openxmlformats-officedocument.spreadsheetml.worksheet+xml" PartName="/xl/worksheets/sheet42966.xml"/>
  <Override ContentType="application/vnd.openxmlformats-officedocument.spreadsheetml.worksheet+xml" PartName="/xl/worksheets/sheet42967.xml"/>
  <Override ContentType="application/vnd.openxmlformats-officedocument.spreadsheetml.worksheet+xml" PartName="/xl/worksheets/sheet42968.xml"/>
  <Override ContentType="application/vnd.openxmlformats-officedocument.spreadsheetml.worksheet+xml" PartName="/xl/worksheets/sheet42969.xml"/>
  <Override ContentType="application/vnd.openxmlformats-officedocument.spreadsheetml.worksheet+xml" PartName="/xl/worksheets/sheet42970.xml"/>
  <Override ContentType="application/vnd.openxmlformats-officedocument.spreadsheetml.worksheet+xml" PartName="/xl/worksheets/sheet42971.xml"/>
  <Override ContentType="application/vnd.openxmlformats-officedocument.spreadsheetml.worksheet+xml" PartName="/xl/worksheets/sheet42972.xml"/>
  <Override ContentType="application/vnd.openxmlformats-officedocument.spreadsheetml.worksheet+xml" PartName="/xl/worksheets/sheet42973.xml"/>
  <Override ContentType="application/vnd.openxmlformats-officedocument.spreadsheetml.worksheet+xml" PartName="/xl/worksheets/sheet42974.xml"/>
  <Override ContentType="application/vnd.openxmlformats-officedocument.spreadsheetml.worksheet+xml" PartName="/xl/worksheets/sheet42975.xml"/>
  <Override ContentType="application/vnd.openxmlformats-officedocument.spreadsheetml.worksheet+xml" PartName="/xl/worksheets/sheet42976.xml"/>
  <Override ContentType="application/vnd.openxmlformats-officedocument.spreadsheetml.worksheet+xml" PartName="/xl/worksheets/sheet42977.xml"/>
  <Override ContentType="application/vnd.openxmlformats-officedocument.spreadsheetml.worksheet+xml" PartName="/xl/worksheets/sheet42978.xml"/>
  <Override ContentType="application/vnd.openxmlformats-officedocument.spreadsheetml.worksheet+xml" PartName="/xl/worksheets/sheet42979.xml"/>
  <Override ContentType="application/vnd.openxmlformats-officedocument.spreadsheetml.worksheet+xml" PartName="/xl/worksheets/sheet42980.xml"/>
  <Override ContentType="application/vnd.openxmlformats-officedocument.spreadsheetml.worksheet+xml" PartName="/xl/worksheets/sheet42981.xml"/>
  <Override ContentType="application/vnd.openxmlformats-officedocument.spreadsheetml.worksheet+xml" PartName="/xl/worksheets/sheet42982.xml"/>
  <Override ContentType="application/vnd.openxmlformats-officedocument.spreadsheetml.worksheet+xml" PartName="/xl/worksheets/sheet42983.xml"/>
  <Override ContentType="application/vnd.openxmlformats-officedocument.spreadsheetml.worksheet+xml" PartName="/xl/worksheets/sheet42984.xml"/>
  <Override ContentType="application/vnd.openxmlformats-officedocument.spreadsheetml.worksheet+xml" PartName="/xl/worksheets/sheet42985.xml"/>
  <Override ContentType="application/vnd.openxmlformats-officedocument.spreadsheetml.worksheet+xml" PartName="/xl/worksheets/sheet42986.xml"/>
  <Override ContentType="application/vnd.openxmlformats-officedocument.spreadsheetml.worksheet+xml" PartName="/xl/worksheets/sheet42987.xml"/>
  <Override ContentType="application/vnd.openxmlformats-officedocument.spreadsheetml.worksheet+xml" PartName="/xl/worksheets/sheet42988.xml"/>
  <Override ContentType="application/vnd.openxmlformats-officedocument.spreadsheetml.worksheet+xml" PartName="/xl/worksheets/sheet42989.xml"/>
  <Override ContentType="application/vnd.openxmlformats-officedocument.spreadsheetml.worksheet+xml" PartName="/xl/worksheets/sheet42990.xml"/>
  <Override ContentType="application/vnd.openxmlformats-officedocument.spreadsheetml.worksheet+xml" PartName="/xl/worksheets/sheet42991.xml"/>
  <Override ContentType="application/vnd.openxmlformats-officedocument.spreadsheetml.worksheet+xml" PartName="/xl/worksheets/sheet42992.xml"/>
  <Override ContentType="application/vnd.openxmlformats-officedocument.spreadsheetml.worksheet+xml" PartName="/xl/worksheets/sheet42993.xml"/>
  <Override ContentType="application/vnd.openxmlformats-officedocument.spreadsheetml.worksheet+xml" PartName="/xl/worksheets/sheet42994.xml"/>
  <Override ContentType="application/vnd.openxmlformats-officedocument.spreadsheetml.worksheet+xml" PartName="/xl/worksheets/sheet42995.xml"/>
  <Override ContentType="application/vnd.openxmlformats-officedocument.spreadsheetml.worksheet+xml" PartName="/xl/worksheets/sheet42996.xml"/>
  <Override ContentType="application/vnd.openxmlformats-officedocument.spreadsheetml.worksheet+xml" PartName="/xl/worksheets/sheet42997.xml"/>
  <Override ContentType="application/vnd.openxmlformats-officedocument.spreadsheetml.worksheet+xml" PartName="/xl/worksheets/sheet42998.xml"/>
  <Override ContentType="application/vnd.openxmlformats-officedocument.spreadsheetml.worksheet+xml" PartName="/xl/worksheets/sheet42999.xml"/>
  <Override ContentType="application/vnd.openxmlformats-officedocument.spreadsheetml.worksheet+xml" PartName="/xl/worksheets/sheet43000.xml"/>
  <Override ContentType="application/vnd.openxmlformats-officedocument.spreadsheetml.worksheet+xml" PartName="/xl/worksheets/sheet43001.xml"/>
  <Override ContentType="application/vnd.openxmlformats-officedocument.spreadsheetml.worksheet+xml" PartName="/xl/worksheets/sheet43002.xml"/>
  <Override ContentType="application/vnd.openxmlformats-officedocument.spreadsheetml.worksheet+xml" PartName="/xl/worksheets/sheet43003.xml"/>
  <Override ContentType="application/vnd.openxmlformats-officedocument.spreadsheetml.worksheet+xml" PartName="/xl/worksheets/sheet43004.xml"/>
  <Override ContentType="application/vnd.openxmlformats-officedocument.spreadsheetml.worksheet+xml" PartName="/xl/worksheets/sheet43005.xml"/>
  <Override ContentType="application/vnd.openxmlformats-officedocument.spreadsheetml.worksheet+xml" PartName="/xl/worksheets/sheet43006.xml"/>
  <Override ContentType="application/vnd.openxmlformats-officedocument.spreadsheetml.worksheet+xml" PartName="/xl/worksheets/sheet43007.xml"/>
  <Override ContentType="application/vnd.openxmlformats-officedocument.spreadsheetml.worksheet+xml" PartName="/xl/worksheets/sheet43008.xml"/>
  <Override ContentType="application/vnd.openxmlformats-officedocument.spreadsheetml.worksheet+xml" PartName="/xl/worksheets/sheet43009.xml"/>
  <Override ContentType="application/vnd.openxmlformats-officedocument.spreadsheetml.worksheet+xml" PartName="/xl/worksheets/sheet43010.xml"/>
  <Override ContentType="application/vnd.openxmlformats-officedocument.spreadsheetml.worksheet+xml" PartName="/xl/worksheets/sheet43011.xml"/>
  <Override ContentType="application/vnd.openxmlformats-officedocument.spreadsheetml.worksheet+xml" PartName="/xl/worksheets/sheet43012.xml"/>
  <Override ContentType="application/vnd.openxmlformats-officedocument.spreadsheetml.worksheet+xml" PartName="/xl/worksheets/sheet43013.xml"/>
  <Override ContentType="application/vnd.openxmlformats-officedocument.spreadsheetml.worksheet+xml" PartName="/xl/worksheets/sheet43014.xml"/>
  <Override ContentType="application/vnd.openxmlformats-officedocument.spreadsheetml.worksheet+xml" PartName="/xl/worksheets/sheet43015.xml"/>
  <Override ContentType="application/vnd.openxmlformats-officedocument.spreadsheetml.worksheet+xml" PartName="/xl/worksheets/sheet43016.xml"/>
  <Override ContentType="application/vnd.openxmlformats-officedocument.spreadsheetml.worksheet+xml" PartName="/xl/worksheets/sheet43017.xml"/>
  <Override ContentType="application/vnd.openxmlformats-officedocument.spreadsheetml.worksheet+xml" PartName="/xl/worksheets/sheet43018.xml"/>
  <Override ContentType="application/vnd.openxmlformats-officedocument.spreadsheetml.worksheet+xml" PartName="/xl/worksheets/sheet43019.xml"/>
  <Override ContentType="application/vnd.openxmlformats-officedocument.spreadsheetml.worksheet+xml" PartName="/xl/worksheets/sheet43020.xml"/>
  <Override ContentType="application/vnd.openxmlformats-officedocument.spreadsheetml.worksheet+xml" PartName="/xl/worksheets/sheet43021.xml"/>
  <Override ContentType="application/vnd.openxmlformats-officedocument.spreadsheetml.worksheet+xml" PartName="/xl/worksheets/sheet43022.xml"/>
  <Override ContentType="application/vnd.openxmlformats-officedocument.spreadsheetml.worksheet+xml" PartName="/xl/worksheets/sheet43023.xml"/>
  <Override ContentType="application/vnd.openxmlformats-officedocument.spreadsheetml.worksheet+xml" PartName="/xl/worksheets/sheet43024.xml"/>
  <Override ContentType="application/vnd.openxmlformats-officedocument.spreadsheetml.worksheet+xml" PartName="/xl/worksheets/sheet43025.xml"/>
  <Override ContentType="application/vnd.openxmlformats-officedocument.spreadsheetml.worksheet+xml" PartName="/xl/worksheets/sheet43026.xml"/>
  <Override ContentType="application/vnd.openxmlformats-officedocument.spreadsheetml.worksheet+xml" PartName="/xl/worksheets/sheet43027.xml"/>
  <Override ContentType="application/vnd.openxmlformats-officedocument.spreadsheetml.worksheet+xml" PartName="/xl/worksheets/sheet43028.xml"/>
  <Override ContentType="application/vnd.openxmlformats-officedocument.spreadsheetml.worksheet+xml" PartName="/xl/worksheets/sheet43029.xml"/>
  <Override ContentType="application/vnd.openxmlformats-officedocument.spreadsheetml.worksheet+xml" PartName="/xl/worksheets/sheet43030.xml"/>
  <Override ContentType="application/vnd.openxmlformats-officedocument.spreadsheetml.worksheet+xml" PartName="/xl/worksheets/sheet43031.xml"/>
  <Override ContentType="application/vnd.openxmlformats-officedocument.spreadsheetml.worksheet+xml" PartName="/xl/worksheets/sheet43032.xml"/>
  <Override ContentType="application/vnd.openxmlformats-officedocument.spreadsheetml.worksheet+xml" PartName="/xl/worksheets/sheet43033.xml"/>
  <Override ContentType="application/vnd.openxmlformats-officedocument.spreadsheetml.worksheet+xml" PartName="/xl/worksheets/sheet43034.xml"/>
  <Override ContentType="application/vnd.openxmlformats-officedocument.spreadsheetml.worksheet+xml" PartName="/xl/worksheets/sheet43035.xml"/>
  <Override ContentType="application/vnd.openxmlformats-officedocument.spreadsheetml.worksheet+xml" PartName="/xl/worksheets/sheet43036.xml"/>
  <Override ContentType="application/vnd.openxmlformats-officedocument.spreadsheetml.worksheet+xml" PartName="/xl/worksheets/sheet43037.xml"/>
  <Override ContentType="application/vnd.openxmlformats-officedocument.spreadsheetml.worksheet+xml" PartName="/xl/worksheets/sheet43038.xml"/>
  <Override ContentType="application/vnd.openxmlformats-officedocument.spreadsheetml.worksheet+xml" PartName="/xl/worksheets/sheet43039.xml"/>
  <Override ContentType="application/vnd.openxmlformats-officedocument.spreadsheetml.worksheet+xml" PartName="/xl/worksheets/sheet43040.xml"/>
  <Override ContentType="application/vnd.openxmlformats-officedocument.spreadsheetml.worksheet+xml" PartName="/xl/worksheets/sheet43041.xml"/>
  <Override ContentType="application/vnd.openxmlformats-officedocument.spreadsheetml.worksheet+xml" PartName="/xl/worksheets/sheet43042.xml"/>
  <Override ContentType="application/vnd.openxmlformats-officedocument.spreadsheetml.worksheet+xml" PartName="/xl/worksheets/sheet43043.xml"/>
  <Override ContentType="application/vnd.openxmlformats-officedocument.spreadsheetml.worksheet+xml" PartName="/xl/worksheets/sheet43044.xml"/>
  <Override ContentType="application/vnd.openxmlformats-officedocument.spreadsheetml.worksheet+xml" PartName="/xl/worksheets/sheet43045.xml"/>
  <Override ContentType="application/vnd.openxmlformats-officedocument.spreadsheetml.worksheet+xml" PartName="/xl/worksheets/sheet43046.xml"/>
  <Override ContentType="application/vnd.openxmlformats-officedocument.spreadsheetml.worksheet+xml" PartName="/xl/worksheets/sheet43047.xml"/>
  <Override ContentType="application/vnd.openxmlformats-officedocument.spreadsheetml.worksheet+xml" PartName="/xl/worksheets/sheet43048.xml"/>
  <Override ContentType="application/vnd.openxmlformats-officedocument.spreadsheetml.worksheet+xml" PartName="/xl/worksheets/sheet43049.xml"/>
  <Override ContentType="application/vnd.openxmlformats-officedocument.spreadsheetml.worksheet+xml" PartName="/xl/worksheets/sheet43050.xml"/>
  <Override ContentType="application/vnd.openxmlformats-officedocument.spreadsheetml.worksheet+xml" PartName="/xl/worksheets/sheet43051.xml"/>
  <Override ContentType="application/vnd.openxmlformats-officedocument.spreadsheetml.worksheet+xml" PartName="/xl/worksheets/sheet43052.xml"/>
  <Override ContentType="application/vnd.openxmlformats-officedocument.spreadsheetml.worksheet+xml" PartName="/xl/worksheets/sheet43053.xml"/>
  <Override ContentType="application/vnd.openxmlformats-officedocument.spreadsheetml.worksheet+xml" PartName="/xl/worksheets/sheet43054.xml"/>
  <Override ContentType="application/vnd.openxmlformats-officedocument.spreadsheetml.worksheet+xml" PartName="/xl/worksheets/sheet43055.xml"/>
  <Override ContentType="application/vnd.openxmlformats-officedocument.spreadsheetml.worksheet+xml" PartName="/xl/worksheets/sheet43056.xml"/>
  <Override ContentType="application/vnd.openxmlformats-officedocument.spreadsheetml.worksheet+xml" PartName="/xl/worksheets/sheet43057.xml"/>
  <Override ContentType="application/vnd.openxmlformats-officedocument.spreadsheetml.worksheet+xml" PartName="/xl/worksheets/sheet43058.xml"/>
  <Override ContentType="application/vnd.openxmlformats-officedocument.spreadsheetml.worksheet+xml" PartName="/xl/worksheets/sheet43059.xml"/>
  <Override ContentType="application/vnd.openxmlformats-officedocument.spreadsheetml.worksheet+xml" PartName="/xl/worksheets/sheet43060.xml"/>
  <Override ContentType="application/vnd.openxmlformats-officedocument.spreadsheetml.worksheet+xml" PartName="/xl/worksheets/sheet43061.xml"/>
  <Override ContentType="application/vnd.openxmlformats-officedocument.spreadsheetml.worksheet+xml" PartName="/xl/worksheets/sheet43062.xml"/>
  <Override ContentType="application/vnd.openxmlformats-officedocument.spreadsheetml.worksheet+xml" PartName="/xl/worksheets/sheet43063.xml"/>
  <Override ContentType="application/vnd.openxmlformats-officedocument.spreadsheetml.worksheet+xml" PartName="/xl/worksheets/sheet43064.xml"/>
  <Override ContentType="application/vnd.openxmlformats-officedocument.spreadsheetml.worksheet+xml" PartName="/xl/worksheets/sheet43065.xml"/>
  <Override ContentType="application/vnd.openxmlformats-officedocument.spreadsheetml.worksheet+xml" PartName="/xl/worksheets/sheet43066.xml"/>
  <Override ContentType="application/vnd.openxmlformats-officedocument.spreadsheetml.worksheet+xml" PartName="/xl/worksheets/sheet43067.xml"/>
  <Override ContentType="application/vnd.openxmlformats-officedocument.spreadsheetml.worksheet+xml" PartName="/xl/worksheets/sheet43068.xml"/>
  <Override ContentType="application/vnd.openxmlformats-officedocument.spreadsheetml.worksheet+xml" PartName="/xl/worksheets/sheet43069.xml"/>
  <Override ContentType="application/vnd.openxmlformats-officedocument.spreadsheetml.worksheet+xml" PartName="/xl/worksheets/sheet43070.xml"/>
  <Override ContentType="application/vnd.openxmlformats-officedocument.spreadsheetml.worksheet+xml" PartName="/xl/worksheets/sheet43071.xml"/>
  <Override ContentType="application/vnd.openxmlformats-officedocument.spreadsheetml.worksheet+xml" PartName="/xl/worksheets/sheet43072.xml"/>
  <Override ContentType="application/vnd.openxmlformats-officedocument.spreadsheetml.worksheet+xml" PartName="/xl/worksheets/sheet43073.xml"/>
  <Override ContentType="application/vnd.openxmlformats-officedocument.spreadsheetml.worksheet+xml" PartName="/xl/worksheets/sheet43074.xml"/>
  <Override ContentType="application/vnd.openxmlformats-officedocument.spreadsheetml.worksheet+xml" PartName="/xl/worksheets/sheet43075.xml"/>
  <Override ContentType="application/vnd.openxmlformats-officedocument.spreadsheetml.worksheet+xml" PartName="/xl/worksheets/sheet43076.xml"/>
  <Override ContentType="application/vnd.openxmlformats-officedocument.spreadsheetml.worksheet+xml" PartName="/xl/worksheets/sheet43077.xml"/>
  <Override ContentType="application/vnd.openxmlformats-officedocument.spreadsheetml.worksheet+xml" PartName="/xl/worksheets/sheet43078.xml"/>
  <Override ContentType="application/vnd.openxmlformats-officedocument.spreadsheetml.worksheet+xml" PartName="/xl/worksheets/sheet43079.xml"/>
  <Override ContentType="application/vnd.openxmlformats-officedocument.spreadsheetml.worksheet+xml" PartName="/xl/worksheets/sheet43080.xml"/>
  <Override ContentType="application/vnd.openxmlformats-officedocument.spreadsheetml.worksheet+xml" PartName="/xl/worksheets/sheet43081.xml"/>
  <Override ContentType="application/vnd.openxmlformats-officedocument.spreadsheetml.worksheet+xml" PartName="/xl/worksheets/sheet43082.xml"/>
  <Override ContentType="application/vnd.openxmlformats-officedocument.spreadsheetml.worksheet+xml" PartName="/xl/worksheets/sheet43083.xml"/>
  <Override ContentType="application/vnd.openxmlformats-officedocument.spreadsheetml.worksheet+xml" PartName="/xl/worksheets/sheet43084.xml"/>
  <Override ContentType="application/vnd.openxmlformats-officedocument.spreadsheetml.worksheet+xml" PartName="/xl/worksheets/sheet43085.xml"/>
  <Override ContentType="application/vnd.openxmlformats-officedocument.spreadsheetml.worksheet+xml" PartName="/xl/worksheets/sheet43086.xml"/>
  <Override ContentType="application/vnd.openxmlformats-officedocument.spreadsheetml.worksheet+xml" PartName="/xl/worksheets/sheet43087.xml"/>
  <Override ContentType="application/vnd.openxmlformats-officedocument.spreadsheetml.worksheet+xml" PartName="/xl/worksheets/sheet43088.xml"/>
  <Override ContentType="application/vnd.openxmlformats-officedocument.spreadsheetml.worksheet+xml" PartName="/xl/worksheets/sheet43089.xml"/>
  <Override ContentType="application/vnd.openxmlformats-officedocument.spreadsheetml.worksheet+xml" PartName="/xl/worksheets/sheet43090.xml"/>
  <Override ContentType="application/vnd.openxmlformats-officedocument.spreadsheetml.worksheet+xml" PartName="/xl/worksheets/sheet43091.xml"/>
  <Override ContentType="application/vnd.openxmlformats-officedocument.spreadsheetml.worksheet+xml" PartName="/xl/worksheets/sheet43092.xml"/>
  <Override ContentType="application/vnd.openxmlformats-officedocument.spreadsheetml.worksheet+xml" PartName="/xl/worksheets/sheet43093.xml"/>
  <Override ContentType="application/vnd.openxmlformats-officedocument.spreadsheetml.worksheet+xml" PartName="/xl/worksheets/sheet43094.xml"/>
  <Override ContentType="application/vnd.openxmlformats-officedocument.spreadsheetml.worksheet+xml" PartName="/xl/worksheets/sheet43095.xml"/>
  <Override ContentType="application/vnd.openxmlformats-officedocument.spreadsheetml.worksheet+xml" PartName="/xl/worksheets/sheet43096.xml"/>
  <Override ContentType="application/vnd.openxmlformats-officedocument.spreadsheetml.worksheet+xml" PartName="/xl/worksheets/sheet43097.xml"/>
  <Override ContentType="application/vnd.openxmlformats-officedocument.spreadsheetml.worksheet+xml" PartName="/xl/worksheets/sheet43098.xml"/>
  <Override ContentType="application/vnd.openxmlformats-officedocument.spreadsheetml.worksheet+xml" PartName="/xl/worksheets/sheet43099.xml"/>
  <Override ContentType="application/vnd.openxmlformats-officedocument.spreadsheetml.worksheet+xml" PartName="/xl/worksheets/sheet43100.xml"/>
  <Override ContentType="application/vnd.openxmlformats-officedocument.spreadsheetml.worksheet+xml" PartName="/xl/worksheets/sheet43101.xml"/>
  <Override ContentType="application/vnd.openxmlformats-officedocument.spreadsheetml.worksheet+xml" PartName="/xl/worksheets/sheet43102.xml"/>
  <Override ContentType="application/vnd.openxmlformats-officedocument.spreadsheetml.worksheet+xml" PartName="/xl/worksheets/sheet43103.xml"/>
  <Override ContentType="application/vnd.openxmlformats-officedocument.spreadsheetml.worksheet+xml" PartName="/xl/worksheets/sheet43104.xml"/>
  <Override ContentType="application/vnd.openxmlformats-officedocument.spreadsheetml.worksheet+xml" PartName="/xl/worksheets/sheet43105.xml"/>
  <Override ContentType="application/vnd.openxmlformats-officedocument.spreadsheetml.worksheet+xml" PartName="/xl/worksheets/sheet43106.xml"/>
  <Override ContentType="application/vnd.openxmlformats-officedocument.spreadsheetml.worksheet+xml" PartName="/xl/worksheets/sheet43107.xml"/>
  <Override ContentType="application/vnd.openxmlformats-officedocument.spreadsheetml.worksheet+xml" PartName="/xl/worksheets/sheet43108.xml"/>
  <Override ContentType="application/vnd.openxmlformats-officedocument.spreadsheetml.worksheet+xml" PartName="/xl/worksheets/sheet43109.xml"/>
  <Override ContentType="application/vnd.openxmlformats-officedocument.spreadsheetml.worksheet+xml" PartName="/xl/worksheets/sheet43110.xml"/>
  <Override ContentType="application/vnd.openxmlformats-officedocument.spreadsheetml.worksheet+xml" PartName="/xl/worksheets/sheet43111.xml"/>
  <Override ContentType="application/vnd.openxmlformats-officedocument.spreadsheetml.worksheet+xml" PartName="/xl/worksheets/sheet43112.xml"/>
  <Override ContentType="application/vnd.openxmlformats-officedocument.spreadsheetml.worksheet+xml" PartName="/xl/worksheets/sheet43113.xml"/>
  <Override ContentType="application/vnd.openxmlformats-officedocument.spreadsheetml.worksheet+xml" PartName="/xl/worksheets/sheet43114.xml"/>
  <Override ContentType="application/vnd.openxmlformats-officedocument.spreadsheetml.worksheet+xml" PartName="/xl/worksheets/sheet43115.xml"/>
  <Override ContentType="application/vnd.openxmlformats-officedocument.spreadsheetml.worksheet+xml" PartName="/xl/worksheets/sheet43116.xml"/>
  <Override ContentType="application/vnd.openxmlformats-officedocument.spreadsheetml.worksheet+xml" PartName="/xl/worksheets/sheet43117.xml"/>
  <Override ContentType="application/vnd.openxmlformats-officedocument.spreadsheetml.worksheet+xml" PartName="/xl/worksheets/sheet43118.xml"/>
  <Override ContentType="application/vnd.openxmlformats-officedocument.spreadsheetml.worksheet+xml" PartName="/xl/worksheets/sheet43119.xml"/>
  <Override ContentType="application/vnd.openxmlformats-officedocument.spreadsheetml.worksheet+xml" PartName="/xl/worksheets/sheet43120.xml"/>
  <Override ContentType="application/vnd.openxmlformats-officedocument.spreadsheetml.worksheet+xml" PartName="/xl/worksheets/sheet43121.xml"/>
  <Override ContentType="application/vnd.openxmlformats-officedocument.spreadsheetml.worksheet+xml" PartName="/xl/worksheets/sheet43122.xml"/>
  <Override ContentType="application/vnd.openxmlformats-officedocument.spreadsheetml.worksheet+xml" PartName="/xl/worksheets/sheet43123.xml"/>
  <Override ContentType="application/vnd.openxmlformats-officedocument.spreadsheetml.worksheet+xml" PartName="/xl/worksheets/sheet43124.xml"/>
  <Override ContentType="application/vnd.openxmlformats-officedocument.spreadsheetml.worksheet+xml" PartName="/xl/worksheets/sheet43125.xml"/>
  <Override ContentType="application/vnd.openxmlformats-officedocument.spreadsheetml.worksheet+xml" PartName="/xl/worksheets/sheet43126.xml"/>
  <Override ContentType="application/vnd.openxmlformats-officedocument.spreadsheetml.worksheet+xml" PartName="/xl/worksheets/sheet43127.xml"/>
  <Override ContentType="application/vnd.openxmlformats-officedocument.spreadsheetml.worksheet+xml" PartName="/xl/worksheets/sheet43128.xml"/>
  <Override ContentType="application/vnd.openxmlformats-officedocument.spreadsheetml.worksheet+xml" PartName="/xl/worksheets/sheet43129.xml"/>
  <Override ContentType="application/vnd.openxmlformats-officedocument.spreadsheetml.worksheet+xml" PartName="/xl/worksheets/sheet43130.xml"/>
  <Override ContentType="application/vnd.openxmlformats-officedocument.spreadsheetml.worksheet+xml" PartName="/xl/worksheets/sheet43131.xml"/>
  <Override ContentType="application/vnd.openxmlformats-officedocument.spreadsheetml.worksheet+xml" PartName="/xl/worksheets/sheet43132.xml"/>
  <Override ContentType="application/vnd.openxmlformats-officedocument.spreadsheetml.worksheet+xml" PartName="/xl/worksheets/sheet43133.xml"/>
  <Override ContentType="application/vnd.openxmlformats-officedocument.spreadsheetml.worksheet+xml" PartName="/xl/worksheets/sheet43134.xml"/>
  <Override ContentType="application/vnd.openxmlformats-officedocument.spreadsheetml.worksheet+xml" PartName="/xl/worksheets/sheet43135.xml"/>
  <Override ContentType="application/vnd.openxmlformats-officedocument.spreadsheetml.worksheet+xml" PartName="/xl/worksheets/sheet43136.xml"/>
  <Override ContentType="application/vnd.openxmlformats-officedocument.spreadsheetml.worksheet+xml" PartName="/xl/worksheets/sheet43137.xml"/>
  <Override ContentType="application/vnd.openxmlformats-officedocument.spreadsheetml.worksheet+xml" PartName="/xl/worksheets/sheet43138.xml"/>
  <Override ContentType="application/vnd.openxmlformats-officedocument.spreadsheetml.worksheet+xml" PartName="/xl/worksheets/sheet43139.xml"/>
  <Override ContentType="application/vnd.openxmlformats-officedocument.spreadsheetml.worksheet+xml" PartName="/xl/worksheets/sheet43140.xml"/>
  <Override ContentType="application/vnd.openxmlformats-officedocument.spreadsheetml.worksheet+xml" PartName="/xl/worksheets/sheet43141.xml"/>
  <Override ContentType="application/vnd.openxmlformats-officedocument.spreadsheetml.worksheet+xml" PartName="/xl/worksheets/sheet43142.xml"/>
  <Override ContentType="application/vnd.openxmlformats-officedocument.spreadsheetml.worksheet+xml" PartName="/xl/worksheets/sheet43143.xml"/>
  <Override ContentType="application/vnd.openxmlformats-officedocument.spreadsheetml.worksheet+xml" PartName="/xl/worksheets/sheet43144.xml"/>
  <Override ContentType="application/vnd.openxmlformats-officedocument.spreadsheetml.worksheet+xml" PartName="/xl/worksheets/sheet43145.xml"/>
  <Override ContentType="application/vnd.openxmlformats-officedocument.spreadsheetml.worksheet+xml" PartName="/xl/worksheets/sheet43146.xml"/>
  <Override ContentType="application/vnd.openxmlformats-officedocument.spreadsheetml.worksheet+xml" PartName="/xl/worksheets/sheet43147.xml"/>
  <Override ContentType="application/vnd.openxmlformats-officedocument.spreadsheetml.worksheet+xml" PartName="/xl/worksheets/sheet43148.xml"/>
  <Override ContentType="application/vnd.openxmlformats-officedocument.spreadsheetml.worksheet+xml" PartName="/xl/worksheets/sheet43149.xml"/>
  <Override ContentType="application/vnd.openxmlformats-officedocument.spreadsheetml.worksheet+xml" PartName="/xl/worksheets/sheet43150.xml"/>
  <Override ContentType="application/vnd.openxmlformats-officedocument.spreadsheetml.worksheet+xml" PartName="/xl/worksheets/sheet43151.xml"/>
  <Override ContentType="application/vnd.openxmlformats-officedocument.spreadsheetml.worksheet+xml" PartName="/xl/worksheets/sheet43152.xml"/>
  <Override ContentType="application/vnd.openxmlformats-officedocument.spreadsheetml.worksheet+xml" PartName="/xl/worksheets/sheet43153.xml"/>
  <Override ContentType="application/vnd.openxmlformats-officedocument.spreadsheetml.worksheet+xml" PartName="/xl/worksheets/sheet43154.xml"/>
  <Override ContentType="application/vnd.openxmlformats-officedocument.spreadsheetml.worksheet+xml" PartName="/xl/worksheets/sheet43155.xml"/>
  <Override ContentType="application/vnd.openxmlformats-officedocument.spreadsheetml.worksheet+xml" PartName="/xl/worksheets/sheet43156.xml"/>
  <Override ContentType="application/vnd.openxmlformats-officedocument.spreadsheetml.worksheet+xml" PartName="/xl/worksheets/sheet43157.xml"/>
  <Override ContentType="application/vnd.openxmlformats-officedocument.spreadsheetml.worksheet+xml" PartName="/xl/worksheets/sheet43158.xml"/>
  <Override ContentType="application/vnd.openxmlformats-officedocument.spreadsheetml.worksheet+xml" PartName="/xl/worksheets/sheet43159.xml"/>
  <Override ContentType="application/vnd.openxmlformats-officedocument.spreadsheetml.worksheet+xml" PartName="/xl/worksheets/sheet43160.xml"/>
  <Override ContentType="application/vnd.openxmlformats-officedocument.spreadsheetml.worksheet+xml" PartName="/xl/worksheets/sheet43161.xml"/>
  <Override ContentType="application/vnd.openxmlformats-officedocument.spreadsheetml.worksheet+xml" PartName="/xl/worksheets/sheet43162.xml"/>
  <Override ContentType="application/vnd.openxmlformats-officedocument.spreadsheetml.worksheet+xml" PartName="/xl/worksheets/sheet43163.xml"/>
  <Override ContentType="application/vnd.openxmlformats-officedocument.spreadsheetml.worksheet+xml" PartName="/xl/worksheets/sheet43164.xml"/>
  <Override ContentType="application/vnd.openxmlformats-officedocument.spreadsheetml.worksheet+xml" PartName="/xl/worksheets/sheet43165.xml"/>
  <Override ContentType="application/vnd.openxmlformats-officedocument.spreadsheetml.worksheet+xml" PartName="/xl/worksheets/sheet43166.xml"/>
  <Override ContentType="application/vnd.openxmlformats-officedocument.spreadsheetml.worksheet+xml" PartName="/xl/worksheets/sheet43167.xml"/>
  <Override ContentType="application/vnd.openxmlformats-officedocument.spreadsheetml.worksheet+xml" PartName="/xl/worksheets/sheet43168.xml"/>
  <Override ContentType="application/vnd.openxmlformats-officedocument.spreadsheetml.worksheet+xml" PartName="/xl/worksheets/sheet43169.xml"/>
  <Override ContentType="application/vnd.openxmlformats-officedocument.spreadsheetml.worksheet+xml" PartName="/xl/worksheets/sheet43170.xml"/>
  <Override ContentType="application/vnd.openxmlformats-officedocument.spreadsheetml.worksheet+xml" PartName="/xl/worksheets/sheet43171.xml"/>
  <Override ContentType="application/vnd.openxmlformats-officedocument.spreadsheetml.worksheet+xml" PartName="/xl/worksheets/sheet43172.xml"/>
  <Override ContentType="application/vnd.openxmlformats-officedocument.spreadsheetml.worksheet+xml" PartName="/xl/worksheets/sheet43173.xml"/>
  <Override ContentType="application/vnd.openxmlformats-officedocument.spreadsheetml.worksheet+xml" PartName="/xl/worksheets/sheet43174.xml"/>
  <Override ContentType="application/vnd.openxmlformats-officedocument.spreadsheetml.worksheet+xml" PartName="/xl/worksheets/sheet43175.xml"/>
  <Override ContentType="application/vnd.openxmlformats-officedocument.spreadsheetml.worksheet+xml" PartName="/xl/worksheets/sheet43176.xml"/>
  <Override ContentType="application/vnd.openxmlformats-officedocument.spreadsheetml.worksheet+xml" PartName="/xl/worksheets/sheet43177.xml"/>
  <Override ContentType="application/vnd.openxmlformats-officedocument.spreadsheetml.worksheet+xml" PartName="/xl/worksheets/sheet43178.xml"/>
  <Override ContentType="application/vnd.openxmlformats-officedocument.spreadsheetml.worksheet+xml" PartName="/xl/worksheets/sheet43179.xml"/>
  <Override ContentType="application/vnd.openxmlformats-officedocument.spreadsheetml.worksheet+xml" PartName="/xl/worksheets/sheet43180.xml"/>
  <Override ContentType="application/vnd.openxmlformats-officedocument.spreadsheetml.worksheet+xml" PartName="/xl/worksheets/sheet43181.xml"/>
  <Override ContentType="application/vnd.openxmlformats-officedocument.spreadsheetml.worksheet+xml" PartName="/xl/worksheets/sheet43182.xml"/>
  <Override ContentType="application/vnd.openxmlformats-officedocument.spreadsheetml.worksheet+xml" PartName="/xl/worksheets/sheet43183.xml"/>
  <Override ContentType="application/vnd.openxmlformats-officedocument.spreadsheetml.worksheet+xml" PartName="/xl/worksheets/sheet43184.xml"/>
  <Override ContentType="application/vnd.openxmlformats-officedocument.spreadsheetml.worksheet+xml" PartName="/xl/worksheets/sheet43185.xml"/>
  <Override ContentType="application/vnd.openxmlformats-officedocument.spreadsheetml.worksheet+xml" PartName="/xl/worksheets/sheet43186.xml"/>
  <Override ContentType="application/vnd.openxmlformats-officedocument.spreadsheetml.worksheet+xml" PartName="/xl/worksheets/sheet43187.xml"/>
  <Override ContentType="application/vnd.openxmlformats-officedocument.spreadsheetml.worksheet+xml" PartName="/xl/worksheets/sheet43188.xml"/>
  <Override ContentType="application/vnd.openxmlformats-officedocument.spreadsheetml.worksheet+xml" PartName="/xl/worksheets/sheet43189.xml"/>
  <Override ContentType="application/vnd.openxmlformats-officedocument.spreadsheetml.worksheet+xml" PartName="/xl/worksheets/sheet43190.xml"/>
  <Override ContentType="application/vnd.openxmlformats-officedocument.spreadsheetml.worksheet+xml" PartName="/xl/worksheets/sheet43191.xml"/>
  <Override ContentType="application/vnd.openxmlformats-officedocument.spreadsheetml.worksheet+xml" PartName="/xl/worksheets/sheet43192.xml"/>
  <Override ContentType="application/vnd.openxmlformats-officedocument.spreadsheetml.worksheet+xml" PartName="/xl/worksheets/sheet43193.xml"/>
  <Override ContentType="application/vnd.openxmlformats-officedocument.spreadsheetml.worksheet+xml" PartName="/xl/worksheets/sheet43194.xml"/>
  <Override ContentType="application/vnd.openxmlformats-officedocument.spreadsheetml.worksheet+xml" PartName="/xl/worksheets/sheet43195.xml"/>
  <Override ContentType="application/vnd.openxmlformats-officedocument.spreadsheetml.worksheet+xml" PartName="/xl/worksheets/sheet43196.xml"/>
  <Override ContentType="application/vnd.openxmlformats-officedocument.spreadsheetml.worksheet+xml" PartName="/xl/worksheets/sheet43197.xml"/>
  <Override ContentType="application/vnd.openxmlformats-officedocument.spreadsheetml.worksheet+xml" PartName="/xl/worksheets/sheet43198.xml"/>
  <Override ContentType="application/vnd.openxmlformats-officedocument.spreadsheetml.worksheet+xml" PartName="/xl/worksheets/sheet43199.xml"/>
  <Override ContentType="application/vnd.openxmlformats-officedocument.spreadsheetml.worksheet+xml" PartName="/xl/worksheets/sheet43200.xml"/>
  <Override ContentType="application/vnd.openxmlformats-officedocument.spreadsheetml.worksheet+xml" PartName="/xl/worksheets/sheet43201.xml"/>
  <Override ContentType="application/vnd.openxmlformats-officedocument.spreadsheetml.worksheet+xml" PartName="/xl/worksheets/sheet43202.xml"/>
  <Override ContentType="application/vnd.openxmlformats-officedocument.spreadsheetml.worksheet+xml" PartName="/xl/worksheets/sheet43203.xml"/>
  <Override ContentType="application/vnd.openxmlformats-officedocument.spreadsheetml.worksheet+xml" PartName="/xl/worksheets/sheet43204.xml"/>
  <Override ContentType="application/vnd.openxmlformats-officedocument.spreadsheetml.worksheet+xml" PartName="/xl/worksheets/sheet43205.xml"/>
  <Override ContentType="application/vnd.openxmlformats-officedocument.spreadsheetml.worksheet+xml" PartName="/xl/worksheets/sheet43206.xml"/>
  <Override ContentType="application/vnd.openxmlformats-officedocument.spreadsheetml.worksheet+xml" PartName="/xl/worksheets/sheet43207.xml"/>
  <Override ContentType="application/vnd.openxmlformats-officedocument.spreadsheetml.worksheet+xml" PartName="/xl/worksheets/sheet43208.xml"/>
  <Override ContentType="application/vnd.openxmlformats-officedocument.spreadsheetml.worksheet+xml" PartName="/xl/worksheets/sheet43209.xml"/>
  <Override ContentType="application/vnd.openxmlformats-officedocument.spreadsheetml.worksheet+xml" PartName="/xl/worksheets/sheet43210.xml"/>
  <Override ContentType="application/vnd.openxmlformats-officedocument.spreadsheetml.worksheet+xml" PartName="/xl/worksheets/sheet43211.xml"/>
  <Override ContentType="application/vnd.openxmlformats-officedocument.spreadsheetml.worksheet+xml" PartName="/xl/worksheets/sheet43212.xml"/>
  <Override ContentType="application/vnd.openxmlformats-officedocument.spreadsheetml.worksheet+xml" PartName="/xl/worksheets/sheet43213.xml"/>
  <Override ContentType="application/vnd.openxmlformats-officedocument.spreadsheetml.worksheet+xml" PartName="/xl/worksheets/sheet43214.xml"/>
  <Override ContentType="application/vnd.openxmlformats-officedocument.spreadsheetml.worksheet+xml" PartName="/xl/worksheets/sheet43215.xml"/>
  <Override ContentType="application/vnd.openxmlformats-officedocument.spreadsheetml.worksheet+xml" PartName="/xl/worksheets/sheet43216.xml"/>
  <Override ContentType="application/vnd.openxmlformats-officedocument.spreadsheetml.worksheet+xml" PartName="/xl/worksheets/sheet43217.xml"/>
  <Override ContentType="application/vnd.openxmlformats-officedocument.spreadsheetml.worksheet+xml" PartName="/xl/worksheets/sheet43218.xml"/>
  <Override ContentType="application/vnd.openxmlformats-officedocument.spreadsheetml.worksheet+xml" PartName="/xl/worksheets/sheet43219.xml"/>
  <Override ContentType="application/vnd.openxmlformats-officedocument.spreadsheetml.worksheet+xml" PartName="/xl/worksheets/sheet43220.xml"/>
  <Override ContentType="application/vnd.openxmlformats-officedocument.spreadsheetml.worksheet+xml" PartName="/xl/worksheets/sheet43221.xml"/>
  <Override ContentType="application/vnd.openxmlformats-officedocument.spreadsheetml.worksheet+xml" PartName="/xl/worksheets/sheet43222.xml"/>
  <Override ContentType="application/vnd.openxmlformats-officedocument.spreadsheetml.worksheet+xml" PartName="/xl/worksheets/sheet43223.xml"/>
  <Override ContentType="application/vnd.openxmlformats-officedocument.spreadsheetml.worksheet+xml" PartName="/xl/worksheets/sheet43224.xml"/>
  <Override ContentType="application/vnd.openxmlformats-officedocument.spreadsheetml.worksheet+xml" PartName="/xl/worksheets/sheet43225.xml"/>
  <Override ContentType="application/vnd.openxmlformats-officedocument.spreadsheetml.worksheet+xml" PartName="/xl/worksheets/sheet43226.xml"/>
  <Override ContentType="application/vnd.openxmlformats-officedocument.spreadsheetml.worksheet+xml" PartName="/xl/worksheets/sheet43227.xml"/>
  <Override ContentType="application/vnd.openxmlformats-officedocument.spreadsheetml.worksheet+xml" PartName="/xl/worksheets/sheet43228.xml"/>
  <Override ContentType="application/vnd.openxmlformats-officedocument.spreadsheetml.worksheet+xml" PartName="/xl/worksheets/sheet43229.xml"/>
  <Override ContentType="application/vnd.openxmlformats-officedocument.spreadsheetml.worksheet+xml" PartName="/xl/worksheets/sheet43230.xml"/>
  <Override ContentType="application/vnd.openxmlformats-officedocument.spreadsheetml.worksheet+xml" PartName="/xl/worksheets/sheet43231.xml"/>
  <Override ContentType="application/vnd.openxmlformats-officedocument.spreadsheetml.worksheet+xml" PartName="/xl/worksheets/sheet43232.xml"/>
  <Override ContentType="application/vnd.openxmlformats-officedocument.spreadsheetml.worksheet+xml" PartName="/xl/worksheets/sheet43233.xml"/>
  <Override ContentType="application/vnd.openxmlformats-officedocument.spreadsheetml.worksheet+xml" PartName="/xl/worksheets/sheet43234.xml"/>
  <Override ContentType="application/vnd.openxmlformats-officedocument.spreadsheetml.worksheet+xml" PartName="/xl/worksheets/sheet43235.xml"/>
  <Override ContentType="application/vnd.openxmlformats-officedocument.spreadsheetml.worksheet+xml" PartName="/xl/worksheets/sheet43236.xml"/>
  <Override ContentType="application/vnd.openxmlformats-officedocument.spreadsheetml.worksheet+xml" PartName="/xl/worksheets/sheet43237.xml"/>
  <Override ContentType="application/vnd.openxmlformats-officedocument.spreadsheetml.worksheet+xml" PartName="/xl/worksheets/sheet43238.xml"/>
  <Override ContentType="application/vnd.openxmlformats-officedocument.spreadsheetml.worksheet+xml" PartName="/xl/worksheets/sheet43239.xml"/>
  <Override ContentType="application/vnd.openxmlformats-officedocument.spreadsheetml.worksheet+xml" PartName="/xl/worksheets/sheet43240.xml"/>
  <Override ContentType="application/vnd.openxmlformats-officedocument.spreadsheetml.worksheet+xml" PartName="/xl/worksheets/sheet43241.xml"/>
  <Override ContentType="application/vnd.openxmlformats-officedocument.spreadsheetml.worksheet+xml" PartName="/xl/worksheets/sheet43242.xml"/>
  <Override ContentType="application/vnd.openxmlformats-officedocument.spreadsheetml.worksheet+xml" PartName="/xl/worksheets/sheet43243.xml"/>
  <Override ContentType="application/vnd.openxmlformats-officedocument.spreadsheetml.worksheet+xml" PartName="/xl/worksheets/sheet43244.xml"/>
  <Override ContentType="application/vnd.openxmlformats-officedocument.spreadsheetml.worksheet+xml" PartName="/xl/worksheets/sheet43245.xml"/>
  <Override ContentType="application/vnd.openxmlformats-officedocument.spreadsheetml.worksheet+xml" PartName="/xl/worksheets/sheet43246.xml"/>
  <Override ContentType="application/vnd.openxmlformats-officedocument.spreadsheetml.worksheet+xml" PartName="/xl/worksheets/sheet43247.xml"/>
  <Override ContentType="application/vnd.openxmlformats-officedocument.spreadsheetml.worksheet+xml" PartName="/xl/worksheets/sheet43248.xml"/>
  <Override ContentType="application/vnd.openxmlformats-officedocument.spreadsheetml.worksheet+xml" PartName="/xl/worksheets/sheet43249.xml"/>
  <Override ContentType="application/vnd.openxmlformats-officedocument.spreadsheetml.worksheet+xml" PartName="/xl/worksheets/sheet43250.xml"/>
  <Override ContentType="application/vnd.openxmlformats-officedocument.spreadsheetml.worksheet+xml" PartName="/xl/worksheets/sheet43251.xml"/>
  <Override ContentType="application/vnd.openxmlformats-officedocument.spreadsheetml.worksheet+xml" PartName="/xl/worksheets/sheet43252.xml"/>
  <Override ContentType="application/vnd.openxmlformats-officedocument.spreadsheetml.worksheet+xml" PartName="/xl/worksheets/sheet43253.xml"/>
  <Override ContentType="application/vnd.openxmlformats-officedocument.spreadsheetml.worksheet+xml" PartName="/xl/worksheets/sheet43254.xml"/>
  <Override ContentType="application/vnd.openxmlformats-officedocument.spreadsheetml.worksheet+xml" PartName="/xl/worksheets/sheet43255.xml"/>
  <Override ContentType="application/vnd.openxmlformats-officedocument.spreadsheetml.worksheet+xml" PartName="/xl/worksheets/sheet43256.xml"/>
  <Override ContentType="application/vnd.openxmlformats-officedocument.spreadsheetml.worksheet+xml" PartName="/xl/worksheets/sheet43257.xml"/>
  <Override ContentType="application/vnd.openxmlformats-officedocument.spreadsheetml.worksheet+xml" PartName="/xl/worksheets/sheet43258.xml"/>
  <Override ContentType="application/vnd.openxmlformats-officedocument.spreadsheetml.worksheet+xml" PartName="/xl/worksheets/sheet43259.xml"/>
  <Override ContentType="application/vnd.openxmlformats-officedocument.spreadsheetml.worksheet+xml" PartName="/xl/worksheets/sheet43260.xml"/>
  <Override ContentType="application/vnd.openxmlformats-officedocument.spreadsheetml.worksheet+xml" PartName="/xl/worksheets/sheet43261.xml"/>
  <Override ContentType="application/vnd.openxmlformats-officedocument.spreadsheetml.worksheet+xml" PartName="/xl/worksheets/sheet43262.xml"/>
  <Override ContentType="application/vnd.openxmlformats-officedocument.spreadsheetml.worksheet+xml" PartName="/xl/worksheets/sheet43263.xml"/>
  <Override ContentType="application/vnd.openxmlformats-officedocument.spreadsheetml.worksheet+xml" PartName="/xl/worksheets/sheet43264.xml"/>
  <Override ContentType="application/vnd.openxmlformats-officedocument.spreadsheetml.worksheet+xml" PartName="/xl/worksheets/sheet43265.xml"/>
  <Override ContentType="application/vnd.openxmlformats-officedocument.spreadsheetml.worksheet+xml" PartName="/xl/worksheets/sheet43266.xml"/>
  <Override ContentType="application/vnd.openxmlformats-officedocument.spreadsheetml.worksheet+xml" PartName="/xl/worksheets/sheet43267.xml"/>
  <Override ContentType="application/vnd.openxmlformats-officedocument.spreadsheetml.worksheet+xml" PartName="/xl/worksheets/sheet43268.xml"/>
  <Override ContentType="application/vnd.openxmlformats-officedocument.spreadsheetml.worksheet+xml" PartName="/xl/worksheets/sheet43269.xml"/>
  <Override ContentType="application/vnd.openxmlformats-officedocument.spreadsheetml.worksheet+xml" PartName="/xl/worksheets/sheet43270.xml"/>
  <Override ContentType="application/vnd.openxmlformats-officedocument.spreadsheetml.worksheet+xml" PartName="/xl/worksheets/sheet43271.xml"/>
  <Override ContentType="application/vnd.openxmlformats-officedocument.spreadsheetml.worksheet+xml" PartName="/xl/worksheets/sheet43272.xml"/>
  <Override ContentType="application/vnd.openxmlformats-officedocument.spreadsheetml.worksheet+xml" PartName="/xl/worksheets/sheet43273.xml"/>
  <Override ContentType="application/vnd.openxmlformats-officedocument.spreadsheetml.worksheet+xml" PartName="/xl/worksheets/sheet43274.xml"/>
  <Override ContentType="application/vnd.openxmlformats-officedocument.spreadsheetml.worksheet+xml" PartName="/xl/worksheets/sheet43275.xml"/>
  <Override ContentType="application/vnd.openxmlformats-officedocument.spreadsheetml.worksheet+xml" PartName="/xl/worksheets/sheet43276.xml"/>
  <Override ContentType="application/vnd.openxmlformats-officedocument.spreadsheetml.worksheet+xml" PartName="/xl/worksheets/sheet43277.xml"/>
  <Override ContentType="application/vnd.openxmlformats-officedocument.spreadsheetml.worksheet+xml" PartName="/xl/worksheets/sheet43278.xml"/>
  <Override ContentType="application/vnd.openxmlformats-officedocument.spreadsheetml.worksheet+xml" PartName="/xl/worksheets/sheet43279.xml"/>
  <Override ContentType="application/vnd.openxmlformats-officedocument.spreadsheetml.worksheet+xml" PartName="/xl/worksheets/sheet43280.xml"/>
  <Override ContentType="application/vnd.openxmlformats-officedocument.spreadsheetml.worksheet+xml" PartName="/xl/worksheets/sheet43281.xml"/>
  <Override ContentType="application/vnd.openxmlformats-officedocument.spreadsheetml.worksheet+xml" PartName="/xl/worksheets/sheet43282.xml"/>
  <Override ContentType="application/vnd.openxmlformats-officedocument.spreadsheetml.worksheet+xml" PartName="/xl/worksheets/sheet43283.xml"/>
  <Override ContentType="application/vnd.openxmlformats-officedocument.spreadsheetml.worksheet+xml" PartName="/xl/worksheets/sheet43284.xml"/>
  <Override ContentType="application/vnd.openxmlformats-officedocument.spreadsheetml.worksheet+xml" PartName="/xl/worksheets/sheet43285.xml"/>
  <Override ContentType="application/vnd.openxmlformats-officedocument.spreadsheetml.worksheet+xml" PartName="/xl/worksheets/sheet43286.xml"/>
  <Override ContentType="application/vnd.openxmlformats-officedocument.spreadsheetml.worksheet+xml" PartName="/xl/worksheets/sheet43287.xml"/>
  <Override ContentType="application/vnd.openxmlformats-officedocument.spreadsheetml.worksheet+xml" PartName="/xl/worksheets/sheet43288.xml"/>
  <Override ContentType="application/vnd.openxmlformats-officedocument.spreadsheetml.worksheet+xml" PartName="/xl/worksheets/sheet43289.xml"/>
  <Override ContentType="application/vnd.openxmlformats-officedocument.spreadsheetml.worksheet+xml" PartName="/xl/worksheets/sheet43290.xml"/>
  <Override ContentType="application/vnd.openxmlformats-officedocument.spreadsheetml.worksheet+xml" PartName="/xl/worksheets/sheet43291.xml"/>
  <Override ContentType="application/vnd.openxmlformats-officedocument.spreadsheetml.worksheet+xml" PartName="/xl/worksheets/sheet43292.xml"/>
  <Override ContentType="application/vnd.openxmlformats-officedocument.spreadsheetml.worksheet+xml" PartName="/xl/worksheets/sheet43293.xml"/>
  <Override ContentType="application/vnd.openxmlformats-officedocument.spreadsheetml.worksheet+xml" PartName="/xl/worksheets/sheet43294.xml"/>
  <Override ContentType="application/vnd.openxmlformats-officedocument.spreadsheetml.worksheet+xml" PartName="/xl/worksheets/sheet43295.xml"/>
  <Override ContentType="application/vnd.openxmlformats-officedocument.spreadsheetml.worksheet+xml" PartName="/xl/worksheets/sheet43296.xml"/>
  <Override ContentType="application/vnd.openxmlformats-officedocument.spreadsheetml.worksheet+xml" PartName="/xl/worksheets/sheet43297.xml"/>
  <Override ContentType="application/vnd.openxmlformats-officedocument.spreadsheetml.worksheet+xml" PartName="/xl/worksheets/sheet43298.xml"/>
  <Override ContentType="application/vnd.openxmlformats-officedocument.spreadsheetml.worksheet+xml" PartName="/xl/worksheets/sheet43299.xml"/>
  <Override ContentType="application/vnd.openxmlformats-officedocument.spreadsheetml.worksheet+xml" PartName="/xl/worksheets/sheet43300.xml"/>
  <Override ContentType="application/vnd.openxmlformats-officedocument.spreadsheetml.worksheet+xml" PartName="/xl/worksheets/sheet43301.xml"/>
  <Override ContentType="application/vnd.openxmlformats-officedocument.spreadsheetml.worksheet+xml" PartName="/xl/worksheets/sheet43302.xml"/>
  <Override ContentType="application/vnd.openxmlformats-officedocument.spreadsheetml.worksheet+xml" PartName="/xl/worksheets/sheet43303.xml"/>
  <Override ContentType="application/vnd.openxmlformats-officedocument.spreadsheetml.worksheet+xml" PartName="/xl/worksheets/sheet43304.xml"/>
  <Override ContentType="application/vnd.openxmlformats-officedocument.spreadsheetml.worksheet+xml" PartName="/xl/worksheets/sheet43305.xml"/>
  <Override ContentType="application/vnd.openxmlformats-officedocument.spreadsheetml.worksheet+xml" PartName="/xl/worksheets/sheet43306.xml"/>
  <Override ContentType="application/vnd.openxmlformats-officedocument.spreadsheetml.worksheet+xml" PartName="/xl/worksheets/sheet43307.xml"/>
  <Override ContentType="application/vnd.openxmlformats-officedocument.spreadsheetml.worksheet+xml" PartName="/xl/worksheets/sheet43308.xml"/>
  <Override ContentType="application/vnd.openxmlformats-officedocument.spreadsheetml.worksheet+xml" PartName="/xl/worksheets/sheet43309.xml"/>
  <Override ContentType="application/vnd.openxmlformats-officedocument.spreadsheetml.worksheet+xml" PartName="/xl/worksheets/sheet43310.xml"/>
  <Override ContentType="application/vnd.openxmlformats-officedocument.spreadsheetml.worksheet+xml" PartName="/xl/worksheets/sheet43311.xml"/>
  <Override ContentType="application/vnd.openxmlformats-officedocument.spreadsheetml.worksheet+xml" PartName="/xl/worksheets/sheet43312.xml"/>
  <Override ContentType="application/vnd.openxmlformats-officedocument.spreadsheetml.worksheet+xml" PartName="/xl/worksheets/sheet43313.xml"/>
  <Override ContentType="application/vnd.openxmlformats-officedocument.spreadsheetml.worksheet+xml" PartName="/xl/worksheets/sheet43314.xml"/>
  <Override ContentType="application/vnd.openxmlformats-officedocument.spreadsheetml.worksheet+xml" PartName="/xl/worksheets/sheet43315.xml"/>
  <Override ContentType="application/vnd.openxmlformats-officedocument.spreadsheetml.worksheet+xml" PartName="/xl/worksheets/sheet43316.xml"/>
  <Override ContentType="application/vnd.openxmlformats-officedocument.spreadsheetml.worksheet+xml" PartName="/xl/worksheets/sheet43317.xml"/>
  <Override ContentType="application/vnd.openxmlformats-officedocument.spreadsheetml.worksheet+xml" PartName="/xl/worksheets/sheet43318.xml"/>
  <Override ContentType="application/vnd.openxmlformats-officedocument.spreadsheetml.worksheet+xml" PartName="/xl/worksheets/sheet43319.xml"/>
  <Override ContentType="application/vnd.openxmlformats-officedocument.spreadsheetml.worksheet+xml" PartName="/xl/worksheets/sheet43320.xml"/>
  <Override ContentType="application/vnd.openxmlformats-officedocument.spreadsheetml.worksheet+xml" PartName="/xl/worksheets/sheet43321.xml"/>
  <Override ContentType="application/vnd.openxmlformats-officedocument.spreadsheetml.worksheet+xml" PartName="/xl/worksheets/sheet43322.xml"/>
  <Override ContentType="application/vnd.openxmlformats-officedocument.spreadsheetml.worksheet+xml" PartName="/xl/worksheets/sheet43323.xml"/>
  <Override ContentType="application/vnd.openxmlformats-officedocument.spreadsheetml.worksheet+xml" PartName="/xl/worksheets/sheet43324.xml"/>
  <Override ContentType="application/vnd.openxmlformats-officedocument.spreadsheetml.worksheet+xml" PartName="/xl/worksheets/sheet43325.xml"/>
  <Override ContentType="application/vnd.openxmlformats-officedocument.spreadsheetml.worksheet+xml" PartName="/xl/worksheets/sheet43326.xml"/>
  <Override ContentType="application/vnd.openxmlformats-officedocument.spreadsheetml.worksheet+xml" PartName="/xl/worksheets/sheet43327.xml"/>
  <Override ContentType="application/vnd.openxmlformats-officedocument.spreadsheetml.worksheet+xml" PartName="/xl/worksheets/sheet43328.xml"/>
  <Override ContentType="application/vnd.openxmlformats-officedocument.spreadsheetml.worksheet+xml" PartName="/xl/worksheets/sheet43329.xml"/>
  <Override ContentType="application/vnd.openxmlformats-officedocument.spreadsheetml.worksheet+xml" PartName="/xl/worksheets/sheet43330.xml"/>
  <Override ContentType="application/vnd.openxmlformats-officedocument.spreadsheetml.worksheet+xml" PartName="/xl/worksheets/sheet43331.xml"/>
  <Override ContentType="application/vnd.openxmlformats-officedocument.spreadsheetml.worksheet+xml" PartName="/xl/worksheets/sheet43332.xml"/>
  <Override ContentType="application/vnd.openxmlformats-officedocument.spreadsheetml.worksheet+xml" PartName="/xl/worksheets/sheet43333.xml"/>
  <Override ContentType="application/vnd.openxmlformats-officedocument.spreadsheetml.worksheet+xml" PartName="/xl/worksheets/sheet43334.xml"/>
  <Override ContentType="application/vnd.openxmlformats-officedocument.spreadsheetml.worksheet+xml" PartName="/xl/worksheets/sheet43335.xml"/>
  <Override ContentType="application/vnd.openxmlformats-officedocument.spreadsheetml.worksheet+xml" PartName="/xl/worksheets/sheet43336.xml"/>
  <Override ContentType="application/vnd.openxmlformats-officedocument.spreadsheetml.worksheet+xml" PartName="/xl/worksheets/sheet43337.xml"/>
  <Override ContentType="application/vnd.openxmlformats-officedocument.spreadsheetml.worksheet+xml" PartName="/xl/worksheets/sheet43338.xml"/>
  <Override ContentType="application/vnd.openxmlformats-officedocument.spreadsheetml.worksheet+xml" PartName="/xl/worksheets/sheet43339.xml"/>
  <Override ContentType="application/vnd.openxmlformats-officedocument.spreadsheetml.worksheet+xml" PartName="/xl/worksheets/sheet43340.xml"/>
  <Override ContentType="application/vnd.openxmlformats-officedocument.spreadsheetml.worksheet+xml" PartName="/xl/worksheets/sheet43341.xml"/>
  <Override ContentType="application/vnd.openxmlformats-officedocument.spreadsheetml.worksheet+xml" PartName="/xl/worksheets/sheet43342.xml"/>
  <Override ContentType="application/vnd.openxmlformats-officedocument.spreadsheetml.worksheet+xml" PartName="/xl/worksheets/sheet43343.xml"/>
  <Override ContentType="application/vnd.openxmlformats-officedocument.spreadsheetml.worksheet+xml" PartName="/xl/worksheets/sheet43344.xml"/>
  <Override ContentType="application/vnd.openxmlformats-officedocument.spreadsheetml.worksheet+xml" PartName="/xl/worksheets/sheet43345.xml"/>
  <Override ContentType="application/vnd.openxmlformats-officedocument.spreadsheetml.worksheet+xml" PartName="/xl/worksheets/sheet43346.xml"/>
  <Override ContentType="application/vnd.openxmlformats-officedocument.spreadsheetml.worksheet+xml" PartName="/xl/worksheets/sheet43347.xml"/>
  <Override ContentType="application/vnd.openxmlformats-officedocument.spreadsheetml.worksheet+xml" PartName="/xl/worksheets/sheet43348.xml"/>
  <Override ContentType="application/vnd.openxmlformats-officedocument.spreadsheetml.worksheet+xml" PartName="/xl/worksheets/sheet43349.xml"/>
  <Override ContentType="application/vnd.openxmlformats-officedocument.spreadsheetml.worksheet+xml" PartName="/xl/worksheets/sheet43350.xml"/>
  <Override ContentType="application/vnd.openxmlformats-officedocument.spreadsheetml.worksheet+xml" PartName="/xl/worksheets/sheet43351.xml"/>
  <Override ContentType="application/vnd.openxmlformats-officedocument.spreadsheetml.worksheet+xml" PartName="/xl/worksheets/sheet43352.xml"/>
  <Override ContentType="application/vnd.openxmlformats-officedocument.spreadsheetml.worksheet+xml" PartName="/xl/worksheets/sheet43353.xml"/>
  <Override ContentType="application/vnd.openxmlformats-officedocument.spreadsheetml.worksheet+xml" PartName="/xl/worksheets/sheet43354.xml"/>
  <Override ContentType="application/vnd.openxmlformats-officedocument.spreadsheetml.worksheet+xml" PartName="/xl/worksheets/sheet43355.xml"/>
  <Override ContentType="application/vnd.openxmlformats-officedocument.spreadsheetml.worksheet+xml" PartName="/xl/worksheets/sheet43356.xml"/>
  <Override ContentType="application/vnd.openxmlformats-officedocument.spreadsheetml.worksheet+xml" PartName="/xl/worksheets/sheet43357.xml"/>
  <Override ContentType="application/vnd.openxmlformats-officedocument.spreadsheetml.worksheet+xml" PartName="/xl/worksheets/sheet43358.xml"/>
  <Override ContentType="application/vnd.openxmlformats-officedocument.spreadsheetml.worksheet+xml" PartName="/xl/worksheets/sheet43359.xml"/>
  <Override ContentType="application/vnd.openxmlformats-officedocument.spreadsheetml.worksheet+xml" PartName="/xl/worksheets/sheet43360.xml"/>
  <Override ContentType="application/vnd.openxmlformats-officedocument.spreadsheetml.worksheet+xml" PartName="/xl/worksheets/sheet43361.xml"/>
  <Override ContentType="application/vnd.openxmlformats-officedocument.spreadsheetml.worksheet+xml" PartName="/xl/worksheets/sheet43362.xml"/>
  <Override ContentType="application/vnd.openxmlformats-officedocument.spreadsheetml.worksheet+xml" PartName="/xl/worksheets/sheet43363.xml"/>
  <Override ContentType="application/vnd.openxmlformats-officedocument.spreadsheetml.worksheet+xml" PartName="/xl/worksheets/sheet43364.xml"/>
  <Override ContentType="application/vnd.openxmlformats-officedocument.spreadsheetml.worksheet+xml" PartName="/xl/worksheets/sheet43365.xml"/>
  <Override ContentType="application/vnd.openxmlformats-officedocument.spreadsheetml.worksheet+xml" PartName="/xl/worksheets/sheet43366.xml"/>
  <Override ContentType="application/vnd.openxmlformats-officedocument.spreadsheetml.worksheet+xml" PartName="/xl/worksheets/sheet43367.xml"/>
  <Override ContentType="application/vnd.openxmlformats-officedocument.spreadsheetml.worksheet+xml" PartName="/xl/worksheets/sheet43368.xml"/>
  <Override ContentType="application/vnd.openxmlformats-officedocument.spreadsheetml.worksheet+xml" PartName="/xl/worksheets/sheet43369.xml"/>
  <Override ContentType="application/vnd.openxmlformats-officedocument.spreadsheetml.worksheet+xml" PartName="/xl/worksheets/sheet43370.xml"/>
  <Override ContentType="application/vnd.openxmlformats-officedocument.spreadsheetml.worksheet+xml" PartName="/xl/worksheets/sheet43371.xml"/>
  <Override ContentType="application/vnd.openxmlformats-officedocument.spreadsheetml.worksheet+xml" PartName="/xl/worksheets/sheet43372.xml"/>
  <Override ContentType="application/vnd.openxmlformats-officedocument.spreadsheetml.worksheet+xml" PartName="/xl/worksheets/sheet43373.xml"/>
  <Override ContentType="application/vnd.openxmlformats-officedocument.spreadsheetml.worksheet+xml" PartName="/xl/worksheets/sheet43374.xml"/>
  <Override ContentType="application/vnd.openxmlformats-officedocument.spreadsheetml.worksheet+xml" PartName="/xl/worksheets/sheet43375.xml"/>
  <Override ContentType="application/vnd.openxmlformats-officedocument.spreadsheetml.worksheet+xml" PartName="/xl/worksheets/sheet43376.xml"/>
  <Override ContentType="application/vnd.openxmlformats-officedocument.spreadsheetml.worksheet+xml" PartName="/xl/worksheets/sheet43377.xml"/>
  <Override ContentType="application/vnd.openxmlformats-officedocument.spreadsheetml.worksheet+xml" PartName="/xl/worksheets/sheet43378.xml"/>
  <Override ContentType="application/vnd.openxmlformats-officedocument.spreadsheetml.worksheet+xml" PartName="/xl/worksheets/sheet43379.xml"/>
  <Override ContentType="application/vnd.openxmlformats-officedocument.spreadsheetml.worksheet+xml" PartName="/xl/worksheets/sheet43380.xml"/>
  <Override ContentType="application/vnd.openxmlformats-officedocument.spreadsheetml.worksheet+xml" PartName="/xl/worksheets/sheet43381.xml"/>
  <Override ContentType="application/vnd.openxmlformats-officedocument.spreadsheetml.worksheet+xml" PartName="/xl/worksheets/sheet43382.xml"/>
  <Override ContentType="application/vnd.openxmlformats-officedocument.spreadsheetml.worksheet+xml" PartName="/xl/worksheets/sheet43383.xml"/>
  <Override ContentType="application/vnd.openxmlformats-officedocument.spreadsheetml.worksheet+xml" PartName="/xl/worksheets/sheet43384.xml"/>
  <Override ContentType="application/vnd.openxmlformats-officedocument.spreadsheetml.worksheet+xml" PartName="/xl/worksheets/sheet43385.xml"/>
  <Override ContentType="application/vnd.openxmlformats-officedocument.spreadsheetml.worksheet+xml" PartName="/xl/worksheets/sheet43386.xml"/>
  <Override ContentType="application/vnd.openxmlformats-officedocument.spreadsheetml.worksheet+xml" PartName="/xl/worksheets/sheet43387.xml"/>
  <Override ContentType="application/vnd.openxmlformats-officedocument.spreadsheetml.worksheet+xml" PartName="/xl/worksheets/sheet43388.xml"/>
  <Override ContentType="application/vnd.openxmlformats-officedocument.spreadsheetml.worksheet+xml" PartName="/xl/worksheets/sheet43389.xml"/>
  <Override ContentType="application/vnd.openxmlformats-officedocument.spreadsheetml.worksheet+xml" PartName="/xl/worksheets/sheet43390.xml"/>
  <Override ContentType="application/vnd.openxmlformats-officedocument.spreadsheetml.worksheet+xml" PartName="/xl/worksheets/sheet43391.xml"/>
  <Override ContentType="application/vnd.openxmlformats-officedocument.spreadsheetml.worksheet+xml" PartName="/xl/worksheets/sheet43392.xml"/>
  <Override ContentType="application/vnd.openxmlformats-officedocument.spreadsheetml.worksheet+xml" PartName="/xl/worksheets/sheet43393.xml"/>
  <Override ContentType="application/vnd.openxmlformats-officedocument.spreadsheetml.worksheet+xml" PartName="/xl/worksheets/sheet43394.xml"/>
  <Override ContentType="application/vnd.openxmlformats-officedocument.spreadsheetml.worksheet+xml" PartName="/xl/worksheets/sheet43395.xml"/>
  <Override ContentType="application/vnd.openxmlformats-officedocument.spreadsheetml.worksheet+xml" PartName="/xl/worksheets/sheet43396.xml"/>
  <Override ContentType="application/vnd.openxmlformats-officedocument.spreadsheetml.worksheet+xml" PartName="/xl/worksheets/sheet43397.xml"/>
  <Override ContentType="application/vnd.openxmlformats-officedocument.spreadsheetml.worksheet+xml" PartName="/xl/worksheets/sheet43398.xml"/>
  <Override ContentType="application/vnd.openxmlformats-officedocument.spreadsheetml.worksheet+xml" PartName="/xl/worksheets/sheet43399.xml"/>
  <Override ContentType="application/vnd.openxmlformats-officedocument.spreadsheetml.worksheet+xml" PartName="/xl/worksheets/sheet43400.xml"/>
  <Override ContentType="application/vnd.openxmlformats-officedocument.spreadsheetml.worksheet+xml" PartName="/xl/worksheets/sheet43401.xml"/>
  <Override ContentType="application/vnd.openxmlformats-officedocument.spreadsheetml.worksheet+xml" PartName="/xl/worksheets/sheet43402.xml"/>
  <Override ContentType="application/vnd.openxmlformats-officedocument.spreadsheetml.worksheet+xml" PartName="/xl/worksheets/sheet43403.xml"/>
  <Override ContentType="application/vnd.openxmlformats-officedocument.spreadsheetml.worksheet+xml" PartName="/xl/worksheets/sheet43404.xml"/>
  <Override ContentType="application/vnd.openxmlformats-officedocument.spreadsheetml.worksheet+xml" PartName="/xl/worksheets/sheet43405.xml"/>
  <Override ContentType="application/vnd.openxmlformats-officedocument.spreadsheetml.worksheet+xml" PartName="/xl/worksheets/sheet43406.xml"/>
  <Override ContentType="application/vnd.openxmlformats-officedocument.spreadsheetml.worksheet+xml" PartName="/xl/worksheets/sheet43407.xml"/>
  <Override ContentType="application/vnd.openxmlformats-officedocument.spreadsheetml.worksheet+xml" PartName="/xl/worksheets/sheet43408.xml"/>
  <Override ContentType="application/vnd.openxmlformats-officedocument.spreadsheetml.worksheet+xml" PartName="/xl/worksheets/sheet43409.xml"/>
  <Override ContentType="application/vnd.openxmlformats-officedocument.spreadsheetml.worksheet+xml" PartName="/xl/worksheets/sheet43410.xml"/>
  <Override ContentType="application/vnd.openxmlformats-officedocument.spreadsheetml.worksheet+xml" PartName="/xl/worksheets/sheet43411.xml"/>
  <Override ContentType="application/vnd.openxmlformats-officedocument.spreadsheetml.worksheet+xml" PartName="/xl/worksheets/sheet43412.xml"/>
  <Override ContentType="application/vnd.openxmlformats-officedocument.spreadsheetml.worksheet+xml" PartName="/xl/worksheets/sheet43413.xml"/>
  <Override ContentType="application/vnd.openxmlformats-officedocument.spreadsheetml.worksheet+xml" PartName="/xl/worksheets/sheet43414.xml"/>
  <Override ContentType="application/vnd.openxmlformats-officedocument.spreadsheetml.worksheet+xml" PartName="/xl/worksheets/sheet43415.xml"/>
  <Override ContentType="application/vnd.openxmlformats-officedocument.spreadsheetml.worksheet+xml" PartName="/xl/worksheets/sheet43416.xml"/>
  <Override ContentType="application/vnd.openxmlformats-officedocument.spreadsheetml.worksheet+xml" PartName="/xl/worksheets/sheet43417.xml"/>
  <Override ContentType="application/vnd.openxmlformats-officedocument.spreadsheetml.worksheet+xml" PartName="/xl/worksheets/sheet43418.xml"/>
  <Override ContentType="application/vnd.openxmlformats-officedocument.spreadsheetml.worksheet+xml" PartName="/xl/worksheets/sheet43419.xml"/>
  <Override ContentType="application/vnd.openxmlformats-officedocument.spreadsheetml.worksheet+xml" PartName="/xl/worksheets/sheet43420.xml"/>
  <Override ContentType="application/vnd.openxmlformats-officedocument.spreadsheetml.worksheet+xml" PartName="/xl/worksheets/sheet43421.xml"/>
  <Override ContentType="application/vnd.openxmlformats-officedocument.spreadsheetml.worksheet+xml" PartName="/xl/worksheets/sheet43422.xml"/>
  <Override ContentType="application/vnd.openxmlformats-officedocument.spreadsheetml.worksheet+xml" PartName="/xl/worksheets/sheet43423.xml"/>
  <Override ContentType="application/vnd.openxmlformats-officedocument.spreadsheetml.worksheet+xml" PartName="/xl/worksheets/sheet43424.xml"/>
  <Override ContentType="application/vnd.openxmlformats-officedocument.spreadsheetml.worksheet+xml" PartName="/xl/worksheets/sheet43425.xml"/>
  <Override ContentType="application/vnd.openxmlformats-officedocument.spreadsheetml.worksheet+xml" PartName="/xl/worksheets/sheet43426.xml"/>
  <Override ContentType="application/vnd.openxmlformats-officedocument.spreadsheetml.worksheet+xml" PartName="/xl/worksheets/sheet43427.xml"/>
  <Override ContentType="application/vnd.openxmlformats-officedocument.spreadsheetml.worksheet+xml" PartName="/xl/worksheets/sheet43428.xml"/>
  <Override ContentType="application/vnd.openxmlformats-officedocument.spreadsheetml.worksheet+xml" PartName="/xl/worksheets/sheet43429.xml"/>
  <Override ContentType="application/vnd.openxmlformats-officedocument.spreadsheetml.worksheet+xml" PartName="/xl/worksheets/sheet43430.xml"/>
  <Override ContentType="application/vnd.openxmlformats-officedocument.spreadsheetml.worksheet+xml" PartName="/xl/worksheets/sheet43431.xml"/>
  <Override ContentType="application/vnd.openxmlformats-officedocument.spreadsheetml.worksheet+xml" PartName="/xl/worksheets/sheet43432.xml"/>
  <Override ContentType="application/vnd.openxmlformats-officedocument.spreadsheetml.worksheet+xml" PartName="/xl/worksheets/sheet43433.xml"/>
  <Override ContentType="application/vnd.openxmlformats-officedocument.spreadsheetml.worksheet+xml" PartName="/xl/worksheets/sheet43434.xml"/>
  <Override ContentType="application/vnd.openxmlformats-officedocument.spreadsheetml.worksheet+xml" PartName="/xl/worksheets/sheet43435.xml"/>
  <Override ContentType="application/vnd.openxmlformats-officedocument.spreadsheetml.worksheet+xml" PartName="/xl/worksheets/sheet43436.xml"/>
  <Override ContentType="application/vnd.openxmlformats-officedocument.spreadsheetml.worksheet+xml" PartName="/xl/worksheets/sheet43437.xml"/>
  <Override ContentType="application/vnd.openxmlformats-officedocument.spreadsheetml.worksheet+xml" PartName="/xl/worksheets/sheet43438.xml"/>
  <Override ContentType="application/vnd.openxmlformats-officedocument.spreadsheetml.worksheet+xml" PartName="/xl/worksheets/sheet43439.xml"/>
  <Override ContentType="application/vnd.openxmlformats-officedocument.spreadsheetml.worksheet+xml" PartName="/xl/worksheets/sheet43440.xml"/>
  <Override ContentType="application/vnd.openxmlformats-officedocument.spreadsheetml.worksheet+xml" PartName="/xl/worksheets/sheet43441.xml"/>
  <Override ContentType="application/vnd.openxmlformats-officedocument.spreadsheetml.worksheet+xml" PartName="/xl/worksheets/sheet43442.xml"/>
  <Override ContentType="application/vnd.openxmlformats-officedocument.spreadsheetml.worksheet+xml" PartName="/xl/worksheets/sheet43443.xml"/>
  <Override ContentType="application/vnd.openxmlformats-officedocument.spreadsheetml.worksheet+xml" PartName="/xl/worksheets/sheet43444.xml"/>
  <Override ContentType="application/vnd.openxmlformats-officedocument.spreadsheetml.worksheet+xml" PartName="/xl/worksheets/sheet43445.xml"/>
  <Override ContentType="application/vnd.openxmlformats-officedocument.spreadsheetml.worksheet+xml" PartName="/xl/worksheets/sheet43446.xml"/>
  <Override ContentType="application/vnd.openxmlformats-officedocument.spreadsheetml.worksheet+xml" PartName="/xl/worksheets/sheet43447.xml"/>
  <Override ContentType="application/vnd.openxmlformats-officedocument.spreadsheetml.worksheet+xml" PartName="/xl/worksheets/sheet43448.xml"/>
  <Override ContentType="application/vnd.openxmlformats-officedocument.spreadsheetml.worksheet+xml" PartName="/xl/worksheets/sheet43449.xml"/>
  <Override ContentType="application/vnd.openxmlformats-officedocument.spreadsheetml.worksheet+xml" PartName="/xl/worksheets/sheet43450.xml"/>
  <Override ContentType="application/vnd.openxmlformats-officedocument.spreadsheetml.worksheet+xml" PartName="/xl/worksheets/sheet43451.xml"/>
  <Override ContentType="application/vnd.openxmlformats-officedocument.spreadsheetml.worksheet+xml" PartName="/xl/worksheets/sheet43452.xml"/>
  <Override ContentType="application/vnd.openxmlformats-officedocument.spreadsheetml.worksheet+xml" PartName="/xl/worksheets/sheet43453.xml"/>
  <Override ContentType="application/vnd.openxmlformats-officedocument.spreadsheetml.worksheet+xml" PartName="/xl/worksheets/sheet43454.xml"/>
  <Override ContentType="application/vnd.openxmlformats-officedocument.spreadsheetml.worksheet+xml" PartName="/xl/worksheets/sheet43455.xml"/>
  <Override ContentType="application/vnd.openxmlformats-officedocument.spreadsheetml.worksheet+xml" PartName="/xl/worksheets/sheet43456.xml"/>
  <Override ContentType="application/vnd.openxmlformats-officedocument.spreadsheetml.worksheet+xml" PartName="/xl/worksheets/sheet43457.xml"/>
  <Override ContentType="application/vnd.openxmlformats-officedocument.spreadsheetml.worksheet+xml" PartName="/xl/worksheets/sheet43458.xml"/>
  <Override ContentType="application/vnd.openxmlformats-officedocument.spreadsheetml.worksheet+xml" PartName="/xl/worksheets/sheet43459.xml"/>
  <Override ContentType="application/vnd.openxmlformats-officedocument.spreadsheetml.worksheet+xml" PartName="/xl/worksheets/sheet43460.xml"/>
  <Override ContentType="application/vnd.openxmlformats-officedocument.spreadsheetml.worksheet+xml" PartName="/xl/worksheets/sheet43461.xml"/>
  <Override ContentType="application/vnd.openxmlformats-officedocument.spreadsheetml.worksheet+xml" PartName="/xl/worksheets/sheet43462.xml"/>
  <Override ContentType="application/vnd.openxmlformats-officedocument.spreadsheetml.worksheet+xml" PartName="/xl/worksheets/sheet43463.xml"/>
  <Override ContentType="application/vnd.openxmlformats-officedocument.spreadsheetml.worksheet+xml" PartName="/xl/worksheets/sheet43464.xml"/>
  <Override ContentType="application/vnd.openxmlformats-officedocument.spreadsheetml.worksheet+xml" PartName="/xl/worksheets/sheet43465.xml"/>
  <Override ContentType="application/vnd.openxmlformats-officedocument.spreadsheetml.worksheet+xml" PartName="/xl/worksheets/sheet43466.xml"/>
  <Override ContentType="application/vnd.openxmlformats-officedocument.spreadsheetml.worksheet+xml" PartName="/xl/worksheets/sheet43467.xml"/>
  <Override ContentType="application/vnd.openxmlformats-officedocument.spreadsheetml.worksheet+xml" PartName="/xl/worksheets/sheet43468.xml"/>
  <Override ContentType="application/vnd.openxmlformats-officedocument.spreadsheetml.worksheet+xml" PartName="/xl/worksheets/sheet43469.xml"/>
  <Override ContentType="application/vnd.openxmlformats-officedocument.spreadsheetml.worksheet+xml" PartName="/xl/worksheets/sheet43470.xml"/>
  <Override ContentType="application/vnd.openxmlformats-officedocument.spreadsheetml.worksheet+xml" PartName="/xl/worksheets/sheet43471.xml"/>
  <Override ContentType="application/vnd.openxmlformats-officedocument.spreadsheetml.worksheet+xml" PartName="/xl/worksheets/sheet43472.xml"/>
  <Override ContentType="application/vnd.openxmlformats-officedocument.spreadsheetml.worksheet+xml" PartName="/xl/worksheets/sheet43473.xml"/>
  <Override ContentType="application/vnd.openxmlformats-officedocument.spreadsheetml.worksheet+xml" PartName="/xl/worksheets/sheet43474.xml"/>
  <Override ContentType="application/vnd.openxmlformats-officedocument.spreadsheetml.worksheet+xml" PartName="/xl/worksheets/sheet43475.xml"/>
  <Override ContentType="application/vnd.openxmlformats-officedocument.spreadsheetml.worksheet+xml" PartName="/xl/worksheets/sheet43476.xml"/>
  <Override ContentType="application/vnd.openxmlformats-officedocument.spreadsheetml.worksheet+xml" PartName="/xl/worksheets/sheet43477.xml"/>
  <Override ContentType="application/vnd.openxmlformats-officedocument.spreadsheetml.worksheet+xml" PartName="/xl/worksheets/sheet43478.xml"/>
  <Override ContentType="application/vnd.openxmlformats-officedocument.spreadsheetml.worksheet+xml" PartName="/xl/worksheets/sheet43479.xml"/>
  <Override ContentType="application/vnd.openxmlformats-officedocument.spreadsheetml.worksheet+xml" PartName="/xl/worksheets/sheet43480.xml"/>
  <Override ContentType="application/vnd.openxmlformats-officedocument.spreadsheetml.worksheet+xml" PartName="/xl/worksheets/sheet43481.xml"/>
  <Override ContentType="application/vnd.openxmlformats-officedocument.spreadsheetml.worksheet+xml" PartName="/xl/worksheets/sheet43482.xml"/>
  <Override ContentType="application/vnd.openxmlformats-officedocument.spreadsheetml.worksheet+xml" PartName="/xl/worksheets/sheet43483.xml"/>
  <Override ContentType="application/vnd.openxmlformats-officedocument.spreadsheetml.worksheet+xml" PartName="/xl/worksheets/sheet43484.xml"/>
  <Override ContentType="application/vnd.openxmlformats-officedocument.spreadsheetml.worksheet+xml" PartName="/xl/worksheets/sheet43485.xml"/>
  <Override ContentType="application/vnd.openxmlformats-officedocument.spreadsheetml.worksheet+xml" PartName="/xl/worksheets/sheet43486.xml"/>
  <Override ContentType="application/vnd.openxmlformats-officedocument.spreadsheetml.worksheet+xml" PartName="/xl/worksheets/sheet43487.xml"/>
  <Override ContentType="application/vnd.openxmlformats-officedocument.spreadsheetml.worksheet+xml" PartName="/xl/worksheets/sheet43488.xml"/>
  <Override ContentType="application/vnd.openxmlformats-officedocument.spreadsheetml.worksheet+xml" PartName="/xl/worksheets/sheet43489.xml"/>
  <Override ContentType="application/vnd.openxmlformats-officedocument.spreadsheetml.worksheet+xml" PartName="/xl/worksheets/sheet43490.xml"/>
  <Override ContentType="application/vnd.openxmlformats-officedocument.spreadsheetml.worksheet+xml" PartName="/xl/worksheets/sheet43491.xml"/>
  <Override ContentType="application/vnd.openxmlformats-officedocument.spreadsheetml.worksheet+xml" PartName="/xl/worksheets/sheet43492.xml"/>
  <Override ContentType="application/vnd.openxmlformats-officedocument.spreadsheetml.worksheet+xml" PartName="/xl/worksheets/sheet43493.xml"/>
  <Override ContentType="application/vnd.openxmlformats-officedocument.spreadsheetml.worksheet+xml" PartName="/xl/worksheets/sheet43494.xml"/>
  <Override ContentType="application/vnd.openxmlformats-officedocument.spreadsheetml.worksheet+xml" PartName="/xl/worksheets/sheet43495.xml"/>
  <Override ContentType="application/vnd.openxmlformats-officedocument.spreadsheetml.worksheet+xml" PartName="/xl/worksheets/sheet43496.xml"/>
  <Override ContentType="application/vnd.openxmlformats-officedocument.spreadsheetml.worksheet+xml" PartName="/xl/worksheets/sheet43497.xml"/>
  <Override ContentType="application/vnd.openxmlformats-officedocument.spreadsheetml.worksheet+xml" PartName="/xl/worksheets/sheet43498.xml"/>
  <Override ContentType="application/vnd.openxmlformats-officedocument.spreadsheetml.worksheet+xml" PartName="/xl/worksheets/sheet43499.xml"/>
  <Override ContentType="application/vnd.openxmlformats-officedocument.spreadsheetml.worksheet+xml" PartName="/xl/worksheets/sheet43500.xml"/>
  <Override ContentType="application/vnd.openxmlformats-officedocument.spreadsheetml.worksheet+xml" PartName="/xl/worksheets/sheet43501.xml"/>
  <Override ContentType="application/vnd.openxmlformats-officedocument.spreadsheetml.worksheet+xml" PartName="/xl/worksheets/sheet43502.xml"/>
  <Override ContentType="application/vnd.openxmlformats-officedocument.spreadsheetml.worksheet+xml" PartName="/xl/worksheets/sheet43503.xml"/>
  <Override ContentType="application/vnd.openxmlformats-officedocument.spreadsheetml.worksheet+xml" PartName="/xl/worksheets/sheet43504.xml"/>
  <Override ContentType="application/vnd.openxmlformats-officedocument.spreadsheetml.worksheet+xml" PartName="/xl/worksheets/sheet43505.xml"/>
  <Override ContentType="application/vnd.openxmlformats-officedocument.spreadsheetml.worksheet+xml" PartName="/xl/worksheets/sheet43506.xml"/>
  <Override ContentType="application/vnd.openxmlformats-officedocument.spreadsheetml.worksheet+xml" PartName="/xl/worksheets/sheet43507.xml"/>
  <Override ContentType="application/vnd.openxmlformats-officedocument.spreadsheetml.worksheet+xml" PartName="/xl/worksheets/sheet43508.xml"/>
  <Override ContentType="application/vnd.openxmlformats-officedocument.spreadsheetml.worksheet+xml" PartName="/xl/worksheets/sheet43509.xml"/>
  <Override ContentType="application/vnd.openxmlformats-officedocument.spreadsheetml.worksheet+xml" PartName="/xl/worksheets/sheet43510.xml"/>
  <Override ContentType="application/vnd.openxmlformats-officedocument.spreadsheetml.worksheet+xml" PartName="/xl/worksheets/sheet43511.xml"/>
  <Override ContentType="application/vnd.openxmlformats-officedocument.spreadsheetml.worksheet+xml" PartName="/xl/worksheets/sheet43512.xml"/>
  <Override ContentType="application/vnd.openxmlformats-officedocument.spreadsheetml.worksheet+xml" PartName="/xl/worksheets/sheet43513.xml"/>
  <Override ContentType="application/vnd.openxmlformats-officedocument.spreadsheetml.worksheet+xml" PartName="/xl/worksheets/sheet43514.xml"/>
  <Override ContentType="application/vnd.openxmlformats-officedocument.spreadsheetml.worksheet+xml" PartName="/xl/worksheets/sheet43515.xml"/>
  <Override ContentType="application/vnd.openxmlformats-officedocument.spreadsheetml.worksheet+xml" PartName="/xl/worksheets/sheet43516.xml"/>
  <Override ContentType="application/vnd.openxmlformats-officedocument.spreadsheetml.worksheet+xml" PartName="/xl/worksheets/sheet43517.xml"/>
  <Override ContentType="application/vnd.openxmlformats-officedocument.spreadsheetml.worksheet+xml" PartName="/xl/worksheets/sheet43518.xml"/>
  <Override ContentType="application/vnd.openxmlformats-officedocument.spreadsheetml.worksheet+xml" PartName="/xl/worksheets/sheet43519.xml"/>
  <Override ContentType="application/vnd.openxmlformats-officedocument.spreadsheetml.worksheet+xml" PartName="/xl/worksheets/sheet43520.xml"/>
  <Override ContentType="application/vnd.openxmlformats-officedocument.spreadsheetml.worksheet+xml" PartName="/xl/worksheets/sheet43521.xml"/>
  <Override ContentType="application/vnd.openxmlformats-officedocument.spreadsheetml.worksheet+xml" PartName="/xl/worksheets/sheet43522.xml"/>
  <Override ContentType="application/vnd.openxmlformats-officedocument.spreadsheetml.worksheet+xml" PartName="/xl/worksheets/sheet43523.xml"/>
  <Override ContentType="application/vnd.openxmlformats-officedocument.spreadsheetml.worksheet+xml" PartName="/xl/worksheets/sheet43524.xml"/>
  <Override ContentType="application/vnd.openxmlformats-officedocument.spreadsheetml.worksheet+xml" PartName="/xl/worksheets/sheet43525.xml"/>
  <Override ContentType="application/vnd.openxmlformats-officedocument.spreadsheetml.worksheet+xml" PartName="/xl/worksheets/sheet43526.xml"/>
  <Override ContentType="application/vnd.openxmlformats-officedocument.spreadsheetml.worksheet+xml" PartName="/xl/worksheets/sheet43527.xml"/>
  <Override ContentType="application/vnd.openxmlformats-officedocument.spreadsheetml.worksheet+xml" PartName="/xl/worksheets/sheet43528.xml"/>
  <Override ContentType="application/vnd.openxmlformats-officedocument.spreadsheetml.worksheet+xml" PartName="/xl/worksheets/sheet43529.xml"/>
  <Override ContentType="application/vnd.openxmlformats-officedocument.spreadsheetml.worksheet+xml" PartName="/xl/worksheets/sheet43530.xml"/>
  <Override ContentType="application/vnd.openxmlformats-officedocument.spreadsheetml.worksheet+xml" PartName="/xl/worksheets/sheet43531.xml"/>
  <Override ContentType="application/vnd.openxmlformats-officedocument.spreadsheetml.worksheet+xml" PartName="/xl/worksheets/sheet43532.xml"/>
  <Override ContentType="application/vnd.openxmlformats-officedocument.spreadsheetml.worksheet+xml" PartName="/xl/worksheets/sheet43533.xml"/>
  <Override ContentType="application/vnd.openxmlformats-officedocument.spreadsheetml.worksheet+xml" PartName="/xl/worksheets/sheet43534.xml"/>
  <Override ContentType="application/vnd.openxmlformats-officedocument.spreadsheetml.worksheet+xml" PartName="/xl/worksheets/sheet43535.xml"/>
  <Override ContentType="application/vnd.openxmlformats-officedocument.spreadsheetml.worksheet+xml" PartName="/xl/worksheets/sheet43536.xml"/>
  <Override ContentType="application/vnd.openxmlformats-officedocument.spreadsheetml.worksheet+xml" PartName="/xl/worksheets/sheet43537.xml"/>
  <Override ContentType="application/vnd.openxmlformats-officedocument.spreadsheetml.worksheet+xml" PartName="/xl/worksheets/sheet43538.xml"/>
  <Override ContentType="application/vnd.openxmlformats-officedocument.spreadsheetml.worksheet+xml" PartName="/xl/worksheets/sheet43539.xml"/>
  <Override ContentType="application/vnd.openxmlformats-officedocument.spreadsheetml.worksheet+xml" PartName="/xl/worksheets/sheet43540.xml"/>
  <Override ContentType="application/vnd.openxmlformats-officedocument.spreadsheetml.worksheet+xml" PartName="/xl/worksheets/sheet43541.xml"/>
  <Override ContentType="application/vnd.openxmlformats-officedocument.spreadsheetml.worksheet+xml" PartName="/xl/worksheets/sheet43542.xml"/>
  <Override ContentType="application/vnd.openxmlformats-officedocument.spreadsheetml.worksheet+xml" PartName="/xl/worksheets/sheet43543.xml"/>
  <Override ContentType="application/vnd.openxmlformats-officedocument.spreadsheetml.worksheet+xml" PartName="/xl/worksheets/sheet43544.xml"/>
  <Override ContentType="application/vnd.openxmlformats-officedocument.spreadsheetml.worksheet+xml" PartName="/xl/worksheets/sheet43545.xml"/>
  <Override ContentType="application/vnd.openxmlformats-officedocument.spreadsheetml.worksheet+xml" PartName="/xl/worksheets/sheet43546.xml"/>
  <Override ContentType="application/vnd.openxmlformats-officedocument.spreadsheetml.worksheet+xml" PartName="/xl/worksheets/sheet43547.xml"/>
  <Override ContentType="application/vnd.openxmlformats-officedocument.spreadsheetml.worksheet+xml" PartName="/xl/worksheets/sheet43548.xml"/>
  <Override ContentType="application/vnd.openxmlformats-officedocument.spreadsheetml.worksheet+xml" PartName="/xl/worksheets/sheet43549.xml"/>
  <Override ContentType="application/vnd.openxmlformats-officedocument.spreadsheetml.worksheet+xml" PartName="/xl/worksheets/sheet43550.xml"/>
  <Override ContentType="application/vnd.openxmlformats-officedocument.spreadsheetml.worksheet+xml" PartName="/xl/worksheets/sheet43551.xml"/>
  <Override ContentType="application/vnd.openxmlformats-officedocument.spreadsheetml.worksheet+xml" PartName="/xl/worksheets/sheet43552.xml"/>
  <Override ContentType="application/vnd.openxmlformats-officedocument.spreadsheetml.worksheet+xml" PartName="/xl/worksheets/sheet43553.xml"/>
  <Override ContentType="application/vnd.openxmlformats-officedocument.spreadsheetml.worksheet+xml" PartName="/xl/worksheets/sheet43554.xml"/>
  <Override ContentType="application/vnd.openxmlformats-officedocument.spreadsheetml.worksheet+xml" PartName="/xl/worksheets/sheet43555.xml"/>
  <Override ContentType="application/vnd.openxmlformats-officedocument.spreadsheetml.worksheet+xml" PartName="/xl/worksheets/sheet43556.xml"/>
  <Override ContentType="application/vnd.openxmlformats-officedocument.spreadsheetml.worksheet+xml" PartName="/xl/worksheets/sheet43557.xml"/>
  <Override ContentType="application/vnd.openxmlformats-officedocument.spreadsheetml.worksheet+xml" PartName="/xl/worksheets/sheet43558.xml"/>
  <Override ContentType="application/vnd.openxmlformats-officedocument.spreadsheetml.worksheet+xml" PartName="/xl/worksheets/sheet43559.xml"/>
  <Override ContentType="application/vnd.openxmlformats-officedocument.spreadsheetml.worksheet+xml" PartName="/xl/worksheets/sheet43560.xml"/>
  <Override ContentType="application/vnd.openxmlformats-officedocument.spreadsheetml.worksheet+xml" PartName="/xl/worksheets/sheet43561.xml"/>
  <Override ContentType="application/vnd.openxmlformats-officedocument.spreadsheetml.worksheet+xml" PartName="/xl/worksheets/sheet43562.xml"/>
  <Override ContentType="application/vnd.openxmlformats-officedocument.spreadsheetml.worksheet+xml" PartName="/xl/worksheets/sheet43563.xml"/>
  <Override ContentType="application/vnd.openxmlformats-officedocument.spreadsheetml.worksheet+xml" PartName="/xl/worksheets/sheet43564.xml"/>
  <Override ContentType="application/vnd.openxmlformats-officedocument.spreadsheetml.worksheet+xml" PartName="/xl/worksheets/sheet43565.xml"/>
  <Override ContentType="application/vnd.openxmlformats-officedocument.spreadsheetml.worksheet+xml" PartName="/xl/worksheets/sheet43566.xml"/>
  <Override ContentType="application/vnd.openxmlformats-officedocument.spreadsheetml.worksheet+xml" PartName="/xl/worksheets/sheet43567.xml"/>
  <Override ContentType="application/vnd.openxmlformats-officedocument.spreadsheetml.worksheet+xml" PartName="/xl/worksheets/sheet43568.xml"/>
  <Override ContentType="application/vnd.openxmlformats-officedocument.spreadsheetml.worksheet+xml" PartName="/xl/worksheets/sheet43569.xml"/>
  <Override ContentType="application/vnd.openxmlformats-officedocument.spreadsheetml.worksheet+xml" PartName="/xl/worksheets/sheet43570.xml"/>
  <Override ContentType="application/vnd.openxmlformats-officedocument.spreadsheetml.worksheet+xml" PartName="/xl/worksheets/sheet43571.xml"/>
  <Override ContentType="application/vnd.openxmlformats-officedocument.spreadsheetml.worksheet+xml" PartName="/xl/worksheets/sheet43572.xml"/>
  <Override ContentType="application/vnd.openxmlformats-officedocument.spreadsheetml.worksheet+xml" PartName="/xl/worksheets/sheet43573.xml"/>
  <Override ContentType="application/vnd.openxmlformats-officedocument.spreadsheetml.worksheet+xml" PartName="/xl/worksheets/sheet43574.xml"/>
  <Override ContentType="application/vnd.openxmlformats-officedocument.spreadsheetml.worksheet+xml" PartName="/xl/worksheets/sheet43575.xml"/>
  <Override ContentType="application/vnd.openxmlformats-officedocument.spreadsheetml.worksheet+xml" PartName="/xl/worksheets/sheet43576.xml"/>
  <Override ContentType="application/vnd.openxmlformats-officedocument.spreadsheetml.worksheet+xml" PartName="/xl/worksheets/sheet43577.xml"/>
  <Override ContentType="application/vnd.openxmlformats-officedocument.spreadsheetml.worksheet+xml" PartName="/xl/worksheets/sheet43578.xml"/>
  <Override ContentType="application/vnd.openxmlformats-officedocument.spreadsheetml.worksheet+xml" PartName="/xl/worksheets/sheet43579.xml"/>
  <Override ContentType="application/vnd.openxmlformats-officedocument.spreadsheetml.worksheet+xml" PartName="/xl/worksheets/sheet43580.xml"/>
  <Override ContentType="application/vnd.openxmlformats-officedocument.spreadsheetml.worksheet+xml" PartName="/xl/worksheets/sheet43581.xml"/>
  <Override ContentType="application/vnd.openxmlformats-officedocument.spreadsheetml.worksheet+xml" PartName="/xl/worksheets/sheet43582.xml"/>
  <Override ContentType="application/vnd.openxmlformats-officedocument.spreadsheetml.worksheet+xml" PartName="/xl/worksheets/sheet43583.xml"/>
  <Override ContentType="application/vnd.openxmlformats-officedocument.spreadsheetml.worksheet+xml" PartName="/xl/worksheets/sheet43584.xml"/>
  <Override ContentType="application/vnd.openxmlformats-officedocument.spreadsheetml.worksheet+xml" PartName="/xl/worksheets/sheet43585.xml"/>
  <Override ContentType="application/vnd.openxmlformats-officedocument.spreadsheetml.worksheet+xml" PartName="/xl/worksheets/sheet43586.xml"/>
  <Override ContentType="application/vnd.openxmlformats-officedocument.spreadsheetml.worksheet+xml" PartName="/xl/worksheets/sheet43587.xml"/>
  <Override ContentType="application/vnd.openxmlformats-officedocument.spreadsheetml.worksheet+xml" PartName="/xl/worksheets/sheet43588.xml"/>
  <Override ContentType="application/vnd.openxmlformats-officedocument.spreadsheetml.worksheet+xml" PartName="/xl/worksheets/sheet43589.xml"/>
  <Override ContentType="application/vnd.openxmlformats-officedocument.spreadsheetml.worksheet+xml" PartName="/xl/worksheets/sheet43590.xml"/>
  <Override ContentType="application/vnd.openxmlformats-officedocument.spreadsheetml.worksheet+xml" PartName="/xl/worksheets/sheet43591.xml"/>
  <Override ContentType="application/vnd.openxmlformats-officedocument.spreadsheetml.worksheet+xml" PartName="/xl/worksheets/sheet43592.xml"/>
  <Override ContentType="application/vnd.openxmlformats-officedocument.spreadsheetml.worksheet+xml" PartName="/xl/worksheets/sheet43593.xml"/>
  <Override ContentType="application/vnd.openxmlformats-officedocument.spreadsheetml.worksheet+xml" PartName="/xl/worksheets/sheet43594.xml"/>
  <Override ContentType="application/vnd.openxmlformats-officedocument.spreadsheetml.worksheet+xml" PartName="/xl/worksheets/sheet43595.xml"/>
  <Override ContentType="application/vnd.openxmlformats-officedocument.spreadsheetml.worksheet+xml" PartName="/xl/worksheets/sheet43596.xml"/>
  <Override ContentType="application/vnd.openxmlformats-officedocument.spreadsheetml.worksheet+xml" PartName="/xl/worksheets/sheet43597.xml"/>
  <Override ContentType="application/vnd.openxmlformats-officedocument.spreadsheetml.worksheet+xml" PartName="/xl/worksheets/sheet43598.xml"/>
  <Override ContentType="application/vnd.openxmlformats-officedocument.spreadsheetml.worksheet+xml" PartName="/xl/worksheets/sheet43599.xml"/>
  <Override ContentType="application/vnd.openxmlformats-officedocument.spreadsheetml.worksheet+xml" PartName="/xl/worksheets/sheet43600.xml"/>
  <Override ContentType="application/vnd.openxmlformats-officedocument.spreadsheetml.worksheet+xml" PartName="/xl/worksheets/sheet43601.xml"/>
  <Override ContentType="application/vnd.openxmlformats-officedocument.spreadsheetml.worksheet+xml" PartName="/xl/worksheets/sheet43602.xml"/>
  <Override ContentType="application/vnd.openxmlformats-officedocument.spreadsheetml.worksheet+xml" PartName="/xl/worksheets/sheet43603.xml"/>
  <Override ContentType="application/vnd.openxmlformats-officedocument.spreadsheetml.worksheet+xml" PartName="/xl/worksheets/sheet43604.xml"/>
  <Override ContentType="application/vnd.openxmlformats-officedocument.spreadsheetml.worksheet+xml" PartName="/xl/worksheets/sheet43605.xml"/>
  <Override ContentType="application/vnd.openxmlformats-officedocument.spreadsheetml.worksheet+xml" PartName="/xl/worksheets/sheet43606.xml"/>
  <Override ContentType="application/vnd.openxmlformats-officedocument.spreadsheetml.worksheet+xml" PartName="/xl/worksheets/sheet43607.xml"/>
  <Override ContentType="application/vnd.openxmlformats-officedocument.spreadsheetml.worksheet+xml" PartName="/xl/worksheets/sheet43608.xml"/>
  <Override ContentType="application/vnd.openxmlformats-officedocument.spreadsheetml.worksheet+xml" PartName="/xl/worksheets/sheet43609.xml"/>
  <Override ContentType="application/vnd.openxmlformats-officedocument.spreadsheetml.worksheet+xml" PartName="/xl/worksheets/sheet43610.xml"/>
  <Override ContentType="application/vnd.openxmlformats-officedocument.spreadsheetml.worksheet+xml" PartName="/xl/worksheets/sheet43611.xml"/>
  <Override ContentType="application/vnd.openxmlformats-officedocument.spreadsheetml.worksheet+xml" PartName="/xl/worksheets/sheet43612.xml"/>
  <Override ContentType="application/vnd.openxmlformats-officedocument.spreadsheetml.worksheet+xml" PartName="/xl/worksheets/sheet43613.xml"/>
  <Override ContentType="application/vnd.openxmlformats-officedocument.spreadsheetml.worksheet+xml" PartName="/xl/worksheets/sheet43614.xml"/>
  <Override ContentType="application/vnd.openxmlformats-officedocument.spreadsheetml.worksheet+xml" PartName="/xl/worksheets/sheet43615.xml"/>
  <Override ContentType="application/vnd.openxmlformats-officedocument.spreadsheetml.worksheet+xml" PartName="/xl/worksheets/sheet43616.xml"/>
  <Override ContentType="application/vnd.openxmlformats-officedocument.spreadsheetml.worksheet+xml" PartName="/xl/worksheets/sheet43617.xml"/>
  <Override ContentType="application/vnd.openxmlformats-officedocument.spreadsheetml.worksheet+xml" PartName="/xl/worksheets/sheet43618.xml"/>
  <Override ContentType="application/vnd.openxmlformats-officedocument.spreadsheetml.worksheet+xml" PartName="/xl/worksheets/sheet43619.xml"/>
  <Override ContentType="application/vnd.openxmlformats-officedocument.spreadsheetml.worksheet+xml" PartName="/xl/worksheets/sheet43620.xml"/>
  <Override ContentType="application/vnd.openxmlformats-officedocument.spreadsheetml.worksheet+xml" PartName="/xl/worksheets/sheet43621.xml"/>
  <Override ContentType="application/vnd.openxmlformats-officedocument.spreadsheetml.worksheet+xml" PartName="/xl/worksheets/sheet43622.xml"/>
  <Override ContentType="application/vnd.openxmlformats-officedocument.spreadsheetml.worksheet+xml" PartName="/xl/worksheets/sheet43623.xml"/>
  <Override ContentType="application/vnd.openxmlformats-officedocument.spreadsheetml.worksheet+xml" PartName="/xl/worksheets/sheet43624.xml"/>
  <Override ContentType="application/vnd.openxmlformats-officedocument.spreadsheetml.worksheet+xml" PartName="/xl/worksheets/sheet43625.xml"/>
  <Override ContentType="application/vnd.openxmlformats-officedocument.spreadsheetml.worksheet+xml" PartName="/xl/worksheets/sheet43626.xml"/>
  <Override ContentType="application/vnd.openxmlformats-officedocument.spreadsheetml.worksheet+xml" PartName="/xl/worksheets/sheet43627.xml"/>
  <Override ContentType="application/vnd.openxmlformats-officedocument.spreadsheetml.worksheet+xml" PartName="/xl/worksheets/sheet43628.xml"/>
  <Override ContentType="application/vnd.openxmlformats-officedocument.spreadsheetml.worksheet+xml" PartName="/xl/worksheets/sheet43629.xml"/>
  <Override ContentType="application/vnd.openxmlformats-officedocument.spreadsheetml.worksheet+xml" PartName="/xl/worksheets/sheet43630.xml"/>
  <Override ContentType="application/vnd.openxmlformats-officedocument.spreadsheetml.worksheet+xml" PartName="/xl/worksheets/sheet43631.xml"/>
  <Override ContentType="application/vnd.openxmlformats-officedocument.spreadsheetml.worksheet+xml" PartName="/xl/worksheets/sheet43632.xml"/>
  <Override ContentType="application/vnd.openxmlformats-officedocument.spreadsheetml.worksheet+xml" PartName="/xl/worksheets/sheet43633.xml"/>
  <Override ContentType="application/vnd.openxmlformats-officedocument.spreadsheetml.worksheet+xml" PartName="/xl/worksheets/sheet43634.xml"/>
  <Override ContentType="application/vnd.openxmlformats-officedocument.spreadsheetml.worksheet+xml" PartName="/xl/worksheets/sheet43635.xml"/>
  <Override ContentType="application/vnd.openxmlformats-officedocument.spreadsheetml.worksheet+xml" PartName="/xl/worksheets/sheet43636.xml"/>
  <Override ContentType="application/vnd.openxmlformats-officedocument.spreadsheetml.worksheet+xml" PartName="/xl/worksheets/sheet43637.xml"/>
  <Override ContentType="application/vnd.openxmlformats-officedocument.spreadsheetml.worksheet+xml" PartName="/xl/worksheets/sheet43638.xml"/>
  <Override ContentType="application/vnd.openxmlformats-officedocument.spreadsheetml.worksheet+xml" PartName="/xl/worksheets/sheet43639.xml"/>
  <Override ContentType="application/vnd.openxmlformats-officedocument.spreadsheetml.worksheet+xml" PartName="/xl/worksheets/sheet43640.xml"/>
  <Override ContentType="application/vnd.openxmlformats-officedocument.spreadsheetml.worksheet+xml" PartName="/xl/worksheets/sheet43641.xml"/>
  <Override ContentType="application/vnd.openxmlformats-officedocument.spreadsheetml.worksheet+xml" PartName="/xl/worksheets/sheet43642.xml"/>
  <Override ContentType="application/vnd.openxmlformats-officedocument.spreadsheetml.worksheet+xml" PartName="/xl/worksheets/sheet43643.xml"/>
  <Override ContentType="application/vnd.openxmlformats-officedocument.spreadsheetml.worksheet+xml" PartName="/xl/worksheets/sheet43644.xml"/>
  <Override ContentType="application/vnd.openxmlformats-officedocument.spreadsheetml.worksheet+xml" PartName="/xl/worksheets/sheet43645.xml"/>
  <Override ContentType="application/vnd.openxmlformats-officedocument.spreadsheetml.worksheet+xml" PartName="/xl/worksheets/sheet43646.xml"/>
  <Override ContentType="application/vnd.openxmlformats-officedocument.spreadsheetml.worksheet+xml" PartName="/xl/worksheets/sheet43647.xml"/>
  <Override ContentType="application/vnd.openxmlformats-officedocument.spreadsheetml.worksheet+xml" PartName="/xl/worksheets/sheet43648.xml"/>
  <Override ContentType="application/vnd.openxmlformats-officedocument.spreadsheetml.worksheet+xml" PartName="/xl/worksheets/sheet43649.xml"/>
  <Override ContentType="application/vnd.openxmlformats-officedocument.spreadsheetml.worksheet+xml" PartName="/xl/worksheets/sheet43650.xml"/>
  <Override ContentType="application/vnd.openxmlformats-officedocument.spreadsheetml.worksheet+xml" PartName="/xl/worksheets/sheet43651.xml"/>
  <Override ContentType="application/vnd.openxmlformats-officedocument.spreadsheetml.worksheet+xml" PartName="/xl/worksheets/sheet43652.xml"/>
  <Override ContentType="application/vnd.openxmlformats-officedocument.spreadsheetml.worksheet+xml" PartName="/xl/worksheets/sheet43653.xml"/>
  <Override ContentType="application/vnd.openxmlformats-officedocument.spreadsheetml.worksheet+xml" PartName="/xl/worksheets/sheet43654.xml"/>
  <Override ContentType="application/vnd.openxmlformats-officedocument.spreadsheetml.worksheet+xml" PartName="/xl/worksheets/sheet43655.xml"/>
  <Override ContentType="application/vnd.openxmlformats-officedocument.spreadsheetml.worksheet+xml" PartName="/xl/worksheets/sheet43656.xml"/>
  <Override ContentType="application/vnd.openxmlformats-officedocument.spreadsheetml.worksheet+xml" PartName="/xl/worksheets/sheet43657.xml"/>
  <Override ContentType="application/vnd.openxmlformats-officedocument.spreadsheetml.worksheet+xml" PartName="/xl/worksheets/sheet43658.xml"/>
  <Override ContentType="application/vnd.openxmlformats-officedocument.spreadsheetml.worksheet+xml" PartName="/xl/worksheets/sheet43659.xml"/>
  <Override ContentType="application/vnd.openxmlformats-officedocument.spreadsheetml.worksheet+xml" PartName="/xl/worksheets/sheet43660.xml"/>
  <Override ContentType="application/vnd.openxmlformats-officedocument.spreadsheetml.worksheet+xml" PartName="/xl/worksheets/sheet43661.xml"/>
  <Override ContentType="application/vnd.openxmlformats-officedocument.spreadsheetml.worksheet+xml" PartName="/xl/worksheets/sheet43662.xml"/>
  <Override ContentType="application/vnd.openxmlformats-officedocument.spreadsheetml.worksheet+xml" PartName="/xl/worksheets/sheet43663.xml"/>
  <Override ContentType="application/vnd.openxmlformats-officedocument.spreadsheetml.worksheet+xml" PartName="/xl/worksheets/sheet43664.xml"/>
  <Override ContentType="application/vnd.openxmlformats-officedocument.spreadsheetml.worksheet+xml" PartName="/xl/worksheets/sheet43665.xml"/>
  <Override ContentType="application/vnd.openxmlformats-officedocument.spreadsheetml.worksheet+xml" PartName="/xl/worksheets/sheet43666.xml"/>
  <Override ContentType="application/vnd.openxmlformats-officedocument.spreadsheetml.worksheet+xml" PartName="/xl/worksheets/sheet43667.xml"/>
  <Override ContentType="application/vnd.openxmlformats-officedocument.spreadsheetml.worksheet+xml" PartName="/xl/worksheets/sheet43668.xml"/>
  <Override ContentType="application/vnd.openxmlformats-officedocument.spreadsheetml.worksheet+xml" PartName="/xl/worksheets/sheet43669.xml"/>
  <Override ContentType="application/vnd.openxmlformats-officedocument.spreadsheetml.worksheet+xml" PartName="/xl/worksheets/sheet43670.xml"/>
  <Override ContentType="application/vnd.openxmlformats-officedocument.spreadsheetml.worksheet+xml" PartName="/xl/worksheets/sheet43671.xml"/>
  <Override ContentType="application/vnd.openxmlformats-officedocument.spreadsheetml.worksheet+xml" PartName="/xl/worksheets/sheet43672.xml"/>
  <Override ContentType="application/vnd.openxmlformats-officedocument.spreadsheetml.worksheet+xml" PartName="/xl/worksheets/sheet43673.xml"/>
  <Override ContentType="application/vnd.openxmlformats-officedocument.spreadsheetml.worksheet+xml" PartName="/xl/worksheets/sheet43674.xml"/>
  <Override ContentType="application/vnd.openxmlformats-officedocument.spreadsheetml.worksheet+xml" PartName="/xl/worksheets/sheet43675.xml"/>
  <Override ContentType="application/vnd.openxmlformats-officedocument.spreadsheetml.worksheet+xml" PartName="/xl/worksheets/sheet43676.xml"/>
  <Override ContentType="application/vnd.openxmlformats-officedocument.spreadsheetml.worksheet+xml" PartName="/xl/worksheets/sheet43677.xml"/>
  <Override ContentType="application/vnd.openxmlformats-officedocument.spreadsheetml.worksheet+xml" PartName="/xl/worksheets/sheet43678.xml"/>
  <Override ContentType="application/vnd.openxmlformats-officedocument.spreadsheetml.worksheet+xml" PartName="/xl/worksheets/sheet43679.xml"/>
  <Override ContentType="application/vnd.openxmlformats-officedocument.spreadsheetml.worksheet+xml" PartName="/xl/worksheets/sheet43680.xml"/>
  <Override ContentType="application/vnd.openxmlformats-officedocument.spreadsheetml.worksheet+xml" PartName="/xl/worksheets/sheet43681.xml"/>
  <Override ContentType="application/vnd.openxmlformats-officedocument.spreadsheetml.worksheet+xml" PartName="/xl/worksheets/sheet43682.xml"/>
  <Override ContentType="application/vnd.openxmlformats-officedocument.spreadsheetml.worksheet+xml" PartName="/xl/worksheets/sheet43683.xml"/>
  <Override ContentType="application/vnd.openxmlformats-officedocument.spreadsheetml.worksheet+xml" PartName="/xl/worksheets/sheet43684.xml"/>
  <Override ContentType="application/vnd.openxmlformats-officedocument.spreadsheetml.worksheet+xml" PartName="/xl/worksheets/sheet43685.xml"/>
  <Override ContentType="application/vnd.openxmlformats-officedocument.spreadsheetml.worksheet+xml" PartName="/xl/worksheets/sheet43686.xml"/>
  <Override ContentType="application/vnd.openxmlformats-officedocument.spreadsheetml.worksheet+xml" PartName="/xl/worksheets/sheet43687.xml"/>
  <Override ContentType="application/vnd.openxmlformats-officedocument.spreadsheetml.worksheet+xml" PartName="/xl/worksheets/sheet43688.xml"/>
  <Override ContentType="application/vnd.openxmlformats-officedocument.spreadsheetml.worksheet+xml" PartName="/xl/worksheets/sheet43689.xml"/>
  <Override ContentType="application/vnd.openxmlformats-officedocument.spreadsheetml.worksheet+xml" PartName="/xl/worksheets/sheet43690.xml"/>
  <Override ContentType="application/vnd.openxmlformats-officedocument.spreadsheetml.worksheet+xml" PartName="/xl/worksheets/sheet43691.xml"/>
  <Override ContentType="application/vnd.openxmlformats-officedocument.spreadsheetml.worksheet+xml" PartName="/xl/worksheets/sheet43692.xml"/>
  <Override ContentType="application/vnd.openxmlformats-officedocument.spreadsheetml.worksheet+xml" PartName="/xl/worksheets/sheet43693.xml"/>
  <Override ContentType="application/vnd.openxmlformats-officedocument.spreadsheetml.worksheet+xml" PartName="/xl/worksheets/sheet43694.xml"/>
  <Override ContentType="application/vnd.openxmlformats-officedocument.spreadsheetml.worksheet+xml" PartName="/xl/worksheets/sheet43695.xml"/>
  <Override ContentType="application/vnd.openxmlformats-officedocument.spreadsheetml.worksheet+xml" PartName="/xl/worksheets/sheet43696.xml"/>
  <Override ContentType="application/vnd.openxmlformats-officedocument.spreadsheetml.worksheet+xml" PartName="/xl/worksheets/sheet43697.xml"/>
  <Override ContentType="application/vnd.openxmlformats-officedocument.spreadsheetml.worksheet+xml" PartName="/xl/worksheets/sheet43698.xml"/>
  <Override ContentType="application/vnd.openxmlformats-officedocument.spreadsheetml.worksheet+xml" PartName="/xl/worksheets/sheet43699.xml"/>
  <Override ContentType="application/vnd.openxmlformats-officedocument.spreadsheetml.worksheet+xml" PartName="/xl/worksheets/sheet43700.xml"/>
  <Override ContentType="application/vnd.openxmlformats-officedocument.spreadsheetml.worksheet+xml" PartName="/xl/worksheets/sheet43701.xml"/>
  <Override ContentType="application/vnd.openxmlformats-officedocument.spreadsheetml.worksheet+xml" PartName="/xl/worksheets/sheet43702.xml"/>
  <Override ContentType="application/vnd.openxmlformats-officedocument.spreadsheetml.worksheet+xml" PartName="/xl/worksheets/sheet43703.xml"/>
  <Override ContentType="application/vnd.openxmlformats-officedocument.spreadsheetml.worksheet+xml" PartName="/xl/worksheets/sheet43704.xml"/>
  <Override ContentType="application/vnd.openxmlformats-officedocument.spreadsheetml.worksheet+xml" PartName="/xl/worksheets/sheet43705.xml"/>
  <Override ContentType="application/vnd.openxmlformats-officedocument.spreadsheetml.worksheet+xml" PartName="/xl/worksheets/sheet43706.xml"/>
  <Override ContentType="application/vnd.openxmlformats-officedocument.spreadsheetml.worksheet+xml" PartName="/xl/worksheets/sheet43707.xml"/>
  <Override ContentType="application/vnd.openxmlformats-officedocument.spreadsheetml.worksheet+xml" PartName="/xl/worksheets/sheet43708.xml"/>
  <Override ContentType="application/vnd.openxmlformats-officedocument.spreadsheetml.worksheet+xml" PartName="/xl/worksheets/sheet43709.xml"/>
  <Override ContentType="application/vnd.openxmlformats-officedocument.spreadsheetml.worksheet+xml" PartName="/xl/worksheets/sheet43710.xml"/>
  <Override ContentType="application/vnd.openxmlformats-officedocument.spreadsheetml.worksheet+xml" PartName="/xl/worksheets/sheet43711.xml"/>
  <Override ContentType="application/vnd.openxmlformats-officedocument.spreadsheetml.worksheet+xml" PartName="/xl/worksheets/sheet43712.xml"/>
  <Override ContentType="application/vnd.openxmlformats-officedocument.spreadsheetml.worksheet+xml" PartName="/xl/worksheets/sheet43713.xml"/>
  <Override ContentType="application/vnd.openxmlformats-officedocument.spreadsheetml.worksheet+xml" PartName="/xl/worksheets/sheet43714.xml"/>
  <Override ContentType="application/vnd.openxmlformats-officedocument.spreadsheetml.worksheet+xml" PartName="/xl/worksheets/sheet43715.xml"/>
  <Override ContentType="application/vnd.openxmlformats-officedocument.spreadsheetml.worksheet+xml" PartName="/xl/worksheets/sheet43716.xml"/>
  <Override ContentType="application/vnd.openxmlformats-officedocument.spreadsheetml.worksheet+xml" PartName="/xl/worksheets/sheet43717.xml"/>
  <Override ContentType="application/vnd.openxmlformats-officedocument.spreadsheetml.worksheet+xml" PartName="/xl/worksheets/sheet43718.xml"/>
  <Override ContentType="application/vnd.openxmlformats-officedocument.spreadsheetml.worksheet+xml" PartName="/xl/worksheets/sheet43719.xml"/>
  <Override ContentType="application/vnd.openxmlformats-officedocument.spreadsheetml.worksheet+xml" PartName="/xl/worksheets/sheet43720.xml"/>
  <Override ContentType="application/vnd.openxmlformats-officedocument.spreadsheetml.worksheet+xml" PartName="/xl/worksheets/sheet43721.xml"/>
  <Override ContentType="application/vnd.openxmlformats-officedocument.spreadsheetml.worksheet+xml" PartName="/xl/worksheets/sheet43722.xml"/>
  <Override ContentType="application/vnd.openxmlformats-officedocument.spreadsheetml.worksheet+xml" PartName="/xl/worksheets/sheet43723.xml"/>
  <Override ContentType="application/vnd.openxmlformats-officedocument.spreadsheetml.worksheet+xml" PartName="/xl/worksheets/sheet43724.xml"/>
  <Override ContentType="application/vnd.openxmlformats-officedocument.spreadsheetml.worksheet+xml" PartName="/xl/worksheets/sheet43725.xml"/>
  <Override ContentType="application/vnd.openxmlformats-officedocument.spreadsheetml.worksheet+xml" PartName="/xl/worksheets/sheet43726.xml"/>
  <Override ContentType="application/vnd.openxmlformats-officedocument.spreadsheetml.worksheet+xml" PartName="/xl/worksheets/sheet43727.xml"/>
  <Override ContentType="application/vnd.openxmlformats-officedocument.spreadsheetml.worksheet+xml" PartName="/xl/worksheets/sheet43728.xml"/>
  <Override ContentType="application/vnd.openxmlformats-officedocument.spreadsheetml.worksheet+xml" PartName="/xl/worksheets/sheet43729.xml"/>
  <Override ContentType="application/vnd.openxmlformats-officedocument.spreadsheetml.worksheet+xml" PartName="/xl/worksheets/sheet43730.xml"/>
  <Override ContentType="application/vnd.openxmlformats-officedocument.spreadsheetml.worksheet+xml" PartName="/xl/worksheets/sheet43731.xml"/>
  <Override ContentType="application/vnd.openxmlformats-officedocument.spreadsheetml.worksheet+xml" PartName="/xl/worksheets/sheet43732.xml"/>
  <Override ContentType="application/vnd.openxmlformats-officedocument.spreadsheetml.worksheet+xml" PartName="/xl/worksheets/sheet43733.xml"/>
  <Override ContentType="application/vnd.openxmlformats-officedocument.spreadsheetml.worksheet+xml" PartName="/xl/worksheets/sheet43734.xml"/>
  <Override ContentType="application/vnd.openxmlformats-officedocument.spreadsheetml.worksheet+xml" PartName="/xl/worksheets/sheet43735.xml"/>
  <Override ContentType="application/vnd.openxmlformats-officedocument.spreadsheetml.worksheet+xml" PartName="/xl/worksheets/sheet43736.xml"/>
  <Override ContentType="application/vnd.openxmlformats-officedocument.spreadsheetml.worksheet+xml" PartName="/xl/worksheets/sheet43737.xml"/>
  <Override ContentType="application/vnd.openxmlformats-officedocument.spreadsheetml.worksheet+xml" PartName="/xl/worksheets/sheet43738.xml"/>
  <Override ContentType="application/vnd.openxmlformats-officedocument.spreadsheetml.worksheet+xml" PartName="/xl/worksheets/sheet43739.xml"/>
  <Override ContentType="application/vnd.openxmlformats-officedocument.spreadsheetml.worksheet+xml" PartName="/xl/worksheets/sheet43740.xml"/>
  <Override ContentType="application/vnd.openxmlformats-officedocument.spreadsheetml.worksheet+xml" PartName="/xl/worksheets/sheet43741.xml"/>
  <Override ContentType="application/vnd.openxmlformats-officedocument.spreadsheetml.worksheet+xml" PartName="/xl/worksheets/sheet43742.xml"/>
  <Override ContentType="application/vnd.openxmlformats-officedocument.spreadsheetml.worksheet+xml" PartName="/xl/worksheets/sheet43743.xml"/>
  <Override ContentType="application/vnd.openxmlformats-officedocument.spreadsheetml.worksheet+xml" PartName="/xl/worksheets/sheet43744.xml"/>
  <Override ContentType="application/vnd.openxmlformats-officedocument.spreadsheetml.worksheet+xml" PartName="/xl/worksheets/sheet43745.xml"/>
  <Override ContentType="application/vnd.openxmlformats-officedocument.spreadsheetml.worksheet+xml" PartName="/xl/worksheets/sheet43746.xml"/>
  <Override ContentType="application/vnd.openxmlformats-officedocument.spreadsheetml.worksheet+xml" PartName="/xl/worksheets/sheet43747.xml"/>
  <Override ContentType="application/vnd.openxmlformats-officedocument.spreadsheetml.worksheet+xml" PartName="/xl/worksheets/sheet43748.xml"/>
  <Override ContentType="application/vnd.openxmlformats-officedocument.spreadsheetml.worksheet+xml" PartName="/xl/worksheets/sheet43749.xml"/>
  <Override ContentType="application/vnd.openxmlformats-officedocument.spreadsheetml.worksheet+xml" PartName="/xl/worksheets/sheet43750.xml"/>
  <Override ContentType="application/vnd.openxmlformats-officedocument.spreadsheetml.worksheet+xml" PartName="/xl/worksheets/sheet43751.xml"/>
  <Override ContentType="application/vnd.openxmlformats-officedocument.spreadsheetml.worksheet+xml" PartName="/xl/worksheets/sheet43752.xml"/>
  <Override ContentType="application/vnd.openxmlformats-officedocument.spreadsheetml.worksheet+xml" PartName="/xl/worksheets/sheet43753.xml"/>
  <Override ContentType="application/vnd.openxmlformats-officedocument.spreadsheetml.worksheet+xml" PartName="/xl/worksheets/sheet43754.xml"/>
  <Override ContentType="application/vnd.openxmlformats-officedocument.spreadsheetml.worksheet+xml" PartName="/xl/worksheets/sheet43755.xml"/>
  <Override ContentType="application/vnd.openxmlformats-officedocument.spreadsheetml.worksheet+xml" PartName="/xl/worksheets/sheet43756.xml"/>
  <Override ContentType="application/vnd.openxmlformats-officedocument.spreadsheetml.worksheet+xml" PartName="/xl/worksheets/sheet43757.xml"/>
  <Override ContentType="application/vnd.openxmlformats-officedocument.spreadsheetml.worksheet+xml" PartName="/xl/worksheets/sheet43758.xml"/>
  <Override ContentType="application/vnd.openxmlformats-officedocument.spreadsheetml.worksheet+xml" PartName="/xl/worksheets/sheet43759.xml"/>
  <Override ContentType="application/vnd.openxmlformats-officedocument.spreadsheetml.worksheet+xml" PartName="/xl/worksheets/sheet43760.xml"/>
  <Override ContentType="application/vnd.openxmlformats-officedocument.spreadsheetml.worksheet+xml" PartName="/xl/worksheets/sheet43761.xml"/>
  <Override ContentType="application/vnd.openxmlformats-officedocument.spreadsheetml.worksheet+xml" PartName="/xl/worksheets/sheet43762.xml"/>
  <Override ContentType="application/vnd.openxmlformats-officedocument.spreadsheetml.worksheet+xml" PartName="/xl/worksheets/sheet43763.xml"/>
  <Override ContentType="application/vnd.openxmlformats-officedocument.spreadsheetml.worksheet+xml" PartName="/xl/worksheets/sheet43764.xml"/>
  <Override ContentType="application/vnd.openxmlformats-officedocument.spreadsheetml.worksheet+xml" PartName="/xl/worksheets/sheet43765.xml"/>
  <Override ContentType="application/vnd.openxmlformats-officedocument.spreadsheetml.worksheet+xml" PartName="/xl/worksheets/sheet43766.xml"/>
  <Override ContentType="application/vnd.openxmlformats-officedocument.spreadsheetml.worksheet+xml" PartName="/xl/worksheets/sheet43767.xml"/>
  <Override ContentType="application/vnd.openxmlformats-officedocument.spreadsheetml.worksheet+xml" PartName="/xl/worksheets/sheet43768.xml"/>
  <Override ContentType="application/vnd.openxmlformats-officedocument.spreadsheetml.worksheet+xml" PartName="/xl/worksheets/sheet43769.xml"/>
  <Override ContentType="application/vnd.openxmlformats-officedocument.spreadsheetml.worksheet+xml" PartName="/xl/worksheets/sheet43770.xml"/>
  <Override ContentType="application/vnd.openxmlformats-officedocument.spreadsheetml.worksheet+xml" PartName="/xl/worksheets/sheet43771.xml"/>
  <Override ContentType="application/vnd.openxmlformats-officedocument.spreadsheetml.worksheet+xml" PartName="/xl/worksheets/sheet43772.xml"/>
  <Override ContentType="application/vnd.openxmlformats-officedocument.spreadsheetml.worksheet+xml" PartName="/xl/worksheets/sheet43773.xml"/>
  <Override ContentType="application/vnd.openxmlformats-officedocument.spreadsheetml.worksheet+xml" PartName="/xl/worksheets/sheet43774.xml"/>
  <Override ContentType="application/vnd.openxmlformats-officedocument.spreadsheetml.worksheet+xml" PartName="/xl/worksheets/sheet43775.xml"/>
  <Override ContentType="application/vnd.openxmlformats-officedocument.spreadsheetml.worksheet+xml" PartName="/xl/worksheets/sheet43776.xml"/>
  <Override ContentType="application/vnd.openxmlformats-officedocument.spreadsheetml.worksheet+xml" PartName="/xl/worksheets/sheet43777.xml"/>
  <Override ContentType="application/vnd.openxmlformats-officedocument.spreadsheetml.worksheet+xml" PartName="/xl/worksheets/sheet43778.xml"/>
  <Override ContentType="application/vnd.openxmlformats-officedocument.spreadsheetml.worksheet+xml" PartName="/xl/worksheets/sheet43779.xml"/>
  <Override ContentType="application/vnd.openxmlformats-officedocument.spreadsheetml.worksheet+xml" PartName="/xl/worksheets/sheet43780.xml"/>
  <Override ContentType="application/vnd.openxmlformats-officedocument.spreadsheetml.worksheet+xml" PartName="/xl/worksheets/sheet43781.xml"/>
  <Override ContentType="application/vnd.openxmlformats-officedocument.spreadsheetml.worksheet+xml" PartName="/xl/worksheets/sheet43782.xml"/>
  <Override ContentType="application/vnd.openxmlformats-officedocument.spreadsheetml.worksheet+xml" PartName="/xl/worksheets/sheet43783.xml"/>
  <Override ContentType="application/vnd.openxmlformats-officedocument.spreadsheetml.worksheet+xml" PartName="/xl/worksheets/sheet43784.xml"/>
  <Override ContentType="application/vnd.openxmlformats-officedocument.spreadsheetml.worksheet+xml" PartName="/xl/worksheets/sheet43785.xml"/>
  <Override ContentType="application/vnd.openxmlformats-officedocument.spreadsheetml.worksheet+xml" PartName="/xl/worksheets/sheet43786.xml"/>
  <Override ContentType="application/vnd.openxmlformats-officedocument.spreadsheetml.worksheet+xml" PartName="/xl/worksheets/sheet43787.xml"/>
  <Override ContentType="application/vnd.openxmlformats-officedocument.spreadsheetml.worksheet+xml" PartName="/xl/worksheets/sheet43788.xml"/>
  <Override ContentType="application/vnd.openxmlformats-officedocument.spreadsheetml.worksheet+xml" PartName="/xl/worksheets/sheet43789.xml"/>
  <Override ContentType="application/vnd.openxmlformats-officedocument.spreadsheetml.worksheet+xml" PartName="/xl/worksheets/sheet43790.xml"/>
  <Override ContentType="application/vnd.openxmlformats-officedocument.spreadsheetml.worksheet+xml" PartName="/xl/worksheets/sheet43791.xml"/>
  <Override ContentType="application/vnd.openxmlformats-officedocument.spreadsheetml.worksheet+xml" PartName="/xl/worksheets/sheet43792.xml"/>
  <Override ContentType="application/vnd.openxmlformats-officedocument.spreadsheetml.worksheet+xml" PartName="/xl/worksheets/sheet43793.xml"/>
  <Override ContentType="application/vnd.openxmlformats-officedocument.spreadsheetml.worksheet+xml" PartName="/xl/worksheets/sheet43794.xml"/>
  <Override ContentType="application/vnd.openxmlformats-officedocument.spreadsheetml.worksheet+xml" PartName="/xl/worksheets/sheet43795.xml"/>
  <Override ContentType="application/vnd.openxmlformats-officedocument.spreadsheetml.worksheet+xml" PartName="/xl/worksheets/sheet43796.xml"/>
  <Override ContentType="application/vnd.openxmlformats-officedocument.spreadsheetml.worksheet+xml" PartName="/xl/worksheets/sheet43797.xml"/>
  <Override ContentType="application/vnd.openxmlformats-officedocument.spreadsheetml.worksheet+xml" PartName="/xl/worksheets/sheet43798.xml"/>
  <Override ContentType="application/vnd.openxmlformats-officedocument.spreadsheetml.worksheet+xml" PartName="/xl/worksheets/sheet43799.xml"/>
  <Override ContentType="application/vnd.openxmlformats-officedocument.spreadsheetml.worksheet+xml" PartName="/xl/worksheets/sheet43800.xml"/>
  <Override ContentType="application/vnd.openxmlformats-officedocument.spreadsheetml.worksheet+xml" PartName="/xl/worksheets/sheet43801.xml"/>
  <Override ContentType="application/vnd.openxmlformats-officedocument.spreadsheetml.worksheet+xml" PartName="/xl/worksheets/sheet43802.xml"/>
  <Override ContentType="application/vnd.openxmlformats-officedocument.spreadsheetml.worksheet+xml" PartName="/xl/worksheets/sheet43803.xml"/>
  <Override ContentType="application/vnd.openxmlformats-officedocument.spreadsheetml.worksheet+xml" PartName="/xl/worksheets/sheet43804.xml"/>
  <Override ContentType="application/vnd.openxmlformats-officedocument.spreadsheetml.worksheet+xml" PartName="/xl/worksheets/sheet43805.xml"/>
  <Override ContentType="application/vnd.openxmlformats-officedocument.spreadsheetml.worksheet+xml" PartName="/xl/worksheets/sheet43806.xml"/>
  <Override ContentType="application/vnd.openxmlformats-officedocument.spreadsheetml.worksheet+xml" PartName="/xl/worksheets/sheet43807.xml"/>
  <Override ContentType="application/vnd.openxmlformats-officedocument.spreadsheetml.worksheet+xml" PartName="/xl/worksheets/sheet43808.xml"/>
  <Override ContentType="application/vnd.openxmlformats-officedocument.spreadsheetml.worksheet+xml" PartName="/xl/worksheets/sheet43809.xml"/>
  <Override ContentType="application/vnd.openxmlformats-officedocument.spreadsheetml.worksheet+xml" PartName="/xl/worksheets/sheet43810.xml"/>
  <Override ContentType="application/vnd.openxmlformats-officedocument.spreadsheetml.worksheet+xml" PartName="/xl/worksheets/sheet43811.xml"/>
  <Override ContentType="application/vnd.openxmlformats-officedocument.spreadsheetml.worksheet+xml" PartName="/xl/worksheets/sheet43812.xml"/>
  <Override ContentType="application/vnd.openxmlformats-officedocument.spreadsheetml.worksheet+xml" PartName="/xl/worksheets/sheet43813.xml"/>
  <Override ContentType="application/vnd.openxmlformats-officedocument.spreadsheetml.worksheet+xml" PartName="/xl/worksheets/sheet43814.xml"/>
  <Override ContentType="application/vnd.openxmlformats-officedocument.spreadsheetml.worksheet+xml" PartName="/xl/worksheets/sheet43815.xml"/>
  <Override ContentType="application/vnd.openxmlformats-officedocument.spreadsheetml.worksheet+xml" PartName="/xl/worksheets/sheet43816.xml"/>
  <Override ContentType="application/vnd.openxmlformats-officedocument.spreadsheetml.worksheet+xml" PartName="/xl/worksheets/sheet43817.xml"/>
  <Override ContentType="application/vnd.openxmlformats-officedocument.spreadsheetml.worksheet+xml" PartName="/xl/worksheets/sheet43818.xml"/>
  <Override ContentType="application/vnd.openxmlformats-officedocument.spreadsheetml.worksheet+xml" PartName="/xl/worksheets/sheet43819.xml"/>
  <Override ContentType="application/vnd.openxmlformats-officedocument.spreadsheetml.worksheet+xml" PartName="/xl/worksheets/sheet43820.xml"/>
  <Override ContentType="application/vnd.openxmlformats-officedocument.spreadsheetml.worksheet+xml" PartName="/xl/worksheets/sheet43821.xml"/>
  <Override ContentType="application/vnd.openxmlformats-officedocument.spreadsheetml.worksheet+xml" PartName="/xl/worksheets/sheet43822.xml"/>
  <Override ContentType="application/vnd.openxmlformats-officedocument.spreadsheetml.worksheet+xml" PartName="/xl/worksheets/sheet43823.xml"/>
  <Override ContentType="application/vnd.openxmlformats-officedocument.spreadsheetml.worksheet+xml" PartName="/xl/worksheets/sheet43824.xml"/>
  <Override ContentType="application/vnd.openxmlformats-officedocument.spreadsheetml.worksheet+xml" PartName="/xl/worksheets/sheet43825.xml"/>
  <Override ContentType="application/vnd.openxmlformats-officedocument.spreadsheetml.worksheet+xml" PartName="/xl/worksheets/sheet43826.xml"/>
  <Override ContentType="application/vnd.openxmlformats-officedocument.spreadsheetml.worksheet+xml" PartName="/xl/worksheets/sheet43827.xml"/>
  <Override ContentType="application/vnd.openxmlformats-officedocument.spreadsheetml.worksheet+xml" PartName="/xl/worksheets/sheet43828.xml"/>
  <Override ContentType="application/vnd.openxmlformats-officedocument.spreadsheetml.worksheet+xml" PartName="/xl/worksheets/sheet43829.xml"/>
  <Override ContentType="application/vnd.openxmlformats-officedocument.spreadsheetml.worksheet+xml" PartName="/xl/worksheets/sheet43830.xml"/>
  <Override ContentType="application/vnd.openxmlformats-officedocument.spreadsheetml.worksheet+xml" PartName="/xl/worksheets/sheet43831.xml"/>
  <Override ContentType="application/vnd.openxmlformats-officedocument.spreadsheetml.worksheet+xml" PartName="/xl/worksheets/sheet43832.xml"/>
  <Override ContentType="application/vnd.openxmlformats-officedocument.spreadsheetml.worksheet+xml" PartName="/xl/worksheets/sheet43833.xml"/>
  <Override ContentType="application/vnd.openxmlformats-officedocument.spreadsheetml.worksheet+xml" PartName="/xl/worksheets/sheet43834.xml"/>
  <Override ContentType="application/vnd.openxmlformats-officedocument.spreadsheetml.worksheet+xml" PartName="/xl/worksheets/sheet43835.xml"/>
  <Override ContentType="application/vnd.openxmlformats-officedocument.spreadsheetml.worksheet+xml" PartName="/xl/worksheets/sheet43836.xml"/>
  <Override ContentType="application/vnd.openxmlformats-officedocument.spreadsheetml.worksheet+xml" PartName="/xl/worksheets/sheet43837.xml"/>
  <Override ContentType="application/vnd.openxmlformats-officedocument.spreadsheetml.worksheet+xml" PartName="/xl/worksheets/sheet43838.xml"/>
  <Override ContentType="application/vnd.openxmlformats-officedocument.spreadsheetml.worksheet+xml" PartName="/xl/worksheets/sheet43839.xml"/>
  <Override ContentType="application/vnd.openxmlformats-officedocument.spreadsheetml.worksheet+xml" PartName="/xl/worksheets/sheet43840.xml"/>
  <Override ContentType="application/vnd.openxmlformats-officedocument.spreadsheetml.worksheet+xml" PartName="/xl/worksheets/sheet43841.xml"/>
  <Override ContentType="application/vnd.openxmlformats-officedocument.spreadsheetml.worksheet+xml" PartName="/xl/worksheets/sheet43842.xml"/>
  <Override ContentType="application/vnd.openxmlformats-officedocument.spreadsheetml.worksheet+xml" PartName="/xl/worksheets/sheet43843.xml"/>
  <Override ContentType="application/vnd.openxmlformats-officedocument.spreadsheetml.worksheet+xml" PartName="/xl/worksheets/sheet43844.xml"/>
  <Override ContentType="application/vnd.openxmlformats-officedocument.spreadsheetml.worksheet+xml" PartName="/xl/worksheets/sheet43845.xml"/>
  <Override ContentType="application/vnd.openxmlformats-officedocument.spreadsheetml.worksheet+xml" PartName="/xl/worksheets/sheet43846.xml"/>
  <Override ContentType="application/vnd.openxmlformats-officedocument.spreadsheetml.worksheet+xml" PartName="/xl/worksheets/sheet43847.xml"/>
  <Override ContentType="application/vnd.openxmlformats-officedocument.spreadsheetml.worksheet+xml" PartName="/xl/worksheets/sheet43848.xml"/>
  <Override ContentType="application/vnd.openxmlformats-officedocument.spreadsheetml.worksheet+xml" PartName="/xl/worksheets/sheet43849.xml"/>
  <Override ContentType="application/vnd.openxmlformats-officedocument.spreadsheetml.worksheet+xml" PartName="/xl/worksheets/sheet43850.xml"/>
  <Override ContentType="application/vnd.openxmlformats-officedocument.spreadsheetml.worksheet+xml" PartName="/xl/worksheets/sheet43851.xml"/>
  <Override ContentType="application/vnd.openxmlformats-officedocument.spreadsheetml.worksheet+xml" PartName="/xl/worksheets/sheet43852.xml"/>
  <Override ContentType="application/vnd.openxmlformats-officedocument.spreadsheetml.worksheet+xml" PartName="/xl/worksheets/sheet43853.xml"/>
  <Override ContentType="application/vnd.openxmlformats-officedocument.spreadsheetml.worksheet+xml" PartName="/xl/worksheets/sheet43854.xml"/>
  <Override ContentType="application/vnd.openxmlformats-officedocument.spreadsheetml.worksheet+xml" PartName="/xl/worksheets/sheet43855.xml"/>
  <Override ContentType="application/vnd.openxmlformats-officedocument.spreadsheetml.worksheet+xml" PartName="/xl/worksheets/sheet43856.xml"/>
  <Override ContentType="application/vnd.openxmlformats-officedocument.spreadsheetml.worksheet+xml" PartName="/xl/worksheets/sheet43857.xml"/>
  <Override ContentType="application/vnd.openxmlformats-officedocument.spreadsheetml.worksheet+xml" PartName="/xl/worksheets/sheet43858.xml"/>
  <Override ContentType="application/vnd.openxmlformats-officedocument.spreadsheetml.worksheet+xml" PartName="/xl/worksheets/sheet43859.xml"/>
  <Override ContentType="application/vnd.openxmlformats-officedocument.spreadsheetml.worksheet+xml" PartName="/xl/worksheets/sheet43860.xml"/>
  <Override ContentType="application/vnd.openxmlformats-officedocument.spreadsheetml.worksheet+xml" PartName="/xl/worksheets/sheet43861.xml"/>
  <Override ContentType="application/vnd.openxmlformats-officedocument.spreadsheetml.worksheet+xml" PartName="/xl/worksheets/sheet43862.xml"/>
  <Override ContentType="application/vnd.openxmlformats-officedocument.spreadsheetml.worksheet+xml" PartName="/xl/worksheets/sheet43863.xml"/>
  <Override ContentType="application/vnd.openxmlformats-officedocument.spreadsheetml.worksheet+xml" PartName="/xl/worksheets/sheet43864.xml"/>
  <Override ContentType="application/vnd.openxmlformats-officedocument.spreadsheetml.worksheet+xml" PartName="/xl/worksheets/sheet43865.xml"/>
  <Override ContentType="application/vnd.openxmlformats-officedocument.spreadsheetml.worksheet+xml" PartName="/xl/worksheets/sheet43866.xml"/>
  <Override ContentType="application/vnd.openxmlformats-officedocument.spreadsheetml.worksheet+xml" PartName="/xl/worksheets/sheet43867.xml"/>
  <Override ContentType="application/vnd.openxmlformats-officedocument.spreadsheetml.worksheet+xml" PartName="/xl/worksheets/sheet43868.xml"/>
  <Override ContentType="application/vnd.openxmlformats-officedocument.spreadsheetml.worksheet+xml" PartName="/xl/worksheets/sheet43869.xml"/>
  <Override ContentType="application/vnd.openxmlformats-officedocument.spreadsheetml.worksheet+xml" PartName="/xl/worksheets/sheet43870.xml"/>
  <Override ContentType="application/vnd.openxmlformats-officedocument.spreadsheetml.worksheet+xml" PartName="/xl/worksheets/sheet43871.xml"/>
  <Override ContentType="application/vnd.openxmlformats-officedocument.spreadsheetml.worksheet+xml" PartName="/xl/worksheets/sheet43872.xml"/>
  <Override ContentType="application/vnd.openxmlformats-officedocument.spreadsheetml.worksheet+xml" PartName="/xl/worksheets/sheet43873.xml"/>
  <Override ContentType="application/vnd.openxmlformats-officedocument.spreadsheetml.worksheet+xml" PartName="/xl/worksheets/sheet43874.xml"/>
  <Override ContentType="application/vnd.openxmlformats-officedocument.spreadsheetml.worksheet+xml" PartName="/xl/worksheets/sheet43875.xml"/>
  <Override ContentType="application/vnd.openxmlformats-officedocument.spreadsheetml.worksheet+xml" PartName="/xl/worksheets/sheet43876.xml"/>
  <Override ContentType="application/vnd.openxmlformats-officedocument.spreadsheetml.worksheet+xml" PartName="/xl/worksheets/sheet43877.xml"/>
  <Override ContentType="application/vnd.openxmlformats-officedocument.spreadsheetml.worksheet+xml" PartName="/xl/worksheets/sheet43878.xml"/>
  <Override ContentType="application/vnd.openxmlformats-officedocument.spreadsheetml.worksheet+xml" PartName="/xl/worksheets/sheet43879.xml"/>
  <Override ContentType="application/vnd.openxmlformats-officedocument.spreadsheetml.worksheet+xml" PartName="/xl/worksheets/sheet43880.xml"/>
  <Override ContentType="application/vnd.openxmlformats-officedocument.spreadsheetml.worksheet+xml" PartName="/xl/worksheets/sheet43881.xml"/>
  <Override ContentType="application/vnd.openxmlformats-officedocument.spreadsheetml.worksheet+xml" PartName="/xl/worksheets/sheet43882.xml"/>
  <Override ContentType="application/vnd.openxmlformats-officedocument.spreadsheetml.worksheet+xml" PartName="/xl/worksheets/sheet43883.xml"/>
  <Override ContentType="application/vnd.openxmlformats-officedocument.spreadsheetml.worksheet+xml" PartName="/xl/worksheets/sheet43884.xml"/>
  <Override ContentType="application/vnd.openxmlformats-officedocument.spreadsheetml.worksheet+xml" PartName="/xl/worksheets/sheet43885.xml"/>
  <Override ContentType="application/vnd.openxmlformats-officedocument.spreadsheetml.worksheet+xml" PartName="/xl/worksheets/sheet43886.xml"/>
  <Override ContentType="application/vnd.openxmlformats-officedocument.spreadsheetml.worksheet+xml" PartName="/xl/worksheets/sheet43887.xml"/>
  <Override ContentType="application/vnd.openxmlformats-officedocument.spreadsheetml.worksheet+xml" PartName="/xl/worksheets/sheet43888.xml"/>
  <Override ContentType="application/vnd.openxmlformats-officedocument.spreadsheetml.worksheet+xml" PartName="/xl/worksheets/sheet43889.xml"/>
  <Override ContentType="application/vnd.openxmlformats-officedocument.spreadsheetml.worksheet+xml" PartName="/xl/worksheets/sheet43890.xml"/>
  <Override ContentType="application/vnd.openxmlformats-officedocument.spreadsheetml.worksheet+xml" PartName="/xl/worksheets/sheet43891.xml"/>
  <Override ContentType="application/vnd.openxmlformats-officedocument.spreadsheetml.worksheet+xml" PartName="/xl/worksheets/sheet43892.xml"/>
  <Override ContentType="application/vnd.openxmlformats-officedocument.spreadsheetml.worksheet+xml" PartName="/xl/worksheets/sheet43893.xml"/>
  <Override ContentType="application/vnd.openxmlformats-officedocument.spreadsheetml.worksheet+xml" PartName="/xl/worksheets/sheet43894.xml"/>
  <Override ContentType="application/vnd.openxmlformats-officedocument.spreadsheetml.worksheet+xml" PartName="/xl/worksheets/sheet43895.xml"/>
  <Override ContentType="application/vnd.openxmlformats-officedocument.spreadsheetml.worksheet+xml" PartName="/xl/worksheets/sheet43896.xml"/>
  <Override ContentType="application/vnd.openxmlformats-officedocument.spreadsheetml.worksheet+xml" PartName="/xl/worksheets/sheet43897.xml"/>
  <Override ContentType="application/vnd.openxmlformats-officedocument.spreadsheetml.worksheet+xml" PartName="/xl/worksheets/sheet43898.xml"/>
  <Override ContentType="application/vnd.openxmlformats-officedocument.spreadsheetml.worksheet+xml" PartName="/xl/worksheets/sheet43899.xml"/>
  <Override ContentType="application/vnd.openxmlformats-officedocument.spreadsheetml.worksheet+xml" PartName="/xl/worksheets/sheet43900.xml"/>
  <Override ContentType="application/vnd.openxmlformats-officedocument.spreadsheetml.worksheet+xml" PartName="/xl/worksheets/sheet43901.xml"/>
  <Override ContentType="application/vnd.openxmlformats-officedocument.spreadsheetml.worksheet+xml" PartName="/xl/worksheets/sheet43902.xml"/>
  <Override ContentType="application/vnd.openxmlformats-officedocument.spreadsheetml.worksheet+xml" PartName="/xl/worksheets/sheet43903.xml"/>
  <Override ContentType="application/vnd.openxmlformats-officedocument.spreadsheetml.worksheet+xml" PartName="/xl/worksheets/sheet43904.xml"/>
  <Override ContentType="application/vnd.openxmlformats-officedocument.spreadsheetml.worksheet+xml" PartName="/xl/worksheets/sheet43905.xml"/>
  <Override ContentType="application/vnd.openxmlformats-officedocument.spreadsheetml.worksheet+xml" PartName="/xl/worksheets/sheet43906.xml"/>
  <Override ContentType="application/vnd.openxmlformats-officedocument.spreadsheetml.worksheet+xml" PartName="/xl/worksheets/sheet43907.xml"/>
  <Override ContentType="application/vnd.openxmlformats-officedocument.spreadsheetml.worksheet+xml" PartName="/xl/worksheets/sheet43908.xml"/>
  <Override ContentType="application/vnd.openxmlformats-officedocument.spreadsheetml.worksheet+xml" PartName="/xl/worksheets/sheet43909.xml"/>
  <Override ContentType="application/vnd.openxmlformats-officedocument.spreadsheetml.worksheet+xml" PartName="/xl/worksheets/sheet43910.xml"/>
  <Override ContentType="application/vnd.openxmlformats-officedocument.spreadsheetml.worksheet+xml" PartName="/xl/worksheets/sheet43911.xml"/>
  <Override ContentType="application/vnd.openxmlformats-officedocument.spreadsheetml.worksheet+xml" PartName="/xl/worksheets/sheet43912.xml"/>
  <Override ContentType="application/vnd.openxmlformats-officedocument.spreadsheetml.worksheet+xml" PartName="/xl/worksheets/sheet43913.xml"/>
  <Override ContentType="application/vnd.openxmlformats-officedocument.spreadsheetml.worksheet+xml" PartName="/xl/worksheets/sheet43914.xml"/>
  <Override ContentType="application/vnd.openxmlformats-officedocument.spreadsheetml.worksheet+xml" PartName="/xl/worksheets/sheet43915.xml"/>
  <Override ContentType="application/vnd.openxmlformats-officedocument.spreadsheetml.worksheet+xml" PartName="/xl/worksheets/sheet43916.xml"/>
  <Override ContentType="application/vnd.openxmlformats-officedocument.spreadsheetml.worksheet+xml" PartName="/xl/worksheets/sheet43917.xml"/>
  <Override ContentType="application/vnd.openxmlformats-officedocument.spreadsheetml.worksheet+xml" PartName="/xl/worksheets/sheet43918.xml"/>
  <Override ContentType="application/vnd.openxmlformats-officedocument.spreadsheetml.worksheet+xml" PartName="/xl/worksheets/sheet43919.xml"/>
  <Override ContentType="application/vnd.openxmlformats-officedocument.spreadsheetml.worksheet+xml" PartName="/xl/worksheets/sheet43920.xml"/>
  <Override ContentType="application/vnd.openxmlformats-officedocument.spreadsheetml.worksheet+xml" PartName="/xl/worksheets/sheet43921.xml"/>
  <Override ContentType="application/vnd.openxmlformats-officedocument.spreadsheetml.worksheet+xml" PartName="/xl/worksheets/sheet43922.xml"/>
  <Override ContentType="application/vnd.openxmlformats-officedocument.spreadsheetml.worksheet+xml" PartName="/xl/worksheets/sheet43923.xml"/>
  <Override ContentType="application/vnd.openxmlformats-officedocument.spreadsheetml.worksheet+xml" PartName="/xl/worksheets/sheet43924.xml"/>
  <Override ContentType="application/vnd.openxmlformats-officedocument.spreadsheetml.worksheet+xml" PartName="/xl/worksheets/sheet43925.xml"/>
  <Override ContentType="application/vnd.openxmlformats-officedocument.spreadsheetml.worksheet+xml" PartName="/xl/worksheets/sheet43926.xml"/>
  <Override ContentType="application/vnd.openxmlformats-officedocument.spreadsheetml.worksheet+xml" PartName="/xl/worksheets/sheet43927.xml"/>
  <Override ContentType="application/vnd.openxmlformats-officedocument.spreadsheetml.worksheet+xml" PartName="/xl/worksheets/sheet43928.xml"/>
  <Override ContentType="application/vnd.openxmlformats-officedocument.spreadsheetml.worksheet+xml" PartName="/xl/worksheets/sheet43929.xml"/>
  <Override ContentType="application/vnd.openxmlformats-officedocument.spreadsheetml.worksheet+xml" PartName="/xl/worksheets/sheet43930.xml"/>
  <Override ContentType="application/vnd.openxmlformats-officedocument.spreadsheetml.worksheet+xml" PartName="/xl/worksheets/sheet43931.xml"/>
  <Override ContentType="application/vnd.openxmlformats-officedocument.spreadsheetml.worksheet+xml" PartName="/xl/worksheets/sheet43932.xml"/>
  <Override ContentType="application/vnd.openxmlformats-officedocument.spreadsheetml.worksheet+xml" PartName="/xl/worksheets/sheet43933.xml"/>
  <Override ContentType="application/vnd.openxmlformats-officedocument.spreadsheetml.worksheet+xml" PartName="/xl/worksheets/sheet43934.xml"/>
  <Override ContentType="application/vnd.openxmlformats-officedocument.spreadsheetml.worksheet+xml" PartName="/xl/worksheets/sheet43935.xml"/>
  <Override ContentType="application/vnd.openxmlformats-officedocument.spreadsheetml.worksheet+xml" PartName="/xl/worksheets/sheet43936.xml"/>
  <Override ContentType="application/vnd.openxmlformats-officedocument.spreadsheetml.worksheet+xml" PartName="/xl/worksheets/sheet43937.xml"/>
  <Override ContentType="application/vnd.openxmlformats-officedocument.spreadsheetml.worksheet+xml" PartName="/xl/worksheets/sheet43938.xml"/>
  <Override ContentType="application/vnd.openxmlformats-officedocument.spreadsheetml.worksheet+xml" PartName="/xl/worksheets/sheet43939.xml"/>
  <Override ContentType="application/vnd.openxmlformats-officedocument.spreadsheetml.worksheet+xml" PartName="/xl/worksheets/sheet43940.xml"/>
  <Override ContentType="application/vnd.openxmlformats-officedocument.spreadsheetml.worksheet+xml" PartName="/xl/worksheets/sheet43941.xml"/>
  <Override ContentType="application/vnd.openxmlformats-officedocument.spreadsheetml.worksheet+xml" PartName="/xl/worksheets/sheet43942.xml"/>
  <Override ContentType="application/vnd.openxmlformats-officedocument.spreadsheetml.worksheet+xml" PartName="/xl/worksheets/sheet43943.xml"/>
  <Override ContentType="application/vnd.openxmlformats-officedocument.spreadsheetml.worksheet+xml" PartName="/xl/worksheets/sheet43944.xml"/>
  <Override ContentType="application/vnd.openxmlformats-officedocument.spreadsheetml.worksheet+xml" PartName="/xl/worksheets/sheet43945.xml"/>
  <Override ContentType="application/vnd.openxmlformats-officedocument.spreadsheetml.worksheet+xml" PartName="/xl/worksheets/sheet43946.xml"/>
  <Override ContentType="application/vnd.openxmlformats-officedocument.spreadsheetml.worksheet+xml" PartName="/xl/worksheets/sheet43947.xml"/>
  <Override ContentType="application/vnd.openxmlformats-officedocument.spreadsheetml.worksheet+xml" PartName="/xl/worksheets/sheet43948.xml"/>
  <Override ContentType="application/vnd.openxmlformats-officedocument.spreadsheetml.worksheet+xml" PartName="/xl/worksheets/sheet43949.xml"/>
  <Override ContentType="application/vnd.openxmlformats-officedocument.spreadsheetml.worksheet+xml" PartName="/xl/worksheets/sheet43950.xml"/>
  <Override ContentType="application/vnd.openxmlformats-officedocument.spreadsheetml.worksheet+xml" PartName="/xl/worksheets/sheet43951.xml"/>
  <Override ContentType="application/vnd.openxmlformats-officedocument.spreadsheetml.worksheet+xml" PartName="/xl/worksheets/sheet43952.xml"/>
  <Override ContentType="application/vnd.openxmlformats-officedocument.spreadsheetml.worksheet+xml" PartName="/xl/worksheets/sheet43953.xml"/>
  <Override ContentType="application/vnd.openxmlformats-officedocument.spreadsheetml.worksheet+xml" PartName="/xl/worksheets/sheet43954.xml"/>
  <Override ContentType="application/vnd.openxmlformats-officedocument.spreadsheetml.worksheet+xml" PartName="/xl/worksheets/sheet43955.xml"/>
  <Override ContentType="application/vnd.openxmlformats-officedocument.spreadsheetml.worksheet+xml" PartName="/xl/worksheets/sheet43956.xml"/>
  <Override ContentType="application/vnd.openxmlformats-officedocument.spreadsheetml.worksheet+xml" PartName="/xl/worksheets/sheet43957.xml"/>
  <Override ContentType="application/vnd.openxmlformats-officedocument.spreadsheetml.worksheet+xml" PartName="/xl/worksheets/sheet43958.xml"/>
  <Override ContentType="application/vnd.openxmlformats-officedocument.spreadsheetml.worksheet+xml" PartName="/xl/worksheets/sheet43959.xml"/>
  <Override ContentType="application/vnd.openxmlformats-officedocument.spreadsheetml.worksheet+xml" PartName="/xl/worksheets/sheet43960.xml"/>
  <Override ContentType="application/vnd.openxmlformats-officedocument.spreadsheetml.worksheet+xml" PartName="/xl/worksheets/sheet43961.xml"/>
  <Override ContentType="application/vnd.openxmlformats-officedocument.spreadsheetml.worksheet+xml" PartName="/xl/worksheets/sheet43962.xml"/>
  <Override ContentType="application/vnd.openxmlformats-officedocument.spreadsheetml.worksheet+xml" PartName="/xl/worksheets/sheet43963.xml"/>
  <Override ContentType="application/vnd.openxmlformats-officedocument.spreadsheetml.worksheet+xml" PartName="/xl/worksheets/sheet43964.xml"/>
  <Override ContentType="application/vnd.openxmlformats-officedocument.spreadsheetml.worksheet+xml" PartName="/xl/worksheets/sheet43965.xml"/>
  <Override ContentType="application/vnd.openxmlformats-officedocument.spreadsheetml.worksheet+xml" PartName="/xl/worksheets/sheet43966.xml"/>
  <Override ContentType="application/vnd.openxmlformats-officedocument.spreadsheetml.worksheet+xml" PartName="/xl/worksheets/sheet43967.xml"/>
  <Override ContentType="application/vnd.openxmlformats-officedocument.spreadsheetml.worksheet+xml" PartName="/xl/worksheets/sheet43968.xml"/>
  <Override ContentType="application/vnd.openxmlformats-officedocument.spreadsheetml.worksheet+xml" PartName="/xl/worksheets/sheet43969.xml"/>
  <Override ContentType="application/vnd.openxmlformats-officedocument.spreadsheetml.worksheet+xml" PartName="/xl/worksheets/sheet43970.xml"/>
  <Override ContentType="application/vnd.openxmlformats-officedocument.spreadsheetml.worksheet+xml" PartName="/xl/worksheets/sheet43971.xml"/>
  <Override ContentType="application/vnd.openxmlformats-officedocument.spreadsheetml.worksheet+xml" PartName="/xl/worksheets/sheet43972.xml"/>
  <Override ContentType="application/vnd.openxmlformats-officedocument.spreadsheetml.worksheet+xml" PartName="/xl/worksheets/sheet43973.xml"/>
  <Override ContentType="application/vnd.openxmlformats-officedocument.spreadsheetml.worksheet+xml" PartName="/xl/worksheets/sheet43974.xml"/>
  <Override ContentType="application/vnd.openxmlformats-officedocument.spreadsheetml.worksheet+xml" PartName="/xl/worksheets/sheet43975.xml"/>
  <Override ContentType="application/vnd.openxmlformats-officedocument.spreadsheetml.worksheet+xml" PartName="/xl/worksheets/sheet43976.xml"/>
  <Override ContentType="application/vnd.openxmlformats-officedocument.spreadsheetml.worksheet+xml" PartName="/xl/worksheets/sheet43977.xml"/>
  <Override ContentType="application/vnd.openxmlformats-officedocument.spreadsheetml.worksheet+xml" PartName="/xl/worksheets/sheet43978.xml"/>
  <Override ContentType="application/vnd.openxmlformats-officedocument.spreadsheetml.worksheet+xml" PartName="/xl/worksheets/sheet43979.xml"/>
  <Override ContentType="application/vnd.openxmlformats-officedocument.spreadsheetml.worksheet+xml" PartName="/xl/worksheets/sheet43980.xml"/>
  <Override ContentType="application/vnd.openxmlformats-officedocument.spreadsheetml.worksheet+xml" PartName="/xl/worksheets/sheet43981.xml"/>
  <Override ContentType="application/vnd.openxmlformats-officedocument.spreadsheetml.worksheet+xml" PartName="/xl/worksheets/sheet43982.xml"/>
  <Override ContentType="application/vnd.openxmlformats-officedocument.spreadsheetml.worksheet+xml" PartName="/xl/worksheets/sheet43983.xml"/>
  <Override ContentType="application/vnd.openxmlformats-officedocument.spreadsheetml.worksheet+xml" PartName="/xl/worksheets/sheet43984.xml"/>
  <Override ContentType="application/vnd.openxmlformats-officedocument.spreadsheetml.worksheet+xml" PartName="/xl/worksheets/sheet43985.xml"/>
  <Override ContentType="application/vnd.openxmlformats-officedocument.spreadsheetml.worksheet+xml" PartName="/xl/worksheets/sheet43986.xml"/>
  <Override ContentType="application/vnd.openxmlformats-officedocument.spreadsheetml.worksheet+xml" PartName="/xl/worksheets/sheet43987.xml"/>
  <Override ContentType="application/vnd.openxmlformats-officedocument.spreadsheetml.worksheet+xml" PartName="/xl/worksheets/sheet43988.xml"/>
  <Override ContentType="application/vnd.openxmlformats-officedocument.spreadsheetml.worksheet+xml" PartName="/xl/worksheets/sheet43989.xml"/>
  <Override ContentType="application/vnd.openxmlformats-officedocument.spreadsheetml.worksheet+xml" PartName="/xl/worksheets/sheet43990.xml"/>
  <Override ContentType="application/vnd.openxmlformats-officedocument.spreadsheetml.worksheet+xml" PartName="/xl/worksheets/sheet43991.xml"/>
  <Override ContentType="application/vnd.openxmlformats-officedocument.spreadsheetml.worksheet+xml" PartName="/xl/worksheets/sheet43992.xml"/>
  <Override ContentType="application/vnd.openxmlformats-officedocument.spreadsheetml.worksheet+xml" PartName="/xl/worksheets/sheet43993.xml"/>
  <Override ContentType="application/vnd.openxmlformats-officedocument.spreadsheetml.worksheet+xml" PartName="/xl/worksheets/sheet43994.xml"/>
  <Override ContentType="application/vnd.openxmlformats-officedocument.spreadsheetml.worksheet+xml" PartName="/xl/worksheets/sheet43995.xml"/>
  <Override ContentType="application/vnd.openxmlformats-officedocument.spreadsheetml.worksheet+xml" PartName="/xl/worksheets/sheet43996.xml"/>
  <Override ContentType="application/vnd.openxmlformats-officedocument.spreadsheetml.worksheet+xml" PartName="/xl/worksheets/sheet43997.xml"/>
  <Override ContentType="application/vnd.openxmlformats-officedocument.spreadsheetml.worksheet+xml" PartName="/xl/worksheets/sheet43998.xml"/>
  <Override ContentType="application/vnd.openxmlformats-officedocument.spreadsheetml.worksheet+xml" PartName="/xl/worksheets/sheet43999.xml"/>
  <Override ContentType="application/vnd.openxmlformats-officedocument.spreadsheetml.worksheet+xml" PartName="/xl/worksheets/sheet44000.xml"/>
  <Override ContentType="application/vnd.openxmlformats-officedocument.spreadsheetml.worksheet+xml" PartName="/xl/worksheets/sheet44001.xml"/>
  <Override ContentType="application/vnd.openxmlformats-officedocument.spreadsheetml.worksheet+xml" PartName="/xl/worksheets/sheet44002.xml"/>
  <Override ContentType="application/vnd.openxmlformats-officedocument.spreadsheetml.worksheet+xml" PartName="/xl/worksheets/sheet44003.xml"/>
  <Override ContentType="application/vnd.openxmlformats-officedocument.spreadsheetml.worksheet+xml" PartName="/xl/worksheets/sheet44004.xml"/>
  <Override ContentType="application/vnd.openxmlformats-officedocument.spreadsheetml.worksheet+xml" PartName="/xl/worksheets/sheet44005.xml"/>
  <Override ContentType="application/vnd.openxmlformats-officedocument.spreadsheetml.worksheet+xml" PartName="/xl/worksheets/sheet44006.xml"/>
  <Override ContentType="application/vnd.openxmlformats-officedocument.spreadsheetml.worksheet+xml" PartName="/xl/worksheets/sheet44007.xml"/>
  <Override ContentType="application/vnd.openxmlformats-officedocument.spreadsheetml.worksheet+xml" PartName="/xl/worksheets/sheet44008.xml"/>
  <Override ContentType="application/vnd.openxmlformats-officedocument.spreadsheetml.worksheet+xml" PartName="/xl/worksheets/sheet44009.xml"/>
  <Override ContentType="application/vnd.openxmlformats-officedocument.spreadsheetml.worksheet+xml" PartName="/xl/worksheets/sheet44010.xml"/>
  <Override ContentType="application/vnd.openxmlformats-officedocument.spreadsheetml.worksheet+xml" PartName="/xl/worksheets/sheet44011.xml"/>
  <Override ContentType="application/vnd.openxmlformats-officedocument.spreadsheetml.worksheet+xml" PartName="/xl/worksheets/sheet44012.xml"/>
  <Override ContentType="application/vnd.openxmlformats-officedocument.spreadsheetml.worksheet+xml" PartName="/xl/worksheets/sheet44013.xml"/>
  <Override ContentType="application/vnd.openxmlformats-officedocument.spreadsheetml.worksheet+xml" PartName="/xl/worksheets/sheet44014.xml"/>
  <Override ContentType="application/vnd.openxmlformats-officedocument.spreadsheetml.worksheet+xml" PartName="/xl/worksheets/sheet44015.xml"/>
  <Override ContentType="application/vnd.openxmlformats-officedocument.spreadsheetml.worksheet+xml" PartName="/xl/worksheets/sheet44016.xml"/>
  <Override ContentType="application/vnd.openxmlformats-officedocument.spreadsheetml.worksheet+xml" PartName="/xl/worksheets/sheet44017.xml"/>
  <Override ContentType="application/vnd.openxmlformats-officedocument.spreadsheetml.worksheet+xml" PartName="/xl/worksheets/sheet44018.xml"/>
  <Override ContentType="application/vnd.openxmlformats-officedocument.spreadsheetml.worksheet+xml" PartName="/xl/worksheets/sheet44019.xml"/>
  <Override ContentType="application/vnd.openxmlformats-officedocument.spreadsheetml.worksheet+xml" PartName="/xl/worksheets/sheet44020.xml"/>
  <Override ContentType="application/vnd.openxmlformats-officedocument.spreadsheetml.worksheet+xml" PartName="/xl/worksheets/sheet44021.xml"/>
  <Override ContentType="application/vnd.openxmlformats-officedocument.spreadsheetml.worksheet+xml" PartName="/xl/worksheets/sheet44022.xml"/>
  <Override ContentType="application/vnd.openxmlformats-officedocument.spreadsheetml.worksheet+xml" PartName="/xl/worksheets/sheet44023.xml"/>
  <Override ContentType="application/vnd.openxmlformats-officedocument.spreadsheetml.worksheet+xml" PartName="/xl/worksheets/sheet44024.xml"/>
  <Override ContentType="application/vnd.openxmlformats-officedocument.spreadsheetml.worksheet+xml" PartName="/xl/worksheets/sheet44025.xml"/>
  <Override ContentType="application/vnd.openxmlformats-officedocument.spreadsheetml.worksheet+xml" PartName="/xl/worksheets/sheet44026.xml"/>
  <Override ContentType="application/vnd.openxmlformats-officedocument.spreadsheetml.worksheet+xml" PartName="/xl/worksheets/sheet44027.xml"/>
  <Override ContentType="application/vnd.openxmlformats-officedocument.spreadsheetml.worksheet+xml" PartName="/xl/worksheets/sheet44028.xml"/>
  <Override ContentType="application/vnd.openxmlformats-officedocument.spreadsheetml.worksheet+xml" PartName="/xl/worksheets/sheet44029.xml"/>
  <Override ContentType="application/vnd.openxmlformats-officedocument.spreadsheetml.worksheet+xml" PartName="/xl/worksheets/sheet44030.xml"/>
  <Override ContentType="application/vnd.openxmlformats-officedocument.spreadsheetml.worksheet+xml" PartName="/xl/worksheets/sheet44031.xml"/>
  <Override ContentType="application/vnd.openxmlformats-officedocument.spreadsheetml.worksheet+xml" PartName="/xl/worksheets/sheet44032.xml"/>
  <Override ContentType="application/vnd.openxmlformats-officedocument.spreadsheetml.worksheet+xml" PartName="/xl/worksheets/sheet44033.xml"/>
  <Override ContentType="application/vnd.openxmlformats-officedocument.spreadsheetml.worksheet+xml" PartName="/xl/worksheets/sheet44034.xml"/>
  <Override ContentType="application/vnd.openxmlformats-officedocument.spreadsheetml.worksheet+xml" PartName="/xl/worksheets/sheet44035.xml"/>
  <Override ContentType="application/vnd.openxmlformats-officedocument.spreadsheetml.worksheet+xml" PartName="/xl/worksheets/sheet44036.xml"/>
  <Override ContentType="application/vnd.openxmlformats-officedocument.spreadsheetml.worksheet+xml" PartName="/xl/worksheets/sheet44037.xml"/>
  <Override ContentType="application/vnd.openxmlformats-officedocument.spreadsheetml.worksheet+xml" PartName="/xl/worksheets/sheet44038.xml"/>
  <Override ContentType="application/vnd.openxmlformats-officedocument.spreadsheetml.worksheet+xml" PartName="/xl/worksheets/sheet44039.xml"/>
  <Override ContentType="application/vnd.openxmlformats-officedocument.spreadsheetml.worksheet+xml" PartName="/xl/worksheets/sheet44040.xml"/>
  <Override ContentType="application/vnd.openxmlformats-officedocument.spreadsheetml.worksheet+xml" PartName="/xl/worksheets/sheet44041.xml"/>
  <Override ContentType="application/vnd.openxmlformats-officedocument.spreadsheetml.worksheet+xml" PartName="/xl/worksheets/sheet44042.xml"/>
  <Override ContentType="application/vnd.openxmlformats-officedocument.spreadsheetml.worksheet+xml" PartName="/xl/worksheets/sheet44043.xml"/>
  <Override ContentType="application/vnd.openxmlformats-officedocument.spreadsheetml.worksheet+xml" PartName="/xl/worksheets/sheet44044.xml"/>
  <Override ContentType="application/vnd.openxmlformats-officedocument.spreadsheetml.worksheet+xml" PartName="/xl/worksheets/sheet44045.xml"/>
  <Override ContentType="application/vnd.openxmlformats-officedocument.spreadsheetml.worksheet+xml" PartName="/xl/worksheets/sheet44046.xml"/>
  <Override ContentType="application/vnd.openxmlformats-officedocument.spreadsheetml.worksheet+xml" PartName="/xl/worksheets/sheet44047.xml"/>
  <Override ContentType="application/vnd.openxmlformats-officedocument.spreadsheetml.worksheet+xml" PartName="/xl/worksheets/sheet44048.xml"/>
  <Override ContentType="application/vnd.openxmlformats-officedocument.spreadsheetml.worksheet+xml" PartName="/xl/worksheets/sheet44049.xml"/>
  <Override ContentType="application/vnd.openxmlformats-officedocument.spreadsheetml.worksheet+xml" PartName="/xl/worksheets/sheet44050.xml"/>
  <Override ContentType="application/vnd.openxmlformats-officedocument.spreadsheetml.worksheet+xml" PartName="/xl/worksheets/sheet44051.xml"/>
  <Override ContentType="application/vnd.openxmlformats-officedocument.spreadsheetml.worksheet+xml" PartName="/xl/worksheets/sheet44052.xml"/>
  <Override ContentType="application/vnd.openxmlformats-officedocument.spreadsheetml.worksheet+xml" PartName="/xl/worksheets/sheet44053.xml"/>
  <Override ContentType="application/vnd.openxmlformats-officedocument.spreadsheetml.worksheet+xml" PartName="/xl/worksheets/sheet44054.xml"/>
  <Override ContentType="application/vnd.openxmlformats-officedocument.spreadsheetml.worksheet+xml" PartName="/xl/worksheets/sheet44055.xml"/>
  <Override ContentType="application/vnd.openxmlformats-officedocument.spreadsheetml.worksheet+xml" PartName="/xl/worksheets/sheet44056.xml"/>
  <Override ContentType="application/vnd.openxmlformats-officedocument.spreadsheetml.worksheet+xml" PartName="/xl/worksheets/sheet44057.xml"/>
  <Override ContentType="application/vnd.openxmlformats-officedocument.spreadsheetml.worksheet+xml" PartName="/xl/worksheets/sheet44058.xml"/>
  <Override ContentType="application/vnd.openxmlformats-officedocument.spreadsheetml.worksheet+xml" PartName="/xl/worksheets/sheet44059.xml"/>
  <Override ContentType="application/vnd.openxmlformats-officedocument.spreadsheetml.worksheet+xml" PartName="/xl/worksheets/sheet44060.xml"/>
  <Override ContentType="application/vnd.openxmlformats-officedocument.spreadsheetml.worksheet+xml" PartName="/xl/worksheets/sheet44061.xml"/>
  <Override ContentType="application/vnd.openxmlformats-officedocument.spreadsheetml.worksheet+xml" PartName="/xl/worksheets/sheet44062.xml"/>
  <Override ContentType="application/vnd.openxmlformats-officedocument.spreadsheetml.worksheet+xml" PartName="/xl/worksheets/sheet44063.xml"/>
  <Override ContentType="application/vnd.openxmlformats-officedocument.spreadsheetml.worksheet+xml" PartName="/xl/worksheets/sheet44064.xml"/>
  <Override ContentType="application/vnd.openxmlformats-officedocument.spreadsheetml.worksheet+xml" PartName="/xl/worksheets/sheet44065.xml"/>
  <Override ContentType="application/vnd.openxmlformats-officedocument.spreadsheetml.worksheet+xml" PartName="/xl/worksheets/sheet44066.xml"/>
  <Override ContentType="application/vnd.openxmlformats-officedocument.spreadsheetml.worksheet+xml" PartName="/xl/worksheets/sheet44067.xml"/>
  <Override ContentType="application/vnd.openxmlformats-officedocument.spreadsheetml.worksheet+xml" PartName="/xl/worksheets/sheet44068.xml"/>
  <Override ContentType="application/vnd.openxmlformats-officedocument.spreadsheetml.worksheet+xml" PartName="/xl/worksheets/sheet44069.xml"/>
  <Override ContentType="application/vnd.openxmlformats-officedocument.spreadsheetml.worksheet+xml" PartName="/xl/worksheets/sheet44070.xml"/>
  <Override ContentType="application/vnd.openxmlformats-officedocument.spreadsheetml.worksheet+xml" PartName="/xl/worksheets/sheet44071.xml"/>
  <Override ContentType="application/vnd.openxmlformats-officedocument.spreadsheetml.worksheet+xml" PartName="/xl/worksheets/sheet44072.xml"/>
  <Override ContentType="application/vnd.openxmlformats-officedocument.spreadsheetml.worksheet+xml" PartName="/xl/worksheets/sheet44073.xml"/>
  <Override ContentType="application/vnd.openxmlformats-officedocument.spreadsheetml.worksheet+xml" PartName="/xl/worksheets/sheet44074.xml"/>
  <Override ContentType="application/vnd.openxmlformats-officedocument.spreadsheetml.worksheet+xml" PartName="/xl/worksheets/sheet44075.xml"/>
  <Override ContentType="application/vnd.openxmlformats-officedocument.spreadsheetml.worksheet+xml" PartName="/xl/worksheets/sheet44076.xml"/>
  <Override ContentType="application/vnd.openxmlformats-officedocument.spreadsheetml.worksheet+xml" PartName="/xl/worksheets/sheet44077.xml"/>
  <Override ContentType="application/vnd.openxmlformats-officedocument.spreadsheetml.worksheet+xml" PartName="/xl/worksheets/sheet44078.xml"/>
  <Override ContentType="application/vnd.openxmlformats-officedocument.spreadsheetml.worksheet+xml" PartName="/xl/worksheets/sheet44079.xml"/>
  <Override ContentType="application/vnd.openxmlformats-officedocument.spreadsheetml.worksheet+xml" PartName="/xl/worksheets/sheet44080.xml"/>
  <Override ContentType="application/vnd.openxmlformats-officedocument.spreadsheetml.worksheet+xml" PartName="/xl/worksheets/sheet44081.xml"/>
  <Override ContentType="application/vnd.openxmlformats-officedocument.spreadsheetml.worksheet+xml" PartName="/xl/worksheets/sheet44082.xml"/>
  <Override ContentType="application/vnd.openxmlformats-officedocument.spreadsheetml.worksheet+xml" PartName="/xl/worksheets/sheet44083.xml"/>
  <Override ContentType="application/vnd.openxmlformats-officedocument.spreadsheetml.worksheet+xml" PartName="/xl/worksheets/sheet44084.xml"/>
  <Override ContentType="application/vnd.openxmlformats-officedocument.spreadsheetml.worksheet+xml" PartName="/xl/worksheets/sheet44085.xml"/>
  <Override ContentType="application/vnd.openxmlformats-officedocument.spreadsheetml.worksheet+xml" PartName="/xl/worksheets/sheet44086.xml"/>
  <Override ContentType="application/vnd.openxmlformats-officedocument.spreadsheetml.worksheet+xml" PartName="/xl/worksheets/sheet44087.xml"/>
  <Override ContentType="application/vnd.openxmlformats-officedocument.spreadsheetml.worksheet+xml" PartName="/xl/worksheets/sheet44088.xml"/>
  <Override ContentType="application/vnd.openxmlformats-officedocument.spreadsheetml.worksheet+xml" PartName="/xl/worksheets/sheet44089.xml"/>
  <Override ContentType="application/vnd.openxmlformats-officedocument.spreadsheetml.worksheet+xml" PartName="/xl/worksheets/sheet44090.xml"/>
  <Override ContentType="application/vnd.openxmlformats-officedocument.spreadsheetml.worksheet+xml" PartName="/xl/worksheets/sheet44091.xml"/>
  <Override ContentType="application/vnd.openxmlformats-officedocument.spreadsheetml.worksheet+xml" PartName="/xl/worksheets/sheet44092.xml"/>
  <Override ContentType="application/vnd.openxmlformats-officedocument.spreadsheetml.worksheet+xml" PartName="/xl/worksheets/sheet44093.xml"/>
  <Override ContentType="application/vnd.openxmlformats-officedocument.spreadsheetml.worksheet+xml" PartName="/xl/worksheets/sheet44094.xml"/>
  <Override ContentType="application/vnd.openxmlformats-officedocument.spreadsheetml.worksheet+xml" PartName="/xl/worksheets/sheet44095.xml"/>
  <Override ContentType="application/vnd.openxmlformats-officedocument.spreadsheetml.worksheet+xml" PartName="/xl/worksheets/sheet44096.xml"/>
  <Override ContentType="application/vnd.openxmlformats-officedocument.spreadsheetml.worksheet+xml" PartName="/xl/worksheets/sheet44097.xml"/>
  <Override ContentType="application/vnd.openxmlformats-officedocument.spreadsheetml.worksheet+xml" PartName="/xl/worksheets/sheet44098.xml"/>
  <Override ContentType="application/vnd.openxmlformats-officedocument.spreadsheetml.worksheet+xml" PartName="/xl/worksheets/sheet44099.xml"/>
  <Override ContentType="application/vnd.openxmlformats-officedocument.spreadsheetml.worksheet+xml" PartName="/xl/worksheets/sheet44100.xml"/>
  <Override ContentType="application/vnd.openxmlformats-officedocument.spreadsheetml.worksheet+xml" PartName="/xl/worksheets/sheet44101.xml"/>
  <Override ContentType="application/vnd.openxmlformats-officedocument.spreadsheetml.worksheet+xml" PartName="/xl/worksheets/sheet44102.xml"/>
  <Override ContentType="application/vnd.openxmlformats-officedocument.spreadsheetml.worksheet+xml" PartName="/xl/worksheets/sheet44103.xml"/>
  <Override ContentType="application/vnd.openxmlformats-officedocument.spreadsheetml.worksheet+xml" PartName="/xl/worksheets/sheet44104.xml"/>
  <Override ContentType="application/vnd.openxmlformats-officedocument.spreadsheetml.worksheet+xml" PartName="/xl/worksheets/sheet44105.xml"/>
  <Override ContentType="application/vnd.openxmlformats-officedocument.spreadsheetml.worksheet+xml" PartName="/xl/worksheets/sheet44106.xml"/>
  <Override ContentType="application/vnd.openxmlformats-officedocument.spreadsheetml.worksheet+xml" PartName="/xl/worksheets/sheet44107.xml"/>
  <Override ContentType="application/vnd.openxmlformats-officedocument.spreadsheetml.worksheet+xml" PartName="/xl/worksheets/sheet44108.xml"/>
  <Override ContentType="application/vnd.openxmlformats-officedocument.spreadsheetml.worksheet+xml" PartName="/xl/worksheets/sheet44109.xml"/>
  <Override ContentType="application/vnd.openxmlformats-officedocument.spreadsheetml.worksheet+xml" PartName="/xl/worksheets/sheet44110.xml"/>
  <Override ContentType="application/vnd.openxmlformats-officedocument.spreadsheetml.worksheet+xml" PartName="/xl/worksheets/sheet44111.xml"/>
  <Override ContentType="application/vnd.openxmlformats-officedocument.spreadsheetml.worksheet+xml" PartName="/xl/worksheets/sheet44112.xml"/>
  <Override ContentType="application/vnd.openxmlformats-officedocument.spreadsheetml.worksheet+xml" PartName="/xl/worksheets/sheet44113.xml"/>
  <Override ContentType="application/vnd.openxmlformats-officedocument.spreadsheetml.worksheet+xml" PartName="/xl/worksheets/sheet44114.xml"/>
  <Override ContentType="application/vnd.openxmlformats-officedocument.spreadsheetml.worksheet+xml" PartName="/xl/worksheets/sheet44115.xml"/>
  <Override ContentType="application/vnd.openxmlformats-officedocument.spreadsheetml.worksheet+xml" PartName="/xl/worksheets/sheet44116.xml"/>
  <Override ContentType="application/vnd.openxmlformats-officedocument.spreadsheetml.worksheet+xml" PartName="/xl/worksheets/sheet44117.xml"/>
  <Override ContentType="application/vnd.openxmlformats-officedocument.spreadsheetml.worksheet+xml" PartName="/xl/worksheets/sheet44118.xml"/>
  <Override ContentType="application/vnd.openxmlformats-officedocument.spreadsheetml.worksheet+xml" PartName="/xl/worksheets/sheet44119.xml"/>
  <Override ContentType="application/vnd.openxmlformats-officedocument.spreadsheetml.worksheet+xml" PartName="/xl/worksheets/sheet44120.xml"/>
  <Override ContentType="application/vnd.openxmlformats-officedocument.spreadsheetml.worksheet+xml" PartName="/xl/worksheets/sheet44121.xml"/>
  <Override ContentType="application/vnd.openxmlformats-officedocument.spreadsheetml.worksheet+xml" PartName="/xl/worksheets/sheet44122.xml"/>
  <Override ContentType="application/vnd.openxmlformats-officedocument.spreadsheetml.worksheet+xml" PartName="/xl/worksheets/sheet44123.xml"/>
  <Override ContentType="application/vnd.openxmlformats-officedocument.spreadsheetml.worksheet+xml" PartName="/xl/worksheets/sheet44124.xml"/>
  <Override ContentType="application/vnd.openxmlformats-officedocument.spreadsheetml.worksheet+xml" PartName="/xl/worksheets/sheet44125.xml"/>
  <Override ContentType="application/vnd.openxmlformats-officedocument.spreadsheetml.worksheet+xml" PartName="/xl/worksheets/sheet44126.xml"/>
  <Override ContentType="application/vnd.openxmlformats-officedocument.spreadsheetml.worksheet+xml" PartName="/xl/worksheets/sheet44127.xml"/>
  <Override ContentType="application/vnd.openxmlformats-officedocument.spreadsheetml.worksheet+xml" PartName="/xl/worksheets/sheet44128.xml"/>
  <Override ContentType="application/vnd.openxmlformats-officedocument.spreadsheetml.worksheet+xml" PartName="/xl/worksheets/sheet44129.xml"/>
  <Override ContentType="application/vnd.openxmlformats-officedocument.spreadsheetml.worksheet+xml" PartName="/xl/worksheets/sheet44130.xml"/>
  <Override ContentType="application/vnd.openxmlformats-officedocument.spreadsheetml.worksheet+xml" PartName="/xl/worksheets/sheet44131.xml"/>
  <Override ContentType="application/vnd.openxmlformats-officedocument.spreadsheetml.worksheet+xml" PartName="/xl/worksheets/sheet44132.xml"/>
  <Override ContentType="application/vnd.openxmlformats-officedocument.spreadsheetml.worksheet+xml" PartName="/xl/worksheets/sheet44133.xml"/>
  <Override ContentType="application/vnd.openxmlformats-officedocument.spreadsheetml.worksheet+xml" PartName="/xl/worksheets/sheet44134.xml"/>
  <Override ContentType="application/vnd.openxmlformats-officedocument.spreadsheetml.worksheet+xml" PartName="/xl/worksheets/sheet44135.xml"/>
  <Override ContentType="application/vnd.openxmlformats-officedocument.spreadsheetml.worksheet+xml" PartName="/xl/worksheets/sheet44136.xml"/>
  <Override ContentType="application/vnd.openxmlformats-officedocument.spreadsheetml.worksheet+xml" PartName="/xl/worksheets/sheet44137.xml"/>
  <Override ContentType="application/vnd.openxmlformats-officedocument.spreadsheetml.worksheet+xml" PartName="/xl/worksheets/sheet44138.xml"/>
  <Override ContentType="application/vnd.openxmlformats-officedocument.spreadsheetml.worksheet+xml" PartName="/xl/worksheets/sheet44139.xml"/>
  <Override ContentType="application/vnd.openxmlformats-officedocument.spreadsheetml.worksheet+xml" PartName="/xl/worksheets/sheet44140.xml"/>
  <Override ContentType="application/vnd.openxmlformats-officedocument.spreadsheetml.worksheet+xml" PartName="/xl/worksheets/sheet44141.xml"/>
  <Override ContentType="application/vnd.openxmlformats-officedocument.spreadsheetml.worksheet+xml" PartName="/xl/worksheets/sheet44142.xml"/>
  <Override ContentType="application/vnd.openxmlformats-officedocument.spreadsheetml.worksheet+xml" PartName="/xl/worksheets/sheet44143.xml"/>
  <Override ContentType="application/vnd.openxmlformats-officedocument.spreadsheetml.worksheet+xml" PartName="/xl/worksheets/sheet44144.xml"/>
  <Override ContentType="application/vnd.openxmlformats-officedocument.spreadsheetml.worksheet+xml" PartName="/xl/worksheets/sheet44145.xml"/>
  <Override ContentType="application/vnd.openxmlformats-officedocument.spreadsheetml.worksheet+xml" PartName="/xl/worksheets/sheet44146.xml"/>
  <Override ContentType="application/vnd.openxmlformats-officedocument.spreadsheetml.worksheet+xml" PartName="/xl/worksheets/sheet44147.xml"/>
  <Override ContentType="application/vnd.openxmlformats-officedocument.spreadsheetml.worksheet+xml" PartName="/xl/worksheets/sheet44148.xml"/>
  <Override ContentType="application/vnd.openxmlformats-officedocument.spreadsheetml.worksheet+xml" PartName="/xl/worksheets/sheet44149.xml"/>
  <Override ContentType="application/vnd.openxmlformats-officedocument.spreadsheetml.worksheet+xml" PartName="/xl/worksheets/sheet44150.xml"/>
  <Override ContentType="application/vnd.openxmlformats-officedocument.spreadsheetml.worksheet+xml" PartName="/xl/worksheets/sheet44151.xml"/>
  <Override ContentType="application/vnd.openxmlformats-officedocument.spreadsheetml.worksheet+xml" PartName="/xl/worksheets/sheet44152.xml"/>
  <Override ContentType="application/vnd.openxmlformats-officedocument.spreadsheetml.worksheet+xml" PartName="/xl/worksheets/sheet44153.xml"/>
  <Override ContentType="application/vnd.openxmlformats-officedocument.spreadsheetml.worksheet+xml" PartName="/xl/worksheets/sheet44154.xml"/>
  <Override ContentType="application/vnd.openxmlformats-officedocument.spreadsheetml.worksheet+xml" PartName="/xl/worksheets/sheet44155.xml"/>
  <Override ContentType="application/vnd.openxmlformats-officedocument.spreadsheetml.worksheet+xml" PartName="/xl/worksheets/sheet44156.xml"/>
  <Override ContentType="application/vnd.openxmlformats-officedocument.spreadsheetml.worksheet+xml" PartName="/xl/worksheets/sheet44157.xml"/>
  <Override ContentType="application/vnd.openxmlformats-officedocument.spreadsheetml.worksheet+xml" PartName="/xl/worksheets/sheet44158.xml"/>
  <Override ContentType="application/vnd.openxmlformats-officedocument.spreadsheetml.worksheet+xml" PartName="/xl/worksheets/sheet44159.xml"/>
  <Override ContentType="application/vnd.openxmlformats-officedocument.spreadsheetml.worksheet+xml" PartName="/xl/worksheets/sheet44160.xml"/>
  <Override ContentType="application/vnd.openxmlformats-officedocument.spreadsheetml.worksheet+xml" PartName="/xl/worksheets/sheet44161.xml"/>
  <Override ContentType="application/vnd.openxmlformats-officedocument.spreadsheetml.worksheet+xml" PartName="/xl/worksheets/sheet44162.xml"/>
  <Override ContentType="application/vnd.openxmlformats-officedocument.spreadsheetml.worksheet+xml" PartName="/xl/worksheets/sheet44163.xml"/>
  <Override ContentType="application/vnd.openxmlformats-officedocument.spreadsheetml.worksheet+xml" PartName="/xl/worksheets/sheet44164.xml"/>
  <Override ContentType="application/vnd.openxmlformats-officedocument.spreadsheetml.worksheet+xml" PartName="/xl/worksheets/sheet44165.xml"/>
  <Override ContentType="application/vnd.openxmlformats-officedocument.spreadsheetml.worksheet+xml" PartName="/xl/worksheets/sheet44166.xml"/>
  <Override ContentType="application/vnd.openxmlformats-officedocument.spreadsheetml.worksheet+xml" PartName="/xl/worksheets/sheet44167.xml"/>
  <Override ContentType="application/vnd.openxmlformats-officedocument.spreadsheetml.worksheet+xml" PartName="/xl/worksheets/sheet44168.xml"/>
  <Override ContentType="application/vnd.openxmlformats-officedocument.spreadsheetml.worksheet+xml" PartName="/xl/worksheets/sheet44169.xml"/>
  <Override ContentType="application/vnd.openxmlformats-officedocument.spreadsheetml.worksheet+xml" PartName="/xl/worksheets/sheet44170.xml"/>
  <Override ContentType="application/vnd.openxmlformats-officedocument.spreadsheetml.worksheet+xml" PartName="/xl/worksheets/sheet44171.xml"/>
  <Override ContentType="application/vnd.openxmlformats-officedocument.spreadsheetml.worksheet+xml" PartName="/xl/worksheets/sheet44172.xml"/>
  <Override ContentType="application/vnd.openxmlformats-officedocument.spreadsheetml.worksheet+xml" PartName="/xl/worksheets/sheet44173.xml"/>
  <Override ContentType="application/vnd.openxmlformats-officedocument.spreadsheetml.worksheet+xml" PartName="/xl/worksheets/sheet44174.xml"/>
  <Override ContentType="application/vnd.openxmlformats-officedocument.spreadsheetml.worksheet+xml" PartName="/xl/worksheets/sheet44175.xml"/>
  <Override ContentType="application/vnd.openxmlformats-officedocument.spreadsheetml.worksheet+xml" PartName="/xl/worksheets/sheet44176.xml"/>
  <Override ContentType="application/vnd.openxmlformats-officedocument.spreadsheetml.worksheet+xml" PartName="/xl/worksheets/sheet44177.xml"/>
  <Override ContentType="application/vnd.openxmlformats-officedocument.spreadsheetml.worksheet+xml" PartName="/xl/worksheets/sheet44178.xml"/>
  <Override ContentType="application/vnd.openxmlformats-officedocument.spreadsheetml.worksheet+xml" PartName="/xl/worksheets/sheet44179.xml"/>
  <Override ContentType="application/vnd.openxmlformats-officedocument.spreadsheetml.worksheet+xml" PartName="/xl/worksheets/sheet44180.xml"/>
  <Override ContentType="application/vnd.openxmlformats-officedocument.spreadsheetml.worksheet+xml" PartName="/xl/worksheets/sheet44181.xml"/>
  <Override ContentType="application/vnd.openxmlformats-officedocument.spreadsheetml.worksheet+xml" PartName="/xl/worksheets/sheet44182.xml"/>
  <Override ContentType="application/vnd.openxmlformats-officedocument.spreadsheetml.worksheet+xml" PartName="/xl/worksheets/sheet44183.xml"/>
  <Override ContentType="application/vnd.openxmlformats-officedocument.spreadsheetml.worksheet+xml" PartName="/xl/worksheets/sheet44184.xml"/>
  <Override ContentType="application/vnd.openxmlformats-officedocument.spreadsheetml.worksheet+xml" PartName="/xl/worksheets/sheet44185.xml"/>
  <Override ContentType="application/vnd.openxmlformats-officedocument.spreadsheetml.worksheet+xml" PartName="/xl/worksheets/sheet44186.xml"/>
  <Override ContentType="application/vnd.openxmlformats-officedocument.spreadsheetml.worksheet+xml" PartName="/xl/worksheets/sheet44187.xml"/>
  <Override ContentType="application/vnd.openxmlformats-officedocument.spreadsheetml.worksheet+xml" PartName="/xl/worksheets/sheet44188.xml"/>
  <Override ContentType="application/vnd.openxmlformats-officedocument.spreadsheetml.worksheet+xml" PartName="/xl/worksheets/sheet44189.xml"/>
  <Override ContentType="application/vnd.openxmlformats-officedocument.spreadsheetml.worksheet+xml" PartName="/xl/worksheets/sheet44190.xml"/>
  <Override ContentType="application/vnd.openxmlformats-officedocument.spreadsheetml.worksheet+xml" PartName="/xl/worksheets/sheet44191.xml"/>
  <Override ContentType="application/vnd.openxmlformats-officedocument.spreadsheetml.worksheet+xml" PartName="/xl/worksheets/sheet44192.xml"/>
  <Override ContentType="application/vnd.openxmlformats-officedocument.spreadsheetml.worksheet+xml" PartName="/xl/worksheets/sheet44193.xml"/>
  <Override ContentType="application/vnd.openxmlformats-officedocument.spreadsheetml.worksheet+xml" PartName="/xl/worksheets/sheet44194.xml"/>
  <Override ContentType="application/vnd.openxmlformats-officedocument.spreadsheetml.worksheet+xml" PartName="/xl/worksheets/sheet44195.xml"/>
  <Override ContentType="application/vnd.openxmlformats-officedocument.spreadsheetml.worksheet+xml" PartName="/xl/worksheets/sheet44196.xml"/>
  <Override ContentType="application/vnd.openxmlformats-officedocument.spreadsheetml.worksheet+xml" PartName="/xl/worksheets/sheet44197.xml"/>
  <Override ContentType="application/vnd.openxmlformats-officedocument.spreadsheetml.worksheet+xml" PartName="/xl/worksheets/sheet44198.xml"/>
  <Override ContentType="application/vnd.openxmlformats-officedocument.spreadsheetml.worksheet+xml" PartName="/xl/worksheets/sheet44199.xml"/>
  <Override ContentType="application/vnd.openxmlformats-officedocument.spreadsheetml.worksheet+xml" PartName="/xl/worksheets/sheet44200.xml"/>
  <Override ContentType="application/vnd.openxmlformats-officedocument.spreadsheetml.worksheet+xml" PartName="/xl/worksheets/sheet44201.xml"/>
  <Override ContentType="application/vnd.openxmlformats-officedocument.spreadsheetml.worksheet+xml" PartName="/xl/worksheets/sheet44202.xml"/>
  <Override ContentType="application/vnd.openxmlformats-officedocument.spreadsheetml.worksheet+xml" PartName="/xl/worksheets/sheet44203.xml"/>
  <Override ContentType="application/vnd.openxmlformats-officedocument.spreadsheetml.worksheet+xml" PartName="/xl/worksheets/sheet44204.xml"/>
  <Override ContentType="application/vnd.openxmlformats-officedocument.spreadsheetml.worksheet+xml" PartName="/xl/worksheets/sheet44205.xml"/>
  <Override ContentType="application/vnd.openxmlformats-officedocument.spreadsheetml.worksheet+xml" PartName="/xl/worksheets/sheet44206.xml"/>
  <Override ContentType="application/vnd.openxmlformats-officedocument.spreadsheetml.worksheet+xml" PartName="/xl/worksheets/sheet44207.xml"/>
  <Override ContentType="application/vnd.openxmlformats-officedocument.spreadsheetml.worksheet+xml" PartName="/xl/worksheets/sheet44208.xml"/>
  <Override ContentType="application/vnd.openxmlformats-officedocument.spreadsheetml.worksheet+xml" PartName="/xl/worksheets/sheet44209.xml"/>
  <Override ContentType="application/vnd.openxmlformats-officedocument.spreadsheetml.worksheet+xml" PartName="/xl/worksheets/sheet44210.xml"/>
  <Override ContentType="application/vnd.openxmlformats-officedocument.spreadsheetml.worksheet+xml" PartName="/xl/worksheets/sheet44211.xml"/>
  <Override ContentType="application/vnd.openxmlformats-officedocument.spreadsheetml.worksheet+xml" PartName="/xl/worksheets/sheet44212.xml"/>
  <Override ContentType="application/vnd.openxmlformats-officedocument.spreadsheetml.worksheet+xml" PartName="/xl/worksheets/sheet44213.xml"/>
  <Override ContentType="application/vnd.openxmlformats-officedocument.spreadsheetml.worksheet+xml" PartName="/xl/worksheets/sheet44214.xml"/>
  <Override ContentType="application/vnd.openxmlformats-officedocument.spreadsheetml.worksheet+xml" PartName="/xl/worksheets/sheet44215.xml"/>
  <Override ContentType="application/vnd.openxmlformats-officedocument.spreadsheetml.worksheet+xml" PartName="/xl/worksheets/sheet44216.xml"/>
  <Override ContentType="application/vnd.openxmlformats-officedocument.spreadsheetml.worksheet+xml" PartName="/xl/worksheets/sheet44217.xml"/>
  <Override ContentType="application/vnd.openxmlformats-officedocument.spreadsheetml.worksheet+xml" PartName="/xl/worksheets/sheet44218.xml"/>
  <Override ContentType="application/vnd.openxmlformats-officedocument.spreadsheetml.worksheet+xml" PartName="/xl/worksheets/sheet44219.xml"/>
  <Override ContentType="application/vnd.openxmlformats-officedocument.spreadsheetml.worksheet+xml" PartName="/xl/worksheets/sheet44220.xml"/>
  <Override ContentType="application/vnd.openxmlformats-officedocument.spreadsheetml.worksheet+xml" PartName="/xl/worksheets/sheet44221.xml"/>
  <Override ContentType="application/vnd.openxmlformats-officedocument.spreadsheetml.worksheet+xml" PartName="/xl/worksheets/sheet44222.xml"/>
  <Override ContentType="application/vnd.openxmlformats-officedocument.spreadsheetml.worksheet+xml" PartName="/xl/worksheets/sheet44223.xml"/>
  <Override ContentType="application/vnd.openxmlformats-officedocument.spreadsheetml.worksheet+xml" PartName="/xl/worksheets/sheet44224.xml"/>
  <Override ContentType="application/vnd.openxmlformats-officedocument.spreadsheetml.worksheet+xml" PartName="/xl/worksheets/sheet44225.xml"/>
  <Override ContentType="application/vnd.openxmlformats-officedocument.spreadsheetml.worksheet+xml" PartName="/xl/worksheets/sheet44226.xml"/>
  <Override ContentType="application/vnd.openxmlformats-officedocument.spreadsheetml.worksheet+xml" PartName="/xl/worksheets/sheet44227.xml"/>
  <Override ContentType="application/vnd.openxmlformats-officedocument.spreadsheetml.worksheet+xml" PartName="/xl/worksheets/sheet44228.xml"/>
  <Override ContentType="application/vnd.openxmlformats-officedocument.spreadsheetml.worksheet+xml" PartName="/xl/worksheets/sheet44229.xml"/>
  <Override ContentType="application/vnd.openxmlformats-officedocument.spreadsheetml.worksheet+xml" PartName="/xl/worksheets/sheet44230.xml"/>
  <Override ContentType="application/vnd.openxmlformats-officedocument.spreadsheetml.worksheet+xml" PartName="/xl/worksheets/sheet44231.xml"/>
  <Override ContentType="application/vnd.openxmlformats-officedocument.spreadsheetml.worksheet+xml" PartName="/xl/worksheets/sheet44232.xml"/>
  <Override ContentType="application/vnd.openxmlformats-officedocument.spreadsheetml.worksheet+xml" PartName="/xl/worksheets/sheet44233.xml"/>
  <Override ContentType="application/vnd.openxmlformats-officedocument.spreadsheetml.worksheet+xml" PartName="/xl/worksheets/sheet44234.xml"/>
  <Override ContentType="application/vnd.openxmlformats-officedocument.spreadsheetml.worksheet+xml" PartName="/xl/worksheets/sheet44235.xml"/>
  <Override ContentType="application/vnd.openxmlformats-officedocument.spreadsheetml.worksheet+xml" PartName="/xl/worksheets/sheet44236.xml"/>
  <Override ContentType="application/vnd.openxmlformats-officedocument.spreadsheetml.worksheet+xml" PartName="/xl/worksheets/sheet44237.xml"/>
  <Override ContentType="application/vnd.openxmlformats-officedocument.spreadsheetml.worksheet+xml" PartName="/xl/worksheets/sheet44238.xml"/>
  <Override ContentType="application/vnd.openxmlformats-officedocument.spreadsheetml.worksheet+xml" PartName="/xl/worksheets/sheet44239.xml"/>
  <Override ContentType="application/vnd.openxmlformats-officedocument.spreadsheetml.worksheet+xml" PartName="/xl/worksheets/sheet44240.xml"/>
  <Override ContentType="application/vnd.openxmlformats-officedocument.spreadsheetml.worksheet+xml" PartName="/xl/worksheets/sheet44241.xml"/>
  <Override ContentType="application/vnd.openxmlformats-officedocument.spreadsheetml.worksheet+xml" PartName="/xl/worksheets/sheet44242.xml"/>
  <Override ContentType="application/vnd.openxmlformats-officedocument.spreadsheetml.worksheet+xml" PartName="/xl/worksheets/sheet44243.xml"/>
  <Override ContentType="application/vnd.openxmlformats-officedocument.spreadsheetml.worksheet+xml" PartName="/xl/worksheets/sheet44244.xml"/>
  <Override ContentType="application/vnd.openxmlformats-officedocument.spreadsheetml.worksheet+xml" PartName="/xl/worksheets/sheet44245.xml"/>
  <Override ContentType="application/vnd.openxmlformats-officedocument.spreadsheetml.worksheet+xml" PartName="/xl/worksheets/sheet44246.xml"/>
  <Override ContentType="application/vnd.openxmlformats-officedocument.spreadsheetml.worksheet+xml" PartName="/xl/worksheets/sheet44247.xml"/>
  <Override ContentType="application/vnd.openxmlformats-officedocument.spreadsheetml.worksheet+xml" PartName="/xl/worksheets/sheet44248.xml"/>
  <Override ContentType="application/vnd.openxmlformats-officedocument.spreadsheetml.worksheet+xml" PartName="/xl/worksheets/sheet44249.xml"/>
  <Override ContentType="application/vnd.openxmlformats-officedocument.spreadsheetml.worksheet+xml" PartName="/xl/worksheets/sheet44250.xml"/>
  <Override ContentType="application/vnd.openxmlformats-officedocument.spreadsheetml.worksheet+xml" PartName="/xl/worksheets/sheet44251.xml"/>
  <Override ContentType="application/vnd.openxmlformats-officedocument.spreadsheetml.worksheet+xml" PartName="/xl/worksheets/sheet44252.xml"/>
  <Override ContentType="application/vnd.openxmlformats-officedocument.spreadsheetml.worksheet+xml" PartName="/xl/worksheets/sheet44253.xml"/>
  <Override ContentType="application/vnd.openxmlformats-officedocument.spreadsheetml.worksheet+xml" PartName="/xl/worksheets/sheet44254.xml"/>
  <Override ContentType="application/vnd.openxmlformats-officedocument.spreadsheetml.worksheet+xml" PartName="/xl/worksheets/sheet44255.xml"/>
  <Override ContentType="application/vnd.openxmlformats-officedocument.spreadsheetml.worksheet+xml" PartName="/xl/worksheets/sheet44256.xml"/>
  <Override ContentType="application/vnd.openxmlformats-officedocument.spreadsheetml.worksheet+xml" PartName="/xl/worksheets/sheet44257.xml"/>
  <Override ContentType="application/vnd.openxmlformats-officedocument.spreadsheetml.worksheet+xml" PartName="/xl/worksheets/sheet44258.xml"/>
  <Override ContentType="application/vnd.openxmlformats-officedocument.spreadsheetml.worksheet+xml" PartName="/xl/worksheets/sheet44259.xml"/>
  <Override ContentType="application/vnd.openxmlformats-officedocument.spreadsheetml.worksheet+xml" PartName="/xl/worksheets/sheet44260.xml"/>
  <Override ContentType="application/vnd.openxmlformats-officedocument.spreadsheetml.worksheet+xml" PartName="/xl/worksheets/sheet44261.xml"/>
  <Override ContentType="application/vnd.openxmlformats-officedocument.spreadsheetml.worksheet+xml" PartName="/xl/worksheets/sheet44262.xml"/>
  <Override ContentType="application/vnd.openxmlformats-officedocument.spreadsheetml.worksheet+xml" PartName="/xl/worksheets/sheet44263.xml"/>
  <Override ContentType="application/vnd.openxmlformats-officedocument.spreadsheetml.worksheet+xml" PartName="/xl/worksheets/sheet44264.xml"/>
  <Override ContentType="application/vnd.openxmlformats-officedocument.spreadsheetml.worksheet+xml" PartName="/xl/worksheets/sheet44265.xml"/>
  <Override ContentType="application/vnd.openxmlformats-officedocument.spreadsheetml.worksheet+xml" PartName="/xl/worksheets/sheet44266.xml"/>
  <Override ContentType="application/vnd.openxmlformats-officedocument.spreadsheetml.worksheet+xml" PartName="/xl/worksheets/sheet44267.xml"/>
  <Override ContentType="application/vnd.openxmlformats-officedocument.spreadsheetml.worksheet+xml" PartName="/xl/worksheets/sheet44268.xml"/>
  <Override ContentType="application/vnd.openxmlformats-officedocument.spreadsheetml.worksheet+xml" PartName="/xl/worksheets/sheet44269.xml"/>
  <Override ContentType="application/vnd.openxmlformats-officedocument.spreadsheetml.worksheet+xml" PartName="/xl/worksheets/sheet44270.xml"/>
  <Override ContentType="application/vnd.openxmlformats-officedocument.spreadsheetml.worksheet+xml" PartName="/xl/worksheets/sheet44271.xml"/>
  <Override ContentType="application/vnd.openxmlformats-officedocument.spreadsheetml.worksheet+xml" PartName="/xl/worksheets/sheet44272.xml"/>
  <Override ContentType="application/vnd.openxmlformats-officedocument.spreadsheetml.worksheet+xml" PartName="/xl/worksheets/sheet44273.xml"/>
  <Override ContentType="application/vnd.openxmlformats-officedocument.spreadsheetml.worksheet+xml" PartName="/xl/worksheets/sheet44274.xml"/>
  <Override ContentType="application/vnd.openxmlformats-officedocument.spreadsheetml.worksheet+xml" PartName="/xl/worksheets/sheet44275.xml"/>
  <Override ContentType="application/vnd.openxmlformats-officedocument.spreadsheetml.worksheet+xml" PartName="/xl/worksheets/sheet44276.xml"/>
  <Override ContentType="application/vnd.openxmlformats-officedocument.spreadsheetml.worksheet+xml" PartName="/xl/worksheets/sheet44277.xml"/>
  <Override ContentType="application/vnd.openxmlformats-officedocument.spreadsheetml.worksheet+xml" PartName="/xl/worksheets/sheet44278.xml"/>
  <Override ContentType="application/vnd.openxmlformats-officedocument.spreadsheetml.worksheet+xml" PartName="/xl/worksheets/sheet44279.xml"/>
  <Override ContentType="application/vnd.openxmlformats-officedocument.spreadsheetml.worksheet+xml" PartName="/xl/worksheets/sheet44280.xml"/>
  <Override ContentType="application/vnd.openxmlformats-officedocument.spreadsheetml.worksheet+xml" PartName="/xl/worksheets/sheet44281.xml"/>
  <Override ContentType="application/vnd.openxmlformats-officedocument.spreadsheetml.worksheet+xml" PartName="/xl/worksheets/sheet44282.xml"/>
  <Override ContentType="application/vnd.openxmlformats-officedocument.spreadsheetml.worksheet+xml" PartName="/xl/worksheets/sheet44283.xml"/>
  <Override ContentType="application/vnd.openxmlformats-officedocument.spreadsheetml.worksheet+xml" PartName="/xl/worksheets/sheet44284.xml"/>
  <Override ContentType="application/vnd.openxmlformats-officedocument.spreadsheetml.worksheet+xml" PartName="/xl/worksheets/sheet44285.xml"/>
  <Override ContentType="application/vnd.openxmlformats-officedocument.spreadsheetml.worksheet+xml" PartName="/xl/worksheets/sheet44286.xml"/>
  <Override ContentType="application/vnd.openxmlformats-officedocument.spreadsheetml.worksheet+xml" PartName="/xl/worksheets/sheet44287.xml"/>
  <Override ContentType="application/vnd.openxmlformats-officedocument.spreadsheetml.worksheet+xml" PartName="/xl/worksheets/sheet44288.xml"/>
  <Override ContentType="application/vnd.openxmlformats-officedocument.spreadsheetml.worksheet+xml" PartName="/xl/worksheets/sheet44289.xml"/>
  <Override ContentType="application/vnd.openxmlformats-officedocument.spreadsheetml.worksheet+xml" PartName="/xl/worksheets/sheet44290.xml"/>
  <Override ContentType="application/vnd.openxmlformats-officedocument.spreadsheetml.worksheet+xml" PartName="/xl/worksheets/sheet44291.xml"/>
  <Override ContentType="application/vnd.openxmlformats-officedocument.spreadsheetml.worksheet+xml" PartName="/xl/worksheets/sheet44292.xml"/>
  <Override ContentType="application/vnd.openxmlformats-officedocument.spreadsheetml.worksheet+xml" PartName="/xl/worksheets/sheet44293.xml"/>
  <Override ContentType="application/vnd.openxmlformats-officedocument.spreadsheetml.worksheet+xml" PartName="/xl/worksheets/sheet44294.xml"/>
  <Override ContentType="application/vnd.openxmlformats-officedocument.spreadsheetml.worksheet+xml" PartName="/xl/worksheets/sheet44295.xml"/>
  <Override ContentType="application/vnd.openxmlformats-officedocument.spreadsheetml.worksheet+xml" PartName="/xl/worksheets/sheet44296.xml"/>
  <Override ContentType="application/vnd.openxmlformats-officedocument.spreadsheetml.worksheet+xml" PartName="/xl/worksheets/sheet44297.xml"/>
  <Override ContentType="application/vnd.openxmlformats-officedocument.spreadsheetml.worksheet+xml" PartName="/xl/worksheets/sheet44298.xml"/>
  <Override ContentType="application/vnd.openxmlformats-officedocument.spreadsheetml.worksheet+xml" PartName="/xl/worksheets/sheet44299.xml"/>
  <Override ContentType="application/vnd.openxmlformats-officedocument.spreadsheetml.worksheet+xml" PartName="/xl/worksheets/sheet44300.xml"/>
  <Override ContentType="application/vnd.openxmlformats-officedocument.spreadsheetml.worksheet+xml" PartName="/xl/worksheets/sheet44301.xml"/>
  <Override ContentType="application/vnd.openxmlformats-officedocument.spreadsheetml.worksheet+xml" PartName="/xl/worksheets/sheet44302.xml"/>
  <Override ContentType="application/vnd.openxmlformats-officedocument.spreadsheetml.worksheet+xml" PartName="/xl/worksheets/sheet44303.xml"/>
  <Override ContentType="application/vnd.openxmlformats-officedocument.spreadsheetml.worksheet+xml" PartName="/xl/worksheets/sheet44304.xml"/>
  <Override ContentType="application/vnd.openxmlformats-officedocument.spreadsheetml.worksheet+xml" PartName="/xl/worksheets/sheet44305.xml"/>
  <Override ContentType="application/vnd.openxmlformats-officedocument.spreadsheetml.worksheet+xml" PartName="/xl/worksheets/sheet44306.xml"/>
  <Override ContentType="application/vnd.openxmlformats-officedocument.spreadsheetml.worksheet+xml" PartName="/xl/worksheets/sheet44307.xml"/>
  <Override ContentType="application/vnd.openxmlformats-officedocument.spreadsheetml.worksheet+xml" PartName="/xl/worksheets/sheet44308.xml"/>
  <Override ContentType="application/vnd.openxmlformats-officedocument.spreadsheetml.worksheet+xml" PartName="/xl/worksheets/sheet44309.xml"/>
  <Override ContentType="application/vnd.openxmlformats-officedocument.spreadsheetml.worksheet+xml" PartName="/xl/worksheets/sheet44310.xml"/>
  <Override ContentType="application/vnd.openxmlformats-officedocument.spreadsheetml.worksheet+xml" PartName="/xl/worksheets/sheet44311.xml"/>
  <Override ContentType="application/vnd.openxmlformats-officedocument.spreadsheetml.worksheet+xml" PartName="/xl/worksheets/sheet44312.xml"/>
  <Override ContentType="application/vnd.openxmlformats-officedocument.spreadsheetml.worksheet+xml" PartName="/xl/worksheets/sheet44313.xml"/>
  <Override ContentType="application/vnd.openxmlformats-officedocument.spreadsheetml.worksheet+xml" PartName="/xl/worksheets/sheet44314.xml"/>
  <Override ContentType="application/vnd.openxmlformats-officedocument.spreadsheetml.worksheet+xml" PartName="/xl/worksheets/sheet44315.xml"/>
  <Override ContentType="application/vnd.openxmlformats-officedocument.spreadsheetml.worksheet+xml" PartName="/xl/worksheets/sheet44316.xml"/>
  <Override ContentType="application/vnd.openxmlformats-officedocument.spreadsheetml.worksheet+xml" PartName="/xl/worksheets/sheet44317.xml"/>
  <Override ContentType="application/vnd.openxmlformats-officedocument.spreadsheetml.worksheet+xml" PartName="/xl/worksheets/sheet44318.xml"/>
  <Override ContentType="application/vnd.openxmlformats-officedocument.spreadsheetml.worksheet+xml" PartName="/xl/worksheets/sheet44319.xml"/>
  <Override ContentType="application/vnd.openxmlformats-officedocument.spreadsheetml.worksheet+xml" PartName="/xl/worksheets/sheet44320.xml"/>
  <Override ContentType="application/vnd.openxmlformats-officedocument.spreadsheetml.worksheet+xml" PartName="/xl/worksheets/sheet44321.xml"/>
  <Override ContentType="application/vnd.openxmlformats-officedocument.spreadsheetml.worksheet+xml" PartName="/xl/worksheets/sheet44322.xml"/>
  <Override ContentType="application/vnd.openxmlformats-officedocument.spreadsheetml.worksheet+xml" PartName="/xl/worksheets/sheet44323.xml"/>
  <Override ContentType="application/vnd.openxmlformats-officedocument.spreadsheetml.worksheet+xml" PartName="/xl/worksheets/sheet44324.xml"/>
  <Override ContentType="application/vnd.openxmlformats-officedocument.spreadsheetml.worksheet+xml" PartName="/xl/worksheets/sheet44325.xml"/>
  <Override ContentType="application/vnd.openxmlformats-officedocument.spreadsheetml.worksheet+xml" PartName="/xl/worksheets/sheet44326.xml"/>
  <Override ContentType="application/vnd.openxmlformats-officedocument.spreadsheetml.worksheet+xml" PartName="/xl/worksheets/sheet44327.xml"/>
  <Override ContentType="application/vnd.openxmlformats-officedocument.spreadsheetml.worksheet+xml" PartName="/xl/worksheets/sheet44328.xml"/>
  <Override ContentType="application/vnd.openxmlformats-officedocument.spreadsheetml.worksheet+xml" PartName="/xl/worksheets/sheet44329.xml"/>
  <Override ContentType="application/vnd.openxmlformats-officedocument.spreadsheetml.worksheet+xml" PartName="/xl/worksheets/sheet44330.xml"/>
  <Override ContentType="application/vnd.openxmlformats-officedocument.spreadsheetml.worksheet+xml" PartName="/xl/worksheets/sheet44331.xml"/>
  <Override ContentType="application/vnd.openxmlformats-officedocument.spreadsheetml.worksheet+xml" PartName="/xl/worksheets/sheet44332.xml"/>
  <Override ContentType="application/vnd.openxmlformats-officedocument.spreadsheetml.worksheet+xml" PartName="/xl/worksheets/sheet44333.xml"/>
  <Override ContentType="application/vnd.openxmlformats-officedocument.spreadsheetml.worksheet+xml" PartName="/xl/worksheets/sheet44334.xml"/>
  <Override ContentType="application/vnd.openxmlformats-officedocument.spreadsheetml.worksheet+xml" PartName="/xl/worksheets/sheet44335.xml"/>
  <Override ContentType="application/vnd.openxmlformats-officedocument.spreadsheetml.worksheet+xml" PartName="/xl/worksheets/sheet44336.xml"/>
  <Override ContentType="application/vnd.openxmlformats-officedocument.spreadsheetml.worksheet+xml" PartName="/xl/worksheets/sheet44337.xml"/>
  <Override ContentType="application/vnd.openxmlformats-officedocument.spreadsheetml.worksheet+xml" PartName="/xl/worksheets/sheet44338.xml"/>
  <Override ContentType="application/vnd.openxmlformats-officedocument.spreadsheetml.worksheet+xml" PartName="/xl/worksheets/sheet44339.xml"/>
  <Override ContentType="application/vnd.openxmlformats-officedocument.spreadsheetml.worksheet+xml" PartName="/xl/worksheets/sheet44340.xml"/>
  <Override ContentType="application/vnd.openxmlformats-officedocument.spreadsheetml.worksheet+xml" PartName="/xl/worksheets/sheet44341.xml"/>
  <Override ContentType="application/vnd.openxmlformats-officedocument.spreadsheetml.worksheet+xml" PartName="/xl/worksheets/sheet44342.xml"/>
  <Override ContentType="application/vnd.openxmlformats-officedocument.spreadsheetml.worksheet+xml" PartName="/xl/worksheets/sheet44343.xml"/>
  <Override ContentType="application/vnd.openxmlformats-officedocument.spreadsheetml.worksheet+xml" PartName="/xl/worksheets/sheet44344.xml"/>
  <Override ContentType="application/vnd.openxmlformats-officedocument.spreadsheetml.worksheet+xml" PartName="/xl/worksheets/sheet44345.xml"/>
  <Override ContentType="application/vnd.openxmlformats-officedocument.spreadsheetml.worksheet+xml" PartName="/xl/worksheets/sheet44346.xml"/>
  <Override ContentType="application/vnd.openxmlformats-officedocument.spreadsheetml.worksheet+xml" PartName="/xl/worksheets/sheet44347.xml"/>
  <Override ContentType="application/vnd.openxmlformats-officedocument.spreadsheetml.worksheet+xml" PartName="/xl/worksheets/sheet44348.xml"/>
  <Override ContentType="application/vnd.openxmlformats-officedocument.spreadsheetml.worksheet+xml" PartName="/xl/worksheets/sheet44349.xml"/>
  <Override ContentType="application/vnd.openxmlformats-officedocument.spreadsheetml.worksheet+xml" PartName="/xl/worksheets/sheet44350.xml"/>
  <Override ContentType="application/vnd.openxmlformats-officedocument.spreadsheetml.worksheet+xml" PartName="/xl/worksheets/sheet44351.xml"/>
  <Override ContentType="application/vnd.openxmlformats-officedocument.spreadsheetml.worksheet+xml" PartName="/xl/worksheets/sheet44352.xml"/>
  <Override ContentType="application/vnd.openxmlformats-officedocument.spreadsheetml.worksheet+xml" PartName="/xl/worksheets/sheet44353.xml"/>
  <Override ContentType="application/vnd.openxmlformats-officedocument.spreadsheetml.worksheet+xml" PartName="/xl/worksheets/sheet44354.xml"/>
  <Override ContentType="application/vnd.openxmlformats-officedocument.spreadsheetml.worksheet+xml" PartName="/xl/worksheets/sheet44355.xml"/>
  <Override ContentType="application/vnd.openxmlformats-officedocument.spreadsheetml.worksheet+xml" PartName="/xl/worksheets/sheet44356.xml"/>
  <Override ContentType="application/vnd.openxmlformats-officedocument.spreadsheetml.worksheet+xml" PartName="/xl/worksheets/sheet44357.xml"/>
  <Override ContentType="application/vnd.openxmlformats-officedocument.spreadsheetml.worksheet+xml" PartName="/xl/worksheets/sheet44358.xml"/>
  <Override ContentType="application/vnd.openxmlformats-officedocument.spreadsheetml.worksheet+xml" PartName="/xl/worksheets/sheet44359.xml"/>
  <Override ContentType="application/vnd.openxmlformats-officedocument.spreadsheetml.worksheet+xml" PartName="/xl/worksheets/sheet44360.xml"/>
  <Override ContentType="application/vnd.openxmlformats-officedocument.spreadsheetml.worksheet+xml" PartName="/xl/worksheets/sheet44361.xml"/>
  <Override ContentType="application/vnd.openxmlformats-officedocument.spreadsheetml.worksheet+xml" PartName="/xl/worksheets/sheet44362.xml"/>
  <Override ContentType="application/vnd.openxmlformats-officedocument.spreadsheetml.worksheet+xml" PartName="/xl/worksheets/sheet44363.xml"/>
  <Override ContentType="application/vnd.openxmlformats-officedocument.spreadsheetml.worksheet+xml" PartName="/xl/worksheets/sheet44364.xml"/>
  <Override ContentType="application/vnd.openxmlformats-officedocument.spreadsheetml.worksheet+xml" PartName="/xl/worksheets/sheet44365.xml"/>
  <Override ContentType="application/vnd.openxmlformats-officedocument.spreadsheetml.worksheet+xml" PartName="/xl/worksheets/sheet44366.xml"/>
  <Override ContentType="application/vnd.openxmlformats-officedocument.spreadsheetml.worksheet+xml" PartName="/xl/worksheets/sheet44367.xml"/>
  <Override ContentType="application/vnd.openxmlformats-officedocument.spreadsheetml.worksheet+xml" PartName="/xl/worksheets/sheet44368.xml"/>
  <Override ContentType="application/vnd.openxmlformats-officedocument.spreadsheetml.worksheet+xml" PartName="/xl/worksheets/sheet44369.xml"/>
  <Override ContentType="application/vnd.openxmlformats-officedocument.spreadsheetml.worksheet+xml" PartName="/xl/worksheets/sheet44370.xml"/>
  <Override ContentType="application/vnd.openxmlformats-officedocument.spreadsheetml.worksheet+xml" PartName="/xl/worksheets/sheet44371.xml"/>
  <Override ContentType="application/vnd.openxmlformats-officedocument.spreadsheetml.worksheet+xml" PartName="/xl/worksheets/sheet44372.xml"/>
  <Override ContentType="application/vnd.openxmlformats-officedocument.spreadsheetml.worksheet+xml" PartName="/xl/worksheets/sheet44373.xml"/>
  <Override ContentType="application/vnd.openxmlformats-officedocument.spreadsheetml.worksheet+xml" PartName="/xl/worksheets/sheet44374.xml"/>
  <Override ContentType="application/vnd.openxmlformats-officedocument.spreadsheetml.worksheet+xml" PartName="/xl/worksheets/sheet44375.xml"/>
  <Override ContentType="application/vnd.openxmlformats-officedocument.spreadsheetml.worksheet+xml" PartName="/xl/worksheets/sheet44376.xml"/>
  <Override ContentType="application/vnd.openxmlformats-officedocument.spreadsheetml.worksheet+xml" PartName="/xl/worksheets/sheet44377.xml"/>
  <Override ContentType="application/vnd.openxmlformats-officedocument.spreadsheetml.worksheet+xml" PartName="/xl/worksheets/sheet44378.xml"/>
  <Override ContentType="application/vnd.openxmlformats-officedocument.spreadsheetml.worksheet+xml" PartName="/xl/worksheets/sheet44379.xml"/>
  <Override ContentType="application/vnd.openxmlformats-officedocument.spreadsheetml.worksheet+xml" PartName="/xl/worksheets/sheet44380.xml"/>
  <Override ContentType="application/vnd.openxmlformats-officedocument.spreadsheetml.worksheet+xml" PartName="/xl/worksheets/sheet44381.xml"/>
  <Override ContentType="application/vnd.openxmlformats-officedocument.spreadsheetml.worksheet+xml" PartName="/xl/worksheets/sheet44382.xml"/>
  <Override ContentType="application/vnd.openxmlformats-officedocument.spreadsheetml.worksheet+xml" PartName="/xl/worksheets/sheet44383.xml"/>
  <Override ContentType="application/vnd.openxmlformats-officedocument.spreadsheetml.worksheet+xml" PartName="/xl/worksheets/sheet44384.xml"/>
  <Override ContentType="application/vnd.openxmlformats-officedocument.spreadsheetml.worksheet+xml" PartName="/xl/worksheets/sheet44385.xml"/>
  <Override ContentType="application/vnd.openxmlformats-officedocument.spreadsheetml.worksheet+xml" PartName="/xl/worksheets/sheet44386.xml"/>
  <Override ContentType="application/vnd.openxmlformats-officedocument.spreadsheetml.worksheet+xml" PartName="/xl/worksheets/sheet44387.xml"/>
  <Override ContentType="application/vnd.openxmlformats-officedocument.spreadsheetml.worksheet+xml" PartName="/xl/worksheets/sheet44388.xml"/>
  <Override ContentType="application/vnd.openxmlformats-officedocument.spreadsheetml.worksheet+xml" PartName="/xl/worksheets/sheet44389.xml"/>
  <Override ContentType="application/vnd.openxmlformats-officedocument.spreadsheetml.worksheet+xml" PartName="/xl/worksheets/sheet44390.xml"/>
  <Override ContentType="application/vnd.openxmlformats-officedocument.spreadsheetml.worksheet+xml" PartName="/xl/worksheets/sheet44391.xml"/>
  <Override ContentType="application/vnd.openxmlformats-officedocument.spreadsheetml.worksheet+xml" PartName="/xl/worksheets/sheet44392.xml"/>
  <Override ContentType="application/vnd.openxmlformats-officedocument.spreadsheetml.worksheet+xml" PartName="/xl/worksheets/sheet44393.xml"/>
  <Override ContentType="application/vnd.openxmlformats-officedocument.spreadsheetml.worksheet+xml" PartName="/xl/worksheets/sheet44394.xml"/>
  <Override ContentType="application/vnd.openxmlformats-officedocument.spreadsheetml.worksheet+xml" PartName="/xl/worksheets/sheet44395.xml"/>
  <Override ContentType="application/vnd.openxmlformats-officedocument.spreadsheetml.worksheet+xml" PartName="/xl/worksheets/sheet44396.xml"/>
  <Override ContentType="application/vnd.openxmlformats-officedocument.spreadsheetml.worksheet+xml" PartName="/xl/worksheets/sheet44397.xml"/>
  <Override ContentType="application/vnd.openxmlformats-officedocument.spreadsheetml.worksheet+xml" PartName="/xl/worksheets/sheet44398.xml"/>
  <Override ContentType="application/vnd.openxmlformats-officedocument.spreadsheetml.worksheet+xml" PartName="/xl/worksheets/sheet44399.xml"/>
  <Override ContentType="application/vnd.openxmlformats-officedocument.spreadsheetml.worksheet+xml" PartName="/xl/worksheets/sheet44400.xml"/>
  <Override ContentType="application/vnd.openxmlformats-officedocument.spreadsheetml.worksheet+xml" PartName="/xl/worksheets/sheet44401.xml"/>
  <Override ContentType="application/vnd.openxmlformats-officedocument.spreadsheetml.worksheet+xml" PartName="/xl/worksheets/sheet44402.xml"/>
  <Override ContentType="application/vnd.openxmlformats-officedocument.spreadsheetml.worksheet+xml" PartName="/xl/worksheets/sheet44403.xml"/>
  <Override ContentType="application/vnd.openxmlformats-officedocument.spreadsheetml.worksheet+xml" PartName="/xl/worksheets/sheet44404.xml"/>
  <Override ContentType="application/vnd.openxmlformats-officedocument.spreadsheetml.worksheet+xml" PartName="/xl/worksheets/sheet44405.xml"/>
  <Override ContentType="application/vnd.openxmlformats-officedocument.spreadsheetml.worksheet+xml" PartName="/xl/worksheets/sheet44406.xml"/>
  <Override ContentType="application/vnd.openxmlformats-officedocument.spreadsheetml.worksheet+xml" PartName="/xl/worksheets/sheet44407.xml"/>
  <Override ContentType="application/vnd.openxmlformats-officedocument.spreadsheetml.worksheet+xml" PartName="/xl/worksheets/sheet44408.xml"/>
  <Override ContentType="application/vnd.openxmlformats-officedocument.spreadsheetml.worksheet+xml" PartName="/xl/worksheets/sheet44409.xml"/>
  <Override ContentType="application/vnd.openxmlformats-officedocument.spreadsheetml.worksheet+xml" PartName="/xl/worksheets/sheet44410.xml"/>
  <Override ContentType="application/vnd.openxmlformats-officedocument.spreadsheetml.worksheet+xml" PartName="/xl/worksheets/sheet44411.xml"/>
  <Override ContentType="application/vnd.openxmlformats-officedocument.spreadsheetml.worksheet+xml" PartName="/xl/worksheets/sheet44412.xml"/>
  <Override ContentType="application/vnd.openxmlformats-officedocument.spreadsheetml.worksheet+xml" PartName="/xl/worksheets/sheet44413.xml"/>
  <Override ContentType="application/vnd.openxmlformats-officedocument.spreadsheetml.worksheet+xml" PartName="/xl/worksheets/sheet44414.xml"/>
  <Override ContentType="application/vnd.openxmlformats-officedocument.spreadsheetml.worksheet+xml" PartName="/xl/worksheets/sheet44415.xml"/>
  <Override ContentType="application/vnd.openxmlformats-officedocument.spreadsheetml.worksheet+xml" PartName="/xl/worksheets/sheet44416.xml"/>
  <Override ContentType="application/vnd.openxmlformats-officedocument.spreadsheetml.worksheet+xml" PartName="/xl/worksheets/sheet44417.xml"/>
  <Override ContentType="application/vnd.openxmlformats-officedocument.spreadsheetml.worksheet+xml" PartName="/xl/worksheets/sheet44418.xml"/>
  <Override ContentType="application/vnd.openxmlformats-officedocument.spreadsheetml.worksheet+xml" PartName="/xl/worksheets/sheet44419.xml"/>
  <Override ContentType="application/vnd.openxmlformats-officedocument.spreadsheetml.worksheet+xml" PartName="/xl/worksheets/sheet44420.xml"/>
  <Override ContentType="application/vnd.openxmlformats-officedocument.spreadsheetml.worksheet+xml" PartName="/xl/worksheets/sheet44421.xml"/>
  <Override ContentType="application/vnd.openxmlformats-officedocument.spreadsheetml.worksheet+xml" PartName="/xl/worksheets/sheet44422.xml"/>
  <Override ContentType="application/vnd.openxmlformats-officedocument.spreadsheetml.worksheet+xml" PartName="/xl/worksheets/sheet44423.xml"/>
  <Override ContentType="application/vnd.openxmlformats-officedocument.spreadsheetml.worksheet+xml" PartName="/xl/worksheets/sheet44424.xml"/>
  <Override ContentType="application/vnd.openxmlformats-officedocument.spreadsheetml.worksheet+xml" PartName="/xl/worksheets/sheet44425.xml"/>
  <Override ContentType="application/vnd.openxmlformats-officedocument.spreadsheetml.worksheet+xml" PartName="/xl/worksheets/sheet44426.xml"/>
  <Override ContentType="application/vnd.openxmlformats-officedocument.spreadsheetml.worksheet+xml" PartName="/xl/worksheets/sheet44427.xml"/>
  <Override ContentType="application/vnd.openxmlformats-officedocument.spreadsheetml.worksheet+xml" PartName="/xl/worksheets/sheet44428.xml"/>
  <Override ContentType="application/vnd.openxmlformats-officedocument.spreadsheetml.worksheet+xml" PartName="/xl/worksheets/sheet44429.xml"/>
  <Override ContentType="application/vnd.openxmlformats-officedocument.spreadsheetml.worksheet+xml" PartName="/xl/worksheets/sheet44430.xml"/>
  <Override ContentType="application/vnd.openxmlformats-officedocument.spreadsheetml.worksheet+xml" PartName="/xl/worksheets/sheet44431.xml"/>
  <Override ContentType="application/vnd.openxmlformats-officedocument.spreadsheetml.worksheet+xml" PartName="/xl/worksheets/sheet44432.xml"/>
  <Override ContentType="application/vnd.openxmlformats-officedocument.spreadsheetml.worksheet+xml" PartName="/xl/worksheets/sheet44433.xml"/>
  <Override ContentType="application/vnd.openxmlformats-officedocument.spreadsheetml.worksheet+xml" PartName="/xl/worksheets/sheet44434.xml"/>
  <Override ContentType="application/vnd.openxmlformats-officedocument.spreadsheetml.worksheet+xml" PartName="/xl/worksheets/sheet44435.xml"/>
  <Override ContentType="application/vnd.openxmlformats-officedocument.spreadsheetml.worksheet+xml" PartName="/xl/worksheets/sheet44436.xml"/>
  <Override ContentType="application/vnd.openxmlformats-officedocument.spreadsheetml.worksheet+xml" PartName="/xl/worksheets/sheet44437.xml"/>
  <Override ContentType="application/vnd.openxmlformats-officedocument.spreadsheetml.worksheet+xml" PartName="/xl/worksheets/sheet44438.xml"/>
  <Override ContentType="application/vnd.openxmlformats-officedocument.spreadsheetml.worksheet+xml" PartName="/xl/worksheets/sheet44439.xml"/>
  <Override ContentType="application/vnd.openxmlformats-officedocument.spreadsheetml.worksheet+xml" PartName="/xl/worksheets/sheet44440.xml"/>
  <Override ContentType="application/vnd.openxmlformats-officedocument.spreadsheetml.worksheet+xml" PartName="/xl/worksheets/sheet44441.xml"/>
  <Override ContentType="application/vnd.openxmlformats-officedocument.spreadsheetml.worksheet+xml" PartName="/xl/worksheets/sheet44442.xml"/>
  <Override ContentType="application/vnd.openxmlformats-officedocument.spreadsheetml.worksheet+xml" PartName="/xl/worksheets/sheet44443.xml"/>
  <Override ContentType="application/vnd.openxmlformats-officedocument.spreadsheetml.worksheet+xml" PartName="/xl/worksheets/sheet44444.xml"/>
  <Override ContentType="application/vnd.openxmlformats-officedocument.spreadsheetml.worksheet+xml" PartName="/xl/worksheets/sheet44445.xml"/>
  <Override ContentType="application/vnd.openxmlformats-officedocument.spreadsheetml.worksheet+xml" PartName="/xl/worksheets/sheet44446.xml"/>
  <Override ContentType="application/vnd.openxmlformats-officedocument.spreadsheetml.worksheet+xml" PartName="/xl/worksheets/sheet44447.xml"/>
  <Override ContentType="application/vnd.openxmlformats-officedocument.spreadsheetml.worksheet+xml" PartName="/xl/worksheets/sheet44448.xml"/>
  <Override ContentType="application/vnd.openxmlformats-officedocument.spreadsheetml.worksheet+xml" PartName="/xl/worksheets/sheet44449.xml"/>
  <Override ContentType="application/vnd.openxmlformats-officedocument.spreadsheetml.worksheet+xml" PartName="/xl/worksheets/sheet44450.xml"/>
  <Override ContentType="application/vnd.openxmlformats-officedocument.spreadsheetml.worksheet+xml" PartName="/xl/worksheets/sheet44451.xml"/>
  <Override ContentType="application/vnd.openxmlformats-officedocument.spreadsheetml.worksheet+xml" PartName="/xl/worksheets/sheet44452.xml"/>
  <Override ContentType="application/vnd.openxmlformats-officedocument.spreadsheetml.worksheet+xml" PartName="/xl/worksheets/sheet44453.xml"/>
  <Override ContentType="application/vnd.openxmlformats-officedocument.spreadsheetml.worksheet+xml" PartName="/xl/worksheets/sheet44454.xml"/>
  <Override ContentType="application/vnd.openxmlformats-officedocument.spreadsheetml.worksheet+xml" PartName="/xl/worksheets/sheet44455.xml"/>
  <Override ContentType="application/vnd.openxmlformats-officedocument.spreadsheetml.worksheet+xml" PartName="/xl/worksheets/sheet44456.xml"/>
  <Override ContentType="application/vnd.openxmlformats-officedocument.spreadsheetml.worksheet+xml" PartName="/xl/worksheets/sheet44457.xml"/>
  <Override ContentType="application/vnd.openxmlformats-officedocument.spreadsheetml.worksheet+xml" PartName="/xl/worksheets/sheet44458.xml"/>
  <Override ContentType="application/vnd.openxmlformats-officedocument.spreadsheetml.worksheet+xml" PartName="/xl/worksheets/sheet44459.xml"/>
  <Override ContentType="application/vnd.openxmlformats-officedocument.spreadsheetml.worksheet+xml" PartName="/xl/worksheets/sheet44460.xml"/>
  <Override ContentType="application/vnd.openxmlformats-officedocument.spreadsheetml.worksheet+xml" PartName="/xl/worksheets/sheet44461.xml"/>
  <Override ContentType="application/vnd.openxmlformats-officedocument.spreadsheetml.worksheet+xml" PartName="/xl/worksheets/sheet44462.xml"/>
  <Override ContentType="application/vnd.openxmlformats-officedocument.spreadsheetml.worksheet+xml" PartName="/xl/worksheets/sheet44463.xml"/>
  <Override ContentType="application/vnd.openxmlformats-officedocument.spreadsheetml.worksheet+xml" PartName="/xl/worksheets/sheet44464.xml"/>
  <Override ContentType="application/vnd.openxmlformats-officedocument.spreadsheetml.worksheet+xml" PartName="/xl/worksheets/sheet44465.xml"/>
  <Override ContentType="application/vnd.openxmlformats-officedocument.spreadsheetml.worksheet+xml" PartName="/xl/worksheets/sheet44466.xml"/>
  <Override ContentType="application/vnd.openxmlformats-officedocument.spreadsheetml.worksheet+xml" PartName="/xl/worksheets/sheet44467.xml"/>
  <Override ContentType="application/vnd.openxmlformats-officedocument.spreadsheetml.worksheet+xml" PartName="/xl/worksheets/sheet44468.xml"/>
  <Override ContentType="application/vnd.openxmlformats-officedocument.spreadsheetml.worksheet+xml" PartName="/xl/worksheets/sheet44469.xml"/>
  <Override ContentType="application/vnd.openxmlformats-officedocument.spreadsheetml.worksheet+xml" PartName="/xl/worksheets/sheet44470.xml"/>
  <Override ContentType="application/vnd.openxmlformats-officedocument.spreadsheetml.worksheet+xml" PartName="/xl/worksheets/sheet44471.xml"/>
  <Override ContentType="application/vnd.openxmlformats-officedocument.spreadsheetml.worksheet+xml" PartName="/xl/worksheets/sheet44472.xml"/>
  <Override ContentType="application/vnd.openxmlformats-officedocument.spreadsheetml.worksheet+xml" PartName="/xl/worksheets/sheet44473.xml"/>
  <Override ContentType="application/vnd.openxmlformats-officedocument.spreadsheetml.worksheet+xml" PartName="/xl/worksheets/sheet44474.xml"/>
  <Override ContentType="application/vnd.openxmlformats-officedocument.spreadsheetml.worksheet+xml" PartName="/xl/worksheets/sheet44475.xml"/>
  <Override ContentType="application/vnd.openxmlformats-officedocument.spreadsheetml.worksheet+xml" PartName="/xl/worksheets/sheet44476.xml"/>
  <Override ContentType="application/vnd.openxmlformats-officedocument.spreadsheetml.worksheet+xml" PartName="/xl/worksheets/sheet44477.xml"/>
  <Override ContentType="application/vnd.openxmlformats-officedocument.spreadsheetml.worksheet+xml" PartName="/xl/worksheets/sheet44478.xml"/>
  <Override ContentType="application/vnd.openxmlformats-officedocument.spreadsheetml.worksheet+xml" PartName="/xl/worksheets/sheet44479.xml"/>
  <Override ContentType="application/vnd.openxmlformats-officedocument.spreadsheetml.worksheet+xml" PartName="/xl/worksheets/sheet44480.xml"/>
  <Override ContentType="application/vnd.openxmlformats-officedocument.spreadsheetml.worksheet+xml" PartName="/xl/worksheets/sheet44481.xml"/>
  <Override ContentType="application/vnd.openxmlformats-officedocument.spreadsheetml.worksheet+xml" PartName="/xl/worksheets/sheet44482.xml"/>
  <Override ContentType="application/vnd.openxmlformats-officedocument.spreadsheetml.worksheet+xml" PartName="/xl/worksheets/sheet44483.xml"/>
  <Override ContentType="application/vnd.openxmlformats-officedocument.spreadsheetml.worksheet+xml" PartName="/xl/worksheets/sheet44484.xml"/>
  <Override ContentType="application/vnd.openxmlformats-officedocument.spreadsheetml.worksheet+xml" PartName="/xl/worksheets/sheet44485.xml"/>
  <Override ContentType="application/vnd.openxmlformats-officedocument.spreadsheetml.worksheet+xml" PartName="/xl/worksheets/sheet44486.xml"/>
  <Override ContentType="application/vnd.openxmlformats-officedocument.spreadsheetml.worksheet+xml" PartName="/xl/worksheets/sheet44487.xml"/>
  <Override ContentType="application/vnd.openxmlformats-officedocument.spreadsheetml.worksheet+xml" PartName="/xl/worksheets/sheet44488.xml"/>
  <Override ContentType="application/vnd.openxmlformats-officedocument.spreadsheetml.worksheet+xml" PartName="/xl/worksheets/sheet44489.xml"/>
  <Override ContentType="application/vnd.openxmlformats-officedocument.spreadsheetml.worksheet+xml" PartName="/xl/worksheets/sheet44490.xml"/>
  <Override ContentType="application/vnd.openxmlformats-officedocument.spreadsheetml.worksheet+xml" PartName="/xl/worksheets/sheet44491.xml"/>
  <Override ContentType="application/vnd.openxmlformats-officedocument.spreadsheetml.worksheet+xml" PartName="/xl/worksheets/sheet44492.xml"/>
  <Override ContentType="application/vnd.openxmlformats-officedocument.spreadsheetml.worksheet+xml" PartName="/xl/worksheets/sheet44493.xml"/>
  <Override ContentType="application/vnd.openxmlformats-officedocument.spreadsheetml.worksheet+xml" PartName="/xl/worksheets/sheet44494.xml"/>
  <Override ContentType="application/vnd.openxmlformats-officedocument.spreadsheetml.worksheet+xml" PartName="/xl/worksheets/sheet44495.xml"/>
  <Override ContentType="application/vnd.openxmlformats-officedocument.spreadsheetml.worksheet+xml" PartName="/xl/worksheets/sheet44496.xml"/>
  <Override ContentType="application/vnd.openxmlformats-officedocument.spreadsheetml.worksheet+xml" PartName="/xl/worksheets/sheet44497.xml"/>
  <Override ContentType="application/vnd.openxmlformats-officedocument.spreadsheetml.worksheet+xml" PartName="/xl/worksheets/sheet44498.xml"/>
  <Override ContentType="application/vnd.openxmlformats-officedocument.spreadsheetml.worksheet+xml" PartName="/xl/worksheets/sheet44499.xml"/>
  <Override ContentType="application/vnd.openxmlformats-officedocument.spreadsheetml.worksheet+xml" PartName="/xl/worksheets/sheet44500.xml"/>
  <Override ContentType="application/vnd.openxmlformats-officedocument.spreadsheetml.worksheet+xml" PartName="/xl/worksheets/sheet44501.xml"/>
  <Override ContentType="application/vnd.openxmlformats-officedocument.spreadsheetml.worksheet+xml" PartName="/xl/worksheets/sheet44502.xml"/>
  <Override ContentType="application/vnd.openxmlformats-officedocument.spreadsheetml.worksheet+xml" PartName="/xl/worksheets/sheet44503.xml"/>
  <Override ContentType="application/vnd.openxmlformats-officedocument.spreadsheetml.worksheet+xml" PartName="/xl/worksheets/sheet44504.xml"/>
  <Override ContentType="application/vnd.openxmlformats-officedocument.spreadsheetml.worksheet+xml" PartName="/xl/worksheets/sheet44505.xml"/>
  <Override ContentType="application/vnd.openxmlformats-officedocument.spreadsheetml.worksheet+xml" PartName="/xl/worksheets/sheet44506.xml"/>
  <Override ContentType="application/vnd.openxmlformats-officedocument.spreadsheetml.worksheet+xml" PartName="/xl/worksheets/sheet44507.xml"/>
  <Override ContentType="application/vnd.openxmlformats-officedocument.spreadsheetml.worksheet+xml" PartName="/xl/worksheets/sheet44508.xml"/>
  <Override ContentType="application/vnd.openxmlformats-officedocument.spreadsheetml.worksheet+xml" PartName="/xl/worksheets/sheet44509.xml"/>
  <Override ContentType="application/vnd.openxmlformats-officedocument.spreadsheetml.worksheet+xml" PartName="/xl/worksheets/sheet44510.xml"/>
  <Override ContentType="application/vnd.openxmlformats-officedocument.spreadsheetml.worksheet+xml" PartName="/xl/worksheets/sheet44511.xml"/>
  <Override ContentType="application/vnd.openxmlformats-officedocument.spreadsheetml.worksheet+xml" PartName="/xl/worksheets/sheet44512.xml"/>
  <Override ContentType="application/vnd.openxmlformats-officedocument.spreadsheetml.worksheet+xml" PartName="/xl/worksheets/sheet44513.xml"/>
  <Override ContentType="application/vnd.openxmlformats-officedocument.spreadsheetml.worksheet+xml" PartName="/xl/worksheets/sheet44514.xml"/>
  <Override ContentType="application/vnd.openxmlformats-officedocument.spreadsheetml.worksheet+xml" PartName="/xl/worksheets/sheet44515.xml"/>
  <Override ContentType="application/vnd.openxmlformats-officedocument.spreadsheetml.worksheet+xml" PartName="/xl/worksheets/sheet44516.xml"/>
  <Override ContentType="application/vnd.openxmlformats-officedocument.spreadsheetml.worksheet+xml" PartName="/xl/worksheets/sheet44517.xml"/>
  <Override ContentType="application/vnd.openxmlformats-officedocument.spreadsheetml.worksheet+xml" PartName="/xl/worksheets/sheet44518.xml"/>
  <Override ContentType="application/vnd.openxmlformats-officedocument.spreadsheetml.worksheet+xml" PartName="/xl/worksheets/sheet44519.xml"/>
  <Override ContentType="application/vnd.openxmlformats-officedocument.spreadsheetml.worksheet+xml" PartName="/xl/worksheets/sheet44520.xml"/>
  <Override ContentType="application/vnd.openxmlformats-officedocument.spreadsheetml.worksheet+xml" PartName="/xl/worksheets/sheet44521.xml"/>
  <Override ContentType="application/vnd.openxmlformats-officedocument.spreadsheetml.worksheet+xml" PartName="/xl/worksheets/sheet44522.xml"/>
  <Override ContentType="application/vnd.openxmlformats-officedocument.spreadsheetml.worksheet+xml" PartName="/xl/worksheets/sheet44523.xml"/>
  <Override ContentType="application/vnd.openxmlformats-officedocument.spreadsheetml.worksheet+xml" PartName="/xl/worksheets/sheet44524.xml"/>
  <Override ContentType="application/vnd.openxmlformats-officedocument.spreadsheetml.worksheet+xml" PartName="/xl/worksheets/sheet44525.xml"/>
  <Override ContentType="application/vnd.openxmlformats-officedocument.spreadsheetml.worksheet+xml" PartName="/xl/worksheets/sheet44526.xml"/>
  <Override ContentType="application/vnd.openxmlformats-officedocument.spreadsheetml.worksheet+xml" PartName="/xl/worksheets/sheet44527.xml"/>
  <Override ContentType="application/vnd.openxmlformats-officedocument.spreadsheetml.worksheet+xml" PartName="/xl/worksheets/sheet44528.xml"/>
  <Override ContentType="application/vnd.openxmlformats-officedocument.spreadsheetml.worksheet+xml" PartName="/xl/worksheets/sheet44529.xml"/>
  <Override ContentType="application/vnd.openxmlformats-officedocument.spreadsheetml.worksheet+xml" PartName="/xl/worksheets/sheet44530.xml"/>
  <Override ContentType="application/vnd.openxmlformats-officedocument.spreadsheetml.worksheet+xml" PartName="/xl/worksheets/sheet44531.xml"/>
  <Override ContentType="application/vnd.openxmlformats-officedocument.spreadsheetml.worksheet+xml" PartName="/xl/worksheets/sheet44532.xml"/>
  <Override ContentType="application/vnd.openxmlformats-officedocument.spreadsheetml.worksheet+xml" PartName="/xl/worksheets/sheet44533.xml"/>
  <Override ContentType="application/vnd.openxmlformats-officedocument.spreadsheetml.worksheet+xml" PartName="/xl/worksheets/sheet44534.xml"/>
  <Override ContentType="application/vnd.openxmlformats-officedocument.spreadsheetml.worksheet+xml" PartName="/xl/worksheets/sheet44535.xml"/>
  <Override ContentType="application/vnd.openxmlformats-officedocument.spreadsheetml.worksheet+xml" PartName="/xl/worksheets/sheet44536.xml"/>
  <Override ContentType="application/vnd.openxmlformats-officedocument.spreadsheetml.worksheet+xml" PartName="/xl/worksheets/sheet44537.xml"/>
  <Override ContentType="application/vnd.openxmlformats-officedocument.spreadsheetml.worksheet+xml" PartName="/xl/worksheets/sheet44538.xml"/>
  <Override ContentType="application/vnd.openxmlformats-officedocument.spreadsheetml.worksheet+xml" PartName="/xl/worksheets/sheet44539.xml"/>
  <Override ContentType="application/vnd.openxmlformats-officedocument.spreadsheetml.worksheet+xml" PartName="/xl/worksheets/sheet44540.xml"/>
  <Override ContentType="application/vnd.openxmlformats-officedocument.spreadsheetml.worksheet+xml" PartName="/xl/worksheets/sheet44541.xml"/>
  <Override ContentType="application/vnd.openxmlformats-officedocument.spreadsheetml.worksheet+xml" PartName="/xl/worksheets/sheet44542.xml"/>
  <Override ContentType="application/vnd.openxmlformats-officedocument.spreadsheetml.worksheet+xml" PartName="/xl/worksheets/sheet44543.xml"/>
  <Override ContentType="application/vnd.openxmlformats-officedocument.spreadsheetml.worksheet+xml" PartName="/xl/worksheets/sheet44544.xml"/>
  <Override ContentType="application/vnd.openxmlformats-officedocument.spreadsheetml.worksheet+xml" PartName="/xl/worksheets/sheet44545.xml"/>
  <Override ContentType="application/vnd.openxmlformats-officedocument.spreadsheetml.worksheet+xml" PartName="/xl/worksheets/sheet44546.xml"/>
  <Override ContentType="application/vnd.openxmlformats-officedocument.spreadsheetml.worksheet+xml" PartName="/xl/worksheets/sheet44547.xml"/>
  <Override ContentType="application/vnd.openxmlformats-officedocument.spreadsheetml.worksheet+xml" PartName="/xl/worksheets/sheet44548.xml"/>
  <Override ContentType="application/vnd.openxmlformats-officedocument.spreadsheetml.worksheet+xml" PartName="/xl/worksheets/sheet44549.xml"/>
  <Override ContentType="application/vnd.openxmlformats-officedocument.spreadsheetml.worksheet+xml" PartName="/xl/worksheets/sheet44550.xml"/>
  <Override ContentType="application/vnd.openxmlformats-officedocument.spreadsheetml.worksheet+xml" PartName="/xl/worksheets/sheet44551.xml"/>
  <Override ContentType="application/vnd.openxmlformats-officedocument.spreadsheetml.worksheet+xml" PartName="/xl/worksheets/sheet44552.xml"/>
  <Override ContentType="application/vnd.openxmlformats-officedocument.spreadsheetml.worksheet+xml" PartName="/xl/worksheets/sheet44553.xml"/>
  <Override ContentType="application/vnd.openxmlformats-officedocument.spreadsheetml.worksheet+xml" PartName="/xl/worksheets/sheet44554.xml"/>
  <Override ContentType="application/vnd.openxmlformats-officedocument.spreadsheetml.worksheet+xml" PartName="/xl/worksheets/sheet44555.xml"/>
  <Override ContentType="application/vnd.openxmlformats-officedocument.spreadsheetml.worksheet+xml" PartName="/xl/worksheets/sheet44556.xml"/>
  <Override ContentType="application/vnd.openxmlformats-officedocument.spreadsheetml.worksheet+xml" PartName="/xl/worksheets/sheet44557.xml"/>
  <Override ContentType="application/vnd.openxmlformats-officedocument.spreadsheetml.worksheet+xml" PartName="/xl/worksheets/sheet44558.xml"/>
  <Override ContentType="application/vnd.openxmlformats-officedocument.spreadsheetml.worksheet+xml" PartName="/xl/worksheets/sheet44559.xml"/>
  <Override ContentType="application/vnd.openxmlformats-officedocument.spreadsheetml.worksheet+xml" PartName="/xl/worksheets/sheet44560.xml"/>
  <Override ContentType="application/vnd.openxmlformats-officedocument.spreadsheetml.worksheet+xml" PartName="/xl/worksheets/sheet44561.xml"/>
  <Override ContentType="application/vnd.openxmlformats-officedocument.spreadsheetml.worksheet+xml" PartName="/xl/worksheets/sheet44562.xml"/>
  <Override ContentType="application/vnd.openxmlformats-officedocument.spreadsheetml.worksheet+xml" PartName="/xl/worksheets/sheet44563.xml"/>
  <Override ContentType="application/vnd.openxmlformats-officedocument.spreadsheetml.worksheet+xml" PartName="/xl/worksheets/sheet44564.xml"/>
  <Override ContentType="application/vnd.openxmlformats-officedocument.spreadsheetml.worksheet+xml" PartName="/xl/worksheets/sheet44565.xml"/>
  <Override ContentType="application/vnd.openxmlformats-officedocument.spreadsheetml.worksheet+xml" PartName="/xl/worksheets/sheet44566.xml"/>
  <Override ContentType="application/vnd.openxmlformats-officedocument.spreadsheetml.worksheet+xml" PartName="/xl/worksheets/sheet44567.xml"/>
  <Override ContentType="application/vnd.openxmlformats-officedocument.spreadsheetml.worksheet+xml" PartName="/xl/worksheets/sheet44568.xml"/>
  <Override ContentType="application/vnd.openxmlformats-officedocument.spreadsheetml.worksheet+xml" PartName="/xl/worksheets/sheet44569.xml"/>
  <Override ContentType="application/vnd.openxmlformats-officedocument.spreadsheetml.worksheet+xml" PartName="/xl/worksheets/sheet44570.xml"/>
  <Override ContentType="application/vnd.openxmlformats-officedocument.spreadsheetml.worksheet+xml" PartName="/xl/worksheets/sheet44571.xml"/>
  <Override ContentType="application/vnd.openxmlformats-officedocument.spreadsheetml.worksheet+xml" PartName="/xl/worksheets/sheet44572.xml"/>
  <Override ContentType="application/vnd.openxmlformats-officedocument.spreadsheetml.worksheet+xml" PartName="/xl/worksheets/sheet44573.xml"/>
  <Override ContentType="application/vnd.openxmlformats-officedocument.spreadsheetml.worksheet+xml" PartName="/xl/worksheets/sheet44574.xml"/>
  <Override ContentType="application/vnd.openxmlformats-officedocument.spreadsheetml.worksheet+xml" PartName="/xl/worksheets/sheet44575.xml"/>
  <Override ContentType="application/vnd.openxmlformats-officedocument.spreadsheetml.worksheet+xml" PartName="/xl/worksheets/sheet44576.xml"/>
  <Override ContentType="application/vnd.openxmlformats-officedocument.spreadsheetml.worksheet+xml" PartName="/xl/worksheets/sheet44577.xml"/>
  <Override ContentType="application/vnd.openxmlformats-officedocument.spreadsheetml.worksheet+xml" PartName="/xl/worksheets/sheet44578.xml"/>
  <Override ContentType="application/vnd.openxmlformats-officedocument.spreadsheetml.worksheet+xml" PartName="/xl/worksheets/sheet44579.xml"/>
  <Override ContentType="application/vnd.openxmlformats-officedocument.spreadsheetml.worksheet+xml" PartName="/xl/worksheets/sheet44580.xml"/>
  <Override ContentType="application/vnd.openxmlformats-officedocument.spreadsheetml.worksheet+xml" PartName="/xl/worksheets/sheet44581.xml"/>
  <Override ContentType="application/vnd.openxmlformats-officedocument.spreadsheetml.worksheet+xml" PartName="/xl/worksheets/sheet44582.xml"/>
  <Override ContentType="application/vnd.openxmlformats-officedocument.spreadsheetml.worksheet+xml" PartName="/xl/worksheets/sheet44583.xml"/>
  <Override ContentType="application/vnd.openxmlformats-officedocument.spreadsheetml.worksheet+xml" PartName="/xl/worksheets/sheet44584.xml"/>
  <Override ContentType="application/vnd.openxmlformats-officedocument.spreadsheetml.worksheet+xml" PartName="/xl/worksheets/sheet44585.xml"/>
  <Override ContentType="application/vnd.openxmlformats-officedocument.spreadsheetml.worksheet+xml" PartName="/xl/worksheets/sheet44586.xml"/>
  <Override ContentType="application/vnd.openxmlformats-officedocument.spreadsheetml.worksheet+xml" PartName="/xl/worksheets/sheet44587.xml"/>
  <Override ContentType="application/vnd.openxmlformats-officedocument.spreadsheetml.worksheet+xml" PartName="/xl/worksheets/sheet44588.xml"/>
  <Override ContentType="application/vnd.openxmlformats-officedocument.spreadsheetml.worksheet+xml" PartName="/xl/worksheets/sheet44589.xml"/>
  <Override ContentType="application/vnd.openxmlformats-officedocument.spreadsheetml.worksheet+xml" PartName="/xl/worksheets/sheet44590.xml"/>
  <Override ContentType="application/vnd.openxmlformats-officedocument.spreadsheetml.worksheet+xml" PartName="/xl/worksheets/sheet44591.xml"/>
  <Override ContentType="application/vnd.openxmlformats-officedocument.spreadsheetml.worksheet+xml" PartName="/xl/worksheets/sheet44592.xml"/>
  <Override ContentType="application/vnd.openxmlformats-officedocument.spreadsheetml.worksheet+xml" PartName="/xl/worksheets/sheet44593.xml"/>
  <Override ContentType="application/vnd.openxmlformats-officedocument.spreadsheetml.worksheet+xml" PartName="/xl/worksheets/sheet44594.xml"/>
  <Override ContentType="application/vnd.openxmlformats-officedocument.spreadsheetml.worksheet+xml" PartName="/xl/worksheets/sheet44595.xml"/>
  <Override ContentType="application/vnd.openxmlformats-officedocument.spreadsheetml.worksheet+xml" PartName="/xl/worksheets/sheet44596.xml"/>
  <Override ContentType="application/vnd.openxmlformats-officedocument.spreadsheetml.worksheet+xml" PartName="/xl/worksheets/sheet44597.xml"/>
  <Override ContentType="application/vnd.openxmlformats-officedocument.spreadsheetml.worksheet+xml" PartName="/xl/worksheets/sheet44598.xml"/>
  <Override ContentType="application/vnd.openxmlformats-officedocument.spreadsheetml.worksheet+xml" PartName="/xl/worksheets/sheet44599.xml"/>
  <Override ContentType="application/vnd.openxmlformats-officedocument.spreadsheetml.worksheet+xml" PartName="/xl/worksheets/sheet44600.xml"/>
  <Override ContentType="application/vnd.openxmlformats-officedocument.spreadsheetml.worksheet+xml" PartName="/xl/worksheets/sheet44601.xml"/>
  <Override ContentType="application/vnd.openxmlformats-officedocument.spreadsheetml.worksheet+xml" PartName="/xl/worksheets/sheet44602.xml"/>
  <Override ContentType="application/vnd.openxmlformats-officedocument.spreadsheetml.worksheet+xml" PartName="/xl/worksheets/sheet44603.xml"/>
  <Override ContentType="application/vnd.openxmlformats-officedocument.spreadsheetml.worksheet+xml" PartName="/xl/worksheets/sheet44604.xml"/>
  <Override ContentType="application/vnd.openxmlformats-officedocument.spreadsheetml.worksheet+xml" PartName="/xl/worksheets/sheet44605.xml"/>
  <Override ContentType="application/vnd.openxmlformats-officedocument.spreadsheetml.worksheet+xml" PartName="/xl/worksheets/sheet44606.xml"/>
  <Override ContentType="application/vnd.openxmlformats-officedocument.spreadsheetml.worksheet+xml" PartName="/xl/worksheets/sheet44607.xml"/>
  <Override ContentType="application/vnd.openxmlformats-officedocument.spreadsheetml.worksheet+xml" PartName="/xl/worksheets/sheet44608.xml"/>
  <Override ContentType="application/vnd.openxmlformats-officedocument.spreadsheetml.worksheet+xml" PartName="/xl/worksheets/sheet44609.xml"/>
  <Override ContentType="application/vnd.openxmlformats-officedocument.spreadsheetml.worksheet+xml" PartName="/xl/worksheets/sheet44610.xml"/>
  <Override ContentType="application/vnd.openxmlformats-officedocument.spreadsheetml.worksheet+xml" PartName="/xl/worksheets/sheet44611.xml"/>
  <Override ContentType="application/vnd.openxmlformats-officedocument.spreadsheetml.worksheet+xml" PartName="/xl/worksheets/sheet44612.xml"/>
  <Override ContentType="application/vnd.openxmlformats-officedocument.spreadsheetml.worksheet+xml" PartName="/xl/worksheets/sheet44613.xml"/>
  <Override ContentType="application/vnd.openxmlformats-officedocument.spreadsheetml.worksheet+xml" PartName="/xl/worksheets/sheet44614.xml"/>
  <Override ContentType="application/vnd.openxmlformats-officedocument.spreadsheetml.worksheet+xml" PartName="/xl/worksheets/sheet44615.xml"/>
  <Override ContentType="application/vnd.openxmlformats-officedocument.spreadsheetml.worksheet+xml" PartName="/xl/worksheets/sheet44616.xml"/>
  <Override ContentType="application/vnd.openxmlformats-officedocument.spreadsheetml.worksheet+xml" PartName="/xl/worksheets/sheet44617.xml"/>
  <Override ContentType="application/vnd.openxmlformats-officedocument.spreadsheetml.worksheet+xml" PartName="/xl/worksheets/sheet44618.xml"/>
  <Override ContentType="application/vnd.openxmlformats-officedocument.spreadsheetml.worksheet+xml" PartName="/xl/worksheets/sheet44619.xml"/>
  <Override ContentType="application/vnd.openxmlformats-officedocument.spreadsheetml.worksheet+xml" PartName="/xl/worksheets/sheet44620.xml"/>
  <Override ContentType="application/vnd.openxmlformats-officedocument.spreadsheetml.worksheet+xml" PartName="/xl/worksheets/sheet44621.xml"/>
  <Override ContentType="application/vnd.openxmlformats-officedocument.spreadsheetml.worksheet+xml" PartName="/xl/worksheets/sheet44622.xml"/>
  <Override ContentType="application/vnd.openxmlformats-officedocument.spreadsheetml.worksheet+xml" PartName="/xl/worksheets/sheet44623.xml"/>
  <Override ContentType="application/vnd.openxmlformats-officedocument.spreadsheetml.worksheet+xml" PartName="/xl/worksheets/sheet44624.xml"/>
  <Override ContentType="application/vnd.openxmlformats-officedocument.spreadsheetml.worksheet+xml" PartName="/xl/worksheets/sheet44625.xml"/>
  <Override ContentType="application/vnd.openxmlformats-officedocument.spreadsheetml.worksheet+xml" PartName="/xl/worksheets/sheet44626.xml"/>
  <Override ContentType="application/vnd.openxmlformats-officedocument.spreadsheetml.worksheet+xml" PartName="/xl/worksheets/sheet44627.xml"/>
  <Override ContentType="application/vnd.openxmlformats-officedocument.spreadsheetml.worksheet+xml" PartName="/xl/worksheets/sheet44628.xml"/>
  <Override ContentType="application/vnd.openxmlformats-officedocument.spreadsheetml.worksheet+xml" PartName="/xl/worksheets/sheet44629.xml"/>
  <Override ContentType="application/vnd.openxmlformats-officedocument.spreadsheetml.worksheet+xml" PartName="/xl/worksheets/sheet44630.xml"/>
  <Override ContentType="application/vnd.openxmlformats-officedocument.spreadsheetml.worksheet+xml" PartName="/xl/worksheets/sheet44631.xml"/>
  <Override ContentType="application/vnd.openxmlformats-officedocument.spreadsheetml.worksheet+xml" PartName="/xl/worksheets/sheet44632.xml"/>
  <Override ContentType="application/vnd.openxmlformats-officedocument.spreadsheetml.worksheet+xml" PartName="/xl/worksheets/sheet44633.xml"/>
  <Override ContentType="application/vnd.openxmlformats-officedocument.spreadsheetml.worksheet+xml" PartName="/xl/worksheets/sheet44634.xml"/>
  <Override ContentType="application/vnd.openxmlformats-officedocument.spreadsheetml.worksheet+xml" PartName="/xl/worksheets/sheet44635.xml"/>
  <Override ContentType="application/vnd.openxmlformats-officedocument.spreadsheetml.worksheet+xml" PartName="/xl/worksheets/sheet44636.xml"/>
  <Override ContentType="application/vnd.openxmlformats-officedocument.spreadsheetml.worksheet+xml" PartName="/xl/worksheets/sheet44637.xml"/>
  <Override ContentType="application/vnd.openxmlformats-officedocument.spreadsheetml.worksheet+xml" PartName="/xl/worksheets/sheet44638.xml"/>
  <Override ContentType="application/vnd.openxmlformats-officedocument.spreadsheetml.worksheet+xml" PartName="/xl/worksheets/sheet44639.xml"/>
  <Override ContentType="application/vnd.openxmlformats-officedocument.spreadsheetml.worksheet+xml" PartName="/xl/worksheets/sheet44640.xml"/>
  <Override ContentType="application/vnd.openxmlformats-officedocument.spreadsheetml.worksheet+xml" PartName="/xl/worksheets/sheet44641.xml"/>
  <Override ContentType="application/vnd.openxmlformats-officedocument.spreadsheetml.worksheet+xml" PartName="/xl/worksheets/sheet44642.xml"/>
  <Override ContentType="application/vnd.openxmlformats-officedocument.spreadsheetml.worksheet+xml" PartName="/xl/worksheets/sheet44643.xml"/>
  <Override ContentType="application/vnd.openxmlformats-officedocument.spreadsheetml.worksheet+xml" PartName="/xl/worksheets/sheet44644.xml"/>
  <Override ContentType="application/vnd.openxmlformats-officedocument.spreadsheetml.worksheet+xml" PartName="/xl/worksheets/sheet44645.xml"/>
  <Override ContentType="application/vnd.openxmlformats-officedocument.spreadsheetml.worksheet+xml" PartName="/xl/worksheets/sheet44646.xml"/>
  <Override ContentType="application/vnd.openxmlformats-officedocument.spreadsheetml.worksheet+xml" PartName="/xl/worksheets/sheet44647.xml"/>
  <Override ContentType="application/vnd.openxmlformats-officedocument.spreadsheetml.worksheet+xml" PartName="/xl/worksheets/sheet44648.xml"/>
  <Override ContentType="application/vnd.openxmlformats-officedocument.spreadsheetml.worksheet+xml" PartName="/xl/worksheets/sheet44649.xml"/>
  <Override ContentType="application/vnd.openxmlformats-officedocument.spreadsheetml.worksheet+xml" PartName="/xl/worksheets/sheet44650.xml"/>
  <Override ContentType="application/vnd.openxmlformats-officedocument.spreadsheetml.worksheet+xml" PartName="/xl/worksheets/sheet44651.xml"/>
  <Override ContentType="application/vnd.openxmlformats-officedocument.spreadsheetml.worksheet+xml" PartName="/xl/worksheets/sheet44652.xml"/>
  <Override ContentType="application/vnd.openxmlformats-officedocument.spreadsheetml.worksheet+xml" PartName="/xl/worksheets/sheet44653.xml"/>
  <Override ContentType="application/vnd.openxmlformats-officedocument.spreadsheetml.worksheet+xml" PartName="/xl/worksheets/sheet44654.xml"/>
  <Override ContentType="application/vnd.openxmlformats-officedocument.spreadsheetml.worksheet+xml" PartName="/xl/worksheets/sheet44655.xml"/>
  <Override ContentType="application/vnd.openxmlformats-officedocument.spreadsheetml.worksheet+xml" PartName="/xl/worksheets/sheet44656.xml"/>
  <Override ContentType="application/vnd.openxmlformats-officedocument.spreadsheetml.worksheet+xml" PartName="/xl/worksheets/sheet44657.xml"/>
  <Override ContentType="application/vnd.openxmlformats-officedocument.spreadsheetml.worksheet+xml" PartName="/xl/worksheets/sheet44658.xml"/>
  <Override ContentType="application/vnd.openxmlformats-officedocument.spreadsheetml.worksheet+xml" PartName="/xl/worksheets/sheet44659.xml"/>
  <Override ContentType="application/vnd.openxmlformats-officedocument.spreadsheetml.worksheet+xml" PartName="/xl/worksheets/sheet44660.xml"/>
  <Override ContentType="application/vnd.openxmlformats-officedocument.spreadsheetml.worksheet+xml" PartName="/xl/worksheets/sheet44661.xml"/>
  <Override ContentType="application/vnd.openxmlformats-officedocument.spreadsheetml.worksheet+xml" PartName="/xl/worksheets/sheet44662.xml"/>
  <Override ContentType="application/vnd.openxmlformats-officedocument.spreadsheetml.worksheet+xml" PartName="/xl/worksheets/sheet44663.xml"/>
  <Override ContentType="application/vnd.openxmlformats-officedocument.spreadsheetml.worksheet+xml" PartName="/xl/worksheets/sheet44664.xml"/>
  <Override ContentType="application/vnd.openxmlformats-officedocument.spreadsheetml.worksheet+xml" PartName="/xl/worksheets/sheet44665.xml"/>
  <Override ContentType="application/vnd.openxmlformats-officedocument.spreadsheetml.worksheet+xml" PartName="/xl/worksheets/sheet44666.xml"/>
  <Override ContentType="application/vnd.openxmlformats-officedocument.spreadsheetml.worksheet+xml" PartName="/xl/worksheets/sheet44667.xml"/>
  <Override ContentType="application/vnd.openxmlformats-officedocument.spreadsheetml.worksheet+xml" PartName="/xl/worksheets/sheet44668.xml"/>
  <Override ContentType="application/vnd.openxmlformats-officedocument.spreadsheetml.worksheet+xml" PartName="/xl/worksheets/sheet44669.xml"/>
  <Override ContentType="application/vnd.openxmlformats-officedocument.spreadsheetml.worksheet+xml" PartName="/xl/worksheets/sheet44670.xml"/>
  <Override ContentType="application/vnd.openxmlformats-officedocument.spreadsheetml.worksheet+xml" PartName="/xl/worksheets/sheet44671.xml"/>
  <Override ContentType="application/vnd.openxmlformats-officedocument.spreadsheetml.worksheet+xml" PartName="/xl/worksheets/sheet44672.xml"/>
  <Override ContentType="application/vnd.openxmlformats-officedocument.spreadsheetml.worksheet+xml" PartName="/xl/worksheets/sheet44673.xml"/>
  <Override ContentType="application/vnd.openxmlformats-officedocument.spreadsheetml.worksheet+xml" PartName="/xl/worksheets/sheet44674.xml"/>
  <Override ContentType="application/vnd.openxmlformats-officedocument.spreadsheetml.worksheet+xml" PartName="/xl/worksheets/sheet44675.xml"/>
  <Override ContentType="application/vnd.openxmlformats-officedocument.spreadsheetml.worksheet+xml" PartName="/xl/worksheets/sheet44676.xml"/>
  <Override ContentType="application/vnd.openxmlformats-officedocument.spreadsheetml.worksheet+xml" PartName="/xl/worksheets/sheet44677.xml"/>
  <Override ContentType="application/vnd.openxmlformats-officedocument.spreadsheetml.worksheet+xml" PartName="/xl/worksheets/sheet44678.xml"/>
  <Override ContentType="application/vnd.openxmlformats-officedocument.spreadsheetml.worksheet+xml" PartName="/xl/worksheets/sheet44679.xml"/>
  <Override ContentType="application/vnd.openxmlformats-officedocument.spreadsheetml.worksheet+xml" PartName="/xl/worksheets/sheet44680.xml"/>
  <Override ContentType="application/vnd.openxmlformats-officedocument.spreadsheetml.worksheet+xml" PartName="/xl/worksheets/sheet44681.xml"/>
  <Override ContentType="application/vnd.openxmlformats-officedocument.spreadsheetml.worksheet+xml" PartName="/xl/worksheets/sheet44682.xml"/>
  <Override ContentType="application/vnd.openxmlformats-officedocument.spreadsheetml.worksheet+xml" PartName="/xl/worksheets/sheet44683.xml"/>
  <Override ContentType="application/vnd.openxmlformats-officedocument.spreadsheetml.worksheet+xml" PartName="/xl/worksheets/sheet44684.xml"/>
  <Override ContentType="application/vnd.openxmlformats-officedocument.spreadsheetml.worksheet+xml" PartName="/xl/worksheets/sheet44685.xml"/>
  <Override ContentType="application/vnd.openxmlformats-officedocument.spreadsheetml.worksheet+xml" PartName="/xl/worksheets/sheet44686.xml"/>
  <Override ContentType="application/vnd.openxmlformats-officedocument.spreadsheetml.worksheet+xml" PartName="/xl/worksheets/sheet44687.xml"/>
  <Override ContentType="application/vnd.openxmlformats-officedocument.spreadsheetml.worksheet+xml" PartName="/xl/worksheets/sheet44688.xml"/>
  <Override ContentType="application/vnd.openxmlformats-officedocument.spreadsheetml.worksheet+xml" PartName="/xl/worksheets/sheet44689.xml"/>
  <Override ContentType="application/vnd.openxmlformats-officedocument.spreadsheetml.worksheet+xml" PartName="/xl/worksheets/sheet44690.xml"/>
  <Override ContentType="application/vnd.openxmlformats-officedocument.spreadsheetml.worksheet+xml" PartName="/xl/worksheets/sheet44691.xml"/>
  <Override ContentType="application/vnd.openxmlformats-officedocument.spreadsheetml.worksheet+xml" PartName="/xl/worksheets/sheet44692.xml"/>
  <Override ContentType="application/vnd.openxmlformats-officedocument.spreadsheetml.worksheet+xml" PartName="/xl/worksheets/sheet44693.xml"/>
  <Override ContentType="application/vnd.openxmlformats-officedocument.spreadsheetml.worksheet+xml" PartName="/xl/worksheets/sheet44694.xml"/>
  <Override ContentType="application/vnd.openxmlformats-officedocument.spreadsheetml.worksheet+xml" PartName="/xl/worksheets/sheet44695.xml"/>
  <Override ContentType="application/vnd.openxmlformats-officedocument.spreadsheetml.worksheet+xml" PartName="/xl/worksheets/sheet44696.xml"/>
  <Override ContentType="application/vnd.openxmlformats-officedocument.spreadsheetml.worksheet+xml" PartName="/xl/worksheets/sheet44697.xml"/>
  <Override ContentType="application/vnd.openxmlformats-officedocument.spreadsheetml.worksheet+xml" PartName="/xl/worksheets/sheet44698.xml"/>
  <Override ContentType="application/vnd.openxmlformats-officedocument.spreadsheetml.worksheet+xml" PartName="/xl/worksheets/sheet44699.xml"/>
  <Override ContentType="application/vnd.openxmlformats-officedocument.spreadsheetml.worksheet+xml" PartName="/xl/worksheets/sheet44700.xml"/>
  <Override ContentType="application/vnd.openxmlformats-officedocument.spreadsheetml.worksheet+xml" PartName="/xl/worksheets/sheet44701.xml"/>
  <Override ContentType="application/vnd.openxmlformats-officedocument.spreadsheetml.worksheet+xml" PartName="/xl/worksheets/sheet44702.xml"/>
  <Override ContentType="application/vnd.openxmlformats-officedocument.spreadsheetml.worksheet+xml" PartName="/xl/worksheets/sheet44703.xml"/>
  <Override ContentType="application/vnd.openxmlformats-officedocument.spreadsheetml.worksheet+xml" PartName="/xl/worksheets/sheet44704.xml"/>
  <Override ContentType="application/vnd.openxmlformats-officedocument.spreadsheetml.worksheet+xml" PartName="/xl/worksheets/sheet44705.xml"/>
  <Override ContentType="application/vnd.openxmlformats-officedocument.spreadsheetml.worksheet+xml" PartName="/xl/worksheets/sheet44706.xml"/>
  <Override ContentType="application/vnd.openxmlformats-officedocument.spreadsheetml.worksheet+xml" PartName="/xl/worksheets/sheet44707.xml"/>
  <Override ContentType="application/vnd.openxmlformats-officedocument.spreadsheetml.worksheet+xml" PartName="/xl/worksheets/sheet44708.xml"/>
  <Override ContentType="application/vnd.openxmlformats-officedocument.spreadsheetml.worksheet+xml" PartName="/xl/worksheets/sheet44709.xml"/>
  <Override ContentType="application/vnd.openxmlformats-officedocument.spreadsheetml.worksheet+xml" PartName="/xl/worksheets/sheet44710.xml"/>
  <Override ContentType="application/vnd.openxmlformats-officedocument.spreadsheetml.worksheet+xml" PartName="/xl/worksheets/sheet44711.xml"/>
  <Override ContentType="application/vnd.openxmlformats-officedocument.spreadsheetml.worksheet+xml" PartName="/xl/worksheets/sheet44712.xml"/>
  <Override ContentType="application/vnd.openxmlformats-officedocument.spreadsheetml.worksheet+xml" PartName="/xl/worksheets/sheet44713.xml"/>
  <Override ContentType="application/vnd.openxmlformats-officedocument.spreadsheetml.worksheet+xml" PartName="/xl/worksheets/sheet44714.xml"/>
  <Override ContentType="application/vnd.openxmlformats-officedocument.spreadsheetml.worksheet+xml" PartName="/xl/worksheets/sheet44715.xml"/>
  <Override ContentType="application/vnd.openxmlformats-officedocument.spreadsheetml.worksheet+xml" PartName="/xl/worksheets/sheet44716.xml"/>
  <Override ContentType="application/vnd.openxmlformats-officedocument.spreadsheetml.worksheet+xml" PartName="/xl/worksheets/sheet44717.xml"/>
  <Override ContentType="application/vnd.openxmlformats-officedocument.spreadsheetml.worksheet+xml" PartName="/xl/worksheets/sheet44718.xml"/>
  <Override ContentType="application/vnd.openxmlformats-officedocument.spreadsheetml.worksheet+xml" PartName="/xl/worksheets/sheet44719.xml"/>
  <Override ContentType="application/vnd.openxmlformats-officedocument.spreadsheetml.worksheet+xml" PartName="/xl/worksheets/sheet44720.xml"/>
  <Override ContentType="application/vnd.openxmlformats-officedocument.spreadsheetml.worksheet+xml" PartName="/xl/worksheets/sheet44721.xml"/>
  <Override ContentType="application/vnd.openxmlformats-officedocument.spreadsheetml.worksheet+xml" PartName="/xl/worksheets/sheet44722.xml"/>
  <Override ContentType="application/vnd.openxmlformats-officedocument.spreadsheetml.worksheet+xml" PartName="/xl/worksheets/sheet44723.xml"/>
  <Override ContentType="application/vnd.openxmlformats-officedocument.spreadsheetml.worksheet+xml" PartName="/xl/worksheets/sheet44724.xml"/>
  <Override ContentType="application/vnd.openxmlformats-officedocument.spreadsheetml.worksheet+xml" PartName="/xl/worksheets/sheet44725.xml"/>
  <Override ContentType="application/vnd.openxmlformats-officedocument.spreadsheetml.worksheet+xml" PartName="/xl/worksheets/sheet44726.xml"/>
  <Override ContentType="application/vnd.openxmlformats-officedocument.spreadsheetml.worksheet+xml" PartName="/xl/worksheets/sheet44727.xml"/>
  <Override ContentType="application/vnd.openxmlformats-officedocument.spreadsheetml.worksheet+xml" PartName="/xl/worksheets/sheet44728.xml"/>
  <Override ContentType="application/vnd.openxmlformats-officedocument.spreadsheetml.worksheet+xml" PartName="/xl/worksheets/sheet44729.xml"/>
  <Override ContentType="application/vnd.openxmlformats-officedocument.spreadsheetml.worksheet+xml" PartName="/xl/worksheets/sheet44730.xml"/>
  <Override ContentType="application/vnd.openxmlformats-officedocument.spreadsheetml.worksheet+xml" PartName="/xl/worksheets/sheet44731.xml"/>
  <Override ContentType="application/vnd.openxmlformats-officedocument.spreadsheetml.worksheet+xml" PartName="/xl/worksheets/sheet44732.xml"/>
  <Override ContentType="application/vnd.openxmlformats-officedocument.spreadsheetml.worksheet+xml" PartName="/xl/worksheets/sheet44733.xml"/>
  <Override ContentType="application/vnd.openxmlformats-officedocument.spreadsheetml.worksheet+xml" PartName="/xl/worksheets/sheet44734.xml"/>
  <Override ContentType="application/vnd.openxmlformats-officedocument.spreadsheetml.worksheet+xml" PartName="/xl/worksheets/sheet44735.xml"/>
  <Override ContentType="application/vnd.openxmlformats-officedocument.spreadsheetml.worksheet+xml" PartName="/xl/worksheets/sheet44736.xml"/>
  <Override ContentType="application/vnd.openxmlformats-officedocument.spreadsheetml.worksheet+xml" PartName="/xl/worksheets/sheet44737.xml"/>
  <Override ContentType="application/vnd.openxmlformats-officedocument.spreadsheetml.worksheet+xml" PartName="/xl/worksheets/sheet44738.xml"/>
  <Override ContentType="application/vnd.openxmlformats-officedocument.spreadsheetml.worksheet+xml" PartName="/xl/worksheets/sheet44739.xml"/>
  <Override ContentType="application/vnd.openxmlformats-officedocument.spreadsheetml.worksheet+xml" PartName="/xl/worksheets/sheet44740.xml"/>
  <Override ContentType="application/vnd.openxmlformats-officedocument.spreadsheetml.worksheet+xml" PartName="/xl/worksheets/sheet44741.xml"/>
  <Override ContentType="application/vnd.openxmlformats-officedocument.spreadsheetml.worksheet+xml" PartName="/xl/worksheets/sheet44742.xml"/>
  <Override ContentType="application/vnd.openxmlformats-officedocument.spreadsheetml.worksheet+xml" PartName="/xl/worksheets/sheet44743.xml"/>
  <Override ContentType="application/vnd.openxmlformats-officedocument.spreadsheetml.worksheet+xml" PartName="/xl/worksheets/sheet44744.xml"/>
  <Override ContentType="application/vnd.openxmlformats-officedocument.spreadsheetml.worksheet+xml" PartName="/xl/worksheets/sheet44745.xml"/>
  <Override ContentType="application/vnd.openxmlformats-officedocument.spreadsheetml.worksheet+xml" PartName="/xl/worksheets/sheet44746.xml"/>
  <Override ContentType="application/vnd.openxmlformats-officedocument.spreadsheetml.worksheet+xml" PartName="/xl/worksheets/sheet44747.xml"/>
  <Override ContentType="application/vnd.openxmlformats-officedocument.spreadsheetml.worksheet+xml" PartName="/xl/worksheets/sheet44748.xml"/>
  <Override ContentType="application/vnd.openxmlformats-officedocument.spreadsheetml.worksheet+xml" PartName="/xl/worksheets/sheet44749.xml"/>
  <Override ContentType="application/vnd.openxmlformats-officedocument.spreadsheetml.worksheet+xml" PartName="/xl/worksheets/sheet44750.xml"/>
  <Override ContentType="application/vnd.openxmlformats-officedocument.spreadsheetml.worksheet+xml" PartName="/xl/worksheets/sheet44751.xml"/>
  <Override ContentType="application/vnd.openxmlformats-officedocument.spreadsheetml.worksheet+xml" PartName="/xl/worksheets/sheet44752.xml"/>
  <Override ContentType="application/vnd.openxmlformats-officedocument.spreadsheetml.worksheet+xml" PartName="/xl/worksheets/sheet44753.xml"/>
  <Override ContentType="application/vnd.openxmlformats-officedocument.spreadsheetml.worksheet+xml" PartName="/xl/worksheets/sheet44754.xml"/>
  <Override ContentType="application/vnd.openxmlformats-officedocument.spreadsheetml.worksheet+xml" PartName="/xl/worksheets/sheet44755.xml"/>
  <Override ContentType="application/vnd.openxmlformats-officedocument.spreadsheetml.worksheet+xml" PartName="/xl/worksheets/sheet44756.xml"/>
  <Override ContentType="application/vnd.openxmlformats-officedocument.spreadsheetml.worksheet+xml" PartName="/xl/worksheets/sheet44757.xml"/>
  <Override ContentType="application/vnd.openxmlformats-officedocument.spreadsheetml.worksheet+xml" PartName="/xl/worksheets/sheet44758.xml"/>
  <Override ContentType="application/vnd.openxmlformats-officedocument.spreadsheetml.worksheet+xml" PartName="/xl/worksheets/sheet44759.xml"/>
  <Override ContentType="application/vnd.openxmlformats-officedocument.spreadsheetml.worksheet+xml" PartName="/xl/worksheets/sheet44760.xml"/>
  <Override ContentType="application/vnd.openxmlformats-officedocument.spreadsheetml.worksheet+xml" PartName="/xl/worksheets/sheet44761.xml"/>
  <Override ContentType="application/vnd.openxmlformats-officedocument.spreadsheetml.worksheet+xml" PartName="/xl/worksheets/sheet44762.xml"/>
  <Override ContentType="application/vnd.openxmlformats-officedocument.spreadsheetml.worksheet+xml" PartName="/xl/worksheets/sheet44763.xml"/>
  <Override ContentType="application/vnd.openxmlformats-officedocument.spreadsheetml.worksheet+xml" PartName="/xl/worksheets/sheet44764.xml"/>
  <Override ContentType="application/vnd.openxmlformats-officedocument.spreadsheetml.worksheet+xml" PartName="/xl/worksheets/sheet44765.xml"/>
  <Override ContentType="application/vnd.openxmlformats-officedocument.spreadsheetml.worksheet+xml" PartName="/xl/worksheets/sheet44766.xml"/>
  <Override ContentType="application/vnd.openxmlformats-officedocument.spreadsheetml.worksheet+xml" PartName="/xl/worksheets/sheet44767.xml"/>
  <Override ContentType="application/vnd.openxmlformats-officedocument.spreadsheetml.worksheet+xml" PartName="/xl/worksheets/sheet44768.xml"/>
  <Override ContentType="application/vnd.openxmlformats-officedocument.spreadsheetml.worksheet+xml" PartName="/xl/worksheets/sheet44769.xml"/>
  <Override ContentType="application/vnd.openxmlformats-officedocument.spreadsheetml.worksheet+xml" PartName="/xl/worksheets/sheet44770.xml"/>
  <Override ContentType="application/vnd.openxmlformats-officedocument.spreadsheetml.worksheet+xml" PartName="/xl/worksheets/sheet44771.xml"/>
  <Override ContentType="application/vnd.openxmlformats-officedocument.spreadsheetml.worksheet+xml" PartName="/xl/worksheets/sheet44772.xml"/>
  <Override ContentType="application/vnd.openxmlformats-officedocument.spreadsheetml.worksheet+xml" PartName="/xl/worksheets/sheet44773.xml"/>
  <Override ContentType="application/vnd.openxmlformats-officedocument.spreadsheetml.worksheet+xml" PartName="/xl/worksheets/sheet44774.xml"/>
  <Override ContentType="application/vnd.openxmlformats-officedocument.spreadsheetml.worksheet+xml" PartName="/xl/worksheets/sheet44775.xml"/>
  <Override ContentType="application/vnd.openxmlformats-officedocument.spreadsheetml.worksheet+xml" PartName="/xl/worksheets/sheet44776.xml"/>
  <Override ContentType="application/vnd.openxmlformats-officedocument.spreadsheetml.worksheet+xml" PartName="/xl/worksheets/sheet44777.xml"/>
  <Override ContentType="application/vnd.openxmlformats-officedocument.spreadsheetml.worksheet+xml" PartName="/xl/worksheets/sheet44778.xml"/>
  <Override ContentType="application/vnd.openxmlformats-officedocument.spreadsheetml.worksheet+xml" PartName="/xl/worksheets/sheet44779.xml"/>
  <Override ContentType="application/vnd.openxmlformats-officedocument.spreadsheetml.worksheet+xml" PartName="/xl/worksheets/sheet44780.xml"/>
  <Override ContentType="application/vnd.openxmlformats-officedocument.spreadsheetml.worksheet+xml" PartName="/xl/worksheets/sheet44781.xml"/>
  <Override ContentType="application/vnd.openxmlformats-officedocument.spreadsheetml.worksheet+xml" PartName="/xl/worksheets/sheet44782.xml"/>
  <Override ContentType="application/vnd.openxmlformats-officedocument.spreadsheetml.worksheet+xml" PartName="/xl/worksheets/sheet44783.xml"/>
  <Override ContentType="application/vnd.openxmlformats-officedocument.spreadsheetml.worksheet+xml" PartName="/xl/worksheets/sheet44784.xml"/>
  <Override ContentType="application/vnd.openxmlformats-officedocument.spreadsheetml.worksheet+xml" PartName="/xl/worksheets/sheet44785.xml"/>
  <Override ContentType="application/vnd.openxmlformats-officedocument.spreadsheetml.worksheet+xml" PartName="/xl/worksheets/sheet44786.xml"/>
  <Override ContentType="application/vnd.openxmlformats-officedocument.spreadsheetml.worksheet+xml" PartName="/xl/worksheets/sheet44787.xml"/>
  <Override ContentType="application/vnd.openxmlformats-officedocument.spreadsheetml.worksheet+xml" PartName="/xl/worksheets/sheet44788.xml"/>
  <Override ContentType="application/vnd.openxmlformats-officedocument.spreadsheetml.worksheet+xml" PartName="/xl/worksheets/sheet44789.xml"/>
  <Override ContentType="application/vnd.openxmlformats-officedocument.spreadsheetml.worksheet+xml" PartName="/xl/worksheets/sheet44790.xml"/>
  <Override ContentType="application/vnd.openxmlformats-officedocument.spreadsheetml.worksheet+xml" PartName="/xl/worksheets/sheet44791.xml"/>
  <Override ContentType="application/vnd.openxmlformats-officedocument.spreadsheetml.worksheet+xml" PartName="/xl/worksheets/sheet44792.xml"/>
  <Override ContentType="application/vnd.openxmlformats-officedocument.spreadsheetml.worksheet+xml" PartName="/xl/worksheets/sheet44793.xml"/>
  <Override ContentType="application/vnd.openxmlformats-officedocument.spreadsheetml.worksheet+xml" PartName="/xl/worksheets/sheet44794.xml"/>
  <Override ContentType="application/vnd.openxmlformats-officedocument.spreadsheetml.worksheet+xml" PartName="/xl/worksheets/sheet44795.xml"/>
  <Override ContentType="application/vnd.openxmlformats-officedocument.spreadsheetml.worksheet+xml" PartName="/xl/worksheets/sheet44796.xml"/>
  <Override ContentType="application/vnd.openxmlformats-officedocument.spreadsheetml.worksheet+xml" PartName="/xl/worksheets/sheet44797.xml"/>
  <Override ContentType="application/vnd.openxmlformats-officedocument.spreadsheetml.worksheet+xml" PartName="/xl/worksheets/sheet44798.xml"/>
  <Override ContentType="application/vnd.openxmlformats-officedocument.spreadsheetml.worksheet+xml" PartName="/xl/worksheets/sheet44799.xml"/>
  <Override ContentType="application/vnd.openxmlformats-officedocument.spreadsheetml.worksheet+xml" PartName="/xl/worksheets/sheet44800.xml"/>
  <Override ContentType="application/vnd.openxmlformats-officedocument.spreadsheetml.worksheet+xml" PartName="/xl/worksheets/sheet44801.xml"/>
  <Override ContentType="application/vnd.openxmlformats-officedocument.spreadsheetml.worksheet+xml" PartName="/xl/worksheets/sheet44802.xml"/>
  <Override ContentType="application/vnd.openxmlformats-officedocument.spreadsheetml.worksheet+xml" PartName="/xl/worksheets/sheet44803.xml"/>
  <Override ContentType="application/vnd.openxmlformats-officedocument.spreadsheetml.worksheet+xml" PartName="/xl/worksheets/sheet44804.xml"/>
  <Override ContentType="application/vnd.openxmlformats-officedocument.spreadsheetml.worksheet+xml" PartName="/xl/worksheets/sheet44805.xml"/>
  <Override ContentType="application/vnd.openxmlformats-officedocument.spreadsheetml.worksheet+xml" PartName="/xl/worksheets/sheet44806.xml"/>
  <Override ContentType="application/vnd.openxmlformats-officedocument.spreadsheetml.worksheet+xml" PartName="/xl/worksheets/sheet44807.xml"/>
  <Override ContentType="application/vnd.openxmlformats-officedocument.spreadsheetml.worksheet+xml" PartName="/xl/worksheets/sheet44808.xml"/>
  <Override ContentType="application/vnd.openxmlformats-officedocument.spreadsheetml.worksheet+xml" PartName="/xl/worksheets/sheet44809.xml"/>
  <Override ContentType="application/vnd.openxmlformats-officedocument.spreadsheetml.worksheet+xml" PartName="/xl/worksheets/sheet44810.xml"/>
  <Override ContentType="application/vnd.openxmlformats-officedocument.spreadsheetml.worksheet+xml" PartName="/xl/worksheets/sheet44811.xml"/>
  <Override ContentType="application/vnd.openxmlformats-officedocument.spreadsheetml.worksheet+xml" PartName="/xl/worksheets/sheet44812.xml"/>
  <Override ContentType="application/vnd.openxmlformats-officedocument.spreadsheetml.worksheet+xml" PartName="/xl/worksheets/sheet44813.xml"/>
  <Override ContentType="application/vnd.openxmlformats-officedocument.spreadsheetml.worksheet+xml" PartName="/xl/worksheets/sheet44814.xml"/>
  <Override ContentType="application/vnd.openxmlformats-officedocument.spreadsheetml.worksheet+xml" PartName="/xl/worksheets/sheet44815.xml"/>
  <Override ContentType="application/vnd.openxmlformats-officedocument.spreadsheetml.worksheet+xml" PartName="/xl/worksheets/sheet44816.xml"/>
  <Override ContentType="application/vnd.openxmlformats-officedocument.spreadsheetml.worksheet+xml" PartName="/xl/worksheets/sheet44817.xml"/>
  <Override ContentType="application/vnd.openxmlformats-officedocument.spreadsheetml.worksheet+xml" PartName="/xl/worksheets/sheet44818.xml"/>
  <Override ContentType="application/vnd.openxmlformats-officedocument.spreadsheetml.worksheet+xml" PartName="/xl/worksheets/sheet44819.xml"/>
  <Override ContentType="application/vnd.openxmlformats-officedocument.spreadsheetml.worksheet+xml" PartName="/xl/worksheets/sheet44820.xml"/>
  <Override ContentType="application/vnd.openxmlformats-officedocument.spreadsheetml.worksheet+xml" PartName="/xl/worksheets/sheet44821.xml"/>
  <Override ContentType="application/vnd.openxmlformats-officedocument.spreadsheetml.worksheet+xml" PartName="/xl/worksheets/sheet44822.xml"/>
  <Override ContentType="application/vnd.openxmlformats-officedocument.spreadsheetml.worksheet+xml" PartName="/xl/worksheets/sheet44823.xml"/>
  <Override ContentType="application/vnd.openxmlformats-officedocument.spreadsheetml.worksheet+xml" PartName="/xl/worksheets/sheet44824.xml"/>
  <Override ContentType="application/vnd.openxmlformats-officedocument.spreadsheetml.worksheet+xml" PartName="/xl/worksheets/sheet44825.xml"/>
  <Override ContentType="application/vnd.openxmlformats-officedocument.spreadsheetml.worksheet+xml" PartName="/xl/worksheets/sheet44826.xml"/>
  <Override ContentType="application/vnd.openxmlformats-officedocument.spreadsheetml.worksheet+xml" PartName="/xl/worksheets/sheet44827.xml"/>
  <Override ContentType="application/vnd.openxmlformats-officedocument.spreadsheetml.worksheet+xml" PartName="/xl/worksheets/sheet44828.xml"/>
  <Override ContentType="application/vnd.openxmlformats-officedocument.spreadsheetml.worksheet+xml" PartName="/xl/worksheets/sheet44829.xml"/>
  <Override ContentType="application/vnd.openxmlformats-officedocument.spreadsheetml.worksheet+xml" PartName="/xl/worksheets/sheet44830.xml"/>
  <Override ContentType="application/vnd.openxmlformats-officedocument.spreadsheetml.worksheet+xml" PartName="/xl/worksheets/sheet44831.xml"/>
  <Override ContentType="application/vnd.openxmlformats-officedocument.spreadsheetml.worksheet+xml" PartName="/xl/worksheets/sheet44832.xml"/>
  <Override ContentType="application/vnd.openxmlformats-officedocument.spreadsheetml.worksheet+xml" PartName="/xl/worksheets/sheet44833.xml"/>
  <Override ContentType="application/vnd.openxmlformats-officedocument.spreadsheetml.worksheet+xml" PartName="/xl/worksheets/sheet44834.xml"/>
  <Override ContentType="application/vnd.openxmlformats-officedocument.spreadsheetml.worksheet+xml" PartName="/xl/worksheets/sheet44835.xml"/>
  <Override ContentType="application/vnd.openxmlformats-officedocument.spreadsheetml.worksheet+xml" PartName="/xl/worksheets/sheet44836.xml"/>
  <Override ContentType="application/vnd.openxmlformats-officedocument.spreadsheetml.worksheet+xml" PartName="/xl/worksheets/sheet44837.xml"/>
  <Override ContentType="application/vnd.openxmlformats-officedocument.spreadsheetml.worksheet+xml" PartName="/xl/worksheets/sheet44838.xml"/>
  <Override ContentType="application/vnd.openxmlformats-officedocument.spreadsheetml.worksheet+xml" PartName="/xl/worksheets/sheet44839.xml"/>
  <Override ContentType="application/vnd.openxmlformats-officedocument.spreadsheetml.worksheet+xml" PartName="/xl/worksheets/sheet44840.xml"/>
  <Override ContentType="application/vnd.openxmlformats-officedocument.spreadsheetml.worksheet+xml" PartName="/xl/worksheets/sheet44841.xml"/>
  <Override ContentType="application/vnd.openxmlformats-officedocument.spreadsheetml.worksheet+xml" PartName="/xl/worksheets/sheet44842.xml"/>
  <Override ContentType="application/vnd.openxmlformats-officedocument.spreadsheetml.worksheet+xml" PartName="/xl/worksheets/sheet44843.xml"/>
  <Override ContentType="application/vnd.openxmlformats-officedocument.spreadsheetml.worksheet+xml" PartName="/xl/worksheets/sheet44844.xml"/>
  <Override ContentType="application/vnd.openxmlformats-officedocument.spreadsheetml.worksheet+xml" PartName="/xl/worksheets/sheet44845.xml"/>
  <Override ContentType="application/vnd.openxmlformats-officedocument.spreadsheetml.worksheet+xml" PartName="/xl/worksheets/sheet44846.xml"/>
  <Override ContentType="application/vnd.openxmlformats-officedocument.spreadsheetml.worksheet+xml" PartName="/xl/worksheets/sheet44847.xml"/>
  <Override ContentType="application/vnd.openxmlformats-officedocument.spreadsheetml.worksheet+xml" PartName="/xl/worksheets/sheet44848.xml"/>
  <Override ContentType="application/vnd.openxmlformats-officedocument.spreadsheetml.worksheet+xml" PartName="/xl/worksheets/sheet44849.xml"/>
  <Override ContentType="application/vnd.openxmlformats-officedocument.spreadsheetml.worksheet+xml" PartName="/xl/worksheets/sheet44850.xml"/>
  <Override ContentType="application/vnd.openxmlformats-officedocument.spreadsheetml.worksheet+xml" PartName="/xl/worksheets/sheet44851.xml"/>
  <Override ContentType="application/vnd.openxmlformats-officedocument.spreadsheetml.worksheet+xml" PartName="/xl/worksheets/sheet44852.xml"/>
  <Override ContentType="application/vnd.openxmlformats-officedocument.spreadsheetml.worksheet+xml" PartName="/xl/worksheets/sheet44853.xml"/>
  <Override ContentType="application/vnd.openxmlformats-officedocument.spreadsheetml.worksheet+xml" PartName="/xl/worksheets/sheet44854.xml"/>
  <Override ContentType="application/vnd.openxmlformats-officedocument.spreadsheetml.worksheet+xml" PartName="/xl/worksheets/sheet44855.xml"/>
  <Override ContentType="application/vnd.openxmlformats-officedocument.spreadsheetml.worksheet+xml" PartName="/xl/worksheets/sheet44856.xml"/>
  <Override ContentType="application/vnd.openxmlformats-officedocument.spreadsheetml.worksheet+xml" PartName="/xl/worksheets/sheet44857.xml"/>
  <Override ContentType="application/vnd.openxmlformats-officedocument.spreadsheetml.worksheet+xml" PartName="/xl/worksheets/sheet44858.xml"/>
  <Override ContentType="application/vnd.openxmlformats-officedocument.spreadsheetml.worksheet+xml" PartName="/xl/worksheets/sheet44859.xml"/>
  <Override ContentType="application/vnd.openxmlformats-officedocument.spreadsheetml.worksheet+xml" PartName="/xl/worksheets/sheet44860.xml"/>
  <Override ContentType="application/vnd.openxmlformats-officedocument.spreadsheetml.worksheet+xml" PartName="/xl/worksheets/sheet44861.xml"/>
  <Override ContentType="application/vnd.openxmlformats-officedocument.spreadsheetml.worksheet+xml" PartName="/xl/worksheets/sheet44862.xml"/>
  <Override ContentType="application/vnd.openxmlformats-officedocument.spreadsheetml.worksheet+xml" PartName="/xl/worksheets/sheet44863.xml"/>
  <Override ContentType="application/vnd.openxmlformats-officedocument.spreadsheetml.worksheet+xml" PartName="/xl/worksheets/sheet44864.xml"/>
  <Override ContentType="application/vnd.openxmlformats-officedocument.spreadsheetml.worksheet+xml" PartName="/xl/worksheets/sheet44865.xml"/>
  <Override ContentType="application/vnd.openxmlformats-officedocument.spreadsheetml.worksheet+xml" PartName="/xl/worksheets/sheet44866.xml"/>
  <Override ContentType="application/vnd.openxmlformats-officedocument.spreadsheetml.worksheet+xml" PartName="/xl/worksheets/sheet44867.xml"/>
  <Override ContentType="application/vnd.openxmlformats-officedocument.spreadsheetml.worksheet+xml" PartName="/xl/worksheets/sheet44868.xml"/>
  <Override ContentType="application/vnd.openxmlformats-officedocument.spreadsheetml.worksheet+xml" PartName="/xl/worksheets/sheet44869.xml"/>
  <Override ContentType="application/vnd.openxmlformats-officedocument.spreadsheetml.worksheet+xml" PartName="/xl/worksheets/sheet44870.xml"/>
  <Override ContentType="application/vnd.openxmlformats-officedocument.spreadsheetml.worksheet+xml" PartName="/xl/worksheets/sheet44871.xml"/>
  <Override ContentType="application/vnd.openxmlformats-officedocument.spreadsheetml.worksheet+xml" PartName="/xl/worksheets/sheet44872.xml"/>
  <Override ContentType="application/vnd.openxmlformats-officedocument.spreadsheetml.worksheet+xml" PartName="/xl/worksheets/sheet44873.xml"/>
  <Override ContentType="application/vnd.openxmlformats-officedocument.spreadsheetml.worksheet+xml" PartName="/xl/worksheets/sheet44874.xml"/>
  <Override ContentType="application/vnd.openxmlformats-officedocument.spreadsheetml.worksheet+xml" PartName="/xl/worksheets/sheet44875.xml"/>
  <Override ContentType="application/vnd.openxmlformats-officedocument.spreadsheetml.worksheet+xml" PartName="/xl/worksheets/sheet44876.xml"/>
  <Override ContentType="application/vnd.openxmlformats-officedocument.spreadsheetml.worksheet+xml" PartName="/xl/worksheets/sheet44877.xml"/>
  <Override ContentType="application/vnd.openxmlformats-officedocument.spreadsheetml.worksheet+xml" PartName="/xl/worksheets/sheet44878.xml"/>
  <Override ContentType="application/vnd.openxmlformats-officedocument.spreadsheetml.worksheet+xml" PartName="/xl/worksheets/sheet44879.xml"/>
  <Override ContentType="application/vnd.openxmlformats-officedocument.spreadsheetml.worksheet+xml" PartName="/xl/worksheets/sheet44880.xml"/>
  <Override ContentType="application/vnd.openxmlformats-officedocument.spreadsheetml.worksheet+xml" PartName="/xl/worksheets/sheet44881.xml"/>
  <Override ContentType="application/vnd.openxmlformats-officedocument.spreadsheetml.worksheet+xml" PartName="/xl/worksheets/sheet44882.xml"/>
  <Override ContentType="application/vnd.openxmlformats-officedocument.spreadsheetml.worksheet+xml" PartName="/xl/worksheets/sheet44883.xml"/>
  <Override ContentType="application/vnd.openxmlformats-officedocument.spreadsheetml.worksheet+xml" PartName="/xl/worksheets/sheet44884.xml"/>
  <Override ContentType="application/vnd.openxmlformats-officedocument.spreadsheetml.worksheet+xml" PartName="/xl/worksheets/sheet44885.xml"/>
  <Override ContentType="application/vnd.openxmlformats-officedocument.spreadsheetml.worksheet+xml" PartName="/xl/worksheets/sheet44886.xml"/>
  <Override ContentType="application/vnd.openxmlformats-officedocument.spreadsheetml.worksheet+xml" PartName="/xl/worksheets/sheet44887.xml"/>
  <Override ContentType="application/vnd.openxmlformats-officedocument.spreadsheetml.worksheet+xml" PartName="/xl/worksheets/sheet44888.xml"/>
  <Override ContentType="application/vnd.openxmlformats-officedocument.spreadsheetml.worksheet+xml" PartName="/xl/worksheets/sheet44889.xml"/>
  <Override ContentType="application/vnd.openxmlformats-officedocument.spreadsheetml.worksheet+xml" PartName="/xl/worksheets/sheet44890.xml"/>
  <Override ContentType="application/vnd.openxmlformats-officedocument.spreadsheetml.worksheet+xml" PartName="/xl/worksheets/sheet44891.xml"/>
  <Override ContentType="application/vnd.openxmlformats-officedocument.spreadsheetml.worksheet+xml" PartName="/xl/worksheets/sheet44892.xml"/>
  <Override ContentType="application/vnd.openxmlformats-officedocument.spreadsheetml.worksheet+xml" PartName="/xl/worksheets/sheet44893.xml"/>
  <Override ContentType="application/vnd.openxmlformats-officedocument.spreadsheetml.worksheet+xml" PartName="/xl/worksheets/sheet44894.xml"/>
  <Override ContentType="application/vnd.openxmlformats-officedocument.spreadsheetml.worksheet+xml" PartName="/xl/worksheets/sheet44895.xml"/>
  <Override ContentType="application/vnd.openxmlformats-officedocument.spreadsheetml.worksheet+xml" PartName="/xl/worksheets/sheet44896.xml"/>
  <Override ContentType="application/vnd.openxmlformats-officedocument.spreadsheetml.worksheet+xml" PartName="/xl/worksheets/sheet44897.xml"/>
  <Override ContentType="application/vnd.openxmlformats-officedocument.spreadsheetml.worksheet+xml" PartName="/xl/worksheets/sheet44898.xml"/>
  <Override ContentType="application/vnd.openxmlformats-officedocument.spreadsheetml.worksheet+xml" PartName="/xl/worksheets/sheet44899.xml"/>
  <Override ContentType="application/vnd.openxmlformats-officedocument.spreadsheetml.worksheet+xml" PartName="/xl/worksheets/sheet44900.xml"/>
  <Override ContentType="application/vnd.openxmlformats-officedocument.spreadsheetml.worksheet+xml" PartName="/xl/worksheets/sheet44901.xml"/>
  <Override ContentType="application/vnd.openxmlformats-officedocument.spreadsheetml.worksheet+xml" PartName="/xl/worksheets/sheet44902.xml"/>
  <Override ContentType="application/vnd.openxmlformats-officedocument.spreadsheetml.worksheet+xml" PartName="/xl/worksheets/sheet44903.xml"/>
  <Override ContentType="application/vnd.openxmlformats-officedocument.spreadsheetml.worksheet+xml" PartName="/xl/worksheets/sheet44904.xml"/>
  <Override ContentType="application/vnd.openxmlformats-officedocument.spreadsheetml.worksheet+xml" PartName="/xl/worksheets/sheet44905.xml"/>
  <Override ContentType="application/vnd.openxmlformats-officedocument.spreadsheetml.worksheet+xml" PartName="/xl/worksheets/sheet44906.xml"/>
  <Override ContentType="application/vnd.openxmlformats-officedocument.spreadsheetml.worksheet+xml" PartName="/xl/worksheets/sheet44907.xml"/>
  <Override ContentType="application/vnd.openxmlformats-officedocument.spreadsheetml.worksheet+xml" PartName="/xl/worksheets/sheet44908.xml"/>
  <Override ContentType="application/vnd.openxmlformats-officedocument.spreadsheetml.worksheet+xml" PartName="/xl/worksheets/sheet44909.xml"/>
  <Override ContentType="application/vnd.openxmlformats-officedocument.spreadsheetml.worksheet+xml" PartName="/xl/worksheets/sheet44910.xml"/>
  <Override ContentType="application/vnd.openxmlformats-officedocument.spreadsheetml.worksheet+xml" PartName="/xl/worksheets/sheet44911.xml"/>
  <Override ContentType="application/vnd.openxmlformats-officedocument.spreadsheetml.worksheet+xml" PartName="/xl/worksheets/sheet44912.xml"/>
  <Override ContentType="application/vnd.openxmlformats-officedocument.spreadsheetml.worksheet+xml" PartName="/xl/worksheets/sheet44913.xml"/>
  <Override ContentType="application/vnd.openxmlformats-officedocument.spreadsheetml.worksheet+xml" PartName="/xl/worksheets/sheet44914.xml"/>
  <Override ContentType="application/vnd.openxmlformats-officedocument.spreadsheetml.worksheet+xml" PartName="/xl/worksheets/sheet44915.xml"/>
  <Override ContentType="application/vnd.openxmlformats-officedocument.spreadsheetml.worksheet+xml" PartName="/xl/worksheets/sheet44916.xml"/>
  <Override ContentType="application/vnd.openxmlformats-officedocument.spreadsheetml.worksheet+xml" PartName="/xl/worksheets/sheet44917.xml"/>
  <Override ContentType="application/vnd.openxmlformats-officedocument.spreadsheetml.worksheet+xml" PartName="/xl/worksheets/sheet44918.xml"/>
  <Override ContentType="application/vnd.openxmlformats-officedocument.spreadsheetml.worksheet+xml" PartName="/xl/worksheets/sheet44919.xml"/>
  <Override ContentType="application/vnd.openxmlformats-officedocument.spreadsheetml.worksheet+xml" PartName="/xl/worksheets/sheet44920.xml"/>
  <Override ContentType="application/vnd.openxmlformats-officedocument.spreadsheetml.worksheet+xml" PartName="/xl/worksheets/sheet44921.xml"/>
  <Override ContentType="application/vnd.openxmlformats-officedocument.spreadsheetml.worksheet+xml" PartName="/xl/worksheets/sheet44922.xml"/>
  <Override ContentType="application/vnd.openxmlformats-officedocument.spreadsheetml.worksheet+xml" PartName="/xl/worksheets/sheet44923.xml"/>
  <Override ContentType="application/vnd.openxmlformats-officedocument.spreadsheetml.worksheet+xml" PartName="/xl/worksheets/sheet44924.xml"/>
  <Override ContentType="application/vnd.openxmlformats-officedocument.spreadsheetml.worksheet+xml" PartName="/xl/worksheets/sheet44925.xml"/>
  <Override ContentType="application/vnd.openxmlformats-officedocument.spreadsheetml.worksheet+xml" PartName="/xl/worksheets/sheet44926.xml"/>
  <Override ContentType="application/vnd.openxmlformats-officedocument.spreadsheetml.worksheet+xml" PartName="/xl/worksheets/sheet44927.xml"/>
  <Override ContentType="application/vnd.openxmlformats-officedocument.spreadsheetml.worksheet+xml" PartName="/xl/worksheets/sheet44928.xml"/>
  <Override ContentType="application/vnd.openxmlformats-officedocument.spreadsheetml.worksheet+xml" PartName="/xl/worksheets/sheet44929.xml"/>
  <Override ContentType="application/vnd.openxmlformats-officedocument.spreadsheetml.worksheet+xml" PartName="/xl/worksheets/sheet44930.xml"/>
  <Override ContentType="application/vnd.openxmlformats-officedocument.spreadsheetml.worksheet+xml" PartName="/xl/worksheets/sheet44931.xml"/>
  <Override ContentType="application/vnd.openxmlformats-officedocument.spreadsheetml.worksheet+xml" PartName="/xl/worksheets/sheet44932.xml"/>
  <Override ContentType="application/vnd.openxmlformats-officedocument.spreadsheetml.worksheet+xml" PartName="/xl/worksheets/sheet44933.xml"/>
  <Override ContentType="application/vnd.openxmlformats-officedocument.spreadsheetml.worksheet+xml" PartName="/xl/worksheets/sheet44934.xml"/>
  <Override ContentType="application/vnd.openxmlformats-officedocument.spreadsheetml.worksheet+xml" PartName="/xl/worksheets/sheet44935.xml"/>
  <Override ContentType="application/vnd.openxmlformats-officedocument.spreadsheetml.worksheet+xml" PartName="/xl/worksheets/sheet44936.xml"/>
  <Override ContentType="application/vnd.openxmlformats-officedocument.spreadsheetml.worksheet+xml" PartName="/xl/worksheets/sheet44937.xml"/>
  <Override ContentType="application/vnd.openxmlformats-officedocument.spreadsheetml.worksheet+xml" PartName="/xl/worksheets/sheet44938.xml"/>
  <Override ContentType="application/vnd.openxmlformats-officedocument.spreadsheetml.worksheet+xml" PartName="/xl/worksheets/sheet44939.xml"/>
  <Override ContentType="application/vnd.openxmlformats-officedocument.spreadsheetml.worksheet+xml" PartName="/xl/worksheets/sheet44940.xml"/>
  <Override ContentType="application/vnd.openxmlformats-officedocument.spreadsheetml.worksheet+xml" PartName="/xl/worksheets/sheet44941.xml"/>
  <Override ContentType="application/vnd.openxmlformats-officedocument.spreadsheetml.worksheet+xml" PartName="/xl/worksheets/sheet44942.xml"/>
  <Override ContentType="application/vnd.openxmlformats-officedocument.spreadsheetml.worksheet+xml" PartName="/xl/worksheets/sheet44943.xml"/>
  <Override ContentType="application/vnd.openxmlformats-officedocument.spreadsheetml.worksheet+xml" PartName="/xl/worksheets/sheet44944.xml"/>
  <Override ContentType="application/vnd.openxmlformats-officedocument.spreadsheetml.worksheet+xml" PartName="/xl/worksheets/sheet44945.xml"/>
  <Override ContentType="application/vnd.openxmlformats-officedocument.spreadsheetml.worksheet+xml" PartName="/xl/worksheets/sheet44946.xml"/>
  <Override ContentType="application/vnd.openxmlformats-officedocument.spreadsheetml.worksheet+xml" PartName="/xl/worksheets/sheet44947.xml"/>
  <Override ContentType="application/vnd.openxmlformats-officedocument.spreadsheetml.worksheet+xml" PartName="/xl/worksheets/sheet44948.xml"/>
  <Override ContentType="application/vnd.openxmlformats-officedocument.spreadsheetml.worksheet+xml" PartName="/xl/worksheets/sheet44949.xml"/>
  <Override ContentType="application/vnd.openxmlformats-officedocument.spreadsheetml.worksheet+xml" PartName="/xl/worksheets/sheet44950.xml"/>
  <Override ContentType="application/vnd.openxmlformats-officedocument.spreadsheetml.worksheet+xml" PartName="/xl/worksheets/sheet44951.xml"/>
  <Override ContentType="application/vnd.openxmlformats-officedocument.spreadsheetml.worksheet+xml" PartName="/xl/worksheets/sheet44952.xml"/>
  <Override ContentType="application/vnd.openxmlformats-officedocument.spreadsheetml.worksheet+xml" PartName="/xl/worksheets/sheet44953.xml"/>
  <Override ContentType="application/vnd.openxmlformats-officedocument.spreadsheetml.worksheet+xml" PartName="/xl/worksheets/sheet44954.xml"/>
  <Override ContentType="application/vnd.openxmlformats-officedocument.spreadsheetml.worksheet+xml" PartName="/xl/worksheets/sheet44955.xml"/>
  <Override ContentType="application/vnd.openxmlformats-officedocument.spreadsheetml.worksheet+xml" PartName="/xl/worksheets/sheet44956.xml"/>
  <Override ContentType="application/vnd.openxmlformats-officedocument.spreadsheetml.worksheet+xml" PartName="/xl/worksheets/sheet44957.xml"/>
  <Override ContentType="application/vnd.openxmlformats-officedocument.spreadsheetml.worksheet+xml" PartName="/xl/worksheets/sheet44958.xml"/>
  <Override ContentType="application/vnd.openxmlformats-officedocument.spreadsheetml.worksheet+xml" PartName="/xl/worksheets/sheet44959.xml"/>
  <Override ContentType="application/vnd.openxmlformats-officedocument.spreadsheetml.worksheet+xml" PartName="/xl/worksheets/sheet44960.xml"/>
  <Override ContentType="application/vnd.openxmlformats-officedocument.spreadsheetml.worksheet+xml" PartName="/xl/worksheets/sheet44961.xml"/>
  <Override ContentType="application/vnd.openxmlformats-officedocument.spreadsheetml.worksheet+xml" PartName="/xl/worksheets/sheet44962.xml"/>
  <Override ContentType="application/vnd.openxmlformats-officedocument.spreadsheetml.worksheet+xml" PartName="/xl/worksheets/sheet44963.xml"/>
  <Override ContentType="application/vnd.openxmlformats-officedocument.spreadsheetml.worksheet+xml" PartName="/xl/worksheets/sheet44964.xml"/>
  <Override ContentType="application/vnd.openxmlformats-officedocument.spreadsheetml.worksheet+xml" PartName="/xl/worksheets/sheet44965.xml"/>
  <Override ContentType="application/vnd.openxmlformats-officedocument.spreadsheetml.worksheet+xml" PartName="/xl/worksheets/sheet44966.xml"/>
  <Override ContentType="application/vnd.openxmlformats-officedocument.spreadsheetml.worksheet+xml" PartName="/xl/worksheets/sheet44967.xml"/>
  <Override ContentType="application/vnd.openxmlformats-officedocument.spreadsheetml.worksheet+xml" PartName="/xl/worksheets/sheet44968.xml"/>
  <Override ContentType="application/vnd.openxmlformats-officedocument.spreadsheetml.worksheet+xml" PartName="/xl/worksheets/sheet44969.xml"/>
  <Override ContentType="application/vnd.openxmlformats-officedocument.spreadsheetml.worksheet+xml" PartName="/xl/worksheets/sheet44970.xml"/>
  <Override ContentType="application/vnd.openxmlformats-officedocument.spreadsheetml.worksheet+xml" PartName="/xl/worksheets/sheet44971.xml"/>
  <Override ContentType="application/vnd.openxmlformats-officedocument.spreadsheetml.worksheet+xml" PartName="/xl/worksheets/sheet44972.xml"/>
  <Override ContentType="application/vnd.openxmlformats-officedocument.spreadsheetml.worksheet+xml" PartName="/xl/worksheets/sheet44973.xml"/>
  <Override ContentType="application/vnd.openxmlformats-officedocument.spreadsheetml.worksheet+xml" PartName="/xl/worksheets/sheet44974.xml"/>
  <Override ContentType="application/vnd.openxmlformats-officedocument.spreadsheetml.worksheet+xml" PartName="/xl/worksheets/sheet44975.xml"/>
  <Override ContentType="application/vnd.openxmlformats-officedocument.spreadsheetml.worksheet+xml" PartName="/xl/worksheets/sheet44976.xml"/>
  <Override ContentType="application/vnd.openxmlformats-officedocument.spreadsheetml.worksheet+xml" PartName="/xl/worksheets/sheet44977.xml"/>
  <Override ContentType="application/vnd.openxmlformats-officedocument.spreadsheetml.worksheet+xml" PartName="/xl/worksheets/sheet44978.xml"/>
  <Override ContentType="application/vnd.openxmlformats-officedocument.spreadsheetml.worksheet+xml" PartName="/xl/worksheets/sheet44979.xml"/>
  <Override ContentType="application/vnd.openxmlformats-officedocument.spreadsheetml.worksheet+xml" PartName="/xl/worksheets/sheet44980.xml"/>
  <Override ContentType="application/vnd.openxmlformats-officedocument.spreadsheetml.worksheet+xml" PartName="/xl/worksheets/sheet44981.xml"/>
  <Override ContentType="application/vnd.openxmlformats-officedocument.spreadsheetml.worksheet+xml" PartName="/xl/worksheets/sheet44982.xml"/>
  <Override ContentType="application/vnd.openxmlformats-officedocument.spreadsheetml.worksheet+xml" PartName="/xl/worksheets/sheet44983.xml"/>
  <Override ContentType="application/vnd.openxmlformats-officedocument.spreadsheetml.worksheet+xml" PartName="/xl/worksheets/sheet44984.xml"/>
  <Override ContentType="application/vnd.openxmlformats-officedocument.spreadsheetml.worksheet+xml" PartName="/xl/worksheets/sheet44985.xml"/>
  <Override ContentType="application/vnd.openxmlformats-officedocument.spreadsheetml.worksheet+xml" PartName="/xl/worksheets/sheet44986.xml"/>
  <Override ContentType="application/vnd.openxmlformats-officedocument.spreadsheetml.worksheet+xml" PartName="/xl/worksheets/sheet44987.xml"/>
  <Override ContentType="application/vnd.openxmlformats-officedocument.spreadsheetml.worksheet+xml" PartName="/xl/worksheets/sheet44988.xml"/>
  <Override ContentType="application/vnd.openxmlformats-officedocument.spreadsheetml.worksheet+xml" PartName="/xl/worksheets/sheet44989.xml"/>
  <Override ContentType="application/vnd.openxmlformats-officedocument.spreadsheetml.worksheet+xml" PartName="/xl/worksheets/sheet44990.xml"/>
  <Override ContentType="application/vnd.openxmlformats-officedocument.spreadsheetml.worksheet+xml" PartName="/xl/worksheets/sheet44991.xml"/>
  <Override ContentType="application/vnd.openxmlformats-officedocument.spreadsheetml.worksheet+xml" PartName="/xl/worksheets/sheet44992.xml"/>
  <Override ContentType="application/vnd.openxmlformats-officedocument.spreadsheetml.worksheet+xml" PartName="/xl/worksheets/sheet44993.xml"/>
  <Override ContentType="application/vnd.openxmlformats-officedocument.spreadsheetml.worksheet+xml" PartName="/xl/worksheets/sheet44994.xml"/>
  <Override ContentType="application/vnd.openxmlformats-officedocument.spreadsheetml.worksheet+xml" PartName="/xl/worksheets/sheet44995.xml"/>
  <Override ContentType="application/vnd.openxmlformats-officedocument.spreadsheetml.worksheet+xml" PartName="/xl/worksheets/sheet44996.xml"/>
  <Override ContentType="application/vnd.openxmlformats-officedocument.spreadsheetml.worksheet+xml" PartName="/xl/worksheets/sheet44997.xml"/>
  <Override ContentType="application/vnd.openxmlformats-officedocument.spreadsheetml.worksheet+xml" PartName="/xl/worksheets/sheet44998.xml"/>
  <Override ContentType="application/vnd.openxmlformats-officedocument.spreadsheetml.worksheet+xml" PartName="/xl/worksheets/sheet44999.xml"/>
  <Override ContentType="application/vnd.openxmlformats-officedocument.spreadsheetml.worksheet+xml" PartName="/xl/worksheets/sheet45000.xml"/>
  <Override ContentType="application/vnd.openxmlformats-officedocument.spreadsheetml.worksheet+xml" PartName="/xl/worksheets/sheet45001.xml"/>
  <Override ContentType="application/vnd.openxmlformats-officedocument.spreadsheetml.worksheet+xml" PartName="/xl/worksheets/sheet45002.xml"/>
  <Override ContentType="application/vnd.openxmlformats-officedocument.spreadsheetml.worksheet+xml" PartName="/xl/worksheets/sheet45003.xml"/>
  <Override ContentType="application/vnd.openxmlformats-officedocument.spreadsheetml.worksheet+xml" PartName="/xl/worksheets/sheet45004.xml"/>
  <Override ContentType="application/vnd.openxmlformats-officedocument.spreadsheetml.worksheet+xml" PartName="/xl/worksheets/sheet45005.xml"/>
  <Override ContentType="application/vnd.openxmlformats-officedocument.spreadsheetml.worksheet+xml" PartName="/xl/worksheets/sheet45006.xml"/>
  <Override ContentType="application/vnd.openxmlformats-officedocument.spreadsheetml.worksheet+xml" PartName="/xl/worksheets/sheet45007.xml"/>
  <Override ContentType="application/vnd.openxmlformats-officedocument.spreadsheetml.worksheet+xml" PartName="/xl/worksheets/sheet45008.xml"/>
  <Override ContentType="application/vnd.openxmlformats-officedocument.spreadsheetml.worksheet+xml" PartName="/xl/worksheets/sheet45009.xml"/>
  <Override ContentType="application/vnd.openxmlformats-officedocument.spreadsheetml.worksheet+xml" PartName="/xl/worksheets/sheet45010.xml"/>
  <Override ContentType="application/vnd.openxmlformats-officedocument.spreadsheetml.worksheet+xml" PartName="/xl/worksheets/sheet45011.xml"/>
  <Override ContentType="application/vnd.openxmlformats-officedocument.spreadsheetml.worksheet+xml" PartName="/xl/worksheets/sheet45012.xml"/>
  <Override ContentType="application/vnd.openxmlformats-officedocument.spreadsheetml.worksheet+xml" PartName="/xl/worksheets/sheet45013.xml"/>
  <Override ContentType="application/vnd.openxmlformats-officedocument.spreadsheetml.worksheet+xml" PartName="/xl/worksheets/sheet45014.xml"/>
  <Override ContentType="application/vnd.openxmlformats-officedocument.spreadsheetml.worksheet+xml" PartName="/xl/worksheets/sheet45015.xml"/>
  <Override ContentType="application/vnd.openxmlformats-officedocument.spreadsheetml.worksheet+xml" PartName="/xl/worksheets/sheet45016.xml"/>
  <Override ContentType="application/vnd.openxmlformats-officedocument.spreadsheetml.worksheet+xml" PartName="/xl/worksheets/sheet45017.xml"/>
  <Override ContentType="application/vnd.openxmlformats-officedocument.spreadsheetml.worksheet+xml" PartName="/xl/worksheets/sheet45018.xml"/>
  <Override ContentType="application/vnd.openxmlformats-officedocument.spreadsheetml.worksheet+xml" PartName="/xl/worksheets/sheet45019.xml"/>
  <Override ContentType="application/vnd.openxmlformats-officedocument.spreadsheetml.worksheet+xml" PartName="/xl/worksheets/sheet45020.xml"/>
  <Override ContentType="application/vnd.openxmlformats-officedocument.spreadsheetml.worksheet+xml" PartName="/xl/worksheets/sheet45021.xml"/>
  <Override ContentType="application/vnd.openxmlformats-officedocument.spreadsheetml.worksheet+xml" PartName="/xl/worksheets/sheet45022.xml"/>
  <Override ContentType="application/vnd.openxmlformats-officedocument.spreadsheetml.worksheet+xml" PartName="/xl/worksheets/sheet45023.xml"/>
  <Override ContentType="application/vnd.openxmlformats-officedocument.spreadsheetml.worksheet+xml" PartName="/xl/worksheets/sheet45024.xml"/>
  <Override ContentType="application/vnd.openxmlformats-officedocument.spreadsheetml.worksheet+xml" PartName="/xl/worksheets/sheet45025.xml"/>
  <Override ContentType="application/vnd.openxmlformats-officedocument.spreadsheetml.worksheet+xml" PartName="/xl/worksheets/sheet45026.xml"/>
  <Override ContentType="application/vnd.openxmlformats-officedocument.spreadsheetml.worksheet+xml" PartName="/xl/worksheets/sheet45027.xml"/>
  <Override ContentType="application/vnd.openxmlformats-officedocument.spreadsheetml.worksheet+xml" PartName="/xl/worksheets/sheet45028.xml"/>
  <Override ContentType="application/vnd.openxmlformats-officedocument.spreadsheetml.worksheet+xml" PartName="/xl/worksheets/sheet45029.xml"/>
  <Override ContentType="application/vnd.openxmlformats-officedocument.spreadsheetml.worksheet+xml" PartName="/xl/worksheets/sheet45030.xml"/>
  <Override ContentType="application/vnd.openxmlformats-officedocument.spreadsheetml.worksheet+xml" PartName="/xl/worksheets/sheet45031.xml"/>
  <Override ContentType="application/vnd.openxmlformats-officedocument.spreadsheetml.worksheet+xml" PartName="/xl/worksheets/sheet45032.xml"/>
  <Override ContentType="application/vnd.openxmlformats-officedocument.spreadsheetml.worksheet+xml" PartName="/xl/worksheets/sheet45033.xml"/>
  <Override ContentType="application/vnd.openxmlformats-officedocument.spreadsheetml.worksheet+xml" PartName="/xl/worksheets/sheet45034.xml"/>
  <Override ContentType="application/vnd.openxmlformats-officedocument.spreadsheetml.worksheet+xml" PartName="/xl/worksheets/sheet45035.xml"/>
  <Override ContentType="application/vnd.openxmlformats-officedocument.spreadsheetml.worksheet+xml" PartName="/xl/worksheets/sheet45036.xml"/>
  <Override ContentType="application/vnd.openxmlformats-officedocument.spreadsheetml.worksheet+xml" PartName="/xl/worksheets/sheet45037.xml"/>
  <Override ContentType="application/vnd.openxmlformats-officedocument.spreadsheetml.worksheet+xml" PartName="/xl/worksheets/sheet45038.xml"/>
  <Override ContentType="application/vnd.openxmlformats-officedocument.spreadsheetml.worksheet+xml" PartName="/xl/worksheets/sheet45039.xml"/>
  <Override ContentType="application/vnd.openxmlformats-officedocument.spreadsheetml.worksheet+xml" PartName="/xl/worksheets/sheet45040.xml"/>
  <Override ContentType="application/vnd.openxmlformats-officedocument.spreadsheetml.worksheet+xml" PartName="/xl/worksheets/sheet45041.xml"/>
  <Override ContentType="application/vnd.openxmlformats-officedocument.spreadsheetml.worksheet+xml" PartName="/xl/worksheets/sheet45042.xml"/>
  <Override ContentType="application/vnd.openxmlformats-officedocument.spreadsheetml.worksheet+xml" PartName="/xl/worksheets/sheet45043.xml"/>
  <Override ContentType="application/vnd.openxmlformats-officedocument.spreadsheetml.worksheet+xml" PartName="/xl/worksheets/sheet45044.xml"/>
  <Override ContentType="application/vnd.openxmlformats-officedocument.spreadsheetml.worksheet+xml" PartName="/xl/worksheets/sheet45045.xml"/>
  <Override ContentType="application/vnd.openxmlformats-officedocument.spreadsheetml.worksheet+xml" PartName="/xl/worksheets/sheet45046.xml"/>
  <Override ContentType="application/vnd.openxmlformats-officedocument.spreadsheetml.worksheet+xml" PartName="/xl/worksheets/sheet45047.xml"/>
  <Override ContentType="application/vnd.openxmlformats-officedocument.spreadsheetml.worksheet+xml" PartName="/xl/worksheets/sheet45048.xml"/>
  <Override ContentType="application/vnd.openxmlformats-officedocument.spreadsheetml.worksheet+xml" PartName="/xl/worksheets/sheet45049.xml"/>
  <Override ContentType="application/vnd.openxmlformats-officedocument.spreadsheetml.worksheet+xml" PartName="/xl/worksheets/sheet45050.xml"/>
  <Override ContentType="application/vnd.openxmlformats-officedocument.spreadsheetml.worksheet+xml" PartName="/xl/worksheets/sheet45051.xml"/>
  <Override ContentType="application/vnd.openxmlformats-officedocument.spreadsheetml.worksheet+xml" PartName="/xl/worksheets/sheet45052.xml"/>
  <Override ContentType="application/vnd.openxmlformats-officedocument.spreadsheetml.worksheet+xml" PartName="/xl/worksheets/sheet45053.xml"/>
  <Override ContentType="application/vnd.openxmlformats-officedocument.spreadsheetml.worksheet+xml" PartName="/xl/worksheets/sheet45054.xml"/>
  <Override ContentType="application/vnd.openxmlformats-officedocument.spreadsheetml.worksheet+xml" PartName="/xl/worksheets/sheet45055.xml"/>
  <Override ContentType="application/vnd.openxmlformats-officedocument.spreadsheetml.worksheet+xml" PartName="/xl/worksheets/sheet45056.xml"/>
  <Override ContentType="application/vnd.openxmlformats-officedocument.spreadsheetml.worksheet+xml" PartName="/xl/worksheets/sheet45057.xml"/>
  <Override ContentType="application/vnd.openxmlformats-officedocument.spreadsheetml.worksheet+xml" PartName="/xl/worksheets/sheet45058.xml"/>
  <Override ContentType="application/vnd.openxmlformats-officedocument.spreadsheetml.worksheet+xml" PartName="/xl/worksheets/sheet45059.xml"/>
  <Override ContentType="application/vnd.openxmlformats-officedocument.spreadsheetml.worksheet+xml" PartName="/xl/worksheets/sheet45060.xml"/>
  <Override ContentType="application/vnd.openxmlformats-officedocument.spreadsheetml.worksheet+xml" PartName="/xl/worksheets/sheet45061.xml"/>
  <Override ContentType="application/vnd.openxmlformats-officedocument.spreadsheetml.worksheet+xml" PartName="/xl/worksheets/sheet45062.xml"/>
  <Override ContentType="application/vnd.openxmlformats-officedocument.spreadsheetml.worksheet+xml" PartName="/xl/worksheets/sheet45063.xml"/>
  <Override ContentType="application/vnd.openxmlformats-officedocument.spreadsheetml.worksheet+xml" PartName="/xl/worksheets/sheet45064.xml"/>
  <Override ContentType="application/vnd.openxmlformats-officedocument.spreadsheetml.worksheet+xml" PartName="/xl/worksheets/sheet45065.xml"/>
  <Override ContentType="application/vnd.openxmlformats-officedocument.spreadsheetml.worksheet+xml" PartName="/xl/worksheets/sheet45066.xml"/>
  <Override ContentType="application/vnd.openxmlformats-officedocument.spreadsheetml.worksheet+xml" PartName="/xl/worksheets/sheet45067.xml"/>
  <Override ContentType="application/vnd.openxmlformats-officedocument.spreadsheetml.worksheet+xml" PartName="/xl/worksheets/sheet45068.xml"/>
  <Override ContentType="application/vnd.openxmlformats-officedocument.spreadsheetml.worksheet+xml" PartName="/xl/worksheets/sheet45069.xml"/>
  <Override ContentType="application/vnd.openxmlformats-officedocument.spreadsheetml.worksheet+xml" PartName="/xl/worksheets/sheet45070.xml"/>
  <Override ContentType="application/vnd.openxmlformats-officedocument.spreadsheetml.worksheet+xml" PartName="/xl/worksheets/sheet45071.xml"/>
  <Override ContentType="application/vnd.openxmlformats-officedocument.spreadsheetml.worksheet+xml" PartName="/xl/worksheets/sheet45072.xml"/>
  <Override ContentType="application/vnd.openxmlformats-officedocument.spreadsheetml.worksheet+xml" PartName="/xl/worksheets/sheet45073.xml"/>
  <Override ContentType="application/vnd.openxmlformats-officedocument.spreadsheetml.worksheet+xml" PartName="/xl/worksheets/sheet45074.xml"/>
  <Override ContentType="application/vnd.openxmlformats-officedocument.spreadsheetml.worksheet+xml" PartName="/xl/worksheets/sheet45075.xml"/>
  <Override ContentType="application/vnd.openxmlformats-officedocument.spreadsheetml.worksheet+xml" PartName="/xl/worksheets/sheet45076.xml"/>
  <Override ContentType="application/vnd.openxmlformats-officedocument.spreadsheetml.worksheet+xml" PartName="/xl/worksheets/sheet45077.xml"/>
  <Override ContentType="application/vnd.openxmlformats-officedocument.spreadsheetml.worksheet+xml" PartName="/xl/worksheets/sheet45078.xml"/>
  <Override ContentType="application/vnd.openxmlformats-officedocument.spreadsheetml.worksheet+xml" PartName="/xl/worksheets/sheet45079.xml"/>
  <Override ContentType="application/vnd.openxmlformats-officedocument.spreadsheetml.worksheet+xml" PartName="/xl/worksheets/sheet45080.xml"/>
  <Override ContentType="application/vnd.openxmlformats-officedocument.spreadsheetml.worksheet+xml" PartName="/xl/worksheets/sheet45081.xml"/>
  <Override ContentType="application/vnd.openxmlformats-officedocument.spreadsheetml.worksheet+xml" PartName="/xl/worksheets/sheet45082.xml"/>
  <Override ContentType="application/vnd.openxmlformats-officedocument.spreadsheetml.worksheet+xml" PartName="/xl/worksheets/sheet45083.xml"/>
  <Override ContentType="application/vnd.openxmlformats-officedocument.spreadsheetml.worksheet+xml" PartName="/xl/worksheets/sheet45084.xml"/>
  <Override ContentType="application/vnd.openxmlformats-officedocument.spreadsheetml.worksheet+xml" PartName="/xl/worksheets/sheet45085.xml"/>
  <Override ContentType="application/vnd.openxmlformats-officedocument.spreadsheetml.worksheet+xml" PartName="/xl/worksheets/sheet45086.xml"/>
  <Override ContentType="application/vnd.openxmlformats-officedocument.spreadsheetml.worksheet+xml" PartName="/xl/worksheets/sheet45087.xml"/>
  <Override ContentType="application/vnd.openxmlformats-officedocument.spreadsheetml.worksheet+xml" PartName="/xl/worksheets/sheet45088.xml"/>
  <Override ContentType="application/vnd.openxmlformats-officedocument.spreadsheetml.worksheet+xml" PartName="/xl/worksheets/sheet45089.xml"/>
  <Override ContentType="application/vnd.openxmlformats-officedocument.spreadsheetml.worksheet+xml" PartName="/xl/worksheets/sheet45090.xml"/>
  <Override ContentType="application/vnd.openxmlformats-officedocument.spreadsheetml.worksheet+xml" PartName="/xl/worksheets/sheet45091.xml"/>
  <Override ContentType="application/vnd.openxmlformats-officedocument.spreadsheetml.worksheet+xml" PartName="/xl/worksheets/sheet45092.xml"/>
  <Override ContentType="application/vnd.openxmlformats-officedocument.spreadsheetml.worksheet+xml" PartName="/xl/worksheets/sheet45093.xml"/>
  <Override ContentType="application/vnd.openxmlformats-officedocument.spreadsheetml.worksheet+xml" PartName="/xl/worksheets/sheet45094.xml"/>
  <Override ContentType="application/vnd.openxmlformats-officedocument.spreadsheetml.worksheet+xml" PartName="/xl/worksheets/sheet45095.xml"/>
  <Override ContentType="application/vnd.openxmlformats-officedocument.spreadsheetml.worksheet+xml" PartName="/xl/worksheets/sheet45096.xml"/>
  <Override ContentType="application/vnd.openxmlformats-officedocument.spreadsheetml.worksheet+xml" PartName="/xl/worksheets/sheet45097.xml"/>
  <Override ContentType="application/vnd.openxmlformats-officedocument.spreadsheetml.worksheet+xml" PartName="/xl/worksheets/sheet45098.xml"/>
  <Override ContentType="application/vnd.openxmlformats-officedocument.spreadsheetml.worksheet+xml" PartName="/xl/worksheets/sheet45099.xml"/>
  <Override ContentType="application/vnd.openxmlformats-officedocument.spreadsheetml.worksheet+xml" PartName="/xl/worksheets/sheet45100.xml"/>
  <Override ContentType="application/vnd.openxmlformats-officedocument.spreadsheetml.worksheet+xml" PartName="/xl/worksheets/sheet45101.xml"/>
  <Override ContentType="application/vnd.openxmlformats-officedocument.spreadsheetml.worksheet+xml" PartName="/xl/worksheets/sheet45102.xml"/>
  <Override ContentType="application/vnd.openxmlformats-officedocument.spreadsheetml.worksheet+xml" PartName="/xl/worksheets/sheet45103.xml"/>
  <Override ContentType="application/vnd.openxmlformats-officedocument.spreadsheetml.worksheet+xml" PartName="/xl/worksheets/sheet45104.xml"/>
  <Override ContentType="application/vnd.openxmlformats-officedocument.spreadsheetml.worksheet+xml" PartName="/xl/worksheets/sheet45105.xml"/>
  <Override ContentType="application/vnd.openxmlformats-officedocument.spreadsheetml.worksheet+xml" PartName="/xl/worksheets/sheet45106.xml"/>
  <Override ContentType="application/vnd.openxmlformats-officedocument.spreadsheetml.worksheet+xml" PartName="/xl/worksheets/sheet45107.xml"/>
  <Override ContentType="application/vnd.openxmlformats-officedocument.spreadsheetml.worksheet+xml" PartName="/xl/worksheets/sheet45108.xml"/>
  <Override ContentType="application/vnd.openxmlformats-officedocument.spreadsheetml.worksheet+xml" PartName="/xl/worksheets/sheet45109.xml"/>
  <Override ContentType="application/vnd.openxmlformats-officedocument.spreadsheetml.worksheet+xml" PartName="/xl/worksheets/sheet45110.xml"/>
  <Override ContentType="application/vnd.openxmlformats-officedocument.spreadsheetml.worksheet+xml" PartName="/xl/worksheets/sheet45111.xml"/>
  <Override ContentType="application/vnd.openxmlformats-officedocument.spreadsheetml.worksheet+xml" PartName="/xl/worksheets/sheet45112.xml"/>
  <Override ContentType="application/vnd.openxmlformats-officedocument.spreadsheetml.worksheet+xml" PartName="/xl/worksheets/sheet45113.xml"/>
  <Override ContentType="application/vnd.openxmlformats-officedocument.spreadsheetml.worksheet+xml" PartName="/xl/worksheets/sheet45114.xml"/>
  <Override ContentType="application/vnd.openxmlformats-officedocument.spreadsheetml.worksheet+xml" PartName="/xl/worksheets/sheet45115.xml"/>
  <Override ContentType="application/vnd.openxmlformats-officedocument.spreadsheetml.worksheet+xml" PartName="/xl/worksheets/sheet45116.xml"/>
  <Override ContentType="application/vnd.openxmlformats-officedocument.spreadsheetml.worksheet+xml" PartName="/xl/worksheets/sheet45117.xml"/>
  <Override ContentType="application/vnd.openxmlformats-officedocument.spreadsheetml.worksheet+xml" PartName="/xl/worksheets/sheet45118.xml"/>
  <Override ContentType="application/vnd.openxmlformats-officedocument.spreadsheetml.worksheet+xml" PartName="/xl/worksheets/sheet45119.xml"/>
  <Override ContentType="application/vnd.openxmlformats-officedocument.spreadsheetml.worksheet+xml" PartName="/xl/worksheets/sheet45120.xml"/>
  <Override ContentType="application/vnd.openxmlformats-officedocument.spreadsheetml.worksheet+xml" PartName="/xl/worksheets/sheet45121.xml"/>
  <Override ContentType="application/vnd.openxmlformats-officedocument.spreadsheetml.worksheet+xml" PartName="/xl/worksheets/sheet45122.xml"/>
  <Override ContentType="application/vnd.openxmlformats-officedocument.spreadsheetml.worksheet+xml" PartName="/xl/worksheets/sheet45123.xml"/>
  <Override ContentType="application/vnd.openxmlformats-officedocument.spreadsheetml.worksheet+xml" PartName="/xl/worksheets/sheet45124.xml"/>
  <Override ContentType="application/vnd.openxmlformats-officedocument.spreadsheetml.worksheet+xml" PartName="/xl/worksheets/sheet45125.xml"/>
  <Override ContentType="application/vnd.openxmlformats-officedocument.spreadsheetml.worksheet+xml" PartName="/xl/worksheets/sheet45126.xml"/>
  <Override ContentType="application/vnd.openxmlformats-officedocument.spreadsheetml.worksheet+xml" PartName="/xl/worksheets/sheet45127.xml"/>
  <Override ContentType="application/vnd.openxmlformats-officedocument.spreadsheetml.worksheet+xml" PartName="/xl/worksheets/sheet45128.xml"/>
  <Override ContentType="application/vnd.openxmlformats-officedocument.spreadsheetml.worksheet+xml" PartName="/xl/worksheets/sheet45129.xml"/>
  <Override ContentType="application/vnd.openxmlformats-officedocument.spreadsheetml.worksheet+xml" PartName="/xl/worksheets/sheet45130.xml"/>
  <Override ContentType="application/vnd.openxmlformats-officedocument.spreadsheetml.worksheet+xml" PartName="/xl/worksheets/sheet45131.xml"/>
  <Override ContentType="application/vnd.openxmlformats-officedocument.spreadsheetml.worksheet+xml" PartName="/xl/worksheets/sheet45132.xml"/>
  <Override ContentType="application/vnd.openxmlformats-officedocument.spreadsheetml.worksheet+xml" PartName="/xl/worksheets/sheet45133.xml"/>
  <Override ContentType="application/vnd.openxmlformats-officedocument.spreadsheetml.worksheet+xml" PartName="/xl/worksheets/sheet45134.xml"/>
  <Override ContentType="application/vnd.openxmlformats-officedocument.spreadsheetml.worksheet+xml" PartName="/xl/worksheets/sheet45135.xml"/>
  <Override ContentType="application/vnd.openxmlformats-officedocument.spreadsheetml.worksheet+xml" PartName="/xl/worksheets/sheet45136.xml"/>
  <Override ContentType="application/vnd.openxmlformats-officedocument.spreadsheetml.worksheet+xml" PartName="/xl/worksheets/sheet45137.xml"/>
  <Override ContentType="application/vnd.openxmlformats-officedocument.spreadsheetml.worksheet+xml" PartName="/xl/worksheets/sheet45138.xml"/>
  <Override ContentType="application/vnd.openxmlformats-officedocument.spreadsheetml.worksheet+xml" PartName="/xl/worksheets/sheet45139.xml"/>
  <Override ContentType="application/vnd.openxmlformats-officedocument.spreadsheetml.worksheet+xml" PartName="/xl/worksheets/sheet45140.xml"/>
  <Override ContentType="application/vnd.openxmlformats-officedocument.spreadsheetml.worksheet+xml" PartName="/xl/worksheets/sheet45141.xml"/>
  <Override ContentType="application/vnd.openxmlformats-officedocument.spreadsheetml.worksheet+xml" PartName="/xl/worksheets/sheet45142.xml"/>
  <Override ContentType="application/vnd.openxmlformats-officedocument.spreadsheetml.worksheet+xml" PartName="/xl/worksheets/sheet45143.xml"/>
  <Override ContentType="application/vnd.openxmlformats-officedocument.spreadsheetml.worksheet+xml" PartName="/xl/worksheets/sheet45144.xml"/>
  <Override ContentType="application/vnd.openxmlformats-officedocument.spreadsheetml.worksheet+xml" PartName="/xl/worksheets/sheet45145.xml"/>
  <Override ContentType="application/vnd.openxmlformats-officedocument.spreadsheetml.worksheet+xml" PartName="/xl/worksheets/sheet45146.xml"/>
  <Override ContentType="application/vnd.openxmlformats-officedocument.spreadsheetml.worksheet+xml" PartName="/xl/worksheets/sheet45147.xml"/>
  <Override ContentType="application/vnd.openxmlformats-officedocument.spreadsheetml.worksheet+xml" PartName="/xl/worksheets/sheet45148.xml"/>
  <Override ContentType="application/vnd.openxmlformats-officedocument.spreadsheetml.worksheet+xml" PartName="/xl/worksheets/sheet45149.xml"/>
  <Override ContentType="application/vnd.openxmlformats-officedocument.spreadsheetml.worksheet+xml" PartName="/xl/worksheets/sheet45150.xml"/>
  <Override ContentType="application/vnd.openxmlformats-officedocument.spreadsheetml.worksheet+xml" PartName="/xl/worksheets/sheet45151.xml"/>
  <Override ContentType="application/vnd.openxmlformats-officedocument.spreadsheetml.worksheet+xml" PartName="/xl/worksheets/sheet45152.xml"/>
  <Override ContentType="application/vnd.openxmlformats-officedocument.spreadsheetml.worksheet+xml" PartName="/xl/worksheets/sheet45153.xml"/>
  <Override ContentType="application/vnd.openxmlformats-officedocument.spreadsheetml.worksheet+xml" PartName="/xl/worksheets/sheet45154.xml"/>
  <Override ContentType="application/vnd.openxmlformats-officedocument.spreadsheetml.worksheet+xml" PartName="/xl/worksheets/sheet45155.xml"/>
  <Override ContentType="application/vnd.openxmlformats-officedocument.spreadsheetml.worksheet+xml" PartName="/xl/worksheets/sheet45156.xml"/>
  <Override ContentType="application/vnd.openxmlformats-officedocument.spreadsheetml.worksheet+xml" PartName="/xl/worksheets/sheet45157.xml"/>
  <Override ContentType="application/vnd.openxmlformats-officedocument.spreadsheetml.worksheet+xml" PartName="/xl/worksheets/sheet45158.xml"/>
  <Override ContentType="application/vnd.openxmlformats-officedocument.spreadsheetml.worksheet+xml" PartName="/xl/worksheets/sheet45159.xml"/>
  <Override ContentType="application/vnd.openxmlformats-officedocument.spreadsheetml.worksheet+xml" PartName="/xl/worksheets/sheet45160.xml"/>
  <Override ContentType="application/vnd.openxmlformats-officedocument.spreadsheetml.worksheet+xml" PartName="/xl/worksheets/sheet45161.xml"/>
  <Override ContentType="application/vnd.openxmlformats-officedocument.spreadsheetml.worksheet+xml" PartName="/xl/worksheets/sheet45162.xml"/>
  <Override ContentType="application/vnd.openxmlformats-officedocument.spreadsheetml.worksheet+xml" PartName="/xl/worksheets/sheet45163.xml"/>
  <Override ContentType="application/vnd.openxmlformats-officedocument.spreadsheetml.worksheet+xml" PartName="/xl/worksheets/sheet45164.xml"/>
  <Override ContentType="application/vnd.openxmlformats-officedocument.spreadsheetml.worksheet+xml" PartName="/xl/worksheets/sheet45165.xml"/>
  <Override ContentType="application/vnd.openxmlformats-officedocument.spreadsheetml.worksheet+xml" PartName="/xl/worksheets/sheet45166.xml"/>
  <Override ContentType="application/vnd.openxmlformats-officedocument.spreadsheetml.worksheet+xml" PartName="/xl/worksheets/sheet45167.xml"/>
  <Override ContentType="application/vnd.openxmlformats-officedocument.spreadsheetml.worksheet+xml" PartName="/xl/worksheets/sheet45168.xml"/>
  <Override ContentType="application/vnd.openxmlformats-officedocument.spreadsheetml.worksheet+xml" PartName="/xl/worksheets/sheet45169.xml"/>
  <Override ContentType="application/vnd.openxmlformats-officedocument.spreadsheetml.worksheet+xml" PartName="/xl/worksheets/sheet45170.xml"/>
  <Override ContentType="application/vnd.openxmlformats-officedocument.spreadsheetml.worksheet+xml" PartName="/xl/worksheets/sheet45171.xml"/>
  <Override ContentType="application/vnd.openxmlformats-officedocument.spreadsheetml.worksheet+xml" PartName="/xl/worksheets/sheet45172.xml"/>
  <Override ContentType="application/vnd.openxmlformats-officedocument.spreadsheetml.worksheet+xml" PartName="/xl/worksheets/sheet45173.xml"/>
  <Override ContentType="application/vnd.openxmlformats-officedocument.spreadsheetml.worksheet+xml" PartName="/xl/worksheets/sheet45174.xml"/>
  <Override ContentType="application/vnd.openxmlformats-officedocument.spreadsheetml.worksheet+xml" PartName="/xl/worksheets/sheet45175.xml"/>
  <Override ContentType="application/vnd.openxmlformats-officedocument.spreadsheetml.worksheet+xml" PartName="/xl/worksheets/sheet45176.xml"/>
  <Override ContentType="application/vnd.openxmlformats-officedocument.spreadsheetml.worksheet+xml" PartName="/xl/worksheets/sheet45177.xml"/>
  <Override ContentType="application/vnd.openxmlformats-officedocument.spreadsheetml.worksheet+xml" PartName="/xl/worksheets/sheet45178.xml"/>
  <Override ContentType="application/vnd.openxmlformats-officedocument.spreadsheetml.worksheet+xml" PartName="/xl/worksheets/sheet45179.xml"/>
  <Override ContentType="application/vnd.openxmlformats-officedocument.spreadsheetml.worksheet+xml" PartName="/xl/worksheets/sheet45180.xml"/>
  <Override ContentType="application/vnd.openxmlformats-officedocument.spreadsheetml.worksheet+xml" PartName="/xl/worksheets/sheet45181.xml"/>
  <Override ContentType="application/vnd.openxmlformats-officedocument.spreadsheetml.worksheet+xml" PartName="/xl/worksheets/sheet45182.xml"/>
  <Override ContentType="application/vnd.openxmlformats-officedocument.spreadsheetml.worksheet+xml" PartName="/xl/worksheets/sheet45183.xml"/>
  <Override ContentType="application/vnd.openxmlformats-officedocument.spreadsheetml.worksheet+xml" PartName="/xl/worksheets/sheet45184.xml"/>
  <Override ContentType="application/vnd.openxmlformats-officedocument.spreadsheetml.worksheet+xml" PartName="/xl/worksheets/sheet45185.xml"/>
  <Override ContentType="application/vnd.openxmlformats-officedocument.spreadsheetml.worksheet+xml" PartName="/xl/worksheets/sheet45186.xml"/>
  <Override ContentType="application/vnd.openxmlformats-officedocument.spreadsheetml.worksheet+xml" PartName="/xl/worksheets/sheet45187.xml"/>
  <Override ContentType="application/vnd.openxmlformats-officedocument.spreadsheetml.worksheet+xml" PartName="/xl/worksheets/sheet45188.xml"/>
  <Override ContentType="application/vnd.openxmlformats-officedocument.spreadsheetml.worksheet+xml" PartName="/xl/worksheets/sheet45189.xml"/>
  <Override ContentType="application/vnd.openxmlformats-officedocument.spreadsheetml.worksheet+xml" PartName="/xl/worksheets/sheet45190.xml"/>
  <Override ContentType="application/vnd.openxmlformats-officedocument.spreadsheetml.worksheet+xml" PartName="/xl/worksheets/sheet45191.xml"/>
  <Override ContentType="application/vnd.openxmlformats-officedocument.spreadsheetml.worksheet+xml" PartName="/xl/worksheets/sheet45192.xml"/>
  <Override ContentType="application/vnd.openxmlformats-officedocument.spreadsheetml.worksheet+xml" PartName="/xl/worksheets/sheet45193.xml"/>
  <Override ContentType="application/vnd.openxmlformats-officedocument.spreadsheetml.worksheet+xml" PartName="/xl/worksheets/sheet45194.xml"/>
  <Override ContentType="application/vnd.openxmlformats-officedocument.spreadsheetml.worksheet+xml" PartName="/xl/worksheets/sheet45195.xml"/>
  <Override ContentType="application/vnd.openxmlformats-officedocument.spreadsheetml.worksheet+xml" PartName="/xl/worksheets/sheet45196.xml"/>
  <Override ContentType="application/vnd.openxmlformats-officedocument.spreadsheetml.worksheet+xml" PartName="/xl/worksheets/sheet45197.xml"/>
  <Override ContentType="application/vnd.openxmlformats-officedocument.spreadsheetml.worksheet+xml" PartName="/xl/worksheets/sheet45198.xml"/>
  <Override ContentType="application/vnd.openxmlformats-officedocument.spreadsheetml.worksheet+xml" PartName="/xl/worksheets/sheet45199.xml"/>
  <Override ContentType="application/vnd.openxmlformats-officedocument.spreadsheetml.worksheet+xml" PartName="/xl/worksheets/sheet45200.xml"/>
  <Override ContentType="application/vnd.openxmlformats-officedocument.spreadsheetml.worksheet+xml" PartName="/xl/worksheets/sheet45201.xml"/>
  <Override ContentType="application/vnd.openxmlformats-officedocument.spreadsheetml.worksheet+xml" PartName="/xl/worksheets/sheet45202.xml"/>
  <Override ContentType="application/vnd.openxmlformats-officedocument.spreadsheetml.worksheet+xml" PartName="/xl/worksheets/sheet45203.xml"/>
  <Override ContentType="application/vnd.openxmlformats-officedocument.spreadsheetml.worksheet+xml" PartName="/xl/worksheets/sheet45204.xml"/>
  <Override ContentType="application/vnd.openxmlformats-officedocument.spreadsheetml.worksheet+xml" PartName="/xl/worksheets/sheet45205.xml"/>
  <Override ContentType="application/vnd.openxmlformats-officedocument.spreadsheetml.worksheet+xml" PartName="/xl/worksheets/sheet45206.xml"/>
  <Override ContentType="application/vnd.openxmlformats-officedocument.spreadsheetml.worksheet+xml" PartName="/xl/worksheets/sheet45207.xml"/>
  <Override ContentType="application/vnd.openxmlformats-officedocument.spreadsheetml.worksheet+xml" PartName="/xl/worksheets/sheet45208.xml"/>
  <Override ContentType="application/vnd.openxmlformats-officedocument.spreadsheetml.worksheet+xml" PartName="/xl/worksheets/sheet45209.xml"/>
  <Override ContentType="application/vnd.openxmlformats-officedocument.spreadsheetml.worksheet+xml" PartName="/xl/worksheets/sheet45210.xml"/>
  <Override ContentType="application/vnd.openxmlformats-officedocument.spreadsheetml.worksheet+xml" PartName="/xl/worksheets/sheet45211.xml"/>
  <Override ContentType="application/vnd.openxmlformats-officedocument.spreadsheetml.worksheet+xml" PartName="/xl/worksheets/sheet45212.xml"/>
  <Override ContentType="application/vnd.openxmlformats-officedocument.spreadsheetml.worksheet+xml" PartName="/xl/worksheets/sheet45213.xml"/>
  <Override ContentType="application/vnd.openxmlformats-officedocument.spreadsheetml.worksheet+xml" PartName="/xl/worksheets/sheet45214.xml"/>
  <Override ContentType="application/vnd.openxmlformats-officedocument.spreadsheetml.worksheet+xml" PartName="/xl/worksheets/sheet45215.xml"/>
  <Override ContentType="application/vnd.openxmlformats-officedocument.spreadsheetml.worksheet+xml" PartName="/xl/worksheets/sheet45216.xml"/>
  <Override ContentType="application/vnd.openxmlformats-officedocument.spreadsheetml.worksheet+xml" PartName="/xl/worksheets/sheet45217.xml"/>
  <Override ContentType="application/vnd.openxmlformats-officedocument.spreadsheetml.worksheet+xml" PartName="/xl/worksheets/sheet45218.xml"/>
  <Override ContentType="application/vnd.openxmlformats-officedocument.spreadsheetml.worksheet+xml" PartName="/xl/worksheets/sheet45219.xml"/>
  <Override ContentType="application/vnd.openxmlformats-officedocument.spreadsheetml.worksheet+xml" PartName="/xl/worksheets/sheet45220.xml"/>
  <Override ContentType="application/vnd.openxmlformats-officedocument.spreadsheetml.worksheet+xml" PartName="/xl/worksheets/sheet45221.xml"/>
  <Override ContentType="application/vnd.openxmlformats-officedocument.spreadsheetml.worksheet+xml" PartName="/xl/worksheets/sheet45222.xml"/>
  <Override ContentType="application/vnd.openxmlformats-officedocument.spreadsheetml.worksheet+xml" PartName="/xl/worksheets/sheet45223.xml"/>
  <Override ContentType="application/vnd.openxmlformats-officedocument.spreadsheetml.worksheet+xml" PartName="/xl/worksheets/sheet45224.xml"/>
  <Override ContentType="application/vnd.openxmlformats-officedocument.spreadsheetml.worksheet+xml" PartName="/xl/worksheets/sheet45225.xml"/>
  <Override ContentType="application/vnd.openxmlformats-officedocument.spreadsheetml.worksheet+xml" PartName="/xl/worksheets/sheet45226.xml"/>
  <Override ContentType="application/vnd.openxmlformats-officedocument.spreadsheetml.worksheet+xml" PartName="/xl/worksheets/sheet45227.xml"/>
  <Override ContentType="application/vnd.openxmlformats-officedocument.spreadsheetml.worksheet+xml" PartName="/xl/worksheets/sheet45228.xml"/>
  <Override ContentType="application/vnd.openxmlformats-officedocument.spreadsheetml.worksheet+xml" PartName="/xl/worksheets/sheet45229.xml"/>
  <Override ContentType="application/vnd.openxmlformats-officedocument.spreadsheetml.worksheet+xml" PartName="/xl/worksheets/sheet45230.xml"/>
  <Override ContentType="application/vnd.openxmlformats-officedocument.spreadsheetml.worksheet+xml" PartName="/xl/worksheets/sheet45231.xml"/>
  <Override ContentType="application/vnd.openxmlformats-officedocument.spreadsheetml.worksheet+xml" PartName="/xl/worksheets/sheet45232.xml"/>
  <Override ContentType="application/vnd.openxmlformats-officedocument.spreadsheetml.worksheet+xml" PartName="/xl/worksheets/sheet45233.xml"/>
  <Override ContentType="application/vnd.openxmlformats-officedocument.spreadsheetml.worksheet+xml" PartName="/xl/worksheets/sheet45234.xml"/>
  <Override ContentType="application/vnd.openxmlformats-officedocument.spreadsheetml.worksheet+xml" PartName="/xl/worksheets/sheet45235.xml"/>
  <Override ContentType="application/vnd.openxmlformats-officedocument.spreadsheetml.worksheet+xml" PartName="/xl/worksheets/sheet45236.xml"/>
  <Override ContentType="application/vnd.openxmlformats-officedocument.spreadsheetml.worksheet+xml" PartName="/xl/worksheets/sheet45237.xml"/>
  <Override ContentType="application/vnd.openxmlformats-officedocument.spreadsheetml.worksheet+xml" PartName="/xl/worksheets/sheet45238.xml"/>
  <Override ContentType="application/vnd.openxmlformats-officedocument.spreadsheetml.worksheet+xml" PartName="/xl/worksheets/sheet45239.xml"/>
  <Override ContentType="application/vnd.openxmlformats-officedocument.spreadsheetml.worksheet+xml" PartName="/xl/worksheets/sheet45240.xml"/>
  <Override ContentType="application/vnd.openxmlformats-officedocument.spreadsheetml.worksheet+xml" PartName="/xl/worksheets/sheet45241.xml"/>
  <Override ContentType="application/vnd.openxmlformats-officedocument.spreadsheetml.worksheet+xml" PartName="/xl/worksheets/sheet45242.xml"/>
  <Override ContentType="application/vnd.openxmlformats-officedocument.spreadsheetml.worksheet+xml" PartName="/xl/worksheets/sheet45243.xml"/>
  <Override ContentType="application/vnd.openxmlformats-officedocument.spreadsheetml.worksheet+xml" PartName="/xl/worksheets/sheet45244.xml"/>
  <Override ContentType="application/vnd.openxmlformats-officedocument.spreadsheetml.worksheet+xml" PartName="/xl/worksheets/sheet45245.xml"/>
  <Override ContentType="application/vnd.openxmlformats-officedocument.spreadsheetml.worksheet+xml" PartName="/xl/worksheets/sheet45246.xml"/>
  <Override ContentType="application/vnd.openxmlformats-officedocument.spreadsheetml.worksheet+xml" PartName="/xl/worksheets/sheet45247.xml"/>
  <Override ContentType="application/vnd.openxmlformats-officedocument.spreadsheetml.worksheet+xml" PartName="/xl/worksheets/sheet45248.xml"/>
  <Override ContentType="application/vnd.openxmlformats-officedocument.spreadsheetml.worksheet+xml" PartName="/xl/worksheets/sheet45249.xml"/>
  <Override ContentType="application/vnd.openxmlformats-officedocument.spreadsheetml.worksheet+xml" PartName="/xl/worksheets/sheet45250.xml"/>
  <Override ContentType="application/vnd.openxmlformats-officedocument.spreadsheetml.worksheet+xml" PartName="/xl/worksheets/sheet45251.xml"/>
  <Override ContentType="application/vnd.openxmlformats-officedocument.spreadsheetml.worksheet+xml" PartName="/xl/worksheets/sheet45252.xml"/>
  <Override ContentType="application/vnd.openxmlformats-officedocument.spreadsheetml.worksheet+xml" PartName="/xl/worksheets/sheet45253.xml"/>
  <Override ContentType="application/vnd.openxmlformats-officedocument.spreadsheetml.worksheet+xml" PartName="/xl/worksheets/sheet45254.xml"/>
  <Override ContentType="application/vnd.openxmlformats-officedocument.spreadsheetml.worksheet+xml" PartName="/xl/worksheets/sheet45255.xml"/>
  <Override ContentType="application/vnd.openxmlformats-officedocument.spreadsheetml.worksheet+xml" PartName="/xl/worksheets/sheet45256.xml"/>
  <Override ContentType="application/vnd.openxmlformats-officedocument.spreadsheetml.worksheet+xml" PartName="/xl/worksheets/sheet45257.xml"/>
  <Override ContentType="application/vnd.openxmlformats-officedocument.spreadsheetml.worksheet+xml" PartName="/xl/worksheets/sheet45258.xml"/>
  <Override ContentType="application/vnd.openxmlformats-officedocument.spreadsheetml.worksheet+xml" PartName="/xl/worksheets/sheet45259.xml"/>
  <Override ContentType="application/vnd.openxmlformats-officedocument.spreadsheetml.worksheet+xml" PartName="/xl/worksheets/sheet45260.xml"/>
  <Override ContentType="application/vnd.openxmlformats-officedocument.spreadsheetml.worksheet+xml" PartName="/xl/worksheets/sheet45261.xml"/>
  <Override ContentType="application/vnd.openxmlformats-officedocument.spreadsheetml.worksheet+xml" PartName="/xl/worksheets/sheet45262.xml"/>
  <Override ContentType="application/vnd.openxmlformats-officedocument.spreadsheetml.worksheet+xml" PartName="/xl/worksheets/sheet45263.xml"/>
  <Override ContentType="application/vnd.openxmlformats-officedocument.spreadsheetml.worksheet+xml" PartName="/xl/worksheets/sheet45264.xml"/>
  <Override ContentType="application/vnd.openxmlformats-officedocument.spreadsheetml.worksheet+xml" PartName="/xl/worksheets/sheet45265.xml"/>
  <Override ContentType="application/vnd.openxmlformats-officedocument.spreadsheetml.worksheet+xml" PartName="/xl/worksheets/sheet45266.xml"/>
  <Override ContentType="application/vnd.openxmlformats-officedocument.spreadsheetml.worksheet+xml" PartName="/xl/worksheets/sheet45267.xml"/>
  <Override ContentType="application/vnd.openxmlformats-officedocument.spreadsheetml.worksheet+xml" PartName="/xl/worksheets/sheet45268.xml"/>
  <Override ContentType="application/vnd.openxmlformats-officedocument.spreadsheetml.worksheet+xml" PartName="/xl/worksheets/sheet45269.xml"/>
  <Override ContentType="application/vnd.openxmlformats-officedocument.spreadsheetml.worksheet+xml" PartName="/xl/worksheets/sheet45270.xml"/>
  <Override ContentType="application/vnd.openxmlformats-officedocument.spreadsheetml.worksheet+xml" PartName="/xl/worksheets/sheet45271.xml"/>
  <Override ContentType="application/vnd.openxmlformats-officedocument.spreadsheetml.worksheet+xml" PartName="/xl/worksheets/sheet45272.xml"/>
  <Override ContentType="application/vnd.openxmlformats-officedocument.spreadsheetml.worksheet+xml" PartName="/xl/worksheets/sheet45273.xml"/>
  <Override ContentType="application/vnd.openxmlformats-officedocument.spreadsheetml.worksheet+xml" PartName="/xl/worksheets/sheet45274.xml"/>
  <Override ContentType="application/vnd.openxmlformats-officedocument.spreadsheetml.worksheet+xml" PartName="/xl/worksheets/sheet45275.xml"/>
  <Override ContentType="application/vnd.openxmlformats-officedocument.spreadsheetml.worksheet+xml" PartName="/xl/worksheets/sheet45276.xml"/>
  <Override ContentType="application/vnd.openxmlformats-officedocument.spreadsheetml.worksheet+xml" PartName="/xl/worksheets/sheet45277.xml"/>
  <Override ContentType="application/vnd.openxmlformats-officedocument.spreadsheetml.worksheet+xml" PartName="/xl/worksheets/sheet45278.xml"/>
  <Override ContentType="application/vnd.openxmlformats-officedocument.spreadsheetml.worksheet+xml" PartName="/xl/worksheets/sheet45279.xml"/>
  <Override ContentType="application/vnd.openxmlformats-officedocument.spreadsheetml.worksheet+xml" PartName="/xl/worksheets/sheet45280.xml"/>
  <Override ContentType="application/vnd.openxmlformats-officedocument.spreadsheetml.worksheet+xml" PartName="/xl/worksheets/sheet45281.xml"/>
  <Override ContentType="application/vnd.openxmlformats-officedocument.spreadsheetml.worksheet+xml" PartName="/xl/worksheets/sheet45282.xml"/>
  <Override ContentType="application/vnd.openxmlformats-officedocument.spreadsheetml.worksheet+xml" PartName="/xl/worksheets/sheet45283.xml"/>
  <Override ContentType="application/vnd.openxmlformats-officedocument.spreadsheetml.worksheet+xml" PartName="/xl/worksheets/sheet45284.xml"/>
  <Override ContentType="application/vnd.openxmlformats-officedocument.spreadsheetml.worksheet+xml" PartName="/xl/worksheets/sheet45285.xml"/>
  <Override ContentType="application/vnd.openxmlformats-officedocument.spreadsheetml.worksheet+xml" PartName="/xl/worksheets/sheet45286.xml"/>
  <Override ContentType="application/vnd.openxmlformats-officedocument.spreadsheetml.worksheet+xml" PartName="/xl/worksheets/sheet45287.xml"/>
  <Override ContentType="application/vnd.openxmlformats-officedocument.spreadsheetml.worksheet+xml" PartName="/xl/worksheets/sheet45288.xml"/>
  <Override ContentType="application/vnd.openxmlformats-officedocument.spreadsheetml.worksheet+xml" PartName="/xl/worksheets/sheet45289.xml"/>
  <Override ContentType="application/vnd.openxmlformats-officedocument.spreadsheetml.worksheet+xml" PartName="/xl/worksheets/sheet45290.xml"/>
  <Override ContentType="application/vnd.openxmlformats-officedocument.spreadsheetml.worksheet+xml" PartName="/xl/worksheets/sheet45291.xml"/>
  <Override ContentType="application/vnd.openxmlformats-officedocument.spreadsheetml.worksheet+xml" PartName="/xl/worksheets/sheet45292.xml"/>
  <Override ContentType="application/vnd.openxmlformats-officedocument.spreadsheetml.worksheet+xml" PartName="/xl/worksheets/sheet45293.xml"/>
  <Override ContentType="application/vnd.openxmlformats-officedocument.spreadsheetml.worksheet+xml" PartName="/xl/worksheets/sheet45294.xml"/>
  <Override ContentType="application/vnd.openxmlformats-officedocument.spreadsheetml.worksheet+xml" PartName="/xl/worksheets/sheet45295.xml"/>
  <Override ContentType="application/vnd.openxmlformats-officedocument.spreadsheetml.worksheet+xml" PartName="/xl/worksheets/sheet45296.xml"/>
  <Override ContentType="application/vnd.openxmlformats-officedocument.spreadsheetml.worksheet+xml" PartName="/xl/worksheets/sheet45297.xml"/>
  <Override ContentType="application/vnd.openxmlformats-officedocument.spreadsheetml.worksheet+xml" PartName="/xl/worksheets/sheet45298.xml"/>
  <Override ContentType="application/vnd.openxmlformats-officedocument.spreadsheetml.worksheet+xml" PartName="/xl/worksheets/sheet45299.xml"/>
  <Override ContentType="application/vnd.openxmlformats-officedocument.spreadsheetml.worksheet+xml" PartName="/xl/worksheets/sheet45300.xml"/>
  <Override ContentType="application/vnd.openxmlformats-officedocument.spreadsheetml.worksheet+xml" PartName="/xl/worksheets/sheet45301.xml"/>
  <Override ContentType="application/vnd.openxmlformats-officedocument.spreadsheetml.worksheet+xml" PartName="/xl/worksheets/sheet45302.xml"/>
  <Override ContentType="application/vnd.openxmlformats-officedocument.spreadsheetml.worksheet+xml" PartName="/xl/worksheets/sheet45303.xml"/>
  <Override ContentType="application/vnd.openxmlformats-officedocument.spreadsheetml.worksheet+xml" PartName="/xl/worksheets/sheet45304.xml"/>
  <Override ContentType="application/vnd.openxmlformats-officedocument.spreadsheetml.worksheet+xml" PartName="/xl/worksheets/sheet45305.xml"/>
  <Override ContentType="application/vnd.openxmlformats-officedocument.spreadsheetml.worksheet+xml" PartName="/xl/worksheets/sheet45306.xml"/>
  <Override ContentType="application/vnd.openxmlformats-officedocument.spreadsheetml.worksheet+xml" PartName="/xl/worksheets/sheet45307.xml"/>
  <Override ContentType="application/vnd.openxmlformats-officedocument.spreadsheetml.worksheet+xml" PartName="/xl/worksheets/sheet45308.xml"/>
  <Override ContentType="application/vnd.openxmlformats-officedocument.spreadsheetml.worksheet+xml" PartName="/xl/worksheets/sheet45309.xml"/>
  <Override ContentType="application/vnd.openxmlformats-officedocument.spreadsheetml.worksheet+xml" PartName="/xl/worksheets/sheet45310.xml"/>
  <Override ContentType="application/vnd.openxmlformats-officedocument.spreadsheetml.worksheet+xml" PartName="/xl/worksheets/sheet45311.xml"/>
  <Override ContentType="application/vnd.openxmlformats-officedocument.spreadsheetml.worksheet+xml" PartName="/xl/worksheets/sheet45312.xml"/>
  <Override ContentType="application/vnd.openxmlformats-officedocument.spreadsheetml.worksheet+xml" PartName="/xl/worksheets/sheet45313.xml"/>
  <Override ContentType="application/vnd.openxmlformats-officedocument.spreadsheetml.worksheet+xml" PartName="/xl/worksheets/sheet45314.xml"/>
  <Override ContentType="application/vnd.openxmlformats-officedocument.spreadsheetml.worksheet+xml" PartName="/xl/worksheets/sheet45315.xml"/>
  <Override ContentType="application/vnd.openxmlformats-officedocument.spreadsheetml.worksheet+xml" PartName="/xl/worksheets/sheet45316.xml"/>
  <Override ContentType="application/vnd.openxmlformats-officedocument.spreadsheetml.worksheet+xml" PartName="/xl/worksheets/sheet45317.xml"/>
  <Override ContentType="application/vnd.openxmlformats-officedocument.spreadsheetml.worksheet+xml" PartName="/xl/worksheets/sheet45318.xml"/>
  <Override ContentType="application/vnd.openxmlformats-officedocument.spreadsheetml.worksheet+xml" PartName="/xl/worksheets/sheet45319.xml"/>
  <Override ContentType="application/vnd.openxmlformats-officedocument.spreadsheetml.worksheet+xml" PartName="/xl/worksheets/sheet45320.xml"/>
  <Override ContentType="application/vnd.openxmlformats-officedocument.spreadsheetml.worksheet+xml" PartName="/xl/worksheets/sheet45321.xml"/>
  <Override ContentType="application/vnd.openxmlformats-officedocument.spreadsheetml.worksheet+xml" PartName="/xl/worksheets/sheet45322.xml"/>
  <Override ContentType="application/vnd.openxmlformats-officedocument.spreadsheetml.worksheet+xml" PartName="/xl/worksheets/sheet45323.xml"/>
  <Override ContentType="application/vnd.openxmlformats-officedocument.spreadsheetml.worksheet+xml" PartName="/xl/worksheets/sheet45324.xml"/>
  <Override ContentType="application/vnd.openxmlformats-officedocument.spreadsheetml.worksheet+xml" PartName="/xl/worksheets/sheet45325.xml"/>
  <Override ContentType="application/vnd.openxmlformats-officedocument.spreadsheetml.worksheet+xml" PartName="/xl/worksheets/sheet45326.xml"/>
  <Override ContentType="application/vnd.openxmlformats-officedocument.spreadsheetml.worksheet+xml" PartName="/xl/worksheets/sheet45327.xml"/>
  <Override ContentType="application/vnd.openxmlformats-officedocument.spreadsheetml.worksheet+xml" PartName="/xl/worksheets/sheet45328.xml"/>
  <Override ContentType="application/vnd.openxmlformats-officedocument.spreadsheetml.worksheet+xml" PartName="/xl/worksheets/sheet45329.xml"/>
  <Override ContentType="application/vnd.openxmlformats-officedocument.spreadsheetml.worksheet+xml" PartName="/xl/worksheets/sheet45330.xml"/>
  <Override ContentType="application/vnd.openxmlformats-officedocument.spreadsheetml.worksheet+xml" PartName="/xl/worksheets/sheet45331.xml"/>
  <Override ContentType="application/vnd.openxmlformats-officedocument.spreadsheetml.worksheet+xml" PartName="/xl/worksheets/sheet45332.xml"/>
  <Override ContentType="application/vnd.openxmlformats-officedocument.spreadsheetml.worksheet+xml" PartName="/xl/worksheets/sheet45333.xml"/>
  <Override ContentType="application/vnd.openxmlformats-officedocument.spreadsheetml.worksheet+xml" PartName="/xl/worksheets/sheet45334.xml"/>
  <Override ContentType="application/vnd.openxmlformats-officedocument.spreadsheetml.worksheet+xml" PartName="/xl/worksheets/sheet45335.xml"/>
  <Override ContentType="application/vnd.openxmlformats-officedocument.spreadsheetml.worksheet+xml" PartName="/xl/worksheets/sheet45336.xml"/>
  <Override ContentType="application/vnd.openxmlformats-officedocument.spreadsheetml.worksheet+xml" PartName="/xl/worksheets/sheet45337.xml"/>
  <Override ContentType="application/vnd.openxmlformats-officedocument.spreadsheetml.worksheet+xml" PartName="/xl/worksheets/sheet45338.xml"/>
  <Override ContentType="application/vnd.openxmlformats-officedocument.spreadsheetml.worksheet+xml" PartName="/xl/worksheets/sheet45339.xml"/>
  <Override ContentType="application/vnd.openxmlformats-officedocument.spreadsheetml.worksheet+xml" PartName="/xl/worksheets/sheet45340.xml"/>
  <Override ContentType="application/vnd.openxmlformats-officedocument.spreadsheetml.worksheet+xml" PartName="/xl/worksheets/sheet45341.xml"/>
  <Override ContentType="application/vnd.openxmlformats-officedocument.spreadsheetml.worksheet+xml" PartName="/xl/worksheets/sheet45342.xml"/>
  <Override ContentType="application/vnd.openxmlformats-officedocument.spreadsheetml.worksheet+xml" PartName="/xl/worksheets/sheet45343.xml"/>
  <Override ContentType="application/vnd.openxmlformats-officedocument.spreadsheetml.worksheet+xml" PartName="/xl/worksheets/sheet45344.xml"/>
  <Override ContentType="application/vnd.openxmlformats-officedocument.spreadsheetml.worksheet+xml" PartName="/xl/worksheets/sheet45345.xml"/>
  <Override ContentType="application/vnd.openxmlformats-officedocument.spreadsheetml.worksheet+xml" PartName="/xl/worksheets/sheet45346.xml"/>
  <Override ContentType="application/vnd.openxmlformats-officedocument.spreadsheetml.worksheet+xml" PartName="/xl/worksheets/sheet45347.xml"/>
  <Override ContentType="application/vnd.openxmlformats-officedocument.spreadsheetml.worksheet+xml" PartName="/xl/worksheets/sheet45348.xml"/>
  <Override ContentType="application/vnd.openxmlformats-officedocument.spreadsheetml.worksheet+xml" PartName="/xl/worksheets/sheet45349.xml"/>
  <Override ContentType="application/vnd.openxmlformats-officedocument.spreadsheetml.worksheet+xml" PartName="/xl/worksheets/sheet45350.xml"/>
  <Override ContentType="application/vnd.openxmlformats-officedocument.spreadsheetml.worksheet+xml" PartName="/xl/worksheets/sheet45351.xml"/>
  <Override ContentType="application/vnd.openxmlformats-officedocument.spreadsheetml.worksheet+xml" PartName="/xl/worksheets/sheet45352.xml"/>
  <Override ContentType="application/vnd.openxmlformats-officedocument.spreadsheetml.worksheet+xml" PartName="/xl/worksheets/sheet45353.xml"/>
  <Override ContentType="application/vnd.openxmlformats-officedocument.spreadsheetml.worksheet+xml" PartName="/xl/worksheets/sheet45354.xml"/>
  <Override ContentType="application/vnd.openxmlformats-officedocument.spreadsheetml.worksheet+xml" PartName="/xl/worksheets/sheet45355.xml"/>
  <Override ContentType="application/vnd.openxmlformats-officedocument.spreadsheetml.worksheet+xml" PartName="/xl/worksheets/sheet45356.xml"/>
  <Override ContentType="application/vnd.openxmlformats-officedocument.spreadsheetml.worksheet+xml" PartName="/xl/worksheets/sheet45357.xml"/>
  <Override ContentType="application/vnd.openxmlformats-officedocument.spreadsheetml.worksheet+xml" PartName="/xl/worksheets/sheet45358.xml"/>
  <Override ContentType="application/vnd.openxmlformats-officedocument.spreadsheetml.worksheet+xml" PartName="/xl/worksheets/sheet45359.xml"/>
  <Override ContentType="application/vnd.openxmlformats-officedocument.spreadsheetml.worksheet+xml" PartName="/xl/worksheets/sheet45360.xml"/>
  <Override ContentType="application/vnd.openxmlformats-officedocument.spreadsheetml.worksheet+xml" PartName="/xl/worksheets/sheet45361.xml"/>
  <Override ContentType="application/vnd.openxmlformats-officedocument.spreadsheetml.worksheet+xml" PartName="/xl/worksheets/sheet45362.xml"/>
  <Override ContentType="application/vnd.openxmlformats-officedocument.spreadsheetml.worksheet+xml" PartName="/xl/worksheets/sheet45363.xml"/>
  <Override ContentType="application/vnd.openxmlformats-officedocument.spreadsheetml.worksheet+xml" PartName="/xl/worksheets/sheet45364.xml"/>
  <Override ContentType="application/vnd.openxmlformats-officedocument.spreadsheetml.worksheet+xml" PartName="/xl/worksheets/sheet45365.xml"/>
  <Override ContentType="application/vnd.openxmlformats-officedocument.spreadsheetml.worksheet+xml" PartName="/xl/worksheets/sheet45366.xml"/>
  <Override ContentType="application/vnd.openxmlformats-officedocument.spreadsheetml.worksheet+xml" PartName="/xl/worksheets/sheet45367.xml"/>
  <Override ContentType="application/vnd.openxmlformats-officedocument.spreadsheetml.worksheet+xml" PartName="/xl/worksheets/sheet45368.xml"/>
  <Override ContentType="application/vnd.openxmlformats-officedocument.spreadsheetml.worksheet+xml" PartName="/xl/worksheets/sheet45369.xml"/>
  <Override ContentType="application/vnd.openxmlformats-officedocument.spreadsheetml.worksheet+xml" PartName="/xl/worksheets/sheet45370.xml"/>
  <Override ContentType="application/vnd.openxmlformats-officedocument.spreadsheetml.worksheet+xml" PartName="/xl/worksheets/sheet45371.xml"/>
  <Override ContentType="application/vnd.openxmlformats-officedocument.spreadsheetml.worksheet+xml" PartName="/xl/worksheets/sheet45372.xml"/>
  <Override ContentType="application/vnd.openxmlformats-officedocument.spreadsheetml.worksheet+xml" PartName="/xl/worksheets/sheet45373.xml"/>
  <Override ContentType="application/vnd.openxmlformats-officedocument.spreadsheetml.worksheet+xml" PartName="/xl/worksheets/sheet45374.xml"/>
  <Override ContentType="application/vnd.openxmlformats-officedocument.spreadsheetml.worksheet+xml" PartName="/xl/worksheets/sheet45375.xml"/>
  <Override ContentType="application/vnd.openxmlformats-officedocument.spreadsheetml.worksheet+xml" PartName="/xl/worksheets/sheet45376.xml"/>
  <Override ContentType="application/vnd.openxmlformats-officedocument.spreadsheetml.worksheet+xml" PartName="/xl/worksheets/sheet45377.xml"/>
  <Override ContentType="application/vnd.openxmlformats-officedocument.spreadsheetml.worksheet+xml" PartName="/xl/worksheets/sheet45378.xml"/>
  <Override ContentType="application/vnd.openxmlformats-officedocument.spreadsheetml.worksheet+xml" PartName="/xl/worksheets/sheet45379.xml"/>
  <Override ContentType="application/vnd.openxmlformats-officedocument.spreadsheetml.worksheet+xml" PartName="/xl/worksheets/sheet45380.xml"/>
  <Override ContentType="application/vnd.openxmlformats-officedocument.spreadsheetml.worksheet+xml" PartName="/xl/worksheets/sheet45381.xml"/>
  <Override ContentType="application/vnd.openxmlformats-officedocument.spreadsheetml.worksheet+xml" PartName="/xl/worksheets/sheet45382.xml"/>
  <Override ContentType="application/vnd.openxmlformats-officedocument.spreadsheetml.worksheet+xml" PartName="/xl/worksheets/sheet45383.xml"/>
  <Override ContentType="application/vnd.openxmlformats-officedocument.spreadsheetml.worksheet+xml" PartName="/xl/worksheets/sheet45384.xml"/>
  <Override ContentType="application/vnd.openxmlformats-officedocument.spreadsheetml.worksheet+xml" PartName="/xl/worksheets/sheet45385.xml"/>
  <Override ContentType="application/vnd.openxmlformats-officedocument.spreadsheetml.worksheet+xml" PartName="/xl/worksheets/sheet45386.xml"/>
  <Override ContentType="application/vnd.openxmlformats-officedocument.spreadsheetml.worksheet+xml" PartName="/xl/worksheets/sheet45387.xml"/>
  <Override ContentType="application/vnd.openxmlformats-officedocument.spreadsheetml.worksheet+xml" PartName="/xl/worksheets/sheet45388.xml"/>
  <Override ContentType="application/vnd.openxmlformats-officedocument.spreadsheetml.worksheet+xml" PartName="/xl/worksheets/sheet45389.xml"/>
  <Override ContentType="application/vnd.openxmlformats-officedocument.spreadsheetml.worksheet+xml" PartName="/xl/worksheets/sheet45390.xml"/>
  <Override ContentType="application/vnd.openxmlformats-officedocument.spreadsheetml.worksheet+xml" PartName="/xl/worksheets/sheet45391.xml"/>
  <Override ContentType="application/vnd.openxmlformats-officedocument.spreadsheetml.worksheet+xml" PartName="/xl/worksheets/sheet45392.xml"/>
  <Override ContentType="application/vnd.openxmlformats-officedocument.spreadsheetml.worksheet+xml" PartName="/xl/worksheets/sheet45393.xml"/>
  <Override ContentType="application/vnd.openxmlformats-officedocument.spreadsheetml.worksheet+xml" PartName="/xl/worksheets/sheet45394.xml"/>
  <Override ContentType="application/vnd.openxmlformats-officedocument.spreadsheetml.worksheet+xml" PartName="/xl/worksheets/sheet45395.xml"/>
  <Override ContentType="application/vnd.openxmlformats-officedocument.spreadsheetml.worksheet+xml" PartName="/xl/worksheets/sheet45396.xml"/>
  <Override ContentType="application/vnd.openxmlformats-officedocument.spreadsheetml.worksheet+xml" PartName="/xl/worksheets/sheet45397.xml"/>
  <Override ContentType="application/vnd.openxmlformats-officedocument.spreadsheetml.worksheet+xml" PartName="/xl/worksheets/sheet45398.xml"/>
  <Override ContentType="application/vnd.openxmlformats-officedocument.spreadsheetml.worksheet+xml" PartName="/xl/worksheets/sheet45399.xml"/>
  <Override ContentType="application/vnd.openxmlformats-officedocument.spreadsheetml.worksheet+xml" PartName="/xl/worksheets/sheet45400.xml"/>
  <Override ContentType="application/vnd.openxmlformats-officedocument.spreadsheetml.worksheet+xml" PartName="/xl/worksheets/sheet45401.xml"/>
  <Override ContentType="application/vnd.openxmlformats-officedocument.spreadsheetml.worksheet+xml" PartName="/xl/worksheets/sheet45402.xml"/>
  <Override ContentType="application/vnd.openxmlformats-officedocument.spreadsheetml.worksheet+xml" PartName="/xl/worksheets/sheet45403.xml"/>
  <Override ContentType="application/vnd.openxmlformats-officedocument.spreadsheetml.worksheet+xml" PartName="/xl/worksheets/sheet45404.xml"/>
  <Override ContentType="application/vnd.openxmlformats-officedocument.spreadsheetml.worksheet+xml" PartName="/xl/worksheets/sheet45405.xml"/>
  <Override ContentType="application/vnd.openxmlformats-officedocument.spreadsheetml.worksheet+xml" PartName="/xl/worksheets/sheet45406.xml"/>
  <Override ContentType="application/vnd.openxmlformats-officedocument.spreadsheetml.worksheet+xml" PartName="/xl/worksheets/sheet45407.xml"/>
  <Override ContentType="application/vnd.openxmlformats-officedocument.spreadsheetml.worksheet+xml" PartName="/xl/worksheets/sheet45408.xml"/>
  <Override ContentType="application/vnd.openxmlformats-officedocument.spreadsheetml.worksheet+xml" PartName="/xl/worksheets/sheet45409.xml"/>
  <Override ContentType="application/vnd.openxmlformats-officedocument.spreadsheetml.worksheet+xml" PartName="/xl/worksheets/sheet45410.xml"/>
  <Override ContentType="application/vnd.openxmlformats-officedocument.spreadsheetml.worksheet+xml" PartName="/xl/worksheets/sheet45411.xml"/>
  <Override ContentType="application/vnd.openxmlformats-officedocument.spreadsheetml.worksheet+xml" PartName="/xl/worksheets/sheet45412.xml"/>
  <Override ContentType="application/vnd.openxmlformats-officedocument.spreadsheetml.worksheet+xml" PartName="/xl/worksheets/sheet45413.xml"/>
  <Override ContentType="application/vnd.openxmlformats-officedocument.spreadsheetml.worksheet+xml" PartName="/xl/worksheets/sheet45414.xml"/>
  <Override ContentType="application/vnd.openxmlformats-officedocument.spreadsheetml.worksheet+xml" PartName="/xl/worksheets/sheet45415.xml"/>
  <Override ContentType="application/vnd.openxmlformats-officedocument.spreadsheetml.worksheet+xml" PartName="/xl/worksheets/sheet45416.xml"/>
  <Override ContentType="application/vnd.openxmlformats-officedocument.spreadsheetml.worksheet+xml" PartName="/xl/worksheets/sheet45417.xml"/>
  <Override ContentType="application/vnd.openxmlformats-officedocument.spreadsheetml.worksheet+xml" PartName="/xl/worksheets/sheet45418.xml"/>
  <Override ContentType="application/vnd.openxmlformats-officedocument.spreadsheetml.worksheet+xml" PartName="/xl/worksheets/sheet45419.xml"/>
  <Override ContentType="application/vnd.openxmlformats-officedocument.spreadsheetml.worksheet+xml" PartName="/xl/worksheets/sheet45420.xml"/>
  <Override ContentType="application/vnd.openxmlformats-officedocument.spreadsheetml.worksheet+xml" PartName="/xl/worksheets/sheet45421.xml"/>
  <Override ContentType="application/vnd.openxmlformats-officedocument.spreadsheetml.worksheet+xml" PartName="/xl/worksheets/sheet45422.xml"/>
  <Override ContentType="application/vnd.openxmlformats-officedocument.spreadsheetml.worksheet+xml" PartName="/xl/worksheets/sheet45423.xml"/>
  <Override ContentType="application/vnd.openxmlformats-officedocument.spreadsheetml.worksheet+xml" PartName="/xl/worksheets/sheet45424.xml"/>
  <Override ContentType="application/vnd.openxmlformats-officedocument.spreadsheetml.worksheet+xml" PartName="/xl/worksheets/sheet45425.xml"/>
  <Override ContentType="application/vnd.openxmlformats-officedocument.spreadsheetml.worksheet+xml" PartName="/xl/worksheets/sheet45426.xml"/>
  <Override ContentType="application/vnd.openxmlformats-officedocument.spreadsheetml.worksheet+xml" PartName="/xl/worksheets/sheet45427.xml"/>
  <Override ContentType="application/vnd.openxmlformats-officedocument.spreadsheetml.worksheet+xml" PartName="/xl/worksheets/sheet45428.xml"/>
  <Override ContentType="application/vnd.openxmlformats-officedocument.spreadsheetml.worksheet+xml" PartName="/xl/worksheets/sheet45429.xml"/>
  <Override ContentType="application/vnd.openxmlformats-officedocument.spreadsheetml.worksheet+xml" PartName="/xl/worksheets/sheet45430.xml"/>
  <Override ContentType="application/vnd.openxmlformats-officedocument.spreadsheetml.worksheet+xml" PartName="/xl/worksheets/sheet45431.xml"/>
  <Override ContentType="application/vnd.openxmlformats-officedocument.spreadsheetml.worksheet+xml" PartName="/xl/worksheets/sheet45432.xml"/>
  <Override ContentType="application/vnd.openxmlformats-officedocument.spreadsheetml.worksheet+xml" PartName="/xl/worksheets/sheet45433.xml"/>
  <Override ContentType="application/vnd.openxmlformats-officedocument.spreadsheetml.worksheet+xml" PartName="/xl/worksheets/sheet45434.xml"/>
  <Override ContentType="application/vnd.openxmlformats-officedocument.spreadsheetml.worksheet+xml" PartName="/xl/worksheets/sheet45435.xml"/>
  <Override ContentType="application/vnd.openxmlformats-officedocument.spreadsheetml.worksheet+xml" PartName="/xl/worksheets/sheet45436.xml"/>
  <Override ContentType="application/vnd.openxmlformats-officedocument.spreadsheetml.worksheet+xml" PartName="/xl/worksheets/sheet45437.xml"/>
  <Override ContentType="application/vnd.openxmlformats-officedocument.spreadsheetml.worksheet+xml" PartName="/xl/worksheets/sheet45438.xml"/>
  <Override ContentType="application/vnd.openxmlformats-officedocument.spreadsheetml.worksheet+xml" PartName="/xl/worksheets/sheet45439.xml"/>
  <Override ContentType="application/vnd.openxmlformats-officedocument.spreadsheetml.worksheet+xml" PartName="/xl/worksheets/sheet45440.xml"/>
  <Override ContentType="application/vnd.openxmlformats-officedocument.spreadsheetml.worksheet+xml" PartName="/xl/worksheets/sheet45441.xml"/>
  <Override ContentType="application/vnd.openxmlformats-officedocument.spreadsheetml.worksheet+xml" PartName="/xl/worksheets/sheet45442.xml"/>
  <Override ContentType="application/vnd.openxmlformats-officedocument.spreadsheetml.worksheet+xml" PartName="/xl/worksheets/sheet45443.xml"/>
  <Override ContentType="application/vnd.openxmlformats-officedocument.spreadsheetml.worksheet+xml" PartName="/xl/worksheets/sheet45444.xml"/>
  <Override ContentType="application/vnd.openxmlformats-officedocument.spreadsheetml.worksheet+xml" PartName="/xl/worksheets/sheet45445.xml"/>
  <Override ContentType="application/vnd.openxmlformats-officedocument.spreadsheetml.worksheet+xml" PartName="/xl/worksheets/sheet45446.xml"/>
  <Override ContentType="application/vnd.openxmlformats-officedocument.spreadsheetml.worksheet+xml" PartName="/xl/worksheets/sheet45447.xml"/>
  <Override ContentType="application/vnd.openxmlformats-officedocument.spreadsheetml.worksheet+xml" PartName="/xl/worksheets/sheet45448.xml"/>
  <Override ContentType="application/vnd.openxmlformats-officedocument.spreadsheetml.worksheet+xml" PartName="/xl/worksheets/sheet45449.xml"/>
  <Override ContentType="application/vnd.openxmlformats-officedocument.spreadsheetml.worksheet+xml" PartName="/xl/worksheets/sheet45450.xml"/>
  <Override ContentType="application/vnd.openxmlformats-officedocument.spreadsheetml.worksheet+xml" PartName="/xl/worksheets/sheet45451.xml"/>
  <Override ContentType="application/vnd.openxmlformats-officedocument.spreadsheetml.worksheet+xml" PartName="/xl/worksheets/sheet45452.xml"/>
  <Override ContentType="application/vnd.openxmlformats-officedocument.spreadsheetml.worksheet+xml" PartName="/xl/worksheets/sheet45453.xml"/>
  <Override ContentType="application/vnd.openxmlformats-officedocument.spreadsheetml.worksheet+xml" PartName="/xl/worksheets/sheet45454.xml"/>
  <Override ContentType="application/vnd.openxmlformats-officedocument.spreadsheetml.worksheet+xml" PartName="/xl/worksheets/sheet45455.xml"/>
  <Override ContentType="application/vnd.openxmlformats-officedocument.spreadsheetml.worksheet+xml" PartName="/xl/worksheets/sheet45456.xml"/>
  <Override ContentType="application/vnd.openxmlformats-officedocument.spreadsheetml.worksheet+xml" PartName="/xl/worksheets/sheet45457.xml"/>
  <Override ContentType="application/vnd.openxmlformats-officedocument.spreadsheetml.worksheet+xml" PartName="/xl/worksheets/sheet45458.xml"/>
  <Override ContentType="application/vnd.openxmlformats-officedocument.spreadsheetml.worksheet+xml" PartName="/xl/worksheets/sheet45459.xml"/>
  <Override ContentType="application/vnd.openxmlformats-officedocument.spreadsheetml.worksheet+xml" PartName="/xl/worksheets/sheet45460.xml"/>
  <Override ContentType="application/vnd.openxmlformats-officedocument.spreadsheetml.worksheet+xml" PartName="/xl/worksheets/sheet45461.xml"/>
  <Override ContentType="application/vnd.openxmlformats-officedocument.spreadsheetml.worksheet+xml" PartName="/xl/worksheets/sheet45462.xml"/>
  <Override ContentType="application/vnd.openxmlformats-officedocument.spreadsheetml.worksheet+xml" PartName="/xl/worksheets/sheet45463.xml"/>
  <Override ContentType="application/vnd.openxmlformats-officedocument.spreadsheetml.worksheet+xml" PartName="/xl/worksheets/sheet45464.xml"/>
  <Override ContentType="application/vnd.openxmlformats-officedocument.spreadsheetml.worksheet+xml" PartName="/xl/worksheets/sheet45465.xml"/>
  <Override ContentType="application/vnd.openxmlformats-officedocument.spreadsheetml.worksheet+xml" PartName="/xl/worksheets/sheet45466.xml"/>
  <Override ContentType="application/vnd.openxmlformats-officedocument.spreadsheetml.worksheet+xml" PartName="/xl/worksheets/sheet45467.xml"/>
  <Override ContentType="application/vnd.openxmlformats-officedocument.spreadsheetml.worksheet+xml" PartName="/xl/worksheets/sheet45468.xml"/>
  <Override ContentType="application/vnd.openxmlformats-officedocument.spreadsheetml.worksheet+xml" PartName="/xl/worksheets/sheet45469.xml"/>
  <Override ContentType="application/vnd.openxmlformats-officedocument.spreadsheetml.worksheet+xml" PartName="/xl/worksheets/sheet45470.xml"/>
  <Override ContentType="application/vnd.openxmlformats-officedocument.spreadsheetml.worksheet+xml" PartName="/xl/worksheets/sheet45471.xml"/>
  <Override ContentType="application/vnd.openxmlformats-officedocument.spreadsheetml.worksheet+xml" PartName="/xl/worksheets/sheet45472.xml"/>
  <Override ContentType="application/vnd.openxmlformats-officedocument.spreadsheetml.worksheet+xml" PartName="/xl/worksheets/sheet45473.xml"/>
  <Override ContentType="application/vnd.openxmlformats-officedocument.spreadsheetml.worksheet+xml" PartName="/xl/worksheets/sheet45474.xml"/>
  <Override ContentType="application/vnd.openxmlformats-officedocument.spreadsheetml.worksheet+xml" PartName="/xl/worksheets/sheet45475.xml"/>
  <Override ContentType="application/vnd.openxmlformats-officedocument.spreadsheetml.worksheet+xml" PartName="/xl/worksheets/sheet45476.xml"/>
  <Override ContentType="application/vnd.openxmlformats-officedocument.spreadsheetml.worksheet+xml" PartName="/xl/worksheets/sheet45477.xml"/>
  <Override ContentType="application/vnd.openxmlformats-officedocument.spreadsheetml.worksheet+xml" PartName="/xl/worksheets/sheet45478.xml"/>
  <Override ContentType="application/vnd.openxmlformats-officedocument.spreadsheetml.worksheet+xml" PartName="/xl/worksheets/sheet45479.xml"/>
  <Override ContentType="application/vnd.openxmlformats-officedocument.spreadsheetml.worksheet+xml" PartName="/xl/worksheets/sheet45480.xml"/>
  <Override ContentType="application/vnd.openxmlformats-officedocument.spreadsheetml.worksheet+xml" PartName="/xl/worksheets/sheet45481.xml"/>
  <Override ContentType="application/vnd.openxmlformats-officedocument.spreadsheetml.worksheet+xml" PartName="/xl/worksheets/sheet45482.xml"/>
  <Override ContentType="application/vnd.openxmlformats-officedocument.spreadsheetml.worksheet+xml" PartName="/xl/worksheets/sheet45483.xml"/>
  <Override ContentType="application/vnd.openxmlformats-officedocument.spreadsheetml.worksheet+xml" PartName="/xl/worksheets/sheet45484.xml"/>
  <Override ContentType="application/vnd.openxmlformats-officedocument.spreadsheetml.worksheet+xml" PartName="/xl/worksheets/sheet45485.xml"/>
  <Override ContentType="application/vnd.openxmlformats-officedocument.spreadsheetml.worksheet+xml" PartName="/xl/worksheets/sheet45486.xml"/>
  <Override ContentType="application/vnd.openxmlformats-officedocument.spreadsheetml.worksheet+xml" PartName="/xl/worksheets/sheet45487.xml"/>
  <Override ContentType="application/vnd.openxmlformats-officedocument.spreadsheetml.worksheet+xml" PartName="/xl/worksheets/sheet45488.xml"/>
  <Override ContentType="application/vnd.openxmlformats-officedocument.spreadsheetml.worksheet+xml" PartName="/xl/worksheets/sheet45489.xml"/>
  <Override ContentType="application/vnd.openxmlformats-officedocument.spreadsheetml.worksheet+xml" PartName="/xl/worksheets/sheet45490.xml"/>
  <Override ContentType="application/vnd.openxmlformats-officedocument.spreadsheetml.worksheet+xml" PartName="/xl/worksheets/sheet45491.xml"/>
  <Override ContentType="application/vnd.openxmlformats-officedocument.spreadsheetml.worksheet+xml" PartName="/xl/worksheets/sheet45492.xml"/>
  <Override ContentType="application/vnd.openxmlformats-officedocument.spreadsheetml.worksheet+xml" PartName="/xl/worksheets/sheet45493.xml"/>
  <Override ContentType="application/vnd.openxmlformats-officedocument.spreadsheetml.worksheet+xml" PartName="/xl/worksheets/sheet45494.xml"/>
  <Override ContentType="application/vnd.openxmlformats-officedocument.spreadsheetml.worksheet+xml" PartName="/xl/worksheets/sheet45495.xml"/>
  <Override ContentType="application/vnd.openxmlformats-officedocument.spreadsheetml.worksheet+xml" PartName="/xl/worksheets/sheet45496.xml"/>
  <Override ContentType="application/vnd.openxmlformats-officedocument.spreadsheetml.worksheet+xml" PartName="/xl/worksheets/sheet45497.xml"/>
  <Override ContentType="application/vnd.openxmlformats-officedocument.spreadsheetml.worksheet+xml" PartName="/xl/worksheets/sheet45498.xml"/>
  <Override ContentType="application/vnd.openxmlformats-officedocument.spreadsheetml.worksheet+xml" PartName="/xl/worksheets/sheet45499.xml"/>
  <Override ContentType="application/vnd.openxmlformats-officedocument.spreadsheetml.worksheet+xml" PartName="/xl/worksheets/sheet45500.xml"/>
  <Override ContentType="application/vnd.openxmlformats-officedocument.spreadsheetml.worksheet+xml" PartName="/xl/worksheets/sheet45501.xml"/>
  <Override ContentType="application/vnd.openxmlformats-officedocument.spreadsheetml.worksheet+xml" PartName="/xl/worksheets/sheet45502.xml"/>
  <Override ContentType="application/vnd.openxmlformats-officedocument.spreadsheetml.worksheet+xml" PartName="/xl/worksheets/sheet45503.xml"/>
  <Override ContentType="application/vnd.openxmlformats-officedocument.spreadsheetml.worksheet+xml" PartName="/xl/worksheets/sheet45504.xml"/>
  <Override ContentType="application/vnd.openxmlformats-officedocument.spreadsheetml.worksheet+xml" PartName="/xl/worksheets/sheet45505.xml"/>
  <Override ContentType="application/vnd.openxmlformats-officedocument.spreadsheetml.worksheet+xml" PartName="/xl/worksheets/sheet45506.xml"/>
  <Override ContentType="application/vnd.openxmlformats-officedocument.spreadsheetml.worksheet+xml" PartName="/xl/worksheets/sheet45507.xml"/>
  <Override ContentType="application/vnd.openxmlformats-officedocument.spreadsheetml.worksheet+xml" PartName="/xl/worksheets/sheet45508.xml"/>
  <Override ContentType="application/vnd.openxmlformats-officedocument.spreadsheetml.worksheet+xml" PartName="/xl/worksheets/sheet45509.xml"/>
  <Override ContentType="application/vnd.openxmlformats-officedocument.spreadsheetml.worksheet+xml" PartName="/xl/worksheets/sheet45510.xml"/>
  <Override ContentType="application/vnd.openxmlformats-officedocument.spreadsheetml.worksheet+xml" PartName="/xl/worksheets/sheet45511.xml"/>
  <Override ContentType="application/vnd.openxmlformats-officedocument.spreadsheetml.worksheet+xml" PartName="/xl/worksheets/sheet45512.xml"/>
  <Override ContentType="application/vnd.openxmlformats-officedocument.spreadsheetml.worksheet+xml" PartName="/xl/worksheets/sheet45513.xml"/>
  <Override ContentType="application/vnd.openxmlformats-officedocument.spreadsheetml.worksheet+xml" PartName="/xl/worksheets/sheet45514.xml"/>
  <Override ContentType="application/vnd.openxmlformats-officedocument.spreadsheetml.worksheet+xml" PartName="/xl/worksheets/sheet45515.xml"/>
  <Override ContentType="application/vnd.openxmlformats-officedocument.spreadsheetml.worksheet+xml" PartName="/xl/worksheets/sheet45516.xml"/>
  <Override ContentType="application/vnd.openxmlformats-officedocument.spreadsheetml.worksheet+xml" PartName="/xl/worksheets/sheet45517.xml"/>
  <Override ContentType="application/vnd.openxmlformats-officedocument.spreadsheetml.worksheet+xml" PartName="/xl/worksheets/sheet45518.xml"/>
  <Override ContentType="application/vnd.openxmlformats-officedocument.spreadsheetml.worksheet+xml" PartName="/xl/worksheets/sheet45519.xml"/>
  <Override ContentType="application/vnd.openxmlformats-officedocument.spreadsheetml.worksheet+xml" PartName="/xl/worksheets/sheet45520.xml"/>
  <Override ContentType="application/vnd.openxmlformats-officedocument.spreadsheetml.worksheet+xml" PartName="/xl/worksheets/sheet45521.xml"/>
  <Override ContentType="application/vnd.openxmlformats-officedocument.spreadsheetml.worksheet+xml" PartName="/xl/worksheets/sheet45522.xml"/>
  <Override ContentType="application/vnd.openxmlformats-officedocument.spreadsheetml.worksheet+xml" PartName="/xl/worksheets/sheet45523.xml"/>
  <Override ContentType="application/vnd.openxmlformats-officedocument.spreadsheetml.worksheet+xml" PartName="/xl/worksheets/sheet45524.xml"/>
  <Override ContentType="application/vnd.openxmlformats-officedocument.spreadsheetml.worksheet+xml" PartName="/xl/worksheets/sheet45525.xml"/>
  <Override ContentType="application/vnd.openxmlformats-officedocument.spreadsheetml.worksheet+xml" PartName="/xl/worksheets/sheet45526.xml"/>
  <Override ContentType="application/vnd.openxmlformats-officedocument.spreadsheetml.worksheet+xml" PartName="/xl/worksheets/sheet45527.xml"/>
  <Override ContentType="application/vnd.openxmlformats-officedocument.spreadsheetml.worksheet+xml" PartName="/xl/worksheets/sheet45528.xml"/>
  <Override ContentType="application/vnd.openxmlformats-officedocument.spreadsheetml.worksheet+xml" PartName="/xl/worksheets/sheet45529.xml"/>
  <Override ContentType="application/vnd.openxmlformats-officedocument.spreadsheetml.worksheet+xml" PartName="/xl/worksheets/sheet45530.xml"/>
  <Override ContentType="application/vnd.openxmlformats-officedocument.spreadsheetml.worksheet+xml" PartName="/xl/worksheets/sheet45531.xml"/>
  <Override ContentType="application/vnd.openxmlformats-officedocument.spreadsheetml.worksheet+xml" PartName="/xl/worksheets/sheet45532.xml"/>
  <Override ContentType="application/vnd.openxmlformats-officedocument.spreadsheetml.worksheet+xml" PartName="/xl/worksheets/sheet45533.xml"/>
  <Override ContentType="application/vnd.openxmlformats-officedocument.spreadsheetml.worksheet+xml" PartName="/xl/worksheets/sheet45534.xml"/>
  <Override ContentType="application/vnd.openxmlformats-officedocument.spreadsheetml.worksheet+xml" PartName="/xl/worksheets/sheet45535.xml"/>
  <Override ContentType="application/vnd.openxmlformats-officedocument.spreadsheetml.worksheet+xml" PartName="/xl/worksheets/sheet45536.xml"/>
  <Override ContentType="application/vnd.openxmlformats-officedocument.spreadsheetml.worksheet+xml" PartName="/xl/worksheets/sheet45537.xml"/>
  <Override ContentType="application/vnd.openxmlformats-officedocument.spreadsheetml.worksheet+xml" PartName="/xl/worksheets/sheet45538.xml"/>
  <Override ContentType="application/vnd.openxmlformats-officedocument.spreadsheetml.worksheet+xml" PartName="/xl/worksheets/sheet45539.xml"/>
  <Override ContentType="application/vnd.openxmlformats-officedocument.spreadsheetml.worksheet+xml" PartName="/xl/worksheets/sheet45540.xml"/>
  <Override ContentType="application/vnd.openxmlformats-officedocument.spreadsheetml.worksheet+xml" PartName="/xl/worksheets/sheet45541.xml"/>
  <Override ContentType="application/vnd.openxmlformats-officedocument.spreadsheetml.worksheet+xml" PartName="/xl/worksheets/sheet45542.xml"/>
  <Override ContentType="application/vnd.openxmlformats-officedocument.spreadsheetml.worksheet+xml" PartName="/xl/worksheets/sheet45543.xml"/>
  <Override ContentType="application/vnd.openxmlformats-officedocument.spreadsheetml.worksheet+xml" PartName="/xl/worksheets/sheet45544.xml"/>
  <Override ContentType="application/vnd.openxmlformats-officedocument.spreadsheetml.worksheet+xml" PartName="/xl/worksheets/sheet45545.xml"/>
  <Override ContentType="application/vnd.openxmlformats-officedocument.spreadsheetml.worksheet+xml" PartName="/xl/worksheets/sheet45546.xml"/>
  <Override ContentType="application/vnd.openxmlformats-officedocument.spreadsheetml.worksheet+xml" PartName="/xl/worksheets/sheet45547.xml"/>
  <Override ContentType="application/vnd.openxmlformats-officedocument.spreadsheetml.worksheet+xml" PartName="/xl/worksheets/sheet45548.xml"/>
  <Override ContentType="application/vnd.openxmlformats-officedocument.spreadsheetml.worksheet+xml" PartName="/xl/worksheets/sheet45549.xml"/>
  <Override ContentType="application/vnd.openxmlformats-officedocument.spreadsheetml.worksheet+xml" PartName="/xl/worksheets/sheet45550.xml"/>
  <Override ContentType="application/vnd.openxmlformats-officedocument.spreadsheetml.worksheet+xml" PartName="/xl/worksheets/sheet45551.xml"/>
  <Override ContentType="application/vnd.openxmlformats-officedocument.spreadsheetml.worksheet+xml" PartName="/xl/worksheets/sheet45552.xml"/>
  <Override ContentType="application/vnd.openxmlformats-officedocument.spreadsheetml.worksheet+xml" PartName="/xl/worksheets/sheet45553.xml"/>
  <Override ContentType="application/vnd.openxmlformats-officedocument.spreadsheetml.worksheet+xml" PartName="/xl/worksheets/sheet45554.xml"/>
  <Override ContentType="application/vnd.openxmlformats-officedocument.spreadsheetml.worksheet+xml" PartName="/xl/worksheets/sheet45555.xml"/>
  <Override ContentType="application/vnd.openxmlformats-officedocument.spreadsheetml.worksheet+xml" PartName="/xl/worksheets/sheet45556.xml"/>
  <Override ContentType="application/vnd.openxmlformats-officedocument.spreadsheetml.worksheet+xml" PartName="/xl/worksheets/sheet45557.xml"/>
  <Override ContentType="application/vnd.openxmlformats-officedocument.spreadsheetml.worksheet+xml" PartName="/xl/worksheets/sheet45558.xml"/>
  <Override ContentType="application/vnd.openxmlformats-officedocument.spreadsheetml.worksheet+xml" PartName="/xl/worksheets/sheet45559.xml"/>
  <Override ContentType="application/vnd.openxmlformats-officedocument.spreadsheetml.worksheet+xml" PartName="/xl/worksheets/sheet45560.xml"/>
  <Override ContentType="application/vnd.openxmlformats-officedocument.spreadsheetml.worksheet+xml" PartName="/xl/worksheets/sheet45561.xml"/>
  <Override ContentType="application/vnd.openxmlformats-officedocument.spreadsheetml.worksheet+xml" PartName="/xl/worksheets/sheet45562.xml"/>
  <Override ContentType="application/vnd.openxmlformats-officedocument.spreadsheetml.worksheet+xml" PartName="/xl/worksheets/sheet45563.xml"/>
  <Override ContentType="application/vnd.openxmlformats-officedocument.spreadsheetml.worksheet+xml" PartName="/xl/worksheets/sheet45564.xml"/>
  <Override ContentType="application/vnd.openxmlformats-officedocument.spreadsheetml.worksheet+xml" PartName="/xl/worksheets/sheet45565.xml"/>
  <Override ContentType="application/vnd.openxmlformats-officedocument.spreadsheetml.worksheet+xml" PartName="/xl/worksheets/sheet45566.xml"/>
  <Override ContentType="application/vnd.openxmlformats-officedocument.spreadsheetml.worksheet+xml" PartName="/xl/worksheets/sheet45567.xml"/>
  <Override ContentType="application/vnd.openxmlformats-officedocument.spreadsheetml.worksheet+xml" PartName="/xl/worksheets/sheet45568.xml"/>
  <Override ContentType="application/vnd.openxmlformats-officedocument.spreadsheetml.worksheet+xml" PartName="/xl/worksheets/sheet45569.xml"/>
  <Override ContentType="application/vnd.openxmlformats-officedocument.spreadsheetml.worksheet+xml" PartName="/xl/worksheets/sheet45570.xml"/>
  <Override ContentType="application/vnd.openxmlformats-officedocument.spreadsheetml.worksheet+xml" PartName="/xl/worksheets/sheet45571.xml"/>
  <Override ContentType="application/vnd.openxmlformats-officedocument.spreadsheetml.worksheet+xml" PartName="/xl/worksheets/sheet45572.xml"/>
  <Override ContentType="application/vnd.openxmlformats-officedocument.spreadsheetml.worksheet+xml" PartName="/xl/worksheets/sheet45573.xml"/>
  <Override ContentType="application/vnd.openxmlformats-officedocument.spreadsheetml.worksheet+xml" PartName="/xl/worksheets/sheet45574.xml"/>
  <Override ContentType="application/vnd.openxmlformats-officedocument.spreadsheetml.worksheet+xml" PartName="/xl/worksheets/sheet45575.xml"/>
  <Override ContentType="application/vnd.openxmlformats-officedocument.spreadsheetml.worksheet+xml" PartName="/xl/worksheets/sheet45576.xml"/>
  <Override ContentType="application/vnd.openxmlformats-officedocument.spreadsheetml.worksheet+xml" PartName="/xl/worksheets/sheet45577.xml"/>
  <Override ContentType="application/vnd.openxmlformats-officedocument.spreadsheetml.worksheet+xml" PartName="/xl/worksheets/sheet45578.xml"/>
  <Override ContentType="application/vnd.openxmlformats-officedocument.spreadsheetml.worksheet+xml" PartName="/xl/worksheets/sheet45579.xml"/>
  <Override ContentType="application/vnd.openxmlformats-officedocument.spreadsheetml.worksheet+xml" PartName="/xl/worksheets/sheet45580.xml"/>
  <Override ContentType="application/vnd.openxmlformats-officedocument.spreadsheetml.worksheet+xml" PartName="/xl/worksheets/sheet45581.xml"/>
  <Override ContentType="application/vnd.openxmlformats-officedocument.spreadsheetml.worksheet+xml" PartName="/xl/worksheets/sheet45582.xml"/>
  <Override ContentType="application/vnd.openxmlformats-officedocument.spreadsheetml.worksheet+xml" PartName="/xl/worksheets/sheet45583.xml"/>
  <Override ContentType="application/vnd.openxmlformats-officedocument.spreadsheetml.worksheet+xml" PartName="/xl/worksheets/sheet45584.xml"/>
  <Override ContentType="application/vnd.openxmlformats-officedocument.spreadsheetml.worksheet+xml" PartName="/xl/worksheets/sheet45585.xml"/>
  <Override ContentType="application/vnd.openxmlformats-officedocument.spreadsheetml.worksheet+xml" PartName="/xl/worksheets/sheet45586.xml"/>
  <Override ContentType="application/vnd.openxmlformats-officedocument.spreadsheetml.worksheet+xml" PartName="/xl/worksheets/sheet45587.xml"/>
  <Override ContentType="application/vnd.openxmlformats-officedocument.spreadsheetml.worksheet+xml" PartName="/xl/worksheets/sheet45588.xml"/>
  <Override ContentType="application/vnd.openxmlformats-officedocument.spreadsheetml.worksheet+xml" PartName="/xl/worksheets/sheet45589.xml"/>
  <Override ContentType="application/vnd.openxmlformats-officedocument.spreadsheetml.worksheet+xml" PartName="/xl/worksheets/sheet45590.xml"/>
  <Override ContentType="application/vnd.openxmlformats-officedocument.spreadsheetml.worksheet+xml" PartName="/xl/worksheets/sheet45591.xml"/>
  <Override ContentType="application/vnd.openxmlformats-officedocument.spreadsheetml.worksheet+xml" PartName="/xl/worksheets/sheet45592.xml"/>
  <Override ContentType="application/vnd.openxmlformats-officedocument.spreadsheetml.worksheet+xml" PartName="/xl/worksheets/sheet45593.xml"/>
  <Override ContentType="application/vnd.openxmlformats-officedocument.spreadsheetml.worksheet+xml" PartName="/xl/worksheets/sheet45594.xml"/>
  <Override ContentType="application/vnd.openxmlformats-officedocument.spreadsheetml.worksheet+xml" PartName="/xl/worksheets/sheet45595.xml"/>
  <Override ContentType="application/vnd.openxmlformats-officedocument.spreadsheetml.worksheet+xml" PartName="/xl/worksheets/sheet45596.xml"/>
  <Override ContentType="application/vnd.openxmlformats-officedocument.spreadsheetml.worksheet+xml" PartName="/xl/worksheets/sheet45597.xml"/>
  <Override ContentType="application/vnd.openxmlformats-officedocument.spreadsheetml.worksheet+xml" PartName="/xl/worksheets/sheet45598.xml"/>
  <Override ContentType="application/vnd.openxmlformats-officedocument.spreadsheetml.worksheet+xml" PartName="/xl/worksheets/sheet45599.xml"/>
  <Override ContentType="application/vnd.openxmlformats-officedocument.spreadsheetml.worksheet+xml" PartName="/xl/worksheets/sheet45600.xml"/>
  <Override ContentType="application/vnd.openxmlformats-officedocument.spreadsheetml.worksheet+xml" PartName="/xl/worksheets/sheet45601.xml"/>
  <Override ContentType="application/vnd.openxmlformats-officedocument.spreadsheetml.worksheet+xml" PartName="/xl/worksheets/sheet45602.xml"/>
  <Override ContentType="application/vnd.openxmlformats-officedocument.spreadsheetml.worksheet+xml" PartName="/xl/worksheets/sheet45603.xml"/>
  <Override ContentType="application/vnd.openxmlformats-officedocument.spreadsheetml.worksheet+xml" PartName="/xl/worksheets/sheet45604.xml"/>
  <Override ContentType="application/vnd.openxmlformats-officedocument.spreadsheetml.worksheet+xml" PartName="/xl/worksheets/sheet45605.xml"/>
  <Override ContentType="application/vnd.openxmlformats-officedocument.spreadsheetml.worksheet+xml" PartName="/xl/worksheets/sheet45606.xml"/>
  <Override ContentType="application/vnd.openxmlformats-officedocument.spreadsheetml.worksheet+xml" PartName="/xl/worksheets/sheet45607.xml"/>
  <Override ContentType="application/vnd.openxmlformats-officedocument.spreadsheetml.worksheet+xml" PartName="/xl/worksheets/sheet45608.xml"/>
  <Override ContentType="application/vnd.openxmlformats-officedocument.spreadsheetml.worksheet+xml" PartName="/xl/worksheets/sheet45609.xml"/>
  <Override ContentType="application/vnd.openxmlformats-officedocument.spreadsheetml.worksheet+xml" PartName="/xl/worksheets/sheet45610.xml"/>
  <Override ContentType="application/vnd.openxmlformats-officedocument.spreadsheetml.worksheet+xml" PartName="/xl/worksheets/sheet45611.xml"/>
  <Override ContentType="application/vnd.openxmlformats-officedocument.spreadsheetml.worksheet+xml" PartName="/xl/worksheets/sheet45612.xml"/>
  <Override ContentType="application/vnd.openxmlformats-officedocument.spreadsheetml.worksheet+xml" PartName="/xl/worksheets/sheet45613.xml"/>
  <Override ContentType="application/vnd.openxmlformats-officedocument.spreadsheetml.worksheet+xml" PartName="/xl/worksheets/sheet45614.xml"/>
  <Override ContentType="application/vnd.openxmlformats-officedocument.spreadsheetml.worksheet+xml" PartName="/xl/worksheets/sheet45615.xml"/>
  <Override ContentType="application/vnd.openxmlformats-officedocument.spreadsheetml.worksheet+xml" PartName="/xl/worksheets/sheet45616.xml"/>
  <Override ContentType="application/vnd.openxmlformats-officedocument.spreadsheetml.worksheet+xml" PartName="/xl/worksheets/sheet45617.xml"/>
  <Override ContentType="application/vnd.openxmlformats-officedocument.spreadsheetml.worksheet+xml" PartName="/xl/worksheets/sheet45618.xml"/>
  <Override ContentType="application/vnd.openxmlformats-officedocument.spreadsheetml.worksheet+xml" PartName="/xl/worksheets/sheet45619.xml"/>
  <Override ContentType="application/vnd.openxmlformats-officedocument.spreadsheetml.worksheet+xml" PartName="/xl/worksheets/sheet45620.xml"/>
  <Override ContentType="application/vnd.openxmlformats-officedocument.spreadsheetml.worksheet+xml" PartName="/xl/worksheets/sheet45621.xml"/>
  <Override ContentType="application/vnd.openxmlformats-officedocument.spreadsheetml.worksheet+xml" PartName="/xl/worksheets/sheet45622.xml"/>
  <Override ContentType="application/vnd.openxmlformats-officedocument.spreadsheetml.worksheet+xml" PartName="/xl/worksheets/sheet45623.xml"/>
  <Override ContentType="application/vnd.openxmlformats-officedocument.spreadsheetml.worksheet+xml" PartName="/xl/worksheets/sheet45624.xml"/>
  <Override ContentType="application/vnd.openxmlformats-officedocument.spreadsheetml.worksheet+xml" PartName="/xl/worksheets/sheet45625.xml"/>
  <Override ContentType="application/vnd.openxmlformats-officedocument.spreadsheetml.worksheet+xml" PartName="/xl/worksheets/sheet45626.xml"/>
  <Override ContentType="application/vnd.openxmlformats-officedocument.spreadsheetml.worksheet+xml" PartName="/xl/worksheets/sheet45627.xml"/>
  <Override ContentType="application/vnd.openxmlformats-officedocument.spreadsheetml.worksheet+xml" PartName="/xl/worksheets/sheet45628.xml"/>
  <Override ContentType="application/vnd.openxmlformats-officedocument.spreadsheetml.worksheet+xml" PartName="/xl/worksheets/sheet45629.xml"/>
  <Override ContentType="application/vnd.openxmlformats-officedocument.spreadsheetml.worksheet+xml" PartName="/xl/worksheets/sheet45630.xml"/>
  <Override ContentType="application/vnd.openxmlformats-officedocument.spreadsheetml.worksheet+xml" PartName="/xl/worksheets/sheet45631.xml"/>
  <Override ContentType="application/vnd.openxmlformats-officedocument.spreadsheetml.worksheet+xml" PartName="/xl/worksheets/sheet45632.xml"/>
  <Override ContentType="application/vnd.openxmlformats-officedocument.spreadsheetml.worksheet+xml" PartName="/xl/worksheets/sheet45633.xml"/>
  <Override ContentType="application/vnd.openxmlformats-officedocument.spreadsheetml.worksheet+xml" PartName="/xl/worksheets/sheet45634.xml"/>
  <Override ContentType="application/vnd.openxmlformats-officedocument.spreadsheetml.worksheet+xml" PartName="/xl/worksheets/sheet45635.xml"/>
  <Override ContentType="application/vnd.openxmlformats-officedocument.spreadsheetml.worksheet+xml" PartName="/xl/worksheets/sheet45636.xml"/>
  <Override ContentType="application/vnd.openxmlformats-officedocument.spreadsheetml.worksheet+xml" PartName="/xl/worksheets/sheet45637.xml"/>
  <Override ContentType="application/vnd.openxmlformats-officedocument.spreadsheetml.worksheet+xml" PartName="/xl/worksheets/sheet45638.xml"/>
  <Override ContentType="application/vnd.openxmlformats-officedocument.spreadsheetml.worksheet+xml" PartName="/xl/worksheets/sheet45639.xml"/>
  <Override ContentType="application/vnd.openxmlformats-officedocument.spreadsheetml.worksheet+xml" PartName="/xl/worksheets/sheet45640.xml"/>
  <Override ContentType="application/vnd.openxmlformats-officedocument.spreadsheetml.worksheet+xml" PartName="/xl/worksheets/sheet45641.xml"/>
  <Override ContentType="application/vnd.openxmlformats-officedocument.spreadsheetml.worksheet+xml" PartName="/xl/worksheets/sheet45642.xml"/>
  <Override ContentType="application/vnd.openxmlformats-officedocument.spreadsheetml.worksheet+xml" PartName="/xl/worksheets/sheet45643.xml"/>
  <Override ContentType="application/vnd.openxmlformats-officedocument.spreadsheetml.worksheet+xml" PartName="/xl/worksheets/sheet45644.xml"/>
  <Override ContentType="application/vnd.openxmlformats-officedocument.spreadsheetml.worksheet+xml" PartName="/xl/worksheets/sheet45645.xml"/>
  <Override ContentType="application/vnd.openxmlformats-officedocument.spreadsheetml.worksheet+xml" PartName="/xl/worksheets/sheet45646.xml"/>
  <Override ContentType="application/vnd.openxmlformats-officedocument.spreadsheetml.worksheet+xml" PartName="/xl/worksheets/sheet45647.xml"/>
  <Override ContentType="application/vnd.openxmlformats-officedocument.spreadsheetml.worksheet+xml" PartName="/xl/worksheets/sheet45648.xml"/>
  <Override ContentType="application/vnd.openxmlformats-officedocument.spreadsheetml.worksheet+xml" PartName="/xl/worksheets/sheet45649.xml"/>
  <Override ContentType="application/vnd.openxmlformats-officedocument.spreadsheetml.worksheet+xml" PartName="/xl/worksheets/sheet45650.xml"/>
  <Override ContentType="application/vnd.openxmlformats-officedocument.spreadsheetml.worksheet+xml" PartName="/xl/worksheets/sheet45651.xml"/>
  <Override ContentType="application/vnd.openxmlformats-officedocument.spreadsheetml.worksheet+xml" PartName="/xl/worksheets/sheet45652.xml"/>
  <Override ContentType="application/vnd.openxmlformats-officedocument.spreadsheetml.worksheet+xml" PartName="/xl/worksheets/sheet45653.xml"/>
  <Override ContentType="application/vnd.openxmlformats-officedocument.spreadsheetml.worksheet+xml" PartName="/xl/worksheets/sheet45654.xml"/>
  <Override ContentType="application/vnd.openxmlformats-officedocument.spreadsheetml.worksheet+xml" PartName="/xl/worksheets/sheet45655.xml"/>
  <Override ContentType="application/vnd.openxmlformats-officedocument.spreadsheetml.worksheet+xml" PartName="/xl/worksheets/sheet45656.xml"/>
  <Override ContentType="application/vnd.openxmlformats-officedocument.spreadsheetml.worksheet+xml" PartName="/xl/worksheets/sheet45657.xml"/>
  <Override ContentType="application/vnd.openxmlformats-officedocument.spreadsheetml.worksheet+xml" PartName="/xl/worksheets/sheet45658.xml"/>
  <Override ContentType="application/vnd.openxmlformats-officedocument.spreadsheetml.worksheet+xml" PartName="/xl/worksheets/sheet45659.xml"/>
  <Override ContentType="application/vnd.openxmlformats-officedocument.spreadsheetml.worksheet+xml" PartName="/xl/worksheets/sheet45660.xml"/>
  <Override ContentType="application/vnd.openxmlformats-officedocument.spreadsheetml.worksheet+xml" PartName="/xl/worksheets/sheet45661.xml"/>
  <Override ContentType="application/vnd.openxmlformats-officedocument.spreadsheetml.worksheet+xml" PartName="/xl/worksheets/sheet45662.xml"/>
  <Override ContentType="application/vnd.openxmlformats-officedocument.spreadsheetml.worksheet+xml" PartName="/xl/worksheets/sheet45663.xml"/>
  <Override ContentType="application/vnd.openxmlformats-officedocument.spreadsheetml.worksheet+xml" PartName="/xl/worksheets/sheet45664.xml"/>
  <Override ContentType="application/vnd.openxmlformats-officedocument.spreadsheetml.worksheet+xml" PartName="/xl/worksheets/sheet45665.xml"/>
  <Override ContentType="application/vnd.openxmlformats-officedocument.spreadsheetml.worksheet+xml" PartName="/xl/worksheets/sheet45666.xml"/>
  <Override ContentType="application/vnd.openxmlformats-officedocument.spreadsheetml.worksheet+xml" PartName="/xl/worksheets/sheet45667.xml"/>
  <Override ContentType="application/vnd.openxmlformats-officedocument.spreadsheetml.worksheet+xml" PartName="/xl/worksheets/sheet45668.xml"/>
  <Override ContentType="application/vnd.openxmlformats-officedocument.spreadsheetml.worksheet+xml" PartName="/xl/worksheets/sheet45669.xml"/>
  <Override ContentType="application/vnd.openxmlformats-officedocument.spreadsheetml.worksheet+xml" PartName="/xl/worksheets/sheet45670.xml"/>
  <Override ContentType="application/vnd.openxmlformats-officedocument.spreadsheetml.worksheet+xml" PartName="/xl/worksheets/sheet45671.xml"/>
  <Override ContentType="application/vnd.openxmlformats-officedocument.spreadsheetml.worksheet+xml" PartName="/xl/worksheets/sheet45672.xml"/>
  <Override ContentType="application/vnd.openxmlformats-officedocument.spreadsheetml.worksheet+xml" PartName="/xl/worksheets/sheet45673.xml"/>
  <Override ContentType="application/vnd.openxmlformats-officedocument.spreadsheetml.worksheet+xml" PartName="/xl/worksheets/sheet45674.xml"/>
  <Override ContentType="application/vnd.openxmlformats-officedocument.spreadsheetml.worksheet+xml" PartName="/xl/worksheets/sheet45675.xml"/>
  <Override ContentType="application/vnd.openxmlformats-officedocument.spreadsheetml.worksheet+xml" PartName="/xl/worksheets/sheet45676.xml"/>
  <Override ContentType="application/vnd.openxmlformats-officedocument.spreadsheetml.worksheet+xml" PartName="/xl/worksheets/sheet45677.xml"/>
  <Override ContentType="application/vnd.openxmlformats-officedocument.spreadsheetml.worksheet+xml" PartName="/xl/worksheets/sheet45678.xml"/>
  <Override ContentType="application/vnd.openxmlformats-officedocument.spreadsheetml.worksheet+xml" PartName="/xl/worksheets/sheet45679.xml"/>
  <Override ContentType="application/vnd.openxmlformats-officedocument.spreadsheetml.worksheet+xml" PartName="/xl/worksheets/sheet45680.xml"/>
  <Override ContentType="application/vnd.openxmlformats-officedocument.spreadsheetml.worksheet+xml" PartName="/xl/worksheets/sheet45681.xml"/>
  <Override ContentType="application/vnd.openxmlformats-officedocument.spreadsheetml.worksheet+xml" PartName="/xl/worksheets/sheet45682.xml"/>
  <Override ContentType="application/vnd.openxmlformats-officedocument.spreadsheetml.worksheet+xml" PartName="/xl/worksheets/sheet45683.xml"/>
  <Override ContentType="application/vnd.openxmlformats-officedocument.spreadsheetml.worksheet+xml" PartName="/xl/worksheets/sheet45684.xml"/>
  <Override ContentType="application/vnd.openxmlformats-officedocument.spreadsheetml.worksheet+xml" PartName="/xl/worksheets/sheet45685.xml"/>
  <Override ContentType="application/vnd.openxmlformats-officedocument.spreadsheetml.worksheet+xml" PartName="/xl/worksheets/sheet45686.xml"/>
  <Override ContentType="application/vnd.openxmlformats-officedocument.spreadsheetml.worksheet+xml" PartName="/xl/worksheets/sheet45687.xml"/>
  <Override ContentType="application/vnd.openxmlformats-officedocument.spreadsheetml.worksheet+xml" PartName="/xl/worksheets/sheet45688.xml"/>
  <Override ContentType="application/vnd.openxmlformats-officedocument.spreadsheetml.worksheet+xml" PartName="/xl/worksheets/sheet45689.xml"/>
  <Override ContentType="application/vnd.openxmlformats-officedocument.spreadsheetml.worksheet+xml" PartName="/xl/worksheets/sheet45690.xml"/>
  <Override ContentType="application/vnd.openxmlformats-officedocument.spreadsheetml.worksheet+xml" PartName="/xl/worksheets/sheet45691.xml"/>
  <Override ContentType="application/vnd.openxmlformats-officedocument.spreadsheetml.worksheet+xml" PartName="/xl/worksheets/sheet45692.xml"/>
  <Override ContentType="application/vnd.openxmlformats-officedocument.spreadsheetml.worksheet+xml" PartName="/xl/worksheets/sheet45693.xml"/>
  <Override ContentType="application/vnd.openxmlformats-officedocument.spreadsheetml.worksheet+xml" PartName="/xl/worksheets/sheet45694.xml"/>
  <Override ContentType="application/vnd.openxmlformats-officedocument.spreadsheetml.worksheet+xml" PartName="/xl/worksheets/sheet45695.xml"/>
  <Override ContentType="application/vnd.openxmlformats-officedocument.spreadsheetml.worksheet+xml" PartName="/xl/worksheets/sheet45696.xml"/>
  <Override ContentType="application/vnd.openxmlformats-officedocument.spreadsheetml.worksheet+xml" PartName="/xl/worksheets/sheet45697.xml"/>
  <Override ContentType="application/vnd.openxmlformats-officedocument.spreadsheetml.worksheet+xml" PartName="/xl/worksheets/sheet45698.xml"/>
  <Override ContentType="application/vnd.openxmlformats-officedocument.spreadsheetml.worksheet+xml" PartName="/xl/worksheets/sheet45699.xml"/>
  <Override ContentType="application/vnd.openxmlformats-officedocument.spreadsheetml.worksheet+xml" PartName="/xl/worksheets/sheet45700.xml"/>
  <Override ContentType="application/vnd.openxmlformats-officedocument.spreadsheetml.worksheet+xml" PartName="/xl/worksheets/sheet45701.xml"/>
  <Override ContentType="application/vnd.openxmlformats-officedocument.spreadsheetml.worksheet+xml" PartName="/xl/worksheets/sheet45702.xml"/>
  <Override ContentType="application/vnd.openxmlformats-officedocument.spreadsheetml.worksheet+xml" PartName="/xl/worksheets/sheet45703.xml"/>
  <Override ContentType="application/vnd.openxmlformats-officedocument.spreadsheetml.worksheet+xml" PartName="/xl/worksheets/sheet45704.xml"/>
  <Override ContentType="application/vnd.openxmlformats-officedocument.spreadsheetml.worksheet+xml" PartName="/xl/worksheets/sheet45705.xml"/>
  <Override ContentType="application/vnd.openxmlformats-officedocument.spreadsheetml.worksheet+xml" PartName="/xl/worksheets/sheet45706.xml"/>
  <Override ContentType="application/vnd.openxmlformats-officedocument.spreadsheetml.worksheet+xml" PartName="/xl/worksheets/sheet45707.xml"/>
  <Override ContentType="application/vnd.openxmlformats-officedocument.spreadsheetml.worksheet+xml" PartName="/xl/worksheets/sheet45708.xml"/>
  <Override ContentType="application/vnd.openxmlformats-officedocument.spreadsheetml.worksheet+xml" PartName="/xl/worksheets/sheet45709.xml"/>
  <Override ContentType="application/vnd.openxmlformats-officedocument.spreadsheetml.worksheet+xml" PartName="/xl/worksheets/sheet45710.xml"/>
  <Override ContentType="application/vnd.openxmlformats-officedocument.spreadsheetml.worksheet+xml" PartName="/xl/worksheets/sheet45711.xml"/>
  <Override ContentType="application/vnd.openxmlformats-officedocument.spreadsheetml.worksheet+xml" PartName="/xl/worksheets/sheet45712.xml"/>
  <Override ContentType="application/vnd.openxmlformats-officedocument.spreadsheetml.worksheet+xml" PartName="/xl/worksheets/sheet45713.xml"/>
  <Override ContentType="application/vnd.openxmlformats-officedocument.spreadsheetml.worksheet+xml" PartName="/xl/worksheets/sheet45714.xml"/>
  <Override ContentType="application/vnd.openxmlformats-officedocument.spreadsheetml.worksheet+xml" PartName="/xl/worksheets/sheet45715.xml"/>
  <Override ContentType="application/vnd.openxmlformats-officedocument.spreadsheetml.worksheet+xml" PartName="/xl/worksheets/sheet45716.xml"/>
  <Override ContentType="application/vnd.openxmlformats-officedocument.spreadsheetml.worksheet+xml" PartName="/xl/worksheets/sheet45717.xml"/>
  <Override ContentType="application/vnd.openxmlformats-officedocument.spreadsheetml.worksheet+xml" PartName="/xl/worksheets/sheet45718.xml"/>
  <Override ContentType="application/vnd.openxmlformats-officedocument.spreadsheetml.worksheet+xml" PartName="/xl/worksheets/sheet45719.xml"/>
  <Override ContentType="application/vnd.openxmlformats-officedocument.spreadsheetml.worksheet+xml" PartName="/xl/worksheets/sheet45720.xml"/>
  <Override ContentType="application/vnd.openxmlformats-officedocument.spreadsheetml.worksheet+xml" PartName="/xl/worksheets/sheet45721.xml"/>
  <Override ContentType="application/vnd.openxmlformats-officedocument.spreadsheetml.worksheet+xml" PartName="/xl/worksheets/sheet45722.xml"/>
  <Override ContentType="application/vnd.openxmlformats-officedocument.spreadsheetml.worksheet+xml" PartName="/xl/worksheets/sheet45723.xml"/>
  <Override ContentType="application/vnd.openxmlformats-officedocument.spreadsheetml.worksheet+xml" PartName="/xl/worksheets/sheet45724.xml"/>
  <Override ContentType="application/vnd.openxmlformats-officedocument.spreadsheetml.worksheet+xml" PartName="/xl/worksheets/sheet45725.xml"/>
  <Override ContentType="application/vnd.openxmlformats-officedocument.spreadsheetml.worksheet+xml" PartName="/xl/worksheets/sheet45726.xml"/>
  <Override ContentType="application/vnd.openxmlformats-officedocument.spreadsheetml.worksheet+xml" PartName="/xl/worksheets/sheet45727.xml"/>
  <Override ContentType="application/vnd.openxmlformats-officedocument.spreadsheetml.worksheet+xml" PartName="/xl/worksheets/sheet45728.xml"/>
  <Override ContentType="application/vnd.openxmlformats-officedocument.spreadsheetml.worksheet+xml" PartName="/xl/worksheets/sheet45729.xml"/>
  <Override ContentType="application/vnd.openxmlformats-officedocument.spreadsheetml.worksheet+xml" PartName="/xl/worksheets/sheet45730.xml"/>
  <Override ContentType="application/vnd.openxmlformats-officedocument.spreadsheetml.worksheet+xml" PartName="/xl/worksheets/sheet45731.xml"/>
  <Override ContentType="application/vnd.openxmlformats-officedocument.spreadsheetml.worksheet+xml" PartName="/xl/worksheets/sheet45732.xml"/>
  <Override ContentType="application/vnd.openxmlformats-officedocument.spreadsheetml.worksheet+xml" PartName="/xl/worksheets/sheet45733.xml"/>
  <Override ContentType="application/vnd.openxmlformats-officedocument.spreadsheetml.worksheet+xml" PartName="/xl/worksheets/sheet45734.xml"/>
  <Override ContentType="application/vnd.openxmlformats-officedocument.spreadsheetml.worksheet+xml" PartName="/xl/worksheets/sheet45735.xml"/>
  <Override ContentType="application/vnd.openxmlformats-officedocument.spreadsheetml.worksheet+xml" PartName="/xl/worksheets/sheet45736.xml"/>
  <Override ContentType="application/vnd.openxmlformats-officedocument.spreadsheetml.worksheet+xml" PartName="/xl/worksheets/sheet45737.xml"/>
  <Override ContentType="application/vnd.openxmlformats-officedocument.spreadsheetml.worksheet+xml" PartName="/xl/worksheets/sheet45738.xml"/>
  <Override ContentType="application/vnd.openxmlformats-officedocument.spreadsheetml.worksheet+xml" PartName="/xl/worksheets/sheet45739.xml"/>
  <Override ContentType="application/vnd.openxmlformats-officedocument.spreadsheetml.worksheet+xml" PartName="/xl/worksheets/sheet45740.xml"/>
  <Override ContentType="application/vnd.openxmlformats-officedocument.spreadsheetml.worksheet+xml" PartName="/xl/worksheets/sheet45741.xml"/>
  <Override ContentType="application/vnd.openxmlformats-officedocument.spreadsheetml.worksheet+xml" PartName="/xl/worksheets/sheet45742.xml"/>
  <Override ContentType="application/vnd.openxmlformats-officedocument.spreadsheetml.worksheet+xml" PartName="/xl/worksheets/sheet45743.xml"/>
  <Override ContentType="application/vnd.openxmlformats-officedocument.spreadsheetml.worksheet+xml" PartName="/xl/worksheets/sheet45744.xml"/>
  <Override ContentType="application/vnd.openxmlformats-officedocument.spreadsheetml.worksheet+xml" PartName="/xl/worksheets/sheet45745.xml"/>
  <Override ContentType="application/vnd.openxmlformats-officedocument.spreadsheetml.worksheet+xml" PartName="/xl/worksheets/sheet45746.xml"/>
  <Override ContentType="application/vnd.openxmlformats-officedocument.spreadsheetml.worksheet+xml" PartName="/xl/worksheets/sheet45747.xml"/>
  <Override ContentType="application/vnd.openxmlformats-officedocument.spreadsheetml.worksheet+xml" PartName="/xl/worksheets/sheet45748.xml"/>
  <Override ContentType="application/vnd.openxmlformats-officedocument.spreadsheetml.worksheet+xml" PartName="/xl/worksheets/sheet45749.xml"/>
  <Override ContentType="application/vnd.openxmlformats-officedocument.spreadsheetml.worksheet+xml" PartName="/xl/worksheets/sheet45750.xml"/>
  <Override ContentType="application/vnd.openxmlformats-officedocument.spreadsheetml.worksheet+xml" PartName="/xl/worksheets/sheet45751.xml"/>
  <Override ContentType="application/vnd.openxmlformats-officedocument.spreadsheetml.worksheet+xml" PartName="/xl/worksheets/sheet45752.xml"/>
  <Override ContentType="application/vnd.openxmlformats-officedocument.spreadsheetml.worksheet+xml" PartName="/xl/worksheets/sheet45753.xml"/>
  <Override ContentType="application/vnd.openxmlformats-officedocument.spreadsheetml.worksheet+xml" PartName="/xl/worksheets/sheet45754.xml"/>
  <Override ContentType="application/vnd.openxmlformats-officedocument.spreadsheetml.worksheet+xml" PartName="/xl/worksheets/sheet45755.xml"/>
  <Override ContentType="application/vnd.openxmlformats-officedocument.spreadsheetml.worksheet+xml" PartName="/xl/worksheets/sheet45756.xml"/>
  <Override ContentType="application/vnd.openxmlformats-officedocument.spreadsheetml.worksheet+xml" PartName="/xl/worksheets/sheet45757.xml"/>
  <Override ContentType="application/vnd.openxmlformats-officedocument.spreadsheetml.worksheet+xml" PartName="/xl/worksheets/sheet45758.xml"/>
  <Override ContentType="application/vnd.openxmlformats-officedocument.spreadsheetml.worksheet+xml" PartName="/xl/worksheets/sheet45759.xml"/>
  <Override ContentType="application/vnd.openxmlformats-officedocument.spreadsheetml.worksheet+xml" PartName="/xl/worksheets/sheet45760.xml"/>
  <Override ContentType="application/vnd.openxmlformats-officedocument.spreadsheetml.worksheet+xml" PartName="/xl/worksheets/sheet45761.xml"/>
  <Override ContentType="application/vnd.openxmlformats-officedocument.spreadsheetml.worksheet+xml" PartName="/xl/worksheets/sheet45762.xml"/>
  <Override ContentType="application/vnd.openxmlformats-officedocument.spreadsheetml.worksheet+xml" PartName="/xl/worksheets/sheet45763.xml"/>
  <Override ContentType="application/vnd.openxmlformats-officedocument.spreadsheetml.worksheet+xml" PartName="/xl/worksheets/sheet45764.xml"/>
  <Override ContentType="application/vnd.openxmlformats-officedocument.spreadsheetml.worksheet+xml" PartName="/xl/worksheets/sheet45765.xml"/>
  <Override ContentType="application/vnd.openxmlformats-officedocument.spreadsheetml.worksheet+xml" PartName="/xl/worksheets/sheet45766.xml"/>
  <Override ContentType="application/vnd.openxmlformats-officedocument.spreadsheetml.worksheet+xml" PartName="/xl/worksheets/sheet45767.xml"/>
  <Override ContentType="application/vnd.openxmlformats-officedocument.spreadsheetml.worksheet+xml" PartName="/xl/worksheets/sheet45768.xml"/>
  <Override ContentType="application/vnd.openxmlformats-officedocument.spreadsheetml.worksheet+xml" PartName="/xl/worksheets/sheet45769.xml"/>
  <Override ContentType="application/vnd.openxmlformats-officedocument.spreadsheetml.worksheet+xml" PartName="/xl/worksheets/sheet45770.xml"/>
  <Override ContentType="application/vnd.openxmlformats-officedocument.spreadsheetml.worksheet+xml" PartName="/xl/worksheets/sheet45771.xml"/>
  <Override ContentType="application/vnd.openxmlformats-officedocument.spreadsheetml.worksheet+xml" PartName="/xl/worksheets/sheet45772.xml"/>
  <Override ContentType="application/vnd.openxmlformats-officedocument.spreadsheetml.worksheet+xml" PartName="/xl/worksheets/sheet45773.xml"/>
  <Override ContentType="application/vnd.openxmlformats-officedocument.spreadsheetml.worksheet+xml" PartName="/xl/worksheets/sheet45774.xml"/>
  <Override ContentType="application/vnd.openxmlformats-officedocument.spreadsheetml.worksheet+xml" PartName="/xl/worksheets/sheet45775.xml"/>
  <Override ContentType="application/vnd.openxmlformats-officedocument.spreadsheetml.worksheet+xml" PartName="/xl/worksheets/sheet45776.xml"/>
  <Override ContentType="application/vnd.openxmlformats-officedocument.spreadsheetml.worksheet+xml" PartName="/xl/worksheets/sheet45777.xml"/>
  <Override ContentType="application/vnd.openxmlformats-officedocument.spreadsheetml.worksheet+xml" PartName="/xl/worksheets/sheet45778.xml"/>
  <Override ContentType="application/vnd.openxmlformats-officedocument.spreadsheetml.worksheet+xml" PartName="/xl/worksheets/sheet45779.xml"/>
  <Override ContentType="application/vnd.openxmlformats-officedocument.spreadsheetml.worksheet+xml" PartName="/xl/worksheets/sheet45780.xml"/>
  <Override ContentType="application/vnd.openxmlformats-officedocument.spreadsheetml.worksheet+xml" PartName="/xl/worksheets/sheet45781.xml"/>
  <Override ContentType="application/vnd.openxmlformats-officedocument.spreadsheetml.worksheet+xml" PartName="/xl/worksheets/sheet45782.xml"/>
  <Override ContentType="application/vnd.openxmlformats-officedocument.spreadsheetml.worksheet+xml" PartName="/xl/worksheets/sheet45783.xml"/>
  <Override ContentType="application/vnd.openxmlformats-officedocument.spreadsheetml.worksheet+xml" PartName="/xl/worksheets/sheet45784.xml"/>
  <Override ContentType="application/vnd.openxmlformats-officedocument.spreadsheetml.worksheet+xml" PartName="/xl/worksheets/sheet45785.xml"/>
  <Override ContentType="application/vnd.openxmlformats-officedocument.spreadsheetml.worksheet+xml" PartName="/xl/worksheets/sheet45786.xml"/>
  <Override ContentType="application/vnd.openxmlformats-officedocument.spreadsheetml.worksheet+xml" PartName="/xl/worksheets/sheet45787.xml"/>
  <Override ContentType="application/vnd.openxmlformats-officedocument.spreadsheetml.worksheet+xml" PartName="/xl/worksheets/sheet45788.xml"/>
  <Override ContentType="application/vnd.openxmlformats-officedocument.spreadsheetml.worksheet+xml" PartName="/xl/worksheets/sheet45789.xml"/>
  <Override ContentType="application/vnd.openxmlformats-officedocument.spreadsheetml.worksheet+xml" PartName="/xl/worksheets/sheet45790.xml"/>
  <Override ContentType="application/vnd.openxmlformats-officedocument.spreadsheetml.worksheet+xml" PartName="/xl/worksheets/sheet45791.xml"/>
  <Override ContentType="application/vnd.openxmlformats-officedocument.spreadsheetml.worksheet+xml" PartName="/xl/worksheets/sheet45792.xml"/>
  <Override ContentType="application/vnd.openxmlformats-officedocument.spreadsheetml.worksheet+xml" PartName="/xl/worksheets/sheet45793.xml"/>
  <Override ContentType="application/vnd.openxmlformats-officedocument.spreadsheetml.worksheet+xml" PartName="/xl/worksheets/sheet45794.xml"/>
  <Override ContentType="application/vnd.openxmlformats-officedocument.spreadsheetml.worksheet+xml" PartName="/xl/worksheets/sheet45795.xml"/>
  <Override ContentType="application/vnd.openxmlformats-officedocument.spreadsheetml.worksheet+xml" PartName="/xl/worksheets/sheet45796.xml"/>
  <Override ContentType="application/vnd.openxmlformats-officedocument.spreadsheetml.worksheet+xml" PartName="/xl/worksheets/sheet45797.xml"/>
  <Override ContentType="application/vnd.openxmlformats-officedocument.spreadsheetml.worksheet+xml" PartName="/xl/worksheets/sheet45798.xml"/>
  <Override ContentType="application/vnd.openxmlformats-officedocument.spreadsheetml.worksheet+xml" PartName="/xl/worksheets/sheet45799.xml"/>
  <Override ContentType="application/vnd.openxmlformats-officedocument.spreadsheetml.worksheet+xml" PartName="/xl/worksheets/sheet45800.xml"/>
  <Override ContentType="application/vnd.openxmlformats-officedocument.spreadsheetml.worksheet+xml" PartName="/xl/worksheets/sheet45801.xml"/>
  <Override ContentType="application/vnd.openxmlformats-officedocument.spreadsheetml.worksheet+xml" PartName="/xl/worksheets/sheet45802.xml"/>
  <Override ContentType="application/vnd.openxmlformats-officedocument.spreadsheetml.worksheet+xml" PartName="/xl/worksheets/sheet45803.xml"/>
  <Override ContentType="application/vnd.openxmlformats-officedocument.spreadsheetml.worksheet+xml" PartName="/xl/worksheets/sheet45804.xml"/>
  <Override ContentType="application/vnd.openxmlformats-officedocument.spreadsheetml.worksheet+xml" PartName="/xl/worksheets/sheet45805.xml"/>
  <Override ContentType="application/vnd.openxmlformats-officedocument.spreadsheetml.worksheet+xml" PartName="/xl/worksheets/sheet45806.xml"/>
  <Override ContentType="application/vnd.openxmlformats-officedocument.spreadsheetml.worksheet+xml" PartName="/xl/worksheets/sheet45807.xml"/>
  <Override ContentType="application/vnd.openxmlformats-officedocument.spreadsheetml.worksheet+xml" PartName="/xl/worksheets/sheet45808.xml"/>
  <Override ContentType="application/vnd.openxmlformats-officedocument.spreadsheetml.worksheet+xml" PartName="/xl/worksheets/sheet45809.xml"/>
  <Override ContentType="application/vnd.openxmlformats-officedocument.spreadsheetml.worksheet+xml" PartName="/xl/worksheets/sheet45810.xml"/>
  <Override ContentType="application/vnd.openxmlformats-officedocument.spreadsheetml.worksheet+xml" PartName="/xl/worksheets/sheet45811.xml"/>
  <Override ContentType="application/vnd.openxmlformats-officedocument.spreadsheetml.worksheet+xml" PartName="/xl/worksheets/sheet45812.xml"/>
  <Override ContentType="application/vnd.openxmlformats-officedocument.spreadsheetml.worksheet+xml" PartName="/xl/worksheets/sheet45813.xml"/>
  <Override ContentType="application/vnd.openxmlformats-officedocument.spreadsheetml.worksheet+xml" PartName="/xl/worksheets/sheet45814.xml"/>
  <Override ContentType="application/vnd.openxmlformats-officedocument.spreadsheetml.worksheet+xml" PartName="/xl/worksheets/sheet45815.xml"/>
  <Override ContentType="application/vnd.openxmlformats-officedocument.spreadsheetml.worksheet+xml" PartName="/xl/worksheets/sheet45816.xml"/>
  <Override ContentType="application/vnd.openxmlformats-officedocument.spreadsheetml.worksheet+xml" PartName="/xl/worksheets/sheet45817.xml"/>
  <Override ContentType="application/vnd.openxmlformats-officedocument.spreadsheetml.worksheet+xml" PartName="/xl/worksheets/sheet45818.xml"/>
  <Override ContentType="application/vnd.openxmlformats-officedocument.spreadsheetml.worksheet+xml" PartName="/xl/worksheets/sheet45819.xml"/>
  <Override ContentType="application/vnd.openxmlformats-officedocument.spreadsheetml.worksheet+xml" PartName="/xl/worksheets/sheet45820.xml"/>
  <Override ContentType="application/vnd.openxmlformats-officedocument.spreadsheetml.worksheet+xml" PartName="/xl/worksheets/sheet45821.xml"/>
  <Override ContentType="application/vnd.openxmlformats-officedocument.spreadsheetml.worksheet+xml" PartName="/xl/worksheets/sheet45822.xml"/>
  <Override ContentType="application/vnd.openxmlformats-officedocument.spreadsheetml.worksheet+xml" PartName="/xl/worksheets/sheet45823.xml"/>
  <Override ContentType="application/vnd.openxmlformats-officedocument.spreadsheetml.worksheet+xml" PartName="/xl/worksheets/sheet45824.xml"/>
  <Override ContentType="application/vnd.openxmlformats-officedocument.spreadsheetml.worksheet+xml" PartName="/xl/worksheets/sheet45825.xml"/>
  <Override ContentType="application/vnd.openxmlformats-officedocument.spreadsheetml.worksheet+xml" PartName="/xl/worksheets/sheet45826.xml"/>
  <Override ContentType="application/vnd.openxmlformats-officedocument.spreadsheetml.worksheet+xml" PartName="/xl/worksheets/sheet45827.xml"/>
  <Override ContentType="application/vnd.openxmlformats-officedocument.spreadsheetml.worksheet+xml" PartName="/xl/worksheets/sheet45828.xml"/>
  <Override ContentType="application/vnd.openxmlformats-officedocument.spreadsheetml.worksheet+xml" PartName="/xl/worksheets/sheet45829.xml"/>
  <Override ContentType="application/vnd.openxmlformats-officedocument.spreadsheetml.worksheet+xml" PartName="/xl/worksheets/sheet45830.xml"/>
  <Override ContentType="application/vnd.openxmlformats-officedocument.spreadsheetml.worksheet+xml" PartName="/xl/worksheets/sheet45831.xml"/>
  <Override ContentType="application/vnd.openxmlformats-officedocument.spreadsheetml.worksheet+xml" PartName="/xl/worksheets/sheet45832.xml"/>
  <Override ContentType="application/vnd.openxmlformats-officedocument.spreadsheetml.worksheet+xml" PartName="/xl/worksheets/sheet45833.xml"/>
  <Override ContentType="application/vnd.openxmlformats-officedocument.spreadsheetml.worksheet+xml" PartName="/xl/worksheets/sheet45834.xml"/>
  <Override ContentType="application/vnd.openxmlformats-officedocument.spreadsheetml.worksheet+xml" PartName="/xl/worksheets/sheet45835.xml"/>
  <Override ContentType="application/vnd.openxmlformats-officedocument.spreadsheetml.worksheet+xml" PartName="/xl/worksheets/sheet45836.xml"/>
  <Override ContentType="application/vnd.openxmlformats-officedocument.spreadsheetml.worksheet+xml" PartName="/xl/worksheets/sheet45837.xml"/>
  <Override ContentType="application/vnd.openxmlformats-officedocument.spreadsheetml.worksheet+xml" PartName="/xl/worksheets/sheet45838.xml"/>
  <Override ContentType="application/vnd.openxmlformats-officedocument.spreadsheetml.worksheet+xml" PartName="/xl/worksheets/sheet45839.xml"/>
  <Override ContentType="application/vnd.openxmlformats-officedocument.spreadsheetml.worksheet+xml" PartName="/xl/worksheets/sheet45840.xml"/>
  <Override ContentType="application/vnd.openxmlformats-officedocument.spreadsheetml.worksheet+xml" PartName="/xl/worksheets/sheet45841.xml"/>
  <Override ContentType="application/vnd.openxmlformats-officedocument.spreadsheetml.worksheet+xml" PartName="/xl/worksheets/sheet45842.xml"/>
  <Override ContentType="application/vnd.openxmlformats-officedocument.spreadsheetml.worksheet+xml" PartName="/xl/worksheets/sheet45843.xml"/>
  <Override ContentType="application/vnd.openxmlformats-officedocument.spreadsheetml.worksheet+xml" PartName="/xl/worksheets/sheet45844.xml"/>
  <Override ContentType="application/vnd.openxmlformats-officedocument.spreadsheetml.worksheet+xml" PartName="/xl/worksheets/sheet45845.xml"/>
  <Override ContentType="application/vnd.openxmlformats-officedocument.spreadsheetml.worksheet+xml" PartName="/xl/worksheets/sheet45846.xml"/>
  <Override ContentType="application/vnd.openxmlformats-officedocument.spreadsheetml.worksheet+xml" PartName="/xl/worksheets/sheet45847.xml"/>
  <Override ContentType="application/vnd.openxmlformats-officedocument.spreadsheetml.worksheet+xml" PartName="/xl/worksheets/sheet45848.xml"/>
  <Override ContentType="application/vnd.openxmlformats-officedocument.spreadsheetml.worksheet+xml" PartName="/xl/worksheets/sheet45849.xml"/>
  <Override ContentType="application/vnd.openxmlformats-officedocument.spreadsheetml.worksheet+xml" PartName="/xl/worksheets/sheet45850.xml"/>
  <Override ContentType="application/vnd.openxmlformats-officedocument.spreadsheetml.worksheet+xml" PartName="/xl/worksheets/sheet45851.xml"/>
  <Override ContentType="application/vnd.openxmlformats-officedocument.spreadsheetml.worksheet+xml" PartName="/xl/worksheets/sheet45852.xml"/>
  <Override ContentType="application/vnd.openxmlformats-officedocument.spreadsheetml.worksheet+xml" PartName="/xl/worksheets/sheet45853.xml"/>
  <Override ContentType="application/vnd.openxmlformats-officedocument.spreadsheetml.worksheet+xml" PartName="/xl/worksheets/sheet45854.xml"/>
  <Override ContentType="application/vnd.openxmlformats-officedocument.spreadsheetml.worksheet+xml" PartName="/xl/worksheets/sheet45855.xml"/>
  <Override ContentType="application/vnd.openxmlformats-officedocument.spreadsheetml.worksheet+xml" PartName="/xl/worksheets/sheet45856.xml"/>
  <Override ContentType="application/vnd.openxmlformats-officedocument.spreadsheetml.worksheet+xml" PartName="/xl/worksheets/sheet45857.xml"/>
  <Override ContentType="application/vnd.openxmlformats-officedocument.spreadsheetml.worksheet+xml" PartName="/xl/worksheets/sheet45858.xml"/>
  <Override ContentType="application/vnd.openxmlformats-officedocument.spreadsheetml.worksheet+xml" PartName="/xl/worksheets/sheet45859.xml"/>
  <Override ContentType="application/vnd.openxmlformats-officedocument.spreadsheetml.worksheet+xml" PartName="/xl/worksheets/sheet45860.xml"/>
  <Override ContentType="application/vnd.openxmlformats-officedocument.spreadsheetml.worksheet+xml" PartName="/xl/worksheets/sheet45861.xml"/>
  <Override ContentType="application/vnd.openxmlformats-officedocument.spreadsheetml.worksheet+xml" PartName="/xl/worksheets/sheet45862.xml"/>
  <Override ContentType="application/vnd.openxmlformats-officedocument.spreadsheetml.worksheet+xml" PartName="/xl/worksheets/sheet45863.xml"/>
  <Override ContentType="application/vnd.openxmlformats-officedocument.spreadsheetml.worksheet+xml" PartName="/xl/worksheets/sheet45864.xml"/>
  <Override ContentType="application/vnd.openxmlformats-officedocument.spreadsheetml.worksheet+xml" PartName="/xl/worksheets/sheet45865.xml"/>
  <Override ContentType="application/vnd.openxmlformats-officedocument.spreadsheetml.worksheet+xml" PartName="/xl/worksheets/sheet45866.xml"/>
  <Override ContentType="application/vnd.openxmlformats-officedocument.spreadsheetml.worksheet+xml" PartName="/xl/worksheets/sheet45867.xml"/>
  <Override ContentType="application/vnd.openxmlformats-officedocument.spreadsheetml.worksheet+xml" PartName="/xl/worksheets/sheet45868.xml"/>
  <Override ContentType="application/vnd.openxmlformats-officedocument.spreadsheetml.worksheet+xml" PartName="/xl/worksheets/sheet45869.xml"/>
  <Override ContentType="application/vnd.openxmlformats-officedocument.spreadsheetml.worksheet+xml" PartName="/xl/worksheets/sheet45870.xml"/>
  <Override ContentType="application/vnd.openxmlformats-officedocument.spreadsheetml.worksheet+xml" PartName="/xl/worksheets/sheet45871.xml"/>
  <Override ContentType="application/vnd.openxmlformats-officedocument.spreadsheetml.worksheet+xml" PartName="/xl/worksheets/sheet45872.xml"/>
  <Override ContentType="application/vnd.openxmlformats-officedocument.spreadsheetml.worksheet+xml" PartName="/xl/worksheets/sheet45873.xml"/>
  <Override ContentType="application/vnd.openxmlformats-officedocument.spreadsheetml.worksheet+xml" PartName="/xl/worksheets/sheet45874.xml"/>
  <Override ContentType="application/vnd.openxmlformats-officedocument.spreadsheetml.worksheet+xml" PartName="/xl/worksheets/sheet45875.xml"/>
  <Override ContentType="application/vnd.openxmlformats-officedocument.spreadsheetml.worksheet+xml" PartName="/xl/worksheets/sheet45876.xml"/>
  <Override ContentType="application/vnd.openxmlformats-officedocument.spreadsheetml.worksheet+xml" PartName="/xl/worksheets/sheet45877.xml"/>
  <Override ContentType="application/vnd.openxmlformats-officedocument.spreadsheetml.worksheet+xml" PartName="/xl/worksheets/sheet45878.xml"/>
  <Override ContentType="application/vnd.openxmlformats-officedocument.spreadsheetml.worksheet+xml" PartName="/xl/worksheets/sheet45879.xml"/>
  <Override ContentType="application/vnd.openxmlformats-officedocument.spreadsheetml.worksheet+xml" PartName="/xl/worksheets/sheet45880.xml"/>
  <Override ContentType="application/vnd.openxmlformats-officedocument.spreadsheetml.worksheet+xml" PartName="/xl/worksheets/sheet45881.xml"/>
  <Override ContentType="application/vnd.openxmlformats-officedocument.spreadsheetml.worksheet+xml" PartName="/xl/worksheets/sheet45882.xml"/>
  <Override ContentType="application/vnd.openxmlformats-officedocument.spreadsheetml.worksheet+xml" PartName="/xl/worksheets/sheet45883.xml"/>
  <Override ContentType="application/vnd.openxmlformats-officedocument.spreadsheetml.worksheet+xml" PartName="/xl/worksheets/sheet45884.xml"/>
  <Override ContentType="application/vnd.openxmlformats-officedocument.spreadsheetml.worksheet+xml" PartName="/xl/worksheets/sheet45885.xml"/>
  <Override ContentType="application/vnd.openxmlformats-officedocument.spreadsheetml.worksheet+xml" PartName="/xl/worksheets/sheet45886.xml"/>
  <Override ContentType="application/vnd.openxmlformats-officedocument.spreadsheetml.worksheet+xml" PartName="/xl/worksheets/sheet45887.xml"/>
  <Override ContentType="application/vnd.openxmlformats-officedocument.spreadsheetml.worksheet+xml" PartName="/xl/worksheets/sheet45888.xml"/>
  <Override ContentType="application/vnd.openxmlformats-officedocument.spreadsheetml.worksheet+xml" PartName="/xl/worksheets/sheet45889.xml"/>
  <Override ContentType="application/vnd.openxmlformats-officedocument.spreadsheetml.worksheet+xml" PartName="/xl/worksheets/sheet45890.xml"/>
  <Override ContentType="application/vnd.openxmlformats-officedocument.spreadsheetml.worksheet+xml" PartName="/xl/worksheets/sheet45891.xml"/>
  <Override ContentType="application/vnd.openxmlformats-officedocument.spreadsheetml.worksheet+xml" PartName="/xl/worksheets/sheet45892.xml"/>
  <Override ContentType="application/vnd.openxmlformats-officedocument.spreadsheetml.worksheet+xml" PartName="/xl/worksheets/sheet45893.xml"/>
  <Override ContentType="application/vnd.openxmlformats-officedocument.spreadsheetml.worksheet+xml" PartName="/xl/worksheets/sheet45894.xml"/>
  <Override ContentType="application/vnd.openxmlformats-officedocument.spreadsheetml.worksheet+xml" PartName="/xl/worksheets/sheet45895.xml"/>
  <Override ContentType="application/vnd.openxmlformats-officedocument.spreadsheetml.worksheet+xml" PartName="/xl/worksheets/sheet45896.xml"/>
  <Override ContentType="application/vnd.openxmlformats-officedocument.spreadsheetml.worksheet+xml" PartName="/xl/worksheets/sheet45897.xml"/>
  <Override ContentType="application/vnd.openxmlformats-officedocument.spreadsheetml.worksheet+xml" PartName="/xl/worksheets/sheet45898.xml"/>
  <Override ContentType="application/vnd.openxmlformats-officedocument.spreadsheetml.worksheet+xml" PartName="/xl/worksheets/sheet45899.xml"/>
  <Override ContentType="application/vnd.openxmlformats-officedocument.spreadsheetml.worksheet+xml" PartName="/xl/worksheets/sheet45900.xml"/>
  <Override ContentType="application/vnd.openxmlformats-officedocument.spreadsheetml.worksheet+xml" PartName="/xl/worksheets/sheet45901.xml"/>
  <Override ContentType="application/vnd.openxmlformats-officedocument.spreadsheetml.worksheet+xml" PartName="/xl/worksheets/sheet45902.xml"/>
  <Override ContentType="application/vnd.openxmlformats-officedocument.spreadsheetml.worksheet+xml" PartName="/xl/worksheets/sheet45903.xml"/>
  <Override ContentType="application/vnd.openxmlformats-officedocument.spreadsheetml.worksheet+xml" PartName="/xl/worksheets/sheet45904.xml"/>
  <Override ContentType="application/vnd.openxmlformats-officedocument.spreadsheetml.worksheet+xml" PartName="/xl/worksheets/sheet45905.xml"/>
  <Override ContentType="application/vnd.openxmlformats-officedocument.spreadsheetml.worksheet+xml" PartName="/xl/worksheets/sheet45906.xml"/>
  <Override ContentType="application/vnd.openxmlformats-officedocument.spreadsheetml.worksheet+xml" PartName="/xl/worksheets/sheet45907.xml"/>
  <Override ContentType="application/vnd.openxmlformats-officedocument.spreadsheetml.worksheet+xml" PartName="/xl/worksheets/sheet45908.xml"/>
  <Override ContentType="application/vnd.openxmlformats-officedocument.spreadsheetml.worksheet+xml" PartName="/xl/worksheets/sheet45909.xml"/>
  <Override ContentType="application/vnd.openxmlformats-officedocument.spreadsheetml.worksheet+xml" PartName="/xl/worksheets/sheet45910.xml"/>
  <Override ContentType="application/vnd.openxmlformats-officedocument.spreadsheetml.worksheet+xml" PartName="/xl/worksheets/sheet45911.xml"/>
  <Override ContentType="application/vnd.openxmlformats-officedocument.spreadsheetml.worksheet+xml" PartName="/xl/worksheets/sheet45912.xml"/>
  <Override ContentType="application/vnd.openxmlformats-officedocument.spreadsheetml.worksheet+xml" PartName="/xl/worksheets/sheet45913.xml"/>
  <Override ContentType="application/vnd.openxmlformats-officedocument.spreadsheetml.worksheet+xml" PartName="/xl/worksheets/sheet45914.xml"/>
  <Override ContentType="application/vnd.openxmlformats-officedocument.spreadsheetml.worksheet+xml" PartName="/xl/worksheets/sheet45915.xml"/>
  <Override ContentType="application/vnd.openxmlformats-officedocument.spreadsheetml.worksheet+xml" PartName="/xl/worksheets/sheet45916.xml"/>
  <Override ContentType="application/vnd.openxmlformats-officedocument.spreadsheetml.worksheet+xml" PartName="/xl/worksheets/sheet45917.xml"/>
  <Override ContentType="application/vnd.openxmlformats-officedocument.spreadsheetml.worksheet+xml" PartName="/xl/worksheets/sheet45918.xml"/>
  <Override ContentType="application/vnd.openxmlformats-officedocument.spreadsheetml.worksheet+xml" PartName="/xl/worksheets/sheet45919.xml"/>
  <Override ContentType="application/vnd.openxmlformats-officedocument.spreadsheetml.worksheet+xml" PartName="/xl/worksheets/sheet45920.xml"/>
  <Override ContentType="application/vnd.openxmlformats-officedocument.spreadsheetml.worksheet+xml" PartName="/xl/worksheets/sheet45921.xml"/>
  <Override ContentType="application/vnd.openxmlformats-officedocument.spreadsheetml.worksheet+xml" PartName="/xl/worksheets/sheet45922.xml"/>
  <Override ContentType="application/vnd.openxmlformats-officedocument.spreadsheetml.worksheet+xml" PartName="/xl/worksheets/sheet45923.xml"/>
  <Override ContentType="application/vnd.openxmlformats-officedocument.spreadsheetml.worksheet+xml" PartName="/xl/worksheets/sheet45924.xml"/>
  <Override ContentType="application/vnd.openxmlformats-officedocument.spreadsheetml.worksheet+xml" PartName="/xl/worksheets/sheet45925.xml"/>
  <Override ContentType="application/vnd.openxmlformats-officedocument.spreadsheetml.worksheet+xml" PartName="/xl/worksheets/sheet45926.xml"/>
  <Override ContentType="application/vnd.openxmlformats-officedocument.spreadsheetml.worksheet+xml" PartName="/xl/worksheets/sheet45927.xml"/>
  <Override ContentType="application/vnd.openxmlformats-officedocument.spreadsheetml.worksheet+xml" PartName="/xl/worksheets/sheet45928.xml"/>
  <Override ContentType="application/vnd.openxmlformats-officedocument.spreadsheetml.worksheet+xml" PartName="/xl/worksheets/sheet45929.xml"/>
  <Override ContentType="application/vnd.openxmlformats-officedocument.spreadsheetml.worksheet+xml" PartName="/xl/worksheets/sheet45930.xml"/>
  <Override ContentType="application/vnd.openxmlformats-officedocument.spreadsheetml.worksheet+xml" PartName="/xl/worksheets/sheet45931.xml"/>
  <Override ContentType="application/vnd.openxmlformats-officedocument.spreadsheetml.worksheet+xml" PartName="/xl/worksheets/sheet45932.xml"/>
  <Override ContentType="application/vnd.openxmlformats-officedocument.spreadsheetml.worksheet+xml" PartName="/xl/worksheets/sheet45933.xml"/>
  <Override ContentType="application/vnd.openxmlformats-officedocument.spreadsheetml.worksheet+xml" PartName="/xl/worksheets/sheet45934.xml"/>
  <Override ContentType="application/vnd.openxmlformats-officedocument.spreadsheetml.worksheet+xml" PartName="/xl/worksheets/sheet45935.xml"/>
  <Override ContentType="application/vnd.openxmlformats-officedocument.spreadsheetml.worksheet+xml" PartName="/xl/worksheets/sheet45936.xml"/>
  <Override ContentType="application/vnd.openxmlformats-officedocument.spreadsheetml.worksheet+xml" PartName="/xl/worksheets/sheet45937.xml"/>
  <Override ContentType="application/vnd.openxmlformats-officedocument.spreadsheetml.worksheet+xml" PartName="/xl/worksheets/sheet45938.xml"/>
  <Override ContentType="application/vnd.openxmlformats-officedocument.spreadsheetml.worksheet+xml" PartName="/xl/worksheets/sheet45939.xml"/>
  <Override ContentType="application/vnd.openxmlformats-officedocument.spreadsheetml.worksheet+xml" PartName="/xl/worksheets/sheet45940.xml"/>
  <Override ContentType="application/vnd.openxmlformats-officedocument.spreadsheetml.worksheet+xml" PartName="/xl/worksheets/sheet45941.xml"/>
  <Override ContentType="application/vnd.openxmlformats-officedocument.spreadsheetml.worksheet+xml" PartName="/xl/worksheets/sheet45942.xml"/>
  <Override ContentType="application/vnd.openxmlformats-officedocument.spreadsheetml.worksheet+xml" PartName="/xl/worksheets/sheet45943.xml"/>
  <Override ContentType="application/vnd.openxmlformats-officedocument.spreadsheetml.worksheet+xml" PartName="/xl/worksheets/sheet45944.xml"/>
  <Override ContentType="application/vnd.openxmlformats-officedocument.spreadsheetml.worksheet+xml" PartName="/xl/worksheets/sheet45945.xml"/>
  <Override ContentType="application/vnd.openxmlformats-officedocument.spreadsheetml.worksheet+xml" PartName="/xl/worksheets/sheet45946.xml"/>
  <Override ContentType="application/vnd.openxmlformats-officedocument.spreadsheetml.worksheet+xml" PartName="/xl/worksheets/sheet45947.xml"/>
  <Override ContentType="application/vnd.openxmlformats-officedocument.spreadsheetml.worksheet+xml" PartName="/xl/worksheets/sheet45948.xml"/>
  <Override ContentType="application/vnd.openxmlformats-officedocument.spreadsheetml.worksheet+xml" PartName="/xl/worksheets/sheet45949.xml"/>
  <Override ContentType="application/vnd.openxmlformats-officedocument.spreadsheetml.worksheet+xml" PartName="/xl/worksheets/sheet45950.xml"/>
  <Override ContentType="application/vnd.openxmlformats-officedocument.spreadsheetml.worksheet+xml" PartName="/xl/worksheets/sheet45951.xml"/>
  <Override ContentType="application/vnd.openxmlformats-officedocument.spreadsheetml.worksheet+xml" PartName="/xl/worksheets/sheet45952.xml"/>
  <Override ContentType="application/vnd.openxmlformats-officedocument.spreadsheetml.worksheet+xml" PartName="/xl/worksheets/sheet45953.xml"/>
  <Override ContentType="application/vnd.openxmlformats-officedocument.spreadsheetml.worksheet+xml" PartName="/xl/worksheets/sheet45954.xml"/>
  <Override ContentType="application/vnd.openxmlformats-officedocument.spreadsheetml.worksheet+xml" PartName="/xl/worksheets/sheet45955.xml"/>
  <Override ContentType="application/vnd.openxmlformats-officedocument.spreadsheetml.worksheet+xml" PartName="/xl/worksheets/sheet45956.xml"/>
  <Override ContentType="application/vnd.openxmlformats-officedocument.spreadsheetml.worksheet+xml" PartName="/xl/worksheets/sheet45957.xml"/>
  <Override ContentType="application/vnd.openxmlformats-officedocument.spreadsheetml.worksheet+xml" PartName="/xl/worksheets/sheet45958.xml"/>
  <Override ContentType="application/vnd.openxmlformats-officedocument.spreadsheetml.worksheet+xml" PartName="/xl/worksheets/sheet45959.xml"/>
  <Override ContentType="application/vnd.openxmlformats-officedocument.spreadsheetml.worksheet+xml" PartName="/xl/worksheets/sheet45960.xml"/>
  <Override ContentType="application/vnd.openxmlformats-officedocument.spreadsheetml.worksheet+xml" PartName="/xl/worksheets/sheet45961.xml"/>
  <Override ContentType="application/vnd.openxmlformats-officedocument.spreadsheetml.worksheet+xml" PartName="/xl/worksheets/sheet45962.xml"/>
  <Override ContentType="application/vnd.openxmlformats-officedocument.spreadsheetml.worksheet+xml" PartName="/xl/worksheets/sheet45963.xml"/>
  <Override ContentType="application/vnd.openxmlformats-officedocument.spreadsheetml.worksheet+xml" PartName="/xl/worksheets/sheet45964.xml"/>
  <Override ContentType="application/vnd.openxmlformats-officedocument.spreadsheetml.worksheet+xml" PartName="/xl/worksheets/sheet45965.xml"/>
  <Override ContentType="application/vnd.openxmlformats-officedocument.spreadsheetml.worksheet+xml" PartName="/xl/worksheets/sheet45966.xml"/>
  <Override ContentType="application/vnd.openxmlformats-officedocument.spreadsheetml.worksheet+xml" PartName="/xl/worksheets/sheet45967.xml"/>
  <Override ContentType="application/vnd.openxmlformats-officedocument.spreadsheetml.worksheet+xml" PartName="/xl/worksheets/sheet45968.xml"/>
  <Override ContentType="application/vnd.openxmlformats-officedocument.spreadsheetml.worksheet+xml" PartName="/xl/worksheets/sheet45969.xml"/>
  <Override ContentType="application/vnd.openxmlformats-officedocument.spreadsheetml.worksheet+xml" PartName="/xl/worksheets/sheet45970.xml"/>
  <Override ContentType="application/vnd.openxmlformats-officedocument.spreadsheetml.worksheet+xml" PartName="/xl/worksheets/sheet45971.xml"/>
  <Override ContentType="application/vnd.openxmlformats-officedocument.spreadsheetml.worksheet+xml" PartName="/xl/worksheets/sheet45972.xml"/>
  <Override ContentType="application/vnd.openxmlformats-officedocument.spreadsheetml.worksheet+xml" PartName="/xl/worksheets/sheet45973.xml"/>
  <Override ContentType="application/vnd.openxmlformats-officedocument.spreadsheetml.worksheet+xml" PartName="/xl/worksheets/sheet45974.xml"/>
  <Override ContentType="application/vnd.openxmlformats-officedocument.spreadsheetml.worksheet+xml" PartName="/xl/worksheets/sheet45975.xml"/>
  <Override ContentType="application/vnd.openxmlformats-officedocument.spreadsheetml.worksheet+xml" PartName="/xl/worksheets/sheet45976.xml"/>
  <Override ContentType="application/vnd.openxmlformats-officedocument.spreadsheetml.worksheet+xml" PartName="/xl/worksheets/sheet45977.xml"/>
  <Override ContentType="application/vnd.openxmlformats-officedocument.spreadsheetml.worksheet+xml" PartName="/xl/worksheets/sheet45978.xml"/>
  <Override ContentType="application/vnd.openxmlformats-officedocument.spreadsheetml.worksheet+xml" PartName="/xl/worksheets/sheet45979.xml"/>
  <Override ContentType="application/vnd.openxmlformats-officedocument.spreadsheetml.worksheet+xml" PartName="/xl/worksheets/sheet45980.xml"/>
  <Override ContentType="application/vnd.openxmlformats-officedocument.spreadsheetml.worksheet+xml" PartName="/xl/worksheets/sheet45981.xml"/>
  <Override ContentType="application/vnd.openxmlformats-officedocument.spreadsheetml.worksheet+xml" PartName="/xl/worksheets/sheet45982.xml"/>
  <Override ContentType="application/vnd.openxmlformats-officedocument.spreadsheetml.worksheet+xml" PartName="/xl/worksheets/sheet45983.xml"/>
  <Override ContentType="application/vnd.openxmlformats-officedocument.spreadsheetml.worksheet+xml" PartName="/xl/worksheets/sheet45984.xml"/>
  <Override ContentType="application/vnd.openxmlformats-officedocument.spreadsheetml.worksheet+xml" PartName="/xl/worksheets/sheet45985.xml"/>
  <Override ContentType="application/vnd.openxmlformats-officedocument.spreadsheetml.worksheet+xml" PartName="/xl/worksheets/sheet45986.xml"/>
  <Override ContentType="application/vnd.openxmlformats-officedocument.spreadsheetml.worksheet+xml" PartName="/xl/worksheets/sheet45987.xml"/>
  <Override ContentType="application/vnd.openxmlformats-officedocument.spreadsheetml.worksheet+xml" PartName="/xl/worksheets/sheet45988.xml"/>
  <Override ContentType="application/vnd.openxmlformats-officedocument.spreadsheetml.worksheet+xml" PartName="/xl/worksheets/sheet45989.xml"/>
  <Override ContentType="application/vnd.openxmlformats-officedocument.spreadsheetml.worksheet+xml" PartName="/xl/worksheets/sheet45990.xml"/>
  <Override ContentType="application/vnd.openxmlformats-officedocument.spreadsheetml.worksheet+xml" PartName="/xl/worksheets/sheet45991.xml"/>
  <Override ContentType="application/vnd.openxmlformats-officedocument.spreadsheetml.worksheet+xml" PartName="/xl/worksheets/sheet45992.xml"/>
  <Override ContentType="application/vnd.openxmlformats-officedocument.spreadsheetml.worksheet+xml" PartName="/xl/worksheets/sheet45993.xml"/>
  <Override ContentType="application/vnd.openxmlformats-officedocument.spreadsheetml.worksheet+xml" PartName="/xl/worksheets/sheet45994.xml"/>
  <Override ContentType="application/vnd.openxmlformats-officedocument.spreadsheetml.worksheet+xml" PartName="/xl/worksheets/sheet45995.xml"/>
  <Override ContentType="application/vnd.openxmlformats-officedocument.spreadsheetml.worksheet+xml" PartName="/xl/worksheets/sheet45996.xml"/>
  <Override ContentType="application/vnd.openxmlformats-officedocument.spreadsheetml.worksheet+xml" PartName="/xl/worksheets/sheet45997.xml"/>
  <Override ContentType="application/vnd.openxmlformats-officedocument.spreadsheetml.worksheet+xml" PartName="/xl/worksheets/sheet45998.xml"/>
  <Override ContentType="application/vnd.openxmlformats-officedocument.spreadsheetml.worksheet+xml" PartName="/xl/worksheets/sheet45999.xml"/>
  <Override ContentType="application/vnd.openxmlformats-officedocument.spreadsheetml.worksheet+xml" PartName="/xl/worksheets/sheet46000.xml"/>
  <Override ContentType="application/vnd.openxmlformats-officedocument.spreadsheetml.worksheet+xml" PartName="/xl/worksheets/sheet46001.xml"/>
  <Override ContentType="application/vnd.openxmlformats-officedocument.spreadsheetml.worksheet+xml" PartName="/xl/worksheets/sheet46002.xml"/>
  <Override ContentType="application/vnd.openxmlformats-officedocument.spreadsheetml.worksheet+xml" PartName="/xl/worksheets/sheet46003.xml"/>
  <Override ContentType="application/vnd.openxmlformats-officedocument.spreadsheetml.worksheet+xml" PartName="/xl/worksheets/sheet46004.xml"/>
  <Override ContentType="application/vnd.openxmlformats-officedocument.spreadsheetml.worksheet+xml" PartName="/xl/worksheets/sheet46005.xml"/>
  <Override ContentType="application/vnd.openxmlformats-officedocument.spreadsheetml.worksheet+xml" PartName="/xl/worksheets/sheet46006.xml"/>
  <Override ContentType="application/vnd.openxmlformats-officedocument.spreadsheetml.worksheet+xml" PartName="/xl/worksheets/sheet46007.xml"/>
  <Override ContentType="application/vnd.openxmlformats-officedocument.spreadsheetml.worksheet+xml" PartName="/xl/worksheets/sheet46008.xml"/>
  <Override ContentType="application/vnd.openxmlformats-officedocument.spreadsheetml.worksheet+xml" PartName="/xl/worksheets/sheet46009.xml"/>
  <Override ContentType="application/vnd.openxmlformats-officedocument.spreadsheetml.worksheet+xml" PartName="/xl/worksheets/sheet46010.xml"/>
  <Override ContentType="application/vnd.openxmlformats-officedocument.spreadsheetml.worksheet+xml" PartName="/xl/worksheets/sheet46011.xml"/>
  <Override ContentType="application/vnd.openxmlformats-officedocument.spreadsheetml.worksheet+xml" PartName="/xl/worksheets/sheet46012.xml"/>
  <Override ContentType="application/vnd.openxmlformats-officedocument.spreadsheetml.worksheet+xml" PartName="/xl/worksheets/sheet46013.xml"/>
  <Override ContentType="application/vnd.openxmlformats-officedocument.spreadsheetml.worksheet+xml" PartName="/xl/worksheets/sheet46014.xml"/>
  <Override ContentType="application/vnd.openxmlformats-officedocument.spreadsheetml.worksheet+xml" PartName="/xl/worksheets/sheet46015.xml"/>
  <Override ContentType="application/vnd.openxmlformats-officedocument.spreadsheetml.worksheet+xml" PartName="/xl/worksheets/sheet46016.xml"/>
  <Override ContentType="application/vnd.openxmlformats-officedocument.spreadsheetml.worksheet+xml" PartName="/xl/worksheets/sheet46017.xml"/>
  <Override ContentType="application/vnd.openxmlformats-officedocument.spreadsheetml.worksheet+xml" PartName="/xl/worksheets/sheet46018.xml"/>
  <Override ContentType="application/vnd.openxmlformats-officedocument.spreadsheetml.worksheet+xml" PartName="/xl/worksheets/sheet46019.xml"/>
  <Override ContentType="application/vnd.openxmlformats-officedocument.spreadsheetml.worksheet+xml" PartName="/xl/worksheets/sheet46020.xml"/>
  <Override ContentType="application/vnd.openxmlformats-officedocument.spreadsheetml.worksheet+xml" PartName="/xl/worksheets/sheet46021.xml"/>
  <Override ContentType="application/vnd.openxmlformats-officedocument.spreadsheetml.worksheet+xml" PartName="/xl/worksheets/sheet46022.xml"/>
  <Override ContentType="application/vnd.openxmlformats-officedocument.spreadsheetml.worksheet+xml" PartName="/xl/worksheets/sheet46023.xml"/>
  <Override ContentType="application/vnd.openxmlformats-officedocument.spreadsheetml.worksheet+xml" PartName="/xl/worksheets/sheet46024.xml"/>
  <Override ContentType="application/vnd.openxmlformats-officedocument.spreadsheetml.worksheet+xml" PartName="/xl/worksheets/sheet46025.xml"/>
  <Override ContentType="application/vnd.openxmlformats-officedocument.spreadsheetml.worksheet+xml" PartName="/xl/worksheets/sheet46026.xml"/>
  <Override ContentType="application/vnd.openxmlformats-officedocument.spreadsheetml.worksheet+xml" PartName="/xl/worksheets/sheet46027.xml"/>
  <Override ContentType="application/vnd.openxmlformats-officedocument.spreadsheetml.worksheet+xml" PartName="/xl/worksheets/sheet46028.xml"/>
  <Override ContentType="application/vnd.openxmlformats-officedocument.spreadsheetml.worksheet+xml" PartName="/xl/worksheets/sheet46029.xml"/>
  <Override ContentType="application/vnd.openxmlformats-officedocument.spreadsheetml.worksheet+xml" PartName="/xl/worksheets/sheet46030.xml"/>
  <Override ContentType="application/vnd.openxmlformats-officedocument.spreadsheetml.worksheet+xml" PartName="/xl/worksheets/sheet46031.xml"/>
  <Override ContentType="application/vnd.openxmlformats-officedocument.spreadsheetml.worksheet+xml" PartName="/xl/worksheets/sheet46032.xml"/>
  <Override ContentType="application/vnd.openxmlformats-officedocument.spreadsheetml.worksheet+xml" PartName="/xl/worksheets/sheet46033.xml"/>
  <Override ContentType="application/vnd.openxmlformats-officedocument.spreadsheetml.worksheet+xml" PartName="/xl/worksheets/sheet46034.xml"/>
  <Override ContentType="application/vnd.openxmlformats-officedocument.spreadsheetml.worksheet+xml" PartName="/xl/worksheets/sheet46035.xml"/>
  <Override ContentType="application/vnd.openxmlformats-officedocument.spreadsheetml.worksheet+xml" PartName="/xl/worksheets/sheet46036.xml"/>
  <Override ContentType="application/vnd.openxmlformats-officedocument.spreadsheetml.worksheet+xml" PartName="/xl/worksheets/sheet46037.xml"/>
  <Override ContentType="application/vnd.openxmlformats-officedocument.spreadsheetml.worksheet+xml" PartName="/xl/worksheets/sheet46038.xml"/>
  <Override ContentType="application/vnd.openxmlformats-officedocument.spreadsheetml.worksheet+xml" PartName="/xl/worksheets/sheet46039.xml"/>
  <Override ContentType="application/vnd.openxmlformats-officedocument.spreadsheetml.worksheet+xml" PartName="/xl/worksheets/sheet46040.xml"/>
  <Override ContentType="application/vnd.openxmlformats-officedocument.spreadsheetml.worksheet+xml" PartName="/xl/worksheets/sheet46041.xml"/>
  <Override ContentType="application/vnd.openxmlformats-officedocument.spreadsheetml.worksheet+xml" PartName="/xl/worksheets/sheet46042.xml"/>
  <Override ContentType="application/vnd.openxmlformats-officedocument.spreadsheetml.worksheet+xml" PartName="/xl/worksheets/sheet46043.xml"/>
  <Override ContentType="application/vnd.openxmlformats-officedocument.spreadsheetml.worksheet+xml" PartName="/xl/worksheets/sheet46044.xml"/>
  <Override ContentType="application/vnd.openxmlformats-officedocument.spreadsheetml.worksheet+xml" PartName="/xl/worksheets/sheet46045.xml"/>
  <Override ContentType="application/vnd.openxmlformats-officedocument.spreadsheetml.worksheet+xml" PartName="/xl/worksheets/sheet46046.xml"/>
  <Override ContentType="application/vnd.openxmlformats-officedocument.spreadsheetml.worksheet+xml" PartName="/xl/worksheets/sheet46047.xml"/>
  <Override ContentType="application/vnd.openxmlformats-officedocument.spreadsheetml.worksheet+xml" PartName="/xl/worksheets/sheet46048.xml"/>
  <Override ContentType="application/vnd.openxmlformats-officedocument.spreadsheetml.worksheet+xml" PartName="/xl/worksheets/sheet46049.xml"/>
  <Override ContentType="application/vnd.openxmlformats-officedocument.spreadsheetml.worksheet+xml" PartName="/xl/worksheets/sheet46050.xml"/>
  <Override ContentType="application/vnd.openxmlformats-officedocument.spreadsheetml.worksheet+xml" PartName="/xl/worksheets/sheet46051.xml"/>
  <Override ContentType="application/vnd.openxmlformats-officedocument.spreadsheetml.worksheet+xml" PartName="/xl/worksheets/sheet46052.xml"/>
  <Override ContentType="application/vnd.openxmlformats-officedocument.spreadsheetml.worksheet+xml" PartName="/xl/worksheets/sheet46053.xml"/>
  <Override ContentType="application/vnd.openxmlformats-officedocument.spreadsheetml.worksheet+xml" PartName="/xl/worksheets/sheet46054.xml"/>
  <Override ContentType="application/vnd.openxmlformats-officedocument.spreadsheetml.worksheet+xml" PartName="/xl/worksheets/sheet46055.xml"/>
  <Override ContentType="application/vnd.openxmlformats-officedocument.spreadsheetml.worksheet+xml" PartName="/xl/worksheets/sheet46056.xml"/>
  <Override ContentType="application/vnd.openxmlformats-officedocument.spreadsheetml.worksheet+xml" PartName="/xl/worksheets/sheet46057.xml"/>
  <Override ContentType="application/vnd.openxmlformats-officedocument.spreadsheetml.worksheet+xml" PartName="/xl/worksheets/sheet46058.xml"/>
  <Override ContentType="application/vnd.openxmlformats-officedocument.spreadsheetml.worksheet+xml" PartName="/xl/worksheets/sheet46059.xml"/>
  <Override ContentType="application/vnd.openxmlformats-officedocument.spreadsheetml.worksheet+xml" PartName="/xl/worksheets/sheet46060.xml"/>
  <Override ContentType="application/vnd.openxmlformats-officedocument.spreadsheetml.worksheet+xml" PartName="/xl/worksheets/sheet46061.xml"/>
  <Override ContentType="application/vnd.openxmlformats-officedocument.spreadsheetml.worksheet+xml" PartName="/xl/worksheets/sheet46062.xml"/>
  <Override ContentType="application/vnd.openxmlformats-officedocument.spreadsheetml.worksheet+xml" PartName="/xl/worksheets/sheet46063.xml"/>
  <Override ContentType="application/vnd.openxmlformats-officedocument.spreadsheetml.worksheet+xml" PartName="/xl/worksheets/sheet46064.xml"/>
  <Override ContentType="application/vnd.openxmlformats-officedocument.spreadsheetml.worksheet+xml" PartName="/xl/worksheets/sheet46065.xml"/>
  <Override ContentType="application/vnd.openxmlformats-officedocument.spreadsheetml.worksheet+xml" PartName="/xl/worksheets/sheet46066.xml"/>
  <Override ContentType="application/vnd.openxmlformats-officedocument.spreadsheetml.worksheet+xml" PartName="/xl/worksheets/sheet46067.xml"/>
  <Override ContentType="application/vnd.openxmlformats-officedocument.spreadsheetml.worksheet+xml" PartName="/xl/worksheets/sheet46068.xml"/>
  <Override ContentType="application/vnd.openxmlformats-officedocument.spreadsheetml.worksheet+xml" PartName="/xl/worksheets/sheet46069.xml"/>
  <Override ContentType="application/vnd.openxmlformats-officedocument.spreadsheetml.worksheet+xml" PartName="/xl/worksheets/sheet46070.xml"/>
  <Override ContentType="application/vnd.openxmlformats-officedocument.spreadsheetml.worksheet+xml" PartName="/xl/worksheets/sheet46071.xml"/>
  <Override ContentType="application/vnd.openxmlformats-officedocument.spreadsheetml.worksheet+xml" PartName="/xl/worksheets/sheet46072.xml"/>
  <Override ContentType="application/vnd.openxmlformats-officedocument.spreadsheetml.worksheet+xml" PartName="/xl/worksheets/sheet46073.xml"/>
  <Override ContentType="application/vnd.openxmlformats-officedocument.spreadsheetml.worksheet+xml" PartName="/xl/worksheets/sheet46074.xml"/>
  <Override ContentType="application/vnd.openxmlformats-officedocument.spreadsheetml.worksheet+xml" PartName="/xl/worksheets/sheet46075.xml"/>
  <Override ContentType="application/vnd.openxmlformats-officedocument.spreadsheetml.worksheet+xml" PartName="/xl/worksheets/sheet46076.xml"/>
  <Override ContentType="application/vnd.openxmlformats-officedocument.spreadsheetml.worksheet+xml" PartName="/xl/worksheets/sheet46077.xml"/>
  <Override ContentType="application/vnd.openxmlformats-officedocument.spreadsheetml.worksheet+xml" PartName="/xl/worksheets/sheet46078.xml"/>
  <Override ContentType="application/vnd.openxmlformats-officedocument.spreadsheetml.worksheet+xml" PartName="/xl/worksheets/sheet46079.xml"/>
  <Override ContentType="application/vnd.openxmlformats-officedocument.spreadsheetml.worksheet+xml" PartName="/xl/worksheets/sheet46080.xml"/>
  <Override ContentType="application/vnd.openxmlformats-officedocument.spreadsheetml.worksheet+xml" PartName="/xl/worksheets/sheet46081.xml"/>
  <Override ContentType="application/vnd.openxmlformats-officedocument.spreadsheetml.worksheet+xml" PartName="/xl/worksheets/sheet46082.xml"/>
  <Override ContentType="application/vnd.openxmlformats-officedocument.spreadsheetml.worksheet+xml" PartName="/xl/worksheets/sheet46083.xml"/>
  <Override ContentType="application/vnd.openxmlformats-officedocument.spreadsheetml.worksheet+xml" PartName="/xl/worksheets/sheet46084.xml"/>
  <Override ContentType="application/vnd.openxmlformats-officedocument.spreadsheetml.worksheet+xml" PartName="/xl/worksheets/sheet46085.xml"/>
  <Override ContentType="application/vnd.openxmlformats-officedocument.spreadsheetml.worksheet+xml" PartName="/xl/worksheets/sheet46086.xml"/>
  <Override ContentType="application/vnd.openxmlformats-officedocument.spreadsheetml.worksheet+xml" PartName="/xl/worksheets/sheet46087.xml"/>
  <Override ContentType="application/vnd.openxmlformats-officedocument.spreadsheetml.worksheet+xml" PartName="/xl/worksheets/sheet46088.xml"/>
  <Override ContentType="application/vnd.openxmlformats-officedocument.spreadsheetml.worksheet+xml" PartName="/xl/worksheets/sheet46089.xml"/>
  <Override ContentType="application/vnd.openxmlformats-officedocument.spreadsheetml.worksheet+xml" PartName="/xl/worksheets/sheet46090.xml"/>
  <Override ContentType="application/vnd.openxmlformats-officedocument.spreadsheetml.worksheet+xml" PartName="/xl/worksheets/sheet46091.xml"/>
  <Override ContentType="application/vnd.openxmlformats-officedocument.spreadsheetml.worksheet+xml" PartName="/xl/worksheets/sheet46092.xml"/>
  <Override ContentType="application/vnd.openxmlformats-officedocument.spreadsheetml.worksheet+xml" PartName="/xl/worksheets/sheet46093.xml"/>
  <Override ContentType="application/vnd.openxmlformats-officedocument.spreadsheetml.worksheet+xml" PartName="/xl/worksheets/sheet46094.xml"/>
  <Override ContentType="application/vnd.openxmlformats-officedocument.spreadsheetml.worksheet+xml" PartName="/xl/worksheets/sheet46095.xml"/>
  <Override ContentType="application/vnd.openxmlformats-officedocument.spreadsheetml.worksheet+xml" PartName="/xl/worksheets/sheet46096.xml"/>
  <Override ContentType="application/vnd.openxmlformats-officedocument.spreadsheetml.worksheet+xml" PartName="/xl/worksheets/sheet46097.xml"/>
  <Override ContentType="application/vnd.openxmlformats-officedocument.spreadsheetml.worksheet+xml" PartName="/xl/worksheets/sheet46098.xml"/>
  <Override ContentType="application/vnd.openxmlformats-officedocument.spreadsheetml.worksheet+xml" PartName="/xl/worksheets/sheet46099.xml"/>
  <Override ContentType="application/vnd.openxmlformats-officedocument.spreadsheetml.worksheet+xml" PartName="/xl/worksheets/sheet46100.xml"/>
  <Override ContentType="application/vnd.openxmlformats-officedocument.spreadsheetml.worksheet+xml" PartName="/xl/worksheets/sheet46101.xml"/>
  <Override ContentType="application/vnd.openxmlformats-officedocument.spreadsheetml.worksheet+xml" PartName="/xl/worksheets/sheet46102.xml"/>
  <Override ContentType="application/vnd.openxmlformats-officedocument.spreadsheetml.worksheet+xml" PartName="/xl/worksheets/sheet46103.xml"/>
  <Override ContentType="application/vnd.openxmlformats-officedocument.spreadsheetml.worksheet+xml" PartName="/xl/worksheets/sheet46104.xml"/>
  <Override ContentType="application/vnd.openxmlformats-officedocument.spreadsheetml.worksheet+xml" PartName="/xl/worksheets/sheet46105.xml"/>
  <Override ContentType="application/vnd.openxmlformats-officedocument.spreadsheetml.worksheet+xml" PartName="/xl/worksheets/sheet46106.xml"/>
  <Override ContentType="application/vnd.openxmlformats-officedocument.spreadsheetml.worksheet+xml" PartName="/xl/worksheets/sheet46107.xml"/>
  <Override ContentType="application/vnd.openxmlformats-officedocument.spreadsheetml.worksheet+xml" PartName="/xl/worksheets/sheet46108.xml"/>
  <Override ContentType="application/vnd.openxmlformats-officedocument.spreadsheetml.worksheet+xml" PartName="/xl/worksheets/sheet46109.xml"/>
  <Override ContentType="application/vnd.openxmlformats-officedocument.spreadsheetml.worksheet+xml" PartName="/xl/worksheets/sheet46110.xml"/>
  <Override ContentType="application/vnd.openxmlformats-officedocument.spreadsheetml.worksheet+xml" PartName="/xl/worksheets/sheet46111.xml"/>
  <Override ContentType="application/vnd.openxmlformats-officedocument.spreadsheetml.worksheet+xml" PartName="/xl/worksheets/sheet46112.xml"/>
  <Override ContentType="application/vnd.openxmlformats-officedocument.spreadsheetml.worksheet+xml" PartName="/xl/worksheets/sheet46113.xml"/>
  <Override ContentType="application/vnd.openxmlformats-officedocument.spreadsheetml.worksheet+xml" PartName="/xl/worksheets/sheet46114.xml"/>
  <Override ContentType="application/vnd.openxmlformats-officedocument.spreadsheetml.worksheet+xml" PartName="/xl/worksheets/sheet46115.xml"/>
  <Override ContentType="application/vnd.openxmlformats-officedocument.spreadsheetml.worksheet+xml" PartName="/xl/worksheets/sheet46116.xml"/>
  <Override ContentType="application/vnd.openxmlformats-officedocument.spreadsheetml.worksheet+xml" PartName="/xl/worksheets/sheet46117.xml"/>
  <Override ContentType="application/vnd.openxmlformats-officedocument.spreadsheetml.worksheet+xml" PartName="/xl/worksheets/sheet46118.xml"/>
  <Override ContentType="application/vnd.openxmlformats-officedocument.spreadsheetml.worksheet+xml" PartName="/xl/worksheets/sheet46119.xml"/>
  <Override ContentType="application/vnd.openxmlformats-officedocument.spreadsheetml.worksheet+xml" PartName="/xl/worksheets/sheet46120.xml"/>
  <Override ContentType="application/vnd.openxmlformats-officedocument.spreadsheetml.worksheet+xml" PartName="/xl/worksheets/sheet46121.xml"/>
  <Override ContentType="application/vnd.openxmlformats-officedocument.spreadsheetml.worksheet+xml" PartName="/xl/worksheets/sheet46122.xml"/>
  <Override ContentType="application/vnd.openxmlformats-officedocument.spreadsheetml.worksheet+xml" PartName="/xl/worksheets/sheet46123.xml"/>
  <Override ContentType="application/vnd.openxmlformats-officedocument.spreadsheetml.worksheet+xml" PartName="/xl/worksheets/sheet46124.xml"/>
  <Override ContentType="application/vnd.openxmlformats-officedocument.spreadsheetml.worksheet+xml" PartName="/xl/worksheets/sheet46125.xml"/>
  <Override ContentType="application/vnd.openxmlformats-officedocument.spreadsheetml.worksheet+xml" PartName="/xl/worksheets/sheet46126.xml"/>
  <Override ContentType="application/vnd.openxmlformats-officedocument.spreadsheetml.worksheet+xml" PartName="/xl/worksheets/sheet46127.xml"/>
  <Override ContentType="application/vnd.openxmlformats-officedocument.spreadsheetml.worksheet+xml" PartName="/xl/worksheets/sheet46128.xml"/>
  <Override ContentType="application/vnd.openxmlformats-officedocument.spreadsheetml.worksheet+xml" PartName="/xl/worksheets/sheet46129.xml"/>
  <Override ContentType="application/vnd.openxmlformats-officedocument.spreadsheetml.worksheet+xml" PartName="/xl/worksheets/sheet46130.xml"/>
  <Override ContentType="application/vnd.openxmlformats-officedocument.spreadsheetml.worksheet+xml" PartName="/xl/worksheets/sheet46131.xml"/>
  <Override ContentType="application/vnd.openxmlformats-officedocument.spreadsheetml.worksheet+xml" PartName="/xl/worksheets/sheet46132.xml"/>
  <Override ContentType="application/vnd.openxmlformats-officedocument.spreadsheetml.worksheet+xml" PartName="/xl/worksheets/sheet46133.xml"/>
  <Override ContentType="application/vnd.openxmlformats-officedocument.spreadsheetml.worksheet+xml" PartName="/xl/worksheets/sheet46134.xml"/>
  <Override ContentType="application/vnd.openxmlformats-officedocument.spreadsheetml.worksheet+xml" PartName="/xl/worksheets/sheet46135.xml"/>
  <Override ContentType="application/vnd.openxmlformats-officedocument.spreadsheetml.worksheet+xml" PartName="/xl/worksheets/sheet46136.xml"/>
  <Override ContentType="application/vnd.openxmlformats-officedocument.spreadsheetml.worksheet+xml" PartName="/xl/worksheets/sheet46137.xml"/>
  <Override ContentType="application/vnd.openxmlformats-officedocument.spreadsheetml.worksheet+xml" PartName="/xl/worksheets/sheet46138.xml"/>
  <Override ContentType="application/vnd.openxmlformats-officedocument.spreadsheetml.worksheet+xml" PartName="/xl/worksheets/sheet46139.xml"/>
  <Override ContentType="application/vnd.openxmlformats-officedocument.spreadsheetml.worksheet+xml" PartName="/xl/worksheets/sheet46140.xml"/>
  <Override ContentType="application/vnd.openxmlformats-officedocument.spreadsheetml.worksheet+xml" PartName="/xl/worksheets/sheet46141.xml"/>
  <Override ContentType="application/vnd.openxmlformats-officedocument.spreadsheetml.worksheet+xml" PartName="/xl/worksheets/sheet46142.xml"/>
  <Override ContentType="application/vnd.openxmlformats-officedocument.spreadsheetml.worksheet+xml" PartName="/xl/worksheets/sheet46143.xml"/>
  <Override ContentType="application/vnd.openxmlformats-officedocument.spreadsheetml.worksheet+xml" PartName="/xl/worksheets/sheet46144.xml"/>
  <Override ContentType="application/vnd.openxmlformats-officedocument.spreadsheetml.worksheet+xml" PartName="/xl/worksheets/sheet46145.xml"/>
  <Override ContentType="application/vnd.openxmlformats-officedocument.spreadsheetml.worksheet+xml" PartName="/xl/worksheets/sheet46146.xml"/>
  <Override ContentType="application/vnd.openxmlformats-officedocument.spreadsheetml.worksheet+xml" PartName="/xl/worksheets/sheet46147.xml"/>
  <Override ContentType="application/vnd.openxmlformats-officedocument.spreadsheetml.worksheet+xml" PartName="/xl/worksheets/sheet46148.xml"/>
  <Override ContentType="application/vnd.openxmlformats-officedocument.spreadsheetml.worksheet+xml" PartName="/xl/worksheets/sheet46149.xml"/>
  <Override ContentType="application/vnd.openxmlformats-officedocument.spreadsheetml.worksheet+xml" PartName="/xl/worksheets/sheet46150.xml"/>
  <Override ContentType="application/vnd.openxmlformats-officedocument.spreadsheetml.worksheet+xml" PartName="/xl/worksheets/sheet46151.xml"/>
  <Override ContentType="application/vnd.openxmlformats-officedocument.spreadsheetml.worksheet+xml" PartName="/xl/worksheets/sheet46152.xml"/>
  <Override ContentType="application/vnd.openxmlformats-officedocument.spreadsheetml.worksheet+xml" PartName="/xl/worksheets/sheet46153.xml"/>
  <Override ContentType="application/vnd.openxmlformats-officedocument.spreadsheetml.worksheet+xml" PartName="/xl/worksheets/sheet46154.xml"/>
  <Override ContentType="application/vnd.openxmlformats-officedocument.spreadsheetml.worksheet+xml" PartName="/xl/worksheets/sheet46155.xml"/>
  <Override ContentType="application/vnd.openxmlformats-officedocument.spreadsheetml.worksheet+xml" PartName="/xl/worksheets/sheet46156.xml"/>
  <Override ContentType="application/vnd.openxmlformats-officedocument.spreadsheetml.worksheet+xml" PartName="/xl/worksheets/sheet46157.xml"/>
  <Override ContentType="application/vnd.openxmlformats-officedocument.spreadsheetml.worksheet+xml" PartName="/xl/worksheets/sheet46158.xml"/>
  <Override ContentType="application/vnd.openxmlformats-officedocument.spreadsheetml.worksheet+xml" PartName="/xl/worksheets/sheet46159.xml"/>
  <Override ContentType="application/vnd.openxmlformats-officedocument.spreadsheetml.worksheet+xml" PartName="/xl/worksheets/sheet46160.xml"/>
  <Override ContentType="application/vnd.openxmlformats-officedocument.spreadsheetml.worksheet+xml" PartName="/xl/worksheets/sheet46161.xml"/>
  <Override ContentType="application/vnd.openxmlformats-officedocument.spreadsheetml.worksheet+xml" PartName="/xl/worksheets/sheet46162.xml"/>
  <Override ContentType="application/vnd.openxmlformats-officedocument.spreadsheetml.worksheet+xml" PartName="/xl/worksheets/sheet46163.xml"/>
  <Override ContentType="application/vnd.openxmlformats-officedocument.spreadsheetml.worksheet+xml" PartName="/xl/worksheets/sheet46164.xml"/>
  <Override ContentType="application/vnd.openxmlformats-officedocument.spreadsheetml.worksheet+xml" PartName="/xl/worksheets/sheet46165.xml"/>
  <Override ContentType="application/vnd.openxmlformats-officedocument.spreadsheetml.worksheet+xml" PartName="/xl/worksheets/sheet46166.xml"/>
  <Override ContentType="application/vnd.openxmlformats-officedocument.spreadsheetml.worksheet+xml" PartName="/xl/worksheets/sheet46167.xml"/>
  <Override ContentType="application/vnd.openxmlformats-officedocument.spreadsheetml.worksheet+xml" PartName="/xl/worksheets/sheet46168.xml"/>
  <Override ContentType="application/vnd.openxmlformats-officedocument.spreadsheetml.worksheet+xml" PartName="/xl/worksheets/sheet46169.xml"/>
  <Override ContentType="application/vnd.openxmlformats-officedocument.spreadsheetml.worksheet+xml" PartName="/xl/worksheets/sheet46170.xml"/>
  <Override ContentType="application/vnd.openxmlformats-officedocument.spreadsheetml.worksheet+xml" PartName="/xl/worksheets/sheet46171.xml"/>
  <Override ContentType="application/vnd.openxmlformats-officedocument.spreadsheetml.worksheet+xml" PartName="/xl/worksheets/sheet46172.xml"/>
  <Override ContentType="application/vnd.openxmlformats-officedocument.spreadsheetml.worksheet+xml" PartName="/xl/worksheets/sheet46173.xml"/>
  <Override ContentType="application/vnd.openxmlformats-officedocument.spreadsheetml.worksheet+xml" PartName="/xl/worksheets/sheet46174.xml"/>
  <Override ContentType="application/vnd.openxmlformats-officedocument.spreadsheetml.worksheet+xml" PartName="/xl/worksheets/sheet46175.xml"/>
  <Override ContentType="application/vnd.openxmlformats-officedocument.spreadsheetml.worksheet+xml" PartName="/xl/worksheets/sheet46176.xml"/>
  <Override ContentType="application/vnd.openxmlformats-officedocument.spreadsheetml.worksheet+xml" PartName="/xl/worksheets/sheet46177.xml"/>
  <Override ContentType="application/vnd.openxmlformats-officedocument.spreadsheetml.worksheet+xml" PartName="/xl/worksheets/sheet46178.xml"/>
  <Override ContentType="application/vnd.openxmlformats-officedocument.spreadsheetml.worksheet+xml" PartName="/xl/worksheets/sheet46179.xml"/>
  <Override ContentType="application/vnd.openxmlformats-officedocument.spreadsheetml.worksheet+xml" PartName="/xl/worksheets/sheet46180.xml"/>
  <Override ContentType="application/vnd.openxmlformats-officedocument.spreadsheetml.worksheet+xml" PartName="/xl/worksheets/sheet46181.xml"/>
  <Override ContentType="application/vnd.openxmlformats-officedocument.spreadsheetml.worksheet+xml" PartName="/xl/worksheets/sheet46182.xml"/>
  <Override ContentType="application/vnd.openxmlformats-officedocument.spreadsheetml.worksheet+xml" PartName="/xl/worksheets/sheet46183.xml"/>
  <Override ContentType="application/vnd.openxmlformats-officedocument.spreadsheetml.worksheet+xml" PartName="/xl/worksheets/sheet46184.xml"/>
  <Override ContentType="application/vnd.openxmlformats-officedocument.spreadsheetml.worksheet+xml" PartName="/xl/worksheets/sheet46185.xml"/>
  <Override ContentType="application/vnd.openxmlformats-officedocument.spreadsheetml.worksheet+xml" PartName="/xl/worksheets/sheet46186.xml"/>
  <Override ContentType="application/vnd.openxmlformats-officedocument.spreadsheetml.worksheet+xml" PartName="/xl/worksheets/sheet46187.xml"/>
  <Override ContentType="application/vnd.openxmlformats-officedocument.spreadsheetml.worksheet+xml" PartName="/xl/worksheets/sheet46188.xml"/>
  <Override ContentType="application/vnd.openxmlformats-officedocument.spreadsheetml.worksheet+xml" PartName="/xl/worksheets/sheet46189.xml"/>
  <Override ContentType="application/vnd.openxmlformats-officedocument.spreadsheetml.worksheet+xml" PartName="/xl/worksheets/sheet46190.xml"/>
  <Override ContentType="application/vnd.openxmlformats-officedocument.spreadsheetml.worksheet+xml" PartName="/xl/worksheets/sheet46191.xml"/>
  <Override ContentType="application/vnd.openxmlformats-officedocument.spreadsheetml.worksheet+xml" PartName="/xl/worksheets/sheet46192.xml"/>
  <Override ContentType="application/vnd.openxmlformats-officedocument.spreadsheetml.worksheet+xml" PartName="/xl/worksheets/sheet46193.xml"/>
  <Override ContentType="application/vnd.openxmlformats-officedocument.spreadsheetml.worksheet+xml" PartName="/xl/worksheets/sheet46194.xml"/>
  <Override ContentType="application/vnd.openxmlformats-officedocument.spreadsheetml.worksheet+xml" PartName="/xl/worksheets/sheet46195.xml"/>
  <Override ContentType="application/vnd.openxmlformats-officedocument.spreadsheetml.worksheet+xml" PartName="/xl/worksheets/sheet46196.xml"/>
  <Override ContentType="application/vnd.openxmlformats-officedocument.spreadsheetml.worksheet+xml" PartName="/xl/worksheets/sheet46197.xml"/>
  <Override ContentType="application/vnd.openxmlformats-officedocument.spreadsheetml.worksheet+xml" PartName="/xl/worksheets/sheet46198.xml"/>
  <Override ContentType="application/vnd.openxmlformats-officedocument.spreadsheetml.worksheet+xml" PartName="/xl/worksheets/sheet46199.xml"/>
  <Override ContentType="application/vnd.openxmlformats-officedocument.spreadsheetml.worksheet+xml" PartName="/xl/worksheets/sheet46200.xml"/>
  <Override ContentType="application/vnd.openxmlformats-officedocument.spreadsheetml.worksheet+xml" PartName="/xl/worksheets/sheet46201.xml"/>
  <Override ContentType="application/vnd.openxmlformats-officedocument.spreadsheetml.worksheet+xml" PartName="/xl/worksheets/sheet46202.xml"/>
  <Override ContentType="application/vnd.openxmlformats-officedocument.spreadsheetml.worksheet+xml" PartName="/xl/worksheets/sheet46203.xml"/>
  <Override ContentType="application/vnd.openxmlformats-officedocument.spreadsheetml.worksheet+xml" PartName="/xl/worksheets/sheet46204.xml"/>
  <Override ContentType="application/vnd.openxmlformats-officedocument.spreadsheetml.worksheet+xml" PartName="/xl/worksheets/sheet46205.xml"/>
  <Override ContentType="application/vnd.openxmlformats-officedocument.spreadsheetml.worksheet+xml" PartName="/xl/worksheets/sheet46206.xml"/>
  <Override ContentType="application/vnd.openxmlformats-officedocument.spreadsheetml.worksheet+xml" PartName="/xl/worksheets/sheet46207.xml"/>
  <Override ContentType="application/vnd.openxmlformats-officedocument.spreadsheetml.worksheet+xml" PartName="/xl/worksheets/sheet46208.xml"/>
  <Override ContentType="application/vnd.openxmlformats-officedocument.spreadsheetml.worksheet+xml" PartName="/xl/worksheets/sheet46209.xml"/>
  <Override ContentType="application/vnd.openxmlformats-officedocument.spreadsheetml.worksheet+xml" PartName="/xl/worksheets/sheet46210.xml"/>
  <Override ContentType="application/vnd.openxmlformats-officedocument.spreadsheetml.worksheet+xml" PartName="/xl/worksheets/sheet46211.xml"/>
  <Override ContentType="application/vnd.openxmlformats-officedocument.spreadsheetml.worksheet+xml" PartName="/xl/worksheets/sheet46212.xml"/>
  <Override ContentType="application/vnd.openxmlformats-officedocument.spreadsheetml.worksheet+xml" PartName="/xl/worksheets/sheet46213.xml"/>
  <Override ContentType="application/vnd.openxmlformats-officedocument.spreadsheetml.worksheet+xml" PartName="/xl/worksheets/sheet46214.xml"/>
  <Override ContentType="application/vnd.openxmlformats-officedocument.spreadsheetml.worksheet+xml" PartName="/xl/worksheets/sheet46215.xml"/>
  <Override ContentType="application/vnd.openxmlformats-officedocument.spreadsheetml.worksheet+xml" PartName="/xl/worksheets/sheet46216.xml"/>
  <Override ContentType="application/vnd.openxmlformats-officedocument.spreadsheetml.worksheet+xml" PartName="/xl/worksheets/sheet46217.xml"/>
  <Override ContentType="application/vnd.openxmlformats-officedocument.spreadsheetml.worksheet+xml" PartName="/xl/worksheets/sheet46218.xml"/>
  <Override ContentType="application/vnd.openxmlformats-officedocument.spreadsheetml.worksheet+xml" PartName="/xl/worksheets/sheet46219.xml"/>
  <Override ContentType="application/vnd.openxmlformats-officedocument.spreadsheetml.worksheet+xml" PartName="/xl/worksheets/sheet46220.xml"/>
  <Override ContentType="application/vnd.openxmlformats-officedocument.spreadsheetml.worksheet+xml" PartName="/xl/worksheets/sheet46221.xml"/>
  <Override ContentType="application/vnd.openxmlformats-officedocument.spreadsheetml.worksheet+xml" PartName="/xl/worksheets/sheet46222.xml"/>
  <Override ContentType="application/vnd.openxmlformats-officedocument.spreadsheetml.worksheet+xml" PartName="/xl/worksheets/sheet46223.xml"/>
  <Override ContentType="application/vnd.openxmlformats-officedocument.spreadsheetml.worksheet+xml" PartName="/xl/worksheets/sheet46224.xml"/>
  <Override ContentType="application/vnd.openxmlformats-officedocument.spreadsheetml.worksheet+xml" PartName="/xl/worksheets/sheet46225.xml"/>
  <Override ContentType="application/vnd.openxmlformats-officedocument.spreadsheetml.worksheet+xml" PartName="/xl/worksheets/sheet46226.xml"/>
  <Override ContentType="application/vnd.openxmlformats-officedocument.spreadsheetml.worksheet+xml" PartName="/xl/worksheets/sheet46227.xml"/>
  <Override ContentType="application/vnd.openxmlformats-officedocument.spreadsheetml.worksheet+xml" PartName="/xl/worksheets/sheet46228.xml"/>
  <Override ContentType="application/vnd.openxmlformats-officedocument.spreadsheetml.worksheet+xml" PartName="/xl/worksheets/sheet46229.xml"/>
  <Override ContentType="application/vnd.openxmlformats-officedocument.spreadsheetml.worksheet+xml" PartName="/xl/worksheets/sheet46230.xml"/>
  <Override ContentType="application/vnd.openxmlformats-officedocument.spreadsheetml.worksheet+xml" PartName="/xl/worksheets/sheet46231.xml"/>
  <Override ContentType="application/vnd.openxmlformats-officedocument.spreadsheetml.worksheet+xml" PartName="/xl/worksheets/sheet46232.xml"/>
  <Override ContentType="application/vnd.openxmlformats-officedocument.spreadsheetml.worksheet+xml" PartName="/xl/worksheets/sheet46233.xml"/>
  <Override ContentType="application/vnd.openxmlformats-officedocument.spreadsheetml.worksheet+xml" PartName="/xl/worksheets/sheet46234.xml"/>
  <Override ContentType="application/vnd.openxmlformats-officedocument.spreadsheetml.worksheet+xml" PartName="/xl/worksheets/sheet46235.xml"/>
  <Override ContentType="application/vnd.openxmlformats-officedocument.spreadsheetml.worksheet+xml" PartName="/xl/worksheets/sheet46236.xml"/>
  <Override ContentType="application/vnd.openxmlformats-officedocument.spreadsheetml.worksheet+xml" PartName="/xl/worksheets/sheet46237.xml"/>
  <Override ContentType="application/vnd.openxmlformats-officedocument.spreadsheetml.worksheet+xml" PartName="/xl/worksheets/sheet46238.xml"/>
  <Override ContentType="application/vnd.openxmlformats-officedocument.spreadsheetml.worksheet+xml" PartName="/xl/worksheets/sheet46239.xml"/>
  <Override ContentType="application/vnd.openxmlformats-officedocument.spreadsheetml.worksheet+xml" PartName="/xl/worksheets/sheet46240.xml"/>
  <Override ContentType="application/vnd.openxmlformats-officedocument.spreadsheetml.worksheet+xml" PartName="/xl/worksheets/sheet46241.xml"/>
  <Override ContentType="application/vnd.openxmlformats-officedocument.spreadsheetml.worksheet+xml" PartName="/xl/worksheets/sheet46242.xml"/>
  <Override ContentType="application/vnd.openxmlformats-officedocument.spreadsheetml.worksheet+xml" PartName="/xl/worksheets/sheet46243.xml"/>
  <Override ContentType="application/vnd.openxmlformats-officedocument.spreadsheetml.worksheet+xml" PartName="/xl/worksheets/sheet46244.xml"/>
  <Override ContentType="application/vnd.openxmlformats-officedocument.spreadsheetml.worksheet+xml" PartName="/xl/worksheets/sheet46245.xml"/>
  <Override ContentType="application/vnd.openxmlformats-officedocument.spreadsheetml.worksheet+xml" PartName="/xl/worksheets/sheet46246.xml"/>
  <Override ContentType="application/vnd.openxmlformats-officedocument.spreadsheetml.worksheet+xml" PartName="/xl/worksheets/sheet46247.xml"/>
  <Override ContentType="application/vnd.openxmlformats-officedocument.spreadsheetml.worksheet+xml" PartName="/xl/worksheets/sheet46248.xml"/>
  <Override ContentType="application/vnd.openxmlformats-officedocument.spreadsheetml.worksheet+xml" PartName="/xl/worksheets/sheet46249.xml"/>
  <Override ContentType="application/vnd.openxmlformats-officedocument.spreadsheetml.worksheet+xml" PartName="/xl/worksheets/sheet46250.xml"/>
  <Override ContentType="application/vnd.openxmlformats-officedocument.spreadsheetml.worksheet+xml" PartName="/xl/worksheets/sheet46251.xml"/>
  <Override ContentType="application/vnd.openxmlformats-officedocument.spreadsheetml.worksheet+xml" PartName="/xl/worksheets/sheet46252.xml"/>
  <Override ContentType="application/vnd.openxmlformats-officedocument.spreadsheetml.worksheet+xml" PartName="/xl/worksheets/sheet46253.xml"/>
  <Override ContentType="application/vnd.openxmlformats-officedocument.spreadsheetml.worksheet+xml" PartName="/xl/worksheets/sheet46254.xml"/>
  <Override ContentType="application/vnd.openxmlformats-officedocument.spreadsheetml.worksheet+xml" PartName="/xl/worksheets/sheet46255.xml"/>
  <Override ContentType="application/vnd.openxmlformats-officedocument.spreadsheetml.worksheet+xml" PartName="/xl/worksheets/sheet46256.xml"/>
  <Override ContentType="application/vnd.openxmlformats-officedocument.spreadsheetml.worksheet+xml" PartName="/xl/worksheets/sheet46257.xml"/>
  <Override ContentType="application/vnd.openxmlformats-officedocument.spreadsheetml.worksheet+xml" PartName="/xl/worksheets/sheet46258.xml"/>
  <Override ContentType="application/vnd.openxmlformats-officedocument.spreadsheetml.worksheet+xml" PartName="/xl/worksheets/sheet46259.xml"/>
  <Override ContentType="application/vnd.openxmlformats-officedocument.spreadsheetml.worksheet+xml" PartName="/xl/worksheets/sheet46260.xml"/>
  <Override ContentType="application/vnd.openxmlformats-officedocument.spreadsheetml.worksheet+xml" PartName="/xl/worksheets/sheet46261.xml"/>
  <Override ContentType="application/vnd.openxmlformats-officedocument.spreadsheetml.worksheet+xml" PartName="/xl/worksheets/sheet46262.xml"/>
  <Override ContentType="application/vnd.openxmlformats-officedocument.spreadsheetml.worksheet+xml" PartName="/xl/worksheets/sheet46263.xml"/>
  <Override ContentType="application/vnd.openxmlformats-officedocument.spreadsheetml.worksheet+xml" PartName="/xl/worksheets/sheet46264.xml"/>
  <Override ContentType="application/vnd.openxmlformats-officedocument.spreadsheetml.worksheet+xml" PartName="/xl/worksheets/sheet46265.xml"/>
  <Override ContentType="application/vnd.openxmlformats-officedocument.spreadsheetml.worksheet+xml" PartName="/xl/worksheets/sheet46266.xml"/>
  <Override ContentType="application/vnd.openxmlformats-officedocument.spreadsheetml.worksheet+xml" PartName="/xl/worksheets/sheet46267.xml"/>
  <Override ContentType="application/vnd.openxmlformats-officedocument.spreadsheetml.worksheet+xml" PartName="/xl/worksheets/sheet46268.xml"/>
  <Override ContentType="application/vnd.openxmlformats-officedocument.spreadsheetml.worksheet+xml" PartName="/xl/worksheets/sheet46269.xml"/>
  <Override ContentType="application/vnd.openxmlformats-officedocument.spreadsheetml.worksheet+xml" PartName="/xl/worksheets/sheet46270.xml"/>
  <Override ContentType="application/vnd.openxmlformats-officedocument.spreadsheetml.worksheet+xml" PartName="/xl/worksheets/sheet46271.xml"/>
  <Override ContentType="application/vnd.openxmlformats-officedocument.spreadsheetml.worksheet+xml" PartName="/xl/worksheets/sheet46272.xml"/>
  <Override ContentType="application/vnd.openxmlformats-officedocument.spreadsheetml.worksheet+xml" PartName="/xl/worksheets/sheet46273.xml"/>
  <Override ContentType="application/vnd.openxmlformats-officedocument.spreadsheetml.worksheet+xml" PartName="/xl/worksheets/sheet46274.xml"/>
  <Override ContentType="application/vnd.openxmlformats-officedocument.spreadsheetml.worksheet+xml" PartName="/xl/worksheets/sheet46275.xml"/>
  <Override ContentType="application/vnd.openxmlformats-officedocument.spreadsheetml.worksheet+xml" PartName="/xl/worksheets/sheet46276.xml"/>
  <Override ContentType="application/vnd.openxmlformats-officedocument.spreadsheetml.worksheet+xml" PartName="/xl/worksheets/sheet46277.xml"/>
  <Override ContentType="application/vnd.openxmlformats-officedocument.spreadsheetml.worksheet+xml" PartName="/xl/worksheets/sheet46278.xml"/>
  <Override ContentType="application/vnd.openxmlformats-officedocument.spreadsheetml.worksheet+xml" PartName="/xl/worksheets/sheet46279.xml"/>
  <Override ContentType="application/vnd.openxmlformats-officedocument.spreadsheetml.worksheet+xml" PartName="/xl/worksheets/sheet46280.xml"/>
  <Override ContentType="application/vnd.openxmlformats-officedocument.spreadsheetml.worksheet+xml" PartName="/xl/worksheets/sheet46281.xml"/>
  <Override ContentType="application/vnd.openxmlformats-officedocument.spreadsheetml.worksheet+xml" PartName="/xl/worksheets/sheet46282.xml"/>
  <Override ContentType="application/vnd.openxmlformats-officedocument.spreadsheetml.worksheet+xml" PartName="/xl/worksheets/sheet46283.xml"/>
  <Override ContentType="application/vnd.openxmlformats-officedocument.spreadsheetml.worksheet+xml" PartName="/xl/worksheets/sheet46284.xml"/>
  <Override ContentType="application/vnd.openxmlformats-officedocument.spreadsheetml.worksheet+xml" PartName="/xl/worksheets/sheet46285.xml"/>
  <Override ContentType="application/vnd.openxmlformats-officedocument.spreadsheetml.worksheet+xml" PartName="/xl/worksheets/sheet46286.xml"/>
  <Override ContentType="application/vnd.openxmlformats-officedocument.spreadsheetml.worksheet+xml" PartName="/xl/worksheets/sheet46287.xml"/>
  <Override ContentType="application/vnd.openxmlformats-officedocument.spreadsheetml.worksheet+xml" PartName="/xl/worksheets/sheet46288.xml"/>
  <Override ContentType="application/vnd.openxmlformats-officedocument.spreadsheetml.worksheet+xml" PartName="/xl/worksheets/sheet46289.xml"/>
  <Override ContentType="application/vnd.openxmlformats-officedocument.spreadsheetml.worksheet+xml" PartName="/xl/worksheets/sheet46290.xml"/>
  <Override ContentType="application/vnd.openxmlformats-officedocument.spreadsheetml.worksheet+xml" PartName="/xl/worksheets/sheet46291.xml"/>
  <Override ContentType="application/vnd.openxmlformats-officedocument.spreadsheetml.worksheet+xml" PartName="/xl/worksheets/sheet46292.xml"/>
  <Override ContentType="application/vnd.openxmlformats-officedocument.spreadsheetml.worksheet+xml" PartName="/xl/worksheets/sheet46293.xml"/>
  <Override ContentType="application/vnd.openxmlformats-officedocument.spreadsheetml.worksheet+xml" PartName="/xl/worksheets/sheet46294.xml"/>
  <Override ContentType="application/vnd.openxmlformats-officedocument.spreadsheetml.worksheet+xml" PartName="/xl/worksheets/sheet46295.xml"/>
  <Override ContentType="application/vnd.openxmlformats-officedocument.spreadsheetml.worksheet+xml" PartName="/xl/worksheets/sheet46296.xml"/>
  <Override ContentType="application/vnd.openxmlformats-officedocument.spreadsheetml.worksheet+xml" PartName="/xl/worksheets/sheet46297.xml"/>
  <Override ContentType="application/vnd.openxmlformats-officedocument.spreadsheetml.worksheet+xml" PartName="/xl/worksheets/sheet46298.xml"/>
  <Override ContentType="application/vnd.openxmlformats-officedocument.spreadsheetml.worksheet+xml" PartName="/xl/worksheets/sheet46299.xml"/>
  <Override ContentType="application/vnd.openxmlformats-officedocument.spreadsheetml.worksheet+xml" PartName="/xl/worksheets/sheet46300.xml"/>
  <Override ContentType="application/vnd.openxmlformats-officedocument.spreadsheetml.worksheet+xml" PartName="/xl/worksheets/sheet46301.xml"/>
  <Override ContentType="application/vnd.openxmlformats-officedocument.spreadsheetml.worksheet+xml" PartName="/xl/worksheets/sheet46302.xml"/>
  <Override ContentType="application/vnd.openxmlformats-officedocument.spreadsheetml.worksheet+xml" PartName="/xl/worksheets/sheet46303.xml"/>
  <Override ContentType="application/vnd.openxmlformats-officedocument.spreadsheetml.worksheet+xml" PartName="/xl/worksheets/sheet46304.xml"/>
  <Override ContentType="application/vnd.openxmlformats-officedocument.spreadsheetml.worksheet+xml" PartName="/xl/worksheets/sheet46305.xml"/>
  <Override ContentType="application/vnd.openxmlformats-officedocument.spreadsheetml.worksheet+xml" PartName="/xl/worksheets/sheet46306.xml"/>
  <Override ContentType="application/vnd.openxmlformats-officedocument.spreadsheetml.worksheet+xml" PartName="/xl/worksheets/sheet46307.xml"/>
  <Override ContentType="application/vnd.openxmlformats-officedocument.spreadsheetml.worksheet+xml" PartName="/xl/worksheets/sheet46308.xml"/>
  <Override ContentType="application/vnd.openxmlformats-officedocument.spreadsheetml.worksheet+xml" PartName="/xl/worksheets/sheet46309.xml"/>
  <Override ContentType="application/vnd.openxmlformats-officedocument.spreadsheetml.worksheet+xml" PartName="/xl/worksheets/sheet46310.xml"/>
  <Override ContentType="application/vnd.openxmlformats-officedocument.spreadsheetml.worksheet+xml" PartName="/xl/worksheets/sheet46311.xml"/>
  <Override ContentType="application/vnd.openxmlformats-officedocument.spreadsheetml.worksheet+xml" PartName="/xl/worksheets/sheet46312.xml"/>
  <Override ContentType="application/vnd.openxmlformats-officedocument.spreadsheetml.worksheet+xml" PartName="/xl/worksheets/sheet46313.xml"/>
  <Override ContentType="application/vnd.openxmlformats-officedocument.spreadsheetml.worksheet+xml" PartName="/xl/worksheets/sheet46314.xml"/>
  <Override ContentType="application/vnd.openxmlformats-officedocument.spreadsheetml.worksheet+xml" PartName="/xl/worksheets/sheet46315.xml"/>
  <Override ContentType="application/vnd.openxmlformats-officedocument.spreadsheetml.worksheet+xml" PartName="/xl/worksheets/sheet46316.xml"/>
  <Override ContentType="application/vnd.openxmlformats-officedocument.spreadsheetml.worksheet+xml" PartName="/xl/worksheets/sheet46317.xml"/>
  <Override ContentType="application/vnd.openxmlformats-officedocument.spreadsheetml.worksheet+xml" PartName="/xl/worksheets/sheet46318.xml"/>
  <Override ContentType="application/vnd.openxmlformats-officedocument.spreadsheetml.worksheet+xml" PartName="/xl/worksheets/sheet46319.xml"/>
  <Override ContentType="application/vnd.openxmlformats-officedocument.spreadsheetml.worksheet+xml" PartName="/xl/worksheets/sheet46320.xml"/>
  <Override ContentType="application/vnd.openxmlformats-officedocument.spreadsheetml.worksheet+xml" PartName="/xl/worksheets/sheet46321.xml"/>
  <Override ContentType="application/vnd.openxmlformats-officedocument.spreadsheetml.worksheet+xml" PartName="/xl/worksheets/sheet46322.xml"/>
  <Override ContentType="application/vnd.openxmlformats-officedocument.spreadsheetml.worksheet+xml" PartName="/xl/worksheets/sheet46323.xml"/>
  <Override ContentType="application/vnd.openxmlformats-officedocument.spreadsheetml.worksheet+xml" PartName="/xl/worksheets/sheet46324.xml"/>
  <Override ContentType="application/vnd.openxmlformats-officedocument.spreadsheetml.worksheet+xml" PartName="/xl/worksheets/sheet46325.xml"/>
  <Override ContentType="application/vnd.openxmlformats-officedocument.spreadsheetml.worksheet+xml" PartName="/xl/worksheets/sheet46326.xml"/>
  <Override ContentType="application/vnd.openxmlformats-officedocument.spreadsheetml.worksheet+xml" PartName="/xl/worksheets/sheet46327.xml"/>
  <Override ContentType="application/vnd.openxmlformats-officedocument.spreadsheetml.worksheet+xml" PartName="/xl/worksheets/sheet46328.xml"/>
  <Override ContentType="application/vnd.openxmlformats-officedocument.spreadsheetml.worksheet+xml" PartName="/xl/worksheets/sheet46329.xml"/>
  <Override ContentType="application/vnd.openxmlformats-officedocument.spreadsheetml.worksheet+xml" PartName="/xl/worksheets/sheet46330.xml"/>
  <Override ContentType="application/vnd.openxmlformats-officedocument.spreadsheetml.worksheet+xml" PartName="/xl/worksheets/sheet46331.xml"/>
  <Override ContentType="application/vnd.openxmlformats-officedocument.spreadsheetml.worksheet+xml" PartName="/xl/worksheets/sheet46332.xml"/>
  <Override ContentType="application/vnd.openxmlformats-officedocument.spreadsheetml.worksheet+xml" PartName="/xl/worksheets/sheet46333.xml"/>
  <Override ContentType="application/vnd.openxmlformats-officedocument.spreadsheetml.worksheet+xml" PartName="/xl/worksheets/sheet46334.xml"/>
  <Override ContentType="application/vnd.openxmlformats-officedocument.spreadsheetml.worksheet+xml" PartName="/xl/worksheets/sheet46335.xml"/>
  <Override ContentType="application/vnd.openxmlformats-officedocument.spreadsheetml.worksheet+xml" PartName="/xl/worksheets/sheet46336.xml"/>
  <Override ContentType="application/vnd.openxmlformats-officedocument.spreadsheetml.worksheet+xml" PartName="/xl/worksheets/sheet46337.xml"/>
  <Override ContentType="application/vnd.openxmlformats-officedocument.spreadsheetml.worksheet+xml" PartName="/xl/worksheets/sheet46338.xml"/>
  <Override ContentType="application/vnd.openxmlformats-officedocument.spreadsheetml.worksheet+xml" PartName="/xl/worksheets/sheet46339.xml"/>
  <Override ContentType="application/vnd.openxmlformats-officedocument.spreadsheetml.worksheet+xml" PartName="/xl/worksheets/sheet46340.xml"/>
  <Override ContentType="application/vnd.openxmlformats-officedocument.spreadsheetml.worksheet+xml" PartName="/xl/worksheets/sheet46341.xml"/>
  <Override ContentType="application/vnd.openxmlformats-officedocument.spreadsheetml.worksheet+xml" PartName="/xl/worksheets/sheet46342.xml"/>
  <Override ContentType="application/vnd.openxmlformats-officedocument.spreadsheetml.worksheet+xml" PartName="/xl/worksheets/sheet46343.xml"/>
  <Override ContentType="application/vnd.openxmlformats-officedocument.spreadsheetml.worksheet+xml" PartName="/xl/worksheets/sheet46344.xml"/>
  <Override ContentType="application/vnd.openxmlformats-officedocument.spreadsheetml.worksheet+xml" PartName="/xl/worksheets/sheet46345.xml"/>
  <Override ContentType="application/vnd.openxmlformats-officedocument.spreadsheetml.worksheet+xml" PartName="/xl/worksheets/sheet46346.xml"/>
  <Override ContentType="application/vnd.openxmlformats-officedocument.spreadsheetml.worksheet+xml" PartName="/xl/worksheets/sheet46347.xml"/>
  <Override ContentType="application/vnd.openxmlformats-officedocument.spreadsheetml.worksheet+xml" PartName="/xl/worksheets/sheet46348.xml"/>
  <Override ContentType="application/vnd.openxmlformats-officedocument.spreadsheetml.worksheet+xml" PartName="/xl/worksheets/sheet46349.xml"/>
  <Override ContentType="application/vnd.openxmlformats-officedocument.spreadsheetml.worksheet+xml" PartName="/xl/worksheets/sheet46350.xml"/>
  <Override ContentType="application/vnd.openxmlformats-officedocument.spreadsheetml.worksheet+xml" PartName="/xl/worksheets/sheet46351.xml"/>
  <Override ContentType="application/vnd.openxmlformats-officedocument.spreadsheetml.worksheet+xml" PartName="/xl/worksheets/sheet46352.xml"/>
  <Override ContentType="application/vnd.openxmlformats-officedocument.spreadsheetml.worksheet+xml" PartName="/xl/worksheets/sheet46353.xml"/>
  <Override ContentType="application/vnd.openxmlformats-officedocument.spreadsheetml.worksheet+xml" PartName="/xl/worksheets/sheet46354.xml"/>
  <Override ContentType="application/vnd.openxmlformats-officedocument.spreadsheetml.worksheet+xml" PartName="/xl/worksheets/sheet46355.xml"/>
  <Override ContentType="application/vnd.openxmlformats-officedocument.spreadsheetml.worksheet+xml" PartName="/xl/worksheets/sheet46356.xml"/>
  <Override ContentType="application/vnd.openxmlformats-officedocument.spreadsheetml.worksheet+xml" PartName="/xl/worksheets/sheet46357.xml"/>
  <Override ContentType="application/vnd.openxmlformats-officedocument.spreadsheetml.worksheet+xml" PartName="/xl/worksheets/sheet46358.xml"/>
  <Override ContentType="application/vnd.openxmlformats-officedocument.spreadsheetml.worksheet+xml" PartName="/xl/worksheets/sheet46359.xml"/>
  <Override ContentType="application/vnd.openxmlformats-officedocument.spreadsheetml.worksheet+xml" PartName="/xl/worksheets/sheet46360.xml"/>
  <Override ContentType="application/vnd.openxmlformats-officedocument.spreadsheetml.worksheet+xml" PartName="/xl/worksheets/sheet46361.xml"/>
  <Override ContentType="application/vnd.openxmlformats-officedocument.spreadsheetml.worksheet+xml" PartName="/xl/worksheets/sheet46362.xml"/>
  <Override ContentType="application/vnd.openxmlformats-officedocument.spreadsheetml.worksheet+xml" PartName="/xl/worksheets/sheet46363.xml"/>
  <Override ContentType="application/vnd.openxmlformats-officedocument.spreadsheetml.worksheet+xml" PartName="/xl/worksheets/sheet46364.xml"/>
  <Override ContentType="application/vnd.openxmlformats-officedocument.spreadsheetml.worksheet+xml" PartName="/xl/worksheets/sheet46365.xml"/>
  <Override ContentType="application/vnd.openxmlformats-officedocument.spreadsheetml.worksheet+xml" PartName="/xl/worksheets/sheet46366.xml"/>
  <Override ContentType="application/vnd.openxmlformats-officedocument.spreadsheetml.worksheet+xml" PartName="/xl/worksheets/sheet46367.xml"/>
  <Override ContentType="application/vnd.openxmlformats-officedocument.spreadsheetml.worksheet+xml" PartName="/xl/worksheets/sheet46368.xml"/>
  <Override ContentType="application/vnd.openxmlformats-officedocument.spreadsheetml.worksheet+xml" PartName="/xl/worksheets/sheet46369.xml"/>
  <Override ContentType="application/vnd.openxmlformats-officedocument.spreadsheetml.worksheet+xml" PartName="/xl/worksheets/sheet46370.xml"/>
  <Override ContentType="application/vnd.openxmlformats-officedocument.spreadsheetml.worksheet+xml" PartName="/xl/worksheets/sheet46371.xml"/>
  <Override ContentType="application/vnd.openxmlformats-officedocument.spreadsheetml.worksheet+xml" PartName="/xl/worksheets/sheet46372.xml"/>
  <Override ContentType="application/vnd.openxmlformats-officedocument.spreadsheetml.worksheet+xml" PartName="/xl/worksheets/sheet46373.xml"/>
  <Override ContentType="application/vnd.openxmlformats-officedocument.spreadsheetml.worksheet+xml" PartName="/xl/worksheets/sheet46374.xml"/>
  <Override ContentType="application/vnd.openxmlformats-officedocument.spreadsheetml.worksheet+xml" PartName="/xl/worksheets/sheet46375.xml"/>
  <Override ContentType="application/vnd.openxmlformats-officedocument.spreadsheetml.worksheet+xml" PartName="/xl/worksheets/sheet46376.xml"/>
  <Override ContentType="application/vnd.openxmlformats-officedocument.spreadsheetml.worksheet+xml" PartName="/xl/worksheets/sheet46377.xml"/>
  <Override ContentType="application/vnd.openxmlformats-officedocument.spreadsheetml.worksheet+xml" PartName="/xl/worksheets/sheet46378.xml"/>
  <Override ContentType="application/vnd.openxmlformats-officedocument.spreadsheetml.worksheet+xml" PartName="/xl/worksheets/sheet46379.xml"/>
  <Override ContentType="application/vnd.openxmlformats-officedocument.spreadsheetml.worksheet+xml" PartName="/xl/worksheets/sheet46380.xml"/>
  <Override ContentType="application/vnd.openxmlformats-officedocument.spreadsheetml.worksheet+xml" PartName="/xl/worksheets/sheet46381.xml"/>
  <Override ContentType="application/vnd.openxmlformats-officedocument.spreadsheetml.worksheet+xml" PartName="/xl/worksheets/sheet46382.xml"/>
  <Override ContentType="application/vnd.openxmlformats-officedocument.spreadsheetml.worksheet+xml" PartName="/xl/worksheets/sheet46383.xml"/>
  <Override ContentType="application/vnd.openxmlformats-officedocument.spreadsheetml.worksheet+xml" PartName="/xl/worksheets/sheet46384.xml"/>
  <Override ContentType="application/vnd.openxmlformats-officedocument.spreadsheetml.worksheet+xml" PartName="/xl/worksheets/sheet46385.xml"/>
  <Override ContentType="application/vnd.openxmlformats-officedocument.spreadsheetml.worksheet+xml" PartName="/xl/worksheets/sheet46386.xml"/>
  <Override ContentType="application/vnd.openxmlformats-officedocument.spreadsheetml.worksheet+xml" PartName="/xl/worksheets/sheet46387.xml"/>
  <Override ContentType="application/vnd.openxmlformats-officedocument.spreadsheetml.worksheet+xml" PartName="/xl/worksheets/sheet46388.xml"/>
  <Override ContentType="application/vnd.openxmlformats-officedocument.spreadsheetml.worksheet+xml" PartName="/xl/worksheets/sheet46389.xml"/>
  <Override ContentType="application/vnd.openxmlformats-officedocument.spreadsheetml.worksheet+xml" PartName="/xl/worksheets/sheet46390.xml"/>
  <Override ContentType="application/vnd.openxmlformats-officedocument.spreadsheetml.worksheet+xml" PartName="/xl/worksheets/sheet46391.xml"/>
  <Override ContentType="application/vnd.openxmlformats-officedocument.spreadsheetml.worksheet+xml" PartName="/xl/worksheets/sheet46392.xml"/>
  <Override ContentType="application/vnd.openxmlformats-officedocument.spreadsheetml.worksheet+xml" PartName="/xl/worksheets/sheet46393.xml"/>
  <Override ContentType="application/vnd.openxmlformats-officedocument.spreadsheetml.worksheet+xml" PartName="/xl/worksheets/sheet46394.xml"/>
  <Override ContentType="application/vnd.openxmlformats-officedocument.spreadsheetml.worksheet+xml" PartName="/xl/worksheets/sheet46395.xml"/>
  <Override ContentType="application/vnd.openxmlformats-officedocument.spreadsheetml.worksheet+xml" PartName="/xl/worksheets/sheet46396.xml"/>
  <Override ContentType="application/vnd.openxmlformats-officedocument.spreadsheetml.worksheet+xml" PartName="/xl/worksheets/sheet46397.xml"/>
  <Override ContentType="application/vnd.openxmlformats-officedocument.spreadsheetml.worksheet+xml" PartName="/xl/worksheets/sheet46398.xml"/>
  <Override ContentType="application/vnd.openxmlformats-officedocument.spreadsheetml.worksheet+xml" PartName="/xl/worksheets/sheet46399.xml"/>
  <Override ContentType="application/vnd.openxmlformats-officedocument.spreadsheetml.worksheet+xml" PartName="/xl/worksheets/sheet46400.xml"/>
  <Override ContentType="application/vnd.openxmlformats-officedocument.spreadsheetml.worksheet+xml" PartName="/xl/worksheets/sheet46401.xml"/>
  <Override ContentType="application/vnd.openxmlformats-officedocument.spreadsheetml.worksheet+xml" PartName="/xl/worksheets/sheet46402.xml"/>
  <Override ContentType="application/vnd.openxmlformats-officedocument.spreadsheetml.worksheet+xml" PartName="/xl/worksheets/sheet46403.xml"/>
  <Override ContentType="application/vnd.openxmlformats-officedocument.spreadsheetml.worksheet+xml" PartName="/xl/worksheets/sheet46404.xml"/>
  <Override ContentType="application/vnd.openxmlformats-officedocument.spreadsheetml.worksheet+xml" PartName="/xl/worksheets/sheet46405.xml"/>
  <Override ContentType="application/vnd.openxmlformats-officedocument.spreadsheetml.worksheet+xml" PartName="/xl/worksheets/sheet46406.xml"/>
  <Override ContentType="application/vnd.openxmlformats-officedocument.spreadsheetml.worksheet+xml" PartName="/xl/worksheets/sheet46407.xml"/>
  <Override ContentType="application/vnd.openxmlformats-officedocument.spreadsheetml.worksheet+xml" PartName="/xl/worksheets/sheet46408.xml"/>
  <Override ContentType="application/vnd.openxmlformats-officedocument.spreadsheetml.worksheet+xml" PartName="/xl/worksheets/sheet46409.xml"/>
  <Override ContentType="application/vnd.openxmlformats-officedocument.spreadsheetml.worksheet+xml" PartName="/xl/worksheets/sheet46410.xml"/>
  <Override ContentType="application/vnd.openxmlformats-officedocument.spreadsheetml.worksheet+xml" PartName="/xl/worksheets/sheet46411.xml"/>
  <Override ContentType="application/vnd.openxmlformats-officedocument.spreadsheetml.worksheet+xml" PartName="/xl/worksheets/sheet46412.xml"/>
  <Override ContentType="application/vnd.openxmlformats-officedocument.spreadsheetml.worksheet+xml" PartName="/xl/worksheets/sheet46413.xml"/>
  <Override ContentType="application/vnd.openxmlformats-officedocument.spreadsheetml.worksheet+xml" PartName="/xl/worksheets/sheet46414.xml"/>
  <Override ContentType="application/vnd.openxmlformats-officedocument.spreadsheetml.worksheet+xml" PartName="/xl/worksheets/sheet46415.xml"/>
  <Override ContentType="application/vnd.openxmlformats-officedocument.spreadsheetml.worksheet+xml" PartName="/xl/worksheets/sheet46416.xml"/>
  <Override ContentType="application/vnd.openxmlformats-officedocument.spreadsheetml.worksheet+xml" PartName="/xl/worksheets/sheet46417.xml"/>
  <Override ContentType="application/vnd.openxmlformats-officedocument.spreadsheetml.worksheet+xml" PartName="/xl/worksheets/sheet46418.xml"/>
  <Override ContentType="application/vnd.openxmlformats-officedocument.spreadsheetml.worksheet+xml" PartName="/xl/worksheets/sheet46419.xml"/>
  <Override ContentType="application/vnd.openxmlformats-officedocument.spreadsheetml.worksheet+xml" PartName="/xl/worksheets/sheet46420.xml"/>
  <Override ContentType="application/vnd.openxmlformats-officedocument.spreadsheetml.worksheet+xml" PartName="/xl/worksheets/sheet46421.xml"/>
  <Override ContentType="application/vnd.openxmlformats-officedocument.spreadsheetml.worksheet+xml" PartName="/xl/worksheets/sheet46422.xml"/>
  <Override ContentType="application/vnd.openxmlformats-officedocument.spreadsheetml.worksheet+xml" PartName="/xl/worksheets/sheet46423.xml"/>
  <Override ContentType="application/vnd.openxmlformats-officedocument.spreadsheetml.worksheet+xml" PartName="/xl/worksheets/sheet46424.xml"/>
  <Override ContentType="application/vnd.openxmlformats-officedocument.spreadsheetml.worksheet+xml" PartName="/xl/worksheets/sheet46425.xml"/>
  <Override ContentType="application/vnd.openxmlformats-officedocument.spreadsheetml.worksheet+xml" PartName="/xl/worksheets/sheet46426.xml"/>
  <Override ContentType="application/vnd.openxmlformats-officedocument.spreadsheetml.worksheet+xml" PartName="/xl/worksheets/sheet46427.xml"/>
  <Override ContentType="application/vnd.openxmlformats-officedocument.spreadsheetml.worksheet+xml" PartName="/xl/worksheets/sheet46428.xml"/>
  <Override ContentType="application/vnd.openxmlformats-officedocument.spreadsheetml.worksheet+xml" PartName="/xl/worksheets/sheet46429.xml"/>
  <Override ContentType="application/vnd.openxmlformats-officedocument.spreadsheetml.worksheet+xml" PartName="/xl/worksheets/sheet46430.xml"/>
  <Override ContentType="application/vnd.openxmlformats-officedocument.spreadsheetml.worksheet+xml" PartName="/xl/worksheets/sheet46431.xml"/>
  <Override ContentType="application/vnd.openxmlformats-officedocument.spreadsheetml.worksheet+xml" PartName="/xl/worksheets/sheet46432.xml"/>
  <Override ContentType="application/vnd.openxmlformats-officedocument.spreadsheetml.worksheet+xml" PartName="/xl/worksheets/sheet46433.xml"/>
  <Override ContentType="application/vnd.openxmlformats-officedocument.spreadsheetml.worksheet+xml" PartName="/xl/worksheets/sheet46434.xml"/>
  <Override ContentType="application/vnd.openxmlformats-officedocument.spreadsheetml.worksheet+xml" PartName="/xl/worksheets/sheet46435.xml"/>
  <Override ContentType="application/vnd.openxmlformats-officedocument.spreadsheetml.worksheet+xml" PartName="/xl/worksheets/sheet46436.xml"/>
  <Override ContentType="application/vnd.openxmlformats-officedocument.spreadsheetml.worksheet+xml" PartName="/xl/worksheets/sheet46437.xml"/>
  <Override ContentType="application/vnd.openxmlformats-officedocument.spreadsheetml.worksheet+xml" PartName="/xl/worksheets/sheet46438.xml"/>
  <Override ContentType="application/vnd.openxmlformats-officedocument.spreadsheetml.worksheet+xml" PartName="/xl/worksheets/sheet46439.xml"/>
  <Override ContentType="application/vnd.openxmlformats-officedocument.spreadsheetml.worksheet+xml" PartName="/xl/worksheets/sheet46440.xml"/>
  <Override ContentType="application/vnd.openxmlformats-officedocument.spreadsheetml.worksheet+xml" PartName="/xl/worksheets/sheet46441.xml"/>
  <Override ContentType="application/vnd.openxmlformats-officedocument.spreadsheetml.worksheet+xml" PartName="/xl/worksheets/sheet46442.xml"/>
  <Override ContentType="application/vnd.openxmlformats-officedocument.spreadsheetml.worksheet+xml" PartName="/xl/worksheets/sheet46443.xml"/>
  <Override ContentType="application/vnd.openxmlformats-officedocument.spreadsheetml.worksheet+xml" PartName="/xl/worksheets/sheet46444.xml"/>
  <Override ContentType="application/vnd.openxmlformats-officedocument.spreadsheetml.worksheet+xml" PartName="/xl/worksheets/sheet46445.xml"/>
  <Override ContentType="application/vnd.openxmlformats-officedocument.spreadsheetml.worksheet+xml" PartName="/xl/worksheets/sheet46446.xml"/>
  <Override ContentType="application/vnd.openxmlformats-officedocument.spreadsheetml.worksheet+xml" PartName="/xl/worksheets/sheet46447.xml"/>
  <Override ContentType="application/vnd.openxmlformats-officedocument.spreadsheetml.worksheet+xml" PartName="/xl/worksheets/sheet46448.xml"/>
  <Override ContentType="application/vnd.openxmlformats-officedocument.spreadsheetml.worksheet+xml" PartName="/xl/worksheets/sheet46449.xml"/>
  <Override ContentType="application/vnd.openxmlformats-officedocument.spreadsheetml.worksheet+xml" PartName="/xl/worksheets/sheet46450.xml"/>
  <Override ContentType="application/vnd.openxmlformats-officedocument.spreadsheetml.worksheet+xml" PartName="/xl/worksheets/sheet46451.xml"/>
  <Override ContentType="application/vnd.openxmlformats-officedocument.spreadsheetml.worksheet+xml" PartName="/xl/worksheets/sheet46452.xml"/>
  <Override ContentType="application/vnd.openxmlformats-officedocument.spreadsheetml.worksheet+xml" PartName="/xl/worksheets/sheet46453.xml"/>
  <Override ContentType="application/vnd.openxmlformats-officedocument.spreadsheetml.worksheet+xml" PartName="/xl/worksheets/sheet46454.xml"/>
  <Override ContentType="application/vnd.openxmlformats-officedocument.spreadsheetml.worksheet+xml" PartName="/xl/worksheets/sheet46455.xml"/>
  <Override ContentType="application/vnd.openxmlformats-officedocument.spreadsheetml.worksheet+xml" PartName="/xl/worksheets/sheet46456.xml"/>
  <Override ContentType="application/vnd.openxmlformats-officedocument.spreadsheetml.worksheet+xml" PartName="/xl/worksheets/sheet46457.xml"/>
  <Override ContentType="application/vnd.openxmlformats-officedocument.spreadsheetml.worksheet+xml" PartName="/xl/worksheets/sheet46458.xml"/>
  <Override ContentType="application/vnd.openxmlformats-officedocument.spreadsheetml.worksheet+xml" PartName="/xl/worksheets/sheet46459.xml"/>
  <Override ContentType="application/vnd.openxmlformats-officedocument.spreadsheetml.worksheet+xml" PartName="/xl/worksheets/sheet46460.xml"/>
  <Override ContentType="application/vnd.openxmlformats-officedocument.spreadsheetml.worksheet+xml" PartName="/xl/worksheets/sheet46461.xml"/>
  <Override ContentType="application/vnd.openxmlformats-officedocument.spreadsheetml.worksheet+xml" PartName="/xl/worksheets/sheet46462.xml"/>
  <Override ContentType="application/vnd.openxmlformats-officedocument.spreadsheetml.worksheet+xml" PartName="/xl/worksheets/sheet46463.xml"/>
  <Override ContentType="application/vnd.openxmlformats-officedocument.spreadsheetml.worksheet+xml" PartName="/xl/worksheets/sheet46464.xml"/>
  <Override ContentType="application/vnd.openxmlformats-officedocument.spreadsheetml.worksheet+xml" PartName="/xl/worksheets/sheet46465.xml"/>
  <Override ContentType="application/vnd.openxmlformats-officedocument.spreadsheetml.worksheet+xml" PartName="/xl/worksheets/sheet46466.xml"/>
  <Override ContentType="application/vnd.openxmlformats-officedocument.spreadsheetml.worksheet+xml" PartName="/xl/worksheets/sheet46467.xml"/>
  <Override ContentType="application/vnd.openxmlformats-officedocument.spreadsheetml.worksheet+xml" PartName="/xl/worksheets/sheet46468.xml"/>
  <Override ContentType="application/vnd.openxmlformats-officedocument.spreadsheetml.worksheet+xml" PartName="/xl/worksheets/sheet46469.xml"/>
  <Override ContentType="application/vnd.openxmlformats-officedocument.spreadsheetml.worksheet+xml" PartName="/xl/worksheets/sheet46470.xml"/>
  <Override ContentType="application/vnd.openxmlformats-officedocument.spreadsheetml.worksheet+xml" PartName="/xl/worksheets/sheet46471.xml"/>
  <Override ContentType="application/vnd.openxmlformats-officedocument.spreadsheetml.worksheet+xml" PartName="/xl/worksheets/sheet46472.xml"/>
  <Override ContentType="application/vnd.openxmlformats-officedocument.spreadsheetml.worksheet+xml" PartName="/xl/worksheets/sheet46473.xml"/>
  <Override ContentType="application/vnd.openxmlformats-officedocument.spreadsheetml.worksheet+xml" PartName="/xl/worksheets/sheet46474.xml"/>
  <Override ContentType="application/vnd.openxmlformats-officedocument.spreadsheetml.worksheet+xml" PartName="/xl/worksheets/sheet46475.xml"/>
  <Override ContentType="application/vnd.openxmlformats-officedocument.spreadsheetml.worksheet+xml" PartName="/xl/worksheets/sheet46476.xml"/>
  <Override ContentType="application/vnd.openxmlformats-officedocument.spreadsheetml.worksheet+xml" PartName="/xl/worksheets/sheet46477.xml"/>
  <Override ContentType="application/vnd.openxmlformats-officedocument.spreadsheetml.worksheet+xml" PartName="/xl/worksheets/sheet46478.xml"/>
  <Override ContentType="application/vnd.openxmlformats-officedocument.spreadsheetml.worksheet+xml" PartName="/xl/worksheets/sheet46479.xml"/>
  <Override ContentType="application/vnd.openxmlformats-officedocument.spreadsheetml.worksheet+xml" PartName="/xl/worksheets/sheet46480.xml"/>
  <Override ContentType="application/vnd.openxmlformats-officedocument.spreadsheetml.worksheet+xml" PartName="/xl/worksheets/sheet46481.xml"/>
  <Override ContentType="application/vnd.openxmlformats-officedocument.spreadsheetml.worksheet+xml" PartName="/xl/worksheets/sheet46482.xml"/>
  <Override ContentType="application/vnd.openxmlformats-officedocument.spreadsheetml.worksheet+xml" PartName="/xl/worksheets/sheet46483.xml"/>
  <Override ContentType="application/vnd.openxmlformats-officedocument.spreadsheetml.worksheet+xml" PartName="/xl/worksheets/sheet46484.xml"/>
  <Override ContentType="application/vnd.openxmlformats-officedocument.spreadsheetml.worksheet+xml" PartName="/xl/worksheets/sheet46485.xml"/>
  <Override ContentType="application/vnd.openxmlformats-officedocument.spreadsheetml.worksheet+xml" PartName="/xl/worksheets/sheet46486.xml"/>
  <Override ContentType="application/vnd.openxmlformats-officedocument.spreadsheetml.worksheet+xml" PartName="/xl/worksheets/sheet46487.xml"/>
  <Override ContentType="application/vnd.openxmlformats-officedocument.spreadsheetml.worksheet+xml" PartName="/xl/worksheets/sheet46488.xml"/>
  <Override ContentType="application/vnd.openxmlformats-officedocument.spreadsheetml.worksheet+xml" PartName="/xl/worksheets/sheet46489.xml"/>
  <Override ContentType="application/vnd.openxmlformats-officedocument.spreadsheetml.worksheet+xml" PartName="/xl/worksheets/sheet46490.xml"/>
  <Override ContentType="application/vnd.openxmlformats-officedocument.spreadsheetml.worksheet+xml" PartName="/xl/worksheets/sheet46491.xml"/>
  <Override ContentType="application/vnd.openxmlformats-officedocument.spreadsheetml.worksheet+xml" PartName="/xl/worksheets/sheet46492.xml"/>
  <Override ContentType="application/vnd.openxmlformats-officedocument.spreadsheetml.worksheet+xml" PartName="/xl/worksheets/sheet46493.xml"/>
  <Override ContentType="application/vnd.openxmlformats-officedocument.spreadsheetml.worksheet+xml" PartName="/xl/worksheets/sheet46494.xml"/>
  <Override ContentType="application/vnd.openxmlformats-officedocument.spreadsheetml.worksheet+xml" PartName="/xl/worksheets/sheet46495.xml"/>
  <Override ContentType="application/vnd.openxmlformats-officedocument.spreadsheetml.worksheet+xml" PartName="/xl/worksheets/sheet46496.xml"/>
  <Override ContentType="application/vnd.openxmlformats-officedocument.spreadsheetml.worksheet+xml" PartName="/xl/worksheets/sheet46497.xml"/>
  <Override ContentType="application/vnd.openxmlformats-officedocument.spreadsheetml.worksheet+xml" PartName="/xl/worksheets/sheet46498.xml"/>
  <Override ContentType="application/vnd.openxmlformats-officedocument.spreadsheetml.worksheet+xml" PartName="/xl/worksheets/sheet46499.xml"/>
  <Override ContentType="application/vnd.openxmlformats-officedocument.spreadsheetml.worksheet+xml" PartName="/xl/worksheets/sheet46500.xml"/>
  <Override ContentType="application/vnd.openxmlformats-officedocument.spreadsheetml.worksheet+xml" PartName="/xl/worksheets/sheet46501.xml"/>
  <Override ContentType="application/vnd.openxmlformats-officedocument.spreadsheetml.worksheet+xml" PartName="/xl/worksheets/sheet46502.xml"/>
  <Override ContentType="application/vnd.openxmlformats-officedocument.spreadsheetml.worksheet+xml" PartName="/xl/worksheets/sheet46503.xml"/>
  <Override ContentType="application/vnd.openxmlformats-officedocument.spreadsheetml.worksheet+xml" PartName="/xl/worksheets/sheet46504.xml"/>
  <Override ContentType="application/vnd.openxmlformats-officedocument.spreadsheetml.worksheet+xml" PartName="/xl/worksheets/sheet46505.xml"/>
  <Override ContentType="application/vnd.openxmlformats-officedocument.spreadsheetml.worksheet+xml" PartName="/xl/worksheets/sheet46506.xml"/>
  <Override ContentType="application/vnd.openxmlformats-officedocument.spreadsheetml.worksheet+xml" PartName="/xl/worksheets/sheet46507.xml"/>
  <Override ContentType="application/vnd.openxmlformats-officedocument.spreadsheetml.worksheet+xml" PartName="/xl/worksheets/sheet46508.xml"/>
  <Override ContentType="application/vnd.openxmlformats-officedocument.spreadsheetml.worksheet+xml" PartName="/xl/worksheets/sheet46509.xml"/>
  <Override ContentType="application/vnd.openxmlformats-officedocument.spreadsheetml.worksheet+xml" PartName="/xl/worksheets/sheet46510.xml"/>
  <Override ContentType="application/vnd.openxmlformats-officedocument.spreadsheetml.worksheet+xml" PartName="/xl/worksheets/sheet46511.xml"/>
  <Override ContentType="application/vnd.openxmlformats-officedocument.spreadsheetml.worksheet+xml" PartName="/xl/worksheets/sheet46512.xml"/>
  <Override ContentType="application/vnd.openxmlformats-officedocument.spreadsheetml.worksheet+xml" PartName="/xl/worksheets/sheet46513.xml"/>
  <Override ContentType="application/vnd.openxmlformats-officedocument.spreadsheetml.worksheet+xml" PartName="/xl/worksheets/sheet46514.xml"/>
  <Override ContentType="application/vnd.openxmlformats-officedocument.spreadsheetml.worksheet+xml" PartName="/xl/worksheets/sheet46515.xml"/>
  <Override ContentType="application/vnd.openxmlformats-officedocument.spreadsheetml.worksheet+xml" PartName="/xl/worksheets/sheet46516.xml"/>
  <Override ContentType="application/vnd.openxmlformats-officedocument.spreadsheetml.worksheet+xml" PartName="/xl/worksheets/sheet46517.xml"/>
  <Override ContentType="application/vnd.openxmlformats-officedocument.spreadsheetml.worksheet+xml" PartName="/xl/worksheets/sheet46518.xml"/>
  <Override ContentType="application/vnd.openxmlformats-officedocument.spreadsheetml.worksheet+xml" PartName="/xl/worksheets/sheet46519.xml"/>
  <Override ContentType="application/vnd.openxmlformats-officedocument.spreadsheetml.worksheet+xml" PartName="/xl/worksheets/sheet46520.xml"/>
  <Override ContentType="application/vnd.openxmlformats-officedocument.spreadsheetml.worksheet+xml" PartName="/xl/worksheets/sheet46521.xml"/>
  <Override ContentType="application/vnd.openxmlformats-officedocument.spreadsheetml.worksheet+xml" PartName="/xl/worksheets/sheet46522.xml"/>
  <Override ContentType="application/vnd.openxmlformats-officedocument.spreadsheetml.worksheet+xml" PartName="/xl/worksheets/sheet46523.xml"/>
  <Override ContentType="application/vnd.openxmlformats-officedocument.spreadsheetml.worksheet+xml" PartName="/xl/worksheets/sheet46524.xml"/>
  <Override ContentType="application/vnd.openxmlformats-officedocument.spreadsheetml.worksheet+xml" PartName="/xl/worksheets/sheet46525.xml"/>
  <Override ContentType="application/vnd.openxmlformats-officedocument.spreadsheetml.worksheet+xml" PartName="/xl/worksheets/sheet46526.xml"/>
  <Override ContentType="application/vnd.openxmlformats-officedocument.spreadsheetml.worksheet+xml" PartName="/xl/worksheets/sheet46527.xml"/>
  <Override ContentType="application/vnd.openxmlformats-officedocument.spreadsheetml.worksheet+xml" PartName="/xl/worksheets/sheet46528.xml"/>
  <Override ContentType="application/vnd.openxmlformats-officedocument.spreadsheetml.worksheet+xml" PartName="/xl/worksheets/sheet46529.xml"/>
  <Override ContentType="application/vnd.openxmlformats-officedocument.spreadsheetml.worksheet+xml" PartName="/xl/worksheets/sheet46530.xml"/>
  <Override ContentType="application/vnd.openxmlformats-officedocument.spreadsheetml.worksheet+xml" PartName="/xl/worksheets/sheet46531.xml"/>
  <Override ContentType="application/vnd.openxmlformats-officedocument.spreadsheetml.worksheet+xml" PartName="/xl/worksheets/sheet46532.xml"/>
  <Override ContentType="application/vnd.openxmlformats-officedocument.spreadsheetml.worksheet+xml" PartName="/xl/worksheets/sheet46533.xml"/>
  <Override ContentType="application/vnd.openxmlformats-officedocument.spreadsheetml.worksheet+xml" PartName="/xl/worksheets/sheet46534.xml"/>
  <Override ContentType="application/vnd.openxmlformats-officedocument.spreadsheetml.worksheet+xml" PartName="/xl/worksheets/sheet46535.xml"/>
  <Override ContentType="application/vnd.openxmlformats-officedocument.spreadsheetml.worksheet+xml" PartName="/xl/worksheets/sheet46536.xml"/>
  <Override ContentType="application/vnd.openxmlformats-officedocument.spreadsheetml.worksheet+xml" PartName="/xl/worksheets/sheet46537.xml"/>
  <Override ContentType="application/vnd.openxmlformats-officedocument.spreadsheetml.worksheet+xml" PartName="/xl/worksheets/sheet46538.xml"/>
  <Override ContentType="application/vnd.openxmlformats-officedocument.spreadsheetml.worksheet+xml" PartName="/xl/worksheets/sheet46539.xml"/>
  <Override ContentType="application/vnd.openxmlformats-officedocument.spreadsheetml.worksheet+xml" PartName="/xl/worksheets/sheet46540.xml"/>
  <Override ContentType="application/vnd.openxmlformats-officedocument.spreadsheetml.worksheet+xml" PartName="/xl/worksheets/sheet46541.xml"/>
  <Override ContentType="application/vnd.openxmlformats-officedocument.spreadsheetml.worksheet+xml" PartName="/xl/worksheets/sheet46542.xml"/>
  <Override ContentType="application/vnd.openxmlformats-officedocument.spreadsheetml.worksheet+xml" PartName="/xl/worksheets/sheet46543.xml"/>
  <Override ContentType="application/vnd.openxmlformats-officedocument.spreadsheetml.worksheet+xml" PartName="/xl/worksheets/sheet46544.xml"/>
  <Override ContentType="application/vnd.openxmlformats-officedocument.spreadsheetml.worksheet+xml" PartName="/xl/worksheets/sheet46545.xml"/>
  <Override ContentType="application/vnd.openxmlformats-officedocument.spreadsheetml.worksheet+xml" PartName="/xl/worksheets/sheet46546.xml"/>
  <Override ContentType="application/vnd.openxmlformats-officedocument.spreadsheetml.worksheet+xml" PartName="/xl/worksheets/sheet46547.xml"/>
  <Override ContentType="application/vnd.openxmlformats-officedocument.spreadsheetml.worksheet+xml" PartName="/xl/worksheets/sheet46548.xml"/>
  <Override ContentType="application/vnd.openxmlformats-officedocument.spreadsheetml.worksheet+xml" PartName="/xl/worksheets/sheet46549.xml"/>
  <Override ContentType="application/vnd.openxmlformats-officedocument.spreadsheetml.worksheet+xml" PartName="/xl/worksheets/sheet46550.xml"/>
  <Override ContentType="application/vnd.openxmlformats-officedocument.spreadsheetml.worksheet+xml" PartName="/xl/worksheets/sheet46551.xml"/>
  <Override ContentType="application/vnd.openxmlformats-officedocument.spreadsheetml.worksheet+xml" PartName="/xl/worksheets/sheet46552.xml"/>
  <Override ContentType="application/vnd.openxmlformats-officedocument.spreadsheetml.worksheet+xml" PartName="/xl/worksheets/sheet46553.xml"/>
  <Override ContentType="application/vnd.openxmlformats-officedocument.spreadsheetml.worksheet+xml" PartName="/xl/worksheets/sheet46554.xml"/>
  <Override ContentType="application/vnd.openxmlformats-officedocument.spreadsheetml.worksheet+xml" PartName="/xl/worksheets/sheet46555.xml"/>
  <Override ContentType="application/vnd.openxmlformats-officedocument.spreadsheetml.worksheet+xml" PartName="/xl/worksheets/sheet46556.xml"/>
  <Override ContentType="application/vnd.openxmlformats-officedocument.spreadsheetml.worksheet+xml" PartName="/xl/worksheets/sheet46557.xml"/>
  <Override ContentType="application/vnd.openxmlformats-officedocument.spreadsheetml.worksheet+xml" PartName="/xl/worksheets/sheet46558.xml"/>
  <Override ContentType="application/vnd.openxmlformats-officedocument.spreadsheetml.worksheet+xml" PartName="/xl/worksheets/sheet46559.xml"/>
  <Override ContentType="application/vnd.openxmlformats-officedocument.spreadsheetml.worksheet+xml" PartName="/xl/worksheets/sheet46560.xml"/>
  <Override ContentType="application/vnd.openxmlformats-officedocument.spreadsheetml.worksheet+xml" PartName="/xl/worksheets/sheet46561.xml"/>
  <Override ContentType="application/vnd.openxmlformats-officedocument.spreadsheetml.worksheet+xml" PartName="/xl/worksheets/sheet46562.xml"/>
  <Override ContentType="application/vnd.openxmlformats-officedocument.spreadsheetml.worksheet+xml" PartName="/xl/worksheets/sheet46563.xml"/>
  <Override ContentType="application/vnd.openxmlformats-officedocument.spreadsheetml.worksheet+xml" PartName="/xl/worksheets/sheet46564.xml"/>
  <Override ContentType="application/vnd.openxmlformats-officedocument.spreadsheetml.worksheet+xml" PartName="/xl/worksheets/sheet46565.xml"/>
  <Override ContentType="application/vnd.openxmlformats-officedocument.spreadsheetml.worksheet+xml" PartName="/xl/worksheets/sheet46566.xml"/>
  <Override ContentType="application/vnd.openxmlformats-officedocument.spreadsheetml.worksheet+xml" PartName="/xl/worksheets/sheet46567.xml"/>
  <Override ContentType="application/vnd.openxmlformats-officedocument.spreadsheetml.worksheet+xml" PartName="/xl/worksheets/sheet46568.xml"/>
  <Override ContentType="application/vnd.openxmlformats-officedocument.spreadsheetml.worksheet+xml" PartName="/xl/worksheets/sheet46569.xml"/>
  <Override ContentType="application/vnd.openxmlformats-officedocument.spreadsheetml.worksheet+xml" PartName="/xl/worksheets/sheet46570.xml"/>
  <Override ContentType="application/vnd.openxmlformats-officedocument.spreadsheetml.worksheet+xml" PartName="/xl/worksheets/sheet46571.xml"/>
  <Override ContentType="application/vnd.openxmlformats-officedocument.spreadsheetml.worksheet+xml" PartName="/xl/worksheets/sheet46572.xml"/>
  <Override ContentType="application/vnd.openxmlformats-officedocument.spreadsheetml.worksheet+xml" PartName="/xl/worksheets/sheet46573.xml"/>
  <Override ContentType="application/vnd.openxmlformats-officedocument.spreadsheetml.worksheet+xml" PartName="/xl/worksheets/sheet46574.xml"/>
  <Override ContentType="application/vnd.openxmlformats-officedocument.spreadsheetml.worksheet+xml" PartName="/xl/worksheets/sheet46575.xml"/>
  <Override ContentType="application/vnd.openxmlformats-officedocument.spreadsheetml.worksheet+xml" PartName="/xl/worksheets/sheet46576.xml"/>
  <Override ContentType="application/vnd.openxmlformats-officedocument.spreadsheetml.worksheet+xml" PartName="/xl/worksheets/sheet46577.xml"/>
  <Override ContentType="application/vnd.openxmlformats-officedocument.spreadsheetml.worksheet+xml" PartName="/xl/worksheets/sheet46578.xml"/>
  <Override ContentType="application/vnd.openxmlformats-officedocument.spreadsheetml.worksheet+xml" PartName="/xl/worksheets/sheet46579.xml"/>
  <Override ContentType="application/vnd.openxmlformats-officedocument.spreadsheetml.worksheet+xml" PartName="/xl/worksheets/sheet46580.xml"/>
  <Override ContentType="application/vnd.openxmlformats-officedocument.spreadsheetml.worksheet+xml" PartName="/xl/worksheets/sheet46581.xml"/>
  <Override ContentType="application/vnd.openxmlformats-officedocument.spreadsheetml.worksheet+xml" PartName="/xl/worksheets/sheet46582.xml"/>
  <Override ContentType="application/vnd.openxmlformats-officedocument.spreadsheetml.worksheet+xml" PartName="/xl/worksheets/sheet46583.xml"/>
  <Override ContentType="application/vnd.openxmlformats-officedocument.spreadsheetml.worksheet+xml" PartName="/xl/worksheets/sheet46584.xml"/>
  <Override ContentType="application/vnd.openxmlformats-officedocument.spreadsheetml.worksheet+xml" PartName="/xl/worksheets/sheet46585.xml"/>
  <Override ContentType="application/vnd.openxmlformats-officedocument.spreadsheetml.worksheet+xml" PartName="/xl/worksheets/sheet46586.xml"/>
  <Override ContentType="application/vnd.openxmlformats-officedocument.spreadsheetml.worksheet+xml" PartName="/xl/worksheets/sheet46587.xml"/>
  <Override ContentType="application/vnd.openxmlformats-officedocument.spreadsheetml.worksheet+xml" PartName="/xl/worksheets/sheet46588.xml"/>
  <Override ContentType="application/vnd.openxmlformats-officedocument.spreadsheetml.worksheet+xml" PartName="/xl/worksheets/sheet46589.xml"/>
  <Override ContentType="application/vnd.openxmlformats-officedocument.spreadsheetml.worksheet+xml" PartName="/xl/worksheets/sheet46590.xml"/>
  <Override ContentType="application/vnd.openxmlformats-officedocument.spreadsheetml.worksheet+xml" PartName="/xl/worksheets/sheet46591.xml"/>
  <Override ContentType="application/vnd.openxmlformats-officedocument.spreadsheetml.worksheet+xml" PartName="/xl/worksheets/sheet46592.xml"/>
  <Override ContentType="application/vnd.openxmlformats-officedocument.spreadsheetml.worksheet+xml" PartName="/xl/worksheets/sheet46593.xml"/>
  <Override ContentType="application/vnd.openxmlformats-officedocument.spreadsheetml.worksheet+xml" PartName="/xl/worksheets/sheet46594.xml"/>
  <Override ContentType="application/vnd.openxmlformats-officedocument.spreadsheetml.worksheet+xml" PartName="/xl/worksheets/sheet46595.xml"/>
  <Override ContentType="application/vnd.openxmlformats-officedocument.spreadsheetml.worksheet+xml" PartName="/xl/worksheets/sheet46596.xml"/>
  <Override ContentType="application/vnd.openxmlformats-officedocument.spreadsheetml.worksheet+xml" PartName="/xl/worksheets/sheet46597.xml"/>
  <Override ContentType="application/vnd.openxmlformats-officedocument.spreadsheetml.worksheet+xml" PartName="/xl/worksheets/sheet46598.xml"/>
  <Override ContentType="application/vnd.openxmlformats-officedocument.spreadsheetml.worksheet+xml" PartName="/xl/worksheets/sheet46599.xml"/>
  <Override ContentType="application/vnd.openxmlformats-officedocument.spreadsheetml.worksheet+xml" PartName="/xl/worksheets/sheet46600.xml"/>
  <Override ContentType="application/vnd.openxmlformats-officedocument.spreadsheetml.worksheet+xml" PartName="/xl/worksheets/sheet46601.xml"/>
  <Override ContentType="application/vnd.openxmlformats-officedocument.spreadsheetml.worksheet+xml" PartName="/xl/worksheets/sheet46602.xml"/>
  <Override ContentType="application/vnd.openxmlformats-officedocument.spreadsheetml.worksheet+xml" PartName="/xl/worksheets/sheet46603.xml"/>
  <Override ContentType="application/vnd.openxmlformats-officedocument.spreadsheetml.worksheet+xml" PartName="/xl/worksheets/sheet46604.xml"/>
  <Override ContentType="application/vnd.openxmlformats-officedocument.spreadsheetml.worksheet+xml" PartName="/xl/worksheets/sheet46605.xml"/>
  <Override ContentType="application/vnd.openxmlformats-officedocument.spreadsheetml.worksheet+xml" PartName="/xl/worksheets/sheet46606.xml"/>
  <Override ContentType="application/vnd.openxmlformats-officedocument.spreadsheetml.worksheet+xml" PartName="/xl/worksheets/sheet46607.xml"/>
  <Override ContentType="application/vnd.openxmlformats-officedocument.spreadsheetml.worksheet+xml" PartName="/xl/worksheets/sheet46608.xml"/>
  <Override ContentType="application/vnd.openxmlformats-officedocument.spreadsheetml.worksheet+xml" PartName="/xl/worksheets/sheet46609.xml"/>
  <Override ContentType="application/vnd.openxmlformats-officedocument.spreadsheetml.worksheet+xml" PartName="/xl/worksheets/sheet46610.xml"/>
  <Override ContentType="application/vnd.openxmlformats-officedocument.spreadsheetml.worksheet+xml" PartName="/xl/worksheets/sheet46611.xml"/>
  <Override ContentType="application/vnd.openxmlformats-officedocument.spreadsheetml.worksheet+xml" PartName="/xl/worksheets/sheet46612.xml"/>
  <Override ContentType="application/vnd.openxmlformats-officedocument.spreadsheetml.worksheet+xml" PartName="/xl/worksheets/sheet46613.xml"/>
  <Override ContentType="application/vnd.openxmlformats-officedocument.spreadsheetml.worksheet+xml" PartName="/xl/worksheets/sheet46614.xml"/>
  <Override ContentType="application/vnd.openxmlformats-officedocument.spreadsheetml.worksheet+xml" PartName="/xl/worksheets/sheet46615.xml"/>
  <Override ContentType="application/vnd.openxmlformats-officedocument.spreadsheetml.worksheet+xml" PartName="/xl/worksheets/sheet46616.xml"/>
  <Override ContentType="application/vnd.openxmlformats-officedocument.spreadsheetml.worksheet+xml" PartName="/xl/worksheets/sheet46617.xml"/>
  <Override ContentType="application/vnd.openxmlformats-officedocument.spreadsheetml.worksheet+xml" PartName="/xl/worksheets/sheet46618.xml"/>
  <Override ContentType="application/vnd.openxmlformats-officedocument.spreadsheetml.worksheet+xml" PartName="/xl/worksheets/sheet46619.xml"/>
  <Override ContentType="application/vnd.openxmlformats-officedocument.spreadsheetml.worksheet+xml" PartName="/xl/worksheets/sheet46620.xml"/>
  <Override ContentType="application/vnd.openxmlformats-officedocument.spreadsheetml.worksheet+xml" PartName="/xl/worksheets/sheet46621.xml"/>
  <Override ContentType="application/vnd.openxmlformats-officedocument.spreadsheetml.worksheet+xml" PartName="/xl/worksheets/sheet46622.xml"/>
  <Override ContentType="application/vnd.openxmlformats-officedocument.spreadsheetml.worksheet+xml" PartName="/xl/worksheets/sheet46623.xml"/>
  <Override ContentType="application/vnd.openxmlformats-officedocument.spreadsheetml.worksheet+xml" PartName="/xl/worksheets/sheet46624.xml"/>
  <Override ContentType="application/vnd.openxmlformats-officedocument.spreadsheetml.worksheet+xml" PartName="/xl/worksheets/sheet46625.xml"/>
  <Override ContentType="application/vnd.openxmlformats-officedocument.spreadsheetml.worksheet+xml" PartName="/xl/worksheets/sheet46626.xml"/>
  <Override ContentType="application/vnd.openxmlformats-officedocument.spreadsheetml.worksheet+xml" PartName="/xl/worksheets/sheet46627.xml"/>
  <Override ContentType="application/vnd.openxmlformats-officedocument.spreadsheetml.worksheet+xml" PartName="/xl/worksheets/sheet46628.xml"/>
  <Override ContentType="application/vnd.openxmlformats-officedocument.spreadsheetml.worksheet+xml" PartName="/xl/worksheets/sheet46629.xml"/>
  <Override ContentType="application/vnd.openxmlformats-officedocument.spreadsheetml.worksheet+xml" PartName="/xl/worksheets/sheet46630.xml"/>
  <Override ContentType="application/vnd.openxmlformats-officedocument.spreadsheetml.worksheet+xml" PartName="/xl/worksheets/sheet46631.xml"/>
  <Override ContentType="application/vnd.openxmlformats-officedocument.spreadsheetml.worksheet+xml" PartName="/xl/worksheets/sheet46632.xml"/>
  <Override ContentType="application/vnd.openxmlformats-officedocument.spreadsheetml.worksheet+xml" PartName="/xl/worksheets/sheet46633.xml"/>
  <Override ContentType="application/vnd.openxmlformats-officedocument.spreadsheetml.worksheet+xml" PartName="/xl/worksheets/sheet46634.xml"/>
  <Override ContentType="application/vnd.openxmlformats-officedocument.spreadsheetml.worksheet+xml" PartName="/xl/worksheets/sheet46635.xml"/>
  <Override ContentType="application/vnd.openxmlformats-officedocument.spreadsheetml.worksheet+xml" PartName="/xl/worksheets/sheet46636.xml"/>
  <Override ContentType="application/vnd.openxmlformats-officedocument.spreadsheetml.worksheet+xml" PartName="/xl/worksheets/sheet46637.xml"/>
  <Override ContentType="application/vnd.openxmlformats-officedocument.spreadsheetml.worksheet+xml" PartName="/xl/worksheets/sheet46638.xml"/>
  <Override ContentType="application/vnd.openxmlformats-officedocument.spreadsheetml.worksheet+xml" PartName="/xl/worksheets/sheet46639.xml"/>
  <Override ContentType="application/vnd.openxmlformats-officedocument.spreadsheetml.worksheet+xml" PartName="/xl/worksheets/sheet46640.xml"/>
  <Override ContentType="application/vnd.openxmlformats-officedocument.spreadsheetml.worksheet+xml" PartName="/xl/worksheets/sheet46641.xml"/>
  <Override ContentType="application/vnd.openxmlformats-officedocument.spreadsheetml.worksheet+xml" PartName="/xl/worksheets/sheet46642.xml"/>
  <Override ContentType="application/vnd.openxmlformats-officedocument.spreadsheetml.worksheet+xml" PartName="/xl/worksheets/sheet46643.xml"/>
  <Override ContentType="application/vnd.openxmlformats-officedocument.spreadsheetml.worksheet+xml" PartName="/xl/worksheets/sheet46644.xml"/>
  <Override ContentType="application/vnd.openxmlformats-officedocument.spreadsheetml.worksheet+xml" PartName="/xl/worksheets/sheet46645.xml"/>
  <Override ContentType="application/vnd.openxmlformats-officedocument.spreadsheetml.worksheet+xml" PartName="/xl/worksheets/sheet46646.xml"/>
  <Override ContentType="application/vnd.openxmlformats-officedocument.spreadsheetml.worksheet+xml" PartName="/xl/worksheets/sheet46647.xml"/>
  <Override ContentType="application/vnd.openxmlformats-officedocument.spreadsheetml.worksheet+xml" PartName="/xl/worksheets/sheet46648.xml"/>
  <Override ContentType="application/vnd.openxmlformats-officedocument.spreadsheetml.worksheet+xml" PartName="/xl/worksheets/sheet46649.xml"/>
  <Override ContentType="application/vnd.openxmlformats-officedocument.spreadsheetml.worksheet+xml" PartName="/xl/worksheets/sheet46650.xml"/>
  <Override ContentType="application/vnd.openxmlformats-officedocument.spreadsheetml.worksheet+xml" PartName="/xl/worksheets/sheet46651.xml"/>
  <Override ContentType="application/vnd.openxmlformats-officedocument.spreadsheetml.worksheet+xml" PartName="/xl/worksheets/sheet46652.xml"/>
  <Override ContentType="application/vnd.openxmlformats-officedocument.spreadsheetml.worksheet+xml" PartName="/xl/worksheets/sheet46653.xml"/>
  <Override ContentType="application/vnd.openxmlformats-officedocument.spreadsheetml.worksheet+xml" PartName="/xl/worksheets/sheet46654.xml"/>
  <Override ContentType="application/vnd.openxmlformats-officedocument.spreadsheetml.worksheet+xml" PartName="/xl/worksheets/sheet46655.xml"/>
  <Override ContentType="application/vnd.openxmlformats-officedocument.spreadsheetml.worksheet+xml" PartName="/xl/worksheets/sheet46656.xml"/>
  <Override ContentType="application/vnd.openxmlformats-officedocument.spreadsheetml.worksheet+xml" PartName="/xl/worksheets/sheet46657.xml"/>
  <Override ContentType="application/vnd.openxmlformats-officedocument.spreadsheetml.worksheet+xml" PartName="/xl/worksheets/sheet46658.xml"/>
  <Override ContentType="application/vnd.openxmlformats-officedocument.spreadsheetml.worksheet+xml" PartName="/xl/worksheets/sheet46659.xml"/>
  <Override ContentType="application/vnd.openxmlformats-officedocument.spreadsheetml.worksheet+xml" PartName="/xl/worksheets/sheet46660.xml"/>
  <Override ContentType="application/vnd.openxmlformats-officedocument.spreadsheetml.worksheet+xml" PartName="/xl/worksheets/sheet46661.xml"/>
  <Override ContentType="application/vnd.openxmlformats-officedocument.spreadsheetml.worksheet+xml" PartName="/xl/worksheets/sheet46662.xml"/>
  <Override ContentType="application/vnd.openxmlformats-officedocument.spreadsheetml.worksheet+xml" PartName="/xl/worksheets/sheet46663.xml"/>
  <Override ContentType="application/vnd.openxmlformats-officedocument.spreadsheetml.worksheet+xml" PartName="/xl/worksheets/sheet46664.xml"/>
  <Override ContentType="application/vnd.openxmlformats-officedocument.spreadsheetml.worksheet+xml" PartName="/xl/worksheets/sheet46665.xml"/>
  <Override ContentType="application/vnd.openxmlformats-officedocument.spreadsheetml.worksheet+xml" PartName="/xl/worksheets/sheet46666.xml"/>
  <Override ContentType="application/vnd.openxmlformats-officedocument.spreadsheetml.worksheet+xml" PartName="/xl/worksheets/sheet46667.xml"/>
  <Override ContentType="application/vnd.openxmlformats-officedocument.spreadsheetml.worksheet+xml" PartName="/xl/worksheets/sheet46668.xml"/>
  <Override ContentType="application/vnd.openxmlformats-officedocument.spreadsheetml.worksheet+xml" PartName="/xl/worksheets/sheet46669.xml"/>
  <Override ContentType="application/vnd.openxmlformats-officedocument.spreadsheetml.worksheet+xml" PartName="/xl/worksheets/sheet46670.xml"/>
  <Override ContentType="application/vnd.openxmlformats-officedocument.spreadsheetml.worksheet+xml" PartName="/xl/worksheets/sheet46671.xml"/>
  <Override ContentType="application/vnd.openxmlformats-officedocument.spreadsheetml.worksheet+xml" PartName="/xl/worksheets/sheet46672.xml"/>
  <Override ContentType="application/vnd.openxmlformats-officedocument.spreadsheetml.worksheet+xml" PartName="/xl/worksheets/sheet46673.xml"/>
  <Override ContentType="application/vnd.openxmlformats-officedocument.spreadsheetml.worksheet+xml" PartName="/xl/worksheets/sheet46674.xml"/>
  <Override ContentType="application/vnd.openxmlformats-officedocument.spreadsheetml.worksheet+xml" PartName="/xl/worksheets/sheet46675.xml"/>
  <Override ContentType="application/vnd.openxmlformats-officedocument.spreadsheetml.worksheet+xml" PartName="/xl/worksheets/sheet46676.xml"/>
  <Override ContentType="application/vnd.openxmlformats-officedocument.spreadsheetml.worksheet+xml" PartName="/xl/worksheets/sheet46677.xml"/>
  <Override ContentType="application/vnd.openxmlformats-officedocument.spreadsheetml.worksheet+xml" PartName="/xl/worksheets/sheet46678.xml"/>
  <Override ContentType="application/vnd.openxmlformats-officedocument.spreadsheetml.worksheet+xml" PartName="/xl/worksheets/sheet46679.xml"/>
  <Override ContentType="application/vnd.openxmlformats-officedocument.spreadsheetml.worksheet+xml" PartName="/xl/worksheets/sheet46680.xml"/>
  <Override ContentType="application/vnd.openxmlformats-officedocument.spreadsheetml.worksheet+xml" PartName="/xl/worksheets/sheet46681.xml"/>
  <Override ContentType="application/vnd.openxmlformats-officedocument.spreadsheetml.worksheet+xml" PartName="/xl/worksheets/sheet46682.xml"/>
  <Override ContentType="application/vnd.openxmlformats-officedocument.spreadsheetml.worksheet+xml" PartName="/xl/worksheets/sheet46683.xml"/>
  <Override ContentType="application/vnd.openxmlformats-officedocument.spreadsheetml.worksheet+xml" PartName="/xl/worksheets/sheet46684.xml"/>
  <Override ContentType="application/vnd.openxmlformats-officedocument.spreadsheetml.worksheet+xml" PartName="/xl/worksheets/sheet46685.xml"/>
  <Override ContentType="application/vnd.openxmlformats-officedocument.spreadsheetml.worksheet+xml" PartName="/xl/worksheets/sheet46686.xml"/>
  <Override ContentType="application/vnd.openxmlformats-officedocument.spreadsheetml.worksheet+xml" PartName="/xl/worksheets/sheet46687.xml"/>
  <Override ContentType="application/vnd.openxmlformats-officedocument.spreadsheetml.worksheet+xml" PartName="/xl/worksheets/sheet46688.xml"/>
  <Override ContentType="application/vnd.openxmlformats-officedocument.spreadsheetml.worksheet+xml" PartName="/xl/worksheets/sheet46689.xml"/>
  <Override ContentType="application/vnd.openxmlformats-officedocument.spreadsheetml.worksheet+xml" PartName="/xl/worksheets/sheet46690.xml"/>
  <Override ContentType="application/vnd.openxmlformats-officedocument.spreadsheetml.worksheet+xml" PartName="/xl/worksheets/sheet46691.xml"/>
  <Override ContentType="application/vnd.openxmlformats-officedocument.spreadsheetml.worksheet+xml" PartName="/xl/worksheets/sheet46692.xml"/>
  <Override ContentType="application/vnd.openxmlformats-officedocument.spreadsheetml.worksheet+xml" PartName="/xl/worksheets/sheet46693.xml"/>
  <Override ContentType="application/vnd.openxmlformats-officedocument.spreadsheetml.worksheet+xml" PartName="/xl/worksheets/sheet46694.xml"/>
  <Override ContentType="application/vnd.openxmlformats-officedocument.spreadsheetml.worksheet+xml" PartName="/xl/worksheets/sheet46695.xml"/>
  <Override ContentType="application/vnd.openxmlformats-officedocument.spreadsheetml.worksheet+xml" PartName="/xl/worksheets/sheet46696.xml"/>
  <Override ContentType="application/vnd.openxmlformats-officedocument.spreadsheetml.worksheet+xml" PartName="/xl/worksheets/sheet46697.xml"/>
  <Override ContentType="application/vnd.openxmlformats-officedocument.spreadsheetml.worksheet+xml" PartName="/xl/worksheets/sheet46698.xml"/>
  <Override ContentType="application/vnd.openxmlformats-officedocument.spreadsheetml.worksheet+xml" PartName="/xl/worksheets/sheet46699.xml"/>
  <Override ContentType="application/vnd.openxmlformats-officedocument.spreadsheetml.worksheet+xml" PartName="/xl/worksheets/sheet46700.xml"/>
  <Override ContentType="application/vnd.openxmlformats-officedocument.spreadsheetml.worksheet+xml" PartName="/xl/worksheets/sheet46701.xml"/>
  <Override ContentType="application/vnd.openxmlformats-officedocument.spreadsheetml.worksheet+xml" PartName="/xl/worksheets/sheet46702.xml"/>
  <Override ContentType="application/vnd.openxmlformats-officedocument.spreadsheetml.worksheet+xml" PartName="/xl/worksheets/sheet46703.xml"/>
  <Override ContentType="application/vnd.openxmlformats-officedocument.spreadsheetml.worksheet+xml" PartName="/xl/worksheets/sheet46704.xml"/>
  <Override ContentType="application/vnd.openxmlformats-officedocument.spreadsheetml.worksheet+xml" PartName="/xl/worksheets/sheet46705.xml"/>
  <Override ContentType="application/vnd.openxmlformats-officedocument.spreadsheetml.worksheet+xml" PartName="/xl/worksheets/sheet46706.xml"/>
  <Override ContentType="application/vnd.openxmlformats-officedocument.spreadsheetml.worksheet+xml" PartName="/xl/worksheets/sheet46707.xml"/>
  <Override ContentType="application/vnd.openxmlformats-officedocument.spreadsheetml.worksheet+xml" PartName="/xl/worksheets/sheet46708.xml"/>
  <Override ContentType="application/vnd.openxmlformats-officedocument.spreadsheetml.worksheet+xml" PartName="/xl/worksheets/sheet46709.xml"/>
  <Override ContentType="application/vnd.openxmlformats-officedocument.spreadsheetml.worksheet+xml" PartName="/xl/worksheets/sheet46710.xml"/>
  <Override ContentType="application/vnd.openxmlformats-officedocument.spreadsheetml.worksheet+xml" PartName="/xl/worksheets/sheet46711.xml"/>
  <Override ContentType="application/vnd.openxmlformats-officedocument.spreadsheetml.worksheet+xml" PartName="/xl/worksheets/sheet46712.xml"/>
  <Override ContentType="application/vnd.openxmlformats-officedocument.spreadsheetml.worksheet+xml" PartName="/xl/worksheets/sheet46713.xml"/>
  <Override ContentType="application/vnd.openxmlformats-officedocument.spreadsheetml.worksheet+xml" PartName="/xl/worksheets/sheet46714.xml"/>
  <Override ContentType="application/vnd.openxmlformats-officedocument.spreadsheetml.worksheet+xml" PartName="/xl/worksheets/sheet46715.xml"/>
  <Override ContentType="application/vnd.openxmlformats-officedocument.spreadsheetml.worksheet+xml" PartName="/xl/worksheets/sheet46716.xml"/>
  <Override ContentType="application/vnd.openxmlformats-officedocument.spreadsheetml.worksheet+xml" PartName="/xl/worksheets/sheet46717.xml"/>
  <Override ContentType="application/vnd.openxmlformats-officedocument.spreadsheetml.worksheet+xml" PartName="/xl/worksheets/sheet46718.xml"/>
  <Override ContentType="application/vnd.openxmlformats-officedocument.spreadsheetml.worksheet+xml" PartName="/xl/worksheets/sheet46719.xml"/>
  <Override ContentType="application/vnd.openxmlformats-officedocument.spreadsheetml.worksheet+xml" PartName="/xl/worksheets/sheet46720.xml"/>
  <Override ContentType="application/vnd.openxmlformats-officedocument.spreadsheetml.worksheet+xml" PartName="/xl/worksheets/sheet46721.xml"/>
  <Override ContentType="application/vnd.openxmlformats-officedocument.spreadsheetml.worksheet+xml" PartName="/xl/worksheets/sheet46722.xml"/>
  <Override ContentType="application/vnd.openxmlformats-officedocument.spreadsheetml.worksheet+xml" PartName="/xl/worksheets/sheet46723.xml"/>
  <Override ContentType="application/vnd.openxmlformats-officedocument.spreadsheetml.worksheet+xml" PartName="/xl/worksheets/sheet46724.xml"/>
  <Override ContentType="application/vnd.openxmlformats-officedocument.spreadsheetml.worksheet+xml" PartName="/xl/worksheets/sheet46725.xml"/>
  <Override ContentType="application/vnd.openxmlformats-officedocument.spreadsheetml.worksheet+xml" PartName="/xl/worksheets/sheet46726.xml"/>
  <Override ContentType="application/vnd.openxmlformats-officedocument.spreadsheetml.worksheet+xml" PartName="/xl/worksheets/sheet46727.xml"/>
  <Override ContentType="application/vnd.openxmlformats-officedocument.spreadsheetml.worksheet+xml" PartName="/xl/worksheets/sheet46728.xml"/>
  <Override ContentType="application/vnd.openxmlformats-officedocument.spreadsheetml.worksheet+xml" PartName="/xl/worksheets/sheet46729.xml"/>
  <Override ContentType="application/vnd.openxmlformats-officedocument.spreadsheetml.worksheet+xml" PartName="/xl/worksheets/sheet46730.xml"/>
  <Override ContentType="application/vnd.openxmlformats-officedocument.spreadsheetml.worksheet+xml" PartName="/xl/worksheets/sheet46731.xml"/>
  <Override ContentType="application/vnd.openxmlformats-officedocument.spreadsheetml.worksheet+xml" PartName="/xl/worksheets/sheet46732.xml"/>
  <Override ContentType="application/vnd.openxmlformats-officedocument.spreadsheetml.worksheet+xml" PartName="/xl/worksheets/sheet46733.xml"/>
  <Override ContentType="application/vnd.openxmlformats-officedocument.spreadsheetml.worksheet+xml" PartName="/xl/worksheets/sheet46734.xml"/>
  <Override ContentType="application/vnd.openxmlformats-officedocument.spreadsheetml.worksheet+xml" PartName="/xl/worksheets/sheet46735.xml"/>
  <Override ContentType="application/vnd.openxmlformats-officedocument.spreadsheetml.worksheet+xml" PartName="/xl/worksheets/sheet46736.xml"/>
  <Override ContentType="application/vnd.openxmlformats-officedocument.spreadsheetml.worksheet+xml" PartName="/xl/worksheets/sheet46737.xml"/>
  <Override ContentType="application/vnd.openxmlformats-officedocument.spreadsheetml.worksheet+xml" PartName="/xl/worksheets/sheet46738.xml"/>
  <Override ContentType="application/vnd.openxmlformats-officedocument.spreadsheetml.worksheet+xml" PartName="/xl/worksheets/sheet46739.xml"/>
  <Override ContentType="application/vnd.openxmlformats-officedocument.spreadsheetml.worksheet+xml" PartName="/xl/worksheets/sheet46740.xml"/>
  <Override ContentType="application/vnd.openxmlformats-officedocument.spreadsheetml.worksheet+xml" PartName="/xl/worksheets/sheet46741.xml"/>
  <Override ContentType="application/vnd.openxmlformats-officedocument.spreadsheetml.worksheet+xml" PartName="/xl/worksheets/sheet46742.xml"/>
  <Override ContentType="application/vnd.openxmlformats-officedocument.spreadsheetml.worksheet+xml" PartName="/xl/worksheets/sheet46743.xml"/>
  <Override ContentType="application/vnd.openxmlformats-officedocument.spreadsheetml.worksheet+xml" PartName="/xl/worksheets/sheet46744.xml"/>
  <Override ContentType="application/vnd.openxmlformats-officedocument.spreadsheetml.worksheet+xml" PartName="/xl/worksheets/sheet46745.xml"/>
  <Override ContentType="application/vnd.openxmlformats-officedocument.spreadsheetml.worksheet+xml" PartName="/xl/worksheets/sheet46746.xml"/>
  <Override ContentType="application/vnd.openxmlformats-officedocument.spreadsheetml.worksheet+xml" PartName="/xl/worksheets/sheet46747.xml"/>
  <Override ContentType="application/vnd.openxmlformats-officedocument.spreadsheetml.worksheet+xml" PartName="/xl/worksheets/sheet46748.xml"/>
  <Override ContentType="application/vnd.openxmlformats-officedocument.spreadsheetml.worksheet+xml" PartName="/xl/worksheets/sheet46749.xml"/>
  <Override ContentType="application/vnd.openxmlformats-officedocument.spreadsheetml.worksheet+xml" PartName="/xl/worksheets/sheet46750.xml"/>
  <Override ContentType="application/vnd.openxmlformats-officedocument.spreadsheetml.worksheet+xml" PartName="/xl/worksheets/sheet46751.xml"/>
  <Override ContentType="application/vnd.openxmlformats-officedocument.spreadsheetml.worksheet+xml" PartName="/xl/worksheets/sheet46752.xml"/>
  <Override ContentType="application/vnd.openxmlformats-officedocument.spreadsheetml.worksheet+xml" PartName="/xl/worksheets/sheet46753.xml"/>
  <Override ContentType="application/vnd.openxmlformats-officedocument.spreadsheetml.worksheet+xml" PartName="/xl/worksheets/sheet46754.xml"/>
  <Override ContentType="application/vnd.openxmlformats-officedocument.spreadsheetml.worksheet+xml" PartName="/xl/worksheets/sheet46755.xml"/>
  <Override ContentType="application/vnd.openxmlformats-officedocument.spreadsheetml.worksheet+xml" PartName="/xl/worksheets/sheet46756.xml"/>
  <Override ContentType="application/vnd.openxmlformats-officedocument.spreadsheetml.worksheet+xml" PartName="/xl/worksheets/sheet46757.xml"/>
  <Override ContentType="application/vnd.openxmlformats-officedocument.spreadsheetml.worksheet+xml" PartName="/xl/worksheets/sheet46758.xml"/>
  <Override ContentType="application/vnd.openxmlformats-officedocument.spreadsheetml.worksheet+xml" PartName="/xl/worksheets/sheet46759.xml"/>
  <Override ContentType="application/vnd.openxmlformats-officedocument.spreadsheetml.worksheet+xml" PartName="/xl/worksheets/sheet46760.xml"/>
  <Override ContentType="application/vnd.openxmlformats-officedocument.spreadsheetml.worksheet+xml" PartName="/xl/worksheets/sheet46761.xml"/>
  <Override ContentType="application/vnd.openxmlformats-officedocument.spreadsheetml.worksheet+xml" PartName="/xl/worksheets/sheet46762.xml"/>
  <Override ContentType="application/vnd.openxmlformats-officedocument.spreadsheetml.worksheet+xml" PartName="/xl/worksheets/sheet46763.xml"/>
  <Override ContentType="application/vnd.openxmlformats-officedocument.spreadsheetml.worksheet+xml" PartName="/xl/worksheets/sheet46764.xml"/>
  <Override ContentType="application/vnd.openxmlformats-officedocument.spreadsheetml.worksheet+xml" PartName="/xl/worksheets/sheet46765.xml"/>
  <Override ContentType="application/vnd.openxmlformats-officedocument.spreadsheetml.worksheet+xml" PartName="/xl/worksheets/sheet46766.xml"/>
  <Override ContentType="application/vnd.openxmlformats-officedocument.spreadsheetml.worksheet+xml" PartName="/xl/worksheets/sheet46767.xml"/>
  <Override ContentType="application/vnd.openxmlformats-officedocument.spreadsheetml.worksheet+xml" PartName="/xl/worksheets/sheet46768.xml"/>
  <Override ContentType="application/vnd.openxmlformats-officedocument.spreadsheetml.worksheet+xml" PartName="/xl/worksheets/sheet46769.xml"/>
  <Override ContentType="application/vnd.openxmlformats-officedocument.spreadsheetml.worksheet+xml" PartName="/xl/worksheets/sheet46770.xml"/>
  <Override ContentType="application/vnd.openxmlformats-officedocument.spreadsheetml.worksheet+xml" PartName="/xl/worksheets/sheet46771.xml"/>
  <Override ContentType="application/vnd.openxmlformats-officedocument.spreadsheetml.worksheet+xml" PartName="/xl/worksheets/sheet46772.xml"/>
  <Override ContentType="application/vnd.openxmlformats-officedocument.spreadsheetml.worksheet+xml" PartName="/xl/worksheets/sheet46773.xml"/>
  <Override ContentType="application/vnd.openxmlformats-officedocument.spreadsheetml.worksheet+xml" PartName="/xl/worksheets/sheet46774.xml"/>
  <Override ContentType="application/vnd.openxmlformats-officedocument.spreadsheetml.worksheet+xml" PartName="/xl/worksheets/sheet46775.xml"/>
  <Override ContentType="application/vnd.openxmlformats-officedocument.spreadsheetml.worksheet+xml" PartName="/xl/worksheets/sheet46776.xml"/>
  <Override ContentType="application/vnd.openxmlformats-officedocument.spreadsheetml.worksheet+xml" PartName="/xl/worksheets/sheet46777.xml"/>
  <Override ContentType="application/vnd.openxmlformats-officedocument.spreadsheetml.worksheet+xml" PartName="/xl/worksheets/sheet46778.xml"/>
  <Override ContentType="application/vnd.openxmlformats-officedocument.spreadsheetml.worksheet+xml" PartName="/xl/worksheets/sheet46779.xml"/>
  <Override ContentType="application/vnd.openxmlformats-officedocument.spreadsheetml.worksheet+xml" PartName="/xl/worksheets/sheet46780.xml"/>
  <Override ContentType="application/vnd.openxmlformats-officedocument.spreadsheetml.worksheet+xml" PartName="/xl/worksheets/sheet46781.xml"/>
  <Override ContentType="application/vnd.openxmlformats-officedocument.spreadsheetml.worksheet+xml" PartName="/xl/worksheets/sheet46782.xml"/>
  <Override ContentType="application/vnd.openxmlformats-officedocument.spreadsheetml.worksheet+xml" PartName="/xl/worksheets/sheet46783.xml"/>
  <Override ContentType="application/vnd.openxmlformats-officedocument.spreadsheetml.worksheet+xml" PartName="/xl/worksheets/sheet46784.xml"/>
  <Override ContentType="application/vnd.openxmlformats-officedocument.spreadsheetml.worksheet+xml" PartName="/xl/worksheets/sheet46785.xml"/>
  <Override ContentType="application/vnd.openxmlformats-officedocument.spreadsheetml.worksheet+xml" PartName="/xl/worksheets/sheet46786.xml"/>
  <Override ContentType="application/vnd.openxmlformats-officedocument.spreadsheetml.worksheet+xml" PartName="/xl/worksheets/sheet46787.xml"/>
  <Override ContentType="application/vnd.openxmlformats-officedocument.spreadsheetml.worksheet+xml" PartName="/xl/worksheets/sheet46788.xml"/>
  <Override ContentType="application/vnd.openxmlformats-officedocument.spreadsheetml.worksheet+xml" PartName="/xl/worksheets/sheet46789.xml"/>
  <Override ContentType="application/vnd.openxmlformats-officedocument.spreadsheetml.worksheet+xml" PartName="/xl/worksheets/sheet46790.xml"/>
  <Override ContentType="application/vnd.openxmlformats-officedocument.spreadsheetml.worksheet+xml" PartName="/xl/worksheets/sheet46791.xml"/>
  <Override ContentType="application/vnd.openxmlformats-officedocument.spreadsheetml.worksheet+xml" PartName="/xl/worksheets/sheet46792.xml"/>
  <Override ContentType="application/vnd.openxmlformats-officedocument.spreadsheetml.worksheet+xml" PartName="/xl/worksheets/sheet46793.xml"/>
  <Override ContentType="application/vnd.openxmlformats-officedocument.spreadsheetml.worksheet+xml" PartName="/xl/worksheets/sheet46794.xml"/>
  <Override ContentType="application/vnd.openxmlformats-officedocument.spreadsheetml.worksheet+xml" PartName="/xl/worksheets/sheet46795.xml"/>
  <Override ContentType="application/vnd.openxmlformats-officedocument.spreadsheetml.worksheet+xml" PartName="/xl/worksheets/sheet46796.xml"/>
  <Override ContentType="application/vnd.openxmlformats-officedocument.spreadsheetml.worksheet+xml" PartName="/xl/worksheets/sheet46797.xml"/>
  <Override ContentType="application/vnd.openxmlformats-officedocument.spreadsheetml.worksheet+xml" PartName="/xl/worksheets/sheet46798.xml"/>
  <Override ContentType="application/vnd.openxmlformats-officedocument.spreadsheetml.worksheet+xml" PartName="/xl/worksheets/sheet46799.xml"/>
  <Override ContentType="application/vnd.openxmlformats-officedocument.spreadsheetml.worksheet+xml" PartName="/xl/worksheets/sheet46800.xml"/>
  <Override ContentType="application/vnd.openxmlformats-officedocument.spreadsheetml.worksheet+xml" PartName="/xl/worksheets/sheet46801.xml"/>
  <Override ContentType="application/vnd.openxmlformats-officedocument.spreadsheetml.worksheet+xml" PartName="/xl/worksheets/sheet46802.xml"/>
  <Override ContentType="application/vnd.openxmlformats-officedocument.spreadsheetml.worksheet+xml" PartName="/xl/worksheets/sheet46803.xml"/>
  <Override ContentType="application/vnd.openxmlformats-officedocument.spreadsheetml.worksheet+xml" PartName="/xl/worksheets/sheet46804.xml"/>
  <Override ContentType="application/vnd.openxmlformats-officedocument.spreadsheetml.worksheet+xml" PartName="/xl/worksheets/sheet46805.xml"/>
  <Override ContentType="application/vnd.openxmlformats-officedocument.spreadsheetml.worksheet+xml" PartName="/xl/worksheets/sheet46806.xml"/>
  <Override ContentType="application/vnd.openxmlformats-officedocument.spreadsheetml.worksheet+xml" PartName="/xl/worksheets/sheet46807.xml"/>
  <Override ContentType="application/vnd.openxmlformats-officedocument.spreadsheetml.worksheet+xml" PartName="/xl/worksheets/sheet46808.xml"/>
  <Override ContentType="application/vnd.openxmlformats-officedocument.spreadsheetml.worksheet+xml" PartName="/xl/worksheets/sheet46809.xml"/>
  <Override ContentType="application/vnd.openxmlformats-officedocument.spreadsheetml.worksheet+xml" PartName="/xl/worksheets/sheet46810.xml"/>
  <Override ContentType="application/vnd.openxmlformats-officedocument.spreadsheetml.worksheet+xml" PartName="/xl/worksheets/sheet46811.xml"/>
  <Override ContentType="application/vnd.openxmlformats-officedocument.spreadsheetml.worksheet+xml" PartName="/xl/worksheets/sheet46812.xml"/>
  <Override ContentType="application/vnd.openxmlformats-officedocument.spreadsheetml.worksheet+xml" PartName="/xl/worksheets/sheet46813.xml"/>
  <Override ContentType="application/vnd.openxmlformats-officedocument.spreadsheetml.worksheet+xml" PartName="/xl/worksheets/sheet46814.xml"/>
  <Override ContentType="application/vnd.openxmlformats-officedocument.spreadsheetml.worksheet+xml" PartName="/xl/worksheets/sheet46815.xml"/>
  <Override ContentType="application/vnd.openxmlformats-officedocument.spreadsheetml.worksheet+xml" PartName="/xl/worksheets/sheet46816.xml"/>
  <Override ContentType="application/vnd.openxmlformats-officedocument.spreadsheetml.worksheet+xml" PartName="/xl/worksheets/sheet46817.xml"/>
  <Override ContentType="application/vnd.openxmlformats-officedocument.spreadsheetml.worksheet+xml" PartName="/xl/worksheets/sheet46818.xml"/>
  <Override ContentType="application/vnd.openxmlformats-officedocument.spreadsheetml.worksheet+xml" PartName="/xl/worksheets/sheet46819.xml"/>
  <Override ContentType="application/vnd.openxmlformats-officedocument.spreadsheetml.worksheet+xml" PartName="/xl/worksheets/sheet46820.xml"/>
  <Override ContentType="application/vnd.openxmlformats-officedocument.spreadsheetml.worksheet+xml" PartName="/xl/worksheets/sheet46821.xml"/>
  <Override ContentType="application/vnd.openxmlformats-officedocument.spreadsheetml.worksheet+xml" PartName="/xl/worksheets/sheet46822.xml"/>
  <Override ContentType="application/vnd.openxmlformats-officedocument.spreadsheetml.worksheet+xml" PartName="/xl/worksheets/sheet46823.xml"/>
  <Override ContentType="application/vnd.openxmlformats-officedocument.spreadsheetml.worksheet+xml" PartName="/xl/worksheets/sheet46824.xml"/>
  <Override ContentType="application/vnd.openxmlformats-officedocument.spreadsheetml.worksheet+xml" PartName="/xl/worksheets/sheet46825.xml"/>
  <Override ContentType="application/vnd.openxmlformats-officedocument.spreadsheetml.worksheet+xml" PartName="/xl/worksheets/sheet46826.xml"/>
  <Override ContentType="application/vnd.openxmlformats-officedocument.spreadsheetml.worksheet+xml" PartName="/xl/worksheets/sheet46827.xml"/>
  <Override ContentType="application/vnd.openxmlformats-officedocument.spreadsheetml.worksheet+xml" PartName="/xl/worksheets/sheet46828.xml"/>
  <Override ContentType="application/vnd.openxmlformats-officedocument.spreadsheetml.worksheet+xml" PartName="/xl/worksheets/sheet46829.xml"/>
  <Override ContentType="application/vnd.openxmlformats-officedocument.spreadsheetml.worksheet+xml" PartName="/xl/worksheets/sheet46830.xml"/>
  <Override ContentType="application/vnd.openxmlformats-officedocument.spreadsheetml.worksheet+xml" PartName="/xl/worksheets/sheet46831.xml"/>
  <Override ContentType="application/vnd.openxmlformats-officedocument.spreadsheetml.worksheet+xml" PartName="/xl/worksheets/sheet46832.xml"/>
  <Override ContentType="application/vnd.openxmlformats-officedocument.spreadsheetml.worksheet+xml" PartName="/xl/worksheets/sheet46833.xml"/>
  <Override ContentType="application/vnd.openxmlformats-officedocument.spreadsheetml.worksheet+xml" PartName="/xl/worksheets/sheet46834.xml"/>
  <Override ContentType="application/vnd.openxmlformats-officedocument.spreadsheetml.worksheet+xml" PartName="/xl/worksheets/sheet46835.xml"/>
  <Override ContentType="application/vnd.openxmlformats-officedocument.spreadsheetml.worksheet+xml" PartName="/xl/worksheets/sheet46836.xml"/>
  <Override ContentType="application/vnd.openxmlformats-officedocument.spreadsheetml.worksheet+xml" PartName="/xl/worksheets/sheet46837.xml"/>
  <Override ContentType="application/vnd.openxmlformats-officedocument.spreadsheetml.worksheet+xml" PartName="/xl/worksheets/sheet46838.xml"/>
  <Override ContentType="application/vnd.openxmlformats-officedocument.spreadsheetml.worksheet+xml" PartName="/xl/worksheets/sheet46839.xml"/>
  <Override ContentType="application/vnd.openxmlformats-officedocument.spreadsheetml.worksheet+xml" PartName="/xl/worksheets/sheet46840.xml"/>
  <Override ContentType="application/vnd.openxmlformats-officedocument.spreadsheetml.worksheet+xml" PartName="/xl/worksheets/sheet46841.xml"/>
  <Override ContentType="application/vnd.openxmlformats-officedocument.spreadsheetml.worksheet+xml" PartName="/xl/worksheets/sheet46842.xml"/>
  <Override ContentType="application/vnd.openxmlformats-officedocument.spreadsheetml.worksheet+xml" PartName="/xl/worksheets/sheet46843.xml"/>
  <Override ContentType="application/vnd.openxmlformats-officedocument.spreadsheetml.worksheet+xml" PartName="/xl/worksheets/sheet46844.xml"/>
  <Override ContentType="application/vnd.openxmlformats-officedocument.spreadsheetml.worksheet+xml" PartName="/xl/worksheets/sheet46845.xml"/>
  <Override ContentType="application/vnd.openxmlformats-officedocument.spreadsheetml.worksheet+xml" PartName="/xl/worksheets/sheet46846.xml"/>
  <Override ContentType="application/vnd.openxmlformats-officedocument.spreadsheetml.worksheet+xml" PartName="/xl/worksheets/sheet46847.xml"/>
  <Override ContentType="application/vnd.openxmlformats-officedocument.spreadsheetml.worksheet+xml" PartName="/xl/worksheets/sheet46848.xml"/>
  <Override ContentType="application/vnd.openxmlformats-officedocument.spreadsheetml.worksheet+xml" PartName="/xl/worksheets/sheet46849.xml"/>
  <Override ContentType="application/vnd.openxmlformats-officedocument.spreadsheetml.worksheet+xml" PartName="/xl/worksheets/sheet46850.xml"/>
  <Override ContentType="application/vnd.openxmlformats-officedocument.spreadsheetml.worksheet+xml" PartName="/xl/worksheets/sheet46851.xml"/>
  <Override ContentType="application/vnd.openxmlformats-officedocument.spreadsheetml.worksheet+xml" PartName="/xl/worksheets/sheet46852.xml"/>
  <Override ContentType="application/vnd.openxmlformats-officedocument.spreadsheetml.worksheet+xml" PartName="/xl/worksheets/sheet46853.xml"/>
  <Override ContentType="application/vnd.openxmlformats-officedocument.spreadsheetml.worksheet+xml" PartName="/xl/worksheets/sheet46854.xml"/>
  <Override ContentType="application/vnd.openxmlformats-officedocument.spreadsheetml.worksheet+xml" PartName="/xl/worksheets/sheet46855.xml"/>
  <Override ContentType="application/vnd.openxmlformats-officedocument.spreadsheetml.worksheet+xml" PartName="/xl/worksheets/sheet46856.xml"/>
  <Override ContentType="application/vnd.openxmlformats-officedocument.spreadsheetml.worksheet+xml" PartName="/xl/worksheets/sheet46857.xml"/>
  <Override ContentType="application/vnd.openxmlformats-officedocument.spreadsheetml.worksheet+xml" PartName="/xl/worksheets/sheet46858.xml"/>
  <Override ContentType="application/vnd.openxmlformats-officedocument.spreadsheetml.worksheet+xml" PartName="/xl/worksheets/sheet46859.xml"/>
  <Override ContentType="application/vnd.openxmlformats-officedocument.spreadsheetml.worksheet+xml" PartName="/xl/worksheets/sheet46860.xml"/>
  <Override ContentType="application/vnd.openxmlformats-officedocument.spreadsheetml.worksheet+xml" PartName="/xl/worksheets/sheet46861.xml"/>
  <Override ContentType="application/vnd.openxmlformats-officedocument.spreadsheetml.worksheet+xml" PartName="/xl/worksheets/sheet46862.xml"/>
  <Override ContentType="application/vnd.openxmlformats-officedocument.spreadsheetml.worksheet+xml" PartName="/xl/worksheets/sheet46863.xml"/>
  <Override ContentType="application/vnd.openxmlformats-officedocument.spreadsheetml.worksheet+xml" PartName="/xl/worksheets/sheet46864.xml"/>
  <Override ContentType="application/vnd.openxmlformats-officedocument.spreadsheetml.worksheet+xml" PartName="/xl/worksheets/sheet46865.xml"/>
  <Override ContentType="application/vnd.openxmlformats-officedocument.spreadsheetml.worksheet+xml" PartName="/xl/worksheets/sheet46866.xml"/>
  <Override ContentType="application/vnd.openxmlformats-officedocument.spreadsheetml.worksheet+xml" PartName="/xl/worksheets/sheet46867.xml"/>
  <Override ContentType="application/vnd.openxmlformats-officedocument.spreadsheetml.worksheet+xml" PartName="/xl/worksheets/sheet46868.xml"/>
  <Override ContentType="application/vnd.openxmlformats-officedocument.spreadsheetml.worksheet+xml" PartName="/xl/worksheets/sheet46869.xml"/>
  <Override ContentType="application/vnd.openxmlformats-officedocument.spreadsheetml.worksheet+xml" PartName="/xl/worksheets/sheet46870.xml"/>
  <Override ContentType="application/vnd.openxmlformats-officedocument.spreadsheetml.worksheet+xml" PartName="/xl/worksheets/sheet46871.xml"/>
  <Override ContentType="application/vnd.openxmlformats-officedocument.spreadsheetml.worksheet+xml" PartName="/xl/worksheets/sheet46872.xml"/>
  <Override ContentType="application/vnd.openxmlformats-officedocument.spreadsheetml.worksheet+xml" PartName="/xl/worksheets/sheet46873.xml"/>
  <Override ContentType="application/vnd.openxmlformats-officedocument.spreadsheetml.worksheet+xml" PartName="/xl/worksheets/sheet46874.xml"/>
  <Override ContentType="application/vnd.openxmlformats-officedocument.spreadsheetml.worksheet+xml" PartName="/xl/worksheets/sheet46875.xml"/>
  <Override ContentType="application/vnd.openxmlformats-officedocument.spreadsheetml.worksheet+xml" PartName="/xl/worksheets/sheet46876.xml"/>
  <Override ContentType="application/vnd.openxmlformats-officedocument.spreadsheetml.worksheet+xml" PartName="/xl/worksheets/sheet46877.xml"/>
  <Override ContentType="application/vnd.openxmlformats-officedocument.spreadsheetml.worksheet+xml" PartName="/xl/worksheets/sheet46878.xml"/>
  <Override ContentType="application/vnd.openxmlformats-officedocument.spreadsheetml.worksheet+xml" PartName="/xl/worksheets/sheet46879.xml"/>
  <Override ContentType="application/vnd.openxmlformats-officedocument.spreadsheetml.worksheet+xml" PartName="/xl/worksheets/sheet46880.xml"/>
  <Override ContentType="application/vnd.openxmlformats-officedocument.spreadsheetml.worksheet+xml" PartName="/xl/worksheets/sheet46881.xml"/>
  <Override ContentType="application/vnd.openxmlformats-officedocument.spreadsheetml.worksheet+xml" PartName="/xl/worksheets/sheet46882.xml"/>
  <Override ContentType="application/vnd.openxmlformats-officedocument.spreadsheetml.worksheet+xml" PartName="/xl/worksheets/sheet46883.xml"/>
  <Override ContentType="application/vnd.openxmlformats-officedocument.spreadsheetml.worksheet+xml" PartName="/xl/worksheets/sheet46884.xml"/>
  <Override ContentType="application/vnd.openxmlformats-officedocument.spreadsheetml.worksheet+xml" PartName="/xl/worksheets/sheet46885.xml"/>
  <Override ContentType="application/vnd.openxmlformats-officedocument.spreadsheetml.worksheet+xml" PartName="/xl/worksheets/sheet46886.xml"/>
  <Override ContentType="application/vnd.openxmlformats-officedocument.spreadsheetml.worksheet+xml" PartName="/xl/worksheets/sheet46887.xml"/>
  <Override ContentType="application/vnd.openxmlformats-officedocument.spreadsheetml.worksheet+xml" PartName="/xl/worksheets/sheet46888.xml"/>
  <Override ContentType="application/vnd.openxmlformats-officedocument.spreadsheetml.worksheet+xml" PartName="/xl/worksheets/sheet46889.xml"/>
  <Override ContentType="application/vnd.openxmlformats-officedocument.spreadsheetml.worksheet+xml" PartName="/xl/worksheets/sheet46890.xml"/>
  <Override ContentType="application/vnd.openxmlformats-officedocument.spreadsheetml.worksheet+xml" PartName="/xl/worksheets/sheet46891.xml"/>
  <Override ContentType="application/vnd.openxmlformats-officedocument.spreadsheetml.worksheet+xml" PartName="/xl/worksheets/sheet46892.xml"/>
  <Override ContentType="application/vnd.openxmlformats-officedocument.spreadsheetml.worksheet+xml" PartName="/xl/worksheets/sheet46893.xml"/>
  <Override ContentType="application/vnd.openxmlformats-officedocument.spreadsheetml.worksheet+xml" PartName="/xl/worksheets/sheet46894.xml"/>
  <Override ContentType="application/vnd.openxmlformats-officedocument.spreadsheetml.worksheet+xml" PartName="/xl/worksheets/sheet46895.xml"/>
  <Override ContentType="application/vnd.openxmlformats-officedocument.spreadsheetml.worksheet+xml" PartName="/xl/worksheets/sheet46896.xml"/>
  <Override ContentType="application/vnd.openxmlformats-officedocument.spreadsheetml.worksheet+xml" PartName="/xl/worksheets/sheet46897.xml"/>
  <Override ContentType="application/vnd.openxmlformats-officedocument.spreadsheetml.worksheet+xml" PartName="/xl/worksheets/sheet46898.xml"/>
  <Override ContentType="application/vnd.openxmlformats-officedocument.spreadsheetml.worksheet+xml" PartName="/xl/worksheets/sheet46899.xml"/>
  <Override ContentType="application/vnd.openxmlformats-officedocument.spreadsheetml.worksheet+xml" PartName="/xl/worksheets/sheet46900.xml"/>
  <Override ContentType="application/vnd.openxmlformats-officedocument.spreadsheetml.worksheet+xml" PartName="/xl/worksheets/sheet46901.xml"/>
  <Override ContentType="application/vnd.openxmlformats-officedocument.spreadsheetml.worksheet+xml" PartName="/xl/worksheets/sheet46902.xml"/>
  <Override ContentType="application/vnd.openxmlformats-officedocument.spreadsheetml.worksheet+xml" PartName="/xl/worksheets/sheet46903.xml"/>
  <Override ContentType="application/vnd.openxmlformats-officedocument.spreadsheetml.worksheet+xml" PartName="/xl/worksheets/sheet46904.xml"/>
  <Override ContentType="application/vnd.openxmlformats-officedocument.spreadsheetml.worksheet+xml" PartName="/xl/worksheets/sheet46905.xml"/>
  <Override ContentType="application/vnd.openxmlformats-officedocument.spreadsheetml.worksheet+xml" PartName="/xl/worksheets/sheet46906.xml"/>
  <Override ContentType="application/vnd.openxmlformats-officedocument.spreadsheetml.worksheet+xml" PartName="/xl/worksheets/sheet46907.xml"/>
  <Override ContentType="application/vnd.openxmlformats-officedocument.spreadsheetml.worksheet+xml" PartName="/xl/worksheets/sheet46908.xml"/>
  <Override ContentType="application/vnd.openxmlformats-officedocument.spreadsheetml.worksheet+xml" PartName="/xl/worksheets/sheet46909.xml"/>
  <Override ContentType="application/vnd.openxmlformats-officedocument.spreadsheetml.worksheet+xml" PartName="/xl/worksheets/sheet46910.xml"/>
  <Override ContentType="application/vnd.openxmlformats-officedocument.spreadsheetml.worksheet+xml" PartName="/xl/worksheets/sheet46911.xml"/>
  <Override ContentType="application/vnd.openxmlformats-officedocument.spreadsheetml.worksheet+xml" PartName="/xl/worksheets/sheet46912.xml"/>
  <Override ContentType="application/vnd.openxmlformats-officedocument.spreadsheetml.worksheet+xml" PartName="/xl/worksheets/sheet46913.xml"/>
  <Override ContentType="application/vnd.openxmlformats-officedocument.spreadsheetml.worksheet+xml" PartName="/xl/worksheets/sheet46914.xml"/>
  <Override ContentType="application/vnd.openxmlformats-officedocument.spreadsheetml.worksheet+xml" PartName="/xl/worksheets/sheet46915.xml"/>
  <Override ContentType="application/vnd.openxmlformats-officedocument.spreadsheetml.worksheet+xml" PartName="/xl/worksheets/sheet46916.xml"/>
  <Override ContentType="application/vnd.openxmlformats-officedocument.spreadsheetml.worksheet+xml" PartName="/xl/worksheets/sheet46917.xml"/>
  <Override ContentType="application/vnd.openxmlformats-officedocument.spreadsheetml.worksheet+xml" PartName="/xl/worksheets/sheet46918.xml"/>
  <Override ContentType="application/vnd.openxmlformats-officedocument.spreadsheetml.worksheet+xml" PartName="/xl/worksheets/sheet46919.xml"/>
  <Override ContentType="application/vnd.openxmlformats-officedocument.spreadsheetml.worksheet+xml" PartName="/xl/worksheets/sheet46920.xml"/>
  <Override ContentType="application/vnd.openxmlformats-officedocument.spreadsheetml.worksheet+xml" PartName="/xl/worksheets/sheet46921.xml"/>
  <Override ContentType="application/vnd.openxmlformats-officedocument.spreadsheetml.worksheet+xml" PartName="/xl/worksheets/sheet46922.xml"/>
  <Override ContentType="application/vnd.openxmlformats-officedocument.spreadsheetml.worksheet+xml" PartName="/xl/worksheets/sheet46923.xml"/>
  <Override ContentType="application/vnd.openxmlformats-officedocument.spreadsheetml.worksheet+xml" PartName="/xl/worksheets/sheet46924.xml"/>
  <Override ContentType="application/vnd.openxmlformats-officedocument.spreadsheetml.worksheet+xml" PartName="/xl/worksheets/sheet46925.xml"/>
  <Override ContentType="application/vnd.openxmlformats-officedocument.spreadsheetml.worksheet+xml" PartName="/xl/worksheets/sheet46926.xml"/>
  <Override ContentType="application/vnd.openxmlformats-officedocument.spreadsheetml.worksheet+xml" PartName="/xl/worksheets/sheet46927.xml"/>
  <Override ContentType="application/vnd.openxmlformats-officedocument.spreadsheetml.worksheet+xml" PartName="/xl/worksheets/sheet46928.xml"/>
  <Override ContentType="application/vnd.openxmlformats-officedocument.spreadsheetml.worksheet+xml" PartName="/xl/worksheets/sheet46929.xml"/>
  <Override ContentType="application/vnd.openxmlformats-officedocument.spreadsheetml.worksheet+xml" PartName="/xl/worksheets/sheet46930.xml"/>
  <Override ContentType="application/vnd.openxmlformats-officedocument.spreadsheetml.worksheet+xml" PartName="/xl/worksheets/sheet46931.xml"/>
  <Override ContentType="application/vnd.openxmlformats-officedocument.spreadsheetml.worksheet+xml" PartName="/xl/worksheets/sheet46932.xml"/>
  <Override ContentType="application/vnd.openxmlformats-officedocument.spreadsheetml.worksheet+xml" PartName="/xl/worksheets/sheet46933.xml"/>
  <Override ContentType="application/vnd.openxmlformats-officedocument.spreadsheetml.worksheet+xml" PartName="/xl/worksheets/sheet46934.xml"/>
  <Override ContentType="application/vnd.openxmlformats-officedocument.spreadsheetml.worksheet+xml" PartName="/xl/worksheets/sheet46935.xml"/>
  <Override ContentType="application/vnd.openxmlformats-officedocument.spreadsheetml.worksheet+xml" PartName="/xl/worksheets/sheet46936.xml"/>
  <Override ContentType="application/vnd.openxmlformats-officedocument.spreadsheetml.worksheet+xml" PartName="/xl/worksheets/sheet46937.xml"/>
  <Override ContentType="application/vnd.openxmlformats-officedocument.spreadsheetml.worksheet+xml" PartName="/xl/worksheets/sheet46938.xml"/>
  <Override ContentType="application/vnd.openxmlformats-officedocument.spreadsheetml.worksheet+xml" PartName="/xl/worksheets/sheet46939.xml"/>
  <Override ContentType="application/vnd.openxmlformats-officedocument.spreadsheetml.worksheet+xml" PartName="/xl/worksheets/sheet46940.xml"/>
  <Override ContentType="application/vnd.openxmlformats-officedocument.spreadsheetml.worksheet+xml" PartName="/xl/worksheets/sheet46941.xml"/>
  <Override ContentType="application/vnd.openxmlformats-officedocument.spreadsheetml.worksheet+xml" PartName="/xl/worksheets/sheet46942.xml"/>
  <Override ContentType="application/vnd.openxmlformats-officedocument.spreadsheetml.worksheet+xml" PartName="/xl/worksheets/sheet46943.xml"/>
  <Override ContentType="application/vnd.openxmlformats-officedocument.spreadsheetml.worksheet+xml" PartName="/xl/worksheets/sheet46944.xml"/>
  <Override ContentType="application/vnd.openxmlformats-officedocument.spreadsheetml.worksheet+xml" PartName="/xl/worksheets/sheet46945.xml"/>
  <Override ContentType="application/vnd.openxmlformats-officedocument.spreadsheetml.worksheet+xml" PartName="/xl/worksheets/sheet46946.xml"/>
  <Override ContentType="application/vnd.openxmlformats-officedocument.spreadsheetml.worksheet+xml" PartName="/xl/worksheets/sheet46947.xml"/>
  <Override ContentType="application/vnd.openxmlformats-officedocument.spreadsheetml.worksheet+xml" PartName="/xl/worksheets/sheet46948.xml"/>
  <Override ContentType="application/vnd.openxmlformats-officedocument.spreadsheetml.worksheet+xml" PartName="/xl/worksheets/sheet46949.xml"/>
  <Override ContentType="application/vnd.openxmlformats-officedocument.spreadsheetml.worksheet+xml" PartName="/xl/worksheets/sheet46950.xml"/>
  <Override ContentType="application/vnd.openxmlformats-officedocument.spreadsheetml.worksheet+xml" PartName="/xl/worksheets/sheet46951.xml"/>
  <Override ContentType="application/vnd.openxmlformats-officedocument.spreadsheetml.worksheet+xml" PartName="/xl/worksheets/sheet46952.xml"/>
  <Override ContentType="application/vnd.openxmlformats-officedocument.spreadsheetml.worksheet+xml" PartName="/xl/worksheets/sheet46953.xml"/>
  <Override ContentType="application/vnd.openxmlformats-officedocument.spreadsheetml.worksheet+xml" PartName="/xl/worksheets/sheet46954.xml"/>
  <Override ContentType="application/vnd.openxmlformats-officedocument.spreadsheetml.worksheet+xml" PartName="/xl/worksheets/sheet46955.xml"/>
  <Override ContentType="application/vnd.openxmlformats-officedocument.spreadsheetml.worksheet+xml" PartName="/xl/worksheets/sheet46956.xml"/>
  <Override ContentType="application/vnd.openxmlformats-officedocument.spreadsheetml.worksheet+xml" PartName="/xl/worksheets/sheet46957.xml"/>
  <Override ContentType="application/vnd.openxmlformats-officedocument.spreadsheetml.worksheet+xml" PartName="/xl/worksheets/sheet46958.xml"/>
  <Override ContentType="application/vnd.openxmlformats-officedocument.spreadsheetml.worksheet+xml" PartName="/xl/worksheets/sheet46959.xml"/>
  <Override ContentType="application/vnd.openxmlformats-officedocument.spreadsheetml.worksheet+xml" PartName="/xl/worksheets/sheet46960.xml"/>
  <Override ContentType="application/vnd.openxmlformats-officedocument.spreadsheetml.worksheet+xml" PartName="/xl/worksheets/sheet46961.xml"/>
  <Override ContentType="application/vnd.openxmlformats-officedocument.spreadsheetml.worksheet+xml" PartName="/xl/worksheets/sheet46962.xml"/>
  <Override ContentType="application/vnd.openxmlformats-officedocument.spreadsheetml.worksheet+xml" PartName="/xl/worksheets/sheet46963.xml"/>
  <Override ContentType="application/vnd.openxmlformats-officedocument.spreadsheetml.worksheet+xml" PartName="/xl/worksheets/sheet46964.xml"/>
  <Override ContentType="application/vnd.openxmlformats-officedocument.spreadsheetml.worksheet+xml" PartName="/xl/worksheets/sheet46965.xml"/>
  <Override ContentType="application/vnd.openxmlformats-officedocument.spreadsheetml.worksheet+xml" PartName="/xl/worksheets/sheet46966.xml"/>
  <Override ContentType="application/vnd.openxmlformats-officedocument.spreadsheetml.worksheet+xml" PartName="/xl/worksheets/sheet46967.xml"/>
  <Override ContentType="application/vnd.openxmlformats-officedocument.spreadsheetml.worksheet+xml" PartName="/xl/worksheets/sheet46968.xml"/>
  <Override ContentType="application/vnd.openxmlformats-officedocument.spreadsheetml.worksheet+xml" PartName="/xl/worksheets/sheet46969.xml"/>
  <Override ContentType="application/vnd.openxmlformats-officedocument.spreadsheetml.worksheet+xml" PartName="/xl/worksheets/sheet46970.xml"/>
  <Override ContentType="application/vnd.openxmlformats-officedocument.spreadsheetml.worksheet+xml" PartName="/xl/worksheets/sheet46971.xml"/>
  <Override ContentType="application/vnd.openxmlformats-officedocument.spreadsheetml.worksheet+xml" PartName="/xl/worksheets/sheet46972.xml"/>
  <Override ContentType="application/vnd.openxmlformats-officedocument.spreadsheetml.worksheet+xml" PartName="/xl/worksheets/sheet46973.xml"/>
  <Override ContentType="application/vnd.openxmlformats-officedocument.spreadsheetml.worksheet+xml" PartName="/xl/worksheets/sheet46974.xml"/>
  <Override ContentType="application/vnd.openxmlformats-officedocument.spreadsheetml.worksheet+xml" PartName="/xl/worksheets/sheet46975.xml"/>
  <Override ContentType="application/vnd.openxmlformats-officedocument.spreadsheetml.worksheet+xml" PartName="/xl/worksheets/sheet46976.xml"/>
  <Override ContentType="application/vnd.openxmlformats-officedocument.spreadsheetml.worksheet+xml" PartName="/xl/worksheets/sheet46977.xml"/>
  <Override ContentType="application/vnd.openxmlformats-officedocument.spreadsheetml.worksheet+xml" PartName="/xl/worksheets/sheet46978.xml"/>
  <Override ContentType="application/vnd.openxmlformats-officedocument.spreadsheetml.worksheet+xml" PartName="/xl/worksheets/sheet46979.xml"/>
  <Override ContentType="application/vnd.openxmlformats-officedocument.spreadsheetml.worksheet+xml" PartName="/xl/worksheets/sheet46980.xml"/>
  <Override ContentType="application/vnd.openxmlformats-officedocument.spreadsheetml.worksheet+xml" PartName="/xl/worksheets/sheet46981.xml"/>
  <Override ContentType="application/vnd.openxmlformats-officedocument.spreadsheetml.worksheet+xml" PartName="/xl/worksheets/sheet46982.xml"/>
  <Override ContentType="application/vnd.openxmlformats-officedocument.spreadsheetml.worksheet+xml" PartName="/xl/worksheets/sheet46983.xml"/>
  <Override ContentType="application/vnd.openxmlformats-officedocument.spreadsheetml.worksheet+xml" PartName="/xl/worksheets/sheet46984.xml"/>
  <Override ContentType="application/vnd.openxmlformats-officedocument.spreadsheetml.worksheet+xml" PartName="/xl/worksheets/sheet46985.xml"/>
  <Override ContentType="application/vnd.openxmlformats-officedocument.spreadsheetml.worksheet+xml" PartName="/xl/worksheets/sheet46986.xml"/>
  <Override ContentType="application/vnd.openxmlformats-officedocument.spreadsheetml.worksheet+xml" PartName="/xl/worksheets/sheet46987.xml"/>
  <Override ContentType="application/vnd.openxmlformats-officedocument.spreadsheetml.worksheet+xml" PartName="/xl/worksheets/sheet46988.xml"/>
  <Override ContentType="application/vnd.openxmlformats-officedocument.spreadsheetml.worksheet+xml" PartName="/xl/worksheets/sheet46989.xml"/>
  <Override ContentType="application/vnd.openxmlformats-officedocument.spreadsheetml.worksheet+xml" PartName="/xl/worksheets/sheet46990.xml"/>
  <Override ContentType="application/vnd.openxmlformats-officedocument.spreadsheetml.worksheet+xml" PartName="/xl/worksheets/sheet46991.xml"/>
  <Override ContentType="application/vnd.openxmlformats-officedocument.spreadsheetml.worksheet+xml" PartName="/xl/worksheets/sheet46992.xml"/>
  <Override ContentType="application/vnd.openxmlformats-officedocument.spreadsheetml.worksheet+xml" PartName="/xl/worksheets/sheet46993.xml"/>
  <Override ContentType="application/vnd.openxmlformats-officedocument.spreadsheetml.worksheet+xml" PartName="/xl/worksheets/sheet46994.xml"/>
  <Override ContentType="application/vnd.openxmlformats-officedocument.spreadsheetml.worksheet+xml" PartName="/xl/worksheets/sheet46995.xml"/>
  <Override ContentType="application/vnd.openxmlformats-officedocument.spreadsheetml.worksheet+xml" PartName="/xl/worksheets/sheet46996.xml"/>
  <Override ContentType="application/vnd.openxmlformats-officedocument.spreadsheetml.worksheet+xml" PartName="/xl/worksheets/sheet46997.xml"/>
  <Override ContentType="application/vnd.openxmlformats-officedocument.spreadsheetml.worksheet+xml" PartName="/xl/worksheets/sheet46998.xml"/>
  <Override ContentType="application/vnd.openxmlformats-officedocument.spreadsheetml.worksheet+xml" PartName="/xl/worksheets/sheet46999.xml"/>
  <Override ContentType="application/vnd.openxmlformats-officedocument.spreadsheetml.worksheet+xml" PartName="/xl/worksheets/sheet47000.xml"/>
  <Override ContentType="application/vnd.openxmlformats-officedocument.spreadsheetml.worksheet+xml" PartName="/xl/worksheets/sheet47001.xml"/>
  <Override ContentType="application/vnd.openxmlformats-officedocument.spreadsheetml.worksheet+xml" PartName="/xl/worksheets/sheet47002.xml"/>
  <Override ContentType="application/vnd.openxmlformats-officedocument.spreadsheetml.worksheet+xml" PartName="/xl/worksheets/sheet47003.xml"/>
  <Override ContentType="application/vnd.openxmlformats-officedocument.spreadsheetml.worksheet+xml" PartName="/xl/worksheets/sheet47004.xml"/>
  <Override ContentType="application/vnd.openxmlformats-officedocument.spreadsheetml.worksheet+xml" PartName="/xl/worksheets/sheet47005.xml"/>
  <Override ContentType="application/vnd.openxmlformats-officedocument.spreadsheetml.worksheet+xml" PartName="/xl/worksheets/sheet47006.xml"/>
  <Override ContentType="application/vnd.openxmlformats-officedocument.spreadsheetml.worksheet+xml" PartName="/xl/worksheets/sheet47007.xml"/>
  <Override ContentType="application/vnd.openxmlformats-officedocument.spreadsheetml.worksheet+xml" PartName="/xl/worksheets/sheet47008.xml"/>
  <Override ContentType="application/vnd.openxmlformats-officedocument.spreadsheetml.worksheet+xml" PartName="/xl/worksheets/sheet47009.xml"/>
  <Override ContentType="application/vnd.openxmlformats-officedocument.spreadsheetml.worksheet+xml" PartName="/xl/worksheets/sheet47010.xml"/>
  <Override ContentType="application/vnd.openxmlformats-officedocument.spreadsheetml.worksheet+xml" PartName="/xl/worksheets/sheet47011.xml"/>
  <Override ContentType="application/vnd.openxmlformats-officedocument.spreadsheetml.worksheet+xml" PartName="/xl/worksheets/sheet47012.xml"/>
  <Override ContentType="application/vnd.openxmlformats-officedocument.spreadsheetml.worksheet+xml" PartName="/xl/worksheets/sheet47013.xml"/>
  <Override ContentType="application/vnd.openxmlformats-officedocument.spreadsheetml.worksheet+xml" PartName="/xl/worksheets/sheet47014.xml"/>
  <Override ContentType="application/vnd.openxmlformats-officedocument.spreadsheetml.worksheet+xml" PartName="/xl/worksheets/sheet47015.xml"/>
  <Override ContentType="application/vnd.openxmlformats-officedocument.spreadsheetml.worksheet+xml" PartName="/xl/worksheets/sheet47016.xml"/>
  <Override ContentType="application/vnd.openxmlformats-officedocument.spreadsheetml.worksheet+xml" PartName="/xl/worksheets/sheet47017.xml"/>
  <Override ContentType="application/vnd.openxmlformats-officedocument.spreadsheetml.worksheet+xml" PartName="/xl/worksheets/sheet47018.xml"/>
  <Override ContentType="application/vnd.openxmlformats-officedocument.spreadsheetml.worksheet+xml" PartName="/xl/worksheets/sheet47019.xml"/>
  <Override ContentType="application/vnd.openxmlformats-officedocument.spreadsheetml.worksheet+xml" PartName="/xl/worksheets/sheet47020.xml"/>
  <Override ContentType="application/vnd.openxmlformats-officedocument.spreadsheetml.worksheet+xml" PartName="/xl/worksheets/sheet47021.xml"/>
  <Override ContentType="application/vnd.openxmlformats-officedocument.spreadsheetml.worksheet+xml" PartName="/xl/worksheets/sheet47022.xml"/>
  <Override ContentType="application/vnd.openxmlformats-officedocument.spreadsheetml.worksheet+xml" PartName="/xl/worksheets/sheet47023.xml"/>
  <Override ContentType="application/vnd.openxmlformats-officedocument.spreadsheetml.worksheet+xml" PartName="/xl/worksheets/sheet47024.xml"/>
  <Override ContentType="application/vnd.openxmlformats-officedocument.spreadsheetml.worksheet+xml" PartName="/xl/worksheets/sheet47025.xml"/>
  <Override ContentType="application/vnd.openxmlformats-officedocument.spreadsheetml.worksheet+xml" PartName="/xl/worksheets/sheet47026.xml"/>
  <Override ContentType="application/vnd.openxmlformats-officedocument.spreadsheetml.worksheet+xml" PartName="/xl/worksheets/sheet47027.xml"/>
  <Override ContentType="application/vnd.openxmlformats-officedocument.spreadsheetml.worksheet+xml" PartName="/xl/worksheets/sheet47028.xml"/>
  <Override ContentType="application/vnd.openxmlformats-officedocument.spreadsheetml.worksheet+xml" PartName="/xl/worksheets/sheet47029.xml"/>
  <Override ContentType="application/vnd.openxmlformats-officedocument.spreadsheetml.worksheet+xml" PartName="/xl/worksheets/sheet47030.xml"/>
  <Override ContentType="application/vnd.openxmlformats-officedocument.spreadsheetml.worksheet+xml" PartName="/xl/worksheets/sheet47031.xml"/>
  <Override ContentType="application/vnd.openxmlformats-officedocument.spreadsheetml.worksheet+xml" PartName="/xl/worksheets/sheet47032.xml"/>
  <Override ContentType="application/vnd.openxmlformats-officedocument.spreadsheetml.worksheet+xml" PartName="/xl/worksheets/sheet47033.xml"/>
  <Override ContentType="application/vnd.openxmlformats-officedocument.spreadsheetml.worksheet+xml" PartName="/xl/worksheets/sheet47034.xml"/>
  <Override ContentType="application/vnd.openxmlformats-officedocument.spreadsheetml.worksheet+xml" PartName="/xl/worksheets/sheet47035.xml"/>
  <Override ContentType="application/vnd.openxmlformats-officedocument.spreadsheetml.worksheet+xml" PartName="/xl/worksheets/sheet47036.xml"/>
  <Override ContentType="application/vnd.openxmlformats-officedocument.spreadsheetml.worksheet+xml" PartName="/xl/worksheets/sheet47037.xml"/>
  <Override ContentType="application/vnd.openxmlformats-officedocument.spreadsheetml.worksheet+xml" PartName="/xl/worksheets/sheet47038.xml"/>
  <Override ContentType="application/vnd.openxmlformats-officedocument.spreadsheetml.worksheet+xml" PartName="/xl/worksheets/sheet47039.xml"/>
  <Override ContentType="application/vnd.openxmlformats-officedocument.spreadsheetml.worksheet+xml" PartName="/xl/worksheets/sheet47040.xml"/>
  <Override ContentType="application/vnd.openxmlformats-officedocument.spreadsheetml.worksheet+xml" PartName="/xl/worksheets/sheet47041.xml"/>
  <Override ContentType="application/vnd.openxmlformats-officedocument.spreadsheetml.worksheet+xml" PartName="/xl/worksheets/sheet47042.xml"/>
  <Override ContentType="application/vnd.openxmlformats-officedocument.spreadsheetml.worksheet+xml" PartName="/xl/worksheets/sheet47043.xml"/>
  <Override ContentType="application/vnd.openxmlformats-officedocument.spreadsheetml.worksheet+xml" PartName="/xl/worksheets/sheet47044.xml"/>
  <Override ContentType="application/vnd.openxmlformats-officedocument.spreadsheetml.worksheet+xml" PartName="/xl/worksheets/sheet47045.xml"/>
  <Override ContentType="application/vnd.openxmlformats-officedocument.spreadsheetml.worksheet+xml" PartName="/xl/worksheets/sheet47046.xml"/>
  <Override ContentType="application/vnd.openxmlformats-officedocument.spreadsheetml.worksheet+xml" PartName="/xl/worksheets/sheet47047.xml"/>
  <Override ContentType="application/vnd.openxmlformats-officedocument.spreadsheetml.worksheet+xml" PartName="/xl/worksheets/sheet47048.xml"/>
  <Override ContentType="application/vnd.openxmlformats-officedocument.spreadsheetml.worksheet+xml" PartName="/xl/worksheets/sheet47049.xml"/>
  <Override ContentType="application/vnd.openxmlformats-officedocument.spreadsheetml.worksheet+xml" PartName="/xl/worksheets/sheet47050.xml"/>
  <Override ContentType="application/vnd.openxmlformats-officedocument.spreadsheetml.worksheet+xml" PartName="/xl/worksheets/sheet47051.xml"/>
  <Override ContentType="application/vnd.openxmlformats-officedocument.spreadsheetml.worksheet+xml" PartName="/xl/worksheets/sheet47052.xml"/>
  <Override ContentType="application/vnd.openxmlformats-officedocument.spreadsheetml.worksheet+xml" PartName="/xl/worksheets/sheet47053.xml"/>
  <Override ContentType="application/vnd.openxmlformats-officedocument.spreadsheetml.worksheet+xml" PartName="/xl/worksheets/sheet47054.xml"/>
  <Override ContentType="application/vnd.openxmlformats-officedocument.spreadsheetml.worksheet+xml" PartName="/xl/worksheets/sheet47055.xml"/>
  <Override ContentType="application/vnd.openxmlformats-officedocument.spreadsheetml.worksheet+xml" PartName="/xl/worksheets/sheet47056.xml"/>
  <Override ContentType="application/vnd.openxmlformats-officedocument.spreadsheetml.worksheet+xml" PartName="/xl/worksheets/sheet47057.xml"/>
  <Override ContentType="application/vnd.openxmlformats-officedocument.spreadsheetml.worksheet+xml" PartName="/xl/worksheets/sheet47058.xml"/>
  <Override ContentType="application/vnd.openxmlformats-officedocument.spreadsheetml.worksheet+xml" PartName="/xl/worksheets/sheet47059.xml"/>
  <Override ContentType="application/vnd.openxmlformats-officedocument.spreadsheetml.worksheet+xml" PartName="/xl/worksheets/sheet47060.xml"/>
  <Override ContentType="application/vnd.openxmlformats-officedocument.spreadsheetml.worksheet+xml" PartName="/xl/worksheets/sheet47061.xml"/>
  <Override ContentType="application/vnd.openxmlformats-officedocument.spreadsheetml.worksheet+xml" PartName="/xl/worksheets/sheet47062.xml"/>
  <Override ContentType="application/vnd.openxmlformats-officedocument.spreadsheetml.worksheet+xml" PartName="/xl/worksheets/sheet47063.xml"/>
  <Override ContentType="application/vnd.openxmlformats-officedocument.spreadsheetml.worksheet+xml" PartName="/xl/worksheets/sheet47064.xml"/>
  <Override ContentType="application/vnd.openxmlformats-officedocument.spreadsheetml.worksheet+xml" PartName="/xl/worksheets/sheet47065.xml"/>
  <Override ContentType="application/vnd.openxmlformats-officedocument.spreadsheetml.worksheet+xml" PartName="/xl/worksheets/sheet47066.xml"/>
  <Override ContentType="application/vnd.openxmlformats-officedocument.spreadsheetml.worksheet+xml" PartName="/xl/worksheets/sheet47067.xml"/>
  <Override ContentType="application/vnd.openxmlformats-officedocument.spreadsheetml.worksheet+xml" PartName="/xl/worksheets/sheet47068.xml"/>
  <Override ContentType="application/vnd.openxmlformats-officedocument.spreadsheetml.worksheet+xml" PartName="/xl/worksheets/sheet47069.xml"/>
  <Override ContentType="application/vnd.openxmlformats-officedocument.spreadsheetml.worksheet+xml" PartName="/xl/worksheets/sheet47070.xml"/>
  <Override ContentType="application/vnd.openxmlformats-officedocument.spreadsheetml.worksheet+xml" PartName="/xl/worksheets/sheet47071.xml"/>
  <Override ContentType="application/vnd.openxmlformats-officedocument.spreadsheetml.worksheet+xml" PartName="/xl/worksheets/sheet47072.xml"/>
  <Override ContentType="application/vnd.openxmlformats-officedocument.spreadsheetml.worksheet+xml" PartName="/xl/worksheets/sheet47073.xml"/>
  <Override ContentType="application/vnd.openxmlformats-officedocument.spreadsheetml.worksheet+xml" PartName="/xl/worksheets/sheet47074.xml"/>
  <Override ContentType="application/vnd.openxmlformats-officedocument.spreadsheetml.worksheet+xml" PartName="/xl/worksheets/sheet47075.xml"/>
  <Override ContentType="application/vnd.openxmlformats-officedocument.spreadsheetml.worksheet+xml" PartName="/xl/worksheets/sheet47076.xml"/>
  <Override ContentType="application/vnd.openxmlformats-officedocument.spreadsheetml.worksheet+xml" PartName="/xl/worksheets/sheet47077.xml"/>
  <Override ContentType="application/vnd.openxmlformats-officedocument.spreadsheetml.worksheet+xml" PartName="/xl/worksheets/sheet47078.xml"/>
  <Override ContentType="application/vnd.openxmlformats-officedocument.spreadsheetml.worksheet+xml" PartName="/xl/worksheets/sheet47079.xml"/>
  <Override ContentType="application/vnd.openxmlformats-officedocument.spreadsheetml.worksheet+xml" PartName="/xl/worksheets/sheet47080.xml"/>
  <Override ContentType="application/vnd.openxmlformats-officedocument.spreadsheetml.worksheet+xml" PartName="/xl/worksheets/sheet47081.xml"/>
  <Override ContentType="application/vnd.openxmlformats-officedocument.spreadsheetml.worksheet+xml" PartName="/xl/worksheets/sheet47082.xml"/>
  <Override ContentType="application/vnd.openxmlformats-officedocument.spreadsheetml.worksheet+xml" PartName="/xl/worksheets/sheet47083.xml"/>
  <Override ContentType="application/vnd.openxmlformats-officedocument.spreadsheetml.worksheet+xml" PartName="/xl/worksheets/sheet47084.xml"/>
  <Override ContentType="application/vnd.openxmlformats-officedocument.spreadsheetml.worksheet+xml" PartName="/xl/worksheets/sheet47085.xml"/>
  <Override ContentType="application/vnd.openxmlformats-officedocument.spreadsheetml.worksheet+xml" PartName="/xl/worksheets/sheet47086.xml"/>
  <Override ContentType="application/vnd.openxmlformats-officedocument.spreadsheetml.worksheet+xml" PartName="/xl/worksheets/sheet47087.xml"/>
  <Override ContentType="application/vnd.openxmlformats-officedocument.spreadsheetml.worksheet+xml" PartName="/xl/worksheets/sheet47088.xml"/>
  <Override ContentType="application/vnd.openxmlformats-officedocument.spreadsheetml.worksheet+xml" PartName="/xl/worksheets/sheet47089.xml"/>
  <Override ContentType="application/vnd.openxmlformats-officedocument.spreadsheetml.worksheet+xml" PartName="/xl/worksheets/sheet47090.xml"/>
  <Override ContentType="application/vnd.openxmlformats-officedocument.spreadsheetml.worksheet+xml" PartName="/xl/worksheets/sheet47091.xml"/>
  <Override ContentType="application/vnd.openxmlformats-officedocument.spreadsheetml.worksheet+xml" PartName="/xl/worksheets/sheet47092.xml"/>
  <Override ContentType="application/vnd.openxmlformats-officedocument.spreadsheetml.worksheet+xml" PartName="/xl/worksheets/sheet47093.xml"/>
  <Override ContentType="application/vnd.openxmlformats-officedocument.spreadsheetml.worksheet+xml" PartName="/xl/worksheets/sheet47094.xml"/>
  <Override ContentType="application/vnd.openxmlformats-officedocument.spreadsheetml.worksheet+xml" PartName="/xl/worksheets/sheet47095.xml"/>
  <Override ContentType="application/vnd.openxmlformats-officedocument.spreadsheetml.worksheet+xml" PartName="/xl/worksheets/sheet47096.xml"/>
  <Override ContentType="application/vnd.openxmlformats-officedocument.spreadsheetml.worksheet+xml" PartName="/xl/worksheets/sheet47097.xml"/>
  <Override ContentType="application/vnd.openxmlformats-officedocument.spreadsheetml.worksheet+xml" PartName="/xl/worksheets/sheet47098.xml"/>
  <Override ContentType="application/vnd.openxmlformats-officedocument.spreadsheetml.worksheet+xml" PartName="/xl/worksheets/sheet47099.xml"/>
  <Override ContentType="application/vnd.openxmlformats-officedocument.spreadsheetml.worksheet+xml" PartName="/xl/worksheets/sheet47100.xml"/>
  <Override ContentType="application/vnd.openxmlformats-officedocument.spreadsheetml.worksheet+xml" PartName="/xl/worksheets/sheet47101.xml"/>
  <Override ContentType="application/vnd.openxmlformats-officedocument.spreadsheetml.worksheet+xml" PartName="/xl/worksheets/sheet47102.xml"/>
  <Override ContentType="application/vnd.openxmlformats-officedocument.spreadsheetml.worksheet+xml" PartName="/xl/worksheets/sheet47103.xml"/>
  <Override ContentType="application/vnd.openxmlformats-officedocument.spreadsheetml.worksheet+xml" PartName="/xl/worksheets/sheet47104.xml"/>
  <Override ContentType="application/vnd.openxmlformats-officedocument.spreadsheetml.worksheet+xml" PartName="/xl/worksheets/sheet47105.xml"/>
  <Override ContentType="application/vnd.openxmlformats-officedocument.spreadsheetml.worksheet+xml" PartName="/xl/worksheets/sheet47106.xml"/>
  <Override ContentType="application/vnd.openxmlformats-officedocument.spreadsheetml.worksheet+xml" PartName="/xl/worksheets/sheet47107.xml"/>
  <Override ContentType="application/vnd.openxmlformats-officedocument.spreadsheetml.worksheet+xml" PartName="/xl/worksheets/sheet47108.xml"/>
  <Override ContentType="application/vnd.openxmlformats-officedocument.spreadsheetml.worksheet+xml" PartName="/xl/worksheets/sheet47109.xml"/>
  <Override ContentType="application/vnd.openxmlformats-officedocument.spreadsheetml.worksheet+xml" PartName="/xl/worksheets/sheet47110.xml"/>
  <Override ContentType="application/vnd.openxmlformats-officedocument.spreadsheetml.worksheet+xml" PartName="/xl/worksheets/sheet47111.xml"/>
  <Override ContentType="application/vnd.openxmlformats-officedocument.spreadsheetml.worksheet+xml" PartName="/xl/worksheets/sheet47112.xml"/>
  <Override ContentType="application/vnd.openxmlformats-officedocument.spreadsheetml.worksheet+xml" PartName="/xl/worksheets/sheet47113.xml"/>
  <Override ContentType="application/vnd.openxmlformats-officedocument.spreadsheetml.worksheet+xml" PartName="/xl/worksheets/sheet47114.xml"/>
  <Override ContentType="application/vnd.openxmlformats-officedocument.spreadsheetml.worksheet+xml" PartName="/xl/worksheets/sheet47115.xml"/>
  <Override ContentType="application/vnd.openxmlformats-officedocument.spreadsheetml.worksheet+xml" PartName="/xl/worksheets/sheet47116.xml"/>
  <Override ContentType="application/vnd.openxmlformats-officedocument.spreadsheetml.worksheet+xml" PartName="/xl/worksheets/sheet47117.xml"/>
  <Override ContentType="application/vnd.openxmlformats-officedocument.spreadsheetml.worksheet+xml" PartName="/xl/worksheets/sheet47118.xml"/>
  <Override ContentType="application/vnd.openxmlformats-officedocument.spreadsheetml.worksheet+xml" PartName="/xl/worksheets/sheet47119.xml"/>
  <Override ContentType="application/vnd.openxmlformats-officedocument.spreadsheetml.worksheet+xml" PartName="/xl/worksheets/sheet47120.xml"/>
  <Override ContentType="application/vnd.openxmlformats-officedocument.spreadsheetml.worksheet+xml" PartName="/xl/worksheets/sheet47121.xml"/>
  <Override ContentType="application/vnd.openxmlformats-officedocument.spreadsheetml.worksheet+xml" PartName="/xl/worksheets/sheet47122.xml"/>
  <Override ContentType="application/vnd.openxmlformats-officedocument.spreadsheetml.worksheet+xml" PartName="/xl/worksheets/sheet47123.xml"/>
  <Override ContentType="application/vnd.openxmlformats-officedocument.spreadsheetml.worksheet+xml" PartName="/xl/worksheets/sheet47124.xml"/>
  <Override ContentType="application/vnd.openxmlformats-officedocument.spreadsheetml.worksheet+xml" PartName="/xl/worksheets/sheet47125.xml"/>
  <Override ContentType="application/vnd.openxmlformats-officedocument.spreadsheetml.worksheet+xml" PartName="/xl/worksheets/sheet47126.xml"/>
  <Override ContentType="application/vnd.openxmlformats-officedocument.spreadsheetml.worksheet+xml" PartName="/xl/worksheets/sheet47127.xml"/>
  <Override ContentType="application/vnd.openxmlformats-officedocument.spreadsheetml.worksheet+xml" PartName="/xl/worksheets/sheet47128.xml"/>
  <Override ContentType="application/vnd.openxmlformats-officedocument.spreadsheetml.worksheet+xml" PartName="/xl/worksheets/sheet47129.xml"/>
  <Override ContentType="application/vnd.openxmlformats-officedocument.spreadsheetml.worksheet+xml" PartName="/xl/worksheets/sheet47130.xml"/>
  <Override ContentType="application/vnd.openxmlformats-officedocument.spreadsheetml.worksheet+xml" PartName="/xl/worksheets/sheet47131.xml"/>
  <Override ContentType="application/vnd.openxmlformats-officedocument.spreadsheetml.worksheet+xml" PartName="/xl/worksheets/sheet47132.xml"/>
  <Override ContentType="application/vnd.openxmlformats-officedocument.spreadsheetml.worksheet+xml" PartName="/xl/worksheets/sheet47133.xml"/>
  <Override ContentType="application/vnd.openxmlformats-officedocument.spreadsheetml.worksheet+xml" PartName="/xl/worksheets/sheet47134.xml"/>
  <Override ContentType="application/vnd.openxmlformats-officedocument.spreadsheetml.worksheet+xml" PartName="/xl/worksheets/sheet47135.xml"/>
  <Override ContentType="application/vnd.openxmlformats-officedocument.spreadsheetml.worksheet+xml" PartName="/xl/worksheets/sheet47136.xml"/>
  <Override ContentType="application/vnd.openxmlformats-officedocument.spreadsheetml.worksheet+xml" PartName="/xl/worksheets/sheet47137.xml"/>
  <Override ContentType="application/vnd.openxmlformats-officedocument.spreadsheetml.worksheet+xml" PartName="/xl/worksheets/sheet47138.xml"/>
  <Override ContentType="application/vnd.openxmlformats-officedocument.spreadsheetml.worksheet+xml" PartName="/xl/worksheets/sheet47139.xml"/>
  <Override ContentType="application/vnd.openxmlformats-officedocument.spreadsheetml.worksheet+xml" PartName="/xl/worksheets/sheet47140.xml"/>
  <Override ContentType="application/vnd.openxmlformats-officedocument.spreadsheetml.worksheet+xml" PartName="/xl/worksheets/sheet47141.xml"/>
  <Override ContentType="application/vnd.openxmlformats-officedocument.spreadsheetml.worksheet+xml" PartName="/xl/worksheets/sheet47142.xml"/>
  <Override ContentType="application/vnd.openxmlformats-officedocument.spreadsheetml.worksheet+xml" PartName="/xl/worksheets/sheet47143.xml"/>
  <Override ContentType="application/vnd.openxmlformats-officedocument.spreadsheetml.worksheet+xml" PartName="/xl/worksheets/sheet47144.xml"/>
  <Override ContentType="application/vnd.openxmlformats-officedocument.spreadsheetml.worksheet+xml" PartName="/xl/worksheets/sheet47145.xml"/>
  <Override ContentType="application/vnd.openxmlformats-officedocument.spreadsheetml.worksheet+xml" PartName="/xl/worksheets/sheet47146.xml"/>
  <Override ContentType="application/vnd.openxmlformats-officedocument.spreadsheetml.worksheet+xml" PartName="/xl/worksheets/sheet47147.xml"/>
  <Override ContentType="application/vnd.openxmlformats-officedocument.spreadsheetml.worksheet+xml" PartName="/xl/worksheets/sheet47148.xml"/>
  <Override ContentType="application/vnd.openxmlformats-officedocument.spreadsheetml.worksheet+xml" PartName="/xl/worksheets/sheet47149.xml"/>
  <Override ContentType="application/vnd.openxmlformats-officedocument.spreadsheetml.worksheet+xml" PartName="/xl/worksheets/sheet47150.xml"/>
  <Override ContentType="application/vnd.openxmlformats-officedocument.spreadsheetml.worksheet+xml" PartName="/xl/worksheets/sheet47151.xml"/>
  <Override ContentType="application/vnd.openxmlformats-officedocument.spreadsheetml.worksheet+xml" PartName="/xl/worksheets/sheet47152.xml"/>
  <Override ContentType="application/vnd.openxmlformats-officedocument.spreadsheetml.worksheet+xml" PartName="/xl/worksheets/sheet47153.xml"/>
  <Override ContentType="application/vnd.openxmlformats-officedocument.spreadsheetml.worksheet+xml" PartName="/xl/worksheets/sheet47154.xml"/>
  <Override ContentType="application/vnd.openxmlformats-officedocument.spreadsheetml.worksheet+xml" PartName="/xl/worksheets/sheet47155.xml"/>
  <Override ContentType="application/vnd.openxmlformats-officedocument.spreadsheetml.worksheet+xml" PartName="/xl/worksheets/sheet47156.xml"/>
  <Override ContentType="application/vnd.openxmlformats-officedocument.spreadsheetml.worksheet+xml" PartName="/xl/worksheets/sheet47157.xml"/>
  <Override ContentType="application/vnd.openxmlformats-officedocument.spreadsheetml.worksheet+xml" PartName="/xl/worksheets/sheet47158.xml"/>
  <Override ContentType="application/vnd.openxmlformats-officedocument.spreadsheetml.worksheet+xml" PartName="/xl/worksheets/sheet47159.xml"/>
  <Override ContentType="application/vnd.openxmlformats-officedocument.spreadsheetml.worksheet+xml" PartName="/xl/worksheets/sheet47160.xml"/>
  <Override ContentType="application/vnd.openxmlformats-officedocument.spreadsheetml.worksheet+xml" PartName="/xl/worksheets/sheet47161.xml"/>
  <Override ContentType="application/vnd.openxmlformats-officedocument.spreadsheetml.worksheet+xml" PartName="/xl/worksheets/sheet47162.xml"/>
  <Override ContentType="application/vnd.openxmlformats-officedocument.spreadsheetml.worksheet+xml" PartName="/xl/worksheets/sheet47163.xml"/>
  <Override ContentType="application/vnd.openxmlformats-officedocument.spreadsheetml.worksheet+xml" PartName="/xl/worksheets/sheet47164.xml"/>
  <Override ContentType="application/vnd.openxmlformats-officedocument.spreadsheetml.worksheet+xml" PartName="/xl/worksheets/sheet47165.xml"/>
  <Override ContentType="application/vnd.openxmlformats-officedocument.spreadsheetml.worksheet+xml" PartName="/xl/worksheets/sheet47166.xml"/>
  <Override ContentType="application/vnd.openxmlformats-officedocument.spreadsheetml.worksheet+xml" PartName="/xl/worksheets/sheet47167.xml"/>
  <Override ContentType="application/vnd.openxmlformats-officedocument.spreadsheetml.worksheet+xml" PartName="/xl/worksheets/sheet47168.xml"/>
  <Override ContentType="application/vnd.openxmlformats-officedocument.spreadsheetml.worksheet+xml" PartName="/xl/worksheets/sheet47169.xml"/>
  <Override ContentType="application/vnd.openxmlformats-officedocument.spreadsheetml.worksheet+xml" PartName="/xl/worksheets/sheet47170.xml"/>
  <Override ContentType="application/vnd.openxmlformats-officedocument.spreadsheetml.worksheet+xml" PartName="/xl/worksheets/sheet47171.xml"/>
  <Override ContentType="application/vnd.openxmlformats-officedocument.spreadsheetml.worksheet+xml" PartName="/xl/worksheets/sheet47172.xml"/>
  <Override ContentType="application/vnd.openxmlformats-officedocument.spreadsheetml.worksheet+xml" PartName="/xl/worksheets/sheet47173.xml"/>
  <Override ContentType="application/vnd.openxmlformats-officedocument.spreadsheetml.worksheet+xml" PartName="/xl/worksheets/sheet47174.xml"/>
  <Override ContentType="application/vnd.openxmlformats-officedocument.spreadsheetml.worksheet+xml" PartName="/xl/worksheets/sheet47175.xml"/>
  <Override ContentType="application/vnd.openxmlformats-officedocument.spreadsheetml.worksheet+xml" PartName="/xl/worksheets/sheet47176.xml"/>
  <Override ContentType="application/vnd.openxmlformats-officedocument.spreadsheetml.worksheet+xml" PartName="/xl/worksheets/sheet47177.xml"/>
  <Override ContentType="application/vnd.openxmlformats-officedocument.spreadsheetml.worksheet+xml" PartName="/xl/worksheets/sheet47178.xml"/>
  <Override ContentType="application/vnd.openxmlformats-officedocument.spreadsheetml.worksheet+xml" PartName="/xl/worksheets/sheet47179.xml"/>
  <Override ContentType="application/vnd.openxmlformats-officedocument.spreadsheetml.worksheet+xml" PartName="/xl/worksheets/sheet47180.xml"/>
  <Override ContentType="application/vnd.openxmlformats-officedocument.spreadsheetml.worksheet+xml" PartName="/xl/worksheets/sheet47181.xml"/>
  <Override ContentType="application/vnd.openxmlformats-officedocument.spreadsheetml.worksheet+xml" PartName="/xl/worksheets/sheet47182.xml"/>
  <Override ContentType="application/vnd.openxmlformats-officedocument.spreadsheetml.worksheet+xml" PartName="/xl/worksheets/sheet47183.xml"/>
  <Override ContentType="application/vnd.openxmlformats-officedocument.spreadsheetml.worksheet+xml" PartName="/xl/worksheets/sheet47184.xml"/>
  <Override ContentType="application/vnd.openxmlformats-officedocument.spreadsheetml.worksheet+xml" PartName="/xl/worksheets/sheet47185.xml"/>
  <Override ContentType="application/vnd.openxmlformats-officedocument.spreadsheetml.worksheet+xml" PartName="/xl/worksheets/sheet47186.xml"/>
  <Override ContentType="application/vnd.openxmlformats-officedocument.spreadsheetml.worksheet+xml" PartName="/xl/worksheets/sheet47187.xml"/>
  <Override ContentType="application/vnd.openxmlformats-officedocument.spreadsheetml.worksheet+xml" PartName="/xl/worksheets/sheet47188.xml"/>
  <Override ContentType="application/vnd.openxmlformats-officedocument.spreadsheetml.worksheet+xml" PartName="/xl/worksheets/sheet47189.xml"/>
  <Override ContentType="application/vnd.openxmlformats-officedocument.spreadsheetml.worksheet+xml" PartName="/xl/worksheets/sheet47190.xml"/>
  <Override ContentType="application/vnd.openxmlformats-officedocument.spreadsheetml.worksheet+xml" PartName="/xl/worksheets/sheet47191.xml"/>
  <Override ContentType="application/vnd.openxmlformats-officedocument.spreadsheetml.worksheet+xml" PartName="/xl/worksheets/sheet47192.xml"/>
  <Override ContentType="application/vnd.openxmlformats-officedocument.spreadsheetml.worksheet+xml" PartName="/xl/worksheets/sheet47193.xml"/>
  <Override ContentType="application/vnd.openxmlformats-officedocument.spreadsheetml.worksheet+xml" PartName="/xl/worksheets/sheet47194.xml"/>
  <Override ContentType="application/vnd.openxmlformats-officedocument.spreadsheetml.worksheet+xml" PartName="/xl/worksheets/sheet47195.xml"/>
  <Override ContentType="application/vnd.openxmlformats-officedocument.spreadsheetml.worksheet+xml" PartName="/xl/worksheets/sheet47196.xml"/>
  <Override ContentType="application/vnd.openxmlformats-officedocument.spreadsheetml.worksheet+xml" PartName="/xl/worksheets/sheet47197.xml"/>
  <Override ContentType="application/vnd.openxmlformats-officedocument.spreadsheetml.worksheet+xml" PartName="/xl/worksheets/sheet47198.xml"/>
  <Override ContentType="application/vnd.openxmlformats-officedocument.spreadsheetml.worksheet+xml" PartName="/xl/worksheets/sheet47199.xml"/>
  <Override ContentType="application/vnd.openxmlformats-officedocument.spreadsheetml.worksheet+xml" PartName="/xl/worksheets/sheet47200.xml"/>
  <Override ContentType="application/vnd.openxmlformats-officedocument.spreadsheetml.worksheet+xml" PartName="/xl/worksheets/sheet47201.xml"/>
  <Override ContentType="application/vnd.openxmlformats-officedocument.spreadsheetml.worksheet+xml" PartName="/xl/worksheets/sheet47202.xml"/>
  <Override ContentType="application/vnd.openxmlformats-officedocument.spreadsheetml.worksheet+xml" PartName="/xl/worksheets/sheet47203.xml"/>
  <Override ContentType="application/vnd.openxmlformats-officedocument.spreadsheetml.worksheet+xml" PartName="/xl/worksheets/sheet47204.xml"/>
  <Override ContentType="application/vnd.openxmlformats-officedocument.spreadsheetml.worksheet+xml" PartName="/xl/worksheets/sheet47205.xml"/>
  <Override ContentType="application/vnd.openxmlformats-officedocument.spreadsheetml.worksheet+xml" PartName="/xl/worksheets/sheet47206.xml"/>
  <Override ContentType="application/vnd.openxmlformats-officedocument.spreadsheetml.worksheet+xml" PartName="/xl/worksheets/sheet47207.xml"/>
  <Override ContentType="application/vnd.openxmlformats-officedocument.spreadsheetml.worksheet+xml" PartName="/xl/worksheets/sheet47208.xml"/>
  <Override ContentType="application/vnd.openxmlformats-officedocument.spreadsheetml.worksheet+xml" PartName="/xl/worksheets/sheet47209.xml"/>
  <Override ContentType="application/vnd.openxmlformats-officedocument.spreadsheetml.worksheet+xml" PartName="/xl/worksheets/sheet47210.xml"/>
  <Override ContentType="application/vnd.openxmlformats-officedocument.spreadsheetml.worksheet+xml" PartName="/xl/worksheets/sheet47211.xml"/>
  <Override ContentType="application/vnd.openxmlformats-officedocument.spreadsheetml.worksheet+xml" PartName="/xl/worksheets/sheet47212.xml"/>
  <Override ContentType="application/vnd.openxmlformats-officedocument.spreadsheetml.worksheet+xml" PartName="/xl/worksheets/sheet47213.xml"/>
  <Override ContentType="application/vnd.openxmlformats-officedocument.spreadsheetml.worksheet+xml" PartName="/xl/worksheets/sheet47214.xml"/>
  <Override ContentType="application/vnd.openxmlformats-officedocument.spreadsheetml.worksheet+xml" PartName="/xl/worksheets/sheet47215.xml"/>
  <Override ContentType="application/vnd.openxmlformats-officedocument.spreadsheetml.worksheet+xml" PartName="/xl/worksheets/sheet47216.xml"/>
  <Override ContentType="application/vnd.openxmlformats-officedocument.spreadsheetml.worksheet+xml" PartName="/xl/worksheets/sheet47217.xml"/>
  <Override ContentType="application/vnd.openxmlformats-officedocument.spreadsheetml.worksheet+xml" PartName="/xl/worksheets/sheet47218.xml"/>
  <Override ContentType="application/vnd.openxmlformats-officedocument.spreadsheetml.worksheet+xml" PartName="/xl/worksheets/sheet47219.xml"/>
  <Override ContentType="application/vnd.openxmlformats-officedocument.spreadsheetml.worksheet+xml" PartName="/xl/worksheets/sheet47220.xml"/>
  <Override ContentType="application/vnd.openxmlformats-officedocument.spreadsheetml.worksheet+xml" PartName="/xl/worksheets/sheet47221.xml"/>
  <Override ContentType="application/vnd.openxmlformats-officedocument.spreadsheetml.worksheet+xml" PartName="/xl/worksheets/sheet47222.xml"/>
  <Override ContentType="application/vnd.openxmlformats-officedocument.spreadsheetml.worksheet+xml" PartName="/xl/worksheets/sheet47223.xml"/>
  <Override ContentType="application/vnd.openxmlformats-officedocument.spreadsheetml.worksheet+xml" PartName="/xl/worksheets/sheet47224.xml"/>
  <Override ContentType="application/vnd.openxmlformats-officedocument.spreadsheetml.worksheet+xml" PartName="/xl/worksheets/sheet47225.xml"/>
  <Override ContentType="application/vnd.openxmlformats-officedocument.spreadsheetml.worksheet+xml" PartName="/xl/worksheets/sheet47226.xml"/>
  <Override ContentType="application/vnd.openxmlformats-officedocument.spreadsheetml.worksheet+xml" PartName="/xl/worksheets/sheet47227.xml"/>
  <Override ContentType="application/vnd.openxmlformats-officedocument.spreadsheetml.worksheet+xml" PartName="/xl/worksheets/sheet47228.xml"/>
  <Override ContentType="application/vnd.openxmlformats-officedocument.spreadsheetml.worksheet+xml" PartName="/xl/worksheets/sheet47229.xml"/>
  <Override ContentType="application/vnd.openxmlformats-officedocument.spreadsheetml.worksheet+xml" PartName="/xl/worksheets/sheet47230.xml"/>
  <Override ContentType="application/vnd.openxmlformats-officedocument.spreadsheetml.worksheet+xml" PartName="/xl/worksheets/sheet47231.xml"/>
  <Override ContentType="application/vnd.openxmlformats-officedocument.spreadsheetml.worksheet+xml" PartName="/xl/worksheets/sheet47232.xml"/>
  <Override ContentType="application/vnd.openxmlformats-officedocument.spreadsheetml.worksheet+xml" PartName="/xl/worksheets/sheet47233.xml"/>
  <Override ContentType="application/vnd.openxmlformats-officedocument.spreadsheetml.worksheet+xml" PartName="/xl/worksheets/sheet47234.xml"/>
  <Override ContentType="application/vnd.openxmlformats-officedocument.spreadsheetml.worksheet+xml" PartName="/xl/worksheets/sheet47235.xml"/>
  <Override ContentType="application/vnd.openxmlformats-officedocument.spreadsheetml.worksheet+xml" PartName="/xl/worksheets/sheet47236.xml"/>
  <Override ContentType="application/vnd.openxmlformats-officedocument.spreadsheetml.worksheet+xml" PartName="/xl/worksheets/sheet47237.xml"/>
  <Override ContentType="application/vnd.openxmlformats-officedocument.spreadsheetml.worksheet+xml" PartName="/xl/worksheets/sheet47238.xml"/>
  <Override ContentType="application/vnd.openxmlformats-officedocument.spreadsheetml.worksheet+xml" PartName="/xl/worksheets/sheet47239.xml"/>
  <Override ContentType="application/vnd.openxmlformats-officedocument.spreadsheetml.worksheet+xml" PartName="/xl/worksheets/sheet47240.xml"/>
  <Override ContentType="application/vnd.openxmlformats-officedocument.spreadsheetml.worksheet+xml" PartName="/xl/worksheets/sheet47241.xml"/>
  <Override ContentType="application/vnd.openxmlformats-officedocument.spreadsheetml.worksheet+xml" PartName="/xl/worksheets/sheet47242.xml"/>
  <Override ContentType="application/vnd.openxmlformats-officedocument.spreadsheetml.worksheet+xml" PartName="/xl/worksheets/sheet47243.xml"/>
  <Override ContentType="application/vnd.openxmlformats-officedocument.spreadsheetml.worksheet+xml" PartName="/xl/worksheets/sheet47244.xml"/>
  <Override ContentType="application/vnd.openxmlformats-officedocument.spreadsheetml.worksheet+xml" PartName="/xl/worksheets/sheet47245.xml"/>
  <Override ContentType="application/vnd.openxmlformats-officedocument.spreadsheetml.worksheet+xml" PartName="/xl/worksheets/sheet47246.xml"/>
  <Override ContentType="application/vnd.openxmlformats-officedocument.spreadsheetml.worksheet+xml" PartName="/xl/worksheets/sheet47247.xml"/>
  <Override ContentType="application/vnd.openxmlformats-officedocument.spreadsheetml.worksheet+xml" PartName="/xl/worksheets/sheet47248.xml"/>
  <Override ContentType="application/vnd.openxmlformats-officedocument.spreadsheetml.worksheet+xml" PartName="/xl/worksheets/sheet47249.xml"/>
  <Override ContentType="application/vnd.openxmlformats-officedocument.spreadsheetml.worksheet+xml" PartName="/xl/worksheets/sheet47250.xml"/>
  <Override ContentType="application/vnd.openxmlformats-officedocument.spreadsheetml.worksheet+xml" PartName="/xl/worksheets/sheet47251.xml"/>
  <Override ContentType="application/vnd.openxmlformats-officedocument.spreadsheetml.worksheet+xml" PartName="/xl/worksheets/sheet47252.xml"/>
  <Override ContentType="application/vnd.openxmlformats-officedocument.spreadsheetml.worksheet+xml" PartName="/xl/worksheets/sheet47253.xml"/>
  <Override ContentType="application/vnd.openxmlformats-officedocument.spreadsheetml.worksheet+xml" PartName="/xl/worksheets/sheet47254.xml"/>
  <Override ContentType="application/vnd.openxmlformats-officedocument.spreadsheetml.worksheet+xml" PartName="/xl/worksheets/sheet47255.xml"/>
  <Override ContentType="application/vnd.openxmlformats-officedocument.spreadsheetml.worksheet+xml" PartName="/xl/worksheets/sheet47256.xml"/>
  <Override ContentType="application/vnd.openxmlformats-officedocument.spreadsheetml.worksheet+xml" PartName="/xl/worksheets/sheet47257.xml"/>
  <Override ContentType="application/vnd.openxmlformats-officedocument.spreadsheetml.worksheet+xml" PartName="/xl/worksheets/sheet47258.xml"/>
  <Override ContentType="application/vnd.openxmlformats-officedocument.spreadsheetml.worksheet+xml" PartName="/xl/worksheets/sheet47259.xml"/>
  <Override ContentType="application/vnd.openxmlformats-officedocument.spreadsheetml.worksheet+xml" PartName="/xl/worksheets/sheet47260.xml"/>
  <Override ContentType="application/vnd.openxmlformats-officedocument.spreadsheetml.worksheet+xml" PartName="/xl/worksheets/sheet47261.xml"/>
  <Override ContentType="application/vnd.openxmlformats-officedocument.spreadsheetml.worksheet+xml" PartName="/xl/worksheets/sheet47262.xml"/>
  <Override ContentType="application/vnd.openxmlformats-officedocument.spreadsheetml.worksheet+xml" PartName="/xl/worksheets/sheet47263.xml"/>
  <Override ContentType="application/vnd.openxmlformats-officedocument.spreadsheetml.worksheet+xml" PartName="/xl/worksheets/sheet47264.xml"/>
  <Override ContentType="application/vnd.openxmlformats-officedocument.spreadsheetml.worksheet+xml" PartName="/xl/worksheets/sheet47265.xml"/>
  <Override ContentType="application/vnd.openxmlformats-officedocument.spreadsheetml.worksheet+xml" PartName="/xl/worksheets/sheet47266.xml"/>
  <Override ContentType="application/vnd.openxmlformats-officedocument.spreadsheetml.worksheet+xml" PartName="/xl/worksheets/sheet47267.xml"/>
  <Override ContentType="application/vnd.openxmlformats-officedocument.spreadsheetml.worksheet+xml" PartName="/xl/worksheets/sheet47268.xml"/>
  <Override ContentType="application/vnd.openxmlformats-officedocument.spreadsheetml.worksheet+xml" PartName="/xl/worksheets/sheet47269.xml"/>
  <Override ContentType="application/vnd.openxmlformats-officedocument.spreadsheetml.worksheet+xml" PartName="/xl/worksheets/sheet47270.xml"/>
  <Override ContentType="application/vnd.openxmlformats-officedocument.spreadsheetml.worksheet+xml" PartName="/xl/worksheets/sheet47271.xml"/>
  <Override ContentType="application/vnd.openxmlformats-officedocument.spreadsheetml.worksheet+xml" PartName="/xl/worksheets/sheet47272.xml"/>
  <Override ContentType="application/vnd.openxmlformats-officedocument.spreadsheetml.worksheet+xml" PartName="/xl/worksheets/sheet47273.xml"/>
  <Override ContentType="application/vnd.openxmlformats-officedocument.spreadsheetml.worksheet+xml" PartName="/xl/worksheets/sheet47274.xml"/>
  <Override ContentType="application/vnd.openxmlformats-officedocument.spreadsheetml.worksheet+xml" PartName="/xl/worksheets/sheet47275.xml"/>
  <Override ContentType="application/vnd.openxmlformats-officedocument.spreadsheetml.worksheet+xml" PartName="/xl/worksheets/sheet47276.xml"/>
  <Override ContentType="application/vnd.openxmlformats-officedocument.spreadsheetml.worksheet+xml" PartName="/xl/worksheets/sheet47277.xml"/>
  <Override ContentType="application/vnd.openxmlformats-officedocument.spreadsheetml.worksheet+xml" PartName="/xl/worksheets/sheet47278.xml"/>
  <Override ContentType="application/vnd.openxmlformats-officedocument.spreadsheetml.worksheet+xml" PartName="/xl/worksheets/sheet47279.xml"/>
  <Override ContentType="application/vnd.openxmlformats-officedocument.spreadsheetml.worksheet+xml" PartName="/xl/worksheets/sheet47280.xml"/>
  <Override ContentType="application/vnd.openxmlformats-officedocument.spreadsheetml.worksheet+xml" PartName="/xl/worksheets/sheet47281.xml"/>
  <Override ContentType="application/vnd.openxmlformats-officedocument.spreadsheetml.worksheet+xml" PartName="/xl/worksheets/sheet47282.xml"/>
  <Override ContentType="application/vnd.openxmlformats-officedocument.spreadsheetml.worksheet+xml" PartName="/xl/worksheets/sheet47283.xml"/>
  <Override ContentType="application/vnd.openxmlformats-officedocument.spreadsheetml.worksheet+xml" PartName="/xl/worksheets/sheet47284.xml"/>
  <Override ContentType="application/vnd.openxmlformats-officedocument.spreadsheetml.worksheet+xml" PartName="/xl/worksheets/sheet47285.xml"/>
  <Override ContentType="application/vnd.openxmlformats-officedocument.spreadsheetml.worksheet+xml" PartName="/xl/worksheets/sheet47286.xml"/>
  <Override ContentType="application/vnd.openxmlformats-officedocument.spreadsheetml.worksheet+xml" PartName="/xl/worksheets/sheet47287.xml"/>
  <Override ContentType="application/vnd.openxmlformats-officedocument.spreadsheetml.worksheet+xml" PartName="/xl/worksheets/sheet47288.xml"/>
  <Override ContentType="application/vnd.openxmlformats-officedocument.spreadsheetml.worksheet+xml" PartName="/xl/worksheets/sheet47289.xml"/>
  <Override ContentType="application/vnd.openxmlformats-officedocument.spreadsheetml.worksheet+xml" PartName="/xl/worksheets/sheet47290.xml"/>
  <Override ContentType="application/vnd.openxmlformats-officedocument.spreadsheetml.worksheet+xml" PartName="/xl/worksheets/sheet47291.xml"/>
  <Override ContentType="application/vnd.openxmlformats-officedocument.spreadsheetml.worksheet+xml" PartName="/xl/worksheets/sheet47292.xml"/>
  <Override ContentType="application/vnd.openxmlformats-officedocument.spreadsheetml.worksheet+xml" PartName="/xl/worksheets/sheet47293.xml"/>
  <Override ContentType="application/vnd.openxmlformats-officedocument.spreadsheetml.worksheet+xml" PartName="/xl/worksheets/sheet47294.xml"/>
  <Override ContentType="application/vnd.openxmlformats-officedocument.spreadsheetml.worksheet+xml" PartName="/xl/worksheets/sheet47295.xml"/>
  <Override ContentType="application/vnd.openxmlformats-officedocument.spreadsheetml.worksheet+xml" PartName="/xl/worksheets/sheet47296.xml"/>
  <Override ContentType="application/vnd.openxmlformats-officedocument.spreadsheetml.worksheet+xml" PartName="/xl/worksheets/sheet47297.xml"/>
  <Override ContentType="application/vnd.openxmlformats-officedocument.spreadsheetml.worksheet+xml" PartName="/xl/worksheets/sheet47298.xml"/>
  <Override ContentType="application/vnd.openxmlformats-officedocument.spreadsheetml.worksheet+xml" PartName="/xl/worksheets/sheet47299.xml"/>
  <Override ContentType="application/vnd.openxmlformats-officedocument.spreadsheetml.worksheet+xml" PartName="/xl/worksheets/sheet47300.xml"/>
  <Override ContentType="application/vnd.openxmlformats-officedocument.spreadsheetml.worksheet+xml" PartName="/xl/worksheets/sheet47301.xml"/>
  <Override ContentType="application/vnd.openxmlformats-officedocument.spreadsheetml.worksheet+xml" PartName="/xl/worksheets/sheet47302.xml"/>
  <Override ContentType="application/vnd.openxmlformats-officedocument.spreadsheetml.worksheet+xml" PartName="/xl/worksheets/sheet47303.xml"/>
  <Override ContentType="application/vnd.openxmlformats-officedocument.spreadsheetml.worksheet+xml" PartName="/xl/worksheets/sheet47304.xml"/>
  <Override ContentType="application/vnd.openxmlformats-officedocument.spreadsheetml.worksheet+xml" PartName="/xl/worksheets/sheet47305.xml"/>
  <Override ContentType="application/vnd.openxmlformats-officedocument.spreadsheetml.worksheet+xml" PartName="/xl/worksheets/sheet47306.xml"/>
  <Override ContentType="application/vnd.openxmlformats-officedocument.spreadsheetml.worksheet+xml" PartName="/xl/worksheets/sheet47307.xml"/>
  <Override ContentType="application/vnd.openxmlformats-officedocument.spreadsheetml.worksheet+xml" PartName="/xl/worksheets/sheet47308.xml"/>
  <Override ContentType="application/vnd.openxmlformats-officedocument.spreadsheetml.worksheet+xml" PartName="/xl/worksheets/sheet47309.xml"/>
  <Override ContentType="application/vnd.openxmlformats-officedocument.spreadsheetml.worksheet+xml" PartName="/xl/worksheets/sheet47310.xml"/>
  <Override ContentType="application/vnd.openxmlformats-officedocument.spreadsheetml.worksheet+xml" PartName="/xl/worksheets/sheet47311.xml"/>
  <Override ContentType="application/vnd.openxmlformats-officedocument.spreadsheetml.worksheet+xml" PartName="/xl/worksheets/sheet47312.xml"/>
  <Override ContentType="application/vnd.openxmlformats-officedocument.spreadsheetml.worksheet+xml" PartName="/xl/worksheets/sheet47313.xml"/>
  <Override ContentType="application/vnd.openxmlformats-officedocument.spreadsheetml.worksheet+xml" PartName="/xl/worksheets/sheet47314.xml"/>
  <Override ContentType="application/vnd.openxmlformats-officedocument.spreadsheetml.worksheet+xml" PartName="/xl/worksheets/sheet47315.xml"/>
  <Override ContentType="application/vnd.openxmlformats-officedocument.spreadsheetml.worksheet+xml" PartName="/xl/worksheets/sheet47316.xml"/>
  <Override ContentType="application/vnd.openxmlformats-officedocument.spreadsheetml.worksheet+xml" PartName="/xl/worksheets/sheet47317.xml"/>
  <Override ContentType="application/vnd.openxmlformats-officedocument.spreadsheetml.worksheet+xml" PartName="/xl/worksheets/sheet47318.xml"/>
  <Override ContentType="application/vnd.openxmlformats-officedocument.spreadsheetml.worksheet+xml" PartName="/xl/worksheets/sheet47319.xml"/>
  <Override ContentType="application/vnd.openxmlformats-officedocument.spreadsheetml.worksheet+xml" PartName="/xl/worksheets/sheet47320.xml"/>
  <Override ContentType="application/vnd.openxmlformats-officedocument.spreadsheetml.worksheet+xml" PartName="/xl/worksheets/sheet47321.xml"/>
  <Override ContentType="application/vnd.openxmlformats-officedocument.spreadsheetml.worksheet+xml" PartName="/xl/worksheets/sheet47322.xml"/>
  <Override ContentType="application/vnd.openxmlformats-officedocument.spreadsheetml.worksheet+xml" PartName="/xl/worksheets/sheet47323.xml"/>
  <Override ContentType="application/vnd.openxmlformats-officedocument.spreadsheetml.worksheet+xml" PartName="/xl/worksheets/sheet47324.xml"/>
  <Override ContentType="application/vnd.openxmlformats-officedocument.spreadsheetml.worksheet+xml" PartName="/xl/worksheets/sheet47325.xml"/>
  <Override ContentType="application/vnd.openxmlformats-officedocument.spreadsheetml.worksheet+xml" PartName="/xl/worksheets/sheet47326.xml"/>
  <Override ContentType="application/vnd.openxmlformats-officedocument.spreadsheetml.worksheet+xml" PartName="/xl/worksheets/sheet47327.xml"/>
  <Override ContentType="application/vnd.openxmlformats-officedocument.spreadsheetml.worksheet+xml" PartName="/xl/worksheets/sheet47328.xml"/>
  <Override ContentType="application/vnd.openxmlformats-officedocument.spreadsheetml.worksheet+xml" PartName="/xl/worksheets/sheet47329.xml"/>
  <Override ContentType="application/vnd.openxmlformats-officedocument.spreadsheetml.worksheet+xml" PartName="/xl/worksheets/sheet47330.xml"/>
  <Override ContentType="application/vnd.openxmlformats-officedocument.spreadsheetml.worksheet+xml" PartName="/xl/worksheets/sheet47331.xml"/>
  <Override ContentType="application/vnd.openxmlformats-officedocument.spreadsheetml.worksheet+xml" PartName="/xl/worksheets/sheet47332.xml"/>
  <Override ContentType="application/vnd.openxmlformats-officedocument.spreadsheetml.worksheet+xml" PartName="/xl/worksheets/sheet47333.xml"/>
  <Override ContentType="application/vnd.openxmlformats-officedocument.spreadsheetml.worksheet+xml" PartName="/xl/worksheets/sheet47334.xml"/>
  <Override ContentType="application/vnd.openxmlformats-officedocument.spreadsheetml.worksheet+xml" PartName="/xl/worksheets/sheet47335.xml"/>
  <Override ContentType="application/vnd.openxmlformats-officedocument.spreadsheetml.worksheet+xml" PartName="/xl/worksheets/sheet47336.xml"/>
  <Override ContentType="application/vnd.openxmlformats-officedocument.spreadsheetml.worksheet+xml" PartName="/xl/worksheets/sheet47337.xml"/>
  <Override ContentType="application/vnd.openxmlformats-officedocument.spreadsheetml.worksheet+xml" PartName="/xl/worksheets/sheet47338.xml"/>
  <Override ContentType="application/vnd.openxmlformats-officedocument.spreadsheetml.worksheet+xml" PartName="/xl/worksheets/sheet47339.xml"/>
  <Override ContentType="application/vnd.openxmlformats-officedocument.spreadsheetml.worksheet+xml" PartName="/xl/worksheets/sheet47340.xml"/>
  <Override ContentType="application/vnd.openxmlformats-officedocument.spreadsheetml.worksheet+xml" PartName="/xl/worksheets/sheet47341.xml"/>
  <Override ContentType="application/vnd.openxmlformats-officedocument.spreadsheetml.worksheet+xml" PartName="/xl/worksheets/sheet47342.xml"/>
  <Override ContentType="application/vnd.openxmlformats-officedocument.spreadsheetml.worksheet+xml" PartName="/xl/worksheets/sheet47343.xml"/>
  <Override ContentType="application/vnd.openxmlformats-officedocument.spreadsheetml.worksheet+xml" PartName="/xl/worksheets/sheet47344.xml"/>
  <Override ContentType="application/vnd.openxmlformats-officedocument.spreadsheetml.worksheet+xml" PartName="/xl/worksheets/sheet47345.xml"/>
  <Override ContentType="application/vnd.openxmlformats-officedocument.spreadsheetml.worksheet+xml" PartName="/xl/worksheets/sheet47346.xml"/>
  <Override ContentType="application/vnd.openxmlformats-officedocument.spreadsheetml.worksheet+xml" PartName="/xl/worksheets/sheet47347.xml"/>
  <Override ContentType="application/vnd.openxmlformats-officedocument.spreadsheetml.worksheet+xml" PartName="/xl/worksheets/sheet47348.xml"/>
  <Override ContentType="application/vnd.openxmlformats-officedocument.spreadsheetml.worksheet+xml" PartName="/xl/worksheets/sheet47349.xml"/>
  <Override ContentType="application/vnd.openxmlformats-officedocument.spreadsheetml.worksheet+xml" PartName="/xl/worksheets/sheet47350.xml"/>
  <Override ContentType="application/vnd.openxmlformats-officedocument.spreadsheetml.worksheet+xml" PartName="/xl/worksheets/sheet47351.xml"/>
  <Override ContentType="application/vnd.openxmlformats-officedocument.spreadsheetml.worksheet+xml" PartName="/xl/worksheets/sheet47352.xml"/>
  <Override ContentType="application/vnd.openxmlformats-officedocument.spreadsheetml.worksheet+xml" PartName="/xl/worksheets/sheet47353.xml"/>
  <Override ContentType="application/vnd.openxmlformats-officedocument.spreadsheetml.worksheet+xml" PartName="/xl/worksheets/sheet47354.xml"/>
  <Override ContentType="application/vnd.openxmlformats-officedocument.spreadsheetml.worksheet+xml" PartName="/xl/worksheets/sheet47355.xml"/>
  <Override ContentType="application/vnd.openxmlformats-officedocument.spreadsheetml.worksheet+xml" PartName="/xl/worksheets/sheet47356.xml"/>
  <Override ContentType="application/vnd.openxmlformats-officedocument.spreadsheetml.worksheet+xml" PartName="/xl/worksheets/sheet47357.xml"/>
  <Override ContentType="application/vnd.openxmlformats-officedocument.spreadsheetml.worksheet+xml" PartName="/xl/worksheets/sheet47358.xml"/>
  <Override ContentType="application/vnd.openxmlformats-officedocument.spreadsheetml.worksheet+xml" PartName="/xl/worksheets/sheet47359.xml"/>
  <Override ContentType="application/vnd.openxmlformats-officedocument.spreadsheetml.worksheet+xml" PartName="/xl/worksheets/sheet47360.xml"/>
  <Override ContentType="application/vnd.openxmlformats-officedocument.spreadsheetml.worksheet+xml" PartName="/xl/worksheets/sheet47361.xml"/>
  <Override ContentType="application/vnd.openxmlformats-officedocument.spreadsheetml.worksheet+xml" PartName="/xl/worksheets/sheet47362.xml"/>
  <Override ContentType="application/vnd.openxmlformats-officedocument.spreadsheetml.worksheet+xml" PartName="/xl/worksheets/sheet47363.xml"/>
  <Override ContentType="application/vnd.openxmlformats-officedocument.spreadsheetml.worksheet+xml" PartName="/xl/worksheets/sheet47364.xml"/>
  <Override ContentType="application/vnd.openxmlformats-officedocument.spreadsheetml.worksheet+xml" PartName="/xl/worksheets/sheet47365.xml"/>
  <Override ContentType="application/vnd.openxmlformats-officedocument.spreadsheetml.worksheet+xml" PartName="/xl/worksheets/sheet47366.xml"/>
  <Override ContentType="application/vnd.openxmlformats-officedocument.spreadsheetml.worksheet+xml" PartName="/xl/worksheets/sheet47367.xml"/>
  <Override ContentType="application/vnd.openxmlformats-officedocument.spreadsheetml.worksheet+xml" PartName="/xl/worksheets/sheet47368.xml"/>
  <Override ContentType="application/vnd.openxmlformats-officedocument.spreadsheetml.worksheet+xml" PartName="/xl/worksheets/sheet47369.xml"/>
  <Override ContentType="application/vnd.openxmlformats-officedocument.spreadsheetml.worksheet+xml" PartName="/xl/worksheets/sheet47370.xml"/>
  <Override ContentType="application/vnd.openxmlformats-officedocument.spreadsheetml.worksheet+xml" PartName="/xl/worksheets/sheet47371.xml"/>
  <Override ContentType="application/vnd.openxmlformats-officedocument.spreadsheetml.worksheet+xml" PartName="/xl/worksheets/sheet47372.xml"/>
  <Override ContentType="application/vnd.openxmlformats-officedocument.spreadsheetml.worksheet+xml" PartName="/xl/worksheets/sheet47373.xml"/>
  <Override ContentType="application/vnd.openxmlformats-officedocument.spreadsheetml.worksheet+xml" PartName="/xl/worksheets/sheet47374.xml"/>
  <Override ContentType="application/vnd.openxmlformats-officedocument.spreadsheetml.worksheet+xml" PartName="/xl/worksheets/sheet47375.xml"/>
  <Override ContentType="application/vnd.openxmlformats-officedocument.spreadsheetml.worksheet+xml" PartName="/xl/worksheets/sheet47376.xml"/>
  <Override ContentType="application/vnd.openxmlformats-officedocument.spreadsheetml.worksheet+xml" PartName="/xl/worksheets/sheet47377.xml"/>
  <Override ContentType="application/vnd.openxmlformats-officedocument.spreadsheetml.worksheet+xml" PartName="/xl/worksheets/sheet47378.xml"/>
  <Override ContentType="application/vnd.openxmlformats-officedocument.spreadsheetml.worksheet+xml" PartName="/xl/worksheets/sheet47379.xml"/>
  <Override ContentType="application/vnd.openxmlformats-officedocument.spreadsheetml.worksheet+xml" PartName="/xl/worksheets/sheet47380.xml"/>
  <Override ContentType="application/vnd.openxmlformats-officedocument.spreadsheetml.worksheet+xml" PartName="/xl/worksheets/sheet47381.xml"/>
  <Override ContentType="application/vnd.openxmlformats-officedocument.spreadsheetml.worksheet+xml" PartName="/xl/worksheets/sheet47382.xml"/>
  <Override ContentType="application/vnd.openxmlformats-officedocument.spreadsheetml.worksheet+xml" PartName="/xl/worksheets/sheet47383.xml"/>
  <Override ContentType="application/vnd.openxmlformats-officedocument.spreadsheetml.worksheet+xml" PartName="/xl/worksheets/sheet47384.xml"/>
  <Override ContentType="application/vnd.openxmlformats-officedocument.spreadsheetml.worksheet+xml" PartName="/xl/worksheets/sheet47385.xml"/>
  <Override ContentType="application/vnd.openxmlformats-officedocument.spreadsheetml.worksheet+xml" PartName="/xl/worksheets/sheet47386.xml"/>
  <Override ContentType="application/vnd.openxmlformats-officedocument.spreadsheetml.worksheet+xml" PartName="/xl/worksheets/sheet47387.xml"/>
  <Override ContentType="application/vnd.openxmlformats-officedocument.spreadsheetml.worksheet+xml" PartName="/xl/worksheets/sheet47388.xml"/>
  <Override ContentType="application/vnd.openxmlformats-officedocument.spreadsheetml.worksheet+xml" PartName="/xl/worksheets/sheet47389.xml"/>
  <Override ContentType="application/vnd.openxmlformats-officedocument.spreadsheetml.worksheet+xml" PartName="/xl/worksheets/sheet47390.xml"/>
  <Override ContentType="application/vnd.openxmlformats-officedocument.spreadsheetml.worksheet+xml" PartName="/xl/worksheets/sheet47391.xml"/>
  <Override ContentType="application/vnd.openxmlformats-officedocument.spreadsheetml.worksheet+xml" PartName="/xl/worksheets/sheet47392.xml"/>
  <Override ContentType="application/vnd.openxmlformats-officedocument.spreadsheetml.worksheet+xml" PartName="/xl/worksheets/sheet47393.xml"/>
  <Override ContentType="application/vnd.openxmlformats-officedocument.spreadsheetml.worksheet+xml" PartName="/xl/worksheets/sheet47394.xml"/>
  <Override ContentType="application/vnd.openxmlformats-officedocument.spreadsheetml.worksheet+xml" PartName="/xl/worksheets/sheet47395.xml"/>
  <Override ContentType="application/vnd.openxmlformats-officedocument.spreadsheetml.worksheet+xml" PartName="/xl/worksheets/sheet47396.xml"/>
  <Override ContentType="application/vnd.openxmlformats-officedocument.spreadsheetml.worksheet+xml" PartName="/xl/worksheets/sheet47397.xml"/>
  <Override ContentType="application/vnd.openxmlformats-officedocument.spreadsheetml.worksheet+xml" PartName="/xl/worksheets/sheet47398.xml"/>
  <Override ContentType="application/vnd.openxmlformats-officedocument.spreadsheetml.worksheet+xml" PartName="/xl/worksheets/sheet47399.xml"/>
  <Override ContentType="application/vnd.openxmlformats-officedocument.spreadsheetml.worksheet+xml" PartName="/xl/worksheets/sheet47400.xml"/>
  <Override ContentType="application/vnd.openxmlformats-officedocument.spreadsheetml.worksheet+xml" PartName="/xl/worksheets/sheet47401.xml"/>
  <Override ContentType="application/vnd.openxmlformats-officedocument.spreadsheetml.worksheet+xml" PartName="/xl/worksheets/sheet47402.xml"/>
  <Override ContentType="application/vnd.openxmlformats-officedocument.spreadsheetml.worksheet+xml" PartName="/xl/worksheets/sheet47403.xml"/>
  <Override ContentType="application/vnd.openxmlformats-officedocument.spreadsheetml.worksheet+xml" PartName="/xl/worksheets/sheet47404.xml"/>
  <Override ContentType="application/vnd.openxmlformats-officedocument.spreadsheetml.worksheet+xml" PartName="/xl/worksheets/sheet47405.xml"/>
  <Override ContentType="application/vnd.openxmlformats-officedocument.spreadsheetml.worksheet+xml" PartName="/xl/worksheets/sheet47406.xml"/>
  <Override ContentType="application/vnd.openxmlformats-officedocument.spreadsheetml.worksheet+xml" PartName="/xl/worksheets/sheet47407.xml"/>
  <Override ContentType="application/vnd.openxmlformats-officedocument.spreadsheetml.worksheet+xml" PartName="/xl/worksheets/sheet47408.xml"/>
  <Override ContentType="application/vnd.openxmlformats-officedocument.spreadsheetml.worksheet+xml" PartName="/xl/worksheets/sheet47409.xml"/>
  <Override ContentType="application/vnd.openxmlformats-officedocument.spreadsheetml.worksheet+xml" PartName="/xl/worksheets/sheet47410.xml"/>
  <Override ContentType="application/vnd.openxmlformats-officedocument.spreadsheetml.worksheet+xml" PartName="/xl/worksheets/sheet47411.xml"/>
  <Override ContentType="application/vnd.openxmlformats-officedocument.spreadsheetml.worksheet+xml" PartName="/xl/worksheets/sheet47412.xml"/>
  <Override ContentType="application/vnd.openxmlformats-officedocument.spreadsheetml.worksheet+xml" PartName="/xl/worksheets/sheet47413.xml"/>
  <Override ContentType="application/vnd.openxmlformats-officedocument.spreadsheetml.worksheet+xml" PartName="/xl/worksheets/sheet47414.xml"/>
  <Override ContentType="application/vnd.openxmlformats-officedocument.spreadsheetml.worksheet+xml" PartName="/xl/worksheets/sheet47415.xml"/>
  <Override ContentType="application/vnd.openxmlformats-officedocument.spreadsheetml.worksheet+xml" PartName="/xl/worksheets/sheet47416.xml"/>
  <Override ContentType="application/vnd.openxmlformats-officedocument.spreadsheetml.worksheet+xml" PartName="/xl/worksheets/sheet47417.xml"/>
  <Override ContentType="application/vnd.openxmlformats-officedocument.spreadsheetml.worksheet+xml" PartName="/xl/worksheets/sheet47418.xml"/>
  <Override ContentType="application/vnd.openxmlformats-officedocument.spreadsheetml.worksheet+xml" PartName="/xl/worksheets/sheet47419.xml"/>
  <Override ContentType="application/vnd.openxmlformats-officedocument.spreadsheetml.worksheet+xml" PartName="/xl/worksheets/sheet47420.xml"/>
  <Override ContentType="application/vnd.openxmlformats-officedocument.spreadsheetml.worksheet+xml" PartName="/xl/worksheets/sheet47421.xml"/>
  <Override ContentType="application/vnd.openxmlformats-officedocument.spreadsheetml.worksheet+xml" PartName="/xl/worksheets/sheet47422.xml"/>
  <Override ContentType="application/vnd.openxmlformats-officedocument.spreadsheetml.worksheet+xml" PartName="/xl/worksheets/sheet47423.xml"/>
  <Override ContentType="application/vnd.openxmlformats-officedocument.spreadsheetml.worksheet+xml" PartName="/xl/worksheets/sheet47424.xml"/>
  <Override ContentType="application/vnd.openxmlformats-officedocument.spreadsheetml.worksheet+xml" PartName="/xl/worksheets/sheet47425.xml"/>
  <Override ContentType="application/vnd.openxmlformats-officedocument.spreadsheetml.worksheet+xml" PartName="/xl/worksheets/sheet47426.xml"/>
  <Override ContentType="application/vnd.openxmlformats-officedocument.spreadsheetml.worksheet+xml" PartName="/xl/worksheets/sheet47427.xml"/>
  <Override ContentType="application/vnd.openxmlformats-officedocument.spreadsheetml.worksheet+xml" PartName="/xl/worksheets/sheet47428.xml"/>
  <Override ContentType="application/vnd.openxmlformats-officedocument.spreadsheetml.worksheet+xml" PartName="/xl/worksheets/sheet47429.xml"/>
  <Override ContentType="application/vnd.openxmlformats-officedocument.spreadsheetml.worksheet+xml" PartName="/xl/worksheets/sheet47430.xml"/>
  <Override ContentType="application/vnd.openxmlformats-officedocument.spreadsheetml.worksheet+xml" PartName="/xl/worksheets/sheet47431.xml"/>
  <Override ContentType="application/vnd.openxmlformats-officedocument.spreadsheetml.worksheet+xml" PartName="/xl/worksheets/sheet47432.xml"/>
  <Override ContentType="application/vnd.openxmlformats-officedocument.spreadsheetml.worksheet+xml" PartName="/xl/worksheets/sheet47433.xml"/>
  <Override ContentType="application/vnd.openxmlformats-officedocument.spreadsheetml.worksheet+xml" PartName="/xl/worksheets/sheet47434.xml"/>
  <Override ContentType="application/vnd.openxmlformats-officedocument.spreadsheetml.worksheet+xml" PartName="/xl/worksheets/sheet47435.xml"/>
  <Override ContentType="application/vnd.openxmlformats-officedocument.spreadsheetml.worksheet+xml" PartName="/xl/worksheets/sheet47436.xml"/>
  <Override ContentType="application/vnd.openxmlformats-officedocument.spreadsheetml.worksheet+xml" PartName="/xl/worksheets/sheet47437.xml"/>
  <Override ContentType="application/vnd.openxmlformats-officedocument.spreadsheetml.worksheet+xml" PartName="/xl/worksheets/sheet47438.xml"/>
  <Override ContentType="application/vnd.openxmlformats-officedocument.spreadsheetml.worksheet+xml" PartName="/xl/worksheets/sheet47439.xml"/>
  <Override ContentType="application/vnd.openxmlformats-officedocument.spreadsheetml.worksheet+xml" PartName="/xl/worksheets/sheet47440.xml"/>
  <Override ContentType="application/vnd.openxmlformats-officedocument.spreadsheetml.worksheet+xml" PartName="/xl/worksheets/sheet47441.xml"/>
  <Override ContentType="application/vnd.openxmlformats-officedocument.spreadsheetml.worksheet+xml" PartName="/xl/worksheets/sheet47442.xml"/>
  <Override ContentType="application/vnd.openxmlformats-officedocument.spreadsheetml.worksheet+xml" PartName="/xl/worksheets/sheet47443.xml"/>
  <Override ContentType="application/vnd.openxmlformats-officedocument.spreadsheetml.worksheet+xml" PartName="/xl/worksheets/sheet47444.xml"/>
  <Override ContentType="application/vnd.openxmlformats-officedocument.spreadsheetml.worksheet+xml" PartName="/xl/worksheets/sheet47445.xml"/>
  <Override ContentType="application/vnd.openxmlformats-officedocument.spreadsheetml.worksheet+xml" PartName="/xl/worksheets/sheet47446.xml"/>
  <Override ContentType="application/vnd.openxmlformats-officedocument.spreadsheetml.worksheet+xml" PartName="/xl/worksheets/sheet47447.xml"/>
  <Override ContentType="application/vnd.openxmlformats-officedocument.spreadsheetml.worksheet+xml" PartName="/xl/worksheets/sheet47448.xml"/>
  <Override ContentType="application/vnd.openxmlformats-officedocument.spreadsheetml.worksheet+xml" PartName="/xl/worksheets/sheet47449.xml"/>
  <Override ContentType="application/vnd.openxmlformats-officedocument.spreadsheetml.worksheet+xml" PartName="/xl/worksheets/sheet47450.xml"/>
  <Override ContentType="application/vnd.openxmlformats-officedocument.spreadsheetml.worksheet+xml" PartName="/xl/worksheets/sheet47451.xml"/>
  <Override ContentType="application/vnd.openxmlformats-officedocument.spreadsheetml.worksheet+xml" PartName="/xl/worksheets/sheet47452.xml"/>
  <Override ContentType="application/vnd.openxmlformats-officedocument.spreadsheetml.worksheet+xml" PartName="/xl/worksheets/sheet47453.xml"/>
  <Override ContentType="application/vnd.openxmlformats-officedocument.spreadsheetml.worksheet+xml" PartName="/xl/worksheets/sheet47454.xml"/>
  <Override ContentType="application/vnd.openxmlformats-officedocument.spreadsheetml.worksheet+xml" PartName="/xl/worksheets/sheet47455.xml"/>
  <Override ContentType="application/vnd.openxmlformats-officedocument.spreadsheetml.worksheet+xml" PartName="/xl/worksheets/sheet47456.xml"/>
  <Override ContentType="application/vnd.openxmlformats-officedocument.spreadsheetml.worksheet+xml" PartName="/xl/worksheets/sheet47457.xml"/>
  <Override ContentType="application/vnd.openxmlformats-officedocument.spreadsheetml.worksheet+xml" PartName="/xl/worksheets/sheet47458.xml"/>
  <Override ContentType="application/vnd.openxmlformats-officedocument.spreadsheetml.worksheet+xml" PartName="/xl/worksheets/sheet47459.xml"/>
  <Override ContentType="application/vnd.openxmlformats-officedocument.spreadsheetml.worksheet+xml" PartName="/xl/worksheets/sheet47460.xml"/>
  <Override ContentType="application/vnd.openxmlformats-officedocument.spreadsheetml.worksheet+xml" PartName="/xl/worksheets/sheet47461.xml"/>
  <Override ContentType="application/vnd.openxmlformats-officedocument.spreadsheetml.worksheet+xml" PartName="/xl/worksheets/sheet47462.xml"/>
  <Override ContentType="application/vnd.openxmlformats-officedocument.spreadsheetml.worksheet+xml" PartName="/xl/worksheets/sheet47463.xml"/>
  <Override ContentType="application/vnd.openxmlformats-officedocument.spreadsheetml.worksheet+xml" PartName="/xl/worksheets/sheet47464.xml"/>
  <Override ContentType="application/vnd.openxmlformats-officedocument.spreadsheetml.worksheet+xml" PartName="/xl/worksheets/sheet47465.xml"/>
  <Override ContentType="application/vnd.openxmlformats-officedocument.spreadsheetml.worksheet+xml" PartName="/xl/worksheets/sheet47466.xml"/>
  <Override ContentType="application/vnd.openxmlformats-officedocument.spreadsheetml.worksheet+xml" PartName="/xl/worksheets/sheet47467.xml"/>
  <Override ContentType="application/vnd.openxmlformats-officedocument.spreadsheetml.worksheet+xml" PartName="/xl/worksheets/sheet47468.xml"/>
  <Override ContentType="application/vnd.openxmlformats-officedocument.spreadsheetml.worksheet+xml" PartName="/xl/worksheets/sheet47469.xml"/>
  <Override ContentType="application/vnd.openxmlformats-officedocument.spreadsheetml.worksheet+xml" PartName="/xl/worksheets/sheet47470.xml"/>
  <Override ContentType="application/vnd.openxmlformats-officedocument.spreadsheetml.worksheet+xml" PartName="/xl/worksheets/sheet47471.xml"/>
  <Override ContentType="application/vnd.openxmlformats-officedocument.spreadsheetml.worksheet+xml" PartName="/xl/worksheets/sheet47472.xml"/>
  <Override ContentType="application/vnd.openxmlformats-officedocument.spreadsheetml.worksheet+xml" PartName="/xl/worksheets/sheet47473.xml"/>
  <Override ContentType="application/vnd.openxmlformats-officedocument.spreadsheetml.worksheet+xml" PartName="/xl/worksheets/sheet47474.xml"/>
  <Override ContentType="application/vnd.openxmlformats-officedocument.spreadsheetml.worksheet+xml" PartName="/xl/worksheets/sheet47475.xml"/>
  <Override ContentType="application/vnd.openxmlformats-officedocument.spreadsheetml.worksheet+xml" PartName="/xl/worksheets/sheet47476.xml"/>
  <Override ContentType="application/vnd.openxmlformats-officedocument.spreadsheetml.worksheet+xml" PartName="/xl/worksheets/sheet47477.xml"/>
  <Override ContentType="application/vnd.openxmlformats-officedocument.spreadsheetml.worksheet+xml" PartName="/xl/worksheets/sheet47478.xml"/>
  <Override ContentType="application/vnd.openxmlformats-officedocument.spreadsheetml.worksheet+xml" PartName="/xl/worksheets/sheet47479.xml"/>
  <Override ContentType="application/vnd.openxmlformats-officedocument.spreadsheetml.worksheet+xml" PartName="/xl/worksheets/sheet47480.xml"/>
  <Override ContentType="application/vnd.openxmlformats-officedocument.spreadsheetml.worksheet+xml" PartName="/xl/worksheets/sheet47481.xml"/>
  <Override ContentType="application/vnd.openxmlformats-officedocument.spreadsheetml.worksheet+xml" PartName="/xl/worksheets/sheet47482.xml"/>
  <Override ContentType="application/vnd.openxmlformats-officedocument.spreadsheetml.worksheet+xml" PartName="/xl/worksheets/sheet47483.xml"/>
  <Override ContentType="application/vnd.openxmlformats-officedocument.spreadsheetml.worksheet+xml" PartName="/xl/worksheets/sheet47484.xml"/>
  <Override ContentType="application/vnd.openxmlformats-officedocument.spreadsheetml.worksheet+xml" PartName="/xl/worksheets/sheet47485.xml"/>
  <Override ContentType="application/vnd.openxmlformats-officedocument.spreadsheetml.worksheet+xml" PartName="/xl/worksheets/sheet47486.xml"/>
  <Override ContentType="application/vnd.openxmlformats-officedocument.spreadsheetml.worksheet+xml" PartName="/xl/worksheets/sheet47487.xml"/>
  <Override ContentType="application/vnd.openxmlformats-officedocument.spreadsheetml.worksheet+xml" PartName="/xl/worksheets/sheet47488.xml"/>
  <Override ContentType="application/vnd.openxmlformats-officedocument.spreadsheetml.worksheet+xml" PartName="/xl/worksheets/sheet47489.xml"/>
  <Override ContentType="application/vnd.openxmlformats-officedocument.spreadsheetml.worksheet+xml" PartName="/xl/worksheets/sheet47490.xml"/>
  <Override ContentType="application/vnd.openxmlformats-officedocument.spreadsheetml.worksheet+xml" PartName="/xl/worksheets/sheet47491.xml"/>
  <Override ContentType="application/vnd.openxmlformats-officedocument.spreadsheetml.worksheet+xml" PartName="/xl/worksheets/sheet47492.xml"/>
  <Override ContentType="application/vnd.openxmlformats-officedocument.spreadsheetml.worksheet+xml" PartName="/xl/worksheets/sheet47493.xml"/>
  <Override ContentType="application/vnd.openxmlformats-officedocument.spreadsheetml.worksheet+xml" PartName="/xl/worksheets/sheet47494.xml"/>
  <Override ContentType="application/vnd.openxmlformats-officedocument.spreadsheetml.worksheet+xml" PartName="/xl/worksheets/sheet47495.xml"/>
  <Override ContentType="application/vnd.openxmlformats-officedocument.spreadsheetml.worksheet+xml" PartName="/xl/worksheets/sheet47496.xml"/>
  <Override ContentType="application/vnd.openxmlformats-officedocument.spreadsheetml.worksheet+xml" PartName="/xl/worksheets/sheet47497.xml"/>
  <Override ContentType="application/vnd.openxmlformats-officedocument.spreadsheetml.worksheet+xml" PartName="/xl/worksheets/sheet47498.xml"/>
  <Override ContentType="application/vnd.openxmlformats-officedocument.spreadsheetml.worksheet+xml" PartName="/xl/worksheets/sheet47499.xml"/>
  <Override ContentType="application/vnd.openxmlformats-officedocument.spreadsheetml.worksheet+xml" PartName="/xl/worksheets/sheet47500.xml"/>
  <Override ContentType="application/vnd.openxmlformats-officedocument.spreadsheetml.worksheet+xml" PartName="/xl/worksheets/sheet47501.xml"/>
  <Override ContentType="application/vnd.openxmlformats-officedocument.spreadsheetml.worksheet+xml" PartName="/xl/worksheets/sheet47502.xml"/>
  <Override ContentType="application/vnd.openxmlformats-officedocument.spreadsheetml.worksheet+xml" PartName="/xl/worksheets/sheet47503.xml"/>
  <Override ContentType="application/vnd.openxmlformats-officedocument.spreadsheetml.worksheet+xml" PartName="/xl/worksheets/sheet47504.xml"/>
  <Override ContentType="application/vnd.openxmlformats-officedocument.spreadsheetml.worksheet+xml" PartName="/xl/worksheets/sheet47505.xml"/>
  <Override ContentType="application/vnd.openxmlformats-officedocument.spreadsheetml.worksheet+xml" PartName="/xl/worksheets/sheet47506.xml"/>
  <Override ContentType="application/vnd.openxmlformats-officedocument.spreadsheetml.worksheet+xml" PartName="/xl/worksheets/sheet47507.xml"/>
  <Override ContentType="application/vnd.openxmlformats-officedocument.spreadsheetml.worksheet+xml" PartName="/xl/worksheets/sheet47508.xml"/>
  <Override ContentType="application/vnd.openxmlformats-officedocument.spreadsheetml.worksheet+xml" PartName="/xl/worksheets/sheet47509.xml"/>
  <Override ContentType="application/vnd.openxmlformats-officedocument.spreadsheetml.worksheet+xml" PartName="/xl/worksheets/sheet47510.xml"/>
  <Override ContentType="application/vnd.openxmlformats-officedocument.spreadsheetml.worksheet+xml" PartName="/xl/worksheets/sheet47511.xml"/>
  <Override ContentType="application/vnd.openxmlformats-officedocument.spreadsheetml.worksheet+xml" PartName="/xl/worksheets/sheet47512.xml"/>
  <Override ContentType="application/vnd.openxmlformats-officedocument.spreadsheetml.worksheet+xml" PartName="/xl/worksheets/sheet47513.xml"/>
  <Override ContentType="application/vnd.openxmlformats-officedocument.spreadsheetml.worksheet+xml" PartName="/xl/worksheets/sheet47514.xml"/>
  <Override ContentType="application/vnd.openxmlformats-officedocument.spreadsheetml.worksheet+xml" PartName="/xl/worksheets/sheet47515.xml"/>
  <Override ContentType="application/vnd.openxmlformats-officedocument.spreadsheetml.worksheet+xml" PartName="/xl/worksheets/sheet47516.xml"/>
  <Override ContentType="application/vnd.openxmlformats-officedocument.spreadsheetml.worksheet+xml" PartName="/xl/worksheets/sheet47517.xml"/>
  <Override ContentType="application/vnd.openxmlformats-officedocument.spreadsheetml.worksheet+xml" PartName="/xl/worksheets/sheet47518.xml"/>
  <Override ContentType="application/vnd.openxmlformats-officedocument.spreadsheetml.worksheet+xml" PartName="/xl/worksheets/sheet47519.xml"/>
  <Override ContentType="application/vnd.openxmlformats-officedocument.spreadsheetml.worksheet+xml" PartName="/xl/worksheets/sheet47520.xml"/>
  <Override ContentType="application/vnd.openxmlformats-officedocument.spreadsheetml.worksheet+xml" PartName="/xl/worksheets/sheet47521.xml"/>
  <Override ContentType="application/vnd.openxmlformats-officedocument.spreadsheetml.worksheet+xml" PartName="/xl/worksheets/sheet47522.xml"/>
  <Override ContentType="application/vnd.openxmlformats-officedocument.spreadsheetml.worksheet+xml" PartName="/xl/worksheets/sheet47523.xml"/>
  <Override ContentType="application/vnd.openxmlformats-officedocument.spreadsheetml.worksheet+xml" PartName="/xl/worksheets/sheet47524.xml"/>
  <Override ContentType="application/vnd.openxmlformats-officedocument.spreadsheetml.worksheet+xml" PartName="/xl/worksheets/sheet47525.xml"/>
  <Override ContentType="application/vnd.openxmlformats-officedocument.spreadsheetml.worksheet+xml" PartName="/xl/worksheets/sheet47526.xml"/>
  <Override ContentType="application/vnd.openxmlformats-officedocument.spreadsheetml.worksheet+xml" PartName="/xl/worksheets/sheet47527.xml"/>
  <Override ContentType="application/vnd.openxmlformats-officedocument.spreadsheetml.worksheet+xml" PartName="/xl/worksheets/sheet47528.xml"/>
  <Override ContentType="application/vnd.openxmlformats-officedocument.spreadsheetml.worksheet+xml" PartName="/xl/worksheets/sheet47529.xml"/>
  <Override ContentType="application/vnd.openxmlformats-officedocument.spreadsheetml.worksheet+xml" PartName="/xl/worksheets/sheet47530.xml"/>
  <Override ContentType="application/vnd.openxmlformats-officedocument.spreadsheetml.worksheet+xml" PartName="/xl/worksheets/sheet47531.xml"/>
  <Override ContentType="application/vnd.openxmlformats-officedocument.spreadsheetml.worksheet+xml" PartName="/xl/worksheets/sheet47532.xml"/>
  <Override ContentType="application/vnd.openxmlformats-officedocument.spreadsheetml.worksheet+xml" PartName="/xl/worksheets/sheet47533.xml"/>
  <Override ContentType="application/vnd.openxmlformats-officedocument.spreadsheetml.worksheet+xml" PartName="/xl/worksheets/sheet47534.xml"/>
  <Override ContentType="application/vnd.openxmlformats-officedocument.spreadsheetml.worksheet+xml" PartName="/xl/worksheets/sheet47535.xml"/>
  <Override ContentType="application/vnd.openxmlformats-officedocument.spreadsheetml.worksheet+xml" PartName="/xl/worksheets/sheet47536.xml"/>
  <Override ContentType="application/vnd.openxmlformats-officedocument.spreadsheetml.worksheet+xml" PartName="/xl/worksheets/sheet47537.xml"/>
  <Override ContentType="application/vnd.openxmlformats-officedocument.spreadsheetml.worksheet+xml" PartName="/xl/worksheets/sheet47538.xml"/>
  <Override ContentType="application/vnd.openxmlformats-officedocument.spreadsheetml.worksheet+xml" PartName="/xl/worksheets/sheet47539.xml"/>
  <Override ContentType="application/vnd.openxmlformats-officedocument.spreadsheetml.worksheet+xml" PartName="/xl/worksheets/sheet47540.xml"/>
  <Override ContentType="application/vnd.openxmlformats-officedocument.spreadsheetml.worksheet+xml" PartName="/xl/worksheets/sheet47541.xml"/>
  <Override ContentType="application/vnd.openxmlformats-officedocument.spreadsheetml.worksheet+xml" PartName="/xl/worksheets/sheet47542.xml"/>
  <Override ContentType="application/vnd.openxmlformats-officedocument.spreadsheetml.worksheet+xml" PartName="/xl/worksheets/sheet47543.xml"/>
  <Override ContentType="application/vnd.openxmlformats-officedocument.spreadsheetml.worksheet+xml" PartName="/xl/worksheets/sheet47544.xml"/>
  <Override ContentType="application/vnd.openxmlformats-officedocument.spreadsheetml.worksheet+xml" PartName="/xl/worksheets/sheet47545.xml"/>
  <Override ContentType="application/vnd.openxmlformats-officedocument.spreadsheetml.worksheet+xml" PartName="/xl/worksheets/sheet47546.xml"/>
  <Override ContentType="application/vnd.openxmlformats-officedocument.spreadsheetml.worksheet+xml" PartName="/xl/worksheets/sheet47547.xml"/>
  <Override ContentType="application/vnd.openxmlformats-officedocument.spreadsheetml.worksheet+xml" PartName="/xl/worksheets/sheet47548.xml"/>
  <Override ContentType="application/vnd.openxmlformats-officedocument.spreadsheetml.worksheet+xml" PartName="/xl/worksheets/sheet47549.xml"/>
  <Override ContentType="application/vnd.openxmlformats-officedocument.spreadsheetml.worksheet+xml" PartName="/xl/worksheets/sheet47550.xml"/>
  <Override ContentType="application/vnd.openxmlformats-officedocument.spreadsheetml.worksheet+xml" PartName="/xl/worksheets/sheet47551.xml"/>
  <Override ContentType="application/vnd.openxmlformats-officedocument.spreadsheetml.worksheet+xml" PartName="/xl/worksheets/sheet47552.xml"/>
  <Override ContentType="application/vnd.openxmlformats-officedocument.spreadsheetml.worksheet+xml" PartName="/xl/worksheets/sheet47553.xml"/>
  <Override ContentType="application/vnd.openxmlformats-officedocument.spreadsheetml.worksheet+xml" PartName="/xl/worksheets/sheet47554.xml"/>
  <Override ContentType="application/vnd.openxmlformats-officedocument.spreadsheetml.worksheet+xml" PartName="/xl/worksheets/sheet47555.xml"/>
  <Override ContentType="application/vnd.openxmlformats-officedocument.spreadsheetml.worksheet+xml" PartName="/xl/worksheets/sheet47556.xml"/>
  <Override ContentType="application/vnd.openxmlformats-officedocument.spreadsheetml.worksheet+xml" PartName="/xl/worksheets/sheet47557.xml"/>
  <Override ContentType="application/vnd.openxmlformats-officedocument.spreadsheetml.worksheet+xml" PartName="/xl/worksheets/sheet47558.xml"/>
  <Override ContentType="application/vnd.openxmlformats-officedocument.spreadsheetml.worksheet+xml" PartName="/xl/worksheets/sheet47559.xml"/>
  <Override ContentType="application/vnd.openxmlformats-officedocument.spreadsheetml.worksheet+xml" PartName="/xl/worksheets/sheet47560.xml"/>
  <Override ContentType="application/vnd.openxmlformats-officedocument.spreadsheetml.worksheet+xml" PartName="/xl/worksheets/sheet47561.xml"/>
  <Override ContentType="application/vnd.openxmlformats-officedocument.spreadsheetml.worksheet+xml" PartName="/xl/worksheets/sheet47562.xml"/>
  <Override ContentType="application/vnd.openxmlformats-officedocument.spreadsheetml.worksheet+xml" PartName="/xl/worksheets/sheet47563.xml"/>
  <Override ContentType="application/vnd.openxmlformats-officedocument.spreadsheetml.worksheet+xml" PartName="/xl/worksheets/sheet47564.xml"/>
  <Override ContentType="application/vnd.openxmlformats-officedocument.spreadsheetml.worksheet+xml" PartName="/xl/worksheets/sheet47565.xml"/>
  <Override ContentType="application/vnd.openxmlformats-officedocument.spreadsheetml.worksheet+xml" PartName="/xl/worksheets/sheet47566.xml"/>
  <Override ContentType="application/vnd.openxmlformats-officedocument.spreadsheetml.worksheet+xml" PartName="/xl/worksheets/sheet47567.xml"/>
  <Override ContentType="application/vnd.openxmlformats-officedocument.spreadsheetml.worksheet+xml" PartName="/xl/worksheets/sheet47568.xml"/>
  <Override ContentType="application/vnd.openxmlformats-officedocument.spreadsheetml.worksheet+xml" PartName="/xl/worksheets/sheet47569.xml"/>
  <Override ContentType="application/vnd.openxmlformats-officedocument.spreadsheetml.worksheet+xml" PartName="/xl/worksheets/sheet47570.xml"/>
  <Override ContentType="application/vnd.openxmlformats-officedocument.spreadsheetml.worksheet+xml" PartName="/xl/worksheets/sheet47571.xml"/>
  <Override ContentType="application/vnd.openxmlformats-officedocument.spreadsheetml.worksheet+xml" PartName="/xl/worksheets/sheet47572.xml"/>
  <Override ContentType="application/vnd.openxmlformats-officedocument.spreadsheetml.worksheet+xml" PartName="/xl/worksheets/sheet47573.xml"/>
  <Override ContentType="application/vnd.openxmlformats-officedocument.spreadsheetml.worksheet+xml" PartName="/xl/worksheets/sheet47574.xml"/>
  <Override ContentType="application/vnd.openxmlformats-officedocument.spreadsheetml.worksheet+xml" PartName="/xl/worksheets/sheet47575.xml"/>
  <Override ContentType="application/vnd.openxmlformats-officedocument.spreadsheetml.worksheet+xml" PartName="/xl/worksheets/sheet47576.xml"/>
  <Override ContentType="application/vnd.openxmlformats-officedocument.spreadsheetml.worksheet+xml" PartName="/xl/worksheets/sheet47577.xml"/>
  <Override ContentType="application/vnd.openxmlformats-officedocument.spreadsheetml.worksheet+xml" PartName="/xl/worksheets/sheet47578.xml"/>
  <Override ContentType="application/vnd.openxmlformats-officedocument.spreadsheetml.worksheet+xml" PartName="/xl/worksheets/sheet47579.xml"/>
  <Override ContentType="application/vnd.openxmlformats-officedocument.spreadsheetml.worksheet+xml" PartName="/xl/worksheets/sheet47580.xml"/>
  <Override ContentType="application/vnd.openxmlformats-officedocument.spreadsheetml.worksheet+xml" PartName="/xl/worksheets/sheet47581.xml"/>
  <Override ContentType="application/vnd.openxmlformats-officedocument.spreadsheetml.worksheet+xml" PartName="/xl/worksheets/sheet47582.xml"/>
  <Override ContentType="application/vnd.openxmlformats-officedocument.spreadsheetml.worksheet+xml" PartName="/xl/worksheets/sheet47583.xml"/>
  <Override ContentType="application/vnd.openxmlformats-officedocument.spreadsheetml.worksheet+xml" PartName="/xl/worksheets/sheet47584.xml"/>
  <Override ContentType="application/vnd.openxmlformats-officedocument.spreadsheetml.worksheet+xml" PartName="/xl/worksheets/sheet47585.xml"/>
  <Override ContentType="application/vnd.openxmlformats-officedocument.spreadsheetml.worksheet+xml" PartName="/xl/worksheets/sheet47586.xml"/>
  <Override ContentType="application/vnd.openxmlformats-officedocument.spreadsheetml.worksheet+xml" PartName="/xl/worksheets/sheet47587.xml"/>
  <Override ContentType="application/vnd.openxmlformats-officedocument.spreadsheetml.worksheet+xml" PartName="/xl/worksheets/sheet47588.xml"/>
  <Override ContentType="application/vnd.openxmlformats-officedocument.spreadsheetml.worksheet+xml" PartName="/xl/worksheets/sheet47589.xml"/>
  <Override ContentType="application/vnd.openxmlformats-officedocument.spreadsheetml.worksheet+xml" PartName="/xl/worksheets/sheet47590.xml"/>
  <Override ContentType="application/vnd.openxmlformats-officedocument.spreadsheetml.worksheet+xml" PartName="/xl/worksheets/sheet47591.xml"/>
  <Override ContentType="application/vnd.openxmlformats-officedocument.spreadsheetml.worksheet+xml" PartName="/xl/worksheets/sheet47592.xml"/>
  <Override ContentType="application/vnd.openxmlformats-officedocument.spreadsheetml.worksheet+xml" PartName="/xl/worksheets/sheet47593.xml"/>
  <Override ContentType="application/vnd.openxmlformats-officedocument.spreadsheetml.worksheet+xml" PartName="/xl/worksheets/sheet47594.xml"/>
  <Override ContentType="application/vnd.openxmlformats-officedocument.spreadsheetml.worksheet+xml" PartName="/xl/worksheets/sheet47595.xml"/>
  <Override ContentType="application/vnd.openxmlformats-officedocument.spreadsheetml.worksheet+xml" PartName="/xl/worksheets/sheet47596.xml"/>
  <Override ContentType="application/vnd.openxmlformats-officedocument.spreadsheetml.worksheet+xml" PartName="/xl/worksheets/sheet47597.xml"/>
  <Override ContentType="application/vnd.openxmlformats-officedocument.spreadsheetml.worksheet+xml" PartName="/xl/worksheets/sheet47598.xml"/>
  <Override ContentType="application/vnd.openxmlformats-officedocument.spreadsheetml.worksheet+xml" PartName="/xl/worksheets/sheet47599.xml"/>
  <Override ContentType="application/vnd.openxmlformats-officedocument.spreadsheetml.worksheet+xml" PartName="/xl/worksheets/sheet47600.xml"/>
  <Override ContentType="application/vnd.openxmlformats-officedocument.spreadsheetml.worksheet+xml" PartName="/xl/worksheets/sheet47601.xml"/>
  <Override ContentType="application/vnd.openxmlformats-officedocument.spreadsheetml.worksheet+xml" PartName="/xl/worksheets/sheet47602.xml"/>
  <Override ContentType="application/vnd.openxmlformats-officedocument.spreadsheetml.worksheet+xml" PartName="/xl/worksheets/sheet47603.xml"/>
  <Override ContentType="application/vnd.openxmlformats-officedocument.spreadsheetml.worksheet+xml" PartName="/xl/worksheets/sheet47604.xml"/>
  <Override ContentType="application/vnd.openxmlformats-officedocument.spreadsheetml.worksheet+xml" PartName="/xl/worksheets/sheet47605.xml"/>
  <Override ContentType="application/vnd.openxmlformats-officedocument.spreadsheetml.worksheet+xml" PartName="/xl/worksheets/sheet47606.xml"/>
  <Override ContentType="application/vnd.openxmlformats-officedocument.spreadsheetml.worksheet+xml" PartName="/xl/worksheets/sheet47607.xml"/>
  <Override ContentType="application/vnd.openxmlformats-officedocument.spreadsheetml.worksheet+xml" PartName="/xl/worksheets/sheet47608.xml"/>
  <Override ContentType="application/vnd.openxmlformats-officedocument.spreadsheetml.worksheet+xml" PartName="/xl/worksheets/sheet47609.xml"/>
  <Override ContentType="application/vnd.openxmlformats-officedocument.spreadsheetml.worksheet+xml" PartName="/xl/worksheets/sheet47610.xml"/>
  <Override ContentType="application/vnd.openxmlformats-officedocument.spreadsheetml.worksheet+xml" PartName="/xl/worksheets/sheet47611.xml"/>
  <Override ContentType="application/vnd.openxmlformats-officedocument.spreadsheetml.worksheet+xml" PartName="/xl/worksheets/sheet47612.xml"/>
  <Override ContentType="application/vnd.openxmlformats-officedocument.spreadsheetml.worksheet+xml" PartName="/xl/worksheets/sheet47613.xml"/>
  <Override ContentType="application/vnd.openxmlformats-officedocument.spreadsheetml.worksheet+xml" PartName="/xl/worksheets/sheet47614.xml"/>
  <Override ContentType="application/vnd.openxmlformats-officedocument.spreadsheetml.worksheet+xml" PartName="/xl/worksheets/sheet47615.xml"/>
  <Override ContentType="application/vnd.openxmlformats-officedocument.spreadsheetml.worksheet+xml" PartName="/xl/worksheets/sheet47616.xml"/>
  <Override ContentType="application/vnd.openxmlformats-officedocument.spreadsheetml.worksheet+xml" PartName="/xl/worksheets/sheet47617.xml"/>
  <Override ContentType="application/vnd.openxmlformats-officedocument.spreadsheetml.worksheet+xml" PartName="/xl/worksheets/sheet47618.xml"/>
  <Override ContentType="application/vnd.openxmlformats-officedocument.spreadsheetml.worksheet+xml" PartName="/xl/worksheets/sheet47619.xml"/>
  <Override ContentType="application/vnd.openxmlformats-officedocument.spreadsheetml.worksheet+xml" PartName="/xl/worksheets/sheet47620.xml"/>
  <Override ContentType="application/vnd.openxmlformats-officedocument.spreadsheetml.worksheet+xml" PartName="/xl/worksheets/sheet47621.xml"/>
  <Override ContentType="application/vnd.openxmlformats-officedocument.spreadsheetml.worksheet+xml" PartName="/xl/worksheets/sheet47622.xml"/>
  <Override ContentType="application/vnd.openxmlformats-officedocument.spreadsheetml.worksheet+xml" PartName="/xl/worksheets/sheet47623.xml"/>
  <Override ContentType="application/vnd.openxmlformats-officedocument.spreadsheetml.worksheet+xml" PartName="/xl/worksheets/sheet47624.xml"/>
  <Override ContentType="application/vnd.openxmlformats-officedocument.spreadsheetml.worksheet+xml" PartName="/xl/worksheets/sheet47625.xml"/>
  <Override ContentType="application/vnd.openxmlformats-officedocument.spreadsheetml.worksheet+xml" PartName="/xl/worksheets/sheet47626.xml"/>
  <Override ContentType="application/vnd.openxmlformats-officedocument.spreadsheetml.worksheet+xml" PartName="/xl/worksheets/sheet47627.xml"/>
  <Override ContentType="application/vnd.openxmlformats-officedocument.spreadsheetml.worksheet+xml" PartName="/xl/worksheets/sheet47628.xml"/>
  <Override ContentType="application/vnd.openxmlformats-officedocument.spreadsheetml.worksheet+xml" PartName="/xl/worksheets/sheet47629.xml"/>
  <Override ContentType="application/vnd.openxmlformats-officedocument.spreadsheetml.worksheet+xml" PartName="/xl/worksheets/sheet47630.xml"/>
  <Override ContentType="application/vnd.openxmlformats-officedocument.spreadsheetml.worksheet+xml" PartName="/xl/worksheets/sheet47631.xml"/>
  <Override ContentType="application/vnd.openxmlformats-officedocument.spreadsheetml.worksheet+xml" PartName="/xl/worksheets/sheet47632.xml"/>
  <Override ContentType="application/vnd.openxmlformats-officedocument.spreadsheetml.worksheet+xml" PartName="/xl/worksheets/sheet47633.xml"/>
  <Override ContentType="application/vnd.openxmlformats-officedocument.spreadsheetml.worksheet+xml" PartName="/xl/worksheets/sheet47634.xml"/>
  <Override ContentType="application/vnd.openxmlformats-officedocument.spreadsheetml.worksheet+xml" PartName="/xl/worksheets/sheet47635.xml"/>
  <Override ContentType="application/vnd.openxmlformats-officedocument.spreadsheetml.worksheet+xml" PartName="/xl/worksheets/sheet47636.xml"/>
  <Override ContentType="application/vnd.openxmlformats-officedocument.spreadsheetml.worksheet+xml" PartName="/xl/worksheets/sheet47637.xml"/>
  <Override ContentType="application/vnd.openxmlformats-officedocument.spreadsheetml.worksheet+xml" PartName="/xl/worksheets/sheet47638.xml"/>
  <Override ContentType="application/vnd.openxmlformats-officedocument.spreadsheetml.worksheet+xml" PartName="/xl/worksheets/sheet47639.xml"/>
  <Override ContentType="application/vnd.openxmlformats-officedocument.spreadsheetml.worksheet+xml" PartName="/xl/worksheets/sheet47640.xml"/>
  <Override ContentType="application/vnd.openxmlformats-officedocument.spreadsheetml.worksheet+xml" PartName="/xl/worksheets/sheet47641.xml"/>
  <Override ContentType="application/vnd.openxmlformats-officedocument.spreadsheetml.worksheet+xml" PartName="/xl/worksheets/sheet47642.xml"/>
  <Override ContentType="application/vnd.openxmlformats-officedocument.spreadsheetml.worksheet+xml" PartName="/xl/worksheets/sheet47643.xml"/>
  <Override ContentType="application/vnd.openxmlformats-officedocument.spreadsheetml.worksheet+xml" PartName="/xl/worksheets/sheet47644.xml"/>
  <Override ContentType="application/vnd.openxmlformats-officedocument.spreadsheetml.worksheet+xml" PartName="/xl/worksheets/sheet47645.xml"/>
  <Override ContentType="application/vnd.openxmlformats-officedocument.spreadsheetml.worksheet+xml" PartName="/xl/worksheets/sheet47646.xml"/>
  <Override ContentType="application/vnd.openxmlformats-officedocument.spreadsheetml.worksheet+xml" PartName="/xl/worksheets/sheet47647.xml"/>
  <Override ContentType="application/vnd.openxmlformats-officedocument.spreadsheetml.worksheet+xml" PartName="/xl/worksheets/sheet47648.xml"/>
  <Override ContentType="application/vnd.openxmlformats-officedocument.spreadsheetml.worksheet+xml" PartName="/xl/worksheets/sheet47649.xml"/>
  <Override ContentType="application/vnd.openxmlformats-officedocument.spreadsheetml.worksheet+xml" PartName="/xl/worksheets/sheet47650.xml"/>
  <Override ContentType="application/vnd.openxmlformats-officedocument.spreadsheetml.worksheet+xml" PartName="/xl/worksheets/sheet47651.xml"/>
  <Override ContentType="application/vnd.openxmlformats-officedocument.spreadsheetml.worksheet+xml" PartName="/xl/worksheets/sheet47652.xml"/>
  <Override ContentType="application/vnd.openxmlformats-officedocument.spreadsheetml.worksheet+xml" PartName="/xl/worksheets/sheet47653.xml"/>
  <Override ContentType="application/vnd.openxmlformats-officedocument.spreadsheetml.worksheet+xml" PartName="/xl/worksheets/sheet47654.xml"/>
  <Override ContentType="application/vnd.openxmlformats-officedocument.spreadsheetml.worksheet+xml" PartName="/xl/worksheets/sheet47655.xml"/>
  <Override ContentType="application/vnd.openxmlformats-officedocument.spreadsheetml.worksheet+xml" PartName="/xl/worksheets/sheet47656.xml"/>
  <Override ContentType="application/vnd.openxmlformats-officedocument.spreadsheetml.worksheet+xml" PartName="/xl/worksheets/sheet47657.xml"/>
  <Override ContentType="application/vnd.openxmlformats-officedocument.spreadsheetml.worksheet+xml" PartName="/xl/worksheets/sheet47658.xml"/>
  <Override ContentType="application/vnd.openxmlformats-officedocument.spreadsheetml.worksheet+xml" PartName="/xl/worksheets/sheet47659.xml"/>
  <Override ContentType="application/vnd.openxmlformats-officedocument.spreadsheetml.worksheet+xml" PartName="/xl/worksheets/sheet47660.xml"/>
  <Override ContentType="application/vnd.openxmlformats-officedocument.spreadsheetml.worksheet+xml" PartName="/xl/worksheets/sheet47661.xml"/>
  <Override ContentType="application/vnd.openxmlformats-officedocument.spreadsheetml.worksheet+xml" PartName="/xl/worksheets/sheet47662.xml"/>
  <Override ContentType="application/vnd.openxmlformats-officedocument.spreadsheetml.worksheet+xml" PartName="/xl/worksheets/sheet47663.xml"/>
  <Override ContentType="application/vnd.openxmlformats-officedocument.spreadsheetml.worksheet+xml" PartName="/xl/worksheets/sheet47664.xml"/>
  <Override ContentType="application/vnd.openxmlformats-officedocument.spreadsheetml.worksheet+xml" PartName="/xl/worksheets/sheet47665.xml"/>
  <Override ContentType="application/vnd.openxmlformats-officedocument.spreadsheetml.worksheet+xml" PartName="/xl/worksheets/sheet47666.xml"/>
  <Override ContentType="application/vnd.openxmlformats-officedocument.spreadsheetml.worksheet+xml" PartName="/xl/worksheets/sheet47667.xml"/>
  <Override ContentType="application/vnd.openxmlformats-officedocument.spreadsheetml.worksheet+xml" PartName="/xl/worksheets/sheet47668.xml"/>
  <Override ContentType="application/vnd.openxmlformats-officedocument.spreadsheetml.worksheet+xml" PartName="/xl/worksheets/sheet47669.xml"/>
  <Override ContentType="application/vnd.openxmlformats-officedocument.spreadsheetml.worksheet+xml" PartName="/xl/worksheets/sheet47670.xml"/>
  <Override ContentType="application/vnd.openxmlformats-officedocument.spreadsheetml.worksheet+xml" PartName="/xl/worksheets/sheet47671.xml"/>
  <Override ContentType="application/vnd.openxmlformats-officedocument.spreadsheetml.worksheet+xml" PartName="/xl/worksheets/sheet47672.xml"/>
  <Override ContentType="application/vnd.openxmlformats-officedocument.spreadsheetml.worksheet+xml" PartName="/xl/worksheets/sheet47673.xml"/>
  <Override ContentType="application/vnd.openxmlformats-officedocument.spreadsheetml.worksheet+xml" PartName="/xl/worksheets/sheet47674.xml"/>
  <Override ContentType="application/vnd.openxmlformats-officedocument.spreadsheetml.worksheet+xml" PartName="/xl/worksheets/sheet47675.xml"/>
  <Override ContentType="application/vnd.openxmlformats-officedocument.spreadsheetml.worksheet+xml" PartName="/xl/worksheets/sheet47676.xml"/>
  <Override ContentType="application/vnd.openxmlformats-officedocument.spreadsheetml.worksheet+xml" PartName="/xl/worksheets/sheet47677.xml"/>
  <Override ContentType="application/vnd.openxmlformats-officedocument.spreadsheetml.worksheet+xml" PartName="/xl/worksheets/sheet47678.xml"/>
  <Override ContentType="application/vnd.openxmlformats-officedocument.spreadsheetml.worksheet+xml" PartName="/xl/worksheets/sheet47679.xml"/>
  <Override ContentType="application/vnd.openxmlformats-officedocument.spreadsheetml.worksheet+xml" PartName="/xl/worksheets/sheet47680.xml"/>
  <Override ContentType="application/vnd.openxmlformats-officedocument.spreadsheetml.worksheet+xml" PartName="/xl/worksheets/sheet47681.xml"/>
  <Override ContentType="application/vnd.openxmlformats-officedocument.spreadsheetml.worksheet+xml" PartName="/xl/worksheets/sheet47682.xml"/>
  <Override ContentType="application/vnd.openxmlformats-officedocument.spreadsheetml.worksheet+xml" PartName="/xl/worksheets/sheet47683.xml"/>
  <Override ContentType="application/vnd.openxmlformats-officedocument.spreadsheetml.worksheet+xml" PartName="/xl/worksheets/sheet47684.xml"/>
  <Override ContentType="application/vnd.openxmlformats-officedocument.spreadsheetml.worksheet+xml" PartName="/xl/worksheets/sheet47685.xml"/>
  <Override ContentType="application/vnd.openxmlformats-officedocument.spreadsheetml.worksheet+xml" PartName="/xl/worksheets/sheet47686.xml"/>
  <Override ContentType="application/vnd.openxmlformats-officedocument.spreadsheetml.worksheet+xml" PartName="/xl/worksheets/sheet47687.xml"/>
  <Override ContentType="application/vnd.openxmlformats-officedocument.spreadsheetml.worksheet+xml" PartName="/xl/worksheets/sheet47688.xml"/>
  <Override ContentType="application/vnd.openxmlformats-officedocument.spreadsheetml.worksheet+xml" PartName="/xl/worksheets/sheet47689.xml"/>
  <Override ContentType="application/vnd.openxmlformats-officedocument.spreadsheetml.worksheet+xml" PartName="/xl/worksheets/sheet47690.xml"/>
  <Override ContentType="application/vnd.openxmlformats-officedocument.spreadsheetml.worksheet+xml" PartName="/xl/worksheets/sheet47691.xml"/>
  <Override ContentType="application/vnd.openxmlformats-officedocument.spreadsheetml.worksheet+xml" PartName="/xl/worksheets/sheet47692.xml"/>
  <Override ContentType="application/vnd.openxmlformats-officedocument.spreadsheetml.worksheet+xml" PartName="/xl/worksheets/sheet47693.xml"/>
  <Override ContentType="application/vnd.openxmlformats-officedocument.spreadsheetml.worksheet+xml" PartName="/xl/worksheets/sheet47694.xml"/>
  <Override ContentType="application/vnd.openxmlformats-officedocument.spreadsheetml.worksheet+xml" PartName="/xl/worksheets/sheet47695.xml"/>
  <Override ContentType="application/vnd.openxmlformats-officedocument.spreadsheetml.worksheet+xml" PartName="/xl/worksheets/sheet47696.xml"/>
  <Override ContentType="application/vnd.openxmlformats-officedocument.spreadsheetml.worksheet+xml" PartName="/xl/worksheets/sheet47697.xml"/>
  <Override ContentType="application/vnd.openxmlformats-officedocument.spreadsheetml.worksheet+xml" PartName="/xl/worksheets/sheet47698.xml"/>
  <Override ContentType="application/vnd.openxmlformats-officedocument.spreadsheetml.worksheet+xml" PartName="/xl/worksheets/sheet47699.xml"/>
  <Override ContentType="application/vnd.openxmlformats-officedocument.spreadsheetml.worksheet+xml" PartName="/xl/worksheets/sheet47700.xml"/>
  <Override ContentType="application/vnd.openxmlformats-officedocument.spreadsheetml.worksheet+xml" PartName="/xl/worksheets/sheet47701.xml"/>
  <Override ContentType="application/vnd.openxmlformats-officedocument.spreadsheetml.worksheet+xml" PartName="/xl/worksheets/sheet47702.xml"/>
  <Override ContentType="application/vnd.openxmlformats-officedocument.spreadsheetml.worksheet+xml" PartName="/xl/worksheets/sheet47703.xml"/>
  <Override ContentType="application/vnd.openxmlformats-officedocument.spreadsheetml.worksheet+xml" PartName="/xl/worksheets/sheet47704.xml"/>
  <Override ContentType="application/vnd.openxmlformats-officedocument.spreadsheetml.worksheet+xml" PartName="/xl/worksheets/sheet47705.xml"/>
  <Override ContentType="application/vnd.openxmlformats-officedocument.spreadsheetml.worksheet+xml" PartName="/xl/worksheets/sheet47706.xml"/>
  <Override ContentType="application/vnd.openxmlformats-officedocument.spreadsheetml.worksheet+xml" PartName="/xl/worksheets/sheet47707.xml"/>
  <Override ContentType="application/vnd.openxmlformats-officedocument.spreadsheetml.worksheet+xml" PartName="/xl/worksheets/sheet47708.xml"/>
  <Override ContentType="application/vnd.openxmlformats-officedocument.spreadsheetml.worksheet+xml" PartName="/xl/worksheets/sheet47709.xml"/>
  <Override ContentType="application/vnd.openxmlformats-officedocument.spreadsheetml.worksheet+xml" PartName="/xl/worksheets/sheet47710.xml"/>
  <Override ContentType="application/vnd.openxmlformats-officedocument.spreadsheetml.worksheet+xml" PartName="/xl/worksheets/sheet47711.xml"/>
  <Override ContentType="application/vnd.openxmlformats-officedocument.spreadsheetml.worksheet+xml" PartName="/xl/worksheets/sheet47712.xml"/>
  <Override ContentType="application/vnd.openxmlformats-officedocument.spreadsheetml.worksheet+xml" PartName="/xl/worksheets/sheet47713.xml"/>
  <Override ContentType="application/vnd.openxmlformats-officedocument.spreadsheetml.worksheet+xml" PartName="/xl/worksheets/sheet47714.xml"/>
  <Override ContentType="application/vnd.openxmlformats-officedocument.spreadsheetml.worksheet+xml" PartName="/xl/worksheets/sheet47715.xml"/>
  <Override ContentType="application/vnd.openxmlformats-officedocument.spreadsheetml.worksheet+xml" PartName="/xl/worksheets/sheet47716.xml"/>
  <Override ContentType="application/vnd.openxmlformats-officedocument.spreadsheetml.worksheet+xml" PartName="/xl/worksheets/sheet47717.xml"/>
  <Override ContentType="application/vnd.openxmlformats-officedocument.spreadsheetml.worksheet+xml" PartName="/xl/worksheets/sheet47718.xml"/>
  <Override ContentType="application/vnd.openxmlformats-officedocument.spreadsheetml.worksheet+xml" PartName="/xl/worksheets/sheet47719.xml"/>
  <Override ContentType="application/vnd.openxmlformats-officedocument.spreadsheetml.worksheet+xml" PartName="/xl/worksheets/sheet47720.xml"/>
  <Override ContentType="application/vnd.openxmlformats-officedocument.spreadsheetml.worksheet+xml" PartName="/xl/worksheets/sheet47721.xml"/>
  <Override ContentType="application/vnd.openxmlformats-officedocument.spreadsheetml.worksheet+xml" PartName="/xl/worksheets/sheet47722.xml"/>
  <Override ContentType="application/vnd.openxmlformats-officedocument.spreadsheetml.worksheet+xml" PartName="/xl/worksheets/sheet47723.xml"/>
  <Override ContentType="application/vnd.openxmlformats-officedocument.spreadsheetml.worksheet+xml" PartName="/xl/worksheets/sheet47724.xml"/>
  <Override ContentType="application/vnd.openxmlformats-officedocument.spreadsheetml.worksheet+xml" PartName="/xl/worksheets/sheet47725.xml"/>
  <Override ContentType="application/vnd.openxmlformats-officedocument.spreadsheetml.worksheet+xml" PartName="/xl/worksheets/sheet47726.xml"/>
  <Override ContentType="application/vnd.openxmlformats-officedocument.spreadsheetml.worksheet+xml" PartName="/xl/worksheets/sheet47727.xml"/>
  <Override ContentType="application/vnd.openxmlformats-officedocument.spreadsheetml.worksheet+xml" PartName="/xl/worksheets/sheet47728.xml"/>
  <Override ContentType="application/vnd.openxmlformats-officedocument.spreadsheetml.worksheet+xml" PartName="/xl/worksheets/sheet47729.xml"/>
  <Override ContentType="application/vnd.openxmlformats-officedocument.spreadsheetml.worksheet+xml" PartName="/xl/worksheets/sheet47730.xml"/>
  <Override ContentType="application/vnd.openxmlformats-officedocument.spreadsheetml.worksheet+xml" PartName="/xl/worksheets/sheet47731.xml"/>
  <Override ContentType="application/vnd.openxmlformats-officedocument.spreadsheetml.worksheet+xml" PartName="/xl/worksheets/sheet47732.xml"/>
  <Override ContentType="application/vnd.openxmlformats-officedocument.spreadsheetml.worksheet+xml" PartName="/xl/worksheets/sheet47733.xml"/>
  <Override ContentType="application/vnd.openxmlformats-officedocument.spreadsheetml.worksheet+xml" PartName="/xl/worksheets/sheet47734.xml"/>
  <Override ContentType="application/vnd.openxmlformats-officedocument.spreadsheetml.worksheet+xml" PartName="/xl/worksheets/sheet47735.xml"/>
  <Override ContentType="application/vnd.openxmlformats-officedocument.spreadsheetml.worksheet+xml" PartName="/xl/worksheets/sheet47736.xml"/>
  <Override ContentType="application/vnd.openxmlformats-officedocument.spreadsheetml.worksheet+xml" PartName="/xl/worksheets/sheet47737.xml"/>
  <Override ContentType="application/vnd.openxmlformats-officedocument.spreadsheetml.worksheet+xml" PartName="/xl/worksheets/sheet47738.xml"/>
  <Override ContentType="application/vnd.openxmlformats-officedocument.spreadsheetml.worksheet+xml" PartName="/xl/worksheets/sheet47739.xml"/>
  <Override ContentType="application/vnd.openxmlformats-officedocument.spreadsheetml.worksheet+xml" PartName="/xl/worksheets/sheet47740.xml"/>
  <Override ContentType="application/vnd.openxmlformats-officedocument.spreadsheetml.worksheet+xml" PartName="/xl/worksheets/sheet47741.xml"/>
  <Override ContentType="application/vnd.openxmlformats-officedocument.spreadsheetml.worksheet+xml" PartName="/xl/worksheets/sheet47742.xml"/>
  <Override ContentType="application/vnd.openxmlformats-officedocument.spreadsheetml.worksheet+xml" PartName="/xl/worksheets/sheet47743.xml"/>
  <Override ContentType="application/vnd.openxmlformats-officedocument.spreadsheetml.worksheet+xml" PartName="/xl/worksheets/sheet47744.xml"/>
  <Override ContentType="application/vnd.openxmlformats-officedocument.spreadsheetml.worksheet+xml" PartName="/xl/worksheets/sheet47745.xml"/>
  <Override ContentType="application/vnd.openxmlformats-officedocument.spreadsheetml.worksheet+xml" PartName="/xl/worksheets/sheet47746.xml"/>
  <Override ContentType="application/vnd.openxmlformats-officedocument.spreadsheetml.worksheet+xml" PartName="/xl/worksheets/sheet47747.xml"/>
  <Override ContentType="application/vnd.openxmlformats-officedocument.spreadsheetml.worksheet+xml" PartName="/xl/worksheets/sheet47748.xml"/>
  <Override ContentType="application/vnd.openxmlformats-officedocument.spreadsheetml.worksheet+xml" PartName="/xl/worksheets/sheet47749.xml"/>
  <Override ContentType="application/vnd.openxmlformats-officedocument.spreadsheetml.worksheet+xml" PartName="/xl/worksheets/sheet47750.xml"/>
  <Override ContentType="application/vnd.openxmlformats-officedocument.spreadsheetml.worksheet+xml" PartName="/xl/worksheets/sheet47751.xml"/>
  <Override ContentType="application/vnd.openxmlformats-officedocument.spreadsheetml.worksheet+xml" PartName="/xl/worksheets/sheet47752.xml"/>
  <Override ContentType="application/vnd.openxmlformats-officedocument.spreadsheetml.worksheet+xml" PartName="/xl/worksheets/sheet47753.xml"/>
  <Override ContentType="application/vnd.openxmlformats-officedocument.spreadsheetml.worksheet+xml" PartName="/xl/worksheets/sheet47754.xml"/>
  <Override ContentType="application/vnd.openxmlformats-officedocument.spreadsheetml.worksheet+xml" PartName="/xl/worksheets/sheet47755.xml"/>
  <Override ContentType="application/vnd.openxmlformats-officedocument.spreadsheetml.worksheet+xml" PartName="/xl/worksheets/sheet47756.xml"/>
  <Override ContentType="application/vnd.openxmlformats-officedocument.spreadsheetml.worksheet+xml" PartName="/xl/worksheets/sheet47757.xml"/>
  <Override ContentType="application/vnd.openxmlformats-officedocument.spreadsheetml.worksheet+xml" PartName="/xl/worksheets/sheet47758.xml"/>
  <Override ContentType="application/vnd.openxmlformats-officedocument.spreadsheetml.worksheet+xml" PartName="/xl/worksheets/sheet47759.xml"/>
  <Override ContentType="application/vnd.openxmlformats-officedocument.spreadsheetml.worksheet+xml" PartName="/xl/worksheets/sheet47760.xml"/>
  <Override ContentType="application/vnd.openxmlformats-officedocument.spreadsheetml.worksheet+xml" PartName="/xl/worksheets/sheet47761.xml"/>
  <Override ContentType="application/vnd.openxmlformats-officedocument.spreadsheetml.worksheet+xml" PartName="/xl/worksheets/sheet47762.xml"/>
  <Override ContentType="application/vnd.openxmlformats-officedocument.spreadsheetml.worksheet+xml" PartName="/xl/worksheets/sheet47763.xml"/>
  <Override ContentType="application/vnd.openxmlformats-officedocument.spreadsheetml.worksheet+xml" PartName="/xl/worksheets/sheet47764.xml"/>
  <Override ContentType="application/vnd.openxmlformats-officedocument.spreadsheetml.worksheet+xml" PartName="/xl/worksheets/sheet47765.xml"/>
  <Override ContentType="application/vnd.openxmlformats-officedocument.spreadsheetml.worksheet+xml" PartName="/xl/worksheets/sheet47766.xml"/>
  <Override ContentType="application/vnd.openxmlformats-officedocument.spreadsheetml.worksheet+xml" PartName="/xl/worksheets/sheet47767.xml"/>
  <Override ContentType="application/vnd.openxmlformats-officedocument.spreadsheetml.worksheet+xml" PartName="/xl/worksheets/sheet47768.xml"/>
  <Override ContentType="application/vnd.openxmlformats-officedocument.spreadsheetml.worksheet+xml" PartName="/xl/worksheets/sheet47769.xml"/>
  <Override ContentType="application/vnd.openxmlformats-officedocument.spreadsheetml.worksheet+xml" PartName="/xl/worksheets/sheet47770.xml"/>
  <Override ContentType="application/vnd.openxmlformats-officedocument.spreadsheetml.worksheet+xml" PartName="/xl/worksheets/sheet47771.xml"/>
  <Override ContentType="application/vnd.openxmlformats-officedocument.spreadsheetml.worksheet+xml" PartName="/xl/worksheets/sheet47772.xml"/>
  <Override ContentType="application/vnd.openxmlformats-officedocument.spreadsheetml.worksheet+xml" PartName="/xl/worksheets/sheet47773.xml"/>
  <Override ContentType="application/vnd.openxmlformats-officedocument.spreadsheetml.worksheet+xml" PartName="/xl/worksheets/sheet47774.xml"/>
  <Override ContentType="application/vnd.openxmlformats-officedocument.spreadsheetml.worksheet+xml" PartName="/xl/worksheets/sheet47775.xml"/>
  <Override ContentType="application/vnd.openxmlformats-officedocument.spreadsheetml.worksheet+xml" PartName="/xl/worksheets/sheet47776.xml"/>
  <Override ContentType="application/vnd.openxmlformats-officedocument.spreadsheetml.worksheet+xml" PartName="/xl/worksheets/sheet47777.xml"/>
  <Override ContentType="application/vnd.openxmlformats-officedocument.spreadsheetml.worksheet+xml" PartName="/xl/worksheets/sheet47778.xml"/>
  <Override ContentType="application/vnd.openxmlformats-officedocument.spreadsheetml.worksheet+xml" PartName="/xl/worksheets/sheet47779.xml"/>
  <Override ContentType="application/vnd.openxmlformats-officedocument.spreadsheetml.worksheet+xml" PartName="/xl/worksheets/sheet47780.xml"/>
  <Override ContentType="application/vnd.openxmlformats-officedocument.spreadsheetml.worksheet+xml" PartName="/xl/worksheets/sheet47781.xml"/>
  <Override ContentType="application/vnd.openxmlformats-officedocument.spreadsheetml.worksheet+xml" PartName="/xl/worksheets/sheet47782.xml"/>
  <Override ContentType="application/vnd.openxmlformats-officedocument.spreadsheetml.worksheet+xml" PartName="/xl/worksheets/sheet47783.xml"/>
  <Override ContentType="application/vnd.openxmlformats-officedocument.spreadsheetml.worksheet+xml" PartName="/xl/worksheets/sheet47784.xml"/>
  <Override ContentType="application/vnd.openxmlformats-officedocument.spreadsheetml.worksheet+xml" PartName="/xl/worksheets/sheet47785.xml"/>
  <Override ContentType="application/vnd.openxmlformats-officedocument.spreadsheetml.worksheet+xml" PartName="/xl/worksheets/sheet47786.xml"/>
  <Override ContentType="application/vnd.openxmlformats-officedocument.spreadsheetml.worksheet+xml" PartName="/xl/worksheets/sheet47787.xml"/>
  <Override ContentType="application/vnd.openxmlformats-officedocument.spreadsheetml.worksheet+xml" PartName="/xl/worksheets/sheet47788.xml"/>
  <Override ContentType="application/vnd.openxmlformats-officedocument.spreadsheetml.worksheet+xml" PartName="/xl/worksheets/sheet47789.xml"/>
  <Override ContentType="application/vnd.openxmlformats-officedocument.spreadsheetml.worksheet+xml" PartName="/xl/worksheets/sheet47790.xml"/>
  <Override ContentType="application/vnd.openxmlformats-officedocument.spreadsheetml.worksheet+xml" PartName="/xl/worksheets/sheet47791.xml"/>
  <Override ContentType="application/vnd.openxmlformats-officedocument.spreadsheetml.worksheet+xml" PartName="/xl/worksheets/sheet47792.xml"/>
  <Override ContentType="application/vnd.openxmlformats-officedocument.spreadsheetml.worksheet+xml" PartName="/xl/worksheets/sheet47793.xml"/>
  <Override ContentType="application/vnd.openxmlformats-officedocument.spreadsheetml.worksheet+xml" PartName="/xl/worksheets/sheet47794.xml"/>
  <Override ContentType="application/vnd.openxmlformats-officedocument.spreadsheetml.worksheet+xml" PartName="/xl/worksheets/sheet47795.xml"/>
  <Override ContentType="application/vnd.openxmlformats-officedocument.spreadsheetml.worksheet+xml" PartName="/xl/worksheets/sheet47796.xml"/>
  <Override ContentType="application/vnd.openxmlformats-officedocument.spreadsheetml.worksheet+xml" PartName="/xl/worksheets/sheet47797.xml"/>
  <Override ContentType="application/vnd.openxmlformats-officedocument.spreadsheetml.worksheet+xml" PartName="/xl/worksheets/sheet47798.xml"/>
  <Override ContentType="application/vnd.openxmlformats-officedocument.spreadsheetml.worksheet+xml" PartName="/xl/worksheets/sheet47799.xml"/>
  <Override ContentType="application/vnd.openxmlformats-officedocument.spreadsheetml.worksheet+xml" PartName="/xl/worksheets/sheet47800.xml"/>
  <Override ContentType="application/vnd.openxmlformats-officedocument.spreadsheetml.worksheet+xml" PartName="/xl/worksheets/sheet47801.xml"/>
  <Override ContentType="application/vnd.openxmlformats-officedocument.spreadsheetml.worksheet+xml" PartName="/xl/worksheets/sheet47802.xml"/>
  <Override ContentType="application/vnd.openxmlformats-officedocument.spreadsheetml.worksheet+xml" PartName="/xl/worksheets/sheet47803.xml"/>
  <Override ContentType="application/vnd.openxmlformats-officedocument.spreadsheetml.worksheet+xml" PartName="/xl/worksheets/sheet47804.xml"/>
  <Override ContentType="application/vnd.openxmlformats-officedocument.spreadsheetml.worksheet+xml" PartName="/xl/worksheets/sheet47805.xml"/>
  <Override ContentType="application/vnd.openxmlformats-officedocument.spreadsheetml.worksheet+xml" PartName="/xl/worksheets/sheet47806.xml"/>
  <Override ContentType="application/vnd.openxmlformats-officedocument.spreadsheetml.worksheet+xml" PartName="/xl/worksheets/sheet47807.xml"/>
  <Override ContentType="application/vnd.openxmlformats-officedocument.spreadsheetml.worksheet+xml" PartName="/xl/worksheets/sheet47808.xml"/>
  <Override ContentType="application/vnd.openxmlformats-officedocument.spreadsheetml.worksheet+xml" PartName="/xl/worksheets/sheet47809.xml"/>
  <Override ContentType="application/vnd.openxmlformats-officedocument.spreadsheetml.worksheet+xml" PartName="/xl/worksheets/sheet47810.xml"/>
  <Override ContentType="application/vnd.openxmlformats-officedocument.spreadsheetml.worksheet+xml" PartName="/xl/worksheets/sheet47811.xml"/>
  <Override ContentType="application/vnd.openxmlformats-officedocument.spreadsheetml.worksheet+xml" PartName="/xl/worksheets/sheet47812.xml"/>
  <Override ContentType="application/vnd.openxmlformats-officedocument.spreadsheetml.worksheet+xml" PartName="/xl/worksheets/sheet47813.xml"/>
  <Override ContentType="application/vnd.openxmlformats-officedocument.spreadsheetml.worksheet+xml" PartName="/xl/worksheets/sheet47814.xml"/>
  <Override ContentType="application/vnd.openxmlformats-officedocument.spreadsheetml.worksheet+xml" PartName="/xl/worksheets/sheet47815.xml"/>
  <Override ContentType="application/vnd.openxmlformats-officedocument.spreadsheetml.worksheet+xml" PartName="/xl/worksheets/sheet47816.xml"/>
  <Override ContentType="application/vnd.openxmlformats-officedocument.spreadsheetml.worksheet+xml" PartName="/xl/worksheets/sheet47817.xml"/>
  <Override ContentType="application/vnd.openxmlformats-officedocument.spreadsheetml.worksheet+xml" PartName="/xl/worksheets/sheet47818.xml"/>
  <Override ContentType="application/vnd.openxmlformats-officedocument.spreadsheetml.worksheet+xml" PartName="/xl/worksheets/sheet47819.xml"/>
  <Override ContentType="application/vnd.openxmlformats-officedocument.spreadsheetml.worksheet+xml" PartName="/xl/worksheets/sheet47820.xml"/>
  <Override ContentType="application/vnd.openxmlformats-officedocument.spreadsheetml.worksheet+xml" PartName="/xl/worksheets/sheet47821.xml"/>
  <Override ContentType="application/vnd.openxmlformats-officedocument.spreadsheetml.worksheet+xml" PartName="/xl/worksheets/sheet47822.xml"/>
  <Override ContentType="application/vnd.openxmlformats-officedocument.spreadsheetml.worksheet+xml" PartName="/xl/worksheets/sheet47823.xml"/>
  <Override ContentType="application/vnd.openxmlformats-officedocument.spreadsheetml.worksheet+xml" PartName="/xl/worksheets/sheet47824.xml"/>
  <Override ContentType="application/vnd.openxmlformats-officedocument.spreadsheetml.worksheet+xml" PartName="/xl/worksheets/sheet47825.xml"/>
  <Override ContentType="application/vnd.openxmlformats-officedocument.spreadsheetml.worksheet+xml" PartName="/xl/worksheets/sheet47826.xml"/>
  <Override ContentType="application/vnd.openxmlformats-officedocument.spreadsheetml.worksheet+xml" PartName="/xl/worksheets/sheet47827.xml"/>
  <Override ContentType="application/vnd.openxmlformats-officedocument.spreadsheetml.worksheet+xml" PartName="/xl/worksheets/sheet47828.xml"/>
  <Override ContentType="application/vnd.openxmlformats-officedocument.spreadsheetml.worksheet+xml" PartName="/xl/worksheets/sheet47829.xml"/>
  <Override ContentType="application/vnd.openxmlformats-officedocument.spreadsheetml.worksheet+xml" PartName="/xl/worksheets/sheet47830.xml"/>
  <Override ContentType="application/vnd.openxmlformats-officedocument.spreadsheetml.worksheet+xml" PartName="/xl/worksheets/sheet47831.xml"/>
  <Override ContentType="application/vnd.openxmlformats-officedocument.spreadsheetml.worksheet+xml" PartName="/xl/worksheets/sheet47832.xml"/>
  <Override ContentType="application/vnd.openxmlformats-officedocument.spreadsheetml.worksheet+xml" PartName="/xl/worksheets/sheet47833.xml"/>
  <Override ContentType="application/vnd.openxmlformats-officedocument.spreadsheetml.worksheet+xml" PartName="/xl/worksheets/sheet47834.xml"/>
  <Override ContentType="application/vnd.openxmlformats-officedocument.spreadsheetml.worksheet+xml" PartName="/xl/worksheets/sheet47835.xml"/>
  <Override ContentType="application/vnd.openxmlformats-officedocument.spreadsheetml.worksheet+xml" PartName="/xl/worksheets/sheet47836.xml"/>
  <Override ContentType="application/vnd.openxmlformats-officedocument.spreadsheetml.worksheet+xml" PartName="/xl/worksheets/sheet47837.xml"/>
  <Override ContentType="application/vnd.openxmlformats-officedocument.spreadsheetml.worksheet+xml" PartName="/xl/worksheets/sheet47838.xml"/>
  <Override ContentType="application/vnd.openxmlformats-officedocument.spreadsheetml.worksheet+xml" PartName="/xl/worksheets/sheet47839.xml"/>
  <Override ContentType="application/vnd.openxmlformats-officedocument.spreadsheetml.worksheet+xml" PartName="/xl/worksheets/sheet47840.xml"/>
  <Override ContentType="application/vnd.openxmlformats-officedocument.spreadsheetml.worksheet+xml" PartName="/xl/worksheets/sheet47841.xml"/>
  <Override ContentType="application/vnd.openxmlformats-officedocument.spreadsheetml.worksheet+xml" PartName="/xl/worksheets/sheet47842.xml"/>
  <Override ContentType="application/vnd.openxmlformats-officedocument.spreadsheetml.worksheet+xml" PartName="/xl/worksheets/sheet47843.xml"/>
  <Override ContentType="application/vnd.openxmlformats-officedocument.spreadsheetml.worksheet+xml" PartName="/xl/worksheets/sheet47844.xml"/>
  <Override ContentType="application/vnd.openxmlformats-officedocument.spreadsheetml.worksheet+xml" PartName="/xl/worksheets/sheet47845.xml"/>
  <Override ContentType="application/vnd.openxmlformats-officedocument.spreadsheetml.worksheet+xml" PartName="/xl/worksheets/sheet47846.xml"/>
  <Override ContentType="application/vnd.openxmlformats-officedocument.spreadsheetml.worksheet+xml" PartName="/xl/worksheets/sheet47847.xml"/>
  <Override ContentType="application/vnd.openxmlformats-officedocument.spreadsheetml.worksheet+xml" PartName="/xl/worksheets/sheet47848.xml"/>
  <Override ContentType="application/vnd.openxmlformats-officedocument.spreadsheetml.worksheet+xml" PartName="/xl/worksheets/sheet47849.xml"/>
  <Override ContentType="application/vnd.openxmlformats-officedocument.spreadsheetml.worksheet+xml" PartName="/xl/worksheets/sheet47850.xml"/>
  <Override ContentType="application/vnd.openxmlformats-officedocument.spreadsheetml.worksheet+xml" PartName="/xl/worksheets/sheet47851.xml"/>
  <Override ContentType="application/vnd.openxmlformats-officedocument.spreadsheetml.worksheet+xml" PartName="/xl/worksheets/sheet47852.xml"/>
  <Override ContentType="application/vnd.openxmlformats-officedocument.spreadsheetml.worksheet+xml" PartName="/xl/worksheets/sheet47853.xml"/>
  <Override ContentType="application/vnd.openxmlformats-officedocument.spreadsheetml.worksheet+xml" PartName="/xl/worksheets/sheet47854.xml"/>
  <Override ContentType="application/vnd.openxmlformats-officedocument.spreadsheetml.worksheet+xml" PartName="/xl/worksheets/sheet47855.xml"/>
  <Override ContentType="application/vnd.openxmlformats-officedocument.spreadsheetml.worksheet+xml" PartName="/xl/worksheets/sheet47856.xml"/>
  <Override ContentType="application/vnd.openxmlformats-officedocument.spreadsheetml.worksheet+xml" PartName="/xl/worksheets/sheet47857.xml"/>
  <Override ContentType="application/vnd.openxmlformats-officedocument.spreadsheetml.worksheet+xml" PartName="/xl/worksheets/sheet47858.xml"/>
  <Override ContentType="application/vnd.openxmlformats-officedocument.spreadsheetml.worksheet+xml" PartName="/xl/worksheets/sheet47859.xml"/>
  <Override ContentType="application/vnd.openxmlformats-officedocument.spreadsheetml.worksheet+xml" PartName="/xl/worksheets/sheet47860.xml"/>
  <Override ContentType="application/vnd.openxmlformats-officedocument.spreadsheetml.worksheet+xml" PartName="/xl/worksheets/sheet47861.xml"/>
  <Override ContentType="application/vnd.openxmlformats-officedocument.spreadsheetml.worksheet+xml" PartName="/xl/worksheets/sheet47862.xml"/>
  <Override ContentType="application/vnd.openxmlformats-officedocument.spreadsheetml.worksheet+xml" PartName="/xl/worksheets/sheet47863.xml"/>
  <Override ContentType="application/vnd.openxmlformats-officedocument.spreadsheetml.worksheet+xml" PartName="/xl/worksheets/sheet47864.xml"/>
  <Override ContentType="application/vnd.openxmlformats-officedocument.spreadsheetml.worksheet+xml" PartName="/xl/worksheets/sheet47865.xml"/>
  <Override ContentType="application/vnd.openxmlformats-officedocument.spreadsheetml.worksheet+xml" PartName="/xl/worksheets/sheet47866.xml"/>
  <Override ContentType="application/vnd.openxmlformats-officedocument.spreadsheetml.worksheet+xml" PartName="/xl/worksheets/sheet47867.xml"/>
  <Override ContentType="application/vnd.openxmlformats-officedocument.spreadsheetml.worksheet+xml" PartName="/xl/worksheets/sheet47868.xml"/>
  <Override ContentType="application/vnd.openxmlformats-officedocument.spreadsheetml.worksheet+xml" PartName="/xl/worksheets/sheet47869.xml"/>
  <Override ContentType="application/vnd.openxmlformats-officedocument.spreadsheetml.worksheet+xml" PartName="/xl/worksheets/sheet47870.xml"/>
  <Override ContentType="application/vnd.openxmlformats-officedocument.spreadsheetml.worksheet+xml" PartName="/xl/worksheets/sheet47871.xml"/>
  <Override ContentType="application/vnd.openxmlformats-officedocument.spreadsheetml.worksheet+xml" PartName="/xl/worksheets/sheet47872.xml"/>
  <Override ContentType="application/vnd.openxmlformats-officedocument.spreadsheetml.worksheet+xml" PartName="/xl/worksheets/sheet47873.xml"/>
  <Override ContentType="application/vnd.openxmlformats-officedocument.spreadsheetml.worksheet+xml" PartName="/xl/worksheets/sheet47874.xml"/>
  <Override ContentType="application/vnd.openxmlformats-officedocument.spreadsheetml.worksheet+xml" PartName="/xl/worksheets/sheet47875.xml"/>
  <Override ContentType="application/vnd.openxmlformats-officedocument.spreadsheetml.worksheet+xml" PartName="/xl/worksheets/sheet47876.xml"/>
  <Override ContentType="application/vnd.openxmlformats-officedocument.spreadsheetml.worksheet+xml" PartName="/xl/worksheets/sheet47877.xml"/>
  <Override ContentType="application/vnd.openxmlformats-officedocument.spreadsheetml.worksheet+xml" PartName="/xl/worksheets/sheet47878.xml"/>
  <Override ContentType="application/vnd.openxmlformats-officedocument.spreadsheetml.worksheet+xml" PartName="/xl/worksheets/sheet47879.xml"/>
  <Override ContentType="application/vnd.openxmlformats-officedocument.spreadsheetml.worksheet+xml" PartName="/xl/worksheets/sheet47880.xml"/>
  <Override ContentType="application/vnd.openxmlformats-officedocument.spreadsheetml.worksheet+xml" PartName="/xl/worksheets/sheet47881.xml"/>
  <Override ContentType="application/vnd.openxmlformats-officedocument.spreadsheetml.worksheet+xml" PartName="/xl/worksheets/sheet47882.xml"/>
  <Override ContentType="application/vnd.openxmlformats-officedocument.spreadsheetml.worksheet+xml" PartName="/xl/worksheets/sheet47883.xml"/>
  <Override ContentType="application/vnd.openxmlformats-officedocument.spreadsheetml.worksheet+xml" PartName="/xl/worksheets/sheet47884.xml"/>
  <Override ContentType="application/vnd.openxmlformats-officedocument.spreadsheetml.worksheet+xml" PartName="/xl/worksheets/sheet47885.xml"/>
  <Override ContentType="application/vnd.openxmlformats-officedocument.spreadsheetml.worksheet+xml" PartName="/xl/worksheets/sheet47886.xml"/>
  <Override ContentType="application/vnd.openxmlformats-officedocument.spreadsheetml.worksheet+xml" PartName="/xl/worksheets/sheet47887.xml"/>
  <Override ContentType="application/vnd.openxmlformats-officedocument.spreadsheetml.worksheet+xml" PartName="/xl/worksheets/sheet47888.xml"/>
  <Override ContentType="application/vnd.openxmlformats-officedocument.spreadsheetml.worksheet+xml" PartName="/xl/worksheets/sheet47889.xml"/>
  <Override ContentType="application/vnd.openxmlformats-officedocument.spreadsheetml.worksheet+xml" PartName="/xl/worksheets/sheet47890.xml"/>
  <Override ContentType="application/vnd.openxmlformats-officedocument.spreadsheetml.worksheet+xml" PartName="/xl/worksheets/sheet47891.xml"/>
  <Override ContentType="application/vnd.openxmlformats-officedocument.spreadsheetml.worksheet+xml" PartName="/xl/worksheets/sheet47892.xml"/>
  <Override ContentType="application/vnd.openxmlformats-officedocument.spreadsheetml.worksheet+xml" PartName="/xl/worksheets/sheet47893.xml"/>
  <Override ContentType="application/vnd.openxmlformats-officedocument.spreadsheetml.worksheet+xml" PartName="/xl/worksheets/sheet47894.xml"/>
  <Override ContentType="application/vnd.openxmlformats-officedocument.spreadsheetml.worksheet+xml" PartName="/xl/worksheets/sheet47895.xml"/>
  <Override ContentType="application/vnd.openxmlformats-officedocument.spreadsheetml.worksheet+xml" PartName="/xl/worksheets/sheet47896.xml"/>
  <Override ContentType="application/vnd.openxmlformats-officedocument.spreadsheetml.worksheet+xml" PartName="/xl/worksheets/sheet47897.xml"/>
  <Override ContentType="application/vnd.openxmlformats-officedocument.spreadsheetml.worksheet+xml" PartName="/xl/worksheets/sheet47898.xml"/>
  <Override ContentType="application/vnd.openxmlformats-officedocument.spreadsheetml.worksheet+xml" PartName="/xl/worksheets/sheet47899.xml"/>
  <Override ContentType="application/vnd.openxmlformats-officedocument.spreadsheetml.worksheet+xml" PartName="/xl/worksheets/sheet47900.xml"/>
  <Override ContentType="application/vnd.openxmlformats-officedocument.spreadsheetml.worksheet+xml" PartName="/xl/worksheets/sheet47901.xml"/>
  <Override ContentType="application/vnd.openxmlformats-officedocument.spreadsheetml.worksheet+xml" PartName="/xl/worksheets/sheet47902.xml"/>
  <Override ContentType="application/vnd.openxmlformats-officedocument.spreadsheetml.worksheet+xml" PartName="/xl/worksheets/sheet47903.xml"/>
  <Override ContentType="application/vnd.openxmlformats-officedocument.spreadsheetml.worksheet+xml" PartName="/xl/worksheets/sheet47904.xml"/>
  <Override ContentType="application/vnd.openxmlformats-officedocument.spreadsheetml.worksheet+xml" PartName="/xl/worksheets/sheet47905.xml"/>
  <Override ContentType="application/vnd.openxmlformats-officedocument.spreadsheetml.worksheet+xml" PartName="/xl/worksheets/sheet47906.xml"/>
  <Override ContentType="application/vnd.openxmlformats-officedocument.spreadsheetml.worksheet+xml" PartName="/xl/worksheets/sheet47907.xml"/>
  <Override ContentType="application/vnd.openxmlformats-officedocument.spreadsheetml.worksheet+xml" PartName="/xl/worksheets/sheet47908.xml"/>
  <Override ContentType="application/vnd.openxmlformats-officedocument.spreadsheetml.worksheet+xml" PartName="/xl/worksheets/sheet47909.xml"/>
  <Override ContentType="application/vnd.openxmlformats-officedocument.spreadsheetml.worksheet+xml" PartName="/xl/worksheets/sheet47910.xml"/>
  <Override ContentType="application/vnd.openxmlformats-officedocument.spreadsheetml.worksheet+xml" PartName="/xl/worksheets/sheet47911.xml"/>
  <Override ContentType="application/vnd.openxmlformats-officedocument.spreadsheetml.worksheet+xml" PartName="/xl/worksheets/sheet47912.xml"/>
  <Override ContentType="application/vnd.openxmlformats-officedocument.spreadsheetml.worksheet+xml" PartName="/xl/worksheets/sheet47913.xml"/>
  <Override ContentType="application/vnd.openxmlformats-officedocument.spreadsheetml.worksheet+xml" PartName="/xl/worksheets/sheet47914.xml"/>
  <Override ContentType="application/vnd.openxmlformats-officedocument.spreadsheetml.worksheet+xml" PartName="/xl/worksheets/sheet47915.xml"/>
  <Override ContentType="application/vnd.openxmlformats-officedocument.spreadsheetml.worksheet+xml" PartName="/xl/worksheets/sheet47916.xml"/>
  <Override ContentType="application/vnd.openxmlformats-officedocument.spreadsheetml.worksheet+xml" PartName="/xl/worksheets/sheet47917.xml"/>
  <Override ContentType="application/vnd.openxmlformats-officedocument.spreadsheetml.worksheet+xml" PartName="/xl/worksheets/sheet47918.xml"/>
  <Override ContentType="application/vnd.openxmlformats-officedocument.spreadsheetml.worksheet+xml" PartName="/xl/worksheets/sheet47919.xml"/>
  <Override ContentType="application/vnd.openxmlformats-officedocument.spreadsheetml.worksheet+xml" PartName="/xl/worksheets/sheet47920.xml"/>
  <Override ContentType="application/vnd.openxmlformats-officedocument.spreadsheetml.worksheet+xml" PartName="/xl/worksheets/sheet47921.xml"/>
  <Override ContentType="application/vnd.openxmlformats-officedocument.spreadsheetml.worksheet+xml" PartName="/xl/worksheets/sheet47922.xml"/>
  <Override ContentType="application/vnd.openxmlformats-officedocument.spreadsheetml.worksheet+xml" PartName="/xl/worksheets/sheet47923.xml"/>
  <Override ContentType="application/vnd.openxmlformats-officedocument.spreadsheetml.worksheet+xml" PartName="/xl/worksheets/sheet47924.xml"/>
  <Override ContentType="application/vnd.openxmlformats-officedocument.spreadsheetml.worksheet+xml" PartName="/xl/worksheets/sheet47925.xml"/>
  <Override ContentType="application/vnd.openxmlformats-officedocument.spreadsheetml.worksheet+xml" PartName="/xl/worksheets/sheet47926.xml"/>
  <Override ContentType="application/vnd.openxmlformats-officedocument.spreadsheetml.worksheet+xml" PartName="/xl/worksheets/sheet47927.xml"/>
  <Override ContentType="application/vnd.openxmlformats-officedocument.spreadsheetml.worksheet+xml" PartName="/xl/worksheets/sheet47928.xml"/>
  <Override ContentType="application/vnd.openxmlformats-officedocument.spreadsheetml.worksheet+xml" PartName="/xl/worksheets/sheet47929.xml"/>
  <Override ContentType="application/vnd.openxmlformats-officedocument.spreadsheetml.worksheet+xml" PartName="/xl/worksheets/sheet47930.xml"/>
  <Override ContentType="application/vnd.openxmlformats-officedocument.spreadsheetml.worksheet+xml" PartName="/xl/worksheets/sheet47931.xml"/>
  <Override ContentType="application/vnd.openxmlformats-officedocument.spreadsheetml.worksheet+xml" PartName="/xl/worksheets/sheet47932.xml"/>
  <Override ContentType="application/vnd.openxmlformats-officedocument.spreadsheetml.worksheet+xml" PartName="/xl/worksheets/sheet47933.xml"/>
  <Override ContentType="application/vnd.openxmlformats-officedocument.spreadsheetml.worksheet+xml" PartName="/xl/worksheets/sheet47934.xml"/>
  <Override ContentType="application/vnd.openxmlformats-officedocument.spreadsheetml.worksheet+xml" PartName="/xl/worksheets/sheet47935.xml"/>
  <Override ContentType="application/vnd.openxmlformats-officedocument.spreadsheetml.worksheet+xml" PartName="/xl/worksheets/sheet47936.xml"/>
  <Override ContentType="application/vnd.openxmlformats-officedocument.spreadsheetml.worksheet+xml" PartName="/xl/worksheets/sheet47937.xml"/>
  <Override ContentType="application/vnd.openxmlformats-officedocument.spreadsheetml.worksheet+xml" PartName="/xl/worksheets/sheet47938.xml"/>
  <Override ContentType="application/vnd.openxmlformats-officedocument.spreadsheetml.worksheet+xml" PartName="/xl/worksheets/sheet47939.xml"/>
  <Override ContentType="application/vnd.openxmlformats-officedocument.spreadsheetml.worksheet+xml" PartName="/xl/worksheets/sheet47940.xml"/>
  <Override ContentType="application/vnd.openxmlformats-officedocument.spreadsheetml.worksheet+xml" PartName="/xl/worksheets/sheet47941.xml"/>
  <Override ContentType="application/vnd.openxmlformats-officedocument.spreadsheetml.worksheet+xml" PartName="/xl/worksheets/sheet47942.xml"/>
  <Override ContentType="application/vnd.openxmlformats-officedocument.spreadsheetml.worksheet+xml" PartName="/xl/worksheets/sheet47943.xml"/>
  <Override ContentType="application/vnd.openxmlformats-officedocument.spreadsheetml.worksheet+xml" PartName="/xl/worksheets/sheet47944.xml"/>
  <Override ContentType="application/vnd.openxmlformats-officedocument.spreadsheetml.worksheet+xml" PartName="/xl/worksheets/sheet47945.xml"/>
  <Override ContentType="application/vnd.openxmlformats-officedocument.spreadsheetml.worksheet+xml" PartName="/xl/worksheets/sheet47946.xml"/>
  <Override ContentType="application/vnd.openxmlformats-officedocument.spreadsheetml.worksheet+xml" PartName="/xl/worksheets/sheet47947.xml"/>
  <Override ContentType="application/vnd.openxmlformats-officedocument.spreadsheetml.worksheet+xml" PartName="/xl/worksheets/sheet47948.xml"/>
  <Override ContentType="application/vnd.openxmlformats-officedocument.spreadsheetml.worksheet+xml" PartName="/xl/worksheets/sheet47949.xml"/>
  <Override ContentType="application/vnd.openxmlformats-officedocument.spreadsheetml.worksheet+xml" PartName="/xl/worksheets/sheet47950.xml"/>
  <Override ContentType="application/vnd.openxmlformats-officedocument.spreadsheetml.worksheet+xml" PartName="/xl/worksheets/sheet47951.xml"/>
  <Override ContentType="application/vnd.openxmlformats-officedocument.spreadsheetml.worksheet+xml" PartName="/xl/worksheets/sheet47952.xml"/>
  <Override ContentType="application/vnd.openxmlformats-officedocument.spreadsheetml.worksheet+xml" PartName="/xl/worksheets/sheet47953.xml"/>
  <Override ContentType="application/vnd.openxmlformats-officedocument.spreadsheetml.worksheet+xml" PartName="/xl/worksheets/sheet47954.xml"/>
  <Override ContentType="application/vnd.openxmlformats-officedocument.spreadsheetml.worksheet+xml" PartName="/xl/worksheets/sheet47955.xml"/>
  <Override ContentType="application/vnd.openxmlformats-officedocument.spreadsheetml.worksheet+xml" PartName="/xl/worksheets/sheet47956.xml"/>
  <Override ContentType="application/vnd.openxmlformats-officedocument.spreadsheetml.worksheet+xml" PartName="/xl/worksheets/sheet47957.xml"/>
  <Override ContentType="application/vnd.openxmlformats-officedocument.spreadsheetml.worksheet+xml" PartName="/xl/worksheets/sheet47958.xml"/>
  <Override ContentType="application/vnd.openxmlformats-officedocument.spreadsheetml.worksheet+xml" PartName="/xl/worksheets/sheet47959.xml"/>
  <Override ContentType="application/vnd.openxmlformats-officedocument.spreadsheetml.worksheet+xml" PartName="/xl/worksheets/sheet47960.xml"/>
  <Override ContentType="application/vnd.openxmlformats-officedocument.spreadsheetml.worksheet+xml" PartName="/xl/worksheets/sheet47961.xml"/>
  <Override ContentType="application/vnd.openxmlformats-officedocument.spreadsheetml.worksheet+xml" PartName="/xl/worksheets/sheet47962.xml"/>
  <Override ContentType="application/vnd.openxmlformats-officedocument.spreadsheetml.worksheet+xml" PartName="/xl/worksheets/sheet47963.xml"/>
  <Override ContentType="application/vnd.openxmlformats-officedocument.spreadsheetml.worksheet+xml" PartName="/xl/worksheets/sheet47964.xml"/>
  <Override ContentType="application/vnd.openxmlformats-officedocument.spreadsheetml.worksheet+xml" PartName="/xl/worksheets/sheet47965.xml"/>
  <Override ContentType="application/vnd.openxmlformats-officedocument.spreadsheetml.worksheet+xml" PartName="/xl/worksheets/sheet47966.xml"/>
  <Override ContentType="application/vnd.openxmlformats-officedocument.spreadsheetml.worksheet+xml" PartName="/xl/worksheets/sheet47967.xml"/>
  <Override ContentType="application/vnd.openxmlformats-officedocument.spreadsheetml.worksheet+xml" PartName="/xl/worksheets/sheet47968.xml"/>
  <Override ContentType="application/vnd.openxmlformats-officedocument.spreadsheetml.worksheet+xml" PartName="/xl/worksheets/sheet47969.xml"/>
  <Override ContentType="application/vnd.openxmlformats-officedocument.spreadsheetml.worksheet+xml" PartName="/xl/worksheets/sheet47970.xml"/>
  <Override ContentType="application/vnd.openxmlformats-officedocument.spreadsheetml.worksheet+xml" PartName="/xl/worksheets/sheet47971.xml"/>
  <Override ContentType="application/vnd.openxmlformats-officedocument.spreadsheetml.worksheet+xml" PartName="/xl/worksheets/sheet47972.xml"/>
  <Override ContentType="application/vnd.openxmlformats-officedocument.spreadsheetml.worksheet+xml" PartName="/xl/worksheets/sheet47973.xml"/>
  <Override ContentType="application/vnd.openxmlformats-officedocument.spreadsheetml.worksheet+xml" PartName="/xl/worksheets/sheet47974.xml"/>
  <Override ContentType="application/vnd.openxmlformats-officedocument.spreadsheetml.worksheet+xml" PartName="/xl/worksheets/sheet47975.xml"/>
  <Override ContentType="application/vnd.openxmlformats-officedocument.spreadsheetml.worksheet+xml" PartName="/xl/worksheets/sheet47976.xml"/>
  <Override ContentType="application/vnd.openxmlformats-officedocument.spreadsheetml.worksheet+xml" PartName="/xl/worksheets/sheet47977.xml"/>
  <Override ContentType="application/vnd.openxmlformats-officedocument.spreadsheetml.worksheet+xml" PartName="/xl/worksheets/sheet47978.xml"/>
  <Override ContentType="application/vnd.openxmlformats-officedocument.spreadsheetml.worksheet+xml" PartName="/xl/worksheets/sheet47979.xml"/>
  <Override ContentType="application/vnd.openxmlformats-officedocument.spreadsheetml.worksheet+xml" PartName="/xl/worksheets/sheet47980.xml"/>
  <Override ContentType="application/vnd.openxmlformats-officedocument.spreadsheetml.worksheet+xml" PartName="/xl/worksheets/sheet47981.xml"/>
  <Override ContentType="application/vnd.openxmlformats-officedocument.spreadsheetml.worksheet+xml" PartName="/xl/worksheets/sheet47982.xml"/>
  <Override ContentType="application/vnd.openxmlformats-officedocument.spreadsheetml.worksheet+xml" PartName="/xl/worksheets/sheet47983.xml"/>
  <Override ContentType="application/vnd.openxmlformats-officedocument.spreadsheetml.worksheet+xml" PartName="/xl/worksheets/sheet47984.xml"/>
  <Override ContentType="application/vnd.openxmlformats-officedocument.spreadsheetml.worksheet+xml" PartName="/xl/worksheets/sheet47985.xml"/>
  <Override ContentType="application/vnd.openxmlformats-officedocument.spreadsheetml.worksheet+xml" PartName="/xl/worksheets/sheet47986.xml"/>
  <Override ContentType="application/vnd.openxmlformats-officedocument.spreadsheetml.worksheet+xml" PartName="/xl/worksheets/sheet47987.xml"/>
  <Override ContentType="application/vnd.openxmlformats-officedocument.spreadsheetml.worksheet+xml" PartName="/xl/worksheets/sheet47988.xml"/>
  <Override ContentType="application/vnd.openxmlformats-officedocument.spreadsheetml.worksheet+xml" PartName="/xl/worksheets/sheet47989.xml"/>
  <Override ContentType="application/vnd.openxmlformats-officedocument.spreadsheetml.worksheet+xml" PartName="/xl/worksheets/sheet47990.xml"/>
  <Override ContentType="application/vnd.openxmlformats-officedocument.spreadsheetml.worksheet+xml" PartName="/xl/worksheets/sheet47991.xml"/>
  <Override ContentType="application/vnd.openxmlformats-officedocument.spreadsheetml.worksheet+xml" PartName="/xl/worksheets/sheet47992.xml"/>
  <Override ContentType="application/vnd.openxmlformats-officedocument.spreadsheetml.worksheet+xml" PartName="/xl/worksheets/sheet47993.xml"/>
  <Override ContentType="application/vnd.openxmlformats-officedocument.spreadsheetml.worksheet+xml" PartName="/xl/worksheets/sheet47994.xml"/>
  <Override ContentType="application/vnd.openxmlformats-officedocument.spreadsheetml.worksheet+xml" PartName="/xl/worksheets/sheet47995.xml"/>
  <Override ContentType="application/vnd.openxmlformats-officedocument.spreadsheetml.worksheet+xml" PartName="/xl/worksheets/sheet47996.xml"/>
  <Override ContentType="application/vnd.openxmlformats-officedocument.spreadsheetml.worksheet+xml" PartName="/xl/worksheets/sheet47997.xml"/>
  <Override ContentType="application/vnd.openxmlformats-officedocument.spreadsheetml.worksheet+xml" PartName="/xl/worksheets/sheet47998.xml"/>
  <Override ContentType="application/vnd.openxmlformats-officedocument.spreadsheetml.worksheet+xml" PartName="/xl/worksheets/sheet47999.xml"/>
  <Override ContentType="application/vnd.openxmlformats-officedocument.spreadsheetml.worksheet+xml" PartName="/xl/worksheets/sheet48000.xml"/>
  <Override ContentType="application/vnd.openxmlformats-officedocument.spreadsheetml.worksheet+xml" PartName="/xl/worksheets/sheet48001.xml"/>
  <Override ContentType="application/vnd.openxmlformats-officedocument.spreadsheetml.worksheet+xml" PartName="/xl/worksheets/sheet48002.xml"/>
  <Override ContentType="application/vnd.openxmlformats-officedocument.spreadsheetml.worksheet+xml" PartName="/xl/worksheets/sheet48003.xml"/>
  <Override ContentType="application/vnd.openxmlformats-officedocument.spreadsheetml.worksheet+xml" PartName="/xl/worksheets/sheet48004.xml"/>
  <Override ContentType="application/vnd.openxmlformats-officedocument.spreadsheetml.worksheet+xml" PartName="/xl/worksheets/sheet48005.xml"/>
  <Override ContentType="application/vnd.openxmlformats-officedocument.spreadsheetml.worksheet+xml" PartName="/xl/worksheets/sheet48006.xml"/>
  <Override ContentType="application/vnd.openxmlformats-officedocument.spreadsheetml.worksheet+xml" PartName="/xl/worksheets/sheet48007.xml"/>
  <Override ContentType="application/vnd.openxmlformats-officedocument.spreadsheetml.worksheet+xml" PartName="/xl/worksheets/sheet48008.xml"/>
  <Override ContentType="application/vnd.openxmlformats-officedocument.spreadsheetml.worksheet+xml" PartName="/xl/worksheets/sheet48009.xml"/>
  <Override ContentType="application/vnd.openxmlformats-officedocument.spreadsheetml.worksheet+xml" PartName="/xl/worksheets/sheet48010.xml"/>
  <Override ContentType="application/vnd.openxmlformats-officedocument.spreadsheetml.worksheet+xml" PartName="/xl/worksheets/sheet48011.xml"/>
  <Override ContentType="application/vnd.openxmlformats-officedocument.spreadsheetml.worksheet+xml" PartName="/xl/worksheets/sheet48012.xml"/>
  <Override ContentType="application/vnd.openxmlformats-officedocument.spreadsheetml.worksheet+xml" PartName="/xl/worksheets/sheet48013.xml"/>
  <Override ContentType="application/vnd.openxmlformats-officedocument.spreadsheetml.worksheet+xml" PartName="/xl/worksheets/sheet48014.xml"/>
  <Override ContentType="application/vnd.openxmlformats-officedocument.spreadsheetml.worksheet+xml" PartName="/xl/worksheets/sheet48015.xml"/>
  <Override ContentType="application/vnd.openxmlformats-officedocument.spreadsheetml.worksheet+xml" PartName="/xl/worksheets/sheet48016.xml"/>
  <Override ContentType="application/vnd.openxmlformats-officedocument.spreadsheetml.worksheet+xml" PartName="/xl/worksheets/sheet48017.xml"/>
  <Override ContentType="application/vnd.openxmlformats-officedocument.spreadsheetml.worksheet+xml" PartName="/xl/worksheets/sheet48018.xml"/>
  <Override ContentType="application/vnd.openxmlformats-officedocument.spreadsheetml.worksheet+xml" PartName="/xl/worksheets/sheet48019.xml"/>
  <Override ContentType="application/vnd.openxmlformats-officedocument.spreadsheetml.worksheet+xml" PartName="/xl/worksheets/sheet48020.xml"/>
  <Override ContentType="application/vnd.openxmlformats-officedocument.spreadsheetml.worksheet+xml" PartName="/xl/worksheets/sheet48021.xml"/>
  <Override ContentType="application/vnd.openxmlformats-officedocument.spreadsheetml.worksheet+xml" PartName="/xl/worksheets/sheet48022.xml"/>
  <Override ContentType="application/vnd.openxmlformats-officedocument.spreadsheetml.worksheet+xml" PartName="/xl/worksheets/sheet48023.xml"/>
  <Override ContentType="application/vnd.openxmlformats-officedocument.spreadsheetml.worksheet+xml" PartName="/xl/worksheets/sheet48024.xml"/>
  <Override ContentType="application/vnd.openxmlformats-officedocument.spreadsheetml.worksheet+xml" PartName="/xl/worksheets/sheet48025.xml"/>
  <Override ContentType="application/vnd.openxmlformats-officedocument.spreadsheetml.worksheet+xml" PartName="/xl/worksheets/sheet48026.xml"/>
  <Override ContentType="application/vnd.openxmlformats-officedocument.spreadsheetml.worksheet+xml" PartName="/xl/worksheets/sheet48027.xml"/>
  <Override ContentType="application/vnd.openxmlformats-officedocument.spreadsheetml.worksheet+xml" PartName="/xl/worksheets/sheet48028.xml"/>
  <Override ContentType="application/vnd.openxmlformats-officedocument.spreadsheetml.worksheet+xml" PartName="/xl/worksheets/sheet48029.xml"/>
  <Override ContentType="application/vnd.openxmlformats-officedocument.spreadsheetml.worksheet+xml" PartName="/xl/worksheets/sheet48030.xml"/>
  <Override ContentType="application/vnd.openxmlformats-officedocument.spreadsheetml.worksheet+xml" PartName="/xl/worksheets/sheet48031.xml"/>
  <Override ContentType="application/vnd.openxmlformats-officedocument.spreadsheetml.worksheet+xml" PartName="/xl/worksheets/sheet48032.xml"/>
  <Override ContentType="application/vnd.openxmlformats-officedocument.spreadsheetml.worksheet+xml" PartName="/xl/worksheets/sheet48033.xml"/>
  <Override ContentType="application/vnd.openxmlformats-officedocument.spreadsheetml.worksheet+xml" PartName="/xl/worksheets/sheet48034.xml"/>
  <Override ContentType="application/vnd.openxmlformats-officedocument.spreadsheetml.worksheet+xml" PartName="/xl/worksheets/sheet48035.xml"/>
  <Override ContentType="application/vnd.openxmlformats-officedocument.spreadsheetml.worksheet+xml" PartName="/xl/worksheets/sheet48036.xml"/>
  <Override ContentType="application/vnd.openxmlformats-officedocument.spreadsheetml.worksheet+xml" PartName="/xl/worksheets/sheet48037.xml"/>
  <Override ContentType="application/vnd.openxmlformats-officedocument.spreadsheetml.worksheet+xml" PartName="/xl/worksheets/sheet48038.xml"/>
  <Override ContentType="application/vnd.openxmlformats-officedocument.spreadsheetml.worksheet+xml" PartName="/xl/worksheets/sheet48039.xml"/>
  <Override ContentType="application/vnd.openxmlformats-officedocument.spreadsheetml.worksheet+xml" PartName="/xl/worksheets/sheet48040.xml"/>
  <Override ContentType="application/vnd.openxmlformats-officedocument.spreadsheetml.worksheet+xml" PartName="/xl/worksheets/sheet48041.xml"/>
  <Override ContentType="application/vnd.openxmlformats-officedocument.spreadsheetml.worksheet+xml" PartName="/xl/worksheets/sheet48042.xml"/>
  <Override ContentType="application/vnd.openxmlformats-officedocument.spreadsheetml.worksheet+xml" PartName="/xl/worksheets/sheet48043.xml"/>
  <Override ContentType="application/vnd.openxmlformats-officedocument.spreadsheetml.worksheet+xml" PartName="/xl/worksheets/sheet48044.xml"/>
  <Override ContentType="application/vnd.openxmlformats-officedocument.spreadsheetml.worksheet+xml" PartName="/xl/worksheets/sheet48045.xml"/>
  <Override ContentType="application/vnd.openxmlformats-officedocument.spreadsheetml.worksheet+xml" PartName="/xl/worksheets/sheet48046.xml"/>
  <Override ContentType="application/vnd.openxmlformats-officedocument.spreadsheetml.worksheet+xml" PartName="/xl/worksheets/sheet48047.xml"/>
  <Override ContentType="application/vnd.openxmlformats-officedocument.spreadsheetml.worksheet+xml" PartName="/xl/worksheets/sheet48048.xml"/>
  <Override ContentType="application/vnd.openxmlformats-officedocument.spreadsheetml.worksheet+xml" PartName="/xl/worksheets/sheet48049.xml"/>
  <Override ContentType="application/vnd.openxmlformats-officedocument.spreadsheetml.worksheet+xml" PartName="/xl/worksheets/sheet48050.xml"/>
  <Override ContentType="application/vnd.openxmlformats-officedocument.spreadsheetml.worksheet+xml" PartName="/xl/worksheets/sheet48051.xml"/>
  <Override ContentType="application/vnd.openxmlformats-officedocument.spreadsheetml.worksheet+xml" PartName="/xl/worksheets/sheet48052.xml"/>
  <Override ContentType="application/vnd.openxmlformats-officedocument.spreadsheetml.worksheet+xml" PartName="/xl/worksheets/sheet48053.xml"/>
  <Override ContentType="application/vnd.openxmlformats-officedocument.spreadsheetml.worksheet+xml" PartName="/xl/worksheets/sheet48054.xml"/>
  <Override ContentType="application/vnd.openxmlformats-officedocument.spreadsheetml.worksheet+xml" PartName="/xl/worksheets/sheet48055.xml"/>
  <Override ContentType="application/vnd.openxmlformats-officedocument.spreadsheetml.worksheet+xml" PartName="/xl/worksheets/sheet48056.xml"/>
  <Override ContentType="application/vnd.openxmlformats-officedocument.spreadsheetml.worksheet+xml" PartName="/xl/worksheets/sheet48057.xml"/>
  <Override ContentType="application/vnd.openxmlformats-officedocument.spreadsheetml.worksheet+xml" PartName="/xl/worksheets/sheet48058.xml"/>
  <Override ContentType="application/vnd.openxmlformats-officedocument.spreadsheetml.worksheet+xml" PartName="/xl/worksheets/sheet48059.xml"/>
  <Override ContentType="application/vnd.openxmlformats-officedocument.spreadsheetml.worksheet+xml" PartName="/xl/worksheets/sheet48060.xml"/>
  <Override ContentType="application/vnd.openxmlformats-officedocument.spreadsheetml.worksheet+xml" PartName="/xl/worksheets/sheet48061.xml"/>
  <Override ContentType="application/vnd.openxmlformats-officedocument.spreadsheetml.worksheet+xml" PartName="/xl/worksheets/sheet48062.xml"/>
  <Override ContentType="application/vnd.openxmlformats-officedocument.spreadsheetml.worksheet+xml" PartName="/xl/worksheets/sheet48063.xml"/>
  <Override ContentType="application/vnd.openxmlformats-officedocument.spreadsheetml.worksheet+xml" PartName="/xl/worksheets/sheet48064.xml"/>
  <Override ContentType="application/vnd.openxmlformats-officedocument.spreadsheetml.worksheet+xml" PartName="/xl/worksheets/sheet48065.xml"/>
  <Override ContentType="application/vnd.openxmlformats-officedocument.spreadsheetml.worksheet+xml" PartName="/xl/worksheets/sheet48066.xml"/>
  <Override ContentType="application/vnd.openxmlformats-officedocument.spreadsheetml.worksheet+xml" PartName="/xl/worksheets/sheet48067.xml"/>
  <Override ContentType="application/vnd.openxmlformats-officedocument.spreadsheetml.worksheet+xml" PartName="/xl/worksheets/sheet48068.xml"/>
  <Override ContentType="application/vnd.openxmlformats-officedocument.spreadsheetml.worksheet+xml" PartName="/xl/worksheets/sheet48069.xml"/>
  <Override ContentType="application/vnd.openxmlformats-officedocument.spreadsheetml.worksheet+xml" PartName="/xl/worksheets/sheet48070.xml"/>
  <Override ContentType="application/vnd.openxmlformats-officedocument.spreadsheetml.worksheet+xml" PartName="/xl/worksheets/sheet48071.xml"/>
  <Override ContentType="application/vnd.openxmlformats-officedocument.spreadsheetml.worksheet+xml" PartName="/xl/worksheets/sheet48072.xml"/>
  <Override ContentType="application/vnd.openxmlformats-officedocument.spreadsheetml.worksheet+xml" PartName="/xl/worksheets/sheet48073.xml"/>
  <Override ContentType="application/vnd.openxmlformats-officedocument.spreadsheetml.worksheet+xml" PartName="/xl/worksheets/sheet48074.xml"/>
  <Override ContentType="application/vnd.openxmlformats-officedocument.spreadsheetml.worksheet+xml" PartName="/xl/worksheets/sheet48075.xml"/>
  <Override ContentType="application/vnd.openxmlformats-officedocument.spreadsheetml.worksheet+xml" PartName="/xl/worksheets/sheet48076.xml"/>
  <Override ContentType="application/vnd.openxmlformats-officedocument.spreadsheetml.worksheet+xml" PartName="/xl/worksheets/sheet48077.xml"/>
  <Override ContentType="application/vnd.openxmlformats-officedocument.spreadsheetml.worksheet+xml" PartName="/xl/worksheets/sheet48078.xml"/>
  <Override ContentType="application/vnd.openxmlformats-officedocument.spreadsheetml.worksheet+xml" PartName="/xl/worksheets/sheet48079.xml"/>
  <Override ContentType="application/vnd.openxmlformats-officedocument.spreadsheetml.worksheet+xml" PartName="/xl/worksheets/sheet48080.xml"/>
  <Override ContentType="application/vnd.openxmlformats-officedocument.spreadsheetml.worksheet+xml" PartName="/xl/worksheets/sheet48081.xml"/>
  <Override ContentType="application/vnd.openxmlformats-officedocument.spreadsheetml.worksheet+xml" PartName="/xl/worksheets/sheet48082.xml"/>
  <Override ContentType="application/vnd.openxmlformats-officedocument.spreadsheetml.worksheet+xml" PartName="/xl/worksheets/sheet48083.xml"/>
  <Override ContentType="application/vnd.openxmlformats-officedocument.spreadsheetml.worksheet+xml" PartName="/xl/worksheets/sheet48084.xml"/>
  <Override ContentType="application/vnd.openxmlformats-officedocument.spreadsheetml.worksheet+xml" PartName="/xl/worksheets/sheet48085.xml"/>
  <Override ContentType="application/vnd.openxmlformats-officedocument.spreadsheetml.worksheet+xml" PartName="/xl/worksheets/sheet48086.xml"/>
  <Override ContentType="application/vnd.openxmlformats-officedocument.spreadsheetml.worksheet+xml" PartName="/xl/worksheets/sheet48087.xml"/>
  <Override ContentType="application/vnd.openxmlformats-officedocument.spreadsheetml.worksheet+xml" PartName="/xl/worksheets/sheet48088.xml"/>
  <Override ContentType="application/vnd.openxmlformats-officedocument.spreadsheetml.worksheet+xml" PartName="/xl/worksheets/sheet48089.xml"/>
  <Override ContentType="application/vnd.openxmlformats-officedocument.spreadsheetml.worksheet+xml" PartName="/xl/worksheets/sheet48090.xml"/>
  <Override ContentType="application/vnd.openxmlformats-officedocument.spreadsheetml.worksheet+xml" PartName="/xl/worksheets/sheet48091.xml"/>
  <Override ContentType="application/vnd.openxmlformats-officedocument.spreadsheetml.worksheet+xml" PartName="/xl/worksheets/sheet48092.xml"/>
  <Override ContentType="application/vnd.openxmlformats-officedocument.spreadsheetml.worksheet+xml" PartName="/xl/worksheets/sheet48093.xml"/>
  <Override ContentType="application/vnd.openxmlformats-officedocument.spreadsheetml.worksheet+xml" PartName="/xl/worksheets/sheet48094.xml"/>
  <Override ContentType="application/vnd.openxmlformats-officedocument.spreadsheetml.worksheet+xml" PartName="/xl/worksheets/sheet48095.xml"/>
  <Override ContentType="application/vnd.openxmlformats-officedocument.spreadsheetml.worksheet+xml" PartName="/xl/worksheets/sheet48096.xml"/>
  <Override ContentType="application/vnd.openxmlformats-officedocument.spreadsheetml.worksheet+xml" PartName="/xl/worksheets/sheet48097.xml"/>
  <Override ContentType="application/vnd.openxmlformats-officedocument.spreadsheetml.worksheet+xml" PartName="/xl/worksheets/sheet48098.xml"/>
  <Override ContentType="application/vnd.openxmlformats-officedocument.spreadsheetml.worksheet+xml" PartName="/xl/worksheets/sheet48099.xml"/>
  <Override ContentType="application/vnd.openxmlformats-officedocument.spreadsheetml.worksheet+xml" PartName="/xl/worksheets/sheet48100.xml"/>
  <Override ContentType="application/vnd.openxmlformats-officedocument.spreadsheetml.worksheet+xml" PartName="/xl/worksheets/sheet48101.xml"/>
  <Override ContentType="application/vnd.openxmlformats-officedocument.spreadsheetml.worksheet+xml" PartName="/xl/worksheets/sheet48102.xml"/>
  <Override ContentType="application/vnd.openxmlformats-officedocument.spreadsheetml.worksheet+xml" PartName="/xl/worksheets/sheet48103.xml"/>
  <Override ContentType="application/vnd.openxmlformats-officedocument.spreadsheetml.worksheet+xml" PartName="/xl/worksheets/sheet48104.xml"/>
  <Override ContentType="application/vnd.openxmlformats-officedocument.spreadsheetml.worksheet+xml" PartName="/xl/worksheets/sheet48105.xml"/>
  <Override ContentType="application/vnd.openxmlformats-officedocument.spreadsheetml.worksheet+xml" PartName="/xl/worksheets/sheet48106.xml"/>
  <Override ContentType="application/vnd.openxmlformats-officedocument.spreadsheetml.worksheet+xml" PartName="/xl/worksheets/sheet48107.xml"/>
  <Override ContentType="application/vnd.openxmlformats-officedocument.spreadsheetml.worksheet+xml" PartName="/xl/worksheets/sheet48108.xml"/>
  <Override ContentType="application/vnd.openxmlformats-officedocument.spreadsheetml.worksheet+xml" PartName="/xl/worksheets/sheet48109.xml"/>
  <Override ContentType="application/vnd.openxmlformats-officedocument.spreadsheetml.worksheet+xml" PartName="/xl/worksheets/sheet48110.xml"/>
  <Override ContentType="application/vnd.openxmlformats-officedocument.spreadsheetml.worksheet+xml" PartName="/xl/worksheets/sheet48111.xml"/>
  <Override ContentType="application/vnd.openxmlformats-officedocument.spreadsheetml.worksheet+xml" PartName="/xl/worksheets/sheet48112.xml"/>
  <Override ContentType="application/vnd.openxmlformats-officedocument.spreadsheetml.worksheet+xml" PartName="/xl/worksheets/sheet48113.xml"/>
  <Override ContentType="application/vnd.openxmlformats-officedocument.spreadsheetml.worksheet+xml" PartName="/xl/worksheets/sheet48114.xml"/>
  <Override ContentType="application/vnd.openxmlformats-officedocument.spreadsheetml.worksheet+xml" PartName="/xl/worksheets/sheet48115.xml"/>
  <Override ContentType="application/vnd.openxmlformats-officedocument.spreadsheetml.worksheet+xml" PartName="/xl/worksheets/sheet48116.xml"/>
  <Override ContentType="application/vnd.openxmlformats-officedocument.spreadsheetml.worksheet+xml" PartName="/xl/worksheets/sheet48117.xml"/>
  <Override ContentType="application/vnd.openxmlformats-officedocument.spreadsheetml.worksheet+xml" PartName="/xl/worksheets/sheet48118.xml"/>
  <Override ContentType="application/vnd.openxmlformats-officedocument.spreadsheetml.worksheet+xml" PartName="/xl/worksheets/sheet48119.xml"/>
  <Override ContentType="application/vnd.openxmlformats-officedocument.spreadsheetml.worksheet+xml" PartName="/xl/worksheets/sheet48120.xml"/>
  <Override ContentType="application/vnd.openxmlformats-officedocument.spreadsheetml.worksheet+xml" PartName="/xl/worksheets/sheet48121.xml"/>
  <Override ContentType="application/vnd.openxmlformats-officedocument.spreadsheetml.worksheet+xml" PartName="/xl/worksheets/sheet48122.xml"/>
  <Override ContentType="application/vnd.openxmlformats-officedocument.spreadsheetml.worksheet+xml" PartName="/xl/worksheets/sheet48123.xml"/>
  <Override ContentType="application/vnd.openxmlformats-officedocument.spreadsheetml.worksheet+xml" PartName="/xl/worksheets/sheet48124.xml"/>
  <Override ContentType="application/vnd.openxmlformats-officedocument.spreadsheetml.worksheet+xml" PartName="/xl/worksheets/sheet48125.xml"/>
  <Override ContentType="application/vnd.openxmlformats-officedocument.spreadsheetml.worksheet+xml" PartName="/xl/worksheets/sheet48126.xml"/>
  <Override ContentType="application/vnd.openxmlformats-officedocument.spreadsheetml.worksheet+xml" PartName="/xl/worksheets/sheet48127.xml"/>
  <Override ContentType="application/vnd.openxmlformats-officedocument.spreadsheetml.worksheet+xml" PartName="/xl/worksheets/sheet48128.xml"/>
  <Override ContentType="application/vnd.openxmlformats-officedocument.spreadsheetml.worksheet+xml" PartName="/xl/worksheets/sheet48129.xml"/>
  <Override ContentType="application/vnd.openxmlformats-officedocument.spreadsheetml.worksheet+xml" PartName="/xl/worksheets/sheet48130.xml"/>
  <Override ContentType="application/vnd.openxmlformats-officedocument.spreadsheetml.worksheet+xml" PartName="/xl/worksheets/sheet48131.xml"/>
  <Override ContentType="application/vnd.openxmlformats-officedocument.spreadsheetml.worksheet+xml" PartName="/xl/worksheets/sheet48132.xml"/>
  <Override ContentType="application/vnd.openxmlformats-officedocument.spreadsheetml.worksheet+xml" PartName="/xl/worksheets/sheet48133.xml"/>
  <Override ContentType="application/vnd.openxmlformats-officedocument.spreadsheetml.worksheet+xml" PartName="/xl/worksheets/sheet48134.xml"/>
  <Override ContentType="application/vnd.openxmlformats-officedocument.spreadsheetml.worksheet+xml" PartName="/xl/worksheets/sheet48135.xml"/>
  <Override ContentType="application/vnd.openxmlformats-officedocument.spreadsheetml.worksheet+xml" PartName="/xl/worksheets/sheet48136.xml"/>
  <Override ContentType="application/vnd.openxmlformats-officedocument.spreadsheetml.worksheet+xml" PartName="/xl/worksheets/sheet48137.xml"/>
  <Override ContentType="application/vnd.openxmlformats-officedocument.spreadsheetml.worksheet+xml" PartName="/xl/worksheets/sheet48138.xml"/>
  <Override ContentType="application/vnd.openxmlformats-officedocument.spreadsheetml.worksheet+xml" PartName="/xl/worksheets/sheet48139.xml"/>
  <Override ContentType="application/vnd.openxmlformats-officedocument.spreadsheetml.worksheet+xml" PartName="/xl/worksheets/sheet48140.xml"/>
  <Override ContentType="application/vnd.openxmlformats-officedocument.spreadsheetml.worksheet+xml" PartName="/xl/worksheets/sheet48141.xml"/>
  <Override ContentType="application/vnd.openxmlformats-officedocument.spreadsheetml.worksheet+xml" PartName="/xl/worksheets/sheet48142.xml"/>
  <Override ContentType="application/vnd.openxmlformats-officedocument.spreadsheetml.worksheet+xml" PartName="/xl/worksheets/sheet48143.xml"/>
  <Override ContentType="application/vnd.openxmlformats-officedocument.spreadsheetml.worksheet+xml" PartName="/xl/worksheets/sheet48144.xml"/>
  <Override ContentType="application/vnd.openxmlformats-officedocument.spreadsheetml.worksheet+xml" PartName="/xl/worksheets/sheet48145.xml"/>
  <Override ContentType="application/vnd.openxmlformats-officedocument.spreadsheetml.worksheet+xml" PartName="/xl/worksheets/sheet48146.xml"/>
  <Override ContentType="application/vnd.openxmlformats-officedocument.spreadsheetml.worksheet+xml" PartName="/xl/worksheets/sheet48147.xml"/>
  <Override ContentType="application/vnd.openxmlformats-officedocument.spreadsheetml.worksheet+xml" PartName="/xl/worksheets/sheet48148.xml"/>
  <Override ContentType="application/vnd.openxmlformats-officedocument.spreadsheetml.worksheet+xml" PartName="/xl/worksheets/sheet48149.xml"/>
  <Override ContentType="application/vnd.openxmlformats-officedocument.spreadsheetml.worksheet+xml" PartName="/xl/worksheets/sheet48150.xml"/>
  <Override ContentType="application/vnd.openxmlformats-officedocument.spreadsheetml.worksheet+xml" PartName="/xl/worksheets/sheet48151.xml"/>
  <Override ContentType="application/vnd.openxmlformats-officedocument.spreadsheetml.worksheet+xml" PartName="/xl/worksheets/sheet48152.xml"/>
  <Override ContentType="application/vnd.openxmlformats-officedocument.spreadsheetml.worksheet+xml" PartName="/xl/worksheets/sheet48153.xml"/>
  <Override ContentType="application/vnd.openxmlformats-officedocument.spreadsheetml.worksheet+xml" PartName="/xl/worksheets/sheet48154.xml"/>
  <Override ContentType="application/vnd.openxmlformats-officedocument.spreadsheetml.worksheet+xml" PartName="/xl/worksheets/sheet48155.xml"/>
  <Override ContentType="application/vnd.openxmlformats-officedocument.spreadsheetml.worksheet+xml" PartName="/xl/worksheets/sheet48156.xml"/>
  <Override ContentType="application/vnd.openxmlformats-officedocument.spreadsheetml.worksheet+xml" PartName="/xl/worksheets/sheet48157.xml"/>
  <Override ContentType="application/vnd.openxmlformats-officedocument.spreadsheetml.worksheet+xml" PartName="/xl/worksheets/sheet48158.xml"/>
  <Override ContentType="application/vnd.openxmlformats-officedocument.spreadsheetml.worksheet+xml" PartName="/xl/worksheets/sheet48159.xml"/>
  <Override ContentType="application/vnd.openxmlformats-officedocument.spreadsheetml.worksheet+xml" PartName="/xl/worksheets/sheet48160.xml"/>
  <Override ContentType="application/vnd.openxmlformats-officedocument.spreadsheetml.worksheet+xml" PartName="/xl/worksheets/sheet48161.xml"/>
  <Override ContentType="application/vnd.openxmlformats-officedocument.spreadsheetml.worksheet+xml" PartName="/xl/worksheets/sheet48162.xml"/>
  <Override ContentType="application/vnd.openxmlformats-officedocument.spreadsheetml.worksheet+xml" PartName="/xl/worksheets/sheet48163.xml"/>
  <Override ContentType="application/vnd.openxmlformats-officedocument.spreadsheetml.worksheet+xml" PartName="/xl/worksheets/sheet48164.xml"/>
  <Override ContentType="application/vnd.openxmlformats-officedocument.spreadsheetml.worksheet+xml" PartName="/xl/worksheets/sheet48165.xml"/>
  <Override ContentType="application/vnd.openxmlformats-officedocument.spreadsheetml.worksheet+xml" PartName="/xl/worksheets/sheet48166.xml"/>
  <Override ContentType="application/vnd.openxmlformats-officedocument.spreadsheetml.worksheet+xml" PartName="/xl/worksheets/sheet48167.xml"/>
  <Override ContentType="application/vnd.openxmlformats-officedocument.spreadsheetml.worksheet+xml" PartName="/xl/worksheets/sheet48168.xml"/>
  <Override ContentType="application/vnd.openxmlformats-officedocument.spreadsheetml.worksheet+xml" PartName="/xl/worksheets/sheet48169.xml"/>
  <Override ContentType="application/vnd.openxmlformats-officedocument.spreadsheetml.worksheet+xml" PartName="/xl/worksheets/sheet48170.xml"/>
  <Override ContentType="application/vnd.openxmlformats-officedocument.spreadsheetml.worksheet+xml" PartName="/xl/worksheets/sheet48171.xml"/>
  <Override ContentType="application/vnd.openxmlformats-officedocument.spreadsheetml.worksheet+xml" PartName="/xl/worksheets/sheet48172.xml"/>
  <Override ContentType="application/vnd.openxmlformats-officedocument.spreadsheetml.worksheet+xml" PartName="/xl/worksheets/sheet48173.xml"/>
  <Override ContentType="application/vnd.openxmlformats-officedocument.spreadsheetml.worksheet+xml" PartName="/xl/worksheets/sheet48174.xml"/>
  <Override ContentType="application/vnd.openxmlformats-officedocument.spreadsheetml.worksheet+xml" PartName="/xl/worksheets/sheet48175.xml"/>
  <Override ContentType="application/vnd.openxmlformats-officedocument.spreadsheetml.worksheet+xml" PartName="/xl/worksheets/sheet48176.xml"/>
  <Override ContentType="application/vnd.openxmlformats-officedocument.spreadsheetml.worksheet+xml" PartName="/xl/worksheets/sheet48177.xml"/>
  <Override ContentType="application/vnd.openxmlformats-officedocument.spreadsheetml.worksheet+xml" PartName="/xl/worksheets/sheet48178.xml"/>
  <Override ContentType="application/vnd.openxmlformats-officedocument.spreadsheetml.worksheet+xml" PartName="/xl/worksheets/sheet48179.xml"/>
  <Override ContentType="application/vnd.openxmlformats-officedocument.spreadsheetml.worksheet+xml" PartName="/xl/worksheets/sheet48180.xml"/>
  <Override ContentType="application/vnd.openxmlformats-officedocument.spreadsheetml.worksheet+xml" PartName="/xl/worksheets/sheet48181.xml"/>
  <Override ContentType="application/vnd.openxmlformats-officedocument.spreadsheetml.worksheet+xml" PartName="/xl/worksheets/sheet48182.xml"/>
  <Override ContentType="application/vnd.openxmlformats-officedocument.spreadsheetml.worksheet+xml" PartName="/xl/worksheets/sheet48183.xml"/>
  <Override ContentType="application/vnd.openxmlformats-officedocument.spreadsheetml.worksheet+xml" PartName="/xl/worksheets/sheet48184.xml"/>
  <Override ContentType="application/vnd.openxmlformats-officedocument.spreadsheetml.worksheet+xml" PartName="/xl/worksheets/sheet48185.xml"/>
  <Override ContentType="application/vnd.openxmlformats-officedocument.spreadsheetml.worksheet+xml" PartName="/xl/worksheets/sheet48186.xml"/>
  <Override ContentType="application/vnd.openxmlformats-officedocument.spreadsheetml.worksheet+xml" PartName="/xl/worksheets/sheet48187.xml"/>
  <Override ContentType="application/vnd.openxmlformats-officedocument.spreadsheetml.worksheet+xml" PartName="/xl/worksheets/sheet48188.xml"/>
  <Override ContentType="application/vnd.openxmlformats-officedocument.spreadsheetml.worksheet+xml" PartName="/xl/worksheets/sheet48189.xml"/>
  <Override ContentType="application/vnd.openxmlformats-officedocument.spreadsheetml.worksheet+xml" PartName="/xl/worksheets/sheet48190.xml"/>
  <Override ContentType="application/vnd.openxmlformats-officedocument.spreadsheetml.worksheet+xml" PartName="/xl/worksheets/sheet48191.xml"/>
  <Override ContentType="application/vnd.openxmlformats-officedocument.spreadsheetml.worksheet+xml" PartName="/xl/worksheets/sheet48192.xml"/>
  <Override ContentType="application/vnd.openxmlformats-officedocument.spreadsheetml.worksheet+xml" PartName="/xl/worksheets/sheet48193.xml"/>
  <Override ContentType="application/vnd.openxmlformats-officedocument.spreadsheetml.worksheet+xml" PartName="/xl/worksheets/sheet48194.xml"/>
  <Override ContentType="application/vnd.openxmlformats-officedocument.spreadsheetml.worksheet+xml" PartName="/xl/worksheets/sheet48195.xml"/>
  <Override ContentType="application/vnd.openxmlformats-officedocument.spreadsheetml.worksheet+xml" PartName="/xl/worksheets/sheet48196.xml"/>
  <Override ContentType="application/vnd.openxmlformats-officedocument.spreadsheetml.worksheet+xml" PartName="/xl/worksheets/sheet48197.xml"/>
  <Override ContentType="application/vnd.openxmlformats-officedocument.spreadsheetml.worksheet+xml" PartName="/xl/worksheets/sheet48198.xml"/>
  <Override ContentType="application/vnd.openxmlformats-officedocument.spreadsheetml.worksheet+xml" PartName="/xl/worksheets/sheet48199.xml"/>
  <Override ContentType="application/vnd.openxmlformats-officedocument.spreadsheetml.worksheet+xml" PartName="/xl/worksheets/sheet48200.xml"/>
  <Override ContentType="application/vnd.openxmlformats-officedocument.spreadsheetml.worksheet+xml" PartName="/xl/worksheets/sheet48201.xml"/>
  <Override ContentType="application/vnd.openxmlformats-officedocument.spreadsheetml.worksheet+xml" PartName="/xl/worksheets/sheet48202.xml"/>
  <Override ContentType="application/vnd.openxmlformats-officedocument.spreadsheetml.worksheet+xml" PartName="/xl/worksheets/sheet48203.xml"/>
  <Override ContentType="application/vnd.openxmlformats-officedocument.spreadsheetml.worksheet+xml" PartName="/xl/worksheets/sheet48204.xml"/>
  <Override ContentType="application/vnd.openxmlformats-officedocument.spreadsheetml.worksheet+xml" PartName="/xl/worksheets/sheet48205.xml"/>
  <Override ContentType="application/vnd.openxmlformats-officedocument.spreadsheetml.worksheet+xml" PartName="/xl/worksheets/sheet48206.xml"/>
  <Override ContentType="application/vnd.openxmlformats-officedocument.spreadsheetml.worksheet+xml" PartName="/xl/worksheets/sheet48207.xml"/>
  <Override ContentType="application/vnd.openxmlformats-officedocument.spreadsheetml.worksheet+xml" PartName="/xl/worksheets/sheet48208.xml"/>
  <Override ContentType="application/vnd.openxmlformats-officedocument.spreadsheetml.worksheet+xml" PartName="/xl/worksheets/sheet48209.xml"/>
  <Override ContentType="application/vnd.openxmlformats-officedocument.spreadsheetml.worksheet+xml" PartName="/xl/worksheets/sheet48210.xml"/>
  <Override ContentType="application/vnd.openxmlformats-officedocument.spreadsheetml.worksheet+xml" PartName="/xl/worksheets/sheet48211.xml"/>
  <Override ContentType="application/vnd.openxmlformats-officedocument.spreadsheetml.worksheet+xml" PartName="/xl/worksheets/sheet48212.xml"/>
  <Override ContentType="application/vnd.openxmlformats-officedocument.spreadsheetml.worksheet+xml" PartName="/xl/worksheets/sheet48213.xml"/>
  <Override ContentType="application/vnd.openxmlformats-officedocument.spreadsheetml.worksheet+xml" PartName="/xl/worksheets/sheet48214.xml"/>
  <Override ContentType="application/vnd.openxmlformats-officedocument.spreadsheetml.worksheet+xml" PartName="/xl/worksheets/sheet48215.xml"/>
  <Override ContentType="application/vnd.openxmlformats-officedocument.spreadsheetml.worksheet+xml" PartName="/xl/worksheets/sheet48216.xml"/>
  <Override ContentType="application/vnd.openxmlformats-officedocument.spreadsheetml.worksheet+xml" PartName="/xl/worksheets/sheet48217.xml"/>
  <Override ContentType="application/vnd.openxmlformats-officedocument.spreadsheetml.worksheet+xml" PartName="/xl/worksheets/sheet48218.xml"/>
  <Override ContentType="application/vnd.openxmlformats-officedocument.spreadsheetml.worksheet+xml" PartName="/xl/worksheets/sheet48219.xml"/>
  <Override ContentType="application/vnd.openxmlformats-officedocument.spreadsheetml.worksheet+xml" PartName="/xl/worksheets/sheet48220.xml"/>
  <Override ContentType="application/vnd.openxmlformats-officedocument.spreadsheetml.worksheet+xml" PartName="/xl/worksheets/sheet48221.xml"/>
  <Override ContentType="application/vnd.openxmlformats-officedocument.spreadsheetml.worksheet+xml" PartName="/xl/worksheets/sheet48222.xml"/>
  <Override ContentType="application/vnd.openxmlformats-officedocument.spreadsheetml.worksheet+xml" PartName="/xl/worksheets/sheet48223.xml"/>
  <Override ContentType="application/vnd.openxmlformats-officedocument.spreadsheetml.worksheet+xml" PartName="/xl/worksheets/sheet48224.xml"/>
  <Override ContentType="application/vnd.openxmlformats-officedocument.spreadsheetml.worksheet+xml" PartName="/xl/worksheets/sheet48225.xml"/>
  <Override ContentType="application/vnd.openxmlformats-officedocument.spreadsheetml.worksheet+xml" PartName="/xl/worksheets/sheet48226.xml"/>
  <Override ContentType="application/vnd.openxmlformats-officedocument.spreadsheetml.worksheet+xml" PartName="/xl/worksheets/sheet48227.xml"/>
  <Override ContentType="application/vnd.openxmlformats-officedocument.spreadsheetml.worksheet+xml" PartName="/xl/worksheets/sheet48228.xml"/>
  <Override ContentType="application/vnd.openxmlformats-officedocument.spreadsheetml.worksheet+xml" PartName="/xl/worksheets/sheet48229.xml"/>
  <Override ContentType="application/vnd.openxmlformats-officedocument.spreadsheetml.worksheet+xml" PartName="/xl/worksheets/sheet48230.xml"/>
  <Override ContentType="application/vnd.openxmlformats-officedocument.spreadsheetml.worksheet+xml" PartName="/xl/worksheets/sheet48231.xml"/>
  <Override ContentType="application/vnd.openxmlformats-officedocument.spreadsheetml.worksheet+xml" PartName="/xl/worksheets/sheet48232.xml"/>
  <Override ContentType="application/vnd.openxmlformats-officedocument.spreadsheetml.worksheet+xml" PartName="/xl/worksheets/sheet48233.xml"/>
  <Override ContentType="application/vnd.openxmlformats-officedocument.spreadsheetml.worksheet+xml" PartName="/xl/worksheets/sheet48234.xml"/>
  <Override ContentType="application/vnd.openxmlformats-officedocument.spreadsheetml.worksheet+xml" PartName="/xl/worksheets/sheet48235.xml"/>
  <Override ContentType="application/vnd.openxmlformats-officedocument.spreadsheetml.worksheet+xml" PartName="/xl/worksheets/sheet48236.xml"/>
  <Override ContentType="application/vnd.openxmlformats-officedocument.spreadsheetml.worksheet+xml" PartName="/xl/worksheets/sheet48237.xml"/>
  <Override ContentType="application/vnd.openxmlformats-officedocument.spreadsheetml.worksheet+xml" PartName="/xl/worksheets/sheet48238.xml"/>
  <Override ContentType="application/vnd.openxmlformats-officedocument.spreadsheetml.worksheet+xml" PartName="/xl/worksheets/sheet48239.xml"/>
  <Override ContentType="application/vnd.openxmlformats-officedocument.spreadsheetml.worksheet+xml" PartName="/xl/worksheets/sheet48240.xml"/>
  <Override ContentType="application/vnd.openxmlformats-officedocument.spreadsheetml.worksheet+xml" PartName="/xl/worksheets/sheet48241.xml"/>
  <Override ContentType="application/vnd.openxmlformats-officedocument.spreadsheetml.worksheet+xml" PartName="/xl/worksheets/sheet48242.xml"/>
  <Override ContentType="application/vnd.openxmlformats-officedocument.spreadsheetml.worksheet+xml" PartName="/xl/worksheets/sheet48243.xml"/>
  <Override ContentType="application/vnd.openxmlformats-officedocument.spreadsheetml.worksheet+xml" PartName="/xl/worksheets/sheet48244.xml"/>
  <Override ContentType="application/vnd.openxmlformats-officedocument.spreadsheetml.worksheet+xml" PartName="/xl/worksheets/sheet48245.xml"/>
  <Override ContentType="application/vnd.openxmlformats-officedocument.spreadsheetml.worksheet+xml" PartName="/xl/worksheets/sheet48246.xml"/>
  <Override ContentType="application/vnd.openxmlformats-officedocument.spreadsheetml.worksheet+xml" PartName="/xl/worksheets/sheet48247.xml"/>
  <Override ContentType="application/vnd.openxmlformats-officedocument.spreadsheetml.worksheet+xml" PartName="/xl/worksheets/sheet48248.xml"/>
  <Override ContentType="application/vnd.openxmlformats-officedocument.spreadsheetml.worksheet+xml" PartName="/xl/worksheets/sheet48249.xml"/>
  <Override ContentType="application/vnd.openxmlformats-officedocument.spreadsheetml.worksheet+xml" PartName="/xl/worksheets/sheet48250.xml"/>
  <Override ContentType="application/vnd.openxmlformats-officedocument.spreadsheetml.worksheet+xml" PartName="/xl/worksheets/sheet48251.xml"/>
  <Override ContentType="application/vnd.openxmlformats-officedocument.spreadsheetml.worksheet+xml" PartName="/xl/worksheets/sheet48252.xml"/>
  <Override ContentType="application/vnd.openxmlformats-officedocument.spreadsheetml.worksheet+xml" PartName="/xl/worksheets/sheet48253.xml"/>
  <Override ContentType="application/vnd.openxmlformats-officedocument.spreadsheetml.worksheet+xml" PartName="/xl/worksheets/sheet48254.xml"/>
  <Override ContentType="application/vnd.openxmlformats-officedocument.spreadsheetml.worksheet+xml" PartName="/xl/worksheets/sheet48255.xml"/>
  <Override ContentType="application/vnd.openxmlformats-officedocument.spreadsheetml.worksheet+xml" PartName="/xl/worksheets/sheet48256.xml"/>
  <Override ContentType="application/vnd.openxmlformats-officedocument.spreadsheetml.worksheet+xml" PartName="/xl/worksheets/sheet48257.xml"/>
  <Override ContentType="application/vnd.openxmlformats-officedocument.spreadsheetml.worksheet+xml" PartName="/xl/worksheets/sheet48258.xml"/>
  <Override ContentType="application/vnd.openxmlformats-officedocument.spreadsheetml.worksheet+xml" PartName="/xl/worksheets/sheet48259.xml"/>
  <Override ContentType="application/vnd.openxmlformats-officedocument.spreadsheetml.worksheet+xml" PartName="/xl/worksheets/sheet48260.xml"/>
  <Override ContentType="application/vnd.openxmlformats-officedocument.spreadsheetml.worksheet+xml" PartName="/xl/worksheets/sheet48261.xml"/>
  <Override ContentType="application/vnd.openxmlformats-officedocument.spreadsheetml.worksheet+xml" PartName="/xl/worksheets/sheet48262.xml"/>
  <Override ContentType="application/vnd.openxmlformats-officedocument.spreadsheetml.worksheet+xml" PartName="/xl/worksheets/sheet48263.xml"/>
  <Override ContentType="application/vnd.openxmlformats-officedocument.spreadsheetml.worksheet+xml" PartName="/xl/worksheets/sheet48264.xml"/>
  <Override ContentType="application/vnd.openxmlformats-officedocument.spreadsheetml.worksheet+xml" PartName="/xl/worksheets/sheet48265.xml"/>
  <Override ContentType="application/vnd.openxmlformats-officedocument.spreadsheetml.worksheet+xml" PartName="/xl/worksheets/sheet48266.xml"/>
  <Override ContentType="application/vnd.openxmlformats-officedocument.spreadsheetml.worksheet+xml" PartName="/xl/worksheets/sheet48267.xml"/>
  <Override ContentType="application/vnd.openxmlformats-officedocument.spreadsheetml.worksheet+xml" PartName="/xl/worksheets/sheet48268.xml"/>
  <Override ContentType="application/vnd.openxmlformats-officedocument.spreadsheetml.worksheet+xml" PartName="/xl/worksheets/sheet48269.xml"/>
  <Override ContentType="application/vnd.openxmlformats-officedocument.spreadsheetml.worksheet+xml" PartName="/xl/worksheets/sheet48270.xml"/>
  <Override ContentType="application/vnd.openxmlformats-officedocument.spreadsheetml.worksheet+xml" PartName="/xl/worksheets/sheet48271.xml"/>
  <Override ContentType="application/vnd.openxmlformats-officedocument.spreadsheetml.worksheet+xml" PartName="/xl/worksheets/sheet48272.xml"/>
  <Override ContentType="application/vnd.openxmlformats-officedocument.spreadsheetml.worksheet+xml" PartName="/xl/worksheets/sheet48273.xml"/>
  <Override ContentType="application/vnd.openxmlformats-officedocument.spreadsheetml.worksheet+xml" PartName="/xl/worksheets/sheet48274.xml"/>
  <Override ContentType="application/vnd.openxmlformats-officedocument.spreadsheetml.worksheet+xml" PartName="/xl/worksheets/sheet48275.xml"/>
  <Override ContentType="application/vnd.openxmlformats-officedocument.spreadsheetml.worksheet+xml" PartName="/xl/worksheets/sheet48276.xml"/>
  <Override ContentType="application/vnd.openxmlformats-officedocument.spreadsheetml.worksheet+xml" PartName="/xl/worksheets/sheet48277.xml"/>
  <Override ContentType="application/vnd.openxmlformats-officedocument.spreadsheetml.worksheet+xml" PartName="/xl/worksheets/sheet48278.xml"/>
  <Override ContentType="application/vnd.openxmlformats-officedocument.spreadsheetml.worksheet+xml" PartName="/xl/worksheets/sheet48279.xml"/>
  <Override ContentType="application/vnd.openxmlformats-officedocument.spreadsheetml.worksheet+xml" PartName="/xl/worksheets/sheet48280.xml"/>
  <Override ContentType="application/vnd.openxmlformats-officedocument.spreadsheetml.worksheet+xml" PartName="/xl/worksheets/sheet48281.xml"/>
  <Override ContentType="application/vnd.openxmlformats-officedocument.spreadsheetml.worksheet+xml" PartName="/xl/worksheets/sheet48282.xml"/>
  <Override ContentType="application/vnd.openxmlformats-officedocument.spreadsheetml.worksheet+xml" PartName="/xl/worksheets/sheet48283.xml"/>
  <Override ContentType="application/vnd.openxmlformats-officedocument.spreadsheetml.worksheet+xml" PartName="/xl/worksheets/sheet48284.xml"/>
  <Override ContentType="application/vnd.openxmlformats-officedocument.spreadsheetml.worksheet+xml" PartName="/xl/worksheets/sheet48285.xml"/>
  <Override ContentType="application/vnd.openxmlformats-officedocument.spreadsheetml.worksheet+xml" PartName="/xl/worksheets/sheet48286.xml"/>
  <Override ContentType="application/vnd.openxmlformats-officedocument.spreadsheetml.worksheet+xml" PartName="/xl/worksheets/sheet48287.xml"/>
  <Override ContentType="application/vnd.openxmlformats-officedocument.spreadsheetml.worksheet+xml" PartName="/xl/worksheets/sheet48288.xml"/>
  <Override ContentType="application/vnd.openxmlformats-officedocument.spreadsheetml.worksheet+xml" PartName="/xl/worksheets/sheet48289.xml"/>
  <Override ContentType="application/vnd.openxmlformats-officedocument.spreadsheetml.worksheet+xml" PartName="/xl/worksheets/sheet48290.xml"/>
  <Override ContentType="application/vnd.openxmlformats-officedocument.spreadsheetml.worksheet+xml" PartName="/xl/worksheets/sheet48291.xml"/>
  <Override ContentType="application/vnd.openxmlformats-officedocument.spreadsheetml.worksheet+xml" PartName="/xl/worksheets/sheet48292.xml"/>
  <Override ContentType="application/vnd.openxmlformats-officedocument.spreadsheetml.worksheet+xml" PartName="/xl/worksheets/sheet48293.xml"/>
  <Override ContentType="application/vnd.openxmlformats-officedocument.spreadsheetml.worksheet+xml" PartName="/xl/worksheets/sheet48294.xml"/>
  <Override ContentType="application/vnd.openxmlformats-officedocument.spreadsheetml.worksheet+xml" PartName="/xl/worksheets/sheet48295.xml"/>
  <Override ContentType="application/vnd.openxmlformats-officedocument.spreadsheetml.worksheet+xml" PartName="/xl/worksheets/sheet48296.xml"/>
  <Override ContentType="application/vnd.openxmlformats-officedocument.spreadsheetml.worksheet+xml" PartName="/xl/worksheets/sheet48297.xml"/>
  <Override ContentType="application/vnd.openxmlformats-officedocument.spreadsheetml.worksheet+xml" PartName="/xl/worksheets/sheet48298.xml"/>
  <Override ContentType="application/vnd.openxmlformats-officedocument.spreadsheetml.worksheet+xml" PartName="/xl/worksheets/sheet48299.xml"/>
  <Override ContentType="application/vnd.openxmlformats-officedocument.spreadsheetml.worksheet+xml" PartName="/xl/worksheets/sheet48300.xml"/>
  <Override ContentType="application/vnd.openxmlformats-officedocument.spreadsheetml.worksheet+xml" PartName="/xl/worksheets/sheet48301.xml"/>
  <Override ContentType="application/vnd.openxmlformats-officedocument.spreadsheetml.worksheet+xml" PartName="/xl/worksheets/sheet48302.xml"/>
  <Override ContentType="application/vnd.openxmlformats-officedocument.spreadsheetml.worksheet+xml" PartName="/xl/worksheets/sheet48303.xml"/>
  <Override ContentType="application/vnd.openxmlformats-officedocument.spreadsheetml.worksheet+xml" PartName="/xl/worksheets/sheet48304.xml"/>
  <Override ContentType="application/vnd.openxmlformats-officedocument.spreadsheetml.worksheet+xml" PartName="/xl/worksheets/sheet48305.xml"/>
  <Override ContentType="application/vnd.openxmlformats-officedocument.spreadsheetml.worksheet+xml" PartName="/xl/worksheets/sheet48306.xml"/>
  <Override ContentType="application/vnd.openxmlformats-officedocument.spreadsheetml.worksheet+xml" PartName="/xl/worksheets/sheet48307.xml"/>
  <Override ContentType="application/vnd.openxmlformats-officedocument.spreadsheetml.worksheet+xml" PartName="/xl/worksheets/sheet48308.xml"/>
  <Override ContentType="application/vnd.openxmlformats-officedocument.spreadsheetml.worksheet+xml" PartName="/xl/worksheets/sheet48309.xml"/>
  <Override ContentType="application/vnd.openxmlformats-officedocument.spreadsheetml.worksheet+xml" PartName="/xl/worksheets/sheet48310.xml"/>
  <Override ContentType="application/vnd.openxmlformats-officedocument.spreadsheetml.worksheet+xml" PartName="/xl/worksheets/sheet48311.xml"/>
  <Override ContentType="application/vnd.openxmlformats-officedocument.spreadsheetml.worksheet+xml" PartName="/xl/worksheets/sheet48312.xml"/>
  <Override ContentType="application/vnd.openxmlformats-officedocument.spreadsheetml.worksheet+xml" PartName="/xl/worksheets/sheet48313.xml"/>
  <Override ContentType="application/vnd.openxmlformats-officedocument.spreadsheetml.worksheet+xml" PartName="/xl/worksheets/sheet48314.xml"/>
  <Override ContentType="application/vnd.openxmlformats-officedocument.spreadsheetml.worksheet+xml" PartName="/xl/worksheets/sheet48315.xml"/>
  <Override ContentType="application/vnd.openxmlformats-officedocument.spreadsheetml.worksheet+xml" PartName="/xl/worksheets/sheet48316.xml"/>
  <Override ContentType="application/vnd.openxmlformats-officedocument.spreadsheetml.worksheet+xml" PartName="/xl/worksheets/sheet48317.xml"/>
  <Override ContentType="application/vnd.openxmlformats-officedocument.spreadsheetml.worksheet+xml" PartName="/xl/worksheets/sheet48318.xml"/>
  <Override ContentType="application/vnd.openxmlformats-officedocument.spreadsheetml.worksheet+xml" PartName="/xl/worksheets/sheet48319.xml"/>
  <Override ContentType="application/vnd.openxmlformats-officedocument.spreadsheetml.worksheet+xml" PartName="/xl/worksheets/sheet48320.xml"/>
  <Override ContentType="application/vnd.openxmlformats-officedocument.spreadsheetml.worksheet+xml" PartName="/xl/worksheets/sheet48321.xml"/>
  <Override ContentType="application/vnd.openxmlformats-officedocument.spreadsheetml.worksheet+xml" PartName="/xl/worksheets/sheet48322.xml"/>
  <Override ContentType="application/vnd.openxmlformats-officedocument.spreadsheetml.worksheet+xml" PartName="/xl/worksheets/sheet48323.xml"/>
  <Override ContentType="application/vnd.openxmlformats-officedocument.spreadsheetml.worksheet+xml" PartName="/xl/worksheets/sheet48324.xml"/>
  <Override ContentType="application/vnd.openxmlformats-officedocument.spreadsheetml.worksheet+xml" PartName="/xl/worksheets/sheet48325.xml"/>
  <Override ContentType="application/vnd.openxmlformats-officedocument.spreadsheetml.worksheet+xml" PartName="/xl/worksheets/sheet48326.xml"/>
  <Override ContentType="application/vnd.openxmlformats-officedocument.spreadsheetml.worksheet+xml" PartName="/xl/worksheets/sheet48327.xml"/>
  <Override ContentType="application/vnd.openxmlformats-officedocument.spreadsheetml.worksheet+xml" PartName="/xl/worksheets/sheet48328.xml"/>
  <Override ContentType="application/vnd.openxmlformats-officedocument.spreadsheetml.worksheet+xml" PartName="/xl/worksheets/sheet48329.xml"/>
  <Override ContentType="application/vnd.openxmlformats-officedocument.spreadsheetml.worksheet+xml" PartName="/xl/worksheets/sheet48330.xml"/>
  <Override ContentType="application/vnd.openxmlformats-officedocument.spreadsheetml.worksheet+xml" PartName="/xl/worksheets/sheet48331.xml"/>
  <Override ContentType="application/vnd.openxmlformats-officedocument.spreadsheetml.worksheet+xml" PartName="/xl/worksheets/sheet48332.xml"/>
  <Override ContentType="application/vnd.openxmlformats-officedocument.spreadsheetml.worksheet+xml" PartName="/xl/worksheets/sheet48333.xml"/>
  <Override ContentType="application/vnd.openxmlformats-officedocument.spreadsheetml.worksheet+xml" PartName="/xl/worksheets/sheet48334.xml"/>
  <Override ContentType="application/vnd.openxmlformats-officedocument.spreadsheetml.worksheet+xml" PartName="/xl/worksheets/sheet48335.xml"/>
  <Override ContentType="application/vnd.openxmlformats-officedocument.spreadsheetml.worksheet+xml" PartName="/xl/worksheets/sheet48336.xml"/>
  <Override ContentType="application/vnd.openxmlformats-officedocument.spreadsheetml.worksheet+xml" PartName="/xl/worksheets/sheet48337.xml"/>
  <Override ContentType="application/vnd.openxmlformats-officedocument.spreadsheetml.worksheet+xml" PartName="/xl/worksheets/sheet48338.xml"/>
  <Override ContentType="application/vnd.openxmlformats-officedocument.spreadsheetml.worksheet+xml" PartName="/xl/worksheets/sheet48339.xml"/>
  <Override ContentType="application/vnd.openxmlformats-officedocument.spreadsheetml.worksheet+xml" PartName="/xl/worksheets/sheet48340.xml"/>
  <Override ContentType="application/vnd.openxmlformats-officedocument.spreadsheetml.worksheet+xml" PartName="/xl/worksheets/sheet48341.xml"/>
  <Override ContentType="application/vnd.openxmlformats-officedocument.spreadsheetml.worksheet+xml" PartName="/xl/worksheets/sheet48342.xml"/>
  <Override ContentType="application/vnd.openxmlformats-officedocument.spreadsheetml.worksheet+xml" PartName="/xl/worksheets/sheet48343.xml"/>
  <Override ContentType="application/vnd.openxmlformats-officedocument.spreadsheetml.worksheet+xml" PartName="/xl/worksheets/sheet48344.xml"/>
  <Override ContentType="application/vnd.openxmlformats-officedocument.spreadsheetml.worksheet+xml" PartName="/xl/worksheets/sheet48345.xml"/>
  <Override ContentType="application/vnd.openxmlformats-officedocument.spreadsheetml.worksheet+xml" PartName="/xl/worksheets/sheet48346.xml"/>
  <Override ContentType="application/vnd.openxmlformats-officedocument.spreadsheetml.worksheet+xml" PartName="/xl/worksheets/sheet48347.xml"/>
  <Override ContentType="application/vnd.openxmlformats-officedocument.spreadsheetml.worksheet+xml" PartName="/xl/worksheets/sheet48348.xml"/>
  <Override ContentType="application/vnd.openxmlformats-officedocument.spreadsheetml.worksheet+xml" PartName="/xl/worksheets/sheet48349.xml"/>
  <Override ContentType="application/vnd.openxmlformats-officedocument.spreadsheetml.worksheet+xml" PartName="/xl/worksheets/sheet48350.xml"/>
  <Override ContentType="application/vnd.openxmlformats-officedocument.spreadsheetml.worksheet+xml" PartName="/xl/worksheets/sheet48351.xml"/>
  <Override ContentType="application/vnd.openxmlformats-officedocument.spreadsheetml.worksheet+xml" PartName="/xl/worksheets/sheet48352.xml"/>
  <Override ContentType="application/vnd.openxmlformats-officedocument.spreadsheetml.worksheet+xml" PartName="/xl/worksheets/sheet48353.xml"/>
  <Override ContentType="application/vnd.openxmlformats-officedocument.spreadsheetml.worksheet+xml" PartName="/xl/worksheets/sheet48354.xml"/>
  <Override ContentType="application/vnd.openxmlformats-officedocument.spreadsheetml.worksheet+xml" PartName="/xl/worksheets/sheet48355.xml"/>
  <Override ContentType="application/vnd.openxmlformats-officedocument.spreadsheetml.worksheet+xml" PartName="/xl/worksheets/sheet48356.xml"/>
  <Override ContentType="application/vnd.openxmlformats-officedocument.spreadsheetml.worksheet+xml" PartName="/xl/worksheets/sheet48357.xml"/>
  <Override ContentType="application/vnd.openxmlformats-officedocument.spreadsheetml.worksheet+xml" PartName="/xl/worksheets/sheet48358.xml"/>
  <Override ContentType="application/vnd.openxmlformats-officedocument.spreadsheetml.worksheet+xml" PartName="/xl/worksheets/sheet48359.xml"/>
  <Override ContentType="application/vnd.openxmlformats-officedocument.spreadsheetml.worksheet+xml" PartName="/xl/worksheets/sheet48360.xml"/>
  <Override ContentType="application/vnd.openxmlformats-officedocument.spreadsheetml.worksheet+xml" PartName="/xl/worksheets/sheet48361.xml"/>
  <Override ContentType="application/vnd.openxmlformats-officedocument.spreadsheetml.worksheet+xml" PartName="/xl/worksheets/sheet48362.xml"/>
  <Override ContentType="application/vnd.openxmlformats-officedocument.spreadsheetml.worksheet+xml" PartName="/xl/worksheets/sheet48363.xml"/>
  <Override ContentType="application/vnd.openxmlformats-officedocument.spreadsheetml.worksheet+xml" PartName="/xl/worksheets/sheet48364.xml"/>
  <Override ContentType="application/vnd.openxmlformats-officedocument.spreadsheetml.worksheet+xml" PartName="/xl/worksheets/sheet48365.xml"/>
  <Override ContentType="application/vnd.openxmlformats-officedocument.spreadsheetml.worksheet+xml" PartName="/xl/worksheets/sheet48366.xml"/>
  <Override ContentType="application/vnd.openxmlformats-officedocument.spreadsheetml.worksheet+xml" PartName="/xl/worksheets/sheet48367.xml"/>
  <Override ContentType="application/vnd.openxmlformats-officedocument.spreadsheetml.worksheet+xml" PartName="/xl/worksheets/sheet48368.xml"/>
  <Override ContentType="application/vnd.openxmlformats-officedocument.spreadsheetml.worksheet+xml" PartName="/xl/worksheets/sheet48369.xml"/>
  <Override ContentType="application/vnd.openxmlformats-officedocument.spreadsheetml.worksheet+xml" PartName="/xl/worksheets/sheet48370.xml"/>
  <Override ContentType="application/vnd.openxmlformats-officedocument.spreadsheetml.worksheet+xml" PartName="/xl/worksheets/sheet48371.xml"/>
  <Override ContentType="application/vnd.openxmlformats-officedocument.spreadsheetml.worksheet+xml" PartName="/xl/worksheets/sheet48372.xml"/>
  <Override ContentType="application/vnd.openxmlformats-officedocument.spreadsheetml.worksheet+xml" PartName="/xl/worksheets/sheet48373.xml"/>
  <Override ContentType="application/vnd.openxmlformats-officedocument.spreadsheetml.worksheet+xml" PartName="/xl/worksheets/sheet48374.xml"/>
  <Override ContentType="application/vnd.openxmlformats-officedocument.spreadsheetml.worksheet+xml" PartName="/xl/worksheets/sheet48375.xml"/>
  <Override ContentType="application/vnd.openxmlformats-officedocument.spreadsheetml.worksheet+xml" PartName="/xl/worksheets/sheet48376.xml"/>
  <Override ContentType="application/vnd.openxmlformats-officedocument.spreadsheetml.worksheet+xml" PartName="/xl/worksheets/sheet48377.xml"/>
  <Override ContentType="application/vnd.openxmlformats-officedocument.spreadsheetml.worksheet+xml" PartName="/xl/worksheets/sheet48378.xml"/>
  <Override ContentType="application/vnd.openxmlformats-officedocument.spreadsheetml.worksheet+xml" PartName="/xl/worksheets/sheet48379.xml"/>
  <Override ContentType="application/vnd.openxmlformats-officedocument.spreadsheetml.worksheet+xml" PartName="/xl/worksheets/sheet48380.xml"/>
  <Override ContentType="application/vnd.openxmlformats-officedocument.spreadsheetml.worksheet+xml" PartName="/xl/worksheets/sheet48381.xml"/>
  <Override ContentType="application/vnd.openxmlformats-officedocument.spreadsheetml.worksheet+xml" PartName="/xl/worksheets/sheet48382.xml"/>
  <Override ContentType="application/vnd.openxmlformats-officedocument.spreadsheetml.worksheet+xml" PartName="/xl/worksheets/sheet48383.xml"/>
  <Override ContentType="application/vnd.openxmlformats-officedocument.spreadsheetml.worksheet+xml" PartName="/xl/worksheets/sheet48384.xml"/>
  <Override ContentType="application/vnd.openxmlformats-officedocument.spreadsheetml.worksheet+xml" PartName="/xl/worksheets/sheet48385.xml"/>
  <Override ContentType="application/vnd.openxmlformats-officedocument.spreadsheetml.worksheet+xml" PartName="/xl/worksheets/sheet48386.xml"/>
  <Override ContentType="application/vnd.openxmlformats-officedocument.spreadsheetml.worksheet+xml" PartName="/xl/worksheets/sheet48387.xml"/>
  <Override ContentType="application/vnd.openxmlformats-officedocument.spreadsheetml.worksheet+xml" PartName="/xl/worksheets/sheet48388.xml"/>
  <Override ContentType="application/vnd.openxmlformats-officedocument.spreadsheetml.worksheet+xml" PartName="/xl/worksheets/sheet48389.xml"/>
  <Override ContentType="application/vnd.openxmlformats-officedocument.spreadsheetml.worksheet+xml" PartName="/xl/worksheets/sheet48390.xml"/>
  <Override ContentType="application/vnd.openxmlformats-officedocument.spreadsheetml.worksheet+xml" PartName="/xl/worksheets/sheet48391.xml"/>
  <Override ContentType="application/vnd.openxmlformats-officedocument.spreadsheetml.worksheet+xml" PartName="/xl/worksheets/sheet48392.xml"/>
  <Override ContentType="application/vnd.openxmlformats-officedocument.spreadsheetml.worksheet+xml" PartName="/xl/worksheets/sheet48393.xml"/>
  <Override ContentType="application/vnd.openxmlformats-officedocument.spreadsheetml.worksheet+xml" PartName="/xl/worksheets/sheet48394.xml"/>
  <Override ContentType="application/vnd.openxmlformats-officedocument.spreadsheetml.worksheet+xml" PartName="/xl/worksheets/sheet48395.xml"/>
  <Override ContentType="application/vnd.openxmlformats-officedocument.spreadsheetml.worksheet+xml" PartName="/xl/worksheets/sheet48396.xml"/>
  <Override ContentType="application/vnd.openxmlformats-officedocument.spreadsheetml.worksheet+xml" PartName="/xl/worksheets/sheet48397.xml"/>
  <Override ContentType="application/vnd.openxmlformats-officedocument.spreadsheetml.worksheet+xml" PartName="/xl/worksheets/sheet48398.xml"/>
  <Override ContentType="application/vnd.openxmlformats-officedocument.spreadsheetml.worksheet+xml" PartName="/xl/worksheets/sheet48399.xml"/>
  <Override ContentType="application/vnd.openxmlformats-officedocument.spreadsheetml.worksheet+xml" PartName="/xl/worksheets/sheet48400.xml"/>
  <Override ContentType="application/vnd.openxmlformats-officedocument.spreadsheetml.worksheet+xml" PartName="/xl/worksheets/sheet48401.xml"/>
  <Override ContentType="application/vnd.openxmlformats-officedocument.spreadsheetml.worksheet+xml" PartName="/xl/worksheets/sheet48402.xml"/>
  <Override ContentType="application/vnd.openxmlformats-officedocument.spreadsheetml.worksheet+xml" PartName="/xl/worksheets/sheet48403.xml"/>
  <Override ContentType="application/vnd.openxmlformats-officedocument.spreadsheetml.worksheet+xml" PartName="/xl/worksheets/sheet48404.xml"/>
  <Override ContentType="application/vnd.openxmlformats-officedocument.spreadsheetml.worksheet+xml" PartName="/xl/worksheets/sheet48405.xml"/>
  <Override ContentType="application/vnd.openxmlformats-officedocument.spreadsheetml.worksheet+xml" PartName="/xl/worksheets/sheet48406.xml"/>
  <Override ContentType="application/vnd.openxmlformats-officedocument.spreadsheetml.worksheet+xml" PartName="/xl/worksheets/sheet48407.xml"/>
  <Override ContentType="application/vnd.openxmlformats-officedocument.spreadsheetml.worksheet+xml" PartName="/xl/worksheets/sheet48408.xml"/>
  <Override ContentType="application/vnd.openxmlformats-officedocument.spreadsheetml.worksheet+xml" PartName="/xl/worksheets/sheet48409.xml"/>
  <Override ContentType="application/vnd.openxmlformats-officedocument.spreadsheetml.worksheet+xml" PartName="/xl/worksheets/sheet48410.xml"/>
  <Override ContentType="application/vnd.openxmlformats-officedocument.spreadsheetml.worksheet+xml" PartName="/xl/worksheets/sheet48411.xml"/>
  <Override ContentType="application/vnd.openxmlformats-officedocument.spreadsheetml.worksheet+xml" PartName="/xl/worksheets/sheet48412.xml"/>
  <Override ContentType="application/vnd.openxmlformats-officedocument.spreadsheetml.worksheet+xml" PartName="/xl/worksheets/sheet48413.xml"/>
  <Override ContentType="application/vnd.openxmlformats-officedocument.spreadsheetml.worksheet+xml" PartName="/xl/worksheets/sheet48414.xml"/>
  <Override ContentType="application/vnd.openxmlformats-officedocument.spreadsheetml.worksheet+xml" PartName="/xl/worksheets/sheet48415.xml"/>
  <Override ContentType="application/vnd.openxmlformats-officedocument.spreadsheetml.worksheet+xml" PartName="/xl/worksheets/sheet48416.xml"/>
  <Override ContentType="application/vnd.openxmlformats-officedocument.spreadsheetml.worksheet+xml" PartName="/xl/worksheets/sheet48417.xml"/>
  <Override ContentType="application/vnd.openxmlformats-officedocument.spreadsheetml.worksheet+xml" PartName="/xl/worksheets/sheet48418.xml"/>
  <Override ContentType="application/vnd.openxmlformats-officedocument.spreadsheetml.worksheet+xml" PartName="/xl/worksheets/sheet48419.xml"/>
  <Override ContentType="application/vnd.openxmlformats-officedocument.spreadsheetml.worksheet+xml" PartName="/xl/worksheets/sheet48420.xml"/>
  <Override ContentType="application/vnd.openxmlformats-officedocument.spreadsheetml.worksheet+xml" PartName="/xl/worksheets/sheet48421.xml"/>
  <Override ContentType="application/vnd.openxmlformats-officedocument.spreadsheetml.worksheet+xml" PartName="/xl/worksheets/sheet48422.xml"/>
  <Override ContentType="application/vnd.openxmlformats-officedocument.spreadsheetml.worksheet+xml" PartName="/xl/worksheets/sheet48423.xml"/>
  <Override ContentType="application/vnd.openxmlformats-officedocument.spreadsheetml.worksheet+xml" PartName="/xl/worksheets/sheet48424.xml"/>
  <Override ContentType="application/vnd.openxmlformats-officedocument.spreadsheetml.worksheet+xml" PartName="/xl/worksheets/sheet48425.xml"/>
  <Override ContentType="application/vnd.openxmlformats-officedocument.spreadsheetml.worksheet+xml" PartName="/xl/worksheets/sheet48426.xml"/>
  <Override ContentType="application/vnd.openxmlformats-officedocument.spreadsheetml.worksheet+xml" PartName="/xl/worksheets/sheet48427.xml"/>
  <Override ContentType="application/vnd.openxmlformats-officedocument.spreadsheetml.worksheet+xml" PartName="/xl/worksheets/sheet48428.xml"/>
  <Override ContentType="application/vnd.openxmlformats-officedocument.spreadsheetml.worksheet+xml" PartName="/xl/worksheets/sheet48429.xml"/>
  <Override ContentType="application/vnd.openxmlformats-officedocument.spreadsheetml.worksheet+xml" PartName="/xl/worksheets/sheet48430.xml"/>
  <Override ContentType="application/vnd.openxmlformats-officedocument.spreadsheetml.worksheet+xml" PartName="/xl/worksheets/sheet48431.xml"/>
  <Override ContentType="application/vnd.openxmlformats-officedocument.spreadsheetml.worksheet+xml" PartName="/xl/worksheets/sheet48432.xml"/>
  <Override ContentType="application/vnd.openxmlformats-officedocument.spreadsheetml.worksheet+xml" PartName="/xl/worksheets/sheet48433.xml"/>
  <Override ContentType="application/vnd.openxmlformats-officedocument.spreadsheetml.worksheet+xml" PartName="/xl/worksheets/sheet48434.xml"/>
  <Override ContentType="application/vnd.openxmlformats-officedocument.spreadsheetml.worksheet+xml" PartName="/xl/worksheets/sheet48435.xml"/>
  <Override ContentType="application/vnd.openxmlformats-officedocument.spreadsheetml.worksheet+xml" PartName="/xl/worksheets/sheet48436.xml"/>
  <Override ContentType="application/vnd.openxmlformats-officedocument.spreadsheetml.worksheet+xml" PartName="/xl/worksheets/sheet48437.xml"/>
  <Override ContentType="application/vnd.openxmlformats-officedocument.spreadsheetml.worksheet+xml" PartName="/xl/worksheets/sheet48438.xml"/>
  <Override ContentType="application/vnd.openxmlformats-officedocument.spreadsheetml.worksheet+xml" PartName="/xl/worksheets/sheet48439.xml"/>
  <Override ContentType="application/vnd.openxmlformats-officedocument.spreadsheetml.worksheet+xml" PartName="/xl/worksheets/sheet48440.xml"/>
  <Override ContentType="application/vnd.openxmlformats-officedocument.spreadsheetml.worksheet+xml" PartName="/xl/worksheets/sheet48441.xml"/>
  <Override ContentType="application/vnd.openxmlformats-officedocument.spreadsheetml.worksheet+xml" PartName="/xl/worksheets/sheet48442.xml"/>
  <Override ContentType="application/vnd.openxmlformats-officedocument.spreadsheetml.worksheet+xml" PartName="/xl/worksheets/sheet48443.xml"/>
  <Override ContentType="application/vnd.openxmlformats-officedocument.spreadsheetml.worksheet+xml" PartName="/xl/worksheets/sheet48444.xml"/>
  <Override ContentType="application/vnd.openxmlformats-officedocument.spreadsheetml.worksheet+xml" PartName="/xl/worksheets/sheet48445.xml"/>
  <Override ContentType="application/vnd.openxmlformats-officedocument.spreadsheetml.worksheet+xml" PartName="/xl/worksheets/sheet48446.xml"/>
  <Override ContentType="application/vnd.openxmlformats-officedocument.spreadsheetml.worksheet+xml" PartName="/xl/worksheets/sheet48447.xml"/>
  <Override ContentType="application/vnd.openxmlformats-officedocument.spreadsheetml.worksheet+xml" PartName="/xl/worksheets/sheet48448.xml"/>
  <Override ContentType="application/vnd.openxmlformats-officedocument.spreadsheetml.worksheet+xml" PartName="/xl/worksheets/sheet48449.xml"/>
  <Override ContentType="application/vnd.openxmlformats-officedocument.spreadsheetml.worksheet+xml" PartName="/xl/worksheets/sheet48450.xml"/>
  <Override ContentType="application/vnd.openxmlformats-officedocument.spreadsheetml.worksheet+xml" PartName="/xl/worksheets/sheet48451.xml"/>
  <Override ContentType="application/vnd.openxmlformats-officedocument.spreadsheetml.worksheet+xml" PartName="/xl/worksheets/sheet48452.xml"/>
  <Override ContentType="application/vnd.openxmlformats-officedocument.spreadsheetml.worksheet+xml" PartName="/xl/worksheets/sheet48453.xml"/>
  <Override ContentType="application/vnd.openxmlformats-officedocument.spreadsheetml.worksheet+xml" PartName="/xl/worksheets/sheet48454.xml"/>
  <Override ContentType="application/vnd.openxmlformats-officedocument.spreadsheetml.worksheet+xml" PartName="/xl/worksheets/sheet48455.xml"/>
  <Override ContentType="application/vnd.openxmlformats-officedocument.spreadsheetml.worksheet+xml" PartName="/xl/worksheets/sheet48456.xml"/>
  <Override ContentType="application/vnd.openxmlformats-officedocument.spreadsheetml.worksheet+xml" PartName="/xl/worksheets/sheet48457.xml"/>
  <Override ContentType="application/vnd.openxmlformats-officedocument.spreadsheetml.worksheet+xml" PartName="/xl/worksheets/sheet48458.xml"/>
  <Override ContentType="application/vnd.openxmlformats-officedocument.spreadsheetml.worksheet+xml" PartName="/xl/worksheets/sheet48459.xml"/>
  <Override ContentType="application/vnd.openxmlformats-officedocument.spreadsheetml.worksheet+xml" PartName="/xl/worksheets/sheet48460.xml"/>
  <Override ContentType="application/vnd.openxmlformats-officedocument.spreadsheetml.worksheet+xml" PartName="/xl/worksheets/sheet48461.xml"/>
  <Override ContentType="application/vnd.openxmlformats-officedocument.spreadsheetml.worksheet+xml" PartName="/xl/worksheets/sheet48462.xml"/>
  <Override ContentType="application/vnd.openxmlformats-officedocument.spreadsheetml.worksheet+xml" PartName="/xl/worksheets/sheet48463.xml"/>
  <Override ContentType="application/vnd.openxmlformats-officedocument.spreadsheetml.worksheet+xml" PartName="/xl/worksheets/sheet48464.xml"/>
  <Override ContentType="application/vnd.openxmlformats-officedocument.spreadsheetml.worksheet+xml" PartName="/xl/worksheets/sheet48465.xml"/>
  <Override ContentType="application/vnd.openxmlformats-officedocument.spreadsheetml.worksheet+xml" PartName="/xl/worksheets/sheet48466.xml"/>
  <Override ContentType="application/vnd.openxmlformats-officedocument.spreadsheetml.worksheet+xml" PartName="/xl/worksheets/sheet48467.xml"/>
  <Override ContentType="application/vnd.openxmlformats-officedocument.spreadsheetml.worksheet+xml" PartName="/xl/worksheets/sheet48468.xml"/>
  <Override ContentType="application/vnd.openxmlformats-officedocument.spreadsheetml.worksheet+xml" PartName="/xl/worksheets/sheet48469.xml"/>
  <Override ContentType="application/vnd.openxmlformats-officedocument.spreadsheetml.worksheet+xml" PartName="/xl/worksheets/sheet48470.xml"/>
  <Override ContentType="application/vnd.openxmlformats-officedocument.spreadsheetml.worksheet+xml" PartName="/xl/worksheets/sheet48471.xml"/>
  <Override ContentType="application/vnd.openxmlformats-officedocument.spreadsheetml.worksheet+xml" PartName="/xl/worksheets/sheet48472.xml"/>
  <Override ContentType="application/vnd.openxmlformats-officedocument.spreadsheetml.worksheet+xml" PartName="/xl/worksheets/sheet48473.xml"/>
  <Override ContentType="application/vnd.openxmlformats-officedocument.spreadsheetml.worksheet+xml" PartName="/xl/worksheets/sheet48474.xml"/>
  <Override ContentType="application/vnd.openxmlformats-officedocument.spreadsheetml.worksheet+xml" PartName="/xl/worksheets/sheet48475.xml"/>
  <Override ContentType="application/vnd.openxmlformats-officedocument.spreadsheetml.worksheet+xml" PartName="/xl/worksheets/sheet48476.xml"/>
  <Override ContentType="application/vnd.openxmlformats-officedocument.spreadsheetml.worksheet+xml" PartName="/xl/worksheets/sheet48477.xml"/>
  <Override ContentType="application/vnd.openxmlformats-officedocument.spreadsheetml.worksheet+xml" PartName="/xl/worksheets/sheet48478.xml"/>
  <Override ContentType="application/vnd.openxmlformats-officedocument.spreadsheetml.worksheet+xml" PartName="/xl/worksheets/sheet48479.xml"/>
  <Override ContentType="application/vnd.openxmlformats-officedocument.spreadsheetml.worksheet+xml" PartName="/xl/worksheets/sheet48480.xml"/>
  <Override ContentType="application/vnd.openxmlformats-officedocument.spreadsheetml.worksheet+xml" PartName="/xl/worksheets/sheet48481.xml"/>
  <Override ContentType="application/vnd.openxmlformats-officedocument.spreadsheetml.worksheet+xml" PartName="/xl/worksheets/sheet48482.xml"/>
  <Override ContentType="application/vnd.openxmlformats-officedocument.spreadsheetml.worksheet+xml" PartName="/xl/worksheets/sheet48483.xml"/>
  <Override ContentType="application/vnd.openxmlformats-officedocument.spreadsheetml.worksheet+xml" PartName="/xl/worksheets/sheet48484.xml"/>
  <Override ContentType="application/vnd.openxmlformats-officedocument.spreadsheetml.worksheet+xml" PartName="/xl/worksheets/sheet48485.xml"/>
  <Override ContentType="application/vnd.openxmlformats-officedocument.spreadsheetml.worksheet+xml" PartName="/xl/worksheets/sheet48486.xml"/>
  <Override ContentType="application/vnd.openxmlformats-officedocument.spreadsheetml.worksheet+xml" PartName="/xl/worksheets/sheet48487.xml"/>
  <Override ContentType="application/vnd.openxmlformats-officedocument.spreadsheetml.worksheet+xml" PartName="/xl/worksheets/sheet48488.xml"/>
  <Override ContentType="application/vnd.openxmlformats-officedocument.spreadsheetml.worksheet+xml" PartName="/xl/worksheets/sheet48489.xml"/>
  <Override ContentType="application/vnd.openxmlformats-officedocument.spreadsheetml.worksheet+xml" PartName="/xl/worksheets/sheet48490.xml"/>
  <Override ContentType="application/vnd.openxmlformats-officedocument.spreadsheetml.worksheet+xml" PartName="/xl/worksheets/sheet48491.xml"/>
  <Override ContentType="application/vnd.openxmlformats-officedocument.spreadsheetml.worksheet+xml" PartName="/xl/worksheets/sheet48492.xml"/>
  <Override ContentType="application/vnd.openxmlformats-officedocument.spreadsheetml.worksheet+xml" PartName="/xl/worksheets/sheet48493.xml"/>
  <Override ContentType="application/vnd.openxmlformats-officedocument.spreadsheetml.worksheet+xml" PartName="/xl/worksheets/sheet48494.xml"/>
  <Override ContentType="application/vnd.openxmlformats-officedocument.spreadsheetml.worksheet+xml" PartName="/xl/worksheets/sheet48495.xml"/>
  <Override ContentType="application/vnd.openxmlformats-officedocument.spreadsheetml.worksheet+xml" PartName="/xl/worksheets/sheet48496.xml"/>
  <Override ContentType="application/vnd.openxmlformats-officedocument.spreadsheetml.worksheet+xml" PartName="/xl/worksheets/sheet48497.xml"/>
  <Override ContentType="application/vnd.openxmlformats-officedocument.spreadsheetml.worksheet+xml" PartName="/xl/worksheets/sheet48498.xml"/>
  <Override ContentType="application/vnd.openxmlformats-officedocument.spreadsheetml.worksheet+xml" PartName="/xl/worksheets/sheet48499.xml"/>
  <Override ContentType="application/vnd.openxmlformats-officedocument.spreadsheetml.worksheet+xml" PartName="/xl/worksheets/sheet48500.xml"/>
  <Override ContentType="application/vnd.openxmlformats-officedocument.spreadsheetml.worksheet+xml" PartName="/xl/worksheets/sheet48501.xml"/>
  <Override ContentType="application/vnd.openxmlformats-officedocument.spreadsheetml.worksheet+xml" PartName="/xl/worksheets/sheet48502.xml"/>
  <Override ContentType="application/vnd.openxmlformats-officedocument.spreadsheetml.worksheet+xml" PartName="/xl/worksheets/sheet48503.xml"/>
  <Override ContentType="application/vnd.openxmlformats-officedocument.spreadsheetml.worksheet+xml" PartName="/xl/worksheets/sheet48504.xml"/>
  <Override ContentType="application/vnd.openxmlformats-officedocument.spreadsheetml.worksheet+xml" PartName="/xl/worksheets/sheet48505.xml"/>
  <Override ContentType="application/vnd.openxmlformats-officedocument.spreadsheetml.worksheet+xml" PartName="/xl/worksheets/sheet48506.xml"/>
  <Override ContentType="application/vnd.openxmlformats-officedocument.spreadsheetml.worksheet+xml" PartName="/xl/worksheets/sheet48507.xml"/>
  <Override ContentType="application/vnd.openxmlformats-officedocument.spreadsheetml.worksheet+xml" PartName="/xl/worksheets/sheet48508.xml"/>
  <Override ContentType="application/vnd.openxmlformats-officedocument.spreadsheetml.worksheet+xml" PartName="/xl/worksheets/sheet48509.xml"/>
  <Override ContentType="application/vnd.openxmlformats-officedocument.spreadsheetml.worksheet+xml" PartName="/xl/worksheets/sheet48510.xml"/>
  <Override ContentType="application/vnd.openxmlformats-officedocument.spreadsheetml.worksheet+xml" PartName="/xl/worksheets/sheet48511.xml"/>
  <Override ContentType="application/vnd.openxmlformats-officedocument.spreadsheetml.worksheet+xml" PartName="/xl/worksheets/sheet48512.xml"/>
  <Override ContentType="application/vnd.openxmlformats-officedocument.spreadsheetml.worksheet+xml" PartName="/xl/worksheets/sheet48513.xml"/>
  <Override ContentType="application/vnd.openxmlformats-officedocument.spreadsheetml.worksheet+xml" PartName="/xl/worksheets/sheet48514.xml"/>
  <Override ContentType="application/vnd.openxmlformats-officedocument.spreadsheetml.worksheet+xml" PartName="/xl/worksheets/sheet48515.xml"/>
  <Override ContentType="application/vnd.openxmlformats-officedocument.spreadsheetml.worksheet+xml" PartName="/xl/worksheets/sheet48516.xml"/>
  <Override ContentType="application/vnd.openxmlformats-officedocument.spreadsheetml.worksheet+xml" PartName="/xl/worksheets/sheet48517.xml"/>
  <Override ContentType="application/vnd.openxmlformats-officedocument.spreadsheetml.worksheet+xml" PartName="/xl/worksheets/sheet48518.xml"/>
  <Override ContentType="application/vnd.openxmlformats-officedocument.spreadsheetml.worksheet+xml" PartName="/xl/worksheets/sheet48519.xml"/>
  <Override ContentType="application/vnd.openxmlformats-officedocument.spreadsheetml.worksheet+xml" PartName="/xl/worksheets/sheet48520.xml"/>
  <Override ContentType="application/vnd.openxmlformats-officedocument.spreadsheetml.worksheet+xml" PartName="/xl/worksheets/sheet48521.xml"/>
  <Override ContentType="application/vnd.openxmlformats-officedocument.spreadsheetml.worksheet+xml" PartName="/xl/worksheets/sheet48522.xml"/>
  <Override ContentType="application/vnd.openxmlformats-officedocument.spreadsheetml.worksheet+xml" PartName="/xl/worksheets/sheet48523.xml"/>
  <Override ContentType="application/vnd.openxmlformats-officedocument.spreadsheetml.worksheet+xml" PartName="/xl/worksheets/sheet48524.xml"/>
  <Override ContentType="application/vnd.openxmlformats-officedocument.spreadsheetml.worksheet+xml" PartName="/xl/worksheets/sheet48525.xml"/>
  <Override ContentType="application/vnd.openxmlformats-officedocument.spreadsheetml.worksheet+xml" PartName="/xl/worksheets/sheet48526.xml"/>
  <Override ContentType="application/vnd.openxmlformats-officedocument.spreadsheetml.worksheet+xml" PartName="/xl/worksheets/sheet48527.xml"/>
  <Override ContentType="application/vnd.openxmlformats-officedocument.spreadsheetml.worksheet+xml" PartName="/xl/worksheets/sheet48528.xml"/>
  <Override ContentType="application/vnd.openxmlformats-officedocument.spreadsheetml.worksheet+xml" PartName="/xl/worksheets/sheet48529.xml"/>
  <Override ContentType="application/vnd.openxmlformats-officedocument.spreadsheetml.worksheet+xml" PartName="/xl/worksheets/sheet48530.xml"/>
  <Override ContentType="application/vnd.openxmlformats-officedocument.spreadsheetml.worksheet+xml" PartName="/xl/worksheets/sheet48531.xml"/>
  <Override ContentType="application/vnd.openxmlformats-officedocument.spreadsheetml.worksheet+xml" PartName="/xl/worksheets/sheet48532.xml"/>
  <Override ContentType="application/vnd.openxmlformats-officedocument.spreadsheetml.worksheet+xml" PartName="/xl/worksheets/sheet48533.xml"/>
  <Override ContentType="application/vnd.openxmlformats-officedocument.spreadsheetml.worksheet+xml" PartName="/xl/worksheets/sheet48534.xml"/>
  <Override ContentType="application/vnd.openxmlformats-officedocument.spreadsheetml.worksheet+xml" PartName="/xl/worksheets/sheet48535.xml"/>
  <Override ContentType="application/vnd.openxmlformats-officedocument.spreadsheetml.worksheet+xml" PartName="/xl/worksheets/sheet48536.xml"/>
  <Override ContentType="application/vnd.openxmlformats-officedocument.spreadsheetml.worksheet+xml" PartName="/xl/worksheets/sheet48537.xml"/>
  <Override ContentType="application/vnd.openxmlformats-officedocument.spreadsheetml.worksheet+xml" PartName="/xl/worksheets/sheet48538.xml"/>
  <Override ContentType="application/vnd.openxmlformats-officedocument.spreadsheetml.worksheet+xml" PartName="/xl/worksheets/sheet48539.xml"/>
  <Override ContentType="application/vnd.openxmlformats-officedocument.spreadsheetml.worksheet+xml" PartName="/xl/worksheets/sheet48540.xml"/>
  <Override ContentType="application/vnd.openxmlformats-officedocument.spreadsheetml.worksheet+xml" PartName="/xl/worksheets/sheet48541.xml"/>
  <Override ContentType="application/vnd.openxmlformats-officedocument.spreadsheetml.worksheet+xml" PartName="/xl/worksheets/sheet48542.xml"/>
  <Override ContentType="application/vnd.openxmlformats-officedocument.spreadsheetml.worksheet+xml" PartName="/xl/worksheets/sheet48543.xml"/>
  <Override ContentType="application/vnd.openxmlformats-officedocument.spreadsheetml.worksheet+xml" PartName="/xl/worksheets/sheet48544.xml"/>
  <Override ContentType="application/vnd.openxmlformats-officedocument.spreadsheetml.worksheet+xml" PartName="/xl/worksheets/sheet48545.xml"/>
  <Override ContentType="application/vnd.openxmlformats-officedocument.spreadsheetml.worksheet+xml" PartName="/xl/worksheets/sheet48546.xml"/>
  <Override ContentType="application/vnd.openxmlformats-officedocument.spreadsheetml.worksheet+xml" PartName="/xl/worksheets/sheet48547.xml"/>
  <Override ContentType="application/vnd.openxmlformats-officedocument.spreadsheetml.worksheet+xml" PartName="/xl/worksheets/sheet48548.xml"/>
  <Override ContentType="application/vnd.openxmlformats-officedocument.spreadsheetml.worksheet+xml" PartName="/xl/worksheets/sheet48549.xml"/>
  <Override ContentType="application/vnd.openxmlformats-officedocument.spreadsheetml.worksheet+xml" PartName="/xl/worksheets/sheet48550.xml"/>
  <Override ContentType="application/vnd.openxmlformats-officedocument.spreadsheetml.worksheet+xml" PartName="/xl/worksheets/sheet48551.xml"/>
  <Override ContentType="application/vnd.openxmlformats-officedocument.spreadsheetml.worksheet+xml" PartName="/xl/worksheets/sheet48552.xml"/>
  <Override ContentType="application/vnd.openxmlformats-officedocument.spreadsheetml.worksheet+xml" PartName="/xl/worksheets/sheet48553.xml"/>
  <Override ContentType="application/vnd.openxmlformats-officedocument.spreadsheetml.worksheet+xml" PartName="/xl/worksheets/sheet48554.xml"/>
  <Override ContentType="application/vnd.openxmlformats-officedocument.spreadsheetml.worksheet+xml" PartName="/xl/worksheets/sheet48555.xml"/>
  <Override ContentType="application/vnd.openxmlformats-officedocument.spreadsheetml.worksheet+xml" PartName="/xl/worksheets/sheet48556.xml"/>
  <Override ContentType="application/vnd.openxmlformats-officedocument.spreadsheetml.worksheet+xml" PartName="/xl/worksheets/sheet48557.xml"/>
  <Override ContentType="application/vnd.openxmlformats-officedocument.spreadsheetml.worksheet+xml" PartName="/xl/worksheets/sheet48558.xml"/>
  <Override ContentType="application/vnd.openxmlformats-officedocument.spreadsheetml.worksheet+xml" PartName="/xl/worksheets/sheet48559.xml"/>
  <Override ContentType="application/vnd.openxmlformats-officedocument.spreadsheetml.worksheet+xml" PartName="/xl/worksheets/sheet48560.xml"/>
  <Override ContentType="application/vnd.openxmlformats-officedocument.spreadsheetml.worksheet+xml" PartName="/xl/worksheets/sheet48561.xml"/>
  <Override ContentType="application/vnd.openxmlformats-officedocument.spreadsheetml.worksheet+xml" PartName="/xl/worksheets/sheet48562.xml"/>
  <Override ContentType="application/vnd.openxmlformats-officedocument.spreadsheetml.worksheet+xml" PartName="/xl/worksheets/sheet48563.xml"/>
  <Override ContentType="application/vnd.openxmlformats-officedocument.spreadsheetml.worksheet+xml" PartName="/xl/worksheets/sheet48564.xml"/>
  <Override ContentType="application/vnd.openxmlformats-officedocument.spreadsheetml.worksheet+xml" PartName="/xl/worksheets/sheet48565.xml"/>
  <Override ContentType="application/vnd.openxmlformats-officedocument.spreadsheetml.worksheet+xml" PartName="/xl/worksheets/sheet48566.xml"/>
  <Override ContentType="application/vnd.openxmlformats-officedocument.spreadsheetml.worksheet+xml" PartName="/xl/worksheets/sheet48567.xml"/>
  <Override ContentType="application/vnd.openxmlformats-officedocument.spreadsheetml.worksheet+xml" PartName="/xl/worksheets/sheet48568.xml"/>
  <Override ContentType="application/vnd.openxmlformats-officedocument.spreadsheetml.worksheet+xml" PartName="/xl/worksheets/sheet48569.xml"/>
  <Override ContentType="application/vnd.openxmlformats-officedocument.spreadsheetml.worksheet+xml" PartName="/xl/worksheets/sheet48570.xml"/>
  <Override ContentType="application/vnd.openxmlformats-officedocument.spreadsheetml.worksheet+xml" PartName="/xl/worksheets/sheet48571.xml"/>
  <Override ContentType="application/vnd.openxmlformats-officedocument.spreadsheetml.worksheet+xml" PartName="/xl/worksheets/sheet48572.xml"/>
  <Override ContentType="application/vnd.openxmlformats-officedocument.spreadsheetml.worksheet+xml" PartName="/xl/worksheets/sheet48573.xml"/>
  <Override ContentType="application/vnd.openxmlformats-officedocument.spreadsheetml.worksheet+xml" PartName="/xl/worksheets/sheet48574.xml"/>
  <Override ContentType="application/vnd.openxmlformats-officedocument.spreadsheetml.worksheet+xml" PartName="/xl/worksheets/sheet48575.xml"/>
  <Override ContentType="application/vnd.openxmlformats-officedocument.spreadsheetml.worksheet+xml" PartName="/xl/worksheets/sheet48576.xml"/>
  <Override ContentType="application/vnd.openxmlformats-officedocument.spreadsheetml.worksheet+xml" PartName="/xl/worksheets/sheet48577.xml"/>
  <Override ContentType="application/vnd.openxmlformats-officedocument.spreadsheetml.worksheet+xml" PartName="/xl/worksheets/sheet48578.xml"/>
  <Override ContentType="application/vnd.openxmlformats-officedocument.spreadsheetml.worksheet+xml" PartName="/xl/worksheets/sheet48579.xml"/>
  <Override ContentType="application/vnd.openxmlformats-officedocument.spreadsheetml.worksheet+xml" PartName="/xl/worksheets/sheet48580.xml"/>
  <Override ContentType="application/vnd.openxmlformats-officedocument.spreadsheetml.worksheet+xml" PartName="/xl/worksheets/sheet48581.xml"/>
  <Override ContentType="application/vnd.openxmlformats-officedocument.spreadsheetml.worksheet+xml" PartName="/xl/worksheets/sheet48582.xml"/>
  <Override ContentType="application/vnd.openxmlformats-officedocument.spreadsheetml.worksheet+xml" PartName="/xl/worksheets/sheet48583.xml"/>
  <Override ContentType="application/vnd.openxmlformats-officedocument.spreadsheetml.worksheet+xml" PartName="/xl/worksheets/sheet48584.xml"/>
  <Override ContentType="application/vnd.openxmlformats-officedocument.spreadsheetml.worksheet+xml" PartName="/xl/worksheets/sheet48585.xml"/>
  <Override ContentType="application/vnd.openxmlformats-officedocument.spreadsheetml.worksheet+xml" PartName="/xl/worksheets/sheet48586.xml"/>
  <Override ContentType="application/vnd.openxmlformats-officedocument.spreadsheetml.worksheet+xml" PartName="/xl/worksheets/sheet48587.xml"/>
  <Override ContentType="application/vnd.openxmlformats-officedocument.spreadsheetml.worksheet+xml" PartName="/xl/worksheets/sheet48588.xml"/>
  <Override ContentType="application/vnd.openxmlformats-officedocument.spreadsheetml.worksheet+xml" PartName="/xl/worksheets/sheet48589.xml"/>
  <Override ContentType="application/vnd.openxmlformats-officedocument.spreadsheetml.worksheet+xml" PartName="/xl/worksheets/sheet48590.xml"/>
  <Override ContentType="application/vnd.openxmlformats-officedocument.spreadsheetml.worksheet+xml" PartName="/xl/worksheets/sheet48591.xml"/>
  <Override ContentType="application/vnd.openxmlformats-officedocument.spreadsheetml.worksheet+xml" PartName="/xl/worksheets/sheet48592.xml"/>
  <Override ContentType="application/vnd.openxmlformats-officedocument.spreadsheetml.worksheet+xml" PartName="/xl/worksheets/sheet48593.xml"/>
  <Override ContentType="application/vnd.openxmlformats-officedocument.spreadsheetml.worksheet+xml" PartName="/xl/worksheets/sheet48594.xml"/>
  <Override ContentType="application/vnd.openxmlformats-officedocument.spreadsheetml.worksheet+xml" PartName="/xl/worksheets/sheet48595.xml"/>
  <Override ContentType="application/vnd.openxmlformats-officedocument.spreadsheetml.worksheet+xml" PartName="/xl/worksheets/sheet48596.xml"/>
  <Override ContentType="application/vnd.openxmlformats-officedocument.spreadsheetml.worksheet+xml" PartName="/xl/worksheets/sheet48597.xml"/>
  <Override ContentType="application/vnd.openxmlformats-officedocument.spreadsheetml.worksheet+xml" PartName="/xl/worksheets/sheet48598.xml"/>
  <Override ContentType="application/vnd.openxmlformats-officedocument.spreadsheetml.worksheet+xml" PartName="/xl/worksheets/sheet48599.xml"/>
  <Override ContentType="application/vnd.openxmlformats-officedocument.spreadsheetml.worksheet+xml" PartName="/xl/worksheets/sheet48600.xml"/>
  <Override ContentType="application/vnd.openxmlformats-officedocument.spreadsheetml.worksheet+xml" PartName="/xl/worksheets/sheet48601.xml"/>
  <Override ContentType="application/vnd.openxmlformats-officedocument.spreadsheetml.worksheet+xml" PartName="/xl/worksheets/sheet48602.xml"/>
  <Override ContentType="application/vnd.openxmlformats-officedocument.spreadsheetml.worksheet+xml" PartName="/xl/worksheets/sheet48603.xml"/>
  <Override ContentType="application/vnd.openxmlformats-officedocument.spreadsheetml.worksheet+xml" PartName="/xl/worksheets/sheet48604.xml"/>
  <Override ContentType="application/vnd.openxmlformats-officedocument.spreadsheetml.worksheet+xml" PartName="/xl/worksheets/sheet48605.xml"/>
  <Override ContentType="application/vnd.openxmlformats-officedocument.spreadsheetml.worksheet+xml" PartName="/xl/worksheets/sheet48606.xml"/>
  <Override ContentType="application/vnd.openxmlformats-officedocument.spreadsheetml.worksheet+xml" PartName="/xl/worksheets/sheet48607.xml"/>
  <Override ContentType="application/vnd.openxmlformats-officedocument.spreadsheetml.worksheet+xml" PartName="/xl/worksheets/sheet48608.xml"/>
  <Override ContentType="application/vnd.openxmlformats-officedocument.spreadsheetml.worksheet+xml" PartName="/xl/worksheets/sheet48609.xml"/>
  <Override ContentType="application/vnd.openxmlformats-officedocument.spreadsheetml.worksheet+xml" PartName="/xl/worksheets/sheet48610.xml"/>
  <Override ContentType="application/vnd.openxmlformats-officedocument.spreadsheetml.worksheet+xml" PartName="/xl/worksheets/sheet48611.xml"/>
  <Override ContentType="application/vnd.openxmlformats-officedocument.spreadsheetml.worksheet+xml" PartName="/xl/worksheets/sheet48612.xml"/>
  <Override ContentType="application/vnd.openxmlformats-officedocument.spreadsheetml.worksheet+xml" PartName="/xl/worksheets/sheet48613.xml"/>
  <Override ContentType="application/vnd.openxmlformats-officedocument.spreadsheetml.worksheet+xml" PartName="/xl/worksheets/sheet48614.xml"/>
  <Override ContentType="application/vnd.openxmlformats-officedocument.spreadsheetml.worksheet+xml" PartName="/xl/worksheets/sheet48615.xml"/>
  <Override ContentType="application/vnd.openxmlformats-officedocument.spreadsheetml.worksheet+xml" PartName="/xl/worksheets/sheet48616.xml"/>
  <Override ContentType="application/vnd.openxmlformats-officedocument.spreadsheetml.worksheet+xml" PartName="/xl/worksheets/sheet48617.xml"/>
  <Override ContentType="application/vnd.openxmlformats-officedocument.spreadsheetml.worksheet+xml" PartName="/xl/worksheets/sheet48618.xml"/>
  <Override ContentType="application/vnd.openxmlformats-officedocument.spreadsheetml.worksheet+xml" PartName="/xl/worksheets/sheet48619.xml"/>
  <Override ContentType="application/vnd.openxmlformats-officedocument.spreadsheetml.worksheet+xml" PartName="/xl/worksheets/sheet48620.xml"/>
  <Override ContentType="application/vnd.openxmlformats-officedocument.spreadsheetml.worksheet+xml" PartName="/xl/worksheets/sheet48621.xml"/>
  <Override ContentType="application/vnd.openxmlformats-officedocument.spreadsheetml.worksheet+xml" PartName="/xl/worksheets/sheet48622.xml"/>
  <Override ContentType="application/vnd.openxmlformats-officedocument.spreadsheetml.worksheet+xml" PartName="/xl/worksheets/sheet48623.xml"/>
  <Override ContentType="application/vnd.openxmlformats-officedocument.spreadsheetml.worksheet+xml" PartName="/xl/worksheets/sheet48624.xml"/>
  <Override ContentType="application/vnd.openxmlformats-officedocument.spreadsheetml.worksheet+xml" PartName="/xl/worksheets/sheet48625.xml"/>
  <Override ContentType="application/vnd.openxmlformats-officedocument.spreadsheetml.worksheet+xml" PartName="/xl/worksheets/sheet48626.xml"/>
  <Override ContentType="application/vnd.openxmlformats-officedocument.spreadsheetml.worksheet+xml" PartName="/xl/worksheets/sheet48627.xml"/>
  <Override ContentType="application/vnd.openxmlformats-officedocument.spreadsheetml.worksheet+xml" PartName="/xl/worksheets/sheet48628.xml"/>
  <Override ContentType="application/vnd.openxmlformats-officedocument.spreadsheetml.worksheet+xml" PartName="/xl/worksheets/sheet48629.xml"/>
  <Override ContentType="application/vnd.openxmlformats-officedocument.spreadsheetml.worksheet+xml" PartName="/xl/worksheets/sheet48630.xml"/>
  <Override ContentType="application/vnd.openxmlformats-officedocument.spreadsheetml.worksheet+xml" PartName="/xl/worksheets/sheet48631.xml"/>
  <Override ContentType="application/vnd.openxmlformats-officedocument.spreadsheetml.worksheet+xml" PartName="/xl/worksheets/sheet48632.xml"/>
  <Override ContentType="application/vnd.openxmlformats-officedocument.spreadsheetml.worksheet+xml" PartName="/xl/worksheets/sheet48633.xml"/>
  <Override ContentType="application/vnd.openxmlformats-officedocument.spreadsheetml.worksheet+xml" PartName="/xl/worksheets/sheet48634.xml"/>
  <Override ContentType="application/vnd.openxmlformats-officedocument.spreadsheetml.worksheet+xml" PartName="/xl/worksheets/sheet48635.xml"/>
  <Override ContentType="application/vnd.openxmlformats-officedocument.spreadsheetml.worksheet+xml" PartName="/xl/worksheets/sheet48636.xml"/>
  <Override ContentType="application/vnd.openxmlformats-officedocument.spreadsheetml.worksheet+xml" PartName="/xl/worksheets/sheet48637.xml"/>
  <Override ContentType="application/vnd.openxmlformats-officedocument.spreadsheetml.worksheet+xml" PartName="/xl/worksheets/sheet48638.xml"/>
  <Override ContentType="application/vnd.openxmlformats-officedocument.spreadsheetml.worksheet+xml" PartName="/xl/worksheets/sheet48639.xml"/>
  <Override ContentType="application/vnd.openxmlformats-officedocument.spreadsheetml.worksheet+xml" PartName="/xl/worksheets/sheet48640.xml"/>
  <Override ContentType="application/vnd.openxmlformats-officedocument.spreadsheetml.worksheet+xml" PartName="/xl/worksheets/sheet48641.xml"/>
  <Override ContentType="application/vnd.openxmlformats-officedocument.spreadsheetml.worksheet+xml" PartName="/xl/worksheets/sheet48642.xml"/>
  <Override ContentType="application/vnd.openxmlformats-officedocument.spreadsheetml.worksheet+xml" PartName="/xl/worksheets/sheet48643.xml"/>
  <Override ContentType="application/vnd.openxmlformats-officedocument.spreadsheetml.worksheet+xml" PartName="/xl/worksheets/sheet48644.xml"/>
  <Override ContentType="application/vnd.openxmlformats-officedocument.spreadsheetml.worksheet+xml" PartName="/xl/worksheets/sheet48645.xml"/>
  <Override ContentType="application/vnd.openxmlformats-officedocument.spreadsheetml.worksheet+xml" PartName="/xl/worksheets/sheet48646.xml"/>
  <Override ContentType="application/vnd.openxmlformats-officedocument.spreadsheetml.worksheet+xml" PartName="/xl/worksheets/sheet48647.xml"/>
  <Override ContentType="application/vnd.openxmlformats-officedocument.spreadsheetml.worksheet+xml" PartName="/xl/worksheets/sheet48648.xml"/>
  <Override ContentType="application/vnd.openxmlformats-officedocument.spreadsheetml.worksheet+xml" PartName="/xl/worksheets/sheet48649.xml"/>
  <Override ContentType="application/vnd.openxmlformats-officedocument.spreadsheetml.worksheet+xml" PartName="/xl/worksheets/sheet48650.xml"/>
  <Override ContentType="application/vnd.openxmlformats-officedocument.spreadsheetml.worksheet+xml" PartName="/xl/worksheets/sheet48651.xml"/>
  <Override ContentType="application/vnd.openxmlformats-officedocument.spreadsheetml.worksheet+xml" PartName="/xl/worksheets/sheet48652.xml"/>
  <Override ContentType="application/vnd.openxmlformats-officedocument.spreadsheetml.worksheet+xml" PartName="/xl/worksheets/sheet48653.xml"/>
  <Override ContentType="application/vnd.openxmlformats-officedocument.spreadsheetml.worksheet+xml" PartName="/xl/worksheets/sheet48654.xml"/>
  <Override ContentType="application/vnd.openxmlformats-officedocument.spreadsheetml.worksheet+xml" PartName="/xl/worksheets/sheet48655.xml"/>
  <Override ContentType="application/vnd.openxmlformats-officedocument.spreadsheetml.worksheet+xml" PartName="/xl/worksheets/sheet48656.xml"/>
  <Override ContentType="application/vnd.openxmlformats-officedocument.spreadsheetml.worksheet+xml" PartName="/xl/worksheets/sheet48657.xml"/>
  <Override ContentType="application/vnd.openxmlformats-officedocument.spreadsheetml.worksheet+xml" PartName="/xl/worksheets/sheet48658.xml"/>
  <Override ContentType="application/vnd.openxmlformats-officedocument.spreadsheetml.worksheet+xml" PartName="/xl/worksheets/sheet48659.xml"/>
  <Override ContentType="application/vnd.openxmlformats-officedocument.spreadsheetml.worksheet+xml" PartName="/xl/worksheets/sheet48660.xml"/>
  <Override ContentType="application/vnd.openxmlformats-officedocument.spreadsheetml.worksheet+xml" PartName="/xl/worksheets/sheet48661.xml"/>
  <Override ContentType="application/vnd.openxmlformats-officedocument.spreadsheetml.worksheet+xml" PartName="/xl/worksheets/sheet48662.xml"/>
  <Override ContentType="application/vnd.openxmlformats-officedocument.spreadsheetml.worksheet+xml" PartName="/xl/worksheets/sheet48663.xml"/>
  <Override ContentType="application/vnd.openxmlformats-officedocument.spreadsheetml.worksheet+xml" PartName="/xl/worksheets/sheet48664.xml"/>
  <Override ContentType="application/vnd.openxmlformats-officedocument.spreadsheetml.worksheet+xml" PartName="/xl/worksheets/sheet48665.xml"/>
  <Override ContentType="application/vnd.openxmlformats-officedocument.spreadsheetml.worksheet+xml" PartName="/xl/worksheets/sheet48666.xml"/>
  <Override ContentType="application/vnd.openxmlformats-officedocument.spreadsheetml.worksheet+xml" PartName="/xl/worksheets/sheet48667.xml"/>
  <Override ContentType="application/vnd.openxmlformats-officedocument.spreadsheetml.worksheet+xml" PartName="/xl/worksheets/sheet48668.xml"/>
  <Override ContentType="application/vnd.openxmlformats-officedocument.spreadsheetml.worksheet+xml" PartName="/xl/worksheets/sheet48669.xml"/>
  <Override ContentType="application/vnd.openxmlformats-officedocument.spreadsheetml.worksheet+xml" PartName="/xl/worksheets/sheet48670.xml"/>
  <Override ContentType="application/vnd.openxmlformats-officedocument.spreadsheetml.worksheet+xml" PartName="/xl/worksheets/sheet48671.xml"/>
  <Override ContentType="application/vnd.openxmlformats-officedocument.spreadsheetml.worksheet+xml" PartName="/xl/worksheets/sheet48672.xml"/>
  <Override ContentType="application/vnd.openxmlformats-officedocument.spreadsheetml.worksheet+xml" PartName="/xl/worksheets/sheet48673.xml"/>
  <Override ContentType="application/vnd.openxmlformats-officedocument.spreadsheetml.worksheet+xml" PartName="/xl/worksheets/sheet48674.xml"/>
  <Override ContentType="application/vnd.openxmlformats-officedocument.spreadsheetml.worksheet+xml" PartName="/xl/worksheets/sheet48675.xml"/>
  <Override ContentType="application/vnd.openxmlformats-officedocument.spreadsheetml.worksheet+xml" PartName="/xl/worksheets/sheet48676.xml"/>
  <Override ContentType="application/vnd.openxmlformats-officedocument.spreadsheetml.worksheet+xml" PartName="/xl/worksheets/sheet48677.xml"/>
  <Override ContentType="application/vnd.openxmlformats-officedocument.spreadsheetml.worksheet+xml" PartName="/xl/worksheets/sheet48678.xml"/>
  <Override ContentType="application/vnd.openxmlformats-officedocument.spreadsheetml.worksheet+xml" PartName="/xl/worksheets/sheet48679.xml"/>
  <Override ContentType="application/vnd.openxmlformats-officedocument.spreadsheetml.worksheet+xml" PartName="/xl/worksheets/sheet48680.xml"/>
  <Override ContentType="application/vnd.openxmlformats-officedocument.spreadsheetml.worksheet+xml" PartName="/xl/worksheets/sheet48681.xml"/>
  <Override ContentType="application/vnd.openxmlformats-officedocument.spreadsheetml.worksheet+xml" PartName="/xl/worksheets/sheet48682.xml"/>
  <Override ContentType="application/vnd.openxmlformats-officedocument.spreadsheetml.worksheet+xml" PartName="/xl/worksheets/sheet48683.xml"/>
  <Override ContentType="application/vnd.openxmlformats-officedocument.spreadsheetml.worksheet+xml" PartName="/xl/worksheets/sheet48684.xml"/>
  <Override ContentType="application/vnd.openxmlformats-officedocument.spreadsheetml.worksheet+xml" PartName="/xl/worksheets/sheet48685.xml"/>
  <Override ContentType="application/vnd.openxmlformats-officedocument.spreadsheetml.worksheet+xml" PartName="/xl/worksheets/sheet48686.xml"/>
  <Override ContentType="application/vnd.openxmlformats-officedocument.spreadsheetml.worksheet+xml" PartName="/xl/worksheets/sheet48687.xml"/>
  <Override ContentType="application/vnd.openxmlformats-officedocument.spreadsheetml.worksheet+xml" PartName="/xl/worksheets/sheet48688.xml"/>
  <Override ContentType="application/vnd.openxmlformats-officedocument.spreadsheetml.worksheet+xml" PartName="/xl/worksheets/sheet48689.xml"/>
  <Override ContentType="application/vnd.openxmlformats-officedocument.spreadsheetml.worksheet+xml" PartName="/xl/worksheets/sheet48690.xml"/>
  <Override ContentType="application/vnd.openxmlformats-officedocument.spreadsheetml.worksheet+xml" PartName="/xl/worksheets/sheet48691.xml"/>
  <Override ContentType="application/vnd.openxmlformats-officedocument.spreadsheetml.worksheet+xml" PartName="/xl/worksheets/sheet48692.xml"/>
  <Override ContentType="application/vnd.openxmlformats-officedocument.spreadsheetml.worksheet+xml" PartName="/xl/worksheets/sheet48693.xml"/>
  <Override ContentType="application/vnd.openxmlformats-officedocument.spreadsheetml.worksheet+xml" PartName="/xl/worksheets/sheet48694.xml"/>
  <Override ContentType="application/vnd.openxmlformats-officedocument.spreadsheetml.worksheet+xml" PartName="/xl/worksheets/sheet48695.xml"/>
  <Override ContentType="application/vnd.openxmlformats-officedocument.spreadsheetml.worksheet+xml" PartName="/xl/worksheets/sheet48696.xml"/>
  <Override ContentType="application/vnd.openxmlformats-officedocument.spreadsheetml.worksheet+xml" PartName="/xl/worksheets/sheet48697.xml"/>
  <Override ContentType="application/vnd.openxmlformats-officedocument.spreadsheetml.worksheet+xml" PartName="/xl/worksheets/sheet48698.xml"/>
  <Override ContentType="application/vnd.openxmlformats-officedocument.spreadsheetml.worksheet+xml" PartName="/xl/worksheets/sheet48699.xml"/>
  <Override ContentType="application/vnd.openxmlformats-officedocument.spreadsheetml.worksheet+xml" PartName="/xl/worksheets/sheet48700.xml"/>
  <Override ContentType="application/vnd.openxmlformats-officedocument.spreadsheetml.worksheet+xml" PartName="/xl/worksheets/sheet48701.xml"/>
  <Override ContentType="application/vnd.openxmlformats-officedocument.spreadsheetml.worksheet+xml" PartName="/xl/worksheets/sheet48702.xml"/>
  <Override ContentType="application/vnd.openxmlformats-officedocument.spreadsheetml.worksheet+xml" PartName="/xl/worksheets/sheet48703.xml"/>
  <Override ContentType="application/vnd.openxmlformats-officedocument.spreadsheetml.worksheet+xml" PartName="/xl/worksheets/sheet48704.xml"/>
  <Override ContentType="application/vnd.openxmlformats-officedocument.spreadsheetml.worksheet+xml" PartName="/xl/worksheets/sheet48705.xml"/>
  <Override ContentType="application/vnd.openxmlformats-officedocument.spreadsheetml.worksheet+xml" PartName="/xl/worksheets/sheet48706.xml"/>
  <Override ContentType="application/vnd.openxmlformats-officedocument.spreadsheetml.worksheet+xml" PartName="/xl/worksheets/sheet48707.xml"/>
  <Override ContentType="application/vnd.openxmlformats-officedocument.spreadsheetml.worksheet+xml" PartName="/xl/worksheets/sheet48708.xml"/>
  <Override ContentType="application/vnd.openxmlformats-officedocument.spreadsheetml.worksheet+xml" PartName="/xl/worksheets/sheet48709.xml"/>
  <Override ContentType="application/vnd.openxmlformats-officedocument.spreadsheetml.worksheet+xml" PartName="/xl/worksheets/sheet48710.xml"/>
  <Override ContentType="application/vnd.openxmlformats-officedocument.spreadsheetml.worksheet+xml" PartName="/xl/worksheets/sheet48711.xml"/>
  <Override ContentType="application/vnd.openxmlformats-officedocument.spreadsheetml.worksheet+xml" PartName="/xl/worksheets/sheet48712.xml"/>
  <Override ContentType="application/vnd.openxmlformats-officedocument.spreadsheetml.worksheet+xml" PartName="/xl/worksheets/sheet48713.xml"/>
  <Override ContentType="application/vnd.openxmlformats-officedocument.spreadsheetml.worksheet+xml" PartName="/xl/worksheets/sheet48714.xml"/>
  <Override ContentType="application/vnd.openxmlformats-officedocument.spreadsheetml.worksheet+xml" PartName="/xl/worksheets/sheet48715.xml"/>
  <Override ContentType="application/vnd.openxmlformats-officedocument.spreadsheetml.worksheet+xml" PartName="/xl/worksheets/sheet48716.xml"/>
  <Override ContentType="application/vnd.openxmlformats-officedocument.spreadsheetml.worksheet+xml" PartName="/xl/worksheets/sheet48717.xml"/>
  <Override ContentType="application/vnd.openxmlformats-officedocument.spreadsheetml.worksheet+xml" PartName="/xl/worksheets/sheet48718.xml"/>
  <Override ContentType="application/vnd.openxmlformats-officedocument.spreadsheetml.worksheet+xml" PartName="/xl/worksheets/sheet48719.xml"/>
  <Override ContentType="application/vnd.openxmlformats-officedocument.spreadsheetml.worksheet+xml" PartName="/xl/worksheets/sheet48720.xml"/>
  <Override ContentType="application/vnd.openxmlformats-officedocument.spreadsheetml.worksheet+xml" PartName="/xl/worksheets/sheet48721.xml"/>
  <Override ContentType="application/vnd.openxmlformats-officedocument.spreadsheetml.worksheet+xml" PartName="/xl/worksheets/sheet48722.xml"/>
  <Override ContentType="application/vnd.openxmlformats-officedocument.spreadsheetml.worksheet+xml" PartName="/xl/worksheets/sheet48723.xml"/>
  <Override ContentType="application/vnd.openxmlformats-officedocument.spreadsheetml.worksheet+xml" PartName="/xl/worksheets/sheet48724.xml"/>
  <Override ContentType="application/vnd.openxmlformats-officedocument.spreadsheetml.worksheet+xml" PartName="/xl/worksheets/sheet48725.xml"/>
  <Override ContentType="application/vnd.openxmlformats-officedocument.spreadsheetml.worksheet+xml" PartName="/xl/worksheets/sheet48726.xml"/>
  <Override ContentType="application/vnd.openxmlformats-officedocument.spreadsheetml.worksheet+xml" PartName="/xl/worksheets/sheet48727.xml"/>
  <Override ContentType="application/vnd.openxmlformats-officedocument.spreadsheetml.worksheet+xml" PartName="/xl/worksheets/sheet48728.xml"/>
  <Override ContentType="application/vnd.openxmlformats-officedocument.spreadsheetml.worksheet+xml" PartName="/xl/worksheets/sheet48729.xml"/>
  <Override ContentType="application/vnd.openxmlformats-officedocument.spreadsheetml.worksheet+xml" PartName="/xl/worksheets/sheet48730.xml"/>
  <Override ContentType="application/vnd.openxmlformats-officedocument.spreadsheetml.worksheet+xml" PartName="/xl/worksheets/sheet48731.xml"/>
  <Override ContentType="application/vnd.openxmlformats-officedocument.spreadsheetml.worksheet+xml" PartName="/xl/worksheets/sheet48732.xml"/>
  <Override ContentType="application/vnd.openxmlformats-officedocument.spreadsheetml.worksheet+xml" PartName="/xl/worksheets/sheet48733.xml"/>
  <Override ContentType="application/vnd.openxmlformats-officedocument.spreadsheetml.worksheet+xml" PartName="/xl/worksheets/sheet48734.xml"/>
  <Override ContentType="application/vnd.openxmlformats-officedocument.spreadsheetml.worksheet+xml" PartName="/xl/worksheets/sheet48735.xml"/>
  <Override ContentType="application/vnd.openxmlformats-officedocument.spreadsheetml.worksheet+xml" PartName="/xl/worksheets/sheet48736.xml"/>
  <Override ContentType="application/vnd.openxmlformats-officedocument.spreadsheetml.worksheet+xml" PartName="/xl/worksheets/sheet48737.xml"/>
  <Override ContentType="application/vnd.openxmlformats-officedocument.spreadsheetml.worksheet+xml" PartName="/xl/worksheets/sheet48738.xml"/>
  <Override ContentType="application/vnd.openxmlformats-officedocument.spreadsheetml.worksheet+xml" PartName="/xl/worksheets/sheet48739.xml"/>
  <Override ContentType="application/vnd.openxmlformats-officedocument.spreadsheetml.worksheet+xml" PartName="/xl/worksheets/sheet48740.xml"/>
  <Override ContentType="application/vnd.openxmlformats-officedocument.spreadsheetml.worksheet+xml" PartName="/xl/worksheets/sheet48741.xml"/>
  <Override ContentType="application/vnd.openxmlformats-officedocument.spreadsheetml.worksheet+xml" PartName="/xl/worksheets/sheet48742.xml"/>
  <Override ContentType="application/vnd.openxmlformats-officedocument.spreadsheetml.worksheet+xml" PartName="/xl/worksheets/sheet48743.xml"/>
  <Override ContentType="application/vnd.openxmlformats-officedocument.spreadsheetml.worksheet+xml" PartName="/xl/worksheets/sheet48744.xml"/>
  <Override ContentType="application/vnd.openxmlformats-officedocument.spreadsheetml.worksheet+xml" PartName="/xl/worksheets/sheet48745.xml"/>
  <Override ContentType="application/vnd.openxmlformats-officedocument.spreadsheetml.worksheet+xml" PartName="/xl/worksheets/sheet48746.xml"/>
  <Override ContentType="application/vnd.openxmlformats-officedocument.spreadsheetml.worksheet+xml" PartName="/xl/worksheets/sheet48747.xml"/>
  <Override ContentType="application/vnd.openxmlformats-officedocument.spreadsheetml.worksheet+xml" PartName="/xl/worksheets/sheet48748.xml"/>
  <Override ContentType="application/vnd.openxmlformats-officedocument.spreadsheetml.worksheet+xml" PartName="/xl/worksheets/sheet48749.xml"/>
  <Override ContentType="application/vnd.openxmlformats-officedocument.spreadsheetml.worksheet+xml" PartName="/xl/worksheets/sheet48750.xml"/>
  <Override ContentType="application/vnd.openxmlformats-officedocument.spreadsheetml.worksheet+xml" PartName="/xl/worksheets/sheet48751.xml"/>
  <Override ContentType="application/vnd.openxmlformats-officedocument.spreadsheetml.worksheet+xml" PartName="/xl/worksheets/sheet48752.xml"/>
  <Override ContentType="application/vnd.openxmlformats-officedocument.spreadsheetml.worksheet+xml" PartName="/xl/worksheets/sheet48753.xml"/>
  <Override ContentType="application/vnd.openxmlformats-officedocument.spreadsheetml.worksheet+xml" PartName="/xl/worksheets/sheet48754.xml"/>
  <Override ContentType="application/vnd.openxmlformats-officedocument.spreadsheetml.worksheet+xml" PartName="/xl/worksheets/sheet48755.xml"/>
  <Override ContentType="application/vnd.openxmlformats-officedocument.spreadsheetml.worksheet+xml" PartName="/xl/worksheets/sheet48756.xml"/>
  <Override ContentType="application/vnd.openxmlformats-officedocument.spreadsheetml.worksheet+xml" PartName="/xl/worksheets/sheet48757.xml"/>
  <Override ContentType="application/vnd.openxmlformats-officedocument.spreadsheetml.worksheet+xml" PartName="/xl/worksheets/sheet48758.xml"/>
  <Override ContentType="application/vnd.openxmlformats-officedocument.spreadsheetml.worksheet+xml" PartName="/xl/worksheets/sheet48759.xml"/>
  <Override ContentType="application/vnd.openxmlformats-officedocument.spreadsheetml.worksheet+xml" PartName="/xl/worksheets/sheet48760.xml"/>
  <Override ContentType="application/vnd.openxmlformats-officedocument.spreadsheetml.worksheet+xml" PartName="/xl/worksheets/sheet48761.xml"/>
  <Override ContentType="application/vnd.openxmlformats-officedocument.spreadsheetml.worksheet+xml" PartName="/xl/worksheets/sheet48762.xml"/>
  <Override ContentType="application/vnd.openxmlformats-officedocument.spreadsheetml.worksheet+xml" PartName="/xl/worksheets/sheet48763.xml"/>
  <Override ContentType="application/vnd.openxmlformats-officedocument.spreadsheetml.worksheet+xml" PartName="/xl/worksheets/sheet48764.xml"/>
  <Override ContentType="application/vnd.openxmlformats-officedocument.spreadsheetml.worksheet+xml" PartName="/xl/worksheets/sheet48765.xml"/>
  <Override ContentType="application/vnd.openxmlformats-officedocument.spreadsheetml.worksheet+xml" PartName="/xl/worksheets/sheet48766.xml"/>
  <Override ContentType="application/vnd.openxmlformats-officedocument.spreadsheetml.worksheet+xml" PartName="/xl/worksheets/sheet48767.xml"/>
  <Override ContentType="application/vnd.openxmlformats-officedocument.spreadsheetml.worksheet+xml" PartName="/xl/worksheets/sheet48768.xml"/>
  <Override ContentType="application/vnd.openxmlformats-officedocument.spreadsheetml.worksheet+xml" PartName="/xl/worksheets/sheet48769.xml"/>
  <Override ContentType="application/vnd.openxmlformats-officedocument.spreadsheetml.worksheet+xml" PartName="/xl/worksheets/sheet48770.xml"/>
  <Override ContentType="application/vnd.openxmlformats-officedocument.spreadsheetml.worksheet+xml" PartName="/xl/worksheets/sheet48771.xml"/>
  <Override ContentType="application/vnd.openxmlformats-officedocument.spreadsheetml.worksheet+xml" PartName="/xl/worksheets/sheet48772.xml"/>
  <Override ContentType="application/vnd.openxmlformats-officedocument.spreadsheetml.worksheet+xml" PartName="/xl/worksheets/sheet48773.xml"/>
  <Override ContentType="application/vnd.openxmlformats-officedocument.spreadsheetml.worksheet+xml" PartName="/xl/worksheets/sheet48774.xml"/>
  <Override ContentType="application/vnd.openxmlformats-officedocument.spreadsheetml.worksheet+xml" PartName="/xl/worksheets/sheet48775.xml"/>
  <Override ContentType="application/vnd.openxmlformats-officedocument.spreadsheetml.worksheet+xml" PartName="/xl/worksheets/sheet48776.xml"/>
  <Override ContentType="application/vnd.openxmlformats-officedocument.spreadsheetml.worksheet+xml" PartName="/xl/worksheets/sheet48777.xml"/>
  <Override ContentType="application/vnd.openxmlformats-officedocument.spreadsheetml.worksheet+xml" PartName="/xl/worksheets/sheet48778.xml"/>
  <Override ContentType="application/vnd.openxmlformats-officedocument.spreadsheetml.worksheet+xml" PartName="/xl/worksheets/sheet48779.xml"/>
  <Override ContentType="application/vnd.openxmlformats-officedocument.spreadsheetml.worksheet+xml" PartName="/xl/worksheets/sheet48780.xml"/>
  <Override ContentType="application/vnd.openxmlformats-officedocument.spreadsheetml.worksheet+xml" PartName="/xl/worksheets/sheet48781.xml"/>
  <Override ContentType="application/vnd.openxmlformats-officedocument.spreadsheetml.worksheet+xml" PartName="/xl/worksheets/sheet48782.xml"/>
  <Override ContentType="application/vnd.openxmlformats-officedocument.spreadsheetml.worksheet+xml" PartName="/xl/worksheets/sheet48783.xml"/>
  <Override ContentType="application/vnd.openxmlformats-officedocument.spreadsheetml.worksheet+xml" PartName="/xl/worksheets/sheet48784.xml"/>
  <Override ContentType="application/vnd.openxmlformats-officedocument.spreadsheetml.worksheet+xml" PartName="/xl/worksheets/sheet48785.xml"/>
  <Override ContentType="application/vnd.openxmlformats-officedocument.spreadsheetml.worksheet+xml" PartName="/xl/worksheets/sheet48786.xml"/>
  <Override ContentType="application/vnd.openxmlformats-officedocument.spreadsheetml.worksheet+xml" PartName="/xl/worksheets/sheet48787.xml"/>
  <Override ContentType="application/vnd.openxmlformats-officedocument.spreadsheetml.worksheet+xml" PartName="/xl/worksheets/sheet48788.xml"/>
  <Override ContentType="application/vnd.openxmlformats-officedocument.spreadsheetml.worksheet+xml" PartName="/xl/worksheets/sheet48789.xml"/>
  <Override ContentType="application/vnd.openxmlformats-officedocument.spreadsheetml.worksheet+xml" PartName="/xl/worksheets/sheet48790.xml"/>
  <Override ContentType="application/vnd.openxmlformats-officedocument.spreadsheetml.worksheet+xml" PartName="/xl/worksheets/sheet48791.xml"/>
  <Override ContentType="application/vnd.openxmlformats-officedocument.spreadsheetml.worksheet+xml" PartName="/xl/worksheets/sheet48792.xml"/>
  <Override ContentType="application/vnd.openxmlformats-officedocument.spreadsheetml.worksheet+xml" PartName="/xl/worksheets/sheet48793.xml"/>
  <Override ContentType="application/vnd.openxmlformats-officedocument.spreadsheetml.worksheet+xml" PartName="/xl/worksheets/sheet48794.xml"/>
  <Override ContentType="application/vnd.openxmlformats-officedocument.spreadsheetml.worksheet+xml" PartName="/xl/worksheets/sheet48795.xml"/>
  <Override ContentType="application/vnd.openxmlformats-officedocument.spreadsheetml.worksheet+xml" PartName="/xl/worksheets/sheet48796.xml"/>
  <Override ContentType="application/vnd.openxmlformats-officedocument.spreadsheetml.worksheet+xml" PartName="/xl/worksheets/sheet48797.xml"/>
  <Override ContentType="application/vnd.openxmlformats-officedocument.spreadsheetml.worksheet+xml" PartName="/xl/worksheets/sheet48798.xml"/>
  <Override ContentType="application/vnd.openxmlformats-officedocument.spreadsheetml.worksheet+xml" PartName="/xl/worksheets/sheet48799.xml"/>
  <Override ContentType="application/vnd.openxmlformats-officedocument.spreadsheetml.worksheet+xml" PartName="/xl/worksheets/sheet48800.xml"/>
  <Override ContentType="application/vnd.openxmlformats-officedocument.spreadsheetml.worksheet+xml" PartName="/xl/worksheets/sheet48801.xml"/>
  <Override ContentType="application/vnd.openxmlformats-officedocument.spreadsheetml.worksheet+xml" PartName="/xl/worksheets/sheet48802.xml"/>
  <Override ContentType="application/vnd.openxmlformats-officedocument.spreadsheetml.worksheet+xml" PartName="/xl/worksheets/sheet48803.xml"/>
  <Override ContentType="application/vnd.openxmlformats-officedocument.spreadsheetml.worksheet+xml" PartName="/xl/worksheets/sheet48804.xml"/>
  <Override ContentType="application/vnd.openxmlformats-officedocument.spreadsheetml.worksheet+xml" PartName="/xl/worksheets/sheet48805.xml"/>
  <Override ContentType="application/vnd.openxmlformats-officedocument.spreadsheetml.worksheet+xml" PartName="/xl/worksheets/sheet48806.xml"/>
  <Override ContentType="application/vnd.openxmlformats-officedocument.spreadsheetml.worksheet+xml" PartName="/xl/worksheets/sheet48807.xml"/>
  <Override ContentType="application/vnd.openxmlformats-officedocument.spreadsheetml.worksheet+xml" PartName="/xl/worksheets/sheet48808.xml"/>
  <Override ContentType="application/vnd.openxmlformats-officedocument.spreadsheetml.worksheet+xml" PartName="/xl/worksheets/sheet48809.xml"/>
  <Override ContentType="application/vnd.openxmlformats-officedocument.spreadsheetml.worksheet+xml" PartName="/xl/worksheets/sheet48810.xml"/>
  <Override ContentType="application/vnd.openxmlformats-officedocument.spreadsheetml.worksheet+xml" PartName="/xl/worksheets/sheet48811.xml"/>
  <Override ContentType="application/vnd.openxmlformats-officedocument.spreadsheetml.worksheet+xml" PartName="/xl/worksheets/sheet48812.xml"/>
  <Override ContentType="application/vnd.openxmlformats-officedocument.spreadsheetml.worksheet+xml" PartName="/xl/worksheets/sheet48813.xml"/>
  <Override ContentType="application/vnd.openxmlformats-officedocument.spreadsheetml.worksheet+xml" PartName="/xl/worksheets/sheet48814.xml"/>
  <Override ContentType="application/vnd.openxmlformats-officedocument.spreadsheetml.worksheet+xml" PartName="/xl/worksheets/sheet48815.xml"/>
  <Override ContentType="application/vnd.openxmlformats-officedocument.spreadsheetml.worksheet+xml" PartName="/xl/worksheets/sheet48816.xml"/>
  <Override ContentType="application/vnd.openxmlformats-officedocument.spreadsheetml.worksheet+xml" PartName="/xl/worksheets/sheet48817.xml"/>
  <Override ContentType="application/vnd.openxmlformats-officedocument.spreadsheetml.worksheet+xml" PartName="/xl/worksheets/sheet48818.xml"/>
  <Override ContentType="application/vnd.openxmlformats-officedocument.spreadsheetml.worksheet+xml" PartName="/xl/worksheets/sheet48819.xml"/>
  <Override ContentType="application/vnd.openxmlformats-officedocument.spreadsheetml.worksheet+xml" PartName="/xl/worksheets/sheet48820.xml"/>
  <Override ContentType="application/vnd.openxmlformats-officedocument.spreadsheetml.worksheet+xml" PartName="/xl/worksheets/sheet48821.xml"/>
  <Override ContentType="application/vnd.openxmlformats-officedocument.spreadsheetml.worksheet+xml" PartName="/xl/worksheets/sheet48822.xml"/>
  <Override ContentType="application/vnd.openxmlformats-officedocument.spreadsheetml.worksheet+xml" PartName="/xl/worksheets/sheet48823.xml"/>
  <Override ContentType="application/vnd.openxmlformats-officedocument.spreadsheetml.worksheet+xml" PartName="/xl/worksheets/sheet48824.xml"/>
  <Override ContentType="application/vnd.openxmlformats-officedocument.spreadsheetml.worksheet+xml" PartName="/xl/worksheets/sheet48825.xml"/>
  <Override ContentType="application/vnd.openxmlformats-officedocument.spreadsheetml.worksheet+xml" PartName="/xl/worksheets/sheet48826.xml"/>
  <Override ContentType="application/vnd.openxmlformats-officedocument.spreadsheetml.worksheet+xml" PartName="/xl/worksheets/sheet48827.xml"/>
  <Override ContentType="application/vnd.openxmlformats-officedocument.spreadsheetml.worksheet+xml" PartName="/xl/worksheets/sheet48828.xml"/>
  <Override ContentType="application/vnd.openxmlformats-officedocument.spreadsheetml.worksheet+xml" PartName="/xl/worksheets/sheet48829.xml"/>
  <Override ContentType="application/vnd.openxmlformats-officedocument.spreadsheetml.worksheet+xml" PartName="/xl/worksheets/sheet48830.xml"/>
  <Override ContentType="application/vnd.openxmlformats-officedocument.spreadsheetml.worksheet+xml" PartName="/xl/worksheets/sheet48831.xml"/>
  <Override ContentType="application/vnd.openxmlformats-officedocument.spreadsheetml.worksheet+xml" PartName="/xl/worksheets/sheet48832.xml"/>
  <Override ContentType="application/vnd.openxmlformats-officedocument.spreadsheetml.worksheet+xml" PartName="/xl/worksheets/sheet48833.xml"/>
  <Override ContentType="application/vnd.openxmlformats-officedocument.spreadsheetml.worksheet+xml" PartName="/xl/worksheets/sheet48834.xml"/>
  <Override ContentType="application/vnd.openxmlformats-officedocument.spreadsheetml.worksheet+xml" PartName="/xl/worksheets/sheet48835.xml"/>
  <Override ContentType="application/vnd.openxmlformats-officedocument.spreadsheetml.worksheet+xml" PartName="/xl/worksheets/sheet48836.xml"/>
  <Override ContentType="application/vnd.openxmlformats-officedocument.spreadsheetml.worksheet+xml" PartName="/xl/worksheets/sheet48837.xml"/>
  <Override ContentType="application/vnd.openxmlformats-officedocument.spreadsheetml.worksheet+xml" PartName="/xl/worksheets/sheet48838.xml"/>
  <Override ContentType="application/vnd.openxmlformats-officedocument.spreadsheetml.worksheet+xml" PartName="/xl/worksheets/sheet48839.xml"/>
  <Override ContentType="application/vnd.openxmlformats-officedocument.spreadsheetml.worksheet+xml" PartName="/xl/worksheets/sheet48840.xml"/>
  <Override ContentType="application/vnd.openxmlformats-officedocument.spreadsheetml.worksheet+xml" PartName="/xl/worksheets/sheet48841.xml"/>
  <Override ContentType="application/vnd.openxmlformats-officedocument.spreadsheetml.worksheet+xml" PartName="/xl/worksheets/sheet48842.xml"/>
  <Override ContentType="application/vnd.openxmlformats-officedocument.spreadsheetml.worksheet+xml" PartName="/xl/worksheets/sheet48843.xml"/>
  <Override ContentType="application/vnd.openxmlformats-officedocument.spreadsheetml.worksheet+xml" PartName="/xl/worksheets/sheet48844.xml"/>
  <Override ContentType="application/vnd.openxmlformats-officedocument.spreadsheetml.worksheet+xml" PartName="/xl/worksheets/sheet48845.xml"/>
  <Override ContentType="application/vnd.openxmlformats-officedocument.spreadsheetml.worksheet+xml" PartName="/xl/worksheets/sheet48846.xml"/>
  <Override ContentType="application/vnd.openxmlformats-officedocument.spreadsheetml.worksheet+xml" PartName="/xl/worksheets/sheet48847.xml"/>
  <Override ContentType="application/vnd.openxmlformats-officedocument.spreadsheetml.worksheet+xml" PartName="/xl/worksheets/sheet48848.xml"/>
  <Override ContentType="application/vnd.openxmlformats-officedocument.spreadsheetml.worksheet+xml" PartName="/xl/worksheets/sheet48849.xml"/>
  <Override ContentType="application/vnd.openxmlformats-officedocument.spreadsheetml.worksheet+xml" PartName="/xl/worksheets/sheet48850.xml"/>
  <Override ContentType="application/vnd.openxmlformats-officedocument.spreadsheetml.worksheet+xml" PartName="/xl/worksheets/sheet48851.xml"/>
  <Override ContentType="application/vnd.openxmlformats-officedocument.spreadsheetml.worksheet+xml" PartName="/xl/worksheets/sheet48852.xml"/>
  <Override ContentType="application/vnd.openxmlformats-officedocument.spreadsheetml.worksheet+xml" PartName="/xl/worksheets/sheet48853.xml"/>
  <Override ContentType="application/vnd.openxmlformats-officedocument.spreadsheetml.worksheet+xml" PartName="/xl/worksheets/sheet48854.xml"/>
  <Override ContentType="application/vnd.openxmlformats-officedocument.spreadsheetml.worksheet+xml" PartName="/xl/worksheets/sheet48855.xml"/>
  <Override ContentType="application/vnd.openxmlformats-officedocument.spreadsheetml.worksheet+xml" PartName="/xl/worksheets/sheet48856.xml"/>
  <Override ContentType="application/vnd.openxmlformats-officedocument.spreadsheetml.worksheet+xml" PartName="/xl/worksheets/sheet48857.xml"/>
  <Override ContentType="application/vnd.openxmlformats-officedocument.spreadsheetml.worksheet+xml" PartName="/xl/worksheets/sheet48858.xml"/>
  <Override ContentType="application/vnd.openxmlformats-officedocument.spreadsheetml.worksheet+xml" PartName="/xl/worksheets/sheet48859.xml"/>
  <Override ContentType="application/vnd.openxmlformats-officedocument.spreadsheetml.worksheet+xml" PartName="/xl/worksheets/sheet48860.xml"/>
  <Override ContentType="application/vnd.openxmlformats-officedocument.spreadsheetml.worksheet+xml" PartName="/xl/worksheets/sheet48861.xml"/>
  <Override ContentType="application/vnd.openxmlformats-officedocument.spreadsheetml.worksheet+xml" PartName="/xl/worksheets/sheet48862.xml"/>
  <Override ContentType="application/vnd.openxmlformats-officedocument.spreadsheetml.worksheet+xml" PartName="/xl/worksheets/sheet48863.xml"/>
  <Override ContentType="application/vnd.openxmlformats-officedocument.spreadsheetml.worksheet+xml" PartName="/xl/worksheets/sheet48864.xml"/>
  <Override ContentType="application/vnd.openxmlformats-officedocument.spreadsheetml.worksheet+xml" PartName="/xl/worksheets/sheet48865.xml"/>
  <Override ContentType="application/vnd.openxmlformats-officedocument.spreadsheetml.worksheet+xml" PartName="/xl/worksheets/sheet48866.xml"/>
  <Override ContentType="application/vnd.openxmlformats-officedocument.spreadsheetml.worksheet+xml" PartName="/xl/worksheets/sheet48867.xml"/>
  <Override ContentType="application/vnd.openxmlformats-officedocument.spreadsheetml.worksheet+xml" PartName="/xl/worksheets/sheet48868.xml"/>
  <Override ContentType="application/vnd.openxmlformats-officedocument.spreadsheetml.worksheet+xml" PartName="/xl/worksheets/sheet48869.xml"/>
  <Override ContentType="application/vnd.openxmlformats-officedocument.spreadsheetml.worksheet+xml" PartName="/xl/worksheets/sheet48870.xml"/>
  <Override ContentType="application/vnd.openxmlformats-officedocument.spreadsheetml.worksheet+xml" PartName="/xl/worksheets/sheet48871.xml"/>
  <Override ContentType="application/vnd.openxmlformats-officedocument.spreadsheetml.worksheet+xml" PartName="/xl/worksheets/sheet48872.xml"/>
  <Override ContentType="application/vnd.openxmlformats-officedocument.spreadsheetml.worksheet+xml" PartName="/xl/worksheets/sheet48873.xml"/>
  <Override ContentType="application/vnd.openxmlformats-officedocument.spreadsheetml.worksheet+xml" PartName="/xl/worksheets/sheet48874.xml"/>
  <Override ContentType="application/vnd.openxmlformats-officedocument.spreadsheetml.worksheet+xml" PartName="/xl/worksheets/sheet48875.xml"/>
  <Override ContentType="application/vnd.openxmlformats-officedocument.spreadsheetml.worksheet+xml" PartName="/xl/worksheets/sheet48876.xml"/>
  <Override ContentType="application/vnd.openxmlformats-officedocument.spreadsheetml.worksheet+xml" PartName="/xl/worksheets/sheet48877.xml"/>
  <Override ContentType="application/vnd.openxmlformats-officedocument.spreadsheetml.worksheet+xml" PartName="/xl/worksheets/sheet48878.xml"/>
  <Override ContentType="application/vnd.openxmlformats-officedocument.spreadsheetml.worksheet+xml" PartName="/xl/worksheets/sheet48879.xml"/>
  <Override ContentType="application/vnd.openxmlformats-officedocument.spreadsheetml.worksheet+xml" PartName="/xl/worksheets/sheet48880.xml"/>
  <Override ContentType="application/vnd.openxmlformats-officedocument.spreadsheetml.worksheet+xml" PartName="/xl/worksheets/sheet48881.xml"/>
  <Override ContentType="application/vnd.openxmlformats-officedocument.spreadsheetml.worksheet+xml" PartName="/xl/worksheets/sheet48882.xml"/>
  <Override ContentType="application/vnd.openxmlformats-officedocument.spreadsheetml.worksheet+xml" PartName="/xl/worksheets/sheet48883.xml"/>
  <Override ContentType="application/vnd.openxmlformats-officedocument.spreadsheetml.worksheet+xml" PartName="/xl/worksheets/sheet48884.xml"/>
  <Override ContentType="application/vnd.openxmlformats-officedocument.spreadsheetml.worksheet+xml" PartName="/xl/worksheets/sheet48885.xml"/>
  <Override ContentType="application/vnd.openxmlformats-officedocument.spreadsheetml.worksheet+xml" PartName="/xl/worksheets/sheet48886.xml"/>
  <Override ContentType="application/vnd.openxmlformats-officedocument.spreadsheetml.worksheet+xml" PartName="/xl/worksheets/sheet48887.xml"/>
  <Override ContentType="application/vnd.openxmlformats-officedocument.spreadsheetml.worksheet+xml" PartName="/xl/worksheets/sheet48888.xml"/>
  <Override ContentType="application/vnd.openxmlformats-officedocument.spreadsheetml.worksheet+xml" PartName="/xl/worksheets/sheet48889.xml"/>
  <Override ContentType="application/vnd.openxmlformats-officedocument.spreadsheetml.worksheet+xml" PartName="/xl/worksheets/sheet48890.xml"/>
  <Override ContentType="application/vnd.openxmlformats-officedocument.spreadsheetml.worksheet+xml" PartName="/xl/worksheets/sheet48891.xml"/>
  <Override ContentType="application/vnd.openxmlformats-officedocument.spreadsheetml.worksheet+xml" PartName="/xl/worksheets/sheet48892.xml"/>
  <Override ContentType="application/vnd.openxmlformats-officedocument.spreadsheetml.worksheet+xml" PartName="/xl/worksheets/sheet48893.xml"/>
  <Override ContentType="application/vnd.openxmlformats-officedocument.spreadsheetml.worksheet+xml" PartName="/xl/worksheets/sheet48894.xml"/>
  <Override ContentType="application/vnd.openxmlformats-officedocument.spreadsheetml.worksheet+xml" PartName="/xl/worksheets/sheet48895.xml"/>
  <Override ContentType="application/vnd.openxmlformats-officedocument.spreadsheetml.worksheet+xml" PartName="/xl/worksheets/sheet48896.xml"/>
  <Override ContentType="application/vnd.openxmlformats-officedocument.spreadsheetml.worksheet+xml" PartName="/xl/worksheets/sheet48897.xml"/>
  <Override ContentType="application/vnd.openxmlformats-officedocument.spreadsheetml.worksheet+xml" PartName="/xl/worksheets/sheet48898.xml"/>
  <Override ContentType="application/vnd.openxmlformats-officedocument.spreadsheetml.worksheet+xml" PartName="/xl/worksheets/sheet48899.xml"/>
  <Override ContentType="application/vnd.openxmlformats-officedocument.spreadsheetml.worksheet+xml" PartName="/xl/worksheets/sheet48900.xml"/>
  <Override ContentType="application/vnd.openxmlformats-officedocument.spreadsheetml.worksheet+xml" PartName="/xl/worksheets/sheet48901.xml"/>
  <Override ContentType="application/vnd.openxmlformats-officedocument.spreadsheetml.worksheet+xml" PartName="/xl/worksheets/sheet48902.xml"/>
  <Override ContentType="application/vnd.openxmlformats-officedocument.spreadsheetml.worksheet+xml" PartName="/xl/worksheets/sheet48903.xml"/>
  <Override ContentType="application/vnd.openxmlformats-officedocument.spreadsheetml.worksheet+xml" PartName="/xl/worksheets/sheet48904.xml"/>
  <Override ContentType="application/vnd.openxmlformats-officedocument.spreadsheetml.worksheet+xml" PartName="/xl/worksheets/sheet48905.xml"/>
  <Override ContentType="application/vnd.openxmlformats-officedocument.spreadsheetml.worksheet+xml" PartName="/xl/worksheets/sheet48906.xml"/>
  <Override ContentType="application/vnd.openxmlformats-officedocument.spreadsheetml.worksheet+xml" PartName="/xl/worksheets/sheet48907.xml"/>
  <Override ContentType="application/vnd.openxmlformats-officedocument.spreadsheetml.worksheet+xml" PartName="/xl/worksheets/sheet48908.xml"/>
  <Override ContentType="application/vnd.openxmlformats-officedocument.spreadsheetml.worksheet+xml" PartName="/xl/worksheets/sheet48909.xml"/>
  <Override ContentType="application/vnd.openxmlformats-officedocument.spreadsheetml.worksheet+xml" PartName="/xl/worksheets/sheet48910.xml"/>
  <Override ContentType="application/vnd.openxmlformats-officedocument.spreadsheetml.worksheet+xml" PartName="/xl/worksheets/sheet48911.xml"/>
  <Override ContentType="application/vnd.openxmlformats-officedocument.spreadsheetml.worksheet+xml" PartName="/xl/worksheets/sheet48912.xml"/>
  <Override ContentType="application/vnd.openxmlformats-officedocument.spreadsheetml.worksheet+xml" PartName="/xl/worksheets/sheet48913.xml"/>
  <Override ContentType="application/vnd.openxmlformats-officedocument.spreadsheetml.worksheet+xml" PartName="/xl/worksheets/sheet48914.xml"/>
  <Override ContentType="application/vnd.openxmlformats-officedocument.spreadsheetml.worksheet+xml" PartName="/xl/worksheets/sheet48915.xml"/>
  <Override ContentType="application/vnd.openxmlformats-officedocument.spreadsheetml.worksheet+xml" PartName="/xl/worksheets/sheet48916.xml"/>
  <Override ContentType="application/vnd.openxmlformats-officedocument.spreadsheetml.worksheet+xml" PartName="/xl/worksheets/sheet48917.xml"/>
  <Override ContentType="application/vnd.openxmlformats-officedocument.spreadsheetml.worksheet+xml" PartName="/xl/worksheets/sheet48918.xml"/>
  <Override ContentType="application/vnd.openxmlformats-officedocument.spreadsheetml.worksheet+xml" PartName="/xl/worksheets/sheet48919.xml"/>
  <Override ContentType="application/vnd.openxmlformats-officedocument.spreadsheetml.worksheet+xml" PartName="/xl/worksheets/sheet48920.xml"/>
  <Override ContentType="application/vnd.openxmlformats-officedocument.spreadsheetml.worksheet+xml" PartName="/xl/worksheets/sheet48921.xml"/>
  <Override ContentType="application/vnd.openxmlformats-officedocument.spreadsheetml.worksheet+xml" PartName="/xl/worksheets/sheet48922.xml"/>
  <Override ContentType="application/vnd.openxmlformats-officedocument.spreadsheetml.worksheet+xml" PartName="/xl/worksheets/sheet48923.xml"/>
  <Override ContentType="application/vnd.openxmlformats-officedocument.spreadsheetml.worksheet+xml" PartName="/xl/worksheets/sheet48924.xml"/>
  <Override ContentType="application/vnd.openxmlformats-officedocument.spreadsheetml.worksheet+xml" PartName="/xl/worksheets/sheet48925.xml"/>
  <Override ContentType="application/vnd.openxmlformats-officedocument.spreadsheetml.worksheet+xml" PartName="/xl/worksheets/sheet48926.xml"/>
  <Override ContentType="application/vnd.openxmlformats-officedocument.spreadsheetml.worksheet+xml" PartName="/xl/worksheets/sheet48927.xml"/>
  <Override ContentType="application/vnd.openxmlformats-officedocument.spreadsheetml.worksheet+xml" PartName="/xl/worksheets/sheet48928.xml"/>
  <Override ContentType="application/vnd.openxmlformats-officedocument.spreadsheetml.worksheet+xml" PartName="/xl/worksheets/sheet48929.xml"/>
  <Override ContentType="application/vnd.openxmlformats-officedocument.spreadsheetml.worksheet+xml" PartName="/xl/worksheets/sheet48930.xml"/>
  <Override ContentType="application/vnd.openxmlformats-officedocument.spreadsheetml.worksheet+xml" PartName="/xl/worksheets/sheet48931.xml"/>
  <Override ContentType="application/vnd.openxmlformats-officedocument.spreadsheetml.worksheet+xml" PartName="/xl/worksheets/sheet48932.xml"/>
  <Override ContentType="application/vnd.openxmlformats-officedocument.spreadsheetml.worksheet+xml" PartName="/xl/worksheets/sheet48933.xml"/>
  <Override ContentType="application/vnd.openxmlformats-officedocument.spreadsheetml.worksheet+xml" PartName="/xl/worksheets/sheet48934.xml"/>
  <Override ContentType="application/vnd.openxmlformats-officedocument.spreadsheetml.worksheet+xml" PartName="/xl/worksheets/sheet48935.xml"/>
  <Override ContentType="application/vnd.openxmlformats-officedocument.spreadsheetml.worksheet+xml" PartName="/xl/worksheets/sheet48936.xml"/>
  <Override ContentType="application/vnd.openxmlformats-officedocument.spreadsheetml.worksheet+xml" PartName="/xl/worksheets/sheet48937.xml"/>
  <Override ContentType="application/vnd.openxmlformats-officedocument.spreadsheetml.worksheet+xml" PartName="/xl/worksheets/sheet48938.xml"/>
  <Override ContentType="application/vnd.openxmlformats-officedocument.spreadsheetml.worksheet+xml" PartName="/xl/worksheets/sheet48939.xml"/>
  <Override ContentType="application/vnd.openxmlformats-officedocument.spreadsheetml.worksheet+xml" PartName="/xl/worksheets/sheet48940.xml"/>
  <Override ContentType="application/vnd.openxmlformats-officedocument.spreadsheetml.worksheet+xml" PartName="/xl/worksheets/sheet48941.xml"/>
  <Override ContentType="application/vnd.openxmlformats-officedocument.spreadsheetml.worksheet+xml" PartName="/xl/worksheets/sheet48942.xml"/>
  <Override ContentType="application/vnd.openxmlformats-officedocument.spreadsheetml.worksheet+xml" PartName="/xl/worksheets/sheet48943.xml"/>
  <Override ContentType="application/vnd.openxmlformats-officedocument.spreadsheetml.worksheet+xml" PartName="/xl/worksheets/sheet48944.xml"/>
  <Override ContentType="application/vnd.openxmlformats-officedocument.spreadsheetml.worksheet+xml" PartName="/xl/worksheets/sheet48945.xml"/>
  <Override ContentType="application/vnd.openxmlformats-officedocument.spreadsheetml.worksheet+xml" PartName="/xl/worksheets/sheet48946.xml"/>
  <Override ContentType="application/vnd.openxmlformats-officedocument.spreadsheetml.worksheet+xml" PartName="/xl/worksheets/sheet48947.xml"/>
  <Override ContentType="application/vnd.openxmlformats-officedocument.spreadsheetml.worksheet+xml" PartName="/xl/worksheets/sheet48948.xml"/>
  <Override ContentType="application/vnd.openxmlformats-officedocument.spreadsheetml.worksheet+xml" PartName="/xl/worksheets/sheet48949.xml"/>
  <Override ContentType="application/vnd.openxmlformats-officedocument.spreadsheetml.worksheet+xml" PartName="/xl/worksheets/sheet48950.xml"/>
  <Override ContentType="application/vnd.openxmlformats-officedocument.spreadsheetml.worksheet+xml" PartName="/xl/worksheets/sheet48951.xml"/>
  <Override ContentType="application/vnd.openxmlformats-officedocument.spreadsheetml.worksheet+xml" PartName="/xl/worksheets/sheet48952.xml"/>
  <Override ContentType="application/vnd.openxmlformats-officedocument.spreadsheetml.worksheet+xml" PartName="/xl/worksheets/sheet48953.xml"/>
  <Override ContentType="application/vnd.openxmlformats-officedocument.spreadsheetml.worksheet+xml" PartName="/xl/worksheets/sheet48954.xml"/>
  <Override ContentType="application/vnd.openxmlformats-officedocument.spreadsheetml.worksheet+xml" PartName="/xl/worksheets/sheet48955.xml"/>
  <Override ContentType="application/vnd.openxmlformats-officedocument.spreadsheetml.worksheet+xml" PartName="/xl/worksheets/sheet48956.xml"/>
  <Override ContentType="application/vnd.openxmlformats-officedocument.spreadsheetml.worksheet+xml" PartName="/xl/worksheets/sheet48957.xml"/>
  <Override ContentType="application/vnd.openxmlformats-officedocument.spreadsheetml.worksheet+xml" PartName="/xl/worksheets/sheet48958.xml"/>
  <Override ContentType="application/vnd.openxmlformats-officedocument.spreadsheetml.worksheet+xml" PartName="/xl/worksheets/sheet48959.xml"/>
  <Override ContentType="application/vnd.openxmlformats-officedocument.spreadsheetml.worksheet+xml" PartName="/xl/worksheets/sheet48960.xml"/>
  <Override ContentType="application/vnd.openxmlformats-officedocument.spreadsheetml.worksheet+xml" PartName="/xl/worksheets/sheet48961.xml"/>
  <Override ContentType="application/vnd.openxmlformats-officedocument.spreadsheetml.worksheet+xml" PartName="/xl/worksheets/sheet48962.xml"/>
  <Override ContentType="application/vnd.openxmlformats-officedocument.spreadsheetml.worksheet+xml" PartName="/xl/worksheets/sheet48963.xml"/>
  <Override ContentType="application/vnd.openxmlformats-officedocument.spreadsheetml.worksheet+xml" PartName="/xl/worksheets/sheet48964.xml"/>
  <Override ContentType="application/vnd.openxmlformats-officedocument.spreadsheetml.worksheet+xml" PartName="/xl/worksheets/sheet48965.xml"/>
  <Override ContentType="application/vnd.openxmlformats-officedocument.spreadsheetml.worksheet+xml" PartName="/xl/worksheets/sheet48966.xml"/>
  <Override ContentType="application/vnd.openxmlformats-officedocument.spreadsheetml.worksheet+xml" PartName="/xl/worksheets/sheet48967.xml"/>
  <Override ContentType="application/vnd.openxmlformats-officedocument.spreadsheetml.worksheet+xml" PartName="/xl/worksheets/sheet48968.xml"/>
  <Override ContentType="application/vnd.openxmlformats-officedocument.spreadsheetml.worksheet+xml" PartName="/xl/worksheets/sheet48969.xml"/>
  <Override ContentType="application/vnd.openxmlformats-officedocument.spreadsheetml.worksheet+xml" PartName="/xl/worksheets/sheet48970.xml"/>
  <Override ContentType="application/vnd.openxmlformats-officedocument.spreadsheetml.worksheet+xml" PartName="/xl/worksheets/sheet48971.xml"/>
  <Override ContentType="application/vnd.openxmlformats-officedocument.spreadsheetml.worksheet+xml" PartName="/xl/worksheets/sheet48972.xml"/>
  <Override ContentType="application/vnd.openxmlformats-officedocument.spreadsheetml.worksheet+xml" PartName="/xl/worksheets/sheet48973.xml"/>
  <Override ContentType="application/vnd.openxmlformats-officedocument.spreadsheetml.worksheet+xml" PartName="/xl/worksheets/sheet48974.xml"/>
  <Override ContentType="application/vnd.openxmlformats-officedocument.spreadsheetml.worksheet+xml" PartName="/xl/worksheets/sheet48975.xml"/>
  <Override ContentType="application/vnd.openxmlformats-officedocument.spreadsheetml.worksheet+xml" PartName="/xl/worksheets/sheet48976.xml"/>
  <Override ContentType="application/vnd.openxmlformats-officedocument.spreadsheetml.worksheet+xml" PartName="/xl/worksheets/sheet48977.xml"/>
  <Override ContentType="application/vnd.openxmlformats-officedocument.spreadsheetml.worksheet+xml" PartName="/xl/worksheets/sheet48978.xml"/>
  <Override ContentType="application/vnd.openxmlformats-officedocument.spreadsheetml.worksheet+xml" PartName="/xl/worksheets/sheet48979.xml"/>
  <Override ContentType="application/vnd.openxmlformats-officedocument.spreadsheetml.worksheet+xml" PartName="/xl/worksheets/sheet48980.xml"/>
  <Override ContentType="application/vnd.openxmlformats-officedocument.spreadsheetml.worksheet+xml" PartName="/xl/worksheets/sheet48981.xml"/>
  <Override ContentType="application/vnd.openxmlformats-officedocument.spreadsheetml.worksheet+xml" PartName="/xl/worksheets/sheet48982.xml"/>
  <Override ContentType="application/vnd.openxmlformats-officedocument.spreadsheetml.worksheet+xml" PartName="/xl/worksheets/sheet48983.xml"/>
  <Override ContentType="application/vnd.openxmlformats-officedocument.spreadsheetml.worksheet+xml" PartName="/xl/worksheets/sheet48984.xml"/>
  <Override ContentType="application/vnd.openxmlformats-officedocument.spreadsheetml.worksheet+xml" PartName="/xl/worksheets/sheet48985.xml"/>
  <Override ContentType="application/vnd.openxmlformats-officedocument.spreadsheetml.worksheet+xml" PartName="/xl/worksheets/sheet48986.xml"/>
  <Override ContentType="application/vnd.openxmlformats-officedocument.spreadsheetml.worksheet+xml" PartName="/xl/worksheets/sheet48987.xml"/>
  <Override ContentType="application/vnd.openxmlformats-officedocument.spreadsheetml.worksheet+xml" PartName="/xl/worksheets/sheet48988.xml"/>
  <Override ContentType="application/vnd.openxmlformats-officedocument.spreadsheetml.worksheet+xml" PartName="/xl/worksheets/sheet48989.xml"/>
  <Override ContentType="application/vnd.openxmlformats-officedocument.spreadsheetml.worksheet+xml" PartName="/xl/worksheets/sheet48990.xml"/>
  <Override ContentType="application/vnd.openxmlformats-officedocument.spreadsheetml.worksheet+xml" PartName="/xl/worksheets/sheet48991.xml"/>
  <Override ContentType="application/vnd.openxmlformats-officedocument.spreadsheetml.worksheet+xml" PartName="/xl/worksheets/sheet48992.xml"/>
  <Override ContentType="application/vnd.openxmlformats-officedocument.spreadsheetml.worksheet+xml" PartName="/xl/worksheets/sheet48993.xml"/>
  <Override ContentType="application/vnd.openxmlformats-officedocument.spreadsheetml.worksheet+xml" PartName="/xl/worksheets/sheet48994.xml"/>
  <Override ContentType="application/vnd.openxmlformats-officedocument.spreadsheetml.worksheet+xml" PartName="/xl/worksheets/sheet48995.xml"/>
  <Override ContentType="application/vnd.openxmlformats-officedocument.spreadsheetml.worksheet+xml" PartName="/xl/worksheets/sheet48996.xml"/>
  <Override ContentType="application/vnd.openxmlformats-officedocument.spreadsheetml.worksheet+xml" PartName="/xl/worksheets/sheet48997.xml"/>
  <Override ContentType="application/vnd.openxmlformats-officedocument.spreadsheetml.worksheet+xml" PartName="/xl/worksheets/sheet48998.xml"/>
  <Override ContentType="application/vnd.openxmlformats-officedocument.spreadsheetml.worksheet+xml" PartName="/xl/worksheets/sheet48999.xml"/>
  <Override ContentType="application/vnd.openxmlformats-officedocument.spreadsheetml.worksheet+xml" PartName="/xl/worksheets/sheet49000.xml"/>
  <Override ContentType="application/vnd.openxmlformats-officedocument.spreadsheetml.worksheet+xml" PartName="/xl/worksheets/sheet49001.xml"/>
  <Override ContentType="application/vnd.openxmlformats-officedocument.spreadsheetml.worksheet+xml" PartName="/xl/worksheets/sheet49002.xml"/>
  <Override ContentType="application/vnd.openxmlformats-officedocument.spreadsheetml.worksheet+xml" PartName="/xl/worksheets/sheet49003.xml"/>
  <Override ContentType="application/vnd.openxmlformats-officedocument.spreadsheetml.worksheet+xml" PartName="/xl/worksheets/sheet49004.xml"/>
  <Override ContentType="application/vnd.openxmlformats-officedocument.spreadsheetml.worksheet+xml" PartName="/xl/worksheets/sheet49005.xml"/>
  <Override ContentType="application/vnd.openxmlformats-officedocument.spreadsheetml.worksheet+xml" PartName="/xl/worksheets/sheet49006.xml"/>
  <Override ContentType="application/vnd.openxmlformats-officedocument.spreadsheetml.worksheet+xml" PartName="/xl/worksheets/sheet49007.xml"/>
  <Override ContentType="application/vnd.openxmlformats-officedocument.spreadsheetml.worksheet+xml" PartName="/xl/worksheets/sheet49008.xml"/>
  <Override ContentType="application/vnd.openxmlformats-officedocument.spreadsheetml.worksheet+xml" PartName="/xl/worksheets/sheet49009.xml"/>
  <Override ContentType="application/vnd.openxmlformats-officedocument.spreadsheetml.worksheet+xml" PartName="/xl/worksheets/sheet49010.xml"/>
  <Override ContentType="application/vnd.openxmlformats-officedocument.spreadsheetml.worksheet+xml" PartName="/xl/worksheets/sheet49011.xml"/>
  <Override ContentType="application/vnd.openxmlformats-officedocument.spreadsheetml.worksheet+xml" PartName="/xl/worksheets/sheet49012.xml"/>
  <Override ContentType="application/vnd.openxmlformats-officedocument.spreadsheetml.worksheet+xml" PartName="/xl/worksheets/sheet49013.xml"/>
  <Override ContentType="application/vnd.openxmlformats-officedocument.spreadsheetml.worksheet+xml" PartName="/xl/worksheets/sheet49014.xml"/>
  <Override ContentType="application/vnd.openxmlformats-officedocument.spreadsheetml.worksheet+xml" PartName="/xl/worksheets/sheet49015.xml"/>
  <Override ContentType="application/vnd.openxmlformats-officedocument.spreadsheetml.worksheet+xml" PartName="/xl/worksheets/sheet49016.xml"/>
  <Override ContentType="application/vnd.openxmlformats-officedocument.spreadsheetml.worksheet+xml" PartName="/xl/worksheets/sheet49017.xml"/>
  <Override ContentType="application/vnd.openxmlformats-officedocument.spreadsheetml.worksheet+xml" PartName="/xl/worksheets/sheet49018.xml"/>
  <Override ContentType="application/vnd.openxmlformats-officedocument.spreadsheetml.worksheet+xml" PartName="/xl/worksheets/sheet49019.xml"/>
  <Override ContentType="application/vnd.openxmlformats-officedocument.spreadsheetml.worksheet+xml" PartName="/xl/worksheets/sheet49020.xml"/>
  <Override ContentType="application/vnd.openxmlformats-officedocument.spreadsheetml.worksheet+xml" PartName="/xl/worksheets/sheet49021.xml"/>
  <Override ContentType="application/vnd.openxmlformats-officedocument.spreadsheetml.worksheet+xml" PartName="/xl/worksheets/sheet49022.xml"/>
  <Override ContentType="application/vnd.openxmlformats-officedocument.spreadsheetml.worksheet+xml" PartName="/xl/worksheets/sheet49023.xml"/>
  <Override ContentType="application/vnd.openxmlformats-officedocument.spreadsheetml.worksheet+xml" PartName="/xl/worksheets/sheet49024.xml"/>
  <Override ContentType="application/vnd.openxmlformats-officedocument.spreadsheetml.worksheet+xml" PartName="/xl/worksheets/sheet49025.xml"/>
  <Override ContentType="application/vnd.openxmlformats-officedocument.spreadsheetml.worksheet+xml" PartName="/xl/worksheets/sheet49026.xml"/>
  <Override ContentType="application/vnd.openxmlformats-officedocument.spreadsheetml.worksheet+xml" PartName="/xl/worksheets/sheet49027.xml"/>
  <Override ContentType="application/vnd.openxmlformats-officedocument.spreadsheetml.worksheet+xml" PartName="/xl/worksheets/sheet49028.xml"/>
  <Override ContentType="application/vnd.openxmlformats-officedocument.spreadsheetml.worksheet+xml" PartName="/xl/worksheets/sheet49029.xml"/>
  <Override ContentType="application/vnd.openxmlformats-officedocument.spreadsheetml.worksheet+xml" PartName="/xl/worksheets/sheet49030.xml"/>
  <Override ContentType="application/vnd.openxmlformats-officedocument.spreadsheetml.worksheet+xml" PartName="/xl/worksheets/sheet49031.xml"/>
  <Override ContentType="application/vnd.openxmlformats-officedocument.spreadsheetml.worksheet+xml" PartName="/xl/worksheets/sheet49032.xml"/>
  <Override ContentType="application/vnd.openxmlformats-officedocument.spreadsheetml.worksheet+xml" PartName="/xl/worksheets/sheet49033.xml"/>
  <Override ContentType="application/vnd.openxmlformats-officedocument.spreadsheetml.worksheet+xml" PartName="/xl/worksheets/sheet49034.xml"/>
  <Override ContentType="application/vnd.openxmlformats-officedocument.spreadsheetml.worksheet+xml" PartName="/xl/worksheets/sheet49035.xml"/>
  <Override ContentType="application/vnd.openxmlformats-officedocument.spreadsheetml.worksheet+xml" PartName="/xl/worksheets/sheet49036.xml"/>
  <Override ContentType="application/vnd.openxmlformats-officedocument.spreadsheetml.worksheet+xml" PartName="/xl/worksheets/sheet49037.xml"/>
  <Override ContentType="application/vnd.openxmlformats-officedocument.spreadsheetml.worksheet+xml" PartName="/xl/worksheets/sheet49038.xml"/>
  <Override ContentType="application/vnd.openxmlformats-officedocument.spreadsheetml.worksheet+xml" PartName="/xl/worksheets/sheet49039.xml"/>
  <Override ContentType="application/vnd.openxmlformats-officedocument.spreadsheetml.worksheet+xml" PartName="/xl/worksheets/sheet49040.xml"/>
  <Override ContentType="application/vnd.openxmlformats-officedocument.spreadsheetml.worksheet+xml" PartName="/xl/worksheets/sheet49041.xml"/>
  <Override ContentType="application/vnd.openxmlformats-officedocument.spreadsheetml.worksheet+xml" PartName="/xl/worksheets/sheet49042.xml"/>
  <Override ContentType="application/vnd.openxmlformats-officedocument.spreadsheetml.worksheet+xml" PartName="/xl/worksheets/sheet49043.xml"/>
  <Override ContentType="application/vnd.openxmlformats-officedocument.spreadsheetml.worksheet+xml" PartName="/xl/worksheets/sheet49044.xml"/>
  <Override ContentType="application/vnd.openxmlformats-officedocument.spreadsheetml.worksheet+xml" PartName="/xl/worksheets/sheet49045.xml"/>
  <Override ContentType="application/vnd.openxmlformats-officedocument.spreadsheetml.worksheet+xml" PartName="/xl/worksheets/sheet49046.xml"/>
  <Override ContentType="application/vnd.openxmlformats-officedocument.spreadsheetml.worksheet+xml" PartName="/xl/worksheets/sheet49047.xml"/>
  <Override ContentType="application/vnd.openxmlformats-officedocument.spreadsheetml.worksheet+xml" PartName="/xl/worksheets/sheet49048.xml"/>
  <Override ContentType="application/vnd.openxmlformats-officedocument.spreadsheetml.worksheet+xml" PartName="/xl/worksheets/sheet49049.xml"/>
  <Override ContentType="application/vnd.openxmlformats-officedocument.spreadsheetml.worksheet+xml" PartName="/xl/worksheets/sheet49050.xml"/>
  <Override ContentType="application/vnd.openxmlformats-officedocument.spreadsheetml.worksheet+xml" PartName="/xl/worksheets/sheet49051.xml"/>
  <Override ContentType="application/vnd.openxmlformats-officedocument.spreadsheetml.worksheet+xml" PartName="/xl/worksheets/sheet49052.xml"/>
  <Override ContentType="application/vnd.openxmlformats-officedocument.spreadsheetml.worksheet+xml" PartName="/xl/worksheets/sheet49053.xml"/>
  <Override ContentType="application/vnd.openxmlformats-officedocument.spreadsheetml.worksheet+xml" PartName="/xl/worksheets/sheet49054.xml"/>
  <Override ContentType="application/vnd.openxmlformats-officedocument.spreadsheetml.worksheet+xml" PartName="/xl/worksheets/sheet49055.xml"/>
  <Override ContentType="application/vnd.openxmlformats-officedocument.spreadsheetml.worksheet+xml" PartName="/xl/worksheets/sheet49056.xml"/>
  <Override ContentType="application/vnd.openxmlformats-officedocument.spreadsheetml.worksheet+xml" PartName="/xl/worksheets/sheet49057.xml"/>
  <Override ContentType="application/vnd.openxmlformats-officedocument.spreadsheetml.worksheet+xml" PartName="/xl/worksheets/sheet49058.xml"/>
  <Override ContentType="application/vnd.openxmlformats-officedocument.spreadsheetml.worksheet+xml" PartName="/xl/worksheets/sheet49059.xml"/>
  <Override ContentType="application/vnd.openxmlformats-officedocument.spreadsheetml.worksheet+xml" PartName="/xl/worksheets/sheet49060.xml"/>
  <Override ContentType="application/vnd.openxmlformats-officedocument.spreadsheetml.worksheet+xml" PartName="/xl/worksheets/sheet49061.xml"/>
  <Override ContentType="application/vnd.openxmlformats-officedocument.spreadsheetml.worksheet+xml" PartName="/xl/worksheets/sheet49062.xml"/>
  <Override ContentType="application/vnd.openxmlformats-officedocument.spreadsheetml.worksheet+xml" PartName="/xl/worksheets/sheet49063.xml"/>
  <Override ContentType="application/vnd.openxmlformats-officedocument.spreadsheetml.worksheet+xml" PartName="/xl/worksheets/sheet49064.xml"/>
  <Override ContentType="application/vnd.openxmlformats-officedocument.spreadsheetml.worksheet+xml" PartName="/xl/worksheets/sheet49065.xml"/>
  <Override ContentType="application/vnd.openxmlformats-officedocument.spreadsheetml.worksheet+xml" PartName="/xl/worksheets/sheet49066.xml"/>
  <Override ContentType="application/vnd.openxmlformats-officedocument.spreadsheetml.worksheet+xml" PartName="/xl/worksheets/sheet49067.xml"/>
  <Override ContentType="application/vnd.openxmlformats-officedocument.spreadsheetml.worksheet+xml" PartName="/xl/worksheets/sheet49068.xml"/>
  <Override ContentType="application/vnd.openxmlformats-officedocument.spreadsheetml.worksheet+xml" PartName="/xl/worksheets/sheet49069.xml"/>
  <Override ContentType="application/vnd.openxmlformats-officedocument.spreadsheetml.worksheet+xml" PartName="/xl/worksheets/sheet49070.xml"/>
  <Override ContentType="application/vnd.openxmlformats-officedocument.spreadsheetml.worksheet+xml" PartName="/xl/worksheets/sheet49071.xml"/>
  <Override ContentType="application/vnd.openxmlformats-officedocument.spreadsheetml.worksheet+xml" PartName="/xl/worksheets/sheet49072.xml"/>
  <Override ContentType="application/vnd.openxmlformats-officedocument.spreadsheetml.worksheet+xml" PartName="/xl/worksheets/sheet49073.xml"/>
  <Override ContentType="application/vnd.openxmlformats-officedocument.spreadsheetml.worksheet+xml" PartName="/xl/worksheets/sheet49074.xml"/>
  <Override ContentType="application/vnd.openxmlformats-officedocument.spreadsheetml.worksheet+xml" PartName="/xl/worksheets/sheet49075.xml"/>
  <Override ContentType="application/vnd.openxmlformats-officedocument.spreadsheetml.worksheet+xml" PartName="/xl/worksheets/sheet49076.xml"/>
  <Override ContentType="application/vnd.openxmlformats-officedocument.spreadsheetml.worksheet+xml" PartName="/xl/worksheets/sheet49077.xml"/>
  <Override ContentType="application/vnd.openxmlformats-officedocument.spreadsheetml.worksheet+xml" PartName="/xl/worksheets/sheet49078.xml"/>
  <Override ContentType="application/vnd.openxmlformats-officedocument.spreadsheetml.worksheet+xml" PartName="/xl/worksheets/sheet49079.xml"/>
  <Override ContentType="application/vnd.openxmlformats-officedocument.spreadsheetml.worksheet+xml" PartName="/xl/worksheets/sheet49080.xml"/>
  <Override ContentType="application/vnd.openxmlformats-officedocument.spreadsheetml.worksheet+xml" PartName="/xl/worksheets/sheet49081.xml"/>
  <Override ContentType="application/vnd.openxmlformats-officedocument.spreadsheetml.worksheet+xml" PartName="/xl/worksheets/sheet49082.xml"/>
  <Override ContentType="application/vnd.openxmlformats-officedocument.spreadsheetml.worksheet+xml" PartName="/xl/worksheets/sheet49083.xml"/>
  <Override ContentType="application/vnd.openxmlformats-officedocument.spreadsheetml.worksheet+xml" PartName="/xl/worksheets/sheet49084.xml"/>
  <Override ContentType="application/vnd.openxmlformats-officedocument.spreadsheetml.worksheet+xml" PartName="/xl/worksheets/sheet49085.xml"/>
  <Override ContentType="application/vnd.openxmlformats-officedocument.spreadsheetml.worksheet+xml" PartName="/xl/worksheets/sheet49086.xml"/>
  <Override ContentType="application/vnd.openxmlformats-officedocument.spreadsheetml.worksheet+xml" PartName="/xl/worksheets/sheet49087.xml"/>
  <Override ContentType="application/vnd.openxmlformats-officedocument.spreadsheetml.worksheet+xml" PartName="/xl/worksheets/sheet49088.xml"/>
  <Override ContentType="application/vnd.openxmlformats-officedocument.spreadsheetml.worksheet+xml" PartName="/xl/worksheets/sheet49089.xml"/>
  <Override ContentType="application/vnd.openxmlformats-officedocument.spreadsheetml.worksheet+xml" PartName="/xl/worksheets/sheet49090.xml"/>
  <Override ContentType="application/vnd.openxmlformats-officedocument.spreadsheetml.worksheet+xml" PartName="/xl/worksheets/sheet49091.xml"/>
  <Override ContentType="application/vnd.openxmlformats-officedocument.spreadsheetml.worksheet+xml" PartName="/xl/worksheets/sheet49092.xml"/>
  <Override ContentType="application/vnd.openxmlformats-officedocument.spreadsheetml.worksheet+xml" PartName="/xl/worksheets/sheet49093.xml"/>
  <Override ContentType="application/vnd.openxmlformats-officedocument.spreadsheetml.worksheet+xml" PartName="/xl/worksheets/sheet49094.xml"/>
  <Override ContentType="application/vnd.openxmlformats-officedocument.spreadsheetml.worksheet+xml" PartName="/xl/worksheets/sheet49095.xml"/>
  <Override ContentType="application/vnd.openxmlformats-officedocument.spreadsheetml.worksheet+xml" PartName="/xl/worksheets/sheet49096.xml"/>
  <Override ContentType="application/vnd.openxmlformats-officedocument.spreadsheetml.worksheet+xml" PartName="/xl/worksheets/sheet49097.xml"/>
  <Override ContentType="application/vnd.openxmlformats-officedocument.spreadsheetml.worksheet+xml" PartName="/xl/worksheets/sheet49098.xml"/>
  <Override ContentType="application/vnd.openxmlformats-officedocument.spreadsheetml.worksheet+xml" PartName="/xl/worksheets/sheet49099.xml"/>
  <Override ContentType="application/vnd.openxmlformats-officedocument.spreadsheetml.worksheet+xml" PartName="/xl/worksheets/sheet49100.xml"/>
  <Override ContentType="application/vnd.openxmlformats-officedocument.spreadsheetml.worksheet+xml" PartName="/xl/worksheets/sheet49101.xml"/>
  <Override ContentType="application/vnd.openxmlformats-officedocument.spreadsheetml.worksheet+xml" PartName="/xl/worksheets/sheet49102.xml"/>
  <Override ContentType="application/vnd.openxmlformats-officedocument.spreadsheetml.worksheet+xml" PartName="/xl/worksheets/sheet49103.xml"/>
  <Override ContentType="application/vnd.openxmlformats-officedocument.spreadsheetml.worksheet+xml" PartName="/xl/worksheets/sheet49104.xml"/>
  <Override ContentType="application/vnd.openxmlformats-officedocument.spreadsheetml.worksheet+xml" PartName="/xl/worksheets/sheet49105.xml"/>
  <Override ContentType="application/vnd.openxmlformats-officedocument.spreadsheetml.worksheet+xml" PartName="/xl/worksheets/sheet49106.xml"/>
  <Override ContentType="application/vnd.openxmlformats-officedocument.spreadsheetml.worksheet+xml" PartName="/xl/worksheets/sheet49107.xml"/>
  <Override ContentType="application/vnd.openxmlformats-officedocument.spreadsheetml.worksheet+xml" PartName="/xl/worksheets/sheet49108.xml"/>
  <Override ContentType="application/vnd.openxmlformats-officedocument.spreadsheetml.worksheet+xml" PartName="/xl/worksheets/sheet49109.xml"/>
  <Override ContentType="application/vnd.openxmlformats-officedocument.spreadsheetml.worksheet+xml" PartName="/xl/worksheets/sheet49110.xml"/>
  <Override ContentType="application/vnd.openxmlformats-officedocument.spreadsheetml.worksheet+xml" PartName="/xl/worksheets/sheet49111.xml"/>
  <Override ContentType="application/vnd.openxmlformats-officedocument.spreadsheetml.worksheet+xml" PartName="/xl/worksheets/sheet49112.xml"/>
  <Override ContentType="application/vnd.openxmlformats-officedocument.spreadsheetml.worksheet+xml" PartName="/xl/worksheets/sheet49113.xml"/>
  <Override ContentType="application/vnd.openxmlformats-officedocument.spreadsheetml.worksheet+xml" PartName="/xl/worksheets/sheet49114.xml"/>
  <Override ContentType="application/vnd.openxmlformats-officedocument.spreadsheetml.worksheet+xml" PartName="/xl/worksheets/sheet49115.xml"/>
  <Override ContentType="application/vnd.openxmlformats-officedocument.spreadsheetml.worksheet+xml" PartName="/xl/worksheets/sheet49116.xml"/>
  <Override ContentType="application/vnd.openxmlformats-officedocument.spreadsheetml.worksheet+xml" PartName="/xl/worksheets/sheet49117.xml"/>
  <Override ContentType="application/vnd.openxmlformats-officedocument.spreadsheetml.worksheet+xml" PartName="/xl/worksheets/sheet49118.xml"/>
  <Override ContentType="application/vnd.openxmlformats-officedocument.spreadsheetml.worksheet+xml" PartName="/xl/worksheets/sheet49119.xml"/>
  <Override ContentType="application/vnd.openxmlformats-officedocument.spreadsheetml.worksheet+xml" PartName="/xl/worksheets/sheet49120.xml"/>
  <Override ContentType="application/vnd.openxmlformats-officedocument.spreadsheetml.worksheet+xml" PartName="/xl/worksheets/sheet49121.xml"/>
  <Override ContentType="application/vnd.openxmlformats-officedocument.spreadsheetml.worksheet+xml" PartName="/xl/worksheets/sheet49122.xml"/>
  <Override ContentType="application/vnd.openxmlformats-officedocument.spreadsheetml.worksheet+xml" PartName="/xl/worksheets/sheet49123.xml"/>
  <Override ContentType="application/vnd.openxmlformats-officedocument.spreadsheetml.worksheet+xml" PartName="/xl/worksheets/sheet49124.xml"/>
  <Override ContentType="application/vnd.openxmlformats-officedocument.spreadsheetml.worksheet+xml" PartName="/xl/worksheets/sheet49125.xml"/>
  <Override ContentType="application/vnd.openxmlformats-officedocument.spreadsheetml.worksheet+xml" PartName="/xl/worksheets/sheet49126.xml"/>
  <Override ContentType="application/vnd.openxmlformats-officedocument.spreadsheetml.worksheet+xml" PartName="/xl/worksheets/sheet49127.xml"/>
  <Override ContentType="application/vnd.openxmlformats-officedocument.spreadsheetml.worksheet+xml" PartName="/xl/worksheets/sheet49128.xml"/>
  <Override ContentType="application/vnd.openxmlformats-officedocument.spreadsheetml.worksheet+xml" PartName="/xl/worksheets/sheet49129.xml"/>
  <Override ContentType="application/vnd.openxmlformats-officedocument.spreadsheetml.worksheet+xml" PartName="/xl/worksheets/sheet49130.xml"/>
  <Override ContentType="application/vnd.openxmlformats-officedocument.spreadsheetml.worksheet+xml" PartName="/xl/worksheets/sheet49131.xml"/>
  <Override ContentType="application/vnd.openxmlformats-officedocument.spreadsheetml.worksheet+xml" PartName="/xl/worksheets/sheet49132.xml"/>
  <Override ContentType="application/vnd.openxmlformats-officedocument.spreadsheetml.worksheet+xml" PartName="/xl/worksheets/sheet49133.xml"/>
  <Override ContentType="application/vnd.openxmlformats-officedocument.spreadsheetml.worksheet+xml" PartName="/xl/worksheets/sheet49134.xml"/>
  <Override ContentType="application/vnd.openxmlformats-officedocument.spreadsheetml.worksheet+xml" PartName="/xl/worksheets/sheet49135.xml"/>
  <Override ContentType="application/vnd.openxmlformats-officedocument.spreadsheetml.worksheet+xml" PartName="/xl/worksheets/sheet49136.xml"/>
  <Override ContentType="application/vnd.openxmlformats-officedocument.spreadsheetml.worksheet+xml" PartName="/xl/worksheets/sheet49137.xml"/>
  <Override ContentType="application/vnd.openxmlformats-officedocument.spreadsheetml.worksheet+xml" PartName="/xl/worksheets/sheet49138.xml"/>
  <Override ContentType="application/vnd.openxmlformats-officedocument.spreadsheetml.worksheet+xml" PartName="/xl/worksheets/sheet49139.xml"/>
  <Override ContentType="application/vnd.openxmlformats-officedocument.spreadsheetml.worksheet+xml" PartName="/xl/worksheets/sheet49140.xml"/>
  <Override ContentType="application/vnd.openxmlformats-officedocument.spreadsheetml.worksheet+xml" PartName="/xl/worksheets/sheet49141.xml"/>
  <Override ContentType="application/vnd.openxmlformats-officedocument.spreadsheetml.worksheet+xml" PartName="/xl/worksheets/sheet49142.xml"/>
  <Override ContentType="application/vnd.openxmlformats-officedocument.spreadsheetml.worksheet+xml" PartName="/xl/worksheets/sheet49143.xml"/>
  <Override ContentType="application/vnd.openxmlformats-officedocument.spreadsheetml.worksheet+xml" PartName="/xl/worksheets/sheet49144.xml"/>
  <Override ContentType="application/vnd.openxmlformats-officedocument.spreadsheetml.worksheet+xml" PartName="/xl/worksheets/sheet49145.xml"/>
  <Override ContentType="application/vnd.openxmlformats-officedocument.spreadsheetml.worksheet+xml" PartName="/xl/worksheets/sheet49146.xml"/>
  <Override ContentType="application/vnd.openxmlformats-officedocument.spreadsheetml.worksheet+xml" PartName="/xl/worksheets/sheet49147.xml"/>
  <Override ContentType="application/vnd.openxmlformats-officedocument.spreadsheetml.worksheet+xml" PartName="/xl/worksheets/sheet49148.xml"/>
  <Override ContentType="application/vnd.openxmlformats-officedocument.spreadsheetml.worksheet+xml" PartName="/xl/worksheets/sheet49149.xml"/>
  <Override ContentType="application/vnd.openxmlformats-officedocument.spreadsheetml.worksheet+xml" PartName="/xl/worksheets/sheet49150.xml"/>
  <Override ContentType="application/vnd.openxmlformats-officedocument.spreadsheetml.worksheet+xml" PartName="/xl/worksheets/sheet49151.xml"/>
  <Override ContentType="application/vnd.openxmlformats-officedocument.spreadsheetml.worksheet+xml" PartName="/xl/worksheets/sheet49152.xml"/>
  <Override ContentType="application/vnd.openxmlformats-officedocument.spreadsheetml.worksheet+xml" PartName="/xl/worksheets/sheet49153.xml"/>
  <Override ContentType="application/vnd.openxmlformats-officedocument.spreadsheetml.worksheet+xml" PartName="/xl/worksheets/sheet49154.xml"/>
  <Override ContentType="application/vnd.openxmlformats-officedocument.spreadsheetml.worksheet+xml" PartName="/xl/worksheets/sheet49155.xml"/>
  <Override ContentType="application/vnd.openxmlformats-officedocument.spreadsheetml.worksheet+xml" PartName="/xl/worksheets/sheet49156.xml"/>
  <Override ContentType="application/vnd.openxmlformats-officedocument.spreadsheetml.worksheet+xml" PartName="/xl/worksheets/sheet49157.xml"/>
  <Override ContentType="application/vnd.openxmlformats-officedocument.spreadsheetml.worksheet+xml" PartName="/xl/worksheets/sheet49158.xml"/>
  <Override ContentType="application/vnd.openxmlformats-officedocument.spreadsheetml.worksheet+xml" PartName="/xl/worksheets/sheet49159.xml"/>
  <Override ContentType="application/vnd.openxmlformats-officedocument.spreadsheetml.worksheet+xml" PartName="/xl/worksheets/sheet49160.xml"/>
  <Override ContentType="application/vnd.openxmlformats-officedocument.spreadsheetml.worksheet+xml" PartName="/xl/worksheets/sheet49161.xml"/>
  <Override ContentType="application/vnd.openxmlformats-officedocument.spreadsheetml.worksheet+xml" PartName="/xl/worksheets/sheet49162.xml"/>
  <Override ContentType="application/vnd.openxmlformats-officedocument.spreadsheetml.worksheet+xml" PartName="/xl/worksheets/sheet49163.xml"/>
  <Override ContentType="application/vnd.openxmlformats-officedocument.spreadsheetml.worksheet+xml" PartName="/xl/worksheets/sheet49164.xml"/>
  <Override ContentType="application/vnd.openxmlformats-officedocument.spreadsheetml.worksheet+xml" PartName="/xl/worksheets/sheet49165.xml"/>
  <Override ContentType="application/vnd.openxmlformats-officedocument.spreadsheetml.worksheet+xml" PartName="/xl/worksheets/sheet49166.xml"/>
  <Override ContentType="application/vnd.openxmlformats-officedocument.spreadsheetml.worksheet+xml" PartName="/xl/worksheets/sheet49167.xml"/>
  <Override ContentType="application/vnd.openxmlformats-officedocument.spreadsheetml.worksheet+xml" PartName="/xl/worksheets/sheet49168.xml"/>
  <Override ContentType="application/vnd.openxmlformats-officedocument.spreadsheetml.worksheet+xml" PartName="/xl/worksheets/sheet49169.xml"/>
  <Override ContentType="application/vnd.openxmlformats-officedocument.spreadsheetml.worksheet+xml" PartName="/xl/worksheets/sheet49170.xml"/>
  <Override ContentType="application/vnd.openxmlformats-officedocument.spreadsheetml.worksheet+xml" PartName="/xl/worksheets/sheet49171.xml"/>
  <Override ContentType="application/vnd.openxmlformats-officedocument.spreadsheetml.worksheet+xml" PartName="/xl/worksheets/sheet49172.xml"/>
  <Override ContentType="application/vnd.openxmlformats-officedocument.spreadsheetml.worksheet+xml" PartName="/xl/worksheets/sheet49173.xml"/>
  <Override ContentType="application/vnd.openxmlformats-officedocument.spreadsheetml.worksheet+xml" PartName="/xl/worksheets/sheet49174.xml"/>
  <Override ContentType="application/vnd.openxmlformats-officedocument.spreadsheetml.worksheet+xml" PartName="/xl/worksheets/sheet49175.xml"/>
  <Override ContentType="application/vnd.openxmlformats-officedocument.spreadsheetml.worksheet+xml" PartName="/xl/worksheets/sheet49176.xml"/>
  <Override ContentType="application/vnd.openxmlformats-officedocument.spreadsheetml.worksheet+xml" PartName="/xl/worksheets/sheet49177.xml"/>
  <Override ContentType="application/vnd.openxmlformats-officedocument.spreadsheetml.worksheet+xml" PartName="/xl/worksheets/sheet49178.xml"/>
  <Override ContentType="application/vnd.openxmlformats-officedocument.spreadsheetml.worksheet+xml" PartName="/xl/worksheets/sheet49179.xml"/>
  <Override ContentType="application/vnd.openxmlformats-officedocument.spreadsheetml.worksheet+xml" PartName="/xl/worksheets/sheet49180.xml"/>
  <Override ContentType="application/vnd.openxmlformats-officedocument.spreadsheetml.worksheet+xml" PartName="/xl/worksheets/sheet49181.xml"/>
  <Override ContentType="application/vnd.openxmlformats-officedocument.spreadsheetml.worksheet+xml" PartName="/xl/worksheets/sheet49182.xml"/>
  <Override ContentType="application/vnd.openxmlformats-officedocument.spreadsheetml.worksheet+xml" PartName="/xl/worksheets/sheet49183.xml"/>
  <Override ContentType="application/vnd.openxmlformats-officedocument.spreadsheetml.worksheet+xml" PartName="/xl/worksheets/sheet49184.xml"/>
  <Override ContentType="application/vnd.openxmlformats-officedocument.spreadsheetml.worksheet+xml" PartName="/xl/worksheets/sheet49185.xml"/>
  <Override ContentType="application/vnd.openxmlformats-officedocument.spreadsheetml.worksheet+xml" PartName="/xl/worksheets/sheet49186.xml"/>
  <Override ContentType="application/vnd.openxmlformats-officedocument.spreadsheetml.worksheet+xml" PartName="/xl/worksheets/sheet49187.xml"/>
  <Override ContentType="application/vnd.openxmlformats-officedocument.spreadsheetml.worksheet+xml" PartName="/xl/worksheets/sheet49188.xml"/>
  <Override ContentType="application/vnd.openxmlformats-officedocument.spreadsheetml.worksheet+xml" PartName="/xl/worksheets/sheet49189.xml"/>
  <Override ContentType="application/vnd.openxmlformats-officedocument.spreadsheetml.worksheet+xml" PartName="/xl/worksheets/sheet49190.xml"/>
  <Override ContentType="application/vnd.openxmlformats-officedocument.spreadsheetml.worksheet+xml" PartName="/xl/worksheets/sheet49191.xml"/>
  <Override ContentType="application/vnd.openxmlformats-officedocument.spreadsheetml.worksheet+xml" PartName="/xl/worksheets/sheet49192.xml"/>
  <Override ContentType="application/vnd.openxmlformats-officedocument.spreadsheetml.worksheet+xml" PartName="/xl/worksheets/sheet49193.xml"/>
  <Override ContentType="application/vnd.openxmlformats-officedocument.spreadsheetml.worksheet+xml" PartName="/xl/worksheets/sheet49194.xml"/>
  <Override ContentType="application/vnd.openxmlformats-officedocument.spreadsheetml.worksheet+xml" PartName="/xl/worksheets/sheet49195.xml"/>
  <Override ContentType="application/vnd.openxmlformats-officedocument.spreadsheetml.worksheet+xml" PartName="/xl/worksheets/sheet49196.xml"/>
  <Override ContentType="application/vnd.openxmlformats-officedocument.spreadsheetml.worksheet+xml" PartName="/xl/worksheets/sheet49197.xml"/>
  <Override ContentType="application/vnd.openxmlformats-officedocument.spreadsheetml.worksheet+xml" PartName="/xl/worksheets/sheet49198.xml"/>
  <Override ContentType="application/vnd.openxmlformats-officedocument.spreadsheetml.worksheet+xml" PartName="/xl/worksheets/sheet49199.xml"/>
  <Override ContentType="application/vnd.openxmlformats-officedocument.spreadsheetml.worksheet+xml" PartName="/xl/worksheets/sheet49200.xml"/>
  <Override ContentType="application/vnd.openxmlformats-officedocument.spreadsheetml.worksheet+xml" PartName="/xl/worksheets/sheet49201.xml"/>
  <Override ContentType="application/vnd.openxmlformats-officedocument.spreadsheetml.worksheet+xml" PartName="/xl/worksheets/sheet49202.xml"/>
  <Override ContentType="application/vnd.openxmlformats-officedocument.spreadsheetml.worksheet+xml" PartName="/xl/worksheets/sheet49203.xml"/>
  <Override ContentType="application/vnd.openxmlformats-officedocument.spreadsheetml.worksheet+xml" PartName="/xl/worksheets/sheet49204.xml"/>
  <Override ContentType="application/vnd.openxmlformats-officedocument.spreadsheetml.worksheet+xml" PartName="/xl/worksheets/sheet49205.xml"/>
  <Override ContentType="application/vnd.openxmlformats-officedocument.spreadsheetml.worksheet+xml" PartName="/xl/worksheets/sheet49206.xml"/>
  <Override ContentType="application/vnd.openxmlformats-officedocument.spreadsheetml.worksheet+xml" PartName="/xl/worksheets/sheet49207.xml"/>
  <Override ContentType="application/vnd.openxmlformats-officedocument.spreadsheetml.worksheet+xml" PartName="/xl/worksheets/sheet49208.xml"/>
  <Override ContentType="application/vnd.openxmlformats-officedocument.spreadsheetml.worksheet+xml" PartName="/xl/worksheets/sheet49209.xml"/>
  <Override ContentType="application/vnd.openxmlformats-officedocument.spreadsheetml.worksheet+xml" PartName="/xl/worksheets/sheet49210.xml"/>
  <Override ContentType="application/vnd.openxmlformats-officedocument.spreadsheetml.worksheet+xml" PartName="/xl/worksheets/sheet49211.xml"/>
  <Override ContentType="application/vnd.openxmlformats-officedocument.spreadsheetml.worksheet+xml" PartName="/xl/worksheets/sheet49212.xml"/>
  <Override ContentType="application/vnd.openxmlformats-officedocument.spreadsheetml.worksheet+xml" PartName="/xl/worksheets/sheet49213.xml"/>
  <Override ContentType="application/vnd.openxmlformats-officedocument.spreadsheetml.worksheet+xml" PartName="/xl/worksheets/sheet49214.xml"/>
  <Override ContentType="application/vnd.openxmlformats-officedocument.spreadsheetml.worksheet+xml" PartName="/xl/worksheets/sheet49215.xml"/>
  <Override ContentType="application/vnd.openxmlformats-officedocument.spreadsheetml.worksheet+xml" PartName="/xl/worksheets/sheet49216.xml"/>
  <Override ContentType="application/vnd.openxmlformats-officedocument.spreadsheetml.worksheet+xml" PartName="/xl/worksheets/sheet49217.xml"/>
  <Override ContentType="application/vnd.openxmlformats-officedocument.spreadsheetml.worksheet+xml" PartName="/xl/worksheets/sheet49218.xml"/>
  <Override ContentType="application/vnd.openxmlformats-officedocument.spreadsheetml.worksheet+xml" PartName="/xl/worksheets/sheet49219.xml"/>
  <Override ContentType="application/vnd.openxmlformats-officedocument.spreadsheetml.worksheet+xml" PartName="/xl/worksheets/sheet49220.xml"/>
  <Override ContentType="application/vnd.openxmlformats-officedocument.spreadsheetml.worksheet+xml" PartName="/xl/worksheets/sheet49221.xml"/>
  <Override ContentType="application/vnd.openxmlformats-officedocument.spreadsheetml.worksheet+xml" PartName="/xl/worksheets/sheet49222.xml"/>
  <Override ContentType="application/vnd.openxmlformats-officedocument.spreadsheetml.worksheet+xml" PartName="/xl/worksheets/sheet49223.xml"/>
  <Override ContentType="application/vnd.openxmlformats-officedocument.spreadsheetml.worksheet+xml" PartName="/xl/worksheets/sheet49224.xml"/>
  <Override ContentType="application/vnd.openxmlformats-officedocument.spreadsheetml.worksheet+xml" PartName="/xl/worksheets/sheet49225.xml"/>
  <Override ContentType="application/vnd.openxmlformats-officedocument.spreadsheetml.worksheet+xml" PartName="/xl/worksheets/sheet49226.xml"/>
  <Override ContentType="application/vnd.openxmlformats-officedocument.spreadsheetml.worksheet+xml" PartName="/xl/worksheets/sheet49227.xml"/>
  <Override ContentType="application/vnd.openxmlformats-officedocument.spreadsheetml.worksheet+xml" PartName="/xl/worksheets/sheet49228.xml"/>
  <Override ContentType="application/vnd.openxmlformats-officedocument.spreadsheetml.worksheet+xml" PartName="/xl/worksheets/sheet49229.xml"/>
  <Override ContentType="application/vnd.openxmlformats-officedocument.spreadsheetml.worksheet+xml" PartName="/xl/worksheets/sheet49230.xml"/>
  <Override ContentType="application/vnd.openxmlformats-officedocument.spreadsheetml.worksheet+xml" PartName="/xl/worksheets/sheet49231.xml"/>
  <Override ContentType="application/vnd.openxmlformats-officedocument.spreadsheetml.worksheet+xml" PartName="/xl/worksheets/sheet49232.xml"/>
  <Override ContentType="application/vnd.openxmlformats-officedocument.spreadsheetml.worksheet+xml" PartName="/xl/worksheets/sheet49233.xml"/>
  <Override ContentType="application/vnd.openxmlformats-officedocument.spreadsheetml.worksheet+xml" PartName="/xl/worksheets/sheet49234.xml"/>
  <Override ContentType="application/vnd.openxmlformats-officedocument.spreadsheetml.worksheet+xml" PartName="/xl/worksheets/sheet49235.xml"/>
  <Override ContentType="application/vnd.openxmlformats-officedocument.spreadsheetml.worksheet+xml" PartName="/xl/worksheets/sheet49236.xml"/>
  <Override ContentType="application/vnd.openxmlformats-officedocument.spreadsheetml.worksheet+xml" PartName="/xl/worksheets/sheet49237.xml"/>
  <Override ContentType="application/vnd.openxmlformats-officedocument.spreadsheetml.worksheet+xml" PartName="/xl/worksheets/sheet49238.xml"/>
  <Override ContentType="application/vnd.openxmlformats-officedocument.spreadsheetml.worksheet+xml" PartName="/xl/worksheets/sheet49239.xml"/>
  <Override ContentType="application/vnd.openxmlformats-officedocument.spreadsheetml.worksheet+xml" PartName="/xl/worksheets/sheet49240.xml"/>
  <Override ContentType="application/vnd.openxmlformats-officedocument.spreadsheetml.worksheet+xml" PartName="/xl/worksheets/sheet49241.xml"/>
  <Override ContentType="application/vnd.openxmlformats-officedocument.spreadsheetml.worksheet+xml" PartName="/xl/worksheets/sheet49242.xml"/>
  <Override ContentType="application/vnd.openxmlformats-officedocument.spreadsheetml.worksheet+xml" PartName="/xl/worksheets/sheet49243.xml"/>
  <Override ContentType="application/vnd.openxmlformats-officedocument.spreadsheetml.worksheet+xml" PartName="/xl/worksheets/sheet49244.xml"/>
  <Override ContentType="application/vnd.openxmlformats-officedocument.spreadsheetml.worksheet+xml" PartName="/xl/worksheets/sheet49245.xml"/>
  <Override ContentType="application/vnd.openxmlformats-officedocument.spreadsheetml.worksheet+xml" PartName="/xl/worksheets/sheet49246.xml"/>
  <Override ContentType="application/vnd.openxmlformats-officedocument.spreadsheetml.worksheet+xml" PartName="/xl/worksheets/sheet49247.xml"/>
  <Override ContentType="application/vnd.openxmlformats-officedocument.spreadsheetml.worksheet+xml" PartName="/xl/worksheets/sheet49248.xml"/>
  <Override ContentType="application/vnd.openxmlformats-officedocument.spreadsheetml.worksheet+xml" PartName="/xl/worksheets/sheet49249.xml"/>
  <Override ContentType="application/vnd.openxmlformats-officedocument.spreadsheetml.worksheet+xml" PartName="/xl/worksheets/sheet49250.xml"/>
  <Override ContentType="application/vnd.openxmlformats-officedocument.spreadsheetml.worksheet+xml" PartName="/xl/worksheets/sheet49251.xml"/>
  <Override ContentType="application/vnd.openxmlformats-officedocument.spreadsheetml.worksheet+xml" PartName="/xl/worksheets/sheet49252.xml"/>
  <Override ContentType="application/vnd.openxmlformats-officedocument.spreadsheetml.worksheet+xml" PartName="/xl/worksheets/sheet49253.xml"/>
  <Override ContentType="application/vnd.openxmlformats-officedocument.spreadsheetml.worksheet+xml" PartName="/xl/worksheets/sheet49254.xml"/>
  <Override ContentType="application/vnd.openxmlformats-officedocument.spreadsheetml.worksheet+xml" PartName="/xl/worksheets/sheet49255.xml"/>
  <Override ContentType="application/vnd.openxmlformats-officedocument.spreadsheetml.worksheet+xml" PartName="/xl/worksheets/sheet49256.xml"/>
  <Override ContentType="application/vnd.openxmlformats-officedocument.spreadsheetml.worksheet+xml" PartName="/xl/worksheets/sheet49257.xml"/>
  <Override ContentType="application/vnd.openxmlformats-officedocument.spreadsheetml.worksheet+xml" PartName="/xl/worksheets/sheet49258.xml"/>
  <Override ContentType="application/vnd.openxmlformats-officedocument.spreadsheetml.worksheet+xml" PartName="/xl/worksheets/sheet49259.xml"/>
  <Override ContentType="application/vnd.openxmlformats-officedocument.spreadsheetml.worksheet+xml" PartName="/xl/worksheets/sheet49260.xml"/>
  <Override ContentType="application/vnd.openxmlformats-officedocument.spreadsheetml.worksheet+xml" PartName="/xl/worksheets/sheet49261.xml"/>
  <Override ContentType="application/vnd.openxmlformats-officedocument.spreadsheetml.worksheet+xml" PartName="/xl/worksheets/sheet49262.xml"/>
  <Override ContentType="application/vnd.openxmlformats-officedocument.spreadsheetml.worksheet+xml" PartName="/xl/worksheets/sheet49263.xml"/>
  <Override ContentType="application/vnd.openxmlformats-officedocument.spreadsheetml.worksheet+xml" PartName="/xl/worksheets/sheet49264.xml"/>
  <Override ContentType="application/vnd.openxmlformats-officedocument.spreadsheetml.worksheet+xml" PartName="/xl/worksheets/sheet49265.xml"/>
  <Override ContentType="application/vnd.openxmlformats-officedocument.spreadsheetml.worksheet+xml" PartName="/xl/worksheets/sheet49266.xml"/>
  <Override ContentType="application/vnd.openxmlformats-officedocument.spreadsheetml.worksheet+xml" PartName="/xl/worksheets/sheet49267.xml"/>
  <Override ContentType="application/vnd.openxmlformats-officedocument.spreadsheetml.worksheet+xml" PartName="/xl/worksheets/sheet49268.xml"/>
  <Override ContentType="application/vnd.openxmlformats-officedocument.spreadsheetml.worksheet+xml" PartName="/xl/worksheets/sheet49269.xml"/>
  <Override ContentType="application/vnd.openxmlformats-officedocument.spreadsheetml.worksheet+xml" PartName="/xl/worksheets/sheet49270.xml"/>
  <Override ContentType="application/vnd.openxmlformats-officedocument.spreadsheetml.worksheet+xml" PartName="/xl/worksheets/sheet49271.xml"/>
  <Override ContentType="application/vnd.openxmlformats-officedocument.spreadsheetml.worksheet+xml" PartName="/xl/worksheets/sheet49272.xml"/>
  <Override ContentType="application/vnd.openxmlformats-officedocument.spreadsheetml.worksheet+xml" PartName="/xl/worksheets/sheet49273.xml"/>
  <Override ContentType="application/vnd.openxmlformats-officedocument.spreadsheetml.worksheet+xml" PartName="/xl/worksheets/sheet49274.xml"/>
  <Override ContentType="application/vnd.openxmlformats-officedocument.spreadsheetml.worksheet+xml" PartName="/xl/worksheets/sheet49275.xml"/>
  <Override ContentType="application/vnd.openxmlformats-officedocument.spreadsheetml.worksheet+xml" PartName="/xl/worksheets/sheet49276.xml"/>
  <Override ContentType="application/vnd.openxmlformats-officedocument.spreadsheetml.worksheet+xml" PartName="/xl/worksheets/sheet49277.xml"/>
  <Override ContentType="application/vnd.openxmlformats-officedocument.spreadsheetml.worksheet+xml" PartName="/xl/worksheets/sheet49278.xml"/>
  <Override ContentType="application/vnd.openxmlformats-officedocument.spreadsheetml.worksheet+xml" PartName="/xl/worksheets/sheet49279.xml"/>
  <Override ContentType="application/vnd.openxmlformats-officedocument.spreadsheetml.worksheet+xml" PartName="/xl/worksheets/sheet49280.xml"/>
  <Override ContentType="application/vnd.openxmlformats-officedocument.spreadsheetml.worksheet+xml" PartName="/xl/worksheets/sheet49281.xml"/>
  <Override ContentType="application/vnd.openxmlformats-officedocument.spreadsheetml.worksheet+xml" PartName="/xl/worksheets/sheet49282.xml"/>
  <Override ContentType="application/vnd.openxmlformats-officedocument.spreadsheetml.worksheet+xml" PartName="/xl/worksheets/sheet49283.xml"/>
  <Override ContentType="application/vnd.openxmlformats-officedocument.spreadsheetml.worksheet+xml" PartName="/xl/worksheets/sheet49284.xml"/>
  <Override ContentType="application/vnd.openxmlformats-officedocument.spreadsheetml.worksheet+xml" PartName="/xl/worksheets/sheet49285.xml"/>
  <Override ContentType="application/vnd.openxmlformats-officedocument.spreadsheetml.worksheet+xml" PartName="/xl/worksheets/sheet49286.xml"/>
  <Override ContentType="application/vnd.openxmlformats-officedocument.spreadsheetml.worksheet+xml" PartName="/xl/worksheets/sheet49287.xml"/>
  <Override ContentType="application/vnd.openxmlformats-officedocument.spreadsheetml.worksheet+xml" PartName="/xl/worksheets/sheet49288.xml"/>
  <Override ContentType="application/vnd.openxmlformats-officedocument.spreadsheetml.worksheet+xml" PartName="/xl/worksheets/sheet49289.xml"/>
  <Override ContentType="application/vnd.openxmlformats-officedocument.spreadsheetml.worksheet+xml" PartName="/xl/worksheets/sheet49290.xml"/>
  <Override ContentType="application/vnd.openxmlformats-officedocument.spreadsheetml.worksheet+xml" PartName="/xl/worksheets/sheet49291.xml"/>
  <Override ContentType="application/vnd.openxmlformats-officedocument.spreadsheetml.worksheet+xml" PartName="/xl/worksheets/sheet49292.xml"/>
  <Override ContentType="application/vnd.openxmlformats-officedocument.spreadsheetml.worksheet+xml" PartName="/xl/worksheets/sheet49293.xml"/>
  <Override ContentType="application/vnd.openxmlformats-officedocument.spreadsheetml.worksheet+xml" PartName="/xl/worksheets/sheet49294.xml"/>
  <Override ContentType="application/vnd.openxmlformats-officedocument.spreadsheetml.worksheet+xml" PartName="/xl/worksheets/sheet49295.xml"/>
  <Override ContentType="application/vnd.openxmlformats-officedocument.spreadsheetml.worksheet+xml" PartName="/xl/worksheets/sheet49296.xml"/>
  <Override ContentType="application/vnd.openxmlformats-officedocument.spreadsheetml.worksheet+xml" PartName="/xl/worksheets/sheet49297.xml"/>
  <Override ContentType="application/vnd.openxmlformats-officedocument.spreadsheetml.worksheet+xml" PartName="/xl/worksheets/sheet49298.xml"/>
  <Override ContentType="application/vnd.openxmlformats-officedocument.spreadsheetml.worksheet+xml" PartName="/xl/worksheets/sheet49299.xml"/>
  <Override ContentType="application/vnd.openxmlformats-officedocument.spreadsheetml.worksheet+xml" PartName="/xl/worksheets/sheet49300.xml"/>
  <Override ContentType="application/vnd.openxmlformats-officedocument.spreadsheetml.worksheet+xml" PartName="/xl/worksheets/sheet49301.xml"/>
  <Override ContentType="application/vnd.openxmlformats-officedocument.spreadsheetml.worksheet+xml" PartName="/xl/worksheets/sheet49302.xml"/>
  <Override ContentType="application/vnd.openxmlformats-officedocument.spreadsheetml.worksheet+xml" PartName="/xl/worksheets/sheet49303.xml"/>
  <Override ContentType="application/vnd.openxmlformats-officedocument.spreadsheetml.worksheet+xml" PartName="/xl/worksheets/sheet49304.xml"/>
  <Override ContentType="application/vnd.openxmlformats-officedocument.spreadsheetml.worksheet+xml" PartName="/xl/worksheets/sheet49305.xml"/>
  <Override ContentType="application/vnd.openxmlformats-officedocument.spreadsheetml.worksheet+xml" PartName="/xl/worksheets/sheet49306.xml"/>
  <Override ContentType="application/vnd.openxmlformats-officedocument.spreadsheetml.worksheet+xml" PartName="/xl/worksheets/sheet49307.xml"/>
  <Override ContentType="application/vnd.openxmlformats-officedocument.spreadsheetml.worksheet+xml" PartName="/xl/worksheets/sheet49308.xml"/>
  <Override ContentType="application/vnd.openxmlformats-officedocument.spreadsheetml.worksheet+xml" PartName="/xl/worksheets/sheet49309.xml"/>
  <Override ContentType="application/vnd.openxmlformats-officedocument.spreadsheetml.worksheet+xml" PartName="/xl/worksheets/sheet49310.xml"/>
  <Override ContentType="application/vnd.openxmlformats-officedocument.spreadsheetml.worksheet+xml" PartName="/xl/worksheets/sheet49311.xml"/>
  <Override ContentType="application/vnd.openxmlformats-officedocument.spreadsheetml.worksheet+xml" PartName="/xl/worksheets/sheet49312.xml"/>
  <Override ContentType="application/vnd.openxmlformats-officedocument.spreadsheetml.worksheet+xml" PartName="/xl/worksheets/sheet49313.xml"/>
  <Override ContentType="application/vnd.openxmlformats-officedocument.spreadsheetml.worksheet+xml" PartName="/xl/worksheets/sheet49314.xml"/>
  <Override ContentType="application/vnd.openxmlformats-officedocument.spreadsheetml.worksheet+xml" PartName="/xl/worksheets/sheet49315.xml"/>
  <Override ContentType="application/vnd.openxmlformats-officedocument.spreadsheetml.worksheet+xml" PartName="/xl/worksheets/sheet49316.xml"/>
  <Override ContentType="application/vnd.openxmlformats-officedocument.spreadsheetml.worksheet+xml" PartName="/xl/worksheets/sheet49317.xml"/>
  <Override ContentType="application/vnd.openxmlformats-officedocument.spreadsheetml.worksheet+xml" PartName="/xl/worksheets/sheet49318.xml"/>
  <Override ContentType="application/vnd.openxmlformats-officedocument.spreadsheetml.worksheet+xml" PartName="/xl/worksheets/sheet49319.xml"/>
  <Override ContentType="application/vnd.openxmlformats-officedocument.spreadsheetml.worksheet+xml" PartName="/xl/worksheets/sheet49320.xml"/>
  <Override ContentType="application/vnd.openxmlformats-officedocument.spreadsheetml.worksheet+xml" PartName="/xl/worksheets/sheet49321.xml"/>
  <Override ContentType="application/vnd.openxmlformats-officedocument.spreadsheetml.worksheet+xml" PartName="/xl/worksheets/sheet49322.xml"/>
  <Override ContentType="application/vnd.openxmlformats-officedocument.spreadsheetml.worksheet+xml" PartName="/xl/worksheets/sheet49323.xml"/>
  <Override ContentType="application/vnd.openxmlformats-officedocument.spreadsheetml.worksheet+xml" PartName="/xl/worksheets/sheet49324.xml"/>
  <Override ContentType="application/vnd.openxmlformats-officedocument.spreadsheetml.worksheet+xml" PartName="/xl/worksheets/sheet49325.xml"/>
  <Override ContentType="application/vnd.openxmlformats-officedocument.spreadsheetml.worksheet+xml" PartName="/xl/worksheets/sheet49326.xml"/>
  <Override ContentType="application/vnd.openxmlformats-officedocument.spreadsheetml.worksheet+xml" PartName="/xl/worksheets/sheet49327.xml"/>
  <Override ContentType="application/vnd.openxmlformats-officedocument.spreadsheetml.worksheet+xml" PartName="/xl/worksheets/sheet49328.xml"/>
  <Override ContentType="application/vnd.openxmlformats-officedocument.spreadsheetml.worksheet+xml" PartName="/xl/worksheets/sheet49329.xml"/>
  <Override ContentType="application/vnd.openxmlformats-officedocument.spreadsheetml.worksheet+xml" PartName="/xl/worksheets/sheet49330.xml"/>
  <Override ContentType="application/vnd.openxmlformats-officedocument.spreadsheetml.worksheet+xml" PartName="/xl/worksheets/sheet49331.xml"/>
  <Override ContentType="application/vnd.openxmlformats-officedocument.spreadsheetml.worksheet+xml" PartName="/xl/worksheets/sheet49332.xml"/>
  <Override ContentType="application/vnd.openxmlformats-officedocument.spreadsheetml.worksheet+xml" PartName="/xl/worksheets/sheet49333.xml"/>
  <Override ContentType="application/vnd.openxmlformats-officedocument.spreadsheetml.worksheet+xml" PartName="/xl/worksheets/sheet49334.xml"/>
  <Override ContentType="application/vnd.openxmlformats-officedocument.spreadsheetml.worksheet+xml" PartName="/xl/worksheets/sheet49335.xml"/>
  <Override ContentType="application/vnd.openxmlformats-officedocument.spreadsheetml.worksheet+xml" PartName="/xl/worksheets/sheet49336.xml"/>
  <Override ContentType="application/vnd.openxmlformats-officedocument.spreadsheetml.worksheet+xml" PartName="/xl/worksheets/sheet49337.xml"/>
  <Override ContentType="application/vnd.openxmlformats-officedocument.spreadsheetml.worksheet+xml" PartName="/xl/worksheets/sheet49338.xml"/>
  <Override ContentType="application/vnd.openxmlformats-officedocument.spreadsheetml.worksheet+xml" PartName="/xl/worksheets/sheet49339.xml"/>
  <Override ContentType="application/vnd.openxmlformats-officedocument.spreadsheetml.worksheet+xml" PartName="/xl/worksheets/sheet49340.xml"/>
  <Override ContentType="application/vnd.openxmlformats-officedocument.spreadsheetml.worksheet+xml" PartName="/xl/worksheets/sheet49341.xml"/>
  <Override ContentType="application/vnd.openxmlformats-officedocument.spreadsheetml.worksheet+xml" PartName="/xl/worksheets/sheet49342.xml"/>
  <Override ContentType="application/vnd.openxmlformats-officedocument.spreadsheetml.worksheet+xml" PartName="/xl/worksheets/sheet49343.xml"/>
  <Override ContentType="application/vnd.openxmlformats-officedocument.spreadsheetml.worksheet+xml" PartName="/xl/worksheets/sheet49344.xml"/>
  <Override ContentType="application/vnd.openxmlformats-officedocument.spreadsheetml.worksheet+xml" PartName="/xl/worksheets/sheet49345.xml"/>
  <Override ContentType="application/vnd.openxmlformats-officedocument.spreadsheetml.worksheet+xml" PartName="/xl/worksheets/sheet49346.xml"/>
  <Override ContentType="application/vnd.openxmlformats-officedocument.spreadsheetml.worksheet+xml" PartName="/xl/worksheets/sheet49347.xml"/>
  <Override ContentType="application/vnd.openxmlformats-officedocument.spreadsheetml.worksheet+xml" PartName="/xl/worksheets/sheet49348.xml"/>
  <Override ContentType="application/vnd.openxmlformats-officedocument.spreadsheetml.worksheet+xml" PartName="/xl/worksheets/sheet49349.xml"/>
  <Override ContentType="application/vnd.openxmlformats-officedocument.spreadsheetml.worksheet+xml" PartName="/xl/worksheets/sheet49350.xml"/>
  <Override ContentType="application/vnd.openxmlformats-officedocument.spreadsheetml.worksheet+xml" PartName="/xl/worksheets/sheet49351.xml"/>
  <Override ContentType="application/vnd.openxmlformats-officedocument.spreadsheetml.worksheet+xml" PartName="/xl/worksheets/sheet49352.xml"/>
  <Override ContentType="application/vnd.openxmlformats-officedocument.spreadsheetml.worksheet+xml" PartName="/xl/worksheets/sheet49353.xml"/>
  <Override ContentType="application/vnd.openxmlformats-officedocument.spreadsheetml.worksheet+xml" PartName="/xl/worksheets/sheet49354.xml"/>
  <Override ContentType="application/vnd.openxmlformats-officedocument.spreadsheetml.worksheet+xml" PartName="/xl/worksheets/sheet49355.xml"/>
  <Override ContentType="application/vnd.openxmlformats-officedocument.spreadsheetml.worksheet+xml" PartName="/xl/worksheets/sheet49356.xml"/>
  <Override ContentType="application/vnd.openxmlformats-officedocument.spreadsheetml.worksheet+xml" PartName="/xl/worksheets/sheet49357.xml"/>
  <Override ContentType="application/vnd.openxmlformats-officedocument.spreadsheetml.worksheet+xml" PartName="/xl/worksheets/sheet49358.xml"/>
  <Override ContentType="application/vnd.openxmlformats-officedocument.spreadsheetml.worksheet+xml" PartName="/xl/worksheets/sheet49359.xml"/>
  <Override ContentType="application/vnd.openxmlformats-officedocument.spreadsheetml.worksheet+xml" PartName="/xl/worksheets/sheet49360.xml"/>
  <Override ContentType="application/vnd.openxmlformats-officedocument.spreadsheetml.worksheet+xml" PartName="/xl/worksheets/sheet49361.xml"/>
  <Override ContentType="application/vnd.openxmlformats-officedocument.spreadsheetml.worksheet+xml" PartName="/xl/worksheets/sheet49362.xml"/>
  <Override ContentType="application/vnd.openxmlformats-officedocument.spreadsheetml.worksheet+xml" PartName="/xl/worksheets/sheet49363.xml"/>
  <Override ContentType="application/vnd.openxmlformats-officedocument.spreadsheetml.worksheet+xml" PartName="/xl/worksheets/sheet49364.xml"/>
  <Override ContentType="application/vnd.openxmlformats-officedocument.spreadsheetml.worksheet+xml" PartName="/xl/worksheets/sheet49365.xml"/>
  <Override ContentType="application/vnd.openxmlformats-officedocument.spreadsheetml.worksheet+xml" PartName="/xl/worksheets/sheet49366.xml"/>
  <Override ContentType="application/vnd.openxmlformats-officedocument.spreadsheetml.worksheet+xml" PartName="/xl/worksheets/sheet49367.xml"/>
  <Override ContentType="application/vnd.openxmlformats-officedocument.spreadsheetml.worksheet+xml" PartName="/xl/worksheets/sheet49368.xml"/>
  <Override ContentType="application/vnd.openxmlformats-officedocument.spreadsheetml.worksheet+xml" PartName="/xl/worksheets/sheet49369.xml"/>
  <Override ContentType="application/vnd.openxmlformats-officedocument.spreadsheetml.worksheet+xml" PartName="/xl/worksheets/sheet49370.xml"/>
  <Override ContentType="application/vnd.openxmlformats-officedocument.spreadsheetml.worksheet+xml" PartName="/xl/worksheets/sheet49371.xml"/>
  <Override ContentType="application/vnd.openxmlformats-officedocument.spreadsheetml.worksheet+xml" PartName="/xl/worksheets/sheet49372.xml"/>
  <Override ContentType="application/vnd.openxmlformats-officedocument.spreadsheetml.worksheet+xml" PartName="/xl/worksheets/sheet49373.xml"/>
  <Override ContentType="application/vnd.openxmlformats-officedocument.spreadsheetml.worksheet+xml" PartName="/xl/worksheets/sheet49374.xml"/>
  <Override ContentType="application/vnd.openxmlformats-officedocument.spreadsheetml.worksheet+xml" PartName="/xl/worksheets/sheet49375.xml"/>
  <Override ContentType="application/vnd.openxmlformats-officedocument.spreadsheetml.worksheet+xml" PartName="/xl/worksheets/sheet49376.xml"/>
  <Override ContentType="application/vnd.openxmlformats-officedocument.spreadsheetml.worksheet+xml" PartName="/xl/worksheets/sheet49377.xml"/>
  <Override ContentType="application/vnd.openxmlformats-officedocument.spreadsheetml.worksheet+xml" PartName="/xl/worksheets/sheet49378.xml"/>
  <Override ContentType="application/vnd.openxmlformats-officedocument.spreadsheetml.worksheet+xml" PartName="/xl/worksheets/sheet49379.xml"/>
  <Override ContentType="application/vnd.openxmlformats-officedocument.spreadsheetml.worksheet+xml" PartName="/xl/worksheets/sheet49380.xml"/>
  <Override ContentType="application/vnd.openxmlformats-officedocument.spreadsheetml.worksheet+xml" PartName="/xl/worksheets/sheet49381.xml"/>
  <Override ContentType="application/vnd.openxmlformats-officedocument.spreadsheetml.worksheet+xml" PartName="/xl/worksheets/sheet49382.xml"/>
  <Override ContentType="application/vnd.openxmlformats-officedocument.spreadsheetml.worksheet+xml" PartName="/xl/worksheets/sheet49383.xml"/>
  <Override ContentType="application/vnd.openxmlformats-officedocument.spreadsheetml.worksheet+xml" PartName="/xl/worksheets/sheet49384.xml"/>
  <Override ContentType="application/vnd.openxmlformats-officedocument.spreadsheetml.worksheet+xml" PartName="/xl/worksheets/sheet49385.xml"/>
  <Override ContentType="application/vnd.openxmlformats-officedocument.spreadsheetml.worksheet+xml" PartName="/xl/worksheets/sheet49386.xml"/>
  <Override ContentType="application/vnd.openxmlformats-officedocument.spreadsheetml.worksheet+xml" PartName="/xl/worksheets/sheet49387.xml"/>
  <Override ContentType="application/vnd.openxmlformats-officedocument.spreadsheetml.worksheet+xml" PartName="/xl/worksheets/sheet49388.xml"/>
  <Override ContentType="application/vnd.openxmlformats-officedocument.spreadsheetml.worksheet+xml" PartName="/xl/worksheets/sheet49389.xml"/>
  <Override ContentType="application/vnd.openxmlformats-officedocument.spreadsheetml.worksheet+xml" PartName="/xl/worksheets/sheet49390.xml"/>
  <Override ContentType="application/vnd.openxmlformats-officedocument.spreadsheetml.worksheet+xml" PartName="/xl/worksheets/sheet49391.xml"/>
  <Override ContentType="application/vnd.openxmlformats-officedocument.spreadsheetml.worksheet+xml" PartName="/xl/worksheets/sheet49392.xml"/>
  <Override ContentType="application/vnd.openxmlformats-officedocument.spreadsheetml.worksheet+xml" PartName="/xl/worksheets/sheet49393.xml"/>
  <Override ContentType="application/vnd.openxmlformats-officedocument.spreadsheetml.worksheet+xml" PartName="/xl/worksheets/sheet49394.xml"/>
  <Override ContentType="application/vnd.openxmlformats-officedocument.spreadsheetml.worksheet+xml" PartName="/xl/worksheets/sheet49395.xml"/>
  <Override ContentType="application/vnd.openxmlformats-officedocument.spreadsheetml.worksheet+xml" PartName="/xl/worksheets/sheet49396.xml"/>
  <Override ContentType="application/vnd.openxmlformats-officedocument.spreadsheetml.worksheet+xml" PartName="/xl/worksheets/sheet49397.xml"/>
  <Override ContentType="application/vnd.openxmlformats-officedocument.spreadsheetml.worksheet+xml" PartName="/xl/worksheets/sheet49398.xml"/>
  <Override ContentType="application/vnd.openxmlformats-officedocument.spreadsheetml.worksheet+xml" PartName="/xl/worksheets/sheet49399.xml"/>
  <Override ContentType="application/vnd.openxmlformats-officedocument.spreadsheetml.worksheet+xml" PartName="/xl/worksheets/sheet49400.xml"/>
  <Override ContentType="application/vnd.openxmlformats-officedocument.spreadsheetml.worksheet+xml" PartName="/xl/worksheets/sheet49401.xml"/>
  <Override ContentType="application/vnd.openxmlformats-officedocument.spreadsheetml.worksheet+xml" PartName="/xl/worksheets/sheet49402.xml"/>
  <Override ContentType="application/vnd.openxmlformats-officedocument.spreadsheetml.worksheet+xml" PartName="/xl/worksheets/sheet49403.xml"/>
  <Override ContentType="application/vnd.openxmlformats-officedocument.spreadsheetml.worksheet+xml" PartName="/xl/worksheets/sheet49404.xml"/>
  <Override ContentType="application/vnd.openxmlformats-officedocument.spreadsheetml.worksheet+xml" PartName="/xl/worksheets/sheet49405.xml"/>
  <Override ContentType="application/vnd.openxmlformats-officedocument.spreadsheetml.worksheet+xml" PartName="/xl/worksheets/sheet49406.xml"/>
  <Override ContentType="application/vnd.openxmlformats-officedocument.spreadsheetml.worksheet+xml" PartName="/xl/worksheets/sheet49407.xml"/>
  <Override ContentType="application/vnd.openxmlformats-officedocument.spreadsheetml.worksheet+xml" PartName="/xl/worksheets/sheet49408.xml"/>
  <Override ContentType="application/vnd.openxmlformats-officedocument.spreadsheetml.worksheet+xml" PartName="/xl/worksheets/sheet49409.xml"/>
  <Override ContentType="application/vnd.openxmlformats-officedocument.spreadsheetml.worksheet+xml" PartName="/xl/worksheets/sheet49410.xml"/>
  <Override ContentType="application/vnd.openxmlformats-officedocument.spreadsheetml.worksheet+xml" PartName="/xl/worksheets/sheet49411.xml"/>
  <Override ContentType="application/vnd.openxmlformats-officedocument.spreadsheetml.worksheet+xml" PartName="/xl/worksheets/sheet49412.xml"/>
  <Override ContentType="application/vnd.openxmlformats-officedocument.spreadsheetml.worksheet+xml" PartName="/xl/worksheets/sheet49413.xml"/>
  <Override ContentType="application/vnd.openxmlformats-officedocument.spreadsheetml.worksheet+xml" PartName="/xl/worksheets/sheet49414.xml"/>
  <Override ContentType="application/vnd.openxmlformats-officedocument.spreadsheetml.worksheet+xml" PartName="/xl/worksheets/sheet49415.xml"/>
  <Override ContentType="application/vnd.openxmlformats-officedocument.spreadsheetml.worksheet+xml" PartName="/xl/worksheets/sheet49416.xml"/>
  <Override ContentType="application/vnd.openxmlformats-officedocument.spreadsheetml.worksheet+xml" PartName="/xl/worksheets/sheet49417.xml"/>
  <Override ContentType="application/vnd.openxmlformats-officedocument.spreadsheetml.worksheet+xml" PartName="/xl/worksheets/sheet49418.xml"/>
  <Override ContentType="application/vnd.openxmlformats-officedocument.spreadsheetml.worksheet+xml" PartName="/xl/worksheets/sheet49419.xml"/>
  <Override ContentType="application/vnd.openxmlformats-officedocument.spreadsheetml.worksheet+xml" PartName="/xl/worksheets/sheet49420.xml"/>
  <Override ContentType="application/vnd.openxmlformats-officedocument.spreadsheetml.worksheet+xml" PartName="/xl/worksheets/sheet49421.xml"/>
  <Override ContentType="application/vnd.openxmlformats-officedocument.spreadsheetml.worksheet+xml" PartName="/xl/worksheets/sheet49422.xml"/>
  <Override ContentType="application/vnd.openxmlformats-officedocument.spreadsheetml.worksheet+xml" PartName="/xl/worksheets/sheet49423.xml"/>
  <Override ContentType="application/vnd.openxmlformats-officedocument.spreadsheetml.worksheet+xml" PartName="/xl/worksheets/sheet49424.xml"/>
  <Override ContentType="application/vnd.openxmlformats-officedocument.spreadsheetml.worksheet+xml" PartName="/xl/worksheets/sheet49425.xml"/>
  <Override ContentType="application/vnd.openxmlformats-officedocument.spreadsheetml.worksheet+xml" PartName="/xl/worksheets/sheet49426.xml"/>
  <Override ContentType="application/vnd.openxmlformats-officedocument.spreadsheetml.worksheet+xml" PartName="/xl/worksheets/sheet49427.xml"/>
  <Override ContentType="application/vnd.openxmlformats-officedocument.spreadsheetml.worksheet+xml" PartName="/xl/worksheets/sheet49428.xml"/>
  <Override ContentType="application/vnd.openxmlformats-officedocument.spreadsheetml.worksheet+xml" PartName="/xl/worksheets/sheet49429.xml"/>
  <Override ContentType="application/vnd.openxmlformats-officedocument.spreadsheetml.worksheet+xml" PartName="/xl/worksheets/sheet49430.xml"/>
  <Override ContentType="application/vnd.openxmlformats-officedocument.spreadsheetml.worksheet+xml" PartName="/xl/worksheets/sheet49431.xml"/>
  <Override ContentType="application/vnd.openxmlformats-officedocument.spreadsheetml.worksheet+xml" PartName="/xl/worksheets/sheet49432.xml"/>
  <Override ContentType="application/vnd.openxmlformats-officedocument.spreadsheetml.worksheet+xml" PartName="/xl/worksheets/sheet49433.xml"/>
  <Override ContentType="application/vnd.openxmlformats-officedocument.spreadsheetml.worksheet+xml" PartName="/xl/worksheets/sheet49434.xml"/>
  <Override ContentType="application/vnd.openxmlformats-officedocument.spreadsheetml.worksheet+xml" PartName="/xl/worksheets/sheet49435.xml"/>
  <Override ContentType="application/vnd.openxmlformats-officedocument.spreadsheetml.worksheet+xml" PartName="/xl/worksheets/sheet49436.xml"/>
  <Override ContentType="application/vnd.openxmlformats-officedocument.spreadsheetml.worksheet+xml" PartName="/xl/worksheets/sheet49437.xml"/>
  <Override ContentType="application/vnd.openxmlformats-officedocument.spreadsheetml.worksheet+xml" PartName="/xl/worksheets/sheet49438.xml"/>
  <Override ContentType="application/vnd.openxmlformats-officedocument.spreadsheetml.worksheet+xml" PartName="/xl/worksheets/sheet49439.xml"/>
  <Override ContentType="application/vnd.openxmlformats-officedocument.spreadsheetml.worksheet+xml" PartName="/xl/worksheets/sheet49440.xml"/>
  <Override ContentType="application/vnd.openxmlformats-officedocument.spreadsheetml.worksheet+xml" PartName="/xl/worksheets/sheet49441.xml"/>
  <Override ContentType="application/vnd.openxmlformats-officedocument.spreadsheetml.worksheet+xml" PartName="/xl/worksheets/sheet49442.xml"/>
  <Override ContentType="application/vnd.openxmlformats-officedocument.spreadsheetml.worksheet+xml" PartName="/xl/worksheets/sheet49443.xml"/>
  <Override ContentType="application/vnd.openxmlformats-officedocument.spreadsheetml.worksheet+xml" PartName="/xl/worksheets/sheet49444.xml"/>
  <Override ContentType="application/vnd.openxmlformats-officedocument.spreadsheetml.worksheet+xml" PartName="/xl/worksheets/sheet49445.xml"/>
  <Override ContentType="application/vnd.openxmlformats-officedocument.spreadsheetml.worksheet+xml" PartName="/xl/worksheets/sheet49446.xml"/>
  <Override ContentType="application/vnd.openxmlformats-officedocument.spreadsheetml.worksheet+xml" PartName="/xl/worksheets/sheet49447.xml"/>
  <Override ContentType="application/vnd.openxmlformats-officedocument.spreadsheetml.worksheet+xml" PartName="/xl/worksheets/sheet49448.xml"/>
  <Override ContentType="application/vnd.openxmlformats-officedocument.spreadsheetml.worksheet+xml" PartName="/xl/worksheets/sheet49449.xml"/>
  <Override ContentType="application/vnd.openxmlformats-officedocument.spreadsheetml.worksheet+xml" PartName="/xl/worksheets/sheet49450.xml"/>
  <Override ContentType="application/vnd.openxmlformats-officedocument.spreadsheetml.worksheet+xml" PartName="/xl/worksheets/sheet49451.xml"/>
  <Override ContentType="application/vnd.openxmlformats-officedocument.spreadsheetml.worksheet+xml" PartName="/xl/worksheets/sheet49452.xml"/>
  <Override ContentType="application/vnd.openxmlformats-officedocument.spreadsheetml.worksheet+xml" PartName="/xl/worksheets/sheet49453.xml"/>
  <Override ContentType="application/vnd.openxmlformats-officedocument.spreadsheetml.worksheet+xml" PartName="/xl/worksheets/sheet49454.xml"/>
  <Override ContentType="application/vnd.openxmlformats-officedocument.spreadsheetml.worksheet+xml" PartName="/xl/worksheets/sheet49455.xml"/>
  <Override ContentType="application/vnd.openxmlformats-officedocument.spreadsheetml.worksheet+xml" PartName="/xl/worksheets/sheet49456.xml"/>
  <Override ContentType="application/vnd.openxmlformats-officedocument.spreadsheetml.worksheet+xml" PartName="/xl/worksheets/sheet49457.xml"/>
  <Override ContentType="application/vnd.openxmlformats-officedocument.spreadsheetml.worksheet+xml" PartName="/xl/worksheets/sheet49458.xml"/>
  <Override ContentType="application/vnd.openxmlformats-officedocument.spreadsheetml.worksheet+xml" PartName="/xl/worksheets/sheet49459.xml"/>
  <Override ContentType="application/vnd.openxmlformats-officedocument.spreadsheetml.worksheet+xml" PartName="/xl/worksheets/sheet49460.xml"/>
  <Override ContentType="application/vnd.openxmlformats-officedocument.spreadsheetml.worksheet+xml" PartName="/xl/worksheets/sheet49461.xml"/>
  <Override ContentType="application/vnd.openxmlformats-officedocument.spreadsheetml.worksheet+xml" PartName="/xl/worksheets/sheet49462.xml"/>
  <Override ContentType="application/vnd.openxmlformats-officedocument.spreadsheetml.worksheet+xml" PartName="/xl/worksheets/sheet49463.xml"/>
  <Override ContentType="application/vnd.openxmlformats-officedocument.spreadsheetml.worksheet+xml" PartName="/xl/worksheets/sheet49464.xml"/>
  <Override ContentType="application/vnd.openxmlformats-officedocument.spreadsheetml.worksheet+xml" PartName="/xl/worksheets/sheet49465.xml"/>
  <Override ContentType="application/vnd.openxmlformats-officedocument.spreadsheetml.worksheet+xml" PartName="/xl/worksheets/sheet49466.xml"/>
  <Override ContentType="application/vnd.openxmlformats-officedocument.spreadsheetml.worksheet+xml" PartName="/xl/worksheets/sheet49467.xml"/>
  <Override ContentType="application/vnd.openxmlformats-officedocument.spreadsheetml.worksheet+xml" PartName="/xl/worksheets/sheet49468.xml"/>
  <Override ContentType="application/vnd.openxmlformats-officedocument.spreadsheetml.worksheet+xml" PartName="/xl/worksheets/sheet49469.xml"/>
  <Override ContentType="application/vnd.openxmlformats-officedocument.spreadsheetml.worksheet+xml" PartName="/xl/worksheets/sheet49470.xml"/>
  <Override ContentType="application/vnd.openxmlformats-officedocument.spreadsheetml.worksheet+xml" PartName="/xl/worksheets/sheet49471.xml"/>
  <Override ContentType="application/vnd.openxmlformats-officedocument.spreadsheetml.worksheet+xml" PartName="/xl/worksheets/sheet49472.xml"/>
  <Override ContentType="application/vnd.openxmlformats-officedocument.spreadsheetml.worksheet+xml" PartName="/xl/worksheets/sheet49473.xml"/>
  <Override ContentType="application/vnd.openxmlformats-officedocument.spreadsheetml.worksheet+xml" PartName="/xl/worksheets/sheet49474.xml"/>
  <Override ContentType="application/vnd.openxmlformats-officedocument.spreadsheetml.worksheet+xml" PartName="/xl/worksheets/sheet49475.xml"/>
  <Override ContentType="application/vnd.openxmlformats-officedocument.spreadsheetml.worksheet+xml" PartName="/xl/worksheets/sheet49476.xml"/>
  <Override ContentType="application/vnd.openxmlformats-officedocument.spreadsheetml.worksheet+xml" PartName="/xl/worksheets/sheet49477.xml"/>
  <Override ContentType="application/vnd.openxmlformats-officedocument.spreadsheetml.worksheet+xml" PartName="/xl/worksheets/sheet49478.xml"/>
  <Override ContentType="application/vnd.openxmlformats-officedocument.spreadsheetml.worksheet+xml" PartName="/xl/worksheets/sheet49479.xml"/>
  <Override ContentType="application/vnd.openxmlformats-officedocument.spreadsheetml.worksheet+xml" PartName="/xl/worksheets/sheet49480.xml"/>
  <Override ContentType="application/vnd.openxmlformats-officedocument.spreadsheetml.worksheet+xml" PartName="/xl/worksheets/sheet49481.xml"/>
  <Override ContentType="application/vnd.openxmlformats-officedocument.spreadsheetml.worksheet+xml" PartName="/xl/worksheets/sheet49482.xml"/>
  <Override ContentType="application/vnd.openxmlformats-officedocument.spreadsheetml.worksheet+xml" PartName="/xl/worksheets/sheet49483.xml"/>
  <Override ContentType="application/vnd.openxmlformats-officedocument.spreadsheetml.worksheet+xml" PartName="/xl/worksheets/sheet49484.xml"/>
  <Override ContentType="application/vnd.openxmlformats-officedocument.spreadsheetml.worksheet+xml" PartName="/xl/worksheets/sheet49485.xml"/>
  <Override ContentType="application/vnd.openxmlformats-officedocument.spreadsheetml.worksheet+xml" PartName="/xl/worksheets/sheet49486.xml"/>
  <Override ContentType="application/vnd.openxmlformats-officedocument.spreadsheetml.worksheet+xml" PartName="/xl/worksheets/sheet49487.xml"/>
  <Override ContentType="application/vnd.openxmlformats-officedocument.spreadsheetml.worksheet+xml" PartName="/xl/worksheets/sheet49488.xml"/>
  <Override ContentType="application/vnd.openxmlformats-officedocument.spreadsheetml.worksheet+xml" PartName="/xl/worksheets/sheet49489.xml"/>
  <Override ContentType="application/vnd.openxmlformats-officedocument.spreadsheetml.worksheet+xml" PartName="/xl/worksheets/sheet49490.xml"/>
  <Override ContentType="application/vnd.openxmlformats-officedocument.spreadsheetml.worksheet+xml" PartName="/xl/worksheets/sheet49491.xml"/>
  <Override ContentType="application/vnd.openxmlformats-officedocument.spreadsheetml.worksheet+xml" PartName="/xl/worksheets/sheet49492.xml"/>
  <Override ContentType="application/vnd.openxmlformats-officedocument.spreadsheetml.worksheet+xml" PartName="/xl/worksheets/sheet49493.xml"/>
  <Override ContentType="application/vnd.openxmlformats-officedocument.spreadsheetml.worksheet+xml" PartName="/xl/worksheets/sheet49494.xml"/>
  <Override ContentType="application/vnd.openxmlformats-officedocument.spreadsheetml.worksheet+xml" PartName="/xl/worksheets/sheet49495.xml"/>
  <Override ContentType="application/vnd.openxmlformats-officedocument.spreadsheetml.worksheet+xml" PartName="/xl/worksheets/sheet49496.xml"/>
  <Override ContentType="application/vnd.openxmlformats-officedocument.spreadsheetml.worksheet+xml" PartName="/xl/worksheets/sheet49497.xml"/>
  <Override ContentType="application/vnd.openxmlformats-officedocument.spreadsheetml.worksheet+xml" PartName="/xl/worksheets/sheet49498.xml"/>
  <Override ContentType="application/vnd.openxmlformats-officedocument.spreadsheetml.worksheet+xml" PartName="/xl/worksheets/sheet49499.xml"/>
  <Override ContentType="application/vnd.openxmlformats-officedocument.spreadsheetml.worksheet+xml" PartName="/xl/worksheets/sheet49500.xml"/>
  <Override ContentType="application/vnd.openxmlformats-officedocument.spreadsheetml.worksheet+xml" PartName="/xl/worksheets/sheet49501.xml"/>
  <Override ContentType="application/vnd.openxmlformats-officedocument.spreadsheetml.worksheet+xml" PartName="/xl/worksheets/sheet49502.xml"/>
  <Override ContentType="application/vnd.openxmlformats-officedocument.spreadsheetml.worksheet+xml" PartName="/xl/worksheets/sheet49503.xml"/>
  <Override ContentType="application/vnd.openxmlformats-officedocument.spreadsheetml.worksheet+xml" PartName="/xl/worksheets/sheet49504.xml"/>
  <Override ContentType="application/vnd.openxmlformats-officedocument.spreadsheetml.worksheet+xml" PartName="/xl/worksheets/sheet49505.xml"/>
  <Override ContentType="application/vnd.openxmlformats-officedocument.spreadsheetml.worksheet+xml" PartName="/xl/worksheets/sheet49506.xml"/>
  <Override ContentType="application/vnd.openxmlformats-officedocument.spreadsheetml.worksheet+xml" PartName="/xl/worksheets/sheet49507.xml"/>
  <Override ContentType="application/vnd.openxmlformats-officedocument.spreadsheetml.worksheet+xml" PartName="/xl/worksheets/sheet49508.xml"/>
  <Override ContentType="application/vnd.openxmlformats-officedocument.spreadsheetml.worksheet+xml" PartName="/xl/worksheets/sheet49509.xml"/>
  <Override ContentType="application/vnd.openxmlformats-officedocument.spreadsheetml.worksheet+xml" PartName="/xl/worksheets/sheet49510.xml"/>
  <Override ContentType="application/vnd.openxmlformats-officedocument.spreadsheetml.worksheet+xml" PartName="/xl/worksheets/sheet49511.xml"/>
  <Override ContentType="application/vnd.openxmlformats-officedocument.spreadsheetml.worksheet+xml" PartName="/xl/worksheets/sheet49512.xml"/>
  <Override ContentType="application/vnd.openxmlformats-officedocument.spreadsheetml.worksheet+xml" PartName="/xl/worksheets/sheet49513.xml"/>
  <Override ContentType="application/vnd.openxmlformats-officedocument.spreadsheetml.worksheet+xml" PartName="/xl/worksheets/sheet49514.xml"/>
  <Override ContentType="application/vnd.openxmlformats-officedocument.spreadsheetml.worksheet+xml" PartName="/xl/worksheets/sheet49515.xml"/>
  <Override ContentType="application/vnd.openxmlformats-officedocument.spreadsheetml.worksheet+xml" PartName="/xl/worksheets/sheet49516.xml"/>
  <Override ContentType="application/vnd.openxmlformats-officedocument.spreadsheetml.worksheet+xml" PartName="/xl/worksheets/sheet49517.xml"/>
  <Override ContentType="application/vnd.openxmlformats-officedocument.spreadsheetml.worksheet+xml" PartName="/xl/worksheets/sheet49518.xml"/>
  <Override ContentType="application/vnd.openxmlformats-officedocument.spreadsheetml.worksheet+xml" PartName="/xl/worksheets/sheet49519.xml"/>
  <Override ContentType="application/vnd.openxmlformats-officedocument.spreadsheetml.worksheet+xml" PartName="/xl/worksheets/sheet49520.xml"/>
  <Override ContentType="application/vnd.openxmlformats-officedocument.spreadsheetml.worksheet+xml" PartName="/xl/worksheets/sheet49521.xml"/>
  <Override ContentType="application/vnd.openxmlformats-officedocument.spreadsheetml.worksheet+xml" PartName="/xl/worksheets/sheet49522.xml"/>
  <Override ContentType="application/vnd.openxmlformats-officedocument.spreadsheetml.worksheet+xml" PartName="/xl/worksheets/sheet49523.xml"/>
  <Override ContentType="application/vnd.openxmlformats-officedocument.spreadsheetml.worksheet+xml" PartName="/xl/worksheets/sheet49524.xml"/>
  <Override ContentType="application/vnd.openxmlformats-officedocument.spreadsheetml.worksheet+xml" PartName="/xl/worksheets/sheet49525.xml"/>
  <Override ContentType="application/vnd.openxmlformats-officedocument.spreadsheetml.worksheet+xml" PartName="/xl/worksheets/sheet49526.xml"/>
  <Override ContentType="application/vnd.openxmlformats-officedocument.spreadsheetml.worksheet+xml" PartName="/xl/worksheets/sheet49527.xml"/>
  <Override ContentType="application/vnd.openxmlformats-officedocument.spreadsheetml.worksheet+xml" PartName="/xl/worksheets/sheet49528.xml"/>
  <Override ContentType="application/vnd.openxmlformats-officedocument.spreadsheetml.worksheet+xml" PartName="/xl/worksheets/sheet49529.xml"/>
  <Override ContentType="application/vnd.openxmlformats-officedocument.spreadsheetml.worksheet+xml" PartName="/xl/worksheets/sheet49530.xml"/>
  <Override ContentType="application/vnd.openxmlformats-officedocument.spreadsheetml.worksheet+xml" PartName="/xl/worksheets/sheet49531.xml"/>
  <Override ContentType="application/vnd.openxmlformats-officedocument.spreadsheetml.worksheet+xml" PartName="/xl/worksheets/sheet49532.xml"/>
  <Override ContentType="application/vnd.openxmlformats-officedocument.spreadsheetml.worksheet+xml" PartName="/xl/worksheets/sheet49533.xml"/>
  <Override ContentType="application/vnd.openxmlformats-officedocument.spreadsheetml.worksheet+xml" PartName="/xl/worksheets/sheet49534.xml"/>
  <Override ContentType="application/vnd.openxmlformats-officedocument.spreadsheetml.worksheet+xml" PartName="/xl/worksheets/sheet49535.xml"/>
  <Override ContentType="application/vnd.openxmlformats-officedocument.spreadsheetml.worksheet+xml" PartName="/xl/worksheets/sheet49536.xml"/>
  <Override ContentType="application/vnd.openxmlformats-officedocument.spreadsheetml.worksheet+xml" PartName="/xl/worksheets/sheet49537.xml"/>
  <Override ContentType="application/vnd.openxmlformats-officedocument.spreadsheetml.worksheet+xml" PartName="/xl/worksheets/sheet49538.xml"/>
  <Override ContentType="application/vnd.openxmlformats-officedocument.spreadsheetml.worksheet+xml" PartName="/xl/worksheets/sheet49539.xml"/>
  <Override ContentType="application/vnd.openxmlformats-officedocument.spreadsheetml.worksheet+xml" PartName="/xl/worksheets/sheet49540.xml"/>
  <Override ContentType="application/vnd.openxmlformats-officedocument.spreadsheetml.worksheet+xml" PartName="/xl/worksheets/sheet49541.xml"/>
  <Override ContentType="application/vnd.openxmlformats-officedocument.spreadsheetml.worksheet+xml" PartName="/xl/worksheets/sheet49542.xml"/>
  <Override ContentType="application/vnd.openxmlformats-officedocument.spreadsheetml.worksheet+xml" PartName="/xl/worksheets/sheet49543.xml"/>
  <Override ContentType="application/vnd.openxmlformats-officedocument.spreadsheetml.worksheet+xml" PartName="/xl/worksheets/sheet49544.xml"/>
  <Override ContentType="application/vnd.openxmlformats-officedocument.spreadsheetml.worksheet+xml" PartName="/xl/worksheets/sheet49545.xml"/>
  <Override ContentType="application/vnd.openxmlformats-officedocument.spreadsheetml.worksheet+xml" PartName="/xl/worksheets/sheet49546.xml"/>
  <Override ContentType="application/vnd.openxmlformats-officedocument.spreadsheetml.worksheet+xml" PartName="/xl/worksheets/sheet49547.xml"/>
  <Override ContentType="application/vnd.openxmlformats-officedocument.spreadsheetml.worksheet+xml" PartName="/xl/worksheets/sheet49548.xml"/>
  <Override ContentType="application/vnd.openxmlformats-officedocument.spreadsheetml.worksheet+xml" PartName="/xl/worksheets/sheet49549.xml"/>
  <Override ContentType="application/vnd.openxmlformats-officedocument.spreadsheetml.worksheet+xml" PartName="/xl/worksheets/sheet49550.xml"/>
  <Override ContentType="application/vnd.openxmlformats-officedocument.spreadsheetml.worksheet+xml" PartName="/xl/worksheets/sheet49551.xml"/>
  <Override ContentType="application/vnd.openxmlformats-officedocument.spreadsheetml.worksheet+xml" PartName="/xl/worksheets/sheet49552.xml"/>
  <Override ContentType="application/vnd.openxmlformats-officedocument.spreadsheetml.worksheet+xml" PartName="/xl/worksheets/sheet49553.xml"/>
  <Override ContentType="application/vnd.openxmlformats-officedocument.spreadsheetml.worksheet+xml" PartName="/xl/worksheets/sheet49554.xml"/>
  <Override ContentType="application/vnd.openxmlformats-officedocument.spreadsheetml.worksheet+xml" PartName="/xl/worksheets/sheet49555.xml"/>
  <Override ContentType="application/vnd.openxmlformats-officedocument.spreadsheetml.worksheet+xml" PartName="/xl/worksheets/sheet49556.xml"/>
  <Override ContentType="application/vnd.openxmlformats-officedocument.spreadsheetml.worksheet+xml" PartName="/xl/worksheets/sheet49557.xml"/>
  <Override ContentType="application/vnd.openxmlformats-officedocument.spreadsheetml.worksheet+xml" PartName="/xl/worksheets/sheet49558.xml"/>
  <Override ContentType="application/vnd.openxmlformats-officedocument.spreadsheetml.worksheet+xml" PartName="/xl/worksheets/sheet49559.xml"/>
  <Override ContentType="application/vnd.openxmlformats-officedocument.spreadsheetml.worksheet+xml" PartName="/xl/worksheets/sheet49560.xml"/>
  <Override ContentType="application/vnd.openxmlformats-officedocument.spreadsheetml.worksheet+xml" PartName="/xl/worksheets/sheet49561.xml"/>
  <Override ContentType="application/vnd.openxmlformats-officedocument.spreadsheetml.worksheet+xml" PartName="/xl/worksheets/sheet49562.xml"/>
  <Override ContentType="application/vnd.openxmlformats-officedocument.spreadsheetml.worksheet+xml" PartName="/xl/worksheets/sheet49563.xml"/>
  <Override ContentType="application/vnd.openxmlformats-officedocument.spreadsheetml.worksheet+xml" PartName="/xl/worksheets/sheet49564.xml"/>
  <Override ContentType="application/vnd.openxmlformats-officedocument.spreadsheetml.worksheet+xml" PartName="/xl/worksheets/sheet49565.xml"/>
  <Override ContentType="application/vnd.openxmlformats-officedocument.spreadsheetml.worksheet+xml" PartName="/xl/worksheets/sheet49566.xml"/>
  <Override ContentType="application/vnd.openxmlformats-officedocument.spreadsheetml.worksheet+xml" PartName="/xl/worksheets/sheet49567.xml"/>
  <Override ContentType="application/vnd.openxmlformats-officedocument.spreadsheetml.worksheet+xml" PartName="/xl/worksheets/sheet49568.xml"/>
  <Override ContentType="application/vnd.openxmlformats-officedocument.spreadsheetml.worksheet+xml" PartName="/xl/worksheets/sheet49569.xml"/>
  <Override ContentType="application/vnd.openxmlformats-officedocument.spreadsheetml.worksheet+xml" PartName="/xl/worksheets/sheet49570.xml"/>
  <Override ContentType="application/vnd.openxmlformats-officedocument.spreadsheetml.worksheet+xml" PartName="/xl/worksheets/sheet49571.xml"/>
  <Override ContentType="application/vnd.openxmlformats-officedocument.spreadsheetml.worksheet+xml" PartName="/xl/worksheets/sheet49572.xml"/>
  <Override ContentType="application/vnd.openxmlformats-officedocument.spreadsheetml.worksheet+xml" PartName="/xl/worksheets/sheet49573.xml"/>
  <Override ContentType="application/vnd.openxmlformats-officedocument.spreadsheetml.worksheet+xml" PartName="/xl/worksheets/sheet49574.xml"/>
  <Override ContentType="application/vnd.openxmlformats-officedocument.spreadsheetml.worksheet+xml" PartName="/xl/worksheets/sheet49575.xml"/>
  <Override ContentType="application/vnd.openxmlformats-officedocument.spreadsheetml.worksheet+xml" PartName="/xl/worksheets/sheet49576.xml"/>
  <Override ContentType="application/vnd.openxmlformats-officedocument.spreadsheetml.worksheet+xml" PartName="/xl/worksheets/sheet49577.xml"/>
  <Override ContentType="application/vnd.openxmlformats-officedocument.spreadsheetml.worksheet+xml" PartName="/xl/worksheets/sheet49578.xml"/>
  <Override ContentType="application/vnd.openxmlformats-officedocument.spreadsheetml.worksheet+xml" PartName="/xl/worksheets/sheet49579.xml"/>
  <Override ContentType="application/vnd.openxmlformats-officedocument.spreadsheetml.worksheet+xml" PartName="/xl/worksheets/sheet49580.xml"/>
  <Override ContentType="application/vnd.openxmlformats-officedocument.spreadsheetml.worksheet+xml" PartName="/xl/worksheets/sheet49581.xml"/>
  <Override ContentType="application/vnd.openxmlformats-officedocument.spreadsheetml.worksheet+xml" PartName="/xl/worksheets/sheet49582.xml"/>
  <Override ContentType="application/vnd.openxmlformats-officedocument.spreadsheetml.worksheet+xml" PartName="/xl/worksheets/sheet49583.xml"/>
  <Override ContentType="application/vnd.openxmlformats-officedocument.spreadsheetml.worksheet+xml" PartName="/xl/worksheets/sheet49584.xml"/>
  <Override ContentType="application/vnd.openxmlformats-officedocument.spreadsheetml.worksheet+xml" PartName="/xl/worksheets/sheet49585.xml"/>
  <Override ContentType="application/vnd.openxmlformats-officedocument.spreadsheetml.worksheet+xml" PartName="/xl/worksheets/sheet49586.xml"/>
  <Override ContentType="application/vnd.openxmlformats-officedocument.spreadsheetml.worksheet+xml" PartName="/xl/worksheets/sheet49587.xml"/>
  <Override ContentType="application/vnd.openxmlformats-officedocument.spreadsheetml.worksheet+xml" PartName="/xl/worksheets/sheet49588.xml"/>
  <Override ContentType="application/vnd.openxmlformats-officedocument.spreadsheetml.worksheet+xml" PartName="/xl/worksheets/sheet49589.xml"/>
  <Override ContentType="application/vnd.openxmlformats-officedocument.spreadsheetml.worksheet+xml" PartName="/xl/worksheets/sheet49590.xml"/>
  <Override ContentType="application/vnd.openxmlformats-officedocument.spreadsheetml.worksheet+xml" PartName="/xl/worksheets/sheet49591.xml"/>
  <Override ContentType="application/vnd.openxmlformats-officedocument.spreadsheetml.worksheet+xml" PartName="/xl/worksheets/sheet49592.xml"/>
  <Override ContentType="application/vnd.openxmlformats-officedocument.spreadsheetml.worksheet+xml" PartName="/xl/worksheets/sheet49593.xml"/>
  <Override ContentType="application/vnd.openxmlformats-officedocument.spreadsheetml.worksheet+xml" PartName="/xl/worksheets/sheet49594.xml"/>
  <Override ContentType="application/vnd.openxmlformats-officedocument.spreadsheetml.worksheet+xml" PartName="/xl/worksheets/sheet49595.xml"/>
  <Override ContentType="application/vnd.openxmlformats-officedocument.spreadsheetml.worksheet+xml" PartName="/xl/worksheets/sheet49596.xml"/>
  <Override ContentType="application/vnd.openxmlformats-officedocument.spreadsheetml.worksheet+xml" PartName="/xl/worksheets/sheet49597.xml"/>
  <Override ContentType="application/vnd.openxmlformats-officedocument.spreadsheetml.worksheet+xml" PartName="/xl/worksheets/sheet49598.xml"/>
  <Override ContentType="application/vnd.openxmlformats-officedocument.spreadsheetml.worksheet+xml" PartName="/xl/worksheets/sheet49599.xml"/>
  <Override ContentType="application/vnd.openxmlformats-officedocument.spreadsheetml.worksheet+xml" PartName="/xl/worksheets/sheet49600.xml"/>
  <Override ContentType="application/vnd.openxmlformats-officedocument.spreadsheetml.worksheet+xml" PartName="/xl/worksheets/sheet49601.xml"/>
  <Override ContentType="application/vnd.openxmlformats-officedocument.spreadsheetml.worksheet+xml" PartName="/xl/worksheets/sheet49602.xml"/>
  <Override ContentType="application/vnd.openxmlformats-officedocument.spreadsheetml.worksheet+xml" PartName="/xl/worksheets/sheet49603.xml"/>
  <Override ContentType="application/vnd.openxmlformats-officedocument.spreadsheetml.worksheet+xml" PartName="/xl/worksheets/sheet49604.xml"/>
  <Override ContentType="application/vnd.openxmlformats-officedocument.spreadsheetml.worksheet+xml" PartName="/xl/worksheets/sheet49605.xml"/>
  <Override ContentType="application/vnd.openxmlformats-officedocument.spreadsheetml.worksheet+xml" PartName="/xl/worksheets/sheet49606.xml"/>
  <Override ContentType="application/vnd.openxmlformats-officedocument.spreadsheetml.worksheet+xml" PartName="/xl/worksheets/sheet49607.xml"/>
  <Override ContentType="application/vnd.openxmlformats-officedocument.spreadsheetml.worksheet+xml" PartName="/xl/worksheets/sheet49608.xml"/>
  <Override ContentType="application/vnd.openxmlformats-officedocument.spreadsheetml.worksheet+xml" PartName="/xl/worksheets/sheet49609.xml"/>
  <Override ContentType="application/vnd.openxmlformats-officedocument.spreadsheetml.worksheet+xml" PartName="/xl/worksheets/sheet49610.xml"/>
  <Override ContentType="application/vnd.openxmlformats-officedocument.spreadsheetml.worksheet+xml" PartName="/xl/worksheets/sheet49611.xml"/>
  <Override ContentType="application/vnd.openxmlformats-officedocument.spreadsheetml.worksheet+xml" PartName="/xl/worksheets/sheet49612.xml"/>
  <Override ContentType="application/vnd.openxmlformats-officedocument.spreadsheetml.worksheet+xml" PartName="/xl/worksheets/sheet49613.xml"/>
  <Override ContentType="application/vnd.openxmlformats-officedocument.spreadsheetml.worksheet+xml" PartName="/xl/worksheets/sheet49614.xml"/>
  <Override ContentType="application/vnd.openxmlformats-officedocument.spreadsheetml.worksheet+xml" PartName="/xl/worksheets/sheet49615.xml"/>
  <Override ContentType="application/vnd.openxmlformats-officedocument.spreadsheetml.worksheet+xml" PartName="/xl/worksheets/sheet49616.xml"/>
  <Override ContentType="application/vnd.openxmlformats-officedocument.spreadsheetml.worksheet+xml" PartName="/xl/worksheets/sheet49617.xml"/>
  <Override ContentType="application/vnd.openxmlformats-officedocument.spreadsheetml.worksheet+xml" PartName="/xl/worksheets/sheet49618.xml"/>
  <Override ContentType="application/vnd.openxmlformats-officedocument.spreadsheetml.worksheet+xml" PartName="/xl/worksheets/sheet49619.xml"/>
  <Override ContentType="application/vnd.openxmlformats-officedocument.spreadsheetml.worksheet+xml" PartName="/xl/worksheets/sheet49620.xml"/>
  <Override ContentType="application/vnd.openxmlformats-officedocument.spreadsheetml.worksheet+xml" PartName="/xl/worksheets/sheet49621.xml"/>
  <Override ContentType="application/vnd.openxmlformats-officedocument.spreadsheetml.worksheet+xml" PartName="/xl/worksheets/sheet49622.xml"/>
  <Override ContentType="application/vnd.openxmlformats-officedocument.spreadsheetml.worksheet+xml" PartName="/xl/worksheets/sheet49623.xml"/>
  <Override ContentType="application/vnd.openxmlformats-officedocument.spreadsheetml.worksheet+xml" PartName="/xl/worksheets/sheet49624.xml"/>
  <Override ContentType="application/vnd.openxmlformats-officedocument.spreadsheetml.worksheet+xml" PartName="/xl/worksheets/sheet49625.xml"/>
  <Override ContentType="application/vnd.openxmlformats-officedocument.spreadsheetml.worksheet+xml" PartName="/xl/worksheets/sheet49626.xml"/>
  <Override ContentType="application/vnd.openxmlformats-officedocument.spreadsheetml.worksheet+xml" PartName="/xl/worksheets/sheet49627.xml"/>
  <Override ContentType="application/vnd.openxmlformats-officedocument.spreadsheetml.worksheet+xml" PartName="/xl/worksheets/sheet49628.xml"/>
  <Override ContentType="application/vnd.openxmlformats-officedocument.spreadsheetml.worksheet+xml" PartName="/xl/worksheets/sheet49629.xml"/>
  <Override ContentType="application/vnd.openxmlformats-officedocument.spreadsheetml.worksheet+xml" PartName="/xl/worksheets/sheet49630.xml"/>
  <Override ContentType="application/vnd.openxmlformats-officedocument.spreadsheetml.worksheet+xml" PartName="/xl/worksheets/sheet49631.xml"/>
  <Override ContentType="application/vnd.openxmlformats-officedocument.spreadsheetml.worksheet+xml" PartName="/xl/worksheets/sheet49632.xml"/>
  <Override ContentType="application/vnd.openxmlformats-officedocument.spreadsheetml.worksheet+xml" PartName="/xl/worksheets/sheet49633.xml"/>
  <Override ContentType="application/vnd.openxmlformats-officedocument.spreadsheetml.worksheet+xml" PartName="/xl/worksheets/sheet49634.xml"/>
  <Override ContentType="application/vnd.openxmlformats-officedocument.spreadsheetml.worksheet+xml" PartName="/xl/worksheets/sheet49635.xml"/>
  <Override ContentType="application/vnd.openxmlformats-officedocument.spreadsheetml.worksheet+xml" PartName="/xl/worksheets/sheet49636.xml"/>
  <Override ContentType="application/vnd.openxmlformats-officedocument.spreadsheetml.worksheet+xml" PartName="/xl/worksheets/sheet49637.xml"/>
  <Override ContentType="application/vnd.openxmlformats-officedocument.spreadsheetml.worksheet+xml" PartName="/xl/worksheets/sheet49638.xml"/>
  <Override ContentType="application/vnd.openxmlformats-officedocument.spreadsheetml.worksheet+xml" PartName="/xl/worksheets/sheet49639.xml"/>
  <Override ContentType="application/vnd.openxmlformats-officedocument.spreadsheetml.worksheet+xml" PartName="/xl/worksheets/sheet49640.xml"/>
  <Override ContentType="application/vnd.openxmlformats-officedocument.spreadsheetml.worksheet+xml" PartName="/xl/worksheets/sheet49641.xml"/>
  <Override ContentType="application/vnd.openxmlformats-officedocument.spreadsheetml.worksheet+xml" PartName="/xl/worksheets/sheet49642.xml"/>
  <Override ContentType="application/vnd.openxmlformats-officedocument.spreadsheetml.worksheet+xml" PartName="/xl/worksheets/sheet49643.xml"/>
  <Override ContentType="application/vnd.openxmlformats-officedocument.spreadsheetml.worksheet+xml" PartName="/xl/worksheets/sheet49644.xml"/>
  <Override ContentType="application/vnd.openxmlformats-officedocument.spreadsheetml.worksheet+xml" PartName="/xl/worksheets/sheet49645.xml"/>
  <Override ContentType="application/vnd.openxmlformats-officedocument.spreadsheetml.worksheet+xml" PartName="/xl/worksheets/sheet49646.xml"/>
  <Override ContentType="application/vnd.openxmlformats-officedocument.spreadsheetml.worksheet+xml" PartName="/xl/worksheets/sheet49647.xml"/>
  <Override ContentType="application/vnd.openxmlformats-officedocument.spreadsheetml.worksheet+xml" PartName="/xl/worksheets/sheet49648.xml"/>
  <Override ContentType="application/vnd.openxmlformats-officedocument.spreadsheetml.worksheet+xml" PartName="/xl/worksheets/sheet49649.xml"/>
  <Override ContentType="application/vnd.openxmlformats-officedocument.spreadsheetml.worksheet+xml" PartName="/xl/worksheets/sheet49650.xml"/>
  <Override ContentType="application/vnd.openxmlformats-officedocument.spreadsheetml.worksheet+xml" PartName="/xl/worksheets/sheet49651.xml"/>
  <Override ContentType="application/vnd.openxmlformats-officedocument.spreadsheetml.worksheet+xml" PartName="/xl/worksheets/sheet49652.xml"/>
  <Override ContentType="application/vnd.openxmlformats-officedocument.spreadsheetml.worksheet+xml" PartName="/xl/worksheets/sheet49653.xml"/>
  <Override ContentType="application/vnd.openxmlformats-officedocument.spreadsheetml.worksheet+xml" PartName="/xl/worksheets/sheet49654.xml"/>
  <Override ContentType="application/vnd.openxmlformats-officedocument.spreadsheetml.worksheet+xml" PartName="/xl/worksheets/sheet49655.xml"/>
  <Override ContentType="application/vnd.openxmlformats-officedocument.spreadsheetml.worksheet+xml" PartName="/xl/worksheets/sheet49656.xml"/>
  <Override ContentType="application/vnd.openxmlformats-officedocument.spreadsheetml.worksheet+xml" PartName="/xl/worksheets/sheet49657.xml"/>
  <Override ContentType="application/vnd.openxmlformats-officedocument.spreadsheetml.worksheet+xml" PartName="/xl/worksheets/sheet49658.xml"/>
  <Override ContentType="application/vnd.openxmlformats-officedocument.spreadsheetml.worksheet+xml" PartName="/xl/worksheets/sheet49659.xml"/>
  <Override ContentType="application/vnd.openxmlformats-officedocument.spreadsheetml.worksheet+xml" PartName="/xl/worksheets/sheet49660.xml"/>
  <Override ContentType="application/vnd.openxmlformats-officedocument.spreadsheetml.worksheet+xml" PartName="/xl/worksheets/sheet49661.xml"/>
  <Override ContentType="application/vnd.openxmlformats-officedocument.spreadsheetml.worksheet+xml" PartName="/xl/worksheets/sheet49662.xml"/>
  <Override ContentType="application/vnd.openxmlformats-officedocument.spreadsheetml.worksheet+xml" PartName="/xl/worksheets/sheet49663.xml"/>
  <Override ContentType="application/vnd.openxmlformats-officedocument.spreadsheetml.worksheet+xml" PartName="/xl/worksheets/sheet49664.xml"/>
  <Override ContentType="application/vnd.openxmlformats-officedocument.spreadsheetml.worksheet+xml" PartName="/xl/worksheets/sheet49665.xml"/>
  <Override ContentType="application/vnd.openxmlformats-officedocument.spreadsheetml.worksheet+xml" PartName="/xl/worksheets/sheet49666.xml"/>
  <Override ContentType="application/vnd.openxmlformats-officedocument.spreadsheetml.worksheet+xml" PartName="/xl/worksheets/sheet49667.xml"/>
  <Override ContentType="application/vnd.openxmlformats-officedocument.spreadsheetml.worksheet+xml" PartName="/xl/worksheets/sheet49668.xml"/>
  <Override ContentType="application/vnd.openxmlformats-officedocument.spreadsheetml.worksheet+xml" PartName="/xl/worksheets/sheet49669.xml"/>
  <Override ContentType="application/vnd.openxmlformats-officedocument.spreadsheetml.worksheet+xml" PartName="/xl/worksheets/sheet49670.xml"/>
  <Override ContentType="application/vnd.openxmlformats-officedocument.spreadsheetml.worksheet+xml" PartName="/xl/worksheets/sheet49671.xml"/>
  <Override ContentType="application/vnd.openxmlformats-officedocument.spreadsheetml.worksheet+xml" PartName="/xl/worksheets/sheet49672.xml"/>
  <Override ContentType="application/vnd.openxmlformats-officedocument.spreadsheetml.worksheet+xml" PartName="/xl/worksheets/sheet49673.xml"/>
  <Override ContentType="application/vnd.openxmlformats-officedocument.spreadsheetml.worksheet+xml" PartName="/xl/worksheets/sheet49674.xml"/>
  <Override ContentType="application/vnd.openxmlformats-officedocument.spreadsheetml.worksheet+xml" PartName="/xl/worksheets/sheet49675.xml"/>
  <Override ContentType="application/vnd.openxmlformats-officedocument.spreadsheetml.worksheet+xml" PartName="/xl/worksheets/sheet49676.xml"/>
  <Override ContentType="application/vnd.openxmlformats-officedocument.spreadsheetml.worksheet+xml" PartName="/xl/worksheets/sheet49677.xml"/>
  <Override ContentType="application/vnd.openxmlformats-officedocument.spreadsheetml.worksheet+xml" PartName="/xl/worksheets/sheet49678.xml"/>
  <Override ContentType="application/vnd.openxmlformats-officedocument.spreadsheetml.worksheet+xml" PartName="/xl/worksheets/sheet49679.xml"/>
  <Override ContentType="application/vnd.openxmlformats-officedocument.spreadsheetml.worksheet+xml" PartName="/xl/worksheets/sheet49680.xml"/>
  <Override ContentType="application/vnd.openxmlformats-officedocument.spreadsheetml.worksheet+xml" PartName="/xl/worksheets/sheet49681.xml"/>
  <Override ContentType="application/vnd.openxmlformats-officedocument.spreadsheetml.worksheet+xml" PartName="/xl/worksheets/sheet49682.xml"/>
  <Override ContentType="application/vnd.openxmlformats-officedocument.spreadsheetml.worksheet+xml" PartName="/xl/worksheets/sheet49683.xml"/>
  <Override ContentType="application/vnd.openxmlformats-officedocument.spreadsheetml.worksheet+xml" PartName="/xl/worksheets/sheet49684.xml"/>
  <Override ContentType="application/vnd.openxmlformats-officedocument.spreadsheetml.worksheet+xml" PartName="/xl/worksheets/sheet49685.xml"/>
  <Override ContentType="application/vnd.openxmlformats-officedocument.spreadsheetml.worksheet+xml" PartName="/xl/worksheets/sheet49686.xml"/>
  <Override ContentType="application/vnd.openxmlformats-officedocument.spreadsheetml.worksheet+xml" PartName="/xl/worksheets/sheet49687.xml"/>
  <Override ContentType="application/vnd.openxmlformats-officedocument.spreadsheetml.worksheet+xml" PartName="/xl/worksheets/sheet49688.xml"/>
  <Override ContentType="application/vnd.openxmlformats-officedocument.spreadsheetml.worksheet+xml" PartName="/xl/worksheets/sheet49689.xml"/>
  <Override ContentType="application/vnd.openxmlformats-officedocument.spreadsheetml.worksheet+xml" PartName="/xl/worksheets/sheet49690.xml"/>
  <Override ContentType="application/vnd.openxmlformats-officedocument.spreadsheetml.worksheet+xml" PartName="/xl/worksheets/sheet49691.xml"/>
  <Override ContentType="application/vnd.openxmlformats-officedocument.spreadsheetml.worksheet+xml" PartName="/xl/worksheets/sheet49692.xml"/>
  <Override ContentType="application/vnd.openxmlformats-officedocument.spreadsheetml.worksheet+xml" PartName="/xl/worksheets/sheet49693.xml"/>
  <Override ContentType="application/vnd.openxmlformats-officedocument.spreadsheetml.worksheet+xml" PartName="/xl/worksheets/sheet49694.xml"/>
  <Override ContentType="application/vnd.openxmlformats-officedocument.spreadsheetml.worksheet+xml" PartName="/xl/worksheets/sheet49695.xml"/>
  <Override ContentType="application/vnd.openxmlformats-officedocument.spreadsheetml.worksheet+xml" PartName="/xl/worksheets/sheet49696.xml"/>
  <Override ContentType="application/vnd.openxmlformats-officedocument.spreadsheetml.worksheet+xml" PartName="/xl/worksheets/sheet49697.xml"/>
  <Override ContentType="application/vnd.openxmlformats-officedocument.spreadsheetml.worksheet+xml" PartName="/xl/worksheets/sheet49698.xml"/>
  <Override ContentType="application/vnd.openxmlformats-officedocument.spreadsheetml.worksheet+xml" PartName="/xl/worksheets/sheet49699.xml"/>
  <Override ContentType="application/vnd.openxmlformats-officedocument.spreadsheetml.worksheet+xml" PartName="/xl/worksheets/sheet49700.xml"/>
  <Override ContentType="application/vnd.openxmlformats-officedocument.spreadsheetml.worksheet+xml" PartName="/xl/worksheets/sheet49701.xml"/>
  <Override ContentType="application/vnd.openxmlformats-officedocument.spreadsheetml.worksheet+xml" PartName="/xl/worksheets/sheet49702.xml"/>
  <Override ContentType="application/vnd.openxmlformats-officedocument.spreadsheetml.worksheet+xml" PartName="/xl/worksheets/sheet49703.xml"/>
  <Override ContentType="application/vnd.openxmlformats-officedocument.spreadsheetml.worksheet+xml" PartName="/xl/worksheets/sheet49704.xml"/>
  <Override ContentType="application/vnd.openxmlformats-officedocument.spreadsheetml.worksheet+xml" PartName="/xl/worksheets/sheet49705.xml"/>
  <Override ContentType="application/vnd.openxmlformats-officedocument.spreadsheetml.worksheet+xml" PartName="/xl/worksheets/sheet49706.xml"/>
  <Override ContentType="application/vnd.openxmlformats-officedocument.spreadsheetml.worksheet+xml" PartName="/xl/worksheets/sheet49707.xml"/>
  <Override ContentType="application/vnd.openxmlformats-officedocument.spreadsheetml.worksheet+xml" PartName="/xl/worksheets/sheet49708.xml"/>
  <Override ContentType="application/vnd.openxmlformats-officedocument.spreadsheetml.worksheet+xml" PartName="/xl/worksheets/sheet49709.xml"/>
  <Override ContentType="application/vnd.openxmlformats-officedocument.spreadsheetml.worksheet+xml" PartName="/xl/worksheets/sheet49710.xml"/>
  <Override ContentType="application/vnd.openxmlformats-officedocument.spreadsheetml.worksheet+xml" PartName="/xl/worksheets/sheet49711.xml"/>
  <Override ContentType="application/vnd.openxmlformats-officedocument.spreadsheetml.worksheet+xml" PartName="/xl/worksheets/sheet49712.xml"/>
  <Override ContentType="application/vnd.openxmlformats-officedocument.spreadsheetml.worksheet+xml" PartName="/xl/worksheets/sheet49713.xml"/>
  <Override ContentType="application/vnd.openxmlformats-officedocument.spreadsheetml.worksheet+xml" PartName="/xl/worksheets/sheet49714.xml"/>
  <Override ContentType="application/vnd.openxmlformats-officedocument.spreadsheetml.worksheet+xml" PartName="/xl/worksheets/sheet49715.xml"/>
  <Override ContentType="application/vnd.openxmlformats-officedocument.spreadsheetml.worksheet+xml" PartName="/xl/worksheets/sheet49716.xml"/>
  <Override ContentType="application/vnd.openxmlformats-officedocument.spreadsheetml.worksheet+xml" PartName="/xl/worksheets/sheet49717.xml"/>
  <Override ContentType="application/vnd.openxmlformats-officedocument.spreadsheetml.worksheet+xml" PartName="/xl/worksheets/sheet49718.xml"/>
  <Override ContentType="application/vnd.openxmlformats-officedocument.spreadsheetml.worksheet+xml" PartName="/xl/worksheets/sheet49719.xml"/>
  <Override ContentType="application/vnd.openxmlformats-officedocument.spreadsheetml.worksheet+xml" PartName="/xl/worksheets/sheet49720.xml"/>
  <Override ContentType="application/vnd.openxmlformats-officedocument.spreadsheetml.worksheet+xml" PartName="/xl/worksheets/sheet49721.xml"/>
  <Override ContentType="application/vnd.openxmlformats-officedocument.spreadsheetml.worksheet+xml" PartName="/xl/worksheets/sheet49722.xml"/>
  <Override ContentType="application/vnd.openxmlformats-officedocument.spreadsheetml.worksheet+xml" PartName="/xl/worksheets/sheet49723.xml"/>
  <Override ContentType="application/vnd.openxmlformats-officedocument.spreadsheetml.worksheet+xml" PartName="/xl/worksheets/sheet49724.xml"/>
  <Override ContentType="application/vnd.openxmlformats-officedocument.spreadsheetml.worksheet+xml" PartName="/xl/worksheets/sheet49725.xml"/>
  <Override ContentType="application/vnd.openxmlformats-officedocument.spreadsheetml.worksheet+xml" PartName="/xl/worksheets/sheet49726.xml"/>
  <Override ContentType="application/vnd.openxmlformats-officedocument.spreadsheetml.worksheet+xml" PartName="/xl/worksheets/sheet49727.xml"/>
  <Override ContentType="application/vnd.openxmlformats-officedocument.spreadsheetml.worksheet+xml" PartName="/xl/worksheets/sheet49728.xml"/>
  <Override ContentType="application/vnd.openxmlformats-officedocument.spreadsheetml.worksheet+xml" PartName="/xl/worksheets/sheet49729.xml"/>
  <Override ContentType="application/vnd.openxmlformats-officedocument.spreadsheetml.worksheet+xml" PartName="/xl/worksheets/sheet49730.xml"/>
  <Override ContentType="application/vnd.openxmlformats-officedocument.spreadsheetml.worksheet+xml" PartName="/xl/worksheets/sheet49731.xml"/>
  <Override ContentType="application/vnd.openxmlformats-officedocument.spreadsheetml.worksheet+xml" PartName="/xl/worksheets/sheet49732.xml"/>
  <Override ContentType="application/vnd.openxmlformats-officedocument.spreadsheetml.worksheet+xml" PartName="/xl/worksheets/sheet49733.xml"/>
  <Override ContentType="application/vnd.openxmlformats-officedocument.spreadsheetml.worksheet+xml" PartName="/xl/worksheets/sheet49734.xml"/>
  <Override ContentType="application/vnd.openxmlformats-officedocument.spreadsheetml.worksheet+xml" PartName="/xl/worksheets/sheet49735.xml"/>
  <Override ContentType="application/vnd.openxmlformats-officedocument.spreadsheetml.worksheet+xml" PartName="/xl/worksheets/sheet49736.xml"/>
  <Override ContentType="application/vnd.openxmlformats-officedocument.spreadsheetml.worksheet+xml" PartName="/xl/worksheets/sheet49737.xml"/>
  <Override ContentType="application/vnd.openxmlformats-officedocument.spreadsheetml.worksheet+xml" PartName="/xl/worksheets/sheet49738.xml"/>
  <Override ContentType="application/vnd.openxmlformats-officedocument.spreadsheetml.worksheet+xml" PartName="/xl/worksheets/sheet49739.xml"/>
  <Override ContentType="application/vnd.openxmlformats-officedocument.spreadsheetml.worksheet+xml" PartName="/xl/worksheets/sheet49740.xml"/>
  <Override ContentType="application/vnd.openxmlformats-officedocument.spreadsheetml.worksheet+xml" PartName="/xl/worksheets/sheet49741.xml"/>
  <Override ContentType="application/vnd.openxmlformats-officedocument.spreadsheetml.worksheet+xml" PartName="/xl/worksheets/sheet49742.xml"/>
  <Override ContentType="application/vnd.openxmlformats-officedocument.spreadsheetml.worksheet+xml" PartName="/xl/worksheets/sheet49743.xml"/>
  <Override ContentType="application/vnd.openxmlformats-officedocument.spreadsheetml.worksheet+xml" PartName="/xl/worksheets/sheet49744.xml"/>
  <Override ContentType="application/vnd.openxmlformats-officedocument.spreadsheetml.worksheet+xml" PartName="/xl/worksheets/sheet49745.xml"/>
  <Override ContentType="application/vnd.openxmlformats-officedocument.spreadsheetml.worksheet+xml" PartName="/xl/worksheets/sheet49746.xml"/>
  <Override ContentType="application/vnd.openxmlformats-officedocument.spreadsheetml.worksheet+xml" PartName="/xl/worksheets/sheet49747.xml"/>
  <Override ContentType="application/vnd.openxmlformats-officedocument.spreadsheetml.worksheet+xml" PartName="/xl/worksheets/sheet49748.xml"/>
  <Override ContentType="application/vnd.openxmlformats-officedocument.spreadsheetml.worksheet+xml" PartName="/xl/worksheets/sheet49749.xml"/>
  <Override ContentType="application/vnd.openxmlformats-officedocument.spreadsheetml.worksheet+xml" PartName="/xl/worksheets/sheet49750.xml"/>
  <Override ContentType="application/vnd.openxmlformats-officedocument.spreadsheetml.worksheet+xml" PartName="/xl/worksheets/sheet49751.xml"/>
  <Override ContentType="application/vnd.openxmlformats-officedocument.spreadsheetml.worksheet+xml" PartName="/xl/worksheets/sheet49752.xml"/>
  <Override ContentType="application/vnd.openxmlformats-officedocument.spreadsheetml.worksheet+xml" PartName="/xl/worksheets/sheet49753.xml"/>
  <Override ContentType="application/vnd.openxmlformats-officedocument.spreadsheetml.worksheet+xml" PartName="/xl/worksheets/sheet49754.xml"/>
  <Override ContentType="application/vnd.openxmlformats-officedocument.spreadsheetml.worksheet+xml" PartName="/xl/worksheets/sheet49755.xml"/>
  <Override ContentType="application/vnd.openxmlformats-officedocument.spreadsheetml.worksheet+xml" PartName="/xl/worksheets/sheet49756.xml"/>
  <Override ContentType="application/vnd.openxmlformats-officedocument.spreadsheetml.worksheet+xml" PartName="/xl/worksheets/sheet49757.xml"/>
  <Override ContentType="application/vnd.openxmlformats-officedocument.spreadsheetml.worksheet+xml" PartName="/xl/worksheets/sheet49758.xml"/>
  <Override ContentType="application/vnd.openxmlformats-officedocument.spreadsheetml.worksheet+xml" PartName="/xl/worksheets/sheet49759.xml"/>
  <Override ContentType="application/vnd.openxmlformats-officedocument.spreadsheetml.worksheet+xml" PartName="/xl/worksheets/sheet49760.xml"/>
  <Override ContentType="application/vnd.openxmlformats-officedocument.spreadsheetml.worksheet+xml" PartName="/xl/worksheets/sheet49761.xml"/>
  <Override ContentType="application/vnd.openxmlformats-officedocument.spreadsheetml.worksheet+xml" PartName="/xl/worksheets/sheet49762.xml"/>
  <Override ContentType="application/vnd.openxmlformats-officedocument.spreadsheetml.worksheet+xml" PartName="/xl/worksheets/sheet49763.xml"/>
  <Override ContentType="application/vnd.openxmlformats-officedocument.spreadsheetml.worksheet+xml" PartName="/xl/worksheets/sheet49764.xml"/>
  <Override ContentType="application/vnd.openxmlformats-officedocument.spreadsheetml.worksheet+xml" PartName="/xl/worksheets/sheet49765.xml"/>
  <Override ContentType="application/vnd.openxmlformats-officedocument.spreadsheetml.worksheet+xml" PartName="/xl/worksheets/sheet49766.xml"/>
  <Override ContentType="application/vnd.openxmlformats-officedocument.spreadsheetml.worksheet+xml" PartName="/xl/worksheets/sheet49767.xml"/>
  <Override ContentType="application/vnd.openxmlformats-officedocument.spreadsheetml.worksheet+xml" PartName="/xl/worksheets/sheet49768.xml"/>
  <Override ContentType="application/vnd.openxmlformats-officedocument.spreadsheetml.worksheet+xml" PartName="/xl/worksheets/sheet49769.xml"/>
  <Override ContentType="application/vnd.openxmlformats-officedocument.spreadsheetml.worksheet+xml" PartName="/xl/worksheets/sheet49770.xml"/>
  <Override ContentType="application/vnd.openxmlformats-officedocument.spreadsheetml.worksheet+xml" PartName="/xl/worksheets/sheet49771.xml"/>
  <Override ContentType="application/vnd.openxmlformats-officedocument.spreadsheetml.worksheet+xml" PartName="/xl/worksheets/sheet49772.xml"/>
  <Override ContentType="application/vnd.openxmlformats-officedocument.spreadsheetml.worksheet+xml" PartName="/xl/worksheets/sheet49773.xml"/>
  <Override ContentType="application/vnd.openxmlformats-officedocument.spreadsheetml.worksheet+xml" PartName="/xl/worksheets/sheet49774.xml"/>
  <Override ContentType="application/vnd.openxmlformats-officedocument.spreadsheetml.worksheet+xml" PartName="/xl/worksheets/sheet49775.xml"/>
  <Override ContentType="application/vnd.openxmlformats-officedocument.spreadsheetml.worksheet+xml" PartName="/xl/worksheets/sheet49776.xml"/>
  <Override ContentType="application/vnd.openxmlformats-officedocument.spreadsheetml.worksheet+xml" PartName="/xl/worksheets/sheet49777.xml"/>
  <Override ContentType="application/vnd.openxmlformats-officedocument.spreadsheetml.worksheet+xml" PartName="/xl/worksheets/sheet49778.xml"/>
  <Override ContentType="application/vnd.openxmlformats-officedocument.spreadsheetml.worksheet+xml" PartName="/xl/worksheets/sheet49779.xml"/>
  <Override ContentType="application/vnd.openxmlformats-officedocument.spreadsheetml.worksheet+xml" PartName="/xl/worksheets/sheet49780.xml"/>
  <Override ContentType="application/vnd.openxmlformats-officedocument.spreadsheetml.worksheet+xml" PartName="/xl/worksheets/sheet49781.xml"/>
  <Override ContentType="application/vnd.openxmlformats-officedocument.spreadsheetml.worksheet+xml" PartName="/xl/worksheets/sheet49782.xml"/>
  <Override ContentType="application/vnd.openxmlformats-officedocument.spreadsheetml.worksheet+xml" PartName="/xl/worksheets/sheet49783.xml"/>
  <Override ContentType="application/vnd.openxmlformats-officedocument.spreadsheetml.worksheet+xml" PartName="/xl/worksheets/sheet49784.xml"/>
  <Override ContentType="application/vnd.openxmlformats-officedocument.spreadsheetml.worksheet+xml" PartName="/xl/worksheets/sheet49785.xml"/>
  <Override ContentType="application/vnd.openxmlformats-officedocument.spreadsheetml.worksheet+xml" PartName="/xl/worksheets/sheet49786.xml"/>
  <Override ContentType="application/vnd.openxmlformats-officedocument.spreadsheetml.worksheet+xml" PartName="/xl/worksheets/sheet49787.xml"/>
  <Override ContentType="application/vnd.openxmlformats-officedocument.spreadsheetml.worksheet+xml" PartName="/xl/worksheets/sheet49788.xml"/>
  <Override ContentType="application/vnd.openxmlformats-officedocument.spreadsheetml.worksheet+xml" PartName="/xl/worksheets/sheet49789.xml"/>
  <Override ContentType="application/vnd.openxmlformats-officedocument.spreadsheetml.worksheet+xml" PartName="/xl/worksheets/sheet49790.xml"/>
  <Override ContentType="application/vnd.openxmlformats-officedocument.spreadsheetml.worksheet+xml" PartName="/xl/worksheets/sheet49791.xml"/>
  <Override ContentType="application/vnd.openxmlformats-officedocument.spreadsheetml.worksheet+xml" PartName="/xl/worksheets/sheet49792.xml"/>
  <Override ContentType="application/vnd.openxmlformats-officedocument.spreadsheetml.worksheet+xml" PartName="/xl/worksheets/sheet49793.xml"/>
  <Override ContentType="application/vnd.openxmlformats-officedocument.spreadsheetml.worksheet+xml" PartName="/xl/worksheets/sheet49794.xml"/>
  <Override ContentType="application/vnd.openxmlformats-officedocument.spreadsheetml.worksheet+xml" PartName="/xl/worksheets/sheet49795.xml"/>
  <Override ContentType="application/vnd.openxmlformats-officedocument.spreadsheetml.worksheet+xml" PartName="/xl/worksheets/sheet49796.xml"/>
  <Override ContentType="application/vnd.openxmlformats-officedocument.spreadsheetml.worksheet+xml" PartName="/xl/worksheets/sheet49797.xml"/>
  <Override ContentType="application/vnd.openxmlformats-officedocument.spreadsheetml.worksheet+xml" PartName="/xl/worksheets/sheet49798.xml"/>
  <Override ContentType="application/vnd.openxmlformats-officedocument.spreadsheetml.worksheet+xml" PartName="/xl/worksheets/sheet49799.xml"/>
  <Override ContentType="application/vnd.openxmlformats-officedocument.spreadsheetml.worksheet+xml" PartName="/xl/worksheets/sheet49800.xml"/>
  <Override ContentType="application/vnd.openxmlformats-officedocument.spreadsheetml.worksheet+xml" PartName="/xl/worksheets/sheet49801.xml"/>
  <Override ContentType="application/vnd.openxmlformats-officedocument.spreadsheetml.worksheet+xml" PartName="/xl/worksheets/sheet49802.xml"/>
  <Override ContentType="application/vnd.openxmlformats-officedocument.spreadsheetml.worksheet+xml" PartName="/xl/worksheets/sheet49803.xml"/>
  <Override ContentType="application/vnd.openxmlformats-officedocument.spreadsheetml.worksheet+xml" PartName="/xl/worksheets/sheet49804.xml"/>
  <Override ContentType="application/vnd.openxmlformats-officedocument.spreadsheetml.worksheet+xml" PartName="/xl/worksheets/sheet49805.xml"/>
  <Override ContentType="application/vnd.openxmlformats-officedocument.spreadsheetml.worksheet+xml" PartName="/xl/worksheets/sheet49806.xml"/>
  <Override ContentType="application/vnd.openxmlformats-officedocument.spreadsheetml.worksheet+xml" PartName="/xl/worksheets/sheet49807.xml"/>
  <Override ContentType="application/vnd.openxmlformats-officedocument.spreadsheetml.worksheet+xml" PartName="/xl/worksheets/sheet49808.xml"/>
  <Override ContentType="application/vnd.openxmlformats-officedocument.spreadsheetml.worksheet+xml" PartName="/xl/worksheets/sheet49809.xml"/>
  <Override ContentType="application/vnd.openxmlformats-officedocument.spreadsheetml.worksheet+xml" PartName="/xl/worksheets/sheet49810.xml"/>
  <Override ContentType="application/vnd.openxmlformats-officedocument.spreadsheetml.worksheet+xml" PartName="/xl/worksheets/sheet49811.xml"/>
  <Override ContentType="application/vnd.openxmlformats-officedocument.spreadsheetml.worksheet+xml" PartName="/xl/worksheets/sheet49812.xml"/>
  <Override ContentType="application/vnd.openxmlformats-officedocument.spreadsheetml.worksheet+xml" PartName="/xl/worksheets/sheet49813.xml"/>
  <Override ContentType="application/vnd.openxmlformats-officedocument.spreadsheetml.worksheet+xml" PartName="/xl/worksheets/sheet49814.xml"/>
  <Override ContentType="application/vnd.openxmlformats-officedocument.spreadsheetml.worksheet+xml" PartName="/xl/worksheets/sheet49815.xml"/>
  <Override ContentType="application/vnd.openxmlformats-officedocument.spreadsheetml.worksheet+xml" PartName="/xl/worksheets/sheet49816.xml"/>
  <Override ContentType="application/vnd.openxmlformats-officedocument.spreadsheetml.worksheet+xml" PartName="/xl/worksheets/sheet49817.xml"/>
  <Override ContentType="application/vnd.openxmlformats-officedocument.spreadsheetml.worksheet+xml" PartName="/xl/worksheets/sheet49818.xml"/>
  <Override ContentType="application/vnd.openxmlformats-officedocument.spreadsheetml.worksheet+xml" PartName="/xl/worksheets/sheet49819.xml"/>
  <Override ContentType="application/vnd.openxmlformats-officedocument.spreadsheetml.worksheet+xml" PartName="/xl/worksheets/sheet49820.xml"/>
  <Override ContentType="application/vnd.openxmlformats-officedocument.spreadsheetml.worksheet+xml" PartName="/xl/worksheets/sheet49821.xml"/>
  <Override ContentType="application/vnd.openxmlformats-officedocument.spreadsheetml.worksheet+xml" PartName="/xl/worksheets/sheet49822.xml"/>
  <Override ContentType="application/vnd.openxmlformats-officedocument.spreadsheetml.worksheet+xml" PartName="/xl/worksheets/sheet49823.xml"/>
  <Override ContentType="application/vnd.openxmlformats-officedocument.spreadsheetml.worksheet+xml" PartName="/xl/worksheets/sheet49824.xml"/>
  <Override ContentType="application/vnd.openxmlformats-officedocument.spreadsheetml.worksheet+xml" PartName="/xl/worksheets/sheet49825.xml"/>
  <Override ContentType="application/vnd.openxmlformats-officedocument.spreadsheetml.worksheet+xml" PartName="/xl/worksheets/sheet49826.xml"/>
  <Override ContentType="application/vnd.openxmlformats-officedocument.spreadsheetml.worksheet+xml" PartName="/xl/worksheets/sheet49827.xml"/>
  <Override ContentType="application/vnd.openxmlformats-officedocument.spreadsheetml.worksheet+xml" PartName="/xl/worksheets/sheet49828.xml"/>
  <Override ContentType="application/vnd.openxmlformats-officedocument.spreadsheetml.worksheet+xml" PartName="/xl/worksheets/sheet49829.xml"/>
  <Override ContentType="application/vnd.openxmlformats-officedocument.spreadsheetml.worksheet+xml" PartName="/xl/worksheets/sheet49830.xml"/>
  <Override ContentType="application/vnd.openxmlformats-officedocument.spreadsheetml.worksheet+xml" PartName="/xl/worksheets/sheet49831.xml"/>
  <Override ContentType="application/vnd.openxmlformats-officedocument.spreadsheetml.worksheet+xml" PartName="/xl/worksheets/sheet49832.xml"/>
  <Override ContentType="application/vnd.openxmlformats-officedocument.spreadsheetml.worksheet+xml" PartName="/xl/worksheets/sheet49833.xml"/>
  <Override ContentType="application/vnd.openxmlformats-officedocument.spreadsheetml.worksheet+xml" PartName="/xl/worksheets/sheet49834.xml"/>
  <Override ContentType="application/vnd.openxmlformats-officedocument.spreadsheetml.worksheet+xml" PartName="/xl/worksheets/sheet49835.xml"/>
  <Override ContentType="application/vnd.openxmlformats-officedocument.spreadsheetml.worksheet+xml" PartName="/xl/worksheets/sheet49836.xml"/>
  <Override ContentType="application/vnd.openxmlformats-officedocument.spreadsheetml.worksheet+xml" PartName="/xl/worksheets/sheet49837.xml"/>
  <Override ContentType="application/vnd.openxmlformats-officedocument.spreadsheetml.worksheet+xml" PartName="/xl/worksheets/sheet49838.xml"/>
  <Override ContentType="application/vnd.openxmlformats-officedocument.spreadsheetml.worksheet+xml" PartName="/xl/worksheets/sheet49839.xml"/>
  <Override ContentType="application/vnd.openxmlformats-officedocument.spreadsheetml.worksheet+xml" PartName="/xl/worksheets/sheet49840.xml"/>
  <Override ContentType="application/vnd.openxmlformats-officedocument.spreadsheetml.worksheet+xml" PartName="/xl/worksheets/sheet49841.xml"/>
  <Override ContentType="application/vnd.openxmlformats-officedocument.spreadsheetml.worksheet+xml" PartName="/xl/worksheets/sheet49842.xml"/>
  <Override ContentType="application/vnd.openxmlformats-officedocument.spreadsheetml.worksheet+xml" PartName="/xl/worksheets/sheet49843.xml"/>
  <Override ContentType="application/vnd.openxmlformats-officedocument.spreadsheetml.worksheet+xml" PartName="/xl/worksheets/sheet49844.xml"/>
  <Override ContentType="application/vnd.openxmlformats-officedocument.spreadsheetml.worksheet+xml" PartName="/xl/worksheets/sheet49845.xml"/>
  <Override ContentType="application/vnd.openxmlformats-officedocument.spreadsheetml.worksheet+xml" PartName="/xl/worksheets/sheet49846.xml"/>
  <Override ContentType="application/vnd.openxmlformats-officedocument.spreadsheetml.worksheet+xml" PartName="/xl/worksheets/sheet49847.xml"/>
  <Override ContentType="application/vnd.openxmlformats-officedocument.spreadsheetml.worksheet+xml" PartName="/xl/worksheets/sheet49848.xml"/>
  <Override ContentType="application/vnd.openxmlformats-officedocument.spreadsheetml.worksheet+xml" PartName="/xl/worksheets/sheet49849.xml"/>
  <Override ContentType="application/vnd.openxmlformats-officedocument.spreadsheetml.worksheet+xml" PartName="/xl/worksheets/sheet49850.xml"/>
  <Override ContentType="application/vnd.openxmlformats-officedocument.spreadsheetml.worksheet+xml" PartName="/xl/worksheets/sheet49851.xml"/>
  <Override ContentType="application/vnd.openxmlformats-officedocument.spreadsheetml.worksheet+xml" PartName="/xl/worksheets/sheet49852.xml"/>
  <Override ContentType="application/vnd.openxmlformats-officedocument.spreadsheetml.worksheet+xml" PartName="/xl/worksheets/sheet49853.xml"/>
  <Override ContentType="application/vnd.openxmlformats-officedocument.spreadsheetml.worksheet+xml" PartName="/xl/worksheets/sheet49854.xml"/>
  <Override ContentType="application/vnd.openxmlformats-officedocument.spreadsheetml.worksheet+xml" PartName="/xl/worksheets/sheet49855.xml"/>
  <Override ContentType="application/vnd.openxmlformats-officedocument.spreadsheetml.worksheet+xml" PartName="/xl/worksheets/sheet49856.xml"/>
  <Override ContentType="application/vnd.openxmlformats-officedocument.spreadsheetml.worksheet+xml" PartName="/xl/worksheets/sheet49857.xml"/>
  <Override ContentType="application/vnd.openxmlformats-officedocument.spreadsheetml.worksheet+xml" PartName="/xl/worksheets/sheet49858.xml"/>
  <Override ContentType="application/vnd.openxmlformats-officedocument.spreadsheetml.worksheet+xml" PartName="/xl/worksheets/sheet49859.xml"/>
  <Override ContentType="application/vnd.openxmlformats-officedocument.spreadsheetml.worksheet+xml" PartName="/xl/worksheets/sheet49860.xml"/>
  <Override ContentType="application/vnd.openxmlformats-officedocument.spreadsheetml.worksheet+xml" PartName="/xl/worksheets/sheet49861.xml"/>
  <Override ContentType="application/vnd.openxmlformats-officedocument.spreadsheetml.worksheet+xml" PartName="/xl/worksheets/sheet49862.xml"/>
  <Override ContentType="application/vnd.openxmlformats-officedocument.spreadsheetml.worksheet+xml" PartName="/xl/worksheets/sheet49863.xml"/>
  <Override ContentType="application/vnd.openxmlformats-officedocument.spreadsheetml.worksheet+xml" PartName="/xl/worksheets/sheet49864.xml"/>
  <Override ContentType="application/vnd.openxmlformats-officedocument.spreadsheetml.worksheet+xml" PartName="/xl/worksheets/sheet49865.xml"/>
  <Override ContentType="application/vnd.openxmlformats-officedocument.spreadsheetml.worksheet+xml" PartName="/xl/worksheets/sheet49866.xml"/>
  <Override ContentType="application/vnd.openxmlformats-officedocument.spreadsheetml.worksheet+xml" PartName="/xl/worksheets/sheet49867.xml"/>
  <Override ContentType="application/vnd.openxmlformats-officedocument.spreadsheetml.worksheet+xml" PartName="/xl/worksheets/sheet49868.xml"/>
  <Override ContentType="application/vnd.openxmlformats-officedocument.spreadsheetml.worksheet+xml" PartName="/xl/worksheets/sheet49869.xml"/>
  <Override ContentType="application/vnd.openxmlformats-officedocument.spreadsheetml.worksheet+xml" PartName="/xl/worksheets/sheet49870.xml"/>
  <Override ContentType="application/vnd.openxmlformats-officedocument.spreadsheetml.worksheet+xml" PartName="/xl/worksheets/sheet49871.xml"/>
  <Override ContentType="application/vnd.openxmlformats-officedocument.spreadsheetml.worksheet+xml" PartName="/xl/worksheets/sheet49872.xml"/>
  <Override ContentType="application/vnd.openxmlformats-officedocument.spreadsheetml.worksheet+xml" PartName="/xl/worksheets/sheet49873.xml"/>
  <Override ContentType="application/vnd.openxmlformats-officedocument.spreadsheetml.worksheet+xml" PartName="/xl/worksheets/sheet49874.xml"/>
  <Override ContentType="application/vnd.openxmlformats-officedocument.spreadsheetml.worksheet+xml" PartName="/xl/worksheets/sheet49875.xml"/>
  <Override ContentType="application/vnd.openxmlformats-officedocument.spreadsheetml.worksheet+xml" PartName="/xl/worksheets/sheet49876.xml"/>
  <Override ContentType="application/vnd.openxmlformats-officedocument.spreadsheetml.worksheet+xml" PartName="/xl/worksheets/sheet49877.xml"/>
  <Override ContentType="application/vnd.openxmlformats-officedocument.spreadsheetml.worksheet+xml" PartName="/xl/worksheets/sheet49878.xml"/>
  <Override ContentType="application/vnd.openxmlformats-officedocument.spreadsheetml.worksheet+xml" PartName="/xl/worksheets/sheet49879.xml"/>
  <Override ContentType="application/vnd.openxmlformats-officedocument.spreadsheetml.worksheet+xml" PartName="/xl/worksheets/sheet49880.xml"/>
  <Override ContentType="application/vnd.openxmlformats-officedocument.spreadsheetml.worksheet+xml" PartName="/xl/worksheets/sheet49881.xml"/>
  <Override ContentType="application/vnd.openxmlformats-officedocument.spreadsheetml.worksheet+xml" PartName="/xl/worksheets/sheet49882.xml"/>
  <Override ContentType="application/vnd.openxmlformats-officedocument.spreadsheetml.worksheet+xml" PartName="/xl/worksheets/sheet49883.xml"/>
  <Override ContentType="application/vnd.openxmlformats-officedocument.spreadsheetml.worksheet+xml" PartName="/xl/worksheets/sheet49884.xml"/>
  <Override ContentType="application/vnd.openxmlformats-officedocument.spreadsheetml.worksheet+xml" PartName="/xl/worksheets/sheet49885.xml"/>
  <Override ContentType="application/vnd.openxmlformats-officedocument.spreadsheetml.worksheet+xml" PartName="/xl/worksheets/sheet49886.xml"/>
  <Override ContentType="application/vnd.openxmlformats-officedocument.spreadsheetml.worksheet+xml" PartName="/xl/worksheets/sheet49887.xml"/>
  <Override ContentType="application/vnd.openxmlformats-officedocument.spreadsheetml.worksheet+xml" PartName="/xl/worksheets/sheet49888.xml"/>
  <Override ContentType="application/vnd.openxmlformats-officedocument.spreadsheetml.worksheet+xml" PartName="/xl/worksheets/sheet49889.xml"/>
  <Override ContentType="application/vnd.openxmlformats-officedocument.spreadsheetml.worksheet+xml" PartName="/xl/worksheets/sheet49890.xml"/>
  <Override ContentType="application/vnd.openxmlformats-officedocument.spreadsheetml.worksheet+xml" PartName="/xl/worksheets/sheet49891.xml"/>
  <Override ContentType="application/vnd.openxmlformats-officedocument.spreadsheetml.worksheet+xml" PartName="/xl/worksheets/sheet49892.xml"/>
  <Override ContentType="application/vnd.openxmlformats-officedocument.spreadsheetml.worksheet+xml" PartName="/xl/worksheets/sheet49893.xml"/>
  <Override ContentType="application/vnd.openxmlformats-officedocument.spreadsheetml.worksheet+xml" PartName="/xl/worksheets/sheet49894.xml"/>
  <Override ContentType="application/vnd.openxmlformats-officedocument.spreadsheetml.worksheet+xml" PartName="/xl/worksheets/sheet49895.xml"/>
  <Override ContentType="application/vnd.openxmlformats-officedocument.spreadsheetml.worksheet+xml" PartName="/xl/worksheets/sheet49896.xml"/>
  <Override ContentType="application/vnd.openxmlformats-officedocument.spreadsheetml.worksheet+xml" PartName="/xl/worksheets/sheet49897.xml"/>
  <Override ContentType="application/vnd.openxmlformats-officedocument.spreadsheetml.worksheet+xml" PartName="/xl/worksheets/sheet49898.xml"/>
  <Override ContentType="application/vnd.openxmlformats-officedocument.spreadsheetml.worksheet+xml" PartName="/xl/worksheets/sheet49899.xml"/>
  <Override ContentType="application/vnd.openxmlformats-officedocument.spreadsheetml.worksheet+xml" PartName="/xl/worksheets/sheet49900.xml"/>
  <Override ContentType="application/vnd.openxmlformats-officedocument.spreadsheetml.worksheet+xml" PartName="/xl/worksheets/sheet49901.xml"/>
  <Override ContentType="application/vnd.openxmlformats-officedocument.spreadsheetml.worksheet+xml" PartName="/xl/worksheets/sheet49902.xml"/>
  <Override ContentType="application/vnd.openxmlformats-officedocument.spreadsheetml.worksheet+xml" PartName="/xl/worksheets/sheet49903.xml"/>
  <Override ContentType="application/vnd.openxmlformats-officedocument.spreadsheetml.worksheet+xml" PartName="/xl/worksheets/sheet49904.xml"/>
  <Override ContentType="application/vnd.openxmlformats-officedocument.spreadsheetml.worksheet+xml" PartName="/xl/worksheets/sheet49905.xml"/>
  <Override ContentType="application/vnd.openxmlformats-officedocument.spreadsheetml.worksheet+xml" PartName="/xl/worksheets/sheet49906.xml"/>
  <Override ContentType="application/vnd.openxmlformats-officedocument.spreadsheetml.worksheet+xml" PartName="/xl/worksheets/sheet49907.xml"/>
  <Override ContentType="application/vnd.openxmlformats-officedocument.spreadsheetml.worksheet+xml" PartName="/xl/worksheets/sheet49908.xml"/>
  <Override ContentType="application/vnd.openxmlformats-officedocument.spreadsheetml.worksheet+xml" PartName="/xl/worksheets/sheet49909.xml"/>
  <Override ContentType="application/vnd.openxmlformats-officedocument.spreadsheetml.worksheet+xml" PartName="/xl/worksheets/sheet49910.xml"/>
  <Override ContentType="application/vnd.openxmlformats-officedocument.spreadsheetml.worksheet+xml" PartName="/xl/worksheets/sheet49911.xml"/>
  <Override ContentType="application/vnd.openxmlformats-officedocument.spreadsheetml.worksheet+xml" PartName="/xl/worksheets/sheet49912.xml"/>
  <Override ContentType="application/vnd.openxmlformats-officedocument.spreadsheetml.worksheet+xml" PartName="/xl/worksheets/sheet49913.xml"/>
  <Override ContentType="application/vnd.openxmlformats-officedocument.spreadsheetml.worksheet+xml" PartName="/xl/worksheets/sheet49914.xml"/>
  <Override ContentType="application/vnd.openxmlformats-officedocument.spreadsheetml.worksheet+xml" PartName="/xl/worksheets/sheet49915.xml"/>
  <Override ContentType="application/vnd.openxmlformats-officedocument.spreadsheetml.worksheet+xml" PartName="/xl/worksheets/sheet49916.xml"/>
  <Override ContentType="application/vnd.openxmlformats-officedocument.spreadsheetml.worksheet+xml" PartName="/xl/worksheets/sheet49917.xml"/>
  <Override ContentType="application/vnd.openxmlformats-officedocument.spreadsheetml.worksheet+xml" PartName="/xl/worksheets/sheet49918.xml"/>
  <Override ContentType="application/vnd.openxmlformats-officedocument.spreadsheetml.worksheet+xml" PartName="/xl/worksheets/sheet49919.xml"/>
  <Override ContentType="application/vnd.openxmlformats-officedocument.spreadsheetml.worksheet+xml" PartName="/xl/worksheets/sheet49920.xml"/>
  <Override ContentType="application/vnd.openxmlformats-officedocument.spreadsheetml.worksheet+xml" PartName="/xl/worksheets/sheet49921.xml"/>
  <Override ContentType="application/vnd.openxmlformats-officedocument.spreadsheetml.worksheet+xml" PartName="/xl/worksheets/sheet49922.xml"/>
  <Override ContentType="application/vnd.openxmlformats-officedocument.spreadsheetml.worksheet+xml" PartName="/xl/worksheets/sheet49923.xml"/>
  <Override ContentType="application/vnd.openxmlformats-officedocument.spreadsheetml.worksheet+xml" PartName="/xl/worksheets/sheet49924.xml"/>
  <Override ContentType="application/vnd.openxmlformats-officedocument.spreadsheetml.worksheet+xml" PartName="/xl/worksheets/sheet49925.xml"/>
  <Override ContentType="application/vnd.openxmlformats-officedocument.spreadsheetml.worksheet+xml" PartName="/xl/worksheets/sheet49926.xml"/>
  <Override ContentType="application/vnd.openxmlformats-officedocument.spreadsheetml.worksheet+xml" PartName="/xl/worksheets/sheet49927.xml"/>
  <Override ContentType="application/vnd.openxmlformats-officedocument.spreadsheetml.worksheet+xml" PartName="/xl/worksheets/sheet49928.xml"/>
  <Override ContentType="application/vnd.openxmlformats-officedocument.spreadsheetml.worksheet+xml" PartName="/xl/worksheets/sheet49929.xml"/>
  <Override ContentType="application/vnd.openxmlformats-officedocument.spreadsheetml.worksheet+xml" PartName="/xl/worksheets/sheet49930.xml"/>
  <Override ContentType="application/vnd.openxmlformats-officedocument.spreadsheetml.worksheet+xml" PartName="/xl/worksheets/sheet49931.xml"/>
  <Override ContentType="application/vnd.openxmlformats-officedocument.spreadsheetml.worksheet+xml" PartName="/xl/worksheets/sheet49932.xml"/>
  <Override ContentType="application/vnd.openxmlformats-officedocument.spreadsheetml.worksheet+xml" PartName="/xl/worksheets/sheet49933.xml"/>
  <Override ContentType="application/vnd.openxmlformats-officedocument.spreadsheetml.worksheet+xml" PartName="/xl/worksheets/sheet49934.xml"/>
  <Override ContentType="application/vnd.openxmlformats-officedocument.spreadsheetml.worksheet+xml" PartName="/xl/worksheets/sheet49935.xml"/>
  <Override ContentType="application/vnd.openxmlformats-officedocument.spreadsheetml.worksheet+xml" PartName="/xl/worksheets/sheet49936.xml"/>
  <Override ContentType="application/vnd.openxmlformats-officedocument.spreadsheetml.worksheet+xml" PartName="/xl/worksheets/sheet49937.xml"/>
  <Override ContentType="application/vnd.openxmlformats-officedocument.spreadsheetml.worksheet+xml" PartName="/xl/worksheets/sheet49938.xml"/>
  <Override ContentType="application/vnd.openxmlformats-officedocument.spreadsheetml.worksheet+xml" PartName="/xl/worksheets/sheet49939.xml"/>
  <Override ContentType="application/vnd.openxmlformats-officedocument.spreadsheetml.worksheet+xml" PartName="/xl/worksheets/sheet49940.xml"/>
  <Override ContentType="application/vnd.openxmlformats-officedocument.spreadsheetml.worksheet+xml" PartName="/xl/worksheets/sheet49941.xml"/>
  <Override ContentType="application/vnd.openxmlformats-officedocument.spreadsheetml.worksheet+xml" PartName="/xl/worksheets/sheet49942.xml"/>
  <Override ContentType="application/vnd.openxmlformats-officedocument.spreadsheetml.worksheet+xml" PartName="/xl/worksheets/sheet49943.xml"/>
  <Override ContentType="application/vnd.openxmlformats-officedocument.spreadsheetml.worksheet+xml" PartName="/xl/worksheets/sheet49944.xml"/>
  <Override ContentType="application/vnd.openxmlformats-officedocument.spreadsheetml.worksheet+xml" PartName="/xl/worksheets/sheet49945.xml"/>
  <Override ContentType="application/vnd.openxmlformats-officedocument.spreadsheetml.worksheet+xml" PartName="/xl/worksheets/sheet49946.xml"/>
  <Override ContentType="application/vnd.openxmlformats-officedocument.spreadsheetml.worksheet+xml" PartName="/xl/worksheets/sheet49947.xml"/>
  <Override ContentType="application/vnd.openxmlformats-officedocument.spreadsheetml.worksheet+xml" PartName="/xl/worksheets/sheet49948.xml"/>
  <Override ContentType="application/vnd.openxmlformats-officedocument.spreadsheetml.worksheet+xml" PartName="/xl/worksheets/sheet49949.xml"/>
  <Override ContentType="application/vnd.openxmlformats-officedocument.spreadsheetml.worksheet+xml" PartName="/xl/worksheets/sheet49950.xml"/>
  <Override ContentType="application/vnd.openxmlformats-officedocument.spreadsheetml.worksheet+xml" PartName="/xl/worksheets/sheet49951.xml"/>
  <Override ContentType="application/vnd.openxmlformats-officedocument.spreadsheetml.worksheet+xml" PartName="/xl/worksheets/sheet49952.xml"/>
  <Override ContentType="application/vnd.openxmlformats-officedocument.spreadsheetml.worksheet+xml" PartName="/xl/worksheets/sheet49953.xml"/>
  <Override ContentType="application/vnd.openxmlformats-officedocument.spreadsheetml.worksheet+xml" PartName="/xl/worksheets/sheet49954.xml"/>
  <Override ContentType="application/vnd.openxmlformats-officedocument.spreadsheetml.worksheet+xml" PartName="/xl/worksheets/sheet49955.xml"/>
  <Override ContentType="application/vnd.openxmlformats-officedocument.spreadsheetml.worksheet+xml" PartName="/xl/worksheets/sheet49956.xml"/>
  <Override ContentType="application/vnd.openxmlformats-officedocument.spreadsheetml.worksheet+xml" PartName="/xl/worksheets/sheet49957.xml"/>
  <Override ContentType="application/vnd.openxmlformats-officedocument.spreadsheetml.worksheet+xml" PartName="/xl/worksheets/sheet49958.xml"/>
  <Override ContentType="application/vnd.openxmlformats-officedocument.spreadsheetml.worksheet+xml" PartName="/xl/worksheets/sheet49959.xml"/>
  <Override ContentType="application/vnd.openxmlformats-officedocument.spreadsheetml.worksheet+xml" PartName="/xl/worksheets/sheet49960.xml"/>
  <Override ContentType="application/vnd.openxmlformats-officedocument.spreadsheetml.worksheet+xml" PartName="/xl/worksheets/sheet49961.xml"/>
  <Override ContentType="application/vnd.openxmlformats-officedocument.spreadsheetml.worksheet+xml" PartName="/xl/worksheets/sheet49962.xml"/>
  <Override ContentType="application/vnd.openxmlformats-officedocument.spreadsheetml.worksheet+xml" PartName="/xl/worksheets/sheet49963.xml"/>
  <Override ContentType="application/vnd.openxmlformats-officedocument.spreadsheetml.worksheet+xml" PartName="/xl/worksheets/sheet49964.xml"/>
  <Override ContentType="application/vnd.openxmlformats-officedocument.spreadsheetml.worksheet+xml" PartName="/xl/worksheets/sheet49965.xml"/>
  <Override ContentType="application/vnd.openxmlformats-officedocument.spreadsheetml.worksheet+xml" PartName="/xl/worksheets/sheet49966.xml"/>
  <Override ContentType="application/vnd.openxmlformats-officedocument.spreadsheetml.worksheet+xml" PartName="/xl/worksheets/sheet49967.xml"/>
  <Override ContentType="application/vnd.openxmlformats-officedocument.spreadsheetml.worksheet+xml" PartName="/xl/worksheets/sheet49968.xml"/>
  <Override ContentType="application/vnd.openxmlformats-officedocument.spreadsheetml.worksheet+xml" PartName="/xl/worksheets/sheet49969.xml"/>
  <Override ContentType="application/vnd.openxmlformats-officedocument.spreadsheetml.worksheet+xml" PartName="/xl/worksheets/sheet49970.xml"/>
  <Override ContentType="application/vnd.openxmlformats-officedocument.spreadsheetml.worksheet+xml" PartName="/xl/worksheets/sheet49971.xml"/>
  <Override ContentType="application/vnd.openxmlformats-officedocument.spreadsheetml.worksheet+xml" PartName="/xl/worksheets/sheet49972.xml"/>
  <Override ContentType="application/vnd.openxmlformats-officedocument.spreadsheetml.worksheet+xml" PartName="/xl/worksheets/sheet49973.xml"/>
  <Override ContentType="application/vnd.openxmlformats-officedocument.spreadsheetml.worksheet+xml" PartName="/xl/worksheets/sheet49974.xml"/>
  <Override ContentType="application/vnd.openxmlformats-officedocument.spreadsheetml.worksheet+xml" PartName="/xl/worksheets/sheet49975.xml"/>
  <Override ContentType="application/vnd.openxmlformats-officedocument.spreadsheetml.worksheet+xml" PartName="/xl/worksheets/sheet49976.xml"/>
  <Override ContentType="application/vnd.openxmlformats-officedocument.spreadsheetml.worksheet+xml" PartName="/xl/worksheets/sheet49977.xml"/>
  <Override ContentType="application/vnd.openxmlformats-officedocument.spreadsheetml.worksheet+xml" PartName="/xl/worksheets/sheet49978.xml"/>
  <Override ContentType="application/vnd.openxmlformats-officedocument.spreadsheetml.worksheet+xml" PartName="/xl/worksheets/sheet49979.xml"/>
  <Override ContentType="application/vnd.openxmlformats-officedocument.spreadsheetml.worksheet+xml" PartName="/xl/worksheets/sheet49980.xml"/>
  <Override ContentType="application/vnd.openxmlformats-officedocument.spreadsheetml.worksheet+xml" PartName="/xl/worksheets/sheet49981.xml"/>
  <Override ContentType="application/vnd.openxmlformats-officedocument.spreadsheetml.worksheet+xml" PartName="/xl/worksheets/sheet49982.xml"/>
  <Override ContentType="application/vnd.openxmlformats-officedocument.spreadsheetml.worksheet+xml" PartName="/xl/worksheets/sheet49983.xml"/>
  <Override ContentType="application/vnd.openxmlformats-officedocument.spreadsheetml.worksheet+xml" PartName="/xl/worksheets/sheet49984.xml"/>
  <Override ContentType="application/vnd.openxmlformats-officedocument.spreadsheetml.worksheet+xml" PartName="/xl/worksheets/sheet49985.xml"/>
  <Override ContentType="application/vnd.openxmlformats-officedocument.spreadsheetml.worksheet+xml" PartName="/xl/worksheets/sheet49986.xml"/>
  <Override ContentType="application/vnd.openxmlformats-officedocument.spreadsheetml.worksheet+xml" PartName="/xl/worksheets/sheet49987.xml"/>
  <Override ContentType="application/vnd.openxmlformats-officedocument.spreadsheetml.worksheet+xml" PartName="/xl/worksheets/sheet49988.xml"/>
  <Override ContentType="application/vnd.openxmlformats-officedocument.spreadsheetml.worksheet+xml" PartName="/xl/worksheets/sheet49989.xml"/>
  <Override ContentType="application/vnd.openxmlformats-officedocument.spreadsheetml.worksheet+xml" PartName="/xl/worksheets/sheet49990.xml"/>
  <Override ContentType="application/vnd.openxmlformats-officedocument.spreadsheetml.worksheet+xml" PartName="/xl/worksheets/sheet49991.xml"/>
  <Override ContentType="application/vnd.openxmlformats-officedocument.spreadsheetml.worksheet+xml" PartName="/xl/worksheets/sheet49992.xml"/>
  <Override ContentType="application/vnd.openxmlformats-officedocument.spreadsheetml.worksheet+xml" PartName="/xl/worksheets/sheet49993.xml"/>
  <Override ContentType="application/vnd.openxmlformats-officedocument.spreadsheetml.worksheet+xml" PartName="/xl/worksheets/sheet49994.xml"/>
  <Override ContentType="application/vnd.openxmlformats-officedocument.spreadsheetml.worksheet+xml" PartName="/xl/worksheets/sheet49995.xml"/>
  <Override ContentType="application/vnd.openxmlformats-officedocument.spreadsheetml.worksheet+xml" PartName="/xl/worksheets/sheet49996.xml"/>
  <Override ContentType="application/vnd.openxmlformats-officedocument.spreadsheetml.worksheet+xml" PartName="/xl/worksheets/sheet49997.xml"/>
  <Override ContentType="application/vnd.openxmlformats-officedocument.spreadsheetml.worksheet+xml" PartName="/xl/worksheets/sheet49998.xml"/>
  <Override ContentType="application/vnd.openxmlformats-officedocument.spreadsheetml.worksheet+xml" PartName="/xl/worksheets/sheet49999.xml"/>
  <Override ContentType="application/vnd.openxmlformats-officedocument.spreadsheetml.worksheet+xml" PartName="/xl/worksheets/sheet50000.xml"/>
  <Override ContentType="application/vnd.openxmlformats-officedocument.spreadsheetml.worksheet+xml" PartName="/xl/worksheets/sheet50001.xml"/>
  <Override ContentType="application/vnd.openxmlformats-officedocument.spreadsheetml.worksheet+xml" PartName="/xl/worksheets/sheet50002.xml"/>
  <Override ContentType="application/vnd.openxmlformats-officedocument.spreadsheetml.worksheet+xml" PartName="/xl/worksheets/sheet50003.xml"/>
  <Override ContentType="application/vnd.openxmlformats-officedocument.spreadsheetml.worksheet+xml" PartName="/xl/worksheets/sheet50004.xml"/>
  <Override ContentType="application/vnd.openxmlformats-officedocument.spreadsheetml.worksheet+xml" PartName="/xl/worksheets/sheet50005.xml"/>
  <Override ContentType="application/vnd.openxmlformats-officedocument.spreadsheetml.worksheet+xml" PartName="/xl/worksheets/sheet50006.xml"/>
  <Override ContentType="application/vnd.openxmlformats-officedocument.spreadsheetml.worksheet+xml" PartName="/xl/worksheets/sheet50007.xml"/>
  <Override ContentType="application/vnd.openxmlformats-officedocument.spreadsheetml.worksheet+xml" PartName="/xl/worksheets/sheet50008.xml"/>
  <Override ContentType="application/vnd.openxmlformats-officedocument.spreadsheetml.worksheet+xml" PartName="/xl/worksheets/sheet50009.xml"/>
  <Override ContentType="application/vnd.openxmlformats-officedocument.spreadsheetml.worksheet+xml" PartName="/xl/worksheets/sheet50010.xml"/>
  <Override ContentType="application/vnd.openxmlformats-officedocument.spreadsheetml.worksheet+xml" PartName="/xl/worksheets/sheet50011.xml"/>
  <Override ContentType="application/vnd.openxmlformats-officedocument.spreadsheetml.worksheet+xml" PartName="/xl/worksheets/sheet50012.xml"/>
  <Override ContentType="application/vnd.openxmlformats-officedocument.spreadsheetml.worksheet+xml" PartName="/xl/worksheets/sheet50013.xml"/>
  <Override ContentType="application/vnd.openxmlformats-officedocument.spreadsheetml.worksheet+xml" PartName="/xl/worksheets/sheet50014.xml"/>
  <Override ContentType="application/vnd.openxmlformats-officedocument.spreadsheetml.worksheet+xml" PartName="/xl/worksheets/sheet50015.xml"/>
  <Override ContentType="application/vnd.openxmlformats-officedocument.spreadsheetml.worksheet+xml" PartName="/xl/worksheets/sheet50016.xml"/>
  <Override ContentType="application/vnd.openxmlformats-officedocument.spreadsheetml.worksheet+xml" PartName="/xl/worksheets/sheet50017.xml"/>
  <Override ContentType="application/vnd.openxmlformats-officedocument.spreadsheetml.worksheet+xml" PartName="/xl/worksheets/sheet50018.xml"/>
  <Override ContentType="application/vnd.openxmlformats-officedocument.spreadsheetml.worksheet+xml" PartName="/xl/worksheets/sheet50019.xml"/>
  <Override ContentType="application/vnd.openxmlformats-officedocument.spreadsheetml.worksheet+xml" PartName="/xl/worksheets/sheet50020.xml"/>
  <Override ContentType="application/vnd.openxmlformats-officedocument.spreadsheetml.worksheet+xml" PartName="/xl/worksheets/sheet50021.xml"/>
  <Override ContentType="application/vnd.openxmlformats-officedocument.spreadsheetml.worksheet+xml" PartName="/xl/worksheets/sheet50022.xml"/>
  <Override ContentType="application/vnd.openxmlformats-officedocument.spreadsheetml.worksheet+xml" PartName="/xl/worksheets/sheet50023.xml"/>
  <Override ContentType="application/vnd.openxmlformats-officedocument.spreadsheetml.worksheet+xml" PartName="/xl/worksheets/sheet50024.xml"/>
  <Override ContentType="application/vnd.openxmlformats-officedocument.spreadsheetml.worksheet+xml" PartName="/xl/worksheets/sheet50025.xml"/>
  <Override ContentType="application/vnd.openxmlformats-officedocument.spreadsheetml.worksheet+xml" PartName="/xl/worksheets/sheet50026.xml"/>
  <Override ContentType="application/vnd.openxmlformats-officedocument.spreadsheetml.worksheet+xml" PartName="/xl/worksheets/sheet50027.xml"/>
  <Override ContentType="application/vnd.openxmlformats-officedocument.spreadsheetml.worksheet+xml" PartName="/xl/worksheets/sheet50028.xml"/>
  <Override ContentType="application/vnd.openxmlformats-officedocument.spreadsheetml.worksheet+xml" PartName="/xl/worksheets/sheet50029.xml"/>
  <Override ContentType="application/vnd.openxmlformats-officedocument.spreadsheetml.worksheet+xml" PartName="/xl/worksheets/sheet50030.xml"/>
  <Override ContentType="application/vnd.openxmlformats-officedocument.spreadsheetml.worksheet+xml" PartName="/xl/worksheets/sheet50031.xml"/>
  <Override ContentType="application/vnd.openxmlformats-officedocument.spreadsheetml.worksheet+xml" PartName="/xl/worksheets/sheet50032.xml"/>
  <Override ContentType="application/vnd.openxmlformats-officedocument.spreadsheetml.worksheet+xml" PartName="/xl/worksheets/sheet50033.xml"/>
  <Override ContentType="application/vnd.openxmlformats-officedocument.spreadsheetml.worksheet+xml" PartName="/xl/worksheets/sheet50034.xml"/>
  <Override ContentType="application/vnd.openxmlformats-officedocument.spreadsheetml.worksheet+xml" PartName="/xl/worksheets/sheet50035.xml"/>
  <Override ContentType="application/vnd.openxmlformats-officedocument.spreadsheetml.worksheet+xml" PartName="/xl/worksheets/sheet50036.xml"/>
  <Override ContentType="application/vnd.openxmlformats-officedocument.spreadsheetml.worksheet+xml" PartName="/xl/worksheets/sheet50037.xml"/>
  <Override ContentType="application/vnd.openxmlformats-officedocument.spreadsheetml.worksheet+xml" PartName="/xl/worksheets/sheet50038.xml"/>
  <Override ContentType="application/vnd.openxmlformats-officedocument.spreadsheetml.worksheet+xml" PartName="/xl/worksheets/sheet50039.xml"/>
  <Override ContentType="application/vnd.openxmlformats-officedocument.spreadsheetml.worksheet+xml" PartName="/xl/worksheets/sheet50040.xml"/>
  <Override ContentType="application/vnd.openxmlformats-officedocument.spreadsheetml.worksheet+xml" PartName="/xl/worksheets/sheet50041.xml"/>
  <Override ContentType="application/vnd.openxmlformats-officedocument.spreadsheetml.worksheet+xml" PartName="/xl/worksheets/sheet50042.xml"/>
  <Override ContentType="application/vnd.openxmlformats-officedocument.spreadsheetml.worksheet+xml" PartName="/xl/worksheets/sheet50043.xml"/>
  <Override ContentType="application/vnd.openxmlformats-officedocument.spreadsheetml.worksheet+xml" PartName="/xl/worksheets/sheet50044.xml"/>
  <Override ContentType="application/vnd.openxmlformats-officedocument.spreadsheetml.worksheet+xml" PartName="/xl/worksheets/sheet50045.xml"/>
  <Override ContentType="application/vnd.openxmlformats-officedocument.spreadsheetml.worksheet+xml" PartName="/xl/worksheets/sheet50046.xml"/>
  <Override ContentType="application/vnd.openxmlformats-officedocument.spreadsheetml.worksheet+xml" PartName="/xl/worksheets/sheet50047.xml"/>
  <Override ContentType="application/vnd.openxmlformats-officedocument.spreadsheetml.worksheet+xml" PartName="/xl/worksheets/sheet50048.xml"/>
  <Override ContentType="application/vnd.openxmlformats-officedocument.spreadsheetml.worksheet+xml" PartName="/xl/worksheets/sheet50049.xml"/>
  <Override ContentType="application/vnd.openxmlformats-officedocument.spreadsheetml.worksheet+xml" PartName="/xl/worksheets/sheet50050.xml"/>
  <Override ContentType="application/vnd.openxmlformats-officedocument.spreadsheetml.worksheet+xml" PartName="/xl/worksheets/sheet50051.xml"/>
  <Override ContentType="application/vnd.openxmlformats-officedocument.spreadsheetml.worksheet+xml" PartName="/xl/worksheets/sheet50052.xml"/>
  <Override ContentType="application/vnd.openxmlformats-officedocument.spreadsheetml.worksheet+xml" PartName="/xl/worksheets/sheet50053.xml"/>
  <Override ContentType="application/vnd.openxmlformats-officedocument.spreadsheetml.worksheet+xml" PartName="/xl/worksheets/sheet50054.xml"/>
  <Override ContentType="application/vnd.openxmlformats-officedocument.spreadsheetml.worksheet+xml" PartName="/xl/worksheets/sheet50055.xml"/>
  <Override ContentType="application/vnd.openxmlformats-officedocument.spreadsheetml.worksheet+xml" PartName="/xl/worksheets/sheet50056.xml"/>
  <Override ContentType="application/vnd.openxmlformats-officedocument.spreadsheetml.worksheet+xml" PartName="/xl/worksheets/sheet50057.xml"/>
  <Override ContentType="application/vnd.openxmlformats-officedocument.spreadsheetml.worksheet+xml" PartName="/xl/worksheets/sheet50058.xml"/>
  <Override ContentType="application/vnd.openxmlformats-officedocument.spreadsheetml.worksheet+xml" PartName="/xl/worksheets/sheet50059.xml"/>
  <Override ContentType="application/vnd.openxmlformats-officedocument.spreadsheetml.worksheet+xml" PartName="/xl/worksheets/sheet50060.xml"/>
  <Override ContentType="application/vnd.openxmlformats-officedocument.spreadsheetml.worksheet+xml" PartName="/xl/worksheets/sheet50061.xml"/>
  <Override ContentType="application/vnd.openxmlformats-officedocument.spreadsheetml.worksheet+xml" PartName="/xl/worksheets/sheet50062.xml"/>
  <Override ContentType="application/vnd.openxmlformats-officedocument.spreadsheetml.worksheet+xml" PartName="/xl/worksheets/sheet50063.xml"/>
  <Override ContentType="application/vnd.openxmlformats-officedocument.spreadsheetml.worksheet+xml" PartName="/xl/worksheets/sheet50064.xml"/>
  <Override ContentType="application/vnd.openxmlformats-officedocument.spreadsheetml.worksheet+xml" PartName="/xl/worksheets/sheet50065.xml"/>
  <Override ContentType="application/vnd.openxmlformats-officedocument.spreadsheetml.worksheet+xml" PartName="/xl/worksheets/sheet50066.xml"/>
  <Override ContentType="application/vnd.openxmlformats-officedocument.spreadsheetml.worksheet+xml" PartName="/xl/worksheets/sheet50067.xml"/>
  <Override ContentType="application/vnd.openxmlformats-officedocument.spreadsheetml.worksheet+xml" PartName="/xl/worksheets/sheet50068.xml"/>
  <Override ContentType="application/vnd.openxmlformats-officedocument.spreadsheetml.worksheet+xml" PartName="/xl/worksheets/sheet50069.xml"/>
  <Override ContentType="application/vnd.openxmlformats-officedocument.spreadsheetml.worksheet+xml" PartName="/xl/worksheets/sheet50070.xml"/>
  <Override ContentType="application/vnd.openxmlformats-officedocument.spreadsheetml.worksheet+xml" PartName="/xl/worksheets/sheet50071.xml"/>
  <Override ContentType="application/vnd.openxmlformats-officedocument.spreadsheetml.worksheet+xml" PartName="/xl/worksheets/sheet50072.xml"/>
  <Override ContentType="application/vnd.openxmlformats-officedocument.spreadsheetml.worksheet+xml" PartName="/xl/worksheets/sheet50073.xml"/>
  <Override ContentType="application/vnd.openxmlformats-officedocument.spreadsheetml.worksheet+xml" PartName="/xl/worksheets/sheet50074.xml"/>
  <Override ContentType="application/vnd.openxmlformats-officedocument.spreadsheetml.worksheet+xml" PartName="/xl/worksheets/sheet50075.xml"/>
  <Override ContentType="application/vnd.openxmlformats-officedocument.spreadsheetml.worksheet+xml" PartName="/xl/worksheets/sheet50076.xml"/>
  <Override ContentType="application/vnd.openxmlformats-officedocument.spreadsheetml.worksheet+xml" PartName="/xl/worksheets/sheet50077.xml"/>
  <Override ContentType="application/vnd.openxmlformats-officedocument.spreadsheetml.worksheet+xml" PartName="/xl/worksheets/sheet50078.xml"/>
  <Override ContentType="application/vnd.openxmlformats-officedocument.spreadsheetml.worksheet+xml" PartName="/xl/worksheets/sheet50079.xml"/>
  <Override ContentType="application/vnd.openxmlformats-officedocument.spreadsheetml.worksheet+xml" PartName="/xl/worksheets/sheet50080.xml"/>
  <Override ContentType="application/vnd.openxmlformats-officedocument.spreadsheetml.worksheet+xml" PartName="/xl/worksheets/sheet50081.xml"/>
  <Override ContentType="application/vnd.openxmlformats-officedocument.spreadsheetml.worksheet+xml" PartName="/xl/worksheets/sheet50082.xml"/>
  <Override ContentType="application/vnd.openxmlformats-officedocument.spreadsheetml.worksheet+xml" PartName="/xl/worksheets/sheet50083.xml"/>
  <Override ContentType="application/vnd.openxmlformats-officedocument.spreadsheetml.worksheet+xml" PartName="/xl/worksheets/sheet50084.xml"/>
  <Override ContentType="application/vnd.openxmlformats-officedocument.spreadsheetml.worksheet+xml" PartName="/xl/worksheets/sheet50085.xml"/>
  <Override ContentType="application/vnd.openxmlformats-officedocument.spreadsheetml.worksheet+xml" PartName="/xl/worksheets/sheet50086.xml"/>
  <Override ContentType="application/vnd.openxmlformats-officedocument.spreadsheetml.worksheet+xml" PartName="/xl/worksheets/sheet50087.xml"/>
  <Override ContentType="application/vnd.openxmlformats-officedocument.spreadsheetml.worksheet+xml" PartName="/xl/worksheets/sheet50088.xml"/>
  <Override ContentType="application/vnd.openxmlformats-officedocument.spreadsheetml.worksheet+xml" PartName="/xl/worksheets/sheet50089.xml"/>
  <Override ContentType="application/vnd.openxmlformats-officedocument.spreadsheetml.worksheet+xml" PartName="/xl/worksheets/sheet50090.xml"/>
  <Override ContentType="application/vnd.openxmlformats-officedocument.spreadsheetml.worksheet+xml" PartName="/xl/worksheets/sheet50091.xml"/>
  <Override ContentType="application/vnd.openxmlformats-officedocument.spreadsheetml.worksheet+xml" PartName="/xl/worksheets/sheet50092.xml"/>
  <Override ContentType="application/vnd.openxmlformats-officedocument.spreadsheetml.worksheet+xml" PartName="/xl/worksheets/sheet50093.xml"/>
  <Override ContentType="application/vnd.openxmlformats-officedocument.spreadsheetml.worksheet+xml" PartName="/xl/worksheets/sheet50094.xml"/>
  <Override ContentType="application/vnd.openxmlformats-officedocument.spreadsheetml.worksheet+xml" PartName="/xl/worksheets/sheet50095.xml"/>
  <Override ContentType="application/vnd.openxmlformats-officedocument.spreadsheetml.worksheet+xml" PartName="/xl/worksheets/sheet50096.xml"/>
  <Override ContentType="application/vnd.openxmlformats-officedocument.spreadsheetml.worksheet+xml" PartName="/xl/worksheets/sheet50097.xml"/>
  <Override ContentType="application/vnd.openxmlformats-officedocument.spreadsheetml.worksheet+xml" PartName="/xl/worksheets/sheet50098.xml"/>
  <Override ContentType="application/vnd.openxmlformats-officedocument.spreadsheetml.worksheet+xml" PartName="/xl/worksheets/sheet50099.xml"/>
  <Override ContentType="application/vnd.openxmlformats-officedocument.spreadsheetml.worksheet+xml" PartName="/xl/worksheets/sheet50100.xml"/>
  <Override ContentType="application/vnd.openxmlformats-officedocument.spreadsheetml.worksheet+xml" PartName="/xl/worksheets/sheet50101.xml"/>
  <Override ContentType="application/vnd.openxmlformats-officedocument.spreadsheetml.worksheet+xml" PartName="/xl/worksheets/sheet50102.xml"/>
  <Override ContentType="application/vnd.openxmlformats-officedocument.spreadsheetml.worksheet+xml" PartName="/xl/worksheets/sheet50103.xml"/>
  <Override ContentType="application/vnd.openxmlformats-officedocument.spreadsheetml.worksheet+xml" PartName="/xl/worksheets/sheet50104.xml"/>
  <Override ContentType="application/vnd.openxmlformats-officedocument.spreadsheetml.worksheet+xml" PartName="/xl/worksheets/sheet50105.xml"/>
  <Override ContentType="application/vnd.openxmlformats-officedocument.spreadsheetml.worksheet+xml" PartName="/xl/worksheets/sheet50106.xml"/>
  <Override ContentType="application/vnd.openxmlformats-officedocument.spreadsheetml.worksheet+xml" PartName="/xl/worksheets/sheet50107.xml"/>
  <Override ContentType="application/vnd.openxmlformats-officedocument.spreadsheetml.worksheet+xml" PartName="/xl/worksheets/sheet50108.xml"/>
  <Override ContentType="application/vnd.openxmlformats-officedocument.spreadsheetml.worksheet+xml" PartName="/xl/worksheets/sheet50109.xml"/>
  <Override ContentType="application/vnd.openxmlformats-officedocument.spreadsheetml.worksheet+xml" PartName="/xl/worksheets/sheet50110.xml"/>
  <Override ContentType="application/vnd.openxmlformats-officedocument.spreadsheetml.worksheet+xml" PartName="/xl/worksheets/sheet50111.xml"/>
  <Override ContentType="application/vnd.openxmlformats-officedocument.spreadsheetml.worksheet+xml" PartName="/xl/worksheets/sheet50112.xml"/>
  <Override ContentType="application/vnd.openxmlformats-officedocument.spreadsheetml.worksheet+xml" PartName="/xl/worksheets/sheet50113.xml"/>
  <Override ContentType="application/vnd.openxmlformats-officedocument.spreadsheetml.worksheet+xml" PartName="/xl/worksheets/sheet50114.xml"/>
  <Override ContentType="application/vnd.openxmlformats-officedocument.spreadsheetml.worksheet+xml" PartName="/xl/worksheets/sheet50115.xml"/>
  <Override ContentType="application/vnd.openxmlformats-officedocument.spreadsheetml.worksheet+xml" PartName="/xl/worksheets/sheet50116.xml"/>
  <Override ContentType="application/vnd.openxmlformats-officedocument.spreadsheetml.worksheet+xml" PartName="/xl/worksheets/sheet50117.xml"/>
  <Override ContentType="application/vnd.openxmlformats-officedocument.spreadsheetml.worksheet+xml" PartName="/xl/worksheets/sheet50118.xml"/>
  <Override ContentType="application/vnd.openxmlformats-officedocument.spreadsheetml.worksheet+xml" PartName="/xl/worksheets/sheet50119.xml"/>
  <Override ContentType="application/vnd.openxmlformats-officedocument.spreadsheetml.worksheet+xml" PartName="/xl/worksheets/sheet50120.xml"/>
  <Override ContentType="application/vnd.openxmlformats-officedocument.spreadsheetml.worksheet+xml" PartName="/xl/worksheets/sheet50121.xml"/>
  <Override ContentType="application/vnd.openxmlformats-officedocument.spreadsheetml.worksheet+xml" PartName="/xl/worksheets/sheet50122.xml"/>
  <Override ContentType="application/vnd.openxmlformats-officedocument.spreadsheetml.worksheet+xml" PartName="/xl/worksheets/sheet50123.xml"/>
  <Override ContentType="application/vnd.openxmlformats-officedocument.spreadsheetml.worksheet+xml" PartName="/xl/worksheets/sheet50124.xml"/>
  <Override ContentType="application/vnd.openxmlformats-officedocument.spreadsheetml.worksheet+xml" PartName="/xl/worksheets/sheet50125.xml"/>
  <Override ContentType="application/vnd.openxmlformats-officedocument.spreadsheetml.worksheet+xml" PartName="/xl/worksheets/sheet50126.xml"/>
  <Override ContentType="application/vnd.openxmlformats-officedocument.spreadsheetml.worksheet+xml" PartName="/xl/worksheets/sheet50127.xml"/>
  <Override ContentType="application/vnd.openxmlformats-officedocument.spreadsheetml.worksheet+xml" PartName="/xl/worksheets/sheet50128.xml"/>
  <Override ContentType="application/vnd.openxmlformats-officedocument.spreadsheetml.worksheet+xml" PartName="/xl/worksheets/sheet50129.xml"/>
  <Override ContentType="application/vnd.openxmlformats-officedocument.spreadsheetml.worksheet+xml" PartName="/xl/worksheets/sheet50130.xml"/>
  <Override ContentType="application/vnd.openxmlformats-officedocument.spreadsheetml.worksheet+xml" PartName="/xl/worksheets/sheet50131.xml"/>
  <Override ContentType="application/vnd.openxmlformats-officedocument.spreadsheetml.worksheet+xml" PartName="/xl/worksheets/sheet50132.xml"/>
  <Override ContentType="application/vnd.openxmlformats-officedocument.spreadsheetml.worksheet+xml" PartName="/xl/worksheets/sheet50133.xml"/>
  <Override ContentType="application/vnd.openxmlformats-officedocument.spreadsheetml.worksheet+xml" PartName="/xl/worksheets/sheet50134.xml"/>
  <Override ContentType="application/vnd.openxmlformats-officedocument.spreadsheetml.worksheet+xml" PartName="/xl/worksheets/sheet50135.xml"/>
  <Override ContentType="application/vnd.openxmlformats-officedocument.spreadsheetml.worksheet+xml" PartName="/xl/worksheets/sheet50136.xml"/>
  <Override ContentType="application/vnd.openxmlformats-officedocument.spreadsheetml.worksheet+xml" PartName="/xl/worksheets/sheet50137.xml"/>
  <Override ContentType="application/vnd.openxmlformats-officedocument.spreadsheetml.worksheet+xml" PartName="/xl/worksheets/sheet50138.xml"/>
  <Override ContentType="application/vnd.openxmlformats-officedocument.spreadsheetml.worksheet+xml" PartName="/xl/worksheets/sheet50139.xml"/>
  <Override ContentType="application/vnd.openxmlformats-officedocument.spreadsheetml.worksheet+xml" PartName="/xl/worksheets/sheet50140.xml"/>
  <Override ContentType="application/vnd.openxmlformats-officedocument.spreadsheetml.worksheet+xml" PartName="/xl/worksheets/sheet50141.xml"/>
  <Override ContentType="application/vnd.openxmlformats-officedocument.spreadsheetml.worksheet+xml" PartName="/xl/worksheets/sheet50142.xml"/>
  <Override ContentType="application/vnd.openxmlformats-officedocument.spreadsheetml.worksheet+xml" PartName="/xl/worksheets/sheet50143.xml"/>
  <Override ContentType="application/vnd.openxmlformats-officedocument.spreadsheetml.worksheet+xml" PartName="/xl/worksheets/sheet50144.xml"/>
  <Override ContentType="application/vnd.openxmlformats-officedocument.spreadsheetml.worksheet+xml" PartName="/xl/worksheets/sheet50145.xml"/>
  <Override ContentType="application/vnd.openxmlformats-officedocument.spreadsheetml.worksheet+xml" PartName="/xl/worksheets/sheet50146.xml"/>
  <Override ContentType="application/vnd.openxmlformats-officedocument.spreadsheetml.worksheet+xml" PartName="/xl/worksheets/sheet50147.xml"/>
  <Override ContentType="application/vnd.openxmlformats-officedocument.spreadsheetml.worksheet+xml" PartName="/xl/worksheets/sheet50148.xml"/>
  <Override ContentType="application/vnd.openxmlformats-officedocument.spreadsheetml.worksheet+xml" PartName="/xl/worksheets/sheet50149.xml"/>
  <Override ContentType="application/vnd.openxmlformats-officedocument.spreadsheetml.worksheet+xml" PartName="/xl/worksheets/sheet50150.xml"/>
  <Override ContentType="application/vnd.openxmlformats-officedocument.spreadsheetml.worksheet+xml" PartName="/xl/worksheets/sheet50151.xml"/>
  <Override ContentType="application/vnd.openxmlformats-officedocument.spreadsheetml.worksheet+xml" PartName="/xl/worksheets/sheet50152.xml"/>
  <Override ContentType="application/vnd.openxmlformats-officedocument.spreadsheetml.worksheet+xml" PartName="/xl/worksheets/sheet50153.xml"/>
  <Override ContentType="application/vnd.openxmlformats-officedocument.spreadsheetml.worksheet+xml" PartName="/xl/worksheets/sheet50154.xml"/>
  <Override ContentType="application/vnd.openxmlformats-officedocument.spreadsheetml.worksheet+xml" PartName="/xl/worksheets/sheet50155.xml"/>
  <Override ContentType="application/vnd.openxmlformats-officedocument.spreadsheetml.worksheet+xml" PartName="/xl/worksheets/sheet50156.xml"/>
  <Override ContentType="application/vnd.openxmlformats-officedocument.spreadsheetml.worksheet+xml" PartName="/xl/worksheets/sheet50157.xml"/>
  <Override ContentType="application/vnd.openxmlformats-officedocument.spreadsheetml.worksheet+xml" PartName="/xl/worksheets/sheet50158.xml"/>
  <Override ContentType="application/vnd.openxmlformats-officedocument.spreadsheetml.worksheet+xml" PartName="/xl/worksheets/sheet50159.xml"/>
  <Override ContentType="application/vnd.openxmlformats-officedocument.spreadsheetml.worksheet+xml" PartName="/xl/worksheets/sheet50160.xml"/>
  <Override ContentType="application/vnd.openxmlformats-officedocument.spreadsheetml.worksheet+xml" PartName="/xl/worksheets/sheet50161.xml"/>
  <Override ContentType="application/vnd.openxmlformats-officedocument.spreadsheetml.worksheet+xml" PartName="/xl/worksheets/sheet50162.xml"/>
  <Override ContentType="application/vnd.openxmlformats-officedocument.spreadsheetml.worksheet+xml" PartName="/xl/worksheets/sheet50163.xml"/>
  <Override ContentType="application/vnd.openxmlformats-officedocument.spreadsheetml.worksheet+xml" PartName="/xl/worksheets/sheet50164.xml"/>
  <Override ContentType="application/vnd.openxmlformats-officedocument.spreadsheetml.worksheet+xml" PartName="/xl/worksheets/sheet50165.xml"/>
  <Override ContentType="application/vnd.openxmlformats-officedocument.spreadsheetml.worksheet+xml" PartName="/xl/worksheets/sheet50166.xml"/>
  <Override ContentType="application/vnd.openxmlformats-officedocument.spreadsheetml.worksheet+xml" PartName="/xl/worksheets/sheet50167.xml"/>
  <Override ContentType="application/vnd.openxmlformats-officedocument.spreadsheetml.worksheet+xml" PartName="/xl/worksheets/sheet50168.xml"/>
  <Override ContentType="application/vnd.openxmlformats-officedocument.spreadsheetml.worksheet+xml" PartName="/xl/worksheets/sheet50169.xml"/>
  <Override ContentType="application/vnd.openxmlformats-officedocument.spreadsheetml.worksheet+xml" PartName="/xl/worksheets/sheet50170.xml"/>
  <Override ContentType="application/vnd.openxmlformats-officedocument.spreadsheetml.worksheet+xml" PartName="/xl/worksheets/sheet50171.xml"/>
  <Override ContentType="application/vnd.openxmlformats-officedocument.spreadsheetml.worksheet+xml" PartName="/xl/worksheets/sheet50172.xml"/>
  <Override ContentType="application/vnd.openxmlformats-officedocument.spreadsheetml.worksheet+xml" PartName="/xl/worksheets/sheet50173.xml"/>
  <Override ContentType="application/vnd.openxmlformats-officedocument.spreadsheetml.worksheet+xml" PartName="/xl/worksheets/sheet50174.xml"/>
  <Override ContentType="application/vnd.openxmlformats-officedocument.spreadsheetml.worksheet+xml" PartName="/xl/worksheets/sheet50175.xml"/>
  <Override ContentType="application/vnd.openxmlformats-officedocument.spreadsheetml.worksheet+xml" PartName="/xl/worksheets/sheet50176.xml"/>
  <Override ContentType="application/vnd.openxmlformats-officedocument.spreadsheetml.worksheet+xml" PartName="/xl/worksheets/sheet50177.xml"/>
  <Override ContentType="application/vnd.openxmlformats-officedocument.spreadsheetml.worksheet+xml" PartName="/xl/worksheets/sheet50178.xml"/>
  <Override ContentType="application/vnd.openxmlformats-officedocument.spreadsheetml.worksheet+xml" PartName="/xl/worksheets/sheet50179.xml"/>
  <Override ContentType="application/vnd.openxmlformats-officedocument.spreadsheetml.worksheet+xml" PartName="/xl/worksheets/sheet50180.xml"/>
  <Override ContentType="application/vnd.openxmlformats-officedocument.spreadsheetml.worksheet+xml" PartName="/xl/worksheets/sheet50181.xml"/>
  <Override ContentType="application/vnd.openxmlformats-officedocument.spreadsheetml.worksheet+xml" PartName="/xl/worksheets/sheet50182.xml"/>
  <Override ContentType="application/vnd.openxmlformats-officedocument.spreadsheetml.worksheet+xml" PartName="/xl/worksheets/sheet50183.xml"/>
  <Override ContentType="application/vnd.openxmlformats-officedocument.spreadsheetml.worksheet+xml" PartName="/xl/worksheets/sheet50184.xml"/>
  <Override ContentType="application/vnd.openxmlformats-officedocument.spreadsheetml.worksheet+xml" PartName="/xl/worksheets/sheet50185.xml"/>
  <Override ContentType="application/vnd.openxmlformats-officedocument.spreadsheetml.worksheet+xml" PartName="/xl/worksheets/sheet50186.xml"/>
  <Override ContentType="application/vnd.openxmlformats-officedocument.spreadsheetml.worksheet+xml" PartName="/xl/worksheets/sheet50187.xml"/>
  <Override ContentType="application/vnd.openxmlformats-officedocument.spreadsheetml.worksheet+xml" PartName="/xl/worksheets/sheet50188.xml"/>
  <Override ContentType="application/vnd.openxmlformats-officedocument.spreadsheetml.worksheet+xml" PartName="/xl/worksheets/sheet50189.xml"/>
  <Override ContentType="application/vnd.openxmlformats-officedocument.spreadsheetml.worksheet+xml" PartName="/xl/worksheets/sheet50190.xml"/>
  <Override ContentType="application/vnd.openxmlformats-officedocument.spreadsheetml.worksheet+xml" PartName="/xl/worksheets/sheet50191.xml"/>
  <Override ContentType="application/vnd.openxmlformats-officedocument.spreadsheetml.worksheet+xml" PartName="/xl/worksheets/sheet50192.xml"/>
  <Override ContentType="application/vnd.openxmlformats-officedocument.spreadsheetml.worksheet+xml" PartName="/xl/worksheets/sheet50193.xml"/>
  <Override ContentType="application/vnd.openxmlformats-officedocument.spreadsheetml.worksheet+xml" PartName="/xl/worksheets/sheet50194.xml"/>
  <Override ContentType="application/vnd.openxmlformats-officedocument.spreadsheetml.worksheet+xml" PartName="/xl/worksheets/sheet50195.xml"/>
  <Override ContentType="application/vnd.openxmlformats-officedocument.spreadsheetml.worksheet+xml" PartName="/xl/worksheets/sheet50196.xml"/>
  <Override ContentType="application/vnd.openxmlformats-officedocument.spreadsheetml.worksheet+xml" PartName="/xl/worksheets/sheet50197.xml"/>
  <Override ContentType="application/vnd.openxmlformats-officedocument.spreadsheetml.worksheet+xml" PartName="/xl/worksheets/sheet50198.xml"/>
  <Override ContentType="application/vnd.openxmlformats-officedocument.spreadsheetml.worksheet+xml" PartName="/xl/worksheets/sheet50199.xml"/>
  <Override ContentType="application/vnd.openxmlformats-officedocument.spreadsheetml.worksheet+xml" PartName="/xl/worksheets/sheet50200.xml"/>
  <Override ContentType="application/vnd.openxmlformats-officedocument.spreadsheetml.worksheet+xml" PartName="/xl/worksheets/sheet50201.xml"/>
  <Override ContentType="application/vnd.openxmlformats-officedocument.spreadsheetml.worksheet+xml" PartName="/xl/worksheets/sheet50202.xml"/>
  <Override ContentType="application/vnd.openxmlformats-officedocument.spreadsheetml.worksheet+xml" PartName="/xl/worksheets/sheet50203.xml"/>
  <Override ContentType="application/vnd.openxmlformats-officedocument.spreadsheetml.worksheet+xml" PartName="/xl/worksheets/sheet50204.xml"/>
  <Override ContentType="application/vnd.openxmlformats-officedocument.spreadsheetml.worksheet+xml" PartName="/xl/worksheets/sheet50205.xml"/>
  <Override ContentType="application/vnd.openxmlformats-officedocument.spreadsheetml.worksheet+xml" PartName="/xl/worksheets/sheet50206.xml"/>
  <Override ContentType="application/vnd.openxmlformats-officedocument.spreadsheetml.worksheet+xml" PartName="/xl/worksheets/sheet50207.xml"/>
  <Override ContentType="application/vnd.openxmlformats-officedocument.spreadsheetml.worksheet+xml" PartName="/xl/worksheets/sheet50208.xml"/>
  <Override ContentType="application/vnd.openxmlformats-officedocument.spreadsheetml.worksheet+xml" PartName="/xl/worksheets/sheet50209.xml"/>
  <Override ContentType="application/vnd.openxmlformats-officedocument.spreadsheetml.worksheet+xml" PartName="/xl/worksheets/sheet50210.xml"/>
  <Override ContentType="application/vnd.openxmlformats-officedocument.spreadsheetml.worksheet+xml" PartName="/xl/worksheets/sheet50211.xml"/>
  <Override ContentType="application/vnd.openxmlformats-officedocument.spreadsheetml.worksheet+xml" PartName="/xl/worksheets/sheet50212.xml"/>
  <Override ContentType="application/vnd.openxmlformats-officedocument.spreadsheetml.worksheet+xml" PartName="/xl/worksheets/sheet50213.xml"/>
  <Override ContentType="application/vnd.openxmlformats-officedocument.spreadsheetml.worksheet+xml" PartName="/xl/worksheets/sheet50214.xml"/>
  <Override ContentType="application/vnd.openxmlformats-officedocument.spreadsheetml.worksheet+xml" PartName="/xl/worksheets/sheet50215.xml"/>
  <Override ContentType="application/vnd.openxmlformats-officedocument.spreadsheetml.worksheet+xml" PartName="/xl/worksheets/sheet50216.xml"/>
  <Override ContentType="application/vnd.openxmlformats-officedocument.spreadsheetml.worksheet+xml" PartName="/xl/worksheets/sheet50217.xml"/>
  <Override ContentType="application/vnd.openxmlformats-officedocument.spreadsheetml.worksheet+xml" PartName="/xl/worksheets/sheet50218.xml"/>
  <Override ContentType="application/vnd.openxmlformats-officedocument.spreadsheetml.worksheet+xml" PartName="/xl/worksheets/sheet50219.xml"/>
  <Override ContentType="application/vnd.openxmlformats-officedocument.spreadsheetml.worksheet+xml" PartName="/xl/worksheets/sheet50220.xml"/>
  <Override ContentType="application/vnd.openxmlformats-officedocument.spreadsheetml.worksheet+xml" PartName="/xl/worksheets/sheet50221.xml"/>
  <Override ContentType="application/vnd.openxmlformats-officedocument.spreadsheetml.worksheet+xml" PartName="/xl/worksheets/sheet50222.xml"/>
  <Override ContentType="application/vnd.openxmlformats-officedocument.spreadsheetml.worksheet+xml" PartName="/xl/worksheets/sheet50223.xml"/>
  <Override ContentType="application/vnd.openxmlformats-officedocument.spreadsheetml.worksheet+xml" PartName="/xl/worksheets/sheet50224.xml"/>
  <Override ContentType="application/vnd.openxmlformats-officedocument.spreadsheetml.worksheet+xml" PartName="/xl/worksheets/sheet50225.xml"/>
  <Override ContentType="application/vnd.openxmlformats-officedocument.spreadsheetml.worksheet+xml" PartName="/xl/worksheets/sheet50226.xml"/>
  <Override ContentType="application/vnd.openxmlformats-officedocument.spreadsheetml.worksheet+xml" PartName="/xl/worksheets/sheet50227.xml"/>
  <Override ContentType="application/vnd.openxmlformats-officedocument.spreadsheetml.worksheet+xml" PartName="/xl/worksheets/sheet50228.xml"/>
  <Override ContentType="application/vnd.openxmlformats-officedocument.spreadsheetml.worksheet+xml" PartName="/xl/worksheets/sheet50229.xml"/>
  <Override ContentType="application/vnd.openxmlformats-officedocument.spreadsheetml.worksheet+xml" PartName="/xl/worksheets/sheet50230.xml"/>
  <Override ContentType="application/vnd.openxmlformats-officedocument.spreadsheetml.worksheet+xml" PartName="/xl/worksheets/sheet50231.xml"/>
  <Override ContentType="application/vnd.openxmlformats-officedocument.spreadsheetml.worksheet+xml" PartName="/xl/worksheets/sheet50232.xml"/>
  <Override ContentType="application/vnd.openxmlformats-officedocument.spreadsheetml.worksheet+xml" PartName="/xl/worksheets/sheet50233.xml"/>
  <Override ContentType="application/vnd.openxmlformats-officedocument.spreadsheetml.worksheet+xml" PartName="/xl/worksheets/sheet50234.xml"/>
  <Override ContentType="application/vnd.openxmlformats-officedocument.spreadsheetml.worksheet+xml" PartName="/xl/worksheets/sheet50235.xml"/>
  <Override ContentType="application/vnd.openxmlformats-officedocument.spreadsheetml.worksheet+xml" PartName="/xl/worksheets/sheet50236.xml"/>
  <Override ContentType="application/vnd.openxmlformats-officedocument.spreadsheetml.worksheet+xml" PartName="/xl/worksheets/sheet50237.xml"/>
  <Override ContentType="application/vnd.openxmlformats-officedocument.spreadsheetml.worksheet+xml" PartName="/xl/worksheets/sheet50238.xml"/>
  <Override ContentType="application/vnd.openxmlformats-officedocument.spreadsheetml.worksheet+xml" PartName="/xl/worksheets/sheet50239.xml"/>
  <Override ContentType="application/vnd.openxmlformats-officedocument.spreadsheetml.worksheet+xml" PartName="/xl/worksheets/sheet50240.xml"/>
  <Override ContentType="application/vnd.openxmlformats-officedocument.spreadsheetml.worksheet+xml" PartName="/xl/worksheets/sheet50241.xml"/>
  <Override ContentType="application/vnd.openxmlformats-officedocument.spreadsheetml.worksheet+xml" PartName="/xl/worksheets/sheet50242.xml"/>
  <Override ContentType="application/vnd.openxmlformats-officedocument.spreadsheetml.worksheet+xml" PartName="/xl/worksheets/sheet50243.xml"/>
  <Override ContentType="application/vnd.openxmlformats-officedocument.spreadsheetml.worksheet+xml" PartName="/xl/worksheets/sheet50244.xml"/>
  <Override ContentType="application/vnd.openxmlformats-officedocument.spreadsheetml.worksheet+xml" PartName="/xl/worksheets/sheet50245.xml"/>
  <Override ContentType="application/vnd.openxmlformats-officedocument.spreadsheetml.worksheet+xml" PartName="/xl/worksheets/sheet50246.xml"/>
  <Override ContentType="application/vnd.openxmlformats-officedocument.spreadsheetml.worksheet+xml" PartName="/xl/worksheets/sheet50247.xml"/>
  <Override ContentType="application/vnd.openxmlformats-officedocument.spreadsheetml.worksheet+xml" PartName="/xl/worksheets/sheet50248.xml"/>
  <Override ContentType="application/vnd.openxmlformats-officedocument.spreadsheetml.worksheet+xml" PartName="/xl/worksheets/sheet50249.xml"/>
  <Override ContentType="application/vnd.openxmlformats-officedocument.spreadsheetml.worksheet+xml" PartName="/xl/worksheets/sheet50250.xml"/>
  <Override ContentType="application/vnd.openxmlformats-officedocument.spreadsheetml.worksheet+xml" PartName="/xl/worksheets/sheet50251.xml"/>
  <Override ContentType="application/vnd.openxmlformats-officedocument.spreadsheetml.worksheet+xml" PartName="/xl/worksheets/sheet50252.xml"/>
  <Override ContentType="application/vnd.openxmlformats-officedocument.spreadsheetml.worksheet+xml" PartName="/xl/worksheets/sheet50253.xml"/>
  <Override ContentType="application/vnd.openxmlformats-officedocument.spreadsheetml.worksheet+xml" PartName="/xl/worksheets/sheet50254.xml"/>
  <Override ContentType="application/vnd.openxmlformats-officedocument.spreadsheetml.worksheet+xml" PartName="/xl/worksheets/sheet50255.xml"/>
  <Override ContentType="application/vnd.openxmlformats-officedocument.spreadsheetml.worksheet+xml" PartName="/xl/worksheets/sheet50256.xml"/>
  <Override ContentType="application/vnd.openxmlformats-officedocument.spreadsheetml.worksheet+xml" PartName="/xl/worksheets/sheet50257.xml"/>
  <Override ContentType="application/vnd.openxmlformats-officedocument.spreadsheetml.worksheet+xml" PartName="/xl/worksheets/sheet50258.xml"/>
  <Override ContentType="application/vnd.openxmlformats-officedocument.spreadsheetml.worksheet+xml" PartName="/xl/worksheets/sheet50259.xml"/>
  <Override ContentType="application/vnd.openxmlformats-officedocument.spreadsheetml.worksheet+xml" PartName="/xl/worksheets/sheet50260.xml"/>
  <Override ContentType="application/vnd.openxmlformats-officedocument.spreadsheetml.worksheet+xml" PartName="/xl/worksheets/sheet50261.xml"/>
  <Override ContentType="application/vnd.openxmlformats-officedocument.spreadsheetml.worksheet+xml" PartName="/xl/worksheets/sheet50262.xml"/>
  <Override ContentType="application/vnd.openxmlformats-officedocument.spreadsheetml.worksheet+xml" PartName="/xl/worksheets/sheet50263.xml"/>
  <Override ContentType="application/vnd.openxmlformats-officedocument.spreadsheetml.worksheet+xml" PartName="/xl/worksheets/sheet50264.xml"/>
  <Override ContentType="application/vnd.openxmlformats-officedocument.spreadsheetml.worksheet+xml" PartName="/xl/worksheets/sheet50265.xml"/>
  <Override ContentType="application/vnd.openxmlformats-officedocument.spreadsheetml.worksheet+xml" PartName="/xl/worksheets/sheet50266.xml"/>
  <Override ContentType="application/vnd.openxmlformats-officedocument.spreadsheetml.worksheet+xml" PartName="/xl/worksheets/sheet50267.xml"/>
  <Override ContentType="application/vnd.openxmlformats-officedocument.spreadsheetml.worksheet+xml" PartName="/xl/worksheets/sheet50268.xml"/>
  <Override ContentType="application/vnd.openxmlformats-officedocument.spreadsheetml.worksheet+xml" PartName="/xl/worksheets/sheet50269.xml"/>
  <Override ContentType="application/vnd.openxmlformats-officedocument.spreadsheetml.worksheet+xml" PartName="/xl/worksheets/sheet50270.xml"/>
  <Override ContentType="application/vnd.openxmlformats-officedocument.spreadsheetml.worksheet+xml" PartName="/xl/worksheets/sheet50271.xml"/>
  <Override ContentType="application/vnd.openxmlformats-officedocument.spreadsheetml.worksheet+xml" PartName="/xl/worksheets/sheet50272.xml"/>
  <Override ContentType="application/vnd.openxmlformats-officedocument.spreadsheetml.worksheet+xml" PartName="/xl/worksheets/sheet50273.xml"/>
  <Override ContentType="application/vnd.openxmlformats-officedocument.spreadsheetml.worksheet+xml" PartName="/xl/worksheets/sheet50274.xml"/>
  <Override ContentType="application/vnd.openxmlformats-officedocument.spreadsheetml.worksheet+xml" PartName="/xl/worksheets/sheet50275.xml"/>
  <Override ContentType="application/vnd.openxmlformats-officedocument.spreadsheetml.worksheet+xml" PartName="/xl/worksheets/sheet50276.xml"/>
  <Override ContentType="application/vnd.openxmlformats-officedocument.spreadsheetml.worksheet+xml" PartName="/xl/worksheets/sheet50277.xml"/>
  <Override ContentType="application/vnd.openxmlformats-officedocument.spreadsheetml.worksheet+xml" PartName="/xl/worksheets/sheet50278.xml"/>
  <Override ContentType="application/vnd.openxmlformats-officedocument.spreadsheetml.worksheet+xml" PartName="/xl/worksheets/sheet50279.xml"/>
  <Override ContentType="application/vnd.openxmlformats-officedocument.spreadsheetml.worksheet+xml" PartName="/xl/worksheets/sheet50280.xml"/>
  <Override ContentType="application/vnd.openxmlformats-officedocument.spreadsheetml.worksheet+xml" PartName="/xl/worksheets/sheet50281.xml"/>
  <Override ContentType="application/vnd.openxmlformats-officedocument.spreadsheetml.worksheet+xml" PartName="/xl/worksheets/sheet50282.xml"/>
  <Override ContentType="application/vnd.openxmlformats-officedocument.spreadsheetml.worksheet+xml" PartName="/xl/worksheets/sheet50283.xml"/>
  <Override ContentType="application/vnd.openxmlformats-officedocument.spreadsheetml.worksheet+xml" PartName="/xl/worksheets/sheet50284.xml"/>
  <Override ContentType="application/vnd.openxmlformats-officedocument.spreadsheetml.worksheet+xml" PartName="/xl/worksheets/sheet50285.xml"/>
  <Override ContentType="application/vnd.openxmlformats-officedocument.spreadsheetml.worksheet+xml" PartName="/xl/worksheets/sheet50286.xml"/>
  <Override ContentType="application/vnd.openxmlformats-officedocument.spreadsheetml.worksheet+xml" PartName="/xl/worksheets/sheet50287.xml"/>
  <Override ContentType="application/vnd.openxmlformats-officedocument.spreadsheetml.worksheet+xml" PartName="/xl/worksheets/sheet50288.xml"/>
  <Override ContentType="application/vnd.openxmlformats-officedocument.spreadsheetml.worksheet+xml" PartName="/xl/worksheets/sheet50289.xml"/>
  <Override ContentType="application/vnd.openxmlformats-officedocument.spreadsheetml.worksheet+xml" PartName="/xl/worksheets/sheet50290.xml"/>
  <Override ContentType="application/vnd.openxmlformats-officedocument.spreadsheetml.worksheet+xml" PartName="/xl/worksheets/sheet50291.xml"/>
  <Override ContentType="application/vnd.openxmlformats-officedocument.spreadsheetml.worksheet+xml" PartName="/xl/worksheets/sheet50292.xml"/>
  <Override ContentType="application/vnd.openxmlformats-officedocument.spreadsheetml.worksheet+xml" PartName="/xl/worksheets/sheet50293.xml"/>
  <Override ContentType="application/vnd.openxmlformats-officedocument.spreadsheetml.worksheet+xml" PartName="/xl/worksheets/sheet50294.xml"/>
  <Override ContentType="application/vnd.openxmlformats-officedocument.spreadsheetml.worksheet+xml" PartName="/xl/worksheets/sheet50295.xml"/>
  <Override ContentType="application/vnd.openxmlformats-officedocument.spreadsheetml.worksheet+xml" PartName="/xl/worksheets/sheet50296.xml"/>
  <Override ContentType="application/vnd.openxmlformats-officedocument.spreadsheetml.worksheet+xml" PartName="/xl/worksheets/sheet50297.xml"/>
  <Override ContentType="application/vnd.openxmlformats-officedocument.spreadsheetml.worksheet+xml" PartName="/xl/worksheets/sheet50298.xml"/>
  <Override ContentType="application/vnd.openxmlformats-officedocument.spreadsheetml.worksheet+xml" PartName="/xl/worksheets/sheet50299.xml"/>
  <Override ContentType="application/vnd.openxmlformats-officedocument.spreadsheetml.worksheet+xml" PartName="/xl/worksheets/sheet50300.xml"/>
  <Override ContentType="application/vnd.openxmlformats-officedocument.spreadsheetml.worksheet+xml" PartName="/xl/worksheets/sheet50301.xml"/>
  <Override ContentType="application/vnd.openxmlformats-officedocument.spreadsheetml.worksheet+xml" PartName="/xl/worksheets/sheet50302.xml"/>
  <Override ContentType="application/vnd.openxmlformats-officedocument.spreadsheetml.worksheet+xml" PartName="/xl/worksheets/sheet50303.xml"/>
  <Override ContentType="application/vnd.openxmlformats-officedocument.spreadsheetml.worksheet+xml" PartName="/xl/worksheets/sheet50304.xml"/>
  <Override ContentType="application/vnd.openxmlformats-officedocument.spreadsheetml.worksheet+xml" PartName="/xl/worksheets/sheet50305.xml"/>
  <Override ContentType="application/vnd.openxmlformats-officedocument.spreadsheetml.worksheet+xml" PartName="/xl/worksheets/sheet50306.xml"/>
  <Override ContentType="application/vnd.openxmlformats-officedocument.spreadsheetml.worksheet+xml" PartName="/xl/worksheets/sheet50307.xml"/>
  <Override ContentType="application/vnd.openxmlformats-officedocument.spreadsheetml.worksheet+xml" PartName="/xl/worksheets/sheet50308.xml"/>
  <Override ContentType="application/vnd.openxmlformats-officedocument.spreadsheetml.worksheet+xml" PartName="/xl/worksheets/sheet50309.xml"/>
  <Override ContentType="application/vnd.openxmlformats-officedocument.spreadsheetml.worksheet+xml" PartName="/xl/worksheets/sheet50310.xml"/>
  <Override ContentType="application/vnd.openxmlformats-officedocument.spreadsheetml.worksheet+xml" PartName="/xl/worksheets/sheet50311.xml"/>
  <Override ContentType="application/vnd.openxmlformats-officedocument.spreadsheetml.worksheet+xml" PartName="/xl/worksheets/sheet50312.xml"/>
  <Override ContentType="application/vnd.openxmlformats-officedocument.spreadsheetml.worksheet+xml" PartName="/xl/worksheets/sheet50313.xml"/>
  <Override ContentType="application/vnd.openxmlformats-officedocument.spreadsheetml.worksheet+xml" PartName="/xl/worksheets/sheet50314.xml"/>
  <Override ContentType="application/vnd.openxmlformats-officedocument.spreadsheetml.worksheet+xml" PartName="/xl/worksheets/sheet50315.xml"/>
  <Override ContentType="application/vnd.openxmlformats-officedocument.spreadsheetml.worksheet+xml" PartName="/xl/worksheets/sheet50316.xml"/>
  <Override ContentType="application/vnd.openxmlformats-officedocument.spreadsheetml.worksheet+xml" PartName="/xl/worksheets/sheet50317.xml"/>
  <Override ContentType="application/vnd.openxmlformats-officedocument.spreadsheetml.worksheet+xml" PartName="/xl/worksheets/sheet50318.xml"/>
  <Override ContentType="application/vnd.openxmlformats-officedocument.spreadsheetml.worksheet+xml" PartName="/xl/worksheets/sheet50319.xml"/>
  <Override ContentType="application/vnd.openxmlformats-officedocument.spreadsheetml.worksheet+xml" PartName="/xl/worksheets/sheet50320.xml"/>
  <Override ContentType="application/vnd.openxmlformats-officedocument.spreadsheetml.worksheet+xml" PartName="/xl/worksheets/sheet50321.xml"/>
  <Override ContentType="application/vnd.openxmlformats-officedocument.spreadsheetml.worksheet+xml" PartName="/xl/worksheets/sheet50322.xml"/>
  <Override ContentType="application/vnd.openxmlformats-officedocument.spreadsheetml.worksheet+xml" PartName="/xl/worksheets/sheet50323.xml"/>
  <Override ContentType="application/vnd.openxmlformats-officedocument.spreadsheetml.worksheet+xml" PartName="/xl/worksheets/sheet50324.xml"/>
  <Override ContentType="application/vnd.openxmlformats-officedocument.spreadsheetml.worksheet+xml" PartName="/xl/worksheets/sheet50325.xml"/>
  <Override ContentType="application/vnd.openxmlformats-officedocument.spreadsheetml.worksheet+xml" PartName="/xl/worksheets/sheet50326.xml"/>
  <Override ContentType="application/vnd.openxmlformats-officedocument.spreadsheetml.worksheet+xml" PartName="/xl/worksheets/sheet50327.xml"/>
  <Override ContentType="application/vnd.openxmlformats-officedocument.spreadsheetml.worksheet+xml" PartName="/xl/worksheets/sheet50328.xml"/>
  <Override ContentType="application/vnd.openxmlformats-officedocument.spreadsheetml.worksheet+xml" PartName="/xl/worksheets/sheet50329.xml"/>
  <Override ContentType="application/vnd.openxmlformats-officedocument.spreadsheetml.worksheet+xml" PartName="/xl/worksheets/sheet50330.xml"/>
  <Override ContentType="application/vnd.openxmlformats-officedocument.spreadsheetml.worksheet+xml" PartName="/xl/worksheets/sheet50331.xml"/>
  <Override ContentType="application/vnd.openxmlformats-officedocument.spreadsheetml.worksheet+xml" PartName="/xl/worksheets/sheet50332.xml"/>
  <Override ContentType="application/vnd.openxmlformats-officedocument.spreadsheetml.worksheet+xml" PartName="/xl/worksheets/sheet50333.xml"/>
  <Override ContentType="application/vnd.openxmlformats-officedocument.spreadsheetml.worksheet+xml" PartName="/xl/worksheets/sheet50334.xml"/>
  <Override ContentType="application/vnd.openxmlformats-officedocument.spreadsheetml.worksheet+xml" PartName="/xl/worksheets/sheet50335.xml"/>
  <Override ContentType="application/vnd.openxmlformats-officedocument.spreadsheetml.worksheet+xml" PartName="/xl/worksheets/sheet50336.xml"/>
  <Override ContentType="application/vnd.openxmlformats-officedocument.spreadsheetml.worksheet+xml" PartName="/xl/worksheets/sheet50337.xml"/>
  <Override ContentType="application/vnd.openxmlformats-officedocument.spreadsheetml.worksheet+xml" PartName="/xl/worksheets/sheet50338.xml"/>
  <Override ContentType="application/vnd.openxmlformats-officedocument.spreadsheetml.worksheet+xml" PartName="/xl/worksheets/sheet50339.xml"/>
  <Override ContentType="application/vnd.openxmlformats-officedocument.spreadsheetml.worksheet+xml" PartName="/xl/worksheets/sheet50340.xml"/>
  <Override ContentType="application/vnd.openxmlformats-officedocument.spreadsheetml.worksheet+xml" PartName="/xl/worksheets/sheet50341.xml"/>
  <Override ContentType="application/vnd.openxmlformats-officedocument.spreadsheetml.worksheet+xml" PartName="/xl/worksheets/sheet50342.xml"/>
  <Override ContentType="application/vnd.openxmlformats-officedocument.spreadsheetml.worksheet+xml" PartName="/xl/worksheets/sheet50343.xml"/>
  <Override ContentType="application/vnd.openxmlformats-officedocument.spreadsheetml.worksheet+xml" PartName="/xl/worksheets/sheet50344.xml"/>
  <Override ContentType="application/vnd.openxmlformats-officedocument.spreadsheetml.worksheet+xml" PartName="/xl/worksheets/sheet50345.xml"/>
  <Override ContentType="application/vnd.openxmlformats-officedocument.spreadsheetml.worksheet+xml" PartName="/xl/worksheets/sheet50346.xml"/>
  <Override ContentType="application/vnd.openxmlformats-officedocument.spreadsheetml.worksheet+xml" PartName="/xl/worksheets/sheet50347.xml"/>
  <Override ContentType="application/vnd.openxmlformats-officedocument.spreadsheetml.worksheet+xml" PartName="/xl/worksheets/sheet50348.xml"/>
  <Override ContentType="application/vnd.openxmlformats-officedocument.spreadsheetml.worksheet+xml" PartName="/xl/worksheets/sheet50349.xml"/>
  <Override ContentType="application/vnd.openxmlformats-officedocument.spreadsheetml.worksheet+xml" PartName="/xl/worksheets/sheet50350.xml"/>
  <Override ContentType="application/vnd.openxmlformats-officedocument.spreadsheetml.worksheet+xml" PartName="/xl/worksheets/sheet50351.xml"/>
  <Override ContentType="application/vnd.openxmlformats-officedocument.spreadsheetml.worksheet+xml" PartName="/xl/worksheets/sheet50352.xml"/>
  <Override ContentType="application/vnd.openxmlformats-officedocument.spreadsheetml.worksheet+xml" PartName="/xl/worksheets/sheet50353.xml"/>
  <Override ContentType="application/vnd.openxmlformats-officedocument.spreadsheetml.worksheet+xml" PartName="/xl/worksheets/sheet50354.xml"/>
  <Override ContentType="application/vnd.openxmlformats-officedocument.spreadsheetml.worksheet+xml" PartName="/xl/worksheets/sheet50355.xml"/>
  <Override ContentType="application/vnd.openxmlformats-officedocument.spreadsheetml.worksheet+xml" PartName="/xl/worksheets/sheet50356.xml"/>
  <Override ContentType="application/vnd.openxmlformats-officedocument.spreadsheetml.worksheet+xml" PartName="/xl/worksheets/sheet50357.xml"/>
  <Override ContentType="application/vnd.openxmlformats-officedocument.spreadsheetml.worksheet+xml" PartName="/xl/worksheets/sheet50358.xml"/>
  <Override ContentType="application/vnd.openxmlformats-officedocument.spreadsheetml.worksheet+xml" PartName="/xl/worksheets/sheet50359.xml"/>
  <Override ContentType="application/vnd.openxmlformats-officedocument.spreadsheetml.worksheet+xml" PartName="/xl/worksheets/sheet50360.xml"/>
  <Override ContentType="application/vnd.openxmlformats-officedocument.spreadsheetml.worksheet+xml" PartName="/xl/worksheets/sheet50361.xml"/>
  <Override ContentType="application/vnd.openxmlformats-officedocument.spreadsheetml.worksheet+xml" PartName="/xl/worksheets/sheet50362.xml"/>
  <Override ContentType="application/vnd.openxmlformats-officedocument.spreadsheetml.worksheet+xml" PartName="/xl/worksheets/sheet50363.xml"/>
  <Override ContentType="application/vnd.openxmlformats-officedocument.spreadsheetml.worksheet+xml" PartName="/xl/worksheets/sheet50364.xml"/>
  <Override ContentType="application/vnd.openxmlformats-officedocument.spreadsheetml.worksheet+xml" PartName="/xl/worksheets/sheet50365.xml"/>
  <Override ContentType="application/vnd.openxmlformats-officedocument.spreadsheetml.worksheet+xml" PartName="/xl/worksheets/sheet50366.xml"/>
  <Override ContentType="application/vnd.openxmlformats-officedocument.spreadsheetml.worksheet+xml" PartName="/xl/worksheets/sheet50367.xml"/>
  <Override ContentType="application/vnd.openxmlformats-officedocument.spreadsheetml.worksheet+xml" PartName="/xl/worksheets/sheet50368.xml"/>
  <Override ContentType="application/vnd.openxmlformats-officedocument.spreadsheetml.worksheet+xml" PartName="/xl/worksheets/sheet50369.xml"/>
  <Override ContentType="application/vnd.openxmlformats-officedocument.spreadsheetml.worksheet+xml" PartName="/xl/worksheets/sheet50370.xml"/>
  <Override ContentType="application/vnd.openxmlformats-officedocument.spreadsheetml.worksheet+xml" PartName="/xl/worksheets/sheet50371.xml"/>
  <Override ContentType="application/vnd.openxmlformats-officedocument.spreadsheetml.worksheet+xml" PartName="/xl/worksheets/sheet50372.xml"/>
  <Override ContentType="application/vnd.openxmlformats-officedocument.spreadsheetml.worksheet+xml" PartName="/xl/worksheets/sheet50373.xml"/>
  <Override ContentType="application/vnd.openxmlformats-officedocument.spreadsheetml.worksheet+xml" PartName="/xl/worksheets/sheet50374.xml"/>
  <Override ContentType="application/vnd.openxmlformats-officedocument.spreadsheetml.worksheet+xml" PartName="/xl/worksheets/sheet50375.xml"/>
  <Override ContentType="application/vnd.openxmlformats-officedocument.spreadsheetml.worksheet+xml" PartName="/xl/worksheets/sheet50376.xml"/>
  <Override ContentType="application/vnd.openxmlformats-officedocument.spreadsheetml.worksheet+xml" PartName="/xl/worksheets/sheet50377.xml"/>
  <Override ContentType="application/vnd.openxmlformats-officedocument.spreadsheetml.worksheet+xml" PartName="/xl/worksheets/sheet50378.xml"/>
  <Override ContentType="application/vnd.openxmlformats-officedocument.spreadsheetml.worksheet+xml" PartName="/xl/worksheets/sheet50379.xml"/>
  <Override ContentType="application/vnd.openxmlformats-officedocument.spreadsheetml.worksheet+xml" PartName="/xl/worksheets/sheet50380.xml"/>
  <Override ContentType="application/vnd.openxmlformats-officedocument.spreadsheetml.worksheet+xml" PartName="/xl/worksheets/sheet50381.xml"/>
  <Override ContentType="application/vnd.openxmlformats-officedocument.spreadsheetml.worksheet+xml" PartName="/xl/worksheets/sheet50382.xml"/>
  <Override ContentType="application/vnd.openxmlformats-officedocument.spreadsheetml.worksheet+xml" PartName="/xl/worksheets/sheet50383.xml"/>
  <Override ContentType="application/vnd.openxmlformats-officedocument.spreadsheetml.worksheet+xml" PartName="/xl/worksheets/sheet50384.xml"/>
  <Override ContentType="application/vnd.openxmlformats-officedocument.spreadsheetml.worksheet+xml" PartName="/xl/worksheets/sheet50385.xml"/>
  <Override ContentType="application/vnd.openxmlformats-officedocument.spreadsheetml.worksheet+xml" PartName="/xl/worksheets/sheet50386.xml"/>
  <Override ContentType="application/vnd.openxmlformats-officedocument.spreadsheetml.worksheet+xml" PartName="/xl/worksheets/sheet50387.xml"/>
  <Override ContentType="application/vnd.openxmlformats-officedocument.spreadsheetml.worksheet+xml" PartName="/xl/worksheets/sheet50388.xml"/>
  <Override ContentType="application/vnd.openxmlformats-officedocument.spreadsheetml.worksheet+xml" PartName="/xl/worksheets/sheet50389.xml"/>
  <Override ContentType="application/vnd.openxmlformats-officedocument.spreadsheetml.worksheet+xml" PartName="/xl/worksheets/sheet50390.xml"/>
  <Override ContentType="application/vnd.openxmlformats-officedocument.spreadsheetml.worksheet+xml" PartName="/xl/worksheets/sheet50391.xml"/>
  <Override ContentType="application/vnd.openxmlformats-officedocument.spreadsheetml.worksheet+xml" PartName="/xl/worksheets/sheet50392.xml"/>
  <Override ContentType="application/vnd.openxmlformats-officedocument.spreadsheetml.worksheet+xml" PartName="/xl/worksheets/sheet50393.xml"/>
  <Override ContentType="application/vnd.openxmlformats-officedocument.spreadsheetml.worksheet+xml" PartName="/xl/worksheets/sheet50394.xml"/>
  <Override ContentType="application/vnd.openxmlformats-officedocument.spreadsheetml.worksheet+xml" PartName="/xl/worksheets/sheet50395.xml"/>
  <Override ContentType="application/vnd.openxmlformats-officedocument.spreadsheetml.worksheet+xml" PartName="/xl/worksheets/sheet50396.xml"/>
  <Override ContentType="application/vnd.openxmlformats-officedocument.spreadsheetml.worksheet+xml" PartName="/xl/worksheets/sheet50397.xml"/>
  <Override ContentType="application/vnd.openxmlformats-officedocument.spreadsheetml.worksheet+xml" PartName="/xl/worksheets/sheet50398.xml"/>
  <Override ContentType="application/vnd.openxmlformats-officedocument.spreadsheetml.worksheet+xml" PartName="/xl/worksheets/sheet50399.xml"/>
  <Override ContentType="application/vnd.openxmlformats-officedocument.spreadsheetml.worksheet+xml" PartName="/xl/worksheets/sheet50400.xml"/>
  <Override ContentType="application/vnd.openxmlformats-officedocument.spreadsheetml.worksheet+xml" PartName="/xl/worksheets/sheet50401.xml"/>
  <Override ContentType="application/vnd.openxmlformats-officedocument.spreadsheetml.worksheet+xml" PartName="/xl/worksheets/sheet50402.xml"/>
  <Override ContentType="application/vnd.openxmlformats-officedocument.spreadsheetml.worksheet+xml" PartName="/xl/worksheets/sheet50403.xml"/>
  <Override ContentType="application/vnd.openxmlformats-officedocument.spreadsheetml.worksheet+xml" PartName="/xl/worksheets/sheet50404.xml"/>
  <Override ContentType="application/vnd.openxmlformats-officedocument.spreadsheetml.worksheet+xml" PartName="/xl/worksheets/sheet50405.xml"/>
  <Override ContentType="application/vnd.openxmlformats-officedocument.spreadsheetml.worksheet+xml" PartName="/xl/worksheets/sheet50406.xml"/>
  <Override ContentType="application/vnd.openxmlformats-officedocument.spreadsheetml.worksheet+xml" PartName="/xl/worksheets/sheet50407.xml"/>
  <Override ContentType="application/vnd.openxmlformats-officedocument.spreadsheetml.worksheet+xml" PartName="/xl/worksheets/sheet50408.xml"/>
  <Override ContentType="application/vnd.openxmlformats-officedocument.spreadsheetml.worksheet+xml" PartName="/xl/worksheets/sheet50409.xml"/>
  <Override ContentType="application/vnd.openxmlformats-officedocument.spreadsheetml.worksheet+xml" PartName="/xl/worksheets/sheet50410.xml"/>
  <Override ContentType="application/vnd.openxmlformats-officedocument.spreadsheetml.worksheet+xml" PartName="/xl/worksheets/sheet50411.xml"/>
  <Override ContentType="application/vnd.openxmlformats-officedocument.spreadsheetml.worksheet+xml" PartName="/xl/worksheets/sheet50412.xml"/>
  <Override ContentType="application/vnd.openxmlformats-officedocument.spreadsheetml.worksheet+xml" PartName="/xl/worksheets/sheet50413.xml"/>
  <Override ContentType="application/vnd.openxmlformats-officedocument.spreadsheetml.worksheet+xml" PartName="/xl/worksheets/sheet50414.xml"/>
  <Override ContentType="application/vnd.openxmlformats-officedocument.spreadsheetml.worksheet+xml" PartName="/xl/worksheets/sheet50415.xml"/>
  <Override ContentType="application/vnd.openxmlformats-officedocument.spreadsheetml.worksheet+xml" PartName="/xl/worksheets/sheet50416.xml"/>
  <Override ContentType="application/vnd.openxmlformats-officedocument.spreadsheetml.worksheet+xml" PartName="/xl/worksheets/sheet50417.xml"/>
  <Override ContentType="application/vnd.openxmlformats-officedocument.spreadsheetml.worksheet+xml" PartName="/xl/worksheets/sheet50418.xml"/>
  <Override ContentType="application/vnd.openxmlformats-officedocument.spreadsheetml.worksheet+xml" PartName="/xl/worksheets/sheet50419.xml"/>
  <Override ContentType="application/vnd.openxmlformats-officedocument.spreadsheetml.worksheet+xml" PartName="/xl/worksheets/sheet50420.xml"/>
  <Override ContentType="application/vnd.openxmlformats-officedocument.spreadsheetml.worksheet+xml" PartName="/xl/worksheets/sheet50421.xml"/>
  <Override ContentType="application/vnd.openxmlformats-officedocument.spreadsheetml.worksheet+xml" PartName="/xl/worksheets/sheet50422.xml"/>
  <Override ContentType="application/vnd.openxmlformats-officedocument.spreadsheetml.worksheet+xml" PartName="/xl/worksheets/sheet50423.xml"/>
  <Override ContentType="application/vnd.openxmlformats-officedocument.spreadsheetml.worksheet+xml" PartName="/xl/worksheets/sheet50424.xml"/>
  <Override ContentType="application/vnd.openxmlformats-officedocument.spreadsheetml.worksheet+xml" PartName="/xl/worksheets/sheet50425.xml"/>
  <Override ContentType="application/vnd.openxmlformats-officedocument.spreadsheetml.worksheet+xml" PartName="/xl/worksheets/sheet50426.xml"/>
  <Override ContentType="application/vnd.openxmlformats-officedocument.spreadsheetml.worksheet+xml" PartName="/xl/worksheets/sheet50427.xml"/>
  <Override ContentType="application/vnd.openxmlformats-officedocument.spreadsheetml.worksheet+xml" PartName="/xl/worksheets/sheet50428.xml"/>
  <Override ContentType="application/vnd.openxmlformats-officedocument.spreadsheetml.worksheet+xml" PartName="/xl/worksheets/sheet50429.xml"/>
  <Override ContentType="application/vnd.openxmlformats-officedocument.spreadsheetml.worksheet+xml" PartName="/xl/worksheets/sheet50430.xml"/>
  <Override ContentType="application/vnd.openxmlformats-officedocument.spreadsheetml.worksheet+xml" PartName="/xl/worksheets/sheet50431.xml"/>
  <Override ContentType="application/vnd.openxmlformats-officedocument.spreadsheetml.worksheet+xml" PartName="/xl/worksheets/sheet50432.xml"/>
  <Override ContentType="application/vnd.openxmlformats-officedocument.spreadsheetml.worksheet+xml" PartName="/xl/worksheets/sheet50433.xml"/>
  <Override ContentType="application/vnd.openxmlformats-officedocument.spreadsheetml.worksheet+xml" PartName="/xl/worksheets/sheet50434.xml"/>
  <Override ContentType="application/vnd.openxmlformats-officedocument.spreadsheetml.worksheet+xml" PartName="/xl/worksheets/sheet50435.xml"/>
  <Override ContentType="application/vnd.openxmlformats-officedocument.spreadsheetml.worksheet+xml" PartName="/xl/worksheets/sheet50436.xml"/>
  <Override ContentType="application/vnd.openxmlformats-officedocument.spreadsheetml.worksheet+xml" PartName="/xl/worksheets/sheet50437.xml"/>
  <Override ContentType="application/vnd.openxmlformats-officedocument.spreadsheetml.worksheet+xml" PartName="/xl/worksheets/sheet50438.xml"/>
  <Override ContentType="application/vnd.openxmlformats-officedocument.spreadsheetml.worksheet+xml" PartName="/xl/worksheets/sheet50439.xml"/>
  <Override ContentType="application/vnd.openxmlformats-officedocument.spreadsheetml.worksheet+xml" PartName="/xl/worksheets/sheet50440.xml"/>
  <Override ContentType="application/vnd.openxmlformats-officedocument.spreadsheetml.worksheet+xml" PartName="/xl/worksheets/sheet50441.xml"/>
  <Override ContentType="application/vnd.openxmlformats-officedocument.spreadsheetml.worksheet+xml" PartName="/xl/worksheets/sheet50442.xml"/>
  <Override ContentType="application/vnd.openxmlformats-officedocument.spreadsheetml.worksheet+xml" PartName="/xl/worksheets/sheet50443.xml"/>
  <Override ContentType="application/vnd.openxmlformats-officedocument.spreadsheetml.worksheet+xml" PartName="/xl/worksheets/sheet50444.xml"/>
  <Override ContentType="application/vnd.openxmlformats-officedocument.spreadsheetml.worksheet+xml" PartName="/xl/worksheets/sheet50445.xml"/>
  <Override ContentType="application/vnd.openxmlformats-officedocument.spreadsheetml.worksheet+xml" PartName="/xl/worksheets/sheet50446.xml"/>
  <Override ContentType="application/vnd.openxmlformats-officedocument.spreadsheetml.worksheet+xml" PartName="/xl/worksheets/sheet50447.xml"/>
  <Override ContentType="application/vnd.openxmlformats-officedocument.spreadsheetml.worksheet+xml" PartName="/xl/worksheets/sheet50448.xml"/>
  <Override ContentType="application/vnd.openxmlformats-officedocument.spreadsheetml.worksheet+xml" PartName="/xl/worksheets/sheet50449.xml"/>
  <Override ContentType="application/vnd.openxmlformats-officedocument.spreadsheetml.worksheet+xml" PartName="/xl/worksheets/sheet50450.xml"/>
  <Override ContentType="application/vnd.openxmlformats-officedocument.spreadsheetml.worksheet+xml" PartName="/xl/worksheets/sheet50451.xml"/>
  <Override ContentType="application/vnd.openxmlformats-officedocument.spreadsheetml.worksheet+xml" PartName="/xl/worksheets/sheet50452.xml"/>
  <Override ContentType="application/vnd.openxmlformats-officedocument.spreadsheetml.worksheet+xml" PartName="/xl/worksheets/sheet50453.xml"/>
  <Override ContentType="application/vnd.openxmlformats-officedocument.spreadsheetml.worksheet+xml" PartName="/xl/worksheets/sheet50454.xml"/>
  <Override ContentType="application/vnd.openxmlformats-officedocument.spreadsheetml.worksheet+xml" PartName="/xl/worksheets/sheet50455.xml"/>
  <Override ContentType="application/vnd.openxmlformats-officedocument.spreadsheetml.worksheet+xml" PartName="/xl/worksheets/sheet50456.xml"/>
  <Override ContentType="application/vnd.openxmlformats-officedocument.spreadsheetml.worksheet+xml" PartName="/xl/worksheets/sheet50457.xml"/>
  <Override ContentType="application/vnd.openxmlformats-officedocument.spreadsheetml.worksheet+xml" PartName="/xl/worksheets/sheet50458.xml"/>
  <Override ContentType="application/vnd.openxmlformats-officedocument.spreadsheetml.worksheet+xml" PartName="/xl/worksheets/sheet50459.xml"/>
  <Override ContentType="application/vnd.openxmlformats-officedocument.spreadsheetml.worksheet+xml" PartName="/xl/worksheets/sheet50460.xml"/>
  <Override ContentType="application/vnd.openxmlformats-officedocument.spreadsheetml.worksheet+xml" PartName="/xl/worksheets/sheet50461.xml"/>
  <Override ContentType="application/vnd.openxmlformats-officedocument.spreadsheetml.worksheet+xml" PartName="/xl/worksheets/sheet50462.xml"/>
  <Override ContentType="application/vnd.openxmlformats-officedocument.spreadsheetml.worksheet+xml" PartName="/xl/worksheets/sheet50463.xml"/>
  <Override ContentType="application/vnd.openxmlformats-officedocument.spreadsheetml.worksheet+xml" PartName="/xl/worksheets/sheet50464.xml"/>
  <Override ContentType="application/vnd.openxmlformats-officedocument.spreadsheetml.worksheet+xml" PartName="/xl/worksheets/sheet50465.xml"/>
  <Override ContentType="application/vnd.openxmlformats-officedocument.spreadsheetml.worksheet+xml" PartName="/xl/worksheets/sheet50466.xml"/>
  <Override ContentType="application/vnd.openxmlformats-officedocument.spreadsheetml.worksheet+xml" PartName="/xl/worksheets/sheet50467.xml"/>
  <Override ContentType="application/vnd.openxmlformats-officedocument.spreadsheetml.worksheet+xml" PartName="/xl/worksheets/sheet50468.xml"/>
  <Override ContentType="application/vnd.openxmlformats-officedocument.spreadsheetml.worksheet+xml" PartName="/xl/worksheets/sheet50469.xml"/>
  <Override ContentType="application/vnd.openxmlformats-officedocument.spreadsheetml.worksheet+xml" PartName="/xl/worksheets/sheet50470.xml"/>
  <Override ContentType="application/vnd.openxmlformats-officedocument.spreadsheetml.worksheet+xml" PartName="/xl/worksheets/sheet50471.xml"/>
  <Override ContentType="application/vnd.openxmlformats-officedocument.spreadsheetml.worksheet+xml" PartName="/xl/worksheets/sheet50472.xml"/>
  <Override ContentType="application/vnd.openxmlformats-officedocument.spreadsheetml.worksheet+xml" PartName="/xl/worksheets/sheet50473.xml"/>
  <Override ContentType="application/vnd.openxmlformats-officedocument.spreadsheetml.worksheet+xml" PartName="/xl/worksheets/sheet50474.xml"/>
  <Override ContentType="application/vnd.openxmlformats-officedocument.spreadsheetml.worksheet+xml" PartName="/xl/worksheets/sheet50475.xml"/>
  <Override ContentType="application/vnd.openxmlformats-officedocument.spreadsheetml.worksheet+xml" PartName="/xl/worksheets/sheet50476.xml"/>
  <Override ContentType="application/vnd.openxmlformats-officedocument.spreadsheetml.worksheet+xml" PartName="/xl/worksheets/sheet50477.xml"/>
  <Override ContentType="application/vnd.openxmlformats-officedocument.spreadsheetml.worksheet+xml" PartName="/xl/worksheets/sheet50478.xml"/>
  <Override ContentType="application/vnd.openxmlformats-officedocument.spreadsheetml.worksheet+xml" PartName="/xl/worksheets/sheet50479.xml"/>
  <Override ContentType="application/vnd.openxmlformats-officedocument.spreadsheetml.worksheet+xml" PartName="/xl/worksheets/sheet50480.xml"/>
  <Override ContentType="application/vnd.openxmlformats-officedocument.spreadsheetml.worksheet+xml" PartName="/xl/worksheets/sheet50481.xml"/>
  <Override ContentType="application/vnd.openxmlformats-officedocument.spreadsheetml.worksheet+xml" PartName="/xl/worksheets/sheet50482.xml"/>
  <Override ContentType="application/vnd.openxmlformats-officedocument.spreadsheetml.worksheet+xml" PartName="/xl/worksheets/sheet50483.xml"/>
  <Override ContentType="application/vnd.openxmlformats-officedocument.spreadsheetml.worksheet+xml" PartName="/xl/worksheets/sheet50484.xml"/>
  <Override ContentType="application/vnd.openxmlformats-officedocument.spreadsheetml.worksheet+xml" PartName="/xl/worksheets/sheet50485.xml"/>
  <Override ContentType="application/vnd.openxmlformats-officedocument.spreadsheetml.worksheet+xml" PartName="/xl/worksheets/sheet50486.xml"/>
  <Override ContentType="application/vnd.openxmlformats-officedocument.spreadsheetml.worksheet+xml" PartName="/xl/worksheets/sheet50487.xml"/>
  <Override ContentType="application/vnd.openxmlformats-officedocument.spreadsheetml.worksheet+xml" PartName="/xl/worksheets/sheet50488.xml"/>
  <Override ContentType="application/vnd.openxmlformats-officedocument.spreadsheetml.worksheet+xml" PartName="/xl/worksheets/sheet50489.xml"/>
  <Override ContentType="application/vnd.openxmlformats-officedocument.spreadsheetml.worksheet+xml" PartName="/xl/worksheets/sheet50490.xml"/>
  <Override ContentType="application/vnd.openxmlformats-officedocument.spreadsheetml.worksheet+xml" PartName="/xl/worksheets/sheet50491.xml"/>
  <Override ContentType="application/vnd.openxmlformats-officedocument.spreadsheetml.worksheet+xml" PartName="/xl/worksheets/sheet50492.xml"/>
  <Override ContentType="application/vnd.openxmlformats-officedocument.spreadsheetml.worksheet+xml" PartName="/xl/worksheets/sheet50493.xml"/>
  <Override ContentType="application/vnd.openxmlformats-officedocument.spreadsheetml.worksheet+xml" PartName="/xl/worksheets/sheet50494.xml"/>
  <Override ContentType="application/vnd.openxmlformats-officedocument.spreadsheetml.worksheet+xml" PartName="/xl/worksheets/sheet50495.xml"/>
  <Override ContentType="application/vnd.openxmlformats-officedocument.spreadsheetml.worksheet+xml" PartName="/xl/worksheets/sheet50496.xml"/>
  <Override ContentType="application/vnd.openxmlformats-officedocument.spreadsheetml.worksheet+xml" PartName="/xl/worksheets/sheet50497.xml"/>
  <Override ContentType="application/vnd.openxmlformats-officedocument.spreadsheetml.worksheet+xml" PartName="/xl/worksheets/sheet50498.xml"/>
  <Override ContentType="application/vnd.openxmlformats-officedocument.spreadsheetml.worksheet+xml" PartName="/xl/worksheets/sheet50499.xml"/>
  <Override ContentType="application/vnd.openxmlformats-officedocument.spreadsheetml.worksheet+xml" PartName="/xl/worksheets/sheet50500.xml"/>
  <Override ContentType="application/vnd.openxmlformats-officedocument.spreadsheetml.worksheet+xml" PartName="/xl/worksheets/sheet50501.xml"/>
  <Override ContentType="application/vnd.openxmlformats-officedocument.spreadsheetml.worksheet+xml" PartName="/xl/worksheets/sheet50502.xml"/>
  <Override ContentType="application/vnd.openxmlformats-officedocument.spreadsheetml.worksheet+xml" PartName="/xl/worksheets/sheet50503.xml"/>
  <Override ContentType="application/vnd.openxmlformats-officedocument.spreadsheetml.worksheet+xml" PartName="/xl/worksheets/sheet50504.xml"/>
  <Override ContentType="application/vnd.openxmlformats-officedocument.spreadsheetml.worksheet+xml" PartName="/xl/worksheets/sheet50505.xml"/>
  <Override ContentType="application/vnd.openxmlformats-officedocument.spreadsheetml.worksheet+xml" PartName="/xl/worksheets/sheet50506.xml"/>
  <Override ContentType="application/vnd.openxmlformats-officedocument.spreadsheetml.worksheet+xml" PartName="/xl/worksheets/sheet50507.xml"/>
  <Override ContentType="application/vnd.openxmlformats-officedocument.spreadsheetml.worksheet+xml" PartName="/xl/worksheets/sheet50508.xml"/>
  <Override ContentType="application/vnd.openxmlformats-officedocument.spreadsheetml.worksheet+xml" PartName="/xl/worksheets/sheet50509.xml"/>
  <Override ContentType="application/vnd.openxmlformats-officedocument.spreadsheetml.worksheet+xml" PartName="/xl/worksheets/sheet50510.xml"/>
  <Override ContentType="application/vnd.openxmlformats-officedocument.spreadsheetml.worksheet+xml" PartName="/xl/worksheets/sheet50511.xml"/>
  <Override ContentType="application/vnd.openxmlformats-officedocument.spreadsheetml.worksheet+xml" PartName="/xl/worksheets/sheet50512.xml"/>
  <Override ContentType="application/vnd.openxmlformats-officedocument.spreadsheetml.worksheet+xml" PartName="/xl/worksheets/sheet50513.xml"/>
  <Override ContentType="application/vnd.openxmlformats-officedocument.spreadsheetml.worksheet+xml" PartName="/xl/worksheets/sheet50514.xml"/>
  <Override ContentType="application/vnd.openxmlformats-officedocument.spreadsheetml.worksheet+xml" PartName="/xl/worksheets/sheet50515.xml"/>
  <Override ContentType="application/vnd.openxmlformats-officedocument.spreadsheetml.worksheet+xml" PartName="/xl/worksheets/sheet50516.xml"/>
  <Override ContentType="application/vnd.openxmlformats-officedocument.spreadsheetml.worksheet+xml" PartName="/xl/worksheets/sheet50517.xml"/>
  <Override ContentType="application/vnd.openxmlformats-officedocument.spreadsheetml.worksheet+xml" PartName="/xl/worksheets/sheet50518.xml"/>
  <Override ContentType="application/vnd.openxmlformats-officedocument.spreadsheetml.worksheet+xml" PartName="/xl/worksheets/sheet50519.xml"/>
  <Override ContentType="application/vnd.openxmlformats-officedocument.spreadsheetml.worksheet+xml" PartName="/xl/worksheets/sheet50520.xml"/>
  <Override ContentType="application/vnd.openxmlformats-officedocument.spreadsheetml.worksheet+xml" PartName="/xl/worksheets/sheet50521.xml"/>
  <Override ContentType="application/vnd.openxmlformats-officedocument.spreadsheetml.worksheet+xml" PartName="/xl/worksheets/sheet50522.xml"/>
  <Override ContentType="application/vnd.openxmlformats-officedocument.spreadsheetml.worksheet+xml" PartName="/xl/worksheets/sheet50523.xml"/>
  <Override ContentType="application/vnd.openxmlformats-officedocument.spreadsheetml.worksheet+xml" PartName="/xl/worksheets/sheet50524.xml"/>
  <Override ContentType="application/vnd.openxmlformats-officedocument.spreadsheetml.worksheet+xml" PartName="/xl/worksheets/sheet50525.xml"/>
  <Override ContentType="application/vnd.openxmlformats-officedocument.spreadsheetml.worksheet+xml" PartName="/xl/worksheets/sheet50526.xml"/>
  <Override ContentType="application/vnd.openxmlformats-officedocument.spreadsheetml.worksheet+xml" PartName="/xl/worksheets/sheet50527.xml"/>
  <Override ContentType="application/vnd.openxmlformats-officedocument.spreadsheetml.worksheet+xml" PartName="/xl/worksheets/sheet50528.xml"/>
  <Override ContentType="application/vnd.openxmlformats-officedocument.spreadsheetml.worksheet+xml" PartName="/xl/worksheets/sheet50529.xml"/>
  <Override ContentType="application/vnd.openxmlformats-officedocument.spreadsheetml.worksheet+xml" PartName="/xl/worksheets/sheet50530.xml"/>
  <Override ContentType="application/vnd.openxmlformats-officedocument.spreadsheetml.worksheet+xml" PartName="/xl/worksheets/sheet50531.xml"/>
  <Override ContentType="application/vnd.openxmlformats-officedocument.spreadsheetml.worksheet+xml" PartName="/xl/worksheets/sheet50532.xml"/>
  <Override ContentType="application/vnd.openxmlformats-officedocument.spreadsheetml.worksheet+xml" PartName="/xl/worksheets/sheet50533.xml"/>
  <Override ContentType="application/vnd.openxmlformats-officedocument.spreadsheetml.worksheet+xml" PartName="/xl/worksheets/sheet50534.xml"/>
  <Override ContentType="application/vnd.openxmlformats-officedocument.spreadsheetml.worksheet+xml" PartName="/xl/worksheets/sheet50535.xml"/>
  <Override ContentType="application/vnd.openxmlformats-officedocument.spreadsheetml.worksheet+xml" PartName="/xl/worksheets/sheet50536.xml"/>
  <Override ContentType="application/vnd.openxmlformats-officedocument.spreadsheetml.worksheet+xml" PartName="/xl/worksheets/sheet50537.xml"/>
  <Override ContentType="application/vnd.openxmlformats-officedocument.spreadsheetml.worksheet+xml" PartName="/xl/worksheets/sheet50538.xml"/>
  <Override ContentType="application/vnd.openxmlformats-officedocument.spreadsheetml.worksheet+xml" PartName="/xl/worksheets/sheet50539.xml"/>
  <Override ContentType="application/vnd.openxmlformats-officedocument.spreadsheetml.worksheet+xml" PartName="/xl/worksheets/sheet50540.xml"/>
  <Override ContentType="application/vnd.openxmlformats-officedocument.spreadsheetml.worksheet+xml" PartName="/xl/worksheets/sheet50541.xml"/>
  <Override ContentType="application/vnd.openxmlformats-officedocument.spreadsheetml.worksheet+xml" PartName="/xl/worksheets/sheet50542.xml"/>
  <Override ContentType="application/vnd.openxmlformats-officedocument.spreadsheetml.worksheet+xml" PartName="/xl/worksheets/sheet50543.xml"/>
  <Override ContentType="application/vnd.openxmlformats-officedocument.spreadsheetml.worksheet+xml" PartName="/xl/worksheets/sheet50544.xml"/>
  <Override ContentType="application/vnd.openxmlformats-officedocument.spreadsheetml.worksheet+xml" PartName="/xl/worksheets/sheet50545.xml"/>
  <Override ContentType="application/vnd.openxmlformats-officedocument.spreadsheetml.worksheet+xml" PartName="/xl/worksheets/sheet50546.xml"/>
  <Override ContentType="application/vnd.openxmlformats-officedocument.spreadsheetml.worksheet+xml" PartName="/xl/worksheets/sheet50547.xml"/>
  <Override ContentType="application/vnd.openxmlformats-officedocument.spreadsheetml.worksheet+xml" PartName="/xl/worksheets/sheet50548.xml"/>
  <Override ContentType="application/vnd.openxmlformats-officedocument.spreadsheetml.worksheet+xml" PartName="/xl/worksheets/sheet50549.xml"/>
  <Override ContentType="application/vnd.openxmlformats-officedocument.spreadsheetml.worksheet+xml" PartName="/xl/worksheets/sheet50550.xml"/>
  <Override ContentType="application/vnd.openxmlformats-officedocument.spreadsheetml.worksheet+xml" PartName="/xl/worksheets/sheet50551.xml"/>
  <Override ContentType="application/vnd.openxmlformats-officedocument.spreadsheetml.worksheet+xml" PartName="/xl/worksheets/sheet50552.xml"/>
  <Override ContentType="application/vnd.openxmlformats-officedocument.spreadsheetml.worksheet+xml" PartName="/xl/worksheets/sheet50553.xml"/>
  <Override ContentType="application/vnd.openxmlformats-officedocument.spreadsheetml.worksheet+xml" PartName="/xl/worksheets/sheet50554.xml"/>
  <Override ContentType="application/vnd.openxmlformats-officedocument.spreadsheetml.worksheet+xml" PartName="/xl/worksheets/sheet50555.xml"/>
  <Override ContentType="application/vnd.openxmlformats-officedocument.spreadsheetml.worksheet+xml" PartName="/xl/worksheets/sheet50556.xml"/>
  <Override ContentType="application/vnd.openxmlformats-officedocument.spreadsheetml.worksheet+xml" PartName="/xl/worksheets/sheet50557.xml"/>
  <Override ContentType="application/vnd.openxmlformats-officedocument.spreadsheetml.worksheet+xml" PartName="/xl/worksheets/sheet50558.xml"/>
  <Override ContentType="application/vnd.openxmlformats-officedocument.spreadsheetml.worksheet+xml" PartName="/xl/worksheets/sheet50559.xml"/>
  <Override ContentType="application/vnd.openxmlformats-officedocument.spreadsheetml.worksheet+xml" PartName="/xl/worksheets/sheet50560.xml"/>
  <Override ContentType="application/vnd.openxmlformats-officedocument.spreadsheetml.worksheet+xml" PartName="/xl/worksheets/sheet50561.xml"/>
  <Override ContentType="application/vnd.openxmlformats-officedocument.spreadsheetml.worksheet+xml" PartName="/xl/worksheets/sheet50562.xml"/>
  <Override ContentType="application/vnd.openxmlformats-officedocument.spreadsheetml.worksheet+xml" PartName="/xl/worksheets/sheet50563.xml"/>
  <Override ContentType="application/vnd.openxmlformats-officedocument.spreadsheetml.worksheet+xml" PartName="/xl/worksheets/sheet50564.xml"/>
  <Override ContentType="application/vnd.openxmlformats-officedocument.spreadsheetml.worksheet+xml" PartName="/xl/worksheets/sheet50565.xml"/>
  <Override ContentType="application/vnd.openxmlformats-officedocument.spreadsheetml.worksheet+xml" PartName="/xl/worksheets/sheet50566.xml"/>
  <Override ContentType="application/vnd.openxmlformats-officedocument.spreadsheetml.worksheet+xml" PartName="/xl/worksheets/sheet50567.xml"/>
  <Override ContentType="application/vnd.openxmlformats-officedocument.spreadsheetml.worksheet+xml" PartName="/xl/worksheets/sheet50568.xml"/>
  <Override ContentType="application/vnd.openxmlformats-officedocument.spreadsheetml.worksheet+xml" PartName="/xl/worksheets/sheet50569.xml"/>
  <Override ContentType="application/vnd.openxmlformats-officedocument.spreadsheetml.worksheet+xml" PartName="/xl/worksheets/sheet50570.xml"/>
  <Override ContentType="application/vnd.openxmlformats-officedocument.spreadsheetml.worksheet+xml" PartName="/xl/worksheets/sheet50571.xml"/>
  <Override ContentType="application/vnd.openxmlformats-officedocument.spreadsheetml.worksheet+xml" PartName="/xl/worksheets/sheet50572.xml"/>
  <Override ContentType="application/vnd.openxmlformats-officedocument.spreadsheetml.worksheet+xml" PartName="/xl/worksheets/sheet50573.xml"/>
  <Override ContentType="application/vnd.openxmlformats-officedocument.spreadsheetml.worksheet+xml" PartName="/xl/worksheets/sheet50574.xml"/>
  <Override ContentType="application/vnd.openxmlformats-officedocument.spreadsheetml.worksheet+xml" PartName="/xl/worksheets/sheet50575.xml"/>
  <Override ContentType="application/vnd.openxmlformats-officedocument.spreadsheetml.worksheet+xml" PartName="/xl/worksheets/sheet50576.xml"/>
  <Override ContentType="application/vnd.openxmlformats-officedocument.spreadsheetml.worksheet+xml" PartName="/xl/worksheets/sheet50577.xml"/>
  <Override ContentType="application/vnd.openxmlformats-officedocument.spreadsheetml.worksheet+xml" PartName="/xl/worksheets/sheet50578.xml"/>
  <Override ContentType="application/vnd.openxmlformats-officedocument.spreadsheetml.worksheet+xml" PartName="/xl/worksheets/sheet50579.xml"/>
  <Override ContentType="application/vnd.openxmlformats-officedocument.spreadsheetml.worksheet+xml" PartName="/xl/worksheets/sheet50580.xml"/>
  <Override ContentType="application/vnd.openxmlformats-officedocument.spreadsheetml.worksheet+xml" PartName="/xl/worksheets/sheet50581.xml"/>
  <Override ContentType="application/vnd.openxmlformats-officedocument.spreadsheetml.worksheet+xml" PartName="/xl/worksheets/sheet50582.xml"/>
  <Override ContentType="application/vnd.openxmlformats-officedocument.spreadsheetml.worksheet+xml" PartName="/xl/worksheets/sheet50583.xml"/>
  <Override ContentType="application/vnd.openxmlformats-officedocument.spreadsheetml.worksheet+xml" PartName="/xl/worksheets/sheet50584.xml"/>
  <Override ContentType="application/vnd.openxmlformats-officedocument.spreadsheetml.worksheet+xml" PartName="/xl/worksheets/sheet50585.xml"/>
  <Override ContentType="application/vnd.openxmlformats-officedocument.spreadsheetml.worksheet+xml" PartName="/xl/worksheets/sheet50586.xml"/>
  <Override ContentType="application/vnd.openxmlformats-officedocument.spreadsheetml.worksheet+xml" PartName="/xl/worksheets/sheet50587.xml"/>
  <Override ContentType="application/vnd.openxmlformats-officedocument.spreadsheetml.worksheet+xml" PartName="/xl/worksheets/sheet50588.xml"/>
  <Override ContentType="application/vnd.openxmlformats-officedocument.spreadsheetml.worksheet+xml" PartName="/xl/worksheets/sheet50589.xml"/>
  <Override ContentType="application/vnd.openxmlformats-officedocument.spreadsheetml.worksheet+xml" PartName="/xl/worksheets/sheet50590.xml"/>
  <Override ContentType="application/vnd.openxmlformats-officedocument.spreadsheetml.worksheet+xml" PartName="/xl/worksheets/sheet50591.xml"/>
  <Override ContentType="application/vnd.openxmlformats-officedocument.spreadsheetml.worksheet+xml" PartName="/xl/worksheets/sheet50592.xml"/>
  <Override ContentType="application/vnd.openxmlformats-officedocument.spreadsheetml.worksheet+xml" PartName="/xl/worksheets/sheet50593.xml"/>
  <Override ContentType="application/vnd.openxmlformats-officedocument.spreadsheetml.worksheet+xml" PartName="/xl/worksheets/sheet50594.xml"/>
  <Override ContentType="application/vnd.openxmlformats-officedocument.spreadsheetml.worksheet+xml" PartName="/xl/worksheets/sheet50595.xml"/>
  <Override ContentType="application/vnd.openxmlformats-officedocument.spreadsheetml.worksheet+xml" PartName="/xl/worksheets/sheet50596.xml"/>
  <Override ContentType="application/vnd.openxmlformats-officedocument.spreadsheetml.worksheet+xml" PartName="/xl/worksheets/sheet50597.xml"/>
  <Override ContentType="application/vnd.openxmlformats-officedocument.spreadsheetml.worksheet+xml" PartName="/xl/worksheets/sheet50598.xml"/>
  <Override ContentType="application/vnd.openxmlformats-officedocument.spreadsheetml.worksheet+xml" PartName="/xl/worksheets/sheet50599.xml"/>
  <Override ContentType="application/vnd.openxmlformats-officedocument.spreadsheetml.worksheet+xml" PartName="/xl/worksheets/sheet50600.xml"/>
  <Override ContentType="application/vnd.openxmlformats-officedocument.spreadsheetml.worksheet+xml" PartName="/xl/worksheets/sheet50601.xml"/>
  <Override ContentType="application/vnd.openxmlformats-officedocument.spreadsheetml.worksheet+xml" PartName="/xl/worksheets/sheet50602.xml"/>
  <Override ContentType="application/vnd.openxmlformats-officedocument.spreadsheetml.worksheet+xml" PartName="/xl/worksheets/sheet50603.xml"/>
  <Override ContentType="application/vnd.openxmlformats-officedocument.spreadsheetml.worksheet+xml" PartName="/xl/worksheets/sheet50604.xml"/>
  <Override ContentType="application/vnd.openxmlformats-officedocument.spreadsheetml.worksheet+xml" PartName="/xl/worksheets/sheet50605.xml"/>
  <Override ContentType="application/vnd.openxmlformats-officedocument.spreadsheetml.worksheet+xml" PartName="/xl/worksheets/sheet50606.xml"/>
  <Override ContentType="application/vnd.openxmlformats-officedocument.spreadsheetml.worksheet+xml" PartName="/xl/worksheets/sheet50607.xml"/>
  <Override ContentType="application/vnd.openxmlformats-officedocument.spreadsheetml.worksheet+xml" PartName="/xl/worksheets/sheet50608.xml"/>
  <Override ContentType="application/vnd.openxmlformats-officedocument.spreadsheetml.worksheet+xml" PartName="/xl/worksheets/sheet50609.xml"/>
  <Override ContentType="application/vnd.openxmlformats-officedocument.spreadsheetml.worksheet+xml" PartName="/xl/worksheets/sheet50610.xml"/>
  <Override ContentType="application/vnd.openxmlformats-officedocument.spreadsheetml.worksheet+xml" PartName="/xl/worksheets/sheet50611.xml"/>
  <Override ContentType="application/vnd.openxmlformats-officedocument.spreadsheetml.worksheet+xml" PartName="/xl/worksheets/sheet50612.xml"/>
  <Override ContentType="application/vnd.openxmlformats-officedocument.spreadsheetml.worksheet+xml" PartName="/xl/worksheets/sheet50613.xml"/>
  <Override ContentType="application/vnd.openxmlformats-officedocument.spreadsheetml.worksheet+xml" PartName="/xl/worksheets/sheet50614.xml"/>
  <Override ContentType="application/vnd.openxmlformats-officedocument.spreadsheetml.worksheet+xml" PartName="/xl/worksheets/sheet50615.xml"/>
  <Override ContentType="application/vnd.openxmlformats-officedocument.spreadsheetml.worksheet+xml" PartName="/xl/worksheets/sheet50616.xml"/>
  <Override ContentType="application/vnd.openxmlformats-officedocument.spreadsheetml.worksheet+xml" PartName="/xl/worksheets/sheet50617.xml"/>
  <Override ContentType="application/vnd.openxmlformats-officedocument.spreadsheetml.worksheet+xml" PartName="/xl/worksheets/sheet50618.xml"/>
  <Override ContentType="application/vnd.openxmlformats-officedocument.spreadsheetml.worksheet+xml" PartName="/xl/worksheets/sheet50619.xml"/>
  <Override ContentType="application/vnd.openxmlformats-officedocument.spreadsheetml.worksheet+xml" PartName="/xl/worksheets/sheet50620.xml"/>
  <Override ContentType="application/vnd.openxmlformats-officedocument.spreadsheetml.worksheet+xml" PartName="/xl/worksheets/sheet50621.xml"/>
  <Override ContentType="application/vnd.openxmlformats-officedocument.spreadsheetml.worksheet+xml" PartName="/xl/worksheets/sheet50622.xml"/>
  <Override ContentType="application/vnd.openxmlformats-officedocument.spreadsheetml.worksheet+xml" PartName="/xl/worksheets/sheet50623.xml"/>
  <Override ContentType="application/vnd.openxmlformats-officedocument.spreadsheetml.worksheet+xml" PartName="/xl/worksheets/sheet50624.xml"/>
  <Override ContentType="application/vnd.openxmlformats-officedocument.spreadsheetml.worksheet+xml" PartName="/xl/worksheets/sheet50625.xml"/>
  <Override ContentType="application/vnd.openxmlformats-officedocument.spreadsheetml.worksheet+xml" PartName="/xl/worksheets/sheet50626.xml"/>
  <Override ContentType="application/vnd.openxmlformats-officedocument.spreadsheetml.worksheet+xml" PartName="/xl/worksheets/sheet50627.xml"/>
  <Override ContentType="application/vnd.openxmlformats-officedocument.spreadsheetml.worksheet+xml" PartName="/xl/worksheets/sheet50628.xml"/>
  <Override ContentType="application/vnd.openxmlformats-officedocument.spreadsheetml.worksheet+xml" PartName="/xl/worksheets/sheet50629.xml"/>
  <Override ContentType="application/vnd.openxmlformats-officedocument.spreadsheetml.worksheet+xml" PartName="/xl/worksheets/sheet50630.xml"/>
  <Override ContentType="application/vnd.openxmlformats-officedocument.spreadsheetml.worksheet+xml" PartName="/xl/worksheets/sheet50631.xml"/>
  <Override ContentType="application/vnd.openxmlformats-officedocument.spreadsheetml.worksheet+xml" PartName="/xl/worksheets/sheet50632.xml"/>
  <Override ContentType="application/vnd.openxmlformats-officedocument.spreadsheetml.worksheet+xml" PartName="/xl/worksheets/sheet50633.xml"/>
  <Override ContentType="application/vnd.openxmlformats-officedocument.spreadsheetml.worksheet+xml" PartName="/xl/worksheets/sheet50634.xml"/>
  <Override ContentType="application/vnd.openxmlformats-officedocument.spreadsheetml.worksheet+xml" PartName="/xl/worksheets/sheet50635.xml"/>
  <Override ContentType="application/vnd.openxmlformats-officedocument.spreadsheetml.worksheet+xml" PartName="/xl/worksheets/sheet50636.xml"/>
  <Override ContentType="application/vnd.openxmlformats-officedocument.spreadsheetml.worksheet+xml" PartName="/xl/worksheets/sheet50637.xml"/>
  <Override ContentType="application/vnd.openxmlformats-officedocument.spreadsheetml.worksheet+xml" PartName="/xl/worksheets/sheet50638.xml"/>
  <Override ContentType="application/vnd.openxmlformats-officedocument.spreadsheetml.worksheet+xml" PartName="/xl/worksheets/sheet50639.xml"/>
  <Override ContentType="application/vnd.openxmlformats-officedocument.spreadsheetml.worksheet+xml" PartName="/xl/worksheets/sheet50640.xml"/>
  <Override ContentType="application/vnd.openxmlformats-officedocument.spreadsheetml.worksheet+xml" PartName="/xl/worksheets/sheet50641.xml"/>
  <Override ContentType="application/vnd.openxmlformats-officedocument.spreadsheetml.worksheet+xml" PartName="/xl/worksheets/sheet50642.xml"/>
  <Override ContentType="application/vnd.openxmlformats-officedocument.spreadsheetml.worksheet+xml" PartName="/xl/worksheets/sheet50643.xml"/>
  <Override ContentType="application/vnd.openxmlformats-officedocument.spreadsheetml.worksheet+xml" PartName="/xl/worksheets/sheet50644.xml"/>
  <Override ContentType="application/vnd.openxmlformats-officedocument.spreadsheetml.worksheet+xml" PartName="/xl/worksheets/sheet50645.xml"/>
  <Override ContentType="application/vnd.openxmlformats-officedocument.spreadsheetml.worksheet+xml" PartName="/xl/worksheets/sheet50646.xml"/>
  <Override ContentType="application/vnd.openxmlformats-officedocument.spreadsheetml.worksheet+xml" PartName="/xl/worksheets/sheet50647.xml"/>
  <Override ContentType="application/vnd.openxmlformats-officedocument.spreadsheetml.worksheet+xml" PartName="/xl/worksheets/sheet50648.xml"/>
  <Override ContentType="application/vnd.openxmlformats-officedocument.spreadsheetml.worksheet+xml" PartName="/xl/worksheets/sheet50649.xml"/>
  <Override ContentType="application/vnd.openxmlformats-officedocument.spreadsheetml.worksheet+xml" PartName="/xl/worksheets/sheet50650.xml"/>
  <Override ContentType="application/vnd.openxmlformats-officedocument.spreadsheetml.worksheet+xml" PartName="/xl/worksheets/sheet50651.xml"/>
  <Override ContentType="application/vnd.openxmlformats-officedocument.spreadsheetml.worksheet+xml" PartName="/xl/worksheets/sheet50652.xml"/>
  <Override ContentType="application/vnd.openxmlformats-officedocument.spreadsheetml.worksheet+xml" PartName="/xl/worksheets/sheet50653.xml"/>
  <Override ContentType="application/vnd.openxmlformats-officedocument.spreadsheetml.worksheet+xml" PartName="/xl/worksheets/sheet50654.xml"/>
  <Override ContentType="application/vnd.openxmlformats-officedocument.spreadsheetml.worksheet+xml" PartName="/xl/worksheets/sheet50655.xml"/>
  <Override ContentType="application/vnd.openxmlformats-officedocument.spreadsheetml.worksheet+xml" PartName="/xl/worksheets/sheet50656.xml"/>
  <Override ContentType="application/vnd.openxmlformats-officedocument.spreadsheetml.worksheet+xml" PartName="/xl/worksheets/sheet50657.xml"/>
  <Override ContentType="application/vnd.openxmlformats-officedocument.spreadsheetml.worksheet+xml" PartName="/xl/worksheets/sheet50658.xml"/>
  <Override ContentType="application/vnd.openxmlformats-officedocument.spreadsheetml.worksheet+xml" PartName="/xl/worksheets/sheet50659.xml"/>
  <Override ContentType="application/vnd.openxmlformats-officedocument.spreadsheetml.worksheet+xml" PartName="/xl/worksheets/sheet50660.xml"/>
  <Override ContentType="application/vnd.openxmlformats-officedocument.spreadsheetml.worksheet+xml" PartName="/xl/worksheets/sheet50661.xml"/>
  <Override ContentType="application/vnd.openxmlformats-officedocument.spreadsheetml.worksheet+xml" PartName="/xl/worksheets/sheet50662.xml"/>
  <Override ContentType="application/vnd.openxmlformats-officedocument.spreadsheetml.worksheet+xml" PartName="/xl/worksheets/sheet50663.xml"/>
  <Override ContentType="application/vnd.openxmlformats-officedocument.spreadsheetml.worksheet+xml" PartName="/xl/worksheets/sheet50664.xml"/>
  <Override ContentType="application/vnd.openxmlformats-officedocument.spreadsheetml.worksheet+xml" PartName="/xl/worksheets/sheet50665.xml"/>
  <Override ContentType="application/vnd.openxmlformats-officedocument.spreadsheetml.worksheet+xml" PartName="/xl/worksheets/sheet50666.xml"/>
  <Override ContentType="application/vnd.openxmlformats-officedocument.spreadsheetml.worksheet+xml" PartName="/xl/worksheets/sheet50667.xml"/>
  <Override ContentType="application/vnd.openxmlformats-officedocument.spreadsheetml.worksheet+xml" PartName="/xl/worksheets/sheet50668.xml"/>
  <Override ContentType="application/vnd.openxmlformats-officedocument.spreadsheetml.worksheet+xml" PartName="/xl/worksheets/sheet50669.xml"/>
  <Override ContentType="application/vnd.openxmlformats-officedocument.spreadsheetml.worksheet+xml" PartName="/xl/worksheets/sheet50670.xml"/>
  <Override ContentType="application/vnd.openxmlformats-officedocument.spreadsheetml.worksheet+xml" PartName="/xl/worksheets/sheet50671.xml"/>
  <Override ContentType="application/vnd.openxmlformats-officedocument.spreadsheetml.worksheet+xml" PartName="/xl/worksheets/sheet50672.xml"/>
  <Override ContentType="application/vnd.openxmlformats-officedocument.spreadsheetml.worksheet+xml" PartName="/xl/worksheets/sheet50673.xml"/>
  <Override ContentType="application/vnd.openxmlformats-officedocument.spreadsheetml.worksheet+xml" PartName="/xl/worksheets/sheet50674.xml"/>
  <Override ContentType="application/vnd.openxmlformats-officedocument.spreadsheetml.worksheet+xml" PartName="/xl/worksheets/sheet50675.xml"/>
  <Override ContentType="application/vnd.openxmlformats-officedocument.spreadsheetml.worksheet+xml" PartName="/xl/worksheets/sheet50676.xml"/>
  <Override ContentType="application/vnd.openxmlformats-officedocument.spreadsheetml.worksheet+xml" PartName="/xl/worksheets/sheet50677.xml"/>
  <Override ContentType="application/vnd.openxmlformats-officedocument.spreadsheetml.worksheet+xml" PartName="/xl/worksheets/sheet50678.xml"/>
  <Override ContentType="application/vnd.openxmlformats-officedocument.spreadsheetml.worksheet+xml" PartName="/xl/worksheets/sheet50679.xml"/>
  <Override ContentType="application/vnd.openxmlformats-officedocument.spreadsheetml.worksheet+xml" PartName="/xl/worksheets/sheet50680.xml"/>
  <Override ContentType="application/vnd.openxmlformats-officedocument.spreadsheetml.worksheet+xml" PartName="/xl/worksheets/sheet50681.xml"/>
  <Override ContentType="application/vnd.openxmlformats-officedocument.spreadsheetml.worksheet+xml" PartName="/xl/worksheets/sheet50682.xml"/>
  <Override ContentType="application/vnd.openxmlformats-officedocument.spreadsheetml.worksheet+xml" PartName="/xl/worksheets/sheet50683.xml"/>
  <Override ContentType="application/vnd.openxmlformats-officedocument.spreadsheetml.worksheet+xml" PartName="/xl/worksheets/sheet50684.xml"/>
  <Override ContentType="application/vnd.openxmlformats-officedocument.spreadsheetml.worksheet+xml" PartName="/xl/worksheets/sheet50685.xml"/>
  <Override ContentType="application/vnd.openxmlformats-officedocument.spreadsheetml.worksheet+xml" PartName="/xl/worksheets/sheet50686.xml"/>
  <Override ContentType="application/vnd.openxmlformats-officedocument.spreadsheetml.worksheet+xml" PartName="/xl/worksheets/sheet50687.xml"/>
  <Override ContentType="application/vnd.openxmlformats-officedocument.spreadsheetml.worksheet+xml" PartName="/xl/worksheets/sheet50688.xml"/>
  <Override ContentType="application/vnd.openxmlformats-officedocument.spreadsheetml.worksheet+xml" PartName="/xl/worksheets/sheet50689.xml"/>
  <Override ContentType="application/vnd.openxmlformats-officedocument.spreadsheetml.worksheet+xml" PartName="/xl/worksheets/sheet50690.xml"/>
  <Override ContentType="application/vnd.openxmlformats-officedocument.spreadsheetml.worksheet+xml" PartName="/xl/worksheets/sheet50691.xml"/>
  <Override ContentType="application/vnd.openxmlformats-officedocument.spreadsheetml.worksheet+xml" PartName="/xl/worksheets/sheet50692.xml"/>
  <Override ContentType="application/vnd.openxmlformats-officedocument.spreadsheetml.worksheet+xml" PartName="/xl/worksheets/sheet50693.xml"/>
  <Override ContentType="application/vnd.openxmlformats-officedocument.spreadsheetml.worksheet+xml" PartName="/xl/worksheets/sheet50694.xml"/>
  <Override ContentType="application/vnd.openxmlformats-officedocument.spreadsheetml.worksheet+xml" PartName="/xl/worksheets/sheet50695.xml"/>
  <Override ContentType="application/vnd.openxmlformats-officedocument.spreadsheetml.worksheet+xml" PartName="/xl/worksheets/sheet50696.xml"/>
  <Override ContentType="application/vnd.openxmlformats-officedocument.spreadsheetml.worksheet+xml" PartName="/xl/worksheets/sheet50697.xml"/>
  <Override ContentType="application/vnd.openxmlformats-officedocument.spreadsheetml.worksheet+xml" PartName="/xl/worksheets/sheet50698.xml"/>
  <Override ContentType="application/vnd.openxmlformats-officedocument.spreadsheetml.worksheet+xml" PartName="/xl/worksheets/sheet50699.xml"/>
  <Override ContentType="application/vnd.openxmlformats-officedocument.spreadsheetml.worksheet+xml" PartName="/xl/worksheets/sheet50700.xml"/>
  <Override ContentType="application/vnd.openxmlformats-officedocument.spreadsheetml.worksheet+xml" PartName="/xl/worksheets/sheet50701.xml"/>
  <Override ContentType="application/vnd.openxmlformats-officedocument.spreadsheetml.worksheet+xml" PartName="/xl/worksheets/sheet50702.xml"/>
  <Override ContentType="application/vnd.openxmlformats-officedocument.spreadsheetml.worksheet+xml" PartName="/xl/worksheets/sheet50703.xml"/>
  <Override ContentType="application/vnd.openxmlformats-officedocument.spreadsheetml.worksheet+xml" PartName="/xl/worksheets/sheet50704.xml"/>
  <Override ContentType="application/vnd.openxmlformats-officedocument.spreadsheetml.worksheet+xml" PartName="/xl/worksheets/sheet50705.xml"/>
  <Override ContentType="application/vnd.openxmlformats-officedocument.spreadsheetml.worksheet+xml" PartName="/xl/worksheets/sheet50706.xml"/>
  <Override ContentType="application/vnd.openxmlformats-officedocument.spreadsheetml.worksheet+xml" PartName="/xl/worksheets/sheet50707.xml"/>
  <Override ContentType="application/vnd.openxmlformats-officedocument.spreadsheetml.worksheet+xml" PartName="/xl/worksheets/sheet50708.xml"/>
  <Override ContentType="application/vnd.openxmlformats-officedocument.spreadsheetml.worksheet+xml" PartName="/xl/worksheets/sheet50709.xml"/>
  <Override ContentType="application/vnd.openxmlformats-officedocument.spreadsheetml.worksheet+xml" PartName="/xl/worksheets/sheet50710.xml"/>
  <Override ContentType="application/vnd.openxmlformats-officedocument.spreadsheetml.worksheet+xml" PartName="/xl/worksheets/sheet50711.xml"/>
  <Override ContentType="application/vnd.openxmlformats-officedocument.spreadsheetml.worksheet+xml" PartName="/xl/worksheets/sheet50712.xml"/>
  <Override ContentType="application/vnd.openxmlformats-officedocument.spreadsheetml.worksheet+xml" PartName="/xl/worksheets/sheet50713.xml"/>
  <Override ContentType="application/vnd.openxmlformats-officedocument.spreadsheetml.worksheet+xml" PartName="/xl/worksheets/sheet50714.xml"/>
  <Override ContentType="application/vnd.openxmlformats-officedocument.spreadsheetml.worksheet+xml" PartName="/xl/worksheets/sheet50715.xml"/>
  <Override ContentType="application/vnd.openxmlformats-officedocument.spreadsheetml.worksheet+xml" PartName="/xl/worksheets/sheet50716.xml"/>
  <Override ContentType="application/vnd.openxmlformats-officedocument.spreadsheetml.worksheet+xml" PartName="/xl/worksheets/sheet50717.xml"/>
  <Override ContentType="application/vnd.openxmlformats-officedocument.spreadsheetml.worksheet+xml" PartName="/xl/worksheets/sheet50718.xml"/>
  <Override ContentType="application/vnd.openxmlformats-officedocument.spreadsheetml.worksheet+xml" PartName="/xl/worksheets/sheet50719.xml"/>
  <Override ContentType="application/vnd.openxmlformats-officedocument.spreadsheetml.worksheet+xml" PartName="/xl/worksheets/sheet50720.xml"/>
  <Override ContentType="application/vnd.openxmlformats-officedocument.spreadsheetml.worksheet+xml" PartName="/xl/worksheets/sheet50721.xml"/>
  <Override ContentType="application/vnd.openxmlformats-officedocument.spreadsheetml.worksheet+xml" PartName="/xl/worksheets/sheet50722.xml"/>
  <Override ContentType="application/vnd.openxmlformats-officedocument.spreadsheetml.worksheet+xml" PartName="/xl/worksheets/sheet50723.xml"/>
  <Override ContentType="application/vnd.openxmlformats-officedocument.spreadsheetml.worksheet+xml" PartName="/xl/worksheets/sheet50724.xml"/>
  <Override ContentType="application/vnd.openxmlformats-officedocument.spreadsheetml.worksheet+xml" PartName="/xl/worksheets/sheet50725.xml"/>
  <Override ContentType="application/vnd.openxmlformats-officedocument.spreadsheetml.worksheet+xml" PartName="/xl/worksheets/sheet50726.xml"/>
  <Override ContentType="application/vnd.openxmlformats-officedocument.spreadsheetml.worksheet+xml" PartName="/xl/worksheets/sheet50727.xml"/>
  <Override ContentType="application/vnd.openxmlformats-officedocument.spreadsheetml.worksheet+xml" PartName="/xl/worksheets/sheet50728.xml"/>
  <Override ContentType="application/vnd.openxmlformats-officedocument.spreadsheetml.worksheet+xml" PartName="/xl/worksheets/sheet50729.xml"/>
  <Override ContentType="application/vnd.openxmlformats-officedocument.spreadsheetml.worksheet+xml" PartName="/xl/worksheets/sheet50730.xml"/>
  <Override ContentType="application/vnd.openxmlformats-officedocument.spreadsheetml.worksheet+xml" PartName="/xl/worksheets/sheet50731.xml"/>
  <Override ContentType="application/vnd.openxmlformats-officedocument.spreadsheetml.worksheet+xml" PartName="/xl/worksheets/sheet50732.xml"/>
  <Override ContentType="application/vnd.openxmlformats-officedocument.spreadsheetml.worksheet+xml" PartName="/xl/worksheets/sheet50733.xml"/>
  <Override ContentType="application/vnd.openxmlformats-officedocument.spreadsheetml.worksheet+xml" PartName="/xl/worksheets/sheet50734.xml"/>
  <Override ContentType="application/vnd.openxmlformats-officedocument.spreadsheetml.worksheet+xml" PartName="/xl/worksheets/sheet50735.xml"/>
  <Override ContentType="application/vnd.openxmlformats-officedocument.spreadsheetml.worksheet+xml" PartName="/xl/worksheets/sheet50736.xml"/>
  <Override ContentType="application/vnd.openxmlformats-officedocument.spreadsheetml.worksheet+xml" PartName="/xl/worksheets/sheet50737.xml"/>
  <Override ContentType="application/vnd.openxmlformats-officedocument.spreadsheetml.worksheet+xml" PartName="/xl/worksheets/sheet50738.xml"/>
  <Override ContentType="application/vnd.openxmlformats-officedocument.spreadsheetml.worksheet+xml" PartName="/xl/worksheets/sheet50739.xml"/>
  <Override ContentType="application/vnd.openxmlformats-officedocument.spreadsheetml.worksheet+xml" PartName="/xl/worksheets/sheet50740.xml"/>
  <Override ContentType="application/vnd.openxmlformats-officedocument.spreadsheetml.worksheet+xml" PartName="/xl/worksheets/sheet50741.xml"/>
  <Override ContentType="application/vnd.openxmlformats-officedocument.spreadsheetml.worksheet+xml" PartName="/xl/worksheets/sheet50742.xml"/>
  <Override ContentType="application/vnd.openxmlformats-officedocument.spreadsheetml.worksheet+xml" PartName="/xl/worksheets/sheet50743.xml"/>
  <Override ContentType="application/vnd.openxmlformats-officedocument.spreadsheetml.worksheet+xml" PartName="/xl/worksheets/sheet50744.xml"/>
  <Override ContentType="application/vnd.openxmlformats-officedocument.spreadsheetml.worksheet+xml" PartName="/xl/worksheets/sheet50745.xml"/>
  <Override ContentType="application/vnd.openxmlformats-officedocument.spreadsheetml.worksheet+xml" PartName="/xl/worksheets/sheet50746.xml"/>
  <Override ContentType="application/vnd.openxmlformats-officedocument.spreadsheetml.worksheet+xml" PartName="/xl/worksheets/sheet50747.xml"/>
  <Override ContentType="application/vnd.openxmlformats-officedocument.spreadsheetml.worksheet+xml" PartName="/xl/worksheets/sheet50748.xml"/>
  <Override ContentType="application/vnd.openxmlformats-officedocument.spreadsheetml.worksheet+xml" PartName="/xl/worksheets/sheet50749.xml"/>
  <Override ContentType="application/vnd.openxmlformats-officedocument.spreadsheetml.worksheet+xml" PartName="/xl/worksheets/sheet50750.xml"/>
  <Override ContentType="application/vnd.openxmlformats-officedocument.spreadsheetml.worksheet+xml" PartName="/xl/worksheets/sheet50751.xml"/>
  <Override ContentType="application/vnd.openxmlformats-officedocument.spreadsheetml.worksheet+xml" PartName="/xl/worksheets/sheet50752.xml"/>
  <Override ContentType="application/vnd.openxmlformats-officedocument.spreadsheetml.worksheet+xml" PartName="/xl/worksheets/sheet50753.xml"/>
  <Override ContentType="application/vnd.openxmlformats-officedocument.spreadsheetml.worksheet+xml" PartName="/xl/worksheets/sheet50754.xml"/>
  <Override ContentType="application/vnd.openxmlformats-officedocument.spreadsheetml.worksheet+xml" PartName="/xl/worksheets/sheet50755.xml"/>
  <Override ContentType="application/vnd.openxmlformats-officedocument.spreadsheetml.worksheet+xml" PartName="/xl/worksheets/sheet50756.xml"/>
  <Override ContentType="application/vnd.openxmlformats-officedocument.spreadsheetml.worksheet+xml" PartName="/xl/worksheets/sheet50757.xml"/>
  <Override ContentType="application/vnd.openxmlformats-officedocument.spreadsheetml.worksheet+xml" PartName="/xl/worksheets/sheet50758.xml"/>
  <Override ContentType="application/vnd.openxmlformats-officedocument.spreadsheetml.worksheet+xml" PartName="/xl/worksheets/sheet50759.xml"/>
  <Override ContentType="application/vnd.openxmlformats-officedocument.spreadsheetml.worksheet+xml" PartName="/xl/worksheets/sheet50760.xml"/>
  <Override ContentType="application/vnd.openxmlformats-officedocument.spreadsheetml.worksheet+xml" PartName="/xl/worksheets/sheet50761.xml"/>
  <Override ContentType="application/vnd.openxmlformats-officedocument.spreadsheetml.worksheet+xml" PartName="/xl/worksheets/sheet50762.xml"/>
  <Override ContentType="application/vnd.openxmlformats-officedocument.spreadsheetml.worksheet+xml" PartName="/xl/worksheets/sheet50763.xml"/>
  <Override ContentType="application/vnd.openxmlformats-officedocument.spreadsheetml.worksheet+xml" PartName="/xl/worksheets/sheet50764.xml"/>
  <Override ContentType="application/vnd.openxmlformats-officedocument.spreadsheetml.worksheet+xml" PartName="/xl/worksheets/sheet50765.xml"/>
  <Override ContentType="application/vnd.openxmlformats-officedocument.spreadsheetml.worksheet+xml" PartName="/xl/worksheets/sheet50766.xml"/>
  <Override ContentType="application/vnd.openxmlformats-officedocument.spreadsheetml.worksheet+xml" PartName="/xl/worksheets/sheet50767.xml"/>
  <Override ContentType="application/vnd.openxmlformats-officedocument.spreadsheetml.worksheet+xml" PartName="/xl/worksheets/sheet50768.xml"/>
  <Override ContentType="application/vnd.openxmlformats-officedocument.spreadsheetml.worksheet+xml" PartName="/xl/worksheets/sheet50769.xml"/>
  <Override ContentType="application/vnd.openxmlformats-officedocument.spreadsheetml.worksheet+xml" PartName="/xl/worksheets/sheet50770.xml"/>
  <Override ContentType="application/vnd.openxmlformats-officedocument.spreadsheetml.worksheet+xml" PartName="/xl/worksheets/sheet50771.xml"/>
  <Override ContentType="application/vnd.openxmlformats-officedocument.spreadsheetml.worksheet+xml" PartName="/xl/worksheets/sheet50772.xml"/>
  <Override ContentType="application/vnd.openxmlformats-officedocument.spreadsheetml.worksheet+xml" PartName="/xl/worksheets/sheet50773.xml"/>
  <Override ContentType="application/vnd.openxmlformats-officedocument.spreadsheetml.worksheet+xml" PartName="/xl/worksheets/sheet50774.xml"/>
  <Override ContentType="application/vnd.openxmlformats-officedocument.spreadsheetml.worksheet+xml" PartName="/xl/worksheets/sheet50775.xml"/>
  <Override ContentType="application/vnd.openxmlformats-officedocument.spreadsheetml.worksheet+xml" PartName="/xl/worksheets/sheet50776.xml"/>
  <Override ContentType="application/vnd.openxmlformats-officedocument.spreadsheetml.worksheet+xml" PartName="/xl/worksheets/sheet50777.xml"/>
  <Override ContentType="application/vnd.openxmlformats-officedocument.spreadsheetml.worksheet+xml" PartName="/xl/worksheets/sheet50778.xml"/>
  <Override ContentType="application/vnd.openxmlformats-officedocument.spreadsheetml.worksheet+xml" PartName="/xl/worksheets/sheet50779.xml"/>
  <Override ContentType="application/vnd.openxmlformats-officedocument.spreadsheetml.worksheet+xml" PartName="/xl/worksheets/sheet50780.xml"/>
  <Override ContentType="application/vnd.openxmlformats-officedocument.spreadsheetml.worksheet+xml" PartName="/xl/worksheets/sheet50781.xml"/>
  <Override ContentType="application/vnd.openxmlformats-officedocument.spreadsheetml.worksheet+xml" PartName="/xl/worksheets/sheet50782.xml"/>
  <Override ContentType="application/vnd.openxmlformats-officedocument.spreadsheetml.worksheet+xml" PartName="/xl/worksheets/sheet50783.xml"/>
  <Override ContentType="application/vnd.openxmlformats-officedocument.spreadsheetml.worksheet+xml" PartName="/xl/worksheets/sheet50784.xml"/>
  <Override ContentType="application/vnd.openxmlformats-officedocument.spreadsheetml.worksheet+xml" PartName="/xl/worksheets/sheet50785.xml"/>
  <Override ContentType="application/vnd.openxmlformats-officedocument.spreadsheetml.worksheet+xml" PartName="/xl/worksheets/sheet50786.xml"/>
  <Override ContentType="application/vnd.openxmlformats-officedocument.spreadsheetml.worksheet+xml" PartName="/xl/worksheets/sheet50787.xml"/>
  <Override ContentType="application/vnd.openxmlformats-officedocument.spreadsheetml.worksheet+xml" PartName="/xl/worksheets/sheet50788.xml"/>
  <Override ContentType="application/vnd.openxmlformats-officedocument.spreadsheetml.worksheet+xml" PartName="/xl/worksheets/sheet50789.xml"/>
  <Override ContentType="application/vnd.openxmlformats-officedocument.spreadsheetml.worksheet+xml" PartName="/xl/worksheets/sheet50790.xml"/>
  <Override ContentType="application/vnd.openxmlformats-officedocument.spreadsheetml.worksheet+xml" PartName="/xl/worksheets/sheet50791.xml"/>
  <Override ContentType="application/vnd.openxmlformats-officedocument.spreadsheetml.worksheet+xml" PartName="/xl/worksheets/sheet50792.xml"/>
  <Override ContentType="application/vnd.openxmlformats-officedocument.spreadsheetml.worksheet+xml" PartName="/xl/worksheets/sheet50793.xml"/>
  <Override ContentType="application/vnd.openxmlformats-officedocument.spreadsheetml.worksheet+xml" PartName="/xl/worksheets/sheet50794.xml"/>
  <Override ContentType="application/vnd.openxmlformats-officedocument.spreadsheetml.worksheet+xml" PartName="/xl/worksheets/sheet50795.xml"/>
  <Override ContentType="application/vnd.openxmlformats-officedocument.spreadsheetml.worksheet+xml" PartName="/xl/worksheets/sheet50796.xml"/>
  <Override ContentType="application/vnd.openxmlformats-officedocument.spreadsheetml.worksheet+xml" PartName="/xl/worksheets/sheet50797.xml"/>
  <Override ContentType="application/vnd.openxmlformats-officedocument.spreadsheetml.worksheet+xml" PartName="/xl/worksheets/sheet50798.xml"/>
  <Override ContentType="application/vnd.openxmlformats-officedocument.spreadsheetml.worksheet+xml" PartName="/xl/worksheets/sheet50799.xml"/>
  <Override ContentType="application/vnd.openxmlformats-officedocument.spreadsheetml.worksheet+xml" PartName="/xl/worksheets/sheet50800.xml"/>
  <Override ContentType="application/vnd.openxmlformats-officedocument.spreadsheetml.worksheet+xml" PartName="/xl/worksheets/sheet50801.xml"/>
  <Override ContentType="application/vnd.openxmlformats-officedocument.spreadsheetml.worksheet+xml" PartName="/xl/worksheets/sheet50802.xml"/>
  <Override ContentType="application/vnd.openxmlformats-officedocument.spreadsheetml.worksheet+xml" PartName="/xl/worksheets/sheet50803.xml"/>
  <Override ContentType="application/vnd.openxmlformats-officedocument.spreadsheetml.worksheet+xml" PartName="/xl/worksheets/sheet50804.xml"/>
  <Override ContentType="application/vnd.openxmlformats-officedocument.spreadsheetml.worksheet+xml" PartName="/xl/worksheets/sheet50805.xml"/>
  <Override ContentType="application/vnd.openxmlformats-officedocument.spreadsheetml.worksheet+xml" PartName="/xl/worksheets/sheet50806.xml"/>
  <Override ContentType="application/vnd.openxmlformats-officedocument.spreadsheetml.worksheet+xml" PartName="/xl/worksheets/sheet50807.xml"/>
  <Override ContentType="application/vnd.openxmlformats-officedocument.spreadsheetml.worksheet+xml" PartName="/xl/worksheets/sheet50808.xml"/>
  <Override ContentType="application/vnd.openxmlformats-officedocument.spreadsheetml.worksheet+xml" PartName="/xl/worksheets/sheet50809.xml"/>
  <Override ContentType="application/vnd.openxmlformats-officedocument.spreadsheetml.worksheet+xml" PartName="/xl/worksheets/sheet50810.xml"/>
  <Override ContentType="application/vnd.openxmlformats-officedocument.spreadsheetml.worksheet+xml" PartName="/xl/worksheets/sheet50811.xml"/>
  <Override ContentType="application/vnd.openxmlformats-officedocument.spreadsheetml.worksheet+xml" PartName="/xl/worksheets/sheet50812.xml"/>
  <Override ContentType="application/vnd.openxmlformats-officedocument.spreadsheetml.worksheet+xml" PartName="/xl/worksheets/sheet50813.xml"/>
  <Override ContentType="application/vnd.openxmlformats-officedocument.spreadsheetml.worksheet+xml" PartName="/xl/worksheets/sheet50814.xml"/>
  <Override ContentType="application/vnd.openxmlformats-officedocument.spreadsheetml.worksheet+xml" PartName="/xl/worksheets/sheet50815.xml"/>
  <Override ContentType="application/vnd.openxmlformats-officedocument.spreadsheetml.worksheet+xml" PartName="/xl/worksheets/sheet50816.xml"/>
  <Override ContentType="application/vnd.openxmlformats-officedocument.spreadsheetml.worksheet+xml" PartName="/xl/worksheets/sheet50817.xml"/>
  <Override ContentType="application/vnd.openxmlformats-officedocument.spreadsheetml.worksheet+xml" PartName="/xl/worksheets/sheet50818.xml"/>
  <Override ContentType="application/vnd.openxmlformats-officedocument.spreadsheetml.worksheet+xml" PartName="/xl/worksheets/sheet50819.xml"/>
  <Override ContentType="application/vnd.openxmlformats-officedocument.spreadsheetml.worksheet+xml" PartName="/xl/worksheets/sheet50820.xml"/>
  <Override ContentType="application/vnd.openxmlformats-officedocument.spreadsheetml.worksheet+xml" PartName="/xl/worksheets/sheet50821.xml"/>
  <Override ContentType="application/vnd.openxmlformats-officedocument.spreadsheetml.worksheet+xml" PartName="/xl/worksheets/sheet50822.xml"/>
  <Override ContentType="application/vnd.openxmlformats-officedocument.spreadsheetml.worksheet+xml" PartName="/xl/worksheets/sheet50823.xml"/>
  <Override ContentType="application/vnd.openxmlformats-officedocument.spreadsheetml.worksheet+xml" PartName="/xl/worksheets/sheet50824.xml"/>
  <Override ContentType="application/vnd.openxmlformats-officedocument.spreadsheetml.worksheet+xml" PartName="/xl/worksheets/sheet50825.xml"/>
  <Override ContentType="application/vnd.openxmlformats-officedocument.spreadsheetml.worksheet+xml" PartName="/xl/worksheets/sheet50826.xml"/>
  <Override ContentType="application/vnd.openxmlformats-officedocument.spreadsheetml.worksheet+xml" PartName="/xl/worksheets/sheet50827.xml"/>
  <Override ContentType="application/vnd.openxmlformats-officedocument.spreadsheetml.worksheet+xml" PartName="/xl/worksheets/sheet50828.xml"/>
  <Override ContentType="application/vnd.openxmlformats-officedocument.spreadsheetml.worksheet+xml" PartName="/xl/worksheets/sheet50829.xml"/>
  <Override ContentType="application/vnd.openxmlformats-officedocument.spreadsheetml.worksheet+xml" PartName="/xl/worksheets/sheet50830.xml"/>
  <Override ContentType="application/vnd.openxmlformats-officedocument.spreadsheetml.worksheet+xml" PartName="/xl/worksheets/sheet50831.xml"/>
  <Override ContentType="application/vnd.openxmlformats-officedocument.spreadsheetml.worksheet+xml" PartName="/xl/worksheets/sheet50832.xml"/>
  <Override ContentType="application/vnd.openxmlformats-officedocument.spreadsheetml.worksheet+xml" PartName="/xl/worksheets/sheet50833.xml"/>
  <Override ContentType="application/vnd.openxmlformats-officedocument.spreadsheetml.worksheet+xml" PartName="/xl/worksheets/sheet50834.xml"/>
  <Override ContentType="application/vnd.openxmlformats-officedocument.spreadsheetml.worksheet+xml" PartName="/xl/worksheets/sheet50835.xml"/>
  <Override ContentType="application/vnd.openxmlformats-officedocument.spreadsheetml.worksheet+xml" PartName="/xl/worksheets/sheet50836.xml"/>
  <Override ContentType="application/vnd.openxmlformats-officedocument.spreadsheetml.worksheet+xml" PartName="/xl/worksheets/sheet50837.xml"/>
  <Override ContentType="application/vnd.openxmlformats-officedocument.spreadsheetml.worksheet+xml" PartName="/xl/worksheets/sheet50838.xml"/>
  <Override ContentType="application/vnd.openxmlformats-officedocument.spreadsheetml.worksheet+xml" PartName="/xl/worksheets/sheet50839.xml"/>
  <Override ContentType="application/vnd.openxmlformats-officedocument.spreadsheetml.worksheet+xml" PartName="/xl/worksheets/sheet50840.xml"/>
  <Override ContentType="application/vnd.openxmlformats-officedocument.spreadsheetml.worksheet+xml" PartName="/xl/worksheets/sheet50841.xml"/>
  <Override ContentType="application/vnd.openxmlformats-officedocument.spreadsheetml.worksheet+xml" PartName="/xl/worksheets/sheet50842.xml"/>
  <Override ContentType="application/vnd.openxmlformats-officedocument.spreadsheetml.worksheet+xml" PartName="/xl/worksheets/sheet50843.xml"/>
  <Override ContentType="application/vnd.openxmlformats-officedocument.spreadsheetml.worksheet+xml" PartName="/xl/worksheets/sheet50844.xml"/>
  <Override ContentType="application/vnd.openxmlformats-officedocument.spreadsheetml.worksheet+xml" PartName="/xl/worksheets/sheet50845.xml"/>
  <Override ContentType="application/vnd.openxmlformats-officedocument.spreadsheetml.worksheet+xml" PartName="/xl/worksheets/sheet50846.xml"/>
  <Override ContentType="application/vnd.openxmlformats-officedocument.spreadsheetml.worksheet+xml" PartName="/xl/worksheets/sheet50847.xml"/>
  <Override ContentType="application/vnd.openxmlformats-officedocument.spreadsheetml.worksheet+xml" PartName="/xl/worksheets/sheet50848.xml"/>
  <Override ContentType="application/vnd.openxmlformats-officedocument.spreadsheetml.worksheet+xml" PartName="/xl/worksheets/sheet50849.xml"/>
  <Override ContentType="application/vnd.openxmlformats-officedocument.spreadsheetml.worksheet+xml" PartName="/xl/worksheets/sheet50850.xml"/>
  <Override ContentType="application/vnd.openxmlformats-officedocument.spreadsheetml.worksheet+xml" PartName="/xl/worksheets/sheet50851.xml"/>
  <Override ContentType="application/vnd.openxmlformats-officedocument.spreadsheetml.worksheet+xml" PartName="/xl/worksheets/sheet50852.xml"/>
  <Override ContentType="application/vnd.openxmlformats-officedocument.spreadsheetml.worksheet+xml" PartName="/xl/worksheets/sheet50853.xml"/>
  <Override ContentType="application/vnd.openxmlformats-officedocument.spreadsheetml.worksheet+xml" PartName="/xl/worksheets/sheet50854.xml"/>
  <Override ContentType="application/vnd.openxmlformats-officedocument.spreadsheetml.worksheet+xml" PartName="/xl/worksheets/sheet50855.xml"/>
  <Override ContentType="application/vnd.openxmlformats-officedocument.spreadsheetml.worksheet+xml" PartName="/xl/worksheets/sheet50856.xml"/>
  <Override ContentType="application/vnd.openxmlformats-officedocument.spreadsheetml.worksheet+xml" PartName="/xl/worksheets/sheet50857.xml"/>
  <Override ContentType="application/vnd.openxmlformats-officedocument.spreadsheetml.worksheet+xml" PartName="/xl/worksheets/sheet50858.xml"/>
  <Override ContentType="application/vnd.openxmlformats-officedocument.spreadsheetml.worksheet+xml" PartName="/xl/worksheets/sheet50859.xml"/>
  <Override ContentType="application/vnd.openxmlformats-officedocument.spreadsheetml.worksheet+xml" PartName="/xl/worksheets/sheet50860.xml"/>
  <Override ContentType="application/vnd.openxmlformats-officedocument.spreadsheetml.worksheet+xml" PartName="/xl/worksheets/sheet50861.xml"/>
  <Override ContentType="application/vnd.openxmlformats-officedocument.spreadsheetml.worksheet+xml" PartName="/xl/worksheets/sheet50862.xml"/>
  <Override ContentType="application/vnd.openxmlformats-officedocument.spreadsheetml.worksheet+xml" PartName="/xl/worksheets/sheet50863.xml"/>
  <Override ContentType="application/vnd.openxmlformats-officedocument.spreadsheetml.worksheet+xml" PartName="/xl/worksheets/sheet50864.xml"/>
  <Override ContentType="application/vnd.openxmlformats-officedocument.spreadsheetml.worksheet+xml" PartName="/xl/worksheets/sheet50865.xml"/>
  <Override ContentType="application/vnd.openxmlformats-officedocument.spreadsheetml.worksheet+xml" PartName="/xl/worksheets/sheet50866.xml"/>
  <Override ContentType="application/vnd.openxmlformats-officedocument.spreadsheetml.worksheet+xml" PartName="/xl/worksheets/sheet50867.xml"/>
  <Override ContentType="application/vnd.openxmlformats-officedocument.spreadsheetml.worksheet+xml" PartName="/xl/worksheets/sheet50868.xml"/>
  <Override ContentType="application/vnd.openxmlformats-officedocument.spreadsheetml.worksheet+xml" PartName="/xl/worksheets/sheet50869.xml"/>
  <Override ContentType="application/vnd.openxmlformats-officedocument.spreadsheetml.worksheet+xml" PartName="/xl/worksheets/sheet50870.xml"/>
  <Override ContentType="application/vnd.openxmlformats-officedocument.spreadsheetml.worksheet+xml" PartName="/xl/worksheets/sheet50871.xml"/>
  <Override ContentType="application/vnd.openxmlformats-officedocument.spreadsheetml.worksheet+xml" PartName="/xl/worksheets/sheet50872.xml"/>
  <Override ContentType="application/vnd.openxmlformats-officedocument.spreadsheetml.worksheet+xml" PartName="/xl/worksheets/sheet50873.xml"/>
  <Override ContentType="application/vnd.openxmlformats-officedocument.spreadsheetml.worksheet+xml" PartName="/xl/worksheets/sheet50874.xml"/>
  <Override ContentType="application/vnd.openxmlformats-officedocument.spreadsheetml.worksheet+xml" PartName="/xl/worksheets/sheet50875.xml"/>
  <Override ContentType="application/vnd.openxmlformats-officedocument.spreadsheetml.worksheet+xml" PartName="/xl/worksheets/sheet50876.xml"/>
  <Override ContentType="application/vnd.openxmlformats-officedocument.spreadsheetml.worksheet+xml" PartName="/xl/worksheets/sheet50877.xml"/>
  <Override ContentType="application/vnd.openxmlformats-officedocument.spreadsheetml.worksheet+xml" PartName="/xl/worksheets/sheet50878.xml"/>
  <Override ContentType="application/vnd.openxmlformats-officedocument.spreadsheetml.worksheet+xml" PartName="/xl/worksheets/sheet50879.xml"/>
  <Override ContentType="application/vnd.openxmlformats-officedocument.spreadsheetml.worksheet+xml" PartName="/xl/worksheets/sheet50880.xml"/>
  <Override ContentType="application/vnd.openxmlformats-officedocument.spreadsheetml.worksheet+xml" PartName="/xl/worksheets/sheet50881.xml"/>
  <Override ContentType="application/vnd.openxmlformats-officedocument.spreadsheetml.worksheet+xml" PartName="/xl/worksheets/sheet50882.xml"/>
  <Override ContentType="application/vnd.openxmlformats-officedocument.spreadsheetml.worksheet+xml" PartName="/xl/worksheets/sheet50883.xml"/>
  <Override ContentType="application/vnd.openxmlformats-officedocument.spreadsheetml.worksheet+xml" PartName="/xl/worksheets/sheet50884.xml"/>
  <Override ContentType="application/vnd.openxmlformats-officedocument.spreadsheetml.worksheet+xml" PartName="/xl/worksheets/sheet50885.xml"/>
  <Override ContentType="application/vnd.openxmlformats-officedocument.spreadsheetml.worksheet+xml" PartName="/xl/worksheets/sheet50886.xml"/>
  <Override ContentType="application/vnd.openxmlformats-officedocument.spreadsheetml.worksheet+xml" PartName="/xl/worksheets/sheet50887.xml"/>
  <Override ContentType="application/vnd.openxmlformats-officedocument.spreadsheetml.worksheet+xml" PartName="/xl/worksheets/sheet50888.xml"/>
  <Override ContentType="application/vnd.openxmlformats-officedocument.spreadsheetml.worksheet+xml" PartName="/xl/worksheets/sheet50889.xml"/>
  <Override ContentType="application/vnd.openxmlformats-officedocument.spreadsheetml.worksheet+xml" PartName="/xl/worksheets/sheet50890.xml"/>
  <Override ContentType="application/vnd.openxmlformats-officedocument.spreadsheetml.worksheet+xml" PartName="/xl/worksheets/sheet50891.xml"/>
  <Override ContentType="application/vnd.openxmlformats-officedocument.spreadsheetml.worksheet+xml" PartName="/xl/worksheets/sheet50892.xml"/>
  <Override ContentType="application/vnd.openxmlformats-officedocument.spreadsheetml.worksheet+xml" PartName="/xl/worksheets/sheet50893.xml"/>
  <Override ContentType="application/vnd.openxmlformats-officedocument.spreadsheetml.worksheet+xml" PartName="/xl/worksheets/sheet50894.xml"/>
  <Override ContentType="application/vnd.openxmlformats-officedocument.spreadsheetml.worksheet+xml" PartName="/xl/worksheets/sheet50895.xml"/>
  <Override ContentType="application/vnd.openxmlformats-officedocument.spreadsheetml.worksheet+xml" PartName="/xl/worksheets/sheet50896.xml"/>
  <Override ContentType="application/vnd.openxmlformats-officedocument.spreadsheetml.worksheet+xml" PartName="/xl/worksheets/sheet50897.xml"/>
  <Override ContentType="application/vnd.openxmlformats-officedocument.spreadsheetml.worksheet+xml" PartName="/xl/worksheets/sheet50898.xml"/>
  <Override ContentType="application/vnd.openxmlformats-officedocument.spreadsheetml.worksheet+xml" PartName="/xl/worksheets/sheet50899.xml"/>
  <Override ContentType="application/vnd.openxmlformats-officedocument.spreadsheetml.worksheet+xml" PartName="/xl/worksheets/sheet50900.xml"/>
  <Override ContentType="application/vnd.openxmlformats-officedocument.spreadsheetml.worksheet+xml" PartName="/xl/worksheets/sheet50901.xml"/>
  <Override ContentType="application/vnd.openxmlformats-officedocument.spreadsheetml.worksheet+xml" PartName="/xl/worksheets/sheet50902.xml"/>
  <Override ContentType="application/vnd.openxmlformats-officedocument.spreadsheetml.worksheet+xml" PartName="/xl/worksheets/sheet50903.xml"/>
  <Override ContentType="application/vnd.openxmlformats-officedocument.spreadsheetml.worksheet+xml" PartName="/xl/worksheets/sheet50904.xml"/>
  <Override ContentType="application/vnd.openxmlformats-officedocument.spreadsheetml.worksheet+xml" PartName="/xl/worksheets/sheet50905.xml"/>
  <Override ContentType="application/vnd.openxmlformats-officedocument.spreadsheetml.worksheet+xml" PartName="/xl/worksheets/sheet50906.xml"/>
  <Override ContentType="application/vnd.openxmlformats-officedocument.spreadsheetml.worksheet+xml" PartName="/xl/worksheets/sheet50907.xml"/>
  <Override ContentType="application/vnd.openxmlformats-officedocument.spreadsheetml.worksheet+xml" PartName="/xl/worksheets/sheet50908.xml"/>
  <Override ContentType="application/vnd.openxmlformats-officedocument.spreadsheetml.worksheet+xml" PartName="/xl/worksheets/sheet50909.xml"/>
  <Override ContentType="application/vnd.openxmlformats-officedocument.spreadsheetml.worksheet+xml" PartName="/xl/worksheets/sheet50910.xml"/>
  <Override ContentType="application/vnd.openxmlformats-officedocument.spreadsheetml.worksheet+xml" PartName="/xl/worksheets/sheet50911.xml"/>
  <Override ContentType="application/vnd.openxmlformats-officedocument.spreadsheetml.worksheet+xml" PartName="/xl/worksheets/sheet50912.xml"/>
  <Override ContentType="application/vnd.openxmlformats-officedocument.spreadsheetml.worksheet+xml" PartName="/xl/worksheets/sheet50913.xml"/>
  <Override ContentType="application/vnd.openxmlformats-officedocument.spreadsheetml.worksheet+xml" PartName="/xl/worksheets/sheet50914.xml"/>
  <Override ContentType="application/vnd.openxmlformats-officedocument.spreadsheetml.worksheet+xml" PartName="/xl/worksheets/sheet50915.xml"/>
  <Override ContentType="application/vnd.openxmlformats-officedocument.spreadsheetml.worksheet+xml" PartName="/xl/worksheets/sheet50916.xml"/>
  <Override ContentType="application/vnd.openxmlformats-officedocument.spreadsheetml.worksheet+xml" PartName="/xl/worksheets/sheet50917.xml"/>
  <Override ContentType="application/vnd.openxmlformats-officedocument.spreadsheetml.worksheet+xml" PartName="/xl/worksheets/sheet50918.xml"/>
  <Override ContentType="application/vnd.openxmlformats-officedocument.spreadsheetml.worksheet+xml" PartName="/xl/worksheets/sheet50919.xml"/>
  <Override ContentType="application/vnd.openxmlformats-officedocument.spreadsheetml.worksheet+xml" PartName="/xl/worksheets/sheet50920.xml"/>
  <Override ContentType="application/vnd.openxmlformats-officedocument.spreadsheetml.worksheet+xml" PartName="/xl/worksheets/sheet50921.xml"/>
  <Override ContentType="application/vnd.openxmlformats-officedocument.spreadsheetml.worksheet+xml" PartName="/xl/worksheets/sheet50922.xml"/>
  <Override ContentType="application/vnd.openxmlformats-officedocument.spreadsheetml.worksheet+xml" PartName="/xl/worksheets/sheet50923.xml"/>
  <Override ContentType="application/vnd.openxmlformats-officedocument.spreadsheetml.worksheet+xml" PartName="/xl/worksheets/sheet50924.xml"/>
  <Override ContentType="application/vnd.openxmlformats-officedocument.spreadsheetml.worksheet+xml" PartName="/xl/worksheets/sheet50925.xml"/>
  <Override ContentType="application/vnd.openxmlformats-officedocument.spreadsheetml.worksheet+xml" PartName="/xl/worksheets/sheet50926.xml"/>
  <Override ContentType="application/vnd.openxmlformats-officedocument.spreadsheetml.worksheet+xml" PartName="/xl/worksheets/sheet50927.xml"/>
  <Override ContentType="application/vnd.openxmlformats-officedocument.spreadsheetml.worksheet+xml" PartName="/xl/worksheets/sheet50928.xml"/>
  <Override ContentType="application/vnd.openxmlformats-officedocument.spreadsheetml.worksheet+xml" PartName="/xl/worksheets/sheet50929.xml"/>
  <Override ContentType="application/vnd.openxmlformats-officedocument.spreadsheetml.worksheet+xml" PartName="/xl/worksheets/sheet50930.xml"/>
  <Override ContentType="application/vnd.openxmlformats-officedocument.spreadsheetml.worksheet+xml" PartName="/xl/worksheets/sheet50931.xml"/>
  <Override ContentType="application/vnd.openxmlformats-officedocument.spreadsheetml.worksheet+xml" PartName="/xl/worksheets/sheet50932.xml"/>
  <Override ContentType="application/vnd.openxmlformats-officedocument.spreadsheetml.worksheet+xml" PartName="/xl/worksheets/sheet50933.xml"/>
  <Override ContentType="application/vnd.openxmlformats-officedocument.spreadsheetml.worksheet+xml" PartName="/xl/worksheets/sheet50934.xml"/>
  <Override ContentType="application/vnd.openxmlformats-officedocument.spreadsheetml.worksheet+xml" PartName="/xl/worksheets/sheet50935.xml"/>
  <Override ContentType="application/vnd.openxmlformats-officedocument.spreadsheetml.worksheet+xml" PartName="/xl/worksheets/sheet50936.xml"/>
  <Override ContentType="application/vnd.openxmlformats-officedocument.spreadsheetml.worksheet+xml" PartName="/xl/worksheets/sheet50937.xml"/>
  <Override ContentType="application/vnd.openxmlformats-officedocument.spreadsheetml.worksheet+xml" PartName="/xl/worksheets/sheet50938.xml"/>
  <Override ContentType="application/vnd.openxmlformats-officedocument.spreadsheetml.worksheet+xml" PartName="/xl/worksheets/sheet50939.xml"/>
  <Override ContentType="application/vnd.openxmlformats-officedocument.spreadsheetml.worksheet+xml" PartName="/xl/worksheets/sheet50940.xml"/>
  <Override ContentType="application/vnd.openxmlformats-officedocument.spreadsheetml.worksheet+xml" PartName="/xl/worksheets/sheet50941.xml"/>
  <Override ContentType="application/vnd.openxmlformats-officedocument.spreadsheetml.worksheet+xml" PartName="/xl/worksheets/sheet50942.xml"/>
  <Override ContentType="application/vnd.openxmlformats-officedocument.spreadsheetml.worksheet+xml" PartName="/xl/worksheets/sheet50943.xml"/>
  <Override ContentType="application/vnd.openxmlformats-officedocument.spreadsheetml.worksheet+xml" PartName="/xl/worksheets/sheet50944.xml"/>
  <Override ContentType="application/vnd.openxmlformats-officedocument.spreadsheetml.worksheet+xml" PartName="/xl/worksheets/sheet50945.xml"/>
  <Override ContentType="application/vnd.openxmlformats-officedocument.spreadsheetml.worksheet+xml" PartName="/xl/worksheets/sheet50946.xml"/>
  <Override ContentType="application/vnd.openxmlformats-officedocument.spreadsheetml.worksheet+xml" PartName="/xl/worksheets/sheet50947.xml"/>
  <Override ContentType="application/vnd.openxmlformats-officedocument.spreadsheetml.worksheet+xml" PartName="/xl/worksheets/sheet50948.xml"/>
  <Override ContentType="application/vnd.openxmlformats-officedocument.spreadsheetml.worksheet+xml" PartName="/xl/worksheets/sheet50949.xml"/>
  <Override ContentType="application/vnd.openxmlformats-officedocument.spreadsheetml.worksheet+xml" PartName="/xl/worksheets/sheet50950.xml"/>
  <Override ContentType="application/vnd.openxmlformats-officedocument.spreadsheetml.worksheet+xml" PartName="/xl/worksheets/sheet50951.xml"/>
  <Override ContentType="application/vnd.openxmlformats-officedocument.spreadsheetml.worksheet+xml" PartName="/xl/worksheets/sheet50952.xml"/>
  <Override ContentType="application/vnd.openxmlformats-officedocument.spreadsheetml.worksheet+xml" PartName="/xl/worksheets/sheet50953.xml"/>
  <Override ContentType="application/vnd.openxmlformats-officedocument.spreadsheetml.worksheet+xml" PartName="/xl/worksheets/sheet50954.xml"/>
  <Override ContentType="application/vnd.openxmlformats-officedocument.spreadsheetml.worksheet+xml" PartName="/xl/worksheets/sheet50955.xml"/>
  <Override ContentType="application/vnd.openxmlformats-officedocument.spreadsheetml.worksheet+xml" PartName="/xl/worksheets/sheet50956.xml"/>
  <Override ContentType="application/vnd.openxmlformats-officedocument.spreadsheetml.worksheet+xml" PartName="/xl/worksheets/sheet50957.xml"/>
  <Override ContentType="application/vnd.openxmlformats-officedocument.spreadsheetml.worksheet+xml" PartName="/xl/worksheets/sheet50958.xml"/>
  <Override ContentType="application/vnd.openxmlformats-officedocument.spreadsheetml.worksheet+xml" PartName="/xl/worksheets/sheet50959.xml"/>
  <Override ContentType="application/vnd.openxmlformats-officedocument.spreadsheetml.worksheet+xml" PartName="/xl/worksheets/sheet50960.xml"/>
  <Override ContentType="application/vnd.openxmlformats-officedocument.spreadsheetml.worksheet+xml" PartName="/xl/worksheets/sheet50961.xml"/>
  <Override ContentType="application/vnd.openxmlformats-officedocument.spreadsheetml.worksheet+xml" PartName="/xl/worksheets/sheet50962.xml"/>
  <Override ContentType="application/vnd.openxmlformats-officedocument.spreadsheetml.worksheet+xml" PartName="/xl/worksheets/sheet50963.xml"/>
  <Override ContentType="application/vnd.openxmlformats-officedocument.spreadsheetml.worksheet+xml" PartName="/xl/worksheets/sheet50964.xml"/>
  <Override ContentType="application/vnd.openxmlformats-officedocument.spreadsheetml.worksheet+xml" PartName="/xl/worksheets/sheet50965.xml"/>
  <Override ContentType="application/vnd.openxmlformats-officedocument.spreadsheetml.worksheet+xml" PartName="/xl/worksheets/sheet50966.xml"/>
  <Override ContentType="application/vnd.openxmlformats-officedocument.spreadsheetml.worksheet+xml" PartName="/xl/worksheets/sheet50967.xml"/>
  <Override ContentType="application/vnd.openxmlformats-officedocument.spreadsheetml.worksheet+xml" PartName="/xl/worksheets/sheet50968.xml"/>
  <Override ContentType="application/vnd.openxmlformats-officedocument.spreadsheetml.worksheet+xml" PartName="/xl/worksheets/sheet50969.xml"/>
  <Override ContentType="application/vnd.openxmlformats-officedocument.spreadsheetml.worksheet+xml" PartName="/xl/worksheets/sheet50970.xml"/>
  <Override ContentType="application/vnd.openxmlformats-officedocument.spreadsheetml.worksheet+xml" PartName="/xl/worksheets/sheet50971.xml"/>
  <Override ContentType="application/vnd.openxmlformats-officedocument.spreadsheetml.worksheet+xml" PartName="/xl/worksheets/sheet50972.xml"/>
  <Override ContentType="application/vnd.openxmlformats-officedocument.spreadsheetml.worksheet+xml" PartName="/xl/worksheets/sheet50973.xml"/>
  <Override ContentType="application/vnd.openxmlformats-officedocument.spreadsheetml.worksheet+xml" PartName="/xl/worksheets/sheet50974.xml"/>
  <Override ContentType="application/vnd.openxmlformats-officedocument.spreadsheetml.worksheet+xml" PartName="/xl/worksheets/sheet50975.xml"/>
  <Override ContentType="application/vnd.openxmlformats-officedocument.spreadsheetml.worksheet+xml" PartName="/xl/worksheets/sheet50976.xml"/>
  <Override ContentType="application/vnd.openxmlformats-officedocument.spreadsheetml.worksheet+xml" PartName="/xl/worksheets/sheet50977.xml"/>
  <Override ContentType="application/vnd.openxmlformats-officedocument.spreadsheetml.worksheet+xml" PartName="/xl/worksheets/sheet50978.xml"/>
  <Override ContentType="application/vnd.openxmlformats-officedocument.spreadsheetml.worksheet+xml" PartName="/xl/worksheets/sheet50979.xml"/>
  <Override ContentType="application/vnd.openxmlformats-officedocument.spreadsheetml.worksheet+xml" PartName="/xl/worksheets/sheet50980.xml"/>
  <Override ContentType="application/vnd.openxmlformats-officedocument.spreadsheetml.worksheet+xml" PartName="/xl/worksheets/sheet50981.xml"/>
  <Override ContentType="application/vnd.openxmlformats-officedocument.spreadsheetml.worksheet+xml" PartName="/xl/worksheets/sheet50982.xml"/>
  <Override ContentType="application/vnd.openxmlformats-officedocument.spreadsheetml.worksheet+xml" PartName="/xl/worksheets/sheet50983.xml"/>
  <Override ContentType="application/vnd.openxmlformats-officedocument.spreadsheetml.worksheet+xml" PartName="/xl/worksheets/sheet50984.xml"/>
  <Override ContentType="application/vnd.openxmlformats-officedocument.spreadsheetml.worksheet+xml" PartName="/xl/worksheets/sheet50985.xml"/>
  <Override ContentType="application/vnd.openxmlformats-officedocument.spreadsheetml.worksheet+xml" PartName="/xl/worksheets/sheet50986.xml"/>
  <Override ContentType="application/vnd.openxmlformats-officedocument.spreadsheetml.worksheet+xml" PartName="/xl/worksheets/sheet50987.xml"/>
  <Override ContentType="application/vnd.openxmlformats-officedocument.spreadsheetml.worksheet+xml" PartName="/xl/worksheets/sheet50988.xml"/>
  <Override ContentType="application/vnd.openxmlformats-officedocument.spreadsheetml.worksheet+xml" PartName="/xl/worksheets/sheet50989.xml"/>
  <Override ContentType="application/vnd.openxmlformats-officedocument.spreadsheetml.worksheet+xml" PartName="/xl/worksheets/sheet50990.xml"/>
  <Override ContentType="application/vnd.openxmlformats-officedocument.spreadsheetml.worksheet+xml" PartName="/xl/worksheets/sheet50991.xml"/>
  <Override ContentType="application/vnd.openxmlformats-officedocument.spreadsheetml.worksheet+xml" PartName="/xl/worksheets/sheet50992.xml"/>
  <Override ContentType="application/vnd.openxmlformats-officedocument.spreadsheetml.worksheet+xml" PartName="/xl/worksheets/sheet50993.xml"/>
  <Override ContentType="application/vnd.openxmlformats-officedocument.spreadsheetml.worksheet+xml" PartName="/xl/worksheets/sheet50994.xml"/>
  <Override ContentType="application/vnd.openxmlformats-officedocument.spreadsheetml.worksheet+xml" PartName="/xl/worksheets/sheet50995.xml"/>
  <Override ContentType="application/vnd.openxmlformats-officedocument.spreadsheetml.worksheet+xml" PartName="/xl/worksheets/sheet50996.xml"/>
  <Override ContentType="application/vnd.openxmlformats-officedocument.spreadsheetml.worksheet+xml" PartName="/xl/worksheets/sheet50997.xml"/>
  <Override ContentType="application/vnd.openxmlformats-officedocument.spreadsheetml.worksheet+xml" PartName="/xl/worksheets/sheet50998.xml"/>
  <Override ContentType="application/vnd.openxmlformats-officedocument.spreadsheetml.worksheet+xml" PartName="/xl/worksheets/sheet50999.xml"/>
  <Override ContentType="application/vnd.openxmlformats-officedocument.spreadsheetml.worksheet+xml" PartName="/xl/worksheets/sheet51000.xml"/>
  <Override ContentType="application/vnd.openxmlformats-officedocument.spreadsheetml.worksheet+xml" PartName="/xl/worksheets/sheet51001.xml"/>
  <Override ContentType="application/vnd.openxmlformats-officedocument.spreadsheetml.worksheet+xml" PartName="/xl/worksheets/sheet51002.xml"/>
  <Override ContentType="application/vnd.openxmlformats-officedocument.spreadsheetml.worksheet+xml" PartName="/xl/worksheets/sheet51003.xml"/>
  <Override ContentType="application/vnd.openxmlformats-officedocument.spreadsheetml.worksheet+xml" PartName="/xl/worksheets/sheet51004.xml"/>
  <Override ContentType="application/vnd.openxmlformats-officedocument.spreadsheetml.worksheet+xml" PartName="/xl/worksheets/sheet51005.xml"/>
  <Override ContentType="application/vnd.openxmlformats-officedocument.spreadsheetml.worksheet+xml" PartName="/xl/worksheets/sheet51006.xml"/>
  <Override ContentType="application/vnd.openxmlformats-officedocument.spreadsheetml.worksheet+xml" PartName="/xl/worksheets/sheet51007.xml"/>
  <Override ContentType="application/vnd.openxmlformats-officedocument.spreadsheetml.worksheet+xml" PartName="/xl/worksheets/sheet51008.xml"/>
  <Override ContentType="application/vnd.openxmlformats-officedocument.spreadsheetml.worksheet+xml" PartName="/xl/worksheets/sheet51009.xml"/>
  <Override ContentType="application/vnd.openxmlformats-officedocument.spreadsheetml.worksheet+xml" PartName="/xl/worksheets/sheet51010.xml"/>
  <Override ContentType="application/vnd.openxmlformats-officedocument.spreadsheetml.worksheet+xml" PartName="/xl/worksheets/sheet51011.xml"/>
  <Override ContentType="application/vnd.openxmlformats-officedocument.spreadsheetml.worksheet+xml" PartName="/xl/worksheets/sheet51012.xml"/>
  <Override ContentType="application/vnd.openxmlformats-officedocument.spreadsheetml.worksheet+xml" PartName="/xl/worksheets/sheet51013.xml"/>
  <Override ContentType="application/vnd.openxmlformats-officedocument.spreadsheetml.worksheet+xml" PartName="/xl/worksheets/sheet51014.xml"/>
  <Override ContentType="application/vnd.openxmlformats-officedocument.spreadsheetml.worksheet+xml" PartName="/xl/worksheets/sheet51015.xml"/>
  <Override ContentType="application/vnd.openxmlformats-officedocument.spreadsheetml.worksheet+xml" PartName="/xl/worksheets/sheet51016.xml"/>
  <Override ContentType="application/vnd.openxmlformats-officedocument.spreadsheetml.worksheet+xml" PartName="/xl/worksheets/sheet51017.xml"/>
  <Override ContentType="application/vnd.openxmlformats-officedocument.spreadsheetml.worksheet+xml" PartName="/xl/worksheets/sheet51018.xml"/>
  <Override ContentType="application/vnd.openxmlformats-officedocument.spreadsheetml.worksheet+xml" PartName="/xl/worksheets/sheet51019.xml"/>
  <Override ContentType="application/vnd.openxmlformats-officedocument.spreadsheetml.worksheet+xml" PartName="/xl/worksheets/sheet51020.xml"/>
  <Override ContentType="application/vnd.openxmlformats-officedocument.spreadsheetml.worksheet+xml" PartName="/xl/worksheets/sheet51021.xml"/>
  <Override ContentType="application/vnd.openxmlformats-officedocument.spreadsheetml.worksheet+xml" PartName="/xl/worksheets/sheet51022.xml"/>
  <Override ContentType="application/vnd.openxmlformats-officedocument.spreadsheetml.worksheet+xml" PartName="/xl/worksheets/sheet51023.xml"/>
  <Override ContentType="application/vnd.openxmlformats-officedocument.spreadsheetml.worksheet+xml" PartName="/xl/worksheets/sheet51024.xml"/>
  <Override ContentType="application/vnd.openxmlformats-officedocument.spreadsheetml.worksheet+xml" PartName="/xl/worksheets/sheet51025.xml"/>
  <Override ContentType="application/vnd.openxmlformats-officedocument.spreadsheetml.worksheet+xml" PartName="/xl/worksheets/sheet51026.xml"/>
  <Override ContentType="application/vnd.openxmlformats-officedocument.spreadsheetml.worksheet+xml" PartName="/xl/worksheets/sheet51027.xml"/>
  <Override ContentType="application/vnd.openxmlformats-officedocument.spreadsheetml.worksheet+xml" PartName="/xl/worksheets/sheet51028.xml"/>
  <Override ContentType="application/vnd.openxmlformats-officedocument.spreadsheetml.worksheet+xml" PartName="/xl/worksheets/sheet51029.xml"/>
  <Override ContentType="application/vnd.openxmlformats-officedocument.spreadsheetml.worksheet+xml" PartName="/xl/worksheets/sheet51030.xml"/>
  <Override ContentType="application/vnd.openxmlformats-officedocument.spreadsheetml.worksheet+xml" PartName="/xl/worksheets/sheet51031.xml"/>
  <Override ContentType="application/vnd.openxmlformats-officedocument.spreadsheetml.worksheet+xml" PartName="/xl/worksheets/sheet51032.xml"/>
  <Override ContentType="application/vnd.openxmlformats-officedocument.spreadsheetml.worksheet+xml" PartName="/xl/worksheets/sheet51033.xml"/>
  <Override ContentType="application/vnd.openxmlformats-officedocument.spreadsheetml.worksheet+xml" PartName="/xl/worksheets/sheet51034.xml"/>
  <Override ContentType="application/vnd.openxmlformats-officedocument.spreadsheetml.worksheet+xml" PartName="/xl/worksheets/sheet51035.xml"/>
  <Override ContentType="application/vnd.openxmlformats-officedocument.spreadsheetml.worksheet+xml" PartName="/xl/worksheets/sheet51036.xml"/>
  <Override ContentType="application/vnd.openxmlformats-officedocument.spreadsheetml.worksheet+xml" PartName="/xl/worksheets/sheet51037.xml"/>
  <Override ContentType="application/vnd.openxmlformats-officedocument.spreadsheetml.worksheet+xml" PartName="/xl/worksheets/sheet51038.xml"/>
  <Override ContentType="application/vnd.openxmlformats-officedocument.spreadsheetml.worksheet+xml" PartName="/xl/worksheets/sheet51039.xml"/>
  <Override ContentType="application/vnd.openxmlformats-officedocument.spreadsheetml.worksheet+xml" PartName="/xl/worksheets/sheet51040.xml"/>
  <Override ContentType="application/vnd.openxmlformats-officedocument.spreadsheetml.worksheet+xml" PartName="/xl/worksheets/sheet51041.xml"/>
  <Override ContentType="application/vnd.openxmlformats-officedocument.spreadsheetml.worksheet+xml" PartName="/xl/worksheets/sheet51042.xml"/>
  <Override ContentType="application/vnd.openxmlformats-officedocument.spreadsheetml.worksheet+xml" PartName="/xl/worksheets/sheet51043.xml"/>
  <Override ContentType="application/vnd.openxmlformats-officedocument.spreadsheetml.worksheet+xml" PartName="/xl/worksheets/sheet51044.xml"/>
  <Override ContentType="application/vnd.openxmlformats-officedocument.spreadsheetml.worksheet+xml" PartName="/xl/worksheets/sheet51045.xml"/>
  <Override ContentType="application/vnd.openxmlformats-officedocument.spreadsheetml.worksheet+xml" PartName="/xl/worksheets/sheet51046.xml"/>
  <Override ContentType="application/vnd.openxmlformats-officedocument.spreadsheetml.worksheet+xml" PartName="/xl/worksheets/sheet51047.xml"/>
  <Override ContentType="application/vnd.openxmlformats-officedocument.spreadsheetml.worksheet+xml" PartName="/xl/worksheets/sheet51048.xml"/>
  <Override ContentType="application/vnd.openxmlformats-officedocument.spreadsheetml.worksheet+xml" PartName="/xl/worksheets/sheet51049.xml"/>
  <Override ContentType="application/vnd.openxmlformats-officedocument.spreadsheetml.worksheet+xml" PartName="/xl/worksheets/sheet51050.xml"/>
  <Override ContentType="application/vnd.openxmlformats-officedocument.spreadsheetml.worksheet+xml" PartName="/xl/worksheets/sheet51051.xml"/>
  <Override ContentType="application/vnd.openxmlformats-officedocument.spreadsheetml.worksheet+xml" PartName="/xl/worksheets/sheet51052.xml"/>
  <Override ContentType="application/vnd.openxmlformats-officedocument.spreadsheetml.worksheet+xml" PartName="/xl/worksheets/sheet51053.xml"/>
  <Override ContentType="application/vnd.openxmlformats-officedocument.spreadsheetml.worksheet+xml" PartName="/xl/worksheets/sheet51054.xml"/>
  <Override ContentType="application/vnd.openxmlformats-officedocument.spreadsheetml.worksheet+xml" PartName="/xl/worksheets/sheet51055.xml"/>
  <Override ContentType="application/vnd.openxmlformats-officedocument.spreadsheetml.worksheet+xml" PartName="/xl/worksheets/sheet51056.xml"/>
  <Override ContentType="application/vnd.openxmlformats-officedocument.spreadsheetml.worksheet+xml" PartName="/xl/worksheets/sheet51057.xml"/>
  <Override ContentType="application/vnd.openxmlformats-officedocument.spreadsheetml.worksheet+xml" PartName="/xl/worksheets/sheet51058.xml"/>
  <Override ContentType="application/vnd.openxmlformats-officedocument.spreadsheetml.worksheet+xml" PartName="/xl/worksheets/sheet51059.xml"/>
  <Override ContentType="application/vnd.openxmlformats-officedocument.spreadsheetml.worksheet+xml" PartName="/xl/worksheets/sheet51060.xml"/>
  <Override ContentType="application/vnd.openxmlformats-officedocument.spreadsheetml.worksheet+xml" PartName="/xl/worksheets/sheet51061.xml"/>
  <Override ContentType="application/vnd.openxmlformats-officedocument.spreadsheetml.worksheet+xml" PartName="/xl/worksheets/sheet51062.xml"/>
  <Override ContentType="application/vnd.openxmlformats-officedocument.spreadsheetml.worksheet+xml" PartName="/xl/worksheets/sheet51063.xml"/>
  <Override ContentType="application/vnd.openxmlformats-officedocument.spreadsheetml.worksheet+xml" PartName="/xl/worksheets/sheet51064.xml"/>
  <Override ContentType="application/vnd.openxmlformats-officedocument.spreadsheetml.worksheet+xml" PartName="/xl/worksheets/sheet51065.xml"/>
  <Override ContentType="application/vnd.openxmlformats-officedocument.spreadsheetml.worksheet+xml" PartName="/xl/worksheets/sheet51066.xml"/>
  <Override ContentType="application/vnd.openxmlformats-officedocument.spreadsheetml.worksheet+xml" PartName="/xl/worksheets/sheet51067.xml"/>
  <Override ContentType="application/vnd.openxmlformats-officedocument.spreadsheetml.worksheet+xml" PartName="/xl/worksheets/sheet51068.xml"/>
  <Override ContentType="application/vnd.openxmlformats-officedocument.spreadsheetml.worksheet+xml" PartName="/xl/worksheets/sheet51069.xml"/>
  <Override ContentType="application/vnd.openxmlformats-officedocument.spreadsheetml.worksheet+xml" PartName="/xl/worksheets/sheet51070.xml"/>
  <Override ContentType="application/vnd.openxmlformats-officedocument.spreadsheetml.worksheet+xml" PartName="/xl/worksheets/sheet51071.xml"/>
  <Override ContentType="application/vnd.openxmlformats-officedocument.spreadsheetml.worksheet+xml" PartName="/xl/worksheets/sheet51072.xml"/>
  <Override ContentType="application/vnd.openxmlformats-officedocument.spreadsheetml.worksheet+xml" PartName="/xl/worksheets/sheet51073.xml"/>
  <Override ContentType="application/vnd.openxmlformats-officedocument.spreadsheetml.worksheet+xml" PartName="/xl/worksheets/sheet51074.xml"/>
  <Override ContentType="application/vnd.openxmlformats-officedocument.spreadsheetml.worksheet+xml" PartName="/xl/worksheets/sheet51075.xml"/>
  <Override ContentType="application/vnd.openxmlformats-officedocument.spreadsheetml.worksheet+xml" PartName="/xl/worksheets/sheet51076.xml"/>
  <Override ContentType="application/vnd.openxmlformats-officedocument.spreadsheetml.worksheet+xml" PartName="/xl/worksheets/sheet51077.xml"/>
  <Override ContentType="application/vnd.openxmlformats-officedocument.spreadsheetml.worksheet+xml" PartName="/xl/worksheets/sheet51078.xml"/>
  <Override ContentType="application/vnd.openxmlformats-officedocument.spreadsheetml.worksheet+xml" PartName="/xl/worksheets/sheet51079.xml"/>
  <Override ContentType="application/vnd.openxmlformats-officedocument.spreadsheetml.worksheet+xml" PartName="/xl/worksheets/sheet51080.xml"/>
  <Override ContentType="application/vnd.openxmlformats-officedocument.spreadsheetml.worksheet+xml" PartName="/xl/worksheets/sheet51081.xml"/>
  <Override ContentType="application/vnd.openxmlformats-officedocument.spreadsheetml.worksheet+xml" PartName="/xl/worksheets/sheet51082.xml"/>
  <Override ContentType="application/vnd.openxmlformats-officedocument.spreadsheetml.worksheet+xml" PartName="/xl/worksheets/sheet51083.xml"/>
  <Override ContentType="application/vnd.openxmlformats-officedocument.spreadsheetml.worksheet+xml" PartName="/xl/worksheets/sheet51084.xml"/>
  <Override ContentType="application/vnd.openxmlformats-officedocument.spreadsheetml.worksheet+xml" PartName="/xl/worksheets/sheet51085.xml"/>
  <Override ContentType="application/vnd.openxmlformats-officedocument.spreadsheetml.worksheet+xml" PartName="/xl/worksheets/sheet51086.xml"/>
  <Override ContentType="application/vnd.openxmlformats-officedocument.spreadsheetml.worksheet+xml" PartName="/xl/worksheets/sheet51087.xml"/>
  <Override ContentType="application/vnd.openxmlformats-officedocument.spreadsheetml.worksheet+xml" PartName="/xl/worksheets/sheet51088.xml"/>
  <Override ContentType="application/vnd.openxmlformats-officedocument.spreadsheetml.worksheet+xml" PartName="/xl/worksheets/sheet51089.xml"/>
  <Override ContentType="application/vnd.openxmlformats-officedocument.spreadsheetml.worksheet+xml" PartName="/xl/worksheets/sheet51090.xml"/>
  <Override ContentType="application/vnd.openxmlformats-officedocument.spreadsheetml.worksheet+xml" PartName="/xl/worksheets/sheet51091.xml"/>
  <Override ContentType="application/vnd.openxmlformats-officedocument.spreadsheetml.worksheet+xml" PartName="/xl/worksheets/sheet51092.xml"/>
  <Override ContentType="application/vnd.openxmlformats-officedocument.spreadsheetml.worksheet+xml" PartName="/xl/worksheets/sheet51093.xml"/>
  <Override ContentType="application/vnd.openxmlformats-officedocument.spreadsheetml.worksheet+xml" PartName="/xl/worksheets/sheet51094.xml"/>
  <Override ContentType="application/vnd.openxmlformats-officedocument.spreadsheetml.worksheet+xml" PartName="/xl/worksheets/sheet51095.xml"/>
  <Override ContentType="application/vnd.openxmlformats-officedocument.spreadsheetml.worksheet+xml" PartName="/xl/worksheets/sheet51096.xml"/>
  <Override ContentType="application/vnd.openxmlformats-officedocument.spreadsheetml.worksheet+xml" PartName="/xl/worksheets/sheet51097.xml"/>
  <Override ContentType="application/vnd.openxmlformats-officedocument.spreadsheetml.worksheet+xml" PartName="/xl/worksheets/sheet51098.xml"/>
  <Override ContentType="application/vnd.openxmlformats-officedocument.spreadsheetml.worksheet+xml" PartName="/xl/worksheets/sheet51099.xml"/>
  <Override ContentType="application/vnd.openxmlformats-officedocument.spreadsheetml.worksheet+xml" PartName="/xl/worksheets/sheet51100.xml"/>
  <Override ContentType="application/vnd.openxmlformats-officedocument.spreadsheetml.worksheet+xml" PartName="/xl/worksheets/sheet51101.xml"/>
  <Override ContentType="application/vnd.openxmlformats-officedocument.spreadsheetml.worksheet+xml" PartName="/xl/worksheets/sheet51102.xml"/>
  <Override ContentType="application/vnd.openxmlformats-officedocument.spreadsheetml.worksheet+xml" PartName="/xl/worksheets/sheet51103.xml"/>
  <Override ContentType="application/vnd.openxmlformats-officedocument.spreadsheetml.worksheet+xml" PartName="/xl/worksheets/sheet51104.xml"/>
  <Override ContentType="application/vnd.openxmlformats-officedocument.spreadsheetml.worksheet+xml" PartName="/xl/worksheets/sheet51105.xml"/>
  <Override ContentType="application/vnd.openxmlformats-officedocument.spreadsheetml.worksheet+xml" PartName="/xl/worksheets/sheet51106.xml"/>
  <Override ContentType="application/vnd.openxmlformats-officedocument.spreadsheetml.worksheet+xml" PartName="/xl/worksheets/sheet51107.xml"/>
  <Override ContentType="application/vnd.openxmlformats-officedocument.spreadsheetml.worksheet+xml" PartName="/xl/worksheets/sheet51108.xml"/>
  <Override ContentType="application/vnd.openxmlformats-officedocument.spreadsheetml.worksheet+xml" PartName="/xl/worksheets/sheet51109.xml"/>
  <Override ContentType="application/vnd.openxmlformats-officedocument.spreadsheetml.worksheet+xml" PartName="/xl/worksheets/sheet51110.xml"/>
  <Override ContentType="application/vnd.openxmlformats-officedocument.spreadsheetml.worksheet+xml" PartName="/xl/worksheets/sheet51111.xml"/>
  <Override ContentType="application/vnd.openxmlformats-officedocument.spreadsheetml.worksheet+xml" PartName="/xl/worksheets/sheet51112.xml"/>
  <Override ContentType="application/vnd.openxmlformats-officedocument.spreadsheetml.worksheet+xml" PartName="/xl/worksheets/sheet51113.xml"/>
  <Override ContentType="application/vnd.openxmlformats-officedocument.spreadsheetml.worksheet+xml" PartName="/xl/worksheets/sheet51114.xml"/>
  <Override ContentType="application/vnd.openxmlformats-officedocument.spreadsheetml.worksheet+xml" PartName="/xl/worksheets/sheet51115.xml"/>
  <Override ContentType="application/vnd.openxmlformats-officedocument.spreadsheetml.worksheet+xml" PartName="/xl/worksheets/sheet51116.xml"/>
  <Override ContentType="application/vnd.openxmlformats-officedocument.spreadsheetml.worksheet+xml" PartName="/xl/worksheets/sheet51117.xml"/>
  <Override ContentType="application/vnd.openxmlformats-officedocument.spreadsheetml.worksheet+xml" PartName="/xl/worksheets/sheet51118.xml"/>
  <Override ContentType="application/vnd.openxmlformats-officedocument.spreadsheetml.worksheet+xml" PartName="/xl/worksheets/sheet51119.xml"/>
  <Override ContentType="application/vnd.openxmlformats-officedocument.spreadsheetml.worksheet+xml" PartName="/xl/worksheets/sheet51120.xml"/>
  <Override ContentType="application/vnd.openxmlformats-officedocument.spreadsheetml.worksheet+xml" PartName="/xl/worksheets/sheet51121.xml"/>
  <Override ContentType="application/vnd.openxmlformats-officedocument.spreadsheetml.worksheet+xml" PartName="/xl/worksheets/sheet51122.xml"/>
  <Override ContentType="application/vnd.openxmlformats-officedocument.spreadsheetml.worksheet+xml" PartName="/xl/worksheets/sheet51123.xml"/>
  <Override ContentType="application/vnd.openxmlformats-officedocument.spreadsheetml.worksheet+xml" PartName="/xl/worksheets/sheet51124.xml"/>
  <Override ContentType="application/vnd.openxmlformats-officedocument.spreadsheetml.worksheet+xml" PartName="/xl/worksheets/sheet51125.xml"/>
  <Override ContentType="application/vnd.openxmlformats-officedocument.spreadsheetml.worksheet+xml" PartName="/xl/worksheets/sheet51126.xml"/>
  <Override ContentType="application/vnd.openxmlformats-officedocument.spreadsheetml.worksheet+xml" PartName="/xl/worksheets/sheet51127.xml"/>
  <Override ContentType="application/vnd.openxmlformats-officedocument.spreadsheetml.worksheet+xml" PartName="/xl/worksheets/sheet51128.xml"/>
  <Override ContentType="application/vnd.openxmlformats-officedocument.spreadsheetml.worksheet+xml" PartName="/xl/worksheets/sheet51129.xml"/>
  <Override ContentType="application/vnd.openxmlformats-officedocument.spreadsheetml.worksheet+xml" PartName="/xl/worksheets/sheet51130.xml"/>
  <Override ContentType="application/vnd.openxmlformats-officedocument.spreadsheetml.worksheet+xml" PartName="/xl/worksheets/sheet51131.xml"/>
  <Override ContentType="application/vnd.openxmlformats-officedocument.spreadsheetml.worksheet+xml" PartName="/xl/worksheets/sheet51132.xml"/>
  <Override ContentType="application/vnd.openxmlformats-officedocument.spreadsheetml.worksheet+xml" PartName="/xl/worksheets/sheet51133.xml"/>
  <Override ContentType="application/vnd.openxmlformats-officedocument.spreadsheetml.worksheet+xml" PartName="/xl/worksheets/sheet51134.xml"/>
  <Override ContentType="application/vnd.openxmlformats-officedocument.spreadsheetml.worksheet+xml" PartName="/xl/worksheets/sheet51135.xml"/>
  <Override ContentType="application/vnd.openxmlformats-officedocument.spreadsheetml.worksheet+xml" PartName="/xl/worksheets/sheet51136.xml"/>
  <Override ContentType="application/vnd.openxmlformats-officedocument.spreadsheetml.worksheet+xml" PartName="/xl/worksheets/sheet51137.xml"/>
  <Override ContentType="application/vnd.openxmlformats-officedocument.spreadsheetml.worksheet+xml" PartName="/xl/worksheets/sheet51138.xml"/>
  <Override ContentType="application/vnd.openxmlformats-officedocument.spreadsheetml.worksheet+xml" PartName="/xl/worksheets/sheet51139.xml"/>
  <Override ContentType="application/vnd.openxmlformats-officedocument.spreadsheetml.worksheet+xml" PartName="/xl/worksheets/sheet51140.xml"/>
  <Override ContentType="application/vnd.openxmlformats-officedocument.spreadsheetml.worksheet+xml" PartName="/xl/worksheets/sheet51141.xml"/>
  <Override ContentType="application/vnd.openxmlformats-officedocument.spreadsheetml.worksheet+xml" PartName="/xl/worksheets/sheet51142.xml"/>
  <Override ContentType="application/vnd.openxmlformats-officedocument.spreadsheetml.worksheet+xml" PartName="/xl/worksheets/sheet51143.xml"/>
  <Override ContentType="application/vnd.openxmlformats-officedocument.spreadsheetml.worksheet+xml" PartName="/xl/worksheets/sheet51144.xml"/>
  <Override ContentType="application/vnd.openxmlformats-officedocument.spreadsheetml.worksheet+xml" PartName="/xl/worksheets/sheet51145.xml"/>
  <Override ContentType="application/vnd.openxmlformats-officedocument.spreadsheetml.worksheet+xml" PartName="/xl/worksheets/sheet51146.xml"/>
  <Override ContentType="application/vnd.openxmlformats-officedocument.spreadsheetml.worksheet+xml" PartName="/xl/worksheets/sheet51147.xml"/>
  <Override ContentType="application/vnd.openxmlformats-officedocument.spreadsheetml.worksheet+xml" PartName="/xl/worksheets/sheet51148.xml"/>
  <Override ContentType="application/vnd.openxmlformats-officedocument.spreadsheetml.worksheet+xml" PartName="/xl/worksheets/sheet51149.xml"/>
  <Override ContentType="application/vnd.openxmlformats-officedocument.spreadsheetml.worksheet+xml" PartName="/xl/worksheets/sheet51150.xml"/>
  <Override ContentType="application/vnd.openxmlformats-officedocument.spreadsheetml.worksheet+xml" PartName="/xl/worksheets/sheet51151.xml"/>
  <Override ContentType="application/vnd.openxmlformats-officedocument.spreadsheetml.worksheet+xml" PartName="/xl/worksheets/sheet51152.xml"/>
  <Override ContentType="application/vnd.openxmlformats-officedocument.spreadsheetml.worksheet+xml" PartName="/xl/worksheets/sheet51153.xml"/>
  <Override ContentType="application/vnd.openxmlformats-officedocument.spreadsheetml.worksheet+xml" PartName="/xl/worksheets/sheet51154.xml"/>
  <Override ContentType="application/vnd.openxmlformats-officedocument.spreadsheetml.worksheet+xml" PartName="/xl/worksheets/sheet51155.xml"/>
  <Override ContentType="application/vnd.openxmlformats-officedocument.spreadsheetml.worksheet+xml" PartName="/xl/worksheets/sheet51156.xml"/>
  <Override ContentType="application/vnd.openxmlformats-officedocument.spreadsheetml.worksheet+xml" PartName="/xl/worksheets/sheet51157.xml"/>
  <Override ContentType="application/vnd.openxmlformats-officedocument.spreadsheetml.worksheet+xml" PartName="/xl/worksheets/sheet51158.xml"/>
  <Override ContentType="application/vnd.openxmlformats-officedocument.spreadsheetml.worksheet+xml" PartName="/xl/worksheets/sheet51159.xml"/>
  <Override ContentType="application/vnd.openxmlformats-officedocument.spreadsheetml.worksheet+xml" PartName="/xl/worksheets/sheet51160.xml"/>
  <Override ContentType="application/vnd.openxmlformats-officedocument.spreadsheetml.worksheet+xml" PartName="/xl/worksheets/sheet51161.xml"/>
  <Override ContentType="application/vnd.openxmlformats-officedocument.spreadsheetml.worksheet+xml" PartName="/xl/worksheets/sheet51162.xml"/>
  <Override ContentType="application/vnd.openxmlformats-officedocument.spreadsheetml.worksheet+xml" PartName="/xl/worksheets/sheet51163.xml"/>
  <Override ContentType="application/vnd.openxmlformats-officedocument.spreadsheetml.worksheet+xml" PartName="/xl/worksheets/sheet51164.xml"/>
  <Override ContentType="application/vnd.openxmlformats-officedocument.spreadsheetml.worksheet+xml" PartName="/xl/worksheets/sheet51165.xml"/>
  <Override ContentType="application/vnd.openxmlformats-officedocument.spreadsheetml.worksheet+xml" PartName="/xl/worksheets/sheet51166.xml"/>
  <Override ContentType="application/vnd.openxmlformats-officedocument.spreadsheetml.worksheet+xml" PartName="/xl/worksheets/sheet51167.xml"/>
  <Override ContentType="application/vnd.openxmlformats-officedocument.spreadsheetml.worksheet+xml" PartName="/xl/worksheets/sheet51168.xml"/>
  <Override ContentType="application/vnd.openxmlformats-officedocument.spreadsheetml.worksheet+xml" PartName="/xl/worksheets/sheet51169.xml"/>
  <Override ContentType="application/vnd.openxmlformats-officedocument.spreadsheetml.worksheet+xml" PartName="/xl/worksheets/sheet51170.xml"/>
  <Override ContentType="application/vnd.openxmlformats-officedocument.spreadsheetml.worksheet+xml" PartName="/xl/worksheets/sheet51171.xml"/>
  <Override ContentType="application/vnd.openxmlformats-officedocument.spreadsheetml.worksheet+xml" PartName="/xl/worksheets/sheet51172.xml"/>
  <Override ContentType="application/vnd.openxmlformats-officedocument.spreadsheetml.worksheet+xml" PartName="/xl/worksheets/sheet51173.xml"/>
  <Override ContentType="application/vnd.openxmlformats-officedocument.spreadsheetml.worksheet+xml" PartName="/xl/worksheets/sheet51174.xml"/>
  <Override ContentType="application/vnd.openxmlformats-officedocument.spreadsheetml.worksheet+xml" PartName="/xl/worksheets/sheet51175.xml"/>
  <Override ContentType="application/vnd.openxmlformats-officedocument.spreadsheetml.worksheet+xml" PartName="/xl/worksheets/sheet51176.xml"/>
  <Override ContentType="application/vnd.openxmlformats-officedocument.spreadsheetml.worksheet+xml" PartName="/xl/worksheets/sheet51177.xml"/>
  <Override ContentType="application/vnd.openxmlformats-officedocument.spreadsheetml.worksheet+xml" PartName="/xl/worksheets/sheet51178.xml"/>
  <Override ContentType="application/vnd.openxmlformats-officedocument.spreadsheetml.worksheet+xml" PartName="/xl/worksheets/sheet51179.xml"/>
  <Override ContentType="application/vnd.openxmlformats-officedocument.spreadsheetml.worksheet+xml" PartName="/xl/worksheets/sheet51180.xml"/>
  <Override ContentType="application/vnd.openxmlformats-officedocument.spreadsheetml.worksheet+xml" PartName="/xl/worksheets/sheet51181.xml"/>
  <Override ContentType="application/vnd.openxmlformats-officedocument.spreadsheetml.worksheet+xml" PartName="/xl/worksheets/sheet51182.xml"/>
  <Override ContentType="application/vnd.openxmlformats-officedocument.spreadsheetml.worksheet+xml" PartName="/xl/worksheets/sheet51183.xml"/>
  <Override ContentType="application/vnd.openxmlformats-officedocument.spreadsheetml.worksheet+xml" PartName="/xl/worksheets/sheet51184.xml"/>
  <Override ContentType="application/vnd.openxmlformats-officedocument.spreadsheetml.worksheet+xml" PartName="/xl/worksheets/sheet51185.xml"/>
  <Override ContentType="application/vnd.openxmlformats-officedocument.spreadsheetml.worksheet+xml" PartName="/xl/worksheets/sheet51186.xml"/>
  <Override ContentType="application/vnd.openxmlformats-officedocument.spreadsheetml.worksheet+xml" PartName="/xl/worksheets/sheet51187.xml"/>
  <Override ContentType="application/vnd.openxmlformats-officedocument.spreadsheetml.worksheet+xml" PartName="/xl/worksheets/sheet51188.xml"/>
  <Override ContentType="application/vnd.openxmlformats-officedocument.spreadsheetml.worksheet+xml" PartName="/xl/worksheets/sheet51189.xml"/>
  <Override ContentType="application/vnd.openxmlformats-officedocument.spreadsheetml.worksheet+xml" PartName="/xl/worksheets/sheet51190.xml"/>
  <Override ContentType="application/vnd.openxmlformats-officedocument.spreadsheetml.worksheet+xml" PartName="/xl/worksheets/sheet51191.xml"/>
  <Override ContentType="application/vnd.openxmlformats-officedocument.spreadsheetml.worksheet+xml" PartName="/xl/worksheets/sheet51192.xml"/>
  <Override ContentType="application/vnd.openxmlformats-officedocument.spreadsheetml.worksheet+xml" PartName="/xl/worksheets/sheet51193.xml"/>
  <Override ContentType="application/vnd.openxmlformats-officedocument.spreadsheetml.worksheet+xml" PartName="/xl/worksheets/sheet51194.xml"/>
  <Override ContentType="application/vnd.openxmlformats-officedocument.spreadsheetml.worksheet+xml" PartName="/xl/worksheets/sheet51195.xml"/>
  <Override ContentType="application/vnd.openxmlformats-officedocument.spreadsheetml.worksheet+xml" PartName="/xl/worksheets/sheet51196.xml"/>
  <Override ContentType="application/vnd.openxmlformats-officedocument.spreadsheetml.worksheet+xml" PartName="/xl/worksheets/sheet51197.xml"/>
  <Override ContentType="application/vnd.openxmlformats-officedocument.spreadsheetml.worksheet+xml" PartName="/xl/worksheets/sheet51198.xml"/>
  <Override ContentType="application/vnd.openxmlformats-officedocument.spreadsheetml.worksheet+xml" PartName="/xl/worksheets/sheet51199.xml"/>
  <Override ContentType="application/vnd.openxmlformats-officedocument.spreadsheetml.worksheet+xml" PartName="/xl/worksheets/sheet51200.xml"/>
  <Override ContentType="application/vnd.openxmlformats-officedocument.spreadsheetml.worksheet+xml" PartName="/xl/worksheets/sheet51201.xml"/>
  <Override ContentType="application/vnd.openxmlformats-officedocument.spreadsheetml.worksheet+xml" PartName="/xl/worksheets/sheet51202.xml"/>
  <Override ContentType="application/vnd.openxmlformats-officedocument.spreadsheetml.worksheet+xml" PartName="/xl/worksheets/sheet51203.xml"/>
  <Override ContentType="application/vnd.openxmlformats-officedocument.spreadsheetml.worksheet+xml" PartName="/xl/worksheets/sheet51204.xml"/>
  <Override ContentType="application/vnd.openxmlformats-officedocument.spreadsheetml.worksheet+xml" PartName="/xl/worksheets/sheet51205.xml"/>
  <Override ContentType="application/vnd.openxmlformats-officedocument.spreadsheetml.worksheet+xml" PartName="/xl/worksheets/sheet51206.xml"/>
  <Override ContentType="application/vnd.openxmlformats-officedocument.spreadsheetml.worksheet+xml" PartName="/xl/worksheets/sheet51207.xml"/>
  <Override ContentType="application/vnd.openxmlformats-officedocument.spreadsheetml.worksheet+xml" PartName="/xl/worksheets/sheet51208.xml"/>
  <Override ContentType="application/vnd.openxmlformats-officedocument.spreadsheetml.worksheet+xml" PartName="/xl/worksheets/sheet51209.xml"/>
  <Override ContentType="application/vnd.openxmlformats-officedocument.spreadsheetml.worksheet+xml" PartName="/xl/worksheets/sheet51210.xml"/>
  <Override ContentType="application/vnd.openxmlformats-officedocument.spreadsheetml.worksheet+xml" PartName="/xl/worksheets/sheet51211.xml"/>
  <Override ContentType="application/vnd.openxmlformats-officedocument.spreadsheetml.worksheet+xml" PartName="/xl/worksheets/sheet51212.xml"/>
  <Override ContentType="application/vnd.openxmlformats-officedocument.spreadsheetml.worksheet+xml" PartName="/xl/worksheets/sheet51213.xml"/>
  <Override ContentType="application/vnd.openxmlformats-officedocument.spreadsheetml.worksheet+xml" PartName="/xl/worksheets/sheet51214.xml"/>
  <Override ContentType="application/vnd.openxmlformats-officedocument.spreadsheetml.worksheet+xml" PartName="/xl/worksheets/sheet51215.xml"/>
  <Override ContentType="application/vnd.openxmlformats-officedocument.spreadsheetml.worksheet+xml" PartName="/xl/worksheets/sheet51216.xml"/>
  <Override ContentType="application/vnd.openxmlformats-officedocument.spreadsheetml.worksheet+xml" PartName="/xl/worksheets/sheet51217.xml"/>
  <Override ContentType="application/vnd.openxmlformats-officedocument.spreadsheetml.worksheet+xml" PartName="/xl/worksheets/sheet51218.xml"/>
  <Override ContentType="application/vnd.openxmlformats-officedocument.spreadsheetml.worksheet+xml" PartName="/xl/worksheets/sheet51219.xml"/>
  <Override ContentType="application/vnd.openxmlformats-officedocument.spreadsheetml.worksheet+xml" PartName="/xl/worksheets/sheet51220.xml"/>
  <Override ContentType="application/vnd.openxmlformats-officedocument.spreadsheetml.worksheet+xml" PartName="/xl/worksheets/sheet51221.xml"/>
  <Override ContentType="application/vnd.openxmlformats-officedocument.spreadsheetml.worksheet+xml" PartName="/xl/worksheets/sheet51222.xml"/>
  <Override ContentType="application/vnd.openxmlformats-officedocument.spreadsheetml.worksheet+xml" PartName="/xl/worksheets/sheet51223.xml"/>
  <Override ContentType="application/vnd.openxmlformats-officedocument.spreadsheetml.worksheet+xml" PartName="/xl/worksheets/sheet51224.xml"/>
  <Override ContentType="application/vnd.openxmlformats-officedocument.spreadsheetml.worksheet+xml" PartName="/xl/worksheets/sheet51225.xml"/>
  <Override ContentType="application/vnd.openxmlformats-officedocument.spreadsheetml.worksheet+xml" PartName="/xl/worksheets/sheet51226.xml"/>
  <Override ContentType="application/vnd.openxmlformats-officedocument.spreadsheetml.worksheet+xml" PartName="/xl/worksheets/sheet51227.xml"/>
  <Override ContentType="application/vnd.openxmlformats-officedocument.spreadsheetml.worksheet+xml" PartName="/xl/worksheets/sheet51228.xml"/>
  <Override ContentType="application/vnd.openxmlformats-officedocument.spreadsheetml.worksheet+xml" PartName="/xl/worksheets/sheet51229.xml"/>
  <Override ContentType="application/vnd.openxmlformats-officedocument.spreadsheetml.worksheet+xml" PartName="/xl/worksheets/sheet51230.xml"/>
  <Override ContentType="application/vnd.openxmlformats-officedocument.spreadsheetml.worksheet+xml" PartName="/xl/worksheets/sheet51231.xml"/>
  <Override ContentType="application/vnd.openxmlformats-officedocument.spreadsheetml.worksheet+xml" PartName="/xl/worksheets/sheet51232.xml"/>
  <Override ContentType="application/vnd.openxmlformats-officedocument.spreadsheetml.worksheet+xml" PartName="/xl/worksheets/sheet51233.xml"/>
  <Override ContentType="application/vnd.openxmlformats-officedocument.spreadsheetml.worksheet+xml" PartName="/xl/worksheets/sheet51234.xml"/>
  <Override ContentType="application/vnd.openxmlformats-officedocument.spreadsheetml.worksheet+xml" PartName="/xl/worksheets/sheet51235.xml"/>
  <Override ContentType="application/vnd.openxmlformats-officedocument.spreadsheetml.worksheet+xml" PartName="/xl/worksheets/sheet51236.xml"/>
  <Override ContentType="application/vnd.openxmlformats-officedocument.spreadsheetml.worksheet+xml" PartName="/xl/worksheets/sheet51237.xml"/>
  <Override ContentType="application/vnd.openxmlformats-officedocument.spreadsheetml.worksheet+xml" PartName="/xl/worksheets/sheet51238.xml"/>
  <Override ContentType="application/vnd.openxmlformats-officedocument.spreadsheetml.worksheet+xml" PartName="/xl/worksheets/sheet51239.xml"/>
  <Override ContentType="application/vnd.openxmlformats-officedocument.spreadsheetml.worksheet+xml" PartName="/xl/worksheets/sheet51240.xml"/>
  <Override ContentType="application/vnd.openxmlformats-officedocument.spreadsheetml.worksheet+xml" PartName="/xl/worksheets/sheet51241.xml"/>
  <Override ContentType="application/vnd.openxmlformats-officedocument.spreadsheetml.worksheet+xml" PartName="/xl/worksheets/sheet51242.xml"/>
  <Override ContentType="application/vnd.openxmlformats-officedocument.spreadsheetml.worksheet+xml" PartName="/xl/worksheets/sheet51243.xml"/>
  <Override ContentType="application/vnd.openxmlformats-officedocument.spreadsheetml.worksheet+xml" PartName="/xl/worksheets/sheet51244.xml"/>
  <Override ContentType="application/vnd.openxmlformats-officedocument.spreadsheetml.worksheet+xml" PartName="/xl/worksheets/sheet51245.xml"/>
  <Override ContentType="application/vnd.openxmlformats-officedocument.spreadsheetml.worksheet+xml" PartName="/xl/worksheets/sheet51246.xml"/>
  <Override ContentType="application/vnd.openxmlformats-officedocument.spreadsheetml.worksheet+xml" PartName="/xl/worksheets/sheet51247.xml"/>
  <Override ContentType="application/vnd.openxmlformats-officedocument.spreadsheetml.worksheet+xml" PartName="/xl/worksheets/sheet51248.xml"/>
  <Override ContentType="application/vnd.openxmlformats-officedocument.spreadsheetml.worksheet+xml" PartName="/xl/worksheets/sheet51249.xml"/>
  <Override ContentType="application/vnd.openxmlformats-officedocument.spreadsheetml.worksheet+xml" PartName="/xl/worksheets/sheet51250.xml"/>
  <Override ContentType="application/vnd.openxmlformats-officedocument.spreadsheetml.worksheet+xml" PartName="/xl/worksheets/sheet51251.xml"/>
  <Override ContentType="application/vnd.openxmlformats-officedocument.spreadsheetml.worksheet+xml" PartName="/xl/worksheets/sheet51252.xml"/>
  <Override ContentType="application/vnd.openxmlformats-officedocument.spreadsheetml.worksheet+xml" PartName="/xl/worksheets/sheet51253.xml"/>
  <Override ContentType="application/vnd.openxmlformats-officedocument.spreadsheetml.worksheet+xml" PartName="/xl/worksheets/sheet51254.xml"/>
  <Override ContentType="application/vnd.openxmlformats-officedocument.spreadsheetml.worksheet+xml" PartName="/xl/worksheets/sheet51255.xml"/>
  <Override ContentType="application/vnd.openxmlformats-officedocument.spreadsheetml.worksheet+xml" PartName="/xl/worksheets/sheet51256.xml"/>
  <Override ContentType="application/vnd.openxmlformats-officedocument.spreadsheetml.worksheet+xml" PartName="/xl/worksheets/sheet51257.xml"/>
  <Override ContentType="application/vnd.openxmlformats-officedocument.spreadsheetml.worksheet+xml" PartName="/xl/worksheets/sheet51258.xml"/>
  <Override ContentType="application/vnd.openxmlformats-officedocument.spreadsheetml.worksheet+xml" PartName="/xl/worksheets/sheet51259.xml"/>
  <Override ContentType="application/vnd.openxmlformats-officedocument.spreadsheetml.worksheet+xml" PartName="/xl/worksheets/sheet51260.xml"/>
  <Override ContentType="application/vnd.openxmlformats-officedocument.spreadsheetml.worksheet+xml" PartName="/xl/worksheets/sheet51261.xml"/>
  <Override ContentType="application/vnd.openxmlformats-officedocument.spreadsheetml.worksheet+xml" PartName="/xl/worksheets/sheet51262.xml"/>
  <Override ContentType="application/vnd.openxmlformats-officedocument.spreadsheetml.worksheet+xml" PartName="/xl/worksheets/sheet51263.xml"/>
  <Override ContentType="application/vnd.openxmlformats-officedocument.spreadsheetml.worksheet+xml" PartName="/xl/worksheets/sheet51264.xml"/>
  <Override ContentType="application/vnd.openxmlformats-officedocument.spreadsheetml.worksheet+xml" PartName="/xl/worksheets/sheet51265.xml"/>
  <Override ContentType="application/vnd.openxmlformats-officedocument.spreadsheetml.worksheet+xml" PartName="/xl/worksheets/sheet51266.xml"/>
  <Override ContentType="application/vnd.openxmlformats-officedocument.spreadsheetml.worksheet+xml" PartName="/xl/worksheets/sheet51267.xml"/>
  <Override ContentType="application/vnd.openxmlformats-officedocument.spreadsheetml.worksheet+xml" PartName="/xl/worksheets/sheet51268.xml"/>
  <Override ContentType="application/vnd.openxmlformats-officedocument.spreadsheetml.worksheet+xml" PartName="/xl/worksheets/sheet51269.xml"/>
  <Override ContentType="application/vnd.openxmlformats-officedocument.spreadsheetml.worksheet+xml" PartName="/xl/worksheets/sheet51270.xml"/>
  <Override ContentType="application/vnd.openxmlformats-officedocument.spreadsheetml.worksheet+xml" PartName="/xl/worksheets/sheet51271.xml"/>
  <Override ContentType="application/vnd.openxmlformats-officedocument.spreadsheetml.worksheet+xml" PartName="/xl/worksheets/sheet51272.xml"/>
  <Override ContentType="application/vnd.openxmlformats-officedocument.spreadsheetml.worksheet+xml" PartName="/xl/worksheets/sheet51273.xml"/>
  <Override ContentType="application/vnd.openxmlformats-officedocument.spreadsheetml.worksheet+xml" PartName="/xl/worksheets/sheet51274.xml"/>
  <Override ContentType="application/vnd.openxmlformats-officedocument.spreadsheetml.worksheet+xml" PartName="/xl/worksheets/sheet51275.xml"/>
  <Override ContentType="application/vnd.openxmlformats-officedocument.spreadsheetml.worksheet+xml" PartName="/xl/worksheets/sheet51276.xml"/>
  <Override ContentType="application/vnd.openxmlformats-officedocument.spreadsheetml.worksheet+xml" PartName="/xl/worksheets/sheet51277.xml"/>
  <Override ContentType="application/vnd.openxmlformats-officedocument.spreadsheetml.worksheet+xml" PartName="/xl/worksheets/sheet51278.xml"/>
  <Override ContentType="application/vnd.openxmlformats-officedocument.spreadsheetml.worksheet+xml" PartName="/xl/worksheets/sheet51279.xml"/>
  <Override ContentType="application/vnd.openxmlformats-officedocument.spreadsheetml.worksheet+xml" PartName="/xl/worksheets/sheet51280.xml"/>
  <Override ContentType="application/vnd.openxmlformats-officedocument.spreadsheetml.worksheet+xml" PartName="/xl/worksheets/sheet51281.xml"/>
  <Override ContentType="application/vnd.openxmlformats-officedocument.spreadsheetml.worksheet+xml" PartName="/xl/worksheets/sheet51282.xml"/>
  <Override ContentType="application/vnd.openxmlformats-officedocument.spreadsheetml.worksheet+xml" PartName="/xl/worksheets/sheet51283.xml"/>
  <Override ContentType="application/vnd.openxmlformats-officedocument.spreadsheetml.worksheet+xml" PartName="/xl/worksheets/sheet51284.xml"/>
  <Override ContentType="application/vnd.openxmlformats-officedocument.spreadsheetml.worksheet+xml" PartName="/xl/worksheets/sheet51285.xml"/>
  <Override ContentType="application/vnd.openxmlformats-officedocument.spreadsheetml.worksheet+xml" PartName="/xl/worksheets/sheet51286.xml"/>
  <Override ContentType="application/vnd.openxmlformats-officedocument.spreadsheetml.worksheet+xml" PartName="/xl/worksheets/sheet51287.xml"/>
  <Override ContentType="application/vnd.openxmlformats-officedocument.spreadsheetml.worksheet+xml" PartName="/xl/worksheets/sheet51288.xml"/>
  <Override ContentType="application/vnd.openxmlformats-officedocument.spreadsheetml.worksheet+xml" PartName="/xl/worksheets/sheet51289.xml"/>
  <Override ContentType="application/vnd.openxmlformats-officedocument.spreadsheetml.worksheet+xml" PartName="/xl/worksheets/sheet51290.xml"/>
  <Override ContentType="application/vnd.openxmlformats-officedocument.spreadsheetml.worksheet+xml" PartName="/xl/worksheets/sheet51291.xml"/>
  <Override ContentType="application/vnd.openxmlformats-officedocument.spreadsheetml.worksheet+xml" PartName="/xl/worksheets/sheet51292.xml"/>
  <Override ContentType="application/vnd.openxmlformats-officedocument.spreadsheetml.worksheet+xml" PartName="/xl/worksheets/sheet51293.xml"/>
  <Override ContentType="application/vnd.openxmlformats-officedocument.spreadsheetml.worksheet+xml" PartName="/xl/worksheets/sheet51294.xml"/>
  <Override ContentType="application/vnd.openxmlformats-officedocument.spreadsheetml.worksheet+xml" PartName="/xl/worksheets/sheet51295.xml"/>
  <Override ContentType="application/vnd.openxmlformats-officedocument.spreadsheetml.worksheet+xml" PartName="/xl/worksheets/sheet51296.xml"/>
  <Override ContentType="application/vnd.openxmlformats-officedocument.spreadsheetml.worksheet+xml" PartName="/xl/worksheets/sheet51297.xml"/>
  <Override ContentType="application/vnd.openxmlformats-officedocument.spreadsheetml.worksheet+xml" PartName="/xl/worksheets/sheet51298.xml"/>
  <Override ContentType="application/vnd.openxmlformats-officedocument.spreadsheetml.worksheet+xml" PartName="/xl/worksheets/sheet51299.xml"/>
  <Override ContentType="application/vnd.openxmlformats-officedocument.spreadsheetml.worksheet+xml" PartName="/xl/worksheets/sheet51300.xml"/>
  <Override ContentType="application/vnd.openxmlformats-officedocument.spreadsheetml.worksheet+xml" PartName="/xl/worksheets/sheet51301.xml"/>
  <Override ContentType="application/vnd.openxmlformats-officedocument.spreadsheetml.worksheet+xml" PartName="/xl/worksheets/sheet51302.xml"/>
  <Override ContentType="application/vnd.openxmlformats-officedocument.spreadsheetml.worksheet+xml" PartName="/xl/worksheets/sheet51303.xml"/>
  <Override ContentType="application/vnd.openxmlformats-officedocument.spreadsheetml.worksheet+xml" PartName="/xl/worksheets/sheet51304.xml"/>
  <Override ContentType="application/vnd.openxmlformats-officedocument.spreadsheetml.worksheet+xml" PartName="/xl/worksheets/sheet51305.xml"/>
  <Override ContentType="application/vnd.openxmlformats-officedocument.spreadsheetml.worksheet+xml" PartName="/xl/worksheets/sheet51306.xml"/>
  <Override ContentType="application/vnd.openxmlformats-officedocument.spreadsheetml.worksheet+xml" PartName="/xl/worksheets/sheet51307.xml"/>
  <Override ContentType="application/vnd.openxmlformats-officedocument.spreadsheetml.worksheet+xml" PartName="/xl/worksheets/sheet51308.xml"/>
  <Override ContentType="application/vnd.openxmlformats-officedocument.spreadsheetml.worksheet+xml" PartName="/xl/worksheets/sheet51309.xml"/>
  <Override ContentType="application/vnd.openxmlformats-officedocument.spreadsheetml.worksheet+xml" PartName="/xl/worksheets/sheet51310.xml"/>
  <Override ContentType="application/vnd.openxmlformats-officedocument.spreadsheetml.worksheet+xml" PartName="/xl/worksheets/sheet51311.xml"/>
  <Override ContentType="application/vnd.openxmlformats-officedocument.spreadsheetml.worksheet+xml" PartName="/xl/worksheets/sheet51312.xml"/>
  <Override ContentType="application/vnd.openxmlformats-officedocument.spreadsheetml.worksheet+xml" PartName="/xl/worksheets/sheet51313.xml"/>
  <Override ContentType="application/vnd.openxmlformats-officedocument.spreadsheetml.worksheet+xml" PartName="/xl/worksheets/sheet51314.xml"/>
  <Override ContentType="application/vnd.openxmlformats-officedocument.spreadsheetml.worksheet+xml" PartName="/xl/worksheets/sheet51315.xml"/>
  <Override ContentType="application/vnd.openxmlformats-officedocument.spreadsheetml.worksheet+xml" PartName="/xl/worksheets/sheet51316.xml"/>
  <Override ContentType="application/vnd.openxmlformats-officedocument.spreadsheetml.worksheet+xml" PartName="/xl/worksheets/sheet51317.xml"/>
  <Override ContentType="application/vnd.openxmlformats-officedocument.spreadsheetml.worksheet+xml" PartName="/xl/worksheets/sheet51318.xml"/>
  <Override ContentType="application/vnd.openxmlformats-officedocument.spreadsheetml.worksheet+xml" PartName="/xl/worksheets/sheet51319.xml"/>
  <Override ContentType="application/vnd.openxmlformats-officedocument.spreadsheetml.worksheet+xml" PartName="/xl/worksheets/sheet51320.xml"/>
  <Override ContentType="application/vnd.openxmlformats-officedocument.spreadsheetml.worksheet+xml" PartName="/xl/worksheets/sheet51321.xml"/>
  <Override ContentType="application/vnd.openxmlformats-officedocument.spreadsheetml.worksheet+xml" PartName="/xl/worksheets/sheet51322.xml"/>
  <Override ContentType="application/vnd.openxmlformats-officedocument.spreadsheetml.worksheet+xml" PartName="/xl/worksheets/sheet51323.xml"/>
  <Override ContentType="application/vnd.openxmlformats-officedocument.spreadsheetml.worksheet+xml" PartName="/xl/worksheets/sheet51324.xml"/>
  <Override ContentType="application/vnd.openxmlformats-officedocument.spreadsheetml.worksheet+xml" PartName="/xl/worksheets/sheet51325.xml"/>
  <Override ContentType="application/vnd.openxmlformats-officedocument.spreadsheetml.worksheet+xml" PartName="/xl/worksheets/sheet51326.xml"/>
  <Override ContentType="application/vnd.openxmlformats-officedocument.spreadsheetml.worksheet+xml" PartName="/xl/worksheets/sheet51327.xml"/>
  <Override ContentType="application/vnd.openxmlformats-officedocument.spreadsheetml.worksheet+xml" PartName="/xl/worksheets/sheet51328.xml"/>
  <Override ContentType="application/vnd.openxmlformats-officedocument.spreadsheetml.worksheet+xml" PartName="/xl/worksheets/sheet51329.xml"/>
  <Override ContentType="application/vnd.openxmlformats-officedocument.spreadsheetml.worksheet+xml" PartName="/xl/worksheets/sheet51330.xml"/>
  <Override ContentType="application/vnd.openxmlformats-officedocument.spreadsheetml.worksheet+xml" PartName="/xl/worksheets/sheet51331.xml"/>
  <Override ContentType="application/vnd.openxmlformats-officedocument.spreadsheetml.worksheet+xml" PartName="/xl/worksheets/sheet51332.xml"/>
  <Override ContentType="application/vnd.openxmlformats-officedocument.spreadsheetml.worksheet+xml" PartName="/xl/worksheets/sheet51333.xml"/>
  <Override ContentType="application/vnd.openxmlformats-officedocument.spreadsheetml.worksheet+xml" PartName="/xl/worksheets/sheet51334.xml"/>
  <Override ContentType="application/vnd.openxmlformats-officedocument.spreadsheetml.worksheet+xml" PartName="/xl/worksheets/sheet51335.xml"/>
  <Override ContentType="application/vnd.openxmlformats-officedocument.spreadsheetml.worksheet+xml" PartName="/xl/worksheets/sheet51336.xml"/>
  <Override ContentType="application/vnd.openxmlformats-officedocument.spreadsheetml.worksheet+xml" PartName="/xl/worksheets/sheet51337.xml"/>
  <Override ContentType="application/vnd.openxmlformats-officedocument.spreadsheetml.worksheet+xml" PartName="/xl/worksheets/sheet51338.xml"/>
  <Override ContentType="application/vnd.openxmlformats-officedocument.spreadsheetml.worksheet+xml" PartName="/xl/worksheets/sheet51339.xml"/>
  <Override ContentType="application/vnd.openxmlformats-officedocument.spreadsheetml.worksheet+xml" PartName="/xl/worksheets/sheet51340.xml"/>
  <Override ContentType="application/vnd.openxmlformats-officedocument.spreadsheetml.worksheet+xml" PartName="/xl/worksheets/sheet51341.xml"/>
  <Override ContentType="application/vnd.openxmlformats-officedocument.spreadsheetml.worksheet+xml" PartName="/xl/worksheets/sheet51342.xml"/>
  <Override ContentType="application/vnd.openxmlformats-officedocument.spreadsheetml.worksheet+xml" PartName="/xl/worksheets/sheet51343.xml"/>
  <Override ContentType="application/vnd.openxmlformats-officedocument.spreadsheetml.worksheet+xml" PartName="/xl/worksheets/sheet51344.xml"/>
  <Override ContentType="application/vnd.openxmlformats-officedocument.spreadsheetml.worksheet+xml" PartName="/xl/worksheets/sheet51345.xml"/>
  <Override ContentType="application/vnd.openxmlformats-officedocument.spreadsheetml.worksheet+xml" PartName="/xl/worksheets/sheet51346.xml"/>
  <Override ContentType="application/vnd.openxmlformats-officedocument.spreadsheetml.worksheet+xml" PartName="/xl/worksheets/sheet51347.xml"/>
  <Override ContentType="application/vnd.openxmlformats-officedocument.spreadsheetml.worksheet+xml" PartName="/xl/worksheets/sheet51348.xml"/>
  <Override ContentType="application/vnd.openxmlformats-officedocument.spreadsheetml.worksheet+xml" PartName="/xl/worksheets/sheet51349.xml"/>
  <Override ContentType="application/vnd.openxmlformats-officedocument.spreadsheetml.worksheet+xml" PartName="/xl/worksheets/sheet51350.xml"/>
  <Override ContentType="application/vnd.openxmlformats-officedocument.spreadsheetml.worksheet+xml" PartName="/xl/worksheets/sheet51351.xml"/>
  <Override ContentType="application/vnd.openxmlformats-officedocument.spreadsheetml.worksheet+xml" PartName="/xl/worksheets/sheet51352.xml"/>
  <Override ContentType="application/vnd.openxmlformats-officedocument.spreadsheetml.worksheet+xml" PartName="/xl/worksheets/sheet51353.xml"/>
  <Override ContentType="application/vnd.openxmlformats-officedocument.spreadsheetml.worksheet+xml" PartName="/xl/worksheets/sheet51354.xml"/>
  <Override ContentType="application/vnd.openxmlformats-officedocument.spreadsheetml.worksheet+xml" PartName="/xl/worksheets/sheet51355.xml"/>
  <Override ContentType="application/vnd.openxmlformats-officedocument.spreadsheetml.worksheet+xml" PartName="/xl/worksheets/sheet51356.xml"/>
  <Override ContentType="application/vnd.openxmlformats-officedocument.spreadsheetml.worksheet+xml" PartName="/xl/worksheets/sheet51357.xml"/>
  <Override ContentType="application/vnd.openxmlformats-officedocument.spreadsheetml.worksheet+xml" PartName="/xl/worksheets/sheet51358.xml"/>
  <Override ContentType="application/vnd.openxmlformats-officedocument.spreadsheetml.worksheet+xml" PartName="/xl/worksheets/sheet51359.xml"/>
  <Override ContentType="application/vnd.openxmlformats-officedocument.spreadsheetml.worksheet+xml" PartName="/xl/worksheets/sheet51360.xml"/>
  <Override ContentType="application/vnd.openxmlformats-officedocument.spreadsheetml.worksheet+xml" PartName="/xl/worksheets/sheet51361.xml"/>
  <Override ContentType="application/vnd.openxmlformats-officedocument.spreadsheetml.worksheet+xml" PartName="/xl/worksheets/sheet51362.xml"/>
  <Override ContentType="application/vnd.openxmlformats-officedocument.spreadsheetml.worksheet+xml" PartName="/xl/worksheets/sheet51363.xml"/>
  <Override ContentType="application/vnd.openxmlformats-officedocument.spreadsheetml.worksheet+xml" PartName="/xl/worksheets/sheet51364.xml"/>
  <Override ContentType="application/vnd.openxmlformats-officedocument.spreadsheetml.worksheet+xml" PartName="/xl/worksheets/sheet51365.xml"/>
  <Override ContentType="application/vnd.openxmlformats-officedocument.spreadsheetml.worksheet+xml" PartName="/xl/worksheets/sheet51366.xml"/>
  <Override ContentType="application/vnd.openxmlformats-officedocument.spreadsheetml.worksheet+xml" PartName="/xl/worksheets/sheet51367.xml"/>
  <Override ContentType="application/vnd.openxmlformats-officedocument.spreadsheetml.worksheet+xml" PartName="/xl/worksheets/sheet51368.xml"/>
  <Override ContentType="application/vnd.openxmlformats-officedocument.spreadsheetml.worksheet+xml" PartName="/xl/worksheets/sheet51369.xml"/>
  <Override ContentType="application/vnd.openxmlformats-officedocument.spreadsheetml.worksheet+xml" PartName="/xl/worksheets/sheet51370.xml"/>
  <Override ContentType="application/vnd.openxmlformats-officedocument.spreadsheetml.worksheet+xml" PartName="/xl/worksheets/sheet51371.xml"/>
  <Override ContentType="application/vnd.openxmlformats-officedocument.spreadsheetml.worksheet+xml" PartName="/xl/worksheets/sheet51372.xml"/>
  <Override ContentType="application/vnd.openxmlformats-officedocument.spreadsheetml.worksheet+xml" PartName="/xl/worksheets/sheet51373.xml"/>
  <Override ContentType="application/vnd.openxmlformats-officedocument.spreadsheetml.worksheet+xml" PartName="/xl/worksheets/sheet51374.xml"/>
  <Override ContentType="application/vnd.openxmlformats-officedocument.spreadsheetml.worksheet+xml" PartName="/xl/worksheets/sheet51375.xml"/>
  <Override ContentType="application/vnd.openxmlformats-officedocument.spreadsheetml.worksheet+xml" PartName="/xl/worksheets/sheet51376.xml"/>
  <Override ContentType="application/vnd.openxmlformats-officedocument.spreadsheetml.worksheet+xml" PartName="/xl/worksheets/sheet51377.xml"/>
  <Override ContentType="application/vnd.openxmlformats-officedocument.spreadsheetml.worksheet+xml" PartName="/xl/worksheets/sheet51378.xml"/>
  <Override ContentType="application/vnd.openxmlformats-officedocument.spreadsheetml.worksheet+xml" PartName="/xl/worksheets/sheet51379.xml"/>
  <Override ContentType="application/vnd.openxmlformats-officedocument.spreadsheetml.worksheet+xml" PartName="/xl/worksheets/sheet51380.xml"/>
  <Override ContentType="application/vnd.openxmlformats-officedocument.spreadsheetml.worksheet+xml" PartName="/xl/worksheets/sheet51381.xml"/>
  <Override ContentType="application/vnd.openxmlformats-officedocument.spreadsheetml.worksheet+xml" PartName="/xl/worksheets/sheet51382.xml"/>
  <Override ContentType="application/vnd.openxmlformats-officedocument.spreadsheetml.worksheet+xml" PartName="/xl/worksheets/sheet51383.xml"/>
  <Override ContentType="application/vnd.openxmlformats-officedocument.spreadsheetml.worksheet+xml" PartName="/xl/worksheets/sheet51384.xml"/>
  <Override ContentType="application/vnd.openxmlformats-officedocument.spreadsheetml.worksheet+xml" PartName="/xl/worksheets/sheet51385.xml"/>
  <Override ContentType="application/vnd.openxmlformats-officedocument.spreadsheetml.worksheet+xml" PartName="/xl/worksheets/sheet51386.xml"/>
  <Override ContentType="application/vnd.openxmlformats-officedocument.spreadsheetml.worksheet+xml" PartName="/xl/worksheets/sheet51387.xml"/>
  <Override ContentType="application/vnd.openxmlformats-officedocument.spreadsheetml.worksheet+xml" PartName="/xl/worksheets/sheet51388.xml"/>
  <Override ContentType="application/vnd.openxmlformats-officedocument.spreadsheetml.worksheet+xml" PartName="/xl/worksheets/sheet51389.xml"/>
  <Override ContentType="application/vnd.openxmlformats-officedocument.spreadsheetml.worksheet+xml" PartName="/xl/worksheets/sheet51390.xml"/>
  <Override ContentType="application/vnd.openxmlformats-officedocument.spreadsheetml.worksheet+xml" PartName="/xl/worksheets/sheet51391.xml"/>
  <Override ContentType="application/vnd.openxmlformats-officedocument.spreadsheetml.worksheet+xml" PartName="/xl/worksheets/sheet51392.xml"/>
  <Override ContentType="application/vnd.openxmlformats-officedocument.spreadsheetml.worksheet+xml" PartName="/xl/worksheets/sheet51393.xml"/>
  <Override ContentType="application/vnd.openxmlformats-officedocument.spreadsheetml.worksheet+xml" PartName="/xl/worksheets/sheet51394.xml"/>
  <Override ContentType="application/vnd.openxmlformats-officedocument.spreadsheetml.worksheet+xml" PartName="/xl/worksheets/sheet51395.xml"/>
  <Override ContentType="application/vnd.openxmlformats-officedocument.spreadsheetml.worksheet+xml" PartName="/xl/worksheets/sheet51396.xml"/>
  <Override ContentType="application/vnd.openxmlformats-officedocument.spreadsheetml.worksheet+xml" PartName="/xl/worksheets/sheet51397.xml"/>
  <Override ContentType="application/vnd.openxmlformats-officedocument.spreadsheetml.worksheet+xml" PartName="/xl/worksheets/sheet51398.xml"/>
  <Override ContentType="application/vnd.openxmlformats-officedocument.spreadsheetml.worksheet+xml" PartName="/xl/worksheets/sheet51399.xml"/>
  <Override ContentType="application/vnd.openxmlformats-officedocument.spreadsheetml.worksheet+xml" PartName="/xl/worksheets/sheet51400.xml"/>
  <Override ContentType="application/vnd.openxmlformats-officedocument.spreadsheetml.worksheet+xml" PartName="/xl/worksheets/sheet51401.xml"/>
  <Override ContentType="application/vnd.openxmlformats-officedocument.spreadsheetml.worksheet+xml" PartName="/xl/worksheets/sheet51402.xml"/>
  <Override ContentType="application/vnd.openxmlformats-officedocument.spreadsheetml.worksheet+xml" PartName="/xl/worksheets/sheet51403.xml"/>
  <Override ContentType="application/vnd.openxmlformats-officedocument.spreadsheetml.worksheet+xml" PartName="/xl/worksheets/sheet51404.xml"/>
  <Override ContentType="application/vnd.openxmlformats-officedocument.spreadsheetml.worksheet+xml" PartName="/xl/worksheets/sheet51405.xml"/>
  <Override ContentType="application/vnd.openxmlformats-officedocument.spreadsheetml.worksheet+xml" PartName="/xl/worksheets/sheet51406.xml"/>
  <Override ContentType="application/vnd.openxmlformats-officedocument.spreadsheetml.worksheet+xml" PartName="/xl/worksheets/sheet51407.xml"/>
  <Override ContentType="application/vnd.openxmlformats-officedocument.spreadsheetml.worksheet+xml" PartName="/xl/worksheets/sheet51408.xml"/>
  <Override ContentType="application/vnd.openxmlformats-officedocument.spreadsheetml.worksheet+xml" PartName="/xl/worksheets/sheet51409.xml"/>
  <Override ContentType="application/vnd.openxmlformats-officedocument.spreadsheetml.worksheet+xml" PartName="/xl/worksheets/sheet51410.xml"/>
  <Override ContentType="application/vnd.openxmlformats-officedocument.spreadsheetml.worksheet+xml" PartName="/xl/worksheets/sheet51411.xml"/>
  <Override ContentType="application/vnd.openxmlformats-officedocument.spreadsheetml.worksheet+xml" PartName="/xl/worksheets/sheet51412.xml"/>
  <Override ContentType="application/vnd.openxmlformats-officedocument.spreadsheetml.worksheet+xml" PartName="/xl/worksheets/sheet51413.xml"/>
  <Override ContentType="application/vnd.openxmlformats-officedocument.spreadsheetml.worksheet+xml" PartName="/xl/worksheets/sheet51414.xml"/>
  <Override ContentType="application/vnd.openxmlformats-officedocument.spreadsheetml.worksheet+xml" PartName="/xl/worksheets/sheet51415.xml"/>
  <Override ContentType="application/vnd.openxmlformats-officedocument.spreadsheetml.worksheet+xml" PartName="/xl/worksheets/sheet51416.xml"/>
  <Override ContentType="application/vnd.openxmlformats-officedocument.spreadsheetml.worksheet+xml" PartName="/xl/worksheets/sheet51417.xml"/>
  <Override ContentType="application/vnd.openxmlformats-officedocument.spreadsheetml.worksheet+xml" PartName="/xl/worksheets/sheet51418.xml"/>
  <Override ContentType="application/vnd.openxmlformats-officedocument.spreadsheetml.worksheet+xml" PartName="/xl/worksheets/sheet51419.xml"/>
  <Override ContentType="application/vnd.openxmlformats-officedocument.spreadsheetml.worksheet+xml" PartName="/xl/worksheets/sheet51420.xml"/>
  <Override ContentType="application/vnd.openxmlformats-officedocument.spreadsheetml.worksheet+xml" PartName="/xl/worksheets/sheet51421.xml"/>
  <Override ContentType="application/vnd.openxmlformats-officedocument.spreadsheetml.worksheet+xml" PartName="/xl/worksheets/sheet51422.xml"/>
  <Override ContentType="application/vnd.openxmlformats-officedocument.spreadsheetml.worksheet+xml" PartName="/xl/worksheets/sheet51423.xml"/>
  <Override ContentType="application/vnd.openxmlformats-officedocument.spreadsheetml.worksheet+xml" PartName="/xl/worksheets/sheet51424.xml"/>
  <Override ContentType="application/vnd.openxmlformats-officedocument.spreadsheetml.worksheet+xml" PartName="/xl/worksheets/sheet51425.xml"/>
  <Override ContentType="application/vnd.openxmlformats-officedocument.spreadsheetml.worksheet+xml" PartName="/xl/worksheets/sheet51426.xml"/>
  <Override ContentType="application/vnd.openxmlformats-officedocument.spreadsheetml.worksheet+xml" PartName="/xl/worksheets/sheet51427.xml"/>
  <Override ContentType="application/vnd.openxmlformats-officedocument.spreadsheetml.worksheet+xml" PartName="/xl/worksheets/sheet51428.xml"/>
  <Override ContentType="application/vnd.openxmlformats-officedocument.spreadsheetml.worksheet+xml" PartName="/xl/worksheets/sheet51429.xml"/>
  <Override ContentType="application/vnd.openxmlformats-officedocument.spreadsheetml.worksheet+xml" PartName="/xl/worksheets/sheet51430.xml"/>
  <Override ContentType="application/vnd.openxmlformats-officedocument.spreadsheetml.worksheet+xml" PartName="/xl/worksheets/sheet51431.xml"/>
  <Override ContentType="application/vnd.openxmlformats-officedocument.spreadsheetml.worksheet+xml" PartName="/xl/worksheets/sheet51432.xml"/>
  <Override ContentType="application/vnd.openxmlformats-officedocument.spreadsheetml.worksheet+xml" PartName="/xl/worksheets/sheet51433.xml"/>
  <Override ContentType="application/vnd.openxmlformats-officedocument.spreadsheetml.worksheet+xml" PartName="/xl/worksheets/sheet51434.xml"/>
  <Override ContentType="application/vnd.openxmlformats-officedocument.spreadsheetml.worksheet+xml" PartName="/xl/worksheets/sheet51435.xml"/>
  <Override ContentType="application/vnd.openxmlformats-officedocument.spreadsheetml.worksheet+xml" PartName="/xl/worksheets/sheet51436.xml"/>
  <Override ContentType="application/vnd.openxmlformats-officedocument.spreadsheetml.worksheet+xml" PartName="/xl/worksheets/sheet51437.xml"/>
  <Override ContentType="application/vnd.openxmlformats-officedocument.spreadsheetml.worksheet+xml" PartName="/xl/worksheets/sheet51438.xml"/>
  <Override ContentType="application/vnd.openxmlformats-officedocument.spreadsheetml.worksheet+xml" PartName="/xl/worksheets/sheet51439.xml"/>
  <Override ContentType="application/vnd.openxmlformats-officedocument.spreadsheetml.worksheet+xml" PartName="/xl/worksheets/sheet51440.xml"/>
  <Override ContentType="application/vnd.openxmlformats-officedocument.spreadsheetml.worksheet+xml" PartName="/xl/worksheets/sheet51441.xml"/>
  <Override ContentType="application/vnd.openxmlformats-officedocument.spreadsheetml.worksheet+xml" PartName="/xl/worksheets/sheet51442.xml"/>
  <Override ContentType="application/vnd.openxmlformats-officedocument.spreadsheetml.worksheet+xml" PartName="/xl/worksheets/sheet51443.xml"/>
  <Override ContentType="application/vnd.openxmlformats-officedocument.spreadsheetml.worksheet+xml" PartName="/xl/worksheets/sheet51444.xml"/>
  <Override ContentType="application/vnd.openxmlformats-officedocument.spreadsheetml.worksheet+xml" PartName="/xl/worksheets/sheet51445.xml"/>
  <Override ContentType="application/vnd.openxmlformats-officedocument.spreadsheetml.worksheet+xml" PartName="/xl/worksheets/sheet51446.xml"/>
  <Override ContentType="application/vnd.openxmlformats-officedocument.spreadsheetml.worksheet+xml" PartName="/xl/worksheets/sheet51447.xml"/>
  <Override ContentType="application/vnd.openxmlformats-officedocument.spreadsheetml.worksheet+xml" PartName="/xl/worksheets/sheet51448.xml"/>
  <Override ContentType="application/vnd.openxmlformats-officedocument.spreadsheetml.worksheet+xml" PartName="/xl/worksheets/sheet51449.xml"/>
  <Override ContentType="application/vnd.openxmlformats-officedocument.spreadsheetml.worksheet+xml" PartName="/xl/worksheets/sheet51450.xml"/>
  <Override ContentType="application/vnd.openxmlformats-officedocument.spreadsheetml.worksheet+xml" PartName="/xl/worksheets/sheet51451.xml"/>
  <Override ContentType="application/vnd.openxmlformats-officedocument.spreadsheetml.worksheet+xml" PartName="/xl/worksheets/sheet51452.xml"/>
  <Override ContentType="application/vnd.openxmlformats-officedocument.spreadsheetml.worksheet+xml" PartName="/xl/worksheets/sheet51453.xml"/>
  <Override ContentType="application/vnd.openxmlformats-officedocument.spreadsheetml.worksheet+xml" PartName="/xl/worksheets/sheet51454.xml"/>
  <Override ContentType="application/vnd.openxmlformats-officedocument.spreadsheetml.worksheet+xml" PartName="/xl/worksheets/sheet51455.xml"/>
  <Override ContentType="application/vnd.openxmlformats-officedocument.spreadsheetml.worksheet+xml" PartName="/xl/worksheets/sheet51456.xml"/>
  <Override ContentType="application/vnd.openxmlformats-officedocument.spreadsheetml.worksheet+xml" PartName="/xl/worksheets/sheet51457.xml"/>
  <Override ContentType="application/vnd.openxmlformats-officedocument.spreadsheetml.worksheet+xml" PartName="/xl/worksheets/sheet51458.xml"/>
  <Override ContentType="application/vnd.openxmlformats-officedocument.spreadsheetml.worksheet+xml" PartName="/xl/worksheets/sheet51459.xml"/>
  <Override ContentType="application/vnd.openxmlformats-officedocument.spreadsheetml.worksheet+xml" PartName="/xl/worksheets/sheet51460.xml"/>
  <Override ContentType="application/vnd.openxmlformats-officedocument.spreadsheetml.worksheet+xml" PartName="/xl/worksheets/sheet51461.xml"/>
  <Override ContentType="application/vnd.openxmlformats-officedocument.spreadsheetml.worksheet+xml" PartName="/xl/worksheets/sheet51462.xml"/>
  <Override ContentType="application/vnd.openxmlformats-officedocument.spreadsheetml.worksheet+xml" PartName="/xl/worksheets/sheet51463.xml"/>
  <Override ContentType="application/vnd.openxmlformats-officedocument.spreadsheetml.worksheet+xml" PartName="/xl/worksheets/sheet51464.xml"/>
  <Override ContentType="application/vnd.openxmlformats-officedocument.spreadsheetml.worksheet+xml" PartName="/xl/worksheets/sheet51465.xml"/>
  <Override ContentType="application/vnd.openxmlformats-officedocument.spreadsheetml.worksheet+xml" PartName="/xl/worksheets/sheet51466.xml"/>
  <Override ContentType="application/vnd.openxmlformats-officedocument.spreadsheetml.worksheet+xml" PartName="/xl/worksheets/sheet51467.xml"/>
  <Override ContentType="application/vnd.openxmlformats-officedocument.spreadsheetml.worksheet+xml" PartName="/xl/worksheets/sheet51468.xml"/>
  <Override ContentType="application/vnd.openxmlformats-officedocument.spreadsheetml.worksheet+xml" PartName="/xl/worksheets/sheet51469.xml"/>
  <Override ContentType="application/vnd.openxmlformats-officedocument.spreadsheetml.worksheet+xml" PartName="/xl/worksheets/sheet51470.xml"/>
  <Override ContentType="application/vnd.openxmlformats-officedocument.spreadsheetml.worksheet+xml" PartName="/xl/worksheets/sheet51471.xml"/>
  <Override ContentType="application/vnd.openxmlformats-officedocument.spreadsheetml.worksheet+xml" PartName="/xl/worksheets/sheet51472.xml"/>
  <Override ContentType="application/vnd.openxmlformats-officedocument.spreadsheetml.worksheet+xml" PartName="/xl/worksheets/sheet51473.xml"/>
  <Override ContentType="application/vnd.openxmlformats-officedocument.spreadsheetml.worksheet+xml" PartName="/xl/worksheets/sheet51474.xml"/>
  <Override ContentType="application/vnd.openxmlformats-officedocument.spreadsheetml.worksheet+xml" PartName="/xl/worksheets/sheet51475.xml"/>
  <Override ContentType="application/vnd.openxmlformats-officedocument.spreadsheetml.worksheet+xml" PartName="/xl/worksheets/sheet51476.xml"/>
  <Override ContentType="application/vnd.openxmlformats-officedocument.spreadsheetml.worksheet+xml" PartName="/xl/worksheets/sheet51477.xml"/>
  <Override ContentType="application/vnd.openxmlformats-officedocument.spreadsheetml.worksheet+xml" PartName="/xl/worksheets/sheet51478.xml"/>
  <Override ContentType="application/vnd.openxmlformats-officedocument.spreadsheetml.worksheet+xml" PartName="/xl/worksheets/sheet51479.xml"/>
  <Override ContentType="application/vnd.openxmlformats-officedocument.spreadsheetml.worksheet+xml" PartName="/xl/worksheets/sheet51480.xml"/>
  <Override ContentType="application/vnd.openxmlformats-officedocument.spreadsheetml.worksheet+xml" PartName="/xl/worksheets/sheet51481.xml"/>
  <Override ContentType="application/vnd.openxmlformats-officedocument.spreadsheetml.worksheet+xml" PartName="/xl/worksheets/sheet51482.xml"/>
  <Override ContentType="application/vnd.openxmlformats-officedocument.spreadsheetml.worksheet+xml" PartName="/xl/worksheets/sheet51483.xml"/>
  <Override ContentType="application/vnd.openxmlformats-officedocument.spreadsheetml.worksheet+xml" PartName="/xl/worksheets/sheet51484.xml"/>
  <Override ContentType="application/vnd.openxmlformats-officedocument.spreadsheetml.worksheet+xml" PartName="/xl/worksheets/sheet51485.xml"/>
  <Override ContentType="application/vnd.openxmlformats-officedocument.spreadsheetml.worksheet+xml" PartName="/xl/worksheets/sheet51486.xml"/>
  <Override ContentType="application/vnd.openxmlformats-officedocument.spreadsheetml.worksheet+xml" PartName="/xl/worksheets/sheet51487.xml"/>
  <Override ContentType="application/vnd.openxmlformats-officedocument.spreadsheetml.worksheet+xml" PartName="/xl/worksheets/sheet51488.xml"/>
  <Override ContentType="application/vnd.openxmlformats-officedocument.spreadsheetml.worksheet+xml" PartName="/xl/worksheets/sheet51489.xml"/>
  <Override ContentType="application/vnd.openxmlformats-officedocument.spreadsheetml.worksheet+xml" PartName="/xl/worksheets/sheet51490.xml"/>
  <Override ContentType="application/vnd.openxmlformats-officedocument.spreadsheetml.worksheet+xml" PartName="/xl/worksheets/sheet51491.xml"/>
  <Override ContentType="application/vnd.openxmlformats-officedocument.spreadsheetml.worksheet+xml" PartName="/xl/worksheets/sheet51492.xml"/>
  <Override ContentType="application/vnd.openxmlformats-officedocument.spreadsheetml.worksheet+xml" PartName="/xl/worksheets/sheet51493.xml"/>
  <Override ContentType="application/vnd.openxmlformats-officedocument.spreadsheetml.worksheet+xml" PartName="/xl/worksheets/sheet51494.xml"/>
  <Override ContentType="application/vnd.openxmlformats-officedocument.spreadsheetml.worksheet+xml" PartName="/xl/worksheets/sheet51495.xml"/>
  <Override ContentType="application/vnd.openxmlformats-officedocument.spreadsheetml.worksheet+xml" PartName="/xl/worksheets/sheet51496.xml"/>
  <Override ContentType="application/vnd.openxmlformats-officedocument.spreadsheetml.worksheet+xml" PartName="/xl/worksheets/sheet51497.xml"/>
  <Override ContentType="application/vnd.openxmlformats-officedocument.spreadsheetml.worksheet+xml" PartName="/xl/worksheets/sheet51498.xml"/>
  <Override ContentType="application/vnd.openxmlformats-officedocument.spreadsheetml.worksheet+xml" PartName="/xl/worksheets/sheet51499.xml"/>
  <Override ContentType="application/vnd.openxmlformats-officedocument.spreadsheetml.worksheet+xml" PartName="/xl/worksheets/sheet51500.xml"/>
  <Override ContentType="application/vnd.openxmlformats-officedocument.spreadsheetml.worksheet+xml" PartName="/xl/worksheets/sheet51501.xml"/>
  <Override ContentType="application/vnd.openxmlformats-officedocument.spreadsheetml.worksheet+xml" PartName="/xl/worksheets/sheet51502.xml"/>
  <Override ContentType="application/vnd.openxmlformats-officedocument.spreadsheetml.worksheet+xml" PartName="/xl/worksheets/sheet51503.xml"/>
  <Override ContentType="application/vnd.openxmlformats-officedocument.spreadsheetml.worksheet+xml" PartName="/xl/worksheets/sheet51504.xml"/>
  <Override ContentType="application/vnd.openxmlformats-officedocument.spreadsheetml.worksheet+xml" PartName="/xl/worksheets/sheet51505.xml"/>
  <Override ContentType="application/vnd.openxmlformats-officedocument.spreadsheetml.worksheet+xml" PartName="/xl/worksheets/sheet51506.xml"/>
  <Override ContentType="application/vnd.openxmlformats-officedocument.spreadsheetml.worksheet+xml" PartName="/xl/worksheets/sheet51507.xml"/>
  <Override ContentType="application/vnd.openxmlformats-officedocument.spreadsheetml.worksheet+xml" PartName="/xl/worksheets/sheet51508.xml"/>
  <Override ContentType="application/vnd.openxmlformats-officedocument.spreadsheetml.worksheet+xml" PartName="/xl/worksheets/sheet51509.xml"/>
  <Override ContentType="application/vnd.openxmlformats-officedocument.spreadsheetml.worksheet+xml" PartName="/xl/worksheets/sheet51510.xml"/>
  <Override ContentType="application/vnd.openxmlformats-officedocument.spreadsheetml.worksheet+xml" PartName="/xl/worksheets/sheet51511.xml"/>
  <Override ContentType="application/vnd.openxmlformats-officedocument.spreadsheetml.worksheet+xml" PartName="/xl/worksheets/sheet51512.xml"/>
  <Override ContentType="application/vnd.openxmlformats-officedocument.spreadsheetml.worksheet+xml" PartName="/xl/worksheets/sheet51513.xml"/>
  <Override ContentType="application/vnd.openxmlformats-officedocument.spreadsheetml.worksheet+xml" PartName="/xl/worksheets/sheet51514.xml"/>
  <Override ContentType="application/vnd.openxmlformats-officedocument.spreadsheetml.worksheet+xml" PartName="/xl/worksheets/sheet51515.xml"/>
  <Override ContentType="application/vnd.openxmlformats-officedocument.spreadsheetml.worksheet+xml" PartName="/xl/worksheets/sheet51516.xml"/>
  <Override ContentType="application/vnd.openxmlformats-officedocument.spreadsheetml.worksheet+xml" PartName="/xl/worksheets/sheet51517.xml"/>
  <Override ContentType="application/vnd.openxmlformats-officedocument.spreadsheetml.worksheet+xml" PartName="/xl/worksheets/sheet51518.xml"/>
  <Override ContentType="application/vnd.openxmlformats-officedocument.spreadsheetml.worksheet+xml" PartName="/xl/worksheets/sheet51519.xml"/>
  <Override ContentType="application/vnd.openxmlformats-officedocument.spreadsheetml.worksheet+xml" PartName="/xl/worksheets/sheet51520.xml"/>
  <Override ContentType="application/vnd.openxmlformats-officedocument.spreadsheetml.worksheet+xml" PartName="/xl/worksheets/sheet51521.xml"/>
  <Override ContentType="application/vnd.openxmlformats-officedocument.spreadsheetml.worksheet+xml" PartName="/xl/worksheets/sheet51522.xml"/>
  <Override ContentType="application/vnd.openxmlformats-officedocument.spreadsheetml.worksheet+xml" PartName="/xl/worksheets/sheet51523.xml"/>
  <Override ContentType="application/vnd.openxmlformats-officedocument.spreadsheetml.worksheet+xml" PartName="/xl/worksheets/sheet51524.xml"/>
  <Override ContentType="application/vnd.openxmlformats-officedocument.spreadsheetml.worksheet+xml" PartName="/xl/worksheets/sheet51525.xml"/>
  <Override ContentType="application/vnd.openxmlformats-officedocument.spreadsheetml.worksheet+xml" PartName="/xl/worksheets/sheet51526.xml"/>
  <Override ContentType="application/vnd.openxmlformats-officedocument.spreadsheetml.worksheet+xml" PartName="/xl/worksheets/sheet51527.xml"/>
  <Override ContentType="application/vnd.openxmlformats-officedocument.spreadsheetml.worksheet+xml" PartName="/xl/worksheets/sheet51528.xml"/>
  <Override ContentType="application/vnd.openxmlformats-officedocument.spreadsheetml.worksheet+xml" PartName="/xl/worksheets/sheet51529.xml"/>
  <Override ContentType="application/vnd.openxmlformats-officedocument.spreadsheetml.worksheet+xml" PartName="/xl/worksheets/sheet51530.xml"/>
  <Override ContentType="application/vnd.openxmlformats-officedocument.spreadsheetml.worksheet+xml" PartName="/xl/worksheets/sheet51531.xml"/>
  <Override ContentType="application/vnd.openxmlformats-officedocument.spreadsheetml.worksheet+xml" PartName="/xl/worksheets/sheet51532.xml"/>
  <Override ContentType="application/vnd.openxmlformats-officedocument.spreadsheetml.worksheet+xml" PartName="/xl/worksheets/sheet51533.xml"/>
  <Override ContentType="application/vnd.openxmlformats-officedocument.spreadsheetml.worksheet+xml" PartName="/xl/worksheets/sheet51534.xml"/>
  <Override ContentType="application/vnd.openxmlformats-officedocument.spreadsheetml.worksheet+xml" PartName="/xl/worksheets/sheet51535.xml"/>
  <Override ContentType="application/vnd.openxmlformats-officedocument.spreadsheetml.worksheet+xml" PartName="/xl/worksheets/sheet51536.xml"/>
  <Override ContentType="application/vnd.openxmlformats-officedocument.spreadsheetml.worksheet+xml" PartName="/xl/worksheets/sheet51537.xml"/>
  <Override ContentType="application/vnd.openxmlformats-officedocument.spreadsheetml.worksheet+xml" PartName="/xl/worksheets/sheet51538.xml"/>
  <Override ContentType="application/vnd.openxmlformats-officedocument.spreadsheetml.worksheet+xml" PartName="/xl/worksheets/sheet51539.xml"/>
  <Override ContentType="application/vnd.openxmlformats-officedocument.spreadsheetml.worksheet+xml" PartName="/xl/worksheets/sheet51540.xml"/>
  <Override ContentType="application/vnd.openxmlformats-officedocument.spreadsheetml.worksheet+xml" PartName="/xl/worksheets/sheet51541.xml"/>
  <Override ContentType="application/vnd.openxmlformats-officedocument.spreadsheetml.worksheet+xml" PartName="/xl/worksheets/sheet51542.xml"/>
  <Override ContentType="application/vnd.openxmlformats-officedocument.spreadsheetml.worksheet+xml" PartName="/xl/worksheets/sheet51543.xml"/>
  <Override ContentType="application/vnd.openxmlformats-officedocument.spreadsheetml.worksheet+xml" PartName="/xl/worksheets/sheet51544.xml"/>
  <Override ContentType="application/vnd.openxmlformats-officedocument.spreadsheetml.worksheet+xml" PartName="/xl/worksheets/sheet51545.xml"/>
  <Override ContentType="application/vnd.openxmlformats-officedocument.spreadsheetml.worksheet+xml" PartName="/xl/worksheets/sheet51546.xml"/>
  <Override ContentType="application/vnd.openxmlformats-officedocument.spreadsheetml.worksheet+xml" PartName="/xl/worksheets/sheet51547.xml"/>
  <Override ContentType="application/vnd.openxmlformats-officedocument.spreadsheetml.worksheet+xml" PartName="/xl/worksheets/sheet51548.xml"/>
  <Override ContentType="application/vnd.openxmlformats-officedocument.spreadsheetml.worksheet+xml" PartName="/xl/worksheets/sheet51549.xml"/>
  <Override ContentType="application/vnd.openxmlformats-officedocument.spreadsheetml.worksheet+xml" PartName="/xl/worksheets/sheet51550.xml"/>
  <Override ContentType="application/vnd.openxmlformats-officedocument.spreadsheetml.worksheet+xml" PartName="/xl/worksheets/sheet51551.xml"/>
  <Override ContentType="application/vnd.openxmlformats-officedocument.spreadsheetml.worksheet+xml" PartName="/xl/worksheets/sheet51552.xml"/>
  <Override ContentType="application/vnd.openxmlformats-officedocument.spreadsheetml.worksheet+xml" PartName="/xl/worksheets/sheet51553.xml"/>
  <Override ContentType="application/vnd.openxmlformats-officedocument.spreadsheetml.worksheet+xml" PartName="/xl/worksheets/sheet51554.xml"/>
  <Override ContentType="application/vnd.openxmlformats-officedocument.spreadsheetml.worksheet+xml" PartName="/xl/worksheets/sheet51555.xml"/>
  <Override ContentType="application/vnd.openxmlformats-officedocument.spreadsheetml.worksheet+xml" PartName="/xl/worksheets/sheet51556.xml"/>
  <Override ContentType="application/vnd.openxmlformats-officedocument.spreadsheetml.worksheet+xml" PartName="/xl/worksheets/sheet51557.xml"/>
  <Override ContentType="application/vnd.openxmlformats-officedocument.spreadsheetml.worksheet+xml" PartName="/xl/worksheets/sheet51558.xml"/>
  <Override ContentType="application/vnd.openxmlformats-officedocument.spreadsheetml.worksheet+xml" PartName="/xl/worksheets/sheet51559.xml"/>
  <Override ContentType="application/vnd.openxmlformats-officedocument.spreadsheetml.worksheet+xml" PartName="/xl/worksheets/sheet51560.xml"/>
  <Override ContentType="application/vnd.openxmlformats-officedocument.spreadsheetml.worksheet+xml" PartName="/xl/worksheets/sheet51561.xml"/>
  <Override ContentType="application/vnd.openxmlformats-officedocument.spreadsheetml.worksheet+xml" PartName="/xl/worksheets/sheet51562.xml"/>
  <Override ContentType="application/vnd.openxmlformats-officedocument.spreadsheetml.worksheet+xml" PartName="/xl/worksheets/sheet51563.xml"/>
  <Override ContentType="application/vnd.openxmlformats-officedocument.spreadsheetml.worksheet+xml" PartName="/xl/worksheets/sheet51564.xml"/>
  <Override ContentType="application/vnd.openxmlformats-officedocument.spreadsheetml.worksheet+xml" PartName="/xl/worksheets/sheet51565.xml"/>
  <Override ContentType="application/vnd.openxmlformats-officedocument.spreadsheetml.worksheet+xml" PartName="/xl/worksheets/sheet51566.xml"/>
  <Override ContentType="application/vnd.openxmlformats-officedocument.spreadsheetml.worksheet+xml" PartName="/xl/worksheets/sheet51567.xml"/>
  <Override ContentType="application/vnd.openxmlformats-officedocument.spreadsheetml.worksheet+xml" PartName="/xl/worksheets/sheet51568.xml"/>
  <Override ContentType="application/vnd.openxmlformats-officedocument.spreadsheetml.worksheet+xml" PartName="/xl/worksheets/sheet51569.xml"/>
  <Override ContentType="application/vnd.openxmlformats-officedocument.spreadsheetml.worksheet+xml" PartName="/xl/worksheets/sheet51570.xml"/>
  <Override ContentType="application/vnd.openxmlformats-officedocument.spreadsheetml.worksheet+xml" PartName="/xl/worksheets/sheet51571.xml"/>
  <Override ContentType="application/vnd.openxmlformats-officedocument.spreadsheetml.worksheet+xml" PartName="/xl/worksheets/sheet51572.xml"/>
  <Override ContentType="application/vnd.openxmlformats-officedocument.spreadsheetml.worksheet+xml" PartName="/xl/worksheets/sheet51573.xml"/>
  <Override ContentType="application/vnd.openxmlformats-officedocument.spreadsheetml.worksheet+xml" PartName="/xl/worksheets/sheet51574.xml"/>
  <Override ContentType="application/vnd.openxmlformats-officedocument.spreadsheetml.worksheet+xml" PartName="/xl/worksheets/sheet51575.xml"/>
  <Override ContentType="application/vnd.openxmlformats-officedocument.spreadsheetml.worksheet+xml" PartName="/xl/worksheets/sheet51576.xml"/>
  <Override ContentType="application/vnd.openxmlformats-officedocument.spreadsheetml.worksheet+xml" PartName="/xl/worksheets/sheet51577.xml"/>
  <Override ContentType="application/vnd.openxmlformats-officedocument.spreadsheetml.worksheet+xml" PartName="/xl/worksheets/sheet51578.xml"/>
  <Override ContentType="application/vnd.openxmlformats-officedocument.spreadsheetml.worksheet+xml" PartName="/xl/worksheets/sheet51579.xml"/>
  <Override ContentType="application/vnd.openxmlformats-officedocument.spreadsheetml.worksheet+xml" PartName="/xl/worksheets/sheet51580.xml"/>
  <Override ContentType="application/vnd.openxmlformats-officedocument.spreadsheetml.worksheet+xml" PartName="/xl/worksheets/sheet51581.xml"/>
  <Override ContentType="application/vnd.openxmlformats-officedocument.spreadsheetml.worksheet+xml" PartName="/xl/worksheets/sheet51582.xml"/>
  <Override ContentType="application/vnd.openxmlformats-officedocument.spreadsheetml.worksheet+xml" PartName="/xl/worksheets/sheet51583.xml"/>
  <Override ContentType="application/vnd.openxmlformats-officedocument.spreadsheetml.worksheet+xml" PartName="/xl/worksheets/sheet51584.xml"/>
  <Override ContentType="application/vnd.openxmlformats-officedocument.spreadsheetml.worksheet+xml" PartName="/xl/worksheets/sheet51585.xml"/>
  <Override ContentType="application/vnd.openxmlformats-officedocument.spreadsheetml.worksheet+xml" PartName="/xl/worksheets/sheet51586.xml"/>
  <Override ContentType="application/vnd.openxmlformats-officedocument.spreadsheetml.worksheet+xml" PartName="/xl/worksheets/sheet51587.xml"/>
  <Override ContentType="application/vnd.openxmlformats-officedocument.spreadsheetml.worksheet+xml" PartName="/xl/worksheets/sheet51588.xml"/>
  <Override ContentType="application/vnd.openxmlformats-officedocument.spreadsheetml.worksheet+xml" PartName="/xl/worksheets/sheet51589.xml"/>
  <Override ContentType="application/vnd.openxmlformats-officedocument.spreadsheetml.worksheet+xml" PartName="/xl/worksheets/sheet51590.xml"/>
  <Override ContentType="application/vnd.openxmlformats-officedocument.spreadsheetml.worksheet+xml" PartName="/xl/worksheets/sheet51591.xml"/>
  <Override ContentType="application/vnd.openxmlformats-officedocument.spreadsheetml.worksheet+xml" PartName="/xl/worksheets/sheet51592.xml"/>
  <Override ContentType="application/vnd.openxmlformats-officedocument.spreadsheetml.worksheet+xml" PartName="/xl/worksheets/sheet51593.xml"/>
  <Override ContentType="application/vnd.openxmlformats-officedocument.spreadsheetml.worksheet+xml" PartName="/xl/worksheets/sheet51594.xml"/>
  <Override ContentType="application/vnd.openxmlformats-officedocument.spreadsheetml.worksheet+xml" PartName="/xl/worksheets/sheet51595.xml"/>
  <Override ContentType="application/vnd.openxmlformats-officedocument.spreadsheetml.worksheet+xml" PartName="/xl/worksheets/sheet51596.xml"/>
  <Override ContentType="application/vnd.openxmlformats-officedocument.spreadsheetml.worksheet+xml" PartName="/xl/worksheets/sheet51597.xml"/>
  <Override ContentType="application/vnd.openxmlformats-officedocument.spreadsheetml.worksheet+xml" PartName="/xl/worksheets/sheet51598.xml"/>
  <Override ContentType="application/vnd.openxmlformats-officedocument.spreadsheetml.worksheet+xml" PartName="/xl/worksheets/sheet51599.xml"/>
  <Override ContentType="application/vnd.openxmlformats-officedocument.spreadsheetml.worksheet+xml" PartName="/xl/worksheets/sheet51600.xml"/>
  <Override ContentType="application/vnd.openxmlformats-officedocument.spreadsheetml.worksheet+xml" PartName="/xl/worksheets/sheet51601.xml"/>
  <Override ContentType="application/vnd.openxmlformats-officedocument.spreadsheetml.worksheet+xml" PartName="/xl/worksheets/sheet51602.xml"/>
  <Override ContentType="application/vnd.openxmlformats-officedocument.spreadsheetml.worksheet+xml" PartName="/xl/worksheets/sheet51603.xml"/>
  <Override ContentType="application/vnd.openxmlformats-officedocument.spreadsheetml.worksheet+xml" PartName="/xl/worksheets/sheet51604.xml"/>
  <Override ContentType="application/vnd.openxmlformats-officedocument.spreadsheetml.worksheet+xml" PartName="/xl/worksheets/sheet51605.xml"/>
  <Override ContentType="application/vnd.openxmlformats-officedocument.spreadsheetml.worksheet+xml" PartName="/xl/worksheets/sheet51606.xml"/>
  <Override ContentType="application/vnd.openxmlformats-officedocument.spreadsheetml.worksheet+xml" PartName="/xl/worksheets/sheet51607.xml"/>
  <Override ContentType="application/vnd.openxmlformats-officedocument.spreadsheetml.worksheet+xml" PartName="/xl/worksheets/sheet51608.xml"/>
  <Override ContentType="application/vnd.openxmlformats-officedocument.spreadsheetml.worksheet+xml" PartName="/xl/worksheets/sheet51609.xml"/>
  <Override ContentType="application/vnd.openxmlformats-officedocument.spreadsheetml.worksheet+xml" PartName="/xl/worksheets/sheet51610.xml"/>
  <Override ContentType="application/vnd.openxmlformats-officedocument.spreadsheetml.worksheet+xml" PartName="/xl/worksheets/sheet51611.xml"/>
  <Override ContentType="application/vnd.openxmlformats-officedocument.spreadsheetml.worksheet+xml" PartName="/xl/worksheets/sheet51612.xml"/>
  <Override ContentType="application/vnd.openxmlformats-officedocument.spreadsheetml.worksheet+xml" PartName="/xl/worksheets/sheet51613.xml"/>
  <Override ContentType="application/vnd.openxmlformats-officedocument.spreadsheetml.worksheet+xml" PartName="/xl/worksheets/sheet51614.xml"/>
  <Override ContentType="application/vnd.openxmlformats-officedocument.spreadsheetml.worksheet+xml" PartName="/xl/worksheets/sheet51615.xml"/>
  <Override ContentType="application/vnd.openxmlformats-officedocument.spreadsheetml.worksheet+xml" PartName="/xl/worksheets/sheet51616.xml"/>
  <Override ContentType="application/vnd.openxmlformats-officedocument.spreadsheetml.worksheet+xml" PartName="/xl/worksheets/sheet51617.xml"/>
  <Override ContentType="application/vnd.openxmlformats-officedocument.spreadsheetml.worksheet+xml" PartName="/xl/worksheets/sheet51618.xml"/>
  <Override ContentType="application/vnd.openxmlformats-officedocument.spreadsheetml.worksheet+xml" PartName="/xl/worksheets/sheet51619.xml"/>
  <Override ContentType="application/vnd.openxmlformats-officedocument.spreadsheetml.worksheet+xml" PartName="/xl/worksheets/sheet51620.xml"/>
  <Override ContentType="application/vnd.openxmlformats-officedocument.spreadsheetml.worksheet+xml" PartName="/xl/worksheets/sheet51621.xml"/>
  <Override ContentType="application/vnd.openxmlformats-officedocument.spreadsheetml.worksheet+xml" PartName="/xl/worksheets/sheet51622.xml"/>
  <Override ContentType="application/vnd.openxmlformats-officedocument.spreadsheetml.worksheet+xml" PartName="/xl/worksheets/sheet51623.xml"/>
  <Override ContentType="application/vnd.openxmlformats-officedocument.spreadsheetml.worksheet+xml" PartName="/xl/worksheets/sheet51624.xml"/>
  <Override ContentType="application/vnd.openxmlformats-officedocument.spreadsheetml.worksheet+xml" PartName="/xl/worksheets/sheet51625.xml"/>
  <Override ContentType="application/vnd.openxmlformats-officedocument.spreadsheetml.worksheet+xml" PartName="/xl/worksheets/sheet51626.xml"/>
  <Override ContentType="application/vnd.openxmlformats-officedocument.spreadsheetml.worksheet+xml" PartName="/xl/worksheets/sheet51627.xml"/>
  <Override ContentType="application/vnd.openxmlformats-officedocument.spreadsheetml.worksheet+xml" PartName="/xl/worksheets/sheet51628.xml"/>
  <Override ContentType="application/vnd.openxmlformats-officedocument.spreadsheetml.worksheet+xml" PartName="/xl/worksheets/sheet51629.xml"/>
  <Override ContentType="application/vnd.openxmlformats-officedocument.spreadsheetml.worksheet+xml" PartName="/xl/worksheets/sheet51630.xml"/>
  <Override ContentType="application/vnd.openxmlformats-officedocument.spreadsheetml.worksheet+xml" PartName="/xl/worksheets/sheet51631.xml"/>
  <Override ContentType="application/vnd.openxmlformats-officedocument.spreadsheetml.worksheet+xml" PartName="/xl/worksheets/sheet51632.xml"/>
  <Override ContentType="application/vnd.openxmlformats-officedocument.spreadsheetml.worksheet+xml" PartName="/xl/worksheets/sheet51633.xml"/>
  <Override ContentType="application/vnd.openxmlformats-officedocument.spreadsheetml.worksheet+xml" PartName="/xl/worksheets/sheet51634.xml"/>
  <Override ContentType="application/vnd.openxmlformats-officedocument.spreadsheetml.worksheet+xml" PartName="/xl/worksheets/sheet51635.xml"/>
  <Override ContentType="application/vnd.openxmlformats-officedocument.spreadsheetml.worksheet+xml" PartName="/xl/worksheets/sheet51636.xml"/>
  <Override ContentType="application/vnd.openxmlformats-officedocument.spreadsheetml.worksheet+xml" PartName="/xl/worksheets/sheet51637.xml"/>
  <Override ContentType="application/vnd.openxmlformats-officedocument.spreadsheetml.worksheet+xml" PartName="/xl/worksheets/sheet51638.xml"/>
  <Override ContentType="application/vnd.openxmlformats-officedocument.spreadsheetml.worksheet+xml" PartName="/xl/worksheets/sheet51639.xml"/>
  <Override ContentType="application/vnd.openxmlformats-officedocument.spreadsheetml.worksheet+xml" PartName="/xl/worksheets/sheet51640.xml"/>
  <Override ContentType="application/vnd.openxmlformats-officedocument.spreadsheetml.worksheet+xml" PartName="/xl/worksheets/sheet51641.xml"/>
  <Override ContentType="application/vnd.openxmlformats-officedocument.spreadsheetml.worksheet+xml" PartName="/xl/worksheets/sheet51642.xml"/>
  <Override ContentType="application/vnd.openxmlformats-officedocument.spreadsheetml.worksheet+xml" PartName="/xl/worksheets/sheet51643.xml"/>
  <Override ContentType="application/vnd.openxmlformats-officedocument.spreadsheetml.worksheet+xml" PartName="/xl/worksheets/sheet51644.xml"/>
  <Override ContentType="application/vnd.openxmlformats-officedocument.spreadsheetml.worksheet+xml" PartName="/xl/worksheets/sheet51645.xml"/>
  <Override ContentType="application/vnd.openxmlformats-officedocument.spreadsheetml.worksheet+xml" PartName="/xl/worksheets/sheet51646.xml"/>
  <Override ContentType="application/vnd.openxmlformats-officedocument.spreadsheetml.worksheet+xml" PartName="/xl/worksheets/sheet51647.xml"/>
  <Override ContentType="application/vnd.openxmlformats-officedocument.spreadsheetml.worksheet+xml" PartName="/xl/worksheets/sheet51648.xml"/>
  <Override ContentType="application/vnd.openxmlformats-officedocument.spreadsheetml.worksheet+xml" PartName="/xl/worksheets/sheet51649.xml"/>
  <Override ContentType="application/vnd.openxmlformats-officedocument.spreadsheetml.worksheet+xml" PartName="/xl/worksheets/sheet51650.xml"/>
  <Override ContentType="application/vnd.openxmlformats-officedocument.spreadsheetml.worksheet+xml" PartName="/xl/worksheets/sheet51651.xml"/>
  <Override ContentType="application/vnd.openxmlformats-officedocument.spreadsheetml.worksheet+xml" PartName="/xl/worksheets/sheet51652.xml"/>
  <Override ContentType="application/vnd.openxmlformats-officedocument.spreadsheetml.worksheet+xml" PartName="/xl/worksheets/sheet51653.xml"/>
  <Override ContentType="application/vnd.openxmlformats-officedocument.spreadsheetml.worksheet+xml" PartName="/xl/worksheets/sheet51654.xml"/>
  <Override ContentType="application/vnd.openxmlformats-officedocument.spreadsheetml.worksheet+xml" PartName="/xl/worksheets/sheet51655.xml"/>
  <Override ContentType="application/vnd.openxmlformats-officedocument.spreadsheetml.worksheet+xml" PartName="/xl/worksheets/sheet51656.xml"/>
  <Override ContentType="application/vnd.openxmlformats-officedocument.spreadsheetml.worksheet+xml" PartName="/xl/worksheets/sheet51657.xml"/>
  <Override ContentType="application/vnd.openxmlformats-officedocument.spreadsheetml.worksheet+xml" PartName="/xl/worksheets/sheet51658.xml"/>
  <Override ContentType="application/vnd.openxmlformats-officedocument.spreadsheetml.worksheet+xml" PartName="/xl/worksheets/sheet51659.xml"/>
  <Override ContentType="application/vnd.openxmlformats-officedocument.spreadsheetml.worksheet+xml" PartName="/xl/worksheets/sheet51660.xml"/>
  <Override ContentType="application/vnd.openxmlformats-officedocument.spreadsheetml.worksheet+xml" PartName="/xl/worksheets/sheet51661.xml"/>
  <Override ContentType="application/vnd.openxmlformats-officedocument.spreadsheetml.worksheet+xml" PartName="/xl/worksheets/sheet51662.xml"/>
  <Override ContentType="application/vnd.openxmlformats-officedocument.spreadsheetml.worksheet+xml" PartName="/xl/worksheets/sheet51663.xml"/>
  <Override ContentType="application/vnd.openxmlformats-officedocument.spreadsheetml.worksheet+xml" PartName="/xl/worksheets/sheet51664.xml"/>
  <Override ContentType="application/vnd.openxmlformats-officedocument.spreadsheetml.worksheet+xml" PartName="/xl/worksheets/sheet51665.xml"/>
  <Override ContentType="application/vnd.openxmlformats-officedocument.spreadsheetml.worksheet+xml" PartName="/xl/worksheets/sheet51666.xml"/>
  <Override ContentType="application/vnd.openxmlformats-officedocument.spreadsheetml.worksheet+xml" PartName="/xl/worksheets/sheet51667.xml"/>
  <Override ContentType="application/vnd.openxmlformats-officedocument.spreadsheetml.worksheet+xml" PartName="/xl/worksheets/sheet51668.xml"/>
  <Override ContentType="application/vnd.openxmlformats-officedocument.spreadsheetml.worksheet+xml" PartName="/xl/worksheets/sheet51669.xml"/>
  <Override ContentType="application/vnd.openxmlformats-officedocument.spreadsheetml.worksheet+xml" PartName="/xl/worksheets/sheet51670.xml"/>
  <Override ContentType="application/vnd.openxmlformats-officedocument.spreadsheetml.worksheet+xml" PartName="/xl/worksheets/sheet51671.xml"/>
  <Override ContentType="application/vnd.openxmlformats-officedocument.spreadsheetml.worksheet+xml" PartName="/xl/worksheets/sheet51672.xml"/>
  <Override ContentType="application/vnd.openxmlformats-officedocument.spreadsheetml.worksheet+xml" PartName="/xl/worksheets/sheet51673.xml"/>
  <Override ContentType="application/vnd.openxmlformats-officedocument.spreadsheetml.worksheet+xml" PartName="/xl/worksheets/sheet51674.xml"/>
  <Override ContentType="application/vnd.openxmlformats-officedocument.spreadsheetml.worksheet+xml" PartName="/xl/worksheets/sheet51675.xml"/>
  <Override ContentType="application/vnd.openxmlformats-officedocument.spreadsheetml.worksheet+xml" PartName="/xl/worksheets/sheet51676.xml"/>
  <Override ContentType="application/vnd.openxmlformats-officedocument.spreadsheetml.worksheet+xml" PartName="/xl/worksheets/sheet51677.xml"/>
  <Override ContentType="application/vnd.openxmlformats-officedocument.spreadsheetml.worksheet+xml" PartName="/xl/worksheets/sheet51678.xml"/>
  <Override ContentType="application/vnd.openxmlformats-officedocument.spreadsheetml.worksheet+xml" PartName="/xl/worksheets/sheet51679.xml"/>
  <Override ContentType="application/vnd.openxmlformats-officedocument.spreadsheetml.worksheet+xml" PartName="/xl/worksheets/sheet51680.xml"/>
  <Override ContentType="application/vnd.openxmlformats-officedocument.spreadsheetml.worksheet+xml" PartName="/xl/worksheets/sheet51681.xml"/>
  <Override ContentType="application/vnd.openxmlformats-officedocument.spreadsheetml.worksheet+xml" PartName="/xl/worksheets/sheet51682.xml"/>
  <Override ContentType="application/vnd.openxmlformats-officedocument.spreadsheetml.worksheet+xml" PartName="/xl/worksheets/sheet51683.xml"/>
  <Override ContentType="application/vnd.openxmlformats-officedocument.spreadsheetml.worksheet+xml" PartName="/xl/worksheets/sheet51684.xml"/>
  <Override ContentType="application/vnd.openxmlformats-officedocument.spreadsheetml.worksheet+xml" PartName="/xl/worksheets/sheet51685.xml"/>
  <Override ContentType="application/vnd.openxmlformats-officedocument.spreadsheetml.worksheet+xml" PartName="/xl/worksheets/sheet51686.xml"/>
  <Override ContentType="application/vnd.openxmlformats-officedocument.spreadsheetml.worksheet+xml" PartName="/xl/worksheets/sheet51687.xml"/>
  <Override ContentType="application/vnd.openxmlformats-officedocument.spreadsheetml.worksheet+xml" PartName="/xl/worksheets/sheet51688.xml"/>
  <Override ContentType="application/vnd.openxmlformats-officedocument.spreadsheetml.worksheet+xml" PartName="/xl/worksheets/sheet51689.xml"/>
  <Override ContentType="application/vnd.openxmlformats-officedocument.spreadsheetml.worksheet+xml" PartName="/xl/worksheets/sheet51690.xml"/>
  <Override ContentType="application/vnd.openxmlformats-officedocument.spreadsheetml.worksheet+xml" PartName="/xl/worksheets/sheet51691.xml"/>
  <Override ContentType="application/vnd.openxmlformats-officedocument.spreadsheetml.worksheet+xml" PartName="/xl/worksheets/sheet51692.xml"/>
  <Override ContentType="application/vnd.openxmlformats-officedocument.spreadsheetml.worksheet+xml" PartName="/xl/worksheets/sheet51693.xml"/>
  <Override ContentType="application/vnd.openxmlformats-officedocument.spreadsheetml.worksheet+xml" PartName="/xl/worksheets/sheet51694.xml"/>
  <Override ContentType="application/vnd.openxmlformats-officedocument.spreadsheetml.worksheet+xml" PartName="/xl/worksheets/sheet51695.xml"/>
  <Override ContentType="application/vnd.openxmlformats-officedocument.spreadsheetml.worksheet+xml" PartName="/xl/worksheets/sheet51696.xml"/>
  <Override ContentType="application/vnd.openxmlformats-officedocument.spreadsheetml.worksheet+xml" PartName="/xl/worksheets/sheet51697.xml"/>
  <Override ContentType="application/vnd.openxmlformats-officedocument.spreadsheetml.worksheet+xml" PartName="/xl/worksheets/sheet51698.xml"/>
  <Override ContentType="application/vnd.openxmlformats-officedocument.spreadsheetml.worksheet+xml" PartName="/xl/worksheets/sheet51699.xml"/>
  <Override ContentType="application/vnd.openxmlformats-officedocument.spreadsheetml.worksheet+xml" PartName="/xl/worksheets/sheet51700.xml"/>
  <Override ContentType="application/vnd.openxmlformats-officedocument.spreadsheetml.worksheet+xml" PartName="/xl/worksheets/sheet51701.xml"/>
  <Override ContentType="application/vnd.openxmlformats-officedocument.spreadsheetml.worksheet+xml" PartName="/xl/worksheets/sheet51702.xml"/>
  <Override ContentType="application/vnd.openxmlformats-officedocument.spreadsheetml.worksheet+xml" PartName="/xl/worksheets/sheet51703.xml"/>
  <Override ContentType="application/vnd.openxmlformats-officedocument.spreadsheetml.worksheet+xml" PartName="/xl/worksheets/sheet51704.xml"/>
  <Override ContentType="application/vnd.openxmlformats-officedocument.spreadsheetml.worksheet+xml" PartName="/xl/worksheets/sheet51705.xml"/>
  <Override ContentType="application/vnd.openxmlformats-officedocument.spreadsheetml.worksheet+xml" PartName="/xl/worksheets/sheet51706.xml"/>
  <Override ContentType="application/vnd.openxmlformats-officedocument.spreadsheetml.worksheet+xml" PartName="/xl/worksheets/sheet51707.xml"/>
  <Override ContentType="application/vnd.openxmlformats-officedocument.spreadsheetml.worksheet+xml" PartName="/xl/worksheets/sheet51708.xml"/>
  <Override ContentType="application/vnd.openxmlformats-officedocument.spreadsheetml.worksheet+xml" PartName="/xl/worksheets/sheet51709.xml"/>
  <Override ContentType="application/vnd.openxmlformats-officedocument.spreadsheetml.worksheet+xml" PartName="/xl/worksheets/sheet51710.xml"/>
  <Override ContentType="application/vnd.openxmlformats-officedocument.spreadsheetml.worksheet+xml" PartName="/xl/worksheets/sheet51711.xml"/>
  <Override ContentType="application/vnd.openxmlformats-officedocument.spreadsheetml.worksheet+xml" PartName="/xl/worksheets/sheet51712.xml"/>
  <Override ContentType="application/vnd.openxmlformats-officedocument.spreadsheetml.worksheet+xml" PartName="/xl/worksheets/sheet51713.xml"/>
  <Override ContentType="application/vnd.openxmlformats-officedocument.spreadsheetml.worksheet+xml" PartName="/xl/worksheets/sheet51714.xml"/>
  <Override ContentType="application/vnd.openxmlformats-officedocument.spreadsheetml.worksheet+xml" PartName="/xl/worksheets/sheet51715.xml"/>
  <Override ContentType="application/vnd.openxmlformats-officedocument.spreadsheetml.worksheet+xml" PartName="/xl/worksheets/sheet51716.xml"/>
  <Override ContentType="application/vnd.openxmlformats-officedocument.spreadsheetml.worksheet+xml" PartName="/xl/worksheets/sheet51717.xml"/>
  <Override ContentType="application/vnd.openxmlformats-officedocument.spreadsheetml.worksheet+xml" PartName="/xl/worksheets/sheet51718.xml"/>
  <Override ContentType="application/vnd.openxmlformats-officedocument.spreadsheetml.worksheet+xml" PartName="/xl/worksheets/sheet51719.xml"/>
  <Override ContentType="application/vnd.openxmlformats-officedocument.spreadsheetml.worksheet+xml" PartName="/xl/worksheets/sheet51720.xml"/>
  <Override ContentType="application/vnd.openxmlformats-officedocument.spreadsheetml.worksheet+xml" PartName="/xl/worksheets/sheet51721.xml"/>
  <Override ContentType="application/vnd.openxmlformats-officedocument.spreadsheetml.worksheet+xml" PartName="/xl/worksheets/sheet51722.xml"/>
  <Override ContentType="application/vnd.openxmlformats-officedocument.spreadsheetml.worksheet+xml" PartName="/xl/worksheets/sheet51723.xml"/>
  <Override ContentType="application/vnd.openxmlformats-officedocument.spreadsheetml.worksheet+xml" PartName="/xl/worksheets/sheet51724.xml"/>
  <Override ContentType="application/vnd.openxmlformats-officedocument.spreadsheetml.worksheet+xml" PartName="/xl/worksheets/sheet51725.xml"/>
  <Override ContentType="application/vnd.openxmlformats-officedocument.spreadsheetml.worksheet+xml" PartName="/xl/worksheets/sheet51726.xml"/>
  <Override ContentType="application/vnd.openxmlformats-officedocument.spreadsheetml.worksheet+xml" PartName="/xl/worksheets/sheet51727.xml"/>
  <Override ContentType="application/vnd.openxmlformats-officedocument.spreadsheetml.worksheet+xml" PartName="/xl/worksheets/sheet51728.xml"/>
  <Override ContentType="application/vnd.openxmlformats-officedocument.spreadsheetml.worksheet+xml" PartName="/xl/worksheets/sheet51729.xml"/>
  <Override ContentType="application/vnd.openxmlformats-officedocument.spreadsheetml.worksheet+xml" PartName="/xl/worksheets/sheet51730.xml"/>
  <Override ContentType="application/vnd.openxmlformats-officedocument.spreadsheetml.worksheet+xml" PartName="/xl/worksheets/sheet51731.xml"/>
  <Override ContentType="application/vnd.openxmlformats-officedocument.spreadsheetml.worksheet+xml" PartName="/xl/worksheets/sheet51732.xml"/>
  <Override ContentType="application/vnd.openxmlformats-officedocument.spreadsheetml.worksheet+xml" PartName="/xl/worksheets/sheet51733.xml"/>
  <Override ContentType="application/vnd.openxmlformats-officedocument.spreadsheetml.worksheet+xml" PartName="/xl/worksheets/sheet51734.xml"/>
  <Override ContentType="application/vnd.openxmlformats-officedocument.spreadsheetml.worksheet+xml" PartName="/xl/worksheets/sheet51735.xml"/>
  <Override ContentType="application/vnd.openxmlformats-officedocument.spreadsheetml.worksheet+xml" PartName="/xl/worksheets/sheet51736.xml"/>
  <Override ContentType="application/vnd.openxmlformats-officedocument.spreadsheetml.worksheet+xml" PartName="/xl/worksheets/sheet51737.xml"/>
  <Override ContentType="application/vnd.openxmlformats-officedocument.spreadsheetml.worksheet+xml" PartName="/xl/worksheets/sheet51738.xml"/>
  <Override ContentType="application/vnd.openxmlformats-officedocument.spreadsheetml.worksheet+xml" PartName="/xl/worksheets/sheet51739.xml"/>
  <Override ContentType="application/vnd.openxmlformats-officedocument.spreadsheetml.worksheet+xml" PartName="/xl/worksheets/sheet51740.xml"/>
  <Override ContentType="application/vnd.openxmlformats-officedocument.spreadsheetml.worksheet+xml" PartName="/xl/worksheets/sheet51741.xml"/>
  <Override ContentType="application/vnd.openxmlformats-officedocument.spreadsheetml.worksheet+xml" PartName="/xl/worksheets/sheet51742.xml"/>
  <Override ContentType="application/vnd.openxmlformats-officedocument.spreadsheetml.worksheet+xml" PartName="/xl/worksheets/sheet51743.xml"/>
  <Override ContentType="application/vnd.openxmlformats-officedocument.spreadsheetml.worksheet+xml" PartName="/xl/worksheets/sheet51744.xml"/>
  <Override ContentType="application/vnd.openxmlformats-officedocument.spreadsheetml.worksheet+xml" PartName="/xl/worksheets/sheet51745.xml"/>
  <Override ContentType="application/vnd.openxmlformats-officedocument.spreadsheetml.worksheet+xml" PartName="/xl/worksheets/sheet51746.xml"/>
  <Override ContentType="application/vnd.openxmlformats-officedocument.spreadsheetml.worksheet+xml" PartName="/xl/worksheets/sheet51747.xml"/>
  <Override ContentType="application/vnd.openxmlformats-officedocument.spreadsheetml.worksheet+xml" PartName="/xl/worksheets/sheet51748.xml"/>
  <Override ContentType="application/vnd.openxmlformats-officedocument.spreadsheetml.worksheet+xml" PartName="/xl/worksheets/sheet51749.xml"/>
  <Override ContentType="application/vnd.openxmlformats-officedocument.spreadsheetml.worksheet+xml" PartName="/xl/worksheets/sheet51750.xml"/>
  <Override ContentType="application/vnd.openxmlformats-officedocument.spreadsheetml.worksheet+xml" PartName="/xl/worksheets/sheet51751.xml"/>
  <Override ContentType="application/vnd.openxmlformats-officedocument.spreadsheetml.worksheet+xml" PartName="/xl/worksheets/sheet51752.xml"/>
  <Override ContentType="application/vnd.openxmlformats-officedocument.spreadsheetml.worksheet+xml" PartName="/xl/worksheets/sheet51753.xml"/>
  <Override ContentType="application/vnd.openxmlformats-officedocument.spreadsheetml.worksheet+xml" PartName="/xl/worksheets/sheet51754.xml"/>
  <Override ContentType="application/vnd.openxmlformats-officedocument.spreadsheetml.worksheet+xml" PartName="/xl/worksheets/sheet51755.xml"/>
  <Override ContentType="application/vnd.openxmlformats-officedocument.spreadsheetml.worksheet+xml" PartName="/xl/worksheets/sheet51756.xml"/>
  <Override ContentType="application/vnd.openxmlformats-officedocument.spreadsheetml.worksheet+xml" PartName="/xl/worksheets/sheet51757.xml"/>
  <Override ContentType="application/vnd.openxmlformats-officedocument.spreadsheetml.worksheet+xml" PartName="/xl/worksheets/sheet51758.xml"/>
  <Override ContentType="application/vnd.openxmlformats-officedocument.spreadsheetml.worksheet+xml" PartName="/xl/worksheets/sheet51759.xml"/>
  <Override ContentType="application/vnd.openxmlformats-officedocument.spreadsheetml.worksheet+xml" PartName="/xl/worksheets/sheet51760.xml"/>
  <Override ContentType="application/vnd.openxmlformats-officedocument.spreadsheetml.worksheet+xml" PartName="/xl/worksheets/sheet51761.xml"/>
  <Override ContentType="application/vnd.openxmlformats-officedocument.spreadsheetml.worksheet+xml" PartName="/xl/worksheets/sheet51762.xml"/>
  <Override ContentType="application/vnd.openxmlformats-officedocument.spreadsheetml.worksheet+xml" PartName="/xl/worksheets/sheet51763.xml"/>
  <Override ContentType="application/vnd.openxmlformats-officedocument.spreadsheetml.worksheet+xml" PartName="/xl/worksheets/sheet51764.xml"/>
  <Override ContentType="application/vnd.openxmlformats-officedocument.spreadsheetml.worksheet+xml" PartName="/xl/worksheets/sheet51765.xml"/>
  <Override ContentType="application/vnd.openxmlformats-officedocument.spreadsheetml.worksheet+xml" PartName="/xl/worksheets/sheet51766.xml"/>
  <Override ContentType="application/vnd.openxmlformats-officedocument.spreadsheetml.worksheet+xml" PartName="/xl/worksheets/sheet51767.xml"/>
  <Override ContentType="application/vnd.openxmlformats-officedocument.spreadsheetml.worksheet+xml" PartName="/xl/worksheets/sheet51768.xml"/>
  <Override ContentType="application/vnd.openxmlformats-officedocument.spreadsheetml.worksheet+xml" PartName="/xl/worksheets/sheet51769.xml"/>
  <Override ContentType="application/vnd.openxmlformats-officedocument.spreadsheetml.worksheet+xml" PartName="/xl/worksheets/sheet51770.xml"/>
  <Override ContentType="application/vnd.openxmlformats-officedocument.spreadsheetml.worksheet+xml" PartName="/xl/worksheets/sheet51771.xml"/>
  <Override ContentType="application/vnd.openxmlformats-officedocument.spreadsheetml.worksheet+xml" PartName="/xl/worksheets/sheet51772.xml"/>
  <Override ContentType="application/vnd.openxmlformats-officedocument.spreadsheetml.worksheet+xml" PartName="/xl/worksheets/sheet51773.xml"/>
  <Override ContentType="application/vnd.openxmlformats-officedocument.spreadsheetml.worksheet+xml" PartName="/xl/worksheets/sheet51774.xml"/>
  <Override ContentType="application/vnd.openxmlformats-officedocument.spreadsheetml.worksheet+xml" PartName="/xl/worksheets/sheet51775.xml"/>
  <Override ContentType="application/vnd.openxmlformats-officedocument.spreadsheetml.worksheet+xml" PartName="/xl/worksheets/sheet51776.xml"/>
  <Override ContentType="application/vnd.openxmlformats-officedocument.spreadsheetml.worksheet+xml" PartName="/xl/worksheets/sheet51777.xml"/>
  <Override ContentType="application/vnd.openxmlformats-officedocument.spreadsheetml.worksheet+xml" PartName="/xl/worksheets/sheet51778.xml"/>
  <Override ContentType="application/vnd.openxmlformats-officedocument.spreadsheetml.worksheet+xml" PartName="/xl/worksheets/sheet51779.xml"/>
  <Override ContentType="application/vnd.openxmlformats-officedocument.spreadsheetml.worksheet+xml" PartName="/xl/worksheets/sheet51780.xml"/>
  <Override ContentType="application/vnd.openxmlformats-officedocument.spreadsheetml.worksheet+xml" PartName="/xl/worksheets/sheet51781.xml"/>
  <Override ContentType="application/vnd.openxmlformats-officedocument.spreadsheetml.worksheet+xml" PartName="/xl/worksheets/sheet51782.xml"/>
  <Override ContentType="application/vnd.openxmlformats-officedocument.spreadsheetml.worksheet+xml" PartName="/xl/worksheets/sheet51783.xml"/>
  <Override ContentType="application/vnd.openxmlformats-officedocument.spreadsheetml.worksheet+xml" PartName="/xl/worksheets/sheet51784.xml"/>
  <Override ContentType="application/vnd.openxmlformats-officedocument.spreadsheetml.worksheet+xml" PartName="/xl/worksheets/sheet51785.xml"/>
  <Override ContentType="application/vnd.openxmlformats-officedocument.spreadsheetml.worksheet+xml" PartName="/xl/worksheets/sheet51786.xml"/>
  <Override ContentType="application/vnd.openxmlformats-officedocument.spreadsheetml.worksheet+xml" PartName="/xl/worksheets/sheet51787.xml"/>
  <Override ContentType="application/vnd.openxmlformats-officedocument.spreadsheetml.worksheet+xml" PartName="/xl/worksheets/sheet51788.xml"/>
  <Override ContentType="application/vnd.openxmlformats-officedocument.spreadsheetml.worksheet+xml" PartName="/xl/worksheets/sheet51789.xml"/>
  <Override ContentType="application/vnd.openxmlformats-officedocument.spreadsheetml.worksheet+xml" PartName="/xl/worksheets/sheet51790.xml"/>
  <Override ContentType="application/vnd.openxmlformats-officedocument.spreadsheetml.worksheet+xml" PartName="/xl/worksheets/sheet51791.xml"/>
  <Override ContentType="application/vnd.openxmlformats-officedocument.spreadsheetml.worksheet+xml" PartName="/xl/worksheets/sheet51792.xml"/>
  <Override ContentType="application/vnd.openxmlformats-officedocument.spreadsheetml.worksheet+xml" PartName="/xl/worksheets/sheet51793.xml"/>
  <Override ContentType="application/vnd.openxmlformats-officedocument.spreadsheetml.worksheet+xml" PartName="/xl/worksheets/sheet51794.xml"/>
  <Override ContentType="application/vnd.openxmlformats-officedocument.spreadsheetml.worksheet+xml" PartName="/xl/worksheets/sheet51795.xml"/>
  <Override ContentType="application/vnd.openxmlformats-officedocument.spreadsheetml.worksheet+xml" PartName="/xl/worksheets/sheet51796.xml"/>
  <Override ContentType="application/vnd.openxmlformats-officedocument.spreadsheetml.worksheet+xml" PartName="/xl/worksheets/sheet51797.xml"/>
  <Override ContentType="application/vnd.openxmlformats-officedocument.spreadsheetml.worksheet+xml" PartName="/xl/worksheets/sheet51798.xml"/>
  <Override ContentType="application/vnd.openxmlformats-officedocument.spreadsheetml.worksheet+xml" PartName="/xl/worksheets/sheet51799.xml"/>
  <Override ContentType="application/vnd.openxmlformats-officedocument.spreadsheetml.worksheet+xml" PartName="/xl/worksheets/sheet51800.xml"/>
  <Override ContentType="application/vnd.openxmlformats-officedocument.spreadsheetml.worksheet+xml" PartName="/xl/worksheets/sheet51801.xml"/>
  <Override ContentType="application/vnd.openxmlformats-officedocument.spreadsheetml.worksheet+xml" PartName="/xl/worksheets/sheet51802.xml"/>
  <Override ContentType="application/vnd.openxmlformats-officedocument.spreadsheetml.worksheet+xml" PartName="/xl/worksheets/sheet51803.xml"/>
  <Override ContentType="application/vnd.openxmlformats-officedocument.spreadsheetml.worksheet+xml" PartName="/xl/worksheets/sheet51804.xml"/>
  <Override ContentType="application/vnd.openxmlformats-officedocument.spreadsheetml.worksheet+xml" PartName="/xl/worksheets/sheet51805.xml"/>
  <Override ContentType="application/vnd.openxmlformats-officedocument.spreadsheetml.worksheet+xml" PartName="/xl/worksheets/sheet51806.xml"/>
  <Override ContentType="application/vnd.openxmlformats-officedocument.spreadsheetml.worksheet+xml" PartName="/xl/worksheets/sheet51807.xml"/>
  <Override ContentType="application/vnd.openxmlformats-officedocument.spreadsheetml.worksheet+xml" PartName="/xl/worksheets/sheet51808.xml"/>
  <Override ContentType="application/vnd.openxmlformats-officedocument.spreadsheetml.worksheet+xml" PartName="/xl/worksheets/sheet51809.xml"/>
  <Override ContentType="application/vnd.openxmlformats-officedocument.spreadsheetml.worksheet+xml" PartName="/xl/worksheets/sheet51810.xml"/>
  <Override ContentType="application/vnd.openxmlformats-officedocument.spreadsheetml.worksheet+xml" PartName="/xl/worksheets/sheet51811.xml"/>
  <Override ContentType="application/vnd.openxmlformats-officedocument.spreadsheetml.worksheet+xml" PartName="/xl/worksheets/sheet51812.xml"/>
  <Override ContentType="application/vnd.openxmlformats-officedocument.spreadsheetml.worksheet+xml" PartName="/xl/worksheets/sheet51813.xml"/>
  <Override ContentType="application/vnd.openxmlformats-officedocument.spreadsheetml.worksheet+xml" PartName="/xl/worksheets/sheet51814.xml"/>
  <Override ContentType="application/vnd.openxmlformats-officedocument.spreadsheetml.worksheet+xml" PartName="/xl/worksheets/sheet51815.xml"/>
  <Override ContentType="application/vnd.openxmlformats-officedocument.spreadsheetml.worksheet+xml" PartName="/xl/worksheets/sheet51816.xml"/>
  <Override ContentType="application/vnd.openxmlformats-officedocument.spreadsheetml.worksheet+xml" PartName="/xl/worksheets/sheet51817.xml"/>
  <Override ContentType="application/vnd.openxmlformats-officedocument.spreadsheetml.worksheet+xml" PartName="/xl/worksheets/sheet51818.xml"/>
  <Override ContentType="application/vnd.openxmlformats-officedocument.spreadsheetml.worksheet+xml" PartName="/xl/worksheets/sheet51819.xml"/>
  <Override ContentType="application/vnd.openxmlformats-officedocument.spreadsheetml.worksheet+xml" PartName="/xl/worksheets/sheet51820.xml"/>
  <Override ContentType="application/vnd.openxmlformats-officedocument.spreadsheetml.worksheet+xml" PartName="/xl/worksheets/sheet51821.xml"/>
  <Override ContentType="application/vnd.openxmlformats-officedocument.spreadsheetml.worksheet+xml" PartName="/xl/worksheets/sheet51822.xml"/>
  <Override ContentType="application/vnd.openxmlformats-officedocument.spreadsheetml.worksheet+xml" PartName="/xl/worksheets/sheet51823.xml"/>
  <Override ContentType="application/vnd.openxmlformats-officedocument.spreadsheetml.worksheet+xml" PartName="/xl/worksheets/sheet51824.xml"/>
  <Override ContentType="application/vnd.openxmlformats-officedocument.spreadsheetml.worksheet+xml" PartName="/xl/worksheets/sheet51825.xml"/>
  <Override ContentType="application/vnd.openxmlformats-officedocument.spreadsheetml.worksheet+xml" PartName="/xl/worksheets/sheet51826.xml"/>
  <Override ContentType="application/vnd.openxmlformats-officedocument.spreadsheetml.worksheet+xml" PartName="/xl/worksheets/sheet51827.xml"/>
  <Override ContentType="application/vnd.openxmlformats-officedocument.spreadsheetml.worksheet+xml" PartName="/xl/worksheets/sheet51828.xml"/>
  <Override ContentType="application/vnd.openxmlformats-officedocument.spreadsheetml.worksheet+xml" PartName="/xl/worksheets/sheet51829.xml"/>
  <Override ContentType="application/vnd.openxmlformats-officedocument.spreadsheetml.worksheet+xml" PartName="/xl/worksheets/sheet51830.xml"/>
  <Override ContentType="application/vnd.openxmlformats-officedocument.spreadsheetml.worksheet+xml" PartName="/xl/worksheets/sheet51831.xml"/>
  <Override ContentType="application/vnd.openxmlformats-officedocument.spreadsheetml.worksheet+xml" PartName="/xl/worksheets/sheet51832.xml"/>
  <Override ContentType="application/vnd.openxmlformats-officedocument.spreadsheetml.worksheet+xml" PartName="/xl/worksheets/sheet51833.xml"/>
  <Override ContentType="application/vnd.openxmlformats-officedocument.spreadsheetml.worksheet+xml" PartName="/xl/worksheets/sheet51834.xml"/>
  <Override ContentType="application/vnd.openxmlformats-officedocument.spreadsheetml.worksheet+xml" PartName="/xl/worksheets/sheet51835.xml"/>
  <Override ContentType="application/vnd.openxmlformats-officedocument.spreadsheetml.worksheet+xml" PartName="/xl/worksheets/sheet51836.xml"/>
  <Override ContentType="application/vnd.openxmlformats-officedocument.spreadsheetml.worksheet+xml" PartName="/xl/worksheets/sheet51837.xml"/>
  <Override ContentType="application/vnd.openxmlformats-officedocument.spreadsheetml.worksheet+xml" PartName="/xl/worksheets/sheet51838.xml"/>
  <Override ContentType="application/vnd.openxmlformats-officedocument.spreadsheetml.worksheet+xml" PartName="/xl/worksheets/sheet51839.xml"/>
  <Override ContentType="application/vnd.openxmlformats-officedocument.spreadsheetml.worksheet+xml" PartName="/xl/worksheets/sheet51840.xml"/>
  <Override ContentType="application/vnd.openxmlformats-officedocument.spreadsheetml.worksheet+xml" PartName="/xl/worksheets/sheet51841.xml"/>
  <Override ContentType="application/vnd.openxmlformats-officedocument.spreadsheetml.worksheet+xml" PartName="/xl/worksheets/sheet51842.xml"/>
  <Override ContentType="application/vnd.openxmlformats-officedocument.spreadsheetml.worksheet+xml" PartName="/xl/worksheets/sheet51843.xml"/>
  <Override ContentType="application/vnd.openxmlformats-officedocument.spreadsheetml.worksheet+xml" PartName="/xl/worksheets/sheet51844.xml"/>
  <Override ContentType="application/vnd.openxmlformats-officedocument.spreadsheetml.worksheet+xml" PartName="/xl/worksheets/sheet51845.xml"/>
  <Override ContentType="application/vnd.openxmlformats-officedocument.spreadsheetml.worksheet+xml" PartName="/xl/worksheets/sheet51846.xml"/>
  <Override ContentType="application/vnd.openxmlformats-officedocument.spreadsheetml.worksheet+xml" PartName="/xl/worksheets/sheet51847.xml"/>
  <Override ContentType="application/vnd.openxmlformats-officedocument.spreadsheetml.worksheet+xml" PartName="/xl/worksheets/sheet51848.xml"/>
  <Override ContentType="application/vnd.openxmlformats-officedocument.spreadsheetml.worksheet+xml" PartName="/xl/worksheets/sheet51849.xml"/>
  <Override ContentType="application/vnd.openxmlformats-officedocument.spreadsheetml.worksheet+xml" PartName="/xl/worksheets/sheet51850.xml"/>
  <Override ContentType="application/vnd.openxmlformats-officedocument.spreadsheetml.worksheet+xml" PartName="/xl/worksheets/sheet51851.xml"/>
  <Override ContentType="application/vnd.openxmlformats-officedocument.spreadsheetml.worksheet+xml" PartName="/xl/worksheets/sheet51852.xml"/>
  <Override ContentType="application/vnd.openxmlformats-officedocument.spreadsheetml.worksheet+xml" PartName="/xl/worksheets/sheet51853.xml"/>
  <Override ContentType="application/vnd.openxmlformats-officedocument.spreadsheetml.worksheet+xml" PartName="/xl/worksheets/sheet51854.xml"/>
  <Override ContentType="application/vnd.openxmlformats-officedocument.spreadsheetml.worksheet+xml" PartName="/xl/worksheets/sheet51855.xml"/>
  <Override ContentType="application/vnd.openxmlformats-officedocument.spreadsheetml.worksheet+xml" PartName="/xl/worksheets/sheet51856.xml"/>
  <Override ContentType="application/vnd.openxmlformats-officedocument.spreadsheetml.worksheet+xml" PartName="/xl/worksheets/sheet51857.xml"/>
  <Override ContentType="application/vnd.openxmlformats-officedocument.spreadsheetml.worksheet+xml" PartName="/xl/worksheets/sheet51858.xml"/>
  <Override ContentType="application/vnd.openxmlformats-officedocument.spreadsheetml.worksheet+xml" PartName="/xl/worksheets/sheet51859.xml"/>
  <Override ContentType="application/vnd.openxmlformats-officedocument.spreadsheetml.worksheet+xml" PartName="/xl/worksheets/sheet51860.xml"/>
  <Override ContentType="application/vnd.openxmlformats-officedocument.spreadsheetml.worksheet+xml" PartName="/xl/worksheets/sheet51861.xml"/>
  <Override ContentType="application/vnd.openxmlformats-officedocument.spreadsheetml.worksheet+xml" PartName="/xl/worksheets/sheet51862.xml"/>
  <Override ContentType="application/vnd.openxmlformats-officedocument.spreadsheetml.worksheet+xml" PartName="/xl/worksheets/sheet51863.xml"/>
  <Override ContentType="application/vnd.openxmlformats-officedocument.spreadsheetml.worksheet+xml" PartName="/xl/worksheets/sheet51864.xml"/>
  <Override ContentType="application/vnd.openxmlformats-officedocument.spreadsheetml.worksheet+xml" PartName="/xl/worksheets/sheet51865.xml"/>
  <Override ContentType="application/vnd.openxmlformats-officedocument.spreadsheetml.worksheet+xml" PartName="/xl/worksheets/sheet51866.xml"/>
  <Override ContentType="application/vnd.openxmlformats-officedocument.spreadsheetml.worksheet+xml" PartName="/xl/worksheets/sheet51867.xml"/>
  <Override ContentType="application/vnd.openxmlformats-officedocument.spreadsheetml.worksheet+xml" PartName="/xl/worksheets/sheet51868.xml"/>
  <Override ContentType="application/vnd.openxmlformats-officedocument.spreadsheetml.worksheet+xml" PartName="/xl/worksheets/sheet51869.xml"/>
  <Override ContentType="application/vnd.openxmlformats-officedocument.spreadsheetml.worksheet+xml" PartName="/xl/worksheets/sheet51870.xml"/>
  <Override ContentType="application/vnd.openxmlformats-officedocument.spreadsheetml.worksheet+xml" PartName="/xl/worksheets/sheet51871.xml"/>
  <Override ContentType="application/vnd.openxmlformats-officedocument.spreadsheetml.worksheet+xml" PartName="/xl/worksheets/sheet51872.xml"/>
  <Override ContentType="application/vnd.openxmlformats-officedocument.spreadsheetml.worksheet+xml" PartName="/xl/worksheets/sheet51873.xml"/>
  <Override ContentType="application/vnd.openxmlformats-officedocument.spreadsheetml.worksheet+xml" PartName="/xl/worksheets/sheet51874.xml"/>
  <Override ContentType="application/vnd.openxmlformats-officedocument.spreadsheetml.worksheet+xml" PartName="/xl/worksheets/sheet51875.xml"/>
  <Override ContentType="application/vnd.openxmlformats-officedocument.spreadsheetml.worksheet+xml" PartName="/xl/worksheets/sheet51876.xml"/>
  <Override ContentType="application/vnd.openxmlformats-officedocument.spreadsheetml.worksheet+xml" PartName="/xl/worksheets/sheet51877.xml"/>
  <Override ContentType="application/vnd.openxmlformats-officedocument.spreadsheetml.worksheet+xml" PartName="/xl/worksheets/sheet51878.xml"/>
  <Override ContentType="application/vnd.openxmlformats-officedocument.spreadsheetml.worksheet+xml" PartName="/xl/worksheets/sheet51879.xml"/>
  <Override ContentType="application/vnd.openxmlformats-officedocument.spreadsheetml.worksheet+xml" PartName="/xl/worksheets/sheet51880.xml"/>
  <Override ContentType="application/vnd.openxmlformats-officedocument.spreadsheetml.worksheet+xml" PartName="/xl/worksheets/sheet51881.xml"/>
  <Override ContentType="application/vnd.openxmlformats-officedocument.spreadsheetml.worksheet+xml" PartName="/xl/worksheets/sheet51882.xml"/>
  <Override ContentType="application/vnd.openxmlformats-officedocument.spreadsheetml.worksheet+xml" PartName="/xl/worksheets/sheet51883.xml"/>
  <Override ContentType="application/vnd.openxmlformats-officedocument.spreadsheetml.worksheet+xml" PartName="/xl/worksheets/sheet51884.xml"/>
  <Override ContentType="application/vnd.openxmlformats-officedocument.spreadsheetml.worksheet+xml" PartName="/xl/worksheets/sheet51885.xml"/>
  <Override ContentType="application/vnd.openxmlformats-officedocument.spreadsheetml.worksheet+xml" PartName="/xl/worksheets/sheet51886.xml"/>
  <Override ContentType="application/vnd.openxmlformats-officedocument.spreadsheetml.worksheet+xml" PartName="/xl/worksheets/sheet51887.xml"/>
  <Override ContentType="application/vnd.openxmlformats-officedocument.spreadsheetml.worksheet+xml" PartName="/xl/worksheets/sheet51888.xml"/>
  <Override ContentType="application/vnd.openxmlformats-officedocument.spreadsheetml.worksheet+xml" PartName="/xl/worksheets/sheet51889.xml"/>
  <Override ContentType="application/vnd.openxmlformats-officedocument.spreadsheetml.worksheet+xml" PartName="/xl/worksheets/sheet51890.xml"/>
  <Override ContentType="application/vnd.openxmlformats-officedocument.spreadsheetml.worksheet+xml" PartName="/xl/worksheets/sheet51891.xml"/>
  <Override ContentType="application/vnd.openxmlformats-officedocument.spreadsheetml.worksheet+xml" PartName="/xl/worksheets/sheet51892.xml"/>
  <Override ContentType="application/vnd.openxmlformats-officedocument.spreadsheetml.worksheet+xml" PartName="/xl/worksheets/sheet51893.xml"/>
  <Override ContentType="application/vnd.openxmlformats-officedocument.spreadsheetml.worksheet+xml" PartName="/xl/worksheets/sheet51894.xml"/>
  <Override ContentType="application/vnd.openxmlformats-officedocument.spreadsheetml.worksheet+xml" PartName="/xl/worksheets/sheet51895.xml"/>
  <Override ContentType="application/vnd.openxmlformats-officedocument.spreadsheetml.worksheet+xml" PartName="/xl/worksheets/sheet51896.xml"/>
  <Override ContentType="application/vnd.openxmlformats-officedocument.spreadsheetml.worksheet+xml" PartName="/xl/worksheets/sheet51897.xml"/>
  <Override ContentType="application/vnd.openxmlformats-officedocument.spreadsheetml.worksheet+xml" PartName="/xl/worksheets/sheet51898.xml"/>
  <Override ContentType="application/vnd.openxmlformats-officedocument.spreadsheetml.worksheet+xml" PartName="/xl/worksheets/sheet51899.xml"/>
  <Override ContentType="application/vnd.openxmlformats-officedocument.spreadsheetml.worksheet+xml" PartName="/xl/worksheets/sheet51900.xml"/>
  <Override ContentType="application/vnd.openxmlformats-officedocument.spreadsheetml.worksheet+xml" PartName="/xl/worksheets/sheet51901.xml"/>
  <Override ContentType="application/vnd.openxmlformats-officedocument.spreadsheetml.worksheet+xml" PartName="/xl/worksheets/sheet51902.xml"/>
  <Override ContentType="application/vnd.openxmlformats-officedocument.spreadsheetml.worksheet+xml" PartName="/xl/worksheets/sheet51903.xml"/>
  <Override ContentType="application/vnd.openxmlformats-officedocument.spreadsheetml.worksheet+xml" PartName="/xl/worksheets/sheet51904.xml"/>
  <Override ContentType="application/vnd.openxmlformats-officedocument.spreadsheetml.worksheet+xml" PartName="/xl/worksheets/sheet51905.xml"/>
  <Override ContentType="application/vnd.openxmlformats-officedocument.spreadsheetml.worksheet+xml" PartName="/xl/worksheets/sheet51906.xml"/>
  <Override ContentType="application/vnd.openxmlformats-officedocument.spreadsheetml.worksheet+xml" PartName="/xl/worksheets/sheet51907.xml"/>
  <Override ContentType="application/vnd.openxmlformats-officedocument.spreadsheetml.worksheet+xml" PartName="/xl/worksheets/sheet51908.xml"/>
  <Override ContentType="application/vnd.openxmlformats-officedocument.spreadsheetml.worksheet+xml" PartName="/xl/worksheets/sheet51909.xml"/>
  <Override ContentType="application/vnd.openxmlformats-officedocument.spreadsheetml.worksheet+xml" PartName="/xl/worksheets/sheet51910.xml"/>
  <Override ContentType="application/vnd.openxmlformats-officedocument.spreadsheetml.worksheet+xml" PartName="/xl/worksheets/sheet51911.xml"/>
  <Override ContentType="application/vnd.openxmlformats-officedocument.spreadsheetml.worksheet+xml" PartName="/xl/worksheets/sheet51912.xml"/>
  <Override ContentType="application/vnd.openxmlformats-officedocument.spreadsheetml.worksheet+xml" PartName="/xl/worksheets/sheet51913.xml"/>
  <Override ContentType="application/vnd.openxmlformats-officedocument.spreadsheetml.worksheet+xml" PartName="/xl/worksheets/sheet51914.xml"/>
  <Override ContentType="application/vnd.openxmlformats-officedocument.spreadsheetml.worksheet+xml" PartName="/xl/worksheets/sheet51915.xml"/>
  <Override ContentType="application/vnd.openxmlformats-officedocument.spreadsheetml.worksheet+xml" PartName="/xl/worksheets/sheet51916.xml"/>
  <Override ContentType="application/vnd.openxmlformats-officedocument.spreadsheetml.worksheet+xml" PartName="/xl/worksheets/sheet51917.xml"/>
  <Override ContentType="application/vnd.openxmlformats-officedocument.spreadsheetml.worksheet+xml" PartName="/xl/worksheets/sheet51918.xml"/>
  <Override ContentType="application/vnd.openxmlformats-officedocument.spreadsheetml.worksheet+xml" PartName="/xl/worksheets/sheet51919.xml"/>
  <Override ContentType="application/vnd.openxmlformats-officedocument.spreadsheetml.worksheet+xml" PartName="/xl/worksheets/sheet51920.xml"/>
  <Override ContentType="application/vnd.openxmlformats-officedocument.spreadsheetml.worksheet+xml" PartName="/xl/worksheets/sheet51921.xml"/>
  <Override ContentType="application/vnd.openxmlformats-officedocument.spreadsheetml.worksheet+xml" PartName="/xl/worksheets/sheet51922.xml"/>
  <Override ContentType="application/vnd.openxmlformats-officedocument.spreadsheetml.worksheet+xml" PartName="/xl/worksheets/sheet51923.xml"/>
  <Override ContentType="application/vnd.openxmlformats-officedocument.spreadsheetml.worksheet+xml" PartName="/xl/worksheets/sheet51924.xml"/>
  <Override ContentType="application/vnd.openxmlformats-officedocument.spreadsheetml.worksheet+xml" PartName="/xl/worksheets/sheet51925.xml"/>
  <Override ContentType="application/vnd.openxmlformats-officedocument.spreadsheetml.worksheet+xml" PartName="/xl/worksheets/sheet51926.xml"/>
  <Override ContentType="application/vnd.openxmlformats-officedocument.spreadsheetml.worksheet+xml" PartName="/xl/worksheets/sheet51927.xml"/>
  <Override ContentType="application/vnd.openxmlformats-officedocument.spreadsheetml.worksheet+xml" PartName="/xl/worksheets/sheet51928.xml"/>
  <Override ContentType="application/vnd.openxmlformats-officedocument.spreadsheetml.worksheet+xml" PartName="/xl/worksheets/sheet51929.xml"/>
  <Override ContentType="application/vnd.openxmlformats-officedocument.spreadsheetml.worksheet+xml" PartName="/xl/worksheets/sheet51930.xml"/>
  <Override ContentType="application/vnd.openxmlformats-officedocument.spreadsheetml.worksheet+xml" PartName="/xl/worksheets/sheet51931.xml"/>
  <Override ContentType="application/vnd.openxmlformats-officedocument.spreadsheetml.worksheet+xml" PartName="/xl/worksheets/sheet51932.xml"/>
  <Override ContentType="application/vnd.openxmlformats-officedocument.spreadsheetml.worksheet+xml" PartName="/xl/worksheets/sheet51933.xml"/>
  <Override ContentType="application/vnd.openxmlformats-officedocument.spreadsheetml.worksheet+xml" PartName="/xl/worksheets/sheet51934.xml"/>
  <Override ContentType="application/vnd.openxmlformats-officedocument.spreadsheetml.worksheet+xml" PartName="/xl/worksheets/sheet51935.xml"/>
  <Override ContentType="application/vnd.openxmlformats-officedocument.spreadsheetml.worksheet+xml" PartName="/xl/worksheets/sheet51936.xml"/>
  <Override ContentType="application/vnd.openxmlformats-officedocument.spreadsheetml.worksheet+xml" PartName="/xl/worksheets/sheet51937.xml"/>
  <Override ContentType="application/vnd.openxmlformats-officedocument.spreadsheetml.worksheet+xml" PartName="/xl/worksheets/sheet51938.xml"/>
  <Override ContentType="application/vnd.openxmlformats-officedocument.spreadsheetml.worksheet+xml" PartName="/xl/worksheets/sheet51939.xml"/>
  <Override ContentType="application/vnd.openxmlformats-officedocument.spreadsheetml.worksheet+xml" PartName="/xl/worksheets/sheet51940.xml"/>
  <Override ContentType="application/vnd.openxmlformats-officedocument.spreadsheetml.worksheet+xml" PartName="/xl/worksheets/sheet51941.xml"/>
  <Override ContentType="application/vnd.openxmlformats-officedocument.spreadsheetml.worksheet+xml" PartName="/xl/worksheets/sheet51942.xml"/>
  <Override ContentType="application/vnd.openxmlformats-officedocument.spreadsheetml.worksheet+xml" PartName="/xl/worksheets/sheet51943.xml"/>
  <Override ContentType="application/vnd.openxmlformats-officedocument.spreadsheetml.worksheet+xml" PartName="/xl/worksheets/sheet51944.xml"/>
  <Override ContentType="application/vnd.openxmlformats-officedocument.spreadsheetml.worksheet+xml" PartName="/xl/worksheets/sheet51945.xml"/>
  <Override ContentType="application/vnd.openxmlformats-officedocument.spreadsheetml.worksheet+xml" PartName="/xl/worksheets/sheet51946.xml"/>
  <Override ContentType="application/vnd.openxmlformats-officedocument.spreadsheetml.worksheet+xml" PartName="/xl/worksheets/sheet51947.xml"/>
  <Override ContentType="application/vnd.openxmlformats-officedocument.spreadsheetml.worksheet+xml" PartName="/xl/worksheets/sheet51948.xml"/>
  <Override ContentType="application/vnd.openxmlformats-officedocument.spreadsheetml.worksheet+xml" PartName="/xl/worksheets/sheet51949.xml"/>
  <Override ContentType="application/vnd.openxmlformats-officedocument.spreadsheetml.worksheet+xml" PartName="/xl/worksheets/sheet51950.xml"/>
  <Override ContentType="application/vnd.openxmlformats-officedocument.spreadsheetml.worksheet+xml" PartName="/xl/worksheets/sheet51951.xml"/>
  <Override ContentType="application/vnd.openxmlformats-officedocument.spreadsheetml.worksheet+xml" PartName="/xl/worksheets/sheet51952.xml"/>
  <Override ContentType="application/vnd.openxmlformats-officedocument.spreadsheetml.worksheet+xml" PartName="/xl/worksheets/sheet51953.xml"/>
  <Override ContentType="application/vnd.openxmlformats-officedocument.spreadsheetml.worksheet+xml" PartName="/xl/worksheets/sheet51954.xml"/>
  <Override ContentType="application/vnd.openxmlformats-officedocument.spreadsheetml.worksheet+xml" PartName="/xl/worksheets/sheet51955.xml"/>
  <Override ContentType="application/vnd.openxmlformats-officedocument.spreadsheetml.worksheet+xml" PartName="/xl/worksheets/sheet51956.xml"/>
  <Override ContentType="application/vnd.openxmlformats-officedocument.spreadsheetml.worksheet+xml" PartName="/xl/worksheets/sheet51957.xml"/>
  <Override ContentType="application/vnd.openxmlformats-officedocument.spreadsheetml.worksheet+xml" PartName="/xl/worksheets/sheet51958.xml"/>
  <Override ContentType="application/vnd.openxmlformats-officedocument.spreadsheetml.worksheet+xml" PartName="/xl/worksheets/sheet51959.xml"/>
  <Override ContentType="application/vnd.openxmlformats-officedocument.spreadsheetml.worksheet+xml" PartName="/xl/worksheets/sheet51960.xml"/>
  <Override ContentType="application/vnd.openxmlformats-officedocument.spreadsheetml.worksheet+xml" PartName="/xl/worksheets/sheet51961.xml"/>
  <Override ContentType="application/vnd.openxmlformats-officedocument.spreadsheetml.worksheet+xml" PartName="/xl/worksheets/sheet51962.xml"/>
  <Override ContentType="application/vnd.openxmlformats-officedocument.spreadsheetml.worksheet+xml" PartName="/xl/worksheets/sheet51963.xml"/>
  <Override ContentType="application/vnd.openxmlformats-officedocument.spreadsheetml.worksheet+xml" PartName="/xl/worksheets/sheet51964.xml"/>
  <Override ContentType="application/vnd.openxmlformats-officedocument.spreadsheetml.worksheet+xml" PartName="/xl/worksheets/sheet51965.xml"/>
  <Override ContentType="application/vnd.openxmlformats-officedocument.spreadsheetml.worksheet+xml" PartName="/xl/worksheets/sheet51966.xml"/>
  <Override ContentType="application/vnd.openxmlformats-officedocument.spreadsheetml.worksheet+xml" PartName="/xl/worksheets/sheet51967.xml"/>
  <Override ContentType="application/vnd.openxmlformats-officedocument.spreadsheetml.worksheet+xml" PartName="/xl/worksheets/sheet51968.xml"/>
  <Override ContentType="application/vnd.openxmlformats-officedocument.spreadsheetml.worksheet+xml" PartName="/xl/worksheets/sheet51969.xml"/>
  <Override ContentType="application/vnd.openxmlformats-officedocument.spreadsheetml.worksheet+xml" PartName="/xl/worksheets/sheet51970.xml"/>
  <Override ContentType="application/vnd.openxmlformats-officedocument.spreadsheetml.worksheet+xml" PartName="/xl/worksheets/sheet51971.xml"/>
  <Override ContentType="application/vnd.openxmlformats-officedocument.spreadsheetml.worksheet+xml" PartName="/xl/worksheets/sheet51972.xml"/>
  <Override ContentType="application/vnd.openxmlformats-officedocument.spreadsheetml.worksheet+xml" PartName="/xl/worksheets/sheet51973.xml"/>
  <Override ContentType="application/vnd.openxmlformats-officedocument.spreadsheetml.worksheet+xml" PartName="/xl/worksheets/sheet51974.xml"/>
  <Override ContentType="application/vnd.openxmlformats-officedocument.spreadsheetml.worksheet+xml" PartName="/xl/worksheets/sheet51975.xml"/>
  <Override ContentType="application/vnd.openxmlformats-officedocument.spreadsheetml.worksheet+xml" PartName="/xl/worksheets/sheet51976.xml"/>
  <Override ContentType="application/vnd.openxmlformats-officedocument.spreadsheetml.worksheet+xml" PartName="/xl/worksheets/sheet51977.xml"/>
  <Override ContentType="application/vnd.openxmlformats-officedocument.spreadsheetml.worksheet+xml" PartName="/xl/worksheets/sheet51978.xml"/>
  <Override ContentType="application/vnd.openxmlformats-officedocument.spreadsheetml.worksheet+xml" PartName="/xl/worksheets/sheet51979.xml"/>
  <Override ContentType="application/vnd.openxmlformats-officedocument.spreadsheetml.worksheet+xml" PartName="/xl/worksheets/sheet51980.xml"/>
  <Override ContentType="application/vnd.openxmlformats-officedocument.spreadsheetml.worksheet+xml" PartName="/xl/worksheets/sheet51981.xml"/>
  <Override ContentType="application/vnd.openxmlformats-officedocument.spreadsheetml.worksheet+xml" PartName="/xl/worksheets/sheet51982.xml"/>
  <Override ContentType="application/vnd.openxmlformats-officedocument.spreadsheetml.worksheet+xml" PartName="/xl/worksheets/sheet51983.xml"/>
  <Override ContentType="application/vnd.openxmlformats-officedocument.spreadsheetml.worksheet+xml" PartName="/xl/worksheets/sheet51984.xml"/>
  <Override ContentType="application/vnd.openxmlformats-officedocument.spreadsheetml.worksheet+xml" PartName="/xl/worksheets/sheet51985.xml"/>
  <Override ContentType="application/vnd.openxmlformats-officedocument.spreadsheetml.worksheet+xml" PartName="/xl/worksheets/sheet51986.xml"/>
  <Override ContentType="application/vnd.openxmlformats-officedocument.spreadsheetml.worksheet+xml" PartName="/xl/worksheets/sheet51987.xml"/>
  <Override ContentType="application/vnd.openxmlformats-officedocument.spreadsheetml.worksheet+xml" PartName="/xl/worksheets/sheet51988.xml"/>
  <Override ContentType="application/vnd.openxmlformats-officedocument.spreadsheetml.worksheet+xml" PartName="/xl/worksheets/sheet51989.xml"/>
  <Override ContentType="application/vnd.openxmlformats-officedocument.spreadsheetml.worksheet+xml" PartName="/xl/worksheets/sheet51990.xml"/>
  <Override ContentType="application/vnd.openxmlformats-officedocument.spreadsheetml.worksheet+xml" PartName="/xl/worksheets/sheet51991.xml"/>
  <Override ContentType="application/vnd.openxmlformats-officedocument.spreadsheetml.worksheet+xml" PartName="/xl/worksheets/sheet51992.xml"/>
  <Override ContentType="application/vnd.openxmlformats-officedocument.spreadsheetml.worksheet+xml" PartName="/xl/worksheets/sheet51993.xml"/>
  <Override ContentType="application/vnd.openxmlformats-officedocument.spreadsheetml.worksheet+xml" PartName="/xl/worksheets/sheet51994.xml"/>
  <Override ContentType="application/vnd.openxmlformats-officedocument.spreadsheetml.worksheet+xml" PartName="/xl/worksheets/sheet51995.xml"/>
  <Override ContentType="application/vnd.openxmlformats-officedocument.spreadsheetml.worksheet+xml" PartName="/xl/worksheets/sheet51996.xml"/>
  <Override ContentType="application/vnd.openxmlformats-officedocument.spreadsheetml.worksheet+xml" PartName="/xl/worksheets/sheet51997.xml"/>
  <Override ContentType="application/vnd.openxmlformats-officedocument.spreadsheetml.worksheet+xml" PartName="/xl/worksheets/sheet51998.xml"/>
  <Override ContentType="application/vnd.openxmlformats-officedocument.spreadsheetml.worksheet+xml" PartName="/xl/worksheets/sheet51999.xml"/>
  <Override ContentType="application/vnd.openxmlformats-officedocument.spreadsheetml.worksheet+xml" PartName="/xl/worksheets/sheet52000.xml"/>
  <Override ContentType="application/vnd.openxmlformats-officedocument.spreadsheetml.worksheet+xml" PartName="/xl/worksheets/sheet52001.xml"/>
  <Override ContentType="application/vnd.openxmlformats-officedocument.spreadsheetml.worksheet+xml" PartName="/xl/worksheets/sheet52002.xml"/>
  <Override ContentType="application/vnd.openxmlformats-officedocument.spreadsheetml.worksheet+xml" PartName="/xl/worksheets/sheet52003.xml"/>
  <Override ContentType="application/vnd.openxmlformats-officedocument.spreadsheetml.worksheet+xml" PartName="/xl/worksheets/sheet52004.xml"/>
  <Override ContentType="application/vnd.openxmlformats-officedocument.spreadsheetml.worksheet+xml" PartName="/xl/worksheets/sheet52005.xml"/>
  <Override ContentType="application/vnd.openxmlformats-officedocument.spreadsheetml.worksheet+xml" PartName="/xl/worksheets/sheet52006.xml"/>
  <Override ContentType="application/vnd.openxmlformats-officedocument.spreadsheetml.worksheet+xml" PartName="/xl/worksheets/sheet52007.xml"/>
  <Override ContentType="application/vnd.openxmlformats-officedocument.spreadsheetml.worksheet+xml" PartName="/xl/worksheets/sheet52008.xml"/>
  <Override ContentType="application/vnd.openxmlformats-officedocument.spreadsheetml.worksheet+xml" PartName="/xl/worksheets/sheet52009.xml"/>
  <Override ContentType="application/vnd.openxmlformats-officedocument.spreadsheetml.worksheet+xml" PartName="/xl/worksheets/sheet52010.xml"/>
  <Override ContentType="application/vnd.openxmlformats-officedocument.spreadsheetml.worksheet+xml" PartName="/xl/worksheets/sheet52011.xml"/>
  <Override ContentType="application/vnd.openxmlformats-officedocument.spreadsheetml.worksheet+xml" PartName="/xl/worksheets/sheet52012.xml"/>
  <Override ContentType="application/vnd.openxmlformats-officedocument.spreadsheetml.worksheet+xml" PartName="/xl/worksheets/sheet52013.xml"/>
  <Override ContentType="application/vnd.openxmlformats-officedocument.spreadsheetml.worksheet+xml" PartName="/xl/worksheets/sheet52014.xml"/>
  <Override ContentType="application/vnd.openxmlformats-officedocument.spreadsheetml.worksheet+xml" PartName="/xl/worksheets/sheet52015.xml"/>
  <Override ContentType="application/vnd.openxmlformats-officedocument.spreadsheetml.worksheet+xml" PartName="/xl/worksheets/sheet52016.xml"/>
  <Override ContentType="application/vnd.openxmlformats-officedocument.spreadsheetml.worksheet+xml" PartName="/xl/worksheets/sheet52017.xml"/>
  <Override ContentType="application/vnd.openxmlformats-officedocument.spreadsheetml.worksheet+xml" PartName="/xl/worksheets/sheet52018.xml"/>
  <Override ContentType="application/vnd.openxmlformats-officedocument.spreadsheetml.worksheet+xml" PartName="/xl/worksheets/sheet52019.xml"/>
  <Override ContentType="application/vnd.openxmlformats-officedocument.spreadsheetml.worksheet+xml" PartName="/xl/worksheets/sheet52020.xml"/>
  <Override ContentType="application/vnd.openxmlformats-officedocument.spreadsheetml.worksheet+xml" PartName="/xl/worksheets/sheet52021.xml"/>
  <Override ContentType="application/vnd.openxmlformats-officedocument.spreadsheetml.worksheet+xml" PartName="/xl/worksheets/sheet52022.xml"/>
  <Override ContentType="application/vnd.openxmlformats-officedocument.spreadsheetml.worksheet+xml" PartName="/xl/worksheets/sheet52023.xml"/>
  <Override ContentType="application/vnd.openxmlformats-officedocument.spreadsheetml.worksheet+xml" PartName="/xl/worksheets/sheet52024.xml"/>
  <Override ContentType="application/vnd.openxmlformats-officedocument.spreadsheetml.worksheet+xml" PartName="/xl/worksheets/sheet52025.xml"/>
  <Override ContentType="application/vnd.openxmlformats-officedocument.spreadsheetml.worksheet+xml" PartName="/xl/worksheets/sheet52026.xml"/>
  <Override ContentType="application/vnd.openxmlformats-officedocument.spreadsheetml.worksheet+xml" PartName="/xl/worksheets/sheet52027.xml"/>
  <Override ContentType="application/vnd.openxmlformats-officedocument.spreadsheetml.worksheet+xml" PartName="/xl/worksheets/sheet52028.xml"/>
  <Override ContentType="application/vnd.openxmlformats-officedocument.spreadsheetml.worksheet+xml" PartName="/xl/worksheets/sheet52029.xml"/>
  <Override ContentType="application/vnd.openxmlformats-officedocument.spreadsheetml.worksheet+xml" PartName="/xl/worksheets/sheet52030.xml"/>
  <Override ContentType="application/vnd.openxmlformats-officedocument.spreadsheetml.worksheet+xml" PartName="/xl/worksheets/sheet52031.xml"/>
  <Override ContentType="application/vnd.openxmlformats-officedocument.spreadsheetml.worksheet+xml" PartName="/xl/worksheets/sheet52032.xml"/>
  <Override ContentType="application/vnd.openxmlformats-officedocument.spreadsheetml.worksheet+xml" PartName="/xl/worksheets/sheet52033.xml"/>
  <Override ContentType="application/vnd.openxmlformats-officedocument.spreadsheetml.worksheet+xml" PartName="/xl/worksheets/sheet52034.xml"/>
  <Override ContentType="application/vnd.openxmlformats-officedocument.spreadsheetml.worksheet+xml" PartName="/xl/worksheets/sheet52035.xml"/>
  <Override ContentType="application/vnd.openxmlformats-officedocument.spreadsheetml.worksheet+xml" PartName="/xl/worksheets/sheet52036.xml"/>
  <Override ContentType="application/vnd.openxmlformats-officedocument.spreadsheetml.worksheet+xml" PartName="/xl/worksheets/sheet52037.xml"/>
  <Override ContentType="application/vnd.openxmlformats-officedocument.spreadsheetml.worksheet+xml" PartName="/xl/worksheets/sheet52038.xml"/>
  <Override ContentType="application/vnd.openxmlformats-officedocument.spreadsheetml.worksheet+xml" PartName="/xl/worksheets/sheet52039.xml"/>
  <Override ContentType="application/vnd.openxmlformats-officedocument.spreadsheetml.worksheet+xml" PartName="/xl/worksheets/sheet52040.xml"/>
  <Override ContentType="application/vnd.openxmlformats-officedocument.spreadsheetml.worksheet+xml" PartName="/xl/worksheets/sheet52041.xml"/>
  <Override ContentType="application/vnd.openxmlformats-officedocument.spreadsheetml.worksheet+xml" PartName="/xl/worksheets/sheet52042.xml"/>
  <Override ContentType="application/vnd.openxmlformats-officedocument.spreadsheetml.worksheet+xml" PartName="/xl/worksheets/sheet52043.xml"/>
  <Override ContentType="application/vnd.openxmlformats-officedocument.spreadsheetml.worksheet+xml" PartName="/xl/worksheets/sheet52044.xml"/>
  <Override ContentType="application/vnd.openxmlformats-officedocument.spreadsheetml.worksheet+xml" PartName="/xl/worksheets/sheet52045.xml"/>
  <Override ContentType="application/vnd.openxmlformats-officedocument.spreadsheetml.worksheet+xml" PartName="/xl/worksheets/sheet52046.xml"/>
  <Override ContentType="application/vnd.openxmlformats-officedocument.spreadsheetml.worksheet+xml" PartName="/xl/worksheets/sheet52047.xml"/>
  <Override ContentType="application/vnd.openxmlformats-officedocument.spreadsheetml.worksheet+xml" PartName="/xl/worksheets/sheet52048.xml"/>
  <Override ContentType="application/vnd.openxmlformats-officedocument.spreadsheetml.worksheet+xml" PartName="/xl/worksheets/sheet52049.xml"/>
  <Override ContentType="application/vnd.openxmlformats-officedocument.spreadsheetml.worksheet+xml" PartName="/xl/worksheets/sheet52050.xml"/>
  <Override ContentType="application/vnd.openxmlformats-officedocument.spreadsheetml.worksheet+xml" PartName="/xl/worksheets/sheet52051.xml"/>
  <Override ContentType="application/vnd.openxmlformats-officedocument.spreadsheetml.worksheet+xml" PartName="/xl/worksheets/sheet52052.xml"/>
  <Override ContentType="application/vnd.openxmlformats-officedocument.spreadsheetml.worksheet+xml" PartName="/xl/worksheets/sheet52053.xml"/>
  <Override ContentType="application/vnd.openxmlformats-officedocument.spreadsheetml.worksheet+xml" PartName="/xl/worksheets/sheet52054.xml"/>
  <Override ContentType="application/vnd.openxmlformats-officedocument.spreadsheetml.worksheet+xml" PartName="/xl/worksheets/sheet52055.xml"/>
  <Override ContentType="application/vnd.openxmlformats-officedocument.spreadsheetml.worksheet+xml" PartName="/xl/worksheets/sheet52056.xml"/>
  <Override ContentType="application/vnd.openxmlformats-officedocument.spreadsheetml.worksheet+xml" PartName="/xl/worksheets/sheet52057.xml"/>
  <Override ContentType="application/vnd.openxmlformats-officedocument.spreadsheetml.worksheet+xml" PartName="/xl/worksheets/sheet52058.xml"/>
  <Override ContentType="application/vnd.openxmlformats-officedocument.spreadsheetml.worksheet+xml" PartName="/xl/worksheets/sheet52059.xml"/>
  <Override ContentType="application/vnd.openxmlformats-officedocument.spreadsheetml.worksheet+xml" PartName="/xl/worksheets/sheet52060.xml"/>
  <Override ContentType="application/vnd.openxmlformats-officedocument.spreadsheetml.worksheet+xml" PartName="/xl/worksheets/sheet52061.xml"/>
  <Override ContentType="application/vnd.openxmlformats-officedocument.spreadsheetml.worksheet+xml" PartName="/xl/worksheets/sheet52062.xml"/>
  <Override ContentType="application/vnd.openxmlformats-officedocument.spreadsheetml.worksheet+xml" PartName="/xl/worksheets/sheet52063.xml"/>
  <Override ContentType="application/vnd.openxmlformats-officedocument.spreadsheetml.worksheet+xml" PartName="/xl/worksheets/sheet52064.xml"/>
  <Override ContentType="application/vnd.openxmlformats-officedocument.spreadsheetml.worksheet+xml" PartName="/xl/worksheets/sheet52065.xml"/>
  <Override ContentType="application/vnd.openxmlformats-officedocument.spreadsheetml.worksheet+xml" PartName="/xl/worksheets/sheet52066.xml"/>
  <Override ContentType="application/vnd.openxmlformats-officedocument.spreadsheetml.worksheet+xml" PartName="/xl/worksheets/sheet52067.xml"/>
  <Override ContentType="application/vnd.openxmlformats-officedocument.spreadsheetml.worksheet+xml" PartName="/xl/worksheets/sheet52068.xml"/>
  <Override ContentType="application/vnd.openxmlformats-officedocument.spreadsheetml.worksheet+xml" PartName="/xl/worksheets/sheet52069.xml"/>
  <Override ContentType="application/vnd.openxmlformats-officedocument.spreadsheetml.worksheet+xml" PartName="/xl/worksheets/sheet52070.xml"/>
  <Override ContentType="application/vnd.openxmlformats-officedocument.spreadsheetml.worksheet+xml" PartName="/xl/worksheets/sheet52071.xml"/>
  <Override ContentType="application/vnd.openxmlformats-officedocument.spreadsheetml.worksheet+xml" PartName="/xl/worksheets/sheet52072.xml"/>
  <Override ContentType="application/vnd.openxmlformats-officedocument.spreadsheetml.worksheet+xml" PartName="/xl/worksheets/sheet52073.xml"/>
  <Override ContentType="application/vnd.openxmlformats-officedocument.spreadsheetml.worksheet+xml" PartName="/xl/worksheets/sheet52074.xml"/>
  <Override ContentType="application/vnd.openxmlformats-officedocument.spreadsheetml.worksheet+xml" PartName="/xl/worksheets/sheet52075.xml"/>
  <Override ContentType="application/vnd.openxmlformats-officedocument.spreadsheetml.worksheet+xml" PartName="/xl/worksheets/sheet52076.xml"/>
  <Override ContentType="application/vnd.openxmlformats-officedocument.spreadsheetml.worksheet+xml" PartName="/xl/worksheets/sheet52077.xml"/>
  <Override ContentType="application/vnd.openxmlformats-officedocument.spreadsheetml.worksheet+xml" PartName="/xl/worksheets/sheet52078.xml"/>
  <Override ContentType="application/vnd.openxmlformats-officedocument.spreadsheetml.worksheet+xml" PartName="/xl/worksheets/sheet52079.xml"/>
  <Override ContentType="application/vnd.openxmlformats-officedocument.spreadsheetml.worksheet+xml" PartName="/xl/worksheets/sheet52080.xml"/>
  <Override ContentType="application/vnd.openxmlformats-officedocument.spreadsheetml.worksheet+xml" PartName="/xl/worksheets/sheet52081.xml"/>
  <Override ContentType="application/vnd.openxmlformats-officedocument.spreadsheetml.worksheet+xml" PartName="/xl/worksheets/sheet52082.xml"/>
  <Override ContentType="application/vnd.openxmlformats-officedocument.spreadsheetml.worksheet+xml" PartName="/xl/worksheets/sheet52083.xml"/>
  <Override ContentType="application/vnd.openxmlformats-officedocument.spreadsheetml.worksheet+xml" PartName="/xl/worksheets/sheet52084.xml"/>
  <Override ContentType="application/vnd.openxmlformats-officedocument.spreadsheetml.worksheet+xml" PartName="/xl/worksheets/sheet52085.xml"/>
  <Override ContentType="application/vnd.openxmlformats-officedocument.spreadsheetml.worksheet+xml" PartName="/xl/worksheets/sheet52086.xml"/>
  <Override ContentType="application/vnd.openxmlformats-officedocument.spreadsheetml.worksheet+xml" PartName="/xl/worksheets/sheet52087.xml"/>
  <Override ContentType="application/vnd.openxmlformats-officedocument.spreadsheetml.worksheet+xml" PartName="/xl/worksheets/sheet52088.xml"/>
  <Override ContentType="application/vnd.openxmlformats-officedocument.spreadsheetml.worksheet+xml" PartName="/xl/worksheets/sheet52089.xml"/>
  <Override ContentType="application/vnd.openxmlformats-officedocument.spreadsheetml.worksheet+xml" PartName="/xl/worksheets/sheet52090.xml"/>
  <Override ContentType="application/vnd.openxmlformats-officedocument.spreadsheetml.worksheet+xml" PartName="/xl/worksheets/sheet52091.xml"/>
  <Override ContentType="application/vnd.openxmlformats-officedocument.spreadsheetml.worksheet+xml" PartName="/xl/worksheets/sheet52092.xml"/>
  <Override ContentType="application/vnd.openxmlformats-officedocument.spreadsheetml.worksheet+xml" PartName="/xl/worksheets/sheet52093.xml"/>
  <Override ContentType="application/vnd.openxmlformats-officedocument.spreadsheetml.worksheet+xml" PartName="/xl/worksheets/sheet52094.xml"/>
  <Override ContentType="application/vnd.openxmlformats-officedocument.spreadsheetml.worksheet+xml" PartName="/xl/worksheets/sheet52095.xml"/>
  <Override ContentType="application/vnd.openxmlformats-officedocument.spreadsheetml.worksheet+xml" PartName="/xl/worksheets/sheet52096.xml"/>
  <Override ContentType="application/vnd.openxmlformats-officedocument.spreadsheetml.worksheet+xml" PartName="/xl/worksheets/sheet52097.xml"/>
  <Override ContentType="application/vnd.openxmlformats-officedocument.spreadsheetml.worksheet+xml" PartName="/xl/worksheets/sheet52098.xml"/>
  <Override ContentType="application/vnd.openxmlformats-officedocument.spreadsheetml.worksheet+xml" PartName="/xl/worksheets/sheet52099.xml"/>
  <Override ContentType="application/vnd.openxmlformats-officedocument.spreadsheetml.worksheet+xml" PartName="/xl/worksheets/sheet52100.xml"/>
  <Override ContentType="application/vnd.openxmlformats-officedocument.spreadsheetml.worksheet+xml" PartName="/xl/worksheets/sheet52101.xml"/>
  <Override ContentType="application/vnd.openxmlformats-officedocument.spreadsheetml.worksheet+xml" PartName="/xl/worksheets/sheet52102.xml"/>
  <Override ContentType="application/vnd.openxmlformats-officedocument.spreadsheetml.worksheet+xml" PartName="/xl/worksheets/sheet52103.xml"/>
  <Override ContentType="application/vnd.openxmlformats-officedocument.spreadsheetml.worksheet+xml" PartName="/xl/worksheets/sheet52104.xml"/>
  <Override ContentType="application/vnd.openxmlformats-officedocument.spreadsheetml.worksheet+xml" PartName="/xl/worksheets/sheet52105.xml"/>
  <Override ContentType="application/vnd.openxmlformats-officedocument.spreadsheetml.worksheet+xml" PartName="/xl/worksheets/sheet52106.xml"/>
  <Override ContentType="application/vnd.openxmlformats-officedocument.spreadsheetml.worksheet+xml" PartName="/xl/worksheets/sheet52107.xml"/>
  <Override ContentType="application/vnd.openxmlformats-officedocument.spreadsheetml.worksheet+xml" PartName="/xl/worksheets/sheet52108.xml"/>
  <Override ContentType="application/vnd.openxmlformats-officedocument.spreadsheetml.worksheet+xml" PartName="/xl/worksheets/sheet52109.xml"/>
  <Override ContentType="application/vnd.openxmlformats-officedocument.spreadsheetml.worksheet+xml" PartName="/xl/worksheets/sheet52110.xml"/>
  <Override ContentType="application/vnd.openxmlformats-officedocument.spreadsheetml.worksheet+xml" PartName="/xl/worksheets/sheet52111.xml"/>
  <Override ContentType="application/vnd.openxmlformats-officedocument.spreadsheetml.worksheet+xml" PartName="/xl/worksheets/sheet52112.xml"/>
  <Override ContentType="application/vnd.openxmlformats-officedocument.spreadsheetml.worksheet+xml" PartName="/xl/worksheets/sheet52113.xml"/>
  <Override ContentType="application/vnd.openxmlformats-officedocument.spreadsheetml.worksheet+xml" PartName="/xl/worksheets/sheet52114.xml"/>
  <Override ContentType="application/vnd.openxmlformats-officedocument.spreadsheetml.worksheet+xml" PartName="/xl/worksheets/sheet52115.xml"/>
  <Override ContentType="application/vnd.openxmlformats-officedocument.spreadsheetml.worksheet+xml" PartName="/xl/worksheets/sheet52116.xml"/>
  <Override ContentType="application/vnd.openxmlformats-officedocument.spreadsheetml.worksheet+xml" PartName="/xl/worksheets/sheet52117.xml"/>
  <Override ContentType="application/vnd.openxmlformats-officedocument.spreadsheetml.worksheet+xml" PartName="/xl/worksheets/sheet52118.xml"/>
  <Override ContentType="application/vnd.openxmlformats-officedocument.spreadsheetml.worksheet+xml" PartName="/xl/worksheets/sheet52119.xml"/>
  <Override ContentType="application/vnd.openxmlformats-officedocument.spreadsheetml.worksheet+xml" PartName="/xl/worksheets/sheet52120.xml"/>
  <Override ContentType="application/vnd.openxmlformats-officedocument.spreadsheetml.worksheet+xml" PartName="/xl/worksheets/sheet52121.xml"/>
  <Override ContentType="application/vnd.openxmlformats-officedocument.spreadsheetml.worksheet+xml" PartName="/xl/worksheets/sheet52122.xml"/>
  <Override ContentType="application/vnd.openxmlformats-officedocument.spreadsheetml.worksheet+xml" PartName="/xl/worksheets/sheet52123.xml"/>
  <Override ContentType="application/vnd.openxmlformats-officedocument.spreadsheetml.worksheet+xml" PartName="/xl/worksheets/sheet52124.xml"/>
  <Override ContentType="application/vnd.openxmlformats-officedocument.spreadsheetml.worksheet+xml" PartName="/xl/worksheets/sheet52125.xml"/>
  <Override ContentType="application/vnd.openxmlformats-officedocument.spreadsheetml.worksheet+xml" PartName="/xl/worksheets/sheet52126.xml"/>
  <Override ContentType="application/vnd.openxmlformats-officedocument.spreadsheetml.worksheet+xml" PartName="/xl/worksheets/sheet52127.xml"/>
  <Override ContentType="application/vnd.openxmlformats-officedocument.spreadsheetml.worksheet+xml" PartName="/xl/worksheets/sheet52128.xml"/>
  <Override ContentType="application/vnd.openxmlformats-officedocument.spreadsheetml.worksheet+xml" PartName="/xl/worksheets/sheet52129.xml"/>
  <Override ContentType="application/vnd.openxmlformats-officedocument.spreadsheetml.worksheet+xml" PartName="/xl/worksheets/sheet52130.xml"/>
  <Override ContentType="application/vnd.openxmlformats-officedocument.spreadsheetml.worksheet+xml" PartName="/xl/worksheets/sheet52131.xml"/>
  <Override ContentType="application/vnd.openxmlformats-officedocument.spreadsheetml.worksheet+xml" PartName="/xl/worksheets/sheet52132.xml"/>
  <Override ContentType="application/vnd.openxmlformats-officedocument.spreadsheetml.worksheet+xml" PartName="/xl/worksheets/sheet52133.xml"/>
  <Override ContentType="application/vnd.openxmlformats-officedocument.spreadsheetml.worksheet+xml" PartName="/xl/worksheets/sheet52134.xml"/>
  <Override ContentType="application/vnd.openxmlformats-officedocument.spreadsheetml.worksheet+xml" PartName="/xl/worksheets/sheet52135.xml"/>
  <Override ContentType="application/vnd.openxmlformats-officedocument.spreadsheetml.worksheet+xml" PartName="/xl/worksheets/sheet52136.xml"/>
  <Override ContentType="application/vnd.openxmlformats-officedocument.spreadsheetml.worksheet+xml" PartName="/xl/worksheets/sheet52137.xml"/>
  <Override ContentType="application/vnd.openxmlformats-officedocument.spreadsheetml.worksheet+xml" PartName="/xl/worksheets/sheet52138.xml"/>
  <Override ContentType="application/vnd.openxmlformats-officedocument.spreadsheetml.worksheet+xml" PartName="/xl/worksheets/sheet52139.xml"/>
  <Override ContentType="application/vnd.openxmlformats-officedocument.spreadsheetml.worksheet+xml" PartName="/xl/worksheets/sheet52140.xml"/>
  <Override ContentType="application/vnd.openxmlformats-officedocument.spreadsheetml.worksheet+xml" PartName="/xl/worksheets/sheet52141.xml"/>
  <Override ContentType="application/vnd.openxmlformats-officedocument.spreadsheetml.worksheet+xml" PartName="/xl/worksheets/sheet52142.xml"/>
  <Override ContentType="application/vnd.openxmlformats-officedocument.spreadsheetml.worksheet+xml" PartName="/xl/worksheets/sheet52143.xml"/>
  <Override ContentType="application/vnd.openxmlformats-officedocument.spreadsheetml.worksheet+xml" PartName="/xl/worksheets/sheet52144.xml"/>
  <Override ContentType="application/vnd.openxmlformats-officedocument.spreadsheetml.worksheet+xml" PartName="/xl/worksheets/sheet52145.xml"/>
  <Override ContentType="application/vnd.openxmlformats-officedocument.spreadsheetml.worksheet+xml" PartName="/xl/worksheets/sheet52146.xml"/>
  <Override ContentType="application/vnd.openxmlformats-officedocument.spreadsheetml.worksheet+xml" PartName="/xl/worksheets/sheet52147.xml"/>
  <Override ContentType="application/vnd.openxmlformats-officedocument.spreadsheetml.worksheet+xml" PartName="/xl/worksheets/sheet52148.xml"/>
  <Override ContentType="application/vnd.openxmlformats-officedocument.spreadsheetml.worksheet+xml" PartName="/xl/worksheets/sheet52149.xml"/>
  <Override ContentType="application/vnd.openxmlformats-officedocument.spreadsheetml.worksheet+xml" PartName="/xl/worksheets/sheet52150.xml"/>
  <Override ContentType="application/vnd.openxmlformats-officedocument.spreadsheetml.worksheet+xml" PartName="/xl/worksheets/sheet52151.xml"/>
  <Override ContentType="application/vnd.openxmlformats-officedocument.spreadsheetml.worksheet+xml" PartName="/xl/worksheets/sheet52152.xml"/>
  <Override ContentType="application/vnd.openxmlformats-officedocument.spreadsheetml.worksheet+xml" PartName="/xl/worksheets/sheet52153.xml"/>
  <Override ContentType="application/vnd.openxmlformats-officedocument.spreadsheetml.worksheet+xml" PartName="/xl/worksheets/sheet52154.xml"/>
  <Override ContentType="application/vnd.openxmlformats-officedocument.spreadsheetml.worksheet+xml" PartName="/xl/worksheets/sheet52155.xml"/>
  <Override ContentType="application/vnd.openxmlformats-officedocument.spreadsheetml.worksheet+xml" PartName="/xl/worksheets/sheet52156.xml"/>
  <Override ContentType="application/vnd.openxmlformats-officedocument.spreadsheetml.worksheet+xml" PartName="/xl/worksheets/sheet52157.xml"/>
  <Override ContentType="application/vnd.openxmlformats-officedocument.spreadsheetml.worksheet+xml" PartName="/xl/worksheets/sheet52158.xml"/>
  <Override ContentType="application/vnd.openxmlformats-officedocument.spreadsheetml.worksheet+xml" PartName="/xl/worksheets/sheet52159.xml"/>
  <Override ContentType="application/vnd.openxmlformats-officedocument.spreadsheetml.worksheet+xml" PartName="/xl/worksheets/sheet52160.xml"/>
  <Override ContentType="application/vnd.openxmlformats-officedocument.spreadsheetml.worksheet+xml" PartName="/xl/worksheets/sheet52161.xml"/>
  <Override ContentType="application/vnd.openxmlformats-officedocument.spreadsheetml.worksheet+xml" PartName="/xl/worksheets/sheet52162.xml"/>
  <Override ContentType="application/vnd.openxmlformats-officedocument.spreadsheetml.worksheet+xml" PartName="/xl/worksheets/sheet52163.xml"/>
  <Override ContentType="application/vnd.openxmlformats-officedocument.spreadsheetml.worksheet+xml" PartName="/xl/worksheets/sheet52164.xml"/>
  <Override ContentType="application/vnd.openxmlformats-officedocument.spreadsheetml.worksheet+xml" PartName="/xl/worksheets/sheet52165.xml"/>
  <Override ContentType="application/vnd.openxmlformats-officedocument.spreadsheetml.worksheet+xml" PartName="/xl/worksheets/sheet52166.xml"/>
  <Override ContentType="application/vnd.openxmlformats-officedocument.spreadsheetml.worksheet+xml" PartName="/xl/worksheets/sheet52167.xml"/>
  <Override ContentType="application/vnd.openxmlformats-officedocument.spreadsheetml.worksheet+xml" PartName="/xl/worksheets/sheet52168.xml"/>
  <Override ContentType="application/vnd.openxmlformats-officedocument.spreadsheetml.worksheet+xml" PartName="/xl/worksheets/sheet52169.xml"/>
  <Override ContentType="application/vnd.openxmlformats-officedocument.spreadsheetml.worksheet+xml" PartName="/xl/worksheets/sheet52170.xml"/>
  <Override ContentType="application/vnd.openxmlformats-officedocument.spreadsheetml.worksheet+xml" PartName="/xl/worksheets/sheet52171.xml"/>
  <Override ContentType="application/vnd.openxmlformats-officedocument.spreadsheetml.worksheet+xml" PartName="/xl/worksheets/sheet52172.xml"/>
  <Override ContentType="application/vnd.openxmlformats-officedocument.spreadsheetml.worksheet+xml" PartName="/xl/worksheets/sheet52173.xml"/>
  <Override ContentType="application/vnd.openxmlformats-officedocument.spreadsheetml.worksheet+xml" PartName="/xl/worksheets/sheet52174.xml"/>
  <Override ContentType="application/vnd.openxmlformats-officedocument.spreadsheetml.worksheet+xml" PartName="/xl/worksheets/sheet52175.xml"/>
  <Override ContentType="application/vnd.openxmlformats-officedocument.spreadsheetml.worksheet+xml" PartName="/xl/worksheets/sheet52176.xml"/>
  <Override ContentType="application/vnd.openxmlformats-officedocument.spreadsheetml.worksheet+xml" PartName="/xl/worksheets/sheet52177.xml"/>
  <Override ContentType="application/vnd.openxmlformats-officedocument.spreadsheetml.worksheet+xml" PartName="/xl/worksheets/sheet52178.xml"/>
  <Override ContentType="application/vnd.openxmlformats-officedocument.spreadsheetml.worksheet+xml" PartName="/xl/worksheets/sheet52179.xml"/>
  <Override ContentType="application/vnd.openxmlformats-officedocument.spreadsheetml.worksheet+xml" PartName="/xl/worksheets/sheet52180.xml"/>
  <Override ContentType="application/vnd.openxmlformats-officedocument.spreadsheetml.worksheet+xml" PartName="/xl/worksheets/sheet52181.xml"/>
  <Override ContentType="application/vnd.openxmlformats-officedocument.spreadsheetml.worksheet+xml" PartName="/xl/worksheets/sheet52182.xml"/>
  <Override ContentType="application/vnd.openxmlformats-officedocument.spreadsheetml.worksheet+xml" PartName="/xl/worksheets/sheet52183.xml"/>
  <Override ContentType="application/vnd.openxmlformats-officedocument.spreadsheetml.worksheet+xml" PartName="/xl/worksheets/sheet52184.xml"/>
  <Override ContentType="application/vnd.openxmlformats-officedocument.spreadsheetml.worksheet+xml" PartName="/xl/worksheets/sheet52185.xml"/>
  <Override ContentType="application/vnd.openxmlformats-officedocument.spreadsheetml.worksheet+xml" PartName="/xl/worksheets/sheet52186.xml"/>
  <Override ContentType="application/vnd.openxmlformats-officedocument.spreadsheetml.worksheet+xml" PartName="/xl/worksheets/sheet52187.xml"/>
  <Override ContentType="application/vnd.openxmlformats-officedocument.spreadsheetml.worksheet+xml" PartName="/xl/worksheets/sheet52188.xml"/>
  <Override ContentType="application/vnd.openxmlformats-officedocument.spreadsheetml.worksheet+xml" PartName="/xl/worksheets/sheet52189.xml"/>
  <Override ContentType="application/vnd.openxmlformats-officedocument.spreadsheetml.worksheet+xml" PartName="/xl/worksheets/sheet52190.xml"/>
  <Override ContentType="application/vnd.openxmlformats-officedocument.spreadsheetml.worksheet+xml" PartName="/xl/worksheets/sheet52191.xml"/>
  <Override ContentType="application/vnd.openxmlformats-officedocument.spreadsheetml.worksheet+xml" PartName="/xl/worksheets/sheet52192.xml"/>
  <Override ContentType="application/vnd.openxmlformats-officedocument.spreadsheetml.worksheet+xml" PartName="/xl/worksheets/sheet52193.xml"/>
  <Override ContentType="application/vnd.openxmlformats-officedocument.spreadsheetml.worksheet+xml" PartName="/xl/worksheets/sheet52194.xml"/>
  <Override ContentType="application/vnd.openxmlformats-officedocument.spreadsheetml.worksheet+xml" PartName="/xl/worksheets/sheet52195.xml"/>
  <Override ContentType="application/vnd.openxmlformats-officedocument.spreadsheetml.worksheet+xml" PartName="/xl/worksheets/sheet52196.xml"/>
  <Override ContentType="application/vnd.openxmlformats-officedocument.spreadsheetml.worksheet+xml" PartName="/xl/worksheets/sheet52197.xml"/>
  <Override ContentType="application/vnd.openxmlformats-officedocument.spreadsheetml.worksheet+xml" PartName="/xl/worksheets/sheet52198.xml"/>
  <Override ContentType="application/vnd.openxmlformats-officedocument.spreadsheetml.worksheet+xml" PartName="/xl/worksheets/sheet52199.xml"/>
  <Override ContentType="application/vnd.openxmlformats-officedocument.spreadsheetml.worksheet+xml" PartName="/xl/worksheets/sheet52200.xml"/>
  <Override ContentType="application/vnd.openxmlformats-officedocument.spreadsheetml.worksheet+xml" PartName="/xl/worksheets/sheet52201.xml"/>
  <Override ContentType="application/vnd.openxmlformats-officedocument.spreadsheetml.worksheet+xml" PartName="/xl/worksheets/sheet52202.xml"/>
  <Override ContentType="application/vnd.openxmlformats-officedocument.spreadsheetml.worksheet+xml" PartName="/xl/worksheets/sheet52203.xml"/>
  <Override ContentType="application/vnd.openxmlformats-officedocument.spreadsheetml.worksheet+xml" PartName="/xl/worksheets/sheet52204.xml"/>
  <Override ContentType="application/vnd.openxmlformats-officedocument.spreadsheetml.worksheet+xml" PartName="/xl/worksheets/sheet52205.xml"/>
  <Override ContentType="application/vnd.openxmlformats-officedocument.spreadsheetml.worksheet+xml" PartName="/xl/worksheets/sheet52206.xml"/>
  <Override ContentType="application/vnd.openxmlformats-officedocument.spreadsheetml.worksheet+xml" PartName="/xl/worksheets/sheet52207.xml"/>
  <Override ContentType="application/vnd.openxmlformats-officedocument.spreadsheetml.worksheet+xml" PartName="/xl/worksheets/sheet52208.xml"/>
  <Override ContentType="application/vnd.openxmlformats-officedocument.spreadsheetml.worksheet+xml" PartName="/xl/worksheets/sheet52209.xml"/>
  <Override ContentType="application/vnd.openxmlformats-officedocument.spreadsheetml.worksheet+xml" PartName="/xl/worksheets/sheet52210.xml"/>
  <Override ContentType="application/vnd.openxmlformats-officedocument.spreadsheetml.worksheet+xml" PartName="/xl/worksheets/sheet52211.xml"/>
  <Override ContentType="application/vnd.openxmlformats-officedocument.spreadsheetml.worksheet+xml" PartName="/xl/worksheets/sheet52212.xml"/>
  <Override ContentType="application/vnd.openxmlformats-officedocument.spreadsheetml.worksheet+xml" PartName="/xl/worksheets/sheet52213.xml"/>
  <Override ContentType="application/vnd.openxmlformats-officedocument.spreadsheetml.worksheet+xml" PartName="/xl/worksheets/sheet52214.xml"/>
  <Override ContentType="application/vnd.openxmlformats-officedocument.spreadsheetml.worksheet+xml" PartName="/xl/worksheets/sheet52215.xml"/>
  <Override ContentType="application/vnd.openxmlformats-officedocument.spreadsheetml.worksheet+xml" PartName="/xl/worksheets/sheet52216.xml"/>
  <Override ContentType="application/vnd.openxmlformats-officedocument.spreadsheetml.worksheet+xml" PartName="/xl/worksheets/sheet52217.xml"/>
  <Override ContentType="application/vnd.openxmlformats-officedocument.spreadsheetml.worksheet+xml" PartName="/xl/worksheets/sheet52218.xml"/>
  <Override ContentType="application/vnd.openxmlformats-officedocument.spreadsheetml.worksheet+xml" PartName="/xl/worksheets/sheet52219.xml"/>
  <Override ContentType="application/vnd.openxmlformats-officedocument.spreadsheetml.worksheet+xml" PartName="/xl/worksheets/sheet52220.xml"/>
  <Override ContentType="application/vnd.openxmlformats-officedocument.spreadsheetml.worksheet+xml" PartName="/xl/worksheets/sheet52221.xml"/>
  <Override ContentType="application/vnd.openxmlformats-officedocument.spreadsheetml.worksheet+xml" PartName="/xl/worksheets/sheet52222.xml"/>
  <Override ContentType="application/vnd.openxmlformats-officedocument.spreadsheetml.worksheet+xml" PartName="/xl/worksheets/sheet52223.xml"/>
  <Override ContentType="application/vnd.openxmlformats-officedocument.spreadsheetml.worksheet+xml" PartName="/xl/worksheets/sheet52224.xml"/>
  <Override ContentType="application/vnd.openxmlformats-officedocument.spreadsheetml.worksheet+xml" PartName="/xl/worksheets/sheet52225.xml"/>
  <Override ContentType="application/vnd.openxmlformats-officedocument.spreadsheetml.worksheet+xml" PartName="/xl/worksheets/sheet52226.xml"/>
  <Override ContentType="application/vnd.openxmlformats-officedocument.spreadsheetml.worksheet+xml" PartName="/xl/worksheets/sheet52227.xml"/>
  <Override ContentType="application/vnd.openxmlformats-officedocument.spreadsheetml.worksheet+xml" PartName="/xl/worksheets/sheet52228.xml"/>
  <Override ContentType="application/vnd.openxmlformats-officedocument.spreadsheetml.worksheet+xml" PartName="/xl/worksheets/sheet52229.xml"/>
  <Override ContentType="application/vnd.openxmlformats-officedocument.spreadsheetml.worksheet+xml" PartName="/xl/worksheets/sheet52230.xml"/>
  <Override ContentType="application/vnd.openxmlformats-officedocument.spreadsheetml.worksheet+xml" PartName="/xl/worksheets/sheet52231.xml"/>
  <Override ContentType="application/vnd.openxmlformats-officedocument.spreadsheetml.worksheet+xml" PartName="/xl/worksheets/sheet52232.xml"/>
  <Override ContentType="application/vnd.openxmlformats-officedocument.spreadsheetml.worksheet+xml" PartName="/xl/worksheets/sheet52233.xml"/>
  <Override ContentType="application/vnd.openxmlformats-officedocument.spreadsheetml.worksheet+xml" PartName="/xl/worksheets/sheet52234.xml"/>
  <Override ContentType="application/vnd.openxmlformats-officedocument.spreadsheetml.worksheet+xml" PartName="/xl/worksheets/sheet52235.xml"/>
  <Override ContentType="application/vnd.openxmlformats-officedocument.spreadsheetml.worksheet+xml" PartName="/xl/worksheets/sheet52236.xml"/>
  <Override ContentType="application/vnd.openxmlformats-officedocument.spreadsheetml.worksheet+xml" PartName="/xl/worksheets/sheet52237.xml"/>
  <Override ContentType="application/vnd.openxmlformats-officedocument.spreadsheetml.worksheet+xml" PartName="/xl/worksheets/sheet52238.xml"/>
  <Override ContentType="application/vnd.openxmlformats-officedocument.spreadsheetml.worksheet+xml" PartName="/xl/worksheets/sheet52239.xml"/>
  <Override ContentType="application/vnd.openxmlformats-officedocument.spreadsheetml.worksheet+xml" PartName="/xl/worksheets/sheet52240.xml"/>
  <Override ContentType="application/vnd.openxmlformats-officedocument.spreadsheetml.worksheet+xml" PartName="/xl/worksheets/sheet52241.xml"/>
  <Override ContentType="application/vnd.openxmlformats-officedocument.spreadsheetml.worksheet+xml" PartName="/xl/worksheets/sheet52242.xml"/>
  <Override ContentType="application/vnd.openxmlformats-officedocument.spreadsheetml.worksheet+xml" PartName="/xl/worksheets/sheet52243.xml"/>
  <Override ContentType="application/vnd.openxmlformats-officedocument.spreadsheetml.worksheet+xml" PartName="/xl/worksheets/sheet52244.xml"/>
  <Override ContentType="application/vnd.openxmlformats-officedocument.spreadsheetml.worksheet+xml" PartName="/xl/worksheets/sheet52245.xml"/>
  <Override ContentType="application/vnd.openxmlformats-officedocument.spreadsheetml.worksheet+xml" PartName="/xl/worksheets/sheet52246.xml"/>
  <Override ContentType="application/vnd.openxmlformats-officedocument.spreadsheetml.worksheet+xml" PartName="/xl/worksheets/sheet52247.xml"/>
  <Override ContentType="application/vnd.openxmlformats-officedocument.spreadsheetml.worksheet+xml" PartName="/xl/worksheets/sheet52248.xml"/>
  <Override ContentType="application/vnd.openxmlformats-officedocument.spreadsheetml.worksheet+xml" PartName="/xl/worksheets/sheet52249.xml"/>
  <Override ContentType="application/vnd.openxmlformats-officedocument.spreadsheetml.worksheet+xml" PartName="/xl/worksheets/sheet52250.xml"/>
  <Override ContentType="application/vnd.openxmlformats-officedocument.spreadsheetml.worksheet+xml" PartName="/xl/worksheets/sheet52251.xml"/>
  <Override ContentType="application/vnd.openxmlformats-officedocument.spreadsheetml.worksheet+xml" PartName="/xl/worksheets/sheet52252.xml"/>
  <Override ContentType="application/vnd.openxmlformats-officedocument.spreadsheetml.worksheet+xml" PartName="/xl/worksheets/sheet52253.xml"/>
  <Override ContentType="application/vnd.openxmlformats-officedocument.spreadsheetml.worksheet+xml" PartName="/xl/worksheets/sheet52254.xml"/>
  <Override ContentType="application/vnd.openxmlformats-officedocument.spreadsheetml.worksheet+xml" PartName="/xl/worksheets/sheet52255.xml"/>
  <Override ContentType="application/vnd.openxmlformats-officedocument.spreadsheetml.worksheet+xml" PartName="/xl/worksheets/sheet52256.xml"/>
  <Override ContentType="application/vnd.openxmlformats-officedocument.spreadsheetml.worksheet+xml" PartName="/xl/worksheets/sheet52257.xml"/>
  <Override ContentType="application/vnd.openxmlformats-officedocument.spreadsheetml.worksheet+xml" PartName="/xl/worksheets/sheet52258.xml"/>
  <Override ContentType="application/vnd.openxmlformats-officedocument.spreadsheetml.worksheet+xml" PartName="/xl/worksheets/sheet52259.xml"/>
  <Override ContentType="application/vnd.openxmlformats-officedocument.spreadsheetml.worksheet+xml" PartName="/xl/worksheets/sheet52260.xml"/>
  <Override ContentType="application/vnd.openxmlformats-officedocument.spreadsheetml.worksheet+xml" PartName="/xl/worksheets/sheet52261.xml"/>
  <Override ContentType="application/vnd.openxmlformats-officedocument.spreadsheetml.worksheet+xml" PartName="/xl/worksheets/sheet52262.xml"/>
  <Override ContentType="application/vnd.openxmlformats-officedocument.spreadsheetml.worksheet+xml" PartName="/xl/worksheets/sheet52263.xml"/>
  <Override ContentType="application/vnd.openxmlformats-officedocument.spreadsheetml.worksheet+xml" PartName="/xl/worksheets/sheet52264.xml"/>
  <Override ContentType="application/vnd.openxmlformats-officedocument.spreadsheetml.worksheet+xml" PartName="/xl/worksheets/sheet52265.xml"/>
  <Override ContentType="application/vnd.openxmlformats-officedocument.spreadsheetml.worksheet+xml" PartName="/xl/worksheets/sheet52266.xml"/>
  <Override ContentType="application/vnd.openxmlformats-officedocument.spreadsheetml.worksheet+xml" PartName="/xl/worksheets/sheet52267.xml"/>
  <Override ContentType="application/vnd.openxmlformats-officedocument.spreadsheetml.worksheet+xml" PartName="/xl/worksheets/sheet52268.xml"/>
  <Override ContentType="application/vnd.openxmlformats-officedocument.spreadsheetml.worksheet+xml" PartName="/xl/worksheets/sheet52269.xml"/>
  <Override ContentType="application/vnd.openxmlformats-officedocument.spreadsheetml.worksheet+xml" PartName="/xl/worksheets/sheet52270.xml"/>
  <Override ContentType="application/vnd.openxmlformats-officedocument.spreadsheetml.worksheet+xml" PartName="/xl/worksheets/sheet52271.xml"/>
  <Override ContentType="application/vnd.openxmlformats-officedocument.spreadsheetml.worksheet+xml" PartName="/xl/worksheets/sheet52272.xml"/>
  <Override ContentType="application/vnd.openxmlformats-officedocument.spreadsheetml.worksheet+xml" PartName="/xl/worksheets/sheet52273.xml"/>
  <Override ContentType="application/vnd.openxmlformats-officedocument.spreadsheetml.worksheet+xml" PartName="/xl/worksheets/sheet52274.xml"/>
  <Override ContentType="application/vnd.openxmlformats-officedocument.spreadsheetml.worksheet+xml" PartName="/xl/worksheets/sheet52275.xml"/>
  <Override ContentType="application/vnd.openxmlformats-officedocument.spreadsheetml.worksheet+xml" PartName="/xl/worksheets/sheet52276.xml"/>
  <Override ContentType="application/vnd.openxmlformats-officedocument.spreadsheetml.worksheet+xml" PartName="/xl/worksheets/sheet52277.xml"/>
  <Override ContentType="application/vnd.openxmlformats-officedocument.spreadsheetml.worksheet+xml" PartName="/xl/worksheets/sheet52278.xml"/>
  <Override ContentType="application/vnd.openxmlformats-officedocument.spreadsheetml.worksheet+xml" PartName="/xl/worksheets/sheet52279.xml"/>
  <Override ContentType="application/vnd.openxmlformats-officedocument.spreadsheetml.worksheet+xml" PartName="/xl/worksheets/sheet52280.xml"/>
  <Override ContentType="application/vnd.openxmlformats-officedocument.spreadsheetml.worksheet+xml" PartName="/xl/worksheets/sheet52281.xml"/>
  <Override ContentType="application/vnd.openxmlformats-officedocument.spreadsheetml.worksheet+xml" PartName="/xl/worksheets/sheet52282.xml"/>
  <Override ContentType="application/vnd.openxmlformats-officedocument.spreadsheetml.worksheet+xml" PartName="/xl/worksheets/sheet52283.xml"/>
  <Override ContentType="application/vnd.openxmlformats-officedocument.spreadsheetml.worksheet+xml" PartName="/xl/worksheets/sheet52284.xml"/>
  <Override ContentType="application/vnd.openxmlformats-officedocument.spreadsheetml.worksheet+xml" PartName="/xl/worksheets/sheet52285.xml"/>
  <Override ContentType="application/vnd.openxmlformats-officedocument.spreadsheetml.worksheet+xml" PartName="/xl/worksheets/sheet52286.xml"/>
  <Override ContentType="application/vnd.openxmlformats-officedocument.spreadsheetml.worksheet+xml" PartName="/xl/worksheets/sheet52287.xml"/>
  <Override ContentType="application/vnd.openxmlformats-officedocument.spreadsheetml.worksheet+xml" PartName="/xl/worksheets/sheet52288.xml"/>
  <Override ContentType="application/vnd.openxmlformats-officedocument.spreadsheetml.worksheet+xml" PartName="/xl/worksheets/sheet52289.xml"/>
  <Override ContentType="application/vnd.openxmlformats-officedocument.spreadsheetml.worksheet+xml" PartName="/xl/worksheets/sheet52290.xml"/>
  <Override ContentType="application/vnd.openxmlformats-officedocument.spreadsheetml.worksheet+xml" PartName="/xl/worksheets/sheet52291.xml"/>
  <Override ContentType="application/vnd.openxmlformats-officedocument.spreadsheetml.worksheet+xml" PartName="/xl/worksheets/sheet52292.xml"/>
  <Override ContentType="application/vnd.openxmlformats-officedocument.spreadsheetml.worksheet+xml" PartName="/xl/worksheets/sheet52293.xml"/>
  <Override ContentType="application/vnd.openxmlformats-officedocument.spreadsheetml.worksheet+xml" PartName="/xl/worksheets/sheet52294.xml"/>
  <Override ContentType="application/vnd.openxmlformats-officedocument.spreadsheetml.worksheet+xml" PartName="/xl/worksheets/sheet52295.xml"/>
  <Override ContentType="application/vnd.openxmlformats-officedocument.spreadsheetml.worksheet+xml" PartName="/xl/worksheets/sheet52296.xml"/>
  <Override ContentType="application/vnd.openxmlformats-officedocument.spreadsheetml.worksheet+xml" PartName="/xl/worksheets/sheet52297.xml"/>
  <Override ContentType="application/vnd.openxmlformats-officedocument.spreadsheetml.worksheet+xml" PartName="/xl/worksheets/sheet52298.xml"/>
  <Override ContentType="application/vnd.openxmlformats-officedocument.spreadsheetml.worksheet+xml" PartName="/xl/worksheets/sheet52299.xml"/>
  <Override ContentType="application/vnd.openxmlformats-officedocument.spreadsheetml.worksheet+xml" PartName="/xl/worksheets/sheet52300.xml"/>
  <Override ContentType="application/vnd.openxmlformats-officedocument.spreadsheetml.worksheet+xml" PartName="/xl/worksheets/sheet52301.xml"/>
  <Override ContentType="application/vnd.openxmlformats-officedocument.spreadsheetml.worksheet+xml" PartName="/xl/worksheets/sheet52302.xml"/>
  <Override ContentType="application/vnd.openxmlformats-officedocument.spreadsheetml.worksheet+xml" PartName="/xl/worksheets/sheet52303.xml"/>
  <Override ContentType="application/vnd.openxmlformats-officedocument.spreadsheetml.worksheet+xml" PartName="/xl/worksheets/sheet52304.xml"/>
  <Override ContentType="application/vnd.openxmlformats-officedocument.spreadsheetml.worksheet+xml" PartName="/xl/worksheets/sheet52305.xml"/>
  <Override ContentType="application/vnd.openxmlformats-officedocument.spreadsheetml.worksheet+xml" PartName="/xl/worksheets/sheet52306.xml"/>
  <Override ContentType="application/vnd.openxmlformats-officedocument.spreadsheetml.worksheet+xml" PartName="/xl/worksheets/sheet52307.xml"/>
  <Override ContentType="application/vnd.openxmlformats-officedocument.spreadsheetml.worksheet+xml" PartName="/xl/worksheets/sheet52308.xml"/>
  <Override ContentType="application/vnd.openxmlformats-officedocument.spreadsheetml.worksheet+xml" PartName="/xl/worksheets/sheet52309.xml"/>
  <Override ContentType="application/vnd.openxmlformats-officedocument.spreadsheetml.worksheet+xml" PartName="/xl/worksheets/sheet52310.xml"/>
  <Override ContentType="application/vnd.openxmlformats-officedocument.spreadsheetml.worksheet+xml" PartName="/xl/worksheets/sheet52311.xml"/>
  <Override ContentType="application/vnd.openxmlformats-officedocument.spreadsheetml.worksheet+xml" PartName="/xl/worksheets/sheet52312.xml"/>
  <Override ContentType="application/vnd.openxmlformats-officedocument.spreadsheetml.worksheet+xml" PartName="/xl/worksheets/sheet52313.xml"/>
  <Override ContentType="application/vnd.openxmlformats-officedocument.spreadsheetml.worksheet+xml" PartName="/xl/worksheets/sheet52314.xml"/>
  <Override ContentType="application/vnd.openxmlformats-officedocument.spreadsheetml.worksheet+xml" PartName="/xl/worksheets/sheet52315.xml"/>
  <Override ContentType="application/vnd.openxmlformats-officedocument.spreadsheetml.worksheet+xml" PartName="/xl/worksheets/sheet52316.xml"/>
  <Override ContentType="application/vnd.openxmlformats-officedocument.spreadsheetml.worksheet+xml" PartName="/xl/worksheets/sheet52317.xml"/>
  <Override ContentType="application/vnd.openxmlformats-officedocument.spreadsheetml.worksheet+xml" PartName="/xl/worksheets/sheet52318.xml"/>
  <Override ContentType="application/vnd.openxmlformats-officedocument.spreadsheetml.worksheet+xml" PartName="/xl/worksheets/sheet52319.xml"/>
  <Override ContentType="application/vnd.openxmlformats-officedocument.spreadsheetml.worksheet+xml" PartName="/xl/worksheets/sheet52320.xml"/>
  <Override ContentType="application/vnd.openxmlformats-officedocument.spreadsheetml.worksheet+xml" PartName="/xl/worksheets/sheet52321.xml"/>
  <Override ContentType="application/vnd.openxmlformats-officedocument.spreadsheetml.worksheet+xml" PartName="/xl/worksheets/sheet52322.xml"/>
  <Override ContentType="application/vnd.openxmlformats-officedocument.spreadsheetml.worksheet+xml" PartName="/xl/worksheets/sheet52323.xml"/>
  <Override ContentType="application/vnd.openxmlformats-officedocument.spreadsheetml.worksheet+xml" PartName="/xl/worksheets/sheet52324.xml"/>
  <Override ContentType="application/vnd.openxmlformats-officedocument.spreadsheetml.worksheet+xml" PartName="/xl/worksheets/sheet52325.xml"/>
  <Override ContentType="application/vnd.openxmlformats-officedocument.spreadsheetml.worksheet+xml" PartName="/xl/worksheets/sheet52326.xml"/>
  <Override ContentType="application/vnd.openxmlformats-officedocument.spreadsheetml.worksheet+xml" PartName="/xl/worksheets/sheet52327.xml"/>
  <Override ContentType="application/vnd.openxmlformats-officedocument.spreadsheetml.worksheet+xml" PartName="/xl/worksheets/sheet52328.xml"/>
  <Override ContentType="application/vnd.openxmlformats-officedocument.spreadsheetml.worksheet+xml" PartName="/xl/worksheets/sheet52329.xml"/>
  <Override ContentType="application/vnd.openxmlformats-officedocument.spreadsheetml.worksheet+xml" PartName="/xl/worksheets/sheet52330.xml"/>
  <Override ContentType="application/vnd.openxmlformats-officedocument.spreadsheetml.worksheet+xml" PartName="/xl/worksheets/sheet52331.xml"/>
  <Override ContentType="application/vnd.openxmlformats-officedocument.spreadsheetml.worksheet+xml" PartName="/xl/worksheets/sheet52332.xml"/>
  <Override ContentType="application/vnd.openxmlformats-officedocument.spreadsheetml.worksheet+xml" PartName="/xl/worksheets/sheet52333.xml"/>
  <Override ContentType="application/vnd.openxmlformats-officedocument.spreadsheetml.worksheet+xml" PartName="/xl/worksheets/sheet52334.xml"/>
  <Override ContentType="application/vnd.openxmlformats-officedocument.spreadsheetml.worksheet+xml" PartName="/xl/worksheets/sheet52335.xml"/>
  <Override ContentType="application/vnd.openxmlformats-officedocument.spreadsheetml.worksheet+xml" PartName="/xl/worksheets/sheet52336.xml"/>
  <Override ContentType="application/vnd.openxmlformats-officedocument.spreadsheetml.worksheet+xml" PartName="/xl/worksheets/sheet52337.xml"/>
  <Override ContentType="application/vnd.openxmlformats-officedocument.spreadsheetml.worksheet+xml" PartName="/xl/worksheets/sheet52338.xml"/>
  <Override ContentType="application/vnd.openxmlformats-officedocument.spreadsheetml.worksheet+xml" PartName="/xl/worksheets/sheet52339.xml"/>
  <Override ContentType="application/vnd.openxmlformats-officedocument.spreadsheetml.worksheet+xml" PartName="/xl/worksheets/sheet52340.xml"/>
  <Override ContentType="application/vnd.openxmlformats-officedocument.spreadsheetml.worksheet+xml" PartName="/xl/worksheets/sheet52341.xml"/>
  <Override ContentType="application/vnd.openxmlformats-officedocument.spreadsheetml.worksheet+xml" PartName="/xl/worksheets/sheet52342.xml"/>
  <Override ContentType="application/vnd.openxmlformats-officedocument.spreadsheetml.worksheet+xml" PartName="/xl/worksheets/sheet52343.xml"/>
  <Override ContentType="application/vnd.openxmlformats-officedocument.spreadsheetml.worksheet+xml" PartName="/xl/worksheets/sheet52344.xml"/>
  <Override ContentType="application/vnd.openxmlformats-officedocument.spreadsheetml.worksheet+xml" PartName="/xl/worksheets/sheet52345.xml"/>
  <Override ContentType="application/vnd.openxmlformats-officedocument.spreadsheetml.worksheet+xml" PartName="/xl/worksheets/sheet52346.xml"/>
  <Override ContentType="application/vnd.openxmlformats-officedocument.spreadsheetml.worksheet+xml" PartName="/xl/worksheets/sheet52347.xml"/>
  <Override ContentType="application/vnd.openxmlformats-officedocument.spreadsheetml.worksheet+xml" PartName="/xl/worksheets/sheet52348.xml"/>
  <Override ContentType="application/vnd.openxmlformats-officedocument.spreadsheetml.worksheet+xml" PartName="/xl/worksheets/sheet52349.xml"/>
  <Override ContentType="application/vnd.openxmlformats-officedocument.spreadsheetml.worksheet+xml" PartName="/xl/worksheets/sheet52350.xml"/>
  <Override ContentType="application/vnd.openxmlformats-officedocument.spreadsheetml.worksheet+xml" PartName="/xl/worksheets/sheet52351.xml"/>
  <Override ContentType="application/vnd.openxmlformats-officedocument.spreadsheetml.worksheet+xml" PartName="/xl/worksheets/sheet52352.xml"/>
  <Override ContentType="application/vnd.openxmlformats-officedocument.spreadsheetml.worksheet+xml" PartName="/xl/worksheets/sheet52353.xml"/>
  <Override ContentType="application/vnd.openxmlformats-officedocument.spreadsheetml.worksheet+xml" PartName="/xl/worksheets/sheet52354.xml"/>
  <Override ContentType="application/vnd.openxmlformats-officedocument.spreadsheetml.worksheet+xml" PartName="/xl/worksheets/sheet52355.xml"/>
  <Override ContentType="application/vnd.openxmlformats-officedocument.spreadsheetml.worksheet+xml" PartName="/xl/worksheets/sheet52356.xml"/>
  <Override ContentType="application/vnd.openxmlformats-officedocument.spreadsheetml.worksheet+xml" PartName="/xl/worksheets/sheet52357.xml"/>
  <Override ContentType="application/vnd.openxmlformats-officedocument.spreadsheetml.worksheet+xml" PartName="/xl/worksheets/sheet52358.xml"/>
  <Override ContentType="application/vnd.openxmlformats-officedocument.spreadsheetml.worksheet+xml" PartName="/xl/worksheets/sheet52359.xml"/>
  <Override ContentType="application/vnd.openxmlformats-officedocument.spreadsheetml.worksheet+xml" PartName="/xl/worksheets/sheet52360.xml"/>
  <Override ContentType="application/vnd.openxmlformats-officedocument.spreadsheetml.worksheet+xml" PartName="/xl/worksheets/sheet52361.xml"/>
  <Override ContentType="application/vnd.openxmlformats-officedocument.spreadsheetml.worksheet+xml" PartName="/xl/worksheets/sheet52362.xml"/>
  <Override ContentType="application/vnd.openxmlformats-officedocument.spreadsheetml.worksheet+xml" PartName="/xl/worksheets/sheet52363.xml"/>
  <Override ContentType="application/vnd.openxmlformats-officedocument.spreadsheetml.worksheet+xml" PartName="/xl/worksheets/sheet52364.xml"/>
  <Override ContentType="application/vnd.openxmlformats-officedocument.spreadsheetml.worksheet+xml" PartName="/xl/worksheets/sheet52365.xml"/>
  <Override ContentType="application/vnd.openxmlformats-officedocument.spreadsheetml.worksheet+xml" PartName="/xl/worksheets/sheet52366.xml"/>
  <Override ContentType="application/vnd.openxmlformats-officedocument.spreadsheetml.worksheet+xml" PartName="/xl/worksheets/sheet52367.xml"/>
  <Override ContentType="application/vnd.openxmlformats-officedocument.spreadsheetml.worksheet+xml" PartName="/xl/worksheets/sheet52368.xml"/>
  <Override ContentType="application/vnd.openxmlformats-officedocument.spreadsheetml.worksheet+xml" PartName="/xl/worksheets/sheet52369.xml"/>
  <Override ContentType="application/vnd.openxmlformats-officedocument.spreadsheetml.worksheet+xml" PartName="/xl/worksheets/sheet52370.xml"/>
  <Override ContentType="application/vnd.openxmlformats-officedocument.spreadsheetml.worksheet+xml" PartName="/xl/worksheets/sheet52371.xml"/>
  <Override ContentType="application/vnd.openxmlformats-officedocument.spreadsheetml.worksheet+xml" PartName="/xl/worksheets/sheet52372.xml"/>
  <Override ContentType="application/vnd.openxmlformats-officedocument.spreadsheetml.worksheet+xml" PartName="/xl/worksheets/sheet52373.xml"/>
  <Override ContentType="application/vnd.openxmlformats-officedocument.spreadsheetml.worksheet+xml" PartName="/xl/worksheets/sheet52374.xml"/>
  <Override ContentType="application/vnd.openxmlformats-officedocument.spreadsheetml.worksheet+xml" PartName="/xl/worksheets/sheet52375.xml"/>
  <Override ContentType="application/vnd.openxmlformats-officedocument.spreadsheetml.worksheet+xml" PartName="/xl/worksheets/sheet52376.xml"/>
  <Override ContentType="application/vnd.openxmlformats-officedocument.spreadsheetml.worksheet+xml" PartName="/xl/worksheets/sheet52377.xml"/>
  <Override ContentType="application/vnd.openxmlformats-officedocument.spreadsheetml.worksheet+xml" PartName="/xl/worksheets/sheet52378.xml"/>
  <Override ContentType="application/vnd.openxmlformats-officedocument.spreadsheetml.worksheet+xml" PartName="/xl/worksheets/sheet52379.xml"/>
  <Override ContentType="application/vnd.openxmlformats-officedocument.spreadsheetml.worksheet+xml" PartName="/xl/worksheets/sheet52380.xml"/>
  <Override ContentType="application/vnd.openxmlformats-officedocument.spreadsheetml.worksheet+xml" PartName="/xl/worksheets/sheet52381.xml"/>
  <Override ContentType="application/vnd.openxmlformats-officedocument.spreadsheetml.worksheet+xml" PartName="/xl/worksheets/sheet52382.xml"/>
  <Override ContentType="application/vnd.openxmlformats-officedocument.spreadsheetml.worksheet+xml" PartName="/xl/worksheets/sheet52383.xml"/>
  <Override ContentType="application/vnd.openxmlformats-officedocument.spreadsheetml.worksheet+xml" PartName="/xl/worksheets/sheet52384.xml"/>
  <Override ContentType="application/vnd.openxmlformats-officedocument.spreadsheetml.worksheet+xml" PartName="/xl/worksheets/sheet52385.xml"/>
  <Override ContentType="application/vnd.openxmlformats-officedocument.spreadsheetml.worksheet+xml" PartName="/xl/worksheets/sheet52386.xml"/>
  <Override ContentType="application/vnd.openxmlformats-officedocument.spreadsheetml.worksheet+xml" PartName="/xl/worksheets/sheet52387.xml"/>
  <Override ContentType="application/vnd.openxmlformats-officedocument.spreadsheetml.worksheet+xml" PartName="/xl/worksheets/sheet52388.xml"/>
  <Override ContentType="application/vnd.openxmlformats-officedocument.spreadsheetml.worksheet+xml" PartName="/xl/worksheets/sheet52389.xml"/>
  <Override ContentType="application/vnd.openxmlformats-officedocument.spreadsheetml.worksheet+xml" PartName="/xl/worksheets/sheet52390.xml"/>
  <Override ContentType="application/vnd.openxmlformats-officedocument.spreadsheetml.worksheet+xml" PartName="/xl/worksheets/sheet52391.xml"/>
  <Override ContentType="application/vnd.openxmlformats-officedocument.spreadsheetml.worksheet+xml" PartName="/xl/worksheets/sheet52392.xml"/>
  <Override ContentType="application/vnd.openxmlformats-officedocument.spreadsheetml.worksheet+xml" PartName="/xl/worksheets/sheet52393.xml"/>
  <Override ContentType="application/vnd.openxmlformats-officedocument.spreadsheetml.worksheet+xml" PartName="/xl/worksheets/sheet52394.xml"/>
  <Override ContentType="application/vnd.openxmlformats-officedocument.spreadsheetml.worksheet+xml" PartName="/xl/worksheets/sheet52395.xml"/>
  <Override ContentType="application/vnd.openxmlformats-officedocument.spreadsheetml.worksheet+xml" PartName="/xl/worksheets/sheet52396.xml"/>
  <Override ContentType="application/vnd.openxmlformats-officedocument.spreadsheetml.worksheet+xml" PartName="/xl/worksheets/sheet52397.xml"/>
  <Override ContentType="application/vnd.openxmlformats-officedocument.spreadsheetml.worksheet+xml" PartName="/xl/worksheets/sheet52398.xml"/>
  <Override ContentType="application/vnd.openxmlformats-officedocument.spreadsheetml.worksheet+xml" PartName="/xl/worksheets/sheet52399.xml"/>
  <Override ContentType="application/vnd.openxmlformats-officedocument.spreadsheetml.worksheet+xml" PartName="/xl/worksheets/sheet52400.xml"/>
  <Override ContentType="application/vnd.openxmlformats-officedocument.spreadsheetml.worksheet+xml" PartName="/xl/worksheets/sheet52401.xml"/>
  <Override ContentType="application/vnd.openxmlformats-officedocument.spreadsheetml.worksheet+xml" PartName="/xl/worksheets/sheet52402.xml"/>
  <Override ContentType="application/vnd.openxmlformats-officedocument.spreadsheetml.worksheet+xml" PartName="/xl/worksheets/sheet52403.xml"/>
  <Override ContentType="application/vnd.openxmlformats-officedocument.spreadsheetml.worksheet+xml" PartName="/xl/worksheets/sheet52404.xml"/>
  <Override ContentType="application/vnd.openxmlformats-officedocument.spreadsheetml.worksheet+xml" PartName="/xl/worksheets/sheet52405.xml"/>
  <Override ContentType="application/vnd.openxmlformats-officedocument.spreadsheetml.worksheet+xml" PartName="/xl/worksheets/sheet52406.xml"/>
  <Override ContentType="application/vnd.openxmlformats-officedocument.spreadsheetml.worksheet+xml" PartName="/xl/worksheets/sheet52407.xml"/>
  <Override ContentType="application/vnd.openxmlformats-officedocument.spreadsheetml.worksheet+xml" PartName="/xl/worksheets/sheet52408.xml"/>
  <Override ContentType="application/vnd.openxmlformats-officedocument.spreadsheetml.worksheet+xml" PartName="/xl/worksheets/sheet52409.xml"/>
  <Override ContentType="application/vnd.openxmlformats-officedocument.spreadsheetml.worksheet+xml" PartName="/xl/worksheets/sheet52410.xml"/>
  <Override ContentType="application/vnd.openxmlformats-officedocument.spreadsheetml.worksheet+xml" PartName="/xl/worksheets/sheet52411.xml"/>
  <Override ContentType="application/vnd.openxmlformats-officedocument.spreadsheetml.worksheet+xml" PartName="/xl/worksheets/sheet52412.xml"/>
  <Override ContentType="application/vnd.openxmlformats-officedocument.spreadsheetml.worksheet+xml" PartName="/xl/worksheets/sheet52413.xml"/>
  <Override ContentType="application/vnd.openxmlformats-officedocument.spreadsheetml.worksheet+xml" PartName="/xl/worksheets/sheet52414.xml"/>
  <Override ContentType="application/vnd.openxmlformats-officedocument.spreadsheetml.worksheet+xml" PartName="/xl/worksheets/sheet52415.xml"/>
  <Override ContentType="application/vnd.openxmlformats-officedocument.spreadsheetml.worksheet+xml" PartName="/xl/worksheets/sheet52416.xml"/>
  <Override ContentType="application/vnd.openxmlformats-officedocument.spreadsheetml.worksheet+xml" PartName="/xl/worksheets/sheet52417.xml"/>
  <Override ContentType="application/vnd.openxmlformats-officedocument.spreadsheetml.worksheet+xml" PartName="/xl/worksheets/sheet52418.xml"/>
  <Override ContentType="application/vnd.openxmlformats-officedocument.spreadsheetml.worksheet+xml" PartName="/xl/worksheets/sheet52419.xml"/>
  <Override ContentType="application/vnd.openxmlformats-officedocument.spreadsheetml.worksheet+xml" PartName="/xl/worksheets/sheet52420.xml"/>
  <Override ContentType="application/vnd.openxmlformats-officedocument.spreadsheetml.worksheet+xml" PartName="/xl/worksheets/sheet52421.xml"/>
  <Override ContentType="application/vnd.openxmlformats-officedocument.spreadsheetml.worksheet+xml" PartName="/xl/worksheets/sheet52422.xml"/>
  <Override ContentType="application/vnd.openxmlformats-officedocument.spreadsheetml.worksheet+xml" PartName="/xl/worksheets/sheet52423.xml"/>
  <Override ContentType="application/vnd.openxmlformats-officedocument.spreadsheetml.worksheet+xml" PartName="/xl/worksheets/sheet52424.xml"/>
  <Override ContentType="application/vnd.openxmlformats-officedocument.spreadsheetml.worksheet+xml" PartName="/xl/worksheets/sheet52425.xml"/>
  <Override ContentType="application/vnd.openxmlformats-officedocument.spreadsheetml.worksheet+xml" PartName="/xl/worksheets/sheet52426.xml"/>
  <Override ContentType="application/vnd.openxmlformats-officedocument.spreadsheetml.worksheet+xml" PartName="/xl/worksheets/sheet52427.xml"/>
  <Override ContentType="application/vnd.openxmlformats-officedocument.spreadsheetml.worksheet+xml" PartName="/xl/worksheets/sheet52428.xml"/>
  <Override ContentType="application/vnd.openxmlformats-officedocument.spreadsheetml.worksheet+xml" PartName="/xl/worksheets/sheet52429.xml"/>
  <Override ContentType="application/vnd.openxmlformats-officedocument.spreadsheetml.worksheet+xml" PartName="/xl/worksheets/sheet52430.xml"/>
  <Override ContentType="application/vnd.openxmlformats-officedocument.spreadsheetml.worksheet+xml" PartName="/xl/worksheets/sheet52431.xml"/>
  <Override ContentType="application/vnd.openxmlformats-officedocument.spreadsheetml.worksheet+xml" PartName="/xl/worksheets/sheet52432.xml"/>
  <Override ContentType="application/vnd.openxmlformats-officedocument.spreadsheetml.worksheet+xml" PartName="/xl/worksheets/sheet52433.xml"/>
  <Override ContentType="application/vnd.openxmlformats-officedocument.spreadsheetml.worksheet+xml" PartName="/xl/worksheets/sheet52434.xml"/>
  <Override ContentType="application/vnd.openxmlformats-officedocument.spreadsheetml.worksheet+xml" PartName="/xl/worksheets/sheet52435.xml"/>
  <Override ContentType="application/vnd.openxmlformats-officedocument.spreadsheetml.worksheet+xml" PartName="/xl/worksheets/sheet52436.xml"/>
  <Override ContentType="application/vnd.openxmlformats-officedocument.spreadsheetml.worksheet+xml" PartName="/xl/worksheets/sheet52437.xml"/>
  <Override ContentType="application/vnd.openxmlformats-officedocument.spreadsheetml.worksheet+xml" PartName="/xl/worksheets/sheet52438.xml"/>
  <Override ContentType="application/vnd.openxmlformats-officedocument.spreadsheetml.worksheet+xml" PartName="/xl/worksheets/sheet52439.xml"/>
  <Override ContentType="application/vnd.openxmlformats-officedocument.spreadsheetml.worksheet+xml" PartName="/xl/worksheets/sheet52440.xml"/>
  <Override ContentType="application/vnd.openxmlformats-officedocument.spreadsheetml.worksheet+xml" PartName="/xl/worksheets/sheet52441.xml"/>
  <Override ContentType="application/vnd.openxmlformats-officedocument.spreadsheetml.worksheet+xml" PartName="/xl/worksheets/sheet52442.xml"/>
  <Override ContentType="application/vnd.openxmlformats-officedocument.spreadsheetml.worksheet+xml" PartName="/xl/worksheets/sheet52443.xml"/>
  <Override ContentType="application/vnd.openxmlformats-officedocument.spreadsheetml.worksheet+xml" PartName="/xl/worksheets/sheet52444.xml"/>
  <Override ContentType="application/vnd.openxmlformats-officedocument.spreadsheetml.worksheet+xml" PartName="/xl/worksheets/sheet52445.xml"/>
  <Override ContentType="application/vnd.openxmlformats-officedocument.spreadsheetml.worksheet+xml" PartName="/xl/worksheets/sheet52446.xml"/>
  <Override ContentType="application/vnd.openxmlformats-officedocument.spreadsheetml.worksheet+xml" PartName="/xl/worksheets/sheet52447.xml"/>
  <Override ContentType="application/vnd.openxmlformats-officedocument.spreadsheetml.worksheet+xml" PartName="/xl/worksheets/sheet52448.xml"/>
  <Override ContentType="application/vnd.openxmlformats-officedocument.spreadsheetml.worksheet+xml" PartName="/xl/worksheets/sheet52449.xml"/>
  <Override ContentType="application/vnd.openxmlformats-officedocument.spreadsheetml.worksheet+xml" PartName="/xl/worksheets/sheet52450.xml"/>
  <Override ContentType="application/vnd.openxmlformats-officedocument.spreadsheetml.worksheet+xml" PartName="/xl/worksheets/sheet52451.xml"/>
  <Override ContentType="application/vnd.openxmlformats-officedocument.spreadsheetml.worksheet+xml" PartName="/xl/worksheets/sheet52452.xml"/>
  <Override ContentType="application/vnd.openxmlformats-officedocument.spreadsheetml.worksheet+xml" PartName="/xl/worksheets/sheet52453.xml"/>
  <Override ContentType="application/vnd.openxmlformats-officedocument.spreadsheetml.worksheet+xml" PartName="/xl/worksheets/sheet52454.xml"/>
  <Override ContentType="application/vnd.openxmlformats-officedocument.spreadsheetml.worksheet+xml" PartName="/xl/worksheets/sheet52455.xml"/>
  <Override ContentType="application/vnd.openxmlformats-officedocument.spreadsheetml.worksheet+xml" PartName="/xl/worksheets/sheet52456.xml"/>
  <Override ContentType="application/vnd.openxmlformats-officedocument.spreadsheetml.worksheet+xml" PartName="/xl/worksheets/sheet52457.xml"/>
  <Override ContentType="application/vnd.openxmlformats-officedocument.spreadsheetml.worksheet+xml" PartName="/xl/worksheets/sheet52458.xml"/>
  <Override ContentType="application/vnd.openxmlformats-officedocument.spreadsheetml.worksheet+xml" PartName="/xl/worksheets/sheet52459.xml"/>
  <Override ContentType="application/vnd.openxmlformats-officedocument.spreadsheetml.worksheet+xml" PartName="/xl/worksheets/sheet52460.xml"/>
  <Override ContentType="application/vnd.openxmlformats-officedocument.spreadsheetml.worksheet+xml" PartName="/xl/worksheets/sheet52461.xml"/>
  <Override ContentType="application/vnd.openxmlformats-officedocument.spreadsheetml.worksheet+xml" PartName="/xl/worksheets/sheet52462.xml"/>
  <Override ContentType="application/vnd.openxmlformats-officedocument.spreadsheetml.worksheet+xml" PartName="/xl/worksheets/sheet52463.xml"/>
  <Override ContentType="application/vnd.openxmlformats-officedocument.spreadsheetml.worksheet+xml" PartName="/xl/worksheets/sheet52464.xml"/>
  <Override ContentType="application/vnd.openxmlformats-officedocument.spreadsheetml.worksheet+xml" PartName="/xl/worksheets/sheet52465.xml"/>
  <Override ContentType="application/vnd.openxmlformats-officedocument.spreadsheetml.worksheet+xml" PartName="/xl/worksheets/sheet52466.xml"/>
  <Override ContentType="application/vnd.openxmlformats-officedocument.spreadsheetml.worksheet+xml" PartName="/xl/worksheets/sheet52467.xml"/>
  <Override ContentType="application/vnd.openxmlformats-officedocument.spreadsheetml.worksheet+xml" PartName="/xl/worksheets/sheet52468.xml"/>
  <Override ContentType="application/vnd.openxmlformats-officedocument.spreadsheetml.worksheet+xml" PartName="/xl/worksheets/sheet52469.xml"/>
  <Override ContentType="application/vnd.openxmlformats-officedocument.spreadsheetml.worksheet+xml" PartName="/xl/worksheets/sheet52470.xml"/>
  <Override ContentType="application/vnd.openxmlformats-officedocument.spreadsheetml.worksheet+xml" PartName="/xl/worksheets/sheet52471.xml"/>
  <Override ContentType="application/vnd.openxmlformats-officedocument.spreadsheetml.worksheet+xml" PartName="/xl/worksheets/sheet52472.xml"/>
  <Override ContentType="application/vnd.openxmlformats-officedocument.spreadsheetml.worksheet+xml" PartName="/xl/worksheets/sheet52473.xml"/>
  <Override ContentType="application/vnd.openxmlformats-officedocument.spreadsheetml.worksheet+xml" PartName="/xl/worksheets/sheet52474.xml"/>
  <Override ContentType="application/vnd.openxmlformats-officedocument.spreadsheetml.worksheet+xml" PartName="/xl/worksheets/sheet52475.xml"/>
  <Override ContentType="application/vnd.openxmlformats-officedocument.spreadsheetml.worksheet+xml" PartName="/xl/worksheets/sheet52476.xml"/>
  <Override ContentType="application/vnd.openxmlformats-officedocument.spreadsheetml.worksheet+xml" PartName="/xl/worksheets/sheet52477.xml"/>
  <Override ContentType="application/vnd.openxmlformats-officedocument.spreadsheetml.worksheet+xml" PartName="/xl/worksheets/sheet52478.xml"/>
  <Override ContentType="application/vnd.openxmlformats-officedocument.spreadsheetml.worksheet+xml" PartName="/xl/worksheets/sheet52479.xml"/>
  <Override ContentType="application/vnd.openxmlformats-officedocument.spreadsheetml.worksheet+xml" PartName="/xl/worksheets/sheet52480.xml"/>
  <Override ContentType="application/vnd.openxmlformats-officedocument.spreadsheetml.worksheet+xml" PartName="/xl/worksheets/sheet52481.xml"/>
  <Override ContentType="application/vnd.openxmlformats-officedocument.spreadsheetml.worksheet+xml" PartName="/xl/worksheets/sheet52482.xml"/>
  <Override ContentType="application/vnd.openxmlformats-officedocument.spreadsheetml.worksheet+xml" PartName="/xl/worksheets/sheet52483.xml"/>
  <Override ContentType="application/vnd.openxmlformats-officedocument.spreadsheetml.worksheet+xml" PartName="/xl/worksheets/sheet52484.xml"/>
  <Override ContentType="application/vnd.openxmlformats-officedocument.spreadsheetml.worksheet+xml" PartName="/xl/worksheets/sheet52485.xml"/>
  <Override ContentType="application/vnd.openxmlformats-officedocument.spreadsheetml.worksheet+xml" PartName="/xl/worksheets/sheet52486.xml"/>
  <Override ContentType="application/vnd.openxmlformats-officedocument.spreadsheetml.worksheet+xml" PartName="/xl/worksheets/sheet52487.xml"/>
  <Override ContentType="application/vnd.openxmlformats-officedocument.spreadsheetml.worksheet+xml" PartName="/xl/worksheets/sheet52488.xml"/>
  <Override ContentType="application/vnd.openxmlformats-officedocument.spreadsheetml.worksheet+xml" PartName="/xl/worksheets/sheet52489.xml"/>
  <Override ContentType="application/vnd.openxmlformats-officedocument.spreadsheetml.worksheet+xml" PartName="/xl/worksheets/sheet52490.xml"/>
  <Override ContentType="application/vnd.openxmlformats-officedocument.spreadsheetml.worksheet+xml" PartName="/xl/worksheets/sheet52491.xml"/>
  <Override ContentType="application/vnd.openxmlformats-officedocument.spreadsheetml.worksheet+xml" PartName="/xl/worksheets/sheet52492.xml"/>
  <Override ContentType="application/vnd.openxmlformats-officedocument.spreadsheetml.worksheet+xml" PartName="/xl/worksheets/sheet52493.xml"/>
  <Override ContentType="application/vnd.openxmlformats-officedocument.spreadsheetml.worksheet+xml" PartName="/xl/worksheets/sheet52494.xml"/>
  <Override ContentType="application/vnd.openxmlformats-officedocument.spreadsheetml.worksheet+xml" PartName="/xl/worksheets/sheet52495.xml"/>
  <Override ContentType="application/vnd.openxmlformats-officedocument.spreadsheetml.worksheet+xml" PartName="/xl/worksheets/sheet52496.xml"/>
  <Override ContentType="application/vnd.openxmlformats-officedocument.spreadsheetml.worksheet+xml" PartName="/xl/worksheets/sheet52497.xml"/>
  <Override ContentType="application/vnd.openxmlformats-officedocument.spreadsheetml.worksheet+xml" PartName="/xl/worksheets/sheet52498.xml"/>
  <Override ContentType="application/vnd.openxmlformats-officedocument.spreadsheetml.worksheet+xml" PartName="/xl/worksheets/sheet52499.xml"/>
  <Override ContentType="application/vnd.openxmlformats-officedocument.spreadsheetml.worksheet+xml" PartName="/xl/worksheets/sheet52500.xml"/>
  <Override ContentType="application/vnd.openxmlformats-officedocument.spreadsheetml.worksheet+xml" PartName="/xl/worksheets/sheet52501.xml"/>
  <Override ContentType="application/vnd.openxmlformats-officedocument.spreadsheetml.worksheet+xml" PartName="/xl/worksheets/sheet52502.xml"/>
  <Override ContentType="application/vnd.openxmlformats-officedocument.spreadsheetml.worksheet+xml" PartName="/xl/worksheets/sheet52503.xml"/>
  <Override ContentType="application/vnd.openxmlformats-officedocument.spreadsheetml.worksheet+xml" PartName="/xl/worksheets/sheet52504.xml"/>
  <Override ContentType="application/vnd.openxmlformats-officedocument.spreadsheetml.worksheet+xml" PartName="/xl/worksheets/sheet52505.xml"/>
  <Override ContentType="application/vnd.openxmlformats-officedocument.spreadsheetml.worksheet+xml" PartName="/xl/worksheets/sheet52506.xml"/>
  <Override ContentType="application/vnd.openxmlformats-officedocument.spreadsheetml.worksheet+xml" PartName="/xl/worksheets/sheet52507.xml"/>
  <Override ContentType="application/vnd.openxmlformats-officedocument.spreadsheetml.worksheet+xml" PartName="/xl/worksheets/sheet52508.xml"/>
  <Override ContentType="application/vnd.openxmlformats-officedocument.spreadsheetml.worksheet+xml" PartName="/xl/worksheets/sheet52509.xml"/>
  <Override ContentType="application/vnd.openxmlformats-officedocument.spreadsheetml.worksheet+xml" PartName="/xl/worksheets/sheet52510.xml"/>
  <Override ContentType="application/vnd.openxmlformats-officedocument.spreadsheetml.worksheet+xml" PartName="/xl/worksheets/sheet52511.xml"/>
  <Override ContentType="application/vnd.openxmlformats-officedocument.spreadsheetml.worksheet+xml" PartName="/xl/worksheets/sheet52512.xml"/>
  <Override ContentType="application/vnd.openxmlformats-officedocument.spreadsheetml.worksheet+xml" PartName="/xl/worksheets/sheet52513.xml"/>
  <Override ContentType="application/vnd.openxmlformats-officedocument.spreadsheetml.worksheet+xml" PartName="/xl/worksheets/sheet52514.xml"/>
  <Override ContentType="application/vnd.openxmlformats-officedocument.spreadsheetml.worksheet+xml" PartName="/xl/worksheets/sheet52515.xml"/>
  <Override ContentType="application/vnd.openxmlformats-officedocument.spreadsheetml.worksheet+xml" PartName="/xl/worksheets/sheet52516.xml"/>
  <Override ContentType="application/vnd.openxmlformats-officedocument.spreadsheetml.worksheet+xml" PartName="/xl/worksheets/sheet52517.xml"/>
  <Override ContentType="application/vnd.openxmlformats-officedocument.spreadsheetml.worksheet+xml" PartName="/xl/worksheets/sheet52518.xml"/>
  <Override ContentType="application/vnd.openxmlformats-officedocument.spreadsheetml.worksheet+xml" PartName="/xl/worksheets/sheet52519.xml"/>
  <Override ContentType="application/vnd.openxmlformats-officedocument.spreadsheetml.worksheet+xml" PartName="/xl/worksheets/sheet52520.xml"/>
  <Override ContentType="application/vnd.openxmlformats-officedocument.spreadsheetml.worksheet+xml" PartName="/xl/worksheets/sheet52521.xml"/>
  <Override ContentType="application/vnd.openxmlformats-officedocument.spreadsheetml.worksheet+xml" PartName="/xl/worksheets/sheet52522.xml"/>
  <Override ContentType="application/vnd.openxmlformats-officedocument.spreadsheetml.worksheet+xml" PartName="/xl/worksheets/sheet52523.xml"/>
  <Override ContentType="application/vnd.openxmlformats-officedocument.spreadsheetml.worksheet+xml" PartName="/xl/worksheets/sheet52524.xml"/>
  <Override ContentType="application/vnd.openxmlformats-officedocument.spreadsheetml.worksheet+xml" PartName="/xl/worksheets/sheet52525.xml"/>
  <Override ContentType="application/vnd.openxmlformats-officedocument.spreadsheetml.worksheet+xml" PartName="/xl/worksheets/sheet52526.xml"/>
  <Override ContentType="application/vnd.openxmlformats-officedocument.spreadsheetml.worksheet+xml" PartName="/xl/worksheets/sheet52527.xml"/>
  <Override ContentType="application/vnd.openxmlformats-officedocument.spreadsheetml.worksheet+xml" PartName="/xl/worksheets/sheet52528.xml"/>
  <Override ContentType="application/vnd.openxmlformats-officedocument.spreadsheetml.worksheet+xml" PartName="/xl/worksheets/sheet52529.xml"/>
  <Override ContentType="application/vnd.openxmlformats-officedocument.spreadsheetml.worksheet+xml" PartName="/xl/worksheets/sheet52530.xml"/>
  <Override ContentType="application/vnd.openxmlformats-officedocument.spreadsheetml.worksheet+xml" PartName="/xl/worksheets/sheet52531.xml"/>
  <Override ContentType="application/vnd.openxmlformats-officedocument.spreadsheetml.worksheet+xml" PartName="/xl/worksheets/sheet52532.xml"/>
  <Override ContentType="application/vnd.openxmlformats-officedocument.spreadsheetml.worksheet+xml" PartName="/xl/worksheets/sheet52533.xml"/>
  <Override ContentType="application/vnd.openxmlformats-officedocument.spreadsheetml.worksheet+xml" PartName="/xl/worksheets/sheet52534.xml"/>
  <Override ContentType="application/vnd.openxmlformats-officedocument.spreadsheetml.worksheet+xml" PartName="/xl/worksheets/sheet52535.xml"/>
  <Override ContentType="application/vnd.openxmlformats-officedocument.spreadsheetml.worksheet+xml" PartName="/xl/worksheets/sheet52536.xml"/>
  <Override ContentType="application/vnd.openxmlformats-officedocument.spreadsheetml.worksheet+xml" PartName="/xl/worksheets/sheet52537.xml"/>
  <Override ContentType="application/vnd.openxmlformats-officedocument.spreadsheetml.worksheet+xml" PartName="/xl/worksheets/sheet52538.xml"/>
  <Override ContentType="application/vnd.openxmlformats-officedocument.spreadsheetml.worksheet+xml" PartName="/xl/worksheets/sheet52539.xml"/>
  <Override ContentType="application/vnd.openxmlformats-officedocument.spreadsheetml.worksheet+xml" PartName="/xl/worksheets/sheet52540.xml"/>
  <Override ContentType="application/vnd.openxmlformats-officedocument.spreadsheetml.worksheet+xml" PartName="/xl/worksheets/sheet52541.xml"/>
  <Override ContentType="application/vnd.openxmlformats-officedocument.spreadsheetml.worksheet+xml" PartName="/xl/worksheets/sheet52542.xml"/>
  <Override ContentType="application/vnd.openxmlformats-officedocument.spreadsheetml.worksheet+xml" PartName="/xl/worksheets/sheet52543.xml"/>
  <Override ContentType="application/vnd.openxmlformats-officedocument.spreadsheetml.worksheet+xml" PartName="/xl/worksheets/sheet52544.xml"/>
  <Override ContentType="application/vnd.openxmlformats-officedocument.spreadsheetml.worksheet+xml" PartName="/xl/worksheets/sheet52545.xml"/>
  <Override ContentType="application/vnd.openxmlformats-officedocument.spreadsheetml.worksheet+xml" PartName="/xl/worksheets/sheet52546.xml"/>
  <Override ContentType="application/vnd.openxmlformats-officedocument.spreadsheetml.worksheet+xml" PartName="/xl/worksheets/sheet52547.xml"/>
  <Override ContentType="application/vnd.openxmlformats-officedocument.spreadsheetml.worksheet+xml" PartName="/xl/worksheets/sheet52548.xml"/>
  <Override ContentType="application/vnd.openxmlformats-officedocument.spreadsheetml.worksheet+xml" PartName="/xl/worksheets/sheet52549.xml"/>
  <Override ContentType="application/vnd.openxmlformats-officedocument.spreadsheetml.worksheet+xml" PartName="/xl/worksheets/sheet52550.xml"/>
  <Override ContentType="application/vnd.openxmlformats-officedocument.spreadsheetml.worksheet+xml" PartName="/xl/worksheets/sheet52551.xml"/>
  <Override ContentType="application/vnd.openxmlformats-officedocument.spreadsheetml.worksheet+xml" PartName="/xl/worksheets/sheet52552.xml"/>
  <Override ContentType="application/vnd.openxmlformats-officedocument.spreadsheetml.worksheet+xml" PartName="/xl/worksheets/sheet52553.xml"/>
  <Override ContentType="application/vnd.openxmlformats-officedocument.spreadsheetml.worksheet+xml" PartName="/xl/worksheets/sheet52554.xml"/>
  <Override ContentType="application/vnd.openxmlformats-officedocument.spreadsheetml.worksheet+xml" PartName="/xl/worksheets/sheet52555.xml"/>
  <Override ContentType="application/vnd.openxmlformats-officedocument.spreadsheetml.worksheet+xml" PartName="/xl/worksheets/sheet52556.xml"/>
  <Override ContentType="application/vnd.openxmlformats-officedocument.spreadsheetml.worksheet+xml" PartName="/xl/worksheets/sheet52557.xml"/>
  <Override ContentType="application/vnd.openxmlformats-officedocument.spreadsheetml.worksheet+xml" PartName="/xl/worksheets/sheet52558.xml"/>
  <Override ContentType="application/vnd.openxmlformats-officedocument.spreadsheetml.worksheet+xml" PartName="/xl/worksheets/sheet52559.xml"/>
  <Override ContentType="application/vnd.openxmlformats-officedocument.spreadsheetml.worksheet+xml" PartName="/xl/worksheets/sheet52560.xml"/>
  <Override ContentType="application/vnd.openxmlformats-officedocument.spreadsheetml.worksheet+xml" PartName="/xl/worksheets/sheet52561.xml"/>
  <Override ContentType="application/vnd.openxmlformats-officedocument.spreadsheetml.worksheet+xml" PartName="/xl/worksheets/sheet52562.xml"/>
  <Override ContentType="application/vnd.openxmlformats-officedocument.spreadsheetml.worksheet+xml" PartName="/xl/worksheets/sheet52563.xml"/>
  <Override ContentType="application/vnd.openxmlformats-officedocument.spreadsheetml.worksheet+xml" PartName="/xl/worksheets/sheet52564.xml"/>
  <Override ContentType="application/vnd.openxmlformats-officedocument.spreadsheetml.worksheet+xml" PartName="/xl/worksheets/sheet52565.xml"/>
  <Override ContentType="application/vnd.openxmlformats-officedocument.spreadsheetml.worksheet+xml" PartName="/xl/worksheets/sheet52566.xml"/>
  <Override ContentType="application/vnd.openxmlformats-officedocument.spreadsheetml.worksheet+xml" PartName="/xl/worksheets/sheet52567.xml"/>
  <Override ContentType="application/vnd.openxmlformats-officedocument.spreadsheetml.worksheet+xml" PartName="/xl/worksheets/sheet52568.xml"/>
  <Override ContentType="application/vnd.openxmlformats-officedocument.spreadsheetml.worksheet+xml" PartName="/xl/worksheets/sheet52569.xml"/>
  <Override ContentType="application/vnd.openxmlformats-officedocument.spreadsheetml.worksheet+xml" PartName="/xl/worksheets/sheet52570.xml"/>
  <Override ContentType="application/vnd.openxmlformats-officedocument.spreadsheetml.worksheet+xml" PartName="/xl/worksheets/sheet52571.xml"/>
  <Override ContentType="application/vnd.openxmlformats-officedocument.spreadsheetml.worksheet+xml" PartName="/xl/worksheets/sheet52572.xml"/>
  <Override ContentType="application/vnd.openxmlformats-officedocument.spreadsheetml.worksheet+xml" PartName="/xl/worksheets/sheet52573.xml"/>
  <Override ContentType="application/vnd.openxmlformats-officedocument.spreadsheetml.worksheet+xml" PartName="/xl/worksheets/sheet52574.xml"/>
  <Override ContentType="application/vnd.openxmlformats-officedocument.spreadsheetml.worksheet+xml" PartName="/xl/worksheets/sheet52575.xml"/>
  <Override ContentType="application/vnd.openxmlformats-officedocument.spreadsheetml.worksheet+xml" PartName="/xl/worksheets/sheet52576.xml"/>
  <Override ContentType="application/vnd.openxmlformats-officedocument.spreadsheetml.worksheet+xml" PartName="/xl/worksheets/sheet52577.xml"/>
  <Override ContentType="application/vnd.openxmlformats-officedocument.spreadsheetml.worksheet+xml" PartName="/xl/worksheets/sheet52578.xml"/>
  <Override ContentType="application/vnd.openxmlformats-officedocument.spreadsheetml.worksheet+xml" PartName="/xl/worksheets/sheet52579.xml"/>
  <Override ContentType="application/vnd.openxmlformats-officedocument.spreadsheetml.worksheet+xml" PartName="/xl/worksheets/sheet52580.xml"/>
  <Override ContentType="application/vnd.openxmlformats-officedocument.spreadsheetml.worksheet+xml" PartName="/xl/worksheets/sheet52581.xml"/>
  <Override ContentType="application/vnd.openxmlformats-officedocument.spreadsheetml.worksheet+xml" PartName="/xl/worksheets/sheet52582.xml"/>
  <Override ContentType="application/vnd.openxmlformats-officedocument.spreadsheetml.worksheet+xml" PartName="/xl/worksheets/sheet52583.xml"/>
  <Override ContentType="application/vnd.openxmlformats-officedocument.spreadsheetml.worksheet+xml" PartName="/xl/worksheets/sheet52584.xml"/>
  <Override ContentType="application/vnd.openxmlformats-officedocument.spreadsheetml.worksheet+xml" PartName="/xl/worksheets/sheet52585.xml"/>
  <Override ContentType="application/vnd.openxmlformats-officedocument.spreadsheetml.worksheet+xml" PartName="/xl/worksheets/sheet52586.xml"/>
  <Override ContentType="application/vnd.openxmlformats-officedocument.spreadsheetml.worksheet+xml" PartName="/xl/worksheets/sheet52587.xml"/>
  <Override ContentType="application/vnd.openxmlformats-officedocument.spreadsheetml.worksheet+xml" PartName="/xl/worksheets/sheet52588.xml"/>
  <Override ContentType="application/vnd.openxmlformats-officedocument.spreadsheetml.worksheet+xml" PartName="/xl/worksheets/sheet52589.xml"/>
  <Override ContentType="application/vnd.openxmlformats-officedocument.spreadsheetml.worksheet+xml" PartName="/xl/worksheets/sheet52590.xml"/>
  <Override ContentType="application/vnd.openxmlformats-officedocument.spreadsheetml.worksheet+xml" PartName="/xl/worksheets/sheet52591.xml"/>
  <Override ContentType="application/vnd.openxmlformats-officedocument.spreadsheetml.worksheet+xml" PartName="/xl/worksheets/sheet52592.xml"/>
  <Override ContentType="application/vnd.openxmlformats-officedocument.spreadsheetml.worksheet+xml" PartName="/xl/worksheets/sheet52593.xml"/>
  <Override ContentType="application/vnd.openxmlformats-officedocument.spreadsheetml.worksheet+xml" PartName="/xl/worksheets/sheet52594.xml"/>
  <Override ContentType="application/vnd.openxmlformats-officedocument.spreadsheetml.worksheet+xml" PartName="/xl/worksheets/sheet52595.xml"/>
  <Override ContentType="application/vnd.openxmlformats-officedocument.spreadsheetml.worksheet+xml" PartName="/xl/worksheets/sheet52596.xml"/>
  <Override ContentType="application/vnd.openxmlformats-officedocument.spreadsheetml.worksheet+xml" PartName="/xl/worksheets/sheet52597.xml"/>
  <Override ContentType="application/vnd.openxmlformats-officedocument.spreadsheetml.worksheet+xml" PartName="/xl/worksheets/sheet52598.xml"/>
  <Override ContentType="application/vnd.openxmlformats-officedocument.spreadsheetml.worksheet+xml" PartName="/xl/worksheets/sheet52599.xml"/>
  <Override ContentType="application/vnd.openxmlformats-officedocument.spreadsheetml.worksheet+xml" PartName="/xl/worksheets/sheet52600.xml"/>
  <Override ContentType="application/vnd.openxmlformats-officedocument.spreadsheetml.worksheet+xml" PartName="/xl/worksheets/sheet52601.xml"/>
  <Override ContentType="application/vnd.openxmlformats-officedocument.spreadsheetml.worksheet+xml" PartName="/xl/worksheets/sheet52602.xml"/>
  <Override ContentType="application/vnd.openxmlformats-officedocument.spreadsheetml.worksheet+xml" PartName="/xl/worksheets/sheet52603.xml"/>
  <Override ContentType="application/vnd.openxmlformats-officedocument.spreadsheetml.worksheet+xml" PartName="/xl/worksheets/sheet52604.xml"/>
  <Override ContentType="application/vnd.openxmlformats-officedocument.spreadsheetml.worksheet+xml" PartName="/xl/worksheets/sheet52605.xml"/>
  <Override ContentType="application/vnd.openxmlformats-officedocument.spreadsheetml.worksheet+xml" PartName="/xl/worksheets/sheet52606.xml"/>
  <Override ContentType="application/vnd.openxmlformats-officedocument.spreadsheetml.worksheet+xml" PartName="/xl/worksheets/sheet52607.xml"/>
  <Override ContentType="application/vnd.openxmlformats-officedocument.spreadsheetml.worksheet+xml" PartName="/xl/worksheets/sheet52608.xml"/>
  <Override ContentType="application/vnd.openxmlformats-officedocument.spreadsheetml.worksheet+xml" PartName="/xl/worksheets/sheet52609.xml"/>
  <Override ContentType="application/vnd.openxmlformats-officedocument.spreadsheetml.worksheet+xml" PartName="/xl/worksheets/sheet52610.xml"/>
  <Override ContentType="application/vnd.openxmlformats-officedocument.spreadsheetml.worksheet+xml" PartName="/xl/worksheets/sheet52611.xml"/>
  <Override ContentType="application/vnd.openxmlformats-officedocument.spreadsheetml.worksheet+xml" PartName="/xl/worksheets/sheet52612.xml"/>
  <Override ContentType="application/vnd.openxmlformats-officedocument.spreadsheetml.worksheet+xml" PartName="/xl/worksheets/sheet52613.xml"/>
  <Override ContentType="application/vnd.openxmlformats-officedocument.spreadsheetml.worksheet+xml" PartName="/xl/worksheets/sheet52614.xml"/>
  <Override ContentType="application/vnd.openxmlformats-officedocument.spreadsheetml.worksheet+xml" PartName="/xl/worksheets/sheet52615.xml"/>
  <Override ContentType="application/vnd.openxmlformats-officedocument.spreadsheetml.worksheet+xml" PartName="/xl/worksheets/sheet52616.xml"/>
  <Override ContentType="application/vnd.openxmlformats-officedocument.spreadsheetml.worksheet+xml" PartName="/xl/worksheets/sheet52617.xml"/>
  <Override ContentType="application/vnd.openxmlformats-officedocument.spreadsheetml.worksheet+xml" PartName="/xl/worksheets/sheet52618.xml"/>
  <Override ContentType="application/vnd.openxmlformats-officedocument.spreadsheetml.worksheet+xml" PartName="/xl/worksheets/sheet52619.xml"/>
  <Override ContentType="application/vnd.openxmlformats-officedocument.spreadsheetml.worksheet+xml" PartName="/xl/worksheets/sheet52620.xml"/>
  <Override ContentType="application/vnd.openxmlformats-officedocument.spreadsheetml.worksheet+xml" PartName="/xl/worksheets/sheet52621.xml"/>
  <Override ContentType="application/vnd.openxmlformats-officedocument.spreadsheetml.worksheet+xml" PartName="/xl/worksheets/sheet52622.xml"/>
  <Override ContentType="application/vnd.openxmlformats-officedocument.spreadsheetml.worksheet+xml" PartName="/xl/worksheets/sheet52623.xml"/>
  <Override ContentType="application/vnd.openxmlformats-officedocument.spreadsheetml.worksheet+xml" PartName="/xl/worksheets/sheet52624.xml"/>
  <Override ContentType="application/vnd.openxmlformats-officedocument.spreadsheetml.worksheet+xml" PartName="/xl/worksheets/sheet52625.xml"/>
  <Override ContentType="application/vnd.openxmlformats-officedocument.spreadsheetml.worksheet+xml" PartName="/xl/worksheets/sheet52626.xml"/>
  <Override ContentType="application/vnd.openxmlformats-officedocument.spreadsheetml.worksheet+xml" PartName="/xl/worksheets/sheet52627.xml"/>
  <Override ContentType="application/vnd.openxmlformats-officedocument.spreadsheetml.worksheet+xml" PartName="/xl/worksheets/sheet52628.xml"/>
  <Override ContentType="application/vnd.openxmlformats-officedocument.spreadsheetml.worksheet+xml" PartName="/xl/worksheets/sheet52629.xml"/>
  <Override ContentType="application/vnd.openxmlformats-officedocument.spreadsheetml.worksheet+xml" PartName="/xl/worksheets/sheet52630.xml"/>
  <Override ContentType="application/vnd.openxmlformats-officedocument.spreadsheetml.worksheet+xml" PartName="/xl/worksheets/sheet52631.xml"/>
  <Override ContentType="application/vnd.openxmlformats-officedocument.spreadsheetml.worksheet+xml" PartName="/xl/worksheets/sheet52632.xml"/>
  <Override ContentType="application/vnd.openxmlformats-officedocument.spreadsheetml.worksheet+xml" PartName="/xl/worksheets/sheet52633.xml"/>
  <Override ContentType="application/vnd.openxmlformats-officedocument.spreadsheetml.worksheet+xml" PartName="/xl/worksheets/sheet52634.xml"/>
  <Override ContentType="application/vnd.openxmlformats-officedocument.spreadsheetml.worksheet+xml" PartName="/xl/worksheets/sheet52635.xml"/>
  <Override ContentType="application/vnd.openxmlformats-officedocument.spreadsheetml.worksheet+xml" PartName="/xl/worksheets/sheet52636.xml"/>
  <Override ContentType="application/vnd.openxmlformats-officedocument.spreadsheetml.worksheet+xml" PartName="/xl/worksheets/sheet52637.xml"/>
  <Override ContentType="application/vnd.openxmlformats-officedocument.spreadsheetml.worksheet+xml" PartName="/xl/worksheets/sheet52638.xml"/>
  <Override ContentType="application/vnd.openxmlformats-officedocument.spreadsheetml.worksheet+xml" PartName="/xl/worksheets/sheet52639.xml"/>
  <Override ContentType="application/vnd.openxmlformats-officedocument.spreadsheetml.worksheet+xml" PartName="/xl/worksheets/sheet52640.xml"/>
  <Override ContentType="application/vnd.openxmlformats-officedocument.spreadsheetml.worksheet+xml" PartName="/xl/worksheets/sheet52641.xml"/>
  <Override ContentType="application/vnd.openxmlformats-officedocument.spreadsheetml.worksheet+xml" PartName="/xl/worksheets/sheet52642.xml"/>
  <Override ContentType="application/vnd.openxmlformats-officedocument.spreadsheetml.worksheet+xml" PartName="/xl/worksheets/sheet52643.xml"/>
  <Override ContentType="application/vnd.openxmlformats-officedocument.spreadsheetml.worksheet+xml" PartName="/xl/worksheets/sheet52644.xml"/>
  <Override ContentType="application/vnd.openxmlformats-officedocument.spreadsheetml.worksheet+xml" PartName="/xl/worksheets/sheet52645.xml"/>
  <Override ContentType="application/vnd.openxmlformats-officedocument.spreadsheetml.worksheet+xml" PartName="/xl/worksheets/sheet52646.xml"/>
  <Override ContentType="application/vnd.openxmlformats-officedocument.spreadsheetml.worksheet+xml" PartName="/xl/worksheets/sheet52647.xml"/>
  <Override ContentType="application/vnd.openxmlformats-officedocument.spreadsheetml.worksheet+xml" PartName="/xl/worksheets/sheet52648.xml"/>
  <Override ContentType="application/vnd.openxmlformats-officedocument.spreadsheetml.worksheet+xml" PartName="/xl/worksheets/sheet52649.xml"/>
  <Override ContentType="application/vnd.openxmlformats-officedocument.spreadsheetml.worksheet+xml" PartName="/xl/worksheets/sheet52650.xml"/>
  <Override ContentType="application/vnd.openxmlformats-officedocument.spreadsheetml.worksheet+xml" PartName="/xl/worksheets/sheet52651.xml"/>
  <Override ContentType="application/vnd.openxmlformats-officedocument.spreadsheetml.worksheet+xml" PartName="/xl/worksheets/sheet52652.xml"/>
  <Override ContentType="application/vnd.openxmlformats-officedocument.spreadsheetml.worksheet+xml" PartName="/xl/worksheets/sheet52653.xml"/>
  <Override ContentType="application/vnd.openxmlformats-officedocument.spreadsheetml.worksheet+xml" PartName="/xl/worksheets/sheet52654.xml"/>
  <Override ContentType="application/vnd.openxmlformats-officedocument.spreadsheetml.worksheet+xml" PartName="/xl/worksheets/sheet52655.xml"/>
  <Override ContentType="application/vnd.openxmlformats-officedocument.spreadsheetml.worksheet+xml" PartName="/xl/worksheets/sheet52656.xml"/>
  <Override ContentType="application/vnd.openxmlformats-officedocument.spreadsheetml.worksheet+xml" PartName="/xl/worksheets/sheet52657.xml"/>
  <Override ContentType="application/vnd.openxmlformats-officedocument.spreadsheetml.worksheet+xml" PartName="/xl/worksheets/sheet52658.xml"/>
  <Override ContentType="application/vnd.openxmlformats-officedocument.spreadsheetml.worksheet+xml" PartName="/xl/worksheets/sheet52659.xml"/>
  <Override ContentType="application/vnd.openxmlformats-officedocument.spreadsheetml.worksheet+xml" PartName="/xl/worksheets/sheet52660.xml"/>
  <Override ContentType="application/vnd.openxmlformats-officedocument.spreadsheetml.worksheet+xml" PartName="/xl/worksheets/sheet52661.xml"/>
  <Override ContentType="application/vnd.openxmlformats-officedocument.spreadsheetml.worksheet+xml" PartName="/xl/worksheets/sheet52662.xml"/>
  <Override ContentType="application/vnd.openxmlformats-officedocument.spreadsheetml.worksheet+xml" PartName="/xl/worksheets/sheet52663.xml"/>
  <Override ContentType="application/vnd.openxmlformats-officedocument.spreadsheetml.worksheet+xml" PartName="/xl/worksheets/sheet52664.xml"/>
  <Override ContentType="application/vnd.openxmlformats-officedocument.spreadsheetml.worksheet+xml" PartName="/xl/worksheets/sheet52665.xml"/>
  <Override ContentType="application/vnd.openxmlformats-officedocument.spreadsheetml.worksheet+xml" PartName="/xl/worksheets/sheet52666.xml"/>
  <Override ContentType="application/vnd.openxmlformats-officedocument.spreadsheetml.worksheet+xml" PartName="/xl/worksheets/sheet52667.xml"/>
  <Override ContentType="application/vnd.openxmlformats-officedocument.spreadsheetml.worksheet+xml" PartName="/xl/worksheets/sheet52668.xml"/>
  <Override ContentType="application/vnd.openxmlformats-officedocument.spreadsheetml.worksheet+xml" PartName="/xl/worksheets/sheet52669.xml"/>
  <Override ContentType="application/vnd.openxmlformats-officedocument.spreadsheetml.worksheet+xml" PartName="/xl/worksheets/sheet52670.xml"/>
  <Override ContentType="application/vnd.openxmlformats-officedocument.spreadsheetml.worksheet+xml" PartName="/xl/worksheets/sheet52671.xml"/>
  <Override ContentType="application/vnd.openxmlformats-officedocument.spreadsheetml.worksheet+xml" PartName="/xl/worksheets/sheet52672.xml"/>
  <Override ContentType="application/vnd.openxmlformats-officedocument.spreadsheetml.worksheet+xml" PartName="/xl/worksheets/sheet52673.xml"/>
  <Override ContentType="application/vnd.openxmlformats-officedocument.spreadsheetml.worksheet+xml" PartName="/xl/worksheets/sheet52674.xml"/>
  <Override ContentType="application/vnd.openxmlformats-officedocument.spreadsheetml.worksheet+xml" PartName="/xl/worksheets/sheet52675.xml"/>
  <Override ContentType="application/vnd.openxmlformats-officedocument.spreadsheetml.worksheet+xml" PartName="/xl/worksheets/sheet52676.xml"/>
  <Override ContentType="application/vnd.openxmlformats-officedocument.spreadsheetml.worksheet+xml" PartName="/xl/worksheets/sheet52677.xml"/>
  <Override ContentType="application/vnd.openxmlformats-officedocument.spreadsheetml.worksheet+xml" PartName="/xl/worksheets/sheet52678.xml"/>
  <Override ContentType="application/vnd.openxmlformats-officedocument.spreadsheetml.worksheet+xml" PartName="/xl/worksheets/sheet52679.xml"/>
  <Override ContentType="application/vnd.openxmlformats-officedocument.spreadsheetml.worksheet+xml" PartName="/xl/worksheets/sheet52680.xml"/>
  <Override ContentType="application/vnd.openxmlformats-officedocument.spreadsheetml.worksheet+xml" PartName="/xl/worksheets/sheet52681.xml"/>
  <Override ContentType="application/vnd.openxmlformats-officedocument.spreadsheetml.worksheet+xml" PartName="/xl/worksheets/sheet52682.xml"/>
  <Override ContentType="application/vnd.openxmlformats-officedocument.spreadsheetml.worksheet+xml" PartName="/xl/worksheets/sheet52683.xml"/>
  <Override ContentType="application/vnd.openxmlformats-officedocument.spreadsheetml.worksheet+xml" PartName="/xl/worksheets/sheet52684.xml"/>
  <Override ContentType="application/vnd.openxmlformats-officedocument.spreadsheetml.worksheet+xml" PartName="/xl/worksheets/sheet52685.xml"/>
  <Override ContentType="application/vnd.openxmlformats-officedocument.spreadsheetml.worksheet+xml" PartName="/xl/worksheets/sheet52686.xml"/>
  <Override ContentType="application/vnd.openxmlformats-officedocument.spreadsheetml.worksheet+xml" PartName="/xl/worksheets/sheet52687.xml"/>
  <Override ContentType="application/vnd.openxmlformats-officedocument.spreadsheetml.worksheet+xml" PartName="/xl/worksheets/sheet52688.xml"/>
  <Override ContentType="application/vnd.openxmlformats-officedocument.spreadsheetml.worksheet+xml" PartName="/xl/worksheets/sheet52689.xml"/>
  <Override ContentType="application/vnd.openxmlformats-officedocument.spreadsheetml.worksheet+xml" PartName="/xl/worksheets/sheet52690.xml"/>
  <Override ContentType="application/vnd.openxmlformats-officedocument.spreadsheetml.worksheet+xml" PartName="/xl/worksheets/sheet52691.xml"/>
  <Override ContentType="application/vnd.openxmlformats-officedocument.spreadsheetml.worksheet+xml" PartName="/xl/worksheets/sheet52692.xml"/>
  <Override ContentType="application/vnd.openxmlformats-officedocument.spreadsheetml.worksheet+xml" PartName="/xl/worksheets/sheet52693.xml"/>
  <Override ContentType="application/vnd.openxmlformats-officedocument.spreadsheetml.worksheet+xml" PartName="/xl/worksheets/sheet52694.xml"/>
  <Override ContentType="application/vnd.openxmlformats-officedocument.spreadsheetml.worksheet+xml" PartName="/xl/worksheets/sheet52695.xml"/>
  <Override ContentType="application/vnd.openxmlformats-officedocument.spreadsheetml.worksheet+xml" PartName="/xl/worksheets/sheet52696.xml"/>
  <Override ContentType="application/vnd.openxmlformats-officedocument.spreadsheetml.worksheet+xml" PartName="/xl/worksheets/sheet52697.xml"/>
  <Override ContentType="application/vnd.openxmlformats-officedocument.spreadsheetml.worksheet+xml" PartName="/xl/worksheets/sheet52698.xml"/>
  <Override ContentType="application/vnd.openxmlformats-officedocument.spreadsheetml.worksheet+xml" PartName="/xl/worksheets/sheet52699.xml"/>
  <Override ContentType="application/vnd.openxmlformats-officedocument.spreadsheetml.worksheet+xml" PartName="/xl/worksheets/sheet52700.xml"/>
  <Override ContentType="application/vnd.openxmlformats-officedocument.spreadsheetml.worksheet+xml" PartName="/xl/worksheets/sheet52701.xml"/>
  <Override ContentType="application/vnd.openxmlformats-officedocument.spreadsheetml.worksheet+xml" PartName="/xl/worksheets/sheet52702.xml"/>
  <Override ContentType="application/vnd.openxmlformats-officedocument.spreadsheetml.worksheet+xml" PartName="/xl/worksheets/sheet52703.xml"/>
  <Override ContentType="application/vnd.openxmlformats-officedocument.spreadsheetml.worksheet+xml" PartName="/xl/worksheets/sheet52704.xml"/>
  <Override ContentType="application/vnd.openxmlformats-officedocument.spreadsheetml.worksheet+xml" PartName="/xl/worksheets/sheet52705.xml"/>
  <Override ContentType="application/vnd.openxmlformats-officedocument.spreadsheetml.worksheet+xml" PartName="/xl/worksheets/sheet52706.xml"/>
  <Override ContentType="application/vnd.openxmlformats-officedocument.spreadsheetml.worksheet+xml" PartName="/xl/worksheets/sheet52707.xml"/>
  <Override ContentType="application/vnd.openxmlformats-officedocument.spreadsheetml.worksheet+xml" PartName="/xl/worksheets/sheet52708.xml"/>
  <Override ContentType="application/vnd.openxmlformats-officedocument.spreadsheetml.worksheet+xml" PartName="/xl/worksheets/sheet52709.xml"/>
  <Override ContentType="application/vnd.openxmlformats-officedocument.spreadsheetml.worksheet+xml" PartName="/xl/worksheets/sheet52710.xml"/>
  <Override ContentType="application/vnd.openxmlformats-officedocument.spreadsheetml.worksheet+xml" PartName="/xl/worksheets/sheet52711.xml"/>
  <Override ContentType="application/vnd.openxmlformats-officedocument.spreadsheetml.worksheet+xml" PartName="/xl/worksheets/sheet52712.xml"/>
  <Override ContentType="application/vnd.openxmlformats-officedocument.spreadsheetml.worksheet+xml" PartName="/xl/worksheets/sheet52713.xml"/>
  <Override ContentType="application/vnd.openxmlformats-officedocument.spreadsheetml.worksheet+xml" PartName="/xl/worksheets/sheet52714.xml"/>
  <Override ContentType="application/vnd.openxmlformats-officedocument.spreadsheetml.worksheet+xml" PartName="/xl/worksheets/sheet52715.xml"/>
  <Override ContentType="application/vnd.openxmlformats-officedocument.spreadsheetml.worksheet+xml" PartName="/xl/worksheets/sheet52716.xml"/>
  <Override ContentType="application/vnd.openxmlformats-officedocument.spreadsheetml.worksheet+xml" PartName="/xl/worksheets/sheet52717.xml"/>
  <Override ContentType="application/vnd.openxmlformats-officedocument.spreadsheetml.worksheet+xml" PartName="/xl/worksheets/sheet52718.xml"/>
  <Override ContentType="application/vnd.openxmlformats-officedocument.spreadsheetml.worksheet+xml" PartName="/xl/worksheets/sheet52719.xml"/>
  <Override ContentType="application/vnd.openxmlformats-officedocument.spreadsheetml.worksheet+xml" PartName="/xl/worksheets/sheet52720.xml"/>
  <Override ContentType="application/vnd.openxmlformats-officedocument.spreadsheetml.worksheet+xml" PartName="/xl/worksheets/sheet52721.xml"/>
  <Override ContentType="application/vnd.openxmlformats-officedocument.spreadsheetml.worksheet+xml" PartName="/xl/worksheets/sheet52722.xml"/>
  <Override ContentType="application/vnd.openxmlformats-officedocument.spreadsheetml.worksheet+xml" PartName="/xl/worksheets/sheet52723.xml"/>
  <Override ContentType="application/vnd.openxmlformats-officedocument.spreadsheetml.worksheet+xml" PartName="/xl/worksheets/sheet52724.xml"/>
  <Override ContentType="application/vnd.openxmlformats-officedocument.spreadsheetml.worksheet+xml" PartName="/xl/worksheets/sheet52725.xml"/>
  <Override ContentType="application/vnd.openxmlformats-officedocument.spreadsheetml.worksheet+xml" PartName="/xl/worksheets/sheet52726.xml"/>
  <Override ContentType="application/vnd.openxmlformats-officedocument.spreadsheetml.worksheet+xml" PartName="/xl/worksheets/sheet52727.xml"/>
  <Override ContentType="application/vnd.openxmlformats-officedocument.spreadsheetml.worksheet+xml" PartName="/xl/worksheets/sheet52728.xml"/>
  <Override ContentType="application/vnd.openxmlformats-officedocument.spreadsheetml.worksheet+xml" PartName="/xl/worksheets/sheet52729.xml"/>
  <Override ContentType="application/vnd.openxmlformats-officedocument.spreadsheetml.worksheet+xml" PartName="/xl/worksheets/sheet52730.xml"/>
  <Override ContentType="application/vnd.openxmlformats-officedocument.spreadsheetml.worksheet+xml" PartName="/xl/worksheets/sheet52731.xml"/>
  <Override ContentType="application/vnd.openxmlformats-officedocument.spreadsheetml.worksheet+xml" PartName="/xl/worksheets/sheet52732.xml"/>
  <Override ContentType="application/vnd.openxmlformats-officedocument.spreadsheetml.worksheet+xml" PartName="/xl/worksheets/sheet52733.xml"/>
  <Override ContentType="application/vnd.openxmlformats-officedocument.spreadsheetml.worksheet+xml" PartName="/xl/worksheets/sheet52734.xml"/>
  <Override ContentType="application/vnd.openxmlformats-officedocument.spreadsheetml.worksheet+xml" PartName="/xl/worksheets/sheet52735.xml"/>
  <Override ContentType="application/vnd.openxmlformats-officedocument.spreadsheetml.worksheet+xml" PartName="/xl/worksheets/sheet52736.xml"/>
  <Override ContentType="application/vnd.openxmlformats-officedocument.spreadsheetml.worksheet+xml" PartName="/xl/worksheets/sheet52737.xml"/>
  <Override ContentType="application/vnd.openxmlformats-officedocument.spreadsheetml.worksheet+xml" PartName="/xl/worksheets/sheet52738.xml"/>
  <Override ContentType="application/vnd.openxmlformats-officedocument.spreadsheetml.worksheet+xml" PartName="/xl/worksheets/sheet52739.xml"/>
  <Override ContentType="application/vnd.openxmlformats-officedocument.spreadsheetml.worksheet+xml" PartName="/xl/worksheets/sheet52740.xml"/>
  <Override ContentType="application/vnd.openxmlformats-officedocument.spreadsheetml.worksheet+xml" PartName="/xl/worksheets/sheet52741.xml"/>
  <Override ContentType="application/vnd.openxmlformats-officedocument.spreadsheetml.worksheet+xml" PartName="/xl/worksheets/sheet52742.xml"/>
  <Override ContentType="application/vnd.openxmlformats-officedocument.spreadsheetml.worksheet+xml" PartName="/xl/worksheets/sheet52743.xml"/>
  <Override ContentType="application/vnd.openxmlformats-officedocument.spreadsheetml.worksheet+xml" PartName="/xl/worksheets/sheet52744.xml"/>
  <Override ContentType="application/vnd.openxmlformats-officedocument.spreadsheetml.worksheet+xml" PartName="/xl/worksheets/sheet52745.xml"/>
  <Override ContentType="application/vnd.openxmlformats-officedocument.spreadsheetml.worksheet+xml" PartName="/xl/worksheets/sheet52746.xml"/>
  <Override ContentType="application/vnd.openxmlformats-officedocument.spreadsheetml.worksheet+xml" PartName="/xl/worksheets/sheet52747.xml"/>
  <Override ContentType="application/vnd.openxmlformats-officedocument.spreadsheetml.worksheet+xml" PartName="/xl/worksheets/sheet52748.xml"/>
  <Override ContentType="application/vnd.openxmlformats-officedocument.spreadsheetml.worksheet+xml" PartName="/xl/worksheets/sheet52749.xml"/>
  <Override ContentType="application/vnd.openxmlformats-officedocument.spreadsheetml.worksheet+xml" PartName="/xl/worksheets/sheet52750.xml"/>
  <Override ContentType="application/vnd.openxmlformats-officedocument.spreadsheetml.worksheet+xml" PartName="/xl/worksheets/sheet52751.xml"/>
  <Override ContentType="application/vnd.openxmlformats-officedocument.spreadsheetml.worksheet+xml" PartName="/xl/worksheets/sheet52752.xml"/>
  <Override ContentType="application/vnd.openxmlformats-officedocument.spreadsheetml.worksheet+xml" PartName="/xl/worksheets/sheet52753.xml"/>
  <Override ContentType="application/vnd.openxmlformats-officedocument.spreadsheetml.worksheet+xml" PartName="/xl/worksheets/sheet52754.xml"/>
  <Override ContentType="application/vnd.openxmlformats-officedocument.spreadsheetml.worksheet+xml" PartName="/xl/worksheets/sheet52755.xml"/>
  <Override ContentType="application/vnd.openxmlformats-officedocument.spreadsheetml.worksheet+xml" PartName="/xl/worksheets/sheet52756.xml"/>
  <Override ContentType="application/vnd.openxmlformats-officedocument.spreadsheetml.worksheet+xml" PartName="/xl/worksheets/sheet52757.xml"/>
  <Override ContentType="application/vnd.openxmlformats-officedocument.spreadsheetml.worksheet+xml" PartName="/xl/worksheets/sheet52758.xml"/>
  <Override ContentType="application/vnd.openxmlformats-officedocument.spreadsheetml.worksheet+xml" PartName="/xl/worksheets/sheet52759.xml"/>
  <Override ContentType="application/vnd.openxmlformats-officedocument.spreadsheetml.worksheet+xml" PartName="/xl/worksheets/sheet52760.xml"/>
  <Override ContentType="application/vnd.openxmlformats-officedocument.spreadsheetml.worksheet+xml" PartName="/xl/worksheets/sheet52761.xml"/>
  <Override ContentType="application/vnd.openxmlformats-officedocument.spreadsheetml.worksheet+xml" PartName="/xl/worksheets/sheet52762.xml"/>
  <Override ContentType="application/vnd.openxmlformats-officedocument.spreadsheetml.worksheet+xml" PartName="/xl/worksheets/sheet52763.xml"/>
  <Override ContentType="application/vnd.openxmlformats-officedocument.spreadsheetml.worksheet+xml" PartName="/xl/worksheets/sheet52764.xml"/>
  <Override ContentType="application/vnd.openxmlformats-officedocument.spreadsheetml.worksheet+xml" PartName="/xl/worksheets/sheet52765.xml"/>
  <Override ContentType="application/vnd.openxmlformats-officedocument.spreadsheetml.worksheet+xml" PartName="/xl/worksheets/sheet52766.xml"/>
  <Override ContentType="application/vnd.openxmlformats-officedocument.spreadsheetml.worksheet+xml" PartName="/xl/worksheets/sheet52767.xml"/>
  <Override ContentType="application/vnd.openxmlformats-officedocument.spreadsheetml.worksheet+xml" PartName="/xl/worksheets/sheet52768.xml"/>
  <Override ContentType="application/vnd.openxmlformats-officedocument.spreadsheetml.worksheet+xml" PartName="/xl/worksheets/sheet52769.xml"/>
  <Override ContentType="application/vnd.openxmlformats-officedocument.spreadsheetml.worksheet+xml" PartName="/xl/worksheets/sheet52770.xml"/>
  <Override ContentType="application/vnd.openxmlformats-officedocument.spreadsheetml.worksheet+xml" PartName="/xl/worksheets/sheet52771.xml"/>
  <Override ContentType="application/vnd.openxmlformats-officedocument.spreadsheetml.worksheet+xml" PartName="/xl/worksheets/sheet52772.xml"/>
  <Override ContentType="application/vnd.openxmlformats-officedocument.spreadsheetml.worksheet+xml" PartName="/xl/worksheets/sheet52773.xml"/>
  <Override ContentType="application/vnd.openxmlformats-officedocument.spreadsheetml.worksheet+xml" PartName="/xl/worksheets/sheet52774.xml"/>
  <Override ContentType="application/vnd.openxmlformats-officedocument.spreadsheetml.worksheet+xml" PartName="/xl/worksheets/sheet52775.xml"/>
  <Override ContentType="application/vnd.openxmlformats-officedocument.spreadsheetml.worksheet+xml" PartName="/xl/worksheets/sheet52776.xml"/>
  <Override ContentType="application/vnd.openxmlformats-officedocument.spreadsheetml.worksheet+xml" PartName="/xl/worksheets/sheet52777.xml"/>
  <Override ContentType="application/vnd.openxmlformats-officedocument.spreadsheetml.worksheet+xml" PartName="/xl/worksheets/sheet52778.xml"/>
  <Override ContentType="application/vnd.openxmlformats-officedocument.spreadsheetml.worksheet+xml" PartName="/xl/worksheets/sheet52779.xml"/>
  <Override ContentType="application/vnd.openxmlformats-officedocument.spreadsheetml.worksheet+xml" PartName="/xl/worksheets/sheet52780.xml"/>
  <Override ContentType="application/vnd.openxmlformats-officedocument.spreadsheetml.worksheet+xml" PartName="/xl/worksheets/sheet52781.xml"/>
  <Override ContentType="application/vnd.openxmlformats-officedocument.spreadsheetml.worksheet+xml" PartName="/xl/worksheets/sheet52782.xml"/>
  <Override ContentType="application/vnd.openxmlformats-officedocument.spreadsheetml.worksheet+xml" PartName="/xl/worksheets/sheet52783.xml"/>
  <Override ContentType="application/vnd.openxmlformats-officedocument.spreadsheetml.worksheet+xml" PartName="/xl/worksheets/sheet52784.xml"/>
  <Override ContentType="application/vnd.openxmlformats-officedocument.spreadsheetml.worksheet+xml" PartName="/xl/worksheets/sheet52785.xml"/>
  <Override ContentType="application/vnd.openxmlformats-officedocument.spreadsheetml.worksheet+xml" PartName="/xl/worksheets/sheet52786.xml"/>
  <Override ContentType="application/vnd.openxmlformats-officedocument.spreadsheetml.worksheet+xml" PartName="/xl/worksheets/sheet52787.xml"/>
  <Override ContentType="application/vnd.openxmlformats-officedocument.spreadsheetml.worksheet+xml" PartName="/xl/worksheets/sheet52788.xml"/>
  <Override ContentType="application/vnd.openxmlformats-officedocument.spreadsheetml.worksheet+xml" PartName="/xl/worksheets/sheet52789.xml"/>
  <Override ContentType="application/vnd.openxmlformats-officedocument.spreadsheetml.worksheet+xml" PartName="/xl/worksheets/sheet52790.xml"/>
  <Override ContentType="application/vnd.openxmlformats-officedocument.spreadsheetml.worksheet+xml" PartName="/xl/worksheets/sheet52791.xml"/>
  <Override ContentType="application/vnd.openxmlformats-officedocument.spreadsheetml.worksheet+xml" PartName="/xl/worksheets/sheet52792.xml"/>
  <Override ContentType="application/vnd.openxmlformats-officedocument.spreadsheetml.worksheet+xml" PartName="/xl/worksheets/sheet52793.xml"/>
  <Override ContentType="application/vnd.openxmlformats-officedocument.spreadsheetml.worksheet+xml" PartName="/xl/worksheets/sheet52794.xml"/>
  <Override ContentType="application/vnd.openxmlformats-officedocument.spreadsheetml.worksheet+xml" PartName="/xl/worksheets/sheet52795.xml"/>
  <Override ContentType="application/vnd.openxmlformats-officedocument.spreadsheetml.worksheet+xml" PartName="/xl/worksheets/sheet52796.xml"/>
  <Override ContentType="application/vnd.openxmlformats-officedocument.spreadsheetml.worksheet+xml" PartName="/xl/worksheets/sheet52797.xml"/>
  <Override ContentType="application/vnd.openxmlformats-officedocument.spreadsheetml.worksheet+xml" PartName="/xl/worksheets/sheet52798.xml"/>
  <Override ContentType="application/vnd.openxmlformats-officedocument.spreadsheetml.worksheet+xml" PartName="/xl/worksheets/sheet52799.xml"/>
  <Override ContentType="application/vnd.openxmlformats-officedocument.spreadsheetml.worksheet+xml" PartName="/xl/worksheets/sheet52800.xml"/>
  <Override ContentType="application/vnd.openxmlformats-officedocument.spreadsheetml.worksheet+xml" PartName="/xl/worksheets/sheet52801.xml"/>
  <Override ContentType="application/vnd.openxmlformats-officedocument.spreadsheetml.worksheet+xml" PartName="/xl/worksheets/sheet52802.xml"/>
  <Override ContentType="application/vnd.openxmlformats-officedocument.spreadsheetml.worksheet+xml" PartName="/xl/worksheets/sheet52803.xml"/>
  <Override ContentType="application/vnd.openxmlformats-officedocument.spreadsheetml.worksheet+xml" PartName="/xl/worksheets/sheet52804.xml"/>
  <Override ContentType="application/vnd.openxmlformats-officedocument.spreadsheetml.worksheet+xml" PartName="/xl/worksheets/sheet52805.xml"/>
  <Override ContentType="application/vnd.openxmlformats-officedocument.spreadsheetml.worksheet+xml" PartName="/xl/worksheets/sheet52806.xml"/>
  <Override ContentType="application/vnd.openxmlformats-officedocument.spreadsheetml.worksheet+xml" PartName="/xl/worksheets/sheet52807.xml"/>
  <Override ContentType="application/vnd.openxmlformats-officedocument.spreadsheetml.worksheet+xml" PartName="/xl/worksheets/sheet52808.xml"/>
  <Override ContentType="application/vnd.openxmlformats-officedocument.spreadsheetml.worksheet+xml" PartName="/xl/worksheets/sheet52809.xml"/>
  <Override ContentType="application/vnd.openxmlformats-officedocument.spreadsheetml.worksheet+xml" PartName="/xl/worksheets/sheet52810.xml"/>
  <Override ContentType="application/vnd.openxmlformats-officedocument.spreadsheetml.worksheet+xml" PartName="/xl/worksheets/sheet52811.xml"/>
  <Override ContentType="application/vnd.openxmlformats-officedocument.spreadsheetml.worksheet+xml" PartName="/xl/worksheets/sheet52812.xml"/>
  <Override ContentType="application/vnd.openxmlformats-officedocument.spreadsheetml.worksheet+xml" PartName="/xl/worksheets/sheet52813.xml"/>
  <Override ContentType="application/vnd.openxmlformats-officedocument.spreadsheetml.worksheet+xml" PartName="/xl/worksheets/sheet52814.xml"/>
  <Override ContentType="application/vnd.openxmlformats-officedocument.spreadsheetml.worksheet+xml" PartName="/xl/worksheets/sheet52815.xml"/>
  <Override ContentType="application/vnd.openxmlformats-officedocument.spreadsheetml.worksheet+xml" PartName="/xl/worksheets/sheet52816.xml"/>
  <Override ContentType="application/vnd.openxmlformats-officedocument.spreadsheetml.worksheet+xml" PartName="/xl/worksheets/sheet52817.xml"/>
  <Override ContentType="application/vnd.openxmlformats-officedocument.spreadsheetml.worksheet+xml" PartName="/xl/worksheets/sheet52818.xml"/>
  <Override ContentType="application/vnd.openxmlformats-officedocument.spreadsheetml.worksheet+xml" PartName="/xl/worksheets/sheet52819.xml"/>
  <Override ContentType="application/vnd.openxmlformats-officedocument.spreadsheetml.worksheet+xml" PartName="/xl/worksheets/sheet52820.xml"/>
  <Override ContentType="application/vnd.openxmlformats-officedocument.spreadsheetml.worksheet+xml" PartName="/xl/worksheets/sheet52821.xml"/>
  <Override ContentType="application/vnd.openxmlformats-officedocument.spreadsheetml.worksheet+xml" PartName="/xl/worksheets/sheet528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9"/>
  </bookViews>
  <sheets>
    <sheet name="ListaGeralHidrantes" sheetId="52818" r:id="rId52820"/>
    <sheet name="NãoLocalizados" sheetId="52819" r:id="rId52821"/>
    <sheet name="Seco" sheetId="52820" r:id="rId52822"/>
    <sheet name="SemTampa" sheetId="52808" r:id="rId52810"/>
    <sheet name="ValvulaNaoLocalizado" sheetId="52821" r:id="rId52823"/>
    <sheet name="FlangeTampao" sheetId="52809" r:id="rId52811"/>
    <sheet name="Processo2014" sheetId="52810" r:id="rId52812"/>
    <sheet name="InativadosBaseDados" sheetId="52822" r:id="rId52824"/>
    <sheet name="Bicas" sheetId="52815" r:id="rId52817"/>
    <sheet name="PrioritariosCBPMESP" sheetId="52817" r:id="rId5281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<sst xmlns="http://schemas.openxmlformats.org/spreadsheetml/2006/main" xmlns:r="http://schemas.openxmlformats.org/officeDocument/2006/relationships" xmlns:xdr="http://schemas.openxmlformats.org/drawingml/2006/spreadsheetDrawing" count="501072890" uniqueCount="19178">
  <si>
    <t>ID</t>
  </si>
  <si>
    <t>REGIAO</t>
  </si>
  <si>
    <t>DISTRITO</t>
  </si>
  <si>
    <t>BAIRRO</t>
  </si>
  <si>
    <t>TIPO</t>
  </si>
  <si>
    <t>END</t>
  </si>
  <si>
    <t>ULTIMAVISTORIA</t>
  </si>
  <si>
    <t>VAZAO</t>
  </si>
  <si>
    <t>SITUACAO</t>
  </si>
  <si>
    <t>LAT</t>
  </si>
  <si>
    <t>LONG</t>
  </si>
  <si>
    <t>PROCESSO2014</t>
  </si>
  <si>
    <t>CENTRO</t>
  </si>
  <si>
    <t>BELA VISTA</t>
  </si>
  <si>
    <t>BEXIGA</t>
  </si>
  <si>
    <t>SUBTERRANEO</t>
  </si>
  <si>
    <t>RUA MAJOR DIOGO ESQUINA COM A RUA JACEGUAI</t>
  </si>
  <si>
    <t>2021-11-09</t>
  </si>
  <si>
    <t>NÃO LOCALIZADO</t>
  </si>
  <si>
    <t>-23.5555158447711</t>
  </si>
  <si>
    <t>-46.6429412965174</t>
  </si>
  <si>
    <t>0</t>
  </si>
  <si>
    <t>RUA MARTINIANO DE CARVALHO ESQUINA COM A RUA HUMAITA</t>
  </si>
  <si>
    <t>-23.5589308820912</t>
  </si>
  <si>
    <t>-46.6407617962839</t>
  </si>
  <si>
    <t>SÃO CARLOS DO PINHAL</t>
  </si>
  <si>
    <t>ALAMEDA JOAQUIM EUGENIO DE LIMA PROXIMO DA ESQUINA COM A ALAMEDA RIBEIRAO PRETO    NO FINAL DA CALCADA DO POSTO IPIRANGA</t>
  </si>
  <si>
    <t>2021-11-18</t>
  </si>
  <si>
    <t>-23.5644565009842</t>
  </si>
  <si>
    <t>-46.6492945431754</t>
  </si>
  <si>
    <t>BOM RETIRO</t>
  </si>
  <si>
    <t>LUZ</t>
  </si>
  <si>
    <t>PRACA  DA LUZ 1180 ESQUINA COM AVENIDA TIRADENTE</t>
  </si>
  <si>
    <t>2020-08-07</t>
  </si>
  <si>
    <t>-23.5324545129</t>
  </si>
  <si>
    <t>-46.6330843187928</t>
  </si>
  <si>
    <t>1</t>
  </si>
  <si>
    <t>CAMBUCI</t>
  </si>
  <si>
    <t>INDEPENDÊNCIA</t>
  </si>
  <si>
    <t>RUA CONSELHEIRO JOAO ALFREDO ESQUINA COM A AVENIDA DO ESTADO</t>
  </si>
  <si>
    <t>2021-10-18</t>
  </si>
  <si>
    <t>-23.5591109148008</t>
  </si>
  <si>
    <t>-46.6140037272616</t>
  </si>
  <si>
    <t>RUA ANA NERI ESQUINA COM A RUA CLIMACO BARBOSA</t>
  </si>
  <si>
    <t>2021-10-20</t>
  </si>
  <si>
    <t>-23.564234710751</t>
  </si>
  <si>
    <t>-46.6181151283963</t>
  </si>
  <si>
    <t>CONSOLAÇÃO</t>
  </si>
  <si>
    <t>RUA FERNANDO DE ALBUQUERQUE ESQUINA COM A AVENIDA DA CONSOLACAO</t>
  </si>
  <si>
    <t>2021-12-18</t>
  </si>
  <si>
    <t>-23.5528952325036</t>
  </si>
  <si>
    <t>-46.65882805</t>
  </si>
  <si>
    <t>FAAP</t>
  </si>
  <si>
    <t>RUA ARACAJU PROXIMO DA ESQUINA COM A RUA MARANHAO</t>
  </si>
  <si>
    <t>2021-12-24</t>
  </si>
  <si>
    <t>-23.5430476669362</t>
  </si>
  <si>
    <t>-46.6598358980009</t>
  </si>
  <si>
    <t>LIBERDADE</t>
  </si>
  <si>
    <t>GLICÉRIO</t>
  </si>
  <si>
    <t>RUA MUNIZ DE SOUZA ESQUINA COM A RUA MIGUEL TELES JUNIO</t>
  </si>
  <si>
    <t>2021-10-21</t>
  </si>
  <si>
    <t>-23.5636651837927</t>
  </si>
  <si>
    <t>-46.6237554004186</t>
  </si>
  <si>
    <t>REPÚBLICA</t>
  </si>
  <si>
    <t>COLUNA</t>
  </si>
  <si>
    <t>PRACA RAMOS DE AZEVEDO PROXIMO DA ESQUINA COM A RUA CONSELHEIRO CRISPIANO</t>
  </si>
  <si>
    <t>2020-08-06</t>
  </si>
  <si>
    <t>-23.5448002335767</t>
  </si>
  <si>
    <t>-46.6382241646289</t>
  </si>
  <si>
    <t>RUA GENERAL JARDIM ESQUINA COM A RUA REGO FREITAS</t>
  </si>
  <si>
    <t>2021-10-29</t>
  </si>
  <si>
    <t>-23.5448718202469</t>
  </si>
  <si>
    <t>-46.6467778752494</t>
  </si>
  <si>
    <t>RUA GENERAL JARDIM ESQUINA COM A RUA BENTO FREITAS</t>
  </si>
  <si>
    <t>2021-12-29</t>
  </si>
  <si>
    <t>-23.5449229259641</t>
  </si>
  <si>
    <t>-46.6453932270299</t>
  </si>
  <si>
    <t>SANTA IFIGÊNIA</t>
  </si>
  <si>
    <t>RUA SANTA IFIGENIA ESQUINA COM A RUA DOS GUSMOES</t>
  </si>
  <si>
    <t>2020-08-19</t>
  </si>
  <si>
    <t>-23.5373750314204</t>
  </si>
  <si>
    <t>-46.6400959693127</t>
  </si>
  <si>
    <t>AVENIDA IPIRANGA ESQUINA COM AVENIDA RIO BRANCO</t>
  </si>
  <si>
    <t>-23.540852316551</t>
  </si>
  <si>
    <t>-46.6388586509294</t>
  </si>
  <si>
    <t>RUA DOS ANDRADAS ESQUINA COM A RUA GENERAL OSORIO</t>
  </si>
  <si>
    <t>-23.5359894605626</t>
  </si>
  <si>
    <t>-46.6397356638069</t>
  </si>
  <si>
    <t>AVENIDA IPIRANGA ESQUINA COM A RUA CONSELHEIRO NEBIAS</t>
  </si>
  <si>
    <t>2020-08-01</t>
  </si>
  <si>
    <t>-23.5421857502763</t>
  </si>
  <si>
    <t>-46.6404731450193</t>
  </si>
  <si>
    <t>SANTA CECÍLIA</t>
  </si>
  <si>
    <t>ALAMEDA NOTHMANN ESQUINA COM ALAMEDA BARAO DE LIMEIRA</t>
  </si>
  <si>
    <t>2021-11-23</t>
  </si>
  <si>
    <t>-23.533840493552</t>
  </si>
  <si>
    <t>-46.6484286825107</t>
  </si>
  <si>
    <t>SÉ</t>
  </si>
  <si>
    <t>PARQUE DOM PEDRO</t>
  </si>
  <si>
    <t>RUA PAULA SOUZA 286 PROXIMO DA ESQUINA COM A RUA BARAO DE DUPRAT</t>
  </si>
  <si>
    <t>-23.5385080980373</t>
  </si>
  <si>
    <t>-46.6302289907004</t>
  </si>
  <si>
    <t>PRAÇA JOÃO MENDES</t>
  </si>
  <si>
    <t>RUA DOUTOR RODRIGO SILVA DEFRONTE A RUA ALVARES MACHADO</t>
  </si>
  <si>
    <t>-23.5528110079167</t>
  </si>
  <si>
    <t>-46.6356456529726</t>
  </si>
  <si>
    <t>RUA DOS CARMELITAS ESQUINA COM RUA FREDERICO ALVARENGA</t>
  </si>
  <si>
    <t>2021-11-22</t>
  </si>
  <si>
    <t>-23.550560669049</t>
  </si>
  <si>
    <t>-46.6290756937677</t>
  </si>
  <si>
    <t>AVENIDA RANGEL PESTANA ESQUINA COM A RUA DO CARMO</t>
  </si>
  <si>
    <t>2021-12-07</t>
  </si>
  <si>
    <t>-23.5504182179111</t>
  </si>
  <si>
    <t>-46.631297661016</t>
  </si>
  <si>
    <t>LESTE</t>
  </si>
  <si>
    <t>ÁGUA RASA</t>
  </si>
  <si>
    <t>RUA MIGUEL MOTA  DE FRONTE A RUA BOM JESUS</t>
  </si>
  <si>
    <t>2021-12-15</t>
  </si>
  <si>
    <t>-23.5648386427983</t>
  </si>
  <si>
    <t>-46.5688276411216</t>
  </si>
  <si>
    <t>REGENTE FEIJÓ</t>
  </si>
  <si>
    <t>AVENIDA ALVARO RAMOS 2250 DEFRONTE A AVENIDA REGENTE FEIJO</t>
  </si>
  <si>
    <t>-23.5547556439507</t>
  </si>
  <si>
    <t>-46.5781657866071</t>
  </si>
  <si>
    <t>ARICANDUVA</t>
  </si>
  <si>
    <t>RUA REFINARIA MATARIPE ESQUINA COM A RUA FELIPE PEDROSO</t>
  </si>
  <si>
    <t>2021-12-09</t>
  </si>
  <si>
    <t>-23.5726497791525</t>
  </si>
  <si>
    <t>-46.5099348663132</t>
  </si>
  <si>
    <t>ARTUR ALVIM</t>
  </si>
  <si>
    <t>RUA DOUTOR LUIS AIRES 344</t>
  </si>
  <si>
    <t>2021-12-17</t>
  </si>
  <si>
    <t>-23.5333258397831</t>
  </si>
  <si>
    <t>-46.4985256348576</t>
  </si>
  <si>
    <t>RUA DOUTOR LUIS AIRES ESQUINA COM A RUA MACIEL MONTEIRO</t>
  </si>
  <si>
    <t>2021-11-29</t>
  </si>
  <si>
    <t>-23.5359669520944</t>
  </si>
  <si>
    <t>-46.4903363789464</t>
  </si>
  <si>
    <t>AVENIDA ANTONIO ESTEVAO DE CARVALHO ESQUINA COM RUA VIDEIRA</t>
  </si>
  <si>
    <t>-23.533479039398</t>
  </si>
  <si>
    <t>-46.5001764983977</t>
  </si>
  <si>
    <t>AVENIDA VALDEMAR TIETZ 506</t>
  </si>
  <si>
    <t>-23.5510520123382</t>
  </si>
  <si>
    <t>-46.4891438837992</t>
  </si>
  <si>
    <t>BELÉM</t>
  </si>
  <si>
    <t>AVENIDA CELSO GARCIA 2725 NO INTERIOR DO POSTO DE BOMBEIRO DO BELEM ATRAS DA QUADRA</t>
  </si>
  <si>
    <t>2021-12-14</t>
  </si>
  <si>
    <t>-23.5355054296057</t>
  </si>
  <si>
    <t>-46.5863824001212</t>
  </si>
  <si>
    <t>BELENZINHO</t>
  </si>
  <si>
    <t>RUA CESARIO ALVIN ESQUINA COM A RUA VISCONDE DE PARNAIBA</t>
  </si>
  <si>
    <t>2021-12-12</t>
  </si>
  <si>
    <t>-23.5420909048285</t>
  </si>
  <si>
    <t>-46.6005556200978</t>
  </si>
  <si>
    <t>RUA CAJURU ESQUINA COM A CORONEL ALBINO BAIRAO</t>
  </si>
  <si>
    <t>2021-12-13</t>
  </si>
  <si>
    <t>-23.5441683744427</t>
  </si>
  <si>
    <t>-46.6019229680557</t>
  </si>
  <si>
    <t>RUA VISCONDE DE PARNAIBA ESQUINA COM A RUA SALDANHA MARINHO</t>
  </si>
  <si>
    <t>-23.5405680646678</t>
  </si>
  <si>
    <t>-46.5982525221976</t>
  </si>
  <si>
    <t>RUA REDENCAO ESQUINA COM A AVENIDA CELSO GARCIA</t>
  </si>
  <si>
    <t>2021-12-16</t>
  </si>
  <si>
    <t>-23.5362590757581</t>
  </si>
  <si>
    <t>-46.5867850299398</t>
  </si>
  <si>
    <t>CELSO GARCIA</t>
  </si>
  <si>
    <t>RUA BEHRING ESQUINA COM A RUA GONCALVES DIAS</t>
  </si>
  <si>
    <t>-23.5360786077375</t>
  </si>
  <si>
    <t>-46.6032738478745</t>
  </si>
  <si>
    <t>RUA JOAO BOEMER COM A RUA ITAPIRACABA</t>
  </si>
  <si>
    <t>-23.5361995197808</t>
  </si>
  <si>
    <t>-46.6094936272231</t>
  </si>
  <si>
    <t>BRÁS</t>
  </si>
  <si>
    <t>BRESSER</t>
  </si>
  <si>
    <t>AVENIDA CELSO GARCIA PROXIMO A ESQUINA DA RUA JOSE DE ALENCAR</t>
  </si>
  <si>
    <t>2021-11-04</t>
  </si>
  <si>
    <t>-23.5401466202755</t>
  </si>
  <si>
    <t>-46.6113416819339</t>
  </si>
  <si>
    <t>RUA VIEIRA MARTINS ESQUINA COM A RUA BRESSER</t>
  </si>
  <si>
    <t>2021-11-03</t>
  </si>
  <si>
    <t>-23.5438331020118</t>
  </si>
  <si>
    <t>-46.6063006260977</t>
  </si>
  <si>
    <t>GASÔMETRO</t>
  </si>
  <si>
    <t>RUA MONSENHOR ANDRADE ESQUINA COM A RUA ASSUNCAO</t>
  </si>
  <si>
    <t>-23.5426953186149</t>
  </si>
  <si>
    <t>-46.6218610644583</t>
  </si>
  <si>
    <t>JOÃO TEODORO</t>
  </si>
  <si>
    <t>RUA RODRIGUES DOS SANTOS ESQUINA COM A RUA ELISA WHITACKER</t>
  </si>
  <si>
    <t>2020-09-24</t>
  </si>
  <si>
    <t>-23.5358344712312</t>
  </si>
  <si>
    <t>-46.6203316228506</t>
  </si>
  <si>
    <t>ORIENTE</t>
  </si>
  <si>
    <t>RUA JOLI ESQUINA COM A RUA DOUTOR CARLOS BOTELHO</t>
  </si>
  <si>
    <t>-23.5386019831594</t>
  </si>
  <si>
    <t>-46.6096148218593</t>
  </si>
  <si>
    <t>CANGAIBA</t>
  </si>
  <si>
    <t>CANGAÍBA</t>
  </si>
  <si>
    <t>RUA EDIMBURGO ESQUINA COM AVENIDA CANGAIBA</t>
  </si>
  <si>
    <t>-23.5082935173447</t>
  </si>
  <si>
    <t>-46.5365195950146</t>
  </si>
  <si>
    <t>RUA BARTOLOMEU QUADROS ESQUINA COM A AVENIDA CANGAIBA</t>
  </si>
  <si>
    <t>-23.5109854166942</t>
  </si>
  <si>
    <t>-46.5433170333665</t>
  </si>
  <si>
    <t>AVENIDA CANGAIBA 1549</t>
  </si>
  <si>
    <t>-23.5096868583311</t>
  </si>
  <si>
    <t>-46.5396613463155</t>
  </si>
  <si>
    <t>ESTAÇÃO ENG. GOULART</t>
  </si>
  <si>
    <t>RUA FLORESTA AZUL DEFRONTE COM RUA PASSIRA</t>
  </si>
  <si>
    <t>-23.50155937914</t>
  </si>
  <si>
    <t>-46.5059002039774</t>
  </si>
  <si>
    <t>CARRÃO</t>
  </si>
  <si>
    <t>VILA CALIFÓRNIA</t>
  </si>
  <si>
    <t>RUA AZEVEDO SOARES ESQUINA COM A RUA NOVA JERUSALEM</t>
  </si>
  <si>
    <t>-23.5467551959195</t>
  </si>
  <si>
    <t>-46.5493893571628</t>
  </si>
  <si>
    <t>RUA JOSE TABACOW ESQUINA COM RUA CORONEL MENDONCA</t>
  </si>
  <si>
    <t>-23.5456284496754</t>
  </si>
  <si>
    <t>-46.5497659249651</t>
  </si>
  <si>
    <t>RUA DENTISTA BARRETO ESQUINA COM A RUA LUCINDA GOMES BARRETO</t>
  </si>
  <si>
    <t>2021-10-14</t>
  </si>
  <si>
    <t>-23.5451536523056</t>
  </si>
  <si>
    <t>-46.5428627481727</t>
  </si>
  <si>
    <t>CIDADE LIDER</t>
  </si>
  <si>
    <t>CIDADE LÍDER</t>
  </si>
  <si>
    <t>AVENIDA ITAQUENA ESQUINA COM A RUA MOTA COQUEIRO</t>
  </si>
  <si>
    <t>2021-11-30</t>
  </si>
  <si>
    <t>-23.5529520790738</t>
  </si>
  <si>
    <t>-46.5132737056264</t>
  </si>
  <si>
    <t>RUA ADRIANO CINTRA ESQUINA COM A RUA  IOLANDO RIBEIRO BOAVENTURA</t>
  </si>
  <si>
    <t>-23.5552484840395</t>
  </si>
  <si>
    <t>-46.5155705368419</t>
  </si>
  <si>
    <t>RUA SERRA DAS DIVISOEES  DEFRONTE A RUA JUTAIRANA</t>
  </si>
  <si>
    <t>-23.5549736565467</t>
  </si>
  <si>
    <t>-46.4842200242017</t>
  </si>
  <si>
    <t>PARQUE SAVOY</t>
  </si>
  <si>
    <t>RUA LICURI 19 PROXIMO A RUA GAPUICIPO</t>
  </si>
  <si>
    <t>-23.5643129949458</t>
  </si>
  <si>
    <t>-46.4910476807647</t>
  </si>
  <si>
    <t>SANTA MARCELINA</t>
  </si>
  <si>
    <t>RUA JOSE GIL ESQUINA COM AVENIDA FRANCISCO MUNHOZ FILHO</t>
  </si>
  <si>
    <t>-23.5561571520546</t>
  </si>
  <si>
    <t>-46.4665442985682</t>
  </si>
  <si>
    <t>CIDADE TIRADENTES</t>
  </si>
  <si>
    <t>RUA CACHOEIRA DO CAMPO GRANDE ESQUINA COM A RUA ALEXANDRE DAVIDENKO</t>
  </si>
  <si>
    <t>2021-12-02</t>
  </si>
  <si>
    <t>-23.5823239671597</t>
  </si>
  <si>
    <t>-46.390968749785</t>
  </si>
  <si>
    <t>AVENIDA RAGUEB CHOHFI 2146</t>
  </si>
  <si>
    <t>2021-12-01</t>
  </si>
  <si>
    <t>-23.5888881358521</t>
  </si>
  <si>
    <t>-46.4151395732873</t>
  </si>
  <si>
    <t>ERMELINO MATARAZZO</t>
  </si>
  <si>
    <t>RUA ARLINDO BETTIO NO FINAL DA RUA SEM SAIDA</t>
  </si>
  <si>
    <t>-23.4845068154716</t>
  </si>
  <si>
    <t>-46.4880754064278</t>
  </si>
  <si>
    <t>IGUATEMI</t>
  </si>
  <si>
    <t>TERCEIRA DIVISÃO</t>
  </si>
  <si>
    <t>AVENIDA SAPOPEMBA 29910 PROXIMO DA ESQUINA COM A RUA CAROLINA</t>
  </si>
  <si>
    <t>-23.6225002367692</t>
  </si>
  <si>
    <t>-46.4271449866107</t>
  </si>
  <si>
    <t>ITAIM PAULISTA</t>
  </si>
  <si>
    <t>FAZENDA ITAIM</t>
  </si>
  <si>
    <t>RUA SEBASTIAO LOPES GRANDIO ESQUINA COM A RUA ITAJUBE</t>
  </si>
  <si>
    <t>-23.5121562417165</t>
  </si>
  <si>
    <t>-46.3828516884992</t>
  </si>
  <si>
    <t>JARDIM DAS OLIVEIRAS</t>
  </si>
  <si>
    <t>AVENIDA CORREGO TIJUCO PRETO 1137</t>
  </si>
  <si>
    <t>-23.4981661366064</t>
  </si>
  <si>
    <t>-46.3799712384351</t>
  </si>
  <si>
    <t>RUA BARAO DE CASTRO SILVEIRA 65</t>
  </si>
  <si>
    <t>-23.496683967293</t>
  </si>
  <si>
    <t>-46.3879963247437</t>
  </si>
  <si>
    <t>ITAQUERA</t>
  </si>
  <si>
    <t>RUA PORTO XAVIER ESQUINA COM A RUA HEITOR</t>
  </si>
  <si>
    <t>-23.5413415519639</t>
  </si>
  <si>
    <t>-46.4552073343157</t>
  </si>
  <si>
    <t>RUA BARRA DE GUABIRABA DEFRONTE A RUA COTIPA</t>
  </si>
  <si>
    <t>-23.5434047564818</t>
  </si>
  <si>
    <t>-46.4575869099272</t>
  </si>
  <si>
    <t>PARADA XV</t>
  </si>
  <si>
    <t>RUA PROFESSOR BRITO MACHADO ESQUINA COM A RUA LUIS DE ALMEIDA FERNANDES</t>
  </si>
  <si>
    <t>2021-12-06</t>
  </si>
  <si>
    <t>-23.5402795359112</t>
  </si>
  <si>
    <t>-46.4459831880049</t>
  </si>
  <si>
    <t>VILA CAMPANELA</t>
  </si>
  <si>
    <t>RUA NOVA PETROPOLIS ESQUINA COM A RUA MANUEL RIBAS</t>
  </si>
  <si>
    <t>2021-10-08</t>
  </si>
  <si>
    <t>-23.536410659766</t>
  </si>
  <si>
    <t>-46.4617946407845</t>
  </si>
  <si>
    <t>JARDIM HELENA</t>
  </si>
  <si>
    <t>JARDIM ROMANO</t>
  </si>
  <si>
    <t>AVENIDA DIOGO DA COSTA TAVARES ESQUINA COM A RUA GURIJUBA</t>
  </si>
  <si>
    <t>-23.4817656569216</t>
  </si>
  <si>
    <t>-46.3798408218916</t>
  </si>
  <si>
    <t>RUA SERRA DE LUIS GOMES ESQUINA COM A RUA CONFLUENCIA DA FORQUILHA</t>
  </si>
  <si>
    <t>-23.4843470250001</t>
  </si>
  <si>
    <t>-46.3909177537633</t>
  </si>
  <si>
    <t>RUA DIOGO DA COSTA TAVARES PROXIMO DA ESQUINA COM A RUA AVENIDA TOMAS LOPES CAMARGO</t>
  </si>
  <si>
    <t>-23.4834589982017</t>
  </si>
  <si>
    <t>-46.383309405566</t>
  </si>
  <si>
    <t>MOOCA</t>
  </si>
  <si>
    <t>RUA ITAJAI ESQUINA COM A RUA DO HIPODROMO</t>
  </si>
  <si>
    <t>-23.552136584823</t>
  </si>
  <si>
    <t>-46.6030866432447</t>
  </si>
  <si>
    <t>PARI</t>
  </si>
  <si>
    <t>RUA CARNOT ESQUINA COM A RUA CAMOMIL</t>
  </si>
  <si>
    <t>2020-08-13</t>
  </si>
  <si>
    <t>-23.5304905443275</t>
  </si>
  <si>
    <t>-46.6219347343032</t>
  </si>
  <si>
    <t>PENHA</t>
  </si>
  <si>
    <t>RUA CORONEL RODOVALHO 218 PROXIMO DA ESQUINA COM A RUA GENERAL SOCRATES</t>
  </si>
  <si>
    <t>2021-10-22</t>
  </si>
  <si>
    <t>-23.5281795166011</t>
  </si>
  <si>
    <t>-46.5516357563185</t>
  </si>
  <si>
    <t>VILA ESPERANÇA</t>
  </si>
  <si>
    <t>RUA ALCACER ESQUINA COM A RUA SERRA DO PRATA</t>
  </si>
  <si>
    <t>-23.5267541575806</t>
  </si>
  <si>
    <t>-46.5143559617387</t>
  </si>
  <si>
    <t>PONTE RASA</t>
  </si>
  <si>
    <t>AVENIDA SAO MIGUEL ESQUINA COM RUA CANDIDO BORGES MONTEIRO</t>
  </si>
  <si>
    <t>-23.5102902277432</t>
  </si>
  <si>
    <t>-46.5041465224177</t>
  </si>
  <si>
    <t>SÃO LUCAS</t>
  </si>
  <si>
    <t>PARQUE SÃO LUCAS</t>
  </si>
  <si>
    <t>RUA GASPAR BARRETO 85 DEFRONTE A RUA PRIMEIRA CRUZZ</t>
  </si>
  <si>
    <t>-23.597114499605</t>
  </si>
  <si>
    <t>-46.5511627</t>
  </si>
  <si>
    <t>AVENIDA DO ORATORIO ESQUINA COM A RUA SOLAR DOS PINHEIROS</t>
  </si>
  <si>
    <t>-23.6027999741578</t>
  </si>
  <si>
    <t>-46.5280067598208</t>
  </si>
  <si>
    <t>AVENIDA DO ORATORIO ESQUINA COM A RUA JOAO MANOEL DE MATOS</t>
  </si>
  <si>
    <t>-23.6002977269835</t>
  </si>
  <si>
    <t>-46.5371232877999</t>
  </si>
  <si>
    <t>VILA FORMOSA</t>
  </si>
  <si>
    <t>AVENIDA SAPOPEMBA ENFRENTE AO NUMERO 5804 SAPOPEMBA</t>
  </si>
  <si>
    <t>-23.5828136836213</t>
  </si>
  <si>
    <t>-46.5355119244578</t>
  </si>
  <si>
    <t>SÃO MATEUS</t>
  </si>
  <si>
    <t>CIDADE SATÉLITE</t>
  </si>
  <si>
    <t>RUA DOUTOR EUCLIDES ZERBINI ESQUINA COM A AVENIDA MARIANA DE SOUSA GUERRA</t>
  </si>
  <si>
    <t>2021-12-10</t>
  </si>
  <si>
    <t>-23.6143424496104</t>
  </si>
  <si>
    <t>-46.457462726913</t>
  </si>
  <si>
    <t>RUA EMBAIXADOR IDELFONSO FALCAO ESQUINA COM A AVENIDA RAGUEB CHOHFI</t>
  </si>
  <si>
    <t>2021-12-11</t>
  </si>
  <si>
    <t>-23.6101712162999</t>
  </si>
  <si>
    <t>-46.4747871682853</t>
  </si>
  <si>
    <t>SÃO MIGUEL</t>
  </si>
  <si>
    <t>CIDADE NITRO-OPERÁRIA</t>
  </si>
  <si>
    <t>RUA ANDRELINO SOARES DE ANDRADE ESQUINA COM RUA ABAITINGA</t>
  </si>
  <si>
    <t>-23.4932847427808</t>
  </si>
  <si>
    <t>-46.4317906979701</t>
  </si>
  <si>
    <t>RUA ARLINDO COLACO ESQUINA COM A RUA SERRA DOURADA</t>
  </si>
  <si>
    <t>2021-12-08</t>
  </si>
  <si>
    <t>-23.4922955992108</t>
  </si>
  <si>
    <t>-46.4409038137426</t>
  </si>
  <si>
    <t>SÃO RAFAEL</t>
  </si>
  <si>
    <t>PARQUE SÃO RAFAEL</t>
  </si>
  <si>
    <t>AVENIDA SAPOPEMBA 19721 ESTRADA DO RIO CLARO ESQUINA COM A TRAVESSA NOVA ESPERANCA</t>
  </si>
  <si>
    <t>-23.6202188066161</t>
  </si>
  <si>
    <t>-46.4379444293473</t>
  </si>
  <si>
    <t>RODOLFO PIRANI</t>
  </si>
  <si>
    <t>RUA LUCIANA TEIXEIRA DE ARAUJO PROXIMO A ESQUINA COM A RUA PEDRO MEDEIROS</t>
  </si>
  <si>
    <t>-23.6148344740404</t>
  </si>
  <si>
    <t>-46.4490922187065</t>
  </si>
  <si>
    <t>SAPOPEMBA</t>
  </si>
  <si>
    <t>JARDIM COLORADO</t>
  </si>
  <si>
    <t>RUA ADUTORA DO RIO CLARO  ENFRENTE AO NUMERO 97 ENTRE A AVENIDA SAPOPEMBA E A TRAVESSA SAVIP</t>
  </si>
  <si>
    <t>-23.5900827412204</t>
  </si>
  <si>
    <t>-46.5313900526678</t>
  </si>
  <si>
    <t>PARQUE SANTA MADALENA</t>
  </si>
  <si>
    <t>RUA SIBILA 28 NO FINAL DA RUA</t>
  </si>
  <si>
    <t>-23.6093152344414</t>
  </si>
  <si>
    <t>-46.5213348582307</t>
  </si>
  <si>
    <t>TATUAPÉ</t>
  </si>
  <si>
    <t>CHÁCARA DO PIQUERI</t>
  </si>
  <si>
    <t>AVENIDA CELSO GARCIA ESQUINA COM A RUA TUIUTI</t>
  </si>
  <si>
    <t>2021-10-06</t>
  </si>
  <si>
    <t>-23.5351305172451</t>
  </si>
  <si>
    <t>-46.575455299263</t>
  </si>
  <si>
    <t>GOMES CARDIM</t>
  </si>
  <si>
    <t>RUA ITAPURA ESQUINA COM A RUA PADRE ESTEVAO PERNET</t>
  </si>
  <si>
    <t>-23.5418145452433</t>
  </si>
  <si>
    <t>-46.5673329251931</t>
  </si>
  <si>
    <t>RUA TIJUCO PRETO ESQUINA COM RUA  MONTE SERRAT</t>
  </si>
  <si>
    <t>2021-10-11</t>
  </si>
  <si>
    <t>-23.5422279213318</t>
  </si>
  <si>
    <t>-46.5618807526786</t>
  </si>
  <si>
    <t>RUA SERRA DE BRAGANCA ESQUINA COM A RUA ORIEL PEREIRA DO VALLE</t>
  </si>
  <si>
    <t>-23.5441200438918</t>
  </si>
  <si>
    <t>-46.5632774137574</t>
  </si>
  <si>
    <t>RUA PADRE ESTEVAO PERNET ESQUINA COM A RUA MONTE SERRAT</t>
  </si>
  <si>
    <t>2021-10-05</t>
  </si>
  <si>
    <t>-23.5410957039041</t>
  </si>
  <si>
    <t>-46.5618009706054</t>
  </si>
  <si>
    <t>PARQUE SÃO JORGE</t>
  </si>
  <si>
    <t>RUA MELO PEIXOTO ESUQINA COM RUA ANTONIO DE BARROS</t>
  </si>
  <si>
    <t>-23.5362618128865</t>
  </si>
  <si>
    <t>-46.5585380574356</t>
  </si>
  <si>
    <t>VILA CURUÇÁ</t>
  </si>
  <si>
    <t>JARDIM ROBRU</t>
  </si>
  <si>
    <t>RUA AMPARO DA SERRA PROXIMO A ESQUINA COM RUA FERNANDEZ DE NAVARRETE</t>
  </si>
  <si>
    <t>-23.5251997979235</t>
  </si>
  <si>
    <t>-46.4057577506351</t>
  </si>
  <si>
    <t>RUA APIRANGA ESQUINA COM RUA DOS IGARAPES</t>
  </si>
  <si>
    <t>-23.5063188207332</t>
  </si>
  <si>
    <t>-46.412901480798</t>
  </si>
  <si>
    <t>JARDIM ANÁLIA FRANCO</t>
  </si>
  <si>
    <t>AVENIDA EDUARDO COTCHING PROX DA PRACA NOSSA SENHORA DAS VITORIAS</t>
  </si>
  <si>
    <t>-23.5642928327467</t>
  </si>
  <si>
    <t>-46.5475551071505</t>
  </si>
  <si>
    <t>AVENIDA DOUTOR EDUARDO COTCHING DEFRONTE A PRACA COMENDADOR TADASHI NISHIL</t>
  </si>
  <si>
    <t>-23.5652182386184</t>
  </si>
  <si>
    <t>-46.5456160037279</t>
  </si>
  <si>
    <t>AVENIDA GUILHERME COTCHING ESQUINA COM PRACA SANTO ANASTACIO</t>
  </si>
  <si>
    <t>-23.5624046166392</t>
  </si>
  <si>
    <t>-46.5515885000855</t>
  </si>
  <si>
    <t>RUA ALVES DE ALMEIDA ESQUINA COM A RUA DOM ESTEVAO DE CARVALHO</t>
  </si>
  <si>
    <t>2021-10-07</t>
  </si>
  <si>
    <t>-23.5714726554177</t>
  </si>
  <si>
    <t>-46.543601396179</t>
  </si>
  <si>
    <t>VILA JACUÍ</t>
  </si>
  <si>
    <t>PARQUE CRUZEIRO DO SUL</t>
  </si>
  <si>
    <t>RUA MANOEL VIANA ESQUINA COM A RUA FREI FIDELIS MOTA</t>
  </si>
  <si>
    <t>-23.4915803215219</t>
  </si>
  <si>
    <t>-46.4615629810212</t>
  </si>
  <si>
    <t>RUA MACIEL VIEIRA ESQUINA COM A RUA SAO BERTOLDO</t>
  </si>
  <si>
    <t>-23.4943948126752</t>
  </si>
  <si>
    <t>-46.4576336641729</t>
  </si>
  <si>
    <t>RUA BRYONIA ESQUINA COM A RUA TIAO CARREIRO</t>
  </si>
  <si>
    <t>-23.5087678355756</t>
  </si>
  <si>
    <t>-46.4524842601244</t>
  </si>
  <si>
    <t>AVENIDA DOS GURIS ESQUINA COM AVENIDA TENENTE LAUDELINO FERREIRA DO AMARAL</t>
  </si>
  <si>
    <t>-23.4988596815245</t>
  </si>
  <si>
    <t>-46.4561955255915</t>
  </si>
  <si>
    <t>VILA MATILDE</t>
  </si>
  <si>
    <t>FREI MONT'ALVERNE</t>
  </si>
  <si>
    <t>RUA TENENTE CORONEL SOARES NEIVA ESQUINA COM AVENIDA IBIUNA</t>
  </si>
  <si>
    <t>-23.538849176876</t>
  </si>
  <si>
    <t>-46.5416253857297</t>
  </si>
  <si>
    <t>VILA PRUDENTE</t>
  </si>
  <si>
    <t>ORFANATO</t>
  </si>
  <si>
    <t>RUA SANTO HIGINO PROXIMO A RUA JOSE ZAPPI</t>
  </si>
  <si>
    <t>-23.5797374872648</t>
  </si>
  <si>
    <t>-46.5847797833363</t>
  </si>
  <si>
    <t>RUA INDAIA ESQUINA COM A RUA ITAMAMBUCA</t>
  </si>
  <si>
    <t>2021-10-28</t>
  </si>
  <si>
    <t>-23.5822346497222</t>
  </si>
  <si>
    <t>-46.5833893829275</t>
  </si>
  <si>
    <t>VILA ZELINA</t>
  </si>
  <si>
    <t>RUA DAS HERAS ESQUINA COM A RUA BARAO DO PIRAI</t>
  </si>
  <si>
    <t>2021-11-01</t>
  </si>
  <si>
    <t>-23.5929586476201</t>
  </si>
  <si>
    <t>-46.5715449440453</t>
  </si>
  <si>
    <t>NORTE</t>
  </si>
  <si>
    <t>ANHANGUERA</t>
  </si>
  <si>
    <t>PARQUE MORRO DOCE</t>
  </si>
  <si>
    <t>RUA HONORATO PEREIRA 619</t>
  </si>
  <si>
    <t>-23.427407673167</t>
  </si>
  <si>
    <t>-46.7971744033378</t>
  </si>
  <si>
    <t>BRASILÂNDIA</t>
  </si>
  <si>
    <t xml:space="preserve">RUA RUIS DE MORAIS APOCALIPSE 289 </t>
  </si>
  <si>
    <t>2021-10-10</t>
  </si>
  <si>
    <t>-23.4734885337258</t>
  </si>
  <si>
    <t>-46.6863071643757</t>
  </si>
  <si>
    <t>CACHOEIRINHA</t>
  </si>
  <si>
    <t>AVENIDA PARADA PINTO PROXIMA AVENIDA GENERAL ISIDORO DIAS LOPES</t>
  </si>
  <si>
    <t>-23.4692608801865</t>
  </si>
  <si>
    <t>-46.6464012225632</t>
  </si>
  <si>
    <t>CASA VERDE</t>
  </si>
  <si>
    <t>AVENIDA CAETANO ALVARES ESQUINA COM A AVENIDA OTAVIANO ALVES DE LIMA PISTA LOCAL DA MARGINAL TIETE SENTIDO PINHEIROS</t>
  </si>
  <si>
    <t>-23.5135407003495</t>
  </si>
  <si>
    <t>-46.6706109851232</t>
  </si>
  <si>
    <t>PARQUE PERUCHE</t>
  </si>
  <si>
    <t>AVENIDA CASA VERDE 1135 PROXIMO A RUA AGUAS VIRTUOSAS</t>
  </si>
  <si>
    <t>2021-10-16</t>
  </si>
  <si>
    <t>-23.5028549727688</t>
  </si>
  <si>
    <t>-46.6525657030585</t>
  </si>
  <si>
    <t>FREGUESIA DO Ó</t>
  </si>
  <si>
    <t>AVENIDA SANTA MARINA 2699 PROXIMO A RUA DIOGO DOMINGUES</t>
  </si>
  <si>
    <t>2021-10-09</t>
  </si>
  <si>
    <t>-23.5015837055704</t>
  </si>
  <si>
    <t>-46.6951627145978</t>
  </si>
  <si>
    <t>VILA MORRO GRANDE</t>
  </si>
  <si>
    <t>AVENIDA MINISTRO PETRONIO PORTELA ESQUINA COM A RUA JOAO PEREIRA PORTO</t>
  </si>
  <si>
    <t>-23.4823228087711</t>
  </si>
  <si>
    <t>-46.6954056548973</t>
  </si>
  <si>
    <t>AVENIDA ELISIO TEIXEIRA ESQUINA COM A RUA FRANCISCO NUNES SIQUEIRA</t>
  </si>
  <si>
    <t>-23.4718502467307</t>
  </si>
  <si>
    <t>-46.7074706524534</t>
  </si>
  <si>
    <t>JAÇANÃ</t>
  </si>
  <si>
    <t>COHAB JOVA RURAL</t>
  </si>
  <si>
    <t>TRAVESSA IGARAPE PRIMAVERA DEFRONTE A  RUA NELSON ANDRE GARCIA</t>
  </si>
  <si>
    <t>2021-10-30</t>
  </si>
  <si>
    <t>-23.4492702390277</t>
  </si>
  <si>
    <t>-46.5773188690791</t>
  </si>
  <si>
    <t>AVENIDA LUIS STAMATIS ESQUINA COM A AVENIDA MENDES DA ROCHA</t>
  </si>
  <si>
    <t>-23.4691032316346</t>
  </si>
  <si>
    <t>-46.5772340642279</t>
  </si>
  <si>
    <t>RUA ALTO PARAGUAI 282 DEFRONTE A RUA RAFAEL D SANTORO</t>
  </si>
  <si>
    <t>-23.4706773355411</t>
  </si>
  <si>
    <t>-46.5743587041804</t>
  </si>
  <si>
    <t>RUA MANUEL FERNANDES SILVA    NO FINAL DA RUA</t>
  </si>
  <si>
    <t>2021-11-24</t>
  </si>
  <si>
    <t>-23.4642351886173</t>
  </si>
  <si>
    <t>-46.5703376368149</t>
  </si>
  <si>
    <t>PARQUE EDU CHAVES</t>
  </si>
  <si>
    <t>AVENIDA EDU CHAVES 767 EM FRENTE A RUA FERNANDO ELIAS</t>
  </si>
  <si>
    <t>-23.474684769995</t>
  </si>
  <si>
    <t>-46.5701843352207</t>
  </si>
  <si>
    <t>JARAGUÁ</t>
  </si>
  <si>
    <t>PARADA DE TAIPAS</t>
  </si>
  <si>
    <t>RUA MONTE AZUL PAULISTA PROXIMO DA ESQUINA COM A RUA ANDRE BAGI</t>
  </si>
  <si>
    <t>-23.440488999607</t>
  </si>
  <si>
    <t>-46.7141050752909</t>
  </si>
  <si>
    <t>LIMÃO</t>
  </si>
  <si>
    <t>AVENIDA PROFESSOR CELESTINO BOURROUL 705</t>
  </si>
  <si>
    <t>-23.5074961631104</t>
  </si>
  <si>
    <t>-46.6739617919911</t>
  </si>
  <si>
    <t>PIRITUBA</t>
  </si>
  <si>
    <t>RUA NOEMIA ESQUINA COM A RUA MARIA ZELIA</t>
  </si>
  <si>
    <t>2021-10-13</t>
  </si>
  <si>
    <t>-23.5030215014219</t>
  </si>
  <si>
    <t>-46.712455444336</t>
  </si>
  <si>
    <t>RUA CELSO VIEIRA ESQUINA COM A RUA CORONEL GORDINHO FILHO NA PRACA DOM PREDRO FULCO MORVIDI</t>
  </si>
  <si>
    <t>-23.4906214566452</t>
  </si>
  <si>
    <t>-46.7189468197362</t>
  </si>
  <si>
    <t>VILA ZATT</t>
  </si>
  <si>
    <t>RUA MARECHAL MENDES DE MORAES NO FINAL DA RUA</t>
  </si>
  <si>
    <t>-23.4858836217678</t>
  </si>
  <si>
    <t>-46.723687268515</t>
  </si>
  <si>
    <t>SANTANA</t>
  </si>
  <si>
    <t>ALFREDO PUJOL</t>
  </si>
  <si>
    <t>RUA ALFREDO PUJOL PROXIMO DA ESQUINA COM A RUA DOUTOR CESAR</t>
  </si>
  <si>
    <t>2021-11-13</t>
  </si>
  <si>
    <t>-23.5004817332451</t>
  </si>
  <si>
    <t>-46.6378005724432</t>
  </si>
  <si>
    <t>RUA CONSELHEIRO MOREIRA DE BARROS PROX A ESQUINA DA RUA FREI VICENTE DO SALVADOR</t>
  </si>
  <si>
    <t>2021-10-25</t>
  </si>
  <si>
    <t>-23.4968503227542</t>
  </si>
  <si>
    <t>-46.6287523313988</t>
  </si>
  <si>
    <t>RUA BENVINDA APARECIDA DE ABREU LEME 105</t>
  </si>
  <si>
    <t>2021-11-27</t>
  </si>
  <si>
    <t>-23.4982414073059</t>
  </si>
  <si>
    <t>-46.6234282377138</t>
  </si>
  <si>
    <t xml:space="preserve">RUA BENVINDA APARECIDA DE ABREU LEME 163 ENTRE A RUA JOSE DEBIEUX E A RUA CONSELHEIRO SARAIVA </t>
  </si>
  <si>
    <t>2021-10-27</t>
  </si>
  <si>
    <t>-23.4976162156113</t>
  </si>
  <si>
    <t>-46.6232047839949</t>
  </si>
  <si>
    <t>JARDIM SÃO PAULO</t>
  </si>
  <si>
    <t>RUA SARGENTO MOR RAMALHO ESQUINA COM A RUA PEDRO CACUNDA</t>
  </si>
  <si>
    <t>-23.4912291244651</t>
  </si>
  <si>
    <t>-46.6117961235295</t>
  </si>
  <si>
    <t>SANTA TEREZINHA</t>
  </si>
  <si>
    <t>RUA DONA LUIZA TOLLE ESQUINA COM RUA AUGUSTO TOLLE</t>
  </si>
  <si>
    <t>-23.4869397639278</t>
  </si>
  <si>
    <t>-46.6330758505921</t>
  </si>
  <si>
    <t>RUA DONA LUIZA TOLE ESQUINA COM A RUA ANTONIO PEREIRA DE SOUZA</t>
  </si>
  <si>
    <t>-23.4901669303239</t>
  </si>
  <si>
    <t>-46.6305185666032</t>
  </si>
  <si>
    <t>SÃO DOMINGOS</t>
  </si>
  <si>
    <t>RUA JOAQUIM OLIVEIRA FREITAS 2441 PROXIMO DA ESQUINA COM A RUA MANOEL RODRIGUES DA COSTA</t>
  </si>
  <si>
    <t>2021-10-19</t>
  </si>
  <si>
    <t>-23.488184357025</t>
  </si>
  <si>
    <t>-46.7411337793379</t>
  </si>
  <si>
    <t>TREMEMBÉ</t>
  </si>
  <si>
    <t>JARDIM GUAPIRA</t>
  </si>
  <si>
    <t>AVENIDA MARIO PERNAMBUCO ESQUINA COM A RUA DOS IMBIRAS</t>
  </si>
  <si>
    <t>-23.4641845105938</t>
  </si>
  <si>
    <t>-46.5960679138532</t>
  </si>
  <si>
    <t>TUCURUVI</t>
  </si>
  <si>
    <t>PARADA INGLESA</t>
  </si>
  <si>
    <t>RUA PROFESSOR MARCONDES DOMINGUES ESQUINA COM AVENIDA GENERAL ATALIBA LEONEL</t>
  </si>
  <si>
    <t>-23.4874550372182</t>
  </si>
  <si>
    <t>-46.6075168564002</t>
  </si>
  <si>
    <t>RUA BORGES ESQUINA COM A TRAVESSA PADRE JOAO AUGUSTO MONTEIRO</t>
  </si>
  <si>
    <t>-23.4847405079845</t>
  </si>
  <si>
    <t>-46.6005197332403</t>
  </si>
  <si>
    <t>RUA MERE MARIE ANAIS DE SION DEFRONTE A PRACA DOUTOR LEVEM VAMPRE</t>
  </si>
  <si>
    <t>-23.468399941184</t>
  </si>
  <si>
    <t>-46.6045716058664</t>
  </si>
  <si>
    <t>VILA GUSTAVO</t>
  </si>
  <si>
    <t>RUA DAS GAMBOAS ESQUINA COM RUA COMPRIDA</t>
  </si>
  <si>
    <t>-23.4678705983758</t>
  </si>
  <si>
    <t>-46.5989807693765</t>
  </si>
  <si>
    <t>RUA SEBASTIAO DE FREITAS ESQUINA COM A AVENIDA GUAPIRA</t>
  </si>
  <si>
    <t>-23.4731461872319</t>
  </si>
  <si>
    <t>-46.5890569580668</t>
  </si>
  <si>
    <t>VILA GUILHERME</t>
  </si>
  <si>
    <t>COROA</t>
  </si>
  <si>
    <t>RUA MIGUEL MENTREM PROXIMO DA ESQUINA COM A RUA FRANCISCO DUARTE</t>
  </si>
  <si>
    <t>2021-08-28</t>
  </si>
  <si>
    <t>-23.5160427814524</t>
  </si>
  <si>
    <t>-46.6133417176503</t>
  </si>
  <si>
    <t>VILA MARIA</t>
  </si>
  <si>
    <t>JARDIM JAPÃO</t>
  </si>
  <si>
    <t>RUA JOAQUIM FONSECA SARAIVA FILHO 316 ESQUINA COM AVENIDA CONCEICAO</t>
  </si>
  <si>
    <t>2021-10-23</t>
  </si>
  <si>
    <t>-23.4976771334068</t>
  </si>
  <si>
    <t>-46.5748278224522</t>
  </si>
  <si>
    <t>PARQUE NOVO MUNDO</t>
  </si>
  <si>
    <t>RUA APINACO ESQUINA GALILEU GAIA</t>
  </si>
  <si>
    <t>-23.5230713488412</t>
  </si>
  <si>
    <t>-46.5838713046374</t>
  </si>
  <si>
    <t>RUA CARMOPOLIS DE MINAS ESQUINA COM A RUA PROFESSORA MARIA JOSE BARONE FERNANDES</t>
  </si>
  <si>
    <t>-23.521836941616</t>
  </si>
  <si>
    <t>-46.58575497617</t>
  </si>
  <si>
    <t>AVENIDA GUILHERME COTCHING ESQUINA COM A RUA ARARITAGUABA</t>
  </si>
  <si>
    <t>2020-08-27</t>
  </si>
  <si>
    <t>-23.5128931277532</t>
  </si>
  <si>
    <t>-46.5851803317441</t>
  </si>
  <si>
    <t>VILA MEDEIROS</t>
  </si>
  <si>
    <t>JARDIM BRASIL</t>
  </si>
  <si>
    <t>RUA TENENTE SOTOMANO ESQUINAQ COM A RUA JORNADAS DA PARAIBA</t>
  </si>
  <si>
    <t>-23.4863663953501</t>
  </si>
  <si>
    <t>-46.5709191970951</t>
  </si>
  <si>
    <t>RUA ALONSO PERES ESQUINA COM A RUA FRANCISCO ALVES BEZERRA</t>
  </si>
  <si>
    <t>2020-08-24</t>
  </si>
  <si>
    <t>-23.4845087523817</t>
  </si>
  <si>
    <t>-46.5667756846094</t>
  </si>
  <si>
    <t>RUA TENENTE JOSE ANTUNES ESQUINA COM A RUA FRANCISCO FERREIRA DE CARVALHO</t>
  </si>
  <si>
    <t>-23.4791779119002</t>
  </si>
  <si>
    <t>-46.5692219779149</t>
  </si>
  <si>
    <t>OESTE</t>
  </si>
  <si>
    <t>ALTO DE PINHEIROS</t>
  </si>
  <si>
    <t>VILA BEATRIZ</t>
  </si>
  <si>
    <t>RUA CERRO CORA ESQUINA COM A RUA ARAIOSES</t>
  </si>
  <si>
    <t>2021-12-19</t>
  </si>
  <si>
    <t>-23.5410794839101</t>
  </si>
  <si>
    <t>-46.6988162421522</t>
  </si>
  <si>
    <t>BARRA FUNDA</t>
  </si>
  <si>
    <t>ÁGUA BRANCA</t>
  </si>
  <si>
    <t>RUA AIROSA GALVAO ESQUINA COM A RUA DONA ANA PIMENTEL</t>
  </si>
  <si>
    <t>-23.5280617254659</t>
  </si>
  <si>
    <t>-46.673641753768</t>
  </si>
  <si>
    <t>SANTA MARINA</t>
  </si>
  <si>
    <t>AVENIDA MARQUES DE SAO VICENTE ESQUINA COM A PRACA PASCOAL MARTINS</t>
  </si>
  <si>
    <t>2021-10-17</t>
  </si>
  <si>
    <t>-23.5197292171503</t>
  </si>
  <si>
    <t>-46.6740318550239</t>
  </si>
  <si>
    <t>BUTANTÃ</t>
  </si>
  <si>
    <t>AVENIDA CORIFEU DE AZEVEDO MARQUES ESQUINA COM A RUA MAJOR RUBENS FLORENTINO</t>
  </si>
  <si>
    <t>2021-09-03</t>
  </si>
  <si>
    <t>-23.5703625139489</t>
  </si>
  <si>
    <t>-46.7175894700426</t>
  </si>
  <si>
    <t>RUA PROFESSOR GUILHERME MILLWARD ESQUINA COM  RUA PEDRO BRUNO</t>
  </si>
  <si>
    <t>-23.5626272572283</t>
  </si>
  <si>
    <t>-46.7095760229504</t>
  </si>
  <si>
    <t>AVENIDA VITAL BRASIL ESQUINA COM A AVENIDA VITAL BRASIL</t>
  </si>
  <si>
    <t>2021-08-17</t>
  </si>
  <si>
    <t>-23.5708059439714</t>
  </si>
  <si>
    <t>-46.7093065690603</t>
  </si>
  <si>
    <t>CIDADE UNIVERSITÁRIA</t>
  </si>
  <si>
    <t>AVENIDA PROFESSOR MELLO MORAES DEFRONTE A RUA DO ANFITEATRO NO CANTEIRO CENTRAL</t>
  </si>
  <si>
    <t>2021-11-14</t>
  </si>
  <si>
    <t>-23.5570034328016</t>
  </si>
  <si>
    <t>-46.7203976420737</t>
  </si>
  <si>
    <t>AVENIDA PROFESSOR MELO MORAES DEFRONTE A TRAVESSA 8</t>
  </si>
  <si>
    <t>-23.5575526274832</t>
  </si>
  <si>
    <t>-46.719067738351</t>
  </si>
  <si>
    <t>JARDIM BONFIGLIOLI</t>
  </si>
  <si>
    <t>RUA MINISTRO ADAUTO LUCIO CARDOSO ESQUINA COM A RUA ENGENHEIRO DACIO AGUIAR DE MORAES</t>
  </si>
  <si>
    <t>2021-12-28</t>
  </si>
  <si>
    <t>-23.5751277258501</t>
  </si>
  <si>
    <t>-46.7387822676552</t>
  </si>
  <si>
    <t>RUA CORONEL CAMISAO ESQUINA COM A AVENIDA CORIFEU DE AZEVEDO MARQUES</t>
  </si>
  <si>
    <t>2021-08-12</t>
  </si>
  <si>
    <t>-23.5737680730288</t>
  </si>
  <si>
    <t>-46.7312037981251</t>
  </si>
  <si>
    <t>JARDIM CAXINGUI</t>
  </si>
  <si>
    <t>AVENIDA PROF FRANCISCO MORATO 1982</t>
  </si>
  <si>
    <t>2021-11-12</t>
  </si>
  <si>
    <t>-23.5844555996051</t>
  </si>
  <si>
    <t>-46.7180432559524</t>
  </si>
  <si>
    <t>ITAIM BIBI</t>
  </si>
  <si>
    <t>BERRINI</t>
  </si>
  <si>
    <t>PRACA GENERAL ENEIAS MARTINS NOGUEIRA ESQUINA COM A RUA GUARARAPES</t>
  </si>
  <si>
    <t>-23.6025111108736</t>
  </si>
  <si>
    <t>-46.6947026654422</t>
  </si>
  <si>
    <t>VIEIRA DE MORAES</t>
  </si>
  <si>
    <t>AVENIDA SANTO AMARO 2848</t>
  </si>
  <si>
    <t>-23.6178469345289</t>
  </si>
  <si>
    <t>-46.6814132695002</t>
  </si>
  <si>
    <t>VILA CORDEIRO</t>
  </si>
  <si>
    <t>RUA MINISTRO LUIZ GALOTTI 210 NO INTERIOR DA TRAVESSA RUA PARTICULAR A ESQUERDA</t>
  </si>
  <si>
    <t>-23.6211351232721</t>
  </si>
  <si>
    <t>-46.6852294259038</t>
  </si>
  <si>
    <t>RUA ROQUE PETRELA 320 NO INTERIOR DA TRAVESSA NO FINAL</t>
  </si>
  <si>
    <t>-23.6201714564635</t>
  </si>
  <si>
    <t>-46.6869494228489</t>
  </si>
  <si>
    <t>JAGUARA</t>
  </si>
  <si>
    <t>VILA JAGUARA</t>
  </si>
  <si>
    <t>RUA NILVA ESQUINA COM A RUA JAQUES PILON</t>
  </si>
  <si>
    <t>2021-12-21</t>
  </si>
  <si>
    <t>-23.5020564359908</t>
  </si>
  <si>
    <t>-46.760770203815</t>
  </si>
  <si>
    <t>JAGUARÉ</t>
  </si>
  <si>
    <t>AVENIDA ALEXANDRE MACKENZIE PROXIMO DA ESQUINA COM A RUA DIOGO PIRES</t>
  </si>
  <si>
    <t>2021-08-18</t>
  </si>
  <si>
    <t>-23.5382583173182</t>
  </si>
  <si>
    <t>-46.7482217877245</t>
  </si>
  <si>
    <t>AVENIDA JAGUARE ESQUINA COM A AVENIDA KENKITI SIMOMOTO</t>
  </si>
  <si>
    <t>-23.5510935373564</t>
  </si>
  <si>
    <t>-46.7398877439403</t>
  </si>
  <si>
    <t>PARQUE CONTINENTAL</t>
  </si>
  <si>
    <t>AVENIDA JAGUARE NA ROTATORIA COM A AVENIDA POLITECNICA DEFRONTE A ENTRADA DE VEICULO DO EXTRA</t>
  </si>
  <si>
    <t>2021-08-23</t>
  </si>
  <si>
    <t>-23.5577291785136</t>
  </si>
  <si>
    <t>-46.7473070141711</t>
  </si>
  <si>
    <t>JARDIM PAULISTA</t>
  </si>
  <si>
    <t>OSCAR FREIRE</t>
  </si>
  <si>
    <t>RUA DOUTOR MELO ALVES ESQUINA COM A RUA OSCAR FREIRE</t>
  </si>
  <si>
    <t>-23.5614161028171</t>
  </si>
  <si>
    <t>-46.670716644064</t>
  </si>
  <si>
    <t>LAPA</t>
  </si>
  <si>
    <t>RUA ROMA ESQUINA COM A RUA MONTEIRO DE MELO</t>
  </si>
  <si>
    <t>2021-09-30</t>
  </si>
  <si>
    <t>-23.5228022715736</t>
  </si>
  <si>
    <t>-46.7031445197456</t>
  </si>
  <si>
    <t>RUA ANTONIO RAPOSO DEFRONTE A RUA GEORGE CHIMITH</t>
  </si>
  <si>
    <t>-23.5213996578351</t>
  </si>
  <si>
    <t>-46.7059838936548</t>
  </si>
  <si>
    <t>RUA ROMA ESQUINA COM A RUA AURELIA</t>
  </si>
  <si>
    <t>-23.5229255144806</t>
  </si>
  <si>
    <t>-46.6978838317499</t>
  </si>
  <si>
    <t>RUA CAIO GRACCO ESQUINA COM A RUA CLELIA</t>
  </si>
  <si>
    <t>-23.5251010420187</t>
  </si>
  <si>
    <t>-46.6941912472652</t>
  </si>
  <si>
    <t>RUA ROMA ESQUINA COM A RUA ESPARTACO</t>
  </si>
  <si>
    <t>2021-08-29</t>
  </si>
  <si>
    <t>-23.5229461112568</t>
  </si>
  <si>
    <t>-46.6967145289093</t>
  </si>
  <si>
    <t>VILA ANASTÁCIO</t>
  </si>
  <si>
    <t>RUA JOAO TIBIRICA 900 NO FINAL DA RUA NA CALCADA DE UMA EMPRESA</t>
  </si>
  <si>
    <t>2020-10-21</t>
  </si>
  <si>
    <t>-23.5183498996262</t>
  </si>
  <si>
    <t>-46.7244189453108</t>
  </si>
  <si>
    <t>VILA IPOJUCA</t>
  </si>
  <si>
    <t>RUA SAO GALL 574 PROXIMO A ESQUINA COM A RUA PAUMARI</t>
  </si>
  <si>
    <t>2021-10-04</t>
  </si>
  <si>
    <t>-23.5378255814019</t>
  </si>
  <si>
    <t>-46.701686630588</t>
  </si>
  <si>
    <t>MORUMBI</t>
  </si>
  <si>
    <t>FAZENDA MORUMBI</t>
  </si>
  <si>
    <t>RUA MARGARIDA GALVAO 239</t>
  </si>
  <si>
    <t>2021-11-16</t>
  </si>
  <si>
    <t>-23.6040449198285</t>
  </si>
  <si>
    <t>-46.7067294110953</t>
  </si>
  <si>
    <t>RUA LEONOR QUADROS NA CALCADA EXTERNA DA PRACA DESEMBARGADOR VIEIRA NETO</t>
  </si>
  <si>
    <t>-23.6141579622724</t>
  </si>
  <si>
    <t>-46.7131130477909</t>
  </si>
  <si>
    <t>JÓQUEI CLUBE</t>
  </si>
  <si>
    <t>RUA VOTUVERAVA 131 ESQUINA RUA CONSEGUINA</t>
  </si>
  <si>
    <t>-23.5859754085087</t>
  </si>
  <si>
    <t>-46.6998322268554</t>
  </si>
  <si>
    <t>RUA MURIBECA PROXIMO DA ESQUINA COM A AVENIDA DAS MAGNOLIAS</t>
  </si>
  <si>
    <t>-23.5933097412927</t>
  </si>
  <si>
    <t>-46.6962948202493</t>
  </si>
  <si>
    <t>RUA GUILHEI WATANABE ESQUINA COM A RUA SALIM IZAR</t>
  </si>
  <si>
    <t>2021-11-05</t>
  </si>
  <si>
    <t>-23.5921030299147</t>
  </si>
  <si>
    <t>-46.7193072620429</t>
  </si>
  <si>
    <t>RUA DOS TRES IRMAOS ESQUINA COM A RUA AMELIA COOREA FONTES  GUIMARAES</t>
  </si>
  <si>
    <t>-23.5876966805037</t>
  </si>
  <si>
    <t>-46.7168476737494</t>
  </si>
  <si>
    <t>REAL PARQUE</t>
  </si>
  <si>
    <t>AVENIDA PADRE LEBRET PROXIMO A AVENIDA JULES RIMET</t>
  </si>
  <si>
    <t>2021-09-01</t>
  </si>
  <si>
    <t>-23.6010957517998</t>
  </si>
  <si>
    <t>-46.7182686487879</t>
  </si>
  <si>
    <t>RUA DOUTOR FLAVIO AMERICO MAURANO ESQUINA COM A RUA DOUTOR JESUINO DE ABREU</t>
  </si>
  <si>
    <t>-23.6118469455953</t>
  </si>
  <si>
    <t>-46.7233508239092</t>
  </si>
  <si>
    <t>PERDIZES</t>
  </si>
  <si>
    <t>RUA IPEIROIG ESQUINA COM A RUA CAIUBI</t>
  </si>
  <si>
    <t>-23.5369063537996</t>
  </si>
  <si>
    <t>-46.6769776204181</t>
  </si>
  <si>
    <t>PINHEIROS</t>
  </si>
  <si>
    <t>JARDIM EUROPA</t>
  </si>
  <si>
    <t>AVENIDA BRIGADEIRO FARIA LIMA ESQUINA COM RUA BENEDITO CHAVES</t>
  </si>
  <si>
    <t>2021-07-27</t>
  </si>
  <si>
    <t>-23.572781658154</t>
  </si>
  <si>
    <t>-46.6893096091567</t>
  </si>
  <si>
    <t>JARDIM PAULISTANO</t>
  </si>
  <si>
    <t>RUA MORATO COELHO ESQUINA COM A RUA CARDEAL ARCOVERDE</t>
  </si>
  <si>
    <t>-23.5619273916838</t>
  </si>
  <si>
    <t>-46.6885313720963</t>
  </si>
  <si>
    <t>R HENRIQUE SCHAUMANN ESQUINA COM A RUA CARDEAL ARCOVERDE</t>
  </si>
  <si>
    <t>-23.5581890404079</t>
  </si>
  <si>
    <t>-46.6823186812681</t>
  </si>
  <si>
    <t>RUA TEODORO SAMPAIO ESQUINA COM PRACA PADRE SEPTIMO RAMOS ARANTES</t>
  </si>
  <si>
    <t>-23.5675060670922</t>
  </si>
  <si>
    <t>-46.6954270613098</t>
  </si>
  <si>
    <t>VILA MADALENA</t>
  </si>
  <si>
    <t>AVENIDA PEDROSO DE MORAIS ESQUINA COM A RUA MORAIS</t>
  </si>
  <si>
    <t>-23.560956542839</t>
  </si>
  <si>
    <t>-46.6936198975973</t>
  </si>
  <si>
    <t>RAPOSO TAVARES</t>
  </si>
  <si>
    <t>RUA KENKITI SHIMOMOTO PROXIMO A ESQUINA COM A RUA GILBERTO DE ALCANTARA PAULINO</t>
  </si>
  <si>
    <t>2021-08-11</t>
  </si>
  <si>
    <t>-23.577948577054</t>
  </si>
  <si>
    <t>-46.7913311988897</t>
  </si>
  <si>
    <t>RIO PEQUENO</t>
  </si>
  <si>
    <t>JARDIM ADALGIZA</t>
  </si>
  <si>
    <t>RUA DOUTOR AIRES MARTINS TORRES PROXIMO DA ESQUINA COM A AVENIDA CORIFEU DE AZEVEDO MARQUES</t>
  </si>
  <si>
    <t>-23.5543444901662</t>
  </si>
  <si>
    <t>-46.7567173383555</t>
  </si>
  <si>
    <t>JARDIM ESTER YOLANDA</t>
  </si>
  <si>
    <t>RUA JOAO MILLAM 288</t>
  </si>
  <si>
    <t>-23.5847392196649</t>
  </si>
  <si>
    <t>-46.7578566741746</t>
  </si>
  <si>
    <t>AVENIDA CORIFEU DE AZEVEDO MARQUES PROXIMO A ESQUINA DA AVENIDA DO RIO PEQUNO</t>
  </si>
  <si>
    <t>2021-08-31</t>
  </si>
  <si>
    <t>-23.5630933088806</t>
  </si>
  <si>
    <t>-46.7466416935392</t>
  </si>
  <si>
    <t>AVENIDA ENGENHEIRO HEITOR ANTONIO EIRAS GARCIA 772</t>
  </si>
  <si>
    <t>-23.5772543743442</t>
  </si>
  <si>
    <t>-46.7432833490411</t>
  </si>
  <si>
    <t>RUA JOSE ALVES CUNHA LINHA ESQUINA COM A AVENIDA RIO PEQUENO</t>
  </si>
  <si>
    <t>-23.5632775640198</t>
  </si>
  <si>
    <t>-46.747823613698</t>
  </si>
  <si>
    <t>VILA LEOPOLDINA</t>
  </si>
  <si>
    <t>CEASA</t>
  </si>
  <si>
    <t>NO INTERIOR DO CEAGESP NA CALCADA DO PAVILHAO HFC</t>
  </si>
  <si>
    <t>2020-08-17</t>
  </si>
  <si>
    <t>-23.5335974804442</t>
  </si>
  <si>
    <t>-46.7381968803427</t>
  </si>
  <si>
    <t>RUA MERGENTHALER ESQUINA COM A RUA CARLOS WEBER</t>
  </si>
  <si>
    <t>2021-11-15</t>
  </si>
  <si>
    <t>-23.5252641382015</t>
  </si>
  <si>
    <t>-46.7331661811063</t>
  </si>
  <si>
    <t>VILA SÔNIA</t>
  </si>
  <si>
    <t>JARDIM JUSSARA</t>
  </si>
  <si>
    <t>RUA DR. LUIS MIGLIANO PROXIMO A RUA DAVID ROMERO PARE</t>
  </si>
  <si>
    <t>-23.6133697495966</t>
  </si>
  <si>
    <t>-46.7427662270198</t>
  </si>
  <si>
    <t>RUA ITUCUMA COM AV PROFESSOR FRANCISCO MORATO</t>
  </si>
  <si>
    <t>-23.5956522902421</t>
  </si>
  <si>
    <t>-46.7393249284488</t>
  </si>
  <si>
    <t>RUA MANOEL JACINTO 938</t>
  </si>
  <si>
    <t>-23.5969527004098</t>
  </si>
  <si>
    <t>-46.7291552008048</t>
  </si>
  <si>
    <t>SUL</t>
  </si>
  <si>
    <t>CAMPO LIMPO</t>
  </si>
  <si>
    <t>PARQUE ARARIBA</t>
  </si>
  <si>
    <t>RUA HUMBERTO SCIGLIANO ALTURA DO 340</t>
  </si>
  <si>
    <t>-23.6501353279698</t>
  </si>
  <si>
    <t>-46.7645615891567</t>
  </si>
  <si>
    <t>PIRAJUSSARA</t>
  </si>
  <si>
    <t>ESTRADA DO CAMPO LIMPO 1977 PROXIMO A ESQUINA COM A RUA ADAO COSTA MENDES</t>
  </si>
  <si>
    <t>-23.6396908942379</t>
  </si>
  <si>
    <t>-46.766549628228</t>
  </si>
  <si>
    <t>CAPÃO REDONDO</t>
  </si>
  <si>
    <t>ADVENTISTA</t>
  </si>
  <si>
    <t>TRAVESSA CANHANI DA INDIA PROXIMO A ESQUINA COM A TRAVESSA CARVALHO DO MAR</t>
  </si>
  <si>
    <t>2021-08-05</t>
  </si>
  <si>
    <t>-23.6620854375279</t>
  </si>
  <si>
    <t>-46.7780481889584</t>
  </si>
  <si>
    <t>AVENIDA ELIS MAAS ESQUINA COM AVENIDA COMENDADOR SANT ANNA</t>
  </si>
  <si>
    <t>2021-08-02</t>
  </si>
  <si>
    <t>-23.6670613818076</t>
  </si>
  <si>
    <t>-46.7729009740758</t>
  </si>
  <si>
    <t>RUA LORENZO MONACO DEFRONTE A RUA BENEDITO MATARAZZO</t>
  </si>
  <si>
    <t>2021-08-25</t>
  </si>
  <si>
    <t>-23.6621286254642</t>
  </si>
  <si>
    <t>-46.7648037842872</t>
  </si>
  <si>
    <t>PARQUE FERNANDA</t>
  </si>
  <si>
    <t>RUA MIN MOACIR DO AMARAL SANTOS ESQUINA COM A ESTRADA DE ITAPECERICA</t>
  </si>
  <si>
    <t>-23.6793191498602</t>
  </si>
  <si>
    <t>-46.7959456532986</t>
  </si>
  <si>
    <t>CIDADE ADEMAR</t>
  </si>
  <si>
    <t>CUPECÊ</t>
  </si>
  <si>
    <t>RUA JOSE NEVES ESQUINA COM RUA DOM JERONIMO OSORIO</t>
  </si>
  <si>
    <t>2021-09-21</t>
  </si>
  <si>
    <t>-23.6578310248242</t>
  </si>
  <si>
    <t>-46.6743044166193</t>
  </si>
  <si>
    <t>RUA TOMAS TEIXEIRA ESQUINA COM TRAVESSA PAULO KATAS</t>
  </si>
  <si>
    <t>-23.668850699604</t>
  </si>
  <si>
    <t>-46.671499591421</t>
  </si>
  <si>
    <t>RUA JOSE NABANTINO RAMOS PROXIMO A RUA DOM JERONIMO OSORIO</t>
  </si>
  <si>
    <t>-23.6563646598047</t>
  </si>
  <si>
    <t>-46.6749571808668</t>
  </si>
  <si>
    <t>RUA ANTONIO FURQUIM DA LUZ ESQUINA COM AVENIDA YERVANT KISSAJIKIAN</t>
  </si>
  <si>
    <t>-23.6709913443953</t>
  </si>
  <si>
    <t>-46.6688033767444</t>
  </si>
  <si>
    <t>RUA VICENTE JOSE DE ALMEIDA ESQUINA COM A RUA OTAVIO SINESIO ARAGAO</t>
  </si>
  <si>
    <t>-23.6638824428916</t>
  </si>
  <si>
    <t>-46.6679124502852</t>
  </si>
  <si>
    <t>RUA TOMASINA ESQUINA COM AVENIDA CUPECE</t>
  </si>
  <si>
    <t>-23.6606563820176</t>
  </si>
  <si>
    <t>-46.6640855511042</t>
  </si>
  <si>
    <t>RUA MADRE EMILIE DE VILLENEUVE ESQUINA COM A AVENIDA VEREADOR JOAO DE LUCA</t>
  </si>
  <si>
    <t>-23.6493556251736</t>
  </si>
  <si>
    <t>-46.6703590759666</t>
  </si>
  <si>
    <t>CIDADE DUTRA</t>
  </si>
  <si>
    <t>JARDIM PRESIDENTE</t>
  </si>
  <si>
    <t>AVENIDA CARLOS OBERHUBER 572 PROXIMO DA ESQUINA COM A AVENIDA ORFEO PARAVENTE</t>
  </si>
  <si>
    <t>-23.7420218548676</t>
  </si>
  <si>
    <t>-46.7106374113501</t>
  </si>
  <si>
    <t>RIO BONITO</t>
  </si>
  <si>
    <t>RUA CASSIANO DOS SANTOS ESQUINA COM A RUA WALTER PEREIRA CORREIA</t>
  </si>
  <si>
    <t>-23.7212847349954</t>
  </si>
  <si>
    <t>-46.7013064655481</t>
  </si>
  <si>
    <t>SESC INTERLAGOS</t>
  </si>
  <si>
    <t>RUA NOVA IRLANDA ESQUINA COM A RUA NOVA BRITANIA</t>
  </si>
  <si>
    <t>-23.7225824829585</t>
  </si>
  <si>
    <t>-46.6837114749902</t>
  </si>
  <si>
    <t>GRAJAÚ</t>
  </si>
  <si>
    <t>BELMIRA MARIN</t>
  </si>
  <si>
    <t>RUA TAIACU ESQUINA COM A RUA VARGEM GRANDE DO SUL</t>
  </si>
  <si>
    <t>2021-08-07</t>
  </si>
  <si>
    <t>-23.7554972213783</t>
  </si>
  <si>
    <t>-46.6826744769834</t>
  </si>
  <si>
    <t>RUA GENERAL RENATO VARANDAS DE AZEVEDO ESQUINA COM A RUA GENERAL JOSE DE OLIVEIRA RAMOS</t>
  </si>
  <si>
    <t>-23.7695855807657</t>
  </si>
  <si>
    <t>-46.68515664878</t>
  </si>
  <si>
    <t>AVENIDA CARLOS BARBOSA CAMPOS 1150 PROXIMO DA ESQUINA COM A RUA FILODEMO</t>
  </si>
  <si>
    <t>2021-11-11</t>
  </si>
  <si>
    <t>-23.7625730712438</t>
  </si>
  <si>
    <t>-46.6736910060822</t>
  </si>
  <si>
    <t>COCAIA</t>
  </si>
  <si>
    <t>AVENIDA DONA BELMIRA MARIN ESQUINA COM A RUA ADELIA DA SILVA MENDES</t>
  </si>
  <si>
    <t>-23.7535424846748</t>
  </si>
  <si>
    <t>-46.6807980763307</t>
  </si>
  <si>
    <t>RUA EZEQUIEL LOPES CARDOS ESQUINA COM A RUA PELAGIA STARBULOV NO PARQUE LINEAR DO XERIFE</t>
  </si>
  <si>
    <t>2021-11-10</t>
  </si>
  <si>
    <t>-23.7457626296031</t>
  </si>
  <si>
    <t>-46.69129434</t>
  </si>
  <si>
    <t>AVENIDA DONA BELMIRA MARIN ESQUINA COM A RUA ARTUR SARAIVA BARBOZA</t>
  </si>
  <si>
    <t>2021-08-24</t>
  </si>
  <si>
    <t>-23.7383263645328</t>
  </si>
  <si>
    <t>-46.6918498333827</t>
  </si>
  <si>
    <t>VILA NATAL</t>
  </si>
  <si>
    <t>ESTRAS DOS MENDES 1566 ENTRE AS RUAS DARCY LIMA DA GLORIA E RUA SINFONIA ITALIANA</t>
  </si>
  <si>
    <t>2021-08-10</t>
  </si>
  <si>
    <t>-23.7563432569961</t>
  </si>
  <si>
    <t>-46.7091905089326</t>
  </si>
  <si>
    <t>IPIRANGA</t>
  </si>
  <si>
    <t>ALTO DO IPIRANGA</t>
  </si>
  <si>
    <t>RUA SALVADOR SIMOES ESQUINA COM A RUA OLIVAL COSTA</t>
  </si>
  <si>
    <t>-23.5977798678503</t>
  </si>
  <si>
    <t>-46.6138148490209</t>
  </si>
  <si>
    <t>RUA ALMIRANTE LOBO ESQUINA COM A RUA LINO COUTINHO</t>
  </si>
  <si>
    <t>-23.5904146922739</t>
  </si>
  <si>
    <t>-46.6027272883412</t>
  </si>
  <si>
    <t>SACOMÃ</t>
  </si>
  <si>
    <t>RUA COMANDANTE TAYLOR ESQUINA COM RUA SILVA BUENO</t>
  </si>
  <si>
    <t>2021-09-07</t>
  </si>
  <si>
    <t>-23.6002295271925</t>
  </si>
  <si>
    <t>-46.600586204421</t>
  </si>
  <si>
    <t>VILA INDEPENDÊNCIA</t>
  </si>
  <si>
    <t>RUA AMADIS ESQUINA COM A RUA ALVARO FRAGOSO</t>
  </si>
  <si>
    <t>-23.5933850485759</t>
  </si>
  <si>
    <t>-46.5951556939508</t>
  </si>
  <si>
    <t>AVENIDA PRESIDENTE WILSON 2953</t>
  </si>
  <si>
    <t>-23.578732558806</t>
  </si>
  <si>
    <t>-46.5995101188091</t>
  </si>
  <si>
    <t>AVENIDA PRESIDENTE WILSON 3544 ENTRE AS RUA PALMARES E RUA MATIAS ALBUQUERQUE</t>
  </si>
  <si>
    <t>-23.5833905348193</t>
  </si>
  <si>
    <t>-46.5971261600451</t>
  </si>
  <si>
    <t>VILA SÃO JOSÉ</t>
  </si>
  <si>
    <t>AVENIDA NAZARE ESQUINA COM A RUA CONDE VICENTE DE AZEVEDO</t>
  </si>
  <si>
    <t>-23.585742734101</t>
  </si>
  <si>
    <t>-46.6109817072364</t>
  </si>
  <si>
    <t>JABAQUARA</t>
  </si>
  <si>
    <t>CIDADE VARGAS</t>
  </si>
  <si>
    <t>RUA DO PORTAO 01 DO CENTRO PARAOLIMPICO BRASILEIRO</t>
  </si>
  <si>
    <t>-23.6499658832412</t>
  </si>
  <si>
    <t>-46.6319207725931</t>
  </si>
  <si>
    <t>RUA INAJATUBA ESQUINA COM A AVENIDA LINO DE ALMEIDA PIRES</t>
  </si>
  <si>
    <t>-23.6430274915416</t>
  </si>
  <si>
    <t>-46.6339987222555</t>
  </si>
  <si>
    <t>RUA FREIRE FARTO ESQUINA COM A RUA DESEMBARGADOR ALIMPIO BASTOS</t>
  </si>
  <si>
    <t>-23.6365536536366</t>
  </si>
  <si>
    <t>-46.6501936099132</t>
  </si>
  <si>
    <t>JARDIM ÂNGELA</t>
  </si>
  <si>
    <t>RUA DOUTOR ARTUR MOREIRA DE ALMEIDA 406 PROXIMO A RUA JOSE DE OLIVEIRA</t>
  </si>
  <si>
    <t>-23.6795263847384</t>
  </si>
  <si>
    <t>-46.7534657581038</t>
  </si>
  <si>
    <t>JARDIM SÃO LUÍS</t>
  </si>
  <si>
    <t>CENTRO EMPRESARIAL</t>
  </si>
  <si>
    <t>RUA SALGUEIRO DO CAMPO 560 DEFRONTE A RUA MARGARIDA FATIMA BRAZ GONCALVES</t>
  </si>
  <si>
    <t>-23.6611175137848</t>
  </si>
  <si>
    <t>-46.733232520776</t>
  </si>
  <si>
    <t>RUA ANTONIO DE SENA 80 AO LADO DO PORTAO DO COMPLEXO DA SABESP</t>
  </si>
  <si>
    <t>-23.6605031345273</t>
  </si>
  <si>
    <t>-46.7446506676696</t>
  </si>
  <si>
    <t>GUARAPIRANGA</t>
  </si>
  <si>
    <t>ESTRADA DO GUARAPIRANGA PROXIMO A RUA REPUBLICA DE SALVADOR</t>
  </si>
  <si>
    <t>2021-11-26</t>
  </si>
  <si>
    <t>-23.6835983902582</t>
  </si>
  <si>
    <t>-46.7361034981293</t>
  </si>
  <si>
    <t>ESTRADA DO M BOI MIRIM ESQUINA COM RUA DOMINGOS AFONSO SERTAO</t>
  </si>
  <si>
    <t>2021-08-20</t>
  </si>
  <si>
    <t>-23.6726414783016</t>
  </si>
  <si>
    <t>-46.743050865027</t>
  </si>
  <si>
    <t>MOEMA</t>
  </si>
  <si>
    <t>JARDIM LUZITÂNIA</t>
  </si>
  <si>
    <t>RUA MOCAMBIQUE ESQUINA COM A RUA COMANDANTE ISMAEL GUILHERME</t>
  </si>
  <si>
    <t>2021-11-25</t>
  </si>
  <si>
    <t>-23.5952650409164</t>
  </si>
  <si>
    <t>-46.6619674133431</t>
  </si>
  <si>
    <t>PARQUE IBIRAPUERA</t>
  </si>
  <si>
    <t>RUA DO LEAO PARQUE IBIRAPUERA</t>
  </si>
  <si>
    <t>-23.5905645203443</t>
  </si>
  <si>
    <t>-46.6587006021104</t>
  </si>
  <si>
    <t>PEDREIRA</t>
  </si>
  <si>
    <t>MAR PAULISTA</t>
  </si>
  <si>
    <t>RUA JOAO DE ARAUJO ESQUINA COM A RUA BRASIL</t>
  </si>
  <si>
    <t>2021-09-25</t>
  </si>
  <si>
    <t>-23.6898001313844</t>
  </si>
  <si>
    <t>-46.6688602036557</t>
  </si>
  <si>
    <t>RUA DOS ANIQUIS ESQUINA COM A RUA DOS CARATAS</t>
  </si>
  <si>
    <t>2021-09-23</t>
  </si>
  <si>
    <t>-23.6989265713681</t>
  </si>
  <si>
    <t>-46.6467586460274</t>
  </si>
  <si>
    <t>ANCHIETA</t>
  </si>
  <si>
    <t>RUA GIACOMO COZZARELLI ESQUINA COM A RUA GIOVANNI DA CONEGLIANO</t>
  </si>
  <si>
    <t>-23.6540586586844</t>
  </si>
  <si>
    <t>-46.602252925398</t>
  </si>
  <si>
    <t>SÃO JOÃO CLÍMACO</t>
  </si>
  <si>
    <t>RUA HIGA CAMELINA 203 NO FINAL DA RUA</t>
  </si>
  <si>
    <t>-23.6332059972555</t>
  </si>
  <si>
    <t>-46.5855879722642</t>
  </si>
  <si>
    <t>SANTO AMARO</t>
  </si>
  <si>
    <t>GRANJA JULIETA</t>
  </si>
  <si>
    <t>RUA JOERG BRUDER PROXIMO A ESQUINA COM A  RUA OSCAR RODRIGUES CAJADO FILHO</t>
  </si>
  <si>
    <t>-23.6251652873815</t>
  </si>
  <si>
    <t>-46.6996332736912</t>
  </si>
  <si>
    <t>RUA LAGUNA ESQUINA COM A RUA ANHEMBI</t>
  </si>
  <si>
    <t>2021-09-13</t>
  </si>
  <si>
    <t>-23.643214743453</t>
  </si>
  <si>
    <t>-46.7158802254167</t>
  </si>
  <si>
    <t>RUA SAO LUDGERO ESQUINA COM A RUA ALVES PONTUAL</t>
  </si>
  <si>
    <t>2021-09-15</t>
  </si>
  <si>
    <t>-23.6422743585221</t>
  </si>
  <si>
    <t>-46.7021763159301</t>
  </si>
  <si>
    <t>RUA INDIO AZEM 43 NO FINAL DA RUA</t>
  </si>
  <si>
    <t>-23.6268622041149</t>
  </si>
  <si>
    <t>-46.6917352078967</t>
  </si>
  <si>
    <t>RUA MISSIONARIOS PROXIMO A ESQUINA COM A RUA ANHEMBI</t>
  </si>
  <si>
    <t>-23.6435656905515</t>
  </si>
  <si>
    <t>-46.7173204244798</t>
  </si>
  <si>
    <t>AVENIDA SANTO AMARO ESQUINA COM A RUA BARAO DE COTEGIPE</t>
  </si>
  <si>
    <t>-23.6403790605045</t>
  </si>
  <si>
    <t>-46.69854190515</t>
  </si>
  <si>
    <t>RUA TENENTE CORONEL CARLOS DA SILVA ARAUJO ESQUINA COM AVENIDA JOAO DIAS</t>
  </si>
  <si>
    <t>-23.646345534103</t>
  </si>
  <si>
    <t>-46.70869915877</t>
  </si>
  <si>
    <t>RUA ARMADOR BUENO ESQUINA COM RUA BARAO DO RIO BRANCO</t>
  </si>
  <si>
    <t>-23.6523563918147</t>
  </si>
  <si>
    <t>-46.7085829464091</t>
  </si>
  <si>
    <t>RUA PROMOTOR GABRIEL NETUZZI PEREZ ESQUINA COM A AVENIDA ADOLFO PINHEIRO</t>
  </si>
  <si>
    <t>-23.6517251344533</t>
  </si>
  <si>
    <t>-46.7050743647462</t>
  </si>
  <si>
    <t>VILA MIRANDA</t>
  </si>
  <si>
    <t>AVENIDA DAS NACOES UNIDAS ESQUINA COM A  RUA PROFESSOR LEME DA FONSECA</t>
  </si>
  <si>
    <t>-23.6590025666723</t>
  </si>
  <si>
    <t>-46.7140933617791</t>
  </si>
  <si>
    <t>AVENIDA NACOES UNIDAS 21012 PROXIMO A ESQUINA COM A RUA ENGENHEIRO ANTONIO FAGGION</t>
  </si>
  <si>
    <t>-23.6468577975998</t>
  </si>
  <si>
    <t>-46.7251881363299</t>
  </si>
  <si>
    <t>AVENIDA PADRE JOSE MARIA AO LADO DO TERMINAL SANTO AMARO</t>
  </si>
  <si>
    <t>-23.653691202615</t>
  </si>
  <si>
    <t>-46.7110794827013</t>
  </si>
  <si>
    <t>SAÚDE</t>
  </si>
  <si>
    <t>BOSQUE DA SAÚDE</t>
  </si>
  <si>
    <t>RUA JUREIA ESQUINA COM A RUA DOUTOR FRANCISCO JOSE LONGO</t>
  </si>
  <si>
    <t>2021-12-22</t>
  </si>
  <si>
    <t>-23.6068750661269</t>
  </si>
  <si>
    <t>-46.6304215066439</t>
  </si>
  <si>
    <t>SOCORRO</t>
  </si>
  <si>
    <t>PARQUE INTERLAGOS</t>
  </si>
  <si>
    <t>AVENIDA ATLANTICA ESQUINA COM A RUA DIANA DE LIZ ESQUINA</t>
  </si>
  <si>
    <t>-23.6785355711669</t>
  </si>
  <si>
    <t>-46.7122536143669</t>
  </si>
  <si>
    <t>RUA EDSON REGIS ESQUINA COM A RUA MARQUES DE REZENDE</t>
  </si>
  <si>
    <t>-23.6802363649825</t>
  </si>
  <si>
    <t>-46.7145347101425</t>
  </si>
  <si>
    <t>RUA BENEDITO LEITE ESQUINA COM A RUA MANOEL R QUERINO</t>
  </si>
  <si>
    <t>2021-07-19</t>
  </si>
  <si>
    <t>-23.6819845720941</t>
  </si>
  <si>
    <t>-46.7167566666797</t>
  </si>
  <si>
    <t>VILA SOCORRO</t>
  </si>
  <si>
    <t>RUA MANOEL DE BRITO NOGUEIRA ESQUINA COM A RUA OLIVIA GUEDES PENTEADO</t>
  </si>
  <si>
    <t>2021-08-15</t>
  </si>
  <si>
    <t>-23.6706031700482</t>
  </si>
  <si>
    <t>-46.7107291177899</t>
  </si>
  <si>
    <t>RUA DOMINGOS JORGE PROXIMO A AVENIDA GUARAPIRANGA</t>
  </si>
  <si>
    <t>-23.6660905347076</t>
  </si>
  <si>
    <t>-46.7141172016433</t>
  </si>
  <si>
    <t>RUA ALBERTO LUZ ESQUINA COM A AVENIDA DO RIO BONITO</t>
  </si>
  <si>
    <t>-23.6796196604277</t>
  </si>
  <si>
    <t>-46.7063510456846</t>
  </si>
  <si>
    <t>RUA FRANCISCO OTAVIANO PROXIMO A RUA VICENTE DE CARVALHO</t>
  </si>
  <si>
    <t>-23.6712524926643</t>
  </si>
  <si>
    <t>-46.7204548413224</t>
  </si>
  <si>
    <t>VILA ANDRADE</t>
  </si>
  <si>
    <t>PARAISÓPOLIS</t>
  </si>
  <si>
    <t>RUA SILVIO TRAMONTANO ESQUINA COM AVENIDA MORUMBI</t>
  </si>
  <si>
    <t>-23.6178077486908</t>
  </si>
  <si>
    <t>-46.7036736589328</t>
  </si>
  <si>
    <t>VILA SUZANA</t>
  </si>
  <si>
    <t>RUA DOUTOR LUIZ MIGLIANO 130 PROXIMO A RUA MAXIMO MACIEL</t>
  </si>
  <si>
    <t>-23.6183562979165</t>
  </si>
  <si>
    <t>-46.7431208051209</t>
  </si>
  <si>
    <t>RUA MAESTRO CARDIM ESQUINA COM A RUA SANTA MADALENA</t>
  </si>
  <si>
    <t>MÉDIA</t>
  </si>
  <si>
    <t>POSSIVEL DE USO</t>
  </si>
  <si>
    <t>-23.5637241772794</t>
  </si>
  <si>
    <t>-46.6412160058134</t>
  </si>
  <si>
    <t>RUA MARTINIANO DE CARVALHO ESQUINA COM A RUA SANTA MADALENA</t>
  </si>
  <si>
    <t>EXCELENTE</t>
  </si>
  <si>
    <t>-23.563266696918</t>
  </si>
  <si>
    <t>-46.6421508822686</t>
  </si>
  <si>
    <t>RUA TEIXEIRA DA SILVA ESQUINA COM A AVENIDA PAULISTA</t>
  </si>
  <si>
    <t>2021-09-06</t>
  </si>
  <si>
    <t>INOPERANTE</t>
  </si>
  <si>
    <t>-23.5694046571943</t>
  </si>
  <si>
    <t>-46.6461969415122</t>
  </si>
  <si>
    <t>RUA ARTUR PRADO ESQUINA COM A RUA SANTA MADALENA</t>
  </si>
  <si>
    <t>SECO</t>
  </si>
  <si>
    <t>-23.5632549748839</t>
  </si>
  <si>
    <t>-46.6431287149946</t>
  </si>
  <si>
    <t>ALAMEDA RIBEIRAO PRETO ESQUINA COM RUA ALMIRANTE MARQUES LEAO</t>
  </si>
  <si>
    <t>-23.5642368174354</t>
  </si>
  <si>
    <t>-46.6490745390411</t>
  </si>
  <si>
    <t>RUA DOS INGLESES PROXIMA A ESQUINA DA RUA DOS ALEMAES</t>
  </si>
  <si>
    <t>-23.5618390596098</t>
  </si>
  <si>
    <t>-46.6469094755781</t>
  </si>
  <si>
    <t>RUA CONSELHEIRO CARRAO ESQUINA COM RUA DOS INGLESES</t>
  </si>
  <si>
    <t>-23.5580282496224</t>
  </si>
  <si>
    <t>-46.6473471591567</t>
  </si>
  <si>
    <t>RUA DOUTOR ALFREDO ELLIS ESQUINA COM A RUA SANTA MADALENA</t>
  </si>
  <si>
    <t>2021-12-23</t>
  </si>
  <si>
    <t>-23.5630194220229</t>
  </si>
  <si>
    <t>-46.6440670083074</t>
  </si>
  <si>
    <t>RUA DOS FRANCESES ESQUINA COM A RUA DOS BELGAS</t>
  </si>
  <si>
    <t>2021-12-26</t>
  </si>
  <si>
    <t>-23.5626515856049</t>
  </si>
  <si>
    <t>-46.6475406854704</t>
  </si>
  <si>
    <t>RUA CINCINATO BRAGA PROXIMA A RUA TEIXEIRA SILVA</t>
  </si>
  <si>
    <t>-23.5688017053299</t>
  </si>
  <si>
    <t>-46.6453441637984</t>
  </si>
  <si>
    <t>RUA DOUTOR FASUTO FERRAZ ESQUINA COM A RUA CARLOS SAMPAIO</t>
  </si>
  <si>
    <t>-23.5663020403744</t>
  </si>
  <si>
    <t>-46.6453060997582</t>
  </si>
  <si>
    <t>AVENIDA BERNADINO DE CAMPOS 109 PARAISO</t>
  </si>
  <si>
    <t>-23.5720499441532</t>
  </si>
  <si>
    <t>-46.6429754214159</t>
  </si>
  <si>
    <t>RUA TREZE DE MAIO ESQUINA COM AVENIDA BRIGADEIRO LUIS ANTONIO</t>
  </si>
  <si>
    <t>-23.563139505507</t>
  </si>
  <si>
    <t>-46.6454852631156</t>
  </si>
  <si>
    <t>RUA CONSELHEIRO CARRAO ESQUINA COM A RUA DOS INGLESES</t>
  </si>
  <si>
    <t>-23.5579667776711</t>
  </si>
  <si>
    <t>-46.6471035168065</t>
  </si>
  <si>
    <t>PRACA AMADEU AMARAL PROXIMO DA ESQUINA COM A RUA 13 DE MAIO</t>
  </si>
  <si>
    <t>2021-11-28</t>
  </si>
  <si>
    <t>-23.5684899609563</t>
  </si>
  <si>
    <t>-46.644522991162</t>
  </si>
  <si>
    <t>RUA MARTINIANO DE CARVALHO ESQUINA COM A RUA PEDROSO</t>
  </si>
  <si>
    <t>-23.5622304204859</t>
  </si>
  <si>
    <t>-46.641684866719</t>
  </si>
  <si>
    <t>AVENIDA BRIGADEIRO LUIS ANTONIO ESQUINA COM A RUA CONDESSA  DE SAO JOAQUIM</t>
  </si>
  <si>
    <t>-23.5573796977722</t>
  </si>
  <si>
    <t>-46.6405197037597</t>
  </si>
  <si>
    <t>AVENIDA BRIGADEIRO LUIS ANTONIO 1099 DEFRONTE A RUA MAJOR DIOGOZ</t>
  </si>
  <si>
    <t>-23.5593216374809</t>
  </si>
  <si>
    <t>-46.642171306797</t>
  </si>
  <si>
    <t>RUA CONDESSA DE SAO JOAQUIM ESQUINA COM A RUA CONDE DE SAO JOAQUIM</t>
  </si>
  <si>
    <t>-23.5580167935902</t>
  </si>
  <si>
    <t>-46.6392227608259</t>
  </si>
  <si>
    <t>MASP</t>
  </si>
  <si>
    <t>AVENIDA NOVE DE JULHO 2029 PROXIMO A ESQUINA COM A RUA PROFESSOR PICAROLLO</t>
  </si>
  <si>
    <t>FRACA</t>
  </si>
  <si>
    <t>-23.5590706657883</t>
  </si>
  <si>
    <t>-46.6538706619483</t>
  </si>
  <si>
    <t>AVENIDA PAULISTA ESQUINA COM A RUA PAMPLONA</t>
  </si>
  <si>
    <t>2021-09-08</t>
  </si>
  <si>
    <t>-23.5635712097922</t>
  </si>
  <si>
    <t>-46.6537760735833</t>
  </si>
  <si>
    <t>ALAMEDA MINISTRO ROCHA AZEVEDO ESQUINA COM AVENIDA PAULISTA</t>
  </si>
  <si>
    <t>-23.5597410822477</t>
  </si>
  <si>
    <t>-46.6578684899124</t>
  </si>
  <si>
    <t>RUA PEIXOTO GOMIDE ESQUINA COM AVENIDA PAULISTA</t>
  </si>
  <si>
    <t>-23.5607926070374</t>
  </si>
  <si>
    <t>-46.6567966805348</t>
  </si>
  <si>
    <t>RUA ITAPEVA ESQUINA COM A AVENIDA PAULISTA</t>
  </si>
  <si>
    <t>-23.562467675596</t>
  </si>
  <si>
    <t>-46.6547828619358</t>
  </si>
  <si>
    <t>RUA ITAPEVA ESQUINA COM AVENIDA PAULISTA</t>
  </si>
  <si>
    <t>-23.5623379155917</t>
  </si>
  <si>
    <t>-46.6550171189348</t>
  </si>
  <si>
    <t>RUA DONA ADMA 173 PROXIMO A ESQUINA COM A RUA ENGENHEIRO MONLEVADE</t>
  </si>
  <si>
    <t>-23.5590057820285</t>
  </si>
  <si>
    <t>-46.6543714767893</t>
  </si>
  <si>
    <t>AVENIDA NOVE DE JULHO ESQUINA COM A RUA BARATA RIBEIRO</t>
  </si>
  <si>
    <t>-23.5559624575316</t>
  </si>
  <si>
    <t>-46.6506586109628</t>
  </si>
  <si>
    <t>RUA FREI CANECA ESQUINA COM A RUA ANTONIO CARLOS</t>
  </si>
  <si>
    <t>-23.5572458798035</t>
  </si>
  <si>
    <t>-46.6572295441545</t>
  </si>
  <si>
    <t>RUA HERCULANO DE FREITAS ESQUINA COM A RUA PEIXOTO GOMIDE</t>
  </si>
  <si>
    <t>2021-06-21</t>
  </si>
  <si>
    <t>-23.5558440983824</t>
  </si>
  <si>
    <t>-46.6553632791213</t>
  </si>
  <si>
    <t>RUA PAMPLONA ESQUINA COM A RUA SAO CARLOS DO PINHAL</t>
  </si>
  <si>
    <t>-23.5626872915327</t>
  </si>
  <si>
    <t>-46.6530319631159</t>
  </si>
  <si>
    <t>RUA DONA ADMA JAFET ESQUINA COM A RUA BARATA RIBEIRO</t>
  </si>
  <si>
    <t>-23.5570185320578</t>
  </si>
  <si>
    <t>-46.6546559785179</t>
  </si>
  <si>
    <t>RUA PEIXOTO GOMIDE ESQUINA COM A RUA BARATA RIBEIRO</t>
  </si>
  <si>
    <t>-23.5569797891151</t>
  </si>
  <si>
    <t>-46.6553663319537</t>
  </si>
  <si>
    <t>RUA CARLOS COMENALE 200 NA ESCADA DE ACESSO A RUA ENGENHEIRO MONLEVADE</t>
  </si>
  <si>
    <t>-23.560723666688</t>
  </si>
  <si>
    <t>-46.6557339568351</t>
  </si>
  <si>
    <t>RUA DR PLINIO BARRETO 365 QUALICORP</t>
  </si>
  <si>
    <t>-23.5580432687955</t>
  </si>
  <si>
    <t>-46.65262602052</t>
  </si>
  <si>
    <t>RUA PEIXOTO GOMIDE ESQUINA COM A RUA FREI CANECA</t>
  </si>
  <si>
    <t>-23.5550631031126</t>
  </si>
  <si>
    <t>-46.6554761353955</t>
  </si>
  <si>
    <t>AVENIDA NOVE DE JULHO PROXIMO AO VIADUTO PROFESSOR BERNARDINO TRANCHESI ENTRADA DO TUNEL</t>
  </si>
  <si>
    <t>-23.5604549587082</t>
  </si>
  <si>
    <t>-46.654833817618</t>
  </si>
  <si>
    <t>RUA PEIXOTO GOMIDE ESQUINA COM A RUA CARLOS COMANELE</t>
  </si>
  <si>
    <t>-23.5603868978778</t>
  </si>
  <si>
    <t>-46.6564333511998</t>
  </si>
  <si>
    <t>ALAMEDA JOAQUIM EUGENIO DE LIMA ESQUINA COM A RUA SAO CARLOS DO PINHAL</t>
  </si>
  <si>
    <t>-23.565346190925</t>
  </si>
  <si>
    <t>-46.6498455955868</t>
  </si>
  <si>
    <t>-23.5635447984639</t>
  </si>
  <si>
    <t>-46.6534200948102</t>
  </si>
  <si>
    <t>AVENIDA BRIGADEIRO LUIS ANTONIO ESQUINA COM AVENIDA PAULISTA</t>
  </si>
  <si>
    <t>-23.5672596711661</t>
  </si>
  <si>
    <t>-46.6489978980009</t>
  </si>
  <si>
    <t>AVENIDA PAULISTA 872 DEFRONTE AO PREDIO DA GAZETA</t>
  </si>
  <si>
    <t>-23.5655157418186</t>
  </si>
  <si>
    <t>-46.6513726253002</t>
  </si>
  <si>
    <t>RUA ITAPEVA ESQUINA COM A RUA ROCHA</t>
  </si>
  <si>
    <t>-23.5577719744063</t>
  </si>
  <si>
    <t>-46.6499092835288</t>
  </si>
  <si>
    <t>RUA SANTA BRANCA PROXIMO DA ESQUINA COM A ALAMEDA RIBEIRAO PRETO</t>
  </si>
  <si>
    <t>2021-12-25</t>
  </si>
  <si>
    <t>-23.5652501898745</t>
  </si>
  <si>
    <t>-46.648266255759</t>
  </si>
  <si>
    <t>RUA SAO CARLOS DO PINHAL ESQUINA COM A ALAMEDA CAMPINAS</t>
  </si>
  <si>
    <t>-23.5640866894032</t>
  </si>
  <si>
    <t>-46.6513495367901</t>
  </si>
  <si>
    <t>TREZE DE MAIO</t>
  </si>
  <si>
    <t>AVENIDA NOVE DE JULHO 929</t>
  </si>
  <si>
    <t>-23.5519236866005</t>
  </si>
  <si>
    <t>-46.6469695523723</t>
  </si>
  <si>
    <t>RUA TREZE DE MAIO ESQUINA COM A RUA LUIZ PORRO</t>
  </si>
  <si>
    <t>-23.5531707959058</t>
  </si>
  <si>
    <t>-46.6467829445303</t>
  </si>
  <si>
    <t>RUA DOUTOR PENAFORTE MENDES ESQUINA COM A RUA FREI CANECA</t>
  </si>
  <si>
    <t>2021-06-25</t>
  </si>
  <si>
    <t>-23.5533090291969</t>
  </si>
  <si>
    <t>-46.652150929638</t>
  </si>
  <si>
    <t>RUA SAMUEL DAS NEVES ESQUINA COM A AVENIDA NOVE DE JULHO</t>
  </si>
  <si>
    <t>-23.5547885959257</t>
  </si>
  <si>
    <t>-46.648427029718</t>
  </si>
  <si>
    <t>RUA FORTALEZA ESQUINA COM A RUA RUI BARBOSA</t>
  </si>
  <si>
    <t>-23.5597059077099</t>
  </si>
  <si>
    <t>-46.6453937535264</t>
  </si>
  <si>
    <t>RUA FREI CANECA ESQUINA COM A RUA PAIM</t>
  </si>
  <si>
    <t>-23.5527834806488</t>
  </si>
  <si>
    <t>-46.6511366753307</t>
  </si>
  <si>
    <t>RUA TREZE DE MAIO COM RUA SAO VICENTE</t>
  </si>
  <si>
    <t>-23.5566017438039</t>
  </si>
  <si>
    <t>-46.6467546119858</t>
  </si>
  <si>
    <t>RUA SANTO ANTONIO ESQUINA COM A RUA SAO VICENTE</t>
  </si>
  <si>
    <t>-23.5563345938893</t>
  </si>
  <si>
    <t>-46.6481569799347</t>
  </si>
  <si>
    <t>RUA SANTO ANTONIO ESQUINA COM A RUA MANOEL DUTRA</t>
  </si>
  <si>
    <t>-23.5555405787051</t>
  </si>
  <si>
    <t>-46.6478828556449</t>
  </si>
  <si>
    <t>RUA DOUTOR LUIS BARRETO ESQUINA COM A RUA SAO VICENTE</t>
  </si>
  <si>
    <t>-23.5563183006579</t>
  </si>
  <si>
    <t>-46.6472920705375</t>
  </si>
  <si>
    <t>RUA PAIM 108</t>
  </si>
  <si>
    <t>-23.5548779148971</t>
  </si>
  <si>
    <t>-46.649751863554</t>
  </si>
  <si>
    <t>RUA VISCONDE DE TAUNAY 627</t>
  </si>
  <si>
    <t>2021-12-27</t>
  </si>
  <si>
    <t>-23.521915209959</t>
  </si>
  <si>
    <t>-46.6497456671286</t>
  </si>
  <si>
    <t>RUA ANHAIA ESQUINA COM A RUA JAVAES</t>
  </si>
  <si>
    <t>2021-11-08</t>
  </si>
  <si>
    <t>-23.5224536673768</t>
  </si>
  <si>
    <t>-46.6459831165155</t>
  </si>
  <si>
    <t>AVENIDA PRESIDENTE CASTELO BRANCO ENTRA A RUA ANTONIO HAJJARE A AVENIDA DO ESTADO</t>
  </si>
  <si>
    <t>2020-08-14</t>
  </si>
  <si>
    <t>-23.5217183004275</t>
  </si>
  <si>
    <t>-46.6383219403928</t>
  </si>
  <si>
    <t>NO INTERIOR DA FAVELA DO MOINHO ENTRADA PELA RUA DOUTOR ELIAS CHAVES PASSANDO OS TRILHOS DO TREM VIRAR A SEGUNDA VIELA A DIREITA NO INTERIOR</t>
  </si>
  <si>
    <t>2020-11-25</t>
  </si>
  <si>
    <t>-23.5282055606715</t>
  </si>
  <si>
    <t>-46.6476778373436</t>
  </si>
  <si>
    <t>RUA ANHAIA ESQUINA COM A RUA BARRA DO TIBAJI</t>
  </si>
  <si>
    <t>-23.5245960924129</t>
  </si>
  <si>
    <t>-46.6447767332778</t>
  </si>
  <si>
    <t>RUA GENERAL FLORES ESQUINA COM A RUA BARRA DO TIBAJI</t>
  </si>
  <si>
    <t>2020-07-27</t>
  </si>
  <si>
    <t>-23.5236553846603</t>
  </si>
  <si>
    <t>-46.6428376479569</t>
  </si>
  <si>
    <t>RUA SOLON ESQUINA COM A RUA ANHAIA</t>
  </si>
  <si>
    <t>-23.5257776365901</t>
  </si>
  <si>
    <t>-46.6443958147924</t>
  </si>
  <si>
    <t>RUA DOS ITALIANOS  ESQUINA COM A RUA SEGIO TOMAS</t>
  </si>
  <si>
    <t>-23.5207521772858</t>
  </si>
  <si>
    <t>-46.6458244934121</t>
  </si>
  <si>
    <t>RUA JARAGUA ESQUINA COM A RUA DOS ITALIANOS</t>
  </si>
  <si>
    <t>-23.5229893055516</t>
  </si>
  <si>
    <t>-46.6445578640661</t>
  </si>
  <si>
    <t>RUA SOLON ESQUINA COM A RUA GENERAL FLORES</t>
  </si>
  <si>
    <t>-23.5245911939597</t>
  </si>
  <si>
    <t>-46.6425924088863</t>
  </si>
  <si>
    <t>RUA LOPES TROVAO ESQUINA COM A RUA TENENTE PENA</t>
  </si>
  <si>
    <t>2021-12-20</t>
  </si>
  <si>
    <t>-23.5276848625217</t>
  </si>
  <si>
    <t>-46.6450810719687</t>
  </si>
  <si>
    <t>AVENIDA RUDGE 706 EM FRENTE AO PORTAO DA LBV</t>
  </si>
  <si>
    <t>2020-07-31</t>
  </si>
  <si>
    <t>-23.521929087375</t>
  </si>
  <si>
    <t>-46.6509484419796</t>
  </si>
  <si>
    <t>RUA JAVAE ESQUINA COM A RUA GENERAL FLORES</t>
  </si>
  <si>
    <t>-23.5210203775755</t>
  </si>
  <si>
    <t>-46.6434131720288</t>
  </si>
  <si>
    <t>RUA GENERAL FLORES ESQUINA COM A RUA JARAGUA</t>
  </si>
  <si>
    <t>-23.5223380140534</t>
  </si>
  <si>
    <t>-46.6431381314047</t>
  </si>
  <si>
    <t>RUA BARRA DO TIBAJI ESQUINA COM A RUA DOS ITALIANOS</t>
  </si>
  <si>
    <t>-23.5240607975816</t>
  </si>
  <si>
    <t>-46.6442616985205</t>
  </si>
  <si>
    <t>RUA ANHAIA ESQUINA COM A RUA JARAGUA</t>
  </si>
  <si>
    <t>-23.5233740682434</t>
  </si>
  <si>
    <t>-46.6454781572636</t>
  </si>
  <si>
    <t>RUA DOS ITALIANOS ESQUINA COM A RUA SOLON</t>
  </si>
  <si>
    <t>-23.5250237305063</t>
  </si>
  <si>
    <t>-46.6434575099729</t>
  </si>
  <si>
    <t>RUA DOS ITALIANOS ESQUINA COM A RUA TENENTE PENA</t>
  </si>
  <si>
    <t>-23.5266274557517</t>
  </si>
  <si>
    <t>-46.6428471727319</t>
  </si>
  <si>
    <t>RUA NEWTON PRADO ESQUINA COM A RUA BARRA DO TIBAJI</t>
  </si>
  <si>
    <t>-23.5225253963813</t>
  </si>
  <si>
    <t>-46.6409746577857</t>
  </si>
  <si>
    <t>RUA SOLON ESQUINA COM RUA VISCONDE DE TAUNAY</t>
  </si>
  <si>
    <t>-23.5267681285816</t>
  </si>
  <si>
    <t>-46.6469753819813</t>
  </si>
  <si>
    <t>RUA MAMORE ESQUINA COM A RUA DA GRACA</t>
  </si>
  <si>
    <t>2020-11-27</t>
  </si>
  <si>
    <t>-23.5256896413932</t>
  </si>
  <si>
    <t>-46.6408178512474</t>
  </si>
  <si>
    <t>RUA DA CANTAREIRA ESQUINA COM A RUA SAO CAETANO</t>
  </si>
  <si>
    <t>2021-10-15</t>
  </si>
  <si>
    <t>-23.5356252001559</t>
  </si>
  <si>
    <t>-46.6273270762926</t>
  </si>
  <si>
    <t>RUA DO AREAL DEFRONTE A RUA TENENTE PENA</t>
  </si>
  <si>
    <t>-23.5261690992725</t>
  </si>
  <si>
    <t>-46.6413408306897</t>
  </si>
  <si>
    <t>RUA TRES RIOS ESQUINA COM A RUA AFONSO PENA</t>
  </si>
  <si>
    <t>-23.5298027127732</t>
  </si>
  <si>
    <t>-46.634335197706</t>
  </si>
  <si>
    <t>PRACA CORONEL FERNANDO PRESTES     EM FRENTE AO QUARTEL DO COMANDO GERAL</t>
  </si>
  <si>
    <t>2020-08-15</t>
  </si>
  <si>
    <t>-23.5304920493802</t>
  </si>
  <si>
    <t>-46.6335452540375</t>
  </si>
  <si>
    <t>PRACA CORONEL FERNANDO PRESTES ESQUINA COM A AVENIDA TIRADENTES 2500 SAIDA DO METRO</t>
  </si>
  <si>
    <t>-23.5306209738139</t>
  </si>
  <si>
    <t>-46.6326402457435</t>
  </si>
  <si>
    <t>RUA DA GRACA ESQUINA COM A RUA SILVA PINTO</t>
  </si>
  <si>
    <t>-23.52854136504</t>
  </si>
  <si>
    <t>-46.639178874126</t>
  </si>
  <si>
    <t>RUA NEWTON PRADO ESQUINA COM A RUA JULIO CONCEICAO</t>
  </si>
  <si>
    <t>-23.5262469854581</t>
  </si>
  <si>
    <t>-46.6392601361286</t>
  </si>
  <si>
    <t>RUA GUARANI ESQUINA COM A RUA ANTONIO CORUJA</t>
  </si>
  <si>
    <t>-23.5275983478476</t>
  </si>
  <si>
    <t>-46.6374799313284</t>
  </si>
  <si>
    <t>AVENIDA TIRADENTES PROXIMO A ESQUINA DA RUA JORGE MIRANDA</t>
  </si>
  <si>
    <t>2020-08-05</t>
  </si>
  <si>
    <t>-23.5312799374554</t>
  </si>
  <si>
    <t>-46.6318752730949</t>
  </si>
  <si>
    <t>RUA JULIO CONCEICAO ESQUINA COM A RUA DOS ITALIANOS</t>
  </si>
  <si>
    <t>-23.5276488981182</t>
  </si>
  <si>
    <t>-46.6420332125497</t>
  </si>
  <si>
    <t>RUA RIBEIRO DE LIMA ESQUINA COM A RUA JOSE PAULINO</t>
  </si>
  <si>
    <t>-23.5313178780063</t>
  </si>
  <si>
    <t>-46.6386935598588</t>
  </si>
  <si>
    <t>RUA PRATES PROXIMO A  ESQUINA COM A RUA RIBEIRO DE LIMA</t>
  </si>
  <si>
    <t>-23.5315524564396</t>
  </si>
  <si>
    <t>-46.6367452540248</t>
  </si>
  <si>
    <t>RUA ANHAIA ESQUINA COM A RUA SILVA PINTO</t>
  </si>
  <si>
    <t>-23.529767826909</t>
  </si>
  <si>
    <t>-46.641905297912</t>
  </si>
  <si>
    <t>RUA CARMO CINTRA ESQUINA COM A RUA JOSE PAULINO</t>
  </si>
  <si>
    <t>-23.5304374959912</t>
  </si>
  <si>
    <t>-46.6395163749955</t>
  </si>
  <si>
    <t>RUA DA GRACA  ESQUINA COM A RUA JULIO CONCEICAO</t>
  </si>
  <si>
    <t>-23.5265911525156</t>
  </si>
  <si>
    <t>-46.6400464722152</t>
  </si>
  <si>
    <t>RUA AMAZONAS ESQUINA COM A RUA TRES RIOS</t>
  </si>
  <si>
    <t>-23.5296029903997</t>
  </si>
  <si>
    <t>-46.6351793092194</t>
  </si>
  <si>
    <t>RUA DOS CLERIGOS ESQUINA COM A RUA SAO LAZARO</t>
  </si>
  <si>
    <t>-23.5365114169407</t>
  </si>
  <si>
    <t>-46.6287273143606</t>
  </si>
  <si>
    <t>RUA SAO LAZARO ESQUINA COM A RUA JOAO TEODORO</t>
  </si>
  <si>
    <t>-23.5338707900321</t>
  </si>
  <si>
    <t>-46.6276285012384</t>
  </si>
  <si>
    <t>RUA JULIO CONCEICAO ESQUINA COM A RUA TALMUD THORA</t>
  </si>
  <si>
    <t>-23.5258813144182</t>
  </si>
  <si>
    <t>-46.6384255109794</t>
  </si>
  <si>
    <t>RUA JULIO CONCEICAO ESQUINA COM A RUA ANHAIA</t>
  </si>
  <si>
    <t>2021-10-12</t>
  </si>
  <si>
    <t>-23.5281891843746</t>
  </si>
  <si>
    <t>-46.6427615663616</t>
  </si>
  <si>
    <t>RUA LUBAVITCH ESQUINA COM A RUA DA GRACA</t>
  </si>
  <si>
    <t>-23.5298051179851</t>
  </si>
  <si>
    <t>-46.6385020609164</t>
  </si>
  <si>
    <t>RUA NEWTON PRADO ESQUINA COM A RUA SILVA PINTO</t>
  </si>
  <si>
    <t>-23.5273035681546</t>
  </si>
  <si>
    <t>-46.6386868128792</t>
  </si>
  <si>
    <t>RUA ECONOMIZADORA ESQUINA COM A RUA SAO CAETANO</t>
  </si>
  <si>
    <t>-23.5356508488196</t>
  </si>
  <si>
    <t>-46.6266442281111</t>
  </si>
  <si>
    <t>RUA DOS CLERIGOS ESQUINA COM A RUA POSSIDONIO INACIO</t>
  </si>
  <si>
    <t>-23.5366708094533</t>
  </si>
  <si>
    <t>-46.6281315324156</t>
  </si>
  <si>
    <t>RUA DJALMA DUTRA ESQUINA COM A RUA SAO CAETANO</t>
  </si>
  <si>
    <t>-23.5352240667401</t>
  </si>
  <si>
    <t>-46.6292623145645</t>
  </si>
  <si>
    <t>RUA SILVA PINTO ESQUINA COM A RUA PROFESSOR CESARE LOMBROSO</t>
  </si>
  <si>
    <t>-23.5298129400689</t>
  </si>
  <si>
    <t>-46.6414735370416</t>
  </si>
  <si>
    <t>RUA TRES RIOS ESQUINA COM A RUA CORREIA DE MELO</t>
  </si>
  <si>
    <t>-23.5290911626149</t>
  </si>
  <si>
    <t>-46.6370022667089</t>
  </si>
  <si>
    <t>RUA TRES RIOS ESQUINA COM A RUA PRATES</t>
  </si>
  <si>
    <t>-23.5294203645614</t>
  </si>
  <si>
    <t>-46.6357278608295</t>
  </si>
  <si>
    <t>RUA SAO CAETANO ESQUINA COM A RUA DUTRA RODRIGUES</t>
  </si>
  <si>
    <t>-23.5345305153279</t>
  </si>
  <si>
    <t>-46.6316955633796</t>
  </si>
  <si>
    <t>RUA DOUTOR JORGE MIRANDA ESQUINA COM A RUA GUILHERME MAW</t>
  </si>
  <si>
    <t>-23.5319224287059</t>
  </si>
  <si>
    <t>-46.6291030434766</t>
  </si>
  <si>
    <t>AVENIDA TIRADENTES ESQUINA COM A RIBEIRO DE LIMA   AO LADO DO TOTEM DA PM</t>
  </si>
  <si>
    <t>-23.5320941165126</t>
  </si>
  <si>
    <t>-46.6329699307344</t>
  </si>
  <si>
    <t>RUA JOAO TEODORO ESQUINA COM A RUA PEDRO ALVARES CABRAL</t>
  </si>
  <si>
    <t>-23.5343182623121</t>
  </si>
  <si>
    <t>-46.6256971326382</t>
  </si>
  <si>
    <t>RUA TRES RIOS ESQUINA COM A RUA LUBAVITCH</t>
  </si>
  <si>
    <t>-23.5288480963914</t>
  </si>
  <si>
    <t>-46.6379254913245</t>
  </si>
  <si>
    <t>RUA NEWTON PRADO ESQUINA COM A RUA MAMORE</t>
  </si>
  <si>
    <t>-23.5252154377477</t>
  </si>
  <si>
    <t>-46.6394255675399</t>
  </si>
  <si>
    <t>RUA TALMUD THORA ESQUINA COM A RUA MARMORE</t>
  </si>
  <si>
    <t>-23.5249747045165</t>
  </si>
  <si>
    <t>-46.6389022344286</t>
  </si>
  <si>
    <t>RUA BANDEIRANTES ESQUINA COM A RUA AFONSO PENA</t>
  </si>
  <si>
    <t>-23.5283401878176</t>
  </si>
  <si>
    <t>-46.6335977098017</t>
  </si>
  <si>
    <t>RUA DOM ANTONIO DE MELO ESQUINA COM A RUA SAO CAETANO</t>
  </si>
  <si>
    <t>-23.5346460359962</t>
  </si>
  <si>
    <t>-46.63102611212</t>
  </si>
  <si>
    <t>RUA JOAO TEODORO ESQUINA COM A RUA DUTRA RODRIGUES</t>
  </si>
  <si>
    <t>-23.5329708642131</t>
  </si>
  <si>
    <t>-46.6312716003458</t>
  </si>
  <si>
    <t>RUA DOS BANDEIRANTES ESQUINA COM A RUA PRATES</t>
  </si>
  <si>
    <t>-23.5277813685164</t>
  </si>
  <si>
    <t>-46.6352362271543</t>
  </si>
  <si>
    <t>RUA JOSE PAULINO ESQUINA COM A RUA JULIO CONCEICAO</t>
  </si>
  <si>
    <t>-23.5274141811505</t>
  </si>
  <si>
    <t>-46.6411838104272</t>
  </si>
  <si>
    <t>RUA AIMORES ESQUINA COM A RUA CARMO CINTRA</t>
  </si>
  <si>
    <t>-23.5308301168557</t>
  </si>
  <si>
    <t>-46.6398322586823</t>
  </si>
  <si>
    <t>-23.5316821716014</t>
  </si>
  <si>
    <t>-46.6387794083936</t>
  </si>
  <si>
    <t>RUA RIBEIRO DE LIMA 715 DEFRONTE A RUA AIMORES</t>
  </si>
  <si>
    <t>-23.5320445360159</t>
  </si>
  <si>
    <t>-46.6393420860559</t>
  </si>
  <si>
    <t>RUA PRATES ESQUINA COM A RUA JOSE PAULINO</t>
  </si>
  <si>
    <t>-23.5335937287303</t>
  </si>
  <si>
    <t>-46.6373515752717</t>
  </si>
  <si>
    <t>RUA ALFREDO MAIA 106 PROXIMO AO PORTAO DO CENTRO DE MATERIAL BELICO</t>
  </si>
  <si>
    <t>2020-11-24</t>
  </si>
  <si>
    <t>-23.5305623524657</t>
  </si>
  <si>
    <t>-46.6292594612274</t>
  </si>
  <si>
    <t>RUA JOAO TEODORO ESQUINA COM A AVENIDA TIRADENTES NO CANTEIRO CENTRAL AO LADO DO BATALHAO TOBIAS DE AGUIAR</t>
  </si>
  <si>
    <t>-23.5324490622227</t>
  </si>
  <si>
    <t>-46.6323300035488</t>
  </si>
  <si>
    <t>AVENIDA TIRADENTES ESQUINA COM A RUA JOAO TEODORO NA CALCADA DAS LOJAS DE UNIFORME</t>
  </si>
  <si>
    <t>-23.5325717239122</t>
  </si>
  <si>
    <t>-46.6323900011142</t>
  </si>
  <si>
    <t>RUA AIMORES PROXIMO DA ESQUINA COM A RUA SILVA PINTO</t>
  </si>
  <si>
    <t>SEM VISTORIA</t>
  </si>
  <si>
    <t>-23.5295545516408</t>
  </si>
  <si>
    <t>-46.6407678068822</t>
  </si>
  <si>
    <t>PONTE PEQUENA</t>
  </si>
  <si>
    <t>BICA</t>
  </si>
  <si>
    <t>AVENIDA DO ESTADO 681     SABESP     BICA DE ENCHIMENTO RAPIDO</t>
  </si>
  <si>
    <t>2020-08-25</t>
  </si>
  <si>
    <t>-23.5219860810608</t>
  </si>
  <si>
    <t>-46.6337454363367</t>
  </si>
  <si>
    <t>RUA PRATES DEFRONTE A RUA MAMORE</t>
  </si>
  <si>
    <t>-23.5256923551022</t>
  </si>
  <si>
    <t>-46.6345253260049</t>
  </si>
  <si>
    <t>RUA PEDRO VICENTE 1 ESTACAO ARMENIA METRO</t>
  </si>
  <si>
    <t>-23.5251793962471</t>
  </si>
  <si>
    <t>-46.6286667819213</t>
  </si>
  <si>
    <t>AVENIDA DO ESTADO 561 NO INTERIOR DO COMPLEXO ADMINISTRATIVO DA SABESP PONTE PEQUENA</t>
  </si>
  <si>
    <t>-23.5201059388089</t>
  </si>
  <si>
    <t>-46.6355650295736</t>
  </si>
  <si>
    <t>AVENIDA DO ESTADO 681 NO INTERIOR DO COMPLEXO DA SABESP PONTE PEQUENA DEFRONTE AO ESPACO VIDA</t>
  </si>
  <si>
    <t>-23.5203411554924</t>
  </si>
  <si>
    <t>-46.6343130752909</t>
  </si>
  <si>
    <t>AVENIDA CRUZEIRO DO SUL ESQUINA COM A RUA LUIS PACHECO</t>
  </si>
  <si>
    <t>-23.5260584176602</t>
  </si>
  <si>
    <t>-46.6258048902718</t>
  </si>
  <si>
    <t>AVENIDA SANTOS DUMONT ESQUINA COM A RUA JORGE VELHO</t>
  </si>
  <si>
    <t>-23.5269033702564</t>
  </si>
  <si>
    <t>-46.6316107852171</t>
  </si>
  <si>
    <t>RUA EDUARDO CHAVES ESQUINA COM A RUA GUAPORE</t>
  </si>
  <si>
    <t>-23.5233288791418</t>
  </si>
  <si>
    <t>-46.6284410570278</t>
  </si>
  <si>
    <t>AVENIDA DO ESTADO ESQUINA COM A RUA TAPAJOS</t>
  </si>
  <si>
    <t>2020-08-11</t>
  </si>
  <si>
    <t>-23.5280342605653</t>
  </si>
  <si>
    <t>-46.6274744725772</t>
  </si>
  <si>
    <t>RUA ALFREDO MAIA ESQUINA COM A RUA DEOCLECIANA</t>
  </si>
  <si>
    <t>-23.5287272594011</t>
  </si>
  <si>
    <t>-46.6290213993856</t>
  </si>
  <si>
    <t>AVENIDA DO ESTADO ESQUINA COM A AVENIDA SANTOS DUMONT</t>
  </si>
  <si>
    <t>-23.5237439013223</t>
  </si>
  <si>
    <t>-46.6310449578951</t>
  </si>
  <si>
    <t>RUA GUAPORE ESQUINA COM A AVENIDA TIRADENTES</t>
  </si>
  <si>
    <t>-23.5228851972066</t>
  </si>
  <si>
    <t>-46.6296844172091</t>
  </si>
  <si>
    <t>AVENIDA DO ESTADO 680 SENTIDO CENTRO</t>
  </si>
  <si>
    <t>-23.5226645060561</t>
  </si>
  <si>
    <t>-46.6342355206491</t>
  </si>
  <si>
    <t>RUA FREI ANTONIO SANTANA GALVAO ESQUINA COM A AVENIDA TIRADENTES</t>
  </si>
  <si>
    <t>2020-11-20</t>
  </si>
  <si>
    <t>-23.5280223352817</t>
  </si>
  <si>
    <t>-46.6308938901968</t>
  </si>
  <si>
    <t>RUA CORONEL DIOGO 275 NO INTERIOR DO PREDIO DA SABESP AO LADO PORTAO PRINCIPAL PELA CORONEL DIOGO</t>
  </si>
  <si>
    <t>2021-10-26</t>
  </si>
  <si>
    <t>-23.5781793818544</t>
  </si>
  <si>
    <t>-46.6245203840469</t>
  </si>
  <si>
    <t>RUA CORONEL DIOGO NO INTERIOR DO PREDIO DA SABESP</t>
  </si>
  <si>
    <t>-23.5778307881488</t>
  </si>
  <si>
    <t>-46.6248707422095</t>
  </si>
  <si>
    <t>RUA CORONEL DIOGO NO INTERIOR DA SABESP</t>
  </si>
  <si>
    <t>-23.5775024441549</t>
  </si>
  <si>
    <t>-46.6244121318178</t>
  </si>
  <si>
    <t>AVENIDA LINS DE VASCONCELOS ESQUINA COM A RUA HEITOR PEIXOTO</t>
  </si>
  <si>
    <t>-23.575109162347</t>
  </si>
  <si>
    <t>-46.6231038928515</t>
  </si>
  <si>
    <t>RUA BASILIO DA CUNHA ESQUINA COM A AVENIDA LINS DE VASCONCELOS</t>
  </si>
  <si>
    <t>-23.5767839706719</t>
  </si>
  <si>
    <t>-46.6234873278363</t>
  </si>
  <si>
    <t>AVENIDA LINS DE VASCONCELOS PROXIMO A ESQUINA DA RUA HEITOR PEIXOTO</t>
  </si>
  <si>
    <t>-23.5753105567141</t>
  </si>
  <si>
    <t>-46.6234856624928</t>
  </si>
  <si>
    <t>RUA EULALIA ASSUNCAO ESQUINA COM A RUA FRANCISCO JUSTINO DE AZEVEDO</t>
  </si>
  <si>
    <t>-23.5621110166488</t>
  </si>
  <si>
    <t>-46.6238290721053</t>
  </si>
  <si>
    <t>RUA CORONEL DIOGO ESQUINA COM RUA INGLES DE SOUSA</t>
  </si>
  <si>
    <t>-23.5780925788463</t>
  </si>
  <si>
    <t>-46.6223939444568</t>
  </si>
  <si>
    <t>RUA SENADOR CARLOS TEIXEIRA DE CARVALHO ESQUINA COM  A RUA TEODURETO SOUTO</t>
  </si>
  <si>
    <t>-23.5693905139163</t>
  </si>
  <si>
    <t>-46.6208504172598</t>
  </si>
  <si>
    <t>RUA SENADOR CARLOS TEIXEIRA DE CARVALHO ESQUINA COM A AVENIDA LINS DE VASCONCELOS</t>
  </si>
  <si>
    <t>-23.5695152210914</t>
  </si>
  <si>
    <t>-46.6219780518577</t>
  </si>
  <si>
    <t>RUA BACKER ESQUINA COM A RUA TEODURETO SOUTO</t>
  </si>
  <si>
    <t>-23.5670343442097</t>
  </si>
  <si>
    <t>-46.6201032722618</t>
  </si>
  <si>
    <t>RUA BACKER DEFRONTE A RUA IDA</t>
  </si>
  <si>
    <t>-23.568139019595</t>
  </si>
  <si>
    <t>-46.6189015892967</t>
  </si>
  <si>
    <t>AVENIDA LINS DE VASCONCELOS ESQUINA COM A RUA DOM DUARTE LEOPOLDO</t>
  </si>
  <si>
    <t>-23.5703704548448</t>
  </si>
  <si>
    <t>-46.6224877677978</t>
  </si>
  <si>
    <t>AVENIDA LINS DE VASCONCELOS ESQUINA COM A RUA ALBUQUERQUE MARANHAO</t>
  </si>
  <si>
    <t>-23.5646394298681</t>
  </si>
  <si>
    <t>-46.6209409468876</t>
  </si>
  <si>
    <t>RUA EIRAS GARCIA 119 DEFRONTE A RUA ITALIA FAUSTO</t>
  </si>
  <si>
    <t>-23.5748644343671</t>
  </si>
  <si>
    <t>-46.6191481686096</t>
  </si>
  <si>
    <t>RUA HEITOR PEIXOTO ESQUINA COM A RUA EIRAS GARCIA</t>
  </si>
  <si>
    <t>-23.5757438370567</t>
  </si>
  <si>
    <t>-46.6194809172855</t>
  </si>
  <si>
    <t>RUA GAMA CERQUEIRA ESQUINA COM A RUA ANTONIO TAVARES</t>
  </si>
  <si>
    <t>-23.572343541015</t>
  </si>
  <si>
    <t>-46.6202603841568</t>
  </si>
  <si>
    <t>AVENIDA LINS DE VASCONCELOS ESQUINA COM A RUA ARANTES</t>
  </si>
  <si>
    <t>-23.573206367391</t>
  </si>
  <si>
    <t>-46.622750015933</t>
  </si>
  <si>
    <t>AVENIDA LINS DE VASCONCELOS ESQUINA COM A RUA BACKER</t>
  </si>
  <si>
    <t>-23.5667618899892</t>
  </si>
  <si>
    <t>-46.6214371257222</t>
  </si>
  <si>
    <t>RUA LUIS GAMA DEFRONTE A RUA PROFESSOR DEMOSTENES BATISTA FIGUEIRA MARQUES</t>
  </si>
  <si>
    <t>-23.5581963173188</t>
  </si>
  <si>
    <t>-46.6218492913701</t>
  </si>
  <si>
    <t>RUA CLIMACO BARBOSA PROXIMO DA ESQUINA COM A RUA BARAO DE JAGUARA</t>
  </si>
  <si>
    <t>-23.5631779284512</t>
  </si>
  <si>
    <t>-46.6200634481082</t>
  </si>
  <si>
    <t>AVENIDA PRESIDENTE WILSON ESQUINA COM A RUA SERRA DE PARACAINA</t>
  </si>
  <si>
    <t>-23.5593988068634</t>
  </si>
  <si>
    <t>-46.6091763837885</t>
  </si>
  <si>
    <t>RUA PRESIDENTE BARAO DE GUAJARA ESQUINA COM A AVENIDA PRESIDENTE WILSON</t>
  </si>
  <si>
    <t>-23.5652486921901</t>
  </si>
  <si>
    <t>-46.6063654820087</t>
  </si>
  <si>
    <t>RUA VICENTE DE CARVALHO ESQUINA COM A RUA JOSE BENTO</t>
  </si>
  <si>
    <t>-23.5625171575414</t>
  </si>
  <si>
    <t>-46.6159058648241</t>
  </si>
  <si>
    <t>RUA DOS PESCADORES ESQUINA COM A RUA DONA ANA NERI</t>
  </si>
  <si>
    <t>-23.5600518279417</t>
  </si>
  <si>
    <t>-46.6161143693049</t>
  </si>
  <si>
    <t>RUA ODORICO MENDES ESQUINA COM A RUA BARAO DE JAGUARA</t>
  </si>
  <si>
    <t>-23.556322606765</t>
  </si>
  <si>
    <t>-46.6174213215896</t>
  </si>
  <si>
    <t>RUA FREIRE DA SILVA ESQUINA COM A RUA DA INDEPENDENCIA</t>
  </si>
  <si>
    <t>-23.5669811870632</t>
  </si>
  <si>
    <t>-46.6171868090424</t>
  </si>
  <si>
    <t>RUA DA MOOCA ESQUINA COM A RUA LUIS GAMA</t>
  </si>
  <si>
    <t>-23.5536780118045</t>
  </si>
  <si>
    <t>-46.6226798277411</t>
  </si>
  <si>
    <t>RUA OSCAR HORTA ESQUINA COM A RUA ODORICO MENDES</t>
  </si>
  <si>
    <t>-23.5565417945607</t>
  </si>
  <si>
    <t>-46.6190396946161</t>
  </si>
  <si>
    <t>RUA BARAO DE JARAGUA ESQUINA COM A RUA JERONIMO DE ALBUQUERQUE</t>
  </si>
  <si>
    <t>-23.5598306423613</t>
  </si>
  <si>
    <t>-46.618687898978</t>
  </si>
  <si>
    <t>AVENIDA DO ESTADO ESQUINA COM A RUA PRESIDENTE BARAO DE GUAJARA</t>
  </si>
  <si>
    <t>-23.5665311477956</t>
  </si>
  <si>
    <t>-46.609410685785</t>
  </si>
  <si>
    <t>AVENIDA PRESIDENTE WILSON 274  PORTAO 11 DA ANTIGA ANTARTICA</t>
  </si>
  <si>
    <t>-23.5573928689683</t>
  </si>
  <si>
    <t>-46.6098560914228</t>
  </si>
  <si>
    <t>AVENIDA PRESIDENTE WILSON 518 AO LADO DO PORTAO 3 DA ANTIGA ANTARTICA</t>
  </si>
  <si>
    <t>-23.5581606172447</t>
  </si>
  <si>
    <t>-46.6093221107055</t>
  </si>
  <si>
    <t>AVENIDA PRESIDENTE WILSON ESQUINA COM A RUA PRESIDENTE COUTO DE ALMEIDA</t>
  </si>
  <si>
    <t>-23.5645007291613</t>
  </si>
  <si>
    <t>-46.6067045410827</t>
  </si>
  <si>
    <t>RUA PRESIDENTE SOARES BRANDAO ESQUINA COM A AVENIDA PRESIDENTE WILSON</t>
  </si>
  <si>
    <t>-23.566396944892</t>
  </si>
  <si>
    <t>-46.6057584257173</t>
  </si>
  <si>
    <t>RUA SILVEIRA DA MOTA ESQUINA COM A RUA DONA ANA NERI</t>
  </si>
  <si>
    <t>-23.5611925898126</t>
  </si>
  <si>
    <t>-46.6166421190162</t>
  </si>
  <si>
    <t>AVENIDA DO ESTADO ESQUINA COM A RUA DONA ANA NERI</t>
  </si>
  <si>
    <t>-23.5589603311679</t>
  </si>
  <si>
    <t>-46.6152975835938</t>
  </si>
  <si>
    <t>RUA CONSELHEIRO JOAO ALFREDO ESQUINA COM A RUA CANAVIEIRAS</t>
  </si>
  <si>
    <t>-23.5564737718529</t>
  </si>
  <si>
    <t>-46.6133108773644</t>
  </si>
  <si>
    <t>RUA DONA ANA NERI ESQUINA COM A RUA DA MOOCA ENFRENTE AO POSTO</t>
  </si>
  <si>
    <t>-23.5542981389973</t>
  </si>
  <si>
    <t>-46.6143319520074</t>
  </si>
  <si>
    <t>RUA OSCAR HORTA ESQUINA COM A RUA DA MOOCA</t>
  </si>
  <si>
    <t>-23.5538876912269</t>
  </si>
  <si>
    <t>-46.6187399029747</t>
  </si>
  <si>
    <t>RUA DOM BOSCO ESQUINA COM A RUA BARAO DE JARAGUA</t>
  </si>
  <si>
    <t>-23.5554141626005</t>
  </si>
  <si>
    <t>-46.617547708765</t>
  </si>
  <si>
    <t>RUA CESARIO RAMALHO ESQUINA COM A RUA DOS ALPES</t>
  </si>
  <si>
    <t>-23.5616411994704</t>
  </si>
  <si>
    <t>-46.620650106821</t>
  </si>
  <si>
    <t>RUA JUSTO AZAMBUJA ESQUINA COM A RUA DOS LAVAPES</t>
  </si>
  <si>
    <t>-23.5617555698854</t>
  </si>
  <si>
    <t>-46.6241130843041</t>
  </si>
  <si>
    <t>RUA DA INDEPENDENCIA ESQUINA COM A RUA JOSE BENTO</t>
  </si>
  <si>
    <t>-23.5663757338186</t>
  </si>
  <si>
    <t>-46.6181292947548</t>
  </si>
  <si>
    <t>RUA CLIMACO BARBOSA ESQUINA COM A RUA ESTEFANO</t>
  </si>
  <si>
    <t>-23.5635115921562</t>
  </si>
  <si>
    <t>-46.619254991655</t>
  </si>
  <si>
    <t>RUA ANTONIO DE SA ESQUINA COM A AVENIDA DO ESTADO</t>
  </si>
  <si>
    <t>-23.5544397707277</t>
  </si>
  <si>
    <t>-46.6252525943689</t>
  </si>
  <si>
    <t>RUA CESARIO RAMALHO ESQUINA COM A RUA JUSTO AZAMBUJA</t>
  </si>
  <si>
    <t>-23.5606378067589</t>
  </si>
  <si>
    <t>-46.6237148118099</t>
  </si>
  <si>
    <t>RUA WANDENKOLK ESQUINA COM A RUA DO LIRISMO</t>
  </si>
  <si>
    <t>-23.5542469635307</t>
  </si>
  <si>
    <t>-46.6238384218491</t>
  </si>
  <si>
    <t>RUA DOM BOSCO ESQUINA COM A RUA LUIS GAMA</t>
  </si>
  <si>
    <t>-23.5552606674124</t>
  </si>
  <si>
    <t>-46.6223009109471</t>
  </si>
  <si>
    <t>AVENIDA PRESIDENTE WILSON 275 AO LADO DO PREDIO DA AMBEV</t>
  </si>
  <si>
    <t>-23.5570203292943</t>
  </si>
  <si>
    <t>-46.6102378532151</t>
  </si>
  <si>
    <t>AVENIDA PAULISTA ESQUINA COM A  RUA DA CONSOLACAO</t>
  </si>
  <si>
    <t>-23.5553508116355</t>
  </si>
  <si>
    <t>-46.6629139625684</t>
  </si>
  <si>
    <t>AVENIDA PAULISTA ESQUINA COM A  RUA CONSOLACAO SENTIDO RUA BELA CINTRA E RUA DIREITA</t>
  </si>
  <si>
    <t>-23.5557509638188</t>
  </si>
  <si>
    <t>-46.6626026241876</t>
  </si>
  <si>
    <t>RUA BELA CINTRA ESQUINA COM AVENIDA PAULISTA</t>
  </si>
  <si>
    <t>2021-06-22</t>
  </si>
  <si>
    <t>-23.5564322630706</t>
  </si>
  <si>
    <t>-46.6618277509993</t>
  </si>
  <si>
    <t>RUA BELA CINTRA 686</t>
  </si>
  <si>
    <t>-23.5539396960187</t>
  </si>
  <si>
    <t>-46.6587723541256</t>
  </si>
  <si>
    <t>AVENIDA PAULISTA 2160 ESQUINA COM RUA AUGUSTA</t>
  </si>
  <si>
    <t>-23.5580095445875</t>
  </si>
  <si>
    <t>-46.6601962582154</t>
  </si>
  <si>
    <t>RUA DA CONSOLACAO 2518 PROXIMO A ESQUINA COM A RUA VINICIUS DE MORAES</t>
  </si>
  <si>
    <t>-23.5558025472306</t>
  </si>
  <si>
    <t>-46.6635224278932</t>
  </si>
  <si>
    <t>RUA CORONEL JOSE EUSEBIO ESQUINA COM A TRAVESSA DONA PAULA</t>
  </si>
  <si>
    <t>2021-06-18</t>
  </si>
  <si>
    <t>-23.551481974164</t>
  </si>
  <si>
    <t>-46.6594240625956</t>
  </si>
  <si>
    <t>RUA HADDOCK LOBO ESQUINA COM A RUA FERNANDO DE ALBUQUERQUE</t>
  </si>
  <si>
    <t>2021-06-23</t>
  </si>
  <si>
    <t>-23.5543344951264</t>
  </si>
  <si>
    <t>-46.6575906032402</t>
  </si>
  <si>
    <t>RUA MACEIO ESQUINA COM A AV ANGELICA</t>
  </si>
  <si>
    <t>-23.5524043706265</t>
  </si>
  <si>
    <t>-46.6608996336434</t>
  </si>
  <si>
    <t>RUA BELA CINTRA DEFRONTE A RUA PEDRO TAQUES</t>
  </si>
  <si>
    <t>-23.5529091272086</t>
  </si>
  <si>
    <t>-46.656372028192</t>
  </si>
  <si>
    <t>RUA FERNANDO DE ALBUQUERQUE ESQUINA COM A RUA BELA CINTRA</t>
  </si>
  <si>
    <t>-23.5535198261216</t>
  </si>
  <si>
    <t>-46.658067110677</t>
  </si>
  <si>
    <t>-23.5534102770744</t>
  </si>
  <si>
    <t>-46.6586028563608</t>
  </si>
  <si>
    <t>RUA BELA CINTRA ESQUINA COM A RUA ANTONIO CARLOS</t>
  </si>
  <si>
    <t>-23.5548958674372</t>
  </si>
  <si>
    <t>-46.6599418363885</t>
  </si>
  <si>
    <t>RUA ANTONIO CARLOS ESQUINA COM A RUA HADDOCK LOBO</t>
  </si>
  <si>
    <t>-23.5557005720557</t>
  </si>
  <si>
    <t>-46.6591173142077</t>
  </si>
  <si>
    <t>RUA PEIXOTO GOMIDE ESQUINA COM A RUA AUGUSTA</t>
  </si>
  <si>
    <t>-23.5541870194507</t>
  </si>
  <si>
    <t>-46.6558030681409</t>
  </si>
  <si>
    <t>RUA ANTONIO CARLOS ESQUINA COM RUA DA CONSOLCAO</t>
  </si>
  <si>
    <t>-23.5540399255151</t>
  </si>
  <si>
    <t>-46.6605643501526</t>
  </si>
  <si>
    <t>RUA LUIS COELHO ESQUINA COM A RUA AUGUSTA</t>
  </si>
  <si>
    <t>-23.5571378185834</t>
  </si>
  <si>
    <t>-46.6589274609432</t>
  </si>
  <si>
    <t>RUA LUIS COELHO ESQUINA COM A RUA FREI CANECA</t>
  </si>
  <si>
    <t>-23.5576896428221</t>
  </si>
  <si>
    <t>-46.6578999438619</t>
  </si>
  <si>
    <t>RUA BELA CINTRA ESQUINA COM A RUA LUIS COELHO</t>
  </si>
  <si>
    <t>-23.5555713333509</t>
  </si>
  <si>
    <t>-46.6607177176053</t>
  </si>
  <si>
    <t>RUA PIAUI ESQUINA COM A RUA ARACAJU</t>
  </si>
  <si>
    <t>-23.5438588984152</t>
  </si>
  <si>
    <t>-46.6608196130952</t>
  </si>
  <si>
    <t>RUA RIO DE JANEIRO ESQUINA COM A RUA PERNAMBUCO</t>
  </si>
  <si>
    <t>-23.5420255455134</t>
  </si>
  <si>
    <t>-46.6623765314733</t>
  </si>
  <si>
    <t>RUA ARACAJU ESQUINA COM A RUA PIAUI</t>
  </si>
  <si>
    <t>-23.5438063263355</t>
  </si>
  <si>
    <t>-46.6607888648624</t>
  </si>
  <si>
    <t>RUA ALAGOAS 1020</t>
  </si>
  <si>
    <t>-23.5439603383798</t>
  </si>
  <si>
    <t>-46.6636826869416</t>
  </si>
  <si>
    <t>AVENIDA PACAEMBU ESQUINA COM RUA TUPI</t>
  </si>
  <si>
    <t>-23.5403951441143</t>
  </si>
  <si>
    <t>-46.6640654064355</t>
  </si>
  <si>
    <t>AVENIDA HIGIENOPOLIS ESQUINA COM A RUA ARACAJU</t>
  </si>
  <si>
    <t>-23.5423038715851</t>
  </si>
  <si>
    <t>-46.6591863789078</t>
  </si>
  <si>
    <t>AVENIDA HIGIENOPOLIS ESQUINA COM A RUA CONSELHEIRO BROTERO</t>
  </si>
  <si>
    <t>2020-07-21</t>
  </si>
  <si>
    <t>-23.5404615194716</t>
  </si>
  <si>
    <t>-46.6613324409547</t>
  </si>
  <si>
    <t>RUA RIO DE JANEIRO ESQUINA COM A RUA MARANHAO</t>
  </si>
  <si>
    <t>-23.5414091318505</t>
  </si>
  <si>
    <t>-46.6620192873708</t>
  </si>
  <si>
    <t>HIGIENÓPOLIS</t>
  </si>
  <si>
    <t>AVENIDA ANGELICA ESQUINA COM A RUA PARA</t>
  </si>
  <si>
    <t>-23.5489666183387</t>
  </si>
  <si>
    <t>-46.6593978813736</t>
  </si>
  <si>
    <t>RUA SABARA ESQUINA COM A RUA ALAGOAS</t>
  </si>
  <si>
    <t>-23.5478752232832</t>
  </si>
  <si>
    <t>-46.6551521015121</t>
  </si>
  <si>
    <t>AVENIDA HIGIENOPOLIS ESQUINA COM A RUA ITACOLOMI</t>
  </si>
  <si>
    <t>-23.5442910094288</t>
  </si>
  <si>
    <t>-46.6554518403024</t>
  </si>
  <si>
    <t>AVENIDA HIGIENOPOLIS 15</t>
  </si>
  <si>
    <t>-23.5454586026164</t>
  </si>
  <si>
    <t>-46.6524200350463</t>
  </si>
  <si>
    <t>AVENIDA HIGIENOPOLIS ESQUINA COM RUA DOUTOR ALBUQUERQUE LINS</t>
  </si>
  <si>
    <t>-23.5422035216501</t>
  </si>
  <si>
    <t>-46.6587521242624</t>
  </si>
  <si>
    <t>AVENIDA HIGIENOPOLIS ESQUINA COM AVENIDA ANGELICA</t>
  </si>
  <si>
    <t>-23.5436755528763</t>
  </si>
  <si>
    <t>-46.6568568838318</t>
  </si>
  <si>
    <t>RUA BAHIA ESQUINA COM A RUA PIAUI</t>
  </si>
  <si>
    <t>-23.5444554423622</t>
  </si>
  <si>
    <t>-46.6593729727878</t>
  </si>
  <si>
    <t>AVENIDA ANGELICA ESQUINA COM A RUA ALAGOAS</t>
  </si>
  <si>
    <t>-23.5463279732243</t>
  </si>
  <si>
    <t>-46.6582127343554</t>
  </si>
  <si>
    <t>AVENIDA ANGELICA ESQUINA COM A RUA PIAUI     PRACA BUENO AIRES</t>
  </si>
  <si>
    <t>-23.5454501355327</t>
  </si>
  <si>
    <t>-46.6577686266715</t>
  </si>
  <si>
    <t>RUA SABARA ESQUINA COM AVENIDA HIGIENOPOLIS</t>
  </si>
  <si>
    <t>-23.5449235039978</t>
  </si>
  <si>
    <t>-46.6537066904188</t>
  </si>
  <si>
    <t>RUA SERGIPE ESQUINA COM RUA SABARA</t>
  </si>
  <si>
    <t>-23.5487304053001</t>
  </si>
  <si>
    <t>-46.6555832017594</t>
  </si>
  <si>
    <t>RUA ITACOLOMI ESQUINA COM A RUA SERGIPE</t>
  </si>
  <si>
    <t>-23.5482649736236</t>
  </si>
  <si>
    <t>-46.6574217563934</t>
  </si>
  <si>
    <t>-23.5489448916795</t>
  </si>
  <si>
    <t>-46.6591952619749</t>
  </si>
  <si>
    <t>RUA BAHIA ESQUINA COM RUA PARA</t>
  </si>
  <si>
    <t>-23.5482485541494</t>
  </si>
  <si>
    <t>-46.6606461573004</t>
  </si>
  <si>
    <t>RUA MARTINICO PRASO ESQUINA COM A RUA MARTIM FRANCISCO</t>
  </si>
  <si>
    <t>2020-08-18</t>
  </si>
  <si>
    <t>-23.5427704247468</t>
  </si>
  <si>
    <t>-46.6547118614076</t>
  </si>
  <si>
    <t>RUA JAGUARIBE ESQUINA COM RUA AURELIANO COUTINHO</t>
  </si>
  <si>
    <t>-23.541759411033</t>
  </si>
  <si>
    <t>-46.6530139658126</t>
  </si>
  <si>
    <t>RUA MARANHAO 659 ENTRE A RUA ARACAJU E A AVENIDA ANGELICA</t>
  </si>
  <si>
    <t>-23.5437805969338</t>
  </si>
  <si>
    <t>-46.6583661728897</t>
  </si>
  <si>
    <t>PACAEMBU</t>
  </si>
  <si>
    <t>RUA DESEMBARGADOR PAULO PASSALAQUA PROXIMO DA ESQUINA COM A RUA PENAPOLIS</t>
  </si>
  <si>
    <t>-23.5484222310112</t>
  </si>
  <si>
    <t>-46.6663161792303</t>
  </si>
  <si>
    <t>PRACA DAVID BEN GURION ESQUINA COM RUA ITAPEMIRIM</t>
  </si>
  <si>
    <t>-23.549746824474</t>
  </si>
  <si>
    <t>-46.6636082358998</t>
  </si>
  <si>
    <t>RUA ANGATUBA 50</t>
  </si>
  <si>
    <t>-23.5522068282694</t>
  </si>
  <si>
    <t>-46.6642513685935</t>
  </si>
  <si>
    <t>RUA SENADOR JOAO LIRA ESQUINA COM A RUA DEPUTADO FABIO ARANHA ESQUINA</t>
  </si>
  <si>
    <t>-23.5492608631168</t>
  </si>
  <si>
    <t>-46.6708791311491</t>
  </si>
  <si>
    <t>RUA GOIAS 193 AO LADO DA PRACA CINQUENTENARIO DE ISRAEL</t>
  </si>
  <si>
    <t>2021-06-12</t>
  </si>
  <si>
    <t>-23.5497326213683</t>
  </si>
  <si>
    <t>-46.6617938020083</t>
  </si>
  <si>
    <t>RUA ITAJUBA ESQUINA COM A RUA ITAJUBA</t>
  </si>
  <si>
    <t>-23.5511156069273</t>
  </si>
  <si>
    <t>-46.6707889117095</t>
  </si>
  <si>
    <t>VILA BUARQUE</t>
  </si>
  <si>
    <t>RUA DA CONSOLACAO ESQUINA COM A RUA VISCONDE DE OURO PRETO</t>
  </si>
  <si>
    <t>-23.5489639033053</t>
  </si>
  <si>
    <t>-46.6514670853142</t>
  </si>
  <si>
    <t>RUA MARIA BORBA ESQUINA COM A RUA AMARAL GURGEL</t>
  </si>
  <si>
    <t>-23.5470573366964</t>
  </si>
  <si>
    <t>-46.6481497184588</t>
  </si>
  <si>
    <t>RUA JAGUARIBE ESQUINA COM RUA DONA VERIDIANA</t>
  </si>
  <si>
    <t>2020-07-22</t>
  </si>
  <si>
    <t>-23.5417659839105</t>
  </si>
  <si>
    <t>-46.6508103026909</t>
  </si>
  <si>
    <t>RUA ITAMBE ESQUINA COM RUA PIAUI</t>
  </si>
  <si>
    <t>-23.5472182499114</t>
  </si>
  <si>
    <t>-46.6535972272572</t>
  </si>
  <si>
    <t>RUA DA CONSOLACAO 1637 DEFRONTE AO PB CONSOLACAO</t>
  </si>
  <si>
    <t>-23.5514436856928</t>
  </si>
  <si>
    <t>-46.656428585627</t>
  </si>
  <si>
    <t>RUA DA CONSOLACAO ESQUINA COM A RUA MARIA ANTONIA</t>
  </si>
  <si>
    <t>-23.5478198114589</t>
  </si>
  <si>
    <t>-46.6494540140076</t>
  </si>
  <si>
    <t>RUA DONA ANTONIA DE QUEIROS 218 NO INTERIOR DO PREDIO DA SABESP</t>
  </si>
  <si>
    <t>-23.5513137747127</t>
  </si>
  <si>
    <t>-46.6523809781128</t>
  </si>
  <si>
    <t>RUA MARQUES DE ITU ESQUINA COM A RUA DONA VERIDIANA</t>
  </si>
  <si>
    <t>-23.5438482045659</t>
  </si>
  <si>
    <t>-46.6515402711322</t>
  </si>
  <si>
    <t>RUA DOUTOR CESARIO MOTA JUNIOR ESQUINA COM A RUA MAJOR SERTORIO</t>
  </si>
  <si>
    <t>-23.5452207676229</t>
  </si>
  <si>
    <t>-46.6490729889073</t>
  </si>
  <si>
    <t>-23.5452262837138</t>
  </si>
  <si>
    <t>-46.6488381840306</t>
  </si>
  <si>
    <t>RUA JAGUARIBE ESQUINA COM R DR CESARIO MOTA JUNIOR</t>
  </si>
  <si>
    <t>2020-08-02</t>
  </si>
  <si>
    <t>-23.5418541787534</t>
  </si>
  <si>
    <t>-46.6489687984305</t>
  </si>
  <si>
    <t>RUA BELA CINTRA DEFRONTE COM A RUA COSTA</t>
  </si>
  <si>
    <t>-23.552603362586</t>
  </si>
  <si>
    <t>-46.655734508951</t>
  </si>
  <si>
    <t>RUA DONA ANTONIA DE QUEIROS 436 ESQUINA COM A R. DA CONSOLACAO</t>
  </si>
  <si>
    <t>-23.5496975263147</t>
  </si>
  <si>
    <t>-46.6540193601844</t>
  </si>
  <si>
    <t>RUA MARIA ANTONIA ESQUINA COM A RUA DOUTOR VILA NOVA</t>
  </si>
  <si>
    <t>-23.5465422971862</t>
  </si>
  <si>
    <t>-46.6504425321067</t>
  </si>
  <si>
    <t>RUA GRAVATAI ESQUINA COM A RUA CAIO PRADO</t>
  </si>
  <si>
    <t>-23.5491962929074</t>
  </si>
  <si>
    <t>-46.6483682011575</t>
  </si>
  <si>
    <t>RUA GRAVATAI ESQUINA COM A RUA JOAO GUIMARAES ROSA</t>
  </si>
  <si>
    <t>-23.5488594832084</t>
  </si>
  <si>
    <t>-46.6473407325741</t>
  </si>
  <si>
    <t>RUA MARTINICO PRADO ESQUINA COM RUA DONA VERIDIANA</t>
  </si>
  <si>
    <t>2020-09-02</t>
  </si>
  <si>
    <t>-23.542772349079</t>
  </si>
  <si>
    <t>-46.6513364098615</t>
  </si>
  <si>
    <t>RUA PIAUI 107 NO INTERIOR DA VIELA VILINHA DE CASAS DEFRONTE A  CASA 5 NO FUNDO</t>
  </si>
  <si>
    <t>-23.5483334829865</t>
  </si>
  <si>
    <t>-46.6528709124369</t>
  </si>
  <si>
    <t>RUA BELA CINTRA ESQUINA COM A RUA BONA ANTONIA DE QUEIROS</t>
  </si>
  <si>
    <t>-23.5508271096055</t>
  </si>
  <si>
    <t>-46.6532561122451</t>
  </si>
  <si>
    <t>RUA MARIA BORBA ESQUINA COM A RUA DOUTOR CESAR MOTA JUNIOR</t>
  </si>
  <si>
    <t>-23.5471912737574</t>
  </si>
  <si>
    <t>-46.6489157349591</t>
  </si>
  <si>
    <t>ACLIMAÇÃO</t>
  </si>
  <si>
    <t>RUA TOPAZIO ESQUINA COM A AVENIDA DA ACLIMACAO</t>
  </si>
  <si>
    <t>-23.5735735137711</t>
  </si>
  <si>
    <t>-46.6313750839011</t>
  </si>
  <si>
    <t>RUA TOPAZIO ESQUINA COM A RUA ALABASTRO</t>
  </si>
  <si>
    <t>-23.5725773907789</t>
  </si>
  <si>
    <t>-46.6311954368225</t>
  </si>
  <si>
    <t>RUA OLIVEIRA PEIXOTO ESQUINA COM A RUA PAIS DE ANDRADE</t>
  </si>
  <si>
    <t>-23.5702422252673</t>
  </si>
  <si>
    <t>-46.630056637873</t>
  </si>
  <si>
    <t>AVENIDA DA ACLIMACAO ESQUINA COM A RUA ESMERALDA</t>
  </si>
  <si>
    <t>-23.5715552240675</t>
  </si>
  <si>
    <t>-46.6332400859403</t>
  </si>
  <si>
    <t>RUA MARACAI ESQUINA COM A RUA MUNIZ DE SOUZA</t>
  </si>
  <si>
    <t>-23.5713186785461</t>
  </si>
  <si>
    <t>-46.6280843592895</t>
  </si>
  <si>
    <t>AVENIDA TURMALINA ESQUINA COM A RUA ESPIRITO SANTO</t>
  </si>
  <si>
    <t>-23.5694841071662</t>
  </si>
  <si>
    <t>-46.6321772086313</t>
  </si>
  <si>
    <t>RUA PROFESSORA ANITA GUASTINIEIRAS ESQUINA COM A RUA TOPAZIO</t>
  </si>
  <si>
    <t>-23.5745527674074</t>
  </si>
  <si>
    <t>-46.633192648129</t>
  </si>
  <si>
    <t>RUA JOAO GETULIO ESQUINA COM A  RUA SATURNO</t>
  </si>
  <si>
    <t>-23.5696009895242</t>
  </si>
  <si>
    <t>-46.6338534411681</t>
  </si>
  <si>
    <t>RUA OLIVEIRA PEIXOTO ESQUINA COM A RUA ALMEIDA TORRES</t>
  </si>
  <si>
    <t>-23.5683673686497</t>
  </si>
  <si>
    <t>-46.6281748997197</t>
  </si>
  <si>
    <t>RUA PIRES DA MOTA 411 PROXIMO A ESQUINA COM A RUA PAES DE ANDRADE</t>
  </si>
  <si>
    <t>-23.5664224323766</t>
  </si>
  <si>
    <t>-46.6327028543616</t>
  </si>
  <si>
    <t>CENTRO CULTURAL</t>
  </si>
  <si>
    <t>RUA VERGUEIRO ESQUINA COM A RUA CASTRO ALVES</t>
  </si>
  <si>
    <t>-23.5665160141379</t>
  </si>
  <si>
    <t>-46.6394115592627</t>
  </si>
  <si>
    <t>RUA VERGUEIRO ESQUINA COM O VIADUTO BENEFICIENCIA</t>
  </si>
  <si>
    <t>-23.5687800155926</t>
  </si>
  <si>
    <t>-46.6401123745318</t>
  </si>
  <si>
    <t>RUA VERGUEIRO ENTRE A RUA DOUTOR JOAO DE MORAIS E RUA DO PARAISO</t>
  </si>
  <si>
    <t>-23.572026934628</t>
  </si>
  <si>
    <t>-46.6397277202112</t>
  </si>
  <si>
    <t>RUA APENINOS ESQUINA COM A RUA DOUTOR JOAO MORAIS</t>
  </si>
  <si>
    <t>-23.5711352391635</t>
  </si>
  <si>
    <t>-46.6392395998701</t>
  </si>
  <si>
    <t>RUA PROFESSOR ANTONIO PRUDENTE DEFRONTE A RUA DOUTOR JAMBEIRO COSTA NA CALCADA DO AC CAMARGO</t>
  </si>
  <si>
    <t>-23.5655920403757</t>
  </si>
  <si>
    <t>-46.6375855277243</t>
  </si>
  <si>
    <t>RUA PEDROSO ESQUINA COM A RUA VERGUEIRO</t>
  </si>
  <si>
    <t>-23.5631025738395</t>
  </si>
  <si>
    <t>-46.6391337215118</t>
  </si>
  <si>
    <t>RUA SENADOR CARLOS TEIXEIRA DE CARVALHO ESQUINA COM A  AVENIDA LACERDA FRANCO</t>
  </si>
  <si>
    <t>-23.5689390635526</t>
  </si>
  <si>
    <t>-46.6237055753096</t>
  </si>
  <si>
    <t>RUA MUNIZ DE SOUZA PROXIMO A ESQUINA COM A RUA UBA</t>
  </si>
  <si>
    <t>-23.5668421744822</t>
  </si>
  <si>
    <t>-46.6258704943189</t>
  </si>
  <si>
    <t>PRACA NINA RODRIGUES DEFRONTE A RUA OTTO DE ALENCAR</t>
  </si>
  <si>
    <t>-23.558189178455</t>
  </si>
  <si>
    <t>-46.6266670183334</t>
  </si>
  <si>
    <t>RUA DOS LAVAPES 245 PROXIMO A ESQUINA COM A RUA JUNQUEIRA FREIRE</t>
  </si>
  <si>
    <t>-23.5603289797704</t>
  </si>
  <si>
    <t>-46.6293489661804</t>
  </si>
  <si>
    <t>RUA TAMANDARE ESQUINA COM RUA BUENO DE ANDRADE</t>
  </si>
  <si>
    <t>-23.5601648831387</t>
  </si>
  <si>
    <t>-46.6312482368239</t>
  </si>
  <si>
    <t>RUA TENENTE AZEVEDO DEFRONTE A RUA JOAQUIM PIZA</t>
  </si>
  <si>
    <t>-23.5660866324864</t>
  </si>
  <si>
    <t>-46.6276972361721</t>
  </si>
  <si>
    <t>RUA SCUVERO ESQUINA COM A RUA DOS PARECIS</t>
  </si>
  <si>
    <t>-23.5643358022973</t>
  </si>
  <si>
    <t>-46.626768297308</t>
  </si>
  <si>
    <t>RUA ALMEIDA TORRES ESQUINA COM A RUA ALBINA BARBOSA</t>
  </si>
  <si>
    <t>-23.5693913824237</t>
  </si>
  <si>
    <t>-46.6264179981332</t>
  </si>
  <si>
    <t>RUA JOAQUIM PIZZA ESQUINA COM A RUA MAZZINI</t>
  </si>
  <si>
    <t>-23.5636100562762</t>
  </si>
  <si>
    <t>-46.6255444583542</t>
  </si>
  <si>
    <t>RUA SAO JOAQUIM ESQUINA COM A RUA DA GLORIA</t>
  </si>
  <si>
    <t>-23.5603816885341</t>
  </si>
  <si>
    <t>-46.6334896539596</t>
  </si>
  <si>
    <t>AVENIDA LIBERDADE 688</t>
  </si>
  <si>
    <t>-23.5586543108301</t>
  </si>
  <si>
    <t>-46.637508400658</t>
  </si>
  <si>
    <t>AVENIDA DA LIBERDADE ESQUINA COM A RUA JACEGUAI</t>
  </si>
  <si>
    <t>-23.5567525106653</t>
  </si>
  <si>
    <t>-46.636553447185</t>
  </si>
  <si>
    <t>AVENIDA DA LIBERDADE PROXIMO DA ESQUINA COM A RUA SAO JOAQUIM</t>
  </si>
  <si>
    <t>-23.5617110165596</t>
  </si>
  <si>
    <t>-46.6384243144054</t>
  </si>
  <si>
    <t>RUA DA GLORIA ESQUINA COM A RUA BARAO DE IGUAPE</t>
  </si>
  <si>
    <t>-23.5583522289416</t>
  </si>
  <si>
    <t>-46.6340602549021</t>
  </si>
  <si>
    <t>RUA SHINIMBU ESQUINA COM A RUA BARAO DE IGUAPE</t>
  </si>
  <si>
    <t>-23.5580482756137</t>
  </si>
  <si>
    <t>-46.6315290592561</t>
  </si>
  <si>
    <t>RUA GALVAO BUENO ESQUINA COM A RUA FAGUNDES</t>
  </si>
  <si>
    <t>-23.5601957513617</t>
  </si>
  <si>
    <t>-46.6350565762257</t>
  </si>
  <si>
    <t>RUA DA GLORIA ESQUINA COM A PRACA ALMEIDA JUNIOR</t>
  </si>
  <si>
    <t>-23.5571872020478</t>
  </si>
  <si>
    <t>-46.6339567403582</t>
  </si>
  <si>
    <t>RUA BARAO DE IGUAPE ESQUINA COM A RUA MITUTO MIZUMOTO</t>
  </si>
  <si>
    <t>2021-12-03</t>
  </si>
  <si>
    <t>-23.5583158203151</t>
  </si>
  <si>
    <t>-46.631770715377</t>
  </si>
  <si>
    <t>-23.5583321017897</t>
  </si>
  <si>
    <t>-46.6320509893321</t>
  </si>
  <si>
    <t>RUA GALVAO BUENO ESQUINA COM A RUA AMERICO DE  CAMPOS</t>
  </si>
  <si>
    <t>-23.5572477048942</t>
  </si>
  <si>
    <t>-46.6349955107265</t>
  </si>
  <si>
    <t>RUA GALVAO BUENO ESQUINA COM A RUA BARAO DE IGUAPE</t>
  </si>
  <si>
    <t>-23.5584003628802</t>
  </si>
  <si>
    <t>-46.6350070613697</t>
  </si>
  <si>
    <t>PIRES DA MOTA</t>
  </si>
  <si>
    <t>RUA TENENTE OTAVIO GOMES ESQUINA COM A RUA CONSELHEIRO FURTADO</t>
  </si>
  <si>
    <t>-23.5632994822373</t>
  </si>
  <si>
    <t>-46.6324391586173</t>
  </si>
  <si>
    <t>RUA CASTRO ALVES ESQUINA COM A RUA URANO</t>
  </si>
  <si>
    <t>-23.5697801235814</t>
  </si>
  <si>
    <t>-46.6357970210202</t>
  </si>
  <si>
    <t>RUA PIRES DA MOTA ESQUINA COM A RUA GUALACHOS</t>
  </si>
  <si>
    <t>-23.5703511540276</t>
  </si>
  <si>
    <t>-46.6380321341463</t>
  </si>
  <si>
    <t>RUA APENINOS ESQUINA COM A RUA CASTRO ALVES</t>
  </si>
  <si>
    <t>-23.5678233958323</t>
  </si>
  <si>
    <t>-46.6380873221985</t>
  </si>
  <si>
    <t>AVENIDA DA ACLIMACAO ESQUINA COM A RUA PIRES DA MOTA</t>
  </si>
  <si>
    <t>-23.5670263462034</t>
  </si>
  <si>
    <t>-46.6335171134626</t>
  </si>
  <si>
    <t>RUA JOSE GETULIO ESQUINA COM A RUA TAMANDARE</t>
  </si>
  <si>
    <t>-23.56646453101</t>
  </si>
  <si>
    <t>-46.6368887925938</t>
  </si>
  <si>
    <t>RUA CASTRO ALVES ESQUINA COM A RUA PIRES DA MOTA</t>
  </si>
  <si>
    <t>-23.5691128844727</t>
  </si>
  <si>
    <t>-46.6363795460312</t>
  </si>
  <si>
    <t>RUA TAMANDARE ESQUINA COM A  RUA CONSELHEIRO FURTADO</t>
  </si>
  <si>
    <t>-23.5617419810591</t>
  </si>
  <si>
    <t>-46.632777903918</t>
  </si>
  <si>
    <t>RUA TENENTE OTAVIANO GOMES ESQUINA COM A RUA TAMANDARE</t>
  </si>
  <si>
    <t>-23.5629069508283</t>
  </si>
  <si>
    <t>-46.6339000597499</t>
  </si>
  <si>
    <t>LADEIRA DA MEMÓRIA</t>
  </si>
  <si>
    <t>RUA NESTOR PESTANA ESQUINA COM A RUA MARTINHO PRADO</t>
  </si>
  <si>
    <t>-23.5493639515021</t>
  </si>
  <si>
    <t>-46.6462641355448</t>
  </si>
  <si>
    <t xml:space="preserve">RUA ABOLICAO ESQUINA COM A RUA JACEGUAI </t>
  </si>
  <si>
    <t>-23.5551497280937</t>
  </si>
  <si>
    <t>-46.6418859519451</t>
  </si>
  <si>
    <t>RUA DA CONSOLACAO COM A  PRACA DESEMBARGADOR MARIO PIRES</t>
  </si>
  <si>
    <t>-23.5481734555045</t>
  </si>
  <si>
    <t>-46.6433162601129</t>
  </si>
  <si>
    <t>AV 9 DE JULHO 224</t>
  </si>
  <si>
    <t>-23.5488025838838</t>
  </si>
  <si>
    <t>-46.6408932825413</t>
  </si>
  <si>
    <t>RUA AGUIAR DE BARROS ESQUINA COM A AVENIDA BRIGADEIRO LUIS ANTONIO</t>
  </si>
  <si>
    <t>-23.5543339884796</t>
  </si>
  <si>
    <t>-46.6389294332712</t>
  </si>
  <si>
    <t>RUA SANTO ANTONIO ESQUINA COM A RUA MAJOR QUEDINHO</t>
  </si>
  <si>
    <t>-23.5508733738005</t>
  </si>
  <si>
    <t>-46.6432620074528</t>
  </si>
  <si>
    <t>RUA FRANCISCA MIQUELINA ESQUINA COM A RUA GENEBRA</t>
  </si>
  <si>
    <t>-23.5536645844734</t>
  </si>
  <si>
    <t>-46.6396213333778</t>
  </si>
  <si>
    <t>RUA MARTINS FONTES PROXIMA A ESQUINA DA RUA AVANHANDAVA</t>
  </si>
  <si>
    <t>-23.5497839901407</t>
  </si>
  <si>
    <t>-46.6450264238725</t>
  </si>
  <si>
    <t>RUA AGUIAR DE BARROS ESQUINA COM A RUA SANTO AMARO</t>
  </si>
  <si>
    <t>-23.5538491722105</t>
  </si>
  <si>
    <t>-46.6404158149493</t>
  </si>
  <si>
    <t>RUA MAJOR DIOGO ESQUINA COM A RUA SAO DOMINGOS</t>
  </si>
  <si>
    <t>-23.5528058495051</t>
  </si>
  <si>
    <t>-46.64312871565</t>
  </si>
  <si>
    <t>RUA CONSELHEIRO RAMALHO ESQUINA COM A RUA DOUTOR RICARDO BATISTA</t>
  </si>
  <si>
    <t>-23.5523700293196</t>
  </si>
  <si>
    <t>-46.6448612389889</t>
  </si>
  <si>
    <t>RUA NESTOR PESTANA ESQUINA COM A RUA DA CONSOLACAO</t>
  </si>
  <si>
    <t>-23.5475894461724</t>
  </si>
  <si>
    <t>-46.6452249309626</t>
  </si>
  <si>
    <t>AVENIDA BRIGADEIRO LUIS ANTONIO ESQUINA COM A  RUA DONA MARIA PAULO EM FRENTE AO POSTO DE GAS</t>
  </si>
  <si>
    <t>-23.5523068463924</t>
  </si>
  <si>
    <t>-46.637865683194</t>
  </si>
  <si>
    <t>RUA JAPURA ESQUINA COM A RUA JACAREI</t>
  </si>
  <si>
    <t>-23.5510724905029</t>
  </si>
  <si>
    <t>-46.6417111150467</t>
  </si>
  <si>
    <t>LARGO DO AROUCHE 260</t>
  </si>
  <si>
    <t>-23.5407281675794</t>
  </si>
  <si>
    <t>-46.645201649001</t>
  </si>
  <si>
    <t>PRACA DA REPUBLICA ESQUINA COM A RUA DO AROUCHE</t>
  </si>
  <si>
    <t>-23.5432488893817</t>
  </si>
  <si>
    <t>-46.6440951340694</t>
  </si>
  <si>
    <t>RUA REGO FREITAS ESQUINA COM A RUA DA CONSOLACAO</t>
  </si>
  <si>
    <t>-23.546854069999</t>
  </si>
  <si>
    <t>-46.6465227446825</t>
  </si>
  <si>
    <t>RUA FORMOSA 56 AO LADO DA ENTRADA DO METRO ANHANGABAU</t>
  </si>
  <si>
    <t>-23.5476438224678</t>
  </si>
  <si>
    <t>-46.6390169944051</t>
  </si>
  <si>
    <t>PRACA DA REPUBLICA DEFRONTE A RUA ARAUJO</t>
  </si>
  <si>
    <t>-23.5441976071324</t>
  </si>
  <si>
    <t>-46.6442746183161</t>
  </si>
  <si>
    <t>AVENIDA IPIRANGA ESQUINA COM PRACA DA REPUBLICA</t>
  </si>
  <si>
    <t>-23.5427864371836</t>
  </si>
  <si>
    <t>-46.6412335176984</t>
  </si>
  <si>
    <t>RUA SAO LUIS 41 PROXIMO A PRACA DA REPUBLICA</t>
  </si>
  <si>
    <t>-23.5453260293316</t>
  </si>
  <si>
    <t>-46.6429533711487</t>
  </si>
  <si>
    <t>RUA REGO FREITAS ESQUINA COM A RUA EPITACIO PESSOA</t>
  </si>
  <si>
    <t>-23.5457426671962</t>
  </si>
  <si>
    <t>-46.6465279534209</t>
  </si>
  <si>
    <t>RUA MAJOR SERTORIO ESQUINA COM A RUA ARAUJO</t>
  </si>
  <si>
    <t>-23.5455565905003</t>
  </si>
  <si>
    <t>-46.6448252998323</t>
  </si>
  <si>
    <t>RUA MARQUES DE ITU ESQUINA COM A RUA BENTO FREITASZ</t>
  </si>
  <si>
    <t>-23.544041584366</t>
  </si>
  <si>
    <t>-46.6454654288706</t>
  </si>
  <si>
    <t>RUA BENTO FREITAS 115 PROXIMO A RUA AURORA</t>
  </si>
  <si>
    <t>-23.5428535620179</t>
  </si>
  <si>
    <t>-46.645374211333</t>
  </si>
  <si>
    <t>AVENIDA SAO JOAO ESQUINA COM A RUA VITORIA</t>
  </si>
  <si>
    <t>-23.5406493130902</t>
  </si>
  <si>
    <t>-46.6437388827972</t>
  </si>
  <si>
    <t>PRACA DA REPUBLICA</t>
  </si>
  <si>
    <t>-23.5435997583699</t>
  </si>
  <si>
    <t>-46.6440693036178</t>
  </si>
  <si>
    <t>RUA MARCONI ESQUINA COM A RUA BARAO DE ITAPETININGA</t>
  </si>
  <si>
    <t>-23.5452371693939</t>
  </si>
  <si>
    <t>-46.6400983717559</t>
  </si>
  <si>
    <t>RUA MARQUES DE ITU ESQUINA COM A ZRUA REGO FREITAS</t>
  </si>
  <si>
    <t>-23.5439411423866</t>
  </si>
  <si>
    <t>-46.6464292160591</t>
  </si>
  <si>
    <t>RUA REGO FREITAS ESQUINA COM A RUA SANTA ISABEL</t>
  </si>
  <si>
    <t>-23.5428860865322</t>
  </si>
  <si>
    <t>-46.6467062755598</t>
  </si>
  <si>
    <t>RUA MAJOR SERTORIO ESQUINA COM A RUA BENTO FREITAS</t>
  </si>
  <si>
    <t>-23.5453143594543</t>
  </si>
  <si>
    <t>-46.645767952993</t>
  </si>
  <si>
    <t>RUA DO AROUCHE ESQUINA COM A RUA AURORA</t>
  </si>
  <si>
    <t>-23.5427183279941</t>
  </si>
  <si>
    <t>-46.6443239453007</t>
  </si>
  <si>
    <t>RUA AURORA ESQUINA COM A RUA DO AROUCHE</t>
  </si>
  <si>
    <t>-23.5425379927819</t>
  </si>
  <si>
    <t>-46.6444430195805</t>
  </si>
  <si>
    <t>LARGO DO AROUCHE PROXIMO A ESQUINA COM A RUA DO AROUCHE</t>
  </si>
  <si>
    <t>-23.5418060439791</t>
  </si>
  <si>
    <t>-46.6452518760474</t>
  </si>
  <si>
    <t>LARGO DO AROUCHE ESQUINA COM A RUA REGO FREITAS</t>
  </si>
  <si>
    <t>-23.5419192838845</t>
  </si>
  <si>
    <t>-46.6463208925779</t>
  </si>
  <si>
    <t>AVENIDA DUQUE DE CAXIAS ESQUINA COM O LARGO DO AROUCHE</t>
  </si>
  <si>
    <t>-23.5413732394697</t>
  </si>
  <si>
    <t>-46.6464651607477</t>
  </si>
  <si>
    <t>AVENIDA VIEIRA DE CARVALHO ESQUINA COM A RUA AURORA</t>
  </si>
  <si>
    <t>-23.5420699168267</t>
  </si>
  <si>
    <t>-46.6437965974046</t>
  </si>
  <si>
    <t>AVENIDA IPIRANGA ESQUINA COM AVENIDA SAO LUIS</t>
  </si>
  <si>
    <t>-23.5453324516526</t>
  </si>
  <si>
    <t>-46.6435450480743</t>
  </si>
  <si>
    <t>AVENIDA SAO JOAO ESQUINA COM A RUA FORMOSA</t>
  </si>
  <si>
    <t>2020-09-25</t>
  </si>
  <si>
    <t>-23.5446306851087</t>
  </si>
  <si>
    <t>-46.6366963154384</t>
  </si>
  <si>
    <t>RUA DOS TIMBIRAS ESQUINA COM A RUA JOAQUIM GUSTAVO PRACA DA REPUBLICA</t>
  </si>
  <si>
    <t>-23.5424584453338</t>
  </si>
  <si>
    <t>-46.6418167213814</t>
  </si>
  <si>
    <t>AVENIDA SAO JOAO ESQUINA COM O LARGO DO AROUCHE</t>
  </si>
  <si>
    <t>-23.5397966570519</t>
  </si>
  <si>
    <t>-46.645152831047</t>
  </si>
  <si>
    <t>PRACA DA REPUBLICA 124 ESQUINA COM A RUA SETE DE ABRIL</t>
  </si>
  <si>
    <t>-23.5443990410429</t>
  </si>
  <si>
    <t>-46.6424511565984</t>
  </si>
  <si>
    <t>RUA BASILIO DA GAMA NO FINAL DA RUA</t>
  </si>
  <si>
    <t>-23.5459063756089</t>
  </si>
  <si>
    <t>-46.6424192237767</t>
  </si>
  <si>
    <t>RUA 24 DE MAIO DEFRONTE A GALERIA R MONTEIRO</t>
  </si>
  <si>
    <t>2020-12-02</t>
  </si>
  <si>
    <t>-23.5443699731552</t>
  </si>
  <si>
    <t>-46.6395063252232</t>
  </si>
  <si>
    <t>RUA 24 DE MAIO ESQUINA COM A RUA DOM JOSE DE BARROS</t>
  </si>
  <si>
    <t>2020-12-13</t>
  </si>
  <si>
    <t>-23.5440243443826</t>
  </si>
  <si>
    <t>-46.6399512384516</t>
  </si>
  <si>
    <t>LARGO DO AROUCHE ESQUINA COM A AVENIDA SAO JOAO</t>
  </si>
  <si>
    <t>-23.5399889396852</t>
  </si>
  <si>
    <t>-46.6448266683175</t>
  </si>
  <si>
    <t>RUA SETE DE ABRIL 27 DEFRONTE A RUA CONSELHEIRO CRISPIANO</t>
  </si>
  <si>
    <t>-23.5470107054303</t>
  </si>
  <si>
    <t>-46.6405144169185</t>
  </si>
  <si>
    <t>RUA DOM JOSE DE BARROS ESQUINA COM A AVENIDA SAO JOAO</t>
  </si>
  <si>
    <t>-23.5431379953722</t>
  </si>
  <si>
    <t>-46.6390084849288</t>
  </si>
  <si>
    <t>RUA DA CONSOLACAO ESQUINA COM A RUA DOUTOR BRAULIO GOMES</t>
  </si>
  <si>
    <t>-23.5476385297692</t>
  </si>
  <si>
    <t>-46.6415548159248</t>
  </si>
  <si>
    <t>RUA CORONEL XAVIER TOLEDO PROXIMO DA ESQUINA COM O VIADUTO DO CHA</t>
  </si>
  <si>
    <t>-23.5465412649621</t>
  </si>
  <si>
    <t>-46.6389886209821</t>
  </si>
  <si>
    <t>AVENIDA IPIRANGA ESQUINA COM A RUA ARAUJO</t>
  </si>
  <si>
    <t>-23.5466615553872</t>
  </si>
  <si>
    <t>-46.6451926734705</t>
  </si>
  <si>
    <t>RUA MAJOR SERTORIO ESQUINA COM A RUA AMARA GURGEL</t>
  </si>
  <si>
    <t>-23.5452943842387</t>
  </si>
  <si>
    <t>-46.6476281680834</t>
  </si>
  <si>
    <t>RUA MAJOR SERTORIO ESQUINA COM A RUA AMARAL GURGEL</t>
  </si>
  <si>
    <t>-23.5446093936727</t>
  </si>
  <si>
    <t>-46.6475996268098</t>
  </si>
  <si>
    <t>AVENIDA SENADOR QUEIROS ESQUINA COM A RUA BRIGADEIRO TOBIAS</t>
  </si>
  <si>
    <t>-23.5393590451828</t>
  </si>
  <si>
    <t>-46.6348808370615</t>
  </si>
  <si>
    <t>RUA BRIGADEIRO TOBIAS 535 ESQUINA COM A AVENIDA SENADOR QUEIROZ</t>
  </si>
  <si>
    <t>-23.5384188045397</t>
  </si>
  <si>
    <t>-46.6348080932657</t>
  </si>
  <si>
    <t>AVENIDA CASPER LIBERO 367 ENTRE A RUA WASHINGTON LUIS E AVENIA SENADOR QUEIROS</t>
  </si>
  <si>
    <t>-23.5382003223083</t>
  </si>
  <si>
    <t>-46.6361487068108</t>
  </si>
  <si>
    <t>PRACA PEDRO LESSA</t>
  </si>
  <si>
    <t>-23.5437693781747</t>
  </si>
  <si>
    <t>-46.6362836893728</t>
  </si>
  <si>
    <t>RUA BRIGADEIRO TOBIAS DEBAIXO DO VIADUTO SANTA EFIGENIA</t>
  </si>
  <si>
    <t>-23.541869328129</t>
  </si>
  <si>
    <t>-46.6360758000526</t>
  </si>
  <si>
    <t>RUA VITORIA ESQUINA COM A RUA SANTA EFIGENIA</t>
  </si>
  <si>
    <t>-23.5380770307499</t>
  </si>
  <si>
    <t>-46.6395830160409</t>
  </si>
  <si>
    <t>AVENIDA DUQUE DE CAXIAS (PRACA PRINCESA ISABEL 952)</t>
  </si>
  <si>
    <t>-23.5354327351303</t>
  </si>
  <si>
    <t>-46.6407482693938</t>
  </si>
  <si>
    <t>ALAMEDA BARAO DE LIMEIRA ESQUINA COM A RUA VITORIA</t>
  </si>
  <si>
    <t>2021-11-07</t>
  </si>
  <si>
    <t>-23.5401688007366</t>
  </si>
  <si>
    <t>-46.6429240793403</t>
  </si>
  <si>
    <t>PRACA ALFREDO ISSO ESQUINA COM A RUA GENERAL COUTO DE MAGALHAES</t>
  </si>
  <si>
    <t>-23.5385011568613</t>
  </si>
  <si>
    <t>-46.6364249191527</t>
  </si>
  <si>
    <t>AVENIDA SAO JOAO ESQUINA COM A RUA AURORA</t>
  </si>
  <si>
    <t>-23.5412310495514</t>
  </si>
  <si>
    <t>-46.6423764589799</t>
  </si>
  <si>
    <t>RUA CONSELHEIRO NEBIAS ESQUINA COM A RUA AURORA</t>
  </si>
  <si>
    <t>-23.5406760367513</t>
  </si>
  <si>
    <t>-46.641522756732</t>
  </si>
  <si>
    <t>LARGO GENERAL OSORIO ENTRE O NUMERO 147 e 165</t>
  </si>
  <si>
    <t>2020-07-29</t>
  </si>
  <si>
    <t>-23.5352458735426</t>
  </si>
  <si>
    <t>-46.639238393262</t>
  </si>
  <si>
    <t>RUA SANTA EFIGENIA ESQUINA COM A AVENIDA DUQUE DE CAXIAS</t>
  </si>
  <si>
    <t>-23.5358020786078</t>
  </si>
  <si>
    <t>-46.641156770811</t>
  </si>
  <si>
    <t>RUA AURORA PROXIMO DA ESQUINA COM A AVENIDA RIO BRANCO</t>
  </si>
  <si>
    <t>-23.5396859239111</t>
  </si>
  <si>
    <t>-46.6397082738706</t>
  </si>
  <si>
    <t>LARGO PAISSANDU 132</t>
  </si>
  <si>
    <t>2020-08-03</t>
  </si>
  <si>
    <t>-23.5424835346863</t>
  </si>
  <si>
    <t>-46.6378650131527</t>
  </si>
  <si>
    <t>RUA DO BOTICARIO ESQUINA COM A RUA ANTONIO DE GODOI</t>
  </si>
  <si>
    <t>-23.5426978632462</t>
  </si>
  <si>
    <t>-46.6384656387791</t>
  </si>
  <si>
    <t>AVENIDA DUQUE DE CAXIAS ESQUINA COM A ALAMEDA BARAO DE LIMEIRA</t>
  </si>
  <si>
    <t>-23.5383188869434</t>
  </si>
  <si>
    <t>-46.6446681779982</t>
  </si>
  <si>
    <t>RUA AURORA ESQUINA COM A AVENIDA RIO BRANCO</t>
  </si>
  <si>
    <t>-23.539720085379</t>
  </si>
  <si>
    <t>-46.6397586325862</t>
  </si>
  <si>
    <t>RUA DOS GUSMOES ESQUINA COM A RUA DO TRIUNFO</t>
  </si>
  <si>
    <t>-23.5361595283541</t>
  </si>
  <si>
    <t>-46.6381653218667</t>
  </si>
  <si>
    <t>RUA DOS GUAIANASES ESQUINA COM A RUA VITORIA</t>
  </si>
  <si>
    <t>-23.5393843757447</t>
  </si>
  <si>
    <t>-46.6416976056679</t>
  </si>
  <si>
    <t>RUA GENERAL OSORIO PROXIMO A ESQUINA COM A AVENIDA RIO BRANCO</t>
  </si>
  <si>
    <t>-23.5372459098607</t>
  </si>
  <si>
    <t>-46.6415656937684</t>
  </si>
  <si>
    <t>RUA DOS TIMBIRAS ESQUINA COM AVENIDA SAO JOAO</t>
  </si>
  <si>
    <t>-23.5418841098979</t>
  </si>
  <si>
    <t>-46.6412068477447</t>
  </si>
  <si>
    <t>AVENIDA SENADOR QUERIOS ESQUINA COM A RUA BRIGADEIRO TOBIAS</t>
  </si>
  <si>
    <t>-23.5389908533057</t>
  </si>
  <si>
    <t>-46.6348102737293</t>
  </si>
  <si>
    <t>AVENIDA CASPER LIBERO ESQUINA COM A RUA CORONEL BATISTA DA LUZ</t>
  </si>
  <si>
    <t>-23.5410108985405</t>
  </si>
  <si>
    <t>-46.6363392097843</t>
  </si>
  <si>
    <t>RUA DO BOTICARIO ESQUINA COM AVENIDA IPIRANGA</t>
  </si>
  <si>
    <t>-23.541798268078</t>
  </si>
  <si>
    <t>-46.6392502916236</t>
  </si>
  <si>
    <t>RUA CONSELHEIRO NEBIAS ESQUINA COM A RUA DOS GUSMOES</t>
  </si>
  <si>
    <t>-23.5391200391595</t>
  </si>
  <si>
    <t>-46.6427047496038</t>
  </si>
  <si>
    <t>RUA GENERAL OSORIO ESQUINA COM A RUA CONSELHEIRO NEBIAS</t>
  </si>
  <si>
    <t>-23.5384563675223</t>
  </si>
  <si>
    <t>-46.6431822615175</t>
  </si>
  <si>
    <t>RUA GUAIANASES ESQUINA COM A RUA GENERAL OSORIO</t>
  </si>
  <si>
    <t>-23.5381425871818</t>
  </si>
  <si>
    <t>-46.6426320429917</t>
  </si>
  <si>
    <t>RUA RISKALLAH JORGE ESQUINA COM RUA  CAPITAO MOR JERONIMO LEITAO</t>
  </si>
  <si>
    <t>-23.5411885627959</t>
  </si>
  <si>
    <t>-46.6354205434058</t>
  </si>
  <si>
    <t>RUA BRIGADEIRO TOBIAS 750</t>
  </si>
  <si>
    <t>-23.5365256610766</t>
  </si>
  <si>
    <t>-46.6341479700479</t>
  </si>
  <si>
    <t>RUA DO SEMINARIO ESQUINA COM A RUA CAPITAO SALOMAO</t>
  </si>
  <si>
    <t>-23.5428311176769</t>
  </si>
  <si>
    <t>-46.6365392581165</t>
  </si>
  <si>
    <t>AVENIDA RIO BRANCO ESQUINA COM A RUA VITORIA</t>
  </si>
  <si>
    <t>-23.5388655998467</t>
  </si>
  <si>
    <t>-46.6404793950907</t>
  </si>
  <si>
    <t>RUA VITORIA ESQUINA COM A RUA CONSELHEIRO NEBIAS</t>
  </si>
  <si>
    <t>-23.5398766553493</t>
  </si>
  <si>
    <t>-46.6424160639802</t>
  </si>
  <si>
    <t>AVENIDA SENADOR QUEIROZ ESQUINA COM A PASSAGEM DA AVENIDA PRESTES MAIA</t>
  </si>
  <si>
    <t>-23.5392092056188</t>
  </si>
  <si>
    <t>-46.6341172735243</t>
  </si>
  <si>
    <t>MARECHAL DEODORO</t>
  </si>
  <si>
    <t>RUA CONSELHEIRO BROTERO ESQUINA COM A RUA BARRA FUNDA</t>
  </si>
  <si>
    <t>-23.5296613096446</t>
  </si>
  <si>
    <t>-46.6564837269051</t>
  </si>
  <si>
    <t>RUA CONSELHEIRO BROTERO 475 PROXIMO A RUA  CAMARAGIBE</t>
  </si>
  <si>
    <t>-23.5310411425971</t>
  </si>
  <si>
    <t>-46.6579564133573</t>
  </si>
  <si>
    <t>RUA LOPES DE OLIVEIRA ESQUINA COM AVENIDA GENERAL OMPIO DA SILVEIRA</t>
  </si>
  <si>
    <t>2020-08-04</t>
  </si>
  <si>
    <t>-23.5330368627556</t>
  </si>
  <si>
    <t>-46.6563460304083</t>
  </si>
  <si>
    <t>AVENIDA GENERAL OLIMPIO DA SILVEIRA 356 ENTRE A RUA DOUTOR ALBUQUERQUE LINS E RUA LOPES DE OLIVEIRA</t>
  </si>
  <si>
    <t>-23.5334933373063</t>
  </si>
  <si>
    <t>-46.6556333711607</t>
  </si>
  <si>
    <t>PRACA MARECHAL DEODORO DEFRONTE A ESTACAO  MARECHAL DEODORO  DO METRO</t>
  </si>
  <si>
    <t>-23.5339737667897</t>
  </si>
  <si>
    <t>-46.6558982062499</t>
  </si>
  <si>
    <t>AVENIDA GENERAL OLIMPIO DA SILVEIRA ESQUINA COM A RUA TUPI</t>
  </si>
  <si>
    <t>-23.5321199886134</t>
  </si>
  <si>
    <t>-46.6601384338703</t>
  </si>
  <si>
    <t>RUA GABRIEL DOS SANTOS ESQUINA COM A RUA CANDIDO ESPINHEIRA</t>
  </si>
  <si>
    <t>-23.5352758490454</t>
  </si>
  <si>
    <t>-46.6594546304929</t>
  </si>
  <si>
    <t>RUA DOUTOR ALBUQUERQUE LINS ESQUINA COM R BARONESA DE ITU</t>
  </si>
  <si>
    <t>-23.5391131274724</t>
  </si>
  <si>
    <t>-46.6579092985301</t>
  </si>
  <si>
    <t>RUA SAO VICENTE DE PAULA ESQUINA COM A PRACA MARECHAL DEODORRO</t>
  </si>
  <si>
    <t>-23.5346497842621</t>
  </si>
  <si>
    <t>-46.6550239789574</t>
  </si>
  <si>
    <t>RUA BRIGADEIRO GALVAO DEFRONTE A RUA JOAO DE BARROS</t>
  </si>
  <si>
    <t>2020-07-23</t>
  </si>
  <si>
    <t>-23.5298069842502</t>
  </si>
  <si>
    <t>-46.6579635765248</t>
  </si>
  <si>
    <t>RUA BRIGADEIRO GALVAO ESQUINA COM A RUA OLIMPIA DE ALMEIDA PRADOZ</t>
  </si>
  <si>
    <t>-23.5312108756648</t>
  </si>
  <si>
    <t>-46.6567322700422</t>
  </si>
  <si>
    <t>RUA LOPES OLIVEIRA ESQUINA COM A RUA BRIGADEIRO GALVAO</t>
  </si>
  <si>
    <t>-23.5319474627599</t>
  </si>
  <si>
    <t>-46.6559022449065</t>
  </si>
  <si>
    <t>RUA BRIGADEIRO GALVAO ESQUINA COM A RUA DOUTOR ALBUQUERQUE</t>
  </si>
  <si>
    <t>-23.5331769189107</t>
  </si>
  <si>
    <t>-46.6544609636448</t>
  </si>
  <si>
    <t>RUA CAMARAGIBE ESQUINA COM A RUA JOAO DE BARROSZ</t>
  </si>
  <si>
    <t>2020-08-08</t>
  </si>
  <si>
    <t>-23.5304598506732</t>
  </si>
  <si>
    <t>-46.65887448832</t>
  </si>
  <si>
    <t>RUA LOPES DE OLIVEIRA ESQUINA COM A RUA CAMERINO</t>
  </si>
  <si>
    <t>-23.5294898325634</t>
  </si>
  <si>
    <t>-46.6528090874903</t>
  </si>
  <si>
    <t>RUA CAPISTRANO DE ABREU ESQUINA COM A RUA SOUSA LIMA</t>
  </si>
  <si>
    <t>-23.5284194428755</t>
  </si>
  <si>
    <t>-46.6529056809252</t>
  </si>
  <si>
    <t>RUA SOUZA LIMA ESQUINA COM A RUA BARRA FUNDA</t>
  </si>
  <si>
    <t>-23.530183364865</t>
  </si>
  <si>
    <t>-46.6554197098989</t>
  </si>
  <si>
    <t>RUA GOITACAZ ESQUINA COM RUA TUPI</t>
  </si>
  <si>
    <t>-23.5355586345837</t>
  </si>
  <si>
    <t>-46.6618705910314</t>
  </si>
  <si>
    <t>RUA LOPES CHAVES DEFRONTE A RUA DOUTOR SERGIO MIEIRA</t>
  </si>
  <si>
    <t>-23.5276599719276</t>
  </si>
  <si>
    <t>-46.6570035227464</t>
  </si>
  <si>
    <t>RUA FRANCISCO ESTACIO FORTES ESQUINA COM A RUA TUPI</t>
  </si>
  <si>
    <t>-23.5330639075713</t>
  </si>
  <si>
    <t>-46.6605950566416</t>
  </si>
  <si>
    <t>RUA LOPES DE OLIVEIRA ESQUINA COM A RUA VITORINO CARMILO</t>
  </si>
  <si>
    <t>-23.5302473262103</t>
  </si>
  <si>
    <t>-46.6535980634457</t>
  </si>
  <si>
    <t>AVENIDA ANGELICA ESQUINA COM A RUA DOUTOR VEIGA FILHO</t>
  </si>
  <si>
    <t>-23.5414152785748</t>
  </si>
  <si>
    <t>-46.6559163717353</t>
  </si>
  <si>
    <t>RUA CONSELHEIRO BROTERO ESQUINA COM ALAMEDA BARROS</t>
  </si>
  <si>
    <t>-23.5350070589299</t>
  </si>
  <si>
    <t>-46.660017581316</t>
  </si>
  <si>
    <t>RUA CANDIDO ESPINHEIRA ESQUINA COM A RUA CONSELHEIRO BROTERO</t>
  </si>
  <si>
    <t>-23.5346994154887</t>
  </si>
  <si>
    <t>-46.6601446755422</t>
  </si>
  <si>
    <t>RUA TUPI  ESQUINA COM RUA DOUTOZR VEIGA FILHO</t>
  </si>
  <si>
    <t>-23.5376233035577</t>
  </si>
  <si>
    <t>-46.6626155824882</t>
  </si>
  <si>
    <t>RUA TUPI ESQUINA COM RUA DOUTOR JOSE MANOEL</t>
  </si>
  <si>
    <t>-23.5370765543995</t>
  </si>
  <si>
    <t>-46.662308382657</t>
  </si>
  <si>
    <t>RUA DOUTOR ALBUQUERQUE LINS ESQUINA COM RUA DOUTOR VEIGA FILHO</t>
  </si>
  <si>
    <t>-23.540551073213</t>
  </si>
  <si>
    <t>-46.6582993694077</t>
  </si>
  <si>
    <t>RUA SAO VICENTE DE PAULO ESQUINA COM A RUA BARONESA DE ITU</t>
  </si>
  <si>
    <t>-23.5395681895868</t>
  </si>
  <si>
    <t>-46.6567016770996</t>
  </si>
  <si>
    <t>RUA DOUTOR ALBUQUERQUE LINS ESQUINA COM ALAMEDA BARROS</t>
  </si>
  <si>
    <t>-23.5363042573508</t>
  </si>
  <si>
    <t>-46.6572880498187</t>
  </si>
  <si>
    <t>RUA CAMARAGIBE ESQUINA COM RUA LOPES CHAVES</t>
  </si>
  <si>
    <t>-23.5300754491002</t>
  </si>
  <si>
    <t>-46.659304518658</t>
  </si>
  <si>
    <t>RUA BRIGADEIRO GALVAO 848</t>
  </si>
  <si>
    <t>-23.5288422086024</t>
  </si>
  <si>
    <t>-46.6588824903767</t>
  </si>
  <si>
    <t>RUA BRIGADEIRO GALVAO 892</t>
  </si>
  <si>
    <t>-23.5286769668029</t>
  </si>
  <si>
    <t>-46.6595016035663</t>
  </si>
  <si>
    <t>RUA VITORINO CAMILO ESQUINA COM A RUA CONSELHEIRO BROTERO</t>
  </si>
  <si>
    <t>-23.5283065965764</t>
  </si>
  <si>
    <t>-46.6550643290502</t>
  </si>
  <si>
    <t>RUA CONSELHEIRO BROTERO ESQUINA COM RUA DOUTOR SERGIO MEIRA</t>
  </si>
  <si>
    <t>-23.5286130986732</t>
  </si>
  <si>
    <t>-46.6557108262314</t>
  </si>
  <si>
    <t>RUA BRIGADEIRO 564 PROXIMO A ESQUINA COM A RUA CONSELHEIRO BROTERO</t>
  </si>
  <si>
    <t>-23.5305465364392</t>
  </si>
  <si>
    <t>-46.6570311299518</t>
  </si>
  <si>
    <t>RUA LOPES CHAVES ESQUINA COM RUA MARGARIDA</t>
  </si>
  <si>
    <t>-23.5306783512367</t>
  </si>
  <si>
    <t>-46.660263785434</t>
  </si>
  <si>
    <t>RUA DOUTOR  ALBUQUERQUE LINS ESQUINA COM A RUA BARRA FUNDA</t>
  </si>
  <si>
    <t>-23.5318741460766</t>
  </si>
  <si>
    <t>-46.6537330993054</t>
  </si>
  <si>
    <t>RUA DOUTOR GABRIEL DOS SANTOS ESQUINA COM A RUA EMILIO MENEZES</t>
  </si>
  <si>
    <t>-23.5368952244304</t>
  </si>
  <si>
    <t>-46.6599302341306</t>
  </si>
  <si>
    <t>RUA BARRA FUNDA ESQUINA COM A ALAMEDA EDUARDO PRADO</t>
  </si>
  <si>
    <t>-23.5329000038237</t>
  </si>
  <si>
    <t>-46.6529879442555</t>
  </si>
  <si>
    <t>ALAMEDA EDUARDO PRADO ESQUINA COM A RUA VITORINO CARMILLO</t>
  </si>
  <si>
    <t>-23.5322506232407</t>
  </si>
  <si>
    <t>-46.6519249744107</t>
  </si>
  <si>
    <t>RUA SOUZA LIMA ESQUINA COM A RUA DOUTOR SERGIO MEIRA</t>
  </si>
  <si>
    <t>-23.5294445955758</t>
  </si>
  <si>
    <t>-46.6547534201436</t>
  </si>
  <si>
    <t>RUA BARRA FUNDA DEFRONTE A RUA LAVRADIO</t>
  </si>
  <si>
    <t>-23.5273472206016</t>
  </si>
  <si>
    <t>-46.6586301541814</t>
  </si>
  <si>
    <t>RUA BRIGADEIRO GALVAO ESQUINA COM A RUA LOPES CHAVES</t>
  </si>
  <si>
    <t>-23.5293113694257</t>
  </si>
  <si>
    <t>-46.6587921346296</t>
  </si>
  <si>
    <t>RUA CONSELHEIRO BROTERO 206Z</t>
  </si>
  <si>
    <t>-23.5290387748124</t>
  </si>
  <si>
    <t>-46.6561735413099</t>
  </si>
  <si>
    <t>-23.5295222486743</t>
  </si>
  <si>
    <t>-46.6566958290911</t>
  </si>
  <si>
    <t>RUA BARRA FUNDA ESQUINA COM A RUA LOPES CHAVES</t>
  </si>
  <si>
    <t>-23.5284441217576</t>
  </si>
  <si>
    <t>-46.6578080218729</t>
  </si>
  <si>
    <t>RUA BRIGADEIRO GALVAO 436</t>
  </si>
  <si>
    <t>-23.5315463336104</t>
  </si>
  <si>
    <t>-46.6559354694785</t>
  </si>
  <si>
    <t>NO INTERIOR DA FAVELA DO MOINHO ENTRADA PELA RUA DOUTOR ELIAS CHAVES PASSANDO OS TRILHOS DO TREM VIRAR A ESQUERDA DEBAIXO DO VIADUTO ORLANDO MURGEL</t>
  </si>
  <si>
    <t>-23.5286234204795</t>
  </si>
  <si>
    <t>-46.6482696136977</t>
  </si>
  <si>
    <t>ALAMEDA BARROS ESQUINA COM A RUA SAO VICENTE DE PAULO</t>
  </si>
  <si>
    <t>-23.5366516966032</t>
  </si>
  <si>
    <t>-46.655962369306</t>
  </si>
  <si>
    <t>RUA CONSELHEIRO BROTERO ESQUINA COM A RUA DOUTOR VEIGA FILHO</t>
  </si>
  <si>
    <t>-23.5388244747428</t>
  </si>
  <si>
    <t>-46.6613090486106</t>
  </si>
  <si>
    <t>RUDGE</t>
  </si>
  <si>
    <t>RUA DO BOSQUE ESQUINA COM A RUA DOS AMERICANOS</t>
  </si>
  <si>
    <t>-23.5255483719503</t>
  </si>
  <si>
    <t>-46.6555028210656</t>
  </si>
  <si>
    <t>AVENIDA RUDGE ESQUINA COM A RUA JAMES HOLLAND</t>
  </si>
  <si>
    <t>-23.5218191874216</t>
  </si>
  <si>
    <t>-46.6515997009625</t>
  </si>
  <si>
    <t>RUA DO BOSQUE 39 ESQUINA COM AVENIDA RUDGE</t>
  </si>
  <si>
    <t>-23.526504485694</t>
  </si>
  <si>
    <t>-46.6490941181461</t>
  </si>
  <si>
    <t>RUA CRUZEIRO ESQUINA COM A RUA EDUARDO VIANA</t>
  </si>
  <si>
    <t>-23.518989044003</t>
  </si>
  <si>
    <t>-46.6541852741284</t>
  </si>
  <si>
    <t>RUA CRUZEIRO ESQUINA COM A RUA SOLIMOES</t>
  </si>
  <si>
    <t>-23.5206441407229</t>
  </si>
  <si>
    <t>-46.6543945962403</t>
  </si>
  <si>
    <t>RUA CRUZEIRO ESQUINA COM A RUA CONEGO VICENTE MIGUEL MARINO</t>
  </si>
  <si>
    <t>-23.5267061184777</t>
  </si>
  <si>
    <t>-46.6539589333778</t>
  </si>
  <si>
    <t>RUA DA VARZEA DEFRONTE A RUA ASSIS</t>
  </si>
  <si>
    <t>-23.5259821198323</t>
  </si>
  <si>
    <t>-46.6601349182129</t>
  </si>
  <si>
    <t>RUA CAPITAO MOR GONCALO MONTEIRO ESQUINA COM A RUA DO BOSQUE</t>
  </si>
  <si>
    <t>-23.524540417205</t>
  </si>
  <si>
    <t>-46.6594073552323</t>
  </si>
  <si>
    <t>RUA LUIGI GRECO ESQUINA COM A RUA BORACEIA</t>
  </si>
  <si>
    <t>-23.5277723514557</t>
  </si>
  <si>
    <t>-46.6516967369576</t>
  </si>
  <si>
    <t>RUA CONEGO VICENTE MIGUEL MARINO ESQUINCA COM A RUA BORACEIA</t>
  </si>
  <si>
    <t>-23.5269131514557</t>
  </si>
  <si>
    <t>-46.6514700519565</t>
  </si>
  <si>
    <t>RUA NORMA PIERUCCINI GIANNOTTI  ESQUINA COM A RUA CRUZEIRO</t>
  </si>
  <si>
    <t>-23.5229245832489</t>
  </si>
  <si>
    <t>-46.6543459641491</t>
  </si>
  <si>
    <t>RUA DOS AMERICANOS ESQUINA COM A RUA CONEGO VICENTE MIGUEL MARINO</t>
  </si>
  <si>
    <t>-23.5265030187675</t>
  </si>
  <si>
    <t>-46.6551831517568</t>
  </si>
  <si>
    <t>RUA DO BOSQUE ESQUINA COM A RUA ANHAGUERA</t>
  </si>
  <si>
    <t>-23.5259305504918</t>
  </si>
  <si>
    <t>-46.6526426602422</t>
  </si>
  <si>
    <t>RUA BORACEIA ESQUINA COM A RUA DO BOSQUE</t>
  </si>
  <si>
    <t>-23.5261427911425</t>
  </si>
  <si>
    <t>-46.6514852218444</t>
  </si>
  <si>
    <t>RUA DOS AMERICANOS 280</t>
  </si>
  <si>
    <t>-23.5240009050144</t>
  </si>
  <si>
    <t>-46.655544469659</t>
  </si>
  <si>
    <t>ALAMEDA GLETE 52 PROXIMA A ESQUINA DA ALAMEDA DINO BUENO</t>
  </si>
  <si>
    <t>-23.5322760209109</t>
  </si>
  <si>
    <t>-46.6426703985157</t>
  </si>
  <si>
    <t>RUA HELVETIA ESQUINA COM A RUA CONSELHEIRO NEBIAS</t>
  </si>
  <si>
    <t>-23.5357722180378</t>
  </si>
  <si>
    <t>-46.6453028631749</t>
  </si>
  <si>
    <t>RUA DAS PALMEIRAS ESQUINA COM A RUA APA</t>
  </si>
  <si>
    <t>-23.535877660725</t>
  </si>
  <si>
    <t>-46.6530773646347</t>
  </si>
  <si>
    <t>RUA HELVETIA ESQUINA COM RUA DAS PALMEIRAS</t>
  </si>
  <si>
    <t>2021-07-30</t>
  </si>
  <si>
    <t>-23.5382144144041</t>
  </si>
  <si>
    <t>-46.6498976479815</t>
  </si>
  <si>
    <t>ALAMEDA NOTHMANN ESQUINA COM RUA DAS PALMEIRAS</t>
  </si>
  <si>
    <t>-23.5365049908145</t>
  </si>
  <si>
    <t>-46.6521018068913</t>
  </si>
  <si>
    <t>ALAMEDA GLETE ESQUINA COM AVENIDA SAO JOAO</t>
  </si>
  <si>
    <t>-23.5367845204805</t>
  </si>
  <si>
    <t>-46.6497277732494</t>
  </si>
  <si>
    <t>RUA MARTIM FRANCISCO ESQUINA COM A RUA DAS PALMEIRAS</t>
  </si>
  <si>
    <t>-23.5378502238662</t>
  </si>
  <si>
    <t>-46.6507982177156</t>
  </si>
  <si>
    <t>LARGO SANTA CECILIA ESQUINA COM RUA DAS PALMEIRAS</t>
  </si>
  <si>
    <t>-23.5386928608041</t>
  </si>
  <si>
    <t>-46.6497237668978</t>
  </si>
  <si>
    <t>ALAMEDA EDUARDO PRADO ESQUINA COM ALAMEDA BARAO DE LIMEIRA</t>
  </si>
  <si>
    <t>-23.5312131271509</t>
  </si>
  <si>
    <t>-46.6499659778838</t>
  </si>
  <si>
    <t>ALAMEDA BARAO DE LIMEIRA ESQUINA COM A RUA GENERAL RONDOM</t>
  </si>
  <si>
    <t>-23.537174876609</t>
  </si>
  <si>
    <t>-46.6452096431325</t>
  </si>
  <si>
    <t>RUA DOS GUIANAZES 983 ENTRE A ALAMEDA NOTHMANN E GLETE</t>
  </si>
  <si>
    <t>-23.5336757332694</t>
  </si>
  <si>
    <t>-46.6457193452694</t>
  </si>
  <si>
    <t>RUA DAS PALMEIRAS 311</t>
  </si>
  <si>
    <t>-23.5370147119833</t>
  </si>
  <si>
    <t>-46.6519094122057</t>
  </si>
  <si>
    <t>ALAMEDA BARAO DE PIRACICABA AO LADO DO POSTO DE BOMBEIRO CAMPOS ELISEOS</t>
  </si>
  <si>
    <t>2021-04-28</t>
  </si>
  <si>
    <t>-23.5351688085136</t>
  </si>
  <si>
    <t>-46.641993030454</t>
  </si>
  <si>
    <t>RUA GUAIANASES ESQUINA COM A ALAMEDA GLETE</t>
  </si>
  <si>
    <t>-23.5341516331114</t>
  </si>
  <si>
    <t>-46.645617386637</t>
  </si>
  <si>
    <t>RUA DOS GUIANASES ESQUINA COM A ALAMEDA RIBEIRO DA SILVA</t>
  </si>
  <si>
    <t>-23.5311440109726</t>
  </si>
  <si>
    <t>-46.6474786329265</t>
  </si>
  <si>
    <t>RUA FREDERICO ABRANCHES ESQUINA COM A RUA DONA VERIDIANA       LARGO SANTA CECILIA</t>
  </si>
  <si>
    <t>-23.5398302171343</t>
  </si>
  <si>
    <t>-46.6501800828288</t>
  </si>
  <si>
    <t>ALAMEDA NOTHMANN ESQUINA COM AVENIDA SAO JOAO</t>
  </si>
  <si>
    <t>-23.5362160700088</t>
  </si>
  <si>
    <t>-46.6516287995513</t>
  </si>
  <si>
    <t>RUA ADOLFO GORDO ESQUINA COM ALAMEDA RIBEIRO DA SILVA</t>
  </si>
  <si>
    <t>-23.5330132335689</t>
  </si>
  <si>
    <t>-46.6499358401416</t>
  </si>
  <si>
    <t>AVENIDA SAO JOAO  ESQUINA COM AVENIDA DUQUE DE CAXIAS</t>
  </si>
  <si>
    <t>-23.5391288836732</t>
  </si>
  <si>
    <t>-46.6464287035614</t>
  </si>
  <si>
    <t>ALAMEDA EDUARDO PRADO ESQUINA COM A ALAMEDA BARAO DE PIRACICABA</t>
  </si>
  <si>
    <t>-23.5289708734435</t>
  </si>
  <si>
    <t>-46.646531421239</t>
  </si>
  <si>
    <t>ALAMEDA NOTHMANN ESQUINA COM A RUA ADOLFO GORDO</t>
  </si>
  <si>
    <t>-23.5341830601442</t>
  </si>
  <si>
    <t>-46.6489580932735</t>
  </si>
  <si>
    <t>AVENIDA RIO BRANCO ESQUINA COM A ALMEDA NOTHMANN</t>
  </si>
  <si>
    <t>-23.5319748487824</t>
  </si>
  <si>
    <t>-46.6454606139391</t>
  </si>
  <si>
    <t>AVENIDA ANGELICA ESQUINA COM RUA BARONESA DE ITU</t>
  </si>
  <si>
    <t>-23.5399425509072</t>
  </si>
  <si>
    <t>-46.6551626435062</t>
  </si>
  <si>
    <t>RUA CANUTO DA VAL ESQUINA COM A RUA MARTIM FRANCISCO</t>
  </si>
  <si>
    <t>-23.5400336178611</t>
  </si>
  <si>
    <t>-46.6530332607546</t>
  </si>
  <si>
    <t>PRACA OLAVO BILAC 90</t>
  </si>
  <si>
    <t>-23.5334127723463</t>
  </si>
  <si>
    <t>-46.6524163550441</t>
  </si>
  <si>
    <t>RUA FORTUNATO ESQUINA COM A RUA FREDERICO ABRANCHES</t>
  </si>
  <si>
    <t>-23.5390953103685</t>
  </si>
  <si>
    <t>-46.6512441905826</t>
  </si>
  <si>
    <t>RUA DOUTOR CARVALHO DE MENDONCA ESQUINA COM A RUA GENERAL JULIO MARCONDES SALGADO</t>
  </si>
  <si>
    <t>-23.5341813269265</t>
  </si>
  <si>
    <t>-46.6518567340694</t>
  </si>
  <si>
    <t>RUA HELVETIA ESQUINA COM A RUA GUAIANASES</t>
  </si>
  <si>
    <t>-23.5354094366942</t>
  </si>
  <si>
    <t>-46.6446462597816</t>
  </si>
  <si>
    <t>RUA HELVETIA ESQUINA COM A ALAMEDA BARAO DE LIMEIRA</t>
  </si>
  <si>
    <t>-23.5363004389035</t>
  </si>
  <si>
    <t>-46.6460049875396</t>
  </si>
  <si>
    <t>ALAMEDA CLEVELAND ESQUINA COM ALAMEDA NOTHMANN</t>
  </si>
  <si>
    <t>-23.5306121471223</t>
  </si>
  <si>
    <t>-46.6428021611855</t>
  </si>
  <si>
    <t>RUA VITORINO CARMILO ESQUINA COM A RUA DOUTOR CARVALHO DE MENDONCA</t>
  </si>
  <si>
    <t>-23.5340705632506</t>
  </si>
  <si>
    <t>-46.6503444852356</t>
  </si>
  <si>
    <t>RUA BARAO DE TATUI ESQUINA COM RUA JAGUARIBE</t>
  </si>
  <si>
    <t>-23.5413503407949</t>
  </si>
  <si>
    <t>-46.6550813272344</t>
  </si>
  <si>
    <t>ALAMEDA BARROS ESQUINA COM AVENIDA ANGELICA</t>
  </si>
  <si>
    <t>-23.5371663022202</t>
  </si>
  <si>
    <t>-46.6542800422291</t>
  </si>
  <si>
    <t>ALAMEDA GLETE ESQUINA COM RUA VITORINO CARMILO</t>
  </si>
  <si>
    <t>-23.5361643538897</t>
  </si>
  <si>
    <t>-46.6487975233633</t>
  </si>
  <si>
    <t>RUA ALAMEDA BARROS ESQUINA COM A RUA MARTIM FRANCISCO</t>
  </si>
  <si>
    <t>-23.538396418512</t>
  </si>
  <si>
    <t>-46.65177515754</t>
  </si>
  <si>
    <t>RUA JAGUARIBE ESQUINA COM A RUA AURELIANO COUTINHO</t>
  </si>
  <si>
    <t>-23.5414720627432</t>
  </si>
  <si>
    <t>-46.6532929964175</t>
  </si>
  <si>
    <t>RUA BARAO DE PIRACICABA ESQUINA COM AVENIDA DUQUE DE CAXIAS</t>
  </si>
  <si>
    <t>-23.5357394831817</t>
  </si>
  <si>
    <t>-46.6418085400937</t>
  </si>
  <si>
    <t>RUA JAGUARIBE ESQUINA COM A RUA JESUINO PASCOAL</t>
  </si>
  <si>
    <t>-23.5415712234107</t>
  </si>
  <si>
    <t>-46.6498980223978</t>
  </si>
  <si>
    <t>Rua DONA VERIDIANA ESQUINA COM RUA CANUTO DO VAL</t>
  </si>
  <si>
    <t>-23.5405155428354</t>
  </si>
  <si>
    <t>-46.6507085530716</t>
  </si>
  <si>
    <t>ALAMEDA BARAO DE PIRACICABA ESQUINA COM ALAMEDA GLETE</t>
  </si>
  <si>
    <t>-23.5328820173731</t>
  </si>
  <si>
    <t>-46.6436204058352</t>
  </si>
  <si>
    <t>RUA VITORINO CARMILO ESQUINA COM ALAMEDA NOTHMANN</t>
  </si>
  <si>
    <t>-23.5349729425586</t>
  </si>
  <si>
    <t>-46.6496996456114</t>
  </si>
  <si>
    <t>ALAMEDA BARAO DE LIMEIRA EQUINA COM A ALAMEDA GLETE</t>
  </si>
  <si>
    <t>-23.5352132007777</t>
  </si>
  <si>
    <t>-46.6468291461579</t>
  </si>
  <si>
    <t>RUA HELVETIA PROXIMO A ESQUINA COM A AVENIDA SAO JOAO</t>
  </si>
  <si>
    <t>-23.5378524596492</t>
  </si>
  <si>
    <t>-46.6487481912756</t>
  </si>
  <si>
    <t>ALAMEDA RIBEIRO DA SILVA ESQUINA COM A ALAMEDA DINO BUENO</t>
  </si>
  <si>
    <t>-23.5294983211169</t>
  </si>
  <si>
    <t>-46.6448778030454</t>
  </si>
  <si>
    <t>ALAMEDA CLEVELAND 748 DEFRONTE A ALAMEDA RIBEIRO DA SILVA</t>
  </si>
  <si>
    <t>-23.5290087640554</t>
  </si>
  <si>
    <t>-46.6439807679638</t>
  </si>
  <si>
    <t>ALAMEDA CLEVELAND DEFRONTE A RUA HELVETIA</t>
  </si>
  <si>
    <t>-23.532990662406</t>
  </si>
  <si>
    <t>-46.6410112720092</t>
  </si>
  <si>
    <t>RUA FORTUNATO ESQUINA COM A RUA JAGUARIBE</t>
  </si>
  <si>
    <t>2021-10-01</t>
  </si>
  <si>
    <t>-23.541500848526</t>
  </si>
  <si>
    <t>-46.6520326531239</t>
  </si>
  <si>
    <t>PRACA CAVICA ULYSSES GUIMARAES NA CALCADA DO MUSEU CATAVENTO</t>
  </si>
  <si>
    <t>-23.5448095011529</t>
  </si>
  <si>
    <t>-46.6267562845059</t>
  </si>
  <si>
    <t>RUA BOA VISTA 320 EM FRENTE A SAIDA DO METRO SAO BENTO</t>
  </si>
  <si>
    <t>-23.5447932150275</t>
  </si>
  <si>
    <t>-46.6337950638612</t>
  </si>
  <si>
    <t>RUA CARLOS DE SOUSA NAZARE ESQUINA COM A RUA VINTE E CINCO DE MARCO</t>
  </si>
  <si>
    <t>-23.5407070851222</t>
  </si>
  <si>
    <t>-46.6322761068382</t>
  </si>
  <si>
    <t>RUA FLORENCIO DE ABRREU ESQUINA COM A AVENIDA SENADOR QUEIROZ</t>
  </si>
  <si>
    <t>-23.539093898666</t>
  </si>
  <si>
    <t>-46.6330481172238</t>
  </si>
  <si>
    <t>AVENIDA DO ESTADO EM FRENTE A RUA LOUSADA</t>
  </si>
  <si>
    <t>-23.5510593905083</t>
  </si>
  <si>
    <t>-46.6278745280214</t>
  </si>
  <si>
    <t>AVENIDA TIRADENTES 940 AO LADO DE UMA ENTRADA DA ESTACAO LUZ DO METRO PROXIMO A PASSARELA</t>
  </si>
  <si>
    <t>-23.5364011653265</t>
  </si>
  <si>
    <t>-46.633412226503</t>
  </si>
  <si>
    <t>RUA CAVALHEIRO BASILIO JAFET ESQUINA COM A RUA COMENDADOR ABDO SCHAHIN</t>
  </si>
  <si>
    <t>-23.5441002850785</t>
  </si>
  <si>
    <t>-46.6320450659876</t>
  </si>
  <si>
    <t>RUA VINTE E CINCO DE MARCO ESQUINA COM A RUA VIRGILINA SALES</t>
  </si>
  <si>
    <t>-23.5433541843279</t>
  </si>
  <si>
    <t>-46.6322826161355</t>
  </si>
  <si>
    <t>PRACA FERNANDO COSTA ESQUINA COM A RUA DOUTOR BITTENCOURT RODRIGUES</t>
  </si>
  <si>
    <t>-23.547388276814</t>
  </si>
  <si>
    <t>-46.6318342061417</t>
  </si>
  <si>
    <t>RUA CAVALHEIRO BASILIO JAFET ESQUINA COM O PARQUE DOM PEDRO</t>
  </si>
  <si>
    <t>-23.5444818873303</t>
  </si>
  <si>
    <t>-46.6308298623161</t>
  </si>
  <si>
    <t>RUA JOAO BRICOLA ESQUINA COM A RUA BOA VISTA</t>
  </si>
  <si>
    <t>-23.5451539726859</t>
  </si>
  <si>
    <t>-46.6337744051241</t>
  </si>
  <si>
    <t>RUA BARAO DE DUPRAT ESQUINA COM A RUA ILHA DAS FLORES</t>
  </si>
  <si>
    <t>-23.5390727567145</t>
  </si>
  <si>
    <t>-46.6308178687139</t>
  </si>
  <si>
    <t>RUA MAUA PROXIMO DA ESQUINA COM A RUA ANTONIO PAIS</t>
  </si>
  <si>
    <t>-23.5368788274212</t>
  </si>
  <si>
    <t>-46.6299325332922</t>
  </si>
  <si>
    <t>RUA PAULA SOUSA ESQUINA COM A RUA DA CANTAREIRA</t>
  </si>
  <si>
    <t>-23.5388897238841</t>
  </si>
  <si>
    <t>-46.6289980461845</t>
  </si>
  <si>
    <t>RUA PAULA SOUSA 208</t>
  </si>
  <si>
    <t>-23.5383942087013</t>
  </si>
  <si>
    <t>-46.6309741624948</t>
  </si>
  <si>
    <t>RUA MAUA ESQUINA COM A ZVIELA AGUIAR ANDRADE</t>
  </si>
  <si>
    <t>-23.5366610797681</t>
  </si>
  <si>
    <t>-46.630846173976</t>
  </si>
  <si>
    <t>RUA JORGE AZEM ESQUINA COM A PRACA RAGUEB CHOHFI</t>
  </si>
  <si>
    <t>-23.5447381819948</t>
  </si>
  <si>
    <t>-46.631612490809</t>
  </si>
  <si>
    <t>RUA COMENDADOR AFONSO KHERLAKIAN ESQUINA COM A RUA BARAO DE DUPRAT</t>
  </si>
  <si>
    <t>-23.5419153755027</t>
  </si>
  <si>
    <t>-46.6309776285187</t>
  </si>
  <si>
    <t>RUA VINTE E CINCO DE MARCO 881 DEFRONTE A RUA COMENDADOR AFONSO HKERLAKIAN</t>
  </si>
  <si>
    <t>-23.5419396958458</t>
  </si>
  <si>
    <t>-46.6323746548952</t>
  </si>
  <si>
    <t>RUA AUGUSTO SEVERO 87 ENTRE A RUA CARLOS DE SOUSA NAZARE E AVENIDA SENADOR QUEIROZO</t>
  </si>
  <si>
    <t>-23.5400778157696</t>
  </si>
  <si>
    <t>-46.6333427071752</t>
  </si>
  <si>
    <t>RUA BOA VISTA ESQUINA RUA FLORENCIO DE ABREU</t>
  </si>
  <si>
    <t>-23.5439998057758</t>
  </si>
  <si>
    <t>-46.6338957741171</t>
  </si>
  <si>
    <t>RUA ALEXANDRIA ENTRE A RUAS FREDERICO ALVARENGA E O PARQUE DOM PEDRO II</t>
  </si>
  <si>
    <t>-23.5498376748553</t>
  </si>
  <si>
    <t>-46.6293236752497</t>
  </si>
  <si>
    <t>RUA FLORENCIO DE ABREU 373 ESQUINA COM O VIADUTO SOBRE A RUA CARLOS DE SOUSA NAZARE</t>
  </si>
  <si>
    <t>-23.5408416025216</t>
  </si>
  <si>
    <t>-46.6328982161757</t>
  </si>
  <si>
    <t>PRACA DOUTOR JOAO MENDES MEIO DA PRACA</t>
  </si>
  <si>
    <t>-23.5524955216775</t>
  </si>
  <si>
    <t>-46.6340415517899</t>
  </si>
  <si>
    <t>AVENIDA LIBERDADE ENFRENTE A ESTACAO LIBERDADE DO METRO</t>
  </si>
  <si>
    <t>-23.5551729550468</t>
  </si>
  <si>
    <t>-46.6360652669642</t>
  </si>
  <si>
    <t>PRACA DOUTOR MARIO MARGARIDO ESQUINA RUA GLICERIO</t>
  </si>
  <si>
    <t>-23.5545790855083</t>
  </si>
  <si>
    <t>-46.6285511019395</t>
  </si>
  <si>
    <t>AVENIDA DA LIBERDADE ESQUINA COM A RUA DOS ESTUDANTES</t>
  </si>
  <si>
    <t>-23.5552998992476</t>
  </si>
  <si>
    <t>-46.6357864108644</t>
  </si>
  <si>
    <t>RUA DOUTOR TOMAZ DE LIMA ESQUINA COM A RUA DOS ESTUDANTES</t>
  </si>
  <si>
    <t>-23.5555003100512</t>
  </si>
  <si>
    <t>-46.6321209150485</t>
  </si>
  <si>
    <t>RUA DOS ESTUDANTES ESQUINA COM A RUA CONSELHEIRO FURTADO</t>
  </si>
  <si>
    <t>-23.5553756116377</t>
  </si>
  <si>
    <t>-46.6333049906266</t>
  </si>
  <si>
    <t>PRACA DA LIBERDADE ESQUINA COM A RUA GALVAO BUENO</t>
  </si>
  <si>
    <t>-23.5556381220931</t>
  </si>
  <si>
    <t>-46.6353357546772</t>
  </si>
  <si>
    <t>RUA CONDE DE SARZEDAS ESQUINA COM A RUA DOUTOR TOMAZ DE LIMA</t>
  </si>
  <si>
    <t>-23.5538545222621</t>
  </si>
  <si>
    <t>-46.6321011964694</t>
  </si>
  <si>
    <t>RUA SANTA LUZIA ESQUINA COM A RUA CONSELHEIRO FURTADO</t>
  </si>
  <si>
    <t>-23.5547961177279</t>
  </si>
  <si>
    <t>-46.6329339470426</t>
  </si>
  <si>
    <t>RUA DA GLORIA ESQUINA COM A RUA DOS ESTUDANTE</t>
  </si>
  <si>
    <t>-23.5555793316975</t>
  </si>
  <si>
    <t>-46.6341993835173</t>
  </si>
  <si>
    <t>AVENIDA 23 DE MAIO DEFRONTE AO ESCADAO DE ACESSO A RUA RIACHUELO</t>
  </si>
  <si>
    <t>-23.5502383261951</t>
  </si>
  <si>
    <t>-46.6380656868775</t>
  </si>
  <si>
    <t>VIADUTO DONA PAULINA 80 DEFRONTE AO FORUM HELY LOPES MEIRELLES</t>
  </si>
  <si>
    <t>-23.5519746232585</t>
  </si>
  <si>
    <t>-46.6361785525593</t>
  </si>
  <si>
    <t>PATEO DO COLEGIO OPOSTO A RUA ANCHIETA</t>
  </si>
  <si>
    <t>-23.5482509224545</t>
  </si>
  <si>
    <t>-46.6327870589165</t>
  </si>
  <si>
    <t>PRACA CLOVIS BEVILACQUA COMANDO DO CORPO DE BOMBEIROS</t>
  </si>
  <si>
    <t>-23.5516531548796</t>
  </si>
  <si>
    <t>-46.6322473249098</t>
  </si>
  <si>
    <t>RUA LIBERO BADARO DEFRONTE A RUA DOUTOR FALCAO FILHO</t>
  </si>
  <si>
    <t>-23.5477298088316</t>
  </si>
  <si>
    <t>-46.6369182870142</t>
  </si>
  <si>
    <t>PRACA CLOVIS BEVILACQUA PROXIMO AO COMANDO DO CORPO DE BOMBEIROS</t>
  </si>
  <si>
    <t>-23.5512200548799</t>
  </si>
  <si>
    <t>-46.6320342827575</t>
  </si>
  <si>
    <t>RUA BOA VISTA ESQUINA COM A RUA SAO BENTO</t>
  </si>
  <si>
    <t>-23.5445934057972</t>
  </si>
  <si>
    <t>-46.6342317628589</t>
  </si>
  <si>
    <t>RUA FELIPE DE OLIVEIRA ESQUINA COM A RUA ANITA GARIBALDI</t>
  </si>
  <si>
    <t>-23.5518068000663</t>
  </si>
  <si>
    <t>-46.632704196966</t>
  </si>
  <si>
    <t>RUA RIACHUELO ESQUINA COM A AVENIDA BRIGADEIRO LUIS ANTONIO</t>
  </si>
  <si>
    <t>-23.5507072097624</t>
  </si>
  <si>
    <t>-46.6366106556763</t>
  </si>
  <si>
    <t>RUA LIBERO BADARO ESQUINA COM A RUA JOSE BONIFACIO</t>
  </si>
  <si>
    <t>-23.5489823060176</t>
  </si>
  <si>
    <t>-46.6376953277357</t>
  </si>
  <si>
    <t>RUA SAO FRANCISCO ESQUINA COM A PRACA DA BANDEIRA</t>
  </si>
  <si>
    <t>-23.5485736700799</t>
  </si>
  <si>
    <t>-46.6385679856987</t>
  </si>
  <si>
    <t>AVENIDA SAO JOAO ESQUINA COM A RUA LIBERO BADARO</t>
  </si>
  <si>
    <t>-23.545149959003</t>
  </si>
  <si>
    <t>-46.6353167000015</t>
  </si>
  <si>
    <t>PRACA OUVIDOR PACHECO E SILVA 38</t>
  </si>
  <si>
    <t>-23.5493406712615</t>
  </si>
  <si>
    <t>-46.636841244696</t>
  </si>
  <si>
    <t>PRACA CLOVIS BEVILAQUA DEFRONTE A SAIDA DO METRO ACESSO A CATEDRAL DA SE</t>
  </si>
  <si>
    <t>-23.5512797873626</t>
  </si>
  <si>
    <t>-46.6338541306191</t>
  </si>
  <si>
    <t>RUA ANCHIETA ESQUINA COM O PATEO DO COLEGIO</t>
  </si>
  <si>
    <t>-23.5484252630258</t>
  </si>
  <si>
    <t>-46.6332128704173</t>
  </si>
  <si>
    <t>RUA FREDERICO ALVARENGA DEFRONTE A RUA ALEXANDRIA</t>
  </si>
  <si>
    <t>-23.550076749186</t>
  </si>
  <si>
    <t>-46.629658736476</t>
  </si>
  <si>
    <t>RUA DOUTOR BITENCOURRT RODRIGUES ESQUINA COM A RUA VENCESLAU BRAS</t>
  </si>
  <si>
    <t>-23.5492312005002</t>
  </si>
  <si>
    <t>-46.6311246992924</t>
  </si>
  <si>
    <t>RUA LIBERO BADARO DEFRONTE A RUA DOUTOR MIGUEL COUTO TRAVESSA DE ACESSO AO VALE DO ANHANGABAU</t>
  </si>
  <si>
    <t>-23.5462474182472</t>
  </si>
  <si>
    <t>-46.6361859294138</t>
  </si>
  <si>
    <t>RUA DA QUITANDA ESQUINA COM A RUA QUINZE DE NOVEMBRO</t>
  </si>
  <si>
    <t>-23.5474459848332</t>
  </si>
  <si>
    <t>-46.6343117999733</t>
  </si>
  <si>
    <t>RUA QUINTINO BOCAIUVA ESQUINA COM A RUA JOSE BONIFACIO</t>
  </si>
  <si>
    <t>-23.549122007164</t>
  </si>
  <si>
    <t>-46.6346931146875</t>
  </si>
  <si>
    <t>RUA QUINTINO BOCAIUVA ESQUINA COM A RUA SENADOR FEIJO</t>
  </si>
  <si>
    <t>-23.5507135625547</t>
  </si>
  <si>
    <t>-46.6351304556029</t>
  </si>
  <si>
    <t>RUA QUINZE DE NOVEMBRO 233  EM FRENTE AO BANCO BRADESCO</t>
  </si>
  <si>
    <t>-23.5469799053984</t>
  </si>
  <si>
    <t>-46.6344176165656</t>
  </si>
  <si>
    <t>RUA SENADOR FEIJO ESQUINA COM A PRACA DA SE</t>
  </si>
  <si>
    <t>-23.5509189254172</t>
  </si>
  <si>
    <t>-46.6346611406107</t>
  </si>
  <si>
    <t>RUA RIACHUELO ESQUINA COM A RUA QUINTINO BOCAIUVA</t>
  </si>
  <si>
    <t>-23.5509942708749</t>
  </si>
  <si>
    <t>-46.6355648302365</t>
  </si>
  <si>
    <t>RUA QUINTINO BOCAIUVA ESQUINA COM A RUA BENJAMIM CONSTANT</t>
  </si>
  <si>
    <t>-23.5500070213235</t>
  </si>
  <si>
    <t>-46.6349617844511</t>
  </si>
  <si>
    <t>RUA DO TESOURO ESQUINA COM A RUA QUINZE DE NOVEMBRO</t>
  </si>
  <si>
    <t>-23.5481889611865</t>
  </si>
  <si>
    <t>-46.6340758523617</t>
  </si>
  <si>
    <t>RUA JOSE BONIFACIO ESQUINA COM A RUA QUINTINO BOCAIUVA</t>
  </si>
  <si>
    <t>-23.5491193588065</t>
  </si>
  <si>
    <t>-46.6350063186907</t>
  </si>
  <si>
    <t>PRACA DA SE ENFRENTE A CAIXA ECONOMICA CENTRAL</t>
  </si>
  <si>
    <t>2021-11-19</t>
  </si>
  <si>
    <t>-23.5493589838539</t>
  </si>
  <si>
    <t>-46.6329855135136</t>
  </si>
  <si>
    <t>RUA BENJAMIM CONSTANT  LARGO SAO FRANCISCO ESQUINA COM A RUA SENADOR PAULO EGIDIOZ</t>
  </si>
  <si>
    <t>-23.5494863414584</t>
  </si>
  <si>
    <t>-46.6363261743694</t>
  </si>
  <si>
    <t>RUA TABATINGUERA ESQUINA COM A RUA FREDERICO ALVARENGA</t>
  </si>
  <si>
    <t>-23.5520513716134</t>
  </si>
  <si>
    <t>-46.6277838943159</t>
  </si>
  <si>
    <t>RUA VENCESLAU BRAS DEFRONTE A RUA IRMA SIMPLICIANA</t>
  </si>
  <si>
    <t>-23.5493835782057</t>
  </si>
  <si>
    <t>-46.6327474599171</t>
  </si>
  <si>
    <t>RUA ONZE DE AGOSTO ESQUINA COM A PRACA DOUTO JOAO MENDES</t>
  </si>
  <si>
    <t>-23.551988021895</t>
  </si>
  <si>
    <t>-46.6339182541361</t>
  </si>
  <si>
    <t>RUA ANTONIO ANDRE RODRIGUES ESQUINA COM A AVENIDA SAPOPEMBA</t>
  </si>
  <si>
    <t>-23.5735587669524</t>
  </si>
  <si>
    <t>-46.5584125816325</t>
  </si>
  <si>
    <t>AVENIDA VILA EMA ESQUINA COM RUA SANTA ELISA</t>
  </si>
  <si>
    <t>-23.5802928067752</t>
  </si>
  <si>
    <t>-46.5690388208712</t>
  </si>
  <si>
    <t>AVENIDA VILA EMA ESQUINA COM A RUA ANTONIO GOMES</t>
  </si>
  <si>
    <t>-23.580792130817</t>
  </si>
  <si>
    <t>-46.5579910901051</t>
  </si>
  <si>
    <t>AVENIDA LUCCA ESQUINA COM A RUA FLORIP</t>
  </si>
  <si>
    <t>-23.5711120246532</t>
  </si>
  <si>
    <t>-46.5609253869215</t>
  </si>
  <si>
    <t>RUA ANTONIO BITTENCOURT ESQUINA COM A RUA DOUTOR MURAI</t>
  </si>
  <si>
    <t>-23.5790795032818</t>
  </si>
  <si>
    <t>-46.5710430052523</t>
  </si>
  <si>
    <t>RUA QUIXADA ESQUINA COM A RUA ARTHUR BERNARDE</t>
  </si>
  <si>
    <t>-23.5659724446317</t>
  </si>
  <si>
    <t>-46.5666752770543</t>
  </si>
  <si>
    <t>RUA MONTESINA 210 PROXIMO A PRACA ADOLFO CAVALCANTI</t>
  </si>
  <si>
    <t>-23.5748386415783</t>
  </si>
  <si>
    <t>-46.5697659021009</t>
  </si>
  <si>
    <t>RUA MANDIUBA 381 ESQUINA COM RUA MARIUS</t>
  </si>
  <si>
    <t>-23.5769340032818</t>
  </si>
  <si>
    <t>-46.566420276707</t>
  </si>
  <si>
    <t>AVENIDA VILA EMA ESQUINA COM RUA JOAQUIM DE OLIVEIRA</t>
  </si>
  <si>
    <t>-23.5811732182852</t>
  </si>
  <si>
    <t>-46.5662436617036</t>
  </si>
  <si>
    <t>RUA CAPITAO FERRAIUOLO ESQUINA COM A RUA PROFESSOR GIULIANI</t>
  </si>
  <si>
    <t>-23.5651662720262</t>
  </si>
  <si>
    <t>-46.563390059565</t>
  </si>
  <si>
    <t>RUA LEFOSSE ESQUINA COM A RUA EDNA FONGARO</t>
  </si>
  <si>
    <t>-23.5666581240793</t>
  </si>
  <si>
    <t>-46.5607838207112</t>
  </si>
  <si>
    <t>RUA MARIA AFONSO ESQUINA COM A RUA ANDRE SANCHES CUENCA</t>
  </si>
  <si>
    <t>-23.5685591459677</t>
  </si>
  <si>
    <t>-46.5590390895713</t>
  </si>
  <si>
    <t>RUA PADRE MAURICIO ESQUINA COM A RUA VILELA</t>
  </si>
  <si>
    <t>-23.5708643104358</t>
  </si>
  <si>
    <t>-46.562057597836</t>
  </si>
  <si>
    <t>RUA DOUTOR GABRIEL DE RESENDE ESQUINA COM PARQUE DOM PEDRO I</t>
  </si>
  <si>
    <t>-23.5714566929478</t>
  </si>
  <si>
    <t>-46.5650145763596</t>
  </si>
  <si>
    <t>RUA JOAO BIZARRO DEFRONTE A RUA LUCIA MIGUEL PEREIRA</t>
  </si>
  <si>
    <t>-23.5720600545447</t>
  </si>
  <si>
    <t>-46.566399524359</t>
  </si>
  <si>
    <t>AVENIDA VILA EMA ESQUINA COM RUA CAIRIRI</t>
  </si>
  <si>
    <t>-23.5813234769592</t>
  </si>
  <si>
    <t>-46.5641607550016</t>
  </si>
  <si>
    <t>RUA SILVIO DE SOUZA ESQUINA COM AVENIDA VILA EMA</t>
  </si>
  <si>
    <t>-23.5806704781122</t>
  </si>
  <si>
    <t>-46.5603960508902</t>
  </si>
  <si>
    <t>RUA ITAPERIMA ESQUINA COM A RUA NHEGAIBAS</t>
  </si>
  <si>
    <t>-23.5792835492445</t>
  </si>
  <si>
    <t>-46.5659500613276</t>
  </si>
  <si>
    <t>RUA DOMINGOS AFONSO PROXIMA A  ESQUINA COM RUA ANTERO DE QUENTAL</t>
  </si>
  <si>
    <t>-23.5777342357251</t>
  </si>
  <si>
    <t>-46.5625783122744</t>
  </si>
  <si>
    <t>RUA CAXIUNHA ESQUINA COM A RUA ITIUBA</t>
  </si>
  <si>
    <t>-23.5758357639959</t>
  </si>
  <si>
    <t>-46.5669969276672</t>
  </si>
  <si>
    <t>RUA GOPIARA 393  NO FINAL DA RUA</t>
  </si>
  <si>
    <t>-23.5758868603193</t>
  </si>
  <si>
    <t>-46.5685176515771</t>
  </si>
  <si>
    <t>RUA ANTONIO BITTENCOURT 188 EM FRENTE A RUA NHEGAIBAS</t>
  </si>
  <si>
    <t>-23.5772518621008</t>
  </si>
  <si>
    <t>-46.5692500322122</t>
  </si>
  <si>
    <t>RUA PLACIDO DE CASTRO ESQUINA RUA JOAO TEIXEIRA DA SILVA</t>
  </si>
  <si>
    <t>-23.5682273468892</t>
  </si>
  <si>
    <t>-46.5635749280449</t>
  </si>
  <si>
    <t>RUA DOMINGOS AFONSO ESQUINA COM A RUA EMAS</t>
  </si>
  <si>
    <t>-23.5749079471163</t>
  </si>
  <si>
    <t>-46.5624046945329</t>
  </si>
  <si>
    <t>RUA CAPITAO MILITAO ESQUINA COM A RUA SILVIO DE SOUZA</t>
  </si>
  <si>
    <t>-23.576500702217</t>
  </si>
  <si>
    <t>-46.5598758782085</t>
  </si>
  <si>
    <t>RUA LUIS GERALDO DA SILVA DEFRONTE A RUA JOAO FIALHO DE CARVALHO</t>
  </si>
  <si>
    <t>-23.5743948858922</t>
  </si>
  <si>
    <t>-46.5596069802495</t>
  </si>
  <si>
    <t>AVENIDA SAPOPEMBA ESQUINA COM A RUA DOUTOR GABRIEL DE REZENDE</t>
  </si>
  <si>
    <t>-23.57284902805</t>
  </si>
  <si>
    <t>-46.5614846275009</t>
  </si>
  <si>
    <t>RUA OITI 325 DEFRONTE A RUA CAPITUBA</t>
  </si>
  <si>
    <t>-23.561422032642</t>
  </si>
  <si>
    <t>-46.5697898926048</t>
  </si>
  <si>
    <t>AVENIDA SAPOPEMBA 330 PROXIMO A RUA IMBO</t>
  </si>
  <si>
    <t>-23.5620401302432</t>
  </si>
  <si>
    <t>-46.5741402083999</t>
  </si>
  <si>
    <t>MAJOR BASILIO DEFRONTE A RUA SIQUEIRA BUENO</t>
  </si>
  <si>
    <t>-23.5575651940623</t>
  </si>
  <si>
    <t>-46.5799119493304</t>
  </si>
  <si>
    <t>RUA DR JOAO INACIO TEIXEIRA ESQUINA COM RUA FERNANDO FALCAO</t>
  </si>
  <si>
    <t>-23.5576783205115</t>
  </si>
  <si>
    <t>-46.5854712900148</t>
  </si>
  <si>
    <t>RUA PIRASSUNUNGA 418 DEFRONTE COM A RUA PADRE JOAQUIM DA SOLEDADE</t>
  </si>
  <si>
    <t>-23.5607772067304</t>
  </si>
  <si>
    <t>-46.5774014771181</t>
  </si>
  <si>
    <t>RUA DA MOOCA ESQUINA COM A RUA TEREsINA</t>
  </si>
  <si>
    <t>-23.5615035489061</t>
  </si>
  <si>
    <t>-46.5832518288243</t>
  </si>
  <si>
    <t>RUA JOAO BORBA ESQUINA COM A RUA SALVADOR FIORDELISIO</t>
  </si>
  <si>
    <t>-23.5574744762424</t>
  </si>
  <si>
    <t>-46.5836998611607</t>
  </si>
  <si>
    <t>RUA PANTOJO EM FRENTE A RUA BAGUACU</t>
  </si>
  <si>
    <t>-23.5572763393634</t>
  </si>
  <si>
    <t>-46.5754777576159</t>
  </si>
  <si>
    <t>RUA PIRASSUNUNGA ESQUINA COM A RUA AVAIZ</t>
  </si>
  <si>
    <t>-23.5597452215966</t>
  </si>
  <si>
    <t>-46.579047722585</t>
  </si>
  <si>
    <t>RUA PEREIRA JACOME ESQUINA COM A RUA DOIS CORREGOS</t>
  </si>
  <si>
    <t>-23.5601496862426</t>
  </si>
  <si>
    <t>-46.5848031909671</t>
  </si>
  <si>
    <t>RUA TIE ESQUINA COM A RUA DO ACRE</t>
  </si>
  <si>
    <t>-23.5583220175973</t>
  </si>
  <si>
    <t>-46.580655372216</t>
  </si>
  <si>
    <t>RUA SERRA NEGRA ESQUINA COM AVENIDA SALIM FARAH MALUF</t>
  </si>
  <si>
    <t>-23.552263581656</t>
  </si>
  <si>
    <t>-46.5779466951936</t>
  </si>
  <si>
    <t>AVENIDA SALIM FARAH MALUF ESQUINA COM A RUA SILVA</t>
  </si>
  <si>
    <t>-23.5505729869672</t>
  </si>
  <si>
    <t>-46.5786508490955</t>
  </si>
  <si>
    <t>RUA DO ACRE ESQUINA COM A RUA NATAL</t>
  </si>
  <si>
    <t>-23.5590731692289</t>
  </si>
  <si>
    <t>-46.582250626178</t>
  </si>
  <si>
    <t>RUA PANTOJO ESQUINA COM A RUA IMBO</t>
  </si>
  <si>
    <t>-23.5588662735977</t>
  </si>
  <si>
    <t>-46.5719670588092</t>
  </si>
  <si>
    <t>VILA BERTIOGA</t>
  </si>
  <si>
    <t>AVENIDA SAPOPEMBA 1829 PROXIMO RUA TOCANDIRA</t>
  </si>
  <si>
    <t>-23.5712351936526</t>
  </si>
  <si>
    <t>-46.5696979956751</t>
  </si>
  <si>
    <t>RUA DA MOOCA PROXIMO DA ESQUINA COM A RUA BARRETOS</t>
  </si>
  <si>
    <t>-23.5608911444663</t>
  </si>
  <si>
    <t>-46.5851756815977</t>
  </si>
  <si>
    <t>RUA MANAUS ESQUINA COM A RUA BARRETOS</t>
  </si>
  <si>
    <t>-23.5648731694741</t>
  </si>
  <si>
    <t>-46.5853325999942</t>
  </si>
  <si>
    <t>RUA DA MOOCA PROXIMO A ESQUINA COM A RUA AVAI</t>
  </si>
  <si>
    <t>-23.562142549168</t>
  </si>
  <si>
    <t>-46.579835888396</t>
  </si>
  <si>
    <t>RUA RIBEIRAO BRANCO ESQUINA COM A RUA CAMBARA</t>
  </si>
  <si>
    <t>-23.5642716088955</t>
  </si>
  <si>
    <t>-46.5780694979296</t>
  </si>
  <si>
    <t>RUA PORTO ALEGRE EQUINZNA COM A RUA PORTO ALEGRE</t>
  </si>
  <si>
    <t>-23.5635039633602</t>
  </si>
  <si>
    <t>-46.5808563710838</t>
  </si>
  <si>
    <t>RUA JABOTICABAL 1755 DE FRONTE A RUA ATIACU</t>
  </si>
  <si>
    <t>-23.5686459707175</t>
  </si>
  <si>
    <t>-46.5770326594199</t>
  </si>
  <si>
    <t>RUA PROFESSOR OLIVEIRA FAUSTO ESQUINA COM A RUA BARRETOS</t>
  </si>
  <si>
    <t>-23.5671262699722</t>
  </si>
  <si>
    <t>-46.5858632670441</t>
  </si>
  <si>
    <t>RUA CAFESOPOLIS ESQUINA COM A RUA BARRETOS</t>
  </si>
  <si>
    <t>-23.5666027100897</t>
  </si>
  <si>
    <t>-46.5854908121009</t>
  </si>
  <si>
    <t>RUA CAMPO LARGO ESQUINA COM A RUA NATAL</t>
  </si>
  <si>
    <t>-23.567233072056</t>
  </si>
  <si>
    <t>-46.5825489142103</t>
  </si>
  <si>
    <t>RUA OURINHOS ESQUINA COM RUA PIRASSUNUNGA</t>
  </si>
  <si>
    <t>-23.5665997441869</t>
  </si>
  <si>
    <t>-46.5800171605563</t>
  </si>
  <si>
    <t>RUA TORIBA ESQUINA COM A RUA PIRAJA</t>
  </si>
  <si>
    <t>-23.5679700940899</t>
  </si>
  <si>
    <t>-46.5702525257791</t>
  </si>
  <si>
    <t>RUA DO ORATORIO ESQUINA COM RUA PROFESSOR RAUL BRIQUET</t>
  </si>
  <si>
    <t>-23.5735805304374</t>
  </si>
  <si>
    <t>-46.5805006518427</t>
  </si>
  <si>
    <t>RUA MANUAS ESQUINA COM A RUA NATAL</t>
  </si>
  <si>
    <t>-23.5645876103904</t>
  </si>
  <si>
    <t>-46.5823529496185</t>
  </si>
  <si>
    <t>RUA AMAPA GRANDE NO FINAL DA RUA SEM SAIDA</t>
  </si>
  <si>
    <t>-23.5671268446451</t>
  </si>
  <si>
    <t>-46.5751035732666</t>
  </si>
  <si>
    <t>AVENIDA INCONFIDENCIA MINEIRA ESQUINA A AVENIDA RIO DAS PEDRAS</t>
  </si>
  <si>
    <t>-23.5698023253854</t>
  </si>
  <si>
    <t>-46.508297651397</t>
  </si>
  <si>
    <t>RUA ENGENHEIRO GUILHERME CRISTIANO 1321</t>
  </si>
  <si>
    <t>-23.5695676979805</t>
  </si>
  <si>
    <t>-46.5097435750227</t>
  </si>
  <si>
    <t>AVENIDA DOS NACIONALISTAS ESQUINA COM A AVENIDA INCONFIDENCIA MINEIRA</t>
  </si>
  <si>
    <t>-23.5768800160016</t>
  </si>
  <si>
    <t>-46.5162718348427</t>
  </si>
  <si>
    <t>RUA CARNEIRO RIBEIRO PROX A RUA LUIZ BURGAIM</t>
  </si>
  <si>
    <t>2021-10-02</t>
  </si>
  <si>
    <t>-23.5668590787231</t>
  </si>
  <si>
    <t>-46.5252274504073</t>
  </si>
  <si>
    <t>AVENIDA CARNEIRO RIBEIRO ESQUINA COM A RUA LINDOLFO COLLOR</t>
  </si>
  <si>
    <t>-23.5668610079037</t>
  </si>
  <si>
    <t>-46.5235767952796</t>
  </si>
  <si>
    <t>AVENIDA RIO DAS PEDRAS ESQUINA COM A PRACA SAO JOSE VICENZOTO</t>
  </si>
  <si>
    <t>-23.565108687663</t>
  </si>
  <si>
    <t>-46.5127756587004</t>
  </si>
  <si>
    <t>RUA LINDOLFO COLOR ESQUINA COM A RUA JAIME DE AVELAR</t>
  </si>
  <si>
    <t>-23.5659890652646</t>
  </si>
  <si>
    <t>-46.5228868198106</t>
  </si>
  <si>
    <t>RUA INCONFIDENCIA MINEIRA ESQUINA COM A RUA PETROBRAS</t>
  </si>
  <si>
    <t>-23.5740213768277</t>
  </si>
  <si>
    <t>-46.5132723307105</t>
  </si>
  <si>
    <t>RUA ALMIRANTADO ESQUINA COM A RUA SAO FELIX DE CANTALICIO</t>
  </si>
  <si>
    <t>-23.5665824125254</t>
  </si>
  <si>
    <t>-46.5090178334051</t>
  </si>
  <si>
    <t>RUA DORIVAL LOURENCO DA SILVA ESQUINA COM A RUA ANTONIO VIOL</t>
  </si>
  <si>
    <t>-23.5581662190559</t>
  </si>
  <si>
    <t>-46.5182373099724</t>
  </si>
  <si>
    <t>RUA REFINARIA PRESIDENTE BERNARDES ESQUINA COM A RUA PETROBRAS</t>
  </si>
  <si>
    <t>-23.5712836918028</t>
  </si>
  <si>
    <t>-46.5161370048315</t>
  </si>
  <si>
    <t>RUA  LUIS GONZAGA DE SYOS ESQUINA COM A  RUA ARAJIPE</t>
  </si>
  <si>
    <t>-23.5672666921636</t>
  </si>
  <si>
    <t>-46.5074940255571</t>
  </si>
  <si>
    <t>RUA ALBURY ESQUINA RUA AKRON</t>
  </si>
  <si>
    <t>-23.5690623386047</t>
  </si>
  <si>
    <t>-46.5059726632963</t>
  </si>
  <si>
    <t>RUA MATILDE LA GIUDICE ESQUINA COM A RUA ALCIDES ROCHA MIRANDA</t>
  </si>
  <si>
    <t>-23.5642640322404</t>
  </si>
  <si>
    <t>-46.5112958252077</t>
  </si>
  <si>
    <t>AVENIDA ODILON PIRES ESQUINA COM A RUA ANTONIO LA GIUDICEL</t>
  </si>
  <si>
    <t>-23.56654316666</t>
  </si>
  <si>
    <t>-46.5103866217005</t>
  </si>
  <si>
    <t>RUA CORREIA DE LACERDA ESQUINA COM A AVENIDA ALBERTO CAMUS</t>
  </si>
  <si>
    <t>-23.5701087030156</t>
  </si>
  <si>
    <t>-46.521769956908</t>
  </si>
  <si>
    <t>AVENIDA ESCRAGNOLLE DORIA ESQUINA COM AVENIDA MONSENHOR ANTONIO CASTRO</t>
  </si>
  <si>
    <t>-23.5715265703542</t>
  </si>
  <si>
    <t>-46.5246588244334</t>
  </si>
  <si>
    <t>RUA JORGE OGUSHI ESQUINA COM A RUA EDUARDO LEON</t>
  </si>
  <si>
    <t>-23.567799956165</t>
  </si>
  <si>
    <t>-46.518840335443</t>
  </si>
  <si>
    <t>RUA CORONEL PAUL VACHET ESQUINA COM A RUA DOUTOR HORACIO DA COSSTA</t>
  </si>
  <si>
    <t>-23.5646628884327</t>
  </si>
  <si>
    <t>-46.5190277389468</t>
  </si>
  <si>
    <t>AVENIDA MONSENHOR ANTONIO CASTRO ESQUINA COM A RUA VISCONDE DE JERUMIN</t>
  </si>
  <si>
    <t>-23.5713452452386</t>
  </si>
  <si>
    <t>-46.5271516642557</t>
  </si>
  <si>
    <t>AVENIDA MONSENHOR ANTONIO CASTRO ESQUINA COM A RUA VISCONDE DE JURUMIN</t>
  </si>
  <si>
    <t>-23.5713674795273</t>
  </si>
  <si>
    <t>-46.5271487150189</t>
  </si>
  <si>
    <t>BARREIRA GRANDE</t>
  </si>
  <si>
    <t>RUA AMELIA VANSO MAGNOLI 412</t>
  </si>
  <si>
    <t>-23.5858751447987</t>
  </si>
  <si>
    <t>-46.5083359357965</t>
  </si>
  <si>
    <t>RUA RUFINO FERNANDES INIVARRI ESQUINA COM A RUA FREDERICO QUERCIA</t>
  </si>
  <si>
    <t>-23.5880707848246</t>
  </si>
  <si>
    <t>-46.5069229057617</t>
  </si>
  <si>
    <t>RUA AMELIA VANSO MAGNOLI ENTRE A AVENIDA BARREIRA GRANDE E A RUA FREDERICO QUERCIA</t>
  </si>
  <si>
    <t>-23.5882440769484</t>
  </si>
  <si>
    <t>-46.5088036393491</t>
  </si>
  <si>
    <t>RUA FRANCISCO RIVA ENFRENTE A PRACA</t>
  </si>
  <si>
    <t>-23.5866507248729</t>
  </si>
  <si>
    <t>-46.5075999440444</t>
  </si>
  <si>
    <t>RUA AMELIA VANSO MAGNOLI ESQUINA COM A  RUA HENRIQUE MATRAS</t>
  </si>
  <si>
    <t>-23.5854024117013</t>
  </si>
  <si>
    <t>-46.5059245547923</t>
  </si>
  <si>
    <t>RUA BACTORIA DEFRONTE COM A RUA SITIO DO SALTO</t>
  </si>
  <si>
    <t>-23.5747177283596</t>
  </si>
  <si>
    <t>-46.5232346044185</t>
  </si>
  <si>
    <t>ESTRADA DA BARREIRA GRANDE PROXIMO DA ESQUINA COM A AVENIDA INCONFIDENCIA MINEIRA</t>
  </si>
  <si>
    <t>-23.5850978962422</t>
  </si>
  <si>
    <t>-46.5200000490352</t>
  </si>
  <si>
    <t>RUA PROFESSORA ALZIRA DE OLIVEIRA EM FRENTE A ESCOLA ROQUETE PINTO</t>
  </si>
  <si>
    <t>-23.5824626806424</t>
  </si>
  <si>
    <t>-46.5162483272455</t>
  </si>
  <si>
    <t>RUA ALFREDO SILVEIRA ESQUINA COM A AVENIDA DA BARRAIRA GRANDE</t>
  </si>
  <si>
    <t>-23.5865161024493</t>
  </si>
  <si>
    <t>-46.5138586285259</t>
  </si>
  <si>
    <t>AVENIDA BARREIRA GRANDE PROXIMO A RUA MANOEL FERREIRA PIRES</t>
  </si>
  <si>
    <t>-23.584343460414</t>
  </si>
  <si>
    <t>-46.5280527749389</t>
  </si>
  <si>
    <t>RUA CASSIO DE MOURA 180 POSTO DE BOMBEIROS VILA FORMOSA</t>
  </si>
  <si>
    <t>-23.5718041405906</t>
  </si>
  <si>
    <t>-46.5300054842767</t>
  </si>
  <si>
    <t>RUA COURACA ESQUINA COM A RUA ADONIRO AUGUSTO DE PAULA</t>
  </si>
  <si>
    <t>-23.5852113283184</t>
  </si>
  <si>
    <t>-46.5118832252072</t>
  </si>
  <si>
    <t>RUA APARECIDA DE SAO MIGUEL ESQUINA COM A RUA ALTO DE SANTA HELENA</t>
  </si>
  <si>
    <t>-23.5777820444032</t>
  </si>
  <si>
    <t>-46.5054964310251</t>
  </si>
  <si>
    <t>AVENIDA RIO DAS PEDRAS ESQUINA COM A RUA ALZIRA MARUYAMA</t>
  </si>
  <si>
    <t>-23.5784407753128</t>
  </si>
  <si>
    <t>-46.5032801185595</t>
  </si>
  <si>
    <t>RUA PADRE MIGUELINHO 544 ESQUINA COM A RUA SABINO GUGLIELME</t>
  </si>
  <si>
    <t>-23.5840813158012</t>
  </si>
  <si>
    <t>-46.5212565135367</t>
  </si>
  <si>
    <t>AVENIDA ENGENHEIRO JOAO BAPTISTA ARANHA PROXIMO A RUA DEJANIRA</t>
  </si>
  <si>
    <t>-23.5498929961217</t>
  </si>
  <si>
    <t>-46.4929897760879</t>
  </si>
  <si>
    <t>RUA EMBAIXADOR OSVALDO TAVARES ESQUINA COM A RUAESPERANTINOPOLIS</t>
  </si>
  <si>
    <t>-23.548294109623</t>
  </si>
  <si>
    <t>-46.493326258172</t>
  </si>
  <si>
    <t>AVENIDA ALDEIA MANUEL ANTONIO ESQUINA COM RUA MACIEL MONTEIRO</t>
  </si>
  <si>
    <t>-23.5432992672505</t>
  </si>
  <si>
    <t>-46.4929823931698</t>
  </si>
  <si>
    <t>AVENIDA RADIAL LESTE ESQUINA COM A RUA DOUTOR NILTON SILVA</t>
  </si>
  <si>
    <t>-23.5340489882753</t>
  </si>
  <si>
    <t>-46.4975212332106</t>
  </si>
  <si>
    <t>AVENIDA PARAGUASSU PAULISTA ESQUINA COM A RUA MAJOR GOMES RIBEIRO</t>
  </si>
  <si>
    <t>-23.5363333009661</t>
  </si>
  <si>
    <t>-46.4958907274318</t>
  </si>
  <si>
    <t>RUA JOSE GUEDES ESQUINA COM RUA MAJOR BOAVENTURA</t>
  </si>
  <si>
    <t>-23.5428881706664</t>
  </si>
  <si>
    <t>-46.4915433299864</t>
  </si>
  <si>
    <t>RUA MAJOR BOAVENTURA ESQUINA COM RUA FERNANDES PEREIRA</t>
  </si>
  <si>
    <t>-23.5401793996057</t>
  </si>
  <si>
    <t>-46.4902377294566</t>
  </si>
  <si>
    <t>RUA JOSE FRANCISCO LOPES ESQUINA COM RUA DOM ANDRE ARCO VERDE</t>
  </si>
  <si>
    <t>-23.545441170149</t>
  </si>
  <si>
    <t>-46.4979445591933</t>
  </si>
  <si>
    <t>RUA PEIXOTO WERNECK PROXIMO DA ESQUINA COM A RUA BENEDITO SALGADO DA SILVA</t>
  </si>
  <si>
    <t>-23.5472594084235</t>
  </si>
  <si>
    <t>-46.4886104939944</t>
  </si>
  <si>
    <t>RUA DESEMBARGADOR CARNEIRO RIBEIRO ESQUINA COM RUA DESEMBARGADOR ROCHA PORTELA</t>
  </si>
  <si>
    <t>-23.5398818950745</t>
  </si>
  <si>
    <t>-46.4880917338975</t>
  </si>
  <si>
    <t>-23.5430082283122</t>
  </si>
  <si>
    <t>-46.4915085071022</t>
  </si>
  <si>
    <t>RUA MACIEL MONTEIRO 264 DEFRONTE A RUA GALILEU MENON</t>
  </si>
  <si>
    <t>-23.5381002126247</t>
  </si>
  <si>
    <t>-46.4905773250849</t>
  </si>
  <si>
    <t>RUA DESEMBARGADOR CARNEIRO RIBEIRO ESQUINA COM RUA ARTEMIA CRUZ</t>
  </si>
  <si>
    <t>-23.545618398364</t>
  </si>
  <si>
    <t>-46.4908219930711</t>
  </si>
  <si>
    <t>RUA PEIXOTO WERNECK ESQUINA COM AVENIDA ALDEIA MANOEL ANTONIO</t>
  </si>
  <si>
    <t>-23.5442043086007</t>
  </si>
  <si>
    <t>-46.4879136843292</t>
  </si>
  <si>
    <t>RUA DEMERVAL LESSA ESQUINA COM A RUA DESEMBARGADOR ROCHA PORTELA</t>
  </si>
  <si>
    <t>-23.538374624971</t>
  </si>
  <si>
    <t>-46.4938012246316</t>
  </si>
  <si>
    <t>RUA DESEMBARGADOR ROCHA PORTELA PROXIMO A ESQUINA DA RUA MACIEL MONTEIRO</t>
  </si>
  <si>
    <t>-23.5386540222671</t>
  </si>
  <si>
    <t>-46.490309629049</t>
  </si>
  <si>
    <t>RUA JORGE DE ALMEIDA QUIRINO ESQUINA COM A RUA NICOLAU MAFFEI</t>
  </si>
  <si>
    <t>2021-09-10</t>
  </si>
  <si>
    <t>-23.5428215461601</t>
  </si>
  <si>
    <t>-46.4878886493924</t>
  </si>
  <si>
    <t>RUA PADRE GABRIEL DE CAMPOS PROXIMO PROXIMO A ESQUINA COM AVENIDA PADRE FRANCISCO DE MOURA ROLIM</t>
  </si>
  <si>
    <t>-23.5487248544185</t>
  </si>
  <si>
    <t>-46.4868280970735</t>
  </si>
  <si>
    <t>RUA IRMAO NICOLAU DA FONSECA PROXIMO A ESQUINA COM AVENIDA WALDEMAR TIETZ</t>
  </si>
  <si>
    <t>-23.5494509487919</t>
  </si>
  <si>
    <t>-46.4852650752812</t>
  </si>
  <si>
    <t>AVENIDA WALDEMAR TIETZ PROXIMOA ESQUINA COM  AVENIDA SILVIO TORRES</t>
  </si>
  <si>
    <t>-23.553208288257</t>
  </si>
  <si>
    <t>-46.48436396313</t>
  </si>
  <si>
    <t>AVENIDA VALDEMAR TIETZ DEFRONTE A RUA PADRE TOMAIS DE VILANOVA</t>
  </si>
  <si>
    <t>-23.5498200506813</t>
  </si>
  <si>
    <t>-46.4832887253888</t>
  </si>
  <si>
    <t>RUA PADRE VITOR MARIANO DEFRONTE A RUA PADRE MANUEL BARRETO</t>
  </si>
  <si>
    <t>-23.5446811913737</t>
  </si>
  <si>
    <t>-46.4827391002173</t>
  </si>
  <si>
    <t>AVENIDA PADRE ESTANISLAU DE CAMPOS 192</t>
  </si>
  <si>
    <t>-23.5481575369046</t>
  </si>
  <si>
    <t>-46.4824955719783</t>
  </si>
  <si>
    <t>CIDADE A.E.CARVALHO</t>
  </si>
  <si>
    <t>AVENIDA AGUIA DE HAIA ESQUINA COM A RUA PACARANA</t>
  </si>
  <si>
    <t>-23.5371394559574</t>
  </si>
  <si>
    <t>-46.4753824199589</t>
  </si>
  <si>
    <t>AVENIDA AGUIA DE HAIA ESQUINA COM A RUA LOURIVAL AMERICO DA FONSECA</t>
  </si>
  <si>
    <t>-23.5377937508159</t>
  </si>
  <si>
    <t>-46.4773436201987</t>
  </si>
  <si>
    <t>RUA PACARANA ESQUINA COM RUA TUCUXI</t>
  </si>
  <si>
    <t>-23.540207092354</t>
  </si>
  <si>
    <t>-46.4743696838463</t>
  </si>
  <si>
    <t>AVENIDA AGUIA DE HAIA ESQUINA COM RUA NELSON TARTUCCE</t>
  </si>
  <si>
    <t>-23.539121877973</t>
  </si>
  <si>
    <t>-46.4829821933595</t>
  </si>
  <si>
    <t>AVENIDA AGUIA DE HAIA ESQUINA COM A PASSAGEM NOVE</t>
  </si>
  <si>
    <t>-23.5340667443803</t>
  </si>
  <si>
    <t>-46.4738761060139</t>
  </si>
  <si>
    <t>AVENIDA AGUIA DE HAIA ESQUINA COM A RUA CUIM</t>
  </si>
  <si>
    <t>-23.5284136635557</t>
  </si>
  <si>
    <t>-46.4744284967448</t>
  </si>
  <si>
    <t>RUA SONHO GAUCHO ESQUINA COM AVENIDA AGUIA DE HAIA</t>
  </si>
  <si>
    <t>-23.523967639883</t>
  </si>
  <si>
    <t>-46.4753123721745</t>
  </si>
  <si>
    <t>RUA HENRY JOLY ESQUINA COM RUA CLAUDIO PTOLOMEU</t>
  </si>
  <si>
    <t>-23.5308198077178</t>
  </si>
  <si>
    <t>-46.4813293904762</t>
  </si>
  <si>
    <t>RUA ALOANDIA ESQUINA COM A RUA TAPACURA</t>
  </si>
  <si>
    <t>-23.5290021601286</t>
  </si>
  <si>
    <t>-46.4855934854925</t>
  </si>
  <si>
    <t>RUA DOS CONTINENTES 210 DEFRONTE A  RUA MARCIANO CAPELLA</t>
  </si>
  <si>
    <t>-23.5342940935553</t>
  </si>
  <si>
    <t>-46.4888353420728</t>
  </si>
  <si>
    <t>RUA DOS CONTINENTES ESQUINA COM RUA MARCIANO CAPELLA</t>
  </si>
  <si>
    <t>-23.5339818804685</t>
  </si>
  <si>
    <t>-46.4888788871485</t>
  </si>
  <si>
    <t>RUA SAMAMBAIACU ESQUINCA COM A  RUA SAIRA</t>
  </si>
  <si>
    <t>-23.5420208751687</t>
  </si>
  <si>
    <t>-46.477913773944</t>
  </si>
  <si>
    <t>AVENIDA AGUIA DE HAIA ESQUINA COM A RUA ARQUIMEDES</t>
  </si>
  <si>
    <t>-23.5312246244923</t>
  </si>
  <si>
    <t>-46.4739081725076</t>
  </si>
  <si>
    <t>AVENIDA HERMILIO ALVES 1361 PROXIMO A RUA DEMERVAL LOBAO</t>
  </si>
  <si>
    <t>-23.534621131799</t>
  </si>
  <si>
    <t>-46.4871237866708</t>
  </si>
  <si>
    <t>RUA ARROIO TEIXEIRA PROXIMO DA ESQUINA COM A AVENIDA CALIM EID</t>
  </si>
  <si>
    <t>-23.5289254865743</t>
  </si>
  <si>
    <t>-46.4888371422202</t>
  </si>
  <si>
    <t>RUA ALOANDIA ESQUINA COM A RUA IGAROI</t>
  </si>
  <si>
    <t>-23.5297139374033</t>
  </si>
  <si>
    <t>-46.485217789044</t>
  </si>
  <si>
    <t>RUA PIRAQUARA ESQUINA COM A RUA PARATIBA</t>
  </si>
  <si>
    <t>-23.526824984194</t>
  </si>
  <si>
    <t>-46.4831896251262</t>
  </si>
  <si>
    <t>RUA MARAIAL ESQUINA COM AVENIDA ESPERANTINA   PRACA ARMA</t>
  </si>
  <si>
    <t>-23.5320960659759</t>
  </si>
  <si>
    <t>-46.486000449528</t>
  </si>
  <si>
    <t>RUA JAPANI ESQUINA COM RUA JUCIRI</t>
  </si>
  <si>
    <t>-23.5390317082488</t>
  </si>
  <si>
    <t>-46.4766203251304</t>
  </si>
  <si>
    <t>AVENIDA AGUIA DE HAIA ESQUINA COM A RUA TALES DE MILETO</t>
  </si>
  <si>
    <t>-23.5354374535349</t>
  </si>
  <si>
    <t>-46.4742406020446</t>
  </si>
  <si>
    <t>RUA DOUTOR JOAO DORIVAL CARDOSO PROXIMO DA ESQUINA COM A RUA ESTEVÃO MATIAS DOS SANTOS</t>
  </si>
  <si>
    <t>-23.5378227561151</t>
  </si>
  <si>
    <t>-46.4808386409491</t>
  </si>
  <si>
    <t>RUA JEQUITINHONHA ESQUINA COM A RUA CATUMBI</t>
  </si>
  <si>
    <t>-23.5306759234616</t>
  </si>
  <si>
    <t>-46.6019521059689</t>
  </si>
  <si>
    <t>RUA IRMA PAULA LOEBENSTEIN ESQUINA COM A RUA SEBASTIAO PEREIRA DE SOUSA</t>
  </si>
  <si>
    <t>-23.5332050493507</t>
  </si>
  <si>
    <t>-46.5987529332766</t>
  </si>
  <si>
    <t>AVENIDA CELSO GARCIA DEFRONTE A RUA DOUTOR CLEMENTINO</t>
  </si>
  <si>
    <t>-23.5369005670696</t>
  </si>
  <si>
    <t>-46.5920538382466</t>
  </si>
  <si>
    <t>AVENIDA CELSO GARCIA 2725 POSTO BELEM</t>
  </si>
  <si>
    <t>-23.5358648213625</t>
  </si>
  <si>
    <t>-46.586262912203</t>
  </si>
  <si>
    <t>RUA MANOEL RAMOS PAIVA 506 DEFRONTE A RUA PEDRO LOPES DE SOUZA</t>
  </si>
  <si>
    <t>-23.5291848202395</t>
  </si>
  <si>
    <t>-46.5999512679826</t>
  </si>
  <si>
    <t>RUA CACHOEIRA ESQUINA COM A RUA CATUMBI</t>
  </si>
  <si>
    <t>-23.5340849894319</t>
  </si>
  <si>
    <t>-46.6005322936318</t>
  </si>
  <si>
    <t>RUA INTENDENCIA ESQUINA COM AVENIDA CELSO GARCIA</t>
  </si>
  <si>
    <t>-23.5371870127789</t>
  </si>
  <si>
    <t>-46.5951362827886</t>
  </si>
  <si>
    <t>RUA SIQUEIRA BUENO ESQUINA COM A RUA JULIO DE CASTILHO</t>
  </si>
  <si>
    <t>-23.5420313568206</t>
  </si>
  <si>
    <t>-46.5957129121659</t>
  </si>
  <si>
    <t>AVENIDA CELSO GARCIA PROXIMA A ESQUINA DA RUA SALDANHA MARINHO</t>
  </si>
  <si>
    <t>-23.5382424243051</t>
  </si>
  <si>
    <t>-46.599148177992</t>
  </si>
  <si>
    <t>RUA FIRMINO PINTO ESQUINA COM AVENIDA CELSO GARCIA</t>
  </si>
  <si>
    <t>-23.5389290539001</t>
  </si>
  <si>
    <t>-46.6049705221788</t>
  </si>
  <si>
    <t>RUA TOLEDO BARBOSA ESQUINA COM A RUA REDENCAO</t>
  </si>
  <si>
    <t>-23.540991955203</t>
  </si>
  <si>
    <t>-46.5855537070321</t>
  </si>
  <si>
    <t>RUA CESARIO ALVIM ESQUINA COM A RUA COIMBRA</t>
  </si>
  <si>
    <t>-23.5395821150588</t>
  </si>
  <si>
    <t>-46.6036388040829</t>
  </si>
  <si>
    <t>RUA JOSE MONTEIRO ESQUINA COM A RUA COIMBRA</t>
  </si>
  <si>
    <t>-23.5402189670304</t>
  </si>
  <si>
    <t>-46.6063010305386</t>
  </si>
  <si>
    <t>RUA MAJOR OTAVIANO ESQUINA COM A RUA VISCONDE DE PARNAIBA</t>
  </si>
  <si>
    <t>-23.5443290630067</t>
  </si>
  <si>
    <t>-46.6042867650769</t>
  </si>
  <si>
    <t>RUA MAJ OTAVIANO ESQUINA COM A RUA CORONEL ANTONIO MARCELO</t>
  </si>
  <si>
    <t>-23.5429107522865</t>
  </si>
  <si>
    <t>-46.6057889483202</t>
  </si>
  <si>
    <t>RUA CESARIO ALVIN ESQUINA COM A RUA 21 DE ABRIL</t>
  </si>
  <si>
    <t>-23.5407901896116</t>
  </si>
  <si>
    <t>-46.6023554411368</t>
  </si>
  <si>
    <t>RUA COIMBRA ESQUINA COM A RUA FIRMIANO PINTO</t>
  </si>
  <si>
    <t>-23.5401053686382</t>
  </si>
  <si>
    <t>-46.6050512721195</t>
  </si>
  <si>
    <t>RUA ARTUR MOTA ESQUINA COM A RUA SILVA JARDIM</t>
  </si>
  <si>
    <t>-23.5431424672957</t>
  </si>
  <si>
    <t>-46.5931640588837</t>
  </si>
  <si>
    <t>RUA JULIO CASTILHO ESQUINA COM A RUA CESARIO ALVIM</t>
  </si>
  <si>
    <t>-23.543880950249</t>
  </si>
  <si>
    <t>-46.599112558785</t>
  </si>
  <si>
    <t>RUA DOUTOR UBALDINO DO AMARAL ESQUINA COM A RUA SALDANHA MARINHO</t>
  </si>
  <si>
    <t>-23.5393322696877</t>
  </si>
  <si>
    <t>-46.5987289421636</t>
  </si>
  <si>
    <t>RUA DOUTOR UBALDINO DO AMARAL ESQUINA COM A RUA SAO LEOPOLDO</t>
  </si>
  <si>
    <t>-23.539782666917</t>
  </si>
  <si>
    <t>-46.6007078055824</t>
  </si>
  <si>
    <t>RUA SAOZO LEOPOLDO ESQUINA COM A RUA VINTE E UM DE ABRIL</t>
  </si>
  <si>
    <t>-23.5401476258055</t>
  </si>
  <si>
    <t>-46.6008078968272</t>
  </si>
  <si>
    <t>PRACA MAJOR GHILHERME RUDGE ESQUINA COM A AVENIDA CELSO GARCIA</t>
  </si>
  <si>
    <t>-23.5367915640362</t>
  </si>
  <si>
    <t>-46.5894433506305</t>
  </si>
  <si>
    <t>RUA HERVAL ESQUINA COM A RUA MARQUES DE ABRANTES</t>
  </si>
  <si>
    <t>-23.5399021939372</t>
  </si>
  <si>
    <t>-46.5848966381342</t>
  </si>
  <si>
    <t>AVENIDA SALIM FARAH MALUF ESQUINA COM AVENIDA CELSO GARCIA</t>
  </si>
  <si>
    <t>-23.5354206511031</t>
  </si>
  <si>
    <t>-46.5831253315104</t>
  </si>
  <si>
    <t>RUA FERNANDES VIEIRAESQUINA COM  RUA HERVAL</t>
  </si>
  <si>
    <t>-23.5412606275802</t>
  </si>
  <si>
    <t>-46.5901638233847</t>
  </si>
  <si>
    <t>RUA HERVAL ESQUINA COM A RUA ENGENHEIROZ ANDRADE JR</t>
  </si>
  <si>
    <t>-23.5394787598477</t>
  </si>
  <si>
    <t>-46.5833694482758</t>
  </si>
  <si>
    <t>RUA PIMENTA BUENO ESQUINA COM  A RUA HERVAL</t>
  </si>
  <si>
    <t>-23.5405340611662</t>
  </si>
  <si>
    <t>-46.587289650134</t>
  </si>
  <si>
    <t>RUA CAJURU ESQUINA COM A RUA CESARIO ALVIM</t>
  </si>
  <si>
    <t>-23.5429225235417</t>
  </si>
  <si>
    <t>-46.5995902805625</t>
  </si>
  <si>
    <t>RUA CAJURU ESQUINA COM A RUA SAO LEOPOLDO</t>
  </si>
  <si>
    <t>-23.5421830407037</t>
  </si>
  <si>
    <t>-46.5980776831569</t>
  </si>
  <si>
    <t>RUA HERVAL ESQUINA COM A RUA REDENCAO</t>
  </si>
  <si>
    <t>-23.5402170504119</t>
  </si>
  <si>
    <t>-46.5859410746717</t>
  </si>
  <si>
    <t>RUA HERVAL ESQUINA COM A RUA SILVA JARDIM</t>
  </si>
  <si>
    <t>-23.542443263475</t>
  </si>
  <si>
    <t>-46.5935509842252</t>
  </si>
  <si>
    <t>RUA HERVAL ESQUINA COM AVENIDA ALVARO RAMOS</t>
  </si>
  <si>
    <t>-23.5409130164537</t>
  </si>
  <si>
    <t>-46.5889786209612</t>
  </si>
  <si>
    <t>RUA HERVAL ESQUINA COM RUA DOUTOR CLEMENTINO</t>
  </si>
  <si>
    <t>-23.541372883364</t>
  </si>
  <si>
    <t>-46.5912949876208</t>
  </si>
  <si>
    <t>RUA ARTUR MOTA ESQUINA COM A RUA ELOI CERQUEIRA</t>
  </si>
  <si>
    <t>-23.5429025841022</t>
  </si>
  <si>
    <t>-46.5920095567574</t>
  </si>
  <si>
    <t>RUA BELEM ESQUINA COM A RUA CAJURU</t>
  </si>
  <si>
    <t>-23.5405414837194</t>
  </si>
  <si>
    <t>-46.5951563072328</t>
  </si>
  <si>
    <t>CATUMBI</t>
  </si>
  <si>
    <t>RUA MARCOS ARRUDA ESQUINA COM A  RUA CACHOEIRA</t>
  </si>
  <si>
    <t>-23.534497900443</t>
  </si>
  <si>
    <t>-46.6027175223958</t>
  </si>
  <si>
    <t>RUA JOAO BOEMER ESQUINA COM A AVENIDA CELSO GARCIA</t>
  </si>
  <si>
    <t>-23.538821769109</t>
  </si>
  <si>
    <t>-46.6065853300934</t>
  </si>
  <si>
    <t>RUA SANTA CLARA ESQUINA COM A RUA RIO BONITO</t>
  </si>
  <si>
    <t>-23.5348492003632</t>
  </si>
  <si>
    <t>-46.6068980754085</t>
  </si>
  <si>
    <t>RUA RIO BONITO ESQUINA COM A RUA ITAPIRACABA</t>
  </si>
  <si>
    <t>-23.5343074307379</t>
  </si>
  <si>
    <t>-46.6075430927211</t>
  </si>
  <si>
    <t>RUA RIO BONITO ESQUINA COMA RUA MAJOR MARCELINO</t>
  </si>
  <si>
    <t>-23.5336432195431</t>
  </si>
  <si>
    <t>-46.6084181831984</t>
  </si>
  <si>
    <t>RUA SANTA RITA ESQUINA COM A RUA RIO BONITO</t>
  </si>
  <si>
    <t>-23.5318147259584</t>
  </si>
  <si>
    <t>-46.610617956964</t>
  </si>
  <si>
    <t>RUA SANTA RITA ESQUINA COM A RUA BRESSER</t>
  </si>
  <si>
    <t>-23.5336042753762</t>
  </si>
  <si>
    <t>-46.6124600100959</t>
  </si>
  <si>
    <t>RUA ALMIRANTE BARROSO ESQUINA COM A RUA BRESSER</t>
  </si>
  <si>
    <t>-23.5350224936381</t>
  </si>
  <si>
    <t>-46.6108435499459</t>
  </si>
  <si>
    <t>RUA BELISARIO DE SOUZA ESQUINA COM A RUA JOAQUIM CARLOS</t>
  </si>
  <si>
    <t>-23.5352231178138</t>
  </si>
  <si>
    <t>-46.6047028653181</t>
  </si>
  <si>
    <t>RUA JOAO BOEMER ESQUINA COM A RUA SOUZA CALDAS</t>
  </si>
  <si>
    <t>-23.5333362812391</t>
  </si>
  <si>
    <t>-46.6109752825594</t>
  </si>
  <si>
    <t>RUA JULIO CESAR DA SILVA 191 ESQUINA COM A  RUA JOSE KAUER</t>
  </si>
  <si>
    <t>-23.537100235369</t>
  </si>
  <si>
    <t>-46.6052105383613</t>
  </si>
  <si>
    <t>RUA DOUTOR CARLOS GUIMARAES 208 ESQUINA COM  A RUA VALDEMAR DORIA</t>
  </si>
  <si>
    <t>-23.5359046327619</t>
  </si>
  <si>
    <t>-46.6012620844363</t>
  </si>
  <si>
    <t>RUA CATUMBI ESQUINA COM A RUA IVINHEMA</t>
  </si>
  <si>
    <t>-23.5366469404313</t>
  </si>
  <si>
    <t>-46.5997305081391</t>
  </si>
  <si>
    <t>RUA DOUTOR CARLOS GUIMARAES ESQUINA COM A AVENIDA CELSO GARCIA</t>
  </si>
  <si>
    <t>-23.5381263917555</t>
  </si>
  <si>
    <t>-46.6008315758545</t>
  </si>
  <si>
    <t>RUA BRESSER ESQUINA COM A RUA SOUZA CALDAS</t>
  </si>
  <si>
    <t>-23.534152690227</t>
  </si>
  <si>
    <t>-46.6117967477421</t>
  </si>
  <si>
    <t>RUA GONCALVES DIAS ESQUINA COM A RUA JOSE KAUER</t>
  </si>
  <si>
    <t>-23.5369300953805</t>
  </si>
  <si>
    <t>-46.6031467906608</t>
  </si>
  <si>
    <t>RUA JOAO BOEMER ESQUINA COM A RUA DOUTOR CARLOS BOTELHO</t>
  </si>
  <si>
    <t>-23.5377976465027</t>
  </si>
  <si>
    <t>-46.6070993863377</t>
  </si>
  <si>
    <t>AVENIDA CELSO GARCIA ESQUINA COM A RUA MARCOS ARRUDA</t>
  </si>
  <si>
    <t>-23.5381996487367</t>
  </si>
  <si>
    <t>-46.6023565144044</t>
  </si>
  <si>
    <t>RUA JOAO BOEMER 311 ZDEFRONTE A RUA BERHING</t>
  </si>
  <si>
    <t>-23.5362318296572</t>
  </si>
  <si>
    <t>-46.6075225507507</t>
  </si>
  <si>
    <t>RUA SANTA CLARA ESQUINA COM A RUA JOAO BOEMER</t>
  </si>
  <si>
    <t>-23.5357606194837</t>
  </si>
  <si>
    <t>-46.6080190666878</t>
  </si>
  <si>
    <t>RUA BEHRING ESQUINA COM A RUA JOAQUIM CARLOS</t>
  </si>
  <si>
    <t>-23.5362689246334</t>
  </si>
  <si>
    <t>-46.60482664161</t>
  </si>
  <si>
    <t>RUA SANTA CLARA ESQUINA COM A RUA CACHOEIRA</t>
  </si>
  <si>
    <t>-23.5338664681828</t>
  </si>
  <si>
    <t>-46.6058097425568</t>
  </si>
  <si>
    <t>RUA JOAO BOEMER ESQUINA COM ALMIRANTE BARROSO</t>
  </si>
  <si>
    <t>-23.5340302676518</t>
  </si>
  <si>
    <t>-46.6098255735199</t>
  </si>
  <si>
    <t>RUA BRESSER ESQUINA COM A RUA MAJOR MARCELINO</t>
  </si>
  <si>
    <t>-23.5355413961545</t>
  </si>
  <si>
    <t>-46.6102239049233</t>
  </si>
  <si>
    <t>QUARTA PARADA</t>
  </si>
  <si>
    <t>RUA ALVARO RAMOS ESQUINA COM A RUA PADRE ADELINO</t>
  </si>
  <si>
    <t>-23.5446188170027</t>
  </si>
  <si>
    <t>-46.5861438926095</t>
  </si>
  <si>
    <t xml:space="preserve">ACESSO A ESTACAO DO METRO BELEM EM FRENTE  DO TERMINAL DE ONIBUS </t>
  </si>
  <si>
    <t>-23.5432325767533</t>
  </si>
  <si>
    <t>-46.5883489946663</t>
  </si>
  <si>
    <t>RUA ITAMARACA ESQUINA COM SERRA DE JAIRE</t>
  </si>
  <si>
    <t>-23.5521599416194</t>
  </si>
  <si>
    <t>-46.5819193831602</t>
  </si>
  <si>
    <t>RUA PADRE ADELINO ESQUINA COM A RUA BRIGADEIRO MORAIS</t>
  </si>
  <si>
    <t>-23.5448394504803</t>
  </si>
  <si>
    <t>-46.5888688350733</t>
  </si>
  <si>
    <t>RUA SIQUEIRA BUENO ESQUINA COM A RUA ITAQUERI</t>
  </si>
  <si>
    <t>-23.5526494049111</t>
  </si>
  <si>
    <t>-46.5849965646738</t>
  </si>
  <si>
    <t>RUA DOUTOR JOAO BATISTA DE LACERDA ESQUINA COM RUA SERRA DE JAIRE</t>
  </si>
  <si>
    <t>-23.5494974952119</t>
  </si>
  <si>
    <t>-46.5846887847864</t>
  </si>
  <si>
    <t>RUA CARNEIRO LEAO ESQUINA COM A RUA VISCONDE DE PARNAIBA</t>
  </si>
  <si>
    <t>2021-09-11</t>
  </si>
  <si>
    <t>-23.5513830606762</t>
  </si>
  <si>
    <t>-46.6221135650963</t>
  </si>
  <si>
    <t>RUA PRUDENTE DE MORAIS DEFRONTE A RUA MARTIM BURCHAD</t>
  </si>
  <si>
    <t>-23.5472988782394</t>
  </si>
  <si>
    <t>-46.617173244902</t>
  </si>
  <si>
    <t>RUA PIRATININGA ESQUINA COM A RUA CAMPO SALES</t>
  </si>
  <si>
    <t>-23.5490642576173</t>
  </si>
  <si>
    <t>-46.6185273415236</t>
  </si>
  <si>
    <t>RUA CORONEL MURSA DEFRONTE A RUA MARTIM BURCHARD</t>
  </si>
  <si>
    <t>-23.5485484529313</t>
  </si>
  <si>
    <t>-46.6162783860731</t>
  </si>
  <si>
    <t>RUA CARNEIRO LEAO ESQUINA AV RANGEL PESTANA</t>
  </si>
  <si>
    <t>-23.5467492749798</t>
  </si>
  <si>
    <t>-46.6229760150265</t>
  </si>
  <si>
    <t>RUA WANDENKOLK ESQUINA COM A RUA VISCONDE DE PARNAIBA</t>
  </si>
  <si>
    <t>-23.5512650809373</t>
  </si>
  <si>
    <t>-46.6235401277429</t>
  </si>
  <si>
    <t>RUA CAPITAO FAUSTINO DE LIMA ESQUINA COM A AVENIDA RANGEL PESTANA</t>
  </si>
  <si>
    <t>-23.5479001291271</t>
  </si>
  <si>
    <t>-46.6250596459224</t>
  </si>
  <si>
    <t>RUA CORONEL BENTO PIRES ESQUINA COM A RUA DA FIGUEIRA</t>
  </si>
  <si>
    <t>-23.5524966640203</t>
  </si>
  <si>
    <t>-46.6249315458335</t>
  </si>
  <si>
    <t>RUA DOMINGOS PAIVA ESQUINA COM A RUA VISCONDE DE PARAIBA</t>
  </si>
  <si>
    <t>-23.549521915079</t>
  </si>
  <si>
    <t>-46.614019660638</t>
  </si>
  <si>
    <t>RUA PARANA ESQUINA COM A RUA CAETANO PINTO</t>
  </si>
  <si>
    <t>-23.5510555405625</t>
  </si>
  <si>
    <t>-46.6194466065603</t>
  </si>
  <si>
    <t>RUA PIRATININGA ESQUINA COM A RUA DA MOOCA</t>
  </si>
  <si>
    <t>-23.5540011938879</t>
  </si>
  <si>
    <t>-46.6150388228991</t>
  </si>
  <si>
    <t>RUA MEM DE SA ESQUINA COM A RUA DA MOOCA</t>
  </si>
  <si>
    <t>-23.55354354915</t>
  </si>
  <si>
    <t>-46.6202023151855</t>
  </si>
  <si>
    <t>RUA MELO BARRETO DEFRONTE A RUA ESCOLA TECNICA DE AVIACAO</t>
  </si>
  <si>
    <t>-23.5477759911821</t>
  </si>
  <si>
    <t>-46.620159591457</t>
  </si>
  <si>
    <t>RUA DOMINGOS PAIVA ESQUINA COM A RUA CORONEL MURSA</t>
  </si>
  <si>
    <t>-23.5478583576422</t>
  </si>
  <si>
    <t>-46.6151198026136</t>
  </si>
  <si>
    <t>RUA DOMINGOS PAIVA NA ESTACAO BRAS ENTRE A RUA PRUDENTE DE MORAIS E RUA CORONEL MURSA</t>
  </si>
  <si>
    <t>-23.5473119636539</t>
  </si>
  <si>
    <t>-46.6155826154825</t>
  </si>
  <si>
    <t>RUA CORONEL BENTO PIRES ESQUINA COM A RUA CARNEIRO LEAO</t>
  </si>
  <si>
    <t>-23.5529978680209</t>
  </si>
  <si>
    <t>-46.6226639170176</t>
  </si>
  <si>
    <t>RUA AZEVEDO JUNIOR ESQUINA COM A RUA CAPITAO FASUTINO DE LIMA</t>
  </si>
  <si>
    <t>-23.5506013483357</t>
  </si>
  <si>
    <t>-46.6237851076416</t>
  </si>
  <si>
    <t>RUA CAPITAO FAUSTINO DE LIMA ESQUINA COM A RUA CLAUDINO PINTO</t>
  </si>
  <si>
    <t>-23.5486246127383</t>
  </si>
  <si>
    <t>-46.6244925798107</t>
  </si>
  <si>
    <t>RUA CAETANO PINTO 200</t>
  </si>
  <si>
    <t>-23.5479584544895</t>
  </si>
  <si>
    <t>-46.6219023371143</t>
  </si>
  <si>
    <t>RUA CARNEIRO LEAO DEFRONTE A RUA CLAUDINO PINTO</t>
  </si>
  <si>
    <t>-23.5479010385583</t>
  </si>
  <si>
    <t>-46.6226740072287</t>
  </si>
  <si>
    <t>RUA PROFESSOR BATISTA DE ANDRADE ESQUINA COM AVENIDA RANGEL PESTANA</t>
  </si>
  <si>
    <t>-23.5461024845156</t>
  </si>
  <si>
    <t>-46.6217461657817</t>
  </si>
  <si>
    <t>RUA ALEGRIA DEFRONTE A RUA MARTIM BUCHARD</t>
  </si>
  <si>
    <t>-23.5494280534734</t>
  </si>
  <si>
    <t>-46.6155892255562</t>
  </si>
  <si>
    <t>RUA PARANA ESQUINA COM A RUA PIRATININGA</t>
  </si>
  <si>
    <t>-23.5505002853977</t>
  </si>
  <si>
    <t>-46.6174463946019</t>
  </si>
  <si>
    <t>AVENIDA RANGEL PESTANA 1554 DEFRONTE A RUA OIAPOQUE</t>
  </si>
  <si>
    <t>-23.5450097549734</t>
  </si>
  <si>
    <t>-46.619636054828</t>
  </si>
  <si>
    <t>RUA DOUTOR ALMEIDA LIMA ESQUINA COM A RUA CAVALHEIRO</t>
  </si>
  <si>
    <t>-23.5437223177772</t>
  </si>
  <si>
    <t>-46.6159415509831</t>
  </si>
  <si>
    <t>RUA DO HIPODROMO ESQUINA COM A RUA WALDEMAR SEYSSEI P ARRELIA</t>
  </si>
  <si>
    <t>-23.5461797858936</t>
  </si>
  <si>
    <t>-46.6083073432074</t>
  </si>
  <si>
    <t>RUA DO HIPODROMO ESQUINA COM A RUA CORONEL ANTONIO MARCELO</t>
  </si>
  <si>
    <t>-23.5445937672298</t>
  </si>
  <si>
    <t>-46.6094477055009</t>
  </si>
  <si>
    <t>RUA BRESSER  PROXIMO A ESQUINA DA RUA VINTE E UM DE ABRIL</t>
  </si>
  <si>
    <t>2021-09-05</t>
  </si>
  <si>
    <t>-23.5424317743196</t>
  </si>
  <si>
    <t>-46.6072986238014</t>
  </si>
  <si>
    <t>RUA GOMES CARDIM ESQUINA COM A RUA CAVALHEIRO</t>
  </si>
  <si>
    <t>-23.5427619559272</t>
  </si>
  <si>
    <t>-46.6142683355488</t>
  </si>
  <si>
    <t>RUA DO HIPODROMO ESQUINA COM A RUA DOUTOR JOAO ALVES DE LIMA</t>
  </si>
  <si>
    <t>-23.5424760867468</t>
  </si>
  <si>
    <t>-46.6112673730074</t>
  </si>
  <si>
    <t>RUA BRESSER ESQUINA COM A RUA VINTE E UM DE ABRIL</t>
  </si>
  <si>
    <t>-23.5427656993893</t>
  </si>
  <si>
    <t>-46.6072196074306</t>
  </si>
  <si>
    <t>RUA CORONEL ANTONIO MARCELO ESQUINA COM A RUA DO HIPODROMO</t>
  </si>
  <si>
    <t>-23.5445368795648</t>
  </si>
  <si>
    <t>-46.6094551505309</t>
  </si>
  <si>
    <t>RUA 21 DE ABRIL ESQUINA COM A RUA HIPODROMO</t>
  </si>
  <si>
    <t>-23.5438929267201</t>
  </si>
  <si>
    <t>-46.6104135669216</t>
  </si>
  <si>
    <t>RUA VINTE E UM DE ABRIL ESQUINA COM A RUA GOMES CARDIM</t>
  </si>
  <si>
    <t>-23.5448949772742</t>
  </si>
  <si>
    <t>-46.6124233054704</t>
  </si>
  <si>
    <t>RUA CORONEL FRANCISCO AMARO ESQUINA COM A AVENIDA RANGEL PESTANA</t>
  </si>
  <si>
    <t>-23.5436201278646</t>
  </si>
  <si>
    <t>-46.618122292768</t>
  </si>
  <si>
    <t>LARGO DO PARI PROXIMO DA ESQUINA COM A AVENIDA DO ESTADO</t>
  </si>
  <si>
    <t>-23.5395791299308</t>
  </si>
  <si>
    <t>-46.6267989040091</t>
  </si>
  <si>
    <t>AVENIDA MERCURIO ESQUINA COM A RUA ASSUNCAO</t>
  </si>
  <si>
    <t>-23.5436313942658</t>
  </si>
  <si>
    <t>-46.6263749611176</t>
  </si>
  <si>
    <t>RUA BENJAMIM DE OLIVEIRA ESQUINA COM A RUA DO LUCAS</t>
  </si>
  <si>
    <t>-23.5415155846063</t>
  </si>
  <si>
    <t>-46.6254786843515</t>
  </si>
  <si>
    <t>RUA BENJAMIM DE OLIVEIRA ESQUINA COM A RUA DAS ALFANDEGAS</t>
  </si>
  <si>
    <t>-23.5410666564613</t>
  </si>
  <si>
    <t>-46.6246919756929</t>
  </si>
  <si>
    <t>RUA DO GASOMETRO ESQUINA COM A RUA MONSENHOR DE ANDRADE</t>
  </si>
  <si>
    <t>-23.5436969323396</t>
  </si>
  <si>
    <t>-46.621556206379</t>
  </si>
  <si>
    <t>AVENIDA RANGEL PESTANA PROXIMO A ESQUINA COM A RUA DA FIGUEIRA</t>
  </si>
  <si>
    <t>-23.5475288308917</t>
  </si>
  <si>
    <t>-46.6258696629908</t>
  </si>
  <si>
    <t>PRACA DOMINGUES DE ALMEIDA JUNIOR ESQUINA COM A RUA PROFESSOR EURIPEDES SIMOES DE PAULA</t>
  </si>
  <si>
    <t>-23.5395798372409</t>
  </si>
  <si>
    <t>-46.6226205558285</t>
  </si>
  <si>
    <t>RUA VASCO DA GAMA ESQUINA COM A RUA DO GASOMETRO</t>
  </si>
  <si>
    <t>-23.544512641724</t>
  </si>
  <si>
    <t>-46.6225179755781</t>
  </si>
  <si>
    <t>RUA PROFESSOR EURIPEDES SIMOES DE PAULA ESQUINA COM A RUA DA ALFANDEGA</t>
  </si>
  <si>
    <t>-23.5406355847267</t>
  </si>
  <si>
    <t>-46.62491898186</t>
  </si>
  <si>
    <t>RUA DA ALFANDEGA ESQUINA COM A RUA FERNANDES SILVA</t>
  </si>
  <si>
    <t>-23.5419965364358</t>
  </si>
  <si>
    <t>-46.6243641189894</t>
  </si>
  <si>
    <t>RUA DO BUCOLISMO ESQUINA COM A RUA MONSENHOR ANDRADE</t>
  </si>
  <si>
    <t>-23.5413328811705</t>
  </si>
  <si>
    <t>-46.6218008200114</t>
  </si>
  <si>
    <t>RUA DO LUCAS ESQUINA COM A RUA DO GASOMETRO</t>
  </si>
  <si>
    <t>-23.544366353399</t>
  </si>
  <si>
    <t>-46.6245635701814</t>
  </si>
  <si>
    <t>RUA PROFESSOR EURIPEDES SIMOES DE PAULA ESQUINA COM A RUA SANTA ROSA</t>
  </si>
  <si>
    <t>2020-09-05</t>
  </si>
  <si>
    <t>-23.5411482208149</t>
  </si>
  <si>
    <t>-46.626706731778</t>
  </si>
  <si>
    <t>RUA ORIENTE ESQUINA COM A RUA MILER</t>
  </si>
  <si>
    <t>-23.5380607836117</t>
  </si>
  <si>
    <t>-46.6178515634605</t>
  </si>
  <si>
    <t>RUA MONSENHOR ANDRADE ESQUINA COM A RUA ELIZA WHITAKER</t>
  </si>
  <si>
    <t>-23.5361223443209</t>
  </si>
  <si>
    <t>-46.6221409126197</t>
  </si>
  <si>
    <t>RUA ORIENTE ESQUINA COM A RUA BARAO DE LADARIO</t>
  </si>
  <si>
    <t>-23.5377568721866</t>
  </si>
  <si>
    <t>-46.6189282120695</t>
  </si>
  <si>
    <t>RUA BARAO DE LADARIO ESQUINA COM A RUA ORIENTE</t>
  </si>
  <si>
    <t>-23.5380278553255</t>
  </si>
  <si>
    <t>-46.6191558444081</t>
  </si>
  <si>
    <t>RUA ORIENTE ESQUINA COM A RUA MONSENHOR ANDRADE</t>
  </si>
  <si>
    <t>-23.537907902299</t>
  </si>
  <si>
    <t>-46.6220777881267</t>
  </si>
  <si>
    <t>AVENIDA DO ESTADO ESQUINA COM A RUA SAO CAETANO</t>
  </si>
  <si>
    <t>-23.535828071852</t>
  </si>
  <si>
    <t>-46.625439378189</t>
  </si>
  <si>
    <t>RUA MONSENHOR DE ANDRADE ESQUINA COM A RUA HENRIQUE DIAS</t>
  </si>
  <si>
    <t>-23.5365883012225</t>
  </si>
  <si>
    <t>-46.6221184208827</t>
  </si>
  <si>
    <t>RUA JOAO TEODORO ESQUINA COM A RUA MONSENHOR DE ANDRADE</t>
  </si>
  <si>
    <t>-23.5351641093611</t>
  </si>
  <si>
    <t>-46.6221670146304</t>
  </si>
  <si>
    <t>RUA XAVANTES ESQUINA COM A RUA MENDES GONCALVES</t>
  </si>
  <si>
    <t>-23.5343100810956</t>
  </si>
  <si>
    <t>-46.61312284891</t>
  </si>
  <si>
    <t>RUA VISCONDE DE ABAETE 120</t>
  </si>
  <si>
    <t>-23.5403400410764</t>
  </si>
  <si>
    <t>-46.6139662703756</t>
  </si>
  <si>
    <t>RUA MILLER ESQUINCA COM A RUA CONSELHEIRO BELISARIO</t>
  </si>
  <si>
    <t>-23.5403567580551</t>
  </si>
  <si>
    <t>-46.617483758444</t>
  </si>
  <si>
    <t>RUA MARIA MARCOLINA ESQUINA COM A RUA MINISTRO FIRMINO WHITAKER</t>
  </si>
  <si>
    <t>-23.5404081853127</t>
  </si>
  <si>
    <t>-46.6151332967191</t>
  </si>
  <si>
    <t>RUA MARIA MARCOLINA ESQUINA COM A AVENIDA RANGEL PESTANA</t>
  </si>
  <si>
    <t>-23.5412644389251</t>
  </si>
  <si>
    <t>-46.614160305526</t>
  </si>
  <si>
    <t>RUA DOUTOR RICARDO GONCALVES ESQUINA COM A RUA XAVANTES</t>
  </si>
  <si>
    <t>-23.5385357867495</t>
  </si>
  <si>
    <t>-46.6137799062808</t>
  </si>
  <si>
    <t>RUA JOLI ESQUINA COM A RUA MARIA JOAQUINA</t>
  </si>
  <si>
    <t>-23.5358506685068</t>
  </si>
  <si>
    <t>-46.6128412429722</t>
  </si>
  <si>
    <t>RUA ALMIRANTE BARROSO ESQUINA COM A RUA JOLI</t>
  </si>
  <si>
    <t>-23.5363849500323</t>
  </si>
  <si>
    <t>-46.6116298917542</t>
  </si>
  <si>
    <t>RUA JOAO TEODORO ESQUINA COM A RUA MILLER</t>
  </si>
  <si>
    <t>-23.5355793132728</t>
  </si>
  <si>
    <t>-46.6176588250685</t>
  </si>
  <si>
    <t>RUA ORIENTE ESQUINA COM A RUA MARIA MARCOLINA</t>
  </si>
  <si>
    <t>-23.5376654516797</t>
  </si>
  <si>
    <t>-46.6161366108513</t>
  </si>
  <si>
    <t>RUA SILVA TELES 74 DEFRONTE A RUA JOAO TEODORO</t>
  </si>
  <si>
    <t>-23.5356622210919</t>
  </si>
  <si>
    <t>-46.6159580281111</t>
  </si>
  <si>
    <t>RUA XAVANTE ESQUINA COM A RUA ORIENTE</t>
  </si>
  <si>
    <t>-23.5375857772279</t>
  </si>
  <si>
    <t>-46.6141058074306</t>
  </si>
  <si>
    <t>RUA BRESSER ESQUINA COM A RUA XAVANTES</t>
  </si>
  <si>
    <t>-23.5337433665012</t>
  </si>
  <si>
    <t>-46.6125999563755</t>
  </si>
  <si>
    <t>RUA DOUTOR CARLOS BOTELHO ESQUINA COM A  RUA BRESSER</t>
  </si>
  <si>
    <t>-23.5381165195536</t>
  </si>
  <si>
    <t>-46.6085304873513</t>
  </si>
  <si>
    <t>RUA SAMPSON ESQUINA COM A RUA MENDES JUNIOR</t>
  </si>
  <si>
    <t>-23.5376552569407</t>
  </si>
  <si>
    <t>-46.6115971397316</t>
  </si>
  <si>
    <t>RUA MILLER ESQUINA COM A RUA ORIENTE</t>
  </si>
  <si>
    <t>-23.5377220327738</t>
  </si>
  <si>
    <t>-46.617552796496</t>
  </si>
  <si>
    <t>RUA MENDES JUNIOR ESQUINA COM A RUA SILVA TELES</t>
  </si>
  <si>
    <t>-23.5343035694202</t>
  </si>
  <si>
    <t>-46.6146598597772</t>
  </si>
  <si>
    <t>RUA ORIENTE ESQUINA COM A RUA CASEMIRO DE ABREU</t>
  </si>
  <si>
    <t>-23.5376387043797</t>
  </si>
  <si>
    <t>-46.615240573636</t>
  </si>
  <si>
    <t>RUA CASEMIRO DE ABREU 331  DEFRONTE A VIELA JOSE LOBOSQUE</t>
  </si>
  <si>
    <t>-23.5368788902095</t>
  </si>
  <si>
    <t>-46.6155536676081</t>
  </si>
  <si>
    <t>RUA ROCHA FRAGA  ESQUINA COM AVENIDA DOUTOR SALOMAO VASCONCELOS</t>
  </si>
  <si>
    <t>-23.5030024052198</t>
  </si>
  <si>
    <t>-46.524815</t>
  </si>
  <si>
    <t>AVENIDA CANGAIBA ESQUINA COM AVENIDA VINTE E QUATRO DE FEVEREIRO</t>
  </si>
  <si>
    <t>-23.5062249699309</t>
  </si>
  <si>
    <t>-46.525908404155</t>
  </si>
  <si>
    <t>RUA SAO FLORENCIO 1376</t>
  </si>
  <si>
    <t>-23.5093428819049</t>
  </si>
  <si>
    <t>-46.530493400554</t>
  </si>
  <si>
    <t>RUA CORONEL MEIRELES PROXIMO A RUA OLDHAN</t>
  </si>
  <si>
    <t>-23.5129547626652</t>
  </si>
  <si>
    <t>-46.5366034265931</t>
  </si>
  <si>
    <t>AVENIDA CANGAIBA ESQUINA COM RUA BRASOPOLIS</t>
  </si>
  <si>
    <t>-23.5109235269546</t>
  </si>
  <si>
    <t>-46.5411540450538</t>
  </si>
  <si>
    <t>AVENIDA CANGAIBA ESQUINA COM RUA DOMINGOS DE LUCCA</t>
  </si>
  <si>
    <t>-23.506532499408</t>
  </si>
  <si>
    <t>-46.5315396118421</t>
  </si>
  <si>
    <t>AVENIDA DOUTOR SALOMAO DE VASCONCELOS ESQUINA COM A TRAVESSA VALDOMIRO M DOS SALNTOS</t>
  </si>
  <si>
    <t>-23.5014700955276</t>
  </si>
  <si>
    <t>-46.5243719542379</t>
  </si>
  <si>
    <t>RUA JOSE PINHEIRO 118</t>
  </si>
  <si>
    <t>-23.5070535071576</t>
  </si>
  <si>
    <t>-46.5343647130012</t>
  </si>
  <si>
    <t>RUA ANTONIO PAGANINI 136 RUA ROGERIO ARMELIM GUANAES</t>
  </si>
  <si>
    <t>-23.5132183635121</t>
  </si>
  <si>
    <t>-46.5332290051247</t>
  </si>
  <si>
    <t>RUA PORTO DA GLORIA 379 DEFRONTE COM RUA ABAITARA</t>
  </si>
  <si>
    <t>-23.5081103819653</t>
  </si>
  <si>
    <t>-46.5421172458457</t>
  </si>
  <si>
    <t>RUA SAO FLORENCIO ESQUINA COM A RUA JANIPABA</t>
  </si>
  <si>
    <t>-23.5127615202958</t>
  </si>
  <si>
    <t>-46.5304178634355</t>
  </si>
  <si>
    <t>RUA DOUTOR VIRGILIO MACHADO ESQUINA COM A RUA DOUTOR ANDRADE</t>
  </si>
  <si>
    <t>-23.5131184079395</t>
  </si>
  <si>
    <t>-46.5289466437672</t>
  </si>
  <si>
    <t>RUA ODETE 138 PROXIMO DA ESQUINA COM A RUA PECHI</t>
  </si>
  <si>
    <t>-23.5118108622959</t>
  </si>
  <si>
    <t>-46.5300503080331</t>
  </si>
  <si>
    <t>AVENIDA TARUMA ESQUINA COM A AVENIDA DA JUSTICA</t>
  </si>
  <si>
    <t>-23.5109103255253</t>
  </si>
  <si>
    <t>-46.5269813777598</t>
  </si>
  <si>
    <t>RUA LUCIANO NOGUEIRA 113</t>
  </si>
  <si>
    <t>-23.5032932028938</t>
  </si>
  <si>
    <t>-46.5263281905825</t>
  </si>
  <si>
    <t>RUA GOITA ESQUINA COM AVENIDA CANGAIBA</t>
  </si>
  <si>
    <t>-23.5081585883967</t>
  </si>
  <si>
    <t>-46.5372482325013</t>
  </si>
  <si>
    <t>RUA JACIRA ARTACHO PROXIMO DA ESQUINA COM A AVENIDA CANGAIBA</t>
  </si>
  <si>
    <t>-23.506388340352</t>
  </si>
  <si>
    <t>-46.5323179176542</t>
  </si>
  <si>
    <t>AVENIDA CANGAIBA 4189 NO INTERIOR DA SABESP ANTIGO PB CANGAIBA</t>
  </si>
  <si>
    <t>-23.5054847824673</t>
  </si>
  <si>
    <t>-46.5160292300826</t>
  </si>
  <si>
    <t>AVENIDA CANGAIBA ESQUINA COM RUA RAIMUNDO MATTIUZZO</t>
  </si>
  <si>
    <t>-23.5053301169808</t>
  </si>
  <si>
    <t>-46.5205215702215</t>
  </si>
  <si>
    <t>AVENIDA CANGAIBA 4232 EM FRENTE AO ANTIGO PB CANGAIBA</t>
  </si>
  <si>
    <t>-23.5054949406658</t>
  </si>
  <si>
    <t>-46.516112128047</t>
  </si>
  <si>
    <t>RUA MATEUS LOURENCO DE CARVALHO 387</t>
  </si>
  <si>
    <t>-23.5089993524577</t>
  </si>
  <si>
    <t>-46.5155744005505</t>
  </si>
  <si>
    <t>RUA RITA AZARIAN ESQUINA COM A RUA MANUEL LEIROZ</t>
  </si>
  <si>
    <t>-23.5114219151604</t>
  </si>
  <si>
    <t>-46.5204200555716</t>
  </si>
  <si>
    <t>PARQUE ECOLÓGICO DO TIETÊ</t>
  </si>
  <si>
    <t>RUA MARACANA GUACU ESQUINA COM A RUA OLGA ARTACHO</t>
  </si>
  <si>
    <t>-23.4992815723892</t>
  </si>
  <si>
    <t>-46.5291420689663</t>
  </si>
  <si>
    <t>RUA MARACANA GUACU ESQUINA COM A RUA GUIRA ACANGATARA</t>
  </si>
  <si>
    <t>-23.4989889459731</t>
  </si>
  <si>
    <t>-46.5291087817123</t>
  </si>
  <si>
    <t>RUI BARBOSA</t>
  </si>
  <si>
    <t>RUA OLHO D`AGUA DO BORGES 94</t>
  </si>
  <si>
    <t>-23.4961321854465</t>
  </si>
  <si>
    <t>-46.5075417876143</t>
  </si>
  <si>
    <t>RUA PAO DO LUMIAR 498</t>
  </si>
  <si>
    <t>-23.4947151284388</t>
  </si>
  <si>
    <t>-46.5000907239092</t>
  </si>
  <si>
    <t>RUA GIRUA ESQUINA COM A RUA PASTORIAL DE ITAPETINGA</t>
  </si>
  <si>
    <t>-23.5009822598029</t>
  </si>
  <si>
    <t>-46.5011600798688</t>
  </si>
  <si>
    <t>RUA PORTO DE MOZ 209 DEFRONTE A RUA CARANDAZAL</t>
  </si>
  <si>
    <t>-23.4966804000498</t>
  </si>
  <si>
    <t>-46.5034825820868</t>
  </si>
  <si>
    <t>RUA OURO FINO ESQUINA COM RUA IBERE DA COSTA FRANCO</t>
  </si>
  <si>
    <t>-23.5081200283407</t>
  </si>
  <si>
    <t>-46.5090851150971</t>
  </si>
  <si>
    <t>AVENIDA CANGAIBA DEFRONTE COM A RUA JACINTO LIMA SANTOS</t>
  </si>
  <si>
    <t>-23.5047988024784</t>
  </si>
  <si>
    <t>-46.5074627536685</t>
  </si>
  <si>
    <t>RUA ERVAL SECO PROXIMO DA ESQUINA COM A RUA IVATUVA</t>
  </si>
  <si>
    <t>-23.497214217227</t>
  </si>
  <si>
    <t>-46.49990301449</t>
  </si>
  <si>
    <t>RUA MIGUEL LILLO ENTRE A RUA NONOAI E RUA JOSE GOMES FARIA</t>
  </si>
  <si>
    <t>-23.5023158971844</t>
  </si>
  <si>
    <t>-46.4972856854579</t>
  </si>
  <si>
    <t>RUA LAGOA DE PEDRAS DEFRONTE A RUA MONSENHOR TABOSA</t>
  </si>
  <si>
    <t>-23.5005999913286</t>
  </si>
  <si>
    <t>-46.4944031281994</t>
  </si>
  <si>
    <t>RUA ITAPIRUNA DEFRONTE A RUA SIRENA</t>
  </si>
  <si>
    <t>-23.504722687514</t>
  </si>
  <si>
    <t>-46.495760420073</t>
  </si>
  <si>
    <t>RUA OLAVO EGIDIO DE SOUZA ARANHA ESQUINA COM A RUA NONOAI</t>
  </si>
  <si>
    <t>-23.5021999131513</t>
  </si>
  <si>
    <t>-46.4941780512642</t>
  </si>
  <si>
    <t>RUA HENRY CELIA ESQUINA COM A RUA JACINA</t>
  </si>
  <si>
    <t>-23.5028397587371</t>
  </si>
  <si>
    <t>-46.5003149964413</t>
  </si>
  <si>
    <t>AVENIDA RIO DAS PEDRAS PROXIMO A AVENIDA JOAO XXIII</t>
  </si>
  <si>
    <t>-23.5591195336577</t>
  </si>
  <si>
    <t>-46.5209916157697</t>
  </si>
  <si>
    <t>RUA EVANGELINA ESQUINA COM A RUA LUZIA DA CONCEICAO MORAES</t>
  </si>
  <si>
    <t>-23.5519944699158</t>
  </si>
  <si>
    <t>-46.5451551645473</t>
  </si>
  <si>
    <t>AVENIDA CONSELHEIRO CARRAO ESQUINA COM A RUA DOUTOR JORGE VEIGA</t>
  </si>
  <si>
    <t>-23.5479961169895</t>
  </si>
  <si>
    <t>-46.5392530475605</t>
  </si>
  <si>
    <t>RUA TAMAINDE ESQUINA COM A RUA BAQUIA</t>
  </si>
  <si>
    <t>-23.5431767609901</t>
  </si>
  <si>
    <t>-46.5370686174219</t>
  </si>
  <si>
    <t>RUA ANTONIO DE BARROS ESQUINA COM A RUA GUARACIABA</t>
  </si>
  <si>
    <t>-23.5394066729688</t>
  </si>
  <si>
    <t>-46.5573812059524</t>
  </si>
  <si>
    <t>RUA NOVA JERUSALEM ESQUINA COMA RUA PROFESSOR PEDREIRA DE FREITAS</t>
  </si>
  <si>
    <t>-23.5491946693207</t>
  </si>
  <si>
    <t>-46.5497467982268</t>
  </si>
  <si>
    <t>RUA CANTAGALO ESQUINA COM A RUA NOVA JERUSALEM</t>
  </si>
  <si>
    <t>-23.5423925631268</t>
  </si>
  <si>
    <t>-46.5490659054655</t>
  </si>
  <si>
    <t>RUA HENRIQUE DUMONT PROXIMO A ESQUINA COM A RUA CANTAGALO</t>
  </si>
  <si>
    <t>-23.5437456158259</t>
  </si>
  <si>
    <t>-46.5558134815476</t>
  </si>
  <si>
    <t>RUA ANTONIO DE BARROS ESQUINA COM A RUA EUCLIDES PACHECO</t>
  </si>
  <si>
    <t>-23.5457729774058</t>
  </si>
  <si>
    <t>-46.555563856918</t>
  </si>
  <si>
    <t>RUA PEDRO NUNES ESQUINA COM A RUA ATUCURI</t>
  </si>
  <si>
    <t>-23.5486430319012</t>
  </si>
  <si>
    <t>-46.5473999927665</t>
  </si>
  <si>
    <t>RUA GELASIO PIMENTA ESQUINA COM A RUA SANTA BLANDINA</t>
  </si>
  <si>
    <t>-23.554330176025</t>
  </si>
  <si>
    <t>-46.5503900315806</t>
  </si>
  <si>
    <t>RUA AZEVEDO SOARES ESQUINA COM RUA CORONEL MENDONCA</t>
  </si>
  <si>
    <t>-23.546664464748</t>
  </si>
  <si>
    <t>-46.5500413525901</t>
  </si>
  <si>
    <t>RUA BACANGA ESQUINA COM RUA ARARENDA</t>
  </si>
  <si>
    <t>-23.5535787880813</t>
  </si>
  <si>
    <t>-46.5493424506571</t>
  </si>
  <si>
    <t>RUA REBOUJO ESQUINA COM A RUA NOVA JERUSALEM</t>
  </si>
  <si>
    <t>-23.5518635545779</t>
  </si>
  <si>
    <t>-46.5517708946189</t>
  </si>
  <si>
    <t>RUA GELASIO PIMENTA ESQUINA COM A RUA ARATANHA</t>
  </si>
  <si>
    <t>-23.5555491366687</t>
  </si>
  <si>
    <t>-46.5491020668417</t>
  </si>
  <si>
    <t>RUA PRIMICIAS DEFRONTE A RUA MANOEL BOGONHA</t>
  </si>
  <si>
    <t>-23.5421407351618</t>
  </si>
  <si>
    <t>-46.5443060321078</t>
  </si>
  <si>
    <t>RUA EVANGELINA ESQUINA COM A RUA RENATO RINALDI</t>
  </si>
  <si>
    <t>-23.5493602454387</t>
  </si>
  <si>
    <t>-46.5438661776536</t>
  </si>
  <si>
    <t>RUA LUCINDA GOMES BARRETO ESQUINA COM A RUA OSWALDO GOMES BARRETO</t>
  </si>
  <si>
    <t>-23.5458072878545</t>
  </si>
  <si>
    <t>-46.5408998566692</t>
  </si>
  <si>
    <t>AVENIDA CONSELHEIRO CARRAO ESQUINA COM A AVENIDA GUILHERME GIORGI</t>
  </si>
  <si>
    <t>-23.5470976780883</t>
  </si>
  <si>
    <t>-46.5413561100981</t>
  </si>
  <si>
    <t>RUA BAQUIA ESQUINA COM A RUA JERICINO</t>
  </si>
  <si>
    <t>-23.5452430513892</t>
  </si>
  <si>
    <t>-46.5377759137661</t>
  </si>
  <si>
    <t>RUA EVANGELINA ESQUINA COM A RUA ENGENHEIRO PEGADO</t>
  </si>
  <si>
    <t>-23.5472156378381</t>
  </si>
  <si>
    <t>-46.5429904991689</t>
  </si>
  <si>
    <t>RUA ROGERIO GIORGI ESQUINA COM A RUA DENTISTA BARRETO</t>
  </si>
  <si>
    <t>-23.5478711707517</t>
  </si>
  <si>
    <t>-46.5443187001535</t>
  </si>
  <si>
    <t>RUA SANTA RAQUEL 7</t>
  </si>
  <si>
    <t>-23.5395469672685</t>
  </si>
  <si>
    <t>-46.5489208936298</t>
  </si>
  <si>
    <t>RUA ANTONIO SOVERAL ESQUINA COM A RUA NOVA JERUSALEM</t>
  </si>
  <si>
    <t>-23.5450603819698</t>
  </si>
  <si>
    <t>-46.5486675321513</t>
  </si>
  <si>
    <t>RUA PERO NUNES ESQUINA COM A RUA NOVA JERUSALEM</t>
  </si>
  <si>
    <t>-23.5479002725992</t>
  </si>
  <si>
    <t>-46.5493871817657</t>
  </si>
  <si>
    <t>RUA SANTA GERTRUDES  ESQUINA COM A RUA BOA ESPERANCA</t>
  </si>
  <si>
    <t>-23.5473014862022</t>
  </si>
  <si>
    <t>-46.5533480194892</t>
  </si>
  <si>
    <t>RUA MORORO ESQUINA COM RUA URUCUCA</t>
  </si>
  <si>
    <t>-23.5534987919302</t>
  </si>
  <si>
    <t>-46.5512522386545</t>
  </si>
  <si>
    <t>RUA URUCANGA ESQUINA COM A RUA MORORO</t>
  </si>
  <si>
    <t>-23.5548221267448</t>
  </si>
  <si>
    <t>-46.5526352069233</t>
  </si>
  <si>
    <t>RUA ANTONIO DE BARROS DEFRONTE A RUA AGUAPEI</t>
  </si>
  <si>
    <t>-23.5507908955275</t>
  </si>
  <si>
    <t>-46.5542440942667</t>
  </si>
  <si>
    <t>RUA PROFESSOR PEDREIRA DE FREITAS ESQUINA COM A RUA EDMUNDO XAVIER</t>
  </si>
  <si>
    <t>-23.5495215471847</t>
  </si>
  <si>
    <t>-46.5522488354986</t>
  </si>
  <si>
    <t>RUA SERRA DE BOTUCATU ESQUINA COM A RUA ANTONIO DE BARROS</t>
  </si>
  <si>
    <t>-23.5417561197903</t>
  </si>
  <si>
    <t>-46.5568076401979</t>
  </si>
  <si>
    <t>VILA CARRÃO</t>
  </si>
  <si>
    <t>AVENIDA CONSELHEIRO CARRAO ESQUINA COM A RUA LUIS PINTO</t>
  </si>
  <si>
    <t>-23.5499620018807</t>
  </si>
  <si>
    <t>-46.5342072002882</t>
  </si>
  <si>
    <t>RUA JUNO ESQUINA COM A RUA GANGES</t>
  </si>
  <si>
    <t>-23.5478577165448</t>
  </si>
  <si>
    <t>-46.5293391946632</t>
  </si>
  <si>
    <t>RUA LUTECIA ESQUINA COM PRACA BARAO HOMEM DE MELO</t>
  </si>
  <si>
    <t>-23.5583820212086</t>
  </si>
  <si>
    <t>-46.5415106494404</t>
  </si>
  <si>
    <t>RUA PIRAMBOIA ESQUINA COM A RUA ALMIRANTE GIACHETTA</t>
  </si>
  <si>
    <t>-23.5545241130332</t>
  </si>
  <si>
    <t>-46.5401434197305</t>
  </si>
  <si>
    <t>RUA FIRMINO BRAGA ESQUINA COM A RUA FRANCISCA DE PAULA</t>
  </si>
  <si>
    <t>-23.5616882099959</t>
  </si>
  <si>
    <t>-46.5323957618177</t>
  </si>
  <si>
    <t>RUA VACANGA ESQUINA COM A RUA SALOME QUEIROGA</t>
  </si>
  <si>
    <t>-23.5594927809254</t>
  </si>
  <si>
    <t>-46.5338488210779</t>
  </si>
  <si>
    <t>RUA OSWALDO AROUCA ESQUINA COM A RUA BENEDITO GALVAO</t>
  </si>
  <si>
    <t>-23.5601965162289</t>
  </si>
  <si>
    <t>-46.5381833742364</t>
  </si>
  <si>
    <t>RUA FRANCISCA DE PAULA DEFRONTE A RUA VIRGGINIA</t>
  </si>
  <si>
    <t>-23.5608001321471</t>
  </si>
  <si>
    <t>-46.5321621479335</t>
  </si>
  <si>
    <t>RUA FRANCISCA DE PAULA PROXIMO A ESQUINA COM A RUA VITORINO ROCHI</t>
  </si>
  <si>
    <t>-23.5580940386554</t>
  </si>
  <si>
    <t>-46.5304890548756</t>
  </si>
  <si>
    <t>RUA BIGUACU ESQUINA COM A RUA JUNO</t>
  </si>
  <si>
    <t>-23.550123399606</t>
  </si>
  <si>
    <t>-46.5307306999972</t>
  </si>
  <si>
    <t>RUA MARIA VIEIRA RIBEIRO ESQUINA COM A RUA VACANGA</t>
  </si>
  <si>
    <t>-23.5622543936882</t>
  </si>
  <si>
    <t>-46.5285720633138</t>
  </si>
  <si>
    <t>AVENIDA NORBERTO MAYER ESQUINA COM A RUA PONTA DE LESTE</t>
  </si>
  <si>
    <t>-23.5567240522659</t>
  </si>
  <si>
    <t>-46.5387045681429</t>
  </si>
  <si>
    <t>RUA ASTARTE ESQUINA COM A RUA RANCHARIA</t>
  </si>
  <si>
    <t>-23.5503993177808</t>
  </si>
  <si>
    <t>-46.5252639066788</t>
  </si>
  <si>
    <t>RUA RENATO RINALDI ESQUINA COM A RUA WINFRED</t>
  </si>
  <si>
    <t>-23.551080261746</t>
  </si>
  <si>
    <t>-46.5397425018435</t>
  </si>
  <si>
    <t>RUA GANGES ESQUINA COM A RUA PATAXO</t>
  </si>
  <si>
    <t>-23.5453143509902</t>
  </si>
  <si>
    <t>-46.5303154447001</t>
  </si>
  <si>
    <t>PRACA COSTA LEAO ESQUINA COM A PRACA HAROLDO DALTRO DEFRONTE AO PORTAO DA EMEF</t>
  </si>
  <si>
    <t>-23.545817013437</t>
  </si>
  <si>
    <t>-46.5318983914619</t>
  </si>
  <si>
    <t>RUA JUNO ESQUINA COMA RUA TAMAINDE</t>
  </si>
  <si>
    <t>-23.5468435786959</t>
  </si>
  <si>
    <t>-46.5288755865956</t>
  </si>
  <si>
    <t>RUA FAZENDA NATAL  ESQUINA COM A RUA JUVELINA FERREIRA DED ASSIS</t>
  </si>
  <si>
    <t>-23.5558993438719</t>
  </si>
  <si>
    <t>-46.5223144305168</t>
  </si>
  <si>
    <t>RUA OEIRAS ESQUINA COM A RUA BARAO DE ITAMARACA</t>
  </si>
  <si>
    <t>-23.5536890888627</t>
  </si>
  <si>
    <t>-46.5237903760613</t>
  </si>
  <si>
    <t>RUA PEDRO VOSS ESQUINA COM A RUA ALEXANDRO NINI</t>
  </si>
  <si>
    <t>-23.556265039238</t>
  </si>
  <si>
    <t>-46.5277499248669</t>
  </si>
  <si>
    <t>RUA FREI ORLANDO ESQUINA COM A RUA CANGIOCA</t>
  </si>
  <si>
    <t>-23.5567540560243</t>
  </si>
  <si>
    <t>-46.5351943809468</t>
  </si>
  <si>
    <t>RUA DULCE ESQUINA COM A RUA RENATO RINALDI</t>
  </si>
  <si>
    <t>-23.5526398562559</t>
  </si>
  <si>
    <t>-46.5366768460094</t>
  </si>
  <si>
    <t>AVENIDA CONSELHEIRO CARRAO ESQUINA COM A PRACA VICENTA FALCETTA</t>
  </si>
  <si>
    <t>-23.5488644545551</t>
  </si>
  <si>
    <t>-46.5365705956236</t>
  </si>
  <si>
    <t>RUA ZAMBEZE PROXIMO A ESQUINA COM A AVENIDA ARICANDUVA LOCAL</t>
  </si>
  <si>
    <t>-23.5429353086477</t>
  </si>
  <si>
    <t>-46.5340403858961</t>
  </si>
  <si>
    <t>RUA LUIS PINTO ESQUINA COM A RUA JOAO VIEIRA PRIOSTE</t>
  </si>
  <si>
    <t>-23.5539003808818</t>
  </si>
  <si>
    <t>-46.5364281565073</t>
  </si>
  <si>
    <t>RUA VOLTA GRANDER ESQUINA COM A RUA SALOME QUEIROGA</t>
  </si>
  <si>
    <t>-23.5587422877184</t>
  </si>
  <si>
    <t>-46.5330967315147</t>
  </si>
  <si>
    <t>RUA MONGUBA ESQUINA COM RUA MARIA INACIA DA CONCEICAO</t>
  </si>
  <si>
    <t>-23.559579001998</t>
  </si>
  <si>
    <t>-46.5287772204646</t>
  </si>
  <si>
    <t>RUA LUTECIA ESQUINA COM A RUA GERALDO CORREA</t>
  </si>
  <si>
    <t>-23.5562183422452</t>
  </si>
  <si>
    <t>-46.5423859214464</t>
  </si>
  <si>
    <t>AVENIDA NORBERTO MAYER ESQUINA COM A RUA PICINGUABA</t>
  </si>
  <si>
    <t>-23.5566780498423</t>
  </si>
  <si>
    <t>-46.537530876109</t>
  </si>
  <si>
    <t>AVENIDA DEZENOVE DE JANEIRO ESQUINA COM A RUA CARINA</t>
  </si>
  <si>
    <t>-23.5565323713266</t>
  </si>
  <si>
    <t>-46.5254236750521</t>
  </si>
  <si>
    <t>RUA GERALDO CORREIA 460</t>
  </si>
  <si>
    <t>-23.5578373625274</t>
  </si>
  <si>
    <t>-46.5394914305577</t>
  </si>
  <si>
    <t>RUA LUTECIA 1099</t>
  </si>
  <si>
    <t>-23.5534940655511</t>
  </si>
  <si>
    <t>-46.5434120967902</t>
  </si>
  <si>
    <t>AVENIDA BELARMINO FERREIRA ESQUINA COM A RUA ABOR</t>
  </si>
  <si>
    <t>-23.5599127749727</t>
  </si>
  <si>
    <t>-46.5112989289482</t>
  </si>
  <si>
    <t>AVENIDA ITAQUERA</t>
  </si>
  <si>
    <t>-23.5545614375629</t>
  </si>
  <si>
    <t>-46.4857713197875</t>
  </si>
  <si>
    <t>RUA XINGUTANEA PROXIMO A ESQUINA COM A RUA MIRASSELVA</t>
  </si>
  <si>
    <t>-23.5504182352613</t>
  </si>
  <si>
    <t>-46.5027514145431</t>
  </si>
  <si>
    <t>RUA CAMATOTILHO ESQUINA COM A RUA MAJERICAO</t>
  </si>
  <si>
    <t>-23.5569497271341</t>
  </si>
  <si>
    <t>-46.5044045820641</t>
  </si>
  <si>
    <t>RUA CONDADO DO NORTE ESQUINA COM RUA OSVALDO DE JESUS MESSINA</t>
  </si>
  <si>
    <t>-23.5527519200089</t>
  </si>
  <si>
    <t>-46.4983317327395</t>
  </si>
  <si>
    <t>RUA SABOEIRANA ESQUINA COM RUA OLGA SILVEIRA</t>
  </si>
  <si>
    <t>-23.553347657768</t>
  </si>
  <si>
    <t>-46.4958067639776</t>
  </si>
  <si>
    <t>RUA MIGUEL DE CABEDO ESQUINA COM A RUA SERRA DAS DIVISOES</t>
  </si>
  <si>
    <t>-23.5550591335663</t>
  </si>
  <si>
    <t>-46.4891433632717</t>
  </si>
  <si>
    <t>RUA PONCHE VERDE ESQUINA COM RUA CAMPOS CERRADOS</t>
  </si>
  <si>
    <t>-23.5581750163102</t>
  </si>
  <si>
    <t>-46.4867062771417</t>
  </si>
  <si>
    <t>RUA ZELIA FRIAS STREET ESQUINA COM A RUA ALCATIFA</t>
  </si>
  <si>
    <t>-23.5571720836487</t>
  </si>
  <si>
    <t>-46.4945917828407</t>
  </si>
  <si>
    <t>RUA MANIGA ESQUINA COM A RUA OLGA SILVEIRA CAMPOS</t>
  </si>
  <si>
    <t>-23.5542731957227</t>
  </si>
  <si>
    <t>-46.4969555598433</t>
  </si>
  <si>
    <t>RUA DATILEIRA 148 DEFRONTE A VIELA NOVE</t>
  </si>
  <si>
    <t>-23.5549585804213</t>
  </si>
  <si>
    <t>-46.5093763409501</t>
  </si>
  <si>
    <t>AVENIDA DOS LATINO 307</t>
  </si>
  <si>
    <t>-23.5725676868226</t>
  </si>
  <si>
    <t>-46.503052318422</t>
  </si>
  <si>
    <t>AVENIDA MATAPI ESQUINA COM AVENIDA ARICANDUVA</t>
  </si>
  <si>
    <t>-23.5753944467266</t>
  </si>
  <si>
    <t>-46.5023902980538</t>
  </si>
  <si>
    <t>AVENIDA OSVALDO VALLE CORDEIRO PROXIMO A ESQUINA COM A AVENIDA ALZIRO ZARUR</t>
  </si>
  <si>
    <t>-23.5607938804259</t>
  </si>
  <si>
    <t>-46.483367262838</t>
  </si>
  <si>
    <t>AVENIDA OSVALDO VALLE CORDEIRO ESQUINA COM A RUA CESARIO NEGRI</t>
  </si>
  <si>
    <t>-23.5599784420066</t>
  </si>
  <si>
    <t>-46.4860830746157</t>
  </si>
  <si>
    <t>RUA SIMONE MARTINI PROXIMO DA ESQUINA COM A RUA MARAJA ACU</t>
  </si>
  <si>
    <t>-23.5605054303546</t>
  </si>
  <si>
    <t>-46.5069148465884</t>
  </si>
  <si>
    <t>RUA JANUARIO DA COSTA ESQUINA COM A RUA ASTOLFO MARQUES</t>
  </si>
  <si>
    <t>-23.5752433075612</t>
  </si>
  <si>
    <t>-46.497168733656</t>
  </si>
  <si>
    <t>RUA JABOTI MEMBECA ESQUINA COM RUA  ERVA MULARINHA</t>
  </si>
  <si>
    <t>-23.5590886767147</t>
  </si>
  <si>
    <t>-46.4901330933332</t>
  </si>
  <si>
    <t>RUA BENTO TEIXEIRA ESQUINA COM A RUA ZELIA FRIA STREET</t>
  </si>
  <si>
    <t>-23.5640498976375</t>
  </si>
  <si>
    <t>-46.493145018231</t>
  </si>
  <si>
    <t>RUA SIZENANDO NABUCO ESQUINA COM A RUA CRAVO DA INDIA</t>
  </si>
  <si>
    <t>-23.5657844910142</t>
  </si>
  <si>
    <t>-46.4825270940387</t>
  </si>
  <si>
    <t>RUA FRANCISCO FURTADO ESQUINA COM RUA MORUBIXARA</t>
  </si>
  <si>
    <t>-23.5653083017031</t>
  </si>
  <si>
    <t>-46.4760368643382</t>
  </si>
  <si>
    <t>RUA MORUBIXABA 422</t>
  </si>
  <si>
    <t>-23.5619973017032</t>
  </si>
  <si>
    <t>-46.4795111664359</t>
  </si>
  <si>
    <t>AVENIDA LIDER ESQUINA COM RUA AGOSTINHO DE FARIAS</t>
  </si>
  <si>
    <t>-23.5566345697915</t>
  </si>
  <si>
    <t>-46.4775300948039</t>
  </si>
  <si>
    <t>RUA VALE DO IPOJUCA ESQUINA COM AVENIDA LIDER</t>
  </si>
  <si>
    <t>-23.5540590500099</t>
  </si>
  <si>
    <t>-46.4662328878115</t>
  </si>
  <si>
    <t>AVENIDA LIDER ESQUINA COM RUA SERRANA</t>
  </si>
  <si>
    <t>-23.5508868643018</t>
  </si>
  <si>
    <t>-46.463506159473</t>
  </si>
  <si>
    <t>RUA MARCUS VINICIUS FERNANDES PROXIMO DA ESQUINA COM A RUA FRANCSICO VIDAL</t>
  </si>
  <si>
    <t>-23.5529785310789</t>
  </si>
  <si>
    <t>-46.4759801415574</t>
  </si>
  <si>
    <t>RUA ROLANTE ESQUINA COM A RUA ROQUE PALMIERI</t>
  </si>
  <si>
    <t>-23.5555078527543</t>
  </si>
  <si>
    <t>-46.4721742398658</t>
  </si>
  <si>
    <t>AVENIDA MARIA LUIZA AMERICANO PROXIMO DA ESQUINA COM AVENIDA DOUTOR FRANCISCO MUNHOZ FILHO</t>
  </si>
  <si>
    <t>-23.5637446368341</t>
  </si>
  <si>
    <t>-46.4746269732547</t>
  </si>
  <si>
    <t>AVENIDA ITAQUERA PROXIMO 4480</t>
  </si>
  <si>
    <t>-23.5536229358194</t>
  </si>
  <si>
    <t>-46.4799439361374</t>
  </si>
  <si>
    <t>RUA INACIO MONTEIRO ESQUINA COM A RUA ALEXANDRE DAVIDENKO</t>
  </si>
  <si>
    <t>-23.5804378247261</t>
  </si>
  <si>
    <t>-46.3892481254775</t>
  </si>
  <si>
    <t>RUA CACHOEIRA DO CAMPO GRANDE ESQUINA COM A TRAVESSA CESARE ZOILO</t>
  </si>
  <si>
    <t>-23.5827899693021</t>
  </si>
  <si>
    <t>-46.3925416281388</t>
  </si>
  <si>
    <t>RUA FRANCISCO JOSE ALVES 104 DEFRONTE A TRAVESSA ANGUERA</t>
  </si>
  <si>
    <t>-23.5785123655864</t>
  </si>
  <si>
    <t>-46.406311462774</t>
  </si>
  <si>
    <t>RUA QUINTA SINFONIA ESQUINA COM A RUA DOCE CORACAO</t>
  </si>
  <si>
    <t>-23.5771426775332</t>
  </si>
  <si>
    <t>-46.3928056542773</t>
  </si>
  <si>
    <t>RUA MEU DESTINO ESQUINA COM A RUA CONJUNTO SITIO CONCEICAO</t>
  </si>
  <si>
    <t>-23.5795595167562</t>
  </si>
  <si>
    <t>-46.3947891931396</t>
  </si>
  <si>
    <t>RUA REINADO DO CAVALO MARINHO ESQUINA COM A RUA CACHOEIRA DAS GARCAS</t>
  </si>
  <si>
    <t>-23.5801162541094</t>
  </si>
  <si>
    <t>-46.3923650180168</t>
  </si>
  <si>
    <t xml:space="preserve">RUA ANTONIO CARLOS MINGUES LOPES DEFRONTE COM  A RUA CACHOEIRA DO SOL </t>
  </si>
  <si>
    <t>-23.5808278644695</t>
  </si>
  <si>
    <t>-46.3981487635126</t>
  </si>
  <si>
    <t>RUA JOFRE SOARES DEFRONTE A RUA FLORESTA AMAZONICA</t>
  </si>
  <si>
    <t>-23.5665435686437</t>
  </si>
  <si>
    <t>-46.419032097569</t>
  </si>
  <si>
    <t>RUA ROBERTO GARCIA MORILLO PROXIMO DA ESQUINA COM A RUA RICARDO DA COSTA</t>
  </si>
  <si>
    <t>-23.5861859996051</t>
  </si>
  <si>
    <t>-46.392731</t>
  </si>
  <si>
    <t>RUA SARA KUBITSCHECK ESQUINA COM A  RUA CAVALEIRO DE JORGE</t>
  </si>
  <si>
    <t>-23.5804083713676</t>
  </si>
  <si>
    <t>-46.3991042604169</t>
  </si>
  <si>
    <t>RUA WILSON FERNANDO SAO CARVALHO ESQUINA COM A RUA VELHO TEMA</t>
  </si>
  <si>
    <t>-23.5805227136968</t>
  </si>
  <si>
    <t>-46.3942977040291</t>
  </si>
  <si>
    <t>RUA ARROIO SARANDI PROXIMO A ESQUINA DA RUA ARROIO DO PONTAO</t>
  </si>
  <si>
    <t>-23.5766881309727</t>
  </si>
  <si>
    <t>-46.4136705810506</t>
  </si>
  <si>
    <t>RUA SENADOR NELSON CARNEIRO 539</t>
  </si>
  <si>
    <t>-23.5941532918305</t>
  </si>
  <si>
    <t>-46.4114805797969</t>
  </si>
  <si>
    <t>RUA IGARAPE DA MISSAO DEFRONTE A RUA IGARAPE DO FRADE</t>
  </si>
  <si>
    <t>-23.5934103668975</t>
  </si>
  <si>
    <t>-46.4118446820175</t>
  </si>
  <si>
    <t>RUA EDSON DANILO DOTTO 403</t>
  </si>
  <si>
    <t>-23.5912225089885</t>
  </si>
  <si>
    <t>-46.4116635867499</t>
  </si>
  <si>
    <t>AVENIDA DOS METALURGICOS 621</t>
  </si>
  <si>
    <t>-23.5894199996051</t>
  </si>
  <si>
    <t>-46.40861</t>
  </si>
  <si>
    <t>RUA CRISTOVAO MOLINA  ESQUINA COM A RUA DANTE ALDERIGO</t>
  </si>
  <si>
    <t>-23.5884440746721</t>
  </si>
  <si>
    <t>-46.3976664027334</t>
  </si>
  <si>
    <t>RUA ARROIO TRIUNFO ENTRE A RUA MARCIO BECK MACHADO E A RUA ARROIO ARAPONGAS</t>
  </si>
  <si>
    <t>-23.5834062828034</t>
  </si>
  <si>
    <t>-46.413852851356</t>
  </si>
  <si>
    <t>RUA CACHOEIRA DAS JANGADAS ESQUINA COM A RUA ARROI SANTO ANTONIO</t>
  </si>
  <si>
    <t>-23.5717547167768</t>
  </si>
  <si>
    <t>-46.4014644009793</t>
  </si>
  <si>
    <t>RUA NASCER DO SOL PROXIMO A ESQUINA COM RUA IGARAPE CAJUEIRO</t>
  </si>
  <si>
    <t>-23.5970182106612</t>
  </si>
  <si>
    <t>-46.4124574220856</t>
  </si>
  <si>
    <t>RUA IGARAPE DA BELA AURORA ESQUINA COM A RUA ARROIO SANTO ANTONIO</t>
  </si>
  <si>
    <t>-23.5719441206012</t>
  </si>
  <si>
    <t>-46.3993942191588</t>
  </si>
  <si>
    <t>AVENIDA NASCER DO SOL ENTRE AS RUAS JUCA E RUA IGARAPE DA MISSAO</t>
  </si>
  <si>
    <t>-23.5942354877163</t>
  </si>
  <si>
    <t>-46.4135359606277</t>
  </si>
  <si>
    <t>RUA IGARAPE AGUIA AZUL1192 EM FRENTE A EMEF</t>
  </si>
  <si>
    <t>-23.593978870136</t>
  </si>
  <si>
    <t>-46.4078414346244</t>
  </si>
  <si>
    <t>RUA ARROIO ARAPONGAS 45 PROXIMO A TRAVESSA ELIZABETH SEGUIN</t>
  </si>
  <si>
    <t>-23.5831455889016</t>
  </si>
  <si>
    <t>-46.4115487304975</t>
  </si>
  <si>
    <t>RUA CORACAO DE MACA ESQUINA COM A RUA SARA KUBITSCHECK</t>
  </si>
  <si>
    <t>-23.5816583219442</t>
  </si>
  <si>
    <t>-46.4049845614132</t>
  </si>
  <si>
    <t>RUA ALEXANDRE DAVIDENKO ESQUINA COM A RUA SALVADOR VIGANO</t>
  </si>
  <si>
    <t>-23.586888748408</t>
  </si>
  <si>
    <t>-46.3908596088052</t>
  </si>
  <si>
    <t>RUA APOSTOLO ANDRE  ESQUINA COM A RUA EDUARDO SANCHES</t>
  </si>
  <si>
    <t>-23.5894879960826</t>
  </si>
  <si>
    <t>-46.4012625681577</t>
  </si>
  <si>
    <t>RUA DONA ELOA DO VALLE QUADROS ESQUINA COM RUA DO AR</t>
  </si>
  <si>
    <t>-23.5893913311842</t>
  </si>
  <si>
    <t>-46.4113499794299</t>
  </si>
  <si>
    <t>RUA TAIGUARA CHALAR DEFRONTE A VIELA SETENTA E NOVE</t>
  </si>
  <si>
    <t>-23.5696130069704</t>
  </si>
  <si>
    <t>-46.416466381183</t>
  </si>
  <si>
    <t>RUA ANTONIO CARLOS MINGUES LOPES PROXIMO A ESQUINA COM A RUA WILSON FERNANDO S CARVALHO</t>
  </si>
  <si>
    <t>-23.5814847192795</t>
  </si>
  <si>
    <t>-46.3945282425083</t>
  </si>
  <si>
    <t>AVENIDA JOSE HIGINO NEVES</t>
  </si>
  <si>
    <t>-23.5701991433398</t>
  </si>
  <si>
    <t>-46.3970098106846</t>
  </si>
  <si>
    <t>RUA NASCER DO SOL PROXIMO DA ESQUINA COM A RUA DOM MARCOS BARBOSA</t>
  </si>
  <si>
    <t>-23.5898646763978</t>
  </si>
  <si>
    <t>-46.4128201010953</t>
  </si>
  <si>
    <t>RUA IGARAPE AGUA AZUL 85 DEFRONTE A RUA NASCER DO SOL</t>
  </si>
  <si>
    <t>-23.5923483362793</t>
  </si>
  <si>
    <t>-46.4081275892264</t>
  </si>
  <si>
    <t xml:space="preserve">RUA IGARAPE AGUA AZUL SN </t>
  </si>
  <si>
    <t>-23.5959530750463</t>
  </si>
  <si>
    <t>-46.4115344995776</t>
  </si>
  <si>
    <t>RUA REGRESSO FELIZ DEFRONTE A RUA RIO ITAPEMIRIM</t>
  </si>
  <si>
    <t>-23.5679770270244</t>
  </si>
  <si>
    <t>-46.4051579634326</t>
  </si>
  <si>
    <t>RUA IGARAPE DA BELA AURORA DEFRONTE RUA ARROIO PORANDUBA</t>
  </si>
  <si>
    <t>-23.573959725167</t>
  </si>
  <si>
    <t>-46.3998369529609</t>
  </si>
  <si>
    <t>RUA LUIS MATEUS ESQUINA  COM A RUA HENRIQUE ADAMUS</t>
  </si>
  <si>
    <t>-23.5639339994146</t>
  </si>
  <si>
    <t>-46.416622027252</t>
  </si>
  <si>
    <t>RUA SANTO RIZZO ESQUINA COM A RUA ERNESTO GOLD</t>
  </si>
  <si>
    <t>-23.5902493665781</t>
  </si>
  <si>
    <t>-46.4064944937444</t>
  </si>
  <si>
    <t>RUA DONA ELOA DO VALLE QUADROS ESQUINA COM A RUA NASCER DO SOL</t>
  </si>
  <si>
    <t>-23.5933791779632</t>
  </si>
  <si>
    <t>-46.4150599531918</t>
  </si>
  <si>
    <t>RUA JOAO NEPOMUCENO CASTRO ESQUINA COM A RUA TIAGO MOREIRA</t>
  </si>
  <si>
    <t>-23.567809036294</t>
  </si>
  <si>
    <t>-46.409173445778</t>
  </si>
  <si>
    <t>PAIOL VELHO</t>
  </si>
  <si>
    <t>RUA DO FLUOR NO FINAL DA RUA</t>
  </si>
  <si>
    <t>-23.611199175858</t>
  </si>
  <si>
    <t>-46.3953672976769</t>
  </si>
  <si>
    <t>SANTA ETELVINA</t>
  </si>
  <si>
    <t>RUA FRANCISCO JOSE VIANA DEFRONTE A RUA JOSE AMATO</t>
  </si>
  <si>
    <t>-23.6080085931093</t>
  </si>
  <si>
    <t>-46.3998199683506</t>
  </si>
  <si>
    <t>RUA RENE TOLEDO (EM FRENTE A EMEI ELISA KAUFFMAN)</t>
  </si>
  <si>
    <t>-23.6029021243524</t>
  </si>
  <si>
    <t>-46.4041536449108</t>
  </si>
  <si>
    <t>RUA ALBERTO VILLANIS (NO FINAL DA RUA)</t>
  </si>
  <si>
    <t>-23.598857850632</t>
  </si>
  <si>
    <t>-46.4038411098066</t>
  </si>
  <si>
    <t>RUA RENE TOLEDO 09 (PROX. AV METALURGICO)</t>
  </si>
  <si>
    <t>-23.5997077973136</t>
  </si>
  <si>
    <t>-46.4014488011659</t>
  </si>
  <si>
    <t>RUA EDUARDO SANCHEZ DEFRONTE A RUA MOISES DE CORENA</t>
  </si>
  <si>
    <t>-23.596531999605</t>
  </si>
  <si>
    <t>-46.397118</t>
  </si>
  <si>
    <t>RUA MOISES DE CORENA 1584 ESQUINA COM A RUA EDUARDO SANCHES</t>
  </si>
  <si>
    <t>-23.5964008092571</t>
  </si>
  <si>
    <t>-46.3972976962878</t>
  </si>
  <si>
    <t>RUA GONCALVES NINA PROXIMO AO PORTAO DO CONDOMINIO CANOAS I</t>
  </si>
  <si>
    <t>-23.5983154956741</t>
  </si>
  <si>
    <t>-46.3907397110848</t>
  </si>
  <si>
    <t>RUA EDUARDO SANCHEZ 1319</t>
  </si>
  <si>
    <t>-23.595569999605</t>
  </si>
  <si>
    <t>-46.39968</t>
  </si>
  <si>
    <t>RUA DOS TEXTEIS 2643 ESQUINA COM A RUA VARZEA NOVA</t>
  </si>
  <si>
    <t>-23.593779999605</t>
  </si>
  <si>
    <t>-46.395899</t>
  </si>
  <si>
    <t>RUA CRISTIANO LOBE EMFRENTE A PRACA PROFESSOR JOSE R DOS SANTOS</t>
  </si>
  <si>
    <t>-23.5916634279249</t>
  </si>
  <si>
    <t>-46.3992118548785</t>
  </si>
  <si>
    <t>RUA DINAH GONCALVES BRANDAO ESQUINA COM A RUA JOSE FRANCISCO BRANDAO</t>
  </si>
  <si>
    <t>-23.5933445509986</t>
  </si>
  <si>
    <t>-46.3945326708976</t>
  </si>
  <si>
    <t>AVENIDA DOS METALURGICOS 1441</t>
  </si>
  <si>
    <t>-23.5946581844137</t>
  </si>
  <si>
    <t>-46.4057257304608</t>
  </si>
  <si>
    <t>RUA ARLINDO BETTIO PROXIMO A RUA LUCAS GONCALVES</t>
  </si>
  <si>
    <t>-23.4824783184816</t>
  </si>
  <si>
    <t>-46.4933533282333</t>
  </si>
  <si>
    <t>RUA NOVA PALMEIRA PROXIMO A ESQUINA COM A RUA BEQUIMAO</t>
  </si>
  <si>
    <t>-23.4901745018184</t>
  </si>
  <si>
    <t>-46.501267162053</t>
  </si>
  <si>
    <t>AVENIDA ASSIS RIBEIRO ESQUINA COM AVENIDA DR ASSIS RIBEIRO</t>
  </si>
  <si>
    <t>-23.485185119041</t>
  </si>
  <si>
    <t>-46.4878405236983</t>
  </si>
  <si>
    <t>RUA MARIA DA CONCEICAO FERNANDES ESQUINA COM A  RUA LAGOA DA PRATA</t>
  </si>
  <si>
    <t>-23.4925758506713</t>
  </si>
  <si>
    <t>-46.4925429774709</t>
  </si>
  <si>
    <t>RUA MAMONAS ASSASINA ESQUINA COM A RUA LUCAS GONCALVES</t>
  </si>
  <si>
    <t>-23.4819222996064</t>
  </si>
  <si>
    <t>-46.49199077</t>
  </si>
  <si>
    <t>RUA WENCESLAU GUIMARAES ESQUINA COM A RUA OLAVO EGIDIO DE SOUZA ARANHA</t>
  </si>
  <si>
    <t>-23.4902801330673</t>
  </si>
  <si>
    <t>-46.4982613537319</t>
  </si>
  <si>
    <t>RUA FERNANDO CORTEZ ESQUINA COM A RUA FRANCISCO PIZARRO</t>
  </si>
  <si>
    <t>-23.5000986636129</t>
  </si>
  <si>
    <t>-46.4900817948661</t>
  </si>
  <si>
    <t>RUA AIQUARA ESQUINA COM A RUA CICERO DANTAS</t>
  </si>
  <si>
    <t>-23.4952216123665</t>
  </si>
  <si>
    <t>-46.4965818372227</t>
  </si>
  <si>
    <t>RUA PAULO BIFANO ALVES ESQUINA COM AVENIDA BOTURUSSU</t>
  </si>
  <si>
    <t>-23.5032867607297</t>
  </si>
  <si>
    <t>-46.4882196407367</t>
  </si>
  <si>
    <t>RUA DAS CRIANCAS ESQUINA COM A RUA ANTONIO LEITE PENTEADO</t>
  </si>
  <si>
    <t>-23.4897922713708</t>
  </si>
  <si>
    <t>-46.4892026518831</t>
  </si>
  <si>
    <t>RUA  DOUTOR AZAEL LOBO ESQUINA COM A RUA BOAVENTURA RODRIGUES DA SILVA</t>
  </si>
  <si>
    <t>-23.5053735082367</t>
  </si>
  <si>
    <t>-46.4899904586681</t>
  </si>
  <si>
    <t>RUA DOUTOR JOAQUIM AUGUSTO DE CAMARGO PROXIMO DA RUA DR JOAOUIM AUGUSTO DE CAMARGO</t>
  </si>
  <si>
    <t>-23.495140321557</t>
  </si>
  <si>
    <t>-46.4854952261929</t>
  </si>
  <si>
    <t>AVENIDA SAO JOSE DOS CORDEIROS ESQUINA COM A RUA CANDIBA</t>
  </si>
  <si>
    <t>-23.4955030288867</t>
  </si>
  <si>
    <t>-46.4932466938089</t>
  </si>
  <si>
    <t>AVENIDA PARANAGUA PROXIMO AO CRUZAMENTO DA AVENIDA ABEL TAVARES</t>
  </si>
  <si>
    <t>-23.4857089873127</t>
  </si>
  <si>
    <t>-46.4801776923279</t>
  </si>
  <si>
    <t>RUA FIORAVANTE LOPES GARCIA 570 DEFRONTE A RUA REVERENDO ALMIR PEREIRA BAHIA</t>
  </si>
  <si>
    <t>-23.4925343789351</t>
  </si>
  <si>
    <t>-46.4826296847754</t>
  </si>
  <si>
    <t>RUA PROFESSOR JOSE DE SOUZA 550 ESQUINA COM A RUA PAULO BIFANO ALVES</t>
  </si>
  <si>
    <t>-23.502931493307</t>
  </si>
  <si>
    <t>-46.4911749651315</t>
  </si>
  <si>
    <t>PARQUE BUTURUSSU</t>
  </si>
  <si>
    <t>RUA RUBENS RODRIGUES DOS SANTOS ESQUINA COM A PRACA FAUSTINA MARIN CABALLERO</t>
  </si>
  <si>
    <t>-23.4915931734336</t>
  </si>
  <si>
    <t>-46.4725394546174</t>
  </si>
  <si>
    <t>RUA CESAR DACORSO FILHO PROXIMO DA ESQUINA COM A RUA DOUTOR JOSE MANOEL FREITAS</t>
  </si>
  <si>
    <t>-23.4969399992893</t>
  </si>
  <si>
    <t>-46.4849968963448</t>
  </si>
  <si>
    <t>RUA PROFESSORA BRANCA DO CANTO E MELO ESQUINA COM A RUA NELIO BATISTA GUIMARAES</t>
  </si>
  <si>
    <t>-23.5048961549708</t>
  </si>
  <si>
    <t>-46.4843913121053</t>
  </si>
  <si>
    <t>RUA OVIDIO LOPES 303 ESQUINACOM A RUA DOUTOR VENANCIO DE OLIVEIRA LISBOA</t>
  </si>
  <si>
    <t>-23.4981672486104</t>
  </si>
  <si>
    <t>-46.4823273942471</t>
  </si>
  <si>
    <t>RUA FABIO JOSE BEZERRA ESQUINA COM A RUA SAO JOAQUIM DA BARRA</t>
  </si>
  <si>
    <t>-23.5057334088695</t>
  </si>
  <si>
    <t>-46.4776133632813</t>
  </si>
  <si>
    <t>RUA CAETANO LEAL PROXIMO DA ESQUINA COM A RUA DARIO COSTA MATTOS</t>
  </si>
  <si>
    <t>-23.5007178390165</t>
  </si>
  <si>
    <t>-46.4807604641727</t>
  </si>
  <si>
    <t>RUA VINTE E UM DE SETEMBRO PROX A AVENIDA JOAO BATISTA</t>
  </si>
  <si>
    <t>-23.4989323397713</t>
  </si>
  <si>
    <t>-46.4719678883936</t>
  </si>
  <si>
    <t>RUA ANTONIO DE FREITAS TOLEDO PROXIMO A PRACA CORONEL SATURNINO DE CARVALHO</t>
  </si>
  <si>
    <t>-23.4894020652557</t>
  </si>
  <si>
    <t>-46.4765837768895</t>
  </si>
  <si>
    <t>RUA ANTONIO TERTULIANO 255A REFERENCIA PROXIMO RUA CHAPADA DO NORTE</t>
  </si>
  <si>
    <t>-23.5014845598913</t>
  </si>
  <si>
    <t>-46.4852079990957</t>
  </si>
  <si>
    <t>AVENIDA PARANAGUA ESQUINA COM A RUA SIMAO BUENO DA SILVA</t>
  </si>
  <si>
    <t>-23.501143213514</t>
  </si>
  <si>
    <t>-46.4768714977486</t>
  </si>
  <si>
    <t>AVENIDA PARANAGUA ESQUINA COM A RUA AUGUSTO MUNIZ RIBEIRO</t>
  </si>
  <si>
    <t>-23.497529540613</t>
  </si>
  <si>
    <t>-46.4780899433153</t>
  </si>
  <si>
    <t>RUA DOMINGOS SCARPEL PROX A RUA ANTONIO DE FREITAS TOLEDO</t>
  </si>
  <si>
    <t>-23.4895195083155</t>
  </si>
  <si>
    <t>-46.4774439230942</t>
  </si>
  <si>
    <t>AVENIDA PARANAGUA PROXIMO DA ESQUINA COM A RUA JOSE MUNIZ RIBEIRO</t>
  </si>
  <si>
    <t>-23.4975844734869</t>
  </si>
  <si>
    <t>-46.4777471282286</t>
  </si>
  <si>
    <t>RUA SHOBEE KUMAGAI ESQUINA A RUA FRANCISCO ANTONIO MIRANDA</t>
  </si>
  <si>
    <t>-23.4900406135098</t>
  </si>
  <si>
    <t>-46.4770815988073</t>
  </si>
  <si>
    <t>RUA JOSE DE RICCI ESQUINA COM A RUA ANTONIO PEREIRA SIMOES</t>
  </si>
  <si>
    <t>-23.4927108601894</t>
  </si>
  <si>
    <t>-46.473518605844</t>
  </si>
  <si>
    <t>GUAIANASES</t>
  </si>
  <si>
    <t>RUA ESTALEIRADOR ESQUINA COM ESTRADA DE POA</t>
  </si>
  <si>
    <t>-23.5463229162745</t>
  </si>
  <si>
    <t>-46.402349733763</t>
  </si>
  <si>
    <t>RUA EDUARDO ALVES PROXIMO DA ESQUINA COM A RUA EVALDO CALABREZ</t>
  </si>
  <si>
    <t>2021-10-24</t>
  </si>
  <si>
    <t>-23.544887333096</t>
  </si>
  <si>
    <t>-46.4148731147988</t>
  </si>
  <si>
    <t>RUA DA LAGOA DE ESMORIZ ESQUINA COM A RUA TORRE DE SANTIAGO</t>
  </si>
  <si>
    <t>-23.5488533282455</t>
  </si>
  <si>
    <t>-46.4019949484891</t>
  </si>
  <si>
    <t>RUA SANTANA DO RIO PRETO PROXIMO A RUA ALTO BENI</t>
  </si>
  <si>
    <t>-23.5602505315855</t>
  </si>
  <si>
    <t>-46.4246477887409</t>
  </si>
  <si>
    <t>RUA LUIS MATEUS ESQUINA COM A RUA SANTA TARCILIA</t>
  </si>
  <si>
    <t>-23.5472261154513</t>
  </si>
  <si>
    <t>-46.426276546562</t>
  </si>
  <si>
    <t>RUA LUIS MATHEUS ESQUINA COM A RUA GENERAL LEONIDAS CARDOSO</t>
  </si>
  <si>
    <t>-23.5450768392793</t>
  </si>
  <si>
    <t>-46.425475122831</t>
  </si>
  <si>
    <t>RUA EVALDO CALABREZ DEFRONTE A TRAVESSA JUBILO</t>
  </si>
  <si>
    <t>-23.5482502293651</t>
  </si>
  <si>
    <t>-46.4214588831858</t>
  </si>
  <si>
    <t>RUA SATURNINO PEREIRA ESQUINA COM A RUA SANTA SABINA</t>
  </si>
  <si>
    <t>-23.5458505693423</t>
  </si>
  <si>
    <t>-46.4114846847916</t>
  </si>
  <si>
    <t>RUA SALVADOR GIANETTI ESQUINA COM A RUA PRATES DA FONSECA</t>
  </si>
  <si>
    <t>-23.5424608675702</t>
  </si>
  <si>
    <t>-46.4197201468258</t>
  </si>
  <si>
    <t>JUSCELINO KUBITSCHEK</t>
  </si>
  <si>
    <t>RUA UTARO KANAI ENTRE A RUA JULIO GOUVEIA E A RUA GENERAL JOAO SARMENTO PIMENTEL</t>
  </si>
  <si>
    <t>-23.5667040346656</t>
  </si>
  <si>
    <t>-46.3942219863962</t>
  </si>
  <si>
    <t>AVENIDA JOSE HIGINO NEVES ENTRE A RUA PEDRO DE SEABRA E AVENIDA ACHIOLE DA FONSECA</t>
  </si>
  <si>
    <t>-23.5628277840957</t>
  </si>
  <si>
    <t>-46.4070350833141</t>
  </si>
  <si>
    <t>RUA OTELO AUGUSTO RIBEIRO ESQUINA COM A AVENIDA MIGUEL ACHIOLE DA FONSECA</t>
  </si>
  <si>
    <t>-23.552814095209</t>
  </si>
  <si>
    <t>-46.4062603643459</t>
  </si>
  <si>
    <t>RUA PROFESSOR THEOTONIO PAVAO DEFRONTE A RUA MARIA NILZE CINTRA</t>
  </si>
  <si>
    <t>-23.5628118789746</t>
  </si>
  <si>
    <t>-46.4045362588545</t>
  </si>
  <si>
    <t>RUA ANECY ROCHA ESQUINA COM A RUA ZACHARIAS MOTTA FILHO</t>
  </si>
  <si>
    <t>-23.6013225183745</t>
  </si>
  <si>
    <t>-46.438615470557</t>
  </si>
  <si>
    <t>RUA DO ENSINO DEFRONTE A RUA ANECY ROCHA</t>
  </si>
  <si>
    <t>-23.6166574144863</t>
  </si>
  <si>
    <t>-46.4313788597489</t>
  </si>
  <si>
    <t>RUA GONCALVES DE MENDONCA ESQUINA COM A RUA PROFESSOR PEDRO ANTONIO PIMENTEL</t>
  </si>
  <si>
    <t>-23.5998749464877</t>
  </si>
  <si>
    <t>-46.4380292642138</t>
  </si>
  <si>
    <t>AVENIDA BENTO GUELFI ESQUINA COM A RUA ANTONIO NUNES</t>
  </si>
  <si>
    <t>-23.603995897211</t>
  </si>
  <si>
    <t>-46.429928320774</t>
  </si>
  <si>
    <t>RUA GONCALVES DE MENDONCA 268 ESQUINA COM A RUA CUBAS DE MENDOCA</t>
  </si>
  <si>
    <t>-23.5976309799728</t>
  </si>
  <si>
    <t>-46.4406319512844</t>
  </si>
  <si>
    <t>SÍTIO CARRÃOZINHO</t>
  </si>
  <si>
    <t>RUA ANTONIO ASSUNCAO FERREIRA ESQUINA COM RUA DIOGO GARCIA</t>
  </si>
  <si>
    <t>-23.5981880075304</t>
  </si>
  <si>
    <t>-46.4532586875311</t>
  </si>
  <si>
    <t>TRAVESSA SOMOS TODOS IGUAS ESQUINA COM A TRAVESSA METAMORFOSE</t>
  </si>
  <si>
    <t>-23.6075617083268</t>
  </si>
  <si>
    <t>-46.446996827577</t>
  </si>
  <si>
    <t>TRAVESSA SINHA MOCA ESQUINA COM A TRAVESSA BARRACAO DE ZINCO</t>
  </si>
  <si>
    <t>-23.6094537131435</t>
  </si>
  <si>
    <t>-46.4518465346465</t>
  </si>
  <si>
    <t>RUA 63 DEFRONTE A ESCOLA</t>
  </si>
  <si>
    <t>-23.6028437475591</t>
  </si>
  <si>
    <t>-46.4479244397592</t>
  </si>
  <si>
    <t>RUA PRIMO BAUDINI    PORTAO DA CEI AUTA DE SOUZA</t>
  </si>
  <si>
    <t>-23.5991337879038</t>
  </si>
  <si>
    <t>-46.4476561698197</t>
  </si>
  <si>
    <t>RUA DO CARVALHO BRASILEIRO ESQUINA COM  A TRAVESSA FRANCISCO MANARA</t>
  </si>
  <si>
    <t>-23.6230574376045</t>
  </si>
  <si>
    <t>-46.4146930769932</t>
  </si>
  <si>
    <t>AVENIDA BENTO GUELFI 3020 PROXIMO COM A ESQUINA DA AVENIDA SAPOPEMA NA CALCADA DA 1 CIA DO 38BPMM</t>
  </si>
  <si>
    <t>-23.6186864427385</t>
  </si>
  <si>
    <t>-46.4235226731715</t>
  </si>
  <si>
    <t>RUA PARTICULAR TIMAO ESQUINA COM A AVENIDA SAPOPEMBA</t>
  </si>
  <si>
    <t>-23.623235902113</t>
  </si>
  <si>
    <t>-46.4304064297841</t>
  </si>
  <si>
    <t>AVENIDA RAGUEB CHOFI</t>
  </si>
  <si>
    <t>-23.5932641867424</t>
  </si>
  <si>
    <t>-46.4185411378702</t>
  </si>
  <si>
    <t>RUA GONCALVES DE LIMA PROXIMO A ESQUINA COM A ESTRADA DOS FIDELIS</t>
  </si>
  <si>
    <t>-23.6167225007027</t>
  </si>
  <si>
    <t>-46.4222933384792</t>
  </si>
  <si>
    <t>TRAVESSA FLAMINIO BELLINI CARRI 212</t>
  </si>
  <si>
    <t>-23.612298695699</t>
  </si>
  <si>
    <t>-46.4160978824366</t>
  </si>
  <si>
    <t>RUA PADRE VIRGILIO CAMPELLO ESQUINA COM A RUA MARCO ANTONIO SETTI</t>
  </si>
  <si>
    <t>-23.5084109979724</t>
  </si>
  <si>
    <t>-46.3727227210935</t>
  </si>
  <si>
    <t>RUA MANOEL RODRIGUES SANTIAGO 1456 PROXIMO A RUA MARIO SAMARCO AO LADO DA ENTRADA DO CONDOMINIO</t>
  </si>
  <si>
    <t>-23.5118550280023</t>
  </si>
  <si>
    <t>-46.3788882526492</t>
  </si>
  <si>
    <t>RUA VITORIA DO ESPIRITO SANTO 83</t>
  </si>
  <si>
    <t>-23.5193441804716</t>
  </si>
  <si>
    <t>-46.3893370669776</t>
  </si>
  <si>
    <t>RUA PAULO TAPAJOS ESQUINA COM A RUA PADRE VIRGILIO CAMPELO</t>
  </si>
  <si>
    <t>-23.5049957252814</t>
  </si>
  <si>
    <t>-46.3772378335672</t>
  </si>
  <si>
    <t>RUA EUGENIO GRIECO 281 PROXIMO A RUA CAVALO DE PAU</t>
  </si>
  <si>
    <t>-23.5085563665723</t>
  </si>
  <si>
    <t>-46.377842126944</t>
  </si>
  <si>
    <t>RUA CORNELIO DE ARZAO ESQUINA COM A RUA DOM BRAS DA SILVEIRA</t>
  </si>
  <si>
    <t>-23.5146024792869</t>
  </si>
  <si>
    <t>-46.3957441902336</t>
  </si>
  <si>
    <t>RUA DESEMBARGADOR ISNARD DOS REIS ESQUINA COM A RUA DESEMBARGADOR ADERITO PEREIRA DA SILVA</t>
  </si>
  <si>
    <t>-23.5013112802537</t>
  </si>
  <si>
    <t>-46.3677896953768</t>
  </si>
  <si>
    <t>RUA CORNELIO DE ARZAO ESQUINA COM A RUA BENTO RODRIGUES CALDEIRA</t>
  </si>
  <si>
    <t>-23.5200461049015</t>
  </si>
  <si>
    <t>-46.3944318430969</t>
  </si>
  <si>
    <t>RUA ITAJUIBE PROXIMO DA ESQUINA COM A RUA BARRA DA CAPARA</t>
  </si>
  <si>
    <t>-23.5100889698955</t>
  </si>
  <si>
    <t>-46.3855530818167</t>
  </si>
  <si>
    <t>RUA JASMIN DO IMPERADOR 13 ENTRE AS AS RUAS ROSA SILVESTRE E RUA BETULA NEGRA</t>
  </si>
  <si>
    <t>-23.5112187142207</t>
  </si>
  <si>
    <t>-46.3891173918701</t>
  </si>
  <si>
    <t>RUA JOAO CARLOS LEITE PENTEADO ESQUINA COM A RUA CACHOEIRA ALTA   BOMBEIROS ITAIM PAULISTA</t>
  </si>
  <si>
    <t>-23.5056954717948</t>
  </si>
  <si>
    <t>-46.3944681088686</t>
  </si>
  <si>
    <t>RUA DO CONVETO ESQUINA COM RUA TIBURCIO DE SOUZA</t>
  </si>
  <si>
    <t>-23.5043254703299</t>
  </si>
  <si>
    <t>-46.3965986701765</t>
  </si>
  <si>
    <t>PRACA RODRIGUES BEJARANO 1 ENTRE RUA LOURENCO DA VEIGA E RUA PACUIBA</t>
  </si>
  <si>
    <t>-23.502940768878</t>
  </si>
  <si>
    <t>-46.4026598487399</t>
  </si>
  <si>
    <t>RUA VALENTE DE NOVAIS ESQUINA COM A RUA TIBURCIO DE SOUZA</t>
  </si>
  <si>
    <t>-23.5018456407549</t>
  </si>
  <si>
    <t>-46.3977119346255</t>
  </si>
  <si>
    <t>RUA ITAIM 667 DEFRONTE A PRACA CASA GRANDE E SENZALA</t>
  </si>
  <si>
    <t>-23.4940036186689</t>
  </si>
  <si>
    <t>-46.3978602462422</t>
  </si>
  <si>
    <t>RUA MORRO DA CAPOABA ESQUINA COM AVENIDA JOSE DE MORAES CABRAL</t>
  </si>
  <si>
    <t>-23.5081964245468</t>
  </si>
  <si>
    <t>-46.4004658281903</t>
  </si>
  <si>
    <t>RUA ALFREDO MOREIRA PINTO 465 DEFRONTE A RUA DOUTOR DURVAL VILALVA</t>
  </si>
  <si>
    <t>-23.5027723889525</t>
  </si>
  <si>
    <t>-46.4004425033515</t>
  </si>
  <si>
    <t>RUA ZEFERINO FERRAZ PROXIMO DA ESQUINA COM A AVENIDA BARAO DE ALAGOAS</t>
  </si>
  <si>
    <t>-23.4991922822911</t>
  </si>
  <si>
    <t>-46.3948563341761</t>
  </si>
  <si>
    <t>RUA ALFREDO MOREIRA PINTO 19 PROXIMO A ESQUINA COM A  RUA BARENA</t>
  </si>
  <si>
    <t>-23.4993754312416</t>
  </si>
  <si>
    <t>-46.4003212585687</t>
  </si>
  <si>
    <t>RUA JOSE BORGES DO CANTO EM FRENTE A EMEF</t>
  </si>
  <si>
    <t>-23.5076123656201</t>
  </si>
  <si>
    <t>-46.3926751125954</t>
  </si>
  <si>
    <t>RUA ANTONIO JOAO DE MEDEIROS ESQUINA COM A RUA ALTO JURUA</t>
  </si>
  <si>
    <t>-23.5104089456869</t>
  </si>
  <si>
    <t>-46.3977171744413</t>
  </si>
  <si>
    <t>AVENIDA CORREGO TIJUCO PRETO ESQUINA COM A RUA CARMINE MONETTI</t>
  </si>
  <si>
    <t>-23.4936673401405</t>
  </si>
  <si>
    <t>-46.3857873163783</t>
  </si>
  <si>
    <t>RUA MONSENHOR SALIM ESQUINA COM A RUA JOAO MISSEL GIGANTE</t>
  </si>
  <si>
    <t>-23.493878890549</t>
  </si>
  <si>
    <t>-46.3796942438141</t>
  </si>
  <si>
    <t>RUA ITAJUIBE 542 PROXIMO AO ENTRONCAMENTO COM A AVENIDA BARAO DE ALAGOAS</t>
  </si>
  <si>
    <t>-23.5011889633116</t>
  </si>
  <si>
    <t>-46.3915822244527</t>
  </si>
  <si>
    <t>RUA NOSSA SENHORA DA APRESENTACAO ESQUINA COM A RUA JORGE DOS SANTOS</t>
  </si>
  <si>
    <t>-23.4901349664698</t>
  </si>
  <si>
    <t>-46.3849587299002</t>
  </si>
  <si>
    <t>AVENIDA CANAL DE TUTOIA ESQUINA COM AVENIDA ACADEMIA DE SAO PAULO</t>
  </si>
  <si>
    <t>-23.5014887288008</t>
  </si>
  <si>
    <t>-46.385012111955</t>
  </si>
  <si>
    <t>RUA MONSENHOR SALIM ESQUINA COM A RUA ALVARO DE OLIVEIRA SILVAZ</t>
  </si>
  <si>
    <t>-23.4964649335152</t>
  </si>
  <si>
    <t>-46.3788596795688</t>
  </si>
  <si>
    <t>RUA JOSE DA CRUZ CAMARGO PROXIMO DA ESQUINA COM A RUA SERGIO ANTUNES DE ANDRADE</t>
  </si>
  <si>
    <t>-23.4962695489306</t>
  </si>
  <si>
    <t>-46.3805537189847</t>
  </si>
  <si>
    <t>RUA JOAO BATISTA DE GODOI 1200 AO LADO DO ECOPONTO</t>
  </si>
  <si>
    <t>-23.4973901403417</t>
  </si>
  <si>
    <t>-46.3709356917167</t>
  </si>
  <si>
    <t>RUA JOAO BATISTA DE GODOI ESQUINA COM A A RUA RENE CARNEIRO FERNANDES</t>
  </si>
  <si>
    <t>-23.4937709377012</t>
  </si>
  <si>
    <t>-46.3733325067747</t>
  </si>
  <si>
    <t>RUA PALMEIRA TUCUIM PROXIMO DA ESQUINA COM A RUA MANUEL BUENO DA FONSECA</t>
  </si>
  <si>
    <t>-23.4997434955895</t>
  </si>
  <si>
    <t>-46.3856248380229</t>
  </si>
  <si>
    <t>RUA PALMEIRA TUCUIN PROXIMO DA ESQUINA COM A AVENIDA FERNANDO PACHECO</t>
  </si>
  <si>
    <t>-23.4979943110944</t>
  </si>
  <si>
    <t>-46.3823377631517</t>
  </si>
  <si>
    <t>RUA MONSENHOR SALIM ESQUINA COM A RUA IVAMPA DUARTE LISBOA</t>
  </si>
  <si>
    <t>-23.4912807333938</t>
  </si>
  <si>
    <t>-46.3807703274912</t>
  </si>
  <si>
    <t>RUA LAGOA DA CRUZ DEFRONTE A RUA CORONEL PATRICIO CORREA DA CAMARA DEFRONTE A PRACA ANTONIO SOARES ALVES</t>
  </si>
  <si>
    <t>-23.4968927504363</t>
  </si>
  <si>
    <t>-46.3754854107736</t>
  </si>
  <si>
    <t xml:space="preserve">RUA JOAO BATISTA DE GODOY DEFRONTE A RUA DORIVAL GOMES </t>
  </si>
  <si>
    <t>-23.4903269424356</t>
  </si>
  <si>
    <t>-46.3757380523824</t>
  </si>
  <si>
    <t>RUA MANUEL BUENO DA FONSECA DEFRONTE A RUA ESPUMAS</t>
  </si>
  <si>
    <t>-23.4980382983222</t>
  </si>
  <si>
    <t>-46.3869713286033</t>
  </si>
  <si>
    <t>ARAUCÁRIAS</t>
  </si>
  <si>
    <t>RUA ARBELA PROXIMO A RUA CORRENTEZA</t>
  </si>
  <si>
    <t>-23.5240300901639</t>
  </si>
  <si>
    <t>-46.4705509166623</t>
  </si>
  <si>
    <t>RUA GITA ESQUINA COM RUA CORACAO NOTURNO</t>
  </si>
  <si>
    <t>-23.5225242817198</t>
  </si>
  <si>
    <t>-46.4675634529073</t>
  </si>
  <si>
    <t>AVENIDA DO IMPERADOR ESQUINA COM RUA NIGELA</t>
  </si>
  <si>
    <t>-23.5161402618021</t>
  </si>
  <si>
    <t>-46.4664664586779</t>
  </si>
  <si>
    <t>ESTRADA DO IMPERADOR ESQUINA COM A RUA EDMUNDO DE PAULA COELHO</t>
  </si>
  <si>
    <t>-23.5193522355631</t>
  </si>
  <si>
    <t>-46.4699390275812</t>
  </si>
  <si>
    <t>AVENIDA AGUIA DE HAIA 3310</t>
  </si>
  <si>
    <t>-23.5187133329393</t>
  </si>
  <si>
    <t>-46.47579</t>
  </si>
  <si>
    <t>ARENA CORINTHIANS</t>
  </si>
  <si>
    <t>AVENIDA MIGUEL IGNACIO CURI 2490</t>
  </si>
  <si>
    <t>-23.5457687041942</t>
  </si>
  <si>
    <t>-46.4717454666354</t>
  </si>
  <si>
    <t>AVENIDA MIGUEL IGNACIO CURI 360</t>
  </si>
  <si>
    <t>-23.5448013697186</t>
  </si>
  <si>
    <t>-46.4672300952535</t>
  </si>
  <si>
    <t>AVENIDA MIGUEL INACIO CURI PROXIMO AO VIADUTO DO METRO</t>
  </si>
  <si>
    <t>-23.5453216791474</t>
  </si>
  <si>
    <t>-46.4624875764651</t>
  </si>
  <si>
    <t>RUA AMERICO SAVADOR DALI ESQUINA COM A RUA BARROS CASSAL</t>
  </si>
  <si>
    <t>-23.5400476623981</t>
  </si>
  <si>
    <t>-46.4553460508192</t>
  </si>
  <si>
    <t>RUA ANTONIO SOARES LARA PROXIMO ESQUINA COM A AVENIDA ITAQUERA</t>
  </si>
  <si>
    <t>2021-03-23</t>
  </si>
  <si>
    <t>-23.5420751570624</t>
  </si>
  <si>
    <t>-46.4579300134076</t>
  </si>
  <si>
    <t>RUA COLONIAL DAS MISSOES PROXIMO A RUA BAIXADA SANTISTA</t>
  </si>
  <si>
    <t>-23.5425082186981</t>
  </si>
  <si>
    <t>-46.4524818222296</t>
  </si>
  <si>
    <t>RUA CAMPINAS DO PIAUI ESQUINA COM RUA SAO FELIX DO PIAUI</t>
  </si>
  <si>
    <t>-23.5451547773479</t>
  </si>
  <si>
    <t>-46.4502492937872</t>
  </si>
  <si>
    <t>RUA MORRO DO CLEMENTE PROXIMO A RUA ARRAIAL DE SAO BARTOLOMEU</t>
  </si>
  <si>
    <t>-23.551435583191</t>
  </si>
  <si>
    <t>-46.4493170932885</t>
  </si>
  <si>
    <t>RUA INACIO ALVES ESQUINA COM A RUA KEN SUGAYA</t>
  </si>
  <si>
    <t>-23.5381230468641</t>
  </si>
  <si>
    <t>-46.4535074619945</t>
  </si>
  <si>
    <t>RUA TOMAZZO FERRARA 112 ENFRENTE AO PONTO DE ONIBUS DAS LOTACOES</t>
  </si>
  <si>
    <t>-23.5392579495847</t>
  </si>
  <si>
    <t>-46.4569698823193</t>
  </si>
  <si>
    <t>RUA SERRA DE SAO DOMINGOS 136 PROXIMO A ESQUINA COM A  RUA PEDRO LEOPOLDO</t>
  </si>
  <si>
    <t>-23.5477601531244</t>
  </si>
  <si>
    <t>-46.4484160421407</t>
  </si>
  <si>
    <t>RUA DAMASIO PINTO ESQUINA COMA RUA ANTONIO DE ANDREDE MOITAS</t>
  </si>
  <si>
    <t>-23.5302300553249</t>
  </si>
  <si>
    <t>-46.4443971754999</t>
  </si>
  <si>
    <t>RUA SABADO D ANGELO ESQUINA COM A RUA  JOSE OITICICA FILHO</t>
  </si>
  <si>
    <t>-23.5363745333518</t>
  </si>
  <si>
    <t>-46.4499894459485</t>
  </si>
  <si>
    <t>RUA PROFESSOR LEONIDIO ALLEGRETI DEFRONTE A RUA SAO FRANCISCO DO PIAUI</t>
  </si>
  <si>
    <t>-23.5369407853435</t>
  </si>
  <si>
    <t>-46.4426392814698</t>
  </si>
  <si>
    <t>RUA SABADO D ANGELO ESQUINA COM A RUA FRANCISCO JANETTI</t>
  </si>
  <si>
    <t>-23.5381616270566</t>
  </si>
  <si>
    <t>-46.4485830108423</t>
  </si>
  <si>
    <t>AVENIDA DAVID DOMINGUES FERREIRA ESQUINA COM RUA SABBADO DANGELO</t>
  </si>
  <si>
    <t>-23.5337908439021</t>
  </si>
  <si>
    <t>-46.4517144394753</t>
  </si>
  <si>
    <t>RUA SAO FRANCISCO DO PIAUI 530 NA ESQUINA COM A  TRAVESSA ANIBAL GONCALVES</t>
  </si>
  <si>
    <t>-23.5395543037004</t>
  </si>
  <si>
    <t>-46.4471934467328</t>
  </si>
  <si>
    <t>RUA JIPARANA ESQUINA COM A RUA IMBACAL</t>
  </si>
  <si>
    <t>-23.534612213077</t>
  </si>
  <si>
    <t>-46.4377330070375</t>
  </si>
  <si>
    <t>RUA RIO CANABRAVA ESQUINA COM A RUA RIO IMBURANA</t>
  </si>
  <si>
    <t>-23.5443933190935</t>
  </si>
  <si>
    <t>-46.4443700570681</t>
  </si>
  <si>
    <t>RUA IMBACAL ESQUINA COM A ESTRADA DE ITAQUERA GUAIANASES</t>
  </si>
  <si>
    <t>-23.5318707999755</t>
  </si>
  <si>
    <t>-46.4399730830414</t>
  </si>
  <si>
    <t>RUA INAUINI  ESQUINA COM A RUA JUCARAL</t>
  </si>
  <si>
    <t>-23.5327381015965</t>
  </si>
  <si>
    <t>-46.4325511207462</t>
  </si>
  <si>
    <t>RUA PROFESSOR LEONIDIO ALLEGRETTI ESQUINA COM A RUA JOSE OITICICA FILHO</t>
  </si>
  <si>
    <t>-23.5335180074408</t>
  </si>
  <si>
    <t>-46.4451781128658</t>
  </si>
  <si>
    <t>RUA JOSEOITICA FILHO ESQUINA COM A RUA SABADO DANGELO</t>
  </si>
  <si>
    <t>-23.536299623616</t>
  </si>
  <si>
    <t>-46.4500431644765</t>
  </si>
  <si>
    <t>RUA ENGENHEIRO VILLARES DA SILVA ESQUINA COM A RUA NARCISO ARAUJO</t>
  </si>
  <si>
    <t>-23.5377716776151</t>
  </si>
  <si>
    <t>-46.4464352893027</t>
  </si>
  <si>
    <t>RUA GREGORIO RAMALHO ESQUINA COM A RUA VICTORIO SANTIM</t>
  </si>
  <si>
    <t>-23.536496325318</t>
  </si>
  <si>
    <t>-46.4543506386441</t>
  </si>
  <si>
    <t>PARQUE GUARANI</t>
  </si>
  <si>
    <t>RUA ARREIO DE PRATA PROX A RUA CORRE CORRE</t>
  </si>
  <si>
    <t>-23.5263114713712</t>
  </si>
  <si>
    <t>-46.4594430728494</t>
  </si>
  <si>
    <t>RUA MONSUETO CAMPOS DE MENESES PROXIMO DA ESQUINA COM A A AVENIDA ANDRE CAVALCANTI</t>
  </si>
  <si>
    <t>-23.5280253866769</t>
  </si>
  <si>
    <t>-46.4599901780048</t>
  </si>
  <si>
    <t>RUA CHUVA E SOL ESQUINA COM A RUA CHEIRO MINEIRO DE FLOR</t>
  </si>
  <si>
    <t>-23.5251452410922</t>
  </si>
  <si>
    <t>-46.4593772206871</t>
  </si>
  <si>
    <t>RIO VERDE</t>
  </si>
  <si>
    <t>RUA BB VARELA ESQUINA COM A AVENIDA PIRES DO RIO</t>
  </si>
  <si>
    <t>-23.5281569440486</t>
  </si>
  <si>
    <t>-46.4488662517587</t>
  </si>
  <si>
    <t>AVENIDA PIRES DO RIO DEFRONTE A RUA CAROLINA FONSECA</t>
  </si>
  <si>
    <t>-23.5331858718997</t>
  </si>
  <si>
    <t>-46.4536899593031</t>
  </si>
  <si>
    <t>RUA PALMERINO CALABRESE ESQUINA COM A RUA CAROLINA FONSECA</t>
  </si>
  <si>
    <t>-23.5290619784303</t>
  </si>
  <si>
    <t>-46.4556396684879</t>
  </si>
  <si>
    <t>AVENIDA PADRE GREGORIO MAFRA ESQUINA COM  A RUA CAPITAO ANTONIO VASCONCELOS</t>
  </si>
  <si>
    <t>-23.5202191282825</t>
  </si>
  <si>
    <t>-46.4526936268462</t>
  </si>
  <si>
    <t>RUA JAGUARIUNA ESQUINA COM A RUA VIRGINIA DE ALMEIDA</t>
  </si>
  <si>
    <t>-23.5269031499224</t>
  </si>
  <si>
    <t>-46.4531584760905</t>
  </si>
  <si>
    <t>RUA CRISTOVAO ALVES ESQUINA COM A RUA CAROLINA FONSECA</t>
  </si>
  <si>
    <t>-23.5308123238172</t>
  </si>
  <si>
    <t>-46.4548575862127</t>
  </si>
  <si>
    <t>RUA FRANCISCO ALARICO BERGAMO ESQUINA COM A RUA VICENTE DUTRA</t>
  </si>
  <si>
    <t>-23.525039208093</t>
  </si>
  <si>
    <t>-46.4545631750976</t>
  </si>
  <si>
    <t>RUA HENRIQUE DE FARIA PROXIMO A ESQUINA COM ARUA AMALIA DE FARIA</t>
  </si>
  <si>
    <t>-23.5242310789655</t>
  </si>
  <si>
    <t>-46.452218710497</t>
  </si>
  <si>
    <t>RUA ORLANDO FRATUCELLI 55 PROXIMO A ESQUINA COM  AVENIDA PIRES DO RIO</t>
  </si>
  <si>
    <t>-23.5200369715616</t>
  </si>
  <si>
    <t>-46.4443841730273</t>
  </si>
  <si>
    <t>RUA FLOR DE VERDADE 78 DEFRONTE A RUA CARDO LIMAO</t>
  </si>
  <si>
    <t>-23.5169588742892</t>
  </si>
  <si>
    <t>-46.4503610142662</t>
  </si>
  <si>
    <t>RUA IRARA ESQUINA COM A RUA ZORRILHO</t>
  </si>
  <si>
    <t>-23.5380957269365</t>
  </si>
  <si>
    <t>-46.4739353594542</t>
  </si>
  <si>
    <t>RUA COATA ESQUINA COM RUA TUCUXI</t>
  </si>
  <si>
    <t>-23.5387875982877</t>
  </si>
  <si>
    <t>-46.4713280846097</t>
  </si>
  <si>
    <t>CONTORNO DA PRACA ENTRE A RUA GOITI E RUA JOAPITANGA</t>
  </si>
  <si>
    <t>-23.5399044252176</t>
  </si>
  <si>
    <t>-46.4661304680838</t>
  </si>
  <si>
    <t>PRACA DAS PROFESSORAS PROXIMA AVENIDA CAMPANELLA</t>
  </si>
  <si>
    <t>-23.5359825385926</t>
  </si>
  <si>
    <t>-46.4678176541884</t>
  </si>
  <si>
    <t>RUA IARUCU ESQUINA COM A RUA GUIRA</t>
  </si>
  <si>
    <t>-23.531747112391</t>
  </si>
  <si>
    <t>-46.4726814759417</t>
  </si>
  <si>
    <t>RUA NOVA PETROPOLIS ESQUINA COM A RUA EMIDIO CAMPANELA</t>
  </si>
  <si>
    <t>-23.5371685380552</t>
  </si>
  <si>
    <t>-46.4600350000325</t>
  </si>
  <si>
    <t>RUA MANOEL RIBAS ESQUINA COM A  RUA PAULO FRONTIM</t>
  </si>
  <si>
    <t>-23.538378443379</t>
  </si>
  <si>
    <t>-46.4625573542081</t>
  </si>
  <si>
    <t>RUA PEDROSO DA SILVA ESQUINA COM RUA MUNIZ FALCAO</t>
  </si>
  <si>
    <t>-23.4885117581014</t>
  </si>
  <si>
    <t>-46.43248929162</t>
  </si>
  <si>
    <t>AVENIDA JOSE MARTINS LISBOA ESQUINA COM A RUA GUILHERME PISO</t>
  </si>
  <si>
    <t>-23.4817773949933</t>
  </si>
  <si>
    <t>-46.4183379462798</t>
  </si>
  <si>
    <t>RUA CONCEICAO DO ALMEIDA ESQUINA COM A RUA ASCENSO FERNANDES</t>
  </si>
  <si>
    <t>-23.4915606716301</t>
  </si>
  <si>
    <t>-46.4228489604167</t>
  </si>
  <si>
    <t>AVENIDA OLIVEIRA FREIRE ESQUINA COM RUA SABIA LARANDEIRA</t>
  </si>
  <si>
    <t>-23.4843619949933</t>
  </si>
  <si>
    <t>-46.4211516703869</t>
  </si>
  <si>
    <t>AVENIDA DOUTOR JOSE ARTUR DA NOVA PROXIMO A ESQUINA DA RUA CONCEICAO DE MINAS</t>
  </si>
  <si>
    <t>-23.4753793428865</t>
  </si>
  <si>
    <t>-46.4247626281388</t>
  </si>
  <si>
    <t>RUA DOS ALGODOEIROS PROXIMO DA ESQUINA DA RUA DOS MURURES</t>
  </si>
  <si>
    <t>-23.4778106852508</t>
  </si>
  <si>
    <t>-46.4216056705474</t>
  </si>
  <si>
    <t>AVENIDA PROFESSOR ALIPIO DE BARROS PROXIMO DA ESQUINA COM A RUA  CARLO BIBIENA</t>
  </si>
  <si>
    <t>-23.4900803761403</t>
  </si>
  <si>
    <t>-46.4155556572848</t>
  </si>
  <si>
    <t>AVENIDA OLIVEIRA FREIRE ESQUINA COM A RUA DOUTOR FRANCISCO TANCREDI</t>
  </si>
  <si>
    <t>-23.4844630317621</t>
  </si>
  <si>
    <t>-46.4269519320975</t>
  </si>
  <si>
    <t>RUA DOUTOR FRANCISCO TANCREDI ESQUINA COM A RUA SILVEIRA PIRES</t>
  </si>
  <si>
    <t>-23.4870899848869</t>
  </si>
  <si>
    <t>-46.4267050012939</t>
  </si>
  <si>
    <t>RUA PEDROSO DA SILVA 250C DEFRONTE A RUA SUACUAPARA</t>
  </si>
  <si>
    <t>-23.4855457583835</t>
  </si>
  <si>
    <t>-46.4328863983262</t>
  </si>
  <si>
    <t>AVENIDA DOUTOR JOSE ARTUR NOVA ESQUINA COM A RUA ENGENHEIRO DE SALES OLIVEIRA</t>
  </si>
  <si>
    <t>-23.4800623905291</t>
  </si>
  <si>
    <t>-46.4287989035714</t>
  </si>
  <si>
    <t>AVENIDA DOUTOR JOSE ARTUR NOVA ESQUINA COM A RUA GONCALVES RIBEIRO</t>
  </si>
  <si>
    <t>-23.4822675390093</t>
  </si>
  <si>
    <t>-46.4310692015532</t>
  </si>
  <si>
    <t>RUA JOAO LOPES MACIEL 24-</t>
  </si>
  <si>
    <t>-23.480742895556</t>
  </si>
  <si>
    <t>-46.4328510816483</t>
  </si>
  <si>
    <t>JOSÉ BONIFÁCIO</t>
  </si>
  <si>
    <t>GLEBA DO PÊSSEGO</t>
  </si>
  <si>
    <t>RUA SANTA TEREZA ENTRE A RUA CRAVO VERMELHO E A RUA DALIAS AMARELAS</t>
  </si>
  <si>
    <t>-23.583585570845</t>
  </si>
  <si>
    <t>-46.4176018491545</t>
  </si>
  <si>
    <t>RUA AGRIMENSOR SUGAYA PROXIMO A RUA ANGELA LA PORTE ANTIGA RUA UM</t>
  </si>
  <si>
    <t>-23.5583601685846</t>
  </si>
  <si>
    <t>-46.4400643480091</t>
  </si>
  <si>
    <t>RUA ARROIO CAMPO BOM DEFRONTE A EMFE CLOTILDE</t>
  </si>
  <si>
    <t>-23.5874597117877</t>
  </si>
  <si>
    <t>-46.4220334065196</t>
  </si>
  <si>
    <t>RUA VIRGINA FERNI 1056 NO INTERIOR DA SABESP   BICA DE ENCHIMENTO RAPIDO</t>
  </si>
  <si>
    <t>-23.541383949152</t>
  </si>
  <si>
    <t>-46.4392980307413</t>
  </si>
  <si>
    <t>RUA SAL DA TERRA PROXIMO A ESQUINA COM A RUA AQUARELA DO BRASIL</t>
  </si>
  <si>
    <t>-23.5526825442492</t>
  </si>
  <si>
    <t>-46.4257783331776</t>
  </si>
  <si>
    <t>RUA SILVIO BARBINI ESQUINA COM RUA ARMANDO JAMAR</t>
  </si>
  <si>
    <t>-23.5404606881773</t>
  </si>
  <si>
    <t>-46.4380491101145</t>
  </si>
  <si>
    <t>RUA EUGENIO ALBINI ESQUINA COM RUA SILVIO BARBINI</t>
  </si>
  <si>
    <t>-23.540020266914</t>
  </si>
  <si>
    <t>-46.435946895725</t>
  </si>
  <si>
    <t>RUA GUILHERME VALENCIA ESQUINA COM A RUA ANTONIO CRESPO</t>
  </si>
  <si>
    <t>-23.5495765016927</t>
  </si>
  <si>
    <t>-46.4404612115193</t>
  </si>
  <si>
    <t>RUA AV  PREOFESSOR JOAO BATIST NA CONTI</t>
  </si>
  <si>
    <t>-23.5520205814437</t>
  </si>
  <si>
    <t>-46.4425806964718</t>
  </si>
  <si>
    <t>RUA DOM JOSE BOTELHO ESQUINA COM A RUA VIRGINIA FERNE</t>
  </si>
  <si>
    <t>-23.5486658105488</t>
  </si>
  <si>
    <t>-46.4375172858213</t>
  </si>
  <si>
    <t>RUA AMOR DE INDIO DEFRONTE A RUA CASA NO CAMPO</t>
  </si>
  <si>
    <t>-23.5542487853896</t>
  </si>
  <si>
    <t>-46.4305030435387</t>
  </si>
  <si>
    <t>RUA FASCINACAO 314</t>
  </si>
  <si>
    <t>-23.5535093908939</t>
  </si>
  <si>
    <t>-46.4275756106149</t>
  </si>
  <si>
    <t>RUA RIO IMBURANA PROXIMO DA ESQUINA COM A RUA VIRGINIA FERNI</t>
  </si>
  <si>
    <t>-23.5469098656175</t>
  </si>
  <si>
    <t>-46.4393918498444</t>
  </si>
  <si>
    <t>AVENIDA LUIS MATEUS - POSTO DE BOMBEIROS GUAIANAZES</t>
  </si>
  <si>
    <t>-23.5530412544597</t>
  </si>
  <si>
    <t>-46.4249046889323</t>
  </si>
  <si>
    <t>RUA GIACOMO PERTI 158</t>
  </si>
  <si>
    <t>-23.5446154692767</t>
  </si>
  <si>
    <t>-46.4379252687939</t>
  </si>
  <si>
    <t>RUA JARDIM TAMOIO ESQUINA CO  A RUA MATIAS QUEVEDO</t>
  </si>
  <si>
    <t>2021-12-04</t>
  </si>
  <si>
    <t>-23.5540154910229</t>
  </si>
  <si>
    <t>-46.4334456489916</t>
  </si>
  <si>
    <t>RUA GIOVANNI QUADRI ESQUINA COM A RUA PROFESSOR LEONCIO GURGEL</t>
  </si>
  <si>
    <t>-23.5472457506945</t>
  </si>
  <si>
    <t>-46.4338601400167</t>
  </si>
  <si>
    <t>RUA CRISTOVAO SALAMANCA PROXIMO A RUA GARCIA BARCO</t>
  </si>
  <si>
    <t>-23.5572337237623</t>
  </si>
  <si>
    <t>-46.4327767499245</t>
  </si>
  <si>
    <t>RUA SILVIANOPOLIS ESQUINA COM A RUA ALBERTINO RASCONI</t>
  </si>
  <si>
    <t>-23.5496338254367</t>
  </si>
  <si>
    <t>-46.4334082107101</t>
  </si>
  <si>
    <t>RUA FRANCISCO ALBANI ESQUINA COM ARUA ALFONSO BERGAZ</t>
  </si>
  <si>
    <t>-23.5444762638041</t>
  </si>
  <si>
    <t>-46.4333503053264</t>
  </si>
  <si>
    <t>RUA SANTO OVIDIO ESQUINA COM A RUA PROFESSOR LEONCIO GURGE</t>
  </si>
  <si>
    <t>-23.5467714725587</t>
  </si>
  <si>
    <t>-46.4317169510694</t>
  </si>
  <si>
    <t>AVENIDA PROFESSOR OSVALDO DE OLIVEIRA ESQUINA COM  A RUA BELO VALE</t>
  </si>
  <si>
    <t>-23.5417466677126</t>
  </si>
  <si>
    <t>-46.4279019444767</t>
  </si>
  <si>
    <t>RUA FREI FRANCISCO PROXIMO A  ESQUINA DA RUA FREI ANDRE BLANCO</t>
  </si>
  <si>
    <t>-23.5398157500265</t>
  </si>
  <si>
    <t>-46.4302029853812</t>
  </si>
  <si>
    <t>AVENIDA NAGIB FARAH MALUF ESQUINA COM A AVENIDA PROFESSOR JOAO BATISTA CONTI</t>
  </si>
  <si>
    <t>-23.5511070357921</t>
  </si>
  <si>
    <t>-46.436263003697</t>
  </si>
  <si>
    <t>LAJEADO</t>
  </si>
  <si>
    <t>RUA GUABIROBA DE MINAS ESQUINA COM RUA LUCAS RUIZ</t>
  </si>
  <si>
    <t>-23.5195121417941</t>
  </si>
  <si>
    <t>-46.4268086127285</t>
  </si>
  <si>
    <t>RUA ABENAQUIS DEFRONTE COM TRAVESSA DEVA</t>
  </si>
  <si>
    <t>-23.5331682644569</t>
  </si>
  <si>
    <t>-46.4225628389148</t>
  </si>
  <si>
    <t>RUA MARINHO ARCANJO DOS SANTOS ESQUINA COM TRAVESSA BAIA DE EMBORAI</t>
  </si>
  <si>
    <t>-23.5283585344098</t>
  </si>
  <si>
    <t>-46.4281425763061</t>
  </si>
  <si>
    <t>RUA MARINHO ARCANJO DOS SANTOS</t>
  </si>
  <si>
    <t>-23.5261338969517</t>
  </si>
  <si>
    <t>-46.4291052393476</t>
  </si>
  <si>
    <t>RUA BALTAZAR BARROSO ESQUINA COM A VIELA DA CACAMBA</t>
  </si>
  <si>
    <t>-23.5297167309474</t>
  </si>
  <si>
    <t>-46.426143870605</t>
  </si>
  <si>
    <t>RUA ALDEIA DOS MACHACALIS NO FINAL DA RUA</t>
  </si>
  <si>
    <t>-23.5282939808463</t>
  </si>
  <si>
    <t>-46.425114074335</t>
  </si>
  <si>
    <t>RUA ARCANGELA DIORIO RADIANTE ESQUINA COM A RUA LUIS CRISTOFE</t>
  </si>
  <si>
    <t>-23.5395184091431</t>
  </si>
  <si>
    <t>-46.417961872077</t>
  </si>
  <si>
    <t>RUA JOAO BODIN ESQUINA COM A RUA BALTAZAR CISNEIROS</t>
  </si>
  <si>
    <t>-23.5333604751419</t>
  </si>
  <si>
    <t>-46.4237265589687</t>
  </si>
  <si>
    <t>RUA CARLO MANNELI ESQUINA COM A RUA GUABIROBA  DE MINAS</t>
  </si>
  <si>
    <t>-23.5232917589233</t>
  </si>
  <si>
    <t>-46.4301829911149</t>
  </si>
  <si>
    <t>ALTO DA MOOCA</t>
  </si>
  <si>
    <t>RUA FERNANDO FALCAO ESQUINA COM A RUA DO ORATORIO</t>
  </si>
  <si>
    <t>-23.5647118669937</t>
  </si>
  <si>
    <t>-46.5895914381526</t>
  </si>
  <si>
    <t>RUA DO ORATORIO ESQUINA COM RUA ISABEL DIAS</t>
  </si>
  <si>
    <t>-23.5667254092699</t>
  </si>
  <si>
    <t>-46.5879147449625</t>
  </si>
  <si>
    <t>RUA LEME DA SILVA ESQUINA DA RUA CUIABA</t>
  </si>
  <si>
    <t>-23.560287246325</t>
  </si>
  <si>
    <t>-46.5914304768047</t>
  </si>
  <si>
    <t>RUA GUAIMBE PROXIMO DA ESQUINA DA AVENIDA PAES DE BARROS</t>
  </si>
  <si>
    <t>-23.5651620052504</t>
  </si>
  <si>
    <t>-46.5948749238836</t>
  </si>
  <si>
    <t>RUA CUIABA ESQUINA COM RUA ANTUNES MACIEL</t>
  </si>
  <si>
    <t>-23.5586091214804</t>
  </si>
  <si>
    <t>-46.5945454979911</t>
  </si>
  <si>
    <t>RUA DO ORATORIO ESQUINA COM RUA VISCONDE DE INHOMERIM</t>
  </si>
  <si>
    <t>-23.5609606209389</t>
  </si>
  <si>
    <t>-46.5931570681095</t>
  </si>
  <si>
    <t>RUA CORONEL JOVIANO BRANDAO ESQUINA COM AVENIDA PAES DE BARROS</t>
  </si>
  <si>
    <t>-23.5771790194255</t>
  </si>
  <si>
    <t>-46.5869167380911</t>
  </si>
  <si>
    <t>RUA VISCONDE DE INHOMERIM ESQUINA COM A RUA MADRE DE DEUS</t>
  </si>
  <si>
    <t>-23.5619071883227</t>
  </si>
  <si>
    <t>-46.596750640285</t>
  </si>
  <si>
    <t>RUA CUIABA ESQUINA COMA RUA PIRES DE CAMPOS</t>
  </si>
  <si>
    <t>-23.5594032247476</t>
  </si>
  <si>
    <t>-46.5933803465963</t>
  </si>
  <si>
    <t>RUA GUAIMBE ESQUINA COM A RUA PADRE RAPOSO</t>
  </si>
  <si>
    <t>-23.5634767586437</t>
  </si>
  <si>
    <t>-46.5940027143242</t>
  </si>
  <si>
    <t>AVENIDA PAES DE BARROS ESQUINA COM A RUA GUAIMBE</t>
  </si>
  <si>
    <t>-23.565084609606</t>
  </si>
  <si>
    <t>-46.5951185115888</t>
  </si>
  <si>
    <t>AVENIDA PAES DE BARROS ESQUINA COM A RUA JAPURUCHITA    NA CALCADA DO POSTO</t>
  </si>
  <si>
    <t>-23.5715959857351</t>
  </si>
  <si>
    <t>-46.5873314395014</t>
  </si>
  <si>
    <t>RUA VISCONDE DE INHOMIRIM ESQUINA COM A RUA DIAS LEME</t>
  </si>
  <si>
    <t>-23.5611562759357</t>
  </si>
  <si>
    <t>-46.5946215539515</t>
  </si>
  <si>
    <t>RUA DO HIPODROMO ESQUINA COM AVENIDA ALCANTARA MACHADO</t>
  </si>
  <si>
    <t>-23.5494379284884</t>
  </si>
  <si>
    <t>-46.6056692573331</t>
  </si>
  <si>
    <t>RUA DR FOMN DEFRONTE A RUA JOAO TOBIAS</t>
  </si>
  <si>
    <t>-23.5453558035364</t>
  </si>
  <si>
    <t>-46.595533809434</t>
  </si>
  <si>
    <t>RUA VISCONDE DE PARNAIBA PROXIMO A ESQUINA DA RUA  DOUTOR ALMEIDA LIMA</t>
  </si>
  <si>
    <t>-23.5485215495356</t>
  </si>
  <si>
    <t>-46.6124023370933</t>
  </si>
  <si>
    <t>RUA TAQUARI PROXIMO A ESQUINA DA RUA SIQUEIRA BUENO</t>
  </si>
  <si>
    <t>-23.5461643182305</t>
  </si>
  <si>
    <t>-46.5922147543608</t>
  </si>
  <si>
    <t>RUA SAPUCAIA DEFRONTE A RUA DR JOAO BATISTA DE LACERDA</t>
  </si>
  <si>
    <t>-23.5542184246815</t>
  </si>
  <si>
    <t>-46.5896884201983</t>
  </si>
  <si>
    <t>RUA CATARINA BRAIDA 91 ENTRE A RUA TAQUARI E A RUA MARCIAL</t>
  </si>
  <si>
    <t>-23.5510640101484</t>
  </si>
  <si>
    <t>-46.5966586840663</t>
  </si>
  <si>
    <t>AVENIDA CASSANDOCA ESQUINA COM A RUA ITAQUERI</t>
  </si>
  <si>
    <t>-23.5562100490714</t>
  </si>
  <si>
    <t>-46.5884450605017</t>
  </si>
  <si>
    <t>RUA JOAO TOBIAS ESQUINA COM A RUA JAIBARAS</t>
  </si>
  <si>
    <t>-23.5464888101701</t>
  </si>
  <si>
    <t>-46.5976658981329</t>
  </si>
  <si>
    <t>RUA IPANEMA ESQUINA COM A RUA BRESSER ENFRENTE AO PS SALVALOS</t>
  </si>
  <si>
    <t>-23.5461059196347</t>
  </si>
  <si>
    <t>-46.604807065591</t>
  </si>
  <si>
    <t>RUA ITAJAI ESQUINA COM A RUA HIPIAS</t>
  </si>
  <si>
    <t>-23.5510800109839</t>
  </si>
  <si>
    <t>-46.6016537135947</t>
  </si>
  <si>
    <t>RUA JOAO CAETANO ESQUINAZ COM A RUA DO HIPODROMO</t>
  </si>
  <si>
    <t>-23.5506768578376</t>
  </si>
  <si>
    <t>-46.6047002580454</t>
  </si>
  <si>
    <t>RUA GUARAPUAVA ESQUINA COM A RUA FREI GASPAR</t>
  </si>
  <si>
    <t>-23.5476988458425</t>
  </si>
  <si>
    <t>-46.604944989544</t>
  </si>
  <si>
    <t>RUA BRESSER ESQUINA COM A RUA FREI GASPAR EM FRENTE AO PS SALVALOS</t>
  </si>
  <si>
    <t>-23.5469617284032</t>
  </si>
  <si>
    <t>-46.6039995198722</t>
  </si>
  <si>
    <t>AVENIDA ALCANTARA MACHADO ESQUINA COM A RUA BRESSER</t>
  </si>
  <si>
    <t>-23.5480672935735</t>
  </si>
  <si>
    <t>-46.603063251022</t>
  </si>
  <si>
    <t>RUA PARAUPAVA ESQUINA COM A RUA CAA ACU</t>
  </si>
  <si>
    <t>-23.5477502765971</t>
  </si>
  <si>
    <t>-46.5918833906475</t>
  </si>
  <si>
    <t>RUA DO HIPODROMO ESQUINA COM A RUA IPANEMA</t>
  </si>
  <si>
    <t>-23.5474470401253</t>
  </si>
  <si>
    <t>-46.6070824333112</t>
  </si>
  <si>
    <t>RUA DOS TRILHOS ESQUINA COM A RUA DO HIPODROMO</t>
  </si>
  <si>
    <t>-23.5529527829749</t>
  </si>
  <si>
    <t>-46.6027142051393</t>
  </si>
  <si>
    <t>RUA PORTO FELIZ 154</t>
  </si>
  <si>
    <t>-23.5585817978233</t>
  </si>
  <si>
    <t>-46.587503615487</t>
  </si>
  <si>
    <t>RUA ARINAIA ESQUINA COM A RUA PARAUPAVA</t>
  </si>
  <si>
    <t>-23.5491692598042</t>
  </si>
  <si>
    <t>-46.5903293689527</t>
  </si>
  <si>
    <t>RUA JOANA DARC 104</t>
  </si>
  <si>
    <t>-23.5591085763123</t>
  </si>
  <si>
    <t>-46.5873384328313</t>
  </si>
  <si>
    <t>RUA FERNANDO FALCAO ESQUINA COM A RUA DA MOOCA</t>
  </si>
  <si>
    <t>-23.5598216337032</t>
  </si>
  <si>
    <t>-46.5870383772666</t>
  </si>
  <si>
    <t>RUA SARA BERNHARD ESQUINA COM A RUA DO MOOCA</t>
  </si>
  <si>
    <t>-23.558807281678</t>
  </si>
  <si>
    <t>-46.5889101100216</t>
  </si>
  <si>
    <t>RUA DOS CAMPINEIROS ESQUINA COM RUA TOBIAS BARRETO</t>
  </si>
  <si>
    <t>-23.5562020737568</t>
  </si>
  <si>
    <t>-46.5925535618785</t>
  </si>
  <si>
    <t>RUA DOS CAMPINEIROS ESQUINA COM A RUA DOS CAPITAES MORES</t>
  </si>
  <si>
    <t>-23.5555201621219</t>
  </si>
  <si>
    <t>-46.5948258559087</t>
  </si>
  <si>
    <t>RUA MARCIAL ESQUINA COM A RUA CATARINA BRAIDA</t>
  </si>
  <si>
    <t>-23.5519015399551</t>
  </si>
  <si>
    <t>-46.5961468711898</t>
  </si>
  <si>
    <t>RUA CASSANDOCA ESQUINA COM A RUA TAQUARIZ</t>
  </si>
  <si>
    <t>-23.5497627533926</t>
  </si>
  <si>
    <t>-46.5960669838977</t>
  </si>
  <si>
    <t>PRACA PROFESSOR OSORIO DE ALMEIDA 72 PROXIMO DA ESQUINA COM A RUA FERNANDO FALCAO</t>
  </si>
  <si>
    <t>-23.5566212471224</t>
  </si>
  <si>
    <t>-46.5855039971703</t>
  </si>
  <si>
    <t>RUA TAQUARI 968 PROXIMO DA ESQUINA COM A RUA PAQUETA</t>
  </si>
  <si>
    <t>-23.5485505120455</t>
  </si>
  <si>
    <t>-46.5948107392885</t>
  </si>
  <si>
    <t>RUA SIQUEIRA BUENO ESQUINA COM A RUA FERNANDO FALCAO</t>
  </si>
  <si>
    <t>-23.5540340941629</t>
  </si>
  <si>
    <t>-46.5838321104524</t>
  </si>
  <si>
    <t>RUA AGOSTINHO LATTARI ESQUINA COM A RUA CAP PACHECO CHAVES</t>
  </si>
  <si>
    <t>-23.5819022996052</t>
  </si>
  <si>
    <t>-46.5901796999998</t>
  </si>
  <si>
    <t>PARQUE DA MOOCA</t>
  </si>
  <si>
    <t>RUA BORGES DE FIGUEIREDO ESQUINA COM A RUA MONSENHOR JOAO FELIPO</t>
  </si>
  <si>
    <t>-23.5565738952286</t>
  </si>
  <si>
    <t>-46.6076052915628</t>
  </si>
  <si>
    <t>RUA BORGES DE FIGUEIREDO ESQUINA COM A RUA VISCONDE DE CAIRU</t>
  </si>
  <si>
    <t>-23.5602409521746</t>
  </si>
  <si>
    <t>-46.6058865606022</t>
  </si>
  <si>
    <t>RUA COMENDADOR ROBERTO UGOLINI ESQUINA COM A RUA JUVENTUS</t>
  </si>
  <si>
    <t>-23.5732097779483</t>
  </si>
  <si>
    <t>-46.5886933998352</t>
  </si>
  <si>
    <t>RUA DOUTOR ALMEIDA LIMA 1398 DEFRONTE A RUA LUIZ GUIMARAES</t>
  </si>
  <si>
    <t>-23.5535442410383</t>
  </si>
  <si>
    <t>-46.6097810268261</t>
  </si>
  <si>
    <t>RUA DOS TRILHOS ESQUINA COM A RUA VISCONDE DE LAGUNA</t>
  </si>
  <si>
    <t>-23.5532174259539</t>
  </si>
  <si>
    <t>-46.6024691679037</t>
  </si>
  <si>
    <t>RUA EDUARDO GONCALVES ESQUINA COM A RUA JOAO ANTONIO DE OLIVEIRA</t>
  </si>
  <si>
    <t>-23.5623733524189</t>
  </si>
  <si>
    <t>-46.6035650776042</t>
  </si>
  <si>
    <t>RUA JUMANA ESQUINA COM A RUA CONDE PRATES</t>
  </si>
  <si>
    <t>-23.5664750628531</t>
  </si>
  <si>
    <t>-46.5987779128208</t>
  </si>
  <si>
    <t>RUA DOS TRILHOS ESQUINA COM A RUA CLARK</t>
  </si>
  <si>
    <t>-23.5537274507054</t>
  </si>
  <si>
    <t>-46.5981407166633</t>
  </si>
  <si>
    <t>RUA CONDE PRATES ESQUINA COM A RUA ETIOPIA</t>
  </si>
  <si>
    <t>-23.5672315362119</t>
  </si>
  <si>
    <t>-46.596096794976</t>
  </si>
  <si>
    <t>RUA DA MOOCA ESQUINA COM A RUA TAQUARI</t>
  </si>
  <si>
    <t>-23.5553603672718</t>
  </si>
  <si>
    <t>-46.6003296002138</t>
  </si>
  <si>
    <t>RUA DOS TRILHOS ESQUINA COM A RUA TAQUARI</t>
  </si>
  <si>
    <t>-23.5534454605702</t>
  </si>
  <si>
    <t>-46.6001099026066</t>
  </si>
  <si>
    <t>RUA TACOMARE ESQUINA COM A RUA APARAJU</t>
  </si>
  <si>
    <t>-23.5791039657259</t>
  </si>
  <si>
    <t>-46.5894700873962</t>
  </si>
  <si>
    <t>RUA JOAO ANTONIO ESQUINA COM A RUA DA MOOCA</t>
  </si>
  <si>
    <t>-23.5550684719854</t>
  </si>
  <si>
    <t>-46.6059780752649</t>
  </si>
  <si>
    <t>RUA MARIA CRESPI ESQUINA COM A RUA GUARATINGUETA</t>
  </si>
  <si>
    <t>-23.5579690986207</t>
  </si>
  <si>
    <t>-46.6047624832212</t>
  </si>
  <si>
    <t>RUA BORGES FIGUEIREDO 382 MOOCA ESQUINA COM A RUA GUARATINGUETA</t>
  </si>
  <si>
    <t>-23.5581661301999</t>
  </si>
  <si>
    <t>-46.6069206821654</t>
  </si>
  <si>
    <t>RUA BORGES FIGUEIREDO ESQUINA COM A RUA VISCONDE DE INHOMERIM</t>
  </si>
  <si>
    <t>-23.563998809318</t>
  </si>
  <si>
    <t>-46.6040949599234</t>
  </si>
  <si>
    <t>RUA HENRY FORD ESQUINA COM A RUA SARAPUI</t>
  </si>
  <si>
    <t>-23.5666786025238</t>
  </si>
  <si>
    <t>-46.6023904059903</t>
  </si>
  <si>
    <t>RUA SARAPUI ESQUINA COM A AVENIDA  HENRY FORD</t>
  </si>
  <si>
    <t>-23.5666131244396</t>
  </si>
  <si>
    <t>-46.6021510196415</t>
  </si>
  <si>
    <t>RUA JUVENAL PARADA ESQUINA COM A RUA DA MOOCA</t>
  </si>
  <si>
    <t>-23.5556937566058</t>
  </si>
  <si>
    <t>-46.597050318263</t>
  </si>
  <si>
    <t>RUA DOS TRILHOS ESQUINA COM RUA JUVENAL PARADA</t>
  </si>
  <si>
    <t>-23.5539117291494</t>
  </si>
  <si>
    <t>-46.5968739984489</t>
  </si>
  <si>
    <t>RUA AGOSTINHO LATARI  DEFRONTE A RUA QUARITERE</t>
  </si>
  <si>
    <t>-23.5774098939771</t>
  </si>
  <si>
    <t>-46.5923773309337</t>
  </si>
  <si>
    <t>RUA PADRE RAPOSO 39</t>
  </si>
  <si>
    <t>-23.5577884917524</t>
  </si>
  <si>
    <t>-46.5997073234732</t>
  </si>
  <si>
    <t>RUA HENRY FORD 761</t>
  </si>
  <si>
    <t>-23.5725641428222</t>
  </si>
  <si>
    <t>-46.5994600680356</t>
  </si>
  <si>
    <t>RUA DOS CAPITAES MORES ESQUINA COM A RUA DA MOOCA</t>
  </si>
  <si>
    <t>-23.5563723685356</t>
  </si>
  <si>
    <t>-46.5953375033069</t>
  </si>
  <si>
    <t>RUA DOS TRILHOS PROXIMO A ESQUINA COM A RUA CLARK DEFRONTE A RUA MARCIAL</t>
  </si>
  <si>
    <t>-23.5537310574345</t>
  </si>
  <si>
    <t>-46.5977697967514</t>
  </si>
  <si>
    <t>RUA CELSO DE AZEVEDO MARQUES ESQUINA COM A RUA JUVENTUS</t>
  </si>
  <si>
    <t>-23.5691158163788</t>
  </si>
  <si>
    <t>-46.5920011781502</t>
  </si>
  <si>
    <t>RUA SIQUEIRA BUENO ESQUINA COM A RUA TAQUARI</t>
  </si>
  <si>
    <t>-23.5460777119781</t>
  </si>
  <si>
    <t>-46.5921512335498</t>
  </si>
  <si>
    <t>BOM JARDIM</t>
  </si>
  <si>
    <t>RUA PAULO ANDRIGUETTI 1513 ENTRE A RUA MARIO YBARRA DE ALMEIDA E A RUA SILVA TELES</t>
  </si>
  <si>
    <t>-23.5252481119511</t>
  </si>
  <si>
    <t>-46.6066515172989</t>
  </si>
  <si>
    <t>AVENIDA PEDROSO DA SILVEIRA ESQUINA COM A RUA SANTA RITA</t>
  </si>
  <si>
    <t>-23.5291053793581</t>
  </si>
  <si>
    <t>-46.6081973353253</t>
  </si>
  <si>
    <t>RUA JOAQUIM CARLOS ESQUINA COM A LOCAL DA MARGINAL</t>
  </si>
  <si>
    <t>2020-09-18</t>
  </si>
  <si>
    <t>-23.5241545419914</t>
  </si>
  <si>
    <t>-46.6086043572408</t>
  </si>
  <si>
    <t>RUA SIQUEIRA AFONSO ESQUINA COM A RUA SILVA TELES</t>
  </si>
  <si>
    <t>-23.5278624024234</t>
  </si>
  <si>
    <t>-46.6085807318557</t>
  </si>
  <si>
    <t>RUA JOAQUIM CARLOS ESQUINA COM A RUA SANTA RITA</t>
  </si>
  <si>
    <t>-23.5278535342001</t>
  </si>
  <si>
    <t>-46.6070081519549</t>
  </si>
  <si>
    <t>RUA AGUACAI ESQUINA COM A AVENIDA CARLOS DE CAMPOS</t>
  </si>
  <si>
    <t>-23.5270033761301</t>
  </si>
  <si>
    <t>-46.6123344915922</t>
  </si>
  <si>
    <t>RUA ITURAMA DEFRONTE A RUA LATERAL DA PRACA NOSSA SENHORA DA OLIVEIRA</t>
  </si>
  <si>
    <t>-23.5227667334153</t>
  </si>
  <si>
    <t>-46.6143697373401</t>
  </si>
  <si>
    <t>CANINDÉ</t>
  </si>
  <si>
    <t>RUA COMENDADOR NESTOR PEREIRA 122 ESQUINA TRAVESSA PISCINA</t>
  </si>
  <si>
    <t>-23.5240967804689</t>
  </si>
  <si>
    <t>-46.6197529611263</t>
  </si>
  <si>
    <t>RUA CANINDE ESQUINA COM A RUA PEDRO VICENTE</t>
  </si>
  <si>
    <t>-23.5256253579998</t>
  </si>
  <si>
    <t>-46.6230757449824</t>
  </si>
  <si>
    <t>AVENIDA CRUZEIRO DO SUL 190</t>
  </si>
  <si>
    <t>-23.5289791493567</t>
  </si>
  <si>
    <t>-46.6251847104431</t>
  </si>
  <si>
    <t>PRACA ELIAS CHAIBUB NA PORTA DA EMEF</t>
  </si>
  <si>
    <t>-23.5232442583831</t>
  </si>
  <si>
    <t>-46.6202937190875</t>
  </si>
  <si>
    <t>RUA AFONSO ARINOS DEFRONTE A RUA MADEIRA</t>
  </si>
  <si>
    <t>-23.5309444576556</t>
  </si>
  <si>
    <t>-46.6242553357581</t>
  </si>
  <si>
    <t>AVENIDA CARLOS DE CAMPOS ESQUINA COM A RUA RIO BONITO</t>
  </si>
  <si>
    <t>-23.5286765704336</t>
  </si>
  <si>
    <t>-46.6139560718107</t>
  </si>
  <si>
    <t>RUA HANNEMANN PROXIMO DA ESQUINA COM A RUA RODRIGUES DOS SANTOS</t>
  </si>
  <si>
    <t>-23.5322990696904</t>
  </si>
  <si>
    <t>-46.618999939234</t>
  </si>
  <si>
    <t>RUA MENDES JUNIOR ESQUINA COM A RUA PARAIBA</t>
  </si>
  <si>
    <t>-23.5318917774809</t>
  </si>
  <si>
    <t>-46.6157491680459</t>
  </si>
  <si>
    <t>AVENIDA VAUTHIER ESQUINA COM A RUA HANNEMANN</t>
  </si>
  <si>
    <t>2020-07-24</t>
  </si>
  <si>
    <t>-23.531453310457</t>
  </si>
  <si>
    <t>-46.6211164540399</t>
  </si>
  <si>
    <t>PRACA ILO OTTANI ESQUINA COM A RUA DOUTOR VIRGILIO DO NASCIMENTO</t>
  </si>
  <si>
    <t>-23.5269145423122</t>
  </si>
  <si>
    <t>-46.6115231516516</t>
  </si>
  <si>
    <t>RUA PAUSTER ESQUINA COM A RUA CANINDE</t>
  </si>
  <si>
    <t>-23.5321852623475</t>
  </si>
  <si>
    <t>-46.6238245793122</t>
  </si>
  <si>
    <t>RUA ITAQUI ESQUINA COM A RUA CANINDE</t>
  </si>
  <si>
    <t>-23.5282471890969</t>
  </si>
  <si>
    <t>-46.6223922919559</t>
  </si>
  <si>
    <t>RUA CARNOT ESQUINA COM A RUA PASCOAL MALATESTA</t>
  </si>
  <si>
    <t>-23.5275486437774</t>
  </si>
  <si>
    <t>-46.6209634557893</t>
  </si>
  <si>
    <t>RUA CONSELHEIRO DANTAS ESQUINA COM A RUA CARNOT</t>
  </si>
  <si>
    <t>-23.5293144988315</t>
  </si>
  <si>
    <t>-46.6218044271093</t>
  </si>
  <si>
    <t>RUA CONSELHEIRO DANTAS ESQUINA COM A AVENIDA VAUTIER</t>
  </si>
  <si>
    <t>-23.529813458894</t>
  </si>
  <si>
    <t>-46.6206173470317</t>
  </si>
  <si>
    <t>RUA DAS OLARIAS DEFRONTE A RUA JURUA</t>
  </si>
  <si>
    <t>-23.5274630014439</t>
  </si>
  <si>
    <t>-46.6187591566445</t>
  </si>
  <si>
    <t>RUA ARAGUAIA ESQUINA COM A RUA CANINDE</t>
  </si>
  <si>
    <t>-23.5274476450549</t>
  </si>
  <si>
    <t>-46.6221618629758</t>
  </si>
  <si>
    <t>RUA THIERS ESQUINA COM A RUA CONSELHEIRO DANTAS</t>
  </si>
  <si>
    <t>-23.530018786661</t>
  </si>
  <si>
    <t>-46.6197548868883</t>
  </si>
  <si>
    <t>RUA DAS OLARIAS ESQUINA COM A RUA RIO BONITO</t>
  </si>
  <si>
    <t>-23.5292760962243</t>
  </si>
  <si>
    <t>-46.6172398077475</t>
  </si>
  <si>
    <t>RUA PARAIBA ESQUINA COM A RUA MARIA MARCOLINA</t>
  </si>
  <si>
    <t>-23.5340297094741</t>
  </si>
  <si>
    <t>-46.6174470947908</t>
  </si>
  <si>
    <t>-23.5340770835844</t>
  </si>
  <si>
    <t>-46.6147975856498</t>
  </si>
  <si>
    <t>RUA DOUTOR VIRGILIO DO NASCIMENTO ESQUINA COM A RUA RUI BONITO</t>
  </si>
  <si>
    <t>-23.5293626968734</t>
  </si>
  <si>
    <t>-46.6131295711224</t>
  </si>
  <si>
    <t>RUA JURUA PROXIMO A ESQUINA COM A RUA ITAQUI</t>
  </si>
  <si>
    <t>-23.5285040022991</t>
  </si>
  <si>
    <t>-46.6205507318655</t>
  </si>
  <si>
    <t>RUA CASEMIRO DE ABREU ESQUINA COM A RUA PARAIBA</t>
  </si>
  <si>
    <t>-23.5329774260456</t>
  </si>
  <si>
    <t>-46.6165174217025</t>
  </si>
  <si>
    <t>RUA SILVA TELES ESQUINA COM A RUA CASEMIRO DE ABREU</t>
  </si>
  <si>
    <t>-23.5349881840954</t>
  </si>
  <si>
    <t>-46.6157245704341</t>
  </si>
  <si>
    <t>RUA MENDES GONCALVES ESQUINA COM A RUA SILVA TELES</t>
  </si>
  <si>
    <t>-23.5333451089563</t>
  </si>
  <si>
    <t>-46.614062518809</t>
  </si>
  <si>
    <t>RUA RIO BONITO ESQUINA COM A RUA SILVA TELES</t>
  </si>
  <si>
    <t>-23.5307013244446</t>
  </si>
  <si>
    <t>-46.6114781877246</t>
  </si>
  <si>
    <t>RUA SILVA TELES ESQUINA COM A RUA CACHOEIRA</t>
  </si>
  <si>
    <t>-23.5297465555333</t>
  </si>
  <si>
    <t>-46.6104776670734</t>
  </si>
  <si>
    <t>RUA TIERS ESQUINA COM A RUA JOAO TEODORO</t>
  </si>
  <si>
    <t>-23.5350164229855</t>
  </si>
  <si>
    <t>-46.6212626017646</t>
  </si>
  <si>
    <t>RUA TIERS ESQUINA COM A RUA HANNEMANN</t>
  </si>
  <si>
    <t>-23.5317063731659</t>
  </si>
  <si>
    <t>-46.6202497078634</t>
  </si>
  <si>
    <t>RUA THIERS ESQUINA COM A RUA ITAQUI</t>
  </si>
  <si>
    <t>-23.5287459687233</t>
  </si>
  <si>
    <t>-46.6196844869274</t>
  </si>
  <si>
    <t>RUA VIDAL NEGREIROS ESQUINA COM A RUA MADEIRA</t>
  </si>
  <si>
    <t>-23.5293889467652</t>
  </si>
  <si>
    <t>-46.6236679251232</t>
  </si>
  <si>
    <t>RUA ITAQUI ESQUINA COM A RUA RIO BONITO</t>
  </si>
  <si>
    <t>-23.5294779339827</t>
  </si>
  <si>
    <t>-46.6174750050786</t>
  </si>
  <si>
    <t>RUA SILVA TELES ESQUINA COM A RUA JOAO BOEMER</t>
  </si>
  <si>
    <t>-23.5317226496475</t>
  </si>
  <si>
    <t>-46.6124333851254</t>
  </si>
  <si>
    <t>RUA ITARIRI ESQUINA COM A RUA VIDAL NEGREIROS</t>
  </si>
  <si>
    <t>-23.5300919106952</t>
  </si>
  <si>
    <t>-46.625157631612</t>
  </si>
  <si>
    <t>RUA SILVA TELES ESQUINA COM A RUA BRESSER</t>
  </si>
  <si>
    <t>-23.532742108988</t>
  </si>
  <si>
    <t>-46.6134562092654</t>
  </si>
  <si>
    <t>RUA JOAO BOEMER ESQUINA COM A RUA CORONEL EMIDIO PIEDADE</t>
  </si>
  <si>
    <t>-23.5311255534582</t>
  </si>
  <si>
    <t>-46.6131395494613</t>
  </si>
  <si>
    <t>-23.5309293400545</t>
  </si>
  <si>
    <t>-46.6133283885957</t>
  </si>
  <si>
    <t>RUA RIO BONITO ESQUINA COM A RUA CORONEL EMIDIO PIEDADE</t>
  </si>
  <si>
    <t>-23.5303058528054</t>
  </si>
  <si>
    <t>-46.6123645282056</t>
  </si>
  <si>
    <t>AVENIDA CARLOS DE CAMPOS ESQUINA COM A RUA CORONEL MORAIS</t>
  </si>
  <si>
    <t>-23.5298455184654</t>
  </si>
  <si>
    <t>-46.615033965534</t>
  </si>
  <si>
    <t>RUA RIO BONITO ESQUINA COM A RUA CORONEL SILVA GOMES</t>
  </si>
  <si>
    <t>-23.5304536585671</t>
  </si>
  <si>
    <t>-46.6180749548081</t>
  </si>
  <si>
    <t>PARQUE DO CARMO</t>
  </si>
  <si>
    <t>FAZENDA CAGUAÇU</t>
  </si>
  <si>
    <t>RUA MALMEQUER DO CAMPO ESQUINA COM RUA SUITE DE NATAL</t>
  </si>
  <si>
    <t>-23.5834898969752</t>
  </si>
  <si>
    <t>-46.4490090619839</t>
  </si>
  <si>
    <t>AVENIDA JACU PESSEGO PROXIMO A RUA TOMOICHI SHIMZU</t>
  </si>
  <si>
    <t>-23.5778620753692</t>
  </si>
  <si>
    <t>-46.443566391119</t>
  </si>
  <si>
    <t>RUA VICTORIO SANTIM 3086</t>
  </si>
  <si>
    <t>-23.5607666175117</t>
  </si>
  <si>
    <t>-46.4504802762024</t>
  </si>
  <si>
    <t>RUA CARMEM CARDOSO BORDINI ESQUINA COM A RUA MANOEL BACELAR</t>
  </si>
  <si>
    <t>-23.5763654818642</t>
  </si>
  <si>
    <t>-46.4542614427245</t>
  </si>
  <si>
    <t>AVENIDA OSVALDO PUCCI PROXIMO A ESQUINA COM A AVENIDA AFONSO DE SAMPAIO E SOUZA     PB ITAQUERA</t>
  </si>
  <si>
    <t>-23.5663559954098</t>
  </si>
  <si>
    <t>-46.466719188819</t>
  </si>
  <si>
    <t>VILA CARMOSINA</t>
  </si>
  <si>
    <t>RUA MARIZ SARMENTO 226 PROXIMO A RUA DOMICIANO RIBEIRO</t>
  </si>
  <si>
    <t>-23.5634591506543</t>
  </si>
  <si>
    <t>-46.4722787398573</t>
  </si>
  <si>
    <t>RUA MATEUS MENDES PEREIRA ESQUINA COM  A RUA VENANCIO LISBOA</t>
  </si>
  <si>
    <t>-23.5680494019801</t>
  </si>
  <si>
    <t>-46.4723193228455</t>
  </si>
  <si>
    <t>RUA ONOFRE JORGE VELHO ESQUINA COM AVENIDA ANTONIO DE SOUSA QUEIROZ</t>
  </si>
  <si>
    <t>-23.560790986758</t>
  </si>
  <si>
    <t>-46.4719945424176</t>
  </si>
  <si>
    <t>RUA MADRE SOFIA MARCHETTI ESQUINA COM RUA HARRY SOFIA MARCHETTI</t>
  </si>
  <si>
    <t>-23.5531944533667</t>
  </si>
  <si>
    <t>-46.4632288876906</t>
  </si>
  <si>
    <t>RUA BATALHA DE CATALAO 386</t>
  </si>
  <si>
    <t>-23.5599383216617</t>
  </si>
  <si>
    <t>-46.4697223850266</t>
  </si>
  <si>
    <t>RUA INACIO BERNARDES ESQUINA COM A RUA LEO DE AFONSECA</t>
  </si>
  <si>
    <t>-23.5663652126157</t>
  </si>
  <si>
    <t>-46.4689771942768</t>
  </si>
  <si>
    <t>RUA PADRE BENEDITO DE CAMARGO ESQUINA COM A AVENIDA GABRIELA MISTRAL</t>
  </si>
  <si>
    <t>-23.5196153621133</t>
  </si>
  <si>
    <t>-46.5468023852977</t>
  </si>
  <si>
    <t>AVENIDA GABRIELA MISTRAL ESQUINACOM A RUA JOAO DE LUCCA</t>
  </si>
  <si>
    <t>-23.5163972944765</t>
  </si>
  <si>
    <t>-46.5496973825641</t>
  </si>
  <si>
    <t>RUA CIRINO DE ABREU 253 DEFRONTE A RUA JOAO CARESIA</t>
  </si>
  <si>
    <t>-23.5320800461465</t>
  </si>
  <si>
    <t>-46.5492785369431</t>
  </si>
  <si>
    <t>RUA DOUTOR RENATO MAIA 360</t>
  </si>
  <si>
    <t>-23.5136756139079</t>
  </si>
  <si>
    <t>-46.5480278288308</t>
  </si>
  <si>
    <t>RUA ANTONIO LOBO ESQUINA COM RUA DR JOAOA RIBEIRO</t>
  </si>
  <si>
    <t>-23.5239866775339</t>
  </si>
  <si>
    <t>-46.5467195765762</t>
  </si>
  <si>
    <t>AVENIDA AMADOR BUENO DA VEIGA ESQUINA COM A RUA MAJOR RUDGE</t>
  </si>
  <si>
    <t>-23.5228130587774</t>
  </si>
  <si>
    <t>-46.5423437396452</t>
  </si>
  <si>
    <t>RUA ARACATI ESQUINA COM A RUA GUAIAUNA</t>
  </si>
  <si>
    <t>-23.5324509024933</t>
  </si>
  <si>
    <t>-46.5474702207396</t>
  </si>
  <si>
    <t>RUA HENRIQUE SOUSA QUEIROS ESQUINA COM AVENIDA PENHA DE FRANCA</t>
  </si>
  <si>
    <t>-23.5223260935184</t>
  </si>
  <si>
    <t>-46.5473495825484</t>
  </si>
  <si>
    <t>RUA GUAIAUNA ESQUINA COM A TRAVESSA ASCENDINO LISBOA</t>
  </si>
  <si>
    <t>-23.5291737516856</t>
  </si>
  <si>
    <t>-46.5522962611084</t>
  </si>
  <si>
    <t>RUA PADRE BENEDITO DE CAMARGO ESQUINA COM A RUA HENRIQUE SOUSA QUEIROS</t>
  </si>
  <si>
    <t>-23.5213579596525</t>
  </si>
  <si>
    <t>-46.5484485082019</t>
  </si>
  <si>
    <t>AVENIDA DOUTOR JOAO RIBEIRO EM FRENTE A RUA PADRE ANTONIO BENEDITO</t>
  </si>
  <si>
    <t>-23.5242309330134</t>
  </si>
  <si>
    <t>-46.5472222096954</t>
  </si>
  <si>
    <t>RUA PADRE JOAOZ ESQUINA COM RUA PEREQUE</t>
  </si>
  <si>
    <t>-23.5223781719084</t>
  </si>
  <si>
    <t>-46.5452059477923</t>
  </si>
  <si>
    <t>RUA CAPITAO JOAO CESARIO ESQUINA COM A RUA COMENDADOR CANTINHO</t>
  </si>
  <si>
    <t>-23.5241434579993</t>
  </si>
  <si>
    <t>-46.5488906218145</t>
  </si>
  <si>
    <t>RUA PERSIO AZEVEDO ESQUINA COM A RUA JAGUATEI</t>
  </si>
  <si>
    <t>-23.529040195956</t>
  </si>
  <si>
    <t>-46.5457384889197</t>
  </si>
  <si>
    <t>RUA MACAUBAS ESQUINA COM A RUA MAJOR RUDGE</t>
  </si>
  <si>
    <t>-23.5215772717944</t>
  </si>
  <si>
    <t>-46.5421204378694</t>
  </si>
  <si>
    <t>RUA CORONEL RODOVALHO ESQUINA COM A RUA  GUAIAUNA</t>
  </si>
  <si>
    <t>-23.5288687082718</t>
  </si>
  <si>
    <t>-46.5525477930748</t>
  </si>
  <si>
    <t>RUA GUAIAUNA ESQUINA COM RUA RECIFE</t>
  </si>
  <si>
    <t>-23.5297494592969</t>
  </si>
  <si>
    <t>-46.5512417537396</t>
  </si>
  <si>
    <t>RUA CARLOS MEIRA ESQUINA COM A RUA RODOVALHO JUNIOR</t>
  </si>
  <si>
    <t>-23.5199503094302</t>
  </si>
  <si>
    <t>-46.5482539512469</t>
  </si>
  <si>
    <t>RUA PADRE BENEDITO DE CAMARGO ESQUINA COM A RUA  HENRIQUE DE SOUZA QUEIRO</t>
  </si>
  <si>
    <t>-23.5213968003452</t>
  </si>
  <si>
    <t>-46.5483749685585</t>
  </si>
  <si>
    <t>RUA CAQUITO ESQUINA COM A RUA PLINIO AUGUSTO DE CAMARGO</t>
  </si>
  <si>
    <t>-23.5204993082441</t>
  </si>
  <si>
    <t>-46.543513992781</t>
  </si>
  <si>
    <t>RUA MAJOR ANGELO ZANCHI PROXIMO A ESQUINA DA RUA GENERAL SOCRATES</t>
  </si>
  <si>
    <t>-23.5302322875563</t>
  </si>
  <si>
    <t>-46.5469318972298</t>
  </si>
  <si>
    <t>RUA IRAPUCARA ESQUINA COM RUA BETARI</t>
  </si>
  <si>
    <t>-23.5298249612961</t>
  </si>
  <si>
    <t>-46.5450510714687</t>
  </si>
  <si>
    <t>RUA BERNARDINO VERGUEIRO ESQUINA COM AVENIDA GABRIELA MISTRAL</t>
  </si>
  <si>
    <t>-23.5115406122987</t>
  </si>
  <si>
    <t>-46.5508082580265</t>
  </si>
  <si>
    <t>AVENIDA CANGAIBA 382</t>
  </si>
  <si>
    <t>-23.5159339632684</t>
  </si>
  <si>
    <t>-46.5458880850012</t>
  </si>
  <si>
    <t>RUA MAJOR ANGELO ZANCHI ESQUINA COM A RUA PERSIO AZEVEDO</t>
  </si>
  <si>
    <t>-23.5267832780959</t>
  </si>
  <si>
    <t>-46.5477612090003</t>
  </si>
  <si>
    <t>RUA IRAPUCARA 287 PROXIMO A ESQUINA COM A  RUA SANTO ANTERO</t>
  </si>
  <si>
    <t>-23.5303375410482</t>
  </si>
  <si>
    <t>-46.5441261774324</t>
  </si>
  <si>
    <t>RUA PARACANA ESQUINA COM A RUA RAUL DE FREITAS</t>
  </si>
  <si>
    <t>-23.5252770260967</t>
  </si>
  <si>
    <t>-46.5432929330327</t>
  </si>
  <si>
    <t>RUA MAJOR ANGELO ZANCHI ESQUINA COM RUA DOUTOR JOAO RIBEIRO</t>
  </si>
  <si>
    <t>-23.5259635400571</t>
  </si>
  <si>
    <t>-46.5488670946779</t>
  </si>
  <si>
    <t>RUA DR JOAO RIBEIRO ESQUINA COM PRACA NOSSA SENHORA DA PENHA</t>
  </si>
  <si>
    <t>-23.5263954256475</t>
  </si>
  <si>
    <t>-46.5494656516088</t>
  </si>
  <si>
    <t>RUA DOUTOR ALMEIDA NOGUEIRA ESQUINA COM A RUA BETARI</t>
  </si>
  <si>
    <t>-23.5259553041193</t>
  </si>
  <si>
    <t>-46.5465575605599</t>
  </si>
  <si>
    <t>AVENIDA DOUTOR ORENCIO VIDIGAL 598 NO INTERIOR DO CONDOMINIO</t>
  </si>
  <si>
    <t>-23.5309251396058</t>
  </si>
  <si>
    <t>-46.54296412</t>
  </si>
  <si>
    <t>RUA PADRE JOAO ESQUINA COM A RUA DOUTOR JOAO RIBEIRO</t>
  </si>
  <si>
    <t>-23.5234184406057</t>
  </si>
  <si>
    <t>-46.5447136142968</t>
  </si>
  <si>
    <t>TIQUATIRA</t>
  </si>
  <si>
    <t>AVENIDA GOVERNADOR CARVALHO PINTO ESQUINA COM A AVENIDA SAO MIGUEL LADO PENHA</t>
  </si>
  <si>
    <t>-23.5149947675868</t>
  </si>
  <si>
    <t>-46.5204169570083</t>
  </si>
  <si>
    <t>AVENIDA AMADOR BUENO DA VEIGA DEFRONTE A RUA MIRANDINHA</t>
  </si>
  <si>
    <t>-23.5223709996059</t>
  </si>
  <si>
    <t>-46.5368867290858</t>
  </si>
  <si>
    <t>AVENIDA AMADOR BUENO DA VEIGA ESQUINA COM A RUA ATUAI</t>
  </si>
  <si>
    <t>-23.5220411626128</t>
  </si>
  <si>
    <t>-46.5301703341761</t>
  </si>
  <si>
    <t>AVENIDA AMADOR BUENO DA VEIGA ESQUINA COM A RUA MERCEDES LOPES</t>
  </si>
  <si>
    <t>-23.5221908067569</t>
  </si>
  <si>
    <t>-46.5310421846867</t>
  </si>
  <si>
    <t>RUA CLAUDIA ESQUINA COM AVENIDA AMADOR BUENO DA VEIGA</t>
  </si>
  <si>
    <t>-23.5219941585437</t>
  </si>
  <si>
    <t>-46.5264924997121</t>
  </si>
  <si>
    <t>RUA VALDEMAR ESQUINA COM RUA ENEAS DE BARROS</t>
  </si>
  <si>
    <t>-23.5205814146916</t>
  </si>
  <si>
    <t>-46.5336204195534</t>
  </si>
  <si>
    <t>RUA OMACHA ESQUINA COM A AVENIDA AMADOR BUENOD DA VEIGA</t>
  </si>
  <si>
    <t>-23.522040258547</t>
  </si>
  <si>
    <t>-46.5384909709142</t>
  </si>
  <si>
    <t>RUA CORONEL  MEIRELES ESQUINA COMA AVENIDA AMADOR BUENO DA VEIGA</t>
  </si>
  <si>
    <t>-23.5231441890805</t>
  </si>
  <si>
    <t>-46.5346920108711</t>
  </si>
  <si>
    <t>RUA LEOPOLDO MACHADO ESQUINA COM A RUA OMACHA</t>
  </si>
  <si>
    <t>-23.5200885434205</t>
  </si>
  <si>
    <t>-46.5389605860039</t>
  </si>
  <si>
    <t>RUA FRANCISCO DO AMARAL ESQUINA COM A RUA DONA VICENTINA ALEGRETTI</t>
  </si>
  <si>
    <t>-23.5209601078129</t>
  </si>
  <si>
    <t>-46.5378313977837</t>
  </si>
  <si>
    <t>RUA JOSE MARIA ESQUINA COM A AVENIDA AMADOR BUENO DA VEIGA</t>
  </si>
  <si>
    <t>-23.522509309074</t>
  </si>
  <si>
    <t>-46.5403313502953</t>
  </si>
  <si>
    <t>RUA JOSE FORTUNATO PEREIRA ESQUINA COM A RUA DOIS DE JANEIRO</t>
  </si>
  <si>
    <t>-23.5168370039831</t>
  </si>
  <si>
    <t>-46.5274206301246</t>
  </si>
  <si>
    <t>RUA SAO  DEMETRIO ESQUINA COM A RUA RIO DOURADO</t>
  </si>
  <si>
    <t>-23.5154135259785</t>
  </si>
  <si>
    <t>-46.5236524083751</t>
  </si>
  <si>
    <t>RUA CLAUDIA ESQUINA COM A RUA PIXURIM</t>
  </si>
  <si>
    <t>-23.5181407736146</t>
  </si>
  <si>
    <t>-46.5260544706018</t>
  </si>
  <si>
    <t>RUA TOUTINEGRA ESQUINA COM A RUA CORONDA</t>
  </si>
  <si>
    <t>-23.5196386585835</t>
  </si>
  <si>
    <t>-46.5235719318686</t>
  </si>
  <si>
    <t>RUA SAO ROBERTO ESQUINA COM A RUA PIXURIM</t>
  </si>
  <si>
    <t>-23.518919879262</t>
  </si>
  <si>
    <t>-46.525119490196</t>
  </si>
  <si>
    <t>RUA MANUEL JORGE RIBEIRO 66 DEFRONTE COM A RUA CIRENE JORGE RIBEIRO</t>
  </si>
  <si>
    <t>-23.5209730980226</t>
  </si>
  <si>
    <t>-46.527739851084</t>
  </si>
  <si>
    <t>RUA CUMANACHOS ESQUINA COM RUA MORRO VERMELHO</t>
  </si>
  <si>
    <t>-23.5191602022579</t>
  </si>
  <si>
    <t>-46.5325206455817</t>
  </si>
  <si>
    <t>RUA JORGE AUGUSTO 305 DEFRONTE A RUA SERAFIM GADELHO</t>
  </si>
  <si>
    <t>-23.5251928662925</t>
  </si>
  <si>
    <t>-46.5306228077758</t>
  </si>
  <si>
    <t>RUA MANUEL GADELHO ESQUINA COM RUA LEOPOLDO DE FREITAS</t>
  </si>
  <si>
    <t>-23.5261007183578</t>
  </si>
  <si>
    <t>-46.5317202760019</t>
  </si>
  <si>
    <t>RUA JORGE AUGUSTO ESQUINA COM RUA OIAMPI</t>
  </si>
  <si>
    <t>-23.5243059225849</t>
  </si>
  <si>
    <t>-46.5310448566499</t>
  </si>
  <si>
    <t>AVENIDA PADRE OLIVETANOS ESQUINA COM RUA FREI MANOEL DO DESTERRO</t>
  </si>
  <si>
    <t>-23.5248183096796</t>
  </si>
  <si>
    <t>-46.5258321766455</t>
  </si>
  <si>
    <t>RUA LAURINDA ESQUINA COM A RUA ATUAI</t>
  </si>
  <si>
    <t>-23.5279013959437</t>
  </si>
  <si>
    <t>-46.5293663577369</t>
  </si>
  <si>
    <t>RUA MARIA CARLOTA ESQUINA COM AVENIDA PADRE OLIVETANOS</t>
  </si>
  <si>
    <t>-23.529558824905</t>
  </si>
  <si>
    <t>-46.527664622924</t>
  </si>
  <si>
    <t>RUA MIRANDINHA ESQUINA COM A AVENIDA AMADOR BUENO DA VEIGA</t>
  </si>
  <si>
    <t>-23.5226621972866</t>
  </si>
  <si>
    <t>-46.5367546306045</t>
  </si>
  <si>
    <t>RUA ISABEL ESQUINA COM RUA FREI MANOEL DO DESTERRO</t>
  </si>
  <si>
    <t>-23.5249964275496</t>
  </si>
  <si>
    <t>-46.5272361459588</t>
  </si>
  <si>
    <t>RUA RICARDO VILELA ESQUINA COM RUA MAJOR ALBERTO BARBOSA</t>
  </si>
  <si>
    <t>-23.5275494201004</t>
  </si>
  <si>
    <t>-46.5353587336525</t>
  </si>
  <si>
    <t>RUA ATUAI ESQUINA COM A RUA GUANANA</t>
  </si>
  <si>
    <t>-23.5253814196059</t>
  </si>
  <si>
    <t>-46.5297894305671</t>
  </si>
  <si>
    <t>AVENIDA AMADOR BUENO DA VEIGA ESQUINA COM A RUA MANDU</t>
  </si>
  <si>
    <t>-23.5231563421209</t>
  </si>
  <si>
    <t>-46.5204945882271</t>
  </si>
  <si>
    <t>RUA VERA ESQUINA COM A AVENIDA AMADOR BUENO DA VEIGA</t>
  </si>
  <si>
    <t>-23.5209047652751</t>
  </si>
  <si>
    <t>-46.5157387398891</t>
  </si>
  <si>
    <t>RUA ALICANTE DEFRONTE A RUA VINTE E SEIS DE ABRIL PB VILA ESPERANCA</t>
  </si>
  <si>
    <t>-23.5235646641015</t>
  </si>
  <si>
    <t>-46.5185328615373</t>
  </si>
  <si>
    <t>RUA MANDU ESQUINA COM A RUA TOUTINEGRA</t>
  </si>
  <si>
    <t>-23.5202910232158</t>
  </si>
  <si>
    <t>-46.520477898788</t>
  </si>
  <si>
    <t>AVENIDA AMADOR BUENO DA VEIGA ESQUINA COM A RUA COCHINU</t>
  </si>
  <si>
    <t>-23.523070209253</t>
  </si>
  <si>
    <t>-46.5229020504154</t>
  </si>
  <si>
    <t>RUA NILZA DEFRONTE A RUA SERRA DA PRATA</t>
  </si>
  <si>
    <t>-23.5285408369466</t>
  </si>
  <si>
    <t>-46.5179389154945</t>
  </si>
  <si>
    <t>RUA VERA ESQUINA COM A RUA DONA JOAQUINA SANTANA</t>
  </si>
  <si>
    <t>-23.5176313421735</t>
  </si>
  <si>
    <t>-46.5182386537401</t>
  </si>
  <si>
    <t>RUA ALARCO ESQUINA COM A RUA TEQUICI</t>
  </si>
  <si>
    <t>-23.525234852299</t>
  </si>
  <si>
    <t>-46.5154350988921</t>
  </si>
  <si>
    <t>RUA GUARANESIA ESQUINA COM A RUA MAXINE</t>
  </si>
  <si>
    <t>-23.5249551828961</t>
  </si>
  <si>
    <t>-46.5113248866965</t>
  </si>
  <si>
    <t>RUA ARNALDO JOAO ESQUINA COM A RUA GUANAES</t>
  </si>
  <si>
    <t>-23.522092464878</t>
  </si>
  <si>
    <t>-46.5095160483384</t>
  </si>
  <si>
    <t>AVENIDA PADRE OLIVETANOS PROXIMO DA ESQUINA COM RUA HELOISA CAMARGO</t>
  </si>
  <si>
    <t>-23.5261343305277</t>
  </si>
  <si>
    <t>-46.5260269684336</t>
  </si>
  <si>
    <t>RUA OTILIA ESQUINA COM A RUA DEZENOVE DE MAIO</t>
  </si>
  <si>
    <t>-23.5286041423244</t>
  </si>
  <si>
    <t>-46.5246899589994</t>
  </si>
  <si>
    <t>RUA EVANS ESQUINA COM A RUA CUMAI</t>
  </si>
  <si>
    <t>-23.5298661258837</t>
  </si>
  <si>
    <t>-46.5263686208651</t>
  </si>
  <si>
    <t>RUA DOMINGOS DE CARLO ESQUINA COM A RUA OLIVIA DE OLIVEIRA</t>
  </si>
  <si>
    <t>-23.5221129288335</t>
  </si>
  <si>
    <t>-46.5152675406121</t>
  </si>
  <si>
    <t>RUA TOBIARAS ESQUINA COM A RUA GILDA</t>
  </si>
  <si>
    <t>-23.5263425120084</t>
  </si>
  <si>
    <t>-46.5210508918203</t>
  </si>
  <si>
    <t>RUA GILDA ESQUINA COM RUA DOUTOR HELADIO</t>
  </si>
  <si>
    <t>-23.5287897334054</t>
  </si>
  <si>
    <t>-46.5216746339686</t>
  </si>
  <si>
    <t>RUA DOUTOR HELADIO 183 PROXIMO A ESQUINA COM RUA OTILIA</t>
  </si>
  <si>
    <t>-23.5304822253159</t>
  </si>
  <si>
    <t>-46.5244883345388</t>
  </si>
  <si>
    <t>RUA MANDAGUAI ESQUINA COM PRACA ANTONIO ALBERTO</t>
  </si>
  <si>
    <t>-23.5271027641004</t>
  </si>
  <si>
    <t>-46.5098113408293</t>
  </si>
  <si>
    <t>RUA CINCO DE MAIO ESQUINA COM A RUA CECILIA</t>
  </si>
  <si>
    <t>-23.5296085819837</t>
  </si>
  <si>
    <t>-46.5208294541745</t>
  </si>
  <si>
    <t>VILA RÉ</t>
  </si>
  <si>
    <t>RUA PANGUA 552 ESQUINA COM A RUA MUNICIPAL</t>
  </si>
  <si>
    <t>-23.5270517513761</t>
  </si>
  <si>
    <t>-46.4974108385321</t>
  </si>
  <si>
    <t>RUA MUNICIPAL 751 ESQUINA COM A RUA IMPATA</t>
  </si>
  <si>
    <t>-23.5248530411697</t>
  </si>
  <si>
    <t>-46.5014718947248</t>
  </si>
  <si>
    <t>RUA CORIM ESQUINA COM A RUA MUNICIPAL</t>
  </si>
  <si>
    <t>-23.5234465253742</t>
  </si>
  <si>
    <t>-46.5043545975073</t>
  </si>
  <si>
    <t>RUA MUNICPAL ESQUINA COM A RUA NHATUMANI</t>
  </si>
  <si>
    <t>-23.5254451050667</t>
  </si>
  <si>
    <t>-46.500619344057</t>
  </si>
  <si>
    <t>AVENIDA ITINGUCU 930 ENTRE AS RUAS DENE E ENTRE A RUA CORIM</t>
  </si>
  <si>
    <t>-23.5248119642151</t>
  </si>
  <si>
    <t>-46.5059547055404</t>
  </si>
  <si>
    <t>RUA PIQUINHU  ESQUINA COM A RUA MORENAME</t>
  </si>
  <si>
    <t>-23.5250107686068</t>
  </si>
  <si>
    <t>-46.5074474060943</t>
  </si>
  <si>
    <t>RUA MUNICIPAL PROXIMO DA ESQUINA DA RUA MOE</t>
  </si>
  <si>
    <t>-23.5223271779883</t>
  </si>
  <si>
    <t>-46.5058362818557</t>
  </si>
  <si>
    <t>RUA CORIM ESQUINA COM A RUA NEA</t>
  </si>
  <si>
    <t>-23.5216227634343</t>
  </si>
  <si>
    <t>-46.5035101339243</t>
  </si>
  <si>
    <t>RUA MUNICIPAL ESQUINA COM A RUA PROFESSOR VASCONCELOS SARMENTO</t>
  </si>
  <si>
    <t>-23.5238254857236</t>
  </si>
  <si>
    <t>-46.503221009601</t>
  </si>
  <si>
    <t>RUA NEA ESQUINA COM A RUA PROFESSOR VASCONCELOS SARMENTO</t>
  </si>
  <si>
    <t>-23.5222901433788</t>
  </si>
  <si>
    <t>-46.501933927701</t>
  </si>
  <si>
    <t>AVENIDA ANTONIO DIOGO ESQUINA COM A RUA JULIO SAYAGO</t>
  </si>
  <si>
    <t>-23.5315133943509</t>
  </si>
  <si>
    <t>-46.490392728986</t>
  </si>
  <si>
    <t>RUA BENEDITO OTONI ESQUINA COM A RUA MARCIANO CAPELA</t>
  </si>
  <si>
    <t>-23.5309410091744</t>
  </si>
  <si>
    <t>-46.4934100375238</t>
  </si>
  <si>
    <t>AVENIDA ANTONIO DIOGO ESQUINA COM AVENIDA HERMILIO ALVES</t>
  </si>
  <si>
    <t>-23.5307755213929</t>
  </si>
  <si>
    <t>-46.4918451442073</t>
  </si>
  <si>
    <t>RUA NEA ESQUINA COM A RUA SAO SEVERO</t>
  </si>
  <si>
    <t>-23.5265081416339</t>
  </si>
  <si>
    <t>-46.494298736112</t>
  </si>
  <si>
    <t>RUA NAME ESQUINA COM A RUA NHATUMANI</t>
  </si>
  <si>
    <t>-23.5221204196622</t>
  </si>
  <si>
    <t>-46.49809791983</t>
  </si>
  <si>
    <t>RUA ITINGUCU ESQUINA COM RUA SAO SEVERO</t>
  </si>
  <si>
    <t>-23.5300219577683</t>
  </si>
  <si>
    <t>-46.4966343982185</t>
  </si>
  <si>
    <t>RUA MUNICIPAL ESQUINA  COM RUA SANTO HENRIQUE</t>
  </si>
  <si>
    <t>-23.5259000411878</t>
  </si>
  <si>
    <t>-46.4994948726548</t>
  </si>
  <si>
    <t>RUA SAO SERAPIAO ESQUINA COM A RUA NAME</t>
  </si>
  <si>
    <t>-23.5234116432206</t>
  </si>
  <si>
    <t>-46.4962513369617</t>
  </si>
  <si>
    <t>RUA NEA ESQUINA COM RUA WADIH HATTI</t>
  </si>
  <si>
    <t>-23.5277232490759</t>
  </si>
  <si>
    <t>-46.4925695463574</t>
  </si>
  <si>
    <t>BURGO PAULISTA</t>
  </si>
  <si>
    <t>RUA GRAMAL PROXIMO A RUA CRISTALANDIA DO PIAUI</t>
  </si>
  <si>
    <t>-23.5203446190667</t>
  </si>
  <si>
    <t>-46.478797197439</t>
  </si>
  <si>
    <t>ESTRADA DE MOGI DAS CRUZES ESQUINA COM A AVENIDA AGUIA DE HAIA</t>
  </si>
  <si>
    <t>-23.5168988553642</t>
  </si>
  <si>
    <t>-46.4765750148237</t>
  </si>
  <si>
    <t>RUA CONCEICAO DO FORMOSO PROXIMO DA ESQUINA COM A AVENIDA SAO MIGUEL</t>
  </si>
  <si>
    <t>-23.5077878186445</t>
  </si>
  <si>
    <t>-46.4798119044019</t>
  </si>
  <si>
    <t>RUA SARGENTO IGUATEMI AZEVEDO ESQUINA COM A RUA BEATRIZ DIAS</t>
  </si>
  <si>
    <t>-23.5208579735719</t>
  </si>
  <si>
    <t>-46.49235078304</t>
  </si>
  <si>
    <t>RUA MANOEL BRAS FILHO ESQUINA COM A RUA SARGENTO IGUATEMI AZEVEDO</t>
  </si>
  <si>
    <t>-23.5184439659006</t>
  </si>
  <si>
    <t>-46.4902010447545</t>
  </si>
  <si>
    <t>AVENIDA NICOLAU JACINTO ESQUINA COM A RUA ITAPIPINAS</t>
  </si>
  <si>
    <t>-23.5254692797179</t>
  </si>
  <si>
    <t>-46.4848478904314</t>
  </si>
  <si>
    <t>RUA SONHO GAUCHO ESQUINA COM A RUA GEORGE RIEMANN</t>
  </si>
  <si>
    <t>-23.5250050436955</t>
  </si>
  <si>
    <t>-46.4788965088179</t>
  </si>
  <si>
    <t>RUA DAS BROMELIAS ESQUINA COM A RUA DA PONTE RASA</t>
  </si>
  <si>
    <t>-23.5136070162727</t>
  </si>
  <si>
    <t>-46.4816842696429</t>
  </si>
  <si>
    <t>RUA HONORIO EMILIANO BUENO ESQUINA COM A RUA RAIMUNDO MACHADO</t>
  </si>
  <si>
    <t>-23.5117348734156</t>
  </si>
  <si>
    <t>-46.482516214881</t>
  </si>
  <si>
    <t>RUA AGRESTE DE ITABAIANA DEFRONTE A RUA BARREIRAS DO PIAUI</t>
  </si>
  <si>
    <t>-23.5230482958656</t>
  </si>
  <si>
    <t>-46.4827984407321</t>
  </si>
  <si>
    <t>AVENIDA SAO MIGUEL ESQUINA COM A RUA MARIA LEOCADIA</t>
  </si>
  <si>
    <t>-23.5137476127089</t>
  </si>
  <si>
    <t>-46.5183246728514</t>
  </si>
  <si>
    <t>AVENIDA SAO MIGUEL ESQUINA COM A RUA MONTE JAGUARI</t>
  </si>
  <si>
    <t>-23.5117789104783</t>
  </si>
  <si>
    <t>-46.512010910071</t>
  </si>
  <si>
    <t>AVENIDA SAO MIGUEL ESQUINA COM A RUA BARRA DA FIGUEIRA</t>
  </si>
  <si>
    <t>-23.5084951616967</t>
  </si>
  <si>
    <t>-46.4936800584819</t>
  </si>
  <si>
    <t>AVENIDA SAO MIGUEL ESQUINA COM RUA PROFESSOR DOUTOR GUILHERME DO AMARAL LYRA</t>
  </si>
  <si>
    <t>-23.510550772825</t>
  </si>
  <si>
    <t>-46.5075535204084</t>
  </si>
  <si>
    <t>AVENIDA SAO MIGUEL ESQUINA COM A RUA ARTHUR FRIEDENREICH</t>
  </si>
  <si>
    <t>-23.5108378107858</t>
  </si>
  <si>
    <t>-46.4990675245546</t>
  </si>
  <si>
    <t>RUA JACQUES DU CERCEAU 42    NO FINAL DA RUA A DIREITA</t>
  </si>
  <si>
    <t>-23.5145498807067</t>
  </si>
  <si>
    <t>-46.5180727604441</t>
  </si>
  <si>
    <t>RUA APARECIDA DA COSTA MELO ESQUINA AVENIDA AMADOR BUENO DA VEIGA</t>
  </si>
  <si>
    <t>-23.5185979572022</t>
  </si>
  <si>
    <t>-46.5120805529891</t>
  </si>
  <si>
    <t>AVENIDA AMADOR BUENO DA VEIGA ESQUINA COM A RUA SAO CELSO</t>
  </si>
  <si>
    <t>-23.5150599966442</t>
  </si>
  <si>
    <t>-46.5076173067695</t>
  </si>
  <si>
    <t>RUA SAO PEDRO CANISIO ESQUINA COM A RUA BRENO ACIOLE</t>
  </si>
  <si>
    <t>-23.5213158539586</t>
  </si>
  <si>
    <t>-46.4941946194197</t>
  </si>
  <si>
    <t>RUA BARRA DA FIGUEIRA ESQUINA COM A RUA DOS ARGENTINOS</t>
  </si>
  <si>
    <t>-23.5096842064885</t>
  </si>
  <si>
    <t>-46.493297165532</t>
  </si>
  <si>
    <t>AVENIDA CAPITAO ANSELMO BARCELOS ESQUINA COM A RUA BARRA DA FIGUEIRA</t>
  </si>
  <si>
    <t>-23.5111317468423</t>
  </si>
  <si>
    <t>-46.4929417270167</t>
  </si>
  <si>
    <t>RUA EVARISTO EMILIANO BUENO ESQUINA COM A RUA SARGENTO DJALMA EVANGELISTA</t>
  </si>
  <si>
    <t>-23.5094457805584</t>
  </si>
  <si>
    <t>-46.4864767504278</t>
  </si>
  <si>
    <t>RUA LUCIO DE ARRUDA LEME ESQUINA COM A RUA JAPARAIQUARA</t>
  </si>
  <si>
    <t>-23.5102017898236</t>
  </si>
  <si>
    <t>-46.4960851178857</t>
  </si>
  <si>
    <t>AVENIDA CAPITAO ANSELMO BARCELOS ESQUINA COM A RUA GUAXUMA</t>
  </si>
  <si>
    <t>-23.5107869132487</t>
  </si>
  <si>
    <t>-46.4919780579897</t>
  </si>
  <si>
    <t>RUA PROFESSOR PINHEIRO DOMINGUES ESQUINA COM A RUA JOSE GARCIA TERRA</t>
  </si>
  <si>
    <t>-23.5177624035453</t>
  </si>
  <si>
    <t>-46.4968386986152</t>
  </si>
  <si>
    <t>LINHAS CORRENTE</t>
  </si>
  <si>
    <t>RUA ATOPE ESQUINA COM A RUA SAO JOAO DO SABUGI</t>
  </si>
  <si>
    <t>-23.584657711317</t>
  </si>
  <si>
    <t>-46.5646600439171</t>
  </si>
  <si>
    <t>AVENIDA ALBERTO RAMOS 220</t>
  </si>
  <si>
    <t>-23.584918162612</t>
  </si>
  <si>
    <t>-46.5622418828811</t>
  </si>
  <si>
    <t>AVENIDA DO ORATOTIA ESQUINA COM RUA PADRE BRUNO RICCO</t>
  </si>
  <si>
    <t>-23.5920648440382</t>
  </si>
  <si>
    <t>-46.5477428026023</t>
  </si>
  <si>
    <t>AVENIDA PROFESSOR LUIS IGNACIO DE ANHAIA MELO ESQUINA COM RUA FRANCISCO FETT</t>
  </si>
  <si>
    <t>-23.5896524818139</t>
  </si>
  <si>
    <t>-46.5443712706168</t>
  </si>
  <si>
    <t>RUA VALTER NAZARENO GIOVANETTI ESQUINA COM RUA URUCURITUBA</t>
  </si>
  <si>
    <t>-23.5904196241417</t>
  </si>
  <si>
    <t>-46.5529299722938</t>
  </si>
  <si>
    <t>AVENIDA DO ORATORIO PROXIMO A ESQUINA COM RUA BOLICHE</t>
  </si>
  <si>
    <t>-23.5872852909509</t>
  </si>
  <si>
    <t>-46.5571749339519</t>
  </si>
  <si>
    <t>RUA ALBERTO RAMOS ESQUINA COM RUA AUGUSTO PIACENTINI</t>
  </si>
  <si>
    <t>-23.588113095861</t>
  </si>
  <si>
    <t>-46.5582693842291</t>
  </si>
  <si>
    <t>RUA OTTO SCHUBART ESQUINA COM RUA PADRE BRUNO RICCO</t>
  </si>
  <si>
    <t>-23.5943633335168</t>
  </si>
  <si>
    <t>-46.5485050455355</t>
  </si>
  <si>
    <t>RUA ARTIA 268</t>
  </si>
  <si>
    <t>-23.5919441367099</t>
  </si>
  <si>
    <t>-46.5568786164864</t>
  </si>
  <si>
    <t>RUA PROFESSOR LELIS VILAS BOAS  ESQUINA COM A RUA SEBASTIAO BORGES DA SILVA</t>
  </si>
  <si>
    <t>-23.5894377555977</t>
  </si>
  <si>
    <t>-46.5500168060601</t>
  </si>
  <si>
    <t>RUA FERNAO LOPES DE CAMARGO ESQUINA COM A RUA SEBASTIAO BORGES DA SILVA</t>
  </si>
  <si>
    <t>-23.5891314818023</t>
  </si>
  <si>
    <t>-46.5515831516873</t>
  </si>
  <si>
    <t>RUA OTTO SHUBART ESQUINA COM A RUA FRANCISCO FETT</t>
  </si>
  <si>
    <t>-23.5947681970469</t>
  </si>
  <si>
    <t>-46.5474005526454</t>
  </si>
  <si>
    <t>RUA VISCONDE DE SABOIA ESQUINA COM RUA PADRE PEDRO ROTA</t>
  </si>
  <si>
    <t>-23.5920899523704</t>
  </si>
  <si>
    <t>-46.5512898407852</t>
  </si>
  <si>
    <t>RUA PROFESSOR RUI VIANNA BRAGA ESQUINA COM A RUA FRANCISCO FETT</t>
  </si>
  <si>
    <t>-23.5923193266024</t>
  </si>
  <si>
    <t>-46.5460986839959</t>
  </si>
  <si>
    <t>RUA SANTANA DO ARAGUAIA ESQUINA COM RUA JUCAS</t>
  </si>
  <si>
    <t>-23.5840708167749</t>
  </si>
  <si>
    <t>-46.5610526994746</t>
  </si>
  <si>
    <t>AVENIDA DO ORATORIO ESQUINA COM A RUA DO BOLICHE</t>
  </si>
  <si>
    <t>-23.587261037321</t>
  </si>
  <si>
    <t>-46.5573636621169</t>
  </si>
  <si>
    <t>RUA ANTONIO FONTOURA XAVIER ESQUINA COM A RUA ROQUE BARBOSA LIMA</t>
  </si>
  <si>
    <t>-23.5899851080187</t>
  </si>
  <si>
    <t>-46.5449505777085</t>
  </si>
  <si>
    <t>RUA ALVARES ESQUINA COM A RUA VITORIA DO MEARIM</t>
  </si>
  <si>
    <t>-23.6005079686531</t>
  </si>
  <si>
    <t>-46.5419268943442</t>
  </si>
  <si>
    <t>AVENIDA DO ORATORIO ESQUINA COM A RUA LOTUS</t>
  </si>
  <si>
    <t>-23.594788279438</t>
  </si>
  <si>
    <t>-46.543625950447</t>
  </si>
  <si>
    <t>RUA CAMILO HADDAD 404 ESQUINA COM A RUA LUIS ROMANINI</t>
  </si>
  <si>
    <t>-23.5969691290101</t>
  </si>
  <si>
    <t>-46.5404578364651</t>
  </si>
  <si>
    <t>RUA RODOLFO FERNANDES ESQUINA COMA RUA GENERAL FRANCISCO ADOLFO ROSAS</t>
  </si>
  <si>
    <t>-23.5974015193139</t>
  </si>
  <si>
    <t>-46.5443573369414</t>
  </si>
  <si>
    <t>RUA IELMO MARINHO ESQUINA COM AVENIDA SAO LUCAS</t>
  </si>
  <si>
    <t>-23.5972509309022</t>
  </si>
  <si>
    <t>-46.549778356551</t>
  </si>
  <si>
    <t>RUA ANTONIO FLORENCIO DOS SANTOS ESQUINA COM A RUA DO ORATORIO</t>
  </si>
  <si>
    <t>-23.6019162630767</t>
  </si>
  <si>
    <t>-46.5359409496252</t>
  </si>
  <si>
    <t>RUA COSTA BARROS 2200 DEFRONTE AO BLOCO 6C NO INTERIOR DO CONDOMINIO</t>
  </si>
  <si>
    <t>-23.6044076041616</t>
  </si>
  <si>
    <t>-46.5497214581704</t>
  </si>
  <si>
    <t>RUA COSTA BARROS 2000 NO INTERIOR DO CONDOMINIO DEFRONTE AO BLOCO 3</t>
  </si>
  <si>
    <t>-23.6030718624677</t>
  </si>
  <si>
    <t>-46.5484895017731</t>
  </si>
  <si>
    <t>RUA SEBASTIAO MENA ESQUINA COM A RUA IRAJUBA</t>
  </si>
  <si>
    <t>-23.5935640374621</t>
  </si>
  <si>
    <t>-46.5408236379503</t>
  </si>
  <si>
    <t>RUA SAO PEDRO DO PIAUI ESQUINA COM A RUA MIGUEL DESIATO</t>
  </si>
  <si>
    <t>-23.5983206824287</t>
  </si>
  <si>
    <t>-46.5409171583103</t>
  </si>
  <si>
    <t>RUA ANTONIO FLORENCIO DOS SANTOS ESQUINA COM A RUA LISA ANSORGE</t>
  </si>
  <si>
    <t>-23.6039457214803</t>
  </si>
  <si>
    <t>-46.5369092745502</t>
  </si>
  <si>
    <t>RUA TUPANATINGA ESQUINA COM A RUA OTAVIO ALVES DUNDAS</t>
  </si>
  <si>
    <t>-23.6009819859878</t>
  </si>
  <si>
    <t>-46.5349569447161</t>
  </si>
  <si>
    <t>RUA FRUTA DE GUARIBA ESQUINA COM A  RUA JUVENA</t>
  </si>
  <si>
    <t>-23.6081551791109</t>
  </si>
  <si>
    <t>-46.5368436824615</t>
  </si>
  <si>
    <t>RUA ABRICO DO PARA ESQUINA COM A RUA PACARI DA MATA</t>
  </si>
  <si>
    <t>-23.6049476688016</t>
  </si>
  <si>
    <t>-46.5327381961314</t>
  </si>
  <si>
    <t>RUA TRES LAGOAS DEFRONTE COM A RUA SIPARUNA</t>
  </si>
  <si>
    <t>-23.6116624861444</t>
  </si>
  <si>
    <t>-46.5322372726419</t>
  </si>
  <si>
    <t>RUA PASCOAL RANIERI MAZZILLI ESQUINA COM A RUA AFONSO BEZERRA</t>
  </si>
  <si>
    <t>-23.610332003549</t>
  </si>
  <si>
    <t>-46.5277723405505</t>
  </si>
  <si>
    <t>AVENIDA DO ORATORIO ESQUINA COM A RUA CARLOS CESAR</t>
  </si>
  <si>
    <t>-23.5963271429748</t>
  </si>
  <si>
    <t>-46.5420691778569</t>
  </si>
  <si>
    <t>RUA LUIS GASTAO ESQUINA COM A RUA IELMO MARINHO</t>
  </si>
  <si>
    <t>-23.5995624564047</t>
  </si>
  <si>
    <t>-46.5480944910281</t>
  </si>
  <si>
    <t>RUA FIRMINO ALVES ESQUINA COM A PRACA JOSE RODRIGUES DE LIMA</t>
  </si>
  <si>
    <t>-23.5969188048002</t>
  </si>
  <si>
    <t>-46.5484437692476</t>
  </si>
  <si>
    <t>RUA DOUTOR NOGUEIRA DE NORONHA ESQUINA COM A RUA PROFESSORA MARTA PUCCINELLI</t>
  </si>
  <si>
    <t>-23.5966757931194</t>
  </si>
  <si>
    <t>-46.5463053272855</t>
  </si>
  <si>
    <t>RUA ANTONIO MARQUES JULIAO ESQUINA COM A RUA COSTA BARROS</t>
  </si>
  <si>
    <t>-23.6026196205946</t>
  </si>
  <si>
    <t>-46.5425608227003</t>
  </si>
  <si>
    <t>RUA ANTONIO MARQUES JULIAO  DEFRONTE A RUA ERVA CHUMBO</t>
  </si>
  <si>
    <t>-23.6025905562343</t>
  </si>
  <si>
    <t>-46.5412336277542</t>
  </si>
  <si>
    <t>RUA LISA ANSORGE ESQUINA COM RUA CAOPIA</t>
  </si>
  <si>
    <t>-23.6019678813805</t>
  </si>
  <si>
    <t>-46.5387129920477</t>
  </si>
  <si>
    <t>RUA ALEXANDRE DOS SANTOS NO FINAL DA RUA</t>
  </si>
  <si>
    <t>-23.6008006566731</t>
  </si>
  <si>
    <t>-46.5308533496221</t>
  </si>
  <si>
    <t>RUA ANDRE DA CUNHA FONSECA ESQUINA COM A RUA AMADOR PEREIRA</t>
  </si>
  <si>
    <t>-23.6099835994204</t>
  </si>
  <si>
    <t>-46.5256481552174</t>
  </si>
  <si>
    <t>RUA JOSE ANTONIO FONTES ESQUINA CORREA DE OLIVEIRA</t>
  </si>
  <si>
    <t>-23.6053865476896</t>
  </si>
  <si>
    <t>-46.5276810328303</t>
  </si>
  <si>
    <t>RUA VITORIA DO MEARIM 97</t>
  </si>
  <si>
    <t>-23.5990307015091</t>
  </si>
  <si>
    <t>-46.5398141475406</t>
  </si>
  <si>
    <t>RUA CORONEL AUGUSTO CELSO DE MOURA ESQUINA COM A RUA MAESTRO JOAO EVANGELISTA</t>
  </si>
  <si>
    <t>-23.608977190102</t>
  </si>
  <si>
    <t>-46.5296896423341</t>
  </si>
  <si>
    <t>RUA MARIA GRAHAM ESQUINA COM A RUA PROFESSOR ZEFERINO DO AMARAL</t>
  </si>
  <si>
    <t>-23.6095892542719</t>
  </si>
  <si>
    <t>-46.5346014361689</t>
  </si>
  <si>
    <t>RUA TRES LAGOAS 276 DEFRONTE A RUA SANTA ZITA</t>
  </si>
  <si>
    <t>-23.6127132338593</t>
  </si>
  <si>
    <t>-46.532371064986</t>
  </si>
  <si>
    <t>AVENIDA ORATORIO 5934 NO INTERIOR DO CONDOMINIO DE PREDIOS</t>
  </si>
  <si>
    <t>-23.6080652996048</t>
  </si>
  <si>
    <t>-46.52401664</t>
  </si>
  <si>
    <t>AVENIDA DO ORATORIO 5934 NO INTERIOR DO CONDOMINIO DE PREDIOS</t>
  </si>
  <si>
    <t>-23.6077703496048</t>
  </si>
  <si>
    <t>-46.52385532</t>
  </si>
  <si>
    <t>AVENIDA COSTA BARROS 1976 DEFRONTE AO BLOCO G NO INTERIOR DO CONDOMINIO</t>
  </si>
  <si>
    <t>-23.6025873856523</t>
  </si>
  <si>
    <t>-46.5496098288482</t>
  </si>
  <si>
    <t>RUA COSTA BARROS 1976 BLOCO B NO INTERIOR DO CONDOMINIO RESIDENCIAL PORTAL DE VILA PRUDENTE RUA MAJUBA</t>
  </si>
  <si>
    <t>-23.6015395759912</t>
  </si>
  <si>
    <t>-46.5490938109995</t>
  </si>
  <si>
    <t>RUA LUIS ROMANINI ESQUINA COM A RUA DOUTOR CARLOS CAMILO HADDAD</t>
  </si>
  <si>
    <t>-23.59699203374</t>
  </si>
  <si>
    <t>-46.5404372489875</t>
  </si>
  <si>
    <t>VILA EMA</t>
  </si>
  <si>
    <t>RUA GOMES ESQUINA COM A RUA BUCUITUBA</t>
  </si>
  <si>
    <t>-23.5771364235717</t>
  </si>
  <si>
    <t>-46.5511558764733</t>
  </si>
  <si>
    <t>RUA GOMES ESQUINA COM A AVENIDA VILA EMA</t>
  </si>
  <si>
    <t>-23.5815503826141</t>
  </si>
  <si>
    <t>-46.5533419407645</t>
  </si>
  <si>
    <t>RUA PRINCESA MARIA PIA ESQUINA COM A RUA SOLIDONIO LEITE</t>
  </si>
  <si>
    <t>-23.5782085914418</t>
  </si>
  <si>
    <t>-46.5556193714292</t>
  </si>
  <si>
    <t>RUA UHLAND ESQUINA COM RUA FREI JOAO DE SANTA CLARA</t>
  </si>
  <si>
    <t>-23.5879370488172</t>
  </si>
  <si>
    <t>-46.540849118977</t>
  </si>
  <si>
    <t>RUA POLONI ESQUINA COM A RUA CUSTODIO BERTELLO</t>
  </si>
  <si>
    <t>-23.587667768717</t>
  </si>
  <si>
    <t>-46.5377193650963</t>
  </si>
  <si>
    <t>RUA AIRES QUARESMA PROXIMO DA ESQUINA DA  RUA LAZARO MONCEF</t>
  </si>
  <si>
    <t>-23.5897312281764</t>
  </si>
  <si>
    <t>-46.5348688408162</t>
  </si>
  <si>
    <t>RUA ANTONIO GOMES ESQUINA COM A AVENIDA LUIS FERREIRA DA SILVA</t>
  </si>
  <si>
    <t>-23.5755253853196</t>
  </si>
  <si>
    <t>-46.5570516979592</t>
  </si>
  <si>
    <t>RUA PRINCESA MARIA PIA ESQUINA COM AVENIDA VILA EMA</t>
  </si>
  <si>
    <t>-23.5809588514711</t>
  </si>
  <si>
    <t>-46.5562964577946</t>
  </si>
  <si>
    <t>RUA SOLIDONIO LEITE ESQUINA COM RUA HERWIS</t>
  </si>
  <si>
    <t>-23.5837914886439</t>
  </si>
  <si>
    <t>-46.5417745246859</t>
  </si>
  <si>
    <t>RUA SOLIDONIO LEITE ESQUINA COM RUA TEREZA CIANCI DARDES</t>
  </si>
  <si>
    <t>-23.5821285251132</t>
  </si>
  <si>
    <t>-46.545803541562</t>
  </si>
  <si>
    <t>RUA SILVIO BRANT CORREIA ESQUINA COM ADOLFO SCHNABEL</t>
  </si>
  <si>
    <t>-23.5853541498848</t>
  </si>
  <si>
    <t>-46.5407886316589</t>
  </si>
  <si>
    <t>RUA ROBERTO EDUARDO VILA EMA ESQUINA COM AVENIDA VILA EMA</t>
  </si>
  <si>
    <t>-23.5839259148139</t>
  </si>
  <si>
    <t>-46.5470655868632</t>
  </si>
  <si>
    <t>RUA TUPIXAS ESQUINA COM A SOLIDONIO LEITE</t>
  </si>
  <si>
    <t>-23.5805114082275</t>
  </si>
  <si>
    <t>-46.5504015700849</t>
  </si>
  <si>
    <t>RUA SOLIDONIO LEITE ESQUINA COM A RUA GOMES</t>
  </si>
  <si>
    <t>-23.5795346193585</t>
  </si>
  <si>
    <t>-46.5524974701431</t>
  </si>
  <si>
    <t>AVENIDA VILA EMA ESQUINA COM A RUA JABIACU</t>
  </si>
  <si>
    <t>-23.5818043298595</t>
  </si>
  <si>
    <t>-46.5524517891846</t>
  </si>
  <si>
    <t>RUA UHLAND ESQUINA COM RUA CONDE AMADEU BARBELINI</t>
  </si>
  <si>
    <t>-23.5870350118201</t>
  </si>
  <si>
    <t>-46.5418826059383</t>
  </si>
  <si>
    <t>RUA PINTO DA LUZ ESQUINA COM A RUA JOSE DIPOL</t>
  </si>
  <si>
    <t>-23.577112151196</t>
  </si>
  <si>
    <t>-46.5543364088253</t>
  </si>
  <si>
    <t>RUA BUCUITUBA PROXIMO A ESQUINA COM A RUA DOMINGOS DA BOCAINA</t>
  </si>
  <si>
    <t>-23.5790406706336</t>
  </si>
  <si>
    <t>-46.5445909165649</t>
  </si>
  <si>
    <t>RUA SOLIDONIO LEITE ESQUINA COM A AVENIDA SAPOPEMBA</t>
  </si>
  <si>
    <t>-23.5877520904858</t>
  </si>
  <si>
    <t>-46.5325453409904</t>
  </si>
  <si>
    <t>RUA LESSING ESQUINA COM A RUA BUCUITUBA</t>
  </si>
  <si>
    <t>-23.5782311624533</t>
  </si>
  <si>
    <t>-46.5486889531295</t>
  </si>
  <si>
    <t>RUA JOSE DIPOL PROXIMO DA ESQUINA COM A RUA SOLIDONIO LEITE</t>
  </si>
  <si>
    <t>-23.5783366556425</t>
  </si>
  <si>
    <t>-46.554891211699</t>
  </si>
  <si>
    <t>CIDADE IV CENTENÁRIO</t>
  </si>
  <si>
    <t>RUA SIMAO ALVARES MOUSINHO ESQUINA COM A RUA VITOTOMA MASTROROSA</t>
  </si>
  <si>
    <t>-23.5880985751295</t>
  </si>
  <si>
    <t>-46.492878015387</t>
  </si>
  <si>
    <t>AVENIDA MATEO BEI 870 ESQUINA COM AVENIDA ENGENHEIRO BERNARDO</t>
  </si>
  <si>
    <t>-23.591157999605</t>
  </si>
  <si>
    <t>-46.4894797706314</t>
  </si>
  <si>
    <t>AVENIDA BARREIRA GRANDE ESQUINA COM A RUA ESTADO DO CEARA</t>
  </si>
  <si>
    <t>-23.591175779622</t>
  </si>
  <si>
    <t>-46.4967980385399</t>
  </si>
  <si>
    <t>AVENIDA DOS TANQUES ESQUINA COM A RUA GLUCINIO</t>
  </si>
  <si>
    <t>-23.5965281017446</t>
  </si>
  <si>
    <t>-46.4984842758746</t>
  </si>
  <si>
    <t>RUA AMELIA AUGUSTA RODRIGUES ESQUINA COM A RUA MARECHAL RENATO PAQUET</t>
  </si>
  <si>
    <t>-23.5933956143606</t>
  </si>
  <si>
    <t>-46.4850523177831</t>
  </si>
  <si>
    <t>RUA EUGENOPOLIS ESQUINA COM A RUA ENGENHEIRO JOSE RUBBO</t>
  </si>
  <si>
    <t>-23.5896762263367</t>
  </si>
  <si>
    <t>-46.5022417460079</t>
  </si>
  <si>
    <t>RUA CENTRAL DE SANTA HELENA ESQUINA COM RUA PASTOR AGENOR CALDEIRA DINIZ</t>
  </si>
  <si>
    <t>-23.5869099836404</t>
  </si>
  <si>
    <t>-46.4975202095847</t>
  </si>
  <si>
    <t>AVENIDA  RIO DAS PEDRAS 4181 PROXIMO A RUA ESTADO DO CEARA</t>
  </si>
  <si>
    <t>-23.5840588968151</t>
  </si>
  <si>
    <t>-46.493521793712</t>
  </si>
  <si>
    <t>AVENIDA RIACHO DOS MACHADOS ESQUINA COM A RUA VERCINIO PEREIRA DE SOUZA</t>
  </si>
  <si>
    <t>-23.6025294353214</t>
  </si>
  <si>
    <t>-46.4888628791567</t>
  </si>
  <si>
    <t>RUA EVANYR PRADO  VENTURINI ESQUINA COM A RUA CLOVIS MONTEIRO CARVALHO</t>
  </si>
  <si>
    <t>-23.5964904810348</t>
  </si>
  <si>
    <t>-46.4915906965942</t>
  </si>
  <si>
    <t>RUA AUGUSTO FERREIRA RAMOS ESQUINA COM RUA  PADRE LUIZ ROSSI</t>
  </si>
  <si>
    <t>-23.5917427039894</t>
  </si>
  <si>
    <t>-46.4936789777669</t>
  </si>
  <si>
    <t>RUA ESTADO DO CEARA ESQUINA COM RUA FERNANDO MARTINS</t>
  </si>
  <si>
    <t>-23.5894720726795</t>
  </si>
  <si>
    <t>-46.4959410104274</t>
  </si>
  <si>
    <t>RUA JOSE FRANCISCO SANTOS ESQUINA COM A RUA JOSINO MENDES DE ALVARENGA FREIRE</t>
  </si>
  <si>
    <t>-23.6005748243442</t>
  </si>
  <si>
    <t>-46.4878880747786</t>
  </si>
  <si>
    <t>RUA SANTANA DO RIACHO ESQUINA COM A RUA CENTRAL DE SANTA HELENA</t>
  </si>
  <si>
    <t>-23.5850908119932</t>
  </si>
  <si>
    <t>-46.503364290656</t>
  </si>
  <si>
    <t>AVENIDA RIO DAS PEDRAS DEFRONTE A RUA FELISBERTO AUGUSTO DE OLIVEIRA</t>
  </si>
  <si>
    <t>-23.5828782496123</t>
  </si>
  <si>
    <t>-46.4966172061151</t>
  </si>
  <si>
    <t>RUA PROFESSOR JOSE DECIO MACHADO GAIA ESQUINA COM A RUA OSLVALDO NELA</t>
  </si>
  <si>
    <t>-23.5985201090378</t>
  </si>
  <si>
    <t>-46.4877548837736</t>
  </si>
  <si>
    <t>RUA JOAO GOMES PEREIRA DEFRONTE A RUA AQUILES FONTANA</t>
  </si>
  <si>
    <t>-23.5989623152497</t>
  </si>
  <si>
    <t>-46.4921797183455</t>
  </si>
  <si>
    <t>AVENIDA RAGUEB CHOFI 79 NA ROTATORIA CALCADA DO EXTRA</t>
  </si>
  <si>
    <t>-23.6112884514036</t>
  </si>
  <si>
    <t>-46.4750554708612</t>
  </si>
  <si>
    <t>AVENIDA FORTE DO LEME PROXIMO A ESQUINA COM A RUA FORTE DE ARAXA</t>
  </si>
  <si>
    <t>-23.6012691687374</t>
  </si>
  <si>
    <t>-46.4675088114936</t>
  </si>
  <si>
    <t>RUA ESCORPIAO 550 BLOCO 10</t>
  </si>
  <si>
    <t>-23.6152886304945</t>
  </si>
  <si>
    <t>-46.4662200277485</t>
  </si>
  <si>
    <t>RUA ESCORPIAO 550 BLOCO 39</t>
  </si>
  <si>
    <t>-23.6144236104236</t>
  </si>
  <si>
    <t>-46.4678916173662</t>
  </si>
  <si>
    <t>RUA ESCORPIAO 550 BLOCO 50</t>
  </si>
  <si>
    <t>-23.6160514026601</t>
  </si>
  <si>
    <t>-46.467032309599</t>
  </si>
  <si>
    <t>RUA ESCORPIAO 550 BLOCO 22</t>
  </si>
  <si>
    <t>-23.6168527455029</t>
  </si>
  <si>
    <t>-46.4654023373475</t>
  </si>
  <si>
    <t>RUA NEBULOSA 750 AO LADO DO CONDOMINIO</t>
  </si>
  <si>
    <t>-23.6104069974326</t>
  </si>
  <si>
    <t>-46.4594315091565</t>
  </si>
  <si>
    <t>RUA FORTE DOS FRANCESES ESQUINA COM A RUA FORTE DE ARAXA</t>
  </si>
  <si>
    <t>-23.6030491278277</t>
  </si>
  <si>
    <t>-46.4644665204384</t>
  </si>
  <si>
    <t>RUA TITANIA ESQUINA COM A AVENIDA SATELITE</t>
  </si>
  <si>
    <t>-23.6103740069657</t>
  </si>
  <si>
    <t>-46.4643596955392</t>
  </si>
  <si>
    <t>RUA PERSEU DEFRONTE A RUA LUIS BARBALHO BEZERRA</t>
  </si>
  <si>
    <t>-23.6072269788545</t>
  </si>
  <si>
    <t>-46.4598711149651</t>
  </si>
  <si>
    <t>RUA MARIA APARECIDA CUSTODIO PROXIMO A ESQUINA COM A RUA FORTE DO PONTAL</t>
  </si>
  <si>
    <t>-23.5994622717777</t>
  </si>
  <si>
    <t>-46.4615164531219</t>
  </si>
  <si>
    <t>RUA PHOBUS PROXIMO DA ESQUINA COM A RUA FORTE DE ARAXA</t>
  </si>
  <si>
    <t>-23.6059589842826</t>
  </si>
  <si>
    <t>-46.462671112541</t>
  </si>
  <si>
    <t>RUA FORTE DO RIO BRANCO ESQUINA COM A RUA CASTOR</t>
  </si>
  <si>
    <t>-23.6048812857875</t>
  </si>
  <si>
    <t>-46.463134545199</t>
  </si>
  <si>
    <t>RUA FORTE DA RIBEIRA ESQUINA COM A RUA FORTE DO RIO BRANCO</t>
  </si>
  <si>
    <t>-23.6058823545622</t>
  </si>
  <si>
    <t>-46.4651843485905</t>
  </si>
  <si>
    <t>RIO CLARO</t>
  </si>
  <si>
    <t>RUA  VILA BOA DE GOIAS ESQUINA COM RUA DR PAULO QUEIROZ</t>
  </si>
  <si>
    <t>-23.5909193545059</t>
  </si>
  <si>
    <t>-46.482770184259</t>
  </si>
  <si>
    <t>RUA PAULA CANDIDO 49 PROXIMO A Z ESQUINA COM RUA ANA SANTESSO</t>
  </si>
  <si>
    <t>-23.5796485498623</t>
  </si>
  <si>
    <t>-46.4944644561807</t>
  </si>
  <si>
    <t>RUA SIMOES DELGADO  NO FINAL DA RUA SEM SAIDA</t>
  </si>
  <si>
    <t>-23.5875732640218</t>
  </si>
  <si>
    <t>-46.4842247334672</t>
  </si>
  <si>
    <t>AVENIDA MATEO BEI ESQUINA COM A RUA DOUTOR RAUL MANDO SAYAO FILHO</t>
  </si>
  <si>
    <t>2021-12-05</t>
  </si>
  <si>
    <t>-23.6050931927445</t>
  </si>
  <si>
    <t>-46.4801507445926</t>
  </si>
  <si>
    <t>RUA SAO MANOEL 24 PROXIMO A RUA DOUTOR LUIS DE SIMONI</t>
  </si>
  <si>
    <t>-23.6024912455227</t>
  </si>
  <si>
    <t>-46.4847650096151</t>
  </si>
  <si>
    <t>RUA AMALIA CORDELLI CARDENUTO 13 ENTRADA DA VIELA  PROXIMO DA RUA DOUTOR JOAO SODINI E RUA LUIZ PITA</t>
  </si>
  <si>
    <t>-23.6051006552608</t>
  </si>
  <si>
    <t>-46.4846010965563</t>
  </si>
  <si>
    <t>RUA FRANCESCO USPER EM FRENTE AO LADO DO PREDIO DA SABESP</t>
  </si>
  <si>
    <t>-23.6095158371632</t>
  </si>
  <si>
    <t>-46.4986033286063</t>
  </si>
  <si>
    <t>AVENIDA MATEO BEI ESQUINA COM A RUA VITORIO AZZALIN</t>
  </si>
  <si>
    <t>-23.6006738738856</t>
  </si>
  <si>
    <t>-46.4838758364605</t>
  </si>
  <si>
    <t>RUA ANGELO DE CANDIA ESQUINA COM A RUA LUIS ROSSETTI</t>
  </si>
  <si>
    <t>-23.6063199403766</t>
  </si>
  <si>
    <t>-46.4774128706207</t>
  </si>
  <si>
    <t>AVENIDA  MATEO BEI ESQUINA COM A RUA CARLOS VIVALDI</t>
  </si>
  <si>
    <t>-23.6040249633912</t>
  </si>
  <si>
    <t>-46.4811661016496</t>
  </si>
  <si>
    <t>RUA LUIS ROSSETTI ESQUINA COM A RUA DOMIZIANO ROSSI</t>
  </si>
  <si>
    <t>-23.6011781618804</t>
  </si>
  <si>
    <t>-46.474253229361</t>
  </si>
  <si>
    <t>RUA MINISTRO LUIZ SPARANO ESQUINA COM A RUA GASTAO DE ALMEIDA</t>
  </si>
  <si>
    <t>-23.6137990399038</t>
  </si>
  <si>
    <t>-46.4784090182764</t>
  </si>
  <si>
    <t>RUA NELSON DE OLIVEIRA 395 NA CURVA PROXIMO A RUA GENERAL EURYALE DE JESUS ZERBINI NA CALCADA DA SABESO</t>
  </si>
  <si>
    <t>-23.6092572729334</t>
  </si>
  <si>
    <t>-46.4963414408079</t>
  </si>
  <si>
    <t>RUA PEDRO DAS NEVES ESQUINA COM A RUA ERNESTO MANOGRASSO</t>
  </si>
  <si>
    <t>-23.6084447214112</t>
  </si>
  <si>
    <t>-46.4839405981469</t>
  </si>
  <si>
    <t>RUA GABRIEL SOARES ESQUINA COM A AVENIDA TENENTE LAURO SODRE</t>
  </si>
  <si>
    <t>-23.6207640264817</t>
  </si>
  <si>
    <t>-46.4833392994557</t>
  </si>
  <si>
    <t>RUA EDUARDO DE MARTINO ESQUINA COM A RUA LUIS GIUDICE</t>
  </si>
  <si>
    <t>-23.5991014238455</t>
  </si>
  <si>
    <t>-46.4795058215472</t>
  </si>
  <si>
    <t>RUA BOA FAMILIA 99 PROXIMO A ESQUINA COM A RUA IJACI</t>
  </si>
  <si>
    <t>-23.5996110691907</t>
  </si>
  <si>
    <t>-46.495279320508</t>
  </si>
  <si>
    <t>AVENIDA NORDESTINA  POSTO DE BOMBEIRO SAO MIGUEL</t>
  </si>
  <si>
    <t>2021-08-14</t>
  </si>
  <si>
    <t>-23.4973296358834</t>
  </si>
  <si>
    <t>-46.4413366372142</t>
  </si>
  <si>
    <t>RUA BERALDO MARCONDES PROXIMO DA ESQUINA COM A RUA SALVADOR MEDEIROS</t>
  </si>
  <si>
    <t>-23.491557830834</t>
  </si>
  <si>
    <t>-46.4444397253085</t>
  </si>
  <si>
    <t>RUA SALVADOR DE MEDEIROS 196 ENTRE A RUA CAPITAO FRANCISCO ISAIAIS DE CARVALHO E RUA MIGUEL ANGELO LAPENA</t>
  </si>
  <si>
    <t>-23.4910945435795</t>
  </si>
  <si>
    <t>-46.442662149442</t>
  </si>
  <si>
    <t>RUA PEDRO SOARES DE ANDRADE 836 PROXIMO A ESQUINA COM RUA MARIA SUZANO POLILO</t>
  </si>
  <si>
    <t>-23.5025195727038</t>
  </si>
  <si>
    <t>-46.4357871814182</t>
  </si>
  <si>
    <t>RUA JOSE FERREIRA CRESPO ESQUINA COM A RUA ALFREDO ALBERTINI</t>
  </si>
  <si>
    <t>-23.5010550280173</t>
  </si>
  <si>
    <t>-46.4300848462082</t>
  </si>
  <si>
    <t>AVENIDA ROSARIA ESQUINA COM A TRAVESSA CREPUSCULO DO MAR</t>
  </si>
  <si>
    <t>-23.4974751068498</t>
  </si>
  <si>
    <t>-46.4322260369577</t>
  </si>
  <si>
    <t>RUA ERNESTO EVANS ESQUINA COM RUA FRANCISCO POLILO NETO</t>
  </si>
  <si>
    <t>-23.5005752998149</t>
  </si>
  <si>
    <t>-46.4339812867712</t>
  </si>
  <si>
    <t>RUA GEORGINA SA LEITE ORCESSI 106 DEFRONTE COM RUA ORIGENES</t>
  </si>
  <si>
    <t>-23.5088535415019</t>
  </si>
  <si>
    <t>-46.436230204159</t>
  </si>
  <si>
    <t>RUA ARLINDO COLACO ESQUINA COM A RUA SALVADOR MEDEIROS</t>
  </si>
  <si>
    <t>-23.491356051665</t>
  </si>
  <si>
    <t>-46.4400032248798</t>
  </si>
  <si>
    <t>RUA SALVADOR DE MEDEIROS ESQUINA COM A RUA SERRA DOURADA</t>
  </si>
  <si>
    <t>-23.4911493770175</t>
  </si>
  <si>
    <t>-46.4411226147885</t>
  </si>
  <si>
    <t>RUA INHABATA ESQUINA COM AVENIDA MARECHAL TITO</t>
  </si>
  <si>
    <t>-23.4950927301302</t>
  </si>
  <si>
    <t>-46.4345753779601</t>
  </si>
  <si>
    <t>RUA IDIOMA ESPERANTO DEFRONTE A RUA LUIS PICOLO</t>
  </si>
  <si>
    <t>-23.4914351255513</t>
  </si>
  <si>
    <t>-46.4364925267235</t>
  </si>
  <si>
    <t>RUA AMADEU GAMBERINI ESQUINA COM A AVENIDA NORDESTINA</t>
  </si>
  <si>
    <t>-23.4959995432326</t>
  </si>
  <si>
    <t>-46.442060859337</t>
  </si>
  <si>
    <t>AVENIDA DOUTRO JOSE ARTUR NOVA 69 AO LADO DA LINHA FERREA</t>
  </si>
  <si>
    <t>-23.4909347239605</t>
  </si>
  <si>
    <t>-46.4376822486499</t>
  </si>
  <si>
    <t>SÃO MIGUEL PAULISTA</t>
  </si>
  <si>
    <t>RUA DIEGO CALADO 149   SABESP BICA DE ENCHIMENTO RAPIDO</t>
  </si>
  <si>
    <t>-23.499065239791</t>
  </si>
  <si>
    <t>-46.4458278580398</t>
  </si>
  <si>
    <t>RUA DIEGO CALADO EQUINA COM A AVENIDA ANTONIO BERNARDO SILVESTRE</t>
  </si>
  <si>
    <t>-23.498155461123</t>
  </si>
  <si>
    <t>-46.4452204393931</t>
  </si>
  <si>
    <t>AVENIDA NORDESTINA ESQUINA COM RUA GABRIEL DE CASTRO LOBO</t>
  </si>
  <si>
    <t>-23.5006622071425</t>
  </si>
  <si>
    <t>-46.4401964397584</t>
  </si>
  <si>
    <t>AVENIDA AFONSO LOPES DE BAIAO ESQUINA COM A RUA DOUTOR MIGUEL DO VAL</t>
  </si>
  <si>
    <t>-23.5048651839506</t>
  </si>
  <si>
    <t>-46.4464057983786</t>
  </si>
  <si>
    <t>RUA DOUTOR MIGUEL DO VAL ESQUINA COM AVENIDA PIRES DO RIO</t>
  </si>
  <si>
    <t>-23.5051132001545</t>
  </si>
  <si>
    <t>-46.4430940549071</t>
  </si>
  <si>
    <t>RUA URUBAIANA ESQUINA COM AVENIDA PIRES DO RIO</t>
  </si>
  <si>
    <t>-23.5070027741143</t>
  </si>
  <si>
    <t>-46.4433128726274</t>
  </si>
  <si>
    <t>RUA DOUTOR MIGUEL DO VAL 263 DEFRONTE COM RUA PAULO VICENTE</t>
  </si>
  <si>
    <t>-23.5051541544187</t>
  </si>
  <si>
    <t>-46.4455318827873</t>
  </si>
  <si>
    <t>AVENIDA SAO MIGUEL ESQUINA COM A RUA ANGELINA LAPENA PARENTE</t>
  </si>
  <si>
    <t>-23.4915786095564</t>
  </si>
  <si>
    <t>-46.4468356080215</t>
  </si>
  <si>
    <t>RUA JOAO BELO ESQUINA COM A  RUA PILADE PISTELLI</t>
  </si>
  <si>
    <t>-23.4914206641568</t>
  </si>
  <si>
    <t>-46.4484260985062</t>
  </si>
  <si>
    <t>RUA JOSE PEREIRA CARDOSO 97 DEFRONTE A RUA ARLINDO MIRAGAIA</t>
  </si>
  <si>
    <t>-23.4942951393832</t>
  </si>
  <si>
    <t>-46.44447457401</t>
  </si>
  <si>
    <t>RUA PEDRO VIVIANI ESQUINA COM A RUA NELSON PINTO</t>
  </si>
  <si>
    <t>-23.4967046573028</t>
  </si>
  <si>
    <t>-46.4488460889474</t>
  </si>
  <si>
    <t>SAUDADE</t>
  </si>
  <si>
    <t>AVENIDA PIRES DO RIO 3023</t>
  </si>
  <si>
    <t>-23.5236859279024</t>
  </si>
  <si>
    <t>-46.4440211777289</t>
  </si>
  <si>
    <t>RUA SUZANA DE MELO ESQUINA COM A AVENIDA INAJA GUACU</t>
  </si>
  <si>
    <t>-23.5207076409544</t>
  </si>
  <si>
    <t>-46.4399954414529</t>
  </si>
  <si>
    <t>RUA SUZANO DE MELO ESQUINA COM A AVENIDA MONSENHOR AGNELO</t>
  </si>
  <si>
    <t>-23.5202670431801</t>
  </si>
  <si>
    <t>-46.4357256323184</t>
  </si>
  <si>
    <t>RUA ERVA PREA ESQUINA COM A RUA ENGENHEIRO AUGUSTO LACERDA</t>
  </si>
  <si>
    <t>-23.5153541730379</t>
  </si>
  <si>
    <t>-46.4360776176778</t>
  </si>
  <si>
    <t>RUA NINA SIMONE ESQUINA COM A RUA ADUTORA DO RIO CLARO</t>
  </si>
  <si>
    <t>-23.641124887458</t>
  </si>
  <si>
    <t>-46.4522691509077</t>
  </si>
  <si>
    <t>RUA MORRO DAS PEDRAS DEFRONTE A TRAVESSA CRAVO DIVINO</t>
  </si>
  <si>
    <t>-23.6340640539104</t>
  </si>
  <si>
    <t>-46.4577128246047</t>
  </si>
  <si>
    <t>AVENIDA SAPOPEMBA 26900</t>
  </si>
  <si>
    <t>-23.6229272382558</t>
  </si>
  <si>
    <t>-46.4486974646852</t>
  </si>
  <si>
    <t>RUA FLORES DA PRIMAVEIRA</t>
  </si>
  <si>
    <t>-23.6296304223801</t>
  </si>
  <si>
    <t>-46.4533774187614</t>
  </si>
  <si>
    <t>RUA MARTINS LOPES LOBO 109 PROXIMO DA ESQUINA DA RUA M</t>
  </si>
  <si>
    <t>-23.6244771377542</t>
  </si>
  <si>
    <t>-46.4481520570677</t>
  </si>
  <si>
    <t>RUA ALEXANDRE ARTOT 63</t>
  </si>
  <si>
    <t>-23.6305710299414</t>
  </si>
  <si>
    <t>-46.452355208707</t>
  </si>
  <si>
    <t>RUA FLORES DA PRIMAVERA 638</t>
  </si>
  <si>
    <t>-23.6287574083482</t>
  </si>
  <si>
    <t>-46.4556808814556</t>
  </si>
  <si>
    <t>AVENIDA RODOLFO PIRANI ESQUINA COM A RUA DOM DIOGO FURTADO</t>
  </si>
  <si>
    <t>-23.628582365184</t>
  </si>
  <si>
    <t>-46.4619421086909</t>
  </si>
  <si>
    <t>RUA RODOLFO PIRANI DEFRONTE A RUA JOSE RODRIGUES DA MOTTA</t>
  </si>
  <si>
    <t>-23.6316100752595</t>
  </si>
  <si>
    <t>-46.4619170040058</t>
  </si>
  <si>
    <t>RUA AFONSO FURTADO DE CASTRO ESQUINA COM A AVENIDA DOS SERTANISTAS</t>
  </si>
  <si>
    <t>-23.6253467438109</t>
  </si>
  <si>
    <t>-46.4458516420425</t>
  </si>
  <si>
    <t>RUA CONTE LOPES ESQUINA COM A AVENIDA SAPOPEMBA</t>
  </si>
  <si>
    <t>-23.6217404734925</t>
  </si>
  <si>
    <t>-46.4512499420902</t>
  </si>
  <si>
    <t>RUA CHANTAL 91</t>
  </si>
  <si>
    <t>-23.6192779523569</t>
  </si>
  <si>
    <t>-46.4563801630395</t>
  </si>
  <si>
    <t>AVENIDA ADELIA CHOFI ESQUINA COM A RUA ROQUE DA CUNHA</t>
  </si>
  <si>
    <t>-23.6209561559023</t>
  </si>
  <si>
    <t>-46.4781453033261</t>
  </si>
  <si>
    <t>RUA FRANCISCO LOBO ESQUINA COM A RUA FRANCISCO MARQUES</t>
  </si>
  <si>
    <t>-23.6324466620237</t>
  </si>
  <si>
    <t>-46.4678115415314</t>
  </si>
  <si>
    <t>AVENIDA SALVADOR JORGE VELHO 259 DEFRONTE A RUA FRANCISCO LOURENCO</t>
  </si>
  <si>
    <t>-23.6219213222748</t>
  </si>
  <si>
    <t>-46.4671661439374</t>
  </si>
  <si>
    <t>RUA QUARESMA DELGADO ESQUINA COM A AVENIDA SALVADOR JORGE VELHO</t>
  </si>
  <si>
    <t>-23.6279778238781</t>
  </si>
  <si>
    <t>-46.4651867694172</t>
  </si>
  <si>
    <t>RUA PADRE FERNANDO DE MONSERRATE 745 PROXIMO A ESQUINA DA PRACA SERAFINO CORREIA</t>
  </si>
  <si>
    <t>-23.6240753103423</t>
  </si>
  <si>
    <t>-46.4624263998189</t>
  </si>
  <si>
    <t>RUA TEODOSIO DA ROCHA ESQUINA COM A RUA SALVADOR DE PAIVA</t>
  </si>
  <si>
    <t>-23.6291600844642</t>
  </si>
  <si>
    <t>-46.4743743423939</t>
  </si>
  <si>
    <t>RUA FRUTOS DE MAIO NO INTERIOR DA VIELA 2 NO FUNDO</t>
  </si>
  <si>
    <t>-23.6158831741244</t>
  </si>
  <si>
    <t>-46.454810256206</t>
  </si>
  <si>
    <t>AVENIDA SAPOPEMBA ESQUINA COM A RUA SARGENTO IRACITAN COIMBRA</t>
  </si>
  <si>
    <t>-23.6179690564126</t>
  </si>
  <si>
    <t>-46.468584338394</t>
  </si>
  <si>
    <t>RUA ANABALOG BAKOS ESQUINA COM A RUA BARTOLOMEU ANTUNES</t>
  </si>
  <si>
    <t>-23.6189644662864</t>
  </si>
  <si>
    <t>-46.4612306817567</t>
  </si>
  <si>
    <t>FAZENDA DA JUTA</t>
  </si>
  <si>
    <t>RUA ROSAS DE MAIO PROXIMO A ESQUINA COM A RUA FLOR DA LUA</t>
  </si>
  <si>
    <t>-23.6232625371437</t>
  </si>
  <si>
    <t>-46.5002711230757</t>
  </si>
  <si>
    <t>RUA CHARLES BEST 194 ENTRE AS RUAS BENJAMIN DE TUDELA E RUA DOMENICO DEL PANE</t>
  </si>
  <si>
    <t>-23.6133922041838</t>
  </si>
  <si>
    <t>-46.4857840822001</t>
  </si>
  <si>
    <t>RUA CIMBIDIO ESQUINA COM A AVENIDA SAPOPEMBA</t>
  </si>
  <si>
    <t>-23.6131250545436</t>
  </si>
  <si>
    <t>-46.4901544352842</t>
  </si>
  <si>
    <t>RUA CABO GASTAO GAMA ESQUINA COM A RUA SARGENTO AIRES SILVA DIAS</t>
  </si>
  <si>
    <t>-23.6161016063842</t>
  </si>
  <si>
    <t>-46.496494442654</t>
  </si>
  <si>
    <t>RUA SARGENTO LUIS RODRIGUES FILHO ESQUINA COM A RUA SARGENTO CIBER PORTO E MENDONCA</t>
  </si>
  <si>
    <t>-23.6181232492906</t>
  </si>
  <si>
    <t>-46.4966691603157</t>
  </si>
  <si>
    <t>RUA SARGENTO BENEVIDES VALENTE MONTES 83 ZDEFRONTE A RUA SOLDADO PEDRO GRACIANO MOREIRA</t>
  </si>
  <si>
    <t>-23.6167039914917</t>
  </si>
  <si>
    <t>-46.4946229730864</t>
  </si>
  <si>
    <t>RUA JOAO LOPES DE LIMA ESQUINA COM A RUA LEONARDO DE OLIVEIRA</t>
  </si>
  <si>
    <t>-23.6116231531541</t>
  </si>
  <si>
    <t>-46.4887047631335</t>
  </si>
  <si>
    <t>RUA SOLDADO EIDOARTE DA SILVA PONTES ESQUINA COM A RUA SOLDADO CELIO DO NASCIMENTO</t>
  </si>
  <si>
    <t>-23.6156679927443</t>
  </si>
  <si>
    <t>-46.4951872623988</t>
  </si>
  <si>
    <t>RUA ROSAS DE MAIO DEFRONTE A RUA LAVANDA</t>
  </si>
  <si>
    <t>-23.6227723702018</t>
  </si>
  <si>
    <t>-46.4980928678611</t>
  </si>
  <si>
    <t>RUA MANOEL JOAO DA SILVA ESQUINA COM A RUA FRANCISCO BARRO</t>
  </si>
  <si>
    <t>-23.6100996819637</t>
  </si>
  <si>
    <t>-46.4921511084871</t>
  </si>
  <si>
    <t xml:space="preserve">TRAVESSA CECILIO BAEZ 66 NO FINAL DA RUA </t>
  </si>
  <si>
    <t>-23.624504538368</t>
  </si>
  <si>
    <t>-46.4900654295458</t>
  </si>
  <si>
    <t>RUA NELSON DE OLIVEIRA ESQUINA COM A RUA ALBERTO POPOVICI</t>
  </si>
  <si>
    <t>-23.6104818563959</t>
  </si>
  <si>
    <t>-46.4950062337737</t>
  </si>
  <si>
    <t>AVENIDA SAPOPEMBA ESQUINA COM A RUA LEITE FURTADO</t>
  </si>
  <si>
    <t>-23.6148942149304</t>
  </si>
  <si>
    <t>-46.5009822556532</t>
  </si>
  <si>
    <t>RUA DOS FINANCEIROS NO FINAL DA RUA</t>
  </si>
  <si>
    <t>-23.5887549996051</t>
  </si>
  <si>
    <t>-46.523992</t>
  </si>
  <si>
    <t>RUA GENERAL PORFIRIO DA PAZ ESQUINA COM A RUA DIVINOLANDIA DE MINAS</t>
  </si>
  <si>
    <t>-23.5929528123753</t>
  </si>
  <si>
    <t>-46.5198725207832</t>
  </si>
  <si>
    <t>AVENIDA GENERAL PROFILIO DA PAZ ESQUINA COM  A RUA PROFESSOR ALBERTINO ALVARO PINHEIRO</t>
  </si>
  <si>
    <t>-23.5991848581183</t>
  </si>
  <si>
    <t>-46.514403723793</t>
  </si>
  <si>
    <t>RUA DOS BANQUEIROS 55 VILA BANCARIA PROX AO PREDIOS DO CDHU</t>
  </si>
  <si>
    <t>-23.5856201588382</t>
  </si>
  <si>
    <t>-46.5241135093914</t>
  </si>
  <si>
    <t>RUA GENERAL PORFIRIO DA PAZ ESQUINA COM A RUA GUILHERME STUDART</t>
  </si>
  <si>
    <t>-23.5920862676793</t>
  </si>
  <si>
    <t>-46.5196688284659</t>
  </si>
  <si>
    <t>RUA TALES ESQUINA COM A AV SAPOPEMBA</t>
  </si>
  <si>
    <t>-23.5919253938873</t>
  </si>
  <si>
    <t>-46.5297843834387</t>
  </si>
  <si>
    <t>RUA DOUTOR EUGENIO CASTILLO ESQUINA COM AVENIDA SAPOPEMBA</t>
  </si>
  <si>
    <t>-23.5942745792917</t>
  </si>
  <si>
    <t>-46.5274305887621</t>
  </si>
  <si>
    <t>AVENIDA VILA EMA 5523 ESQUINA COM A RUA SHINSEI KAMIDA</t>
  </si>
  <si>
    <t>-23.5971627237994</t>
  </si>
  <si>
    <t>-46.5304560456478</t>
  </si>
  <si>
    <t>RUA GIACOMO ADOLFI PROXIMO DA AVENIDA ISRAEL FONSECA</t>
  </si>
  <si>
    <t>-23.5966459143746</t>
  </si>
  <si>
    <t>-46.5209359299172</t>
  </si>
  <si>
    <t>RUA GENERAL PORFIRIO DA PAZ ESQUINA COM A RUA BENEDITO JACINTO MENDES</t>
  </si>
  <si>
    <t>-23.5968151257422</t>
  </si>
  <si>
    <t>-46.5165913559558</t>
  </si>
  <si>
    <t>RUA LOBATO ESQUINA COM A RUA ATENEU PAULISTA</t>
  </si>
  <si>
    <t>-23.5915980063316</t>
  </si>
  <si>
    <t>-46.5326460291363</t>
  </si>
  <si>
    <t>RUA JOSE FREIRE PROXIMO A ESQUINA COM A RUA JOSE ANTONIO FONTES</t>
  </si>
  <si>
    <t>-23.6012468527315</t>
  </si>
  <si>
    <t>-46.5256595484466</t>
  </si>
  <si>
    <t>RUA HENRIQUE DA PAZ NO FINAL DA RUA</t>
  </si>
  <si>
    <t>-23.5954828880807</t>
  </si>
  <si>
    <t>-46.5302149975878</t>
  </si>
  <si>
    <t>RUA ANANIAS NOGUEIRA PINHEIRO ESQUINA COM A RUA NAVEGADORES</t>
  </si>
  <si>
    <t>-23.6073758448433</t>
  </si>
  <si>
    <t>-46.519742746132</t>
  </si>
  <si>
    <t>RUA PICO DO JABRE ESQUINA COM A RUA RIO HIPIANGUI</t>
  </si>
  <si>
    <t>-23.6090466807036</t>
  </si>
  <si>
    <t>-46.5144302422232</t>
  </si>
  <si>
    <t>RUA MILTON DA CRUZ ESQUINA COM A AVENIDA MANUEL PIMENTEL</t>
  </si>
  <si>
    <t>-23.608248935823</t>
  </si>
  <si>
    <t>-46.510657355196</t>
  </si>
  <si>
    <t>RUA DO LAVRADOR NO FINAL DA RUA</t>
  </si>
  <si>
    <t>-23.6055179185979</t>
  </si>
  <si>
    <t>-46.5129029682212</t>
  </si>
  <si>
    <t>AVENIDA DO ORATORIO ESQUINA COM A RUA HENRIQUE GALVAO</t>
  </si>
  <si>
    <t>-23.6053753869753</t>
  </si>
  <si>
    <t>-46.5225164122725</t>
  </si>
  <si>
    <t>RUA ADOLFO DE MENEZES NO FINAL DA RUA</t>
  </si>
  <si>
    <t>-23.6032222637965</t>
  </si>
  <si>
    <t>-46.5188867502023</t>
  </si>
  <si>
    <t>AVENIDA DOUTOR FREDERICO MARTINS DA COSTA CARVALHO ESQUINA COM A AVENIDA PROFESSOR LUIZ IGNACIO ANHAIA MELLO</t>
  </si>
  <si>
    <t>-23.6048890715207</t>
  </si>
  <si>
    <t>-46.5101048751177</t>
  </si>
  <si>
    <t>TEOTÔNIO VILELA</t>
  </si>
  <si>
    <t>RUA IRVING BERLIN ACESSO DA RUA GIUSEPPE VALENTINI</t>
  </si>
  <si>
    <t>-23.5907206849543</t>
  </si>
  <si>
    <t>-46.5097807445429</t>
  </si>
  <si>
    <t>RUA IRVING BERLIM PROX A AVENIDA BARREIRA GRANDE</t>
  </si>
  <si>
    <t>-23.5893113959942</t>
  </si>
  <si>
    <t>-46.5098638666542</t>
  </si>
  <si>
    <t>RUA JAQUES NAUDE ACESSO A AVENIDA BARREIRA GRANDE</t>
  </si>
  <si>
    <t>-23.5896804070353</t>
  </si>
  <si>
    <t>-46.508310578241</t>
  </si>
  <si>
    <t>RUA JEAN JADIN PROXIMO A ESQUINA COM A RUA JAMES NARES</t>
  </si>
  <si>
    <t>-23.5915118166749</t>
  </si>
  <si>
    <t>-46.5087286695706</t>
  </si>
  <si>
    <t>RUA JAMES NARES ACESSO DA RUA LUIZ PARISOTTO</t>
  </si>
  <si>
    <t>-23.5900850492804</t>
  </si>
  <si>
    <t>-46.507403049723</t>
  </si>
  <si>
    <t>RUA GUIDOVAL 127 PROXIMO AVENIDA DO TANQUE</t>
  </si>
  <si>
    <t>-23.5967018291482</t>
  </si>
  <si>
    <t>-46.4998617326869</t>
  </si>
  <si>
    <t>RUA LIRIO DO VALE PROXIMO A RUA FLOR DA MADRUGADA</t>
  </si>
  <si>
    <t>-23.5992426502752</t>
  </si>
  <si>
    <t>-46.4990744041551</t>
  </si>
  <si>
    <t>RUA SAO JOSE DO DIVINO 2202</t>
  </si>
  <si>
    <t>-23.5971555751294</t>
  </si>
  <si>
    <t>-46.4977258643382</t>
  </si>
  <si>
    <t>RUA PRIMEIRO SORRISO 290 DEFRONTE A RUA DOS QUICHUAS</t>
  </si>
  <si>
    <t>-23.599931707047</t>
  </si>
  <si>
    <t>-46.5084437326869</t>
  </si>
  <si>
    <t>RUA BARAO AMARAL DO CABO FRIO     NO FINAL DA RUA</t>
  </si>
  <si>
    <t>-23.597726925822</t>
  </si>
  <si>
    <t>-46.4995563639325</t>
  </si>
  <si>
    <t>RUA PRESIDENTE CIPRIANO DE CASTRO  NO FINAL DA RUA       ESQUINA COM A VIA DE PEDESTRE MANOEL FONTOURA</t>
  </si>
  <si>
    <t>-23.5976300614838</t>
  </si>
  <si>
    <t>-46.4990962583262</t>
  </si>
  <si>
    <t>AVENIDA ARQUITETO VILA NOVA ARTIGAS EM FRENTE AO POSTO DE BOMBEIROS SAPOPEMBA</t>
  </si>
  <si>
    <t>-23.6064276970739</t>
  </si>
  <si>
    <t>-46.5025764124568</t>
  </si>
  <si>
    <t>AVENIDA ARQUITETO VILANOVA ARTIGAS NO INTERIOR DO POSTO DE BOMBEIRO SAPOPEMBA</t>
  </si>
  <si>
    <t>-23.60648189917</t>
  </si>
  <si>
    <t>-46.5024559316354</t>
  </si>
  <si>
    <t>RUA MANOEL LEONCIO RODRIGUEZ ESQUINA COM A RUA ANA ESPINOSSA</t>
  </si>
  <si>
    <t>-23.5934138140204</t>
  </si>
  <si>
    <t>-46.5138368357541</t>
  </si>
  <si>
    <t>RUA LEANDRO SEVILHA ESQUINA COM A TRAVESSA MARIA JOSE DE MELO</t>
  </si>
  <si>
    <t>-23.6011970297169</t>
  </si>
  <si>
    <t>-46.5065745705312</t>
  </si>
  <si>
    <t>RUA RAIO DE SOL ESQUINA COM A AVENIDA DA BARREIRA GRANDE</t>
  </si>
  <si>
    <t>-23.586882325228</t>
  </si>
  <si>
    <t>-46.5175975412413</t>
  </si>
  <si>
    <t>RUA ESTEBAN ARACIEL ESQUINA COM A RUA PARIS</t>
  </si>
  <si>
    <t>-23.5922189446675</t>
  </si>
  <si>
    <t>-46.5134775995833</t>
  </si>
  <si>
    <t>AVENIDA ARQUITETO VILANOVA ARTIGAS ESQUINA COM A RUA FELICE TOSE</t>
  </si>
  <si>
    <t>-23.6061457398047</t>
  </si>
  <si>
    <t>-46.5031919022098</t>
  </si>
  <si>
    <t>RUA ADAUTO FERNANDES DE ANDRADE ESQUINA COM A RUA ALZIRA MONTEIRO EXPLORADOR</t>
  </si>
  <si>
    <t>-23.5954541457191</t>
  </si>
  <si>
    <t>-46.5075819714374</t>
  </si>
  <si>
    <t>VILA CARDOSO FRANCO</t>
  </si>
  <si>
    <t>RUA BATISTA FERGUSIO PROXIMO A ESQUINA DA RUA RIO NILO</t>
  </si>
  <si>
    <t>-23.6239919302848</t>
  </si>
  <si>
    <t>-46.5073668456509</t>
  </si>
  <si>
    <t>AVENIDA PRIMAVERA DE CAIENA ESQUINA COM A RUA PICO ALTO</t>
  </si>
  <si>
    <t>-23.614640445307</t>
  </si>
  <si>
    <t>-46.5124408153977</t>
  </si>
  <si>
    <t>RUA DOUTOR EDGARD PINTO CESAR ESQUINA COM A RUA GUAIANA TI</t>
  </si>
  <si>
    <t>-23.6133679796974</t>
  </si>
  <si>
    <t>-46.5047583362841</t>
  </si>
  <si>
    <t>RUA EDUARDO GUTIERREZ DEFRONTE A RUA CUSTODIO CARDOSO</t>
  </si>
  <si>
    <t>-23.6196523298158</t>
  </si>
  <si>
    <t>-46.5054677462665</t>
  </si>
  <si>
    <t>RUA TUIUTI ENTRE AS RUAS PINTAGUI E A RUA SABATINO NASTARI</t>
  </si>
  <si>
    <t>-23.5311919685997</t>
  </si>
  <si>
    <t>-46.575524241183</t>
  </si>
  <si>
    <t>RUA SAO FELIPE 381 PROXIMO A RUA SANTA CATARINA</t>
  </si>
  <si>
    <t>-23.5316096837898</t>
  </si>
  <si>
    <t>-46.5696900630319</t>
  </si>
  <si>
    <t>RUA IGUARE PROXIMO A RUA ULISSES CRUZ</t>
  </si>
  <si>
    <t>-23.5317056488475</t>
  </si>
  <si>
    <t>-46.5826812744202</t>
  </si>
  <si>
    <t>AVENIDA CELSO GARCIA ESQUINA COM A RUA DUARTE DE CARVALHO</t>
  </si>
  <si>
    <t>-23.5358504471773</t>
  </si>
  <si>
    <t>-46.5723143751099</t>
  </si>
  <si>
    <t>RUA GONCALVES CRESPO PROXIMO A ESQUINA COM A RUA ALMIRANTE CALHEIROSZ</t>
  </si>
  <si>
    <t>-23.5385100024025</t>
  </si>
  <si>
    <t>-46.5768478262664</t>
  </si>
  <si>
    <t>RUA SANTA VIRGINIA ESQUINA COM A AVENIDA CELSO GARCIA</t>
  </si>
  <si>
    <t>-23.5349526593682</t>
  </si>
  <si>
    <t>-46.5696293917163</t>
  </si>
  <si>
    <t>RUA HEITOR BARIANI ESQUINA COM A AVENIDA CELSO GARCIA</t>
  </si>
  <si>
    <t>-23.5349709534518</t>
  </si>
  <si>
    <t>-46.5772527686393</t>
  </si>
  <si>
    <t>AVENIDA CELSO GARCIA ESQUINA COM A RUA HENRIQUE SERTORIO</t>
  </si>
  <si>
    <t>-23.5351964114408</t>
  </si>
  <si>
    <t>-46.5780969982258</t>
  </si>
  <si>
    <t>RUA MARIA EUGENIA ESQUINA COM A AVENIDA CELSO GARCIA</t>
  </si>
  <si>
    <t>-23.5352912972392</t>
  </si>
  <si>
    <t>-46.5744265343189</t>
  </si>
  <si>
    <t>RUA SANTA CATARINA ESQUINA COM RUA SANTA VIRGINIA</t>
  </si>
  <si>
    <t>-23.5309893767239</t>
  </si>
  <si>
    <t>-46.5707223774606</t>
  </si>
  <si>
    <t>RUA ALMIRANTE CALHEIROS ESQUINA COM A RUA ANDRE VIDAL</t>
  </si>
  <si>
    <t>-23.5363596093736</t>
  </si>
  <si>
    <t>-46.5771464554102</t>
  </si>
  <si>
    <t>RUA RESTINGA ESQUINA COM A LOCAL DA AVENIDA SALIM FARAH MALUF</t>
  </si>
  <si>
    <t>-23.5399866060026</t>
  </si>
  <si>
    <t>-46.5807810461938</t>
  </si>
  <si>
    <t>AVENIDA CELSO GARCIA 3400 PROXIMO A ESQUINA COM A RUA IVAI</t>
  </si>
  <si>
    <t>-23.5348407992655</t>
  </si>
  <si>
    <t>-46.5795135788069</t>
  </si>
  <si>
    <t>AVENIDA CELSO GARCIA ESQUINA COM FELIPE CAMARGO</t>
  </si>
  <si>
    <t>-23.535146041111</t>
  </si>
  <si>
    <t>-46.5792167971012</t>
  </si>
  <si>
    <t>RUA EMILIA MARENGO ESQUINA COM A RUA NESTOR DE BARROS</t>
  </si>
  <si>
    <t>-23.5549068038951</t>
  </si>
  <si>
    <t>-46.5585925375895</t>
  </si>
  <si>
    <t>RUA APUCARANA DEFRONTE A RUA PLATINA   PB TATUAPE</t>
  </si>
  <si>
    <t>-23.5396085358443</t>
  </si>
  <si>
    <t>-46.5649749026853</t>
  </si>
  <si>
    <t>RUA ITAPURA PROXIMO A RUA SANTE COLOMBARA</t>
  </si>
  <si>
    <t>-23.551538480527</t>
  </si>
  <si>
    <t>-46.5650660469851</t>
  </si>
  <si>
    <t>RUA APUCARANA ESQUINA COM RUA EMILIO MALLET</t>
  </si>
  <si>
    <t>-23.5463099001925</t>
  </si>
  <si>
    <t>-46.5636259361676</t>
  </si>
  <si>
    <t>RUA SERRA DE BOTUCATU ESQUINA COM A RUA APUCARANA</t>
  </si>
  <si>
    <t>-23.54297645593</t>
  </si>
  <si>
    <t>-46.5644705888393</t>
  </si>
  <si>
    <t>RUA APUCARANA ESQUINA COM RUA TARIANA</t>
  </si>
  <si>
    <t>-23.5519317839172</t>
  </si>
  <si>
    <t>-46.5622778021009</t>
  </si>
  <si>
    <t>RUA APUCARANA ESQUINA COM A RUA ANTONIO DE CAMARGO</t>
  </si>
  <si>
    <t>-23.5491467778427</t>
  </si>
  <si>
    <t>-46.5629583294816</t>
  </si>
  <si>
    <t>RUA SERRA DE BRAGANCA PROXIMO ZA  ESQUINA COM A RUA MONT SERRAT</t>
  </si>
  <si>
    <t>-23.5437302988194</t>
  </si>
  <si>
    <t>-46.5612024497862</t>
  </si>
  <si>
    <t>RUA PLATINA ESQUINA COM FRANCISCO MARENGO</t>
  </si>
  <si>
    <t>-23.5386131003498</t>
  </si>
  <si>
    <t>-46.5601309568455</t>
  </si>
  <si>
    <t>RUA TIJUCO PRETO ESQUINA COM A RUA FRANCISCO MARENGO</t>
  </si>
  <si>
    <t>-23.5415266874006</t>
  </si>
  <si>
    <t>-46.5593144841671</t>
  </si>
  <si>
    <t>RUA FRANCISCO MARENGO DEFRONTE A RUA  CORTA VENTO</t>
  </si>
  <si>
    <t>-23.5490912362689</t>
  </si>
  <si>
    <t>-46.5573235092178</t>
  </si>
  <si>
    <t>RUA SERRA DE BRAGANCA ESQUINA COM A RUA ITAPURA</t>
  </si>
  <si>
    <t>-23.5447277442463</t>
  </si>
  <si>
    <t>-46.5663245536872</t>
  </si>
  <si>
    <t>RUA PLATINA ESQUINA COM RUA APUCARANA</t>
  </si>
  <si>
    <t>-23.5397054699448</t>
  </si>
  <si>
    <t>-46.5650505192312</t>
  </si>
  <si>
    <t>RUA MOSSAMEDES ESQUINA COM RUA EMILIA MARENGO</t>
  </si>
  <si>
    <t>-23.5559204892829</t>
  </si>
  <si>
    <t>-46.5549150763341</t>
  </si>
  <si>
    <t>RUA MIGUEL VENOTTI ESQUINA COM A ZRUA AZEVEDO SOARES</t>
  </si>
  <si>
    <t>-23.5489293604725</t>
  </si>
  <si>
    <t>-46.5660838183522</t>
  </si>
  <si>
    <t>RUA FRANCISCO MARENGO ESQUINA COM RUA PADRE DIOGO NUNES</t>
  </si>
  <si>
    <t>-23.5531688228356</t>
  </si>
  <si>
    <t>-46.5563814338345</t>
  </si>
  <si>
    <t>RUA FRANCISCO MARENGO ESQUINA COM A RUA PROFESSOR PEDREIRA DE FREITAS</t>
  </si>
  <si>
    <t>-23.5502766895991</t>
  </si>
  <si>
    <t>-46.5572396523736</t>
  </si>
  <si>
    <t>RUA AZEVEDO SOARES ESQUINA COM A RUA APUCARANA</t>
  </si>
  <si>
    <t>-23.5481829298818</t>
  </si>
  <si>
    <t>-46.5631137731612</t>
  </si>
  <si>
    <t>RUA SANTA CATARINA ESQUINA COM A RUA SIRIA</t>
  </si>
  <si>
    <t>-23.5300349433904</t>
  </si>
  <si>
    <t>-46.5668679106522</t>
  </si>
  <si>
    <t>RUA SANTOS ELIAS ESQUINA COM A AVENIDA CELSO GARCIA</t>
  </si>
  <si>
    <t>-23.5337022303208</t>
  </si>
  <si>
    <t>-46.5665903103418</t>
  </si>
  <si>
    <t>RUA ANTONIO DE BARROS ESQUINA COM A  AVENIDA CELSO GARCIA</t>
  </si>
  <si>
    <t>-23.531748668959</t>
  </si>
  <si>
    <t>-46.5602549641901</t>
  </si>
  <si>
    <t>RUA ANTONIO DE BARROS DEFRONTE A RUA EVARISTO VAZ DE ARRUDA</t>
  </si>
  <si>
    <t>-23.5330207336219</t>
  </si>
  <si>
    <t>-46.5595465914539</t>
  </si>
  <si>
    <t>RUA MELO PEIXOTO ENTRE A RUA DOUTOR ANGELO VITA E A RUA SALVADOR DE LIMA</t>
  </si>
  <si>
    <t>-23.5372749619808</t>
  </si>
  <si>
    <t>-46.5644700657829</t>
  </si>
  <si>
    <t>AVENIDA CELSO GARCIA ESQUINA COM A RUA DO RETIRO</t>
  </si>
  <si>
    <t>-23.5305880533556</t>
  </si>
  <si>
    <t>-46.5561032449684</t>
  </si>
  <si>
    <t>RUA SANTA ELVIRA ESQUINA COM A RUA JOSE TAVARES DE SIQUEIRA</t>
  </si>
  <si>
    <t>-23.5288790619957</t>
  </si>
  <si>
    <t>-46.5692859125109</t>
  </si>
  <si>
    <t>RUA SANTO ELIAS PROXIMO A ESQUINA DA  RUA SANTA MARIA</t>
  </si>
  <si>
    <t>-23.5321019297839</t>
  </si>
  <si>
    <t>-46.5670845976327</t>
  </si>
  <si>
    <t>RUA SAO JORGE ESQUINA COM A AVENIDA CELSO GARCIA</t>
  </si>
  <si>
    <t>-23.5330856087421</t>
  </si>
  <si>
    <t>-46.5643586570481</t>
  </si>
  <si>
    <t>AVENIDA CELSO GARCIA ESQUINA COM RUA ANTONIO  MARCEDO</t>
  </si>
  <si>
    <t>-23.5327416250777</t>
  </si>
  <si>
    <t>-46.5633723198046</t>
  </si>
  <si>
    <t>RUA JOAO PENTEADO COM RUA ARNALDO CINTRA</t>
  </si>
  <si>
    <t>-23.5281903510634</t>
  </si>
  <si>
    <t>-46.5611032852278</t>
  </si>
  <si>
    <t>RUA ANTONIO DE BARROS ESQUINA COM A RUA DO TATUAPE</t>
  </si>
  <si>
    <t>-23.5293457526861</t>
  </si>
  <si>
    <t>-46.5604588228724</t>
  </si>
  <si>
    <t>AVENIDA CELSO GARCIA ESQUINA COM A RUA CANDIDO VALE</t>
  </si>
  <si>
    <t>-23.5351921605526</t>
  </si>
  <si>
    <t>-46.5693064289928</t>
  </si>
  <si>
    <t>RUA SARGENTO OSWALDO ESQUINA COM A RUA CORONEL SOUZA REIS</t>
  </si>
  <si>
    <t>-23.5354109882255</t>
  </si>
  <si>
    <t>-46.5669647703385</t>
  </si>
  <si>
    <t>RUA MELO PEIXOTO ESQUINA COM RUA VILELA</t>
  </si>
  <si>
    <t>2021-07-18</t>
  </si>
  <si>
    <t>-23.5379464372545</t>
  </si>
  <si>
    <t>-46.5671533717262</t>
  </si>
  <si>
    <t>RUA DOUTOR ANGELO VITA ESQUINA COM A AVENIDA CELSO GARCIA</t>
  </si>
  <si>
    <t>-23.5340425467088</t>
  </si>
  <si>
    <t>-46.5665038317772</t>
  </si>
  <si>
    <t>RUA ANTONIO DE BARROS ESQUINA COM O LARGO SAO JOSE DO MARANHAO</t>
  </si>
  <si>
    <t>-23.5303041232088</t>
  </si>
  <si>
    <t>-46.5601964794857</t>
  </si>
  <si>
    <t>RUA MELO PEIXOTO ENTRE A RUA DOUTOR ANGELO VITA E A RUA VILELA</t>
  </si>
  <si>
    <t>-23.5376303021185</t>
  </si>
  <si>
    <t>-46.5659034631647</t>
  </si>
  <si>
    <t>RUA ICARAI CALCADA DA ESCOLA ESTADUAL</t>
  </si>
  <si>
    <t>-23.535040115316</t>
  </si>
  <si>
    <t>-46.5635891930448</t>
  </si>
  <si>
    <t>RUA JARINU DEFRONTE COM RUA SERRA DE BRAGANCAZ</t>
  </si>
  <si>
    <t>-23.5462735004467</t>
  </si>
  <si>
    <t>-46.5753410028785</t>
  </si>
  <si>
    <t>RUA CARAGUATAI ESQUINA COM A RUA VISTA ALEGRE</t>
  </si>
  <si>
    <t>-23.5425266574794</t>
  </si>
  <si>
    <t>-46.5780640999438</t>
  </si>
  <si>
    <t>RUA EMILIO MALET ESQUINA COM A RUA SERRA DE JAPI</t>
  </si>
  <si>
    <t>-23.5473319467782</t>
  </si>
  <si>
    <t>-46.5687961465774</t>
  </si>
  <si>
    <t>RUA EMILIO MALET ESQUINA COM RUA COELHO LISBOA</t>
  </si>
  <si>
    <t>-23.5479368576759</t>
  </si>
  <si>
    <t>-46.5719300028557</t>
  </si>
  <si>
    <t>RUA SERRA DO JAPI PROXIMO A RUA SERRA DO JAPI</t>
  </si>
  <si>
    <t>-23.5511840958274</t>
  </si>
  <si>
    <t>-46.5678271652308</t>
  </si>
  <si>
    <t>RUA EMILIA MARENGO ESQUINA COM A RUA ADRIANOPOLIS</t>
  </si>
  <si>
    <t>-23.5525778825012</t>
  </si>
  <si>
    <t>-46.5669344102077</t>
  </si>
  <si>
    <t>RUA BOM SUCESSO ESQUINA COM A RUA AZEVEDO SOARES</t>
  </si>
  <si>
    <t>-23.550688731129</t>
  </si>
  <si>
    <t>-46.5759215489253</t>
  </si>
  <si>
    <t>RUA DEMETRIO RIBEIRO ESQUINA COM A RUA TUIUTI</t>
  </si>
  <si>
    <t>-23.5523147572303</t>
  </si>
  <si>
    <t>-46.5726126792047</t>
  </si>
  <si>
    <t>RUA BOM SUCESSO 1000 ESQUINA COM A VIELA DA CIDADE DA MAE DO CEU</t>
  </si>
  <si>
    <t>-23.5473249733095</t>
  </si>
  <si>
    <t>-46.577272461962</t>
  </si>
  <si>
    <t>RUA TERRA ROXA ESQUINA COM A RUA IPIGUA</t>
  </si>
  <si>
    <t>-23.5471076327812</t>
  </si>
  <si>
    <t>-46.5763094941517</t>
  </si>
  <si>
    <t>RUA TUIUTI ESQUINA COM RUA PADRE ADELINO</t>
  </si>
  <si>
    <t>-23.5451342344827</t>
  </si>
  <si>
    <t>-46.5745715905971</t>
  </si>
  <si>
    <t>RUA TUIUTI DEFRONTE A RUA TIJUCO PRETO</t>
  </si>
  <si>
    <t>-23.5446633204164</t>
  </si>
  <si>
    <t>-46.5746793773048</t>
  </si>
  <si>
    <t>RUA JARINU ESQUINA COM RUA FERNAO TAVARES</t>
  </si>
  <si>
    <t>-23.5439800524773</t>
  </si>
  <si>
    <t>-46.5760274382086</t>
  </si>
  <si>
    <t>RUA PADRE ADELINO ESQUINA COM RUA BONSUCESSO</t>
  </si>
  <si>
    <t>-23.5445630576341</t>
  </si>
  <si>
    <t>-46.5763471351002</t>
  </si>
  <si>
    <t>RUA IPOJUCA ESQUINA COM A RUA  PADRE ADELINO</t>
  </si>
  <si>
    <t>-23.5439662578348</t>
  </si>
  <si>
    <t>-46.5774821679708</t>
  </si>
  <si>
    <t>RUA IPIGUA 238 DEFRONTE A PRACA ALBERTINA NATEL</t>
  </si>
  <si>
    <t>-23.5490653471723</t>
  </si>
  <si>
    <t>-46.575807922141</t>
  </si>
  <si>
    <t>RUA CONEGO ANTONIO MANZI ESQUINA COM RUA ALFREDO BEZERRA DOS SANTOS</t>
  </si>
  <si>
    <t>-23.5239298454414</t>
  </si>
  <si>
    <t>-46.4160135475945</t>
  </si>
  <si>
    <t>RUA PEREIRA BRAVA ENTRE A AVENIDA A E A AVENIDA NORDESTINA</t>
  </si>
  <si>
    <t>-23.5128927634018</t>
  </si>
  <si>
    <t>-46.4251266543161</t>
  </si>
  <si>
    <t>PRACA NOVA CURUCA ESQUINA COM RUA IPEQUI</t>
  </si>
  <si>
    <t>-23.5185039608718</t>
  </si>
  <si>
    <t>-46.4234255782045</t>
  </si>
  <si>
    <t>RUA GERONIMO BARBOSA DA SILVA 1328 DEFRONTE A RUA HERACLITO SANDANO</t>
  </si>
  <si>
    <t>-23.5200939194581</t>
  </si>
  <si>
    <t>-46.4006965046649</t>
  </si>
  <si>
    <t>ESTRADA DOM JOAO NERY 3510 PROXIMO A RUA SABINOPOLIS</t>
  </si>
  <si>
    <t>-23.523335748117</t>
  </si>
  <si>
    <t>-46.3994381049078</t>
  </si>
  <si>
    <t>RUA CANINA ESQUINA COM AVENIDA MARECHAL TITO</t>
  </si>
  <si>
    <t>-23.4947568737059</t>
  </si>
  <si>
    <t>-46.4116700745535</t>
  </si>
  <si>
    <t>RUA BIG BOYS DEFRONTE COM RUA NARA LEAO</t>
  </si>
  <si>
    <t>-23.5132844275345</t>
  </si>
  <si>
    <t>-46.4046993334691</t>
  </si>
  <si>
    <t>RUA DOS MASSEIROS ESQUINA COM A RUA CRESCENTE</t>
  </si>
  <si>
    <t>-23.5127157407843</t>
  </si>
  <si>
    <t>-46.4076794719451</t>
  </si>
  <si>
    <t>RUA CRESCENTE ESQUINA COM RUA SETE ESTRELAS</t>
  </si>
  <si>
    <t>-23.5123454664776</t>
  </si>
  <si>
    <t>-46.4092296798576</t>
  </si>
  <si>
    <t>RUA CARROSSEL 134 PROXIMO A ESQUINA COM RUA SETE ESTRELAS</t>
  </si>
  <si>
    <t>-23.5125287361928</t>
  </si>
  <si>
    <t>-46.4101239096748</t>
  </si>
  <si>
    <t>AVENIDA MARECHAL TITO ESQUINA COM AVENIDA EUCLIDES FONSECA</t>
  </si>
  <si>
    <t>-23.4939914184069</t>
  </si>
  <si>
    <t>-46.4178976038587</t>
  </si>
  <si>
    <t>AVENIDA MARECHAL TITO DEFRONTE A AVENIDA DOS IPES PROXIMO AO VIADUTO</t>
  </si>
  <si>
    <t>-23.494254104818</t>
  </si>
  <si>
    <t>-46.4149142911567</t>
  </si>
  <si>
    <t>RUA JACUPEMA ESQUINA COM A RUA ANA GROU</t>
  </si>
  <si>
    <t>-23.4981097269872</t>
  </si>
  <si>
    <t>-46.4210208571429</t>
  </si>
  <si>
    <t>RUA ALICE DILON BRAGA ESQUINA COM RUA RUI BARBOSA LIMA</t>
  </si>
  <si>
    <t>-23.5049629502711</t>
  </si>
  <si>
    <t>-46.4195258937936</t>
  </si>
  <si>
    <t>RUA GUPEVA ESQUINA COM RUA GUIRAPA</t>
  </si>
  <si>
    <t>-23.5009304397835</t>
  </si>
  <si>
    <t>-46.4212622695755</t>
  </si>
  <si>
    <t>RUA ARICANGA 397</t>
  </si>
  <si>
    <t>-23.499554230659</t>
  </si>
  <si>
    <t>-46.4111404769586</t>
  </si>
  <si>
    <t>AVENIDA DOS IPES 848 PROXIMO A ESQUINA COM RUA ERVA DE FOGO</t>
  </si>
  <si>
    <t>-23.5014418031527</t>
  </si>
  <si>
    <t>-46.4150270778588</t>
  </si>
  <si>
    <t>RUA CAVOA ESQUINA COM A RUA ESPIRITO SANTO DOURADO</t>
  </si>
  <si>
    <t>-23.4950637325288</t>
  </si>
  <si>
    <t>-46.4232524338196</t>
  </si>
  <si>
    <t>RUA PONTA DA PINHEIRA PROXIMO A RUA LAGOA CAJUBA</t>
  </si>
  <si>
    <t>-23.5088796633725</t>
  </si>
  <si>
    <t>-46.4079030962323</t>
  </si>
  <si>
    <t>AVENIDA DOS IPES 1384</t>
  </si>
  <si>
    <t>-23.4956522847221</t>
  </si>
  <si>
    <t>-46.414891931127</t>
  </si>
  <si>
    <t>RUA GRAPIRA ESQUINA COM A RUA JACUPEMA  PRACA DO GALEAO</t>
  </si>
  <si>
    <t>-23.4968701798017</t>
  </si>
  <si>
    <t>-46.4197240408705</t>
  </si>
  <si>
    <t>RUA CUPIM ESQUINA COM A RUA CARLOS GONZALES</t>
  </si>
  <si>
    <t>-23.5028675369844</t>
  </si>
  <si>
    <t>-46.4231059438773</t>
  </si>
  <si>
    <t>AVENIDA DOS IPES ESQUINA COM A RUA COQUEIRO CARANDA</t>
  </si>
  <si>
    <t>-23.5061793214095</t>
  </si>
  <si>
    <t>-46.4151595140498</t>
  </si>
  <si>
    <t>RUA CANUTO ABREU PROXIMO DA ESQUINA COM A RUA EMILIA MARENGO</t>
  </si>
  <si>
    <t>-23.5550705664472</t>
  </si>
  <si>
    <t>-46.5593214600137</t>
  </si>
  <si>
    <t>RUA VALTER GAZARRA ESQUINA COM A RUA JOSE ALEXANDRE ALMEIDA LUIZ</t>
  </si>
  <si>
    <t>-23.5576919996055</t>
  </si>
  <si>
    <t>-46.5593473263302</t>
  </si>
  <si>
    <t>RUA NELLO BINI PROXIMO DA ESQUINA COM A RUA PROFESSOR JOAO DE OLIVEIRA TORRES</t>
  </si>
  <si>
    <t>-23.5573104327637</t>
  </si>
  <si>
    <t>-46.5615424600137</t>
  </si>
  <si>
    <t>RUA ELEONORA CINTRA 1216 GRADE DO PARQUE</t>
  </si>
  <si>
    <t>-23.5612081332889</t>
  </si>
  <si>
    <t>-46.556702893172</t>
  </si>
  <si>
    <t>RUA FELISBELA GONCALVES 73</t>
  </si>
  <si>
    <t>-23.5617010693446</t>
  </si>
  <si>
    <t>-46.5588573044911</t>
  </si>
  <si>
    <t>AVENIDA DOUTOR EDUARDO COTCHING ESQUINA COM A NICOLAU CARVALHO</t>
  </si>
  <si>
    <t>-23.5624149167098</t>
  </si>
  <si>
    <t>-46.5569382434346</t>
  </si>
  <si>
    <t>RUA ALONSO CALHAMARES PROXIMO A RUA ARMINDO GUARANA</t>
  </si>
  <si>
    <t>-23.5545897990101</t>
  </si>
  <si>
    <t>-46.566609988825</t>
  </si>
  <si>
    <t>AVENIDA GUILHERME GIORGI ESQUINA COM RUA BOREAL</t>
  </si>
  <si>
    <t>-23.5568314981257</t>
  </si>
  <si>
    <t>-46.5449346547195</t>
  </si>
  <si>
    <t>RUA ELEONORA CINTRA ESQUINA COM RUA ANTONIO CARLOS LUIZ FILHO</t>
  </si>
  <si>
    <t>2021-06-24</t>
  </si>
  <si>
    <t>-23.5607116251819</t>
  </si>
  <si>
    <t>-46.5583378590446</t>
  </si>
  <si>
    <t>AVENIDA GUILHERME GIORGE 1773 NO INTERIOR DO PREDIO DA SABESP</t>
  </si>
  <si>
    <t>-23.5614018210716</t>
  </si>
  <si>
    <t>-46.5428186396866</t>
  </si>
  <si>
    <t>NO INTERIOR DO PARQUE CERET</t>
  </si>
  <si>
    <t>-23.5564253517264</t>
  </si>
  <si>
    <t>-46.5593384613633</t>
  </si>
  <si>
    <t>RUA CANUTO ABREU SN NO INTERIOR DO CLUBE RECREATIVO CERET</t>
  </si>
  <si>
    <t>-23.5577178949738</t>
  </si>
  <si>
    <t>-46.5559228143849</t>
  </si>
  <si>
    <t>-23.5586275150787</t>
  </si>
  <si>
    <t>-46.5546011187172</t>
  </si>
  <si>
    <t>-23.560294184171</t>
  </si>
  <si>
    <t>-46.5550322762566</t>
  </si>
  <si>
    <t>-23.5593941133122</t>
  </si>
  <si>
    <t>-46.5574280151764</t>
  </si>
  <si>
    <t xml:space="preserve">RUA CANUTO ABREU SN NO INTERIOR DO CLUBE RECREATIVO CERET </t>
  </si>
  <si>
    <t>-23.558369315829</t>
  </si>
  <si>
    <t>-46.5569987079145</t>
  </si>
  <si>
    <t>RUA BIMBARRA 29 PROXIMO DA ESQUINA COM A AVENIDA DOUTOR EDUARDO COTCHING</t>
  </si>
  <si>
    <t>-23.5619113243529</t>
  </si>
  <si>
    <t>-46.5557265066471</t>
  </si>
  <si>
    <t>RUA ACURUI ESQUINA COM A RUA CURUPA</t>
  </si>
  <si>
    <t>-23.5592748540699</t>
  </si>
  <si>
    <t>-46.5528794278373</t>
  </si>
  <si>
    <t>RUA CAMBERRA PROXIMO A RUA DONA VITORIA SPEERS</t>
  </si>
  <si>
    <t>-23.5647212544692</t>
  </si>
  <si>
    <t>-46.5552955124684</t>
  </si>
  <si>
    <t>AVENIDA GUILHERME GIORGI ESQUINA COM A RUA PRETORIA</t>
  </si>
  <si>
    <t>-23.5626256871272</t>
  </si>
  <si>
    <t>-46.5433497081837</t>
  </si>
  <si>
    <t>PRACA MARQUES DE NAZARE ESQUINA COM A RUA BOTUCARI</t>
  </si>
  <si>
    <t>-23.5677843002727</t>
  </si>
  <si>
    <t>-46.5472433238229</t>
  </si>
  <si>
    <t>AVENIDA DOUTOR EDUARDO COTCHING  ESQUINA COM A PRACA NOSSA SENHORA DAS VITORIAS</t>
  </si>
  <si>
    <t>-23.5635404561303</t>
  </si>
  <si>
    <t>-46.5494938728904</t>
  </si>
  <si>
    <t>RUA PRETORIA ESQUINA COM A RUA SAO CONSTANCIO</t>
  </si>
  <si>
    <t>-23.5612371708114</t>
  </si>
  <si>
    <t>-46.5500004371073</t>
  </si>
  <si>
    <t>RUA SAO JOAO GUALBERTO PROX A RUA IBAITI</t>
  </si>
  <si>
    <t>-23.562004460562</t>
  </si>
  <si>
    <t>-46.5466792798932</t>
  </si>
  <si>
    <t xml:space="preserve">PRACA NOSSA SENHORA DAS VITORIAS PROXIMO A ESQUINA COM A AVENIDA DOUTOR EDUARDO COTCHING </t>
  </si>
  <si>
    <t>-23.5640052994893</t>
  </si>
  <si>
    <t>-46.5492314316121</t>
  </si>
  <si>
    <t>RUA RIO REAL NA PRACA SANTO ARSENIO</t>
  </si>
  <si>
    <t>-23.5671496222576</t>
  </si>
  <si>
    <t>-46.5500664553005</t>
  </si>
  <si>
    <t>RUA CHAGU 193</t>
  </si>
  <si>
    <t>-23.5655157641519</t>
  </si>
  <si>
    <t>-46.5516516927063</t>
  </si>
  <si>
    <t>RUA ANJO CUSTODIO 11 PROXIMO A PRACA SETE DE FEVEREIRO</t>
  </si>
  <si>
    <t>-23.5642588704817</t>
  </si>
  <si>
    <t>-46.551484644165</t>
  </si>
  <si>
    <t>RUA MANDIORE ESQUINA COM A PRACA DOUTOR LUIZ ANTONIO DE SOUZA PROXIMO A RUA SANTA BATILDE</t>
  </si>
  <si>
    <t>-23.5700586026217</t>
  </si>
  <si>
    <t>-46.5483926288181</t>
  </si>
  <si>
    <t>RUA SALVADOR DO VALE ENFRENTE AO 117 AO LADO DO CONDOMINIO EDIFICIO 3 IRMAOS</t>
  </si>
  <si>
    <t>-23.5647578153231</t>
  </si>
  <si>
    <t>-46.5438640010046</t>
  </si>
  <si>
    <t>RUA TENENTE NILTON MARCILIO ESQUINA COM A RUA GUAXUPE</t>
  </si>
  <si>
    <t>-23.5595137781589</t>
  </si>
  <si>
    <t>-46.5504869138538</t>
  </si>
  <si>
    <t>RUA ARATANHA ESQUINA COM A RUA MONACO</t>
  </si>
  <si>
    <t>-23.555523980386</t>
  </si>
  <si>
    <t>-46.5474576007805</t>
  </si>
  <si>
    <t>RUA PLANETA PROXIMO DA ESQUINA COM A AVENIDA SAPOPEMBA</t>
  </si>
  <si>
    <t>-23.5790448723531</t>
  </si>
  <si>
    <t>-46.5408576880612</t>
  </si>
  <si>
    <t>AVENIDA SAPOPEMA 4571 ENTRE AS RUA LIMA E RUA EVARISTO LUZ AO LADO DE UMA VIELAM</t>
  </si>
  <si>
    <t>-23.5778207435555</t>
  </si>
  <si>
    <t>-46.5460938307752</t>
  </si>
  <si>
    <t>RUA ANTONIO MANOGRASSO ESQUINA COM A RUA ALDEMAR</t>
  </si>
  <si>
    <t>-23.5760728572133</t>
  </si>
  <si>
    <t>-46.5358846589396</t>
  </si>
  <si>
    <t>RUA GINO ESQUINA COM A AVENIDA RENATA</t>
  </si>
  <si>
    <t>-23.5769465618513</t>
  </si>
  <si>
    <t>-46.5419653830558</t>
  </si>
  <si>
    <t>RUA MAFALDA ESQUINA COM AVENIDA RENATA</t>
  </si>
  <si>
    <t>-23.5739183877532</t>
  </si>
  <si>
    <t>-46.5410747186801</t>
  </si>
  <si>
    <t>RUA MEDEIROS FURTADO ESQUINA COM A RUA OURICURI</t>
  </si>
  <si>
    <t>-23.5703600538507</t>
  </si>
  <si>
    <t>-46.5376078639591</t>
  </si>
  <si>
    <t>RUA JOSE DA ROCHA VITA ESQUINA COM A AVENIDA SAPOPEMBA</t>
  </si>
  <si>
    <t>-23.5744385748298</t>
  </si>
  <si>
    <t>-46.555805947305</t>
  </si>
  <si>
    <t>RUA MANOEL FERREIRA PIRES DE FRONTE COM AVENIDA CIPRIANO RODRIGUES</t>
  </si>
  <si>
    <t>-23.5777296897213</t>
  </si>
  <si>
    <t>-46.5249921707599</t>
  </si>
  <si>
    <t>RUA SEBASTIAO CORDEIRO VAZ PROXIMO A ESQUINA DA RUA ALVES DE ALMEIDA</t>
  </si>
  <si>
    <t>-23.5739780871586</t>
  </si>
  <si>
    <t>-46.5339425615219</t>
  </si>
  <si>
    <t>RUA LEONETA ENFRENTE AO NUMERO 63 CHACARA BELENZINHO</t>
  </si>
  <si>
    <t>-23.5791292600706</t>
  </si>
  <si>
    <t>-46.5362323917078</t>
  </si>
  <si>
    <t>RUA FABIO ESQUINA COM A RUA ALVES DE ALMEIDA</t>
  </si>
  <si>
    <t>-23.5727900378367</t>
  </si>
  <si>
    <t>-46.5378915741869</t>
  </si>
  <si>
    <t>RUA JOSE DA ROCHA VITA ESQUINA COM A RUA HEMISFERIO</t>
  </si>
  <si>
    <t>-23.5705710838019</t>
  </si>
  <si>
    <t>-46.5539555149643</t>
  </si>
  <si>
    <t>RUA PADRE OTTO MARIA ESQUINA COM A AVENIDA SAPOPEMBA</t>
  </si>
  <si>
    <t>-23.5756214573197</t>
  </si>
  <si>
    <t>-46.5519337149497</t>
  </si>
  <si>
    <t>RUA PLANETA ESQUINA COM A RUA FERRAZ DE CAMPOS</t>
  </si>
  <si>
    <t>-23.577002091336</t>
  </si>
  <si>
    <t>-46.5448412041344</t>
  </si>
  <si>
    <t>RUA ANGA DEFRONTE A RUA DOUTOR VITORIA SPEERS</t>
  </si>
  <si>
    <t>-23.5708314005676</t>
  </si>
  <si>
    <t>-46.54952354602</t>
  </si>
  <si>
    <t>RUA SAIGON PROXIMO A ESQUINA COM A RUA SAO TICIANO</t>
  </si>
  <si>
    <t>-23.567713038063</t>
  </si>
  <si>
    <t>-46.5437045411485</t>
  </si>
  <si>
    <t>RUA ANGA ESQUINA COM A RUA NEBULOSA</t>
  </si>
  <si>
    <t>-23.570409544771</t>
  </si>
  <si>
    <t>-46.5466338376816</t>
  </si>
  <si>
    <t>RUA MAFALDA ESQUINA COM A RUA NEBULOSA</t>
  </si>
  <si>
    <t>-23.5726000053796</t>
  </si>
  <si>
    <t>-46.5471814857151</t>
  </si>
  <si>
    <t>RUA ALEXANDRE CORREA ESQUINA COM A RUA NOSSA SENHORA DAS DORES</t>
  </si>
  <si>
    <t>-23.5692446817207</t>
  </si>
  <si>
    <t>-46.5349670031155</t>
  </si>
  <si>
    <t>RUA ALFREDO MOTTA ESQUINA COM A RUA ANTONIO PEREIRA</t>
  </si>
  <si>
    <t>-23.577092093949</t>
  </si>
  <si>
    <t>-46.5392983428407</t>
  </si>
  <si>
    <t>RUA JACURUTU ESQUINA COM A RUA IRMA CLOTILDE</t>
  </si>
  <si>
    <t>-23.5678426864417</t>
  </si>
  <si>
    <t>-46.538296242423</t>
  </si>
  <si>
    <t>AVENIDA JOAO XXIII ESQUINA COM A PRACA LUIZ CARLOS</t>
  </si>
  <si>
    <t>-23.5728402745673</t>
  </si>
  <si>
    <t>-46.5329391574186</t>
  </si>
  <si>
    <t>AVENIDA JOAO XXII ESQUINA COM A AVENIDA ANTONIO MANOGRASSO</t>
  </si>
  <si>
    <t>-23.5730647678058</t>
  </si>
  <si>
    <t>-46.5338721813617</t>
  </si>
  <si>
    <t>RUA CURUENA NO FINAL DA RUA</t>
  </si>
  <si>
    <t>-23.5757021692669</t>
  </si>
  <si>
    <t>-46.5343167169195</t>
  </si>
  <si>
    <t>RUA COMENDADOR FERREIRA DE SOUZA ESQUINA COM A RUA HELIO COELHO</t>
  </si>
  <si>
    <t>-23.5797509013845</t>
  </si>
  <si>
    <t>-46.5266711505647</t>
  </si>
  <si>
    <t>AVENIDA JOAO XXIII ESQUINA COM A AVENIDA RENATA</t>
  </si>
  <si>
    <t>-23.570542527563</t>
  </si>
  <si>
    <t>-46.5401485231382</t>
  </si>
  <si>
    <t>AVENIDA DOUTOR EDUARDO COTCHING 166 PROXIMO DA ESQUINA COM A RUA ARGONAUTAS</t>
  </si>
  <si>
    <t>-23.5686032706855</t>
  </si>
  <si>
    <t>-46.5408227209696</t>
  </si>
  <si>
    <t>RUA CAPARAO ESQUINA COM AVENIDA DEDO DE DEUS</t>
  </si>
  <si>
    <t>-23.5652283679309</t>
  </si>
  <si>
    <t>-46.5396618096728</t>
  </si>
  <si>
    <t>RUA ANAMBES ESQUINA COM A RUA ARAPOCA</t>
  </si>
  <si>
    <t>-23.5654924667331</t>
  </si>
  <si>
    <t>-46.541868158104</t>
  </si>
  <si>
    <t>RUA HAMILTON PRADO ESQUINA COM A RUA JOAO DIAS TEIXEIRA</t>
  </si>
  <si>
    <t>-23.5754103342055</t>
  </si>
  <si>
    <t>-46.5413760086976</t>
  </si>
  <si>
    <t>RUA AZEVEDO BRITO ESQUINA COM A AVENIDA FLOR DE VILA FORMOSA</t>
  </si>
  <si>
    <t>-23.5656937706185</t>
  </si>
  <si>
    <t>-46.5351622423904</t>
  </si>
  <si>
    <t>LARANJA DA CHINA</t>
  </si>
  <si>
    <t>AVENIDA TREVO DE SANTA MARIA PROXIMO A RUA DR JORGE ASSUNCAO</t>
  </si>
  <si>
    <t>-23.5126414713482</t>
  </si>
  <si>
    <t>-46.4627562508939</t>
  </si>
  <si>
    <t>RUA ARRAIAL DE SANTA BARBARA DEFRONTE A RUA PEDRO MACIEL</t>
  </si>
  <si>
    <t>-23.5054751667397</t>
  </si>
  <si>
    <t>-46.4694218796471</t>
  </si>
  <si>
    <t>LIMOEIRO</t>
  </si>
  <si>
    <t>AVENIDA AGUIA DE HAIA PROXIMA A ESQUINA DA AVENIDA IMPERADOR</t>
  </si>
  <si>
    <t>-23.5164552671283</t>
  </si>
  <si>
    <t>-46.4762274711868</t>
  </si>
  <si>
    <t>RUA VELHO CAMALEAO PROXIMO DA ESQUINA COM A RUA CLAREAR</t>
  </si>
  <si>
    <t>-23.512114099606</t>
  </si>
  <si>
    <t>-46.4749172</t>
  </si>
  <si>
    <t>RUA MARINS DOS CAETES</t>
  </si>
  <si>
    <t>-23.510298833886</t>
  </si>
  <si>
    <t>-46.4724488131261</t>
  </si>
  <si>
    <t>AVENIDA SAO MIGUEL ESQUINA COM AVENIDA AGUIA DE HAIA</t>
  </si>
  <si>
    <t>-23.5069815612466</t>
  </si>
  <si>
    <t>-46.4779285639516</t>
  </si>
  <si>
    <t>AVENIDA CEZAR AUGUSTO ROMANO ESQUINA COM A RUA ARUMIM</t>
  </si>
  <si>
    <t>-23.508280802217</t>
  </si>
  <si>
    <t>-46.4758430197257</t>
  </si>
  <si>
    <t>RUA ALEXANDRE PETTA DEFRONTE A RUA GLICERIO RODRIGUES</t>
  </si>
  <si>
    <t>-23.5080275121619</t>
  </si>
  <si>
    <t>-46.4772445515253</t>
  </si>
  <si>
    <t>AVENIDA SAO MIGUEL PROXIMO DA ESQUINA DA RUA TALES CASTANHO DE ANDRADE</t>
  </si>
  <si>
    <t>-23.5059392489731</t>
  </si>
  <si>
    <t>-46.475416819993</t>
  </si>
  <si>
    <t>RUA SANTA RITA DO JACUTINGA ESQUINA COM A RUA TITO CAPINAM</t>
  </si>
  <si>
    <t>-23.5124517636653</t>
  </si>
  <si>
    <t>-46.4755777994836</t>
  </si>
  <si>
    <t>RUA PAPIRO DO EGITO PROXIMO A RUA RIO VERDE</t>
  </si>
  <si>
    <t>-23.4862598988861</t>
  </si>
  <si>
    <t>-46.4641932511495</t>
  </si>
  <si>
    <t>RUA LOURENCO DA COSTA ESQUINA COM A RUA SILVEIRA NOBREGA</t>
  </si>
  <si>
    <t>-23.4935184916036</t>
  </si>
  <si>
    <t>-46.4561079182589</t>
  </si>
  <si>
    <t>RUA ANDRE BERNARDES ESQUINA COM A RUA MARIO NOGUEIRA</t>
  </si>
  <si>
    <t>-23.4928349048974</t>
  </si>
  <si>
    <t>-46.4599649112523</t>
  </si>
  <si>
    <t>RUA LIBERO ANCONA LOPES ESQUINA COM AVENIDA SAO MIGUEL   NO INTERIOR DA ILHA</t>
  </si>
  <si>
    <t>-23.4976549960471</t>
  </si>
  <si>
    <t>-46.460389897126</t>
  </si>
  <si>
    <t>RUA JOAO MARTINS ESQUINA COM RUA MODESTO DE SOUSA</t>
  </si>
  <si>
    <t>-23.4954598230562</t>
  </si>
  <si>
    <t>-46.4588741326171</t>
  </si>
  <si>
    <t>RUA ROBESPIERRE DE MELO ESQUINA COM A RUA JOSE RIO DA SILVA</t>
  </si>
  <si>
    <t>-23.4953439239067</t>
  </si>
  <si>
    <t>-46.4634611572037</t>
  </si>
  <si>
    <t>RUA SENADOR SIGISMUNDO GONCALVES ESQUINA COM A RUA FREI FIDELIS MOTA</t>
  </si>
  <si>
    <t>-23.4933499571354</t>
  </si>
  <si>
    <t>-46.4627593019119</t>
  </si>
  <si>
    <t>RUA JOAO MARTINS ESQUINA COM A RUA BENJAMIN MONTE</t>
  </si>
  <si>
    <t>-23.493979693958</t>
  </si>
  <si>
    <t>-46.460525665614</t>
  </si>
  <si>
    <t>PEDRO JOSÉ NUNES</t>
  </si>
  <si>
    <t>RUA VARZELANDIA ESQUINA COM A RUA DO TANGO</t>
  </si>
  <si>
    <t>-23.5060458822654</t>
  </si>
  <si>
    <t>-46.4626227715795</t>
  </si>
  <si>
    <t>AVENIDA MIMO DE VENUS ESQUINA COM A RUA FLOR DE SAO MIGUEL</t>
  </si>
  <si>
    <t>-23.5012236481238</t>
  </si>
  <si>
    <t>-46.461933508872</t>
  </si>
  <si>
    <t>AVENIDA PIRES DO RIO DEFRONTE A RUA ACUTIREMBIU</t>
  </si>
  <si>
    <t>-23.512945869789</t>
  </si>
  <si>
    <t>-46.4437797669012</t>
  </si>
  <si>
    <t>AVENIDA SAO MIGUEL COM RUA BRAZILINA TERESA</t>
  </si>
  <si>
    <t>-23.497597681129</t>
  </si>
  <si>
    <t>-46.454148267662</t>
  </si>
  <si>
    <t>RUA MANJERONA ESQUINA COM A RUA BALTAZAR SANTANA</t>
  </si>
  <si>
    <t>-23.5089479469345</t>
  </si>
  <si>
    <t>-46.4484867775386</t>
  </si>
  <si>
    <t>AVENIDA PIRES DO RIO DEFRONTE COM A RUA CHARRUA PENICHE</t>
  </si>
  <si>
    <t>-23.5121532110167</t>
  </si>
  <si>
    <t>-46.443816457023</t>
  </si>
  <si>
    <t>RUA EDIPO FELICIANO ESQUINA COM A RUA MARRELA</t>
  </si>
  <si>
    <t>-23.5027270034462</t>
  </si>
  <si>
    <t>-46.4502399748821</t>
  </si>
  <si>
    <t>CIDADE PATRIARCA</t>
  </si>
  <si>
    <t>AVENIDA DOUTOR BERNARDINO BRITO FONSECA DE CARVALHO ENTRE A RUA ANTONIO CARNEIRO LEAO E RUA AJARANI</t>
  </si>
  <si>
    <t>-23.5423914124805</t>
  </si>
  <si>
    <t>-46.5106865738226</t>
  </si>
  <si>
    <t>PRACA PORTO FERREIRA ESQUINA COM RUA PINTO MONTEIRO</t>
  </si>
  <si>
    <t>-23.5324742384532</t>
  </si>
  <si>
    <t>-46.5160938490436</t>
  </si>
  <si>
    <t>RUA COLATINA 310 PROXIMO A RUA IBIA</t>
  </si>
  <si>
    <t>-23.5325431777607</t>
  </si>
  <si>
    <t>-46.5077001731071</t>
  </si>
  <si>
    <t>RUA NOVO ARIPUANA 216</t>
  </si>
  <si>
    <t>-23.5373063101122</t>
  </si>
  <si>
    <t>-46.5144361061394</t>
  </si>
  <si>
    <t>RUA JANDAIA DO SUL ESQUINA COM A RUA NOVA AURORA</t>
  </si>
  <si>
    <t>-23.530414755087</t>
  </si>
  <si>
    <t>-46.5141525494118</t>
  </si>
  <si>
    <t>RUA ASTORGA NA CALCADA DO METRO DEFRONTE A RUA SAO BENTO DO SAPUCAI</t>
  </si>
  <si>
    <t>-23.5306606066251</t>
  </si>
  <si>
    <t>-46.5178335404606</t>
  </si>
  <si>
    <t>RUA ARCOVERDE ESQUINA COM A RUA PEIROPOLIS</t>
  </si>
  <si>
    <t>-23.536331740717</t>
  </si>
  <si>
    <t>-46.5165963842113</t>
  </si>
  <si>
    <t>RUA ASTORGA ESQUINA COM A RUA JANDAIA DO SUL</t>
  </si>
  <si>
    <t>-23.5295473436006</t>
  </si>
  <si>
    <t>-46.5144498700833</t>
  </si>
  <si>
    <t>RUA JANDAIA DO SUL ESQUINA COM A RUA GOIANDIRA</t>
  </si>
  <si>
    <t>-23.5314474194323</t>
  </si>
  <si>
    <t>-46.5135053832065</t>
  </si>
  <si>
    <t>RUA JACUIPE ESQUINA COM A RUA SAO BENTO DO SAPUCAI</t>
  </si>
  <si>
    <t>-23.5332256440729</t>
  </si>
  <si>
    <t>-46.5166884939057</t>
  </si>
  <si>
    <t>RUA SABAUDIA ESQUINA COM  RUA CAICO</t>
  </si>
  <si>
    <t>-23.5348178875252</t>
  </si>
  <si>
    <t>-46.5037917446327</t>
  </si>
  <si>
    <t>RUA CASTANHAL ESQUINA COM A RUA LUZILANDIA</t>
  </si>
  <si>
    <t>-23.5337177376498</t>
  </si>
  <si>
    <t>-46.5032396653738</t>
  </si>
  <si>
    <t>RUA SAO DONACIANO ESQUINA COM A RUA ALTO GARCAS</t>
  </si>
  <si>
    <t>-23.5355527693486</t>
  </si>
  <si>
    <t>-46.5095337510481</t>
  </si>
  <si>
    <t>RUA SAO DONATO ESQUINA COM A RUA ASSIS VALENTE</t>
  </si>
  <si>
    <t>-23.5365947238808</t>
  </si>
  <si>
    <t>-46.5130248331026</t>
  </si>
  <si>
    <t>RUA ALMEIDA BRANDAO ESQUINA COM A RUA GIL RIBEIRO</t>
  </si>
  <si>
    <t>-23.5331625570782</t>
  </si>
  <si>
    <t>-46.5132177213297</t>
  </si>
  <si>
    <t>RUA ANDRADE MAIA ESQUINA COM A RUA DESEM ALFREDO RUSSEL</t>
  </si>
  <si>
    <t>-23.5447832085094</t>
  </si>
  <si>
    <t>-46.5019331772247</t>
  </si>
  <si>
    <t>RUA CATRIMANI ESQUINA COM AVENIDA ANTONIO ESTEVAO DE CARVALHO</t>
  </si>
  <si>
    <t>-23.5379370755418</t>
  </si>
  <si>
    <t>-46.4972792052626</t>
  </si>
  <si>
    <t>AVENIDA ESTEVAO DE CARVALHO ESQUINA COM A PRACAA GUAJARA MIRIM</t>
  </si>
  <si>
    <t>-23.539740958253</t>
  </si>
  <si>
    <t>-46.4962502353425</t>
  </si>
  <si>
    <t>RUA SAO TURIBIO ESQUINA COM A RUA PALMEIRINA</t>
  </si>
  <si>
    <t>-23.542743410737</t>
  </si>
  <si>
    <t>-46.5039469790015</t>
  </si>
  <si>
    <t>AVENIDA ANTONIO ESTEVAO DE CARVALHO ESQUINA COM A PRACA DIVINOLANDIA</t>
  </si>
  <si>
    <t>-23.5279207908027</t>
  </si>
  <si>
    <t>-46.5091779090152</t>
  </si>
  <si>
    <t>RUA MATEUS DE SIQUEIRA ESQUINA COM A RUA QUINTILIANO MOREIRA CESAR</t>
  </si>
  <si>
    <t>-23.5381419726441</t>
  </si>
  <si>
    <t>-46.5065610240932</t>
  </si>
  <si>
    <t>RUA ODERCI BATISTA SOARES PROXIMO DA ESQUINA COM A RUA PEDRO MORCILLA FILHO</t>
  </si>
  <si>
    <t>-23.5365481875294</t>
  </si>
  <si>
    <t>-46.5102167599761</t>
  </si>
  <si>
    <t>RUA JAGUARIAIVA ESQUINA COM A RUA GOIANDIA</t>
  </si>
  <si>
    <t>-23.5309094627295</t>
  </si>
  <si>
    <t>-46.5123817521573</t>
  </si>
  <si>
    <t>RUA COSTA REGO ESQUINA COM A PRACA PORTO FERREIRA</t>
  </si>
  <si>
    <t>-23.5319705696762</t>
  </si>
  <si>
    <t>-46.5166291519737</t>
  </si>
  <si>
    <t>RUA ASSIS VALENTE ESQUINA COM A RUA JORDANIA</t>
  </si>
  <si>
    <t>-23.5325706397511</t>
  </si>
  <si>
    <t>-46.5149501011996</t>
  </si>
  <si>
    <t>RUA GIL RIBEIRO ESQUINA COM RUA PINTO MONTEIRO</t>
  </si>
  <si>
    <t>-23.5339498036044</t>
  </si>
  <si>
    <t>-46.5153421167002</t>
  </si>
  <si>
    <t>RUA JAGUARIAIVA 20 PROXIMO A AVENIDA ANTONIO ESTEVAO DE CARVALHO</t>
  </si>
  <si>
    <t>-23.5285120450136</t>
  </si>
  <si>
    <t>-46.5132555475454</t>
  </si>
  <si>
    <t>RUA PORTO DA FOLHA 305 DEFRONTE A ESQUINA DAS RUAS LUZILANDIA E CAMPO MAIOR</t>
  </si>
  <si>
    <t>-23.5332926098602</t>
  </si>
  <si>
    <t>-46.5012950756248</t>
  </si>
  <si>
    <t>RUA XAPURI ESQUINA COM RUA CATRIMANI</t>
  </si>
  <si>
    <t>-23.5363189765036</t>
  </si>
  <si>
    <t>-46.5019866121682</t>
  </si>
  <si>
    <t>RUA CLEVELANDIA ESQUINA COM A RUA XAPURI</t>
  </si>
  <si>
    <t>-23.5378577488991</t>
  </si>
  <si>
    <t>-46.4992316574377</t>
  </si>
  <si>
    <t>RUA SALGUEIRO ESQUINA COM A RUA URUCARA</t>
  </si>
  <si>
    <t>-23.5326631363969</t>
  </si>
  <si>
    <t>-46.5054865845463</t>
  </si>
  <si>
    <t>RUA VIEIRA PINTO ESQUINA COM A RUA ANTONIO LINDORO DA SILVA</t>
  </si>
  <si>
    <t>-23.538507902418</t>
  </si>
  <si>
    <t>-46.5359852420536</t>
  </si>
  <si>
    <t>RUA JOSE MASCARENHAS ESQUINA COM AVENIDA MELCHERT</t>
  </si>
  <si>
    <t>-23.538306756144</t>
  </si>
  <si>
    <t>-46.5281880412512</t>
  </si>
  <si>
    <t>RUA CAPITAO JOSE LEITE ESQUINA COM RUA SEBASTIAO DE ANDRADE</t>
  </si>
  <si>
    <t>-23.5399138869574</t>
  </si>
  <si>
    <t>-46.5292814742383</t>
  </si>
  <si>
    <t>RUA JOSE MENDES JUNIOR 93 ESQUINA COM A AVENIDA MARCONDES BRITO</t>
  </si>
  <si>
    <t>-23.5363611663435</t>
  </si>
  <si>
    <t>-46.5316973600295</t>
  </si>
  <si>
    <t>RUA ALCIDES PRADO ESQUINA COM A PRACA MIGUEL ARCO E FLEXA</t>
  </si>
  <si>
    <t>-23.545686566499</t>
  </si>
  <si>
    <t>-46.5239478125703</t>
  </si>
  <si>
    <t>RUA EUGENIA DE CARVALHO ESQUINA COM A RUA CORONEL PEROBA</t>
  </si>
  <si>
    <t>-23.5463682908286</t>
  </si>
  <si>
    <t>-46.5266416592675</t>
  </si>
  <si>
    <t>RUA EDGAR DE SOUZA ESQUINA COM A RUA TENENTE CORONEL SOARES NEIVA</t>
  </si>
  <si>
    <t>-23.5368161880795</t>
  </si>
  <si>
    <t>-46.5421028562762</t>
  </si>
  <si>
    <t>RUA MONSENHOR FRANCISCO DE PAULA ESQUINA COM A RUA EDGAR DE SOUZA</t>
  </si>
  <si>
    <t>-23.5362877844764</t>
  </si>
  <si>
    <t>-46.5398708842608</t>
  </si>
  <si>
    <t>RUA GUAPERUVU ESQUINA COM RUA DOUTOR SUZANO BRANDAO</t>
  </si>
  <si>
    <t>-23.5350354353004</t>
  </si>
  <si>
    <t>-46.5388861572718</t>
  </si>
  <si>
    <t>RUA PROFESSOR MARTIM DAMY ESQUINA COM AVENIDA CONDE DE FRONTIN</t>
  </si>
  <si>
    <t>-23.5327638825166</t>
  </si>
  <si>
    <t>-46.5360197995832</t>
  </si>
  <si>
    <t>RUA ANTONIO LINDOURO DA SILVA ESQUINA COM A RUA MOISES MARX</t>
  </si>
  <si>
    <t>-23.5364843084837</t>
  </si>
  <si>
    <t>-46.5361899478536</t>
  </si>
  <si>
    <t>RUA EDGAR DE SOUZA ESQUINA COM RUA CORONEL PEDRO DIAS DE CAMPOS</t>
  </si>
  <si>
    <t>-23.5351362491357</t>
  </si>
  <si>
    <t>-46.53492680874</t>
  </si>
  <si>
    <t>RUA EDGAR DE SOUZA ESQUINA COM A RUA GUAPERUVU</t>
  </si>
  <si>
    <t>-23.5360813264867</t>
  </si>
  <si>
    <t>-46.5387779355231</t>
  </si>
  <si>
    <t>RUA MOISES MARX ESQUINA COM RUA MONSENHOR FRANCISCO DE PAULA</t>
  </si>
  <si>
    <t>-23.5373122632878</t>
  </si>
  <si>
    <t>-46.5396501511349</t>
  </si>
  <si>
    <t>RUA MONSENHOR FRANCISCO DE PAULA ESQUINA COM RUA VIEIRA PINTO</t>
  </si>
  <si>
    <t>-23.5391517912867</t>
  </si>
  <si>
    <t>-46.5390142368567</t>
  </si>
  <si>
    <t>RUA VINTE E NOVE DE OUTUBRO 149</t>
  </si>
  <si>
    <t>-23.5371438227223</t>
  </si>
  <si>
    <t>-46.5334061687646</t>
  </si>
  <si>
    <t>RUA CORONEL PEDRO DIAS DE CAMPOS ESQUINA COM RUA JOSE MASCARENHAS</t>
  </si>
  <si>
    <t>-23.5387298562153</t>
  </si>
  <si>
    <t>-46.5316441726464</t>
  </si>
  <si>
    <t>RUA MOACIR ALVARO 53 ESQUINA COM RUA VISCONDE DO URUGUAI</t>
  </si>
  <si>
    <t>-23.542984680877</t>
  </si>
  <si>
    <t>-46.5242227180994</t>
  </si>
  <si>
    <t>RUA ANTONIO JUVENAL ESQUINA COM A RUA VALDEMAR CARLOS PEREIRA</t>
  </si>
  <si>
    <t>-23.5431741634504</t>
  </si>
  <si>
    <t>-46.5216533480522</t>
  </si>
  <si>
    <t>RUA EDGAR DE SOUZA 346 PROXIMO A ESQUINA DA RUA JULIO COLACO</t>
  </si>
  <si>
    <t>-23.5370759050472</t>
  </si>
  <si>
    <t>-46.543434668312</t>
  </si>
  <si>
    <t>RUA DONA MATILDE ESQUINA COM RUA JOAQUIM MARRA</t>
  </si>
  <si>
    <t>-23.5326500117864</t>
  </si>
  <si>
    <t>-46.526119198016</t>
  </si>
  <si>
    <t>AVENIDA CONDE DE FRONTIN DEFRONTE A ESTACAO VILA MATILDE</t>
  </si>
  <si>
    <t>-23.5320207812334</t>
  </si>
  <si>
    <t>-46.5303125172081</t>
  </si>
  <si>
    <t>RUA PEDRO TALARICO 276 ESQUINA COM A RUA FERNAO ALBERNAZ</t>
  </si>
  <si>
    <t>-23.5435362535938</t>
  </si>
  <si>
    <t>-46.5140366172799</t>
  </si>
  <si>
    <t>RUA GIL DE OLIVEIRA ESQUINA COM A RUA PEDRO ALEXANDRE</t>
  </si>
  <si>
    <t>-23.5354850108777</t>
  </si>
  <si>
    <t>-46.5302250342105</t>
  </si>
  <si>
    <t>RUA DOUTOR FONTES DE REZENDE ESQUINA COM A AVENIDA PADRE LOURENCO</t>
  </si>
  <si>
    <t>-23.5467378966232</t>
  </si>
  <si>
    <t>-46.5208531592675</t>
  </si>
  <si>
    <t>RUA ELISA DE CARVALHO 521 DEFRONTE A RUA RUBENS MASCARENHAS</t>
  </si>
  <si>
    <t>-23.5382622632286</t>
  </si>
  <si>
    <t>-46.5213720149601</t>
  </si>
  <si>
    <t>PRACA DOM DUARTE LEOPOLDO ESQUINA COM RUA DOUTOR PELAGIO MARQUES</t>
  </si>
  <si>
    <t>-23.5356990688047</t>
  </si>
  <si>
    <t>-46.5272500581716</t>
  </si>
  <si>
    <t>RUA DOUTOR PELAGIO MARQUES ESQUINA COM A RUA JOSE MASCARENHAS</t>
  </si>
  <si>
    <t>-23.5380222080162</t>
  </si>
  <si>
    <t>-46.5266896951931</t>
  </si>
  <si>
    <t>AVENIDA PASTEUR ESQUINA COM A AVENIDA VALDEMAR CARLOS PEREIRA</t>
  </si>
  <si>
    <t>-23.5439051909994</t>
  </si>
  <si>
    <t>-46.5198333293628</t>
  </si>
  <si>
    <t>RUA JOSE MASCARENHAS ESQUINA COM A RUA DONA ESCOLASTICA  MELCHERT DA FONSECA</t>
  </si>
  <si>
    <t>-23.537423754483</t>
  </si>
  <si>
    <t>-46.5235613334779</t>
  </si>
  <si>
    <t>RUA DONA MATILDE ESQUINA COM RUA JOSE MANUEL DA FONSECA JUNIOR</t>
  </si>
  <si>
    <t>-23.5350320550015</t>
  </si>
  <si>
    <t>-46.5255606747435</t>
  </si>
  <si>
    <t>RUA BENTO QUERINO ESQUINA COM A RUA FERNAO ALBERNAZ</t>
  </si>
  <si>
    <t>-23.542691373422</t>
  </si>
  <si>
    <t>-46.5134722624506</t>
  </si>
  <si>
    <t>RUA PEDRO TALARICO ESQUINA COM A RUA FERNAO ALBERNAZ</t>
  </si>
  <si>
    <t>-23.543568993261</t>
  </si>
  <si>
    <t>-46.5139655114806</t>
  </si>
  <si>
    <t>RUA NOVA SERRANA PROXIMO A RUA SAO PROSPERO</t>
  </si>
  <si>
    <t>-23.548316596604</t>
  </si>
  <si>
    <t>-46.5136318429386</t>
  </si>
  <si>
    <t>RUA JOAQUIM MARRA ESQUINA COM RUA DOM JOAO MARIA OGNO</t>
  </si>
  <si>
    <t>-23.5382994972373</t>
  </si>
  <si>
    <t>-46.5182057803546</t>
  </si>
  <si>
    <t>RUA DA ECONOMIA ESQUINA COM A AVENIDA NAPOLEAO</t>
  </si>
  <si>
    <t>-23.541723618363</t>
  </si>
  <si>
    <t>-46.517485353329</t>
  </si>
  <si>
    <t>RUA IPIRA ESQUINA COM A AVENIDA MENDONCA DRUMMOND</t>
  </si>
  <si>
    <t>-23.5522465438395</t>
  </si>
  <si>
    <t>-46.515900507258</t>
  </si>
  <si>
    <t>RUA PEDRO TALARICO ESQUINA COM A RUA MARIA VELTRI</t>
  </si>
  <si>
    <t>-23.5446612934833</t>
  </si>
  <si>
    <t>-46.5118894571428</t>
  </si>
  <si>
    <t>RUA PEDRO TALARICO ESQUINA COM A RUA OLGA MARINOVIC DORO</t>
  </si>
  <si>
    <t>-23.5480195026641</t>
  </si>
  <si>
    <t>-46.5067743861283</t>
  </si>
  <si>
    <t>RUA BELCHIOR DE GODOI ESQUINA COM A AVENIDA BASILIO PEREIRA DE MELO</t>
  </si>
  <si>
    <t>-23.5471715754401</t>
  </si>
  <si>
    <t>-46.5176598862929</t>
  </si>
  <si>
    <t>RUA JOSE MASCARENHAS ESQUINA COM A RUA AMARO BEZERRA CAVALCANTI</t>
  </si>
  <si>
    <t>-23.5370171742754</t>
  </si>
  <si>
    <t>-46.5215196902909</t>
  </si>
  <si>
    <t>RUA DONA MATILDE 943</t>
  </si>
  <si>
    <t>-23.5405705436975</t>
  </si>
  <si>
    <t>-46.524494077826</t>
  </si>
  <si>
    <t>RUA FELIPE SALOMAO ESQUINA COM A RUA INACIO DA COSTAZ</t>
  </si>
  <si>
    <t>-23.5449907914232</t>
  </si>
  <si>
    <t>-46.5193092029092</t>
  </si>
  <si>
    <t>RUA DONA ESCOLASTICA MELCHERT DA FONSECA ESQUINA COM A RUA DOUTOR ARMANDO BRANDAO</t>
  </si>
  <si>
    <t>-23.5339385409884</t>
  </si>
  <si>
    <t>-46.524133229778</t>
  </si>
  <si>
    <t>RUA EDGARD DE AZEVEDO SOARES ESQUINA COM A RUA AMARO BEZERRA CAVALCANTI</t>
  </si>
  <si>
    <t>-23.5351444449258</t>
  </si>
  <si>
    <t>-46.5215513040501</t>
  </si>
  <si>
    <t>RUA SANTA MAFALDA ESQUINA COM AVENIDA MARCONDES DE BRITO</t>
  </si>
  <si>
    <t>-23.5340250777438</t>
  </si>
  <si>
    <t>-46.5309904843308</t>
  </si>
  <si>
    <t>AVENIDA VALDEMAR CARLOS PEREIRA ESQUINA COM A RUA AUGUSTO DE MENDONCA</t>
  </si>
  <si>
    <t>-23.5440184505035</t>
  </si>
  <si>
    <t>-46.5162556619701</t>
  </si>
  <si>
    <t>AVENIDA PASTEUR ESQUINA COM A RUA DA ECONOMIA</t>
  </si>
  <si>
    <t>-23.5407271456481</t>
  </si>
  <si>
    <t>-46.5180788903255</t>
  </si>
  <si>
    <t>RUA DO ORFANATO ESQUINA COM A RUA DO ORATORIO</t>
  </si>
  <si>
    <t>-23.5776595166163</t>
  </si>
  <si>
    <t>-46.5768071161532</t>
  </si>
  <si>
    <t>PRACA REPUBLICA LITUANA</t>
  </si>
  <si>
    <t>-23.5896617600754</t>
  </si>
  <si>
    <t>-46.5767284458325</t>
  </si>
  <si>
    <t>AVENIDA ZELINA 236 ESQUINA COM RUA MAL MALLET</t>
  </si>
  <si>
    <t>-23.588855582094</t>
  </si>
  <si>
    <t>-46.5818191570942</t>
  </si>
  <si>
    <t>RUA ORFANATO ESQUINA COM A RUA MARQUES DE PRAIA GRANDE</t>
  </si>
  <si>
    <t>-23.5799481504747</t>
  </si>
  <si>
    <t>-46.5822492197123</t>
  </si>
  <si>
    <t>RUA GUANHAES ESQUINA COM RUA PROFESSOR GUSTAVO PIRES DE ANDRADE</t>
  </si>
  <si>
    <t>-23.586971387753</t>
  </si>
  <si>
    <t>-46.5756159073533</t>
  </si>
  <si>
    <t>RUA MERU ESQUINA COM RUA MARECHAL MALLET</t>
  </si>
  <si>
    <t>-23.5872715825007</t>
  </si>
  <si>
    <t>-46.5739374429094</t>
  </si>
  <si>
    <t>RUA JOSE DOS REIS EM FRENTE A RUA IBITIRAMA</t>
  </si>
  <si>
    <t>-23.5871227111602</t>
  </si>
  <si>
    <t>-46.5845060105046</t>
  </si>
  <si>
    <t>RUA JOSE DOS REIS ESQUINA COM A RUA INACIO</t>
  </si>
  <si>
    <t>-23.5862051543665</t>
  </si>
  <si>
    <t>-46.578489393172</t>
  </si>
  <si>
    <t>RUA CANANEIA ESQUINA COM A RUA ETTORE XIMENES</t>
  </si>
  <si>
    <t>-23.5813512408528</t>
  </si>
  <si>
    <t>-46.5827142270083</t>
  </si>
  <si>
    <t>RUA CAVOUR ESQUINA COM RUA TORQUIATO TASSO</t>
  </si>
  <si>
    <t>-23.5815725048575</t>
  </si>
  <si>
    <t>-46.577154886344</t>
  </si>
  <si>
    <t>RUA INACIO ESQUINA COM A RUA PROFESSOR GUSTAVO PIRES</t>
  </si>
  <si>
    <t>2021-09-02</t>
  </si>
  <si>
    <t>-23.5874782875247</t>
  </si>
  <si>
    <t>-46.5781565435943</t>
  </si>
  <si>
    <t>RUA PEDRO DE GODOI ESQUINA COM RUA FERREIRA DA SILVA</t>
  </si>
  <si>
    <t>2021-08-30</t>
  </si>
  <si>
    <t>-23.5876150077805</t>
  </si>
  <si>
    <t>-46.5812966342087</t>
  </si>
  <si>
    <t>RUA COELHO BARRADAS ESQUINA COM RUA AMERICO VESPUCCI</t>
  </si>
  <si>
    <t>-23.5849656437932</t>
  </si>
  <si>
    <t>-46.5782298612925</t>
  </si>
  <si>
    <t>RUA INGAI DEFRONTE A RUA DONA GENOVEVA DASCOLI</t>
  </si>
  <si>
    <t>-23.5817394160612</t>
  </si>
  <si>
    <t>-46.5851403072022</t>
  </si>
  <si>
    <t>RUA COELHO NETO ESQUINA COM A RUA CAPITAO PACHECO E CHAVES</t>
  </si>
  <si>
    <t>-23.5820139645686</t>
  </si>
  <si>
    <t>-46.5891295193668</t>
  </si>
  <si>
    <t>RUA JOSE ZAPPI ESQUINA COM A PRACAA  PADRE DAMIAO</t>
  </si>
  <si>
    <t>-23.5809701100359</t>
  </si>
  <si>
    <t>-46.5854245552708</t>
  </si>
  <si>
    <t>RUA FREI ANTONIO DE GUADALLUPE ESQUINA COM AVENIDA ZELINA ESQUINA</t>
  </si>
  <si>
    <t>-23.5904005068959</t>
  </si>
  <si>
    <t>-46.5722305334567</t>
  </si>
  <si>
    <t>AVENIDA ZELINA ESQUINA COM A RUA BARAO DO PIRAI</t>
  </si>
  <si>
    <t>-23.5900075518376</t>
  </si>
  <si>
    <t>-46.5742610040213</t>
  </si>
  <si>
    <t>RUA DOUTOR ROBERTO FEIJO PROXIMO A ESQUINA COM A PRACA SANTA HELENA</t>
  </si>
  <si>
    <t>-23.5870695132437</t>
  </si>
  <si>
    <t>-46.5802733380716</t>
  </si>
  <si>
    <t>RUA FRANCISCO POLITO ESQUINA COM A RUA JOSE DOS REIS</t>
  </si>
  <si>
    <t>-23.5853583947003</t>
  </si>
  <si>
    <t>-46.5743580262068</t>
  </si>
  <si>
    <t>RUA GRANDINO ESQUINA COM A RUA UMUARAMA</t>
  </si>
  <si>
    <t>-23.574148216673</t>
  </si>
  <si>
    <t>-46.5812774376159</t>
  </si>
  <si>
    <t>RUA GENERAL FELICIANO FALCAO 208 ESQUINA COM A RUA CAPITAO PACHECO E CHAVES</t>
  </si>
  <si>
    <t>-23.5816643789704</t>
  </si>
  <si>
    <t>-46.5882622104092</t>
  </si>
  <si>
    <t>RUA LIMEIRA ESQUINA COM A RUA PINDAMONHANGABA   PRACA SALIM LAHUD</t>
  </si>
  <si>
    <t>-23.5848172589191</t>
  </si>
  <si>
    <t>-46.5850054960391</t>
  </si>
  <si>
    <t>RUA CHAMANTA DEFRONTE A PRACA WILHELM BERNAUER</t>
  </si>
  <si>
    <t>-23.5810971161757</t>
  </si>
  <si>
    <t>-46.5894024972018</t>
  </si>
  <si>
    <t>RUA PEREIRA AVELAR ENTRE A  RUA COSTA BARROS E RUA HERMETO LIMA</t>
  </si>
  <si>
    <t>-23.6011526976681</t>
  </si>
  <si>
    <t>-46.5506386993092</t>
  </si>
  <si>
    <t>TAMANDUATEÍ</t>
  </si>
  <si>
    <t>PRACA JULIANOPOLIS</t>
  </si>
  <si>
    <t>2021-10-31</t>
  </si>
  <si>
    <t>-23.5880003719274</t>
  </si>
  <si>
    <t>-46.5879822778492</t>
  </si>
  <si>
    <t>AVENIDA PROFESSOR LUIZ IGNACIO ANHAIA MELO ENTRE AS RUAS DA IGREJA E RUA DO CENTRO</t>
  </si>
  <si>
    <t>-23.586152516497</t>
  </si>
  <si>
    <t>-46.589669511258</t>
  </si>
  <si>
    <t>RUA DIANOPOLIS DE FRENTE A RUA SAQUAREMA</t>
  </si>
  <si>
    <t>-23.5832462580511</t>
  </si>
  <si>
    <t>-46.5905030419462</t>
  </si>
  <si>
    <t>RUA AMPARO ESQUINA COM RUA PINDAMONHAGABA</t>
  </si>
  <si>
    <t>-23.587477872353</t>
  </si>
  <si>
    <t>-46.5876404853577</t>
  </si>
  <si>
    <t>AVENIDA PROFESSOR LUIZ IGNACIO DE ANHAIA MELLO ACESSO PARA AVENIDA DO ESTADO  PARALELO A AVENIDA DO ESTADO</t>
  </si>
  <si>
    <t>-23.588323355461</t>
  </si>
  <si>
    <t>-46.5900975270252</t>
  </si>
  <si>
    <t>AVENIDA PROFESSOR LUIZ IGNACIO DE ANHAIA MELLO  ESQUINA COM A RUA AMPARO</t>
  </si>
  <si>
    <t>-23.5864045483101</t>
  </si>
  <si>
    <t>-46.588985626406</t>
  </si>
  <si>
    <t>RUA JOAO AFONSO PARALELO A AVENIDA PROFESSOR LUIZ IGNACIO ANHAIA MELO</t>
  </si>
  <si>
    <t>-23.5866602465724</t>
  </si>
  <si>
    <t>-46.5894505676677</t>
  </si>
  <si>
    <t>RUA HENRY FORD 2000</t>
  </si>
  <si>
    <t>-23.5832302240816</t>
  </si>
  <si>
    <t>-46.5946192074759</t>
  </si>
  <si>
    <t>RUA PARAMU 716  SABESP BICO DE ENCHIMENTO RAPIDO</t>
  </si>
  <si>
    <t>-23.5945066642181</t>
  </si>
  <si>
    <t>-46.5660516634094</t>
  </si>
  <si>
    <t>RUA BALTAR ESQUINA COM RUA DUAS BARRAS</t>
  </si>
  <si>
    <t>2021-09-04</t>
  </si>
  <si>
    <t>-23.6013333485633</t>
  </si>
  <si>
    <t>-46.558413272619</t>
  </si>
  <si>
    <t>RUA RIO DUAS BARRAS 68 ESQUINA COM RUA VILA PRUDENTE</t>
  </si>
  <si>
    <t>-23.593645226238</t>
  </si>
  <si>
    <t>-46.5828074712827</t>
  </si>
  <si>
    <t>RUA VILA PRUDENTE ESQUINA COM RUA DOS PINTORES</t>
  </si>
  <si>
    <t>-23.5941142918349</t>
  </si>
  <si>
    <t>-46.5823545686926</t>
  </si>
  <si>
    <t>RUA DOS PINTORES 63 PROXIMO A RUA VILA PRUDENTE</t>
  </si>
  <si>
    <t>-23.5942148723529</t>
  </si>
  <si>
    <t>-46.5813783699309</t>
  </si>
  <si>
    <t>RUA VIANA DO CASTELO ESQUINA COM RUA BALTAR</t>
  </si>
  <si>
    <t>-23.6046357010947</t>
  </si>
  <si>
    <t>-46.5637456466353</t>
  </si>
  <si>
    <t>RUA GRANITO ESQUINA COM RUA GUACUMA</t>
  </si>
  <si>
    <t>-23.6088136760758</t>
  </si>
  <si>
    <t>-46.5560207485063</t>
  </si>
  <si>
    <t>RUA GRADAU ESQUINA COM A RUA DAS COBEIAS</t>
  </si>
  <si>
    <t>-23.5970897264604</t>
  </si>
  <si>
    <t>-46.5746569140671</t>
  </si>
  <si>
    <t>RUA GRADAU ESQUINA COM RUA RUA TUJUPI</t>
  </si>
  <si>
    <t>-23.6001959508512</t>
  </si>
  <si>
    <t>-46.5755237721912</t>
  </si>
  <si>
    <t>RUA IBITIRAMA 2012</t>
  </si>
  <si>
    <t>-23.5969276902649</t>
  </si>
  <si>
    <t>-46.5773115485728</t>
  </si>
  <si>
    <t>RUA VISCONDE DE ALCANTARA ESQUINA COM A RUA DOUTOR VICENTI GIACAGLIANI</t>
  </si>
  <si>
    <t>-23.6032425555573</t>
  </si>
  <si>
    <t>-46.5674630501488</t>
  </si>
  <si>
    <t>RUA DAS GIESTAS 1063 ESQUINA COM RUA SANTO AMAZO</t>
  </si>
  <si>
    <t>-23.5959675219617</t>
  </si>
  <si>
    <t>-46.5699667471112</t>
  </si>
  <si>
    <t>RUA LEONOR MONTEIRO DA SILVA ESQUINA COM RUA BARAO ANIBAL PEPI</t>
  </si>
  <si>
    <t>-23.5892818489769</t>
  </si>
  <si>
    <t>-46.5866975477275</t>
  </si>
  <si>
    <t>RUA SANTA BEATRIZ ESQUINA COM AVENIDA DR FRANCISCO MESQUITA</t>
  </si>
  <si>
    <t>-23.5977501903791</t>
  </si>
  <si>
    <t>-46.5800975460608</t>
  </si>
  <si>
    <t>RUA DAS HERAS ESQUINA COM RUA CAMPOS NOVOS</t>
  </si>
  <si>
    <t>-23.5924427519686</t>
  </si>
  <si>
    <t>-46.5711573242293</t>
  </si>
  <si>
    <t>RUA VISCONDE DE CAETE ESQUINA COM A RUA TAMATAIA</t>
  </si>
  <si>
    <t>-23.6051282951405</t>
  </si>
  <si>
    <t>-46.5610294583334</t>
  </si>
  <si>
    <t>RUA INDUSTRIAL DEFRONTE A RUA DAS PAPOULAS</t>
  </si>
  <si>
    <t>-23.6019221913238</t>
  </si>
  <si>
    <t>-46.5690186044487</t>
  </si>
  <si>
    <t>RUA TAICURE ESQUINA COM RUA BARAO DE TRAMANDAI</t>
  </si>
  <si>
    <t>-23.6013600348727</t>
  </si>
  <si>
    <t>-46.5641054127976</t>
  </si>
  <si>
    <t>RUA PARAMU 500 ESQUINA RUA FERNANDES SARDINHA</t>
  </si>
  <si>
    <t>-23.5957788280361</t>
  </si>
  <si>
    <t>-46.5671687936972</t>
  </si>
  <si>
    <t>RUA POA ESQUINA COM RUA SAO LUIS</t>
  </si>
  <si>
    <t>-23.5905084385408</t>
  </si>
  <si>
    <t>-46.5825475849966</t>
  </si>
  <si>
    <t>RUA DAS GIESTAS ESQUINA COM RUA IBITIRAMA</t>
  </si>
  <si>
    <t>-23.5937537004272</t>
  </si>
  <si>
    <t>-46.5790288654944</t>
  </si>
  <si>
    <t>RUA MANDERA ESQUINA COM RUA  NAIRU</t>
  </si>
  <si>
    <t>-23.6028620808549</t>
  </si>
  <si>
    <t>-46.5668371369048</t>
  </si>
  <si>
    <t>RUA BARAO DE ITAPOA 218 ESQUINA COM RUA SARGENTO MOR ANTONIO TEIXEIRA</t>
  </si>
  <si>
    <t>-23.6000174743252</t>
  </si>
  <si>
    <t>-46.5645684481617</t>
  </si>
  <si>
    <t>RUA DOUTOR VICENTE GIACAGLINI ESQUINA COM RUA MARIA DO CARMO</t>
  </si>
  <si>
    <t>-23.5983717969788</t>
  </si>
  <si>
    <t>-46.5657967591916</t>
  </si>
  <si>
    <t>RUA ORLANDO ESQUINA COM A RUA SAVIGNI</t>
  </si>
  <si>
    <t>-23.6008603016882</t>
  </si>
  <si>
    <t>-46.5672489026786</t>
  </si>
  <si>
    <t>RUA CATUABA ESQUINA COM RUA RUA TAPAGI</t>
  </si>
  <si>
    <t>-23.6007257731912</t>
  </si>
  <si>
    <t>-46.5609831508185</t>
  </si>
  <si>
    <t>RUA SAO PROCOPIO ESQUINA COM A RUA BALTAR</t>
  </si>
  <si>
    <t>-23.6021972109144</t>
  </si>
  <si>
    <t>-46.5594536058036</t>
  </si>
  <si>
    <t>RUA VIANA DO CASTELO ESQUINA COM RUA ANTENAS</t>
  </si>
  <si>
    <t>-23.6060774388906</t>
  </si>
  <si>
    <t>-46.5623487327381</t>
  </si>
  <si>
    <t>RUA BARAO DE ITAPOA ESQUINCA COM A RUA CAMPO BELO  PRACA BELCHIOR DE BORBA</t>
  </si>
  <si>
    <t>-23.5990964098362</t>
  </si>
  <si>
    <t>-46.5618410296536</t>
  </si>
  <si>
    <t>RUA TOMAS IZZO ESQUINA COM A PRACA GONCALVES JUNIOR</t>
  </si>
  <si>
    <t>-23.5899351467163</t>
  </si>
  <si>
    <t>-46.5854769318109</t>
  </si>
  <si>
    <t>RUA GUACUMA ESQUINA COM RUA MIGUEL LINO DE MORAIS</t>
  </si>
  <si>
    <t>-23.6053708665691</t>
  </si>
  <si>
    <t>-46.5558615071429</t>
  </si>
  <si>
    <t>RUA OLIMPIA 325 PROXIMO A RUA HERMETO LIMA</t>
  </si>
  <si>
    <t>-23.6001516325932</t>
  </si>
  <si>
    <t>-46.5529197886427</t>
  </si>
  <si>
    <t>RUA CARUSO ESQUINA COM RUA GASPAR BARRETO</t>
  </si>
  <si>
    <t>-23.6027392601707</t>
  </si>
  <si>
    <t>-46.552897165625</t>
  </si>
  <si>
    <t>RUA HERMETO LIMA ESQUINA COM A RUA SAO CARLOS BARTOLOMEU</t>
  </si>
  <si>
    <t>-23.6000524494558</t>
  </si>
  <si>
    <t>-46.5541248860116</t>
  </si>
  <si>
    <t>RUA PADRE RAIMUNDO DA SILVA ESQUINA COM A RUA JOAQUIM DA ROCHA</t>
  </si>
  <si>
    <t>-23.6073691629977</t>
  </si>
  <si>
    <t>-46.5589154186756</t>
  </si>
  <si>
    <t>RUA PADRE RAIMUNDO DA SILVA ESQUINA COM A RUA MATA MACHADO</t>
  </si>
  <si>
    <t>-23.6056916783251</t>
  </si>
  <si>
    <t>-46.5588940443452</t>
  </si>
  <si>
    <t>RUA COSTA BARROS ESQUINA COM A RUA GASPAR BARRETO</t>
  </si>
  <si>
    <t>-23.5998666497156</t>
  </si>
  <si>
    <t>-46.5512714434557</t>
  </si>
  <si>
    <t>RUA DOUTOR VICENTE GIACAGLINI 541</t>
  </si>
  <si>
    <t>-23.599715244989</t>
  </si>
  <si>
    <t>-46.5686136437092</t>
  </si>
  <si>
    <t>RUA PITINGA ESUQINA COM A RUA DAS GIESTAS</t>
  </si>
  <si>
    <t>-23.5962656348717</t>
  </si>
  <si>
    <t>-46.5738230355352</t>
  </si>
  <si>
    <t>RUA RIO DO PEIXE ESQUINA COM AVENIDA ZELINA</t>
  </si>
  <si>
    <t>-23.590210720552</t>
  </si>
  <si>
    <t>-46.5753218610208</t>
  </si>
  <si>
    <t>AVENIDA ZELINA ESQUINA COM R BARAO DE JUPARANA</t>
  </si>
  <si>
    <t>-23.5894698238631</t>
  </si>
  <si>
    <t>-46.5799120140706</t>
  </si>
  <si>
    <t>AVENIDA ZELINA 142</t>
  </si>
  <si>
    <t>-23.5890914677543</t>
  </si>
  <si>
    <t>-46.5826043036808</t>
  </si>
  <si>
    <t>RUA COSTA BARROS ESQUINA COM A RUA IGUARA</t>
  </si>
  <si>
    <t>2021-09-09</t>
  </si>
  <si>
    <t>-23.5960122160879</t>
  </si>
  <si>
    <t>-46.5564591194286</t>
  </si>
  <si>
    <t>RUA RAINULCULOS ENFRENTE AO NUMERO 102 VILA ALPINA</t>
  </si>
  <si>
    <t>-23.5958027898612</t>
  </si>
  <si>
    <t>-46.564484422139</t>
  </si>
  <si>
    <t>RUA CASTA BARROS ESQUINA COM A RUA MORAPENA</t>
  </si>
  <si>
    <t>-23.5976162070726</t>
  </si>
  <si>
    <t>-46.5623356469501</t>
  </si>
  <si>
    <t>RUA MATUPIRI ESQUINA COM A RUA TRES PEDRAS</t>
  </si>
  <si>
    <t>-23.5979829617331</t>
  </si>
  <si>
    <t>-46.5581200384651</t>
  </si>
  <si>
    <t>RUA JUSTINIANO ESQUINA COM A RUA MARIA DO CARMO</t>
  </si>
  <si>
    <t>2021-09-12</t>
  </si>
  <si>
    <t>-23.599107463264</t>
  </si>
  <si>
    <t>-46.559413512804</t>
  </si>
  <si>
    <t>RUA MARIA TAVARES ESQUINA COM RUA DAS CAMPANULAS</t>
  </si>
  <si>
    <t>-23.5959713747953</t>
  </si>
  <si>
    <t>-46.5596275340532</t>
  </si>
  <si>
    <t>RUA BARAO DE ITAPOA ESQUINA COM A RUA PORTO SABAUNA</t>
  </si>
  <si>
    <t>-23.6016169603954</t>
  </si>
  <si>
    <t>-46.5655634479745</t>
  </si>
  <si>
    <t>RUA BAIA GRANDE 722</t>
  </si>
  <si>
    <t>-23.6024183094263</t>
  </si>
  <si>
    <t>-46.5707448470238</t>
  </si>
  <si>
    <t>RUA FRANCISCO RABELO ESQUINA COM A RUA MARQUES DE SANTO AMARO</t>
  </si>
  <si>
    <t>-23.6062529365082</t>
  </si>
  <si>
    <t>-46.5653166111732</t>
  </si>
  <si>
    <t>RUA VISCONDE DE CAETE ESQUINA COM A RUA DUAS BARRAS</t>
  </si>
  <si>
    <t>-23.6032132466287</t>
  </si>
  <si>
    <t>-46.5574237131697</t>
  </si>
  <si>
    <t>RUA MARQUES DE SANTO AMARO 432 DEFRONTE A PRACA MARIO BULCAO</t>
  </si>
  <si>
    <t>-23.606932630689</t>
  </si>
  <si>
    <t>-46.5646284493989</t>
  </si>
  <si>
    <t>RUA COSTA BARROS ESQUINA COM A RUA BARAO DE TRAMANDAI</t>
  </si>
  <si>
    <t>-23.5975575212511</t>
  </si>
  <si>
    <t>-46.5596466073037</t>
  </si>
  <si>
    <t>ESTRADA CORONEL JOSE GLADIADOR DEFRONTE A RUA FLORENCIO CARPI</t>
  </si>
  <si>
    <t>-23.4369211004513</t>
  </si>
  <si>
    <t>-46.7926364817854</t>
  </si>
  <si>
    <t>AVENIDA ITABERABA ESQUINA COM RUA BACURITEUA</t>
  </si>
  <si>
    <t>-23.477096866922</t>
  </si>
  <si>
    <t>-46.6782057710916</t>
  </si>
  <si>
    <t>RUA DOS SILVAS ESQUINA COM RUA PARAPUA</t>
  </si>
  <si>
    <t>-23.4772576229006</t>
  </si>
  <si>
    <t>-46.6912609734526</t>
  </si>
  <si>
    <t>RUA INACIO XAVIER DE CARVALHO PROXIMO A ESQUINA COM RUA OSCAR ROSAS RIBEIRO</t>
  </si>
  <si>
    <t>-23.4757488954019</t>
  </si>
  <si>
    <t>-46.6762546852311</t>
  </si>
  <si>
    <t>AVENIDA DEPUTADO CANTIDIO SAMPAIO ESQUINA COM RUA HENRY CHARLES POTEL</t>
  </si>
  <si>
    <t>-23.4700508573339</t>
  </si>
  <si>
    <t>-46.6768924697921</t>
  </si>
  <si>
    <t>RUA TIRO AO POMBO 402 ESQUINA COM A RUA COLUMBIA NO INTERIOR DO CONDOMINIO JOAO PAULO I TERCEIRA FASE NA PORTARIA</t>
  </si>
  <si>
    <t>-23.4716210030785</t>
  </si>
  <si>
    <t>-46.6874295521447</t>
  </si>
  <si>
    <t>RUA RUI DE MORAIS APOCALIPSE 312 NO INTERIOR DO CONDOMINIO DOUTOR BOGHOS BOJHOSSIAN AO LADO DO BLOCO 18 ENTRE AS VAGAS DE ESTACIONAMENTO 51 E 43</t>
  </si>
  <si>
    <t>-23.4724103505547</t>
  </si>
  <si>
    <t>-46.6854362015172</t>
  </si>
  <si>
    <t>RUA GENERAL MANUEL CAVALCANTI PROENCA ESQUINA COM RUA DESDEMONA GRECHI LOSCHIAVO</t>
  </si>
  <si>
    <t>-23.4741987298123</t>
  </si>
  <si>
    <t>-46.6741776520222</t>
  </si>
  <si>
    <t>AVENIDA JOAO PAULO I ESQUINA COM RUA TENORIO CAVALCANTE</t>
  </si>
  <si>
    <t>-23.4750878561274</t>
  </si>
  <si>
    <t>-46.6846373928773</t>
  </si>
  <si>
    <t>RUA DEPUTADO FERNANDO FERRARI ESQUINA COM A RUA OUVIDIO JOSE ANTONIO SANTANA</t>
  </si>
  <si>
    <t>-23.4683053694995</t>
  </si>
  <si>
    <t>-46.672629412751</t>
  </si>
  <si>
    <t>JARDIM DAMASCENO</t>
  </si>
  <si>
    <t>RUA AGENOR ALVES MEIRA 1 ESQUINA COM AVENIDA GENERAL PENHA BRASIL</t>
  </si>
  <si>
    <t>-23.4582915984225</t>
  </si>
  <si>
    <t>-46.6755006348576</t>
  </si>
  <si>
    <t>RUA ELISEU REINALDO MORAES VIEIRA 290 AO LADO DA CAIXA DAGUA DA ESCOLA</t>
  </si>
  <si>
    <t>-23.4464246508869</t>
  </si>
  <si>
    <t>-46.7027678422988</t>
  </si>
  <si>
    <t>RUA TALHA MAR ESQUINA COM A RUA HUGO ITALO MERIGO</t>
  </si>
  <si>
    <t>-23.4515013892272</t>
  </si>
  <si>
    <t>-46.6978085910728</t>
  </si>
  <si>
    <t>AVENIDA DEPUTADO CANTIDIO SAMPAIO PROXIMO A ESQUINA COM A RUA JOSE GERVASIO SOUZA</t>
  </si>
  <si>
    <t>-23.4453523670274</t>
  </si>
  <si>
    <t>-46.7053144118203</t>
  </si>
  <si>
    <t>RUA GERALDO MARINO DEFRONTE COM RUA VITANTONIO MASTROROSA</t>
  </si>
  <si>
    <t>-23.4536198350717</t>
  </si>
  <si>
    <t>-46.6926440624826</t>
  </si>
  <si>
    <t>VILA SOUZA</t>
  </si>
  <si>
    <t>RUA ENCRUZILHADA DO SUL PROXIMO DA ESQUINA DA RUA JOAQUIM DE SOUZA BRITO</t>
  </si>
  <si>
    <t>-23.4613934301434</t>
  </si>
  <si>
    <t>-46.7071076412934</t>
  </si>
  <si>
    <t>AVENIDA DEPUTADO CANTIDIO SAMPAIO ESQUINA COM A RUA JOAO CORREA CASTRO</t>
  </si>
  <si>
    <t>-23.4433632144173</t>
  </si>
  <si>
    <t>-46.7057371394012</t>
  </si>
  <si>
    <t>RUA MONTE ALEGRE DO SUL 1232 PROXIMO DA ESQUINA DA AVENIDA DEPUTADO DOUTOR CANTIDIO SAMPAIO</t>
  </si>
  <si>
    <t>-23.4391860233633</t>
  </si>
  <si>
    <t>-46.7087359617527</t>
  </si>
  <si>
    <t>RUA ROSALVO JOSE DA SILVA 195 ENTRE AS RUA LEONIDAS MORMELLO E RUA HONORATO DAS NEVES</t>
  </si>
  <si>
    <t>-23.4564768841704</t>
  </si>
  <si>
    <t>-46.7031688509331</t>
  </si>
  <si>
    <t>RUA DOS PIONEIROS PROXIMA A TRAVESSA MARIA ISABEL BALTAR DA ROCHA</t>
  </si>
  <si>
    <t>-23.4808174854256</t>
  </si>
  <si>
    <t>-46.6668902872484</t>
  </si>
  <si>
    <t>RUA ALMIR RODRIGUES 303 ESQUINA COM AS RUAS BARTOLOMEU CORDOVIL E DOUTOR IVAN PINHEIRO</t>
  </si>
  <si>
    <t>-23.4687295015262</t>
  </si>
  <si>
    <t>-46.6530115246205</t>
  </si>
  <si>
    <t>RUA FRANKLIN DO AMARAL 1372 ESQUINA COM RUA PEDRO VITORINO</t>
  </si>
  <si>
    <t>-23.4754078035264</t>
  </si>
  <si>
    <t>-46.6510456927422</t>
  </si>
  <si>
    <t>AVENIDA PARADA PINTO ESQUINA COM RUA VINTE DE JULHO</t>
  </si>
  <si>
    <t>-23.4699667544404</t>
  </si>
  <si>
    <t>-46.6548754753769</t>
  </si>
  <si>
    <t>AVENIDA JOAO MARCELINO BRANCO ESQUINA COM RUA DUPLO CEU</t>
  </si>
  <si>
    <t>-23.4763387662537</t>
  </si>
  <si>
    <t>-46.6688938593231</t>
  </si>
  <si>
    <t>RUA JOAO ROQUE ESQUINA COM PRACA GUIDO GIOVANNI ROCCHI</t>
  </si>
  <si>
    <t>-23.4802561569839</t>
  </si>
  <si>
    <t>-46.6561003857128</t>
  </si>
  <si>
    <t>AVENIDA IMIRIM ESQUINA COM RUA MANUEL PITTA</t>
  </si>
  <si>
    <t>-23.4796217576126</t>
  </si>
  <si>
    <t>-46.6589111909366</t>
  </si>
  <si>
    <t xml:space="preserve">RUA ELZA GUIMARAES ENTRE A RUA ACHILES ANTUNES DE LEMOS E A TRAVESSA ANTONIO VERSO </t>
  </si>
  <si>
    <t>-23.4688160643097</t>
  </si>
  <si>
    <t>-46.6513306798222</t>
  </si>
  <si>
    <t>RUA FELISBERTO FREIRE 555 PROXIMO A ESQUINA COM RUA ALMIR RODRIGUES</t>
  </si>
  <si>
    <t>-23.4660775996066</t>
  </si>
  <si>
    <t>-46.6553304764093</t>
  </si>
  <si>
    <t>RUA GENERAL BITTENCOURT ESQUINA COM RUA JOAO LOPES AMORIM</t>
  </si>
  <si>
    <t>-23.4717339051215</t>
  </si>
  <si>
    <t>-46.6616645110884</t>
  </si>
  <si>
    <t>RUA JOAO LOPES DE AMORIM ESQUINA COM RUA FRANKLIN DO AMARAL</t>
  </si>
  <si>
    <t>-23.4756180021262</t>
  </si>
  <si>
    <t>-46.6597372721402</t>
  </si>
  <si>
    <t>RUA DOS MACUXIS ESQUINA COM RUA ALBERTO PIMENTEL</t>
  </si>
  <si>
    <t>-23.4730344790626</t>
  </si>
  <si>
    <t>-46.658418564955</t>
  </si>
  <si>
    <t>RUA FELISBERTO FREIRE ESQUINA COM RUA MIGUEL DE LEMOS</t>
  </si>
  <si>
    <t>-23.4657951311928</t>
  </si>
  <si>
    <t>-46.6548897905993</t>
  </si>
  <si>
    <t>RUA INDIO PERY ESQUINA COM A RUA ALMIRANTE PARAGUACU DE SA</t>
  </si>
  <si>
    <t>-23.4642152832376</t>
  </si>
  <si>
    <t>-46.6498628617559</t>
  </si>
  <si>
    <t>RUA NICOLA NICODEMO ESQUINA COM AVENIDA LASAR SEGALL</t>
  </si>
  <si>
    <t>2021-09-26</t>
  </si>
  <si>
    <t>-23.4831195330284</t>
  </si>
  <si>
    <t>-46.6585338795229</t>
  </si>
  <si>
    <t>RUA NICOLAU TOLENTINO DE ALMEIDA 2 PROXIMO A ESQUINA COM AVENIDA PARADA PINTO</t>
  </si>
  <si>
    <t>-23.4687883291074</t>
  </si>
  <si>
    <t>-46.6643828806538</t>
  </si>
  <si>
    <t>RUA SANTA LUCRECIA DE AGUIAR ESQUINA COM RUA JORN OCTAVIO RIBEIRO PENA BRANCA</t>
  </si>
  <si>
    <t>-23.4646525865698</t>
  </si>
  <si>
    <t>-46.6601784443064</t>
  </si>
  <si>
    <t>RUA FERNANDO PESSOA 404 DEFRONTE COM A RUA GIL VICENTE</t>
  </si>
  <si>
    <t>-23.4673844357552</t>
  </si>
  <si>
    <t>-46.6622931980384</t>
  </si>
  <si>
    <t>RUA JUARANA ESQUINA COM RUA DO CANAVIAL</t>
  </si>
  <si>
    <t>-23.4742115446357</t>
  </si>
  <si>
    <t>-46.6639225337295</t>
  </si>
  <si>
    <t>RUA GENERAL ISIDORO DIAS LOPES ENTRE A AVENIDA PARADA PINTO E RUA INDIO PERI</t>
  </si>
  <si>
    <t>-23.466625359208</t>
  </si>
  <si>
    <t>-46.6480832659479</t>
  </si>
  <si>
    <t>RUA EVARISTO ROQUE ESQUINA COM A RUA SOARES DOS REIS</t>
  </si>
  <si>
    <t>-23.4766079311666</t>
  </si>
  <si>
    <t>-46.6531995764722</t>
  </si>
  <si>
    <t>RUA CRISTOVAO FERNANDES NO FINAL DA RUA</t>
  </si>
  <si>
    <t>-23.4661708960929</t>
  </si>
  <si>
    <t>-46.6561795753301</t>
  </si>
  <si>
    <t>JARDIM PERI</t>
  </si>
  <si>
    <t>RUA SOLAR 290 DEFRONTE A EMEI PROFESSORA MARIA LUCIA PETIT DA SILVA PROXIMO A ESQUINA COM A RUA LEMBRANCA</t>
  </si>
  <si>
    <t>-23.4550111752456</t>
  </si>
  <si>
    <t>-46.6568758324715</t>
  </si>
  <si>
    <t>RUA OLHOS DO CORACAO 166 DEFRONTE COM RUA ESFINGE</t>
  </si>
  <si>
    <t>-23.4564172963361</t>
  </si>
  <si>
    <t>-46.6575038472282</t>
  </si>
  <si>
    <t>RUA DOM AQUINO 190 PROXIMO A ESQUINA COM RUA ANFITRIAO</t>
  </si>
  <si>
    <t>-23.4558706470132</t>
  </si>
  <si>
    <t>-46.6593539234046</t>
  </si>
  <si>
    <t>RUA MINISTRO LINS DE BARROS DEFRONTE A RUA DOUTOR FRANCISCO EUGENIO DO AMARAL</t>
  </si>
  <si>
    <t>-23.455969301971</t>
  </si>
  <si>
    <t>-46.6677601355216</t>
  </si>
  <si>
    <t>RUA OSWALDO RIBEIRO JUNQUEIRA ESQUINA COM A AVENIDA GENERAL PENHA BRASIL</t>
  </si>
  <si>
    <t>-23.4597585233712</t>
  </si>
  <si>
    <t>-46.6730392940899</t>
  </si>
  <si>
    <t>AVENIDA GENERAL PENHA BRASIL ESQUINA COM RUA JOSE PEDRO D ORO</t>
  </si>
  <si>
    <t>-23.466742625015</t>
  </si>
  <si>
    <t>-46.6690961225967</t>
  </si>
  <si>
    <t>RUA XAVANTINA ESQUINA COM RUA NOBREGA DE SOUZA COUTINHO</t>
  </si>
  <si>
    <t>-23.459629690716</t>
  </si>
  <si>
    <t>-46.6590759151172</t>
  </si>
  <si>
    <t>RUA ANDUIA ESQUINA COM AVENIDA ANTONIA MARTINS</t>
  </si>
  <si>
    <t>-23.4627981697343</t>
  </si>
  <si>
    <t>-46.6566207544753</t>
  </si>
  <si>
    <t>AVENIDA ORDEM E PROGRESSO DEFRONTE A ESTACAO DE BOMBEIRO DA CASA VERDE</t>
  </si>
  <si>
    <t>-23.5122746497846</t>
  </si>
  <si>
    <t>-46.6661800936852</t>
  </si>
  <si>
    <t>RUA MANOEL GARCIA 1 ESQUINA COM RUA PROFESSOR CASTRO ALVES</t>
  </si>
  <si>
    <t>-23.5045998534958</t>
  </si>
  <si>
    <t>-46.6540952847326</t>
  </si>
  <si>
    <t>RUA URBANO DUARTE  ESQUINA COM A RUA MANGARATU</t>
  </si>
  <si>
    <t>-23.5091393056329</t>
  </si>
  <si>
    <t>-46.654557308445</t>
  </si>
  <si>
    <t>AVENIDA CASA VERDE 3119 ESQUINA COM RUA SAMARITA</t>
  </si>
  <si>
    <t>-23.5069287427976</t>
  </si>
  <si>
    <t>-46.6688764797783</t>
  </si>
  <si>
    <t>RUA JAGUARETE ESQUINA COM A RUA JOAO RUDGE</t>
  </si>
  <si>
    <t>-23.5107556688292</t>
  </si>
  <si>
    <t>-46.6573814473125</t>
  </si>
  <si>
    <t>RUA ANTONIO LOPES MARIN 150 PROXIMO A RUA ATILIO PIFFER</t>
  </si>
  <si>
    <t>-23.5097044584144</t>
  </si>
  <si>
    <t>-46.659466910558</t>
  </si>
  <si>
    <t>RUA ATILIO PIFFER 7 ESQUINA COM RUA IAPO</t>
  </si>
  <si>
    <t>-23.5144974642214</t>
  </si>
  <si>
    <t>-46.660864934507</t>
  </si>
  <si>
    <t>RUA DAS TANGERINAS 375 ESQUNA COM AVENIDA ENGENHEIRO CAETANO ALVARES</t>
  </si>
  <si>
    <t>-23.5035186918377</t>
  </si>
  <si>
    <t>-46.6668835404325</t>
  </si>
  <si>
    <t>RUA JOAO RUDGE 435 PROXIMO A RUA MARAMBAIA</t>
  </si>
  <si>
    <t>-23.512628338061</t>
  </si>
  <si>
    <t>-46.6564301026091</t>
  </si>
  <si>
    <t>RUA JOSE RANGEL CAMARGO ESQUNA COM RUA GUARIZINHO</t>
  </si>
  <si>
    <t>-23.5009828917716</t>
  </si>
  <si>
    <t>-46.6577887618013</t>
  </si>
  <si>
    <t>RUA JOSE MALHADO FILHO ESQUINA COM RUA JUCA FLORIANO</t>
  </si>
  <si>
    <t>-23.499590946736</t>
  </si>
  <si>
    <t>-46.661620776888</t>
  </si>
  <si>
    <t>AVENIDA CASA VERDE 2312 ESQUINA COM RUA MANOEL ALVARES</t>
  </si>
  <si>
    <t>-23.5045308527752</t>
  </si>
  <si>
    <t>-46.6626638809776</t>
  </si>
  <si>
    <t>RUA GUIOMAR DA ROCHA ESQUINA COM A RUA NORDESTE</t>
  </si>
  <si>
    <t>-23.5039464020709</t>
  </si>
  <si>
    <t>-46.6644747071082</t>
  </si>
  <si>
    <t>RUA PAULINA VERGUEIRO RUDGE 1 ESQUINA COM RUA URBANO DUARTE</t>
  </si>
  <si>
    <t>-23.5068234178032</t>
  </si>
  <si>
    <t>-46.6549027814673</t>
  </si>
  <si>
    <t>AVENIDA CASA VERDE ESQUINA COM RUA FREDERICO PENTEADO JUNIOR</t>
  </si>
  <si>
    <t>-23.5062955825548</t>
  </si>
  <si>
    <t>-46.6662368258674</t>
  </si>
  <si>
    <t>AVENIDA ORDEM E PROGRESSO 1065</t>
  </si>
  <si>
    <t>-23.5114713981898</t>
  </si>
  <si>
    <t>-46.6664419039924</t>
  </si>
  <si>
    <t>PRACA DO CENTENARIO ESQUINA COM RUA DO BARORE</t>
  </si>
  <si>
    <t>-23.508686445675</t>
  </si>
  <si>
    <t>-46.6570408952755</t>
  </si>
  <si>
    <t>RUA ANTONIETA ESQUINA ENTRE AS RUAS RELIQUIA E RUA LUCILA</t>
  </si>
  <si>
    <t>-23.5051573177219</t>
  </si>
  <si>
    <t>-46.661423417213</t>
  </si>
  <si>
    <t>AVENIDA CASA VERDE ESQUINA COM A RUA IATAI</t>
  </si>
  <si>
    <t>-23.5058104000793</t>
  </si>
  <si>
    <t>-46.6634341567069</t>
  </si>
  <si>
    <t>RUA JOSE RANGEL DE CAMARGO ESQUINA COM A RUA OURO GROSSO</t>
  </si>
  <si>
    <t>-23.5003647199203</t>
  </si>
  <si>
    <t>-46.6571203650687</t>
  </si>
  <si>
    <t>RUA MARAMBAIA 107 ESQUINA COM A RUA JOAO RUDGE</t>
  </si>
  <si>
    <t>-23.512704709606</t>
  </si>
  <si>
    <t>-46.65657615</t>
  </si>
  <si>
    <t>RUA LEAO XIII 400</t>
  </si>
  <si>
    <t>-23.5023079189141</t>
  </si>
  <si>
    <t>-46.6465321496213</t>
  </si>
  <si>
    <t>RUA VALDEMAR MARTINS ESQUINA COM AVENIDA CASA VERDE</t>
  </si>
  <si>
    <t>-23.4999094535875</t>
  </si>
  <si>
    <t>-46.6476906229323</t>
  </si>
  <si>
    <t>AVENIDA IMIRIM ESQUINA COM RUA JOAO PORTUGAL</t>
  </si>
  <si>
    <t>-23.4898786728204</t>
  </si>
  <si>
    <t>-46.6510413877977</t>
  </si>
  <si>
    <t>AVENIDA ENENHEIRO. CAETANO ALVARES ESQUINA COM RUA FRUTUOSO DIAS</t>
  </si>
  <si>
    <t>-23.4974190439498</t>
  </si>
  <si>
    <t>-46.6634389050592</t>
  </si>
  <si>
    <t>RUA ANTONIO CAVAZAN ESQUINA COM RUA ARMANDO COELHO SILVA</t>
  </si>
  <si>
    <t>-23.4941894266707</t>
  </si>
  <si>
    <t>-46.6571258229359</t>
  </si>
  <si>
    <t>RUA JOSE RANGEL CAMARGO ESQUINA COM RUA AGUAS VIRTUOSAS</t>
  </si>
  <si>
    <t>-23.499739691995</t>
  </si>
  <si>
    <t>-46.6564966502446</t>
  </si>
  <si>
    <t>RUA ZILDA 796 DEFRONTE COM A RUA PEDRO JUAN CABALERO</t>
  </si>
  <si>
    <t>-23.4927849060514</t>
  </si>
  <si>
    <t>-46.6618966016978</t>
  </si>
  <si>
    <t>RUA VALDEMAR MARTINS DEFRONTE COM RUA FRANCISCO DIOGO</t>
  </si>
  <si>
    <t>-23.4971941492474</t>
  </si>
  <si>
    <t>-46.6507745416658</t>
  </si>
  <si>
    <t>RUA ZILDA ESQUINA COM AVENIDA ENGENHEIRO CAETANO ALVARES</t>
  </si>
  <si>
    <t>-23.4956368001535</t>
  </si>
  <si>
    <t>-46.6611427451159</t>
  </si>
  <si>
    <t>RUA VALDEMAR MARTINS PROXIMO A ESQUINA COM AVENIDA CASA VERDE</t>
  </si>
  <si>
    <t>-23.4998059693949</t>
  </si>
  <si>
    <t>-46.6477850226347</t>
  </si>
  <si>
    <t>RUA AGUAS VIRTUOSAS ESQUINA COM AVENIDA ENGENHEIRO CAETANO ALVARES</t>
  </si>
  <si>
    <t>-23.4954084604025</t>
  </si>
  <si>
    <t>-46.6608445127228</t>
  </si>
  <si>
    <t>RUA ZILDA ESQUINA COM RUA CESAR PENHA RAMOS</t>
  </si>
  <si>
    <t>-23.4909973083435</t>
  </si>
  <si>
    <t>-46.6626125363144</t>
  </si>
  <si>
    <t>RUA ZILDA ESQUINA COM RUA BENEDETTO BONFIGLI</t>
  </si>
  <si>
    <t>-23.4885584823502</t>
  </si>
  <si>
    <t>-46.6638862258539</t>
  </si>
  <si>
    <t>RUA MANDIBA ESQUINA COM RUA EPAMINONDAS MELO DO AMARAL</t>
  </si>
  <si>
    <t>-23.4875606313379</t>
  </si>
  <si>
    <t>-46.6590919956879</t>
  </si>
  <si>
    <t>AVENIDA EPAMINONDAS MELO DO AMARAL ESQUINA COM RUA ADAO MARTINS DE ALMEIDA CASTILHO</t>
  </si>
  <si>
    <t>-23.4917683877346</t>
  </si>
  <si>
    <t>-46.6594027582246</t>
  </si>
  <si>
    <t>RUA BARAO DE LUCENA ESQUINA COM RUA ANA RIBEIRO</t>
  </si>
  <si>
    <t>-23.4957736395656</t>
  </si>
  <si>
    <t>-46.6500163278861</t>
  </si>
  <si>
    <t>RUA ALESSO BALDOVINETTI ESQUINA COM A RUA ANTONIO VERA CRUZ</t>
  </si>
  <si>
    <t>-23.4946143062724</t>
  </si>
  <si>
    <t>-46.6666574752064</t>
  </si>
  <si>
    <t>AVENIDA ITABERABA 166 NO INTERIO DO PREDIO DA SABESP</t>
  </si>
  <si>
    <t>-23.4995922532915</t>
  </si>
  <si>
    <t>-46.6979750820566</t>
  </si>
  <si>
    <t>AVENIDA NOSSA SENHORA DO O 1719 PROXIMO A ESQUINA COM A AVENIDA COMENDADOR MARTINELLI</t>
  </si>
  <si>
    <t>2021-09-29</t>
  </si>
  <si>
    <t>-23.5049706256228</t>
  </si>
  <si>
    <t>-46.6891849214955</t>
  </si>
  <si>
    <t>AVENIDA SANTA MARINA PROXIMO DA RUA BALSA E AVENIDA NOSSA SENHORA DO O</t>
  </si>
  <si>
    <t>-23.5050447372285</t>
  </si>
  <si>
    <t>-46.6937982980057</t>
  </si>
  <si>
    <t>AVENIDA ITABERABA ESQUINA COM RUA BAIAO PARENTE</t>
  </si>
  <si>
    <t>-23.4917268459087</t>
  </si>
  <si>
    <t>-46.6953422794156</t>
  </si>
  <si>
    <t>PRACA ITALICO ANCONA LOPES DEFRONTE A ESQUINA DA RUA ANTONIO DE COUROS E RUA BARTOLOMEU FARIA</t>
  </si>
  <si>
    <t>-23.49707251378</t>
  </si>
  <si>
    <t>-46.6901507663327</t>
  </si>
  <si>
    <t>AVENIDA ITABERABA ESQUINA PROXIMO A ESQUINA COM A RUA QUITO</t>
  </si>
  <si>
    <t>-23.4908776731716</t>
  </si>
  <si>
    <t>-46.6947090571628</t>
  </si>
  <si>
    <t>RUA PROFESSOR JOAO MACHADO PROXIMO DA ESQUINA COM A RUA ESTACIO FERREIRA</t>
  </si>
  <si>
    <t>-23.497854877152</t>
  </si>
  <si>
    <t>-46.7025917836984</t>
  </si>
  <si>
    <t>RUA CAJATI 193 ESQUINA DA RUA JOAO SIQUEIRA BRITO</t>
  </si>
  <si>
    <t>-23.5033429917936</t>
  </si>
  <si>
    <t>-46.6915259107887</t>
  </si>
  <si>
    <t>RUA TENENTE HELI CAMARA 23 ESQUINA COM RUA DA BALSA</t>
  </si>
  <si>
    <t>-23.5049131172401</t>
  </si>
  <si>
    <t>-46.6950801834449</t>
  </si>
  <si>
    <t>RUA JOSE SOARES BRANDAO ESQUINA COM A RUA MANUEL MADRUGA</t>
  </si>
  <si>
    <t>-23.4957374154136</t>
  </si>
  <si>
    <t>-46.6994306137305</t>
  </si>
  <si>
    <t>RUA FRANCISCO CID 111 ESQUINA COM RUA ANTONIO DE COUROS</t>
  </si>
  <si>
    <t>-23.5007278687003</t>
  </si>
  <si>
    <t>-46.687317220945</t>
  </si>
  <si>
    <t>RUA JOAO ALVARES FRANCA ESQUINA COM A RUA NHANDUTIBA</t>
  </si>
  <si>
    <t>-23.4911218834387</t>
  </si>
  <si>
    <t>-46.708450036141</t>
  </si>
  <si>
    <t>RUA JOAO CORDEIRO 67 DEFRONTE A RUA BRENO CAVALHAES</t>
  </si>
  <si>
    <t>-23.4974074301951</t>
  </si>
  <si>
    <t>-46.7016952726048</t>
  </si>
  <si>
    <t>RUA JOHN LANE 1 ESQUNA COM AVENIDA NOSSA SENHORA DO O</t>
  </si>
  <si>
    <t>-23.5048634726878</t>
  </si>
  <si>
    <t>-46.6891864921164</t>
  </si>
  <si>
    <t>RUA LAUDELINO FREIRE ESQUINA COM RUA OSCAR CAMILO</t>
  </si>
  <si>
    <t>-23.5027470345207</t>
  </si>
  <si>
    <t>-46.7031262485305</t>
  </si>
  <si>
    <t>RUA MORAIS NAVARRO 383</t>
  </si>
  <si>
    <t>-23.4964495801249</t>
  </si>
  <si>
    <t>-46.6953471735653</t>
  </si>
  <si>
    <t>RUA COMANDANTE FERREIRA CARNEIRO ESQUINA COM RUA COMANDANTE FERREIRA CARNEIRO</t>
  </si>
  <si>
    <t>-23.5008399909752</t>
  </si>
  <si>
    <t>-46.7026709873512</t>
  </si>
  <si>
    <t>AVENIDA ELISIO TEIXEIRA LEITE ESQUINA COM RUA PAULO RAIMONDI</t>
  </si>
  <si>
    <t>-23.4917126447856</t>
  </si>
  <si>
    <t>-46.6970505433295</t>
  </si>
  <si>
    <t>AVENIDA MINISTRO PETRONIO PORTELA ESQUINA COM A RUA SETE BARRAS</t>
  </si>
  <si>
    <t>-23.4978330627748</t>
  </si>
  <si>
    <t>-46.7051567233665</t>
  </si>
  <si>
    <t>RUA ANTONIO PIRES 246</t>
  </si>
  <si>
    <t>-23.5005364335416</t>
  </si>
  <si>
    <t>-46.6913747372744</t>
  </si>
  <si>
    <t>RUA MARIO PANCINI ESQUINA COM A RUA DA BONANCA</t>
  </si>
  <si>
    <t>-23.4949178224606</t>
  </si>
  <si>
    <t>-46.6932059924259</t>
  </si>
  <si>
    <t>AVENIDA BARTOLOMEU FARIA ESQUINA COM RUA MANOEL DE ARZAO</t>
  </si>
  <si>
    <t>-23.4987436271369</t>
  </si>
  <si>
    <t>-46.6897586752594</t>
  </si>
  <si>
    <t>RUA BARNABE COUTINHO 711</t>
  </si>
  <si>
    <t>-23.4963058239429</t>
  </si>
  <si>
    <t>-46.6899585340435</t>
  </si>
  <si>
    <t>RUA SIMAO VELHO DEFRONTE AO ACESSO A AVENIDA MIGUEL CONEJO</t>
  </si>
  <si>
    <t>-23.4949789452804</t>
  </si>
  <si>
    <t>-46.691786442089</t>
  </si>
  <si>
    <t>RUA NOSSA SENHORA DO LIVRAMENTO 255 DEFRONTE A RUA DIABASE</t>
  </si>
  <si>
    <t>-23.4935119297166</t>
  </si>
  <si>
    <t>-46.689000373361</t>
  </si>
  <si>
    <t>RUA ABAIBAS ESQUINA COM RUA SANTA AUTA</t>
  </si>
  <si>
    <t>-23.4957712029295</t>
  </si>
  <si>
    <t>-46.6878138599464</t>
  </si>
  <si>
    <t>RUA BENEDITO GUEDES DE OLIVEIRA ESQUINA COM RUA DALVO MATOS DEDECCA</t>
  </si>
  <si>
    <t>-23.4971833474319</t>
  </si>
  <si>
    <t>-46.6854827007677</t>
  </si>
  <si>
    <t>RUA DOUTOR VAZ DO AMARAL ESQUINA COM RUA MESTRAS PIAS FILIPPINI</t>
  </si>
  <si>
    <t>-23.4889881989051</t>
  </si>
  <si>
    <t>-46.6929029306231</t>
  </si>
  <si>
    <t>RUA EMILIO LAMBERT 141 NO FINAL DELA</t>
  </si>
  <si>
    <t>-23.486541985008</t>
  </si>
  <si>
    <t>-46.6917403815446</t>
  </si>
  <si>
    <t>RUA MANUEL JUSTINIANO QUINTAO ESQUINA COM RUA MARIO MALDONADO</t>
  </si>
  <si>
    <t>-23.4892119322179</t>
  </si>
  <si>
    <t>-46.686896562074</t>
  </si>
  <si>
    <t>ITABERABA</t>
  </si>
  <si>
    <t>AVENIDA ITABERABA 1709 DEFRONTE COM A RUA SANTA LUCIA FELIPPINI</t>
  </si>
  <si>
    <t>-23.4875171721495</t>
  </si>
  <si>
    <t>-46.6929629329411</t>
  </si>
  <si>
    <t>RUA PARAPUA ENTRE AS RUAS PINTO CARVALHO E JACUTIBA</t>
  </si>
  <si>
    <t>-23.482814566053</t>
  </si>
  <si>
    <t>-46.6922112901222</t>
  </si>
  <si>
    <t>RUA MONSENHOR JOAO LAURIANO ESQUINA COM AVENIDA ITABERABA</t>
  </si>
  <si>
    <t>-23.4783281643656</t>
  </si>
  <si>
    <t>-46.68238756598</t>
  </si>
  <si>
    <t>RUA CLARA PARENTE ESQUINA COM A RUA MONTES CLAROS</t>
  </si>
  <si>
    <t>-23.4883379275507</t>
  </si>
  <si>
    <t>-46.6952858186762</t>
  </si>
  <si>
    <t>AVENIDA ITABERABA 1902   NO INTERIOR DA PRACA</t>
  </si>
  <si>
    <t>-23.485924389249</t>
  </si>
  <si>
    <t>-46.6923714796158</t>
  </si>
  <si>
    <t>AVENIDA ITABERABA ESQUINA COM RUA DOM GASPAR DE MENDONCA</t>
  </si>
  <si>
    <t>-23.4850121730383</t>
  </si>
  <si>
    <t>-46.6889597153747</t>
  </si>
  <si>
    <t>RUA MONSENHOR JOAO LAURIANO ESQUINA COM A RUA LOURENCO RODRIGUES SOUZA</t>
  </si>
  <si>
    <t>-23.4807197832627</t>
  </si>
  <si>
    <t>-46.6804198204282</t>
  </si>
  <si>
    <t>RUA MENDONCA UCHOA ESQUINA COM RUA GENERAL ULHOA CINTRA</t>
  </si>
  <si>
    <t>-23.4835012329097</t>
  </si>
  <si>
    <t>-46.6839989569528</t>
  </si>
  <si>
    <t>RUA JOSE ANTONIOLI ESQUINA COM RUA JOSE BENEDITO PINTO</t>
  </si>
  <si>
    <t>-23.4722200756005</t>
  </si>
  <si>
    <t>-46.6993975168416</t>
  </si>
  <si>
    <t>RUA MARIA NAZARO DA SILVA PROXIMO DA PRACA SANTA CLARA DE ASSIS</t>
  </si>
  <si>
    <t>-23.47145890332</t>
  </si>
  <si>
    <t>-46.7061162071012</t>
  </si>
  <si>
    <t>RUA ANTONIO GOMES DE OLIVEIRA 192 ENTRE AS RUAS JOAO FERNANDES BRAGA E RUA PRAIA DO TUMIARU</t>
  </si>
  <si>
    <t>-23.4849537018857</t>
  </si>
  <si>
    <t>-46.7090014922545</t>
  </si>
  <si>
    <t>RUA DOMINGOS VEGA 705 PROXIMO A ESQUINA DA RUA ENCRUZILHADA DO SUL</t>
  </si>
  <si>
    <t>-23.4633169053485</t>
  </si>
  <si>
    <t>-46.7014743555356</t>
  </si>
  <si>
    <t>RUA JOTACA PROXIMO DA ESQUINA COM A RUA RIO VERDE</t>
  </si>
  <si>
    <t>-23.4900422550186</t>
  </si>
  <si>
    <t>-46.709792040113</t>
  </si>
  <si>
    <t>RUA PORTO DE DOM RODRIGO ESQUINA COM A RUA SILVEIRO LELLIS</t>
  </si>
  <si>
    <t>-23.4859129575575</t>
  </si>
  <si>
    <t>-46.7072372462308</t>
  </si>
  <si>
    <t>RUA FABIO FERREIRA VELOSO 171 PROXIMO DA ESQUINA COM A RUA JOAO ALVES PIMENTA</t>
  </si>
  <si>
    <t>-23.4799596178945</t>
  </si>
  <si>
    <t>-46.7059579211178</t>
  </si>
  <si>
    <t>RUA ARI DA ROCHA MIRANDA PROX A RUA MANOEL LISBOA MOURA</t>
  </si>
  <si>
    <t>-23.4554304956452</t>
  </si>
  <si>
    <t>-46.5817400856243</t>
  </si>
  <si>
    <t>RUA PROFESSORA JACIRA DE CARVALHO ESQUINA COM A AVENIDA GUAPIRA</t>
  </si>
  <si>
    <t>-23.4707520593504</t>
  </si>
  <si>
    <t>-46.5856122756667</t>
  </si>
  <si>
    <t>RUA GENERAL JERONIMO FURTADO ESQUINA COM A RUA MANUEL FERNANDES SILVA</t>
  </si>
  <si>
    <t>-23.4648710365786</t>
  </si>
  <si>
    <t>-46.5696021205208</t>
  </si>
  <si>
    <t>RUA LOPES DA COSTA ESQUINA COM A RUA GUAJARAS</t>
  </si>
  <si>
    <t>-23.4669134094505</t>
  </si>
  <si>
    <t>-46.5742134085984</t>
  </si>
  <si>
    <t>RUA ANGELO ALOISIO 122 EDIFICIO BARRETOS</t>
  </si>
  <si>
    <t>-23.4599455193843</t>
  </si>
  <si>
    <t>-46.5845328873336</t>
  </si>
  <si>
    <t>RUA ALCY BORGES DOS SANTOS 2 NO INTERIOR DO CONDOMINIO</t>
  </si>
  <si>
    <t>-23.4613368054456</t>
  </si>
  <si>
    <t>-46.5855996654033</t>
  </si>
  <si>
    <t>RUA OSVALDO CARDOSO FRANCO ESQUINA COM RUA ABILIO FERREIRA BRANDAO</t>
  </si>
  <si>
    <t>-23.4629062826806</t>
  </si>
  <si>
    <t>-46.5840720385656</t>
  </si>
  <si>
    <t>RUA DA PAZ PROXIMO A RODOVIA FERNAO DIAS SENTIDO MINAS GERAIS</t>
  </si>
  <si>
    <t>-23.4622886958937</t>
  </si>
  <si>
    <t>-46.5703020431195</t>
  </si>
  <si>
    <t>RUA IRMA EMERECIANA ESQUINA COM A AVENIDA LUIS STAMATIS</t>
  </si>
  <si>
    <t>-23.4686590626658</t>
  </si>
  <si>
    <t>-46.5798678424793</t>
  </si>
  <si>
    <t>RUA ADALGIZA ESQUINA COM A RUA CIRENE DE OLIVEIRA LAET</t>
  </si>
  <si>
    <t>-23.4610658300278</t>
  </si>
  <si>
    <t>-46.5777332044267</t>
  </si>
  <si>
    <t>RUA CANINDE ACU 212</t>
  </si>
  <si>
    <t>-23.4617278063579</t>
  </si>
  <si>
    <t>-46.5813676772848</t>
  </si>
  <si>
    <t>RUA ANGELO CALANDRINO ESQUINA COM A RUA DAS VERTENTES</t>
  </si>
  <si>
    <t>-23.4739537827911</t>
  </si>
  <si>
    <t>-46.5839506867328</t>
  </si>
  <si>
    <t>RUA JOSE FIGLIOLINI  PROXIMO DA ESQUINA COM A RUA IRMA EMERENCIANA</t>
  </si>
  <si>
    <t>-23.4613690352858</t>
  </si>
  <si>
    <t>-46.5807049817532</t>
  </si>
  <si>
    <t>RUA IRMA EMERENCIANA ESQUINA COM A RUA PIRES DA FONSECA</t>
  </si>
  <si>
    <t>-23.4701045597553</t>
  </si>
  <si>
    <t>-46.5793646805289</t>
  </si>
  <si>
    <t>RUA MARCONDES ESQUINA COM A RUA IRMA FILOMENA ESQUINA</t>
  </si>
  <si>
    <t>-23.4645493013976</t>
  </si>
  <si>
    <t>-46.5790530925781</t>
  </si>
  <si>
    <t>RUA IGARITE ESQUINA COM RUA IRMA EMERRENCIANA</t>
  </si>
  <si>
    <t>-23.4633168628125</t>
  </si>
  <si>
    <t>-46.5804300634403</t>
  </si>
  <si>
    <t>RUA IGARITE ESQUINA COM RUA ITAPUA</t>
  </si>
  <si>
    <t>-23.4621758980119</t>
  </si>
  <si>
    <t>-46.5774912271332</t>
  </si>
  <si>
    <t>RUA JOAQUIM CAETANO DA SILVA ESQUINA COM A RUA SAO GERALDINO</t>
  </si>
  <si>
    <t>-23.4750768202001</t>
  </si>
  <si>
    <t>-46.5813260544218</t>
  </si>
  <si>
    <t>RUA PALMIRA BARBOSA ESQUINA COM A RUA TUPI PAULISTA</t>
  </si>
  <si>
    <t>-23.4651928989728</t>
  </si>
  <si>
    <t>-46.5890329392394</t>
  </si>
  <si>
    <t>RUA CRISTOVAO ARRAES  ESQUINA COM RUA BENJAMIN PEREIRA</t>
  </si>
  <si>
    <t>-23.4679814413077</t>
  </si>
  <si>
    <t>-46.5904308527417</t>
  </si>
  <si>
    <t>RUA CUNHA PORTO ESQUINA COM A RUA DOUTOR AZEVEDO LIMA</t>
  </si>
  <si>
    <t>-23.466457087529</t>
  </si>
  <si>
    <t>-46.5695043583486</t>
  </si>
  <si>
    <t>AVENIDA GUAPIRA ESQUINA COM A RUA ALBERTO D AVERSA</t>
  </si>
  <si>
    <t>-23.4702380616895</t>
  </si>
  <si>
    <t>-46.5852082563974</t>
  </si>
  <si>
    <t>RUA ALBERTO D AVERSA 300 NO FINAL DA RUA SEM SAIDA</t>
  </si>
  <si>
    <t>-23.4677591709909</t>
  </si>
  <si>
    <t>-46.5857776360068</t>
  </si>
  <si>
    <t>RUA MAJOR BARACCA 989 ESQUINA COM A RUA SEVERIANO MELO</t>
  </si>
  <si>
    <t>-23.4745156827857</t>
  </si>
  <si>
    <t>-46.5636520195432</t>
  </si>
  <si>
    <t>RUA JOAO LUIS BOZZI ESQUINA COM A RUA LILIENTAL</t>
  </si>
  <si>
    <t>-23.4714193571827</t>
  </si>
  <si>
    <t>-46.5679754198549</t>
  </si>
  <si>
    <t>AVENIDA  EDU CHAVES 959</t>
  </si>
  <si>
    <t>-23.4756824713341</t>
  </si>
  <si>
    <t>-46.569637891421</t>
  </si>
  <si>
    <t>PRACA COMANDANTE EDUARDO DE OLIVEIRA PROXIMO A RUA LILIENTAL</t>
  </si>
  <si>
    <t>-23.4773920190453</t>
  </si>
  <si>
    <t>-46.5643152571807</t>
  </si>
  <si>
    <t>RUA DOUTOR ANTONIO MAZZILLI FILHO ESQUINA COM A RUA BOAVENTURA DE SOUZA</t>
  </si>
  <si>
    <t>-23.4823007574189</t>
  </si>
  <si>
    <t>-46.5628856165242</t>
  </si>
  <si>
    <t>AVENIDA ROLAND GARROS ESQUINA COM  RUA MAJOR BARACCA</t>
  </si>
  <si>
    <t>-23.4762560527376</t>
  </si>
  <si>
    <t>-46.567404341875</t>
  </si>
  <si>
    <t>RUA JORGE NEWBERY ESQUINA COM A RUA HINTEM MARTINS</t>
  </si>
  <si>
    <t>-23.4808540017737</t>
  </si>
  <si>
    <t>-46.5658686215751</t>
  </si>
  <si>
    <t>RUA MAJOR BARACCA ESQUINA COM A RUA LILIENTAL</t>
  </si>
  <si>
    <t>-23.4746196855089</t>
  </si>
  <si>
    <t>-46.5658077286505</t>
  </si>
  <si>
    <t>NOVA JARAGUÁ</t>
  </si>
  <si>
    <t>RUA GREGORIO TAGLE 303</t>
  </si>
  <si>
    <t>-23.4409594138384</t>
  </si>
  <si>
    <t>-46.7542826340399</t>
  </si>
  <si>
    <t>RUA BATISTA BUONAMENTE DEFRONTE A RUA CARLOS EBOLU</t>
  </si>
  <si>
    <t>-23.4537441513989</t>
  </si>
  <si>
    <t>-46.7508234448334</t>
  </si>
  <si>
    <t>ESTRADA TURISTICA DO JARAGUA ESQUINA COM A RUA GUARUJA</t>
  </si>
  <si>
    <t>-23.4723597432774</t>
  </si>
  <si>
    <t>-46.7546733476666</t>
  </si>
  <si>
    <t>RUA MAURO DE ARAUJO RIBEIRO PROXIMO ESQUINA COM A RUA JORGE ANTONIO BENDA</t>
  </si>
  <si>
    <t>-23.4521740482233</t>
  </si>
  <si>
    <t>-46.7470503000839</t>
  </si>
  <si>
    <t>RUA GALVAO BUENO TRIGUEIRINHO 347 DEFRONTE A RUA DA ASPEREZA</t>
  </si>
  <si>
    <t>-23.4565787903886</t>
  </si>
  <si>
    <t>-46.7467390951497</t>
  </si>
  <si>
    <t>RUA XILITA NO INTERIOR DA SABESP</t>
  </si>
  <si>
    <t>-23.4518836899285</t>
  </si>
  <si>
    <t>-46.7180336836812</t>
  </si>
  <si>
    <t>RUA JAIR ROSA PINTO DEFRONTE A RUA ANTONIO GADES</t>
  </si>
  <si>
    <t>-23.4361382677138</t>
  </si>
  <si>
    <t>-46.739775461233</t>
  </si>
  <si>
    <t>RUA DOS TAMARINDOS PROXIMO DA ESQUINA COM A ESTRADA DA CACHOEIRA NO INTERIOR DO COMDOMINIO</t>
  </si>
  <si>
    <t>-23.4318807321653</t>
  </si>
  <si>
    <t>-46.7310338988872</t>
  </si>
  <si>
    <t>AVENIDA NELSOM PALMA TRAVASSOS PROXIMO DA ESQUINA DA AVENIDA RAIMUNDO PEREIRA DE MAGALHAES</t>
  </si>
  <si>
    <t>-23.438675168407</t>
  </si>
  <si>
    <t>-46.7219495701977</t>
  </si>
  <si>
    <t>TRAVESSA ERASMOS LAPICIDA ESQUINA COM A ESTRADA DA CACHOEIRA</t>
  </si>
  <si>
    <t>-23.4316305122592</t>
  </si>
  <si>
    <t>-46.7289571890398</t>
  </si>
  <si>
    <t>AVENIDA AMADOR AGUIAR PROXIMO DA ESQUINA DA ESTRADA DO CORREDOR</t>
  </si>
  <si>
    <t>-23.4467342535608</t>
  </si>
  <si>
    <t>-46.7264475704374</t>
  </si>
  <si>
    <t>RUA PASTORIAL DE ALMENARA 60 PROXIMO DA ESQUINA COM A ESTRADA DE TAIPAS</t>
  </si>
  <si>
    <t>-23.4493541307756</t>
  </si>
  <si>
    <t>-46.7345292828149</t>
  </si>
  <si>
    <t>ESTRADA DE TAIPAS 3828 PROXIMO A RUA FLIPE CLEMENTI</t>
  </si>
  <si>
    <t>-23.4334383736197</t>
  </si>
  <si>
    <t>-46.7225857992364</t>
  </si>
  <si>
    <t>RUA FRIEDRICH VON VOITH 491 DEFRONTE AO POSTO DE BOMBEIROS JARAGUA</t>
  </si>
  <si>
    <t>-23.4466278913856</t>
  </si>
  <si>
    <t>-46.7394281737532</t>
  </si>
  <si>
    <t>AVENIDA RAIMUNDO PEREIRA DE MAGALHAES ESQUINA COM A RUA LITORAL PARANAENSE</t>
  </si>
  <si>
    <t>-23.4471805324579</t>
  </si>
  <si>
    <t>-46.7220914221702</t>
  </si>
  <si>
    <t>RUA MARIA HILDA PRUDENTE TEIXEITRA PROXIMO DA ESQUINA COM A AVENIDA DEUPTADO CANTIDIO SAMPAIO</t>
  </si>
  <si>
    <t>-23.4377086434601</t>
  </si>
  <si>
    <t>-46.7110643242636</t>
  </si>
  <si>
    <t>AVENIDA DOUTOR JOSE MANIERO 85 PROXIMO DA ESQUINA COM A AVENIDA DEPUTADO CANTIDIO SAMPAIO</t>
  </si>
  <si>
    <t>-23.4370149891605</t>
  </si>
  <si>
    <t>-46.7108413273492</t>
  </si>
  <si>
    <t>AVENIDA NELSOM PALMA TRAVASSOS 174</t>
  </si>
  <si>
    <t>-23.4429297308261</t>
  </si>
  <si>
    <t>-46.7227173246609</t>
  </si>
  <si>
    <t>ESTRADA DAS TAIPAS ESQUINA COM A RUA CRISTOVAO BABBI</t>
  </si>
  <si>
    <t>-23.433138184436</t>
  </si>
  <si>
    <t>-46.7274250279651</t>
  </si>
  <si>
    <t>RUA SAO DOMINGOS DO CAPIM ESQUINA COM A RUA BARRA DA CRAIBEIRA</t>
  </si>
  <si>
    <t>-23.4502301911797</t>
  </si>
  <si>
    <t>-46.7379344356118</t>
  </si>
  <si>
    <t>AVENIDA ELISIO TEIXEIRA DEFRONTE A RUA ANTONIO DA SILVA LEITE</t>
  </si>
  <si>
    <t>-23.4385035745689</t>
  </si>
  <si>
    <t>-46.7175113523483</t>
  </si>
  <si>
    <t>RUA AZEVEDO CRUZ 07 PROXIMO DA ESQUINA COM A RUA SANCLERLANDIA</t>
  </si>
  <si>
    <t>-23.4425944107285</t>
  </si>
  <si>
    <t>-46.7203198956915</t>
  </si>
  <si>
    <t>RUA JOANA PEDROSO DOS SANTOS 620 PROXIMO A  RUA DOM JOAO GUEDES</t>
  </si>
  <si>
    <t>-23.4262938537555</t>
  </si>
  <si>
    <t>-46.7259943777615</t>
  </si>
  <si>
    <t>RUA ANTONIO DA SILVA LEITE PROXIMO A ESQUINA DA AVENIDA DEPUTADO CANTIDIO SAMPAIO</t>
  </si>
  <si>
    <t>-23.437187818504</t>
  </si>
  <si>
    <t>-46.7119860376616</t>
  </si>
  <si>
    <t>RUA CARLOS PALLAVICINO 260 PROXIMO AO BLOCO 08</t>
  </si>
  <si>
    <t>-23.4553263775725</t>
  </si>
  <si>
    <t>-46.7342138389216</t>
  </si>
  <si>
    <t>RUA CARLOS PALLAVICINO 148 ENTRE OS BLOCOS 2 E 3</t>
  </si>
  <si>
    <t>-23.4549098698179</t>
  </si>
  <si>
    <t>-46.7339007674156</t>
  </si>
  <si>
    <t>RUA JOAN BROSSA ESQUINA COM A RUA BARBOSA LIMA SOBRINHO</t>
  </si>
  <si>
    <t>-23.4389420654079</t>
  </si>
  <si>
    <t>-46.7463158756461</t>
  </si>
  <si>
    <t>JARDIM PRIMAVERA</t>
  </si>
  <si>
    <t>AVENIDA GASPAR VAZ DA CUNHA 92 PROXIMO DA ESQUINA COM A AVENIDA DEPUTADO EMILIO CARLOS</t>
  </si>
  <si>
    <t>-23.4940016546585</t>
  </si>
  <si>
    <t>-46.6778051011916</t>
  </si>
  <si>
    <t>AVENIDA SEBASTIAO HENRIQUES 496</t>
  </si>
  <si>
    <t>-23.4997835661146</t>
  </si>
  <si>
    <t>-46.6798353100632</t>
  </si>
  <si>
    <t>AVENIDA DEPUTADO EMILIO CARLOS ESQUINA COM RUA GUARABIRA</t>
  </si>
  <si>
    <t>-23.4844419580785</t>
  </si>
  <si>
    <t>-46.6744747021968</t>
  </si>
  <si>
    <t>RUA DOS RODRIGUES ESQUINA COM RUA VENTURA RANGEL</t>
  </si>
  <si>
    <t>-23.492064599676</t>
  </si>
  <si>
    <t>-46.6839877994679</t>
  </si>
  <si>
    <t>AVENIDA DEPUTADO EMILIO CARLOS ESQUINA COM RUA PASCOAL SOUZA</t>
  </si>
  <si>
    <t>-23.4911206212685</t>
  </si>
  <si>
    <t>-46.6762636153303</t>
  </si>
  <si>
    <t>RUA DOS RODRIGUES ESQUINA COM RUA SILVERIO DE CARVALHO</t>
  </si>
  <si>
    <t>-23.4930874323695</t>
  </si>
  <si>
    <t>-46.6808869604397</t>
  </si>
  <si>
    <t>RUA VICENTE SOARES DA COSTA 139 DEFRONTE COM RUA SILVERIO GONCALVES</t>
  </si>
  <si>
    <t>-23.4869792219561</t>
  </si>
  <si>
    <t>-46.6803717905414</t>
  </si>
  <si>
    <t>AVENIDA GASPAR VAZ DA CUNHA ESQUINA COM A AVENIDA DEPUTADO EMILIO CARLOS</t>
  </si>
  <si>
    <t>-23.4925476098486</t>
  </si>
  <si>
    <t>-46.6777697155624</t>
  </si>
  <si>
    <t>RUA ELIAS DA COSTA DEFRONTE COM RUA LAVRAS DO SUL</t>
  </si>
  <si>
    <t>-23.4991157115015</t>
  </si>
  <si>
    <t>-46.6820515346798</t>
  </si>
  <si>
    <t>RUA SILVERIO DE CARVALHO ESQUINA COM A RUA SILVESTRE GONCALVES</t>
  </si>
  <si>
    <t>-23.4947968094087</t>
  </si>
  <si>
    <t>-46.6833194718144</t>
  </si>
  <si>
    <t>AVENIDA ANTONIO MUNHOZ BONILHA DEFRONTE A RUA VICENTE FERREIRA LEITE</t>
  </si>
  <si>
    <t>-23.4953147072758</t>
  </si>
  <si>
    <t>-46.6790550942772</t>
  </si>
  <si>
    <t>RUA CATANDUVAS DO SUL 468</t>
  </si>
  <si>
    <t>-23.4883334682095</t>
  </si>
  <si>
    <t>-46.6813647285103</t>
  </si>
  <si>
    <t>RUA ALONSO BERRUGUETE ESQUINA COM RUA MARCO CICERO BOTTINO</t>
  </si>
  <si>
    <t>-23.4857768244827</t>
  </si>
  <si>
    <t>-46.6784201254027</t>
  </si>
  <si>
    <t>RUA JOAO PIRES COELHO ESQUINA COM A RUA AUGOSTINHO PEREIRA</t>
  </si>
  <si>
    <t>-23.4958545084761</t>
  </si>
  <si>
    <t>-46.6838210046206</t>
  </si>
  <si>
    <t>AVENIDA MANDAQUI 122 PROXIMO A RUA NICOLINO STOFFA</t>
  </si>
  <si>
    <t>-23.5057168312189</t>
  </si>
  <si>
    <t>-46.6715303423643</t>
  </si>
  <si>
    <t>VILA SANTA MARIA</t>
  </si>
  <si>
    <t>RUA JOSE SORIANO DE SOUZA 297  NO INTERIOR DO PREDIO DA SABESP BICA DE ENCHIMENTO RAPIDO</t>
  </si>
  <si>
    <t>-23.4934256644698</t>
  </si>
  <si>
    <t>-46.6682142350584</t>
  </si>
  <si>
    <t>AVENIDA CLAVASIO ALVES DA SILVA ESQUINA COM RUA AFFONSO SALZANO</t>
  </si>
  <si>
    <t>-23.5007331131758</t>
  </si>
  <si>
    <t>-46.6781177178571</t>
  </si>
  <si>
    <t>RUA DOUTOR FLEURY SILVEIRA PROXIMO A ESQUINA COM A RUA CESAR PENHA RAMOS</t>
  </si>
  <si>
    <t>-23.4896367688843</t>
  </si>
  <si>
    <t>-46.6731408049346</t>
  </si>
  <si>
    <t>RUA ARISTIDES JOFRE ESQUINA COM RUA CESAR PENHA RAMOS</t>
  </si>
  <si>
    <t>-23.4890615840475</t>
  </si>
  <si>
    <t>-46.6682243327797</t>
  </si>
  <si>
    <t>RUA DOUTOR FLEURY SILVEIRA ESQUINA COM RUA MANOEL DIAS DO CAMPO</t>
  </si>
  <si>
    <t>-23.4893255748446</t>
  </si>
  <si>
    <t>-46.6725383129301</t>
  </si>
  <si>
    <t>RUA ANTONIO PINTO VIEIRA ESQUINA COM RUA DOMICIANO RIBEIRO</t>
  </si>
  <si>
    <t>-23.4843901851053</t>
  </si>
  <si>
    <t>-46.6708416650304</t>
  </si>
  <si>
    <t>RUA JOAO SERRANO ESQUINA COM RUA CORONEL JOAQUIM DE FREITAS</t>
  </si>
  <si>
    <t>-23.5037956190658</t>
  </si>
  <si>
    <t>-46.6718799913402</t>
  </si>
  <si>
    <t>RUA ALEXANDRE DE MIRANDA ESQUINA COM RUA CESAR PENHA CAMPOS</t>
  </si>
  <si>
    <t>-23.4883995201503</t>
  </si>
  <si>
    <t>-46.6703154651058</t>
  </si>
  <si>
    <t>RUA NINETE ESQUINA COM A RUA PROFESSORA MARGARIDA NOGUEIRA DEL GUERRA</t>
  </si>
  <si>
    <t>-23.4856422020235</t>
  </si>
  <si>
    <t>-46.6658457664652</t>
  </si>
  <si>
    <t>RUA ANTONIO JOAO ESQUINA COM RUA RIBEIRO DE SOUZA</t>
  </si>
  <si>
    <t>-23.4992369869569</t>
  </si>
  <si>
    <t>-46.6667712699418</t>
  </si>
  <si>
    <t>RUA JOAO SERRANO ESQUINA COM RUA BRIGADEIRO XAVIER DE BRITO</t>
  </si>
  <si>
    <t>-23.5029467705059</t>
  </si>
  <si>
    <t>-46.6680692452491</t>
  </si>
  <si>
    <t>AVENIDA CLAVASIO ALVES DA SILVA ESQUINA COM RUA GODOFREDO GONCALVES</t>
  </si>
  <si>
    <t>-23.4978220866471</t>
  </si>
  <si>
    <t>-46.6772881817056</t>
  </si>
  <si>
    <t>RUA PROFESSOR DARIO RIBEIRO ESQUINA COM RUA LUIS GOMES</t>
  </si>
  <si>
    <t>-23.4946994248042</t>
  </si>
  <si>
    <t>-46.6759083963163</t>
  </si>
  <si>
    <t>RUA PROFESSOR CLOVIS RIBEIRO 310 DEFRONTE A RUA CESAR PENHA RAMOS</t>
  </si>
  <si>
    <t>-23.4921231253283</t>
  </si>
  <si>
    <t>-46.6730971408196</t>
  </si>
  <si>
    <t>RUA TOMAZ ANTONIO VILLANI 178 DEFRONTE COM A RUA HENRIQUE ALMEIDA</t>
  </si>
  <si>
    <t>-23.4876579178322</t>
  </si>
  <si>
    <t>-46.6747604680245</t>
  </si>
  <si>
    <t>RUA ANTONIO ESTIGARRIBIA ESQUINA COM A RUA LAGOA AZUL</t>
  </si>
  <si>
    <t>-23.4970608996062</t>
  </si>
  <si>
    <t>-46.6691069869297</t>
  </si>
  <si>
    <t>RUA ROCHA LIMA ESQUINA COM A RUA CAROLINA SOARES</t>
  </si>
  <si>
    <t>-23.5003290221072</t>
  </si>
  <si>
    <t>-46.6693588459387</t>
  </si>
  <si>
    <t>RUA DOUTOR MORAIS DANTAS ESQUINA COM A RUA JOAO LEOCARDIO</t>
  </si>
  <si>
    <t>-23.5004035723738</t>
  </si>
  <si>
    <t>-46.6731024782487</t>
  </si>
  <si>
    <t>RUA ANTONIO PINTO VIEIRA PROXIMO DA ESQUINA COM A RUA NINETE</t>
  </si>
  <si>
    <t>-23.4833681828491</t>
  </si>
  <si>
    <t>-46.6677556648244</t>
  </si>
  <si>
    <t>AVENIDA JOAO DOS SANTOS ABREU 858 DEFRONTE A TRAVESSA RODA VIVA</t>
  </si>
  <si>
    <t>-23.4826165505071</t>
  </si>
  <si>
    <t>-46.6651437034614</t>
  </si>
  <si>
    <t>MANDAQUI</t>
  </si>
  <si>
    <t>HORTO FLORESTAL</t>
  </si>
  <si>
    <t>RUA LOUREDO DA SERRA ESQUINA COM AVENIDA SANTA INES A CERCA DE 200 METROS DO PB HORTO FLORESTAL</t>
  </si>
  <si>
    <t>-23.4610402526837</t>
  </si>
  <si>
    <t>-46.6395307264787</t>
  </si>
  <si>
    <t>AVENIDA SANTA INES 3200 DENTRO DO POSTO DE BOMBEIROS HORTO FLORESTAL</t>
  </si>
  <si>
    <t>-23.4601782135601</t>
  </si>
  <si>
    <t>-46.6429186488534</t>
  </si>
  <si>
    <t>AVENIDA VICENTE JOSE DE CARVALHO PROXIMA A BIFUCARCAO COM A RUA DO HORTO</t>
  </si>
  <si>
    <t>-23.4594049504281</t>
  </si>
  <si>
    <t>-46.6332469467859</t>
  </si>
  <si>
    <t>RUA MARIQUINHA VIANA PROXIMO A ESQUINA COM AVENIDA ENGENHEIRO CAETANO ALVARES</t>
  </si>
  <si>
    <t>-23.4827980863144</t>
  </si>
  <si>
    <t>-46.630804354355</t>
  </si>
  <si>
    <t>RUA FRIBURGO ESQUINA COM RUA EVIAN</t>
  </si>
  <si>
    <t>-23.4756451258917</t>
  </si>
  <si>
    <t>-46.6480578042017</t>
  </si>
  <si>
    <t>AVENIDA PARADA PINTO 3420 PROXIMO A ESQUINA COM RUA ALCIDES GODOI</t>
  </si>
  <si>
    <t>-23.466642198623</t>
  </si>
  <si>
    <t>-46.6388616340274</t>
  </si>
  <si>
    <t>AVENIDA PARADA PINTO 3480 NO INTERIOR DO CONDOMINIO VITORIA REGIA II</t>
  </si>
  <si>
    <t>-23.4686097556343</t>
  </si>
  <si>
    <t>-46.6370459392571</t>
  </si>
  <si>
    <t>AVENIDA PARADA PINTO 3480 NO INTERIOR DO CONDOMINIO VITORIA REGIA II DEFRONTE AO BLOCO 8</t>
  </si>
  <si>
    <t>-23.4691401909993</t>
  </si>
  <si>
    <t>-46.6374503888425</t>
  </si>
  <si>
    <t>RUA FERNANDO ALMEIDA PRADO ESQUINA COM AVENIDA AGUA FRIA</t>
  </si>
  <si>
    <t>-23.4749640972999</t>
  </si>
  <si>
    <t>-46.619284819122</t>
  </si>
  <si>
    <t>AVENIDA BASILEIA PROXIMO DA ESQUINA COM A RUA CONSELHEIRO MOREIRA DE BARROS</t>
  </si>
  <si>
    <t>-23.4787068414543</t>
  </si>
  <si>
    <t>-46.6506079810182</t>
  </si>
  <si>
    <t>RUA PLINIO COLAS ESQUINA COM AVENIDA GUACA</t>
  </si>
  <si>
    <t>-23.4811653289147</t>
  </si>
  <si>
    <t>-46.6400276880705</t>
  </si>
  <si>
    <t>RUA MARIA FREITAS ESQUINA COM  AVENIDA JOAO PESSOA</t>
  </si>
  <si>
    <t>-23.4762789731718</t>
  </si>
  <si>
    <t>-46.6489002522864</t>
  </si>
  <si>
    <t>RUA EMIDIO CARBONARI 343</t>
  </si>
  <si>
    <t>-23.475751543013</t>
  </si>
  <si>
    <t>-46.638415456617</t>
  </si>
  <si>
    <t>AVENIDA LAUZANE PAULISTA ESQUINA COM A PRACA SANTO ESTEVAO DE BRITEIROS</t>
  </si>
  <si>
    <t>-23.4740657043684</t>
  </si>
  <si>
    <t>-46.6472127267485</t>
  </si>
  <si>
    <t>RUA ALBERTINA VIEIRA DA SILVA GORDO ESQUINA COM A RUA JOAO DE LAET</t>
  </si>
  <si>
    <t>-23.4739885671104</t>
  </si>
  <si>
    <t>-46.6231992916853</t>
  </si>
  <si>
    <t>RUA JOAO DE LAET DEFRONTE A RUA DONATO LUONGO</t>
  </si>
  <si>
    <t>-23.4788755068423</t>
  </si>
  <si>
    <t>-46.625958837221</t>
  </si>
  <si>
    <t>AVENIDA SANTA INES ESQUINA COM RUA IVOLANDIA</t>
  </si>
  <si>
    <t>-23.4652844623806</t>
  </si>
  <si>
    <t>-46.6339612214186</t>
  </si>
  <si>
    <t>RUA VALORBE ESQUINA COM RUA FRAUENFELD</t>
  </si>
  <si>
    <t>-23.4745107748732</t>
  </si>
  <si>
    <t>-46.6428214143359</t>
  </si>
  <si>
    <t>RUA JOSE DE IBARRA ESQUINA COM A RUA ALFREDO ZUNKELLER</t>
  </si>
  <si>
    <t>-23.4732025804834</t>
  </si>
  <si>
    <t>-46.6323174574774</t>
  </si>
  <si>
    <t>RUA QUIRINOPOLIS ESQUINA COM RUA ROZO LAGOA</t>
  </si>
  <si>
    <t>-23.4821963231793</t>
  </si>
  <si>
    <t>-46.6531058384528</t>
  </si>
  <si>
    <t>RUA SARGENTO ADVINCOLA DEFRONTE A RUA CAPITAO JOSE PARADA GONCALVES</t>
  </si>
  <si>
    <t>-23.4694789996066</t>
  </si>
  <si>
    <t>-46.629562</t>
  </si>
  <si>
    <t>RUA CADETE RUYTEMBERG ROCHA DEFRONTE A RUA RUA SOLDADO BENTINHO</t>
  </si>
  <si>
    <t>-23.4701984217234</t>
  </si>
  <si>
    <t>-46.628065858073</t>
  </si>
  <si>
    <t>RUA MANUEL ALEXANDRE DEFRONTE A RUA PROFESSOR PAUL HUGON</t>
  </si>
  <si>
    <t>-23.4751044673521</t>
  </si>
  <si>
    <t>-46.6206330399739</t>
  </si>
  <si>
    <t>AVENIDA ZUMKELLER ESQUINA COM AVENIDA DIREITOS HUMANOS</t>
  </si>
  <si>
    <t>-23.4740366157712</t>
  </si>
  <si>
    <t>-46.636505511851</t>
  </si>
  <si>
    <t>RUA ROZO LAGOA 349 ENTRE A RUA QUIRINO E RUA MANOEL DE OLIVEIRA P. JUNIOR</t>
  </si>
  <si>
    <t>-23.4815684038333</t>
  </si>
  <si>
    <t>-46.6536981503588</t>
  </si>
  <si>
    <t>RUA SARGENTO JOAO JOAQUIM DIAS PROXIMA AVENIDA SANTA INES</t>
  </si>
  <si>
    <t>-23.469858558684</t>
  </si>
  <si>
    <t>-46.6292442389881</t>
  </si>
  <si>
    <t>RUA CONSELHEIRO MOREIRA DE BARROS ESQUINA COM AVENIDA PARADA PINTO</t>
  </si>
  <si>
    <t>-23.4712317918042</t>
  </si>
  <si>
    <t>-46.6513138572292</t>
  </si>
  <si>
    <t>RUA FRANCISCO BRUNO ESQUINA COM RUA CONSELHEIRO MOREIRA DE BARROS</t>
  </si>
  <si>
    <t>-23.4861458026527</t>
  </si>
  <si>
    <t>-46.6402483650727</t>
  </si>
  <si>
    <t>RUA CORONEL JOAQUIM FERREIRA DE SOUZA 208 DEFRONTE COM GUARITA 221</t>
  </si>
  <si>
    <t>-23.4785995138772</t>
  </si>
  <si>
    <t>-46.6398433823192</t>
  </si>
  <si>
    <t>AVENIDA ULTRAMARINO PROXIMO DA ESQUINA COM A AVENIDA PARADA PINTO</t>
  </si>
  <si>
    <t>-23.4694680707744</t>
  </si>
  <si>
    <t>-46.6450620697671</t>
  </si>
  <si>
    <t>PERUS</t>
  </si>
  <si>
    <t>RUA TIBURNO ESQUINA COM A RUA CAVALO MARINHO</t>
  </si>
  <si>
    <t>-23.408388941405</t>
  </si>
  <si>
    <t>-46.7421657096697</t>
  </si>
  <si>
    <t>RUA ELEUSIS ESQUINA COM A RUA LIBER</t>
  </si>
  <si>
    <t>-23.4064957777574</t>
  </si>
  <si>
    <t>-46.7378948691008</t>
  </si>
  <si>
    <t>RUA ERNESTO BOTTONI 148 DEFRONTE A RUA CLEONICE KAMMER KAMMER PROXIMO A RUA ORCO</t>
  </si>
  <si>
    <t>-23.40906313699</t>
  </si>
  <si>
    <t>-46.7358122671063</t>
  </si>
  <si>
    <t>ESTRADA SAO PAULO JUNDIAI PROXIMO A ESQUINA COM A RUA FREI MARCOS DE LISBOA</t>
  </si>
  <si>
    <t>-23.4171751466907</t>
  </si>
  <si>
    <t>-46.7559271275851</t>
  </si>
  <si>
    <t>RUA ROQUE CALLAGE DEFRONTE A RUA BRAZ BALTAZAR DA SILVEIRA</t>
  </si>
  <si>
    <t>-23.4140296001622</t>
  </si>
  <si>
    <t>-46.7560481906031</t>
  </si>
  <si>
    <t>RUA RECANTO DOS HUMILDES 126</t>
  </si>
  <si>
    <t>-23.4128826009017</t>
  </si>
  <si>
    <t>-46.7508272060573</t>
  </si>
  <si>
    <t>AVENIDA DOUTOR SYLVIO DE CAMPOS ESQUINA COM A RUA JOAQUIM ANTONIO ARRUDA</t>
  </si>
  <si>
    <t>-23.4063199419222</t>
  </si>
  <si>
    <t>-46.7550034874918</t>
  </si>
  <si>
    <t>RUA ANTONIO MAIA PROXIMO DA ESQUINA COM A AVENIDA DOUTOR SYLVIO DE CAMPOS</t>
  </si>
  <si>
    <t>-23.4064242961919</t>
  </si>
  <si>
    <t>-46.7558484523468</t>
  </si>
  <si>
    <t>RUA ANTONIO DE PADUA DIAS 258 ESQUINA COM A RUA ESTEVAN RIBEIRO RESENDE</t>
  </si>
  <si>
    <t>-23.4024940147796</t>
  </si>
  <si>
    <t>-46.7483522649855</t>
  </si>
  <si>
    <t>RUA MOGEIRO ESQUINA COM A RUA DOUTOR JOSE PACHECO E SILVA</t>
  </si>
  <si>
    <t>-23.4038376488744</t>
  </si>
  <si>
    <t>-46.7625013560204</t>
  </si>
  <si>
    <t>AVENIDA RAIMUNDO PEREIRA DE GUIMALHAES 2500</t>
  </si>
  <si>
    <t>-23.5011789881134</t>
  </si>
  <si>
    <t>-46.7222592889776</t>
  </si>
  <si>
    <t xml:space="preserve">RUA JOSE CORREIA DE LIMA  NO INTERIOR DO CONDOMINIO  PROXIMO A RUA FRANCESCO TURINI </t>
  </si>
  <si>
    <t>-23.497097473713</t>
  </si>
  <si>
    <t>-46.7196933918897</t>
  </si>
  <si>
    <t>RUA DOUTOR JOAO BATISTA BERNARDES DE LIMA PROXIMO DA ESQUINA COM A RUA FREI BENVINDO DESTEFANI</t>
  </si>
  <si>
    <t>-23.4917086728897</t>
  </si>
  <si>
    <t>-46.7317999362858</t>
  </si>
  <si>
    <t>RUA JOAO DE OLIVEIRA CARMO ESQUINA COM A RUA ELIAS VITORINO DE SOUZA</t>
  </si>
  <si>
    <t>-23.4943037543635</t>
  </si>
  <si>
    <t>-46.7225251528758</t>
  </si>
  <si>
    <t>AVENIDA RAIMUNDO PEREIRA DE MAGALHAES 3490 PROXIMO A ESQUINA DA RUA LORD CLEMENTE ATTLEE</t>
  </si>
  <si>
    <t>-23.4959940433921</t>
  </si>
  <si>
    <t>-46.7287351365302</t>
  </si>
  <si>
    <t>RUA PEDRA DO BAUR ESQUINA COM A RUA SANTA ROMANA</t>
  </si>
  <si>
    <t>-23.4967630160301</t>
  </si>
  <si>
    <t>-46.708628141304</t>
  </si>
  <si>
    <t>RUA PEDRO BONILHA ESQUINA COM A RUA SILVIO BONILHA</t>
  </si>
  <si>
    <t>-23.5026430780847</t>
  </si>
  <si>
    <t>-46.710965580785</t>
  </si>
  <si>
    <t>RUA PADRE MARIANO RONCHI ESQUINA COM A RUA CANNER</t>
  </si>
  <si>
    <t>-23.4908210251221</t>
  </si>
  <si>
    <t>-46.7113460357851</t>
  </si>
  <si>
    <t>RUA TARCILIO LOPES 92</t>
  </si>
  <si>
    <t>-23.5012983917682</t>
  </si>
  <si>
    <t>-46.7123190743584</t>
  </si>
  <si>
    <t>RUA MANUEL FAGUNDES DE SOUZA ESQUINA COM A RUA JOSE PERES CAMPELO</t>
  </si>
  <si>
    <t>-23.5039582457484</t>
  </si>
  <si>
    <t>-46.7143055071148</t>
  </si>
  <si>
    <t>RUA CORONEL BENTO BICUDO ESQUINA COM AVENIDA PAULA FERREIRA</t>
  </si>
  <si>
    <t>-23.502212058991</t>
  </si>
  <si>
    <t>-46.7075234694697</t>
  </si>
  <si>
    <t>RUA PEDRO CUBAS ESQUINA COM RUA MANOEL DE CARVALHO</t>
  </si>
  <si>
    <t>-23.5057684612876</t>
  </si>
  <si>
    <t>-46.7102331978918</t>
  </si>
  <si>
    <t>AVENIDA RAIMUNDO PEREIRA DE MAGALHAES ESQUINA COM A RUA SOLDADO JOAO DE OLIVEIRA</t>
  </si>
  <si>
    <t>-23.4902860772569</t>
  </si>
  <si>
    <t>-46.7307935391184</t>
  </si>
  <si>
    <t>AVENIDA RAIMUNDO PEREIRA DE MAGALHAES 4658</t>
  </si>
  <si>
    <t>-23.4889502156802</t>
  </si>
  <si>
    <t>-46.7282936768085</t>
  </si>
  <si>
    <t>AVENIDA BENEDITO ANDRADE ESQUINA COM A RUA IRENE RUDNER</t>
  </si>
  <si>
    <t>-23.4877065385589</t>
  </si>
  <si>
    <t>-46.7171438606284</t>
  </si>
  <si>
    <t>RUA DOM ERICO FERRARI ESQUINA COM A RUA DOUTOR JOAO BATISTA BERNARDES DE LIMA</t>
  </si>
  <si>
    <t>-23.4918606211494</t>
  </si>
  <si>
    <t>-46.7248947509166</t>
  </si>
  <si>
    <t>RUA GENEZIO ARRUDA 237 PROXIMO A RUA SOLDADO JOAO DE OLIVEIRA</t>
  </si>
  <si>
    <t>-23.4900219068777</t>
  </si>
  <si>
    <t>-46.72664473831</t>
  </si>
  <si>
    <t>AVENIDA PAULA FERREIRA ESQUINA COM A RUA QUERINO GIOVANI LEORNARDI</t>
  </si>
  <si>
    <t>-23.4881272256163</t>
  </si>
  <si>
    <t>-46.7208163719624</t>
  </si>
  <si>
    <t>RUA SEBASTIAO DE PINA 517 DEFRONTE A RUA BENEDITO LACERDA</t>
  </si>
  <si>
    <t>-23.4737257365926</t>
  </si>
  <si>
    <t>-46.7455090660906</t>
  </si>
  <si>
    <t>AVENIDA AGENOR COUTO DE MAGALHAES 420 DEFRONTE A RUA PROFESSOR FERREIRA DA SILVA</t>
  </si>
  <si>
    <t>-23.48143518719</t>
  </si>
  <si>
    <t>-46.740834333476</t>
  </si>
  <si>
    <t>AVENIDA AGENOR COUTO DE MAGALHAES 1527</t>
  </si>
  <si>
    <t>-23.473058075405</t>
  </si>
  <si>
    <t>-46.7423624638921</t>
  </si>
  <si>
    <t>AVENIDA AGENOR COUTO DE MAGALHAES PROXIMO DA ESQUINA COM A RUA DOUTOR ALMEIDA SOARES</t>
  </si>
  <si>
    <t>-23.4711006082499</t>
  </si>
  <si>
    <t>-46.7438577085363</t>
  </si>
  <si>
    <t>AVENIDA PAULA FERREIRA ESQUINA COM A RUA JOAO ANDRADE</t>
  </si>
  <si>
    <t>-23.4891696696521</t>
  </si>
  <si>
    <t>-46.7243796792922</t>
  </si>
  <si>
    <t>RUA ADELE ZARZUR DEFRONTE A RUA ARNALDO ALVERNAZ NUNES</t>
  </si>
  <si>
    <t>-23.4838907267122</t>
  </si>
  <si>
    <t>-46.7105931102928</t>
  </si>
  <si>
    <t>AVENIDA MIGUEL DE CASTRO ESQUINA COM A PRACA YARA YAVELBER</t>
  </si>
  <si>
    <t>-23.4822055928632</t>
  </si>
  <si>
    <t>-46.7178530029042</t>
  </si>
  <si>
    <t>RUA ACANGAPIRANGA ESQUINA COM A RUA DOUTOR JOAO TONIOLO</t>
  </si>
  <si>
    <t>-23.4857017583023</t>
  </si>
  <si>
    <t>-46.7150145903526</t>
  </si>
  <si>
    <t>RUA BENEDITO PEREIRA ESQUINA COM A RUA BENEDITO GAMA RICARDO</t>
  </si>
  <si>
    <t>-23.4864720720247</t>
  </si>
  <si>
    <t>-46.735280396747</t>
  </si>
  <si>
    <t>RUA DOMINGOS GIGLIO ESQUINA COM A RUA JOAQUIM HELENE</t>
  </si>
  <si>
    <t>-23.4824512654347</t>
  </si>
  <si>
    <t>-46.7100317558583</t>
  </si>
  <si>
    <t>RUA EDUARDO VITOR DE LAMARE ESQUINA COM A RUA BRIGADEIRO CORREIA DE MELO</t>
  </si>
  <si>
    <t>-23.4832396447495</t>
  </si>
  <si>
    <t>-46.7150099581171</t>
  </si>
  <si>
    <t>RUA ELEONORA ESQUINA COM A RUA ALAIDE PEREIRA</t>
  </si>
  <si>
    <t>-23.472690090493</t>
  </si>
  <si>
    <t>-46.7215437644144</t>
  </si>
  <si>
    <t>RUA DOUTOR VALENTIM 246 AO LADO DA VIELA</t>
  </si>
  <si>
    <t>-23.4739303111902</t>
  </si>
  <si>
    <t>-46.7400255956807</t>
  </si>
  <si>
    <t>RUA LUCIA CAIAFA DEFRONTE A RUA JOSE ALBANO</t>
  </si>
  <si>
    <t>-23.4841710980829</t>
  </si>
  <si>
    <t>-46.7189513329474</t>
  </si>
  <si>
    <t>RUA JANUARIO D ANTONIO ESQUINA COM A RUA VASCONCELOS DOS SANTOS</t>
  </si>
  <si>
    <t>-23.482041042368</t>
  </si>
  <si>
    <t>-46.7525089271073</t>
  </si>
  <si>
    <t>RUA PROFESSORA FERREIRA DA SILVA ESQUINA COM A RUA LUIS CUNHA</t>
  </si>
  <si>
    <t>-23.4816205881534</t>
  </si>
  <si>
    <t>-46.7419064583088</t>
  </si>
  <si>
    <t>RUA STEFANO MAUSER ESQUINA COM A RUA DOUTOR VALENTIM DE QUEIROZ</t>
  </si>
  <si>
    <t>-23.4756220334596</t>
  </si>
  <si>
    <t>-46.7390885987217</t>
  </si>
  <si>
    <t>RUA PAULO BARRETO 248</t>
  </si>
  <si>
    <t>-23.4859597157408</t>
  </si>
  <si>
    <t>-46.7201840193613</t>
  </si>
  <si>
    <t>RUA VIEIRA GODINHO ESQUINA COM A RUA JOSE VELOSO CARMO</t>
  </si>
  <si>
    <t>-23.4719828764395</t>
  </si>
  <si>
    <t>-46.723657170301</t>
  </si>
  <si>
    <t>RUA PAULO BARRETO PROXIMO DA RUA GUERINO GIOVANI LEARDINI</t>
  </si>
  <si>
    <t>-23.4860463486549</t>
  </si>
  <si>
    <t>-46.721661458696</t>
  </si>
  <si>
    <t>RUA PAULO BARRETO 315 NO INTERIOR DA TRAVESSA</t>
  </si>
  <si>
    <t>-23.4864438491753</t>
  </si>
  <si>
    <t>-46.719752918365</t>
  </si>
  <si>
    <t>RUA LUCIA CAIAFA PROXIMO A ESQUINA COM A RUA MAJOR PROCOPIO</t>
  </si>
  <si>
    <t>-23.4850151777401</t>
  </si>
  <si>
    <t>-46.7187395147607</t>
  </si>
  <si>
    <t>RUA JOAO ALVES PIMENTA 210 PROXIMO DA ESQUINA DA RUA JOAO ALVES PIMENTA</t>
  </si>
  <si>
    <t>-23.4824544769776</t>
  </si>
  <si>
    <t>-46.7094133372214</t>
  </si>
  <si>
    <t>RUA DOUTOR ARNALDO DE CAMPOS ESQUINA COM A RUA PROFESSOR GIORGIO LEVY</t>
  </si>
  <si>
    <t>-23.4784458916023</t>
  </si>
  <si>
    <t>-46.7094550516255</t>
  </si>
  <si>
    <t>RUA FAUSTO LEX 626 PROXIMO A ESQUINA DA RUA MATOS DUARTE</t>
  </si>
  <si>
    <t>-23.4778349976004</t>
  </si>
  <si>
    <t>-46.7173108683093</t>
  </si>
  <si>
    <t>AVENIDA MIGUEL DE CASTRO 907 DEFRONTE A AVENIDA JOAQUIM DE NAZARETH</t>
  </si>
  <si>
    <t>-23.4782392583322</t>
  </si>
  <si>
    <t>-46.7189509260802</t>
  </si>
  <si>
    <t>RUA COMENDADOR FEIZ ZARZUR ESQUINA COM A RUA JOSE RODRIGUES</t>
  </si>
  <si>
    <t>-23.476873502475</t>
  </si>
  <si>
    <t>-46.7214170791491</t>
  </si>
  <si>
    <t>RUA DOUTOR ANTONIO RUGGIERO JUNIOR ESQUINA COM A RUA JURUBIM</t>
  </si>
  <si>
    <t>-23.4830110125173</t>
  </si>
  <si>
    <t>-46.7544168483891</t>
  </si>
  <si>
    <t>RUA JOAO RODRIGUES LEITE 54 NO FINAL DA RUA</t>
  </si>
  <si>
    <t>-23.4698647048509</t>
  </si>
  <si>
    <t>-46.7486103495933</t>
  </si>
  <si>
    <t>RUA LUIS CUNHA 621 DEFRONTE A RUA SAO FRANCISCO DE BORJA</t>
  </si>
  <si>
    <t>-23.4799514453776</t>
  </si>
  <si>
    <t>-46.7431123840186</t>
  </si>
  <si>
    <t>AVENIDA SANTA MONICA 593 NO INTERIOR DO CONDOMINIO PARQUE RESIDENCIAL SANTA MONICA AO LADO DO BLOCO 6A VAGA DE CARRO 821</t>
  </si>
  <si>
    <t>-23.4794102410225</t>
  </si>
  <si>
    <t>-46.7498909283172</t>
  </si>
  <si>
    <t>RUA FIDELIS ALVES DA COSTA 593 INTERIOR DO RESIDENCIAL SANTA MONICA PORTARIA 2 BLOCO 14 VAGA DO ESTACIONAMENTO 722</t>
  </si>
  <si>
    <t>-23.4811831523437</t>
  </si>
  <si>
    <t>-46.7510684358209</t>
  </si>
  <si>
    <t>AVENIDA SANTA MONICA 593 NO INTERIOR DO CONDOMINIO RESIDENCIAL SANTA MONICA NA RUA PRINCIPAL PROXIMO AO BLOCO 3A</t>
  </si>
  <si>
    <t>-23.4786419642915</t>
  </si>
  <si>
    <t>-46.7492422386391</t>
  </si>
  <si>
    <t>TRAVESSA ALEXIS 26 DEFRONTE A PRACA PAULO STUART WRIGHT</t>
  </si>
  <si>
    <t>-23.4825740888947</t>
  </si>
  <si>
    <t>-46.7178039412871</t>
  </si>
  <si>
    <t>RUA PARTICULAR SN NO INTERIOR DA UNIDADE HOSPITALAR PSIQUIATRICA CAISM FELIPE PINEL ENTRE O CENTRO ESPORTIVO E O REFEITORIO</t>
  </si>
  <si>
    <t>-23.487247670607</t>
  </si>
  <si>
    <t>-46.7227001208812</t>
  </si>
  <si>
    <t>AVENIDA BRASILINA VIEIRA SIMOES ESQUINA COM A AVENIDA FUAD LUTFALA</t>
  </si>
  <si>
    <t>-23.4781994636881</t>
  </si>
  <si>
    <t>-46.7075483694374</t>
  </si>
  <si>
    <t>RUA CORONEL CARLOS AMBROGI 219</t>
  </si>
  <si>
    <t>-23.4861826464158</t>
  </si>
  <si>
    <t>-46.7124535366176</t>
  </si>
  <si>
    <t>RUA ALFREDO PUJOL DEFRONTE A RUA MARECHAL HERMES DA FONSECA</t>
  </si>
  <si>
    <t>-23.5003966067265</t>
  </si>
  <si>
    <t>-46.6321384677846</t>
  </si>
  <si>
    <t>RUA DOUTOR ZUQUIM ESQUINA COM RUA DOUTOR ARTUR GUIMARAES</t>
  </si>
  <si>
    <t>-23.4903750836426</t>
  </si>
  <si>
    <t>-46.6246344830594</t>
  </si>
  <si>
    <t>RUA ANA LINS ESQUINA COM AVENIDA IMIRIM</t>
  </si>
  <si>
    <t>-23.4980084252705</t>
  </si>
  <si>
    <t>-46.642068903415</t>
  </si>
  <si>
    <t>RUA CORONEL LUCIO ROSALES ESQUINA COM A RUA ALFREDO PUJOL</t>
  </si>
  <si>
    <t>-23.50043809984</t>
  </si>
  <si>
    <t>-46.6363435037258</t>
  </si>
  <si>
    <t>RUA PAULO GONCALVES ESQUINA COM RUA CONSELHEIRO MOREIRA DE BARROS</t>
  </si>
  <si>
    <t>-23.4968190956628</t>
  </si>
  <si>
    <t>-46.6276059321743</t>
  </si>
  <si>
    <t>RUA BENTA PEREIRA ESQUINA COM RUA ANA LINS</t>
  </si>
  <si>
    <t>-23.4981161525374</t>
  </si>
  <si>
    <t>-46.6424251755498</t>
  </si>
  <si>
    <t>RUA CAPITAO MANOEL NOVAES ESQUINA COM A RUA CORONEL CARVALHO SOBRINHO</t>
  </si>
  <si>
    <t>-23.5025090140159</t>
  </si>
  <si>
    <t>-46.6395475954949</t>
  </si>
  <si>
    <t>RUA DOUTOR CESAR ESQUINA COM RUA COM JOAQUIM MONTEIRO</t>
  </si>
  <si>
    <t>-23.5025673083962</t>
  </si>
  <si>
    <t>-46.630534363369</t>
  </si>
  <si>
    <t>RUA DOUTOR CESAR  ESQUINA COM A RUA DOS TRES MOSQUETEIROS</t>
  </si>
  <si>
    <t>-23.5032273202629</t>
  </si>
  <si>
    <t>-46.6358196515694</t>
  </si>
  <si>
    <t>RUA WILSON DUPONT 30 PROXIMO A ESQUINA COM RUA CONEGO MANOEL VAZ</t>
  </si>
  <si>
    <t>-23.4983501893365</t>
  </si>
  <si>
    <t>-46.6314640659871</t>
  </si>
  <si>
    <t>RUA MARECHAL HERMES DA FONSECA ESQUINA COM RUA TIJUCA PAULISTA</t>
  </si>
  <si>
    <t>-23.4948316314099</t>
  </si>
  <si>
    <t>-46.6327228119858</t>
  </si>
  <si>
    <t>RUA MARECHAL HERMES DA FONSECA 237 ENTRE A RUA ENGENHEIRO MAC LEAN E A TRAVESSA CARLOS FABBRI</t>
  </si>
  <si>
    <t>-23.4979916408454</t>
  </si>
  <si>
    <t>-46.6322988103388</t>
  </si>
  <si>
    <t>RUA NUNES GARCIA ESQUINA COM RUA VOLUNTARIOS DA PATRIA</t>
  </si>
  <si>
    <t>-23.4978477904717</t>
  </si>
  <si>
    <t>-46.6256230911159</t>
  </si>
  <si>
    <t>RUA SALETE ESQUINA COM A RUA DOUTOR CESAR</t>
  </si>
  <si>
    <t>-23.5023508198071</t>
  </si>
  <si>
    <t>-46.6274133512205</t>
  </si>
  <si>
    <t>RUA DOUTOR CESAR 272 DEFRONTE A RUA FERNANDO SANDRESCHI</t>
  </si>
  <si>
    <t>-23.5020151252505</t>
  </si>
  <si>
    <t>-46.629131466743</t>
  </si>
  <si>
    <t>RUA DAMIANA DA CUNHA ESQUINA COM ALAMEDA AFONSO ACHMIDT</t>
  </si>
  <si>
    <t>-23.4986708220524</t>
  </si>
  <si>
    <t>-46.6377152986238</t>
  </si>
  <si>
    <t>RUA ENGENHEIRO MAC LEAN ESQUINA COM  RUA MARIO ARAUJO</t>
  </si>
  <si>
    <t>-23.497774271123</t>
  </si>
  <si>
    <t>-46.633409297292</t>
  </si>
  <si>
    <t>RUA CONSELHEIRO MOREIRA DE BARROS 601 DEFRONTE A RUA RAIMUNDO DE MORAIS</t>
  </si>
  <si>
    <t>-23.4951543065621</t>
  </si>
  <si>
    <t>-46.6307214929312</t>
  </si>
  <si>
    <t>CARANDIRU</t>
  </si>
  <si>
    <t>RUA VOLUNTARIOS DA PATRIA 1617 PROXIMO A RUA AVIADOR GIL GUILHERME</t>
  </si>
  <si>
    <t>-23.5061835739899</t>
  </si>
  <si>
    <t>-46.6264459085168</t>
  </si>
  <si>
    <t>AVENIDA SANTOS DUMONT DEFRONTE A RUA AVIADOR GIL GUILHERME</t>
  </si>
  <si>
    <t>-23.5063955039771</t>
  </si>
  <si>
    <t>-46.6278712549321</t>
  </si>
  <si>
    <t>RUA AVIACAO  99 PROXIMO A ESQUINA COM AV GENERAL ATALIBA LEONEL</t>
  </si>
  <si>
    <t>-23.5083709996061</t>
  </si>
  <si>
    <t>-46.6271208</t>
  </si>
  <si>
    <t>AVENIDA GENERAL ATALIBA LEONEL ESQUINA COM RUA JOVITA</t>
  </si>
  <si>
    <t>-23.5043703427238</t>
  </si>
  <si>
    <t>-46.6213981848587</t>
  </si>
  <si>
    <t>RUA VOLUNTARIOS DA PATRIA 1787 PROXIMO A ESQUINA COM A RUA DARZAN</t>
  </si>
  <si>
    <t>-23.5045408046132</t>
  </si>
  <si>
    <t>-46.6265382170314</t>
  </si>
  <si>
    <t>RUA DOUTOR ZUQUIM EM FRENTE A ESQUINA COM RUA ALFERES MAGALHAES</t>
  </si>
  <si>
    <t>-23.5052004564975</t>
  </si>
  <si>
    <t>-46.6223283894882</t>
  </si>
  <si>
    <t>RUA CAPITAO RABELO ESQUINA COM A RUA PROFESSOR FABIO FANUCCHI</t>
  </si>
  <si>
    <t>-23.4950324508127</t>
  </si>
  <si>
    <t>-46.6174184544236</t>
  </si>
  <si>
    <t>RUA MARIA DO CARMO SENE 92 DEFRONTE AO EDIFICIO GALATICA</t>
  </si>
  <si>
    <t>-23.4886507091621</t>
  </si>
  <si>
    <t>-46.6125185379886</t>
  </si>
  <si>
    <t>AVENIDA AGUA FRIA ESQUINA COM RUA JERONIMA DIAS</t>
  </si>
  <si>
    <t>-23.4870158959054</t>
  </si>
  <si>
    <t>-46.6238366278339</t>
  </si>
  <si>
    <t>AVENIDA NOVA CANTAREIRA ESQUINA COM RUA MAESTRO JOAO GOMES DE ARAUJO 17</t>
  </si>
  <si>
    <t>-23.4877439387987</t>
  </si>
  <si>
    <t>-46.6222802176773</t>
  </si>
  <si>
    <t>RUA MIRANTE ESQUINA COM AVENIDA LEONCIO DE MAGALHAES</t>
  </si>
  <si>
    <t>-23.4965707059532</t>
  </si>
  <si>
    <t>-46.6152348993004</t>
  </si>
  <si>
    <t>RUA JAIR MORAES ESQUINA COM AVENIDA LUIS DUMONT VILARES</t>
  </si>
  <si>
    <t>-23.4962353697718</t>
  </si>
  <si>
    <t>-46.6122792801655</t>
  </si>
  <si>
    <t>RUA OUTEIRO DA CRUZ ESQUINA COM AVENIDA LEONCIO DE MAGALHAES</t>
  </si>
  <si>
    <t>-23.489361669264</t>
  </si>
  <si>
    <t>-46.6191744082209</t>
  </si>
  <si>
    <t>AVENIDA CANTAREIRA ESQUINA COM AVENIDA AGUAS DE SAO PEDRO</t>
  </si>
  <si>
    <t>-23.4855084630004</t>
  </si>
  <si>
    <t>-46.616094766046</t>
  </si>
  <si>
    <t>AVENIDA LEONCIO DE MAGALHAES 1005  EM FRENTE A ESTACAO JARDIM SAO PAULO</t>
  </si>
  <si>
    <t>-23.4927102333915</t>
  </si>
  <si>
    <t>-46.6178715050952</t>
  </si>
  <si>
    <t>RUA GUAJURUS 147 PROXIMO A ESQUINA COM A RUA AMOROSO COSTA</t>
  </si>
  <si>
    <t>-23.4956735396346</t>
  </si>
  <si>
    <t>-46.6163396325577</t>
  </si>
  <si>
    <t>AVENIDA AGUA FRIA ESQUINA COM RUA AURELIANO LEAL</t>
  </si>
  <si>
    <t>-23.4824275917939</t>
  </si>
  <si>
    <t>-46.6220124910714</t>
  </si>
  <si>
    <t>RUA CONSELHEIRO SARAIVA ESSQUINA COM A RUA CONDESSA SICILIANO NA PRACA LUIZA LEMES</t>
  </si>
  <si>
    <t>-23.4991707251023</t>
  </si>
  <si>
    <t>-46.6199638898439</t>
  </si>
  <si>
    <t>RUA CONSELHEIRO SARAIVA ESQUINA COM A ZRUA MACHADO PEDROSA</t>
  </si>
  <si>
    <t>-23.4992745122743</t>
  </si>
  <si>
    <t>-46.616076453975</t>
  </si>
  <si>
    <t>RUA MANOEL DE SOVERAL ESQUINA COM A RUA DOUTOR ZUQUIM</t>
  </si>
  <si>
    <t>-23.4892772191749</t>
  </si>
  <si>
    <t>-46.6243380680008</t>
  </si>
  <si>
    <t>RUA MARIA DE CARVALHO CASTRO ESQUINA COM A RUA PADRE AGOSTINHO PONCETTI</t>
  </si>
  <si>
    <t>-23.4841363011682</t>
  </si>
  <si>
    <t>-46.6277244171497</t>
  </si>
  <si>
    <t>RUA JOAQUIM NORBERTO ESQUINA COM A TRAVESSA BENEDITO ACACIO GONCALVES</t>
  </si>
  <si>
    <t>-23.4885140173411</t>
  </si>
  <si>
    <t>-46.6162623477202</t>
  </si>
  <si>
    <t>RUA PEDRO MADUREIRA ESQUINA COM A RUA CAPITAO RABELO</t>
  </si>
  <si>
    <t>-23.4940731087215</t>
  </si>
  <si>
    <t>-46.6182264458445</t>
  </si>
  <si>
    <t>RUA RAFAEL DE OLIVEIRA ESQUINA COM A RUA JERONIMA DIAS</t>
  </si>
  <si>
    <t>-23.4849424782903</t>
  </si>
  <si>
    <t>-46.623650864666</t>
  </si>
  <si>
    <t>RUA SILVIO DELDUQUE ESQUINA COM AVENIDA AGUA FRIA</t>
  </si>
  <si>
    <t>-23.4843060896026</t>
  </si>
  <si>
    <t>-46.6225001667561</t>
  </si>
  <si>
    <t>AVENIDA NOVA CANTAREIRA ESQUINA COM A RUA GASPAR SOARES</t>
  </si>
  <si>
    <t>-23.4878588443377</t>
  </si>
  <si>
    <t>-46.6215518402779</t>
  </si>
  <si>
    <t>RUA VIRI DEFRONTE AO CENTRO POLIESPORTIVO</t>
  </si>
  <si>
    <t>-23.4952110723185</t>
  </si>
  <si>
    <t>-46.6128090743484</t>
  </si>
  <si>
    <t>RUA ISMAEL NERI ESQUINA COM A RUA CORNETEIRO JESUS</t>
  </si>
  <si>
    <t>-23.4811454685839</t>
  </si>
  <si>
    <t>-46.6175407701541</t>
  </si>
  <si>
    <t>AVENIDA LEONCIDO DE MAGALHAES 1587 DEFRONTE A RUA TIBIRI</t>
  </si>
  <si>
    <t>-23.4876064141315</t>
  </si>
  <si>
    <t>-46.6189697228623</t>
  </si>
  <si>
    <t>PARQUE ANHEMBI</t>
  </si>
  <si>
    <t>AVENIDA OLAVO FONTOURA 529   1391</t>
  </si>
  <si>
    <t>-23.5142093837182</t>
  </si>
  <si>
    <t>-46.6340950721408</t>
  </si>
  <si>
    <t>AVENIDA OLAVO FONTOURA ENTRADA 23H DO SAMBODROMO DO ANHEMBI</t>
  </si>
  <si>
    <t>-23.5157479103598</t>
  </si>
  <si>
    <t>-46.6467858297082</t>
  </si>
  <si>
    <t>AVENIDA OLAVO FONTOURA VIA INTERIOR DO ANHEMBI PROXIMO AO PORTAO 38</t>
  </si>
  <si>
    <t>-23.5147637675504</t>
  </si>
  <si>
    <t>-46.6387249609487</t>
  </si>
  <si>
    <t>SAMBODROMO DO ANHEMBI AREA DE CONCENTRACAO TRAVESSA DA RUA PROFESSOR MILTON RODRIGUES</t>
  </si>
  <si>
    <t>-23.5167570227027</t>
  </si>
  <si>
    <t>-46.642026167419</t>
  </si>
  <si>
    <t>AVENIDA OLAVO FONTOURA 1400 EM FRENTE AO HOSPITAL DA AERONAUTICA</t>
  </si>
  <si>
    <t>-23.5152782812342</t>
  </si>
  <si>
    <t>-46.6440749391365</t>
  </si>
  <si>
    <t>ALAMEDA AFONSO SCHMIDT ESQUINA COM RUA DONA ELFRIDA</t>
  </si>
  <si>
    <t>-23.4959908238684</t>
  </si>
  <si>
    <t>-46.6367429314738</t>
  </si>
  <si>
    <t>RUA GRACIEMA NOBRE DE CAMPOS ESQUINA COM RUA IGUAPE</t>
  </si>
  <si>
    <t>-23.4887612042112</t>
  </si>
  <si>
    <t>-46.6364483688313</t>
  </si>
  <si>
    <t>RUA VOLUNTARIOS DA PATRIA ESQUINA COM RUA AUGUSTO TOLLE</t>
  </si>
  <si>
    <t>-23.483211173171</t>
  </si>
  <si>
    <t>-46.6318340402807</t>
  </si>
  <si>
    <t>AVENIDA IMIRIM ESQUINA COM RUA ANA RIBEIRO</t>
  </si>
  <si>
    <t>-23.4931951202053</t>
  </si>
  <si>
    <t>-46.6482751611831</t>
  </si>
  <si>
    <t>TRAVESSA LUIS GONCALVES ESQUINA COM RUA NOVA DOS PORTUGUESES</t>
  </si>
  <si>
    <t>-23.4918833892324</t>
  </si>
  <si>
    <t>-46.6417428713281</t>
  </si>
  <si>
    <t>RUA DONA ELFRIDA 751</t>
  </si>
  <si>
    <t>-23.4912046805815</t>
  </si>
  <si>
    <t>-46.6408155544602</t>
  </si>
  <si>
    <t>AVENIDA IMIRIM ESQUINA COM RUA MARIA SIMOES</t>
  </si>
  <si>
    <t>-23.4959705887712</t>
  </si>
  <si>
    <t>-46.6431320953626</t>
  </si>
  <si>
    <t>RUA DOUTOR ARTUR GUIMARAES PROXIMO DA ESQUINA COM A RUA VOLUNTARIOS DA PATRIA</t>
  </si>
  <si>
    <t>-23.4918963090373</t>
  </si>
  <si>
    <t>-46.6258148716564</t>
  </si>
  <si>
    <t>RUA DIOGO CABRERA ESQUINA COM RUA CIRILO DE OLIVEIRA</t>
  </si>
  <si>
    <t>-23.4912337087641</t>
  </si>
  <si>
    <t>-46.6453869344318</t>
  </si>
  <si>
    <t>RUA GOULART DE ANDRADE 56</t>
  </si>
  <si>
    <t>-23.4878030382887</t>
  </si>
  <si>
    <t>-46.6354821612941</t>
  </si>
  <si>
    <t>RUA NABUCO DE ARAUJO ESQUINA COM RUA PEREGRINO</t>
  </si>
  <si>
    <t>-23.4876082132155</t>
  </si>
  <si>
    <t>-46.6347184605791</t>
  </si>
  <si>
    <t>RUA NATALINO CARIBE ESQUINA COM AVENIDA ENGENHEIRO CAETANO ALVARES</t>
  </si>
  <si>
    <t>-23.4885556405545</t>
  </si>
  <si>
    <t>-46.6490699909536</t>
  </si>
  <si>
    <t>AVENIDA IMIRIM ESQUINA COM RUA DIOGO BUENO</t>
  </si>
  <si>
    <t>-23.4942119336704</t>
  </si>
  <si>
    <t>-46.6466603688636</t>
  </si>
  <si>
    <t>ALAMEDA AFONSO SCHIMIDT</t>
  </si>
  <si>
    <t>-23.4941093815566</t>
  </si>
  <si>
    <t>-46.6344888037582</t>
  </si>
  <si>
    <t>RUA VOLUNTARIOS DA PATRIA ESQUINA COM A RUA ALFREDO PUJOL</t>
  </si>
  <si>
    <t>2021-09-14</t>
  </si>
  <si>
    <t>-23.5004439974477</t>
  </si>
  <si>
    <t>-46.6259081870283</t>
  </si>
  <si>
    <t>AVENIDA BRAZ LEME 3351 EM FRENTE AO PB SANTANA</t>
  </si>
  <si>
    <t>-23.5038279354792</t>
  </si>
  <si>
    <t>-46.628084516926</t>
  </si>
  <si>
    <t>AVENIDA CRUZEIRO DO SUL EM FRENTE A ESTACAO SANTANA</t>
  </si>
  <si>
    <t>-23.5028358219088</t>
  </si>
  <si>
    <t>-46.6244010237537</t>
  </si>
  <si>
    <t>RUA DOUTOR CESAR ESQUINA COM A RUA VOLUNTARIOS DA PATRIA</t>
  </si>
  <si>
    <t>-23.5028610565666</t>
  </si>
  <si>
    <t>-46.6264759629757</t>
  </si>
  <si>
    <t>RUA DOUTOR GABRIEL PIZA ESQUINA COM RUA JOVITA</t>
  </si>
  <si>
    <t>-23.5019891636594</t>
  </si>
  <si>
    <t>-46.6211190144067</t>
  </si>
  <si>
    <t>RUA DUARTE DE AZEVEDO ESQUINA COM A RUA JOSE LEAL DA SILVA</t>
  </si>
  <si>
    <t>-23.5012170018756</t>
  </si>
  <si>
    <t>-46.6185183952381</t>
  </si>
  <si>
    <t>RUA JOVITA ESQUINA COM RUA DOUTOR OLAVO EGIDIO</t>
  </si>
  <si>
    <t>-23.4998475411799</t>
  </si>
  <si>
    <t>-46.6210852135045</t>
  </si>
  <si>
    <t>RUA EZEQUIEL FREIRE ESQUINA COM A RUA DOUTOR OLAVO EGIDIO</t>
  </si>
  <si>
    <t>-23.5000303931329</t>
  </si>
  <si>
    <t>-46.6234214513765</t>
  </si>
  <si>
    <t>RUA DOUTOR OLAVO EGIDIO ESQUINA COM A RUA JOVITA</t>
  </si>
  <si>
    <t>-23.5000836758995</t>
  </si>
  <si>
    <t>-46.6213391258629</t>
  </si>
  <si>
    <t>RUA DOUTOR ZUQUIM ESQUINA COM RUA DOUTOR OLAVO EGIDIO</t>
  </si>
  <si>
    <t>-23.5000576342328</t>
  </si>
  <si>
    <t>-46.6225054205056</t>
  </si>
  <si>
    <t>TIETÊ</t>
  </si>
  <si>
    <t>RUA VOLUNTARIOS DA PATRIA 344</t>
  </si>
  <si>
    <t>-23.517167342217</t>
  </si>
  <si>
    <t>-46.6275540289311</t>
  </si>
  <si>
    <t>AVENIDA CRUZEIRO DO SUL ESQUINA COM A RUA  MARECHAL ODYLIO DENYS</t>
  </si>
  <si>
    <t>-23.5164488745571</t>
  </si>
  <si>
    <t>-46.6254979197966</t>
  </si>
  <si>
    <t>RUA EUDORO LEMOS  NO MEIO DO CANTEIRO ENTRE A CRUZEIRO DO SUL E AO TERMINAL RODOVIARIO</t>
  </si>
  <si>
    <t>-23.5164744869384</t>
  </si>
  <si>
    <t>-46.6248026427169</t>
  </si>
  <si>
    <t>RUA GABRIEL PRESTES 1 ESQUINA COM A RUA VOLUNTARIOS DA PATRIA</t>
  </si>
  <si>
    <t>-23.5122800352629</t>
  </si>
  <si>
    <t>-46.6260111932837</t>
  </si>
  <si>
    <t>RUA VOLUNTARIOS DA PATRIA 401</t>
  </si>
  <si>
    <t>-23.5170810380323</t>
  </si>
  <si>
    <t>-46.6274912088783</t>
  </si>
  <si>
    <t>ZAKI NARCHI</t>
  </si>
  <si>
    <t>AVENIDA GENERAL ATALIBA LEONEL EM FRENTE A PENITENCIARIA FEMININA SANTANA</t>
  </si>
  <si>
    <t>-23.5046558194534</t>
  </si>
  <si>
    <t>-46.6209630039789</t>
  </si>
  <si>
    <t>AVENIDA CRUZEIRO DO SUL EM FRENTE A ESTACAO CARANDIRU</t>
  </si>
  <si>
    <t>-23.507938944104</t>
  </si>
  <si>
    <t>-46.6246029227143</t>
  </si>
  <si>
    <t>AVENIDA CRUZEIRO DO SUL  ESTACAO CARANDIRU DO METRO</t>
  </si>
  <si>
    <t>-23.5090918982054</t>
  </si>
  <si>
    <t>-46.6245790608747</t>
  </si>
  <si>
    <t>AVENIDA ZAKI NARCHI ESQUINA COM A RUA DOM JOSE MAURICIO</t>
  </si>
  <si>
    <t>-23.5098664397389</t>
  </si>
  <si>
    <t>-46.6185603418656</t>
  </si>
  <si>
    <t>RUA ANTONIO DOS SANTOS NETO PORTAO DO BLOCO 07 CINGAPURA</t>
  </si>
  <si>
    <t>-23.5098006752267</t>
  </si>
  <si>
    <t>-46.620023838036</t>
  </si>
  <si>
    <t>JARDIM MUTINGA</t>
  </si>
  <si>
    <t>AVENIDA MUTINGA DEFRONTE A RUA JERONIMO TELES JUNIOR</t>
  </si>
  <si>
    <t>-23.5000791299788</t>
  </si>
  <si>
    <t>-46.7518152883222</t>
  </si>
  <si>
    <t>RUA PIERRE LAFAGE PROXIMO DA ESQUINA COM A RUA JOAO HENRIQUE DA SILVA</t>
  </si>
  <si>
    <t>-23.481140226901</t>
  </si>
  <si>
    <t>-46.7659568785123</t>
  </si>
  <si>
    <t>RUA JOAO HENRIQUE DA SILVA ESQUINA COM A RUA ALLPAC</t>
  </si>
  <si>
    <t>-23.482917251644</t>
  </si>
  <si>
    <t>-46.7649565779767</t>
  </si>
  <si>
    <t>RUA BELO JARDIM ESQUINA COM A RUA ALPINA</t>
  </si>
  <si>
    <t>-23.4861451359724</t>
  </si>
  <si>
    <t>-46.7511385603425</t>
  </si>
  <si>
    <t>RUA PIERRE LAFAGE</t>
  </si>
  <si>
    <t>-23.4778873456627</t>
  </si>
  <si>
    <t>-46.7651829258091</t>
  </si>
  <si>
    <t>AVENIDA MUTINGA ESQUINA COM A RUA MARIA SALIM ROMEU</t>
  </si>
  <si>
    <t>-23.4872179088116</t>
  </si>
  <si>
    <t>-46.7479968452235</t>
  </si>
  <si>
    <t>RUA ERVA CAPITAO ESQUINA COM A RUA CORONEL JOSE RUFINO FREIRE</t>
  </si>
  <si>
    <t>-23.4904929058145</t>
  </si>
  <si>
    <t>-46.7540013920792</t>
  </si>
  <si>
    <t>RUA CORONEL JOSE VENANCIO DIAS DEFRONTE A RUA FELICISSIMO DE SOUZA</t>
  </si>
  <si>
    <t>-23.4827266452848</t>
  </si>
  <si>
    <t>-46.7562013120953</t>
  </si>
  <si>
    <t>RUA BELO JARDIM ESQUINA COM A RUA FREDERICO LECOR</t>
  </si>
  <si>
    <t>-23.4879868694217</t>
  </si>
  <si>
    <t>-46.7495007907145</t>
  </si>
  <si>
    <t>RUA ADOLFO EBER 01 NO FINAL DA RUA</t>
  </si>
  <si>
    <t>-23.47829576496</t>
  </si>
  <si>
    <t>-46.759287570895</t>
  </si>
  <si>
    <t>AVENIDA DO ANASTACIO 2421 NO INTERIOR DO PREDIO DA SABESP</t>
  </si>
  <si>
    <t>-23.4899204750915</t>
  </si>
  <si>
    <t>-46.7378942682042</t>
  </si>
  <si>
    <t>RUA INACIO LUIS DA COSTA ESQUINA COM  A RUA ABRAHAM LINCOLN</t>
  </si>
  <si>
    <t>-23.5078636910592</t>
  </si>
  <si>
    <t>-46.73669280812</t>
  </si>
  <si>
    <t>AVENIDA ELISIO CORDEIRO DE SIQUEIRA ESQUINA COM A RUA PADRE JOAO BELL</t>
  </si>
  <si>
    <t>-23.5053577614269</t>
  </si>
  <si>
    <t>-46.748074617589</t>
  </si>
  <si>
    <t>RUA MANOEL RODRIGUES DA COSTA ESQUINA COM A RUA MANOEL MARTINS DA ROCHA</t>
  </si>
  <si>
    <t>-23.4868282216829</t>
  </si>
  <si>
    <t>-46.7439697999465</t>
  </si>
  <si>
    <t>RUA CELESTINO MARINELLI  PROXIMO A ESQUINA COM A RUA JOSE ATALIBA ORTIZ</t>
  </si>
  <si>
    <t>-23.5012268643755</t>
  </si>
  <si>
    <t>-46.742132045201</t>
  </si>
  <si>
    <t>RUA JOSE DE MORAES 4 ESQUINA COM RUA INACIO LUIS DA COSTA</t>
  </si>
  <si>
    <t>-23.5084091473239</t>
  </si>
  <si>
    <t>-46.731570594421</t>
  </si>
  <si>
    <t>RUA JOAO VELOSO DE OLIVEIRA 27 ESQUINA COM A RUA MARTINS T TEOTONIO</t>
  </si>
  <si>
    <t>-23.5063969617935</t>
  </si>
  <si>
    <t>-46.7424245337719</t>
  </si>
  <si>
    <t>RUA PROFESSOR ANGELO MAZZA PROXIMO DA ESQUINA DA RUA GENERAL CAVALCANTI DE FARIAS</t>
  </si>
  <si>
    <t>-23.4897279973845</t>
  </si>
  <si>
    <t>-46.7475698146451</t>
  </si>
  <si>
    <t>RUA ARMANDO MARTINDO DEFRONTE A RUA SEVERINO VILAR FILHO</t>
  </si>
  <si>
    <t>-23.4961934488695</t>
  </si>
  <si>
    <t>-46.7413859078214</t>
  </si>
  <si>
    <t>RUA EDVARD DE VITA GODOY PROXIMO DA ESQUINA COM A RUA EDVARD DE VITA GODOY   PB PIRITUBA</t>
  </si>
  <si>
    <t>-23.4912985156879</t>
  </si>
  <si>
    <t>-46.7384925902136</t>
  </si>
  <si>
    <t>RUA MANOEL LOPES DA CUNHA DEFRONTE A RUA ALDO MANUCIO</t>
  </si>
  <si>
    <t>-23.5060731341724</t>
  </si>
  <si>
    <t>-46.7455679737245</t>
  </si>
  <si>
    <t>RUA ARMANDO FLAMARION COELHO 157 PROXIMO DA ESQUINA COM A RUA JONAS EUDOQUE DOS SANTOS</t>
  </si>
  <si>
    <t>-23.4976629042891</t>
  </si>
  <si>
    <t>-46.7496308444474</t>
  </si>
  <si>
    <t>AVENIDA DO ANASTACIO ESQUINA COM A RUA PROFESSOR BENEDITO ALARICO  DE CASTRO BORELLI</t>
  </si>
  <si>
    <t>-23.5050642742554</t>
  </si>
  <si>
    <t>-46.7334609932399</t>
  </si>
  <si>
    <t>RUA RUBENS DE SOUZA ARAUJO PROXIMO A RUA JOSE BARRETO DOS SANTOS</t>
  </si>
  <si>
    <t>-23.504582739504</t>
  </si>
  <si>
    <t>-46.7450045741416</t>
  </si>
  <si>
    <t>RUA GIOVANI RECORDATI ESQUINA COM A RUA BRIGADEIRO HENRIQUE FONTINELLE</t>
  </si>
  <si>
    <t>-23.5067093437388</t>
  </si>
  <si>
    <t>-46.7405974326531</t>
  </si>
  <si>
    <t>RUA MANUEL DE OLIVEIRA ESQUINA COM A RUA EUSEBIO  NO MEIO DA RUA</t>
  </si>
  <si>
    <t>-23.495482715387</t>
  </si>
  <si>
    <t>-46.7405516543743</t>
  </si>
  <si>
    <t>RUA ADOLFO DE SOUZA CARNEIRO ESQUINA COM A RUA FRANCISCO BASILIO DE MELO</t>
  </si>
  <si>
    <t>-23.4923801530947</t>
  </si>
  <si>
    <t>-46.7410608777132</t>
  </si>
  <si>
    <t>RUA JOAQUIM DE OLIVEIRA FREITAS ESQUINA COM A RUA FRANCISCO JORGE MACIEL</t>
  </si>
  <si>
    <t>-23.495695957032</t>
  </si>
  <si>
    <t>-46.7455706815092</t>
  </si>
  <si>
    <t>RUA GENERAL ALENCASTRO GUIMARAES 130 ESQUINA COM RUA DOUTOR ROBERTO TARLE</t>
  </si>
  <si>
    <t>-23.5100088800097</t>
  </si>
  <si>
    <t>-46.7230554756604</t>
  </si>
  <si>
    <t>RUA JOSE DOS REIS CARVALHO ESQUINA COM A RUA FERREIRA BARBOSA</t>
  </si>
  <si>
    <t>-23.4905409937728</t>
  </si>
  <si>
    <t>-46.7460081120953</t>
  </si>
  <si>
    <t>RUA ALMERIO DE ALBUQUERQUE MELO DEFRONTE A RUA SEVERINO CHAGAS DA SILVA</t>
  </si>
  <si>
    <t>-23.500366296242</t>
  </si>
  <si>
    <t>-46.7501277021684</t>
  </si>
  <si>
    <t>RUA WILLIS ROBERTO BANKS 48 PROXIMO DA ESQUINA COM A RUA MONSENHOR CASTRO NEY</t>
  </si>
  <si>
    <t>2021-09-24</t>
  </si>
  <si>
    <t>-23.4938317290775</t>
  </si>
  <si>
    <t>-46.7376149644933</t>
  </si>
  <si>
    <t>RUA ROBERTO DE LAMENAIS ESQUINA COM A RUA ELVIRA DA ROCHA LIMA DE TOLEDO</t>
  </si>
  <si>
    <t>-23.5005353001404</t>
  </si>
  <si>
    <t>-46.7441438623932</t>
  </si>
  <si>
    <t>RUA JOAQUIM DE OLIVEIRA FREITAS PROXIMO DA ESQUINA COM A TRAVESSA RADAMES</t>
  </si>
  <si>
    <t>-23.492778811511</t>
  </si>
  <si>
    <t>-46.7452979757198</t>
  </si>
  <si>
    <t>RUA PADRE MARIANO FRIAS ESQUINA COM A RUA RUDI SCHALY</t>
  </si>
  <si>
    <t>-23.507248316781</t>
  </si>
  <si>
    <t>-46.7232029651442</t>
  </si>
  <si>
    <t>RUA JOSE ATALIBA ORTIZ ESQUINA COM A RUA ELVIRA ROCHA LIMA DE TOLEDO</t>
  </si>
  <si>
    <t>-23.4998017114331</t>
  </si>
  <si>
    <t>-46.7436777043963</t>
  </si>
  <si>
    <t>RUA MANUEL PINHEIRO 400 ALTURA DA RUA CLARINETA</t>
  </si>
  <si>
    <t>-23.497445070344</t>
  </si>
  <si>
    <t>-46.7446190653811</t>
  </si>
  <si>
    <t>RUA PEDRO DE LUCENA PEREIRA ESQUINA COM A AVENIDA ELISIO CORDEIRO DE SIQUEIRA</t>
  </si>
  <si>
    <t>-23.5000366603491</t>
  </si>
  <si>
    <t>-46.7473314516803</t>
  </si>
  <si>
    <t>RUA PEDRO LADISLAU DE ALMEIDA ESQUINA COM A RUA JOSE DA COSTA VALERIO</t>
  </si>
  <si>
    <t>-23.4977704444274</t>
  </si>
  <si>
    <t>-46.7370605412171</t>
  </si>
  <si>
    <t>RUA ANTONIO FELIX PACHECO ESQUINA COM A RUA ITAPEJARA</t>
  </si>
  <si>
    <t>-23.494335916223</t>
  </si>
  <si>
    <t>-46.7435813372432</t>
  </si>
  <si>
    <t>AVENIDA DO ANASTACIO 745  PROXIMO A ESQUINA COM A RUA SENADOR ALBERTO PASQUALINI</t>
  </si>
  <si>
    <t>-23.501986519392</t>
  </si>
  <si>
    <t>-46.7334589985006</t>
  </si>
  <si>
    <t>RUA BRIGADEIRO HENRIQUE FONTENELLE ESQUINA COM A RUA TOMAIS LOPES FERREIRA</t>
  </si>
  <si>
    <t>-23.5004586387758</t>
  </si>
  <si>
    <t>-46.7389931715028</t>
  </si>
  <si>
    <t>RUA BRIGADEIRO HENRIQUE FONTENELLE ESQUINA COM A RUA ABRAHAM LINCOLN</t>
  </si>
  <si>
    <t>-23.505126368994</t>
  </si>
  <si>
    <t>-46.7401460265257</t>
  </si>
  <si>
    <t>RUA GENERAL CHARLES DE GAULLE ESQUINA COM A RUA ABRAHAM LINCOLM</t>
  </si>
  <si>
    <t>-23.5053261868298</t>
  </si>
  <si>
    <t>-46.7371515932852</t>
  </si>
  <si>
    <t>RUA PROFESSORA ALTINA MAYNARD ARAUJO 536 DEFRONTE A RUA PROFESSOR AGNALDO SIMOES</t>
  </si>
  <si>
    <t>-23.5028830240723</t>
  </si>
  <si>
    <t>-46.7373145652789</t>
  </si>
  <si>
    <t>TRAVESSA MURACATI ESQUINA COM A RUA INACIO LUIS DA COSTA PISTA LOCAL DA RODOVIA ANHANGUERA</t>
  </si>
  <si>
    <t>-23.5070877015094</t>
  </si>
  <si>
    <t>-46.7438972166762</t>
  </si>
  <si>
    <t>JARDIM DAS PEDRAS</t>
  </si>
  <si>
    <t>RUA BARAO CARLOS DE SOUSA AHUNMAS ESQUINA COM RUA MAESTRO LAURO PINTO RIBEIRO</t>
  </si>
  <si>
    <t>-23.4350736471485</t>
  </si>
  <si>
    <t>-46.5816805647731</t>
  </si>
  <si>
    <t>RUA SAO FELIPE NERI ESQUINA COM A RUA SANTO ANDRE CORSINI</t>
  </si>
  <si>
    <t>-23.4351782821352</t>
  </si>
  <si>
    <t>-46.5725148117144</t>
  </si>
  <si>
    <t>RUA USHIKICHI KAMIYA 1716</t>
  </si>
  <si>
    <t>-23.4394394514484</t>
  </si>
  <si>
    <t>-46.5784762521979</t>
  </si>
  <si>
    <t>RUA MANOEL GAYA ESQUINA COM RUA DAS IMBIRAS</t>
  </si>
  <si>
    <t>-23.465553682894</t>
  </si>
  <si>
    <t>-46.5972467176697</t>
  </si>
  <si>
    <t>RUA BENEDITO SERVULO SANTANA 52 PROXIMO A RUA HENRIQUE ARMBRUST</t>
  </si>
  <si>
    <t>2020-09-11</t>
  </si>
  <si>
    <t>-23.4591437707847</t>
  </si>
  <si>
    <t>-46.5864543661808</t>
  </si>
  <si>
    <t>RUA ANTONIETA ALTENFELDER PROXIMO A RUA MARIA CECILIA RANGEL</t>
  </si>
  <si>
    <t>-23.4578392306903</t>
  </si>
  <si>
    <t>-46.5889615291747</t>
  </si>
  <si>
    <t>RUA TEREZA CARRENO ESQUINA COM RUA BELA VISTA</t>
  </si>
  <si>
    <t>-23.4457382624195</t>
  </si>
  <si>
    <t>-46.5802754663798</t>
  </si>
  <si>
    <t>RUA DAS FLORES II 100</t>
  </si>
  <si>
    <t>-23.4449103465038</t>
  </si>
  <si>
    <t>-46.5779796288395</t>
  </si>
  <si>
    <t>RUA DOUTOR LIZ NAZARENO DE ASSUMPCAO ESQUINA COM ORLANDO DA COSTA MEIRA</t>
  </si>
  <si>
    <t>-23.460708059733</t>
  </si>
  <si>
    <t>-46.5900709233271</t>
  </si>
  <si>
    <t>RUA UM 223 PROXIMO A VIELA F</t>
  </si>
  <si>
    <t>-23.4540676184675</t>
  </si>
  <si>
    <t>-46.586999791894</t>
  </si>
  <si>
    <t>RUA LUIS ANTONIO DE OLIVEIRA ALVES ESQUINA COM AVENIDA MARIO PERNAMBUCO</t>
  </si>
  <si>
    <t>-23.4625665904695</t>
  </si>
  <si>
    <t>-46.5982494742431</t>
  </si>
  <si>
    <t>RUA ANTONIO ALVAREZ AIRAO ESQUINA COM RUA MARIA LOPES DE AZEVEDO</t>
  </si>
  <si>
    <t>-23.4565673044144</t>
  </si>
  <si>
    <t>-46.5980758108028</t>
  </si>
  <si>
    <t>RUA IMBIRAS 795 ESQUINA COM A RUA CARLOS ADALBERTO ILHA MACEDO</t>
  </si>
  <si>
    <t>-23.4594788797664</t>
  </si>
  <si>
    <t>-46.5938043738189</t>
  </si>
  <si>
    <t>RUA CARLOS MARTEL ENFRETE A ESCOLA LEOVERGILIO MOREIRA</t>
  </si>
  <si>
    <t>-23.4448789152994</t>
  </si>
  <si>
    <t>-46.588001385816</t>
  </si>
  <si>
    <t>RUA BLAS DO PRADO 356 ENTRE AS RUAS MARCO RUTINI E RUA DOM LUIS DE SAXE</t>
  </si>
  <si>
    <t>-23.4453143010537</t>
  </si>
  <si>
    <t>-46.5929617546774</t>
  </si>
  <si>
    <t>PARQUE PALMAS DO TREMEMBÉ</t>
  </si>
  <si>
    <t>RUA NELSON ANTONIO CAMPANELLI ESQUINA COM A RUA ALFREDO PARDINI</t>
  </si>
  <si>
    <t>-23.4562557038478</t>
  </si>
  <si>
    <t>-46.6039007960938</t>
  </si>
  <si>
    <t>RUA AGOSTINHO SOARES ESQUINA COM AVENIDA NOVA CANTAREIRA</t>
  </si>
  <si>
    <t>-23.4559735539444</t>
  </si>
  <si>
    <t>-46.6141985720684</t>
  </si>
  <si>
    <t>TRAVESSA OSWALDO ZAMBON FILHO NO FINAL DA TRAVESSA A DIREITA</t>
  </si>
  <si>
    <t>-23.4489941679291</t>
  </si>
  <si>
    <t>-46.6130392733593</t>
  </si>
  <si>
    <t>RUA ITAPEJARA DO OESTE ESQUINA COM RUA PROFESSORA MARGARIDA RUTH FERREIRA DE LIMA(DENTRO DE CONDOMINIO</t>
  </si>
  <si>
    <t>-23.4538554083868</t>
  </si>
  <si>
    <t>-46.6296118456119</t>
  </si>
  <si>
    <t>RUA PEDRO ESQUINA COM RUA MARIA AMALIA LOPES DE AZEVEDO</t>
  </si>
  <si>
    <t>-23.45798112467</t>
  </si>
  <si>
    <t>-46.6184398235071</t>
  </si>
  <si>
    <t>RUA DO HORTO ESQUINA COM PASSAGEM PARTICULAR PROXIMA A RUA CARLOS DA SILVA LACAZ</t>
  </si>
  <si>
    <t>-23.4589698914221</t>
  </si>
  <si>
    <t>-46.6332845955358</t>
  </si>
  <si>
    <t>RUA JOSEFINA ARNONI 115   ATRAS DO PORTAO DO CONDOMINIO</t>
  </si>
  <si>
    <t>-23.4571499410876</t>
  </si>
  <si>
    <t>-46.620637680413</t>
  </si>
  <si>
    <t>TRAVESSA CEU VAZIO ESQUINA COM A RUA JOAO MIGUEL FERREIRA</t>
  </si>
  <si>
    <t>-23.4546122556495</t>
  </si>
  <si>
    <t>-46.6327092238102</t>
  </si>
  <si>
    <t>RUA LEONEL FERNANDES ESQUINA COM A RUA MAMUD RAHD DEFRONTE A PRACA DONA MARIQUNHA SCIASCIA</t>
  </si>
  <si>
    <t>-23.4592314714073</t>
  </si>
  <si>
    <t>-46.623935138244</t>
  </si>
  <si>
    <t>RUA MARIA AMALIA LOPES DE AZEVEDO ESQUINA COM A RUA ANTONIO PESTANA</t>
  </si>
  <si>
    <t>-23.4608619388737</t>
  </si>
  <si>
    <t>-46.6219996154763</t>
  </si>
  <si>
    <t>RUA MATHEUS RODRIGUES 44 PROXIMO A  RUA DO HORTO</t>
  </si>
  <si>
    <t>-23.4589181817497</t>
  </si>
  <si>
    <t>-46.6315493690476</t>
  </si>
  <si>
    <t>RUA VIEIRA DE MELO ESQUINA COM AVENIDA NOVA CANTAREIRA</t>
  </si>
  <si>
    <t>-23.4516596617623</t>
  </si>
  <si>
    <t>-46.6163624209448</t>
  </si>
  <si>
    <t>RUA ICAMAQUA ESQUINA COM A RUA SAO CLETO</t>
  </si>
  <si>
    <t>-23.4572005349709</t>
  </si>
  <si>
    <t>-46.6267511494937</t>
  </si>
  <si>
    <t>AVENIDA TUCURUVI DEFRONTE COM AVENIDA DOUTOR ANTONIO MARIA DE LAET</t>
  </si>
  <si>
    <t>-23.4812333597206</t>
  </si>
  <si>
    <t>-46.6045552363394</t>
  </si>
  <si>
    <t>AVENIDA MARECHAL EURICO GASPAR DUTRA PROXIMO A ESQUINA COM AS RUAS MONTE BELO E BARARQUE</t>
  </si>
  <si>
    <t>-23.486222582925</t>
  </si>
  <si>
    <t>-46.6108933029445</t>
  </si>
  <si>
    <t>RUA JOSE OSVALDO ESQUINA COM A RUA AGUDOS GRANDES</t>
  </si>
  <si>
    <t>-23.4866506794593</t>
  </si>
  <si>
    <t>-46.5944511888269</t>
  </si>
  <si>
    <t>RUA AMIUTE ESQUINA COM A RUA CRUZ DE MALTA</t>
  </si>
  <si>
    <t>-23.4854587301931</t>
  </si>
  <si>
    <t>-46.599818259714</t>
  </si>
  <si>
    <t>AVENIDA ALVARO MACHADO PEDROSA ESQUINA COM A RUA ARIOSTO CESAR</t>
  </si>
  <si>
    <t>-23.4823078779159</t>
  </si>
  <si>
    <t>-46.6046422921649</t>
  </si>
  <si>
    <t>RUA VINTE QUATRO DE DEZEMBRO PROXIMA AVENIDA LUIS DUMONT VILARES</t>
  </si>
  <si>
    <t>-23.4897125674066</t>
  </si>
  <si>
    <t>-46.6096041657709</t>
  </si>
  <si>
    <t>RUA MAJOR DANTAS CORTEZ ESQUINA COM A RUA CAMATEI</t>
  </si>
  <si>
    <t>-23.4846216348</t>
  </si>
  <si>
    <t>-46.5934560682831</t>
  </si>
  <si>
    <t>RUA BORGES DEFRONTE A RUA ANGELA DO AMARAL RANGEL</t>
  </si>
  <si>
    <t>-23.4877749848742</t>
  </si>
  <si>
    <t>-46.6003119922432</t>
  </si>
  <si>
    <t>RUA DONA CARMINA PASQUI ESQUINA COM A RUA AGUACERITA</t>
  </si>
  <si>
    <t>-23.4919538598647</t>
  </si>
  <si>
    <t>-46.6056151720142</t>
  </si>
  <si>
    <t>RUA DO TRAMWAY 1000 DEFRONTE A TRAVESSA CACIQUE APOEMA</t>
  </si>
  <si>
    <t>-23.4814531594651</t>
  </si>
  <si>
    <t>-46.6062685214659</t>
  </si>
  <si>
    <t>CURVA DE ACESSO ENTRE AVENIDA TUCURUVI E RUA DOMINGOS CALHEIROS</t>
  </si>
  <si>
    <t>-23.4788996242801</t>
  </si>
  <si>
    <t>-46.6089209505253</t>
  </si>
  <si>
    <t>RUA DA GROTA ESQUINA COM RUA FRANCISCA MARIA DE SOUZA</t>
  </si>
  <si>
    <t>-23.4849334073604</t>
  </si>
  <si>
    <t>-46.5972197096131</t>
  </si>
  <si>
    <t>NA CURVA DE ACESSO ENTRE AS AVENIDAS NOVA CANTAREIRA E TUCURUVI</t>
  </si>
  <si>
    <t>-23.4775934528044</t>
  </si>
  <si>
    <t>-46.6102684726965</t>
  </si>
  <si>
    <t>AVENIDA NOVA CANTAREIRA ESQUINA COM A RUA PAULO MALDI</t>
  </si>
  <si>
    <t>-23.4821595978153</t>
  </si>
  <si>
    <t>-46.6128213646312</t>
  </si>
  <si>
    <t>RUA JOSE DE ALBUQUERQUE ESQUINA COM AVENIDA GENERAL ATALIBA LEONEL</t>
  </si>
  <si>
    <t>-23.4825931234029</t>
  </si>
  <si>
    <t>-46.6022786090528</t>
  </si>
  <si>
    <t>AVENIDA GENERAL ATALIBA LEONEL ESQUINA COM A RUA PAULO AVELAR</t>
  </si>
  <si>
    <t>-23.492721122888</t>
  </si>
  <si>
    <t>-46.6089855880155</t>
  </si>
  <si>
    <t>RUA EULALIA BASTOS ESQUINA COM AVENIDA NOVA CANTAREIRA</t>
  </si>
  <si>
    <t>-23.4812343513699</t>
  </si>
  <si>
    <t>-46.6119779075311</t>
  </si>
  <si>
    <t>RUA ENIO VOSS NO FINAL DA RUA</t>
  </si>
  <si>
    <t>-23.4861021164378</t>
  </si>
  <si>
    <t>-46.6073304845964</t>
  </si>
  <si>
    <t>AVENIDA CORONEL SEZEFREDO FAGUNDES ESQUINA COM RUA PROFESSOR ARTUR DE CAMPOS GONCALVES DEFRONTE COM RUA DOUTOR NELSON DA VEIGA</t>
  </si>
  <si>
    <t>-23.464417979693</t>
  </si>
  <si>
    <t>-46.603894172288</t>
  </si>
  <si>
    <t>AVENIDA PROFESSORA VIRGILIA RODRIGUES ALVES DE CARVALHO PINTO PROXIMO A ESQUINA COM RUA DOMINGOS COLOM</t>
  </si>
  <si>
    <t>-23.4686118543388</t>
  </si>
  <si>
    <t>-46.6071235110622</t>
  </si>
  <si>
    <t>RUA FRANCISCO DE BRITO ESQUINA COM AVENIDA NOVA CANTAREIRA</t>
  </si>
  <si>
    <t>-23.4737184240154</t>
  </si>
  <si>
    <t>-46.6139725254554</t>
  </si>
  <si>
    <t>AVENIDA NOVA CANTAREIRA ESQUINA COM RUA FRANCISCO ALVARES</t>
  </si>
  <si>
    <t>-23.4756064180639</t>
  </si>
  <si>
    <t>-46.6124010073967</t>
  </si>
  <si>
    <t>AVENIDA NOVA CANTAREIRA ESQUINA COM RUA BARRA MANSA</t>
  </si>
  <si>
    <t>-23.4764045695228</t>
  </si>
  <si>
    <t>-46.6113981093029</t>
  </si>
  <si>
    <t>AVENIDA NOVA CANTAREIRA 2338 PROXIMO A ESQUINA COM AVENIDA CORONEL SEZEFREDO FAGUNDES</t>
  </si>
  <si>
    <t>-23.4769595133801</t>
  </si>
  <si>
    <t>-46.6104643817024</t>
  </si>
  <si>
    <t>RUA ITANHANGA 443</t>
  </si>
  <si>
    <t>-23.4720144402655</t>
  </si>
  <si>
    <t>-46.6100768837608</t>
  </si>
  <si>
    <t>AVENIDA NOVA CANTAREIRA ESQUINA COM AVENIDA TENENTE JULIO PRADO NEVES</t>
  </si>
  <si>
    <t>-23.4647191996639</t>
  </si>
  <si>
    <t>-46.6168313997071</t>
  </si>
  <si>
    <t>RUA SARGENTO ADVINCULA 197 NO INTERIOR DO COE PMESP  AO LADO DA AREA DO CERIMONIAL</t>
  </si>
  <si>
    <t>-23.4692554103376</t>
  </si>
  <si>
    <t>-46.6266974823015</t>
  </si>
  <si>
    <t>INTERIOR DA INVERNADA DO BARRO BRANCO ENTRADA DO ANTIGO CAMPUS TIRADENTES</t>
  </si>
  <si>
    <t>-23.4684367374443</t>
  </si>
  <si>
    <t>-46.6265175062086</t>
  </si>
  <si>
    <t>AVENIDA AGUA FRIA 1923 ENTRADA DA APMBB</t>
  </si>
  <si>
    <t>-23.472609827694</t>
  </si>
  <si>
    <t>-46.6183299036085</t>
  </si>
  <si>
    <t>AVENIDA PROFESSORA VIRGILIA RODRIGUES ALVES DE CARVALHO PINTO 300</t>
  </si>
  <si>
    <t>-23.4674528010573</t>
  </si>
  <si>
    <t>-46.6056747516927</t>
  </si>
  <si>
    <t>RUA MATILDE MACEDO SOARES ESQUINA COM A RUA ARLINDO PASCOALINI</t>
  </si>
  <si>
    <t>-23.4642914863254</t>
  </si>
  <si>
    <t>-46.6086378757069</t>
  </si>
  <si>
    <t>PRACA DOUTOR LEVEM VAMPRE ESQUINA COM A RUA HENRIQUE MEYER</t>
  </si>
  <si>
    <t>-23.4690581591768</t>
  </si>
  <si>
    <t>-46.6059409850632</t>
  </si>
  <si>
    <t>PRACA MACIEL BAIAO ESQUINA COM A RUA GAURAMA</t>
  </si>
  <si>
    <t>-23.4770629677798</t>
  </si>
  <si>
    <t>-46.6135860183408</t>
  </si>
  <si>
    <t>RUA JOAO GUALBERTO DE ALMEIDA PIRES ESQUINA COM A AVENIDA CORONEL SEZEFREDO FAGUNDES</t>
  </si>
  <si>
    <t>-23.4699531018314</t>
  </si>
  <si>
    <t>-46.6051988455003</t>
  </si>
  <si>
    <t>RUA JOSE OLIVEIRA MATIAS PROXIMA A ESQUINA DA RUA DOS MARTIRES ARMENIOS</t>
  </si>
  <si>
    <t>-23.4689459537268</t>
  </si>
  <si>
    <t>-46.613996909533</t>
  </si>
  <si>
    <t>AVENIDA NOVA CANTAREIRA DEFRONTE COM RUA DO ALTO</t>
  </si>
  <si>
    <t>-23.4740857534014</t>
  </si>
  <si>
    <t>-46.6139826961346</t>
  </si>
  <si>
    <t>AVENIDA NOVA CANTAREIRA ESQUINA COM RUA GAURAMA</t>
  </si>
  <si>
    <t>-23.4756032582412</t>
  </si>
  <si>
    <t>-46.6128260035466</t>
  </si>
  <si>
    <t>RUA EDUARDO VICENTE NASSER 147 PROXIMO DA ESQUINA COM A RUA JOSE OLIVEIRA MATIAS</t>
  </si>
  <si>
    <t>-23.4704260448474</t>
  </si>
  <si>
    <t>-46.6120845020289</t>
  </si>
  <si>
    <t>AVENIDA MAESTRO VILLA LOBOS ESQUINA COM A AVENIDA CONTE ANTONIO PAIVA SAMPAIO   NO INTERIOR DO PREDIO DA SABESP         BICA DE ENCHIMENTO RAPIDO</t>
  </si>
  <si>
    <t>-23.4752209454906</t>
  </si>
  <si>
    <t>-46.5953000607563</t>
  </si>
  <si>
    <t>RUA CORONEL SEZEFREDO FAGUNDES ESQUINA COM RUA MAJOR ARI GOMES</t>
  </si>
  <si>
    <t>-23.4732961927104</t>
  </si>
  <si>
    <t>-46.6075612452472</t>
  </si>
  <si>
    <t>AVENIDA COMANDANTE ANTONIO PAIVA SAMPAIO ESQUINA COM AVENIDA GUAPIRA</t>
  </si>
  <si>
    <t>-23.4759084698927</t>
  </si>
  <si>
    <t>-46.5946851988386</t>
  </si>
  <si>
    <t>RUA BENJAMIN PEREIRA ESQUINA COM RUA SANTA TERESA DE JESUS</t>
  </si>
  <si>
    <t>-23.4688163920257</t>
  </si>
  <si>
    <t>-46.5916181707209</t>
  </si>
  <si>
    <t>AVENIDA TUCURUVI ESQUINA COM RUA BARAQUECABA</t>
  </si>
  <si>
    <t>-23.4806053562807</t>
  </si>
  <si>
    <t>-46.6056106965841</t>
  </si>
  <si>
    <t>RUA SERINHAEM ESQUINA COM AVENIDA DOUTOR ABILIO SAMPAIO</t>
  </si>
  <si>
    <t>-23.4799811772857</t>
  </si>
  <si>
    <t>-46.5869923048861</t>
  </si>
  <si>
    <t>AVENIDA GUAPIRA 1171 ESQUINA COM RUA MURILO FURTADO</t>
  </si>
  <si>
    <t>-23.4751887309007</t>
  </si>
  <si>
    <t>-46.5939550895932</t>
  </si>
  <si>
    <t>AVENIDA MAZZEI ESQUINA COM A RUA CONEGO LADEIRA</t>
  </si>
  <si>
    <t>-23.4769579492345</t>
  </si>
  <si>
    <t>-46.6044813242932</t>
  </si>
  <si>
    <t>AVENIDA MAZZEI ESQUINA COM A RUA BARTOLOMEU DE TORALES</t>
  </si>
  <si>
    <t>-23.4729657885109</t>
  </si>
  <si>
    <t>-46.600234599163</t>
  </si>
  <si>
    <t>RUA MAJOR ARI GOMES 21 PROXIMO A ESQUINA COM AVENIDA CORONEL SEZEFREDO FAGUNDES</t>
  </si>
  <si>
    <t>-23.473348012165</t>
  </si>
  <si>
    <t>-46.6075426347179</t>
  </si>
  <si>
    <t>AVENIDA HENRI JANNOR ESQUINA COM RUA SILVERO NERI</t>
  </si>
  <si>
    <t>-23.4701824915877</t>
  </si>
  <si>
    <t>-46.5906432232017</t>
  </si>
  <si>
    <t>RUA ARAGAO ESQUINA COM A RUA PARU</t>
  </si>
  <si>
    <t>-23.4715783460352</t>
  </si>
  <si>
    <t>-46.600812604762</t>
  </si>
  <si>
    <t>RUA JOAO ROSA ESQUINA COM A RUA CAPRICHO</t>
  </si>
  <si>
    <t>-23.4785200001666</t>
  </si>
  <si>
    <t>-46.5924783343897</t>
  </si>
  <si>
    <t>RUA DAS GAMBOAS ESQUINA COM RUA MANOEL QUERINO</t>
  </si>
  <si>
    <t>-23.4671005782524</t>
  </si>
  <si>
    <t>-46.6005583784134</t>
  </si>
  <si>
    <t>RUA DUARTE ESQUINA COM A RUA IRMAOS PILA</t>
  </si>
  <si>
    <t>-23.4738775532897</t>
  </si>
  <si>
    <t>-46.6059512191035</t>
  </si>
  <si>
    <t>RUA MONTE DE OURO ESQUINA  COM A RUA HIDROLANDIA</t>
  </si>
  <si>
    <t>-23.477111615864</t>
  </si>
  <si>
    <t>-46.608779607794</t>
  </si>
  <si>
    <t>RUA MURILO FURTADO ESQUINA COM RUA FELIPE ANTUNES</t>
  </si>
  <si>
    <t>2020-07-30</t>
  </si>
  <si>
    <t>-23.472585153616</t>
  </si>
  <si>
    <t>-46.5937803122347</t>
  </si>
  <si>
    <t>RUA PEDRO VIDAL ESQUINA COM A RUA NAPOLES</t>
  </si>
  <si>
    <t>-23.4749747517144</t>
  </si>
  <si>
    <t>-46.5966795342423</t>
  </si>
  <si>
    <t>RUA PAULO DE FARIA ESQUINA COM A RUA TORRES TIBAGI</t>
  </si>
  <si>
    <t>-23.4810343639664</t>
  </si>
  <si>
    <t>-46.6032531402162</t>
  </si>
  <si>
    <t>AVENIDA MAZZEI ESQUINA COM A RUA PADRE LEAO PERUCHE</t>
  </si>
  <si>
    <t>-23.4757415781776</t>
  </si>
  <si>
    <t>-46.6029470380955</t>
  </si>
  <si>
    <t>RUA MAJOR DANTAS 161 PROXIMO A RUA SITIO DA SERRA</t>
  </si>
  <si>
    <t>-23.4813984094563</t>
  </si>
  <si>
    <t>-46.5993951321375</t>
  </si>
  <si>
    <t>AVENIDA TUCURUVI ESQUINA COM RUA PADRE JULIO MARIA</t>
  </si>
  <si>
    <t>-23.4785256004936</t>
  </si>
  <si>
    <t>-46.6088734109853</t>
  </si>
  <si>
    <t>RUA JORGE FUCHS ESQUINA COM AVENIDA CORONEL SEZEFREDO FAGUNDES</t>
  </si>
  <si>
    <t>-23.4720490151928</t>
  </si>
  <si>
    <t>-46.6067646426267</t>
  </si>
  <si>
    <t>AVENIDA CORONEL SEZEFREDO FAGUNDES PROXIMO DA ESQUINA COM A RUA MERE MARIA ARAIS DE SION</t>
  </si>
  <si>
    <t>2020-11-23</t>
  </si>
  <si>
    <t>-23.4666954281926</t>
  </si>
  <si>
    <t>-46.6036690492305</t>
  </si>
  <si>
    <t>RUA JOSE BERNARDO PINTO ESQUINA COM A RUA DOZE DE SETEMBRO</t>
  </si>
  <si>
    <t>-23.5140405564445</t>
  </si>
  <si>
    <t>-46.6086030567699</t>
  </si>
  <si>
    <t>AVENIDA GUILHERME DEFRONTE A RUA HENRIQUE FELIPE DA COSTA</t>
  </si>
  <si>
    <t>-23.5178424484392</t>
  </si>
  <si>
    <t>-46.6052584006592</t>
  </si>
  <si>
    <t>RUA SAO QUIRINO ESQUINA COM A RUA JOAQUINA RAMALHO</t>
  </si>
  <si>
    <t>-23.5121254454278</t>
  </si>
  <si>
    <t>-46.6060676024143</t>
  </si>
  <si>
    <t>RUA AMADEU ESQUINA COM A TRAVESSA MANOEL PRETO</t>
  </si>
  <si>
    <t>-23.5173064764058</t>
  </si>
  <si>
    <t>-46.5966606593415</t>
  </si>
  <si>
    <t>AVENIDA GUILHERMER ESQUINA COM A RUA DEZ DE SETEMBRO</t>
  </si>
  <si>
    <t>-23.5204652081733</t>
  </si>
  <si>
    <t>-46.60716690621</t>
  </si>
  <si>
    <t>VILA ISOLINA MAZZEI</t>
  </si>
  <si>
    <t>RUA MARIA CANDIDA DEFRONTE RUA GALATEA</t>
  </si>
  <si>
    <t>-23.5020461014958</t>
  </si>
  <si>
    <t>-46.6113196672727</t>
  </si>
  <si>
    <t>RUA DOS AMANAJES 237 PROXIMO A ESQUINA COM A RUA MARIA CANDIDA</t>
  </si>
  <si>
    <t>-23.5019425195626</t>
  </si>
  <si>
    <t>-46.614047802657</t>
  </si>
  <si>
    <t>AVENIDA CONCEICAO ESQUINCA COM A RUA CACADOR</t>
  </si>
  <si>
    <t>2021-11-20</t>
  </si>
  <si>
    <t>-23.5000147189001</t>
  </si>
  <si>
    <t>-46.6065370447881</t>
  </si>
  <si>
    <t>AVENIDA CONCEICAO ESQUINA COM A RUA DONA JOAQUINA DE JESUS</t>
  </si>
  <si>
    <t>-23.5009457477892</t>
  </si>
  <si>
    <t>-46.6036447355543</t>
  </si>
  <si>
    <t>AVENIDA CONCEICAO ESQUINA COM AVENIDA JOAQUINA RAMALHO</t>
  </si>
  <si>
    <t>-23.5013651033263</t>
  </si>
  <si>
    <t>-46.6023760819462</t>
  </si>
  <si>
    <t>RUA MARIA CANDIDA ESQUINA COM A RUA DO IMPERADOR</t>
  </si>
  <si>
    <t>-23.503437531749</t>
  </si>
  <si>
    <t>-46.6088789154763</t>
  </si>
  <si>
    <t>RUA DO IMPERADOR ESQUINA COM RUA LAGOA PANEMA</t>
  </si>
  <si>
    <t>-23.5032593853855</t>
  </si>
  <si>
    <t>-46.6043938126581</t>
  </si>
  <si>
    <t>AVENIDA JOAQUINA RAMALHO ESQUINA RUA CHICO PONTES</t>
  </si>
  <si>
    <t>-23.5064259185426</t>
  </si>
  <si>
    <t>-46.6047949146911</t>
  </si>
  <si>
    <t>RUA CORONEL JORDAO ESQUINA COM A PRACA OSCAR DA SILVA</t>
  </si>
  <si>
    <t>-23.5072884941206</t>
  </si>
  <si>
    <t>-46.6013966263768</t>
  </si>
  <si>
    <t>RUA DAMIAO ALVES ESQUINA COM A RUA EDGAR</t>
  </si>
  <si>
    <t>-23.5029811025795</t>
  </si>
  <si>
    <t>-46.5966362723611</t>
  </si>
  <si>
    <t>RUA GABRIEL ORIFICE ESQUINA COM RUA CEL MARCILIO FRANCO</t>
  </si>
  <si>
    <t>-23.498978919786</t>
  </si>
  <si>
    <t>-46.5998005374484</t>
  </si>
  <si>
    <t>RUA ZULMIRA ESQUINA COM A RUA CORONEL MARCILIO FRANCO</t>
  </si>
  <si>
    <t>-23.4984032310547</t>
  </si>
  <si>
    <t>-46.6096094675285</t>
  </si>
  <si>
    <t>RUA CORONEL MARCILIO FRANCO DEFRONTE A RUA JOSE BUENO</t>
  </si>
  <si>
    <t>-23.4989232862641</t>
  </si>
  <si>
    <t>-46.6048336238065</t>
  </si>
  <si>
    <t>RUA CORONEL MARCILIO FRANCO ESQUINA COMA RUA ABAETEZINHO</t>
  </si>
  <si>
    <t>-23.4984813821856</t>
  </si>
  <si>
    <t>-46.6075303643105</t>
  </si>
  <si>
    <t>RUA CHICO PONTES 106 ESQUINA COM RUA JOSE PEREIRA JORGE</t>
  </si>
  <si>
    <t>-23.503935828252</t>
  </si>
  <si>
    <t>-46.6107814741815</t>
  </si>
  <si>
    <t>RUA LUIZ CARLOS DE CASTRO ESQUINA COM A RUA SACALINA</t>
  </si>
  <si>
    <t>-23.4975609237371</t>
  </si>
  <si>
    <t>-46.6021903820707</t>
  </si>
  <si>
    <t>RUA LAGOA PANEMA ESQUINA COM A RUA MARIETA DA SILVA</t>
  </si>
  <si>
    <t>-23.5068713802608</t>
  </si>
  <si>
    <t>-46.6065385903461</t>
  </si>
  <si>
    <t>AVENIDA GENERAL ATALIBA LEONEL ESQUINA COM A RUA NELSON</t>
  </si>
  <si>
    <t>-23.4966206154239</t>
  </si>
  <si>
    <t>-46.6103968868633</t>
  </si>
  <si>
    <t>TRAVESSA VERSOS DE UM VIAJANTE 9 DEFRONTE RUA ZULMIRA</t>
  </si>
  <si>
    <t>-23.5011635178539</t>
  </si>
  <si>
    <t>-46.6095375569569</t>
  </si>
  <si>
    <t>RUA ROGACIANO ESQUINA COM A AVENIDA JOAQUINA RAMALHO</t>
  </si>
  <si>
    <t>-23.5102603679225</t>
  </si>
  <si>
    <t>-46.6060779111387</t>
  </si>
  <si>
    <t>RUA SANTA LEOCADIA ESQUINA COM AVENIDA GENERAL ATALIBA LEONEL</t>
  </si>
  <si>
    <t>-23.4945585425756</t>
  </si>
  <si>
    <t>-46.6103233053197</t>
  </si>
  <si>
    <t>RUA ZULMIRA 301 DEFRONTE A RUA CLAUDINO INACIO</t>
  </si>
  <si>
    <t>-23.5009846420001</t>
  </si>
  <si>
    <t>-46.6100881522059</t>
  </si>
  <si>
    <t>RUA MOZELOS ESQUINA COM RUA CESARIO LANGE</t>
  </si>
  <si>
    <t>-23.502573706825</t>
  </si>
  <si>
    <t>-46.6069083949521</t>
  </si>
  <si>
    <t>RUA CORONEL JORDAO ESQUINA COM A RUA MANOEL DURAES</t>
  </si>
  <si>
    <t>-23.5014556546144</t>
  </si>
  <si>
    <t>-46.6002781427928</t>
  </si>
  <si>
    <t>RUA ANOTONIO MAGALHAES ESQUINA COM A RUA MANOEL DE ALMEIDA</t>
  </si>
  <si>
    <t>-23.5036664550427</t>
  </si>
  <si>
    <t>-46.6011313435294</t>
  </si>
  <si>
    <t>RUA JOSE GONCALVES GOMIDE ESQUINA COM RUA DO IMPERADOR</t>
  </si>
  <si>
    <t>-23.5044771679903</t>
  </si>
  <si>
    <t>-46.602760807655</t>
  </si>
  <si>
    <t>RUA MARIA CANDIDA ESQUINA COM AVENIDA JOAQUINA RAMALHO</t>
  </si>
  <si>
    <t>-23.5057374569805</t>
  </si>
  <si>
    <t>-46.6044078791468</t>
  </si>
  <si>
    <t>RUA MARIA CANDIDA ESQUINA COM A PRACA OSCAR SILVA</t>
  </si>
  <si>
    <t>-23.5072004056039</t>
  </si>
  <si>
    <t>-46.6004331658068</t>
  </si>
  <si>
    <t>RUA DO IMPERADOR ESQUINA COM A  RUA CORONEL JORDAO</t>
  </si>
  <si>
    <t>-23.5054342915623</t>
  </si>
  <si>
    <t>-46.6007868479426</t>
  </si>
  <si>
    <t>TRAVESSA PARANHOS PEDERNEIRAS ESQUINA COM A RUA BELCHIOR DE ORDAS 319 EDIFICIO ALGARVE</t>
  </si>
  <si>
    <t>-23.502412908253</t>
  </si>
  <si>
    <t>-46.593829505549</t>
  </si>
  <si>
    <t>AVENIDA GUILHERME ESQUINA COM A RUA CHICO PONTES</t>
  </si>
  <si>
    <t>2018-07-30</t>
  </si>
  <si>
    <t>-23.5086588247094</t>
  </si>
  <si>
    <t>-46.599918648847</t>
  </si>
  <si>
    <t>RUA PAULO DE AVELAR ESQUINA COM A RUA MANAJERU</t>
  </si>
  <si>
    <t>-23.4929221901321</t>
  </si>
  <si>
    <t>-46.6042065643251</t>
  </si>
  <si>
    <t>RUA NELSON PROXIMO A ESQUINA COM A RUA SAPIENZA</t>
  </si>
  <si>
    <t>-23.4981119919566</t>
  </si>
  <si>
    <t>-46.6058581609738</t>
  </si>
  <si>
    <t>RUA ISAIS MALENTECHI 67 NO FINAL DA RUA</t>
  </si>
  <si>
    <t>-23.4986924385297</t>
  </si>
  <si>
    <t>-46.6035048572203</t>
  </si>
  <si>
    <t>RUA QUEDAS ESQUINA COM A RUA MANAJERU</t>
  </si>
  <si>
    <t>-23.4944993029913</t>
  </si>
  <si>
    <t>-46.6069730911561</t>
  </si>
  <si>
    <t>AVENIDA GENERAL ATALIBA LEONEL ESQUINA COM A RUA AZIR ANTONIO SALTON</t>
  </si>
  <si>
    <t>-23.4998415406685</t>
  </si>
  <si>
    <t>-46.6124992192447</t>
  </si>
  <si>
    <t>RUA PIATA 376 DEFRONTE A RUA MANGALO</t>
  </si>
  <si>
    <t>-23.4972992987564</t>
  </si>
  <si>
    <t>-46.6072199915322</t>
  </si>
  <si>
    <t>RUA PRAINHA 227 NO INTERIOR DA SABESP POLO MANUTENCAO VILA MARIA</t>
  </si>
  <si>
    <t>-23.5093860501603</t>
  </si>
  <si>
    <t>-46.585222008358</t>
  </si>
  <si>
    <t>AVENIDA DAS GUEIXAS ESQUINA COM A RUA NARITA</t>
  </si>
  <si>
    <t>-23.5089864399676</t>
  </si>
  <si>
    <t>-46.5788769534781</t>
  </si>
  <si>
    <t>ALAMEDA SEGUNDO SARGENTO GERALDO BERTI 96 DEFRONTE COM A RUA SOLDADO SEBASTIAO FELICIO</t>
  </si>
  <si>
    <t>-23.5044713011103</t>
  </si>
  <si>
    <t>-46.5706341284351</t>
  </si>
  <si>
    <t>AVENIDA DOUTOR BENEDITO ESTEVAM DOS SANTOS NA FRETE DO PB VILA MARIA</t>
  </si>
  <si>
    <t>2021-05-25</t>
  </si>
  <si>
    <t>-23.5011501307242</t>
  </si>
  <si>
    <t>-46.5844727020948</t>
  </si>
  <si>
    <t>AVENIDA BANDEIRANTES DO SUL ESQUINA COM A RUA CABO JOAO MONTEIRO DA ROCHA</t>
  </si>
  <si>
    <t>-23.5113216169982</t>
  </si>
  <si>
    <t>-46.5756265713169</t>
  </si>
  <si>
    <t>AVENIDA CONCEICAO 5070 ESQUINA COM RUA SOLDADO JOSE VIVANCIO SOLANO</t>
  </si>
  <si>
    <t>-23.5014359833359</t>
  </si>
  <si>
    <t>-46.5711565756232</t>
  </si>
  <si>
    <t>PRACA RIO BRILHANTE 104 PROXIMO A AVENIDA ALBERTO BYINGTON</t>
  </si>
  <si>
    <t>-23.5033058113184</t>
  </si>
  <si>
    <t>-46.5908232122457</t>
  </si>
  <si>
    <t>AVENIDA ALBERTO BYINGTON 275 ESQUINA COM  A RUA SANTA MARIA GORETTI</t>
  </si>
  <si>
    <t>-23.5019812766986</t>
  </si>
  <si>
    <t>-46.5868495515254</t>
  </si>
  <si>
    <t>AVENIDA ALBERTO BYINGTON 2679 INTERIOR DA PRACA DOUTOR JOSE DE TOLEDO PIZA</t>
  </si>
  <si>
    <t>-23.5022761112721</t>
  </si>
  <si>
    <t>-46.5828200612178</t>
  </si>
  <si>
    <t>RUA CECILIA MEIRELES ESQUNA COM A RUA ROMEU PANDOLPHO</t>
  </si>
  <si>
    <t>-23.5111726046843</t>
  </si>
  <si>
    <t>-46.580160044959</t>
  </si>
  <si>
    <t>RUA CANHONEIRA MEARIM PROXIMO DA ESQUINA RUA HIROSHIMA</t>
  </si>
  <si>
    <t>-23.50540849736</t>
  </si>
  <si>
    <t>-46.5802739188364</t>
  </si>
  <si>
    <t>AVENIDA DAS GUEIXAS PROXIMA A ESQUINA DA RUA SOLDADO ANESIO ANTAO FERREIRA</t>
  </si>
  <si>
    <t>-23.512061160497</t>
  </si>
  <si>
    <t>-46.5778527718565</t>
  </si>
  <si>
    <t>RUA GASTAO MADEIRA AO LADO DA ESCOLA ESTADUAL JULIO MAIA</t>
  </si>
  <si>
    <t>-23.5057201822326</t>
  </si>
  <si>
    <t>-46.5860602759671</t>
  </si>
  <si>
    <t>RUA DOUTOR AFRODISIO VIDIGAL ESQUINA COM A RUA JOAQUIM RODRIGUES COSTA</t>
  </si>
  <si>
    <t>-23.5006439576736</t>
  </si>
  <si>
    <t>-46.5866992712139</t>
  </si>
  <si>
    <t>RUA GENERAL MENDES 236 PROXIMO A ESQUINA DA AVENIDA CONCEICAO</t>
  </si>
  <si>
    <t>-23.500367176575</t>
  </si>
  <si>
    <t>-46.5919826860569</t>
  </si>
  <si>
    <t>RUA KOBE 799 PROXIMO A RUA ALBERTO MOREIRA BATISTA FILHO</t>
  </si>
  <si>
    <t>-23.4985286858908</t>
  </si>
  <si>
    <t>-46.574832058991</t>
  </si>
  <si>
    <t>RUA MUSSUMES PROXIMA A ESQUINA DA RUA DOUTOR EDSON DE MELO</t>
  </si>
  <si>
    <t>-23.511311596667</t>
  </si>
  <si>
    <t>-46.5827557400112</t>
  </si>
  <si>
    <t>RUA OSAKA DEFRONTE A RUA TAKA</t>
  </si>
  <si>
    <t>-23.5053439735728</t>
  </si>
  <si>
    <t>-46.5744536683033</t>
  </si>
  <si>
    <t>RUA PADRE SABOIA DE MEDEIROS ESQUINA COM A AVENIDA BELISARIO PENA</t>
  </si>
  <si>
    <t>-23.4959724323806</t>
  </si>
  <si>
    <t>-46.5822835900255</t>
  </si>
  <si>
    <t>RUA PADRE SABOIA DE MEDEIROS 1723 PROXIMO A RUA ALBERTO MOREIRA BATISTA FILHO</t>
  </si>
  <si>
    <t>-23.4987408269776</t>
  </si>
  <si>
    <t>-46.5770635936239</t>
  </si>
  <si>
    <t>RUA PORANGATU PROXIMO A ESQUINA DA RUA SOBRAL JUNIOR</t>
  </si>
  <si>
    <t>-23.5050771289522</t>
  </si>
  <si>
    <t>-46.5904371412822</t>
  </si>
  <si>
    <t>RUA SANTA MARIA GORETTI 16 DEFRONTE A RUA SARGENTO AGOSTINHO FERREIRA</t>
  </si>
  <si>
    <t>-23.5034847178075</t>
  </si>
  <si>
    <t>-46.5856875636535</t>
  </si>
  <si>
    <t>AVENIDA CONCEICAO ESQUINA COM A RUA TUPIRANA</t>
  </si>
  <si>
    <t>-23.4969990346298</t>
  </si>
  <si>
    <t>-46.5865679558373</t>
  </si>
  <si>
    <t>RUA VIANOPOLIS AO LADO DA TRAVESSA LIA AMARAL MUNIZ DEFRONTE A PRACA GOMES FIGUEIREDO</t>
  </si>
  <si>
    <t>-23.5039594996947</t>
  </si>
  <si>
    <t>-46.5824158658447</t>
  </si>
  <si>
    <t>RUA DONA ALBERTINA DOMINGOS ESQUINA COM A RUA VOLTER WOLTHERS</t>
  </si>
  <si>
    <t>-23.503155731607</t>
  </si>
  <si>
    <t>-46.5879375607751</t>
  </si>
  <si>
    <t>RUA SIMAO BORGES ESQUINA COM RUA DO IMPERADOR</t>
  </si>
  <si>
    <t>-23.5072911967043</t>
  </si>
  <si>
    <t>-46.5949488870349</t>
  </si>
  <si>
    <t>RUA SANTA FE DO SUL 248 ESQUINA COM A AVENIDA BELISARIO PENA</t>
  </si>
  <si>
    <t>-23.4988588050609</t>
  </si>
  <si>
    <t>-46.5833620775104</t>
  </si>
  <si>
    <t>PRACA JOAQUIM JOSE DA NOVA ESQUINA COM AVENIDA ALBERTO BYINGTON</t>
  </si>
  <si>
    <t>-23.504009486215</t>
  </si>
  <si>
    <t>-46.5922408330931</t>
  </si>
  <si>
    <t>RUA SANTA VERIDIANA ESQUINA COM A RUA HENRIQUE LEITAO</t>
  </si>
  <si>
    <t>-23.5062931311179</t>
  </si>
  <si>
    <t>-46.5929378836417</t>
  </si>
  <si>
    <t>RUA FELIPE BANDEIRA 422 PROXIMA DA RUA GONCALO FERREIRA</t>
  </si>
  <si>
    <t>-23.5066160070944</t>
  </si>
  <si>
    <t>-46.5920321800519</t>
  </si>
  <si>
    <t>RUA BELISARIO PENA ESQUINA COM A RUA JOAQUIM RODRIGUES DA COSTA</t>
  </si>
  <si>
    <t>-23.5004232202885</t>
  </si>
  <si>
    <t>-46.5862417166507</t>
  </si>
  <si>
    <t>RUA MERE AMEDEA PROXIMO A RUA LAMARTINE DOS SANTOS</t>
  </si>
  <si>
    <t>-23.5096805322965</t>
  </si>
  <si>
    <t>-46.5875024663189</t>
  </si>
  <si>
    <t>AVENIDA ALBERTO BYINGTON PROXIMO AO EDIFICIO VITORIA REGIA</t>
  </si>
  <si>
    <t>-23.510286445199</t>
  </si>
  <si>
    <t>-46.585254168181</t>
  </si>
  <si>
    <t>RUA ORINDIUVA 128 DEFRONTE A RUA PRAINHA</t>
  </si>
  <si>
    <t>-23.5101853593545</t>
  </si>
  <si>
    <t>-46.5837672791141</t>
  </si>
  <si>
    <t>RUA ABEL RAMOS PROXIMA A ESQUINA DA RUA MUSSUMES</t>
  </si>
  <si>
    <t>-23.5086298929299</t>
  </si>
  <si>
    <t>-46.5823367313093</t>
  </si>
  <si>
    <t>AVENIDA DAS CEREJEIRAS DENTRO DA PRACA TOKIO</t>
  </si>
  <si>
    <t>-23.5024250150171</t>
  </si>
  <si>
    <t>-46.5729906422059</t>
  </si>
  <si>
    <t>RUA SOLDADO JOSE ANTONIO MOREIRA 498 PROXIMO A RUA SOLDADO JOAO RODRIGUES</t>
  </si>
  <si>
    <t>-23.5062511563745</t>
  </si>
  <si>
    <t>-46.5757583597221</t>
  </si>
  <si>
    <t>RUA KIOTO ESQUINA COM RUA CANHOEIRA MEARIM</t>
  </si>
  <si>
    <t>-23.504420204787</t>
  </si>
  <si>
    <t>-46.5800686995724</t>
  </si>
  <si>
    <t>RUA CANHONEIRA MEARIM DEFRONTE A BIFURCACAO COM AVENIDA ALBERTO BYINGTON</t>
  </si>
  <si>
    <t>-23.5026837753483</t>
  </si>
  <si>
    <t>-46.5801874073469</t>
  </si>
  <si>
    <t>RUA JORGE BRON 124 ESQUINA COM RUA ACORIZAL</t>
  </si>
  <si>
    <t>-23.4991861873389</t>
  </si>
  <si>
    <t>-46.5816209432144</t>
  </si>
  <si>
    <t>AVENIDA DR BENEDITO ESTEVAM DOS SANTOS ESQUINA COM RUA MARIA JOSE BARROSO</t>
  </si>
  <si>
    <t>-23.4977770122578</t>
  </si>
  <si>
    <t>-46.5831755201601</t>
  </si>
  <si>
    <t>RUA SANTA VERIDIANA ESQUINA COM A RUA MARQUES DE POMBAL</t>
  </si>
  <si>
    <t>-23.507763240155</t>
  </si>
  <si>
    <t>-46.5917645032583</t>
  </si>
  <si>
    <t>RUA MOREIRA DE VASCONCELOS ESQUINA COM A AVENIDA ALBERTO BYINTON</t>
  </si>
  <si>
    <t>-23.5025664129654</t>
  </si>
  <si>
    <t>-46.5835557290924</t>
  </si>
  <si>
    <t>RUA SOBRAL JUNIOR 279 PROXIMO DA ESQUINA COM A RUA IACANGA</t>
  </si>
  <si>
    <t>-23.506393497522</t>
  </si>
  <si>
    <t>-46.5874374455121</t>
  </si>
  <si>
    <t>RUA MANGUARI ENTRE A RUA GALILEU GAIA E AVENIDA MORVAN DIAS DE FIGUEIREDO</t>
  </si>
  <si>
    <t>-23.5228459624341</t>
  </si>
  <si>
    <t>-46.5819722437215</t>
  </si>
  <si>
    <t>RUA GALILEU GAIA ESQUINA COM A RUA AMADEU CORNADO MARTI</t>
  </si>
  <si>
    <t>-23.5211840652793</t>
  </si>
  <si>
    <t>-46.5815477748199</t>
  </si>
  <si>
    <t>RUA SOLDADO OSVALDO LELLIS ESQUINA COM RUA SOLDADO FRANCISCO GOMES DE SOUZA</t>
  </si>
  <si>
    <t>-23.508262161673</t>
  </si>
  <si>
    <t>-46.5663773180664</t>
  </si>
  <si>
    <t>RUA CABO JOSE DA SILVA ESQUINA COM ALAMEDA SEGUNDO SARGENTO NEVIO BARACHO DOS SANTOS</t>
  </si>
  <si>
    <t>-23.5174005123013</t>
  </si>
  <si>
    <t>-46.5670428757441</t>
  </si>
  <si>
    <t>RUA CABO ROMEU CASAGRANDE ESQUINA COM A ALAMEDA SEGUNDO SARGENTO ANDIRAS NOGUEIRA DE ABREU</t>
  </si>
  <si>
    <t>-23.5197786561713</t>
  </si>
  <si>
    <t>-46.5657616539392</t>
  </si>
  <si>
    <t>AVENIDA SERAFIM GONCALVES PEREIRA ESQUINA COM RUA CABO ANTONIO ALVES</t>
  </si>
  <si>
    <t>-23.5191067738009</t>
  </si>
  <si>
    <t>-46.5683593579128</t>
  </si>
  <si>
    <t>RUA FRITZ JANK ESQUINA COM A ALAMEDA SARGENTO NEVIO BARACHO DOS SANTOS</t>
  </si>
  <si>
    <t>-23.517795056628</t>
  </si>
  <si>
    <t>-46.5630618894954</t>
  </si>
  <si>
    <t>RUA GENERAL JOAO CARLOS LOBO BOTELHO ENTRE A RUA SERAFIM POLI E RUA ARENAPOLIS</t>
  </si>
  <si>
    <t>-23.5200714694347</t>
  </si>
  <si>
    <t>-46.5767976955545</t>
  </si>
  <si>
    <t>RUA AXINIM ESQUINA COM A RUA NILTON COELHO DE ANDRADE</t>
  </si>
  <si>
    <t>-23.5163062311629</t>
  </si>
  <si>
    <t>-46.5782245285529</t>
  </si>
  <si>
    <t>RUA SOLDADO ARLINDO SALDANHA ESQUINA COM A RUA SOLDADO DIONISIO CHAGA</t>
  </si>
  <si>
    <t>-23.5134634851278</t>
  </si>
  <si>
    <t>-46.5732673849966</t>
  </si>
  <si>
    <t>RUA SARGENTO MANOEL CHAGAS ESQUINA COM A RUA  SOLDADO EURIPEDES RODRIGUES LIMA</t>
  </si>
  <si>
    <t>-23.5225378488181</t>
  </si>
  <si>
    <t>-46.5689276735556</t>
  </si>
  <si>
    <t>RUA CARLOS JOSE MICHELON DEFRONTE A RUA FRANCISCO LEOPOLDO E SILVA</t>
  </si>
  <si>
    <t>-23.5257233115929</t>
  </si>
  <si>
    <t>-46.5853928051787</t>
  </si>
  <si>
    <t>RUA PISTOIA ESQUINA COM A RUA SOLDADO JOAO PEREIRA DA SILVA</t>
  </si>
  <si>
    <t>-23.5078959713555</t>
  </si>
  <si>
    <t>-46.5685148475942</t>
  </si>
  <si>
    <t>RUA GENTIL BISPO ESQUINA COM A RUA SOLDADO ARISTIDES GOUVEIA</t>
  </si>
  <si>
    <t>-23.5091855452311</t>
  </si>
  <si>
    <t>-46.5705404518422</t>
  </si>
  <si>
    <t>RUA SARGENTO JETER AUGUSTO PEREIRA ESQUINA COM AVENIDA JOSE MARIA FERNANDES</t>
  </si>
  <si>
    <t>-23.5107756141514</t>
  </si>
  <si>
    <t>-46.5676218785143</t>
  </si>
  <si>
    <t>AVENIDA JOSE MARIA FERNANDES 347</t>
  </si>
  <si>
    <t>-23.5131187455518</t>
  </si>
  <si>
    <t>-46.568174813728</t>
  </si>
  <si>
    <t>RUA SARGENTO JETER AUGUSTO PEREIRA ESQUINA COM RUA SUBTENENTE AVIADOR FRANCISCO HIERRO</t>
  </si>
  <si>
    <t>-23.5152063953353</t>
  </si>
  <si>
    <t>-46.566368193723</t>
  </si>
  <si>
    <t>AVENIDA JOSE MARIA FERNANDES ESQUINA COM A RUA CABO JOSE DA SILVA</t>
  </si>
  <si>
    <t>-23.5156346311884</t>
  </si>
  <si>
    <t>-46.5677721260367</t>
  </si>
  <si>
    <t>RUA SOLDADO ANTONIO CAETANO SOUSA FILHO ESQUINA COM ALAMEDA PRIMEIRO SARGENTO BASILIO NOGUEIRA DA COSTA</t>
  </si>
  <si>
    <t>-23.5147818092197</t>
  </si>
  <si>
    <t>-46.5700592947972</t>
  </si>
  <si>
    <t>RUA SOLDADO DIONISIO CHAGAS ESQUINA COM AVENIDA TENENENTE AMARO FELICISSIMO</t>
  </si>
  <si>
    <t>-23.5128267665611</t>
  </si>
  <si>
    <t>-46.5714461533704</t>
  </si>
  <si>
    <t>ALAMEDA SUBTENENTE FRANCISCO HIERRO ESQUINA RUA SOLDADO ANTONIO BENTO DE ABREU</t>
  </si>
  <si>
    <t>-23.5121758967277</t>
  </si>
  <si>
    <t>-46.5634325882873</t>
  </si>
  <si>
    <t>RUA SOLDADO CRISTOVAO MORAES GARCIA777  ESQUINA COM RUA SOLDADO BENEDITO ALVES DOS SANTOS</t>
  </si>
  <si>
    <t>-23.5136844548463</t>
  </si>
  <si>
    <t>-46.5637647143892</t>
  </si>
  <si>
    <t>RUA SOLDADO TEODORO FRANCISCO RIBEIRO ESQUINA COM RUA SOLDADO CRSITOVAO MORAIS GARCIA</t>
  </si>
  <si>
    <t>-23.5163137699701</t>
  </si>
  <si>
    <t>-46.5643437142064</t>
  </si>
  <si>
    <t>RUA SOLDADO JOSE VICENTE DE PAULA ESQUINA RUA CABO BASILIO ZEQUIM JUNIOR</t>
  </si>
  <si>
    <t>-23.5208850825598</t>
  </si>
  <si>
    <t>-46.566507796178</t>
  </si>
  <si>
    <t>RUA CARLOS JOSE MICHELON PROXIMO DA ESQUINA COM A AVENIDA MORVAN DIAS DE FIGUEIREDO</t>
  </si>
  <si>
    <t>-23.5271086601558</t>
  </si>
  <si>
    <t>-46.5837330431596</t>
  </si>
  <si>
    <t>AVENIDA GUILHERME COTCHING ESQUINA COM A RUA PROFESSORA MARIAJOSE BARONE FERNANDES</t>
  </si>
  <si>
    <t>2021-03-17</t>
  </si>
  <si>
    <t>-23.5185352144412</t>
  </si>
  <si>
    <t>-46.5901696316431</t>
  </si>
  <si>
    <t>RUA ALCANTARA ESQUINA COM A RUA GURANESIA</t>
  </si>
  <si>
    <t>-23.5218981944258</t>
  </si>
  <si>
    <t>-46.5941099127232</t>
  </si>
  <si>
    <t>RUA ALCANTARA DE FRONTE A RUA ITAUNA</t>
  </si>
  <si>
    <t>-23.5213426775339</t>
  </si>
  <si>
    <t>-46.5949306880612</t>
  </si>
  <si>
    <t>RUA ALCANTARA ESQUINA COM A AVENIDA NADIR DIAS</t>
  </si>
  <si>
    <t>-23.5209794190879</t>
  </si>
  <si>
    <t>-46.5952566562481</t>
  </si>
  <si>
    <t>RUA ALCANTARA ESQUINA COM A RUA AMAMBAI</t>
  </si>
  <si>
    <t>-23.5242416298626</t>
  </si>
  <si>
    <t>-46.5899154315648</t>
  </si>
  <si>
    <t>RUA PROFESSORA MARIA JOSE BARONE FERNANDES ESQUINA COM A RUA DOUTOR AFONSO VERGUEIRO</t>
  </si>
  <si>
    <t>-23.5214530333898</t>
  </si>
  <si>
    <t>-46.5863025270252</t>
  </si>
  <si>
    <t>RUA PROFESSOR MARIA JOSE BARONE FERNANDES ESQUINA COM A RUA TOMAS SPEERS</t>
  </si>
  <si>
    <t>-23.5161154527002</t>
  </si>
  <si>
    <t>-46.5937649688538</t>
  </si>
  <si>
    <t>AVENIDA GUILHERME COTCHING PROXIMA A PRACA SANTO EDUARDO</t>
  </si>
  <si>
    <t>-23.5157483941376</t>
  </si>
  <si>
    <t>-46.5873565096054</t>
  </si>
  <si>
    <t>RUA ISIDORO MATHEUS ESQUINA COM A AVENIDA MORVAN DIAS DE FIGUEIREDO</t>
  </si>
  <si>
    <t>-23.5266659217048</t>
  </si>
  <si>
    <t>-46.5945671414355</t>
  </si>
  <si>
    <t>AVENIDA MORVAN DIAS DE FIGUEIREDO 4221 NO INTERIOR DA CSMMOPB</t>
  </si>
  <si>
    <t>-23.526930755354</t>
  </si>
  <si>
    <t>-46.593542826169</t>
  </si>
  <si>
    <t>RUA AMAMBAI ESQUINA COM A RUA ARARITAGUABA E AVENIDA CEREJEIRAS</t>
  </si>
  <si>
    <t>-23.5147212802235</t>
  </si>
  <si>
    <t>-46.5824432147135</t>
  </si>
  <si>
    <t>RUA CURUCA ESQUINA COM A RUA TOMAS SPEERS</t>
  </si>
  <si>
    <t>-23.5127045810595</t>
  </si>
  <si>
    <t>-46.5911031749849</t>
  </si>
  <si>
    <t>RUA DOM LUIS FELIPE DE ORLEANS ESQUINA COM A RUA NEWTON BRAGA</t>
  </si>
  <si>
    <t>-23.5138112808285</t>
  </si>
  <si>
    <t>-46.5944156949962</t>
  </si>
  <si>
    <t>RUA ELI ESQUINA COM A RUA DOM LUIS FELIPE DE ORLEANS</t>
  </si>
  <si>
    <t>-23.5189825672885</t>
  </si>
  <si>
    <t>-46.5872125394917</t>
  </si>
  <si>
    <t>RUA DA GAVEA ESQUINA COM A RUA DIAS DA SILVA</t>
  </si>
  <si>
    <t>-23.5147341843901</t>
  </si>
  <si>
    <t>-46.5852181956009</t>
  </si>
  <si>
    <t>RUA DA GAVEA ESQUINA COM RUA ARARI LEITE</t>
  </si>
  <si>
    <t>-23.5168286266148</t>
  </si>
  <si>
    <t>-46.5820724791575</t>
  </si>
  <si>
    <t>AVENIDA GUILHERME COTHING ESQUINA COM A  RUA DOM LUIS FELIPE DE ORLEANS</t>
  </si>
  <si>
    <t>-23.5174409866511</t>
  </si>
  <si>
    <t>-46.5891377529276</t>
  </si>
  <si>
    <t>RUA PREFEITO MILTON IMPROTA ESQUINA COM A RUA DA GAVEA</t>
  </si>
  <si>
    <t>-23.5107708416011</t>
  </si>
  <si>
    <t>-46.5906058430654</t>
  </si>
  <si>
    <t>RUA DA GAVEA ESQUINA COM AVENIDA GUILHERME COTCHING</t>
  </si>
  <si>
    <t>-23.5138878525357</t>
  </si>
  <si>
    <t>-46.5859278597378</t>
  </si>
  <si>
    <t>RUA DIAMANTINA ESQUINA COM A AVENIDA GUILHERME COTCHING</t>
  </si>
  <si>
    <t>-23.5197502879532</t>
  </si>
  <si>
    <t>-46.5911235809144</t>
  </si>
  <si>
    <t>RUA ARARITAGUABA ESQUINA COM A A RUA MARECHAL SALDANHA MAZZA</t>
  </si>
  <si>
    <t>-23.5103807405307</t>
  </si>
  <si>
    <t>-46.5889533120929</t>
  </si>
  <si>
    <t>RUA DOM LUIS FELIPE DE ORLEANS ESQUINA COM A RUA DOUTOR AFONSO VERGUEIRO</t>
  </si>
  <si>
    <t>-23.5200252463151</t>
  </si>
  <si>
    <t>-46.585175238169</t>
  </si>
  <si>
    <t>RUA SEVERA PROXIMO A ESQUINA COM A RUA MARGARINO TORRES</t>
  </si>
  <si>
    <t>-23.5145299548284</t>
  </si>
  <si>
    <t>-46.5911516152317</t>
  </si>
  <si>
    <t>RUA MARGARINO TORRES ESQUINA COM A RUA GUARANESIA</t>
  </si>
  <si>
    <t>-23.515500307798</t>
  </si>
  <si>
    <t>-46.5891432430817</t>
  </si>
  <si>
    <t>RUA GUARANESIA ESQUINA COM A RUA PROFESSORA MARIA JOSE BARONE FERNANDES</t>
  </si>
  <si>
    <t>-23.5181459739415</t>
  </si>
  <si>
    <t>-46.5912048209797</t>
  </si>
  <si>
    <t>RUA DOM LUIS FELILPE DE ORLEANS ESQUINA COM A RUA ITAUNA</t>
  </si>
  <si>
    <t>-23.5162299010755</t>
  </si>
  <si>
    <t>-46.5907537101749</t>
  </si>
  <si>
    <t>RUA MARGARINO TORRES ESQUINA COM A RUA PREFEITO MILTON IMPROTA</t>
  </si>
  <si>
    <t>-23.5130594190767</t>
  </si>
  <si>
    <t>-46.5927683270713</t>
  </si>
  <si>
    <t>RUA AMANBAI ESQUINA COM A RUA PROFESSORA MARIA JOSE BARONE FERNANDES</t>
  </si>
  <si>
    <t>-23.5206146743827</t>
  </si>
  <si>
    <t>-46.5870501431548</t>
  </si>
  <si>
    <t>RUA SEVERA ESQUINA COM A RUA DA GAVEA</t>
  </si>
  <si>
    <t>-23.5122255685362</t>
  </si>
  <si>
    <t>-46.588949032514</t>
  </si>
  <si>
    <t>RUA ALCANTARA ESQUINA COM AVENIDA GUILHERME COTCHING</t>
  </si>
  <si>
    <t>-23.5224510104719</t>
  </si>
  <si>
    <t>-46.5926474153691</t>
  </si>
  <si>
    <t>RUA CURUCA ESQUINA COM A RUA NEWTON BRAGA</t>
  </si>
  <si>
    <t>-23.5113237940169</t>
  </si>
  <si>
    <t>-46.5925052897058</t>
  </si>
  <si>
    <t>RUA ELI ESQUINA COM A  RUA ANTONIO FONSECA</t>
  </si>
  <si>
    <t>-23.5248689127902</t>
  </si>
  <si>
    <t>-46.5917946873875</t>
  </si>
  <si>
    <t>RUA ELI ESQUINA COM A RUA ANDARAI</t>
  </si>
  <si>
    <t>-23.5224445920862</t>
  </si>
  <si>
    <t>-46.5898846566468</t>
  </si>
  <si>
    <t>RUA PAES BARRETO ESQUINA COM AVENIDA NADIR DIAS DE FIGUEIREDO</t>
  </si>
  <si>
    <t>-23.5126479143777</t>
  </si>
  <si>
    <t>-46.5947522533394</t>
  </si>
  <si>
    <t>AVENIDA GUILHERME COTCHING ESQUINA COM A RUA PROFESSORA MARIA JOSE BARONE FERNANDES</t>
  </si>
  <si>
    <t>-23.5189679823061</t>
  </si>
  <si>
    <t>-46.5899294422672</t>
  </si>
  <si>
    <t>RUA ITAUNA ESQUINA COM A RUA CURUCA</t>
  </si>
  <si>
    <t>-23.5136391353955</t>
  </si>
  <si>
    <t>-46.5889813671897</t>
  </si>
  <si>
    <t>PRACA SANTO EDUARDO ESQUINA COM A RUA CURUCA</t>
  </si>
  <si>
    <t>-23.5147371869206</t>
  </si>
  <si>
    <t>-46.5873960080708</t>
  </si>
  <si>
    <t>RUA DIAMANTINA ESQUINA COM A RUA AMAMBAI</t>
  </si>
  <si>
    <t>-23.5216397108683</t>
  </si>
  <si>
    <t>-46.5882654684036</t>
  </si>
  <si>
    <t>RUA AMAMBAI ESQUINA COM A RUA MARGARINO TORRES</t>
  </si>
  <si>
    <t>-23.5180978988805</t>
  </si>
  <si>
    <t>-46.5850873096896</t>
  </si>
  <si>
    <t>AVENIDA JARDIM JAPAO 918</t>
  </si>
  <si>
    <t>-23.48238856032</t>
  </si>
  <si>
    <t>-46.5802658466127</t>
  </si>
  <si>
    <t>AVENIDA JARDIM JAPAO 400</t>
  </si>
  <si>
    <t>-23.4864005477601</t>
  </si>
  <si>
    <t>-46.577993271466</t>
  </si>
  <si>
    <t>AVENIDA JARDIM JAPAO ESQUINA COM A RUA ITAMONTE</t>
  </si>
  <si>
    <t>-23.4878943179952</t>
  </si>
  <si>
    <t>-46.5767046122715</t>
  </si>
  <si>
    <t>AVENIDA ANTENOR NAVARRO 559 PROXIMO A PRACA AUGUSTA VITORIA</t>
  </si>
  <si>
    <t>-23.4838815613276</t>
  </si>
  <si>
    <t>-46.573003227841</t>
  </si>
  <si>
    <t>AVENIDA JARDIM JAPAO 784</t>
  </si>
  <si>
    <t>-23.4834641150103</t>
  </si>
  <si>
    <t>-46.5796807514741</t>
  </si>
  <si>
    <t>RUA JOTA CARLOS PROXIMO A AVENIDA MENDES DA ROCHA</t>
  </si>
  <si>
    <t>-23.4852468683858</t>
  </si>
  <si>
    <t>-46.5694314324882</t>
  </si>
  <si>
    <t>RUA CARLOS DOS SANTOS ESQUINA COM A RUA CRISCIUMA</t>
  </si>
  <si>
    <t>-23.4812572790032</t>
  </si>
  <si>
    <t>-46.5762896041193</t>
  </si>
  <si>
    <t>RUA FRANCISCO ALVES BEZERRA 441</t>
  </si>
  <si>
    <t>-23.4813049344059</t>
  </si>
  <si>
    <t>-46.5692112122694</t>
  </si>
  <si>
    <t>RUA NATAL MARTINETO 124</t>
  </si>
  <si>
    <t>-23.4953442793527</t>
  </si>
  <si>
    <t>-46.576819884036</t>
  </si>
  <si>
    <t>RUA TENENTE SOTOMANO ESQUINA COM A AVENIDA ROLAND GARROS</t>
  </si>
  <si>
    <t>-23.4778564486594</t>
  </si>
  <si>
    <t>-46.5758056882481</t>
  </si>
  <si>
    <t>RUA AMARO DE MORAIS 11 ESQUINA COM A RUA JOAO BATISTA DE MENDONCA</t>
  </si>
  <si>
    <t>-23.4966253479558</t>
  </si>
  <si>
    <t>-46.5745913745601</t>
  </si>
  <si>
    <t>AVENIDA JOAO SIMAO DE CASTRO ESQUINA COM RUA ALONSO PERES</t>
  </si>
  <si>
    <t>-23.4890889111192</t>
  </si>
  <si>
    <t>-46.5693419595762</t>
  </si>
  <si>
    <t>RUA BASILIO ALVES MORANGO ESQUINA COM A RUA FRANCISCO ALVES BEZERRA</t>
  </si>
  <si>
    <t>-23.4801490745092</t>
  </si>
  <si>
    <t>-46.5695488514818</t>
  </si>
  <si>
    <t>RUA SAO TEOFILO 840 NO INTERIOR DA SABEP BICA DE ENCHIMENTO RAPIDO</t>
  </si>
  <si>
    <t>2020-08-22</t>
  </si>
  <si>
    <t>-23.4972048211534</t>
  </si>
  <si>
    <t>-46.5877497676793</t>
  </si>
  <si>
    <t>RUA JAPI ESQUINA COM A AVENIDA EDE</t>
  </si>
  <si>
    <t>-23.4979689293541</t>
  </si>
  <si>
    <t>-46.5948097722554</t>
  </si>
  <si>
    <t>RUA MARAA 46 PROXIMO A ESQUINA COM AZ AVENIDA CONCEICAO</t>
  </si>
  <si>
    <t>-23.4988845124421</t>
  </si>
  <si>
    <t>-46.5898313924332</t>
  </si>
  <si>
    <t>AVENIDA EDE ESQUINA COM RUA BENTURELLI</t>
  </si>
  <si>
    <t>-23.4927346016865</t>
  </si>
  <si>
    <t>-46.5907384618305</t>
  </si>
  <si>
    <t>RUA ANTONIO PALMIERIESQUINA COM A AVENIDA SENHORA DO LORETO</t>
  </si>
  <si>
    <t>-23.485121614447</t>
  </si>
  <si>
    <t>-46.5803802712288</t>
  </si>
  <si>
    <t>AVENIDA GUSTAVO ADOLFO ESQUINA COM A RUA CANAPOLIS</t>
  </si>
  <si>
    <t>-23.4907117195613</t>
  </si>
  <si>
    <t>-46.5770917027602</t>
  </si>
  <si>
    <t>RUA DA ESPERANCA ESQUINA COM AVENIDA  BOSCHETTI</t>
  </si>
  <si>
    <t>-23.4840946439162</t>
  </si>
  <si>
    <t>-46.5889758320682</t>
  </si>
  <si>
    <t>AVENIDA NOSSA SENHORA DO LORETO ESQUINA COM  AVENIDA GUSTAVO ADOLFO</t>
  </si>
  <si>
    <t>-23.4867127652166</t>
  </si>
  <si>
    <t>-46.5816103391657</t>
  </si>
  <si>
    <t>AVENIDA NOSSA SENHORA DO LORETO ESQUINA COM A RUA AIRAO</t>
  </si>
  <si>
    <t>-23.4916505885656</t>
  </si>
  <si>
    <t>-46.5872625030955</t>
  </si>
  <si>
    <t>RUA MAJOR DANTAS  CORTEZ ESQUINA COM A AVENIDA JULIO BUONO</t>
  </si>
  <si>
    <t>-23.4854647297066</t>
  </si>
  <si>
    <t>-46.5919461729953</t>
  </si>
  <si>
    <t>RUA SAO LEOTELIO ESQUINA COM A RUA CRISPIM DUARTE</t>
  </si>
  <si>
    <t>-23.4938445100131</t>
  </si>
  <si>
    <t>-46.585704181648</t>
  </si>
  <si>
    <t>RUA CARLOS ALBERTO LUIZ ESQUINA COM A RUA DA ESPERANCA</t>
  </si>
  <si>
    <t>-23.4852624156441</t>
  </si>
  <si>
    <t>-46.5865333201061</t>
  </si>
  <si>
    <t>RUA ATALIBA VIEIRA ESQUINA COM A  AVENIDA NOSSA SENHORA LORETO</t>
  </si>
  <si>
    <t>-23.4894998824483</t>
  </si>
  <si>
    <t>-46.5845568049234</t>
  </si>
  <si>
    <t>RUA CANOBIM ESQUINA COM RUA GERTRUDES</t>
  </si>
  <si>
    <t>-23.4816890193235</t>
  </si>
  <si>
    <t>-46.5859744727514</t>
  </si>
  <si>
    <t>RUA PONTE NOVA ESQUINA COM A RUA GENERAL JERONIMO DOS REIS</t>
  </si>
  <si>
    <t>-23.4979159118409</t>
  </si>
  <si>
    <t>-46.5922488318544</t>
  </si>
  <si>
    <t>RUA SAO LEOTELIO ESQUINA COM RUA REVERENDO ISRAEL VIEIRA FERREIRA</t>
  </si>
  <si>
    <t>-23.4924257507151</t>
  </si>
  <si>
    <t>-46.5842031288919</t>
  </si>
  <si>
    <t>RUA JOAO DE SOUTO MAIOR ESQUINA COM A RUA REVERENDO ISRAEL VIEIRA FERREIRA</t>
  </si>
  <si>
    <t>-23.489135202068</t>
  </si>
  <si>
    <t>-46.5875665945165</t>
  </si>
  <si>
    <t>RUA SILVA GUIMARAES  ESQUINA COM A RUA SIMAO PEDROSO</t>
  </si>
  <si>
    <t>-23.4928741658504</t>
  </si>
  <si>
    <t>-46.5934941527418</t>
  </si>
  <si>
    <t>RUA SODRE E SILVA 274 ESQUINA COM A AVENIDA JARDIM JAPAO</t>
  </si>
  <si>
    <t>2020-08-28</t>
  </si>
  <si>
    <t>-23.4794443220543</t>
  </si>
  <si>
    <t>-46.5821547383155</t>
  </si>
  <si>
    <t>RUA ZANLIA ROLIM PROXIMO DA ESQUINA COM A AVENIDA EDE</t>
  </si>
  <si>
    <t>-23.4947292935725</t>
  </si>
  <si>
    <t>-46.5922295361148</t>
  </si>
  <si>
    <t>RUA ATALIBA VIEIRA ESQUINA COM A RUA JOAO DE SOUTO MAIOR</t>
  </si>
  <si>
    <t>-23.4879229784099</t>
  </si>
  <si>
    <t>-46.5858919531273</t>
  </si>
  <si>
    <t>RUA ADELAIDE BOSCHETTI 21 ESQUINA COM RUA PADRE MARCOS SIMONI</t>
  </si>
  <si>
    <t>-23.490243972661</t>
  </si>
  <si>
    <t>-46.5921646167476</t>
  </si>
  <si>
    <t>RUA ITAMONTE ESQUINA COM A RUA JOSE MANOEL COSTA</t>
  </si>
  <si>
    <t>-23.4899151198456</t>
  </si>
  <si>
    <t>-46.5791463937228</t>
  </si>
  <si>
    <t>PRACA MORRO DO CHAPEU 415 PROXIMO AVENIDA ANTENOS NAVARRO</t>
  </si>
  <si>
    <t>-23.4865396223515</t>
  </si>
  <si>
    <t>-46.5784506390058</t>
  </si>
  <si>
    <t>RUA GEOLANDIA DEFRONTE  A RUA MANOEL VIDAL</t>
  </si>
  <si>
    <t>-23.4870179537194</t>
  </si>
  <si>
    <t>-46.5842667135931</t>
  </si>
  <si>
    <t>RUA GEOLANDIA ESQUINA COM A RUA JOAO DE SOUTO MAIOR</t>
  </si>
  <si>
    <t>-23.4865178800166</t>
  </si>
  <si>
    <t>-46.5843808608513</t>
  </si>
  <si>
    <t>AVENIDA ROLAND GARROS ESQUINA COM A  RUA ANTONIO PALMIERI</t>
  </si>
  <si>
    <t>-23.4814658446669</t>
  </si>
  <si>
    <t>-46.5822028903969</t>
  </si>
  <si>
    <t>RUA PROFESSORA ALVARO DE SOUSA REIS ESQUINA COM A RUA JOAO DE SOUTO MAIOR</t>
  </si>
  <si>
    <t>-23.4882216621757</t>
  </si>
  <si>
    <t>-46.5864327743604</t>
  </si>
  <si>
    <t>AVENIDA DOS SEMANEIROS ESQUINA COM A RUA ANTONIO DE GOUVEIA GIUDICE</t>
  </si>
  <si>
    <t>2021-08-19</t>
  </si>
  <si>
    <t>-23.5551879996055</t>
  </si>
  <si>
    <t>-46.7049483963817</t>
  </si>
  <si>
    <t>RUA UMBURANA DEFRONTE COM A PRACA PANAMERICANA</t>
  </si>
  <si>
    <t>-23.5539682168852</t>
  </si>
  <si>
    <t>-46.7099794453254</t>
  </si>
  <si>
    <t>RUA DIOGENES RIBEIRO DE LIMA 567</t>
  </si>
  <si>
    <t>-23.5510005658291</t>
  </si>
  <si>
    <t>-46.7071442174548</t>
  </si>
  <si>
    <t>AVENIDA PEDROSO DE MORAES ESQUINA COM R ALBERTO FARIA</t>
  </si>
  <si>
    <t>-23.556540689625</t>
  </si>
  <si>
    <t>-46.7037017671846</t>
  </si>
  <si>
    <t>RUA DESEMBARGADOR FERREIRA DE FRANCA NA PRACA CORONEL CUSTODIO FERNANDES PINHEIRO QUASE DEFRTONE A  RUA  OURANIA</t>
  </si>
  <si>
    <t>2021-07-31</t>
  </si>
  <si>
    <t>-23.5546815011741</t>
  </si>
  <si>
    <t>-46.7005864568805</t>
  </si>
  <si>
    <t>AVENIDA ANTONIO BATUIRA ESQUINA COM A RUA BANIBAS</t>
  </si>
  <si>
    <t>-23.5557583576039</t>
  </si>
  <si>
    <t>-46.7082217200805</t>
  </si>
  <si>
    <t>RUA DOUTOR LUIS AUGUSTO DE QUEIROS ARANHA ESQUINA COM A RUA  AEFUCA</t>
  </si>
  <si>
    <t>-23.5434592296056</t>
  </si>
  <si>
    <t>-46.708095383313</t>
  </si>
  <si>
    <t>BOAÇAVA</t>
  </si>
  <si>
    <t>RUA DOUTOR JOSE RODRIGUES ALVES SOBRINHO ESQUINA AVENIDA ARRUDA BOTELHO</t>
  </si>
  <si>
    <t>2021-08-04</t>
  </si>
  <si>
    <t>-23.5525054236865</t>
  </si>
  <si>
    <t>-46.7192288343298</t>
  </si>
  <si>
    <t>AVENIDA PADRE DE ANDRADE 145</t>
  </si>
  <si>
    <t>-23.5385955668283</t>
  </si>
  <si>
    <t>-46.7194246238851</t>
  </si>
  <si>
    <t>RUA MARCOS MELECA 150 NO INTERIOR DO CODOMINO ALAMEDA DOS PINHEIROS DEFRONTE AO EDIFICIO BETULA</t>
  </si>
  <si>
    <t>-23.5504723924174</t>
  </si>
  <si>
    <t>-46.7197430246242</t>
  </si>
  <si>
    <t>RUA MARCOS MELECA 150 NO INTERIOR DO CONDOMINIO ALAMEDA DOS PINHEIROS DEFRONTE AO EDIFICIO CISALPINA ARAUCARIA</t>
  </si>
  <si>
    <t>-23.5497900029823</t>
  </si>
  <si>
    <t>-46.7190967459062</t>
  </si>
  <si>
    <t>PRACA JOSE MARIA ARBES DEFRONTE AO EDIFICIO IPE</t>
  </si>
  <si>
    <t>-23.5488720551409</t>
  </si>
  <si>
    <t>-46.720523322633</t>
  </si>
  <si>
    <t>RUA CERRO CORA 2365 ESQUINA COM A RUA FILIPINAS</t>
  </si>
  <si>
    <t>-23.535908840559</t>
  </si>
  <si>
    <t>-46.7174960393027</t>
  </si>
  <si>
    <t>RUA PIANU ESQUINA COM A RUA ENGENHEIRO SA ROCA</t>
  </si>
  <si>
    <t>2021-08-13</t>
  </si>
  <si>
    <t>-23.5415946879878</t>
  </si>
  <si>
    <t>-46.7132054021822</t>
  </si>
  <si>
    <t>RUA DOM LEOPOLDO I ESQUINA COM A RUA PIO XI</t>
  </si>
  <si>
    <t>-23.5403309349134</t>
  </si>
  <si>
    <t>-46.7139757722071</t>
  </si>
  <si>
    <t>RUA DARDANELOS ESQUINA COM RUA UCAIARI</t>
  </si>
  <si>
    <t>-23.538394898149</t>
  </si>
  <si>
    <t>-46.7161794754575</t>
  </si>
  <si>
    <t>RUA NELSON FERREIRA DE SOUSAS 73 DEFRONTE A RUA ARACUAI</t>
  </si>
  <si>
    <t>-23.5440567315349</t>
  </si>
  <si>
    <t>-46.716889759855</t>
  </si>
  <si>
    <t>RUA BERGAMOTA ESQUINA COM A RUA DARDANELOS</t>
  </si>
  <si>
    <t>-23.5386894845852</t>
  </si>
  <si>
    <t>-46.7170301754198</t>
  </si>
  <si>
    <t>AVENIDA DIOGENS RIBEIRO DE LIMA PROXIMO A RUA ARIQUEME</t>
  </si>
  <si>
    <t>-23.5417471230135</t>
  </si>
  <si>
    <t>-46.7163891317586</t>
  </si>
  <si>
    <t>RUA ANTONIO BORBA 346 DEFRONTE A RUA PROFESSOR PIRAJA DA SILVA</t>
  </si>
  <si>
    <t>-23.54209975754</t>
  </si>
  <si>
    <t>-46.7034315340682</t>
  </si>
  <si>
    <t>RUA MADRE MARIA ANGELICA RESENDE ESQUINA COM A RUA BERNARDA LUIS</t>
  </si>
  <si>
    <t>-23.547030541271</t>
  </si>
  <si>
    <t>-46.700075742173</t>
  </si>
  <si>
    <t>RUA LEAO COROADO ESQUINA COM RUAS DAS TABOCAS</t>
  </si>
  <si>
    <t>-23.5507833125313</t>
  </si>
  <si>
    <t>-46.6982259361077</t>
  </si>
  <si>
    <t>RUA PEREIRA LEITE ESQUINA COM RUA HEITOR PENTEADO</t>
  </si>
  <si>
    <t>-23.5419648472123</t>
  </si>
  <si>
    <t>-46.6966365322428</t>
  </si>
  <si>
    <t>RUA CAMINHA DE AMORIM ESQUINA COM A RUAZ FLORALIA</t>
  </si>
  <si>
    <t>-23.5420324398776</t>
  </si>
  <si>
    <t>-46.6993785920603</t>
  </si>
  <si>
    <t>RUA BORGES DE BARROS 101</t>
  </si>
  <si>
    <t>-23.545350540519</t>
  </si>
  <si>
    <t>-46.6943244069132</t>
  </si>
  <si>
    <t>RUA OURANIA 120</t>
  </si>
  <si>
    <t>-23.5528516554499</t>
  </si>
  <si>
    <t>-46.6982755733087</t>
  </si>
  <si>
    <t>RUA VITORINO DE CARVALHO 285 DEFRONTE A RUA CAROPA</t>
  </si>
  <si>
    <t>-23.5483579975988</t>
  </si>
  <si>
    <t>-46.7035700757418</t>
  </si>
  <si>
    <t>RUA FRANCISCO ISOLDI 287</t>
  </si>
  <si>
    <t>-23.5473336973885</t>
  </si>
  <si>
    <t>-46.6941976067999</t>
  </si>
  <si>
    <t>RUA ARMANDO PINTO 26 ESQUINA COM A RUA DOM ROSALVO 131</t>
  </si>
  <si>
    <t>-23.54394533632</t>
  </si>
  <si>
    <t>-46.697333464399</t>
  </si>
  <si>
    <t>RUA JUBIABA 185</t>
  </si>
  <si>
    <t>-23.5547399098466</t>
  </si>
  <si>
    <t>-46.698424299058</t>
  </si>
  <si>
    <t>RUA ARQUITETO JAIME FONSECA RODRIGUES ESQUINA COM A RUA AQUIRAMUN</t>
  </si>
  <si>
    <t>-23.5504886920818</t>
  </si>
  <si>
    <t>-46.7004162343018</t>
  </si>
  <si>
    <t>RUA OROS NO FINAL DA RUA</t>
  </si>
  <si>
    <t>-23.5438278322129</t>
  </si>
  <si>
    <t>-46.6963064632539</t>
  </si>
  <si>
    <t>RUA SEBASTIAO RODRIGUES PROXIMO DA ESQUINA COM A RUA CAMINHA DE AMORIM</t>
  </si>
  <si>
    <t>-23.5432273163269</t>
  </si>
  <si>
    <t>-46.7018884711993</t>
  </si>
  <si>
    <t>RUA IBIRACU ESQUINA COM A RUA CAMINHA DE AMORIM</t>
  </si>
  <si>
    <t>-23.5429429596956</t>
  </si>
  <si>
    <t>-46.700387487216</t>
  </si>
  <si>
    <t>RUA PADRE CERDA PROXIMO DA ESQUINA COM A RUA MADRE MARIA ANGELICA RESENDE</t>
  </si>
  <si>
    <t>-23.5432611222724</t>
  </si>
  <si>
    <t>-46.6998930415732</t>
  </si>
  <si>
    <t>AVENIDA FRANCISCO MATARAZZO ESQUINA COM A RUA JOSE BENEDITO BONELLI</t>
  </si>
  <si>
    <t>-23.5253412308546</t>
  </si>
  <si>
    <t>-46.6811231510183</t>
  </si>
  <si>
    <t>RUA TANABI ESQUINA COM A AVENIDA ANTARTICA</t>
  </si>
  <si>
    <t>-23.5290591371756</t>
  </si>
  <si>
    <t>-46.6760260700349</t>
  </si>
  <si>
    <t>RUA CARLOS VICARI ESQUINA COM A RUA JOAQUIM FERREIRA</t>
  </si>
  <si>
    <t>-23.5239323409722</t>
  </si>
  <si>
    <t>-46.6841187543433</t>
  </si>
  <si>
    <t>RUA BARAO DE TEFE ESQUINA COM A AVENIDA FRANCISCO MATARAZZO</t>
  </si>
  <si>
    <t>-23.5262364305589</t>
  </si>
  <si>
    <t>-46.6764818281838</t>
  </si>
  <si>
    <t>RUA PALESTRA ITALIA DEFRONTE A RUA CARAIBA                PALESTRA ITALIA</t>
  </si>
  <si>
    <t>-23.5282616934665</t>
  </si>
  <si>
    <t>-46.6796368400925</t>
  </si>
  <si>
    <t>RUA TEIXEIRA E SOUZA ESQUINA COM A RUA BARAO DE TEFE</t>
  </si>
  <si>
    <t>-23.5271863482526</t>
  </si>
  <si>
    <t>-46.6760485954625</t>
  </si>
  <si>
    <t>RUA EMBAIXADOR LEAO VELOSO ESQUINA COM A RUA PADRE ANTONIO TOMAS</t>
  </si>
  <si>
    <t>-23.5281603311576</t>
  </si>
  <si>
    <t>-46.6767441198611</t>
  </si>
  <si>
    <t>AVENIDA ANTARTICA ESQUINA COM A RUA TURIASSU</t>
  </si>
  <si>
    <t>-23.5297594983225</t>
  </si>
  <si>
    <t>-46.6768215078331</t>
  </si>
  <si>
    <t>AVENIDA SANTA MARINA ESQUINA COM A RUA MENFIS NA ENTRADA DA PASSARELA</t>
  </si>
  <si>
    <t>-23.5224569245524</t>
  </si>
  <si>
    <t>-46.6865878705085</t>
  </si>
  <si>
    <t>AVENIDA MARQUES DE SAO VICENTE 77</t>
  </si>
  <si>
    <t>-23.52277297156</t>
  </si>
  <si>
    <t>-46.6601836105478</t>
  </si>
  <si>
    <t>AVENIDA MARQUES DE SAO VICENTE RUA DR RUBENS MEIRELES</t>
  </si>
  <si>
    <t>-23.5213341720755</t>
  </si>
  <si>
    <t>-46.6661247055107</t>
  </si>
  <si>
    <t>RUA JOSE GOMES FALCAO 304 TRAVESSA DA AVENIDA MARQUES DE SAO VICENTE</t>
  </si>
  <si>
    <t>-23.5212143085717</t>
  </si>
  <si>
    <t>-46.6612358165923</t>
  </si>
  <si>
    <t>RUA DOUTOR BENTO TEOBALDO FERRAZ DEEFRONTE A RUA DOUTOR JOAO FAIRBANKS</t>
  </si>
  <si>
    <t>-23.5240382127741</t>
  </si>
  <si>
    <t>-46.6658869240309</t>
  </si>
  <si>
    <t>RUA DOUTOR JOAO FAIRBANKS ESQUINA COM A RUA DO BOSQUE</t>
  </si>
  <si>
    <t>-23.5232440299774</t>
  </si>
  <si>
    <t>-46.6665325844019</t>
  </si>
  <si>
    <t>FRANCISCO MATARAZZO</t>
  </si>
  <si>
    <t>RUA MARTA ESQUINA COM A RUA TAGIPURU</t>
  </si>
  <si>
    <t>-23.5308780795673</t>
  </si>
  <si>
    <t>-46.663177777959</t>
  </si>
  <si>
    <t>AVENIDA AURO SOARES DE MOURA ANDRADE ESQUINA COM A RUA WILFRIDES ALVES DE LIMA</t>
  </si>
  <si>
    <t>-23.5267727662605</t>
  </si>
  <si>
    <t>-46.6667427573051</t>
  </si>
  <si>
    <t>RUA MINISTRO GODOY PROXIMO A ESQUINA COM A AVENIDA FRANCISCO</t>
  </si>
  <si>
    <t>-23.5302235595492</t>
  </si>
  <si>
    <t>-46.6672754454837</t>
  </si>
  <si>
    <t>AVENIDA AURO SOARES DE MOURA ANDRADE DEFRONTE AO TERMINAL BARRA FUNDA</t>
  </si>
  <si>
    <t>-23.526453132881</t>
  </si>
  <si>
    <t>-46.6688139845524</t>
  </si>
  <si>
    <t>RUA MARTA ESQUINA COM A RUA MARGARIDA</t>
  </si>
  <si>
    <t>-23.5295227954376</t>
  </si>
  <si>
    <t>-46.6618426111152</t>
  </si>
  <si>
    <t>AVENIDA GENERAL OLIMPIO DA SILVEIRA ESQUINA COM AVENIDA PACAEMBU</t>
  </si>
  <si>
    <t>-23.5321725071425</t>
  </si>
  <si>
    <t>-46.66135069401</t>
  </si>
  <si>
    <t>RUA DONA ELISA ESQUINA COM A RUA MARTA</t>
  </si>
  <si>
    <t>-23.5304357921541</t>
  </si>
  <si>
    <t>-46.6624333851746</t>
  </si>
  <si>
    <t>AVENIDA FRANCISCO MATARAZZO ESQUINA COM A AVENIDA DOUTOR DOLPHO PINTO</t>
  </si>
  <si>
    <t>-23.5301944926229</t>
  </si>
  <si>
    <t>-46.6664273037319</t>
  </si>
  <si>
    <t>AVENIDA PACAEMBU ESQUINA COM RUA PARAGUACU</t>
  </si>
  <si>
    <t>-23.5367172304092</t>
  </si>
  <si>
    <t>-46.6635637985739</t>
  </si>
  <si>
    <t>AVENIDA FRANCISCO MATARAZZO 151 PROXIMO A ESQUIDA DA RUA MONTE ALEGRE</t>
  </si>
  <si>
    <t>-23.5313922146974</t>
  </si>
  <si>
    <t>-46.6652589910978</t>
  </si>
  <si>
    <t>AVENIDA MARQUES DE SAO VICENTE ESQUINA COM A RUA TRES</t>
  </si>
  <si>
    <t>2021-07-22</t>
  </si>
  <si>
    <t>-23.5171082701611</t>
  </si>
  <si>
    <t>-46.6834393019911</t>
  </si>
  <si>
    <t>RUA DOUTOR MOISES KAHAN PROXIMO A ESQUINA DA AVENIDA THOMAS EDISON</t>
  </si>
  <si>
    <t>-23.517797037367</t>
  </si>
  <si>
    <t>-46.670143403556</t>
  </si>
  <si>
    <t>AVENIDA SANTA MARINA ESQUINA COM A RUA COMENDADOR SOUZA</t>
  </si>
  <si>
    <t>2021-09-28</t>
  </si>
  <si>
    <t>-23.518832599606</t>
  </si>
  <si>
    <t>-46.6889278</t>
  </si>
  <si>
    <t>AVENIDA SANTA MARINA 369 PROXIMO DA LINHA FERREA</t>
  </si>
  <si>
    <t>-23.5211882967313</t>
  </si>
  <si>
    <t>-46.6878878224732</t>
  </si>
  <si>
    <t>RUA BIJARI ESQUINA COM A AVENIDA CAXINGUI</t>
  </si>
  <si>
    <t>-23.5713813899607</t>
  </si>
  <si>
    <t>-46.7136459085028</t>
  </si>
  <si>
    <t>RUA AGOSTINHO CANTU ESQUINA COM A RUA PIRAJUSSARA</t>
  </si>
  <si>
    <t>-23.5698185765298</t>
  </si>
  <si>
    <t>-46.704658597931</t>
  </si>
  <si>
    <t>RUA GERIVATIVA COM A RUA PIRAJUCARA</t>
  </si>
  <si>
    <t>-23.569413583041</t>
  </si>
  <si>
    <t>-46.7039825028436</t>
  </si>
  <si>
    <t>AVENIDA VALDEMAR FERREIRA ESQUINA COM A RUA PIRAJUSSARA</t>
  </si>
  <si>
    <t>-23.5701703210116</t>
  </si>
  <si>
    <t>-46.7057657958302</t>
  </si>
  <si>
    <t>RUA DRAUSIO 27 PROXIMO DA ESQUINA COM A RUA MMDC</t>
  </si>
  <si>
    <t>-23.5726547795616</t>
  </si>
  <si>
    <t>-46.7083091238719</t>
  </si>
  <si>
    <t>AVENIDA VITAL BRASIL ESQUINA COM A RUA PIRAJUSSARA</t>
  </si>
  <si>
    <t>-23.5714315841711</t>
  </si>
  <si>
    <t>-46.7074219302547</t>
  </si>
  <si>
    <t>RUA ALVARENGA ESQUINA COM A RUA ESTEVAO LOPES</t>
  </si>
  <si>
    <t>-23.5700253437273</t>
  </si>
  <si>
    <t>-46.7114744640532</t>
  </si>
  <si>
    <t>RUA JOSE BENEDITO MACEDO ESQUINA COM A RUA MANOEL JOAQUIM PERA</t>
  </si>
  <si>
    <t>-23.5729233504719</t>
  </si>
  <si>
    <t>-46.7228177656722</t>
  </si>
  <si>
    <t>RUA GASPAR MOREIRA ESQUINA COM A RUA ESTEVAO LOPES</t>
  </si>
  <si>
    <t>-23.5693763365659</t>
  </si>
  <si>
    <t>-46.7094425201416</t>
  </si>
  <si>
    <t>RUA GRUPIARA SN</t>
  </si>
  <si>
    <t>-23.5739296670781</t>
  </si>
  <si>
    <t>-46.7134423088282</t>
  </si>
  <si>
    <t>AVENIDA PROFESSOR LINEU PRESTES NO CANTEIRO CENTRAL DEFRONTE AO INSTITUTO DE QUIMICA</t>
  </si>
  <si>
    <t>-23.5655453153983</t>
  </si>
  <si>
    <t>-46.7250283271189</t>
  </si>
  <si>
    <t>AVENIDA DA UNIVERSIDADE 9</t>
  </si>
  <si>
    <t>-23.5645488333433</t>
  </si>
  <si>
    <t>-46.7135005004046</t>
  </si>
  <si>
    <t>NA ENTRADA 02 DO PREDIO DO CONJUNTO DAS QUIMICAS USP NA AVENIDA PROFESSOR LINEU PRESTES</t>
  </si>
  <si>
    <t>-23.565712615194</t>
  </si>
  <si>
    <t>-46.726153</t>
  </si>
  <si>
    <t>NA ENTRADA 01 DO PREDIO DO CONJUNTO DAS QUIMICAS USP NA AVENIDA PROFESSOR LINEU PRESTES</t>
  </si>
  <si>
    <t>-23.5659332673134</t>
  </si>
  <si>
    <t>-46.7262537157757</t>
  </si>
  <si>
    <t>AVENIDA DA UNIVERSIDADE ESQUINA COM A TRAVESSA 11</t>
  </si>
  <si>
    <t>-23.5627523721947</t>
  </si>
  <si>
    <t>-46.7171080100394</t>
  </si>
  <si>
    <t>AVENIDA PROFESSOR MELLO MORAES ESQUINA COM A AVENIDA PROFESSOR LUCIO MARTINS RODRIGUES - INSTITUO DE PSICOLOGIA</t>
  </si>
  <si>
    <t>-23.5548480431915</t>
  </si>
  <si>
    <t>-46.7248149364454</t>
  </si>
  <si>
    <t>RUA AZEM ABDALA AZEM 814 NO INTERIOR DA ESTACAO DE BOMBEIROS DO BUTANTA</t>
  </si>
  <si>
    <t>-23.5841612893648</t>
  </si>
  <si>
    <t>-46.7376999918648</t>
  </si>
  <si>
    <t>AVENIDA MARECHAL FIUZA DE CASTRO 435 NO INTERIOR DO CONDOMINIO DE PREDIOS</t>
  </si>
  <si>
    <t>-23.582246280654</t>
  </si>
  <si>
    <t>-46.7452765369847</t>
  </si>
  <si>
    <t>-23.5822116579637</t>
  </si>
  <si>
    <t>-46.7457300703973</t>
  </si>
  <si>
    <t>RUA HEITOR DE GUSMAO UCHOA ESQUINA COM AV MARECHAL FIUZA DE CASTRO</t>
  </si>
  <si>
    <t>-23.5787060782376</t>
  </si>
  <si>
    <t>-46.7477825242285</t>
  </si>
  <si>
    <t>RUA TOMAS DA MOTA 170</t>
  </si>
  <si>
    <t>-23.5814182491079</t>
  </si>
  <si>
    <t>-46.7471454985628</t>
  </si>
  <si>
    <t>RUA NIBE PEROBELLI ESQUINA COM A RUA JOAO DELLA MANNA</t>
  </si>
  <si>
    <t>-23.5809120761874</t>
  </si>
  <si>
    <t>-46.7288477603059</t>
  </si>
  <si>
    <t>RUA CORONEL FERREIRA LEAL ESQUINA COM A RUA ADRIANO THEODOSIO SERRA</t>
  </si>
  <si>
    <t>-23.5758550255604</t>
  </si>
  <si>
    <t>-46.7375385531215</t>
  </si>
  <si>
    <t>RUA AUGUSTO FARIA ESQUINA COM A RUA MOACIR MIGUEL DA SILVA</t>
  </si>
  <si>
    <t>-23.5798096986639</t>
  </si>
  <si>
    <t>-46.7419760431063</t>
  </si>
  <si>
    <t>RUA DR LEVINDO PAIVA DUQUE ESQUINA COM A RUA AUGUSTO FARINA</t>
  </si>
  <si>
    <t>-23.5822148062704</t>
  </si>
  <si>
    <t>-46.7399710131445</t>
  </si>
  <si>
    <t>RUA ARI DOS SANTOS ESQUINA COM RUA ROBERTO VALENTINO DE CAMARGO</t>
  </si>
  <si>
    <t>-23.5841575138222</t>
  </si>
  <si>
    <t>-46.7403261587145</t>
  </si>
  <si>
    <t>RUA DOUTOR FRANKLIN PIZA ESQUINA COM A AVENIDA PROFESSOR LUCAS DE ASSUNCAO</t>
  </si>
  <si>
    <t>-23.5778582588708</t>
  </si>
  <si>
    <t>-46.7314113585963</t>
  </si>
  <si>
    <t>RUA JOAO BATISTA PEREIRA ESQUINA COM A RUA MOACIR MIGUEL DA SILVA</t>
  </si>
  <si>
    <t>-23.5814226567465</t>
  </si>
  <si>
    <t>-46.743076540987</t>
  </si>
  <si>
    <t>RUA GASTAO DO REGO MONTEIRO ESQUINA COM A RUA ALDO BONADEI</t>
  </si>
  <si>
    <t>-23.5794351961625</t>
  </si>
  <si>
    <t>-46.7410093549955</t>
  </si>
  <si>
    <t>RUA JOAO MAFFEI ESQUINA COM A RUA JOAO GOMES JUNIOR</t>
  </si>
  <si>
    <t>-23.5806785634708</t>
  </si>
  <si>
    <t>-46.7338363730196</t>
  </si>
  <si>
    <t>RUA JOAO GOMES JUNIOR ESQUINA COM A RUA RAMIRO DE SANTA CRUZ</t>
  </si>
  <si>
    <t>-23.5775807624333</t>
  </si>
  <si>
    <t>-46.7405835660695</t>
  </si>
  <si>
    <t>RUA LUIS ALBERTO MARTINS ESQUINA COM A RUA MARIO MMAGLIO</t>
  </si>
  <si>
    <t>-23.5770849150536</t>
  </si>
  <si>
    <t>-46.7165624135187</t>
  </si>
  <si>
    <t>RUA FRANCISCO PEROTI ESQUINA COM A RUA MAJOR ALMEIDA QUEIROZ</t>
  </si>
  <si>
    <t>-23.5797347043013</t>
  </si>
  <si>
    <t>-46.7242681714054</t>
  </si>
  <si>
    <t>RUA DOMINGOS BARBIERI 313 DEFRONTE A ESCOLA PROXIMO A ESQUINA COM A RUA ANTONIO MARIANI</t>
  </si>
  <si>
    <t>-23.5766369683165</t>
  </si>
  <si>
    <t>-46.720781284099</t>
  </si>
  <si>
    <t>RUA PEDRO PECCININI DEFRONTE A RUA HUGO CAROTINI</t>
  </si>
  <si>
    <t>-23.5787430225128</t>
  </si>
  <si>
    <t>-46.7267220047158</t>
  </si>
  <si>
    <t>AVENIDA PROFESSOR FRANCISCO MORATO PROXIMO A ESQUINA COM A AVENIDA JORGE JOAO SAAD ESTACAO MORUMBI DO METRO</t>
  </si>
  <si>
    <t>-23.5861315686785</t>
  </si>
  <si>
    <t>-46.7234969138781</t>
  </si>
  <si>
    <t>RUA DR ERNANI DA GAMA CORREIA ESQUINA COM AV BENJAMIM MANSUR</t>
  </si>
  <si>
    <t>-23.5753184655579</t>
  </si>
  <si>
    <t>-46.7259539222914</t>
  </si>
  <si>
    <t>RUA DESEMBARGADOR THEODOMIRO DIAS 84</t>
  </si>
  <si>
    <t>-23.5737413593682</t>
  </si>
  <si>
    <t>-46.720510759894</t>
  </si>
  <si>
    <t>RUA HUGO CAROTINI ESQUINA COM A RUA PEDRO PECCININI</t>
  </si>
  <si>
    <t>-23.5786677812572</t>
  </si>
  <si>
    <t>-46.7264610164772</t>
  </si>
  <si>
    <t>AVENIDA ELISEU DE ALMEIDA ESQUINA COM A RUA SISENANDO GOMES</t>
  </si>
  <si>
    <t>-23.5774584589521</t>
  </si>
  <si>
    <t>-46.7149545111081</t>
  </si>
  <si>
    <t>RUA GERVASIO DUNCAN DE LIMA RODRIGUES ESQUINA COM A RUA HAROLDO GURGEL</t>
  </si>
  <si>
    <t>-23.5790921674623</t>
  </si>
  <si>
    <t>-46.7128030244048</t>
  </si>
  <si>
    <t>RUA LADISLAU ROMAN ESQUINA COM A RUA RUBENS DE MORAES JARDIM</t>
  </si>
  <si>
    <t>-23.5793676401451</t>
  </si>
  <si>
    <t>-46.7148266202922</t>
  </si>
  <si>
    <t>RUA ROQUETE PINTO ESQUINA COM A AV FRANCISCO MORATO</t>
  </si>
  <si>
    <t>-23.5815613549246</t>
  </si>
  <si>
    <t>-46.7122820350642</t>
  </si>
  <si>
    <t>RUA LADISLAU ROMAN ESQUINA COM A RUA JOSE RUBENS</t>
  </si>
  <si>
    <t>-23.5811194424988</t>
  </si>
  <si>
    <t>-46.7139136614122</t>
  </si>
  <si>
    <t>RUA DR ERNANI DA GAMA CORREIA PROXIMA DA ESQUINA COM RUA JOSE DE MORAES FERRAZ</t>
  </si>
  <si>
    <t>-23.5746512268695</t>
  </si>
  <si>
    <t>-46.7241591041151</t>
  </si>
  <si>
    <t>RUA DOMINGOS BARBIERI ESQUINA COM A RUA HUGO CAROTINI</t>
  </si>
  <si>
    <t>2021-08-09</t>
  </si>
  <si>
    <t>-23.5765700827322</t>
  </si>
  <si>
    <t>-46.7209209978343</t>
  </si>
  <si>
    <t>RUA DOUTOR ALFREDO DI VERNIERI ESQUINA COM A RUA PAULO ANGELO LANZARINI</t>
  </si>
  <si>
    <t>2021-08-27</t>
  </si>
  <si>
    <t>-23.578328791955</t>
  </si>
  <si>
    <t>-46.7286657526311</t>
  </si>
  <si>
    <t>AVENIDA CHEDID JAFET 239 COM RUA VIA FUNCHAL</t>
  </si>
  <si>
    <t>-23.5929379513972</t>
  </si>
  <si>
    <t>-46.6889704963132</t>
  </si>
  <si>
    <t>RUA FUNCHAL 160</t>
  </si>
  <si>
    <t>-23.5924685761602</t>
  </si>
  <si>
    <t>-46.687748398219</t>
  </si>
  <si>
    <t>RUA GERALDO FLAUSINO GOEMS ESQUINA COM A AVENIDA ENGENHEIRO LUIZ CARLOS BERRINI</t>
  </si>
  <si>
    <t>-23.6081122117735</t>
  </si>
  <si>
    <t>-46.6941392515105</t>
  </si>
  <si>
    <t>RUA EDWARD WESTON PROXIMO A RUA ARIZONA</t>
  </si>
  <si>
    <t>-23.6100065127021</t>
  </si>
  <si>
    <t>-46.6960444236066</t>
  </si>
  <si>
    <t>RUA KANSAS PROXIMO A RUA DOMINGOS DE ANDRADE ROSA</t>
  </si>
  <si>
    <t>-23.6002537166011</t>
  </si>
  <si>
    <t>-46.6893939869173</t>
  </si>
  <si>
    <t>BROOKLIN</t>
  </si>
  <si>
    <t>PRACA DOUTOR FRANCISCO PATTI  ESQUINA COM AVENIDA NOVA INDEPENDENCIA</t>
  </si>
  <si>
    <t>2021-09-27</t>
  </si>
  <si>
    <t>-23.5991029870026</t>
  </si>
  <si>
    <t>-46.6869817519986</t>
  </si>
  <si>
    <t>RUA NOVA YORK ESQUINA COM A RUA FLORIDA</t>
  </si>
  <si>
    <t>-23.6146022987428</t>
  </si>
  <si>
    <t>-46.6843470474274</t>
  </si>
  <si>
    <t>RUA ARIZONA ESQUINA COM A RUA GUARAIUVA</t>
  </si>
  <si>
    <t>-23.6125367769267</t>
  </si>
  <si>
    <t>-46.6903017293996</t>
  </si>
  <si>
    <t>RUA GUARAIUVA ESQUINA COM A RUA FLORIDA</t>
  </si>
  <si>
    <t>-23.6110447091939</t>
  </si>
  <si>
    <t>-46.6892363549893</t>
  </si>
  <si>
    <t>RUA CONCEICAO DE MONTE ALEGRE ESQUINA COM A RUA FLORIDA</t>
  </si>
  <si>
    <t>-23.6097863715612</t>
  </si>
  <si>
    <t>-46.6908126742699</t>
  </si>
  <si>
    <t>RUA NOVA YORK ESQUINA COM A RUA GUARARAPES</t>
  </si>
  <si>
    <t>-23.6117719934871</t>
  </si>
  <si>
    <t>-46.6814252246839</t>
  </si>
  <si>
    <t>RUA TACOMA ESQUINA COM A RUA GUARARAPES</t>
  </si>
  <si>
    <t>-23.6103017328432</t>
  </si>
  <si>
    <t>-46.6834026147548</t>
  </si>
  <si>
    <t>RUA INDIANA ESQUINA COM A RUA ALFREDO ARANHA DE MIRANDA</t>
  </si>
  <si>
    <t>-23.6083013765165</t>
  </si>
  <si>
    <t>-46.6876587587363</t>
  </si>
  <si>
    <t>RUA TEXAS ESQUINA COM A RUA RIBEIRO DO VALE</t>
  </si>
  <si>
    <t>-23.6055122900163</t>
  </si>
  <si>
    <t>-46.680984173202</t>
  </si>
  <si>
    <t>AVENIDA DOS BANDEIRANTES ESQUINA COM A RUA GUARAIUVA</t>
  </si>
  <si>
    <t>-23.6027761671741</t>
  </si>
  <si>
    <t>-46.6815490807042</t>
  </si>
  <si>
    <t>RUA MICHIGA PROXIM DA ESQUINA COM A RUA ALESSANDRO VOLTA</t>
  </si>
  <si>
    <t>-23.6096531997599</t>
  </si>
  <si>
    <t>-46.6922286438307</t>
  </si>
  <si>
    <t>RUA GUARAIUVA ESQUINA COM A RUA GEORGIA</t>
  </si>
  <si>
    <t>-23.605855425355</t>
  </si>
  <si>
    <t>-46.6840059645485</t>
  </si>
  <si>
    <t>RUA BREJO ALEGRE PROXIMO DA ESQUINA COM A RUA INES PEREIRA</t>
  </si>
  <si>
    <t>-23.6027299647124</t>
  </si>
  <si>
    <t>-46.6824812833133</t>
  </si>
  <si>
    <t>RUA RIBEIRO DO VALE ESQUINA COM AVENIDA PADRE ANTONIO JOSE DOS SANTOS</t>
  </si>
  <si>
    <t>-23.6106820448033</t>
  </si>
  <si>
    <t>-46.6860426272225</t>
  </si>
  <si>
    <t>RUA SANTA VERONICA 284</t>
  </si>
  <si>
    <t>-23.6044817589486</t>
  </si>
  <si>
    <t>-46.6846871345818</t>
  </si>
  <si>
    <t>RUA PENSILVANIA ENTRE A RUA CIPRIANO LOPES FRANCA E A RUA CONCEICAO DE MONTE ALEGRE</t>
  </si>
  <si>
    <t>-23.6093150519945</t>
  </si>
  <si>
    <t>-46.6896849790441</t>
  </si>
  <si>
    <t>RUA CALIFORNIA ESQUINA COM A RUA ARIZONA</t>
  </si>
  <si>
    <t>-23.6150841437796</t>
  </si>
  <si>
    <t>-46.6875187340429</t>
  </si>
  <si>
    <t>CHÁCARA ITAIM</t>
  </si>
  <si>
    <t>AVENIDA SAO GABRIEL ESQUINA COM A RUA JOAQUIM FLORIANO</t>
  </si>
  <si>
    <t>-23.5831993482384</t>
  </si>
  <si>
    <t>-46.6704111554243</t>
  </si>
  <si>
    <t>RUA MANOEL GUEDES ESQUINA COM A RUA JOAQUIM FLORIANO</t>
  </si>
  <si>
    <t>-23.5856181532557</t>
  </si>
  <si>
    <t>-46.6786454929491</t>
  </si>
  <si>
    <t>AVENIDA HORACIO LAFER ESQUINA COM A  RUA LOPES NETO</t>
  </si>
  <si>
    <t>-23.5876898482121</t>
  </si>
  <si>
    <t>-46.683418949932</t>
  </si>
  <si>
    <t>RUA IGUATEMI ESQUINA COM A RUA VIRADOURO</t>
  </si>
  <si>
    <t>-23.585617420178</t>
  </si>
  <si>
    <t>-46.6813902297754</t>
  </si>
  <si>
    <t>RUA BANDEIRA PAULISTA PROXIMO DA ESQUINA COM A RUA JOAQUIM FLORIANO</t>
  </si>
  <si>
    <t>-23.5846801051023</t>
  </si>
  <si>
    <t>-46.6757872961359</t>
  </si>
  <si>
    <t>RUA BRASILIA ESQUINA COM RUA JOAQUIM FLORIANO</t>
  </si>
  <si>
    <t>-23.58375656985</t>
  </si>
  <si>
    <t>-46.6721761211473</t>
  </si>
  <si>
    <t>RUA MANUEL GUEDES6 ESQUINA COM RUA CARLA</t>
  </si>
  <si>
    <t>-23.5829174360165</t>
  </si>
  <si>
    <t>-46.6793040219178</t>
  </si>
  <si>
    <t>RUA IGUATEMI ESQUINA RUA ADOLFO TABACOW</t>
  </si>
  <si>
    <t>-23.5832791563827</t>
  </si>
  <si>
    <t>-46.6832174917839</t>
  </si>
  <si>
    <t>RUA JERONIMO DA VEIGA 456</t>
  </si>
  <si>
    <t>-23.5819683506749</t>
  </si>
  <si>
    <t>-46.6833047639992</t>
  </si>
  <si>
    <t>RUA DONA LUISA JULIA ESQUINA COM A RUA LEOPOLDO COUTO DE MAGALHAES JUNIOR</t>
  </si>
  <si>
    <t>-23.5863761996051</t>
  </si>
  <si>
    <t>-46.6739536</t>
  </si>
  <si>
    <t>RUA JESUINO ARRUDA ESQUINA COM A RUA DOUTOR RENATO PAES DE BARROS</t>
  </si>
  <si>
    <t>2021-09-17</t>
  </si>
  <si>
    <t>-23.5820766587586</t>
  </si>
  <si>
    <t>-46.6741050211144</t>
  </si>
  <si>
    <t>RUA PAIS DE ARAUJO NO INTERIOR DA TRAVESSA LUCIA ALBERTINA SOARES QUADROS</t>
  </si>
  <si>
    <t>-23.5837421515733</t>
  </si>
  <si>
    <t>-46.6817947570235</t>
  </si>
  <si>
    <t>RUA INDAIATUBA NO FINAL DA RUA</t>
  </si>
  <si>
    <t>-23.5836542662372</t>
  </si>
  <si>
    <t>-46.6805783733759</t>
  </si>
  <si>
    <t>HÉLIO PELEGRINO</t>
  </si>
  <si>
    <t>RUA QUATA ESQUINA COM AVENIDA SANTO AMARO</t>
  </si>
  <si>
    <t>-23.6001226048131</t>
  </si>
  <si>
    <t>-46.674131999458</t>
  </si>
  <si>
    <t>RUA HELIO POVOA ESQUINA COM A RUA BALUARTE DEFRONTE AO POSTO DE BOMBEIROS VILA OLIMPIA</t>
  </si>
  <si>
    <t>-23.5982622968426</t>
  </si>
  <si>
    <t>-46.6751478027624</t>
  </si>
  <si>
    <t>RUA PROFESSOR DAIJIRO MATSUDA ESQUINA COM A RUA IRAUNA</t>
  </si>
  <si>
    <t>-23.6070023335213</t>
  </si>
  <si>
    <t>-46.6765374725084</t>
  </si>
  <si>
    <t>RUA RIBEIRO CLARO ESQUINA COM A AVENIDA DOUTOR CARDOSO DE MELO</t>
  </si>
  <si>
    <t>-23.6008936449929</t>
  </si>
  <si>
    <t>-46.6791224286951</t>
  </si>
  <si>
    <t>RUA IRAUNA 65</t>
  </si>
  <si>
    <t>-23.6058880388574</t>
  </si>
  <si>
    <t>-46.6782986016358</t>
  </si>
  <si>
    <t>RUA CASA DO ATOR 409 NO INTERIOR DA TRAVESSA NO FUNDO</t>
  </si>
  <si>
    <t>-23.5999012168289</t>
  </si>
  <si>
    <t>-46.6775784727445</t>
  </si>
  <si>
    <t>RUA ANTONIO CASTILHO ALONSO PROXIMO A ESQUINA COM A RUA CASA DO ATOR</t>
  </si>
  <si>
    <t>-23.6013188934711</t>
  </si>
  <si>
    <t>-46.6748175036305</t>
  </si>
  <si>
    <t>RUA ODES MODERNAS ESQUINA COM A RUA PROFESSOR JOSE LEITE OITICICA</t>
  </si>
  <si>
    <t>-23.6211158950529</t>
  </si>
  <si>
    <t>-46.6959364961968</t>
  </si>
  <si>
    <t>AVENIDA MORUMBI ESQUINA COM A RUA GABRIEL DE LARA</t>
  </si>
  <si>
    <t>-23.6200772843623</t>
  </si>
  <si>
    <t>-46.6933867308944</t>
  </si>
  <si>
    <t>RUA ROQUE PETRELLA ESQUINA COM A RUA GABRIEL DE LARA</t>
  </si>
  <si>
    <t>-23.617811202404</t>
  </si>
  <si>
    <t>-46.6913568598488</t>
  </si>
  <si>
    <t>RUA FRANCISCO DIAS VELHO ESQUINA COM A RUA JOAO AMARO</t>
  </si>
  <si>
    <t>-23.6161813358154</t>
  </si>
  <si>
    <t>-46.691826410635</t>
  </si>
  <si>
    <t>RUA JURUBATUBA ESQUINA COM RUA ALVARO RODRIGUES</t>
  </si>
  <si>
    <t>-23.6165663479051</t>
  </si>
  <si>
    <t>-46.6945991035552</t>
  </si>
  <si>
    <t>RUA VIEIRA DA SILVA ESQUINA COM A RUA JACERU</t>
  </si>
  <si>
    <t>-23.6231246145778</t>
  </si>
  <si>
    <t>-46.6944589317785</t>
  </si>
  <si>
    <t>AVENIDA DOUTOR CHUCRI ZAIDAN 230 PROXIMO DA ESQUINA COM A RUA EVANDRO CARLOS DE ANDRADE</t>
  </si>
  <si>
    <t>-23.616846002781</t>
  </si>
  <si>
    <t>-46.6972741854777</t>
  </si>
  <si>
    <t>VILA OLÍMPIA</t>
  </si>
  <si>
    <t>RUA MINISTRO JESUINO CARDOSO ESQUINA COM RUA RAMOS BATISTA</t>
  </si>
  <si>
    <t>-23.5930777591895</t>
  </si>
  <si>
    <t>-46.6838498564952</t>
  </si>
  <si>
    <t>RUA PROFESSOR ATILIO INNOCETI  ESQUINA COM RUA ELVIRA FERRAZ</t>
  </si>
  <si>
    <t>-23.5941746905539</t>
  </si>
  <si>
    <t>-46.6793799544866</t>
  </si>
  <si>
    <t>AVENIDA PRESIDENTE JUSCELINO KUBITSCHEK ESQUINA COM RUA CLODOMIRO AMAZONAS</t>
  </si>
  <si>
    <t>-23.5899038065167</t>
  </si>
  <si>
    <t>-46.6782125450669</t>
  </si>
  <si>
    <t>AVENIDA SANTO AMARO 400 ESQUINA RUA DOUTOR EDUARDO DE SOUZA ARANHA</t>
  </si>
  <si>
    <t>-23.5877489866213</t>
  </si>
  <si>
    <t>-46.6718649268005</t>
  </si>
  <si>
    <t>RUA COMENDADOR MIGUEL CALFAT ESQUINA COM A RUA CLODOMIRO AMAZONAS</t>
  </si>
  <si>
    <t>-23.5935752682329</t>
  </si>
  <si>
    <t>-46.67736781318</t>
  </si>
  <si>
    <t>RUA CLODOMIRO AMAZONAS ESQUINA COM A RUA DAS FIANDEIRAS</t>
  </si>
  <si>
    <t>-23.5968672106443</t>
  </si>
  <si>
    <t>-46.6760353329583</t>
  </si>
  <si>
    <t>RUA DOUTOR SODRE ESQUINA COM AVENIDA SANTO AMARO</t>
  </si>
  <si>
    <t>-23.5917669534819</t>
  </si>
  <si>
    <t>-46.672869992675</t>
  </si>
  <si>
    <t>RUA DOUTOR JOAO CLIMACO PEREIRA ESQUINA COM RUA DOUTOR ALCEU DE CAMPOS RODRIGUES</t>
  </si>
  <si>
    <t>-23.5902247615717</t>
  </si>
  <si>
    <t>-46.6733594634879</t>
  </si>
  <si>
    <t>AVENIDA SANTO AMARO  ESQUINA RUA ANDRE GONCALVES</t>
  </si>
  <si>
    <t>-23.587128894565</t>
  </si>
  <si>
    <t>-46.6716358372353</t>
  </si>
  <si>
    <t>AVENIDA SANTO AMARO ESQUINA COM RUA CARACAS</t>
  </si>
  <si>
    <t>-23.5862366509953</t>
  </si>
  <si>
    <t>-46.6713286620038</t>
  </si>
  <si>
    <t>RUA JOAO CACHOEIRA ESQUINA COM A RUA DESEMBARGADOR AGUIAR VALIM</t>
  </si>
  <si>
    <t>-23.5916957990798</t>
  </si>
  <si>
    <t>-46.6754617277847</t>
  </si>
  <si>
    <t>2021-07-14</t>
  </si>
  <si>
    <t>-23.5932893173014</t>
  </si>
  <si>
    <t>-46.6771392957546</t>
  </si>
  <si>
    <t>RUA JOAO CACHOEIRA PROXIMO DA ESQUINA COM A AVENIDA PRESIDENTE JUSCELINO KUBITSCHEK</t>
  </si>
  <si>
    <t>-23.5895246162401</t>
  </si>
  <si>
    <t>-46.6761258943359</t>
  </si>
  <si>
    <t>RUA JOAO CACHOEIRA ESQUINA COM A RUA PROFESSOR JOAO BRITO</t>
  </si>
  <si>
    <t>-23.5898571657661</t>
  </si>
  <si>
    <t>-46.6760177477934</t>
  </si>
  <si>
    <t>RUA PRESGRAVE DO AMARAL 636 NO INTERIOR DO PREDIO DA SABESP</t>
  </si>
  <si>
    <t>-23.5121000939368</t>
  </si>
  <si>
    <t>-46.752622542247</t>
  </si>
  <si>
    <t>RUA CARLOS ALBERTO VANZOLINI PROXIMO DA ESQUINA COM A RUA DOMINGOS DE BRAGA</t>
  </si>
  <si>
    <t>-23.5152149108397</t>
  </si>
  <si>
    <t>-46.7516200920072</t>
  </si>
  <si>
    <t>RUA PAUNA ESQUINA COM A RUA CEL VIRGILIO DOS SANTOS</t>
  </si>
  <si>
    <t>-23.5106604210654</t>
  </si>
  <si>
    <t>-46.7475383054079</t>
  </si>
  <si>
    <t>RUA JOSE DE SOUZA AGUIAR ESQUINA COM A RUA AVELINO GINJO NO ESCADAO</t>
  </si>
  <si>
    <t>-23.5112982754607</t>
  </si>
  <si>
    <t>-46.7593696755484</t>
  </si>
  <si>
    <t>RUA BARRA DO GARCA ESQUINA COM A RUA PEDRO GONCALVES PARENTE</t>
  </si>
  <si>
    <t>-23.5040497291815</t>
  </si>
  <si>
    <t>-46.7622855324477</t>
  </si>
  <si>
    <t>AVENIDA DOS REMEDIOS ESQUINA COM A RUA JOSE RODRIGUES NEVES</t>
  </si>
  <si>
    <t>-23.5205929736495</t>
  </si>
  <si>
    <t>-46.7503547424744</t>
  </si>
  <si>
    <t>RUA AGAMENON MAGALHAES ESQUINA COM A RUA OTACILIO NEGRAO</t>
  </si>
  <si>
    <t>-23.5122297241267</t>
  </si>
  <si>
    <t>-46.7572774757514</t>
  </si>
  <si>
    <t>RUA ALEXANDRE COLARES PROXIMO DA RUA JOAQUIM DA COSTA MIRANDA</t>
  </si>
  <si>
    <t>-23.5089338607489</t>
  </si>
  <si>
    <t>-46.7357439313611</t>
  </si>
  <si>
    <t>AVENIDA CANDIDO PORTINARI ESQUINA COM A RUA JOANA GALVAO</t>
  </si>
  <si>
    <t>-23.507957186451</t>
  </si>
  <si>
    <t>-46.7473287430672</t>
  </si>
  <si>
    <t>RUA RAIMUNDO NONATO DE SA ESQUINA COM A RUA ENIO GOMES DA SILVA</t>
  </si>
  <si>
    <t>-23.5057471212655</t>
  </si>
  <si>
    <t>-46.7601355992299</t>
  </si>
  <si>
    <t>AVENIDA DRACENA 556 ESQUINA COM A RUA DIOGO PIRES</t>
  </si>
  <si>
    <t>-23.5418177759793</t>
  </si>
  <si>
    <t>-46.7474785597059</t>
  </si>
  <si>
    <t>RUA ALEXANDRE CALAME 740</t>
  </si>
  <si>
    <t>-23.5538399174542</t>
  </si>
  <si>
    <t>-46.7390681179052</t>
  </si>
  <si>
    <t>RUA MARSELHA 701</t>
  </si>
  <si>
    <t>-23.544872991393</t>
  </si>
  <si>
    <t>-46.746034362931</t>
  </si>
  <si>
    <t>RUA ENGENHEIRO VITOR FREIRE 327</t>
  </si>
  <si>
    <t>-23.5475929504154</t>
  </si>
  <si>
    <t>-46.7441070672099</t>
  </si>
  <si>
    <t>AVENIDA PRESIDENTE ALTINO ESQUINA COM A RUA BARRA LONGA</t>
  </si>
  <si>
    <t>-23.5428681167408</t>
  </si>
  <si>
    <t>-46.7521166266795</t>
  </si>
  <si>
    <t>AVENIDA KENKITI SIMOMOTO PROXIMO DA ESQUINA COM A AVENIDA JOSE MARIA DA SILVA</t>
  </si>
  <si>
    <t>-23.5490128694767</t>
  </si>
  <si>
    <t>-46.7422784719301</t>
  </si>
  <si>
    <t>AVENIDA LEAO MACHADO NO INTERIOR DO PREDIO DA SABESP   BICA DE ENCHIMENTO RAPIDO</t>
  </si>
  <si>
    <t>-23.5486649263852</t>
  </si>
  <si>
    <t>-46.7555139712345</t>
  </si>
  <si>
    <t>AVENIDA CORIFEU DE AZEVEDO MARQUE  ESQUINA COM A RUA PRRESIDENTE ALTINO</t>
  </si>
  <si>
    <t>-23.55466214796</t>
  </si>
  <si>
    <t>-46.75153616096</t>
  </si>
  <si>
    <t>RUA EVA TERPINS ESQUINA COM A AVENIDA ANTONIO DE SOUZA NOSCHESE</t>
  </si>
  <si>
    <t>-23.546996145607</t>
  </si>
  <si>
    <t>-46.7557465573531</t>
  </si>
  <si>
    <t>RUA PEIXE BOI ESQUINA COM A RUA QUICA DAGUA</t>
  </si>
  <si>
    <t>-23.5488046116155</t>
  </si>
  <si>
    <t>-46.7530488380496</t>
  </si>
  <si>
    <t>RUA ATERARIS ESQUINA COM A RUA ARGIRITO</t>
  </si>
  <si>
    <t>-23.5508375140572</t>
  </si>
  <si>
    <t>-46.7444273661849</t>
  </si>
  <si>
    <t>AVENIDA PRESIDENTE ALTINO ESQUINA COM A RUA ARAICAS</t>
  </si>
  <si>
    <t>-23.5535736636665</t>
  </si>
  <si>
    <t>-46.750280910745</t>
  </si>
  <si>
    <t>RUA EVA TERPINS ESQUINA COM A AVENIDA DOUTOR FRANCISCO DE PAULO VICENTE DE AZEVEDO</t>
  </si>
  <si>
    <t>-23.5477352915543</t>
  </si>
  <si>
    <t>-46.7589831472349</t>
  </si>
  <si>
    <t>AVENIDA ANTONIO DE SOUZA NOSCHESE ESQUINA COM A RUA AUREO DE ALMEIDA CAMARGO</t>
  </si>
  <si>
    <t>-23.5419210975595</t>
  </si>
  <si>
    <t>-46.7569315091277</t>
  </si>
  <si>
    <t>RUA IREDE DE MATOS ALONSO ESQUINA COM A RUA DOUTOR NILO GOMES DIAS</t>
  </si>
  <si>
    <t>-23.5545491934361</t>
  </si>
  <si>
    <t>-46.7468876663255</t>
  </si>
  <si>
    <t>AVENIDA PRESIDENTE ALTINO ESQUINA COM A RUA BRASILIA MARCONDES BUARQUE NA PRACA HENRIQUE DUMONT VILARES</t>
  </si>
  <si>
    <t>-23.5482872898179</t>
  </si>
  <si>
    <t>-46.7496426015928</t>
  </si>
  <si>
    <t>AVENIDA GENERAL MAX ARTHUR PROXIMO DA ESQUINA COM A RUA ROLANDIA</t>
  </si>
  <si>
    <t>-23.5511183796865</t>
  </si>
  <si>
    <t>-46.7496978081677</t>
  </si>
  <si>
    <t>CAMPINAS</t>
  </si>
  <si>
    <t>ALAMEDA SARUTAIA ESQUINA COM AVENIDA BRIGADEIRO LUIS ANTONIO</t>
  </si>
  <si>
    <t>2021-09-22</t>
  </si>
  <si>
    <t>-23.5709166122203</t>
  </si>
  <si>
    <t>-46.6524672405075</t>
  </si>
  <si>
    <t>ALAMEDA JOAQUIM EUGENIO DE LIMA ESQUINA COM A AVENIDA PAULISTA</t>
  </si>
  <si>
    <t>-23.5662090155673</t>
  </si>
  <si>
    <t>-46.6509965396093</t>
  </si>
  <si>
    <t>RUA PAMPLONA ESQUINA COM A ALAMEDA ITU</t>
  </si>
  <si>
    <t>-23.566330888277</t>
  </si>
  <si>
    <t>-46.656543974338</t>
  </si>
  <si>
    <t>ALAMEDA JOAQUIM EUGENIO DE LIMA ESQUINA COM ALAMEDA JAU</t>
  </si>
  <si>
    <t>-23.567960083568</t>
  </si>
  <si>
    <t>-46.6528417728439</t>
  </si>
  <si>
    <t>ALAMEDA SANTOS ESQUINA COM AVENIDA BRIGADEIRO LUIS ANTONIO</t>
  </si>
  <si>
    <t>-23.5684067155984</t>
  </si>
  <si>
    <t>-46.6499387978528</t>
  </si>
  <si>
    <t>RUA NASSIB JACOBE NO FINAL A ESQUERDA RUA FECHADA</t>
  </si>
  <si>
    <t>-23.566612746411</t>
  </si>
  <si>
    <t>-46.6551584019345</t>
  </si>
  <si>
    <t>ALAMEDA JAU ESQUINA COM A RUA PAMPLONA</t>
  </si>
  <si>
    <t>-23.5655364478352</t>
  </si>
  <si>
    <t>-46.6556219792852</t>
  </si>
  <si>
    <t>ALAMEDA SANTOS ESQUINA COM A ALAMEDA CASA BRANCA</t>
  </si>
  <si>
    <t>-23.5629230357724</t>
  </si>
  <si>
    <t>-46.6566569687957</t>
  </si>
  <si>
    <t>CLÍNICAS</t>
  </si>
  <si>
    <t>RUA TEODORO SAMPAIO ESQUINA COM RUA LISBOA   PRACA BENEDITO CALIXTO</t>
  </si>
  <si>
    <t>-23.5590626237996</t>
  </si>
  <si>
    <t>-46.6803124609788</t>
  </si>
  <si>
    <t>RUA TEODORO SAMPAIO ESQUINA COM A RUA ALVES GUIMARAES</t>
  </si>
  <si>
    <t>-23.5572741175448</t>
  </si>
  <si>
    <t>-46.677365875393</t>
  </si>
  <si>
    <t>RUA CRISTIANO VIANA FINAL DA RUA ESCADAO CARDEAL ARCO VERDE</t>
  </si>
  <si>
    <t>-23.5564652123635</t>
  </si>
  <si>
    <t>-46.679313348676</t>
  </si>
  <si>
    <t>AVENIDA DOUTOR ARNALDO 455</t>
  </si>
  <si>
    <t>-23.5548604953405</t>
  </si>
  <si>
    <t>-46.6696388034969</t>
  </si>
  <si>
    <t>AVENIDA DOUTOR ENEAS CARVALHO DE AGUIAR 255 AO LADO DO PORTADO DO INSTITUTO CENTRAL DO HC</t>
  </si>
  <si>
    <t>-23.5569060814269</t>
  </si>
  <si>
    <t>-46.6698785150093</t>
  </si>
  <si>
    <t>RUA ARTUR AZEVEDO ESQUINA COM A RUA LISBOA</t>
  </si>
  <si>
    <t>-23.5609221679219</t>
  </si>
  <si>
    <t>-46.6785832304435</t>
  </si>
  <si>
    <t>RUA CRISTIANO VIANA ESQUINA COM A RUA TEODORO SAMPAIO</t>
  </si>
  <si>
    <t>-23.5581083710241</t>
  </si>
  <si>
    <t>-46.6781742917034</t>
  </si>
  <si>
    <t>RUA ARRUDA ALVIM ESQUINA COM A RUA SILVIO SACRAMENTO</t>
  </si>
  <si>
    <t>-23.5551922158819</t>
  </si>
  <si>
    <t>-46.6739151779319</t>
  </si>
  <si>
    <t>AVENIDA REBOUCAS ESQUINA COM A RUA CRISTIANO VIANA</t>
  </si>
  <si>
    <t>-23.562209016826</t>
  </si>
  <si>
    <t>-46.6751655174878</t>
  </si>
  <si>
    <t>RUA CAPOTE VALENTE ESQUINA COM A AVENIDA REBOUCAS</t>
  </si>
  <si>
    <t>-23.5608916082862</t>
  </si>
  <si>
    <t>-46.6730325156463</t>
  </si>
  <si>
    <t>RUA CARDEAL ARCOVERDE ESQUINA COM A RUA ALVES GUIMARAES</t>
  </si>
  <si>
    <t>-23.5555599649213</t>
  </si>
  <si>
    <t>-46.6785091342374</t>
  </si>
  <si>
    <t>AVENIDA DOUTOR ARNALDO NO INTERIOR DA FACULDADE DE SAUDE PUBLICA DA USP</t>
  </si>
  <si>
    <t>-23.5543484067083</t>
  </si>
  <si>
    <t>-46.6729502904717</t>
  </si>
  <si>
    <t>RUA TEODORO SAMPAIO 90 DEFRONTE A FACULDADE DE MEDICINA</t>
  </si>
  <si>
    <t>-23.5544715289366</t>
  </si>
  <si>
    <t>-46.6721897435291</t>
  </si>
  <si>
    <t>JARDINS</t>
  </si>
  <si>
    <t>AVENIDA SAO GABRIEL ESQUINA COM A RUA GENERAL MENA BARRETO</t>
  </si>
  <si>
    <t>-23.5828315991995</t>
  </si>
  <si>
    <t>-46.6700505833768</t>
  </si>
  <si>
    <t>RUA ARGENTINA ESQUINA AVENIDA BRASIL</t>
  </si>
  <si>
    <t>-23.572023983173</t>
  </si>
  <si>
    <t>-46.6695288878729</t>
  </si>
  <si>
    <t>RUA VENEZUELA ESQUINA COM A RUA GROENLANDIA</t>
  </si>
  <si>
    <t>-23.5699241390318</t>
  </si>
  <si>
    <t>-46.6763523406687</t>
  </si>
  <si>
    <t>RUA ESTADOS UNIDOS ESQUINA AVENIDA 9 DE JULHO</t>
  </si>
  <si>
    <t>-23.571560636609</t>
  </si>
  <si>
    <t>-46.6633413165149</t>
  </si>
  <si>
    <t>RUA ANTILHAS ESQUINA COM A RUA URUGUAI</t>
  </si>
  <si>
    <t>-23.5667221243227</t>
  </si>
  <si>
    <t>-46.6706749816287</t>
  </si>
  <si>
    <t>RUA VENEZA ESQUINA COM A RUA CONSELHEIRO ZACARIAS</t>
  </si>
  <si>
    <t>-23.5757382569399</t>
  </si>
  <si>
    <t>-46.6624493925597</t>
  </si>
  <si>
    <t>RUA ESTADOS UNIDOS ESQUINA COM ALAMEDA JOAQUIM EUGENIO DE LIMA</t>
  </si>
  <si>
    <t>-23.5749305827915</t>
  </si>
  <si>
    <t>-46.6594779327449</t>
  </si>
  <si>
    <t>RUA GROENLANDIA ESQUINA COM A RUA VENEZA</t>
  </si>
  <si>
    <t>-23.5797454980078</t>
  </si>
  <si>
    <t>-46.6674203774184</t>
  </si>
  <si>
    <t>RUA GIRONDA ESQUINA AVENIDA SAO GABRIEL</t>
  </si>
  <si>
    <t>-23.5799986482731</t>
  </si>
  <si>
    <t>-46.6706128623852</t>
  </si>
  <si>
    <t>RUA MAESTRO CHIAFARELLI PROXIMO COM A RUA HONDURAS</t>
  </si>
  <si>
    <t>-23.5735463665869</t>
  </si>
  <si>
    <t>-46.6634304547476</t>
  </si>
  <si>
    <t>AVENIDA BRASIL ESQUINA COM A RUA CANADA</t>
  </si>
  <si>
    <t>-23.5729811067449</t>
  </si>
  <si>
    <t>-46.6678592325956</t>
  </si>
  <si>
    <t>AVENIDA BRASIL ESQUINA COM A RUA EQUADOR</t>
  </si>
  <si>
    <t>-23.5713240829725</t>
  </si>
  <si>
    <t>-46.6702425678969</t>
  </si>
  <si>
    <t>AVENIDA BRASIL PROXIMO A ESQUINA COM A RUA GUADELUPE</t>
  </si>
  <si>
    <t>-23.5667509040578</t>
  </si>
  <si>
    <t>-46.6744821602518</t>
  </si>
  <si>
    <t>RUA PERU ESQUINA COM A PRACA SALUA NACCACHE ABBUD</t>
  </si>
  <si>
    <t>-23.5699976314236</t>
  </si>
  <si>
    <t>-46.6756254549806</t>
  </si>
  <si>
    <t>RUA NICARAGUA ESQUINA COM A RUA VENEZUELA</t>
  </si>
  <si>
    <t>-23.5671848249575</t>
  </si>
  <si>
    <t>-46.6729739872809</t>
  </si>
  <si>
    <t>RUA HONDURAS ESQUINA PRACA DAS GUIANAS</t>
  </si>
  <si>
    <t>-23.5711679116401</t>
  </si>
  <si>
    <t>-46.6659491481069</t>
  </si>
  <si>
    <t>RUA COLOMBIA ESQUINA COM A RUA PERU EM FRENTE AO POSTO DE GASOLINA</t>
  </si>
  <si>
    <t>-23.5706777653981</t>
  </si>
  <si>
    <t>-46.6731691558822</t>
  </si>
  <si>
    <t>RUA NICARAGUA ESQUINA COM A RUA COLOMBIA</t>
  </si>
  <si>
    <t>-23.5682046754344</t>
  </si>
  <si>
    <t>-46.6709531977001</t>
  </si>
  <si>
    <t>RUA ESTADOS UNIDOS ESQUINA COM RUA ATLANTICA</t>
  </si>
  <si>
    <t>-23.563286139694</t>
  </si>
  <si>
    <t>-46.6737726069984</t>
  </si>
  <si>
    <t>AVENIDA 09 DE JULHO ESQUINA COM A RUA CHILE</t>
  </si>
  <si>
    <t>-23.5759945773133</t>
  </si>
  <si>
    <t>-46.6702798135861</t>
  </si>
  <si>
    <t>RUA OSCAR FREIRE ESQUINA COM ALAMEDA CASA BRANCA</t>
  </si>
  <si>
    <t>-23.5686870816839</t>
  </si>
  <si>
    <t>-46.6628968075119</t>
  </si>
  <si>
    <t>RUA JOSE MARIA LISBOA ESQUINA COM A RUA PADRE JOAO MANUEL</t>
  </si>
  <si>
    <t>-23.5633099270435</t>
  </si>
  <si>
    <t>-46.6635871966373</t>
  </si>
  <si>
    <t>RUA PADRE JOAO MANOEL ESQUINA COM A RUA BARAO DE CAPANEMA</t>
  </si>
  <si>
    <t>-23.5664672923179</t>
  </si>
  <si>
    <t>-46.6672484286296</t>
  </si>
  <si>
    <t>RUA PEIXOTO GOMIDE ESQUINA COM A RUA JOSE MARIA LISBOA</t>
  </si>
  <si>
    <t>-23.5650771731404</t>
  </si>
  <si>
    <t>-46.6611957256481</t>
  </si>
  <si>
    <t>RUA JOSE MARIA LISBOA ESQUINA COM A RUA PEIXOTO GOMIDE</t>
  </si>
  <si>
    <t>-23.5650550853288</t>
  </si>
  <si>
    <t>-46.6612507879613</t>
  </si>
  <si>
    <t>ALAMEDA LORENA ESQUINA COM A RUA PADRE JOAO MANUEL</t>
  </si>
  <si>
    <t>-23.5647786668238</t>
  </si>
  <si>
    <t>-46.665111413787</t>
  </si>
  <si>
    <t>RUA DA CONSOLACAO ESQUINA COM  ALAMEDA LORENA</t>
  </si>
  <si>
    <t>-23.5614425141454</t>
  </si>
  <si>
    <t>-46.6688299565669</t>
  </si>
  <si>
    <t>RUA DA CONSOLACAO ESQUINA COM ALAMEDA TIETE</t>
  </si>
  <si>
    <t>-23.5602528560523</t>
  </si>
  <si>
    <t>-46.6675811600648</t>
  </si>
  <si>
    <t>ALAMEDA TIETE ESQUINA COM A RUA DOUTOR MELO ALVES</t>
  </si>
  <si>
    <t>-23.5592369635381</t>
  </si>
  <si>
    <t>-46.668754112613</t>
  </si>
  <si>
    <t>RUA AUGUSTA ESQUINA COM A RUA ALAMEDA TIETE</t>
  </si>
  <si>
    <t>-23.5625437517045</t>
  </si>
  <si>
    <t>-46.6649997398011</t>
  </si>
  <si>
    <t>ALAMEDA LORENA PROXIMO A ESQUINA COM A RUA BELA CINTRA</t>
  </si>
  <si>
    <t>-23.5621108355841</t>
  </si>
  <si>
    <t>-46.6676707289175</t>
  </si>
  <si>
    <t>PAMPLONA</t>
  </si>
  <si>
    <t>RUA PAMPLONA ESQUINA COM A RUA JOSE MARIA LISBOA</t>
  </si>
  <si>
    <t>-23.5678871653354</t>
  </si>
  <si>
    <t>-46.6580437997444</t>
  </si>
  <si>
    <t>ALAMEDA JOAQUIM EUGENIO DE LIMA ESQUINA COM A RUA JOSE MARIA LISBOA</t>
  </si>
  <si>
    <t>-23.5707472410197</t>
  </si>
  <si>
    <t>-46.65519067045</t>
  </si>
  <si>
    <t>ALAMEDA FRANCA ESQUINA COM A RUA PAMPLONA</t>
  </si>
  <si>
    <t>-23.5673326781887</t>
  </si>
  <si>
    <t>-46.6574386982347</t>
  </si>
  <si>
    <t>RUA JOSE MARIA LISBOA ESQUINA COM A RUA CAPITAO PINTO FERREIRA</t>
  </si>
  <si>
    <t>-23.5714251884557</t>
  </si>
  <si>
    <t>-46.6543864093789</t>
  </si>
  <si>
    <t>TRIANON</t>
  </si>
  <si>
    <t>ALAMEDA ITU ESQUINA COM A RUA HADDOCK LOBO</t>
  </si>
  <si>
    <t>-23.5600455609214</t>
  </si>
  <si>
    <t>-46.6638642505621</t>
  </si>
  <si>
    <t>-23.5566505543265</t>
  </si>
  <si>
    <t>-46.6622014346972</t>
  </si>
  <si>
    <t>ALAMEDA MINISTRO ROCHA AZEVEDO ESQUINA COM AVENIDA  PAULISTA</t>
  </si>
  <si>
    <t>-23.5603658603918</t>
  </si>
  <si>
    <t>-46.658136618784</t>
  </si>
  <si>
    <t>ALAMEDA MINISTRO ROCHA AZEVEDO ESQUINA COM ALAMEDA JAU</t>
  </si>
  <si>
    <t>-23.5620310274398</t>
  </si>
  <si>
    <t>-46.6598661813987</t>
  </si>
  <si>
    <t>RUA DA CONSOLACAO ESQUINA COM A ALAMEDA SANTOS</t>
  </si>
  <si>
    <t>-23.5567752380875</t>
  </si>
  <si>
    <t>-46.6639440338647</t>
  </si>
  <si>
    <t>ALAMEDA MINISTRO ROCHA AZEVEDO ESQUINA COM ALAMEDA SANTOS</t>
  </si>
  <si>
    <t>-23.5609496915485</t>
  </si>
  <si>
    <t>-46.6591776593624</t>
  </si>
  <si>
    <t>ALAMEDA FRANCA ESQUINA COM ALAMEDA CASA BRANCA</t>
  </si>
  <si>
    <t>-23.5652456718788</t>
  </si>
  <si>
    <t>-46.6593297545473</t>
  </si>
  <si>
    <t>ALAMEDA ITU ESQUINA COM ALAMEDA CASA BRANCA</t>
  </si>
  <si>
    <t>-23.5647229919806</t>
  </si>
  <si>
    <t>-46.6587804309669</t>
  </si>
  <si>
    <t>ALAMEDA JAU ESQUINA COM A RUA PEIXOTO GOMIDE</t>
  </si>
  <si>
    <t>-23.5628198886345</t>
  </si>
  <si>
    <t>-46.6589104327449</t>
  </si>
  <si>
    <t>RUA HADDOCK LOBO ESQUINA COM ALAMEDA SANTOS</t>
  </si>
  <si>
    <t>-23.5584210904001</t>
  </si>
  <si>
    <t>-46.6620127825354</t>
  </si>
  <si>
    <t>ALAMEDA JAU PROXIMO DA ESQUINA COM A RUA AUGUSTA</t>
  </si>
  <si>
    <t>-23.5599033259595</t>
  </si>
  <si>
    <t>-46.6622622584327</t>
  </si>
  <si>
    <t>ALAMEDA ITU ESQUINA COM A RUA BELA CINTRA</t>
  </si>
  <si>
    <t>-23.5592413123294</t>
  </si>
  <si>
    <t>-46.6648092143886</t>
  </si>
  <si>
    <t>RUA AUGUSTA ESQUINA COM ALAMEDA FRANCA</t>
  </si>
  <si>
    <t>-23.5614789450542</t>
  </si>
  <si>
    <t>-46.6639450078079</t>
  </si>
  <si>
    <t>ALAMEDA ITU ESQUINA COM A  RUA AUGUSTA</t>
  </si>
  <si>
    <t>-23.560735604778</t>
  </si>
  <si>
    <t>-46.6632024378324</t>
  </si>
  <si>
    <t>ALAMEDA FRANCA ESQUINA COM A RUA PEIXOTO GOMIDE</t>
  </si>
  <si>
    <t>-23.5643520664558</t>
  </si>
  <si>
    <t>-46.6604423502675</t>
  </si>
  <si>
    <t>ALAMEDA SANTOS ESQUINA COM A RUA PEIXOTO GOMIDE</t>
  </si>
  <si>
    <t>-23.561573996628</t>
  </si>
  <si>
    <t>-46.6579909770878</t>
  </si>
  <si>
    <t>ALTO DA LAPA</t>
  </si>
  <si>
    <t>PRACA TCHECO ESQUINA COM A AVENIDA RICARDO MEDINA FILHO</t>
  </si>
  <si>
    <t>2021-11-17</t>
  </si>
  <si>
    <t>-23.530694600041</t>
  </si>
  <si>
    <t>-46.7063267356239</t>
  </si>
  <si>
    <t>RUA PONTA PORA 11122 ESQUINA COM A PRACA SAO CRISPIN</t>
  </si>
  <si>
    <t>-23.5280993202874</t>
  </si>
  <si>
    <t>-46.7061390380617</t>
  </si>
  <si>
    <t>RUA VISCONDE DE INDAIATUBA 312</t>
  </si>
  <si>
    <t>2020-09-14</t>
  </si>
  <si>
    <t>-23.5300042825031</t>
  </si>
  <si>
    <t>-46.7146664467255</t>
  </si>
  <si>
    <t>RUA CERRO CORA PROXIMO DA ESQUINA COM A RUA  PIO XI</t>
  </si>
  <si>
    <t>-23.5351175206892</t>
  </si>
  <si>
    <t>-46.7143665835174</t>
  </si>
  <si>
    <t>RUA PIO XI ESQUINA COM A RUA JORGE AMERICANO</t>
  </si>
  <si>
    <t>-23.5343288567516</t>
  </si>
  <si>
    <t>-46.714096968856</t>
  </si>
  <si>
    <t>RUA DUARTE DA COSTA ESQUINA COM A RUA PIO XI</t>
  </si>
  <si>
    <t>-23.5265644049019</t>
  </si>
  <si>
    <t>-46.7090407513051</t>
  </si>
  <si>
    <t>RUA ARACATUBA ESQUINA COM A RUA PONTA PORA</t>
  </si>
  <si>
    <t>2021-07-28</t>
  </si>
  <si>
    <t>-23.5284374729496</t>
  </si>
  <si>
    <t>-46.7067379140556</t>
  </si>
  <si>
    <t>RUA DOS ALIADOS 557 PROXIMO DA ESQUINA COM A PRACA MARIA JOSE FELIPE</t>
  </si>
  <si>
    <t>-23.5282068873764</t>
  </si>
  <si>
    <t>-46.7159930280246</t>
  </si>
  <si>
    <t>RUA PONTA PORA 606 DEFRONTE A RUA CAMBURIU</t>
  </si>
  <si>
    <t>-23.5309578023297</t>
  </si>
  <si>
    <t>-46.7096567762222</t>
  </si>
  <si>
    <t>RUA PONTA PORA 895</t>
  </si>
  <si>
    <t>-23.533482212864</t>
  </si>
  <si>
    <t>-46.7090696457904</t>
  </si>
  <si>
    <t>RUA SALES JUNIOR 555 NO FUNDO DA TRAVESSA JOAO ALVES MEIRA JUNIOR</t>
  </si>
  <si>
    <t>-23.5316897365979</t>
  </si>
  <si>
    <t>-46.7186298687011</t>
  </si>
  <si>
    <t>PRACA CIPRIANO DE MORAIS 256 NO INTERIOR DA TRAVESSA NO FUNDO A DIREITA</t>
  </si>
  <si>
    <t>2021-08-06</t>
  </si>
  <si>
    <t>-23.5368402897995</t>
  </si>
  <si>
    <t>-46.7081248119012</t>
  </si>
  <si>
    <t>RUA CERRO CORA 176 AO LADO DA PRACA SILVESTRE RABELO</t>
  </si>
  <si>
    <t>-23.5354054761833</t>
  </si>
  <si>
    <t>-46.7112891655415</t>
  </si>
  <si>
    <t>AVENIDA MERCEDES ESQUINA COM A RUA BRIGADEIRO GAVIAO PEIXOTO</t>
  </si>
  <si>
    <t>-23.5259078438842</t>
  </si>
  <si>
    <t>-46.713543567885</t>
  </si>
  <si>
    <t>RUA CAMBURIU 514</t>
  </si>
  <si>
    <t>-23.5360713025264</t>
  </si>
  <si>
    <t>-46.7084266276517</t>
  </si>
  <si>
    <t>GAVIÃO PEIXOTO</t>
  </si>
  <si>
    <t>RUA DIOGO ORTIZ ESQUINA COM A PRACA ANGELO RIVETTI</t>
  </si>
  <si>
    <t>-23.519199749851</t>
  </si>
  <si>
    <t>-46.7180346086078</t>
  </si>
  <si>
    <t>RUA BELMONTE ESQUINA COM A RUA DOS ALIADOS</t>
  </si>
  <si>
    <t>-23.5260645269747</t>
  </si>
  <si>
    <t>-46.7208892850673</t>
  </si>
  <si>
    <t>RUA BRIGADEIRO GAVIAO PEIXOTO DEFRONTE A RUA LAURINDO DE BRITO</t>
  </si>
  <si>
    <t>-23.5224650652636</t>
  </si>
  <si>
    <t>-46.7184316020649</t>
  </si>
  <si>
    <t>RUA JOAO TIBIRICA 705 DEFRONTE A ESCADARIA</t>
  </si>
  <si>
    <t>2021-08-03</t>
  </si>
  <si>
    <t>-23.5193404021432</t>
  </si>
  <si>
    <t>-46.7230454386445</t>
  </si>
  <si>
    <t>RUA MONTEIRO DE MELO DEFRONTE A RUA JOAQUIM MACHADO</t>
  </si>
  <si>
    <t>-23.5217722908086</t>
  </si>
  <si>
    <t>-46.7030871040946</t>
  </si>
  <si>
    <t>RUA ANTONIO RAPOSO PROXIMO A ESQUINA COM A RUA DOZE DE OUTUBRO</t>
  </si>
  <si>
    <t>-23.521544838816</t>
  </si>
  <si>
    <t>-46.7049870459007</t>
  </si>
  <si>
    <t>RUA MARTIM TENORIO 130 POSTO DE BOMBEIROS  LAPA</t>
  </si>
  <si>
    <t>-23.5203892475266</t>
  </si>
  <si>
    <t>-46.7034705057182</t>
  </si>
  <si>
    <t>RUA GOMES FREIRE ESQUINA COM A RUA BARAO DE JUNDIAI</t>
  </si>
  <si>
    <t>-23.5245517641713</t>
  </si>
  <si>
    <t>-46.7081006941604</t>
  </si>
  <si>
    <t>RUA CATAO PROXIMO A ESQUINA COM A RUA JOAQUIM MACHADO</t>
  </si>
  <si>
    <t>-23.52149045833</t>
  </si>
  <si>
    <t>-46.7005533964247</t>
  </si>
  <si>
    <t>RUA GUAICURUS ESQUINA COM A RUA CARIJOS</t>
  </si>
  <si>
    <t>-23.5225359819313</t>
  </si>
  <si>
    <t>-46.6899656376534</t>
  </si>
  <si>
    <t>RUA CORIOLANO ESQUINA COM A RUA MONTEIRO DE MELO</t>
  </si>
  <si>
    <t>-23.5256395175997</t>
  </si>
  <si>
    <t>-46.7031318519102</t>
  </si>
  <si>
    <t>RUA SCIPIAO ESQUINA COM A RUA GUAICURUS</t>
  </si>
  <si>
    <t>-23.5214021143336</t>
  </si>
  <si>
    <t>-46.6992796015574</t>
  </si>
  <si>
    <t>RUA CORIOLANO ESQUINA COM A RUA AURELIA</t>
  </si>
  <si>
    <t>-23.526088217855</t>
  </si>
  <si>
    <t>-46.6976462443849</t>
  </si>
  <si>
    <t>RUA GUAICURUS ESQUINA COM A RUA DO CORTUME</t>
  </si>
  <si>
    <t>-23.5225385197259</t>
  </si>
  <si>
    <t>-46.6944167499421</t>
  </si>
  <si>
    <t>RUA CARIJOS ESQUINA COM A AVENIDA SANTA MARINA</t>
  </si>
  <si>
    <t>-23.5217443002825</t>
  </si>
  <si>
    <t>-46.6876372293234</t>
  </si>
  <si>
    <t>RUA DRONSFIELD ESQUINA COM A RUA DOZE DE OUTUBRO</t>
  </si>
  <si>
    <t>-23.5194690876792</t>
  </si>
  <si>
    <t>-46.7040070169989</t>
  </si>
  <si>
    <t>RUA JOHN HARRISON ESQUINA COM A RUA GEORGE SCHIMTH</t>
  </si>
  <si>
    <t>-23.5179327833133</t>
  </si>
  <si>
    <t>-46.7044611777109</t>
  </si>
  <si>
    <t>RUA JOHN HARRISON ESQUINA COM A RUA JOAO PEREIRA</t>
  </si>
  <si>
    <t>-23.517497464901</t>
  </si>
  <si>
    <t>-46.7052878321517</t>
  </si>
  <si>
    <t>RUA DRONSFIELD ESQUINA COM A RUA SHELDON</t>
  </si>
  <si>
    <t>-23.518183971145</t>
  </si>
  <si>
    <t>-46.7068039110167</t>
  </si>
  <si>
    <t>RUA DRONSFIELD ESQUINA COM A RUA JOAO PEREIRA</t>
  </si>
  <si>
    <t>-23.5185340159758</t>
  </si>
  <si>
    <t>-46.7059834998782</t>
  </si>
  <si>
    <t>RUA DRONSFIELD ESQUINA COM A RUA GEORGE SCHMITH</t>
  </si>
  <si>
    <t>-23.519062271345</t>
  </si>
  <si>
    <t>-46.7050368301377</t>
  </si>
  <si>
    <t>RUA JOHN HARRISON ESQUINA COM A RUA DOMINGOS RODRIGUES</t>
  </si>
  <si>
    <t>-23.5185225387571</t>
  </si>
  <si>
    <t>-46.7082781086029</t>
  </si>
  <si>
    <t>RUA CLEMENTE ALVARES ESQUINA COM A RUA GEORGE SCHIMITH</t>
  </si>
  <si>
    <t>-23.520100050808</t>
  </si>
  <si>
    <t>-46.7055813156762</t>
  </si>
  <si>
    <t>RUA GUAICURUS ESQUINA COM A RUA CATAO</t>
  </si>
  <si>
    <t>-23.5209179023533</t>
  </si>
  <si>
    <t>-46.7005245611203</t>
  </si>
  <si>
    <t>RUA CATAO ESQUINA COM A RUA ROMA</t>
  </si>
  <si>
    <t>-23.5228603407361</t>
  </si>
  <si>
    <t>-46.7006338569068</t>
  </si>
  <si>
    <t>RUA FAUSTOLO ESQUINA COM A RUA NOSSA SENHORA DA LAPA</t>
  </si>
  <si>
    <t>-23.5238205249841</t>
  </si>
  <si>
    <t>-46.7046284776699</t>
  </si>
  <si>
    <t>RUA CLELIA ESQUINA COM A RUA NOSSA SENHORA DA LAPA</t>
  </si>
  <si>
    <t>-23.5247057899037</t>
  </si>
  <si>
    <t>-46.7053671745292</t>
  </si>
  <si>
    <t>RUA MONTEIRO DE MELO RUA CORIOLANO</t>
  </si>
  <si>
    <t>-23.525807815122</t>
  </si>
  <si>
    <t>-46.7029986060089</t>
  </si>
  <si>
    <t>RUA ALBION ESQUINA COM A RUA GOMES FREIRE</t>
  </si>
  <si>
    <t>-23.5237253173669</t>
  </si>
  <si>
    <t>-46.7081968530653</t>
  </si>
  <si>
    <t>RUA ALBION ESQUINA COM A RUA DOM JOAO V</t>
  </si>
  <si>
    <t>-23.5235654856736</t>
  </si>
  <si>
    <t>-46.7091995911955</t>
  </si>
  <si>
    <t>RUA ESPARTACO ESQUINA COM A RUA GUIACURUS</t>
  </si>
  <si>
    <t>-23.5224457483029</t>
  </si>
  <si>
    <t>-46.6966962431672</t>
  </si>
  <si>
    <t>RUA GUAICURUS ESQUINA COM A RUA AURELIA</t>
  </si>
  <si>
    <t>-23.5218183154374</t>
  </si>
  <si>
    <t>-46.6977753642163</t>
  </si>
  <si>
    <t>RUA SABAUNA ESQUINA COM A RUA GUAICURUS</t>
  </si>
  <si>
    <t>-23.5233449295481</t>
  </si>
  <si>
    <t>-46.687051891284</t>
  </si>
  <si>
    <t>RUA GUAICURUS DEFRONTE A RUA DUILIO</t>
  </si>
  <si>
    <t>-23.5225824731736</t>
  </si>
  <si>
    <t>-46.6930740568756</t>
  </si>
  <si>
    <t>RUA CLELIA ESQUINA COM A RUA TIBERIO</t>
  </si>
  <si>
    <t>-23.5251380874215</t>
  </si>
  <si>
    <t>-46.6883969994547</t>
  </si>
  <si>
    <t>RUA CATAO ESQUINA COM A RUA FAUSTOLOZ</t>
  </si>
  <si>
    <t>-23.5239518227854</t>
  </si>
  <si>
    <t>-46.7004062039214</t>
  </si>
  <si>
    <t>RUA CATAO ESQUINA COM A RUA CLELIA</t>
  </si>
  <si>
    <t>-23.5249638467855</t>
  </si>
  <si>
    <t>-46.7005005548242</t>
  </si>
  <si>
    <t>RUA SCIPIAO ESQUINA COM A RUA CLELIA</t>
  </si>
  <si>
    <t>-23.5250445883674</t>
  </si>
  <si>
    <t>-46.6994107009702</t>
  </si>
  <si>
    <t>-23.5258584064952</t>
  </si>
  <si>
    <t>-46.6979784755235</t>
  </si>
  <si>
    <t>RUA ANTONIO CALAFIORI PROXIMO A ESQUINA COM A RUA CORIOLANO</t>
  </si>
  <si>
    <t>-23.5260215966691</t>
  </si>
  <si>
    <t>-46.7000395837184</t>
  </si>
  <si>
    <t>RUA CLEMENTE ALVARES ESQUINA COM A RUA NOSSA SENHORA DA LAPA</t>
  </si>
  <si>
    <t>-23.5212365639838</t>
  </si>
  <si>
    <t>-46.7031009496206</t>
  </si>
  <si>
    <t>RUA ROMA ESQUINA COM A RUA SCIPIAO</t>
  </si>
  <si>
    <t>-23.5229303564173</t>
  </si>
  <si>
    <t>-46.698991878141</t>
  </si>
  <si>
    <t>RUA ESPARTACO ESQUINA COM A RUA CLELIA</t>
  </si>
  <si>
    <t>-23.5248065039209</t>
  </si>
  <si>
    <t>-46.6965394910924</t>
  </si>
  <si>
    <t>RUA CORIOLANO ESQUINA COM A RUA ESPARTACO</t>
  </si>
  <si>
    <t>-23.5261702073649</t>
  </si>
  <si>
    <t>-46.6965794864217</t>
  </si>
  <si>
    <t>RUA ESPARTACO ESQUINA COM A RUA FABIA</t>
  </si>
  <si>
    <t>-23.5269414396167</t>
  </si>
  <si>
    <t>-46.6966189392675</t>
  </si>
  <si>
    <t>RUA SCIPIAO ESQUINA COM A RUA CORIOLANO</t>
  </si>
  <si>
    <t>-23.5258286505502</t>
  </si>
  <si>
    <t>-46.6994206834865</t>
  </si>
  <si>
    <t>RUA FAUSTOLO ESQUINA COM A RUA ESPARTACO</t>
  </si>
  <si>
    <t>-23.5240067636947</t>
  </si>
  <si>
    <t>-46.6967977681344</t>
  </si>
  <si>
    <t>RUA SCIPIAO ESQUINA COM A RUA FAUSTOLO</t>
  </si>
  <si>
    <t>-23.5237376620867</t>
  </si>
  <si>
    <t>-46.6993516386932</t>
  </si>
  <si>
    <t>RUA CATAO ESQUINA COM A RUA COROLIANO</t>
  </si>
  <si>
    <t>-23.5259999573172</t>
  </si>
  <si>
    <t>-46.7005711793403</t>
  </si>
  <si>
    <t>RUA DUILIO ESQUINA COM A RUA CORIOLANO</t>
  </si>
  <si>
    <t>-23.5261488290979</t>
  </si>
  <si>
    <t>-46.6933601400332</t>
  </si>
  <si>
    <t>RUA CORIOLANO ESQUINA COM A RUA CAIO GRACCO</t>
  </si>
  <si>
    <t>-23.5261866895369</t>
  </si>
  <si>
    <t>-46.6944557162073</t>
  </si>
  <si>
    <t>RUA VESPASIANO ESQUINA COM A RUA CORIOLANO</t>
  </si>
  <si>
    <t>-23.5261806880119</t>
  </si>
  <si>
    <t>-46.6956678286179</t>
  </si>
  <si>
    <t>RUA ESPARTACO ESQUINA COM A RUA TITO</t>
  </si>
  <si>
    <t>-23.5280395164426</t>
  </si>
  <si>
    <t>-46.6969265864796</t>
  </si>
  <si>
    <t>RUA CAIO GRACCO ESQUINA COM A RUA TITO</t>
  </si>
  <si>
    <t>-23.5280209260224</t>
  </si>
  <si>
    <t>-46.6941965182619</t>
  </si>
  <si>
    <t>RUA TITO PROXIMO DA ESQUINA COM A RUA DUILIO</t>
  </si>
  <si>
    <t>-23.528000479405</t>
  </si>
  <si>
    <t>-46.6930003405134</t>
  </si>
  <si>
    <t>RUA FAUSTOLO ESQUINA COM A RUA DUILIO</t>
  </si>
  <si>
    <t>-23.5238658427545</t>
  </si>
  <si>
    <t>-46.693196779798</t>
  </si>
  <si>
    <t>RUA FAUSTOLO ESQUINA COM A RUA DIULIO</t>
  </si>
  <si>
    <t>-23.5239622807159</t>
  </si>
  <si>
    <t>-46.6930980328809</t>
  </si>
  <si>
    <t>RUA DO CORTUME NO FINAL DA RUA</t>
  </si>
  <si>
    <t>-23.5219713580112</t>
  </si>
  <si>
    <t>-46.6951379852924</t>
  </si>
  <si>
    <t>RUA FAUSTOLO ESQUINA COM A RUA CRASSO</t>
  </si>
  <si>
    <t>-23.5237833123037</t>
  </si>
  <si>
    <t>-46.6898428385401</t>
  </si>
  <si>
    <t>RUA GUAICURUS ESQUINA COM A RUA TIBERIO</t>
  </si>
  <si>
    <t>-23.5231052395352</t>
  </si>
  <si>
    <t>-46.6886422712951</t>
  </si>
  <si>
    <t>RUA CONSTANCA NO FINAL DA RUA</t>
  </si>
  <si>
    <t>-23.5213528543321</t>
  </si>
  <si>
    <t>-46.6964651506618</t>
  </si>
  <si>
    <t>RUA JOAQUIM MACHADO PROXIMO DA ESQUINA COM A RUA MONTEIRO DE MELO PRACA PROFESSOR MARIO OLAVO GUZZO</t>
  </si>
  <si>
    <t>-23.5215925709725</t>
  </si>
  <si>
    <t>-46.7027907577321</t>
  </si>
  <si>
    <t>LAPA DE BAIXO</t>
  </si>
  <si>
    <t>RUA JOSE MARIA DE FARIA 14</t>
  </si>
  <si>
    <t>-23.514106891941</t>
  </si>
  <si>
    <t>-46.7001876129469</t>
  </si>
  <si>
    <t>RUA ARISTIDES VIADANA PROXIMO A ESQUINA DA RUA WILLINS SPEERS</t>
  </si>
  <si>
    <t>-23.5190244733195</t>
  </si>
  <si>
    <t>-46.6998513714464</t>
  </si>
  <si>
    <t>RUA DO CURTUME 499  CALCADA OPOSTA DA CONTAX</t>
  </si>
  <si>
    <t>-23.518637985563</t>
  </si>
  <si>
    <t>-46.6956621442534</t>
  </si>
  <si>
    <t>RUA MOXEI ESQUINA COM A RUA ENGENHEIRO AUBERTIN</t>
  </si>
  <si>
    <t>-23.5149165746236</t>
  </si>
  <si>
    <t>-46.7042752627467</t>
  </si>
  <si>
    <t>RUA WERNER VON SIEMENS ESQUINA COM A RUA MARINA CIUFULLI ZANFELICE</t>
  </si>
  <si>
    <t>-23.5129227211049</t>
  </si>
  <si>
    <t>-46.7091023265512</t>
  </si>
  <si>
    <t>RUA ENGENHEIRO AUBERTIN ESQUINA COM A RUA FELIX GUILHEN</t>
  </si>
  <si>
    <t>-23.5161719973741</t>
  </si>
  <si>
    <t>-46.7049021506273</t>
  </si>
  <si>
    <t>RUA BELCHIOR CARNEIRO ESQUINA COM A RUA FELIX GHUILHEM</t>
  </si>
  <si>
    <t>-23.5166044533456</t>
  </si>
  <si>
    <t>-46.7038548720289</t>
  </si>
  <si>
    <t>RUA BELCHIOR CARNEIRO ESQUINA COM A RUA MOXEI</t>
  </si>
  <si>
    <t>-23.5154061996241</t>
  </si>
  <si>
    <t>-46.7030453786112</t>
  </si>
  <si>
    <t>RUA ANTONIO FELIX ESQUINA COM A RUA FELIX GHILHEN</t>
  </si>
  <si>
    <t>-23.5154712755961</t>
  </si>
  <si>
    <t>-46.7064613827014</t>
  </si>
  <si>
    <t>RUA ENGENHEIRO FOX ESQUINA COM A RUA ANTONIO FIDELIS</t>
  </si>
  <si>
    <t>-23.5147397764574</t>
  </si>
  <si>
    <t>-46.7056397783708</t>
  </si>
  <si>
    <t>AVENIDA JOSE MARIA DE FARIA ESQUINA COM A RUA MATEO FORTE</t>
  </si>
  <si>
    <t>-23.5129543014531</t>
  </si>
  <si>
    <t>-46.7002845419695</t>
  </si>
  <si>
    <t>RUA FELIX GUIHEM ESQUNA COM RUA MANOEL DE OLIVEIRA</t>
  </si>
  <si>
    <t>-23.514422258254</t>
  </si>
  <si>
    <t>-46.7085826038166</t>
  </si>
  <si>
    <t>RUA ENGENHEIRO ALBERTIN ESQUINA COM A RUA ENGENHEIRO ALBERTIN</t>
  </si>
  <si>
    <t>-23.5167239904771</t>
  </si>
  <si>
    <t>-46.7051828577264</t>
  </si>
  <si>
    <t>RUA TENENTE LANDY ESQUINA RUA WILLIANS SPEERS</t>
  </si>
  <si>
    <t>-23.5176261201856</t>
  </si>
  <si>
    <t>-46.7030172239316</t>
  </si>
  <si>
    <t>RUA WILLIANS SPEERS ESQUINA COM A RUA ALVES BRANCO</t>
  </si>
  <si>
    <t>-23.5184607023303</t>
  </si>
  <si>
    <t>-46.7010746684028</t>
  </si>
  <si>
    <t>AVENIDA SANTA MARINA DEFRONTE A RUA EDGAR POE</t>
  </si>
  <si>
    <t>-23.5161110670167</t>
  </si>
  <si>
    <t>-46.6908958601084</t>
  </si>
  <si>
    <t>AVENIDA SANTA MARINA 443</t>
  </si>
  <si>
    <t>-23.5204549149705</t>
  </si>
  <si>
    <t>-46.688581077939</t>
  </si>
  <si>
    <t>AVENIDA JOSE MARIA DE FARIA ESQUINA COM A RUA GINO CESARO</t>
  </si>
  <si>
    <t>-23.5109855574805</t>
  </si>
  <si>
    <t>-46.7005259599597</t>
  </si>
  <si>
    <t>POMPÉIA</t>
  </si>
  <si>
    <t>RUA VENANCIO AIRES ESQUINA COM A RUA CLELIA</t>
  </si>
  <si>
    <t>-23.5248931663269</t>
  </si>
  <si>
    <t>-46.6854651006497</t>
  </si>
  <si>
    <t>AVENIDA RAIMUNDO PEREIRA DE MAGALHAES ESQUINA COM A RUA CAMPOS VERGUEIRO</t>
  </si>
  <si>
    <t>-23.5112402070683</t>
  </si>
  <si>
    <t>-46.7146528812235</t>
  </si>
  <si>
    <t>RUA CONSELHEIRO CANDIDO DE OLIVEIRA 92 DEFRONTE A RUA  FORTUNATO FERRAZ</t>
  </si>
  <si>
    <t>-23.517078164037</t>
  </si>
  <si>
    <t>-46.7193547004467</t>
  </si>
  <si>
    <t>RUA FORTUNATO FERRAZ ESQUINA COM A AVENIDA RAIMUNDO PEREIRA DE MAGALHAES</t>
  </si>
  <si>
    <t>-23.5181529405702</t>
  </si>
  <si>
    <t>-46.7124158787372</t>
  </si>
  <si>
    <t>RUA BARTOLOMEU PAES ESQUINA COM ARUA JORGE NUNES KEHDI</t>
  </si>
  <si>
    <t>2021-08-16</t>
  </si>
  <si>
    <t>-23.5147553444436</t>
  </si>
  <si>
    <t>-46.7150100298597</t>
  </si>
  <si>
    <t>RUA CAMACAM ESQUINA COM A RUA BARTHOLOMEU PAES</t>
  </si>
  <si>
    <t>-23.5146830019239</t>
  </si>
  <si>
    <t>-46.7158678054501</t>
  </si>
  <si>
    <t>RUA CAMPOS VERGUEIRO ESQUINA COM A RUA SAO TITO</t>
  </si>
  <si>
    <t>-23.5117621066745</t>
  </si>
  <si>
    <t>-46.7165095649092</t>
  </si>
  <si>
    <t>RUA BENEDITO CAMPOS DE MORAES ESQUINA COM A RUA CAMPOS VERGUEIRO</t>
  </si>
  <si>
    <t>-23.512174685107</t>
  </si>
  <si>
    <t>-46.7182758204452</t>
  </si>
  <si>
    <t>RUA ALVARENGA PEIXOTO ESQUINA COM A RUA BARTOLOMEU PAES</t>
  </si>
  <si>
    <t>-23.5144786651755</t>
  </si>
  <si>
    <t>-46.7172895076993</t>
  </si>
  <si>
    <t>RUA CONSELHEIRO RIBAS ESQUINA COM A RUA DOS COROADOS</t>
  </si>
  <si>
    <t>-23.5160051246363</t>
  </si>
  <si>
    <t>-46.7180239941964</t>
  </si>
  <si>
    <t>RUA ALVARENGA PEIXOTO DEFRONTE A RUA CAIAPOS</t>
  </si>
  <si>
    <t>-23.5132950252889</t>
  </si>
  <si>
    <t>-46.7197216212262</t>
  </si>
  <si>
    <t>RUA BOTOCUDOS ESQUINA COM A RUA CONSELHEIRO OLEGARIO</t>
  </si>
  <si>
    <t>-23.515330021982</t>
  </si>
  <si>
    <t>-46.723847849618</t>
  </si>
  <si>
    <t>RUA FORTUNATO FERAZ ESQUINA COM A RUA BARTOLOMEU BUENO</t>
  </si>
  <si>
    <t>-23.5171779538027</t>
  </si>
  <si>
    <t>-46.7210618962459</t>
  </si>
  <si>
    <t>RUA MARTINHO DE CAMPOS 301 PROXIMO DA  ESQUINA COM A RUA BARTOLOMEU BUENO</t>
  </si>
  <si>
    <t>-23.515739330468</t>
  </si>
  <si>
    <t>-46.7211043645207</t>
  </si>
  <si>
    <t>RUA CONSELHEIRO OLEGARIO 184 DEFRONTE A RUA CONSELHEIRO CANDIDO DE OLIVEIRA</t>
  </si>
  <si>
    <t>-23.5151203820799</t>
  </si>
  <si>
    <t>-46.722592392018</t>
  </si>
  <si>
    <t>RUA TONELERO ESQUINA COM A RUA VOTUPOCA</t>
  </si>
  <si>
    <t>-23.5329577994924</t>
  </si>
  <si>
    <t>-46.7042707254046</t>
  </si>
  <si>
    <t>RUA MARCELINA PROXIMO A ESQUINA COM A RUA AURELIA</t>
  </si>
  <si>
    <t>-23.5300598140587</t>
  </si>
  <si>
    <t>-46.6977261788504</t>
  </si>
  <si>
    <t>RUA AURELIA ESQUINA COM A RUA GENERAL VITORINO MONTEIRO</t>
  </si>
  <si>
    <t>-23.5353023493955</t>
  </si>
  <si>
    <t>-46.697976728846</t>
  </si>
  <si>
    <t>RUA AURELIA 1125 NO INTERIOR DA SABESP A DIREITA</t>
  </si>
  <si>
    <t>-23.5329397717274</t>
  </si>
  <si>
    <t>-46.6976563353092</t>
  </si>
  <si>
    <t>RUA PAUMARI 302 PROXIMO DA ESQUINA DA RUA APARANDE</t>
  </si>
  <si>
    <t>-23.5384219077619</t>
  </si>
  <si>
    <t>-46.7020127744372</t>
  </si>
  <si>
    <t>RUA TITO ESQUINA COM A RUA IBIQUARA</t>
  </si>
  <si>
    <t>-23.5284171764511</t>
  </si>
  <si>
    <t>-46.7027249898419</t>
  </si>
  <si>
    <t>RUA HUNGARA 307 ESQUINA COM A RUA OSVALDO FERREIRA DE CAMARGO  TRAVESSA</t>
  </si>
  <si>
    <t>-23.5306977042699</t>
  </si>
  <si>
    <t>-46.7035385605294</t>
  </si>
  <si>
    <t>RUA CROATA 279 ESQUINA COM A RUA OSVALDO FERREIRA DE CAMARGO</t>
  </si>
  <si>
    <t>-23.5307618102065</t>
  </si>
  <si>
    <t>-46.7054039855317</t>
  </si>
  <si>
    <t>RUA TONELEROS ESQUINA COM A VOTUPOCA</t>
  </si>
  <si>
    <t>-23.5326990656221</t>
  </si>
  <si>
    <t>-46.704206041937</t>
  </si>
  <si>
    <t>RUA FELIPE DOS SANTOS PROXIMO A ESQUINA COM A RUA TONELERO</t>
  </si>
  <si>
    <t>-23.5358824884677</t>
  </si>
  <si>
    <t>-46.7050078714843</t>
  </si>
  <si>
    <t>RUA AURELIA ESQUINA COM A RUA MARIO</t>
  </si>
  <si>
    <t>-23.5312931975486</t>
  </si>
  <si>
    <t>-46.6978817811304</t>
  </si>
  <si>
    <t>RUA MOTA PAIS ESQUINA COM A RUA RODRIGUES DE CAMPOS LEITE</t>
  </si>
  <si>
    <t>-23.5365219609748</t>
  </si>
  <si>
    <t>-46.7025878393747</t>
  </si>
  <si>
    <t>RUA TITO ESQUINA COM A RUA TONELEROS</t>
  </si>
  <si>
    <t>-23.5281294613187</t>
  </si>
  <si>
    <t>-46.7038947528258</t>
  </si>
  <si>
    <t>RUA MARCO AURELIO PROXIMO DA ESQUINA COM A RUA  CATAO</t>
  </si>
  <si>
    <t>-23.5329391244527</t>
  </si>
  <si>
    <t>-46.6990715518105</t>
  </si>
  <si>
    <t>RUA JOSE BORELLI ESQUINA COM A RUA COSTA MORGADO DEFRONTE A A PRACA FERNANDO G PALOMARES</t>
  </si>
  <si>
    <t>-23.5344283127697</t>
  </si>
  <si>
    <t>-46.7000850987771</t>
  </si>
  <si>
    <t>RUA CORONEL CASTRO DE FARIA ESQUINA COM A RUA APIRUZ</t>
  </si>
  <si>
    <t>-23.5393923893387</t>
  </si>
  <si>
    <t>-46.6982411054855</t>
  </si>
  <si>
    <t>RUA PAUMARI 267</t>
  </si>
  <si>
    <t>-23.5381903159714</t>
  </si>
  <si>
    <t>-46.7017332607041</t>
  </si>
  <si>
    <t>RUA ROIZ PACA ESQUINA COM A RUA MARIO</t>
  </si>
  <si>
    <t>-23.5312337532888</t>
  </si>
  <si>
    <t>-46.6966358546716</t>
  </si>
  <si>
    <t>RUA MARIO 117 PROXIMO DA ESQUINA COM A RUA VESPASIANO</t>
  </si>
  <si>
    <t>-23.5311309133813</t>
  </si>
  <si>
    <t>-46.6957977099489</t>
  </si>
  <si>
    <t>RUA SILVEIRA RODRIGUES ESQUINA COM A RUA VESPASIANO</t>
  </si>
  <si>
    <t>-23.5329463985854</t>
  </si>
  <si>
    <t>-46.6949956862245</t>
  </si>
  <si>
    <t>RUA SAO GIL ESQUINA COM RUA SEPETIBA</t>
  </si>
  <si>
    <t>-23.5378427846673</t>
  </si>
  <si>
    <t>-46.6996191406199</t>
  </si>
  <si>
    <t>RUA GENERAL VITORINO MONTEIRO 189</t>
  </si>
  <si>
    <t>-23.5359778217358</t>
  </si>
  <si>
    <t>-46.6987201370524</t>
  </si>
  <si>
    <t>RUA VOTUPOCA PROXIMO DA ESQUINA COM A RUA MOTA PAIS</t>
  </si>
  <si>
    <t>-23.5357006967272</t>
  </si>
  <si>
    <t>-46.7021446833083</t>
  </si>
  <si>
    <t>PRACA SA PINTO ESQUINA COM A RUA TONELERO</t>
  </si>
  <si>
    <t>-23.5339076878622</t>
  </si>
  <si>
    <t>-46.7043499166407</t>
  </si>
  <si>
    <t>AVENIDA MORUMBI ESQUINA COM A RUA JOAQUIM CANDIDO DE AZEVEDO MARQUES</t>
  </si>
  <si>
    <t>-23.6015986218478</t>
  </si>
  <si>
    <t>-46.709873842513</t>
  </si>
  <si>
    <t>AVENIDA MORUMBI ESQUINA COM A RUA AMPELIO DIONIZIO ZOCHI</t>
  </si>
  <si>
    <t>-23.5964217118454</t>
  </si>
  <si>
    <t>-46.7082320440382</t>
  </si>
  <si>
    <t>RUA MARGARIDA GALVAO ESQUINA COM A AVENIDA JOAQUIM CANDIDO DE AZEVEDO MARQUES</t>
  </si>
  <si>
    <t>-23.6051085927166</t>
  </si>
  <si>
    <t>-46.7089310653614</t>
  </si>
  <si>
    <t>RUA VICENTE GOES E ARANHA ESQUINA COM A RUA LEONOR QUADROS</t>
  </si>
  <si>
    <t>-23.6154315915307</t>
  </si>
  <si>
    <t>-46.7101692845856</t>
  </si>
  <si>
    <t>AVENIDA DUQUESA DE GOIAS ESQUINA COM A TRAVESSA CORONEL ANTONIO ABATE FILHO</t>
  </si>
  <si>
    <t>-23.6131939921909</t>
  </si>
  <si>
    <t>-46.7029182945562</t>
  </si>
  <si>
    <t>RUA MARIO WALLACE SIMONSEN COCHRANE ESQUINA COM A RUA DOUTOR FAUSTO DE ALMEIDA PRADO PENTEADO</t>
  </si>
  <si>
    <t>-23.5981646512904</t>
  </si>
  <si>
    <t>-46.703619226253</t>
  </si>
  <si>
    <t>RUA BARAO DE SANTA EMLIA 408</t>
  </si>
  <si>
    <t>-23.606210216649</t>
  </si>
  <si>
    <t>-46.7073851502169</t>
  </si>
  <si>
    <t>RUA DOUTOR WILTON PAES DE ALMEIDA 320</t>
  </si>
  <si>
    <t>-23.5948895368953</t>
  </si>
  <si>
    <t>-46.7045086077954</t>
  </si>
  <si>
    <t>RUA DOS NENUFARES ESQUINA COM RUA DAS BEGONIAS</t>
  </si>
  <si>
    <t>-23.5959415686162</t>
  </si>
  <si>
    <t>-46.7000835600344</t>
  </si>
  <si>
    <t>AVENIDA DAS MAGNOLIAS ESQUINA COM A RUA DOS IPES</t>
  </si>
  <si>
    <t>-23.5919262826906</t>
  </si>
  <si>
    <t>-46.6977350382006</t>
  </si>
  <si>
    <t>RUA DOS MANACAS 14 ESQUINA COM A  PRACA PADRE LINDOLFO ESTEVES</t>
  </si>
  <si>
    <t>-23.589213954104</t>
  </si>
  <si>
    <t>-46.6962643291247</t>
  </si>
  <si>
    <t>AVENIDA DAS MAGNOLIAS  ESQUINA COM RUA DAS MALVAS</t>
  </si>
  <si>
    <t>-23.5893327333115</t>
  </si>
  <si>
    <t>-46.6980610171497</t>
  </si>
  <si>
    <t>RUA DAS MALVAS ESQUINA COM AVENIDA DAS ACACIAS</t>
  </si>
  <si>
    <t>-23.5869547089839</t>
  </si>
  <si>
    <t>-46.6973227918151</t>
  </si>
  <si>
    <t>RUA ENGENHEIRO GUIMARAES 15 VALADAO PROXIMO A AVENIDA PROFESSOR ALCEBIADES DELAMARE</t>
  </si>
  <si>
    <t>-23.5869876513743</t>
  </si>
  <si>
    <t>-46.6936484593023</t>
  </si>
  <si>
    <t>RUA CIRCULADOR DO BOSQUE 827 COM RUA CIRCULAR DO BOSQUE</t>
  </si>
  <si>
    <t>-23.5864008683544</t>
  </si>
  <si>
    <t>-46.7052042833334</t>
  </si>
  <si>
    <t>RUA DOUTOR WILTON PAES DE ALMEIDA 248 ESQUINA COM A AVENIDA AMARILIS</t>
  </si>
  <si>
    <t>-23.5955210505883</t>
  </si>
  <si>
    <t>-46.7046133511765</t>
  </si>
  <si>
    <t>RUA SARABATANA DEFRONTE A RUA CARPINA</t>
  </si>
  <si>
    <t>-23.5768852691988</t>
  </si>
  <si>
    <t>-46.7025423481993</t>
  </si>
  <si>
    <t>RUA DOUTOR FAUSTO DE ALMEIDA PRADO PENTEADO ESQUINA COM A AVENIDA DOUTOR ALBERTO PENTEADO</t>
  </si>
  <si>
    <t>-23.5989908980898</t>
  </si>
  <si>
    <t>-46.703538034371</t>
  </si>
  <si>
    <t>RUA DOUTOR JOAO NEVES NETO ESQUINA COM A RUA DONA ANDREA MONTEIRO</t>
  </si>
  <si>
    <t>-23.5908382779366</t>
  </si>
  <si>
    <t>-46.7049636682994</t>
  </si>
  <si>
    <t>RUA ARARIPINA ESQUINA COM A RUA CIRCULAR DO BOSQUE</t>
  </si>
  <si>
    <t>-23.5855978195517</t>
  </si>
  <si>
    <t>-46.70274044353</t>
  </si>
  <si>
    <t>PRACA CICERO JOSE DA SILVA ESQUINA COM RUA ARISTO BULLER SOUTO</t>
  </si>
  <si>
    <t>-23.5860078934848</t>
  </si>
  <si>
    <t>-46.716547909692</t>
  </si>
  <si>
    <t>AVENIDA GIOVANI GRONCHI 1518</t>
  </si>
  <si>
    <t>-23.596905836892</t>
  </si>
  <si>
    <t>-46.7193970017216</t>
  </si>
  <si>
    <t>RUA ALBERT EINSTEIN ESQUINA COM AV GIOVANI GRONCHI</t>
  </si>
  <si>
    <t>-23.594743936643</t>
  </si>
  <si>
    <t>-46.7171481762777</t>
  </si>
  <si>
    <t>RUA SAO BRAULIO 417</t>
  </si>
  <si>
    <t>-23.5927725347605</t>
  </si>
  <si>
    <t>-46.7074772507113</t>
  </si>
  <si>
    <t>RUA PURES 743 DEFRONTE A RUA CAIXANAS</t>
  </si>
  <si>
    <t>-23.5864497078491</t>
  </si>
  <si>
    <t>-46.7077239899499</t>
  </si>
  <si>
    <t>AVENIDA ROBERTO LORENZ 482</t>
  </si>
  <si>
    <t>-23.586604623861</t>
  </si>
  <si>
    <t>-46.7124223619047</t>
  </si>
  <si>
    <t>AVENIDA GEORGE SAVILLE DODD ESQUINA COM A RUA MALVINAS</t>
  </si>
  <si>
    <t>-23.581490756748</t>
  </si>
  <si>
    <t>-46.7081612869048</t>
  </si>
  <si>
    <t>RUA GUIHEI VATANABE 506 PROXIMO A ESQUINA COM A AVENIDA JORGE JOAO SAAD</t>
  </si>
  <si>
    <t>-23.5929476966929</t>
  </si>
  <si>
    <t>-46.7211077459847</t>
  </si>
  <si>
    <t>RUA CARMO DO CAJURU ESQUINA COM A RUA SANHARO</t>
  </si>
  <si>
    <t>-23.5843701941423</t>
  </si>
  <si>
    <t>-46.712986968765</t>
  </si>
  <si>
    <t>AVENIDA MORUMBI ESQUINA COM A RUA  PADRE LEBRET</t>
  </si>
  <si>
    <t>-23.6039248683967</t>
  </si>
  <si>
    <t>-46.7124117801278</t>
  </si>
  <si>
    <t>AVENIDA MORUMBI DEFRONTE AO PORTAO UM DO PALACIO DOS BANDEIRANTES</t>
  </si>
  <si>
    <t>-23.6015983809905</t>
  </si>
  <si>
    <t>-46.7110973175931</t>
  </si>
  <si>
    <t>RUA FLORIANO PEIXOTO ESQUINA COM A AVENIDA JULES RIMET DEFRONTE A PRACA ALFREDO GOMES</t>
  </si>
  <si>
    <t>-23.6041071932035</t>
  </si>
  <si>
    <t>-46.719081200645</t>
  </si>
  <si>
    <t>RUA LUIZ GALHANONE 335</t>
  </si>
  <si>
    <t>-23.6049510327269</t>
  </si>
  <si>
    <t>-46.7163431540094</t>
  </si>
  <si>
    <t>RUA RUBENS DO AMARAL ESQUINA COM RUA HORACIO BANDIERI</t>
  </si>
  <si>
    <t>-23.6043398762558</t>
  </si>
  <si>
    <t>-46.7173810775059</t>
  </si>
  <si>
    <t>RUA BARAO DO RIO PARDO PROXIMO A RUA BRENO PINHEIRO</t>
  </si>
  <si>
    <t>-23.6089292479523</t>
  </si>
  <si>
    <t>-46.7212302008028</t>
  </si>
  <si>
    <t>RUA DR FRANCISCO TOMAS DE CARVALHO PROXIMO A RUA PASQUALE GALUPI</t>
  </si>
  <si>
    <t>-23.6116456809195</t>
  </si>
  <si>
    <t>-46.7254305481274</t>
  </si>
  <si>
    <t>RUA MANOEL CARLOS DE FIGUEIREDO PROXIMO A ESQUINA COM A RUA DOUTOR FLAVIO AMERICO MAURANO</t>
  </si>
  <si>
    <t>-23.6111716573025</t>
  </si>
  <si>
    <t>-46.7196958576975</t>
  </si>
  <si>
    <t>RUA DOUTOR CELSO DARIO GUIMARAES 584 PROXIMO A ESQUINA COM A RUA OSVALDO LEITE RIBEIRO</t>
  </si>
  <si>
    <t>-23.609128024622</t>
  </si>
  <si>
    <t>-46.7158762595448</t>
  </si>
  <si>
    <t>CARDOSO DE ALMEIDA</t>
  </si>
  <si>
    <t>RUA ITAPICURU ESQUINA COM A RUA CARDOSO DE ALMEIDA</t>
  </si>
  <si>
    <t>-23.5363748683226</t>
  </si>
  <si>
    <t>-46.6669696168864</t>
  </si>
  <si>
    <t>RUA CARDOSO DE ALMEIDA ESQUINA COM A RUA PARAGUASSU</t>
  </si>
  <si>
    <t>-23.5349566107832</t>
  </si>
  <si>
    <t>-46.6659282960793</t>
  </si>
  <si>
    <t>RUA TURIASSU ESQUINA COM A RUA CARDOSO DE ALMEIDA</t>
  </si>
  <si>
    <t>-23.5340601812493</t>
  </si>
  <si>
    <t>-46.6652197255808</t>
  </si>
  <si>
    <t>RUA TRAIPU 709 ESQUINA COM RUA ITAMARATI</t>
  </si>
  <si>
    <t>-23.5385251775818</t>
  </si>
  <si>
    <t>-46.6650490041667</t>
  </si>
  <si>
    <t>RUA PARAGUACU ESQUINA COM A RUA TRAIPU</t>
  </si>
  <si>
    <t>-23.5357288676308</t>
  </si>
  <si>
    <t>-46.6640171678556</t>
  </si>
  <si>
    <t>PRACA DOM CARLOS I ENTRE AS RUA BRIGADEIRO MELO E RUA LIVREIRO SARAIVA</t>
  </si>
  <si>
    <t>-23.5433558707606</t>
  </si>
  <si>
    <t>-46.6693128740729</t>
  </si>
  <si>
    <t>AVENIDA ARNOLFO AZEVEDO ESQUINA COM A RUA GUSTAVO TEIXEIRA</t>
  </si>
  <si>
    <t>-23.5457802535019</t>
  </si>
  <si>
    <t>-46.6691312202955</t>
  </si>
  <si>
    <t>AVENIDA PACAEMBU ESQUINA COM A RUA ITAMARATI</t>
  </si>
  <si>
    <t>-23.5398113507562</t>
  </si>
  <si>
    <t>-46.6643265066781</t>
  </si>
  <si>
    <t>RUA BRAGANCA ESQUINA COM A RUA DOUTOR MANUEL MARIA TOURINHO</t>
  </si>
  <si>
    <t>-23.5405571935731</t>
  </si>
  <si>
    <t>-46.666006641884</t>
  </si>
  <si>
    <t>RUA CAIUBI ESQUINA COM A RUA JOSE DE FREITAS GUIMARAES</t>
  </si>
  <si>
    <t>-23.5421989176143</t>
  </si>
  <si>
    <t>-46.6689943827047</t>
  </si>
  <si>
    <t>RUA COTOXO ESQUINA COM A RUA PADRE CHICO</t>
  </si>
  <si>
    <t>-23.5295545675551</t>
  </si>
  <si>
    <t>-46.6829129332585</t>
  </si>
  <si>
    <t>RUA COTOXO ESQUINA COM A RUA MINISTRO FERREIRA ALVES</t>
  </si>
  <si>
    <t>-23.5308098489699</t>
  </si>
  <si>
    <t>-46.6838181469103</t>
  </si>
  <si>
    <t>AVENIDA ALFONSO BOVERO ESQUINA COM A AVENIDA POMPEIA</t>
  </si>
  <si>
    <t>-23.5352546695807</t>
  </si>
  <si>
    <t>-46.6883830359697</t>
  </si>
  <si>
    <t>RUA DESEMBARGADOR DO VALE ESQUINA COM A RUA DIANA</t>
  </si>
  <si>
    <t>-23.5338599868242</t>
  </si>
  <si>
    <t>-46.6819301569258</t>
  </si>
  <si>
    <t>RUA CAYOWAA ESQUINA COM A RUA TURIASSU</t>
  </si>
  <si>
    <t>-23.5297162439738</t>
  </si>
  <si>
    <t>-46.677833631953</t>
  </si>
  <si>
    <t>RUA CORONEL MELO OLIVEIRA ESQUINA COM A AVENIDA POMPEIA</t>
  </si>
  <si>
    <t>-23.5325141484921</t>
  </si>
  <si>
    <t>-46.6864356552938</t>
  </si>
  <si>
    <t>RUA NOVAIS JUNIOR ESQUINA COM A RUA COTOXO</t>
  </si>
  <si>
    <t>-23.5337873016691</t>
  </si>
  <si>
    <t>-46.6862934831304</t>
  </si>
  <si>
    <t>RUA CARAIBAS ESQUINA COM A RUA CORONEL MELO OLIVEIRA</t>
  </si>
  <si>
    <t>-23.5342278463943</t>
  </si>
  <si>
    <t>-46.6837669834809</t>
  </si>
  <si>
    <t>RUA ITAIBATE ESQUINA COM A RUA EDGARD CAVALHEIRO</t>
  </si>
  <si>
    <t>-23.5387511162825</t>
  </si>
  <si>
    <t>-46.6777064225617</t>
  </si>
  <si>
    <t>RUA CARAIBAS ESQUINA COM A RUA PADRE CHICO</t>
  </si>
  <si>
    <t>-23.5303643740947</t>
  </si>
  <si>
    <t>-46.6811293653063</t>
  </si>
  <si>
    <t>RUA JOAO RAMALHO ESQUINA COM A RUA CAIOWAA</t>
  </si>
  <si>
    <t>-23.5321287146388</t>
  </si>
  <si>
    <t>-46.6789086571389</t>
  </si>
  <si>
    <t>RUA MININISTRO GASTAO MESQUITA ESQUINA COM A RUA DOS CAETES</t>
  </si>
  <si>
    <t>-23.5404519367016</t>
  </si>
  <si>
    <t>-46.677067168522</t>
  </si>
  <si>
    <t>RUA WANDERLEI ESQUINA COM A RUA AIMBERE</t>
  </si>
  <si>
    <t>-23.536250555188</t>
  </si>
  <si>
    <t>-46.6805496295988</t>
  </si>
  <si>
    <t>RUA PALESTRA ITALIA ESQUINA COM A RUA CARAIBAS</t>
  </si>
  <si>
    <t>-23.5285692058926</t>
  </si>
  <si>
    <t>-46.6795422231576</t>
  </si>
  <si>
    <t>RUA VENANCIO AIRES ESQUINA COM A RUA TUCURUNA</t>
  </si>
  <si>
    <t>-23.5288766227708</t>
  </si>
  <si>
    <t>-46.6811029979213</t>
  </si>
  <si>
    <t>RUA DOUTOR AUGUSTO DE MIRANDA ESQUINA COM A RUA PADRE CHICO</t>
  </si>
  <si>
    <t>-23.5271609306468</t>
  </si>
  <si>
    <t>-46.6868516066449</t>
  </si>
  <si>
    <t>RUA CAJABA ESQUINA COM A RUA RAUL POMPEIA</t>
  </si>
  <si>
    <t>-23.5350549307744</t>
  </si>
  <si>
    <t>-46.6910627922687</t>
  </si>
  <si>
    <t>RUA TAVARES BASTOS ESQUINA COM A AVENIDA POMPEIA</t>
  </si>
  <si>
    <t>-23.5338239034225</t>
  </si>
  <si>
    <t>-46.6877637367518</t>
  </si>
  <si>
    <t>RUA PADRE CHICO ESQUINA COM A AVENIDA POMPEIA</t>
  </si>
  <si>
    <t>-23.5288064187392</t>
  </si>
  <si>
    <t>-46.6841942829072</t>
  </si>
  <si>
    <t>PUC</t>
  </si>
  <si>
    <t>RUA CARDOSO DE ALMEIDA ESQUINA COM A RUA CAIUBI</t>
  </si>
  <si>
    <t>-23.5411535309713</t>
  </si>
  <si>
    <t>-46.6709903369482</t>
  </si>
  <si>
    <t>RUA DOUTOR HOMEM DE MELO ESQUINA COM A RUA DOUTOR FRANCO DA ROCHA</t>
  </si>
  <si>
    <t>-23.5349546252603</t>
  </si>
  <si>
    <t>-46.6717764768664</t>
  </si>
  <si>
    <t>RUA ITAPICURU ESQUINA COM A RUA DOUTOR FRANCO DA ROCHA</t>
  </si>
  <si>
    <t>-23.5337978088651</t>
  </si>
  <si>
    <t>-46.6708859591847</t>
  </si>
  <si>
    <t>RUA VANDERLEI  ESQUINA COM A RUA MINISTRO GODOY</t>
  </si>
  <si>
    <t>-23.5406205960343</t>
  </si>
  <si>
    <t>-46.6739775154762</t>
  </si>
  <si>
    <t>RUA MINISTRO GODOY ESQUINA RUA TURIASSU</t>
  </si>
  <si>
    <t>-23.5331724700199</t>
  </si>
  <si>
    <t>-46.6691954629365</t>
  </si>
  <si>
    <t>RUA DOUTOR HOMEM DE MELO ESQUINA COM A RUA MINERVA</t>
  </si>
  <si>
    <t>-23.5342352996837</t>
  </si>
  <si>
    <t>-46.6729110368687</t>
  </si>
  <si>
    <t>RUA TURIASSU DEFRONTE A RUA MINERVA</t>
  </si>
  <si>
    <t>-23.5325576996058</t>
  </si>
  <si>
    <t>-46.6717893</t>
  </si>
  <si>
    <t>RUA PARAGUASSU ESQUINA COM A RUA MONTE ALEGRE</t>
  </si>
  <si>
    <t>-23.5338989995408</t>
  </si>
  <si>
    <t>-46.6672091069321</t>
  </si>
  <si>
    <t>RUA ITAPICURU ESQUINA COM A RUA MINISTRO GODOY</t>
  </si>
  <si>
    <t>-23.5346495040148</t>
  </si>
  <si>
    <t>-46.6696037690576</t>
  </si>
  <si>
    <t>RUA MONTE ALEGRE ESQUINA RUA ITAPICURU</t>
  </si>
  <si>
    <t>-23.5353110842966</t>
  </si>
  <si>
    <t>-46.6681217914298</t>
  </si>
  <si>
    <t>RUA DOUTOR HOMEM DE MELO ESQUINA COM A RUA CARDOSO DE ALMEIDA</t>
  </si>
  <si>
    <t>-23.5372388399807</t>
  </si>
  <si>
    <t>-46.6679660998276</t>
  </si>
  <si>
    <t>RUA JOAO RAMALHO ESQUINA COM A RUA CARDOSO DE ALMEIDA</t>
  </si>
  <si>
    <t>-23.5384471979788</t>
  </si>
  <si>
    <t>-46.6689018669775</t>
  </si>
  <si>
    <t>RUA  DOUTOR HOMEM DE MELO PROXIMO A ESQUINA COM A RUA MONTE ALEGRE</t>
  </si>
  <si>
    <t>-23.5365229292885</t>
  </si>
  <si>
    <t>-46.6690431567194</t>
  </si>
  <si>
    <t>RUA MINISTRO GODOY ESQUINA COM RUA DOUTOR HOMEM DE MELO</t>
  </si>
  <si>
    <t>-23.5360010222828</t>
  </si>
  <si>
    <t>-46.6703045613695</t>
  </si>
  <si>
    <t>SUMARÉ</t>
  </si>
  <si>
    <t>RUA BRUXELAS ESQUINA COM A RUA CAPITAL FEDERAL</t>
  </si>
  <si>
    <t>-23.5427285544479</t>
  </si>
  <si>
    <t>-46.6824257687618</t>
  </si>
  <si>
    <t>AVENIDA DOUTOR ARNALDO ESQUINA COM R ANTONINA</t>
  </si>
  <si>
    <t>-23.5473828724738</t>
  </si>
  <si>
    <t>-46.6809986476823</t>
  </si>
  <si>
    <t>RUA HAVAI ESQUINA COM A RUA APINAGES</t>
  </si>
  <si>
    <t>-23.543360455347</t>
  </si>
  <si>
    <t>-46.6842695159198</t>
  </si>
  <si>
    <t>RUA APINAGES PROXIMO DA ESQUINA COM A RUA HAVAI</t>
  </si>
  <si>
    <t>-23.5431865937281</t>
  </si>
  <si>
    <t>-46.6844617161723</t>
  </si>
  <si>
    <t>RUA SALTO GRANDE ESQUINA COM RUA PADRE AGOSTINHO MENDICUTE</t>
  </si>
  <si>
    <t>-23.5432499614694</t>
  </si>
  <si>
    <t>-46.6898113954143</t>
  </si>
  <si>
    <t>AVENIDA DOUTOR ARNALDO 1844</t>
  </si>
  <si>
    <t>-23.5486195129946</t>
  </si>
  <si>
    <t>-46.6805541084056</t>
  </si>
  <si>
    <t>RUA AMBUAS 95</t>
  </si>
  <si>
    <t>-23.5383684592526</t>
  </si>
  <si>
    <t>-46.6900214302648</t>
  </si>
  <si>
    <t>RUA TUCUNA 1235</t>
  </si>
  <si>
    <t>-23.5377240854279</t>
  </si>
  <si>
    <t>-46.6874003354321</t>
  </si>
  <si>
    <t>RUA FRANCISCO BAYARDO ESQUINA COM A RUA TUCUNA</t>
  </si>
  <si>
    <t>-23.5384737087811</t>
  </si>
  <si>
    <t>-46.6879372084402</t>
  </si>
  <si>
    <t>VILA ANGLO BRASILEIRA</t>
  </si>
  <si>
    <t>RUA PROF CIRIDIAO BUARQUE 74</t>
  </si>
  <si>
    <t>-23.5356661919461</t>
  </si>
  <si>
    <t>-46.6916509146222</t>
  </si>
  <si>
    <t>RUA GURUPA ESQUINA COM A RUA QUEIMADA GRANDE</t>
  </si>
  <si>
    <t>-23.5369897597184</t>
  </si>
  <si>
    <t>-46.6964511239687</t>
  </si>
  <si>
    <t>PRACA ARACARIGUAMA ESQUINA COM A RUA FELIX DELLA ROSA</t>
  </si>
  <si>
    <t>-23.5374493107168</t>
  </si>
  <si>
    <t>-46.6946404068377</t>
  </si>
  <si>
    <t>RUA MINISTRO SINEZIO ROCHA ESQUINA COM A RUA LIVREIRO TIRSI</t>
  </si>
  <si>
    <t>-23.5418120072915</t>
  </si>
  <si>
    <t>-46.6923660385969</t>
  </si>
  <si>
    <t>RUA EUCLIDES DE ANDRADE DEFRONTE A ESQUINA DA RUA DOUTOR JOAO PASSOS</t>
  </si>
  <si>
    <t>-23.5433039078821</t>
  </si>
  <si>
    <t>-46.6921331182119</t>
  </si>
  <si>
    <t>RUA RIFAINA ESQUINA COM A RUA PEDRO SOARES DE ALMEIDA</t>
  </si>
  <si>
    <t>-23.5420065477575</t>
  </si>
  <si>
    <t>-46.6938843959387</t>
  </si>
  <si>
    <t>RUA RIFAINA ESQUINA COM A RUA BICA DE PEDRA</t>
  </si>
  <si>
    <t>-23.541068931999</t>
  </si>
  <si>
    <t>-46.6952147665278</t>
  </si>
  <si>
    <t>ZEQUINHA DE ABREU</t>
  </si>
  <si>
    <t>RUA ITOBI  ESQUINA COM A RUA CARDOSO DE ALMEIDA</t>
  </si>
  <si>
    <t>-23.545000010623</t>
  </si>
  <si>
    <t>-46.6740766304304</t>
  </si>
  <si>
    <t>RUA TACITO DE ALMEIDA 124 ESQUINA COM R MACAE</t>
  </si>
  <si>
    <t>-23.5489259537722</t>
  </si>
  <si>
    <t>-46.6750590029762</t>
  </si>
  <si>
    <t xml:space="preserve">RUA ZEQUINHA DE ABREU ESQUINA COM A RUA CARDOSO DE ALMEIDA </t>
  </si>
  <si>
    <t>-23.5450085237128</t>
  </si>
  <si>
    <t>-46.6737035255952</t>
  </si>
  <si>
    <t>RUA SAO BARTOLOMEU ESQUINA COM A RUA CARDOSO DE ALMEIDA</t>
  </si>
  <si>
    <t>-23.5441036657571</t>
  </si>
  <si>
    <t>-46.6733636816768</t>
  </si>
  <si>
    <t>RUA ALAMEDA PEREIRA GUIMARAES 500</t>
  </si>
  <si>
    <t>-23.5481445170884</t>
  </si>
  <si>
    <t>-46.6733980919522</t>
  </si>
  <si>
    <t>RUA CARDOSO DE ALMEIDA ESQUINA COM A RUA MACAPA</t>
  </si>
  <si>
    <t>-23.5478767978911</t>
  </si>
  <si>
    <t>-46.674058561128</t>
  </si>
  <si>
    <t>RUA ANGELINA MAFFEI VITA 23 ESQUINA AVENIDA BRIGADEIRO FARIA LIMA</t>
  </si>
  <si>
    <t>-23.5776169407943</t>
  </si>
  <si>
    <t>-46.6869567042989</t>
  </si>
  <si>
    <t>AVENIDA BRIGADEIRO FARIA LIMA  2232</t>
  </si>
  <si>
    <t>-23.5769176147531</t>
  </si>
  <si>
    <t>-46.687423495819</t>
  </si>
  <si>
    <t>AVENIDA BRIGADEIRO FARIA LIMA ESQUINA RUA IRAMAIA</t>
  </si>
  <si>
    <t>-23.5763664423271</t>
  </si>
  <si>
    <t>-46.6871602848003</t>
  </si>
  <si>
    <t>EDIFICIO DIJON 349 ESQUINA R CEILAO</t>
  </si>
  <si>
    <t>-23.5763761825226</t>
  </si>
  <si>
    <t>-46.6882884668215</t>
  </si>
  <si>
    <t>AVENIDA BRIG FARIA LIMA ESQUINA ALAMEDA GABRIEL MONTEIRA DA SILVA</t>
  </si>
  <si>
    <t>-23.5749322758516</t>
  </si>
  <si>
    <t>-46.6884813451825</t>
  </si>
  <si>
    <t>AVENIDA 9 DE JULHO ESQUINA COM A RUA GROELANDIA</t>
  </si>
  <si>
    <t>-23.5765655833255</t>
  </si>
  <si>
    <t>-46.6711250507582</t>
  </si>
  <si>
    <t>RUA SERIDO ESQUINA COM A RUA TUCUMA</t>
  </si>
  <si>
    <t>-23.5822970568805</t>
  </si>
  <si>
    <t>-46.6903692919355</t>
  </si>
  <si>
    <t>RUA NORUEGA ESQUINA COM A RUA ALEMANHA</t>
  </si>
  <si>
    <t>-23.5781638275383</t>
  </si>
  <si>
    <t>-46.6769433659093</t>
  </si>
  <si>
    <t>RUA FRANCA ESQUINA COM A RUA PORTUGAL</t>
  </si>
  <si>
    <t>-23.5759493040412</t>
  </si>
  <si>
    <t>-46.6746718192085</t>
  </si>
  <si>
    <t>RUA JOAQUIM ANTUNES ESQUINA COM ALAMEDA GABRIEL MONTEIRO DA SILVA</t>
  </si>
  <si>
    <t>-23.5677670224991</t>
  </si>
  <si>
    <t>-46.678623140745</t>
  </si>
  <si>
    <t>RUA CAPITAO PRUDENTE ESQUINA COM A RUA SAMPAIO VIDAL</t>
  </si>
  <si>
    <t>-23.5695843971847</t>
  </si>
  <si>
    <t>-46.6860751122789</t>
  </si>
  <si>
    <t>RUA INGLATERRA ESQUINA COM A RUA LUXEMBURGO</t>
  </si>
  <si>
    <t>-23.57095757803</t>
  </si>
  <si>
    <t>-46.6768813583671</t>
  </si>
  <si>
    <t>RUA GROENZLANDIA ESQUINA COM A RUA BUCARESTE</t>
  </si>
  <si>
    <t>-23.5712236426766</t>
  </si>
  <si>
    <t>-46.6756692981368</t>
  </si>
  <si>
    <t>RUA ESCOCIA ESQUINA COM A RUA BRAULIO DE MENDONCA FILHO</t>
  </si>
  <si>
    <t>-23.577708624742</t>
  </si>
  <si>
    <t>-46.682207587096</t>
  </si>
  <si>
    <t>RUA TURQUIA  ESQUINA COM A RUA SUICA   PRACA LUIZ DELBEN JUNIOR</t>
  </si>
  <si>
    <t>-23.576930246258</t>
  </si>
  <si>
    <t>-46.6803768385911</t>
  </si>
  <si>
    <t>RUA PROFESSOR VITAL PALMA E SILVA ESQUINA COM A RUA HUNGRIA</t>
  </si>
  <si>
    <t>-23.583226084326</t>
  </si>
  <si>
    <t>-46.6913887983119</t>
  </si>
  <si>
    <t>RUA PROFESSOR ARTUR RAMOS ESQUINA COM A RUA DOUTOR MARIO FERRAZ</t>
  </si>
  <si>
    <t>-23.5821351004909</t>
  </si>
  <si>
    <t>-46.6867751886812</t>
  </si>
  <si>
    <t>RUA GUMERCINDO SARAIVA 96</t>
  </si>
  <si>
    <t>-23.5793735786387</t>
  </si>
  <si>
    <t>-46.6830182393335</t>
  </si>
  <si>
    <t>RUA BRAULIO DE MENDOCA FILHO 11 NO FINAL DA RUA</t>
  </si>
  <si>
    <t>-23.5772573221715</t>
  </si>
  <si>
    <t>-46.6833029176114</t>
  </si>
  <si>
    <t>AVENIDA GABRIEL MONTEIRO DA SILVA ESQUINA COM A RUA JUQUIA</t>
  </si>
  <si>
    <t>-23.5711570230412</t>
  </si>
  <si>
    <t>-46.6810866414223</t>
  </si>
  <si>
    <t>AVENIDA PEDROSO DE MORAES ESQUINA COM A RUA ARTUR DE AZEVEDO</t>
  </si>
  <si>
    <t>-23.5668737741504</t>
  </si>
  <si>
    <t>-46.6890290605636</t>
  </si>
  <si>
    <t>RUA SIMAO ALVARES ESQUINA COM A RUA TEODORO SAMPAIO</t>
  </si>
  <si>
    <t>-23.5641625938824</t>
  </si>
  <si>
    <t>-46.6883119355838</t>
  </si>
  <si>
    <t>RUA TEODORO SAMPO 1723 PROXIMO A O VIADUTO MATEUS GROU</t>
  </si>
  <si>
    <t>-23.5623895399565</t>
  </si>
  <si>
    <t>-46.6854887343729</t>
  </si>
  <si>
    <t>RUA FRADIQUE COUTINHO ESQUINA COM A RUA ARTUR AZEVEDO</t>
  </si>
  <si>
    <t>-23.5647572885434</t>
  </si>
  <si>
    <t>-46.685438047256</t>
  </si>
  <si>
    <t>AVENIDA PEDROSO DE MORAIS ESQUINA COM A RUA TEODORO SAMPAIO</t>
  </si>
  <si>
    <t>-23.5653018996407</t>
  </si>
  <si>
    <t>-46.6901458715748</t>
  </si>
  <si>
    <t>AVENIDA PEDROSO DE MORAES ESQUINA COM A RUA CARDEAL ARCOVERDE</t>
  </si>
  <si>
    <t>-23.5636630752819</t>
  </si>
  <si>
    <t>-46.6913573842267</t>
  </si>
  <si>
    <t>RUA CARDEAL ARCOVERDE ESQUINA COM A RUA FRADIQUE COUTINHO</t>
  </si>
  <si>
    <t>-23.5613532323725</t>
  </si>
  <si>
    <t>-46.687573674365</t>
  </si>
  <si>
    <t>RUA CARDEAL ARCOVERDE PROXIMO A ESQUINA COM A RUA CONEGO EUGENIO LEITE</t>
  </si>
  <si>
    <t>-23.559314392658</t>
  </si>
  <si>
    <t>-46.6841878569061</t>
  </si>
  <si>
    <t>RUA ARTUR DE AZEVEDO ESQUINA COM A RUA CONEGO EUGENIO LEITE</t>
  </si>
  <si>
    <t>-23.5623654752384</t>
  </si>
  <si>
    <t>-46.6815679679685</t>
  </si>
  <si>
    <t>RUA SIMAO ALVARES ESQUINA RUA DOS MORAS</t>
  </si>
  <si>
    <t>-23.5591478864578</t>
  </si>
  <si>
    <t>-46.6923261345247</t>
  </si>
  <si>
    <t>AVENIDA PEDROSO DE MORAIS PROXIMO DA ESQUINA COM AVENIDA REBOUCAS</t>
  </si>
  <si>
    <t>-23.5691084021901</t>
  </si>
  <si>
    <t>-46.687438065112</t>
  </si>
  <si>
    <t>RUA DEPUTADO LACERDA FRANCO ESQUINA COM A RUA TEODORO SAMPAIO</t>
  </si>
  <si>
    <t>-23.564562208763</t>
  </si>
  <si>
    <t>-46.689394800045</t>
  </si>
  <si>
    <t>RUA MOURATO COELHO ESQUINA COM A RUA TEODORO SAMPAIO</t>
  </si>
  <si>
    <t>-23.5635499658972</t>
  </si>
  <si>
    <t>-46.6877366279538</t>
  </si>
  <si>
    <t>RUA MOURATO COELHO ESQUINA COM A RUA DOS PINHEIROS</t>
  </si>
  <si>
    <t>-23.566511623165</t>
  </si>
  <si>
    <t>-46.6853597519449</t>
  </si>
  <si>
    <t>RUA SIMAO ALVARES ESQUINA COM A RUA JOAO DO RIO</t>
  </si>
  <si>
    <t>-23.5604247314677</t>
  </si>
  <si>
    <t>-46.6914155251368</t>
  </si>
  <si>
    <t>RUA ARTUR DE AZEVEDO ESQUINA COM A  RUA DOUTOR VIRGILIO DE CARVALHO PINOTZ</t>
  </si>
  <si>
    <t>-23.5636710225745</t>
  </si>
  <si>
    <t>-46.6833266163532</t>
  </si>
  <si>
    <t>RUA JOAQUIM ANTUNES ESQUINA COM A ZRUA CARDEAL ARCOVERDE</t>
  </si>
  <si>
    <t>-23.5597559392323</t>
  </si>
  <si>
    <t>-46.6850101189923</t>
  </si>
  <si>
    <t>RUA DOUTOR VIRGILIO DE CARVALHO PINTO ESQUINA COM A RUA TEODORO SAMPAIO</t>
  </si>
  <si>
    <t>-23.5618867138696</t>
  </si>
  <si>
    <t>-46.684842748495</t>
  </si>
  <si>
    <t>RUA HENRIQUE SCHAUMANN PROXIMO A ESQUINA COM A  RUA ARTUR DE AZEVEDO</t>
  </si>
  <si>
    <t>-23.5616429285259</t>
  </si>
  <si>
    <t>-46.6799909263975</t>
  </si>
  <si>
    <t>RUA ARTUR AZEVEDO ESQUINA COM A RUA FRANCISCO LEITAO</t>
  </si>
  <si>
    <t>-23.5619469131004</t>
  </si>
  <si>
    <t>-46.6808692160866</t>
  </si>
  <si>
    <t>RUA JOAQUIM ANTUNES ESQUINA COM A RUA DOS PINHEIROS</t>
  </si>
  <si>
    <t>-23.5650027324948</t>
  </si>
  <si>
    <t>-46.6809237971056</t>
  </si>
  <si>
    <t>AVENIDA REBOUCAS ESQUINA COM A RUA CONEGO EUGENIO BUENO</t>
  </si>
  <si>
    <t>-23.564979191963</t>
  </si>
  <si>
    <t>-46.6797352873311</t>
  </si>
  <si>
    <t>AVENIDA EUROPA ESQUINA COM A RUA GROELANDIA</t>
  </si>
  <si>
    <t>-23.5721298247794</t>
  </si>
  <si>
    <t>-46.6747600671019</t>
  </si>
  <si>
    <t>AVENIDA REBOUCAS EM FRENTE AO SHOPPING ELDORADO</t>
  </si>
  <si>
    <t>-23.5736712462371</t>
  </si>
  <si>
    <t>-46.6959689241595</t>
  </si>
  <si>
    <t>AVENIDA BRIGADEIRO FARIA LIMA ESQUINA COM A AVENIDA REBOUCAS</t>
  </si>
  <si>
    <t>-23.5713987236829</t>
  </si>
  <si>
    <t>-46.6910139293027</t>
  </si>
  <si>
    <t>RUA AMARO CAVALHEIRO 257 ESQUINA RUA PAES LEME</t>
  </si>
  <si>
    <t>-23.5675652055012</t>
  </si>
  <si>
    <t>-46.6991740249755</t>
  </si>
  <si>
    <t>RUA ANNA CAMPOS MELLAO ESQUINA RUA COSTA CARVALHO</t>
  </si>
  <si>
    <t>-23.5625115987831</t>
  </si>
  <si>
    <t>-46.6993252800696</t>
  </si>
  <si>
    <t>RUA FERREIRA DE ARAUJO 201</t>
  </si>
  <si>
    <t>-23.5593267370832</t>
  </si>
  <si>
    <t>-46.6977242368299</t>
  </si>
  <si>
    <t>RUA SUMIDOURO 520 PB PINHEIROS</t>
  </si>
  <si>
    <t>-23.5649983848397</t>
  </si>
  <si>
    <t>-46.7004032029388</t>
  </si>
  <si>
    <t>RUA FERNAO DIAS PRACA PADRE SEPTIMO RAMOS ARANTES</t>
  </si>
  <si>
    <t>-23.5673384125733</t>
  </si>
  <si>
    <t>-46.6957348107006</t>
  </si>
  <si>
    <t>RUA SAO COLUMBANO ESQUINA RUA TV DOUTOR RAYMUNDO GOMES CARNEIRO</t>
  </si>
  <si>
    <t>-23.5724632150461</t>
  </si>
  <si>
    <t>-46.6975088194325</t>
  </si>
  <si>
    <t>RUA DOS PINHEIROS ESQUINA COM RUA DONA MARIA CAROLINA</t>
  </si>
  <si>
    <t>2021-08-01</t>
  </si>
  <si>
    <t>-23.5682006563189</t>
  </si>
  <si>
    <t>-46.6890273380857</t>
  </si>
  <si>
    <t>RUA TUCAMBIRA 92 ESQUINA RUA PADRE CARVALHO</t>
  </si>
  <si>
    <t>-23.5639912238595</t>
  </si>
  <si>
    <t>-46.6964159192939</t>
  </si>
  <si>
    <t>RUA CUNHA GAGO ESQUINA COM A RUA CARDEAL ARCO VERDE</t>
  </si>
  <si>
    <t>-23.5642184308756</t>
  </si>
  <si>
    <t>-46.6924012417391</t>
  </si>
  <si>
    <t>AVENIDA PROFESSOR FREDERICO HERMENN JUNIOR 345 EM FRENTE A SECRETARIA DO MEIO AMBIENTE</t>
  </si>
  <si>
    <t>-23.5618812992873</t>
  </si>
  <si>
    <t>-46.70251265401</t>
  </si>
  <si>
    <t>RUA IBIANOPOLIS 121  NA CALCADA DO SHOPPING ELDORADO</t>
  </si>
  <si>
    <t>-23.5722875222969</t>
  </si>
  <si>
    <t>-46.6949859634185</t>
  </si>
  <si>
    <t>RUA ANTONIO VIEIRA DE MEDEIROS 113</t>
  </si>
  <si>
    <t>-23.5701484917825</t>
  </si>
  <si>
    <t>-46.699956173497</t>
  </si>
  <si>
    <t>RUA DOS CARIRIS 357 NA CURVA</t>
  </si>
  <si>
    <t>-23.57048727795</t>
  </si>
  <si>
    <t>-46.6942085511565</t>
  </si>
  <si>
    <t>RUA OFELIA ESQUINA COM A PISTA LOCAL DA MARGINA PINHEIROS</t>
  </si>
  <si>
    <t>-23.5730608784273</t>
  </si>
  <si>
    <t>-46.6985845823778</t>
  </si>
  <si>
    <t>RUA NATINGUI PROXIMO A RUA ISABEL DE CASTELA</t>
  </si>
  <si>
    <t>-23.5549321950027</t>
  </si>
  <si>
    <t>-46.696761328846</t>
  </si>
  <si>
    <t>RUA CRISTOVAO DE BURGOS ESQUINA COM RUA HEITOR PENTEADO</t>
  </si>
  <si>
    <t>-23.5457275831602</t>
  </si>
  <si>
    <t>-46.692049501969</t>
  </si>
  <si>
    <t>RUA CRISTOVAO DE BURGOS ESQUINA COM RUA PAULISTANIA</t>
  </si>
  <si>
    <t>-23.5464180066527</t>
  </si>
  <si>
    <t>-46.6922205000808</t>
  </si>
  <si>
    <t>RUA HARMONIA ESQUINA COM A RUA PATIZAL</t>
  </si>
  <si>
    <t>-23.555282257655</t>
  </si>
  <si>
    <t>-46.6881129113283</t>
  </si>
  <si>
    <t>RUA GIRASSOL ESQUINA COM A RUA RODESIA</t>
  </si>
  <si>
    <t>-23.5517043238596</t>
  </si>
  <si>
    <t>-46.6916574403749</t>
  </si>
  <si>
    <t>RUA PENALVA ENTRE A PRACA HORACIO SABINO E RUA MIRANDA MONTEIRO</t>
  </si>
  <si>
    <t>-23.5498143946235</t>
  </si>
  <si>
    <t>-46.6845998975417</t>
  </si>
  <si>
    <t>RUA GABIREL DE BRITO 203</t>
  </si>
  <si>
    <t>-23.5513362691511</t>
  </si>
  <si>
    <t>-46.6848365311474</t>
  </si>
  <si>
    <t>RUA PURPURINA ESQUINA COM A RUA GIRASSOL</t>
  </si>
  <si>
    <t>-23.5533485903339</t>
  </si>
  <si>
    <t>-46.690542508624</t>
  </si>
  <si>
    <t>RUA CRISTIANO VIANA ESQUINA COM A RUA GABRIEL DE BRITO</t>
  </si>
  <si>
    <t>-23.5506885102445</t>
  </si>
  <si>
    <t>-46.6829704956262</t>
  </si>
  <si>
    <t>RUA JOAO MOURA ESQUINA COM A PRACA HORACIO SABINO</t>
  </si>
  <si>
    <t>-23.5512971191145</t>
  </si>
  <si>
    <t>-46.6853635916358</t>
  </si>
  <si>
    <t>PRACA GENERAL OLIVEIRA ALVARES 1107 PROXIMA A ESQUINA COM A RUA ABEGOARIA</t>
  </si>
  <si>
    <t>-23.5520194115281</t>
  </si>
  <si>
    <t>-46.6855840688114</t>
  </si>
  <si>
    <t>RUA DOS ZAPARAS ESQUINA COM A RUA DOS MORAS</t>
  </si>
  <si>
    <t>-23.5568719189477</t>
  </si>
  <si>
    <t>-46.6948013353158</t>
  </si>
  <si>
    <t>RUA FRADIQUE COUTINHO 2200   NA CALCADA DA EMEF OLAVO PEZZOTI</t>
  </si>
  <si>
    <t>-23.5503646843929</t>
  </si>
  <si>
    <t>-46.6940827749377</t>
  </si>
  <si>
    <t>RUA TAMANAS PROXIMO DA ESQUINA COM A RUA DOS MIRANHAS</t>
  </si>
  <si>
    <t>-23.5596432232354</t>
  </si>
  <si>
    <t>-46.6943393418324</t>
  </si>
  <si>
    <t>RUA JOAO MIGUEL JARRA ESQUINA COM  A RUA DELFINA</t>
  </si>
  <si>
    <t>-23.5551230273661</t>
  </si>
  <si>
    <t>-46.6935431162747</t>
  </si>
  <si>
    <t>RUA DOS JURIS ESQUINA COM A RUA DOS MACURIS</t>
  </si>
  <si>
    <t>-23.5587415754776</t>
  </si>
  <si>
    <t>-46.6966865603831</t>
  </si>
  <si>
    <t>RUA JOAO MOURA ESQUINA COM ARUA IPERO</t>
  </si>
  <si>
    <t>-23.5493301290021</t>
  </si>
  <si>
    <t>-46.6875739308751</t>
  </si>
  <si>
    <t>RUA PROFESSOR NICOLAU DE MORAIS BARROS PROXIMO DA ESQUINA COM A RUA HEITOR PENTEADO</t>
  </si>
  <si>
    <t>-23.5478669562641</t>
  </si>
  <si>
    <t>-46.6869196247564</t>
  </si>
  <si>
    <t>JARDIM CAMBARÁ</t>
  </si>
  <si>
    <t>RUA DOM FRANCISCO CARDOSO AYRES</t>
  </si>
  <si>
    <t>-23.5888515363318</t>
  </si>
  <si>
    <t>-46.7806741470052</t>
  </si>
  <si>
    <t>RUA NICOLAU MADER CRUZAMENTO COM RUA PROFESSORA MARIA OSORIO TEIXEIRA</t>
  </si>
  <si>
    <t>-23.5985137306425</t>
  </si>
  <si>
    <t>-46.7693407007078</t>
  </si>
  <si>
    <t>RUA JOSE CASAS GARCIA ESQUINA COM A RUA ALEXANDRE DE HALES</t>
  </si>
  <si>
    <t>-23.5915414876411</t>
  </si>
  <si>
    <t>-46.7700041096542</t>
  </si>
  <si>
    <t>RUA ARTUR FERREIRA DE ABREU 231</t>
  </si>
  <si>
    <t>-23.5968482538876</t>
  </si>
  <si>
    <t>-46.7686056464544</t>
  </si>
  <si>
    <t>JARDIM JOÃO XXIII</t>
  </si>
  <si>
    <t>RUA FREI LIBERATO DE GRIES 126</t>
  </si>
  <si>
    <t>-23.5894969977787</t>
  </si>
  <si>
    <t>-46.7949492462632</t>
  </si>
  <si>
    <t>RUA ADHERBAL STRESSER 543</t>
  </si>
  <si>
    <t>-23.5937263405796</t>
  </si>
  <si>
    <t>-46.7923207082439</t>
  </si>
  <si>
    <t>RUA MARIA LUISA VERRIER ESQUINA COM A RUA GIUSEPE DE FILIPPI</t>
  </si>
  <si>
    <t>-23.5959388097128</t>
  </si>
  <si>
    <t>-46.7861935126774</t>
  </si>
  <si>
    <t>RUA VALERIANO DE SOUZA ESQUINA COM A RUA JACINTO GONCALVES</t>
  </si>
  <si>
    <t>-23.5866091677317</t>
  </si>
  <si>
    <t>-46.7897863849166</t>
  </si>
  <si>
    <t>RUA BENTO DE BARROS 403</t>
  </si>
  <si>
    <t>-23.6047016871867</t>
  </si>
  <si>
    <t>-46.799101671204</t>
  </si>
  <si>
    <t>RUA CACHOEIRA PORAQUE COM RUA CACHOEIRA VIDA NOVA</t>
  </si>
  <si>
    <t>-23.5866965807404</t>
  </si>
  <si>
    <t>-46.8003863547481</t>
  </si>
  <si>
    <t>RODOVIA RAPOSO TAVARES 8180 INTERIOR DO CONDOMINIO SOLAR DOS PINHEIROS</t>
  </si>
  <si>
    <t>-23.5854313799965</t>
  </si>
  <si>
    <t>-46.7891421288819</t>
  </si>
  <si>
    <t>RUA CANDIDO FONTOURA 401 DENTRO DO CONDOMINIO SOLAR PINHEIROS DEFRONTE A QUADRA DE ESPORTES</t>
  </si>
  <si>
    <t>-23.5849175285663</t>
  </si>
  <si>
    <t>-46.7893843916601</t>
  </si>
  <si>
    <t>RUA GABRIEL DE CARVALHO 333</t>
  </si>
  <si>
    <t>-23.5826737299879</t>
  </si>
  <si>
    <t>-46.7889095895364</t>
  </si>
  <si>
    <t>RUA DOUTOR JOSE BENEDITO VIANA DE MORAES DEFRONTE A RUA DOUTOR MANUEL DE PAIVA RAMOS</t>
  </si>
  <si>
    <t>-23.558881429471</t>
  </si>
  <si>
    <t>-46.7548777823452</t>
  </si>
  <si>
    <t>RUA DOUTOR MANOEL DE PAVIA RAMOS 265</t>
  </si>
  <si>
    <t>-23.5599046764546</t>
  </si>
  <si>
    <t>-46.757096078001</t>
  </si>
  <si>
    <t>RUA DOUTOR HELIO FIDELIS 125</t>
  </si>
  <si>
    <t>-23.5624903040209</t>
  </si>
  <si>
    <t>-46.7561783608866</t>
  </si>
  <si>
    <t>RUA EUSEBIO DE PAULA MARCONDES 1010 NO INTERIOR DO CONDOMINIO RESIDENCIAL JARDIM DABRIL</t>
  </si>
  <si>
    <t>-23.5735217198507</t>
  </si>
  <si>
    <t>-46.7763258609921</t>
  </si>
  <si>
    <t>RUA AMARAL LEMOS 348 ESQUINA COM A RUA PROFESSORA JULIETA CALDAS FERRAZ</t>
  </si>
  <si>
    <t>-23.5692449477137</t>
  </si>
  <si>
    <t>-46.764546433573</t>
  </si>
  <si>
    <t>RUA RAMONDETTI GIACOMO 157 COM RUA TEN NERCIO LEONI</t>
  </si>
  <si>
    <t>-23.5661786786399</t>
  </si>
  <si>
    <t>-46.762731881481</t>
  </si>
  <si>
    <t>RUA DOUTOR FRANCISCO PATI 238</t>
  </si>
  <si>
    <t>-23.5566419640377</t>
  </si>
  <si>
    <t>-46.758559422713</t>
  </si>
  <si>
    <t>RUA NICODEMOS DUTRA ROSA 19 ENTRE A RUA PAULO DE CAMARGO GARTNER E A RUA DOUTOR ILARINO JULIANO</t>
  </si>
  <si>
    <t>-23.5711267433746</t>
  </si>
  <si>
    <t>-46.7778011430375</t>
  </si>
  <si>
    <t>RUA EUSEBIO DE PAULA MARCONDES 493 DEFRONTE A RUA PAULO MARANHAO</t>
  </si>
  <si>
    <t>-23.5769891391932</t>
  </si>
  <si>
    <t>-46.7760500943709</t>
  </si>
  <si>
    <t>RUA JOSE FRANCO SILVA 23 DEFRONTE A ESTRADA DAS CACHOEIRAS</t>
  </si>
  <si>
    <t>-23.5625362012917</t>
  </si>
  <si>
    <t>-46.750581454591</t>
  </si>
  <si>
    <t>AVENIDA GUSTAVO BERTHIER ESQUINA COM A RUA PADRE PAULO CANELLE</t>
  </si>
  <si>
    <t>-23.5630885600564</t>
  </si>
  <si>
    <t>-46.7648271576448</t>
  </si>
  <si>
    <t>RUA PADRE ALARICO ZACARIAS 83</t>
  </si>
  <si>
    <t>-23.5848527635509</t>
  </si>
  <si>
    <t>-46.7559562684948</t>
  </si>
  <si>
    <t>RUA DOUTOR JOAO VIEIRA NEVES ESQUINA COM RUA SILVESTRO LEGA</t>
  </si>
  <si>
    <t>-23.5817283396533</t>
  </si>
  <si>
    <t>-46.7544101071536</t>
  </si>
  <si>
    <t>AVENIDA DO RIO PEQUENO ESQUINA COM A RUA DESEMBARGADOR HOMERO PINHO</t>
  </si>
  <si>
    <t>-23.5710780344458</t>
  </si>
  <si>
    <t>-46.7599693948254</t>
  </si>
  <si>
    <t>RUA OTAVIO PEDREIRO ROSA ESQUINA COM A RUA JOSE DE ANDRADE MACIEL</t>
  </si>
  <si>
    <t>-23.5832253420038</t>
  </si>
  <si>
    <t>-46.7609538277922</t>
  </si>
  <si>
    <t>RUA ANIBAL PEDRO GODINHO ESQUINA COM A RUA DOUTOR PAULO RIBEIRO COELHO</t>
  </si>
  <si>
    <t>-23.5778810057698</t>
  </si>
  <si>
    <t>-46.7615293349559</t>
  </si>
  <si>
    <t>AVENIDA ENGENHEIRO HEITO ANTONIO EIRAS GARCIA ESQUINA COM A RUA LINDA ABUD SIUFI</t>
  </si>
  <si>
    <t>-23.5845001340817</t>
  </si>
  <si>
    <t>-46.7529801289258</t>
  </si>
  <si>
    <t>AVENIDA CORIFEU DE AZEVEDO MARQUES 3507</t>
  </si>
  <si>
    <t>-23.5668503563392</t>
  </si>
  <si>
    <t>-46.7435631397648</t>
  </si>
  <si>
    <t>RUA BALTAZAR RABELO 167  NO INTERIOR DA UBS SAO REMO</t>
  </si>
  <si>
    <t>-23.5633291179479</t>
  </si>
  <si>
    <t>-46.7441621911542</t>
  </si>
  <si>
    <t>AVENIDA SAO REMO ESQUINA COM A RUA BALTAZAR RABELO</t>
  </si>
  <si>
    <t>-23.5640566628083</t>
  </si>
  <si>
    <t>-46.7442010041565</t>
  </si>
  <si>
    <t>AVENIDA OTACILIO TOMANIK ESQUINA COM A RUA DANIEL JOSE PEREIRA</t>
  </si>
  <si>
    <t>-23.576375179804</t>
  </si>
  <si>
    <t>-46.7448242768784</t>
  </si>
  <si>
    <t>AVENIDA SEBASTIAO EUGENIO DE CAMARGO PROXIMO DA ESQUINA COM A RUA PROFESSOR TEOTONIO MONTEIRO DE BARROS FILHO</t>
  </si>
  <si>
    <t>-23.5678799203436</t>
  </si>
  <si>
    <t>-46.7452664259621</t>
  </si>
  <si>
    <t>AVENIDA ALBERTO DE FARIA CARDOSO ESQUINA COM A RUA MARINHA DE MOURA PIMENTA</t>
  </si>
  <si>
    <t>-23.575831707662</t>
  </si>
  <si>
    <t>-46.743105809546</t>
  </si>
  <si>
    <t>AVENIDA OTACILIO TOMANIK ESQUINA COM A TRAVESSA IAPU</t>
  </si>
  <si>
    <t>-23.5735396316608</t>
  </si>
  <si>
    <t>-46.7476228320208</t>
  </si>
  <si>
    <t>AVENIDA NOSSA SENHORA DA ASSUNCAO ESQUINA COM A RUA GENERAL FRANCISCO BORGES DE FARIA</t>
  </si>
  <si>
    <t>-23.5710818714012</t>
  </si>
  <si>
    <t>-46.7443621716872</t>
  </si>
  <si>
    <t>AVENIDA JOSE JOAQUIM SEABRA PROXIMO DA ESQUINA COM A RUA CUNHA MATOS</t>
  </si>
  <si>
    <t>-23.5703771594317</t>
  </si>
  <si>
    <t>-46.7534418173065</t>
  </si>
  <si>
    <t>RUA DOUTOR PAULO NOGUEIRA FILHO ESQUINA COM A AVENIDA CORIFEU DE AZEVEDO MARQUES</t>
  </si>
  <si>
    <t>-23.5658187836389</t>
  </si>
  <si>
    <t>-46.744544114099</t>
  </si>
  <si>
    <t xml:space="preserve">AVENIDA OTACILIO TOMANIK 213 </t>
  </si>
  <si>
    <t>-23.5764864103431</t>
  </si>
  <si>
    <t>-46.7444888133522</t>
  </si>
  <si>
    <t>BELA ALIANÇA</t>
  </si>
  <si>
    <t>RUA GUAIPA ESQUINA COM A RUA CORONEL BOTELHO</t>
  </si>
  <si>
    <t>-23.5212016137158</t>
  </si>
  <si>
    <t>-46.726808810755</t>
  </si>
  <si>
    <t>RUA VISCONDE DE PELOTAS ESQUINA COM A RUA CURUPATTI</t>
  </si>
  <si>
    <t>-23.5231373113015</t>
  </si>
  <si>
    <t>-46.726439068832</t>
  </si>
  <si>
    <t>RUA BARAO DA PASSAGEM ESQUINA COM A RUA RACINE</t>
  </si>
  <si>
    <t>-23.5246983825779</t>
  </si>
  <si>
    <t>-46.723680674799</t>
  </si>
  <si>
    <t>AVENIDA MANUEL BANDEIRA ESQUINA COM AVENIDA JOSE CESAR DE OLIVEIRA</t>
  </si>
  <si>
    <t>-23.5401394939967</t>
  </si>
  <si>
    <t>-46.7327658199786</t>
  </si>
  <si>
    <t>NO INTERIOR DO CEAGESP NA CALCADA OPOSTA AO PREDIO DA FISCALIZACAO</t>
  </si>
  <si>
    <t>-23.5341002187757</t>
  </si>
  <si>
    <t>-46.7369735154715</t>
  </si>
  <si>
    <t>NO INTERIOR DO CEAGESP NO ENTORNO DO PREDIO LEA LOJAS ESCRITORIOS E ADMINISTRACAO</t>
  </si>
  <si>
    <t>-23.5341846018307</t>
  </si>
  <si>
    <t>-46.7359640463016</t>
  </si>
  <si>
    <t>NO INTERIOR DO CEAGESP NO PAVILHA LEA LOJA ESCRITORIOS E ADMINISTRACAO DEFRONTE A PADARIA</t>
  </si>
  <si>
    <t>-23.5334820983849</t>
  </si>
  <si>
    <t>-46.7363915732076</t>
  </si>
  <si>
    <t>NO INTERIOR DO CEAGESP NA CALCADA DO PAVILHAO HFA</t>
  </si>
  <si>
    <t>-23.5329682381151</t>
  </si>
  <si>
    <t>-46.7374685599435</t>
  </si>
  <si>
    <t>NO INTERIOR DO CEAGESP NA CALCADA DO PREDIO FAP</t>
  </si>
  <si>
    <t>-23.5390055245688</t>
  </si>
  <si>
    <t>-46.7378576992437</t>
  </si>
  <si>
    <t>NO INTERIOR DO CEAGESP NA CALCADA DO PAVILHAO AMG  RUA 25</t>
  </si>
  <si>
    <t>-23.5387408785898</t>
  </si>
  <si>
    <t>-46.736130082656</t>
  </si>
  <si>
    <t>NO INTERIOR DO CEAGESP NA CALCADA DO PAVILHAO AME</t>
  </si>
  <si>
    <t>-23.5376503990973</t>
  </si>
  <si>
    <t>-46.7344149717731</t>
  </si>
  <si>
    <t>NO INTERIOR DO CEAGESP NO MEIO DO PAVILHAO AMH RUA 23</t>
  </si>
  <si>
    <t>-23.5385414942568</t>
  </si>
  <si>
    <t>-46.7355665879559</t>
  </si>
  <si>
    <t>NO INTERIOR DO CEAGESP NA CALCADA DO PAVILHAO BPB</t>
  </si>
  <si>
    <t>-23.5369668125922</t>
  </si>
  <si>
    <t>-46.7346503233293</t>
  </si>
  <si>
    <t>NO INTERIOR DA CEAGESP NA CALCADA DO PAVILHAO BPD</t>
  </si>
  <si>
    <t>-23.5377940385775</t>
  </si>
  <si>
    <t>-46.7357232260098</t>
  </si>
  <si>
    <t>NO INTERIOR DO CEAGESP NA CALCADA DO PAVILHAO BPE</t>
  </si>
  <si>
    <t>-23.5381518499852</t>
  </si>
  <si>
    <t>-46.7361614870258</t>
  </si>
  <si>
    <t>NO INTERIOR DO CEAGESP NA CALCADA DO PAVILHAO BPD</t>
  </si>
  <si>
    <t>-23.5376354526167</t>
  </si>
  <si>
    <t>-46.7361220629743</t>
  </si>
  <si>
    <t>-23.5386018729349</t>
  </si>
  <si>
    <t>-46.7373376573317</t>
  </si>
  <si>
    <t>NO INTERIOR DO CEAGESP NA CALCADA DO PAVILHAO BPC</t>
  </si>
  <si>
    <t>-23.5372301896057</t>
  </si>
  <si>
    <t>-46.73568642</t>
  </si>
  <si>
    <t>NO INTERIOR DO CEAGESP NA CALCADA DO PAVILHAO BPC RUA 31</t>
  </si>
  <si>
    <t>-23.5373794796057</t>
  </si>
  <si>
    <t>-46.73518981</t>
  </si>
  <si>
    <t>NO INTERIOR DO CEAGESP NA CALCADA DO PAVILHAO AMF</t>
  </si>
  <si>
    <t>-23.5384318769374</t>
  </si>
  <si>
    <t>-46.7346539966585</t>
  </si>
  <si>
    <t>-23.538168428602</t>
  </si>
  <si>
    <t>-46.7339088306732</t>
  </si>
  <si>
    <t>NO INTERIOR DO CEAGESP NA CALCADA DO PAVILHAO HFM</t>
  </si>
  <si>
    <t>-23.5361142096057</t>
  </si>
  <si>
    <t>-46.73982458</t>
  </si>
  <si>
    <t>NO INTERIOR DO CEAGESP NA CALCADA DO PAVILHAO LEA LOJAS ESCRITORIOS E ADMINISTRACAO AO LADO ESTACIONAMENTO</t>
  </si>
  <si>
    <t>-23.5334190996058</t>
  </si>
  <si>
    <t>-46.73625999</t>
  </si>
  <si>
    <t>NO INTERIOR DO CEAGESP NA CALCADA DO PAVILHAO HFH</t>
  </si>
  <si>
    <t>-23.5347844089448</t>
  </si>
  <si>
    <t>-46.7396962323378</t>
  </si>
  <si>
    <t>NO INTERIOR DO CEAGESP NA CALCADA DO PAVILHAO HFJ</t>
  </si>
  <si>
    <t>-23.5353997472802</t>
  </si>
  <si>
    <t>-46.7404584466707</t>
  </si>
  <si>
    <t>NO INTERIOR DO CEAGESP NA CALCADA DO  PAVILHAO HFD</t>
  </si>
  <si>
    <t>-23.5344565496058</t>
  </si>
  <si>
    <t>-46.73844213</t>
  </si>
  <si>
    <t>NO INTERIOR DO CEAGESP NA CALCADA DO PAVILHAO HFG</t>
  </si>
  <si>
    <t>-23.5349402774454</t>
  </si>
  <si>
    <t>-46.7382633063403</t>
  </si>
  <si>
    <t>NO INTERIOR DO CEAGESP NA CALCADA DO PAVILHAO HFI</t>
  </si>
  <si>
    <t>-23.5355969896057</t>
  </si>
  <si>
    <t>-46.7389515</t>
  </si>
  <si>
    <t>NO INTERIOR DO CEAGESP NA CALCADA DO PREDIO DEPEC DEPARTAMENTO DE ENTREPOSTOS DA CAPITAL RUA 08</t>
  </si>
  <si>
    <t>-23.5354318549301</t>
  </si>
  <si>
    <t>-46.7357391203182</t>
  </si>
  <si>
    <t>NO INTERIOR DO CEAGESP DEFRONTE AO PAVILHAO MLP LADO SUL MARGINAL</t>
  </si>
  <si>
    <t>-23.5384254409276</t>
  </si>
  <si>
    <t>-46.7397369103305</t>
  </si>
  <si>
    <t>NO INTERIOR DO CEAGESP NA CALCADA DO PAVILHAO BPA</t>
  </si>
  <si>
    <t>-23.5366387796057</t>
  </si>
  <si>
    <t>-46.73416861</t>
  </si>
  <si>
    <t>NO INTERIOR DO CEAGESP NA CALCADA DO PAVILHAO BPA RUA 17</t>
  </si>
  <si>
    <t>-23.5364341196057</t>
  </si>
  <si>
    <t>-46.73456475</t>
  </si>
  <si>
    <t>RUA 06 ESQUINA COM A RUA 25 PAVILHA AMC NO INTERIOR DO CEAGESP</t>
  </si>
  <si>
    <t>-23.5376024892752</t>
  </si>
  <si>
    <t>-46.7331903883354</t>
  </si>
  <si>
    <t>NO INTERIOR DO CEAGESP NA CALCADA DO PAVILHAO APE</t>
  </si>
  <si>
    <t>-23.5362074306094</t>
  </si>
  <si>
    <t>-46.7380934523378</t>
  </si>
  <si>
    <t>NO INTERIOR DO CEAGESP NA CALCADA DO PAVILHAO HFD</t>
  </si>
  <si>
    <t>-23.5339626036082</t>
  </si>
  <si>
    <t>-46.7378992759975</t>
  </si>
  <si>
    <t>-23.5339676540513</t>
  </si>
  <si>
    <t>-46.7357741647046</t>
  </si>
  <si>
    <t>NO INTERIOR DO CEAGESP NA CALCADA DO PAVILHAO HFE</t>
  </si>
  <si>
    <t>-23.5343987830588</t>
  </si>
  <si>
    <t>-46.7374522465441</t>
  </si>
  <si>
    <t>NO INTERIOR DO CEAGESP AO LADO DA QUADRA DO PAVILHAO MLP LOCAL DE RECICLAGEM E DESCARTE</t>
  </si>
  <si>
    <t>-23.5387707721524</t>
  </si>
  <si>
    <t>-46.7395044574533</t>
  </si>
  <si>
    <t>EMISSÁRIO</t>
  </si>
  <si>
    <t xml:space="preserve">RUA MAJOR PALADINO 196 NO INTERIOR DO PREDIO DA SABESP </t>
  </si>
  <si>
    <t>-23.5224692753999</t>
  </si>
  <si>
    <t>-46.7404813280213</t>
  </si>
  <si>
    <t>RUA MAJOR PALADINO ESQUINA COM A RUA ITAPURANDA</t>
  </si>
  <si>
    <t>-23.5218503409747</t>
  </si>
  <si>
    <t>-46.7418929657551</t>
  </si>
  <si>
    <t>RUA MAJOR PALADINO 300 DEFRONTE AO ACESSO DA AV ENG ROBERTO ZUCOLO</t>
  </si>
  <si>
    <t>-23.5225234375778</t>
  </si>
  <si>
    <t>-46.7403467475755</t>
  </si>
  <si>
    <t>RUA MAJOR PALADINO ESQUINA COM A RUA SILVA AIROSA</t>
  </si>
  <si>
    <t>-23.5203622079263</t>
  </si>
  <si>
    <t>-46.7438176260575</t>
  </si>
  <si>
    <t>ESTRADA DE VILA JAGUARA ESQUINA COM A RUA GUAIPA</t>
  </si>
  <si>
    <t>-23.5211008192768</t>
  </si>
  <si>
    <t>-46.7321234826709</t>
  </si>
  <si>
    <t>AVENIDA EMBAIXADOR MACEDO SOARES PISTA LOCAL DA MARGINAL TIETE ESQUINA COM A RUA POLICARPO DA CRUZ</t>
  </si>
  <si>
    <t>-23.5190799900846</t>
  </si>
  <si>
    <t>-46.7445337949974</t>
  </si>
  <si>
    <t>VILA HAMBURGUESA</t>
  </si>
  <si>
    <t>AVENIDA DOUTOR GASTAO VIDIGAL ESQUINA COM  A RUA POSTDAM</t>
  </si>
  <si>
    <t>-23.5370743254604</t>
  </si>
  <si>
    <t>-46.7314481458333</t>
  </si>
  <si>
    <t>RUA PAULO FRANCO ESQUINA COM A RUA BRENTANO</t>
  </si>
  <si>
    <t>-23.5333045453426</t>
  </si>
  <si>
    <t>-46.7273458494024</t>
  </si>
  <si>
    <t>RUA CAMPO GRANDE ESQUINA COM A RUA CARLOS WEBER</t>
  </si>
  <si>
    <t>-23.5333905398916</t>
  </si>
  <si>
    <t>-46.7254446098667</t>
  </si>
  <si>
    <t>RUA CARLOS WEBER ESQUINA COM A RUA MANUEL BOLTO</t>
  </si>
  <si>
    <t>-23.5338689808261</t>
  </si>
  <si>
    <t>-46.7248406142246</t>
  </si>
  <si>
    <t>AVENIDA DIOGENES RIBEIRO DE LIMA PROXIMO A ESQUINA COM A RUA PASSO DA PATRIA</t>
  </si>
  <si>
    <t>-23.5315603146881</t>
  </si>
  <si>
    <t>-46.7194461114229</t>
  </si>
  <si>
    <t>RUA KABUL ESQUINA COM RUA ARAUTO</t>
  </si>
  <si>
    <t>-23.5337047463921</t>
  </si>
  <si>
    <t>-46.7231001935648</t>
  </si>
  <si>
    <t>RUA AROABA ESQUINA COM A AVENIDA IMPERATRIZ LEOPOLDINA</t>
  </si>
  <si>
    <t>-23.5329972042472</t>
  </si>
  <si>
    <t>-46.7291090048392</t>
  </si>
  <si>
    <t>RUA LAURO MULLER ESQUINA COM A RUA SCHILING</t>
  </si>
  <si>
    <t>-23.5288295240571</t>
  </si>
  <si>
    <t>-46.725950808037</t>
  </si>
  <si>
    <t>RUA SCHILLING ESQUINA COM A RUA PAULO FRANCO</t>
  </si>
  <si>
    <t>-23.531155341729</t>
  </si>
  <si>
    <t>-46.7293377310777</t>
  </si>
  <si>
    <t>RUA TRIPOLI ESQUINA COM A RUA CARLOS WEBER</t>
  </si>
  <si>
    <t>-23.5263232504102</t>
  </si>
  <si>
    <t>-46.732191834863</t>
  </si>
  <si>
    <t>RUA  NANUQUE 242 ESQ COM A RUA SHILLING</t>
  </si>
  <si>
    <t>-23.5294446725213</t>
  </si>
  <si>
    <t>-46.7273022390773</t>
  </si>
  <si>
    <t>RUA SCHILING ESQUINA COM A RUA CARLOS WEBER</t>
  </si>
  <si>
    <t>-23.5302507290616</t>
  </si>
  <si>
    <t>-46.7285216067377</t>
  </si>
  <si>
    <t>AVENIDA IMPERATRIZ LEOPOLDINA ESQUINA COM A RUA GUAIPA</t>
  </si>
  <si>
    <t>-23.5240127666662</t>
  </si>
  <si>
    <t>-46.7372226263144</t>
  </si>
  <si>
    <t>RUA CARNEIRO DA SILVA ESQUINA COM A RUA COLUMBUS</t>
  </si>
  <si>
    <t>-23.5235921606307</t>
  </si>
  <si>
    <t>-46.7352601014619</t>
  </si>
  <si>
    <t>PRACA DA FELICIDADE PROXIMO A RUA RUBENS GRISOLIA</t>
  </si>
  <si>
    <t>-23.604592000165</t>
  </si>
  <si>
    <t>-46.7398785496462</t>
  </si>
  <si>
    <t>RUA EDUARDO VITORINO EM FRENTE A RUA VICENTE CESAR</t>
  </si>
  <si>
    <t>-23.6109457920682</t>
  </si>
  <si>
    <t>-46.749025350113</t>
  </si>
  <si>
    <t>-23.6055282414439</t>
  </si>
  <si>
    <t>-46.7392670922245</t>
  </si>
  <si>
    <t>JARDIM MARIA DO CARMO</t>
  </si>
  <si>
    <t>RUA JULIETA ESPIRITO SANTO PINHEIRO 30 PROXIMO A ESQUINA DA RUA BERNARDO DOS SANTOS</t>
  </si>
  <si>
    <t>-23.5870225593613</t>
  </si>
  <si>
    <t>-46.7491379801472</t>
  </si>
  <si>
    <t>RUA JULIETA ESPIRITO SANTO PINHEIRO 256</t>
  </si>
  <si>
    <t>-23.5887050268917</t>
  </si>
  <si>
    <t>-46.74883617515</t>
  </si>
  <si>
    <t>RODOVIA RAPOSO TAVARES 3175 NA ENTRADA DO CONDOMINIO</t>
  </si>
  <si>
    <t>-23.5859149246206</t>
  </si>
  <si>
    <t>-46.7460464698683</t>
  </si>
  <si>
    <t>RUA BASILIO LEVI ESQUINA COM A RUA WALTER BRITTO BELLETTI</t>
  </si>
  <si>
    <t>-23.5889338073531</t>
  </si>
  <si>
    <t>-46.7539434297854</t>
  </si>
  <si>
    <t>AVENIDA DR EZEQUIEL CAMPOS DIAS PROXIMO A RUA FREI ANTONIO DA PIEDADE</t>
  </si>
  <si>
    <t>-23.6009525288339</t>
  </si>
  <si>
    <t>-46.7499626963807</t>
  </si>
  <si>
    <t>RUA DOUTOR ULPIANO DA COSTA MANSO ESQUINA COM A RUA JUNTA MIZUMOTO</t>
  </si>
  <si>
    <t>-23.5890568283211</t>
  </si>
  <si>
    <t>-46.7376219071772</t>
  </si>
  <si>
    <t>RUA TELMO COELHO FILHO PROXIMO A ENTRADA DO PARQUE RAPOSO TAVARES</t>
  </si>
  <si>
    <t>-23.5881103967592</t>
  </si>
  <si>
    <t>-46.7560411681116</t>
  </si>
  <si>
    <t>RUA BENVENUTO CELLINI 172 DEFRONTE A RUA CINCO FOLHAS</t>
  </si>
  <si>
    <t>-23.5930313676893</t>
  </si>
  <si>
    <t>-46.7456267236669</t>
  </si>
  <si>
    <t>PORTAL DO MORUMBI</t>
  </si>
  <si>
    <t>AVENIDA JOSE MARIA DA SILVA PARANHOS EM FRENTE AVENIDA CLAUDIO FRANCHI</t>
  </si>
  <si>
    <t>-23.6050294278772</t>
  </si>
  <si>
    <t>-46.7356725645637</t>
  </si>
  <si>
    <t>PRACA DA RESSURREICAO PROXIMO A AVENIDA FREI MACARIO DE SAO JOAO</t>
  </si>
  <si>
    <t>-23.6050374070636</t>
  </si>
  <si>
    <t>-46.7315555036557</t>
  </si>
  <si>
    <t>RUA FRANCISCO PRETO ENTRE A RUA FREI BONIFACIO DUX E RUA PANONIA</t>
  </si>
  <si>
    <t>-23.6020964137411</t>
  </si>
  <si>
    <t>-46.7274750779186</t>
  </si>
  <si>
    <t>AVENIDA PROFESSOR GOIA MARTINS NO FINAL SEM SAIDA</t>
  </si>
  <si>
    <t>-23.6046280453618</t>
  </si>
  <si>
    <t>-46.7334934193715</t>
  </si>
  <si>
    <t>RUA CORDEIROPOLIS ESQUINA COM A RUA DIAS VIEIRA</t>
  </si>
  <si>
    <t>-23.5961666262228</t>
  </si>
  <si>
    <t>-46.7304812259228</t>
  </si>
  <si>
    <t>RUA CORGIE ASSAD ABDALLA</t>
  </si>
  <si>
    <t>-23.5977060031398</t>
  </si>
  <si>
    <t>-46.720448400051</t>
  </si>
  <si>
    <t>RUA MANDISSUNUNGA</t>
  </si>
  <si>
    <t>-23.5907481452992</t>
  </si>
  <si>
    <t>-46.7273113432403</t>
  </si>
  <si>
    <t>AVENIDA PROFESSOR FRANCISCO MORATO ESQUINA COM RUA JOSE VALTER SENG</t>
  </si>
  <si>
    <t>-23.5940009896733</t>
  </si>
  <si>
    <t>-46.7365146824785</t>
  </si>
  <si>
    <t>RUA CEL OVATIANO DA SILVEIRA ESQUINA COM RUA ATTILIO REGULO ARENA</t>
  </si>
  <si>
    <t>-23.591186425524</t>
  </si>
  <si>
    <t>-46.7369917407606</t>
  </si>
  <si>
    <t xml:space="preserve"> RUA CORGIE ASSAD ADDALIA ESQUINA COM A RUA LESSIA UKRAINKA</t>
  </si>
  <si>
    <t>-23.5963910467252</t>
  </si>
  <si>
    <t>-46.7246749987032</t>
  </si>
  <si>
    <t>RUA NILZA MEDEIROS MARTINS DEFRONTE A RUA JUDITH PASSALD ESTEVES</t>
  </si>
  <si>
    <t>-23.5992481569067</t>
  </si>
  <si>
    <t>-46.7312309092685</t>
  </si>
  <si>
    <t>AVENIDA PROFESSOR GIOIA MARTINS ESQUINA COM A RUA PROFESSOR DIAS CASTEJON</t>
  </si>
  <si>
    <t>2021-08-26</t>
  </si>
  <si>
    <t>-23.5980708901792</t>
  </si>
  <si>
    <t>-46.7375760493781</t>
  </si>
  <si>
    <t>AVENIDA PROFESSOR FRANCISCO MORATO PROXIMO DA ESQUINA DA RUA MANOEL JACINTO</t>
  </si>
  <si>
    <t>-23.5890248460755</t>
  </si>
  <si>
    <t>-46.7283945967957</t>
  </si>
  <si>
    <t>RUA DAVID MATARASSO ESQUINA COM A AVENIDA FRANCISCO MORATO</t>
  </si>
  <si>
    <t>-23.5983755351468</t>
  </si>
  <si>
    <t>-46.7407350313931</t>
  </si>
  <si>
    <t>RUA TAVARES VILELA ESQUINA COM A RUA CENOBELINO SERRA</t>
  </si>
  <si>
    <t>-23.5864389841289</t>
  </si>
  <si>
    <t>-46.7293519607143</t>
  </si>
  <si>
    <t>AVENIDA GENERAL FRANCISCO MORAZAN ESQUINA COM AVENIDA PROFESSOR FRANCISCO MORATO</t>
  </si>
  <si>
    <t>-23.5923879248062</t>
  </si>
  <si>
    <t>-46.7319125340867</t>
  </si>
  <si>
    <t>RUA EDEN DEFRONTE A RUA PARNAIBA</t>
  </si>
  <si>
    <t>-23.589750666584</t>
  </si>
  <si>
    <t>-46.7269767712148</t>
  </si>
  <si>
    <t>RUA RUI PINTO ESQUINA COM A RUA ASCENCIO RIBEIRO</t>
  </si>
  <si>
    <t>-23.5978497639619</t>
  </si>
  <si>
    <t>-46.7267185813002</t>
  </si>
  <si>
    <t>RUA MANOEL JACINTO ESQUINA COM A RUA DOUTOR ANTONIO BARBOSA BUENO</t>
  </si>
  <si>
    <t>-23.5940301266699</t>
  </si>
  <si>
    <t>-46.727766678683</t>
  </si>
  <si>
    <t>RUA DIAS VIEIRA 564 ESQUINA COM A RUA ANDRE SARAIVA</t>
  </si>
  <si>
    <t>-23.5969380877319</t>
  </si>
  <si>
    <t>-46.7342982924806</t>
  </si>
  <si>
    <t>RUA MINISTRO HEITOS BASTOS TIGRE 241 ESQUINA COM A RUA LUIS ARAUJO FARIA</t>
  </si>
  <si>
    <t>-23.6014945495928</t>
  </si>
  <si>
    <t>-46.740367502617</t>
  </si>
  <si>
    <t>RUA DOUTOR SILVIO DANTE BERTACCHI 832 834 DEFRONTE A RUA DOUTOR JOAO JOSE DE CARVALHO</t>
  </si>
  <si>
    <t>-23.5998130645553</t>
  </si>
  <si>
    <t>-46.7333961136606</t>
  </si>
  <si>
    <t>CAMPO BELO</t>
  </si>
  <si>
    <t>RUA BARAO DE GOIANIA ESQUINA A AVENIDA WASHINGTON LUIS</t>
  </si>
  <si>
    <t>-23.6245847482563</t>
  </si>
  <si>
    <t>-46.6620149516875</t>
  </si>
  <si>
    <t>AVENIDA WASHINGTON LUIS ESQUINA COM A RUA VISCONDE DE AGUIAR TOLEDO</t>
  </si>
  <si>
    <t>-23.6214443397584</t>
  </si>
  <si>
    <t>-46.6620747431085</t>
  </si>
  <si>
    <t>RUA BARAO DE SANTA BRANCA ESQUINA COM A RUA REPUBLICA DO IRAQUE</t>
  </si>
  <si>
    <t>-23.6183487748262</t>
  </si>
  <si>
    <t>-46.6657220197889</t>
  </si>
  <si>
    <t>RUA DEMOSTENES ESQUINA COM A RUA CONSTANTINO DE SOUZA</t>
  </si>
  <si>
    <t>-23.6170713402588</t>
  </si>
  <si>
    <t>-46.6731275828497</t>
  </si>
  <si>
    <t>AVENIDA VEREADOR JOSE DINIZ ESQUINA COM A RUA OTAVIO TARQUINO DE SOUZA</t>
  </si>
  <si>
    <t>-23.6148541965092</t>
  </si>
  <si>
    <t>-46.6724805108196</t>
  </si>
  <si>
    <t>RUA CONDE DE IPANEMA ESQUINA COM A RUA VISCONDE DE CASTRO</t>
  </si>
  <si>
    <t>-23.617185805722</t>
  </si>
  <si>
    <t>-46.6650216761645</t>
  </si>
  <si>
    <t>RUA ALVARO NUNES ESQUINA COM RUA VISCONDE DE AGUIAR TOLEDO</t>
  </si>
  <si>
    <t>-23.6218509173965</t>
  </si>
  <si>
    <t>-46.6647597189858</t>
  </si>
  <si>
    <t>RUA ACRUAS ESQUINA COM A RUA ALVARO NUNES</t>
  </si>
  <si>
    <t>-23.6225574942407</t>
  </si>
  <si>
    <t>-46.6647888254526</t>
  </si>
  <si>
    <t>AVENIDA SANTO AMARO ESQUINA COM A RUA GUARARAPES</t>
  </si>
  <si>
    <t>-23.6138520792792</t>
  </si>
  <si>
    <t>-46.6784138926772</t>
  </si>
  <si>
    <t>RUA BARAO DE BELA VISTA ESQUINA COM A RUA BARAO DE GOIANIA</t>
  </si>
  <si>
    <t>-23.6243700426991</t>
  </si>
  <si>
    <t>-46.6625123075985</t>
  </si>
  <si>
    <t>RUA VISCONDE DE CASTRO PROXIMO AVENIDA WASHINGTON LUIS   AO LADO DA ANTENA DE CELLULAR</t>
  </si>
  <si>
    <t>-23.6181071147241</t>
  </si>
  <si>
    <t>-46.6624832990062</t>
  </si>
  <si>
    <t>RUA STELA MARINA ESQUINA COM A RUA COMENDADOR EDUARADO SACCAB</t>
  </si>
  <si>
    <t>-23.6109292030396</t>
  </si>
  <si>
    <t>-46.6754000766136</t>
  </si>
  <si>
    <t>RUA MORAIS DE BARROS ESQUINA COM A RUA REPUBLICA DO IRAQUE</t>
  </si>
  <si>
    <t>-23.6201952265891</t>
  </si>
  <si>
    <t>-46.6670680623813</t>
  </si>
  <si>
    <t>CONGONHAS</t>
  </si>
  <si>
    <t>PRACA COMANDANTE LINEU GOMES 146 EM FRENTE A GOL LINHAS AEREAS</t>
  </si>
  <si>
    <t>-23.629033364806</t>
  </si>
  <si>
    <t>-46.6607727244031</t>
  </si>
  <si>
    <t>AVENIDA JURANDIR DEFRONTE RUA JOAQUIM NUNES MACHADO</t>
  </si>
  <si>
    <t>-23.6249845532228</t>
  </si>
  <si>
    <t>-46.6530706791405</t>
  </si>
  <si>
    <t>JARDIM AEROPORTO</t>
  </si>
  <si>
    <t>AVENIDA SANTA CATARINA ESQUINA COM A RUA ITAGYBA SANTIAGO</t>
  </si>
  <si>
    <t>-23.6394666133943</t>
  </si>
  <si>
    <t>-46.6689632846943</t>
  </si>
  <si>
    <t>RUA RODES ESQUINA COM A RUA SANTA CATARINA</t>
  </si>
  <si>
    <t>-23.6419572743342</t>
  </si>
  <si>
    <t>-46.6664944489529</t>
  </si>
  <si>
    <t>AVENIDA JONIA ESQUINA COM A RUA HELADE</t>
  </si>
  <si>
    <t>-23.6399696251883</t>
  </si>
  <si>
    <t>-46.6664727482511</t>
  </si>
  <si>
    <t>RUA MARATONA ESQUINA COM A RUA PALACETE DAS AGUIAS</t>
  </si>
  <si>
    <t>-23.6412129728502</t>
  </si>
  <si>
    <t>-46.6694153497827</t>
  </si>
  <si>
    <t>RUA FREIRE FARTO ESQUINA COM A RUA ORLANDO MURGEL</t>
  </si>
  <si>
    <t>-23.6386472557631</t>
  </si>
  <si>
    <t>-46.6512857694364</t>
  </si>
  <si>
    <t>AVENIDA PEDRO BUENO ESQUINA COM A RUA DESEMBARGADOR ALIPIO BASTOS</t>
  </si>
  <si>
    <t>-23.6361403847196</t>
  </si>
  <si>
    <t>-46.6504605586492</t>
  </si>
  <si>
    <t>AVENIDA JONIA ESQUINA COM A RUA DOUTOR ABELARDO VERGUEIRO CESAR</t>
  </si>
  <si>
    <t>-23.6369883415895</t>
  </si>
  <si>
    <t>-46.6696734927552</t>
  </si>
  <si>
    <t>RUA CONDE LA HURE</t>
  </si>
  <si>
    <t>-23.6339180216859</t>
  </si>
  <si>
    <t>-46.6593993717276</t>
  </si>
  <si>
    <t>RUA VIAZA ESQUINA COM A RUA MARILIA DE DIRCEU</t>
  </si>
  <si>
    <t>-23.6332406065223</t>
  </si>
  <si>
    <t>-46.6660265580781</t>
  </si>
  <si>
    <t>JOAQUIM NABUCO</t>
  </si>
  <si>
    <t>RUA CRISTOVAO PEREIRA PROXIMO DA ESQUINA COM A RUA BERNARDINO DE CAMPOS</t>
  </si>
  <si>
    <t>-23.6304006536505</t>
  </si>
  <si>
    <t>-46.6738442347888</t>
  </si>
  <si>
    <t>AVENIDA VEREADOR JOSE DINIZ ESQUINA COM A RUA BERNARDINO DE CAMPOS</t>
  </si>
  <si>
    <t>-23.6239725324345</t>
  </si>
  <si>
    <t>-46.6816453520343</t>
  </si>
  <si>
    <t>RUA LAPLACE ESQUINA COM A RUA CONDE DE PORTO ALEGRE</t>
  </si>
  <si>
    <t>-23.6289537088174</t>
  </si>
  <si>
    <t>-46.68016161477</t>
  </si>
  <si>
    <t>RUA VICENTE LEPORACE ESQUINA COM A RUA LAPLACE</t>
  </si>
  <si>
    <t>-23.6319092830066</t>
  </si>
  <si>
    <t>-46.6765070262972</t>
  </si>
  <si>
    <t>RUA BERNARDINO DE CAMPOS ESQUINA COM A RUA ANTONIO MACEDO SOARES</t>
  </si>
  <si>
    <t>-23.6261496205657</t>
  </si>
  <si>
    <t>-46.6789928163326</t>
  </si>
  <si>
    <t>RUA CONSTANTINO DE SOUZA ESQUINA COM A RUA JOAQUIM NABUCO</t>
  </si>
  <si>
    <t>-23.6258317236427</t>
  </si>
  <si>
    <t>-46.6815404392758</t>
  </si>
  <si>
    <t>RUA LAPLACE ESQUINA COM A RUA PALMARES</t>
  </si>
  <si>
    <t>-23.6350739837141</t>
  </si>
  <si>
    <t>-46.672482254717</t>
  </si>
  <si>
    <t>RUA DA PRATA ESQUINA COM A RUA MESON</t>
  </si>
  <si>
    <t>-23.6301404131901</t>
  </si>
  <si>
    <t>-46.6830475368447</t>
  </si>
  <si>
    <t>AVENIDA PROFESSOR VICENTE RAO ESQUINA COM A RUA PROFESSOR JOAO BATISTA DE CASTRO</t>
  </si>
  <si>
    <t>-23.6418248627101</t>
  </si>
  <si>
    <t>-46.6743130904019</t>
  </si>
  <si>
    <t>RUA TIBIRICA ESQUINA COM A RUA TOME PORTES</t>
  </si>
  <si>
    <t>-23.6359279984982</t>
  </si>
  <si>
    <t>-46.6761504549279</t>
  </si>
  <si>
    <t>RUA PALMARES ESQUINA COM RUA TOME FORTES</t>
  </si>
  <si>
    <t>-23.6370725931373</t>
  </si>
  <si>
    <t>-46.674247536461</t>
  </si>
  <si>
    <t>RUA VICENTE LEPORACE ESQUINA COM A RUA BERNARDINO DE CAMPOS</t>
  </si>
  <si>
    <t>-23.6295984624671</t>
  </si>
  <si>
    <t>-46.6742649850125</t>
  </si>
  <si>
    <t>RUA DO MESON ESQUINA COM A AVENIDA PROFESSOR VICENTE RAO</t>
  </si>
  <si>
    <t>-23.6309276657347</t>
  </si>
  <si>
    <t>-46.6830722066408</t>
  </si>
  <si>
    <t>RUA TIBIRICA ESQUINA COM A AVENIDA PROFESSOR VICENTE RAO</t>
  </si>
  <si>
    <t>-23.636928749386</t>
  </si>
  <si>
    <t>-46.677126020537</t>
  </si>
  <si>
    <t>RUA REPUBLICA DO IRAQUE ESQUINA COM A RUA PASCAL</t>
  </si>
  <si>
    <t>-23.6224389658487</t>
  </si>
  <si>
    <t>-46.6691693496462</t>
  </si>
  <si>
    <t>RUA CRISTOVAO PEREIRA 1009</t>
  </si>
  <si>
    <t>-23.6293588088475</t>
  </si>
  <si>
    <t>-46.6728919847369</t>
  </si>
  <si>
    <t>RUA TAPES ESQUINA COM AVENIDA WASHINGTON LUIS</t>
  </si>
  <si>
    <t>-23.6299384491845</t>
  </si>
  <si>
    <t>-46.6684952285006</t>
  </si>
  <si>
    <t>RUA VIEIRA DE MORAES ESQUINA COM AVENIDA VEREADOR JOSE DINIZ</t>
  </si>
  <si>
    <t>-23.6182590876947</t>
  </si>
  <si>
    <t>-46.6764165307706</t>
  </si>
  <si>
    <t>AVENIDA WASHINGTON LUIZ 6055</t>
  </si>
  <si>
    <t>-23.6285783800282</t>
  </si>
  <si>
    <t>-46.6648681753585</t>
  </si>
  <si>
    <t>RUA REPUBLICA DO IRAQUE ESQUINA COM A RUA EDSON</t>
  </si>
  <si>
    <t>-23.6251497842744</t>
  </si>
  <si>
    <t>-46.6717121067512</t>
  </si>
  <si>
    <t>RUA CASIMIRO DE ABREU ESQUINA RUA CATAGUAS</t>
  </si>
  <si>
    <t>-23.6280569768156</t>
  </si>
  <si>
    <t>-46.6697784563974</t>
  </si>
  <si>
    <t>RUA CRISTOVAO PEREIRA ESQUINA COM A RUA CONCEICAO MARCONDES SILVA</t>
  </si>
  <si>
    <t>-23.6260675330438</t>
  </si>
  <si>
    <t>-46.6695651452498</t>
  </si>
  <si>
    <t>RUA EDSON ESQUINA COM A AVENIDA VEREADOR JOSE DINIZ</t>
  </si>
  <si>
    <t>-23.6201876167627</t>
  </si>
  <si>
    <t>-46.677502324543</t>
  </si>
  <si>
    <t>RUA PADRE LEONARDO ESQUINA COM A RUA BRAZ ARZAO</t>
  </si>
  <si>
    <t>-23.6284936124731</t>
  </si>
  <si>
    <t>-46.666159433122</t>
  </si>
  <si>
    <t>RUA VIEIRA DE MORAES ESQUINA COM A RUA BARAO DE JACEGUAI</t>
  </si>
  <si>
    <t>-23.6199754820818</t>
  </si>
  <si>
    <t>-46.6747343496966</t>
  </si>
  <si>
    <t>RUA  DOUTOR JESUINO MACIEL ESQUINA COM A RUA NOEL TOREZIN</t>
  </si>
  <si>
    <t>-23.6195588476428</t>
  </si>
  <si>
    <t>-46.6718033755617</t>
  </si>
  <si>
    <t>RUA ALVARO LUIS ROBERTO DE ASSUMPCAO ESQUINA COM RUA BARAO DO TRIUNFO</t>
  </si>
  <si>
    <t>-23.6184061413057</t>
  </si>
  <si>
    <t>-46.6779729128685</t>
  </si>
  <si>
    <t>AVENIDA VIEIRA DE MORAES ESQUINA COM RUA ESTEVAO DE BAIAO</t>
  </si>
  <si>
    <t>-23.6258279877363</t>
  </si>
  <si>
    <t>-46.6671646440093</t>
  </si>
  <si>
    <t>RUA VOLTA REDONDA ESQUINA COM A RUA ZACARIAS DE GOES</t>
  </si>
  <si>
    <t>-23.6258984103651</t>
  </si>
  <si>
    <t>-46.6742850709108</t>
  </si>
  <si>
    <t>RUA VICENTE LEPORACE ESQUIN COM A RUA BRIGADEIRO GODOFREDO VIDAL</t>
  </si>
  <si>
    <t>-23.6230485164057</t>
  </si>
  <si>
    <t>-46.668243111466</t>
  </si>
  <si>
    <t>RUA PRINCESA ISABEL ESQUINA COM A RUA ALVARO LUIS ROBERTO DE ASSUMPCAO</t>
  </si>
  <si>
    <t>-23.6179438238386</t>
  </si>
  <si>
    <t>-46.6790391999186</t>
  </si>
  <si>
    <t>RUA BARAO DO TRIUNFO ESQUINA COM A RUA ALVARO LUIS ROBERTO DE ASSUMPCAO</t>
  </si>
  <si>
    <t>-23.6186776276417</t>
  </si>
  <si>
    <t>-46.6782320157352</t>
  </si>
  <si>
    <t>RUA CONDE DE PORTO ALEGRE ESQUINA COM A RUA VIEIRA MORAES</t>
  </si>
  <si>
    <t>-23.6213116029803</t>
  </si>
  <si>
    <t>-46.6726046480308</t>
  </si>
  <si>
    <t>RUA ALVARO LUIS ROBERTO DE ASSUNCAO ESQUINA COM A AVENIDA VEREADOR JOSE DINIZ</t>
  </si>
  <si>
    <t>-23.6192891308109</t>
  </si>
  <si>
    <t>-46.677343297796</t>
  </si>
  <si>
    <t>RUA PASCAL ESQUINA COM A AVENIDA VEREADOR JOSE DINIZ</t>
  </si>
  <si>
    <t>-23.6179981796759</t>
  </si>
  <si>
    <t>-46.6754408434917</t>
  </si>
  <si>
    <t>CAMPO GRANDE</t>
  </si>
  <si>
    <t>RUA DO SHOPPING INTERLAGOS PROXIMO A AVENIDA INTERLAGOS</t>
  </si>
  <si>
    <t>-23.6774011385299</t>
  </si>
  <si>
    <t>-46.6774300702601</t>
  </si>
  <si>
    <t>AVENIDA JOAO PEIXOTO VIEGAS PROXIMO A RUA ANTONIO ZOURO</t>
  </si>
  <si>
    <t>-23.6691451063552</t>
  </si>
  <si>
    <t>-46.6769104631486</t>
  </si>
  <si>
    <t>RUA ORESTES BARBOSA ESQUINA COM A RUA JOSE MARIA DE ABREU</t>
  </si>
  <si>
    <t>-23.6885290762547</t>
  </si>
  <si>
    <t>-46.6775455274175</t>
  </si>
  <si>
    <t>RUA SAO FRANCISCO XAVIER ESQUINA COM A RUA SAO ESTANISLAU</t>
  </si>
  <si>
    <t>-23.6842140745007</t>
  </si>
  <si>
    <t>-46.6788079349867</t>
  </si>
  <si>
    <t>AVENIDA NOSSA SENHORA DO SABARA ESQUINA COM A RUA JOAQUIM NEVES MONTEIRO</t>
  </si>
  <si>
    <t>-23.6868357230266</t>
  </si>
  <si>
    <t>-46.680699308579</t>
  </si>
  <si>
    <t>RUA MATILDE DIEZ PROXIMO A RUA JOSEF GREGOR</t>
  </si>
  <si>
    <t>-23.6721082051612</t>
  </si>
  <si>
    <t>-46.6703574300265</t>
  </si>
  <si>
    <t>RUA DOUTOR JACQUES TUPINAMBA ESQUINA COM RUA ZIKE TUMA</t>
  </si>
  <si>
    <t>-23.6910887788638</t>
  </si>
  <si>
    <t>-46.6749912594929</t>
  </si>
  <si>
    <t>AVENIDA JOAO BATISTA DI VITORIANO ESQUINA COM A RUA MIGUEL RIBEIRO</t>
  </si>
  <si>
    <t>-23.6712084308982</t>
  </si>
  <si>
    <t>-46.6738129392394</t>
  </si>
  <si>
    <t>RUA BORBA PEREIRA DEFRONTE A RUA LAURINDO DE AZEVEDO MARQUES PROXIMO A ESQUINA COM A RUA CARUTAPERAZ</t>
  </si>
  <si>
    <t>-23.6869488299626</t>
  </si>
  <si>
    <t>-46.676064720046</t>
  </si>
  <si>
    <t>AVENIDA JOAO PEIXOTO VIEGAS PROXIMO A RUA MANOEL VAZ</t>
  </si>
  <si>
    <t>-23.6722068474486</t>
  </si>
  <si>
    <t>-46.6764672929654</t>
  </si>
  <si>
    <t>RUA ORLANDO PINTO RIBEIRO DEFRONTE A RUA BALTHAZAR FIGUEIREDO DE ALMEIDA</t>
  </si>
  <si>
    <t>-23.6797600415622</t>
  </si>
  <si>
    <t>-46.682953509994</t>
  </si>
  <si>
    <t>JURUBATUBA</t>
  </si>
  <si>
    <t>RUA PROFESSORA  MARIA DE LURDES DE S. NOGUEIRA ESQUINA COM RUA DOS MARIANOS</t>
  </si>
  <si>
    <t>-23.6769939517118</t>
  </si>
  <si>
    <t>-46.6911767336822</t>
  </si>
  <si>
    <t>RUA AMOIPIRA ESQUINA COM AVENIDA NOSSA SENHORA DO SABARA</t>
  </si>
  <si>
    <t>-23.6687369424991</t>
  </si>
  <si>
    <t>-46.6895673285672</t>
  </si>
  <si>
    <t>AVENIDA NOSSA SENHORA DO SABARA ESQUINA COM A RUA ARISTEU DIAS LEME</t>
  </si>
  <si>
    <t>-23.6734938492871</t>
  </si>
  <si>
    <t>-46.6866649350236</t>
  </si>
  <si>
    <t>AVENIDA DAS NACOES UNIDAS 21314 PROXIMO A RUA DOUTOR ALVARO GOMES DOS REIS</t>
  </si>
  <si>
    <t>-23.667854048243</t>
  </si>
  <si>
    <t>-46.7060083189024</t>
  </si>
  <si>
    <t>AVENIDA SALIM ANTONIO CURIATI ESQUINA COM AVENIDA ENGENHEIRO ALBERTO DE ZAGOTTIS</t>
  </si>
  <si>
    <t>-23.6719561311494</t>
  </si>
  <si>
    <t>-46.6964957203777</t>
  </si>
  <si>
    <t>AVENIDA DAS NACOES UNIDAS 21732 PROXIMO A RUA ROSA GALVAO BUENO</t>
  </si>
  <si>
    <t>-23.6719234570581</t>
  </si>
  <si>
    <t>-46.7028869342638</t>
  </si>
  <si>
    <t>AVENIDA DAS NACOES UNIDAS (VIA PROFESSOR SIMAO FAIGUENBOIM)  DEFRONTE A RUA ARNALDO MAGNICCARO  NO CANTEIRO CENTRAL DA AVENIDA</t>
  </si>
  <si>
    <t>-23.6774117092466</t>
  </si>
  <si>
    <t>-46.6974898743966</t>
  </si>
  <si>
    <t>RUA IGATI PROXIMO A RUA ANDAQUARA</t>
  </si>
  <si>
    <t>-23.6645960162755</t>
  </si>
  <si>
    <t>-46.6940235551705</t>
  </si>
  <si>
    <t>AVENIDA ENGENHEIRO EUSEBIO STEVAUX ESQUINA COM AVENIDA INTERLAGOS</t>
  </si>
  <si>
    <t>-23.6828198246743</t>
  </si>
  <si>
    <t>-46.6907873382927</t>
  </si>
  <si>
    <t>RUA UBATU MIRIM ESQUINA COM RUA ARNALDO MAGNICCARO</t>
  </si>
  <si>
    <t>-23.6746379122702</t>
  </si>
  <si>
    <t>-46.6868968192405</t>
  </si>
  <si>
    <t>RUA ARNALDO MAGNICCARO ESQUINA COM A AVENIDA NOSSA SENHORA DO SABARA</t>
  </si>
  <si>
    <t>-23.6739625409923</t>
  </si>
  <si>
    <t>-46.68646944647</t>
  </si>
  <si>
    <t>RUA UNA DA ALDEIA ESQUINA COM RUA SOBRALIA</t>
  </si>
  <si>
    <t>-23.6730846942204</t>
  </si>
  <si>
    <t>-46.6892816816005</t>
  </si>
  <si>
    <t>RUA ANDAQUARA ESQUINA COM RUA BIRITIBA</t>
  </si>
  <si>
    <t>-23.6630125575755</t>
  </si>
  <si>
    <t>-46.6937225535049</t>
  </si>
  <si>
    <t>RUA DOUTOR ARMANDO DA SILVA PRADO ESQUINA COM TRAVESSA CIDADE COLONIAL</t>
  </si>
  <si>
    <t>-23.6610078848946</t>
  </si>
  <si>
    <t>-46.6980896544256</t>
  </si>
  <si>
    <t>RUA DAPHNE TORRE NATALE PROXIMO A RUA SOCRATES</t>
  </si>
  <si>
    <t>-23.6593353851846</t>
  </si>
  <si>
    <t>-46.6924302434739</t>
  </si>
  <si>
    <t>RUA GALENO DE CASTRO ESQUINA COM A RUA LUIS ALVES CARVALHO</t>
  </si>
  <si>
    <t>-23.663792497275</t>
  </si>
  <si>
    <t>-46.7059787111724</t>
  </si>
  <si>
    <t>RUA PROFESSOARA MARIA DE LURDES DE SOUZA NOGUEIRA ESQUINA COM RUA GERALDO PACHECO VALENTE</t>
  </si>
  <si>
    <t>-23.6761594474589</t>
  </si>
  <si>
    <t>-46.688709213139</t>
  </si>
  <si>
    <t>RUA ITABAPOAMA ESQUINA COM RUA BEIJUI</t>
  </si>
  <si>
    <t>-23.6680184621925</t>
  </si>
  <si>
    <t>-46.6920901741893</t>
  </si>
  <si>
    <t>RUA TAQUAPACA ESQUINA COM A RUA PROFESSORA  MARIA DE LURDES DE S. NOGUEIRA</t>
  </si>
  <si>
    <t>-23.6773434740701</t>
  </si>
  <si>
    <t>-46.6914644081908</t>
  </si>
  <si>
    <t>VIA PROFESSOR SIMAO FAIGUENBOIN 24134</t>
  </si>
  <si>
    <t>-23.6805912353465</t>
  </si>
  <si>
    <t>-46.6954891182161</t>
  </si>
  <si>
    <t>RUA DOS MARIANOS ESQUINA COM A RUA ARNALDO MAGNICCARO</t>
  </si>
  <si>
    <t>-23.6748903401892</t>
  </si>
  <si>
    <t>-46.6917402360031</t>
  </si>
  <si>
    <t>VILA SABARÁ</t>
  </si>
  <si>
    <t>AVENIDA NOSSA SENHORA DO SABARA PROXIMO A RUA JOSE MARTINS COELHO</t>
  </si>
  <si>
    <t>-23.6910895095242</t>
  </si>
  <si>
    <t>-46.6781362515478</t>
  </si>
  <si>
    <t>RUA JOAQUIM GONCALVES DA SILVA NO FINAL DA RUA SEM SAIDA</t>
  </si>
  <si>
    <t>-23.6918695439656</t>
  </si>
  <si>
    <t>-46.6797285362782</t>
  </si>
  <si>
    <t>VILA SÃO PEDRO</t>
  </si>
  <si>
    <t>AVENIDA NOSSA SENHORA DO SABARA ESQUINA COM AVENIDA INTERLAGOS</t>
  </si>
  <si>
    <t>-23.6783464253409</t>
  </si>
  <si>
    <t>-46.684752684036</t>
  </si>
  <si>
    <t>RUA MINISTRO ALVARO DE SOUZA LIMA 253 NO INTERIOR DO CONODOMINIO RESIDENCIAL VILAS DE SAO PAULO</t>
  </si>
  <si>
    <t>-23.658494310989</t>
  </si>
  <si>
    <t>-46.6828071232885</t>
  </si>
  <si>
    <t>RUA SARGENTO GERALDO SANTANNA 998</t>
  </si>
  <si>
    <t>-23.6634766510383</t>
  </si>
  <si>
    <t>-46.6819293100565</t>
  </si>
  <si>
    <t>AVENIDA SARGENTO GERALDO SANTANA 683 NO INTERIOR DO CONDOMINIO BOSQUES DO SUL</t>
  </si>
  <si>
    <t>-23.6630904929803</t>
  </si>
  <si>
    <t>-46.6840653332871</t>
  </si>
  <si>
    <t>RUA SANTO ALBERTO ESQUINA COM A RUA JOAO DA SILVA MORAES</t>
  </si>
  <si>
    <t>-23.6692171745504</t>
  </si>
  <si>
    <t>-46.6826035599258</t>
  </si>
  <si>
    <t>RUA PROFESSOR GUILHERME BELFORT SABINO PROXIMO A RUA JOSE HOMERO ROXO</t>
  </si>
  <si>
    <t>-23.6706621646541</t>
  </si>
  <si>
    <t>-46.6810141147701</t>
  </si>
  <si>
    <t>RUA DOUTOR PAULO AIRES NETO ESQUINA COM A RUA NYARA</t>
  </si>
  <si>
    <t>-23.6543687381361</t>
  </si>
  <si>
    <t>-46.6805783879864</t>
  </si>
  <si>
    <t>RUA  VITO BOVINO ESQUINA COM AVENIDA SANTANA</t>
  </si>
  <si>
    <t>-23.6675915231212</t>
  </si>
  <si>
    <t>-46.6803876044171</t>
  </si>
  <si>
    <t>RUA DOUTOR SILAS LEITE SAMPAIO NO FINAL DA RUA</t>
  </si>
  <si>
    <t>-23.6567942497926</t>
  </si>
  <si>
    <t>-46.6814598766181</t>
  </si>
  <si>
    <t>RUA MAJOR RENATO NOBREGA ESQUINA COM A RUA MARBO</t>
  </si>
  <si>
    <t>-23.6526006969476</t>
  </si>
  <si>
    <t>-46.6860753666497</t>
  </si>
  <si>
    <t>VIELA CINCO PROXIMO A RUA MAJOR ALCI NOBREGA</t>
  </si>
  <si>
    <t>-23.6540036986314</t>
  </si>
  <si>
    <t>-46.6883353924233</t>
  </si>
  <si>
    <t>TRAVESSA PAULO MENDES CAMPOS NO FINAL DA RUA</t>
  </si>
  <si>
    <t>-23.6578543112787</t>
  </si>
  <si>
    <t>-46.6847624436026</t>
  </si>
  <si>
    <t>RUA  VITO BOVINO PROXIMO A RUA DR CELSO MENZEN DE GODOI</t>
  </si>
  <si>
    <t>-23.6677034663313</t>
  </si>
  <si>
    <t>-46.6838162021635</t>
  </si>
  <si>
    <t>RUA DOUTOR CLOVIS GARCIA 97</t>
  </si>
  <si>
    <t>-23.6572608450192</t>
  </si>
  <si>
    <t>-46.6821081077922</t>
  </si>
  <si>
    <t>AVENIDA MINISTRO ALVARO DE SOUZA LIMA 599</t>
  </si>
  <si>
    <t>-23.6611819990765</t>
  </si>
  <si>
    <t>-46.6838147413552</t>
  </si>
  <si>
    <t>AVENIDA INTERLAGOS 492 NO INTERIOR DO CONDOMINIO PARQUE MARAJOARA</t>
  </si>
  <si>
    <t>-23.6569663272965</t>
  </si>
  <si>
    <t>-46.6810587336773</t>
  </si>
  <si>
    <t>RUA SANTO ALBERTO ESQUINA COM A RUA NIDERAU FELIX MACHADO</t>
  </si>
  <si>
    <t>-23.6690692724442</t>
  </si>
  <si>
    <t>-46.6849025889334</t>
  </si>
  <si>
    <t>JARDIM MITSUTANI</t>
  </si>
  <si>
    <t>ESTRADA PIRAJUSSAR VALO VELHO ESQUINA COM AVENIDA AUGUSTO BARBOSA TAVARES</t>
  </si>
  <si>
    <t>-23.6402456124927</t>
  </si>
  <si>
    <t>-46.7808863875237</t>
  </si>
  <si>
    <t>RUA HUMBERTO BENEMERITTI ESQUINA COM A RUA HERMES RIBEIRO DE FREITAS</t>
  </si>
  <si>
    <t>-23.637961030864</t>
  </si>
  <si>
    <t>-46.7753323650992</t>
  </si>
  <si>
    <t>JARDIM UMARIZAL</t>
  </si>
  <si>
    <t>RUA CARDOSO MOREIRA PROXIMO A RUA CAMPOS ELISIOS</t>
  </si>
  <si>
    <t>-23.6323314260845</t>
  </si>
  <si>
    <t>-46.7577747975828</t>
  </si>
  <si>
    <t>RUA CARDOSO MOREIRA PROXIMO A RUA JOAO FRANCO</t>
  </si>
  <si>
    <t>-23.6304514340273</t>
  </si>
  <si>
    <t>-46.7588978317748</t>
  </si>
  <si>
    <t>RUA CASTANHO MIRIM ESQUINA COM A RUA CAMBIRISA</t>
  </si>
  <si>
    <t>-23.6260049672004</t>
  </si>
  <si>
    <t>-46.7501990026459</t>
  </si>
  <si>
    <t>RUA GUARAMEMBE PROXIMO A RUA MANICOBA</t>
  </si>
  <si>
    <t>-23.6234692491333</t>
  </si>
  <si>
    <t>-46.7518033216533</t>
  </si>
  <si>
    <t>RUA ANTONIO CABRAL DEFRONTE A RUA CANATIBA</t>
  </si>
  <si>
    <t>-23.6204569374032</t>
  </si>
  <si>
    <t>-46.74993961496</t>
  </si>
  <si>
    <t>RUA OSIRIS DE CAMARGO PROXIMO A RUA SOCRATES ABRAHAO</t>
  </si>
  <si>
    <t>-23.6499923527474</t>
  </si>
  <si>
    <t>-46.7672336737348</t>
  </si>
  <si>
    <t>PRACA LUISA PERA DOS SANTOS ESQUINA COM A RUA DOUTOR ABELARDO DA CUNHA LOBO</t>
  </si>
  <si>
    <t>-23.6404678636285</t>
  </si>
  <si>
    <t>-46.7495101840355</t>
  </si>
  <si>
    <t>RUA FRANCISCO DA CRUZ MELLAO 114</t>
  </si>
  <si>
    <t>-23.6492494776506</t>
  </si>
  <si>
    <t>-46.7623651079715</t>
  </si>
  <si>
    <t>RUA JORDAO GOUVEA 309 NO INTERIOR DO CONDOMINIO VILA DELLA CITTA</t>
  </si>
  <si>
    <t>-23.6420170310088</t>
  </si>
  <si>
    <t>-46.7579596691042</t>
  </si>
  <si>
    <t>RUA MARIO NEME ESQUINA  COM A RUA ESTRADA DO CAMPO LIMPO</t>
  </si>
  <si>
    <t>-23.6280653239985</t>
  </si>
  <si>
    <t>-46.7672164212014</t>
  </si>
  <si>
    <t>RUA CAIO GRACO DA SILVA PRADO ESQUINA COM A RUA VICENZO DANTE</t>
  </si>
  <si>
    <t>-23.6360174251915</t>
  </si>
  <si>
    <t>-46.7582226263183</t>
  </si>
  <si>
    <t>RUA PROFESSORA NINA STOCCO DEFRONTE A RUA ANTONIO GOMES CORREA</t>
  </si>
  <si>
    <t>-23.6358169544306</t>
  </si>
  <si>
    <t>-46.7591523709782</t>
  </si>
  <si>
    <t>RUA MARUJADA NO FINAL DA RUA</t>
  </si>
  <si>
    <t>-23.640413158637</t>
  </si>
  <si>
    <t>-46.7632856378223</t>
  </si>
  <si>
    <t>TRAVESSA CASTANHA DO PARA 49 NO INTERIOR DO PB CAPAO REDONDO</t>
  </si>
  <si>
    <t>-23.6622553968487</t>
  </si>
  <si>
    <t>-46.7772825792657</t>
  </si>
  <si>
    <t>RUA PROFESSORA EUNICE BECHARA DE OLIVEIRA ESQUINA COM A AVENIDA COMENDADOR SANTANNA</t>
  </si>
  <si>
    <t>-23.6745170061858</t>
  </si>
  <si>
    <t>-46.7738391273025</t>
  </si>
  <si>
    <t>RUA AVIADORA ANESIA PNHEIRO MACHADO PROXIMO DA ROTARIA COM A RUA COMPOSITOR LUIZ CARLOS VINHAS</t>
  </si>
  <si>
    <t>-23.6792815095228</t>
  </si>
  <si>
    <t>-46.7917394438169</t>
  </si>
  <si>
    <t>ESTRADA DE ITAPECERICA 2736 NO INTERIOR DO CONDOMINIO CRUZEIRO DO SUL</t>
  </si>
  <si>
    <t>-23.6517419777256</t>
  </si>
  <si>
    <t>-46.7591164166882</t>
  </si>
  <si>
    <t>TRAVESSA DA REPLICA PROXIMO A RUA TERRA PORTUGALENSE</t>
  </si>
  <si>
    <t>-23.665357883848</t>
  </si>
  <si>
    <t>-46.7942846667896</t>
  </si>
  <si>
    <t>RUA OTUSCO PROXIMO A RUA ANGELO GIMENEZ</t>
  </si>
  <si>
    <t>-23.656403080431</t>
  </si>
  <si>
    <t>-46.773104240286</t>
  </si>
  <si>
    <t>AVENIDA CARLOS LACERDA 3093 PROXIMO A RUA OTUSCO</t>
  </si>
  <si>
    <t>-23.6580241911943</t>
  </si>
  <si>
    <t>-46.7752849604924</t>
  </si>
  <si>
    <t>RUA ENGENHEIRO DAGOBERTO SALLES FILHO PROXIMO A RUA VIOLANTE DO CEU</t>
  </si>
  <si>
    <t>-23.6622860412315</t>
  </si>
  <si>
    <t>-46.6757667080189</t>
  </si>
  <si>
    <t>RUA MANUEL MURGUIA DEFRONTE A RUA JOAO GOMES BATISTA</t>
  </si>
  <si>
    <t>-23.6601778003362</t>
  </si>
  <si>
    <t>-46.6752876687723</t>
  </si>
  <si>
    <t>RUA RANULFO PRATA ESQUINA COM A RUA EDUARDO DE SA</t>
  </si>
  <si>
    <t>-23.6655190921624</t>
  </si>
  <si>
    <t>-46.6562087995506</t>
  </si>
  <si>
    <t>RUA JOAO BENITO ESQUINA COM RUA YERVANT KISSAJIKIAN</t>
  </si>
  <si>
    <t>-23.6745772161281</t>
  </si>
  <si>
    <t>-46.6619343963443</t>
  </si>
  <si>
    <t>RUA MANOEL ALONSO MEDINA 107 PROXIMO RUA FRANCISCO LOPES PINTO</t>
  </si>
  <si>
    <t>-23.6550721486534</t>
  </si>
  <si>
    <t>-46.6769972245431</t>
  </si>
  <si>
    <t>RUA MARINA SADDI HAIDAR ESQUINA COM A RUA MANUEL ALONSO MEDINA</t>
  </si>
  <si>
    <t>-23.6575265277538</t>
  </si>
  <si>
    <t>-46.6762830063473</t>
  </si>
  <si>
    <t>RUA RUBENS DE SOUZA ESQUINA COM RUA RAUL MARQUES MARINHO</t>
  </si>
  <si>
    <t>-23.6628170511519</t>
  </si>
  <si>
    <t>-46.6733080312942</t>
  </si>
  <si>
    <t>PRACA DICK FARNEY ESQUINA COM A RUA DOUTOR GENTIL LEITE MARTINS</t>
  </si>
  <si>
    <t>-23.6496248109057</t>
  </si>
  <si>
    <t>-46.6726066272286</t>
  </si>
  <si>
    <t>RUA DOUTOR DJALMA PINHEIRO FRANCO ESQUINA COM A AVENIDA CUPECE</t>
  </si>
  <si>
    <t>-23.6553284715332</t>
  </si>
  <si>
    <t>-46.6688707680244</t>
  </si>
  <si>
    <t>RUA MARIA PAES DE BARROS ESQUINA DA RUA FREI JOAO DO ROSARIO</t>
  </si>
  <si>
    <t>-23.6698599131064</t>
  </si>
  <si>
    <t>-46.6636336471846</t>
  </si>
  <si>
    <t>RUA JOAQUIM PROXIMO DA ESQUINA COM RUA FREI MANUEL CALADO</t>
  </si>
  <si>
    <t>-23.669406667676</t>
  </si>
  <si>
    <t>-46.6622607153302</t>
  </si>
  <si>
    <t>RUA DAS FLECHAS EMFRENTE A PADARIA PRIMICIA</t>
  </si>
  <si>
    <t>-23.6536995230534</t>
  </si>
  <si>
    <t>-46.6701787225173</t>
  </si>
  <si>
    <t>AVENIDA MARARI ESQUINA COM TRAVESSA GRANDE MADRUGADA</t>
  </si>
  <si>
    <t>-23.6636593078654</t>
  </si>
  <si>
    <t>-46.6642968423707</t>
  </si>
  <si>
    <t>RUA TAPERIBA ESQUINA COM AVENIDA CELSO DOS SANTOS</t>
  </si>
  <si>
    <t>-23.6666109140024</t>
  </si>
  <si>
    <t>-46.6700288440414</t>
  </si>
  <si>
    <t>RUA DR UBALDO FRANCO CAIUBE PROXIMO A RUA LUCIO SENECA</t>
  </si>
  <si>
    <t>-23.6601643117028</t>
  </si>
  <si>
    <t>-46.6724979579492</t>
  </si>
  <si>
    <t>AVENIDA CUPECE  ESQUINA COM A RUA SASSAKI</t>
  </si>
  <si>
    <t>-23.6650087350233</t>
  </si>
  <si>
    <t>-46.6590419104351</t>
  </si>
  <si>
    <t>RUA JOSE NEVES ESQUINA COM A RUA ANTONIO FOGAL</t>
  </si>
  <si>
    <t>-23.6602771975748</t>
  </si>
  <si>
    <t>-46.6785835796001</t>
  </si>
  <si>
    <t>AVENIDA INTERLAGOS PROXIMO A RUA ENGENHEIRO DAGOBERTO SALLES FILHO</t>
  </si>
  <si>
    <t>-23.6631455878465</t>
  </si>
  <si>
    <t>-46.6786527993812</t>
  </si>
  <si>
    <t>RUA LIBERO RIPOLI 129</t>
  </si>
  <si>
    <t>-23.6569318823284</t>
  </si>
  <si>
    <t>-46.6785252280533</t>
  </si>
  <si>
    <t>RUA JESUS BORGES GOUVEIA ESQUINA COM A RUA SALGUEIRAL</t>
  </si>
  <si>
    <t>-23.6621012701305</t>
  </si>
  <si>
    <t>-46.6673875974282</t>
  </si>
  <si>
    <t>RUA VICENTE JOSE DE ALMEIDA ESQUINA COM A RUA OSWALDO JOSE DE OLIVEIRA</t>
  </si>
  <si>
    <t>-23.6645255479418</t>
  </si>
  <si>
    <t>-46.6669774816054</t>
  </si>
  <si>
    <t>RUA FRANCISCO LOPES PINTO ESQUINA COM A RUA DOUTOR GENTIL LEITE MARTINS</t>
  </si>
  <si>
    <t>-23.6551575673447</t>
  </si>
  <si>
    <t>-46.675369764458</t>
  </si>
  <si>
    <t>AVENIDA INTERLAGOS PROXIMO DA ESQUINA COM A AVENIDA YERVANT KISSAJIKIAN</t>
  </si>
  <si>
    <t>-23.6648440597479</t>
  </si>
  <si>
    <t>-46.6781286947719</t>
  </si>
  <si>
    <t>RUA DOUTOR GENTIL LEITE MARTINS DEFRONTE A RUA MARIA AUGUSTA FERNANDES PANFIDO</t>
  </si>
  <si>
    <t>-23.6512986446879</t>
  </si>
  <si>
    <t>-46.6725810183373</t>
  </si>
  <si>
    <t>RUA VICENTE DORSA NO FINAL DA RUA</t>
  </si>
  <si>
    <t>-23.6532252300649</t>
  </si>
  <si>
    <t>-46.6760852340519</t>
  </si>
  <si>
    <t>DIADEMA</t>
  </si>
  <si>
    <t>RUA PASCOAL VALVA ESQUINA COM A AVENIDA SENADOR VITORIO FREIRE</t>
  </si>
  <si>
    <t>-23.6896872505677</t>
  </si>
  <si>
    <t>-46.6355109499459</t>
  </si>
  <si>
    <t>JARDIM MIRIAM</t>
  </si>
  <si>
    <t>AVENIDA CUPECE PROXIMO A AVENIDA SENADOR VITORINO  FREIRE</t>
  </si>
  <si>
    <t>-23.6843236304116</t>
  </si>
  <si>
    <t>-46.633468536704</t>
  </si>
  <si>
    <t>RUA JOSE EID MALUF ESQUINA COM A RUA ANTONIO LOTI</t>
  </si>
  <si>
    <t>-23.6738681106915</t>
  </si>
  <si>
    <t>-46.6559770321423</t>
  </si>
  <si>
    <t>RUA SEBASTIAO AFONSO ESQUINA COM AVENIDA CUPECE</t>
  </si>
  <si>
    <t>-23.6813692032675</t>
  </si>
  <si>
    <t>-46.6375631216159</t>
  </si>
  <si>
    <t>AVENIDA CUPECE ESQUINA COM RUA FRANCISCO ALVES DE AZEVEDO</t>
  </si>
  <si>
    <t>-23.6777429899068</t>
  </si>
  <si>
    <t>-46.6412271864349</t>
  </si>
  <si>
    <t>AVENIDA CUPECE 4834 PROXIMO A RUA ELIZABETH LINEY</t>
  </si>
  <si>
    <t>-23.676335587262</t>
  </si>
  <si>
    <t>-46.6422044243895</t>
  </si>
  <si>
    <t>RUA DO ESPIGAO ESQUINA COM A RUA LEONEL DA GAMA BELES</t>
  </si>
  <si>
    <t>-23.6728607285024</t>
  </si>
  <si>
    <t>-46.6590618165504</t>
  </si>
  <si>
    <t>AVENIDA CUPECE ESQUINA COM A RUA JACINTO PAES</t>
  </si>
  <si>
    <t>-23.6700836288812</t>
  </si>
  <si>
    <t>-46.6475797666503</t>
  </si>
  <si>
    <t>AVENIDA CUPECE ESQUINA COM A RUA RIO GRANDE SO SUL</t>
  </si>
  <si>
    <t>-23.6727635954104</t>
  </si>
  <si>
    <t>-46.6446998373225</t>
  </si>
  <si>
    <t>AVENIDA SANTO AFONSO ESQUINA COM A RUA VIRGILIO GONCALVES LEITE</t>
  </si>
  <si>
    <t>-23.6824514288609</t>
  </si>
  <si>
    <t>-46.6453161629415</t>
  </si>
  <si>
    <t>AVENIDA ANGELO CRISTIANINI ESQUINA COM A AVENIDA CUPECE</t>
  </si>
  <si>
    <t>-23.6813449603005</t>
  </si>
  <si>
    <t>-46.6383802659401</t>
  </si>
  <si>
    <t>RUA SEBASTIAO AFONSO ESQUINA COM A RUA CONSTANTINO DE ABREU</t>
  </si>
  <si>
    <t>-23.6792513252866</t>
  </si>
  <si>
    <t>-46.6352667148748</t>
  </si>
  <si>
    <t>RUA VALE DA AMOREIRA 143 DEFRONTE A RUA VALE DA PERDIZ</t>
  </si>
  <si>
    <t>-23.6785149098193</t>
  </si>
  <si>
    <t>-46.6323951781293</t>
  </si>
  <si>
    <t>AVENIDA PEDRO DE AVOS ESQUINA COM A RUA DIAS DE ALMEIDA</t>
  </si>
  <si>
    <t>-23.6844658965627</t>
  </si>
  <si>
    <t>-46.6407100917931</t>
  </si>
  <si>
    <t>VILA MISSIONÁRIA</t>
  </si>
  <si>
    <t>RUA NORBERTO MARTINS RIBEIRO 255 PROXIMO A RUA MARGINAL</t>
  </si>
  <si>
    <t>-23.6759035173958</t>
  </si>
  <si>
    <t>-46.6673584729953</t>
  </si>
  <si>
    <t>RUA SAMUEL ARNOLD PROXIMO A RUA MARIA LUCIA DE TOLEDO LEITE DE MORAES</t>
  </si>
  <si>
    <t>-23.6799566744639</t>
  </si>
  <si>
    <t>-46.6654446331221</t>
  </si>
  <si>
    <t>RUA DO JORNAL DO COMERCIO 29 EM FRENTE A RUA BLANCHE MARCHESI</t>
  </si>
  <si>
    <t>-23.6785720607331</t>
  </si>
  <si>
    <t>-46.6614108424823</t>
  </si>
  <si>
    <t>RUA ANTONIO PEDRO TEIXEIRA ESQUINA COM RUA MARIA LUCIA DE TOLEDO TEIXEIRA</t>
  </si>
  <si>
    <t>-23.6809064992027</t>
  </si>
  <si>
    <t>-46.6640554772503</t>
  </si>
  <si>
    <t>RUA PAPA GREGORIO MAGNO ESQUINA COM A RUA BEM AVENTURADO ALBERICO CRESCITELLI</t>
  </si>
  <si>
    <t>-23.690598154024</t>
  </si>
  <si>
    <t>-46.6483668083125</t>
  </si>
  <si>
    <t>AVENIDA SENADOR TEOTONIO VILELA 4029 CONDOMINIO RESIDENCIAL NACOES UNIDAS</t>
  </si>
  <si>
    <t>-23.7355327996032</t>
  </si>
  <si>
    <t>-46.6988217</t>
  </si>
  <si>
    <t>AVENIDA DO ARVOREIRO DEFRONTE A AVENIDA ORVALHO DO SOL</t>
  </si>
  <si>
    <t>2021-07-21</t>
  </si>
  <si>
    <t>-23.7316017077516</t>
  </si>
  <si>
    <t>-46.6966730763957</t>
  </si>
  <si>
    <t>RUA MONTE ARROIO 136 NO FINAL DA RUA SEM SAIDA</t>
  </si>
  <si>
    <t>-23.7311768281673</t>
  </si>
  <si>
    <t>-46.7025312002689</t>
  </si>
  <si>
    <t>RUA DOMINGOS FAUSTINO SARMIENTO ESQUINA COM A TRAVESSA ANTONIO BURONI</t>
  </si>
  <si>
    <t>-23.7446929659015</t>
  </si>
  <si>
    <t>-46.7097168318581</t>
  </si>
  <si>
    <t>TRVESSA ANTONIO BURONI 147 57</t>
  </si>
  <si>
    <t>-23.7458520586971</t>
  </si>
  <si>
    <t>-46.7112881865235</t>
  </si>
  <si>
    <t>RUA MANOEL DE LIMA ESQUINA COM A RUA FRANCISCO IZIDRO</t>
  </si>
  <si>
    <t>-23.7361999185017</t>
  </si>
  <si>
    <t>-46.7049966511902</t>
  </si>
  <si>
    <t>RUA INDOCHINA 288 PROXIMO A RUA SAO PEDRO DE NOVA FRIBURGO</t>
  </si>
  <si>
    <t>-23.7327982670633</t>
  </si>
  <si>
    <t>-46.7065585511902</t>
  </si>
  <si>
    <t>RUA JOSE RODRIGUES DE OLIVEIRA FILHO 207 DEFRONTE A RUA GEMEA DANTAS</t>
  </si>
  <si>
    <t>-23.7312431077201</t>
  </si>
  <si>
    <t>-46.7004478315232</t>
  </si>
  <si>
    <t>RUA ACACIO FONTOURO 23 PROXIMO A RUA MONTE CABURAI</t>
  </si>
  <si>
    <t>-23.732901904602</t>
  </si>
  <si>
    <t>-46.7135890548706</t>
  </si>
  <si>
    <t>JARDIM REPRESA</t>
  </si>
  <si>
    <t>AVENIDA INTERLAGOS PROXIMO A ESQUINA COM A AVENIDA SENADOR TEOTONIO VILELA    SABESP</t>
  </si>
  <si>
    <t>-23.7021182597375</t>
  </si>
  <si>
    <t>-46.7015682313542</t>
  </si>
  <si>
    <t>RUA DESEMBARGADOR GODOI MOREIRA PROXIMO A ESQUINA DA RUA NICOLAU ALAYON</t>
  </si>
  <si>
    <t>-23.7073165879962</t>
  </si>
  <si>
    <t>-46.7045384182539</t>
  </si>
  <si>
    <t>RUA LEONOR ALVIM 239 NA CALCADA DA MATERNIDADE INTERLAGOS</t>
  </si>
  <si>
    <t>-23.7069659886909</t>
  </si>
  <si>
    <t>-46.7019607870293</t>
  </si>
  <si>
    <t>RUA PROFESSOR ENEAS DE SIQUEIRA NETO ESQUINA COM A RUA CAROLINA MICHAELIS</t>
  </si>
  <si>
    <t>-23.7304576084019</t>
  </si>
  <si>
    <t>-46.7101135824078</t>
  </si>
  <si>
    <t>RUA FREDERICO RENE DE JAEGHER ESQUINA COM A RUA ANTONIO MACHADO SANTANNA</t>
  </si>
  <si>
    <t>-23.7253048323218</t>
  </si>
  <si>
    <t>-46.7112161790324</t>
  </si>
  <si>
    <t>RUA SANTO ANTONIO DO CANTARO ESQUINA COM A RUA GREGORIO DE QUEIROZ</t>
  </si>
  <si>
    <t>-23.7262373577166</t>
  </si>
  <si>
    <t>-46.7089689457039</t>
  </si>
  <si>
    <t>AVENIDA ALCINDO FERREIRA 300 ESQUINA COM A RUA FRANCISCO CARMONA</t>
  </si>
  <si>
    <t>-23.7151285684345</t>
  </si>
  <si>
    <t>-46.7130036718299</t>
  </si>
  <si>
    <t>RUA FREDERICO RENE DE JAEGHER ESQUINA COM A RUA MENINO JESUS DE PRAGA</t>
  </si>
  <si>
    <t>-23.7265550229166</t>
  </si>
  <si>
    <t>-46.7161461238555</t>
  </si>
  <si>
    <t>AVENIDA CARLOS OBERHUBER 1205 PROXIMO DA ESQUINA COM A RUA SAMARINDA</t>
  </si>
  <si>
    <t>-23.7460242427718</t>
  </si>
  <si>
    <t>-46.7147584655576</t>
  </si>
  <si>
    <t>RUA PARNAPOA ESQUINA COM A RUA ABUTUI</t>
  </si>
  <si>
    <t>-23.7110973213108</t>
  </si>
  <si>
    <t>-46.6974782862196</t>
  </si>
  <si>
    <t>RUA FREDERICO RENE DE JAEGHER PROXIMO DA ESQUINA DA AVENIDA SENADOR TEOTONIO VILELA</t>
  </si>
  <si>
    <t>-23.718853658007</t>
  </si>
  <si>
    <t>-46.6992983110743</t>
  </si>
  <si>
    <t>AVENIDA DO JANGADEIRO ESQUINA COM A RUA ICANHEMA</t>
  </si>
  <si>
    <t>-23.7076114566955</t>
  </si>
  <si>
    <t>-46.6991392328903</t>
  </si>
  <si>
    <t>RUA ICANHEMA ESQUINA COM A PRACA ESCOLAR</t>
  </si>
  <si>
    <t>-23.7092092318952</t>
  </si>
  <si>
    <t>-46.698680360243</t>
  </si>
  <si>
    <t>AVENIDA SENADOR TEOTONIO VILELA ESQUINA COM A AVENIDA DO JANGADEIRO</t>
  </si>
  <si>
    <t>-23.7062013047626</t>
  </si>
  <si>
    <t>-46.7002743617065</t>
  </si>
  <si>
    <t>AVENIDA SENADOR TEOTONIO VILELA NA JUNCAO COM A AVENIDA INTERLAGOS DEFRONTE A BASE DA POLICIA MILITAR</t>
  </si>
  <si>
    <t>-23.7016802856235</t>
  </si>
  <si>
    <t>-46.7012359765464</t>
  </si>
  <si>
    <t>RUA NOSSA SENHORA DO OUTEIRO ESQUINA COM A RUA JOAO FAVACHO</t>
  </si>
  <si>
    <t>-23.7137766018424</t>
  </si>
  <si>
    <t>-46.6991749377735</t>
  </si>
  <si>
    <t>RUA CLAUDIO SERGIO BERE ESQUINA COM A RUA RICARDO MORETI</t>
  </si>
  <si>
    <t>-23.7052477464593</t>
  </si>
  <si>
    <t>-46.6898081783721</t>
  </si>
  <si>
    <t>RUA CASQUEIRO ESQUINA COM A RUA JUAN GONZALES VILA</t>
  </si>
  <si>
    <t>-23.7102433309244</t>
  </si>
  <si>
    <t>-46.6968614273582</t>
  </si>
  <si>
    <t>RUA PADRE JOAO GARZOTTI ESQUINA COM A RUA ICANHEMA</t>
  </si>
  <si>
    <t>-23.7101060945138</t>
  </si>
  <si>
    <t>-46.6985207403227</t>
  </si>
  <si>
    <t>RUA CHINCOA ESQUINA COM A RUA SARACURA</t>
  </si>
  <si>
    <t>-23.7226267573162</t>
  </si>
  <si>
    <t>-46.6722760318162</t>
  </si>
  <si>
    <t>RUA DOUTOR SAULO DE CASTRO BICUDO ESQUINA COM A RUA ARMANDO VIEIRA</t>
  </si>
  <si>
    <t>-23.7048965521788</t>
  </si>
  <si>
    <t>-46.6851906081105</t>
  </si>
  <si>
    <t>ESTRADA PRESIDENTE JOAO GOULART 2763 PROXIMO A RUA AUGUSTO FELIPE SIMOES</t>
  </si>
  <si>
    <t>-23.7210730789844</t>
  </si>
  <si>
    <t>-46.6769768433062</t>
  </si>
  <si>
    <t>AVENIDA GREGORIO BEZERRA 849</t>
  </si>
  <si>
    <t>-23.7136983484133</t>
  </si>
  <si>
    <t>-46.6853856257933</t>
  </si>
  <si>
    <t>RUA MINISTRO JUNQUEIRA AYRES ESQUINA COM A RUA ARMANDO VIEIRA</t>
  </si>
  <si>
    <t>-23.7061650011667</t>
  </si>
  <si>
    <t>-46.6870803736306</t>
  </si>
  <si>
    <t>RUA FRUTUOSO BARBOSA ESQUINA COM A RUA FRANCISCO BARRETO</t>
  </si>
  <si>
    <t>-23.7132302996035</t>
  </si>
  <si>
    <t>-46.6890202</t>
  </si>
  <si>
    <t>RUA ANASTACIO DA COSTA ESQUINA COM A AVENIDA GONCALO DE PAIVA GOMES</t>
  </si>
  <si>
    <t>-23.7144993355167</t>
  </si>
  <si>
    <t>-46.6861793070929</t>
  </si>
  <si>
    <t>AVENIDA FERNANDO AMARO MIRANDA ESQUINA COM A RUA JOSE FRANCISCO DE MORAIS</t>
  </si>
  <si>
    <t>-23.7288531850691</t>
  </si>
  <si>
    <t>-46.6868461134143</t>
  </si>
  <si>
    <t>CURSINO</t>
  </si>
  <si>
    <t>ÁGUA FUNDA</t>
  </si>
  <si>
    <t>RUA CORONEL FAWCETT ESQUINA COM RUA AFONSO ALIPERTI</t>
  </si>
  <si>
    <t>-23.6345154907185</t>
  </si>
  <si>
    <t>-46.6204685505206</t>
  </si>
  <si>
    <t>RUA JEAN DE LA HUERTA ESQUINA COM A RUA DOM VILARES</t>
  </si>
  <si>
    <t>-23.6256258796648</t>
  </si>
  <si>
    <t>-46.614180765625</t>
  </si>
  <si>
    <t>RUA ANGELO PEROBELLI ESQUINA AVENIDA DO CURSINO</t>
  </si>
  <si>
    <t>-23.6305046859482</t>
  </si>
  <si>
    <t>-46.6177769589989</t>
  </si>
  <si>
    <t>RUA JOSE DA ROCHA MENDES ESQUINA COM RUA SERGIO CARDOSO</t>
  </si>
  <si>
    <t>-23.6276897452569</t>
  </si>
  <si>
    <t>-46.6252826101813</t>
  </si>
  <si>
    <t>RUA MARQUES DE LAGES DEFRONTE A RUA MONTE SANTO DE MINAS</t>
  </si>
  <si>
    <t>-23.6276294626131</t>
  </si>
  <si>
    <t>-46.6106614170637</t>
  </si>
  <si>
    <t>RUA FOZ DO JUTAI ESQUINA COM  AVENIDA MIGUEL STEFANO</t>
  </si>
  <si>
    <t>-23.6349075308546</t>
  </si>
  <si>
    <t>-46.6272172485131</t>
  </si>
  <si>
    <t>AVENIDA MIGUEL STEFANO ESQUINA COM RUA ABEYLARD QUEIROZ</t>
  </si>
  <si>
    <t>-23.6313136056566</t>
  </si>
  <si>
    <t>-46.6273942801355</t>
  </si>
  <si>
    <t>AVENIDA DO CURSINO ESQUINA COM A RUA GUSTAV KLIMT</t>
  </si>
  <si>
    <t>-23.639470039892</t>
  </si>
  <si>
    <t>-46.6133853627872</t>
  </si>
  <si>
    <t>RUA ROSA DE MORAIS ESQUINA COM A RUA ABEYLARD QUEIROZ</t>
  </si>
  <si>
    <t>-23.631096775397</t>
  </si>
  <si>
    <t>-46.625878096742</t>
  </si>
  <si>
    <t>AVENIDA DO CURSINO ESQUINA COM RUA DOM VILARES</t>
  </si>
  <si>
    <t>-23.6262732541711</t>
  </si>
  <si>
    <t>-46.6190780827622</t>
  </si>
  <si>
    <t>RUA SEBASTIANO MAZZONI ESQUINA COM A RUA SIMAO LOPES</t>
  </si>
  <si>
    <t>-23.63364826486</t>
  </si>
  <si>
    <t>-46.6142120332149</t>
  </si>
  <si>
    <t>RUA DESEMBARGADOR ALVES DE CASTRO ESQUINA COM A RUA EDUARDO FERREIRA FRANCA</t>
  </si>
  <si>
    <t>-23.6329187483407</t>
  </si>
  <si>
    <t>-46.6174582254827</t>
  </si>
  <si>
    <t>RUA LUIZ DA COSTA RAMOS ESQUINA COM A RUA TEREZA FRANCO</t>
  </si>
  <si>
    <t>-23.6306760665203</t>
  </si>
  <si>
    <t>-46.621579737136</t>
  </si>
  <si>
    <t>RUA VICENTE FERNANDES PINTO ESQUINA COM A RUA FRANCISCO HURTADO</t>
  </si>
  <si>
    <t>-23.6324759908906</t>
  </si>
  <si>
    <t>-46.6233277993466</t>
  </si>
  <si>
    <t>RUA DOUTOR JOSE BENTO FERREIRA ESQUINA COM AVENIDA MIGUEL ESTEFANO</t>
  </si>
  <si>
    <t>-23.6373563611898</t>
  </si>
  <si>
    <t>-46.6272462642544</t>
  </si>
  <si>
    <t xml:space="preserve">RUA JOSE MANA PAZ 129 NO FINAL DA RUA </t>
  </si>
  <si>
    <t>-23.6319651181703</t>
  </si>
  <si>
    <t>-46.61507165</t>
  </si>
  <si>
    <t>RUA ROSA DE MORAES 12 NO INTERIOR DO CONDOMINIO DEFRONTE AO BLOCO 02</t>
  </si>
  <si>
    <t>-23.6299871622359</t>
  </si>
  <si>
    <t>-46.6267752736702</t>
  </si>
  <si>
    <t>RUA EVOLUCAO ESQUINA COM A RUA ENGENHEIRO SILVA BRAGA</t>
  </si>
  <si>
    <t>-23.62989662077</t>
  </si>
  <si>
    <t>-46.6144785549855</t>
  </si>
  <si>
    <t>RUA GUARACIAMA ESQUINA COM A RUA FRANCISCO TAPAJOS</t>
  </si>
  <si>
    <t>-23.6264756128723</t>
  </si>
  <si>
    <t>-46.6226486462817</t>
  </si>
  <si>
    <t>JARDIM DA SAÚDE</t>
  </si>
  <si>
    <t>RUA ELISA SILVERIA ESQUINA COM A RUA OTTO DE BARROS</t>
  </si>
  <si>
    <t>-23.622287087779</t>
  </si>
  <si>
    <t>-46.6269248405379</t>
  </si>
  <si>
    <t>PRACA MARCOS FABIO ESQUINA COM A RUA RIBEIRO LACERDA</t>
  </si>
  <si>
    <t>-23.6187079577402</t>
  </si>
  <si>
    <t>-46.6265267750469</t>
  </si>
  <si>
    <t>RUA BOSQUE DA SAUDE DEFRONTE A RUA PORANGABA</t>
  </si>
  <si>
    <t>-23.6134031313016</t>
  </si>
  <si>
    <t>-46.6256980623517</t>
  </si>
  <si>
    <t>RUA TRISTAO DE OLIVEIRA ESQUINA COM RUA JOAO FRANCO LOPES</t>
  </si>
  <si>
    <t>-23.6083790127009</t>
  </si>
  <si>
    <t>-46.6189093380938</t>
  </si>
  <si>
    <t>AVENIDA BOSQUE DA SAUDE ESQUINA COM A RUA MANOEL COELHO DA SILVA</t>
  </si>
  <si>
    <t>-23.6130899875507</t>
  </si>
  <si>
    <t>-46.6200163157715</t>
  </si>
  <si>
    <t>RUA FELIPE CARDOSO ESQUINA COM RUA GIL FERNANDES</t>
  </si>
  <si>
    <t>-23.6162073366578</t>
  </si>
  <si>
    <t>-46.6191677282737</t>
  </si>
  <si>
    <t>RUA FRANCISCO DIAS ESQUINA COM RUA FRANCISCO MALDONADO</t>
  </si>
  <si>
    <t>-23.6145390909739</t>
  </si>
  <si>
    <t>-46.6204491821417</t>
  </si>
  <si>
    <t>RUA FELIPE CARDOSO ESQUINA COM RUA MARTINS PERES</t>
  </si>
  <si>
    <t>-23.6163258313016</t>
  </si>
  <si>
    <t>-46.61988541756</t>
  </si>
  <si>
    <t>RUA FREI ROLIM ESQUINA COM RUA ARTUR DIAS</t>
  </si>
  <si>
    <t>-23.6222016860735</t>
  </si>
  <si>
    <t>-46.6233498461732</t>
  </si>
  <si>
    <t>AVENIDA DO CURSINO DEFRONTE A  RUA DIVINOPOLIS</t>
  </si>
  <si>
    <t>-23.6190936596466</t>
  </si>
  <si>
    <t>-46.6201367230196</t>
  </si>
  <si>
    <t>AVENIDA DO CURSINO ESQUINA COM RUA FRANCISCO DIAS</t>
  </si>
  <si>
    <t>-23.61394671022</t>
  </si>
  <si>
    <t>-46.6174402479337</t>
  </si>
  <si>
    <t>RUA GUARAREMA ESQUINA COM A AVENIDA ITABORAI</t>
  </si>
  <si>
    <t>2021-09-19</t>
  </si>
  <si>
    <t>-23.6084810991477</t>
  </si>
  <si>
    <t>-46.6263398712973</t>
  </si>
  <si>
    <t>RUA MANOEL COELHO DA SILVA ESQUINA COM RUA VIRGILIO CICCO</t>
  </si>
  <si>
    <t>-23.609750630403</t>
  </si>
  <si>
    <t>-46.6209008831789</t>
  </si>
  <si>
    <t>RUA MARQUES DE HERVAL ESQUINA COM RUA ARTHUR THIRE</t>
  </si>
  <si>
    <t>-23.6159301784203</t>
  </si>
  <si>
    <t>-46.6243388482232</t>
  </si>
  <si>
    <t>RUA LORETO ESQUINA COM RUA ARTUR DIAS</t>
  </si>
  <si>
    <t>-23.6243082081179</t>
  </si>
  <si>
    <t>-46.6228185917552</t>
  </si>
  <si>
    <t>RUA OTTO DE BARROS ESQUINA COM A RUA ELISA SILVEIRA</t>
  </si>
  <si>
    <t>-23.6223727846571</t>
  </si>
  <si>
    <t>-46.6269138463775</t>
  </si>
  <si>
    <t xml:space="preserve">RUA JAGUARI ESQUINA COM A RUA TIQUATIRA </t>
  </si>
  <si>
    <t>-23.6116846466718</t>
  </si>
  <si>
    <t>-46.6231481488816</t>
  </si>
  <si>
    <t>RUA TIQUATIRA ESQUINA COM A RUA ASSUNGUI</t>
  </si>
  <si>
    <t>-23.6110602439162</t>
  </si>
  <si>
    <t>-46.6190151973083</t>
  </si>
  <si>
    <t>AVENIDA DO CURSINO 710 PROXIMO A RUA DOS PATRICIOS</t>
  </si>
  <si>
    <t>-23.6088368415111</t>
  </si>
  <si>
    <t>-46.6171585076327</t>
  </si>
  <si>
    <t>JARDIM PREVIDÊNCIA</t>
  </si>
  <si>
    <t>RUA DR LUIS AUGUSTO PEREIRA DE QUEIROS ESQUINA COM A RUA EUGENIO FALK</t>
  </si>
  <si>
    <t>-23.6178180569591</t>
  </si>
  <si>
    <t>-46.6106416945911</t>
  </si>
  <si>
    <t>AVENIDA DO CURSINO ESQUINA COM A RUA DOUTOR NESTOR ALBERTO DE MACEDO</t>
  </si>
  <si>
    <t>-23.6259628864489</t>
  </si>
  <si>
    <t>-46.6193471549441</t>
  </si>
  <si>
    <t>RUA ORLANDO FERRAIOLO ESQUINA COM A RUA SERGIO DE AZEVEDO VALENTE</t>
  </si>
  <si>
    <t>-23.6246164378469</t>
  </si>
  <si>
    <t>-46.617592364286</t>
  </si>
  <si>
    <t>RUA FRANCISCO GIUSEPE GIORDANO ESQUINQ COM A RUA MARCOS FERNANDES</t>
  </si>
  <si>
    <t>-23.6189873908253</t>
  </si>
  <si>
    <t>-46.6176008502977</t>
  </si>
  <si>
    <t>AVENIDA DO CURSINO ESQUINA COM A RUA FRANCISCO DIAS</t>
  </si>
  <si>
    <t>-23.6142104551114</t>
  </si>
  <si>
    <t>-46.6170616773808</t>
  </si>
  <si>
    <t>RUA ORLANDO FERRAIOLO ESQUINA COM A RUA NOSSA SENHORA DA SAUDE</t>
  </si>
  <si>
    <t>-23.6228421366015</t>
  </si>
  <si>
    <t>-46.615794187831</t>
  </si>
  <si>
    <t>RUA JEAN DE LA HUERTA ESQUINA COM A RUA NOSSA SENHORA DA SAUDE</t>
  </si>
  <si>
    <t>-23.6226283508818</t>
  </si>
  <si>
    <t>-46.6143640760456</t>
  </si>
  <si>
    <t>RUA CONEGO JOSE NORBERTO ESQUINA COM RUA JOANA DE GUSMAO</t>
  </si>
  <si>
    <t>-23.6092172412639</t>
  </si>
  <si>
    <t>-46.6144895178242</t>
  </si>
  <si>
    <t>RUA PRISCILA DUARTE ESQUINA COM A RUA JUVENAL GALENO</t>
  </si>
  <si>
    <t>-23.6160369027511</t>
  </si>
  <si>
    <t>-46.613270674813</t>
  </si>
  <si>
    <t>RUA MARCOS FERNANDES ESQUINA COM RUA AQUILES DE ALMEIDA</t>
  </si>
  <si>
    <t>-23.6184125072999</t>
  </si>
  <si>
    <t>-46.6158948377706</t>
  </si>
  <si>
    <t>RUA NOSSA SENHORA DA SAUDE PROXIMO DA ESQUINA COM A AVENIDA DO CURSINO</t>
  </si>
  <si>
    <t>-23.6227143372208</t>
  </si>
  <si>
    <t>-46.6199891570831</t>
  </si>
  <si>
    <t xml:space="preserve">RUA DOM MACARIO PROXIMO DA ESQUINA COM A AVENIDA OSVALDO ARANHA </t>
  </si>
  <si>
    <t>-23.6142844324517</t>
  </si>
  <si>
    <t>-46.6095565399364</t>
  </si>
  <si>
    <t>RUA ENJOLRAS VAMPRE DEFRONTE A RUA JUVENAL GALENO</t>
  </si>
  <si>
    <t>-23.6150787690237</t>
  </si>
  <si>
    <t>-46.6145181306624</t>
  </si>
  <si>
    <t>VILA GUMERCINDO</t>
  </si>
  <si>
    <t>RUA SANTA CRUZESQUINA COM A RUA MAJOR SUCUPIRA</t>
  </si>
  <si>
    <t>-23.6009067572331</t>
  </si>
  <si>
    <t>-46.6218518036925</t>
  </si>
  <si>
    <t>RUA BRENO FERRAZ DO AMARAL ESQUINA COM A RUA MIGUEL HADDAD</t>
  </si>
  <si>
    <t>-23.5985330991836</t>
  </si>
  <si>
    <t>-46.6212040111838</t>
  </si>
  <si>
    <t>RUA DOM MIGUEL COSTA ZESQUINA COM RUA SEBASTIAO DO REGO</t>
  </si>
  <si>
    <t>-23.603075048599</t>
  </si>
  <si>
    <t>-46.6220444377736</t>
  </si>
  <si>
    <t>RUA SANTA CRUZ 1564 ENTRE AS RUAS DOM ANTONIO ALVARENGA E DOM LUCIO DE SOUZA</t>
  </si>
  <si>
    <t>-23.6002568583341</t>
  </si>
  <si>
    <t>-46.6228642845775</t>
  </si>
  <si>
    <t>RUA ANTONIO BARREIRO ESQUINA COM A RUA DOM BERANRDO NOGUEIRA</t>
  </si>
  <si>
    <t>-23.6078280696209</t>
  </si>
  <si>
    <t>-46.6230340735121</t>
  </si>
  <si>
    <t>RUA DOM PEDRO SILVA ESQUINA COM RUA DOM LUCIO DE SOUZA</t>
  </si>
  <si>
    <t>-23.6036055609901</t>
  </si>
  <si>
    <t>-46.6231063191218</t>
  </si>
  <si>
    <t>RUA DOM ANTONIO ALVARENGA ESQUINA COM RUA DOM PEDRO SILVA</t>
  </si>
  <si>
    <t>-23.6022922117345</t>
  </si>
  <si>
    <t>-46.6238803702388</t>
  </si>
  <si>
    <t>RUA VIGARIO ALBERNAZ ESQUINA COM AVENIDA PROFESSOR ABRRAO DE MORAIS</t>
  </si>
  <si>
    <t>-23.6045779181314</t>
  </si>
  <si>
    <t>-46.625690268102</t>
  </si>
  <si>
    <t>RUA ADIB MIGUEL HADDAD ESQUINA COM A RUA MANOEL DA MOTA</t>
  </si>
  <si>
    <t>-23.5983570756733</t>
  </si>
  <si>
    <t>-46.6194130623932</t>
  </si>
  <si>
    <t>RUA ASSUNGUI ESQUINA COM A RUA ALMEIDA GOIS</t>
  </si>
  <si>
    <t>-23.6070532935036</t>
  </si>
  <si>
    <t>-46.6175825238084</t>
  </si>
  <si>
    <t>RUA JOAO ANTONIO PEDROSO ESQUINA COM A RUA VISCONDE DE GUARATIKBA</t>
  </si>
  <si>
    <t>-23.5987961454895</t>
  </si>
  <si>
    <t>-46.618652554708</t>
  </si>
  <si>
    <t>RUA SAIOA 1333</t>
  </si>
  <si>
    <t>-23.5959797888571</t>
  </si>
  <si>
    <t>-46.6193581239334</t>
  </si>
  <si>
    <t>RUA DOUTOR OTACILIO CAMARA SILVEIRA ESQUINA COM RUA VERGUEIRO</t>
  </si>
  <si>
    <t>-23.6062176830294</t>
  </si>
  <si>
    <t>-46.614430110272</t>
  </si>
  <si>
    <t>RUA AMERICO RIBEIRO ESQUINA COM AVENIDA DO CURSINO</t>
  </si>
  <si>
    <t>-23.6039897254307</t>
  </si>
  <si>
    <t>-46.6157149875096</t>
  </si>
  <si>
    <t>RUA VIGARIO ALBERNAZ ESQUINA COM A RUA DOM CONSTANTINO BARRADAS</t>
  </si>
  <si>
    <t>-23.6073257326993</t>
  </si>
  <si>
    <t>-46.6207283571364</t>
  </si>
  <si>
    <t>ESTRADA DO PORTO ESQUINA COM A RUA DORCAS ADOLFO DA SILVA</t>
  </si>
  <si>
    <t>-23.7873305274799</t>
  </si>
  <si>
    <t>-46.681082179516</t>
  </si>
  <si>
    <t>RUA PEDRA MARFIM ESQUINA COM A ESTRADA DO BARRO BRANCO</t>
  </si>
  <si>
    <t>-23.7794654200291</t>
  </si>
  <si>
    <t>-46.6846606004039</t>
  </si>
  <si>
    <t>RUA HENRIQUE MUZZIO 656 AO LADO DA VIELA ENTR AS RUAS FRANCISCO IBARRA E MARIANO LARSER</t>
  </si>
  <si>
    <t>-23.782506637582</t>
  </si>
  <si>
    <t>-46.6822368465152</t>
  </si>
  <si>
    <t>RUA SAO CAETANO DO SUL PROXIMO A ESQUINA COM A RUA ITAQUAQUECETUBA</t>
  </si>
  <si>
    <t>-23.7555296521978</t>
  </si>
  <si>
    <t>-46.687107621952</t>
  </si>
  <si>
    <t>AVENIDA CARLOS BARBOSA DOS SANTOS 4078 DEFRONTE A RUA RIO PARATINGA</t>
  </si>
  <si>
    <t>-23.7832360104275</t>
  </si>
  <si>
    <t>-46.688005495682</t>
  </si>
  <si>
    <t>RUA RAQUEL MARTINS PROXIMO DA ESQUINA COM A AVENIDA CARLOS ALBERTO BASTOS MACHADO</t>
  </si>
  <si>
    <t>-23.768371172523</t>
  </si>
  <si>
    <t>-46.6956971969942</t>
  </si>
  <si>
    <t>RUA MAJOR LUCIO DIAS RAMOS</t>
  </si>
  <si>
    <t>2021-08-08</t>
  </si>
  <si>
    <t>-23.766636678847</t>
  </si>
  <si>
    <t>-46.6848374429055</t>
  </si>
  <si>
    <t>RUA NEREU BERTINE MAGALHAES 86       ATRAS DA PORTAO DA RESIDENCIA</t>
  </si>
  <si>
    <t>-23.7690244898058</t>
  </si>
  <si>
    <t>-46.6809335151539</t>
  </si>
  <si>
    <t>AVENIDA CARLOS BARBOSA SANTOS 1444 PROXIMO DA RUA NAMIBIA</t>
  </si>
  <si>
    <t>-23.7652071371327</t>
  </si>
  <si>
    <t>-46.6749405468519</t>
  </si>
  <si>
    <t>AVENIDA DONA BELMIRA MARIN DEFRONTE A RUA OLINDO DE CARVALHO</t>
  </si>
  <si>
    <t>-23.7589885161232</t>
  </si>
  <si>
    <t>-46.6639857280755</t>
  </si>
  <si>
    <t>AVENIDA DONA BELMIRA MARIN ESQUINA COM A RUA PEDRO ESCOBAR NO PISO INTERNO DO POSTO</t>
  </si>
  <si>
    <t>-23.7561858455631</t>
  </si>
  <si>
    <t>-46.6677700430989</t>
  </si>
  <si>
    <t>RUA MAESTRO UMBERTO BASTIGLIA 200 DEFRONTE A RUA TAVAREDE</t>
  </si>
  <si>
    <t>-23.747822719603</t>
  </si>
  <si>
    <t>-46.678192</t>
  </si>
  <si>
    <t>RUA CHARLES AVISON ESQUINA COM RUA GEORGE CONUS</t>
  </si>
  <si>
    <t>-23.7349354215141</t>
  </si>
  <si>
    <t>-46.6759974777042</t>
  </si>
  <si>
    <t>RUA ALEXANDRE BORONDIM DEFRONTE A RUA LEONARDO LEO</t>
  </si>
  <si>
    <t>-23.7401168347716</t>
  </si>
  <si>
    <t>-46.69620546121</t>
  </si>
  <si>
    <t>ESTRADA DA COCAIA ESQUINA COM AVENIDA PREFEITO PAULO LAURO</t>
  </si>
  <si>
    <t>-23.7480293535916</t>
  </si>
  <si>
    <t>-46.6975845806837</t>
  </si>
  <si>
    <t>RUA GIUSEPE TARTINI 15 ENTRE OS BLOCOS A4 E A5 NO INTERIOR DO ESTACIONAMENTO</t>
  </si>
  <si>
    <t>-23.7551695387043</t>
  </si>
  <si>
    <t>-46.7064166283035</t>
  </si>
  <si>
    <t>RUA GIUSEPE TARTINI 15 DEFRONTE AO BLOCO A10 AO LADO DA LIXEIRA DE RECICLAVEIS</t>
  </si>
  <si>
    <t>-23.7552990073793</t>
  </si>
  <si>
    <t>-46.7070676773572</t>
  </si>
  <si>
    <t>RUA GIUSEPE TARTINI 15 ENTRE OS BLOCOS A15 E A20</t>
  </si>
  <si>
    <t>-23.7559955998654</t>
  </si>
  <si>
    <t>-46.7066907567515</t>
  </si>
  <si>
    <t>RUA GIUSEPE TARTINI 15 ENTRE OS BLOCOS A2 E A3 NO INTERIOR DO ESTACIONAMENTO</t>
  </si>
  <si>
    <t>-23.7549245076805</t>
  </si>
  <si>
    <t>-46.7072598302844</t>
  </si>
  <si>
    <t>RUA TRES PROXIMO A ESQUINA COM A RUA 6 DEFRONTE AO BLOCO B15</t>
  </si>
  <si>
    <t>-23.7529727204441</t>
  </si>
  <si>
    <t>-46.7061722883562</t>
  </si>
  <si>
    <t>RUA GIUSEPE TARTINI 15 ENTRE OS BLOCOS B10 E B18 NO INTERIOR DO ESTACIONAMENTO</t>
  </si>
  <si>
    <t>-23.7530156919488</t>
  </si>
  <si>
    <t>-46.7075544409454</t>
  </si>
  <si>
    <t>RIA GIUSEPE TARTINI 15 ENTR OS BLOVOS B1 E B9 NO INTERIOR DO ESTACIONAMENTO</t>
  </si>
  <si>
    <t>-23.7536853641027</t>
  </si>
  <si>
    <t>-46.7078135255724</t>
  </si>
  <si>
    <t>RUA TRES ESQUINA COM A RUA GIUSEPE TARTINI DEFRONTE AO BLOCO B14</t>
  </si>
  <si>
    <t>-23.7538520801567</t>
  </si>
  <si>
    <t>-46.7060981690884</t>
  </si>
  <si>
    <t>RUA GIUSEPE TARTINI ESQUINA COM A RUA OITO</t>
  </si>
  <si>
    <t>-23.7520870815007</t>
  </si>
  <si>
    <t>-46.7065332515355</t>
  </si>
  <si>
    <t>RUA GIUSEPPE TARTINI 15 NO INTERIOR DO RESIDENCIAL PALMARES</t>
  </si>
  <si>
    <t>-23.7508246992738</t>
  </si>
  <si>
    <t>-46.7062507487059</t>
  </si>
  <si>
    <t>RUA JOAO AMOS COMENIUS ESQUINA COM A RUA DOUTOR ANTONIO SIMOES DE CARVALHO</t>
  </si>
  <si>
    <t>-23.7559416070342</t>
  </si>
  <si>
    <t>-46.7009363215495</t>
  </si>
  <si>
    <t>RUA JOAO DA GRACA DEFRONTE A RUA AURELIANO DE BERUETE</t>
  </si>
  <si>
    <t>-23.7603611898</t>
  </si>
  <si>
    <t>-46.7058786583692</t>
  </si>
  <si>
    <t>AVENIDA PAULO GUILGUER REIMBERG 1401</t>
  </si>
  <si>
    <t>-23.7738587847127</t>
  </si>
  <si>
    <t>-46.7049619249648</t>
  </si>
  <si>
    <t>RUA CONSTELACAO DO CARANGUEJO DEFRONTE A RUA CONSTELACAO DO OITANTE</t>
  </si>
  <si>
    <t>-23.7680748266256</t>
  </si>
  <si>
    <t>-46.7055608884268</t>
  </si>
  <si>
    <t>RUA ANTONIO MARCONDES ESQUINA COM A RUA XAVIER DE ALMEIDA</t>
  </si>
  <si>
    <t>-23.5977136035366</t>
  </si>
  <si>
    <t>-46.6072609026933</t>
  </si>
  <si>
    <t>AVENIDA NAZARE ESQUINA COM A RUA ANTONIO MARCONDES</t>
  </si>
  <si>
    <t>-23.5981342033202</t>
  </si>
  <si>
    <t>-46.6098877944961</t>
  </si>
  <si>
    <t>RUA FLORANIA ESQUINA COM RUA FLORIANA</t>
  </si>
  <si>
    <t>-23.6074980283253</t>
  </si>
  <si>
    <t>-46.6083275309531</t>
  </si>
  <si>
    <t>RUA MURIAE ESQUINA COM RUA SALVADOR SIMOES</t>
  </si>
  <si>
    <t>-23.6048395463324</t>
  </si>
  <si>
    <t>-46.6135494214475</t>
  </si>
  <si>
    <t>AVENIDA DOUTOR GENTIL DE MOURA ESQUINA COM AVENIDA NAZARE</t>
  </si>
  <si>
    <t>-23.6019965124734</t>
  </si>
  <si>
    <t>-46.6091331650501</t>
  </si>
  <si>
    <t>RUA ANTONIO MARCONDES ESQUINA COM A RUA HONORIO DOS SANTOS</t>
  </si>
  <si>
    <t>-23.5980153973836</t>
  </si>
  <si>
    <t>-46.6080712642029</t>
  </si>
  <si>
    <t>RUA RIBEIRO DO AMARAL ESQUINA COM AVENIDA NAZARE</t>
  </si>
  <si>
    <t>-23.5960700641424</t>
  </si>
  <si>
    <t>-46.6101040184915</t>
  </si>
  <si>
    <t>RUA DOUTOR ELISIO DE CASTRO ESQUINA COM A RUA SALVADOR SIMOES</t>
  </si>
  <si>
    <t>-23.5992384741739</t>
  </si>
  <si>
    <t>-46.6140140237918</t>
  </si>
  <si>
    <t>RUA MARIA QUITERIA DEFRONTE A RUA MARQUESA DE SANTOS</t>
  </si>
  <si>
    <t>-23.6056515092919</t>
  </si>
  <si>
    <t>-46.6116822493972</t>
  </si>
  <si>
    <t>RUA PADRE FRANCISCO XAVIER ROSER ESQUINA COM A AVENIDA DOUTOR GENTIL DE MOURA</t>
  </si>
  <si>
    <t>-23.6021121867229</t>
  </si>
  <si>
    <t>-46.6066192855292</t>
  </si>
  <si>
    <t>RUA JEREMIAS JUNIOR ESQUINA COM A RUA SANTA AUREA</t>
  </si>
  <si>
    <t>-23.6080142156584</t>
  </si>
  <si>
    <t>-46.610448655798</t>
  </si>
  <si>
    <t>RUA LUCAS OBES ESQUINA COM A RUA COSTA AGUIAR</t>
  </si>
  <si>
    <t>-23.5896380541355</t>
  </si>
  <si>
    <t>-46.606289135777</t>
  </si>
  <si>
    <t>RUA MIL OITOCENTOS E VINTE E DOIS ESQUINA COM A RUA BRIGADEIRO JORDAO</t>
  </si>
  <si>
    <t>-23.5863827515634</t>
  </si>
  <si>
    <t>-46.5994342110732</t>
  </si>
  <si>
    <t>RUA GENERAL LECOR ESQUINA COM A RUA MIL OITOCENTOS E VINTE E DOIS</t>
  </si>
  <si>
    <t>-23.5914141614273</t>
  </si>
  <si>
    <t>-46.5989769028534</t>
  </si>
  <si>
    <t>RUA XAVIER CURADO ESQUINA COM A RUA LINO COUTINHO</t>
  </si>
  <si>
    <t>-23.5843822221866</t>
  </si>
  <si>
    <t>-46.6032556584308</t>
  </si>
  <si>
    <t>RUA OLIVEIRA ALVES ESQUINA COM A RUA LINO COUTINHO</t>
  </si>
  <si>
    <t>-23.5853582522951</t>
  </si>
  <si>
    <t>-46.6031393987532</t>
  </si>
  <si>
    <t>RUA OLIVEIRA ALVES ESQUINA COM A RUA AGOSTINHO GOMES</t>
  </si>
  <si>
    <t>-23.5854591013277</t>
  </si>
  <si>
    <t>-46.6042029340829</t>
  </si>
  <si>
    <t>RUA LUCAS OBES ESQUINA COM A RUA AGOSTINHO GOMES</t>
  </si>
  <si>
    <t>-23.5891143803794</t>
  </si>
  <si>
    <t>-46.6038329659132</t>
  </si>
  <si>
    <t>RUA CIPRIANO BARATA ESQUINA COM A RUA DOS PATRIOTAS</t>
  </si>
  <si>
    <t>-23.5834080977994</t>
  </si>
  <si>
    <t>-46.6056338943914</t>
  </si>
  <si>
    <t>RUA OLIVEIRA ALVES ESQUINA COM A RUA SILVA BUENO</t>
  </si>
  <si>
    <t>-23.585261717296</t>
  </si>
  <si>
    <t>-46.601813816254</t>
  </si>
  <si>
    <t>RUA DO MANIFESTO ESQUINA COM A RUA CISPLATINA</t>
  </si>
  <si>
    <t>-23.5876275455261</t>
  </si>
  <si>
    <t>-46.6002311457932</t>
  </si>
  <si>
    <t>RUA SILVA BUENO ESQUINA COM A RUA XAVIER CURADO</t>
  </si>
  <si>
    <t>-23.5841575630687</t>
  </si>
  <si>
    <t>-46.6020627798993</t>
  </si>
  <si>
    <t>RUA SILVA BUENO ESQUINA COM A RUA CISPLATINA</t>
  </si>
  <si>
    <t>-23.587984216393</t>
  </si>
  <si>
    <t>-46.6014737276391</t>
  </si>
  <si>
    <t>RUA ALMIRANTE LOBO ESQUINA COM A RUA MIL OITOCENTOS E VINTE E DOIS</t>
  </si>
  <si>
    <t>-23.5901667749247</t>
  </si>
  <si>
    <t>-46.5988125054987</t>
  </si>
  <si>
    <t>RUA DO MANIFESTO ESQUINA COM A RUA ALMIRANTE LOBO</t>
  </si>
  <si>
    <t>-23.5900145594929</t>
  </si>
  <si>
    <t>-46.6003047712502</t>
  </si>
  <si>
    <t>RUA BOM PASTOR ESQUINA COM A RUA XAVIER CURADO</t>
  </si>
  <si>
    <t>-23.5847874073819</t>
  </si>
  <si>
    <t>-46.6074689069318</t>
  </si>
  <si>
    <t>RUA SILVA BUENO ESQUINA COM A RUA LORD COCKRANE</t>
  </si>
  <si>
    <t>-23.5925749826592</t>
  </si>
  <si>
    <t>-46.6013603356394</t>
  </si>
  <si>
    <t>RUA DO MANIFESTO 1246 DEFRONTE A RUA XAVIER CURADO</t>
  </si>
  <si>
    <t>-23.5842839631103</t>
  </si>
  <si>
    <t>-46.600615772322</t>
  </si>
  <si>
    <t>RUA DO MANIFESTO ESQUINA COM A RUA GENERAL LECOR</t>
  </si>
  <si>
    <t>-23.5915097477451</t>
  </si>
  <si>
    <t>-46.6001514623831</t>
  </si>
  <si>
    <t>RUA BRIGADEIRO JORDAO ESQUINA COM A RUA AGOSTINHO GOMES</t>
  </si>
  <si>
    <t>-23.5864487409565</t>
  </si>
  <si>
    <t>-46.6040569245207</t>
  </si>
  <si>
    <t>RUA CLEMENTE PEREIRA ESQUINA COM RUA MIL OITOCENTOS E VINTE E DOIS</t>
  </si>
  <si>
    <t>-23.5976637867869</t>
  </si>
  <si>
    <t>-46.598390590713</t>
  </si>
  <si>
    <t>RUA BOM PASTOR ESQUINA COM A RUA  GONCALVES LEDO</t>
  </si>
  <si>
    <t>-23.5971996576135</t>
  </si>
  <si>
    <t>-46.6056400421668</t>
  </si>
  <si>
    <t>RUA BOM PASTOR ESQUINA COM A RUA DO GRITO</t>
  </si>
  <si>
    <t>-23.599298553077</t>
  </si>
  <si>
    <t>-46.6047833477046</t>
  </si>
  <si>
    <t>RUA DOIS DE JULHO ESQUINA COM RUA SILVA BUENO</t>
  </si>
  <si>
    <t>-23.5959620785157</t>
  </si>
  <si>
    <t>-46.6006984775692</t>
  </si>
  <si>
    <t>RUA LINO COUTINHO ESQUINA RUA DOIS DE JULHO</t>
  </si>
  <si>
    <t>-23.5958281171206</t>
  </si>
  <si>
    <t>-46.6019573398146</t>
  </si>
  <si>
    <t>RUA DO MANIFESTO ESQUINA COM A RUA LABATUT</t>
  </si>
  <si>
    <t>-23.5937931576319</t>
  </si>
  <si>
    <t>-46.5999784197305</t>
  </si>
  <si>
    <t>RUA BOM PASTOR ESQUINA COM A RUA SILVA BUENO</t>
  </si>
  <si>
    <t>-23.6027303671167</t>
  </si>
  <si>
    <t>-46.6017109400943</t>
  </si>
  <si>
    <t>RUA CIPRIANO BARATA ESQUINA COM RUA GONCALVES LEDO</t>
  </si>
  <si>
    <t>-23.5970772852539</t>
  </si>
  <si>
    <t>-46.6045136848455</t>
  </si>
  <si>
    <t>RUA LINO COUTINHO ESQUINA COM A RUA LABATUT</t>
  </si>
  <si>
    <t>-23.5937204653529</t>
  </si>
  <si>
    <t>-46.6021601945297</t>
  </si>
  <si>
    <t>AVENIDA ALMIRANTE DELAMARE ESQUINA COM A RUA SILVA BUENO</t>
  </si>
  <si>
    <t>-23.6007983196502</t>
  </si>
  <si>
    <t>-46.6002689215685</t>
  </si>
  <si>
    <t>VILA CARIOCA</t>
  </si>
  <si>
    <t>RUA AIDA ESQUINA COM A RUA CAMPANTE</t>
  </si>
  <si>
    <t>-23.5971091945995</t>
  </si>
  <si>
    <t>-46.593542431248</t>
  </si>
  <si>
    <t>RUA RESENDE COSTA PROXIMO A ESQUINA COM A RUA  VISCONDE DE CAMAMU</t>
  </si>
  <si>
    <t>-23.6046040110401</t>
  </si>
  <si>
    <t>-46.5933158674755</t>
  </si>
  <si>
    <t>RUA PINHEIRO DE LEMOS  DEFRONTE AO BLOCO B 3</t>
  </si>
  <si>
    <t>-23.6011588963973</t>
  </si>
  <si>
    <t>-46.597009827823</t>
  </si>
  <si>
    <t>RUA PILOES ESQUINA COM A RUA MACIEL PARENTE</t>
  </si>
  <si>
    <t>-23.6006380537902</t>
  </si>
  <si>
    <t>-46.5954197584762</t>
  </si>
  <si>
    <t>RUA COMANDANTE TAYLOR PROXIMO A RUA SIQUEIRA BULCAO</t>
  </si>
  <si>
    <t>-23.6032999540898</t>
  </si>
  <si>
    <t>-46.5947142534903</t>
  </si>
  <si>
    <t>RUA ATTILIO BARTALINI PROXIMO 218</t>
  </si>
  <si>
    <t>-23.6081367865803</t>
  </si>
  <si>
    <t>-46.5802520720619</t>
  </si>
  <si>
    <t>RUA ANITA TAGLIAFERRI ESQUINA COM A RUA PROFESSOR JOSE OZI</t>
  </si>
  <si>
    <t>-23.6098438876825</t>
  </si>
  <si>
    <t>-46.5812247850882</t>
  </si>
  <si>
    <t>RUA MACIEL PARENTE 52 DEFRONTE AO BLOCO 04</t>
  </si>
  <si>
    <t>-23.5999040799156</t>
  </si>
  <si>
    <t>-46.596240625415</t>
  </si>
  <si>
    <t>RUA ALMIRANTE MARIATH ESQUINA COM A RUA COMANDANTE TAYLOR</t>
  </si>
  <si>
    <t>-23.601976558806</t>
  </si>
  <si>
    <t>-46.595405</t>
  </si>
  <si>
    <t>AVENIDA PRESIDENTE WILSON 5359 ESQUINA COM RUA LEOPOLDO FIGUEIREDO</t>
  </si>
  <si>
    <t>-23.5974674665153</t>
  </si>
  <si>
    <t>-46.5869677606986</t>
  </si>
  <si>
    <t>RUA AMADIS ESQUINA COM A RUA ANTONIO FREDERICO</t>
  </si>
  <si>
    <t>-23.5962485413601</t>
  </si>
  <si>
    <t>-46.5956167476353</t>
  </si>
  <si>
    <t>RUA  ANTONIO FREDERICO ESQUINA COM A RUA VEMAG</t>
  </si>
  <si>
    <t>-23.5990718116853</t>
  </si>
  <si>
    <t>-46.5928917678922</t>
  </si>
  <si>
    <t>RUA URUTAGUA ESQUINA AVENIDA PRESIDENTE WILSON</t>
  </si>
  <si>
    <t>-23.5985389650446</t>
  </si>
  <si>
    <t>-46.5865756741714</t>
  </si>
  <si>
    <t>RUA PATRIMONIO ESQUINA COM A RUA AURIVERDE</t>
  </si>
  <si>
    <t>-23.5982599122071</t>
  </si>
  <si>
    <t>-46.5896382600536</t>
  </si>
  <si>
    <t>RUA VEMAG ESQUINA COM AVENIDA PRESIDENTE WILSON</t>
  </si>
  <si>
    <t>-23.5960676366186</t>
  </si>
  <si>
    <t>-46.5887367749198</t>
  </si>
  <si>
    <t>RUA VIOLANTINO DOS SANTOS ESQUINA COM A RUA ROBERTO KOCH</t>
  </si>
  <si>
    <t>-23.5943559097856</t>
  </si>
  <si>
    <t>-46.5914746862473</t>
  </si>
  <si>
    <t>RUA ANEMONA NO FINAL DA RUA SEM SAIDA</t>
  </si>
  <si>
    <t>-23.6042880096301</t>
  </si>
  <si>
    <t>-46.5908617983189</t>
  </si>
  <si>
    <t>RUA COLORADO DEFRONTE A RUA SANTA AGUEDA</t>
  </si>
  <si>
    <t>-23.604419923526</t>
  </si>
  <si>
    <t>-46.5880461660138</t>
  </si>
  <si>
    <t>RUA CARIOCA PROXIMA A ESQUINA COM A RUA  FREI PEDRO DE SOUZA</t>
  </si>
  <si>
    <t>-23.6023015935108</t>
  </si>
  <si>
    <t>-46.5889473026395</t>
  </si>
  <si>
    <t>AVENIDA CARIOCA ESQUINA COM AVENIDA PRESIDENTE WILSON</t>
  </si>
  <si>
    <t>-23.6006155036728</t>
  </si>
  <si>
    <t>-46.5847432347298</t>
  </si>
  <si>
    <t>RUA AURIVERDE 2003ZZ DEFRONTE A RUA COLORADO</t>
  </si>
  <si>
    <t>-23.6030449976878</t>
  </si>
  <si>
    <t>-46.5850736541231</t>
  </si>
  <si>
    <t>RUA AIDA ESQUINA COM A RUA ROBERTO KOCH</t>
  </si>
  <si>
    <t>-23.5950854644264</t>
  </si>
  <si>
    <t>-46.5908560162504</t>
  </si>
  <si>
    <t>AVENIDA AURIVERDE ESQUINA COM A AVENIDA CARIOCA</t>
  </si>
  <si>
    <t>-23.6017238163772</t>
  </si>
  <si>
    <t>-46.58669229</t>
  </si>
  <si>
    <t>AVENIDA PRESIDENTE WILSON 6734</t>
  </si>
  <si>
    <t>-23.6039619175148</t>
  </si>
  <si>
    <t>-46.5815961109112</t>
  </si>
  <si>
    <t>AVENIDA PRESIDENTE WILSON ESQUINA COM A RUA MATIAS DE ALBUQUERQUE</t>
  </si>
  <si>
    <t>-23.5840215167413</t>
  </si>
  <si>
    <t>-46.5970674013355</t>
  </si>
  <si>
    <t>RUA COSTA AGUIAR ESQUINA COM RUA TABOR</t>
  </si>
  <si>
    <t>-23.5769456996052</t>
  </si>
  <si>
    <t>-46.6071660367801</t>
  </si>
  <si>
    <t>RUA LEAIS PAULISTANO ESQUINA COM A RUA BOM PASTOR</t>
  </si>
  <si>
    <t>-23.5785011646557</t>
  </si>
  <si>
    <t>-46.6084268685823</t>
  </si>
  <si>
    <t>RUA BOM PASTOR ESQUINA COM A RUA TABOR</t>
  </si>
  <si>
    <t>-23.5773216426</t>
  </si>
  <si>
    <t>-46.6088856319994</t>
  </si>
  <si>
    <t>RUA PRESIDENTE PINTO LIMA ESQUINA COM A AVENIDA PRESIDENTE WILSON</t>
  </si>
  <si>
    <t>-23.5683423884973</t>
  </si>
  <si>
    <t>-46.604839584933</t>
  </si>
  <si>
    <t>RUA AGOSTINHO GOMES ESQUINA COM AVENIDA DO ESTADO</t>
  </si>
  <si>
    <t>-23.5703520596012</t>
  </si>
  <si>
    <t>-46.605875849331</t>
  </si>
  <si>
    <t>RUA CIPRIANO BARATA 133</t>
  </si>
  <si>
    <t>-23.5705323629557</t>
  </si>
  <si>
    <t>-46.6067470610133</t>
  </si>
  <si>
    <t>RUA DO MANIFESTO DEFRONTE A RUA DOS SOROCABANOS E PORTAO DAS LINHAS COORENTES</t>
  </si>
  <si>
    <t>-23.5794662359452</t>
  </si>
  <si>
    <t>-46.6017401770687</t>
  </si>
  <si>
    <t>RUA DO MANIFESTO ESQUINA COM A RUA LEAIS PAULISTANOS</t>
  </si>
  <si>
    <t>-23.577911955747</t>
  </si>
  <si>
    <t>-46.6022488374625</t>
  </si>
  <si>
    <t>AVENIDA PRESIDENTE WILSON 4100 PROXIMO AO VIADUTO DA AVENIDA DO ESTADO</t>
  </si>
  <si>
    <t>-23.5875652414583</t>
  </si>
  <si>
    <t>-46.5953261867142</t>
  </si>
  <si>
    <t>RUA ROBERTO KOCH ESQUINA COM A RUA UBARANA</t>
  </si>
  <si>
    <t>-23.5920425255948</t>
  </si>
  <si>
    <t>-46.593462481895</t>
  </si>
  <si>
    <t>RUA LIMA E SILVA ESQUINA COM A RUA DAS JUNTAS PROVISORIAS</t>
  </si>
  <si>
    <t>-23.5943169997026</t>
  </si>
  <si>
    <t>-46.5971911172076</t>
  </si>
  <si>
    <t>AVENIDA PRESIDENTE WILSON ESQUINA COM A RUA DOS PATRIOTAS</t>
  </si>
  <si>
    <t>-23.5820348174552</t>
  </si>
  <si>
    <t>-46.5978285291376</t>
  </si>
  <si>
    <t>AVENIDA PRESIDENTE WILSON 3009</t>
  </si>
  <si>
    <t>-23.5794570007232</t>
  </si>
  <si>
    <t>-46.5991349484811</t>
  </si>
  <si>
    <t>AVENIDA PRESIDENTE WILSON 3056</t>
  </si>
  <si>
    <t>-23.5797527014967</t>
  </si>
  <si>
    <t>-46.5991365306606</t>
  </si>
  <si>
    <t>RUA LEAIS PAULISTANOS ENTRE A RUA DO MANIFESTO E A AVENIDA DO ESTADO</t>
  </si>
  <si>
    <t>-23.5780087375917</t>
  </si>
  <si>
    <t>-46.6017040438669</t>
  </si>
  <si>
    <t>AVENIDA PRESIDENTE WILSON PROXIMO DA ESQUINA COM A RUA GUEMBE</t>
  </si>
  <si>
    <t>-23.5748639837335</t>
  </si>
  <si>
    <t>-46.6016250910668</t>
  </si>
  <si>
    <t>AVENIDA PRESIDENTE WILSON 2735</t>
  </si>
  <si>
    <t>-23.5769549462624</t>
  </si>
  <si>
    <t>-46.6003096405801</t>
  </si>
  <si>
    <t>VILA MONUMENTO</t>
  </si>
  <si>
    <t>RUA CIPRIANO BARATA ESQUINA COM A RUA LEAIS PAULISTANOS</t>
  </si>
  <si>
    <t>-23.5785622493777</t>
  </si>
  <si>
    <t>-46.6059994797304</t>
  </si>
  <si>
    <t>RUA CIPRIANO BARATA ESQUINA COM A RUA TABOR</t>
  </si>
  <si>
    <t>-23.5772053230253</t>
  </si>
  <si>
    <t>-46.6061008680205</t>
  </si>
  <si>
    <t>RUA AGOSTINHO GOMES DEFRONTE A RUA DOS ITUANOS</t>
  </si>
  <si>
    <t>-23.5808913393827</t>
  </si>
  <si>
    <t>-46.6045462043402</t>
  </si>
  <si>
    <t>RUA SARGENTO MOR JOAO DE SOUZA ESQUINA COM A RUA DO MANIFESTO</t>
  </si>
  <si>
    <t>-23.5816736608201</t>
  </si>
  <si>
    <t>-46.601349085689</t>
  </si>
  <si>
    <t>RUA DO MANIFESTO ESQUINA COM A RUA DOM JOSE ALARCON</t>
  </si>
  <si>
    <t>-23.5808349503809</t>
  </si>
  <si>
    <t>-46.6016437938078</t>
  </si>
  <si>
    <t>RUA SILVA BUENO ESQUINA COM A RUA DOS SOROCABANOS</t>
  </si>
  <si>
    <t>-23.579722233692</t>
  </si>
  <si>
    <t>-46.602255491842</t>
  </si>
  <si>
    <t>RUA MARIANO PROCOPIO ESQUINA COM A RUA CORONEL DIOGO</t>
  </si>
  <si>
    <t>-23.5801905357332</t>
  </si>
  <si>
    <t>-46.6163651054962</t>
  </si>
  <si>
    <t>RUA BOM PASTOR ESQUINA COM A RUA DOS ITUANOS</t>
  </si>
  <si>
    <t>-23.5810283427938</t>
  </si>
  <si>
    <t>-46.6078243735602</t>
  </si>
  <si>
    <t>RUA JORGE MOREIRA ESQUINA COM A AVENIDA DOM PEDRO I</t>
  </si>
  <si>
    <t>-23.5746235374074</t>
  </si>
  <si>
    <t>-46.6104542091018</t>
  </si>
  <si>
    <t>RUA DA CONSTITUINTE ESQUINA COM A RUA CIPRIANO BARATA</t>
  </si>
  <si>
    <t>-23.5820283102679</t>
  </si>
  <si>
    <t>-46.6059437388576</t>
  </si>
  <si>
    <t>RUA DOS SOROCABANOS ESQUINA COM RUA COSTA AGUIAR</t>
  </si>
  <si>
    <t>-23.5798206530384</t>
  </si>
  <si>
    <t>-46.6071818477211</t>
  </si>
  <si>
    <t>AVENIDA DOM PEDRO I ESQUINA COM A RUA LIMA BARRETO</t>
  </si>
  <si>
    <t>-23.5705654251926</t>
  </si>
  <si>
    <t>-46.6108418862278</t>
  </si>
  <si>
    <t>RUA BENTO VIEIRA ESQUINA COM A RUA LEAIS PAULISTANOS</t>
  </si>
  <si>
    <t>-23.5783524674873</t>
  </si>
  <si>
    <t>-46.6035923188601</t>
  </si>
  <si>
    <t>AVENIDA NAZARE NO INTERIOR DO POSTO DE BOMBEIRO IPIRANGA</t>
  </si>
  <si>
    <t>-23.586387225788</t>
  </si>
  <si>
    <t>-46.6104813035646</t>
  </si>
  <si>
    <t>RUA PADRE MARCHETTI ESQUINA COM RUA XAVIER DE ALMEIDA</t>
  </si>
  <si>
    <t>-23.5885161303245</t>
  </si>
  <si>
    <t>-46.608451778925</t>
  </si>
  <si>
    <t>AVENIDA NAZARE 301</t>
  </si>
  <si>
    <t>-23.5865689433115</t>
  </si>
  <si>
    <t>-46.6105075545574</t>
  </si>
  <si>
    <t>RUA XAVIER CURADO ESQUINA COM A RUA XAVIER DE ALMEIDA</t>
  </si>
  <si>
    <t>-23.5848388541279</t>
  </si>
  <si>
    <t>-46.6085832192264</t>
  </si>
  <si>
    <t>NO INTERIOR DO MUSEU DO IPIRANGA AO LADO DO PREDIO PRINCIPAL NA SAIDA DA AVENIDA NAZARE</t>
  </si>
  <si>
    <t>-23.5855269559122</t>
  </si>
  <si>
    <t>-46.6105100431237</t>
  </si>
  <si>
    <t>RUA LORD COCKRANE ESQUINA COM A RUA BOM PASTOR</t>
  </si>
  <si>
    <t>-23.5932751946263</t>
  </si>
  <si>
    <t>-46.6069559911347</t>
  </si>
  <si>
    <t>RUA OLIVEIRA MELO ESQUINA COM A RUA DOUTOR MARIO VICENTE</t>
  </si>
  <si>
    <t>-23.5877032276373</t>
  </si>
  <si>
    <t>-46.6150255754463</t>
  </si>
  <si>
    <t>AVENIDA NAZARE ESQUINA COM A RUA ENGENHEIRO RANULFO PINHEIRO LIMA</t>
  </si>
  <si>
    <t>-23.5838967064055</t>
  </si>
  <si>
    <t>-46.6112453264836</t>
  </si>
  <si>
    <t>RUA OLIVEIRA MELO ESQUINA COM A RUA ARCIPRESTES EZEQUIAS</t>
  </si>
  <si>
    <t>-23.5924445387974</t>
  </si>
  <si>
    <t>-46.6197416515553</t>
  </si>
  <si>
    <t>RUA DOUTOR MARIO VICENTE ESQUINA COM AVENIDA DOUTOR RICARDO JAFET</t>
  </si>
  <si>
    <t>-23.5853748633894</t>
  </si>
  <si>
    <t>-46.6179223041482</t>
  </si>
  <si>
    <t>RUA DA IMPRENSA ESQUINA COM RUA MONT ALVERNE</t>
  </si>
  <si>
    <t>-23.5870337097385</t>
  </si>
  <si>
    <t>-46.6181364570555</t>
  </si>
  <si>
    <t>AVENIDA NAZARE ESQUINA COM A RUA PADRE MARCHETTI</t>
  </si>
  <si>
    <t>-23.5884884602824</t>
  </si>
  <si>
    <t>-46.6107998961752</t>
  </si>
  <si>
    <t>RUA HUET BACELAR ESQUINA COM A RUA MINISTRO CORIOLANO DE ALMEIDA JUNIOR</t>
  </si>
  <si>
    <t>-23.5936657455527</t>
  </si>
  <si>
    <t>-46.6175285221601</t>
  </si>
  <si>
    <t>RUA MONT ALVEME ESQUINA COM A  RUA PIQUETE</t>
  </si>
  <si>
    <t>-23.5843049148772</t>
  </si>
  <si>
    <t>-46.616057236802</t>
  </si>
  <si>
    <t>RUA BOM PASTOR ESQUINA COM RUA MOREIRA DE GODOI</t>
  </si>
  <si>
    <t>-23.591661798468</t>
  </si>
  <si>
    <t>-46.6071118461838</t>
  </si>
  <si>
    <t>RUA BOM PASTOR ESQUINA COM A RUA PADRE MARCHETTI</t>
  </si>
  <si>
    <t>-23.5884308864406</t>
  </si>
  <si>
    <t>-46.6074406991072</t>
  </si>
  <si>
    <t>RUA BRIGADEIRO JORDAO ESQUINA COM RUA BOM PASTOR</t>
  </si>
  <si>
    <t>-23.5868144624129</t>
  </si>
  <si>
    <t>-46.607526722742</t>
  </si>
  <si>
    <t>RUA SALVADOR SIMOES ESQUINA COM A RUA ARCIPRESTE ANDRADE</t>
  </si>
  <si>
    <t>-23.5950761379815</t>
  </si>
  <si>
    <t>-46.6140756191756</t>
  </si>
  <si>
    <t>RUA CONDE VICENTE AZEVEDO ESQUINA COM A RUA OLIVEIRA MELO</t>
  </si>
  <si>
    <t>-23.5860192283589</t>
  </si>
  <si>
    <t>-46.6135865093838</t>
  </si>
  <si>
    <t>RUA MAURICIO CASTILHO 20 ESQUINA COM RUA PADRE SENEPA</t>
  </si>
  <si>
    <t>-23.5856368349183</t>
  </si>
  <si>
    <t>-46.6155134244473</t>
  </si>
  <si>
    <t>RUA MAURICIO DE CASTILHO ESQUINA COM A RUA PAULO BREGARO</t>
  </si>
  <si>
    <t>-23.5848551537291</t>
  </si>
  <si>
    <t>-46.6119895692389</t>
  </si>
  <si>
    <t>RUA PAULO BREGARO ESQUINA COM A RUA BARAO DE LORETO</t>
  </si>
  <si>
    <t>-23.5874200879812</t>
  </si>
  <si>
    <t>-46.612051190881</t>
  </si>
  <si>
    <t>RUA CRUCAI ESQUINA COM A RUA CAPITAO JULIO ANFREDO MONTES</t>
  </si>
  <si>
    <t>-23.5905469105098</t>
  </si>
  <si>
    <t>-46.6158797988273</t>
  </si>
  <si>
    <t>RUA ARCIPRESTE EZEQUIAS 734 DEFRONTE A RUA DEBRET</t>
  </si>
  <si>
    <t>-23.5910725332219</t>
  </si>
  <si>
    <t>-46.6190733166975</t>
  </si>
  <si>
    <t>AVENIDA ENGENHEIRO ARMANDO DE ARRUDA PEREIRA 919 DEFRONTE A ESTACAO CONCEICAO</t>
  </si>
  <si>
    <t>-23.6354226929412</t>
  </si>
  <si>
    <t>-46.6409718143529</t>
  </si>
  <si>
    <t>AVENIDA ARMANDO ARRUDA 1765 1743 PRACA</t>
  </si>
  <si>
    <t>-23.6432226443226</t>
  </si>
  <si>
    <t>-46.64110075328</t>
  </si>
  <si>
    <t>RUA ARAPUA ESQUINA COM A AVENIDA ENGENHEIRO ARMANDO DE ARRUDA PEREIRA</t>
  </si>
  <si>
    <t>-23.6318358610975</t>
  </si>
  <si>
    <t>-46.6462936697195</t>
  </si>
  <si>
    <t>AVENIDA DO CAFE ESQUINA COM A RUA DIEDERICHEN</t>
  </si>
  <si>
    <t>-23.6328363009376</t>
  </si>
  <si>
    <t>-46.6379613668549</t>
  </si>
  <si>
    <t>RUA ITATIAIA ESQUINA RUA IBIRAJARA</t>
  </si>
  <si>
    <t>-23.6313398051695</t>
  </si>
  <si>
    <t>-46.6397945593781</t>
  </si>
  <si>
    <t>RUA CHARRUAS ESQUINA COM RUA GETULIO VARGAS FILHO</t>
  </si>
  <si>
    <t>-23.645056456839</t>
  </si>
  <si>
    <t>-46.636237137638</t>
  </si>
  <si>
    <t>RUA BICUDO DE BRITO ESQUINA COM RUA GENERAL GASTAO GOULART</t>
  </si>
  <si>
    <t>-23.6407381567471</t>
  </si>
  <si>
    <t>-46.6342555831851</t>
  </si>
  <si>
    <t>AVENIDA AGUA FUNDA ESQUINA COM A RUA IMBURI</t>
  </si>
  <si>
    <t>-23.6376759461567</t>
  </si>
  <si>
    <t>-46.6352952430884</t>
  </si>
  <si>
    <t>RUA DOMINICIANO LEITE RIBEIRO ESQUINA COM RUA MARINGA</t>
  </si>
  <si>
    <t>-23.6402933495914</t>
  </si>
  <si>
    <t>-46.631923042638</t>
  </si>
  <si>
    <t>PRACA DO ESPINHAO ESQUINA COM RUADOMICIANO LEITE RIBEIRO</t>
  </si>
  <si>
    <t>-23.6436754817375</t>
  </si>
  <si>
    <t>-46.6325362766439</t>
  </si>
  <si>
    <t>RUA EDGAR PEREIRA ESQUINA COM A AVENIDA DIEDERICHSEN</t>
  </si>
  <si>
    <t>-23.6335674785324</t>
  </si>
  <si>
    <t>-46.6322801615015</t>
  </si>
  <si>
    <t>RUA LASSUNVIRA  27 DEFRONTE A PRACA JUAN GRIS</t>
  </si>
  <si>
    <t>-23.639268762797</t>
  </si>
  <si>
    <t>-46.6370865961563</t>
  </si>
  <si>
    <t>RUA MARACA ESQUINA COM A RUA BOTELHO</t>
  </si>
  <si>
    <t>-23.6362410209863</t>
  </si>
  <si>
    <t>-46.6389680799127</t>
  </si>
  <si>
    <t>RUA LUCRECIA MACIEL ESQUINA COM A AVENIDA DIEDERICHSEN</t>
  </si>
  <si>
    <t>-23.6340200210038</t>
  </si>
  <si>
    <t>-46.6362467319722</t>
  </si>
  <si>
    <t>RUA DOMINGOS DE SANTA MARIA ESQUINA COM A RUA BARRA DO PARATECA</t>
  </si>
  <si>
    <t>-23.6320779104557</t>
  </si>
  <si>
    <t>-46.6331790904776</t>
  </si>
  <si>
    <t>RUA DOMINGOS DE SANTA MARIA 202</t>
  </si>
  <si>
    <t>-23.6315657317075</t>
  </si>
  <si>
    <t>-46.6379718781252</t>
  </si>
  <si>
    <t>RUA GENERAL MANOEL VARGAS PROXIMO DA ESQUINA DA RUA NELSON FERNANDES  PRACA DACIO PIRES CORREA</t>
  </si>
  <si>
    <t>-23.6475441806007</t>
  </si>
  <si>
    <t>-46.6376938054978</t>
  </si>
  <si>
    <t>RUA PAMPA ESQUINA COM A RUA LEUCINA</t>
  </si>
  <si>
    <t>-23.6454739843493</t>
  </si>
  <si>
    <t>-46.6340057706979</t>
  </si>
  <si>
    <t>AVENIDA ENGENHEIRO ARMANDO DE ARRUDA PEREIRA ESQUINA COM A RUA BOTELHO</t>
  </si>
  <si>
    <t>-23.6372230457679</t>
  </si>
  <si>
    <t>-46.6410883339792</t>
  </si>
  <si>
    <t>RUA JOAO TURIANO ESQUINA COM A RUA JOSE DE ALCANTARA</t>
  </si>
  <si>
    <t>2021-06-11</t>
  </si>
  <si>
    <t>-23.6501353938181</t>
  </si>
  <si>
    <t>-46.6384147091658</t>
  </si>
  <si>
    <t>TRAVESSA NICANOR MAURICIO NO FINAL DA RUA</t>
  </si>
  <si>
    <t>-23.6519992798045</t>
  </si>
  <si>
    <t>-46.636269134549</t>
  </si>
  <si>
    <t>RUA OITEIRO 90</t>
  </si>
  <si>
    <t>-23.6516680056479</t>
  </si>
  <si>
    <t>-46.6408642099941</t>
  </si>
  <si>
    <t>AVENIDA ENGENHEIRO ARMANDO DE ARRUDA PEREIRA DEFRONTE A RUA CONDURU</t>
  </si>
  <si>
    <t>-23.638117391185</t>
  </si>
  <si>
    <t>-46.6414099987215</t>
  </si>
  <si>
    <t>RUA DOS JEQUITIBAS 88 NA ENTRADA DO METRO JABAQUARA</t>
  </si>
  <si>
    <t>-23.6466197841024</t>
  </si>
  <si>
    <t>-46.6409390067811</t>
  </si>
  <si>
    <t>AVENIDA ENGENHEIRO GEORGE CORBISIER ESQUINA COM A RUA DAS PEROBAS</t>
  </si>
  <si>
    <t>-23.6409369785318</t>
  </si>
  <si>
    <t>-46.6434416039034</t>
  </si>
  <si>
    <t>RUA MARECHAL CAETANO DE FARIA PROX A RUA JORGE FALEIROS</t>
  </si>
  <si>
    <t>-23.6308541495471</t>
  </si>
  <si>
    <t>-46.6474126380576</t>
  </si>
  <si>
    <t>AVENIDA ENGENHEIRO ARMANDO ARRUDA PEREIRA ESQUINA COM A RUA DAS BICUIBAS</t>
  </si>
  <si>
    <t>-23.6430504053802</t>
  </si>
  <si>
    <t>-46.6415564292923</t>
  </si>
  <si>
    <t>AVENIDA ENGENHEIRO ARMANDO ARRUDA PEREIRA  ESQUINA COM A RUA JOSE ALCANTARA</t>
  </si>
  <si>
    <t>-23.6493864199471</t>
  </si>
  <si>
    <t>-46.6402749949143</t>
  </si>
  <si>
    <t>RUA CANJERANAS 310 ESQUINA COM A RUA NHANDIROBAS</t>
  </si>
  <si>
    <t>-23.6487426820997</t>
  </si>
  <si>
    <t>-46.6473296704144</t>
  </si>
  <si>
    <t>RUA DAS CANJERANAS ESQUINA COM A RUA LUIS ORSINI DE CASTRO</t>
  </si>
  <si>
    <t>-23.6475217347962</t>
  </si>
  <si>
    <t>-46.6490814930282</t>
  </si>
  <si>
    <t>RUA EDGARD AMORIM AMARAL ESQUINA COM A RUA DOUTOR VICTOR EUGENIO DO SACRAMENTO</t>
  </si>
  <si>
    <t>-23.6463918701809</t>
  </si>
  <si>
    <t>-46.6497815288761</t>
  </si>
  <si>
    <t>RUA ANTONIO DE AGUIAR ESQUINA COM A RUA ITAMBACURI</t>
  </si>
  <si>
    <t>-23.6436056522855</t>
  </si>
  <si>
    <t>-46.6472494856973</t>
  </si>
  <si>
    <t>AVENIDA JORGE CORBISIER ESQUINA COM A RUA RAIZ DA SERRA</t>
  </si>
  <si>
    <t>-23.6422613788824</t>
  </si>
  <si>
    <t>-46.6444001487767</t>
  </si>
  <si>
    <t>RUA WILSON PEREIRA DE ALMEIDA ESQUINA COM A RUA TACIBA</t>
  </si>
  <si>
    <t>-23.6417915535884</t>
  </si>
  <si>
    <t>-46.656099136643</t>
  </si>
  <si>
    <t>RUA AJURITIBA PROXIMO A RUA BARRANIA</t>
  </si>
  <si>
    <t>-23.6431022819133</t>
  </si>
  <si>
    <t>-46.6528908890614</t>
  </si>
  <si>
    <t>RUA DAS OTICICAS COM A PRACA NICOLAU WEBER</t>
  </si>
  <si>
    <t>-23.639010664177</t>
  </si>
  <si>
    <t>-46.6477189980363</t>
  </si>
  <si>
    <t>RUA TENENTE MAURO DE MIRANDA ENTROCAMENTO COM A RUA TENENTE UBIRAJARA MONORY</t>
  </si>
  <si>
    <t>-23.6367922589362</t>
  </si>
  <si>
    <t>-46.641921008924</t>
  </si>
  <si>
    <t>RUA TENENTE UBIRAJARA MONORY ENTROCAMENTEO COM A RUA TENENTE MAURO DE MIRANDA</t>
  </si>
  <si>
    <t>-23.6368814041361</t>
  </si>
  <si>
    <t>-46.6418935796317</t>
  </si>
  <si>
    <t>RUA SARGGENTO TOMAS NO FINAL DA RUA A DIREITA</t>
  </si>
  <si>
    <t>-23.6367075696426</t>
  </si>
  <si>
    <t>-46.6431099867479</t>
  </si>
  <si>
    <t>AVENIDA PEDRO BUENO 235 PROXIMO A ESQUINA COM A  RUA BARROS BROTERO</t>
  </si>
  <si>
    <t>-23.6335558653777</t>
  </si>
  <si>
    <t>-46.6471139000581</t>
  </si>
  <si>
    <t>RUA LEDUGERIO DE FREITAS BARBOSA ESQUINA COM A RUA JURUPARI</t>
  </si>
  <si>
    <t>-23.6454818648597</t>
  </si>
  <si>
    <t>-46.6476417000868</t>
  </si>
  <si>
    <t>RUA DOS BURTIS ESQUINA COM A AVENIDA DOS JEQUITIBAS</t>
  </si>
  <si>
    <t>-23.6463779681256</t>
  </si>
  <si>
    <t>-46.6433945098291</t>
  </si>
  <si>
    <t>AVENIDA ENGENHEIRO GEORGE CORBISIER PROXIMO DA ESQUINA COM A RUA OASIS</t>
  </si>
  <si>
    <t>-23.6433652141604</t>
  </si>
  <si>
    <t>-46.6449395956622</t>
  </si>
  <si>
    <t>RUA CASSUARINAS 96 TRAVESSA RUA PARTICULAR FECHADA NO FINAL DELA</t>
  </si>
  <si>
    <t>-23.6455757055915</t>
  </si>
  <si>
    <t>-46.6436527669893</t>
  </si>
  <si>
    <t>TRAVESSA DA RUA DAS CASUARINAS NO FINAL</t>
  </si>
  <si>
    <t>-23.6451523463743</t>
  </si>
  <si>
    <t>-46.643404664224</t>
  </si>
  <si>
    <t>RUA DOS BURITIS DEFRONTE A RUA DOS LINGUSTROS</t>
  </si>
  <si>
    <t>-23.6512542810957</t>
  </si>
  <si>
    <t>-46.6466411617951</t>
  </si>
  <si>
    <t>TRAVESSA SEM SAIDA DA RUA ALBA PROXIMO A RUA AJURITIBA FUNDOS DE UM CONDOMINIO DE PREDIOS</t>
  </si>
  <si>
    <t>-23.6403044374461</t>
  </si>
  <si>
    <t>-46.6531448933673</t>
  </si>
  <si>
    <t>JARDIM BOM CLIMA</t>
  </si>
  <si>
    <t>RUA TUPIRITAMA ESQUINA COM A RUA SERPINS</t>
  </si>
  <si>
    <t>-23.6607107539103</t>
  </si>
  <si>
    <t>-46.6434920055479</t>
  </si>
  <si>
    <t>RUA CIDADE DE SANTOS ESQUINA COM RUA DOUTOR MARIO DE CAMPOS</t>
  </si>
  <si>
    <t>-23.664623205774</t>
  </si>
  <si>
    <t>-46.6444389730178</t>
  </si>
  <si>
    <t>RUA ANDRE LANG ESQUINA COM RUA FRANCESCO SOLIMENA</t>
  </si>
  <si>
    <t>-23.6599958175583</t>
  </si>
  <si>
    <t>-46.6442635134871</t>
  </si>
  <si>
    <t>AVENIDA GENERAL DALTRO FILHO 220 DEFRONTE AO HOSPITAL SABOYA</t>
  </si>
  <si>
    <t>-23.6538356301801</t>
  </si>
  <si>
    <t>-46.6463236763581</t>
  </si>
  <si>
    <t>RUA BENTO COELHO DA SILVEIRA PROXIMO A ESQUINA COM A RUA DO MARQUES DEFRONTE A PRACA ISIDORO MACHADO</t>
  </si>
  <si>
    <t>-23.6563174564252</t>
  </si>
  <si>
    <t>-46.6477091929248</t>
  </si>
  <si>
    <t>RUA CIDADE DE SANTOS ESQUINA COM ARUA TUPIRITAMA</t>
  </si>
  <si>
    <t>-23.663649109414</t>
  </si>
  <si>
    <t>-46.645511401194</t>
  </si>
  <si>
    <t>AVENIDA JOAO ESTEVAO DE MAGALHAES ESQUINA COM RUA AFONSO XIII</t>
  </si>
  <si>
    <t>-23.6576461186544</t>
  </si>
  <si>
    <t>-46.6490651547642</t>
  </si>
  <si>
    <t>RUA DOUTOR RUI DE AZEVEDO SODRE 530 PROXIMO A ESQUINA COM A  RUA PROFESSORA FLORA LOPES DE OLIVEIRA</t>
  </si>
  <si>
    <t>-23.6587959397507</t>
  </si>
  <si>
    <t>-46.6548676453568</t>
  </si>
  <si>
    <t>RUA CORONEL LUIZ DE FARIA E SOUZA ESQUINA COM RUA VALTER PINTO</t>
  </si>
  <si>
    <t>-23.6524297427586</t>
  </si>
  <si>
    <t>-46.638916052753</t>
  </si>
  <si>
    <t>RUA CAPITAO VALDIR ALVES DE SIQUEIRA ESQUINA COM A RUA PORCELANA</t>
  </si>
  <si>
    <t>-23.6548440540428</t>
  </si>
  <si>
    <t>-46.6387980403046</t>
  </si>
  <si>
    <t>AVENIDA EUCLIDES ESQUINA COM A RUA GODOFREDO BRAGA</t>
  </si>
  <si>
    <t>-23.6560194232203</t>
  </si>
  <si>
    <t>-46.6354461369607</t>
  </si>
  <si>
    <t>RUA ANTONIO COVELLO PROXIMO DA ESQUINA COM A RUA PADRE GABRIEL GONCALVES</t>
  </si>
  <si>
    <t>-23.6600761129487</t>
  </si>
  <si>
    <t>-46.6606218402517</t>
  </si>
  <si>
    <t>AVENIDA ANTONIO TENREIRO ESQUINA COM ESTRADA ANTIGA DO MAR</t>
  </si>
  <si>
    <t>-23.6693896425728</t>
  </si>
  <si>
    <t>-46.6353618312942</t>
  </si>
  <si>
    <t>AVENIDA JOSE ESTEVAO DE MAGALHAES PROXIMO A ESQUINA COM A  RUA PRINCIPE DAS ASTURIAS</t>
  </si>
  <si>
    <t>-23.6594728407082</t>
  </si>
  <si>
    <t>-46.6503581870946</t>
  </si>
  <si>
    <t>RUA TEODORO CABRAL ESQUINA COM A RUA JOSE POMPEU</t>
  </si>
  <si>
    <t>-23.6638145940469</t>
  </si>
  <si>
    <t>-46.6515305810142</t>
  </si>
  <si>
    <t>RUA ANTONIO DA SILVA PORTO ESQUINA COM A RUA DOUTOR JORGE RUBENS NEIVA DE CAMARGO</t>
  </si>
  <si>
    <t>-23.6653525009259</t>
  </si>
  <si>
    <t>-46.6473963943229</t>
  </si>
  <si>
    <t>RUA EMILIO DE SOUZA DOCCA ESQUINA COM A RUA CIDADE BAGDA</t>
  </si>
  <si>
    <t>-23.6586002224856</t>
  </si>
  <si>
    <t>-46.6559377726786</t>
  </si>
  <si>
    <t>RUA JOAO TURRIANO ESQUINA COM A RUA SANTA RITA D OESTE</t>
  </si>
  <si>
    <t>-23.6530085116476</t>
  </si>
  <si>
    <t>-46.6401672485478</t>
  </si>
  <si>
    <t>RUA JOSE DE ALCANTARA ESQUINA COM A AVENIDA BARRO BRANCO</t>
  </si>
  <si>
    <t>-23.6514358652415</t>
  </si>
  <si>
    <t>-46.6350684550521</t>
  </si>
  <si>
    <t>RUA JOSE GASPAR ESQUINA COM A RUA DOUTRO MARIO DE CAMPOS</t>
  </si>
  <si>
    <t>-23.6630102509343</t>
  </si>
  <si>
    <t>-46.6430768808347</t>
  </si>
  <si>
    <t>RUA NASCIMENTO DA SILVA ESQUINA COM A RUA ROSALIA DE CASTRO</t>
  </si>
  <si>
    <t>-23.6591578455708</t>
  </si>
  <si>
    <t>-46.6448793992556</t>
  </si>
  <si>
    <t>RUA ONOFRE DA SILVA ESQUINA COM A RUA COROA IMPERIAL</t>
  </si>
  <si>
    <t>-23.6579900017413</t>
  </si>
  <si>
    <t>-46.641240358462</t>
  </si>
  <si>
    <t>RUA CONDE DE MOREIRA LIMA 440</t>
  </si>
  <si>
    <t>-23.6610846123236</t>
  </si>
  <si>
    <t>-46.6599065489539</t>
  </si>
  <si>
    <t>AVENIDA ENGENHEIRO ARMANDO DE ARRUDA PEREIRA 3305 ESTACAO DE BOMBEIRO JABAQUARA</t>
  </si>
  <si>
    <t>-23.6542627880146</t>
  </si>
  <si>
    <t>-46.6372686884236</t>
  </si>
  <si>
    <t>VILA SANTA CATARINA</t>
  </si>
  <si>
    <t>RUA CORIOLANO DURAND ESQUINA COM A RUA CHARLES DARWIN</t>
  </si>
  <si>
    <t>-23.6543868809979</t>
  </si>
  <si>
    <t>-46.6580300590597</t>
  </si>
  <si>
    <t>RUA PROFESSOR EMYDIO DA FONSECA TELLES PROXIMO A RUA ALBA</t>
  </si>
  <si>
    <t>-23.6447674430321</t>
  </si>
  <si>
    <t>-46.6587243644391</t>
  </si>
  <si>
    <t>AVENIDA GEORGE COBESIER ESQUINA COM A RUA BOCOROA</t>
  </si>
  <si>
    <t>-23.6517294484756</t>
  </si>
  <si>
    <t>-46.6481474420751</t>
  </si>
  <si>
    <t>RUA NAVARRAESQUINA COM A  RUA FRANKLIN  MAGALHES</t>
  </si>
  <si>
    <t>-23.650240632673</t>
  </si>
  <si>
    <t>-46.6545277215884</t>
  </si>
  <si>
    <t>RUA NELSON WASHINGTON PEREIRA ESQUINA COM A RUA RISHIN MATSUDA</t>
  </si>
  <si>
    <t>-23.646981162995</t>
  </si>
  <si>
    <t>-46.6571946567701</t>
  </si>
  <si>
    <t>AVENIDA DASMASCENO VIEIRA ESQUINA COM A AV DAMACENO VIEIRA</t>
  </si>
  <si>
    <t>-23.6458314076899</t>
  </si>
  <si>
    <t>-46.6635460965335</t>
  </si>
  <si>
    <t>RUA DAS TAQUARAS ESQUINA COM A RUA DOUTOR DJALMA PINHEIRO FRANCO</t>
  </si>
  <si>
    <t>-23.6510306020594</t>
  </si>
  <si>
    <t>-46.6644871498193</t>
  </si>
  <si>
    <t>RUA JOAQUIM MORAES ESQUINA COM A RUA JOAO BARRETO DE MENEZES</t>
  </si>
  <si>
    <t>-23.6507709219147</t>
  </si>
  <si>
    <t>-46.6613900540069</t>
  </si>
  <si>
    <t>RUA EMILIO DE SOUZA DOCCA ESQUINA COM A RUA ALTO DO BONFIM</t>
  </si>
  <si>
    <t>-23.6528772644627</t>
  </si>
  <si>
    <t>-46.6609328631322</t>
  </si>
  <si>
    <t>RUA CORIOLANO DURAND ESQUINA COM A RUA ANTONIO LOUREIRO</t>
  </si>
  <si>
    <t>-23.6524684970593</t>
  </si>
  <si>
    <t>-46.65564400361</t>
  </si>
  <si>
    <t>RUA GENERAL ALDEVIO BARBOSA DE LEMOS ESQUINA ATOS DAMASCENO</t>
  </si>
  <si>
    <t>-23.6479143539491</t>
  </si>
  <si>
    <t>-46.65513126147</t>
  </si>
  <si>
    <t>RUA EMILIO DE SOUZA DOCCA ESQUINA COM A RUA CORIOLANO DURAND</t>
  </si>
  <si>
    <t>-23.6552451826138</t>
  </si>
  <si>
    <t>-46.6586979033086</t>
  </si>
  <si>
    <t>RUA ALBA ESQUINA COM A RUA TENENTE AMERICO MORETTI</t>
  </si>
  <si>
    <t>-23.6473372188299</t>
  </si>
  <si>
    <t>-46.6605695387661</t>
  </si>
  <si>
    <t>AVENIDA DAMASCENO VIEIRA ESQUINA COM A RUA DOS PAULISTANOS</t>
  </si>
  <si>
    <t>-23.6445962424281</t>
  </si>
  <si>
    <t>-46.6626564051238</t>
  </si>
  <si>
    <t>RUA SANTA ESQUINA COM AVENIDA DAMASCENO VIEIRA</t>
  </si>
  <si>
    <t>-23.647029587561</t>
  </si>
  <si>
    <t>-46.6660195416338</t>
  </si>
  <si>
    <t>RUA PALACETE DAS AGUAS ESQUINA COM A PALESTINA</t>
  </si>
  <si>
    <t>-23.6436643650011</t>
  </si>
  <si>
    <t>-46.6673166399895</t>
  </si>
  <si>
    <t>RUA DORNAS ESQUINA COM A RUA CIRIDIAO DURVAL</t>
  </si>
  <si>
    <t>-23.6419529227271</t>
  </si>
  <si>
    <t>-46.6636884218936</t>
  </si>
  <si>
    <t>RUA OCTAVIO TEIXEIRA MENDES SOBRINHO ESQUINA COM A RUA ANTONIO LOUREIRO</t>
  </si>
  <si>
    <t>-23.654881310867</t>
  </si>
  <si>
    <t>-46.6534618989665</t>
  </si>
  <si>
    <t>AVENIDA SANTA CATARINA ESQUINA COM A RUA TENENTE CORONEL ANTONIO BRAGA</t>
  </si>
  <si>
    <t>-23.6554712855558</t>
  </si>
  <si>
    <t>-46.6554804009945</t>
  </si>
  <si>
    <t>RUA GUSTAVO DA SILVEIRA ESQUINA COM A RUA RISHIN MATSUDA</t>
  </si>
  <si>
    <t>-23.6499829766984</t>
  </si>
  <si>
    <t>-46.6594319546174</t>
  </si>
  <si>
    <t>RUA FRANKLIN MAGALHAES ESQUINA COM A RUA ANTONIO LOUREIRO</t>
  </si>
  <si>
    <t>-23.6517017212488</t>
  </si>
  <si>
    <t>-46.656374866711</t>
  </si>
  <si>
    <t>RUA DOUTOR DJALMA PINHEIRO FRANCO ESQUINA COM A AVENIDA SANTA CATARINA</t>
  </si>
  <si>
    <t>-23.648552973782</t>
  </si>
  <si>
    <t>-46.6624860873111</t>
  </si>
  <si>
    <t>AVENIDA NOVA ARCADIA PROXIMO A ESQUINA COM A ESTRADA DA BARONESA</t>
  </si>
  <si>
    <t>-23.6950900625339</t>
  </si>
  <si>
    <t>-46.7629379210153</t>
  </si>
  <si>
    <t>JARDIM CAPELA</t>
  </si>
  <si>
    <t>RUA EUBEBIA ESQUINA COM A RUA MAGNA GRECIA</t>
  </si>
  <si>
    <t>-23.7363327287214</t>
  </si>
  <si>
    <t>-46.7819390929686</t>
  </si>
  <si>
    <t>AVENIDA DOS FUNCIONARIOS PUBLICOS PROXIMO DA ESQUINA COM A ESTRADA DO EMBU GUACU</t>
  </si>
  <si>
    <t>-23.7314552176087</t>
  </si>
  <si>
    <t>-46.7856702851656</t>
  </si>
  <si>
    <t>MORRO DO ÍNDIO</t>
  </si>
  <si>
    <t>RUA CIRILO MACHADO ESQUINA COM A AVENIDA VISCONDE DO RIO GRANDE</t>
  </si>
  <si>
    <t>-23.6795195929287</t>
  </si>
  <si>
    <t>-46.7746544588216</t>
  </si>
  <si>
    <t>RUA ANTONIO DE SENA 80  NO INTERIOR DO PREDIO DA SABESP  BICA DE ENCHIMENTO RAPIDO</t>
  </si>
  <si>
    <t>-23.6600925019058</t>
  </si>
  <si>
    <t>-46.7440187737763</t>
  </si>
  <si>
    <t>AVENIDA MARIA COELHO AGUIAR 1435 NO ACESSO PARA A RUA ANTONIO DA MATA JUNIOR</t>
  </si>
  <si>
    <t>-23.6565603935502</t>
  </si>
  <si>
    <t>-46.7357381731137</t>
  </si>
  <si>
    <t>PRACA MANOEL MAIOTTI PROXIMO A RUA MERCEDES NASSER SABBAG</t>
  </si>
  <si>
    <t>-23.6640221128089</t>
  </si>
  <si>
    <t>-46.7534774447464</t>
  </si>
  <si>
    <t>RUA DEOCLECIANO DE OLIVEIRA FILHO ESQUINA COM RUA DURVAL GUERRA DE AZEVEDO</t>
  </si>
  <si>
    <t>-23.667515280274</t>
  </si>
  <si>
    <t>-46.7554147473923</t>
  </si>
  <si>
    <t>RUA FLOR DE NATAL 485 PROXIMO DA ESQUINA COM A RUA MANGUALBE</t>
  </si>
  <si>
    <t>-23.6660313896041</t>
  </si>
  <si>
    <t>-46.76110524</t>
  </si>
  <si>
    <t>RUA ANTONIO DE SENA 80  NO INTERIOR DO PREDIO DA SABESP</t>
  </si>
  <si>
    <t>-23.6596078961797</t>
  </si>
  <si>
    <t>-46.7436774305722</t>
  </si>
  <si>
    <t xml:space="preserve">RUA ANTONIO DE SENA 80  NO INTERIOR DA SABESP </t>
  </si>
  <si>
    <t>-23.6600804755939</t>
  </si>
  <si>
    <t>-46.7439806737779</t>
  </si>
  <si>
    <t>RUA BENTO BARROSO PEREIRA PROXIMO A RUA JOSE BARROS MAGALDI</t>
  </si>
  <si>
    <t>-23.6614373345432</t>
  </si>
  <si>
    <t>-46.7360452582995</t>
  </si>
  <si>
    <t>RUA JOSE SEDENHO ESQUINA COM A RUA MANUEL VIEIRA SARMENTO</t>
  </si>
  <si>
    <t>-23.6713306757947</t>
  </si>
  <si>
    <t>-46.751885713293</t>
  </si>
  <si>
    <t>RUA BARTOLOMEU DOS SANTOS DEFRONTE A RUA FELIPE SANTIAGO</t>
  </si>
  <si>
    <t>-23.6686363461316</t>
  </si>
  <si>
    <t>-46.7483916791656</t>
  </si>
  <si>
    <t>RUA COMENDADOR ANTUNES DOS SANTOS ESQUINA COM A RUA DOUTOR ENZO SILVEIRA</t>
  </si>
  <si>
    <t>-23.6705987459816</t>
  </si>
  <si>
    <t>-46.7604236140957</t>
  </si>
  <si>
    <t>RUA GUIMARAES TAVARES DEFRONTE A RUA DOUTOR JOSE DA MATA CARDIM</t>
  </si>
  <si>
    <t>-23.6504346773066</t>
  </si>
  <si>
    <t>-46.731715369693</t>
  </si>
  <si>
    <t>RUA JOSE SERRA ESQUINA COM A RUA ESTEVAO FERNANDES</t>
  </si>
  <si>
    <t>-23.6749965576968</t>
  </si>
  <si>
    <t>-46.7408904702907</t>
  </si>
  <si>
    <t>TRAVESSA AMALIA BRUGNOLI PROXIMO A RUA IPEL</t>
  </si>
  <si>
    <t>-23.6890364039671</t>
  </si>
  <si>
    <t>-46.7469277557491</t>
  </si>
  <si>
    <t>AVENIDA HUNGRIA NA CALCADA DO PREDIO DA CDHU</t>
  </si>
  <si>
    <t>-23.6834796596039</t>
  </si>
  <si>
    <t>-46.7440637</t>
  </si>
  <si>
    <t>RUA ANTONIO VIEIRA MISTURA PROXIMO A RUA ASCANIO LOPES</t>
  </si>
  <si>
    <t>-23.6778862485509</t>
  </si>
  <si>
    <t>-46.7381766435059</t>
  </si>
  <si>
    <t>AVENIDA GEORGE ANSELMI PROXIMO DA ESQUINA COM RUA HERCILIA GONCALVES DOS SANTOS</t>
  </si>
  <si>
    <t>-23.6826165794932</t>
  </si>
  <si>
    <t>-46.7455695108567</t>
  </si>
  <si>
    <t>RUA BALDOMERO CARQUEIJA 214 ESQUINA COM A RUA URUPEMA NO INTERIOR DO CONDOMINIO CONJUNTO RESIDENCIAL ANDREA</t>
  </si>
  <si>
    <t>-23.6471616007156</t>
  </si>
  <si>
    <t>-46.7508448753506</t>
  </si>
  <si>
    <t>RUA JOAO FERNANDES CAMISA NOVA JUNIOR PROXIMO DA ESQUINA COM A RUA YOSHIMARA MINAMOTO</t>
  </si>
  <si>
    <t>-23.6532807762914</t>
  </si>
  <si>
    <t>-46.7414376117555</t>
  </si>
  <si>
    <t>RUA JOAO FERNANDES CAMISA NOVA JUNIOR ESQUINA COM A RUA ANTONIO ESPER</t>
  </si>
  <si>
    <t>-23.6565537519355</t>
  </si>
  <si>
    <t>-46.7413554199155</t>
  </si>
  <si>
    <t>RUA ANTONIO MULATI ESQUINA COM A RUA CORONEL LUIZ SCHIMITH</t>
  </si>
  <si>
    <t>2021-08-21</t>
  </si>
  <si>
    <t>-23.6433710785106</t>
  </si>
  <si>
    <t>-46.7405011486315</t>
  </si>
  <si>
    <t>RUA ARISTODEMO GAZOTTI ESQUINA COM A RUA MANUEL CAPOTO</t>
  </si>
  <si>
    <t>-23.6481827791889</t>
  </si>
  <si>
    <t>-46.7406591008958</t>
  </si>
  <si>
    <t>ESTRADA DE ITAPECERICA ESQUINA COM RUA SEBASTIAO AZEVEDO</t>
  </si>
  <si>
    <t>-23.6443993951412</t>
  </si>
  <si>
    <t>-46.7452652389058</t>
  </si>
  <si>
    <t>AVENIDA TOMAS DE SOUSA ESQUINA COM A  RUA LUIS GIL</t>
  </si>
  <si>
    <t>-23.6435022634107</t>
  </si>
  <si>
    <t>-46.7381120249263</t>
  </si>
  <si>
    <t xml:space="preserve">ESTRADA DE ITAPECERICA 1187 LADO OPOSTO </t>
  </si>
  <si>
    <t>-23.6460283106745</t>
  </si>
  <si>
    <t>-46.7471688656633</t>
  </si>
  <si>
    <t>BANDEIRANTES</t>
  </si>
  <si>
    <t>ALAMEDA DOS ANAPURUS ESQUINA COM A AVENIDA DOS IMARES     SABESP    BICA DE ENCHIMENTO RAPIDO</t>
  </si>
  <si>
    <t>-23.613746738002</t>
  </si>
  <si>
    <t>-46.6639611989843</t>
  </si>
  <si>
    <t>AVENIDA MOACI EM FRENTE A RUA LIDIA SIMOES CABRAL</t>
  </si>
  <si>
    <t>-23.6099254028376</t>
  </si>
  <si>
    <t>-46.665804852018</t>
  </si>
  <si>
    <t>RUA DOS IMARES ESQUINA COM A ALAMEDA DOS MARACATINS</t>
  </si>
  <si>
    <t>-23.6125404614062</t>
  </si>
  <si>
    <t>-46.6657832876804</t>
  </si>
  <si>
    <t>ALAMEDA DOS GUARAMOMIS ESQUINA COM AVENIDA MIRUNA</t>
  </si>
  <si>
    <t>2021-09-16</t>
  </si>
  <si>
    <t>-23.6149379726256</t>
  </si>
  <si>
    <t>-46.6610020937004</t>
  </si>
  <si>
    <t>AVENIDA IBIRAPUERA ESQUINA COM A AVENIDA DOS EUCALIPTOS</t>
  </si>
  <si>
    <t>-23.6102465297521</t>
  </si>
  <si>
    <t>-46.6687134365008</t>
  </si>
  <si>
    <t>AVENIDA MOACI ESQUINA COM A RUA LYDIA SIMOES CABRAL</t>
  </si>
  <si>
    <t>-23.6099109033632</t>
  </si>
  <si>
    <t>-46.6656915555598</t>
  </si>
  <si>
    <t>AVENIDA MOACI ESQUINA COM  ALAMEDA DOS MARACATINS</t>
  </si>
  <si>
    <t>-23.6111562509609</t>
  </si>
  <si>
    <t>-46.6645601095814</t>
  </si>
  <si>
    <t>RUA INHAMBU ESQUINA COM A AVENIDA JOAO CASTALDI</t>
  </si>
  <si>
    <t>-23.6066140499109</t>
  </si>
  <si>
    <t>-46.6736036024368</t>
  </si>
  <si>
    <t>RUA GAIVOTA ESQUINA COM A RUA IRAUNA</t>
  </si>
  <si>
    <t>-23.6093456737941</t>
  </si>
  <si>
    <t>-46.6732152239092</t>
  </si>
  <si>
    <t>AVENIDA DOS EUCALIPTOS ESQUINA COM A ALAMEDA DOS ARAPANES</t>
  </si>
  <si>
    <t>-23.6095111600511</t>
  </si>
  <si>
    <t>-46.6695245278253</t>
  </si>
  <si>
    <t>AVENIDA QUARTO CENTENARIO 111 NO PORTAO DO PARQUE IBIRAPUERA</t>
  </si>
  <si>
    <t>-23.5913740746604</t>
  </si>
  <si>
    <t>-46.6522849708512</t>
  </si>
  <si>
    <t>RUA ANTONIO ALVES LIMA NETO 116 NO FINAL DA RUA PARTICULAR ACESSO CONTROLADO</t>
  </si>
  <si>
    <t>-23.5934479288032</t>
  </si>
  <si>
    <t>-46.6539585162451</t>
  </si>
  <si>
    <t>AVENIDA SAGERES ESQUINA COM A RUA COMANDANTE ISMAEL GUILHERME</t>
  </si>
  <si>
    <t>-23.5935529496912</t>
  </si>
  <si>
    <t>-46.6561586797404</t>
  </si>
  <si>
    <t>AVENIDA INDIANOPOLIS ESQUINA COM AVENIDA RUBEM BERTA</t>
  </si>
  <si>
    <t>-23.6072420346284</t>
  </si>
  <si>
    <t>-46.6526856919811</t>
  </si>
  <si>
    <t>AVENIDA ARATAS ESQUINA COM ALAMEDA DOS NHAMBIQUARAS</t>
  </si>
  <si>
    <t>-23.6100175569778</t>
  </si>
  <si>
    <t>-46.6619723258913</t>
  </si>
  <si>
    <t>AVENIDA IBIRAPUERA ESQUINA COM AVENIDA JURUCE</t>
  </si>
  <si>
    <t>-23.6064747377115</t>
  </si>
  <si>
    <t>-46.6646525261856</t>
  </si>
  <si>
    <t>AVENIDA JANDIRA ESQUINA COM ALAMEDA DOS GUARAMOMIS</t>
  </si>
  <si>
    <t>-23.6111731531705</t>
  </si>
  <si>
    <t>-46.6570623298375</t>
  </si>
  <si>
    <t>ALAMEDA DOS NHAMBIQUARAS PROXIMO DA ESQUINA COM A RUA CABOQUENAS</t>
  </si>
  <si>
    <t>-23.6064737211127</t>
  </si>
  <si>
    <t>-46.6588945223595</t>
  </si>
  <si>
    <t>AVENIDA ARATAS ESQUINA COM ALAMEDA DOS MARACATINS</t>
  </si>
  <si>
    <t>-23.6095326523809</t>
  </si>
  <si>
    <t>-46.6630064727495</t>
  </si>
  <si>
    <t>AVENIDA DIVINO SALVADOR ESQUINA COM A ALAMEDA DOS JURUPIS</t>
  </si>
  <si>
    <t>-23.6046790479748</t>
  </si>
  <si>
    <t>-46.6603472910312</t>
  </si>
  <si>
    <t>ALAMEDA DOS NHAMBIQUARAS ESQUINA COM AVENIDA PIASSANGUABA</t>
  </si>
  <si>
    <t>-23.6012271964113</t>
  </si>
  <si>
    <t>-46.6540705019361</t>
  </si>
  <si>
    <t>AVENIDA JANDIRA DEFRONTE A RUA JUQUIS</t>
  </si>
  <si>
    <t>-23.6062995082509</t>
  </si>
  <si>
    <t>-46.663072292322</t>
  </si>
  <si>
    <t>ALAMEDA DOS MARACATINS ESQUINA COM A AVENIDA ACOCE</t>
  </si>
  <si>
    <t>-23.603222922193</t>
  </si>
  <si>
    <t>-46.6571091519195</t>
  </si>
  <si>
    <t>AVENIDA DIVINO SALVADOR ESQUINA COM AVENIDA MOREIRA GUIMARAES</t>
  </si>
  <si>
    <t>-23.6092991075661</t>
  </si>
  <si>
    <t>-46.6545751419651</t>
  </si>
  <si>
    <t>ALAMEDA DOS TUPINIQUINS ESQUINA COM ALAMEDA DOS TUPINIQUINS</t>
  </si>
  <si>
    <t>-23.6087251710355</t>
  </si>
  <si>
    <t>-46.6566451857173</t>
  </si>
  <si>
    <t>AVENIDA MOEMA ESQUINA COM ALAMEDA DOS AICAS</t>
  </si>
  <si>
    <t>-23.6066720938005</t>
  </si>
  <si>
    <t>-46.6561891546131</t>
  </si>
  <si>
    <t>AVENIDA INDIANOPOLIS ESQUINA COM ALAMEDA NHAMBIQUARAS</t>
  </si>
  <si>
    <t>-23.602596002408</t>
  </si>
  <si>
    <t>-46.655433651347</t>
  </si>
  <si>
    <t>ALAMEDA DOS ARAPANES ESQUINA COM AVENIDA AGAMI</t>
  </si>
  <si>
    <t>-23.6000402326961</t>
  </si>
  <si>
    <t>-46.6608360088446</t>
  </si>
  <si>
    <t>ALAMEDA DOS ARAPANES ESQUINA COM AVENIDA LAVANDISCA</t>
  </si>
  <si>
    <t>-23.6031581251008</t>
  </si>
  <si>
    <t>-46.6640001523266</t>
  </si>
  <si>
    <t>ALAMEDA DOS ARAPANES ESQUINA COM A AVENIDA ROUXINOL</t>
  </si>
  <si>
    <t>-23.606527485702</t>
  </si>
  <si>
    <t>-46.6667007065749</t>
  </si>
  <si>
    <t>ALAMEDA DOS NHAMBIQUARAS ESQUINA COM A AVENIDA MOEMA</t>
  </si>
  <si>
    <t>-23.6050951243869</t>
  </si>
  <si>
    <t>-46.6576806389964</t>
  </si>
  <si>
    <t>AVENIDA JURUCE  ESQUINA COM AVENIDA MOREIRA GUIMARAES</t>
  </si>
  <si>
    <t>-23.6123532430797</t>
  </si>
  <si>
    <t>-46.6572735014093</t>
  </si>
  <si>
    <t>AVENIDA CHIBARAS ESQUINA COM A ALAMEDA IRAE</t>
  </si>
  <si>
    <t>-23.602430253215</t>
  </si>
  <si>
    <t>-46.659708955013</t>
  </si>
  <si>
    <t>RUA ABILIO SOARES 1874 ESQUINA AVENIDA PEDRO ALVARES CABRAL</t>
  </si>
  <si>
    <t>-23.5813701484426</t>
  </si>
  <si>
    <t>-46.6579986205826</t>
  </si>
  <si>
    <t>RUA MANOEL DA NOBREGA 1550 AO LADO DA GUARITA DO QUARTEL DO EXERCITO</t>
  </si>
  <si>
    <t>-23.5781749518755</t>
  </si>
  <si>
    <t>-46.6583610586484</t>
  </si>
  <si>
    <t>RUA ALVARO DE MENEZES DEFRONTE A RUA PROFESSOR JOAO MARINHO</t>
  </si>
  <si>
    <t>-23.5749120045094</t>
  </si>
  <si>
    <t>-46.6527510556727</t>
  </si>
  <si>
    <t>RUA DO SABIA  PARQUE DO IBIRAPUERA</t>
  </si>
  <si>
    <t>-23.590718969199</t>
  </si>
  <si>
    <t>-46.6610546552869</t>
  </si>
  <si>
    <t>INTERIOR DO PARQUE DO IBIRAPUERA</t>
  </si>
  <si>
    <t>-23.5883103708881</t>
  </si>
  <si>
    <t>-46.6629011516321</t>
  </si>
  <si>
    <t>-23.5882965910646</t>
  </si>
  <si>
    <t>-46.6593333256716</t>
  </si>
  <si>
    <t>RUA DO LEAO</t>
  </si>
  <si>
    <t>-23.5898049075754</t>
  </si>
  <si>
    <t>-46.6585943826379</t>
  </si>
  <si>
    <t>LADEIRA DA PREGUICA AO LADO DO PREDIO DA BIENAL INTERIOR DO IBIRAPUERA</t>
  </si>
  <si>
    <t>-23.5892439539283</t>
  </si>
  <si>
    <t>-46.655719566966</t>
  </si>
  <si>
    <t>PRACA DIA DO SENHOR ESQUINA COM A RUA BENTO DE ANDRADE</t>
  </si>
  <si>
    <t>-23.5811335948064</t>
  </si>
  <si>
    <t>-46.6635363871404</t>
  </si>
  <si>
    <t>RUA MANUEL DA NOBREGA PROXIMO DA ESQUINA COM A RUA JUNDIAI</t>
  </si>
  <si>
    <t>-23.576847280238</t>
  </si>
  <si>
    <t>-46.6566851593886</t>
  </si>
  <si>
    <t>RUA DO LIVRAMENTO ESQUINA COM RUA TUTOIA</t>
  </si>
  <si>
    <t>-23.5787121496812</t>
  </si>
  <si>
    <t>-46.6512645213304</t>
  </si>
  <si>
    <t>RUA ABILIO SOARES ESQUINA COM A RUA JOINVILLE</t>
  </si>
  <si>
    <t>-23.5787787521613</t>
  </si>
  <si>
    <t>-46.6530593433376</t>
  </si>
  <si>
    <t>RUA TUTOIA ESQUINA COM AVENIDA BRIGADEIRO LUIS ANTONIO</t>
  </si>
  <si>
    <t>-23.5723443640691</t>
  </si>
  <si>
    <t>-46.6536061224269</t>
  </si>
  <si>
    <t>RUA CARAVALEAS ESQUINQ COM A RUA DOUTOR ASTOLFO ARAUJO    CALCADA DO INSTITUTO DANTE PAZANELLI</t>
  </si>
  <si>
    <t>-23.5839868554843</t>
  </si>
  <si>
    <t>-46.651508796199</t>
  </si>
  <si>
    <t>RUA DO LEAO DENTRO DO PARQUE IBIRAPUERA</t>
  </si>
  <si>
    <t>-23.5897335238805</t>
  </si>
  <si>
    <t>-46.6540059550575</t>
  </si>
  <si>
    <t>RUA PIRAPORA ESQUINA COM A RUA CURITIBA</t>
  </si>
  <si>
    <t>-23.5821336394476</t>
  </si>
  <si>
    <t>-46.6530952183458</t>
  </si>
  <si>
    <t>RUA DO SABIA NO INTERIOR DO PARQUE DO IBIRAPUERA</t>
  </si>
  <si>
    <t>-23.5877608550489</t>
  </si>
  <si>
    <t>-46.6607770510018</t>
  </si>
  <si>
    <t>PAVILHAO DAS CULTURAS BRASILEIRAS NO INTERIOR DO PARQUE DO IBIRAPUERA</t>
  </si>
  <si>
    <t>-23.5861864402666</t>
  </si>
  <si>
    <t>-46.6590937972069</t>
  </si>
  <si>
    <t>ALAMEDA DOS ANOS DOURADOS NO INTERIOR DO PARQUE IBIRAPUERA</t>
  </si>
  <si>
    <t>-23.5804298748971</t>
  </si>
  <si>
    <t>-46.6609798092395</t>
  </si>
  <si>
    <t>PREDIO DA BIENAL NO INTERIOR DO PARQUE DO IBIRAPUERA</t>
  </si>
  <si>
    <t>-23.5872749980315</t>
  </si>
  <si>
    <t>-46.6539478953928</t>
  </si>
  <si>
    <t>NO INTERIOR DO PARQUE DO IBIRAPUERA PROXIMO A PRACA DA PAZ SEM REFRENCIAS MAIORES</t>
  </si>
  <si>
    <t>-23.5897701229676</t>
  </si>
  <si>
    <t>-46.662511350587</t>
  </si>
  <si>
    <t>AO LADO DO LAGO DAS GARCAS PROXIMO AO PAVILHA JAPONES NO INTERIOR DO PARQUE DO IBIRAPUERA</t>
  </si>
  <si>
    <t>-23.5859980150833</t>
  </si>
  <si>
    <t>-46.6612644586712</t>
  </si>
  <si>
    <t>AO LADO DO PAVILHAO DAS CULTURAS BRASILEIRAS NO INTERIOR DO PARQUE DO IBIRAPUERA</t>
  </si>
  <si>
    <t>-23.5856962246597</t>
  </si>
  <si>
    <t>-46.6595516167581</t>
  </si>
  <si>
    <t>PROXIMO A MARQUISE AO LADO DO PAVILHAO DAS CULTURAS BRASILEIRAS NO INTERIOR DO PARQUE DO IBIRAPUERA</t>
  </si>
  <si>
    <t>-23.5850488064587</t>
  </si>
  <si>
    <t>-46.6591137461364</t>
  </si>
  <si>
    <t>AO LADO DO PAVILHAO MUSEU AFRO BRASIL NO INTERIOR DO PARQUE DO IBIRAPUERA</t>
  </si>
  <si>
    <t>-23.5844532722384</t>
  </si>
  <si>
    <t>-46.6595615074039</t>
  </si>
  <si>
    <t>NO INTERIOR DO PARQUE DO IBIRAPUERA PROXIMO AO MUSEU DE HISTORIA ARTE E CULTURA</t>
  </si>
  <si>
    <t>-23.5836434404932</t>
  </si>
  <si>
    <t>-46.657966681984</t>
  </si>
  <si>
    <t>RUA MANUEL DA NOBREGRA PROXIMO DA RUA SALTO NA CALCADO OPOSTA</t>
  </si>
  <si>
    <t>-23.576292235926</t>
  </si>
  <si>
    <t>-46.6555885780306</t>
  </si>
  <si>
    <t>VILA HELENA</t>
  </si>
  <si>
    <t>AVENIDA HELIO PELEGRINO 720</t>
  </si>
  <si>
    <t>-23.5984226082188</t>
  </si>
  <si>
    <t>-46.6719906676898</t>
  </si>
  <si>
    <t>AVENIDA SANTO AMARO ESQUINA COM ARUA AFONSO BRAZ</t>
  </si>
  <si>
    <t>-23.5951325734598</t>
  </si>
  <si>
    <t>-46.6727948318264</t>
  </si>
  <si>
    <t>RUA ARAGUARI 217 ESUINA RUA VISCONDE DE CACHOEIRA</t>
  </si>
  <si>
    <t>-23.5989502606259</t>
  </si>
  <si>
    <t>-46.6701344106363</t>
  </si>
  <si>
    <t>RUA PINTASSILGO ESQUINA COM A AVENIDA GRAUNA</t>
  </si>
  <si>
    <t>-23.601109708384</t>
  </si>
  <si>
    <t>-46.6714084605324</t>
  </si>
  <si>
    <t>AVENIDA ROUXINOL ESQUINA COM A RUA INHAMBU</t>
  </si>
  <si>
    <t>-23.6033433534605</t>
  </si>
  <si>
    <t>-46.6702543106154</t>
  </si>
  <si>
    <t>RUA DIOGO JACOME ESQUINA COM A RUA INDIAROBA</t>
  </si>
  <si>
    <t>-23.60009168416</t>
  </si>
  <si>
    <t>-46.6697106177579</t>
  </si>
  <si>
    <t>RUA GAIVOTA ESQUINA COM AVENIDA JURITI</t>
  </si>
  <si>
    <t>-23.5999938173391</t>
  </si>
  <si>
    <t>-46.6644905171187</t>
  </si>
  <si>
    <t>RUA INHAMBU ESQUINA COM A AVENIDA LAVANDISCA</t>
  </si>
  <si>
    <t>-23.600051121209</t>
  </si>
  <si>
    <t>-46.6674929050108</t>
  </si>
  <si>
    <t>VILA NOVA CONCEIÇÃO</t>
  </si>
  <si>
    <t>AVENIDA SANTO AMARO ESQUINA COM A RUA DOUTOR BORGES FILHO</t>
  </si>
  <si>
    <t>-23.5857507531931</t>
  </si>
  <si>
    <t>-46.6708051817143</t>
  </si>
  <si>
    <t>RUA AFONSO BRAZ 340 ESQUINA RUA DIOGO JACOME</t>
  </si>
  <si>
    <t>-23.5955241084755</t>
  </si>
  <si>
    <t>-46.6669762473444</t>
  </si>
  <si>
    <t>RUA JACQUES FELIX ESQUINA COM A RUA BRAZ CARDOSO</t>
  </si>
  <si>
    <t>-23.5930552234369</t>
  </si>
  <si>
    <t>-46.671405312272</t>
  </si>
  <si>
    <t>RUA PROFESSOR FILADELFO AZEVEDO ESQUINA COM A RUA JACQUES FELIX</t>
  </si>
  <si>
    <t>-23.5885549627547</t>
  </si>
  <si>
    <t>-46.6699067564694</t>
  </si>
  <si>
    <t>RUA HENRIQUE MARTINS ESQUINA COM A  RUA OLIVEIRA PIMENTEL</t>
  </si>
  <si>
    <t>-23.5848627595334</t>
  </si>
  <si>
    <t>-46.6653128360496</t>
  </si>
  <si>
    <t>PARELHEIROS</t>
  </si>
  <si>
    <t>JACEGUAVA</t>
  </si>
  <si>
    <t>AVENIDA SENADOR TEOTONIO VILELA 7900 NA CALCADA DO PB TEOTONIO VILELA</t>
  </si>
  <si>
    <t>-23.7661696518106</t>
  </si>
  <si>
    <t>-46.7175089977358</t>
  </si>
  <si>
    <t>RUA COLONIA ALEMA 41</t>
  </si>
  <si>
    <t>-23.8485515037536</t>
  </si>
  <si>
    <t>-46.6977333283123</t>
  </si>
  <si>
    <t>RUA ALBERTO SALEZA 93 ESQUINA COM A RUA BOA VISTA</t>
  </si>
  <si>
    <t>-23.8243982843801</t>
  </si>
  <si>
    <t>-46.7294078227133</t>
  </si>
  <si>
    <t>RUA PONTES DE MORAIS ESQUINA COM A RUA OITO</t>
  </si>
  <si>
    <t>-23.6896504766892</t>
  </si>
  <si>
    <t>-46.6683093365575</t>
  </si>
  <si>
    <t>RUA TOBIAS DE BARROS 168 NO FINAL DA RUA</t>
  </si>
  <si>
    <t>-23.699310959244</t>
  </si>
  <si>
    <t>-46.6701186784788</t>
  </si>
  <si>
    <t>AVENIDA NOSSA SENHOR DO SABARA ESQUINA COM RUA SANTA URSULA</t>
  </si>
  <si>
    <t>-23.697642543619</t>
  </si>
  <si>
    <t>-46.673707937559</t>
  </si>
  <si>
    <t>AVENIDA NOSSA SENHORA DO SABARA ESQUEINA COM A RUA GREGORIO FERREIRA</t>
  </si>
  <si>
    <t>-23.6958365849811</t>
  </si>
  <si>
    <t>-46.6757860017541</t>
  </si>
  <si>
    <t>RUA BRIGADEIRO ELOY PESSOAS ESQUINA COM A RUA WILLIAN LINDSAY</t>
  </si>
  <si>
    <t>-23.6962210910247</t>
  </si>
  <si>
    <t>-46.6661443773585</t>
  </si>
  <si>
    <t>ESTRADA DO ALVARENGA 389 PROXIMO A RUA JOAO DE ARAUJO</t>
  </si>
  <si>
    <t>-23.6968841427735</t>
  </si>
  <si>
    <t>-46.6698267082723</t>
  </si>
  <si>
    <t>ESTRADA DO ALVARENGA 1485 ESQUINA COM RUA ENGENHEIRO FLAVIO DA COSTA</t>
  </si>
  <si>
    <t>-23.6924102038561</t>
  </si>
  <si>
    <t>-46.6612598546979</t>
  </si>
  <si>
    <t>RUA PROFESSOR CORREIA BRITO ESQUINA COM ESTRADA DO ALVARENGA</t>
  </si>
  <si>
    <t>-23.692285214286</t>
  </si>
  <si>
    <t>-46.6651758869461</t>
  </si>
  <si>
    <t>RUA CUNHA MENDES PROXIMO A ESQUINA COM A RUA BERNARDO TAVEIRA JUNIOR</t>
  </si>
  <si>
    <t>-23.6942886610719</t>
  </si>
  <si>
    <t>-46.6562230970519</t>
  </si>
  <si>
    <t>RUA ALZIRA ALVES DOS SANTOS PROXIMO A RUA VALMIQUI</t>
  </si>
  <si>
    <t>-23.6940079732329</t>
  </si>
  <si>
    <t>-46.6717986631486</t>
  </si>
  <si>
    <t>RUA WILSON CANTONI PROXIMO DA ESQUINA COM A AVENIDA ARAUJO LIMA</t>
  </si>
  <si>
    <t>-23.6927369030185</t>
  </si>
  <si>
    <t>-46.6450660056976</t>
  </si>
  <si>
    <t>RUA ALBINO BENTO DEFRONTE A RUA DOS ROBALOS</t>
  </si>
  <si>
    <t>-23.7029873274657</t>
  </si>
  <si>
    <t>-46.6466038851627</t>
  </si>
  <si>
    <t>AVENIDA DAS GAROUPAS ESQUINA COM A RUA DOS MANDUBIS</t>
  </si>
  <si>
    <t>-23.7026945375974</t>
  </si>
  <si>
    <t>-46.6500825657436</t>
  </si>
  <si>
    <t>RUA DOS CALANGOS PROXIMO A ESQUINA COM A  RUA JUVENTINO TAVARES</t>
  </si>
  <si>
    <t>-23.7052676673349</t>
  </si>
  <si>
    <t>-46.6425357419163</t>
  </si>
  <si>
    <t>RUA DOUTOR CARLOS DE REZENDE ENOUT 856 DEFRONTE A RUA JOSE TRAVAGLIA</t>
  </si>
  <si>
    <t>-23.7020937114313</t>
  </si>
  <si>
    <t>-46.6367595025815</t>
  </si>
  <si>
    <t>RUA TOMMASO GIORDINI 381</t>
  </si>
  <si>
    <t>-23.6980276537</t>
  </si>
  <si>
    <t>-46.6293859653479</t>
  </si>
  <si>
    <t>RUA JOSE FLAVIO PEREIRA PROXIMO DA ESQUINA COM A RUA MESSIAS AUGUSTA DA SILVA</t>
  </si>
  <si>
    <t>-23.7014255708085</t>
  </si>
  <si>
    <t>-46.6432783679964</t>
  </si>
  <si>
    <t>RUA JOSE DAMACENO ESQUINA COM A RUA JOSE MAURO MENDONCA</t>
  </si>
  <si>
    <t>-23.6972817446317</t>
  </si>
  <si>
    <t>-46.6351475572357</t>
  </si>
  <si>
    <t>ESTRADA DO ALVARENGA ESQUINA COM A RUA MATA VIRGEM</t>
  </si>
  <si>
    <t>-23.7154664613958</t>
  </si>
  <si>
    <t>-46.626514142194</t>
  </si>
  <si>
    <t>AVENIDA CARLOS LIVIERO ESQUINA COM A RUA EUGENIO KUSNET</t>
  </si>
  <si>
    <t>-23.6455135816565</t>
  </si>
  <si>
    <t>-46.5934624007354</t>
  </si>
  <si>
    <t>RUA CARLOS ALBERRTO VERNECK ESQUINA COM A RUA CORONEL JUVENAL DE CAMPOOS CASTRO</t>
  </si>
  <si>
    <t>-23.6471345506905</t>
  </si>
  <si>
    <t>-46.5963497026094</t>
  </si>
  <si>
    <t>RUA  GIUSEPPE CRESPI 8 ESQUINA COM A RUA OLYMPIA SEMERO</t>
  </si>
  <si>
    <t>-23.6432245656139</t>
  </si>
  <si>
    <t>-46.5950434797392</t>
  </si>
  <si>
    <t>RUA GAL RAPOSO PROXIMO DA MARGINAL TIETE</t>
  </si>
  <si>
    <t>-23.6402276894876</t>
  </si>
  <si>
    <t>-46.5911528939344</t>
  </si>
  <si>
    <t>RUA PROFESSOR SYLLA MATTOS ESQUINA COM A RUA PADRE ARLINDO DANTAS</t>
  </si>
  <si>
    <t>-23.639375950886</t>
  </si>
  <si>
    <t>-46.5968027365913</t>
  </si>
  <si>
    <t>AVENIDA CARLOS LIVIEIRO ESQUINA COM A RUA ARAGAI</t>
  </si>
  <si>
    <t>-23.6487685994995</t>
  </si>
  <si>
    <t>-46.5969031375811</t>
  </si>
  <si>
    <t>RUA JOSE ANTONIO VALADARES PROXIMO A ESQUINA COM A  RUA LEONIDAS FREIRE</t>
  </si>
  <si>
    <t>-23.6454998259793</t>
  </si>
  <si>
    <t>-46.5908335460308</t>
  </si>
  <si>
    <t>-23.6452617682577</t>
  </si>
  <si>
    <t>-46.5935674133749</t>
  </si>
  <si>
    <t>RUA FRANCISCO PEDROSO DE TOLEDO ESQUINA COM A RUA EUGENIO BELLOTO</t>
  </si>
  <si>
    <t>-23.6447810567088</t>
  </si>
  <si>
    <t>-46.5871875648513</t>
  </si>
  <si>
    <t>RUA CACHOEIRA DOURADA ESQUINA COM A RUA VINTE E CINCO DE JULHO ENFRENTE AO POSTO SHELL</t>
  </si>
  <si>
    <t>-23.6384236915245</t>
  </si>
  <si>
    <t>-46.5960441409647</t>
  </si>
  <si>
    <t>RUA GIOVANNI DA CONEGLIANO ESQUINA COM A RUA JOAO RICARDO DA SILVA</t>
  </si>
  <si>
    <t>-23.6516412690208</t>
  </si>
  <si>
    <t>-46.599088858297</t>
  </si>
  <si>
    <t>RUA C 300 NO INTERIOR DO CONDOMINIO VILA SUICA 3</t>
  </si>
  <si>
    <t>-23.6439218205756</t>
  </si>
  <si>
    <t>-46.5999570138396</t>
  </si>
  <si>
    <t>MOINHO VELHO</t>
  </si>
  <si>
    <t>RUA MANHARACU ESQUINA COM A  RUA EDUARDO CARVALHO</t>
  </si>
  <si>
    <t>2021-06-29</t>
  </si>
  <si>
    <t>-23.6244525075708</t>
  </si>
  <si>
    <t>-46.5990676675836</t>
  </si>
  <si>
    <t>RUA SAVA ESQUINA COM A RUA AMERICO SAMARONE</t>
  </si>
  <si>
    <t>-23.607581701901</t>
  </si>
  <si>
    <t>-46.6026437922737</t>
  </si>
  <si>
    <t>RODOVIA ANCHIETA ESQUINA COM A RUA RENO</t>
  </si>
  <si>
    <t>-23.6100084820402</t>
  </si>
  <si>
    <t>-46.6001863492934</t>
  </si>
  <si>
    <t>RUA ALENCAR ARARIPE ESQUINA COM A RUA CARIPURA</t>
  </si>
  <si>
    <t>-23.6222000514579</t>
  </si>
  <si>
    <t>-46.5960624228388</t>
  </si>
  <si>
    <t>RUA SAO JOAO CLIMACO 275 EM FRENTE AO POSTO ALE E A RUA TITO OLIANI</t>
  </si>
  <si>
    <t>-23.6250553963581</t>
  </si>
  <si>
    <t>-46.5952457904429</t>
  </si>
  <si>
    <t>RUA AURANTINA ESQUINA COM A RUA SALVADOR PIRES DE LIMA</t>
  </si>
  <si>
    <t>-23.6140219000494</t>
  </si>
  <si>
    <t>-46.599371520435</t>
  </si>
  <si>
    <t>RODOVIA ANCHIETA ESQUINA COM A RUA VIENA</t>
  </si>
  <si>
    <t>-23.6132800422112</t>
  </si>
  <si>
    <t>-46.6005262972143</t>
  </si>
  <si>
    <t>RUA CORONEL FRANCISCO INACIO PROXIMO A ESQUINA COM A RUA AMERICO SAMARONE</t>
  </si>
  <si>
    <t>-23.6056854943578</t>
  </si>
  <si>
    <t>-46.6008729314626</t>
  </si>
  <si>
    <t>RUA MARQUES DE MARICA  ENFRENTE A ESCADARIA DE ACESSO A VIA ANCHIETA</t>
  </si>
  <si>
    <t>-23.6077463195131</t>
  </si>
  <si>
    <t>-46.5992371151873</t>
  </si>
  <si>
    <t>PRACA ANCHIETA DUZENTOS METROS DA RUA VERGUEIRO SENTIDO BAIRRO</t>
  </si>
  <si>
    <t>-23.6196062387038</t>
  </si>
  <si>
    <t>-46.6020819424364</t>
  </si>
  <si>
    <t>RUA LARANJAL ESQUINA COM A RUA IZONZO</t>
  </si>
  <si>
    <t>-23.6220253812432</t>
  </si>
  <si>
    <t>-46.5991781842912</t>
  </si>
  <si>
    <t>RUA SOUZA COUTINHO ESQUINA COM A RUA MARQUES DE MARICA</t>
  </si>
  <si>
    <t>-23.6122157089081</t>
  </si>
  <si>
    <t>-46.5982874568797</t>
  </si>
  <si>
    <t>RUA ITATUBA ESQUINA COM A RUA MARQUES DE MARICA</t>
  </si>
  <si>
    <t>-23.6165825331438</t>
  </si>
  <si>
    <t>-46.5975763328949</t>
  </si>
  <si>
    <t>RUA ABAUNA ESQUINA COM A RUA ANATOLE FRANCE</t>
  </si>
  <si>
    <t>-23.6099159217772</t>
  </si>
  <si>
    <t>-46.6053920589285</t>
  </si>
  <si>
    <t>AVENIDA SANTO ALBANO PROXIMO DA RUA MARTINHO GUEDES</t>
  </si>
  <si>
    <t>-23.6180206739981</t>
  </si>
  <si>
    <t>-46.6053657715146</t>
  </si>
  <si>
    <t>RUA ALENCAR ARARIPE ESQUINA COM A RUA BUDAPESTE</t>
  </si>
  <si>
    <t>-23.6189535941224</t>
  </si>
  <si>
    <t>-46.5964185034781</t>
  </si>
  <si>
    <t>RUA ARROIO GRANDE ESQUINA COM A RUA ARAUJO CONDIM</t>
  </si>
  <si>
    <t>-23.6149260366053</t>
  </si>
  <si>
    <t>-46.5961847751325</t>
  </si>
  <si>
    <t>RUA NOSSA SENHORA DAS MERCES ESQUINA COM RUA DOM VILARES</t>
  </si>
  <si>
    <t>-23.6244442112119</t>
  </si>
  <si>
    <t>-46.607052742559</t>
  </si>
  <si>
    <t>ALAMEDA ITUPIRANGA ESQUINA COM RUA CORONEL DE ANDRADE JOSE PIRES DE ANDRADE</t>
  </si>
  <si>
    <t>-23.6197118048137</t>
  </si>
  <si>
    <t>-46.606133311012</t>
  </si>
  <si>
    <t>ESTRADA DAS LAGRIMAS RUA LAMUTE</t>
  </si>
  <si>
    <t>-23.6257767885265</t>
  </si>
  <si>
    <t>-46.5912392528912</t>
  </si>
  <si>
    <t>RUA TAMUATA ESQUINA COM A ESTRADA DAS LAGRIMAS</t>
  </si>
  <si>
    <t>-23.6209243210279</t>
  </si>
  <si>
    <t>-46.592081917141</t>
  </si>
  <si>
    <t>RUA IZONZO PROXIMO DA ESQUINA COM A RUA FAUSTO CARDOSO</t>
  </si>
  <si>
    <t>-23.615969689804</t>
  </si>
  <si>
    <t>-46.5990687984606</t>
  </si>
  <si>
    <t>RUA ALENCAR ARARIPE ESQUINA COM A RUA VISCONDE DE MAGE</t>
  </si>
  <si>
    <t>-23.6104939200649</t>
  </si>
  <si>
    <t>-46.5977403095375</t>
  </si>
  <si>
    <t>RUA ELBA ESQUINA COM A RUA PROFESSOR ALBERTO CONTE</t>
  </si>
  <si>
    <t>-23.6161584948136</t>
  </si>
  <si>
    <t>-46.6037208671295</t>
  </si>
  <si>
    <t>AVENIDA SANTO ALBANO ESQUINA COM RUA MARTINHO GUEDES</t>
  </si>
  <si>
    <t>-23.6177088010097</t>
  </si>
  <si>
    <t>-46.6061316541355</t>
  </si>
  <si>
    <t>RODOVIA ANCHIETA ESQUINA COM A RUA BELGRADO</t>
  </si>
  <si>
    <t>-23.6127578616286</t>
  </si>
  <si>
    <t>-46.6008503111071</t>
  </si>
  <si>
    <t>RUA CORONEL FRANCISCO INACIO 312B  ESQUINA COM RUA SAVA</t>
  </si>
  <si>
    <t>-23.6080998909987</t>
  </si>
  <si>
    <t>-46.6008198516575</t>
  </si>
  <si>
    <t>RUA TITO PRATES DA FONSECA ESQUINA COM A PRACA FREDERICO OZANAN</t>
  </si>
  <si>
    <t>-23.6146497338317</t>
  </si>
  <si>
    <t>-46.601977922118</t>
  </si>
  <si>
    <t>AVENIDA CORONEL JOSE PIRES DE ANDRADE ESQUINA COM A RUA DESCAMPADO</t>
  </si>
  <si>
    <t>-23.6221491719143</t>
  </si>
  <si>
    <t>-46.60439128493</t>
  </si>
  <si>
    <t>AVENIDA ABRAHAO GONCALVES BRAGA ESQUINA COM A RUA TOCANTINIA</t>
  </si>
  <si>
    <t>-23.6409646280702</t>
  </si>
  <si>
    <t>-46.5871222272803</t>
  </si>
  <si>
    <t>RUA TITO OLIANI 604 ENTRE AS RUAS JOAOVICENTE BRITO FILHO  E A RUA PROFESSORA EDNEA ATTAB</t>
  </si>
  <si>
    <t>-23.6296092317692</t>
  </si>
  <si>
    <t>-46.5921658635188</t>
  </si>
  <si>
    <t>ESTRADA DAS LAGRIMAS 3621 NO INTERIOR DO CONDOMINIO DEFRONTE AOS BLOCOS 05 E 06</t>
  </si>
  <si>
    <t>-23.6295527943307</t>
  </si>
  <si>
    <t>-46.585043445415</t>
  </si>
  <si>
    <t>ESTRADA DAS LAGRIMAS 3621 NO INTERIOR DO CONDOMINIO DEFRONTE AO BLOCO 02</t>
  </si>
  <si>
    <t>-23.6299977777295</t>
  </si>
  <si>
    <t>-46.5855758362671</t>
  </si>
  <si>
    <t>ESTRADA DAS LAGRIMAS 3621 NO INTERIOR DO CONDOMINIO DEFRONTE AO BLOCO 08</t>
  </si>
  <si>
    <t>-23.6290255019535</t>
  </si>
  <si>
    <t>-46.5842931414514</t>
  </si>
  <si>
    <t>RUA CARNAUBA ESQUINA COM A RUA PIAUNA</t>
  </si>
  <si>
    <t>-23.6345503569496</t>
  </si>
  <si>
    <t>-46.5858760247132</t>
  </si>
  <si>
    <t>RUA MABURIM ESQUINA COM RUA RIZIERI NEGRINI</t>
  </si>
  <si>
    <t>-23.635128735408</t>
  </si>
  <si>
    <t>-46.5923795991525</t>
  </si>
  <si>
    <t>RUA SARAMBE ESQUINA COM A RUA PROFESSOR ZEFERINO VAZ</t>
  </si>
  <si>
    <t>-23.63617357834</t>
  </si>
  <si>
    <t>-46.5895187010891</t>
  </si>
  <si>
    <t>RUA CARNAUBA ESQUINA COM A RUA ANTONIO LAMAS</t>
  </si>
  <si>
    <t>-23.6327470539582</t>
  </si>
  <si>
    <t>-46.5869158599162</t>
  </si>
  <si>
    <t>RUA ANTONIO LAMAS ESQUINA COM A ESTRADA DAS LAGRAMIS</t>
  </si>
  <si>
    <t>-23.6309690682189</t>
  </si>
  <si>
    <t>-46.5855865571284</t>
  </si>
  <si>
    <t>ESTRADA DAS LAGRIMAS 3504 ENFRENTE A PRACA</t>
  </si>
  <si>
    <t>-23.6294336586782</t>
  </si>
  <si>
    <t>-46.5884257370884</t>
  </si>
  <si>
    <t>RUA RENATO RANIERE ESQUINA COM A RUA PROFESSOR CANTIDIO DE MOURA CAMPOS</t>
  </si>
  <si>
    <t>-23.6282730091032</t>
  </si>
  <si>
    <t>-46.5862767108242</t>
  </si>
  <si>
    <t>RUA FRANCISCO PRINCIPE ESQUINA COM A RUA LUCIO PERY</t>
  </si>
  <si>
    <t>-23.6270981751192</t>
  </si>
  <si>
    <t>-46.585012827002</t>
  </si>
  <si>
    <t>RUA PELEGRINO VARANI ESQUINA COM A RUA MARIO NAVARRO DA COSTA</t>
  </si>
  <si>
    <t>-23.6249946154775</t>
  </si>
  <si>
    <t>-46.5880282204946</t>
  </si>
  <si>
    <t>AVENIDA PATENTE ESQUINA COM A RUA APOLONIA MANELLI</t>
  </si>
  <si>
    <t>-23.626151078467</t>
  </si>
  <si>
    <t>-46.5866638117636</t>
  </si>
  <si>
    <t>VILA DAS MERCÊS</t>
  </si>
  <si>
    <t>AVENIDA CURSINO 6601 PROXIMO RUA JAPAO</t>
  </si>
  <si>
    <t>-23.6574417434009</t>
  </si>
  <si>
    <t>-46.615445091132</t>
  </si>
  <si>
    <t>RUA PROFESSOR ARTUR PRIMAVESI 152 PROXIMO A RUA ANTONO FERNANDES AGUILLAR</t>
  </si>
  <si>
    <t>-23.643005193051</t>
  </si>
  <si>
    <t>-46.6084158230551</t>
  </si>
  <si>
    <t>RUA GIACOMO COZZARELLI ESQUINA COM A RUA EUZEBIO MARIO DA SILVA</t>
  </si>
  <si>
    <t>-23.6526574308531</t>
  </si>
  <si>
    <t>-46.604841926755</t>
  </si>
  <si>
    <t>RUA BERTOLINA MARIA PROXIMO AVENIDA MARGINAL DIREITA</t>
  </si>
  <si>
    <t>-23.6246692705221</t>
  </si>
  <si>
    <t>-46.6001228209083</t>
  </si>
  <si>
    <t>RUA AMELIA ESQUINA COM A RUA EUGENIO EGAS</t>
  </si>
  <si>
    <t>-23.63913800967</t>
  </si>
  <si>
    <t>-46.6045540809119</t>
  </si>
  <si>
    <t>RUA MENINO DE ENGENHO ESQUINA COM TRAVESSA ANTONIO LORENZI</t>
  </si>
  <si>
    <t>-23.6522242299969</t>
  </si>
  <si>
    <t>-46.6063657934016</t>
  </si>
  <si>
    <t>RUA FRANCOIS BUNEL ESQUINA COM  A RUA BENEDITO TOLASA</t>
  </si>
  <si>
    <t>-23.6501951305323</t>
  </si>
  <si>
    <t>-46.6077124392754</t>
  </si>
  <si>
    <t>AVENIDA BARROS ESQUINA COM A RUA MARQUES DE LAGES</t>
  </si>
  <si>
    <t>-23.6271529643316</t>
  </si>
  <si>
    <t>-46.6072162673501</t>
  </si>
  <si>
    <t>RUA ANDREA DI BARTOLO ESQUINA RUA SIMAO LOPES</t>
  </si>
  <si>
    <t>-23.6316413660499</t>
  </si>
  <si>
    <t>-46.6065206037687</t>
  </si>
  <si>
    <t>RUA DOMINGOS ALVES FERREIRA ESQUINA COM AVENIDA MARIA ESTELA</t>
  </si>
  <si>
    <t>-23.6369419995282</t>
  </si>
  <si>
    <t>-46.5969760595857</t>
  </si>
  <si>
    <t>AVENIDA BOGAERT ESQUINA COM AVENIDA DEPUTADO RUBENS GRANJA</t>
  </si>
  <si>
    <t>-23.6287515710552</t>
  </si>
  <si>
    <t>-46.5986044337487</t>
  </si>
  <si>
    <t>RUA FLORESTOPOLIS ESQUINA COM A  RUA DEZOITO DE OUTUBRO</t>
  </si>
  <si>
    <t>-23.6351821604096</t>
  </si>
  <si>
    <t>-46.5980778017782</t>
  </si>
  <si>
    <t>RUA PROFESSOR ALMEIDA PORTO ESQUINA COM A RUA IRMAO PIO</t>
  </si>
  <si>
    <t>-23.6378493653099</t>
  </si>
  <si>
    <t>-46.6007222637883</t>
  </si>
  <si>
    <t>RUA DOUTOR PINTO NAZARIO ESQUINA COM A RUA ARGO BOITO</t>
  </si>
  <si>
    <t>-23.6360750019852</t>
  </si>
  <si>
    <t>-46.6020834383492</t>
  </si>
  <si>
    <t>RUA BERNADINO DE AGUIAR ESQUINA COM A RUA ENGENHEIRO EDGAR AUTRAN</t>
  </si>
  <si>
    <t>-23.6360138170158</t>
  </si>
  <si>
    <t>-46.6004195442322</t>
  </si>
  <si>
    <t>RUA POMAR ESQUINA COM A RUA ANGATURAMA</t>
  </si>
  <si>
    <t>-23.6284769396776</t>
  </si>
  <si>
    <t>-46.6077722991794</t>
  </si>
  <si>
    <t>RUA MAX BERG ESQUINA COM A RUA MARQUES DE LAJES</t>
  </si>
  <si>
    <t>-23.6265523731719</t>
  </si>
  <si>
    <t>-46.6033699391726</t>
  </si>
  <si>
    <t>AVENIDA PADRE ANTONIO ARLINDO VIEIRA ESQUINA COM A RUA ANTONIO CORREA PINTO DEFRONTE A RUA BERTOLINA MARIA</t>
  </si>
  <si>
    <t>-23.6262051162714</t>
  </si>
  <si>
    <t>-46.6015559544463</t>
  </si>
  <si>
    <t>AVENIDA DOS OURIVES ESQUINA COM A RUA MEMORIAL DE AIRES</t>
  </si>
  <si>
    <t>-23.6538461901337</t>
  </si>
  <si>
    <t>-46.6125752040585</t>
  </si>
  <si>
    <t>RUA MEMORIAL DE AIRES 440</t>
  </si>
  <si>
    <t>-23.652317353485</t>
  </si>
  <si>
    <t>-46.6092546660879</t>
  </si>
  <si>
    <t>AVENIDA DO CURSINHO ESQUINA COM A RUA JOSE GERALDO VIEIRA</t>
  </si>
  <si>
    <t>-23.6482886026152</t>
  </si>
  <si>
    <t>-46.6133010885325</t>
  </si>
  <si>
    <t>AVENIDA PADRE ARLINDO VIEIRA ESQUINA COM A RUA DOUTOR BENEDITO TOLOSA</t>
  </si>
  <si>
    <t>-23.6459809894879</t>
  </si>
  <si>
    <t>-46.6080744748814</t>
  </si>
  <si>
    <t>RUA JULIO RODRIGUES DO NASCIMENTO PROXIMO A ESQUINA COM  AVENIDA DOS PEDROSOS</t>
  </si>
  <si>
    <t>-23.6448270602049</t>
  </si>
  <si>
    <t>-46.6097072547506</t>
  </si>
  <si>
    <t>AVENIDA PADRE ARLINDO VIEIRA DEFRONTE A RUA SAO MAGNO</t>
  </si>
  <si>
    <t>-23.6382364679029</t>
  </si>
  <si>
    <t>-46.6078863922624</t>
  </si>
  <si>
    <t>AVENIDA DOS PEDROSOS ESQUINA COM A AVENIDA PADRE ARLINDO VIEIRA</t>
  </si>
  <si>
    <t>-23.6431767468203</t>
  </si>
  <si>
    <t>-46.6056701436305</t>
  </si>
  <si>
    <t>VILA HELIÓPOLIS</t>
  </si>
  <si>
    <t>RUA JOAO LANHOSO ACESSO PARA O CONDOMINIO DE PREDIOS</t>
  </si>
  <si>
    <t>-23.6178057644879</t>
  </si>
  <si>
    <t>-46.583187498488</t>
  </si>
  <si>
    <t>RUA CORONEL SILVA CASTRO DEFRONTE A RUA MARIA SANTISSIMA</t>
  </si>
  <si>
    <t>-23.609395863245</t>
  </si>
  <si>
    <t>-46.5946674594794</t>
  </si>
  <si>
    <t>RUA FRANCIOSCO ANDONIO DA SILVA CONTINUACAO DA ESTRADA DAS LAGRIMAS SENTIDO AVENIDA DAS JUNTAS PROVISORIAS</t>
  </si>
  <si>
    <t>-23.6034042394646</t>
  </si>
  <si>
    <t>-46.5991114837525</t>
  </si>
  <si>
    <t>RUA CONEGO XAVIER PROXIMO A ESQUINA COM A  RUA CORONEL SILVA CASTRO</t>
  </si>
  <si>
    <t>-23.6072686844286</t>
  </si>
  <si>
    <t>-46.5955470795196</t>
  </si>
  <si>
    <t>RUA CONEGO XAVIER   NA ENTRADA DO HOSPITAL HELIOPOLIS</t>
  </si>
  <si>
    <t>-23.6070176934191</t>
  </si>
  <si>
    <t>-46.5947487501583</t>
  </si>
  <si>
    <t>RUA ANNY ESQUINA COM A RUA VICENTE GASPAR</t>
  </si>
  <si>
    <t>-23.6179742326019</t>
  </si>
  <si>
    <t>-46.5861957333781</t>
  </si>
  <si>
    <t>RUA ROMEU TAARZIA ESQUINA COM A RUA SILVIO GUIMARAES DE ASSIS</t>
  </si>
  <si>
    <t>-23.6229344036255</t>
  </si>
  <si>
    <t>-46.5891393129224</t>
  </si>
  <si>
    <t>ESTRADA DAS LAGRIMAS ESQUINA COM LARGO SAO JOAO CLIMACO DEFRONTE A PAROQUIA</t>
  </si>
  <si>
    <t>-23.6235253225775</t>
  </si>
  <si>
    <t>-46.5910370809191</t>
  </si>
  <si>
    <t>RUA ADONIS ESQUINA COM A RUA ANNY</t>
  </si>
  <si>
    <t>-23.6205013868076</t>
  </si>
  <si>
    <t>-46.5852619028383</t>
  </si>
  <si>
    <t>CHÁCARA FLORA</t>
  </si>
  <si>
    <t>RUA MARECHAL DEODORO ESQUINA COM RUA SENADOR VERGUEIRO</t>
  </si>
  <si>
    <t>-23.6436159131067</t>
  </si>
  <si>
    <t>-46.691556466878</t>
  </si>
  <si>
    <t>VIADUTO VEREADOR JOSE DINIZ PROXIMO A AVENIDA VEREADOR JOSE  DINIZ DEBAIXO DO VIADUTO</t>
  </si>
  <si>
    <t>-23.628389530899</t>
  </si>
  <si>
    <t>-46.6857852571465</t>
  </si>
  <si>
    <t>RUA PERICLES ESQUINA COM A AVENIDA PROFESSOR VICENTE RAO</t>
  </si>
  <si>
    <t>-23.6300539445975</t>
  </si>
  <si>
    <t>-46.6846048507167</t>
  </si>
  <si>
    <t>RUA PROFESSORA LUCINDA ALVES DE CARVALHO ESQUINA COM RUA VISCONDE PORTO SEGURO</t>
  </si>
  <si>
    <t>-23.644547768944</t>
  </si>
  <si>
    <t>-46.6880949184257</t>
  </si>
  <si>
    <t>RUA MINISTRO ROBERTO CARDEOSO ALVES ESQUINA COM A RUA GRAMBELL</t>
  </si>
  <si>
    <t>-23.6408971562719</t>
  </si>
  <si>
    <t>-46.6928743811994</t>
  </si>
  <si>
    <t>RUA JOB LANE ESQUINA COM A RUA VISCONDE DE PORTO SEGURO</t>
  </si>
  <si>
    <t>-23.6403955794983</t>
  </si>
  <si>
    <t>-46.6818254839623</t>
  </si>
  <si>
    <t>RUA LANDGRAFFT ESQUINA COM A RUA JOAO FELIPE SILVA</t>
  </si>
  <si>
    <t>-23.6332496038203</t>
  </si>
  <si>
    <t>-46.6874507834021</t>
  </si>
  <si>
    <t>RUA PARATINGA ESQUINA COM A RUA ANA CATHARINA RANDI</t>
  </si>
  <si>
    <t>-23.629784171966</t>
  </si>
  <si>
    <t>-46.6859347472583</t>
  </si>
  <si>
    <t>RUA DOS VINHEDOS ESQUINA COM A RUA DAS BARCAS</t>
  </si>
  <si>
    <t>-23.6375854966563</t>
  </si>
  <si>
    <t>-46.6855401645637</t>
  </si>
  <si>
    <t>RUA JOSE GAMBARINI ESQUINA COM A RUA DOUTOR ANTONIO GONTIJO DE CARVALHO</t>
  </si>
  <si>
    <t>-23.6342508447401</t>
  </si>
  <si>
    <t>-46.6835551089917</t>
  </si>
  <si>
    <t>RUA MARECHAL DEODORO ESQUINA COM A RUA CONDE D EU</t>
  </si>
  <si>
    <t>-23.643011611377</t>
  </si>
  <si>
    <t>-46.6927323178073</t>
  </si>
  <si>
    <t>RUA DA FRATERNIDADE ESQUINA COM A RUA CONDE D EU</t>
  </si>
  <si>
    <t>-23.644249317302</t>
  </si>
  <si>
    <t>-46.6935048805277</t>
  </si>
  <si>
    <t>RUA PIRAPETINGA 215 PROXIMO DA ESQUINA COM A RUA ANGRA DOS REIS</t>
  </si>
  <si>
    <t>-23.6471455696043</t>
  </si>
  <si>
    <t>-46.68621975</t>
  </si>
  <si>
    <t>RUA CANAA PROXIMO DA ESQUINA COM A RUA RECANTO</t>
  </si>
  <si>
    <t>-23.646389793884</t>
  </si>
  <si>
    <t>-46.6829019344891</t>
  </si>
  <si>
    <t>RUA CANNA ESQUINA COM A RUA ALCATRAZES</t>
  </si>
  <si>
    <t>-23.6444114599383</t>
  </si>
  <si>
    <t>-46.6804821486116</t>
  </si>
  <si>
    <t>RUA GRAHAM BELL PROXIMO DA ESQUINA COM A AVENIDA VEREADOR JOSE DINIZ</t>
  </si>
  <si>
    <t>-23.6391727787568</t>
  </si>
  <si>
    <t>-46.6953251623954</t>
  </si>
  <si>
    <t>RUA CHAVES ESQUINA COM A AVENIDA WASHINGTON LUIS</t>
  </si>
  <si>
    <t>-23.6522919747764</t>
  </si>
  <si>
    <t>-46.6794163016979</t>
  </si>
  <si>
    <t>RUA CAPITAO CALMAN DE MORICZ TECSO 65 NO FINAL DA RUA</t>
  </si>
  <si>
    <t>-23.6462911853793</t>
  </si>
  <si>
    <t>-46.6959703540617</t>
  </si>
  <si>
    <t>AVENIDA SANTO AMARO ESQUINA COM RUA SAO SEBASTIAO</t>
  </si>
  <si>
    <t>-23.6316948307513</t>
  </si>
  <si>
    <t>-46.6916795152565</t>
  </si>
  <si>
    <t>RUA BELA VISTA ESQUINA COM A RUA THOMAS DELONEY</t>
  </si>
  <si>
    <t>-23.6306828519951</t>
  </si>
  <si>
    <t>-46.6963345708891</t>
  </si>
  <si>
    <t>AVENIDA JOAO DIAS PROXIMO A PRACA SANTO INACIO DE LOIOLA</t>
  </si>
  <si>
    <t>-23.6455351408578</t>
  </si>
  <si>
    <t>-46.7109717704944</t>
  </si>
  <si>
    <t>RUA VERBO DIVINO PROXIMO A AVENIDA DAS NACOES UNIDAS</t>
  </si>
  <si>
    <t>-23.6304843016611</t>
  </si>
  <si>
    <t>-46.7136537028541</t>
  </si>
  <si>
    <t>AVENIDA PROFESSOR ALCEU MAYNARD ARAUJO 344 NO INTERIOR DO CONDOMINIO CHAMPS ELYSEES</t>
  </si>
  <si>
    <t>-23.6341987270066</t>
  </si>
  <si>
    <t>-46.7077585716229</t>
  </si>
  <si>
    <t>AVENIDA PROFESSOR ALCEU MAYNARD ARAUJO 344 NO INTERIOR DO CONDOMINIO</t>
  </si>
  <si>
    <t>-23.6338314570096</t>
  </si>
  <si>
    <t>-46.7075718751994</t>
  </si>
  <si>
    <t>AVENIDA PROFESSOR ALCEU MAYNARD 344 NO INTERIOR DO CONDOMINIO</t>
  </si>
  <si>
    <t>-23.6352331257841</t>
  </si>
  <si>
    <t>-46.7099790416032</t>
  </si>
  <si>
    <t>RUA VICTOR CORREA DE MELLO 41</t>
  </si>
  <si>
    <t>-23.631777022246</t>
  </si>
  <si>
    <t>-46.6932667883992</t>
  </si>
  <si>
    <t>RUA CAPITAO OTAVIO MACHADO DEFRONTE A RUA BRANCO DE ARAUJO</t>
  </si>
  <si>
    <t>-23.6358833518492</t>
  </si>
  <si>
    <t>-46.6997573112183</t>
  </si>
  <si>
    <t>RUA SENADOR MILTON CAMPOS ESQUINA COM A RUA CANCIONEIRO DE EVORA</t>
  </si>
  <si>
    <t>-23.6284057655554</t>
  </si>
  <si>
    <t>-46.6919063592576</t>
  </si>
  <si>
    <t>RUA DA PAZ ESQUINA COM A RUA ANTONIO JOSE BORGES</t>
  </si>
  <si>
    <t>-23.6258216832778</t>
  </si>
  <si>
    <t>-46.7084198888556</t>
  </si>
  <si>
    <t>RUA DA PAZ ESQUINA COM A RUA PAES DA SILVA</t>
  </si>
  <si>
    <t>-23.6285148938105</t>
  </si>
  <si>
    <t>-46.7037966666231</t>
  </si>
  <si>
    <t>RUA DONA ESPONINA AFONSECA ESQUINA COM A RUA BARBOSA LOPES</t>
  </si>
  <si>
    <t>-23.6370730284641</t>
  </si>
  <si>
    <t>-46.7005940386952</t>
  </si>
  <si>
    <t>RUA ALVES PONTUAL ESQUINA COM AVENIDA JOAO DIAS</t>
  </si>
  <si>
    <t>-23.6435878638881</t>
  </si>
  <si>
    <t>-46.7015857689706</t>
  </si>
  <si>
    <t>AVENIDA JOAO DIAS ESQUINCA COM A RUA MANUEL PEREIRA GUIMARAES</t>
  </si>
  <si>
    <t>-23.6442162046059</t>
  </si>
  <si>
    <t>-46.7025696105967</t>
  </si>
  <si>
    <t>AVENIDA CARLOS DA SILVA BORGES ESQUINA COM RUA CESAR LADEIRA</t>
  </si>
  <si>
    <t>-23.6436578765884</t>
  </si>
  <si>
    <t>-46.71157199546</t>
  </si>
  <si>
    <t>TRAVESSA FRANCISCO VINAS NO FINAL DA RUA</t>
  </si>
  <si>
    <t>-23.6287715226843</t>
  </si>
  <si>
    <t>-46.6932328330539</t>
  </si>
  <si>
    <t>AVENIDA SANTO AMARO ESQUINA COM RUA MARECHAL DEODORO</t>
  </si>
  <si>
    <t>-23.6395356392535</t>
  </si>
  <si>
    <t>-46.6980773540134</t>
  </si>
  <si>
    <t>RUA BENTO BARBOSA ESQUINA COM A RUA ANTONIO DSA CHAGAS</t>
  </si>
  <si>
    <t>-23.6313904388055</t>
  </si>
  <si>
    <t>-46.7001999273654</t>
  </si>
  <si>
    <t>AVENIDA JOAO DIAS PROXIMO A RUA OSWALDO DE ANDRADE</t>
  </si>
  <si>
    <t>-23.645044459948</t>
  </si>
  <si>
    <t>-46.7136992981009</t>
  </si>
  <si>
    <t>RUA ALBERTINA ALVES 155</t>
  </si>
  <si>
    <t>-23.639225782431</t>
  </si>
  <si>
    <t>-46.7090004868805</t>
  </si>
  <si>
    <t>ALAMEDA CALICUT 32</t>
  </si>
  <si>
    <t>-23.635243608567</t>
  </si>
  <si>
    <t>-46.709270730763</t>
  </si>
  <si>
    <t>RUA COMENDADOR JOAQUIM GOMES DE OLIVEIRA 21</t>
  </si>
  <si>
    <t>-23.6327023148307</t>
  </si>
  <si>
    <t>-46.6944118682295</t>
  </si>
  <si>
    <t>RUA DOUTOR VITO ROLIM DE FREITAS 330</t>
  </si>
  <si>
    <t>-23.642860339949</t>
  </si>
  <si>
    <t>-46.7059955850386</t>
  </si>
  <si>
    <t>RUA DOUTOR VITO ROLIM DE FREITAS 421</t>
  </si>
  <si>
    <t>-23.6422202035587</t>
  </si>
  <si>
    <t>-46.7063843172571</t>
  </si>
  <si>
    <t>RUA JULIO VERNE 314</t>
  </si>
  <si>
    <t>-23.6434136646165</t>
  </si>
  <si>
    <t>-46.7066736814448</t>
  </si>
  <si>
    <t>RUA SAO SEBASTIAO ESQUINA COM A RUA CANCIONEIRO POPULAR</t>
  </si>
  <si>
    <t>-23.6298347408086</t>
  </si>
  <si>
    <t>-46.6946758445166</t>
  </si>
  <si>
    <t>RUA MANUEL PEREIRA GUIMARES ALTURA DO 506 NA CURVA</t>
  </si>
  <si>
    <t>-23.6398749633378</t>
  </si>
  <si>
    <t>-46.7040706865667</t>
  </si>
  <si>
    <t>RUA SAO MATEUS 227 NA CURVA</t>
  </si>
  <si>
    <t>-23.6386243356419</t>
  </si>
  <si>
    <t>-46.70202474244</t>
  </si>
  <si>
    <t>RUA DOUTOR RUBENS GOMES BUENO 55 PROXIMO DA ESQUINA COM A AVENIDA JOAO DIAS</t>
  </si>
  <si>
    <t>-23.644452570574</t>
  </si>
  <si>
    <t>-46.7187748879147</t>
  </si>
  <si>
    <t>RUA PADRE JOSE ANCHIETA PROXIMO A RUA MINISTRO ROBERTO CARDOSO ALVES</t>
  </si>
  <si>
    <t>-23.6507485217928</t>
  </si>
  <si>
    <t>-46.7002459334244</t>
  </si>
  <si>
    <t>RUA NOVE DE JULHO ESQUINA COM AVENIDA ADOLFO PINHEIRO</t>
  </si>
  <si>
    <t>-23.6446256585371</t>
  </si>
  <si>
    <t>-46.7001765576651</t>
  </si>
  <si>
    <t>AVENIDA WASHINGTON LUIS ESQUINA COM A RUA CRISPIM HESSEL</t>
  </si>
  <si>
    <t>-23.6586939863049</t>
  </si>
  <si>
    <t>-46.6991160114574</t>
  </si>
  <si>
    <t>RUA DARWIN ESQUINA COM A RUA JAVERT DE ANDRADE</t>
  </si>
  <si>
    <t>-23.653108924026</t>
  </si>
  <si>
    <t>-46.6971992887458</t>
  </si>
  <si>
    <t>RUA DARWIN ESQUINA COM A RUA PADRE JOSE DE ANCHIETA</t>
  </si>
  <si>
    <t>-23.6532731464736</t>
  </si>
  <si>
    <t>-46.6978849232443</t>
  </si>
  <si>
    <t>RUA BAXUVA ESQUINA COM A RUA ENGENHEIRO TOMAS WHATELY</t>
  </si>
  <si>
    <t>-23.6536443290231</t>
  </si>
  <si>
    <t>-46.6999673597585</t>
  </si>
  <si>
    <t>RUA CEL LUIZ BARROSO ESQUINA COM A RUA CONDE DE ITU</t>
  </si>
  <si>
    <t>-23.6463592829214</t>
  </si>
  <si>
    <t>-46.7042910997354</t>
  </si>
  <si>
    <t>RUA ISABEL SCHMIDT ESQUINA COM A RUA DOUTOR ANTONIO BENTO</t>
  </si>
  <si>
    <t>-23.6500983774064</t>
  </si>
  <si>
    <t>-46.7053074307867</t>
  </si>
  <si>
    <t>RUA CAPITAO TIAGO LUZ ESQUINA COM AVENIDA MARIO LOPES LEAO</t>
  </si>
  <si>
    <t>-23.650700647659</t>
  </si>
  <si>
    <t>-46.707439216535</t>
  </si>
  <si>
    <t>ALAMEDA SANTO AMARO ESQUINA COM RUA GENERAL ROBERTO ALVES CARVALHO FILHO</t>
  </si>
  <si>
    <t>-23.6560257204758</t>
  </si>
  <si>
    <t>-46.706405319268</t>
  </si>
  <si>
    <t>RUA PIRACHIN ESQUINA COM RUA JOAO ALFREDO</t>
  </si>
  <si>
    <t>-23.659637421965</t>
  </si>
  <si>
    <t>-46.7040900636606</t>
  </si>
  <si>
    <t>RUA ISABEL SCHMIDT ESQUINA COM A RUA SAO BENTO</t>
  </si>
  <si>
    <t>-23.651313583114</t>
  </si>
  <si>
    <t>-46.7032048175037</t>
  </si>
  <si>
    <t>TRAVESSA WILSON MORAES 27</t>
  </si>
  <si>
    <t>-23.6472255696043</t>
  </si>
  <si>
    <t>-46.70939494</t>
  </si>
  <si>
    <t>RUA DARWIN 1000</t>
  </si>
  <si>
    <t>-23.6519588249237</t>
  </si>
  <si>
    <t>-46.6921872615397</t>
  </si>
  <si>
    <t>RUA PADRE JOSE DE ANCHIETA ESQUINA COM A RUA DOUTOR ANTONIO BENTO</t>
  </si>
  <si>
    <t>-23.6485052286511</t>
  </si>
  <si>
    <t>-46.7045831480953</t>
  </si>
  <si>
    <t>RUA CONDE DE ITU ESQUINA COM A AVENIDA ADOLFO PINHEIRO</t>
  </si>
  <si>
    <t>-23.6471704457127</t>
  </si>
  <si>
    <t>-46.7023991541801</t>
  </si>
  <si>
    <t>RUA CONDE DEU ESQUINA COM A RUA MANOEL CHRISTI MANZINI</t>
  </si>
  <si>
    <t>-23.6487725344543</t>
  </si>
  <si>
    <t>-46.6969997286251</t>
  </si>
  <si>
    <t>RUA BARAO DE DUPRAT DEFRONTE A RUA PEREIRA BARRETO</t>
  </si>
  <si>
    <t>-23.6545257703719</t>
  </si>
  <si>
    <t>-46.7032531513607</t>
  </si>
  <si>
    <t>AVENIDA ADOLFO PINHEIRO 520 DEFRONTE A PRACA SANTA CRUZ</t>
  </si>
  <si>
    <t>-23.6484360225014</t>
  </si>
  <si>
    <t>-46.7031536050123</t>
  </si>
  <si>
    <t>AVENIDA JOAO DIAS ESQUINA COM A RUA BENTO BRANCO DE ANDRADE</t>
  </si>
  <si>
    <t>-23.6450092938318</t>
  </si>
  <si>
    <t>-46.7229111550703</t>
  </si>
  <si>
    <t>AVENIDA MARIO LOPES LEOA ACESSO A AVENIDA DAS NACOES UNIDAS</t>
  </si>
  <si>
    <t>-23.6536247952084</t>
  </si>
  <si>
    <t>-46.7203519534875</t>
  </si>
  <si>
    <t>RUA ELIAS ANTONIO ZOGBI ESQUINA COM A RUA BENEDITO FERNANDES</t>
  </si>
  <si>
    <t>-23.6606791112078</t>
  </si>
  <si>
    <t>-46.7077690583399</t>
  </si>
  <si>
    <t>RUA ELIAS ANTONIO ZOGBI 140 ESQUINA COM A AVENIDA VITOR MANZINI</t>
  </si>
  <si>
    <t>-23.6616704244382</t>
  </si>
  <si>
    <t>-46.7067032019288</t>
  </si>
  <si>
    <t>RUA VIRGILIO TAQUES BITENCOURT 268 PROXIMO A RUA PROFESSOR RENATO BRAGA</t>
  </si>
  <si>
    <t>-23.6477018436929</t>
  </si>
  <si>
    <t>-46.7148446311828</t>
  </si>
  <si>
    <t>RUA AMLETO FARRO PROXIMO A RUA PLACIDO VIEIRA</t>
  </si>
  <si>
    <t>-23.6496717693108</t>
  </si>
  <si>
    <t>-46.7123527380126</t>
  </si>
  <si>
    <t>RUA BARAO DO RIO BRANCO PROXIMO A ESQUINA DALADEIRA AURORA</t>
  </si>
  <si>
    <t>-23.6531020419625</t>
  </si>
  <si>
    <t>-46.7086309825112</t>
  </si>
  <si>
    <t>RUA GAL BRAULIO GUIMARAES ESQUINA COM A RUA ENGENHEIRO FRANCISCO PITA BRITO</t>
  </si>
  <si>
    <t>-23.6569867291509</t>
  </si>
  <si>
    <t>-46.714839314778</t>
  </si>
  <si>
    <t>RUA ENGENHEIRO FRANCISCO PITTA BRITO ESQUINA COM A RUA DOUTOR SEBASTIAO LAPPETINA RUSSO</t>
  </si>
  <si>
    <t>-23.6559435356809</t>
  </si>
  <si>
    <t>-46.7160256455063</t>
  </si>
  <si>
    <t>RUA ANGELO HERRERO ESQUINA COM A RUA ELIAS MAHFUS</t>
  </si>
  <si>
    <t>-23.6591255301822</t>
  </si>
  <si>
    <t>-46.7084771916735</t>
  </si>
  <si>
    <t>RUA BENTO BRANCO DE ANDRADE FILHO 477 NA CALCADA DO SENAI</t>
  </si>
  <si>
    <t>-23.6486171679724</t>
  </si>
  <si>
    <t>-46.7222579091135</t>
  </si>
  <si>
    <t>RUA GENERAL SERRA MARTINS PROXIMO A AVENIDA JABAQUARA</t>
  </si>
  <si>
    <t>-23.6104985887799</t>
  </si>
  <si>
    <t>-46.6374816660086</t>
  </si>
  <si>
    <t>RUA PADRE MACHADO ESQUINA COM RUA DOMINGOS DE MORAIS</t>
  </si>
  <si>
    <t>-23.601651951509</t>
  </si>
  <si>
    <t>-46.6364491666762</t>
  </si>
  <si>
    <t>RUA DOMINGOS DE MORAIS ESQUINA COM RUA TIMBURIBA</t>
  </si>
  <si>
    <t>-23.6005266366914</t>
  </si>
  <si>
    <t>-46.6365468565778</t>
  </si>
  <si>
    <t>AVENIDA JABAQUARA 123</t>
  </si>
  <si>
    <t>-23.605176318131</t>
  </si>
  <si>
    <t>-46.6367455492265</t>
  </si>
  <si>
    <t>RUA LUIS GOIS ESQUINA COM A RUA AFONSO CELSO</t>
  </si>
  <si>
    <t>-23.6038919750473</t>
  </si>
  <si>
    <t>-46.634949149471</t>
  </si>
  <si>
    <t>RUA AFONSO CELSO ESQUINA COM A RUA PADRE MACHADO</t>
  </si>
  <si>
    <t>-23.6016534799542</t>
  </si>
  <si>
    <t>-46.6348158560812</t>
  </si>
  <si>
    <t>AVENIDA BOSQUE DA SAUDE ESQUINA COM RUA GUAIRA</t>
  </si>
  <si>
    <t>-23.6117294304107</t>
  </si>
  <si>
    <t>-46.6322555553568</t>
  </si>
  <si>
    <t>RUA LUIS GOES ESQUINA COM A RUA JUREIA</t>
  </si>
  <si>
    <t>-23.6042485301155</t>
  </si>
  <si>
    <t>-46.6304143943696</t>
  </si>
  <si>
    <t>RUA GUIRATINGA ESQUINA COM AVENIDA ITABORAI</t>
  </si>
  <si>
    <t>-23.6081230784893</t>
  </si>
  <si>
    <t>-46.6290307140051</t>
  </si>
  <si>
    <t>RUA GUIRATINGA ESQUINA COM RUA DEFRONTE RUA DOUTOR FRANCISCO JOSE LONGO</t>
  </si>
  <si>
    <t>-23.6065932216288</t>
  </si>
  <si>
    <t>-46.6284014866069</t>
  </si>
  <si>
    <t>RUA GUIRATINGA ESQUINA COM A RUA JACI</t>
  </si>
  <si>
    <t>-23.6056691597604</t>
  </si>
  <si>
    <t>-46.6282958339282</t>
  </si>
  <si>
    <t>RUA JUA ENTRE A RUA CARAMURU E A RUA BERTIOGA</t>
  </si>
  <si>
    <t>-23.6127066455686</t>
  </si>
  <si>
    <t>-46.6351660620458</t>
  </si>
  <si>
    <t>RUA ARARE ESQUINA COM RUA FERNANDO DE NORONHA</t>
  </si>
  <si>
    <t>-23.6091782322352</t>
  </si>
  <si>
    <t>-46.6339218749126</t>
  </si>
  <si>
    <t>RUA JUREIA ESQUINA COM A RUA ITAOCA</t>
  </si>
  <si>
    <t>-23.6048312588156</t>
  </si>
  <si>
    <t>-46.6301601435885</t>
  </si>
  <si>
    <t>AVENIDA DOMINGO DE MORAES ESQUINA COM A RUA TIMBURIBA</t>
  </si>
  <si>
    <t>-23.6005591665953</t>
  </si>
  <si>
    <t>-46.6365337414907</t>
  </si>
  <si>
    <t>RUA SABINO ESQUINA COM A RUA PADRE MACHADO</t>
  </si>
  <si>
    <t>-23.601500759551</t>
  </si>
  <si>
    <t>-46.6312260898171</t>
  </si>
  <si>
    <t>MIRANDÓPOLIS</t>
  </si>
  <si>
    <t>RUA PRIMEIRO DE JANEIRO ESQUINA COM AVENIDA ONZE DE JUNHO</t>
  </si>
  <si>
    <t>-23.6013326714062</t>
  </si>
  <si>
    <t>-46.6397485552034</t>
  </si>
  <si>
    <t>AVENIDA ONZE DE JUNHO ESQUINA COM RUA DOMINGOS DE MORAIS</t>
  </si>
  <si>
    <t>-23.6016313444015</t>
  </si>
  <si>
    <t>-46.636927552668</t>
  </si>
  <si>
    <t>RUA PRIMEIRO DE JANEIRO ESQUINA COM RUA MIRASSOL</t>
  </si>
  <si>
    <t>-23.6004019707724</t>
  </si>
  <si>
    <t>-46.6397385969045</t>
  </si>
  <si>
    <t>AVENIDA JABAQUARA ESQUINA COM A RUA GUARAU</t>
  </si>
  <si>
    <t>-23.6105785004363</t>
  </si>
  <si>
    <t>-46.6381524010928</t>
  </si>
  <si>
    <t>-23.6016417597895</t>
  </si>
  <si>
    <t>-46.639770987781</t>
  </si>
  <si>
    <t>AVENIDA CASEMIRO DA ROCHA ESQUINA COM A RUA DOS MIOSOTIS</t>
  </si>
  <si>
    <t>-23.6099605286799</t>
  </si>
  <si>
    <t>-46.6429007474351</t>
  </si>
  <si>
    <t>RUA LUIS GOIS PROXIMO DA ESQUINA DA RUA DOMINGOS DE MORAIS</t>
  </si>
  <si>
    <t>-23.6039420195783</t>
  </si>
  <si>
    <t>-46.6371433091017</t>
  </si>
  <si>
    <t>AVENIDA ONZE DE JUNHO ESQUINA COM A RUA NAPOLEAO DE BARROS</t>
  </si>
  <si>
    <t>-23.6013066525922</t>
  </si>
  <si>
    <t>-46.6444851732834</t>
  </si>
  <si>
    <t>RUA DR AFONSO BACCARI ESQUINA COM RUA JOSE DE MAGALHAES</t>
  </si>
  <si>
    <t>-23.6003102419464</t>
  </si>
  <si>
    <t>-46.6496258429308</t>
  </si>
  <si>
    <t>RUA DOM LUIS DE BRAGANCA ESQUINA COM RUA GUAPUA</t>
  </si>
  <si>
    <t>-23.606696810691</t>
  </si>
  <si>
    <t>-46.6444157534239</t>
  </si>
  <si>
    <t>RUA GUAPIACU ESQUINA COM RUA MONTE CARMELO</t>
  </si>
  <si>
    <t>-23.6055991594269</t>
  </si>
  <si>
    <t>-46.6474198709825</t>
  </si>
  <si>
    <t>RUA LOEFGREEN ESQUINA COM A RUA TRES DE MAIO</t>
  </si>
  <si>
    <t>-23.5998141376586</t>
  </si>
  <si>
    <t>-46.6421255545195</t>
  </si>
  <si>
    <t>-23.6016655404683</t>
  </si>
  <si>
    <t>-46.6369818538814</t>
  </si>
  <si>
    <t>-23.6013156247659</t>
  </si>
  <si>
    <t>-46.6397927301159</t>
  </si>
  <si>
    <t>-23.6016594254366</t>
  </si>
  <si>
    <t>-46.6398036012834</t>
  </si>
  <si>
    <t>2021-06-15</t>
  </si>
  <si>
    <t>-23.6004418546819</t>
  </si>
  <si>
    <t>-46.6400454847592</t>
  </si>
  <si>
    <t>AVENIDA JABAQUARA ESQUINA COM RUA GUARAU</t>
  </si>
  <si>
    <t>-23.6103375514366</t>
  </si>
  <si>
    <t>-46.6381348120585</t>
  </si>
  <si>
    <t>RUA DOS CRISANTEMOS ESQUINA COM A RUA DAS ROSAS   PRACA SANTA RITA DE CASSIA</t>
  </si>
  <si>
    <t>-23.6069286507524</t>
  </si>
  <si>
    <t>-46.6401910574169</t>
  </si>
  <si>
    <t>AVENIDA SENADOR CASEMIRO DA ROCHA PROXIMO A ESQUINA DA PRACA SANTA RITA DE CASSIA</t>
  </si>
  <si>
    <t>-23.6072806782837</t>
  </si>
  <si>
    <t>-46.6409783528072</t>
  </si>
  <si>
    <t>RUA DOS JACINTOS ESQUINA COM ALAMEDA DAS BONINAS</t>
  </si>
  <si>
    <t>-23.6048996096352</t>
  </si>
  <si>
    <t>-46.6399548222969</t>
  </si>
  <si>
    <t>RUA DAS ORQUIDEAS ESQUINA COM RUA DOS JACINTOS</t>
  </si>
  <si>
    <t>-23.6072252234844</t>
  </si>
  <si>
    <t>-46.642453892248</t>
  </si>
  <si>
    <t>AVENIDA RUBEM BERTA PROXIMO DA ESQUINA DA AVENIDA JOSE MARIA WHITAKER</t>
  </si>
  <si>
    <t>-23.6018199931511</t>
  </si>
  <si>
    <t>-46.6508589625682</t>
  </si>
  <si>
    <t>RUA PIRITUBA ESQUINA COM A RUA PERO NETO</t>
  </si>
  <si>
    <t>-23.6116347796999</t>
  </si>
  <si>
    <t>-46.6392381193179</t>
  </si>
  <si>
    <t>RUA LUIS GOIS ESQUINA COM A RUA NAPOLEAO DE BARROS</t>
  </si>
  <si>
    <t>-23.6038084820548</t>
  </si>
  <si>
    <t>-46.6445127712549</t>
  </si>
  <si>
    <t>RUA DAS ROSAS ESQUINA COM A RUA LUIS GOIS</t>
  </si>
  <si>
    <t>-23.6041221843801</t>
  </si>
  <si>
    <t>-46.6434721000641</t>
  </si>
  <si>
    <t>AVENIDA JOSE MARIA WHITAKER 953</t>
  </si>
  <si>
    <t>-23.6088063828915</t>
  </si>
  <si>
    <t>-46.6465064038723</t>
  </si>
  <si>
    <t>AVENIDA JOSE MARIA WHITAKER 506</t>
  </si>
  <si>
    <t>-23.6060583475493</t>
  </si>
  <si>
    <t>-46.6487798083836</t>
  </si>
  <si>
    <t>RUA LUIS GOIS ESQUINA COM A PRACA MICHIE AKAMA</t>
  </si>
  <si>
    <t>-23.6040035729685</t>
  </si>
  <si>
    <t>-46.6370979276296</t>
  </si>
  <si>
    <t>AVENIDA 11 DE JUNHO 589 NO INTERIO DA TRAVESSA JULIA ELIAS AZAR 05 VILA CLEMENTINO</t>
  </si>
  <si>
    <t>-23.6019476750199</t>
  </si>
  <si>
    <t>-46.6428725821168</t>
  </si>
  <si>
    <t>RUA PRIMEIRO DE JANEIRO ESQUINA COM A RUA MIRASSOL</t>
  </si>
  <si>
    <t>-23.6004504075817</t>
  </si>
  <si>
    <t>-46.6397997802426</t>
  </si>
  <si>
    <t>AVENIDA SENADOR CASEMIRO DA ROCHA 1257 PROXIMO DA ESQUINA COM A AVENIDA JOSE MARIA WHITAKER DEFRONTE AO CONDOMINIO JARDIM DAS ORQUIDEAS</t>
  </si>
  <si>
    <t>-23.6119858253731</t>
  </si>
  <si>
    <t>-46.6445481684242</t>
  </si>
  <si>
    <t>PLANALTO PAULISTA</t>
  </si>
  <si>
    <t>AVENIDA INDIANOPLIS ESQUINA COM ALAMEDA DOS ARAES</t>
  </si>
  <si>
    <t>-23.611763792319</t>
  </si>
  <si>
    <t>-46.6508087794688</t>
  </si>
  <si>
    <t>ALAMEDA DOS UBIATANS ESQUINA COM AVENIDA INDIANAPOLIS</t>
  </si>
  <si>
    <t>-23.6262035465221</t>
  </si>
  <si>
    <t>-46.6448706652109</t>
  </si>
  <si>
    <t>RUA DEPUTADO JOAO BRAVO CALDEIRA ESQUINA COM A RUA ANTONIO GEBARA</t>
  </si>
  <si>
    <t>-23.6271471148953</t>
  </si>
  <si>
    <t>-46.6499410115891</t>
  </si>
  <si>
    <t>ALAMEDA DOS TACAUNAS ESQUINA COM AVENIDA INDIANOPOLIS</t>
  </si>
  <si>
    <t>-23.62144512163</t>
  </si>
  <si>
    <t>-46.6472429933369</t>
  </si>
  <si>
    <t>AVENIDA INDIANOPOLIS ESQUINA COM ALAMEDA DOS GUATAS</t>
  </si>
  <si>
    <t>-23.6166519530735</t>
  </si>
  <si>
    <t>-46.6487895921311</t>
  </si>
  <si>
    <t>RUA EMAIXADOR SOUSA DANTAS ESQUINA COM AVENIDA JOSE MARIA WHITAKER</t>
  </si>
  <si>
    <t>-23.6139939183656</t>
  </si>
  <si>
    <t>-46.644144188127</t>
  </si>
  <si>
    <t>AVENIDA PIASSANGUABA ESQUINA COM ALAMEDA SORIMAS</t>
  </si>
  <si>
    <t>-23.6199401662704</t>
  </si>
  <si>
    <t>-46.6453025928527</t>
  </si>
  <si>
    <t>AVENIDA DO IRAI ESQUINA COM ALAMEDA UAPIXANA</t>
  </si>
  <si>
    <t>-23.6151250929891</t>
  </si>
  <si>
    <t>-46.6577535057087</t>
  </si>
  <si>
    <t>AVENIDA DOS IMARES ESQUINA COM A ALAMEDA DOS GUAINUMBIS</t>
  </si>
  <si>
    <t>-23.6184966706625</t>
  </si>
  <si>
    <t>-46.6582714272388</t>
  </si>
  <si>
    <t>ALAMEDA DOS TACAUNAS 802</t>
  </si>
  <si>
    <t>-23.6224638987124</t>
  </si>
  <si>
    <t>-46.6501512940512</t>
  </si>
  <si>
    <t>ALAMEDA DOS UBIATANS ESQUINA COM A RUA NEREU RAMOS</t>
  </si>
  <si>
    <t>-23.6264529186833</t>
  </si>
  <si>
    <t>-46.6456249548526</t>
  </si>
  <si>
    <t>AVENIDA MIRUNA ESQUINA COM A RUA ALBERTO WILLO</t>
  </si>
  <si>
    <t>-23.6194366805993</t>
  </si>
  <si>
    <t>-46.6558270259598</t>
  </si>
  <si>
    <t>AVENIDA PIASSANGUABA ESQUINA COM A ALAMEDA DOS APETUPAS</t>
  </si>
  <si>
    <t>-23.6137284224823</t>
  </si>
  <si>
    <t>-46.6475815222322</t>
  </si>
  <si>
    <t>AVENIDA CECI ESQUINA COM A RUA CAMPINA DA TABORDA</t>
  </si>
  <si>
    <t>-23.624082738295</t>
  </si>
  <si>
    <t>-46.6482964991064</t>
  </si>
  <si>
    <t>AVENIDA DOS BANDEIRANTES ESQUINA COM A RUA JOSE FAVA</t>
  </si>
  <si>
    <t>-23.6215542893119</t>
  </si>
  <si>
    <t>-46.6544785161676</t>
  </si>
  <si>
    <t>-23.611941682783</t>
  </si>
  <si>
    <t>-46.6511930339558</t>
  </si>
  <si>
    <t>AVENIDA CECI ESQUINA COM A ALAMEDA DOS TUPINAS</t>
  </si>
  <si>
    <t>-23.6259802192549</t>
  </si>
  <si>
    <t>-46.6475066196304</t>
  </si>
  <si>
    <t>AVENIDA DOS BANDEIRANTE PROXIMO A ESQUINA COM A RUA JOAO CARLOS MALET</t>
  </si>
  <si>
    <t>-23.6230153470704</t>
  </si>
  <si>
    <t>-46.6522664646184</t>
  </si>
  <si>
    <t>ALAMEDA UANANA ESQUINA COM A AVENIDA PIASSANGUABA</t>
  </si>
  <si>
    <t>-23.6060899695733</t>
  </si>
  <si>
    <t>-46.6507217726776</t>
  </si>
  <si>
    <t>ALAMEDA DOS TACAUNAS ESQUINA COM AVENIDA ITACIRA</t>
  </si>
  <si>
    <t>-23.6211788920902</t>
  </si>
  <si>
    <t>-46.6457123478691</t>
  </si>
  <si>
    <t>AVENIDA INDIANOPOLIS ESQUINA COM A ALAMEDA SORIMAS</t>
  </si>
  <si>
    <t>-23.6203459264994</t>
  </si>
  <si>
    <t>-46.647248605777</t>
  </si>
  <si>
    <t>AVENIDA CECI ESQUINA COM ALAMEDA DOS QUINIMURAS</t>
  </si>
  <si>
    <t>-23.6203868491186</t>
  </si>
  <si>
    <t>-46.649824870669</t>
  </si>
  <si>
    <t>AVENIDA PIASSANGUABA ESQUINA COM ALAMEDA DOS AUETIS</t>
  </si>
  <si>
    <t>-23.6088102705058</t>
  </si>
  <si>
    <t>-46.6496280078753</t>
  </si>
  <si>
    <t>ALAMEDA DOS ARAES ESQUINA COM AVENIDA ODILA</t>
  </si>
  <si>
    <t>-23.6101171133665</t>
  </si>
  <si>
    <t>-46.646743147257</t>
  </si>
  <si>
    <t>AVENIDA PIASSANGUABA ESQUINA COM ALAMEDA DOS GUATAS</t>
  </si>
  <si>
    <t>-23.6160475632666</t>
  </si>
  <si>
    <t>-46.6469291422163</t>
  </si>
  <si>
    <t>AVENIDA INDIANOPOLIS ESQUINA COM ALAMEDA DOS GUAICANAS</t>
  </si>
  <si>
    <t>-23.6157070936775</t>
  </si>
  <si>
    <t>-46.6491838464092</t>
  </si>
  <si>
    <t>AVENIDA IRERE ESQUINA COM ALAMEDA DOS PIRATININS</t>
  </si>
  <si>
    <t>-23.617936406494</t>
  </si>
  <si>
    <t>-46.6499372072965</t>
  </si>
  <si>
    <t>ALAMEDA DOS GUAINUMBIS ESQUINA COM AVENIDA JANDIRA</t>
  </si>
  <si>
    <t>-23.6137275044226</t>
  </si>
  <si>
    <t>-46.6538655534208</t>
  </si>
  <si>
    <t>AVENIDA CECI 2600</t>
  </si>
  <si>
    <t>-23.6288316715203</t>
  </si>
  <si>
    <t>-46.6463984692707</t>
  </si>
  <si>
    <t>RUA AUGUSTO ROLIM LOUREIRO 71</t>
  </si>
  <si>
    <t>-23.6278414877245</t>
  </si>
  <si>
    <t>-46.6490617528023</t>
  </si>
  <si>
    <t>ALAMEDA DOS GUAIOS PROXIMO A ESQUINA COM A AVENIDA DOS CECIS</t>
  </si>
  <si>
    <t>-23.628117083589</t>
  </si>
  <si>
    <t>-46.6468783623708</t>
  </si>
  <si>
    <t>AVENIDA PIASSANGUABA ESQUINA COM A AVENIDA AFONSO MARIANO FAGUNDES</t>
  </si>
  <si>
    <t>-23.6176632103985</t>
  </si>
  <si>
    <t>-46.6459562392062</t>
  </si>
  <si>
    <t>-23.6204671427797</t>
  </si>
  <si>
    <t>-46.6476675384125</t>
  </si>
  <si>
    <t>ALAMEDA DOS PIRATINIS ESQUINA COM A AVENIDA IRAI</t>
  </si>
  <si>
    <t>-23.6197586811922</t>
  </si>
  <si>
    <t>-46.6519532592062</t>
  </si>
  <si>
    <t>RUA PROFESSOR SOUSA BARROS AO LADO DA PRACA OCTAVIO BRAGA AO LADO DA SAIDA DO ESTACIONAMENTO DO HIPERMERCADO</t>
  </si>
  <si>
    <t>-23.6299525569227</t>
  </si>
  <si>
    <t>-46.6455060623682</t>
  </si>
  <si>
    <t>AVENIDA AFONSO MARIANO FAGUNDES ESQUINA COM A AVENIDA IRERE</t>
  </si>
  <si>
    <t>-23.619051471927</t>
  </si>
  <si>
    <t>-46.649215754996</t>
  </si>
  <si>
    <t>RUA URANO ESQUINA COM AVENIDA JABAQUARA</t>
  </si>
  <si>
    <t>-23.6184370340559</t>
  </si>
  <si>
    <t>-46.6394550444769</t>
  </si>
  <si>
    <t>AVENIDA JABAQUARA ESQUINA COM RUA SAO SEBASTIAO</t>
  </si>
  <si>
    <t>-23.6181929702489</t>
  </si>
  <si>
    <t>-46.6389321506017</t>
  </si>
  <si>
    <t>AVENIDA JABAQUARA 2443 SAIDA DO METRO SAO JUDAS</t>
  </si>
  <si>
    <t>-23.6258514359433</t>
  </si>
  <si>
    <t>-46.6405648199694</t>
  </si>
  <si>
    <t>AVENIDA JABAQUARA DEFRONTE A RUA PAN AMERICA</t>
  </si>
  <si>
    <t>-23.6255200068547</t>
  </si>
  <si>
    <t>-46.6410265096191</t>
  </si>
  <si>
    <t>AVENIDA JABAQUARA 1337 ENTRE A RUA PEREIRA STEFANO E A RUA VERIANO PEREIRA</t>
  </si>
  <si>
    <t>-23.6161563725841</t>
  </si>
  <si>
    <t>-46.6385432482133</t>
  </si>
  <si>
    <t>RUA DONA MARIA PERA ESQUINA COM A RUA MASSARANDUBA</t>
  </si>
  <si>
    <t>-23.6253674630511</t>
  </si>
  <si>
    <t>-46.6387657619052</t>
  </si>
  <si>
    <t>RUA ITAPURU ESQUINA COM A RUA DIAS TOLEDO</t>
  </si>
  <si>
    <t>-23.6150461307097</t>
  </si>
  <si>
    <t>-46.6357220912089</t>
  </si>
  <si>
    <t>AVENIDA MIGUEL STEFANO ESQUINA COM RUA VUTURANA</t>
  </si>
  <si>
    <t>-23.6221092987124</t>
  </si>
  <si>
    <t>-46.6299715016347</t>
  </si>
  <si>
    <t>RUA ITAPIRU ESQUINA COM RUA GENERAL CHAGAS SANTOS</t>
  </si>
  <si>
    <t>-23.6187171746083</t>
  </si>
  <si>
    <t>-46.6341890465019</t>
  </si>
  <si>
    <t>RUA SERRANOS ESQUINA COM RUA GUARIPE</t>
  </si>
  <si>
    <t>2021-09-20</t>
  </si>
  <si>
    <t>-23.6198231624018</t>
  </si>
  <si>
    <t>-46.6305855800562</t>
  </si>
  <si>
    <t>RUA FRANCISCO MESQUITA ESQUINA COM A RUA DOS DEMOCRATAS</t>
  </si>
  <si>
    <t>-23.6288112690662</t>
  </si>
  <si>
    <t>-46.6343372703475</t>
  </si>
  <si>
    <t>RUA DOUTOR MAURICIO LACERDA ESQUINA COM A RUA DOM VICOSO</t>
  </si>
  <si>
    <t>-23.6250082384535</t>
  </si>
  <si>
    <t>-46.632467138382</t>
  </si>
  <si>
    <t>RUA DOUTOR BERTO CONDE ESQUINA COM A RUA DOUTOR MAURICIO DE LACERDA</t>
  </si>
  <si>
    <t>-23.6260798679276</t>
  </si>
  <si>
    <t>-46.6369183203345</t>
  </si>
  <si>
    <t>AVENIDA AFONSO MARIANO FAGUNDES ESQUINA COM A AVENIDA JABAQUARA</t>
  </si>
  <si>
    <t>-23.6151701407428</t>
  </si>
  <si>
    <t>-46.6387077287276</t>
  </si>
  <si>
    <t>RUA PROFESSSOR APRIGIO GONZAGA DEFRONTE A RUA MARIA FAGNANI</t>
  </si>
  <si>
    <t>-23.6245907513856</t>
  </si>
  <si>
    <t>-46.63732556514</t>
  </si>
  <si>
    <t>RUA PARACATU ESQUINA COM A RUA CARNEIRO DA CUNHA</t>
  </si>
  <si>
    <t>-23.621816674156</t>
  </si>
  <si>
    <t>-46.6347332224028</t>
  </si>
  <si>
    <t>RUA CARNEIRO DA CUNHA PROXIMO A ESQUINA COM AVENIDA MIGUEL ESTEFANO</t>
  </si>
  <si>
    <t>-23.6210605851336</t>
  </si>
  <si>
    <t>-46.634500013979</t>
  </si>
  <si>
    <t>RUA LOMAS VALENTINA ESQUINA COM A RUA CATULO DA PAIXAO CEARENSE</t>
  </si>
  <si>
    <t>-23.6143878418126</t>
  </si>
  <si>
    <t>-46.6289288144306</t>
  </si>
  <si>
    <t>RUA ESTERO BELACO ESQUINA COM A RUA NOGUEIRA MARTINS</t>
  </si>
  <si>
    <t>-23.6151250220439</t>
  </si>
  <si>
    <t>-46.6333064621955</t>
  </si>
  <si>
    <t>RUA MIGUEL STEFANO ESQUINA COM A RUA BIOBEDAS</t>
  </si>
  <si>
    <t>-23.620825415251</t>
  </si>
  <si>
    <t>-46.6364130846577</t>
  </si>
  <si>
    <t>RUA JOSE GOMES DA SILVA ESQUINA COM A RUA MARIO AUGUSTO FERRAO</t>
  </si>
  <si>
    <t>-23.6235562759053</t>
  </si>
  <si>
    <t>-46.6373272563024</t>
  </si>
  <si>
    <t>AVENIDA DR LUIS ARROBAS MARTINS ESQUINA COM AVENIDA DO RIO BONITO</t>
  </si>
  <si>
    <t>2021-11-06</t>
  </si>
  <si>
    <t>-23.6871606420193</t>
  </si>
  <si>
    <t>-46.7023070217756</t>
  </si>
  <si>
    <t>AVENIDA ENGENHEIRO JOSE SALLES PROXIMO A RUA BRASILIA PIRES DE OLIVEIRA</t>
  </si>
  <si>
    <t>-23.6894906161158</t>
  </si>
  <si>
    <t>-46.7003525032292</t>
  </si>
  <si>
    <t>AVENIDA ROBERTO KENNEDY POSTO GUARAPIRANGA</t>
  </si>
  <si>
    <t>-23.6989687961111</t>
  </si>
  <si>
    <t>-46.7153032564527</t>
  </si>
  <si>
    <t>RUA ANTONIO MARIANO ESQUINA COM A RUA GALIZA</t>
  </si>
  <si>
    <t>-23.6895629455883</t>
  </si>
  <si>
    <t>-46.7085697689756</t>
  </si>
  <si>
    <t>RUA LUIS ROMERO SANSON PROXIMO DA ESQUINA COM A AVENIDA BERTA WAITMAN</t>
  </si>
  <si>
    <t>-23.7055740091022</t>
  </si>
  <si>
    <t>-46.7119909514861</t>
  </si>
  <si>
    <t>RUA SILVINO DE OLIVEIRA PINTO ESQUINA COM A RUA CAETANO MENINO</t>
  </si>
  <si>
    <t>-23.6956381698781</t>
  </si>
  <si>
    <t>-46.7107332864547</t>
  </si>
  <si>
    <t>RUA BENTO RODRIGUES BASTOS ESQUINA COM AVENIDA DO RIO BONITO</t>
  </si>
  <si>
    <t>-23.6908679070221</t>
  </si>
  <si>
    <t>-46.7016978244524</t>
  </si>
  <si>
    <t>RUA SAO FORTUNATO PROXIMO A RUA DR OSCAR FERNANDES MARTINS</t>
  </si>
  <si>
    <t>-23.6966651605</t>
  </si>
  <si>
    <t>-46.7058908800939</t>
  </si>
  <si>
    <t>AVENIDA BERNA ESQUINA COM  A RUA LAUZANE</t>
  </si>
  <si>
    <t>-23.6846837466623</t>
  </si>
  <si>
    <t>-46.7057089442884</t>
  </si>
  <si>
    <t>RUA POMPELO 70  NO FINAL DA RUA</t>
  </si>
  <si>
    <t>-23.6798555468039</t>
  </si>
  <si>
    <t>-46.7083388577249</t>
  </si>
  <si>
    <t>AVENIDA DO RIO BONITO ESQUINA COM A RUA DOUTOR BRASILIO MACHADO NETO</t>
  </si>
  <si>
    <t>-23.6781240198276</t>
  </si>
  <si>
    <t>-46.7093024901291</t>
  </si>
  <si>
    <t>AVENIDA ATLANTICA ESQUINA COM A RUA HERCULANO PENA</t>
  </si>
  <si>
    <t>-23.6818279818812</t>
  </si>
  <si>
    <t>-46.7135760994632</t>
  </si>
  <si>
    <t>AVENIDA ROBERTO KENNEDY ESQUINA COM RUA OLIVIA GUEDES PENTEADO</t>
  </si>
  <si>
    <t>-23.6688619938529</t>
  </si>
  <si>
    <t>-46.7122097023826</t>
  </si>
  <si>
    <t>RUA SERVIA PROXIMO A RUA PRAIA DO SUL</t>
  </si>
  <si>
    <t>-23.6712223791517</t>
  </si>
  <si>
    <t>-46.7185965866471</t>
  </si>
  <si>
    <t>RUA LAGRANGE ESQUINA COM A RUA FERREIRA VIANA</t>
  </si>
  <si>
    <t>-23.6630066930011</t>
  </si>
  <si>
    <t>-46.7192966321105</t>
  </si>
  <si>
    <t xml:space="preserve">AVENIDA DE PINEDO ESQUINA COM A RUA </t>
  </si>
  <si>
    <t>-23.6671268233983</t>
  </si>
  <si>
    <t>-46.712691854416</t>
  </si>
  <si>
    <t>RUA AUGUSTO FERREIRA DE MORAIS ESQUINA COM A RUA FRANCISCO OTAVIANO</t>
  </si>
  <si>
    <t>-23.6696170832529</t>
  </si>
  <si>
    <t>-46.7188550353797</t>
  </si>
  <si>
    <t>JARDIM VITÓRIA RÉGIA</t>
  </si>
  <si>
    <t>RUA DR JOSE GUSTAVO BUSH PROXIMO A RUA PROFESSOR ALEXANDRE CORREIA</t>
  </si>
  <si>
    <t>-23.6260227998757</t>
  </si>
  <si>
    <t>-46.718486589917</t>
  </si>
  <si>
    <t>AVENIDA JOAO DIAS PROXIMO A RUA AFONSO VIDAL</t>
  </si>
  <si>
    <t>-23.643640026771</t>
  </si>
  <si>
    <t>-46.7312656991122</t>
  </si>
  <si>
    <t>AVENIDA CARLOS QUEIROZ TELLES PROXIMO A RUA DIEGO DE CASTILHO</t>
  </si>
  <si>
    <t>-23.6299826226204</t>
  </si>
  <si>
    <t>-46.7211337191917</t>
  </si>
  <si>
    <t>AVENIDA HEBE CAMARGO DEFRONTE A RUA DOUTOR JOSE PEDRO DE CARVALHO LIMA</t>
  </si>
  <si>
    <t>-23.6245878966223</t>
  </si>
  <si>
    <t>-46.7272221733393</t>
  </si>
  <si>
    <t>RUA ITAPAIUNA DEFRONTE A RUA DEPUTADO JOAO SUSSUMU HIRATA</t>
  </si>
  <si>
    <t>-23.6313779968422</t>
  </si>
  <si>
    <t>-46.7277804599457</t>
  </si>
  <si>
    <t>AVENIDA HEBE CAMARGO ESQUINA COM A RUA RICARDO AVENARIUS  AO LADO DO CONDOMINIO RESIDENCIAL CLICK MORUMBI</t>
  </si>
  <si>
    <t>-23.6190503447005</t>
  </si>
  <si>
    <t>-46.7227790659176</t>
  </si>
  <si>
    <t>RUA HEITOR PORTUGAL 353</t>
  </si>
  <si>
    <t>-23.6192491717123</t>
  </si>
  <si>
    <t>-46.7120781523288</t>
  </si>
  <si>
    <t>RUA JAIME COSTA 300</t>
  </si>
  <si>
    <t>-23.6212959276284</t>
  </si>
  <si>
    <t>-46.708666132763</t>
  </si>
  <si>
    <t>RUA GENERAL PEREIRA DA CUNHA 300</t>
  </si>
  <si>
    <t>-23.6216585130919</t>
  </si>
  <si>
    <t>-46.7064899410009</t>
  </si>
  <si>
    <t>RUA HERMELINA GONCALVES VADERS PROXIMO A RUA MANOEL CRUZ</t>
  </si>
  <si>
    <t>-23.6409537324568</t>
  </si>
  <si>
    <t>-46.7420006930419</t>
  </si>
  <si>
    <t>RUA NICOLA ROLLO PROXIMO A RUA NELSON GAMA DE OLIVEIRA</t>
  </si>
  <si>
    <t>-23.6288834933233</t>
  </si>
  <si>
    <t>-46.7430564400643</t>
  </si>
  <si>
    <t>VILA MARIANA</t>
  </si>
  <si>
    <t>ANA ROSA</t>
  </si>
  <si>
    <t>RUA DOUTOR EDUARDO AMARO ESQUINA COM A RUA APENINOS</t>
  </si>
  <si>
    <t>-23.5752770649426</t>
  </si>
  <si>
    <t>-46.6395640475075</t>
  </si>
  <si>
    <t>RUA CHUI ESQUINA COM RUA CORREIA DIAS</t>
  </si>
  <si>
    <t>-23.5766073842716</t>
  </si>
  <si>
    <t>-46.6379245876099</t>
  </si>
  <si>
    <t>RUA MACHADO DE ASSIS ESQUINA COM A RUA GASPAR LOURENCO</t>
  </si>
  <si>
    <t>-23.5810011134782</t>
  </si>
  <si>
    <t>-46.6351993831698</t>
  </si>
  <si>
    <t>RUA ALCEU WANOSY ESQUINA COM A PROFESSOR ARISTIDES DE MACEDO</t>
  </si>
  <si>
    <t>-23.5800044940067</t>
  </si>
  <si>
    <t>-46.6377947700245</t>
  </si>
  <si>
    <t>RUA MACHADO DE ASSIS ESQUINA COM A RUA PAULA NEI</t>
  </si>
  <si>
    <t>-23.5803481679812</t>
  </si>
  <si>
    <t>-46.633998108547</t>
  </si>
  <si>
    <t>RUA MACHADO DE ASSIS ESQUINA COM A RUA VERGUEIRO</t>
  </si>
  <si>
    <t>-23.5823026190927</t>
  </si>
  <si>
    <t>-46.6375164221</t>
  </si>
  <si>
    <t>RUA DOUTOR EDUARDO AMARO ESQUINA COM A RUA VERGUEIRO</t>
  </si>
  <si>
    <t>-23.5752031197408</t>
  </si>
  <si>
    <t>-46.6403973595833</t>
  </si>
  <si>
    <t>CHÁCARA KLABIN</t>
  </si>
  <si>
    <t>RUA COLONIA DA GLORIA 637</t>
  </si>
  <si>
    <t>-23.5877311964216</t>
  </si>
  <si>
    <t>-46.6272398519328</t>
  </si>
  <si>
    <t>AVENIDA LINS DE VASCONCELOS ESQUINA COM A RUA CALIXTO DA MOTA</t>
  </si>
  <si>
    <t>-23.588201515595</t>
  </si>
  <si>
    <t>-46.6306363496849</t>
  </si>
  <si>
    <t>RUA PROFESSORA CAROLINA RIBEIRO ESQUINA COM RUA DOMINGO SOTO</t>
  </si>
  <si>
    <t>-23.5927907697</t>
  </si>
  <si>
    <t>-46.6281676534644</t>
  </si>
  <si>
    <t>RUA VITOR DUBUGRAS PROXIMO A ESQUINA COM A RUA JOSE UBALDO LOMONACO</t>
  </si>
  <si>
    <t>-23.5853108558284</t>
  </si>
  <si>
    <t>-46.6235021854206</t>
  </si>
  <si>
    <t>RUA VERGUERIO ESQUINA COM RUA DOS BONITOS</t>
  </si>
  <si>
    <t>-23.5895280081185</t>
  </si>
  <si>
    <t>-46.6314674440649</t>
  </si>
  <si>
    <t>RUA RODRIGO VIEIRA ESQUINA COM A RUA PROFESSOR SERAFIN ORLANDI</t>
  </si>
  <si>
    <t>-23.589506886317</t>
  </si>
  <si>
    <t>-46.6214322268154</t>
  </si>
  <si>
    <t>RUA RODRIGO VIEIRA 487 PROXIMO DA RUA JANSEN</t>
  </si>
  <si>
    <t>-23.5887123804646</t>
  </si>
  <si>
    <t>-46.6252411608009</t>
  </si>
  <si>
    <t>FRANÇA PINTO</t>
  </si>
  <si>
    <t>RUA RIO GRANDE DEFRONTE A RUA DOUTOR ALVARO ALVIM</t>
  </si>
  <si>
    <t>-23.5899381165185</t>
  </si>
  <si>
    <t>-46.6414886859833</t>
  </si>
  <si>
    <t>RUA MADRE CABRINI DEFRONTE A AVENIDA LINS DE VASCONCELOS PROX A ENTRADA DA ESCOLA...</t>
  </si>
  <si>
    <t>-23.5892964630049</t>
  </si>
  <si>
    <t>-46.6352620189863</t>
  </si>
  <si>
    <t>AVENIDA LINS DE VASCONCELOS ESQUINA COM A AVENIDA PROFESSOR NOE AZEVEDO</t>
  </si>
  <si>
    <t>-23.5891575534951</t>
  </si>
  <si>
    <t>-46.6348763633686</t>
  </si>
  <si>
    <t>RUA BOTUCATU ESQUINA COM A RUA SENA MADUREIRA</t>
  </si>
  <si>
    <t>-23.5937688182082</t>
  </si>
  <si>
    <t>-46.642410825847</t>
  </si>
  <si>
    <t>RUA DOUTOR ALVARO ALVIM ESQUINA COM A RUA RIO GRANDE</t>
  </si>
  <si>
    <t>-23.5899881513959</t>
  </si>
  <si>
    <t>-46.6413547571631</t>
  </si>
  <si>
    <t>RUA GANDAVO ESQUINA COM RUA BOTUCATU</t>
  </si>
  <si>
    <t>-23.5920490349109</t>
  </si>
  <si>
    <t>-46.6422359768425</t>
  </si>
  <si>
    <t>RUA SENA MADUREIRA ESQUINA COM A RUA CAPITAO MACEDO    PRACA ADELIA</t>
  </si>
  <si>
    <t>-23.5934080689732</t>
  </si>
  <si>
    <t>-46.6397301604582</t>
  </si>
  <si>
    <t>RUA GANDAVO ESQUINA COM A RUA BOTUCATU</t>
  </si>
  <si>
    <t>-23.5920574916758</t>
  </si>
  <si>
    <t>-46.6419257138803</t>
  </si>
  <si>
    <t>RUA CAPITAO MACEDO ESQUINA COM A RUA BOTUCATU</t>
  </si>
  <si>
    <t>-23.593026068153</t>
  </si>
  <si>
    <t>-46.6420236074517</t>
  </si>
  <si>
    <t>RUA DOUTOR MARIO CARDIM ESQUINA COM PRACA RIOLANDA</t>
  </si>
  <si>
    <t>-23.5906093283026</t>
  </si>
  <si>
    <t>-46.6451159624092</t>
  </si>
  <si>
    <t>RUA CAPITAO MACEDO ESQUINA COM A RUA DOS OTONIS</t>
  </si>
  <si>
    <t>-23.5927711209702</t>
  </si>
  <si>
    <t>-46.6449584129725</t>
  </si>
  <si>
    <t>RUA GUACIPOSS ESQUINA COM A RUA URUANA</t>
  </si>
  <si>
    <t>-23.5905493773215</t>
  </si>
  <si>
    <t>-46.6435190814033</t>
  </si>
  <si>
    <t>RUA JOAQUIM TAVORA ESQUINA COM RUA AUREA</t>
  </si>
  <si>
    <t>-23.5877280017283</t>
  </si>
  <si>
    <t>-46.6451522777495</t>
  </si>
  <si>
    <t>RUA DOMINGOS DE MORAIS ESQUINA COM A RUA CARLOS PETITI</t>
  </si>
  <si>
    <t>-23.5848326355623</t>
  </si>
  <si>
    <t>-46.6369422617069</t>
  </si>
  <si>
    <t>RUA JOAQUIM TAVORA ESQUINA COM A RUA HUMBERTO I</t>
  </si>
  <si>
    <t>-23.5864420873391</t>
  </si>
  <si>
    <t>-46.6413688536338</t>
  </si>
  <si>
    <t>RUA FRANCA PINTO ESQUINA COM A RUA MAJOR MARAGLIANO</t>
  </si>
  <si>
    <t>-23.5859934745617</t>
  </si>
  <si>
    <t>-46.6384884136215</t>
  </si>
  <si>
    <t>RUA GANDAVO ESQUINA COM A RUA MARSELHESA</t>
  </si>
  <si>
    <t>-23.5919376665473</t>
  </si>
  <si>
    <t>-46.6408428311661</t>
  </si>
  <si>
    <t>RUA CORONEL LISBOA ESQUINA COM A RUA MADRE CABRINI</t>
  </si>
  <si>
    <t>-23.5925563625877</t>
  </si>
  <si>
    <t>-46.6393141169836</t>
  </si>
  <si>
    <t>RUA CAPITAO MACEDO ESQUINA COM A RUA MARSELHESA</t>
  </si>
  <si>
    <t>-23.5931126947649</t>
  </si>
  <si>
    <t>-46.6407056015932</t>
  </si>
  <si>
    <t>RUA SENA MADUREIRA 1355</t>
  </si>
  <si>
    <t>-23.5927201039928</t>
  </si>
  <si>
    <t>-46.6485357084768</t>
  </si>
  <si>
    <t>RUA DOMINGOS DE MORAIS 1708</t>
  </si>
  <si>
    <t>-23.5910441366035</t>
  </si>
  <si>
    <t>-46.635666033851</t>
  </si>
  <si>
    <t>RUA HENRIQUE GIL NETO NO FINAL DA RUA</t>
  </si>
  <si>
    <t>-23.5874251180634</t>
  </si>
  <si>
    <t>-46.6401364777358</t>
  </si>
  <si>
    <t>RUA IRMA EFIGENIA 19 NO FUNDO DA VILA</t>
  </si>
  <si>
    <t>-23.5894068362228</t>
  </si>
  <si>
    <t>-46.6381460192829</t>
  </si>
  <si>
    <t>RUA ITAPINA ESQUINA COM A RUA SAO PAULINO</t>
  </si>
  <si>
    <t>-23.5893418177113</t>
  </si>
  <si>
    <t>-46.6454581059718</t>
  </si>
  <si>
    <t>LARGO SENADOR RAUL CARDOSO 207</t>
  </si>
  <si>
    <t>-23.5918037125415</t>
  </si>
  <si>
    <t>-46.6466386658635</t>
  </si>
  <si>
    <t>JARDIM DA GLÓRIA</t>
  </si>
  <si>
    <t>RUA OLIVINA ESQUINA COM AVENIDA LINS DE VASCONCELOS</t>
  </si>
  <si>
    <t>-23.5836234137483</t>
  </si>
  <si>
    <t>-46.6275098742342</t>
  </si>
  <si>
    <t>RUA PROFESSOR BRASIL MACHADO DE CAMPOS 84</t>
  </si>
  <si>
    <t>-23.5816694639603</t>
  </si>
  <si>
    <t>-46.6196979353203</t>
  </si>
  <si>
    <t>AVENIDA LINS DE VASCONCELOS ESQUINA COM A RUA ALCINDO GUANABARA</t>
  </si>
  <si>
    <t>-23.581041579376</t>
  </si>
  <si>
    <t>-46.6248611204974</t>
  </si>
  <si>
    <t>RUA ALCINDO GUANABARA DEFRONTE A RUA LAURINDO RABELO</t>
  </si>
  <si>
    <t>-23.5799375548898</t>
  </si>
  <si>
    <t>-46.623103117703</t>
  </si>
  <si>
    <t>PARAÍSO</t>
  </si>
  <si>
    <t>AVENIDA PAULISTA 07 ESQUINA COM A PRACA OSWALDO CRUZ</t>
  </si>
  <si>
    <t>-23.5713462987308</t>
  </si>
  <si>
    <t>-46.6447071706711</t>
  </si>
  <si>
    <t>RUA LEONCIO DE CARVALHO ESQUINA COM AVENIDA PAULISTA</t>
  </si>
  <si>
    <t>-23.5703820073729</t>
  </si>
  <si>
    <t>-46.6459113007688</t>
  </si>
  <si>
    <t>RUA MANOEL DA NOBREGA 97</t>
  </si>
  <si>
    <t>-23.567973024886</t>
  </si>
  <si>
    <t>-46.6491102290074</t>
  </si>
  <si>
    <t>-23.56973176558</t>
  </si>
  <si>
    <t>-46.6468232981018</t>
  </si>
  <si>
    <t>RUA CORONEL OSCAR PORTO ESQUINA COM A RUA AFONSO DE FREITAS</t>
  </si>
  <si>
    <t>-23.575833988087</t>
  </si>
  <si>
    <t>-46.6456629972269</t>
  </si>
  <si>
    <t>RUA AFONSO DE FREITAS ESQUINA COM A AVENIDA BERNARDINO DE CAMPOS</t>
  </si>
  <si>
    <t>-23.5745026378574</t>
  </si>
  <si>
    <t>-46.6422692546867</t>
  </si>
  <si>
    <t>RUA DOUTOR SAMPAIO VIANA ESQUINA COM RUA CORONEL OSCAR PORTO</t>
  </si>
  <si>
    <t>-23.5738434695159</t>
  </si>
  <si>
    <t>-46.6469648479259</t>
  </si>
  <si>
    <t>RUA MARIO AMARAL ESQUINA COM A RUA MANOEL DA NOBREGA</t>
  </si>
  <si>
    <t>-23.571507556236</t>
  </si>
  <si>
    <t>-46.6510629157415</t>
  </si>
  <si>
    <t>RUA TUTOIA ESQUINA COM A RUA TOMAS CARVALHAL</t>
  </si>
  <si>
    <t>-23.579908843321</t>
  </si>
  <si>
    <t>-46.6507085445984</t>
  </si>
  <si>
    <t>ALAMEDA SANTOS ESQUINA COM A RUA MANOEL DA NOBREGA</t>
  </si>
  <si>
    <t>-23.5691874850929</t>
  </si>
  <si>
    <t>-46.6494602092056</t>
  </si>
  <si>
    <t>RUA CUBATAO ESQUINA COM A RUA SAMPAIO VIANA</t>
  </si>
  <si>
    <t>-23.5732025304901</t>
  </si>
  <si>
    <t>-46.6448961396091</t>
  </si>
  <si>
    <t>RUA ABILIO SOARES ESQUINA COM A RUA CORONEL OSCAR PORTO</t>
  </si>
  <si>
    <t>-23.5747905938891</t>
  </si>
  <si>
    <t>-46.6463920618155</t>
  </si>
  <si>
    <t>RUA ABILIO SOARES COM RUA OSCAR PORTO</t>
  </si>
  <si>
    <t>-23.5747468836091</t>
  </si>
  <si>
    <t>-46.6462565972064</t>
  </si>
  <si>
    <t>RUA ABILIO SOARES ESQUINA COM A RUA ALCINO BRAGA</t>
  </si>
  <si>
    <t>-23.576115442426</t>
  </si>
  <si>
    <t>-46.6493824629932</t>
  </si>
  <si>
    <t>TRAVESSA ESQUINA COM A RUA TUTOIA</t>
  </si>
  <si>
    <t>-23.5740102199305</t>
  </si>
  <si>
    <t>-46.6506780044069</t>
  </si>
  <si>
    <t>RUA ABILIO SOARES ESQUINA COM A RUA CUBATAO</t>
  </si>
  <si>
    <t>-23.5741927254141</t>
  </si>
  <si>
    <t>-46.6445407447245</t>
  </si>
  <si>
    <t>RUA TUTOIA ESQUINA COM A RUA MANUEL DA NOBREGA</t>
  </si>
  <si>
    <t>-23.5728576624935</t>
  </si>
  <si>
    <t>-46.6526924914229</t>
  </si>
  <si>
    <t>RUA MARIA FIGUEIREDO ESQUINA COM RUA MARIO AMARAL</t>
  </si>
  <si>
    <t>-23.5720216865363</t>
  </si>
  <si>
    <t>-46.6499537515079</t>
  </si>
  <si>
    <t>RUA ACHILLES MASETTI ENTRE AS RUAS TOMAS CARVALHAL E A RUA SAID ALACH</t>
  </si>
  <si>
    <t>-23.5783481798066</t>
  </si>
  <si>
    <t>-46.6483031215138</t>
  </si>
  <si>
    <t>RODRIGUES ALVES</t>
  </si>
  <si>
    <t>RUA VERGUEIRO ESQUINA COM O LARGO ANA ROSA</t>
  </si>
  <si>
    <t>-23.5825082427282</t>
  </si>
  <si>
    <t>-46.6378995480923</t>
  </si>
  <si>
    <t>RUA CONSELHEIRO RODRIGUES ALVES ESQUINA COM A RUA DOMINGOS DE MORAES</t>
  </si>
  <si>
    <t>-23.5814839421677</t>
  </si>
  <si>
    <t>-46.6390594282002</t>
  </si>
  <si>
    <t>LARGO DONA ANA ROSA METRO ANAROSA</t>
  </si>
  <si>
    <t>-23.5815043870259</t>
  </si>
  <si>
    <t>-46.6386860301136</t>
  </si>
  <si>
    <t>AVENIDA CONSELHEIRO RODRIGUES ALVEZ ESQUINA COM A RUA DOUTOR FABRICIO VAMPRE</t>
  </si>
  <si>
    <t>-23.5832097921859</t>
  </si>
  <si>
    <t>-46.6409887778269</t>
  </si>
  <si>
    <t>RUA PELOTAS ESQUINA COM A RUA HUMBERTO I</t>
  </si>
  <si>
    <t>-23.5810462322589</t>
  </si>
  <si>
    <t>-46.6431251509891</t>
  </si>
  <si>
    <t>RUA VERGUEIRO ESQUINA COM A RUA ESTELA</t>
  </si>
  <si>
    <t>-23.5774479076001</t>
  </si>
  <si>
    <t>-46.6411754203572</t>
  </si>
  <si>
    <t>RUA DOMINGOS DE MORAES 439 ESQUINA COM O LARGO DONA ANA ROSA</t>
  </si>
  <si>
    <t>-23.5806609273054</t>
  </si>
  <si>
    <t>-46.6393741630469</t>
  </si>
  <si>
    <t>RUA JOSE ANTONIO COELHO ESQUINA COM A RUA ARTUR DE ALMEIDA</t>
  </si>
  <si>
    <t>-23.5807271363439</t>
  </si>
  <si>
    <t>-46.6462913074776</t>
  </si>
  <si>
    <t>RUA AUREA ESQUINA COM AVENIDA CONSELHEIRO RODRIGUES ALVES</t>
  </si>
  <si>
    <t>-23.5856278456843</t>
  </si>
  <si>
    <t>-46.6462601405611</t>
  </si>
  <si>
    <t>AVENIDA CONSELHEIRO RODRIGUES ALVES ESQUINA COM A RUA  HIDELBRANDO THOMAZ DE CARVALHO</t>
  </si>
  <si>
    <t>-23.5845169664274</t>
  </si>
  <si>
    <t>-46.643875523969</t>
  </si>
  <si>
    <t>RUA PELOTAS ESQUINA COM RUA IL SOGNO DI ANARELLO</t>
  </si>
  <si>
    <t>-23.5828973910019</t>
  </si>
  <si>
    <t>-46.6478431995232</t>
  </si>
  <si>
    <t>RUA ECA DE QUEIROZ ESQUINA COM RUA OSCAR PORTO</t>
  </si>
  <si>
    <t>-23.5794692217653</t>
  </si>
  <si>
    <t>-46.6444911791879</t>
  </si>
  <si>
    <t>RUA JOSE ANTONIO COELHO DEFRONTE A RUA HUMBERTO I</t>
  </si>
  <si>
    <t>-23.579997711836</t>
  </si>
  <si>
    <t>-46.6430845595265</t>
  </si>
  <si>
    <t>RUA DOUTOR AMANCIO DE CARVALHO ESQUINA COM A RUA PELOTAS</t>
  </si>
  <si>
    <t>-23.5833018705825</t>
  </si>
  <si>
    <t>-46.6485130048456</t>
  </si>
  <si>
    <t>RUA JOSE ANTONIO COELHO ESQUINA COM A RUA CORONEL OSCAR PORTO</t>
  </si>
  <si>
    <t>-23.580248439901</t>
  </si>
  <si>
    <t>-46.6442090260703</t>
  </si>
  <si>
    <t>RUA HUMBERTO 245</t>
  </si>
  <si>
    <t>-23.5823615427307</t>
  </si>
  <si>
    <t>-46.6426397535712</t>
  </si>
  <si>
    <t>RUA MORGADO DE MATEUS ESQUINA COM A RUA HUMBERTO I</t>
  </si>
  <si>
    <t>-23.5850655758714</t>
  </si>
  <si>
    <t>-46.6421635931199</t>
  </si>
  <si>
    <t>RUA AMBROSIO DE MACEDO 184 NO INTERIOR DA VILA DEFRONTE A CASA 04</t>
  </si>
  <si>
    <t>-23.5826854108926</t>
  </si>
  <si>
    <t>-46.6423199206606</t>
  </si>
  <si>
    <t>SANTA CRUZ</t>
  </si>
  <si>
    <t>RUA DR SABOIA MEDEIROS 53</t>
  </si>
  <si>
    <t>-23.5965450083639</t>
  </si>
  <si>
    <t>-46.6296287306205</t>
  </si>
  <si>
    <t>AVENIDA DOMINGOS DE MORAIS ESQUINA COM A RUA DOUTOR THIRSO MARTINS</t>
  </si>
  <si>
    <t>-23.595962229475</t>
  </si>
  <si>
    <t>-46.6363738683927</t>
  </si>
  <si>
    <t>RUA DOMINGOS DE MORAIS 1837</t>
  </si>
  <si>
    <t>-23.592027505399</t>
  </si>
  <si>
    <t>-46.6360072331662</t>
  </si>
  <si>
    <t>RUA JUREIA ESQUINA COM A RUA LOEFGREEN</t>
  </si>
  <si>
    <t>-23.5996381722565</t>
  </si>
  <si>
    <t>-46.62940869313</t>
  </si>
  <si>
    <t>RUA STA CRUZ ESQUINA COM RUA BITENCOURT SAMPAIO</t>
  </si>
  <si>
    <t>-23.5972307312396</t>
  </si>
  <si>
    <t>-46.6305796106314</t>
  </si>
  <si>
    <t>AVENIDA DOMINGOS DE MORAIS NA FRENTE DO PB VILA MARIANA</t>
  </si>
  <si>
    <t>-23.5966358109861</t>
  </si>
  <si>
    <t>-46.6364897401126</t>
  </si>
  <si>
    <t>RUA SANTA CRUZ ESQUINA COM A RUA DOMINGOS DE MORAIS</t>
  </si>
  <si>
    <t>-23.5971467965491</t>
  </si>
  <si>
    <t>-46.6364012982246</t>
  </si>
  <si>
    <t>RUA SANTA CRUZ 325</t>
  </si>
  <si>
    <t>-23.5967787886188</t>
  </si>
  <si>
    <t>-46.6335564351058</t>
  </si>
  <si>
    <t>RUA PROFESSOR TRANQUILLI ESQUINA COM A RUA JORGE TIBIRICA</t>
  </si>
  <si>
    <t>-23.5983653635723</t>
  </si>
  <si>
    <t>-46.6315231273308</t>
  </si>
  <si>
    <t>VILA CLEMENTINO</t>
  </si>
  <si>
    <t>RUA DOUTOR DIOGO DE FARIA 634 ENTRE AS RUA NAPOLEAO DE BARROS E BOTUCATU</t>
  </si>
  <si>
    <t>-23.5957186065311</t>
  </si>
  <si>
    <t>-46.642969500041</t>
  </si>
  <si>
    <t>RUA LOEFGREEN ESQUINA COM A RUA DOMINGOS DE MORAIS</t>
  </si>
  <si>
    <t>-23.5995152393388</t>
  </si>
  <si>
    <t>-46.6369216124176</t>
  </si>
  <si>
    <t>RUA BOTUCATU ESQUINA COM A RUA ESTADO DE ISRAEL</t>
  </si>
  <si>
    <t>-23.5947090293597</t>
  </si>
  <si>
    <t>-46.6424697777489</t>
  </si>
  <si>
    <t>RUA LOEFGREEN PROXIMO A ESQUINA DA RUA CORONEL LISBOA</t>
  </si>
  <si>
    <t>-23.5995731589</t>
  </si>
  <si>
    <t>-46.6400677517785</t>
  </si>
  <si>
    <t>AVENIDA PROFESSOR ASCENDINO REIS ESQUINCA COM A RUA DOUTOR DIOGO FARIA</t>
  </si>
  <si>
    <t>-23.5949785143762</t>
  </si>
  <si>
    <t>-46.6502364948495</t>
  </si>
  <si>
    <t>RUA LOEFFREN ESQUINA COM A RUA DOS OTONIS</t>
  </si>
  <si>
    <t>-23.5993492432753</t>
  </si>
  <si>
    <t>-46.6453422959483</t>
  </si>
  <si>
    <t>RUA BORGES LAGOA 170 DEFRONTE A RUA MACHADO BITTENCOURT</t>
  </si>
  <si>
    <t>2021-06-16</t>
  </si>
  <si>
    <t>-23.5970398737384</t>
  </si>
  <si>
    <t>-46.6382662401074</t>
  </si>
  <si>
    <t>RUA BOTUCATU ESQUINA COM A RUA PEDRO DE TOLEDO</t>
  </si>
  <si>
    <t>-23.5982436516147</t>
  </si>
  <si>
    <t>-46.6426122990407</t>
  </si>
  <si>
    <t>RUA BOTUCATU ESQUINA COM A RUA DOUTOR DIOGO DE FARIA</t>
  </si>
  <si>
    <t>-23.5957600227052</t>
  </si>
  <si>
    <t>-46.6423930757725</t>
  </si>
  <si>
    <t>RUA DOS OTONIS ESQUINA COM A RUA DOUTOR DIOGO DE FARIA</t>
  </si>
  <si>
    <t>-23.5957235455368</t>
  </si>
  <si>
    <t>-46.645279242294</t>
  </si>
  <si>
    <t>RUA DOUTOR DIOGO DE FARIA ESQUINA COM RUA DOUTOR BACELAR</t>
  </si>
  <si>
    <t>-23.5952064132941</t>
  </si>
  <si>
    <t>-46.6478611645414</t>
  </si>
  <si>
    <t>RUA BALTAZAR LISBOA ESQUINA COM A RUA LIMOEIRO DE ANADIA</t>
  </si>
  <si>
    <t>-23.5860489337251</t>
  </si>
  <si>
    <t>-46.6346129529349</t>
  </si>
  <si>
    <t>AVENIDA PROFESSOR NOE AZEVEDO ESQUINA COM A A AVENIDA LINS DE VASCONCELOS</t>
  </si>
  <si>
    <t>-23.5890143283702</t>
  </si>
  <si>
    <t>-46.6343605805315</t>
  </si>
  <si>
    <t>RUA DOUTOR PINTO FERRAZ PROXIMO AO TERMINAL DE ONIBUS</t>
  </si>
  <si>
    <t>-23.5895714219598</t>
  </si>
  <si>
    <t>-46.6331355376974</t>
  </si>
  <si>
    <t>AVENIDA VERGUEIRO NO CANTEIRO CENTRAL PRACA DOUTOR TEODORO DE CARVALHO</t>
  </si>
  <si>
    <t>-23.5864304038615</t>
  </si>
  <si>
    <t>-46.6351319283365</t>
  </si>
  <si>
    <t>RUA DONA BRIGIDA ESQUINA COM AVENIDA LINS DE VASCONCELOS</t>
  </si>
  <si>
    <t>-23.5878534702396</t>
  </si>
  <si>
    <t>-46.630235724188</t>
  </si>
  <si>
    <t>RUA BALTAZAR LISBOA ESQUINA COM A RUA CORONEL GOMES PIMENTEL</t>
  </si>
  <si>
    <t>-23.5850449761847</t>
  </si>
  <si>
    <t>-46.6314581639763</t>
  </si>
  <si>
    <t>AVENIDA LINS DE VASCONCELOS ESQUINA COM A RUA DR DE ARAUJO</t>
  </si>
  <si>
    <t>-23.5881192402439</t>
  </si>
  <si>
    <t>-46.6311054340699</t>
  </si>
  <si>
    <t>RUA CARLOS PETIT ESQUINA COM A RUA VERGUEIRO</t>
  </si>
  <si>
    <t>-23.5844753050286</t>
  </si>
  <si>
    <t>-46.636129070445</t>
  </si>
  <si>
    <t>RUA CONCEICAO VELOSO ESQUINA  COM A RUA VERGUEIRO</t>
  </si>
  <si>
    <t>-23.5853254715433</t>
  </si>
  <si>
    <t>-46.6353784384563</t>
  </si>
  <si>
    <t>RUA DOUTORR NETO DE ARAUJO ESQUINA COM A RUA DONA AVELIN A</t>
  </si>
  <si>
    <t>-23.5868966687006</t>
  </si>
  <si>
    <t>-46.6331752525621</t>
  </si>
  <si>
    <t>DATAEXTRACAO</t>
  </si>
  <si>
    <t>20211229232055.110000000</t>
  </si>
  <si>
    <t>Dec 29 2021 11</t>
  </si>
  <si>
    <t>RUA TREZE DE MAIO 1632 PROXIMO A ESQUINA COM A PRAÇA AMADEU AMARAL</t>
  </si>
  <si>
    <t>2018-08-21</t>
  </si>
  <si>
    <t>-23.5678064280092</t>
  </si>
  <si>
    <t>-46.6443352843571</t>
  </si>
  <si>
    <t>RUA MAESTRO CARDIM ESQUINA COM A RUA PEDROSO</t>
  </si>
  <si>
    <t>-23.5626835519206</t>
  </si>
  <si>
    <t>-46.6409161236559</t>
  </si>
  <si>
    <t>RUA CONSELHEIRO RAMALHO 961</t>
  </si>
  <si>
    <t>2018-10-01</t>
  </si>
  <si>
    <t>-23.5604169573343</t>
  </si>
  <si>
    <t>-46.6439817096883</t>
  </si>
  <si>
    <t>RUA CONSELHEIRO CARRAO ESQUINA COM A RUA MARIA JOSE</t>
  </si>
  <si>
    <t>-23.5576999076004</t>
  </si>
  <si>
    <t>-46.6437080858787</t>
  </si>
  <si>
    <t>RUA CONSELHEIRO CARRO ESQUINA COM A RUA MAJOR DIOGO</t>
  </si>
  <si>
    <t>-23.5576298845718</t>
  </si>
  <si>
    <t>-46.6428930021753</t>
  </si>
  <si>
    <t>RUA ITAPEVA DEFRONTE A RUA PAMPLONA</t>
  </si>
  <si>
    <t>-23.5586592400048</t>
  </si>
  <si>
    <t>-46.6517400916107</t>
  </si>
  <si>
    <t>RUA DOUTOR PENA FORTE MENDENS ESQUINA COM A RUA HERCULANO DE FREITAS</t>
  </si>
  <si>
    <t>-23.5547944482086</t>
  </si>
  <si>
    <t>-46.6517838097086</t>
  </si>
  <si>
    <t>RUA TREZE DE MAIO PROXIMO A ESQUINA COM A RUA MANOEL DUTRA</t>
  </si>
  <si>
    <t>-23.5554144503788</t>
  </si>
  <si>
    <t>-46.6467763291186</t>
  </si>
  <si>
    <t>RUA SERGIO TOMAS ESQUINA COM A RUA VISCONDE DE TAUNAY</t>
  </si>
  <si>
    <t>2018-07-02</t>
  </si>
  <si>
    <t>-23.522674546318</t>
  </si>
  <si>
    <t>-46.6490080390992</t>
  </si>
  <si>
    <t>RUA JAVAES ESQUINA COM A AVENIDA RUDGE</t>
  </si>
  <si>
    <t>-23.5241120315303</t>
  </si>
  <si>
    <t>-46.6497010230393</t>
  </si>
  <si>
    <t>AVENIDA TIRADENTES ESQUINA COM A RUA SAO CAETANO</t>
  </si>
  <si>
    <t>2018-03-06</t>
  </si>
  <si>
    <t>-23.5343550512623</t>
  </si>
  <si>
    <t>-46.6328353619518</t>
  </si>
  <si>
    <t>PRACA ARMENIA 244 DEFRONTE A ENTRADA DO METRO ARMENIA</t>
  </si>
  <si>
    <t>-23.5260928189363</t>
  </si>
  <si>
    <t>-46.6298199271251</t>
  </si>
  <si>
    <t>AVENIDA DO ESTADO ESQUINA COM A RUA TIBIRICA</t>
  </si>
  <si>
    <t>-23.5302045104025</t>
  </si>
  <si>
    <t>-46.6264275978066</t>
  </si>
  <si>
    <t>RUA DONA NERI ESQUINA COM A RUA VICENTE DE CARVALHO</t>
  </si>
  <si>
    <t>-23.562113656375</t>
  </si>
  <si>
    <t>-46.6167910266599</t>
  </si>
  <si>
    <t>RUA MATIAS AIRES ESQUINA COM A RUA HADDOCK LOBO</t>
  </si>
  <si>
    <t>-23.5549206844227</t>
  </si>
  <si>
    <t>-46.6583352750203</t>
  </si>
  <si>
    <t>RUA ARACAJU ENTRE AVENIDA HIGIENOPOLIS E RUA MARANHAO</t>
  </si>
  <si>
    <t>2018-08-06</t>
  </si>
  <si>
    <t>-23.5427321996056</t>
  </si>
  <si>
    <t>-46.6592624</t>
  </si>
  <si>
    <t>RUA ITACOLOMI PROXIMO A ESQUINA COM A RUA ALAGOAS</t>
  </si>
  <si>
    <t>2018-08-13</t>
  </si>
  <si>
    <t>-23.5471004996056</t>
  </si>
  <si>
    <t>-46.6566471</t>
  </si>
  <si>
    <t>RUA ARACAJU ESQUINA COM A RUA MARANHAO</t>
  </si>
  <si>
    <t>-23.5429608323643</t>
  </si>
  <si>
    <t>-46.6595467185994</t>
  </si>
  <si>
    <t>RUA CAIO PRADO PROXIMO DA ESQUINA COM A RUA AUGUSTA</t>
  </si>
  <si>
    <t>-23.5504741300006</t>
  </si>
  <si>
    <t>-46.6481903437462</t>
  </si>
  <si>
    <t>RUA MARQUES DE ITU 505 PROXIMO A ESQUINA COM A RUA DOUTOR CESARIO MOTA JUNIOR</t>
  </si>
  <si>
    <t>-23.5438777807239</t>
  </si>
  <si>
    <t>-46.649051072707</t>
  </si>
  <si>
    <t>RUA PIAUI PROXIMO A ESQUINA DA CONSOLACAO</t>
  </si>
  <si>
    <t>-23.548806658441</t>
  </si>
  <si>
    <t>-46.6524555113598</t>
  </si>
  <si>
    <t>RUA FREI CANECA ESQUINA COM A RUA MARQUES DE PARANAGUA</t>
  </si>
  <si>
    <t>-23.5518164585828</t>
  </si>
  <si>
    <t>-46.6494209750153</t>
  </si>
  <si>
    <t>RUA HERMINIO LEMOS ESQUINA COM A AVENIDA LACERDA FRANCO</t>
  </si>
  <si>
    <t>2020-07-28</t>
  </si>
  <si>
    <t>-23.5675494812673</t>
  </si>
  <si>
    <t>-46.6232203493927</t>
  </si>
  <si>
    <t>-23.5583565648532</t>
  </si>
  <si>
    <t>-46.6339727925369</t>
  </si>
  <si>
    <t>RUA DA GLORIA ESQUINA COM A RUA SAO JOAQUIM</t>
  </si>
  <si>
    <t>-23.5600026965204</t>
  </si>
  <si>
    <t>-46.6334121328659</t>
  </si>
  <si>
    <t>AVENIDA IPIRANGA ESQUINA COM A RUA DA CONSOLACAO</t>
  </si>
  <si>
    <t>-23.5470581205136</t>
  </si>
  <si>
    <t>-46.6457596800225</t>
  </si>
  <si>
    <t>RUA AURORA ESQUINA COM A RUA JOAQUIM GUSTAVO</t>
  </si>
  <si>
    <t>2018-05-07</t>
  </si>
  <si>
    <t>-23.5416452621309</t>
  </si>
  <si>
    <t>-46.6428069358582</t>
  </si>
  <si>
    <t>RUA AURORA ESQUINA COM A RUA BENTO FREITAS</t>
  </si>
  <si>
    <t>-23.5434211049243</t>
  </si>
  <si>
    <t>-46.6453560991921</t>
  </si>
  <si>
    <t>RUA SETE DE ABRIL ESQUINA COM A RUA MARCONI</t>
  </si>
  <si>
    <t>-23.5460648979129</t>
  </si>
  <si>
    <t>-46.6412029534694</t>
  </si>
  <si>
    <t>RUA DOS GUSMOES ESQUINA COM AVENIDA RIO BRANCO</t>
  </si>
  <si>
    <t>-23.5381835326556</t>
  </si>
  <si>
    <t>-46.6408347275595</t>
  </si>
  <si>
    <t>VIADUTO SANTA IFIGENCIA PROXIMO DA ESQUINA COM A AVENIDA CASPER LIBERO</t>
  </si>
  <si>
    <t>-23.541715814788</t>
  </si>
  <si>
    <t>-46.6364672390629</t>
  </si>
  <si>
    <t>RUA GENERAL OSORIO ESQUINA COM A RUA SANTA EFIGENIA</t>
  </si>
  <si>
    <t>-23.5366569187581</t>
  </si>
  <si>
    <t>-46.6406239737473</t>
  </si>
  <si>
    <t>RUA GABRIEL DOS SANTOS PROXIMO DA ESQUINA COM A RUA DOUTOR VEIGA FILHO</t>
  </si>
  <si>
    <t>-23.5393618660684</t>
  </si>
  <si>
    <t>-46.6603301044656</t>
  </si>
  <si>
    <t>RUA DOUTOR BRASILIO MACHADO 421</t>
  </si>
  <si>
    <t>-23.5396852022085</t>
  </si>
  <si>
    <t>-46.6597806936482</t>
  </si>
  <si>
    <t>RUA CONEGO VICENTE MIGUEL MARINO PROXIMO A  ESQUINA COM A RUA ANHANGUERA</t>
  </si>
  <si>
    <t>-23.5266722592771</t>
  </si>
  <si>
    <t>-46.652493861101</t>
  </si>
  <si>
    <t>ALAMEDA BARAO DE PIRACICABA PROXIMO AO QUARTEL DOS CAMPOS ELISIOS</t>
  </si>
  <si>
    <t>-23.5351484138503</t>
  </si>
  <si>
    <t>-46.6420114910446</t>
  </si>
  <si>
    <t>AVENIDA SAO JOAO ESQUINA COM A ALAMEDA GLETE</t>
  </si>
  <si>
    <t>2018-04-09</t>
  </si>
  <si>
    <t>-23.5370407063322</t>
  </si>
  <si>
    <t>-46.6501357381161</t>
  </si>
  <si>
    <t>ALAMEDA RIBEIRO DA SILVA ESQUINA COM R CONSELHEIRO NEBIAS</t>
  </si>
  <si>
    <t>-23.5319236289779</t>
  </si>
  <si>
    <t>-46.6482199367714</t>
  </si>
  <si>
    <t>RUA SEBASTIAO PEREIRA 31</t>
  </si>
  <si>
    <t>-23.5413313177832</t>
  </si>
  <si>
    <t>-46.6480891761235</t>
  </si>
  <si>
    <t>AVENIDA ANGELICA PROXIMO A ESQUINA COM A RUA DAS PALMEIRAS</t>
  </si>
  <si>
    <t>-23.535390710102</t>
  </si>
  <si>
    <t>-46.6538603164777</t>
  </si>
  <si>
    <t>AVENIDA RIO BRANCO ESQUINA COM A RUA HELVETIA</t>
  </si>
  <si>
    <t>2019-09-03</t>
  </si>
  <si>
    <t>-23.5346375045249</t>
  </si>
  <si>
    <t>-46.6435590688681</t>
  </si>
  <si>
    <t>ALAMEDA GLETE ESQUINA COM A AVENIDA RIO BRANCO</t>
  </si>
  <si>
    <t>-23.5335840487509</t>
  </si>
  <si>
    <t>-46.6442750242295</t>
  </si>
  <si>
    <t>RUA DOS ESTUDANTES ESQUINA COM AVENIDA DA LIBERDADE</t>
  </si>
  <si>
    <t>-23.5553292639188</t>
  </si>
  <si>
    <t>-46.6356619546074</t>
  </si>
  <si>
    <t>TRAVESSA RUGGERO ESQUINA COM A RUA DOS ESTUDANTES</t>
  </si>
  <si>
    <t>-23.5553582400753</t>
  </si>
  <si>
    <t>-46.6308530771116</t>
  </si>
  <si>
    <t>RUA FLORIANO PEIXOTO DEFRONTE A RUA INTERNA DO PATEO DO COLEGIO</t>
  </si>
  <si>
    <t>-23.5488692747069</t>
  </si>
  <si>
    <t>-46.6325572329813</t>
  </si>
  <si>
    <t>RUA RIACHUELO ESQUINA COM A RUA CRISTOVAO COLOMBO</t>
  </si>
  <si>
    <t>-23.5505354576635</t>
  </si>
  <si>
    <t>-46.6367980072667</t>
  </si>
  <si>
    <t>RUA JOSE BONIFACIO PROXIMO DA ESQUINA COM A RUA DIREITA</t>
  </si>
  <si>
    <t>2018-09-04</t>
  </si>
  <si>
    <t>-23.5489073357089</t>
  </si>
  <si>
    <t>-46.6346676138838</t>
  </si>
  <si>
    <t>RUA ANITA GARIBALDI ESQUINA COM A RUA SILVEIRA MARTINS</t>
  </si>
  <si>
    <t>-23.5512456161386</t>
  </si>
  <si>
    <t>-46.6317678304588</t>
  </si>
  <si>
    <t>RUA BENJAMIM CONSTANT ESQUINA COM A RUA QUINTINO BOCAIUVA</t>
  </si>
  <si>
    <t>-23.5499312719168</t>
  </si>
  <si>
    <t>-46.6352422047244</t>
  </si>
  <si>
    <t>RUA SAO FRANCISCO ESQUINA COM A RUA DO OUVIDOR</t>
  </si>
  <si>
    <t>-23.5491055800394</t>
  </si>
  <si>
    <t>-46.6378886702463</t>
  </si>
  <si>
    <t>RUA DIREITA ENTRE A RUA DO TESOURO E JOSE BONIFACIO</t>
  </si>
  <si>
    <t>-23.5486609828388</t>
  </si>
  <si>
    <t>-46.6345786265229</t>
  </si>
  <si>
    <t>RUA JOSE BONIFACIO ESQUINA COM A RUA SAO BENTO</t>
  </si>
  <si>
    <t>-23.5490683299408</t>
  </si>
  <si>
    <t>-46.6366875405921</t>
  </si>
  <si>
    <t>RUA FLORIANO PEIXOTO ESQUINA COM A RUA QUINZE DE NOVEMBRO</t>
  </si>
  <si>
    <t>-23.5489580247189</t>
  </si>
  <si>
    <t>-46.6335709114694</t>
  </si>
  <si>
    <t>RUA SANTA ELISA ESQUINA COM A RUA NHEIMBAS</t>
  </si>
  <si>
    <t>-23.5782484426742</t>
  </si>
  <si>
    <t>-46.5677919651974</t>
  </si>
  <si>
    <t>RUA DONA ANA ARAUJO DE PAULA ESQUINA COM A RUA BARAO DE CACAPAVA</t>
  </si>
  <si>
    <t>2018-08-27</t>
  </si>
  <si>
    <t>-23.5785389879295</t>
  </si>
  <si>
    <t>-46.5587971026992</t>
  </si>
  <si>
    <t>RUA JOAO AUGUSTO NAVARRO PROXIMO A ESQUINA COM AVENIDA ADEMAR PEREIRA DE BARROS</t>
  </si>
  <si>
    <t>2018-05-23</t>
  </si>
  <si>
    <t>-23.5629008794071</t>
  </si>
  <si>
    <t>-46.5112524222993</t>
  </si>
  <si>
    <t>RUA CEL PANFILIO  ESQUINA COM A RUA PEDRO RABELO</t>
  </si>
  <si>
    <t>2018-05-15</t>
  </si>
  <si>
    <t>-23.5841965111039</t>
  </si>
  <si>
    <t>-46.505407774635</t>
  </si>
  <si>
    <t>AVENIDA ANTONIO ESTEVAO DE CARVALHO ESQUINA COM A RUA LICARIA</t>
  </si>
  <si>
    <t>-23.5323863094081</t>
  </si>
  <si>
    <t>-46.5011811548392</t>
  </si>
  <si>
    <t>AVENIDA PARAGUASSU PAULISTA ESQUINA COM A RUA COMANDANTE JULIANO TENA</t>
  </si>
  <si>
    <t>2018-06-18</t>
  </si>
  <si>
    <t>-23.5365487339351</t>
  </si>
  <si>
    <t>-46.4963482048401</t>
  </si>
  <si>
    <t>RUA BENEDITO LEAL ESQUINA COM A RUA GALILEU MENON</t>
  </si>
  <si>
    <t>2018-04-24</t>
  </si>
  <si>
    <t>-23.5382020076987</t>
  </si>
  <si>
    <t>-46.4885696740725</t>
  </si>
  <si>
    <t>RUA BELO HORIZONTE ESQUINA COM A RUA CESARIO ALVIM</t>
  </si>
  <si>
    <t>-23.5404008699726</t>
  </si>
  <si>
    <t>-46.6030424545362</t>
  </si>
  <si>
    <t>RUA FERNANDES VIEIRA ESQUINA COM A RUA JULIO DE CASTILHO</t>
  </si>
  <si>
    <t>-23.5401835169383</t>
  </si>
  <si>
    <t>-46.5903367126742</t>
  </si>
  <si>
    <t>LARGO SENADOR MORAIS BARROS ESQUINA COM AVENIDA CELSO GARCIA</t>
  </si>
  <si>
    <t>-23.5390332843199</t>
  </si>
  <si>
    <t>-46.6060011815866</t>
  </si>
  <si>
    <t>RUA VISCONDE DE PARNAIBA ESQUINA COM A RUA SIQUEIRA BUENO</t>
  </si>
  <si>
    <t>-23.5403196494383</t>
  </si>
  <si>
    <t>-46.5972187151228</t>
  </si>
  <si>
    <t>RUA TOLEDO BARBOSA ESQUINA COM A AVENIDA ALVARO RAMOS</t>
  </si>
  <si>
    <t>-23.54190338437</t>
  </si>
  <si>
    <t>-46.5885243626322</t>
  </si>
  <si>
    <t>RUA CAETANO PINTO ESQUINA COM A RUA CAMPO SALES</t>
  </si>
  <si>
    <t>-23.5500087005316</t>
  </si>
  <si>
    <t>-46.6201953618992</t>
  </si>
  <si>
    <t>RUA VISCONDE DE PARNAIBA ESQUINA COM A RUA PLACIDINA</t>
  </si>
  <si>
    <t>-23.5520580076815</t>
  </si>
  <si>
    <t>-46.6184575245561</t>
  </si>
  <si>
    <t>AVENIDA ALCANTARA MACHADO ESQUINA COM A RUA PIRATININGA</t>
  </si>
  <si>
    <t>-23.5531240954344</t>
  </si>
  <si>
    <t>-46.6156661335661</t>
  </si>
  <si>
    <t>RUA PIRATININGA ESQUINA COM A RUA VISCONDE DE PARNAIVA</t>
  </si>
  <si>
    <t>-23.551270819915</t>
  </si>
  <si>
    <t>-46.6165653471322</t>
  </si>
  <si>
    <t>AVENIDA RANGEL PESTANA ESQUINA COM A RUA MARTIM BURCHARD</t>
  </si>
  <si>
    <t>-23.5444848041128</t>
  </si>
  <si>
    <t>-46.6188680217801</t>
  </si>
  <si>
    <t>RUA JOSE DE ALENCAR ESQUINA COM A AVENID CELSO GARCIA</t>
  </si>
  <si>
    <t>-23.5402307137394</t>
  </si>
  <si>
    <t>-46.6117164091397</t>
  </si>
  <si>
    <t>RUA JOAQUIM NABUCO ESQUINA COM A RUA CAVALHEIRO</t>
  </si>
  <si>
    <t>-23.5434589922232</t>
  </si>
  <si>
    <t>-46.6150054642403</t>
  </si>
  <si>
    <t>RUA GOMES CARDIM ESQUINA COM A RUA URUGUAIANA</t>
  </si>
  <si>
    <t>-23.544038685736</t>
  </si>
  <si>
    <t>-46.6132657831418</t>
  </si>
  <si>
    <t>RUA BRIGADEIRO MACHADO ESQUINA COM A RUA CAVALHEIRO</t>
  </si>
  <si>
    <t>-23.542291742602</t>
  </si>
  <si>
    <t>-46.6131502364678</t>
  </si>
  <si>
    <t>RUA COIMBRA ESQUINA COM A RUA BRESSER</t>
  </si>
  <si>
    <t>-23.5409020914258</t>
  </si>
  <si>
    <t>-46.6077117797123</t>
  </si>
  <si>
    <t>RUA POLIGNANO A MARE ESQUINA COM A RUA RUA DO LUCAS</t>
  </si>
  <si>
    <t>-23.5426046444655</t>
  </si>
  <si>
    <t>-46.6250531417338</t>
  </si>
  <si>
    <t>RUA DA FIGUEIRA ESQUINA COM A RUA MARIA DOMITILA</t>
  </si>
  <si>
    <t>-23.546293508432</t>
  </si>
  <si>
    <t>-46.6261185368007</t>
  </si>
  <si>
    <t>RUA DO GASOMETRO ESQUINA COM A RUA ASSUNCAO</t>
  </si>
  <si>
    <t>-23.5441376891599</t>
  </si>
  <si>
    <t>-46.6231945479612</t>
  </si>
  <si>
    <t>RUA SAMPAIO MOREIRA ESQUINA COM A RUA CORREIA DE ANDRADE</t>
  </si>
  <si>
    <t>-23.5422549013304</t>
  </si>
  <si>
    <t>-46.620519878083</t>
  </si>
  <si>
    <t>RUA MONSENHOR ANDRADE ESQUINA COM A RUA BENJAMIM DE OLIVEIRA</t>
  </si>
  <si>
    <t>-23.5404675267729</t>
  </si>
  <si>
    <t>-46.6222000093964</t>
  </si>
  <si>
    <t>RUA VASCO DA GAMA ESQUINA COM AVENIDA RANGEL PESTANA</t>
  </si>
  <si>
    <t>-23.545797031762</t>
  </si>
  <si>
    <t>-46.6221078861478</t>
  </si>
  <si>
    <t>RUA DO GASOMETRO ESQUINA  COM A RUA CORREIA DE ANDRADE</t>
  </si>
  <si>
    <t>-23.5433682680814</t>
  </si>
  <si>
    <t>-46.6197684058583</t>
  </si>
  <si>
    <t>AVENIDA MERCURIO PROXIMO DA ESQUINA COM A RUA DO GASOMETRO</t>
  </si>
  <si>
    <t>-23.544548689901</t>
  </si>
  <si>
    <t>-46.6261569329985</t>
  </si>
  <si>
    <t>RUA JOAO JACINTO ESQUINA COM A RUA SAO CAETANO</t>
  </si>
  <si>
    <t>-23.535744924965</t>
  </si>
  <si>
    <t>-46.624555161301</t>
  </si>
  <si>
    <t>RUA ALMIRANTE BARROSO ESQUINA COM A RUA MENDES JUNIO</t>
  </si>
  <si>
    <t>-23.5371153030422</t>
  </si>
  <si>
    <t>-46.6121182709848</t>
  </si>
  <si>
    <t>RUA MIGUEL GARCIA ESQUINA COM RUA PROFESSOR LEONCIO CORREIA</t>
  </si>
  <si>
    <t>2018-06-25</t>
  </si>
  <si>
    <t>-23.5054709817725</t>
  </si>
  <si>
    <t>-46.5295859496536</t>
  </si>
  <si>
    <t>PRACA DO OURO EM FRENTE AO CONDOMINIO ANTONIO JULIO GONCALVES ENTRE AS RUAS JOSE PINHEIRO E JACIRA ARTACHO</t>
  </si>
  <si>
    <t>2018-06-12</t>
  </si>
  <si>
    <t>-23.5061399573781</t>
  </si>
  <si>
    <t>-46.5327887319967</t>
  </si>
  <si>
    <t>PRACA PADRE PAULO STRAUSS FILHO ESQUINA COM A RUA MURIRI</t>
  </si>
  <si>
    <t>-23.500850318211</t>
  </si>
  <si>
    <t>-46.5125201840736</t>
  </si>
  <si>
    <t>RUA ELIANA ZANETTI ESQUINA COM A RUA CORONEL MARQUES</t>
  </si>
  <si>
    <t>-23.5415229913418</t>
  </si>
  <si>
    <t>-46.5430706592135</t>
  </si>
  <si>
    <t>RUA SEBASTIAO MIGUEL DA SILVA ESQUINA COM AVENIDA LIDER</t>
  </si>
  <si>
    <t>2018-04-17</t>
  </si>
  <si>
    <t>-23.5573866839864</t>
  </si>
  <si>
    <t>-46.4739165513614</t>
  </si>
  <si>
    <t>RUA REGRESSO FELIZ DEFRONTE A RUA CACHOEIRA AURORA</t>
  </si>
  <si>
    <t>2018-03-19</t>
  </si>
  <si>
    <t>-23.5697294680961</t>
  </si>
  <si>
    <t>-46.4025900919882</t>
  </si>
  <si>
    <t>RUA FRANCISCO JOSE ALVES ENFRENTE AO NUMERO 150 PROXIMO A RUA UM</t>
  </si>
  <si>
    <t>-23.5791141439426</t>
  </si>
  <si>
    <t>-46.408612969771</t>
  </si>
  <si>
    <t>RUA ALEXANDRE DAVIDENKO 879 PROXIMO A EMEI MADRE PAULINA</t>
  </si>
  <si>
    <t>-23.5891929996051</t>
  </si>
  <si>
    <t>-46.38971</t>
  </si>
  <si>
    <t>RUA FABIO JOSE BEZERRA DEFRONTE A RUA DOUTOR RENATO DA COSTA BONFIM</t>
  </si>
  <si>
    <t>2018-07-03</t>
  </si>
  <si>
    <t>-23.5066725808188</t>
  </si>
  <si>
    <t>-46.4813536234562</t>
  </si>
  <si>
    <t>-23.5100382587858</t>
  </si>
  <si>
    <t>-46.3855045152537</t>
  </si>
  <si>
    <t>RUA CACHOEIRA ESCARAMUCHA ESQUINA COM A RUA ANTUNES DE LEMOS</t>
  </si>
  <si>
    <t>-23.4879805075185</t>
  </si>
  <si>
    <t>-46.3882731407687</t>
  </si>
  <si>
    <t>AVENIDA CAITITU 465  PROXIMO A ESQUINNA COM A  RUA ARBELA</t>
  </si>
  <si>
    <t>-23.5269442791282</t>
  </si>
  <si>
    <t>-46.4670666391284</t>
  </si>
  <si>
    <t>RUA EMILIO SERRANO ESQUINA COM A RUA VIRGINA FERNI</t>
  </si>
  <si>
    <t>2019-04-25</t>
  </si>
  <si>
    <t>-23.54193183794</t>
  </si>
  <si>
    <t>-46.4394446262451</t>
  </si>
  <si>
    <t>RUA CATARINA LOPES ESQUINA COM RUA BOAS NOITES</t>
  </si>
  <si>
    <t>-23.5290342175738</t>
  </si>
  <si>
    <t>-46.4598653448405</t>
  </si>
  <si>
    <t>RUA LUIS ALBERTO LEITE MASCARENHAS PROXIMO A ESQUINA RUA SAO JOSE DO LIMOEIRO</t>
  </si>
  <si>
    <t>-23.5179118051367</t>
  </si>
  <si>
    <t>-46.4610799251865</t>
  </si>
  <si>
    <t>RUA KUMAKI AOKI PROX DA RUA TEIXEIRA</t>
  </si>
  <si>
    <t>-23.4795128585567</t>
  </si>
  <si>
    <t>-46.4197685559027</t>
  </si>
  <si>
    <t>RUA SANTA ROSA DE LIMA ESQUINA COM A RUA SAMPAIO BUENO</t>
  </si>
  <si>
    <t>-23.4828166041443</t>
  </si>
  <si>
    <t>-46.4296104988456</t>
  </si>
  <si>
    <t>RUA AGRIMESOR SUGAYA ESQUINA COM A RUA SABBADO D ANGELO</t>
  </si>
  <si>
    <t>2018-03-12</t>
  </si>
  <si>
    <t>-23.557042047209</t>
  </si>
  <si>
    <t>-46.4453709985999</t>
  </si>
  <si>
    <t>RUA PILAR DO SUL ESQUINA COM  RUA FERREIRA DE CAMARGO</t>
  </si>
  <si>
    <t>-23.5440870265612</t>
  </si>
  <si>
    <t>-46.4298502727101</t>
  </si>
  <si>
    <t>FÁBRICA BANDEIRANTES</t>
  </si>
  <si>
    <t>RUA DOMINGOS DIORIO PROXIMO A ESQUINA COM AVENIDA SANSAO CASTELO BRANCO</t>
  </si>
  <si>
    <t>-23.5398259258763</t>
  </si>
  <si>
    <t>-46.4155568051013</t>
  </si>
  <si>
    <t>RUA PROFESSOR ALEXANDRE MANAT ESQUINA COM A RUA BOM JESUS DA PENHA</t>
  </si>
  <si>
    <t>-23.5417320340213</t>
  </si>
  <si>
    <t>-46.4132752089251</t>
  </si>
  <si>
    <t>RUA SEBASTIAO PRETO DEFRONTE A RUA MADRE DE DEUS    INTERIOR DA SABESP</t>
  </si>
  <si>
    <t>-23.5680653147743</t>
  </si>
  <si>
    <t>-46.5877868997744</t>
  </si>
  <si>
    <t>RUA CHAMANTA ESQUINA COM A RUA DOUTOR GABIREL GALVANESE AMATO</t>
  </si>
  <si>
    <t>-23.5743396120031</t>
  </si>
  <si>
    <t>-46.5848816123978</t>
  </si>
  <si>
    <t>AVENIDA CASSANDOCA ESQUINA COM A RUA JERONIMO DE MENDONCA</t>
  </si>
  <si>
    <t>2020-01-29</t>
  </si>
  <si>
    <t>-23.5528227710806</t>
  </si>
  <si>
    <t>-46.5927267688227</t>
  </si>
  <si>
    <t>RUA DONATARIOS PROXIMO A ESQUINA COM A RUA DOS CAMPINEIROS</t>
  </si>
  <si>
    <t>-23.5558408991731</t>
  </si>
  <si>
    <t>-46.5936228011106</t>
  </si>
  <si>
    <t>AVENIDA PEDROSO DA SILVEIRA 348</t>
  </si>
  <si>
    <t>-23.526861415991</t>
  </si>
  <si>
    <t>-46.6106354897367</t>
  </si>
  <si>
    <t>RUA JOAQUIM CARLOS PROXIMO DA ESQUINA COM A RUA SANTA RITA</t>
  </si>
  <si>
    <t>-23.5278569578145</t>
  </si>
  <si>
    <t>-46.6069976438105</t>
  </si>
  <si>
    <t>RUA JOAQUIM CARLOS ESQUINA COM A RUA SILVA TELES</t>
  </si>
  <si>
    <t>-23.5268149845326</t>
  </si>
  <si>
    <t>-46.6075705142203</t>
  </si>
  <si>
    <t>RUA RODRIGUES DOS SANTOS ESQUINA COM RUA ALEXANDRINO PEDROSO</t>
  </si>
  <si>
    <t>-23.5333959312311</t>
  </si>
  <si>
    <t>-46.6195213296911</t>
  </si>
  <si>
    <t>RUA JOAO BOEMER ESQUINA COM A RUA DOUTOR VIRGILIO DO NASCIMENTO</t>
  </si>
  <si>
    <t>-23.5305371117909</t>
  </si>
  <si>
    <t>-46.6142329300914</t>
  </si>
  <si>
    <t>RUA ALEXANDRE PREDOSO ESQUINA COM A RUA CARNOT</t>
  </si>
  <si>
    <t>-23.5325369589779</t>
  </si>
  <si>
    <t>-46.6228446594175</t>
  </si>
  <si>
    <t>RUA BRESSER ESQUINA COM A RUA CORONEL EMIDIO PIEDADE</t>
  </si>
  <si>
    <t>-23.5321697559419</t>
  </si>
  <si>
    <t>-46.6141480310314</t>
  </si>
  <si>
    <t>RUA MARIA CARLOTA 340 AO LADO DA ESCOLA ESTADUAL DOM JOAO MARIA OGNO</t>
  </si>
  <si>
    <t>-23.5246145487649</t>
  </si>
  <si>
    <t>-46.528706972903</t>
  </si>
  <si>
    <t>RUA DOMINGOS SILVA 434 DEFRONTE A RUA MONSENHOR EMILIO TEIXEIRA</t>
  </si>
  <si>
    <t>-23.5188749840284</t>
  </si>
  <si>
    <t>-46.5368120639411</t>
  </si>
  <si>
    <t>RUA SAO FLORENCIO ESQUINA COM A AVENIDA GOVERNADOR CARVALHO PINTO</t>
  </si>
  <si>
    <t>-23.515060950102</t>
  </si>
  <si>
    <t>-46.5300096660204</t>
  </si>
  <si>
    <t>RUA NEA ESQUINA COM A RUA PARANAGUA</t>
  </si>
  <si>
    <t>-23.5255231492089</t>
  </si>
  <si>
    <t>-46.4966074987787</t>
  </si>
  <si>
    <t>AVENIDA AGUIA DE HAIA ESQUINA COM A RUA AFONSO BALDAIA</t>
  </si>
  <si>
    <t>-23.5094852175097</t>
  </si>
  <si>
    <t>-46.47773372181</t>
  </si>
  <si>
    <t>RUA OTHONIEU BISPO CARDOSO ESQUINA COM A RUA JOAQUIM ALVES DINIZ</t>
  </si>
  <si>
    <t>2018-12-20</t>
  </si>
  <si>
    <t>-23.5201128293306</t>
  </si>
  <si>
    <t>-46.4905216003441</t>
  </si>
  <si>
    <t>RUA BOAVENTURA RODRIGUES SILVA ESQUINA COM AVENIDA SAO MIGUEL</t>
  </si>
  <si>
    <t>-23.5074023144908</t>
  </si>
  <si>
    <t>-46.4907857789677</t>
  </si>
  <si>
    <t>RUA BONIFACIO TRINDADE ESQUINA COM A RUA AUGUSTO GOULART</t>
  </si>
  <si>
    <t>-23.5154241976879</t>
  </si>
  <si>
    <t>-46.5112282767311</t>
  </si>
  <si>
    <t>RUA LIMA CANTUARIA ESQUINA COM A RUA JERONIMO GONCALVES</t>
  </si>
  <si>
    <t>-23.6069290514164</t>
  </si>
  <si>
    <t>-46.5326296470626</t>
  </si>
  <si>
    <t>RUA PINTO DA LUZ ESQUINA COM A RUA CAPITAO VENCESLAU JAPIASSU ARAGAO</t>
  </si>
  <si>
    <t>-23.5813624578382</t>
  </si>
  <si>
    <t>-46.5431506471042</t>
  </si>
  <si>
    <t>RUA ALESSANDRO GIULIO DELL ARINGA 271 ESQUINA COM RUA ANTONIO PREVIATO</t>
  </si>
  <si>
    <t>2019-04-22</t>
  </si>
  <si>
    <t>-23.5955597180466</t>
  </si>
  <si>
    <t>-46.4867730767066</t>
  </si>
  <si>
    <t>RUA NEPOMUCENO ESQUINA COM A RUA TAIOBERAS</t>
  </si>
  <si>
    <t>-23.5956953853193</t>
  </si>
  <si>
    <t>-46.50016977551</t>
  </si>
  <si>
    <t>RUA MOHAMED IBRAHIN SALEH NO CRUZAMENTO CENTRAL DA PRACA ANTONIO ASSIS PEREIRA</t>
  </si>
  <si>
    <t>-23.5041083765438</t>
  </si>
  <si>
    <t>-46.4336435807227</t>
  </si>
  <si>
    <t>AVENIDA PAULO NUNES FELIX 679 AO LADO DA TRAVESSA</t>
  </si>
  <si>
    <t>-23.6227613130634</t>
  </si>
  <si>
    <t>-46.4711093307176</t>
  </si>
  <si>
    <t>RUA JOSE RICARDO DA COSTA ESQUINA COM A RUA MARTIM SOARES MORENO</t>
  </si>
  <si>
    <t>2018-03-27</t>
  </si>
  <si>
    <t>-23.6173077106221</t>
  </si>
  <si>
    <t>-46.4761288256153</t>
  </si>
  <si>
    <t>RUA TOLSTOI DE CARVALHO ESQUINA COM AVENIDA SAPOPEMBA</t>
  </si>
  <si>
    <t>-23.595880910689</t>
  </si>
  <si>
    <t>-46.5241805367909</t>
  </si>
  <si>
    <t>RUA BATISTA FERGUSIO PROXIMO A ESQUINA COM A RUA DOS VORAS</t>
  </si>
  <si>
    <t>-23.6234379696221</t>
  </si>
  <si>
    <t>-46.5085000572625</t>
  </si>
  <si>
    <t>RUA IGUARUCU ESQUINA COM AVENIDA CELSO GARCIA</t>
  </si>
  <si>
    <t>-23.5352675275075</t>
  </si>
  <si>
    <t>-46.5817727642857</t>
  </si>
  <si>
    <t>RUA PADRE ESTEVAO PERNET ESQUINA COM A RUA APUCARANA</t>
  </si>
  <si>
    <t>2018-07-17</t>
  </si>
  <si>
    <t>-23.5413595721676</t>
  </si>
  <si>
    <t>-46.5647804097411</t>
  </si>
  <si>
    <t>RUA SERRA DE BRAGANCA ESQUINA COM A RUA ABRAHAO GARFINKEL</t>
  </si>
  <si>
    <t>-23.5455224178982</t>
  </si>
  <si>
    <t>-46.5706946694568</t>
  </si>
  <si>
    <t>RUA JABIRU(NA VALETA PROXIMO A ESQUINA COM RUA OSORIO FRANCO VILHENA</t>
  </si>
  <si>
    <t>-23.5156066009674</t>
  </si>
  <si>
    <t>-46.419123479632</t>
  </si>
  <si>
    <t>RUA DONA VITORIA SPEERS ESQUINA COM A RUA CHAGU</t>
  </si>
  <si>
    <t>-23.5678837479799</t>
  </si>
  <si>
    <t>-46.5537509232706</t>
  </si>
  <si>
    <t xml:space="preserve">RUA PROFESSOR CARINI 172 </t>
  </si>
  <si>
    <t>-23.5680447945929</t>
  </si>
  <si>
    <t>-46.534523889867</t>
  </si>
  <si>
    <t>RUA FABIO COM A RUA ALVES DE ALMEIDA</t>
  </si>
  <si>
    <t>-23.575308000754</t>
  </si>
  <si>
    <t>-46.5395896153</t>
  </si>
  <si>
    <t>AVENIDA SAPOPEMBA ESQUINA COM A RUA SAO SABINO</t>
  </si>
  <si>
    <t>-23.5768892940534</t>
  </si>
  <si>
    <t>-46.5490497965847</t>
  </si>
  <si>
    <t>RUA MARIO PETI ESQUINA COM A  RUA JOAQUIM RIBEIRO DE SOUZA</t>
  </si>
  <si>
    <t>-23.5133481184254</t>
  </si>
  <si>
    <t>-46.4709166631585</t>
  </si>
  <si>
    <t>AVENIDA ANTONIO ESTEVAO DE CARVALHO EM FRENTE A ESTACAO GUILHERMINA ESPERANCA</t>
  </si>
  <si>
    <t>2019-06-04</t>
  </si>
  <si>
    <t>-23.5296484197841</t>
  </si>
  <si>
    <t>-46.5170286237842</t>
  </si>
  <si>
    <t>RUA ERECHIM ESQUINA COM A PRACA ESTRELA DO NORTE</t>
  </si>
  <si>
    <t>-23.5315269426901</t>
  </si>
  <si>
    <t>-46.5080433770256</t>
  </si>
  <si>
    <t>RUA AUGUSTO MENDONCA ESQUINA COM A RUA DIAS PENTEADO</t>
  </si>
  <si>
    <t>-23.5462972134711</t>
  </si>
  <si>
    <t>-46.5163957365517</t>
  </si>
  <si>
    <t>RUA GENERAL FELICIANO ESQUINA COM A RUA CHAMANTA</t>
  </si>
  <si>
    <t>-23.5802956341595</t>
  </si>
  <si>
    <t>-46.5874959880356</t>
  </si>
  <si>
    <t>AVENIDA DOUTOR FRANCISCO MESQUITA 550   AO LADO DA ENTRADA DO CONDOMINIO</t>
  </si>
  <si>
    <t>-23.6018018097258</t>
  </si>
  <si>
    <t>-46.5728954559728</t>
  </si>
  <si>
    <t>RUA DAS GILIAS 210 NO FINAL DA RUA</t>
  </si>
  <si>
    <t>-23.6001903564259</t>
  </si>
  <si>
    <t>-46.5732841716601</t>
  </si>
  <si>
    <t>AVENIDA GENERAL PENHA BRASIL 2310 DEFRONTE A VIELA 5</t>
  </si>
  <si>
    <t>-23.4554686583223</t>
  </si>
  <si>
    <t>-46.6753917021377</t>
  </si>
  <si>
    <t>RUA AIDA GOMES TOLEDO 153 PROXIMO A ESQUINA COM RUA MIGUEL ANGELO LUPI</t>
  </si>
  <si>
    <t>-23.4755650085191</t>
  </si>
  <si>
    <t>-46.6579493095169</t>
  </si>
  <si>
    <t>RUA PADRE JOAO GUALBERTO ESQUINA COM RUA ARMANDO COELHO SILVA</t>
  </si>
  <si>
    <t>-23.4905604677617</t>
  </si>
  <si>
    <t>-46.6538941301239</t>
  </si>
  <si>
    <t>AVENIDA ITABERABA ESQUINA COM A RUA PIQUERI</t>
  </si>
  <si>
    <t>-23.5009985892299</t>
  </si>
  <si>
    <t>-46.697477165273</t>
  </si>
  <si>
    <t>RUA BRUNO BERTUCCI ESQUINA COM A RUA BALSA</t>
  </si>
  <si>
    <t>-23.5049349071556</t>
  </si>
  <si>
    <t>-46.7004477370462</t>
  </si>
  <si>
    <t>RUA PADRE FELICIANO DOMINGUES DEFRONTE A RUA ANTONIO GOMES DE OLIVEIRA</t>
  </si>
  <si>
    <t>-23.4819792997716</t>
  </si>
  <si>
    <t>-46.7075064128438</t>
  </si>
  <si>
    <t>-23.4623268283341</t>
  </si>
  <si>
    <t>-46.5698463139529</t>
  </si>
  <si>
    <t>RUA PAULINO ARENA 285</t>
  </si>
  <si>
    <t>-23.4833374091318</t>
  </si>
  <si>
    <t>-46.5623568236263</t>
  </si>
  <si>
    <t>RUA CESAR AUGUSTO COSTALONGA VAREJAO 3</t>
  </si>
  <si>
    <t>-23.4399556374009</t>
  </si>
  <si>
    <t>-46.7517728999828</t>
  </si>
  <si>
    <t>AVENIDA NOSSA SENHORA DO O DEFRONTE A AVENIDA ANTONIO MUNHOZ</t>
  </si>
  <si>
    <t>-23.5040219192642</t>
  </si>
  <si>
    <t>-46.6849108675213</t>
  </si>
  <si>
    <t>AVENIDA JOAO DOS SANTOS ABREU ESQUINA COM RUA CAPITAO FERNANDO MACHADO 18</t>
  </si>
  <si>
    <t>-23.4821590072061</t>
  </si>
  <si>
    <t>-46.6706693983606</t>
  </si>
  <si>
    <t>RUA JOAQUIM AFONSO DE SOUZA ESQUINA COM RUA ANTONIO PINTO VIEIRA</t>
  </si>
  <si>
    <t>-23.4841413796677</t>
  </si>
  <si>
    <t>-46.6641788856498</t>
  </si>
  <si>
    <t>AVENIDA DIREITOS HUMANOS 1130 ENTRE AVENIDA DOUTOR FRANCISCO RANIERI E RUA ALBERTO SAVOY</t>
  </si>
  <si>
    <t>-23.4780394815239</t>
  </si>
  <si>
    <t>-46.6435424175986</t>
  </si>
  <si>
    <t>RUA ENGENHEIRO AUGUSTO DURANTE ESQUINA COM A RUA AQUILES NETO</t>
  </si>
  <si>
    <t>-23.4077418455875</t>
  </si>
  <si>
    <t>-46.7481569427947</t>
  </si>
  <si>
    <t>RUA FIGUEIREDO COIMBRA ESQUINA COM AVENIDA DOUTOR SYLVIO DE CAMPOS ESQUINA</t>
  </si>
  <si>
    <t>-23.4069487967784</t>
  </si>
  <si>
    <t>-46.7649190493564</t>
  </si>
  <si>
    <t>RUA PROFESSOR ADALBERTO KURT 378 PROXIMO A RUA JOAO DE ALMEIDA SILVA</t>
  </si>
  <si>
    <t>-23.4857851007974</t>
  </si>
  <si>
    <t>-46.7305298698453</t>
  </si>
  <si>
    <t>RUA ALBERTO VEIGA ESQUINA COM A RUA PADRE JOAO DE ALMEIDA</t>
  </si>
  <si>
    <t>-23.4821259996064</t>
  </si>
  <si>
    <t>-46.74582</t>
  </si>
  <si>
    <t>RUA VOLUNTARIOS DA PATRIA ESQUINA COM A RUA MAJOR CAETANO DA COSTA</t>
  </si>
  <si>
    <t>-23.5111867379549</t>
  </si>
  <si>
    <t>-46.6263644602573</t>
  </si>
  <si>
    <t>RUA PEDRO CACUNDA 276</t>
  </si>
  <si>
    <t>2018-04-02</t>
  </si>
  <si>
    <t>-23.4911232704055</t>
  </si>
  <si>
    <t>-46.6120267905848</t>
  </si>
  <si>
    <t>RUA VOLUNTARIOS DA PATRIA ESQUINA COM A RUA DOUTOR CESAR</t>
  </si>
  <si>
    <t>2019-07-09</t>
  </si>
  <si>
    <t>-23.5027288462461</t>
  </si>
  <si>
    <t>-46.6264281475108</t>
  </si>
  <si>
    <t>ESTRADA TURISTICA DO JARAGUA DEFRONTE A AVENIDA JORNALISTA PAULO ZINGG</t>
  </si>
  <si>
    <t>-23.4876814941474</t>
  </si>
  <si>
    <t>-46.7563907062082</t>
  </si>
  <si>
    <t>AVENIDA MARIO PERNAMBUCO ESQUINA COM AVENIDA CORONEL SEZEFREDO FAGUNDES</t>
  </si>
  <si>
    <t>-23.4610383518528</t>
  </si>
  <si>
    <t>-46.6024979256433</t>
  </si>
  <si>
    <t>RUA CAPITAO ANTONIO DI PIETRO ESQUINA COM A RUA CAETANO TEIXEIRA</t>
  </si>
  <si>
    <t>-23.4531115268482</t>
  </si>
  <si>
    <t>-46.612198366183</t>
  </si>
  <si>
    <t>RUA JEAN CASTRONIS ESQUINA COM A RUA VIEIRA DE MELO</t>
  </si>
  <si>
    <t>-23.4518260563776</t>
  </si>
  <si>
    <t>-46.612654540625</t>
  </si>
  <si>
    <t>AVENIDA TENENTE JULIO PRADO NEVES ESQUINA COM RUA PEDRO</t>
  </si>
  <si>
    <t>2018-11-14</t>
  </si>
  <si>
    <t>-23.4633470466672</t>
  </si>
  <si>
    <t>-46.6194975000895</t>
  </si>
  <si>
    <t>AVENIDA NOVA CANTAREIRA ESQUINA COM RUA PARQUE DA FONTE</t>
  </si>
  <si>
    <t>-23.4729495996607</t>
  </si>
  <si>
    <t>-46.6148182717433</t>
  </si>
  <si>
    <t>RUA ARAGAO ESQUINA COM A RUA PURUS</t>
  </si>
  <si>
    <t>-23.4736793130013</t>
  </si>
  <si>
    <t>-46.6040986</t>
  </si>
  <si>
    <t>RUA MARIETA DA SILVA ESQUINA COM A RUA DOS NAUTICOS</t>
  </si>
  <si>
    <t>-23.5082798251092</t>
  </si>
  <si>
    <t>-46.6040101783164</t>
  </si>
  <si>
    <t>RUA MARIA CANDIDA ESQUINA COM A AVENIDA GENERAL ATALIBA LEONEL</t>
  </si>
  <si>
    <t>2020-12-17</t>
  </si>
  <si>
    <t>-23.5009854965955</t>
  </si>
  <si>
    <t>-46.6137822374427</t>
  </si>
  <si>
    <t>RUA CANHONEIRA MEARIM ESQUINA COM A RUA ARISUGAWA</t>
  </si>
  <si>
    <t>-23.5032420697134</t>
  </si>
  <si>
    <t>-46.5773198036766</t>
  </si>
  <si>
    <t>RUA NEWTON BRAGA 365  PROXIMO A ESQUINA COM A  RUA CURUCA</t>
  </si>
  <si>
    <t>-23.511107899606</t>
  </si>
  <si>
    <t>-46.5925711</t>
  </si>
  <si>
    <t>RUA CABO NORBERTO ENRIQUE WEBER ESQUINA COM A RUA SOLDADO JOSE DE ANDRADE</t>
  </si>
  <si>
    <t>-23.4966756318955</t>
  </si>
  <si>
    <t>-46.5655793424519</t>
  </si>
  <si>
    <t>AVENIDA FRANCISCO MATARAZZO ESQUINA RUA PADRE ANTONIO TOMAS</t>
  </si>
  <si>
    <t>-23.5261184930005</t>
  </si>
  <si>
    <t>-46.6779985075485</t>
  </si>
  <si>
    <t>AVENIDA SANTA MARIA PROXIMO DA ESQUINA COM A AVENIDA ERMANO MARCHETTI</t>
  </si>
  <si>
    <t>-23.5146123074424</t>
  </si>
  <si>
    <t>-46.6914837869553</t>
  </si>
  <si>
    <t>RUA BARCELONA ESQUINA COM A RUA ALARICO FRANCO CAIUBI</t>
  </si>
  <si>
    <t>-23.5439413699862</t>
  </si>
  <si>
    <t>-46.7464555937162</t>
  </si>
  <si>
    <t>RUA CAPOTE VALENTE ESQUINA COM A RUA TEODORO SAMPAIO</t>
  </si>
  <si>
    <t>-23.5567675035173</t>
  </si>
  <si>
    <t>-46.6759876021091</t>
  </si>
  <si>
    <t>ALAMEDA LORENA PROXIMO DA ESQUINA COM A RUA PEIXOTO GOMIDE</t>
  </si>
  <si>
    <t>-23.5665878428137</t>
  </si>
  <si>
    <t>-46.663119655136</t>
  </si>
  <si>
    <t>RUA BARAO DE CAPANEMA PROXIMO A  ESQUINA COM ALAMEDA MINISTRO ROCHA AZEVEDO</t>
  </si>
  <si>
    <t>-23.5678027639165</t>
  </si>
  <si>
    <t>-46.6657556205343</t>
  </si>
  <si>
    <t>ALAMEDA LORENA ESQUINA COM ALAMEDA CASA BRANCA</t>
  </si>
  <si>
    <t>-23.5676643709557</t>
  </si>
  <si>
    <t>-46.661495921898</t>
  </si>
  <si>
    <t>RUA BATATES ESQUINA COM A AVENIDA BRIGADEIRO LUIS ANTONIO</t>
  </si>
  <si>
    <t>-23.5727261056469</t>
  </si>
  <si>
    <t>-46.6545169216733</t>
  </si>
  <si>
    <t>RUA BELA CINTRA ESQUINA COM A ALAMEDA ITU</t>
  </si>
  <si>
    <t>-23.5597842832845</t>
  </si>
  <si>
    <t>-46.6649332395482</t>
  </si>
  <si>
    <t>RUA COAQUIRA 199</t>
  </si>
  <si>
    <t>-23.5163517249282</t>
  </si>
  <si>
    <t>-46.7171139386772</t>
  </si>
  <si>
    <t>AVENIDA PACAEMBU ESQUINA COM RUA ITABAQUARA</t>
  </si>
  <si>
    <t>-23.5415818876184</t>
  </si>
  <si>
    <t>-46.6650039973132</t>
  </si>
  <si>
    <t>RUA ZEQUINHA DE ABREU ESQUINA COM PRACA WENDELL WILKIE</t>
  </si>
  <si>
    <t>-23.5458617952081</t>
  </si>
  <si>
    <t>-46.6698501966463</t>
  </si>
  <si>
    <t>RUA MONTE ALEGRE DEFRONTE A PUC SP PROXIMO A ESQUINA COM A A RUA BARTIRA</t>
  </si>
  <si>
    <t>-23.5385226116558</t>
  </si>
  <si>
    <t>-46.6709493483078</t>
  </si>
  <si>
    <t>AVENIDA BRIGADEIRO FARIA LIMA ESQUINA COM A TRAVESSA OURO PRETO</t>
  </si>
  <si>
    <t>-23.5790856403127</t>
  </si>
  <si>
    <t>-46.6853840819451</t>
  </si>
  <si>
    <t>RUA SUMIDOURO DEFRONTE A RUA EUGENIO DE MEDEIROS   AO LADO DO PB PINHEIROS        BICA DE ENCHIMENTO RAPIDO NO INTERIOR DA SABESP</t>
  </si>
  <si>
    <t>-23.5633801290265</t>
  </si>
  <si>
    <t>-46.7011339104815</t>
  </si>
  <si>
    <t>AVENIDA BRIGADEIRO ESQUINA COM A RUA DOS PINHEIROS</t>
  </si>
  <si>
    <t>-23.5680438469678</t>
  </si>
  <si>
    <t>-46.6923676945993</t>
  </si>
  <si>
    <t>RUA NICODEMO DUTRA ROSA 19 ENTRE A RUA DOUTOR ILARINO JULIANO E A RUA PAULO DE CAMARGO GARTNER</t>
  </si>
  <si>
    <t>2019-06-24</t>
  </si>
  <si>
    <t>-23.5710877696053</t>
  </si>
  <si>
    <t>-46.77779788</t>
  </si>
  <si>
    <t>AVENIDA DOUTOR LINO DE MORAES LEME ESQUINA COM A RUA VIAZA</t>
  </si>
  <si>
    <t>-23.6356330267206</t>
  </si>
  <si>
    <t>-46.6611675557093</t>
  </si>
  <si>
    <t>RUA REPUBLICA DO IRAQUE ESQUINA COM A RUA LAPLACE</t>
  </si>
  <si>
    <t>-23.6310480052354</t>
  </si>
  <si>
    <t>-46.6775657551297</t>
  </si>
  <si>
    <t>RUA CARDOSO MOREIRA PROXIMO A RUA ALESSANDRO ALGARDI</t>
  </si>
  <si>
    <t>-23.6294879845013</t>
  </si>
  <si>
    <t>-46.759095835937</t>
  </si>
  <si>
    <t>-23.6291835918126</t>
  </si>
  <si>
    <t>-46.7592480322814</t>
  </si>
  <si>
    <t>RUA JOAO DA CUNHA VASCONCELOS PROXIMO A RUA JOAQUIM XAVIER CURADO</t>
  </si>
  <si>
    <t>-23.6402561171648</t>
  </si>
  <si>
    <t>-46.7614825138849</t>
  </si>
  <si>
    <t>RUA TORRE DE MARFIM  DEFRONTE A RUA DESEMBARGADOR ALCEU CORDEIRO FERNANDES      SABESP   BICA DE ENCHIMENTO RAPIDO</t>
  </si>
  <si>
    <t>-23.6305724166946</t>
  </si>
  <si>
    <t>-46.7620849103435</t>
  </si>
  <si>
    <t>JARDIM SÔNIA INGÁ</t>
  </si>
  <si>
    <t>AVENIDA COMENDADOR SANTANA 745</t>
  </si>
  <si>
    <t>2020-04-24</t>
  </si>
  <si>
    <t>-23.6735109552969</t>
  </si>
  <si>
    <t>-46.7733006489975</t>
  </si>
  <si>
    <t>RUA POVOA DE VARZIM PROXIMO A RUA AGOSTINHO DE PAIVA</t>
  </si>
  <si>
    <t>-23.651477325339</t>
  </si>
  <si>
    <t>-46.7909160693245</t>
  </si>
  <si>
    <t>RUA JOSE NEVES ESQUINA COM A RUA DO MAR</t>
  </si>
  <si>
    <t>-23.6592452901579</t>
  </si>
  <si>
    <t>-46.6761943151258</t>
  </si>
  <si>
    <t>RUA ARCHOTE DO PERU ESQUINA COM AS RUA DAS BROMELIACEAS</t>
  </si>
  <si>
    <t>-23.7294027895411</t>
  </si>
  <si>
    <t>-46.6939968503415</t>
  </si>
  <si>
    <t>RUA JEQUIRITUBA PROXIMO DA ESQUINA COM A RUA ERNESTO TEOTONIO</t>
  </si>
  <si>
    <t>-23.7238838841143</t>
  </si>
  <si>
    <t>-46.6912403199736</t>
  </si>
  <si>
    <t>RUA SOLIDEA AVANCI MIATTO ESQUINA COM A RUA DOM MACARIO</t>
  </si>
  <si>
    <t>-23.6178851681536</t>
  </si>
  <si>
    <t>-46.6115383258044</t>
  </si>
  <si>
    <t>AVENIDA OSWALDO ARANHA ESQUINA COM A RUA EMLIO LANG JUNIOR</t>
  </si>
  <si>
    <t>-23.614076533323</t>
  </si>
  <si>
    <t>-46.6122409223097</t>
  </si>
  <si>
    <t xml:space="preserve">RUA VERGUEIRO ESQUINA COM A RUA MANOEL PINHO </t>
  </si>
  <si>
    <t>-23.6055345776921</t>
  </si>
  <si>
    <t>-46.6145424304975</t>
  </si>
  <si>
    <t>RUA ANTONIO CARLOS BENJAMIM DOS SANTOS ESQUINA COM ESTRADA DA COCAIA</t>
  </si>
  <si>
    <t>-23.7679044563958</t>
  </si>
  <si>
    <t>-46.6982641019031</t>
  </si>
  <si>
    <t>AVENIDA PRESIDENTE WILSON 2841</t>
  </si>
  <si>
    <t>-23.5779885143626</t>
  </si>
  <si>
    <t>-46.5998490098383</t>
  </si>
  <si>
    <t>RUA DOS SOROCABANOS ESQUINA COM A RUA BENTO VIEIRA</t>
  </si>
  <si>
    <t>-23.5795914218187</t>
  </si>
  <si>
    <t>-46.60369902699</t>
  </si>
  <si>
    <t>AVENIDA DOM PEDRO I ESQUINA COM A RUA PEDRO DE MAGALHAES</t>
  </si>
  <si>
    <t>2020-07-20</t>
  </si>
  <si>
    <t>-23.5755927006872</t>
  </si>
  <si>
    <t>-46.6103391646748</t>
  </si>
  <si>
    <t>AVENIDA DOM PEDRO I ESQUINA COM RUA TABOR</t>
  </si>
  <si>
    <t>-23.5770835639546</t>
  </si>
  <si>
    <t>-46.6102157197738</t>
  </si>
  <si>
    <t>MUSEU DO IPIRANGA</t>
  </si>
  <si>
    <t>2020-03-18</t>
  </si>
  <si>
    <t>-23.5852247102783</t>
  </si>
  <si>
    <t>-46.6093866721723</t>
  </si>
  <si>
    <t>-23.5853891987165</t>
  </si>
  <si>
    <t>-46.6102469728134</t>
  </si>
  <si>
    <t>RUA SAO VENCESLAU ESQUINA COM A AVENIDA LEONARDO DA VINCI    PRACA NOVA AMERICA</t>
  </si>
  <si>
    <t>-23.641045727865</t>
  </si>
  <si>
    <t>-46.6366515847237</t>
  </si>
  <si>
    <t>AVENIDA DO CAFE ESQUINA COM A AVENIDA ENGENHEIRO ARMANDO DE ARRUDA PEREIRA</t>
  </si>
  <si>
    <t>-23.6363239993631</t>
  </si>
  <si>
    <t>-46.641027227009</t>
  </si>
  <si>
    <t>RUA SIMAO RODRIGUES PROXIMO A RUA LAS PALMAS</t>
  </si>
  <si>
    <t>-23.6655811002379</t>
  </si>
  <si>
    <t>-46.6414332092129</t>
  </si>
  <si>
    <t>RUA ITUPU PROXIMO A RUA TAITI</t>
  </si>
  <si>
    <t>-23.6786365769073</t>
  </si>
  <si>
    <t>-46.7559411064986</t>
  </si>
  <si>
    <t>ESTRADA DO M BOI MIRIM PROXIMO A RUA THEODOLINO PEREIRA DE ALMEIDA</t>
  </si>
  <si>
    <t>-23.6688400596701</t>
  </si>
  <si>
    <t>-46.7343806469104</t>
  </si>
  <si>
    <t>AVENIDA BEM TE VI ESQUINA COM A RUA GAIVOTA</t>
  </si>
  <si>
    <t>-23.6063052764298</t>
  </si>
  <si>
    <t>-46.6700665760312</t>
  </si>
  <si>
    <t>ALAMEDA DOS ANAPURUS ESQUINA COM AVENIDA JUREMA</t>
  </si>
  <si>
    <t>-23.6085147674182</t>
  </si>
  <si>
    <t>-46.6591110615611</t>
  </si>
  <si>
    <t>RUA CURITIBA ESQUINA COM A RUA CHARLES CAMOIN</t>
  </si>
  <si>
    <t>-23.5799491041475</t>
  </si>
  <si>
    <t>-46.654467110199</t>
  </si>
  <si>
    <t>RUA ABILIO SOARES ESQUINA COM A RUA MARECHAL MAURICIO CARDOSO</t>
  </si>
  <si>
    <t>-23.5807416593068</t>
  </si>
  <si>
    <t>-46.6567099917788</t>
  </si>
  <si>
    <t>RUA CARLOS JORGE SCHMIDT ESQUINA COM A RUA LEONARDO LABELLA</t>
  </si>
  <si>
    <t>-23.7956340059136</t>
  </si>
  <si>
    <t>-46.73630276089</t>
  </si>
  <si>
    <t>RUA JOSE ANTONIO VALADARES ESQUINA COM A RUA CORONEL JOAO FLORENCIO PEREA</t>
  </si>
  <si>
    <t>-23.6438414907173</t>
  </si>
  <si>
    <t>-46.5883587847679</t>
  </si>
  <si>
    <t>RUA ALENCAR ARARIPE ESQUINA COM A RUA SALVADOR PIRES DE LIMA</t>
  </si>
  <si>
    <t>-23.6140194565204</t>
  </si>
  <si>
    <t>-46.5971752237003</t>
  </si>
  <si>
    <t>RUA MARIO NAVARRO 232 NO FINAL DA RUA PROXIMO AO MURO Z</t>
  </si>
  <si>
    <t>-23.63199616032</t>
  </si>
  <si>
    <t>-46.5896519439611</t>
  </si>
  <si>
    <t>RUA FRANCISCO MARIA CAROPRESO PROXIMO A ESQUINA COM A  ESTRADA DAS LAGRIMAS</t>
  </si>
  <si>
    <t>-23.6289536253144</t>
  </si>
  <si>
    <t>-46.5898193994253</t>
  </si>
  <si>
    <t>RUA ANTONIO ANNUNZIATO ESQUINA COM A RUA ANTONIE CARON  DEFRONTE  A AVENIDA PATENTE</t>
  </si>
  <si>
    <t>-23.6285570504242</t>
  </si>
  <si>
    <t>-46.5863109652893</t>
  </si>
  <si>
    <t>RUA AMERICO BRASILIENSE 630 PROXIMO A ESQUINCA COM AVENIDA ADOLFO PINHEIRO</t>
  </si>
  <si>
    <t>-23.6360659096851</t>
  </si>
  <si>
    <t>-46.6939865244973</t>
  </si>
  <si>
    <t>RUA DESIREE CONTIER ESQUINA COM A AVENIDA PROFESSOR VICENTO RAO</t>
  </si>
  <si>
    <t>-23.6313216207211</t>
  </si>
  <si>
    <t>-46.6833362887999</t>
  </si>
  <si>
    <t>AVENIDA JOAO DIAS ESQUINA COM A RUA LAGUNA</t>
  </si>
  <si>
    <t>2018-03-05</t>
  </si>
  <si>
    <t>-23.6447480104779</t>
  </si>
  <si>
    <t>-46.7165013720685</t>
  </si>
  <si>
    <t>RUA GRAVI 205</t>
  </si>
  <si>
    <t>-23.6130869464819</t>
  </si>
  <si>
    <t>-46.6375758229175</t>
  </si>
  <si>
    <t>RUA DOMINGOS DE MORAES ESQUINA COM A RUA PADRE MACHADO</t>
  </si>
  <si>
    <t>-23.6017769699347</t>
  </si>
  <si>
    <t>-46.6364844979704</t>
  </si>
  <si>
    <t>RUA CARAMURU ESQUINA COM A RUA JUA</t>
  </si>
  <si>
    <t>-23.6129491836878</t>
  </si>
  <si>
    <t>-46.6357386571991</t>
  </si>
  <si>
    <t>AVENIDA ARATAS ESQUINA COM A RUA ALBERTO WILLO</t>
  </si>
  <si>
    <t>-23.6168496561083</t>
  </si>
  <si>
    <t>-46.653411436186</t>
  </si>
  <si>
    <t>RUA PROFESSOR SOUSA BARROS ESQUINA COM A RUA BENTO DE LEMOS</t>
  </si>
  <si>
    <t>-23.6292213752443</t>
  </si>
  <si>
    <t>-46.6438443379006</t>
  </si>
  <si>
    <t>RUA SEBASTIAO GUIMARAES CORREA ESQUINA COM A AV FAGUNDES FILHO</t>
  </si>
  <si>
    <t>-23.6267336656426</t>
  </si>
  <si>
    <t>-46.6335483535627</t>
  </si>
  <si>
    <t>RUA JOSE GALDINO DA SILVA 497</t>
  </si>
  <si>
    <t>-23.6990188104159</t>
  </si>
  <si>
    <t>-46.701870151421</t>
  </si>
  <si>
    <t>AVENIDA INACIO CUNHA LEME ESQUINA COM A RUA PEDRO FRAZAO DE BRITO</t>
  </si>
  <si>
    <t>-23.6905094397106</t>
  </si>
  <si>
    <t>-46.711884246626</t>
  </si>
  <si>
    <t>RUA MACHADO DE ASSIS PROXIMO A ESQUINA DA RUA GREGORIO SERRAO</t>
  </si>
  <si>
    <t>2018-07-23</t>
  </si>
  <si>
    <t>-23.5814596150467</t>
  </si>
  <si>
    <t>-46.6359186894503</t>
  </si>
  <si>
    <t>RUA VERGUEIRO ESQUINA COM RUA DIDEROT</t>
  </si>
  <si>
    <t>-23.5929947154409</t>
  </si>
  <si>
    <t>-46.6296961029098</t>
  </si>
  <si>
    <t>RUA PICO DELLA MIRANDOLA ESQUINA COM A RUA JOAO JOSE PACHECO</t>
  </si>
  <si>
    <t>-23.5938889176621</t>
  </si>
  <si>
    <t>-46.6239751185665</t>
  </si>
  <si>
    <t>RUA TANGARAS ESQUINA COM A RUA FRANCA PINTO</t>
  </si>
  <si>
    <t>-23.5895188720237</t>
  </si>
  <si>
    <t>-46.64756280836</t>
  </si>
  <si>
    <t>RUA SENA MADUREIRA 1826</t>
  </si>
  <si>
    <t>-23.5917666259867</t>
  </si>
  <si>
    <t>-46.6365016254339</t>
  </si>
  <si>
    <t>RUA MERUOCA 200 PROXIMO A ESQUINA COM A RUA SANCHES BRANDAO</t>
  </si>
  <si>
    <t>-23.5813270209266</t>
  </si>
  <si>
    <t>-46.6200530161562</t>
  </si>
  <si>
    <t>RUA COL DA GLORIA ESQUINA COM A RUA GENERAL GURJAO</t>
  </si>
  <si>
    <t>-23.5836159830161</t>
  </si>
  <si>
    <t>-46.626398259282</t>
  </si>
  <si>
    <t>PRACA OSVALDO CRUZ  47 AVENIDA BERNARDINO DE CAMPOS</t>
  </si>
  <si>
    <t>-23.5718654230257</t>
  </si>
  <si>
    <t>-46.6439618491862</t>
  </si>
  <si>
    <t>VIADUTO SANTA GENEROSA ESQUINA COM A RUA CORREIA DIAS</t>
  </si>
  <si>
    <t>-23.5764842213209</t>
  </si>
  <si>
    <t>-46.6413333712597</t>
  </si>
  <si>
    <t>RUA MONSENHOR MANUEL VICENTE ESQUINA COM A RUA DOMINGOS DE MORAIS</t>
  </si>
  <si>
    <t>-23.5934153550769</t>
  </si>
  <si>
    <t>-46.6363497998182</t>
  </si>
  <si>
    <t>RUA AFONSO CELSO ESQUINA COM A RUA SANTA CRUZ</t>
  </si>
  <si>
    <t>-23.596852066953</t>
  </si>
  <si>
    <t>-46.6351133212107</t>
  </si>
  <si>
    <t>RUA AFONSO CELSO ESQUINA COM A RUA JORGE TIBIRICA</t>
  </si>
  <si>
    <t>-23.5979259992193</t>
  </si>
  <si>
    <t>-46.6347554730324</t>
  </si>
  <si>
    <t>RUA ESTADO DE ISRAEL 907 PROXIMO A ESQUINA COM A RUA JOSE DE MAGALHAES</t>
  </si>
  <si>
    <t>-23.5941607703243</t>
  </si>
  <si>
    <t>-46.6486465171122</t>
  </si>
  <si>
    <t>RUA DONA ANA PROXIMO A ESQUINA COM A RUA DONA BRIGIDA</t>
  </si>
  <si>
    <t>-23.5870121091014</t>
  </si>
  <si>
    <t>-46.6304179850952</t>
  </si>
  <si>
    <t>2021-12-30</t>
  </si>
  <si>
    <t>2021-12-31</t>
  </si>
  <si>
    <t>RUA SALVADO TOLEZANO PROXIMO DA ESQUINA COM A AVENIDA PARADA PINTO</t>
  </si>
  <si>
    <t>-23.4680612702382</t>
  </si>
  <si>
    <t>-46.6385159420007</t>
  </si>
  <si>
    <t>2022-01-01</t>
  </si>
  <si>
    <t>AVENIDA MOYSES PROXIMO A RUA MARIA PRESTES MAIA</t>
  </si>
  <si>
    <t>-23.5152530068267</t>
  </si>
  <si>
    <t>-46.621304697652</t>
  </si>
  <si>
    <t>RUA MINISTRO JESUINO CARDOSO ESQUINA COM A RUA PROFESSOR ATILIO INNOCENTI</t>
  </si>
  <si>
    <t>-23.5922670073247</t>
  </si>
  <si>
    <t>-46.6800072216761</t>
  </si>
  <si>
    <t>RUA TEJO PROXIMO A RUA PEDRO DE TOLEDO</t>
  </si>
  <si>
    <t>-23.5966051903616</t>
  </si>
  <si>
    <t>-46.6571971687943</t>
  </si>
  <si>
    <t>RUA LUIS GONZAGA FREIRE 118</t>
  </si>
  <si>
    <t>-23.6417846755</t>
  </si>
  <si>
    <t>-46.773591256</t>
  </si>
  <si>
    <t>RUA PROFESSORA OPHELIA MAZELA DE OLIVEIRA ESQUINA COM A RUA GUERREIRO</t>
  </si>
  <si>
    <t>-23.6463635765</t>
  </si>
  <si>
    <t>-46.773195849</t>
  </si>
  <si>
    <t>ESTRADA DO ARACATI DEFRONTE A RUA LICINO FELINI</t>
  </si>
  <si>
    <t>-23.729173941</t>
  </si>
  <si>
    <t>-46.774218827</t>
  </si>
  <si>
    <t>2022-01-02</t>
  </si>
  <si>
    <t>2022-01-03</t>
  </si>
  <si>
    <t>RUA ITAMONTE ESQUINA COM A AVENIDA JAPAO</t>
  </si>
  <si>
    <t>-23.4877283873931</t>
  </si>
  <si>
    <t>-46.5768700528189</t>
  </si>
  <si>
    <t>2022-01-04</t>
  </si>
  <si>
    <t>RUA PADRE DOMINGOS GAVA PROXIMO DA ESQUINA COM A RUA MARQUES DE RECIFE</t>
  </si>
  <si>
    <t>-23.4811813568785</t>
  </si>
  <si>
    <t>-46.6856178245096</t>
  </si>
  <si>
    <t>RUA ORINDIUVA ESQUINA COM A RUA ABEL RAMOS</t>
  </si>
  <si>
    <t>-23.5081246433979</t>
  </si>
  <si>
    <t>-46.584623438113</t>
  </si>
  <si>
    <t>ALAMEDA JOAQUIM EUGENIO DE LIMA PROXIMO DA ESQUINA COM A ALAMEDA SANTOS</t>
  </si>
  <si>
    <t>-23.5671521921692</t>
  </si>
  <si>
    <t>-46.6520273177326</t>
  </si>
  <si>
    <t>ALAMEDA SANTOS ESQUINA COM A RUA MARIA FIGUEIREDO</t>
  </si>
  <si>
    <t>-23.5697162072427</t>
  </si>
  <si>
    <t>-46.6482998859312</t>
  </si>
  <si>
    <t>2022-01-05</t>
  </si>
  <si>
    <t>2022-01-06</t>
  </si>
  <si>
    <t>2022-01-07</t>
  </si>
  <si>
    <t>2022-01-08</t>
  </si>
  <si>
    <t>2022-01-09</t>
  </si>
  <si>
    <t>2022-01-10</t>
  </si>
  <si>
    <t>RUA QUINZE DE SETEMBRO ESQUINA COM A RUA JOSE MARIA WHITAKER</t>
  </si>
  <si>
    <t>-23.61527084</t>
  </si>
  <si>
    <t>-46.6434962737745</t>
  </si>
  <si>
    <t>2022-01-11</t>
  </si>
  <si>
    <t>2022-01-12</t>
  </si>
  <si>
    <t>2020-09-03</t>
  </si>
  <si>
    <t>2022-01-13</t>
  </si>
  <si>
    <t>-23.5572955583848</t>
  </si>
  <si>
    <t>-46.6772147602728</t>
  </si>
  <si>
    <t>-23.5307564036253</t>
  </si>
  <si>
    <t>-46.660242531945</t>
  </si>
  <si>
    <t>-23.5437596021819</t>
  </si>
  <si>
    <t>-46.6963092997818</t>
  </si>
  <si>
    <t>-23.5794029941646</t>
  </si>
  <si>
    <t>-46.6444426484812</t>
  </si>
  <si>
    <t>-23.5118261822165</t>
  </si>
  <si>
    <t>-46.5119136947187</t>
  </si>
  <si>
    <t>-23.7186973251178</t>
  </si>
  <si>
    <t>-46.6993185457071</t>
  </si>
  <si>
    <t>2022-01-14</t>
  </si>
  <si>
    <t>-23.5862033932176</t>
  </si>
  <si>
    <t>-46.6712468016441</t>
  </si>
  <si>
    <t>-23.545755408</t>
  </si>
  <si>
    <t>-46.5239133051765</t>
  </si>
  <si>
    <t>-23.5259464397059</t>
  </si>
  <si>
    <t>-46.6384871080882</t>
  </si>
  <si>
    <t>-23.5290262290792</t>
  </si>
  <si>
    <t>-46.5457945849356</t>
  </si>
  <si>
    <t>-23.5554573470589</t>
  </si>
  <si>
    <t>-46.5474488176472</t>
  </si>
  <si>
    <t>-23.546415329394</t>
  </si>
  <si>
    <t>-46.5267346515657</t>
  </si>
  <si>
    <t>-23.5162875175271</t>
  </si>
  <si>
    <t>-46.5908612215802</t>
  </si>
  <si>
    <t>-23.6576239147761</t>
  </si>
  <si>
    <t>-46.6491356339926</t>
  </si>
  <si>
    <t>2022-01-15</t>
  </si>
  <si>
    <t>2022-01-16</t>
  </si>
  <si>
    <t>2022-01-17</t>
  </si>
  <si>
    <t>2022-01-18</t>
  </si>
  <si>
    <t>-23.5633016440309</t>
  </si>
  <si>
    <t>-46.6200222615254</t>
  </si>
  <si>
    <t>-23.5590491144118</t>
  </si>
  <si>
    <t>-46.6539294895882</t>
  </si>
  <si>
    <t>-23.5446330229908</t>
  </si>
  <si>
    <t>-46.566469777089</t>
  </si>
  <si>
    <t>-23.5457065305014</t>
  </si>
  <si>
    <t>-46.6919014839736</t>
  </si>
  <si>
    <t>2022-01-19</t>
  </si>
  <si>
    <t>-23.5925713694118</t>
  </si>
  <si>
    <t>-46.6877562831177</t>
  </si>
  <si>
    <t>-23.535063176</t>
  </si>
  <si>
    <t>-46.5791338289412</t>
  </si>
  <si>
    <t>-23.5765768419648</t>
  </si>
  <si>
    <t>-46.5597826519518</t>
  </si>
  <si>
    <t>-23.6045339169161</t>
  </si>
  <si>
    <t>-46.5637317039036</t>
  </si>
  <si>
    <t>-23.5892552311321</t>
  </si>
  <si>
    <t>-46.6961327830839</t>
  </si>
  <si>
    <t>-23.6258650139067</t>
  </si>
  <si>
    <t>-46.6407051818804</t>
  </si>
  <si>
    <t>-23.5213151115158</t>
  </si>
  <si>
    <t>-46.7059978839297</t>
  </si>
  <si>
    <t>-23.5901038579412</t>
  </si>
  <si>
    <t>-46.5752677943824</t>
  </si>
  <si>
    <t>-23.6062782664932</t>
  </si>
  <si>
    <t>-46.5652298101497</t>
  </si>
  <si>
    <t>RUA ULISSES CRUZ ESQUINA COM A RUA HEITOR BARIANI</t>
  </si>
  <si>
    <t>-23.5307509358716</t>
  </si>
  <si>
    <t>-46.5787910261954</t>
  </si>
  <si>
    <t>RUA ITAMONTE ESQUINA COM A RUA HINTEM MARTINS</t>
  </si>
  <si>
    <t>-23.4820686979381</t>
  </si>
  <si>
    <t>-46.5652121795361</t>
  </si>
  <si>
    <t>RUA SOLDADO BENEDITO PATRICIO ESQUINA COM A RUA SOLDADO ARLINDO SARDANHA</t>
  </si>
  <si>
    <t>-23.5124323869026</t>
  </si>
  <si>
    <t>-46.5742663350443</t>
  </si>
  <si>
    <t>2022-01-20</t>
  </si>
  <si>
    <t>PRACA MARIO ORTIZ ENTRE A RUA PINDAMONHANGABA E A RUA PARAIBUNA AO LADO DA ESTACAO DE BOMBEIROS VILA PRUDENTE</t>
  </si>
  <si>
    <t>-23.5569756749245</t>
  </si>
  <si>
    <t>-46.655476149195</t>
  </si>
  <si>
    <t>-23.5881720114588</t>
  </si>
  <si>
    <t>-46.5880196386</t>
  </si>
  <si>
    <t>RUA GOMES NOGUEIRA ESQUINA COM A AVENIDA DOUTOR RICARDO JAFET</t>
  </si>
  <si>
    <t>-23.5844890279903</t>
  </si>
  <si>
    <t>-46.6175562382354</t>
  </si>
  <si>
    <t>RUA VALDEMAR DORIA ESQUINA COM A RUA CATUMBI</t>
  </si>
  <si>
    <t>-23.5350980007846</t>
  </si>
  <si>
    <t>-46.6004028274513</t>
  </si>
  <si>
    <t>2022-01-21</t>
  </si>
  <si>
    <t>-23.5549744064219</t>
  </si>
  <si>
    <t>-46.655398231122</t>
  </si>
  <si>
    <t>-23.5572053198295</t>
  </si>
  <si>
    <t>-46.6351161288166</t>
  </si>
  <si>
    <t>-23.5438300394968</t>
  </si>
  <si>
    <t>-46.62152583204</t>
  </si>
  <si>
    <t>-23.5823918877431</t>
  </si>
  <si>
    <t>-46.6427379224629</t>
  </si>
  <si>
    <t>2020-09-09</t>
  </si>
  <si>
    <t>-23.5527532752999</t>
  </si>
  <si>
    <t>-46.6512443116442</t>
  </si>
  <si>
    <t>RUA MARANHAO ESQUINA COM A AVENIDA ANGELICA</t>
  </si>
  <si>
    <t>-23.5443226203647</t>
  </si>
  <si>
    <t>-46.6571656526985</t>
  </si>
  <si>
    <t>RUA AMAREL GURGEL PROXIMO A RUA DA CONSOLACAO</t>
  </si>
  <si>
    <t>-23.5473900456224</t>
  </si>
  <si>
    <t>-46.6482667749065</t>
  </si>
  <si>
    <t>-23.4815072571386</t>
  </si>
  <si>
    <t>-46.5993649876023</t>
  </si>
  <si>
    <t>-23.5266922745655</t>
  </si>
  <si>
    <t>-46.7089474122331</t>
  </si>
  <si>
    <t>AVENIDA CONSELHEIRO RODRIGUES ALVES ESQUINA COM A RUA RIO GRANDE</t>
  </si>
  <si>
    <t>-23.5849540602271</t>
  </si>
  <si>
    <t>-46.6443369349151</t>
  </si>
  <si>
    <t>-23.6786651114389</t>
  </si>
  <si>
    <t>-46.712371043636</t>
  </si>
  <si>
    <t>-23.5291873592423</t>
  </si>
  <si>
    <t>-46.552295028571</t>
  </si>
  <si>
    <t>-23.4858073900882</t>
  </si>
  <si>
    <t>-46.4802098368088</t>
  </si>
  <si>
    <t>-23.4924299283802</t>
  </si>
  <si>
    <t>-46.4827032000091</t>
  </si>
  <si>
    <t>-23.5164954179609</t>
  </si>
  <si>
    <t>-46.4763106384457</t>
  </si>
  <si>
    <t>-23.6091665293141</t>
  </si>
  <si>
    <t>-46.6144461782806</t>
  </si>
  <si>
    <t>-23.5787750205858</t>
  </si>
  <si>
    <t>-46.6511925439038</t>
  </si>
  <si>
    <t>-23.54363766288</t>
  </si>
  <si>
    <t>-46.6586955671723</t>
  </si>
  <si>
    <t>ALAMEDA JAU ESQUINA COM A AVENIDA BRIGADEIRO LUIS ANTONIO</t>
  </si>
  <si>
    <t>-23.5695138713728</t>
  </si>
  <si>
    <t>-46.6510097512254</t>
  </si>
  <si>
    <t>2022-01-22</t>
  </si>
  <si>
    <t>2022-01-23</t>
  </si>
  <si>
    <t>2022-01-24</t>
  </si>
  <si>
    <t>-23.5352463226186</t>
  </si>
  <si>
    <t>-46.6391255054377</t>
  </si>
  <si>
    <t>-23.5451575630022</t>
  </si>
  <si>
    <t>-46.6434388585274</t>
  </si>
  <si>
    <t>-23.6444261514256</t>
  </si>
  <si>
    <t>-46.7186272100847</t>
  </si>
  <si>
    <t>-23.593568279233</t>
  </si>
  <si>
    <t>-46.5409084826999</t>
  </si>
  <si>
    <t>-23.5052563406888</t>
  </si>
  <si>
    <t>-46.574441681923</t>
  </si>
  <si>
    <t>-23.5712292615807</t>
  </si>
  <si>
    <t>-46.6281298826837</t>
  </si>
  <si>
    <t>-23.5454162501412</t>
  </si>
  <si>
    <t>-46.645696750619</t>
  </si>
  <si>
    <t>-23.5855909169626</t>
  </si>
  <si>
    <t>-46.6815566508856</t>
  </si>
  <si>
    <t>-23.5865579001098</t>
  </si>
  <si>
    <t>-46.6041289881311</t>
  </si>
  <si>
    <t>-23.6506565797059</t>
  </si>
  <si>
    <t>-46.6614036239411</t>
  </si>
  <si>
    <t>-23.5439174834027</t>
  </si>
  <si>
    <t>-46.6465402565395</t>
  </si>
  <si>
    <t>-23.5418000257545</t>
  </si>
  <si>
    <t>-46.6453916017111</t>
  </si>
  <si>
    <t>-23.5385747359381</t>
  </si>
  <si>
    <t>-46.6364478235471</t>
  </si>
  <si>
    <t>-23.5409578922826</t>
  </si>
  <si>
    <t>-46.6388519782903</t>
  </si>
  <si>
    <t>-23.4669824576743</t>
  </si>
  <si>
    <t>-46.574312958851</t>
  </si>
  <si>
    <t>-23.5566294228863</t>
  </si>
  <si>
    <t>-46.6621723109609</t>
  </si>
  <si>
    <t>-23.5447747779771</t>
  </si>
  <si>
    <t>-46.6467135139744</t>
  </si>
  <si>
    <t>-23.5447771760039</t>
  </si>
  <si>
    <t>-46.6455091050233</t>
  </si>
  <si>
    <t>-23.5338663274117</t>
  </si>
  <si>
    <t>-46.6483539077352</t>
  </si>
  <si>
    <t>-23.5161431439695</t>
  </si>
  <si>
    <t>-46.7048098655567</t>
  </si>
  <si>
    <t>-23.5751124940424</t>
  </si>
  <si>
    <t>-46.6404931630518</t>
  </si>
  <si>
    <t>-23.5439726380187</t>
  </si>
  <si>
    <t>-46.6454683385681</t>
  </si>
  <si>
    <t>-23.5426836986235</t>
  </si>
  <si>
    <t>-46.644425196918</t>
  </si>
  <si>
    <t>-23.5418240060223</t>
  </si>
  <si>
    <t>-46.6464659177092</t>
  </si>
  <si>
    <t>-23.5417092106575</t>
  </si>
  <si>
    <t>-46.6393077198627</t>
  </si>
  <si>
    <t>-23.5343202387059</t>
  </si>
  <si>
    <t>-46.6490386213823</t>
  </si>
  <si>
    <t>-23.5721403936838</t>
  </si>
  <si>
    <t>-46.5664852045686</t>
  </si>
  <si>
    <t>-23.5452607785658</t>
  </si>
  <si>
    <t>-46.5303542143886</t>
  </si>
  <si>
    <t>-23.5839899142699</t>
  </si>
  <si>
    <t>-46.5470524322449</t>
  </si>
  <si>
    <t>-23.6053934098465</t>
  </si>
  <si>
    <t>-46.5225535515202</t>
  </si>
  <si>
    <t>-23.4866266693892</t>
  </si>
  <si>
    <t>-46.5943825626805</t>
  </si>
  <si>
    <t>-23.606666454672</t>
  </si>
  <si>
    <t>-46.6561199178926</t>
  </si>
  <si>
    <t>-23.5752174936582</t>
  </si>
  <si>
    <t>-46.6395666279808</t>
  </si>
  <si>
    <t>-23.5896187902526</t>
  </si>
  <si>
    <t>-46.6214245662623</t>
  </si>
  <si>
    <t>2022-01-25</t>
  </si>
  <si>
    <t>2022-01-26</t>
  </si>
  <si>
    <t>-23.5415627340457</t>
  </si>
  <si>
    <t>-46.6532109844185</t>
  </si>
  <si>
    <t>-23.5385757106663</t>
  </si>
  <si>
    <t>-46.5359234173679</t>
  </si>
  <si>
    <t>-23.5416566177167</t>
  </si>
  <si>
    <t>-46.6531293399995</t>
  </si>
  <si>
    <t>RUA ANTONIO SILVESTRE FERREIRA ESQUINA COM A RUA OTELO AUGUSTO RIBEIRO</t>
  </si>
  <si>
    <t>-23.5476477254579</t>
  </si>
  <si>
    <t>-46.4087782552297</t>
  </si>
  <si>
    <t>RUA ETTORE ANDREAZZA 187 PROXIMO A PRACA</t>
  </si>
  <si>
    <t>-23.6021440642648</t>
  </si>
  <si>
    <t>-46.4914737617654</t>
  </si>
  <si>
    <t>RUA CRISOLITA RODRIGUES PEREIRA ESQUINA COM A RUA EVANGELINA FERREIRA DESTRO</t>
  </si>
  <si>
    <t>-23.4965618935947</t>
  </si>
  <si>
    <t>-46.4441046883331</t>
  </si>
  <si>
    <t>RUA PIRES DE OLIVEIRA ESQUINA COM A RUA MAESTRO JORDAO BERNARDINO DE SENE</t>
  </si>
  <si>
    <t>-23.6373060196707</t>
  </si>
  <si>
    <t>-46.7041039026762</t>
  </si>
  <si>
    <t>RUA ALEXANDRE BENOIS PROXIMO A ESQUINA COM A RUA MARIA JOSE DA CONCEICAO</t>
  </si>
  <si>
    <t>-23.6326423565989</t>
  </si>
  <si>
    <t>-46.7382403351511</t>
  </si>
  <si>
    <t>RUA COMANDANTE GARCIA DAVILA 450</t>
  </si>
  <si>
    <t>-23.6067595717954</t>
  </si>
  <si>
    <t>-46.7178118188116</t>
  </si>
  <si>
    <t>2022-01-27</t>
  </si>
  <si>
    <t>-23.5822457879046</t>
  </si>
  <si>
    <t>-46.6867149309249</t>
  </si>
  <si>
    <t>-23.6649524044905</t>
  </si>
  <si>
    <t>-46.6781661830891</t>
  </si>
  <si>
    <t>RUA ROQUE PEREIRA NO FINAL DA RUA</t>
  </si>
  <si>
    <t>-23.4556393726007</t>
  </si>
  <si>
    <t>-46.6251736280532</t>
  </si>
  <si>
    <t>-23.5108698365462</t>
  </si>
  <si>
    <t>-46.5677439017943</t>
  </si>
  <si>
    <t>-23.5505070260241</t>
  </si>
  <si>
    <t>-46.7195099962608</t>
  </si>
  <si>
    <t>-23.5803672591982</t>
  </si>
  <si>
    <t>-46.6612088954297</t>
  </si>
  <si>
    <t>RUA DOUTOR CARLOS DE OLIVEIRA COUTINHO ESQUINA COM A RUA DOUTOR GETULIO DE PAULA SANTOS</t>
  </si>
  <si>
    <t>-23.6137495384193</t>
  </si>
  <si>
    <t>-46.7156340072107</t>
  </si>
  <si>
    <t>RUA CAPITAO LUIS RAMOS DEFRONTE A RUA ANTONIO PONTES</t>
  </si>
  <si>
    <t>-23.507464038532</t>
  </si>
  <si>
    <t>-46.6081497645066</t>
  </si>
  <si>
    <t>RUA ALVES PONTUAL ESQUINA COM A RUA FLOREAL COSTA PIMENTA</t>
  </si>
  <si>
    <t>-23.6410436350984</t>
  </si>
  <si>
    <t>-46.7029133625442</t>
  </si>
  <si>
    <t>ALAMEDA DOS TUPINAS ESQUINA COM A AVENIDA ITACIRA</t>
  </si>
  <si>
    <t>-23.6251115771248</t>
  </si>
  <si>
    <t>-46.6440850542483</t>
  </si>
  <si>
    <t>RUA MAURO ESQUINA COM A RUA TRENTINO ANTONIO TARDOCHI</t>
  </si>
  <si>
    <t>-23.6207514338242</t>
  </si>
  <si>
    <t>-46.6413951784313</t>
  </si>
  <si>
    <t>RUA ROGERIO GIORGI ESQUINA COM A RUA EPONINA</t>
  </si>
  <si>
    <t>-23.5510182207534</t>
  </si>
  <si>
    <t>-46.5371097834984</t>
  </si>
  <si>
    <t>RUA MAJOR SAMPAIO ESQUINA COM A RUA JOVITA</t>
  </si>
  <si>
    <t>-23.5040871538916</t>
  </si>
  <si>
    <t>-46.6215191743102</t>
  </si>
  <si>
    <t>AVENIDA GENERAL ATALIBA LEONEL ESQUINA COM A RUA DOUTOR ZUQUIM</t>
  </si>
  <si>
    <t>-23.5054866163099</t>
  </si>
  <si>
    <t>-46.6226641890161</t>
  </si>
  <si>
    <t>AVENIDA GENERAL ATALIBA LEONEL ESQUINA COM A RUA ALFREDO GUEDES</t>
  </si>
  <si>
    <t>-23.5064080805256</t>
  </si>
  <si>
    <t>-46.6239327926109</t>
  </si>
  <si>
    <t>2022-01-28</t>
  </si>
  <si>
    <t>RUA DAS FLORES II 9</t>
  </si>
  <si>
    <t>-23.5835382818786</t>
  </si>
  <si>
    <t>-46.6275258959682</t>
  </si>
  <si>
    <t>-23.4882809201156</t>
  </si>
  <si>
    <t>-46.6124366508237</t>
  </si>
  <si>
    <t>-23.7358751657353</t>
  </si>
  <si>
    <t>-46.6990094208333</t>
  </si>
  <si>
    <t>RUA PRUDENTE DE MORAES DEFRONTE A RUA MARTIM BURCHARD</t>
  </si>
  <si>
    <t>-23.5472606975334</t>
  </si>
  <si>
    <t>-46.6172101224666</t>
  </si>
  <si>
    <t>-23.4449532244982</t>
  </si>
  <si>
    <t>-46.5779255200582</t>
  </si>
  <si>
    <t>AVENIDA MONSENHOR ANTONIO CASTRO ESQUINA COM A RUA MESTRE JOAO CALAZANS</t>
  </si>
  <si>
    <t>-23.5712159145429</t>
  </si>
  <si>
    <t>-46.5266528970437</t>
  </si>
  <si>
    <t>RUA FORTE DA ESPINHEIRA ESQUINA COM A AVENIDA ARICANDUVA</t>
  </si>
  <si>
    <t>-23.5695220197717</t>
  </si>
  <si>
    <t>-46.5047699394052</t>
  </si>
  <si>
    <t>RUA CERRO CORA ESQUINA COM A RUA IBIRACU</t>
  </si>
  <si>
    <t>-23.54114224297</t>
  </si>
  <si>
    <t>-46.7000862780633</t>
  </si>
  <si>
    <t>-23.5227471660566</t>
  </si>
  <si>
    <t>-46.7030339726537</t>
  </si>
  <si>
    <t>RUA DO GRITO ESQUINA COM A RUA ALVARO DO VALE</t>
  </si>
  <si>
    <t>-23.598801681536</t>
  </si>
  <si>
    <t>-46.5965533186112</t>
  </si>
  <si>
    <t>-23.6605415545735</t>
  </si>
  <si>
    <t>-46.7446722336618</t>
  </si>
  <si>
    <t>2022-01-29</t>
  </si>
  <si>
    <t>FREI MONT ALVERNE</t>
  </si>
  <si>
    <t>2022-01-30</t>
  </si>
  <si>
    <t>2022-01-31</t>
  </si>
  <si>
    <t>2022-02-01</t>
  </si>
  <si>
    <t>-23.5679557967</t>
  </si>
  <si>
    <t>-46.6580002655667</t>
  </si>
  <si>
    <t>-23.5452518404068</t>
  </si>
  <si>
    <t>-46.6431867840897</t>
  </si>
  <si>
    <t>-23.5575286550603</t>
  </si>
  <si>
    <t>-46.5796019011992</t>
  </si>
  <si>
    <t>RUA CAPOTE VALENTE ESQUINA COM A RUA CARDEAL ARCOVERDE</t>
  </si>
  <si>
    <t>-23.5549587562745</t>
  </si>
  <si>
    <t>-46.6776126427941</t>
  </si>
  <si>
    <t>RUA FAUSTOLO ESQUINA COM A RUA CAIO GRACO</t>
  </si>
  <si>
    <t>-23.5238252611766</t>
  </si>
  <si>
    <t>-46.6942153560293</t>
  </si>
  <si>
    <t>2022-02-02</t>
  </si>
  <si>
    <t>-23.5583464285654</t>
  </si>
  <si>
    <t>-46.5805897325579</t>
  </si>
  <si>
    <t>2022-02-03</t>
  </si>
  <si>
    <t>-23.5120867937772</t>
  </si>
  <si>
    <t>-46.4748837055381</t>
  </si>
  <si>
    <t>-23.5315932775978</t>
  </si>
  <si>
    <t>-46.4904040365897</t>
  </si>
  <si>
    <t>-23.5577065603512</t>
  </si>
  <si>
    <t>-46.5594788894465</t>
  </si>
  <si>
    <t>2022-02-04</t>
  </si>
  <si>
    <t>RUA PROFESSOR PEDRO DE ALCANTARA MACHADO ESQUINA COM A RUA CARLOS SIMAS</t>
  </si>
  <si>
    <t>-23.6701335996076</t>
  </si>
  <si>
    <t>-46.6556719721813</t>
  </si>
  <si>
    <t>2022-02-05</t>
  </si>
  <si>
    <t>2022-02-06</t>
  </si>
  <si>
    <t>RUA CORONEL SILVERIO ANTONIO DE MORAIS ESQUINA COM A RUA LUIS DA COSTA RAMOS</t>
  </si>
  <si>
    <t>-23.629910871156</t>
  </si>
  <si>
    <t>-46.6205104822303</t>
  </si>
  <si>
    <t>RUA SAO JOSE DAS ESPINHARAS PROXIMO DA ESQUINA COM A RUA ATAULFO ALVES</t>
  </si>
  <si>
    <t>-23.6029907575531</t>
  </si>
  <si>
    <t>-46.5343583489586</t>
  </si>
  <si>
    <t>AVENIDA RIO DAS PEDRAS ESQUINA COM A RUA SANTANA DO RIACHO</t>
  </si>
  <si>
    <t>-23.5805334750777</t>
  </si>
  <si>
    <t>-46.5005047623778</t>
  </si>
  <si>
    <t>AVENIDA RAGUEB CHOHFI ESQUINA COM A RUA DOMINGOS DE MENDONCA</t>
  </si>
  <si>
    <t>-23.5958112427247</t>
  </si>
  <si>
    <t>-46.4365928358756</t>
  </si>
  <si>
    <t>AVENIDA MARIANA DE SOUZA GUERRA ESQUINA COM A RUA PERAMIRIM</t>
  </si>
  <si>
    <t>-23.6146685444406</t>
  </si>
  <si>
    <t>-46.4577210834248</t>
  </si>
  <si>
    <t>AVENIDA MANOEL DOS SANTOS BRAGA ESQUINA COM A AVENIDA SAO MIGUEL</t>
  </si>
  <si>
    <t>-23.5043463775276</t>
  </si>
  <si>
    <t>-46.4727139605083</t>
  </si>
  <si>
    <t>RUA CAQUITO ESQUINA A AVENIDA PENHA DE FRANCA</t>
  </si>
  <si>
    <t>-23.5212844164984</t>
  </si>
  <si>
    <t>-46.5466123917592</t>
  </si>
  <si>
    <t>2022-02-07</t>
  </si>
  <si>
    <t>-23.5928904878283</t>
  </si>
  <si>
    <t>-46.5197803190184</t>
  </si>
  <si>
    <t>-23.4851435071925</t>
  </si>
  <si>
    <t>-46.5802959926008</t>
  </si>
  <si>
    <t>-23.5259246071925</t>
  </si>
  <si>
    <t>-46.6993397353388</t>
  </si>
  <si>
    <t>-23.5942601957123</t>
  </si>
  <si>
    <t>-46.5273187931532</t>
  </si>
  <si>
    <t>-23.4793745029048</t>
  </si>
  <si>
    <t>-46.5822391489134</t>
  </si>
  <si>
    <t>RUA DOUTOR MAURO PAIS DE ALMEIDA</t>
  </si>
  <si>
    <t>-23.6744683005687</t>
  </si>
  <si>
    <t>-46.7149159223984</t>
  </si>
  <si>
    <t>AVENIDA ATLANTICA ESQUINA COM A AVENIDA DO RIO BRANCO</t>
  </si>
  <si>
    <t>-23.6755424334118</t>
  </si>
  <si>
    <t>-46.7121678871042</t>
  </si>
  <si>
    <t>2022-02-08</t>
  </si>
  <si>
    <t>2022-02-09</t>
  </si>
  <si>
    <t>2022-02-10</t>
  </si>
  <si>
    <t>-23.6258555945477</t>
  </si>
  <si>
    <t>-46.6741906918029</t>
  </si>
  <si>
    <t>AVENIDA IPIRANGA ESQUINA COM A AVENIDA SAO JOAO</t>
  </si>
  <si>
    <t>-23.5426048629455</t>
  </si>
  <si>
    <t>-46.6402619859067</t>
  </si>
  <si>
    <t>RUA ESPIRITO DO SANTO DOURADO ESQUINA COM A RUA FRANCISCO JANUARIO</t>
  </si>
  <si>
    <t>-23.4954766028966</t>
  </si>
  <si>
    <t>-46.42640867978</t>
  </si>
  <si>
    <t>RUA CEMBIRA ESQUINA COM A RUA JOAQUIM GIL DE CARVALHO</t>
  </si>
  <si>
    <t>-23.4970632661319</t>
  </si>
  <si>
    <t>-46.4268612332114</t>
  </si>
  <si>
    <t>RUA GUARACICA ESQUINA COM A RUA IRIRIGO</t>
  </si>
  <si>
    <t>-23.4968724303476</t>
  </si>
  <si>
    <t>-46.4213379003683</t>
  </si>
  <si>
    <t>-23.5343326366369</t>
  </si>
  <si>
    <t>-46.7139627359124</t>
  </si>
  <si>
    <t>-23.6179318181457</t>
  </si>
  <si>
    <t>-46.6053596549941</t>
  </si>
  <si>
    <t>RUA JAGUAR ESQUINA COM A RUA GUARAITA</t>
  </si>
  <si>
    <t>-23.5018123509358</t>
  </si>
  <si>
    <t>-46.4192441591918</t>
  </si>
  <si>
    <t>2022-02-11</t>
  </si>
  <si>
    <t>-23.6013925220871</t>
  </si>
  <si>
    <t>-46.5639840693053</t>
  </si>
  <si>
    <t>RUA EMBIRA NO CANTEIRO CENTRAL AO LADO DA PISTA DE CAMINHADA DEFRONTE A RUA CONCEICAO DA BREJAUBA</t>
  </si>
  <si>
    <t>-23.5152406206239</t>
  </si>
  <si>
    <t>-46.4997002282727</t>
  </si>
  <si>
    <t>AVENIDA JAIME TORRES ESQUINA COM A RUA ILHA DE CASTILHOS</t>
  </si>
  <si>
    <t>-23.5169759610966</t>
  </si>
  <si>
    <t>-46.5062548456934</t>
  </si>
  <si>
    <t>RUA CAPITAO MILITAO ESQUINA COM A RUA SILVIO DE SOUSA</t>
  </si>
  <si>
    <t>-23.5767635595957</t>
  </si>
  <si>
    <t>-46.5598519650737</t>
  </si>
  <si>
    <t>RUA DOS CARIS ESQUINA COM A RUA DOS PIRACAS</t>
  </si>
  <si>
    <t>-23.6991456393338</t>
  </si>
  <si>
    <t>-46.6496738250408</t>
  </si>
  <si>
    <t>AVENIDA MARIA LUIZA AMERICANO ESQUINA COM A RUA JERONIMO DE BARROS</t>
  </si>
  <si>
    <t>-23.5608696649879</t>
  </si>
  <si>
    <t>-46.4745956240609</t>
  </si>
  <si>
    <t>RUA FREITA GUIMARAES ESQUINA COM A RUA JORN SEBASTIAO RODRIGUES</t>
  </si>
  <si>
    <t>-23.5593756934193</t>
  </si>
  <si>
    <t>-46.4724655332113</t>
  </si>
  <si>
    <t>RUA BOTUPORA ESQUINA COM A RUA RIO IMBURANA</t>
  </si>
  <si>
    <t>-23.5425185324716</t>
  </si>
  <si>
    <t>-46.4454304637669</t>
  </si>
  <si>
    <t>2022-02-12</t>
  </si>
  <si>
    <t>2022-02-13</t>
  </si>
  <si>
    <t>2022-02-14</t>
  </si>
  <si>
    <t>-23.5993555253488</t>
  </si>
  <si>
    <t>-46.6048334072838</t>
  </si>
  <si>
    <t>-23.5570150765713</t>
  </si>
  <si>
    <t>-46.6589652746869</t>
  </si>
  <si>
    <t>AVENIDA JOAO BATISTA DI VITORIANO ESQUINA COM A RUA GREGORIO DE MORAIS</t>
  </si>
  <si>
    <t>-23.6699059622097</t>
  </si>
  <si>
    <t>-46.673217508374</t>
  </si>
  <si>
    <t>-23.6244481732379</t>
  </si>
  <si>
    <t>-46.5991447143322</t>
  </si>
  <si>
    <t>RUA DONA ELOA DO VALLE QUADROS PROXIMO DA ESQUINA COM A RUA DOS COGUMELOS</t>
  </si>
  <si>
    <t>-23.5914748597646</t>
  </si>
  <si>
    <t>-46.413207068742</t>
  </si>
  <si>
    <t>-23.5293251109116</t>
  </si>
  <si>
    <t>-46.6586657404402</t>
  </si>
  <si>
    <t>2022-02-15</t>
  </si>
  <si>
    <t>RUA CORDOVA ESQUINA COM A RUA MONSENHOR JOAQUIM DE CAMPOS</t>
  </si>
  <si>
    <t>-23.5772328986048</t>
  </si>
  <si>
    <t>-46.5700022959319</t>
  </si>
  <si>
    <t>ALAMEDA RIBEIRO DA SILVA ESQUINA COM A ALAMEDA BARAO DE LIMEIRA</t>
  </si>
  <si>
    <t>-23.5326009523629</t>
  </si>
  <si>
    <t>-46.649307589614</t>
  </si>
  <si>
    <t>RUA MENDES JUNIOR ESQUINA COM A RUA MARIA JOAQUINA</t>
  </si>
  <si>
    <t>-23.5364152447376</t>
  </si>
  <si>
    <t>-46.6132608303546</t>
  </si>
  <si>
    <t>RUA RIO BONITO ESQUINA COM A RUA MORRO GRANDE</t>
  </si>
  <si>
    <t>-23.5287236538879</t>
  </si>
  <si>
    <t>-46.6160839883067</t>
  </si>
  <si>
    <t>RUA VILELA ESQUINA COM A AVENIDA CELSO GARCIA</t>
  </si>
  <si>
    <t>-23.5346922702278</t>
  </si>
  <si>
    <t>-46.5682575116181</t>
  </si>
  <si>
    <t>2022-02-16</t>
  </si>
  <si>
    <t>RUA BOLIVIA ESQUINA COM A RUA CANADA</t>
  </si>
  <si>
    <t>-23.571536298986</t>
  </si>
  <si>
    <t>-46.6664113225114</t>
  </si>
  <si>
    <t>RUA BARAO DA PASSAGEM ESQUINA COM A RUA VISCONDE DE PELOTAS</t>
  </si>
  <si>
    <t>-23.524797889182</t>
  </si>
  <si>
    <t>-46.7242872721848</t>
  </si>
  <si>
    <t>2022-02-17</t>
  </si>
  <si>
    <t>2022-02-18</t>
  </si>
  <si>
    <t>-23.539213183173</t>
  </si>
  <si>
    <t>-46.6329467321164</t>
  </si>
  <si>
    <t>2022-02-19</t>
  </si>
  <si>
    <t>RUA MARIA EUGENIO CELSO PROXIMO DA ESQUINA COM A RUA INES MONTEIRO</t>
  </si>
  <si>
    <t>-23.5424764794276</t>
  </si>
  <si>
    <t>-46.4842213460113</t>
  </si>
  <si>
    <t>2022-02-20</t>
  </si>
  <si>
    <t>RUA OSAKA ESQUINA COM A AVENIDA DAS CEREJEIRAS</t>
  </si>
  <si>
    <t>-23.5019227630668</t>
  </si>
  <si>
    <t>-46.5761564973966</t>
  </si>
  <si>
    <t>RUA LUIS MOLINA ESQUINA COM A RUA MONTESQUIEU</t>
  </si>
  <si>
    <t>-23.590574163558</t>
  </si>
  <si>
    <t>-46.6246151554854</t>
  </si>
  <si>
    <t>2022-02-21</t>
  </si>
  <si>
    <t>-23.525957506435</t>
  </si>
  <si>
    <t>-46.4994876185895</t>
  </si>
  <si>
    <t>-23.5039406866125</t>
  </si>
  <si>
    <t>-46.6280914326838</t>
  </si>
  <si>
    <t>2022-02-23</t>
  </si>
  <si>
    <t>2022-02-22</t>
  </si>
  <si>
    <t>-23.5478935422691</t>
  </si>
  <si>
    <t>-46.5720189880491</t>
  </si>
  <si>
    <t>RUA RECANTO DOS HUNILDES 82 ENTRE A RUA VIOLETA DOS ALPES E A TRAVESSA ANTULE BRANCO</t>
  </si>
  <si>
    <t>-23.4100425655667</t>
  </si>
  <si>
    <t>-46.75040009835</t>
  </si>
  <si>
    <t>2022-02-24</t>
  </si>
  <si>
    <t>2019-06-10</t>
  </si>
  <si>
    <t>2022-02-25</t>
  </si>
  <si>
    <t>-23.5938919243174</t>
  </si>
  <si>
    <t>-46.6423226300779</t>
  </si>
  <si>
    <t>AVENIDA PRESIDENTE WILSON 2873</t>
  </si>
  <si>
    <t>-23.5957365591491</t>
  </si>
  <si>
    <t>-46.6429956662401</t>
  </si>
  <si>
    <t>2022-02-26</t>
  </si>
  <si>
    <t>2022-02-27</t>
  </si>
  <si>
    <t>2022-02-28</t>
  </si>
  <si>
    <t>2022-03-01</t>
  </si>
  <si>
    <t>2022-03-02</t>
  </si>
  <si>
    <t>RUA JOSE DA SILVA RIBEIRO ESQUINA COM A RUA JOAO SIMOES DE SOUZA</t>
  </si>
  <si>
    <t>-23.6256728096887</t>
  </si>
  <si>
    <t>-46.7427243649438</t>
  </si>
  <si>
    <t>2022-03-03</t>
  </si>
  <si>
    <t>RUA DOUTOR NICOLINO MORENA ESQUINA COM A RUA DOUTOR ALEXANDRE FERREIRA</t>
  </si>
  <si>
    <t>-23.4739775886792</t>
  </si>
  <si>
    <t>-46.58016541198</t>
  </si>
  <si>
    <t>AVENIDA MUTINGA PROXIMO DA ESQUINA COM A AVENIDA AGENOR COUTO DE MAGALHAES</t>
  </si>
  <si>
    <t>-23.4850310699293</t>
  </si>
  <si>
    <t>-46.7405587993593</t>
  </si>
  <si>
    <t>2022-03-04</t>
  </si>
  <si>
    <t>-23.5523535370813</t>
  </si>
  <si>
    <t>-46.6448963990993</t>
  </si>
  <si>
    <t>-23.4536471886667</t>
  </si>
  <si>
    <t>-46.7508454921834</t>
  </si>
  <si>
    <t>-23.4959919675198</t>
  </si>
  <si>
    <t>-46.4421184442925</t>
  </si>
  <si>
    <t>RUA ALCEU DE ALMEIDA SANTOS ESQUINA COM A AVENIDA ENGENHEIRO CAETANO ALVARES</t>
  </si>
  <si>
    <t>-23.4865164084506</t>
  </si>
  <si>
    <t>-46.6426227835902</t>
  </si>
  <si>
    <t>2022-03-05</t>
  </si>
  <si>
    <t>RUA DOUTOR ZUQUIM ESQUINA COM A RUA CAPITAO RABELO</t>
  </si>
  <si>
    <t>-23.4933631088273</t>
  </si>
  <si>
    <t>-46.6229558037869</t>
  </si>
  <si>
    <t>AVENIDA NOSSA SENHORA DO SABARA 4267 PROXIMO DA ESQUINA COM A RUA RAFAEL CORREIA SAMPAIO</t>
  </si>
  <si>
    <t>-23.68991746944</t>
  </si>
  <si>
    <t>-46.6784359345283</t>
  </si>
  <si>
    <t>SABESP_POLOMANUT</t>
  </si>
  <si>
    <t>SABESP_UGR</t>
  </si>
  <si>
    <t>SABESP_UN</t>
  </si>
  <si>
    <t>MOÓCA</t>
  </si>
  <si>
    <t>ARTHUR ALVIM</t>
  </si>
  <si>
    <t>BUTANTA</t>
  </si>
  <si>
    <t>INTERLAGOS</t>
  </si>
  <si>
    <t>OSASCO</t>
  </si>
  <si>
    <t>RUA DOUTOR MARIANO CURSINO DE MOURA PROXIMA A ESQUINA COM A AVENIDA ARICANDUVA</t>
  </si>
  <si>
    <t>-23.5580598352487</t>
  </si>
  <si>
    <t>-46.5154607218243</t>
  </si>
  <si>
    <t>RUA VICENTINA GOMES ESQUINA COM A RUA DOUTOR ELOI CHAVES</t>
  </si>
  <si>
    <t>-23.6645416591877</t>
  </si>
  <si>
    <t>-46.7085183799144</t>
  </si>
  <si>
    <t>RIVIERA</t>
  </si>
  <si>
    <t>RUA SILVIA STEFANI LEGNAIOLI 32 DEFRONTE A RUA ALCUIN</t>
  </si>
  <si>
    <t>-23.7015610751195</t>
  </si>
  <si>
    <t>-46.7662898242778</t>
  </si>
  <si>
    <t>RUA DOMINGOSS AFONSO SERTAO ESQUINA COM A RUA BENEDITA ANDREATTI ALCANTARA</t>
  </si>
  <si>
    <t>-23.6771831667859</t>
  </si>
  <si>
    <t>-46.7443818762383</t>
  </si>
  <si>
    <t>2022-03-06</t>
  </si>
  <si>
    <t>2022-03-07</t>
  </si>
  <si>
    <t>2022-03-08</t>
  </si>
  <si>
    <t>-23.5259105722926</t>
  </si>
  <si>
    <t>-46.5488013601959</t>
  </si>
  <si>
    <t>2022-03-09</t>
  </si>
  <si>
    <t>RUA VERGUEIRO 356</t>
  </si>
  <si>
    <t>-23.5649703407699</t>
  </si>
  <si>
    <t>-46.6395088775457</t>
  </si>
  <si>
    <t>2022-03-10</t>
  </si>
  <si>
    <t>RUA LAUZANE 200 PROXIMO DA ESQUINA COM A RUA HOMERO VAZ DO AMARAL</t>
  </si>
  <si>
    <t>-23.685205356</t>
  </si>
  <si>
    <t>-46.705424624</t>
  </si>
  <si>
    <t>AVENIDA BERNA 313</t>
  </si>
  <si>
    <t>-23.684775232</t>
  </si>
  <si>
    <t>-46.70612792</t>
  </si>
  <si>
    <t>2022-03-11</t>
  </si>
  <si>
    <t>2022-03-12</t>
  </si>
  <si>
    <t>2022-03-13</t>
  </si>
  <si>
    <t>RUA LUCRECIA MACIEL ESQUINA COM A RUA ENGENHEIRO EDSON DE TOLEDO</t>
  </si>
  <si>
    <t>-23.6370349487919</t>
  </si>
  <si>
    <t>-46.6373879727547</t>
  </si>
  <si>
    <t>RUA DAS PEROLAS ESQUINA COM A RUA CATERINO CAVOS</t>
  </si>
  <si>
    <t>-23.6520764435634</t>
  </si>
  <si>
    <t>-46.6370408333755</t>
  </si>
  <si>
    <t>2022-03-14</t>
  </si>
  <si>
    <t>2022-03-15</t>
  </si>
  <si>
    <t>2022-03-16</t>
  </si>
  <si>
    <t>-23.5859767853442</t>
  </si>
  <si>
    <t>-46.613503255881</t>
  </si>
  <si>
    <t>2022-03-17</t>
  </si>
  <si>
    <t>RUA PIMENTEIRA ESQUINA COM A RUA LEILA</t>
  </si>
  <si>
    <t>-23.5102188205656</t>
  </si>
  <si>
    <t>-46.4190379917469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</si>
  <si>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</si>
  <si>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</si>
  <si>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</si>
  <si>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</si>
  <si>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</si>
  <si>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</si>
  <si>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</si>
  <si>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</si>
  <si>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</si>
  <si>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</si>
  <si>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RUA HENRIQUE MAZZEI PROXIMO DA ESQUINA COM A RUA RACATI NA PASSAGEM AO LADO DA PRACA</t>
  </si>
  <si>
    <t>-23.4954950178506</t>
  </si>
  <si>
    <t>-46.6043374784923</t>
  </si>
  <si>
    <t>2022-03-28</t>
  </si>
  <si>
    <t>2022-03-29</t>
  </si>
  <si>
    <t>-23.5406070366546</t>
  </si>
  <si>
    <t>-46.6436350233482</t>
  </si>
  <si>
    <t>2022-03-30</t>
  </si>
  <si>
    <t>-23.4859412911114</t>
  </si>
  <si>
    <t>-46.7217087121496</t>
  </si>
  <si>
    <t>2022-03-31</t>
  </si>
  <si>
    <t>RUA ANGELO DA SILVA ESQUINA COM A RUA PHILONILIA GONCALVES DOS SANTOS</t>
  </si>
  <si>
    <t>-23.4441370845588</t>
  </si>
  <si>
    <t>-46.7330169972059</t>
  </si>
  <si>
    <t>2022-04-01</t>
  </si>
  <si>
    <t xml:space="preserve">AVENIDA NOSSA SENHORA DE SABARA 4350 NO INTERIOR DO CONDOMINIO PARQUE RESIDENCIAL NOSSA SENHORA DO SABARA NA ALAMEDA PRINCIPAL A 80 METROS DA PORTARIA </t>
  </si>
  <si>
    <t>-23.6917261136138</t>
  </si>
  <si>
    <t>-46.679857712682</t>
  </si>
  <si>
    <t>2022-04-02</t>
  </si>
  <si>
    <t>2022-04-03</t>
  </si>
  <si>
    <t>2022-04-04</t>
  </si>
  <si>
    <t>2022-04-05</t>
  </si>
  <si>
    <t>-23.5548652117646</t>
  </si>
  <si>
    <t>-46.6485515313234</t>
  </si>
  <si>
    <t>-23.5606166339412</t>
  </si>
  <si>
    <t>-46.4839956405882</t>
  </si>
  <si>
    <t>2022-04-06</t>
  </si>
  <si>
    <t>2022-04-07</t>
  </si>
  <si>
    <t>-23.7560217359813</t>
  </si>
  <si>
    <t>-46.7010047803738</t>
  </si>
  <si>
    <t>-23.5692994132014</t>
  </si>
  <si>
    <t>-46.7093790921043</t>
  </si>
  <si>
    <t>RUA GUAICURUS 656</t>
  </si>
  <si>
    <t>-23.5228087477372</t>
  </si>
  <si>
    <t>-46.6920441427737</t>
  </si>
  <si>
    <t>2022-04-08</t>
  </si>
  <si>
    <t>-23.5148307809124</t>
  </si>
  <si>
    <t>-46.7056988719927</t>
  </si>
  <si>
    <t>RUA TIBURCIO DE SOUSA ESQUINA COM A RUA MANUEL ALVARES PIMENTEL</t>
  </si>
  <si>
    <t>-23.5212857746373</t>
  </si>
  <si>
    <t>-46.3867948761859</t>
  </si>
  <si>
    <t>-23.7481098071384</t>
  </si>
  <si>
    <t>-46.697570886463</t>
  </si>
  <si>
    <t>2022-04-09</t>
  </si>
  <si>
    <t>2022-04-10</t>
  </si>
  <si>
    <t>2022-04-11</t>
  </si>
  <si>
    <t>-23.5541357188714</t>
  </si>
  <si>
    <t>-46.5896224996349</t>
  </si>
  <si>
    <t>-23.6083222758606</t>
  </si>
  <si>
    <t>-46.6188203064365</t>
  </si>
  <si>
    <t>-23.6001301345294</t>
  </si>
  <si>
    <t>-46.667461899595</t>
  </si>
  <si>
    <t>2022-04-12</t>
  </si>
  <si>
    <t>-23.5590305749842</t>
  </si>
  <si>
    <t>-46.587329140956</t>
  </si>
  <si>
    <t>-23.4964107291154</t>
  </si>
  <si>
    <t>-46.6898989474025</t>
  </si>
  <si>
    <t>2022-04-13</t>
  </si>
  <si>
    <t>-23.6094131691589</t>
  </si>
  <si>
    <t>-46.6630182093458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</si>
  <si>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</si>
  <si>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</si>
  <si>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</si>
  <si>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</si>
  <si>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</si>
  <si>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</si>
  <si>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</si>
  <si>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</si>
  <si>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</si>
  <si>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</si>
  <si>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</si>
  <si>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</si>
  <si>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-23.5460930514019</t>
  </si>
  <si>
    <t>-46.5921344766355</t>
  </si>
  <si>
    <t>-23.5460998140187</t>
  </si>
  <si>
    <t>-46.5922043570093</t>
  </si>
  <si>
    <t>-23.5415860735294</t>
  </si>
  <si>
    <t>-46.7165315328088</t>
  </si>
  <si>
    <t>-23.5482499930147</t>
  </si>
  <si>
    <t>-46.6733775098088</t>
  </si>
  <si>
    <t>-23.5222892400161</t>
  </si>
  <si>
    <t>-46.5472366561074</t>
  </si>
  <si>
    <t>-23.4808188741369</t>
  </si>
  <si>
    <t>-46.6803242415338</t>
  </si>
  <si>
    <t>2022-04-26</t>
  </si>
  <si>
    <t>-23.4990066090778</t>
  </si>
  <si>
    <t>-46.6048047313711</t>
  </si>
  <si>
    <t>-23.567872798577</t>
  </si>
  <si>
    <t>-46.5187987109676</t>
  </si>
  <si>
    <t>2022-04-27</t>
  </si>
  <si>
    <t>-23.486059770409</t>
  </si>
  <si>
    <t>-46.7122335110043</t>
  </si>
  <si>
    <t>-23.5666285983163</t>
  </si>
  <si>
    <t>-46.6853689220868</t>
  </si>
  <si>
    <t>RUA PADRE VIRGILIO CAMPELO ESQUINA COM A RUA PAULO TAPAJOS</t>
  </si>
  <si>
    <t>-23.5056407244376</t>
  </si>
  <si>
    <t>-46.3768854070352</t>
  </si>
  <si>
    <t>-23.6202052503887</t>
  </si>
  <si>
    <t>-46.6775726212938</t>
  </si>
  <si>
    <t>2022-04-28</t>
  </si>
  <si>
    <t>2022-04-29</t>
  </si>
  <si>
    <t>2022-04-30</t>
  </si>
  <si>
    <t>2022-05-01</t>
  </si>
  <si>
    <t>2022-05-02</t>
  </si>
  <si>
    <t>2022-05-03</t>
  </si>
  <si>
    <t>-23.4816779141183</t>
  </si>
  <si>
    <t>-46.3798012033627</t>
  </si>
  <si>
    <t>2022-05-04</t>
  </si>
  <si>
    <t>-23.588857837788</t>
  </si>
  <si>
    <t>-46.7807717647339</t>
  </si>
  <si>
    <t>-23.5290111725906</t>
  </si>
  <si>
    <t>-46.4855122119146</t>
  </si>
  <si>
    <t>-23.6403580594433</t>
  </si>
  <si>
    <t>-46.6532714891437</t>
  </si>
  <si>
    <t>2022-05-05</t>
  </si>
  <si>
    <t>2022-05-06</t>
  </si>
  <si>
    <t>2022-05-07</t>
  </si>
  <si>
    <t>2022-05-08</t>
  </si>
  <si>
    <t>2022-05-09</t>
  </si>
  <si>
    <t>-23.6001040803787</t>
  </si>
  <si>
    <t>-46.5645323470509</t>
  </si>
  <si>
    <t>-23.5514274067527</t>
  </si>
  <si>
    <t>-46.6848454586</t>
  </si>
  <si>
    <t>RUA SAO BERNARDO 452</t>
  </si>
  <si>
    <t>-23.5485410176713</t>
  </si>
  <si>
    <t>-46.5780240720921</t>
  </si>
  <si>
    <t>2022-05-10</t>
  </si>
  <si>
    <t>-23.5981811298436</t>
  </si>
  <si>
    <t>-46.5896132912155</t>
  </si>
  <si>
    <t>-23.4898240613719</t>
  </si>
  <si>
    <t>-46.6096298246691</t>
  </si>
  <si>
    <t>-23.5961096600482</t>
  </si>
  <si>
    <t>-46.5956629466907</t>
  </si>
  <si>
    <t>-23.5748408521059</t>
  </si>
  <si>
    <t>-46.6015777947052</t>
  </si>
  <si>
    <t>-23.5926035637148</t>
  </si>
  <si>
    <t>-46.6484992570503</t>
  </si>
  <si>
    <t>2022-05-11</t>
  </si>
  <si>
    <t>2022-05-12</t>
  </si>
  <si>
    <t>RUA PROFESSOR HASEGAWA 798</t>
  </si>
  <si>
    <t>-23.562949347444</t>
  </si>
  <si>
    <t>-46.4310924329111</t>
  </si>
  <si>
    <t>2022-05-13</t>
  </si>
  <si>
    <t>-23.5065306816351</t>
  </si>
  <si>
    <t>-46.6047458391105</t>
  </si>
  <si>
    <t>2022-05-14</t>
  </si>
  <si>
    <t>2022-05-15</t>
  </si>
  <si>
    <t>RUA MARINA CRESPI 206</t>
  </si>
  <si>
    <t>-23.5569099108472</t>
  </si>
  <si>
    <t>-46.6045553709702</t>
  </si>
  <si>
    <t>RUA BENEDITO SOARES FERNANDES ESQUINA COM A AVENIDA MARTIN LUTHER KING</t>
  </si>
  <si>
    <t>-23.5533458975671</t>
  </si>
  <si>
    <t>-46.7590701629984</t>
  </si>
  <si>
    <t>RUA PEDRO FIGUEIRO ESQUINA COM A RUA TOSLTOI DE CARVALHO</t>
  </si>
  <si>
    <t>-23.5980153979653</t>
  </si>
  <si>
    <t>-46.5254982846759</t>
  </si>
  <si>
    <t>AVENIDA SAPOPEMBA 9988 PROXIMO DA ESQUINA COM A RUA MILTON DA CRUZ</t>
  </si>
  <si>
    <t>-23.6071612894177</t>
  </si>
  <si>
    <t>-46.5074450499655</t>
  </si>
  <si>
    <t>RUA ANTONIO BONPORTI 41 PROXIMO DA ESQUINA COM A RUA LUIZ PARISOTTO</t>
  </si>
  <si>
    <t>-23.5910303362737</t>
  </si>
  <si>
    <t>-46.5074612619787</t>
  </si>
  <si>
    <t>RUA IBITIRAMA DEFRONTE A RUA TUJUPI</t>
  </si>
  <si>
    <t>-23.5999222395191</t>
  </si>
  <si>
    <t>-46.5766201663318</t>
  </si>
  <si>
    <t>RUA AFRANIO PEIXOTO ESQUINA COM A AVENIDA VALETIN GENTIL</t>
  </si>
  <si>
    <t>-23.5670458207303</t>
  </si>
  <si>
    <t>-46.7078602732708</t>
  </si>
  <si>
    <t>ROTATORIA DA AVENIDA PROFESSOR ALMEIDA PRADO COM A AVENIDA PROFESSOR LUCIANO GUALBERTO PROXIMO A ENTRADA DO IPT</t>
  </si>
  <si>
    <t>-23.5569789325274</t>
  </si>
  <si>
    <t>-46.7342071107391</t>
  </si>
  <si>
    <t>RUA AUGUSTO FARINA 976</t>
  </si>
  <si>
    <t>-23.5840282905682</t>
  </si>
  <si>
    <t>-46.7383635621259</t>
  </si>
  <si>
    <t>NO CANTEIRO DA PRACA FRANCISCO NARDI FILHO PROXIMO AO ACESSO A RODOVIA RAPOSO TAVARES</t>
  </si>
  <si>
    <t>-23.5823391531918</t>
  </si>
  <si>
    <t>-46.7336975903239</t>
  </si>
  <si>
    <t>RUA JOSE ALVARES MACIEL PROXIMO DA ESQUINA COM A AVENIDA CORIFEU DE AZEVEDO MARQUES</t>
  </si>
  <si>
    <t>-23.575281523441</t>
  </si>
  <si>
    <t>-46.7297325950931</t>
  </si>
  <si>
    <t>AVENIDA DRACENA 836</t>
  </si>
  <si>
    <t>-23.5416269280181</t>
  </si>
  <si>
    <t>-46.7501695104125</t>
  </si>
  <si>
    <t>RUA EULO MARONI 111 PROXIMO DA RUA MARIA IVETE GRUBE ADAMSKY</t>
  </si>
  <si>
    <t>-23.5514673627031</t>
  </si>
  <si>
    <t>-46.7473429587759</t>
  </si>
  <si>
    <t>AVENIDA PROFESSOR FRANCISCO MORATO ESQUINA COM A RUA SENHOR BOM JESUS DOS PASSOS</t>
  </si>
  <si>
    <t>-23.598611382451</t>
  </si>
  <si>
    <t>-46.7412137884483</t>
  </si>
  <si>
    <t>AVENIDA ALBERT BARTHOLOMEU 267</t>
  </si>
  <si>
    <t>-23.5873185572492</t>
  </si>
  <si>
    <t>-46.743347598187</t>
  </si>
  <si>
    <t>RUA CARLOS MAGALHAES 400</t>
  </si>
  <si>
    <t>-23.6294219275565</t>
  </si>
  <si>
    <t>-46.750819020275</t>
  </si>
  <si>
    <t>RUA CELSO BARROS PROXIMO DA ESQUINA COM A RUA DO CHICO NUNES</t>
  </si>
  <si>
    <t>-23.6286993349677</t>
  </si>
  <si>
    <t>-46.7465483127951</t>
  </si>
  <si>
    <t>RUA DOUTOR JOSE AUGUSTO DE SOUZA E SILVA 436 PROXIMO DA RUA JERONIMO DE CAMPOS FREIRE</t>
  </si>
  <si>
    <t>-23.6217505573056</t>
  </si>
  <si>
    <t>-46.7285244141086</t>
  </si>
  <si>
    <t>RUA DEPUTADO LAERCIO CORTE NA ROTATORIA DE ACESSO A AVENIDA HEBE CAMARGO</t>
  </si>
  <si>
    <t>-23.6217714013225</t>
  </si>
  <si>
    <t>-46.7262308002397</t>
  </si>
  <si>
    <t>RUA MARIA JOSE DA CONCEICAO 791</t>
  </si>
  <si>
    <t>-23.6375495501791</t>
  </si>
  <si>
    <t>-46.743197830065</t>
  </si>
  <si>
    <t>2022-05-16</t>
  </si>
  <si>
    <t>-23.5590674861086</t>
  </si>
  <si>
    <t>-46.6542914707783</t>
  </si>
  <si>
    <t>-23.4956206151635</t>
  </si>
  <si>
    <t>-46.6162748710986</t>
  </si>
  <si>
    <t>-23.5609303219229</t>
  </si>
  <si>
    <t>-46.6935780498692</t>
  </si>
  <si>
    <t>RUA SERRA DE BOTUCATU PROXIMO DA ESQUINA COM A AVNIDA CONSELHEIRO CARRAO</t>
  </si>
  <si>
    <t>-23.5403917270115</t>
  </si>
  <si>
    <t>-46.5506526385058</t>
  </si>
  <si>
    <t>RUA UVILHA ESQUINA COM A RUA EMBIU</t>
  </si>
  <si>
    <t>-23.5555435260244</t>
  </si>
  <si>
    <t>-46.511054839129</t>
  </si>
  <si>
    <t>RUA RODEIO PROXIMO DA ESQUINA COM A AVENIDA ARICANDUVA</t>
  </si>
  <si>
    <t>-23.5403038904955</t>
  </si>
  <si>
    <t>-46.5399997160476</t>
  </si>
  <si>
    <t>-23.5634988924975</t>
  </si>
  <si>
    <t>-46.6876513973693</t>
  </si>
  <si>
    <t>-23.6226614311511</t>
  </si>
  <si>
    <t>-46.6144407020013</t>
  </si>
  <si>
    <t>2022-05-17</t>
  </si>
  <si>
    <t>RUA TORRES DA BARRA ESQUINA COM A AVENIDA MARQUES DE SAO VICENTE</t>
  </si>
  <si>
    <t>-23.5156856482135</t>
  </si>
  <si>
    <t>-46.6866523866563</t>
  </si>
  <si>
    <t>RUA EULO MARONI DEFRONTE A RUA SOFIA BERNARDI</t>
  </si>
  <si>
    <t>-23.5509074049134</t>
  </si>
  <si>
    <t>-46.7469590171296</t>
  </si>
  <si>
    <t>RUA BOTOCUDOS 95</t>
  </si>
  <si>
    <t>-23.515856517686</t>
  </si>
  <si>
    <t>-46.724947735194</t>
  </si>
  <si>
    <t>AVENIDA ESCOLA POLITECNICA NO RETORNO DA PRACA JORNALISTA EDUARDO CASTOR BORGONOVIA</t>
  </si>
  <si>
    <t>-23.5744462187603</t>
  </si>
  <si>
    <t>-46.7653902748147</t>
  </si>
  <si>
    <t>RUA CLEMENTE BERNINI 160</t>
  </si>
  <si>
    <t>-23.5809063200242</t>
  </si>
  <si>
    <t>-46.773821036351</t>
  </si>
  <si>
    <t>AVENIDA PROFESSOR LINEU PRESTES DEFRONTE A AVENIDA PROFESSOR ANTONIO BARROS ULHOA CINTRA</t>
  </si>
  <si>
    <t>-23.5685085617739</t>
  </si>
  <si>
    <t>-46.7353436100352</t>
  </si>
  <si>
    <t>RUA FORTUNATO FERRAZ 1024</t>
  </si>
  <si>
    <t>-23.5167627892393</t>
  </si>
  <si>
    <t>-46.7217646336372</t>
  </si>
  <si>
    <t>RUA ALMIRANTE SOARES DUTRA DEFRONTE A RUA COMISSARIO GASTAO MOUTINHO</t>
  </si>
  <si>
    <t>-23.6058759083703</t>
  </si>
  <si>
    <t>-46.7134032377872</t>
  </si>
  <si>
    <t>AVENIDA JOAO CAIAFFA DEFRONTE A RUA CORONEL JUNQUEIRA FRANCO</t>
  </si>
  <si>
    <t>-23.6111234539795</t>
  </si>
  <si>
    <t>-46.7508113002685</t>
  </si>
  <si>
    <t>RUA MANUEL DIAS DE OLIVEIRA ESQUINA COM A RUA EDVARD CARMILO</t>
  </si>
  <si>
    <t>-23.5975833635391</t>
  </si>
  <si>
    <t>-46.755363930941</t>
  </si>
  <si>
    <t>ESTRADA DOS MIRANDAS 342</t>
  </si>
  <si>
    <t>-23.616655782043</t>
  </si>
  <si>
    <t>-46.7535795229686</t>
  </si>
  <si>
    <t>AVENIDA ESTAÇÃO PROXIMO AO PORTAO Z DO AUTODROMO</t>
  </si>
  <si>
    <t>-23.6976447096651</t>
  </si>
  <si>
    <t>-46.6925910157915</t>
  </si>
  <si>
    <t>RUA PROFESSOR ARNALDO JOAO SEMERARP 465</t>
  </si>
  <si>
    <t>-23.648189091293</t>
  </si>
  <si>
    <t>-46.5986818856416</t>
  </si>
  <si>
    <t>RUA PROFESSOR ARTUR PRIMAVESI PROXIMO DA ESQUINA COM A RUA ESTEVAM PEDROSO</t>
  </si>
  <si>
    <t>-23.6421585654902</t>
  </si>
  <si>
    <t>-46.6072349663887</t>
  </si>
  <si>
    <t>2022-05-18</t>
  </si>
  <si>
    <t>2022-05-19</t>
  </si>
  <si>
    <t>RUA AFONSO PENA PROXIMO DA ESQUINA COM A RUA JOAO KOPKE</t>
  </si>
  <si>
    <t>-23.5266783271954</t>
  </si>
  <si>
    <t>-46.6331495406901</t>
  </si>
  <si>
    <t>RUA PADRE TOMAS DE VILANOVA ESQUINA COM A AVENIDA PADRE SENA FREITAS</t>
  </si>
  <si>
    <t>-23.5446631245544</t>
  </si>
  <si>
    <t>-46.4849271844705</t>
  </si>
  <si>
    <t>RUA PEDREIRA DE MAGALHAES ESQUINA COM A RUA PEIXOTO WENECK</t>
  </si>
  <si>
    <t>-23.5411460040589</t>
  </si>
  <si>
    <t>-46.4866229172103</t>
  </si>
  <si>
    <t>AVENIDA ANTONIO ESTEVAO DE CARVALHO ESQUINA COM A RUA DESEMBARGADOR ROCHA PORTELA</t>
  </si>
  <si>
    <t>-23.5374186452357</t>
  </si>
  <si>
    <t>-46.4972003043313</t>
  </si>
  <si>
    <t>RUA LICANIA ESQUINA COM A AVENIDA ANTONIO ESTEVAO DE CARVALHO</t>
  </si>
  <si>
    <t>-23.5322346641885</t>
  </si>
  <si>
    <t>-46.5011692135735</t>
  </si>
  <si>
    <t>RUA MOACIR FAGUNDES PROXIMO DA ESQUINA COM A TRAVESSA ESPEDITO LUIS DA SILVA</t>
  </si>
  <si>
    <t>-23.5637334442659</t>
  </si>
  <si>
    <t>-46.4791557608163</t>
  </si>
  <si>
    <t>AVENIDA RAGHEB CHOHFI 2156 PROXIMO DA ESQUINA COM A RUA BARAO CARVALHO DO AMPARO</t>
  </si>
  <si>
    <t>-23.5872870477918</t>
  </si>
  <si>
    <t>-46.4148313742216</t>
  </si>
  <si>
    <t>RUA MOREIRA NETO PROXIMO A RUA ANTONIO PECANHA</t>
  </si>
  <si>
    <t>-23.5592379203432</t>
  </si>
  <si>
    <t>-46.3982541295256</t>
  </si>
  <si>
    <t>RUA ANTONIO PAVAO 185</t>
  </si>
  <si>
    <t>-23.6029365892972</t>
  </si>
  <si>
    <t>-46.4542496353691</t>
  </si>
  <si>
    <t>RUA PEDRO LEME ESQUINA COM A RUA CHAFARIZ DE PEDRA</t>
  </si>
  <si>
    <t>-23.603492887232</t>
  </si>
  <si>
    <t>-46.452545362968</t>
  </si>
  <si>
    <t>RUA ZITUO KARASAWA 558 DEFRONTE A TRAVESSA ESPERANCA</t>
  </si>
  <si>
    <t>-23.5787810029566</t>
  </si>
  <si>
    <t>-46.4319356380137</t>
  </si>
  <si>
    <t>RUA MADRE SOFIA MARCHETTI NO FINAL DA RUA</t>
  </si>
  <si>
    <t>-23.552886581154</t>
  </si>
  <si>
    <t>-46.4614855770446</t>
  </si>
  <si>
    <t>RUA ABADIANIA ESQUINA COM A RUA ASTORGA</t>
  </si>
  <si>
    <t>-23.5314533868441</t>
  </si>
  <si>
    <t>-46.519696923683</t>
  </si>
  <si>
    <t>AVENIDA PROFESSOR CELESTINO BOURROUL ESQUINA COM A RUA CONEGO ARAUJO MARCONDES</t>
  </si>
  <si>
    <t>-23.5094046510955</t>
  </si>
  <si>
    <t>-46.673405885196</t>
  </si>
  <si>
    <t>AVENIDA MAGALHAES DE CASTRO 956 PROXIMO DA ESQUINA COM A RUA PROFESSOR HORACIO BERLINK</t>
  </si>
  <si>
    <t>-23.5658723903638</t>
  </si>
  <si>
    <t>-46.7051262791087</t>
  </si>
  <si>
    <t>AVENIDA ENGENHEIRO HEITOR ANTONIO ERIAS GARCIA 1727</t>
  </si>
  <si>
    <t>-23.5810222057922</t>
  </si>
  <si>
    <t>-46.7500056774771</t>
  </si>
  <si>
    <t>RUA DANTE CARRARO PROXIMO DA ESQUINA COM A AVENIDA REBOUCAS</t>
  </si>
  <si>
    <t>-23.5679782979453</t>
  </si>
  <si>
    <t>-46.6854834315639</t>
  </si>
  <si>
    <t>2022-05-20</t>
  </si>
  <si>
    <t>-23.5261196060404</t>
  </si>
  <si>
    <t>-46.6999904704596</t>
  </si>
  <si>
    <t>RUA DESEMBARGADOR AUREO CERQUEIRA LEITE ESQUINA COM A RUA PADRE FRANCISCO VELOSO</t>
  </si>
  <si>
    <t>-23.502616308439</t>
  </si>
  <si>
    <t>-46.3708704158869</t>
  </si>
  <si>
    <t>ESTRADA DE ITAPECERICA DEFRONTE A RUA DA MOENDA</t>
  </si>
  <si>
    <t>-23.6817344838283</t>
  </si>
  <si>
    <t>-46.7968832116886</t>
  </si>
  <si>
    <t>2022-05-21</t>
  </si>
  <si>
    <t>2022-05-22</t>
  </si>
  <si>
    <t>AVENIDA FELIPE CARRILLO PUERTO 652</t>
  </si>
  <si>
    <t>-23.666901941473</t>
  </si>
  <si>
    <t>-46.7891179369907</t>
  </si>
  <si>
    <t>RUA LUIZ SERAPHICO JUNIOR PROXIMO A ESQUINA COM A RUA CARMO DO RIO VERDE</t>
  </si>
  <si>
    <t>-23.6369635156286</t>
  </si>
  <si>
    <t>-46.7181053669933</t>
  </si>
  <si>
    <t>2022-05-23</t>
  </si>
  <si>
    <t>RUA REIMS DEFRONTE A RUA MARECHAL XAVIER DA CAMARA</t>
  </si>
  <si>
    <t>-23.5080150369563</t>
  </si>
  <si>
    <t>-46.6653278203817</t>
  </si>
  <si>
    <t>RUA FERREIRA DE ALMEIDA ESQUINA COM A RUA DOM AMARAL MOUSINHO</t>
  </si>
  <si>
    <t>-23.5072489073443</t>
  </si>
  <si>
    <t>-46.6670625915731</t>
  </si>
  <si>
    <t>AVENIDA JOSE DE BRITO DE FREITAS ESQUINA COM A RUA JOSE FRUTUOSO DIAS</t>
  </si>
  <si>
    <t>-23.4980651116139</t>
  </si>
  <si>
    <t>-46.6623470719446</t>
  </si>
  <si>
    <t>-23.5017753911146</t>
  </si>
  <si>
    <t>-46.6713527547399</t>
  </si>
  <si>
    <t>RUA DOUTOR RABELO DO AMARAL PROXIMO DA ESQUINA COM A AVENIDA JOAO CAIAFFA</t>
  </si>
  <si>
    <t>-23.6131202730233</t>
  </si>
  <si>
    <t>-46.7494270146387</t>
  </si>
  <si>
    <t>VIELA DA PAZ NO FINAL</t>
  </si>
  <si>
    <t>-23.6120323811738</t>
  </si>
  <si>
    <t>-46.7489201247442</t>
  </si>
  <si>
    <t>RUA LUIZ SERAPHICO JUNIOR ESQUINA COM A RUA LAGUNA</t>
  </si>
  <si>
    <t>-23.6364893611028</t>
  </si>
  <si>
    <t>-46.7170967719978</t>
  </si>
  <si>
    <t>RUA DOMINGOS ATAIDE PROXIMO DA ESQUINA COM A RUA CANTO DO RIO VERDE</t>
  </si>
  <si>
    <t>-23.6243441328358</t>
  </si>
  <si>
    <t>-46.7451074709708</t>
  </si>
  <si>
    <t>2022-05-24</t>
  </si>
  <si>
    <t>-23.561729275619</t>
  </si>
  <si>
    <t>-46.5324739728119</t>
  </si>
  <si>
    <t>-23.5586665645294</t>
  </si>
  <si>
    <t>-46.5331125358824</t>
  </si>
  <si>
    <t>AVENIDA DO ESTADO 681 NO INTERIOR DA SABESP</t>
  </si>
  <si>
    <t>-23.5214796997218</t>
  </si>
  <si>
    <t>-46.6341250545827</t>
  </si>
  <si>
    <t>2022-05-25</t>
  </si>
  <si>
    <t>RUA HERCULANO DE FREITAS 333</t>
  </si>
  <si>
    <t>-23.555891885452</t>
  </si>
  <si>
    <t>-46.6546933496885</t>
  </si>
  <si>
    <t>RUA CAIO PRADO 247</t>
  </si>
  <si>
    <t>-23.5501727522978</t>
  </si>
  <si>
    <t>-46.6482513952045</t>
  </si>
  <si>
    <t>RUA DOS LAVAPES 634</t>
  </si>
  <si>
    <t>-23.5613719080903</t>
  </si>
  <si>
    <t>-46.6263788827639</t>
  </si>
  <si>
    <t>RUA ANDRE DE ALMEIDA ESQUINA COM A RUA PASTOR ADARCY DE OLIVEIRA</t>
  </si>
  <si>
    <t>-23.5960685518699</t>
  </si>
  <si>
    <t>-46.4757416976925</t>
  </si>
  <si>
    <t>AVENIDA ARICANDUVA 12136 AO LADO DA PORTARIA DO CONDOMINIO FLORES PARQUE DO CARMO</t>
  </si>
  <si>
    <t>-23.5932077653412</t>
  </si>
  <si>
    <t>-46.4687550348141</t>
  </si>
  <si>
    <t>RUA ARAXIA PROXIMO DA ESQUINA COM A AVENIDA PROFESSOR FRANCISCO MORATO</t>
  </si>
  <si>
    <t>-23.5800005691963</t>
  </si>
  <si>
    <t>-46.7105518840951</t>
  </si>
  <si>
    <t>RUA GUERRA AGUIAR PROXIMO DA ESQUINA COM A RUA PEDRO VELHO</t>
  </si>
  <si>
    <t>-23.5735177951824</t>
  </si>
  <si>
    <t>-46.4798963786767</t>
  </si>
  <si>
    <t>2022-05-26</t>
  </si>
  <si>
    <t>RUA RINCAO PROXIMO DA ESQUINA COM A RUA DOUTOR HELADIO</t>
  </si>
  <si>
    <t>-23.5290758661765</t>
  </si>
  <si>
    <t>-46.5214528147059</t>
  </si>
  <si>
    <t>2022-05-27</t>
  </si>
  <si>
    <t>AVENIDA IPIRANGA ESQUINA COM A AVENIDA RIO BRANCO</t>
  </si>
  <si>
    <t>-23.5414875356553</t>
  </si>
  <si>
    <t>-46.6390218898005</t>
  </si>
  <si>
    <t>2022-05-28</t>
  </si>
  <si>
    <t>2022-05-29</t>
  </si>
  <si>
    <t>2022-05-30</t>
  </si>
  <si>
    <t>-23.555076202529</t>
  </si>
  <si>
    <t>-46.4843988642145</t>
  </si>
  <si>
    <t>-23.556545558058</t>
  </si>
  <si>
    <t>-46.5252970119258</t>
  </si>
  <si>
    <t>2022-05-31</t>
  </si>
  <si>
    <t>RUA ANTONIO VIEIRA DE LIMA DEFRONTE A AVENIDA ANASTACIO TRANCOSO</t>
  </si>
  <si>
    <t>-23.5102868319912</t>
  </si>
  <si>
    <t>-46.3834971520132</t>
  </si>
  <si>
    <t>2022-06-01</t>
  </si>
  <si>
    <t>RUA ENGENHEIRO SIDNEY A DE MORAES DEFRONTE AO POUPATEMPO ITAQUERA</t>
  </si>
  <si>
    <t>-23.5412717132635</t>
  </si>
  <si>
    <t>-46.4729958275708</t>
  </si>
  <si>
    <t>RUA AGRIMENSOR SUGAYA ESQUINA COM A RUA MATASHIRO YAMAGUISHI</t>
  </si>
  <si>
    <t>-23.5598149351203</t>
  </si>
  <si>
    <t>-46.4350605920646</t>
  </si>
  <si>
    <t>AVENIDA AFONSO DE SAMPAIO E SOUSA DEFRONTE AO CONDOMINIO DEZ CEREJEIRA</t>
  </si>
  <si>
    <t>-23.5634158708112</t>
  </si>
  <si>
    <t>-46.4661999021392</t>
  </si>
  <si>
    <t>RUA ZANZIBAR ESQUINA COM A RUA DO HAVRE</t>
  </si>
  <si>
    <t>-23.5141362116132</t>
  </si>
  <si>
    <t>-46.6589815356402</t>
  </si>
  <si>
    <t>AVENIDA BRAZ LEME ESQUINA COM A RUA DOMINGOS FASOLARI</t>
  </si>
  <si>
    <t>-23.5136716058438</t>
  </si>
  <si>
    <t>-46.6537812283251</t>
  </si>
  <si>
    <t>2022-06-02</t>
  </si>
  <si>
    <t>2022-06-03</t>
  </si>
  <si>
    <t>AVENIDA SALIM FARAH MALUF PROXIMO DA ESQUINA COM A RUA ULISSES CRUZ</t>
  </si>
  <si>
    <t>-23.5343791508974</t>
  </si>
  <si>
    <t>-46.5833360256697</t>
  </si>
  <si>
    <t>RUA RODOVALHO DA FONSECA 304 PROXIMO DA ESQUINA COM A RUA CORONEL EMIDIO PIEDADE</t>
  </si>
  <si>
    <t>-23.5262321343103</t>
  </si>
  <si>
    <t>-46.6092673379529</t>
  </si>
  <si>
    <t>RUA HORACIO VERGUEIRO RUDGE ESQUINA COM A RUA ZANZIBAR</t>
  </si>
  <si>
    <t>-23.5131471140417</t>
  </si>
  <si>
    <t>-46.6636203254826</t>
  </si>
  <si>
    <t>RUA SAMARITA ESQUINA COM A TRAVESSA VICTORIO GNAN</t>
  </si>
  <si>
    <t>-23.5081701351329</t>
  </si>
  <si>
    <t>-46.6692178753277</t>
  </si>
  <si>
    <t>PRACA PANAMERICANA ESQUINA COM A RUA ARQUITETO JAIME FONSECA RODRIGUES</t>
  </si>
  <si>
    <t>-23.5534460326214</t>
  </si>
  <si>
    <t>-46.7079345646821</t>
  </si>
  <si>
    <t>RUA MINISTRO FERREIRA ALVES ESQUINA COM A RUA DOUTOR AUGUSTO DE MIRANDA</t>
  </si>
  <si>
    <t>-23.5282659145151</t>
  </si>
  <si>
    <t>-46.6875991864596</t>
  </si>
  <si>
    <t>-23.7092353586764</t>
  </si>
  <si>
    <t>-46.698577468849</t>
  </si>
  <si>
    <t>AVENIDA DOM PEDRO I 55</t>
  </si>
  <si>
    <t>-23.5653221091434</t>
  </si>
  <si>
    <t>-46.6113468147448</t>
  </si>
  <si>
    <t>-23.4818472358595</t>
  </si>
  <si>
    <t>-46.3797441183379</t>
  </si>
  <si>
    <t>-23.6040200657273</t>
  </si>
  <si>
    <t>-46.5817053991866</t>
  </si>
  <si>
    <t>-23.5138741302079</t>
  </si>
  <si>
    <t>-46.5184498813025</t>
  </si>
  <si>
    <t>-23.5929834165141</t>
  </si>
  <si>
    <t>-46.7456233086711</t>
  </si>
  <si>
    <t>-23.584614045665</t>
  </si>
  <si>
    <t>-46.6439473091626</t>
  </si>
  <si>
    <t>2022-06-04</t>
  </si>
  <si>
    <t>2022-06-05</t>
  </si>
  <si>
    <t>2022-06-06</t>
  </si>
  <si>
    <t>-23.4940558874142</t>
  </si>
  <si>
    <t>-46.6467694443965</t>
  </si>
  <si>
    <t>-23.5082763547536</t>
  </si>
  <si>
    <t>-46.5365894463669</t>
  </si>
  <si>
    <t>-23.524733242623</t>
  </si>
  <si>
    <t>-46.7243614046677</t>
  </si>
  <si>
    <t>-23.4912273113901</t>
  </si>
  <si>
    <t>-46.6761738282673</t>
  </si>
  <si>
    <t>-23.5695007480711</t>
  </si>
  <si>
    <t>-46.6509238215324</t>
  </si>
  <si>
    <t>2022-06-07</t>
  </si>
  <si>
    <t>RUA RAPOSO DA FONSECA ESQUINA COM A RUA LORENZO SABATINI</t>
  </si>
  <si>
    <t>-23.5559870193414</t>
  </si>
  <si>
    <t>-46.3960199895736</t>
  </si>
  <si>
    <t>RUA CUSTODIO PAIVA ESQUINA COM A RUA DIAS BARBOSA</t>
  </si>
  <si>
    <t>-23.5632756652388</t>
  </si>
  <si>
    <t>-46.4019146757157</t>
  </si>
  <si>
    <t>RUA MANGUARI 276</t>
  </si>
  <si>
    <t>-23.5244879130184</t>
  </si>
  <si>
    <t>-46.5812681738449</t>
  </si>
  <si>
    <t>2022-06-08</t>
  </si>
  <si>
    <t>-46.645460613939</t>
  </si>
  <si>
    <t>-46.6056747516926</t>
  </si>
  <si>
    <t>-46.5952566562482</t>
  </si>
  <si>
    <t>-46.6001228209084</t>
  </si>
  <si>
    <t>RUA DOUTOR PEDRO SEVERIANO PROXIMO A ESQUINA COM A PRACA DONATELLO</t>
  </si>
  <si>
    <t>-23.557098523246</t>
  </si>
  <si>
    <t>-46.6244157477783</t>
  </si>
  <si>
    <t>RUA MARTIN FRANCISCO ESQUINA COM A RUA MARQUES DE ITU</t>
  </si>
  <si>
    <t>-23.5437182640869</t>
  </si>
  <si>
    <t>-46.6545000207328</t>
  </si>
  <si>
    <t>RUA MARQUES DE ITU 837</t>
  </si>
  <si>
    <t>-23.5437784406625</t>
  </si>
  <si>
    <t>-46.6524780877922</t>
  </si>
  <si>
    <t>RUA GENERAL JARDIM ESQUINA COM A RUA DOUTOR VILA NOVA</t>
  </si>
  <si>
    <t>-23.544745277644</t>
  </si>
  <si>
    <t>-46.6504441195365</t>
  </si>
  <si>
    <t>RUA TOPAZIO ESQUINA COM A PRACA GENERAL POLIDOR</t>
  </si>
  <si>
    <t>-23.5719982433677</t>
  </si>
  <si>
    <t>-46.631085318242</t>
  </si>
  <si>
    <t>RUA DOUTOR JOAO DORIVAL CARDOSO PROXIMO DA ESQUINA COM A RUA ESTEVÃƒO MATIAS DOS SANTOS</t>
  </si>
  <si>
    <t>RUA TOMOICHI SHIMIZU 457</t>
  </si>
  <si>
    <t>-23.5775223407704</t>
  </si>
  <si>
    <t>-46.4391229012771</t>
  </si>
  <si>
    <t>RUA HIPODROMO ESQUINA COM A RUA FREI GASPAR</t>
  </si>
  <si>
    <t>-23.5482355166012</t>
  </si>
  <si>
    <t>-46.6063707986379</t>
  </si>
  <si>
    <t>RUA IOSOSUKE OKAUE 463</t>
  </si>
  <si>
    <t>-23.5749387597907</t>
  </si>
  <si>
    <t>-46.450672792023</t>
  </si>
  <si>
    <t>-46.7168897598549</t>
  </si>
  <si>
    <t>RUA PREBIXIM ESQUINA COM A RUA PORTO MARTINS</t>
  </si>
  <si>
    <t>-23.6029870632468</t>
  </si>
  <si>
    <t>-46.6895757997308</t>
  </si>
  <si>
    <t>RUA KANSAS ESQUINA COM A RUA SANTA VERONICA</t>
  </si>
  <si>
    <t>-23.604136435841</t>
  </si>
  <si>
    <t>-46.6841097607793</t>
  </si>
  <si>
    <t>RUA GENERAL FONSECA TELES ESQUINA COM A AVENIDA BRIGADEIRO LUIS ANTONIO</t>
  </si>
  <si>
    <t>-23.5810035572326</t>
  </si>
  <si>
    <t>-46.6650428127965</t>
  </si>
  <si>
    <t>RUA GEORGIA ESQUINA COM A AVENIDA SANTO AMARO</t>
  </si>
  <si>
    <t>-23.6109996822829</t>
  </si>
  <si>
    <t>-46.6771895998215</t>
  </si>
  <si>
    <t>AVENIDA SANTO AMARO ESQUINA COM A RUA PASCAL</t>
  </si>
  <si>
    <t>-23.6147667349748</t>
  </si>
  <si>
    <t>-46.6790871678695</t>
  </si>
  <si>
    <t>AVENIDA ESTAÃ‡ÃƒO PROXIMO AO PORTAO Z DO AUTODROMO</t>
  </si>
  <si>
    <t>RUA HENRIQUE MARTINS ESQUINA COM A AVENIDA BRIGADEIRO LUIS ANTONIO</t>
  </si>
  <si>
    <t>-23.5825821893995</t>
  </si>
  <si>
    <t>-46.6671369576278</t>
  </si>
  <si>
    <t>AVENIDA REPUBLICA DO LIBANO ESQUINA COM A RUA LIMA BARROS</t>
  </si>
  <si>
    <t>-23.5823274418961</t>
  </si>
  <si>
    <t>-46.6636025867535</t>
  </si>
  <si>
    <t>AVENIDA ANTONIO JOAQUIM DE MOURA ANDRADE ESQUINA COM A RUA COLATINO MARQUES</t>
  </si>
  <si>
    <t>-23.5865989742586</t>
  </si>
  <si>
    <t>-46.6660206855099</t>
  </si>
  <si>
    <t>-46.6293859653478</t>
  </si>
  <si>
    <t>ALAMEDA DOS GUATAS ESQUINA COM A AVENIDA MOACI</t>
  </si>
  <si>
    <t>-23.6195878876762</t>
  </si>
  <si>
    <t>-46.6534479336025</t>
  </si>
  <si>
    <t>RUA VISCONDE DE INHAUMA ESQUINA COM A PRACA GUARACI</t>
  </si>
  <si>
    <t>-23.6161317439219</t>
  </si>
  <si>
    <t>-46.6302548814986</t>
  </si>
  <si>
    <t>RUA JOSE DO PATROCINIO ESQUINA COM A RUA PAULA NEY</t>
  </si>
  <si>
    <t>-23.5763931392732</t>
  </si>
  <si>
    <t>-46.6341342647397</t>
  </si>
  <si>
    <t>RUA TREZE DE MAIO 1632 PROXIMO A ESQUINA COM A PRAÃ‡A AMADEU AMARAL</t>
  </si>
  <si>
    <t>RUA JAIME CAVALCANTI ESQUINA COM A RUA JOSE ANTONIO VALADRES</t>
  </si>
  <si>
    <t>-23.6444618752057</t>
  </si>
  <si>
    <t>-46.5891562831609</t>
  </si>
  <si>
    <t>2022-06-09</t>
  </si>
  <si>
    <t>AVENIDA ITAQUERA 4208</t>
  </si>
  <si>
    <t>-23.5545981360511</t>
  </si>
  <si>
    <t>-46.4857223057545</t>
  </si>
  <si>
    <t>RUA LOUREIRO DA CRUZ ESQUINA COM A RUA RODRIGO CLAUDIO</t>
  </si>
  <si>
    <t>-23.5705785862036</t>
  </si>
  <si>
    <t>-46.6342017266256</t>
  </si>
  <si>
    <t>AVENIDA DAS NACOES UNIDAS ESQUINA COM A AVENIDA OCTALLES MARCONDES FERREIRA</t>
  </si>
  <si>
    <t>-23.675387364819</t>
  </si>
  <si>
    <t>-46.6998998993696</t>
  </si>
  <si>
    <t>ESTRADA DE ITAPECERICA 4036 AO LADO DO TERMINAL DE ONIBUS CAPAO REDONDO</t>
  </si>
  <si>
    <t>-23.6601760689415</t>
  </si>
  <si>
    <t>-46.7675051971636</t>
  </si>
  <si>
    <t>2022-06-10</t>
  </si>
  <si>
    <t>RUA COSME DOS SANTOS ESQUINA COM A RUA DOUTOR OSCAR CUNHA CORREIA</t>
  </si>
  <si>
    <t>-23.4040133036111</t>
  </si>
  <si>
    <t>-46.7527294792295</t>
  </si>
  <si>
    <t>-23.5420366823893</t>
  </si>
  <si>
    <t>-46.6360715570688</t>
  </si>
  <si>
    <t>2022-06-11</t>
  </si>
  <si>
    <t>2022-06-12</t>
  </si>
  <si>
    <t>AVENIDA CONSELHEIRO CARRAO ESQUINA COM A RUA NUNES BALBOA</t>
  </si>
  <si>
    <t>-23.5521831089087</t>
  </si>
  <si>
    <t>-46.5290765593231</t>
  </si>
  <si>
    <t>RUA ORDENACOES ESQUINA COM A RUA SAO VALENTIM</t>
  </si>
  <si>
    <t>-23.550205642877</t>
  </si>
  <si>
    <t>-46.5285263552757</t>
  </si>
  <si>
    <t>RUA PAULO ARENTINO ESQUINA COM A RUA GIOVANNI CERESINI</t>
  </si>
  <si>
    <t>-23.4371904664052</t>
  </si>
  <si>
    <t>-46.7342250448313</t>
  </si>
  <si>
    <t>RUA JOSE DA SILVA GUIMARAES DEFRONTE A RUA ANTONIO FERNANDES PINHEIRO</t>
  </si>
  <si>
    <t>-23.4768051578171</t>
  </si>
  <si>
    <t>-46.7235505415555</t>
  </si>
  <si>
    <t>RUA SAO FRANCISCO DE ASSIS ESQUINA COM A TRAVESSA SANTA JOAQUINA</t>
  </si>
  <si>
    <t>-23.4904676469992</t>
  </si>
  <si>
    <t>-46.7434259781905</t>
  </si>
  <si>
    <t>TRAVESSA SANTA JOAQUINA ESQUINA COM A RUA JOAQUIM OLIVEIRA FREITAS</t>
  </si>
  <si>
    <t>-23.4892283260014</t>
  </si>
  <si>
    <t>-46.7437174229087</t>
  </si>
  <si>
    <t>2022-06-13</t>
  </si>
  <si>
    <t>RUA ENGENHEIRO BERNARDO FIGUEIREDO ESQUINA COM A AVENIDA MATEO BEI</t>
  </si>
  <si>
    <t>-23.5910551910533</t>
  </si>
  <si>
    <t>-46.4891645239213</t>
  </si>
  <si>
    <t>RUA TERRA DE PORTUCALENSE 624</t>
  </si>
  <si>
    <t>-23.6655041887825</t>
  </si>
  <si>
    <t>-46.7907562354431</t>
  </si>
  <si>
    <t>2022-06-14</t>
  </si>
  <si>
    <t>AVENIDA PROFESSOR EDGAR SANTOS 514</t>
  </si>
  <si>
    <t>-23.5497375596447</t>
  </si>
  <si>
    <t>-46.4969741525381</t>
  </si>
  <si>
    <t>AVENIDA ANTONIO ESTEVAO DE CARVALHO ESQUINA COM A RUA ARTUR ALVIM</t>
  </si>
  <si>
    <t>-23.5394216088832</t>
  </si>
  <si>
    <t>-46.4960503032995</t>
  </si>
  <si>
    <t>RUA LAGOA TAI GRANDE ESQUINA COM A RUA SAO GONCALO DO PIAUI</t>
  </si>
  <si>
    <t>-23.5495312845178</t>
  </si>
  <si>
    <t>-46.4610515586294</t>
  </si>
  <si>
    <t>AVENIDA AMADOR BUENO DA VEIGA 2123 PROXIMO DA ESQUINA COM A AVENIDA SAO MIGUEL</t>
  </si>
  <si>
    <t>-23.5222766347716</t>
  </si>
  <si>
    <t>-46.5255454520304</t>
  </si>
  <si>
    <t>AVENIDA NOSSA SENHORA DO SABARA ESQUINA COM A RUA FREI CANISIO</t>
  </si>
  <si>
    <t>-23.661148072335</t>
  </si>
  <si>
    <t>-46.6938147525381</t>
  </si>
  <si>
    <t>RUA BORGES LAGOA PROXIMO DA ESQUINA COM A AVENIDA IBIRAPUERA</t>
  </si>
  <si>
    <t>-23.5959779329949</t>
  </si>
  <si>
    <t>-46.6542563766497</t>
  </si>
  <si>
    <t>RUA BORGES LAGOA 1755 NA CALCADA DO HOSPITAL DO SERVIDOR PUBLICO</t>
  </si>
  <si>
    <t>-23.5960741215736</t>
  </si>
  <si>
    <t>-46.6531185718274</t>
  </si>
  <si>
    <t>RUA DOUTORA NEYDA APPARECIDA SOLLITTO 593</t>
  </si>
  <si>
    <t>-23.5924672327411</t>
  </si>
  <si>
    <t>-46.6514420378173</t>
  </si>
  <si>
    <t>RUA VICTOR AYROSA ESQUINA COM A RUA TAPAJOS</t>
  </si>
  <si>
    <t>-23.527883002538</t>
  </si>
  <si>
    <t>-46.6265211497458</t>
  </si>
  <si>
    <t>RUA SCUVERO ESQUINA COM A RUA DIOGO VAZ</t>
  </si>
  <si>
    <t>-23.5626001846395</t>
  </si>
  <si>
    <t>-46.6264584056973</t>
  </si>
  <si>
    <t>RUA DOMINGOS PAIVA NO INTERIOR DO TERMINAL DE ACESSO A ESTACAO BRAS DO METRO</t>
  </si>
  <si>
    <t>-23.5474393150024</t>
  </si>
  <si>
    <t>-46.6155368231442</t>
  </si>
  <si>
    <t>RUA CORONEL MURSA ESQUINA COM A RUA MARTIM BURCHARD</t>
  </si>
  <si>
    <t>-23.5486018679635</t>
  </si>
  <si>
    <t>-46.6160578479985</t>
  </si>
  <si>
    <t>RUA VISCONDE DE CAIRU ESQUINA COM A RUA CANUTO SARAIVA</t>
  </si>
  <si>
    <t>-23.5594211527918</t>
  </si>
  <si>
    <t>-46.6037767568525</t>
  </si>
  <si>
    <t>RUA ARARIBOIA ESQUINA COM A RUA ADELAIDE DE FREITAS</t>
  </si>
  <si>
    <t>-23.5589427700506</t>
  </si>
  <si>
    <t>-46.6026049385783</t>
  </si>
  <si>
    <t>RUA PADRE BENEDITO DE CAMARGO ESQUINA COM A RUA FREI GERMANO</t>
  </si>
  <si>
    <t>-23.5260374172021</t>
  </si>
  <si>
    <t>-46.5526714033286</t>
  </si>
  <si>
    <t>RUA PITANGUI ESQUINA COM A RUA TUIUTI</t>
  </si>
  <si>
    <t>-23.5297305384655</t>
  </si>
  <si>
    <t>-46.5758314349134</t>
  </si>
  <si>
    <t>AVENIDA PROFESSOR CELESTINO BOURROUL ESQUINA COM A RUA AMADEU DANIELI FILHO</t>
  </si>
  <si>
    <t>-23.5072214763958</t>
  </si>
  <si>
    <t>-46.6736041789338</t>
  </si>
  <si>
    <t>AVENIDA DOUTOR FRANCISCO RANIERI PROXIMO DA ESQUINA COM A RUA PROFESSOR DORIVAL DIAS MINHOTO</t>
  </si>
  <si>
    <t>-23.479484055076</t>
  </si>
  <si>
    <t>-46.6438939774109</t>
  </si>
  <si>
    <t>RUA FIDALGA ESQUINA COM A RUA WISARD</t>
  </si>
  <si>
    <t>-23.5555755602367</t>
  </si>
  <si>
    <t>-46.6903289223348</t>
  </si>
  <si>
    <t>RUA CARLOS WEBER ESQUINA COM A RUA BRENTANO</t>
  </si>
  <si>
    <t>-23.5325340677664</t>
  </si>
  <si>
    <t>-46.7260024499998</t>
  </si>
  <si>
    <t>RUA RAUL DOS SANTOS MACHADO 25 DEFRONTE AO CONDOMINIO VILA ARBORI ALEGRIA</t>
  </si>
  <si>
    <t>-23.6407159846016</t>
  </si>
  <si>
    <t>-46.7705538543148</t>
  </si>
  <si>
    <t>RUA LUIZ BIANCONI NO FINAL DA RUA</t>
  </si>
  <si>
    <t>-23.6246879683581</t>
  </si>
  <si>
    <t>-46.7601767037226</t>
  </si>
  <si>
    <t>RUA LINO GUEDES ESQUINA COM A RUA CONEGO JOSE NORBERTO</t>
  </si>
  <si>
    <t>-23.6116472840947</t>
  </si>
  <si>
    <t>-46.6095295409471</t>
  </si>
  <si>
    <t>2022-06-15</t>
  </si>
  <si>
    <t>RUA MARQUES DE ABRANTES ESQUINA COM A AVENIDA CELSO GARCIA</t>
  </si>
  <si>
    <t>-23.5359958406651</t>
  </si>
  <si>
    <t>-46.5857274394254</t>
  </si>
  <si>
    <t>AVENIDA NADIR DIAS DE FIGUEIREDO 336</t>
  </si>
  <si>
    <t>-23.5226693946414</t>
  </si>
  <si>
    <t>-46.5958809221101</t>
  </si>
  <si>
    <t>RUA DOUTOR LUIZ MIGLIANO PROXIMO DA ESQUINA COM A RUA SAMIA HADDAD</t>
  </si>
  <si>
    <t>-23.6203409110542</t>
  </si>
  <si>
    <t>-46.7423891720254</t>
  </si>
  <si>
    <t>2022-06-16</t>
  </si>
  <si>
    <t>2022-06-17</t>
  </si>
  <si>
    <t>2022-06-18</t>
  </si>
  <si>
    <t>2022-06-19</t>
  </si>
  <si>
    <t>2022-06-20</t>
  </si>
  <si>
    <t>2022-06-21</t>
  </si>
  <si>
    <t>-23.439115047513</t>
  </si>
  <si>
    <t>-46.7087038636592</t>
  </si>
  <si>
    <t>-23.5199867623333</t>
  </si>
  <si>
    <t>-46.3943827200887</t>
  </si>
  <si>
    <t>AVENIDA JERIMANDUBA DEFRONTE A RUA CARBONO</t>
  </si>
  <si>
    <t>-23.455751281556</t>
  </si>
  <si>
    <t>-46.750376583849</t>
  </si>
  <si>
    <t>RUA SAVERIO QUADRIO PROXIMO DA ESQUINA COM A RUA EMIL BOHN</t>
  </si>
  <si>
    <t>-23.6005820892326</t>
  </si>
  <si>
    <t>-46.8016446376896</t>
  </si>
  <si>
    <t>RUA MIGUEL ARNAUDAS 361</t>
  </si>
  <si>
    <t>-23.5960685161562</t>
  </si>
  <si>
    <t>-46.7962414992287</t>
  </si>
  <si>
    <t>RUA EUDORO LINCOLN BERLINK NA ESQUINA COM A RUA ADHERBAL STRESSER</t>
  </si>
  <si>
    <t>-23.5949219430794</t>
  </si>
  <si>
    <t>-46.7895832069217</t>
  </si>
  <si>
    <t>RUA OSEAS GOMES DE OLIVEIRA 1000</t>
  </si>
  <si>
    <t>-23.5679281653772</t>
  </si>
  <si>
    <t>-46.7723865984588</t>
  </si>
  <si>
    <t>2022-06-22</t>
  </si>
  <si>
    <t>AVENIDA CORIFEU DE AZEVEDO MARQUES ESQUINA COM A AVENIDA PRESIDENTE ALTINO</t>
  </si>
  <si>
    <t>-23.554768973853</t>
  </si>
  <si>
    <t>-46.7512282953875</t>
  </si>
  <si>
    <t>RUA AFONSO SARDINHA 214</t>
  </si>
  <si>
    <t>-23.5224457738565</t>
  </si>
  <si>
    <t>-46.7060088877</t>
  </si>
  <si>
    <t>AVENIDA PRESIDENTE ALTINO ESQUINA COM A AVENIDA ALEXANDRE MACKENZIE</t>
  </si>
  <si>
    <t>-23.5387388661624</t>
  </si>
  <si>
    <t>-46.7540753030794</t>
  </si>
  <si>
    <t>2022-06-23</t>
  </si>
  <si>
    <t>-23.5206444957163</t>
  </si>
  <si>
    <t>-46.4399516803546</t>
  </si>
  <si>
    <t>2022-06-24</t>
  </si>
  <si>
    <t>-23.6299197903989</t>
  </si>
  <si>
    <t>-46.7216248990399</t>
  </si>
  <si>
    <t>-23.4972505861172</t>
  </si>
  <si>
    <t>-46.6508146676487</t>
  </si>
  <si>
    <t>2022-06-25</t>
  </si>
  <si>
    <t>2022-06-26</t>
  </si>
  <si>
    <t>2022-06-27</t>
  </si>
  <si>
    <t>RUA ITAJUIBE ESQUINA COM A RUA DOMINGOS DE MARTINS PACHECO</t>
  </si>
  <si>
    <t>-23.5111558261296</t>
  </si>
  <si>
    <t>-46.3845354630648</t>
  </si>
  <si>
    <t>2022-06-28</t>
  </si>
  <si>
    <t>2022-06-29</t>
  </si>
  <si>
    <t>RUA DOUTORA NISE DA SILVEIRA DEFRONTE A RUA MABEL NORMANDO</t>
  </si>
  <si>
    <t>-23.8690719505735</t>
  </si>
  <si>
    <t>-46.7517172949687</t>
  </si>
  <si>
    <t>ESTRADA ENGENHEIRO MARCILAC 4070 ESQUINA COM A RUA LIDIA SCHMIDT</t>
  </si>
  <si>
    <t>-23.8532800061783</t>
  </si>
  <si>
    <t>-46.7553731</t>
  </si>
  <si>
    <t>RUA FRANCISCO DE BRITO DEFRONTE A RUA MONTESANO</t>
  </si>
  <si>
    <t>-23.4716578661642</t>
  </si>
  <si>
    <t>-46.6126214576928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</si>
  <si>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</si>
  <si>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</si>
  <si>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</si>
  <si>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</si>
  <si>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</si>
  <si>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</si>
  <si>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</si>
  <si>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-23.6435975372302</t>
  </si>
  <si>
    <t>-46.7014291525275</t>
  </si>
  <si>
    <t>-23.5701418958225</t>
  </si>
  <si>
    <t>-46.699858480509</t>
  </si>
  <si>
    <t>-23.6404220870316</t>
  </si>
  <si>
    <t>-46.6817465319105</t>
  </si>
  <si>
    <t>-23.6604699237394</t>
  </si>
  <si>
    <t>-46.744653788657</t>
  </si>
  <si>
    <t>2022-07-07</t>
  </si>
  <si>
    <t>-23.5332022639195</t>
  </si>
  <si>
    <t>-46.5645538554493</t>
  </si>
  <si>
    <t>-23.7075126771488</t>
  </si>
  <si>
    <t>-46.6990661239007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</si>
  <si>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</si>
  <si>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</si>
  <si>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</si>
  <si>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</si>
  <si>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</si>
  <si>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</si>
  <si>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</si>
  <si>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VILA TEREZINHA</t>
  </si>
  <si>
    <t>AVENIDA DEPUTADO CANTIDIO SAMPAIO 3585 ESQUINA COM A VIELA UM</t>
  </si>
  <si>
    <t>-23.4551968080155</t>
  </si>
  <si>
    <t>-46.6950803934771</t>
  </si>
  <si>
    <t>2022-07-15</t>
  </si>
  <si>
    <t>2022-07-16</t>
  </si>
  <si>
    <t>2022-07-17</t>
  </si>
  <si>
    <t>2022-07-18</t>
  </si>
  <si>
    <t>TRAVESSA ALCIDES PEREIRA DOS SANTOS DEFRONTE A TRAVESSA ANTONIO FIRMINO MONTEIRO</t>
  </si>
  <si>
    <t>-23.6496182293713</t>
  </si>
  <si>
    <t>-46.7893321597246</t>
  </si>
  <si>
    <t>2022-07-19</t>
  </si>
  <si>
    <t>RUA JAMES HOLLAND ESQUINA COM A RUA CRUZEIRO</t>
  </si>
  <si>
    <t>-23.5218775203296</t>
  </si>
  <si>
    <t>-46.6543653257312</t>
  </si>
  <si>
    <t>-23.5412780125485</t>
  </si>
  <si>
    <t>-46.6385759769985</t>
  </si>
  <si>
    <t>2022-07-20</t>
  </si>
  <si>
    <t>RUA PAULO ARENTINO ESQUINA COM A RUA LOURENCO MATIELLI</t>
  </si>
  <si>
    <t>-23.4350445709784</t>
  </si>
  <si>
    <t>-46.7370412451631</t>
  </si>
  <si>
    <t>2022-07-21</t>
  </si>
  <si>
    <t>-23.5352432209431</t>
  </si>
  <si>
    <t>-46.6593521277465</t>
  </si>
  <si>
    <t>AVENIDA DEPUTADO CANTIDIO SAMPAIO 867 DEFRONTE A RUA SPENCER VAMPRE</t>
  </si>
  <si>
    <t>-23.4696001546856</t>
  </si>
  <si>
    <t>-46.6770131341946</t>
  </si>
  <si>
    <t>2022-07-22</t>
  </si>
  <si>
    <t>2022-07-23</t>
  </si>
  <si>
    <t>2022-07-24</t>
  </si>
  <si>
    <t>RUA JOAO CARLOS LEITE PENTEADO 40 PROXIMO A ESQUINA COM A RUA TIBURCIO DE SOUSA</t>
  </si>
  <si>
    <t>-23.5061507935876</t>
  </si>
  <si>
    <t>-46.3956270999448</t>
  </si>
  <si>
    <t>2022-07-25</t>
  </si>
  <si>
    <t>2022-07-26</t>
  </si>
  <si>
    <t>2022-07-27</t>
  </si>
  <si>
    <t>2022-07-28</t>
  </si>
  <si>
    <t>-23.6014053584789</t>
  </si>
  <si>
    <t>-46.6398270939091</t>
  </si>
  <si>
    <t>-23.6015711526652</t>
  </si>
  <si>
    <t>-46.6398236964873</t>
  </si>
  <si>
    <t>-23.601370704776</t>
  </si>
  <si>
    <t>-46.6398420425653</t>
  </si>
  <si>
    <t>-23.6016044473993</t>
  </si>
  <si>
    <t>-46.6398406835965</t>
  </si>
  <si>
    <t>2022-09-10</t>
  </si>
  <si>
    <t>2022-08-08</t>
  </si>
  <si>
    <t>2022-09-02</t>
  </si>
  <si>
    <t>2022-08-19</t>
  </si>
  <si>
    <t>2022-08-20</t>
  </si>
  <si>
    <t>2022-08-17</t>
  </si>
  <si>
    <t>2022-08-18</t>
  </si>
  <si>
    <t>2022-07-30</t>
  </si>
  <si>
    <t>2022-08-09</t>
  </si>
  <si>
    <t>2022-07-29</t>
  </si>
  <si>
    <t>2022-08-23</t>
  </si>
  <si>
    <t>2022-08-22</t>
  </si>
  <si>
    <t>2022-08-27</t>
  </si>
  <si>
    <t>2022-09-04</t>
  </si>
  <si>
    <t>2022-09-06</t>
  </si>
  <si>
    <t>2022-08-28</t>
  </si>
  <si>
    <t>2022-08-03</t>
  </si>
  <si>
    <t>2022-08-12</t>
  </si>
  <si>
    <t>2022-08-04</t>
  </si>
  <si>
    <t>2022-08-15</t>
  </si>
  <si>
    <t>2022-09-07</t>
  </si>
  <si>
    <t>2022-09-09</t>
  </si>
  <si>
    <t>2022-08-31</t>
  </si>
  <si>
    <t>2022-09-03</t>
  </si>
  <si>
    <t>-23.5271637307331</t>
  </si>
  <si>
    <t>-46.5097542728383</t>
  </si>
  <si>
    <t>2022-08-25</t>
  </si>
  <si>
    <t>2022-08-26</t>
  </si>
  <si>
    <t>2022-09-05</t>
  </si>
  <si>
    <t>2022-08-01</t>
  </si>
  <si>
    <t>2022-08-29</t>
  </si>
  <si>
    <t>2022-08-13</t>
  </si>
  <si>
    <t>2022-08-06</t>
  </si>
  <si>
    <t>2022-09-01</t>
  </si>
  <si>
    <t>2022-09-08</t>
  </si>
  <si>
    <t>2022-08-11</t>
  </si>
  <si>
    <t>2022-08-02</t>
  </si>
  <si>
    <t>2022-08-24</t>
  </si>
  <si>
    <t>2022-08-21</t>
  </si>
  <si>
    <t>2022-08-30</t>
  </si>
  <si>
    <t>2022-08-16</t>
  </si>
  <si>
    <t>2022-08-05</t>
  </si>
  <si>
    <t>2022-08-14</t>
  </si>
  <si>
    <t>RUA PEDRO DE TOLEDO 1778 NA CALCADA DO HOSPITAL DO SERVIDOR</t>
  </si>
  <si>
    <t>-23.5973766507671</t>
  </si>
  <si>
    <t>-46.6541913202338</t>
  </si>
  <si>
    <t>2022-08-07</t>
  </si>
  <si>
    <t>2022-07-31</t>
  </si>
  <si>
    <t>2022-08-10</t>
  </si>
  <si>
    <t>RUA WISARD ESQUINA COM A RUA MOURATO COELHO</t>
  </si>
  <si>
    <t>-23.5568845706529</t>
  </si>
  <si>
    <t>-46.692143916924</t>
  </si>
  <si>
    <t>-23.6096684504541</t>
  </si>
  <si>
    <t>-46.4988919040431</t>
  </si>
  <si>
    <t>RUA FRANCISCO MARENGO DEFRONTE A RUA CORTA VENTO</t>
  </si>
  <si>
    <t>-23.5372936652628</t>
  </si>
  <si>
    <t>-46.5639317505898</t>
  </si>
  <si>
    <t>RUA PIRAJUSSARA ESQUINA COM A RUA AGOSTINHO CANTU</t>
  </si>
  <si>
    <t>-23.569884137947</t>
  </si>
  <si>
    <t>-46.7049182410496</t>
  </si>
  <si>
    <t>RUA HELVETIA ESQUINA COM A ALAMEDA BARAO DE PIRACICABA</t>
  </si>
  <si>
    <t>-23.5340052332425</t>
  </si>
  <si>
    <t>-46.6428243977273</t>
  </si>
  <si>
    <t>RUA HENRIQUE DIAS ESQUINA COM A RUA BARAO DE LADARIO</t>
  </si>
  <si>
    <t>-23.5366815041449</t>
  </si>
  <si>
    <t>-46.6191587338684</t>
  </si>
  <si>
    <t>RUA CONCEICAO DE ALMEIDA ESQUINA COM A RUA ASCENSO FERNANDES</t>
  </si>
  <si>
    <t>-23.4916234841372</t>
  </si>
  <si>
    <t>-46.4228669068473</t>
  </si>
  <si>
    <t>RUA DOUTOR ALMEIDA LIMA DEFRONTE A RUA FREI GASPAR</t>
  </si>
  <si>
    <t>-23.5509636423065</t>
  </si>
  <si>
    <t>-46.6109121940816</t>
  </si>
  <si>
    <t>RUA JOAO ANTONIO DE OLIVEIRA 869</t>
  </si>
  <si>
    <t>-23.5605521382561</t>
  </si>
  <si>
    <t>-46.6045305856262</t>
  </si>
  <si>
    <t>PRACA ANTONIO ALBERTO 19 PROXIMO DA ESQUINA COM A RUA MANDAGUAI</t>
  </si>
  <si>
    <t>-23.5271744901316</t>
  </si>
  <si>
    <t>-46.5098833856203</t>
  </si>
  <si>
    <t>RUA VISCONDE DE CAETE ESQUINA COM A RUA GRAO MONGOL</t>
  </si>
  <si>
    <t>-23.6047005654269</t>
  </si>
  <si>
    <t>-46.5600743487439</t>
  </si>
  <si>
    <t>AVENIDA MARECHAL MARIO GUEDES 81</t>
  </si>
  <si>
    <t>-23.5492567353397</t>
  </si>
  <si>
    <t>-46.7355987155101</t>
  </si>
  <si>
    <t>RUA JOAQUIM ANTUNES PROXIMO A ESQUINA COM A AVENIDA REBOUCAS</t>
  </si>
  <si>
    <t>-23.5651761623992</t>
  </si>
  <si>
    <t>-46.6807943179322</t>
  </si>
  <si>
    <t>AVENIDA WALDEMAR ROBERTO 787 PROXIMO A TRAVESSA MARIA ADELIA DE SOUZA</t>
  </si>
  <si>
    <t>-23.57963171831</t>
  </si>
  <si>
    <t>-46.7573161230324</t>
  </si>
  <si>
    <t>AVENIDA DOUTOR GASTAO VIDIGAL 1946 AO LADO DO PORTAO DE ENTRADA DO CEAGESP</t>
  </si>
  <si>
    <t>-23.5342360023691</t>
  </si>
  <si>
    <t>-46.73533756793</t>
  </si>
  <si>
    <t>NO INTERIOR DO CEAGESP NA CALCADA DO PAVILHAO HFN</t>
  </si>
  <si>
    <t>-23.5324678405995</t>
  </si>
  <si>
    <t>-46.7364017888273</t>
  </si>
  <si>
    <t>NO INTERIOR DO CEAGESP NA CALCADA DO PAVILHAO HFO</t>
  </si>
  <si>
    <t>-23.5326779544855</t>
  </si>
  <si>
    <t>-46.7362059199505</t>
  </si>
  <si>
    <t>NO INTERIOR DO CEAGESP PAVILHAO FHO</t>
  </si>
  <si>
    <t>-23.5334503885921</t>
  </si>
  <si>
    <t>-46.7368024084364</t>
  </si>
  <si>
    <t>NO INTERIOR DO CEAGESP PAVILHAO HFN ESQUINA SUL</t>
  </si>
  <si>
    <t>-23.533070650491</t>
  </si>
  <si>
    <t>-46.7371679782171</t>
  </si>
  <si>
    <t>NO INTERIOR DO CEAGESP HFO</t>
  </si>
  <si>
    <t>-23.5328471564341</t>
  </si>
  <si>
    <t>-46.7360495064469</t>
  </si>
  <si>
    <t>NO INTERIOR DO CEAGESP PAVILHAO HFN</t>
  </si>
  <si>
    <t>-23.5322979321834</t>
  </si>
  <si>
    <t>-46.7365569450516</t>
  </si>
  <si>
    <t>NO INTERIOR DO CEAGESP PAVILHAO HFF</t>
  </si>
  <si>
    <t>-23.5341993</t>
  </si>
  <si>
    <t>-46.7389512608915</t>
  </si>
  <si>
    <t>NO INTERIOR DO CEAGESP NO PAVILHAO APA</t>
  </si>
  <si>
    <t>-23.5349714</t>
  </si>
  <si>
    <t>-46.7365751797028</t>
  </si>
  <si>
    <t>NO INTERIOR DO CEAGESP PAVILHAO HFO ESQUINA SUL</t>
  </si>
  <si>
    <t>-23.5332799205943</t>
  </si>
  <si>
    <t>-46.73697322</t>
  </si>
  <si>
    <t>NO INTERIOR DO CEAGESP PAVILHAO HFB ESQUINA SUL</t>
  </si>
  <si>
    <t>-23.5333693405943</t>
  </si>
  <si>
    <t>-46.7370890217829</t>
  </si>
  <si>
    <t>-23.5906060708823</t>
  </si>
  <si>
    <t>-46.727410895</t>
  </si>
  <si>
    <t>RUA ARTUR THIRE ESQUINA COM A RUA MARCOS FERNANDES</t>
  </si>
  <si>
    <t>-23.6167963779005</t>
  </si>
  <si>
    <t>-46.6258969326714</t>
  </si>
  <si>
    <t>PRACA DOS CARTOGRAFOS ENTRE AS RUAS ANTONIO CARNEIRO E RUA ADELINO DE MAGALHAES</t>
  </si>
  <si>
    <t>-23.6486068788853</t>
  </si>
  <si>
    <t>-46.7528169583854</t>
  </si>
  <si>
    <t>RUA PEDRO DE TOLEDO 1926 PROXIMO DA ESQUINA COM A AVENIDA IBIRAPUERA</t>
  </si>
  <si>
    <t>-23.5972379414796</t>
  </si>
  <si>
    <t>-46.6554044387487</t>
  </si>
  <si>
    <t>RUA DOMINGOS DE MORAIS 526</t>
  </si>
  <si>
    <t>-23.5936063518271</t>
  </si>
  <si>
    <t>-46.6367619592193</t>
  </si>
  <si>
    <t>2022-09-11</t>
  </si>
  <si>
    <t>2022-09-12</t>
  </si>
  <si>
    <t>2022-09-13</t>
  </si>
  <si>
    <t>RUA OSORIO FRANCO VILHENA 917</t>
  </si>
  <si>
    <t>-23.5092682551354</t>
  </si>
  <si>
    <t>-46.4189041308123</t>
  </si>
  <si>
    <t>AVENIDA POMPEIA 678 PROXIMO DA ESQUINA COM A RUA MINISTRO FERREIRA ALVES</t>
  </si>
  <si>
    <t>-23.5303296597853</t>
  </si>
  <si>
    <t>-46.6852084897292</t>
  </si>
  <si>
    <t>2022-09-14</t>
  </si>
  <si>
    <t>RUA VERGUEIRO 2577 PROXIMO DA ESQUINA COM A RUA CARLOS PETIT</t>
  </si>
  <si>
    <t>-23.5843630881631</t>
  </si>
  <si>
    <t>-46.636257886772</t>
  </si>
  <si>
    <t>2022-09-15</t>
  </si>
  <si>
    <t>-23.5538876923016</t>
  </si>
  <si>
    <t>-46.658844053065</t>
  </si>
  <si>
    <t>-23.5730030617443</t>
  </si>
  <si>
    <t>-46.6679187769308</t>
  </si>
  <si>
    <t>-23.6478570480927</t>
  </si>
  <si>
    <t>-46.6551538551702</t>
  </si>
  <si>
    <t>2022-09-16</t>
  </si>
  <si>
    <t>-23.5858592830895</t>
  </si>
  <si>
    <t>-46.5084162199345</t>
  </si>
  <si>
    <t>2022-09-17</t>
  </si>
  <si>
    <t>2022-09-18</t>
  </si>
  <si>
    <t>2022-09-19</t>
  </si>
  <si>
    <t>-23.5476827351086</t>
  </si>
  <si>
    <t>-46.6050188029189</t>
  </si>
  <si>
    <t>-23.5937441336636</t>
  </si>
  <si>
    <t>-46.5828928924346</t>
  </si>
  <si>
    <t>-23.5993433417477</t>
  </si>
  <si>
    <t>-46.613947574975</t>
  </si>
  <si>
    <t>2022-09-20</t>
  </si>
  <si>
    <t>2022-09-21</t>
  </si>
  <si>
    <t>-23.6512491756786</t>
  </si>
  <si>
    <t>-46.646504816148</t>
  </si>
  <si>
    <t>RUA DOS BURITIS DEFRONTE A RUA LINGUSTROS</t>
  </si>
  <si>
    <t>-23.65136441</t>
  </si>
  <si>
    <t>-46.64657958</t>
  </si>
  <si>
    <t>2022-09-22</t>
  </si>
  <si>
    <t>RUA 24 DE MAIO ESQUINA COM A PRACA RAMOS DE AZEVEDO</t>
  </si>
  <si>
    <t>-23.5448078362543</t>
  </si>
  <si>
    <t>-46.6388573726112</t>
  </si>
  <si>
    <t>2022-09-23</t>
  </si>
  <si>
    <t>2022-09-24</t>
  </si>
  <si>
    <t>2022-09-25</t>
  </si>
  <si>
    <t>RUA LEONOR FERNANDES COSTA ZACHARIAS PROXIMO DA ESQUINA COM A RUA ANTONIO PATRICIO</t>
  </si>
  <si>
    <t>-23.5203560001779</t>
  </si>
  <si>
    <t>-46.609992361072</t>
  </si>
  <si>
    <t>2022-09-26</t>
  </si>
  <si>
    <t>2022-09-27</t>
  </si>
  <si>
    <t>RUA SAPOTI ESQUINA COM A RUA DOUTOR JESUINO MACIEL</t>
  </si>
  <si>
    <t>-23.6261298939209</t>
  </si>
  <si>
    <t>-46.6640082962738</t>
  </si>
  <si>
    <t>RUA VERGUEIRO PROXIMO A ESQUINA COM A RUA DOUTOR JOSE DE QUEIROS ARANHA</t>
  </si>
  <si>
    <t>-23.581603187645</t>
  </si>
  <si>
    <t>-46.6380734773807</t>
  </si>
  <si>
    <t>2022-09-28</t>
  </si>
  <si>
    <t>RUA DOUTOR JOAO RIBEIRO ESQUINA COM A RUA SANTO AFONSO DEFRONTE A PRACA NOSSA SENHORA DA PENHA</t>
  </si>
  <si>
    <t>-23.526797664695</t>
  </si>
  <si>
    <t>-46.5498326115388</t>
  </si>
  <si>
    <t>-23.5646485762991</t>
  </si>
  <si>
    <t>-46.5823325885931</t>
  </si>
  <si>
    <t>-23.607385770469</t>
  </si>
  <si>
    <t>-46.519653655133</t>
  </si>
  <si>
    <t>2022-09-29</t>
  </si>
  <si>
    <t>-23.5643145788967</t>
  </si>
  <si>
    <t>-46.5780464406223</t>
  </si>
  <si>
    <t>AVENIDA WALDEMAR ROBERTO ESQUINA COM A RUA LADISLAU BAENA</t>
  </si>
  <si>
    <t>-23.5744899414323</t>
  </si>
  <si>
    <t>-46.7593898522546</t>
  </si>
  <si>
    <t>-23.5268593253872</t>
  </si>
  <si>
    <t>-46.4532515045354</t>
  </si>
  <si>
    <t>2022-09-30</t>
  </si>
  <si>
    <t>2022-10-01</t>
  </si>
  <si>
    <t>2022-10-02</t>
  </si>
  <si>
    <t>AVENIDA MARECHAL TITO 5637 ESQUINA COM A RUA ALFREDO DE MELO</t>
  </si>
  <si>
    <t>-23.4951209107143</t>
  </si>
  <si>
    <t>-46.3908787285714</t>
  </si>
  <si>
    <t>LARGO DA MATRIZ ESQUINA COM A RUA KEN SUGAYA</t>
  </si>
  <si>
    <t>-23.5392370199998</t>
  </si>
  <si>
    <t>-46.4537023050019</t>
  </si>
  <si>
    <t>2022-10-03</t>
  </si>
  <si>
    <t>2022-10-04</t>
  </si>
  <si>
    <t>AVENIDA IMIRIM 2152 PROXIMO A RUA BELMIRA VAZ</t>
  </si>
  <si>
    <t>-23.488200585001</t>
  </si>
  <si>
    <t>-46.6520901449987</t>
  </si>
  <si>
    <t>2022-10-05</t>
  </si>
  <si>
    <t>2022-10-06</t>
  </si>
  <si>
    <t>RUA MIGUEL RACHID ESQUINA COM A RUA FRANCISCO MATIAS DA SILVA</t>
  </si>
  <si>
    <t>-23.4929239377824</t>
  </si>
  <si>
    <t>-46.4751657599346</t>
  </si>
  <si>
    <t>2022-10-07</t>
  </si>
  <si>
    <t>-23.4964741083982</t>
  </si>
  <si>
    <t>-46.3878468038201</t>
  </si>
  <si>
    <t>-23.5337692949668</t>
  </si>
  <si>
    <t>-46.6276461899336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</si>
  <si>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</si>
  <si>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</si>
  <si>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</si>
  <si>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</si>
  <si>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</si>
  <si>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</si>
  <si>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</si>
  <si>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</si>
  <si>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RUA MAGNOLIA AZUL 77</t>
  </si>
  <si>
    <t>-23.5110247176471</t>
  </si>
  <si>
    <t>-46.3876598617647</t>
  </si>
  <si>
    <t>2022-10-16</t>
  </si>
  <si>
    <t>2022-10-17</t>
  </si>
  <si>
    <t>AVENIDA RIO MASSAMBU ESQUINA COM A AVENIDA PEREIRA DE FARO</t>
  </si>
  <si>
    <t>-23.509929</t>
  </si>
  <si>
    <t>-46.3923195046268</t>
  </si>
  <si>
    <t>2022-10-18</t>
  </si>
  <si>
    <t>2022-10-19</t>
  </si>
  <si>
    <t>2022-10-20</t>
  </si>
  <si>
    <t>-23.4980221954319</t>
  </si>
  <si>
    <t>-46.6322003592389</t>
  </si>
  <si>
    <t>RUA GENERAL CHARLES DE GAULLE ESQUINA COM A RUA DOUTOR GIOVANI RECORDATI</t>
  </si>
  <si>
    <t>-23.5072322570587</t>
  </si>
  <si>
    <t>-46.7380630738232</t>
  </si>
  <si>
    <t>RUA DOUTOR BAETA NEVES 98</t>
  </si>
  <si>
    <t>-23.5552325327946</t>
  </si>
  <si>
    <t>-46.6981677613227</t>
  </si>
  <si>
    <t>2022-10-21</t>
  </si>
  <si>
    <t>2022-10-22</t>
  </si>
  <si>
    <t>2022-10-23</t>
  </si>
  <si>
    <t>2022-10-24</t>
  </si>
  <si>
    <t>RUA ARAMANDAIA ESQUINA COM A RUA JURITI PIRANGA</t>
  </si>
  <si>
    <t>-23.4979180818155</t>
  </si>
  <si>
    <t>-46.530166163631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</si>
  <si>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</si>
  <si>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</si>
  <si>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</si>
  <si>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</si>
  <si>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</si>
  <si>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</si>
  <si>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</si>
  <si>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</si>
  <si>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-23.5230019155641</t>
  </si>
  <si>
    <t>-46.5817445950455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</si>
  <si>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</si>
  <si>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</si>
  <si>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</si>
  <si>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</si>
  <si>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</si>
  <si>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</si>
  <si>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</si>
  <si>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</si>
  <si>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</si>
  <si>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</si>
  <si>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</si>
  <si>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</si>
  <si>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</si>
  <si>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</si>
  <si>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</si>
  <si>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RUA RIBEIRA MACABIRA ESQUINA COM A AVENIDA LAGO XARAIS</t>
  </si>
  <si>
    <t>-23.5075153536364</t>
  </si>
  <si>
    <t>-46.3936703054546</t>
  </si>
  <si>
    <t>2022-11-17</t>
  </si>
  <si>
    <t>RUA FRANCISCO BANELLI ESQUINA COM A RUA CAVALO DE PAU</t>
  </si>
  <si>
    <t>-23.5065543300021</t>
  </si>
  <si>
    <t>-46.3792765654531</t>
  </si>
  <si>
    <t>RUA JOAQUIM XAVIER CURADO DEFRONTE A RUA SEBASTIAO JACINTO LIMA</t>
  </si>
  <si>
    <t>-23.6400237627204</t>
  </si>
  <si>
    <t>-46.7626143290636</t>
  </si>
  <si>
    <t>2022-11-18</t>
  </si>
  <si>
    <t>RUA JOSE AUGUSTO LOBO NO CANTEIRO CENTRAL PROXIMO DA AVENIDA TEODORO BERNARDO DO NASCIMENTO</t>
  </si>
  <si>
    <t>-23.5127876084264</t>
  </si>
  <si>
    <t>-46.4122467961006</t>
  </si>
  <si>
    <t>RUA FRANCISCO LUIS DE OLIVEIRA ESQUINA COM A RUA REGISTRO VELHO</t>
  </si>
  <si>
    <t>-23.5105882913074</t>
  </si>
  <si>
    <t>-46.4081839354685</t>
  </si>
  <si>
    <t>AVENIDA ARICANDUVA PROXIMA DA ESQUINA COM A RUA BENEDITA DE PAULA</t>
  </si>
  <si>
    <t>-23.5418586074188</t>
  </si>
  <si>
    <t>-46.5342459386551</t>
  </si>
  <si>
    <t>2022-11-19</t>
  </si>
  <si>
    <t>2022-11-21</t>
  </si>
  <si>
    <t>2022-11-20</t>
  </si>
  <si>
    <t>2022-11-22</t>
  </si>
  <si>
    <t>PORTAO 02 ACESSO A POLICIA MILITAR AMBIENTAL NO INTERIOR DO PARQUE HORTO FLORESTAL</t>
  </si>
  <si>
    <t>-23.4589685180298</t>
  </si>
  <si>
    <t>-46.6366156895168</t>
  </si>
  <si>
    <t>2022-11-23</t>
  </si>
  <si>
    <t>2022-11-24</t>
  </si>
  <si>
    <t>RUA HENRI DUNANT PROXIMO DA ESQUINA COM A AVENIDA DOUTOR CHUCRI ZAIDAN</t>
  </si>
  <si>
    <t>-23.6261241247459</t>
  </si>
  <si>
    <t>-46.7014798580391</t>
  </si>
  <si>
    <t>VIADUTO SANTA GENEROSA PROXIMO DA RUA VERGUEIRO</t>
  </si>
  <si>
    <t>-23.5757485724313</t>
  </si>
  <si>
    <t>-46.641191958647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</si>
  <si>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</si>
  <si>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</si>
  <si>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</si>
  <si>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</si>
  <si>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</si>
  <si>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</si>
  <si>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</si>
  <si>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</si>
  <si>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</si>
  <si>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</si>
  <si>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</si>
  <si>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</si>
  <si>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-23.5411523492081</t>
  </si>
  <si>
    <t>-46.6987965448209</t>
  </si>
  <si>
    <t>2022-12-07</t>
  </si>
  <si>
    <t>2022-12-08</t>
  </si>
  <si>
    <t>2022-12-09</t>
  </si>
  <si>
    <t>2022-12-10</t>
  </si>
  <si>
    <t>2022-12-11</t>
  </si>
  <si>
    <t>2022-12-12</t>
  </si>
  <si>
    <t>RUA REPUBLICA DO IRAQUE ESQUINA COM A RUA BERNARDINO DE CAMPOS</t>
  </si>
  <si>
    <t>-23.6290716521973</t>
  </si>
  <si>
    <t>-46.6753562131253</t>
  </si>
  <si>
    <t>RUA DOUTOR DIOGO DE FARIA ESQUINA COM A RUA CORONEL LISBOA</t>
  </si>
  <si>
    <t>-23.5959967718045</t>
  </si>
  <si>
    <t>-46.6396227912469</t>
  </si>
  <si>
    <t>2022-12-13</t>
  </si>
  <si>
    <t>2022-12-14</t>
  </si>
  <si>
    <t>2022-12-15</t>
  </si>
  <si>
    <t>2022-12-16</t>
  </si>
  <si>
    <t>2022-12-17</t>
  </si>
  <si>
    <t>2022-12-18</t>
  </si>
  <si>
    <t>2022-12-20</t>
  </si>
  <si>
    <t>2022-12-19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</si>
  <si>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</si>
  <si>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</si>
  <si>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</si>
  <si>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</si>
  <si>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</si>
  <si>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</si>
  <si>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</si>
  <si>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AVENIDA SANTO AMARO 3709 PROXIMO A ESQUINA COM A RUA EDISON</t>
  </si>
  <si>
    <t>2022-12-28</t>
  </si>
  <si>
    <t>2022-12-29</t>
  </si>
  <si>
    <t>-23.547943186</t>
  </si>
  <si>
    <t>-46.6218049345</t>
  </si>
  <si>
    <t>2022-12-30</t>
  </si>
  <si>
    <t>2022-12-31</t>
  </si>
  <si>
    <t>2023-01-01</t>
  </si>
  <si>
    <t>2023-01-02</t>
  </si>
  <si>
    <t>2023-01-03</t>
  </si>
  <si>
    <t>RUA PROFESSORA MARIA AUGUSTA DE MORAES NEVES ESQUINA COM A RUA GUERREIRO</t>
  </si>
  <si>
    <t>-23.6452383681425</t>
  </si>
  <si>
    <t>-46.7745455410379</t>
  </si>
  <si>
    <t>2023-01-04</t>
  </si>
  <si>
    <t>2023-01-05</t>
  </si>
  <si>
    <t>-23.4597278787131</t>
  </si>
  <si>
    <t>-46.6730900000967</t>
  </si>
  <si>
    <t>-23.589142307402</t>
  </si>
  <si>
    <t>-46.655922196033</t>
  </si>
  <si>
    <t>2023-01-06</t>
  </si>
  <si>
    <t>2023-01-07</t>
  </si>
  <si>
    <t>2023-01-08</t>
  </si>
  <si>
    <t>2023-01-09</t>
  </si>
  <si>
    <t>RUA PADRE VIRGILIO CAMPELO DEFRONTE A RUA VISCONDE DE ALJEZUR</t>
  </si>
  <si>
    <t>-23.5082879205189</t>
  </si>
  <si>
    <t>-46.3735638314857</t>
  </si>
  <si>
    <t>AVENIDA DOUTOR ALBERTO PENTEADO ESQUINA COM A RUA DESEMBARGADOR ULISSES DORIA</t>
  </si>
  <si>
    <t>-23.5987416230425</t>
  </si>
  <si>
    <t>-46.7044655626888</t>
  </si>
  <si>
    <t>-23.4971253505882</t>
  </si>
  <si>
    <t>-46.7197495182353</t>
  </si>
  <si>
    <t>2023-01-10</t>
  </si>
  <si>
    <t>-23.4947760209821</t>
  </si>
  <si>
    <t>-46.411717589909</t>
  </si>
  <si>
    <t>-23.5890200408571</t>
  </si>
  <si>
    <t>-46.582543080626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</si>
  <si>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</si>
  <si>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</si>
  <si>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</si>
  <si>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</si>
  <si>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</si>
  <si>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</si>
  <si>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</si>
  <si>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</si>
  <si>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</si>
  <si>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</si>
  <si>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</si>
  <si>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</si>
  <si>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</si>
  <si>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</si>
  <si>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-23.561592273676</t>
  </si>
  <si>
    <t>-46.6327907359794</t>
  </si>
  <si>
    <t>-23.5063853674361</t>
  </si>
  <si>
    <t>-46.6664059383748</t>
  </si>
  <si>
    <t>2023-01-25</t>
  </si>
  <si>
    <t>2023-01-26</t>
  </si>
  <si>
    <t>2023-01-27</t>
  </si>
  <si>
    <t>2023-01-28</t>
  </si>
  <si>
    <t>2023-01-29</t>
  </si>
  <si>
    <t>2023-01-30</t>
  </si>
  <si>
    <t>AVENIDA ADRIANO BERTOZZI PROXIMO DA ESQUINA COM A RUA ESTRELAS DA TERRA</t>
  </si>
  <si>
    <t>-23.5740147596926</t>
  </si>
  <si>
    <t>-46.45357603526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</si>
  <si>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</si>
  <si>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</si>
  <si>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</si>
  <si>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</si>
  <si>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</si>
  <si>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</si>
  <si>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</si>
  <si>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</si>
  <si>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</si>
  <si>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</si>
  <si>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</si>
  <si>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</si>
  <si>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2023-02-13</t>
  </si>
  <si>
    <t>2023-02-12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</si>
  <si>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</si>
  <si>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</si>
  <si>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</si>
  <si>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</si>
  <si>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</si>
  <si>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</si>
  <si>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</si>
  <si>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</si>
  <si>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</si>
  <si>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</si>
  <si>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-23.5293322362502</t>
  </si>
  <si>
    <t>-46.6216056179155</t>
  </si>
  <si>
    <t>RUA CONSELHEIRO ZACARIAS ESQUINA COM A RUA VENEZA</t>
  </si>
  <si>
    <t>-23.5758896169624</t>
  </si>
  <si>
    <t>-46.6622882620707</t>
  </si>
  <si>
    <t>AVENIDA VEREADOR JOAO DE LUCA 1790 PROXIMO A ESQUINA COM A RUA SANTO ANGELO</t>
  </si>
  <si>
    <t>-23.6583311040861</t>
  </si>
  <si>
    <t>-46.6639530980276</t>
  </si>
  <si>
    <t>2023-02-24</t>
  </si>
  <si>
    <t>2023-02-25</t>
  </si>
  <si>
    <t>2023-02-26</t>
  </si>
  <si>
    <t>2023-02-27</t>
  </si>
  <si>
    <t>2023-02-28</t>
  </si>
  <si>
    <t>AVENIDA VITAL BRASIL ESQUINA COM A RUA CAMARGO</t>
  </si>
  <si>
    <t>2023-03-01</t>
  </si>
  <si>
    <t>2023-03-02</t>
  </si>
  <si>
    <t>2023-03-03</t>
  </si>
  <si>
    <t>-23.5488341317096</t>
  </si>
  <si>
    <t>-46.7425303916125</t>
  </si>
  <si>
    <t>2023-03-04</t>
  </si>
  <si>
    <t>2023-03-05</t>
  </si>
  <si>
    <t>2023-03-06</t>
  </si>
  <si>
    <t>2023-03-07</t>
  </si>
  <si>
    <t>2023-03-08</t>
  </si>
  <si>
    <t>-23.5103910769434</t>
  </si>
  <si>
    <t>-46.3832264092943</t>
  </si>
  <si>
    <t>AVENIDA PADRE PEREIRA DE ANDRADE ESQUINA COM A RUA BAICURI</t>
  </si>
  <si>
    <t>-23.5388480803686</t>
  </si>
  <si>
    <t>-46.7197597974333</t>
  </si>
  <si>
    <t>AVENIDA PRESIDENTE WILSON 3979 PROXIMO AO VIADUTO GRANDE SAO PAULO</t>
  </si>
  <si>
    <t>-23.5873401358526</t>
  </si>
  <si>
    <t>-46.5951690502157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</si>
  <si>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</si>
  <si>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</si>
  <si>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</si>
  <si>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</si>
  <si>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</si>
  <si>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</si>
  <si>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</si>
  <si>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-23.5512610757353</t>
  </si>
  <si>
    <t>-46.5965845139412</t>
  </si>
  <si>
    <t>2023-03-16</t>
  </si>
  <si>
    <t>2023-03-17</t>
  </si>
  <si>
    <t>AVENIDA MARIO DE ANDRADE 664 NO PORTAO DE ENTRADA DO AUDITORIO SIMON BOLIVAR NO MEMORIAL DA AMERICA LATINA</t>
  </si>
  <si>
    <t>-23.5273538027702</t>
  </si>
  <si>
    <t>-46.662565923732</t>
  </si>
  <si>
    <t>2023-03-18</t>
  </si>
  <si>
    <t>2023-03-19</t>
  </si>
  <si>
    <t>2023-03-20</t>
  </si>
  <si>
    <t>2023-03-21</t>
  </si>
  <si>
    <t>2023-03-22</t>
  </si>
  <si>
    <t>RUA ALCIDES DE CASTRO MACEDO ESQUINA COM A ESTRADA DO ALVARENGA</t>
  </si>
  <si>
    <t>-23.709726007975</t>
  </si>
  <si>
    <t>-46.6393090895163</t>
  </si>
  <si>
    <t>2023-03-23</t>
  </si>
  <si>
    <t>2023-03-24</t>
  </si>
  <si>
    <t>2023-04-01</t>
  </si>
  <si>
    <t>2023-03-27</t>
  </si>
  <si>
    <t>2023-03-28</t>
  </si>
  <si>
    <t>2023-03-30</t>
  </si>
  <si>
    <t>2023-03-26</t>
  </si>
  <si>
    <t>2023-03-25</t>
  </si>
  <si>
    <t>2023-03-29</t>
  </si>
  <si>
    <t>2023-03-31</t>
  </si>
  <si>
    <t>-23.6496833830343</t>
  </si>
  <si>
    <t>-46.6594957188012</t>
  </si>
  <si>
    <t>RUA RISHIN MATSUDA ESQUINA COM A RUA GUSTAVO DA SILVEIRA</t>
  </si>
  <si>
    <t>-23.6499432079851</t>
  </si>
  <si>
    <t>-46.6594892816966</t>
  </si>
  <si>
    <t>2023-04-02</t>
  </si>
  <si>
    <t>2023-04-03</t>
  </si>
  <si>
    <t>2023-04-04</t>
  </si>
  <si>
    <t>2023-04-05</t>
  </si>
  <si>
    <t>2023-04-06</t>
  </si>
  <si>
    <t>2023-04-07</t>
  </si>
  <si>
    <t>-23.7078250362561</t>
  </si>
  <si>
    <t>-46.6412365485152</t>
  </si>
  <si>
    <t>2023-04-08</t>
  </si>
  <si>
    <t>2023-04-09</t>
  </si>
  <si>
    <t>2023-04-11</t>
  </si>
  <si>
    <t>2023-04-10</t>
  </si>
  <si>
    <t>-23.6260323975849</t>
  </si>
  <si>
    <t>-46.7017221118233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</si>
  <si>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</si>
  <si>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</si>
  <si>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</si>
  <si>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</si>
  <si>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</si>
  <si>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</si>
  <si>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</si>
  <si>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2023-04-20</t>
  </si>
  <si>
    <t>2023-04-19</t>
  </si>
  <si>
    <t>2023-04-21</t>
  </si>
  <si>
    <t>AVENIDA SEM NOME TRAVESSA DA RODOVIA RAPOSO TAVARES ALTURA DA TELHA NORTE CERCA DE 400 METROS DA RODOVIA</t>
  </si>
  <si>
    <t>-23.5853631220411</t>
  </si>
  <si>
    <t>-46.7949552314285</t>
  </si>
  <si>
    <t>RUA ISAIAS FONTES SEM NUMERO</t>
  </si>
  <si>
    <t>-23.5835255302043</t>
  </si>
  <si>
    <t>-46.7999936518367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</si>
  <si>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</si>
  <si>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</si>
  <si>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</si>
  <si>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</si>
  <si>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</si>
  <si>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</si>
  <si>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</si>
  <si>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</si>
  <si>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</si>
  <si>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</si>
  <si>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</si>
  <si>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AVENIDA RIO DAS PEDRAS ESQUINA COM A AVENIDA MAZZAROPI</t>
  </si>
  <si>
    <t>-23.5625373267219</t>
  </si>
  <si>
    <t>-46.5156436697704</t>
  </si>
  <si>
    <t>RUA EVANS 864</t>
  </si>
  <si>
    <t>-23.5303449122768</t>
  </si>
  <si>
    <t>-46.5263096931122</t>
  </si>
  <si>
    <t>2023-05-03</t>
  </si>
  <si>
    <t>2023-05-04</t>
  </si>
  <si>
    <t>RUA VERGUEIRO ESQUINA COM A RUA CONCEICAO VELOSO</t>
  </si>
  <si>
    <t>-23.585301824996</t>
  </si>
  <si>
    <t>-46.6355905450375</t>
  </si>
  <si>
    <t>2023-05-05</t>
  </si>
  <si>
    <t>2023-05-06</t>
  </si>
  <si>
    <t>2023-05-07</t>
  </si>
  <si>
    <t>RUA ELISARIO ESPINDOLA 56</t>
  </si>
  <si>
    <t>-23.5063917955357</t>
  </si>
  <si>
    <t>-46.5166232533163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</si>
  <si>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</si>
  <si>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</si>
  <si>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</si>
  <si>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</si>
  <si>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</si>
  <si>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</si>
  <si>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</si>
  <si>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</si>
  <si>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</si>
  <si>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</si>
  <si>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</si>
  <si>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</si>
  <si>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</si>
  <si>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</si>
  <si>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</si>
  <si>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</si>
  <si>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</si>
  <si>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</si>
  <si>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</si>
  <si>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2023-05-28</t>
  </si>
  <si>
    <t>2023-05-27</t>
  </si>
  <si>
    <t>2023-05-29</t>
  </si>
  <si>
    <t>2023-05-30</t>
  </si>
  <si>
    <t>2023-05-31</t>
  </si>
  <si>
    <t>2023-06-01</t>
  </si>
  <si>
    <t>2023-06-03</t>
  </si>
  <si>
    <t>2023-06-02</t>
  </si>
  <si>
    <t>2023-06-05</t>
  </si>
  <si>
    <t>2023-06-04</t>
  </si>
  <si>
    <t>RUA MARTIM BURCHARD ESQUINA COM A RUA PRUDENTE DE MORAIS</t>
  </si>
  <si>
    <t>-23.5470172854836</t>
  </si>
  <si>
    <t>-46.6171750444242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</si>
  <si>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</si>
  <si>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</si>
  <si>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</si>
  <si>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</si>
  <si>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</si>
  <si>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</si>
  <si>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</si>
  <si>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</si>
  <si>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</si>
  <si>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</si>
  <si>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</si>
  <si>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</si>
  <si>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</si>
  <si>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</si>
  <si>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</si>
  <si>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</si>
  <si>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2023-06-23</t>
  </si>
  <si>
    <t>2023-06-22</t>
  </si>
  <si>
    <t>AVENIDA BARAO DE ALAGOAS ESQUINA COM A RUA PROFESSOR ZEFERINO FERRAZ</t>
  </si>
  <si>
    <t>-23.4990598755071</t>
  </si>
  <si>
    <t>-46.3948178121546</t>
  </si>
  <si>
    <t>RUA QUEBRA ANZOIS  463 PROXIMO A ESQUINA COM A RUA MANOEL BARBOSA DOS REIS</t>
  </si>
  <si>
    <t>-23.4926906082255</t>
  </si>
  <si>
    <t>-46.4003918868711</t>
  </si>
  <si>
    <t>AVENIDA NORDESTINA 2800 CURY DEZ SAO MIGUEL</t>
  </si>
  <si>
    <t>-23.5121788495128</t>
  </si>
  <si>
    <t>-46.4322394802268</t>
  </si>
  <si>
    <t>AVENIDA NORDESTINA 2800 CURY DEZ NORDESTINA</t>
  </si>
  <si>
    <t>-23.512250220987</t>
  </si>
  <si>
    <t>-46.4322930088324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</si>
  <si>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</si>
  <si>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</si>
  <si>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</si>
  <si>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</si>
  <si>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</si>
  <si>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</si>
  <si>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</si>
  <si>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</si>
  <si>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2023-07-03</t>
  </si>
  <si>
    <t>2023-07-02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</si>
  <si>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</si>
  <si>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</si>
  <si>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</si>
  <si>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</si>
  <si>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</si>
  <si>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</si>
  <si>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</si>
  <si>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2023-07-13</t>
  </si>
  <si>
    <t>2023-07-12</t>
  </si>
  <si>
    <t>2023-07-11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</si>
  <si>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</si>
  <si>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</si>
  <si>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</si>
  <si>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</si>
  <si>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</si>
  <si>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</si>
  <si>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</si>
  <si>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</si>
  <si>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</si>
  <si>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</si>
  <si>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</si>
  <si>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</si>
  <si>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</si>
  <si>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</si>
  <si>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</si>
  <si>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AVENIDA ITAQUERA 5889</t>
  </si>
  <si>
    <t>-23.5528513261252</t>
  </si>
  <si>
    <t>-46.4718808267263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</si>
  <si>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</si>
  <si>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</si>
  <si>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</si>
  <si>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</si>
  <si>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</si>
  <si>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</si>
  <si>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</si>
  <si>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</si>
  <si>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</si>
  <si>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</si>
  <si>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</si>
  <si>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</si>
  <si>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</si>
  <si>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</si>
  <si>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</si>
  <si>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</si>
  <si>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</si>
  <si>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</si>
  <si>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</si>
  <si>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</si>
  <si>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</si>
  <si>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</si>
  <si>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</si>
  <si>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</si>
  <si>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</si>
  <si>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</si>
  <si>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</si>
  <si>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</si>
  <si>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</si>
  <si>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</si>
  <si>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</si>
  <si>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</si>
  <si>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</si>
  <si>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</si>
  <si>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</si>
  <si>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</si>
  <si>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</si>
  <si>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</si>
  <si>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</si>
  <si>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</si>
  <si>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</si>
  <si>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</si>
  <si>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</si>
  <si>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2023-09-11</t>
  </si>
  <si>
    <t>2023-09-10</t>
  </si>
  <si>
    <t>2023-09-12</t>
  </si>
  <si>
    <t>2023-09-13</t>
  </si>
  <si>
    <t>2023-09-14</t>
  </si>
  <si>
    <t>2023-09-15</t>
  </si>
  <si>
    <t>2023-09-16</t>
  </si>
  <si>
    <t>2023-09-17</t>
  </si>
  <si>
    <t>2023-09-19</t>
  </si>
  <si>
    <t>2023-09-18</t>
  </si>
  <si>
    <t>2023-09-20</t>
  </si>
  <si>
    <t>2023-09-21</t>
  </si>
  <si>
    <t>2023-09-22</t>
  </si>
  <si>
    <t>2023-09-26</t>
  </si>
  <si>
    <t>2023-09-23</t>
  </si>
  <si>
    <t>2023-09-24</t>
  </si>
  <si>
    <t>2023-09-27</t>
  </si>
  <si>
    <t>2023-09-28</t>
  </si>
  <si>
    <t>2023-09-25</t>
  </si>
  <si>
    <t>2023-09-29</t>
  </si>
  <si>
    <t>2023-09-30</t>
  </si>
  <si>
    <t>2023-10-01</t>
  </si>
  <si>
    <t>2023-10-02</t>
  </si>
  <si>
    <t>2023-10-03</t>
  </si>
  <si>
    <t>2023-10-05</t>
  </si>
  <si>
    <t>2023-10-04</t>
  </si>
  <si>
    <t>2023-10-07</t>
  </si>
  <si>
    <t>2023-10-06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</si>
  <si>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</si>
  <si>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</si>
  <si>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</si>
  <si>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</si>
  <si>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</si>
  <si>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</si>
  <si>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</si>
  <si>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</si>
  <si>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2023-10-20</t>
  </si>
  <si>
    <t>2023-10-19</t>
  </si>
  <si>
    <t>2023-10-17</t>
  </si>
  <si>
    <t>2023-10-18</t>
  </si>
  <si>
    <t>2023-10-16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</si>
  <si>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</si>
  <si>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</si>
  <si>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</si>
  <si>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</si>
  <si>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</si>
  <si>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</si>
  <si>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</si>
  <si>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</si>
  <si>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</si>
  <si>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2023-10-31</t>
  </si>
  <si>
    <t>2023-10-30</t>
  </si>
  <si>
    <t>2023-11-01</t>
  </si>
  <si>
    <t>2023-11-05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</si>
  <si>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</si>
  <si>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</si>
  <si>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</si>
  <si>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</si>
  <si>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</si>
  <si>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</si>
  <si>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</si>
  <si>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</si>
  <si>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</si>
  <si>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</si>
  <si>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2024-01-06</t>
  </si>
  <si>
    <t>2024-06-09</t>
  </si>
  <si>
    <t>2024-05-14</t>
  </si>
  <si>
    <t>2024-03-30</t>
  </si>
  <si>
    <t>2024-04-07</t>
  </si>
  <si>
    <t>2024-05-30</t>
  </si>
  <si>
    <t>2024-05-23</t>
  </si>
  <si>
    <t>2024-03-16</t>
  </si>
  <si>
    <t>2024-05-10</t>
  </si>
  <si>
    <t>2024-03-05</t>
  </si>
  <si>
    <t>2024-05-27</t>
  </si>
  <si>
    <t>2024-05-21</t>
  </si>
  <si>
    <t>2024-03-01</t>
  </si>
  <si>
    <t>2024-02-07</t>
  </si>
  <si>
    <t>2024-01-28</t>
  </si>
  <si>
    <t>2024-05-13</t>
  </si>
  <si>
    <t>2024-02-15</t>
  </si>
  <si>
    <t>2024-04-08</t>
  </si>
  <si>
    <t>-46.6545000207327</t>
  </si>
  <si>
    <t>2024-03-04</t>
  </si>
  <si>
    <t>2024-02-16</t>
  </si>
  <si>
    <t>2024-03-15</t>
  </si>
  <si>
    <t>2024-05-22</t>
  </si>
  <si>
    <t>2024-05-31</t>
  </si>
  <si>
    <t>2024-02-11</t>
  </si>
  <si>
    <t>2024-05-15</t>
  </si>
  <si>
    <t>2024-05-29</t>
  </si>
  <si>
    <t>2024-05-17</t>
  </si>
  <si>
    <t>2024-04-09</t>
  </si>
  <si>
    <t>2024-03-31</t>
  </si>
  <si>
    <t>2024-03-09</t>
  </si>
  <si>
    <t>2024-05-05</t>
  </si>
  <si>
    <t>2024-05-07</t>
  </si>
  <si>
    <t>2024-02-19</t>
  </si>
  <si>
    <t>2024-05-20</t>
  </si>
  <si>
    <t>2024-05-11</t>
  </si>
  <si>
    <t>2024-05-24</t>
  </si>
  <si>
    <t>2024-02-01</t>
  </si>
  <si>
    <t>2024-05-25</t>
  </si>
  <si>
    <t>2023-11-21</t>
  </si>
  <si>
    <t>2023-12-12</t>
  </si>
  <si>
    <t>2024-03-10</t>
  </si>
  <si>
    <t>2024-05-26</t>
  </si>
  <si>
    <t>2024-05-28</t>
  </si>
  <si>
    <t>2024-04-02</t>
  </si>
  <si>
    <t>2024-03-25</t>
  </si>
  <si>
    <t>AVENIDA CONSELHEIRO CARRAO ESQUINA COM A RUA SERRA DE BOTUCATU</t>
  </si>
  <si>
    <t>-23.540621661476</t>
  </si>
  <si>
    <t>-46.550978272947</t>
  </si>
  <si>
    <t>2024-05-16</t>
  </si>
  <si>
    <t>2024-03-11</t>
  </si>
  <si>
    <t>2024-04-17</t>
  </si>
  <si>
    <t>2024-03-29</t>
  </si>
  <si>
    <t>2024-04-04</t>
  </si>
  <si>
    <t>2024-03-28</t>
  </si>
  <si>
    <t>2024-03-22</t>
  </si>
  <si>
    <t>2024-05-08</t>
  </si>
  <si>
    <t>2024-05-18</t>
  </si>
  <si>
    <t>2024-05-19</t>
  </si>
  <si>
    <t>2024-03-26</t>
  </si>
  <si>
    <t>AVENIDA SAO MIGUEL ESQUINA COM A RUA DEMETRIO</t>
  </si>
  <si>
    <t>-23.5169695797525</t>
  </si>
  <si>
    <t>-46.5226464028457</t>
  </si>
  <si>
    <t>2024-04-10</t>
  </si>
  <si>
    <t>2024-04-13</t>
  </si>
  <si>
    <t>2024-03-23</t>
  </si>
  <si>
    <t>2024-03-02</t>
  </si>
  <si>
    <t>2024-03-08</t>
  </si>
  <si>
    <t>2023-11-17</t>
  </si>
  <si>
    <t>2024-01-05</t>
  </si>
  <si>
    <t>2023-12-08</t>
  </si>
  <si>
    <t>2023-12-16</t>
  </si>
  <si>
    <t>2024-01-02</t>
  </si>
  <si>
    <t>2024-01-29</t>
  </si>
  <si>
    <t>2024-01-26</t>
  </si>
  <si>
    <t>2024-05-06</t>
  </si>
  <si>
    <t>2023-11-28</t>
  </si>
  <si>
    <t>2024-03-27</t>
  </si>
  <si>
    <t>2024-06-06</t>
  </si>
  <si>
    <t>2024-06-07</t>
  </si>
  <si>
    <t>RUA JOAO DE LAET ESQUINA COM A AVENIDA DANIEL MALETTINI</t>
  </si>
  <si>
    <t>-23.4765616889091</t>
  </si>
  <si>
    <t>-46.6226314683466</t>
  </si>
  <si>
    <t>2024-06-05</t>
  </si>
  <si>
    <t>2024-02-05</t>
  </si>
  <si>
    <t>2024-01-25</t>
  </si>
  <si>
    <t>2024-02-23</t>
  </si>
  <si>
    <t>2024-04-28</t>
  </si>
  <si>
    <t>2024-01-27</t>
  </si>
  <si>
    <t>2024-04-11</t>
  </si>
  <si>
    <t>2024-06-04</t>
  </si>
  <si>
    <t>2023-12-19</t>
  </si>
  <si>
    <t>2024-05-12</t>
  </si>
  <si>
    <t>2024-01-30</t>
  </si>
  <si>
    <t>2024-01-31</t>
  </si>
  <si>
    <t>2024-02-20</t>
  </si>
  <si>
    <t>RUA SOLDADO ANTONIO CAETANO SOUSA FILHO ESQUINA COM A RUA SOLDADO BENEDITO ELISEU DOS SANTOS</t>
  </si>
  <si>
    <t>-23.5117096148797</t>
  </si>
  <si>
    <t>-46.5690584132214</t>
  </si>
  <si>
    <t>2024-04-01</t>
  </si>
  <si>
    <t>RUA DOUTOR ALBERTO SEABRA ESQUINA COM A RUA ATIMBA</t>
  </si>
  <si>
    <t>-23.5417009944523</t>
  </si>
  <si>
    <t>-46.7062256719697</t>
  </si>
  <si>
    <t>2024-04-05</t>
  </si>
  <si>
    <t>2023-12-07</t>
  </si>
  <si>
    <t>2024-03-20</t>
  </si>
  <si>
    <t>2024-03-17</t>
  </si>
  <si>
    <t>2024-03-14</t>
  </si>
  <si>
    <t>2023-12-18</t>
  </si>
  <si>
    <t>2024-06-08</t>
  </si>
  <si>
    <t>2024-02-22</t>
  </si>
  <si>
    <t>2024-04-12</t>
  </si>
  <si>
    <t>2024-02-10</t>
  </si>
  <si>
    <t>2024-03-06</t>
  </si>
  <si>
    <t>2024-02-28</t>
  </si>
  <si>
    <t>2023-12-11</t>
  </si>
  <si>
    <t>2024-04-15</t>
  </si>
  <si>
    <t>2023-12-06</t>
  </si>
  <si>
    <t>2024-02-14</t>
  </si>
  <si>
    <t>2024-02-17</t>
  </si>
  <si>
    <t>2023-12-05</t>
  </si>
  <si>
    <t>AVENIDA ENGENHEIRO HEITOR ANTONIO EIRAS GARCIA</t>
  </si>
  <si>
    <t>-23.5835465814535</t>
  </si>
  <si>
    <t>-46.7514542777044</t>
  </si>
  <si>
    <t>2024-04-16</t>
  </si>
  <si>
    <t>2023-11-23</t>
  </si>
  <si>
    <t>2023-12-27</t>
  </si>
  <si>
    <t>2023-12-29</t>
  </si>
  <si>
    <t>2024-04-23</t>
  </si>
  <si>
    <t>2024-02-12</t>
  </si>
  <si>
    <t>2024-02-27</t>
  </si>
  <si>
    <t>2023-12-20</t>
  </si>
  <si>
    <t>2024-03-07</t>
  </si>
  <si>
    <t>2024-06-03</t>
  </si>
  <si>
    <t>2023-12-31</t>
  </si>
  <si>
    <t>RUA SANTA CRUZ ESQUINA COM A RUA PROFESSOR TRANQUILI</t>
  </si>
  <si>
    <t>-23.5970835095639</t>
  </si>
  <si>
    <t>-46.6318244936147</t>
  </si>
  <si>
    <t>2023-12-30</t>
  </si>
  <si>
    <t>2024-01-03</t>
  </si>
  <si>
    <t>2024-03-12</t>
  </si>
  <si>
    <t>2024-03-13</t>
  </si>
  <si>
    <t>2024-03-24</t>
  </si>
  <si>
    <t>2024-04-19</t>
  </si>
  <si>
    <t>2024-02-18</t>
  </si>
  <si>
    <t>-23.540113237931</t>
  </si>
  <si>
    <t>-46.6428595628233</t>
  </si>
  <si>
    <t>2024-02-26</t>
  </si>
  <si>
    <t>2023-11-24</t>
  </si>
  <si>
    <t>2024-02-25</t>
  </si>
  <si>
    <t>2024-05-02</t>
  </si>
  <si>
    <t>2024-01-04</t>
  </si>
  <si>
    <t>2024-04-03</t>
  </si>
  <si>
    <t>2024-05-09</t>
  </si>
  <si>
    <t>2024-03-21</t>
  </si>
  <si>
    <t>2024-04-06</t>
  </si>
  <si>
    <t>2024-02-02</t>
  </si>
  <si>
    <t>2024-02-29</t>
  </si>
  <si>
    <t>2024-05-01</t>
  </si>
  <si>
    <t>2024-02-21</t>
  </si>
  <si>
    <t>2024-02-06</t>
  </si>
  <si>
    <t>2024-04-20</t>
  </si>
  <si>
    <t>2024-02-09</t>
  </si>
  <si>
    <t>2024-01-24</t>
  </si>
  <si>
    <t>2024-01-22</t>
  </si>
  <si>
    <t>2024-04-29</t>
  </si>
  <si>
    <t>2024-02-08</t>
  </si>
  <si>
    <t>2024-03-18</t>
  </si>
  <si>
    <t>2023-12-01</t>
  </si>
  <si>
    <t>2024-02-13</t>
  </si>
  <si>
    <t>2024-04-24</t>
  </si>
  <si>
    <t>2023-12-10</t>
  </si>
  <si>
    <t>2024-05-04</t>
  </si>
  <si>
    <t>2023-12-23</t>
  </si>
  <si>
    <t>2023-12-22</t>
  </si>
  <si>
    <t>2024-04-30</t>
  </si>
  <si>
    <t>2024-04-25</t>
  </si>
  <si>
    <t>2024-04-18</t>
  </si>
  <si>
    <t>2024-01-08</t>
  </si>
  <si>
    <t>-23.6259079891573</t>
  </si>
  <si>
    <t>-46.6406810079892</t>
  </si>
  <si>
    <t>-23.629919790399</t>
  </si>
  <si>
    <t>RUA GAMA CERQUEIRA ESQUINA COM A RUA DOM DUARTE LEOPOLDO</t>
  </si>
  <si>
    <t>-23.5710846697334</t>
  </si>
  <si>
    <t>-46.6198914876099</t>
  </si>
  <si>
    <t>RUA JOAQUIM GUSTAVO ESQUINA COM A RUA PEDRO AMERICO</t>
  </si>
  <si>
    <t>-23.5420357079916</t>
  </si>
  <si>
    <t>-46.6426004269202</t>
  </si>
  <si>
    <t>2023-12-15</t>
  </si>
  <si>
    <t>2023-12-04</t>
  </si>
  <si>
    <t>RUA ANTONIO DA SILVA HERDEIRO ENTRE AS RUAS MANUEL FONSECA NETO E RUA JOAO DOMINGOS VEIGA</t>
  </si>
  <si>
    <t>-23.5687868237586</t>
  </si>
  <si>
    <t>-46.4092552037635</t>
  </si>
  <si>
    <t>RUA CRISTOVAO SALAMANCA ESQUINA COM A RUA ALBERTO FIUK</t>
  </si>
  <si>
    <t>-23.5575428504206</t>
  </si>
  <si>
    <t>-46.4336814482988</t>
  </si>
  <si>
    <t>RUA ACHILLES ORLANDO CURTOLO ESQUINA COM A RUA ROBERT BOSCH</t>
  </si>
  <si>
    <t>-23.5221487570307</t>
  </si>
  <si>
    <t>-46.670873608552</t>
  </si>
  <si>
    <t>2024-04-27</t>
  </si>
  <si>
    <t>2024-04-14</t>
  </si>
  <si>
    <t>RUA BARAO DE DUPRAT ESQUINA COM A AVENIDA SENADOR QUEIROZ</t>
  </si>
  <si>
    <t>-23.5396368855784</t>
  </si>
  <si>
    <t>-46.6306065081672</t>
  </si>
  <si>
    <t>RUA SIQUEIRA BUENO ESQUINA COM A RUA CAJURU</t>
  </si>
  <si>
    <t>-23.541332086581</t>
  </si>
  <si>
    <t>-46.596553805544</t>
  </si>
  <si>
    <t>2023-11-26</t>
  </si>
  <si>
    <t>AVENIDA PROFESSOR OSVALDO DE OLIVEIRA ESQUINA COM A RUA BELO VALE</t>
  </si>
  <si>
    <t>-23.5419185488314</t>
  </si>
  <si>
    <t>-46.427837442142</t>
  </si>
  <si>
    <t>2024-04-26</t>
  </si>
  <si>
    <t>2024-04-22</t>
  </si>
  <si>
    <t>RUA JARAUARA ESQUINA COM A RUA ITINGUCU</t>
  </si>
  <si>
    <t>-23.5292688763233</t>
  </si>
  <si>
    <t>-46.4974774084358</t>
  </si>
  <si>
    <t>2023-12-14</t>
  </si>
  <si>
    <t>2023-12-09</t>
  </si>
  <si>
    <t>2024-03-19</t>
  </si>
  <si>
    <t>AVENIDA PROFESSOR LUCIO MARTINS RODRIGUES</t>
  </si>
  <si>
    <t>-23.5574353988619</t>
  </si>
  <si>
    <t>-46.7270904931832</t>
  </si>
  <si>
    <t>2023-11-20</t>
  </si>
  <si>
    <t>2023-12-03</t>
  </si>
  <si>
    <t>2024-06-02</t>
  </si>
  <si>
    <t>-46.6903289223347</t>
  </si>
  <si>
    <t>AVENIDA CORIFEU DE AZEVEDO MARQUES ESQUINA COM A RUA FREI INACIO DA CONCEICAO</t>
  </si>
  <si>
    <t>-23.5701919897335</t>
  </si>
  <si>
    <t>-46.7408899966387</t>
  </si>
  <si>
    <t>2023-12-28</t>
  </si>
  <si>
    <t>2024-02-04</t>
  </si>
  <si>
    <t>AVENIDA MICHEL SALIBA180</t>
  </si>
  <si>
    <t>2023-12-26</t>
  </si>
  <si>
    <t>2023-12-13</t>
  </si>
  <si>
    <t>-23.5341529257124</t>
  </si>
  <si>
    <t>-46.6117955703149</t>
  </si>
  <si>
    <t>-23.536681504145</t>
  </si>
  <si>
    <t>2023-11-29</t>
  </si>
  <si>
    <t>-46.4718808267262</t>
  </si>
  <si>
    <t>RUA SALVADOR GIANETTI 201</t>
  </si>
  <si>
    <t>-23.5426610748403</t>
  </si>
  <si>
    <t>-46.4203891657483</t>
  </si>
  <si>
    <t>RUA CLEMENTE MARTINS DE MATOS ESQUINA COM A RUA SALVADOR BALBINO DE MATOS</t>
  </si>
  <si>
    <t>-23.4907273931766</t>
  </si>
  <si>
    <t>-46.389732921113</t>
  </si>
  <si>
    <t>RUA ANTONIO MOURA DE ANDRADE ESQUINA COM A RUA ISAIAS COELHO</t>
  </si>
  <si>
    <t>-23.5286696209672</t>
  </si>
  <si>
    <t>-46.4454783787168</t>
  </si>
  <si>
    <t>-46.6050188029188</t>
  </si>
  <si>
    <t>RUA VITOR HUGO ESQUINA COM A AVENIDA VAUTIER</t>
  </si>
  <si>
    <t>-23.533704131774</t>
  </si>
  <si>
    <t>-46.6221124792697</t>
  </si>
  <si>
    <t>RUA NILZA PROXIMO A ESQUINA COM A AVENIDA AMADOR BUENO DA VEIGA</t>
  </si>
  <si>
    <t>-23.5237343102669</t>
  </si>
  <si>
    <t>-46.5213522713804</t>
  </si>
  <si>
    <t>RUA DIEGO CALADO 112</t>
  </si>
  <si>
    <t>-23.4989166102227</t>
  </si>
  <si>
    <t>-46.4456746846936</t>
  </si>
  <si>
    <t>RUA CAROLINA MARIA DE JESUS ESQUINA COM A RUA DOUTOR ARMILLO</t>
  </si>
  <si>
    <t>-23.5988231722707</t>
  </si>
  <si>
    <t>-46.5234621902728</t>
  </si>
  <si>
    <t>RUA GIOVANI NASCO 377</t>
  </si>
  <si>
    <t>-23.6056086122814</t>
  </si>
  <si>
    <t>-46.4988375803153</t>
  </si>
  <si>
    <t>AVENIDA SAO MIGUEL 8184</t>
  </si>
  <si>
    <t>-23.4983501847996</t>
  </si>
  <si>
    <t>-46.4579860495558</t>
  </si>
  <si>
    <t>2023-11-14</t>
  </si>
  <si>
    <t>RUA RAMAL DOS MENEZES ESQUINA COM A RUA SAO LAUDELINO</t>
  </si>
  <si>
    <t>-23.483559420626</t>
  </si>
  <si>
    <t>-46.6460694495222</t>
  </si>
  <si>
    <t>-23.4783374848251</t>
  </si>
  <si>
    <t>-46.7188131240433</t>
  </si>
  <si>
    <t>-23.4768051578172</t>
  </si>
  <si>
    <t>RUA ORLANDO RIBEIRO DANTAS 37</t>
  </si>
  <si>
    <t>-23.4925064023726</t>
  </si>
  <si>
    <t>-46.6005965346504</t>
  </si>
  <si>
    <t>PRACA GOMES FIGUEIREDO PROXIMO A ESQUINA COM A RUA VIANOPOLIS</t>
  </si>
  <si>
    <t>-23.5045435649303</t>
  </si>
  <si>
    <t>-46.5826659812019</t>
  </si>
  <si>
    <t>AVENIDA PROFESSOR FREDERICO HERMAN JUNIOR ESQUINA COM A AVENIDA DOUTORA RUTH CARDOSO</t>
  </si>
  <si>
    <t>-23.5625866705706</t>
  </si>
  <si>
    <t>-46.7040530132022</t>
  </si>
  <si>
    <t>RUA FEDERACAO PAULISTA DE FUTEBOL ESQUINA COM A PRACA LUIZ CARLOS MESQUITA</t>
  </si>
  <si>
    <t>-23.521832224193</t>
  </si>
  <si>
    <t>-46.6675334334646</t>
  </si>
  <si>
    <t>2023-11-27</t>
  </si>
  <si>
    <t>RUA SAPETUBA ESQUINA COM A RUA MARTINS</t>
  </si>
  <si>
    <t>-23.5743465862555</t>
  </si>
  <si>
    <t>-46.7085826644282</t>
  </si>
  <si>
    <t>RUA ALVARENGA 1139</t>
  </si>
  <si>
    <t>-23.5719328573846</t>
  </si>
  <si>
    <t>-46.7115731264609</t>
  </si>
  <si>
    <t>-46.7512282953874</t>
  </si>
  <si>
    <t>RUA FORTUNA FERRAZ 851</t>
  </si>
  <si>
    <t>-23.5176168078947</t>
  </si>
  <si>
    <t>-46.7198430270677</t>
  </si>
  <si>
    <t>RUA IBIQUARA 250</t>
  </si>
  <si>
    <t>-23.5304683065549</t>
  </si>
  <si>
    <t>-46.7029036711283</t>
  </si>
  <si>
    <t>PRACA CAMPOS DA CUNHA ESQUINA COM A RUA EUSEBIO DE PAIVA</t>
  </si>
  <si>
    <t>-23.5388613167203</t>
  </si>
  <si>
    <t>-46.7047531464093</t>
  </si>
  <si>
    <t>RUA SALES GUERRA ESQUINA COM A RUA JOAO FRAISSAT</t>
  </si>
  <si>
    <t>-23.5333062510312</t>
  </si>
  <si>
    <t>-46.6973263519051</t>
  </si>
  <si>
    <t>RUA PACOBA 71</t>
  </si>
  <si>
    <t>-23.6000355904465</t>
  </si>
  <si>
    <t>-46.6990194912821</t>
  </si>
  <si>
    <t>AVENIDA DUQUESA DE GOIAIS ESQUINA COM A RUA FRANCISCO TRAMONTANO</t>
  </si>
  <si>
    <t>-23.6154853493427</t>
  </si>
  <si>
    <t>-46.7020909600442</t>
  </si>
  <si>
    <t>2023-11-30</t>
  </si>
  <si>
    <t>RUA ILAMI 125 DEFRONTE A RUA MANAGUA</t>
  </si>
  <si>
    <t>-23.5820881019195</t>
  </si>
  <si>
    <t>-46.7026568103135</t>
  </si>
  <si>
    <t>AVENIDA GEORGE SAVILLE DODD 500</t>
  </si>
  <si>
    <t>-23.5838557427518</t>
  </si>
  <si>
    <t>-46.7070521790481</t>
  </si>
  <si>
    <t>AVENIDA ALBERT EINSTEIN ESQUINA COM A RUA MARCELO MISTRORIGO</t>
  </si>
  <si>
    <t>-23.5980179449905</t>
  </si>
  <si>
    <t>-46.7150475083494</t>
  </si>
  <si>
    <t>RUA LEANDRO TEIXEIRA 69</t>
  </si>
  <si>
    <t>-23.6108563488771</t>
  </si>
  <si>
    <t>-46.7248531920305</t>
  </si>
  <si>
    <t>RUA RIFANIA ESQUINA COM A RUA HEITOR PENTEADO</t>
  </si>
  <si>
    <t>-23.5435376728752</t>
  </si>
  <si>
    <t>-46.69424058895</t>
  </si>
  <si>
    <t>RUA PORTUGAL ESQUINA COM A RUA SUECIA</t>
  </si>
  <si>
    <t>-23.5772131930123</t>
  </si>
  <si>
    <t>-46.6745033996009</t>
  </si>
  <si>
    <t>-23.5239577348119</t>
  </si>
  <si>
    <t>-46.7372757280164</t>
  </si>
  <si>
    <t>RUA TAGUAPACA 259 PROXIMO A ESQUINA COM A RUA PROFESSORA MARIA DE LOURDES S NOGUEIRA</t>
  </si>
  <si>
    <t>-23.6770538709052</t>
  </si>
  <si>
    <t>-46.6918484482759</t>
  </si>
  <si>
    <t>AVENIDA DAS NACOES UNIDA ESQUINA COM A AVENIDA ENGENHEIRO ALBERTO DE ZAGOTTIS</t>
  </si>
  <si>
    <t>-23.6753987246094</t>
  </si>
  <si>
    <t>-46.6989432773437</t>
  </si>
  <si>
    <t>-23.6407159846017</t>
  </si>
  <si>
    <t>ESTRADA VELHA DE ITAPECERICA ESQUINA COM A RUA ALBANO ANTONIO DE CAMARGO</t>
  </si>
  <si>
    <t>-23.6194963128846</t>
  </si>
  <si>
    <t>-46.7600659056054</t>
  </si>
  <si>
    <t>-23.6583311040862</t>
  </si>
  <si>
    <t>2023-12-24</t>
  </si>
  <si>
    <t>AVENIDA PRESIDENTE WILSON ESQUINA COM A RUA ALMIRANTE LOBO</t>
  </si>
  <si>
    <t>-23.5894972722492</t>
  </si>
  <si>
    <t>-46.5939859720512</t>
  </si>
  <si>
    <t>RUA ALEXANDRE FINTA ESQUINA COM A RUA ARMANDO DUPRAT</t>
  </si>
  <si>
    <t>-23.6567171628381</t>
  </si>
  <si>
    <t>-46.7522170684188</t>
  </si>
  <si>
    <t>RUA FERNANDES MOREIRA DEFRONTE A RUA PROFESSOR ERNESTO DE SOUZA CAMPOS</t>
  </si>
  <si>
    <t>-23.628055006301</t>
  </si>
  <si>
    <t>-46.7094782440997</t>
  </si>
  <si>
    <t>2023-12-21</t>
  </si>
  <si>
    <t>AVENIDA ADOLFO PINHEIRO ESQUINA COM A RUA ISABEL SCHIMIDT</t>
  </si>
  <si>
    <t>-23.6508726286009</t>
  </si>
  <si>
    <t>-46.7045093341245</t>
  </si>
  <si>
    <t>2024-04-21</t>
  </si>
  <si>
    <t>-23.6253902659833</t>
  </si>
  <si>
    <t>-46.6409421577373</t>
  </si>
  <si>
    <t>AVENIDA ALBERTO AUGUSTO ALVES 270</t>
  </si>
  <si>
    <t>-23.6407760138277</t>
  </si>
  <si>
    <t>-46.7363534764786</t>
  </si>
  <si>
    <t>RUA DOM SALOMAO FERRAZ 194</t>
  </si>
  <si>
    <t>-23.6347650987039</t>
  </si>
  <si>
    <t>-46.7398889927273</t>
  </si>
  <si>
    <t>RUA CONSELHEIRO BROTERO ESQUINA COM A AVENIDA GENERAL OLIMPIO DA SILVEIRA</t>
  </si>
  <si>
    <t>-23.5322231287246</t>
  </si>
  <si>
    <t>-46.6589573307702</t>
  </si>
  <si>
    <t>AVENIDA BARONESA DE PORTO CARREIRO ESQUINA COM A AVENIDA DOUTOR ABRAAO RIBEIRO</t>
  </si>
  <si>
    <t>-23.5198247770411</t>
  </si>
  <si>
    <t>-46.6564042373689</t>
  </si>
  <si>
    <t>RUA PLINIO RAMOS ESQUINA COM A RUA MAUA</t>
  </si>
  <si>
    <t>-23.5371394886478</t>
  </si>
  <si>
    <t>-46.6289917852855</t>
  </si>
  <si>
    <t>RUA CAPITAO SERVIO RODRIGUES CALDAS ESQUINA COM A AVENIDA GENERAL ATALIBA LEONEL</t>
  </si>
  <si>
    <t>-23.4870582877468</t>
  </si>
  <si>
    <t>-46.6066043394973</t>
  </si>
  <si>
    <t>RUA ITAMONTE ESQUINA COM A AVENIDA MENDES DA ROCHA</t>
  </si>
  <si>
    <t>-23.484372335113</t>
  </si>
  <si>
    <t>-46.5698763927001</t>
  </si>
  <si>
    <t>RUA CERRO CORA ESQUINA COM A RUA SEBASTIAO CALEIRO</t>
  </si>
  <si>
    <t>-23.5407418264267</t>
  </si>
  <si>
    <t>-46.7023788678108</t>
  </si>
  <si>
    <t>-46.7360495064468</t>
  </si>
  <si>
    <t>RUA CARLOS PINTO ALVES ESQUINA COM A RUA IPIRANGA</t>
  </si>
  <si>
    <t>-23.6355564035491</t>
  </si>
  <si>
    <t>-46.6637690721444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</si>
  <si>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</si>
  <si>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</si>
  <si>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</si>
  <si>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</si>
  <si>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</si>
  <si>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</si>
  <si>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</si>
  <si>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</si>
  <si>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</si>
  <si>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</si>
  <si>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</si>
  <si>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</si>
  <si>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</si>
  <si>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</si>
  <si>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</si>
  <si>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</si>
  <si>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</si>
  <si>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</si>
  <si>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</si>
  <si>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</si>
  <si>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</si>
  <si>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</si>
  <si>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</si>
  <si>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</si>
  <si>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</si>
  <si>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</si>
  <si>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</si>
  <si>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</si>
  <si>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</si>
  <si>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</si>
  <si>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2024-07-15</t>
  </si>
  <si>
    <t>RUA JOSE BENTO 395</t>
  </si>
  <si>
    <t>-23.5655313330574</t>
  </si>
  <si>
    <t>-46.6176491431362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</si>
  <si>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</si>
  <si>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</si>
  <si>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</si>
  <si>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</si>
  <si>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</si>
  <si>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</si>
  <si>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</si>
  <si>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</si>
  <si>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</si>
  <si>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</si>
  <si>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RUA CECILIA CALOVINI ESQUINA COM A RUA DOUTOR TEODOLINDO CASTIGLIONE</t>
  </si>
  <si>
    <t>-23.4816048550902</t>
  </si>
  <si>
    <t>-46.7165428992566</t>
  </si>
  <si>
    <t>2024-07-27</t>
  </si>
  <si>
    <t>2024-07-28</t>
  </si>
  <si>
    <t>2024-07-29</t>
  </si>
  <si>
    <t>2024-07-30</t>
  </si>
  <si>
    <t>2024-07-31</t>
  </si>
  <si>
    <t>2024-08-02</t>
  </si>
  <si>
    <t>2024-08-01</t>
  </si>
  <si>
    <t>2024-08-06</t>
  </si>
  <si>
    <t>2024-08-03</t>
  </si>
  <si>
    <t>2024-08-04</t>
  </si>
  <si>
    <t>2024-08-07</t>
  </si>
  <si>
    <t>2024-08-08</t>
  </si>
  <si>
    <t>2024-08-09</t>
  </si>
  <si>
    <t>RUA JOSE ROSCHEL RODRIGUES ESQUINA COM A RUA VIRGINIA MODESTO</t>
  </si>
  <si>
    <t>-23.7921110187688</t>
  </si>
  <si>
    <t>-46.7317241640015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</si>
  <si>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</si>
  <si>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</si>
  <si>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</si>
  <si>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</si>
  <si>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</si>
  <si>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</si>
  <si>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</si>
  <si>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</si>
  <si>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</si>
  <si>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</si>
  <si>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</si>
  <si>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</si>
  <si>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</si>
  <si>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</si>
  <si>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</si>
  <si>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</si>
  <si>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</si>
  <si>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</si>
  <si>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</si>
  <si>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</si>
  <si>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</si>
  <si>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</si>
  <si>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</si>
  <si>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</si>
  <si>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</si>
  <si>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</si>
  <si>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</si>
  <si>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</si>
  <si>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</si>
  <si>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</si>
  <si>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</si>
  <si>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</si>
  <si>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</si>
  <si>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</si>
  <si>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</si>
  <si>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</si>
  <si>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</si>
  <si>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</si>
  <si>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</si>
  <si>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</si>
  <si>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</si>
  <si>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</si>
  <si>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</si>
  <si>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</si>
  <si>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</si>
  <si>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</si>
  <si>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</si>
  <si>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</si>
  <si>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</si>
  <si>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</si>
  <si>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</si>
  <si>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</si>
  <si>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</si>
  <si>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</si>
  <si>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</si>
  <si>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</si>
  <si>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</si>
  <si>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2024-07-16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</si>
  <si>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</si>
  <si>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</si>
  <si>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</si>
  <si>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</si>
  <si>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</si>
  <si>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</si>
  <si>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</si>
  <si>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</si>
  <si>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</si>
  <si>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</si>
  <si>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RUA VITORIA DO ESPIRITO SANTO 501</t>
  </si>
  <si>
    <t>-23.518584405688</t>
  </si>
  <si>
    <t>-46.3924988751896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</si>
  <si>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</si>
  <si>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</si>
  <si>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</si>
  <si>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</si>
  <si>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</si>
  <si>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</si>
  <si>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</si>
  <si>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</si>
  <si>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</si>
  <si>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</si>
  <si>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</si>
  <si>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</si>
  <si>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RUA SERRANA 511</t>
  </si>
  <si>
    <t>-23.551147209149</t>
  </si>
  <si>
    <t>-46.4716139730402</t>
  </si>
  <si>
    <t>PRACA AMIANTO NO FINAL DA RUA PONTA TIGIOCA</t>
  </si>
  <si>
    <t>-23.5455229789906</t>
  </si>
  <si>
    <t>-46.4220152528804</t>
  </si>
  <si>
    <t>RUA AGOSTINHO DELGADO DE AROUCHE 200</t>
  </si>
  <si>
    <t>-23.5380137579995</t>
  </si>
  <si>
    <t>-46.4295794864795</t>
  </si>
  <si>
    <t>RUA CORONEL PEDRO DIAS DE CAMPOS 788 PROXIMO A ESQUINA COM A AVENIDA MELCHERT</t>
  </si>
  <si>
    <t>-23.5337535169158</t>
  </si>
  <si>
    <t>-46.5343671785819</t>
  </si>
  <si>
    <t>RUA GIANNINO CARTA ESQUINA COM A RUA ADHERBAL STRESSER</t>
  </si>
  <si>
    <t>-23.5919898574873</t>
  </si>
  <si>
    <t>-46.7928642043303</t>
  </si>
  <si>
    <t>RUA SEVERIANO LEITE ESQUINA COM A RUA POEMA DOS OLHOS</t>
  </si>
  <si>
    <t>-23.5917093816254</t>
  </si>
  <si>
    <t>-46.7885187639995</t>
  </si>
  <si>
    <t>2024-10-28</t>
  </si>
  <si>
    <t>2024-10-29</t>
  </si>
  <si>
    <t>RUA HIROVO KAMINOBO 980</t>
  </si>
  <si>
    <t>-23.5763984391754</t>
  </si>
  <si>
    <t>-46.4345488618884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</si>
  <si>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</si>
  <si>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</si>
  <si>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</si>
  <si>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</si>
  <si>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</si>
  <si>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</si>
  <si>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</si>
  <si>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</si>
  <si>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</si>
  <si>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</si>
  <si>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RUA CABO ESTACIO DA CONCEICAO DEFRONTE A RUA BENEDITO MATARAZZO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</si>
  <si>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</si>
  <si>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</si>
  <si>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</si>
  <si>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</si>
  <si>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</si>
  <si>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</si>
  <si>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</si>
  <si>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</si>
  <si>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</si>
  <si>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</si>
  <si>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</si>
  <si>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</si>
  <si>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</si>
  <si>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</si>
  <si>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</si>
  <si>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</si>
  <si>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</si>
  <si>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</si>
  <si>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</si>
  <si>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</si>
  <si>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RUA ANTONIO CARLOS LIMA ESQUINA COM A RUA CANDIDO FREIRE</t>
  </si>
  <si>
    <t>-23.4649874509216</t>
  </si>
  <si>
    <t>-46.5813145322716</t>
  </si>
  <si>
    <t>RUA CAPITAO BUSSE ESQUINA COM A RUA GEORGE GUYNEMER</t>
  </si>
  <si>
    <t>-23.4780444535877</t>
  </si>
  <si>
    <t>-46.5612049606483</t>
  </si>
  <si>
    <t>RUA LILIENTAL ESQUINA COM A RUA ALBERTO</t>
  </si>
  <si>
    <t>-23.4738389124676</t>
  </si>
  <si>
    <t>-46.5664277617147</t>
  </si>
  <si>
    <t>RUA PADRE SABOIA DE MEDEIROS DEFRONTE A RUA ALVES CARDOSO</t>
  </si>
  <si>
    <t>-23.4993134740476</t>
  </si>
  <si>
    <t>-46.5764890475899</t>
  </si>
  <si>
    <t>RUA RUSSIA ESQUINA COM A RUA BELGICA PRACA JUDITH KARDOS KLOTZEL</t>
  </si>
  <si>
    <t>-23.5786865626256</t>
  </si>
  <si>
    <t>-46.680574565296</t>
  </si>
  <si>
    <t>RUA APUCARANA 131 NO INTERIOR DA EB TATUAPE</t>
  </si>
  <si>
    <t>-23.5396469100778</t>
  </si>
  <si>
    <t>-46.5648337565465</t>
  </si>
  <si>
    <t>2024-11-29</t>
  </si>
  <si>
    <t>AVENIDA BOSCHETTI DEFRONTE A RUA SEBASTIAO MAGGI DA FONSECA</t>
  </si>
  <si>
    <t>-23.4830600651294</t>
  </si>
  <si>
    <t>-46.5883604657473</t>
  </si>
  <si>
    <t>RUA ANTONIA BOSCHETTI ESQUINA COM A AVENIDA BOSCHETTI</t>
  </si>
  <si>
    <t>-23.4875310255112</t>
  </si>
  <si>
    <t>-46.5909973248627</t>
  </si>
  <si>
    <t>2024-11-30</t>
  </si>
  <si>
    <t>2024-12-01</t>
  </si>
  <si>
    <t>RUA GUARANESIA ESQUINA COM A RUA GAVEA</t>
  </si>
  <si>
    <t>-23.5133506403951</t>
  </si>
  <si>
    <t>-46.587120000075</t>
  </si>
  <si>
    <t>2024-12-02</t>
  </si>
  <si>
    <t>2024-12-03</t>
  </si>
  <si>
    <t>2024-12-04</t>
  </si>
  <si>
    <t>RUA PADRE SABOIA DE MEDEIROS ESQUINA COM A AVENIDA DOUTOR BENEDITO ESTEVAM DOS SANTOS</t>
  </si>
  <si>
    <t>-23.4968252260519</t>
  </si>
  <si>
    <t>-46.5792988132065</t>
  </si>
  <si>
    <t>AVENIDA CORIFEU DE AZEVEDO MARQUES ESQUINA COM A RUA PAULO ANGELO LAZARINI</t>
  </si>
  <si>
    <t>-23.5751308395454</t>
  </si>
  <si>
    <t>-46.7287195259918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</si>
  <si>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</si>
  <si>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</si>
  <si>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</si>
  <si>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</si>
  <si>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</si>
  <si>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</si>
  <si>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</si>
  <si>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RUA HAVAI 634</t>
  </si>
  <si>
    <t>-23.5404808385488</t>
  </si>
  <si>
    <t>-46.6884489243675</t>
  </si>
  <si>
    <t>2024-12-12</t>
  </si>
  <si>
    <t>2024-12-13</t>
  </si>
  <si>
    <t>RUA AUGUSTIN LUBERTI PROXIMO A ESQUINA COM A RUA FRANCESCO CIAM</t>
  </si>
  <si>
    <t>-23.6163560590797</t>
  </si>
  <si>
    <t>-46.4879049864957</t>
  </si>
  <si>
    <t>2024-12-14</t>
  </si>
  <si>
    <t>2024-12-15</t>
  </si>
  <si>
    <t>-23.5049940907225</t>
  </si>
  <si>
    <t>-46.6893046849262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</si>
  <si>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</si>
  <si>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</si>
  <si>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</si>
  <si>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</si>
  <si>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</si>
  <si>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</si>
  <si>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</si>
  <si>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</si>
  <si>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</si>
  <si>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</si>
  <si>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</si>
  <si>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</si>
  <si>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</si>
  <si>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</si>
  <si>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</si>
  <si>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</si>
  <si>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</si>
  <si>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</si>
  <si>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</si>
  <si>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</si>
  <si>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</si>
  <si>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</si>
  <si>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</si>
  <si>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AVENIDA SAPOPEMBA 7621 PROXIMO A ESQUINA COM A RUA HENOCH GAWENDO</t>
  </si>
  <si>
    <t>-23.594778194423</t>
  </si>
  <si>
    <t>-46.525200226173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</si>
  <si>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</si>
  <si>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</si>
  <si>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</si>
  <si>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</si>
  <si>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</si>
  <si>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</si>
  <si>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</si>
  <si>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</si>
  <si>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</si>
  <si>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</si>
  <si>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</si>
  <si>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</si>
  <si>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</si>
  <si>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</si>
  <si>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AVENIDA ITABERARABA 4718 DEFRONTE A RUA BARREIRO DO NASCIMENTO</t>
  </si>
  <si>
    <t>-23.4745193382998</t>
  </si>
  <si>
    <t>-46.6729916666667</t>
  </si>
  <si>
    <t>2025-01-22</t>
  </si>
  <si>
    <t>-23.493432449827</t>
  </si>
  <si>
    <t>-46.6682217176457</t>
  </si>
  <si>
    <t>2025-01-23</t>
  </si>
  <si>
    <t>2025-01-24</t>
  </si>
  <si>
    <t>2025-01-25</t>
  </si>
  <si>
    <t>2025-01-26</t>
  </si>
  <si>
    <t>RUA AURORA DE TOCANTINS DEFRONTE A RUA FIDELIS LEME</t>
  </si>
  <si>
    <t>-23.6100313573515</t>
  </si>
  <si>
    <t>-46.4294534091268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</si>
  <si>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</si>
  <si>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</si>
  <si>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</si>
  <si>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</si>
  <si>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</si>
  <si>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</si>
  <si>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</si>
  <si>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RUA AMARAL GURGEL ESQUINA COM A RUA GENERAL JARDIM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</si>
  <si>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</si>
  <si>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</si>
  <si>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</si>
  <si>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</si>
  <si>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</si>
  <si>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</si>
  <si>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</si>
  <si>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</si>
  <si>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</si>
  <si>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</si>
  <si>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</si>
  <si>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</si>
  <si>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</si>
  <si>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</si>
  <si>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</si>
  <si>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</si>
  <si>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</si>
  <si>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</si>
  <si>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</si>
  <si>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</si>
  <si>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</si>
  <si>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</si>
  <si>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</si>
  <si>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</si>
  <si>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</si>
  <si>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</si>
  <si>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</si>
  <si>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</si>
  <si>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</si>
  <si>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</si>
  <si>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</si>
  <si>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</si>
  <si>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</si>
  <si>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</si>
  <si>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</si>
  <si>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</si>
  <si>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</si>
  <si>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</si>
  <si>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</si>
  <si>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</si>
  <si>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</si>
  <si>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</si>
  <si>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</si>
  <si>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</si>
  <si>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</si>
  <si>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</si>
  <si>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</si>
  <si>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</si>
  <si>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</si>
  <si>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</si>
  <si>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</si>
  <si>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</si>
  <si>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</si>
  <si>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</si>
  <si>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RUA DOUTOR CESAR ESQUINA COM A RUA CHEMIM DEL PRA</t>
  </si>
  <si>
    <t>-23.5027871808893</t>
  </si>
  <si>
    <t>-46.6318380347174</t>
  </si>
  <si>
    <t>2025-03-29</t>
  </si>
  <si>
    <t>RUA CARDON ESQUINA COM A RUA ALBERTINA MEDEIROS</t>
  </si>
  <si>
    <t>-23.5198045262389</t>
  </si>
  <si>
    <t>-46.4413347079822</t>
  </si>
  <si>
    <t>2025-03-30</t>
  </si>
  <si>
    <t>2025-03-31</t>
  </si>
  <si>
    <t>2025-04-01</t>
  </si>
  <si>
    <t>2025-04-02</t>
  </si>
  <si>
    <t>2025-04-03</t>
  </si>
  <si>
    <t>RUA ZANZIBAR 594  PROXIMO A ESQUINA COM A RUA DO HAVRE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</si>
  <si>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</si>
  <si>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</si>
  <si>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</si>
  <si>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</si>
  <si>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</si>
  <si>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</si>
  <si>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</si>
  <si>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</si>
  <si>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</si>
  <si>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</si>
  <si>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</si>
  <si>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AVENIDA IMIRIM 717</t>
  </si>
  <si>
    <t>-23.4973326207296</t>
  </si>
  <si>
    <t>-46.6422923878383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</si>
  <si>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</si>
  <si>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</si>
  <si>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</si>
  <si>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</si>
  <si>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</si>
  <si>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</si>
  <si>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</si>
  <si>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</si>
  <si>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</si>
  <si>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</si>
  <si>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</si>
  <si>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</si>
  <si>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</si>
  <si>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</si>
  <si>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</si>
  <si>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</si>
  <si>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</si>
  <si>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</si>
  <si>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</si>
  <si>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</si>
  <si>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</si>
  <si>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</si>
  <si>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</si>
  <si>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</si>
  <si>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</si>
  <si>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RUA OLGA CAMELINI 203 NO FINAL DA RUA</t>
  </si>
  <si>
    <t>2025-05-10</t>
  </si>
  <si>
    <t>2025-05-11</t>
  </si>
  <si>
    <t>2025-05-12</t>
  </si>
  <si>
    <t>AVENIDA NAZARE PROXIMO A ESQUINA COM A RUA DOUTOR GENTIL DE MOURA</t>
  </si>
  <si>
    <t>-23.6026667152962</t>
  </si>
  <si>
    <t>-46.6094106069706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</si>
  <si>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</si>
  <si>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</si>
  <si>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</si>
  <si>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</si>
  <si>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</si>
  <si>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</si>
  <si>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</si>
  <si>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</si>
  <si>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</si>
  <si>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</si>
  <si>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</si>
  <si>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</si>
  <si>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</si>
  <si>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</si>
  <si>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</si>
  <si>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</si>
  <si>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</si>
  <si>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</si>
  <si>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RUA PRACA DOM ORIONE ESQUINA COM A RUA RUI BARBOSA</t>
  </si>
  <si>
    <t>RUA CINCINATO BRAGA 242 PROXIMA A RUA TEIXEIRA SILVA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</si>
  <si>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</si>
  <si>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</si>
  <si>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</si>
  <si>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</si>
  <si>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</si>
  <si>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</si>
  <si>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</si>
  <si>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</si>
  <si>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</si>
  <si>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</si>
  <si>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</si>
  <si>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</si>
  <si>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</si>
  <si>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</si>
  <si>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</si>
  <si>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</si>
  <si>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</si>
  <si>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</si>
  <si>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</si>
  <si>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</si>
  <si>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</si>
  <si>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</si>
  <si>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</si>
  <si>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</si>
  <si>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-23.5488100720544</t>
  </si>
  <si>
    <t>-46.4015577953819</t>
  </si>
  <si>
    <t>2025-06-24</t>
  </si>
  <si>
    <t>2025-06-25</t>
  </si>
  <si>
    <t>2025-06-26</t>
  </si>
  <si>
    <t>2025-06-27</t>
  </si>
  <si>
    <t>AVENIDA ADELIA CHOHFI 655</t>
  </si>
  <si>
    <t>-23.6179859721885</t>
  </si>
  <si>
    <t>-46.47731274013</t>
  </si>
  <si>
    <t>AVENIDA ADELIA CHOFI 615</t>
  </si>
  <si>
    <t>-23.6178119549946</t>
  </si>
  <si>
    <t>-46.4771967286674</t>
  </si>
  <si>
    <t>2025-06-28</t>
  </si>
  <si>
    <t>-23.4918382658699</t>
  </si>
  <si>
    <t>-46.7249651916615</t>
  </si>
  <si>
    <t>-23.5385463500073</t>
  </si>
  <si>
    <t>-46.7019352357194</t>
  </si>
  <si>
    <t>-23.5383067700342</t>
  </si>
  <si>
    <t>-46.7018048314302</t>
  </si>
  <si>
    <t>-23.5499211593265</t>
  </si>
  <si>
    <t>-46.6350330774772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</si>
  <si>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</si>
  <si>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</si>
  <si>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</si>
  <si>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</si>
  <si>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</si>
  <si>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</si>
  <si>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</si>
  <si>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</si>
  <si>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</si>
  <si>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</si>
  <si>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</si>
  <si>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</si>
  <si>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</si>
  <si>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</si>
  <si>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</si>
  <si>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</si>
  <si>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</si>
  <si>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</si>
  <si>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</si>
  <si>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</si>
  <si>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</si>
  <si>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</si>
  <si>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</si>
  <si>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</si>
  <si>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</si>
  <si>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</si>
  <si>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</si>
  <si>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</si>
  <si>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</si>
  <si>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</si>
  <si>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</si>
  <si>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</si>
  <si>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</si>
  <si>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RUA BOM PASTOR ESQUINA COM A RUA LIMA E SILVA</t>
  </si>
  <si>
    <t>-23.5951474544474</t>
  </si>
  <si>
    <t>-46.6063533268173</t>
  </si>
  <si>
    <t>2025-08-01</t>
  </si>
  <si>
    <t>-23.5672476981757</t>
  </si>
  <si>
    <t>-46.6956046700154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</si>
  <si>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</si>
  <si>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</si>
  <si>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</si>
  <si>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</si>
  <si>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</si>
  <si>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</si>
  <si>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</si>
  <si>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</si>
  <si>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</si>
  <si>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</si>
  <si>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</si>
  <si>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</si>
  <si>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</si>
  <si>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</si>
  <si>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</si>
  <si>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</si>
  <si>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</si>
  <si>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</si>
  <si>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</si>
  <si>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</si>
  <si>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</si>
  <si>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</si>
  <si>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</si>
  <si>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</si>
  <si>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</si>
  <si>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RUA JOAO MENDES DE CARVALHO ESQUINA COM A RUA FRANCISCO MONTEIRO TAVARES</t>
  </si>
  <si>
    <t>-23.5216018941135</t>
  </si>
  <si>
    <t>-46.4098806629683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</si>
  <si>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</si>
  <si>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</si>
  <si>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</si>
  <si>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</si>
  <si>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</si>
  <si>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</si>
  <si>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</si>
  <si>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</si>
  <si>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</si>
  <si>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</si>
  <si>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</si>
  <si>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</si>
  <si>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</si>
  <si>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RUA NOVO CRUZEIRO ESQUINA COM A RUA DOUTOR JOSE GRAVONSKI</t>
  </si>
  <si>
    <t>-23.5282392162089</t>
  </si>
  <si>
    <t>-46.407002025941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</si>
  <si>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</si>
  <si>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</si>
  <si>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</si>
  <si>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</si>
  <si>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</si>
  <si>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</si>
  <si>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</si>
  <si>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</si>
  <si>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</si>
  <si>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</si>
  <si>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INTERIOR DO PARQUE CERET DEFRONTE A SEDE DO ESCOTEIRO</t>
  </si>
  <si>
    <t>-23.5562879811562</t>
  </si>
  <si>
    <t>-46.556678970362</t>
  </si>
  <si>
    <t>NO INTERIOR DO CERET</t>
  </si>
  <si>
    <t>-23.5569355762205</t>
  </si>
  <si>
    <t>-46.5549272024181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</si>
  <si>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</si>
  <si>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</si>
  <si>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</si>
  <si>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</si>
  <si>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</si>
  <si>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</si>
  <si>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</si>
  <si>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</si>
  <si>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</si>
  <si>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</si>
  <si>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</si>
  <si>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</si>
  <si>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AVENIDA MAJOR SYLVIO DE MAGALHAES PADILHA</t>
  </si>
  <si>
    <t>-23.6242985199536</t>
  </si>
  <si>
    <t>-46.7112474154804</t>
  </si>
  <si>
    <t>2025-10-01</t>
  </si>
  <si>
    <t>2025-10-02</t>
  </si>
  <si>
    <t>2025-10-03</t>
  </si>
  <si>
    <t>2025-10-04</t>
  </si>
  <si>
    <t>2025-10-05</t>
  </si>
  <si>
    <t>2025-10-06</t>
  </si>
  <si>
    <t>AVENIDA PROFESSOR ALCEU MAYNARD ARAUJO SN NO INTERIOR DO CONDOMINIO CHAMPS ELYSEES</t>
  </si>
  <si>
    <t>-23.6346275275584</t>
  </si>
  <si>
    <t>-46.7085126710638</t>
  </si>
  <si>
    <t>2025-10-07</t>
  </si>
  <si>
    <t>2025-10-08</t>
  </si>
  <si>
    <t>2025-10-09</t>
  </si>
  <si>
    <t>-23.4821437782758</t>
  </si>
  <si>
    <t>-46.7179511790136</t>
  </si>
  <si>
    <t>2025-10-10</t>
  </si>
  <si>
    <t>RUA GABRIEL DOS SANTOS ESQUINA COM ALAMEDA BARROS</t>
  </si>
  <si>
    <t>-23.5352234569878</t>
  </si>
  <si>
    <t>-46.6594156628602</t>
  </si>
  <si>
    <t>2025-10-11</t>
  </si>
  <si>
    <t>2025-10-12</t>
  </si>
  <si>
    <t>2025-10-13</t>
  </si>
  <si>
    <t>2025-10-14</t>
  </si>
  <si>
    <t>2025-10-15</t>
  </si>
  <si>
    <t>-23.5632880016563</t>
  </si>
  <si>
    <t>-46.7440930406948</t>
  </si>
  <si>
    <t>2025-10-16</t>
  </si>
  <si>
    <t>2025-10-17</t>
  </si>
  <si>
    <t>2025-10-18</t>
  </si>
  <si>
    <t>2025-10-19</t>
  </si>
  <si>
    <t>2025-10-20</t>
  </si>
  <si>
    <t>RUA FORTE DO RIO BRANCO PROXIMO A ESQUINA COM A RUA FORTE DA RIBEIRA</t>
  </si>
  <si>
    <t>-23.6056841408126</t>
  </si>
  <si>
    <t>-46.4647110064155</t>
  </si>
  <si>
    <t>NO INTERIOR DO CERET AO LADO DO ESCOTEIRO 368</t>
  </si>
  <si>
    <t>-23.5560795118953</t>
  </si>
  <si>
    <t>-46.5578712064225</t>
  </si>
  <si>
    <t>-23.4818253931256</t>
  </si>
  <si>
    <t>-46.5858835280781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</si>
  <si>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</si>
  <si>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</si>
  <si>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</si>
  <si>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</si>
  <si>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</si>
  <si>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</si>
  <si>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</si>
  <si>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</si>
  <si>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</si>
  <si>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</si>
  <si>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-23.5414377698022</t>
  </si>
  <si>
    <t>-46.4380221081538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</si>
  <si>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</si>
  <si>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</si>
  <si>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</si>
  <si>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</si>
  <si>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</si>
  <si>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</si>
  <si>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</si>
  <si>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</si>
  <si>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</si>
  <si>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</si>
  <si>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</si>
  <si>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</si>
  <si>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AVENIDA IMIRIM 702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</si>
  <si>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</si>
  <si>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</si>
  <si>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</si>
  <si>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</si>
  <si>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</si>
  <si>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</si>
  <si>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</si>
  <si>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</si>
  <si>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</si>
  <si>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</si>
  <si>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</si>
  <si>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</si>
  <si>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</si>
  <si>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</si>
  <si>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RUA ROCHA LIMA 20 DEFRONTE A PRACA ANTONIO FRANCO VELASCO</t>
  </si>
  <si>
    <t>2025-11-26</t>
  </si>
  <si>
    <t>2025-11-27</t>
  </si>
  <si>
    <t>2025-11-28</t>
  </si>
  <si>
    <t>2025-11-29</t>
  </si>
  <si>
    <t>2025-11-30</t>
  </si>
  <si>
    <t>2025-12-01</t>
  </si>
  <si>
    <t>AVENIDA SENADOR TEOTONIO VILELA 227</t>
  </si>
  <si>
    <t>-23.7034125277658</t>
  </si>
  <si>
    <t>-46.7009072976085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</si>
  <si>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</si>
  <si>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</si>
  <si>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</si>
  <si>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</si>
  <si>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</si>
  <si>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</si>
  <si>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</si>
  <si>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</si>
  <si>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</si>
  <si>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</si>
  <si>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</si>
  <si>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</si>
  <si>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</si>
  <si>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</si>
  <si>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</si>
  <si>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</si>
  <si>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</si>
  <si>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</si>
  <si>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</si>
  <si>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</si>
  <si>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</si>
  <si>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</si>
  <si>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</si>
  <si>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</si>
  <si>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</si>
  <si>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</si>
  <si>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</si>
  <si>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</si>
  <si>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</si>
  <si>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</si>
  <si>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</si>
  <si>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</si>
  <si>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</si>
  <si>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</si>
  <si>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</si>
  <si>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</si>
  <si>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</si>
  <si>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</si>
  <si>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</si>
  <si>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</si>
  <si>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</si>
  <si>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</si>
  <si>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</si>
  <si>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</si>
  <si>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</si>
  <si>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2026-01-17</t>
  </si>
  <si>
    <t>2026-01-18</t>
  </si>
  <si>
    <t>2026-01-19</t>
  </si>
  <si>
    <t>2026-01-20</t>
  </si>
  <si>
    <t>2026-01-21</t>
  </si>
  <si>
    <t>2026-01-22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</si>
</sst>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4">
    <numFmt numFmtId="166" formatCode="mmm dd, yyyy"/>
    <numFmt numFmtId="167" formatCode="h:mm:ss AM/PM"/>
    <numFmt numFmtId="168" formatCode="mmm dd, yyyy h:mm:ss AM/PM"/>
    <numFmt numFmtId="169" formatCode="[$-F400]h:mm:ss\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3"/><Relationship Target="worksheets/sheet52808.xml" Type="http://schemas.openxmlformats.org/officeDocument/2006/relationships/worksheet" Id="rId52810"/><Relationship Target="worksheets/sheet52809.xml" Type="http://schemas.openxmlformats.org/officeDocument/2006/relationships/worksheet" Id="rId52811"/><Relationship Target="worksheets/sheet52810.xml" Type="http://schemas.openxmlformats.org/officeDocument/2006/relationships/worksheet" Id="rId52812"/><Relationship Target="worksheets/sheet52815.xml" Type="http://schemas.openxmlformats.org/officeDocument/2006/relationships/worksheet" Id="rId52817"/><Relationship Target="worksheets/sheet52817.xml" Type="http://schemas.openxmlformats.org/officeDocument/2006/relationships/worksheet" Id="rId52819"/><Relationship Target="worksheets/sheet52818.xml" Type="http://schemas.openxmlformats.org/officeDocument/2006/relationships/worksheet" Id="rId52820"/><Relationship Target="worksheets/sheet52819.xml" Type="http://schemas.openxmlformats.org/officeDocument/2006/relationships/worksheet" Id="rId52821"/><Relationship Target="worksheets/sheet52820.xml" Type="http://schemas.openxmlformats.org/officeDocument/2006/relationships/worksheet" Id="rId52822"/><Relationship Target="worksheets/sheet52821.xml" Type="http://schemas.openxmlformats.org/officeDocument/2006/relationships/worksheet" Id="rId52823"/><Relationship Target="worksheets/sheet52822.xml" Type="http://schemas.openxmlformats.org/officeDocument/2006/relationships/worksheet" Id="rId52824"/></Relationships>
</file>

<file path=xl/worksheets/sheet52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42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5.7109375" customWidth="true"/>
    <col min="4" max="4" width="20.7109375" customWidth="true"/>
    <col min="5" max="5" width="20.7109375" customWidth="true"/>
    <col min="6" max="6" width="100.7109375" customWidth="true"/>
    <col min="7" max="7" width="12.7109375" customWidth="true"/>
    <col min="8" max="8" width="15.7109375" customWidth="true"/>
    <col min="9" max="9" width="20.7109375" customWidth="true"/>
    <col min="10" max="10" width="20.7109375" customWidth="true"/>
    <col min="11" max="11" width="20.7109375" customWidth="true"/>
    <col min="12" max="12" width="10.7109375" customWidth="true"/>
    <col min="13" max="13" width="12.7109375" customWidth="true"/>
    <col min="14" max="14" width="30.7109375" customWidth="true"/>
    <col min="15" max="15" width="30.7109375" customWidth="true"/>
    <col min="16" max="16" width="3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14981</v>
      </c>
      <c r="N1" t="s">
        <v>16370</v>
      </c>
      <c r="O1" t="s">
        <v>16371</v>
      </c>
      <c r="P1" t="s">
        <v>16372</v>
      </c>
    </row>
    <row r="2">
      <c r="A2">
        <f>HYPERLINK("http://bombeiros.sp.gov.br/hidrantes/03individual/2724.html","2724")</f>
      </c>
      <c r="B2" t="s">
        <v>12</v>
      </c>
      <c r="C2" t="s">
        <v>13</v>
      </c>
      <c r="D2" t="s">
        <v>13</v>
      </c>
      <c r="E2" t="s">
        <v>15</v>
      </c>
      <c r="F2" t="s">
        <v>1147</v>
      </c>
      <c r="G2" t="s">
        <v>18040</v>
      </c>
      <c r="H2" t="s">
        <v>1112</v>
      </c>
      <c r="I2" t="s">
        <v>1108</v>
      </c>
      <c r="J2" t="s">
        <v>1148</v>
      </c>
      <c r="K2" t="s">
        <v>1149</v>
      </c>
      <c r="L2" t="s">
        <v>36</v>
      </c>
      <c r="M2" t="s">
        <v>19177</v>
      </c>
      <c r="N2" t="s">
        <v>714</v>
      </c>
      <c r="O2" t="s">
        <v>10263</v>
      </c>
      <c r="P2" t="s">
        <v>12</v>
      </c>
    </row>
    <row r="3">
      <c r="A3">
        <f>HYPERLINK("http://bombeiros.sp.gov.br/hidrantes/03individual/96.html","96")</f>
      </c>
      <c r="B3" t="s">
        <v>12</v>
      </c>
      <c r="C3" t="s">
        <v>13</v>
      </c>
      <c r="D3" t="s">
        <v>1172</v>
      </c>
      <c r="E3" t="s">
        <v>15</v>
      </c>
      <c r="F3" t="s">
        <v>1199</v>
      </c>
      <c r="G3" t="s">
        <v>18042</v>
      </c>
      <c r="H3" t="s">
        <v>1121</v>
      </c>
      <c r="I3" t="s">
        <v>1117</v>
      </c>
      <c r="J3" t="s">
        <v>1200</v>
      </c>
      <c r="K3" t="s">
        <v>1201</v>
      </c>
      <c r="L3" t="s">
        <v>21</v>
      </c>
      <c r="M3" t="s">
        <v>19177</v>
      </c>
      <c r="N3" t="s">
        <v>714</v>
      </c>
      <c r="O3" t="s">
        <v>10263</v>
      </c>
      <c r="P3" t="s">
        <v>12</v>
      </c>
    </row>
    <row r="4">
      <c r="A4">
        <f>HYPERLINK("http://bombeiros.sp.gov.br/hidrantes/03individual/192.html","192")</f>
      </c>
      <c r="B4" t="s">
        <v>12</v>
      </c>
      <c r="C4" t="s">
        <v>13</v>
      </c>
      <c r="D4" t="s">
        <v>1251</v>
      </c>
      <c r="E4" t="s">
        <v>15</v>
      </c>
      <c r="F4" t="s">
        <v>1255</v>
      </c>
      <c r="G4" t="s">
        <v>18043</v>
      </c>
      <c r="H4" t="s">
        <v>1107</v>
      </c>
      <c r="I4" t="s">
        <v>1108</v>
      </c>
      <c r="J4" t="s">
        <v>1256</v>
      </c>
      <c r="K4" t="s">
        <v>1257</v>
      </c>
      <c r="L4" t="s">
        <v>21</v>
      </c>
      <c r="M4" t="s">
        <v>19177</v>
      </c>
      <c r="N4" t="s">
        <v>714</v>
      </c>
      <c r="O4" t="s">
        <v>10263</v>
      </c>
      <c r="P4" t="s">
        <v>12</v>
      </c>
    </row>
    <row r="5">
      <c r="A5">
        <f>HYPERLINK("http://bombeiros.sp.gov.br/hidrantes/03individual/250.html","250")</f>
      </c>
      <c r="B5" t="s">
        <v>12</v>
      </c>
      <c r="C5" t="s">
        <v>13</v>
      </c>
      <c r="D5" t="s">
        <v>1251</v>
      </c>
      <c r="E5" t="s">
        <v>15</v>
      </c>
      <c r="F5" t="s">
        <v>18879</v>
      </c>
      <c r="G5" t="s">
        <v>18043</v>
      </c>
      <c r="H5" t="s">
        <v>1107</v>
      </c>
      <c r="I5" t="s">
        <v>1108</v>
      </c>
      <c r="J5" t="s">
        <v>1266</v>
      </c>
      <c r="K5" t="s">
        <v>1267</v>
      </c>
      <c r="L5" t="s">
        <v>21</v>
      </c>
      <c r="M5" t="s">
        <v>19177</v>
      </c>
      <c r="N5" t="s">
        <v>714</v>
      </c>
      <c r="O5" t="s">
        <v>10263</v>
      </c>
      <c r="P5" t="s">
        <v>12</v>
      </c>
    </row>
    <row r="6">
      <c r="A6">
        <f>HYPERLINK("http://bombeiros.sp.gov.br/hidrantes/03individual/2808.html","2808")</f>
      </c>
      <c r="B6" t="s">
        <v>12</v>
      </c>
      <c r="C6" t="s">
        <v>30</v>
      </c>
      <c r="D6" t="s">
        <v>30</v>
      </c>
      <c r="E6" t="s">
        <v>15</v>
      </c>
      <c r="F6" t="s">
        <v>1341</v>
      </c>
      <c r="G6" t="s">
        <v>18044</v>
      </c>
      <c r="H6" t="s">
        <v>1107</v>
      </c>
      <c r="I6" t="s">
        <v>1108</v>
      </c>
      <c r="J6" t="s">
        <v>1342</v>
      </c>
      <c r="K6" t="s">
        <v>1343</v>
      </c>
      <c r="L6" t="s">
        <v>21</v>
      </c>
      <c r="M6" t="s">
        <v>19177</v>
      </c>
      <c r="N6" t="s">
        <v>97</v>
      </c>
      <c r="O6" t="s">
        <v>937</v>
      </c>
      <c r="P6" t="s">
        <v>12</v>
      </c>
    </row>
    <row r="7">
      <c r="A7">
        <f>HYPERLINK("http://bombeiros.sp.gov.br/hidrantes/03individual/776.html","776")</f>
      </c>
      <c r="B7" t="s">
        <v>12</v>
      </c>
      <c r="C7" t="s">
        <v>30</v>
      </c>
      <c r="D7" t="s">
        <v>31</v>
      </c>
      <c r="E7" t="s">
        <v>15</v>
      </c>
      <c r="F7" t="s">
        <v>1430</v>
      </c>
      <c r="G7" t="s">
        <v>18045</v>
      </c>
      <c r="H7" t="s">
        <v>1107</v>
      </c>
      <c r="I7" t="s">
        <v>1108</v>
      </c>
      <c r="J7" t="s">
        <v>1431</v>
      </c>
      <c r="K7" t="s">
        <v>1432</v>
      </c>
      <c r="L7" t="s">
        <v>36</v>
      </c>
      <c r="M7" t="s">
        <v>19177</v>
      </c>
      <c r="N7" t="s">
        <v>97</v>
      </c>
      <c r="O7" t="s">
        <v>937</v>
      </c>
      <c r="P7" t="s">
        <v>12</v>
      </c>
    </row>
    <row r="8">
      <c r="A8">
        <f>HYPERLINK("http://bombeiros.sp.gov.br/hidrantes/03individual/800.html","800")</f>
      </c>
      <c r="B8" t="s">
        <v>12</v>
      </c>
      <c r="C8" t="s">
        <v>30</v>
      </c>
      <c r="D8" t="s">
        <v>31</v>
      </c>
      <c r="E8" t="s">
        <v>15</v>
      </c>
      <c r="F8" t="s">
        <v>1439</v>
      </c>
      <c r="G8" t="s">
        <v>18044</v>
      </c>
      <c r="H8" t="s">
        <v>1174</v>
      </c>
      <c r="I8" t="s">
        <v>1117</v>
      </c>
      <c r="J8" t="s">
        <v>1440</v>
      </c>
      <c r="K8" t="s">
        <v>1441</v>
      </c>
      <c r="L8" t="s">
        <v>21</v>
      </c>
      <c r="M8" t="s">
        <v>19177</v>
      </c>
      <c r="N8" t="s">
        <v>97</v>
      </c>
      <c r="O8" t="s">
        <v>937</v>
      </c>
      <c r="P8" t="s">
        <v>12</v>
      </c>
    </row>
    <row r="9">
      <c r="A9">
        <f>HYPERLINK("http://bombeiros.sp.gov.br/hidrantes/03individual/801.html","801")</f>
      </c>
      <c r="B9" t="s">
        <v>12</v>
      </c>
      <c r="C9" t="s">
        <v>30</v>
      </c>
      <c r="D9" t="s">
        <v>31</v>
      </c>
      <c r="E9" t="s">
        <v>15</v>
      </c>
      <c r="F9" t="s">
        <v>1442</v>
      </c>
      <c r="G9" t="s">
        <v>18044</v>
      </c>
      <c r="H9" t="s">
        <v>1107</v>
      </c>
      <c r="I9" t="s">
        <v>1108</v>
      </c>
      <c r="J9" t="s">
        <v>1443</v>
      </c>
      <c r="K9" t="s">
        <v>1444</v>
      </c>
      <c r="L9" t="s">
        <v>21</v>
      </c>
      <c r="M9" t="s">
        <v>19177</v>
      </c>
      <c r="N9" t="s">
        <v>97</v>
      </c>
      <c r="O9" t="s">
        <v>937</v>
      </c>
      <c r="P9" t="s">
        <v>12</v>
      </c>
    </row>
    <row r="10">
      <c r="A10">
        <f>HYPERLINK("http://bombeiros.sp.gov.br/hidrantes/03individual/2422.html","2422")</f>
      </c>
      <c r="B10" t="s">
        <v>12</v>
      </c>
      <c r="C10" t="s">
        <v>30</v>
      </c>
      <c r="D10" t="s">
        <v>31</v>
      </c>
      <c r="E10" t="s">
        <v>15</v>
      </c>
      <c r="F10" t="s">
        <v>1466</v>
      </c>
      <c r="G10" t="s">
        <v>18044</v>
      </c>
      <c r="H10" t="s">
        <v>1107</v>
      </c>
      <c r="I10" t="s">
        <v>1108</v>
      </c>
      <c r="J10" t="s">
        <v>1467</v>
      </c>
      <c r="K10" t="s">
        <v>1468</v>
      </c>
      <c r="L10" t="s">
        <v>21</v>
      </c>
      <c r="M10" t="s">
        <v>19177</v>
      </c>
      <c r="N10" t="s">
        <v>97</v>
      </c>
      <c r="O10" t="s">
        <v>937</v>
      </c>
      <c r="P10" t="s">
        <v>12</v>
      </c>
    </row>
    <row r="11">
      <c r="A11">
        <f>HYPERLINK("http://bombeiros.sp.gov.br/hidrantes/03individual/23062.html","23062")</f>
      </c>
      <c r="B11" t="s">
        <v>12</v>
      </c>
      <c r="C11" t="s">
        <v>30</v>
      </c>
      <c r="D11" t="s">
        <v>31</v>
      </c>
      <c r="E11" t="s">
        <v>15</v>
      </c>
      <c r="F11" t="s">
        <v>1492</v>
      </c>
      <c r="G11" t="s">
        <v>18046</v>
      </c>
      <c r="H11" t="s">
        <v>1112</v>
      </c>
      <c r="I11" t="s">
        <v>1108</v>
      </c>
      <c r="J11" t="s">
        <v>1494</v>
      </c>
      <c r="K11" t="s">
        <v>1495</v>
      </c>
      <c r="L11" t="s">
        <v>21</v>
      </c>
      <c r="M11" t="s">
        <v>19177</v>
      </c>
      <c r="N11" t="s">
        <v>97</v>
      </c>
      <c r="O11" t="s">
        <v>937</v>
      </c>
      <c r="P11" t="s">
        <v>12</v>
      </c>
    </row>
    <row r="12">
      <c r="A12">
        <f>HYPERLINK("http://bombeiros.sp.gov.br/hidrantes/03individual/504.html","504")</f>
      </c>
      <c r="B12" t="s">
        <v>12</v>
      </c>
      <c r="C12" t="s">
        <v>30</v>
      </c>
      <c r="D12" t="s">
        <v>1506</v>
      </c>
      <c r="E12" t="s">
        <v>15</v>
      </c>
      <c r="F12" t="s">
        <v>1524</v>
      </c>
      <c r="G12" t="s">
        <v>18047</v>
      </c>
      <c r="H12" t="s">
        <v>1174</v>
      </c>
      <c r="I12" t="s">
        <v>1117</v>
      </c>
      <c r="J12" t="s">
        <v>1525</v>
      </c>
      <c r="K12" t="s">
        <v>1526</v>
      </c>
      <c r="L12" t="s">
        <v>36</v>
      </c>
      <c r="M12" t="s">
        <v>19177</v>
      </c>
      <c r="N12" t="s">
        <v>97</v>
      </c>
      <c r="O12" t="s">
        <v>937</v>
      </c>
      <c r="P12" t="s">
        <v>12</v>
      </c>
    </row>
    <row r="13">
      <c r="A13">
        <f>HYPERLINK("http://bombeiros.sp.gov.br/hidrantes/03individual/901.html","901")</f>
      </c>
      <c r="B13" t="s">
        <v>12</v>
      </c>
      <c r="C13" t="s">
        <v>30</v>
      </c>
      <c r="D13" t="s">
        <v>1506</v>
      </c>
      <c r="E13" t="s">
        <v>15</v>
      </c>
      <c r="F13" t="s">
        <v>1533</v>
      </c>
      <c r="G13" t="s">
        <v>18048</v>
      </c>
      <c r="H13" t="s">
        <v>1112</v>
      </c>
      <c r="I13" t="s">
        <v>1108</v>
      </c>
      <c r="J13" t="s">
        <v>1535</v>
      </c>
      <c r="K13" t="s">
        <v>1536</v>
      </c>
      <c r="L13" t="s">
        <v>21</v>
      </c>
      <c r="M13" t="s">
        <v>19177</v>
      </c>
      <c r="N13" t="s">
        <v>97</v>
      </c>
      <c r="O13" t="s">
        <v>937</v>
      </c>
      <c r="P13" t="s">
        <v>12</v>
      </c>
    </row>
    <row r="14">
      <c r="A14">
        <f>HYPERLINK("http://bombeiros.sp.gov.br/hidrantes/03individual/1659.html","1659")</f>
      </c>
      <c r="B14" t="s">
        <v>12</v>
      </c>
      <c r="C14" t="s">
        <v>37</v>
      </c>
      <c r="D14" t="s">
        <v>38</v>
      </c>
      <c r="E14" t="s">
        <v>64</v>
      </c>
      <c r="F14" t="s">
        <v>1617</v>
      </c>
      <c r="G14" t="s">
        <v>18049</v>
      </c>
      <c r="H14" t="s">
        <v>1121</v>
      </c>
      <c r="I14" t="s">
        <v>1117</v>
      </c>
      <c r="J14" t="s">
        <v>1618</v>
      </c>
      <c r="K14" t="s">
        <v>1619</v>
      </c>
      <c r="L14" t="s">
        <v>21</v>
      </c>
      <c r="M14" t="s">
        <v>19177</v>
      </c>
      <c r="N14" t="s">
        <v>97</v>
      </c>
      <c r="O14" t="s">
        <v>937</v>
      </c>
      <c r="P14" t="s">
        <v>12</v>
      </c>
    </row>
    <row r="15">
      <c r="A15">
        <f>HYPERLINK("http://bombeiros.sp.gov.br/hidrantes/03individual/1848.html","1848")</f>
      </c>
      <c r="B15" t="s">
        <v>12</v>
      </c>
      <c r="C15" t="s">
        <v>37</v>
      </c>
      <c r="D15" t="s">
        <v>38</v>
      </c>
      <c r="E15" t="s">
        <v>15</v>
      </c>
      <c r="F15" t="s">
        <v>1665</v>
      </c>
      <c r="G15" t="s">
        <v>18050</v>
      </c>
      <c r="H15" t="s">
        <v>1121</v>
      </c>
      <c r="I15" t="s">
        <v>1117</v>
      </c>
      <c r="J15" t="s">
        <v>1666</v>
      </c>
      <c r="K15" t="s">
        <v>1667</v>
      </c>
      <c r="L15" t="s">
        <v>21</v>
      </c>
      <c r="M15" t="s">
        <v>19177</v>
      </c>
      <c r="N15" t="s">
        <v>97</v>
      </c>
      <c r="O15" t="s">
        <v>937</v>
      </c>
      <c r="P15" t="s">
        <v>12</v>
      </c>
    </row>
    <row r="16">
      <c r="A16">
        <f>HYPERLINK("http://bombeiros.sp.gov.br/hidrantes/03individual/17661.html","17661")</f>
      </c>
      <c r="B16" t="s">
        <v>12</v>
      </c>
      <c r="C16" t="s">
        <v>37</v>
      </c>
      <c r="D16" t="s">
        <v>38</v>
      </c>
      <c r="E16" t="s">
        <v>15</v>
      </c>
      <c r="F16" t="s">
        <v>1698</v>
      </c>
      <c r="G16" t="s">
        <v>18051</v>
      </c>
      <c r="H16" t="s">
        <v>1121</v>
      </c>
      <c r="I16" t="s">
        <v>1117</v>
      </c>
      <c r="J16" t="s">
        <v>1699</v>
      </c>
      <c r="K16" t="s">
        <v>1700</v>
      </c>
      <c r="L16" t="s">
        <v>21</v>
      </c>
      <c r="M16" t="s">
        <v>19177</v>
      </c>
      <c r="N16" t="s">
        <v>97</v>
      </c>
      <c r="O16" t="s">
        <v>937</v>
      </c>
      <c r="P16" t="s">
        <v>12</v>
      </c>
    </row>
    <row r="17">
      <c r="A17">
        <f>HYPERLINK("http://bombeiros.sp.gov.br/hidrantes/03individual/27210.html","27210")</f>
      </c>
      <c r="B17" t="s">
        <v>12</v>
      </c>
      <c r="C17" t="s">
        <v>37</v>
      </c>
      <c r="D17" t="s">
        <v>38</v>
      </c>
      <c r="E17" t="s">
        <v>15</v>
      </c>
      <c r="F17" t="s">
        <v>16927</v>
      </c>
      <c r="G17" t="s">
        <v>18050</v>
      </c>
      <c r="H17" t="s">
        <v>1121</v>
      </c>
      <c r="I17" t="s">
        <v>1117</v>
      </c>
      <c r="J17" t="s">
        <v>16928</v>
      </c>
      <c r="K17" t="s">
        <v>16929</v>
      </c>
      <c r="L17" t="s">
        <v>21</v>
      </c>
      <c r="M17" t="s">
        <v>19177</v>
      </c>
      <c r="N17" t="s">
        <v>97</v>
      </c>
      <c r="O17" t="s">
        <v>937</v>
      </c>
      <c r="P17" t="s">
        <v>12</v>
      </c>
    </row>
    <row r="18">
      <c r="A18">
        <f>HYPERLINK("http://bombeiros.sp.gov.br/hidrantes/03individual/2320.html","2320")</f>
      </c>
      <c r="B18" t="s">
        <v>12</v>
      </c>
      <c r="C18" t="s">
        <v>47</v>
      </c>
      <c r="D18" t="s">
        <v>47</v>
      </c>
      <c r="E18" t="s">
        <v>15</v>
      </c>
      <c r="F18" t="s">
        <v>1742</v>
      </c>
      <c r="G18" t="s">
        <v>18052</v>
      </c>
      <c r="H18" t="s">
        <v>1112</v>
      </c>
      <c r="I18" t="s">
        <v>1108</v>
      </c>
      <c r="J18" t="s">
        <v>1743</v>
      </c>
      <c r="K18" t="s">
        <v>1744</v>
      </c>
      <c r="L18" t="s">
        <v>21</v>
      </c>
      <c r="M18" t="s">
        <v>19177</v>
      </c>
      <c r="N18" t="s">
        <v>714</v>
      </c>
      <c r="O18" t="s">
        <v>10263</v>
      </c>
      <c r="P18" t="s">
        <v>12</v>
      </c>
    </row>
    <row r="19">
      <c r="A19">
        <f>HYPERLINK("http://bombeiros.sp.gov.br/hidrantes/03individual/2355.html","2355")</f>
      </c>
      <c r="B19" t="s">
        <v>12</v>
      </c>
      <c r="C19" t="s">
        <v>47</v>
      </c>
      <c r="D19" t="s">
        <v>47</v>
      </c>
      <c r="E19" t="s">
        <v>15</v>
      </c>
      <c r="F19" t="s">
        <v>1745</v>
      </c>
      <c r="G19" t="s">
        <v>18043</v>
      </c>
      <c r="H19" t="s">
        <v>1107</v>
      </c>
      <c r="I19" t="s">
        <v>1108</v>
      </c>
      <c r="J19" t="s">
        <v>1746</v>
      </c>
      <c r="K19" t="s">
        <v>1747</v>
      </c>
      <c r="L19" t="s">
        <v>21</v>
      </c>
      <c r="M19" t="s">
        <v>19177</v>
      </c>
      <c r="N19" t="s">
        <v>714</v>
      </c>
      <c r="O19" t="s">
        <v>10263</v>
      </c>
      <c r="P19" t="s">
        <v>12</v>
      </c>
    </row>
    <row r="20">
      <c r="A20">
        <f>HYPERLINK("http://bombeiros.sp.gov.br/hidrantes/03individual/2543.html","2543")</f>
      </c>
      <c r="B20" t="s">
        <v>12</v>
      </c>
      <c r="C20" t="s">
        <v>47</v>
      </c>
      <c r="D20" t="s">
        <v>47</v>
      </c>
      <c r="E20" t="s">
        <v>15</v>
      </c>
      <c r="F20" t="s">
        <v>1754</v>
      </c>
      <c r="G20" t="s">
        <v>18042</v>
      </c>
      <c r="H20" t="s">
        <v>1107</v>
      </c>
      <c r="I20" t="s">
        <v>1108</v>
      </c>
      <c r="J20" t="s">
        <v>16268</v>
      </c>
      <c r="K20" t="s">
        <v>16269</v>
      </c>
      <c r="L20" t="s">
        <v>21</v>
      </c>
      <c r="M20" t="s">
        <v>19177</v>
      </c>
      <c r="N20" t="s">
        <v>714</v>
      </c>
      <c r="O20" t="s">
        <v>10263</v>
      </c>
      <c r="P20" t="s">
        <v>12</v>
      </c>
    </row>
    <row r="21">
      <c r="A21">
        <f>HYPERLINK("http://bombeiros.sp.gov.br/hidrantes/03individual/16581.html","16581")</f>
      </c>
      <c r="B21" t="s">
        <v>12</v>
      </c>
      <c r="C21" t="s">
        <v>47</v>
      </c>
      <c r="D21" t="s">
        <v>47</v>
      </c>
      <c r="E21" t="s">
        <v>15</v>
      </c>
      <c r="F21" t="s">
        <v>1760</v>
      </c>
      <c r="G21" t="s">
        <v>18053</v>
      </c>
      <c r="H21" t="s">
        <v>1121</v>
      </c>
      <c r="I21" t="s">
        <v>1117</v>
      </c>
      <c r="J21" t="s">
        <v>1761</v>
      </c>
      <c r="K21" t="s">
        <v>1762</v>
      </c>
      <c r="L21" t="s">
        <v>21</v>
      </c>
      <c r="M21" t="s">
        <v>19177</v>
      </c>
      <c r="N21" t="s">
        <v>714</v>
      </c>
      <c r="O21" t="s">
        <v>10263</v>
      </c>
      <c r="P21" t="s">
        <v>12</v>
      </c>
    </row>
    <row r="22">
      <c r="A22">
        <f>HYPERLINK("http://bombeiros.sp.gov.br/hidrantes/03individual/226.html","226")</f>
      </c>
      <c r="B22" t="s">
        <v>12</v>
      </c>
      <c r="C22" t="s">
        <v>47</v>
      </c>
      <c r="D22" t="s">
        <v>1788</v>
      </c>
      <c r="E22" t="s">
        <v>15</v>
      </c>
      <c r="F22" t="s">
        <v>1798</v>
      </c>
      <c r="G22" t="s">
        <v>18054</v>
      </c>
      <c r="H22" t="s">
        <v>1107</v>
      </c>
      <c r="I22" t="s">
        <v>1108</v>
      </c>
      <c r="J22" t="s">
        <v>1799</v>
      </c>
      <c r="K22" t="s">
        <v>1800</v>
      </c>
      <c r="L22" t="s">
        <v>21</v>
      </c>
      <c r="M22" t="s">
        <v>19177</v>
      </c>
      <c r="N22" t="s">
        <v>714</v>
      </c>
      <c r="O22" t="s">
        <v>10263</v>
      </c>
      <c r="P22" t="s">
        <v>12</v>
      </c>
    </row>
    <row r="23">
      <c r="A23">
        <f>HYPERLINK("http://bombeiros.sp.gov.br/hidrantes/03individual/1606.html","1606")</f>
      </c>
      <c r="B23" t="s">
        <v>12</v>
      </c>
      <c r="C23" t="s">
        <v>47</v>
      </c>
      <c r="D23" t="s">
        <v>1788</v>
      </c>
      <c r="E23" t="s">
        <v>15</v>
      </c>
      <c r="F23" t="s">
        <v>1801</v>
      </c>
      <c r="G23" t="s">
        <v>18055</v>
      </c>
      <c r="H23" t="s">
        <v>1112</v>
      </c>
      <c r="I23" t="s">
        <v>1108</v>
      </c>
      <c r="J23" t="s">
        <v>1802</v>
      </c>
      <c r="K23" t="s">
        <v>1803</v>
      </c>
      <c r="L23" t="s">
        <v>21</v>
      </c>
      <c r="M23" t="s">
        <v>19177</v>
      </c>
      <c r="N23" t="s">
        <v>714</v>
      </c>
      <c r="O23" t="s">
        <v>10263</v>
      </c>
      <c r="P23" t="s">
        <v>12</v>
      </c>
    </row>
    <row r="24">
      <c r="A24">
        <f>HYPERLINK("http://bombeiros.sp.gov.br/hidrantes/03individual/1833.html","1833")</f>
      </c>
      <c r="B24" t="s">
        <v>12</v>
      </c>
      <c r="C24" t="s">
        <v>47</v>
      </c>
      <c r="D24" t="s">
        <v>1788</v>
      </c>
      <c r="E24" t="s">
        <v>15</v>
      </c>
      <c r="F24" t="s">
        <v>1804</v>
      </c>
      <c r="G24" t="s">
        <v>18056</v>
      </c>
      <c r="H24" t="s">
        <v>1121</v>
      </c>
      <c r="I24" t="s">
        <v>1117</v>
      </c>
      <c r="J24" t="s">
        <v>1805</v>
      </c>
      <c r="K24" t="s">
        <v>1806</v>
      </c>
      <c r="L24" t="s">
        <v>21</v>
      </c>
      <c r="M24" t="s">
        <v>19177</v>
      </c>
      <c r="N24" t="s">
        <v>714</v>
      </c>
      <c r="O24" t="s">
        <v>10263</v>
      </c>
      <c r="P24" t="s">
        <v>12</v>
      </c>
    </row>
    <row r="25">
      <c r="A25">
        <f>HYPERLINK("http://bombeiros.sp.gov.br/hidrantes/03individual/1929.html","1929")</f>
      </c>
      <c r="B25" t="s">
        <v>12</v>
      </c>
      <c r="C25" t="s">
        <v>47</v>
      </c>
      <c r="D25" t="s">
        <v>1788</v>
      </c>
      <c r="E25" t="s">
        <v>15</v>
      </c>
      <c r="F25" t="s">
        <v>1822</v>
      </c>
      <c r="G25" t="s">
        <v>18054</v>
      </c>
      <c r="H25" t="s">
        <v>1107</v>
      </c>
      <c r="I25" t="s">
        <v>1108</v>
      </c>
      <c r="J25" t="s">
        <v>1823</v>
      </c>
      <c r="K25" t="s">
        <v>1824</v>
      </c>
      <c r="L25" t="s">
        <v>21</v>
      </c>
      <c r="M25" t="s">
        <v>19177</v>
      </c>
      <c r="N25" t="s">
        <v>714</v>
      </c>
      <c r="O25" t="s">
        <v>10263</v>
      </c>
      <c r="P25" t="s">
        <v>12</v>
      </c>
    </row>
    <row r="26">
      <c r="A26">
        <f>HYPERLINK("http://bombeiros.sp.gov.br/hidrantes/03individual/27224.html","27224")</f>
      </c>
      <c r="B26" t="s">
        <v>12</v>
      </c>
      <c r="C26" t="s">
        <v>47</v>
      </c>
      <c r="D26" t="s">
        <v>1788</v>
      </c>
      <c r="E26" t="s">
        <v>15</v>
      </c>
      <c r="F26" t="s">
        <v>16930</v>
      </c>
      <c r="G26" t="s">
        <v>18057</v>
      </c>
      <c r="H26" t="s">
        <v>1107</v>
      </c>
      <c r="I26" t="s">
        <v>1108</v>
      </c>
      <c r="J26" t="s">
        <v>16931</v>
      </c>
      <c r="K26" t="s">
        <v>18058</v>
      </c>
      <c r="L26" t="s">
        <v>21</v>
      </c>
      <c r="M26" t="s">
        <v>19177</v>
      </c>
      <c r="N26" t="s">
        <v>714</v>
      </c>
      <c r="O26" t="s">
        <v>10263</v>
      </c>
      <c r="P26" t="s">
        <v>12</v>
      </c>
    </row>
    <row r="27">
      <c r="A27">
        <f>HYPERLINK("http://bombeiros.sp.gov.br/hidrantes/03individual/232.html","232")</f>
      </c>
      <c r="B27" t="s">
        <v>12</v>
      </c>
      <c r="C27" t="s">
        <v>47</v>
      </c>
      <c r="D27" t="s">
        <v>1860</v>
      </c>
      <c r="E27" t="s">
        <v>15</v>
      </c>
      <c r="F27" t="s">
        <v>1886</v>
      </c>
      <c r="G27" t="s">
        <v>18043</v>
      </c>
      <c r="H27" t="s">
        <v>1107</v>
      </c>
      <c r="I27" t="s">
        <v>1108</v>
      </c>
      <c r="J27" t="s">
        <v>1887</v>
      </c>
      <c r="K27" t="s">
        <v>1888</v>
      </c>
      <c r="L27" t="s">
        <v>21</v>
      </c>
      <c r="M27" t="s">
        <v>19177</v>
      </c>
      <c r="N27" t="s">
        <v>97</v>
      </c>
      <c r="O27" t="s">
        <v>937</v>
      </c>
      <c r="P27" t="s">
        <v>12</v>
      </c>
    </row>
    <row r="28">
      <c r="A28">
        <f>HYPERLINK("http://bombeiros.sp.gov.br/hidrantes/03individual/2776.html","2776")</f>
      </c>
      <c r="B28" t="s">
        <v>12</v>
      </c>
      <c r="C28" t="s">
        <v>47</v>
      </c>
      <c r="D28" t="s">
        <v>1860</v>
      </c>
      <c r="E28" t="s">
        <v>15</v>
      </c>
      <c r="F28" t="s">
        <v>1907</v>
      </c>
      <c r="G28" t="s">
        <v>18059</v>
      </c>
      <c r="H28" t="s">
        <v>1121</v>
      </c>
      <c r="I28" t="s">
        <v>1117</v>
      </c>
      <c r="J28" t="s">
        <v>1908</v>
      </c>
      <c r="K28" t="s">
        <v>1909</v>
      </c>
      <c r="L28" t="s">
        <v>21</v>
      </c>
      <c r="M28" t="s">
        <v>19177</v>
      </c>
      <c r="N28" t="s">
        <v>714</v>
      </c>
      <c r="O28" t="s">
        <v>10263</v>
      </c>
      <c r="P28" t="s">
        <v>12</v>
      </c>
    </row>
    <row r="29">
      <c r="A29">
        <f>HYPERLINK("http://bombeiros.sp.gov.br/hidrantes/03individual/2853.html","2853")</f>
      </c>
      <c r="B29" t="s">
        <v>12</v>
      </c>
      <c r="C29" t="s">
        <v>47</v>
      </c>
      <c r="D29" t="s">
        <v>1860</v>
      </c>
      <c r="E29" t="s">
        <v>15</v>
      </c>
      <c r="F29" t="s">
        <v>1910</v>
      </c>
      <c r="G29" t="s">
        <v>18046</v>
      </c>
      <c r="H29" t="s">
        <v>1112</v>
      </c>
      <c r="I29" t="s">
        <v>1108</v>
      </c>
      <c r="J29" t="s">
        <v>1912</v>
      </c>
      <c r="K29" t="s">
        <v>1913</v>
      </c>
      <c r="L29" t="s">
        <v>21</v>
      </c>
      <c r="M29" t="s">
        <v>19177</v>
      </c>
      <c r="N29" t="s">
        <v>714</v>
      </c>
      <c r="O29" t="s">
        <v>10263</v>
      </c>
      <c r="P29" t="s">
        <v>12</v>
      </c>
    </row>
    <row r="30">
      <c r="A30">
        <f>HYPERLINK("http://bombeiros.sp.gov.br/hidrantes/03individual/26810.html","26810")</f>
      </c>
      <c r="B30" t="s">
        <v>12</v>
      </c>
      <c r="C30" t="s">
        <v>47</v>
      </c>
      <c r="D30" t="s">
        <v>1860</v>
      </c>
      <c r="E30" t="s">
        <v>15</v>
      </c>
      <c r="F30" t="s">
        <v>15948</v>
      </c>
      <c r="G30" t="s">
        <v>18043</v>
      </c>
      <c r="H30" t="s">
        <v>1112</v>
      </c>
      <c r="I30" t="s">
        <v>1108</v>
      </c>
      <c r="J30" t="s">
        <v>15949</v>
      </c>
      <c r="K30" t="s">
        <v>15950</v>
      </c>
      <c r="L30" t="s">
        <v>21</v>
      </c>
      <c r="M30" t="s">
        <v>19177</v>
      </c>
      <c r="N30" t="s">
        <v>97</v>
      </c>
      <c r="O30" t="s">
        <v>937</v>
      </c>
      <c r="P30" t="s">
        <v>12</v>
      </c>
    </row>
    <row r="31">
      <c r="A31">
        <f>HYPERLINK("http://bombeiros.sp.gov.br/hidrantes/03individual/27226.html","27226")</f>
      </c>
      <c r="B31" t="s">
        <v>12</v>
      </c>
      <c r="C31" t="s">
        <v>47</v>
      </c>
      <c r="D31" t="s">
        <v>1860</v>
      </c>
      <c r="E31" t="s">
        <v>15</v>
      </c>
      <c r="F31" t="s">
        <v>16936</v>
      </c>
      <c r="G31" t="s">
        <v>18060</v>
      </c>
      <c r="H31" t="s">
        <v>1121</v>
      </c>
      <c r="I31" t="s">
        <v>1117</v>
      </c>
      <c r="J31" t="s">
        <v>16937</v>
      </c>
      <c r="K31" t="s">
        <v>16938</v>
      </c>
      <c r="L31" t="s">
        <v>21</v>
      </c>
      <c r="M31" t="s">
        <v>19177</v>
      </c>
      <c r="N31" t="s">
        <v>714</v>
      </c>
      <c r="O31" t="s">
        <v>10263</v>
      </c>
      <c r="P31" t="s">
        <v>12</v>
      </c>
    </row>
    <row r="32">
      <c r="A32">
        <f>HYPERLINK("http://bombeiros.sp.gov.br/hidrantes/03individual/208.html","208")</f>
      </c>
      <c r="B32" t="s">
        <v>12</v>
      </c>
      <c r="C32" t="s">
        <v>57</v>
      </c>
      <c r="D32" t="s">
        <v>1923</v>
      </c>
      <c r="E32" t="s">
        <v>15</v>
      </c>
      <c r="F32" t="s">
        <v>1933</v>
      </c>
      <c r="G32" t="s">
        <v>18061</v>
      </c>
      <c r="H32" t="s">
        <v>1121</v>
      </c>
      <c r="I32" t="s">
        <v>1117</v>
      </c>
      <c r="J32" t="s">
        <v>1934</v>
      </c>
      <c r="K32" t="s">
        <v>1935</v>
      </c>
      <c r="L32" t="s">
        <v>21</v>
      </c>
      <c r="M32" t="s">
        <v>19177</v>
      </c>
      <c r="N32" t="s">
        <v>714</v>
      </c>
      <c r="O32" t="s">
        <v>10263</v>
      </c>
      <c r="P32" t="s">
        <v>12</v>
      </c>
    </row>
    <row r="33">
      <c r="A33">
        <f>HYPERLINK("http://bombeiros.sp.gov.br/hidrantes/03individual/26776.html","26776")</f>
      </c>
      <c r="B33" t="s">
        <v>12</v>
      </c>
      <c r="C33" t="s">
        <v>57</v>
      </c>
      <c r="D33" t="s">
        <v>1923</v>
      </c>
      <c r="E33" t="s">
        <v>15</v>
      </c>
      <c r="F33" t="s">
        <v>1951</v>
      </c>
      <c r="G33" t="s">
        <v>18061</v>
      </c>
      <c r="H33" t="s">
        <v>1121</v>
      </c>
      <c r="I33" t="s">
        <v>1117</v>
      </c>
      <c r="J33" t="s">
        <v>1952</v>
      </c>
      <c r="K33" t="s">
        <v>1953</v>
      </c>
      <c r="L33" t="s">
        <v>21</v>
      </c>
      <c r="M33" t="s">
        <v>19177</v>
      </c>
      <c r="N33" t="s">
        <v>714</v>
      </c>
      <c r="O33" t="s">
        <v>10263</v>
      </c>
      <c r="P33" t="s">
        <v>12</v>
      </c>
    </row>
    <row r="34">
      <c r="A34">
        <f>HYPERLINK("http://bombeiros.sp.gov.br/hidrantes/03individual/267.html","267")</f>
      </c>
      <c r="B34" t="s">
        <v>12</v>
      </c>
      <c r="C34" t="s">
        <v>57</v>
      </c>
      <c r="D34" t="s">
        <v>1954</v>
      </c>
      <c r="E34" t="s">
        <v>15</v>
      </c>
      <c r="F34" t="s">
        <v>1964</v>
      </c>
      <c r="G34" t="s">
        <v>18062</v>
      </c>
      <c r="H34" t="s">
        <v>1107</v>
      </c>
      <c r="I34" t="s">
        <v>1108</v>
      </c>
      <c r="J34" t="s">
        <v>1965</v>
      </c>
      <c r="K34" t="s">
        <v>1966</v>
      </c>
      <c r="L34" t="s">
        <v>36</v>
      </c>
      <c r="M34" t="s">
        <v>19177</v>
      </c>
      <c r="N34" t="s">
        <v>714</v>
      </c>
      <c r="O34" t="s">
        <v>10263</v>
      </c>
      <c r="P34" t="s">
        <v>12</v>
      </c>
    </row>
    <row r="35">
      <c r="A35">
        <f>HYPERLINK("http://bombeiros.sp.gov.br/hidrantes/03individual/49.html","49")</f>
      </c>
      <c r="B35" t="s">
        <v>12</v>
      </c>
      <c r="C35" t="s">
        <v>57</v>
      </c>
      <c r="D35" t="s">
        <v>57</v>
      </c>
      <c r="E35" t="s">
        <v>15</v>
      </c>
      <c r="F35" t="s">
        <v>2018</v>
      </c>
      <c r="G35" t="s">
        <v>18063</v>
      </c>
      <c r="H35" t="s">
        <v>1121</v>
      </c>
      <c r="I35" t="s">
        <v>1117</v>
      </c>
      <c r="J35" t="s">
        <v>2019</v>
      </c>
      <c r="K35" t="s">
        <v>2020</v>
      </c>
      <c r="L35" t="s">
        <v>21</v>
      </c>
      <c r="M35" t="s">
        <v>19177</v>
      </c>
      <c r="N35" t="s">
        <v>714</v>
      </c>
      <c r="O35" t="s">
        <v>10263</v>
      </c>
      <c r="P35" t="s">
        <v>12</v>
      </c>
    </row>
    <row r="36">
      <c r="A36">
        <f>HYPERLINK("http://bombeiros.sp.gov.br/hidrantes/03individual/2937.html","2937")</f>
      </c>
      <c r="B36" t="s">
        <v>12</v>
      </c>
      <c r="C36" t="s">
        <v>57</v>
      </c>
      <c r="D36" t="s">
        <v>57</v>
      </c>
      <c r="E36" t="s">
        <v>15</v>
      </c>
      <c r="F36" t="s">
        <v>2033</v>
      </c>
      <c r="G36" t="s">
        <v>18053</v>
      </c>
      <c r="H36" t="s">
        <v>1107</v>
      </c>
      <c r="I36" t="s">
        <v>1108</v>
      </c>
      <c r="J36" t="s">
        <v>2034</v>
      </c>
      <c r="K36" t="s">
        <v>2035</v>
      </c>
      <c r="L36" t="s">
        <v>36</v>
      </c>
      <c r="M36" t="s">
        <v>19177</v>
      </c>
      <c r="N36" t="s">
        <v>714</v>
      </c>
      <c r="O36" t="s">
        <v>10263</v>
      </c>
      <c r="P36" t="s">
        <v>12</v>
      </c>
    </row>
    <row r="37">
      <c r="A37">
        <f>HYPERLINK("http://bombeiros.sp.gov.br/hidrantes/03individual/187.html","187")</f>
      </c>
      <c r="B37" t="s">
        <v>12</v>
      </c>
      <c r="C37" t="s">
        <v>63</v>
      </c>
      <c r="D37" t="s">
        <v>2064</v>
      </c>
      <c r="E37" t="s">
        <v>15</v>
      </c>
      <c r="F37" t="s">
        <v>2080</v>
      </c>
      <c r="G37" t="s">
        <v>18064</v>
      </c>
      <c r="H37" t="s">
        <v>1107</v>
      </c>
      <c r="I37" t="s">
        <v>1108</v>
      </c>
      <c r="J37" t="s">
        <v>2081</v>
      </c>
      <c r="K37" t="s">
        <v>2082</v>
      </c>
      <c r="L37" t="s">
        <v>21</v>
      </c>
      <c r="M37" t="s">
        <v>19177</v>
      </c>
      <c r="N37" t="s">
        <v>97</v>
      </c>
      <c r="O37" t="s">
        <v>937</v>
      </c>
      <c r="P37" t="s">
        <v>12</v>
      </c>
    </row>
    <row r="38">
      <c r="A38">
        <f>HYPERLINK("http://bombeiros.sp.gov.br/hidrantes/03individual/262.html","262")</f>
      </c>
      <c r="B38" t="s">
        <v>12</v>
      </c>
      <c r="C38" t="s">
        <v>63</v>
      </c>
      <c r="D38" t="s">
        <v>2064</v>
      </c>
      <c r="E38" t="s">
        <v>15</v>
      </c>
      <c r="F38" t="s">
        <v>2086</v>
      </c>
      <c r="G38" t="s">
        <v>18059</v>
      </c>
      <c r="H38" t="s">
        <v>1107</v>
      </c>
      <c r="I38" t="s">
        <v>1108</v>
      </c>
      <c r="J38" t="s">
        <v>2087</v>
      </c>
      <c r="K38" t="s">
        <v>2088</v>
      </c>
      <c r="L38" t="s">
        <v>21</v>
      </c>
      <c r="M38" t="s">
        <v>19177</v>
      </c>
      <c r="N38" t="s">
        <v>97</v>
      </c>
      <c r="O38" t="s">
        <v>937</v>
      </c>
      <c r="P38" t="s">
        <v>12</v>
      </c>
    </row>
    <row r="39">
      <c r="A39">
        <f>HYPERLINK("http://bombeiros.sp.gov.br/hidrantes/03individual/279.html","279")</f>
      </c>
      <c r="B39" t="s">
        <v>12</v>
      </c>
      <c r="C39" t="s">
        <v>63</v>
      </c>
      <c r="D39" t="s">
        <v>63</v>
      </c>
      <c r="E39" t="s">
        <v>15</v>
      </c>
      <c r="F39" t="s">
        <v>2137</v>
      </c>
      <c r="G39" t="s">
        <v>18065</v>
      </c>
      <c r="H39" t="s">
        <v>1174</v>
      </c>
      <c r="I39" t="s">
        <v>1117</v>
      </c>
      <c r="J39" t="s">
        <v>2138</v>
      </c>
      <c r="K39" t="s">
        <v>2139</v>
      </c>
      <c r="L39" t="s">
        <v>21</v>
      </c>
      <c r="M39" t="s">
        <v>19177</v>
      </c>
      <c r="N39" t="s">
        <v>97</v>
      </c>
      <c r="O39" t="s">
        <v>937</v>
      </c>
      <c r="P39" t="s">
        <v>12</v>
      </c>
    </row>
    <row r="40">
      <c r="A40">
        <f>HYPERLINK("http://bombeiros.sp.gov.br/hidrantes/03individual/5635.html","5635")</f>
      </c>
      <c r="B40" t="s">
        <v>12</v>
      </c>
      <c r="C40" t="s">
        <v>63</v>
      </c>
      <c r="D40" t="s">
        <v>63</v>
      </c>
      <c r="E40" t="s">
        <v>15</v>
      </c>
      <c r="F40" t="s">
        <v>2192</v>
      </c>
      <c r="G40" t="s">
        <v>18066</v>
      </c>
      <c r="H40" t="s">
        <v>1121</v>
      </c>
      <c r="I40" t="s">
        <v>1117</v>
      </c>
      <c r="J40" t="s">
        <v>2193</v>
      </c>
      <c r="K40" t="s">
        <v>2194</v>
      </c>
      <c r="L40" t="s">
        <v>36</v>
      </c>
      <c r="M40" t="s">
        <v>19177</v>
      </c>
      <c r="N40" t="s">
        <v>97</v>
      </c>
      <c r="O40" t="s">
        <v>937</v>
      </c>
      <c r="P40" t="s">
        <v>12</v>
      </c>
    </row>
    <row r="41">
      <c r="A41">
        <f>HYPERLINK("http://bombeiros.sp.gov.br/hidrantes/03individual/17771.html","17771")</f>
      </c>
      <c r="B41" t="s">
        <v>12</v>
      </c>
      <c r="C41" t="s">
        <v>63</v>
      </c>
      <c r="D41" t="s">
        <v>63</v>
      </c>
      <c r="E41" t="s">
        <v>15</v>
      </c>
      <c r="F41" t="s">
        <v>2206</v>
      </c>
      <c r="G41" t="s">
        <v>18057</v>
      </c>
      <c r="H41" t="s">
        <v>1107</v>
      </c>
      <c r="I41" t="s">
        <v>1108</v>
      </c>
      <c r="J41" t="s">
        <v>2207</v>
      </c>
      <c r="K41" t="s">
        <v>2208</v>
      </c>
      <c r="L41" t="s">
        <v>21</v>
      </c>
      <c r="M41" t="s">
        <v>19177</v>
      </c>
      <c r="N41" t="s">
        <v>97</v>
      </c>
      <c r="O41" t="s">
        <v>937</v>
      </c>
      <c r="P41" t="s">
        <v>12</v>
      </c>
    </row>
    <row r="42">
      <c r="A42">
        <f>HYPERLINK("http://bombeiros.sp.gov.br/hidrantes/03individual/17717.html","17717")</f>
      </c>
      <c r="B42" t="s">
        <v>12</v>
      </c>
      <c r="C42" t="s">
        <v>63</v>
      </c>
      <c r="D42" t="s">
        <v>77</v>
      </c>
      <c r="E42" t="s">
        <v>15</v>
      </c>
      <c r="F42" t="s">
        <v>2326</v>
      </c>
      <c r="G42" t="s">
        <v>18068</v>
      </c>
      <c r="H42" t="s">
        <v>1174</v>
      </c>
      <c r="I42" t="s">
        <v>1108</v>
      </c>
      <c r="J42" t="s">
        <v>2327</v>
      </c>
      <c r="K42" t="s">
        <v>2328</v>
      </c>
      <c r="L42" t="s">
        <v>21</v>
      </c>
      <c r="M42" t="s">
        <v>19177</v>
      </c>
      <c r="N42" t="s">
        <v>97</v>
      </c>
      <c r="O42" t="s">
        <v>937</v>
      </c>
      <c r="P42" t="s">
        <v>12</v>
      </c>
    </row>
    <row r="43">
      <c r="A43">
        <f>HYPERLINK("http://bombeiros.sp.gov.br/hidrantes/03individual/2769.html","2769")</f>
      </c>
      <c r="B43" t="s">
        <v>12</v>
      </c>
      <c r="C43" t="s">
        <v>92</v>
      </c>
      <c r="D43" t="s">
        <v>2332</v>
      </c>
      <c r="E43" t="s">
        <v>15</v>
      </c>
      <c r="F43" t="s">
        <v>2417</v>
      </c>
      <c r="G43" t="s">
        <v>18055</v>
      </c>
      <c r="H43" t="s">
        <v>1112</v>
      </c>
      <c r="I43" t="s">
        <v>1108</v>
      </c>
      <c r="J43" t="s">
        <v>2418</v>
      </c>
      <c r="K43" t="s">
        <v>2419</v>
      </c>
      <c r="L43" t="s">
        <v>21</v>
      </c>
      <c r="M43" t="s">
        <v>19177</v>
      </c>
      <c r="N43" t="s">
        <v>714</v>
      </c>
      <c r="O43" t="s">
        <v>10263</v>
      </c>
      <c r="P43" t="s">
        <v>12</v>
      </c>
    </row>
    <row r="44">
      <c r="A44">
        <f>HYPERLINK("http://bombeiros.sp.gov.br/hidrantes/03individual/5500.html","5500")</f>
      </c>
      <c r="B44" t="s">
        <v>12</v>
      </c>
      <c r="C44" t="s">
        <v>92</v>
      </c>
      <c r="D44" t="s">
        <v>2332</v>
      </c>
      <c r="E44" t="s">
        <v>15</v>
      </c>
      <c r="F44" t="s">
        <v>2476</v>
      </c>
      <c r="G44" t="s">
        <v>18066</v>
      </c>
      <c r="H44" t="s">
        <v>1107</v>
      </c>
      <c r="I44" t="s">
        <v>1108</v>
      </c>
      <c r="J44" t="s">
        <v>2477</v>
      </c>
      <c r="K44" t="s">
        <v>2478</v>
      </c>
      <c r="L44" t="s">
        <v>21</v>
      </c>
      <c r="M44" t="s">
        <v>19177</v>
      </c>
      <c r="N44" t="s">
        <v>97</v>
      </c>
      <c r="O44" t="s">
        <v>937</v>
      </c>
      <c r="P44" t="s">
        <v>12</v>
      </c>
    </row>
    <row r="45">
      <c r="A45">
        <f>HYPERLINK("http://bombeiros.sp.gov.br/hidrantes/03individual/625.html","625")</f>
      </c>
      <c r="B45" t="s">
        <v>12</v>
      </c>
      <c r="C45" t="s">
        <v>92</v>
      </c>
      <c r="D45" t="s">
        <v>2485</v>
      </c>
      <c r="E45" t="s">
        <v>15</v>
      </c>
      <c r="F45" t="s">
        <v>2498</v>
      </c>
      <c r="G45" t="s">
        <v>18068</v>
      </c>
      <c r="H45" t="s">
        <v>1121</v>
      </c>
      <c r="I45" t="s">
        <v>1117</v>
      </c>
      <c r="J45" t="s">
        <v>2499</v>
      </c>
      <c r="K45" t="s">
        <v>2500</v>
      </c>
      <c r="L45" t="s">
        <v>21</v>
      </c>
      <c r="M45" t="s">
        <v>19177</v>
      </c>
      <c r="N45" t="s">
        <v>97</v>
      </c>
      <c r="O45" t="s">
        <v>937</v>
      </c>
      <c r="P45" t="s">
        <v>12</v>
      </c>
    </row>
    <row r="46">
      <c r="A46">
        <f>HYPERLINK("http://bombeiros.sp.gov.br/hidrantes/03individual/626.html","626")</f>
      </c>
      <c r="B46" t="s">
        <v>12</v>
      </c>
      <c r="C46" t="s">
        <v>92</v>
      </c>
      <c r="D46" t="s">
        <v>2485</v>
      </c>
      <c r="E46" t="s">
        <v>15</v>
      </c>
      <c r="F46" t="s">
        <v>2501</v>
      </c>
      <c r="G46" t="s">
        <v>18050</v>
      </c>
      <c r="H46" t="s">
        <v>1121</v>
      </c>
      <c r="I46" t="s">
        <v>1117</v>
      </c>
      <c r="J46" t="s">
        <v>2502</v>
      </c>
      <c r="K46" t="s">
        <v>2503</v>
      </c>
      <c r="L46" t="s">
        <v>21</v>
      </c>
      <c r="M46" t="s">
        <v>19177</v>
      </c>
      <c r="N46" t="s">
        <v>97</v>
      </c>
      <c r="O46" t="s">
        <v>937</v>
      </c>
      <c r="P46" t="s">
        <v>12</v>
      </c>
    </row>
    <row r="47">
      <c r="A47">
        <f>HYPERLINK("http://bombeiros.sp.gov.br/hidrantes/03individual/658.html","658")</f>
      </c>
      <c r="B47" t="s">
        <v>12</v>
      </c>
      <c r="C47" t="s">
        <v>92</v>
      </c>
      <c r="D47" t="s">
        <v>2485</v>
      </c>
      <c r="E47" t="s">
        <v>15</v>
      </c>
      <c r="F47" t="s">
        <v>2513</v>
      </c>
      <c r="G47" t="s">
        <v>18050</v>
      </c>
      <c r="H47" t="s">
        <v>1112</v>
      </c>
      <c r="I47" t="s">
        <v>1108</v>
      </c>
      <c r="J47" t="s">
        <v>2514</v>
      </c>
      <c r="K47" t="s">
        <v>2515</v>
      </c>
      <c r="L47" t="s">
        <v>36</v>
      </c>
      <c r="M47" t="s">
        <v>19177</v>
      </c>
      <c r="N47" t="s">
        <v>97</v>
      </c>
      <c r="O47" t="s">
        <v>937</v>
      </c>
      <c r="P47" t="s">
        <v>12</v>
      </c>
    </row>
    <row r="48">
      <c r="A48">
        <f>HYPERLINK("http://bombeiros.sp.gov.br/hidrantes/03individual/27385.html","27385")</f>
      </c>
      <c r="B48" t="s">
        <v>12</v>
      </c>
      <c r="C48" t="s">
        <v>92</v>
      </c>
      <c r="D48" t="s">
        <v>2485</v>
      </c>
      <c r="E48" t="s">
        <v>15</v>
      </c>
      <c r="F48" t="s">
        <v>17217</v>
      </c>
      <c r="G48" t="s">
        <v>17956</v>
      </c>
      <c r="H48" t="s">
        <v>1174</v>
      </c>
      <c r="I48" t="s">
        <v>1117</v>
      </c>
      <c r="J48" t="s">
        <v>17218</v>
      </c>
      <c r="K48" t="s">
        <v>17219</v>
      </c>
      <c r="L48" t="s">
        <v>21</v>
      </c>
      <c r="M48" t="s">
        <v>19177</v>
      </c>
      <c r="N48" t="s">
        <v>97</v>
      </c>
      <c r="O48" t="s">
        <v>937</v>
      </c>
      <c r="P48" t="s">
        <v>12</v>
      </c>
    </row>
    <row r="49">
      <c r="A49">
        <f>HYPERLINK("http://bombeiros.sp.gov.br/hidrantes/03individual/688.html","688")</f>
      </c>
      <c r="B49" t="s">
        <v>12</v>
      </c>
      <c r="C49" t="s">
        <v>92</v>
      </c>
      <c r="D49" t="s">
        <v>92</v>
      </c>
      <c r="E49" t="s">
        <v>15</v>
      </c>
      <c r="F49" t="s">
        <v>2614</v>
      </c>
      <c r="G49" t="s">
        <v>18069</v>
      </c>
      <c r="H49" t="s">
        <v>1121</v>
      </c>
      <c r="I49" t="s">
        <v>1117</v>
      </c>
      <c r="J49" t="s">
        <v>2615</v>
      </c>
      <c r="K49" t="s">
        <v>2616</v>
      </c>
      <c r="L49" t="s">
        <v>21</v>
      </c>
      <c r="M49" t="s">
        <v>19177</v>
      </c>
      <c r="N49" t="s">
        <v>97</v>
      </c>
      <c r="O49" t="s">
        <v>937</v>
      </c>
      <c r="P49" t="s">
        <v>12</v>
      </c>
    </row>
    <row r="50">
      <c r="A50">
        <f>HYPERLINK("http://bombeiros.sp.gov.br/hidrantes/03individual/2899.html","2899")</f>
      </c>
      <c r="B50" t="s">
        <v>12</v>
      </c>
      <c r="C50" t="s">
        <v>92</v>
      </c>
      <c r="D50" t="s">
        <v>92</v>
      </c>
      <c r="E50" t="s">
        <v>15</v>
      </c>
      <c r="F50" t="s">
        <v>2656</v>
      </c>
      <c r="G50" t="s">
        <v>18070</v>
      </c>
      <c r="H50" t="s">
        <v>1121</v>
      </c>
      <c r="I50" t="s">
        <v>1117</v>
      </c>
      <c r="J50" t="s">
        <v>2657</v>
      </c>
      <c r="K50" t="s">
        <v>2658</v>
      </c>
      <c r="L50" t="s">
        <v>21</v>
      </c>
      <c r="M50" t="s">
        <v>19177</v>
      </c>
      <c r="N50" t="s">
        <v>97</v>
      </c>
      <c r="O50" t="s">
        <v>937</v>
      </c>
      <c r="P50" t="s">
        <v>12</v>
      </c>
    </row>
    <row r="51">
      <c r="A51">
        <f>HYPERLINK("http://bombeiros.sp.gov.br/hidrantes/03individual/2099.html","2099")</f>
      </c>
      <c r="B51" t="s">
        <v>12</v>
      </c>
      <c r="C51" t="s">
        <v>97</v>
      </c>
      <c r="D51" t="s">
        <v>98</v>
      </c>
      <c r="E51" t="s">
        <v>15</v>
      </c>
      <c r="F51" t="s">
        <v>2720</v>
      </c>
      <c r="G51" t="s">
        <v>18072</v>
      </c>
      <c r="H51" t="s">
        <v>1121</v>
      </c>
      <c r="I51" t="s">
        <v>1117</v>
      </c>
      <c r="J51" t="s">
        <v>2721</v>
      </c>
      <c r="K51" t="s">
        <v>2722</v>
      </c>
      <c r="L51" t="s">
        <v>21</v>
      </c>
      <c r="M51" t="s">
        <v>19177</v>
      </c>
      <c r="N51" t="s">
        <v>97</v>
      </c>
      <c r="O51" t="s">
        <v>937</v>
      </c>
      <c r="P51" t="s">
        <v>12</v>
      </c>
    </row>
    <row r="52">
      <c r="A52">
        <f>HYPERLINK("http://bombeiros.sp.gov.br/hidrantes/03individual/5382.html","5382")</f>
      </c>
      <c r="B52" t="s">
        <v>12</v>
      </c>
      <c r="C52" t="s">
        <v>97</v>
      </c>
      <c r="D52" t="s">
        <v>97</v>
      </c>
      <c r="E52" t="s">
        <v>15</v>
      </c>
      <c r="F52" t="s">
        <v>2862</v>
      </c>
      <c r="G52" t="s">
        <v>18073</v>
      </c>
      <c r="H52" t="s">
        <v>1121</v>
      </c>
      <c r="I52" t="s">
        <v>1117</v>
      </c>
      <c r="J52" t="s">
        <v>2863</v>
      </c>
      <c r="K52" t="s">
        <v>2864</v>
      </c>
      <c r="L52" t="s">
        <v>21</v>
      </c>
      <c r="M52" t="s">
        <v>19177</v>
      </c>
      <c r="N52" t="s">
        <v>97</v>
      </c>
      <c r="O52" t="s">
        <v>937</v>
      </c>
      <c r="P52" t="s">
        <v>12</v>
      </c>
    </row>
    <row r="53">
      <c r="A53">
        <f>HYPERLINK("http://bombeiros.sp.gov.br/hidrantes/03individual/4305.html","4305")</f>
      </c>
      <c r="B53" t="s">
        <v>114</v>
      </c>
      <c r="C53" t="s">
        <v>115</v>
      </c>
      <c r="D53" t="s">
        <v>120</v>
      </c>
      <c r="E53" t="s">
        <v>15</v>
      </c>
      <c r="F53" t="s">
        <v>2988</v>
      </c>
      <c r="G53" t="s">
        <v>18042</v>
      </c>
      <c r="H53" t="s">
        <v>1174</v>
      </c>
      <c r="I53" t="s">
        <v>1117</v>
      </c>
      <c r="J53" t="s">
        <v>2989</v>
      </c>
      <c r="K53" t="s">
        <v>2990</v>
      </c>
      <c r="L53" t="s">
        <v>21</v>
      </c>
      <c r="M53" t="s">
        <v>19177</v>
      </c>
      <c r="N53" t="s">
        <v>300</v>
      </c>
      <c r="O53" t="s">
        <v>16373</v>
      </c>
      <c r="P53" t="s">
        <v>12</v>
      </c>
    </row>
    <row r="54">
      <c r="A54">
        <f>HYPERLINK("http://bombeiros.sp.gov.br/hidrantes/03individual/1810.html","1810")</f>
      </c>
      <c r="B54" t="s">
        <v>114</v>
      </c>
      <c r="C54" t="s">
        <v>124</v>
      </c>
      <c r="D54" t="s">
        <v>124</v>
      </c>
      <c r="E54" t="s">
        <v>15</v>
      </c>
      <c r="F54" t="s">
        <v>3074</v>
      </c>
      <c r="G54" t="s">
        <v>18074</v>
      </c>
      <c r="H54" t="s">
        <v>1174</v>
      </c>
      <c r="I54" t="s">
        <v>1108</v>
      </c>
      <c r="J54" t="s">
        <v>3075</v>
      </c>
      <c r="K54" t="s">
        <v>3076</v>
      </c>
      <c r="L54" t="s">
        <v>21</v>
      </c>
      <c r="M54" t="s">
        <v>19177</v>
      </c>
      <c r="N54" t="s">
        <v>300</v>
      </c>
      <c r="O54" t="s">
        <v>16373</v>
      </c>
      <c r="P54" t="s">
        <v>12</v>
      </c>
    </row>
    <row r="55">
      <c r="A55">
        <f>HYPERLINK("http://bombeiros.sp.gov.br/hidrantes/03individual/3003.html","3003")</f>
      </c>
      <c r="B55" t="s">
        <v>114</v>
      </c>
      <c r="C55" t="s">
        <v>124</v>
      </c>
      <c r="D55" t="s">
        <v>124</v>
      </c>
      <c r="E55" t="s">
        <v>15</v>
      </c>
      <c r="F55" t="s">
        <v>3089</v>
      </c>
      <c r="G55" t="s">
        <v>18075</v>
      </c>
      <c r="H55" t="s">
        <v>1112</v>
      </c>
      <c r="I55" t="s">
        <v>1108</v>
      </c>
      <c r="J55" t="s">
        <v>3090</v>
      </c>
      <c r="K55" t="s">
        <v>3091</v>
      </c>
      <c r="L55" t="s">
        <v>21</v>
      </c>
      <c r="M55" t="s">
        <v>19177</v>
      </c>
      <c r="N55" t="s">
        <v>300</v>
      </c>
      <c r="O55" t="s">
        <v>16373</v>
      </c>
      <c r="P55" t="s">
        <v>12</v>
      </c>
    </row>
    <row r="56">
      <c r="A56">
        <f>HYPERLINK("http://bombeiros.sp.gov.br/hidrantes/03individual/1036.html","1036")</f>
      </c>
      <c r="B56" t="s">
        <v>114</v>
      </c>
      <c r="C56" t="s">
        <v>129</v>
      </c>
      <c r="D56" t="s">
        <v>129</v>
      </c>
      <c r="E56" t="s">
        <v>64</v>
      </c>
      <c r="F56" t="s">
        <v>130</v>
      </c>
      <c r="G56" t="s">
        <v>18076</v>
      </c>
      <c r="H56" t="s">
        <v>1121</v>
      </c>
      <c r="I56" t="s">
        <v>1117</v>
      </c>
      <c r="J56" t="s">
        <v>132</v>
      </c>
      <c r="K56" t="s">
        <v>133</v>
      </c>
      <c r="L56" t="s">
        <v>21</v>
      </c>
      <c r="M56" t="s">
        <v>19177</v>
      </c>
      <c r="N56" t="s">
        <v>16374</v>
      </c>
      <c r="O56" t="s">
        <v>272</v>
      </c>
      <c r="P56" t="s">
        <v>114</v>
      </c>
    </row>
    <row r="57">
      <c r="A57">
        <f>HYPERLINK("http://bombeiros.sp.gov.br/hidrantes/03individual/1870.html","1870")</f>
      </c>
      <c r="B57" t="s">
        <v>114</v>
      </c>
      <c r="C57" t="s">
        <v>129</v>
      </c>
      <c r="D57" t="s">
        <v>129</v>
      </c>
      <c r="E57" t="s">
        <v>15</v>
      </c>
      <c r="F57" t="s">
        <v>3168</v>
      </c>
      <c r="G57" t="s">
        <v>18055</v>
      </c>
      <c r="H57" t="s">
        <v>1121</v>
      </c>
      <c r="I57" t="s">
        <v>1117</v>
      </c>
      <c r="J57" t="s">
        <v>3169</v>
      </c>
      <c r="K57" t="s">
        <v>3170</v>
      </c>
      <c r="L57" t="s">
        <v>21</v>
      </c>
      <c r="M57" t="s">
        <v>19177</v>
      </c>
      <c r="N57" t="s">
        <v>16374</v>
      </c>
      <c r="O57" t="s">
        <v>272</v>
      </c>
      <c r="P57" t="s">
        <v>114</v>
      </c>
    </row>
    <row r="58">
      <c r="A58">
        <f>HYPERLINK("http://bombeiros.sp.gov.br/hidrantes/03individual/1557.html","1557")</f>
      </c>
      <c r="B58" t="s">
        <v>114</v>
      </c>
      <c r="C58" t="s">
        <v>144</v>
      </c>
      <c r="D58" t="s">
        <v>149</v>
      </c>
      <c r="E58" t="s">
        <v>15</v>
      </c>
      <c r="F58" t="s">
        <v>3331</v>
      </c>
      <c r="G58" t="s">
        <v>18062</v>
      </c>
      <c r="H58" t="s">
        <v>1174</v>
      </c>
      <c r="I58" t="s">
        <v>1117</v>
      </c>
      <c r="J58" t="s">
        <v>3332</v>
      </c>
      <c r="K58" t="s">
        <v>3333</v>
      </c>
      <c r="L58" t="s">
        <v>21</v>
      </c>
      <c r="M58" t="s">
        <v>19177</v>
      </c>
      <c r="N58" t="s">
        <v>300</v>
      </c>
      <c r="O58" t="s">
        <v>16373</v>
      </c>
      <c r="P58" t="s">
        <v>12</v>
      </c>
    </row>
    <row r="59">
      <c r="A59">
        <f>HYPERLINK("http://bombeiros.sp.gov.br/hidrantes/03individual/1582.html","1582")</f>
      </c>
      <c r="B59" t="s">
        <v>114</v>
      </c>
      <c r="C59" t="s">
        <v>144</v>
      </c>
      <c r="D59" t="s">
        <v>149</v>
      </c>
      <c r="E59" t="s">
        <v>15</v>
      </c>
      <c r="F59" t="s">
        <v>3349</v>
      </c>
      <c r="G59" t="s">
        <v>18078</v>
      </c>
      <c r="H59" t="s">
        <v>1112</v>
      </c>
      <c r="I59" t="s">
        <v>1108</v>
      </c>
      <c r="J59" t="s">
        <v>3350</v>
      </c>
      <c r="K59" t="s">
        <v>3351</v>
      </c>
      <c r="L59" t="s">
        <v>21</v>
      </c>
      <c r="M59" t="s">
        <v>19177</v>
      </c>
      <c r="N59" t="s">
        <v>300</v>
      </c>
      <c r="O59" t="s">
        <v>16373</v>
      </c>
      <c r="P59" t="s">
        <v>12</v>
      </c>
    </row>
    <row r="60">
      <c r="A60">
        <f>HYPERLINK("http://bombeiros.sp.gov.br/hidrantes/03individual/1588.html","1588")</f>
      </c>
      <c r="B60" t="s">
        <v>114</v>
      </c>
      <c r="C60" t="s">
        <v>144</v>
      </c>
      <c r="D60" t="s">
        <v>149</v>
      </c>
      <c r="E60" t="s">
        <v>15</v>
      </c>
      <c r="F60" t="s">
        <v>3358</v>
      </c>
      <c r="G60" t="s">
        <v>18046</v>
      </c>
      <c r="H60" t="s">
        <v>1112</v>
      </c>
      <c r="I60" t="s">
        <v>1108</v>
      </c>
      <c r="J60" t="s">
        <v>3359</v>
      </c>
      <c r="K60" t="s">
        <v>3360</v>
      </c>
      <c r="L60" t="s">
        <v>21</v>
      </c>
      <c r="M60" t="s">
        <v>19177</v>
      </c>
      <c r="N60" t="s">
        <v>300</v>
      </c>
      <c r="O60" t="s">
        <v>16373</v>
      </c>
      <c r="P60" t="s">
        <v>12</v>
      </c>
    </row>
    <row r="61">
      <c r="A61">
        <f>HYPERLINK("http://bombeiros.sp.gov.br/hidrantes/03individual/2974.html","2974")</f>
      </c>
      <c r="B61" t="s">
        <v>114</v>
      </c>
      <c r="C61" t="s">
        <v>144</v>
      </c>
      <c r="D61" t="s">
        <v>149</v>
      </c>
      <c r="E61" t="s">
        <v>15</v>
      </c>
      <c r="F61" t="s">
        <v>3370</v>
      </c>
      <c r="G61" t="s">
        <v>18062</v>
      </c>
      <c r="H61" t="s">
        <v>1112</v>
      </c>
      <c r="I61" t="s">
        <v>1108</v>
      </c>
      <c r="J61" t="s">
        <v>3371</v>
      </c>
      <c r="K61" t="s">
        <v>3372</v>
      </c>
      <c r="L61" t="s">
        <v>21</v>
      </c>
      <c r="M61" t="s">
        <v>19177</v>
      </c>
      <c r="N61" t="s">
        <v>300</v>
      </c>
      <c r="O61" t="s">
        <v>16373</v>
      </c>
      <c r="P61" t="s">
        <v>12</v>
      </c>
    </row>
    <row r="62">
      <c r="A62">
        <f>HYPERLINK("http://bombeiros.sp.gov.br/hidrantes/03individual/1565.html","1565")</f>
      </c>
      <c r="B62" t="s">
        <v>114</v>
      </c>
      <c r="C62" t="s">
        <v>144</v>
      </c>
      <c r="D62" t="s">
        <v>165</v>
      </c>
      <c r="E62" t="s">
        <v>15</v>
      </c>
      <c r="F62" t="s">
        <v>3440</v>
      </c>
      <c r="G62" t="s">
        <v>18078</v>
      </c>
      <c r="H62" t="s">
        <v>1121</v>
      </c>
      <c r="I62" t="s">
        <v>1117</v>
      </c>
      <c r="J62" t="s">
        <v>3441</v>
      </c>
      <c r="K62" t="s">
        <v>3442</v>
      </c>
      <c r="L62" t="s">
        <v>21</v>
      </c>
      <c r="M62" t="s">
        <v>19177</v>
      </c>
      <c r="N62" t="s">
        <v>97</v>
      </c>
      <c r="O62" t="s">
        <v>937</v>
      </c>
      <c r="P62" t="s">
        <v>12</v>
      </c>
    </row>
    <row r="63">
      <c r="A63">
        <f>HYPERLINK("http://bombeiros.sp.gov.br/hidrantes/03individual/1583.html","1583")</f>
      </c>
      <c r="B63" t="s">
        <v>114</v>
      </c>
      <c r="C63" t="s">
        <v>144</v>
      </c>
      <c r="D63" t="s">
        <v>165</v>
      </c>
      <c r="E63" t="s">
        <v>15</v>
      </c>
      <c r="F63" t="s">
        <v>3449</v>
      </c>
      <c r="G63" t="s">
        <v>18055</v>
      </c>
      <c r="H63" t="s">
        <v>1107</v>
      </c>
      <c r="I63" t="s">
        <v>1108</v>
      </c>
      <c r="J63" t="s">
        <v>3450</v>
      </c>
      <c r="K63" t="s">
        <v>3451</v>
      </c>
      <c r="L63" t="s">
        <v>21</v>
      </c>
      <c r="M63" t="s">
        <v>19177</v>
      </c>
      <c r="N63" t="s">
        <v>97</v>
      </c>
      <c r="O63" t="s">
        <v>937</v>
      </c>
      <c r="P63" t="s">
        <v>12</v>
      </c>
    </row>
    <row r="64">
      <c r="A64">
        <f>HYPERLINK("http://bombeiros.sp.gov.br/hidrantes/03individual/1973.html","1973")</f>
      </c>
      <c r="B64" t="s">
        <v>114</v>
      </c>
      <c r="C64" t="s">
        <v>144</v>
      </c>
      <c r="D64" t="s">
        <v>165</v>
      </c>
      <c r="E64" t="s">
        <v>15</v>
      </c>
      <c r="F64" t="s">
        <v>3455</v>
      </c>
      <c r="G64" t="s">
        <v>18078</v>
      </c>
      <c r="H64" t="s">
        <v>1107</v>
      </c>
      <c r="I64" t="s">
        <v>1108</v>
      </c>
      <c r="J64" t="s">
        <v>3456</v>
      </c>
      <c r="K64" t="s">
        <v>3457</v>
      </c>
      <c r="L64" t="s">
        <v>21</v>
      </c>
      <c r="M64" t="s">
        <v>19177</v>
      </c>
      <c r="N64" t="s">
        <v>97</v>
      </c>
      <c r="O64" t="s">
        <v>937</v>
      </c>
      <c r="P64" t="s">
        <v>12</v>
      </c>
    </row>
    <row r="65">
      <c r="A65">
        <f>HYPERLINK("http://bombeiros.sp.gov.br/hidrantes/03individual/202.html","202")</f>
      </c>
      <c r="B65" t="s">
        <v>114</v>
      </c>
      <c r="C65" t="s">
        <v>172</v>
      </c>
      <c r="D65" t="s">
        <v>172</v>
      </c>
      <c r="E65" t="s">
        <v>15</v>
      </c>
      <c r="F65" t="s">
        <v>3514</v>
      </c>
      <c r="G65" t="s">
        <v>18079</v>
      </c>
      <c r="H65" t="s">
        <v>1121</v>
      </c>
      <c r="I65" t="s">
        <v>1117</v>
      </c>
      <c r="J65" t="s">
        <v>3515</v>
      </c>
      <c r="K65" t="s">
        <v>3516</v>
      </c>
      <c r="L65" t="s">
        <v>21</v>
      </c>
      <c r="M65" t="s">
        <v>19177</v>
      </c>
      <c r="N65" t="s">
        <v>97</v>
      </c>
      <c r="O65" t="s">
        <v>937</v>
      </c>
      <c r="P65" t="s">
        <v>12</v>
      </c>
    </row>
    <row r="66">
      <c r="A66">
        <f>HYPERLINK("http://bombeiros.sp.gov.br/hidrantes/03individual/57.html","57")</f>
      </c>
      <c r="B66" t="s">
        <v>114</v>
      </c>
      <c r="C66" t="s">
        <v>172</v>
      </c>
      <c r="D66" t="s">
        <v>182</v>
      </c>
      <c r="E66" t="s">
        <v>15</v>
      </c>
      <c r="F66" t="s">
        <v>3599</v>
      </c>
      <c r="G66" t="s">
        <v>18080</v>
      </c>
      <c r="H66" t="s">
        <v>1121</v>
      </c>
      <c r="I66" t="s">
        <v>1117</v>
      </c>
      <c r="J66" t="s">
        <v>3600</v>
      </c>
      <c r="K66" t="s">
        <v>3601</v>
      </c>
      <c r="L66" t="s">
        <v>21</v>
      </c>
      <c r="M66" t="s">
        <v>19177</v>
      </c>
      <c r="N66" t="s">
        <v>97</v>
      </c>
      <c r="O66" t="s">
        <v>937</v>
      </c>
      <c r="P66" t="s">
        <v>12</v>
      </c>
    </row>
    <row r="67">
      <c r="A67">
        <f>HYPERLINK("http://bombeiros.sp.gov.br/hidrantes/03individual/132.html","132")</f>
      </c>
      <c r="B67" t="s">
        <v>114</v>
      </c>
      <c r="C67" t="s">
        <v>172</v>
      </c>
      <c r="D67" t="s">
        <v>182</v>
      </c>
      <c r="E67" t="s">
        <v>15</v>
      </c>
      <c r="F67" t="s">
        <v>3614</v>
      </c>
      <c r="G67" t="s">
        <v>18081</v>
      </c>
      <c r="H67" t="s">
        <v>1121</v>
      </c>
      <c r="I67" t="s">
        <v>1117</v>
      </c>
      <c r="J67" t="s">
        <v>3615</v>
      </c>
      <c r="K67" t="s">
        <v>3616</v>
      </c>
      <c r="L67" t="s">
        <v>21</v>
      </c>
      <c r="M67" t="s">
        <v>19177</v>
      </c>
      <c r="N67" t="s">
        <v>97</v>
      </c>
      <c r="O67" t="s">
        <v>937</v>
      </c>
      <c r="P67" t="s">
        <v>12</v>
      </c>
    </row>
    <row r="68">
      <c r="A68">
        <f>HYPERLINK("http://bombeiros.sp.gov.br/hidrantes/03individual/2065.html","2065")</f>
      </c>
      <c r="B68" t="s">
        <v>114</v>
      </c>
      <c r="C68" t="s">
        <v>172</v>
      </c>
      <c r="D68" t="s">
        <v>182</v>
      </c>
      <c r="E68" t="s">
        <v>15</v>
      </c>
      <c r="F68" t="s">
        <v>3623</v>
      </c>
      <c r="G68" t="s">
        <v>18080</v>
      </c>
      <c r="H68" t="s">
        <v>1121</v>
      </c>
      <c r="I68" t="s">
        <v>1117</v>
      </c>
      <c r="J68" t="s">
        <v>3624</v>
      </c>
      <c r="K68" t="s">
        <v>3625</v>
      </c>
      <c r="L68" t="s">
        <v>21</v>
      </c>
      <c r="M68" t="s">
        <v>19177</v>
      </c>
      <c r="N68" t="s">
        <v>97</v>
      </c>
      <c r="O68" t="s">
        <v>937</v>
      </c>
      <c r="P68" t="s">
        <v>12</v>
      </c>
    </row>
    <row r="69">
      <c r="A69">
        <f>HYPERLINK("http://bombeiros.sp.gov.br/hidrantes/03individual/2852.html","2852")</f>
      </c>
      <c r="B69" t="s">
        <v>114</v>
      </c>
      <c r="C69" t="s">
        <v>172</v>
      </c>
      <c r="D69" t="s">
        <v>182</v>
      </c>
      <c r="E69" t="s">
        <v>15</v>
      </c>
      <c r="F69" t="s">
        <v>3629</v>
      </c>
      <c r="G69" t="s">
        <v>18082</v>
      </c>
      <c r="H69" t="s">
        <v>1112</v>
      </c>
      <c r="I69" t="s">
        <v>1108</v>
      </c>
      <c r="J69" t="s">
        <v>3631</v>
      </c>
      <c r="K69" t="s">
        <v>3632</v>
      </c>
      <c r="L69" t="s">
        <v>21</v>
      </c>
      <c r="M69" t="s">
        <v>19177</v>
      </c>
      <c r="N69" t="s">
        <v>97</v>
      </c>
      <c r="O69" t="s">
        <v>937</v>
      </c>
      <c r="P69" t="s">
        <v>12</v>
      </c>
    </row>
    <row r="70">
      <c r="A70">
        <f>HYPERLINK("http://bombeiros.sp.gov.br/hidrantes/03individual/786.html","786")</f>
      </c>
      <c r="B70" t="s">
        <v>114</v>
      </c>
      <c r="C70" t="s">
        <v>172</v>
      </c>
      <c r="D70" t="s">
        <v>191</v>
      </c>
      <c r="E70" t="s">
        <v>15</v>
      </c>
      <c r="F70" t="s">
        <v>3687</v>
      </c>
      <c r="G70" t="s">
        <v>18072</v>
      </c>
      <c r="H70" t="s">
        <v>1107</v>
      </c>
      <c r="I70" t="s">
        <v>1108</v>
      </c>
      <c r="J70" t="s">
        <v>3688</v>
      </c>
      <c r="K70" t="s">
        <v>3689</v>
      </c>
      <c r="L70" t="s">
        <v>21</v>
      </c>
      <c r="M70" t="s">
        <v>19177</v>
      </c>
      <c r="N70" t="s">
        <v>97</v>
      </c>
      <c r="O70" t="s">
        <v>937</v>
      </c>
      <c r="P70" t="s">
        <v>12</v>
      </c>
    </row>
    <row r="71">
      <c r="A71">
        <f>HYPERLINK("http://bombeiros.sp.gov.br/hidrantes/03individual/1958.html","1958")</f>
      </c>
      <c r="B71" t="s">
        <v>114</v>
      </c>
      <c r="C71" t="s">
        <v>172</v>
      </c>
      <c r="D71" t="s">
        <v>191</v>
      </c>
      <c r="E71" t="s">
        <v>15</v>
      </c>
      <c r="F71" t="s">
        <v>3699</v>
      </c>
      <c r="G71" t="s">
        <v>18083</v>
      </c>
      <c r="H71" t="s">
        <v>1121</v>
      </c>
      <c r="I71" t="s">
        <v>1117</v>
      </c>
      <c r="J71" t="s">
        <v>3700</v>
      </c>
      <c r="K71" t="s">
        <v>3701</v>
      </c>
      <c r="L71" t="s">
        <v>21</v>
      </c>
      <c r="M71" t="s">
        <v>19177</v>
      </c>
      <c r="N71" t="s">
        <v>97</v>
      </c>
      <c r="O71" t="s">
        <v>937</v>
      </c>
      <c r="P71" t="s">
        <v>12</v>
      </c>
    </row>
    <row r="72">
      <c r="A72">
        <f>HYPERLINK("http://bombeiros.sp.gov.br/hidrantes/03individual/929.html","929")</f>
      </c>
      <c r="B72" t="s">
        <v>114</v>
      </c>
      <c r="C72" t="s">
        <v>195</v>
      </c>
      <c r="D72" t="s">
        <v>196</v>
      </c>
      <c r="E72" t="s">
        <v>15</v>
      </c>
      <c r="F72" t="s">
        <v>3729</v>
      </c>
      <c r="G72" t="s">
        <v>18084</v>
      </c>
      <c r="H72" t="s">
        <v>1107</v>
      </c>
      <c r="I72" t="s">
        <v>1108</v>
      </c>
      <c r="J72" t="s">
        <v>3730</v>
      </c>
      <c r="K72" t="s">
        <v>3731</v>
      </c>
      <c r="L72" t="s">
        <v>21</v>
      </c>
      <c r="M72" t="s">
        <v>19177</v>
      </c>
      <c r="N72" t="s">
        <v>309</v>
      </c>
      <c r="O72" t="s">
        <v>6029</v>
      </c>
      <c r="P72" t="s">
        <v>114</v>
      </c>
    </row>
    <row r="73">
      <c r="A73">
        <f>HYPERLINK("http://bombeiros.sp.gov.br/hidrantes/03individual/1045.html","1045")</f>
      </c>
      <c r="B73" t="s">
        <v>114</v>
      </c>
      <c r="C73" t="s">
        <v>195</v>
      </c>
      <c r="D73" t="s">
        <v>196</v>
      </c>
      <c r="E73" t="s">
        <v>15</v>
      </c>
      <c r="F73" t="s">
        <v>3735</v>
      </c>
      <c r="G73" t="s">
        <v>18084</v>
      </c>
      <c r="H73" t="s">
        <v>1107</v>
      </c>
      <c r="I73" t="s">
        <v>1108</v>
      </c>
      <c r="J73" t="s">
        <v>3736</v>
      </c>
      <c r="K73" t="s">
        <v>3737</v>
      </c>
      <c r="L73" t="s">
        <v>21</v>
      </c>
      <c r="M73" t="s">
        <v>19177</v>
      </c>
      <c r="N73" t="s">
        <v>309</v>
      </c>
      <c r="O73" t="s">
        <v>6029</v>
      </c>
      <c r="P73" t="s">
        <v>114</v>
      </c>
    </row>
    <row r="74">
      <c r="A74">
        <f>HYPERLINK("http://bombeiros.sp.gov.br/hidrantes/03individual/1535.html","1535")</f>
      </c>
      <c r="B74" t="s">
        <v>114</v>
      </c>
      <c r="C74" t="s">
        <v>195</v>
      </c>
      <c r="D74" t="s">
        <v>3787</v>
      </c>
      <c r="E74" t="s">
        <v>15</v>
      </c>
      <c r="F74" t="s">
        <v>3818</v>
      </c>
      <c r="G74" t="s">
        <v>18046</v>
      </c>
      <c r="H74" t="s">
        <v>1121</v>
      </c>
      <c r="I74" t="s">
        <v>1117</v>
      </c>
      <c r="J74" t="s">
        <v>3819</v>
      </c>
      <c r="K74" t="s">
        <v>3820</v>
      </c>
      <c r="L74" t="s">
        <v>21</v>
      </c>
      <c r="M74" t="s">
        <v>19177</v>
      </c>
      <c r="N74" t="s">
        <v>309</v>
      </c>
      <c r="O74" t="s">
        <v>6029</v>
      </c>
      <c r="P74" t="s">
        <v>114</v>
      </c>
    </row>
    <row r="75">
      <c r="A75">
        <f>HYPERLINK("http://bombeiros.sp.gov.br/hidrantes/03individual/1732.html","1732")</f>
      </c>
      <c r="B75" t="s">
        <v>114</v>
      </c>
      <c r="C75" t="s">
        <v>210</v>
      </c>
      <c r="D75" t="s">
        <v>211</v>
      </c>
      <c r="E75" t="s">
        <v>15</v>
      </c>
      <c r="F75" t="s">
        <v>3869</v>
      </c>
      <c r="G75" t="s">
        <v>18085</v>
      </c>
      <c r="H75" t="s">
        <v>1107</v>
      </c>
      <c r="I75" t="s">
        <v>1108</v>
      </c>
      <c r="J75" t="s">
        <v>3870</v>
      </c>
      <c r="K75" t="s">
        <v>3871</v>
      </c>
      <c r="L75" t="s">
        <v>21</v>
      </c>
      <c r="M75" t="s">
        <v>19177</v>
      </c>
      <c r="N75" t="s">
        <v>300</v>
      </c>
      <c r="O75" t="s">
        <v>16373</v>
      </c>
      <c r="P75" t="s">
        <v>12</v>
      </c>
    </row>
    <row r="76">
      <c r="A76">
        <f>HYPERLINK("http://bombeiros.sp.gov.br/hidrantes/03individual/28054.html","28054")</f>
      </c>
      <c r="B76" t="s">
        <v>114</v>
      </c>
      <c r="C76" t="s">
        <v>210</v>
      </c>
      <c r="D76" t="s">
        <v>211</v>
      </c>
      <c r="E76" t="s">
        <v>15</v>
      </c>
      <c r="F76" t="s">
        <v>18086</v>
      </c>
      <c r="G76" t="s">
        <v>18082</v>
      </c>
      <c r="H76" t="s">
        <v>1107</v>
      </c>
      <c r="I76" t="s">
        <v>1108</v>
      </c>
      <c r="J76" t="s">
        <v>18087</v>
      </c>
      <c r="K76" t="s">
        <v>18088</v>
      </c>
      <c r="L76" t="s">
        <v>21</v>
      </c>
      <c r="M76" t="s">
        <v>19177</v>
      </c>
      <c r="N76" t="s">
        <v>300</v>
      </c>
      <c r="O76" t="s">
        <v>16373</v>
      </c>
      <c r="P76" t="s">
        <v>12</v>
      </c>
    </row>
    <row r="77">
      <c r="A77">
        <f>HYPERLINK("http://bombeiros.sp.gov.br/hidrantes/03individual/3040.html","3040")</f>
      </c>
      <c r="B77" t="s">
        <v>114</v>
      </c>
      <c r="C77" t="s">
        <v>210</v>
      </c>
      <c r="D77" t="s">
        <v>3917</v>
      </c>
      <c r="E77" t="s">
        <v>15</v>
      </c>
      <c r="F77" t="s">
        <v>3984</v>
      </c>
      <c r="G77" t="s">
        <v>18051</v>
      </c>
      <c r="H77" t="s">
        <v>1107</v>
      </c>
      <c r="I77" t="s">
        <v>1108</v>
      </c>
      <c r="J77" t="s">
        <v>3985</v>
      </c>
      <c r="K77" t="s">
        <v>3986</v>
      </c>
      <c r="L77" t="s">
        <v>36</v>
      </c>
      <c r="M77" t="s">
        <v>19177</v>
      </c>
      <c r="N77" t="s">
        <v>300</v>
      </c>
      <c r="O77" t="s">
        <v>16373</v>
      </c>
      <c r="P77" t="s">
        <v>12</v>
      </c>
    </row>
    <row r="78">
      <c r="A78">
        <f>HYPERLINK("http://bombeiros.sp.gov.br/hidrantes/03individual/27261.html","27261")</f>
      </c>
      <c r="B78" t="s">
        <v>114</v>
      </c>
      <c r="C78" t="s">
        <v>210</v>
      </c>
      <c r="D78" t="s">
        <v>3917</v>
      </c>
      <c r="E78" t="s">
        <v>15</v>
      </c>
      <c r="F78" t="s">
        <v>17016</v>
      </c>
      <c r="G78" t="s">
        <v>18051</v>
      </c>
      <c r="H78" t="s">
        <v>1174</v>
      </c>
      <c r="I78" t="s">
        <v>1108</v>
      </c>
      <c r="J78" t="s">
        <v>17017</v>
      </c>
      <c r="K78" t="s">
        <v>17018</v>
      </c>
      <c r="L78" t="s">
        <v>21</v>
      </c>
      <c r="M78" t="s">
        <v>19177</v>
      </c>
      <c r="N78" t="s">
        <v>300</v>
      </c>
      <c r="O78" t="s">
        <v>16373</v>
      </c>
      <c r="P78" t="s">
        <v>12</v>
      </c>
    </row>
    <row r="79">
      <c r="A79">
        <f>HYPERLINK("http://bombeiros.sp.gov.br/hidrantes/03individual/1957.html","1957")</f>
      </c>
      <c r="B79" t="s">
        <v>114</v>
      </c>
      <c r="C79" t="s">
        <v>222</v>
      </c>
      <c r="D79" t="s">
        <v>234</v>
      </c>
      <c r="E79" t="s">
        <v>15</v>
      </c>
      <c r="F79" t="s">
        <v>235</v>
      </c>
      <c r="G79" t="s">
        <v>18089</v>
      </c>
      <c r="H79" t="s">
        <v>1121</v>
      </c>
      <c r="I79" t="s">
        <v>1117</v>
      </c>
      <c r="J79" t="s">
        <v>236</v>
      </c>
      <c r="K79" t="s">
        <v>237</v>
      </c>
      <c r="L79" t="s">
        <v>21</v>
      </c>
      <c r="M79" t="s">
        <v>19177</v>
      </c>
      <c r="N79" t="s">
        <v>16374</v>
      </c>
      <c r="O79" t="s">
        <v>272</v>
      </c>
      <c r="P79" t="s">
        <v>114</v>
      </c>
    </row>
    <row r="80">
      <c r="A80">
        <f>HYPERLINK("http://bombeiros.sp.gov.br/hidrantes/03individual/3360.html","3360")</f>
      </c>
      <c r="B80" t="s">
        <v>114</v>
      </c>
      <c r="C80" t="s">
        <v>222</v>
      </c>
      <c r="D80" t="s">
        <v>238</v>
      </c>
      <c r="E80" t="s">
        <v>15</v>
      </c>
      <c r="F80" t="s">
        <v>4098</v>
      </c>
      <c r="G80" t="s">
        <v>18062</v>
      </c>
      <c r="H80" t="s">
        <v>1121</v>
      </c>
      <c r="I80" t="s">
        <v>1117</v>
      </c>
      <c r="J80" t="s">
        <v>4099</v>
      </c>
      <c r="K80" t="s">
        <v>4100</v>
      </c>
      <c r="L80" t="s">
        <v>21</v>
      </c>
      <c r="M80" t="s">
        <v>19177</v>
      </c>
      <c r="N80" t="s">
        <v>16374</v>
      </c>
      <c r="O80" t="s">
        <v>272</v>
      </c>
      <c r="P80" t="s">
        <v>114</v>
      </c>
    </row>
    <row r="81">
      <c r="A81">
        <f>HYPERLINK("http://bombeiros.sp.gov.br/hidrantes/03individual/2011.html","2011")</f>
      </c>
      <c r="B81" t="s">
        <v>114</v>
      </c>
      <c r="C81" t="s">
        <v>242</v>
      </c>
      <c r="D81" t="s">
        <v>242</v>
      </c>
      <c r="E81" t="s">
        <v>64</v>
      </c>
      <c r="F81" t="s">
        <v>4161</v>
      </c>
      <c r="G81" t="s">
        <v>18069</v>
      </c>
      <c r="H81" t="s">
        <v>1121</v>
      </c>
      <c r="I81" t="s">
        <v>1117</v>
      </c>
      <c r="J81" t="s">
        <v>4162</v>
      </c>
      <c r="K81" t="s">
        <v>4163</v>
      </c>
      <c r="L81" t="s">
        <v>21</v>
      </c>
      <c r="M81" t="s">
        <v>19177</v>
      </c>
      <c r="N81" t="s">
        <v>272</v>
      </c>
      <c r="O81" t="s">
        <v>272</v>
      </c>
      <c r="P81" t="s">
        <v>114</v>
      </c>
    </row>
    <row r="82">
      <c r="A82">
        <f>HYPERLINK("http://bombeiros.sp.gov.br/hidrantes/03individual/3467.html","3467")</f>
      </c>
      <c r="B82" t="s">
        <v>114</v>
      </c>
      <c r="C82" t="s">
        <v>242</v>
      </c>
      <c r="D82" t="s">
        <v>242</v>
      </c>
      <c r="E82" t="s">
        <v>64</v>
      </c>
      <c r="F82" t="s">
        <v>4173</v>
      </c>
      <c r="G82" t="s">
        <v>18069</v>
      </c>
      <c r="H82" t="s">
        <v>1121</v>
      </c>
      <c r="I82" t="s">
        <v>1117</v>
      </c>
      <c r="J82" t="s">
        <v>4174</v>
      </c>
      <c r="K82" t="s">
        <v>4175</v>
      </c>
      <c r="L82" t="s">
        <v>36</v>
      </c>
      <c r="M82" t="s">
        <v>19177</v>
      </c>
      <c r="N82" t="s">
        <v>272</v>
      </c>
      <c r="O82" t="s">
        <v>272</v>
      </c>
      <c r="P82" t="s">
        <v>114</v>
      </c>
    </row>
    <row r="83">
      <c r="A83">
        <f>HYPERLINK("http://bombeiros.sp.gov.br/hidrantes/03individual/2050.html","2050")</f>
      </c>
      <c r="B83" t="s">
        <v>114</v>
      </c>
      <c r="C83" t="s">
        <v>242</v>
      </c>
      <c r="D83" t="s">
        <v>242</v>
      </c>
      <c r="E83" t="s">
        <v>15</v>
      </c>
      <c r="F83" t="s">
        <v>4206</v>
      </c>
      <c r="G83" t="s">
        <v>18090</v>
      </c>
      <c r="H83" t="s">
        <v>1112</v>
      </c>
      <c r="I83" t="s">
        <v>1108</v>
      </c>
      <c r="J83" t="s">
        <v>4207</v>
      </c>
      <c r="K83" t="s">
        <v>4208</v>
      </c>
      <c r="L83" t="s">
        <v>36</v>
      </c>
      <c r="M83" t="s">
        <v>19177</v>
      </c>
      <c r="N83" t="s">
        <v>272</v>
      </c>
      <c r="O83" t="s">
        <v>272</v>
      </c>
      <c r="P83" t="s">
        <v>114</v>
      </c>
    </row>
    <row r="84">
      <c r="A84">
        <f>HYPERLINK("http://bombeiros.sp.gov.br/hidrantes/03individual/1624.html","1624")</f>
      </c>
      <c r="B84" t="s">
        <v>114</v>
      </c>
      <c r="C84" t="s">
        <v>251</v>
      </c>
      <c r="D84" t="s">
        <v>251</v>
      </c>
      <c r="E84" t="s">
        <v>15</v>
      </c>
      <c r="F84" t="s">
        <v>4289</v>
      </c>
      <c r="G84" t="s">
        <v>18091</v>
      </c>
      <c r="H84" t="s">
        <v>1107</v>
      </c>
      <c r="I84" t="s">
        <v>1108</v>
      </c>
      <c r="J84" t="s">
        <v>4290</v>
      </c>
      <c r="K84" t="s">
        <v>4291</v>
      </c>
      <c r="L84" t="s">
        <v>21</v>
      </c>
      <c r="M84" t="s">
        <v>19177</v>
      </c>
      <c r="N84" t="s">
        <v>309</v>
      </c>
      <c r="O84" t="s">
        <v>6029</v>
      </c>
      <c r="P84" t="s">
        <v>114</v>
      </c>
    </row>
    <row r="85">
      <c r="A85">
        <f>HYPERLINK("http://bombeiros.sp.gov.br/hidrantes/03individual/1776.html","1776")</f>
      </c>
      <c r="B85" t="s">
        <v>114</v>
      </c>
      <c r="C85" t="s">
        <v>251</v>
      </c>
      <c r="D85" t="s">
        <v>4310</v>
      </c>
      <c r="E85" t="s">
        <v>15</v>
      </c>
      <c r="F85" t="s">
        <v>4317</v>
      </c>
      <c r="G85" t="s">
        <v>18042</v>
      </c>
      <c r="H85" t="s">
        <v>1112</v>
      </c>
      <c r="I85" t="s">
        <v>1108</v>
      </c>
      <c r="J85" t="s">
        <v>4318</v>
      </c>
      <c r="K85" t="s">
        <v>4319</v>
      </c>
      <c r="L85" t="s">
        <v>21</v>
      </c>
      <c r="M85" t="s">
        <v>19177</v>
      </c>
      <c r="N85" t="s">
        <v>309</v>
      </c>
      <c r="O85" t="s">
        <v>6029</v>
      </c>
      <c r="P85" t="s">
        <v>114</v>
      </c>
    </row>
    <row r="86">
      <c r="A86">
        <f>HYPERLINK("http://bombeiros.sp.gov.br/hidrantes/03individual/1969.html","1969")</f>
      </c>
      <c r="B86" t="s">
        <v>114</v>
      </c>
      <c r="C86" t="s">
        <v>260</v>
      </c>
      <c r="D86" t="s">
        <v>261</v>
      </c>
      <c r="E86" t="s">
        <v>15</v>
      </c>
      <c r="F86" t="s">
        <v>4462</v>
      </c>
      <c r="G86" t="s">
        <v>18092</v>
      </c>
      <c r="H86" t="s">
        <v>1107</v>
      </c>
      <c r="I86" t="s">
        <v>1117</v>
      </c>
      <c r="J86" t="s">
        <v>4463</v>
      </c>
      <c r="K86" t="s">
        <v>4464</v>
      </c>
      <c r="L86" t="s">
        <v>21</v>
      </c>
      <c r="M86" t="s">
        <v>19177</v>
      </c>
      <c r="N86" t="s">
        <v>6029</v>
      </c>
      <c r="O86" t="s">
        <v>6029</v>
      </c>
      <c r="P86" t="s">
        <v>114</v>
      </c>
    </row>
    <row r="87">
      <c r="A87">
        <f>HYPERLINK("http://bombeiros.sp.gov.br/hidrantes/03individual/2049.html","2049")</f>
      </c>
      <c r="B87" t="s">
        <v>114</v>
      </c>
      <c r="C87" t="s">
        <v>260</v>
      </c>
      <c r="D87" t="s">
        <v>265</v>
      </c>
      <c r="E87" t="s">
        <v>15</v>
      </c>
      <c r="F87" t="s">
        <v>4528</v>
      </c>
      <c r="G87" t="s">
        <v>18084</v>
      </c>
      <c r="H87" t="s">
        <v>1107</v>
      </c>
      <c r="I87" t="s">
        <v>1117</v>
      </c>
      <c r="J87" t="s">
        <v>4529</v>
      </c>
      <c r="K87" t="s">
        <v>4530</v>
      </c>
      <c r="L87" t="s">
        <v>21</v>
      </c>
      <c r="M87" t="s">
        <v>19177</v>
      </c>
      <c r="N87" t="s">
        <v>6029</v>
      </c>
      <c r="O87" t="s">
        <v>6029</v>
      </c>
      <c r="P87" t="s">
        <v>114</v>
      </c>
    </row>
    <row r="88">
      <c r="A88">
        <f>HYPERLINK("http://bombeiros.sp.gov.br/hidrantes/03individual/4201.html","4201")</f>
      </c>
      <c r="B88" t="s">
        <v>114</v>
      </c>
      <c r="C88" t="s">
        <v>260</v>
      </c>
      <c r="D88" t="s">
        <v>265</v>
      </c>
      <c r="E88" t="s">
        <v>15</v>
      </c>
      <c r="F88" t="s">
        <v>269</v>
      </c>
      <c r="G88" t="s">
        <v>18084</v>
      </c>
      <c r="H88" t="s">
        <v>1107</v>
      </c>
      <c r="I88" t="s">
        <v>1108</v>
      </c>
      <c r="J88" t="s">
        <v>17480</v>
      </c>
      <c r="K88" t="s">
        <v>17481</v>
      </c>
      <c r="L88" t="s">
        <v>21</v>
      </c>
      <c r="M88" t="s">
        <v>19177</v>
      </c>
      <c r="N88" t="s">
        <v>6029</v>
      </c>
      <c r="O88" t="s">
        <v>6029</v>
      </c>
      <c r="P88" t="s">
        <v>114</v>
      </c>
    </row>
    <row r="89">
      <c r="A89">
        <f>HYPERLINK("http://bombeiros.sp.gov.br/hidrantes/03individual/3444.html","3444")</f>
      </c>
      <c r="B89" t="s">
        <v>114</v>
      </c>
      <c r="C89" t="s">
        <v>272</v>
      </c>
      <c r="D89" t="s">
        <v>284</v>
      </c>
      <c r="E89" t="s">
        <v>15</v>
      </c>
      <c r="F89" t="s">
        <v>4707</v>
      </c>
      <c r="G89" t="s">
        <v>18093</v>
      </c>
      <c r="H89" t="s">
        <v>1121</v>
      </c>
      <c r="I89" t="s">
        <v>1117</v>
      </c>
      <c r="J89" t="s">
        <v>4708</v>
      </c>
      <c r="K89" t="s">
        <v>4709</v>
      </c>
      <c r="L89" t="s">
        <v>21</v>
      </c>
      <c r="M89" t="s">
        <v>19177</v>
      </c>
      <c r="N89" t="s">
        <v>272</v>
      </c>
      <c r="O89" t="s">
        <v>272</v>
      </c>
      <c r="P89" t="s">
        <v>114</v>
      </c>
    </row>
    <row r="90">
      <c r="A90">
        <f>HYPERLINK("http://bombeiros.sp.gov.br/hidrantes/03individual/4205.html","4205")</f>
      </c>
      <c r="B90" t="s">
        <v>114</v>
      </c>
      <c r="C90" t="s">
        <v>289</v>
      </c>
      <c r="D90" t="s">
        <v>289</v>
      </c>
      <c r="E90" t="s">
        <v>15</v>
      </c>
      <c r="F90" t="s">
        <v>4737</v>
      </c>
      <c r="G90" t="s">
        <v>18094</v>
      </c>
      <c r="H90" t="s">
        <v>1121</v>
      </c>
      <c r="I90" t="s">
        <v>1117</v>
      </c>
      <c r="J90" t="s">
        <v>4738</v>
      </c>
      <c r="K90" t="s">
        <v>4739</v>
      </c>
      <c r="L90" t="s">
        <v>21</v>
      </c>
      <c r="M90" t="s">
        <v>19177</v>
      </c>
      <c r="N90" t="s">
        <v>6029</v>
      </c>
      <c r="O90" t="s">
        <v>6029</v>
      </c>
      <c r="P90" t="s">
        <v>114</v>
      </c>
    </row>
    <row r="91">
      <c r="A91">
        <f>HYPERLINK("http://bombeiros.sp.gov.br/hidrantes/03individual/17861.html","17861")</f>
      </c>
      <c r="B91" t="s">
        <v>114</v>
      </c>
      <c r="C91" t="s">
        <v>289</v>
      </c>
      <c r="D91" t="s">
        <v>289</v>
      </c>
      <c r="E91" t="s">
        <v>15</v>
      </c>
      <c r="F91" t="s">
        <v>4743</v>
      </c>
      <c r="G91" t="s">
        <v>18094</v>
      </c>
      <c r="H91" t="s">
        <v>1121</v>
      </c>
      <c r="I91" t="s">
        <v>1117</v>
      </c>
      <c r="J91" t="s">
        <v>4744</v>
      </c>
      <c r="K91" t="s">
        <v>4745</v>
      </c>
      <c r="L91" t="s">
        <v>21</v>
      </c>
      <c r="M91" t="s">
        <v>19177</v>
      </c>
      <c r="N91" t="s">
        <v>6029</v>
      </c>
      <c r="O91" t="s">
        <v>6029</v>
      </c>
      <c r="P91" t="s">
        <v>114</v>
      </c>
    </row>
    <row r="92">
      <c r="A92">
        <f>HYPERLINK("http://bombeiros.sp.gov.br/hidrantes/03individual/17862.html","17862")</f>
      </c>
      <c r="B92" t="s">
        <v>114</v>
      </c>
      <c r="C92" t="s">
        <v>289</v>
      </c>
      <c r="D92" t="s">
        <v>289</v>
      </c>
      <c r="E92" t="s">
        <v>15</v>
      </c>
      <c r="F92" t="s">
        <v>4746</v>
      </c>
      <c r="G92" t="s">
        <v>18094</v>
      </c>
      <c r="H92" t="s">
        <v>1121</v>
      </c>
      <c r="I92" t="s">
        <v>1117</v>
      </c>
      <c r="J92" t="s">
        <v>4747</v>
      </c>
      <c r="K92" t="s">
        <v>4748</v>
      </c>
      <c r="L92" t="s">
        <v>21</v>
      </c>
      <c r="M92" t="s">
        <v>19177</v>
      </c>
      <c r="N92" t="s">
        <v>6029</v>
      </c>
      <c r="O92" t="s">
        <v>6029</v>
      </c>
      <c r="P92" t="s">
        <v>114</v>
      </c>
    </row>
    <row r="93">
      <c r="A93">
        <f>HYPERLINK("http://bombeiros.sp.gov.br/hidrantes/03individual/27170.html","27170")</f>
      </c>
      <c r="B93" t="s">
        <v>114</v>
      </c>
      <c r="C93" t="s">
        <v>289</v>
      </c>
      <c r="D93" t="s">
        <v>290</v>
      </c>
      <c r="E93" t="s">
        <v>15</v>
      </c>
      <c r="F93" t="s">
        <v>291</v>
      </c>
      <c r="G93" t="s">
        <v>18095</v>
      </c>
      <c r="H93" t="s">
        <v>1121</v>
      </c>
      <c r="I93" t="s">
        <v>1117</v>
      </c>
      <c r="J93" t="s">
        <v>16889</v>
      </c>
      <c r="K93" t="s">
        <v>16890</v>
      </c>
      <c r="L93" t="s">
        <v>21</v>
      </c>
      <c r="M93" t="s">
        <v>19177</v>
      </c>
      <c r="N93" t="s">
        <v>6029</v>
      </c>
      <c r="O93" t="s">
        <v>6029</v>
      </c>
      <c r="P93" t="s">
        <v>114</v>
      </c>
    </row>
    <row r="94">
      <c r="A94">
        <f>HYPERLINK("http://bombeiros.sp.gov.br/hidrantes/03individual/4199.html","4199")</f>
      </c>
      <c r="B94" t="s">
        <v>114</v>
      </c>
      <c r="C94" t="s">
        <v>4749</v>
      </c>
      <c r="D94" t="s">
        <v>4749</v>
      </c>
      <c r="E94" t="s">
        <v>15</v>
      </c>
      <c r="F94" t="s">
        <v>4812</v>
      </c>
      <c r="G94" t="s">
        <v>18072</v>
      </c>
      <c r="H94" t="s">
        <v>1107</v>
      </c>
      <c r="I94" t="s">
        <v>1108</v>
      </c>
      <c r="J94" t="s">
        <v>4813</v>
      </c>
      <c r="K94" t="s">
        <v>4814</v>
      </c>
      <c r="L94" t="s">
        <v>21</v>
      </c>
      <c r="M94" t="s">
        <v>19177</v>
      </c>
      <c r="N94" t="s">
        <v>272</v>
      </c>
      <c r="O94" t="s">
        <v>272</v>
      </c>
      <c r="P94" t="s">
        <v>114</v>
      </c>
    </row>
    <row r="95">
      <c r="A95">
        <f>HYPERLINK("http://bombeiros.sp.gov.br/hidrantes/03individual/2037.html","2037")</f>
      </c>
      <c r="B95" t="s">
        <v>114</v>
      </c>
      <c r="C95" t="s">
        <v>4824</v>
      </c>
      <c r="D95" t="s">
        <v>4824</v>
      </c>
      <c r="E95" t="s">
        <v>15</v>
      </c>
      <c r="F95" t="s">
        <v>4843</v>
      </c>
      <c r="G95" t="s">
        <v>18066</v>
      </c>
      <c r="H95" t="s">
        <v>1174</v>
      </c>
      <c r="I95" t="s">
        <v>1108</v>
      </c>
      <c r="J95" t="s">
        <v>4844</v>
      </c>
      <c r="K95" t="s">
        <v>4845</v>
      </c>
      <c r="L95" t="s">
        <v>21</v>
      </c>
      <c r="M95" t="s">
        <v>19177</v>
      </c>
      <c r="N95" t="s">
        <v>272</v>
      </c>
      <c r="O95" t="s">
        <v>272</v>
      </c>
      <c r="P95" t="s">
        <v>114</v>
      </c>
    </row>
    <row r="96">
      <c r="A96">
        <f>HYPERLINK("http://bombeiros.sp.gov.br/hidrantes/03individual/4328.html","4328")</f>
      </c>
      <c r="B96" t="s">
        <v>114</v>
      </c>
      <c r="C96" t="s">
        <v>4824</v>
      </c>
      <c r="D96" t="s">
        <v>4824</v>
      </c>
      <c r="E96" t="s">
        <v>15</v>
      </c>
      <c r="F96" t="s">
        <v>4849</v>
      </c>
      <c r="G96" t="s">
        <v>18092</v>
      </c>
      <c r="H96" t="s">
        <v>1121</v>
      </c>
      <c r="I96" t="s">
        <v>1117</v>
      </c>
      <c r="J96" t="s">
        <v>4850</v>
      </c>
      <c r="K96" t="s">
        <v>4851</v>
      </c>
      <c r="L96" t="s">
        <v>21</v>
      </c>
      <c r="M96" t="s">
        <v>19177</v>
      </c>
      <c r="N96" t="s">
        <v>272</v>
      </c>
      <c r="O96" t="s">
        <v>272</v>
      </c>
      <c r="P96" t="s">
        <v>114</v>
      </c>
    </row>
    <row r="97">
      <c r="A97">
        <f>HYPERLINK("http://bombeiros.sp.gov.br/hidrantes/03individual/3126.html","3126")</f>
      </c>
      <c r="B97" t="s">
        <v>114</v>
      </c>
      <c r="C97" t="s">
        <v>300</v>
      </c>
      <c r="D97" t="s">
        <v>300</v>
      </c>
      <c r="E97" t="s">
        <v>15</v>
      </c>
      <c r="F97" t="s">
        <v>4964</v>
      </c>
      <c r="G97" t="s">
        <v>18082</v>
      </c>
      <c r="H97" t="s">
        <v>1112</v>
      </c>
      <c r="I97" t="s">
        <v>1108</v>
      </c>
      <c r="J97" t="s">
        <v>4965</v>
      </c>
      <c r="K97" t="s">
        <v>4966</v>
      </c>
      <c r="L97" t="s">
        <v>21</v>
      </c>
      <c r="M97" t="s">
        <v>19177</v>
      </c>
      <c r="N97" t="s">
        <v>300</v>
      </c>
      <c r="O97" t="s">
        <v>16373</v>
      </c>
      <c r="P97" t="s">
        <v>12</v>
      </c>
    </row>
    <row r="98">
      <c r="A98">
        <f>HYPERLINK("http://bombeiros.sp.gov.br/hidrantes/03individual/27413.html","27413")</f>
      </c>
      <c r="B98" t="s">
        <v>114</v>
      </c>
      <c r="C98" t="s">
        <v>300</v>
      </c>
      <c r="D98" t="s">
        <v>300</v>
      </c>
      <c r="E98" t="s">
        <v>15</v>
      </c>
      <c r="F98" t="s">
        <v>17319</v>
      </c>
      <c r="G98" t="s">
        <v>18055</v>
      </c>
      <c r="H98" t="s">
        <v>1121</v>
      </c>
      <c r="I98" t="s">
        <v>1117</v>
      </c>
      <c r="J98" t="s">
        <v>17320</v>
      </c>
      <c r="K98" t="s">
        <v>17321</v>
      </c>
      <c r="L98" t="s">
        <v>21</v>
      </c>
      <c r="M98" t="s">
        <v>19177</v>
      </c>
      <c r="N98" t="s">
        <v>300</v>
      </c>
      <c r="O98" t="s">
        <v>16373</v>
      </c>
      <c r="P98" t="s">
        <v>12</v>
      </c>
    </row>
    <row r="99">
      <c r="A99">
        <f>HYPERLINK("http://bombeiros.sp.gov.br/hidrantes/03individual/1054.html","1054")</f>
      </c>
      <c r="B99" t="s">
        <v>114</v>
      </c>
      <c r="C99" t="s">
        <v>309</v>
      </c>
      <c r="D99" t="s">
        <v>309</v>
      </c>
      <c r="E99" t="s">
        <v>15</v>
      </c>
      <c r="F99" t="s">
        <v>5273</v>
      </c>
      <c r="G99" t="s">
        <v>18096</v>
      </c>
      <c r="H99" t="s">
        <v>1121</v>
      </c>
      <c r="I99" t="s">
        <v>1117</v>
      </c>
      <c r="J99" t="s">
        <v>5274</v>
      </c>
      <c r="K99" t="s">
        <v>5275</v>
      </c>
      <c r="L99" t="s">
        <v>21</v>
      </c>
      <c r="M99" t="s">
        <v>19177</v>
      </c>
      <c r="N99" t="s">
        <v>309</v>
      </c>
      <c r="O99" t="s">
        <v>6029</v>
      </c>
      <c r="P99" t="s">
        <v>114</v>
      </c>
    </row>
    <row r="100">
      <c r="A100">
        <f>HYPERLINK("http://bombeiros.sp.gov.br/hidrantes/03individual/1414.html","1414")</f>
      </c>
      <c r="B100" t="s">
        <v>114</v>
      </c>
      <c r="C100" t="s">
        <v>309</v>
      </c>
      <c r="D100" t="s">
        <v>309</v>
      </c>
      <c r="E100" t="s">
        <v>15</v>
      </c>
      <c r="F100" t="s">
        <v>5303</v>
      </c>
      <c r="G100" t="s">
        <v>18097</v>
      </c>
      <c r="H100" t="s">
        <v>1174</v>
      </c>
      <c r="I100" t="s">
        <v>1117</v>
      </c>
      <c r="J100" t="s">
        <v>5304</v>
      </c>
      <c r="K100" t="s">
        <v>5305</v>
      </c>
      <c r="L100" t="s">
        <v>21</v>
      </c>
      <c r="M100" t="s">
        <v>19177</v>
      </c>
      <c r="N100" t="s">
        <v>309</v>
      </c>
      <c r="O100" t="s">
        <v>6029</v>
      </c>
      <c r="P100" t="s">
        <v>114</v>
      </c>
    </row>
    <row r="101">
      <c r="A101">
        <f>HYPERLINK("http://bombeiros.sp.gov.br/hidrantes/03individual/3032.html","3032")</f>
      </c>
      <c r="B101" t="s">
        <v>114</v>
      </c>
      <c r="C101" t="s">
        <v>309</v>
      </c>
      <c r="D101" t="s">
        <v>309</v>
      </c>
      <c r="E101" t="s">
        <v>15</v>
      </c>
      <c r="F101" t="s">
        <v>5318</v>
      </c>
      <c r="G101" t="s">
        <v>18096</v>
      </c>
      <c r="H101" t="s">
        <v>1174</v>
      </c>
      <c r="I101" t="s">
        <v>1117</v>
      </c>
      <c r="J101" t="s">
        <v>5319</v>
      </c>
      <c r="K101" t="s">
        <v>5320</v>
      </c>
      <c r="L101" t="s">
        <v>21</v>
      </c>
      <c r="M101" t="s">
        <v>19177</v>
      </c>
      <c r="N101" t="s">
        <v>309</v>
      </c>
      <c r="O101" t="s">
        <v>6029</v>
      </c>
      <c r="P101" t="s">
        <v>114</v>
      </c>
    </row>
    <row r="102">
      <c r="A102">
        <f>HYPERLINK("http://bombeiros.sp.gov.br/hidrantes/03individual/3289.html","3289")</f>
      </c>
      <c r="B102" t="s">
        <v>114</v>
      </c>
      <c r="C102" t="s">
        <v>309</v>
      </c>
      <c r="D102" t="s">
        <v>309</v>
      </c>
      <c r="E102" t="s">
        <v>15</v>
      </c>
      <c r="F102" t="s">
        <v>5327</v>
      </c>
      <c r="G102" t="s">
        <v>18096</v>
      </c>
      <c r="H102" t="s">
        <v>1107</v>
      </c>
      <c r="I102" t="s">
        <v>1108</v>
      </c>
      <c r="J102" t="s">
        <v>16394</v>
      </c>
      <c r="K102" t="s">
        <v>16395</v>
      </c>
      <c r="L102" t="s">
        <v>21</v>
      </c>
      <c r="M102" t="s">
        <v>19177</v>
      </c>
      <c r="N102" t="s">
        <v>309</v>
      </c>
      <c r="O102" t="s">
        <v>6029</v>
      </c>
      <c r="P102" t="s">
        <v>114</v>
      </c>
    </row>
    <row r="103">
      <c r="A103">
        <f>HYPERLINK("http://bombeiros.sp.gov.br/hidrantes/03individual/1374.html","1374")</f>
      </c>
      <c r="B103" t="s">
        <v>114</v>
      </c>
      <c r="C103" t="s">
        <v>309</v>
      </c>
      <c r="D103" t="s">
        <v>5342</v>
      </c>
      <c r="E103" t="s">
        <v>15</v>
      </c>
      <c r="F103" t="s">
        <v>5364</v>
      </c>
      <c r="G103" t="s">
        <v>18098</v>
      </c>
      <c r="H103" t="s">
        <v>1107</v>
      </c>
      <c r="I103" t="s">
        <v>1108</v>
      </c>
      <c r="J103" t="s">
        <v>5365</v>
      </c>
      <c r="K103" t="s">
        <v>5366</v>
      </c>
      <c r="L103" t="s">
        <v>21</v>
      </c>
      <c r="M103" t="s">
        <v>19177</v>
      </c>
      <c r="N103" t="s">
        <v>309</v>
      </c>
      <c r="O103" t="s">
        <v>6029</v>
      </c>
      <c r="P103" t="s">
        <v>114</v>
      </c>
    </row>
    <row r="104">
      <c r="A104">
        <f>HYPERLINK("http://bombeiros.sp.gov.br/hidrantes/03individual/3036.html","3036")</f>
      </c>
      <c r="B104" t="s">
        <v>114</v>
      </c>
      <c r="C104" t="s">
        <v>309</v>
      </c>
      <c r="D104" t="s">
        <v>5342</v>
      </c>
      <c r="E104" t="s">
        <v>15</v>
      </c>
      <c r="F104" t="s">
        <v>5397</v>
      </c>
      <c r="G104" t="s">
        <v>18099</v>
      </c>
      <c r="H104" t="s">
        <v>1174</v>
      </c>
      <c r="I104" t="s">
        <v>1108</v>
      </c>
      <c r="J104" t="s">
        <v>5398</v>
      </c>
      <c r="K104" t="s">
        <v>5399</v>
      </c>
      <c r="L104" t="s">
        <v>21</v>
      </c>
      <c r="M104" t="s">
        <v>19177</v>
      </c>
      <c r="N104" t="s">
        <v>309</v>
      </c>
      <c r="O104" t="s">
        <v>6029</v>
      </c>
      <c r="P104" t="s">
        <v>114</v>
      </c>
    </row>
    <row r="105">
      <c r="A105">
        <f>HYPERLINK("http://bombeiros.sp.gov.br/hidrantes/03individual/28122.html","28122")</f>
      </c>
      <c r="B105" t="s">
        <v>114</v>
      </c>
      <c r="C105" t="s">
        <v>309</v>
      </c>
      <c r="D105" t="s">
        <v>5342</v>
      </c>
      <c r="E105" t="s">
        <v>15</v>
      </c>
      <c r="F105" t="s">
        <v>18100</v>
      </c>
      <c r="G105" t="s">
        <v>18078</v>
      </c>
      <c r="H105" t="s">
        <v>1121</v>
      </c>
      <c r="I105" t="s">
        <v>1117</v>
      </c>
      <c r="J105" t="s">
        <v>18101</v>
      </c>
      <c r="K105" t="s">
        <v>18102</v>
      </c>
      <c r="L105" t="s">
        <v>21</v>
      </c>
      <c r="M105" t="s">
        <v>19177</v>
      </c>
      <c r="N105" t="s">
        <v>309</v>
      </c>
      <c r="O105" t="s">
        <v>6029</v>
      </c>
      <c r="P105" t="s">
        <v>114</v>
      </c>
    </row>
    <row r="106">
      <c r="A106">
        <f>HYPERLINK("http://bombeiros.sp.gov.br/hidrantes/03individual/3048.html","3048")</f>
      </c>
      <c r="B106" t="s">
        <v>114</v>
      </c>
      <c r="C106" t="s">
        <v>309</v>
      </c>
      <c r="D106" t="s">
        <v>314</v>
      </c>
      <c r="E106" t="s">
        <v>15</v>
      </c>
      <c r="F106" t="s">
        <v>5463</v>
      </c>
      <c r="G106" t="s">
        <v>18055</v>
      </c>
      <c r="H106" t="s">
        <v>1121</v>
      </c>
      <c r="I106" t="s">
        <v>1117</v>
      </c>
      <c r="J106" t="s">
        <v>5464</v>
      </c>
      <c r="K106" t="s">
        <v>5465</v>
      </c>
      <c r="L106" t="s">
        <v>21</v>
      </c>
      <c r="M106" t="s">
        <v>19177</v>
      </c>
      <c r="N106" t="s">
        <v>309</v>
      </c>
      <c r="O106" t="s">
        <v>6029</v>
      </c>
      <c r="P106" t="s">
        <v>114</v>
      </c>
    </row>
    <row r="107">
      <c r="A107">
        <f>HYPERLINK("http://bombeiros.sp.gov.br/hidrantes/03individual/1862.html","1862")</f>
      </c>
      <c r="B107" t="s">
        <v>114</v>
      </c>
      <c r="C107" t="s">
        <v>309</v>
      </c>
      <c r="D107" t="s">
        <v>5484</v>
      </c>
      <c r="E107" t="s">
        <v>15</v>
      </c>
      <c r="F107" t="s">
        <v>5524</v>
      </c>
      <c r="G107" t="s">
        <v>18057</v>
      </c>
      <c r="H107" t="s">
        <v>1121</v>
      </c>
      <c r="I107" t="s">
        <v>1117</v>
      </c>
      <c r="J107" t="s">
        <v>5525</v>
      </c>
      <c r="K107" t="s">
        <v>5526</v>
      </c>
      <c r="L107" t="s">
        <v>21</v>
      </c>
      <c r="M107" t="s">
        <v>19177</v>
      </c>
      <c r="N107" t="s">
        <v>16374</v>
      </c>
      <c r="O107" t="s">
        <v>272</v>
      </c>
      <c r="P107" t="s">
        <v>114</v>
      </c>
    </row>
    <row r="108">
      <c r="A108">
        <f>HYPERLINK("http://bombeiros.sp.gov.br/hidrantes/03individual/4334.html","4334")</f>
      </c>
      <c r="B108" t="s">
        <v>114</v>
      </c>
      <c r="C108" t="s">
        <v>309</v>
      </c>
      <c r="D108" t="s">
        <v>5484</v>
      </c>
      <c r="E108" t="s">
        <v>15</v>
      </c>
      <c r="F108" t="s">
        <v>5539</v>
      </c>
      <c r="G108" t="s">
        <v>18057</v>
      </c>
      <c r="H108" t="s">
        <v>1107</v>
      </c>
      <c r="I108" t="s">
        <v>1108</v>
      </c>
      <c r="J108" t="s">
        <v>5540</v>
      </c>
      <c r="K108" t="s">
        <v>5541</v>
      </c>
      <c r="L108" t="s">
        <v>21</v>
      </c>
      <c r="M108" t="s">
        <v>19177</v>
      </c>
      <c r="N108" t="s">
        <v>16374</v>
      </c>
      <c r="O108" t="s">
        <v>272</v>
      </c>
      <c r="P108" t="s">
        <v>114</v>
      </c>
    </row>
    <row r="109">
      <c r="A109">
        <f>HYPERLINK("http://bombeiros.sp.gov.br/hidrantes/03individual/1844.html","1844")</f>
      </c>
      <c r="B109" t="s">
        <v>114</v>
      </c>
      <c r="C109" t="s">
        <v>318</v>
      </c>
      <c r="D109" t="s">
        <v>5542</v>
      </c>
      <c r="E109" t="s">
        <v>15</v>
      </c>
      <c r="F109" t="s">
        <v>5558</v>
      </c>
      <c r="G109" t="s">
        <v>18104</v>
      </c>
      <c r="H109" t="s">
        <v>1112</v>
      </c>
      <c r="I109" t="s">
        <v>1108</v>
      </c>
      <c r="J109" t="s">
        <v>5559</v>
      </c>
      <c r="K109" t="s">
        <v>5560</v>
      </c>
      <c r="L109" t="s">
        <v>21</v>
      </c>
      <c r="M109" t="s">
        <v>19177</v>
      </c>
      <c r="N109" t="s">
        <v>309</v>
      </c>
      <c r="O109" t="s">
        <v>6029</v>
      </c>
      <c r="P109" t="s">
        <v>114</v>
      </c>
    </row>
    <row r="110">
      <c r="A110">
        <f>HYPERLINK("http://bombeiros.sp.gov.br/hidrantes/03individual/1619.html","1619")</f>
      </c>
      <c r="B110" t="s">
        <v>114</v>
      </c>
      <c r="C110" t="s">
        <v>322</v>
      </c>
      <c r="D110" t="s">
        <v>323</v>
      </c>
      <c r="E110" t="s">
        <v>15</v>
      </c>
      <c r="F110" t="s">
        <v>5712</v>
      </c>
      <c r="G110" t="s">
        <v>18074</v>
      </c>
      <c r="H110" t="s">
        <v>1107</v>
      </c>
      <c r="I110" t="s">
        <v>1108</v>
      </c>
      <c r="J110" t="s">
        <v>5713</v>
      </c>
      <c r="K110" t="s">
        <v>5714</v>
      </c>
      <c r="L110" t="s">
        <v>21</v>
      </c>
      <c r="M110" t="s">
        <v>19177</v>
      </c>
      <c r="N110" t="s">
        <v>300</v>
      </c>
      <c r="O110" t="s">
        <v>16373</v>
      </c>
      <c r="P110" t="s">
        <v>12</v>
      </c>
    </row>
    <row r="111">
      <c r="A111">
        <f>HYPERLINK("http://bombeiros.sp.gov.br/hidrantes/03individual/1931.html","1931")</f>
      </c>
      <c r="B111" t="s">
        <v>114</v>
      </c>
      <c r="C111" t="s">
        <v>322</v>
      </c>
      <c r="D111" t="s">
        <v>323</v>
      </c>
      <c r="E111" t="s">
        <v>15</v>
      </c>
      <c r="F111" t="s">
        <v>5715</v>
      </c>
      <c r="G111" t="s">
        <v>18074</v>
      </c>
      <c r="H111" t="s">
        <v>1107</v>
      </c>
      <c r="I111" t="s">
        <v>1108</v>
      </c>
      <c r="J111" t="s">
        <v>5716</v>
      </c>
      <c r="K111" t="s">
        <v>5717</v>
      </c>
      <c r="L111" t="s">
        <v>21</v>
      </c>
      <c r="M111" t="s">
        <v>19177</v>
      </c>
      <c r="N111" t="s">
        <v>300</v>
      </c>
      <c r="O111" t="s">
        <v>16373</v>
      </c>
      <c r="P111" t="s">
        <v>12</v>
      </c>
    </row>
    <row r="112">
      <c r="A112">
        <f>HYPERLINK("http://bombeiros.sp.gov.br/hidrantes/03individual/3654.html","3654")</f>
      </c>
      <c r="B112" t="s">
        <v>114</v>
      </c>
      <c r="C112" t="s">
        <v>322</v>
      </c>
      <c r="D112" t="s">
        <v>323</v>
      </c>
      <c r="E112" t="s">
        <v>15</v>
      </c>
      <c r="F112" t="s">
        <v>5736</v>
      </c>
      <c r="G112" t="s">
        <v>18051</v>
      </c>
      <c r="H112" t="s">
        <v>1107</v>
      </c>
      <c r="I112" t="s">
        <v>1108</v>
      </c>
      <c r="J112" t="s">
        <v>5737</v>
      </c>
      <c r="K112" t="s">
        <v>5738</v>
      </c>
      <c r="L112" t="s">
        <v>21</v>
      </c>
      <c r="M112" t="s">
        <v>19177</v>
      </c>
      <c r="N112" t="s">
        <v>300</v>
      </c>
      <c r="O112" t="s">
        <v>16373</v>
      </c>
      <c r="P112" t="s">
        <v>12</v>
      </c>
    </row>
    <row r="113">
      <c r="A113">
        <f>HYPERLINK("http://bombeiros.sp.gov.br/hidrantes/03individual/17731.html","17731")</f>
      </c>
      <c r="B113" t="s">
        <v>114</v>
      </c>
      <c r="C113" t="s">
        <v>337</v>
      </c>
      <c r="D113" t="s">
        <v>5839</v>
      </c>
      <c r="E113" t="s">
        <v>15</v>
      </c>
      <c r="F113" t="s">
        <v>5888</v>
      </c>
      <c r="G113" t="s">
        <v>18067</v>
      </c>
      <c r="H113" t="s">
        <v>1121</v>
      </c>
      <c r="I113" t="s">
        <v>1117</v>
      </c>
      <c r="J113" t="s">
        <v>5889</v>
      </c>
      <c r="K113" t="s">
        <v>5890</v>
      </c>
      <c r="L113" t="s">
        <v>21</v>
      </c>
      <c r="M113" t="s">
        <v>19177</v>
      </c>
      <c r="N113" t="s">
        <v>337</v>
      </c>
      <c r="O113" t="s">
        <v>337</v>
      </c>
      <c r="P113" t="s">
        <v>12</v>
      </c>
    </row>
    <row r="114">
      <c r="A114">
        <f>HYPERLINK("http://bombeiros.sp.gov.br/hidrantes/03individual/27135.html","27135")</f>
      </c>
      <c r="B114" t="s">
        <v>114</v>
      </c>
      <c r="C114" t="s">
        <v>337</v>
      </c>
      <c r="D114" t="s">
        <v>5933</v>
      </c>
      <c r="E114" t="s">
        <v>64</v>
      </c>
      <c r="F114" t="s">
        <v>16817</v>
      </c>
      <c r="G114" t="s">
        <v>18055</v>
      </c>
      <c r="H114" t="s">
        <v>1121</v>
      </c>
      <c r="I114" t="s">
        <v>1117</v>
      </c>
      <c r="J114" t="s">
        <v>16818</v>
      </c>
      <c r="K114" t="s">
        <v>16819</v>
      </c>
      <c r="L114" t="s">
        <v>21</v>
      </c>
      <c r="M114" t="s">
        <v>19177</v>
      </c>
      <c r="N114" t="s">
        <v>337</v>
      </c>
      <c r="O114" t="s">
        <v>337</v>
      </c>
      <c r="P114" t="s">
        <v>12</v>
      </c>
    </row>
    <row r="115">
      <c r="A115">
        <f>HYPERLINK("http://bombeiros.sp.gov.br/hidrantes/03individual/986.html","986")</f>
      </c>
      <c r="B115" t="s">
        <v>114</v>
      </c>
      <c r="C115" t="s">
        <v>337</v>
      </c>
      <c r="D115" t="s">
        <v>337</v>
      </c>
      <c r="E115" t="s">
        <v>15</v>
      </c>
      <c r="F115" t="s">
        <v>5962</v>
      </c>
      <c r="G115" t="s">
        <v>18042</v>
      </c>
      <c r="H115" t="s">
        <v>1121</v>
      </c>
      <c r="I115" t="s">
        <v>1117</v>
      </c>
      <c r="J115" t="s">
        <v>5963</v>
      </c>
      <c r="K115" t="s">
        <v>5964</v>
      </c>
      <c r="L115" t="s">
        <v>21</v>
      </c>
      <c r="M115" t="s">
        <v>19177</v>
      </c>
      <c r="N115" t="s">
        <v>337</v>
      </c>
      <c r="O115" t="s">
        <v>337</v>
      </c>
      <c r="P115" t="s">
        <v>12</v>
      </c>
    </row>
    <row r="116">
      <c r="A116">
        <f>HYPERLINK("http://bombeiros.sp.gov.br/hidrantes/03individual/4206.html","4206")</f>
      </c>
      <c r="B116" t="s">
        <v>114</v>
      </c>
      <c r="C116" t="s">
        <v>337</v>
      </c>
      <c r="D116" t="s">
        <v>337</v>
      </c>
      <c r="E116" t="s">
        <v>15</v>
      </c>
      <c r="F116" t="s">
        <v>5977</v>
      </c>
      <c r="G116" t="s">
        <v>18051</v>
      </c>
      <c r="H116" t="s">
        <v>1121</v>
      </c>
      <c r="I116" t="s">
        <v>1117</v>
      </c>
      <c r="J116" t="s">
        <v>5978</v>
      </c>
      <c r="K116" t="s">
        <v>5979</v>
      </c>
      <c r="L116" t="s">
        <v>36</v>
      </c>
      <c r="M116" t="s">
        <v>19177</v>
      </c>
      <c r="N116" t="s">
        <v>337</v>
      </c>
      <c r="O116" t="s">
        <v>337</v>
      </c>
      <c r="P116" t="s">
        <v>12</v>
      </c>
    </row>
    <row r="117">
      <c r="A117">
        <f>HYPERLINK("http://bombeiros.sp.gov.br/hidrantes/03individual/17793.html","17793")</f>
      </c>
      <c r="B117" t="s">
        <v>114</v>
      </c>
      <c r="C117" t="s">
        <v>347</v>
      </c>
      <c r="D117" t="s">
        <v>348</v>
      </c>
      <c r="E117" t="s">
        <v>15</v>
      </c>
      <c r="F117" t="s">
        <v>6023</v>
      </c>
      <c r="G117" t="s">
        <v>18105</v>
      </c>
      <c r="H117" t="s">
        <v>1174</v>
      </c>
      <c r="I117" t="s">
        <v>1108</v>
      </c>
      <c r="J117" t="s">
        <v>16358</v>
      </c>
      <c r="K117" t="s">
        <v>16359</v>
      </c>
      <c r="L117" t="s">
        <v>21</v>
      </c>
      <c r="M117" t="s">
        <v>19177</v>
      </c>
      <c r="N117" t="s">
        <v>6029</v>
      </c>
      <c r="O117" t="s">
        <v>6029</v>
      </c>
      <c r="P117" t="s">
        <v>114</v>
      </c>
    </row>
    <row r="118">
      <c r="A118">
        <f>HYPERLINK("http://bombeiros.sp.gov.br/hidrantes/03individual/17863.html","17863")</f>
      </c>
      <c r="B118" t="s">
        <v>114</v>
      </c>
      <c r="C118" t="s">
        <v>347</v>
      </c>
      <c r="D118" t="s">
        <v>348</v>
      </c>
      <c r="E118" t="s">
        <v>15</v>
      </c>
      <c r="F118" t="s">
        <v>6026</v>
      </c>
      <c r="G118" t="s">
        <v>18094</v>
      </c>
      <c r="H118" t="s">
        <v>1121</v>
      </c>
      <c r="I118" t="s">
        <v>1117</v>
      </c>
      <c r="J118" t="s">
        <v>6027</v>
      </c>
      <c r="K118" t="s">
        <v>6028</v>
      </c>
      <c r="L118" t="s">
        <v>21</v>
      </c>
      <c r="M118" t="s">
        <v>19177</v>
      </c>
      <c r="N118" t="s">
        <v>6029</v>
      </c>
      <c r="O118" t="s">
        <v>6029</v>
      </c>
      <c r="P118" t="s">
        <v>114</v>
      </c>
    </row>
    <row r="119">
      <c r="A119">
        <f>HYPERLINK("http://bombeiros.sp.gov.br/hidrantes/03individual/3447.html","3447")</f>
      </c>
      <c r="B119" t="s">
        <v>114</v>
      </c>
      <c r="C119" t="s">
        <v>347</v>
      </c>
      <c r="D119" t="s">
        <v>6029</v>
      </c>
      <c r="E119" t="s">
        <v>15</v>
      </c>
      <c r="F119" t="s">
        <v>6042</v>
      </c>
      <c r="G119" t="s">
        <v>18095</v>
      </c>
      <c r="H119" t="s">
        <v>1121</v>
      </c>
      <c r="I119" t="s">
        <v>1117</v>
      </c>
      <c r="J119" t="s">
        <v>6043</v>
      </c>
      <c r="K119" t="s">
        <v>6044</v>
      </c>
      <c r="L119" t="s">
        <v>21</v>
      </c>
      <c r="M119" t="s">
        <v>19177</v>
      </c>
      <c r="N119" t="s">
        <v>6029</v>
      </c>
      <c r="O119" t="s">
        <v>6029</v>
      </c>
      <c r="P119" t="s">
        <v>114</v>
      </c>
    </row>
    <row r="120">
      <c r="A120">
        <f>HYPERLINK("http://bombeiros.sp.gov.br/hidrantes/03individual/4329.html","4329")</f>
      </c>
      <c r="B120" t="s">
        <v>114</v>
      </c>
      <c r="C120" t="s">
        <v>347</v>
      </c>
      <c r="D120" t="s">
        <v>6063</v>
      </c>
      <c r="E120" t="s">
        <v>15</v>
      </c>
      <c r="F120" t="s">
        <v>6070</v>
      </c>
      <c r="G120" t="s">
        <v>18075</v>
      </c>
      <c r="H120" t="s">
        <v>1121</v>
      </c>
      <c r="I120" t="s">
        <v>1117</v>
      </c>
      <c r="J120" t="s">
        <v>6071</v>
      </c>
      <c r="K120" t="s">
        <v>6072</v>
      </c>
      <c r="L120" t="s">
        <v>21</v>
      </c>
      <c r="M120" t="s">
        <v>19177</v>
      </c>
      <c r="N120" t="s">
        <v>272</v>
      </c>
      <c r="O120" t="s">
        <v>272</v>
      </c>
      <c r="P120" t="s">
        <v>114</v>
      </c>
    </row>
    <row r="121">
      <c r="A121">
        <f>HYPERLINK("http://bombeiros.sp.gov.br/hidrantes/03individual/27021.html","27021")</f>
      </c>
      <c r="B121" t="s">
        <v>114</v>
      </c>
      <c r="C121" t="s">
        <v>365</v>
      </c>
      <c r="D121" t="s">
        <v>6239</v>
      </c>
      <c r="E121" t="s">
        <v>15</v>
      </c>
      <c r="F121" t="s">
        <v>16594</v>
      </c>
      <c r="G121" t="s">
        <v>18045</v>
      </c>
      <c r="H121" t="s">
        <v>1121</v>
      </c>
      <c r="I121" t="s">
        <v>1117</v>
      </c>
      <c r="J121" t="s">
        <v>16595</v>
      </c>
      <c r="K121" t="s">
        <v>16596</v>
      </c>
      <c r="L121" t="s">
        <v>21</v>
      </c>
      <c r="M121" t="s">
        <v>19177</v>
      </c>
      <c r="N121" t="s">
        <v>337</v>
      </c>
      <c r="O121" t="s">
        <v>337</v>
      </c>
      <c r="P121" t="s">
        <v>12</v>
      </c>
    </row>
    <row r="122">
      <c r="A122">
        <f>HYPERLINK("http://bombeiros.sp.gov.br/hidrantes/03individual/1912.html","1912")</f>
      </c>
      <c r="B122" t="s">
        <v>114</v>
      </c>
      <c r="C122" t="s">
        <v>365</v>
      </c>
      <c r="D122" t="s">
        <v>6297</v>
      </c>
      <c r="E122" t="s">
        <v>15</v>
      </c>
      <c r="F122" t="s">
        <v>6301</v>
      </c>
      <c r="G122" t="s">
        <v>18045</v>
      </c>
      <c r="H122" t="s">
        <v>1121</v>
      </c>
      <c r="I122" t="s">
        <v>1117</v>
      </c>
      <c r="J122" t="s">
        <v>6302</v>
      </c>
      <c r="K122" t="s">
        <v>6303</v>
      </c>
      <c r="L122" t="s">
        <v>21</v>
      </c>
      <c r="M122" t="s">
        <v>19177</v>
      </c>
      <c r="N122" t="s">
        <v>337</v>
      </c>
      <c r="O122" t="s">
        <v>337</v>
      </c>
      <c r="P122" t="s">
        <v>12</v>
      </c>
    </row>
    <row r="123">
      <c r="A123">
        <f>HYPERLINK("http://bombeiros.sp.gov.br/hidrantes/03individual/3365.html","3365")</f>
      </c>
      <c r="B123" t="s">
        <v>114</v>
      </c>
      <c r="C123" t="s">
        <v>399</v>
      </c>
      <c r="D123" t="s">
        <v>400</v>
      </c>
      <c r="E123" t="s">
        <v>15</v>
      </c>
      <c r="F123" t="s">
        <v>6518</v>
      </c>
      <c r="G123" t="s">
        <v>18069</v>
      </c>
      <c r="H123" t="s">
        <v>1121</v>
      </c>
      <c r="I123" t="s">
        <v>1117</v>
      </c>
      <c r="J123" t="s">
        <v>6519</v>
      </c>
      <c r="K123" t="s">
        <v>6520</v>
      </c>
      <c r="L123" t="s">
        <v>36</v>
      </c>
      <c r="M123" t="s">
        <v>19177</v>
      </c>
      <c r="N123" t="s">
        <v>6029</v>
      </c>
      <c r="O123" t="s">
        <v>6029</v>
      </c>
      <c r="P123" t="s">
        <v>114</v>
      </c>
    </row>
    <row r="124">
      <c r="A124">
        <f>HYPERLINK("http://bombeiros.sp.gov.br/hidrantes/03individual/17794.html","17794")</f>
      </c>
      <c r="B124" t="s">
        <v>114</v>
      </c>
      <c r="C124" t="s">
        <v>399</v>
      </c>
      <c r="D124" t="s">
        <v>399</v>
      </c>
      <c r="E124" t="s">
        <v>15</v>
      </c>
      <c r="F124" t="s">
        <v>6575</v>
      </c>
      <c r="G124" t="s">
        <v>18092</v>
      </c>
      <c r="H124" t="s">
        <v>1121</v>
      </c>
      <c r="I124" t="s">
        <v>1117</v>
      </c>
      <c r="J124" t="s">
        <v>6576</v>
      </c>
      <c r="K124" t="s">
        <v>6577</v>
      </c>
      <c r="L124" t="s">
        <v>21</v>
      </c>
      <c r="M124" t="s">
        <v>19177</v>
      </c>
      <c r="N124" t="s">
        <v>6029</v>
      </c>
      <c r="O124" t="s">
        <v>6029</v>
      </c>
      <c r="P124" t="s">
        <v>114</v>
      </c>
    </row>
    <row r="125">
      <c r="A125">
        <f>HYPERLINK("http://bombeiros.sp.gov.br/hidrantes/03individual/3100.html","3100")</f>
      </c>
      <c r="B125" t="s">
        <v>114</v>
      </c>
      <c r="C125" t="s">
        <v>333</v>
      </c>
      <c r="D125" t="s">
        <v>333</v>
      </c>
      <c r="E125" t="s">
        <v>15</v>
      </c>
      <c r="F125" t="s">
        <v>6705</v>
      </c>
      <c r="G125" t="s">
        <v>18062</v>
      </c>
      <c r="H125" t="s">
        <v>1121</v>
      </c>
      <c r="I125" t="s">
        <v>1117</v>
      </c>
      <c r="J125" t="s">
        <v>6706</v>
      </c>
      <c r="K125" t="s">
        <v>6707</v>
      </c>
      <c r="L125" t="s">
        <v>21</v>
      </c>
      <c r="M125" t="s">
        <v>19177</v>
      </c>
      <c r="N125" t="s">
        <v>300</v>
      </c>
      <c r="O125" t="s">
        <v>16373</v>
      </c>
      <c r="P125" t="s">
        <v>12</v>
      </c>
    </row>
    <row r="126">
      <c r="A126">
        <f>HYPERLINK("http://bombeiros.sp.gov.br/hidrantes/03individual/4293.html","4293")</f>
      </c>
      <c r="B126" t="s">
        <v>114</v>
      </c>
      <c r="C126" t="s">
        <v>333</v>
      </c>
      <c r="D126" t="s">
        <v>333</v>
      </c>
      <c r="E126" t="s">
        <v>15</v>
      </c>
      <c r="F126" t="s">
        <v>6738</v>
      </c>
      <c r="G126" t="s">
        <v>18062</v>
      </c>
      <c r="H126" t="s">
        <v>1112</v>
      </c>
      <c r="I126" t="s">
        <v>1108</v>
      </c>
      <c r="J126" t="s">
        <v>6739</v>
      </c>
      <c r="K126" t="s">
        <v>6740</v>
      </c>
      <c r="L126" t="s">
        <v>21</v>
      </c>
      <c r="M126" t="s">
        <v>19177</v>
      </c>
      <c r="N126" t="s">
        <v>300</v>
      </c>
      <c r="O126" t="s">
        <v>16373</v>
      </c>
      <c r="P126" t="s">
        <v>12</v>
      </c>
    </row>
    <row r="127">
      <c r="A127">
        <f>HYPERLINK("http://bombeiros.sp.gov.br/hidrantes/03individual/26850.html","26850")</f>
      </c>
      <c r="B127" t="s">
        <v>114</v>
      </c>
      <c r="C127" t="s">
        <v>421</v>
      </c>
      <c r="D127" t="s">
        <v>6775</v>
      </c>
      <c r="E127" t="s">
        <v>15</v>
      </c>
      <c r="F127" t="s">
        <v>16192</v>
      </c>
      <c r="G127" t="s">
        <v>18099</v>
      </c>
      <c r="H127" t="s">
        <v>1107</v>
      </c>
      <c r="I127" t="s">
        <v>1108</v>
      </c>
      <c r="J127" t="s">
        <v>16193</v>
      </c>
      <c r="K127" t="s">
        <v>16194</v>
      </c>
      <c r="L127" t="s">
        <v>21</v>
      </c>
      <c r="M127" t="s">
        <v>19177</v>
      </c>
      <c r="N127" t="s">
        <v>6029</v>
      </c>
      <c r="O127" t="s">
        <v>6029</v>
      </c>
      <c r="P127" t="s">
        <v>114</v>
      </c>
    </row>
    <row r="128">
      <c r="A128">
        <f>HYPERLINK("http://bombeiros.sp.gov.br/hidrantes/03individual/3209.html","3209")</f>
      </c>
      <c r="B128" t="s">
        <v>114</v>
      </c>
      <c r="C128" t="s">
        <v>435</v>
      </c>
      <c r="D128" t="s">
        <v>16145</v>
      </c>
      <c r="E128" t="s">
        <v>15</v>
      </c>
      <c r="F128" t="s">
        <v>6988</v>
      </c>
      <c r="G128" t="s">
        <v>18076</v>
      </c>
      <c r="H128" t="s">
        <v>1107</v>
      </c>
      <c r="I128" t="s">
        <v>1108</v>
      </c>
      <c r="J128" t="s">
        <v>6989</v>
      </c>
      <c r="K128" t="s">
        <v>6990</v>
      </c>
      <c r="L128" t="s">
        <v>21</v>
      </c>
      <c r="M128" t="s">
        <v>19177</v>
      </c>
      <c r="N128" t="s">
        <v>16374</v>
      </c>
      <c r="O128" t="s">
        <v>272</v>
      </c>
      <c r="P128" t="s">
        <v>114</v>
      </c>
    </row>
    <row r="129">
      <c r="A129">
        <f>HYPERLINK("http://bombeiros.sp.gov.br/hidrantes/03individual/27045.html","27045")</f>
      </c>
      <c r="B129" t="s">
        <v>114</v>
      </c>
      <c r="C129" t="s">
        <v>435</v>
      </c>
      <c r="D129" t="s">
        <v>16145</v>
      </c>
      <c r="E129" t="s">
        <v>15</v>
      </c>
      <c r="F129" t="s">
        <v>16655</v>
      </c>
      <c r="G129" t="s">
        <v>18085</v>
      </c>
      <c r="H129" t="s">
        <v>1121</v>
      </c>
      <c r="I129" t="s">
        <v>1117</v>
      </c>
      <c r="J129" t="s">
        <v>16656</v>
      </c>
      <c r="K129" t="s">
        <v>16657</v>
      </c>
      <c r="L129" t="s">
        <v>21</v>
      </c>
      <c r="M129" t="s">
        <v>19177</v>
      </c>
      <c r="N129" t="s">
        <v>309</v>
      </c>
      <c r="O129" t="s">
        <v>6029</v>
      </c>
      <c r="P129" t="s">
        <v>114</v>
      </c>
    </row>
    <row r="130">
      <c r="A130">
        <f>HYPERLINK("http://bombeiros.sp.gov.br/hidrantes/03individual/1772.html","1772")</f>
      </c>
      <c r="B130" t="s">
        <v>114</v>
      </c>
      <c r="C130" t="s">
        <v>435</v>
      </c>
      <c r="D130" t="s">
        <v>435</v>
      </c>
      <c r="E130" t="s">
        <v>15</v>
      </c>
      <c r="F130" t="s">
        <v>7054</v>
      </c>
      <c r="G130" t="s">
        <v>18078</v>
      </c>
      <c r="H130" t="s">
        <v>1107</v>
      </c>
      <c r="I130" t="s">
        <v>1108</v>
      </c>
      <c r="J130" t="s">
        <v>7055</v>
      </c>
      <c r="K130" t="s">
        <v>7056</v>
      </c>
      <c r="L130" t="s">
        <v>21</v>
      </c>
      <c r="M130" t="s">
        <v>19177</v>
      </c>
      <c r="N130" t="s">
        <v>16374</v>
      </c>
      <c r="O130" t="s">
        <v>272</v>
      </c>
      <c r="P130" t="s">
        <v>114</v>
      </c>
    </row>
    <row r="131">
      <c r="A131">
        <f>HYPERLINK("http://bombeiros.sp.gov.br/hidrantes/03individual/3231.html","3231")</f>
      </c>
      <c r="B131" t="s">
        <v>114</v>
      </c>
      <c r="C131" t="s">
        <v>435</v>
      </c>
      <c r="D131" t="s">
        <v>435</v>
      </c>
      <c r="E131" t="s">
        <v>15</v>
      </c>
      <c r="F131" t="s">
        <v>7078</v>
      </c>
      <c r="G131" t="s">
        <v>18078</v>
      </c>
      <c r="H131" t="s">
        <v>1107</v>
      </c>
      <c r="I131" t="s">
        <v>1108</v>
      </c>
      <c r="J131" t="s">
        <v>7079</v>
      </c>
      <c r="K131" t="s">
        <v>7080</v>
      </c>
      <c r="L131" t="s">
        <v>21</v>
      </c>
      <c r="M131" t="s">
        <v>19177</v>
      </c>
      <c r="N131" t="s">
        <v>16374</v>
      </c>
      <c r="O131" t="s">
        <v>272</v>
      </c>
      <c r="P131" t="s">
        <v>114</v>
      </c>
    </row>
    <row r="132">
      <c r="A132">
        <f>HYPERLINK("http://bombeiros.sp.gov.br/hidrantes/03individual/243.html","243")</f>
      </c>
      <c r="B132" t="s">
        <v>114</v>
      </c>
      <c r="C132" t="s">
        <v>440</v>
      </c>
      <c r="D132" t="s">
        <v>441</v>
      </c>
      <c r="E132" t="s">
        <v>15</v>
      </c>
      <c r="F132" t="s">
        <v>7125</v>
      </c>
      <c r="G132" t="s">
        <v>18055</v>
      </c>
      <c r="H132" t="s">
        <v>1112</v>
      </c>
      <c r="I132" t="s">
        <v>1108</v>
      </c>
      <c r="J132" t="s">
        <v>7126</v>
      </c>
      <c r="K132" t="s">
        <v>7127</v>
      </c>
      <c r="L132" t="s">
        <v>21</v>
      </c>
      <c r="M132" t="s">
        <v>19177</v>
      </c>
      <c r="N132" t="s">
        <v>300</v>
      </c>
      <c r="O132" t="s">
        <v>16373</v>
      </c>
      <c r="P132" t="s">
        <v>12</v>
      </c>
    </row>
    <row r="133">
      <c r="A133">
        <f>HYPERLINK("http://bombeiros.sp.gov.br/hidrantes/03individual/102.html","102")</f>
      </c>
      <c r="B133" t="s">
        <v>114</v>
      </c>
      <c r="C133" t="s">
        <v>440</v>
      </c>
      <c r="D133" t="s">
        <v>449</v>
      </c>
      <c r="E133" t="s">
        <v>15</v>
      </c>
      <c r="F133" t="s">
        <v>7224</v>
      </c>
      <c r="G133" t="s">
        <v>18106</v>
      </c>
      <c r="H133" t="s">
        <v>1107</v>
      </c>
      <c r="I133" t="s">
        <v>1108</v>
      </c>
      <c r="J133" t="s">
        <v>7225</v>
      </c>
      <c r="K133" t="s">
        <v>7226</v>
      </c>
      <c r="L133" t="s">
        <v>36</v>
      </c>
      <c r="M133" t="s">
        <v>19177</v>
      </c>
      <c r="N133" t="s">
        <v>300</v>
      </c>
      <c r="O133" t="s">
        <v>16373</v>
      </c>
      <c r="P133" t="s">
        <v>12</v>
      </c>
    </row>
    <row r="134">
      <c r="A134">
        <f>HYPERLINK("http://bombeiros.sp.gov.br/hidrantes/03individual/104.html","104")</f>
      </c>
      <c r="B134" t="s">
        <v>114</v>
      </c>
      <c r="C134" t="s">
        <v>440</v>
      </c>
      <c r="D134" t="s">
        <v>449</v>
      </c>
      <c r="E134" t="s">
        <v>15</v>
      </c>
      <c r="F134" t="s">
        <v>7230</v>
      </c>
      <c r="G134" t="s">
        <v>18060</v>
      </c>
      <c r="H134" t="s">
        <v>1121</v>
      </c>
      <c r="I134" t="s">
        <v>1117</v>
      </c>
      <c r="J134" t="s">
        <v>7231</v>
      </c>
      <c r="K134" t="s">
        <v>7232</v>
      </c>
      <c r="L134" t="s">
        <v>21</v>
      </c>
      <c r="M134" t="s">
        <v>19177</v>
      </c>
      <c r="N134" t="s">
        <v>300</v>
      </c>
      <c r="O134" t="s">
        <v>16373</v>
      </c>
      <c r="P134" t="s">
        <v>12</v>
      </c>
    </row>
    <row r="135">
      <c r="A135">
        <f>HYPERLINK("http://bombeiros.sp.gov.br/hidrantes/03individual/165.html","165")</f>
      </c>
      <c r="B135" t="s">
        <v>114</v>
      </c>
      <c r="C135" t="s">
        <v>440</v>
      </c>
      <c r="D135" t="s">
        <v>449</v>
      </c>
      <c r="E135" t="s">
        <v>15</v>
      </c>
      <c r="F135" t="s">
        <v>7242</v>
      </c>
      <c r="G135" t="s">
        <v>18060</v>
      </c>
      <c r="H135" t="s">
        <v>1121</v>
      </c>
      <c r="I135" t="s">
        <v>1117</v>
      </c>
      <c r="J135" t="s">
        <v>7243</v>
      </c>
      <c r="K135" t="s">
        <v>7244</v>
      </c>
      <c r="L135" t="s">
        <v>21</v>
      </c>
      <c r="M135" t="s">
        <v>19177</v>
      </c>
      <c r="N135" t="s">
        <v>300</v>
      </c>
      <c r="O135" t="s">
        <v>16373</v>
      </c>
      <c r="P135" t="s">
        <v>12</v>
      </c>
    </row>
    <row r="136">
      <c r="A136">
        <f>HYPERLINK("http://bombeiros.sp.gov.br/hidrantes/03individual/173.html","173")</f>
      </c>
      <c r="B136" t="s">
        <v>114</v>
      </c>
      <c r="C136" t="s">
        <v>440</v>
      </c>
      <c r="D136" t="s">
        <v>449</v>
      </c>
      <c r="E136" t="s">
        <v>15</v>
      </c>
      <c r="F136" t="s">
        <v>7257</v>
      </c>
      <c r="G136" t="s">
        <v>18107</v>
      </c>
      <c r="H136" t="s">
        <v>1121</v>
      </c>
      <c r="I136" t="s">
        <v>1117</v>
      </c>
      <c r="J136" t="s">
        <v>7258</v>
      </c>
      <c r="K136" t="s">
        <v>7259</v>
      </c>
      <c r="L136" t="s">
        <v>21</v>
      </c>
      <c r="M136" t="s">
        <v>19177</v>
      </c>
      <c r="N136" t="s">
        <v>300</v>
      </c>
      <c r="O136" t="s">
        <v>16373</v>
      </c>
      <c r="P136" t="s">
        <v>12</v>
      </c>
    </row>
    <row r="137">
      <c r="A137">
        <f>HYPERLINK("http://bombeiros.sp.gov.br/hidrantes/03individual/174.html","174")</f>
      </c>
      <c r="B137" t="s">
        <v>114</v>
      </c>
      <c r="C137" t="s">
        <v>440</v>
      </c>
      <c r="D137" t="s">
        <v>449</v>
      </c>
      <c r="E137" t="s">
        <v>15</v>
      </c>
      <c r="F137" t="s">
        <v>7260</v>
      </c>
      <c r="G137" t="s">
        <v>18052</v>
      </c>
      <c r="H137" t="s">
        <v>1121</v>
      </c>
      <c r="I137" t="s">
        <v>1117</v>
      </c>
      <c r="J137" t="s">
        <v>7261</v>
      </c>
      <c r="K137" t="s">
        <v>7262</v>
      </c>
      <c r="L137" t="s">
        <v>21</v>
      </c>
      <c r="M137" t="s">
        <v>19177</v>
      </c>
      <c r="N137" t="s">
        <v>300</v>
      </c>
      <c r="O137" t="s">
        <v>16373</v>
      </c>
      <c r="P137" t="s">
        <v>12</v>
      </c>
    </row>
    <row r="138">
      <c r="A138">
        <f>HYPERLINK("http://bombeiros.sp.gov.br/hidrantes/03individual/253.html","253")</f>
      </c>
      <c r="B138" t="s">
        <v>114</v>
      </c>
      <c r="C138" t="s">
        <v>440</v>
      </c>
      <c r="D138" t="s">
        <v>449</v>
      </c>
      <c r="E138" t="s">
        <v>15</v>
      </c>
      <c r="F138" t="s">
        <v>7278</v>
      </c>
      <c r="G138" t="s">
        <v>18084</v>
      </c>
      <c r="H138" t="s">
        <v>1107</v>
      </c>
      <c r="I138" t="s">
        <v>1108</v>
      </c>
      <c r="J138" t="s">
        <v>7279</v>
      </c>
      <c r="K138" t="s">
        <v>7280</v>
      </c>
      <c r="L138" t="s">
        <v>21</v>
      </c>
      <c r="M138" t="s">
        <v>19177</v>
      </c>
      <c r="N138" t="s">
        <v>300</v>
      </c>
      <c r="O138" t="s">
        <v>16373</v>
      </c>
      <c r="P138" t="s">
        <v>12</v>
      </c>
    </row>
    <row r="139">
      <c r="A139">
        <f>HYPERLINK("http://bombeiros.sp.gov.br/hidrantes/03individual/4344.html","4344")</f>
      </c>
      <c r="B139" t="s">
        <v>114</v>
      </c>
      <c r="C139" t="s">
        <v>440</v>
      </c>
      <c r="D139" t="s">
        <v>449</v>
      </c>
      <c r="E139" t="s">
        <v>15</v>
      </c>
      <c r="F139" t="s">
        <v>7346</v>
      </c>
      <c r="G139" t="s">
        <v>18084</v>
      </c>
      <c r="H139" t="s">
        <v>1112</v>
      </c>
      <c r="I139" t="s">
        <v>1108</v>
      </c>
      <c r="J139" t="s">
        <v>7347</v>
      </c>
      <c r="K139" t="s">
        <v>7348</v>
      </c>
      <c r="L139" t="s">
        <v>21</v>
      </c>
      <c r="M139" t="s">
        <v>19177</v>
      </c>
      <c r="N139" t="s">
        <v>300</v>
      </c>
      <c r="O139" t="s">
        <v>16373</v>
      </c>
      <c r="P139" t="s">
        <v>12</v>
      </c>
    </row>
    <row r="140">
      <c r="A140">
        <f>HYPERLINK("http://bombeiros.sp.gov.br/hidrantes/03individual/27513.html","27513")</f>
      </c>
      <c r="B140" t="s">
        <v>114</v>
      </c>
      <c r="C140" t="s">
        <v>440</v>
      </c>
      <c r="D140" t="s">
        <v>449</v>
      </c>
      <c r="E140" t="s">
        <v>15</v>
      </c>
      <c r="F140" t="s">
        <v>17328</v>
      </c>
      <c r="G140" t="s">
        <v>18093</v>
      </c>
      <c r="H140" t="s">
        <v>1107</v>
      </c>
      <c r="I140" t="s">
        <v>1108</v>
      </c>
      <c r="J140" t="s">
        <v>17329</v>
      </c>
      <c r="K140" t="s">
        <v>17330</v>
      </c>
      <c r="L140" t="s">
        <v>21</v>
      </c>
      <c r="M140" t="s">
        <v>19177</v>
      </c>
      <c r="N140" t="s">
        <v>300</v>
      </c>
      <c r="O140" t="s">
        <v>16373</v>
      </c>
      <c r="P140" t="s">
        <v>12</v>
      </c>
    </row>
    <row r="141">
      <c r="A141">
        <f>HYPERLINK("http://bombeiros.sp.gov.br/hidrantes/03individual/4055.html","4055")</f>
      </c>
      <c r="B141" t="s">
        <v>454</v>
      </c>
      <c r="C141" t="s">
        <v>460</v>
      </c>
      <c r="D141" t="s">
        <v>7398</v>
      </c>
      <c r="E141" t="s">
        <v>15</v>
      </c>
      <c r="F141" t="s">
        <v>7408</v>
      </c>
      <c r="G141" t="s">
        <v>18075</v>
      </c>
      <c r="H141" t="s">
        <v>1121</v>
      </c>
      <c r="I141" t="s">
        <v>1117</v>
      </c>
      <c r="J141" t="s">
        <v>7409</v>
      </c>
      <c r="K141" t="s">
        <v>7410</v>
      </c>
      <c r="L141" t="s">
        <v>21</v>
      </c>
      <c r="M141" t="s">
        <v>19177</v>
      </c>
      <c r="N141" t="s">
        <v>519</v>
      </c>
      <c r="O141" t="s">
        <v>519</v>
      </c>
      <c r="P141" t="s">
        <v>454</v>
      </c>
    </row>
    <row r="142">
      <c r="A142">
        <f>HYPERLINK("http://bombeiros.sp.gov.br/hidrantes/03individual/916.html","916")</f>
      </c>
      <c r="B142" t="s">
        <v>454</v>
      </c>
      <c r="C142" t="s">
        <v>469</v>
      </c>
      <c r="D142" t="s">
        <v>469</v>
      </c>
      <c r="E142" t="s">
        <v>15</v>
      </c>
      <c r="F142" t="s">
        <v>7509</v>
      </c>
      <c r="G142" t="s">
        <v>18093</v>
      </c>
      <c r="H142" t="s">
        <v>1121</v>
      </c>
      <c r="I142" t="s">
        <v>1117</v>
      </c>
      <c r="J142" t="s">
        <v>7510</v>
      </c>
      <c r="K142" t="s">
        <v>7511</v>
      </c>
      <c r="L142" t="s">
        <v>21</v>
      </c>
      <c r="M142" t="s">
        <v>19177</v>
      </c>
      <c r="N142" t="s">
        <v>531</v>
      </c>
      <c r="O142" t="s">
        <v>531</v>
      </c>
      <c r="P142" t="s">
        <v>454</v>
      </c>
    </row>
    <row r="143">
      <c r="A143">
        <f>HYPERLINK("http://bombeiros.sp.gov.br/hidrantes/03individual/1196.html","1196")</f>
      </c>
      <c r="B143" t="s">
        <v>454</v>
      </c>
      <c r="C143" t="s">
        <v>469</v>
      </c>
      <c r="D143" t="s">
        <v>469</v>
      </c>
      <c r="E143" t="s">
        <v>15</v>
      </c>
      <c r="F143" t="s">
        <v>7533</v>
      </c>
      <c r="G143" t="s">
        <v>18108</v>
      </c>
      <c r="H143" t="s">
        <v>1121</v>
      </c>
      <c r="I143" t="s">
        <v>1117</v>
      </c>
      <c r="J143" t="s">
        <v>7534</v>
      </c>
      <c r="K143" t="s">
        <v>7535</v>
      </c>
      <c r="L143" t="s">
        <v>21</v>
      </c>
      <c r="M143" t="s">
        <v>19177</v>
      </c>
      <c r="N143" t="s">
        <v>478</v>
      </c>
      <c r="O143" t="s">
        <v>478</v>
      </c>
      <c r="P143" t="s">
        <v>454</v>
      </c>
    </row>
    <row r="144">
      <c r="A144">
        <f>HYPERLINK("http://bombeiros.sp.gov.br/hidrantes/03individual/1197.html","1197")</f>
      </c>
      <c r="B144" t="s">
        <v>454</v>
      </c>
      <c r="C144" t="s">
        <v>469</v>
      </c>
      <c r="D144" t="s">
        <v>469</v>
      </c>
      <c r="E144" t="s">
        <v>15</v>
      </c>
      <c r="F144" t="s">
        <v>7536</v>
      </c>
      <c r="G144" t="s">
        <v>18109</v>
      </c>
      <c r="H144" t="s">
        <v>1121</v>
      </c>
      <c r="I144" t="s">
        <v>1117</v>
      </c>
      <c r="J144" t="s">
        <v>7537</v>
      </c>
      <c r="K144" t="s">
        <v>7538</v>
      </c>
      <c r="L144" t="s">
        <v>21</v>
      </c>
      <c r="M144" t="s">
        <v>19177</v>
      </c>
      <c r="N144" t="s">
        <v>531</v>
      </c>
      <c r="O144" t="s">
        <v>531</v>
      </c>
      <c r="P144" t="s">
        <v>454</v>
      </c>
    </row>
    <row r="145">
      <c r="A145">
        <f>HYPERLINK("http://bombeiros.sp.gov.br/hidrantes/03individual/3886.html","3886")</f>
      </c>
      <c r="B145" t="s">
        <v>454</v>
      </c>
      <c r="C145" t="s">
        <v>469</v>
      </c>
      <c r="D145" t="s">
        <v>473</v>
      </c>
      <c r="E145" t="s">
        <v>15</v>
      </c>
      <c r="F145" t="s">
        <v>7602</v>
      </c>
      <c r="G145" t="s">
        <v>18111</v>
      </c>
      <c r="H145" t="s">
        <v>1107</v>
      </c>
      <c r="I145" t="s">
        <v>1108</v>
      </c>
      <c r="J145" t="s">
        <v>7603</v>
      </c>
      <c r="K145" t="s">
        <v>7604</v>
      </c>
      <c r="L145" t="s">
        <v>21</v>
      </c>
      <c r="M145" t="s">
        <v>19177</v>
      </c>
      <c r="N145" t="s">
        <v>478</v>
      </c>
      <c r="O145" t="s">
        <v>478</v>
      </c>
      <c r="P145" t="s">
        <v>454</v>
      </c>
    </row>
    <row r="146">
      <c r="A146">
        <f>HYPERLINK("http://bombeiros.sp.gov.br/hidrantes/03individual/1027.html","1027")</f>
      </c>
      <c r="B146" t="s">
        <v>454</v>
      </c>
      <c r="C146" t="s">
        <v>478</v>
      </c>
      <c r="D146" t="s">
        <v>478</v>
      </c>
      <c r="E146" t="s">
        <v>15</v>
      </c>
      <c r="F146" t="s">
        <v>7633</v>
      </c>
      <c r="G146" t="s">
        <v>18112</v>
      </c>
      <c r="H146" t="s">
        <v>1112</v>
      </c>
      <c r="I146" t="s">
        <v>1108</v>
      </c>
      <c r="J146" t="s">
        <v>7634</v>
      </c>
      <c r="K146" t="s">
        <v>7635</v>
      </c>
      <c r="L146" t="s">
        <v>21</v>
      </c>
      <c r="M146" t="s">
        <v>19177</v>
      </c>
      <c r="N146" t="s">
        <v>478</v>
      </c>
      <c r="O146" t="s">
        <v>478</v>
      </c>
      <c r="P146" t="s">
        <v>454</v>
      </c>
    </row>
    <row r="147">
      <c r="A147">
        <f>HYPERLINK("http://bombeiros.sp.gov.br/hidrantes/03individual/1220.html","1220")</f>
      </c>
      <c r="B147" t="s">
        <v>454</v>
      </c>
      <c r="C147" t="s">
        <v>478</v>
      </c>
      <c r="D147" t="s">
        <v>478</v>
      </c>
      <c r="E147" t="s">
        <v>15</v>
      </c>
      <c r="F147" t="s">
        <v>7660</v>
      </c>
      <c r="G147" t="s">
        <v>17959</v>
      </c>
      <c r="H147" t="s">
        <v>1112</v>
      </c>
      <c r="I147" t="s">
        <v>1108</v>
      </c>
      <c r="J147" t="s">
        <v>7661</v>
      </c>
      <c r="K147" t="s">
        <v>7662</v>
      </c>
      <c r="L147" t="s">
        <v>21</v>
      </c>
      <c r="M147" t="s">
        <v>19177</v>
      </c>
      <c r="N147" t="s">
        <v>478</v>
      </c>
      <c r="O147" t="s">
        <v>478</v>
      </c>
      <c r="P147" t="s">
        <v>454</v>
      </c>
    </row>
    <row r="148">
      <c r="A148">
        <f>HYPERLINK("http://bombeiros.sp.gov.br/hidrantes/03individual/1308.html","1308")</f>
      </c>
      <c r="B148" t="s">
        <v>454</v>
      </c>
      <c r="C148" t="s">
        <v>478</v>
      </c>
      <c r="D148" t="s">
        <v>478</v>
      </c>
      <c r="E148" t="s">
        <v>15</v>
      </c>
      <c r="F148" t="s">
        <v>7669</v>
      </c>
      <c r="G148" t="s">
        <v>18113</v>
      </c>
      <c r="H148" t="s">
        <v>1112</v>
      </c>
      <c r="I148" t="s">
        <v>1108</v>
      </c>
      <c r="J148" t="s">
        <v>7670</v>
      </c>
      <c r="K148" t="s">
        <v>7671</v>
      </c>
      <c r="L148" t="s">
        <v>21</v>
      </c>
      <c r="M148" t="s">
        <v>19177</v>
      </c>
      <c r="N148" t="s">
        <v>478</v>
      </c>
      <c r="O148" t="s">
        <v>478</v>
      </c>
      <c r="P148" t="s">
        <v>454</v>
      </c>
    </row>
    <row r="149">
      <c r="A149">
        <f>HYPERLINK("http://bombeiros.sp.gov.br/hidrantes/03individual/3711.html","3711")</f>
      </c>
      <c r="B149" t="s">
        <v>454</v>
      </c>
      <c r="C149" t="s">
        <v>478</v>
      </c>
      <c r="D149" t="s">
        <v>478</v>
      </c>
      <c r="E149" t="s">
        <v>15</v>
      </c>
      <c r="F149" t="s">
        <v>7678</v>
      </c>
      <c r="G149" t="s">
        <v>18114</v>
      </c>
      <c r="H149" t="s">
        <v>1112</v>
      </c>
      <c r="I149" t="s">
        <v>1108</v>
      </c>
      <c r="J149" t="s">
        <v>7679</v>
      </c>
      <c r="K149" t="s">
        <v>7680</v>
      </c>
      <c r="L149" t="s">
        <v>21</v>
      </c>
      <c r="M149" t="s">
        <v>19177</v>
      </c>
      <c r="N149" t="s">
        <v>478</v>
      </c>
      <c r="O149" t="s">
        <v>478</v>
      </c>
      <c r="P149" t="s">
        <v>454</v>
      </c>
    </row>
    <row r="150">
      <c r="A150">
        <f>HYPERLINK("http://bombeiros.sp.gov.br/hidrantes/03individual/85.html","85")</f>
      </c>
      <c r="B150" t="s">
        <v>454</v>
      </c>
      <c r="C150" t="s">
        <v>478</v>
      </c>
      <c r="D150" t="s">
        <v>483</v>
      </c>
      <c r="E150" t="s">
        <v>15</v>
      </c>
      <c r="F150" t="s">
        <v>7739</v>
      </c>
      <c r="G150" t="s">
        <v>17973</v>
      </c>
      <c r="H150" t="s">
        <v>1112</v>
      </c>
      <c r="I150" t="s">
        <v>1108</v>
      </c>
      <c r="J150" t="s">
        <v>7740</v>
      </c>
      <c r="K150" t="s">
        <v>7741</v>
      </c>
      <c r="L150" t="s">
        <v>21</v>
      </c>
      <c r="M150" t="s">
        <v>19177</v>
      </c>
      <c r="N150" t="s">
        <v>478</v>
      </c>
      <c r="O150" t="s">
        <v>478</v>
      </c>
      <c r="P150" t="s">
        <v>454</v>
      </c>
    </row>
    <row r="151">
      <c r="A151">
        <f>HYPERLINK("http://bombeiros.sp.gov.br/hidrantes/03individual/4041.html","4041")</f>
      </c>
      <c r="B151" t="s">
        <v>454</v>
      </c>
      <c r="C151" t="s">
        <v>478</v>
      </c>
      <c r="D151" t="s">
        <v>483</v>
      </c>
      <c r="E151" t="s">
        <v>15</v>
      </c>
      <c r="F151" t="s">
        <v>7748</v>
      </c>
      <c r="G151" t="s">
        <v>18109</v>
      </c>
      <c r="H151" t="s">
        <v>1121</v>
      </c>
      <c r="I151" t="s">
        <v>1117</v>
      </c>
      <c r="J151" t="s">
        <v>7749</v>
      </c>
      <c r="K151" t="s">
        <v>7750</v>
      </c>
      <c r="L151" t="s">
        <v>21</v>
      </c>
      <c r="M151" t="s">
        <v>19177</v>
      </c>
      <c r="N151" t="s">
        <v>478</v>
      </c>
      <c r="O151" t="s">
        <v>478</v>
      </c>
      <c r="P151" t="s">
        <v>454</v>
      </c>
    </row>
    <row r="152">
      <c r="A152">
        <f>HYPERLINK("http://bombeiros.sp.gov.br/hidrantes/03individual/1119.html","1119")</f>
      </c>
      <c r="B152" t="s">
        <v>454</v>
      </c>
      <c r="C152" t="s">
        <v>510</v>
      </c>
      <c r="D152" t="s">
        <v>511</v>
      </c>
      <c r="E152" t="s">
        <v>15</v>
      </c>
      <c r="F152" t="s">
        <v>7908</v>
      </c>
      <c r="G152" t="s">
        <v>18072</v>
      </c>
      <c r="H152" t="s">
        <v>1121</v>
      </c>
      <c r="I152" t="s">
        <v>1117</v>
      </c>
      <c r="J152" t="s">
        <v>7909</v>
      </c>
      <c r="K152" t="s">
        <v>7910</v>
      </c>
      <c r="L152" t="s">
        <v>21</v>
      </c>
      <c r="M152" t="s">
        <v>19177</v>
      </c>
      <c r="N152" t="s">
        <v>519</v>
      </c>
      <c r="O152" t="s">
        <v>519</v>
      </c>
      <c r="P152" t="s">
        <v>454</v>
      </c>
    </row>
    <row r="153">
      <c r="A153">
        <f>HYPERLINK("http://bombeiros.sp.gov.br/hidrantes/03individual/3978.html","3978")</f>
      </c>
      <c r="B153" t="s">
        <v>454</v>
      </c>
      <c r="C153" t="s">
        <v>510</v>
      </c>
      <c r="D153" t="s">
        <v>511</v>
      </c>
      <c r="E153" t="s">
        <v>15</v>
      </c>
      <c r="F153" t="s">
        <v>7914</v>
      </c>
      <c r="G153" t="s">
        <v>18115</v>
      </c>
      <c r="H153" t="s">
        <v>1121</v>
      </c>
      <c r="I153" t="s">
        <v>1117</v>
      </c>
      <c r="J153" t="s">
        <v>7915</v>
      </c>
      <c r="K153" t="s">
        <v>7916</v>
      </c>
      <c r="L153" t="s">
        <v>21</v>
      </c>
      <c r="M153" t="s">
        <v>19177</v>
      </c>
      <c r="N153" t="s">
        <v>519</v>
      </c>
      <c r="O153" t="s">
        <v>519</v>
      </c>
      <c r="P153" t="s">
        <v>454</v>
      </c>
    </row>
    <row r="154">
      <c r="A154">
        <f>HYPERLINK("http://bombeiros.sp.gov.br/hidrantes/03individual/4057.html","4057")</f>
      </c>
      <c r="B154" t="s">
        <v>454</v>
      </c>
      <c r="C154" t="s">
        <v>510</v>
      </c>
      <c r="D154" t="s">
        <v>511</v>
      </c>
      <c r="E154" t="s">
        <v>15</v>
      </c>
      <c r="F154" t="s">
        <v>7917</v>
      </c>
      <c r="G154" t="s">
        <v>18048</v>
      </c>
      <c r="H154" t="s">
        <v>1112</v>
      </c>
      <c r="I154" t="s">
        <v>1108</v>
      </c>
      <c r="J154" t="s">
        <v>7918</v>
      </c>
      <c r="K154" t="s">
        <v>7919</v>
      </c>
      <c r="L154" t="s">
        <v>21</v>
      </c>
      <c r="M154" t="s">
        <v>19177</v>
      </c>
      <c r="N154" t="s">
        <v>519</v>
      </c>
      <c r="O154" t="s">
        <v>519</v>
      </c>
      <c r="P154" t="s">
        <v>454</v>
      </c>
    </row>
    <row r="155">
      <c r="A155">
        <f>HYPERLINK("http://bombeiros.sp.gov.br/hidrantes/03individual/1802.html","1802")</f>
      </c>
      <c r="B155" t="s">
        <v>454</v>
      </c>
      <c r="C155" t="s">
        <v>515</v>
      </c>
      <c r="D155" t="s">
        <v>7975</v>
      </c>
      <c r="E155" t="s">
        <v>15</v>
      </c>
      <c r="F155" t="s">
        <v>8006</v>
      </c>
      <c r="G155" t="s">
        <v>18068</v>
      </c>
      <c r="H155" t="s">
        <v>1174</v>
      </c>
      <c r="I155" t="s">
        <v>1117</v>
      </c>
      <c r="J155" t="s">
        <v>8007</v>
      </c>
      <c r="K155" t="s">
        <v>8008</v>
      </c>
      <c r="L155" t="s">
        <v>21</v>
      </c>
      <c r="M155" t="s">
        <v>19177</v>
      </c>
      <c r="N155" t="s">
        <v>478</v>
      </c>
      <c r="O155" t="s">
        <v>478</v>
      </c>
      <c r="P155" t="s">
        <v>454</v>
      </c>
    </row>
    <row r="156">
      <c r="A156">
        <f>HYPERLINK("http://bombeiros.sp.gov.br/hidrantes/03individual/3730.html","3730")</f>
      </c>
      <c r="B156" t="s">
        <v>454</v>
      </c>
      <c r="C156" t="s">
        <v>515</v>
      </c>
      <c r="D156" t="s">
        <v>7975</v>
      </c>
      <c r="E156" t="s">
        <v>15</v>
      </c>
      <c r="F156" t="s">
        <v>8009</v>
      </c>
      <c r="G156" t="s">
        <v>18065</v>
      </c>
      <c r="H156" t="s">
        <v>1107</v>
      </c>
      <c r="I156" t="s">
        <v>1117</v>
      </c>
      <c r="J156" t="s">
        <v>8010</v>
      </c>
      <c r="K156" t="s">
        <v>8011</v>
      </c>
      <c r="L156" t="s">
        <v>21</v>
      </c>
      <c r="M156" t="s">
        <v>19177</v>
      </c>
      <c r="N156" t="s">
        <v>478</v>
      </c>
      <c r="O156" t="s">
        <v>478</v>
      </c>
      <c r="P156" t="s">
        <v>454</v>
      </c>
    </row>
    <row r="157">
      <c r="A157">
        <f>HYPERLINK("http://bombeiros.sp.gov.br/hidrantes/03individual/17749.html","17749")</f>
      </c>
      <c r="B157" t="s">
        <v>454</v>
      </c>
      <c r="C157" t="s">
        <v>515</v>
      </c>
      <c r="D157" t="s">
        <v>7975</v>
      </c>
      <c r="E157" t="s">
        <v>15</v>
      </c>
      <c r="F157" t="s">
        <v>8027</v>
      </c>
      <c r="G157" t="s">
        <v>18116</v>
      </c>
      <c r="H157" t="s">
        <v>1121</v>
      </c>
      <c r="I157" t="s">
        <v>1117</v>
      </c>
      <c r="J157" t="s">
        <v>8028</v>
      </c>
      <c r="K157" t="s">
        <v>8029</v>
      </c>
      <c r="L157" t="s">
        <v>21</v>
      </c>
      <c r="M157" t="s">
        <v>19177</v>
      </c>
      <c r="N157" t="s">
        <v>478</v>
      </c>
      <c r="O157" t="s">
        <v>478</v>
      </c>
      <c r="P157" t="s">
        <v>454</v>
      </c>
    </row>
    <row r="158">
      <c r="A158">
        <f>HYPERLINK("http://bombeiros.sp.gov.br/hidrantes/03individual/17821.html","17821")</f>
      </c>
      <c r="B158" t="s">
        <v>454</v>
      </c>
      <c r="C158" t="s">
        <v>515</v>
      </c>
      <c r="D158" t="s">
        <v>7975</v>
      </c>
      <c r="E158" t="s">
        <v>15</v>
      </c>
      <c r="F158" t="s">
        <v>8030</v>
      </c>
      <c r="G158" t="s">
        <v>18117</v>
      </c>
      <c r="H158" t="s">
        <v>1121</v>
      </c>
      <c r="I158" t="s">
        <v>1117</v>
      </c>
      <c r="J158" t="s">
        <v>8031</v>
      </c>
      <c r="K158" t="s">
        <v>8032</v>
      </c>
      <c r="L158" t="s">
        <v>21</v>
      </c>
      <c r="M158" t="s">
        <v>19177</v>
      </c>
      <c r="N158" t="s">
        <v>478</v>
      </c>
      <c r="O158" t="s">
        <v>478</v>
      </c>
      <c r="P158" t="s">
        <v>454</v>
      </c>
    </row>
    <row r="159">
      <c r="A159">
        <f>HYPERLINK("http://bombeiros.sp.gov.br/hidrantes/03individual/17882.html","17882")</f>
      </c>
      <c r="B159" t="s">
        <v>454</v>
      </c>
      <c r="C159" t="s">
        <v>515</v>
      </c>
      <c r="D159" t="s">
        <v>7975</v>
      </c>
      <c r="E159" t="s">
        <v>15</v>
      </c>
      <c r="F159" t="s">
        <v>8033</v>
      </c>
      <c r="G159" t="s">
        <v>18116</v>
      </c>
      <c r="H159" t="s">
        <v>1121</v>
      </c>
      <c r="I159" t="s">
        <v>1117</v>
      </c>
      <c r="J159" t="s">
        <v>8034</v>
      </c>
      <c r="K159" t="s">
        <v>8035</v>
      </c>
      <c r="L159" t="s">
        <v>21</v>
      </c>
      <c r="M159" t="s">
        <v>19177</v>
      </c>
      <c r="N159" t="s">
        <v>478</v>
      </c>
      <c r="O159" t="s">
        <v>478</v>
      </c>
      <c r="P159" t="s">
        <v>454</v>
      </c>
    </row>
    <row r="160">
      <c r="A160">
        <f>HYPERLINK("http://bombeiros.sp.gov.br/hidrantes/03individual/1191.html","1191")</f>
      </c>
      <c r="B160" t="s">
        <v>454</v>
      </c>
      <c r="C160" t="s">
        <v>8036</v>
      </c>
      <c r="D160" t="s">
        <v>8036</v>
      </c>
      <c r="E160" t="s">
        <v>15</v>
      </c>
      <c r="F160" t="s">
        <v>8086</v>
      </c>
      <c r="G160" t="s">
        <v>18053</v>
      </c>
      <c r="H160" t="s">
        <v>1112</v>
      </c>
      <c r="I160" t="s">
        <v>1108</v>
      </c>
      <c r="J160" t="s">
        <v>8087</v>
      </c>
      <c r="K160" t="s">
        <v>8088</v>
      </c>
      <c r="L160" t="s">
        <v>21</v>
      </c>
      <c r="M160" t="s">
        <v>19177</v>
      </c>
      <c r="N160" t="s">
        <v>478</v>
      </c>
      <c r="O160" t="s">
        <v>478</v>
      </c>
      <c r="P160" t="s">
        <v>454</v>
      </c>
    </row>
    <row r="161">
      <c r="A161">
        <f>HYPERLINK("http://bombeiros.sp.gov.br/hidrantes/03individual/1283.html","1283")</f>
      </c>
      <c r="B161" t="s">
        <v>454</v>
      </c>
      <c r="C161" t="s">
        <v>8036</v>
      </c>
      <c r="D161" t="s">
        <v>8036</v>
      </c>
      <c r="E161" t="s">
        <v>15</v>
      </c>
      <c r="F161" t="s">
        <v>8104</v>
      </c>
      <c r="G161" t="s">
        <v>18118</v>
      </c>
      <c r="H161" t="s">
        <v>1112</v>
      </c>
      <c r="I161" t="s">
        <v>1108</v>
      </c>
      <c r="J161" t="s">
        <v>8105</v>
      </c>
      <c r="K161" t="s">
        <v>8106</v>
      </c>
      <c r="L161" t="s">
        <v>21</v>
      </c>
      <c r="M161" t="s">
        <v>19177</v>
      </c>
      <c r="N161" t="s">
        <v>531</v>
      </c>
      <c r="O161" t="s">
        <v>531</v>
      </c>
      <c r="P161" t="s">
        <v>454</v>
      </c>
    </row>
    <row r="162">
      <c r="A162">
        <f>HYPERLINK("http://bombeiros.sp.gov.br/hidrantes/03individual/3899.html","3899")</f>
      </c>
      <c r="B162" t="s">
        <v>454</v>
      </c>
      <c r="C162" t="s">
        <v>8036</v>
      </c>
      <c r="D162" t="s">
        <v>8036</v>
      </c>
      <c r="E162" t="s">
        <v>15</v>
      </c>
      <c r="F162" t="s">
        <v>8116</v>
      </c>
      <c r="G162" t="s">
        <v>18072</v>
      </c>
      <c r="H162" t="s">
        <v>1121</v>
      </c>
      <c r="I162" t="s">
        <v>1117</v>
      </c>
      <c r="J162" t="s">
        <v>8117</v>
      </c>
      <c r="K162" t="s">
        <v>8118</v>
      </c>
      <c r="L162" t="s">
        <v>21</v>
      </c>
      <c r="M162" t="s">
        <v>19177</v>
      </c>
      <c r="N162" t="s">
        <v>478</v>
      </c>
      <c r="O162" t="s">
        <v>478</v>
      </c>
      <c r="P162" t="s">
        <v>454</v>
      </c>
    </row>
    <row r="163">
      <c r="A163">
        <f>HYPERLINK("http://bombeiros.sp.gov.br/hidrantes/03individual/3947.html","3947")</f>
      </c>
      <c r="B163" t="s">
        <v>454</v>
      </c>
      <c r="C163" t="s">
        <v>8036</v>
      </c>
      <c r="D163" t="s">
        <v>8036</v>
      </c>
      <c r="E163" t="s">
        <v>15</v>
      </c>
      <c r="F163" t="s">
        <v>8119</v>
      </c>
      <c r="G163" t="s">
        <v>18072</v>
      </c>
      <c r="H163" t="s">
        <v>1174</v>
      </c>
      <c r="I163" t="s">
        <v>1108</v>
      </c>
      <c r="J163" t="s">
        <v>8120</v>
      </c>
      <c r="K163" t="s">
        <v>8121</v>
      </c>
      <c r="L163" t="s">
        <v>21</v>
      </c>
      <c r="M163" t="s">
        <v>19177</v>
      </c>
      <c r="N163" t="s">
        <v>478</v>
      </c>
      <c r="O163" t="s">
        <v>478</v>
      </c>
      <c r="P163" t="s">
        <v>454</v>
      </c>
    </row>
    <row r="164">
      <c r="A164">
        <f>HYPERLINK("http://bombeiros.sp.gov.br/hidrantes/03individual/26783.html","26783")</f>
      </c>
      <c r="B164" t="s">
        <v>454</v>
      </c>
      <c r="C164" t="s">
        <v>8036</v>
      </c>
      <c r="D164" t="s">
        <v>8036</v>
      </c>
      <c r="E164" t="s">
        <v>15</v>
      </c>
      <c r="F164" t="s">
        <v>15799</v>
      </c>
      <c r="G164" t="s">
        <v>18119</v>
      </c>
      <c r="H164" t="s">
        <v>1121</v>
      </c>
      <c r="I164" t="s">
        <v>1117</v>
      </c>
      <c r="J164" t="s">
        <v>15800</v>
      </c>
      <c r="K164" t="s">
        <v>15801</v>
      </c>
      <c r="L164" t="s">
        <v>21</v>
      </c>
      <c r="M164" t="s">
        <v>19177</v>
      </c>
      <c r="N164" t="s">
        <v>478</v>
      </c>
      <c r="O164" t="s">
        <v>478</v>
      </c>
      <c r="P164" t="s">
        <v>454</v>
      </c>
    </row>
    <row r="165">
      <c r="A165">
        <f>HYPERLINK("http://bombeiros.sp.gov.br/hidrantes/03individual/28071.html","28071")</f>
      </c>
      <c r="B165" t="s">
        <v>454</v>
      </c>
      <c r="C165" t="s">
        <v>8036</v>
      </c>
      <c r="D165" t="s">
        <v>8036</v>
      </c>
      <c r="E165" t="s">
        <v>15</v>
      </c>
      <c r="F165" t="s">
        <v>18120</v>
      </c>
      <c r="G165" t="s">
        <v>18066</v>
      </c>
      <c r="H165" t="s">
        <v>1121</v>
      </c>
      <c r="I165" t="s">
        <v>1117</v>
      </c>
      <c r="J165" t="s">
        <v>18121</v>
      </c>
      <c r="K165" t="s">
        <v>18122</v>
      </c>
      <c r="L165" t="s">
        <v>21</v>
      </c>
      <c r="M165" t="s">
        <v>19177</v>
      </c>
      <c r="N165" t="s">
        <v>531</v>
      </c>
      <c r="O165" t="s">
        <v>531</v>
      </c>
      <c r="P165" t="s">
        <v>454</v>
      </c>
    </row>
    <row r="166">
      <c r="A166">
        <f>HYPERLINK("http://bombeiros.sp.gov.br/hidrantes/03individual/4025.html","4025")</f>
      </c>
      <c r="B166" t="s">
        <v>454</v>
      </c>
      <c r="C166" t="s">
        <v>519</v>
      </c>
      <c r="D166" t="s">
        <v>519</v>
      </c>
      <c r="E166" t="s">
        <v>15</v>
      </c>
      <c r="F166" t="s">
        <v>8198</v>
      </c>
      <c r="G166" t="s">
        <v>18123</v>
      </c>
      <c r="H166" t="s">
        <v>1107</v>
      </c>
      <c r="I166" t="s">
        <v>1108</v>
      </c>
      <c r="J166" t="s">
        <v>8199</v>
      </c>
      <c r="K166" t="s">
        <v>8200</v>
      </c>
      <c r="L166" t="s">
        <v>21</v>
      </c>
      <c r="M166" t="s">
        <v>19177</v>
      </c>
      <c r="N166" t="s">
        <v>519</v>
      </c>
      <c r="O166" t="s">
        <v>519</v>
      </c>
      <c r="P166" t="s">
        <v>454</v>
      </c>
    </row>
    <row r="167">
      <c r="A167">
        <f>HYPERLINK("http://bombeiros.sp.gov.br/hidrantes/03individual/1204.html","1204")</f>
      </c>
      <c r="B167" t="s">
        <v>454</v>
      </c>
      <c r="C167" t="s">
        <v>519</v>
      </c>
      <c r="D167" t="s">
        <v>527</v>
      </c>
      <c r="E167" t="s">
        <v>15</v>
      </c>
      <c r="F167" t="s">
        <v>8255</v>
      </c>
      <c r="G167" t="s">
        <v>18080</v>
      </c>
      <c r="H167" t="s">
        <v>1121</v>
      </c>
      <c r="I167" t="s">
        <v>1117</v>
      </c>
      <c r="J167" t="s">
        <v>8256</v>
      </c>
      <c r="K167" t="s">
        <v>8257</v>
      </c>
      <c r="L167" t="s">
        <v>21</v>
      </c>
      <c r="M167" t="s">
        <v>19177</v>
      </c>
      <c r="N167" t="s">
        <v>519</v>
      </c>
      <c r="O167" t="s">
        <v>519</v>
      </c>
      <c r="P167" t="s">
        <v>454</v>
      </c>
    </row>
    <row r="168">
      <c r="A168">
        <f>HYPERLINK("http://bombeiros.sp.gov.br/hidrantes/03individual/1296.html","1296")</f>
      </c>
      <c r="B168" t="s">
        <v>454</v>
      </c>
      <c r="C168" t="s">
        <v>519</v>
      </c>
      <c r="D168" t="s">
        <v>527</v>
      </c>
      <c r="E168" t="s">
        <v>15</v>
      </c>
      <c r="F168" t="s">
        <v>8270</v>
      </c>
      <c r="G168" t="s">
        <v>18107</v>
      </c>
      <c r="H168" t="s">
        <v>1107</v>
      </c>
      <c r="I168" t="s">
        <v>1108</v>
      </c>
      <c r="J168" t="s">
        <v>16443</v>
      </c>
      <c r="K168" t="s">
        <v>16444</v>
      </c>
      <c r="L168" t="s">
        <v>21</v>
      </c>
      <c r="M168" t="s">
        <v>19177</v>
      </c>
      <c r="N168" t="s">
        <v>478</v>
      </c>
      <c r="O168" t="s">
        <v>478</v>
      </c>
      <c r="P168" t="s">
        <v>454</v>
      </c>
    </row>
    <row r="169">
      <c r="A169">
        <f>HYPERLINK("http://bombeiros.sp.gov.br/hidrantes/03individual/5494.html","5494")</f>
      </c>
      <c r="B169" t="s">
        <v>454</v>
      </c>
      <c r="C169" t="s">
        <v>519</v>
      </c>
      <c r="D169" t="s">
        <v>527</v>
      </c>
      <c r="E169" t="s">
        <v>15</v>
      </c>
      <c r="F169" t="s">
        <v>8306</v>
      </c>
      <c r="G169" t="s">
        <v>18123</v>
      </c>
      <c r="H169" t="s">
        <v>1174</v>
      </c>
      <c r="I169" t="s">
        <v>1117</v>
      </c>
      <c r="J169" t="s">
        <v>8307</v>
      </c>
      <c r="K169" t="s">
        <v>8308</v>
      </c>
      <c r="L169" t="s">
        <v>21</v>
      </c>
      <c r="M169" t="s">
        <v>19177</v>
      </c>
      <c r="N169" t="s">
        <v>519</v>
      </c>
      <c r="O169" t="s">
        <v>519</v>
      </c>
      <c r="P169" t="s">
        <v>454</v>
      </c>
    </row>
    <row r="170">
      <c r="A170">
        <f>HYPERLINK("http://bombeiros.sp.gov.br/hidrantes/03individual/5558.html","5558")</f>
      </c>
      <c r="B170" t="s">
        <v>454</v>
      </c>
      <c r="C170" t="s">
        <v>519</v>
      </c>
      <c r="D170" t="s">
        <v>527</v>
      </c>
      <c r="E170" t="s">
        <v>15</v>
      </c>
      <c r="F170" t="s">
        <v>8312</v>
      </c>
      <c r="G170" t="s">
        <v>18118</v>
      </c>
      <c r="H170" t="s">
        <v>1121</v>
      </c>
      <c r="I170" t="s">
        <v>1117</v>
      </c>
      <c r="J170" t="s">
        <v>8313</v>
      </c>
      <c r="K170" t="s">
        <v>8314</v>
      </c>
      <c r="L170" t="s">
        <v>21</v>
      </c>
      <c r="M170" t="s">
        <v>19177</v>
      </c>
      <c r="N170" t="s">
        <v>478</v>
      </c>
      <c r="O170" t="s">
        <v>478</v>
      </c>
      <c r="P170" t="s">
        <v>454</v>
      </c>
    </row>
    <row r="171">
      <c r="A171">
        <f>HYPERLINK("http://bombeiros.sp.gov.br/hidrantes/03individual/613.html","613")</f>
      </c>
      <c r="B171" t="s">
        <v>454</v>
      </c>
      <c r="C171" t="s">
        <v>531</v>
      </c>
      <c r="D171" t="s">
        <v>532</v>
      </c>
      <c r="E171" t="s">
        <v>15</v>
      </c>
      <c r="F171" t="s">
        <v>8336</v>
      </c>
      <c r="G171" t="s">
        <v>18124</v>
      </c>
      <c r="H171" t="s">
        <v>1107</v>
      </c>
      <c r="I171" t="s">
        <v>1108</v>
      </c>
      <c r="J171" t="s">
        <v>8337</v>
      </c>
      <c r="K171" t="s">
        <v>8338</v>
      </c>
      <c r="L171" t="s">
        <v>21</v>
      </c>
      <c r="M171" t="s">
        <v>19177</v>
      </c>
      <c r="N171" t="s">
        <v>531</v>
      </c>
      <c r="O171" t="s">
        <v>531</v>
      </c>
      <c r="P171" t="s">
        <v>454</v>
      </c>
    </row>
    <row r="172">
      <c r="A172">
        <f>HYPERLINK("http://bombeiros.sp.gov.br/hidrantes/03individual/2238.html","2238")</f>
      </c>
      <c r="B172" t="s">
        <v>454</v>
      </c>
      <c r="C172" t="s">
        <v>531</v>
      </c>
      <c r="D172" t="s">
        <v>532</v>
      </c>
      <c r="E172" t="s">
        <v>15</v>
      </c>
      <c r="F172" t="s">
        <v>8366</v>
      </c>
      <c r="G172" t="s">
        <v>18484</v>
      </c>
      <c r="H172" t="s">
        <v>1121</v>
      </c>
      <c r="I172" t="s">
        <v>1117</v>
      </c>
      <c r="J172" t="s">
        <v>8367</v>
      </c>
      <c r="K172" t="s">
        <v>8368</v>
      </c>
      <c r="L172" t="s">
        <v>36</v>
      </c>
      <c r="M172" t="s">
        <v>19177</v>
      </c>
      <c r="N172" t="s">
        <v>531</v>
      </c>
      <c r="O172" t="s">
        <v>531</v>
      </c>
      <c r="P172" t="s">
        <v>454</v>
      </c>
    </row>
    <row r="173">
      <c r="A173">
        <f>HYPERLINK("http://bombeiros.sp.gov.br/hidrantes/03individual/3989.html","3989")</f>
      </c>
      <c r="B173" t="s">
        <v>454</v>
      </c>
      <c r="C173" t="s">
        <v>531</v>
      </c>
      <c r="D173" t="s">
        <v>532</v>
      </c>
      <c r="E173" t="s">
        <v>15</v>
      </c>
      <c r="F173" t="s">
        <v>537</v>
      </c>
      <c r="G173" t="s">
        <v>18125</v>
      </c>
      <c r="H173" t="s">
        <v>1121</v>
      </c>
      <c r="I173" t="s">
        <v>1117</v>
      </c>
      <c r="J173" t="s">
        <v>539</v>
      </c>
      <c r="K173" t="s">
        <v>540</v>
      </c>
      <c r="L173" t="s">
        <v>21</v>
      </c>
      <c r="M173" t="s">
        <v>19177</v>
      </c>
      <c r="N173" t="s">
        <v>531</v>
      </c>
      <c r="O173" t="s">
        <v>531</v>
      </c>
      <c r="P173" t="s">
        <v>454</v>
      </c>
    </row>
    <row r="174">
      <c r="A174">
        <f>HYPERLINK("http://bombeiros.sp.gov.br/hidrantes/03individual/2479.html","2479")</f>
      </c>
      <c r="B174" t="s">
        <v>454</v>
      </c>
      <c r="C174" t="s">
        <v>531</v>
      </c>
      <c r="D174" t="s">
        <v>8466</v>
      </c>
      <c r="E174" t="s">
        <v>15</v>
      </c>
      <c r="F174" t="s">
        <v>8479</v>
      </c>
      <c r="G174" t="s">
        <v>18126</v>
      </c>
      <c r="H174" t="s">
        <v>1107</v>
      </c>
      <c r="I174" t="s">
        <v>1108</v>
      </c>
      <c r="J174" t="s">
        <v>8480</v>
      </c>
      <c r="K174" t="s">
        <v>8481</v>
      </c>
      <c r="L174" t="s">
        <v>21</v>
      </c>
      <c r="M174" t="s">
        <v>19177</v>
      </c>
      <c r="N174" t="s">
        <v>531</v>
      </c>
      <c r="O174" t="s">
        <v>531</v>
      </c>
      <c r="P174" t="s">
        <v>454</v>
      </c>
    </row>
    <row r="175">
      <c r="A175">
        <f>HYPERLINK("http://bombeiros.sp.gov.br/hidrantes/03individual/3573.html","3573")</f>
      </c>
      <c r="B175" t="s">
        <v>454</v>
      </c>
      <c r="C175" t="s">
        <v>531</v>
      </c>
      <c r="D175" t="s">
        <v>553</v>
      </c>
      <c r="E175" t="s">
        <v>15</v>
      </c>
      <c r="F175" t="s">
        <v>557</v>
      </c>
      <c r="G175" t="s">
        <v>18127</v>
      </c>
      <c r="H175" t="s">
        <v>1107</v>
      </c>
      <c r="I175" t="s">
        <v>1108</v>
      </c>
      <c r="J175" t="s">
        <v>558</v>
      </c>
      <c r="K175" t="s">
        <v>559</v>
      </c>
      <c r="L175" t="s">
        <v>36</v>
      </c>
      <c r="M175" t="s">
        <v>19177</v>
      </c>
      <c r="N175" t="s">
        <v>531</v>
      </c>
      <c r="O175" t="s">
        <v>531</v>
      </c>
      <c r="P175" t="s">
        <v>454</v>
      </c>
    </row>
    <row r="176">
      <c r="A176">
        <f>HYPERLINK("http://bombeiros.sp.gov.br/hidrantes/03individual/2112.html","2112")</f>
      </c>
      <c r="B176" t="s">
        <v>454</v>
      </c>
      <c r="C176" t="s">
        <v>531</v>
      </c>
      <c r="D176" t="s">
        <v>8555</v>
      </c>
      <c r="E176" t="s">
        <v>15</v>
      </c>
      <c r="F176" t="s">
        <v>8568</v>
      </c>
      <c r="G176" t="s">
        <v>18128</v>
      </c>
      <c r="H176" t="s">
        <v>1174</v>
      </c>
      <c r="I176" t="s">
        <v>1117</v>
      </c>
      <c r="J176" t="s">
        <v>8569</v>
      </c>
      <c r="K176" t="s">
        <v>8570</v>
      </c>
      <c r="L176" t="s">
        <v>21</v>
      </c>
      <c r="M176" t="s">
        <v>19177</v>
      </c>
      <c r="N176" t="s">
        <v>531</v>
      </c>
      <c r="O176" t="s">
        <v>531</v>
      </c>
      <c r="P176" t="s">
        <v>454</v>
      </c>
    </row>
    <row r="177">
      <c r="A177">
        <f>HYPERLINK("http://bombeiros.sp.gov.br/hidrantes/03individual/1049.html","1049")</f>
      </c>
      <c r="B177" t="s">
        <v>454</v>
      </c>
      <c r="C177" t="s">
        <v>560</v>
      </c>
      <c r="D177" t="s">
        <v>560</v>
      </c>
      <c r="E177" t="s">
        <v>15</v>
      </c>
      <c r="F177" t="s">
        <v>8651</v>
      </c>
      <c r="G177" t="s">
        <v>18046</v>
      </c>
      <c r="H177" t="s">
        <v>1112</v>
      </c>
      <c r="I177" t="s">
        <v>1108</v>
      </c>
      <c r="J177" t="s">
        <v>8652</v>
      </c>
      <c r="K177" t="s">
        <v>8653</v>
      </c>
      <c r="L177" t="s">
        <v>21</v>
      </c>
      <c r="M177" t="s">
        <v>19177</v>
      </c>
      <c r="N177" t="s">
        <v>519</v>
      </c>
      <c r="O177" t="s">
        <v>519</v>
      </c>
      <c r="P177" t="s">
        <v>454</v>
      </c>
    </row>
    <row r="178">
      <c r="A178">
        <f>HYPERLINK("http://bombeiros.sp.gov.br/hidrantes/03individual/1086.html","1086")</f>
      </c>
      <c r="B178" t="s">
        <v>454</v>
      </c>
      <c r="C178" t="s">
        <v>560</v>
      </c>
      <c r="D178" t="s">
        <v>560</v>
      </c>
      <c r="E178" t="s">
        <v>15</v>
      </c>
      <c r="F178" t="s">
        <v>8654</v>
      </c>
      <c r="G178" t="s">
        <v>18129</v>
      </c>
      <c r="H178" t="s">
        <v>1121</v>
      </c>
      <c r="I178" t="s">
        <v>1117</v>
      </c>
      <c r="J178" t="s">
        <v>8655</v>
      </c>
      <c r="K178" t="s">
        <v>8656</v>
      </c>
      <c r="L178" t="s">
        <v>21</v>
      </c>
      <c r="M178" t="s">
        <v>19177</v>
      </c>
      <c r="N178" t="s">
        <v>519</v>
      </c>
      <c r="O178" t="s">
        <v>519</v>
      </c>
      <c r="P178" t="s">
        <v>454</v>
      </c>
    </row>
    <row r="179">
      <c r="A179">
        <f>HYPERLINK("http://bombeiros.sp.gov.br/hidrantes/03individual/1114.html","1114")</f>
      </c>
      <c r="B179" t="s">
        <v>454</v>
      </c>
      <c r="C179" t="s">
        <v>560</v>
      </c>
      <c r="D179" t="s">
        <v>560</v>
      </c>
      <c r="E179" t="s">
        <v>15</v>
      </c>
      <c r="F179" t="s">
        <v>8660</v>
      </c>
      <c r="G179" t="s">
        <v>17921</v>
      </c>
      <c r="H179" t="s">
        <v>1107</v>
      </c>
      <c r="I179" t="s">
        <v>1108</v>
      </c>
      <c r="J179" t="s">
        <v>8661</v>
      </c>
      <c r="K179" t="s">
        <v>8662</v>
      </c>
      <c r="L179" t="s">
        <v>21</v>
      </c>
      <c r="M179" t="s">
        <v>19177</v>
      </c>
      <c r="N179" t="s">
        <v>519</v>
      </c>
      <c r="O179" t="s">
        <v>519</v>
      </c>
      <c r="P179" t="s">
        <v>454</v>
      </c>
    </row>
    <row r="180">
      <c r="A180">
        <f>HYPERLINK("http://bombeiros.sp.gov.br/hidrantes/03individual/1316.html","1316")</f>
      </c>
      <c r="B180" t="s">
        <v>454</v>
      </c>
      <c r="C180" t="s">
        <v>560</v>
      </c>
      <c r="D180" t="s">
        <v>560</v>
      </c>
      <c r="E180" t="s">
        <v>15</v>
      </c>
      <c r="F180" t="s">
        <v>8691</v>
      </c>
      <c r="G180" t="s">
        <v>18089</v>
      </c>
      <c r="H180" t="s">
        <v>1107</v>
      </c>
      <c r="I180" t="s">
        <v>1108</v>
      </c>
      <c r="J180" t="s">
        <v>8692</v>
      </c>
      <c r="K180" t="s">
        <v>8693</v>
      </c>
      <c r="L180" t="s">
        <v>36</v>
      </c>
      <c r="M180" t="s">
        <v>19177</v>
      </c>
      <c r="N180" t="s">
        <v>519</v>
      </c>
      <c r="O180" t="s">
        <v>519</v>
      </c>
      <c r="P180" t="s">
        <v>454</v>
      </c>
    </row>
    <row r="181">
      <c r="A181">
        <f>HYPERLINK("http://bombeiros.sp.gov.br/hidrantes/03individual/27265.html","27265")</f>
      </c>
      <c r="B181" t="s">
        <v>454</v>
      </c>
      <c r="C181" t="s">
        <v>560</v>
      </c>
      <c r="D181" t="s">
        <v>560</v>
      </c>
      <c r="E181" t="s">
        <v>15</v>
      </c>
      <c r="F181" t="s">
        <v>17028</v>
      </c>
      <c r="G181" t="s">
        <v>18131</v>
      </c>
      <c r="H181" t="s">
        <v>1121</v>
      </c>
      <c r="I181" t="s">
        <v>1117</v>
      </c>
      <c r="J181" t="s">
        <v>17029</v>
      </c>
      <c r="K181" t="s">
        <v>17030</v>
      </c>
      <c r="L181" t="s">
        <v>21</v>
      </c>
      <c r="M181" t="s">
        <v>19177</v>
      </c>
      <c r="N181" t="s">
        <v>519</v>
      </c>
      <c r="O181" t="s">
        <v>519</v>
      </c>
      <c r="P181" t="s">
        <v>454</v>
      </c>
    </row>
    <row r="182">
      <c r="A182">
        <f>HYPERLINK("http://bombeiros.sp.gov.br/hidrantes/03individual/549.html","549")</f>
      </c>
      <c r="B182" t="s">
        <v>454</v>
      </c>
      <c r="C182" t="s">
        <v>565</v>
      </c>
      <c r="D182" t="s">
        <v>566</v>
      </c>
      <c r="E182" t="s">
        <v>15</v>
      </c>
      <c r="F182" t="s">
        <v>8759</v>
      </c>
      <c r="G182" t="s">
        <v>18054</v>
      </c>
      <c r="H182" t="s">
        <v>1107</v>
      </c>
      <c r="I182" t="s">
        <v>1117</v>
      </c>
      <c r="J182" t="s">
        <v>8760</v>
      </c>
      <c r="K182" t="s">
        <v>8761</v>
      </c>
      <c r="L182" t="s">
        <v>21</v>
      </c>
      <c r="M182" t="s">
        <v>19177</v>
      </c>
      <c r="N182" t="s">
        <v>531</v>
      </c>
      <c r="O182" t="s">
        <v>531</v>
      </c>
      <c r="P182" t="s">
        <v>454</v>
      </c>
    </row>
    <row r="183">
      <c r="A183">
        <f>HYPERLINK("http://bombeiros.sp.gov.br/hidrantes/03individual/4417.html","4417")</f>
      </c>
      <c r="B183" t="s">
        <v>454</v>
      </c>
      <c r="C183" t="s">
        <v>565</v>
      </c>
      <c r="D183" t="s">
        <v>566</v>
      </c>
      <c r="E183" t="s">
        <v>15</v>
      </c>
      <c r="F183" t="s">
        <v>8768</v>
      </c>
      <c r="G183" t="s">
        <v>18076</v>
      </c>
      <c r="H183" t="s">
        <v>1121</v>
      </c>
      <c r="I183" t="s">
        <v>1117</v>
      </c>
      <c r="J183" t="s">
        <v>8769</v>
      </c>
      <c r="K183" t="s">
        <v>8770</v>
      </c>
      <c r="L183" t="s">
        <v>21</v>
      </c>
      <c r="M183" t="s">
        <v>19177</v>
      </c>
      <c r="N183" t="s">
        <v>531</v>
      </c>
      <c r="O183" t="s">
        <v>531</v>
      </c>
      <c r="P183" t="s">
        <v>454</v>
      </c>
    </row>
    <row r="184">
      <c r="A184">
        <f>HYPERLINK("http://bombeiros.sp.gov.br/hidrantes/03individual/3728.html","3728")</f>
      </c>
      <c r="B184" t="s">
        <v>454</v>
      </c>
      <c r="C184" t="s">
        <v>565</v>
      </c>
      <c r="D184" t="s">
        <v>8774</v>
      </c>
      <c r="E184" t="s">
        <v>15</v>
      </c>
      <c r="F184" t="s">
        <v>8778</v>
      </c>
      <c r="G184" t="s">
        <v>18089</v>
      </c>
      <c r="H184" t="s">
        <v>1112</v>
      </c>
      <c r="I184" t="s">
        <v>1108</v>
      </c>
      <c r="J184" t="s">
        <v>8779</v>
      </c>
      <c r="K184" t="s">
        <v>8780</v>
      </c>
      <c r="L184" t="s">
        <v>21</v>
      </c>
      <c r="M184" t="s">
        <v>19177</v>
      </c>
      <c r="N184" t="s">
        <v>531</v>
      </c>
      <c r="O184" t="s">
        <v>531</v>
      </c>
      <c r="P184" t="s">
        <v>454</v>
      </c>
    </row>
    <row r="185">
      <c r="A185">
        <f>HYPERLINK("http://bombeiros.sp.gov.br/hidrantes/03individual/1230.html","1230")</f>
      </c>
      <c r="B185" t="s">
        <v>454</v>
      </c>
      <c r="C185" t="s">
        <v>565</v>
      </c>
      <c r="D185" t="s">
        <v>565</v>
      </c>
      <c r="E185" t="s">
        <v>15</v>
      </c>
      <c r="F185" t="s">
        <v>8799</v>
      </c>
      <c r="G185" t="s">
        <v>18048</v>
      </c>
      <c r="H185" t="s">
        <v>1107</v>
      </c>
      <c r="I185" t="s">
        <v>1108</v>
      </c>
      <c r="J185" t="s">
        <v>8800</v>
      </c>
      <c r="K185" t="s">
        <v>8801</v>
      </c>
      <c r="L185" t="s">
        <v>21</v>
      </c>
      <c r="M185" t="s">
        <v>19177</v>
      </c>
      <c r="N185" t="s">
        <v>478</v>
      </c>
      <c r="O185" t="s">
        <v>478</v>
      </c>
      <c r="P185" t="s">
        <v>454</v>
      </c>
    </row>
    <row r="186">
      <c r="A186">
        <f>HYPERLINK("http://bombeiros.sp.gov.br/hidrantes/03individual/519.html","519")</f>
      </c>
      <c r="B186" t="s">
        <v>454</v>
      </c>
      <c r="C186" t="s">
        <v>570</v>
      </c>
      <c r="D186" t="s">
        <v>581</v>
      </c>
      <c r="E186" t="s">
        <v>15</v>
      </c>
      <c r="F186" t="s">
        <v>8943</v>
      </c>
      <c r="G186" t="s">
        <v>18124</v>
      </c>
      <c r="H186" t="s">
        <v>1112</v>
      </c>
      <c r="I186" t="s">
        <v>1108</v>
      </c>
      <c r="J186" t="s">
        <v>8944</v>
      </c>
      <c r="K186" t="s">
        <v>8945</v>
      </c>
      <c r="L186" t="s">
        <v>21</v>
      </c>
      <c r="M186" t="s">
        <v>19177</v>
      </c>
      <c r="N186" t="s">
        <v>594</v>
      </c>
      <c r="O186" t="s">
        <v>531</v>
      </c>
      <c r="P186" t="s">
        <v>454</v>
      </c>
    </row>
    <row r="187">
      <c r="A187">
        <f>HYPERLINK("http://bombeiros.sp.gov.br/hidrantes/03individual/520.html","520")</f>
      </c>
      <c r="B187" t="s">
        <v>454</v>
      </c>
      <c r="C187" t="s">
        <v>570</v>
      </c>
      <c r="D187" t="s">
        <v>581</v>
      </c>
      <c r="E187" t="s">
        <v>15</v>
      </c>
      <c r="F187" t="s">
        <v>8946</v>
      </c>
      <c r="G187" t="s">
        <v>18132</v>
      </c>
      <c r="H187" t="s">
        <v>1121</v>
      </c>
      <c r="I187" t="s">
        <v>1117</v>
      </c>
      <c r="J187" t="s">
        <v>8947</v>
      </c>
      <c r="K187" t="s">
        <v>8948</v>
      </c>
      <c r="L187" t="s">
        <v>21</v>
      </c>
      <c r="M187" t="s">
        <v>19177</v>
      </c>
      <c r="N187" t="s">
        <v>531</v>
      </c>
      <c r="O187" t="s">
        <v>531</v>
      </c>
      <c r="P187" t="s">
        <v>454</v>
      </c>
    </row>
    <row r="188">
      <c r="A188">
        <f>HYPERLINK("http://bombeiros.sp.gov.br/hidrantes/03individual/578.html","578")</f>
      </c>
      <c r="B188" t="s">
        <v>454</v>
      </c>
      <c r="C188" t="s">
        <v>570</v>
      </c>
      <c r="D188" t="s">
        <v>581</v>
      </c>
      <c r="E188" t="s">
        <v>15</v>
      </c>
      <c r="F188" t="s">
        <v>8955</v>
      </c>
      <c r="G188" t="s">
        <v>18133</v>
      </c>
      <c r="H188" t="s">
        <v>1112</v>
      </c>
      <c r="I188" t="s">
        <v>1108</v>
      </c>
      <c r="J188" t="s">
        <v>8956</v>
      </c>
      <c r="K188" t="s">
        <v>8957</v>
      </c>
      <c r="L188" t="s">
        <v>21</v>
      </c>
      <c r="M188" t="s">
        <v>19177</v>
      </c>
      <c r="N188" t="s">
        <v>531</v>
      </c>
      <c r="O188" t="s">
        <v>531</v>
      </c>
      <c r="P188" t="s">
        <v>454</v>
      </c>
    </row>
    <row r="189">
      <c r="A189">
        <f>HYPERLINK("http://bombeiros.sp.gov.br/hidrantes/03individual/513.html","513")</f>
      </c>
      <c r="B189" t="s">
        <v>454</v>
      </c>
      <c r="C189" t="s">
        <v>588</v>
      </c>
      <c r="D189" t="s">
        <v>9017</v>
      </c>
      <c r="E189" t="s">
        <v>15</v>
      </c>
      <c r="F189" t="s">
        <v>9024</v>
      </c>
      <c r="G189" t="s">
        <v>18134</v>
      </c>
      <c r="H189" t="s">
        <v>1121</v>
      </c>
      <c r="I189" t="s">
        <v>1117</v>
      </c>
      <c r="J189" t="s">
        <v>9026</v>
      </c>
      <c r="K189" t="s">
        <v>9027</v>
      </c>
      <c r="L189" t="s">
        <v>21</v>
      </c>
      <c r="M189" t="s">
        <v>19177</v>
      </c>
      <c r="N189" t="s">
        <v>594</v>
      </c>
      <c r="O189" t="s">
        <v>531</v>
      </c>
      <c r="P189" t="s">
        <v>454</v>
      </c>
    </row>
    <row r="190">
      <c r="A190">
        <f>HYPERLINK("http://bombeiros.sp.gov.br/hidrantes/03individual/755.html","755")</f>
      </c>
      <c r="B190" t="s">
        <v>454</v>
      </c>
      <c r="C190" t="s">
        <v>594</v>
      </c>
      <c r="D190" t="s">
        <v>595</v>
      </c>
      <c r="E190" t="s">
        <v>15</v>
      </c>
      <c r="F190" t="s">
        <v>9177</v>
      </c>
      <c r="G190" t="s">
        <v>18135</v>
      </c>
      <c r="H190" t="s">
        <v>1121</v>
      </c>
      <c r="I190" t="s">
        <v>1117</v>
      </c>
      <c r="J190" t="s">
        <v>9178</v>
      </c>
      <c r="K190" t="s">
        <v>9179</v>
      </c>
      <c r="L190" t="s">
        <v>21</v>
      </c>
      <c r="M190" t="s">
        <v>19177</v>
      </c>
      <c r="N190" t="s">
        <v>594</v>
      </c>
      <c r="O190" t="s">
        <v>531</v>
      </c>
      <c r="P190" t="s">
        <v>454</v>
      </c>
    </row>
    <row r="191">
      <c r="A191">
        <f>HYPERLINK("http://bombeiros.sp.gov.br/hidrantes/03individual/3198.html","3198")</f>
      </c>
      <c r="B191" t="s">
        <v>454</v>
      </c>
      <c r="C191" t="s">
        <v>594</v>
      </c>
      <c r="D191" t="s">
        <v>595</v>
      </c>
      <c r="E191" t="s">
        <v>15</v>
      </c>
      <c r="F191" t="s">
        <v>9234</v>
      </c>
      <c r="G191" t="s">
        <v>18074</v>
      </c>
      <c r="H191" t="s">
        <v>1121</v>
      </c>
      <c r="I191" t="s">
        <v>1117</v>
      </c>
      <c r="J191" t="s">
        <v>9235</v>
      </c>
      <c r="K191" t="s">
        <v>9236</v>
      </c>
      <c r="L191" t="s">
        <v>21</v>
      </c>
      <c r="M191" t="s">
        <v>19177</v>
      </c>
      <c r="N191" t="s">
        <v>594</v>
      </c>
      <c r="O191" t="s">
        <v>531</v>
      </c>
      <c r="P191" t="s">
        <v>454</v>
      </c>
    </row>
    <row r="192">
      <c r="A192">
        <f>HYPERLINK("http://bombeiros.sp.gov.br/hidrantes/03individual/17836.html","17836")</f>
      </c>
      <c r="B192" t="s">
        <v>454</v>
      </c>
      <c r="C192" t="s">
        <v>594</v>
      </c>
      <c r="D192" t="s">
        <v>595</v>
      </c>
      <c r="E192" t="s">
        <v>15</v>
      </c>
      <c r="F192" t="s">
        <v>9261</v>
      </c>
      <c r="G192" t="s">
        <v>18048</v>
      </c>
      <c r="H192" t="s">
        <v>1121</v>
      </c>
      <c r="I192" t="s">
        <v>1117</v>
      </c>
      <c r="J192" t="s">
        <v>9262</v>
      </c>
      <c r="K192" t="s">
        <v>9263</v>
      </c>
      <c r="L192" t="s">
        <v>21</v>
      </c>
      <c r="M192" t="s">
        <v>19177</v>
      </c>
      <c r="N192" t="s">
        <v>594</v>
      </c>
      <c r="O192" t="s">
        <v>531</v>
      </c>
      <c r="P192" t="s">
        <v>454</v>
      </c>
    </row>
    <row r="193">
      <c r="A193">
        <f>HYPERLINK("http://bombeiros.sp.gov.br/hidrantes/03individual/922.html","922")</f>
      </c>
      <c r="B193" t="s">
        <v>454</v>
      </c>
      <c r="C193" t="s">
        <v>594</v>
      </c>
      <c r="D193" t="s">
        <v>600</v>
      </c>
      <c r="E193" t="s">
        <v>15</v>
      </c>
      <c r="F193" t="s">
        <v>9294</v>
      </c>
      <c r="G193" t="s">
        <v>18066</v>
      </c>
      <c r="H193" t="s">
        <v>1121</v>
      </c>
      <c r="I193" t="s">
        <v>1117</v>
      </c>
      <c r="J193" t="s">
        <v>9295</v>
      </c>
      <c r="K193" t="s">
        <v>9296</v>
      </c>
      <c r="L193" t="s">
        <v>21</v>
      </c>
      <c r="M193" t="s">
        <v>19177</v>
      </c>
      <c r="N193" t="s">
        <v>594</v>
      </c>
      <c r="O193" t="s">
        <v>531</v>
      </c>
      <c r="P193" t="s">
        <v>454</v>
      </c>
    </row>
    <row r="194">
      <c r="A194">
        <f>HYPERLINK("http://bombeiros.sp.gov.br/hidrantes/03individual/17737.html","17737")</f>
      </c>
      <c r="B194" t="s">
        <v>454</v>
      </c>
      <c r="C194" t="s">
        <v>594</v>
      </c>
      <c r="D194" t="s">
        <v>600</v>
      </c>
      <c r="E194" t="s">
        <v>15</v>
      </c>
      <c r="F194" t="s">
        <v>9336</v>
      </c>
      <c r="G194" t="s">
        <v>18066</v>
      </c>
      <c r="H194" t="s">
        <v>1107</v>
      </c>
      <c r="I194" t="s">
        <v>1108</v>
      </c>
      <c r="J194" t="s">
        <v>9337</v>
      </c>
      <c r="K194" t="s">
        <v>9338</v>
      </c>
      <c r="L194" t="s">
        <v>21</v>
      </c>
      <c r="M194" t="s">
        <v>19177</v>
      </c>
      <c r="N194" t="s">
        <v>594</v>
      </c>
      <c r="O194" t="s">
        <v>531</v>
      </c>
      <c r="P194" t="s">
        <v>454</v>
      </c>
    </row>
    <row r="195">
      <c r="A195">
        <f>HYPERLINK("http://bombeiros.sp.gov.br/hidrantes/03individual/28095.html","28095")</f>
      </c>
      <c r="B195" t="s">
        <v>454</v>
      </c>
      <c r="C195" t="s">
        <v>594</v>
      </c>
      <c r="D195" t="s">
        <v>600</v>
      </c>
      <c r="E195" t="s">
        <v>15</v>
      </c>
      <c r="F195" t="s">
        <v>18136</v>
      </c>
      <c r="G195" t="s">
        <v>18061</v>
      </c>
      <c r="H195" t="s">
        <v>1107</v>
      </c>
      <c r="I195" t="s">
        <v>1108</v>
      </c>
      <c r="J195" t="s">
        <v>18137</v>
      </c>
      <c r="K195" t="s">
        <v>18138</v>
      </c>
      <c r="L195" t="s">
        <v>21</v>
      </c>
      <c r="M195" t="s">
        <v>19177</v>
      </c>
      <c r="N195" t="s">
        <v>594</v>
      </c>
      <c r="O195" t="s">
        <v>531</v>
      </c>
      <c r="P195" t="s">
        <v>454</v>
      </c>
    </row>
    <row r="196">
      <c r="A196">
        <f>HYPERLINK("http://bombeiros.sp.gov.br/hidrantes/03individual/3173.html","3173")</f>
      </c>
      <c r="B196" t="s">
        <v>454</v>
      </c>
      <c r="C196" t="s">
        <v>594</v>
      </c>
      <c r="D196" t="s">
        <v>594</v>
      </c>
      <c r="E196" t="s">
        <v>15</v>
      </c>
      <c r="F196" t="s">
        <v>9454</v>
      </c>
      <c r="G196" t="s">
        <v>18484</v>
      </c>
      <c r="H196" t="s">
        <v>1121</v>
      </c>
      <c r="I196" t="s">
        <v>1117</v>
      </c>
      <c r="J196" t="s">
        <v>9455</v>
      </c>
      <c r="K196" t="s">
        <v>9456</v>
      </c>
      <c r="L196" t="s">
        <v>21</v>
      </c>
      <c r="M196" t="s">
        <v>19177</v>
      </c>
      <c r="N196" t="s">
        <v>594</v>
      </c>
      <c r="O196" t="s">
        <v>531</v>
      </c>
      <c r="P196" t="s">
        <v>454</v>
      </c>
    </row>
    <row r="197">
      <c r="A197">
        <f>HYPERLINK("http://bombeiros.sp.gov.br/hidrantes/03individual/615.html","615")</f>
      </c>
      <c r="B197" t="s">
        <v>454</v>
      </c>
      <c r="C197" t="s">
        <v>611</v>
      </c>
      <c r="D197" t="s">
        <v>611</v>
      </c>
      <c r="E197" t="s">
        <v>15</v>
      </c>
      <c r="F197" t="s">
        <v>9527</v>
      </c>
      <c r="G197" t="s">
        <v>18067</v>
      </c>
      <c r="H197" t="s">
        <v>1121</v>
      </c>
      <c r="I197" t="s">
        <v>1117</v>
      </c>
      <c r="J197" t="s">
        <v>9528</v>
      </c>
      <c r="K197" t="s">
        <v>9529</v>
      </c>
      <c r="L197" t="s">
        <v>21</v>
      </c>
      <c r="M197" t="s">
        <v>19177</v>
      </c>
      <c r="N197" t="s">
        <v>594</v>
      </c>
      <c r="O197" t="s">
        <v>531</v>
      </c>
      <c r="P197" t="s">
        <v>454</v>
      </c>
    </row>
    <row r="198">
      <c r="A198">
        <f>HYPERLINK("http://bombeiros.sp.gov.br/hidrantes/03individual/3492.html","3492")</f>
      </c>
      <c r="B198" t="s">
        <v>454</v>
      </c>
      <c r="C198" t="s">
        <v>611</v>
      </c>
      <c r="D198" t="s">
        <v>611</v>
      </c>
      <c r="E198" t="s">
        <v>15</v>
      </c>
      <c r="F198" t="s">
        <v>9561</v>
      </c>
      <c r="G198" t="s">
        <v>18471</v>
      </c>
      <c r="H198" t="s">
        <v>1121</v>
      </c>
      <c r="I198" t="s">
        <v>1117</v>
      </c>
      <c r="J198" t="s">
        <v>9562</v>
      </c>
      <c r="K198" t="s">
        <v>9563</v>
      </c>
      <c r="L198" t="s">
        <v>21</v>
      </c>
      <c r="M198" t="s">
        <v>19177</v>
      </c>
      <c r="N198" t="s">
        <v>594</v>
      </c>
      <c r="O198" t="s">
        <v>531</v>
      </c>
      <c r="P198" t="s">
        <v>454</v>
      </c>
    </row>
    <row r="199">
      <c r="A199">
        <f>HYPERLINK("http://bombeiros.sp.gov.br/hidrantes/03individual/1382.html","1382")</f>
      </c>
      <c r="B199" t="s">
        <v>623</v>
      </c>
      <c r="C199" t="s">
        <v>624</v>
      </c>
      <c r="D199" t="s">
        <v>624</v>
      </c>
      <c r="E199" t="s">
        <v>15</v>
      </c>
      <c r="F199" t="s">
        <v>9589</v>
      </c>
      <c r="G199" t="s">
        <v>18139</v>
      </c>
      <c r="H199" t="s">
        <v>1121</v>
      </c>
      <c r="I199" t="s">
        <v>1117</v>
      </c>
      <c r="J199" t="s">
        <v>9590</v>
      </c>
      <c r="K199" t="s">
        <v>9591</v>
      </c>
      <c r="L199" t="s">
        <v>21</v>
      </c>
      <c r="M199" t="s">
        <v>19177</v>
      </c>
      <c r="N199" t="s">
        <v>714</v>
      </c>
      <c r="O199" t="s">
        <v>10263</v>
      </c>
      <c r="P199" t="s">
        <v>12</v>
      </c>
    </row>
    <row r="200">
      <c r="A200">
        <f>HYPERLINK("http://bombeiros.sp.gov.br/hidrantes/03individual/28034.html","28034")</f>
      </c>
      <c r="B200" t="s">
        <v>623</v>
      </c>
      <c r="C200" t="s">
        <v>624</v>
      </c>
      <c r="D200" t="s">
        <v>624</v>
      </c>
      <c r="E200" t="s">
        <v>15</v>
      </c>
      <c r="F200" t="s">
        <v>18140</v>
      </c>
      <c r="G200" t="s">
        <v>18085</v>
      </c>
      <c r="H200" t="s">
        <v>1107</v>
      </c>
      <c r="I200" t="s">
        <v>1108</v>
      </c>
      <c r="J200" t="s">
        <v>18141</v>
      </c>
      <c r="K200" t="s">
        <v>18142</v>
      </c>
      <c r="L200" t="s">
        <v>21</v>
      </c>
      <c r="M200" t="s">
        <v>19177</v>
      </c>
      <c r="N200" t="s">
        <v>714</v>
      </c>
      <c r="O200" t="s">
        <v>10263</v>
      </c>
      <c r="P200" t="s">
        <v>12</v>
      </c>
    </row>
    <row r="201">
      <c r="A201">
        <f>HYPERLINK("http://bombeiros.sp.gov.br/hidrantes/03individual/1376.html","1376")</f>
      </c>
      <c r="B201" t="s">
        <v>623</v>
      </c>
      <c r="C201" t="s">
        <v>624</v>
      </c>
      <c r="D201" t="s">
        <v>9605</v>
      </c>
      <c r="E201" t="s">
        <v>15</v>
      </c>
      <c r="F201" t="s">
        <v>9632</v>
      </c>
      <c r="G201" t="s">
        <v>18139</v>
      </c>
      <c r="H201" t="s">
        <v>1112</v>
      </c>
      <c r="I201" t="s">
        <v>1108</v>
      </c>
      <c r="J201" t="s">
        <v>9633</v>
      </c>
      <c r="K201" t="s">
        <v>9634</v>
      </c>
      <c r="L201" t="s">
        <v>21</v>
      </c>
      <c r="M201" t="s">
        <v>19177</v>
      </c>
      <c r="N201" t="s">
        <v>714</v>
      </c>
      <c r="O201" t="s">
        <v>10263</v>
      </c>
      <c r="P201" t="s">
        <v>12</v>
      </c>
    </row>
    <row r="202">
      <c r="A202">
        <f>HYPERLINK("http://bombeiros.sp.gov.br/hidrantes/03individual/27761.html","27761")</f>
      </c>
      <c r="B202" t="s">
        <v>623</v>
      </c>
      <c r="C202" t="s">
        <v>624</v>
      </c>
      <c r="D202" t="s">
        <v>9605</v>
      </c>
      <c r="E202" t="s">
        <v>15</v>
      </c>
      <c r="F202" t="s">
        <v>17732</v>
      </c>
      <c r="G202" t="s">
        <v>18085</v>
      </c>
      <c r="H202" t="s">
        <v>1121</v>
      </c>
      <c r="I202" t="s">
        <v>1117</v>
      </c>
      <c r="J202" t="s">
        <v>17733</v>
      </c>
      <c r="K202" t="s">
        <v>17734</v>
      </c>
      <c r="L202" t="s">
        <v>21</v>
      </c>
      <c r="M202" t="s">
        <v>19177</v>
      </c>
      <c r="N202" t="s">
        <v>714</v>
      </c>
      <c r="O202" t="s">
        <v>10263</v>
      </c>
      <c r="P202" t="s">
        <v>12</v>
      </c>
    </row>
    <row r="203">
      <c r="A203">
        <f>HYPERLINK("http://bombeiros.sp.gov.br/hidrantes/03individual/2671.html","2671")</f>
      </c>
      <c r="B203" t="s">
        <v>623</v>
      </c>
      <c r="C203" t="s">
        <v>624</v>
      </c>
      <c r="D203" t="s">
        <v>625</v>
      </c>
      <c r="E203" t="s">
        <v>15</v>
      </c>
      <c r="F203" t="s">
        <v>9662</v>
      </c>
      <c r="G203" t="s">
        <v>18143</v>
      </c>
      <c r="H203" t="s">
        <v>1112</v>
      </c>
      <c r="I203" t="s">
        <v>1108</v>
      </c>
      <c r="J203" t="s">
        <v>9663</v>
      </c>
      <c r="K203" t="s">
        <v>9664</v>
      </c>
      <c r="L203" t="s">
        <v>21</v>
      </c>
      <c r="M203" t="s">
        <v>19177</v>
      </c>
      <c r="N203" t="s">
        <v>714</v>
      </c>
      <c r="O203" t="s">
        <v>10263</v>
      </c>
      <c r="P203" t="s">
        <v>12</v>
      </c>
    </row>
    <row r="204">
      <c r="A204">
        <f>HYPERLINK("http://bombeiros.sp.gov.br/hidrantes/03individual/25216.html","25216")</f>
      </c>
      <c r="B204" t="s">
        <v>623</v>
      </c>
      <c r="C204" t="s">
        <v>624</v>
      </c>
      <c r="D204" t="s">
        <v>625</v>
      </c>
      <c r="E204" t="s">
        <v>15</v>
      </c>
      <c r="F204" t="s">
        <v>9683</v>
      </c>
      <c r="G204" t="s">
        <v>18115</v>
      </c>
      <c r="H204" t="s">
        <v>1112</v>
      </c>
      <c r="I204" t="s">
        <v>1108</v>
      </c>
      <c r="J204" t="s">
        <v>9684</v>
      </c>
      <c r="K204" t="s">
        <v>9685</v>
      </c>
      <c r="L204" t="s">
        <v>21</v>
      </c>
      <c r="M204" t="s">
        <v>19177</v>
      </c>
      <c r="N204" t="s">
        <v>714</v>
      </c>
      <c r="O204" t="s">
        <v>10263</v>
      </c>
      <c r="P204" t="s">
        <v>12</v>
      </c>
    </row>
    <row r="205">
      <c r="A205">
        <f>HYPERLINK("http://bombeiros.sp.gov.br/hidrantes/03individual/2872.html","2872")</f>
      </c>
      <c r="B205" t="s">
        <v>623</v>
      </c>
      <c r="C205" t="s">
        <v>630</v>
      </c>
      <c r="D205" t="s">
        <v>630</v>
      </c>
      <c r="E205" t="s">
        <v>64</v>
      </c>
      <c r="F205" t="s">
        <v>9719</v>
      </c>
      <c r="G205" t="s">
        <v>18144</v>
      </c>
      <c r="H205" t="s">
        <v>1107</v>
      </c>
      <c r="I205" t="s">
        <v>1108</v>
      </c>
      <c r="J205" t="s">
        <v>9720</v>
      </c>
      <c r="K205" t="s">
        <v>9721</v>
      </c>
      <c r="L205" t="s">
        <v>21</v>
      </c>
      <c r="M205" t="s">
        <v>19177</v>
      </c>
      <c r="N205" t="s">
        <v>714</v>
      </c>
      <c r="O205" t="s">
        <v>10263</v>
      </c>
      <c r="P205" t="s">
        <v>12</v>
      </c>
    </row>
    <row r="206">
      <c r="A206">
        <f>HYPERLINK("http://bombeiros.sp.gov.br/hidrantes/03individual/4212.html","4212")</f>
      </c>
      <c r="B206" t="s">
        <v>623</v>
      </c>
      <c r="C206" t="s">
        <v>640</v>
      </c>
      <c r="D206" t="s">
        <v>640</v>
      </c>
      <c r="E206" t="s">
        <v>15</v>
      </c>
      <c r="F206" t="s">
        <v>9791</v>
      </c>
      <c r="G206" t="s">
        <v>18145</v>
      </c>
      <c r="H206" t="s">
        <v>1112</v>
      </c>
      <c r="I206" t="s">
        <v>1117</v>
      </c>
      <c r="J206" t="s">
        <v>9792</v>
      </c>
      <c r="K206" t="s">
        <v>9793</v>
      </c>
      <c r="L206" t="s">
        <v>21</v>
      </c>
      <c r="M206" t="s">
        <v>19177</v>
      </c>
      <c r="N206" t="s">
        <v>16375</v>
      </c>
      <c r="O206" t="s">
        <v>640</v>
      </c>
      <c r="P206" t="s">
        <v>623</v>
      </c>
    </row>
    <row r="207">
      <c r="A207">
        <f>HYPERLINK("http://bombeiros.sp.gov.br/hidrantes/03individual/2131.html","2131")</f>
      </c>
      <c r="B207" t="s">
        <v>623</v>
      </c>
      <c r="C207" t="s">
        <v>640</v>
      </c>
      <c r="D207" t="s">
        <v>660</v>
      </c>
      <c r="E207" t="s">
        <v>15</v>
      </c>
      <c r="F207" t="s">
        <v>9847</v>
      </c>
      <c r="G207" t="s">
        <v>18084</v>
      </c>
      <c r="H207" t="s">
        <v>1112</v>
      </c>
      <c r="I207" t="s">
        <v>1108</v>
      </c>
      <c r="J207" t="s">
        <v>9848</v>
      </c>
      <c r="K207" t="s">
        <v>9849</v>
      </c>
      <c r="L207" t="s">
        <v>21</v>
      </c>
      <c r="M207" t="s">
        <v>19177</v>
      </c>
      <c r="N207" t="s">
        <v>16375</v>
      </c>
      <c r="O207" t="s">
        <v>640</v>
      </c>
      <c r="P207" t="s">
        <v>623</v>
      </c>
    </row>
    <row r="208">
      <c r="A208">
        <f>HYPERLINK("http://bombeiros.sp.gov.br/hidrantes/03individual/4383.html","4383")</f>
      </c>
      <c r="B208" t="s">
        <v>623</v>
      </c>
      <c r="C208" t="s">
        <v>674</v>
      </c>
      <c r="D208" t="s">
        <v>675</v>
      </c>
      <c r="E208" t="s">
        <v>15</v>
      </c>
      <c r="F208" t="s">
        <v>676</v>
      </c>
      <c r="G208" t="s">
        <v>18146</v>
      </c>
      <c r="H208" t="s">
        <v>1121</v>
      </c>
      <c r="I208" t="s">
        <v>1117</v>
      </c>
      <c r="J208" t="s">
        <v>677</v>
      </c>
      <c r="K208" t="s">
        <v>678</v>
      </c>
      <c r="L208" t="s">
        <v>36</v>
      </c>
      <c r="M208" t="s">
        <v>19177</v>
      </c>
      <c r="N208" t="s">
        <v>1024</v>
      </c>
      <c r="O208" t="s">
        <v>1024</v>
      </c>
      <c r="P208" t="s">
        <v>842</v>
      </c>
    </row>
    <row r="209">
      <c r="A209">
        <f>HYPERLINK("http://bombeiros.sp.gov.br/hidrantes/03individual/1413.html","1413")</f>
      </c>
      <c r="B209" t="s">
        <v>623</v>
      </c>
      <c r="C209" t="s">
        <v>674</v>
      </c>
      <c r="D209" t="s">
        <v>9936</v>
      </c>
      <c r="E209" t="s">
        <v>15</v>
      </c>
      <c r="F209" t="s">
        <v>9937</v>
      </c>
      <c r="G209" t="s">
        <v>18146</v>
      </c>
      <c r="H209" t="s">
        <v>1107</v>
      </c>
      <c r="I209" t="s">
        <v>1108</v>
      </c>
      <c r="J209" t="s">
        <v>9939</v>
      </c>
      <c r="K209" t="s">
        <v>9940</v>
      </c>
      <c r="L209" t="s">
        <v>21</v>
      </c>
      <c r="M209" t="s">
        <v>19177</v>
      </c>
      <c r="N209" t="s">
        <v>1024</v>
      </c>
      <c r="O209" t="s">
        <v>1024</v>
      </c>
      <c r="P209" t="s">
        <v>842</v>
      </c>
    </row>
    <row r="210">
      <c r="A210">
        <f>HYPERLINK("http://bombeiros.sp.gov.br/hidrantes/03individual/3944.html","3944")</f>
      </c>
      <c r="B210" t="s">
        <v>623</v>
      </c>
      <c r="C210" t="s">
        <v>674</v>
      </c>
      <c r="D210" t="s">
        <v>9936</v>
      </c>
      <c r="E210" t="s">
        <v>15</v>
      </c>
      <c r="F210" t="s">
        <v>9950</v>
      </c>
      <c r="G210" t="s">
        <v>18146</v>
      </c>
      <c r="H210" t="s">
        <v>1174</v>
      </c>
      <c r="I210" t="s">
        <v>1117</v>
      </c>
      <c r="J210" t="s">
        <v>9951</v>
      </c>
      <c r="K210" t="s">
        <v>9952</v>
      </c>
      <c r="L210" t="s">
        <v>21</v>
      </c>
      <c r="M210" t="s">
        <v>19177</v>
      </c>
      <c r="N210" t="s">
        <v>1024</v>
      </c>
      <c r="O210" t="s">
        <v>1024</v>
      </c>
      <c r="P210" t="s">
        <v>842</v>
      </c>
    </row>
    <row r="211">
      <c r="A211">
        <f>HYPERLINK("http://bombeiros.sp.gov.br/hidrantes/03individual/4429.html","4429")</f>
      </c>
      <c r="B211" t="s">
        <v>623</v>
      </c>
      <c r="C211" t="s">
        <v>674</v>
      </c>
      <c r="D211" t="s">
        <v>9936</v>
      </c>
      <c r="E211" t="s">
        <v>15</v>
      </c>
      <c r="F211" t="s">
        <v>9977</v>
      </c>
      <c r="G211" t="s">
        <v>18147</v>
      </c>
      <c r="H211" t="s">
        <v>1121</v>
      </c>
      <c r="I211" t="s">
        <v>1117</v>
      </c>
      <c r="J211" t="s">
        <v>9978</v>
      </c>
      <c r="K211" t="s">
        <v>9979</v>
      </c>
      <c r="L211" t="s">
        <v>21</v>
      </c>
      <c r="M211" t="s">
        <v>19177</v>
      </c>
      <c r="N211" t="s">
        <v>1024</v>
      </c>
      <c r="O211" t="s">
        <v>1024</v>
      </c>
      <c r="P211" t="s">
        <v>842</v>
      </c>
    </row>
    <row r="212">
      <c r="A212">
        <f>HYPERLINK("http://bombeiros.sp.gov.br/hidrantes/03individual/5378.html","5378")</f>
      </c>
      <c r="B212" t="s">
        <v>623</v>
      </c>
      <c r="C212" t="s">
        <v>674</v>
      </c>
      <c r="D212" t="s">
        <v>9989</v>
      </c>
      <c r="E212" t="s">
        <v>15</v>
      </c>
      <c r="F212" t="s">
        <v>10020</v>
      </c>
      <c r="G212" t="s">
        <v>18148</v>
      </c>
      <c r="H212" t="s">
        <v>1121</v>
      </c>
      <c r="I212" t="s">
        <v>1117</v>
      </c>
      <c r="J212" t="s">
        <v>10022</v>
      </c>
      <c r="K212" t="s">
        <v>10023</v>
      </c>
      <c r="L212" t="s">
        <v>21</v>
      </c>
      <c r="M212" t="s">
        <v>19177</v>
      </c>
      <c r="N212" t="s">
        <v>714</v>
      </c>
      <c r="O212" t="s">
        <v>10263</v>
      </c>
      <c r="P212" t="s">
        <v>12</v>
      </c>
    </row>
    <row r="213">
      <c r="A213">
        <f>HYPERLINK("http://bombeiros.sp.gov.br/hidrantes/03individual/4226.html","4226")</f>
      </c>
      <c r="B213" t="s">
        <v>623</v>
      </c>
      <c r="C213" t="s">
        <v>690</v>
      </c>
      <c r="D213" t="s">
        <v>691</v>
      </c>
      <c r="E213" t="s">
        <v>15</v>
      </c>
      <c r="F213" t="s">
        <v>10140</v>
      </c>
      <c r="G213" t="s">
        <v>18149</v>
      </c>
      <c r="H213" t="s">
        <v>1112</v>
      </c>
      <c r="I213" t="s">
        <v>1108</v>
      </c>
      <c r="J213" t="s">
        <v>10141</v>
      </c>
      <c r="K213" t="s">
        <v>10142</v>
      </c>
      <c r="L213" t="s">
        <v>21</v>
      </c>
      <c r="M213" t="s">
        <v>19177</v>
      </c>
      <c r="N213" t="s">
        <v>519</v>
      </c>
      <c r="O213" t="s">
        <v>519</v>
      </c>
      <c r="P213" t="s">
        <v>454</v>
      </c>
    </row>
    <row r="214">
      <c r="A214">
        <f>HYPERLINK("http://bombeiros.sp.gov.br/hidrantes/03individual/17886.html","17886")</f>
      </c>
      <c r="B214" t="s">
        <v>623</v>
      </c>
      <c r="C214" t="s">
        <v>690</v>
      </c>
      <c r="D214" t="s">
        <v>691</v>
      </c>
      <c r="E214" t="s">
        <v>15</v>
      </c>
      <c r="F214" t="s">
        <v>10143</v>
      </c>
      <c r="G214" t="s">
        <v>18046</v>
      </c>
      <c r="H214" t="s">
        <v>1121</v>
      </c>
      <c r="I214" t="s">
        <v>1117</v>
      </c>
      <c r="J214" t="s">
        <v>10144</v>
      </c>
      <c r="K214" t="s">
        <v>10145</v>
      </c>
      <c r="L214" t="s">
        <v>21</v>
      </c>
      <c r="M214" t="s">
        <v>19177</v>
      </c>
      <c r="N214" t="s">
        <v>519</v>
      </c>
      <c r="O214" t="s">
        <v>519</v>
      </c>
      <c r="P214" t="s">
        <v>454</v>
      </c>
    </row>
    <row r="215">
      <c r="A215">
        <f>HYPERLINK("http://bombeiros.sp.gov.br/hidrantes/03individual/25223.html","25223")</f>
      </c>
      <c r="B215" t="s">
        <v>623</v>
      </c>
      <c r="C215" t="s">
        <v>696</v>
      </c>
      <c r="D215" t="s">
        <v>704</v>
      </c>
      <c r="E215" t="s">
        <v>15</v>
      </c>
      <c r="F215" t="s">
        <v>10194</v>
      </c>
      <c r="G215" t="s">
        <v>18132</v>
      </c>
      <c r="H215" t="s">
        <v>1112</v>
      </c>
      <c r="I215" t="s">
        <v>1108</v>
      </c>
      <c r="J215" t="s">
        <v>10195</v>
      </c>
      <c r="K215" t="s">
        <v>10196</v>
      </c>
      <c r="L215" t="s">
        <v>21</v>
      </c>
      <c r="M215" t="s">
        <v>19177</v>
      </c>
      <c r="N215" t="s">
        <v>16375</v>
      </c>
      <c r="O215" t="s">
        <v>640</v>
      </c>
      <c r="P215" t="s">
        <v>623</v>
      </c>
    </row>
    <row r="216">
      <c r="A216">
        <f>HYPERLINK("http://bombeiros.sp.gov.br/hidrantes/03individual/2622.html","2622")</f>
      </c>
      <c r="B216" t="s">
        <v>623</v>
      </c>
      <c r="C216" t="s">
        <v>709</v>
      </c>
      <c r="D216" t="s">
        <v>10197</v>
      </c>
      <c r="E216" t="s">
        <v>15</v>
      </c>
      <c r="F216" t="s">
        <v>10208</v>
      </c>
      <c r="G216" t="s">
        <v>18150</v>
      </c>
      <c r="H216" t="s">
        <v>1107</v>
      </c>
      <c r="I216" t="s">
        <v>1108</v>
      </c>
      <c r="J216" t="s">
        <v>10209</v>
      </c>
      <c r="K216" t="s">
        <v>10210</v>
      </c>
      <c r="L216" t="s">
        <v>21</v>
      </c>
      <c r="M216" t="s">
        <v>19177</v>
      </c>
      <c r="N216" t="s">
        <v>714</v>
      </c>
      <c r="O216" t="s">
        <v>10263</v>
      </c>
      <c r="P216" t="s">
        <v>12</v>
      </c>
    </row>
    <row r="217">
      <c r="A217">
        <f>HYPERLINK("http://bombeiros.sp.gov.br/hidrantes/03individual/2639.html","2639")</f>
      </c>
      <c r="B217" t="s">
        <v>623</v>
      </c>
      <c r="C217" t="s">
        <v>709</v>
      </c>
      <c r="D217" t="s">
        <v>10197</v>
      </c>
      <c r="E217" t="s">
        <v>15</v>
      </c>
      <c r="F217" t="s">
        <v>10211</v>
      </c>
      <c r="G217" t="s">
        <v>18124</v>
      </c>
      <c r="H217" t="s">
        <v>1121</v>
      </c>
      <c r="I217" t="s">
        <v>1117</v>
      </c>
      <c r="J217" t="s">
        <v>10212</v>
      </c>
      <c r="K217" t="s">
        <v>10213</v>
      </c>
      <c r="L217" t="s">
        <v>21</v>
      </c>
      <c r="M217" t="s">
        <v>19177</v>
      </c>
      <c r="N217" t="s">
        <v>714</v>
      </c>
      <c r="O217" t="s">
        <v>10263</v>
      </c>
      <c r="P217" t="s">
        <v>12</v>
      </c>
    </row>
    <row r="218">
      <c r="A218">
        <f>HYPERLINK("http://bombeiros.sp.gov.br/hidrantes/03individual/100.html","100")</f>
      </c>
      <c r="B218" t="s">
        <v>623</v>
      </c>
      <c r="C218" t="s">
        <v>709</v>
      </c>
      <c r="D218" t="s">
        <v>10223</v>
      </c>
      <c r="E218" t="s">
        <v>15</v>
      </c>
      <c r="F218" t="s">
        <v>10239</v>
      </c>
      <c r="G218" t="s">
        <v>18075</v>
      </c>
      <c r="H218" t="s">
        <v>1107</v>
      </c>
      <c r="I218" t="s">
        <v>1108</v>
      </c>
      <c r="J218" t="s">
        <v>10240</v>
      </c>
      <c r="K218" t="s">
        <v>10241</v>
      </c>
      <c r="L218" t="s">
        <v>21</v>
      </c>
      <c r="M218" t="s">
        <v>19177</v>
      </c>
      <c r="N218" t="s">
        <v>714</v>
      </c>
      <c r="O218" t="s">
        <v>10263</v>
      </c>
      <c r="P218" t="s">
        <v>12</v>
      </c>
    </row>
    <row r="219">
      <c r="A219">
        <f>HYPERLINK("http://bombeiros.sp.gov.br/hidrantes/03individual/1940.html","1940")</f>
      </c>
      <c r="B219" t="s">
        <v>623</v>
      </c>
      <c r="C219" t="s">
        <v>709</v>
      </c>
      <c r="D219" t="s">
        <v>10223</v>
      </c>
      <c r="E219" t="s">
        <v>15</v>
      </c>
      <c r="F219" t="s">
        <v>10245</v>
      </c>
      <c r="G219" t="s">
        <v>18064</v>
      </c>
      <c r="H219" t="s">
        <v>1121</v>
      </c>
      <c r="I219" t="s">
        <v>1117</v>
      </c>
      <c r="J219" t="s">
        <v>10246</v>
      </c>
      <c r="K219" t="s">
        <v>10247</v>
      </c>
      <c r="L219" t="s">
        <v>21</v>
      </c>
      <c r="M219" t="s">
        <v>19177</v>
      </c>
      <c r="N219" t="s">
        <v>714</v>
      </c>
      <c r="O219" t="s">
        <v>10263</v>
      </c>
      <c r="P219" t="s">
        <v>12</v>
      </c>
    </row>
    <row r="220">
      <c r="A220">
        <f>HYPERLINK("http://bombeiros.sp.gov.br/hidrantes/03individual/94.html","94")</f>
      </c>
      <c r="B220" t="s">
        <v>623</v>
      </c>
      <c r="C220" t="s">
        <v>709</v>
      </c>
      <c r="D220" t="s">
        <v>10263</v>
      </c>
      <c r="E220" t="s">
        <v>15</v>
      </c>
      <c r="F220" t="s">
        <v>10282</v>
      </c>
      <c r="G220" t="s">
        <v>18097</v>
      </c>
      <c r="H220" t="s">
        <v>1121</v>
      </c>
      <c r="I220" t="s">
        <v>1108</v>
      </c>
      <c r="J220" t="s">
        <v>10283</v>
      </c>
      <c r="K220" t="s">
        <v>10284</v>
      </c>
      <c r="L220" t="s">
        <v>36</v>
      </c>
      <c r="M220" t="s">
        <v>19177</v>
      </c>
      <c r="N220" t="s">
        <v>714</v>
      </c>
      <c r="O220" t="s">
        <v>10263</v>
      </c>
      <c r="P220" t="s">
        <v>12</v>
      </c>
    </row>
    <row r="221">
      <c r="A221">
        <f>HYPERLINK("http://bombeiros.sp.gov.br/hidrantes/03individual/2093.html","2093")</f>
      </c>
      <c r="B221" t="s">
        <v>623</v>
      </c>
      <c r="C221" t="s">
        <v>709</v>
      </c>
      <c r="D221" t="s">
        <v>10263</v>
      </c>
      <c r="E221" t="s">
        <v>15</v>
      </c>
      <c r="F221" t="s">
        <v>10303</v>
      </c>
      <c r="G221" t="s">
        <v>18065</v>
      </c>
      <c r="H221" t="s">
        <v>1112</v>
      </c>
      <c r="I221" t="s">
        <v>1108</v>
      </c>
      <c r="J221" t="s">
        <v>10304</v>
      </c>
      <c r="K221" t="s">
        <v>10305</v>
      </c>
      <c r="L221" t="s">
        <v>21</v>
      </c>
      <c r="M221" t="s">
        <v>19177</v>
      </c>
      <c r="N221" t="s">
        <v>714</v>
      </c>
      <c r="O221" t="s">
        <v>10263</v>
      </c>
      <c r="P221" t="s">
        <v>12</v>
      </c>
    </row>
    <row r="222">
      <c r="A222">
        <f>HYPERLINK("http://bombeiros.sp.gov.br/hidrantes/03individual/17671.html","17671")</f>
      </c>
      <c r="B222" t="s">
        <v>623</v>
      </c>
      <c r="C222" t="s">
        <v>709</v>
      </c>
      <c r="D222" t="s">
        <v>10263</v>
      </c>
      <c r="E222" t="s">
        <v>15</v>
      </c>
      <c r="F222" t="s">
        <v>10321</v>
      </c>
      <c r="G222" t="s">
        <v>17948</v>
      </c>
      <c r="H222" t="s">
        <v>1112</v>
      </c>
      <c r="I222" t="s">
        <v>1108</v>
      </c>
      <c r="J222" t="s">
        <v>10322</v>
      </c>
      <c r="K222" t="s">
        <v>10323</v>
      </c>
      <c r="L222" t="s">
        <v>21</v>
      </c>
      <c r="M222" t="s">
        <v>19177</v>
      </c>
      <c r="N222" t="s">
        <v>714</v>
      </c>
      <c r="O222" t="s">
        <v>10263</v>
      </c>
      <c r="P222" t="s">
        <v>12</v>
      </c>
    </row>
    <row r="223">
      <c r="A223">
        <f>HYPERLINK("http://bombeiros.sp.gov.br/hidrantes/03individual/2300.html","2300")</f>
      </c>
      <c r="B223" t="s">
        <v>623</v>
      </c>
      <c r="C223" t="s">
        <v>709</v>
      </c>
      <c r="D223" t="s">
        <v>710</v>
      </c>
      <c r="E223" t="s">
        <v>15</v>
      </c>
      <c r="F223" t="s">
        <v>10339</v>
      </c>
      <c r="G223" t="s">
        <v>18104</v>
      </c>
      <c r="H223" t="s">
        <v>1107</v>
      </c>
      <c r="I223" t="s">
        <v>1108</v>
      </c>
      <c r="J223" t="s">
        <v>10340</v>
      </c>
      <c r="K223" t="s">
        <v>10341</v>
      </c>
      <c r="L223" t="s">
        <v>21</v>
      </c>
      <c r="M223" t="s">
        <v>19177</v>
      </c>
      <c r="N223" t="s">
        <v>714</v>
      </c>
      <c r="O223" t="s">
        <v>10263</v>
      </c>
      <c r="P223" t="s">
        <v>12</v>
      </c>
    </row>
    <row r="224">
      <c r="A224">
        <f>HYPERLINK("http://bombeiros.sp.gov.br/hidrantes/03individual/2362.html","2362")</f>
      </c>
      <c r="B224" t="s">
        <v>623</v>
      </c>
      <c r="C224" t="s">
        <v>709</v>
      </c>
      <c r="D224" t="s">
        <v>710</v>
      </c>
      <c r="E224" t="s">
        <v>15</v>
      </c>
      <c r="F224" t="s">
        <v>10351</v>
      </c>
      <c r="G224" t="s">
        <v>18152</v>
      </c>
      <c r="H224" t="s">
        <v>1121</v>
      </c>
      <c r="I224" t="s">
        <v>1117</v>
      </c>
      <c r="J224" t="s">
        <v>10352</v>
      </c>
      <c r="K224" t="s">
        <v>10353</v>
      </c>
      <c r="L224" t="s">
        <v>21</v>
      </c>
      <c r="M224" t="s">
        <v>19177</v>
      </c>
      <c r="N224" t="s">
        <v>714</v>
      </c>
      <c r="O224" t="s">
        <v>10263</v>
      </c>
      <c r="P224" t="s">
        <v>12</v>
      </c>
    </row>
    <row r="225">
      <c r="A225">
        <f>HYPERLINK("http://bombeiros.sp.gov.br/hidrantes/03individual/5.html","5")</f>
      </c>
      <c r="B225" t="s">
        <v>623</v>
      </c>
      <c r="C225" t="s">
        <v>709</v>
      </c>
      <c r="D225" t="s">
        <v>10370</v>
      </c>
      <c r="E225" t="s">
        <v>15</v>
      </c>
      <c r="F225" t="s">
        <v>10382</v>
      </c>
      <c r="G225" t="s">
        <v>18040</v>
      </c>
      <c r="H225" t="s">
        <v>1121</v>
      </c>
      <c r="I225" t="s">
        <v>1117</v>
      </c>
      <c r="J225" t="s">
        <v>10383</v>
      </c>
      <c r="K225" t="s">
        <v>10384</v>
      </c>
      <c r="L225" t="s">
        <v>21</v>
      </c>
      <c r="M225" t="s">
        <v>19177</v>
      </c>
      <c r="N225" t="s">
        <v>714</v>
      </c>
      <c r="O225" t="s">
        <v>10263</v>
      </c>
      <c r="P225" t="s">
        <v>12</v>
      </c>
    </row>
    <row r="226">
      <c r="A226">
        <f>HYPERLINK("http://bombeiros.sp.gov.br/hidrantes/03individual/88.html","88")</f>
      </c>
      <c r="B226" t="s">
        <v>623</v>
      </c>
      <c r="C226" t="s">
        <v>709</v>
      </c>
      <c r="D226" t="s">
        <v>10370</v>
      </c>
      <c r="E226" t="s">
        <v>15</v>
      </c>
      <c r="F226" t="s">
        <v>10388</v>
      </c>
      <c r="G226" t="s">
        <v>18153</v>
      </c>
      <c r="H226" t="s">
        <v>1121</v>
      </c>
      <c r="I226" t="s">
        <v>1117</v>
      </c>
      <c r="J226" t="s">
        <v>10389</v>
      </c>
      <c r="K226" t="s">
        <v>10390</v>
      </c>
      <c r="L226" t="s">
        <v>21</v>
      </c>
      <c r="M226" t="s">
        <v>19177</v>
      </c>
      <c r="N226" t="s">
        <v>714</v>
      </c>
      <c r="O226" t="s">
        <v>10263</v>
      </c>
      <c r="P226" t="s">
        <v>12</v>
      </c>
    </row>
    <row r="227">
      <c r="A227">
        <f>HYPERLINK("http://bombeiros.sp.gov.br/hidrantes/03individual/2382.html","2382")</f>
      </c>
      <c r="B227" t="s">
        <v>623</v>
      </c>
      <c r="C227" t="s">
        <v>709</v>
      </c>
      <c r="D227" t="s">
        <v>10370</v>
      </c>
      <c r="E227" t="s">
        <v>15</v>
      </c>
      <c r="F227" t="s">
        <v>10397</v>
      </c>
      <c r="G227" t="s">
        <v>18133</v>
      </c>
      <c r="H227" t="s">
        <v>1174</v>
      </c>
      <c r="I227" t="s">
        <v>1117</v>
      </c>
      <c r="J227" t="s">
        <v>10398</v>
      </c>
      <c r="K227" t="s">
        <v>10399</v>
      </c>
      <c r="L227" t="s">
        <v>21</v>
      </c>
      <c r="M227" t="s">
        <v>19177</v>
      </c>
      <c r="N227" t="s">
        <v>714</v>
      </c>
      <c r="O227" t="s">
        <v>10263</v>
      </c>
      <c r="P227" t="s">
        <v>12</v>
      </c>
    </row>
    <row r="228">
      <c r="A228">
        <f>HYPERLINK("http://bombeiros.sp.gov.br/hidrantes/03individual/2405.html","2405")</f>
      </c>
      <c r="B228" t="s">
        <v>623</v>
      </c>
      <c r="C228" t="s">
        <v>709</v>
      </c>
      <c r="D228" t="s">
        <v>10370</v>
      </c>
      <c r="E228" t="s">
        <v>15</v>
      </c>
      <c r="F228" t="s">
        <v>10400</v>
      </c>
      <c r="G228" t="s">
        <v>18154</v>
      </c>
      <c r="H228" t="s">
        <v>1107</v>
      </c>
      <c r="I228" t="s">
        <v>1108</v>
      </c>
      <c r="J228" t="s">
        <v>10401</v>
      </c>
      <c r="K228" t="s">
        <v>10402</v>
      </c>
      <c r="L228" t="s">
        <v>21</v>
      </c>
      <c r="M228" t="s">
        <v>19177</v>
      </c>
      <c r="N228" t="s">
        <v>714</v>
      </c>
      <c r="O228" t="s">
        <v>10263</v>
      </c>
      <c r="P228" t="s">
        <v>12</v>
      </c>
    </row>
    <row r="229">
      <c r="A229">
        <f>HYPERLINK("http://bombeiros.sp.gov.br/hidrantes/03individual/2665.html","2665")</f>
      </c>
      <c r="B229" t="s">
        <v>623</v>
      </c>
      <c r="C229" t="s">
        <v>709</v>
      </c>
      <c r="D229" t="s">
        <v>10370</v>
      </c>
      <c r="E229" t="s">
        <v>15</v>
      </c>
      <c r="F229" t="s">
        <v>10409</v>
      </c>
      <c r="G229" t="s">
        <v>18053</v>
      </c>
      <c r="H229" t="s">
        <v>1107</v>
      </c>
      <c r="I229" t="s">
        <v>1108</v>
      </c>
      <c r="J229" t="s">
        <v>10410</v>
      </c>
      <c r="K229" t="s">
        <v>10411</v>
      </c>
      <c r="L229" t="s">
        <v>21</v>
      </c>
      <c r="M229" t="s">
        <v>19177</v>
      </c>
      <c r="N229" t="s">
        <v>714</v>
      </c>
      <c r="O229" t="s">
        <v>10263</v>
      </c>
      <c r="P229" t="s">
        <v>12</v>
      </c>
    </row>
    <row r="230">
      <c r="A230">
        <f>HYPERLINK("http://bombeiros.sp.gov.br/hidrantes/03individual/4278.html","4278")</f>
      </c>
      <c r="B230" t="s">
        <v>623</v>
      </c>
      <c r="C230" t="s">
        <v>709</v>
      </c>
      <c r="D230" t="s">
        <v>10370</v>
      </c>
      <c r="E230" t="s">
        <v>15</v>
      </c>
      <c r="F230" t="s">
        <v>10415</v>
      </c>
      <c r="G230" t="s">
        <v>18124</v>
      </c>
      <c r="H230" t="s">
        <v>1121</v>
      </c>
      <c r="I230" t="s">
        <v>1117</v>
      </c>
      <c r="J230" t="s">
        <v>10416</v>
      </c>
      <c r="K230" t="s">
        <v>10417</v>
      </c>
      <c r="L230" t="s">
        <v>21</v>
      </c>
      <c r="M230" t="s">
        <v>19177</v>
      </c>
      <c r="N230" t="s">
        <v>714</v>
      </c>
      <c r="O230" t="s">
        <v>10263</v>
      </c>
      <c r="P230" t="s">
        <v>12</v>
      </c>
    </row>
    <row r="231">
      <c r="A231">
        <f>HYPERLINK("http://bombeiros.sp.gov.br/hidrantes/03individual/17866.html","17866")</f>
      </c>
      <c r="B231" t="s">
        <v>623</v>
      </c>
      <c r="C231" t="s">
        <v>714</v>
      </c>
      <c r="D231" t="s">
        <v>10418</v>
      </c>
      <c r="E231" t="s">
        <v>15</v>
      </c>
      <c r="F231" t="s">
        <v>10465</v>
      </c>
      <c r="G231" t="s">
        <v>18155</v>
      </c>
      <c r="H231" t="s">
        <v>1112</v>
      </c>
      <c r="I231" t="s">
        <v>1108</v>
      </c>
      <c r="J231" t="s">
        <v>10466</v>
      </c>
      <c r="K231" t="s">
        <v>10467</v>
      </c>
      <c r="L231" t="s">
        <v>21</v>
      </c>
      <c r="M231" t="s">
        <v>19177</v>
      </c>
      <c r="N231" t="s">
        <v>714</v>
      </c>
      <c r="O231" t="s">
        <v>10263</v>
      </c>
      <c r="P231" t="s">
        <v>12</v>
      </c>
    </row>
    <row r="232">
      <c r="A232">
        <f>HYPERLINK("http://bombeiros.sp.gov.br/hidrantes/03individual/1475.html","1475")</f>
      </c>
      <c r="B232" t="s">
        <v>623</v>
      </c>
      <c r="C232" t="s">
        <v>714</v>
      </c>
      <c r="D232" t="s">
        <v>714</v>
      </c>
      <c r="E232" t="s">
        <v>15</v>
      </c>
      <c r="F232" t="s">
        <v>10563</v>
      </c>
      <c r="G232" t="s">
        <v>18151</v>
      </c>
      <c r="H232" t="s">
        <v>1174</v>
      </c>
      <c r="I232" t="s">
        <v>1117</v>
      </c>
      <c r="J232" t="s">
        <v>10564</v>
      </c>
      <c r="K232" t="s">
        <v>10565</v>
      </c>
      <c r="L232" t="s">
        <v>21</v>
      </c>
      <c r="M232" t="s">
        <v>19177</v>
      </c>
      <c r="N232" t="s">
        <v>714</v>
      </c>
      <c r="O232" t="s">
        <v>10263</v>
      </c>
      <c r="P232" t="s">
        <v>12</v>
      </c>
    </row>
    <row r="233">
      <c r="A233">
        <f>HYPERLINK("http://bombeiros.sp.gov.br/hidrantes/03individual/1580.html","1580")</f>
      </c>
      <c r="B233" t="s">
        <v>623</v>
      </c>
      <c r="C233" t="s">
        <v>714</v>
      </c>
      <c r="D233" t="s">
        <v>714</v>
      </c>
      <c r="E233" t="s">
        <v>15</v>
      </c>
      <c r="F233" t="s">
        <v>10586</v>
      </c>
      <c r="G233" t="s">
        <v>18151</v>
      </c>
      <c r="H233" t="s">
        <v>1174</v>
      </c>
      <c r="I233" t="s">
        <v>1117</v>
      </c>
      <c r="J233" t="s">
        <v>16759</v>
      </c>
      <c r="K233" t="s">
        <v>16760</v>
      </c>
      <c r="L233" t="s">
        <v>21</v>
      </c>
      <c r="M233" t="s">
        <v>19177</v>
      </c>
      <c r="N233" t="s">
        <v>714</v>
      </c>
      <c r="O233" t="s">
        <v>10263</v>
      </c>
      <c r="P233" t="s">
        <v>12</v>
      </c>
    </row>
    <row r="234">
      <c r="A234">
        <f>HYPERLINK("http://bombeiros.sp.gov.br/hidrantes/03individual/2234.html","2234")</f>
      </c>
      <c r="B234" t="s">
        <v>623</v>
      </c>
      <c r="C234" t="s">
        <v>714</v>
      </c>
      <c r="D234" t="s">
        <v>714</v>
      </c>
      <c r="E234" t="s">
        <v>15</v>
      </c>
      <c r="F234" t="s">
        <v>10628</v>
      </c>
      <c r="G234" t="s">
        <v>17927</v>
      </c>
      <c r="H234" t="s">
        <v>1112</v>
      </c>
      <c r="I234" t="s">
        <v>1108</v>
      </c>
      <c r="J234" t="s">
        <v>10629</v>
      </c>
      <c r="K234" t="s">
        <v>10630</v>
      </c>
      <c r="L234" t="s">
        <v>21</v>
      </c>
      <c r="M234" t="s">
        <v>19177</v>
      </c>
      <c r="N234" t="s">
        <v>714</v>
      </c>
      <c r="O234" t="s">
        <v>10263</v>
      </c>
      <c r="P234" t="s">
        <v>12</v>
      </c>
    </row>
    <row r="235">
      <c r="A235">
        <f>HYPERLINK("http://bombeiros.sp.gov.br/hidrantes/03individual/2250.html","2250")</f>
      </c>
      <c r="B235" t="s">
        <v>623</v>
      </c>
      <c r="C235" t="s">
        <v>714</v>
      </c>
      <c r="D235" t="s">
        <v>714</v>
      </c>
      <c r="E235" t="s">
        <v>15</v>
      </c>
      <c r="F235" t="s">
        <v>10640</v>
      </c>
      <c r="G235" t="s">
        <v>18090</v>
      </c>
      <c r="H235" t="s">
        <v>1112</v>
      </c>
      <c r="I235" t="s">
        <v>1108</v>
      </c>
      <c r="J235" t="s">
        <v>10641</v>
      </c>
      <c r="K235" t="s">
        <v>10642</v>
      </c>
      <c r="L235" t="s">
        <v>21</v>
      </c>
      <c r="M235" t="s">
        <v>19177</v>
      </c>
      <c r="N235" t="s">
        <v>714</v>
      </c>
      <c r="O235" t="s">
        <v>10263</v>
      </c>
      <c r="P235" t="s">
        <v>12</v>
      </c>
    </row>
    <row r="236">
      <c r="A236">
        <f>HYPERLINK("http://bombeiros.sp.gov.br/hidrantes/03individual/1059.html","1059")</f>
      </c>
      <c r="B236" t="s">
        <v>623</v>
      </c>
      <c r="C236" t="s">
        <v>714</v>
      </c>
      <c r="D236" t="s">
        <v>10655</v>
      </c>
      <c r="E236" t="s">
        <v>15</v>
      </c>
      <c r="F236" t="s">
        <v>10668</v>
      </c>
      <c r="G236" t="s">
        <v>17951</v>
      </c>
      <c r="H236" t="s">
        <v>1174</v>
      </c>
      <c r="I236" t="s">
        <v>1117</v>
      </c>
      <c r="J236" t="s">
        <v>10669</v>
      </c>
      <c r="K236" t="s">
        <v>10670</v>
      </c>
      <c r="L236" t="s">
        <v>21</v>
      </c>
      <c r="M236" t="s">
        <v>19177</v>
      </c>
      <c r="N236" t="s">
        <v>714</v>
      </c>
      <c r="O236" t="s">
        <v>10263</v>
      </c>
      <c r="P236" t="s">
        <v>12</v>
      </c>
    </row>
    <row r="237">
      <c r="A237">
        <f>HYPERLINK("http://bombeiros.sp.gov.br/hidrantes/03individual/1065.html","1065")</f>
      </c>
      <c r="B237" t="s">
        <v>623</v>
      </c>
      <c r="C237" t="s">
        <v>714</v>
      </c>
      <c r="D237" t="s">
        <v>10655</v>
      </c>
      <c r="E237" t="s">
        <v>15</v>
      </c>
      <c r="F237" t="s">
        <v>10674</v>
      </c>
      <c r="G237" t="s">
        <v>18156</v>
      </c>
      <c r="H237" t="s">
        <v>1107</v>
      </c>
      <c r="I237" t="s">
        <v>1108</v>
      </c>
      <c r="J237" t="s">
        <v>10675</v>
      </c>
      <c r="K237" t="s">
        <v>10676</v>
      </c>
      <c r="L237" t="s">
        <v>21</v>
      </c>
      <c r="M237" t="s">
        <v>19177</v>
      </c>
      <c r="N237" t="s">
        <v>714</v>
      </c>
      <c r="O237" t="s">
        <v>10263</v>
      </c>
      <c r="P237" t="s">
        <v>12</v>
      </c>
    </row>
    <row r="238">
      <c r="A238">
        <f>HYPERLINK("http://bombeiros.sp.gov.br/hidrantes/03individual/1068.html","1068")</f>
      </c>
      <c r="B238" t="s">
        <v>623</v>
      </c>
      <c r="C238" t="s">
        <v>714</v>
      </c>
      <c r="D238" t="s">
        <v>10655</v>
      </c>
      <c r="E238" t="s">
        <v>15</v>
      </c>
      <c r="F238" t="s">
        <v>10680</v>
      </c>
      <c r="G238" t="s">
        <v>18156</v>
      </c>
      <c r="H238" t="s">
        <v>1121</v>
      </c>
      <c r="I238" t="s">
        <v>1117</v>
      </c>
      <c r="J238" t="s">
        <v>10681</v>
      </c>
      <c r="K238" t="s">
        <v>10682</v>
      </c>
      <c r="L238" t="s">
        <v>21</v>
      </c>
      <c r="M238" t="s">
        <v>19177</v>
      </c>
      <c r="N238" t="s">
        <v>714</v>
      </c>
      <c r="O238" t="s">
        <v>10263</v>
      </c>
      <c r="P238" t="s">
        <v>12</v>
      </c>
    </row>
    <row r="239">
      <c r="A239">
        <f>HYPERLINK("http://bombeiros.sp.gov.br/hidrantes/03individual/1343.html","1343")</f>
      </c>
      <c r="B239" t="s">
        <v>623</v>
      </c>
      <c r="C239" t="s">
        <v>714</v>
      </c>
      <c r="D239" t="s">
        <v>10655</v>
      </c>
      <c r="E239" t="s">
        <v>15</v>
      </c>
      <c r="F239" t="s">
        <v>10689</v>
      </c>
      <c r="G239" t="s">
        <v>18156</v>
      </c>
      <c r="H239" t="s">
        <v>1112</v>
      </c>
      <c r="I239" t="s">
        <v>1108</v>
      </c>
      <c r="J239" t="s">
        <v>10690</v>
      </c>
      <c r="K239" t="s">
        <v>10691</v>
      </c>
      <c r="L239" t="s">
        <v>21</v>
      </c>
      <c r="M239" t="s">
        <v>19177</v>
      </c>
      <c r="N239" t="s">
        <v>714</v>
      </c>
      <c r="O239" t="s">
        <v>10263</v>
      </c>
      <c r="P239" t="s">
        <v>12</v>
      </c>
    </row>
    <row r="240">
      <c r="A240">
        <f>HYPERLINK("http://bombeiros.sp.gov.br/hidrantes/03individual/2120.html","2120")</f>
      </c>
      <c r="B240" t="s">
        <v>623</v>
      </c>
      <c r="C240" t="s">
        <v>714</v>
      </c>
      <c r="D240" t="s">
        <v>10655</v>
      </c>
      <c r="E240" t="s">
        <v>15</v>
      </c>
      <c r="F240" t="s">
        <v>10692</v>
      </c>
      <c r="G240" t="s">
        <v>17949</v>
      </c>
      <c r="H240" t="s">
        <v>1112</v>
      </c>
      <c r="I240" t="s">
        <v>1108</v>
      </c>
      <c r="J240" t="s">
        <v>10693</v>
      </c>
      <c r="K240" t="s">
        <v>10694</v>
      </c>
      <c r="L240" t="s">
        <v>21</v>
      </c>
      <c r="M240" t="s">
        <v>19177</v>
      </c>
      <c r="N240" t="s">
        <v>714</v>
      </c>
      <c r="O240" t="s">
        <v>10263</v>
      </c>
      <c r="P240" t="s">
        <v>12</v>
      </c>
    </row>
    <row r="241">
      <c r="A241">
        <f>HYPERLINK("http://bombeiros.sp.gov.br/hidrantes/03individual/2279.html","2279")</f>
      </c>
      <c r="B241" t="s">
        <v>623</v>
      </c>
      <c r="C241" t="s">
        <v>714</v>
      </c>
      <c r="D241" t="s">
        <v>10655</v>
      </c>
      <c r="E241" t="s">
        <v>15</v>
      </c>
      <c r="F241" t="s">
        <v>10704</v>
      </c>
      <c r="G241" t="s">
        <v>18129</v>
      </c>
      <c r="H241" t="s">
        <v>1112</v>
      </c>
      <c r="I241" t="s">
        <v>1108</v>
      </c>
      <c r="J241" t="s">
        <v>10705</v>
      </c>
      <c r="K241" t="s">
        <v>10706</v>
      </c>
      <c r="L241" t="s">
        <v>36</v>
      </c>
      <c r="M241" t="s">
        <v>19177</v>
      </c>
      <c r="N241" t="s">
        <v>714</v>
      </c>
      <c r="O241" t="s">
        <v>10263</v>
      </c>
      <c r="P241" t="s">
        <v>12</v>
      </c>
    </row>
    <row r="242">
      <c r="A242">
        <f>HYPERLINK("http://bombeiros.sp.gov.br/hidrantes/03individual/1060.html","1060")</f>
      </c>
      <c r="B242" t="s">
        <v>623</v>
      </c>
      <c r="C242" t="s">
        <v>714</v>
      </c>
      <c r="D242" t="s">
        <v>732</v>
      </c>
      <c r="E242" t="s">
        <v>15</v>
      </c>
      <c r="F242" t="s">
        <v>10723</v>
      </c>
      <c r="G242" t="s">
        <v>18110</v>
      </c>
      <c r="H242" t="s">
        <v>1112</v>
      </c>
      <c r="I242" t="s">
        <v>1108</v>
      </c>
      <c r="J242" t="s">
        <v>10725</v>
      </c>
      <c r="K242" t="s">
        <v>10726</v>
      </c>
      <c r="L242" t="s">
        <v>21</v>
      </c>
      <c r="M242" t="s">
        <v>19177</v>
      </c>
      <c r="N242" t="s">
        <v>714</v>
      </c>
      <c r="O242" t="s">
        <v>10263</v>
      </c>
      <c r="P242" t="s">
        <v>12</v>
      </c>
    </row>
    <row r="243">
      <c r="A243">
        <f>HYPERLINK("http://bombeiros.sp.gov.br/hidrantes/03individual/1072.html","1072")</f>
      </c>
      <c r="B243" t="s">
        <v>623</v>
      </c>
      <c r="C243" t="s">
        <v>714</v>
      </c>
      <c r="D243" t="s">
        <v>732</v>
      </c>
      <c r="E243" t="s">
        <v>15</v>
      </c>
      <c r="F243" t="s">
        <v>10730</v>
      </c>
      <c r="G243" t="s">
        <v>17942</v>
      </c>
      <c r="H243" t="s">
        <v>1112</v>
      </c>
      <c r="I243" t="s">
        <v>1108</v>
      </c>
      <c r="J243" t="s">
        <v>10731</v>
      </c>
      <c r="K243" t="s">
        <v>10732</v>
      </c>
      <c r="L243" t="s">
        <v>21</v>
      </c>
      <c r="M243" t="s">
        <v>19177</v>
      </c>
      <c r="N243" t="s">
        <v>714</v>
      </c>
      <c r="O243" t="s">
        <v>10263</v>
      </c>
      <c r="P243" t="s">
        <v>12</v>
      </c>
    </row>
    <row r="244">
      <c r="A244">
        <f>HYPERLINK("http://bombeiros.sp.gov.br/hidrantes/03individual/1154.html","1154")</f>
      </c>
      <c r="B244" t="s">
        <v>623</v>
      </c>
      <c r="C244" t="s">
        <v>714</v>
      </c>
      <c r="D244" t="s">
        <v>737</v>
      </c>
      <c r="E244" t="s">
        <v>15</v>
      </c>
      <c r="F244" t="s">
        <v>10769</v>
      </c>
      <c r="G244" t="s">
        <v>18157</v>
      </c>
      <c r="H244" t="s">
        <v>1112</v>
      </c>
      <c r="I244" t="s">
        <v>1108</v>
      </c>
      <c r="J244" t="s">
        <v>18920</v>
      </c>
      <c r="K244" t="s">
        <v>18921</v>
      </c>
      <c r="L244" t="s">
        <v>21</v>
      </c>
      <c r="M244" t="s">
        <v>19177</v>
      </c>
      <c r="N244" t="s">
        <v>714</v>
      </c>
      <c r="O244" t="s">
        <v>10263</v>
      </c>
      <c r="P244" t="s">
        <v>12</v>
      </c>
    </row>
    <row r="245">
      <c r="A245">
        <f>HYPERLINK("http://bombeiros.sp.gov.br/hidrantes/03individual/2199.html","2199")</f>
      </c>
      <c r="B245" t="s">
        <v>623</v>
      </c>
      <c r="C245" t="s">
        <v>714</v>
      </c>
      <c r="D245" t="s">
        <v>737</v>
      </c>
      <c r="E245" t="s">
        <v>15</v>
      </c>
      <c r="F245" t="s">
        <v>10805</v>
      </c>
      <c r="G245" t="s">
        <v>17588</v>
      </c>
      <c r="H245" t="s">
        <v>1112</v>
      </c>
      <c r="I245" t="s">
        <v>1108</v>
      </c>
      <c r="J245" t="s">
        <v>18922</v>
      </c>
      <c r="K245" t="s">
        <v>18923</v>
      </c>
      <c r="L245" t="s">
        <v>21</v>
      </c>
      <c r="M245" t="s">
        <v>19177</v>
      </c>
      <c r="N245" t="s">
        <v>714</v>
      </c>
      <c r="O245" t="s">
        <v>10263</v>
      </c>
      <c r="P245" t="s">
        <v>12</v>
      </c>
    </row>
    <row r="246">
      <c r="A246">
        <f>HYPERLINK("http://bombeiros.sp.gov.br/hidrantes/03individual/16320.html","16320")</f>
      </c>
      <c r="B246" t="s">
        <v>623</v>
      </c>
      <c r="C246" t="s">
        <v>714</v>
      </c>
      <c r="D246" t="s">
        <v>737</v>
      </c>
      <c r="E246" t="s">
        <v>15</v>
      </c>
      <c r="F246" t="s">
        <v>10823</v>
      </c>
      <c r="G246" t="s">
        <v>17728</v>
      </c>
      <c r="H246" t="s">
        <v>1121</v>
      </c>
      <c r="I246" t="s">
        <v>1117</v>
      </c>
      <c r="J246" t="s">
        <v>10824</v>
      </c>
      <c r="K246" t="s">
        <v>10825</v>
      </c>
      <c r="L246" t="s">
        <v>21</v>
      </c>
      <c r="M246" t="s">
        <v>19177</v>
      </c>
      <c r="N246" t="s">
        <v>714</v>
      </c>
      <c r="O246" t="s">
        <v>10263</v>
      </c>
      <c r="P246" t="s">
        <v>12</v>
      </c>
    </row>
    <row r="247">
      <c r="A247">
        <f>HYPERLINK("http://bombeiros.sp.gov.br/hidrantes/03individual/17761.html","17761")</f>
      </c>
      <c r="B247" t="s">
        <v>623</v>
      </c>
      <c r="C247" t="s">
        <v>742</v>
      </c>
      <c r="D247" t="s">
        <v>751</v>
      </c>
      <c r="E247" t="s">
        <v>15</v>
      </c>
      <c r="F247" t="s">
        <v>10880</v>
      </c>
      <c r="G247" t="s">
        <v>18076</v>
      </c>
      <c r="H247" t="s">
        <v>1107</v>
      </c>
      <c r="I247" t="s">
        <v>1108</v>
      </c>
      <c r="J247" t="s">
        <v>10881</v>
      </c>
      <c r="K247" t="s">
        <v>10882</v>
      </c>
      <c r="L247" t="s">
        <v>21</v>
      </c>
      <c r="M247" t="s">
        <v>19177</v>
      </c>
      <c r="N247" t="s">
        <v>16375</v>
      </c>
      <c r="O247" t="s">
        <v>640</v>
      </c>
      <c r="P247" t="s">
        <v>623</v>
      </c>
    </row>
    <row r="248">
      <c r="A248">
        <f>HYPERLINK("http://bombeiros.sp.gov.br/hidrantes/03individual/1271.html","1271")</f>
      </c>
      <c r="B248" t="s">
        <v>623</v>
      </c>
      <c r="C248" t="s">
        <v>742</v>
      </c>
      <c r="D248" t="s">
        <v>742</v>
      </c>
      <c r="E248" t="s">
        <v>15</v>
      </c>
      <c r="F248" t="s">
        <v>10898</v>
      </c>
      <c r="G248" t="s">
        <v>17965</v>
      </c>
      <c r="H248" t="s">
        <v>1107</v>
      </c>
      <c r="I248" t="s">
        <v>1108</v>
      </c>
      <c r="J248" t="s">
        <v>10899</v>
      </c>
      <c r="K248" t="s">
        <v>10900</v>
      </c>
      <c r="L248" t="s">
        <v>21</v>
      </c>
      <c r="M248" t="s">
        <v>19177</v>
      </c>
      <c r="N248" t="s">
        <v>16375</v>
      </c>
      <c r="O248" t="s">
        <v>640</v>
      </c>
      <c r="P248" t="s">
        <v>623</v>
      </c>
    </row>
    <row r="249">
      <c r="A249">
        <f>HYPERLINK("http://bombeiros.sp.gov.br/hidrantes/03individual/2266.html","2266")</f>
      </c>
      <c r="B249" t="s">
        <v>623</v>
      </c>
      <c r="C249" t="s">
        <v>742</v>
      </c>
      <c r="D249" t="s">
        <v>742</v>
      </c>
      <c r="E249" t="s">
        <v>15</v>
      </c>
      <c r="F249" t="s">
        <v>10901</v>
      </c>
      <c r="G249" t="s">
        <v>18158</v>
      </c>
      <c r="H249" t="s">
        <v>1112</v>
      </c>
      <c r="I249" t="s">
        <v>1108</v>
      </c>
      <c r="J249" t="s">
        <v>10902</v>
      </c>
      <c r="K249" t="s">
        <v>10903</v>
      </c>
      <c r="L249" t="s">
        <v>21</v>
      </c>
      <c r="M249" t="s">
        <v>19177</v>
      </c>
      <c r="N249" t="s">
        <v>16375</v>
      </c>
      <c r="O249" t="s">
        <v>640</v>
      </c>
      <c r="P249" t="s">
        <v>623</v>
      </c>
    </row>
    <row r="250">
      <c r="A250">
        <f>HYPERLINK("http://bombeiros.sp.gov.br/hidrantes/03individual/2925.html","2925")</f>
      </c>
      <c r="B250" t="s">
        <v>623</v>
      </c>
      <c r="C250" t="s">
        <v>773</v>
      </c>
      <c r="D250" t="s">
        <v>10943</v>
      </c>
      <c r="E250" t="s">
        <v>15</v>
      </c>
      <c r="F250" t="s">
        <v>10959</v>
      </c>
      <c r="G250" t="s">
        <v>17934</v>
      </c>
      <c r="H250" t="s">
        <v>1174</v>
      </c>
      <c r="I250" t="s">
        <v>1108</v>
      </c>
      <c r="J250" t="s">
        <v>10960</v>
      </c>
      <c r="K250" t="s">
        <v>10961</v>
      </c>
      <c r="L250" t="s">
        <v>21</v>
      </c>
      <c r="M250" t="s">
        <v>19177</v>
      </c>
      <c r="N250" t="s">
        <v>714</v>
      </c>
      <c r="O250" t="s">
        <v>10263</v>
      </c>
      <c r="P250" t="s">
        <v>12</v>
      </c>
    </row>
    <row r="251">
      <c r="A251">
        <f>HYPERLINK("http://bombeiros.sp.gov.br/hidrantes/03individual/4283.html","4283")</f>
      </c>
      <c r="B251" t="s">
        <v>623</v>
      </c>
      <c r="C251" t="s">
        <v>773</v>
      </c>
      <c r="D251" t="s">
        <v>10943</v>
      </c>
      <c r="E251" t="s">
        <v>15</v>
      </c>
      <c r="F251" t="s">
        <v>10965</v>
      </c>
      <c r="G251" t="s">
        <v>18159</v>
      </c>
      <c r="H251" t="s">
        <v>1112</v>
      </c>
      <c r="I251" t="s">
        <v>1108</v>
      </c>
      <c r="J251" t="s">
        <v>10966</v>
      </c>
      <c r="K251" t="s">
        <v>10967</v>
      </c>
      <c r="L251" t="s">
        <v>21</v>
      </c>
      <c r="M251" t="s">
        <v>19177</v>
      </c>
      <c r="N251" t="s">
        <v>714</v>
      </c>
      <c r="O251" t="s">
        <v>10263</v>
      </c>
      <c r="P251" t="s">
        <v>12</v>
      </c>
    </row>
    <row r="252">
      <c r="A252">
        <f>HYPERLINK("http://bombeiros.sp.gov.br/hidrantes/03individual/2206.html","2206")</f>
      </c>
      <c r="B252" t="s">
        <v>623</v>
      </c>
      <c r="C252" t="s">
        <v>773</v>
      </c>
      <c r="D252" t="s">
        <v>773</v>
      </c>
      <c r="E252" t="s">
        <v>15</v>
      </c>
      <c r="F252" t="s">
        <v>10992</v>
      </c>
      <c r="G252" t="s">
        <v>18160</v>
      </c>
      <c r="H252" t="s">
        <v>1112</v>
      </c>
      <c r="I252" t="s">
        <v>1108</v>
      </c>
      <c r="J252" t="s">
        <v>10993</v>
      </c>
      <c r="K252" t="s">
        <v>10994</v>
      </c>
      <c r="L252" t="s">
        <v>21</v>
      </c>
      <c r="M252" t="s">
        <v>19177</v>
      </c>
      <c r="N252" t="s">
        <v>714</v>
      </c>
      <c r="O252" t="s">
        <v>10263</v>
      </c>
      <c r="P252" t="s">
        <v>12</v>
      </c>
    </row>
    <row r="253">
      <c r="A253">
        <f>HYPERLINK("http://bombeiros.sp.gov.br/hidrantes/03individual/2211.html","2211")</f>
      </c>
      <c r="B253" t="s">
        <v>623</v>
      </c>
      <c r="C253" t="s">
        <v>773</v>
      </c>
      <c r="D253" t="s">
        <v>773</v>
      </c>
      <c r="E253" t="s">
        <v>15</v>
      </c>
      <c r="F253" t="s">
        <v>10995</v>
      </c>
      <c r="G253" t="s">
        <v>18160</v>
      </c>
      <c r="H253" t="s">
        <v>1121</v>
      </c>
      <c r="I253" t="s">
        <v>1117</v>
      </c>
      <c r="J253" t="s">
        <v>10996</v>
      </c>
      <c r="K253" t="s">
        <v>10997</v>
      </c>
      <c r="L253" t="s">
        <v>21</v>
      </c>
      <c r="M253" t="s">
        <v>19177</v>
      </c>
      <c r="N253" t="s">
        <v>714</v>
      </c>
      <c r="O253" t="s">
        <v>10263</v>
      </c>
      <c r="P253" t="s">
        <v>12</v>
      </c>
    </row>
    <row r="254">
      <c r="A254">
        <f>HYPERLINK("http://bombeiros.sp.gov.br/hidrantes/03individual/2709.html","2709")</f>
      </c>
      <c r="B254" t="s">
        <v>623</v>
      </c>
      <c r="C254" t="s">
        <v>773</v>
      </c>
      <c r="D254" t="s">
        <v>11031</v>
      </c>
      <c r="E254" t="s">
        <v>15</v>
      </c>
      <c r="F254" t="s">
        <v>11065</v>
      </c>
      <c r="G254" t="s">
        <v>18114</v>
      </c>
      <c r="H254" t="s">
        <v>1107</v>
      </c>
      <c r="I254" t="s">
        <v>1108</v>
      </c>
      <c r="J254" t="s">
        <v>11066</v>
      </c>
      <c r="K254" t="s">
        <v>11067</v>
      </c>
      <c r="L254" t="s">
        <v>21</v>
      </c>
      <c r="M254" t="s">
        <v>19177</v>
      </c>
      <c r="N254" t="s">
        <v>714</v>
      </c>
      <c r="O254" t="s">
        <v>10263</v>
      </c>
      <c r="P254" t="s">
        <v>12</v>
      </c>
    </row>
    <row r="255">
      <c r="A255">
        <f>HYPERLINK("http://bombeiros.sp.gov.br/hidrantes/03individual/1945.html","1945")</f>
      </c>
      <c r="B255" t="s">
        <v>623</v>
      </c>
      <c r="C255" t="s">
        <v>773</v>
      </c>
      <c r="D255" t="s">
        <v>11074</v>
      </c>
      <c r="E255" t="s">
        <v>15</v>
      </c>
      <c r="F255" t="s">
        <v>11084</v>
      </c>
      <c r="G255" t="s">
        <v>18157</v>
      </c>
      <c r="H255" t="s">
        <v>1112</v>
      </c>
      <c r="I255" t="s">
        <v>1108</v>
      </c>
      <c r="J255" t="s">
        <v>11085</v>
      </c>
      <c r="K255" t="s">
        <v>11086</v>
      </c>
      <c r="L255" t="s">
        <v>21</v>
      </c>
      <c r="M255" t="s">
        <v>19177</v>
      </c>
      <c r="N255" t="s">
        <v>714</v>
      </c>
      <c r="O255" t="s">
        <v>10263</v>
      </c>
      <c r="P255" t="s">
        <v>12</v>
      </c>
    </row>
    <row r="256">
      <c r="A256">
        <f>HYPERLINK("http://bombeiros.sp.gov.br/hidrantes/03individual/1903.html","1903")</f>
      </c>
      <c r="B256" t="s">
        <v>623</v>
      </c>
      <c r="C256" t="s">
        <v>777</v>
      </c>
      <c r="D256" t="s">
        <v>783</v>
      </c>
      <c r="E256" t="s">
        <v>15</v>
      </c>
      <c r="F256" t="s">
        <v>11236</v>
      </c>
      <c r="G256" t="s">
        <v>18096</v>
      </c>
      <c r="H256" t="s">
        <v>1121</v>
      </c>
      <c r="I256" t="s">
        <v>1117</v>
      </c>
      <c r="J256" t="s">
        <v>11237</v>
      </c>
      <c r="K256" t="s">
        <v>11238</v>
      </c>
      <c r="L256" t="s">
        <v>21</v>
      </c>
      <c r="M256" t="s">
        <v>19177</v>
      </c>
      <c r="N256" t="s">
        <v>714</v>
      </c>
      <c r="O256" t="s">
        <v>10263</v>
      </c>
      <c r="P256" t="s">
        <v>12</v>
      </c>
    </row>
    <row r="257">
      <c r="A257">
        <f>HYPERLINK("http://bombeiros.sp.gov.br/hidrantes/03individual/2229.html","2229")</f>
      </c>
      <c r="B257" t="s">
        <v>623</v>
      </c>
      <c r="C257" t="s">
        <v>777</v>
      </c>
      <c r="D257" t="s">
        <v>793</v>
      </c>
      <c r="E257" t="s">
        <v>15</v>
      </c>
      <c r="F257" t="s">
        <v>11330</v>
      </c>
      <c r="G257" t="s">
        <v>18085</v>
      </c>
      <c r="H257" t="s">
        <v>1121</v>
      </c>
      <c r="I257" t="s">
        <v>1117</v>
      </c>
      <c r="J257" t="s">
        <v>11331</v>
      </c>
      <c r="K257" t="s">
        <v>11332</v>
      </c>
      <c r="L257" t="s">
        <v>21</v>
      </c>
      <c r="M257" t="s">
        <v>19177</v>
      </c>
      <c r="N257" t="s">
        <v>714</v>
      </c>
      <c r="O257" t="s">
        <v>10263</v>
      </c>
      <c r="P257" t="s">
        <v>12</v>
      </c>
    </row>
    <row r="258">
      <c r="A258">
        <f>HYPERLINK("http://bombeiros.sp.gov.br/hidrantes/03individual/16576.html","16576")</f>
      </c>
      <c r="B258" t="s">
        <v>623</v>
      </c>
      <c r="C258" t="s">
        <v>777</v>
      </c>
      <c r="D258" t="s">
        <v>793</v>
      </c>
      <c r="E258" t="s">
        <v>15</v>
      </c>
      <c r="F258" t="s">
        <v>11360</v>
      </c>
      <c r="G258" t="s">
        <v>18143</v>
      </c>
      <c r="H258" t="s">
        <v>1121</v>
      </c>
      <c r="I258" t="s">
        <v>1117</v>
      </c>
      <c r="J258" t="s">
        <v>11361</v>
      </c>
      <c r="K258" t="s">
        <v>11362</v>
      </c>
      <c r="L258" t="s">
        <v>21</v>
      </c>
      <c r="M258" t="s">
        <v>19177</v>
      </c>
      <c r="N258" t="s">
        <v>714</v>
      </c>
      <c r="O258" t="s">
        <v>10263</v>
      </c>
      <c r="P258" t="s">
        <v>12</v>
      </c>
    </row>
    <row r="259">
      <c r="A259">
        <f>HYPERLINK("http://bombeiros.sp.gov.br/hidrantes/03individual/4230.html","4230")</f>
      </c>
      <c r="B259" t="s">
        <v>623</v>
      </c>
      <c r="C259" t="s">
        <v>802</v>
      </c>
      <c r="D259" t="s">
        <v>803</v>
      </c>
      <c r="E259" t="s">
        <v>15</v>
      </c>
      <c r="F259" t="s">
        <v>11440</v>
      </c>
      <c r="G259" t="s">
        <v>18062</v>
      </c>
      <c r="H259" t="s">
        <v>1174</v>
      </c>
      <c r="I259" t="s">
        <v>1117</v>
      </c>
      <c r="J259" t="s">
        <v>11441</v>
      </c>
      <c r="K259" t="s">
        <v>11442</v>
      </c>
      <c r="L259" t="s">
        <v>21</v>
      </c>
      <c r="M259" t="s">
        <v>19177</v>
      </c>
      <c r="N259" t="s">
        <v>16375</v>
      </c>
      <c r="O259" t="s">
        <v>640</v>
      </c>
      <c r="P259" t="s">
        <v>623</v>
      </c>
    </row>
    <row r="260">
      <c r="A260">
        <f>HYPERLINK("http://bombeiros.sp.gov.br/hidrantes/03individual/1243.html","1243")</f>
      </c>
      <c r="B260" t="s">
        <v>623</v>
      </c>
      <c r="C260" t="s">
        <v>802</v>
      </c>
      <c r="D260" t="s">
        <v>807</v>
      </c>
      <c r="E260" t="s">
        <v>15</v>
      </c>
      <c r="F260" t="s">
        <v>11449</v>
      </c>
      <c r="G260" t="s">
        <v>18084</v>
      </c>
      <c r="H260" t="s">
        <v>1112</v>
      </c>
      <c r="I260" t="s">
        <v>1108</v>
      </c>
      <c r="J260" t="s">
        <v>11450</v>
      </c>
      <c r="K260" t="s">
        <v>11451</v>
      </c>
      <c r="L260" t="s">
        <v>21</v>
      </c>
      <c r="M260" t="s">
        <v>19177</v>
      </c>
      <c r="N260" t="s">
        <v>16375</v>
      </c>
      <c r="O260" t="s">
        <v>640</v>
      </c>
      <c r="P260" t="s">
        <v>623</v>
      </c>
    </row>
    <row r="261">
      <c r="A261">
        <f>HYPERLINK("http://bombeiros.sp.gov.br/hidrantes/03individual/1245.html","1245")</f>
      </c>
      <c r="B261" t="s">
        <v>623</v>
      </c>
      <c r="C261" t="s">
        <v>802</v>
      </c>
      <c r="D261" t="s">
        <v>807</v>
      </c>
      <c r="E261" t="s">
        <v>15</v>
      </c>
      <c r="F261" t="s">
        <v>808</v>
      </c>
      <c r="G261" t="s">
        <v>18062</v>
      </c>
      <c r="H261" t="s">
        <v>1121</v>
      </c>
      <c r="I261" t="s">
        <v>1117</v>
      </c>
      <c r="J261" t="s">
        <v>809</v>
      </c>
      <c r="K261" t="s">
        <v>810</v>
      </c>
      <c r="L261" t="s">
        <v>21</v>
      </c>
      <c r="M261" t="s">
        <v>19177</v>
      </c>
      <c r="N261" t="s">
        <v>16375</v>
      </c>
      <c r="O261" t="s">
        <v>640</v>
      </c>
      <c r="P261" t="s">
        <v>623</v>
      </c>
    </row>
    <row r="262">
      <c r="A262">
        <f>HYPERLINK("http://bombeiros.sp.gov.br/hidrantes/03individual/17767.html","17767")</f>
      </c>
      <c r="B262" t="s">
        <v>623</v>
      </c>
      <c r="C262" t="s">
        <v>802</v>
      </c>
      <c r="D262" t="s">
        <v>807</v>
      </c>
      <c r="E262" t="s">
        <v>15</v>
      </c>
      <c r="F262" t="s">
        <v>11458</v>
      </c>
      <c r="G262" t="s">
        <v>18084</v>
      </c>
      <c r="H262" t="s">
        <v>1121</v>
      </c>
      <c r="I262" t="s">
        <v>1117</v>
      </c>
      <c r="J262" t="s">
        <v>11459</v>
      </c>
      <c r="K262" t="s">
        <v>11460</v>
      </c>
      <c r="L262" t="s">
        <v>21</v>
      </c>
      <c r="M262" t="s">
        <v>19177</v>
      </c>
      <c r="N262" t="s">
        <v>16375</v>
      </c>
      <c r="O262" t="s">
        <v>640</v>
      </c>
      <c r="P262" t="s">
        <v>623</v>
      </c>
    </row>
    <row r="263">
      <c r="A263">
        <f>HYPERLINK("http://bombeiros.sp.gov.br/hidrantes/03individual/17768.html","17768")</f>
      </c>
      <c r="B263" t="s">
        <v>623</v>
      </c>
      <c r="C263" t="s">
        <v>802</v>
      </c>
      <c r="D263" t="s">
        <v>807</v>
      </c>
      <c r="E263" t="s">
        <v>15</v>
      </c>
      <c r="F263" t="s">
        <v>11461</v>
      </c>
      <c r="G263" t="s">
        <v>18084</v>
      </c>
      <c r="H263" t="s">
        <v>1121</v>
      </c>
      <c r="I263" t="s">
        <v>1117</v>
      </c>
      <c r="J263" t="s">
        <v>11462</v>
      </c>
      <c r="K263" t="s">
        <v>11463</v>
      </c>
      <c r="L263" t="s">
        <v>21</v>
      </c>
      <c r="M263" t="s">
        <v>19177</v>
      </c>
      <c r="N263" t="s">
        <v>16375</v>
      </c>
      <c r="O263" t="s">
        <v>640</v>
      </c>
      <c r="P263" t="s">
        <v>623</v>
      </c>
    </row>
    <row r="264">
      <c r="A264">
        <f>HYPERLINK("http://bombeiros.sp.gov.br/hidrantes/03individual/17808.html","17808")</f>
      </c>
      <c r="B264" t="s">
        <v>623</v>
      </c>
      <c r="C264" t="s">
        <v>802</v>
      </c>
      <c r="D264" t="s">
        <v>807</v>
      </c>
      <c r="E264" t="s">
        <v>15</v>
      </c>
      <c r="F264" t="s">
        <v>11464</v>
      </c>
      <c r="G264" t="s">
        <v>18084</v>
      </c>
      <c r="H264" t="s">
        <v>1112</v>
      </c>
      <c r="I264" t="s">
        <v>1108</v>
      </c>
      <c r="J264" t="s">
        <v>11465</v>
      </c>
      <c r="K264" t="s">
        <v>11466</v>
      </c>
      <c r="L264" t="s">
        <v>21</v>
      </c>
      <c r="M264" t="s">
        <v>19177</v>
      </c>
      <c r="N264" t="s">
        <v>16375</v>
      </c>
      <c r="O264" t="s">
        <v>640</v>
      </c>
      <c r="P264" t="s">
        <v>623</v>
      </c>
    </row>
    <row r="265">
      <c r="A265">
        <f>HYPERLINK("http://bombeiros.sp.gov.br/hidrantes/03individual/28045.html","28045")</f>
      </c>
      <c r="B265" t="s">
        <v>623</v>
      </c>
      <c r="C265" t="s">
        <v>802</v>
      </c>
      <c r="D265" t="s">
        <v>807</v>
      </c>
      <c r="E265" t="s">
        <v>15</v>
      </c>
      <c r="F265" t="s">
        <v>18161</v>
      </c>
      <c r="G265" t="s">
        <v>18063</v>
      </c>
      <c r="H265" t="s">
        <v>1121</v>
      </c>
      <c r="I265" t="s">
        <v>1117</v>
      </c>
      <c r="J265" t="s">
        <v>18162</v>
      </c>
      <c r="K265" t="s">
        <v>18163</v>
      </c>
      <c r="L265" t="s">
        <v>21</v>
      </c>
      <c r="M265" t="s">
        <v>19177</v>
      </c>
      <c r="N265" t="s">
        <v>16375</v>
      </c>
      <c r="O265" t="s">
        <v>640</v>
      </c>
      <c r="P265" t="s">
        <v>623</v>
      </c>
    </row>
    <row r="266">
      <c r="A266">
        <f>HYPERLINK("http://bombeiros.sp.gov.br/hidrantes/03individual/17682.html","17682")</f>
      </c>
      <c r="B266" t="s">
        <v>623</v>
      </c>
      <c r="C266" t="s">
        <v>821</v>
      </c>
      <c r="D266" t="s">
        <v>11631</v>
      </c>
      <c r="E266" t="s">
        <v>15</v>
      </c>
      <c r="F266" t="s">
        <v>11653</v>
      </c>
      <c r="G266" t="s">
        <v>17918</v>
      </c>
      <c r="H266" t="s">
        <v>1112</v>
      </c>
      <c r="I266" t="s">
        <v>1108</v>
      </c>
      <c r="J266" t="s">
        <v>11654</v>
      </c>
      <c r="K266" t="s">
        <v>11655</v>
      </c>
      <c r="L266" t="s">
        <v>21</v>
      </c>
      <c r="M266" t="s">
        <v>19177</v>
      </c>
      <c r="N266" t="s">
        <v>714</v>
      </c>
      <c r="O266" t="s">
        <v>10263</v>
      </c>
      <c r="P266" t="s">
        <v>12</v>
      </c>
    </row>
    <row r="267">
      <c r="A267">
        <f>HYPERLINK("http://bombeiros.sp.gov.br/hidrantes/03individual/17817.html","17817")</f>
      </c>
      <c r="B267" t="s">
        <v>623</v>
      </c>
      <c r="C267" t="s">
        <v>831</v>
      </c>
      <c r="D267" t="s">
        <v>11707</v>
      </c>
      <c r="E267" t="s">
        <v>15</v>
      </c>
      <c r="F267" t="s">
        <v>11717</v>
      </c>
      <c r="G267" t="s">
        <v>18046</v>
      </c>
      <c r="H267" t="s">
        <v>1174</v>
      </c>
      <c r="I267" t="s">
        <v>1117</v>
      </c>
      <c r="J267" t="s">
        <v>11718</v>
      </c>
      <c r="K267" t="s">
        <v>11719</v>
      </c>
      <c r="L267" t="s">
        <v>21</v>
      </c>
      <c r="M267" t="s">
        <v>19177</v>
      </c>
      <c r="N267" t="s">
        <v>16375</v>
      </c>
      <c r="O267" t="s">
        <v>640</v>
      </c>
      <c r="P267" t="s">
        <v>623</v>
      </c>
    </row>
    <row r="268">
      <c r="A268">
        <f>HYPERLINK("http://bombeiros.sp.gov.br/hidrantes/03individual/1388.html","1388")</f>
      </c>
      <c r="B268" t="s">
        <v>623</v>
      </c>
      <c r="C268" t="s">
        <v>831</v>
      </c>
      <c r="D268" t="s">
        <v>831</v>
      </c>
      <c r="E268" t="s">
        <v>15</v>
      </c>
      <c r="F268" t="s">
        <v>11738</v>
      </c>
      <c r="G268" t="s">
        <v>17944</v>
      </c>
      <c r="H268" t="s">
        <v>1121</v>
      </c>
      <c r="I268" t="s">
        <v>1117</v>
      </c>
      <c r="J268" t="s">
        <v>11739</v>
      </c>
      <c r="K268" t="s">
        <v>11740</v>
      </c>
      <c r="L268" t="s">
        <v>21</v>
      </c>
      <c r="M268" t="s">
        <v>19177</v>
      </c>
      <c r="N268" t="s">
        <v>16375</v>
      </c>
      <c r="O268" t="s">
        <v>640</v>
      </c>
      <c r="P268" t="s">
        <v>623</v>
      </c>
    </row>
    <row r="269">
      <c r="A269">
        <f>HYPERLINK("http://bombeiros.sp.gov.br/hidrantes/03individual/1390.html","1390")</f>
      </c>
      <c r="B269" t="s">
        <v>623</v>
      </c>
      <c r="C269" t="s">
        <v>831</v>
      </c>
      <c r="D269" t="s">
        <v>831</v>
      </c>
      <c r="E269" t="s">
        <v>15</v>
      </c>
      <c r="F269" t="s">
        <v>11741</v>
      </c>
      <c r="G269" t="s">
        <v>18050</v>
      </c>
      <c r="H269" t="s">
        <v>1112</v>
      </c>
      <c r="I269" t="s">
        <v>1108</v>
      </c>
      <c r="J269" t="s">
        <v>11743</v>
      </c>
      <c r="K269" t="s">
        <v>11744</v>
      </c>
      <c r="L269" t="s">
        <v>21</v>
      </c>
      <c r="M269" t="s">
        <v>19177</v>
      </c>
      <c r="N269" t="s">
        <v>16375</v>
      </c>
      <c r="O269" t="s">
        <v>640</v>
      </c>
      <c r="P269" t="s">
        <v>623</v>
      </c>
    </row>
    <row r="270">
      <c r="A270">
        <f>HYPERLINK("http://bombeiros.sp.gov.br/hidrantes/03individual/2127.html","2127")</f>
      </c>
      <c r="B270" t="s">
        <v>623</v>
      </c>
      <c r="C270" t="s">
        <v>831</v>
      </c>
      <c r="D270" t="s">
        <v>831</v>
      </c>
      <c r="E270" t="s">
        <v>15</v>
      </c>
      <c r="F270" t="s">
        <v>11745</v>
      </c>
      <c r="G270" t="s">
        <v>18046</v>
      </c>
      <c r="H270" t="s">
        <v>1121</v>
      </c>
      <c r="I270" t="s">
        <v>1117</v>
      </c>
      <c r="J270" t="s">
        <v>11746</v>
      </c>
      <c r="K270" t="s">
        <v>11747</v>
      </c>
      <c r="L270" t="s">
        <v>21</v>
      </c>
      <c r="M270" t="s">
        <v>19177</v>
      </c>
      <c r="N270" t="s">
        <v>16375</v>
      </c>
      <c r="O270" t="s">
        <v>640</v>
      </c>
      <c r="P270" t="s">
        <v>623</v>
      </c>
    </row>
    <row r="271">
      <c r="A271">
        <f>HYPERLINK("http://bombeiros.sp.gov.br/hidrantes/03individual/3933.html","3933")</f>
      </c>
      <c r="B271" t="s">
        <v>842</v>
      </c>
      <c r="C271" t="s">
        <v>11775</v>
      </c>
      <c r="D271" t="s">
        <v>11775</v>
      </c>
      <c r="E271" t="s">
        <v>15</v>
      </c>
      <c r="F271" t="s">
        <v>11806</v>
      </c>
      <c r="G271" t="s">
        <v>18103</v>
      </c>
      <c r="H271" t="s">
        <v>1112</v>
      </c>
      <c r="I271" t="s">
        <v>1108</v>
      </c>
      <c r="J271" t="s">
        <v>11807</v>
      </c>
      <c r="K271" t="s">
        <v>11808</v>
      </c>
      <c r="L271" t="s">
        <v>21</v>
      </c>
      <c r="M271" t="s">
        <v>19177</v>
      </c>
      <c r="N271" t="s">
        <v>1024</v>
      </c>
      <c r="O271" t="s">
        <v>1024</v>
      </c>
      <c r="P271" t="s">
        <v>842</v>
      </c>
    </row>
    <row r="272">
      <c r="A272">
        <f>HYPERLINK("http://bombeiros.sp.gov.br/hidrantes/03individual/328.html","328")</f>
      </c>
      <c r="B272" t="s">
        <v>842</v>
      </c>
      <c r="C272" t="s">
        <v>11775</v>
      </c>
      <c r="D272" t="s">
        <v>679</v>
      </c>
      <c r="E272" t="s">
        <v>15</v>
      </c>
      <c r="F272" t="s">
        <v>11914</v>
      </c>
      <c r="G272" t="s">
        <v>18164</v>
      </c>
      <c r="H272" t="s">
        <v>1112</v>
      </c>
      <c r="I272" t="s">
        <v>1108</v>
      </c>
      <c r="J272" t="s">
        <v>11915</v>
      </c>
      <c r="K272" t="s">
        <v>11916</v>
      </c>
      <c r="L272" t="s">
        <v>21</v>
      </c>
      <c r="M272" t="s">
        <v>19177</v>
      </c>
      <c r="N272" t="s">
        <v>1024</v>
      </c>
      <c r="O272" t="s">
        <v>1024</v>
      </c>
      <c r="P272" t="s">
        <v>842</v>
      </c>
    </row>
    <row r="273">
      <c r="A273">
        <f>HYPERLINK("http://bombeiros.sp.gov.br/hidrantes/03individual/3904.html","3904")</f>
      </c>
      <c r="B273" t="s">
        <v>842</v>
      </c>
      <c r="C273" t="s">
        <v>11775</v>
      </c>
      <c r="D273" t="s">
        <v>679</v>
      </c>
      <c r="E273" t="s">
        <v>15</v>
      </c>
      <c r="F273" t="s">
        <v>11935</v>
      </c>
      <c r="G273" t="s">
        <v>18089</v>
      </c>
      <c r="H273" t="s">
        <v>1121</v>
      </c>
      <c r="I273" t="s">
        <v>1117</v>
      </c>
      <c r="J273" t="s">
        <v>16218</v>
      </c>
      <c r="K273" t="s">
        <v>16219</v>
      </c>
      <c r="L273" t="s">
        <v>21</v>
      </c>
      <c r="M273" t="s">
        <v>19177</v>
      </c>
      <c r="N273" t="s">
        <v>1024</v>
      </c>
      <c r="O273" t="s">
        <v>1024</v>
      </c>
      <c r="P273" t="s">
        <v>842</v>
      </c>
    </row>
    <row r="274">
      <c r="A274">
        <f>HYPERLINK("http://bombeiros.sp.gov.br/hidrantes/03individual/4393.html","4393")</f>
      </c>
      <c r="B274" t="s">
        <v>842</v>
      </c>
      <c r="C274" t="s">
        <v>843</v>
      </c>
      <c r="D274" t="s">
        <v>12120</v>
      </c>
      <c r="E274" t="s">
        <v>15</v>
      </c>
      <c r="F274" t="s">
        <v>12130</v>
      </c>
      <c r="G274" t="s">
        <v>18165</v>
      </c>
      <c r="H274" t="s">
        <v>1107</v>
      </c>
      <c r="I274" t="s">
        <v>1108</v>
      </c>
      <c r="J274" t="s">
        <v>12131</v>
      </c>
      <c r="K274" t="s">
        <v>12132</v>
      </c>
      <c r="L274" t="s">
        <v>21</v>
      </c>
      <c r="M274" t="s">
        <v>19177</v>
      </c>
      <c r="N274" t="s">
        <v>848</v>
      </c>
      <c r="O274" t="s">
        <v>640</v>
      </c>
      <c r="P274" t="s">
        <v>623</v>
      </c>
    </row>
    <row r="275">
      <c r="A275">
        <f>HYPERLINK("http://bombeiros.sp.gov.br/hidrantes/03individual/4152.html","4152")</f>
      </c>
      <c r="B275" t="s">
        <v>842</v>
      </c>
      <c r="C275" t="s">
        <v>852</v>
      </c>
      <c r="D275" t="s">
        <v>866</v>
      </c>
      <c r="E275" t="s">
        <v>15</v>
      </c>
      <c r="F275" t="s">
        <v>12175</v>
      </c>
      <c r="G275" t="s">
        <v>17915</v>
      </c>
      <c r="H275" t="s">
        <v>1107</v>
      </c>
      <c r="I275" t="s">
        <v>1108</v>
      </c>
      <c r="J275" t="s">
        <v>12176</v>
      </c>
      <c r="K275" t="s">
        <v>12177</v>
      </c>
      <c r="L275" t="s">
        <v>21</v>
      </c>
      <c r="M275" t="s">
        <v>19177</v>
      </c>
      <c r="N275" t="s">
        <v>848</v>
      </c>
      <c r="O275" t="s">
        <v>640</v>
      </c>
      <c r="P275" t="s">
        <v>623</v>
      </c>
    </row>
    <row r="276">
      <c r="A276">
        <f>HYPERLINK("http://bombeiros.sp.gov.br/hidrantes/03individual/17847.html","17847")</f>
      </c>
      <c r="B276" t="s">
        <v>842</v>
      </c>
      <c r="C276" t="s">
        <v>870</v>
      </c>
      <c r="D276" t="s">
        <v>12260</v>
      </c>
      <c r="E276" t="s">
        <v>15</v>
      </c>
      <c r="F276" t="s">
        <v>12297</v>
      </c>
      <c r="G276" t="s">
        <v>18518</v>
      </c>
      <c r="H276" t="s">
        <v>1112</v>
      </c>
      <c r="I276" t="s">
        <v>1108</v>
      </c>
      <c r="J276" t="s">
        <v>12298</v>
      </c>
      <c r="K276" t="s">
        <v>12299</v>
      </c>
      <c r="L276" t="s">
        <v>21</v>
      </c>
      <c r="M276" t="s">
        <v>19177</v>
      </c>
      <c r="N276" t="s">
        <v>1024</v>
      </c>
      <c r="O276" t="s">
        <v>1024</v>
      </c>
      <c r="P276" t="s">
        <v>842</v>
      </c>
    </row>
    <row r="277">
      <c r="A277">
        <f>HYPERLINK("http://bombeiros.sp.gov.br/hidrantes/03individual/17867.html","17867")</f>
      </c>
      <c r="B277" t="s">
        <v>842</v>
      </c>
      <c r="C277" t="s">
        <v>894</v>
      </c>
      <c r="D277" t="s">
        <v>12344</v>
      </c>
      <c r="E277" t="s">
        <v>15</v>
      </c>
      <c r="F277" t="s">
        <v>12366</v>
      </c>
      <c r="G277" t="s">
        <v>18154</v>
      </c>
      <c r="H277" t="s">
        <v>1112</v>
      </c>
      <c r="I277" t="s">
        <v>1108</v>
      </c>
      <c r="J277" t="s">
        <v>12367</v>
      </c>
      <c r="K277" t="s">
        <v>12368</v>
      </c>
      <c r="L277" t="s">
        <v>21</v>
      </c>
      <c r="M277" t="s">
        <v>19177</v>
      </c>
      <c r="N277" t="s">
        <v>16376</v>
      </c>
      <c r="O277" t="s">
        <v>16376</v>
      </c>
      <c r="P277" t="s">
        <v>842</v>
      </c>
    </row>
    <row r="278">
      <c r="A278">
        <f>HYPERLINK("http://bombeiros.sp.gov.br/hidrantes/03individual/2394.html","2394")</f>
      </c>
      <c r="B278" t="s">
        <v>842</v>
      </c>
      <c r="C278" t="s">
        <v>894</v>
      </c>
      <c r="D278" t="s">
        <v>899</v>
      </c>
      <c r="E278" t="s">
        <v>15</v>
      </c>
      <c r="F278" t="s">
        <v>12381</v>
      </c>
      <c r="G278" t="s">
        <v>18052</v>
      </c>
      <c r="H278" t="s">
        <v>1174</v>
      </c>
      <c r="I278" t="s">
        <v>1117</v>
      </c>
      <c r="J278" t="s">
        <v>16884</v>
      </c>
      <c r="K278" t="s">
        <v>16885</v>
      </c>
      <c r="L278" t="s">
        <v>21</v>
      </c>
      <c r="M278" t="s">
        <v>19177</v>
      </c>
      <c r="N278" t="s">
        <v>16376</v>
      </c>
      <c r="O278" t="s">
        <v>16376</v>
      </c>
      <c r="P278" t="s">
        <v>842</v>
      </c>
    </row>
    <row r="279">
      <c r="A279">
        <f>HYPERLINK("http://bombeiros.sp.gov.br/hidrantes/03individual/4220.html","4220")</f>
      </c>
      <c r="B279" t="s">
        <v>842</v>
      </c>
      <c r="C279" t="s">
        <v>894</v>
      </c>
      <c r="D279" t="s">
        <v>899</v>
      </c>
      <c r="E279" t="s">
        <v>15</v>
      </c>
      <c r="F279" t="s">
        <v>12393</v>
      </c>
      <c r="G279" t="s">
        <v>18049</v>
      </c>
      <c r="H279" t="s">
        <v>1121</v>
      </c>
      <c r="I279" t="s">
        <v>1117</v>
      </c>
      <c r="J279" t="s">
        <v>12394</v>
      </c>
      <c r="K279" t="s">
        <v>12395</v>
      </c>
      <c r="L279" t="s">
        <v>21</v>
      </c>
      <c r="M279" t="s">
        <v>19177</v>
      </c>
      <c r="N279" t="s">
        <v>16376</v>
      </c>
      <c r="O279" t="s">
        <v>16376</v>
      </c>
      <c r="P279" t="s">
        <v>842</v>
      </c>
    </row>
    <row r="280">
      <c r="A280">
        <f>HYPERLINK("http://bombeiros.sp.gov.br/hidrantes/03individual/17710.html","17710")</f>
      </c>
      <c r="B280" t="s">
        <v>842</v>
      </c>
      <c r="C280" t="s">
        <v>894</v>
      </c>
      <c r="D280" t="s">
        <v>899</v>
      </c>
      <c r="E280" t="s">
        <v>15</v>
      </c>
      <c r="F280" t="s">
        <v>12399</v>
      </c>
      <c r="G280" t="s">
        <v>18052</v>
      </c>
      <c r="H280" t="s">
        <v>1112</v>
      </c>
      <c r="I280" t="s">
        <v>1108</v>
      </c>
      <c r="J280" t="s">
        <v>12400</v>
      </c>
      <c r="K280" t="s">
        <v>12401</v>
      </c>
      <c r="L280" t="s">
        <v>21</v>
      </c>
      <c r="M280" t="s">
        <v>19177</v>
      </c>
      <c r="N280" t="s">
        <v>16376</v>
      </c>
      <c r="O280" t="s">
        <v>16376</v>
      </c>
      <c r="P280" t="s">
        <v>842</v>
      </c>
    </row>
    <row r="281">
      <c r="A281">
        <f>HYPERLINK("http://bombeiros.sp.gov.br/hidrantes/03individual/3804.html","3804")</f>
      </c>
      <c r="B281" t="s">
        <v>842</v>
      </c>
      <c r="C281" t="s">
        <v>12426</v>
      </c>
      <c r="D281" t="s">
        <v>12427</v>
      </c>
      <c r="E281" t="s">
        <v>15</v>
      </c>
      <c r="F281" t="s">
        <v>12455</v>
      </c>
      <c r="G281" t="s">
        <v>18130</v>
      </c>
      <c r="H281" t="s">
        <v>1121</v>
      </c>
      <c r="I281" t="s">
        <v>1117</v>
      </c>
      <c r="J281" t="s">
        <v>12456</v>
      </c>
      <c r="K281" t="s">
        <v>12457</v>
      </c>
      <c r="L281" t="s">
        <v>21</v>
      </c>
      <c r="M281" t="s">
        <v>19177</v>
      </c>
      <c r="N281" t="s">
        <v>97</v>
      </c>
      <c r="O281" t="s">
        <v>937</v>
      </c>
      <c r="P281" t="s">
        <v>12</v>
      </c>
    </row>
    <row r="282">
      <c r="A282">
        <f>HYPERLINK("http://bombeiros.sp.gov.br/hidrantes/03individual/17666.html","17666")</f>
      </c>
      <c r="B282" t="s">
        <v>842</v>
      </c>
      <c r="C282" t="s">
        <v>12426</v>
      </c>
      <c r="D282" t="s">
        <v>12544</v>
      </c>
      <c r="E282" t="s">
        <v>15</v>
      </c>
      <c r="F282" t="s">
        <v>12575</v>
      </c>
      <c r="G282" t="s">
        <v>18167</v>
      </c>
      <c r="H282" t="s">
        <v>1121</v>
      </c>
      <c r="I282" t="s">
        <v>1117</v>
      </c>
      <c r="J282" t="s">
        <v>12576</v>
      </c>
      <c r="K282" t="s">
        <v>12577</v>
      </c>
      <c r="L282" t="s">
        <v>21</v>
      </c>
      <c r="M282" t="s">
        <v>19177</v>
      </c>
      <c r="N282" t="s">
        <v>97</v>
      </c>
      <c r="O282" t="s">
        <v>937</v>
      </c>
      <c r="P282" t="s">
        <v>12</v>
      </c>
    </row>
    <row r="283">
      <c r="A283">
        <f>HYPERLINK("http://bombeiros.sp.gov.br/hidrantes/03individual/426.html","426")</f>
      </c>
      <c r="B283" t="s">
        <v>842</v>
      </c>
      <c r="C283" t="s">
        <v>12426</v>
      </c>
      <c r="D283" t="s">
        <v>12584</v>
      </c>
      <c r="E283" t="s">
        <v>15</v>
      </c>
      <c r="F283" t="s">
        <v>12603</v>
      </c>
      <c r="G283" t="s">
        <v>18167</v>
      </c>
      <c r="H283" t="s">
        <v>1112</v>
      </c>
      <c r="I283" t="s">
        <v>1108</v>
      </c>
      <c r="J283" t="s">
        <v>12604</v>
      </c>
      <c r="K283" t="s">
        <v>12605</v>
      </c>
      <c r="L283" t="s">
        <v>21</v>
      </c>
      <c r="M283" t="s">
        <v>19177</v>
      </c>
      <c r="N283" t="s">
        <v>97</v>
      </c>
      <c r="O283" t="s">
        <v>937</v>
      </c>
      <c r="P283" t="s">
        <v>12</v>
      </c>
    </row>
    <row r="284">
      <c r="A284">
        <f>HYPERLINK("http://bombeiros.sp.gov.br/hidrantes/03individual/17892.html","17892")</f>
      </c>
      <c r="B284" t="s">
        <v>842</v>
      </c>
      <c r="C284" t="s">
        <v>907</v>
      </c>
      <c r="D284" t="s">
        <v>908</v>
      </c>
      <c r="E284" t="s">
        <v>15</v>
      </c>
      <c r="F284" t="s">
        <v>12655</v>
      </c>
      <c r="G284" t="s">
        <v>18513</v>
      </c>
      <c r="H284" t="s">
        <v>1112</v>
      </c>
      <c r="I284" t="s">
        <v>1108</v>
      </c>
      <c r="J284" t="s">
        <v>12656</v>
      </c>
      <c r="K284" t="s">
        <v>12657</v>
      </c>
      <c r="L284" t="s">
        <v>21</v>
      </c>
      <c r="M284" t="s">
        <v>19177</v>
      </c>
      <c r="N284" t="s">
        <v>16376</v>
      </c>
      <c r="O284" t="s">
        <v>16376</v>
      </c>
      <c r="P284" t="s">
        <v>842</v>
      </c>
    </row>
    <row r="285">
      <c r="A285">
        <f>HYPERLINK("http://bombeiros.sp.gov.br/hidrantes/03individual/2490.html","2490")</f>
      </c>
      <c r="B285" t="s">
        <v>842</v>
      </c>
      <c r="C285" t="s">
        <v>907</v>
      </c>
      <c r="D285" t="s">
        <v>920</v>
      </c>
      <c r="E285" t="s">
        <v>15</v>
      </c>
      <c r="F285" t="s">
        <v>12658</v>
      </c>
      <c r="G285" t="s">
        <v>18055</v>
      </c>
      <c r="H285" t="s">
        <v>1121</v>
      </c>
      <c r="I285" t="s">
        <v>1117</v>
      </c>
      <c r="J285" t="s">
        <v>12659</v>
      </c>
      <c r="K285" t="s">
        <v>12660</v>
      </c>
      <c r="L285" t="s">
        <v>21</v>
      </c>
      <c r="M285" t="s">
        <v>19177</v>
      </c>
      <c r="N285" t="s">
        <v>16376</v>
      </c>
      <c r="O285" t="s">
        <v>16376</v>
      </c>
      <c r="P285" t="s">
        <v>842</v>
      </c>
    </row>
    <row r="286">
      <c r="A286">
        <f>HYPERLINK("http://bombeiros.sp.gov.br/hidrantes/03individual/4138.html","4138")</f>
      </c>
      <c r="B286" t="s">
        <v>842</v>
      </c>
      <c r="C286" t="s">
        <v>907</v>
      </c>
      <c r="D286" t="s">
        <v>907</v>
      </c>
      <c r="E286" t="s">
        <v>15</v>
      </c>
      <c r="F286" t="s">
        <v>12673</v>
      </c>
      <c r="G286" t="s">
        <v>18050</v>
      </c>
      <c r="H286" t="s">
        <v>1112</v>
      </c>
      <c r="I286" t="s">
        <v>1108</v>
      </c>
      <c r="J286" t="s">
        <v>16476</v>
      </c>
      <c r="K286" t="s">
        <v>16477</v>
      </c>
      <c r="L286" t="s">
        <v>21</v>
      </c>
      <c r="M286" t="s">
        <v>19177</v>
      </c>
      <c r="N286" t="s">
        <v>16376</v>
      </c>
      <c r="O286" t="s">
        <v>16376</v>
      </c>
      <c r="P286" t="s">
        <v>842</v>
      </c>
    </row>
    <row r="287">
      <c r="A287">
        <f>HYPERLINK("http://bombeiros.sp.gov.br/hidrantes/03individual/1645.html","1645")</f>
      </c>
      <c r="B287" t="s">
        <v>842</v>
      </c>
      <c r="C287" t="s">
        <v>937</v>
      </c>
      <c r="D287" t="s">
        <v>938</v>
      </c>
      <c r="E287" t="s">
        <v>15</v>
      </c>
      <c r="F287" t="s">
        <v>12736</v>
      </c>
      <c r="G287" t="s">
        <v>18059</v>
      </c>
      <c r="H287" t="s">
        <v>1107</v>
      </c>
      <c r="I287" t="s">
        <v>1108</v>
      </c>
      <c r="J287" t="s">
        <v>12737</v>
      </c>
      <c r="K287" t="s">
        <v>12738</v>
      </c>
      <c r="L287" t="s">
        <v>21</v>
      </c>
      <c r="M287" t="s">
        <v>19177</v>
      </c>
      <c r="N287" t="s">
        <v>97</v>
      </c>
      <c r="O287" t="s">
        <v>937</v>
      </c>
      <c r="P287" t="s">
        <v>12</v>
      </c>
    </row>
    <row r="288">
      <c r="A288">
        <f>HYPERLINK("http://bombeiros.sp.gov.br/hidrantes/03individual/2305.html","2305")</f>
      </c>
      <c r="B288" t="s">
        <v>842</v>
      </c>
      <c r="C288" t="s">
        <v>937</v>
      </c>
      <c r="D288" t="s">
        <v>938</v>
      </c>
      <c r="E288" t="s">
        <v>15</v>
      </c>
      <c r="F288" t="s">
        <v>939</v>
      </c>
      <c r="G288" t="s">
        <v>18059</v>
      </c>
      <c r="H288" t="s">
        <v>1174</v>
      </c>
      <c r="I288" t="s">
        <v>1108</v>
      </c>
      <c r="J288" t="s">
        <v>940</v>
      </c>
      <c r="K288" t="s">
        <v>941</v>
      </c>
      <c r="L288" t="s">
        <v>21</v>
      </c>
      <c r="M288" t="s">
        <v>19177</v>
      </c>
      <c r="N288" t="s">
        <v>97</v>
      </c>
      <c r="O288" t="s">
        <v>937</v>
      </c>
      <c r="P288" t="s">
        <v>12</v>
      </c>
    </row>
    <row r="289">
      <c r="A289">
        <f>HYPERLINK("http://bombeiros.sp.gov.br/hidrantes/03individual/78.html","78")</f>
      </c>
      <c r="B289" t="s">
        <v>842</v>
      </c>
      <c r="C289" t="s">
        <v>937</v>
      </c>
      <c r="D289" t="s">
        <v>937</v>
      </c>
      <c r="E289" t="s">
        <v>15</v>
      </c>
      <c r="F289" t="s">
        <v>12760</v>
      </c>
      <c r="G289" t="s">
        <v>18169</v>
      </c>
      <c r="H289" t="s">
        <v>1174</v>
      </c>
      <c r="I289" t="s">
        <v>1117</v>
      </c>
      <c r="J289" t="s">
        <v>12761</v>
      </c>
      <c r="K289" t="s">
        <v>12762</v>
      </c>
      <c r="L289" t="s">
        <v>21</v>
      </c>
      <c r="M289" t="s">
        <v>19177</v>
      </c>
      <c r="N289" t="s">
        <v>97</v>
      </c>
      <c r="O289" t="s">
        <v>937</v>
      </c>
      <c r="P289" t="s">
        <v>12</v>
      </c>
    </row>
    <row r="290">
      <c r="A290">
        <f>HYPERLINK("http://bombeiros.sp.gov.br/hidrantes/03individual/83.html","83")</f>
      </c>
      <c r="B290" t="s">
        <v>842</v>
      </c>
      <c r="C290" t="s">
        <v>937</v>
      </c>
      <c r="D290" t="s">
        <v>937</v>
      </c>
      <c r="E290" t="s">
        <v>15</v>
      </c>
      <c r="F290" t="s">
        <v>12769</v>
      </c>
      <c r="G290" t="s">
        <v>18169</v>
      </c>
      <c r="H290" t="s">
        <v>1107</v>
      </c>
      <c r="I290" t="s">
        <v>1108</v>
      </c>
      <c r="J290" t="s">
        <v>12770</v>
      </c>
      <c r="K290" t="s">
        <v>12771</v>
      </c>
      <c r="L290" t="s">
        <v>21</v>
      </c>
      <c r="M290" t="s">
        <v>19177</v>
      </c>
      <c r="N290" t="s">
        <v>97</v>
      </c>
      <c r="O290" t="s">
        <v>937</v>
      </c>
      <c r="P290" t="s">
        <v>12</v>
      </c>
    </row>
    <row r="291">
      <c r="A291">
        <f>HYPERLINK("http://bombeiros.sp.gov.br/hidrantes/03individual/2302.html","2302")</f>
      </c>
      <c r="B291" t="s">
        <v>842</v>
      </c>
      <c r="C291" t="s">
        <v>937</v>
      </c>
      <c r="D291" t="s">
        <v>937</v>
      </c>
      <c r="E291" t="s">
        <v>15</v>
      </c>
      <c r="F291" t="s">
        <v>12802</v>
      </c>
      <c r="G291" t="s">
        <v>18170</v>
      </c>
      <c r="H291" t="s">
        <v>1107</v>
      </c>
      <c r="I291" t="s">
        <v>1108</v>
      </c>
      <c r="J291" t="s">
        <v>12803</v>
      </c>
      <c r="K291" t="s">
        <v>12804</v>
      </c>
      <c r="L291" t="s">
        <v>21</v>
      </c>
      <c r="M291" t="s">
        <v>19177</v>
      </c>
      <c r="N291" t="s">
        <v>97</v>
      </c>
      <c r="O291" t="s">
        <v>937</v>
      </c>
      <c r="P291" t="s">
        <v>12</v>
      </c>
    </row>
    <row r="292">
      <c r="A292">
        <f>HYPERLINK("http://bombeiros.sp.gov.br/hidrantes/03individual/2329.html","2329")</f>
      </c>
      <c r="B292" t="s">
        <v>842</v>
      </c>
      <c r="C292" t="s">
        <v>937</v>
      </c>
      <c r="D292" t="s">
        <v>937</v>
      </c>
      <c r="E292" t="s">
        <v>15</v>
      </c>
      <c r="F292" t="s">
        <v>12805</v>
      </c>
      <c r="G292" t="s">
        <v>18056</v>
      </c>
      <c r="H292" t="s">
        <v>1107</v>
      </c>
      <c r="I292" t="s">
        <v>1108</v>
      </c>
      <c r="J292" t="s">
        <v>15996</v>
      </c>
      <c r="K292" t="s">
        <v>15997</v>
      </c>
      <c r="L292" t="s">
        <v>21</v>
      </c>
      <c r="M292" t="s">
        <v>19177</v>
      </c>
      <c r="N292" t="s">
        <v>97</v>
      </c>
      <c r="O292" t="s">
        <v>937</v>
      </c>
      <c r="P292" t="s">
        <v>12</v>
      </c>
    </row>
    <row r="293">
      <c r="A293">
        <f>HYPERLINK("http://bombeiros.sp.gov.br/hidrantes/03individual/118.html","118")</f>
      </c>
      <c r="B293" t="s">
        <v>842</v>
      </c>
      <c r="C293" t="s">
        <v>937</v>
      </c>
      <c r="D293" t="s">
        <v>945</v>
      </c>
      <c r="E293" t="s">
        <v>15</v>
      </c>
      <c r="F293" t="s">
        <v>12820</v>
      </c>
      <c r="G293" t="s">
        <v>17921</v>
      </c>
      <c r="H293" t="s">
        <v>1174</v>
      </c>
      <c r="I293" t="s">
        <v>1117</v>
      </c>
      <c r="J293" t="s">
        <v>12821</v>
      </c>
      <c r="K293" t="s">
        <v>12822</v>
      </c>
      <c r="L293" t="s">
        <v>21</v>
      </c>
      <c r="M293" t="s">
        <v>19177</v>
      </c>
      <c r="N293" t="s">
        <v>97</v>
      </c>
      <c r="O293" t="s">
        <v>937</v>
      </c>
      <c r="P293" t="s">
        <v>12</v>
      </c>
    </row>
    <row r="294">
      <c r="A294">
        <f>HYPERLINK("http://bombeiros.sp.gov.br/hidrantes/03individual/1837.html","1837")</f>
      </c>
      <c r="B294" t="s">
        <v>842</v>
      </c>
      <c r="C294" t="s">
        <v>937</v>
      </c>
      <c r="D294" t="s">
        <v>945</v>
      </c>
      <c r="E294" t="s">
        <v>15</v>
      </c>
      <c r="F294" t="s">
        <v>12832</v>
      </c>
      <c r="G294" t="s">
        <v>18170</v>
      </c>
      <c r="H294" t="s">
        <v>1112</v>
      </c>
      <c r="I294" t="s">
        <v>1108</v>
      </c>
      <c r="J294" t="s">
        <v>12833</v>
      </c>
      <c r="K294" t="s">
        <v>12834</v>
      </c>
      <c r="L294" t="s">
        <v>21</v>
      </c>
      <c r="M294" t="s">
        <v>19177</v>
      </c>
      <c r="N294" t="s">
        <v>97</v>
      </c>
      <c r="O294" t="s">
        <v>937</v>
      </c>
      <c r="P294" t="s">
        <v>12</v>
      </c>
    </row>
    <row r="295">
      <c r="A295">
        <f>HYPERLINK("http://bombeiros.sp.gov.br/hidrantes/03individual/3060.html","3060")</f>
      </c>
      <c r="B295" t="s">
        <v>842</v>
      </c>
      <c r="C295" t="s">
        <v>937</v>
      </c>
      <c r="D295" t="s">
        <v>12838</v>
      </c>
      <c r="E295" t="s">
        <v>15</v>
      </c>
      <c r="F295" t="s">
        <v>12884</v>
      </c>
      <c r="G295" t="s">
        <v>18020</v>
      </c>
      <c r="H295" t="s">
        <v>1174</v>
      </c>
      <c r="I295" t="s">
        <v>1117</v>
      </c>
      <c r="J295" t="s">
        <v>12885</v>
      </c>
      <c r="K295" t="s">
        <v>12886</v>
      </c>
      <c r="L295" t="s">
        <v>21</v>
      </c>
      <c r="M295" t="s">
        <v>19177</v>
      </c>
      <c r="N295" t="s">
        <v>97</v>
      </c>
      <c r="O295" t="s">
        <v>937</v>
      </c>
      <c r="P295" t="s">
        <v>12</v>
      </c>
    </row>
    <row r="296">
      <c r="A296">
        <f>HYPERLINK("http://bombeiros.sp.gov.br/hidrantes/03individual/3693.html","3693")</f>
      </c>
      <c r="B296" t="s">
        <v>842</v>
      </c>
      <c r="C296" t="s">
        <v>937</v>
      </c>
      <c r="D296" t="s">
        <v>12838</v>
      </c>
      <c r="E296" t="s">
        <v>15</v>
      </c>
      <c r="F296" t="s">
        <v>12887</v>
      </c>
      <c r="G296" t="s">
        <v>18080</v>
      </c>
      <c r="H296" t="s">
        <v>1121</v>
      </c>
      <c r="I296" t="s">
        <v>1117</v>
      </c>
      <c r="J296" t="s">
        <v>12888</v>
      </c>
      <c r="K296" t="s">
        <v>12889</v>
      </c>
      <c r="L296" t="s">
        <v>21</v>
      </c>
      <c r="M296" t="s">
        <v>19177</v>
      </c>
      <c r="N296" t="s">
        <v>97</v>
      </c>
      <c r="O296" t="s">
        <v>937</v>
      </c>
      <c r="P296" t="s">
        <v>12</v>
      </c>
    </row>
    <row r="297">
      <c r="A297">
        <f>HYPERLINK("http://bombeiros.sp.gov.br/hidrantes/03individual/21.html","21")</f>
      </c>
      <c r="B297" t="s">
        <v>842</v>
      </c>
      <c r="C297" t="s">
        <v>937</v>
      </c>
      <c r="D297" t="s">
        <v>950</v>
      </c>
      <c r="E297" t="s">
        <v>15</v>
      </c>
      <c r="F297" t="s">
        <v>12914</v>
      </c>
      <c r="G297" t="s">
        <v>18094</v>
      </c>
      <c r="H297" t="s">
        <v>1107</v>
      </c>
      <c r="I297" t="s">
        <v>1108</v>
      </c>
      <c r="J297" t="s">
        <v>12915</v>
      </c>
      <c r="K297" t="s">
        <v>12916</v>
      </c>
      <c r="L297" t="s">
        <v>21</v>
      </c>
      <c r="M297" t="s">
        <v>19177</v>
      </c>
      <c r="N297" t="s">
        <v>97</v>
      </c>
      <c r="O297" t="s">
        <v>937</v>
      </c>
      <c r="P297" t="s">
        <v>12</v>
      </c>
    </row>
    <row r="298">
      <c r="A298">
        <f>HYPERLINK("http://bombeiros.sp.gov.br/hidrantes/03individual/190.html","190")</f>
      </c>
      <c r="B298" t="s">
        <v>842</v>
      </c>
      <c r="C298" t="s">
        <v>937</v>
      </c>
      <c r="D298" t="s">
        <v>950</v>
      </c>
      <c r="E298" t="s">
        <v>15</v>
      </c>
      <c r="F298" t="s">
        <v>951</v>
      </c>
      <c r="G298" t="s">
        <v>18050</v>
      </c>
      <c r="H298" t="s">
        <v>1121</v>
      </c>
      <c r="I298" t="s">
        <v>1117</v>
      </c>
      <c r="J298" t="s">
        <v>952</v>
      </c>
      <c r="K298" t="s">
        <v>953</v>
      </c>
      <c r="L298" t="s">
        <v>21</v>
      </c>
      <c r="M298" t="s">
        <v>19177</v>
      </c>
      <c r="N298" t="s">
        <v>97</v>
      </c>
      <c r="O298" t="s">
        <v>937</v>
      </c>
      <c r="P298" t="s">
        <v>12</v>
      </c>
    </row>
    <row r="299">
      <c r="A299">
        <f>HYPERLINK("http://bombeiros.sp.gov.br/hidrantes/03individual/1782.html","1782")</f>
      </c>
      <c r="B299" t="s">
        <v>842</v>
      </c>
      <c r="C299" t="s">
        <v>937</v>
      </c>
      <c r="D299" t="s">
        <v>950</v>
      </c>
      <c r="E299" t="s">
        <v>15</v>
      </c>
      <c r="F299" t="s">
        <v>12923</v>
      </c>
      <c r="G299" t="s">
        <v>18066</v>
      </c>
      <c r="H299" t="s">
        <v>1121</v>
      </c>
      <c r="I299" t="s">
        <v>1117</v>
      </c>
      <c r="J299" t="s">
        <v>12924</v>
      </c>
      <c r="K299" t="s">
        <v>12925</v>
      </c>
      <c r="L299" t="s">
        <v>21</v>
      </c>
      <c r="M299" t="s">
        <v>19177</v>
      </c>
      <c r="N299" t="s">
        <v>300</v>
      </c>
      <c r="O299" t="s">
        <v>16373</v>
      </c>
      <c r="P299" t="s">
        <v>12</v>
      </c>
    </row>
    <row r="300">
      <c r="A300">
        <f>HYPERLINK("http://bombeiros.sp.gov.br/hidrantes/03individual/1895.html","1895")</f>
      </c>
      <c r="B300" t="s">
        <v>842</v>
      </c>
      <c r="C300" t="s">
        <v>937</v>
      </c>
      <c r="D300" t="s">
        <v>950</v>
      </c>
      <c r="E300" t="s">
        <v>15</v>
      </c>
      <c r="F300" t="s">
        <v>12935</v>
      </c>
      <c r="G300" t="s">
        <v>18160</v>
      </c>
      <c r="H300" t="s">
        <v>1174</v>
      </c>
      <c r="I300" t="s">
        <v>1108</v>
      </c>
      <c r="J300" t="s">
        <v>12936</v>
      </c>
      <c r="K300" t="s">
        <v>12937</v>
      </c>
      <c r="L300" t="s">
        <v>36</v>
      </c>
      <c r="M300" t="s">
        <v>19177</v>
      </c>
      <c r="N300" t="s">
        <v>97</v>
      </c>
      <c r="O300" t="s">
        <v>937</v>
      </c>
      <c r="P300" t="s">
        <v>12</v>
      </c>
    </row>
    <row r="301">
      <c r="A301">
        <f>HYPERLINK("http://bombeiros.sp.gov.br/hidrantes/03individual/2992.html","2992")</f>
      </c>
      <c r="B301" t="s">
        <v>842</v>
      </c>
      <c r="C301" t="s">
        <v>937</v>
      </c>
      <c r="D301" t="s">
        <v>950</v>
      </c>
      <c r="E301" t="s">
        <v>15</v>
      </c>
      <c r="F301" t="s">
        <v>12941</v>
      </c>
      <c r="G301" t="s">
        <v>18171</v>
      </c>
      <c r="H301" t="s">
        <v>1174</v>
      </c>
      <c r="I301" t="s">
        <v>1117</v>
      </c>
      <c r="J301" t="s">
        <v>12942</v>
      </c>
      <c r="K301" t="s">
        <v>12943</v>
      </c>
      <c r="L301" t="s">
        <v>21</v>
      </c>
      <c r="M301" t="s">
        <v>19177</v>
      </c>
      <c r="N301" t="s">
        <v>97</v>
      </c>
      <c r="O301" t="s">
        <v>937</v>
      </c>
      <c r="P301" t="s">
        <v>12</v>
      </c>
    </row>
    <row r="302">
      <c r="A302">
        <f>HYPERLINK("http://bombeiros.sp.gov.br/hidrantes/03individual/16469.html","16469")</f>
      </c>
      <c r="B302" t="s">
        <v>842</v>
      </c>
      <c r="C302" t="s">
        <v>937</v>
      </c>
      <c r="D302" t="s">
        <v>950</v>
      </c>
      <c r="E302" t="s">
        <v>15</v>
      </c>
      <c r="F302" t="s">
        <v>16335</v>
      </c>
      <c r="G302" t="s">
        <v>18046</v>
      </c>
      <c r="H302" t="s">
        <v>1121</v>
      </c>
      <c r="I302" t="s">
        <v>1117</v>
      </c>
      <c r="J302" t="s">
        <v>15657</v>
      </c>
      <c r="K302" t="s">
        <v>15658</v>
      </c>
      <c r="L302" t="s">
        <v>21</v>
      </c>
      <c r="M302" t="s">
        <v>19177</v>
      </c>
      <c r="N302" t="s">
        <v>300</v>
      </c>
      <c r="O302" t="s">
        <v>16373</v>
      </c>
      <c r="P302" t="s">
        <v>12</v>
      </c>
    </row>
    <row r="303">
      <c r="A303">
        <f>HYPERLINK("http://bombeiros.sp.gov.br/hidrantes/03individual/25202.html","25202")</f>
      </c>
      <c r="B303" t="s">
        <v>842</v>
      </c>
      <c r="C303" t="s">
        <v>937</v>
      </c>
      <c r="D303" t="s">
        <v>950</v>
      </c>
      <c r="E303" t="s">
        <v>15</v>
      </c>
      <c r="F303" t="s">
        <v>12962</v>
      </c>
      <c r="G303" t="s">
        <v>18046</v>
      </c>
      <c r="H303" t="s">
        <v>1112</v>
      </c>
      <c r="I303" t="s">
        <v>1117</v>
      </c>
      <c r="J303" t="s">
        <v>12963</v>
      </c>
      <c r="K303" t="s">
        <v>12964</v>
      </c>
      <c r="L303" t="s">
        <v>21</v>
      </c>
      <c r="M303" t="s">
        <v>19177</v>
      </c>
      <c r="N303" t="s">
        <v>300</v>
      </c>
      <c r="O303" t="s">
        <v>16373</v>
      </c>
      <c r="P303" t="s">
        <v>12</v>
      </c>
    </row>
    <row r="304">
      <c r="A304">
        <f>HYPERLINK("http://bombeiros.sp.gov.br/hidrantes/03individual/86.html","86")</f>
      </c>
      <c r="B304" t="s">
        <v>842</v>
      </c>
      <c r="C304" t="s">
        <v>937</v>
      </c>
      <c r="D304" t="s">
        <v>960</v>
      </c>
      <c r="E304" t="s">
        <v>15</v>
      </c>
      <c r="F304" t="s">
        <v>13023</v>
      </c>
      <c r="G304" t="s">
        <v>18047</v>
      </c>
      <c r="H304" t="s">
        <v>1174</v>
      </c>
      <c r="I304" t="s">
        <v>1108</v>
      </c>
      <c r="J304" t="s">
        <v>13024</v>
      </c>
      <c r="K304" t="s">
        <v>13025</v>
      </c>
      <c r="L304" t="s">
        <v>21</v>
      </c>
      <c r="M304" t="s">
        <v>19177</v>
      </c>
      <c r="N304" t="s">
        <v>97</v>
      </c>
      <c r="O304" t="s">
        <v>937</v>
      </c>
      <c r="P304" t="s">
        <v>12</v>
      </c>
    </row>
    <row r="305">
      <c r="A305">
        <f>HYPERLINK("http://bombeiros.sp.gov.br/hidrantes/03individual/188.html","188")</f>
      </c>
      <c r="B305" t="s">
        <v>842</v>
      </c>
      <c r="C305" t="s">
        <v>937</v>
      </c>
      <c r="D305" t="s">
        <v>960</v>
      </c>
      <c r="E305" t="s">
        <v>15</v>
      </c>
      <c r="F305" t="s">
        <v>13026</v>
      </c>
      <c r="G305" t="s">
        <v>18085</v>
      </c>
      <c r="H305" t="s">
        <v>1121</v>
      </c>
      <c r="I305" t="s">
        <v>1117</v>
      </c>
      <c r="J305" t="s">
        <v>13027</v>
      </c>
      <c r="K305" t="s">
        <v>13028</v>
      </c>
      <c r="L305" t="s">
        <v>21</v>
      </c>
      <c r="M305" t="s">
        <v>19177</v>
      </c>
      <c r="N305" t="s">
        <v>97</v>
      </c>
      <c r="O305" t="s">
        <v>937</v>
      </c>
      <c r="P305" t="s">
        <v>12</v>
      </c>
    </row>
    <row r="306">
      <c r="A306">
        <f>HYPERLINK("http://bombeiros.sp.gov.br/hidrantes/03individual/223.html","223")</f>
      </c>
      <c r="B306" t="s">
        <v>842</v>
      </c>
      <c r="C306" t="s">
        <v>937</v>
      </c>
      <c r="D306" t="s">
        <v>960</v>
      </c>
      <c r="E306" t="s">
        <v>15</v>
      </c>
      <c r="F306" t="s">
        <v>13032</v>
      </c>
      <c r="G306" t="s">
        <v>18172</v>
      </c>
      <c r="H306" t="s">
        <v>1174</v>
      </c>
      <c r="I306" t="s">
        <v>1108</v>
      </c>
      <c r="J306" t="s">
        <v>13033</v>
      </c>
      <c r="K306" t="s">
        <v>13034</v>
      </c>
      <c r="L306" t="s">
        <v>21</v>
      </c>
      <c r="M306" t="s">
        <v>19177</v>
      </c>
      <c r="N306" t="s">
        <v>97</v>
      </c>
      <c r="O306" t="s">
        <v>937</v>
      </c>
      <c r="P306" t="s">
        <v>12</v>
      </c>
    </row>
    <row r="307">
      <c r="A307">
        <f>HYPERLINK("http://bombeiros.sp.gov.br/hidrantes/03individual/249.html","249")</f>
      </c>
      <c r="B307" t="s">
        <v>842</v>
      </c>
      <c r="C307" t="s">
        <v>937</v>
      </c>
      <c r="D307" t="s">
        <v>960</v>
      </c>
      <c r="E307" t="s">
        <v>15</v>
      </c>
      <c r="F307" t="s">
        <v>13041</v>
      </c>
      <c r="G307" t="s">
        <v>18059</v>
      </c>
      <c r="H307" t="s">
        <v>1112</v>
      </c>
      <c r="I307" t="s">
        <v>1108</v>
      </c>
      <c r="J307" t="s">
        <v>13042</v>
      </c>
      <c r="K307" t="s">
        <v>13043</v>
      </c>
      <c r="L307" t="s">
        <v>21</v>
      </c>
      <c r="M307" t="s">
        <v>19177</v>
      </c>
      <c r="N307" t="s">
        <v>97</v>
      </c>
      <c r="O307" t="s">
        <v>937</v>
      </c>
      <c r="P307" t="s">
        <v>12</v>
      </c>
    </row>
    <row r="308">
      <c r="A308">
        <f>HYPERLINK("http://bombeiros.sp.gov.br/hidrantes/03individual/26807.html","26807")</f>
      </c>
      <c r="B308" t="s">
        <v>842</v>
      </c>
      <c r="C308" t="s">
        <v>937</v>
      </c>
      <c r="D308" t="s">
        <v>960</v>
      </c>
      <c r="E308" t="s">
        <v>15</v>
      </c>
      <c r="F308" t="s">
        <v>15927</v>
      </c>
      <c r="G308" t="s">
        <v>18172</v>
      </c>
      <c r="H308" t="s">
        <v>1121</v>
      </c>
      <c r="I308" t="s">
        <v>1117</v>
      </c>
      <c r="J308" t="s">
        <v>15928</v>
      </c>
      <c r="K308" t="s">
        <v>15929</v>
      </c>
      <c r="L308" t="s">
        <v>21</v>
      </c>
      <c r="M308" t="s">
        <v>19177</v>
      </c>
      <c r="N308" t="s">
        <v>97</v>
      </c>
      <c r="O308" t="s">
        <v>937</v>
      </c>
      <c r="P308" t="s">
        <v>12</v>
      </c>
    </row>
    <row r="309">
      <c r="A309">
        <f>HYPERLINK("http://bombeiros.sp.gov.br/hidrantes/03individual/467.html","467")</f>
      </c>
      <c r="B309" t="s">
        <v>842</v>
      </c>
      <c r="C309" t="s">
        <v>964</v>
      </c>
      <c r="D309" t="s">
        <v>965</v>
      </c>
      <c r="E309" t="s">
        <v>15</v>
      </c>
      <c r="F309" t="s">
        <v>13098</v>
      </c>
      <c r="G309" t="s">
        <v>18042</v>
      </c>
      <c r="H309" t="s">
        <v>1121</v>
      </c>
      <c r="I309" t="s">
        <v>1117</v>
      </c>
      <c r="J309" t="s">
        <v>13099</v>
      </c>
      <c r="K309" t="s">
        <v>13100</v>
      </c>
      <c r="L309" t="s">
        <v>21</v>
      </c>
      <c r="M309" t="s">
        <v>19177</v>
      </c>
      <c r="N309" t="s">
        <v>1024</v>
      </c>
      <c r="O309" t="s">
        <v>1024</v>
      </c>
      <c r="P309" t="s">
        <v>842</v>
      </c>
    </row>
    <row r="310">
      <c r="A310">
        <f>HYPERLINK("http://bombeiros.sp.gov.br/hidrantes/03individual/484.html","484")</f>
      </c>
      <c r="B310" t="s">
        <v>842</v>
      </c>
      <c r="C310" t="s">
        <v>964</v>
      </c>
      <c r="D310" t="s">
        <v>965</v>
      </c>
      <c r="E310" t="s">
        <v>15</v>
      </c>
      <c r="F310" t="s">
        <v>13101</v>
      </c>
      <c r="G310" t="s">
        <v>18042</v>
      </c>
      <c r="H310" t="s">
        <v>1112</v>
      </c>
      <c r="I310" t="s">
        <v>1108</v>
      </c>
      <c r="J310" t="s">
        <v>13102</v>
      </c>
      <c r="K310" t="s">
        <v>13103</v>
      </c>
      <c r="L310" t="s">
        <v>21</v>
      </c>
      <c r="M310" t="s">
        <v>19177</v>
      </c>
      <c r="N310" t="s">
        <v>1024</v>
      </c>
      <c r="O310" t="s">
        <v>1024</v>
      </c>
      <c r="P310" t="s">
        <v>842</v>
      </c>
    </row>
    <row r="311">
      <c r="A311">
        <f>HYPERLINK("http://bombeiros.sp.gov.br/hidrantes/03individual/16622.html","16622")</f>
      </c>
      <c r="B311" t="s">
        <v>842</v>
      </c>
      <c r="C311" t="s">
        <v>964</v>
      </c>
      <c r="D311" t="s">
        <v>13219</v>
      </c>
      <c r="E311" t="s">
        <v>15</v>
      </c>
      <c r="F311" t="s">
        <v>13280</v>
      </c>
      <c r="G311" t="s">
        <v>18123</v>
      </c>
      <c r="H311" t="s">
        <v>1121</v>
      </c>
      <c r="I311" t="s">
        <v>1117</v>
      </c>
      <c r="J311" t="s">
        <v>13281</v>
      </c>
      <c r="K311" t="s">
        <v>13282</v>
      </c>
      <c r="L311" t="s">
        <v>21</v>
      </c>
      <c r="M311" t="s">
        <v>19177</v>
      </c>
      <c r="N311" t="s">
        <v>1024</v>
      </c>
      <c r="O311" t="s">
        <v>1024</v>
      </c>
      <c r="P311" t="s">
        <v>842</v>
      </c>
    </row>
    <row r="312">
      <c r="A312">
        <f>HYPERLINK("http://bombeiros.sp.gov.br/hidrantes/03individual/496.html","496")</f>
      </c>
      <c r="B312" t="s">
        <v>842</v>
      </c>
      <c r="C312" t="s">
        <v>964</v>
      </c>
      <c r="D312" t="s">
        <v>13292</v>
      </c>
      <c r="E312" t="s">
        <v>15</v>
      </c>
      <c r="F312" t="s">
        <v>13323</v>
      </c>
      <c r="G312" t="s">
        <v>18531</v>
      </c>
      <c r="H312" t="s">
        <v>1121</v>
      </c>
      <c r="I312" t="s">
        <v>1108</v>
      </c>
      <c r="J312" t="s">
        <v>17405</v>
      </c>
      <c r="K312" t="s">
        <v>17406</v>
      </c>
      <c r="L312" t="s">
        <v>21</v>
      </c>
      <c r="M312" t="s">
        <v>19177</v>
      </c>
      <c r="N312" t="s">
        <v>1024</v>
      </c>
      <c r="O312" t="s">
        <v>1024</v>
      </c>
      <c r="P312" t="s">
        <v>842</v>
      </c>
    </row>
    <row r="313">
      <c r="A313">
        <f>HYPERLINK("http://bombeiros.sp.gov.br/hidrantes/03individual/2459.html","2459")</f>
      </c>
      <c r="B313" t="s">
        <v>842</v>
      </c>
      <c r="C313" t="s">
        <v>979</v>
      </c>
      <c r="D313" t="s">
        <v>980</v>
      </c>
      <c r="E313" t="s">
        <v>15</v>
      </c>
      <c r="F313" t="s">
        <v>13400</v>
      </c>
      <c r="G313" t="s">
        <v>17921</v>
      </c>
      <c r="H313" t="s">
        <v>1121</v>
      </c>
      <c r="I313" t="s">
        <v>1117</v>
      </c>
      <c r="J313" t="s">
        <v>13401</v>
      </c>
      <c r="K313" t="s">
        <v>13402</v>
      </c>
      <c r="L313" t="s">
        <v>21</v>
      </c>
      <c r="M313" t="s">
        <v>19177</v>
      </c>
      <c r="N313" t="s">
        <v>843</v>
      </c>
      <c r="O313" t="s">
        <v>987</v>
      </c>
      <c r="P313" t="s">
        <v>842</v>
      </c>
    </row>
    <row r="314">
      <c r="A314">
        <f>HYPERLINK("http://bombeiros.sp.gov.br/hidrantes/03individual/434.html","434")</f>
      </c>
      <c r="B314" t="s">
        <v>842</v>
      </c>
      <c r="C314" t="s">
        <v>996</v>
      </c>
      <c r="D314" t="s">
        <v>996</v>
      </c>
      <c r="E314" t="s">
        <v>15</v>
      </c>
      <c r="F314" t="s">
        <v>13523</v>
      </c>
      <c r="G314" t="s">
        <v>18563</v>
      </c>
      <c r="H314" t="s">
        <v>1121</v>
      </c>
      <c r="I314" t="s">
        <v>1117</v>
      </c>
      <c r="J314" t="s">
        <v>13524</v>
      </c>
      <c r="K314" t="s">
        <v>13525</v>
      </c>
      <c r="L314" t="s">
        <v>21</v>
      </c>
      <c r="M314" t="s">
        <v>19177</v>
      </c>
      <c r="N314" t="s">
        <v>714</v>
      </c>
      <c r="O314" t="s">
        <v>10263</v>
      </c>
      <c r="P314" t="s">
        <v>12</v>
      </c>
    </row>
    <row r="315">
      <c r="A315">
        <f>HYPERLINK("http://bombeiros.sp.gov.br/hidrantes/03individual/4006.html","4006")</f>
      </c>
      <c r="B315" t="s">
        <v>842</v>
      </c>
      <c r="C315" t="s">
        <v>996</v>
      </c>
      <c r="D315" t="s">
        <v>996</v>
      </c>
      <c r="E315" t="s">
        <v>15</v>
      </c>
      <c r="F315" t="s">
        <v>13544</v>
      </c>
      <c r="G315" t="s">
        <v>18563</v>
      </c>
      <c r="H315" t="s">
        <v>1121</v>
      </c>
      <c r="I315" t="s">
        <v>1117</v>
      </c>
      <c r="J315" t="s">
        <v>13545</v>
      </c>
      <c r="K315" t="s">
        <v>13546</v>
      </c>
      <c r="L315" t="s">
        <v>36</v>
      </c>
      <c r="M315" t="s">
        <v>19177</v>
      </c>
      <c r="N315" t="s">
        <v>714</v>
      </c>
      <c r="O315" t="s">
        <v>10263</v>
      </c>
      <c r="P315" t="s">
        <v>12</v>
      </c>
    </row>
    <row r="316">
      <c r="A316">
        <f>HYPERLINK("http://bombeiros.sp.gov.br/hidrantes/03individual/6693.html","6693")</f>
      </c>
      <c r="B316" t="s">
        <v>842</v>
      </c>
      <c r="C316" t="s">
        <v>996</v>
      </c>
      <c r="D316" t="s">
        <v>1002</v>
      </c>
      <c r="E316" t="s">
        <v>15</v>
      </c>
      <c r="F316" t="s">
        <v>13597</v>
      </c>
      <c r="G316" t="s">
        <v>17921</v>
      </c>
      <c r="H316" t="s">
        <v>1121</v>
      </c>
      <c r="I316" t="s">
        <v>1117</v>
      </c>
      <c r="J316" t="s">
        <v>13598</v>
      </c>
      <c r="K316" t="s">
        <v>13599</v>
      </c>
      <c r="L316" t="s">
        <v>21</v>
      </c>
      <c r="M316" t="s">
        <v>19177</v>
      </c>
      <c r="N316" t="s">
        <v>714</v>
      </c>
      <c r="O316" t="s">
        <v>10263</v>
      </c>
      <c r="P316" t="s">
        <v>12</v>
      </c>
    </row>
    <row r="317">
      <c r="A317">
        <f>HYPERLINK("http://bombeiros.sp.gov.br/hidrantes/03individual/6694.html","6694")</f>
      </c>
      <c r="B317" t="s">
        <v>842</v>
      </c>
      <c r="C317" t="s">
        <v>996</v>
      </c>
      <c r="D317" t="s">
        <v>1002</v>
      </c>
      <c r="E317" t="s">
        <v>15</v>
      </c>
      <c r="F317" t="s">
        <v>13600</v>
      </c>
      <c r="G317" t="s">
        <v>17921</v>
      </c>
      <c r="H317" t="s">
        <v>1112</v>
      </c>
      <c r="I317" t="s">
        <v>1108</v>
      </c>
      <c r="J317" t="s">
        <v>13601</v>
      </c>
      <c r="K317" t="s">
        <v>13602</v>
      </c>
      <c r="L317" t="s">
        <v>21</v>
      </c>
      <c r="M317" t="s">
        <v>19177</v>
      </c>
      <c r="N317" t="s">
        <v>714</v>
      </c>
      <c r="O317" t="s">
        <v>10263</v>
      </c>
      <c r="P317" t="s">
        <v>12</v>
      </c>
    </row>
    <row r="318">
      <c r="A318">
        <f>HYPERLINK("http://bombeiros.sp.gov.br/hidrantes/03individual/6697.html","6697")</f>
      </c>
      <c r="B318" t="s">
        <v>842</v>
      </c>
      <c r="C318" t="s">
        <v>996</v>
      </c>
      <c r="D318" t="s">
        <v>1002</v>
      </c>
      <c r="E318" t="s">
        <v>15</v>
      </c>
      <c r="F318" t="s">
        <v>13609</v>
      </c>
      <c r="G318" t="s">
        <v>17921</v>
      </c>
      <c r="H318" t="s">
        <v>1121</v>
      </c>
      <c r="I318" t="s">
        <v>1117</v>
      </c>
      <c r="J318" t="s">
        <v>13610</v>
      </c>
      <c r="K318" t="s">
        <v>13611</v>
      </c>
      <c r="L318" t="s">
        <v>21</v>
      </c>
      <c r="M318" t="s">
        <v>19177</v>
      </c>
      <c r="N318" t="s">
        <v>714</v>
      </c>
      <c r="O318" t="s">
        <v>10263</v>
      </c>
      <c r="P318" t="s">
        <v>12</v>
      </c>
    </row>
    <row r="319">
      <c r="A319">
        <f>HYPERLINK("http://bombeiros.sp.gov.br/hidrantes/03individual/27200.html","27200")</f>
      </c>
      <c r="B319" t="s">
        <v>842</v>
      </c>
      <c r="C319" t="s">
        <v>996</v>
      </c>
      <c r="D319" t="s">
        <v>13655</v>
      </c>
      <c r="E319" t="s">
        <v>15</v>
      </c>
      <c r="F319" t="s">
        <v>16969</v>
      </c>
      <c r="G319" t="s">
        <v>17945</v>
      </c>
      <c r="H319" t="s">
        <v>1121</v>
      </c>
      <c r="I319" t="s">
        <v>1117</v>
      </c>
      <c r="J319" t="s">
        <v>16970</v>
      </c>
      <c r="K319" t="s">
        <v>16971</v>
      </c>
      <c r="L319" t="s">
        <v>21</v>
      </c>
      <c r="M319" t="s">
        <v>19177</v>
      </c>
      <c r="N319" t="s">
        <v>714</v>
      </c>
      <c r="O319" t="s">
        <v>10263</v>
      </c>
      <c r="P319" t="s">
        <v>12</v>
      </c>
    </row>
    <row r="320">
      <c r="A320">
        <f>HYPERLINK("http://bombeiros.sp.gov.br/hidrantes/03individual/27227.html","27227")</f>
      </c>
      <c r="B320" t="s">
        <v>842</v>
      </c>
      <c r="C320" t="s">
        <v>945</v>
      </c>
      <c r="D320" t="s">
        <v>1016</v>
      </c>
      <c r="E320" t="s">
        <v>15</v>
      </c>
      <c r="F320" t="s">
        <v>16989</v>
      </c>
      <c r="G320" t="s">
        <v>18173</v>
      </c>
      <c r="H320" t="s">
        <v>1121</v>
      </c>
      <c r="I320" t="s">
        <v>1117</v>
      </c>
      <c r="J320" t="s">
        <v>16990</v>
      </c>
      <c r="K320" t="s">
        <v>16991</v>
      </c>
      <c r="L320" t="s">
        <v>21</v>
      </c>
      <c r="M320" t="s">
        <v>19177</v>
      </c>
      <c r="N320" t="s">
        <v>97</v>
      </c>
      <c r="O320" t="s">
        <v>937</v>
      </c>
      <c r="P320" t="s">
        <v>12</v>
      </c>
    </row>
    <row r="321">
      <c r="A321">
        <f>HYPERLINK("http://bombeiros.sp.gov.br/hidrantes/03individual/17679.html","17679")</f>
      </c>
      <c r="B321" t="s">
        <v>842</v>
      </c>
      <c r="C321" t="s">
        <v>945</v>
      </c>
      <c r="D321" t="s">
        <v>13774</v>
      </c>
      <c r="E321" t="s">
        <v>15</v>
      </c>
      <c r="F321" t="s">
        <v>13860</v>
      </c>
      <c r="G321" t="s">
        <v>18153</v>
      </c>
      <c r="H321" t="s">
        <v>1107</v>
      </c>
      <c r="I321" t="s">
        <v>1108</v>
      </c>
      <c r="J321" t="s">
        <v>13861</v>
      </c>
      <c r="K321" t="s">
        <v>13862</v>
      </c>
      <c r="L321" t="s">
        <v>21</v>
      </c>
      <c r="M321" t="s">
        <v>19177</v>
      </c>
      <c r="N321" t="s">
        <v>97</v>
      </c>
      <c r="O321" t="s">
        <v>937</v>
      </c>
      <c r="P321" t="s">
        <v>12</v>
      </c>
    </row>
    <row r="322">
      <c r="A322">
        <f>HYPERLINK("http://bombeiros.sp.gov.br/hidrantes/03individual/3639.html","3639")</f>
      </c>
      <c r="B322" t="s">
        <v>842</v>
      </c>
      <c r="C322" t="s">
        <v>945</v>
      </c>
      <c r="D322" t="s">
        <v>1020</v>
      </c>
      <c r="E322" t="s">
        <v>15</v>
      </c>
      <c r="F322" t="s">
        <v>13893</v>
      </c>
      <c r="G322" t="s">
        <v>18160</v>
      </c>
      <c r="H322" t="s">
        <v>1107</v>
      </c>
      <c r="I322" t="s">
        <v>1117</v>
      </c>
      <c r="J322" t="s">
        <v>13894</v>
      </c>
      <c r="K322" t="s">
        <v>13895</v>
      </c>
      <c r="L322" t="s">
        <v>21</v>
      </c>
      <c r="M322" t="s">
        <v>19177</v>
      </c>
      <c r="N322" t="s">
        <v>97</v>
      </c>
      <c r="O322" t="s">
        <v>937</v>
      </c>
      <c r="P322" t="s">
        <v>12</v>
      </c>
    </row>
    <row r="323">
      <c r="A323">
        <f>HYPERLINK("http://bombeiros.sp.gov.br/hidrantes/03individual/4356.html","4356")</f>
      </c>
      <c r="B323" t="s">
        <v>842</v>
      </c>
      <c r="C323" t="s">
        <v>945</v>
      </c>
      <c r="D323" t="s">
        <v>13908</v>
      </c>
      <c r="E323" t="s">
        <v>15</v>
      </c>
      <c r="F323" t="s">
        <v>13963</v>
      </c>
      <c r="G323" t="s">
        <v>18150</v>
      </c>
      <c r="H323" t="s">
        <v>1107</v>
      </c>
      <c r="I323" t="s">
        <v>1108</v>
      </c>
      <c r="J323" t="s">
        <v>13964</v>
      </c>
      <c r="K323" t="s">
        <v>13965</v>
      </c>
      <c r="L323" t="s">
        <v>21</v>
      </c>
      <c r="M323" t="s">
        <v>19177</v>
      </c>
      <c r="N323" t="s">
        <v>97</v>
      </c>
      <c r="O323" t="s">
        <v>937</v>
      </c>
      <c r="P323" t="s">
        <v>12</v>
      </c>
    </row>
    <row r="324">
      <c r="A324">
        <f>HYPERLINK("http://bombeiros.sp.gov.br/hidrantes/03individual/4367.html","4367")</f>
      </c>
      <c r="B324" t="s">
        <v>842</v>
      </c>
      <c r="C324" t="s">
        <v>945</v>
      </c>
      <c r="D324" t="s">
        <v>13908</v>
      </c>
      <c r="E324" t="s">
        <v>15</v>
      </c>
      <c r="F324" t="s">
        <v>13981</v>
      </c>
      <c r="G324" t="s">
        <v>18055</v>
      </c>
      <c r="H324" t="s">
        <v>1107</v>
      </c>
      <c r="I324" t="s">
        <v>1108</v>
      </c>
      <c r="J324" t="s">
        <v>13982</v>
      </c>
      <c r="K324" t="s">
        <v>13983</v>
      </c>
      <c r="L324" t="s">
        <v>21</v>
      </c>
      <c r="M324" t="s">
        <v>19177</v>
      </c>
      <c r="N324" t="s">
        <v>97</v>
      </c>
      <c r="O324" t="s">
        <v>937</v>
      </c>
      <c r="P324" t="s">
        <v>12</v>
      </c>
    </row>
    <row r="325">
      <c r="A325">
        <f>HYPERLINK("http://bombeiros.sp.gov.br/hidrantes/03individual/4008.html","4008")</f>
      </c>
      <c r="B325" t="s">
        <v>842</v>
      </c>
      <c r="C325" t="s">
        <v>1065</v>
      </c>
      <c r="D325" t="s">
        <v>14295</v>
      </c>
      <c r="E325" t="s">
        <v>15</v>
      </c>
      <c r="F325" t="s">
        <v>14358</v>
      </c>
      <c r="G325" t="s">
        <v>18167</v>
      </c>
      <c r="H325" t="s">
        <v>1112</v>
      </c>
      <c r="I325" t="s">
        <v>1108</v>
      </c>
      <c r="J325" t="s">
        <v>14359</v>
      </c>
      <c r="K325" t="s">
        <v>14360</v>
      </c>
      <c r="L325" t="s">
        <v>21</v>
      </c>
      <c r="M325" t="s">
        <v>19177</v>
      </c>
      <c r="N325" t="s">
        <v>714</v>
      </c>
      <c r="O325" t="s">
        <v>10263</v>
      </c>
      <c r="P325" t="s">
        <v>12</v>
      </c>
    </row>
    <row r="326">
      <c r="A326">
        <f>HYPERLINK("http://bombeiros.sp.gov.br/hidrantes/03individual/3985.html","3985")</f>
      </c>
      <c r="B326" t="s">
        <v>842</v>
      </c>
      <c r="C326" t="s">
        <v>1065</v>
      </c>
      <c r="D326" t="s">
        <v>14385</v>
      </c>
      <c r="E326" t="s">
        <v>15</v>
      </c>
      <c r="F326" t="s">
        <v>14442</v>
      </c>
      <c r="G326" t="s">
        <v>18166</v>
      </c>
      <c r="H326" t="s">
        <v>1121</v>
      </c>
      <c r="I326" t="s">
        <v>1117</v>
      </c>
      <c r="J326" t="s">
        <v>14443</v>
      </c>
      <c r="K326" t="s">
        <v>14444</v>
      </c>
      <c r="L326" t="s">
        <v>21</v>
      </c>
      <c r="M326" t="s">
        <v>19177</v>
      </c>
      <c r="N326" t="s">
        <v>714</v>
      </c>
      <c r="O326" t="s">
        <v>10263</v>
      </c>
      <c r="P326" t="s">
        <v>12</v>
      </c>
    </row>
    <row r="327">
      <c r="A327">
        <f>HYPERLINK("http://bombeiros.sp.gov.br/hidrantes/03individual/16606.html","16606")</f>
      </c>
      <c r="B327" t="s">
        <v>842</v>
      </c>
      <c r="C327" t="s">
        <v>1065</v>
      </c>
      <c r="D327" t="s">
        <v>14385</v>
      </c>
      <c r="E327" t="s">
        <v>15</v>
      </c>
      <c r="F327" t="s">
        <v>14445</v>
      </c>
      <c r="G327" t="s">
        <v>18563</v>
      </c>
      <c r="H327" t="s">
        <v>1121</v>
      </c>
      <c r="I327" t="s">
        <v>1117</v>
      </c>
      <c r="J327" t="s">
        <v>14481</v>
      </c>
      <c r="K327" t="s">
        <v>14482</v>
      </c>
      <c r="L327" t="s">
        <v>21</v>
      </c>
      <c r="M327" t="s">
        <v>19177</v>
      </c>
      <c r="N327" t="s">
        <v>714</v>
      </c>
      <c r="O327" t="s">
        <v>10263</v>
      </c>
      <c r="P327" t="s">
        <v>12</v>
      </c>
    </row>
    <row r="328">
      <c r="A328">
        <f>HYPERLINK("http://bombeiros.sp.gov.br/hidrantes/03individual/27219.html","27219")</f>
      </c>
      <c r="B328" t="s">
        <v>842</v>
      </c>
      <c r="C328" t="s">
        <v>1065</v>
      </c>
      <c r="D328" t="s">
        <v>14385</v>
      </c>
      <c r="E328" t="s">
        <v>15</v>
      </c>
      <c r="F328" t="s">
        <v>16979</v>
      </c>
      <c r="G328" t="s">
        <v>18129</v>
      </c>
      <c r="H328" t="s">
        <v>1121</v>
      </c>
      <c r="I328" t="s">
        <v>1117</v>
      </c>
      <c r="J328" t="s">
        <v>16980</v>
      </c>
      <c r="K328" t="s">
        <v>16981</v>
      </c>
      <c r="L328" t="s">
        <v>21</v>
      </c>
      <c r="M328" t="s">
        <v>19177</v>
      </c>
      <c r="N328" t="s">
        <v>714</v>
      </c>
      <c r="O328" t="s">
        <v>10263</v>
      </c>
      <c r="P328" t="s">
        <v>12</v>
      </c>
    </row>
    <row r="329">
      <c r="A329">
        <f>HYPERLINK("http://bombeiros.sp.gov.br/hidrantes/03individual/26823.html","26823")</f>
      </c>
      <c r="B329" t="s">
        <v>842</v>
      </c>
      <c r="C329" t="s">
        <v>1065</v>
      </c>
      <c r="D329" t="s">
        <v>1065</v>
      </c>
      <c r="E329" t="s">
        <v>15</v>
      </c>
      <c r="F329" t="s">
        <v>16100</v>
      </c>
      <c r="G329" t="s">
        <v>18174</v>
      </c>
      <c r="H329" t="s">
        <v>1107</v>
      </c>
      <c r="I329" t="s">
        <v>1108</v>
      </c>
      <c r="J329" t="s">
        <v>16101</v>
      </c>
      <c r="K329" t="s">
        <v>16102</v>
      </c>
      <c r="L329" t="s">
        <v>21</v>
      </c>
      <c r="M329" t="s">
        <v>19177</v>
      </c>
      <c r="N329" t="s">
        <v>714</v>
      </c>
      <c r="O329" t="s">
        <v>10263</v>
      </c>
      <c r="P329" t="s">
        <v>12</v>
      </c>
    </row>
    <row r="330">
      <c r="A330">
        <f>HYPERLINK("http://bombeiros.sp.gov.br/hidrantes/03individual/4085.html","4085")</f>
      </c>
      <c r="B330" t="s">
        <v>842</v>
      </c>
      <c r="C330" t="s">
        <v>1071</v>
      </c>
      <c r="D330" t="s">
        <v>1072</v>
      </c>
      <c r="E330" t="s">
        <v>15</v>
      </c>
      <c r="F330" t="s">
        <v>14584</v>
      </c>
      <c r="G330" t="s">
        <v>18052</v>
      </c>
      <c r="H330" t="s">
        <v>1112</v>
      </c>
      <c r="I330" t="s">
        <v>1108</v>
      </c>
      <c r="J330" t="s">
        <v>14585</v>
      </c>
      <c r="K330" t="s">
        <v>14586</v>
      </c>
      <c r="L330" t="s">
        <v>21</v>
      </c>
      <c r="M330" t="s">
        <v>19177</v>
      </c>
      <c r="N330" t="s">
        <v>16376</v>
      </c>
      <c r="O330" t="s">
        <v>16376</v>
      </c>
      <c r="P330" t="s">
        <v>842</v>
      </c>
    </row>
    <row r="331">
      <c r="A331">
        <f>HYPERLINK("http://bombeiros.sp.gov.br/hidrantes/03individual/4089.html","4089")</f>
      </c>
      <c r="B331" t="s">
        <v>842</v>
      </c>
      <c r="C331" t="s">
        <v>1071</v>
      </c>
      <c r="D331" t="s">
        <v>1083</v>
      </c>
      <c r="E331" t="s">
        <v>15</v>
      </c>
      <c r="F331" t="s">
        <v>14593</v>
      </c>
      <c r="G331" t="s">
        <v>18060</v>
      </c>
      <c r="H331" t="s">
        <v>1112</v>
      </c>
      <c r="I331" t="s">
        <v>1108</v>
      </c>
      <c r="J331" t="s">
        <v>14594</v>
      </c>
      <c r="K331" t="s">
        <v>14595</v>
      </c>
      <c r="L331" t="s">
        <v>21</v>
      </c>
      <c r="M331" t="s">
        <v>19177</v>
      </c>
      <c r="N331" t="s">
        <v>16376</v>
      </c>
      <c r="O331" t="s">
        <v>16376</v>
      </c>
      <c r="P331" t="s">
        <v>842</v>
      </c>
    </row>
    <row r="332">
      <c r="A332">
        <f>HYPERLINK("http://bombeiros.sp.gov.br/hidrantes/03individual/6709.html","6709")</f>
      </c>
      <c r="B332" t="s">
        <v>842</v>
      </c>
      <c r="C332" t="s">
        <v>1097</v>
      </c>
      <c r="D332" t="s">
        <v>1098</v>
      </c>
      <c r="E332" t="s">
        <v>15</v>
      </c>
      <c r="F332" t="s">
        <v>14630</v>
      </c>
      <c r="G332" t="s">
        <v>18076</v>
      </c>
      <c r="H332" t="s">
        <v>1121</v>
      </c>
      <c r="I332" t="s">
        <v>1117</v>
      </c>
      <c r="J332" t="s">
        <v>14631</v>
      </c>
      <c r="K332" t="s">
        <v>14632</v>
      </c>
      <c r="L332" t="s">
        <v>21</v>
      </c>
      <c r="M332" t="s">
        <v>19177</v>
      </c>
      <c r="N332" t="s">
        <v>16375</v>
      </c>
      <c r="O332" t="s">
        <v>640</v>
      </c>
      <c r="P332" t="s">
        <v>623</v>
      </c>
    </row>
    <row r="333">
      <c r="A333">
        <f>HYPERLINK("http://bombeiros.sp.gov.br/hidrantes/03individual/6710.html","6710")</f>
      </c>
      <c r="B333" t="s">
        <v>842</v>
      </c>
      <c r="C333" t="s">
        <v>1097</v>
      </c>
      <c r="D333" t="s">
        <v>1098</v>
      </c>
      <c r="E333" t="s">
        <v>15</v>
      </c>
      <c r="F333" t="s">
        <v>14633</v>
      </c>
      <c r="G333" t="s">
        <v>18076</v>
      </c>
      <c r="H333" t="s">
        <v>1174</v>
      </c>
      <c r="I333" t="s">
        <v>1117</v>
      </c>
      <c r="J333" t="s">
        <v>14634</v>
      </c>
      <c r="K333" t="s">
        <v>14635</v>
      </c>
      <c r="L333" t="s">
        <v>21</v>
      </c>
      <c r="M333" t="s">
        <v>19177</v>
      </c>
      <c r="N333" t="s">
        <v>16375</v>
      </c>
      <c r="O333" t="s">
        <v>640</v>
      </c>
      <c r="P333" t="s">
        <v>623</v>
      </c>
    </row>
    <row r="334">
      <c r="A334">
        <f>HYPERLINK("http://bombeiros.sp.gov.br/hidrantes/03individual/26891.html","26891")</f>
      </c>
      <c r="B334" t="s">
        <v>842</v>
      </c>
      <c r="C334" t="s">
        <v>14642</v>
      </c>
      <c r="D334" t="s">
        <v>14665</v>
      </c>
      <c r="E334" t="s">
        <v>15</v>
      </c>
      <c r="F334" t="s">
        <v>16315</v>
      </c>
      <c r="G334" t="s">
        <v>18173</v>
      </c>
      <c r="H334" t="s">
        <v>1121</v>
      </c>
      <c r="I334" t="s">
        <v>1117</v>
      </c>
      <c r="J334" t="s">
        <v>16316</v>
      </c>
      <c r="K334" t="s">
        <v>16317</v>
      </c>
      <c r="L334" t="s">
        <v>21</v>
      </c>
      <c r="M334" t="s">
        <v>19177</v>
      </c>
      <c r="N334" t="s">
        <v>714</v>
      </c>
      <c r="O334" t="s">
        <v>10263</v>
      </c>
      <c r="P334" t="s">
        <v>12</v>
      </c>
    </row>
    <row r="335">
      <c r="A335">
        <f>HYPERLINK("http://bombeiros.sp.gov.br/hidrantes/03individual/292.html","292")</f>
      </c>
      <c r="B335" t="s">
        <v>842</v>
      </c>
      <c r="C335" t="s">
        <v>14642</v>
      </c>
      <c r="D335" t="s">
        <v>14687</v>
      </c>
      <c r="E335" t="s">
        <v>15</v>
      </c>
      <c r="F335" t="s">
        <v>14700</v>
      </c>
      <c r="G335" t="s">
        <v>17123</v>
      </c>
      <c r="H335" t="s">
        <v>1121</v>
      </c>
      <c r="I335" t="s">
        <v>1117</v>
      </c>
      <c r="J335" t="s">
        <v>14701</v>
      </c>
      <c r="K335" t="s">
        <v>14702</v>
      </c>
      <c r="L335" t="s">
        <v>21</v>
      </c>
      <c r="M335" t="s">
        <v>19177</v>
      </c>
      <c r="N335" t="s">
        <v>714</v>
      </c>
      <c r="O335" t="s">
        <v>10263</v>
      </c>
      <c r="P335" t="s">
        <v>12</v>
      </c>
    </row>
    <row r="336">
      <c r="A336">
        <f>HYPERLINK("http://bombeiros.sp.gov.br/hidrantes/03individual/350.html","350")</f>
      </c>
      <c r="B336" t="s">
        <v>842</v>
      </c>
      <c r="C336" t="s">
        <v>14642</v>
      </c>
      <c r="D336" t="s">
        <v>14776</v>
      </c>
      <c r="E336" t="s">
        <v>15</v>
      </c>
      <c r="F336" t="s">
        <v>14800</v>
      </c>
      <c r="G336" t="s">
        <v>18048</v>
      </c>
      <c r="H336" t="s">
        <v>1121</v>
      </c>
      <c r="I336" t="s">
        <v>1117</v>
      </c>
      <c r="J336" t="s">
        <v>14801</v>
      </c>
      <c r="K336" t="s">
        <v>14802</v>
      </c>
      <c r="L336" t="s">
        <v>21</v>
      </c>
      <c r="M336" t="s">
        <v>19177</v>
      </c>
      <c r="N336" t="s">
        <v>714</v>
      </c>
      <c r="O336" t="s">
        <v>10263</v>
      </c>
      <c r="P336" t="s">
        <v>12</v>
      </c>
    </row>
    <row r="337">
      <c r="A337">
        <f>HYPERLINK("http://bombeiros.sp.gov.br/hidrantes/03individual/2541.html","2541")</f>
      </c>
      <c r="B337" t="s">
        <v>842</v>
      </c>
      <c r="C337" t="s">
        <v>14642</v>
      </c>
      <c r="D337" t="s">
        <v>14776</v>
      </c>
      <c r="E337" t="s">
        <v>15</v>
      </c>
      <c r="F337" t="s">
        <v>14812</v>
      </c>
      <c r="G337" t="s">
        <v>1322</v>
      </c>
      <c r="H337" t="s">
        <v>1121</v>
      </c>
      <c r="I337" t="s">
        <v>1117</v>
      </c>
      <c r="J337" t="s">
        <v>14813</v>
      </c>
      <c r="K337" t="s">
        <v>14814</v>
      </c>
      <c r="L337" t="s">
        <v>21</v>
      </c>
      <c r="M337" t="s">
        <v>19177</v>
      </c>
      <c r="N337" t="s">
        <v>714</v>
      </c>
      <c r="O337" t="s">
        <v>10263</v>
      </c>
      <c r="P337" t="s">
        <v>12</v>
      </c>
    </row>
    <row r="338">
      <c r="A338">
        <f>HYPERLINK("http://bombeiros.sp.gov.br/hidrantes/03individual/306.html","306")</f>
      </c>
      <c r="B338" t="s">
        <v>842</v>
      </c>
      <c r="C338" t="s">
        <v>14642</v>
      </c>
      <c r="D338" t="s">
        <v>14833</v>
      </c>
      <c r="E338" t="s">
        <v>15</v>
      </c>
      <c r="F338" t="s">
        <v>14849</v>
      </c>
      <c r="G338" t="s">
        <v>18099</v>
      </c>
      <c r="H338" t="s">
        <v>1121</v>
      </c>
      <c r="I338" t="s">
        <v>1117</v>
      </c>
      <c r="J338" t="s">
        <v>14850</v>
      </c>
      <c r="K338" t="s">
        <v>14851</v>
      </c>
      <c r="L338" t="s">
        <v>36</v>
      </c>
      <c r="M338" t="s">
        <v>19177</v>
      </c>
      <c r="N338" t="s">
        <v>714</v>
      </c>
      <c r="O338" t="s">
        <v>10263</v>
      </c>
      <c r="P338" t="s">
        <v>12</v>
      </c>
    </row>
    <row r="339">
      <c r="A339">
        <f>HYPERLINK("http://bombeiros.sp.gov.br/hidrantes/03individual/2322.html","2322")</f>
      </c>
      <c r="B339" t="s">
        <v>842</v>
      </c>
      <c r="C339" t="s">
        <v>14642</v>
      </c>
      <c r="D339" t="s">
        <v>14833</v>
      </c>
      <c r="E339" t="s">
        <v>15</v>
      </c>
      <c r="F339" t="s">
        <v>14876</v>
      </c>
      <c r="G339" t="s">
        <v>18066</v>
      </c>
      <c r="H339" t="s">
        <v>1121</v>
      </c>
      <c r="I339" t="s">
        <v>1117</v>
      </c>
      <c r="J339" t="s">
        <v>14877</v>
      </c>
      <c r="K339" t="s">
        <v>14878</v>
      </c>
      <c r="L339" t="s">
        <v>21</v>
      </c>
      <c r="M339" t="s">
        <v>19177</v>
      </c>
      <c r="N339" t="s">
        <v>714</v>
      </c>
      <c r="O339" t="s">
        <v>10263</v>
      </c>
      <c r="P339" t="s">
        <v>12</v>
      </c>
    </row>
    <row r="340">
      <c r="A340">
        <f>HYPERLINK("http://bombeiros.sp.gov.br/hidrantes/03individual/2012.html","2012")</f>
      </c>
      <c r="B340" t="s">
        <v>842</v>
      </c>
      <c r="C340" t="s">
        <v>14642</v>
      </c>
      <c r="D340" t="s">
        <v>14888</v>
      </c>
      <c r="E340" t="s">
        <v>15</v>
      </c>
      <c r="F340" t="s">
        <v>14907</v>
      </c>
      <c r="G340" t="s">
        <v>18545</v>
      </c>
      <c r="H340" t="s">
        <v>1107</v>
      </c>
      <c r="I340" t="s">
        <v>1108</v>
      </c>
      <c r="J340" t="s">
        <v>14908</v>
      </c>
      <c r="K340" t="s">
        <v>14909</v>
      </c>
      <c r="L340" t="s">
        <v>21</v>
      </c>
      <c r="M340" t="s">
        <v>19177</v>
      </c>
      <c r="N340" t="s">
        <v>714</v>
      </c>
      <c r="O340" t="s">
        <v>10263</v>
      </c>
      <c r="P340" t="s">
        <v>12</v>
      </c>
    </row>
    <row r="341">
      <c r="A341">
        <f>HYPERLINK("http://bombeiros.sp.gov.br/hidrantes/03individual/28079.html","28079")</f>
      </c>
      <c r="B341" t="s">
        <v>842</v>
      </c>
      <c r="C341" t="s">
        <v>14642</v>
      </c>
      <c r="D341" t="s">
        <v>14888</v>
      </c>
      <c r="E341" t="s">
        <v>15</v>
      </c>
      <c r="F341" t="s">
        <v>18175</v>
      </c>
      <c r="G341" t="s">
        <v>18073</v>
      </c>
      <c r="H341" t="s">
        <v>1121</v>
      </c>
      <c r="I341" t="s">
        <v>1117</v>
      </c>
      <c r="J341" t="s">
        <v>18176</v>
      </c>
      <c r="K341" t="s">
        <v>18177</v>
      </c>
      <c r="L341" t="s">
        <v>21</v>
      </c>
      <c r="M341" t="s">
        <v>19177</v>
      </c>
      <c r="N341" t="s">
        <v>714</v>
      </c>
      <c r="O341" t="s">
        <v>10263</v>
      </c>
      <c r="P341" t="s">
        <v>12</v>
      </c>
    </row>
    <row r="342">
      <c r="A342">
        <f>HYPERLINK("http://bombeiros.sp.gov.br/hidrantes/03individual/2269.html","2269")</f>
      </c>
      <c r="B342" t="s">
        <v>842</v>
      </c>
      <c r="C342" t="s">
        <v>14642</v>
      </c>
      <c r="D342" t="s">
        <v>14642</v>
      </c>
      <c r="E342" t="s">
        <v>15</v>
      </c>
      <c r="F342" t="s">
        <v>14978</v>
      </c>
      <c r="G342" t="s">
        <v>18178</v>
      </c>
      <c r="H342" t="s">
        <v>1107</v>
      </c>
      <c r="I342" t="s">
        <v>1108</v>
      </c>
      <c r="J342" t="s">
        <v>14979</v>
      </c>
      <c r="K342" t="s">
        <v>14980</v>
      </c>
      <c r="L342" t="s">
        <v>21</v>
      </c>
      <c r="M342" t="s">
        <v>19177</v>
      </c>
      <c r="N342" t="s">
        <v>714</v>
      </c>
      <c r="O342" t="s">
        <v>10263</v>
      </c>
      <c r="P342" t="s">
        <v>12</v>
      </c>
    </row>
  </sheetData>
</worksheet>
</file>

<file path=xl/worksheets/sheet52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0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5.7109375" customWidth="true"/>
    <col min="4" max="4" width="20.7109375" customWidth="true"/>
    <col min="5" max="5" width="20.7109375" customWidth="true"/>
    <col min="6" max="6" width="100.7109375" customWidth="true"/>
    <col min="7" max="7" width="12.7109375" customWidth="true"/>
    <col min="8" max="8" width="15.7109375" customWidth="true"/>
    <col min="9" max="9" width="20.7109375" customWidth="true"/>
    <col min="10" max="10" width="20.7109375" customWidth="true"/>
    <col min="11" max="11" width="20.7109375" customWidth="true"/>
    <col min="12" max="12" width="10.7109375" customWidth="true"/>
    <col min="13" max="13" width="12.7109375" customWidth="true"/>
    <col min="14" max="14" width="30.7109375" customWidth="true"/>
    <col min="15" max="15" width="30.7109375" customWidth="true"/>
    <col min="16" max="16" width="3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14981</v>
      </c>
      <c r="N1" t="s">
        <v>16370</v>
      </c>
      <c r="O1" t="s">
        <v>16371</v>
      </c>
      <c r="P1" t="s">
        <v>16372</v>
      </c>
    </row>
    <row r="2">
      <c r="A2">
        <f>HYPERLINK("http://bombeiros.sp.gov.br/hidrantes/03individual/810.html","810")</f>
      </c>
      <c r="B2" t="s">
        <v>12</v>
      </c>
      <c r="C2" t="s">
        <v>30</v>
      </c>
      <c r="D2" t="s">
        <v>30</v>
      </c>
      <c r="E2" t="s">
        <v>64</v>
      </c>
      <c r="F2" t="s">
        <v>1286</v>
      </c>
      <c r="G2" t="s">
        <v>18083</v>
      </c>
      <c r="H2" t="s">
        <v>1112</v>
      </c>
      <c r="I2" t="s">
        <v>1117</v>
      </c>
      <c r="J2" t="s">
        <v>1288</v>
      </c>
      <c r="K2" t="s">
        <v>1289</v>
      </c>
      <c r="L2" t="s">
        <v>21</v>
      </c>
      <c r="M2" t="s">
        <v>19177</v>
      </c>
      <c r="N2" t="s">
        <v>97</v>
      </c>
      <c r="O2" t="s">
        <v>937</v>
      </c>
      <c r="P2" t="s">
        <v>12</v>
      </c>
    </row>
    <row r="3">
      <c r="A3">
        <f>HYPERLINK("http://bombeiros.sp.gov.br/hidrantes/03individual/2817.html","2817")</f>
      </c>
      <c r="B3" t="s">
        <v>12</v>
      </c>
      <c r="C3" t="s">
        <v>30</v>
      </c>
      <c r="D3" t="s">
        <v>31</v>
      </c>
      <c r="E3" t="s">
        <v>64</v>
      </c>
      <c r="F3" t="s">
        <v>1393</v>
      </c>
      <c r="G3" t="s">
        <v>18044</v>
      </c>
      <c r="H3" t="s">
        <v>1107</v>
      </c>
      <c r="I3" t="s">
        <v>1117</v>
      </c>
      <c r="J3" t="s">
        <v>1394</v>
      </c>
      <c r="K3" t="s">
        <v>1395</v>
      </c>
      <c r="L3" t="s">
        <v>36</v>
      </c>
      <c r="M3" t="s">
        <v>19177</v>
      </c>
      <c r="N3" t="s">
        <v>97</v>
      </c>
      <c r="O3" t="s">
        <v>937</v>
      </c>
      <c r="P3" t="s">
        <v>12</v>
      </c>
    </row>
    <row r="4">
      <c r="A4">
        <f>HYPERLINK("http://bombeiros.sp.gov.br/hidrantes/03individual/40.html","40")</f>
      </c>
      <c r="B4" t="s">
        <v>12</v>
      </c>
      <c r="C4" t="s">
        <v>37</v>
      </c>
      <c r="D4" t="s">
        <v>38</v>
      </c>
      <c r="E4" t="s">
        <v>64</v>
      </c>
      <c r="F4" t="s">
        <v>1611</v>
      </c>
      <c r="G4" t="s">
        <v>18076</v>
      </c>
      <c r="H4" t="s">
        <v>1121</v>
      </c>
      <c r="I4" t="s">
        <v>1117</v>
      </c>
      <c r="J4" t="s">
        <v>1612</v>
      </c>
      <c r="K4" t="s">
        <v>1613</v>
      </c>
      <c r="L4" t="s">
        <v>21</v>
      </c>
      <c r="M4" t="s">
        <v>19177</v>
      </c>
      <c r="N4" t="s">
        <v>97</v>
      </c>
      <c r="O4" t="s">
        <v>937</v>
      </c>
      <c r="P4" t="s">
        <v>12</v>
      </c>
    </row>
    <row r="5">
      <c r="A5">
        <f>HYPERLINK("http://bombeiros.sp.gov.br/hidrantes/03individual/1820.html","1820")</f>
      </c>
      <c r="B5" t="s">
        <v>12</v>
      </c>
      <c r="C5" t="s">
        <v>37</v>
      </c>
      <c r="D5" t="s">
        <v>38</v>
      </c>
      <c r="E5" t="s">
        <v>64</v>
      </c>
      <c r="F5" t="s">
        <v>1626</v>
      </c>
      <c r="G5" t="s">
        <v>18077</v>
      </c>
      <c r="H5" t="s">
        <v>1121</v>
      </c>
      <c r="I5" t="s">
        <v>1117</v>
      </c>
      <c r="J5" t="s">
        <v>1627</v>
      </c>
      <c r="K5" t="s">
        <v>1628</v>
      </c>
      <c r="L5" t="s">
        <v>21</v>
      </c>
      <c r="M5" t="s">
        <v>19177</v>
      </c>
      <c r="N5" t="s">
        <v>97</v>
      </c>
      <c r="O5" t="s">
        <v>937</v>
      </c>
      <c r="P5" t="s">
        <v>12</v>
      </c>
    </row>
    <row r="6">
      <c r="A6">
        <f>HYPERLINK("http://bombeiros.sp.gov.br/hidrantes/03individual/844.html","844")</f>
      </c>
      <c r="B6" t="s">
        <v>12</v>
      </c>
      <c r="C6" t="s">
        <v>47</v>
      </c>
      <c r="D6" t="s">
        <v>47</v>
      </c>
      <c r="E6" t="s">
        <v>64</v>
      </c>
      <c r="F6" t="s">
        <v>1707</v>
      </c>
      <c r="G6" t="s">
        <v>18179</v>
      </c>
      <c r="H6" t="s">
        <v>1121</v>
      </c>
      <c r="I6" t="s">
        <v>1117</v>
      </c>
      <c r="J6" t="s">
        <v>1708</v>
      </c>
      <c r="K6" t="s">
        <v>1709</v>
      </c>
      <c r="L6" t="s">
        <v>36</v>
      </c>
      <c r="M6" t="s">
        <v>19177</v>
      </c>
      <c r="N6" t="s">
        <v>714</v>
      </c>
      <c r="O6" t="s">
        <v>10263</v>
      </c>
      <c r="P6" t="s">
        <v>12</v>
      </c>
    </row>
    <row r="7">
      <c r="A7">
        <f>HYPERLINK("http://bombeiros.sp.gov.br/hidrantes/03individual/196.html","196")</f>
      </c>
      <c r="B7" t="s">
        <v>12</v>
      </c>
      <c r="C7" t="s">
        <v>47</v>
      </c>
      <c r="D7" t="s">
        <v>1860</v>
      </c>
      <c r="E7" t="s">
        <v>64</v>
      </c>
      <c r="F7" t="s">
        <v>1861</v>
      </c>
      <c r="G7" t="s">
        <v>18051</v>
      </c>
      <c r="H7" t="s">
        <v>1121</v>
      </c>
      <c r="I7" t="s">
        <v>1117</v>
      </c>
      <c r="J7" t="s">
        <v>1862</v>
      </c>
      <c r="K7" t="s">
        <v>1863</v>
      </c>
      <c r="L7" t="s">
        <v>36</v>
      </c>
      <c r="M7" t="s">
        <v>19177</v>
      </c>
      <c r="N7" t="s">
        <v>714</v>
      </c>
      <c r="O7" t="s">
        <v>10263</v>
      </c>
      <c r="P7" t="s">
        <v>12</v>
      </c>
    </row>
    <row r="8">
      <c r="A8">
        <f>HYPERLINK("http://bombeiros.sp.gov.br/hidrantes/03individual/26665.html","26665")</f>
      </c>
      <c r="B8" t="s">
        <v>12</v>
      </c>
      <c r="C8" t="s">
        <v>57</v>
      </c>
      <c r="D8" t="s">
        <v>58</v>
      </c>
      <c r="E8" t="s">
        <v>64</v>
      </c>
      <c r="F8" t="s">
        <v>1982</v>
      </c>
      <c r="G8" t="s">
        <v>18073</v>
      </c>
      <c r="H8" t="s">
        <v>1107</v>
      </c>
      <c r="I8" t="s">
        <v>1108</v>
      </c>
      <c r="J8" t="s">
        <v>1983</v>
      </c>
      <c r="K8" t="s">
        <v>1984</v>
      </c>
      <c r="L8" t="s">
        <v>21</v>
      </c>
      <c r="M8" t="s">
        <v>19177</v>
      </c>
      <c r="N8" t="s">
        <v>97</v>
      </c>
      <c r="O8" t="s">
        <v>937</v>
      </c>
      <c r="P8" t="s">
        <v>12</v>
      </c>
    </row>
    <row r="9">
      <c r="A9">
        <f>HYPERLINK("http://bombeiros.sp.gov.br/hidrantes/03individual/27134.html","27134")</f>
      </c>
      <c r="B9" t="s">
        <v>12</v>
      </c>
      <c r="C9" t="s">
        <v>57</v>
      </c>
      <c r="D9" t="s">
        <v>58</v>
      </c>
      <c r="E9" t="s">
        <v>64</v>
      </c>
      <c r="F9" t="s">
        <v>16814</v>
      </c>
      <c r="G9" t="s">
        <v>18050</v>
      </c>
      <c r="H9" t="s">
        <v>1121</v>
      </c>
      <c r="I9" t="s">
        <v>1117</v>
      </c>
      <c r="J9" t="s">
        <v>16815</v>
      </c>
      <c r="K9" t="s">
        <v>16816</v>
      </c>
      <c r="L9" t="s">
        <v>21</v>
      </c>
      <c r="M9" t="s">
        <v>19177</v>
      </c>
      <c r="N9" t="s">
        <v>97</v>
      </c>
      <c r="O9" t="s">
        <v>937</v>
      </c>
      <c r="P9" t="s">
        <v>12</v>
      </c>
    </row>
    <row r="10">
      <c r="A10">
        <f>HYPERLINK("http://bombeiros.sp.gov.br/hidrantes/03individual/2789.html","2789")</f>
      </c>
      <c r="B10" t="s">
        <v>12</v>
      </c>
      <c r="C10" t="s">
        <v>63</v>
      </c>
      <c r="D10" t="s">
        <v>2064</v>
      </c>
      <c r="E10" t="s">
        <v>64</v>
      </c>
      <c r="F10" t="s">
        <v>2068</v>
      </c>
      <c r="G10" t="s">
        <v>18043</v>
      </c>
      <c r="H10" t="s">
        <v>1121</v>
      </c>
      <c r="I10" t="s">
        <v>1117</v>
      </c>
      <c r="J10" t="s">
        <v>2069</v>
      </c>
      <c r="K10" t="s">
        <v>2070</v>
      </c>
      <c r="L10" t="s">
        <v>36</v>
      </c>
      <c r="M10" t="s">
        <v>19177</v>
      </c>
      <c r="N10" t="s">
        <v>97</v>
      </c>
      <c r="O10" t="s">
        <v>937</v>
      </c>
      <c r="P10" t="s">
        <v>12</v>
      </c>
    </row>
    <row r="11">
      <c r="A11">
        <f>HYPERLINK("http://bombeiros.sp.gov.br/hidrantes/03individual/777.html","777")</f>
      </c>
      <c r="B11" t="s">
        <v>12</v>
      </c>
      <c r="C11" t="s">
        <v>63</v>
      </c>
      <c r="D11" t="s">
        <v>63</v>
      </c>
      <c r="E11" t="s">
        <v>64</v>
      </c>
      <c r="F11" t="s">
        <v>2113</v>
      </c>
      <c r="G11" t="s">
        <v>18064</v>
      </c>
      <c r="H11" t="s">
        <v>1121</v>
      </c>
      <c r="I11" t="s">
        <v>1117</v>
      </c>
      <c r="J11" t="s">
        <v>2114</v>
      </c>
      <c r="K11" t="s">
        <v>2115</v>
      </c>
      <c r="L11" t="s">
        <v>36</v>
      </c>
      <c r="M11" t="s">
        <v>19177</v>
      </c>
      <c r="N11" t="s">
        <v>97</v>
      </c>
      <c r="O11" t="s">
        <v>937</v>
      </c>
      <c r="P11" t="s">
        <v>12</v>
      </c>
    </row>
    <row r="12">
      <c r="A12">
        <f>HYPERLINK("http://bombeiros.sp.gov.br/hidrantes/03individual/2861.html","2861")</f>
      </c>
      <c r="B12" t="s">
        <v>12</v>
      </c>
      <c r="C12" t="s">
        <v>63</v>
      </c>
      <c r="D12" t="s">
        <v>63</v>
      </c>
      <c r="E12" t="s">
        <v>64</v>
      </c>
      <c r="F12" t="s">
        <v>2119</v>
      </c>
      <c r="G12" t="s">
        <v>18064</v>
      </c>
      <c r="H12" t="s">
        <v>1121</v>
      </c>
      <c r="I12" t="s">
        <v>1117</v>
      </c>
      <c r="J12" t="s">
        <v>2120</v>
      </c>
      <c r="K12" t="s">
        <v>2121</v>
      </c>
      <c r="L12" t="s">
        <v>36</v>
      </c>
      <c r="M12" t="s">
        <v>19177</v>
      </c>
      <c r="N12" t="s">
        <v>97</v>
      </c>
      <c r="O12" t="s">
        <v>937</v>
      </c>
      <c r="P12" t="s">
        <v>12</v>
      </c>
    </row>
    <row r="13">
      <c r="A13">
        <f>HYPERLINK("http://bombeiros.sp.gov.br/hidrantes/03individual/2830.html","2830")</f>
      </c>
      <c r="B13" t="s">
        <v>12</v>
      </c>
      <c r="C13" t="s">
        <v>63</v>
      </c>
      <c r="D13" t="s">
        <v>77</v>
      </c>
      <c r="E13" t="s">
        <v>64</v>
      </c>
      <c r="F13" t="s">
        <v>2239</v>
      </c>
      <c r="G13" t="s">
        <v>18072</v>
      </c>
      <c r="H13" t="s">
        <v>1107</v>
      </c>
      <c r="I13" t="s">
        <v>1108</v>
      </c>
      <c r="J13" t="s">
        <v>17009</v>
      </c>
      <c r="K13" t="s">
        <v>17010</v>
      </c>
      <c r="L13" t="s">
        <v>21</v>
      </c>
      <c r="M13" t="s">
        <v>19177</v>
      </c>
      <c r="N13" t="s">
        <v>97</v>
      </c>
      <c r="O13" t="s">
        <v>937</v>
      </c>
      <c r="P13" t="s">
        <v>12</v>
      </c>
    </row>
    <row r="14">
      <c r="A14">
        <f>HYPERLINK("http://bombeiros.sp.gov.br/hidrantes/03individual/2847.html","2847")</f>
      </c>
      <c r="B14" t="s">
        <v>12</v>
      </c>
      <c r="C14" t="s">
        <v>63</v>
      </c>
      <c r="D14" t="s">
        <v>77</v>
      </c>
      <c r="E14" t="s">
        <v>64</v>
      </c>
      <c r="F14" t="s">
        <v>2242</v>
      </c>
      <c r="G14" t="s">
        <v>18057</v>
      </c>
      <c r="H14" t="s">
        <v>1121</v>
      </c>
      <c r="I14" t="s">
        <v>1117</v>
      </c>
      <c r="J14" t="s">
        <v>2243</v>
      </c>
      <c r="K14" t="s">
        <v>2244</v>
      </c>
      <c r="L14" t="s">
        <v>36</v>
      </c>
      <c r="M14" t="s">
        <v>19177</v>
      </c>
      <c r="N14" t="s">
        <v>97</v>
      </c>
      <c r="O14" t="s">
        <v>937</v>
      </c>
      <c r="P14" t="s">
        <v>12</v>
      </c>
    </row>
    <row r="15">
      <c r="A15">
        <f>HYPERLINK("http://bombeiros.sp.gov.br/hidrantes/03individual/2848.html","2848")</f>
      </c>
      <c r="B15" t="s">
        <v>12</v>
      </c>
      <c r="C15" t="s">
        <v>63</v>
      </c>
      <c r="D15" t="s">
        <v>77</v>
      </c>
      <c r="E15" t="s">
        <v>64</v>
      </c>
      <c r="F15" t="s">
        <v>2245</v>
      </c>
      <c r="G15" t="s">
        <v>18057</v>
      </c>
      <c r="H15" t="s">
        <v>1121</v>
      </c>
      <c r="I15" t="s">
        <v>1117</v>
      </c>
      <c r="J15" t="s">
        <v>2246</v>
      </c>
      <c r="K15" t="s">
        <v>2247</v>
      </c>
      <c r="L15" t="s">
        <v>36</v>
      </c>
      <c r="M15" t="s">
        <v>19177</v>
      </c>
      <c r="N15" t="s">
        <v>97</v>
      </c>
      <c r="O15" t="s">
        <v>937</v>
      </c>
      <c r="P15" t="s">
        <v>12</v>
      </c>
    </row>
    <row r="16">
      <c r="A16">
        <f>HYPERLINK("http://bombeiros.sp.gov.br/hidrantes/03individual/2939.html","2939")</f>
      </c>
      <c r="B16" t="s">
        <v>12</v>
      </c>
      <c r="C16" t="s">
        <v>63</v>
      </c>
      <c r="D16" t="s">
        <v>77</v>
      </c>
      <c r="E16" t="s">
        <v>64</v>
      </c>
      <c r="F16" t="s">
        <v>2252</v>
      </c>
      <c r="G16" t="s">
        <v>18043</v>
      </c>
      <c r="H16" t="s">
        <v>1121</v>
      </c>
      <c r="I16" t="s">
        <v>1117</v>
      </c>
      <c r="J16" t="s">
        <v>16004</v>
      </c>
      <c r="K16" t="s">
        <v>16005</v>
      </c>
      <c r="L16" t="s">
        <v>36</v>
      </c>
      <c r="M16" t="s">
        <v>19177</v>
      </c>
      <c r="N16" t="s">
        <v>97</v>
      </c>
      <c r="O16" t="s">
        <v>937</v>
      </c>
      <c r="P16" t="s">
        <v>12</v>
      </c>
    </row>
    <row r="17">
      <c r="A17">
        <f>HYPERLINK("http://bombeiros.sp.gov.br/hidrantes/03individual/2941.html","2941")</f>
      </c>
      <c r="B17" t="s">
        <v>12</v>
      </c>
      <c r="C17" t="s">
        <v>63</v>
      </c>
      <c r="D17" t="s">
        <v>77</v>
      </c>
      <c r="E17" t="s">
        <v>64</v>
      </c>
      <c r="F17" t="s">
        <v>2255</v>
      </c>
      <c r="G17" t="s">
        <v>18067</v>
      </c>
      <c r="H17" t="s">
        <v>1121</v>
      </c>
      <c r="I17" t="s">
        <v>1117</v>
      </c>
      <c r="J17" t="s">
        <v>2256</v>
      </c>
      <c r="K17" t="s">
        <v>2257</v>
      </c>
      <c r="L17" t="s">
        <v>21</v>
      </c>
      <c r="M17" t="s">
        <v>19177</v>
      </c>
      <c r="N17" t="s">
        <v>97</v>
      </c>
      <c r="O17" t="s">
        <v>937</v>
      </c>
      <c r="P17" t="s">
        <v>12</v>
      </c>
    </row>
    <row r="18">
      <c r="A18">
        <f>HYPERLINK("http://bombeiros.sp.gov.br/hidrantes/03individual/14991.html","14991")</f>
      </c>
      <c r="B18" t="s">
        <v>12</v>
      </c>
      <c r="C18" t="s">
        <v>63</v>
      </c>
      <c r="D18" t="s">
        <v>77</v>
      </c>
      <c r="E18" t="s">
        <v>64</v>
      </c>
      <c r="F18" t="s">
        <v>2265</v>
      </c>
      <c r="G18" t="s">
        <v>18057</v>
      </c>
      <c r="H18" t="s">
        <v>1121</v>
      </c>
      <c r="I18" t="s">
        <v>1117</v>
      </c>
      <c r="J18" t="s">
        <v>2266</v>
      </c>
      <c r="K18" t="s">
        <v>2267</v>
      </c>
      <c r="L18" t="s">
        <v>21</v>
      </c>
      <c r="M18" t="s">
        <v>19177</v>
      </c>
      <c r="N18" t="s">
        <v>97</v>
      </c>
      <c r="O18" t="s">
        <v>937</v>
      </c>
      <c r="P18" t="s">
        <v>12</v>
      </c>
    </row>
    <row r="19">
      <c r="A19">
        <f>HYPERLINK("http://bombeiros.sp.gov.br/hidrantes/03individual/2919.html","2919")</f>
      </c>
      <c r="B19" t="s">
        <v>12</v>
      </c>
      <c r="C19" t="s">
        <v>92</v>
      </c>
      <c r="D19" t="s">
        <v>2332</v>
      </c>
      <c r="E19" t="s">
        <v>64</v>
      </c>
      <c r="F19" t="s">
        <v>2339</v>
      </c>
      <c r="G19" t="s">
        <v>18057</v>
      </c>
      <c r="H19" t="s">
        <v>1121</v>
      </c>
      <c r="I19" t="s">
        <v>1117</v>
      </c>
      <c r="J19" t="s">
        <v>2341</v>
      </c>
      <c r="K19" t="s">
        <v>2342</v>
      </c>
      <c r="L19" t="s">
        <v>36</v>
      </c>
      <c r="M19" t="s">
        <v>19177</v>
      </c>
      <c r="N19" t="s">
        <v>97</v>
      </c>
      <c r="O19" t="s">
        <v>937</v>
      </c>
      <c r="P19" t="s">
        <v>12</v>
      </c>
    </row>
    <row r="20">
      <c r="A20">
        <f>HYPERLINK("http://bombeiros.sp.gov.br/hidrantes/03individual/2805.html","2805")</f>
      </c>
      <c r="B20" t="s">
        <v>12</v>
      </c>
      <c r="C20" t="s">
        <v>92</v>
      </c>
      <c r="D20" t="s">
        <v>92</v>
      </c>
      <c r="E20" t="s">
        <v>64</v>
      </c>
      <c r="F20" t="s">
        <v>2544</v>
      </c>
      <c r="G20" t="s">
        <v>18055</v>
      </c>
      <c r="H20" t="s">
        <v>1121</v>
      </c>
      <c r="I20" t="s">
        <v>1117</v>
      </c>
      <c r="J20" t="s">
        <v>2545</v>
      </c>
      <c r="K20" t="s">
        <v>2546</v>
      </c>
      <c r="L20" t="s">
        <v>36</v>
      </c>
      <c r="M20" t="s">
        <v>19177</v>
      </c>
      <c r="N20" t="s">
        <v>97</v>
      </c>
      <c r="O20" t="s">
        <v>937</v>
      </c>
      <c r="P20" t="s">
        <v>12</v>
      </c>
    </row>
    <row r="21">
      <c r="A21">
        <f>HYPERLINK("http://bombeiros.sp.gov.br/hidrantes/03individual/2810.html","2810")</f>
      </c>
      <c r="B21" t="s">
        <v>12</v>
      </c>
      <c r="C21" t="s">
        <v>92</v>
      </c>
      <c r="D21" t="s">
        <v>92</v>
      </c>
      <c r="E21" t="s">
        <v>64</v>
      </c>
      <c r="F21" t="s">
        <v>2547</v>
      </c>
      <c r="G21" t="s">
        <v>18055</v>
      </c>
      <c r="H21" t="s">
        <v>1121</v>
      </c>
      <c r="I21" t="s">
        <v>1117</v>
      </c>
      <c r="J21" t="s">
        <v>2548</v>
      </c>
      <c r="K21" t="s">
        <v>2549</v>
      </c>
      <c r="L21" t="s">
        <v>36</v>
      </c>
      <c r="M21" t="s">
        <v>19177</v>
      </c>
      <c r="N21" t="s">
        <v>97</v>
      </c>
      <c r="O21" t="s">
        <v>937</v>
      </c>
      <c r="P21" t="s">
        <v>12</v>
      </c>
    </row>
    <row r="22">
      <c r="A22">
        <f>HYPERLINK("http://bombeiros.sp.gov.br/hidrantes/03individual/2824.html","2824")</f>
      </c>
      <c r="B22" t="s">
        <v>12</v>
      </c>
      <c r="C22" t="s">
        <v>92</v>
      </c>
      <c r="D22" t="s">
        <v>92</v>
      </c>
      <c r="E22" t="s">
        <v>64</v>
      </c>
      <c r="F22" t="s">
        <v>2550</v>
      </c>
      <c r="G22" t="s">
        <v>18055</v>
      </c>
      <c r="H22" t="s">
        <v>1121</v>
      </c>
      <c r="I22" t="s">
        <v>1117</v>
      </c>
      <c r="J22" t="s">
        <v>2551</v>
      </c>
      <c r="K22" t="s">
        <v>2552</v>
      </c>
      <c r="L22" t="s">
        <v>36</v>
      </c>
      <c r="M22" t="s">
        <v>19177</v>
      </c>
      <c r="N22" t="s">
        <v>97</v>
      </c>
      <c r="O22" t="s">
        <v>937</v>
      </c>
      <c r="P22" t="s">
        <v>12</v>
      </c>
    </row>
    <row r="23">
      <c r="A23">
        <f>HYPERLINK("http://bombeiros.sp.gov.br/hidrantes/03individual/2895.html","2895")</f>
      </c>
      <c r="B23" t="s">
        <v>12</v>
      </c>
      <c r="C23" t="s">
        <v>92</v>
      </c>
      <c r="D23" t="s">
        <v>92</v>
      </c>
      <c r="E23" t="s">
        <v>64</v>
      </c>
      <c r="F23" t="s">
        <v>2556</v>
      </c>
      <c r="G23" t="s">
        <v>18180</v>
      </c>
      <c r="H23" t="s">
        <v>1121</v>
      </c>
      <c r="I23" t="s">
        <v>1117</v>
      </c>
      <c r="J23" t="s">
        <v>2557</v>
      </c>
      <c r="K23" t="s">
        <v>2558</v>
      </c>
      <c r="L23" t="s">
        <v>36</v>
      </c>
      <c r="M23" t="s">
        <v>19177</v>
      </c>
      <c r="N23" t="s">
        <v>97</v>
      </c>
      <c r="O23" t="s">
        <v>937</v>
      </c>
      <c r="P23" t="s">
        <v>12</v>
      </c>
    </row>
    <row r="24">
      <c r="A24">
        <f>HYPERLINK("http://bombeiros.sp.gov.br/hidrantes/03individual/2905.html","2905")</f>
      </c>
      <c r="B24" t="s">
        <v>12</v>
      </c>
      <c r="C24" t="s">
        <v>92</v>
      </c>
      <c r="D24" t="s">
        <v>92</v>
      </c>
      <c r="E24" t="s">
        <v>64</v>
      </c>
      <c r="F24" t="s">
        <v>2559</v>
      </c>
      <c r="G24" t="s">
        <v>18070</v>
      </c>
      <c r="H24" t="s">
        <v>1121</v>
      </c>
      <c r="I24" t="s">
        <v>1108</v>
      </c>
      <c r="J24" t="s">
        <v>2560</v>
      </c>
      <c r="K24" t="s">
        <v>2561</v>
      </c>
      <c r="L24" t="s">
        <v>36</v>
      </c>
      <c r="M24" t="s">
        <v>19177</v>
      </c>
      <c r="N24" t="s">
        <v>97</v>
      </c>
      <c r="O24" t="s">
        <v>937</v>
      </c>
      <c r="P24" t="s">
        <v>12</v>
      </c>
    </row>
    <row r="25">
      <c r="A25">
        <f>HYPERLINK("http://bombeiros.sp.gov.br/hidrantes/03individual/2912.html","2912")</f>
      </c>
      <c r="B25" t="s">
        <v>12</v>
      </c>
      <c r="C25" t="s">
        <v>92</v>
      </c>
      <c r="D25" t="s">
        <v>92</v>
      </c>
      <c r="E25" t="s">
        <v>64</v>
      </c>
      <c r="F25" t="s">
        <v>2562</v>
      </c>
      <c r="G25" t="s">
        <v>18070</v>
      </c>
      <c r="H25" t="s">
        <v>1121</v>
      </c>
      <c r="I25" t="s">
        <v>1117</v>
      </c>
      <c r="J25" t="s">
        <v>2563</v>
      </c>
      <c r="K25" t="s">
        <v>2564</v>
      </c>
      <c r="L25" t="s">
        <v>21</v>
      </c>
      <c r="M25" t="s">
        <v>19177</v>
      </c>
      <c r="N25" t="s">
        <v>97</v>
      </c>
      <c r="O25" t="s">
        <v>937</v>
      </c>
      <c r="P25" t="s">
        <v>12</v>
      </c>
    </row>
    <row r="26">
      <c r="A26">
        <f>HYPERLINK("http://bombeiros.sp.gov.br/hidrantes/03individual/2950.html","2950")</f>
      </c>
      <c r="B26" t="s">
        <v>12</v>
      </c>
      <c r="C26" t="s">
        <v>92</v>
      </c>
      <c r="D26" t="s">
        <v>92</v>
      </c>
      <c r="E26" t="s">
        <v>64</v>
      </c>
      <c r="F26" t="s">
        <v>2565</v>
      </c>
      <c r="G26" t="s">
        <v>18070</v>
      </c>
      <c r="H26" t="s">
        <v>1121</v>
      </c>
      <c r="I26" t="s">
        <v>1117</v>
      </c>
      <c r="J26" t="s">
        <v>2566</v>
      </c>
      <c r="K26" t="s">
        <v>2567</v>
      </c>
      <c r="L26" t="s">
        <v>36</v>
      </c>
      <c r="M26" t="s">
        <v>19177</v>
      </c>
      <c r="N26" t="s">
        <v>97</v>
      </c>
      <c r="O26" t="s">
        <v>937</v>
      </c>
      <c r="P26" t="s">
        <v>12</v>
      </c>
    </row>
    <row r="27">
      <c r="A27">
        <f>HYPERLINK("http://bombeiros.sp.gov.br/hidrantes/03individual/27420.html","27420")</f>
      </c>
      <c r="B27" t="s">
        <v>12</v>
      </c>
      <c r="C27" t="s">
        <v>92</v>
      </c>
      <c r="D27" t="s">
        <v>92</v>
      </c>
      <c r="E27" t="s">
        <v>64</v>
      </c>
      <c r="F27" t="s">
        <v>17310</v>
      </c>
      <c r="G27" t="s">
        <v>18070</v>
      </c>
      <c r="H27" t="s">
        <v>1121</v>
      </c>
      <c r="I27" t="s">
        <v>1108</v>
      </c>
      <c r="J27" t="s">
        <v>17311</v>
      </c>
      <c r="K27" t="s">
        <v>17312</v>
      </c>
      <c r="L27" t="s">
        <v>21</v>
      </c>
      <c r="M27" t="s">
        <v>19177</v>
      </c>
      <c r="N27" t="s">
        <v>97</v>
      </c>
      <c r="O27" t="s">
        <v>937</v>
      </c>
      <c r="P27" t="s">
        <v>12</v>
      </c>
    </row>
    <row r="28">
      <c r="A28">
        <f>HYPERLINK("http://bombeiros.sp.gov.br/hidrantes/03individual/2948.html","2948")</f>
      </c>
      <c r="B28" t="s">
        <v>12</v>
      </c>
      <c r="C28" t="s">
        <v>97</v>
      </c>
      <c r="D28" t="s">
        <v>98</v>
      </c>
      <c r="E28" t="s">
        <v>64</v>
      </c>
      <c r="F28" t="s">
        <v>2690</v>
      </c>
      <c r="G28" t="s">
        <v>18043</v>
      </c>
      <c r="H28" t="s">
        <v>1121</v>
      </c>
      <c r="I28" t="s">
        <v>1117</v>
      </c>
      <c r="J28" t="s">
        <v>2691</v>
      </c>
      <c r="K28" t="s">
        <v>2692</v>
      </c>
      <c r="L28" t="s">
        <v>21</v>
      </c>
      <c r="M28" t="s">
        <v>19177</v>
      </c>
      <c r="N28" t="s">
        <v>97</v>
      </c>
      <c r="O28" t="s">
        <v>937</v>
      </c>
      <c r="P28" t="s">
        <v>12</v>
      </c>
    </row>
    <row r="29">
      <c r="A29">
        <f>HYPERLINK("http://bombeiros.sp.gov.br/hidrantes/03individual/861.html","861")</f>
      </c>
      <c r="B29" t="s">
        <v>114</v>
      </c>
      <c r="C29" t="s">
        <v>242</v>
      </c>
      <c r="D29" t="s">
        <v>242</v>
      </c>
      <c r="E29" t="s">
        <v>64</v>
      </c>
      <c r="F29" t="s">
        <v>4113</v>
      </c>
      <c r="G29" t="s">
        <v>18091</v>
      </c>
      <c r="H29" t="s">
        <v>1112</v>
      </c>
      <c r="I29" t="s">
        <v>1108</v>
      </c>
      <c r="J29" t="s">
        <v>4114</v>
      </c>
      <c r="K29" t="s">
        <v>4115</v>
      </c>
      <c r="L29" t="s">
        <v>36</v>
      </c>
      <c r="M29" t="s">
        <v>19177</v>
      </c>
      <c r="N29" t="s">
        <v>272</v>
      </c>
      <c r="O29" t="s">
        <v>272</v>
      </c>
      <c r="P29" t="s">
        <v>114</v>
      </c>
    </row>
    <row r="30">
      <c r="A30">
        <f>HYPERLINK("http://bombeiros.sp.gov.br/hidrantes/03individual/864.html","864")</f>
      </c>
      <c r="B30" t="s">
        <v>114</v>
      </c>
      <c r="C30" t="s">
        <v>242</v>
      </c>
      <c r="D30" t="s">
        <v>242</v>
      </c>
      <c r="E30" t="s">
        <v>64</v>
      </c>
      <c r="F30" t="s">
        <v>4119</v>
      </c>
      <c r="G30" t="s">
        <v>18043</v>
      </c>
      <c r="H30" t="s">
        <v>1121</v>
      </c>
      <c r="I30" t="s">
        <v>1117</v>
      </c>
      <c r="J30" t="s">
        <v>4120</v>
      </c>
      <c r="K30" t="s">
        <v>4121</v>
      </c>
      <c r="L30" t="s">
        <v>21</v>
      </c>
      <c r="M30" t="s">
        <v>19177</v>
      </c>
      <c r="N30" t="s">
        <v>272</v>
      </c>
      <c r="O30" t="s">
        <v>272</v>
      </c>
      <c r="P30" t="s">
        <v>114</v>
      </c>
    </row>
    <row r="31">
      <c r="A31">
        <f>HYPERLINK("http://bombeiros.sp.gov.br/hidrantes/03individual/897.html","897")</f>
      </c>
      <c r="B31" t="s">
        <v>114</v>
      </c>
      <c r="C31" t="s">
        <v>242</v>
      </c>
      <c r="D31" t="s">
        <v>242</v>
      </c>
      <c r="E31" t="s">
        <v>64</v>
      </c>
      <c r="F31" t="s">
        <v>4125</v>
      </c>
      <c r="G31" t="s">
        <v>18055</v>
      </c>
      <c r="H31" t="s">
        <v>1121</v>
      </c>
      <c r="I31" t="s">
        <v>1117</v>
      </c>
      <c r="J31" t="s">
        <v>4126</v>
      </c>
      <c r="K31" t="s">
        <v>4127</v>
      </c>
      <c r="L31" t="s">
        <v>21</v>
      </c>
      <c r="M31" t="s">
        <v>19177</v>
      </c>
      <c r="N31" t="s">
        <v>272</v>
      </c>
      <c r="O31" t="s">
        <v>272</v>
      </c>
      <c r="P31" t="s">
        <v>114</v>
      </c>
    </row>
    <row r="32">
      <c r="A32">
        <f>HYPERLINK("http://bombeiros.sp.gov.br/hidrantes/03individual/899.html","899")</f>
      </c>
      <c r="B32" t="s">
        <v>114</v>
      </c>
      <c r="C32" t="s">
        <v>242</v>
      </c>
      <c r="D32" t="s">
        <v>242</v>
      </c>
      <c r="E32" t="s">
        <v>64</v>
      </c>
      <c r="F32" t="s">
        <v>4128</v>
      </c>
      <c r="G32" t="s">
        <v>18105</v>
      </c>
      <c r="H32" t="s">
        <v>1121</v>
      </c>
      <c r="I32" t="s">
        <v>1117</v>
      </c>
      <c r="J32" t="s">
        <v>4129</v>
      </c>
      <c r="K32" t="s">
        <v>4130</v>
      </c>
      <c r="L32" t="s">
        <v>21</v>
      </c>
      <c r="M32" t="s">
        <v>19177</v>
      </c>
      <c r="N32" t="s">
        <v>272</v>
      </c>
      <c r="O32" t="s">
        <v>272</v>
      </c>
      <c r="P32" t="s">
        <v>114</v>
      </c>
    </row>
    <row r="33">
      <c r="A33">
        <f>HYPERLINK("http://bombeiros.sp.gov.br/hidrantes/03individual/927.html","927")</f>
      </c>
      <c r="B33" t="s">
        <v>114</v>
      </c>
      <c r="C33" t="s">
        <v>242</v>
      </c>
      <c r="D33" t="s">
        <v>242</v>
      </c>
      <c r="E33" t="s">
        <v>64</v>
      </c>
      <c r="F33" t="s">
        <v>4137</v>
      </c>
      <c r="G33" t="s">
        <v>18105</v>
      </c>
      <c r="H33" t="s">
        <v>1121</v>
      </c>
      <c r="I33" t="s">
        <v>1117</v>
      </c>
      <c r="J33" t="s">
        <v>4138</v>
      </c>
      <c r="K33" t="s">
        <v>4139</v>
      </c>
      <c r="L33" t="s">
        <v>36</v>
      </c>
      <c r="M33" t="s">
        <v>19177</v>
      </c>
      <c r="N33" t="s">
        <v>272</v>
      </c>
      <c r="O33" t="s">
        <v>272</v>
      </c>
      <c r="P33" t="s">
        <v>114</v>
      </c>
    </row>
    <row r="34">
      <c r="A34">
        <f>HYPERLINK("http://bombeiros.sp.gov.br/hidrantes/03individual/931.html","931")</f>
      </c>
      <c r="B34" t="s">
        <v>114</v>
      </c>
      <c r="C34" t="s">
        <v>242</v>
      </c>
      <c r="D34" t="s">
        <v>242</v>
      </c>
      <c r="E34" t="s">
        <v>64</v>
      </c>
      <c r="F34" t="s">
        <v>4140</v>
      </c>
      <c r="G34" t="s">
        <v>18105</v>
      </c>
      <c r="H34" t="s">
        <v>1121</v>
      </c>
      <c r="I34" t="s">
        <v>1117</v>
      </c>
      <c r="J34" t="s">
        <v>4141</v>
      </c>
      <c r="K34" t="s">
        <v>4142</v>
      </c>
      <c r="L34" t="s">
        <v>21</v>
      </c>
      <c r="M34" t="s">
        <v>19177</v>
      </c>
      <c r="N34" t="s">
        <v>272</v>
      </c>
      <c r="O34" t="s">
        <v>272</v>
      </c>
      <c r="P34" t="s">
        <v>114</v>
      </c>
    </row>
    <row r="35">
      <c r="A35">
        <f>HYPERLINK("http://bombeiros.sp.gov.br/hidrantes/03individual/966.html","966")</f>
      </c>
      <c r="B35" t="s">
        <v>114</v>
      </c>
      <c r="C35" t="s">
        <v>242</v>
      </c>
      <c r="D35" t="s">
        <v>242</v>
      </c>
      <c r="E35" t="s">
        <v>64</v>
      </c>
      <c r="F35" t="s">
        <v>4149</v>
      </c>
      <c r="G35" t="s">
        <v>18099</v>
      </c>
      <c r="H35" t="s">
        <v>1121</v>
      </c>
      <c r="I35" t="s">
        <v>1117</v>
      </c>
      <c r="J35" t="s">
        <v>4150</v>
      </c>
      <c r="K35" t="s">
        <v>4151</v>
      </c>
      <c r="L35" t="s">
        <v>36</v>
      </c>
      <c r="M35" t="s">
        <v>19177</v>
      </c>
      <c r="N35" t="s">
        <v>272</v>
      </c>
      <c r="O35" t="s">
        <v>272</v>
      </c>
      <c r="P35" t="s">
        <v>114</v>
      </c>
    </row>
    <row r="36">
      <c r="A36">
        <f>HYPERLINK("http://bombeiros.sp.gov.br/hidrantes/03individual/995.html","995")</f>
      </c>
      <c r="B36" t="s">
        <v>114</v>
      </c>
      <c r="C36" t="s">
        <v>242</v>
      </c>
      <c r="D36" t="s">
        <v>242</v>
      </c>
      <c r="E36" t="s">
        <v>64</v>
      </c>
      <c r="F36" t="s">
        <v>4155</v>
      </c>
      <c r="G36" t="s">
        <v>18090</v>
      </c>
      <c r="H36" t="s">
        <v>1121</v>
      </c>
      <c r="I36" t="s">
        <v>1117</v>
      </c>
      <c r="J36" t="s">
        <v>4156</v>
      </c>
      <c r="K36" t="s">
        <v>4157</v>
      </c>
      <c r="L36" t="s">
        <v>21</v>
      </c>
      <c r="M36" t="s">
        <v>19177</v>
      </c>
      <c r="N36" t="s">
        <v>272</v>
      </c>
      <c r="O36" t="s">
        <v>272</v>
      </c>
      <c r="P36" t="s">
        <v>114</v>
      </c>
    </row>
    <row r="37">
      <c r="A37">
        <f>HYPERLINK("http://bombeiros.sp.gov.br/hidrantes/03individual/1003.html","1003")</f>
      </c>
      <c r="B37" t="s">
        <v>114</v>
      </c>
      <c r="C37" t="s">
        <v>242</v>
      </c>
      <c r="D37" t="s">
        <v>242</v>
      </c>
      <c r="E37" t="s">
        <v>64</v>
      </c>
      <c r="F37" t="s">
        <v>4158</v>
      </c>
      <c r="G37" t="s">
        <v>18099</v>
      </c>
      <c r="H37" t="s">
        <v>1121</v>
      </c>
      <c r="I37" t="s">
        <v>1117</v>
      </c>
      <c r="J37" t="s">
        <v>4159</v>
      </c>
      <c r="K37" t="s">
        <v>4160</v>
      </c>
      <c r="L37" t="s">
        <v>21</v>
      </c>
      <c r="M37" t="s">
        <v>19177</v>
      </c>
      <c r="N37" t="s">
        <v>272</v>
      </c>
      <c r="O37" t="s">
        <v>272</v>
      </c>
      <c r="P37" t="s">
        <v>114</v>
      </c>
    </row>
    <row r="38">
      <c r="A38">
        <f>HYPERLINK("http://bombeiros.sp.gov.br/hidrantes/03individual/3451.html","3451")</f>
      </c>
      <c r="B38" t="s">
        <v>114</v>
      </c>
      <c r="C38" t="s">
        <v>242</v>
      </c>
      <c r="D38" t="s">
        <v>242</v>
      </c>
      <c r="E38" t="s">
        <v>64</v>
      </c>
      <c r="F38" t="s">
        <v>4167</v>
      </c>
      <c r="G38" t="s">
        <v>18107</v>
      </c>
      <c r="H38" t="s">
        <v>1121</v>
      </c>
      <c r="I38" t="s">
        <v>1117</v>
      </c>
      <c r="J38" t="s">
        <v>4168</v>
      </c>
      <c r="K38" t="s">
        <v>4169</v>
      </c>
      <c r="L38" t="s">
        <v>21</v>
      </c>
      <c r="M38" t="s">
        <v>19177</v>
      </c>
      <c r="N38" t="s">
        <v>272</v>
      </c>
      <c r="O38" t="s">
        <v>272</v>
      </c>
      <c r="P38" t="s">
        <v>114</v>
      </c>
    </row>
    <row r="39">
      <c r="A39">
        <f>HYPERLINK("http://bombeiros.sp.gov.br/hidrantes/03individual/3466.html","3466")</f>
      </c>
      <c r="B39" t="s">
        <v>114</v>
      </c>
      <c r="C39" t="s">
        <v>242</v>
      </c>
      <c r="D39" t="s">
        <v>242</v>
      </c>
      <c r="E39" t="s">
        <v>64</v>
      </c>
      <c r="F39" t="s">
        <v>4170</v>
      </c>
      <c r="G39" t="s">
        <v>18105</v>
      </c>
      <c r="H39" t="s">
        <v>1121</v>
      </c>
      <c r="I39" t="s">
        <v>1117</v>
      </c>
      <c r="J39" t="s">
        <v>4171</v>
      </c>
      <c r="K39" t="s">
        <v>4172</v>
      </c>
      <c r="L39" t="s">
        <v>21</v>
      </c>
      <c r="M39" t="s">
        <v>19177</v>
      </c>
      <c r="N39" t="s">
        <v>272</v>
      </c>
      <c r="O39" t="s">
        <v>272</v>
      </c>
      <c r="P39" t="s">
        <v>114</v>
      </c>
    </row>
    <row r="40">
      <c r="A40">
        <f>HYPERLINK("http://bombeiros.sp.gov.br/hidrantes/03individual/4223.html","4223")</f>
      </c>
      <c r="B40" t="s">
        <v>114</v>
      </c>
      <c r="C40" t="s">
        <v>242</v>
      </c>
      <c r="D40" t="s">
        <v>242</v>
      </c>
      <c r="E40" t="s">
        <v>64</v>
      </c>
      <c r="F40" t="s">
        <v>4179</v>
      </c>
      <c r="G40" t="s">
        <v>18099</v>
      </c>
      <c r="H40" t="s">
        <v>1121</v>
      </c>
      <c r="I40" t="s">
        <v>1117</v>
      </c>
      <c r="J40" t="s">
        <v>4180</v>
      </c>
      <c r="K40" t="s">
        <v>4181</v>
      </c>
      <c r="L40" t="s">
        <v>21</v>
      </c>
      <c r="M40" t="s">
        <v>19177</v>
      </c>
      <c r="N40" t="s">
        <v>272</v>
      </c>
      <c r="O40" t="s">
        <v>272</v>
      </c>
      <c r="P40" t="s">
        <v>114</v>
      </c>
    </row>
    <row r="41">
      <c r="A41">
        <f>HYPERLINK("http://bombeiros.sp.gov.br/hidrantes/03individual/4431.html","4431")</f>
      </c>
      <c r="B41" t="s">
        <v>114</v>
      </c>
      <c r="C41" t="s">
        <v>242</v>
      </c>
      <c r="D41" t="s">
        <v>242</v>
      </c>
      <c r="E41" t="s">
        <v>64</v>
      </c>
      <c r="F41" t="s">
        <v>4188</v>
      </c>
      <c r="G41" t="s">
        <v>18043</v>
      </c>
      <c r="H41" t="s">
        <v>1121</v>
      </c>
      <c r="I41" t="s">
        <v>1117</v>
      </c>
      <c r="J41" t="s">
        <v>4189</v>
      </c>
      <c r="K41" t="s">
        <v>4190</v>
      </c>
      <c r="L41" t="s">
        <v>21</v>
      </c>
      <c r="M41" t="s">
        <v>19177</v>
      </c>
      <c r="N41" t="s">
        <v>272</v>
      </c>
      <c r="O41" t="s">
        <v>272</v>
      </c>
      <c r="P41" t="s">
        <v>114</v>
      </c>
    </row>
    <row r="42">
      <c r="A42">
        <f>HYPERLINK("http://bombeiros.sp.gov.br/hidrantes/03individual/6779.html","6779")</f>
      </c>
      <c r="B42" t="s">
        <v>114</v>
      </c>
      <c r="C42" t="s">
        <v>242</v>
      </c>
      <c r="D42" t="s">
        <v>242</v>
      </c>
      <c r="E42" t="s">
        <v>64</v>
      </c>
      <c r="F42" t="s">
        <v>4194</v>
      </c>
      <c r="G42" t="s">
        <v>18099</v>
      </c>
      <c r="H42" t="s">
        <v>1121</v>
      </c>
      <c r="I42" t="s">
        <v>1117</v>
      </c>
      <c r="J42" t="s">
        <v>4195</v>
      </c>
      <c r="K42" t="s">
        <v>4196</v>
      </c>
      <c r="L42" t="s">
        <v>36</v>
      </c>
      <c r="M42" t="s">
        <v>19177</v>
      </c>
      <c r="N42" t="s">
        <v>272</v>
      </c>
      <c r="O42" t="s">
        <v>272</v>
      </c>
      <c r="P42" t="s">
        <v>114</v>
      </c>
    </row>
    <row r="43">
      <c r="A43">
        <f>HYPERLINK("http://bombeiros.sp.gov.br/hidrantes/03individual/17787.html","17787")</f>
      </c>
      <c r="B43" t="s">
        <v>114</v>
      </c>
      <c r="C43" t="s">
        <v>242</v>
      </c>
      <c r="D43" t="s">
        <v>242</v>
      </c>
      <c r="E43" t="s">
        <v>64</v>
      </c>
      <c r="F43" t="s">
        <v>4203</v>
      </c>
      <c r="G43" t="s">
        <v>18090</v>
      </c>
      <c r="H43" t="s">
        <v>1121</v>
      </c>
      <c r="I43" t="s">
        <v>1117</v>
      </c>
      <c r="J43" t="s">
        <v>4204</v>
      </c>
      <c r="K43" t="s">
        <v>4205</v>
      </c>
      <c r="L43" t="s">
        <v>21</v>
      </c>
      <c r="M43" t="s">
        <v>19177</v>
      </c>
      <c r="N43" t="s">
        <v>272</v>
      </c>
      <c r="O43" t="s">
        <v>272</v>
      </c>
      <c r="P43" t="s">
        <v>114</v>
      </c>
    </row>
    <row r="44">
      <c r="A44">
        <f>HYPERLINK("http://bombeiros.sp.gov.br/hidrantes/03individual/26872.html","26872")</f>
      </c>
      <c r="B44" t="s">
        <v>114</v>
      </c>
      <c r="C44" t="s">
        <v>242</v>
      </c>
      <c r="D44" t="s">
        <v>242</v>
      </c>
      <c r="E44" t="s">
        <v>64</v>
      </c>
      <c r="F44" t="s">
        <v>16275</v>
      </c>
      <c r="G44" t="s">
        <v>18099</v>
      </c>
      <c r="H44" t="s">
        <v>1121</v>
      </c>
      <c r="I44" t="s">
        <v>1117</v>
      </c>
      <c r="J44" t="s">
        <v>16276</v>
      </c>
      <c r="K44" t="s">
        <v>16277</v>
      </c>
      <c r="L44" t="s">
        <v>21</v>
      </c>
      <c r="M44" t="s">
        <v>19177</v>
      </c>
      <c r="N44" t="s">
        <v>272</v>
      </c>
      <c r="O44" t="s">
        <v>272</v>
      </c>
      <c r="P44" t="s">
        <v>114</v>
      </c>
    </row>
    <row r="45">
      <c r="A45">
        <f>HYPERLINK("http://bombeiros.sp.gov.br/hidrantes/03individual/27080.html","27080")</f>
      </c>
      <c r="B45" t="s">
        <v>114</v>
      </c>
      <c r="C45" t="s">
        <v>242</v>
      </c>
      <c r="D45" t="s">
        <v>242</v>
      </c>
      <c r="E45" t="s">
        <v>64</v>
      </c>
      <c r="F45" t="s">
        <v>16725</v>
      </c>
      <c r="G45" t="s">
        <v>18129</v>
      </c>
      <c r="H45" t="s">
        <v>1121</v>
      </c>
      <c r="I45" t="s">
        <v>1117</v>
      </c>
      <c r="J45" t="s">
        <v>16726</v>
      </c>
      <c r="K45" t="s">
        <v>16727</v>
      </c>
      <c r="L45" t="s">
        <v>21</v>
      </c>
      <c r="M45" t="s">
        <v>19177</v>
      </c>
      <c r="N45" t="s">
        <v>272</v>
      </c>
      <c r="O45" t="s">
        <v>272</v>
      </c>
      <c r="P45" t="s">
        <v>114</v>
      </c>
    </row>
    <row r="46">
      <c r="A46">
        <f>HYPERLINK("http://bombeiros.sp.gov.br/hidrantes/03individual/805.html","805")</f>
      </c>
      <c r="B46" t="s">
        <v>114</v>
      </c>
      <c r="C46" t="s">
        <v>242</v>
      </c>
      <c r="D46" t="s">
        <v>4225</v>
      </c>
      <c r="E46" t="s">
        <v>64</v>
      </c>
      <c r="F46" t="s">
        <v>4226</v>
      </c>
      <c r="G46" t="s">
        <v>18107</v>
      </c>
      <c r="H46" t="s">
        <v>1121</v>
      </c>
      <c r="I46" t="s">
        <v>1117</v>
      </c>
      <c r="J46" t="s">
        <v>4227</v>
      </c>
      <c r="K46" t="s">
        <v>4228</v>
      </c>
      <c r="L46" t="s">
        <v>36</v>
      </c>
      <c r="M46" t="s">
        <v>19177</v>
      </c>
      <c r="N46" t="s">
        <v>272</v>
      </c>
      <c r="O46" t="s">
        <v>272</v>
      </c>
      <c r="P46" t="s">
        <v>114</v>
      </c>
    </row>
    <row r="47">
      <c r="A47">
        <f>HYPERLINK("http://bombeiros.sp.gov.br/hidrantes/03individual/834.html","834")</f>
      </c>
      <c r="B47" t="s">
        <v>114</v>
      </c>
      <c r="C47" t="s">
        <v>242</v>
      </c>
      <c r="D47" t="s">
        <v>4225</v>
      </c>
      <c r="E47" t="s">
        <v>64</v>
      </c>
      <c r="F47" t="s">
        <v>4232</v>
      </c>
      <c r="G47" t="s">
        <v>18099</v>
      </c>
      <c r="H47" t="s">
        <v>1121</v>
      </c>
      <c r="I47" t="s">
        <v>1117</v>
      </c>
      <c r="J47" t="s">
        <v>4233</v>
      </c>
      <c r="K47" t="s">
        <v>4234</v>
      </c>
      <c r="L47" t="s">
        <v>21</v>
      </c>
      <c r="M47" t="s">
        <v>19177</v>
      </c>
      <c r="N47" t="s">
        <v>272</v>
      </c>
      <c r="O47" t="s">
        <v>272</v>
      </c>
      <c r="P47" t="s">
        <v>114</v>
      </c>
    </row>
    <row r="48">
      <c r="A48">
        <f>HYPERLINK("http://bombeiros.sp.gov.br/hidrantes/03individual/836.html","836")</f>
      </c>
      <c r="B48" t="s">
        <v>114</v>
      </c>
      <c r="C48" t="s">
        <v>242</v>
      </c>
      <c r="D48" t="s">
        <v>4225</v>
      </c>
      <c r="E48" t="s">
        <v>64</v>
      </c>
      <c r="F48" t="s">
        <v>4235</v>
      </c>
      <c r="G48" t="s">
        <v>18099</v>
      </c>
      <c r="H48" t="s">
        <v>1121</v>
      </c>
      <c r="I48" t="s">
        <v>1117</v>
      </c>
      <c r="J48" t="s">
        <v>4236</v>
      </c>
      <c r="K48" t="s">
        <v>4237</v>
      </c>
      <c r="L48" t="s">
        <v>36</v>
      </c>
      <c r="M48" t="s">
        <v>19177</v>
      </c>
      <c r="N48" t="s">
        <v>272</v>
      </c>
      <c r="O48" t="s">
        <v>272</v>
      </c>
      <c r="P48" t="s">
        <v>114</v>
      </c>
    </row>
    <row r="49">
      <c r="A49">
        <f>HYPERLINK("http://bombeiros.sp.gov.br/hidrantes/03individual/855.html","855")</f>
      </c>
      <c r="B49" t="s">
        <v>114</v>
      </c>
      <c r="C49" t="s">
        <v>242</v>
      </c>
      <c r="D49" t="s">
        <v>4225</v>
      </c>
      <c r="E49" t="s">
        <v>64</v>
      </c>
      <c r="F49" t="s">
        <v>4238</v>
      </c>
      <c r="G49" t="s">
        <v>18117</v>
      </c>
      <c r="H49" t="s">
        <v>1121</v>
      </c>
      <c r="I49" t="s">
        <v>1117</v>
      </c>
      <c r="J49" t="s">
        <v>4239</v>
      </c>
      <c r="K49" t="s">
        <v>4240</v>
      </c>
      <c r="L49" t="s">
        <v>21</v>
      </c>
      <c r="M49" t="s">
        <v>19177</v>
      </c>
      <c r="N49" t="s">
        <v>272</v>
      </c>
      <c r="O49" t="s">
        <v>272</v>
      </c>
      <c r="P49" t="s">
        <v>114</v>
      </c>
    </row>
    <row r="50">
      <c r="A50">
        <f>HYPERLINK("http://bombeiros.sp.gov.br/hidrantes/03individual/856.html","856")</f>
      </c>
      <c r="B50" t="s">
        <v>114</v>
      </c>
      <c r="C50" t="s">
        <v>242</v>
      </c>
      <c r="D50" t="s">
        <v>4225</v>
      </c>
      <c r="E50" t="s">
        <v>64</v>
      </c>
      <c r="F50" t="s">
        <v>4241</v>
      </c>
      <c r="G50" t="s">
        <v>18147</v>
      </c>
      <c r="H50" t="s">
        <v>1121</v>
      </c>
      <c r="I50" t="s">
        <v>1117</v>
      </c>
      <c r="J50" t="s">
        <v>4242</v>
      </c>
      <c r="K50" t="s">
        <v>4243</v>
      </c>
      <c r="L50" t="s">
        <v>21</v>
      </c>
      <c r="M50" t="s">
        <v>19177</v>
      </c>
      <c r="N50" t="s">
        <v>272</v>
      </c>
      <c r="O50" t="s">
        <v>272</v>
      </c>
      <c r="P50" t="s">
        <v>114</v>
      </c>
    </row>
    <row r="51">
      <c r="A51">
        <f>HYPERLINK("http://bombeiros.sp.gov.br/hidrantes/03individual/907.html","907")</f>
      </c>
      <c r="B51" t="s">
        <v>114</v>
      </c>
      <c r="C51" t="s">
        <v>242</v>
      </c>
      <c r="D51" t="s">
        <v>4225</v>
      </c>
      <c r="E51" t="s">
        <v>64</v>
      </c>
      <c r="F51" t="s">
        <v>4247</v>
      </c>
      <c r="G51" t="s">
        <v>18147</v>
      </c>
      <c r="H51" t="s">
        <v>1121</v>
      </c>
      <c r="I51" t="s">
        <v>1117</v>
      </c>
      <c r="J51" t="s">
        <v>4248</v>
      </c>
      <c r="K51" t="s">
        <v>4249</v>
      </c>
      <c r="L51" t="s">
        <v>36</v>
      </c>
      <c r="M51" t="s">
        <v>19177</v>
      </c>
      <c r="N51" t="s">
        <v>272</v>
      </c>
      <c r="O51" t="s">
        <v>272</v>
      </c>
      <c r="P51" t="s">
        <v>114</v>
      </c>
    </row>
    <row r="52">
      <c r="A52">
        <f>HYPERLINK("http://bombeiros.sp.gov.br/hidrantes/03individual/948.html","948")</f>
      </c>
      <c r="B52" t="s">
        <v>114</v>
      </c>
      <c r="C52" t="s">
        <v>242</v>
      </c>
      <c r="D52" t="s">
        <v>4225</v>
      </c>
      <c r="E52" t="s">
        <v>64</v>
      </c>
      <c r="F52" t="s">
        <v>4250</v>
      </c>
      <c r="G52" t="s">
        <v>18147</v>
      </c>
      <c r="H52" t="s">
        <v>1121</v>
      </c>
      <c r="I52" t="s">
        <v>1117</v>
      </c>
      <c r="J52" t="s">
        <v>4251</v>
      </c>
      <c r="K52" t="s">
        <v>4252</v>
      </c>
      <c r="L52" t="s">
        <v>36</v>
      </c>
      <c r="M52" t="s">
        <v>19177</v>
      </c>
      <c r="N52" t="s">
        <v>272</v>
      </c>
      <c r="O52" t="s">
        <v>272</v>
      </c>
      <c r="P52" t="s">
        <v>114</v>
      </c>
    </row>
    <row r="53">
      <c r="A53">
        <f>HYPERLINK("http://bombeiros.sp.gov.br/hidrantes/03individual/16561.html","16561")</f>
      </c>
      <c r="B53" t="s">
        <v>114</v>
      </c>
      <c r="C53" t="s">
        <v>255</v>
      </c>
      <c r="D53" t="s">
        <v>256</v>
      </c>
      <c r="E53" t="s">
        <v>64</v>
      </c>
      <c r="F53" t="s">
        <v>4438</v>
      </c>
      <c r="G53" t="s">
        <v>18050</v>
      </c>
      <c r="H53" t="s">
        <v>1121</v>
      </c>
      <c r="I53" t="s">
        <v>1117</v>
      </c>
      <c r="J53" t="s">
        <v>4439</v>
      </c>
      <c r="K53" t="s">
        <v>4440</v>
      </c>
      <c r="L53" t="s">
        <v>21</v>
      </c>
      <c r="M53" t="s">
        <v>19177</v>
      </c>
      <c r="N53" t="s">
        <v>337</v>
      </c>
      <c r="O53" t="s">
        <v>337</v>
      </c>
      <c r="P53" t="s">
        <v>12</v>
      </c>
    </row>
    <row r="54">
      <c r="A54">
        <f>HYPERLINK("http://bombeiros.sp.gov.br/hidrantes/03individual/27682.html","27682")</f>
      </c>
      <c r="B54" t="s">
        <v>114</v>
      </c>
      <c r="C54" t="s">
        <v>260</v>
      </c>
      <c r="D54" t="s">
        <v>261</v>
      </c>
      <c r="E54" t="s">
        <v>64</v>
      </c>
      <c r="F54" t="s">
        <v>17642</v>
      </c>
      <c r="G54" t="s">
        <v>18553</v>
      </c>
      <c r="H54" t="s">
        <v>1112</v>
      </c>
      <c r="I54" t="s">
        <v>1108</v>
      </c>
      <c r="J54" t="s">
        <v>17643</v>
      </c>
      <c r="K54" t="s">
        <v>17644</v>
      </c>
      <c r="L54" t="s">
        <v>21</v>
      </c>
      <c r="M54" t="s">
        <v>19177</v>
      </c>
      <c r="N54" t="s">
        <v>6029</v>
      </c>
      <c r="O54" t="s">
        <v>6029</v>
      </c>
      <c r="P54" t="s">
        <v>114</v>
      </c>
    </row>
    <row r="55">
      <c r="A55">
        <f>HYPERLINK("http://bombeiros.sp.gov.br/hidrantes/03individual/1015.html","1015")</f>
      </c>
      <c r="B55" t="s">
        <v>114</v>
      </c>
      <c r="C55" t="s">
        <v>4749</v>
      </c>
      <c r="D55" t="s">
        <v>4750</v>
      </c>
      <c r="E55" t="s">
        <v>64</v>
      </c>
      <c r="F55" t="s">
        <v>4751</v>
      </c>
      <c r="G55" t="s">
        <v>18050</v>
      </c>
      <c r="H55" t="s">
        <v>1112</v>
      </c>
      <c r="I55" t="s">
        <v>1117</v>
      </c>
      <c r="J55" t="s">
        <v>4752</v>
      </c>
      <c r="K55" t="s">
        <v>4753</v>
      </c>
      <c r="L55" t="s">
        <v>21</v>
      </c>
      <c r="M55" t="s">
        <v>19177</v>
      </c>
      <c r="N55" t="s">
        <v>272</v>
      </c>
      <c r="O55" t="s">
        <v>272</v>
      </c>
      <c r="P55" t="s">
        <v>114</v>
      </c>
    </row>
    <row r="56">
      <c r="A56">
        <f>HYPERLINK("http://bombeiros.sp.gov.br/hidrantes/03individual/6781.html","6781")</f>
      </c>
      <c r="B56" t="s">
        <v>114</v>
      </c>
      <c r="C56" t="s">
        <v>4749</v>
      </c>
      <c r="D56" t="s">
        <v>4750</v>
      </c>
      <c r="E56" t="s">
        <v>64</v>
      </c>
      <c r="F56" t="s">
        <v>4757</v>
      </c>
      <c r="G56" t="s">
        <v>18050</v>
      </c>
      <c r="H56" t="s">
        <v>1121</v>
      </c>
      <c r="I56" t="s">
        <v>1117</v>
      </c>
      <c r="J56" t="s">
        <v>4758</v>
      </c>
      <c r="K56" t="s">
        <v>4759</v>
      </c>
      <c r="L56" t="s">
        <v>36</v>
      </c>
      <c r="M56" t="s">
        <v>19177</v>
      </c>
      <c r="N56" t="s">
        <v>272</v>
      </c>
      <c r="O56" t="s">
        <v>272</v>
      </c>
      <c r="P56" t="s">
        <v>114</v>
      </c>
    </row>
    <row r="57">
      <c r="A57">
        <f>HYPERLINK("http://bombeiros.sp.gov.br/hidrantes/03individual/3415.html","3415")</f>
      </c>
      <c r="B57" t="s">
        <v>114</v>
      </c>
      <c r="C57" t="s">
        <v>4824</v>
      </c>
      <c r="D57" t="s">
        <v>4824</v>
      </c>
      <c r="E57" t="s">
        <v>64</v>
      </c>
      <c r="F57" t="s">
        <v>4831</v>
      </c>
      <c r="G57" t="s">
        <v>18099</v>
      </c>
      <c r="H57" t="s">
        <v>1121</v>
      </c>
      <c r="I57" t="s">
        <v>1117</v>
      </c>
      <c r="J57" t="s">
        <v>4832</v>
      </c>
      <c r="K57" t="s">
        <v>4833</v>
      </c>
      <c r="L57" t="s">
        <v>21</v>
      </c>
      <c r="M57" t="s">
        <v>19177</v>
      </c>
      <c r="N57" t="s">
        <v>272</v>
      </c>
      <c r="O57" t="s">
        <v>272</v>
      </c>
      <c r="P57" t="s">
        <v>114</v>
      </c>
    </row>
    <row r="58">
      <c r="A58">
        <f>HYPERLINK("http://bombeiros.sp.gov.br/hidrantes/03individual/1675.html","1675")</f>
      </c>
      <c r="B58" t="s">
        <v>114</v>
      </c>
      <c r="C58" t="s">
        <v>300</v>
      </c>
      <c r="D58" t="s">
        <v>4982</v>
      </c>
      <c r="E58" t="s">
        <v>64</v>
      </c>
      <c r="F58" t="s">
        <v>4983</v>
      </c>
      <c r="G58" t="s">
        <v>18172</v>
      </c>
      <c r="H58" t="s">
        <v>1107</v>
      </c>
      <c r="I58" t="s">
        <v>1108</v>
      </c>
      <c r="J58" t="s">
        <v>4984</v>
      </c>
      <c r="K58" t="s">
        <v>4985</v>
      </c>
      <c r="L58" t="s">
        <v>21</v>
      </c>
      <c r="M58" t="s">
        <v>19177</v>
      </c>
      <c r="N58" t="s">
        <v>300</v>
      </c>
      <c r="O58" t="s">
        <v>16373</v>
      </c>
      <c r="P58" t="s">
        <v>12</v>
      </c>
    </row>
    <row r="59">
      <c r="A59">
        <f>HYPERLINK("http://bombeiros.sp.gov.br/hidrantes/03individual/2106.html","2106")</f>
      </c>
      <c r="B59" t="s">
        <v>114</v>
      </c>
      <c r="C59" t="s">
        <v>337</v>
      </c>
      <c r="D59" t="s">
        <v>338</v>
      </c>
      <c r="E59" t="s">
        <v>64</v>
      </c>
      <c r="F59" t="s">
        <v>5894</v>
      </c>
      <c r="G59" t="s">
        <v>18072</v>
      </c>
      <c r="H59" t="s">
        <v>1121</v>
      </c>
      <c r="I59" t="s">
        <v>1117</v>
      </c>
      <c r="J59" t="s">
        <v>5895</v>
      </c>
      <c r="K59" t="s">
        <v>5896</v>
      </c>
      <c r="L59" t="s">
        <v>36</v>
      </c>
      <c r="M59" t="s">
        <v>19177</v>
      </c>
      <c r="N59" t="s">
        <v>337</v>
      </c>
      <c r="O59" t="s">
        <v>337</v>
      </c>
      <c r="P59" t="s">
        <v>12</v>
      </c>
    </row>
    <row r="60">
      <c r="A60">
        <f>HYPERLINK("http://bombeiros.sp.gov.br/hidrantes/03individual/25235.html","25235")</f>
      </c>
      <c r="B60" t="s">
        <v>114</v>
      </c>
      <c r="C60" t="s">
        <v>347</v>
      </c>
      <c r="D60" t="s">
        <v>348</v>
      </c>
      <c r="E60" t="s">
        <v>64</v>
      </c>
      <c r="F60" t="s">
        <v>5990</v>
      </c>
      <c r="G60" t="s">
        <v>18105</v>
      </c>
      <c r="H60" t="s">
        <v>1121</v>
      </c>
      <c r="I60" t="s">
        <v>1117</v>
      </c>
      <c r="J60" t="s">
        <v>5991</v>
      </c>
      <c r="K60" t="s">
        <v>5992</v>
      </c>
      <c r="L60" t="s">
        <v>21</v>
      </c>
      <c r="M60" t="s">
        <v>19177</v>
      </c>
      <c r="N60" t="s">
        <v>6029</v>
      </c>
      <c r="O60" t="s">
        <v>6029</v>
      </c>
      <c r="P60" t="s">
        <v>114</v>
      </c>
    </row>
    <row r="61">
      <c r="A61">
        <f>HYPERLINK("http://bombeiros.sp.gov.br/hidrantes/03individual/3902.html","3902")</f>
      </c>
      <c r="B61" t="s">
        <v>114</v>
      </c>
      <c r="C61" t="s">
        <v>365</v>
      </c>
      <c r="D61" t="s">
        <v>6139</v>
      </c>
      <c r="E61" t="s">
        <v>64</v>
      </c>
      <c r="F61" t="s">
        <v>6146</v>
      </c>
      <c r="G61" t="s">
        <v>18051</v>
      </c>
      <c r="H61" t="s">
        <v>1121</v>
      </c>
      <c r="I61" t="s">
        <v>1117</v>
      </c>
      <c r="J61" t="s">
        <v>6147</v>
      </c>
      <c r="K61" t="s">
        <v>6148</v>
      </c>
      <c r="L61" t="s">
        <v>21</v>
      </c>
      <c r="M61" t="s">
        <v>19177</v>
      </c>
      <c r="N61" t="s">
        <v>337</v>
      </c>
      <c r="O61" t="s">
        <v>337</v>
      </c>
      <c r="P61" t="s">
        <v>12</v>
      </c>
    </row>
    <row r="62">
      <c r="A62">
        <f>HYPERLINK("http://bombeiros.sp.gov.br/hidrantes/03individual/806.html","806")</f>
      </c>
      <c r="B62" t="s">
        <v>114</v>
      </c>
      <c r="C62" t="s">
        <v>365</v>
      </c>
      <c r="D62" t="s">
        <v>6239</v>
      </c>
      <c r="E62" t="s">
        <v>64</v>
      </c>
      <c r="F62" t="s">
        <v>6243</v>
      </c>
      <c r="G62" t="s">
        <v>18075</v>
      </c>
      <c r="H62" t="s">
        <v>1112</v>
      </c>
      <c r="I62" t="s">
        <v>1117</v>
      </c>
      <c r="J62" t="s">
        <v>6244</v>
      </c>
      <c r="K62" t="s">
        <v>6245</v>
      </c>
      <c r="L62" t="s">
        <v>21</v>
      </c>
      <c r="M62" t="s">
        <v>19177</v>
      </c>
      <c r="N62" t="s">
        <v>337</v>
      </c>
      <c r="O62" t="s">
        <v>337</v>
      </c>
      <c r="P62" t="s">
        <v>12</v>
      </c>
    </row>
    <row r="63">
      <c r="A63">
        <f>HYPERLINK("http://bombeiros.sp.gov.br/hidrantes/03individual/826.html","826")</f>
      </c>
      <c r="B63" t="s">
        <v>114</v>
      </c>
      <c r="C63" t="s">
        <v>365</v>
      </c>
      <c r="D63" t="s">
        <v>6239</v>
      </c>
      <c r="E63" t="s">
        <v>64</v>
      </c>
      <c r="F63" t="s">
        <v>6249</v>
      </c>
      <c r="G63" t="s">
        <v>18069</v>
      </c>
      <c r="H63" t="s">
        <v>1121</v>
      </c>
      <c r="I63" t="s">
        <v>1117</v>
      </c>
      <c r="J63" t="s">
        <v>6250</v>
      </c>
      <c r="K63" t="s">
        <v>6251</v>
      </c>
      <c r="L63" t="s">
        <v>21</v>
      </c>
      <c r="M63" t="s">
        <v>19177</v>
      </c>
      <c r="N63" t="s">
        <v>337</v>
      </c>
      <c r="O63" t="s">
        <v>337</v>
      </c>
      <c r="P63" t="s">
        <v>12</v>
      </c>
    </row>
    <row r="64">
      <c r="A64">
        <f>HYPERLINK("http://bombeiros.sp.gov.br/hidrantes/03individual/17860.html","17860")</f>
      </c>
      <c r="B64" t="s">
        <v>114</v>
      </c>
      <c r="C64" t="s">
        <v>421</v>
      </c>
      <c r="D64" t="s">
        <v>6768</v>
      </c>
      <c r="E64" t="s">
        <v>64</v>
      </c>
      <c r="F64" t="s">
        <v>6772</v>
      </c>
      <c r="G64" t="s">
        <v>18097</v>
      </c>
      <c r="H64" t="s">
        <v>1121</v>
      </c>
      <c r="I64" t="s">
        <v>1117</v>
      </c>
      <c r="J64" t="s">
        <v>6773</v>
      </c>
      <c r="K64" t="s">
        <v>6774</v>
      </c>
      <c r="L64" t="s">
        <v>21</v>
      </c>
      <c r="M64" t="s">
        <v>19177</v>
      </c>
      <c r="N64" t="s">
        <v>6029</v>
      </c>
      <c r="O64" t="s">
        <v>6029</v>
      </c>
      <c r="P64" t="s">
        <v>114</v>
      </c>
    </row>
    <row r="65">
      <c r="A65">
        <f>HYPERLINK("http://bombeiros.sp.gov.br/hidrantes/03individual/4056.html","4056")</f>
      </c>
      <c r="B65" t="s">
        <v>454</v>
      </c>
      <c r="C65" t="s">
        <v>460</v>
      </c>
      <c r="D65" t="s">
        <v>7382</v>
      </c>
      <c r="E65" t="s">
        <v>64</v>
      </c>
      <c r="F65" t="s">
        <v>7386</v>
      </c>
      <c r="G65" t="s">
        <v>18039</v>
      </c>
      <c r="H65" t="s">
        <v>1121</v>
      </c>
      <c r="I65" t="s">
        <v>1117</v>
      </c>
      <c r="J65" t="s">
        <v>7387</v>
      </c>
      <c r="K65" t="s">
        <v>7388</v>
      </c>
      <c r="L65" t="s">
        <v>21</v>
      </c>
      <c r="M65" t="s">
        <v>19177</v>
      </c>
      <c r="N65" t="s">
        <v>519</v>
      </c>
      <c r="O65" t="s">
        <v>519</v>
      </c>
      <c r="P65" t="s">
        <v>454</v>
      </c>
    </row>
    <row r="66">
      <c r="A66">
        <f>HYPERLINK("http://bombeiros.sp.gov.br/hidrantes/03individual/4054.html","4054")</f>
      </c>
      <c r="B66" t="s">
        <v>454</v>
      </c>
      <c r="C66" t="s">
        <v>460</v>
      </c>
      <c r="D66" t="s">
        <v>7398</v>
      </c>
      <c r="E66" t="s">
        <v>64</v>
      </c>
      <c r="F66" t="s">
        <v>7399</v>
      </c>
      <c r="G66" t="s">
        <v>18075</v>
      </c>
      <c r="H66" t="s">
        <v>1174</v>
      </c>
      <c r="I66" t="s">
        <v>1117</v>
      </c>
      <c r="J66" t="s">
        <v>7400</v>
      </c>
      <c r="K66" t="s">
        <v>7401</v>
      </c>
      <c r="L66" t="s">
        <v>36</v>
      </c>
      <c r="M66" t="s">
        <v>19177</v>
      </c>
      <c r="N66" t="s">
        <v>519</v>
      </c>
      <c r="O66" t="s">
        <v>519</v>
      </c>
      <c r="P66" t="s">
        <v>454</v>
      </c>
    </row>
    <row r="67">
      <c r="A67">
        <f>HYPERLINK("http://bombeiros.sp.gov.br/hidrantes/03individual/1104.html","1104")</f>
      </c>
      <c r="B67" t="s">
        <v>454</v>
      </c>
      <c r="C67" t="s">
        <v>465</v>
      </c>
      <c r="D67" t="s">
        <v>465</v>
      </c>
      <c r="E67" t="s">
        <v>64</v>
      </c>
      <c r="F67" t="s">
        <v>7411</v>
      </c>
      <c r="G67" t="s">
        <v>18053</v>
      </c>
      <c r="H67" t="s">
        <v>1121</v>
      </c>
      <c r="I67" t="s">
        <v>1117</v>
      </c>
      <c r="J67" t="s">
        <v>7412</v>
      </c>
      <c r="K67" t="s">
        <v>7413</v>
      </c>
      <c r="L67" t="s">
        <v>21</v>
      </c>
      <c r="M67" t="s">
        <v>19177</v>
      </c>
      <c r="N67" t="s">
        <v>478</v>
      </c>
      <c r="O67" t="s">
        <v>478</v>
      </c>
      <c r="P67" t="s">
        <v>454</v>
      </c>
    </row>
    <row r="68">
      <c r="A68">
        <f>HYPERLINK("http://bombeiros.sp.gov.br/hidrantes/03individual/3979.html","3979")</f>
      </c>
      <c r="B68" t="s">
        <v>454</v>
      </c>
      <c r="C68" t="s">
        <v>510</v>
      </c>
      <c r="D68" t="s">
        <v>511</v>
      </c>
      <c r="E68" t="s">
        <v>64</v>
      </c>
      <c r="F68" t="s">
        <v>7872</v>
      </c>
      <c r="G68" t="s">
        <v>18181</v>
      </c>
      <c r="H68" t="s">
        <v>1112</v>
      </c>
      <c r="I68" t="s">
        <v>1108</v>
      </c>
      <c r="J68" t="s">
        <v>7873</v>
      </c>
      <c r="K68" t="s">
        <v>7874</v>
      </c>
      <c r="L68" t="s">
        <v>36</v>
      </c>
      <c r="M68" t="s">
        <v>19177</v>
      </c>
      <c r="N68" t="s">
        <v>519</v>
      </c>
      <c r="O68" t="s">
        <v>519</v>
      </c>
      <c r="P68" t="s">
        <v>454</v>
      </c>
    </row>
    <row r="69">
      <c r="A69">
        <f>HYPERLINK("http://bombeiros.sp.gov.br/hidrantes/03individual/1198.html","1198")</f>
      </c>
      <c r="B69" t="s">
        <v>623</v>
      </c>
      <c r="C69" t="s">
        <v>630</v>
      </c>
      <c r="D69" t="s">
        <v>9734</v>
      </c>
      <c r="E69" t="s">
        <v>64</v>
      </c>
      <c r="F69" t="s">
        <v>9735</v>
      </c>
      <c r="G69" t="s">
        <v>18055</v>
      </c>
      <c r="H69" t="s">
        <v>1121</v>
      </c>
      <c r="I69" t="s">
        <v>1117</v>
      </c>
      <c r="J69" t="s">
        <v>9736</v>
      </c>
      <c r="K69" t="s">
        <v>9737</v>
      </c>
      <c r="L69" t="s">
        <v>21</v>
      </c>
      <c r="M69" t="s">
        <v>19177</v>
      </c>
      <c r="N69" t="s">
        <v>714</v>
      </c>
      <c r="O69" t="s">
        <v>10263</v>
      </c>
      <c r="P69" t="s">
        <v>12</v>
      </c>
    </row>
    <row r="70">
      <c r="A70">
        <f>HYPERLINK("http://bombeiros.sp.gov.br/hidrantes/03individual/4436.html","4436")</f>
      </c>
      <c r="B70" t="s">
        <v>623</v>
      </c>
      <c r="C70" t="s">
        <v>742</v>
      </c>
      <c r="D70" t="s">
        <v>743</v>
      </c>
      <c r="E70" t="s">
        <v>64</v>
      </c>
      <c r="F70" t="s">
        <v>10829</v>
      </c>
      <c r="G70" t="s">
        <v>18089</v>
      </c>
      <c r="H70" t="s">
        <v>1112</v>
      </c>
      <c r="I70" t="s">
        <v>1108</v>
      </c>
      <c r="J70" t="s">
        <v>10830</v>
      </c>
      <c r="K70" t="s">
        <v>10831</v>
      </c>
      <c r="L70" t="s">
        <v>36</v>
      </c>
      <c r="M70" t="s">
        <v>19177</v>
      </c>
      <c r="N70" t="s">
        <v>16375</v>
      </c>
      <c r="O70" t="s">
        <v>640</v>
      </c>
      <c r="P70" t="s">
        <v>623</v>
      </c>
    </row>
    <row r="71">
      <c r="A71">
        <f>HYPERLINK("http://bombeiros.sp.gov.br/hidrantes/03individual/4354.html","4354")</f>
      </c>
      <c r="B71" t="s">
        <v>842</v>
      </c>
      <c r="C71" t="s">
        <v>11956</v>
      </c>
      <c r="D71" t="s">
        <v>11990</v>
      </c>
      <c r="E71" t="s">
        <v>64</v>
      </c>
      <c r="F71" t="s">
        <v>12009</v>
      </c>
      <c r="G71" t="s">
        <v>18078</v>
      </c>
      <c r="H71" t="s">
        <v>1121</v>
      </c>
      <c r="I71" t="s">
        <v>1117</v>
      </c>
      <c r="J71" t="s">
        <v>12010</v>
      </c>
      <c r="K71" t="s">
        <v>12011</v>
      </c>
      <c r="L71" t="s">
        <v>21</v>
      </c>
      <c r="M71" t="s">
        <v>19177</v>
      </c>
      <c r="N71" t="s">
        <v>1024</v>
      </c>
      <c r="O71" t="s">
        <v>1024</v>
      </c>
      <c r="P71" t="s">
        <v>842</v>
      </c>
    </row>
    <row r="72">
      <c r="A72">
        <f>HYPERLINK("http://bombeiros.sp.gov.br/hidrantes/03individual/17806.html","17806")</f>
      </c>
      <c r="B72" t="s">
        <v>842</v>
      </c>
      <c r="C72" t="s">
        <v>852</v>
      </c>
      <c r="D72" t="s">
        <v>853</v>
      </c>
      <c r="E72" t="s">
        <v>64</v>
      </c>
      <c r="F72" t="s">
        <v>12166</v>
      </c>
      <c r="G72" t="s">
        <v>17909</v>
      </c>
      <c r="H72" t="s">
        <v>1121</v>
      </c>
      <c r="I72" t="s">
        <v>1117</v>
      </c>
      <c r="J72" t="s">
        <v>12167</v>
      </c>
      <c r="K72" t="s">
        <v>12168</v>
      </c>
      <c r="L72" t="s">
        <v>21</v>
      </c>
      <c r="M72" t="s">
        <v>19177</v>
      </c>
      <c r="N72" t="s">
        <v>848</v>
      </c>
      <c r="O72" t="s">
        <v>640</v>
      </c>
      <c r="P72" t="s">
        <v>623</v>
      </c>
    </row>
    <row r="73">
      <c r="A73">
        <f>HYPERLINK("http://bombeiros.sp.gov.br/hidrantes/03individual/27245.html","27245")</f>
      </c>
      <c r="B73" t="s">
        <v>842</v>
      </c>
      <c r="C73" t="s">
        <v>852</v>
      </c>
      <c r="D73" t="s">
        <v>852</v>
      </c>
      <c r="E73" t="s">
        <v>64</v>
      </c>
      <c r="F73" t="s">
        <v>17002</v>
      </c>
      <c r="G73" t="s">
        <v>17915</v>
      </c>
      <c r="H73" t="s">
        <v>1121</v>
      </c>
      <c r="I73" t="s">
        <v>1117</v>
      </c>
      <c r="J73" t="s">
        <v>17003</v>
      </c>
      <c r="K73" t="s">
        <v>17004</v>
      </c>
      <c r="L73" t="s">
        <v>21</v>
      </c>
      <c r="M73" t="s">
        <v>19177</v>
      </c>
      <c r="N73" t="s">
        <v>848</v>
      </c>
      <c r="O73" t="s">
        <v>640</v>
      </c>
      <c r="P73" t="s">
        <v>623</v>
      </c>
    </row>
    <row r="74">
      <c r="A74">
        <f>HYPERLINK("http://bombeiros.sp.gov.br/hidrantes/03individual/4127.html","4127")</f>
      </c>
      <c r="B74" t="s">
        <v>842</v>
      </c>
      <c r="C74" t="s">
        <v>894</v>
      </c>
      <c r="D74" t="s">
        <v>895</v>
      </c>
      <c r="E74" t="s">
        <v>64</v>
      </c>
      <c r="F74" t="s">
        <v>12319</v>
      </c>
      <c r="G74" t="s">
        <v>18055</v>
      </c>
      <c r="H74" t="s">
        <v>1107</v>
      </c>
      <c r="I74" t="s">
        <v>1108</v>
      </c>
      <c r="J74" t="s">
        <v>12321</v>
      </c>
      <c r="K74" t="s">
        <v>12322</v>
      </c>
      <c r="L74" t="s">
        <v>36</v>
      </c>
      <c r="M74" t="s">
        <v>19177</v>
      </c>
      <c r="N74" t="s">
        <v>16376</v>
      </c>
      <c r="O74" t="s">
        <v>16376</v>
      </c>
      <c r="P74" t="s">
        <v>842</v>
      </c>
    </row>
    <row r="75">
      <c r="A75">
        <f>HYPERLINK("http://bombeiros.sp.gov.br/hidrantes/03individual/15073.html","15073")</f>
      </c>
      <c r="B75" t="s">
        <v>842</v>
      </c>
      <c r="C75" t="s">
        <v>907</v>
      </c>
      <c r="D75" t="s">
        <v>908</v>
      </c>
      <c r="E75" t="s">
        <v>64</v>
      </c>
      <c r="F75" t="s">
        <v>12639</v>
      </c>
      <c r="G75" t="s">
        <v>18055</v>
      </c>
      <c r="H75" t="s">
        <v>1112</v>
      </c>
      <c r="I75" t="s">
        <v>1108</v>
      </c>
      <c r="J75" t="s">
        <v>12640</v>
      </c>
      <c r="K75" t="s">
        <v>12641</v>
      </c>
      <c r="L75" t="s">
        <v>21</v>
      </c>
      <c r="M75" t="s">
        <v>19177</v>
      </c>
      <c r="N75" t="s">
        <v>16376</v>
      </c>
      <c r="O75" t="s">
        <v>16376</v>
      </c>
      <c r="P75" t="s">
        <v>842</v>
      </c>
    </row>
    <row r="76">
      <c r="A76">
        <f>HYPERLINK("http://bombeiros.sp.gov.br/hidrantes/03individual/27286.html","27286")</f>
      </c>
      <c r="B76" t="s">
        <v>842</v>
      </c>
      <c r="C76" t="s">
        <v>996</v>
      </c>
      <c r="D76" t="s">
        <v>997</v>
      </c>
      <c r="E76" t="s">
        <v>64</v>
      </c>
      <c r="F76" t="s">
        <v>17054</v>
      </c>
      <c r="G76" t="s">
        <v>18167</v>
      </c>
      <c r="H76" t="s">
        <v>1121</v>
      </c>
      <c r="I76" t="s">
        <v>1117</v>
      </c>
      <c r="J76" t="s">
        <v>17055</v>
      </c>
      <c r="K76" t="s">
        <v>17056</v>
      </c>
      <c r="L76" t="s">
        <v>21</v>
      </c>
      <c r="M76" t="s">
        <v>19177</v>
      </c>
      <c r="N76" t="s">
        <v>714</v>
      </c>
      <c r="O76" t="s">
        <v>10263</v>
      </c>
      <c r="P76" t="s">
        <v>12</v>
      </c>
    </row>
    <row r="77">
      <c r="A77">
        <f>HYPERLINK("http://bombeiros.sp.gov.br/hidrantes/03individual/27287.html","27287")</f>
      </c>
      <c r="B77" t="s">
        <v>842</v>
      </c>
      <c r="C77" t="s">
        <v>996</v>
      </c>
      <c r="D77" t="s">
        <v>997</v>
      </c>
      <c r="E77" t="s">
        <v>64</v>
      </c>
      <c r="F77" t="s">
        <v>17057</v>
      </c>
      <c r="G77" t="s">
        <v>18114</v>
      </c>
      <c r="H77" t="s">
        <v>1107</v>
      </c>
      <c r="I77" t="s">
        <v>1108</v>
      </c>
      <c r="J77" t="s">
        <v>17058</v>
      </c>
      <c r="K77" t="s">
        <v>17059</v>
      </c>
      <c r="L77" t="s">
        <v>21</v>
      </c>
      <c r="M77" t="s">
        <v>19177</v>
      </c>
      <c r="N77" t="s">
        <v>714</v>
      </c>
      <c r="O77" t="s">
        <v>10263</v>
      </c>
      <c r="P77" t="s">
        <v>12</v>
      </c>
    </row>
    <row r="78">
      <c r="A78">
        <f>HYPERLINK("http://bombeiros.sp.gov.br/hidrantes/03individual/10072.html","10072")</f>
      </c>
      <c r="B78" t="s">
        <v>842</v>
      </c>
      <c r="C78" t="s">
        <v>13671</v>
      </c>
      <c r="D78" t="s">
        <v>13672</v>
      </c>
      <c r="E78" t="s">
        <v>64</v>
      </c>
      <c r="F78" t="s">
        <v>13673</v>
      </c>
      <c r="G78" t="s">
        <v>18472</v>
      </c>
      <c r="H78" t="s">
        <v>1112</v>
      </c>
      <c r="I78" t="s">
        <v>1108</v>
      </c>
      <c r="J78" t="s">
        <v>13674</v>
      </c>
      <c r="K78" t="s">
        <v>13675</v>
      </c>
      <c r="L78" t="s">
        <v>21</v>
      </c>
      <c r="M78" t="s">
        <v>19177</v>
      </c>
      <c r="N78" t="s">
        <v>16376</v>
      </c>
      <c r="O78" t="s">
        <v>16376</v>
      </c>
      <c r="P78" t="s">
        <v>842</v>
      </c>
    </row>
    <row r="79">
      <c r="A79">
        <f>HYPERLINK("http://bombeiros.sp.gov.br/hidrantes/03individual/28280.html","28280")</f>
      </c>
      <c r="B79" t="s">
        <v>842</v>
      </c>
      <c r="C79" t="s">
        <v>13671</v>
      </c>
      <c r="D79" t="s">
        <v>13671</v>
      </c>
      <c r="E79" t="s">
        <v>64</v>
      </c>
      <c r="F79" t="s">
        <v>18489</v>
      </c>
      <c r="G79" t="s">
        <v>18534</v>
      </c>
      <c r="H79" t="s">
        <v>1121</v>
      </c>
      <c r="I79" t="s">
        <v>1117</v>
      </c>
      <c r="J79" t="s">
        <v>18490</v>
      </c>
      <c r="K79" t="s">
        <v>18491</v>
      </c>
      <c r="L79" t="s">
        <v>21</v>
      </c>
      <c r="M79" t="s">
        <v>19177</v>
      </c>
      <c r="N79" t="s">
        <v>16376</v>
      </c>
      <c r="O79" t="s">
        <v>16376</v>
      </c>
      <c r="P79" t="s">
        <v>842</v>
      </c>
    </row>
    <row r="80">
      <c r="A80">
        <f>HYPERLINK("http://bombeiros.sp.gov.br/hidrantes/03individual/4131.html","4131")</f>
      </c>
      <c r="B80" t="s">
        <v>842</v>
      </c>
      <c r="C80" t="s">
        <v>1071</v>
      </c>
      <c r="D80" t="s">
        <v>1072</v>
      </c>
      <c r="E80" t="s">
        <v>64</v>
      </c>
      <c r="F80" t="s">
        <v>14569</v>
      </c>
      <c r="G80" t="s">
        <v>18124</v>
      </c>
      <c r="H80" t="s">
        <v>1112</v>
      </c>
      <c r="I80" t="s">
        <v>1108</v>
      </c>
      <c r="J80" t="s">
        <v>14570</v>
      </c>
      <c r="K80" t="s">
        <v>14571</v>
      </c>
      <c r="L80" t="s">
        <v>21</v>
      </c>
      <c r="M80" t="s">
        <v>19177</v>
      </c>
      <c r="N80" t="s">
        <v>16376</v>
      </c>
      <c r="O80" t="s">
        <v>16376</v>
      </c>
      <c r="P80" t="s">
        <v>842</v>
      </c>
    </row>
  </sheetData>
</worksheet>
</file>

<file path=xl/worksheets/sheet52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14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5.7109375" customWidth="true"/>
    <col min="4" max="4" width="20.7109375" customWidth="true"/>
    <col min="5" max="5" width="20.7109375" customWidth="true"/>
    <col min="6" max="6" width="100.7109375" customWidth="true"/>
    <col min="7" max="7" width="12.7109375" customWidth="true"/>
    <col min="8" max="8" width="15.7109375" customWidth="true"/>
    <col min="9" max="9" width="20.7109375" customWidth="true"/>
    <col min="10" max="10" width="20.7109375" customWidth="true"/>
    <col min="11" max="11" width="20.7109375" customWidth="true"/>
    <col min="12" max="12" width="10.7109375" customWidth="true"/>
    <col min="13" max="13" width="12.7109375" customWidth="true"/>
    <col min="14" max="14" width="30.7109375" customWidth="true"/>
    <col min="15" max="15" width="30.7109375" customWidth="true"/>
    <col min="16" max="16" width="3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14981</v>
      </c>
      <c r="N1" t="s">
        <v>16370</v>
      </c>
      <c r="O1" t="s">
        <v>16371</v>
      </c>
      <c r="P1" t="s">
        <v>16372</v>
      </c>
    </row>
    <row r="2">
      <c r="A2">
        <f>HYPERLINK("http://bombeiros.sp.gov.br/hidrantes/03individual/2592.html","2592")</f>
      </c>
      <c r="B2" t="s">
        <v>12</v>
      </c>
      <c r="C2" t="s">
        <v>13</v>
      </c>
      <c r="D2" t="s">
        <v>13</v>
      </c>
      <c r="E2" t="s">
        <v>64</v>
      </c>
      <c r="F2" t="s">
        <v>1106</v>
      </c>
      <c r="G2" t="s">
        <v>18048</v>
      </c>
      <c r="H2" t="s">
        <v>1174</v>
      </c>
      <c r="I2" t="s">
        <v>1108</v>
      </c>
      <c r="J2" t="s">
        <v>1109</v>
      </c>
      <c r="K2" t="s">
        <v>1110</v>
      </c>
      <c r="L2" t="s">
        <v>36</v>
      </c>
      <c r="M2" t="s">
        <v>19177</v>
      </c>
      <c r="N2" t="s">
        <v>714</v>
      </c>
      <c r="O2" t="s">
        <v>10263</v>
      </c>
      <c r="P2" t="s">
        <v>12</v>
      </c>
    </row>
    <row r="3">
      <c r="A3">
        <f>HYPERLINK("http://bombeiros.sp.gov.br/hidrantes/03individual/2718.html","2718")</f>
      </c>
      <c r="B3" t="s">
        <v>12</v>
      </c>
      <c r="C3" t="s">
        <v>13</v>
      </c>
      <c r="D3" t="s">
        <v>13</v>
      </c>
      <c r="E3" t="s">
        <v>64</v>
      </c>
      <c r="F3" t="s">
        <v>1115</v>
      </c>
      <c r="G3" t="s">
        <v>18124</v>
      </c>
      <c r="H3" t="s">
        <v>1107</v>
      </c>
      <c r="I3" t="s">
        <v>1108</v>
      </c>
      <c r="J3" t="s">
        <v>1118</v>
      </c>
      <c r="K3" t="s">
        <v>1119</v>
      </c>
      <c r="L3" t="s">
        <v>36</v>
      </c>
      <c r="M3" t="s">
        <v>19177</v>
      </c>
      <c r="N3" t="s">
        <v>714</v>
      </c>
      <c r="O3" t="s">
        <v>10263</v>
      </c>
      <c r="P3" t="s">
        <v>12</v>
      </c>
    </row>
    <row r="4">
      <c r="A4">
        <f>HYPERLINK("http://bombeiros.sp.gov.br/hidrantes/03individual/2724.html","2724")</f>
      </c>
      <c r="B4" t="s">
        <v>12</v>
      </c>
      <c r="C4" t="s">
        <v>13</v>
      </c>
      <c r="D4" t="s">
        <v>13</v>
      </c>
      <c r="E4" t="s">
        <v>15</v>
      </c>
      <c r="F4" t="s">
        <v>1147</v>
      </c>
      <c r="G4" t="s">
        <v>18040</v>
      </c>
      <c r="H4" t="s">
        <v>1112</v>
      </c>
      <c r="I4" t="s">
        <v>1108</v>
      </c>
      <c r="J4" t="s">
        <v>1148</v>
      </c>
      <c r="K4" t="s">
        <v>1149</v>
      </c>
      <c r="L4" t="s">
        <v>36</v>
      </c>
      <c r="M4" t="s">
        <v>19177</v>
      </c>
      <c r="N4" t="s">
        <v>714</v>
      </c>
      <c r="O4" t="s">
        <v>10263</v>
      </c>
      <c r="P4" t="s">
        <v>12</v>
      </c>
    </row>
    <row r="5">
      <c r="A5">
        <f>HYPERLINK("http://bombeiros.sp.gov.br/hidrantes/03individual/2739.html","2739")</f>
      </c>
      <c r="B5" t="s">
        <v>12</v>
      </c>
      <c r="C5" t="s">
        <v>13</v>
      </c>
      <c r="D5" t="s">
        <v>13</v>
      </c>
      <c r="E5" t="s">
        <v>15</v>
      </c>
      <c r="F5" t="s">
        <v>1150</v>
      </c>
      <c r="G5" t="s">
        <v>18182</v>
      </c>
      <c r="H5" t="s">
        <v>1107</v>
      </c>
      <c r="I5" t="s">
        <v>1108</v>
      </c>
      <c r="J5" t="s">
        <v>1151</v>
      </c>
      <c r="K5" t="s">
        <v>1152</v>
      </c>
      <c r="L5" t="s">
        <v>36</v>
      </c>
      <c r="M5" t="s">
        <v>19177</v>
      </c>
      <c r="N5" t="s">
        <v>714</v>
      </c>
      <c r="O5" t="s">
        <v>10263</v>
      </c>
      <c r="P5" t="s">
        <v>12</v>
      </c>
    </row>
    <row r="6">
      <c r="A6">
        <f>HYPERLINK("http://bombeiros.sp.gov.br/hidrantes/03individual/2555.html","2555")</f>
      </c>
      <c r="B6" t="s">
        <v>12</v>
      </c>
      <c r="C6" t="s">
        <v>13</v>
      </c>
      <c r="D6" t="s">
        <v>1172</v>
      </c>
      <c r="E6" t="s">
        <v>64</v>
      </c>
      <c r="F6" t="s">
        <v>1181</v>
      </c>
      <c r="G6" t="s">
        <v>18133</v>
      </c>
      <c r="H6" t="s">
        <v>1112</v>
      </c>
      <c r="I6" t="s">
        <v>1108</v>
      </c>
      <c r="J6" t="s">
        <v>1182</v>
      </c>
      <c r="K6" t="s">
        <v>1183</v>
      </c>
      <c r="L6" t="s">
        <v>36</v>
      </c>
      <c r="M6" t="s">
        <v>19177</v>
      </c>
      <c r="N6" t="s">
        <v>714</v>
      </c>
      <c r="O6" t="s">
        <v>10263</v>
      </c>
      <c r="P6" t="s">
        <v>12</v>
      </c>
    </row>
    <row r="7">
      <c r="A7">
        <f>HYPERLINK("http://bombeiros.sp.gov.br/hidrantes/03individual/2568.html","2568")</f>
      </c>
      <c r="B7" t="s">
        <v>12</v>
      </c>
      <c r="C7" t="s">
        <v>13</v>
      </c>
      <c r="D7" t="s">
        <v>1172</v>
      </c>
      <c r="E7" t="s">
        <v>64</v>
      </c>
      <c r="F7" t="s">
        <v>1184</v>
      </c>
      <c r="G7" t="s">
        <v>18124</v>
      </c>
      <c r="H7" t="s">
        <v>1107</v>
      </c>
      <c r="I7" t="s">
        <v>1108</v>
      </c>
      <c r="J7" t="s">
        <v>1185</v>
      </c>
      <c r="K7" t="s">
        <v>1186</v>
      </c>
      <c r="L7" t="s">
        <v>36</v>
      </c>
      <c r="M7" t="s">
        <v>19177</v>
      </c>
      <c r="N7" t="s">
        <v>714</v>
      </c>
      <c r="O7" t="s">
        <v>10263</v>
      </c>
      <c r="P7" t="s">
        <v>12</v>
      </c>
    </row>
    <row r="8">
      <c r="A8">
        <f>HYPERLINK("http://bombeiros.sp.gov.br/hidrantes/03individual/2747.html","2747")</f>
      </c>
      <c r="B8" t="s">
        <v>12</v>
      </c>
      <c r="C8" t="s">
        <v>13</v>
      </c>
      <c r="D8" t="s">
        <v>1172</v>
      </c>
      <c r="E8" t="s">
        <v>64</v>
      </c>
      <c r="F8" t="s">
        <v>1187</v>
      </c>
      <c r="G8" t="s">
        <v>18124</v>
      </c>
      <c r="H8" t="s">
        <v>1121</v>
      </c>
      <c r="I8" t="s">
        <v>1117</v>
      </c>
      <c r="J8" t="s">
        <v>1188</v>
      </c>
      <c r="K8" t="s">
        <v>1189</v>
      </c>
      <c r="L8" t="s">
        <v>36</v>
      </c>
      <c r="M8" t="s">
        <v>19177</v>
      </c>
      <c r="N8" t="s">
        <v>714</v>
      </c>
      <c r="O8" t="s">
        <v>10263</v>
      </c>
      <c r="P8" t="s">
        <v>12</v>
      </c>
    </row>
    <row r="9">
      <c r="A9">
        <f>HYPERLINK("http://bombeiros.sp.gov.br/hidrantes/03individual/2748.html","2748")</f>
      </c>
      <c r="B9" t="s">
        <v>12</v>
      </c>
      <c r="C9" t="s">
        <v>13</v>
      </c>
      <c r="D9" t="s">
        <v>1172</v>
      </c>
      <c r="E9" t="s">
        <v>64</v>
      </c>
      <c r="F9" t="s">
        <v>1190</v>
      </c>
      <c r="G9" t="s">
        <v>18179</v>
      </c>
      <c r="H9" t="s">
        <v>1107</v>
      </c>
      <c r="I9" t="s">
        <v>1108</v>
      </c>
      <c r="J9" t="s">
        <v>1191</v>
      </c>
      <c r="K9" t="s">
        <v>1192</v>
      </c>
      <c r="L9" t="s">
        <v>36</v>
      </c>
      <c r="M9" t="s">
        <v>19177</v>
      </c>
      <c r="N9" t="s">
        <v>714</v>
      </c>
      <c r="O9" t="s">
        <v>10263</v>
      </c>
      <c r="P9" t="s">
        <v>12</v>
      </c>
    </row>
    <row r="10">
      <c r="A10">
        <f>HYPERLINK("http://bombeiros.sp.gov.br/hidrantes/03individual/2766.html","2766")</f>
      </c>
      <c r="B10" t="s">
        <v>12</v>
      </c>
      <c r="C10" t="s">
        <v>13</v>
      </c>
      <c r="D10" t="s">
        <v>1172</v>
      </c>
      <c r="E10" t="s">
        <v>64</v>
      </c>
      <c r="F10" t="s">
        <v>1193</v>
      </c>
      <c r="G10" t="s">
        <v>18066</v>
      </c>
      <c r="H10" t="s">
        <v>1121</v>
      </c>
      <c r="I10" t="s">
        <v>1117</v>
      </c>
      <c r="J10" t="s">
        <v>16643</v>
      </c>
      <c r="K10" t="s">
        <v>16644</v>
      </c>
      <c r="L10" t="s">
        <v>36</v>
      </c>
      <c r="M10" t="s">
        <v>19177</v>
      </c>
      <c r="N10" t="s">
        <v>714</v>
      </c>
      <c r="O10" t="s">
        <v>10263</v>
      </c>
      <c r="P10" t="s">
        <v>12</v>
      </c>
    </row>
    <row r="11">
      <c r="A11">
        <f>HYPERLINK("http://bombeiros.sp.gov.br/hidrantes/03individual/4284.html","4284")</f>
      </c>
      <c r="B11" t="s">
        <v>12</v>
      </c>
      <c r="C11" t="s">
        <v>13</v>
      </c>
      <c r="D11" t="s">
        <v>1172</v>
      </c>
      <c r="E11" t="s">
        <v>64</v>
      </c>
      <c r="F11" t="s">
        <v>1196</v>
      </c>
      <c r="G11" t="s">
        <v>18135</v>
      </c>
      <c r="H11" t="s">
        <v>1121</v>
      </c>
      <c r="I11" t="s">
        <v>1117</v>
      </c>
      <c r="J11" t="s">
        <v>1197</v>
      </c>
      <c r="K11" t="s">
        <v>1198</v>
      </c>
      <c r="L11" t="s">
        <v>36</v>
      </c>
      <c r="M11" t="s">
        <v>19177</v>
      </c>
      <c r="N11" t="s">
        <v>714</v>
      </c>
      <c r="O11" t="s">
        <v>10263</v>
      </c>
      <c r="P11" t="s">
        <v>12</v>
      </c>
    </row>
    <row r="12">
      <c r="A12">
        <f>HYPERLINK("http://bombeiros.sp.gov.br/hidrantes/03individual/2760.html","2760")</f>
      </c>
      <c r="B12" t="s">
        <v>12</v>
      </c>
      <c r="C12" t="s">
        <v>13</v>
      </c>
      <c r="D12" t="s">
        <v>1172</v>
      </c>
      <c r="E12" t="s">
        <v>15</v>
      </c>
      <c r="F12" t="s">
        <v>1206</v>
      </c>
      <c r="G12" t="s">
        <v>17918</v>
      </c>
      <c r="H12" t="s">
        <v>1112</v>
      </c>
      <c r="I12" t="s">
        <v>1108</v>
      </c>
      <c r="J12" t="s">
        <v>1207</v>
      </c>
      <c r="K12" t="s">
        <v>1208</v>
      </c>
      <c r="L12" t="s">
        <v>36</v>
      </c>
      <c r="M12" t="s">
        <v>19177</v>
      </c>
      <c r="N12" t="s">
        <v>714</v>
      </c>
      <c r="O12" t="s">
        <v>10263</v>
      </c>
      <c r="P12" t="s">
        <v>12</v>
      </c>
    </row>
    <row r="13">
      <c r="A13">
        <f>HYPERLINK("http://bombeiros.sp.gov.br/hidrantes/03individual/2487.html","2487")</f>
      </c>
      <c r="B13" t="s">
        <v>12</v>
      </c>
      <c r="C13" t="s">
        <v>13</v>
      </c>
      <c r="D13" t="s">
        <v>25</v>
      </c>
      <c r="E13" t="s">
        <v>64</v>
      </c>
      <c r="F13" t="s">
        <v>1177</v>
      </c>
      <c r="G13" t="s">
        <v>18050</v>
      </c>
      <c r="H13" t="s">
        <v>1121</v>
      </c>
      <c r="I13" t="s">
        <v>1117</v>
      </c>
      <c r="J13" t="s">
        <v>1233</v>
      </c>
      <c r="K13" t="s">
        <v>1234</v>
      </c>
      <c r="L13" t="s">
        <v>36</v>
      </c>
      <c r="M13" t="s">
        <v>19177</v>
      </c>
      <c r="N13" t="s">
        <v>714</v>
      </c>
      <c r="O13" t="s">
        <v>10263</v>
      </c>
      <c r="P13" t="s">
        <v>12</v>
      </c>
    </row>
    <row r="14">
      <c r="A14">
        <f>HYPERLINK("http://bombeiros.sp.gov.br/hidrantes/03individual/2648.html","2648")</f>
      </c>
      <c r="B14" t="s">
        <v>12</v>
      </c>
      <c r="C14" t="s">
        <v>13</v>
      </c>
      <c r="D14" t="s">
        <v>25</v>
      </c>
      <c r="E14" t="s">
        <v>64</v>
      </c>
      <c r="F14" t="s">
        <v>1235</v>
      </c>
      <c r="G14" t="s">
        <v>18179</v>
      </c>
      <c r="H14" t="s">
        <v>1121</v>
      </c>
      <c r="I14" t="s">
        <v>1117</v>
      </c>
      <c r="J14" t="s">
        <v>1236</v>
      </c>
      <c r="K14" t="s">
        <v>1237</v>
      </c>
      <c r="L14" t="s">
        <v>36</v>
      </c>
      <c r="M14" t="s">
        <v>19177</v>
      </c>
      <c r="N14" t="s">
        <v>714</v>
      </c>
      <c r="O14" t="s">
        <v>10263</v>
      </c>
      <c r="P14" t="s">
        <v>12</v>
      </c>
    </row>
    <row r="15">
      <c r="A15">
        <f>HYPERLINK("http://bombeiros.sp.gov.br/hidrantes/03individual/4277.html","4277")</f>
      </c>
      <c r="B15" t="s">
        <v>12</v>
      </c>
      <c r="C15" t="s">
        <v>13</v>
      </c>
      <c r="D15" t="s">
        <v>25</v>
      </c>
      <c r="E15" t="s">
        <v>64</v>
      </c>
      <c r="F15" t="s">
        <v>1238</v>
      </c>
      <c r="G15" t="s">
        <v>18179</v>
      </c>
      <c r="H15" t="s">
        <v>1121</v>
      </c>
      <c r="I15" t="s">
        <v>1117</v>
      </c>
      <c r="J15" t="s">
        <v>1239</v>
      </c>
      <c r="K15" t="s">
        <v>1240</v>
      </c>
      <c r="L15" t="s">
        <v>36</v>
      </c>
      <c r="M15" t="s">
        <v>19177</v>
      </c>
      <c r="N15" t="s">
        <v>714</v>
      </c>
      <c r="O15" t="s">
        <v>10263</v>
      </c>
      <c r="P15" t="s">
        <v>12</v>
      </c>
    </row>
    <row r="16">
      <c r="A16">
        <f>HYPERLINK("http://bombeiros.sp.gov.br/hidrantes/03individual/2338.html","2338")</f>
      </c>
      <c r="B16" t="s">
        <v>12</v>
      </c>
      <c r="C16" t="s">
        <v>13</v>
      </c>
      <c r="D16" t="s">
        <v>25</v>
      </c>
      <c r="E16" t="s">
        <v>15</v>
      </c>
      <c r="F16" t="s">
        <v>1248</v>
      </c>
      <c r="G16" t="s">
        <v>18013</v>
      </c>
      <c r="H16" t="s">
        <v>1107</v>
      </c>
      <c r="I16" t="s">
        <v>1108</v>
      </c>
      <c r="J16" t="s">
        <v>1249</v>
      </c>
      <c r="K16" t="s">
        <v>1250</v>
      </c>
      <c r="L16" t="s">
        <v>36</v>
      </c>
      <c r="M16" t="s">
        <v>19177</v>
      </c>
      <c r="N16" t="s">
        <v>714</v>
      </c>
      <c r="O16" t="s">
        <v>10263</v>
      </c>
      <c r="P16" t="s">
        <v>12</v>
      </c>
    </row>
    <row r="17">
      <c r="A17">
        <f>HYPERLINK("http://bombeiros.sp.gov.br/hidrantes/03individual/2815.html","2815")</f>
      </c>
      <c r="B17" t="s">
        <v>12</v>
      </c>
      <c r="C17" t="s">
        <v>30</v>
      </c>
      <c r="D17" t="s">
        <v>30</v>
      </c>
      <c r="E17" t="s">
        <v>64</v>
      </c>
      <c r="F17" t="s">
        <v>1294</v>
      </c>
      <c r="G17" t="s">
        <v>18083</v>
      </c>
      <c r="H17" t="s">
        <v>1121</v>
      </c>
      <c r="I17" t="s">
        <v>1117</v>
      </c>
      <c r="J17" t="s">
        <v>1296</v>
      </c>
      <c r="K17" t="s">
        <v>1297</v>
      </c>
      <c r="L17" t="s">
        <v>36</v>
      </c>
      <c r="M17" t="s">
        <v>19177</v>
      </c>
      <c r="N17" t="s">
        <v>97</v>
      </c>
      <c r="O17" t="s">
        <v>937</v>
      </c>
      <c r="P17" t="s">
        <v>12</v>
      </c>
    </row>
    <row r="18">
      <c r="A18">
        <f>HYPERLINK("http://bombeiros.sp.gov.br/hidrantes/03individual/2794.html","2794")</f>
      </c>
      <c r="B18" t="s">
        <v>12</v>
      </c>
      <c r="C18" t="s">
        <v>30</v>
      </c>
      <c r="D18" t="s">
        <v>30</v>
      </c>
      <c r="E18" t="s">
        <v>15</v>
      </c>
      <c r="F18" t="s">
        <v>1325</v>
      </c>
      <c r="G18" t="s">
        <v>18055</v>
      </c>
      <c r="H18" t="s">
        <v>1112</v>
      </c>
      <c r="I18" t="s">
        <v>1108</v>
      </c>
      <c r="J18" t="s">
        <v>1327</v>
      </c>
      <c r="K18" t="s">
        <v>1328</v>
      </c>
      <c r="L18" t="s">
        <v>36</v>
      </c>
      <c r="M18" t="s">
        <v>19177</v>
      </c>
      <c r="N18" t="s">
        <v>97</v>
      </c>
      <c r="O18" t="s">
        <v>937</v>
      </c>
      <c r="P18" t="s">
        <v>12</v>
      </c>
    </row>
    <row r="19">
      <c r="A19">
        <f>HYPERLINK("http://bombeiros.sp.gov.br/hidrantes/03individual/2806.html","2806")</f>
      </c>
      <c r="B19" t="s">
        <v>12</v>
      </c>
      <c r="C19" t="s">
        <v>30</v>
      </c>
      <c r="D19" t="s">
        <v>30</v>
      </c>
      <c r="E19" t="s">
        <v>15</v>
      </c>
      <c r="F19" t="s">
        <v>1338</v>
      </c>
      <c r="G19" t="s">
        <v>18183</v>
      </c>
      <c r="H19" t="s">
        <v>1112</v>
      </c>
      <c r="I19" t="s">
        <v>1108</v>
      </c>
      <c r="J19" t="s">
        <v>1339</v>
      </c>
      <c r="K19" t="s">
        <v>1340</v>
      </c>
      <c r="L19" t="s">
        <v>36</v>
      </c>
      <c r="M19" t="s">
        <v>19177</v>
      </c>
      <c r="N19" t="s">
        <v>97</v>
      </c>
      <c r="O19" t="s">
        <v>937</v>
      </c>
      <c r="P19" t="s">
        <v>12</v>
      </c>
    </row>
    <row r="20">
      <c r="A20">
        <f>HYPERLINK("http://bombeiros.sp.gov.br/hidrantes/03individual/2930.html","2930")</f>
      </c>
      <c r="B20" t="s">
        <v>12</v>
      </c>
      <c r="C20" t="s">
        <v>30</v>
      </c>
      <c r="D20" t="s">
        <v>30</v>
      </c>
      <c r="E20" t="s">
        <v>15</v>
      </c>
      <c r="F20" t="s">
        <v>1350</v>
      </c>
      <c r="G20" t="s">
        <v>18046</v>
      </c>
      <c r="H20" t="s">
        <v>1112</v>
      </c>
      <c r="I20" t="s">
        <v>1108</v>
      </c>
      <c r="J20" t="s">
        <v>1351</v>
      </c>
      <c r="K20" t="s">
        <v>1352</v>
      </c>
      <c r="L20" t="s">
        <v>36</v>
      </c>
      <c r="M20" t="s">
        <v>19177</v>
      </c>
      <c r="N20" t="s">
        <v>97</v>
      </c>
      <c r="O20" t="s">
        <v>937</v>
      </c>
      <c r="P20" t="s">
        <v>12</v>
      </c>
    </row>
    <row r="21">
      <c r="A21">
        <f>HYPERLINK("http://bombeiros.sp.gov.br/hidrantes/03individual/802.html","802")</f>
      </c>
      <c r="B21" t="s">
        <v>12</v>
      </c>
      <c r="C21" t="s">
        <v>30</v>
      </c>
      <c r="D21" t="s">
        <v>31</v>
      </c>
      <c r="E21" t="s">
        <v>64</v>
      </c>
      <c r="F21" t="s">
        <v>1364</v>
      </c>
      <c r="G21" t="s">
        <v>18044</v>
      </c>
      <c r="H21" t="s">
        <v>1174</v>
      </c>
      <c r="I21" t="s">
        <v>1108</v>
      </c>
      <c r="J21" t="s">
        <v>1365</v>
      </c>
      <c r="K21" t="s">
        <v>1366</v>
      </c>
      <c r="L21" t="s">
        <v>36</v>
      </c>
      <c r="M21" t="s">
        <v>19177</v>
      </c>
      <c r="N21" t="s">
        <v>97</v>
      </c>
      <c r="O21" t="s">
        <v>937</v>
      </c>
      <c r="P21" t="s">
        <v>12</v>
      </c>
    </row>
    <row r="22">
      <c r="A22">
        <f>HYPERLINK("http://bombeiros.sp.gov.br/hidrantes/03individual/2051.html","2051")</f>
      </c>
      <c r="B22" t="s">
        <v>12</v>
      </c>
      <c r="C22" t="s">
        <v>30</v>
      </c>
      <c r="D22" t="s">
        <v>31</v>
      </c>
      <c r="E22" t="s">
        <v>64</v>
      </c>
      <c r="F22" t="s">
        <v>1367</v>
      </c>
      <c r="G22" t="s">
        <v>18183</v>
      </c>
      <c r="H22" t="s">
        <v>1112</v>
      </c>
      <c r="I22" t="s">
        <v>1108</v>
      </c>
      <c r="J22" t="s">
        <v>1369</v>
      </c>
      <c r="K22" t="s">
        <v>1370</v>
      </c>
      <c r="L22" t="s">
        <v>36</v>
      </c>
      <c r="M22" t="s">
        <v>19177</v>
      </c>
      <c r="N22" t="s">
        <v>97</v>
      </c>
      <c r="O22" t="s">
        <v>937</v>
      </c>
      <c r="P22" t="s">
        <v>12</v>
      </c>
    </row>
    <row r="23">
      <c r="A23">
        <f>HYPERLINK("http://bombeiros.sp.gov.br/hidrantes/03individual/2414.html","2414")</f>
      </c>
      <c r="B23" t="s">
        <v>12</v>
      </c>
      <c r="C23" t="s">
        <v>30</v>
      </c>
      <c r="D23" t="s">
        <v>31</v>
      </c>
      <c r="E23" t="s">
        <v>64</v>
      </c>
      <c r="F23" t="s">
        <v>1374</v>
      </c>
      <c r="G23" t="s">
        <v>18044</v>
      </c>
      <c r="H23" t="s">
        <v>1107</v>
      </c>
      <c r="I23" t="s">
        <v>1108</v>
      </c>
      <c r="J23" t="s">
        <v>1375</v>
      </c>
      <c r="K23" t="s">
        <v>1376</v>
      </c>
      <c r="L23" t="s">
        <v>36</v>
      </c>
      <c r="M23" t="s">
        <v>19177</v>
      </c>
      <c r="N23" t="s">
        <v>97</v>
      </c>
      <c r="O23" t="s">
        <v>937</v>
      </c>
      <c r="P23" t="s">
        <v>12</v>
      </c>
    </row>
    <row r="24">
      <c r="A24">
        <f>HYPERLINK("http://bombeiros.sp.gov.br/hidrantes/03individual/2421.html","2421")</f>
      </c>
      <c r="B24" t="s">
        <v>12</v>
      </c>
      <c r="C24" t="s">
        <v>30</v>
      </c>
      <c r="D24" t="s">
        <v>31</v>
      </c>
      <c r="E24" t="s">
        <v>64</v>
      </c>
      <c r="F24" t="s">
        <v>1380</v>
      </c>
      <c r="G24" t="s">
        <v>18044</v>
      </c>
      <c r="H24" t="s">
        <v>1107</v>
      </c>
      <c r="I24" t="s">
        <v>1108</v>
      </c>
      <c r="J24" t="s">
        <v>1381</v>
      </c>
      <c r="K24" t="s">
        <v>1382</v>
      </c>
      <c r="L24" t="s">
        <v>36</v>
      </c>
      <c r="M24" t="s">
        <v>19177</v>
      </c>
      <c r="N24" t="s">
        <v>97</v>
      </c>
      <c r="O24" t="s">
        <v>937</v>
      </c>
      <c r="P24" t="s">
        <v>12</v>
      </c>
    </row>
    <row r="25">
      <c r="A25">
        <f>HYPERLINK("http://bombeiros.sp.gov.br/hidrantes/03individual/2433.html","2433")</f>
      </c>
      <c r="B25" t="s">
        <v>12</v>
      </c>
      <c r="C25" t="s">
        <v>30</v>
      </c>
      <c r="D25" t="s">
        <v>31</v>
      </c>
      <c r="E25" t="s">
        <v>64</v>
      </c>
      <c r="F25" t="s">
        <v>1387</v>
      </c>
      <c r="G25" t="s">
        <v>18044</v>
      </c>
      <c r="H25" t="s">
        <v>1107</v>
      </c>
      <c r="I25" t="s">
        <v>1108</v>
      </c>
      <c r="J25" t="s">
        <v>1388</v>
      </c>
      <c r="K25" t="s">
        <v>1389</v>
      </c>
      <c r="L25" t="s">
        <v>36</v>
      </c>
      <c r="M25" t="s">
        <v>19177</v>
      </c>
      <c r="N25" t="s">
        <v>97</v>
      </c>
      <c r="O25" t="s">
        <v>937</v>
      </c>
      <c r="P25" t="s">
        <v>12</v>
      </c>
    </row>
    <row r="26">
      <c r="A26">
        <f>HYPERLINK("http://bombeiros.sp.gov.br/hidrantes/03individual/2817.html","2817")</f>
      </c>
      <c r="B26" t="s">
        <v>12</v>
      </c>
      <c r="C26" t="s">
        <v>30</v>
      </c>
      <c r="D26" t="s">
        <v>31</v>
      </c>
      <c r="E26" t="s">
        <v>64</v>
      </c>
      <c r="F26" t="s">
        <v>1393</v>
      </c>
      <c r="G26" t="s">
        <v>18044</v>
      </c>
      <c r="H26" t="s">
        <v>1107</v>
      </c>
      <c r="I26" t="s">
        <v>1117</v>
      </c>
      <c r="J26" t="s">
        <v>1394</v>
      </c>
      <c r="K26" t="s">
        <v>1395</v>
      </c>
      <c r="L26" t="s">
        <v>36</v>
      </c>
      <c r="M26" t="s">
        <v>19177</v>
      </c>
      <c r="N26" t="s">
        <v>97</v>
      </c>
      <c r="O26" t="s">
        <v>937</v>
      </c>
      <c r="P26" t="s">
        <v>12</v>
      </c>
    </row>
    <row r="27">
      <c r="A27">
        <f>HYPERLINK("http://bombeiros.sp.gov.br/hidrantes/03individual/776.html","776")</f>
      </c>
      <c r="B27" t="s">
        <v>12</v>
      </c>
      <c r="C27" t="s">
        <v>30</v>
      </c>
      <c r="D27" t="s">
        <v>31</v>
      </c>
      <c r="E27" t="s">
        <v>15</v>
      </c>
      <c r="F27" t="s">
        <v>1430</v>
      </c>
      <c r="G27" t="s">
        <v>18045</v>
      </c>
      <c r="H27" t="s">
        <v>1107</v>
      </c>
      <c r="I27" t="s">
        <v>1108</v>
      </c>
      <c r="J27" t="s">
        <v>1431</v>
      </c>
      <c r="K27" t="s">
        <v>1432</v>
      </c>
      <c r="L27" t="s">
        <v>36</v>
      </c>
      <c r="M27" t="s">
        <v>19177</v>
      </c>
      <c r="N27" t="s">
        <v>97</v>
      </c>
      <c r="O27" t="s">
        <v>937</v>
      </c>
      <c r="P27" t="s">
        <v>12</v>
      </c>
    </row>
    <row r="28">
      <c r="A28">
        <f>HYPERLINK("http://bombeiros.sp.gov.br/hidrantes/03individual/2048.html","2048")</f>
      </c>
      <c r="B28" t="s">
        <v>12</v>
      </c>
      <c r="C28" t="s">
        <v>30</v>
      </c>
      <c r="D28" t="s">
        <v>31</v>
      </c>
      <c r="E28" t="s">
        <v>15</v>
      </c>
      <c r="F28" t="s">
        <v>32</v>
      </c>
      <c r="G28" t="s">
        <v>18183</v>
      </c>
      <c r="H28" t="s">
        <v>1107</v>
      </c>
      <c r="I28" t="s">
        <v>1108</v>
      </c>
      <c r="J28" t="s">
        <v>34</v>
      </c>
      <c r="K28" t="s">
        <v>35</v>
      </c>
      <c r="L28" t="s">
        <v>36</v>
      </c>
      <c r="M28" t="s">
        <v>19177</v>
      </c>
      <c r="N28" t="s">
        <v>97</v>
      </c>
      <c r="O28" t="s">
        <v>937</v>
      </c>
      <c r="P28" t="s">
        <v>12</v>
      </c>
    </row>
    <row r="29">
      <c r="A29">
        <f>HYPERLINK("http://bombeiros.sp.gov.br/hidrantes/03individual/2431.html","2431")</f>
      </c>
      <c r="B29" t="s">
        <v>12</v>
      </c>
      <c r="C29" t="s">
        <v>30</v>
      </c>
      <c r="D29" t="s">
        <v>31</v>
      </c>
      <c r="E29" t="s">
        <v>15</v>
      </c>
      <c r="F29" t="s">
        <v>1475</v>
      </c>
      <c r="G29" t="s">
        <v>18183</v>
      </c>
      <c r="H29" t="s">
        <v>1107</v>
      </c>
      <c r="I29" t="s">
        <v>1108</v>
      </c>
      <c r="J29" t="s">
        <v>1476</v>
      </c>
      <c r="K29" t="s">
        <v>1477</v>
      </c>
      <c r="L29" t="s">
        <v>36</v>
      </c>
      <c r="M29" t="s">
        <v>19177</v>
      </c>
      <c r="N29" t="s">
        <v>97</v>
      </c>
      <c r="O29" t="s">
        <v>937</v>
      </c>
      <c r="P29" t="s">
        <v>12</v>
      </c>
    </row>
    <row r="30">
      <c r="A30">
        <f>HYPERLINK("http://bombeiros.sp.gov.br/hidrantes/03individual/2434.html","2434")</f>
      </c>
      <c r="B30" t="s">
        <v>12</v>
      </c>
      <c r="C30" t="s">
        <v>30</v>
      </c>
      <c r="D30" t="s">
        <v>31</v>
      </c>
      <c r="E30" t="s">
        <v>15</v>
      </c>
      <c r="F30" t="s">
        <v>1478</v>
      </c>
      <c r="G30" t="s">
        <v>18057</v>
      </c>
      <c r="H30" t="s">
        <v>1107</v>
      </c>
      <c r="I30" t="s">
        <v>1108</v>
      </c>
      <c r="J30" t="s">
        <v>1479</v>
      </c>
      <c r="K30" t="s">
        <v>1480</v>
      </c>
      <c r="L30" t="s">
        <v>36</v>
      </c>
      <c r="M30" t="s">
        <v>19177</v>
      </c>
      <c r="N30" t="s">
        <v>97</v>
      </c>
      <c r="O30" t="s">
        <v>937</v>
      </c>
      <c r="P30" t="s">
        <v>12</v>
      </c>
    </row>
    <row r="31">
      <c r="A31">
        <f>HYPERLINK("http://bombeiros.sp.gov.br/hidrantes/03individual/701.html","701")</f>
      </c>
      <c r="B31" t="s">
        <v>12</v>
      </c>
      <c r="C31" t="s">
        <v>30</v>
      </c>
      <c r="D31" t="s">
        <v>1506</v>
      </c>
      <c r="E31" t="s">
        <v>64</v>
      </c>
      <c r="F31" t="s">
        <v>1512</v>
      </c>
      <c r="G31" t="s">
        <v>18069</v>
      </c>
      <c r="H31" t="s">
        <v>1107</v>
      </c>
      <c r="I31" t="s">
        <v>1108</v>
      </c>
      <c r="J31" t="s">
        <v>1513</v>
      </c>
      <c r="K31" t="s">
        <v>1514</v>
      </c>
      <c r="L31" t="s">
        <v>36</v>
      </c>
      <c r="M31" t="s">
        <v>19177</v>
      </c>
      <c r="N31" t="s">
        <v>97</v>
      </c>
      <c r="O31" t="s">
        <v>937</v>
      </c>
      <c r="P31" t="s">
        <v>12</v>
      </c>
    </row>
    <row r="32">
      <c r="A32">
        <f>HYPERLINK("http://bombeiros.sp.gov.br/hidrantes/03individual/1748.html","1748")</f>
      </c>
      <c r="B32" t="s">
        <v>12</v>
      </c>
      <c r="C32" t="s">
        <v>30</v>
      </c>
      <c r="D32" t="s">
        <v>1506</v>
      </c>
      <c r="E32" t="s">
        <v>64</v>
      </c>
      <c r="F32" t="s">
        <v>1515</v>
      </c>
      <c r="G32" t="s">
        <v>18048</v>
      </c>
      <c r="H32" t="s">
        <v>1174</v>
      </c>
      <c r="I32" t="s">
        <v>1108</v>
      </c>
      <c r="J32" t="s">
        <v>1516</v>
      </c>
      <c r="K32" t="s">
        <v>1517</v>
      </c>
      <c r="L32" t="s">
        <v>36</v>
      </c>
      <c r="M32" t="s">
        <v>19177</v>
      </c>
      <c r="N32" t="s">
        <v>97</v>
      </c>
      <c r="O32" t="s">
        <v>937</v>
      </c>
      <c r="P32" t="s">
        <v>12</v>
      </c>
    </row>
    <row r="33">
      <c r="A33">
        <f>HYPERLINK("http://bombeiros.sp.gov.br/hidrantes/03individual/504.html","504")</f>
      </c>
      <c r="B33" t="s">
        <v>12</v>
      </c>
      <c r="C33" t="s">
        <v>30</v>
      </c>
      <c r="D33" t="s">
        <v>1506</v>
      </c>
      <c r="E33" t="s">
        <v>15</v>
      </c>
      <c r="F33" t="s">
        <v>1524</v>
      </c>
      <c r="G33" t="s">
        <v>18047</v>
      </c>
      <c r="H33" t="s">
        <v>1174</v>
      </c>
      <c r="I33" t="s">
        <v>1117</v>
      </c>
      <c r="J33" t="s">
        <v>1525</v>
      </c>
      <c r="K33" t="s">
        <v>1526</v>
      </c>
      <c r="L33" t="s">
        <v>36</v>
      </c>
      <c r="M33" t="s">
        <v>19177</v>
      </c>
      <c r="N33" t="s">
        <v>97</v>
      </c>
      <c r="O33" t="s">
        <v>937</v>
      </c>
      <c r="P33" t="s">
        <v>12</v>
      </c>
    </row>
    <row r="34">
      <c r="A34">
        <f>HYPERLINK("http://bombeiros.sp.gov.br/hidrantes/03individual/139.html","139")</f>
      </c>
      <c r="B34" t="s">
        <v>12</v>
      </c>
      <c r="C34" t="s">
        <v>37</v>
      </c>
      <c r="D34" t="s">
        <v>38</v>
      </c>
      <c r="E34" t="s">
        <v>64</v>
      </c>
      <c r="F34" t="s">
        <v>1614</v>
      </c>
      <c r="G34" t="s">
        <v>18077</v>
      </c>
      <c r="H34" t="s">
        <v>1121</v>
      </c>
      <c r="I34" t="s">
        <v>1117</v>
      </c>
      <c r="J34" t="s">
        <v>15885</v>
      </c>
      <c r="K34" t="s">
        <v>15886</v>
      </c>
      <c r="L34" t="s">
        <v>36</v>
      </c>
      <c r="M34" t="s">
        <v>19177</v>
      </c>
      <c r="N34" t="s">
        <v>97</v>
      </c>
      <c r="O34" t="s">
        <v>937</v>
      </c>
      <c r="P34" t="s">
        <v>12</v>
      </c>
    </row>
    <row r="35">
      <c r="A35">
        <f>HYPERLINK("http://bombeiros.sp.gov.br/hidrantes/03individual/1816.html","1816")</f>
      </c>
      <c r="B35" t="s">
        <v>12</v>
      </c>
      <c r="C35" t="s">
        <v>37</v>
      </c>
      <c r="D35" t="s">
        <v>38</v>
      </c>
      <c r="E35" t="s">
        <v>64</v>
      </c>
      <c r="F35" t="s">
        <v>1623</v>
      </c>
      <c r="G35" t="s">
        <v>18077</v>
      </c>
      <c r="H35" t="s">
        <v>1112</v>
      </c>
      <c r="I35" t="s">
        <v>1108</v>
      </c>
      <c r="J35" t="s">
        <v>1624</v>
      </c>
      <c r="K35" t="s">
        <v>1625</v>
      </c>
      <c r="L35" t="s">
        <v>36</v>
      </c>
      <c r="M35" t="s">
        <v>19177</v>
      </c>
      <c r="N35" t="s">
        <v>97</v>
      </c>
      <c r="O35" t="s">
        <v>937</v>
      </c>
      <c r="P35" t="s">
        <v>12</v>
      </c>
    </row>
    <row r="36">
      <c r="A36">
        <f>HYPERLINK("http://bombeiros.sp.gov.br/hidrantes/03individual/1878.html","1878")</f>
      </c>
      <c r="B36" t="s">
        <v>12</v>
      </c>
      <c r="C36" t="s">
        <v>37</v>
      </c>
      <c r="D36" t="s">
        <v>38</v>
      </c>
      <c r="E36" t="s">
        <v>64</v>
      </c>
      <c r="F36" t="s">
        <v>1629</v>
      </c>
      <c r="G36" t="s">
        <v>18050</v>
      </c>
      <c r="H36" t="s">
        <v>1112</v>
      </c>
      <c r="I36" t="s">
        <v>1108</v>
      </c>
      <c r="J36" t="s">
        <v>1630</v>
      </c>
      <c r="K36" t="s">
        <v>1631</v>
      </c>
      <c r="L36" t="s">
        <v>36</v>
      </c>
      <c r="M36" t="s">
        <v>19177</v>
      </c>
      <c r="N36" t="s">
        <v>97</v>
      </c>
      <c r="O36" t="s">
        <v>937</v>
      </c>
      <c r="P36" t="s">
        <v>12</v>
      </c>
    </row>
    <row r="37">
      <c r="A37">
        <f>HYPERLINK("http://bombeiros.sp.gov.br/hidrantes/03individual/2119.html","2119")</f>
      </c>
      <c r="B37" t="s">
        <v>12</v>
      </c>
      <c r="C37" t="s">
        <v>37</v>
      </c>
      <c r="D37" t="s">
        <v>38</v>
      </c>
      <c r="E37" t="s">
        <v>64</v>
      </c>
      <c r="F37" t="s">
        <v>1632</v>
      </c>
      <c r="G37" t="s">
        <v>18073</v>
      </c>
      <c r="H37" t="s">
        <v>1121</v>
      </c>
      <c r="I37" t="s">
        <v>1117</v>
      </c>
      <c r="J37" t="s">
        <v>1633</v>
      </c>
      <c r="K37" t="s">
        <v>1634</v>
      </c>
      <c r="L37" t="s">
        <v>36</v>
      </c>
      <c r="M37" t="s">
        <v>19177</v>
      </c>
      <c r="N37" t="s">
        <v>97</v>
      </c>
      <c r="O37" t="s">
        <v>937</v>
      </c>
      <c r="P37" t="s">
        <v>12</v>
      </c>
    </row>
    <row r="38">
      <c r="A38">
        <f>HYPERLINK("http://bombeiros.sp.gov.br/hidrantes/03individual/2130.html","2130")</f>
      </c>
      <c r="B38" t="s">
        <v>12</v>
      </c>
      <c r="C38" t="s">
        <v>37</v>
      </c>
      <c r="D38" t="s">
        <v>38</v>
      </c>
      <c r="E38" t="s">
        <v>64</v>
      </c>
      <c r="F38" t="s">
        <v>1635</v>
      </c>
      <c r="G38" t="s">
        <v>18070</v>
      </c>
      <c r="H38" t="s">
        <v>1121</v>
      </c>
      <c r="I38" t="s">
        <v>1117</v>
      </c>
      <c r="J38" t="s">
        <v>1636</v>
      </c>
      <c r="K38" t="s">
        <v>1637</v>
      </c>
      <c r="L38" t="s">
        <v>36</v>
      </c>
      <c r="M38" t="s">
        <v>19177</v>
      </c>
      <c r="N38" t="s">
        <v>97</v>
      </c>
      <c r="O38" t="s">
        <v>937</v>
      </c>
      <c r="P38" t="s">
        <v>12</v>
      </c>
    </row>
    <row r="39">
      <c r="A39">
        <f>HYPERLINK("http://bombeiros.sp.gov.br/hidrantes/03individual/1655.html","1655")</f>
      </c>
      <c r="B39" t="s">
        <v>12</v>
      </c>
      <c r="C39" t="s">
        <v>37</v>
      </c>
      <c r="D39" t="s">
        <v>38</v>
      </c>
      <c r="E39" t="s">
        <v>15</v>
      </c>
      <c r="F39" t="s">
        <v>1647</v>
      </c>
      <c r="G39" t="s">
        <v>18049</v>
      </c>
      <c r="H39" t="s">
        <v>1121</v>
      </c>
      <c r="I39" t="s">
        <v>1117</v>
      </c>
      <c r="J39" t="s">
        <v>1648</v>
      </c>
      <c r="K39" t="s">
        <v>1649</v>
      </c>
      <c r="L39" t="s">
        <v>36</v>
      </c>
      <c r="M39" t="s">
        <v>19177</v>
      </c>
      <c r="N39" t="s">
        <v>97</v>
      </c>
      <c r="O39" t="s">
        <v>937</v>
      </c>
      <c r="P39" t="s">
        <v>12</v>
      </c>
    </row>
    <row r="40">
      <c r="A40">
        <f>HYPERLINK("http://bombeiros.sp.gov.br/hidrantes/03individual/1850.html","1850")</f>
      </c>
      <c r="B40" t="s">
        <v>12</v>
      </c>
      <c r="C40" t="s">
        <v>37</v>
      </c>
      <c r="D40" t="s">
        <v>38</v>
      </c>
      <c r="E40" t="s">
        <v>15</v>
      </c>
      <c r="F40" t="s">
        <v>1668</v>
      </c>
      <c r="G40" t="s">
        <v>18070</v>
      </c>
      <c r="H40" t="s">
        <v>1174</v>
      </c>
      <c r="I40" t="s">
        <v>1117</v>
      </c>
      <c r="J40" t="s">
        <v>1669</v>
      </c>
      <c r="K40" t="s">
        <v>1670</v>
      </c>
      <c r="L40" t="s">
        <v>36</v>
      </c>
      <c r="M40" t="s">
        <v>19177</v>
      </c>
      <c r="N40" t="s">
        <v>97</v>
      </c>
      <c r="O40" t="s">
        <v>937</v>
      </c>
      <c r="P40" t="s">
        <v>12</v>
      </c>
    </row>
    <row r="41">
      <c r="A41">
        <f>HYPERLINK("http://bombeiros.sp.gov.br/hidrantes/03individual/842.html","842")</f>
      </c>
      <c r="B41" t="s">
        <v>12</v>
      </c>
      <c r="C41" t="s">
        <v>47</v>
      </c>
      <c r="D41" t="s">
        <v>47</v>
      </c>
      <c r="E41" t="s">
        <v>64</v>
      </c>
      <c r="F41" t="s">
        <v>1704</v>
      </c>
      <c r="G41" t="s">
        <v>18179</v>
      </c>
      <c r="H41" t="s">
        <v>1121</v>
      </c>
      <c r="I41" t="s">
        <v>1117</v>
      </c>
      <c r="J41" t="s">
        <v>1705</v>
      </c>
      <c r="K41" t="s">
        <v>1706</v>
      </c>
      <c r="L41" t="s">
        <v>36</v>
      </c>
      <c r="M41" t="s">
        <v>19177</v>
      </c>
      <c r="N41" t="s">
        <v>714</v>
      </c>
      <c r="O41" t="s">
        <v>10263</v>
      </c>
      <c r="P41" t="s">
        <v>12</v>
      </c>
    </row>
    <row r="42">
      <c r="A42">
        <f>HYPERLINK("http://bombeiros.sp.gov.br/hidrantes/03individual/844.html","844")</f>
      </c>
      <c r="B42" t="s">
        <v>12</v>
      </c>
      <c r="C42" t="s">
        <v>47</v>
      </c>
      <c r="D42" t="s">
        <v>47</v>
      </c>
      <c r="E42" t="s">
        <v>64</v>
      </c>
      <c r="F42" t="s">
        <v>1707</v>
      </c>
      <c r="G42" t="s">
        <v>18179</v>
      </c>
      <c r="H42" t="s">
        <v>1121</v>
      </c>
      <c r="I42" t="s">
        <v>1117</v>
      </c>
      <c r="J42" t="s">
        <v>1708</v>
      </c>
      <c r="K42" t="s">
        <v>1709</v>
      </c>
      <c r="L42" t="s">
        <v>36</v>
      </c>
      <c r="M42" t="s">
        <v>19177</v>
      </c>
      <c r="N42" t="s">
        <v>714</v>
      </c>
      <c r="O42" t="s">
        <v>10263</v>
      </c>
      <c r="P42" t="s">
        <v>12</v>
      </c>
    </row>
    <row r="43">
      <c r="A43">
        <f>HYPERLINK("http://bombeiros.sp.gov.br/hidrantes/03individual/846.html","846")</f>
      </c>
      <c r="B43" t="s">
        <v>12</v>
      </c>
      <c r="C43" t="s">
        <v>47</v>
      </c>
      <c r="D43" t="s">
        <v>47</v>
      </c>
      <c r="E43" t="s">
        <v>64</v>
      </c>
      <c r="F43" t="s">
        <v>1710</v>
      </c>
      <c r="G43" t="s">
        <v>18179</v>
      </c>
      <c r="H43" t="s">
        <v>1107</v>
      </c>
      <c r="I43" t="s">
        <v>1108</v>
      </c>
      <c r="J43" t="s">
        <v>1712</v>
      </c>
      <c r="K43" t="s">
        <v>1713</v>
      </c>
      <c r="L43" t="s">
        <v>36</v>
      </c>
      <c r="M43" t="s">
        <v>19177</v>
      </c>
      <c r="N43" t="s">
        <v>714</v>
      </c>
      <c r="O43" t="s">
        <v>10263</v>
      </c>
      <c r="P43" t="s">
        <v>12</v>
      </c>
    </row>
    <row r="44">
      <c r="A44">
        <f>HYPERLINK("http://bombeiros.sp.gov.br/hidrantes/03individual/2309.html","2309")</f>
      </c>
      <c r="B44" t="s">
        <v>12</v>
      </c>
      <c r="C44" t="s">
        <v>47</v>
      </c>
      <c r="D44" t="s">
        <v>47</v>
      </c>
      <c r="E44" t="s">
        <v>64</v>
      </c>
      <c r="F44" t="s">
        <v>1714</v>
      </c>
      <c r="G44" t="s">
        <v>18052</v>
      </c>
      <c r="H44" t="s">
        <v>1112</v>
      </c>
      <c r="I44" t="s">
        <v>1108</v>
      </c>
      <c r="J44" t="s">
        <v>17401</v>
      </c>
      <c r="K44" t="s">
        <v>17402</v>
      </c>
      <c r="L44" t="s">
        <v>36</v>
      </c>
      <c r="M44" t="s">
        <v>19177</v>
      </c>
      <c r="N44" t="s">
        <v>714</v>
      </c>
      <c r="O44" t="s">
        <v>10263</v>
      </c>
      <c r="P44" t="s">
        <v>12</v>
      </c>
    </row>
    <row r="45">
      <c r="A45">
        <f>HYPERLINK("http://bombeiros.sp.gov.br/hidrantes/03individual/2399.html","2399")</f>
      </c>
      <c r="B45" t="s">
        <v>12</v>
      </c>
      <c r="C45" t="s">
        <v>47</v>
      </c>
      <c r="D45" t="s">
        <v>47</v>
      </c>
      <c r="E45" t="s">
        <v>64</v>
      </c>
      <c r="F45" t="s">
        <v>1717</v>
      </c>
      <c r="G45" t="s">
        <v>18179</v>
      </c>
      <c r="H45" t="s">
        <v>1107</v>
      </c>
      <c r="I45" t="s">
        <v>1108</v>
      </c>
      <c r="J45" t="s">
        <v>1718</v>
      </c>
      <c r="K45" t="s">
        <v>1719</v>
      </c>
      <c r="L45" t="s">
        <v>36</v>
      </c>
      <c r="M45" t="s">
        <v>19177</v>
      </c>
      <c r="N45" t="s">
        <v>714</v>
      </c>
      <c r="O45" t="s">
        <v>10263</v>
      </c>
      <c r="P45" t="s">
        <v>12</v>
      </c>
    </row>
    <row r="46">
      <c r="A46">
        <f>HYPERLINK("http://bombeiros.sp.gov.br/hidrantes/03individual/2762.html","2762")</f>
      </c>
      <c r="B46" t="s">
        <v>12</v>
      </c>
      <c r="C46" t="s">
        <v>47</v>
      </c>
      <c r="D46" t="s">
        <v>47</v>
      </c>
      <c r="E46" t="s">
        <v>64</v>
      </c>
      <c r="F46" t="s">
        <v>1720</v>
      </c>
      <c r="G46" t="s">
        <v>18054</v>
      </c>
      <c r="H46" t="s">
        <v>1107</v>
      </c>
      <c r="I46" t="s">
        <v>1108</v>
      </c>
      <c r="J46" t="s">
        <v>1721</v>
      </c>
      <c r="K46" t="s">
        <v>1722</v>
      </c>
      <c r="L46" t="s">
        <v>36</v>
      </c>
      <c r="M46" t="s">
        <v>19177</v>
      </c>
      <c r="N46" t="s">
        <v>714</v>
      </c>
      <c r="O46" t="s">
        <v>10263</v>
      </c>
      <c r="P46" t="s">
        <v>12</v>
      </c>
    </row>
    <row r="47">
      <c r="A47">
        <f>HYPERLINK("http://bombeiros.sp.gov.br/hidrantes/03individual/24.html","24")</f>
      </c>
      <c r="B47" t="s">
        <v>12</v>
      </c>
      <c r="C47" t="s">
        <v>47</v>
      </c>
      <c r="D47" t="s">
        <v>52</v>
      </c>
      <c r="E47" t="s">
        <v>64</v>
      </c>
      <c r="F47" t="s">
        <v>1763</v>
      </c>
      <c r="G47" t="s">
        <v>18054</v>
      </c>
      <c r="H47" t="s">
        <v>1112</v>
      </c>
      <c r="I47" t="s">
        <v>1108</v>
      </c>
      <c r="J47" t="s">
        <v>1764</v>
      </c>
      <c r="K47" t="s">
        <v>1765</v>
      </c>
      <c r="L47" t="s">
        <v>36</v>
      </c>
      <c r="M47" t="s">
        <v>19177</v>
      </c>
      <c r="N47" t="s">
        <v>714</v>
      </c>
      <c r="O47" t="s">
        <v>10263</v>
      </c>
      <c r="P47" t="s">
        <v>12</v>
      </c>
    </row>
    <row r="48">
      <c r="A48">
        <f>HYPERLINK("http://bombeiros.sp.gov.br/hidrantes/03individual/196.html","196")</f>
      </c>
      <c r="B48" t="s">
        <v>12</v>
      </c>
      <c r="C48" t="s">
        <v>47</v>
      </c>
      <c r="D48" t="s">
        <v>1860</v>
      </c>
      <c r="E48" t="s">
        <v>64</v>
      </c>
      <c r="F48" t="s">
        <v>1861</v>
      </c>
      <c r="G48" t="s">
        <v>18051</v>
      </c>
      <c r="H48" t="s">
        <v>1121</v>
      </c>
      <c r="I48" t="s">
        <v>1117</v>
      </c>
      <c r="J48" t="s">
        <v>1862</v>
      </c>
      <c r="K48" t="s">
        <v>1863</v>
      </c>
      <c r="L48" t="s">
        <v>36</v>
      </c>
      <c r="M48" t="s">
        <v>19177</v>
      </c>
      <c r="N48" t="s">
        <v>714</v>
      </c>
      <c r="O48" t="s">
        <v>10263</v>
      </c>
      <c r="P48" t="s">
        <v>12</v>
      </c>
    </row>
    <row r="49">
      <c r="A49">
        <f>HYPERLINK("http://bombeiros.sp.gov.br/hidrantes/03individual/207.html","207")</f>
      </c>
      <c r="B49" t="s">
        <v>12</v>
      </c>
      <c r="C49" t="s">
        <v>47</v>
      </c>
      <c r="D49" t="s">
        <v>1860</v>
      </c>
      <c r="E49" t="s">
        <v>64</v>
      </c>
      <c r="F49" t="s">
        <v>1864</v>
      </c>
      <c r="G49" t="s">
        <v>18043</v>
      </c>
      <c r="H49" t="s">
        <v>1107</v>
      </c>
      <c r="I49" t="s">
        <v>1108</v>
      </c>
      <c r="J49" t="s">
        <v>1865</v>
      </c>
      <c r="K49" t="s">
        <v>1866</v>
      </c>
      <c r="L49" t="s">
        <v>36</v>
      </c>
      <c r="M49" t="s">
        <v>19177</v>
      </c>
      <c r="N49" t="s">
        <v>97</v>
      </c>
      <c r="O49" t="s">
        <v>937</v>
      </c>
      <c r="P49" t="s">
        <v>12</v>
      </c>
    </row>
    <row r="50">
      <c r="A50">
        <f>HYPERLINK("http://bombeiros.sp.gov.br/hidrantes/03individual/1901.html","1901")</f>
      </c>
      <c r="B50" t="s">
        <v>12</v>
      </c>
      <c r="C50" t="s">
        <v>47</v>
      </c>
      <c r="D50" t="s">
        <v>1860</v>
      </c>
      <c r="E50" t="s">
        <v>64</v>
      </c>
      <c r="F50" t="s">
        <v>1871</v>
      </c>
      <c r="G50" t="s">
        <v>18054</v>
      </c>
      <c r="H50" t="s">
        <v>1107</v>
      </c>
      <c r="I50" t="s">
        <v>1108</v>
      </c>
      <c r="J50" t="s">
        <v>1872</v>
      </c>
      <c r="K50" t="s">
        <v>1873</v>
      </c>
      <c r="L50" t="s">
        <v>36</v>
      </c>
      <c r="M50" t="s">
        <v>19177</v>
      </c>
      <c r="N50" t="s">
        <v>714</v>
      </c>
      <c r="O50" t="s">
        <v>10263</v>
      </c>
      <c r="P50" t="s">
        <v>12</v>
      </c>
    </row>
    <row r="51">
      <c r="A51">
        <f>HYPERLINK("http://bombeiros.sp.gov.br/hidrantes/03individual/2483.html","2483")</f>
      </c>
      <c r="B51" t="s">
        <v>12</v>
      </c>
      <c r="C51" t="s">
        <v>47</v>
      </c>
      <c r="D51" t="s">
        <v>1860</v>
      </c>
      <c r="E51" t="s">
        <v>64</v>
      </c>
      <c r="F51" t="s">
        <v>1874</v>
      </c>
      <c r="G51" t="s">
        <v>18054</v>
      </c>
      <c r="H51" t="s">
        <v>1112</v>
      </c>
      <c r="I51" t="s">
        <v>1108</v>
      </c>
      <c r="J51" t="s">
        <v>1875</v>
      </c>
      <c r="K51" t="s">
        <v>1876</v>
      </c>
      <c r="L51" t="s">
        <v>36</v>
      </c>
      <c r="M51" t="s">
        <v>19177</v>
      </c>
      <c r="N51" t="s">
        <v>714</v>
      </c>
      <c r="O51" t="s">
        <v>10263</v>
      </c>
      <c r="P51" t="s">
        <v>12</v>
      </c>
    </row>
    <row r="52">
      <c r="A52">
        <f>HYPERLINK("http://bombeiros.sp.gov.br/hidrantes/03individual/381.html","381")</f>
      </c>
      <c r="B52" t="s">
        <v>12</v>
      </c>
      <c r="C52" t="s">
        <v>57</v>
      </c>
      <c r="D52" t="s">
        <v>1954</v>
      </c>
      <c r="E52" t="s">
        <v>64</v>
      </c>
      <c r="F52" t="s">
        <v>1958</v>
      </c>
      <c r="G52" t="s">
        <v>18184</v>
      </c>
      <c r="H52" t="s">
        <v>1112</v>
      </c>
      <c r="I52" t="s">
        <v>1108</v>
      </c>
      <c r="J52" t="s">
        <v>1959</v>
      </c>
      <c r="K52" t="s">
        <v>1960</v>
      </c>
      <c r="L52" t="s">
        <v>36</v>
      </c>
      <c r="M52" t="s">
        <v>19177</v>
      </c>
      <c r="N52" t="s">
        <v>714</v>
      </c>
      <c r="O52" t="s">
        <v>10263</v>
      </c>
      <c r="P52" t="s">
        <v>12</v>
      </c>
    </row>
    <row r="53">
      <c r="A53">
        <f>HYPERLINK("http://bombeiros.sp.gov.br/hidrantes/03individual/267.html","267")</f>
      </c>
      <c r="B53" t="s">
        <v>12</v>
      </c>
      <c r="C53" t="s">
        <v>57</v>
      </c>
      <c r="D53" t="s">
        <v>1954</v>
      </c>
      <c r="E53" t="s">
        <v>15</v>
      </c>
      <c r="F53" t="s">
        <v>1964</v>
      </c>
      <c r="G53" t="s">
        <v>18062</v>
      </c>
      <c r="H53" t="s">
        <v>1107</v>
      </c>
      <c r="I53" t="s">
        <v>1108</v>
      </c>
      <c r="J53" t="s">
        <v>1965</v>
      </c>
      <c r="K53" t="s">
        <v>1966</v>
      </c>
      <c r="L53" t="s">
        <v>36</v>
      </c>
      <c r="M53" t="s">
        <v>19177</v>
      </c>
      <c r="N53" t="s">
        <v>714</v>
      </c>
      <c r="O53" t="s">
        <v>10263</v>
      </c>
      <c r="P53" t="s">
        <v>12</v>
      </c>
    </row>
    <row r="54">
      <c r="A54">
        <f>HYPERLINK("http://bombeiros.sp.gov.br/hidrantes/03individual/2476.html","2476")</f>
      </c>
      <c r="B54" t="s">
        <v>12</v>
      </c>
      <c r="C54" t="s">
        <v>57</v>
      </c>
      <c r="D54" t="s">
        <v>57</v>
      </c>
      <c r="E54" t="s">
        <v>64</v>
      </c>
      <c r="F54" t="s">
        <v>2000</v>
      </c>
      <c r="G54" t="s">
        <v>18063</v>
      </c>
      <c r="H54" t="s">
        <v>1121</v>
      </c>
      <c r="I54" t="s">
        <v>1117</v>
      </c>
      <c r="J54" t="s">
        <v>2001</v>
      </c>
      <c r="K54" t="s">
        <v>2002</v>
      </c>
      <c r="L54" t="s">
        <v>36</v>
      </c>
      <c r="M54" t="s">
        <v>19177</v>
      </c>
      <c r="N54" t="s">
        <v>714</v>
      </c>
      <c r="O54" t="s">
        <v>10263</v>
      </c>
      <c r="P54" t="s">
        <v>12</v>
      </c>
    </row>
    <row r="55">
      <c r="A55">
        <f>HYPERLINK("http://bombeiros.sp.gov.br/hidrantes/03individual/2491.html","2491")</f>
      </c>
      <c r="B55" t="s">
        <v>12</v>
      </c>
      <c r="C55" t="s">
        <v>57</v>
      </c>
      <c r="D55" t="s">
        <v>57</v>
      </c>
      <c r="E55" t="s">
        <v>64</v>
      </c>
      <c r="F55" t="s">
        <v>2006</v>
      </c>
      <c r="G55" t="s">
        <v>18184</v>
      </c>
      <c r="H55" t="s">
        <v>1121</v>
      </c>
      <c r="I55" t="s">
        <v>1117</v>
      </c>
      <c r="J55" t="s">
        <v>2007</v>
      </c>
      <c r="K55" t="s">
        <v>2008</v>
      </c>
      <c r="L55" t="s">
        <v>36</v>
      </c>
      <c r="M55" t="s">
        <v>19177</v>
      </c>
      <c r="N55" t="s">
        <v>97</v>
      </c>
      <c r="O55" t="s">
        <v>937</v>
      </c>
      <c r="P55" t="s">
        <v>12</v>
      </c>
    </row>
    <row r="56">
      <c r="A56">
        <f>HYPERLINK("http://bombeiros.sp.gov.br/hidrantes/03individual/2522.html","2522")</f>
      </c>
      <c r="B56" t="s">
        <v>12</v>
      </c>
      <c r="C56" t="s">
        <v>57</v>
      </c>
      <c r="D56" t="s">
        <v>57</v>
      </c>
      <c r="E56" t="s">
        <v>64</v>
      </c>
      <c r="F56" t="s">
        <v>2009</v>
      </c>
      <c r="G56" t="s">
        <v>18184</v>
      </c>
      <c r="H56" t="s">
        <v>1112</v>
      </c>
      <c r="I56" t="s">
        <v>1108</v>
      </c>
      <c r="J56" t="s">
        <v>2010</v>
      </c>
      <c r="K56" t="s">
        <v>2011</v>
      </c>
      <c r="L56" t="s">
        <v>36</v>
      </c>
      <c r="M56" t="s">
        <v>19177</v>
      </c>
      <c r="N56" t="s">
        <v>714</v>
      </c>
      <c r="O56" t="s">
        <v>10263</v>
      </c>
      <c r="P56" t="s">
        <v>12</v>
      </c>
    </row>
    <row r="57">
      <c r="A57">
        <f>HYPERLINK("http://bombeiros.sp.gov.br/hidrantes/03individual/2937.html","2937")</f>
      </c>
      <c r="B57" t="s">
        <v>12</v>
      </c>
      <c r="C57" t="s">
        <v>57</v>
      </c>
      <c r="D57" t="s">
        <v>57</v>
      </c>
      <c r="E57" t="s">
        <v>15</v>
      </c>
      <c r="F57" t="s">
        <v>2033</v>
      </c>
      <c r="G57" t="s">
        <v>18053</v>
      </c>
      <c r="H57" t="s">
        <v>1107</v>
      </c>
      <c r="I57" t="s">
        <v>1108</v>
      </c>
      <c r="J57" t="s">
        <v>2034</v>
      </c>
      <c r="K57" t="s">
        <v>2035</v>
      </c>
      <c r="L57" t="s">
        <v>36</v>
      </c>
      <c r="M57" t="s">
        <v>19177</v>
      </c>
      <c r="N57" t="s">
        <v>714</v>
      </c>
      <c r="O57" t="s">
        <v>10263</v>
      </c>
      <c r="P57" t="s">
        <v>12</v>
      </c>
    </row>
    <row r="58">
      <c r="A58">
        <f>HYPERLINK("http://bombeiros.sp.gov.br/hidrantes/03individual/56.html","56")</f>
      </c>
      <c r="B58" t="s">
        <v>12</v>
      </c>
      <c r="C58" t="s">
        <v>57</v>
      </c>
      <c r="D58" t="s">
        <v>2036</v>
      </c>
      <c r="E58" t="s">
        <v>15</v>
      </c>
      <c r="F58" t="s">
        <v>2046</v>
      </c>
      <c r="G58" t="s">
        <v>18099</v>
      </c>
      <c r="H58" t="s">
        <v>1107</v>
      </c>
      <c r="I58" t="s">
        <v>1108</v>
      </c>
      <c r="J58" t="s">
        <v>2047</v>
      </c>
      <c r="K58" t="s">
        <v>2048</v>
      </c>
      <c r="L58" t="s">
        <v>36</v>
      </c>
      <c r="M58" t="s">
        <v>19177</v>
      </c>
      <c r="N58" t="s">
        <v>714</v>
      </c>
      <c r="O58" t="s">
        <v>10263</v>
      </c>
      <c r="P58" t="s">
        <v>12</v>
      </c>
    </row>
    <row r="59">
      <c r="A59">
        <f>HYPERLINK("http://bombeiros.sp.gov.br/hidrantes/03individual/2395.html","2395")</f>
      </c>
      <c r="B59" t="s">
        <v>12</v>
      </c>
      <c r="C59" t="s">
        <v>57</v>
      </c>
      <c r="D59" t="s">
        <v>2036</v>
      </c>
      <c r="E59" t="s">
        <v>15</v>
      </c>
      <c r="F59" t="s">
        <v>2055</v>
      </c>
      <c r="G59" t="s">
        <v>18074</v>
      </c>
      <c r="H59" t="s">
        <v>1121</v>
      </c>
      <c r="I59" t="s">
        <v>1117</v>
      </c>
      <c r="J59" t="s">
        <v>2056</v>
      </c>
      <c r="K59" t="s">
        <v>2057</v>
      </c>
      <c r="L59" t="s">
        <v>36</v>
      </c>
      <c r="M59" t="s">
        <v>19177</v>
      </c>
      <c r="N59" t="s">
        <v>714</v>
      </c>
      <c r="O59" t="s">
        <v>10263</v>
      </c>
      <c r="P59" t="s">
        <v>12</v>
      </c>
    </row>
    <row r="60">
      <c r="A60">
        <f>HYPERLINK("http://bombeiros.sp.gov.br/hidrantes/03individual/2777.html","2777")</f>
      </c>
      <c r="B60" t="s">
        <v>12</v>
      </c>
      <c r="C60" t="s">
        <v>63</v>
      </c>
      <c r="D60" t="s">
        <v>2064</v>
      </c>
      <c r="E60" t="s">
        <v>64</v>
      </c>
      <c r="F60" t="s">
        <v>2065</v>
      </c>
      <c r="G60" t="s">
        <v>18051</v>
      </c>
      <c r="H60" t="s">
        <v>1121</v>
      </c>
      <c r="I60" t="s">
        <v>1117</v>
      </c>
      <c r="J60" t="s">
        <v>2066</v>
      </c>
      <c r="K60" t="s">
        <v>2067</v>
      </c>
      <c r="L60" t="s">
        <v>36</v>
      </c>
      <c r="M60" t="s">
        <v>19177</v>
      </c>
      <c r="N60" t="s">
        <v>97</v>
      </c>
      <c r="O60" t="s">
        <v>937</v>
      </c>
      <c r="P60" t="s">
        <v>12</v>
      </c>
    </row>
    <row r="61">
      <c r="A61">
        <f>HYPERLINK("http://bombeiros.sp.gov.br/hidrantes/03individual/2789.html","2789")</f>
      </c>
      <c r="B61" t="s">
        <v>12</v>
      </c>
      <c r="C61" t="s">
        <v>63</v>
      </c>
      <c r="D61" t="s">
        <v>2064</v>
      </c>
      <c r="E61" t="s">
        <v>64</v>
      </c>
      <c r="F61" t="s">
        <v>2068</v>
      </c>
      <c r="G61" t="s">
        <v>18043</v>
      </c>
      <c r="H61" t="s">
        <v>1121</v>
      </c>
      <c r="I61" t="s">
        <v>1117</v>
      </c>
      <c r="J61" t="s">
        <v>2069</v>
      </c>
      <c r="K61" t="s">
        <v>2070</v>
      </c>
      <c r="L61" t="s">
        <v>36</v>
      </c>
      <c r="M61" t="s">
        <v>19177</v>
      </c>
      <c r="N61" t="s">
        <v>97</v>
      </c>
      <c r="O61" t="s">
        <v>937</v>
      </c>
      <c r="P61" t="s">
        <v>12</v>
      </c>
    </row>
    <row r="62">
      <c r="A62">
        <f>HYPERLINK("http://bombeiros.sp.gov.br/hidrantes/03individual/4282.html","4282")</f>
      </c>
      <c r="B62" t="s">
        <v>12</v>
      </c>
      <c r="C62" t="s">
        <v>63</v>
      </c>
      <c r="D62" t="s">
        <v>2064</v>
      </c>
      <c r="E62" t="s">
        <v>64</v>
      </c>
      <c r="F62" t="s">
        <v>2074</v>
      </c>
      <c r="G62" t="s">
        <v>18066</v>
      </c>
      <c r="H62" t="s">
        <v>1112</v>
      </c>
      <c r="I62" t="s">
        <v>1108</v>
      </c>
      <c r="J62" t="s">
        <v>2075</v>
      </c>
      <c r="K62" t="s">
        <v>2076</v>
      </c>
      <c r="L62" t="s">
        <v>36</v>
      </c>
      <c r="M62" t="s">
        <v>19177</v>
      </c>
      <c r="N62" t="s">
        <v>97</v>
      </c>
      <c r="O62" t="s">
        <v>937</v>
      </c>
      <c r="P62" t="s">
        <v>12</v>
      </c>
    </row>
    <row r="63">
      <c r="A63">
        <f>HYPERLINK("http://bombeiros.sp.gov.br/hidrantes/03individual/2632.html","2632")</f>
      </c>
      <c r="B63" t="s">
        <v>12</v>
      </c>
      <c r="C63" t="s">
        <v>63</v>
      </c>
      <c r="D63" t="s">
        <v>2064</v>
      </c>
      <c r="E63" t="s">
        <v>15</v>
      </c>
      <c r="F63" t="s">
        <v>2095</v>
      </c>
      <c r="G63" t="s">
        <v>18063</v>
      </c>
      <c r="H63" t="s">
        <v>1121</v>
      </c>
      <c r="I63" t="s">
        <v>1117</v>
      </c>
      <c r="J63" t="s">
        <v>16354</v>
      </c>
      <c r="K63" t="s">
        <v>16355</v>
      </c>
      <c r="L63" t="s">
        <v>36</v>
      </c>
      <c r="M63" t="s">
        <v>19177</v>
      </c>
      <c r="N63" t="s">
        <v>97</v>
      </c>
      <c r="O63" t="s">
        <v>937</v>
      </c>
      <c r="P63" t="s">
        <v>12</v>
      </c>
    </row>
    <row r="64">
      <c r="A64">
        <f>HYPERLINK("http://bombeiros.sp.gov.br/hidrantes/03individual/2790.html","2790")</f>
      </c>
      <c r="B64" t="s">
        <v>12</v>
      </c>
      <c r="C64" t="s">
        <v>63</v>
      </c>
      <c r="D64" t="s">
        <v>2064</v>
      </c>
      <c r="E64" t="s">
        <v>15</v>
      </c>
      <c r="F64" t="s">
        <v>2101</v>
      </c>
      <c r="G64" t="s">
        <v>18063</v>
      </c>
      <c r="H64" t="s">
        <v>1121</v>
      </c>
      <c r="I64" t="s">
        <v>1117</v>
      </c>
      <c r="J64" t="s">
        <v>2102</v>
      </c>
      <c r="K64" t="s">
        <v>2103</v>
      </c>
      <c r="L64" t="s">
        <v>36</v>
      </c>
      <c r="M64" t="s">
        <v>19177</v>
      </c>
      <c r="N64" t="s">
        <v>97</v>
      </c>
      <c r="O64" t="s">
        <v>937</v>
      </c>
      <c r="P64" t="s">
        <v>12</v>
      </c>
    </row>
    <row r="65">
      <c r="A65">
        <f>HYPERLINK("http://bombeiros.sp.gov.br/hidrantes/03individual/777.html","777")</f>
      </c>
      <c r="B65" t="s">
        <v>12</v>
      </c>
      <c r="C65" t="s">
        <v>63</v>
      </c>
      <c r="D65" t="s">
        <v>63</v>
      </c>
      <c r="E65" t="s">
        <v>64</v>
      </c>
      <c r="F65" t="s">
        <v>2113</v>
      </c>
      <c r="G65" t="s">
        <v>18064</v>
      </c>
      <c r="H65" t="s">
        <v>1121</v>
      </c>
      <c r="I65" t="s">
        <v>1117</v>
      </c>
      <c r="J65" t="s">
        <v>2114</v>
      </c>
      <c r="K65" t="s">
        <v>2115</v>
      </c>
      <c r="L65" t="s">
        <v>36</v>
      </c>
      <c r="M65" t="s">
        <v>19177</v>
      </c>
      <c r="N65" t="s">
        <v>97</v>
      </c>
      <c r="O65" t="s">
        <v>937</v>
      </c>
      <c r="P65" t="s">
        <v>12</v>
      </c>
    </row>
    <row r="66">
      <c r="A66">
        <f>HYPERLINK("http://bombeiros.sp.gov.br/hidrantes/03individual/2828.html","2828")</f>
      </c>
      <c r="B66" t="s">
        <v>12</v>
      </c>
      <c r="C66" t="s">
        <v>63</v>
      </c>
      <c r="D66" t="s">
        <v>63</v>
      </c>
      <c r="E66" t="s">
        <v>64</v>
      </c>
      <c r="F66" t="s">
        <v>2116</v>
      </c>
      <c r="G66" t="s">
        <v>18089</v>
      </c>
      <c r="H66" t="s">
        <v>1112</v>
      </c>
      <c r="I66" t="s">
        <v>1108</v>
      </c>
      <c r="J66" t="s">
        <v>2117</v>
      </c>
      <c r="K66" t="s">
        <v>2118</v>
      </c>
      <c r="L66" t="s">
        <v>36</v>
      </c>
      <c r="M66" t="s">
        <v>19177</v>
      </c>
      <c r="N66" t="s">
        <v>97</v>
      </c>
      <c r="O66" t="s">
        <v>937</v>
      </c>
      <c r="P66" t="s">
        <v>12</v>
      </c>
    </row>
    <row r="67">
      <c r="A67">
        <f>HYPERLINK("http://bombeiros.sp.gov.br/hidrantes/03individual/2861.html","2861")</f>
      </c>
      <c r="B67" t="s">
        <v>12</v>
      </c>
      <c r="C67" t="s">
        <v>63</v>
      </c>
      <c r="D67" t="s">
        <v>63</v>
      </c>
      <c r="E67" t="s">
        <v>64</v>
      </c>
      <c r="F67" t="s">
        <v>2119</v>
      </c>
      <c r="G67" t="s">
        <v>18064</v>
      </c>
      <c r="H67" t="s">
        <v>1121</v>
      </c>
      <c r="I67" t="s">
        <v>1117</v>
      </c>
      <c r="J67" t="s">
        <v>2120</v>
      </c>
      <c r="K67" t="s">
        <v>2121</v>
      </c>
      <c r="L67" t="s">
        <v>36</v>
      </c>
      <c r="M67" t="s">
        <v>19177</v>
      </c>
      <c r="N67" t="s">
        <v>97</v>
      </c>
      <c r="O67" t="s">
        <v>937</v>
      </c>
      <c r="P67" t="s">
        <v>12</v>
      </c>
    </row>
    <row r="68">
      <c r="A68">
        <f>HYPERLINK("http://bombeiros.sp.gov.br/hidrantes/03individual/4281.html","4281")</f>
      </c>
      <c r="B68" t="s">
        <v>12</v>
      </c>
      <c r="C68" t="s">
        <v>63</v>
      </c>
      <c r="D68" t="s">
        <v>63</v>
      </c>
      <c r="E68" t="s">
        <v>64</v>
      </c>
      <c r="F68" t="s">
        <v>2125</v>
      </c>
      <c r="G68" t="s">
        <v>18064</v>
      </c>
      <c r="H68" t="s">
        <v>1121</v>
      </c>
      <c r="I68" t="s">
        <v>1117</v>
      </c>
      <c r="J68" t="s">
        <v>16151</v>
      </c>
      <c r="K68" t="s">
        <v>16152</v>
      </c>
      <c r="L68" t="s">
        <v>36</v>
      </c>
      <c r="M68" t="s">
        <v>19177</v>
      </c>
      <c r="N68" t="s">
        <v>97</v>
      </c>
      <c r="O68" t="s">
        <v>937</v>
      </c>
      <c r="P68" t="s">
        <v>12</v>
      </c>
    </row>
    <row r="69">
      <c r="A69">
        <f>HYPERLINK("http://bombeiros.sp.gov.br/hidrantes/03individual/197.html","197")</f>
      </c>
      <c r="B69" t="s">
        <v>12</v>
      </c>
      <c r="C69" t="s">
        <v>63</v>
      </c>
      <c r="D69" t="s">
        <v>63</v>
      </c>
      <c r="E69" t="s">
        <v>15</v>
      </c>
      <c r="F69" t="s">
        <v>2128</v>
      </c>
      <c r="G69" t="s">
        <v>18151</v>
      </c>
      <c r="H69" t="s">
        <v>1107</v>
      </c>
      <c r="I69" t="s">
        <v>1108</v>
      </c>
      <c r="J69" t="s">
        <v>2129</v>
      </c>
      <c r="K69" t="s">
        <v>2130</v>
      </c>
      <c r="L69" t="s">
        <v>36</v>
      </c>
      <c r="M69" t="s">
        <v>19177</v>
      </c>
      <c r="N69" t="s">
        <v>97</v>
      </c>
      <c r="O69" t="s">
        <v>937</v>
      </c>
      <c r="P69" t="s">
        <v>12</v>
      </c>
    </row>
    <row r="70">
      <c r="A70">
        <f>HYPERLINK("http://bombeiros.sp.gov.br/hidrantes/03individual/641.html","641")</f>
      </c>
      <c r="B70" t="s">
        <v>12</v>
      </c>
      <c r="C70" t="s">
        <v>63</v>
      </c>
      <c r="D70" t="s">
        <v>63</v>
      </c>
      <c r="E70" t="s">
        <v>15</v>
      </c>
      <c r="F70" t="s">
        <v>2146</v>
      </c>
      <c r="G70" t="s">
        <v>18065</v>
      </c>
      <c r="H70"/>
      <c r="I70" t="s">
        <v>18</v>
      </c>
      <c r="J70" t="s">
        <v>2147</v>
      </c>
      <c r="K70" t="s">
        <v>2148</v>
      </c>
      <c r="L70" t="s">
        <v>36</v>
      </c>
      <c r="M70" t="s">
        <v>19177</v>
      </c>
      <c r="N70" t="s">
        <v>97</v>
      </c>
      <c r="O70" t="s">
        <v>937</v>
      </c>
      <c r="P70" t="s">
        <v>12</v>
      </c>
    </row>
    <row r="71">
      <c r="A71">
        <f>HYPERLINK("http://bombeiros.sp.gov.br/hidrantes/03individual/656.html","656")</f>
      </c>
      <c r="B71" t="s">
        <v>12</v>
      </c>
      <c r="C71" t="s">
        <v>63</v>
      </c>
      <c r="D71" t="s">
        <v>63</v>
      </c>
      <c r="E71" t="s">
        <v>15</v>
      </c>
      <c r="F71" t="s">
        <v>2149</v>
      </c>
      <c r="G71" t="s">
        <v>18065</v>
      </c>
      <c r="H71" t="s">
        <v>1107</v>
      </c>
      <c r="I71" t="s">
        <v>1108</v>
      </c>
      <c r="J71" t="s">
        <v>16000</v>
      </c>
      <c r="K71" t="s">
        <v>16001</v>
      </c>
      <c r="L71" t="s">
        <v>36</v>
      </c>
      <c r="M71" t="s">
        <v>19177</v>
      </c>
      <c r="N71" t="s">
        <v>97</v>
      </c>
      <c r="O71" t="s">
        <v>937</v>
      </c>
      <c r="P71" t="s">
        <v>12</v>
      </c>
    </row>
    <row r="72">
      <c r="A72">
        <f>HYPERLINK("http://bombeiros.sp.gov.br/hidrantes/03individual/2876.html","2876")</f>
      </c>
      <c r="B72" t="s">
        <v>12</v>
      </c>
      <c r="C72" t="s">
        <v>63</v>
      </c>
      <c r="D72" t="s">
        <v>63</v>
      </c>
      <c r="E72" t="s">
        <v>15</v>
      </c>
      <c r="F72" t="s">
        <v>2164</v>
      </c>
      <c r="G72" t="s">
        <v>18484</v>
      </c>
      <c r="H72" t="s">
        <v>1174</v>
      </c>
      <c r="I72" t="s">
        <v>1108</v>
      </c>
      <c r="J72" t="s">
        <v>16002</v>
      </c>
      <c r="K72" t="s">
        <v>16003</v>
      </c>
      <c r="L72" t="s">
        <v>36</v>
      </c>
      <c r="M72" t="s">
        <v>19177</v>
      </c>
      <c r="N72" t="s">
        <v>97</v>
      </c>
      <c r="O72" t="s">
        <v>937</v>
      </c>
      <c r="P72" t="s">
        <v>12</v>
      </c>
    </row>
    <row r="73">
      <c r="A73">
        <f>HYPERLINK("http://bombeiros.sp.gov.br/hidrantes/03individual/2916.html","2916")</f>
      </c>
      <c r="B73" t="s">
        <v>12</v>
      </c>
      <c r="C73" t="s">
        <v>63</v>
      </c>
      <c r="D73" t="s">
        <v>63</v>
      </c>
      <c r="E73" t="s">
        <v>15</v>
      </c>
      <c r="F73" t="s">
        <v>2176</v>
      </c>
      <c r="G73" t="s">
        <v>18043</v>
      </c>
      <c r="H73" t="s">
        <v>1107</v>
      </c>
      <c r="I73" t="s">
        <v>1108</v>
      </c>
      <c r="J73" t="s">
        <v>15982</v>
      </c>
      <c r="K73" t="s">
        <v>15983</v>
      </c>
      <c r="L73" t="s">
        <v>36</v>
      </c>
      <c r="M73" t="s">
        <v>19177</v>
      </c>
      <c r="N73" t="s">
        <v>97</v>
      </c>
      <c r="O73" t="s">
        <v>937</v>
      </c>
      <c r="P73" t="s">
        <v>12</v>
      </c>
    </row>
    <row r="74">
      <c r="A74">
        <f>HYPERLINK("http://bombeiros.sp.gov.br/hidrantes/03individual/5498.html","5498")</f>
      </c>
      <c r="B74" t="s">
        <v>12</v>
      </c>
      <c r="C74" t="s">
        <v>63</v>
      </c>
      <c r="D74" t="s">
        <v>63</v>
      </c>
      <c r="E74" t="s">
        <v>15</v>
      </c>
      <c r="F74" t="s">
        <v>2189</v>
      </c>
      <c r="G74" t="s">
        <v>18057</v>
      </c>
      <c r="H74" t="s">
        <v>1121</v>
      </c>
      <c r="I74" t="s">
        <v>1117</v>
      </c>
      <c r="J74" t="s">
        <v>2190</v>
      </c>
      <c r="K74" t="s">
        <v>2191</v>
      </c>
      <c r="L74" t="s">
        <v>36</v>
      </c>
      <c r="M74" t="s">
        <v>19177</v>
      </c>
      <c r="N74" t="s">
        <v>97</v>
      </c>
      <c r="O74" t="s">
        <v>937</v>
      </c>
      <c r="P74" t="s">
        <v>12</v>
      </c>
    </row>
    <row r="75">
      <c r="A75">
        <f>HYPERLINK("http://bombeiros.sp.gov.br/hidrantes/03individual/5635.html","5635")</f>
      </c>
      <c r="B75" t="s">
        <v>12</v>
      </c>
      <c r="C75" t="s">
        <v>63</v>
      </c>
      <c r="D75" t="s">
        <v>63</v>
      </c>
      <c r="E75" t="s">
        <v>15</v>
      </c>
      <c r="F75" t="s">
        <v>2192</v>
      </c>
      <c r="G75" t="s">
        <v>18066</v>
      </c>
      <c r="H75" t="s">
        <v>1121</v>
      </c>
      <c r="I75" t="s">
        <v>1117</v>
      </c>
      <c r="J75" t="s">
        <v>2193</v>
      </c>
      <c r="K75" t="s">
        <v>2194</v>
      </c>
      <c r="L75" t="s">
        <v>36</v>
      </c>
      <c r="M75" t="s">
        <v>19177</v>
      </c>
      <c r="N75" t="s">
        <v>97</v>
      </c>
      <c r="O75" t="s">
        <v>937</v>
      </c>
      <c r="P75" t="s">
        <v>12</v>
      </c>
    </row>
    <row r="76">
      <c r="A76">
        <f>HYPERLINK("http://bombeiros.sp.gov.br/hidrantes/03individual/6786.html","6786")</f>
      </c>
      <c r="B76" t="s">
        <v>12</v>
      </c>
      <c r="C76" t="s">
        <v>63</v>
      </c>
      <c r="D76" t="s">
        <v>63</v>
      </c>
      <c r="E76" t="s">
        <v>15</v>
      </c>
      <c r="F76" t="s">
        <v>2195</v>
      </c>
      <c r="G76" t="s">
        <v>18057</v>
      </c>
      <c r="H76" t="s">
        <v>1107</v>
      </c>
      <c r="I76" t="s">
        <v>1108</v>
      </c>
      <c r="J76" t="s">
        <v>2197</v>
      </c>
      <c r="K76" t="s">
        <v>2198</v>
      </c>
      <c r="L76" t="s">
        <v>36</v>
      </c>
      <c r="M76" t="s">
        <v>19177</v>
      </c>
      <c r="N76" t="s">
        <v>97</v>
      </c>
      <c r="O76" t="s">
        <v>937</v>
      </c>
      <c r="P76" t="s">
        <v>12</v>
      </c>
    </row>
    <row r="77">
      <c r="A77">
        <f>HYPERLINK("http://bombeiros.sp.gov.br/hidrantes/03individual/604.html","604")</f>
      </c>
      <c r="B77" t="s">
        <v>12</v>
      </c>
      <c r="C77" t="s">
        <v>63</v>
      </c>
      <c r="D77" t="s">
        <v>77</v>
      </c>
      <c r="E77" t="s">
        <v>64</v>
      </c>
      <c r="F77" t="s">
        <v>2230</v>
      </c>
      <c r="G77" t="s">
        <v>18068</v>
      </c>
      <c r="H77" t="s">
        <v>1107</v>
      </c>
      <c r="I77" t="s">
        <v>1108</v>
      </c>
      <c r="J77" t="s">
        <v>2231</v>
      </c>
      <c r="K77" t="s">
        <v>2232</v>
      </c>
      <c r="L77" t="s">
        <v>36</v>
      </c>
      <c r="M77" t="s">
        <v>19177</v>
      </c>
      <c r="N77" t="s">
        <v>97</v>
      </c>
      <c r="O77" t="s">
        <v>937</v>
      </c>
      <c r="P77" t="s">
        <v>12</v>
      </c>
    </row>
    <row r="78">
      <c r="A78">
        <f>HYPERLINK("http://bombeiros.sp.gov.br/hidrantes/03individual/812.html","812")</f>
      </c>
      <c r="B78" t="s">
        <v>12</v>
      </c>
      <c r="C78" t="s">
        <v>63</v>
      </c>
      <c r="D78" t="s">
        <v>77</v>
      </c>
      <c r="E78" t="s">
        <v>64</v>
      </c>
      <c r="F78" t="s">
        <v>2233</v>
      </c>
      <c r="G78" t="s">
        <v>18072</v>
      </c>
      <c r="H78" t="s">
        <v>1107</v>
      </c>
      <c r="I78" t="s">
        <v>1108</v>
      </c>
      <c r="J78" t="s">
        <v>2234</v>
      </c>
      <c r="K78" t="s">
        <v>2235</v>
      </c>
      <c r="L78" t="s">
        <v>36</v>
      </c>
      <c r="M78" t="s">
        <v>19177</v>
      </c>
      <c r="N78" t="s">
        <v>97</v>
      </c>
      <c r="O78" t="s">
        <v>937</v>
      </c>
      <c r="P78" t="s">
        <v>12</v>
      </c>
    </row>
    <row r="79">
      <c r="A79">
        <f>HYPERLINK("http://bombeiros.sp.gov.br/hidrantes/03individual/2829.html","2829")</f>
      </c>
      <c r="B79" t="s">
        <v>12</v>
      </c>
      <c r="C79" t="s">
        <v>63</v>
      </c>
      <c r="D79" t="s">
        <v>77</v>
      </c>
      <c r="E79" t="s">
        <v>64</v>
      </c>
      <c r="F79" t="s">
        <v>2236</v>
      </c>
      <c r="G79" t="s">
        <v>18072</v>
      </c>
      <c r="H79" t="s">
        <v>1121</v>
      </c>
      <c r="I79" t="s">
        <v>1117</v>
      </c>
      <c r="J79" t="s">
        <v>2237</v>
      </c>
      <c r="K79" t="s">
        <v>2238</v>
      </c>
      <c r="L79" t="s">
        <v>36</v>
      </c>
      <c r="M79" t="s">
        <v>19177</v>
      </c>
      <c r="N79" t="s">
        <v>97</v>
      </c>
      <c r="O79" t="s">
        <v>937</v>
      </c>
      <c r="P79" t="s">
        <v>12</v>
      </c>
    </row>
    <row r="80">
      <c r="A80">
        <f>HYPERLINK("http://bombeiros.sp.gov.br/hidrantes/03individual/2847.html","2847")</f>
      </c>
      <c r="B80" t="s">
        <v>12</v>
      </c>
      <c r="C80" t="s">
        <v>63</v>
      </c>
      <c r="D80" t="s">
        <v>77</v>
      </c>
      <c r="E80" t="s">
        <v>64</v>
      </c>
      <c r="F80" t="s">
        <v>2242</v>
      </c>
      <c r="G80" t="s">
        <v>18057</v>
      </c>
      <c r="H80" t="s">
        <v>1121</v>
      </c>
      <c r="I80" t="s">
        <v>1117</v>
      </c>
      <c r="J80" t="s">
        <v>2243</v>
      </c>
      <c r="K80" t="s">
        <v>2244</v>
      </c>
      <c r="L80" t="s">
        <v>36</v>
      </c>
      <c r="M80" t="s">
        <v>19177</v>
      </c>
      <c r="N80" t="s">
        <v>97</v>
      </c>
      <c r="O80" t="s">
        <v>937</v>
      </c>
      <c r="P80" t="s">
        <v>12</v>
      </c>
    </row>
    <row r="81">
      <c r="A81">
        <f>HYPERLINK("http://bombeiros.sp.gov.br/hidrantes/03individual/2848.html","2848")</f>
      </c>
      <c r="B81" t="s">
        <v>12</v>
      </c>
      <c r="C81" t="s">
        <v>63</v>
      </c>
      <c r="D81" t="s">
        <v>77</v>
      </c>
      <c r="E81" t="s">
        <v>64</v>
      </c>
      <c r="F81" t="s">
        <v>2245</v>
      </c>
      <c r="G81" t="s">
        <v>18057</v>
      </c>
      <c r="H81" t="s">
        <v>1121</v>
      </c>
      <c r="I81" t="s">
        <v>1117</v>
      </c>
      <c r="J81" t="s">
        <v>2246</v>
      </c>
      <c r="K81" t="s">
        <v>2247</v>
      </c>
      <c r="L81" t="s">
        <v>36</v>
      </c>
      <c r="M81" t="s">
        <v>19177</v>
      </c>
      <c r="N81" t="s">
        <v>97</v>
      </c>
      <c r="O81" t="s">
        <v>937</v>
      </c>
      <c r="P81" t="s">
        <v>12</v>
      </c>
    </row>
    <row r="82">
      <c r="A82">
        <f>HYPERLINK("http://bombeiros.sp.gov.br/hidrantes/03individual/2901.html","2901")</f>
      </c>
      <c r="B82" t="s">
        <v>12</v>
      </c>
      <c r="C82" t="s">
        <v>63</v>
      </c>
      <c r="D82" t="s">
        <v>77</v>
      </c>
      <c r="E82" t="s">
        <v>64</v>
      </c>
      <c r="F82" t="s">
        <v>2248</v>
      </c>
      <c r="G82" t="s">
        <v>18068</v>
      </c>
      <c r="H82" t="s">
        <v>1107</v>
      </c>
      <c r="I82" t="s">
        <v>1108</v>
      </c>
      <c r="J82" t="s">
        <v>18185</v>
      </c>
      <c r="K82" t="s">
        <v>18186</v>
      </c>
      <c r="L82" t="s">
        <v>36</v>
      </c>
      <c r="M82" t="s">
        <v>19177</v>
      </c>
      <c r="N82" t="s">
        <v>97</v>
      </c>
      <c r="O82" t="s">
        <v>937</v>
      </c>
      <c r="P82" t="s">
        <v>12</v>
      </c>
    </row>
    <row r="83">
      <c r="A83">
        <f>HYPERLINK("http://bombeiros.sp.gov.br/hidrantes/03individual/2939.html","2939")</f>
      </c>
      <c r="B83" t="s">
        <v>12</v>
      </c>
      <c r="C83" t="s">
        <v>63</v>
      </c>
      <c r="D83" t="s">
        <v>77</v>
      </c>
      <c r="E83" t="s">
        <v>64</v>
      </c>
      <c r="F83" t="s">
        <v>2252</v>
      </c>
      <c r="G83" t="s">
        <v>18043</v>
      </c>
      <c r="H83" t="s">
        <v>1121</v>
      </c>
      <c r="I83" t="s">
        <v>1117</v>
      </c>
      <c r="J83" t="s">
        <v>16004</v>
      </c>
      <c r="K83" t="s">
        <v>16005</v>
      </c>
      <c r="L83" t="s">
        <v>36</v>
      </c>
      <c r="M83" t="s">
        <v>19177</v>
      </c>
      <c r="N83" t="s">
        <v>97</v>
      </c>
      <c r="O83" t="s">
        <v>937</v>
      </c>
      <c r="P83" t="s">
        <v>12</v>
      </c>
    </row>
    <row r="84">
      <c r="A84">
        <f>HYPERLINK("http://bombeiros.sp.gov.br/hidrantes/03individual/2942.html","2942")</f>
      </c>
      <c r="B84" t="s">
        <v>12</v>
      </c>
      <c r="C84" t="s">
        <v>63</v>
      </c>
      <c r="D84" t="s">
        <v>77</v>
      </c>
      <c r="E84" t="s">
        <v>64</v>
      </c>
      <c r="F84" t="s">
        <v>2258</v>
      </c>
      <c r="G84" t="s">
        <v>18067</v>
      </c>
      <c r="H84" t="s">
        <v>1112</v>
      </c>
      <c r="I84" t="s">
        <v>1108</v>
      </c>
      <c r="J84" t="s">
        <v>2259</v>
      </c>
      <c r="K84" t="s">
        <v>2260</v>
      </c>
      <c r="L84" t="s">
        <v>36</v>
      </c>
      <c r="M84" t="s">
        <v>19177</v>
      </c>
      <c r="N84" t="s">
        <v>97</v>
      </c>
      <c r="O84" t="s">
        <v>937</v>
      </c>
      <c r="P84" t="s">
        <v>12</v>
      </c>
    </row>
    <row r="85">
      <c r="A85">
        <f>HYPERLINK("http://bombeiros.sp.gov.br/hidrantes/03individual/2949.html","2949")</f>
      </c>
      <c r="B85" t="s">
        <v>12</v>
      </c>
      <c r="C85" t="s">
        <v>63</v>
      </c>
      <c r="D85" t="s">
        <v>77</v>
      </c>
      <c r="E85" t="s">
        <v>64</v>
      </c>
      <c r="F85" t="s">
        <v>2261</v>
      </c>
      <c r="G85" t="s">
        <v>18143</v>
      </c>
      <c r="H85" t="s">
        <v>1121</v>
      </c>
      <c r="I85" t="s">
        <v>1117</v>
      </c>
      <c r="J85" t="s">
        <v>15980</v>
      </c>
      <c r="K85" t="s">
        <v>15981</v>
      </c>
      <c r="L85" t="s">
        <v>36</v>
      </c>
      <c r="M85" t="s">
        <v>19177</v>
      </c>
      <c r="N85" t="s">
        <v>97</v>
      </c>
      <c r="O85" t="s">
        <v>937</v>
      </c>
      <c r="P85" t="s">
        <v>12</v>
      </c>
    </row>
    <row r="86">
      <c r="A86">
        <f>HYPERLINK("http://bombeiros.sp.gov.br/hidrantes/03individual/587.html","587")</f>
      </c>
      <c r="B86" t="s">
        <v>12</v>
      </c>
      <c r="C86" t="s">
        <v>63</v>
      </c>
      <c r="D86" t="s">
        <v>77</v>
      </c>
      <c r="E86" t="s">
        <v>15</v>
      </c>
      <c r="F86" t="s">
        <v>2281</v>
      </c>
      <c r="G86" t="s">
        <v>18068</v>
      </c>
      <c r="H86" t="s">
        <v>1107</v>
      </c>
      <c r="I86" t="s">
        <v>1108</v>
      </c>
      <c r="J86" t="s">
        <v>2282</v>
      </c>
      <c r="K86" t="s">
        <v>2283</v>
      </c>
      <c r="L86" t="s">
        <v>36</v>
      </c>
      <c r="M86" t="s">
        <v>19177</v>
      </c>
      <c r="N86" t="s">
        <v>97</v>
      </c>
      <c r="O86" t="s">
        <v>937</v>
      </c>
      <c r="P86" t="s">
        <v>12</v>
      </c>
    </row>
    <row r="87">
      <c r="A87">
        <f>HYPERLINK("http://bombeiros.sp.gov.br/hidrantes/03individual/2658.html","2658")</f>
      </c>
      <c r="B87" t="s">
        <v>12</v>
      </c>
      <c r="C87" t="s">
        <v>63</v>
      </c>
      <c r="D87" t="s">
        <v>77</v>
      </c>
      <c r="E87" t="s">
        <v>15</v>
      </c>
      <c r="F87" t="s">
        <v>2296</v>
      </c>
      <c r="G87" t="s">
        <v>18072</v>
      </c>
      <c r="H87" t="s">
        <v>1107</v>
      </c>
      <c r="I87" t="s">
        <v>1108</v>
      </c>
      <c r="J87" t="s">
        <v>2297</v>
      </c>
      <c r="K87" t="s">
        <v>2298</v>
      </c>
      <c r="L87" t="s">
        <v>36</v>
      </c>
      <c r="M87" t="s">
        <v>19177</v>
      </c>
      <c r="N87" t="s">
        <v>97</v>
      </c>
      <c r="O87" t="s">
        <v>937</v>
      </c>
      <c r="P87" t="s">
        <v>12</v>
      </c>
    </row>
    <row r="88">
      <c r="A88">
        <f>HYPERLINK("http://bombeiros.sp.gov.br/hidrantes/03individual/2831.html","2831")</f>
      </c>
      <c r="B88" t="s">
        <v>12</v>
      </c>
      <c r="C88" t="s">
        <v>63</v>
      </c>
      <c r="D88" t="s">
        <v>77</v>
      </c>
      <c r="E88" t="s">
        <v>15</v>
      </c>
      <c r="F88" t="s">
        <v>2299</v>
      </c>
      <c r="G88" t="s">
        <v>18072</v>
      </c>
      <c r="H88" t="s">
        <v>1174</v>
      </c>
      <c r="I88" t="s">
        <v>1108</v>
      </c>
      <c r="J88" t="s">
        <v>2300</v>
      </c>
      <c r="K88" t="s">
        <v>2301</v>
      </c>
      <c r="L88" t="s">
        <v>36</v>
      </c>
      <c r="M88" t="s">
        <v>19177</v>
      </c>
      <c r="N88" t="s">
        <v>97</v>
      </c>
      <c r="O88" t="s">
        <v>937</v>
      </c>
      <c r="P88" t="s">
        <v>12</v>
      </c>
    </row>
    <row r="89">
      <c r="A89">
        <f>HYPERLINK("http://bombeiros.sp.gov.br/hidrantes/03individual/2839.html","2839")</f>
      </c>
      <c r="B89" t="s">
        <v>12</v>
      </c>
      <c r="C89" t="s">
        <v>63</v>
      </c>
      <c r="D89" t="s">
        <v>77</v>
      </c>
      <c r="E89" t="s">
        <v>15</v>
      </c>
      <c r="F89" t="s">
        <v>82</v>
      </c>
      <c r="G89" t="s">
        <v>18187</v>
      </c>
      <c r="H89" t="s">
        <v>1107</v>
      </c>
      <c r="I89" t="s">
        <v>1108</v>
      </c>
      <c r="J89" t="s">
        <v>16006</v>
      </c>
      <c r="K89" t="s">
        <v>16007</v>
      </c>
      <c r="L89" t="s">
        <v>36</v>
      </c>
      <c r="M89" t="s">
        <v>19177</v>
      </c>
      <c r="N89" t="s">
        <v>97</v>
      </c>
      <c r="O89" t="s">
        <v>937</v>
      </c>
      <c r="P89" t="s">
        <v>12</v>
      </c>
    </row>
    <row r="90">
      <c r="A90">
        <f>HYPERLINK("http://bombeiros.sp.gov.br/hidrantes/03individual/793.html","793")</f>
      </c>
      <c r="B90" t="s">
        <v>12</v>
      </c>
      <c r="C90" t="s">
        <v>92</v>
      </c>
      <c r="D90" t="s">
        <v>2332</v>
      </c>
      <c r="E90" t="s">
        <v>64</v>
      </c>
      <c r="F90" t="s">
        <v>2333</v>
      </c>
      <c r="G90" t="s">
        <v>18050</v>
      </c>
      <c r="H90" t="s">
        <v>1107</v>
      </c>
      <c r="I90" t="s">
        <v>1108</v>
      </c>
      <c r="J90" t="s">
        <v>2334</v>
      </c>
      <c r="K90" t="s">
        <v>2335</v>
      </c>
      <c r="L90" t="s">
        <v>36</v>
      </c>
      <c r="M90" t="s">
        <v>19177</v>
      </c>
      <c r="N90" t="s">
        <v>97</v>
      </c>
      <c r="O90" t="s">
        <v>937</v>
      </c>
      <c r="P90" t="s">
        <v>12</v>
      </c>
    </row>
    <row r="91">
      <c r="A91">
        <f>HYPERLINK("http://bombeiros.sp.gov.br/hidrantes/03individual/2919.html","2919")</f>
      </c>
      <c r="B91" t="s">
        <v>12</v>
      </c>
      <c r="C91" t="s">
        <v>92</v>
      </c>
      <c r="D91" t="s">
        <v>2332</v>
      </c>
      <c r="E91" t="s">
        <v>64</v>
      </c>
      <c r="F91" t="s">
        <v>2339</v>
      </c>
      <c r="G91" t="s">
        <v>18057</v>
      </c>
      <c r="H91" t="s">
        <v>1121</v>
      </c>
      <c r="I91" t="s">
        <v>1117</v>
      </c>
      <c r="J91" t="s">
        <v>2341</v>
      </c>
      <c r="K91" t="s">
        <v>2342</v>
      </c>
      <c r="L91" t="s">
        <v>36</v>
      </c>
      <c r="M91" t="s">
        <v>19177</v>
      </c>
      <c r="N91" t="s">
        <v>97</v>
      </c>
      <c r="O91" t="s">
        <v>937</v>
      </c>
      <c r="P91" t="s">
        <v>12</v>
      </c>
    </row>
    <row r="92">
      <c r="A92">
        <f>HYPERLINK("http://bombeiros.sp.gov.br/hidrantes/03individual/559.html","559")</f>
      </c>
      <c r="B92" t="s">
        <v>12</v>
      </c>
      <c r="C92" t="s">
        <v>92</v>
      </c>
      <c r="D92" t="s">
        <v>2332</v>
      </c>
      <c r="E92" t="s">
        <v>15</v>
      </c>
      <c r="F92" t="s">
        <v>2358</v>
      </c>
      <c r="G92" t="s">
        <v>18050</v>
      </c>
      <c r="H92" t="s">
        <v>1107</v>
      </c>
      <c r="I92" t="s">
        <v>1108</v>
      </c>
      <c r="J92" t="s">
        <v>2359</v>
      </c>
      <c r="K92" t="s">
        <v>2360</v>
      </c>
      <c r="L92" t="s">
        <v>36</v>
      </c>
      <c r="M92" t="s">
        <v>19177</v>
      </c>
      <c r="N92" t="s">
        <v>97</v>
      </c>
      <c r="O92" t="s">
        <v>937</v>
      </c>
      <c r="P92" t="s">
        <v>12</v>
      </c>
    </row>
    <row r="93">
      <c r="A93">
        <f>HYPERLINK("http://bombeiros.sp.gov.br/hidrantes/03individual/602.html","602")</f>
      </c>
      <c r="B93" t="s">
        <v>12</v>
      </c>
      <c r="C93" t="s">
        <v>92</v>
      </c>
      <c r="D93" t="s">
        <v>2332</v>
      </c>
      <c r="E93" t="s">
        <v>15</v>
      </c>
      <c r="F93" t="s">
        <v>2368</v>
      </c>
      <c r="G93" t="s">
        <v>18050</v>
      </c>
      <c r="H93" t="s">
        <v>1107</v>
      </c>
      <c r="I93" t="s">
        <v>1108</v>
      </c>
      <c r="J93" t="s">
        <v>2369</v>
      </c>
      <c r="K93" t="s">
        <v>2370</v>
      </c>
      <c r="L93" t="s">
        <v>36</v>
      </c>
      <c r="M93" t="s">
        <v>19177</v>
      </c>
      <c r="N93" t="s">
        <v>97</v>
      </c>
      <c r="O93" t="s">
        <v>937</v>
      </c>
      <c r="P93" t="s">
        <v>12</v>
      </c>
    </row>
    <row r="94">
      <c r="A94">
        <f>HYPERLINK("http://bombeiros.sp.gov.br/hidrantes/03individual/809.html","809")</f>
      </c>
      <c r="B94" t="s">
        <v>12</v>
      </c>
      <c r="C94" t="s">
        <v>92</v>
      </c>
      <c r="D94" t="s">
        <v>2332</v>
      </c>
      <c r="E94" t="s">
        <v>15</v>
      </c>
      <c r="F94" t="s">
        <v>2396</v>
      </c>
      <c r="G94" t="s">
        <v>18055</v>
      </c>
      <c r="H94" t="s">
        <v>1107</v>
      </c>
      <c r="I94" t="s">
        <v>1108</v>
      </c>
      <c r="J94" t="s">
        <v>2397</v>
      </c>
      <c r="K94" t="s">
        <v>2398</v>
      </c>
      <c r="L94" t="s">
        <v>36</v>
      </c>
      <c r="M94" t="s">
        <v>19177</v>
      </c>
      <c r="N94" t="s">
        <v>97</v>
      </c>
      <c r="O94" t="s">
        <v>937</v>
      </c>
      <c r="P94" t="s">
        <v>12</v>
      </c>
    </row>
    <row r="95">
      <c r="A95">
        <f>HYPERLINK("http://bombeiros.sp.gov.br/hidrantes/03individual/2698.html","2698")</f>
      </c>
      <c r="B95" t="s">
        <v>12</v>
      </c>
      <c r="C95" t="s">
        <v>92</v>
      </c>
      <c r="D95" t="s">
        <v>2332</v>
      </c>
      <c r="E95" t="s">
        <v>15</v>
      </c>
      <c r="F95" t="s">
        <v>2402</v>
      </c>
      <c r="G95" t="s">
        <v>18055</v>
      </c>
      <c r="H95" t="s">
        <v>1174</v>
      </c>
      <c r="I95" t="s">
        <v>1108</v>
      </c>
      <c r="J95" t="s">
        <v>2403</v>
      </c>
      <c r="K95" t="s">
        <v>2404</v>
      </c>
      <c r="L95" t="s">
        <v>36</v>
      </c>
      <c r="M95" t="s">
        <v>19177</v>
      </c>
      <c r="N95" t="s">
        <v>714</v>
      </c>
      <c r="O95" t="s">
        <v>10263</v>
      </c>
      <c r="P95" t="s">
        <v>12</v>
      </c>
    </row>
    <row r="96">
      <c r="A96">
        <f>HYPERLINK("http://bombeiros.sp.gov.br/hidrantes/03individual/2783.html","2783")</f>
      </c>
      <c r="B96" t="s">
        <v>12</v>
      </c>
      <c r="C96" t="s">
        <v>92</v>
      </c>
      <c r="D96" t="s">
        <v>2485</v>
      </c>
      <c r="E96" t="s">
        <v>64</v>
      </c>
      <c r="F96" t="s">
        <v>2486</v>
      </c>
      <c r="G96" t="s">
        <v>18048</v>
      </c>
      <c r="H96" t="s">
        <v>1121</v>
      </c>
      <c r="I96" t="s">
        <v>1117</v>
      </c>
      <c r="J96" t="s">
        <v>2487</v>
      </c>
      <c r="K96" t="s">
        <v>2488</v>
      </c>
      <c r="L96" t="s">
        <v>36</v>
      </c>
      <c r="M96" t="s">
        <v>19177</v>
      </c>
      <c r="N96" t="s">
        <v>97</v>
      </c>
      <c r="O96" t="s">
        <v>937</v>
      </c>
      <c r="P96" t="s">
        <v>12</v>
      </c>
    </row>
    <row r="97">
      <c r="A97">
        <f>HYPERLINK("http://bombeiros.sp.gov.br/hidrantes/03individual/2793.html","2793")</f>
      </c>
      <c r="B97" t="s">
        <v>12</v>
      </c>
      <c r="C97" t="s">
        <v>92</v>
      </c>
      <c r="D97" t="s">
        <v>2485</v>
      </c>
      <c r="E97" t="s">
        <v>64</v>
      </c>
      <c r="F97" t="s">
        <v>2489</v>
      </c>
      <c r="G97" t="s">
        <v>18171</v>
      </c>
      <c r="H97" t="s">
        <v>1174</v>
      </c>
      <c r="I97" t="s">
        <v>1117</v>
      </c>
      <c r="J97" t="s">
        <v>2490</v>
      </c>
      <c r="K97" t="s">
        <v>2491</v>
      </c>
      <c r="L97" t="s">
        <v>36</v>
      </c>
      <c r="M97" t="s">
        <v>19177</v>
      </c>
      <c r="N97" t="s">
        <v>97</v>
      </c>
      <c r="O97" t="s">
        <v>937</v>
      </c>
      <c r="P97" t="s">
        <v>12</v>
      </c>
    </row>
    <row r="98">
      <c r="A98">
        <f>HYPERLINK("http://bombeiros.sp.gov.br/hidrantes/03individual/658.html","658")</f>
      </c>
      <c r="B98" t="s">
        <v>12</v>
      </c>
      <c r="C98" t="s">
        <v>92</v>
      </c>
      <c r="D98" t="s">
        <v>2485</v>
      </c>
      <c r="E98" t="s">
        <v>15</v>
      </c>
      <c r="F98" t="s">
        <v>2513</v>
      </c>
      <c r="G98" t="s">
        <v>18050</v>
      </c>
      <c r="H98" t="s">
        <v>1112</v>
      </c>
      <c r="I98" t="s">
        <v>1108</v>
      </c>
      <c r="J98" t="s">
        <v>2514</v>
      </c>
      <c r="K98" t="s">
        <v>2515</v>
      </c>
      <c r="L98" t="s">
        <v>36</v>
      </c>
      <c r="M98" t="s">
        <v>19177</v>
      </c>
      <c r="N98" t="s">
        <v>97</v>
      </c>
      <c r="O98" t="s">
        <v>937</v>
      </c>
      <c r="P98" t="s">
        <v>12</v>
      </c>
    </row>
    <row r="99">
      <c r="A99">
        <f>HYPERLINK("http://bombeiros.sp.gov.br/hidrantes/03individual/2788.html","2788")</f>
      </c>
      <c r="B99" t="s">
        <v>12</v>
      </c>
      <c r="C99" t="s">
        <v>92</v>
      </c>
      <c r="D99" t="s">
        <v>2485</v>
      </c>
      <c r="E99" t="s">
        <v>15</v>
      </c>
      <c r="F99" t="s">
        <v>2528</v>
      </c>
      <c r="G99" t="s">
        <v>18048</v>
      </c>
      <c r="H99" t="s">
        <v>1174</v>
      </c>
      <c r="I99" t="s">
        <v>1108</v>
      </c>
      <c r="J99" t="s">
        <v>2529</v>
      </c>
      <c r="K99" t="s">
        <v>2530</v>
      </c>
      <c r="L99" t="s">
        <v>36</v>
      </c>
      <c r="M99" t="s">
        <v>19177</v>
      </c>
      <c r="N99" t="s">
        <v>97</v>
      </c>
      <c r="O99" t="s">
        <v>937</v>
      </c>
      <c r="P99" t="s">
        <v>12</v>
      </c>
    </row>
    <row r="100">
      <c r="A100">
        <f>HYPERLINK("http://bombeiros.sp.gov.br/hidrantes/03individual/501.html","501")</f>
      </c>
      <c r="B100" t="s">
        <v>12</v>
      </c>
      <c r="C100" t="s">
        <v>92</v>
      </c>
      <c r="D100" t="s">
        <v>92</v>
      </c>
      <c r="E100" t="s">
        <v>64</v>
      </c>
      <c r="F100" t="s">
        <v>2531</v>
      </c>
      <c r="G100" t="s">
        <v>18069</v>
      </c>
      <c r="H100" t="s">
        <v>1107</v>
      </c>
      <c r="I100" t="s">
        <v>1108</v>
      </c>
      <c r="J100" t="s">
        <v>2532</v>
      </c>
      <c r="K100" t="s">
        <v>2533</v>
      </c>
      <c r="L100" t="s">
        <v>36</v>
      </c>
      <c r="M100" t="s">
        <v>19177</v>
      </c>
      <c r="N100" t="s">
        <v>97</v>
      </c>
      <c r="O100" t="s">
        <v>937</v>
      </c>
      <c r="P100" t="s">
        <v>12</v>
      </c>
    </row>
    <row r="101">
      <c r="A101">
        <f>HYPERLINK("http://bombeiros.sp.gov.br/hidrantes/03individual/522.html","522")</f>
      </c>
      <c r="B101" t="s">
        <v>12</v>
      </c>
      <c r="C101" t="s">
        <v>92</v>
      </c>
      <c r="D101" t="s">
        <v>92</v>
      </c>
      <c r="E101" t="s">
        <v>64</v>
      </c>
      <c r="F101" t="s">
        <v>2534</v>
      </c>
      <c r="G101" t="s">
        <v>18069</v>
      </c>
      <c r="H101" t="s">
        <v>1174</v>
      </c>
      <c r="I101" t="s">
        <v>1108</v>
      </c>
      <c r="J101" t="s">
        <v>2535</v>
      </c>
      <c r="K101" t="s">
        <v>2536</v>
      </c>
      <c r="L101" t="s">
        <v>36</v>
      </c>
      <c r="M101" t="s">
        <v>19177</v>
      </c>
      <c r="N101" t="s">
        <v>97</v>
      </c>
      <c r="O101" t="s">
        <v>937</v>
      </c>
      <c r="P101" t="s">
        <v>12</v>
      </c>
    </row>
    <row r="102">
      <c r="A102">
        <f>HYPERLINK("http://bombeiros.sp.gov.br/hidrantes/03individual/690.html","690")</f>
      </c>
      <c r="B102" t="s">
        <v>12</v>
      </c>
      <c r="C102" t="s">
        <v>92</v>
      </c>
      <c r="D102" t="s">
        <v>92</v>
      </c>
      <c r="E102" t="s">
        <v>64</v>
      </c>
      <c r="F102" t="s">
        <v>2540</v>
      </c>
      <c r="G102" t="s">
        <v>18069</v>
      </c>
      <c r="H102" t="s">
        <v>1174</v>
      </c>
      <c r="I102" t="s">
        <v>1108</v>
      </c>
      <c r="J102" t="s">
        <v>2542</v>
      </c>
      <c r="K102" t="s">
        <v>2543</v>
      </c>
      <c r="L102" t="s">
        <v>36</v>
      </c>
      <c r="M102" t="s">
        <v>19177</v>
      </c>
      <c r="N102" t="s">
        <v>97</v>
      </c>
      <c r="O102" t="s">
        <v>937</v>
      </c>
      <c r="P102" t="s">
        <v>12</v>
      </c>
    </row>
    <row r="103">
      <c r="A103">
        <f>HYPERLINK("http://bombeiros.sp.gov.br/hidrantes/03individual/2805.html","2805")</f>
      </c>
      <c r="B103" t="s">
        <v>12</v>
      </c>
      <c r="C103" t="s">
        <v>92</v>
      </c>
      <c r="D103" t="s">
        <v>92</v>
      </c>
      <c r="E103" t="s">
        <v>64</v>
      </c>
      <c r="F103" t="s">
        <v>2544</v>
      </c>
      <c r="G103" t="s">
        <v>18055</v>
      </c>
      <c r="H103" t="s">
        <v>1121</v>
      </c>
      <c r="I103" t="s">
        <v>1117</v>
      </c>
      <c r="J103" t="s">
        <v>2545</v>
      </c>
      <c r="K103" t="s">
        <v>2546</v>
      </c>
      <c r="L103" t="s">
        <v>36</v>
      </c>
      <c r="M103" t="s">
        <v>19177</v>
      </c>
      <c r="N103" t="s">
        <v>97</v>
      </c>
      <c r="O103" t="s">
        <v>937</v>
      </c>
      <c r="P103" t="s">
        <v>12</v>
      </c>
    </row>
    <row r="104">
      <c r="A104">
        <f>HYPERLINK("http://bombeiros.sp.gov.br/hidrantes/03individual/2810.html","2810")</f>
      </c>
      <c r="B104" t="s">
        <v>12</v>
      </c>
      <c r="C104" t="s">
        <v>92</v>
      </c>
      <c r="D104" t="s">
        <v>92</v>
      </c>
      <c r="E104" t="s">
        <v>64</v>
      </c>
      <c r="F104" t="s">
        <v>2547</v>
      </c>
      <c r="G104" t="s">
        <v>18055</v>
      </c>
      <c r="H104" t="s">
        <v>1121</v>
      </c>
      <c r="I104" t="s">
        <v>1117</v>
      </c>
      <c r="J104" t="s">
        <v>2548</v>
      </c>
      <c r="K104" t="s">
        <v>2549</v>
      </c>
      <c r="L104" t="s">
        <v>36</v>
      </c>
      <c r="M104" t="s">
        <v>19177</v>
      </c>
      <c r="N104" t="s">
        <v>97</v>
      </c>
      <c r="O104" t="s">
        <v>937</v>
      </c>
      <c r="P104" t="s">
        <v>12</v>
      </c>
    </row>
    <row r="105">
      <c r="A105">
        <f>HYPERLINK("http://bombeiros.sp.gov.br/hidrantes/03individual/2824.html","2824")</f>
      </c>
      <c r="B105" t="s">
        <v>12</v>
      </c>
      <c r="C105" t="s">
        <v>92</v>
      </c>
      <c r="D105" t="s">
        <v>92</v>
      </c>
      <c r="E105" t="s">
        <v>64</v>
      </c>
      <c r="F105" t="s">
        <v>2550</v>
      </c>
      <c r="G105" t="s">
        <v>18055</v>
      </c>
      <c r="H105" t="s">
        <v>1121</v>
      </c>
      <c r="I105" t="s">
        <v>1117</v>
      </c>
      <c r="J105" t="s">
        <v>2551</v>
      </c>
      <c r="K105" t="s">
        <v>2552</v>
      </c>
      <c r="L105" t="s">
        <v>36</v>
      </c>
      <c r="M105" t="s">
        <v>19177</v>
      </c>
      <c r="N105" t="s">
        <v>97</v>
      </c>
      <c r="O105" t="s">
        <v>937</v>
      </c>
      <c r="P105" t="s">
        <v>12</v>
      </c>
    </row>
    <row r="106">
      <c r="A106">
        <f>HYPERLINK("http://bombeiros.sp.gov.br/hidrantes/03individual/2867.html","2867")</f>
      </c>
      <c r="B106" t="s">
        <v>12</v>
      </c>
      <c r="C106" t="s">
        <v>92</v>
      </c>
      <c r="D106" t="s">
        <v>92</v>
      </c>
      <c r="E106" t="s">
        <v>64</v>
      </c>
      <c r="F106" t="s">
        <v>2553</v>
      </c>
      <c r="G106" t="s">
        <v>18082</v>
      </c>
      <c r="H106" t="s">
        <v>1112</v>
      </c>
      <c r="I106" t="s">
        <v>1108</v>
      </c>
      <c r="J106" t="s">
        <v>2554</v>
      </c>
      <c r="K106" t="s">
        <v>2555</v>
      </c>
      <c r="L106" t="s">
        <v>36</v>
      </c>
      <c r="M106" t="s">
        <v>19177</v>
      </c>
      <c r="N106" t="s">
        <v>97</v>
      </c>
      <c r="O106" t="s">
        <v>937</v>
      </c>
      <c r="P106" t="s">
        <v>12</v>
      </c>
    </row>
    <row r="107">
      <c r="A107">
        <f>HYPERLINK("http://bombeiros.sp.gov.br/hidrantes/03individual/2895.html","2895")</f>
      </c>
      <c r="B107" t="s">
        <v>12</v>
      </c>
      <c r="C107" t="s">
        <v>92</v>
      </c>
      <c r="D107" t="s">
        <v>92</v>
      </c>
      <c r="E107" t="s">
        <v>64</v>
      </c>
      <c r="F107" t="s">
        <v>2556</v>
      </c>
      <c r="G107" t="s">
        <v>18180</v>
      </c>
      <c r="H107" t="s">
        <v>1121</v>
      </c>
      <c r="I107" t="s">
        <v>1117</v>
      </c>
      <c r="J107" t="s">
        <v>2557</v>
      </c>
      <c r="K107" t="s">
        <v>2558</v>
      </c>
      <c r="L107" t="s">
        <v>36</v>
      </c>
      <c r="M107" t="s">
        <v>19177</v>
      </c>
      <c r="N107" t="s">
        <v>97</v>
      </c>
      <c r="O107" t="s">
        <v>937</v>
      </c>
      <c r="P107" t="s">
        <v>12</v>
      </c>
    </row>
    <row r="108">
      <c r="A108">
        <f>HYPERLINK("http://bombeiros.sp.gov.br/hidrantes/03individual/2905.html","2905")</f>
      </c>
      <c r="B108" t="s">
        <v>12</v>
      </c>
      <c r="C108" t="s">
        <v>92</v>
      </c>
      <c r="D108" t="s">
        <v>92</v>
      </c>
      <c r="E108" t="s">
        <v>64</v>
      </c>
      <c r="F108" t="s">
        <v>2559</v>
      </c>
      <c r="G108" t="s">
        <v>18070</v>
      </c>
      <c r="H108" t="s">
        <v>1121</v>
      </c>
      <c r="I108" t="s">
        <v>1108</v>
      </c>
      <c r="J108" t="s">
        <v>2560</v>
      </c>
      <c r="K108" t="s">
        <v>2561</v>
      </c>
      <c r="L108" t="s">
        <v>36</v>
      </c>
      <c r="M108" t="s">
        <v>19177</v>
      </c>
      <c r="N108" t="s">
        <v>97</v>
      </c>
      <c r="O108" t="s">
        <v>937</v>
      </c>
      <c r="P108" t="s">
        <v>12</v>
      </c>
    </row>
    <row r="109">
      <c r="A109">
        <f>HYPERLINK("http://bombeiros.sp.gov.br/hidrantes/03individual/2950.html","2950")</f>
      </c>
      <c r="B109" t="s">
        <v>12</v>
      </c>
      <c r="C109" t="s">
        <v>92</v>
      </c>
      <c r="D109" t="s">
        <v>92</v>
      </c>
      <c r="E109" t="s">
        <v>64</v>
      </c>
      <c r="F109" t="s">
        <v>2565</v>
      </c>
      <c r="G109" t="s">
        <v>18070</v>
      </c>
      <c r="H109" t="s">
        <v>1121</v>
      </c>
      <c r="I109" t="s">
        <v>1117</v>
      </c>
      <c r="J109" t="s">
        <v>2566</v>
      </c>
      <c r="K109" t="s">
        <v>2567</v>
      </c>
      <c r="L109" t="s">
        <v>36</v>
      </c>
      <c r="M109" t="s">
        <v>19177</v>
      </c>
      <c r="N109" t="s">
        <v>97</v>
      </c>
      <c r="O109" t="s">
        <v>937</v>
      </c>
      <c r="P109" t="s">
        <v>12</v>
      </c>
    </row>
    <row r="110">
      <c r="A110">
        <f>HYPERLINK("http://bombeiros.sp.gov.br/hidrantes/03individual/500.html","500")</f>
      </c>
      <c r="B110" t="s">
        <v>12</v>
      </c>
      <c r="C110" t="s">
        <v>92</v>
      </c>
      <c r="D110" t="s">
        <v>92</v>
      </c>
      <c r="E110" t="s">
        <v>15</v>
      </c>
      <c r="F110" t="s">
        <v>2572</v>
      </c>
      <c r="G110" t="s">
        <v>18069</v>
      </c>
      <c r="H110" t="s">
        <v>1107</v>
      </c>
      <c r="I110" t="s">
        <v>1108</v>
      </c>
      <c r="J110" t="s">
        <v>2573</v>
      </c>
      <c r="K110" t="s">
        <v>2574</v>
      </c>
      <c r="L110" t="s">
        <v>36</v>
      </c>
      <c r="M110" t="s">
        <v>19177</v>
      </c>
      <c r="N110" t="s">
        <v>97</v>
      </c>
      <c r="O110" t="s">
        <v>937</v>
      </c>
      <c r="P110" t="s">
        <v>12</v>
      </c>
    </row>
    <row r="111">
      <c r="A111">
        <f>HYPERLINK("http://bombeiros.sp.gov.br/hidrantes/03individual/2812.html","2812")</f>
      </c>
      <c r="B111" t="s">
        <v>12</v>
      </c>
      <c r="C111" t="s">
        <v>92</v>
      </c>
      <c r="D111" t="s">
        <v>92</v>
      </c>
      <c r="E111" t="s">
        <v>15</v>
      </c>
      <c r="F111" t="s">
        <v>2632</v>
      </c>
      <c r="G111" t="s">
        <v>18055</v>
      </c>
      <c r="H111" t="s">
        <v>1107</v>
      </c>
      <c r="I111" t="s">
        <v>1108</v>
      </c>
      <c r="J111" t="s">
        <v>2633</v>
      </c>
      <c r="K111" t="s">
        <v>2634</v>
      </c>
      <c r="L111" t="s">
        <v>36</v>
      </c>
      <c r="M111" t="s">
        <v>19177</v>
      </c>
      <c r="N111" t="s">
        <v>97</v>
      </c>
      <c r="O111" t="s">
        <v>937</v>
      </c>
      <c r="P111" t="s">
        <v>12</v>
      </c>
    </row>
    <row r="112">
      <c r="A112">
        <f>HYPERLINK("http://bombeiros.sp.gov.br/hidrantes/03individual/2849.html","2849")</f>
      </c>
      <c r="B112" t="s">
        <v>12</v>
      </c>
      <c r="C112" t="s">
        <v>92</v>
      </c>
      <c r="D112" t="s">
        <v>92</v>
      </c>
      <c r="E112" t="s">
        <v>15</v>
      </c>
      <c r="F112" t="s">
        <v>2641</v>
      </c>
      <c r="G112" t="s">
        <v>18187</v>
      </c>
      <c r="H112" t="s">
        <v>1107</v>
      </c>
      <c r="I112" t="s">
        <v>1108</v>
      </c>
      <c r="J112" t="s">
        <v>2642</v>
      </c>
      <c r="K112" t="s">
        <v>2643</v>
      </c>
      <c r="L112" t="s">
        <v>36</v>
      </c>
      <c r="M112" t="s">
        <v>19177</v>
      </c>
      <c r="N112" t="s">
        <v>97</v>
      </c>
      <c r="O112" t="s">
        <v>937</v>
      </c>
      <c r="P112" t="s">
        <v>12</v>
      </c>
    </row>
    <row r="113">
      <c r="A113">
        <f>HYPERLINK("http://bombeiros.sp.gov.br/hidrantes/03individual/2851.html","2851")</f>
      </c>
      <c r="B113" t="s">
        <v>12</v>
      </c>
      <c r="C113" t="s">
        <v>92</v>
      </c>
      <c r="D113" t="s">
        <v>92</v>
      </c>
      <c r="E113" t="s">
        <v>15</v>
      </c>
      <c r="F113" t="s">
        <v>2644</v>
      </c>
      <c r="G113" t="s">
        <v>18071</v>
      </c>
      <c r="H113" t="s">
        <v>1107</v>
      </c>
      <c r="I113" t="s">
        <v>1108</v>
      </c>
      <c r="J113" t="s">
        <v>2645</v>
      </c>
      <c r="K113" t="s">
        <v>2646</v>
      </c>
      <c r="L113" t="s">
        <v>36</v>
      </c>
      <c r="M113" t="s">
        <v>19177</v>
      </c>
      <c r="N113" t="s">
        <v>97</v>
      </c>
      <c r="O113" t="s">
        <v>937</v>
      </c>
      <c r="P113" t="s">
        <v>12</v>
      </c>
    </row>
    <row r="114">
      <c r="A114">
        <f>HYPERLINK("http://bombeiros.sp.gov.br/hidrantes/03individual/2907.html","2907")</f>
      </c>
      <c r="B114" t="s">
        <v>12</v>
      </c>
      <c r="C114" t="s">
        <v>92</v>
      </c>
      <c r="D114" t="s">
        <v>92</v>
      </c>
      <c r="E114" t="s">
        <v>15</v>
      </c>
      <c r="F114" t="s">
        <v>2659</v>
      </c>
      <c r="G114" t="s">
        <v>18180</v>
      </c>
      <c r="H114" t="s">
        <v>1107</v>
      </c>
      <c r="I114" t="s">
        <v>1108</v>
      </c>
      <c r="J114" t="s">
        <v>2660</v>
      </c>
      <c r="K114" t="s">
        <v>2661</v>
      </c>
      <c r="L114" t="s">
        <v>36</v>
      </c>
      <c r="M114" t="s">
        <v>19177</v>
      </c>
      <c r="N114" t="s">
        <v>97</v>
      </c>
      <c r="O114" t="s">
        <v>937</v>
      </c>
      <c r="P114" t="s">
        <v>12</v>
      </c>
    </row>
    <row r="115">
      <c r="A115">
        <f>HYPERLINK("http://bombeiros.sp.gov.br/hidrantes/03individual/2150.html","2150")</f>
      </c>
      <c r="B115" t="s">
        <v>12</v>
      </c>
      <c r="C115" t="s">
        <v>97</v>
      </c>
      <c r="D115" t="s">
        <v>98</v>
      </c>
      <c r="E115" t="s">
        <v>64</v>
      </c>
      <c r="F115" t="s">
        <v>2675</v>
      </c>
      <c r="G115" t="s">
        <v>18173</v>
      </c>
      <c r="H115" t="s">
        <v>1112</v>
      </c>
      <c r="I115" t="s">
        <v>1108</v>
      </c>
      <c r="J115" t="s">
        <v>2676</v>
      </c>
      <c r="K115" t="s">
        <v>2677</v>
      </c>
      <c r="L115" t="s">
        <v>36</v>
      </c>
      <c r="M115" t="s">
        <v>19177</v>
      </c>
      <c r="N115" t="s">
        <v>97</v>
      </c>
      <c r="O115" t="s">
        <v>937</v>
      </c>
      <c r="P115" t="s">
        <v>12</v>
      </c>
    </row>
    <row r="116">
      <c r="A116">
        <f>HYPERLINK("http://bombeiros.sp.gov.br/hidrantes/03individual/2164.html","2164")</f>
      </c>
      <c r="B116" t="s">
        <v>12</v>
      </c>
      <c r="C116" t="s">
        <v>97</v>
      </c>
      <c r="D116" t="s">
        <v>98</v>
      </c>
      <c r="E116" t="s">
        <v>64</v>
      </c>
      <c r="F116" t="s">
        <v>2678</v>
      </c>
      <c r="G116" t="s">
        <v>18068</v>
      </c>
      <c r="H116" t="s">
        <v>1112</v>
      </c>
      <c r="I116" t="s">
        <v>1108</v>
      </c>
      <c r="J116" t="s">
        <v>2679</v>
      </c>
      <c r="K116" t="s">
        <v>2680</v>
      </c>
      <c r="L116" t="s">
        <v>36</v>
      </c>
      <c r="M116" t="s">
        <v>19177</v>
      </c>
      <c r="N116" t="s">
        <v>97</v>
      </c>
      <c r="O116" t="s">
        <v>937</v>
      </c>
      <c r="P116" t="s">
        <v>12</v>
      </c>
    </row>
    <row r="117">
      <c r="A117">
        <f>HYPERLINK("http://bombeiros.sp.gov.br/hidrantes/03individual/2588.html","2588")</f>
      </c>
      <c r="B117" t="s">
        <v>12</v>
      </c>
      <c r="C117" t="s">
        <v>97</v>
      </c>
      <c r="D117" t="s">
        <v>98</v>
      </c>
      <c r="E117" t="s">
        <v>64</v>
      </c>
      <c r="F117" t="s">
        <v>2681</v>
      </c>
      <c r="G117" t="s">
        <v>18050</v>
      </c>
      <c r="H117" t="s">
        <v>1121</v>
      </c>
      <c r="I117" t="s">
        <v>1117</v>
      </c>
      <c r="J117" t="s">
        <v>2682</v>
      </c>
      <c r="K117" t="s">
        <v>2683</v>
      </c>
      <c r="L117" t="s">
        <v>36</v>
      </c>
      <c r="M117" t="s">
        <v>19177</v>
      </c>
      <c r="N117" t="s">
        <v>97</v>
      </c>
      <c r="O117" t="s">
        <v>937</v>
      </c>
      <c r="P117" t="s">
        <v>12</v>
      </c>
    </row>
    <row r="118">
      <c r="A118">
        <f>HYPERLINK("http://bombeiros.sp.gov.br/hidrantes/03individual/2634.html","2634")</f>
      </c>
      <c r="B118" t="s">
        <v>12</v>
      </c>
      <c r="C118" t="s">
        <v>97</v>
      </c>
      <c r="D118" t="s">
        <v>98</v>
      </c>
      <c r="E118" t="s">
        <v>64</v>
      </c>
      <c r="F118" t="s">
        <v>2684</v>
      </c>
      <c r="G118" t="s">
        <v>18072</v>
      </c>
      <c r="H118" t="s">
        <v>1121</v>
      </c>
      <c r="I118" t="s">
        <v>1117</v>
      </c>
      <c r="J118" t="s">
        <v>16305</v>
      </c>
      <c r="K118" t="s">
        <v>16306</v>
      </c>
      <c r="L118" t="s">
        <v>36</v>
      </c>
      <c r="M118" t="s">
        <v>19177</v>
      </c>
      <c r="N118" t="s">
        <v>97</v>
      </c>
      <c r="O118" t="s">
        <v>937</v>
      </c>
      <c r="P118" t="s">
        <v>12</v>
      </c>
    </row>
    <row r="119">
      <c r="A119">
        <f>HYPERLINK("http://bombeiros.sp.gov.br/hidrantes/03individual/2928.html","2928")</f>
      </c>
      <c r="B119" t="s">
        <v>12</v>
      </c>
      <c r="C119" t="s">
        <v>97</v>
      </c>
      <c r="D119" t="s">
        <v>98</v>
      </c>
      <c r="E119" t="s">
        <v>15</v>
      </c>
      <c r="F119" t="s">
        <v>2735</v>
      </c>
      <c r="G119" t="s">
        <v>18050</v>
      </c>
      <c r="H119" t="s">
        <v>1112</v>
      </c>
      <c r="I119" t="s">
        <v>1108</v>
      </c>
      <c r="J119" t="s">
        <v>2736</v>
      </c>
      <c r="K119" t="s">
        <v>2737</v>
      </c>
      <c r="L119" t="s">
        <v>36</v>
      </c>
      <c r="M119" t="s">
        <v>19177</v>
      </c>
      <c r="N119" t="s">
        <v>97</v>
      </c>
      <c r="O119" t="s">
        <v>937</v>
      </c>
      <c r="P119" t="s">
        <v>12</v>
      </c>
    </row>
    <row r="120">
      <c r="A120">
        <f>HYPERLINK("http://bombeiros.sp.gov.br/hidrantes/03individual/214.html","214")</f>
      </c>
      <c r="B120" t="s">
        <v>12</v>
      </c>
      <c r="C120" t="s">
        <v>97</v>
      </c>
      <c r="D120" t="s">
        <v>102</v>
      </c>
      <c r="E120" t="s">
        <v>64</v>
      </c>
      <c r="F120" t="s">
        <v>2744</v>
      </c>
      <c r="G120" t="s">
        <v>18184</v>
      </c>
      <c r="H120" t="s">
        <v>1112</v>
      </c>
      <c r="I120" t="s">
        <v>1108</v>
      </c>
      <c r="J120" t="s">
        <v>2745</v>
      </c>
      <c r="K120" t="s">
        <v>2746</v>
      </c>
      <c r="L120" t="s">
        <v>36</v>
      </c>
      <c r="M120" t="s">
        <v>19177</v>
      </c>
      <c r="N120" t="s">
        <v>97</v>
      </c>
      <c r="O120" t="s">
        <v>937</v>
      </c>
      <c r="P120" t="s">
        <v>12</v>
      </c>
    </row>
    <row r="121">
      <c r="A121">
        <f>HYPERLINK("http://bombeiros.sp.gov.br/hidrantes/03individual/2493.html","2493")</f>
      </c>
      <c r="B121" t="s">
        <v>12</v>
      </c>
      <c r="C121" t="s">
        <v>97</v>
      </c>
      <c r="D121" t="s">
        <v>102</v>
      </c>
      <c r="E121" t="s">
        <v>64</v>
      </c>
      <c r="F121" t="s">
        <v>2747</v>
      </c>
      <c r="G121" t="s">
        <v>18099</v>
      </c>
      <c r="H121" t="s">
        <v>1107</v>
      </c>
      <c r="I121" t="s">
        <v>1108</v>
      </c>
      <c r="J121" t="s">
        <v>2748</v>
      </c>
      <c r="K121" t="s">
        <v>2749</v>
      </c>
      <c r="L121" t="s">
        <v>36</v>
      </c>
      <c r="M121" t="s">
        <v>19177</v>
      </c>
      <c r="N121" t="s">
        <v>97</v>
      </c>
      <c r="O121" t="s">
        <v>937</v>
      </c>
      <c r="P121" t="s">
        <v>12</v>
      </c>
    </row>
    <row r="122">
      <c r="A122">
        <f>HYPERLINK("http://bombeiros.sp.gov.br/hidrantes/03individual/2813.html","2813")</f>
      </c>
      <c r="B122" t="s">
        <v>12</v>
      </c>
      <c r="C122" t="s">
        <v>97</v>
      </c>
      <c r="D122" t="s">
        <v>102</v>
      </c>
      <c r="E122" t="s">
        <v>64</v>
      </c>
      <c r="F122" t="s">
        <v>2750</v>
      </c>
      <c r="G122" t="s">
        <v>18188</v>
      </c>
      <c r="H122" t="s">
        <v>1112</v>
      </c>
      <c r="I122" t="s">
        <v>1108</v>
      </c>
      <c r="J122" t="s">
        <v>2751</v>
      </c>
      <c r="K122" t="s">
        <v>2752</v>
      </c>
      <c r="L122" t="s">
        <v>36</v>
      </c>
      <c r="M122" t="s">
        <v>19177</v>
      </c>
      <c r="N122" t="s">
        <v>97</v>
      </c>
      <c r="O122" t="s">
        <v>937</v>
      </c>
      <c r="P122" t="s">
        <v>12</v>
      </c>
    </row>
    <row r="123">
      <c r="A123">
        <f>HYPERLINK("http://bombeiros.sp.gov.br/hidrantes/03individual/4432.html","4432")</f>
      </c>
      <c r="B123" t="s">
        <v>12</v>
      </c>
      <c r="C123" t="s">
        <v>97</v>
      </c>
      <c r="D123" t="s">
        <v>102</v>
      </c>
      <c r="E123" t="s">
        <v>64</v>
      </c>
      <c r="F123" t="s">
        <v>2753</v>
      </c>
      <c r="G123" t="s">
        <v>18184</v>
      </c>
      <c r="H123" t="s">
        <v>1112</v>
      </c>
      <c r="I123" t="s">
        <v>1108</v>
      </c>
      <c r="J123" t="s">
        <v>2754</v>
      </c>
      <c r="K123" t="s">
        <v>2755</v>
      </c>
      <c r="L123" t="s">
        <v>36</v>
      </c>
      <c r="M123" t="s">
        <v>19177</v>
      </c>
      <c r="N123" t="s">
        <v>97</v>
      </c>
      <c r="O123" t="s">
        <v>937</v>
      </c>
      <c r="P123" t="s">
        <v>12</v>
      </c>
    </row>
    <row r="124">
      <c r="A124">
        <f>HYPERLINK("http://bombeiros.sp.gov.br/hidrantes/03individual/6784.html","6784")</f>
      </c>
      <c r="B124" t="s">
        <v>12</v>
      </c>
      <c r="C124" t="s">
        <v>97</v>
      </c>
      <c r="D124" t="s">
        <v>102</v>
      </c>
      <c r="E124" t="s">
        <v>15</v>
      </c>
      <c r="F124" t="s">
        <v>2774</v>
      </c>
      <c r="G124" t="s">
        <v>18076</v>
      </c>
      <c r="H124" t="s">
        <v>1121</v>
      </c>
      <c r="I124" t="s">
        <v>1117</v>
      </c>
      <c r="J124" t="s">
        <v>2775</v>
      </c>
      <c r="K124" t="s">
        <v>2776</v>
      </c>
      <c r="L124" t="s">
        <v>36</v>
      </c>
      <c r="M124" t="s">
        <v>19177</v>
      </c>
      <c r="N124" t="s">
        <v>97</v>
      </c>
      <c r="O124" t="s">
        <v>937</v>
      </c>
      <c r="P124" t="s">
        <v>12</v>
      </c>
    </row>
    <row r="125">
      <c r="A125">
        <f>HYPERLINK("http://bombeiros.sp.gov.br/hidrantes/03individual/2.html","2")</f>
      </c>
      <c r="B125" t="s">
        <v>12</v>
      </c>
      <c r="C125" t="s">
        <v>97</v>
      </c>
      <c r="D125" t="s">
        <v>97</v>
      </c>
      <c r="E125" t="s">
        <v>64</v>
      </c>
      <c r="F125" t="s">
        <v>2780</v>
      </c>
      <c r="G125" t="s">
        <v>18188</v>
      </c>
      <c r="H125" t="s">
        <v>1112</v>
      </c>
      <c r="I125" t="s">
        <v>1108</v>
      </c>
      <c r="J125" t="s">
        <v>2781</v>
      </c>
      <c r="K125" t="s">
        <v>2782</v>
      </c>
      <c r="L125" t="s">
        <v>36</v>
      </c>
      <c r="M125" t="s">
        <v>19177</v>
      </c>
      <c r="N125" t="s">
        <v>97</v>
      </c>
      <c r="O125" t="s">
        <v>937</v>
      </c>
      <c r="P125" t="s">
        <v>12</v>
      </c>
    </row>
    <row r="126">
      <c r="A126">
        <f>HYPERLINK("http://bombeiros.sp.gov.br/hidrantes/03individual/13.html","13")</f>
      </c>
      <c r="B126" t="s">
        <v>12</v>
      </c>
      <c r="C126" t="s">
        <v>97</v>
      </c>
      <c r="D126" t="s">
        <v>97</v>
      </c>
      <c r="E126" t="s">
        <v>64</v>
      </c>
      <c r="F126" t="s">
        <v>2783</v>
      </c>
      <c r="G126" t="s">
        <v>18159</v>
      </c>
      <c r="H126" t="s">
        <v>1112</v>
      </c>
      <c r="I126" t="s">
        <v>1108</v>
      </c>
      <c r="J126" t="s">
        <v>2784</v>
      </c>
      <c r="K126" t="s">
        <v>2785</v>
      </c>
      <c r="L126" t="s">
        <v>36</v>
      </c>
      <c r="M126" t="s">
        <v>19177</v>
      </c>
      <c r="N126" t="s">
        <v>97</v>
      </c>
      <c r="O126" t="s">
        <v>937</v>
      </c>
      <c r="P126" t="s">
        <v>12</v>
      </c>
    </row>
    <row r="127">
      <c r="A127">
        <f>HYPERLINK("http://bombeiros.sp.gov.br/hidrantes/03individual/111.html","111")</f>
      </c>
      <c r="B127" t="s">
        <v>12</v>
      </c>
      <c r="C127" t="s">
        <v>97</v>
      </c>
      <c r="D127" t="s">
        <v>97</v>
      </c>
      <c r="E127" t="s">
        <v>64</v>
      </c>
      <c r="F127" t="s">
        <v>2786</v>
      </c>
      <c r="G127" t="s">
        <v>18068</v>
      </c>
      <c r="H127" t="s">
        <v>1107</v>
      </c>
      <c r="I127" t="s">
        <v>1108</v>
      </c>
      <c r="J127" t="s">
        <v>2787</v>
      </c>
      <c r="K127" t="s">
        <v>2788</v>
      </c>
      <c r="L127" t="s">
        <v>36</v>
      </c>
      <c r="M127" t="s">
        <v>19177</v>
      </c>
      <c r="N127" t="s">
        <v>97</v>
      </c>
      <c r="O127" t="s">
        <v>937</v>
      </c>
      <c r="P127" t="s">
        <v>12</v>
      </c>
    </row>
    <row r="128">
      <c r="A128">
        <f>HYPERLINK("http://bombeiros.sp.gov.br/hidrantes/03individual/808.html","808")</f>
      </c>
      <c r="B128" t="s">
        <v>12</v>
      </c>
      <c r="C128" t="s">
        <v>97</v>
      </c>
      <c r="D128" t="s">
        <v>97</v>
      </c>
      <c r="E128" t="s">
        <v>64</v>
      </c>
      <c r="F128" t="s">
        <v>2789</v>
      </c>
      <c r="G128" t="s">
        <v>18189</v>
      </c>
      <c r="H128" t="s">
        <v>1112</v>
      </c>
      <c r="I128" t="s">
        <v>1108</v>
      </c>
      <c r="J128" t="s">
        <v>2790</v>
      </c>
      <c r="K128" t="s">
        <v>2791</v>
      </c>
      <c r="L128" t="s">
        <v>36</v>
      </c>
      <c r="M128" t="s">
        <v>19177</v>
      </c>
      <c r="N128" t="s">
        <v>97</v>
      </c>
      <c r="O128" t="s">
        <v>937</v>
      </c>
      <c r="P128" t="s">
        <v>12</v>
      </c>
    </row>
    <row r="129">
      <c r="A129">
        <f>HYPERLINK("http://bombeiros.sp.gov.br/hidrantes/03individual/2470.html","2470")</f>
      </c>
      <c r="B129" t="s">
        <v>12</v>
      </c>
      <c r="C129" t="s">
        <v>97</v>
      </c>
      <c r="D129" t="s">
        <v>97</v>
      </c>
      <c r="E129" t="s">
        <v>64</v>
      </c>
      <c r="F129" t="s">
        <v>2801</v>
      </c>
      <c r="G129" t="s">
        <v>18068</v>
      </c>
      <c r="H129" t="s">
        <v>1112</v>
      </c>
      <c r="I129" t="s">
        <v>1108</v>
      </c>
      <c r="J129" t="s">
        <v>2802</v>
      </c>
      <c r="K129" t="s">
        <v>2803</v>
      </c>
      <c r="L129" t="s">
        <v>36</v>
      </c>
      <c r="M129" t="s">
        <v>19177</v>
      </c>
      <c r="N129" t="s">
        <v>97</v>
      </c>
      <c r="O129" t="s">
        <v>937</v>
      </c>
      <c r="P129" t="s">
        <v>12</v>
      </c>
    </row>
    <row r="130">
      <c r="A130">
        <f>HYPERLINK("http://bombeiros.sp.gov.br/hidrantes/03individual/2475.html","2475")</f>
      </c>
      <c r="B130" t="s">
        <v>12</v>
      </c>
      <c r="C130" t="s">
        <v>97</v>
      </c>
      <c r="D130" t="s">
        <v>97</v>
      </c>
      <c r="E130" t="s">
        <v>64</v>
      </c>
      <c r="F130" t="s">
        <v>2804</v>
      </c>
      <c r="G130" t="s">
        <v>18050</v>
      </c>
      <c r="H130" t="s">
        <v>1121</v>
      </c>
      <c r="I130" t="s">
        <v>1117</v>
      </c>
      <c r="J130" t="s">
        <v>2805</v>
      </c>
      <c r="K130" t="s">
        <v>2806</v>
      </c>
      <c r="L130" t="s">
        <v>36</v>
      </c>
      <c r="M130" t="s">
        <v>19177</v>
      </c>
      <c r="N130" t="s">
        <v>97</v>
      </c>
      <c r="O130" t="s">
        <v>937</v>
      </c>
      <c r="P130" t="s">
        <v>12</v>
      </c>
    </row>
    <row r="131">
      <c r="A131">
        <f>HYPERLINK("http://bombeiros.sp.gov.br/hidrantes/03individual/2957.html","2957")</f>
      </c>
      <c r="B131" t="s">
        <v>12</v>
      </c>
      <c r="C131" t="s">
        <v>97</v>
      </c>
      <c r="D131" t="s">
        <v>97</v>
      </c>
      <c r="E131" t="s">
        <v>64</v>
      </c>
      <c r="F131" t="s">
        <v>2813</v>
      </c>
      <c r="G131" t="s">
        <v>18043</v>
      </c>
      <c r="H131" t="s">
        <v>1121</v>
      </c>
      <c r="I131" t="s">
        <v>1117</v>
      </c>
      <c r="J131" t="s">
        <v>2814</v>
      </c>
      <c r="K131" t="s">
        <v>2815</v>
      </c>
      <c r="L131" t="s">
        <v>36</v>
      </c>
      <c r="M131" t="s">
        <v>19177</v>
      </c>
      <c r="N131" t="s">
        <v>97</v>
      </c>
      <c r="O131" t="s">
        <v>937</v>
      </c>
      <c r="P131" t="s">
        <v>12</v>
      </c>
    </row>
    <row r="132">
      <c r="A132">
        <f>HYPERLINK("http://bombeiros.sp.gov.br/hidrantes/03individual/114.html","114")</f>
      </c>
      <c r="B132" t="s">
        <v>12</v>
      </c>
      <c r="C132" t="s">
        <v>97</v>
      </c>
      <c r="D132" t="s">
        <v>97</v>
      </c>
      <c r="E132" t="s">
        <v>15</v>
      </c>
      <c r="F132" t="s">
        <v>2825</v>
      </c>
      <c r="G132" t="s">
        <v>18068</v>
      </c>
      <c r="H132" t="s">
        <v>1174</v>
      </c>
      <c r="I132" t="s">
        <v>1117</v>
      </c>
      <c r="J132" t="s">
        <v>2826</v>
      </c>
      <c r="K132" t="s">
        <v>2827</v>
      </c>
      <c r="L132" t="s">
        <v>36</v>
      </c>
      <c r="M132" t="s">
        <v>19177</v>
      </c>
      <c r="N132" t="s">
        <v>97</v>
      </c>
      <c r="O132" t="s">
        <v>937</v>
      </c>
      <c r="P132" t="s">
        <v>12</v>
      </c>
    </row>
    <row r="133">
      <c r="A133">
        <f>HYPERLINK("http://bombeiros.sp.gov.br/hidrantes/03individual/2536.html","2536")</f>
      </c>
      <c r="B133" t="s">
        <v>12</v>
      </c>
      <c r="C133" t="s">
        <v>97</v>
      </c>
      <c r="D133" t="s">
        <v>97</v>
      </c>
      <c r="E133" t="s">
        <v>15</v>
      </c>
      <c r="F133" t="s">
        <v>2855</v>
      </c>
      <c r="G133" t="s">
        <v>18182</v>
      </c>
      <c r="H133" t="s">
        <v>1112</v>
      </c>
      <c r="I133" t="s">
        <v>1108</v>
      </c>
      <c r="J133" t="s">
        <v>2857</v>
      </c>
      <c r="K133" t="s">
        <v>2858</v>
      </c>
      <c r="L133" t="s">
        <v>36</v>
      </c>
      <c r="M133" t="s">
        <v>19177</v>
      </c>
      <c r="N133" t="s">
        <v>97</v>
      </c>
      <c r="O133" t="s">
        <v>937</v>
      </c>
      <c r="P133" t="s">
        <v>12</v>
      </c>
    </row>
    <row r="134">
      <c r="A134">
        <f>HYPERLINK("http://bombeiros.sp.gov.br/hidrantes/03individual/2791.html","2791")</f>
      </c>
      <c r="B134" t="s">
        <v>12</v>
      </c>
      <c r="C134" t="s">
        <v>97</v>
      </c>
      <c r="D134" t="s">
        <v>97</v>
      </c>
      <c r="E134" t="s">
        <v>15</v>
      </c>
      <c r="F134" t="s">
        <v>2859</v>
      </c>
      <c r="G134" t="s">
        <v>18076</v>
      </c>
      <c r="H134" t="s">
        <v>1121</v>
      </c>
      <c r="I134" t="s">
        <v>1117</v>
      </c>
      <c r="J134" t="s">
        <v>2860</v>
      </c>
      <c r="K134" t="s">
        <v>2861</v>
      </c>
      <c r="L134" t="s">
        <v>36</v>
      </c>
      <c r="M134" t="s">
        <v>19177</v>
      </c>
      <c r="N134" t="s">
        <v>97</v>
      </c>
      <c r="O134" t="s">
        <v>937</v>
      </c>
      <c r="P134" t="s">
        <v>12</v>
      </c>
    </row>
    <row r="135">
      <c r="A135">
        <f>HYPERLINK("http://bombeiros.sp.gov.br/hidrantes/03individual/3181.html","3181")</f>
      </c>
      <c r="B135" t="s">
        <v>114</v>
      </c>
      <c r="C135" t="s">
        <v>115</v>
      </c>
      <c r="D135" t="s">
        <v>115</v>
      </c>
      <c r="E135" t="s">
        <v>64</v>
      </c>
      <c r="F135" t="s">
        <v>2874</v>
      </c>
      <c r="G135" t="s">
        <v>18045</v>
      </c>
      <c r="H135" t="s">
        <v>1112</v>
      </c>
      <c r="I135" t="s">
        <v>1117</v>
      </c>
      <c r="J135" t="s">
        <v>2875</v>
      </c>
      <c r="K135" t="s">
        <v>2876</v>
      </c>
      <c r="L135" t="s">
        <v>36</v>
      </c>
      <c r="M135" t="s">
        <v>19177</v>
      </c>
      <c r="N135" t="s">
        <v>300</v>
      </c>
      <c r="O135" t="s">
        <v>16373</v>
      </c>
      <c r="P135" t="s">
        <v>12</v>
      </c>
    </row>
    <row r="136">
      <c r="A136">
        <f>HYPERLINK("http://bombeiros.sp.gov.br/hidrantes/03individual/3251.html","3251")</f>
      </c>
      <c r="B136" t="s">
        <v>114</v>
      </c>
      <c r="C136" t="s">
        <v>115</v>
      </c>
      <c r="D136" t="s">
        <v>115</v>
      </c>
      <c r="E136" t="s">
        <v>64</v>
      </c>
      <c r="F136" t="s">
        <v>2877</v>
      </c>
      <c r="G136" t="s">
        <v>18097</v>
      </c>
      <c r="H136" t="s">
        <v>1112</v>
      </c>
      <c r="I136" t="s">
        <v>1108</v>
      </c>
      <c r="J136" t="s">
        <v>2878</v>
      </c>
      <c r="K136" t="s">
        <v>2879</v>
      </c>
      <c r="L136" t="s">
        <v>36</v>
      </c>
      <c r="M136" t="s">
        <v>19177</v>
      </c>
      <c r="N136" t="s">
        <v>300</v>
      </c>
      <c r="O136" t="s">
        <v>16373</v>
      </c>
      <c r="P136" t="s">
        <v>12</v>
      </c>
    </row>
    <row r="137">
      <c r="A137">
        <f>HYPERLINK("http://bombeiros.sp.gov.br/hidrantes/03individual/3131.html","3131")</f>
      </c>
      <c r="B137" t="s">
        <v>114</v>
      </c>
      <c r="C137" t="s">
        <v>115</v>
      </c>
      <c r="D137" t="s">
        <v>115</v>
      </c>
      <c r="E137" t="s">
        <v>15</v>
      </c>
      <c r="F137" t="s">
        <v>2910</v>
      </c>
      <c r="G137" t="s">
        <v>18076</v>
      </c>
      <c r="H137" t="s">
        <v>1112</v>
      </c>
      <c r="I137" t="s">
        <v>1108</v>
      </c>
      <c r="J137" t="s">
        <v>2911</v>
      </c>
      <c r="K137" t="s">
        <v>2912</v>
      </c>
      <c r="L137" t="s">
        <v>36</v>
      </c>
      <c r="M137" t="s">
        <v>19177</v>
      </c>
      <c r="N137" t="s">
        <v>300</v>
      </c>
      <c r="O137" t="s">
        <v>16373</v>
      </c>
      <c r="P137" t="s">
        <v>12</v>
      </c>
    </row>
    <row r="138">
      <c r="A138">
        <f>HYPERLINK("http://bombeiros.sp.gov.br/hidrantes/03individual/1026.html","1026")</f>
      </c>
      <c r="B138" t="s">
        <v>114</v>
      </c>
      <c r="C138" t="s">
        <v>115</v>
      </c>
      <c r="D138" t="s">
        <v>120</v>
      </c>
      <c r="E138" t="s">
        <v>64</v>
      </c>
      <c r="F138" t="s">
        <v>2952</v>
      </c>
      <c r="G138" t="s">
        <v>18045</v>
      </c>
      <c r="H138" t="s">
        <v>1112</v>
      </c>
      <c r="I138" t="s">
        <v>1108</v>
      </c>
      <c r="J138" t="s">
        <v>2953</v>
      </c>
      <c r="K138" t="s">
        <v>2954</v>
      </c>
      <c r="L138" t="s">
        <v>36</v>
      </c>
      <c r="M138" t="s">
        <v>19177</v>
      </c>
      <c r="N138" t="s">
        <v>300</v>
      </c>
      <c r="O138" t="s">
        <v>16373</v>
      </c>
      <c r="P138" t="s">
        <v>12</v>
      </c>
    </row>
    <row r="139">
      <c r="A139">
        <f>HYPERLINK("http://bombeiros.sp.gov.br/hidrantes/03individual/1028.html","1028")</f>
      </c>
      <c r="B139" t="s">
        <v>114</v>
      </c>
      <c r="C139" t="s">
        <v>115</v>
      </c>
      <c r="D139" t="s">
        <v>120</v>
      </c>
      <c r="E139" t="s">
        <v>64</v>
      </c>
      <c r="F139" t="s">
        <v>2955</v>
      </c>
      <c r="G139" t="s">
        <v>18051</v>
      </c>
      <c r="H139" t="s">
        <v>1107</v>
      </c>
      <c r="I139" t="s">
        <v>1108</v>
      </c>
      <c r="J139" t="s">
        <v>2956</v>
      </c>
      <c r="K139" t="s">
        <v>2957</v>
      </c>
      <c r="L139" t="s">
        <v>36</v>
      </c>
      <c r="M139" t="s">
        <v>19177</v>
      </c>
      <c r="N139" t="s">
        <v>300</v>
      </c>
      <c r="O139" t="s">
        <v>16373</v>
      </c>
      <c r="P139" t="s">
        <v>12</v>
      </c>
    </row>
    <row r="140">
      <c r="A140">
        <f>HYPERLINK("http://bombeiros.sp.gov.br/hidrantes/03individual/3213.html","3213")</f>
      </c>
      <c r="B140" t="s">
        <v>114</v>
      </c>
      <c r="C140" t="s">
        <v>115</v>
      </c>
      <c r="D140" t="s">
        <v>120</v>
      </c>
      <c r="E140" t="s">
        <v>64</v>
      </c>
      <c r="F140" t="s">
        <v>2961</v>
      </c>
      <c r="G140" t="s">
        <v>18143</v>
      </c>
      <c r="H140" t="s">
        <v>1112</v>
      </c>
      <c r="I140" t="s">
        <v>1108</v>
      </c>
      <c r="J140" t="s">
        <v>2962</v>
      </c>
      <c r="K140" t="s">
        <v>2963</v>
      </c>
      <c r="L140" t="s">
        <v>36</v>
      </c>
      <c r="M140" t="s">
        <v>19177</v>
      </c>
      <c r="N140" t="s">
        <v>300</v>
      </c>
      <c r="O140" t="s">
        <v>16373</v>
      </c>
      <c r="P140" t="s">
        <v>12</v>
      </c>
    </row>
    <row r="141">
      <c r="A141">
        <f>HYPERLINK("http://bombeiros.sp.gov.br/hidrantes/03individual/2335.html","2335")</f>
      </c>
      <c r="B141" t="s">
        <v>114</v>
      </c>
      <c r="C141" t="s">
        <v>115</v>
      </c>
      <c r="D141" t="s">
        <v>120</v>
      </c>
      <c r="E141" t="s">
        <v>15</v>
      </c>
      <c r="F141" t="s">
        <v>2976</v>
      </c>
      <c r="G141" t="s">
        <v>18107</v>
      </c>
      <c r="H141" t="s">
        <v>1112</v>
      </c>
      <c r="I141" t="s">
        <v>1108</v>
      </c>
      <c r="J141" t="s">
        <v>2977</v>
      </c>
      <c r="K141" t="s">
        <v>2978</v>
      </c>
      <c r="L141" t="s">
        <v>36</v>
      </c>
      <c r="M141" t="s">
        <v>19177</v>
      </c>
      <c r="N141" t="s">
        <v>300</v>
      </c>
      <c r="O141" t="s">
        <v>16373</v>
      </c>
      <c r="P141" t="s">
        <v>12</v>
      </c>
    </row>
    <row r="142">
      <c r="A142">
        <f>HYPERLINK("http://bombeiros.sp.gov.br/hidrantes/03individual/1029.html","1029")</f>
      </c>
      <c r="B142" t="s">
        <v>114</v>
      </c>
      <c r="C142" t="s">
        <v>115</v>
      </c>
      <c r="D142" t="s">
        <v>2997</v>
      </c>
      <c r="E142" t="s">
        <v>64</v>
      </c>
      <c r="F142" t="s">
        <v>2998</v>
      </c>
      <c r="G142" t="s">
        <v>18051</v>
      </c>
      <c r="H142" t="s">
        <v>1107</v>
      </c>
      <c r="I142" t="s">
        <v>1108</v>
      </c>
      <c r="J142" t="s">
        <v>2999</v>
      </c>
      <c r="K142" t="s">
        <v>3000</v>
      </c>
      <c r="L142" t="s">
        <v>36</v>
      </c>
      <c r="M142" t="s">
        <v>19177</v>
      </c>
      <c r="N142" t="s">
        <v>300</v>
      </c>
      <c r="O142" t="s">
        <v>16373</v>
      </c>
      <c r="P142" t="s">
        <v>12</v>
      </c>
    </row>
    <row r="143">
      <c r="A143">
        <f>HYPERLINK("http://bombeiros.sp.gov.br/hidrantes/03individual/1593.html","1593")</f>
      </c>
      <c r="B143" t="s">
        <v>114</v>
      </c>
      <c r="C143" t="s">
        <v>115</v>
      </c>
      <c r="D143" t="s">
        <v>2997</v>
      </c>
      <c r="E143" t="s">
        <v>64</v>
      </c>
      <c r="F143" t="s">
        <v>3001</v>
      </c>
      <c r="G143" t="s">
        <v>18107</v>
      </c>
      <c r="H143" t="s">
        <v>1112</v>
      </c>
      <c r="I143" t="s">
        <v>1108</v>
      </c>
      <c r="J143" t="s">
        <v>3002</v>
      </c>
      <c r="K143" t="s">
        <v>3003</v>
      </c>
      <c r="L143" t="s">
        <v>36</v>
      </c>
      <c r="M143" t="s">
        <v>19177</v>
      </c>
      <c r="N143" t="s">
        <v>300</v>
      </c>
      <c r="O143" t="s">
        <v>16373</v>
      </c>
      <c r="P143" t="s">
        <v>12</v>
      </c>
    </row>
    <row r="144">
      <c r="A144">
        <f>HYPERLINK("http://bombeiros.sp.gov.br/hidrantes/03individual/3212.html","3212")</f>
      </c>
      <c r="B144" t="s">
        <v>114</v>
      </c>
      <c r="C144" t="s">
        <v>115</v>
      </c>
      <c r="D144" t="s">
        <v>2997</v>
      </c>
      <c r="E144" t="s">
        <v>64</v>
      </c>
      <c r="F144" t="s">
        <v>3004</v>
      </c>
      <c r="G144" t="s">
        <v>18133</v>
      </c>
      <c r="H144" t="s">
        <v>1107</v>
      </c>
      <c r="I144" t="s">
        <v>1108</v>
      </c>
      <c r="J144" t="s">
        <v>3005</v>
      </c>
      <c r="K144" t="s">
        <v>3006</v>
      </c>
      <c r="L144" t="s">
        <v>36</v>
      </c>
      <c r="M144" t="s">
        <v>19177</v>
      </c>
      <c r="N144" t="s">
        <v>300</v>
      </c>
      <c r="O144" t="s">
        <v>16373</v>
      </c>
      <c r="P144" t="s">
        <v>12</v>
      </c>
    </row>
    <row r="145">
      <c r="A145">
        <f>HYPERLINK("http://bombeiros.sp.gov.br/hidrantes/03individual/2970.html","2970")</f>
      </c>
      <c r="B145" t="s">
        <v>114</v>
      </c>
      <c r="C145" t="s">
        <v>124</v>
      </c>
      <c r="D145" t="s">
        <v>124</v>
      </c>
      <c r="E145" t="s">
        <v>64</v>
      </c>
      <c r="F145" t="s">
        <v>3043</v>
      </c>
      <c r="G145" t="s">
        <v>18129</v>
      </c>
      <c r="H145" t="s">
        <v>1112</v>
      </c>
      <c r="I145" t="s">
        <v>1108</v>
      </c>
      <c r="J145" t="s">
        <v>3044</v>
      </c>
      <c r="K145" t="s">
        <v>3045</v>
      </c>
      <c r="L145" t="s">
        <v>36</v>
      </c>
      <c r="M145" t="s">
        <v>19177</v>
      </c>
      <c r="N145" t="s">
        <v>300</v>
      </c>
      <c r="O145" t="s">
        <v>16373</v>
      </c>
      <c r="P145" t="s">
        <v>12</v>
      </c>
    </row>
    <row r="146">
      <c r="A146">
        <f>HYPERLINK("http://bombeiros.sp.gov.br/hidrantes/03individual/3005.html","3005")</f>
      </c>
      <c r="B146" t="s">
        <v>114</v>
      </c>
      <c r="C146" t="s">
        <v>124</v>
      </c>
      <c r="D146" t="s">
        <v>124</v>
      </c>
      <c r="E146" t="s">
        <v>64</v>
      </c>
      <c r="F146" t="s">
        <v>3052</v>
      </c>
      <c r="G146" t="s">
        <v>18085</v>
      </c>
      <c r="H146" t="s">
        <v>1121</v>
      </c>
      <c r="I146" t="s">
        <v>1117</v>
      </c>
      <c r="J146" t="s">
        <v>3054</v>
      </c>
      <c r="K146" t="s">
        <v>3055</v>
      </c>
      <c r="L146" t="s">
        <v>36</v>
      </c>
      <c r="M146" t="s">
        <v>19177</v>
      </c>
      <c r="N146" t="s">
        <v>300</v>
      </c>
      <c r="O146" t="s">
        <v>16373</v>
      </c>
      <c r="P146" t="s">
        <v>12</v>
      </c>
    </row>
    <row r="147">
      <c r="A147">
        <f>HYPERLINK("http://bombeiros.sp.gov.br/hidrantes/03individual/3006.html","3006")</f>
      </c>
      <c r="B147" t="s">
        <v>114</v>
      </c>
      <c r="C147" t="s">
        <v>124</v>
      </c>
      <c r="D147" t="s">
        <v>124</v>
      </c>
      <c r="E147" t="s">
        <v>64</v>
      </c>
      <c r="F147" t="s">
        <v>3056</v>
      </c>
      <c r="G147" t="s">
        <v>18085</v>
      </c>
      <c r="H147" t="s">
        <v>1112</v>
      </c>
      <c r="I147" t="s">
        <v>1108</v>
      </c>
      <c r="J147" t="s">
        <v>3057</v>
      </c>
      <c r="K147" t="s">
        <v>3058</v>
      </c>
      <c r="L147" t="s">
        <v>36</v>
      </c>
      <c r="M147" t="s">
        <v>19177</v>
      </c>
      <c r="N147" t="s">
        <v>300</v>
      </c>
      <c r="O147" t="s">
        <v>16373</v>
      </c>
      <c r="P147" t="s">
        <v>12</v>
      </c>
    </row>
    <row r="148">
      <c r="A148">
        <f>HYPERLINK("http://bombeiros.sp.gov.br/hidrantes/03individual/4168.html","4168")</f>
      </c>
      <c r="B148" t="s">
        <v>114</v>
      </c>
      <c r="C148" t="s">
        <v>124</v>
      </c>
      <c r="D148" t="s">
        <v>124</v>
      </c>
      <c r="E148" t="s">
        <v>64</v>
      </c>
      <c r="F148" t="s">
        <v>3059</v>
      </c>
      <c r="G148" t="s">
        <v>18129</v>
      </c>
      <c r="H148" t="s">
        <v>1174</v>
      </c>
      <c r="I148" t="s">
        <v>1108</v>
      </c>
      <c r="J148" t="s">
        <v>3060</v>
      </c>
      <c r="K148" t="s">
        <v>3061</v>
      </c>
      <c r="L148" t="s">
        <v>36</v>
      </c>
      <c r="M148" t="s">
        <v>19177</v>
      </c>
      <c r="N148" t="s">
        <v>300</v>
      </c>
      <c r="O148" t="s">
        <v>16373</v>
      </c>
      <c r="P148" t="s">
        <v>12</v>
      </c>
    </row>
    <row r="149">
      <c r="A149">
        <f>HYPERLINK("http://bombeiros.sp.gov.br/hidrantes/03individual/4289.html","4289")</f>
      </c>
      <c r="B149" t="s">
        <v>114</v>
      </c>
      <c r="C149" t="s">
        <v>124</v>
      </c>
      <c r="D149" t="s">
        <v>124</v>
      </c>
      <c r="E149" t="s">
        <v>64</v>
      </c>
      <c r="F149" t="s">
        <v>3062</v>
      </c>
      <c r="G149" t="s">
        <v>18085</v>
      </c>
      <c r="H149" t="s">
        <v>1112</v>
      </c>
      <c r="I149" t="s">
        <v>1108</v>
      </c>
      <c r="J149" t="s">
        <v>3063</v>
      </c>
      <c r="K149" t="s">
        <v>3064</v>
      </c>
      <c r="L149" t="s">
        <v>36</v>
      </c>
      <c r="M149" t="s">
        <v>19177</v>
      </c>
      <c r="N149" t="s">
        <v>300</v>
      </c>
      <c r="O149" t="s">
        <v>16373</v>
      </c>
      <c r="P149" t="s">
        <v>12</v>
      </c>
    </row>
    <row r="150">
      <c r="A150">
        <f>HYPERLINK("http://bombeiros.sp.gov.br/hidrantes/03individual/3244.html","3244")</f>
      </c>
      <c r="B150" t="s">
        <v>114</v>
      </c>
      <c r="C150" t="s">
        <v>124</v>
      </c>
      <c r="D150" t="s">
        <v>124</v>
      </c>
      <c r="E150" t="s">
        <v>15</v>
      </c>
      <c r="F150" t="s">
        <v>3101</v>
      </c>
      <c r="G150" t="s">
        <v>18099</v>
      </c>
      <c r="H150" t="s">
        <v>1112</v>
      </c>
      <c r="I150" t="s">
        <v>1108</v>
      </c>
      <c r="J150" t="s">
        <v>3102</v>
      </c>
      <c r="K150" t="s">
        <v>3103</v>
      </c>
      <c r="L150" t="s">
        <v>36</v>
      </c>
      <c r="M150" t="s">
        <v>19177</v>
      </c>
      <c r="N150" t="s">
        <v>300</v>
      </c>
      <c r="O150" t="s">
        <v>16373</v>
      </c>
      <c r="P150" t="s">
        <v>12</v>
      </c>
    </row>
    <row r="151">
      <c r="A151">
        <f>HYPERLINK("http://bombeiros.sp.gov.br/hidrantes/03individual/45.html","45")</f>
      </c>
      <c r="B151" t="s">
        <v>114</v>
      </c>
      <c r="C151" t="s">
        <v>124</v>
      </c>
      <c r="D151" t="s">
        <v>3107</v>
      </c>
      <c r="E151" t="s">
        <v>64</v>
      </c>
      <c r="F151" t="s">
        <v>3108</v>
      </c>
      <c r="G151" t="s">
        <v>18042</v>
      </c>
      <c r="H151" t="s">
        <v>1174</v>
      </c>
      <c r="I151" t="s">
        <v>1108</v>
      </c>
      <c r="J151" t="s">
        <v>17408</v>
      </c>
      <c r="K151" t="s">
        <v>17409</v>
      </c>
      <c r="L151" t="s">
        <v>36</v>
      </c>
      <c r="M151" t="s">
        <v>19177</v>
      </c>
      <c r="N151" t="s">
        <v>337</v>
      </c>
      <c r="O151" t="s">
        <v>337</v>
      </c>
      <c r="P151" t="s">
        <v>12</v>
      </c>
    </row>
    <row r="152">
      <c r="A152">
        <f>HYPERLINK("http://bombeiros.sp.gov.br/hidrantes/03individual/46.html","46")</f>
      </c>
      <c r="B152" t="s">
        <v>114</v>
      </c>
      <c r="C152" t="s">
        <v>124</v>
      </c>
      <c r="D152" t="s">
        <v>3107</v>
      </c>
      <c r="E152" t="s">
        <v>64</v>
      </c>
      <c r="F152" t="s">
        <v>3111</v>
      </c>
      <c r="G152" t="s">
        <v>18042</v>
      </c>
      <c r="H152" t="s">
        <v>1107</v>
      </c>
      <c r="I152" t="s">
        <v>1108</v>
      </c>
      <c r="J152" t="s">
        <v>3112</v>
      </c>
      <c r="K152" t="s">
        <v>3113</v>
      </c>
      <c r="L152" t="s">
        <v>36</v>
      </c>
      <c r="M152" t="s">
        <v>19177</v>
      </c>
      <c r="N152" t="s">
        <v>337</v>
      </c>
      <c r="O152" t="s">
        <v>337</v>
      </c>
      <c r="P152" t="s">
        <v>12</v>
      </c>
    </row>
    <row r="153">
      <c r="A153">
        <f>HYPERLINK("http://bombeiros.sp.gov.br/hidrantes/03individual/829.html","829")</f>
      </c>
      <c r="B153" t="s">
        <v>114</v>
      </c>
      <c r="C153" t="s">
        <v>124</v>
      </c>
      <c r="D153" t="s">
        <v>3107</v>
      </c>
      <c r="E153" t="s">
        <v>64</v>
      </c>
      <c r="F153" t="s">
        <v>3117</v>
      </c>
      <c r="G153" t="s">
        <v>18042</v>
      </c>
      <c r="H153" t="s">
        <v>1174</v>
      </c>
      <c r="I153" t="s">
        <v>1108</v>
      </c>
      <c r="J153" t="s">
        <v>3118</v>
      </c>
      <c r="K153" t="s">
        <v>3119</v>
      </c>
      <c r="L153" t="s">
        <v>36</v>
      </c>
      <c r="M153" t="s">
        <v>19177</v>
      </c>
      <c r="N153" t="s">
        <v>337</v>
      </c>
      <c r="O153" t="s">
        <v>337</v>
      </c>
      <c r="P153" t="s">
        <v>12</v>
      </c>
    </row>
    <row r="154">
      <c r="A154">
        <f>HYPERLINK("http://bombeiros.sp.gov.br/hidrantes/03individual/835.html","835")</f>
      </c>
      <c r="B154" t="s">
        <v>114</v>
      </c>
      <c r="C154" t="s">
        <v>124</v>
      </c>
      <c r="D154" t="s">
        <v>3107</v>
      </c>
      <c r="E154" t="s">
        <v>64</v>
      </c>
      <c r="F154" t="s">
        <v>3120</v>
      </c>
      <c r="G154" t="s">
        <v>18042</v>
      </c>
      <c r="H154" t="s">
        <v>1107</v>
      </c>
      <c r="I154" t="s">
        <v>1108</v>
      </c>
      <c r="J154" t="s">
        <v>3121</v>
      </c>
      <c r="K154" t="s">
        <v>3122</v>
      </c>
      <c r="L154" t="s">
        <v>36</v>
      </c>
      <c r="M154" t="s">
        <v>19177</v>
      </c>
      <c r="N154" t="s">
        <v>337</v>
      </c>
      <c r="O154" t="s">
        <v>337</v>
      </c>
      <c r="P154" t="s">
        <v>12</v>
      </c>
    </row>
    <row r="155">
      <c r="A155">
        <f>HYPERLINK("http://bombeiros.sp.gov.br/hidrantes/03individual/1882.html","1882")</f>
      </c>
      <c r="B155" t="s">
        <v>114</v>
      </c>
      <c r="C155" t="s">
        <v>124</v>
      </c>
      <c r="D155" t="s">
        <v>3107</v>
      </c>
      <c r="E155" t="s">
        <v>64</v>
      </c>
      <c r="F155" t="s">
        <v>3126</v>
      </c>
      <c r="G155" t="s">
        <v>18066</v>
      </c>
      <c r="H155" t="s">
        <v>1121</v>
      </c>
      <c r="I155" t="s">
        <v>1117</v>
      </c>
      <c r="J155" t="s">
        <v>3127</v>
      </c>
      <c r="K155" t="s">
        <v>3128</v>
      </c>
      <c r="L155" t="s">
        <v>36</v>
      </c>
      <c r="M155" t="s">
        <v>19177</v>
      </c>
      <c r="N155" t="s">
        <v>300</v>
      </c>
      <c r="O155" t="s">
        <v>16373</v>
      </c>
      <c r="P155" t="s">
        <v>12</v>
      </c>
    </row>
    <row r="156">
      <c r="A156">
        <f>HYPERLINK("http://bombeiros.sp.gov.br/hidrantes/03individual/3242.html","3242")</f>
      </c>
      <c r="B156" t="s">
        <v>114</v>
      </c>
      <c r="C156" t="s">
        <v>124</v>
      </c>
      <c r="D156" t="s">
        <v>3107</v>
      </c>
      <c r="E156" t="s">
        <v>64</v>
      </c>
      <c r="F156" t="s">
        <v>3135</v>
      </c>
      <c r="G156" t="s">
        <v>18066</v>
      </c>
      <c r="H156" t="s">
        <v>1174</v>
      </c>
      <c r="I156" t="s">
        <v>1108</v>
      </c>
      <c r="J156" t="s">
        <v>3136</v>
      </c>
      <c r="K156" t="s">
        <v>3137</v>
      </c>
      <c r="L156" t="s">
        <v>36</v>
      </c>
      <c r="M156" t="s">
        <v>19177</v>
      </c>
      <c r="N156" t="s">
        <v>300</v>
      </c>
      <c r="O156" t="s">
        <v>16373</v>
      </c>
      <c r="P156" t="s">
        <v>12</v>
      </c>
    </row>
    <row r="157">
      <c r="A157">
        <f>HYPERLINK("http://bombeiros.sp.gov.br/hidrantes/03individual/3393.html","3393")</f>
      </c>
      <c r="B157" t="s">
        <v>114</v>
      </c>
      <c r="C157" t="s">
        <v>129</v>
      </c>
      <c r="D157" t="s">
        <v>3222</v>
      </c>
      <c r="E157" t="s">
        <v>64</v>
      </c>
      <c r="F157" t="s">
        <v>3226</v>
      </c>
      <c r="G157" t="s">
        <v>18085</v>
      </c>
      <c r="H157" t="s">
        <v>1112</v>
      </c>
      <c r="I157" t="s">
        <v>1108</v>
      </c>
      <c r="J157" t="s">
        <v>3227</v>
      </c>
      <c r="K157" t="s">
        <v>3228</v>
      </c>
      <c r="L157" t="s">
        <v>36</v>
      </c>
      <c r="M157" t="s">
        <v>19177</v>
      </c>
      <c r="N157" t="s">
        <v>309</v>
      </c>
      <c r="O157" t="s">
        <v>6029</v>
      </c>
      <c r="P157" t="s">
        <v>114</v>
      </c>
    </row>
    <row r="158">
      <c r="A158">
        <f>HYPERLINK("http://bombeiros.sp.gov.br/hidrantes/03individual/3429.html","3429")</f>
      </c>
      <c r="B158" t="s">
        <v>114</v>
      </c>
      <c r="C158" t="s">
        <v>129</v>
      </c>
      <c r="D158" t="s">
        <v>3222</v>
      </c>
      <c r="E158" t="s">
        <v>64</v>
      </c>
      <c r="F158" t="s">
        <v>3232</v>
      </c>
      <c r="G158" t="s">
        <v>18085</v>
      </c>
      <c r="H158" t="s">
        <v>1112</v>
      </c>
      <c r="I158" t="s">
        <v>1108</v>
      </c>
      <c r="J158" t="s">
        <v>3233</v>
      </c>
      <c r="K158" t="s">
        <v>3234</v>
      </c>
      <c r="L158" t="s">
        <v>36</v>
      </c>
      <c r="M158" t="s">
        <v>19177</v>
      </c>
      <c r="N158" t="s">
        <v>16374</v>
      </c>
      <c r="O158" t="s">
        <v>272</v>
      </c>
      <c r="P158" t="s">
        <v>114</v>
      </c>
    </row>
    <row r="159">
      <c r="A159">
        <f>HYPERLINK("http://bombeiros.sp.gov.br/hidrantes/03individual/3436.html","3436")</f>
      </c>
      <c r="B159" t="s">
        <v>114</v>
      </c>
      <c r="C159" t="s">
        <v>129</v>
      </c>
      <c r="D159" t="s">
        <v>3222</v>
      </c>
      <c r="E159" t="s">
        <v>64</v>
      </c>
      <c r="F159" t="s">
        <v>3238</v>
      </c>
      <c r="G159" t="s">
        <v>18085</v>
      </c>
      <c r="H159" t="s">
        <v>1112</v>
      </c>
      <c r="I159" t="s">
        <v>1108</v>
      </c>
      <c r="J159" t="s">
        <v>3239</v>
      </c>
      <c r="K159" t="s">
        <v>3240</v>
      </c>
      <c r="L159" t="s">
        <v>36</v>
      </c>
      <c r="M159" t="s">
        <v>19177</v>
      </c>
      <c r="N159" t="s">
        <v>309</v>
      </c>
      <c r="O159" t="s">
        <v>6029</v>
      </c>
      <c r="P159" t="s">
        <v>114</v>
      </c>
    </row>
    <row r="160">
      <c r="A160">
        <f>HYPERLINK("http://bombeiros.sp.gov.br/hidrantes/03individual/3464.html","3464")</f>
      </c>
      <c r="B160" t="s">
        <v>114</v>
      </c>
      <c r="C160" t="s">
        <v>129</v>
      </c>
      <c r="D160" t="s">
        <v>3222</v>
      </c>
      <c r="E160" t="s">
        <v>64</v>
      </c>
      <c r="F160" t="s">
        <v>3241</v>
      </c>
      <c r="G160" t="s">
        <v>18085</v>
      </c>
      <c r="H160" t="s">
        <v>1112</v>
      </c>
      <c r="I160" t="s">
        <v>1108</v>
      </c>
      <c r="J160" t="s">
        <v>3242</v>
      </c>
      <c r="K160" t="s">
        <v>3243</v>
      </c>
      <c r="L160" t="s">
        <v>36</v>
      </c>
      <c r="M160" t="s">
        <v>19177</v>
      </c>
      <c r="N160" t="s">
        <v>309</v>
      </c>
      <c r="O160" t="s">
        <v>6029</v>
      </c>
      <c r="P160" t="s">
        <v>114</v>
      </c>
    </row>
    <row r="161">
      <c r="A161">
        <f>HYPERLINK("http://bombeiros.sp.gov.br/hidrantes/03individual/3434.html","3434")</f>
      </c>
      <c r="B161" t="s">
        <v>114</v>
      </c>
      <c r="C161" t="s">
        <v>129</v>
      </c>
      <c r="D161" t="s">
        <v>3222</v>
      </c>
      <c r="E161" t="s">
        <v>15</v>
      </c>
      <c r="F161" t="s">
        <v>3259</v>
      </c>
      <c r="G161" t="s">
        <v>18085</v>
      </c>
      <c r="H161" t="s">
        <v>1112</v>
      </c>
      <c r="I161" t="s">
        <v>1108</v>
      </c>
      <c r="J161" t="s">
        <v>3260</v>
      </c>
      <c r="K161" t="s">
        <v>3261</v>
      </c>
      <c r="L161" t="s">
        <v>36</v>
      </c>
      <c r="M161" t="s">
        <v>19177</v>
      </c>
      <c r="N161" t="s">
        <v>309</v>
      </c>
      <c r="O161" t="s">
        <v>6029</v>
      </c>
      <c r="P161" t="s">
        <v>114</v>
      </c>
    </row>
    <row r="162">
      <c r="A162">
        <f>HYPERLINK("http://bombeiros.sp.gov.br/hidrantes/03individual/999.html","999")</f>
      </c>
      <c r="B162" t="s">
        <v>114</v>
      </c>
      <c r="C162" t="s">
        <v>144</v>
      </c>
      <c r="D162" t="s">
        <v>144</v>
      </c>
      <c r="E162" t="s">
        <v>64</v>
      </c>
      <c r="F162" t="s">
        <v>3286</v>
      </c>
      <c r="G162" t="s">
        <v>18098</v>
      </c>
      <c r="H162" t="s">
        <v>1112</v>
      </c>
      <c r="I162" t="s">
        <v>1108</v>
      </c>
      <c r="J162" t="s">
        <v>3287</v>
      </c>
      <c r="K162" t="s">
        <v>3288</v>
      </c>
      <c r="L162" t="s">
        <v>36</v>
      </c>
      <c r="M162" t="s">
        <v>19177</v>
      </c>
      <c r="N162" t="s">
        <v>300</v>
      </c>
      <c r="O162" t="s">
        <v>16373</v>
      </c>
      <c r="P162" t="s">
        <v>12</v>
      </c>
    </row>
    <row r="163">
      <c r="A163">
        <f>HYPERLINK("http://bombeiros.sp.gov.br/hidrantes/03individual/1577.html","1577")</f>
      </c>
      <c r="B163" t="s">
        <v>114</v>
      </c>
      <c r="C163" t="s">
        <v>144</v>
      </c>
      <c r="D163" t="s">
        <v>144</v>
      </c>
      <c r="E163" t="s">
        <v>64</v>
      </c>
      <c r="F163" t="s">
        <v>3292</v>
      </c>
      <c r="G163" t="s">
        <v>18066</v>
      </c>
      <c r="H163" t="s">
        <v>1112</v>
      </c>
      <c r="I163" t="s">
        <v>1108</v>
      </c>
      <c r="J163" t="s">
        <v>3293</v>
      </c>
      <c r="K163" t="s">
        <v>3294</v>
      </c>
      <c r="L163" t="s">
        <v>36</v>
      </c>
      <c r="M163" t="s">
        <v>19177</v>
      </c>
      <c r="N163" t="s">
        <v>300</v>
      </c>
      <c r="O163" t="s">
        <v>16373</v>
      </c>
      <c r="P163" t="s">
        <v>12</v>
      </c>
    </row>
    <row r="164">
      <c r="A164">
        <f>HYPERLINK("http://bombeiros.sp.gov.br/hidrantes/03individual/1514.html","1514")</f>
      </c>
      <c r="B164" t="s">
        <v>114</v>
      </c>
      <c r="C164" t="s">
        <v>144</v>
      </c>
      <c r="D164" t="s">
        <v>149</v>
      </c>
      <c r="E164" t="s">
        <v>64</v>
      </c>
      <c r="F164" t="s">
        <v>3307</v>
      </c>
      <c r="G164" t="s">
        <v>18067</v>
      </c>
      <c r="H164" t="s">
        <v>1121</v>
      </c>
      <c r="I164" t="s">
        <v>1117</v>
      </c>
      <c r="J164" t="s">
        <v>3308</v>
      </c>
      <c r="K164" t="s">
        <v>3309</v>
      </c>
      <c r="L164" t="s">
        <v>36</v>
      </c>
      <c r="M164" t="s">
        <v>19177</v>
      </c>
      <c r="N164" t="s">
        <v>300</v>
      </c>
      <c r="O164" t="s">
        <v>16373</v>
      </c>
      <c r="P164" t="s">
        <v>12</v>
      </c>
    </row>
    <row r="165">
      <c r="A165">
        <f>HYPERLINK("http://bombeiros.sp.gov.br/hidrantes/03individual/1517.html","1517")</f>
      </c>
      <c r="B165" t="s">
        <v>114</v>
      </c>
      <c r="C165" t="s">
        <v>144</v>
      </c>
      <c r="D165" t="s">
        <v>149</v>
      </c>
      <c r="E165" t="s">
        <v>64</v>
      </c>
      <c r="F165" t="s">
        <v>3310</v>
      </c>
      <c r="G165" t="s">
        <v>18098</v>
      </c>
      <c r="H165" t="s">
        <v>1112</v>
      </c>
      <c r="I165" t="s">
        <v>1108</v>
      </c>
      <c r="J165" t="s">
        <v>3311</v>
      </c>
      <c r="K165" t="s">
        <v>3312</v>
      </c>
      <c r="L165" t="s">
        <v>36</v>
      </c>
      <c r="M165" t="s">
        <v>19177</v>
      </c>
      <c r="N165" t="s">
        <v>300</v>
      </c>
      <c r="O165" t="s">
        <v>16373</v>
      </c>
      <c r="P165" t="s">
        <v>12</v>
      </c>
    </row>
    <row r="166">
      <c r="A166">
        <f>HYPERLINK("http://bombeiros.sp.gov.br/hidrantes/03individual/1559.html","1559")</f>
      </c>
      <c r="B166" t="s">
        <v>114</v>
      </c>
      <c r="C166" t="s">
        <v>144</v>
      </c>
      <c r="D166" t="s">
        <v>149</v>
      </c>
      <c r="E166" t="s">
        <v>64</v>
      </c>
      <c r="F166" t="s">
        <v>3313</v>
      </c>
      <c r="G166" t="s">
        <v>18098</v>
      </c>
      <c r="H166" t="s">
        <v>1112</v>
      </c>
      <c r="I166" t="s">
        <v>1108</v>
      </c>
      <c r="J166" t="s">
        <v>3314</v>
      </c>
      <c r="K166" t="s">
        <v>3315</v>
      </c>
      <c r="L166" t="s">
        <v>36</v>
      </c>
      <c r="M166" t="s">
        <v>19177</v>
      </c>
      <c r="N166" t="s">
        <v>97</v>
      </c>
      <c r="O166" t="s">
        <v>937</v>
      </c>
      <c r="P166" t="s">
        <v>12</v>
      </c>
    </row>
    <row r="167">
      <c r="A167">
        <f>HYPERLINK("http://bombeiros.sp.gov.br/hidrantes/03individual/2997.html","2997")</f>
      </c>
      <c r="B167" t="s">
        <v>114</v>
      </c>
      <c r="C167" t="s">
        <v>144</v>
      </c>
      <c r="D167" t="s">
        <v>149</v>
      </c>
      <c r="E167" t="s">
        <v>64</v>
      </c>
      <c r="F167" t="s">
        <v>3316</v>
      </c>
      <c r="G167" t="s">
        <v>18046</v>
      </c>
      <c r="H167" t="s">
        <v>1112</v>
      </c>
      <c r="I167" t="s">
        <v>1108</v>
      </c>
      <c r="J167" t="s">
        <v>3317</v>
      </c>
      <c r="K167" t="s">
        <v>3318</v>
      </c>
      <c r="L167" t="s">
        <v>36</v>
      </c>
      <c r="M167" t="s">
        <v>19177</v>
      </c>
      <c r="N167" t="s">
        <v>300</v>
      </c>
      <c r="O167" t="s">
        <v>16373</v>
      </c>
      <c r="P167" t="s">
        <v>12</v>
      </c>
    </row>
    <row r="168">
      <c r="A168">
        <f>HYPERLINK("http://bombeiros.sp.gov.br/hidrantes/03individual/2962.html","2962")</f>
      </c>
      <c r="B168" t="s">
        <v>114</v>
      </c>
      <c r="C168" t="s">
        <v>144</v>
      </c>
      <c r="D168" t="s">
        <v>149</v>
      </c>
      <c r="E168" t="s">
        <v>15</v>
      </c>
      <c r="F168" t="s">
        <v>161</v>
      </c>
      <c r="G168" t="s">
        <v>18046</v>
      </c>
      <c r="H168" t="s">
        <v>1107</v>
      </c>
      <c r="I168" t="s">
        <v>1108</v>
      </c>
      <c r="J168" t="s">
        <v>163</v>
      </c>
      <c r="K168" t="s">
        <v>164</v>
      </c>
      <c r="L168" t="s">
        <v>36</v>
      </c>
      <c r="M168" t="s">
        <v>19177</v>
      </c>
      <c r="N168" t="s">
        <v>300</v>
      </c>
      <c r="O168" t="s">
        <v>16373</v>
      </c>
      <c r="P168" t="s">
        <v>12</v>
      </c>
    </row>
    <row r="169">
      <c r="A169">
        <f>HYPERLINK("http://bombeiros.sp.gov.br/hidrantes/03individual/3313.html","3313")</f>
      </c>
      <c r="B169" t="s">
        <v>114</v>
      </c>
      <c r="C169" t="s">
        <v>144</v>
      </c>
      <c r="D169" t="s">
        <v>149</v>
      </c>
      <c r="E169" t="s">
        <v>15</v>
      </c>
      <c r="F169" t="s">
        <v>3382</v>
      </c>
      <c r="G169" t="s">
        <v>18067</v>
      </c>
      <c r="H169" t="s">
        <v>1174</v>
      </c>
      <c r="I169" t="s">
        <v>1117</v>
      </c>
      <c r="J169" t="s">
        <v>3383</v>
      </c>
      <c r="K169" t="s">
        <v>3384</v>
      </c>
      <c r="L169" t="s">
        <v>36</v>
      </c>
      <c r="M169" t="s">
        <v>19177</v>
      </c>
      <c r="N169" t="s">
        <v>300</v>
      </c>
      <c r="O169" t="s">
        <v>16373</v>
      </c>
      <c r="P169" t="s">
        <v>12</v>
      </c>
    </row>
    <row r="170">
      <c r="A170">
        <f>HYPERLINK("http://bombeiros.sp.gov.br/hidrantes/03individual/1335.html","1335")</f>
      </c>
      <c r="B170" t="s">
        <v>114</v>
      </c>
      <c r="C170" t="s">
        <v>144</v>
      </c>
      <c r="D170" t="s">
        <v>3467</v>
      </c>
      <c r="E170" t="s">
        <v>64</v>
      </c>
      <c r="F170" t="s">
        <v>3468</v>
      </c>
      <c r="G170" t="s">
        <v>18046</v>
      </c>
      <c r="H170" t="s">
        <v>1107</v>
      </c>
      <c r="I170" t="s">
        <v>1108</v>
      </c>
      <c r="J170" t="s">
        <v>3469</v>
      </c>
      <c r="K170" t="s">
        <v>3470</v>
      </c>
      <c r="L170" t="s">
        <v>36</v>
      </c>
      <c r="M170" t="s">
        <v>19177</v>
      </c>
      <c r="N170" t="s">
        <v>300</v>
      </c>
      <c r="O170" t="s">
        <v>16373</v>
      </c>
      <c r="P170" t="s">
        <v>12</v>
      </c>
    </row>
    <row r="171">
      <c r="A171">
        <f>HYPERLINK("http://bombeiros.sp.gov.br/hidrantes/03individual/3308.html","3308")</f>
      </c>
      <c r="B171" t="s">
        <v>114</v>
      </c>
      <c r="C171" t="s">
        <v>144</v>
      </c>
      <c r="D171" t="s">
        <v>3467</v>
      </c>
      <c r="E171" t="s">
        <v>64</v>
      </c>
      <c r="F171" t="s">
        <v>3471</v>
      </c>
      <c r="G171" t="s">
        <v>18067</v>
      </c>
      <c r="H171" t="s">
        <v>1121</v>
      </c>
      <c r="I171" t="s">
        <v>1117</v>
      </c>
      <c r="J171" t="s">
        <v>3472</v>
      </c>
      <c r="K171" t="s">
        <v>3473</v>
      </c>
      <c r="L171" t="s">
        <v>36</v>
      </c>
      <c r="M171" t="s">
        <v>19177</v>
      </c>
      <c r="N171" t="s">
        <v>300</v>
      </c>
      <c r="O171" t="s">
        <v>16373</v>
      </c>
      <c r="P171" t="s">
        <v>12</v>
      </c>
    </row>
    <row r="172">
      <c r="A172">
        <f>HYPERLINK("http://bombeiros.sp.gov.br/hidrantes/03individual/3305.html","3305")</f>
      </c>
      <c r="B172" t="s">
        <v>114</v>
      </c>
      <c r="C172" t="s">
        <v>144</v>
      </c>
      <c r="D172" t="s">
        <v>3467</v>
      </c>
      <c r="E172" t="s">
        <v>15</v>
      </c>
      <c r="F172" t="s">
        <v>3483</v>
      </c>
      <c r="G172" t="s">
        <v>18042</v>
      </c>
      <c r="H172" t="s">
        <v>1107</v>
      </c>
      <c r="I172" t="s">
        <v>1117</v>
      </c>
      <c r="J172" t="s">
        <v>3484</v>
      </c>
      <c r="K172" t="s">
        <v>3485</v>
      </c>
      <c r="L172" t="s">
        <v>36</v>
      </c>
      <c r="M172" t="s">
        <v>19177</v>
      </c>
      <c r="N172" t="s">
        <v>300</v>
      </c>
      <c r="O172" t="s">
        <v>16373</v>
      </c>
      <c r="P172" t="s">
        <v>12</v>
      </c>
    </row>
    <row r="173">
      <c r="A173">
        <f>HYPERLINK("http://bombeiros.sp.gov.br/hidrantes/03individual/128.html","128")</f>
      </c>
      <c r="B173" t="s">
        <v>114</v>
      </c>
      <c r="C173" t="s">
        <v>172</v>
      </c>
      <c r="D173" t="s">
        <v>172</v>
      </c>
      <c r="E173" t="s">
        <v>64</v>
      </c>
      <c r="F173" t="s">
        <v>3486</v>
      </c>
      <c r="G173" t="s">
        <v>18157</v>
      </c>
      <c r="H173" t="s">
        <v>1121</v>
      </c>
      <c r="I173" t="s">
        <v>1117</v>
      </c>
      <c r="J173" t="s">
        <v>3488</v>
      </c>
      <c r="K173" t="s">
        <v>3489</v>
      </c>
      <c r="L173" t="s">
        <v>36</v>
      </c>
      <c r="M173" t="s">
        <v>19177</v>
      </c>
      <c r="N173" t="s">
        <v>97</v>
      </c>
      <c r="O173" t="s">
        <v>937</v>
      </c>
      <c r="P173" t="s">
        <v>12</v>
      </c>
    </row>
    <row r="174">
      <c r="A174">
        <f>HYPERLINK("http://bombeiros.sp.gov.br/hidrantes/03individual/177.html","177")</f>
      </c>
      <c r="B174" t="s">
        <v>114</v>
      </c>
      <c r="C174" t="s">
        <v>172</v>
      </c>
      <c r="D174" t="s">
        <v>172</v>
      </c>
      <c r="E174" t="s">
        <v>64</v>
      </c>
      <c r="F174" t="s">
        <v>3490</v>
      </c>
      <c r="G174" t="s">
        <v>18145</v>
      </c>
      <c r="H174"/>
      <c r="I174" t="s">
        <v>18</v>
      </c>
      <c r="J174" t="s">
        <v>3491</v>
      </c>
      <c r="K174" t="s">
        <v>3492</v>
      </c>
      <c r="L174" t="s">
        <v>36</v>
      </c>
      <c r="M174" t="s">
        <v>19177</v>
      </c>
      <c r="N174" t="s">
        <v>97</v>
      </c>
      <c r="O174" t="s">
        <v>937</v>
      </c>
      <c r="P174" t="s">
        <v>12</v>
      </c>
    </row>
    <row r="175">
      <c r="A175">
        <f>HYPERLINK("http://bombeiros.sp.gov.br/hidrantes/03individual/6783.html","6783")</f>
      </c>
      <c r="B175" t="s">
        <v>114</v>
      </c>
      <c r="C175" t="s">
        <v>172</v>
      </c>
      <c r="D175" t="s">
        <v>172</v>
      </c>
      <c r="E175" t="s">
        <v>15</v>
      </c>
      <c r="F175" t="s">
        <v>3550</v>
      </c>
      <c r="G175" t="s">
        <v>18081</v>
      </c>
      <c r="H175" t="s">
        <v>1121</v>
      </c>
      <c r="I175" t="s">
        <v>1117</v>
      </c>
      <c r="J175" t="s">
        <v>3551</v>
      </c>
      <c r="K175" t="s">
        <v>3552</v>
      </c>
      <c r="L175" t="s">
        <v>36</v>
      </c>
      <c r="M175" t="s">
        <v>19177</v>
      </c>
      <c r="N175" t="s">
        <v>97</v>
      </c>
      <c r="O175" t="s">
        <v>937</v>
      </c>
      <c r="P175" t="s">
        <v>12</v>
      </c>
    </row>
    <row r="176">
      <c r="A176">
        <f>HYPERLINK("http://bombeiros.sp.gov.br/hidrantes/03individual/201.html","201")</f>
      </c>
      <c r="B176" t="s">
        <v>114</v>
      </c>
      <c r="C176" t="s">
        <v>172</v>
      </c>
      <c r="D176" t="s">
        <v>173</v>
      </c>
      <c r="E176" t="s">
        <v>64</v>
      </c>
      <c r="F176" t="s">
        <v>3559</v>
      </c>
      <c r="G176" t="s">
        <v>18151</v>
      </c>
      <c r="H176" t="s">
        <v>1121</v>
      </c>
      <c r="I176" t="s">
        <v>1117</v>
      </c>
      <c r="J176" t="s">
        <v>3560</v>
      </c>
      <c r="K176" t="s">
        <v>3561</v>
      </c>
      <c r="L176" t="s">
        <v>36</v>
      </c>
      <c r="M176" t="s">
        <v>19177</v>
      </c>
      <c r="N176" t="s">
        <v>97</v>
      </c>
      <c r="O176" t="s">
        <v>937</v>
      </c>
      <c r="P176" t="s">
        <v>12</v>
      </c>
    </row>
    <row r="177">
      <c r="A177">
        <f>HYPERLINK("http://bombeiros.sp.gov.br/hidrantes/03individual/256.html","256")</f>
      </c>
      <c r="B177" t="s">
        <v>114</v>
      </c>
      <c r="C177" t="s">
        <v>172</v>
      </c>
      <c r="D177" t="s">
        <v>173</v>
      </c>
      <c r="E177" t="s">
        <v>15</v>
      </c>
      <c r="F177" t="s">
        <v>3578</v>
      </c>
      <c r="G177" t="s">
        <v>18183</v>
      </c>
      <c r="H177"/>
      <c r="I177" t="s">
        <v>18</v>
      </c>
      <c r="J177" t="s">
        <v>3579</v>
      </c>
      <c r="K177" t="s">
        <v>3580</v>
      </c>
      <c r="L177" t="s">
        <v>36</v>
      </c>
      <c r="M177" t="s">
        <v>19177</v>
      </c>
      <c r="N177" t="s">
        <v>97</v>
      </c>
      <c r="O177" t="s">
        <v>937</v>
      </c>
      <c r="P177" t="s">
        <v>12</v>
      </c>
    </row>
    <row r="178">
      <c r="A178">
        <f>HYPERLINK("http://bombeiros.sp.gov.br/hidrantes/03individual/2085.html","2085")</f>
      </c>
      <c r="B178" t="s">
        <v>114</v>
      </c>
      <c r="C178" t="s">
        <v>172</v>
      </c>
      <c r="D178" t="s">
        <v>182</v>
      </c>
      <c r="E178" t="s">
        <v>64</v>
      </c>
      <c r="F178" t="s">
        <v>3593</v>
      </c>
      <c r="G178" t="s">
        <v>18063</v>
      </c>
      <c r="H178" t="s">
        <v>1121</v>
      </c>
      <c r="I178" t="s">
        <v>1117</v>
      </c>
      <c r="J178" t="s">
        <v>3594</v>
      </c>
      <c r="K178" t="s">
        <v>3595</v>
      </c>
      <c r="L178" t="s">
        <v>36</v>
      </c>
      <c r="M178" t="s">
        <v>19177</v>
      </c>
      <c r="N178" t="s">
        <v>97</v>
      </c>
      <c r="O178" t="s">
        <v>937</v>
      </c>
      <c r="P178" t="s">
        <v>12</v>
      </c>
    </row>
    <row r="179">
      <c r="A179">
        <f>HYPERLINK("http://bombeiros.sp.gov.br/hidrantes/03individual/2154.html","2154")</f>
      </c>
      <c r="B179" t="s">
        <v>114</v>
      </c>
      <c r="C179" t="s">
        <v>172</v>
      </c>
      <c r="D179" t="s">
        <v>182</v>
      </c>
      <c r="E179" t="s">
        <v>64</v>
      </c>
      <c r="F179" t="s">
        <v>3596</v>
      </c>
      <c r="G179" t="s">
        <v>17925</v>
      </c>
      <c r="H179" t="s">
        <v>1121</v>
      </c>
      <c r="I179" t="s">
        <v>1117</v>
      </c>
      <c r="J179" t="s">
        <v>3597</v>
      </c>
      <c r="K179" t="s">
        <v>3598</v>
      </c>
      <c r="L179" t="s">
        <v>36</v>
      </c>
      <c r="M179" t="s">
        <v>19177</v>
      </c>
      <c r="N179" t="s">
        <v>97</v>
      </c>
      <c r="O179" t="s">
        <v>937</v>
      </c>
      <c r="P179" t="s">
        <v>12</v>
      </c>
    </row>
    <row r="180">
      <c r="A180">
        <f>HYPERLINK("http://bombeiros.sp.gov.br/hidrantes/03individual/124.html","124")</f>
      </c>
      <c r="B180" t="s">
        <v>114</v>
      </c>
      <c r="C180" t="s">
        <v>172</v>
      </c>
      <c r="D180" t="s">
        <v>182</v>
      </c>
      <c r="E180" t="s">
        <v>15</v>
      </c>
      <c r="F180" t="s">
        <v>3611</v>
      </c>
      <c r="G180" t="s">
        <v>18045</v>
      </c>
      <c r="H180" t="s">
        <v>1121</v>
      </c>
      <c r="I180" t="s">
        <v>1117</v>
      </c>
      <c r="J180" t="s">
        <v>3612</v>
      </c>
      <c r="K180" t="s">
        <v>3613</v>
      </c>
      <c r="L180" t="s">
        <v>36</v>
      </c>
      <c r="M180" t="s">
        <v>19177</v>
      </c>
      <c r="N180" t="s">
        <v>97</v>
      </c>
      <c r="O180" t="s">
        <v>937</v>
      </c>
      <c r="P180" t="s">
        <v>12</v>
      </c>
    </row>
    <row r="181">
      <c r="A181">
        <f>HYPERLINK("http://bombeiros.sp.gov.br/hidrantes/03individual/705.html","705")</f>
      </c>
      <c r="B181" t="s">
        <v>114</v>
      </c>
      <c r="C181" t="s">
        <v>172</v>
      </c>
      <c r="D181" t="s">
        <v>186</v>
      </c>
      <c r="E181" t="s">
        <v>64</v>
      </c>
      <c r="F181" t="s">
        <v>3633</v>
      </c>
      <c r="G181" t="s">
        <v>18097</v>
      </c>
      <c r="H181" t="s">
        <v>1107</v>
      </c>
      <c r="I181" t="s">
        <v>1108</v>
      </c>
      <c r="J181" t="s">
        <v>3634</v>
      </c>
      <c r="K181" t="s">
        <v>3635</v>
      </c>
      <c r="L181" t="s">
        <v>36</v>
      </c>
      <c r="M181" t="s">
        <v>19177</v>
      </c>
      <c r="N181" t="s">
        <v>97</v>
      </c>
      <c r="O181" t="s">
        <v>937</v>
      </c>
      <c r="P181" t="s">
        <v>12</v>
      </c>
    </row>
    <row r="182">
      <c r="A182">
        <f>HYPERLINK("http://bombeiros.sp.gov.br/hidrantes/03individual/706.html","706")</f>
      </c>
      <c r="B182" t="s">
        <v>114</v>
      </c>
      <c r="C182" t="s">
        <v>172</v>
      </c>
      <c r="D182" t="s">
        <v>186</v>
      </c>
      <c r="E182" t="s">
        <v>15</v>
      </c>
      <c r="F182" t="s">
        <v>3645</v>
      </c>
      <c r="G182" t="s">
        <v>18097</v>
      </c>
      <c r="H182" t="s">
        <v>1107</v>
      </c>
      <c r="I182" t="s">
        <v>1108</v>
      </c>
      <c r="J182" t="s">
        <v>3646</v>
      </c>
      <c r="K182" t="s">
        <v>3647</v>
      </c>
      <c r="L182" t="s">
        <v>36</v>
      </c>
      <c r="M182" t="s">
        <v>19177</v>
      </c>
      <c r="N182" t="s">
        <v>97</v>
      </c>
      <c r="O182" t="s">
        <v>937</v>
      </c>
      <c r="P182" t="s">
        <v>12</v>
      </c>
    </row>
    <row r="183">
      <c r="A183">
        <f>HYPERLINK("http://bombeiros.sp.gov.br/hidrantes/03individual/898.html","898")</f>
      </c>
      <c r="B183" t="s">
        <v>114</v>
      </c>
      <c r="C183" t="s">
        <v>172</v>
      </c>
      <c r="D183" t="s">
        <v>186</v>
      </c>
      <c r="E183" t="s">
        <v>15</v>
      </c>
      <c r="F183" t="s">
        <v>3648</v>
      </c>
      <c r="G183" t="s">
        <v>18048</v>
      </c>
      <c r="H183" t="s">
        <v>1174</v>
      </c>
      <c r="I183" t="s">
        <v>1108</v>
      </c>
      <c r="J183" t="s">
        <v>3649</v>
      </c>
      <c r="K183" t="s">
        <v>3650</v>
      </c>
      <c r="L183" t="s">
        <v>36</v>
      </c>
      <c r="M183" t="s">
        <v>19177</v>
      </c>
      <c r="N183" t="s">
        <v>97</v>
      </c>
      <c r="O183" t="s">
        <v>937</v>
      </c>
      <c r="P183" t="s">
        <v>12</v>
      </c>
    </row>
    <row r="184">
      <c r="A184">
        <f>HYPERLINK("http://bombeiros.sp.gov.br/hidrantes/03individual/816.html","816")</f>
      </c>
      <c r="B184" t="s">
        <v>114</v>
      </c>
      <c r="C184" t="s">
        <v>172</v>
      </c>
      <c r="D184" t="s">
        <v>191</v>
      </c>
      <c r="E184" t="s">
        <v>15</v>
      </c>
      <c r="F184" t="s">
        <v>3693</v>
      </c>
      <c r="G184" t="s">
        <v>18183</v>
      </c>
      <c r="H184" t="s">
        <v>1174</v>
      </c>
      <c r="I184" t="s">
        <v>1108</v>
      </c>
      <c r="J184" t="s">
        <v>3694</v>
      </c>
      <c r="K184" t="s">
        <v>3695</v>
      </c>
      <c r="L184" t="s">
        <v>36</v>
      </c>
      <c r="M184" t="s">
        <v>19177</v>
      </c>
      <c r="N184" t="s">
        <v>97</v>
      </c>
      <c r="O184" t="s">
        <v>937</v>
      </c>
      <c r="P184" t="s">
        <v>12</v>
      </c>
    </row>
    <row r="185">
      <c r="A185">
        <f>HYPERLINK("http://bombeiros.sp.gov.br/hidrantes/03individual/919.html","919")</f>
      </c>
      <c r="B185" t="s">
        <v>114</v>
      </c>
      <c r="C185" t="s">
        <v>195</v>
      </c>
      <c r="D185" t="s">
        <v>196</v>
      </c>
      <c r="E185" t="s">
        <v>64</v>
      </c>
      <c r="F185" t="s">
        <v>3714</v>
      </c>
      <c r="G185" t="s">
        <v>18084</v>
      </c>
      <c r="H185" t="s">
        <v>1112</v>
      </c>
      <c r="I185" t="s">
        <v>1108</v>
      </c>
      <c r="J185" t="s">
        <v>3715</v>
      </c>
      <c r="K185" t="s">
        <v>3716</v>
      </c>
      <c r="L185" t="s">
        <v>36</v>
      </c>
      <c r="M185" t="s">
        <v>19177</v>
      </c>
      <c r="N185" t="s">
        <v>309</v>
      </c>
      <c r="O185" t="s">
        <v>6029</v>
      </c>
      <c r="P185" t="s">
        <v>114</v>
      </c>
    </row>
    <row r="186">
      <c r="A186">
        <f>HYPERLINK("http://bombeiros.sp.gov.br/hidrantes/03individual/935.html","935")</f>
      </c>
      <c r="B186" t="s">
        <v>114</v>
      </c>
      <c r="C186" t="s">
        <v>195</v>
      </c>
      <c r="D186" t="s">
        <v>196</v>
      </c>
      <c r="E186" t="s">
        <v>64</v>
      </c>
      <c r="F186" t="s">
        <v>3717</v>
      </c>
      <c r="G186" t="s">
        <v>18084</v>
      </c>
      <c r="H186" t="s">
        <v>1121</v>
      </c>
      <c r="I186" t="s">
        <v>1117</v>
      </c>
      <c r="J186" t="s">
        <v>3718</v>
      </c>
      <c r="K186" t="s">
        <v>3719</v>
      </c>
      <c r="L186" t="s">
        <v>36</v>
      </c>
      <c r="M186" t="s">
        <v>19177</v>
      </c>
      <c r="N186" t="s">
        <v>309</v>
      </c>
      <c r="O186" t="s">
        <v>6029</v>
      </c>
      <c r="P186" t="s">
        <v>114</v>
      </c>
    </row>
    <row r="187">
      <c r="A187">
        <f>HYPERLINK("http://bombeiros.sp.gov.br/hidrantes/03individual/945.html","945")</f>
      </c>
      <c r="B187" t="s">
        <v>114</v>
      </c>
      <c r="C187" t="s">
        <v>195</v>
      </c>
      <c r="D187" t="s">
        <v>196</v>
      </c>
      <c r="E187" t="s">
        <v>64</v>
      </c>
      <c r="F187" t="s">
        <v>3720</v>
      </c>
      <c r="G187" t="s">
        <v>18084</v>
      </c>
      <c r="H187" t="s">
        <v>1112</v>
      </c>
      <c r="I187" t="s">
        <v>1108</v>
      </c>
      <c r="J187" t="s">
        <v>3721</v>
      </c>
      <c r="K187" t="s">
        <v>3722</v>
      </c>
      <c r="L187" t="s">
        <v>36</v>
      </c>
      <c r="M187" t="s">
        <v>19177</v>
      </c>
      <c r="N187" t="s">
        <v>309</v>
      </c>
      <c r="O187" t="s">
        <v>6029</v>
      </c>
      <c r="P187" t="s">
        <v>114</v>
      </c>
    </row>
    <row r="188">
      <c r="A188">
        <f>HYPERLINK("http://bombeiros.sp.gov.br/hidrantes/03individual/946.html","946")</f>
      </c>
      <c r="B188" t="s">
        <v>114</v>
      </c>
      <c r="C188" t="s">
        <v>195</v>
      </c>
      <c r="D188" t="s">
        <v>196</v>
      </c>
      <c r="E188" t="s">
        <v>64</v>
      </c>
      <c r="F188" t="s">
        <v>3723</v>
      </c>
      <c r="G188" t="s">
        <v>18067</v>
      </c>
      <c r="H188" t="s">
        <v>1112</v>
      </c>
      <c r="I188" t="s">
        <v>1108</v>
      </c>
      <c r="J188" t="s">
        <v>3724</v>
      </c>
      <c r="K188" t="s">
        <v>3725</v>
      </c>
      <c r="L188" t="s">
        <v>36</v>
      </c>
      <c r="M188" t="s">
        <v>19177</v>
      </c>
      <c r="N188" t="s">
        <v>309</v>
      </c>
      <c r="O188" t="s">
        <v>6029</v>
      </c>
      <c r="P188" t="s">
        <v>114</v>
      </c>
    </row>
    <row r="189">
      <c r="A189">
        <f>HYPERLINK("http://bombeiros.sp.gov.br/hidrantes/03individual/1381.html","1381")</f>
      </c>
      <c r="B189" t="s">
        <v>114</v>
      </c>
      <c r="C189" t="s">
        <v>195</v>
      </c>
      <c r="D189" t="s">
        <v>196</v>
      </c>
      <c r="E189" t="s">
        <v>64</v>
      </c>
      <c r="F189" t="s">
        <v>3726</v>
      </c>
      <c r="G189" t="s">
        <v>18065</v>
      </c>
      <c r="H189" t="s">
        <v>1107</v>
      </c>
      <c r="I189" t="s">
        <v>1108</v>
      </c>
      <c r="J189" t="s">
        <v>3727</v>
      </c>
      <c r="K189" t="s">
        <v>3728</v>
      </c>
      <c r="L189" t="s">
        <v>36</v>
      </c>
      <c r="M189" t="s">
        <v>19177</v>
      </c>
      <c r="N189" t="s">
        <v>309</v>
      </c>
      <c r="O189" t="s">
        <v>6029</v>
      </c>
      <c r="P189" t="s">
        <v>114</v>
      </c>
    </row>
    <row r="190">
      <c r="A190">
        <f>HYPERLINK("http://bombeiros.sp.gov.br/hidrantes/03individual/921.html","921")</f>
      </c>
      <c r="B190" t="s">
        <v>114</v>
      </c>
      <c r="C190" t="s">
        <v>195</v>
      </c>
      <c r="D190" t="s">
        <v>206</v>
      </c>
      <c r="E190" t="s">
        <v>64</v>
      </c>
      <c r="F190" t="s">
        <v>3768</v>
      </c>
      <c r="G190" t="s">
        <v>18143</v>
      </c>
      <c r="H190" t="s">
        <v>1107</v>
      </c>
      <c r="I190" t="s">
        <v>1108</v>
      </c>
      <c r="J190" t="s">
        <v>3769</v>
      </c>
      <c r="K190" t="s">
        <v>3770</v>
      </c>
      <c r="L190" t="s">
        <v>36</v>
      </c>
      <c r="M190" t="s">
        <v>19177</v>
      </c>
      <c r="N190" t="s">
        <v>309</v>
      </c>
      <c r="O190" t="s">
        <v>6029</v>
      </c>
      <c r="P190" t="s">
        <v>114</v>
      </c>
    </row>
    <row r="191">
      <c r="A191">
        <f>HYPERLINK("http://bombeiros.sp.gov.br/hidrantes/03individual/925.html","925")</f>
      </c>
      <c r="B191" t="s">
        <v>114</v>
      </c>
      <c r="C191" t="s">
        <v>195</v>
      </c>
      <c r="D191" t="s">
        <v>206</v>
      </c>
      <c r="E191" t="s">
        <v>64</v>
      </c>
      <c r="F191" t="s">
        <v>3771</v>
      </c>
      <c r="G191" t="s">
        <v>18143</v>
      </c>
      <c r="H191" t="s">
        <v>1112</v>
      </c>
      <c r="I191" t="s">
        <v>1108</v>
      </c>
      <c r="J191" t="s">
        <v>3772</v>
      </c>
      <c r="K191" t="s">
        <v>3773</v>
      </c>
      <c r="L191" t="s">
        <v>36</v>
      </c>
      <c r="M191" t="s">
        <v>19177</v>
      </c>
      <c r="N191" t="s">
        <v>309</v>
      </c>
      <c r="O191" t="s">
        <v>6029</v>
      </c>
      <c r="P191" t="s">
        <v>114</v>
      </c>
    </row>
    <row r="192">
      <c r="A192">
        <f>HYPERLINK("http://bombeiros.sp.gov.br/hidrantes/03individual/950.html","950")</f>
      </c>
      <c r="B192" t="s">
        <v>114</v>
      </c>
      <c r="C192" t="s">
        <v>195</v>
      </c>
      <c r="D192" t="s">
        <v>206</v>
      </c>
      <c r="E192" t="s">
        <v>64</v>
      </c>
      <c r="F192" t="s">
        <v>3774</v>
      </c>
      <c r="G192" t="s">
        <v>18143</v>
      </c>
      <c r="H192" t="s">
        <v>1112</v>
      </c>
      <c r="I192" t="s">
        <v>1108</v>
      </c>
      <c r="J192" t="s">
        <v>3775</v>
      </c>
      <c r="K192" t="s">
        <v>3776</v>
      </c>
      <c r="L192" t="s">
        <v>36</v>
      </c>
      <c r="M192" t="s">
        <v>19177</v>
      </c>
      <c r="N192" t="s">
        <v>309</v>
      </c>
      <c r="O192" t="s">
        <v>6029</v>
      </c>
      <c r="P192" t="s">
        <v>114</v>
      </c>
    </row>
    <row r="193">
      <c r="A193">
        <f>HYPERLINK("http://bombeiros.sp.gov.br/hidrantes/03individual/915.html","915")</f>
      </c>
      <c r="B193" t="s">
        <v>114</v>
      </c>
      <c r="C193" t="s">
        <v>195</v>
      </c>
      <c r="D193" t="s">
        <v>3787</v>
      </c>
      <c r="E193" t="s">
        <v>64</v>
      </c>
      <c r="F193" t="s">
        <v>3791</v>
      </c>
      <c r="G193" t="s">
        <v>18055</v>
      </c>
      <c r="H193" t="s">
        <v>1174</v>
      </c>
      <c r="I193" t="s">
        <v>1108</v>
      </c>
      <c r="J193" t="s">
        <v>3792</v>
      </c>
      <c r="K193" t="s">
        <v>3793</v>
      </c>
      <c r="L193" t="s">
        <v>36</v>
      </c>
      <c r="M193" t="s">
        <v>19177</v>
      </c>
      <c r="N193" t="s">
        <v>309</v>
      </c>
      <c r="O193" t="s">
        <v>6029</v>
      </c>
      <c r="P193" t="s">
        <v>114</v>
      </c>
    </row>
    <row r="194">
      <c r="A194">
        <f>HYPERLINK("http://bombeiros.sp.gov.br/hidrantes/03individual/3017.html","3017")</f>
      </c>
      <c r="B194" t="s">
        <v>114</v>
      </c>
      <c r="C194" t="s">
        <v>210</v>
      </c>
      <c r="D194" t="s">
        <v>124</v>
      </c>
      <c r="E194" t="s">
        <v>64</v>
      </c>
      <c r="F194" t="s">
        <v>3824</v>
      </c>
      <c r="G194" t="s">
        <v>18129</v>
      </c>
      <c r="H194" t="s">
        <v>1107</v>
      </c>
      <c r="I194" t="s">
        <v>1108</v>
      </c>
      <c r="J194" t="s">
        <v>3825</v>
      </c>
      <c r="K194" t="s">
        <v>3826</v>
      </c>
      <c r="L194" t="s">
        <v>36</v>
      </c>
      <c r="M194" t="s">
        <v>19177</v>
      </c>
      <c r="N194" t="s">
        <v>300</v>
      </c>
      <c r="O194" t="s">
        <v>16373</v>
      </c>
      <c r="P194" t="s">
        <v>12</v>
      </c>
    </row>
    <row r="195">
      <c r="A195">
        <f>HYPERLINK("http://bombeiros.sp.gov.br/hidrantes/03individual/1030.html","1030")</f>
      </c>
      <c r="B195" t="s">
        <v>114</v>
      </c>
      <c r="C195" t="s">
        <v>210</v>
      </c>
      <c r="D195" t="s">
        <v>211</v>
      </c>
      <c r="E195" t="s">
        <v>64</v>
      </c>
      <c r="F195" t="s">
        <v>3827</v>
      </c>
      <c r="G195" t="s">
        <v>18047</v>
      </c>
      <c r="H195" t="s">
        <v>1112</v>
      </c>
      <c r="I195" t="s">
        <v>1108</v>
      </c>
      <c r="J195" t="s">
        <v>3828</v>
      </c>
      <c r="K195" t="s">
        <v>3829</v>
      </c>
      <c r="L195" t="s">
        <v>36</v>
      </c>
      <c r="M195" t="s">
        <v>19177</v>
      </c>
      <c r="N195" t="s">
        <v>300</v>
      </c>
      <c r="O195" t="s">
        <v>16373</v>
      </c>
      <c r="P195" t="s">
        <v>12</v>
      </c>
    </row>
    <row r="196">
      <c r="A196">
        <f>HYPERLINK("http://bombeiros.sp.gov.br/hidrantes/03individual/1032.html","1032")</f>
      </c>
      <c r="B196" t="s">
        <v>114</v>
      </c>
      <c r="C196" t="s">
        <v>210</v>
      </c>
      <c r="D196" t="s">
        <v>211</v>
      </c>
      <c r="E196" t="s">
        <v>64</v>
      </c>
      <c r="F196" t="s">
        <v>3830</v>
      </c>
      <c r="G196" t="s">
        <v>18047</v>
      </c>
      <c r="H196" t="s">
        <v>1112</v>
      </c>
      <c r="I196" t="s">
        <v>1108</v>
      </c>
      <c r="J196" t="s">
        <v>3831</v>
      </c>
      <c r="K196" t="s">
        <v>3832</v>
      </c>
      <c r="L196" t="s">
        <v>36</v>
      </c>
      <c r="M196" t="s">
        <v>19177</v>
      </c>
      <c r="N196" t="s">
        <v>300</v>
      </c>
      <c r="O196" t="s">
        <v>16373</v>
      </c>
      <c r="P196" t="s">
        <v>12</v>
      </c>
    </row>
    <row r="197">
      <c r="A197">
        <f>HYPERLINK("http://bombeiros.sp.gov.br/hidrantes/03individual/3030.html","3030")</f>
      </c>
      <c r="B197" t="s">
        <v>114</v>
      </c>
      <c r="C197" t="s">
        <v>210</v>
      </c>
      <c r="D197" t="s">
        <v>211</v>
      </c>
      <c r="E197" t="s">
        <v>64</v>
      </c>
      <c r="F197" t="s">
        <v>3833</v>
      </c>
      <c r="G197" t="s">
        <v>18076</v>
      </c>
      <c r="H197" t="s">
        <v>1121</v>
      </c>
      <c r="I197" t="s">
        <v>1117</v>
      </c>
      <c r="J197" t="s">
        <v>3834</v>
      </c>
      <c r="K197" t="s">
        <v>3835</v>
      </c>
      <c r="L197" t="s">
        <v>36</v>
      </c>
      <c r="M197" t="s">
        <v>19177</v>
      </c>
      <c r="N197" t="s">
        <v>300</v>
      </c>
      <c r="O197" t="s">
        <v>16373</v>
      </c>
      <c r="P197" t="s">
        <v>12</v>
      </c>
    </row>
    <row r="198">
      <c r="A198">
        <f>HYPERLINK("http://bombeiros.sp.gov.br/hidrantes/03individual/3040.html","3040")</f>
      </c>
      <c r="B198" t="s">
        <v>114</v>
      </c>
      <c r="C198" t="s">
        <v>210</v>
      </c>
      <c r="D198" t="s">
        <v>3917</v>
      </c>
      <c r="E198" t="s">
        <v>15</v>
      </c>
      <c r="F198" t="s">
        <v>3984</v>
      </c>
      <c r="G198" t="s">
        <v>18051</v>
      </c>
      <c r="H198" t="s">
        <v>1107</v>
      </c>
      <c r="I198" t="s">
        <v>1108</v>
      </c>
      <c r="J198" t="s">
        <v>3985</v>
      </c>
      <c r="K198" t="s">
        <v>3986</v>
      </c>
      <c r="L198" t="s">
        <v>36</v>
      </c>
      <c r="M198" t="s">
        <v>19177</v>
      </c>
      <c r="N198" t="s">
        <v>300</v>
      </c>
      <c r="O198" t="s">
        <v>16373</v>
      </c>
      <c r="P198" t="s">
        <v>12</v>
      </c>
    </row>
    <row r="199">
      <c r="A199">
        <f>HYPERLINK("http://bombeiros.sp.gov.br/hidrantes/03individual/3041.html","3041")</f>
      </c>
      <c r="B199" t="s">
        <v>114</v>
      </c>
      <c r="C199" t="s">
        <v>222</v>
      </c>
      <c r="D199" t="s">
        <v>223</v>
      </c>
      <c r="E199" t="s">
        <v>64</v>
      </c>
      <c r="F199" t="s">
        <v>224</v>
      </c>
      <c r="G199" t="s">
        <v>18533</v>
      </c>
      <c r="H199"/>
      <c r="I199" t="s">
        <v>18</v>
      </c>
      <c r="J199" t="s">
        <v>226</v>
      </c>
      <c r="K199" t="s">
        <v>227</v>
      </c>
      <c r="L199" t="s">
        <v>36</v>
      </c>
      <c r="M199" t="s">
        <v>19177</v>
      </c>
      <c r="N199" t="s">
        <v>16374</v>
      </c>
      <c r="O199" t="s">
        <v>272</v>
      </c>
      <c r="P199" t="s">
        <v>114</v>
      </c>
    </row>
    <row r="200">
      <c r="A200">
        <f>HYPERLINK("http://bombeiros.sp.gov.br/hidrantes/03individual/3359.html","3359")</f>
      </c>
      <c r="B200" t="s">
        <v>114</v>
      </c>
      <c r="C200" t="s">
        <v>222</v>
      </c>
      <c r="D200" t="s">
        <v>238</v>
      </c>
      <c r="E200" t="s">
        <v>64</v>
      </c>
      <c r="F200" t="s">
        <v>4080</v>
      </c>
      <c r="G200" t="s">
        <v>18558</v>
      </c>
      <c r="H200" t="s">
        <v>1121</v>
      </c>
      <c r="I200" t="s">
        <v>1117</v>
      </c>
      <c r="J200" t="s">
        <v>4081</v>
      </c>
      <c r="K200" t="s">
        <v>4082</v>
      </c>
      <c r="L200" t="s">
        <v>36</v>
      </c>
      <c r="M200" t="s">
        <v>19177</v>
      </c>
      <c r="N200" t="s">
        <v>16374</v>
      </c>
      <c r="O200" t="s">
        <v>272</v>
      </c>
      <c r="P200" t="s">
        <v>114</v>
      </c>
    </row>
    <row r="201">
      <c r="A201">
        <f>HYPERLINK("http://bombeiros.sp.gov.br/hidrantes/03individual/852.html","852")</f>
      </c>
      <c r="B201" t="s">
        <v>114</v>
      </c>
      <c r="C201" t="s">
        <v>242</v>
      </c>
      <c r="D201" t="s">
        <v>242</v>
      </c>
      <c r="E201" t="s">
        <v>64</v>
      </c>
      <c r="F201" t="s">
        <v>243</v>
      </c>
      <c r="G201" t="s">
        <v>18043</v>
      </c>
      <c r="H201"/>
      <c r="I201" t="s">
        <v>18</v>
      </c>
      <c r="J201" t="s">
        <v>245</v>
      </c>
      <c r="K201" t="s">
        <v>246</v>
      </c>
      <c r="L201" t="s">
        <v>36</v>
      </c>
      <c r="M201" t="s">
        <v>19177</v>
      </c>
      <c r="N201" t="s">
        <v>272</v>
      </c>
      <c r="O201" t="s">
        <v>272</v>
      </c>
      <c r="P201" t="s">
        <v>114</v>
      </c>
    </row>
    <row r="202">
      <c r="A202">
        <f>HYPERLINK("http://bombeiros.sp.gov.br/hidrantes/03individual/853.html","853")</f>
      </c>
      <c r="B202" t="s">
        <v>114</v>
      </c>
      <c r="C202" t="s">
        <v>242</v>
      </c>
      <c r="D202" t="s">
        <v>242</v>
      </c>
      <c r="E202" t="s">
        <v>64</v>
      </c>
      <c r="F202" t="s">
        <v>4104</v>
      </c>
      <c r="G202" t="s">
        <v>18043</v>
      </c>
      <c r="H202" t="s">
        <v>1112</v>
      </c>
      <c r="I202" t="s">
        <v>1108</v>
      </c>
      <c r="J202" t="s">
        <v>4105</v>
      </c>
      <c r="K202" t="s">
        <v>4106</v>
      </c>
      <c r="L202" t="s">
        <v>36</v>
      </c>
      <c r="M202" t="s">
        <v>19177</v>
      </c>
      <c r="N202" t="s">
        <v>272</v>
      </c>
      <c r="O202" t="s">
        <v>272</v>
      </c>
      <c r="P202" t="s">
        <v>114</v>
      </c>
    </row>
    <row r="203">
      <c r="A203">
        <f>HYPERLINK("http://bombeiros.sp.gov.br/hidrantes/03individual/860.html","860")</f>
      </c>
      <c r="B203" t="s">
        <v>114</v>
      </c>
      <c r="C203" t="s">
        <v>242</v>
      </c>
      <c r="D203" t="s">
        <v>242</v>
      </c>
      <c r="E203" t="s">
        <v>64</v>
      </c>
      <c r="F203" t="s">
        <v>4110</v>
      </c>
      <c r="G203" t="s">
        <v>18055</v>
      </c>
      <c r="H203" t="s">
        <v>1112</v>
      </c>
      <c r="I203" t="s">
        <v>1108</v>
      </c>
      <c r="J203" t="s">
        <v>4111</v>
      </c>
      <c r="K203" t="s">
        <v>4112</v>
      </c>
      <c r="L203" t="s">
        <v>36</v>
      </c>
      <c r="M203" t="s">
        <v>19177</v>
      </c>
      <c r="N203" t="s">
        <v>272</v>
      </c>
      <c r="O203" t="s">
        <v>272</v>
      </c>
      <c r="P203" t="s">
        <v>114</v>
      </c>
    </row>
    <row r="204">
      <c r="A204">
        <f>HYPERLINK("http://bombeiros.sp.gov.br/hidrantes/03individual/861.html","861")</f>
      </c>
      <c r="B204" t="s">
        <v>114</v>
      </c>
      <c r="C204" t="s">
        <v>242</v>
      </c>
      <c r="D204" t="s">
        <v>242</v>
      </c>
      <c r="E204" t="s">
        <v>64</v>
      </c>
      <c r="F204" t="s">
        <v>4113</v>
      </c>
      <c r="G204" t="s">
        <v>18091</v>
      </c>
      <c r="H204" t="s">
        <v>1112</v>
      </c>
      <c r="I204" t="s">
        <v>1108</v>
      </c>
      <c r="J204" t="s">
        <v>4114</v>
      </c>
      <c r="K204" t="s">
        <v>4115</v>
      </c>
      <c r="L204" t="s">
        <v>36</v>
      </c>
      <c r="M204" t="s">
        <v>19177</v>
      </c>
      <c r="N204" t="s">
        <v>272</v>
      </c>
      <c r="O204" t="s">
        <v>272</v>
      </c>
      <c r="P204" t="s">
        <v>114</v>
      </c>
    </row>
    <row r="205">
      <c r="A205">
        <f>HYPERLINK("http://bombeiros.sp.gov.br/hidrantes/03individual/862.html","862")</f>
      </c>
      <c r="B205" t="s">
        <v>114</v>
      </c>
      <c r="C205" t="s">
        <v>242</v>
      </c>
      <c r="D205" t="s">
        <v>242</v>
      </c>
      <c r="E205" t="s">
        <v>64</v>
      </c>
      <c r="F205" t="s">
        <v>4116</v>
      </c>
      <c r="G205" t="s">
        <v>18055</v>
      </c>
      <c r="H205" t="s">
        <v>1112</v>
      </c>
      <c r="I205" t="s">
        <v>1108</v>
      </c>
      <c r="J205" t="s">
        <v>4117</v>
      </c>
      <c r="K205" t="s">
        <v>4118</v>
      </c>
      <c r="L205" t="s">
        <v>36</v>
      </c>
      <c r="M205" t="s">
        <v>19177</v>
      </c>
      <c r="N205" t="s">
        <v>272</v>
      </c>
      <c r="O205" t="s">
        <v>272</v>
      </c>
      <c r="P205" t="s">
        <v>114</v>
      </c>
    </row>
    <row r="206">
      <c r="A206">
        <f>HYPERLINK("http://bombeiros.sp.gov.br/hidrantes/03individual/909.html","909")</f>
      </c>
      <c r="B206" t="s">
        <v>114</v>
      </c>
      <c r="C206" t="s">
        <v>242</v>
      </c>
      <c r="D206" t="s">
        <v>242</v>
      </c>
      <c r="E206" t="s">
        <v>64</v>
      </c>
      <c r="F206" t="s">
        <v>4131</v>
      </c>
      <c r="G206" t="s">
        <v>18091</v>
      </c>
      <c r="H206" t="s">
        <v>1112</v>
      </c>
      <c r="I206" t="s">
        <v>1108</v>
      </c>
      <c r="J206" t="s">
        <v>4132</v>
      </c>
      <c r="K206" t="s">
        <v>4133</v>
      </c>
      <c r="L206" t="s">
        <v>36</v>
      </c>
      <c r="M206" t="s">
        <v>19177</v>
      </c>
      <c r="N206" t="s">
        <v>272</v>
      </c>
      <c r="O206" t="s">
        <v>272</v>
      </c>
      <c r="P206" t="s">
        <v>114</v>
      </c>
    </row>
    <row r="207">
      <c r="A207">
        <f>HYPERLINK("http://bombeiros.sp.gov.br/hidrantes/03individual/927.html","927")</f>
      </c>
      <c r="B207" t="s">
        <v>114</v>
      </c>
      <c r="C207" t="s">
        <v>242</v>
      </c>
      <c r="D207" t="s">
        <v>242</v>
      </c>
      <c r="E207" t="s">
        <v>64</v>
      </c>
      <c r="F207" t="s">
        <v>4137</v>
      </c>
      <c r="G207" t="s">
        <v>18105</v>
      </c>
      <c r="H207" t="s">
        <v>1121</v>
      </c>
      <c r="I207" t="s">
        <v>1117</v>
      </c>
      <c r="J207" t="s">
        <v>4138</v>
      </c>
      <c r="K207" t="s">
        <v>4139</v>
      </c>
      <c r="L207" t="s">
        <v>36</v>
      </c>
      <c r="M207" t="s">
        <v>19177</v>
      </c>
      <c r="N207" t="s">
        <v>272</v>
      </c>
      <c r="O207" t="s">
        <v>272</v>
      </c>
      <c r="P207" t="s">
        <v>114</v>
      </c>
    </row>
    <row r="208">
      <c r="A208">
        <f>HYPERLINK("http://bombeiros.sp.gov.br/hidrantes/03individual/933.html","933")</f>
      </c>
      <c r="B208" t="s">
        <v>114</v>
      </c>
      <c r="C208" t="s">
        <v>242</v>
      </c>
      <c r="D208" t="s">
        <v>242</v>
      </c>
      <c r="E208" t="s">
        <v>64</v>
      </c>
      <c r="F208" t="s">
        <v>4143</v>
      </c>
      <c r="G208" t="s">
        <v>18094</v>
      </c>
      <c r="H208" t="s">
        <v>1121</v>
      </c>
      <c r="I208" t="s">
        <v>1117</v>
      </c>
      <c r="J208" t="s">
        <v>4144</v>
      </c>
      <c r="K208" t="s">
        <v>4145</v>
      </c>
      <c r="L208" t="s">
        <v>36</v>
      </c>
      <c r="M208" t="s">
        <v>19177</v>
      </c>
      <c r="N208" t="s">
        <v>272</v>
      </c>
      <c r="O208" t="s">
        <v>272</v>
      </c>
      <c r="P208" t="s">
        <v>114</v>
      </c>
    </row>
    <row r="209">
      <c r="A209">
        <f>HYPERLINK("http://bombeiros.sp.gov.br/hidrantes/03individual/941.html","941")</f>
      </c>
      <c r="B209" t="s">
        <v>114</v>
      </c>
      <c r="C209" t="s">
        <v>242</v>
      </c>
      <c r="D209" t="s">
        <v>242</v>
      </c>
      <c r="E209" t="s">
        <v>64</v>
      </c>
      <c r="F209" t="s">
        <v>4146</v>
      </c>
      <c r="G209" t="s">
        <v>18094</v>
      </c>
      <c r="H209" t="s">
        <v>1112</v>
      </c>
      <c r="I209" t="s">
        <v>1108</v>
      </c>
      <c r="J209" t="s">
        <v>4147</v>
      </c>
      <c r="K209" t="s">
        <v>4148</v>
      </c>
      <c r="L209" t="s">
        <v>36</v>
      </c>
      <c r="M209" t="s">
        <v>19177</v>
      </c>
      <c r="N209" t="s">
        <v>272</v>
      </c>
      <c r="O209" t="s">
        <v>272</v>
      </c>
      <c r="P209" t="s">
        <v>114</v>
      </c>
    </row>
    <row r="210">
      <c r="A210">
        <f>HYPERLINK("http://bombeiros.sp.gov.br/hidrantes/03individual/966.html","966")</f>
      </c>
      <c r="B210" t="s">
        <v>114</v>
      </c>
      <c r="C210" t="s">
        <v>242</v>
      </c>
      <c r="D210" t="s">
        <v>242</v>
      </c>
      <c r="E210" t="s">
        <v>64</v>
      </c>
      <c r="F210" t="s">
        <v>4149</v>
      </c>
      <c r="G210" t="s">
        <v>18099</v>
      </c>
      <c r="H210" t="s">
        <v>1121</v>
      </c>
      <c r="I210" t="s">
        <v>1117</v>
      </c>
      <c r="J210" t="s">
        <v>4150</v>
      </c>
      <c r="K210" t="s">
        <v>4151</v>
      </c>
      <c r="L210" t="s">
        <v>36</v>
      </c>
      <c r="M210" t="s">
        <v>19177</v>
      </c>
      <c r="N210" t="s">
        <v>272</v>
      </c>
      <c r="O210" t="s">
        <v>272</v>
      </c>
      <c r="P210" t="s">
        <v>114</v>
      </c>
    </row>
    <row r="211">
      <c r="A211">
        <f>HYPERLINK("http://bombeiros.sp.gov.br/hidrantes/03individual/3467.html","3467")</f>
      </c>
      <c r="B211" t="s">
        <v>114</v>
      </c>
      <c r="C211" t="s">
        <v>242</v>
      </c>
      <c r="D211" t="s">
        <v>242</v>
      </c>
      <c r="E211" t="s">
        <v>64</v>
      </c>
      <c r="F211" t="s">
        <v>4173</v>
      </c>
      <c r="G211" t="s">
        <v>18069</v>
      </c>
      <c r="H211" t="s">
        <v>1121</v>
      </c>
      <c r="I211" t="s">
        <v>1117</v>
      </c>
      <c r="J211" t="s">
        <v>4174</v>
      </c>
      <c r="K211" t="s">
        <v>4175</v>
      </c>
      <c r="L211" t="s">
        <v>36</v>
      </c>
      <c r="M211" t="s">
        <v>19177</v>
      </c>
      <c r="N211" t="s">
        <v>272</v>
      </c>
      <c r="O211" t="s">
        <v>272</v>
      </c>
      <c r="P211" t="s">
        <v>114</v>
      </c>
    </row>
    <row r="212">
      <c r="A212">
        <f>HYPERLINK("http://bombeiros.sp.gov.br/hidrantes/03individual/4312.html","4312")</f>
      </c>
      <c r="B212" t="s">
        <v>114</v>
      </c>
      <c r="C212" t="s">
        <v>242</v>
      </c>
      <c r="D212" t="s">
        <v>242</v>
      </c>
      <c r="E212" t="s">
        <v>64</v>
      </c>
      <c r="F212" t="s">
        <v>4182</v>
      </c>
      <c r="G212" t="s">
        <v>18105</v>
      </c>
      <c r="H212"/>
      <c r="I212" t="s">
        <v>18</v>
      </c>
      <c r="J212" t="s">
        <v>4183</v>
      </c>
      <c r="K212" t="s">
        <v>4184</v>
      </c>
      <c r="L212" t="s">
        <v>36</v>
      </c>
      <c r="M212" t="s">
        <v>19177</v>
      </c>
      <c r="N212" t="s">
        <v>272</v>
      </c>
      <c r="O212" t="s">
        <v>272</v>
      </c>
      <c r="P212" t="s">
        <v>114</v>
      </c>
    </row>
    <row r="213">
      <c r="A213">
        <f>HYPERLINK("http://bombeiros.sp.gov.br/hidrantes/03individual/6779.html","6779")</f>
      </c>
      <c r="B213" t="s">
        <v>114</v>
      </c>
      <c r="C213" t="s">
        <v>242</v>
      </c>
      <c r="D213" t="s">
        <v>242</v>
      </c>
      <c r="E213" t="s">
        <v>64</v>
      </c>
      <c r="F213" t="s">
        <v>4194</v>
      </c>
      <c r="G213" t="s">
        <v>18099</v>
      </c>
      <c r="H213" t="s">
        <v>1121</v>
      </c>
      <c r="I213" t="s">
        <v>1117</v>
      </c>
      <c r="J213" t="s">
        <v>4195</v>
      </c>
      <c r="K213" t="s">
        <v>4196</v>
      </c>
      <c r="L213" t="s">
        <v>36</v>
      </c>
      <c r="M213" t="s">
        <v>19177</v>
      </c>
      <c r="N213" t="s">
        <v>272</v>
      </c>
      <c r="O213" t="s">
        <v>272</v>
      </c>
      <c r="P213" t="s">
        <v>114</v>
      </c>
    </row>
    <row r="214">
      <c r="A214">
        <f>HYPERLINK("http://bombeiros.sp.gov.br/hidrantes/03individual/6780.html","6780")</f>
      </c>
      <c r="B214" t="s">
        <v>114</v>
      </c>
      <c r="C214" t="s">
        <v>242</v>
      </c>
      <c r="D214" t="s">
        <v>242</v>
      </c>
      <c r="E214" t="s">
        <v>64</v>
      </c>
      <c r="F214" t="s">
        <v>4197</v>
      </c>
      <c r="G214" t="s">
        <v>18107</v>
      </c>
      <c r="H214" t="s">
        <v>1112</v>
      </c>
      <c r="I214" t="s">
        <v>1108</v>
      </c>
      <c r="J214" t="s">
        <v>4198</v>
      </c>
      <c r="K214" t="s">
        <v>4199</v>
      </c>
      <c r="L214" t="s">
        <v>36</v>
      </c>
      <c r="M214" t="s">
        <v>19177</v>
      </c>
      <c r="N214" t="s">
        <v>272</v>
      </c>
      <c r="O214" t="s">
        <v>272</v>
      </c>
      <c r="P214" t="s">
        <v>114</v>
      </c>
    </row>
    <row r="215">
      <c r="A215">
        <f>HYPERLINK("http://bombeiros.sp.gov.br/hidrantes/03individual/2050.html","2050")</f>
      </c>
      <c r="B215" t="s">
        <v>114</v>
      </c>
      <c r="C215" t="s">
        <v>242</v>
      </c>
      <c r="D215" t="s">
        <v>242</v>
      </c>
      <c r="E215" t="s">
        <v>15</v>
      </c>
      <c r="F215" t="s">
        <v>4206</v>
      </c>
      <c r="G215" t="s">
        <v>18090</v>
      </c>
      <c r="H215" t="s">
        <v>1112</v>
      </c>
      <c r="I215" t="s">
        <v>1108</v>
      </c>
      <c r="J215" t="s">
        <v>4207</v>
      </c>
      <c r="K215" t="s">
        <v>4208</v>
      </c>
      <c r="L215" t="s">
        <v>36</v>
      </c>
      <c r="M215" t="s">
        <v>19177</v>
      </c>
      <c r="N215" t="s">
        <v>272</v>
      </c>
      <c r="O215" t="s">
        <v>272</v>
      </c>
      <c r="P215" t="s">
        <v>114</v>
      </c>
    </row>
    <row r="216">
      <c r="A216">
        <f>HYPERLINK("http://bombeiros.sp.gov.br/hidrantes/03individual/2068.html","2068")</f>
      </c>
      <c r="B216" t="s">
        <v>114</v>
      </c>
      <c r="C216" t="s">
        <v>242</v>
      </c>
      <c r="D216" t="s">
        <v>242</v>
      </c>
      <c r="E216" t="s">
        <v>15</v>
      </c>
      <c r="F216" t="s">
        <v>4209</v>
      </c>
      <c r="G216" t="s">
        <v>18129</v>
      </c>
      <c r="H216" t="s">
        <v>1112</v>
      </c>
      <c r="I216" t="s">
        <v>1108</v>
      </c>
      <c r="J216" t="s">
        <v>4210</v>
      </c>
      <c r="K216" t="s">
        <v>4211</v>
      </c>
      <c r="L216" t="s">
        <v>36</v>
      </c>
      <c r="M216" t="s">
        <v>19177</v>
      </c>
      <c r="N216" t="s">
        <v>272</v>
      </c>
      <c r="O216" t="s">
        <v>272</v>
      </c>
      <c r="P216" t="s">
        <v>114</v>
      </c>
    </row>
    <row r="217">
      <c r="A217">
        <f>HYPERLINK("http://bombeiros.sp.gov.br/hidrantes/03individual/805.html","805")</f>
      </c>
      <c r="B217" t="s">
        <v>114</v>
      </c>
      <c r="C217" t="s">
        <v>242</v>
      </c>
      <c r="D217" t="s">
        <v>4225</v>
      </c>
      <c r="E217" t="s">
        <v>64</v>
      </c>
      <c r="F217" t="s">
        <v>4226</v>
      </c>
      <c r="G217" t="s">
        <v>18107</v>
      </c>
      <c r="H217" t="s">
        <v>1121</v>
      </c>
      <c r="I217" t="s">
        <v>1117</v>
      </c>
      <c r="J217" t="s">
        <v>4227</v>
      </c>
      <c r="K217" t="s">
        <v>4228</v>
      </c>
      <c r="L217" t="s">
        <v>36</v>
      </c>
      <c r="M217" t="s">
        <v>19177</v>
      </c>
      <c r="N217" t="s">
        <v>272</v>
      </c>
      <c r="O217" t="s">
        <v>272</v>
      </c>
      <c r="P217" t="s">
        <v>114</v>
      </c>
    </row>
    <row r="218">
      <c r="A218">
        <f>HYPERLINK("http://bombeiros.sp.gov.br/hidrantes/03individual/815.html","815")</f>
      </c>
      <c r="B218" t="s">
        <v>114</v>
      </c>
      <c r="C218" t="s">
        <v>242</v>
      </c>
      <c r="D218" t="s">
        <v>4225</v>
      </c>
      <c r="E218" t="s">
        <v>64</v>
      </c>
      <c r="F218" t="s">
        <v>4229</v>
      </c>
      <c r="G218" t="s">
        <v>18099</v>
      </c>
      <c r="H218" t="s">
        <v>1121</v>
      </c>
      <c r="I218" t="s">
        <v>1117</v>
      </c>
      <c r="J218" t="s">
        <v>4230</v>
      </c>
      <c r="K218" t="s">
        <v>4231</v>
      </c>
      <c r="L218" t="s">
        <v>36</v>
      </c>
      <c r="M218" t="s">
        <v>19177</v>
      </c>
      <c r="N218" t="s">
        <v>272</v>
      </c>
      <c r="O218" t="s">
        <v>272</v>
      </c>
      <c r="P218" t="s">
        <v>114</v>
      </c>
    </row>
    <row r="219">
      <c r="A219">
        <f>HYPERLINK("http://bombeiros.sp.gov.br/hidrantes/03individual/836.html","836")</f>
      </c>
      <c r="B219" t="s">
        <v>114</v>
      </c>
      <c r="C219" t="s">
        <v>242</v>
      </c>
      <c r="D219" t="s">
        <v>4225</v>
      </c>
      <c r="E219" t="s">
        <v>64</v>
      </c>
      <c r="F219" t="s">
        <v>4235</v>
      </c>
      <c r="G219" t="s">
        <v>18099</v>
      </c>
      <c r="H219" t="s">
        <v>1121</v>
      </c>
      <c r="I219" t="s">
        <v>1117</v>
      </c>
      <c r="J219" t="s">
        <v>4236</v>
      </c>
      <c r="K219" t="s">
        <v>4237</v>
      </c>
      <c r="L219" t="s">
        <v>36</v>
      </c>
      <c r="M219" t="s">
        <v>19177</v>
      </c>
      <c r="N219" t="s">
        <v>272</v>
      </c>
      <c r="O219" t="s">
        <v>272</v>
      </c>
      <c r="P219" t="s">
        <v>114</v>
      </c>
    </row>
    <row r="220">
      <c r="A220">
        <f>HYPERLINK("http://bombeiros.sp.gov.br/hidrantes/03individual/907.html","907")</f>
      </c>
      <c r="B220" t="s">
        <v>114</v>
      </c>
      <c r="C220" t="s">
        <v>242</v>
      </c>
      <c r="D220" t="s">
        <v>4225</v>
      </c>
      <c r="E220" t="s">
        <v>64</v>
      </c>
      <c r="F220" t="s">
        <v>4247</v>
      </c>
      <c r="G220" t="s">
        <v>18147</v>
      </c>
      <c r="H220" t="s">
        <v>1121</v>
      </c>
      <c r="I220" t="s">
        <v>1117</v>
      </c>
      <c r="J220" t="s">
        <v>4248</v>
      </c>
      <c r="K220" t="s">
        <v>4249</v>
      </c>
      <c r="L220" t="s">
        <v>36</v>
      </c>
      <c r="M220" t="s">
        <v>19177</v>
      </c>
      <c r="N220" t="s">
        <v>272</v>
      </c>
      <c r="O220" t="s">
        <v>272</v>
      </c>
      <c r="P220" t="s">
        <v>114</v>
      </c>
    </row>
    <row r="221">
      <c r="A221">
        <f>HYPERLINK("http://bombeiros.sp.gov.br/hidrantes/03individual/948.html","948")</f>
      </c>
      <c r="B221" t="s">
        <v>114</v>
      </c>
      <c r="C221" t="s">
        <v>242</v>
      </c>
      <c r="D221" t="s">
        <v>4225</v>
      </c>
      <c r="E221" t="s">
        <v>64</v>
      </c>
      <c r="F221" t="s">
        <v>4250</v>
      </c>
      <c r="G221" t="s">
        <v>18147</v>
      </c>
      <c r="H221" t="s">
        <v>1121</v>
      </c>
      <c r="I221" t="s">
        <v>1117</v>
      </c>
      <c r="J221" t="s">
        <v>4251</v>
      </c>
      <c r="K221" t="s">
        <v>4252</v>
      </c>
      <c r="L221" t="s">
        <v>36</v>
      </c>
      <c r="M221" t="s">
        <v>19177</v>
      </c>
      <c r="N221" t="s">
        <v>272</v>
      </c>
      <c r="O221" t="s">
        <v>272</v>
      </c>
      <c r="P221" t="s">
        <v>114</v>
      </c>
    </row>
    <row r="222">
      <c r="A222">
        <f>HYPERLINK("http://bombeiros.sp.gov.br/hidrantes/03individual/957.html","957")</f>
      </c>
      <c r="B222" t="s">
        <v>114</v>
      </c>
      <c r="C222" t="s">
        <v>242</v>
      </c>
      <c r="D222" t="s">
        <v>4225</v>
      </c>
      <c r="E222" t="s">
        <v>64</v>
      </c>
      <c r="F222" t="s">
        <v>4253</v>
      </c>
      <c r="G222" t="s">
        <v>18190</v>
      </c>
      <c r="H222" t="s">
        <v>1121</v>
      </c>
      <c r="I222" t="s">
        <v>1117</v>
      </c>
      <c r="J222" t="s">
        <v>4254</v>
      </c>
      <c r="K222" t="s">
        <v>4255</v>
      </c>
      <c r="L222" t="s">
        <v>36</v>
      </c>
      <c r="M222" t="s">
        <v>19177</v>
      </c>
      <c r="N222" t="s">
        <v>272</v>
      </c>
      <c r="O222" t="s">
        <v>272</v>
      </c>
      <c r="P222" t="s">
        <v>114</v>
      </c>
    </row>
    <row r="223">
      <c r="A223">
        <f>HYPERLINK("http://bombeiros.sp.gov.br/hidrantes/03individual/5596.html","5596")</f>
      </c>
      <c r="B223" t="s">
        <v>114</v>
      </c>
      <c r="C223" t="s">
        <v>242</v>
      </c>
      <c r="D223" t="s">
        <v>4225</v>
      </c>
      <c r="E223" t="s">
        <v>15</v>
      </c>
      <c r="F223" t="s">
        <v>4259</v>
      </c>
      <c r="G223" t="s">
        <v>18094</v>
      </c>
      <c r="H223" t="s">
        <v>1174</v>
      </c>
      <c r="I223" t="s">
        <v>1117</v>
      </c>
      <c r="J223" t="s">
        <v>4260</v>
      </c>
      <c r="K223" t="s">
        <v>4261</v>
      </c>
      <c r="L223" t="s">
        <v>36</v>
      </c>
      <c r="M223" t="s">
        <v>19177</v>
      </c>
      <c r="N223" t="s">
        <v>272</v>
      </c>
      <c r="O223" t="s">
        <v>272</v>
      </c>
      <c r="P223" t="s">
        <v>114</v>
      </c>
    </row>
    <row r="224">
      <c r="A224">
        <f>HYPERLINK("http://bombeiros.sp.gov.br/hidrantes/03individual/917.html","917")</f>
      </c>
      <c r="B224" t="s">
        <v>114</v>
      </c>
      <c r="C224" t="s">
        <v>251</v>
      </c>
      <c r="D224" t="s">
        <v>251</v>
      </c>
      <c r="E224" t="s">
        <v>64</v>
      </c>
      <c r="F224" t="s">
        <v>4265</v>
      </c>
      <c r="G224" t="s">
        <v>18091</v>
      </c>
      <c r="H224" t="s">
        <v>1107</v>
      </c>
      <c r="I224" t="s">
        <v>1108</v>
      </c>
      <c r="J224" t="s">
        <v>4266</v>
      </c>
      <c r="K224" t="s">
        <v>4267</v>
      </c>
      <c r="L224" t="s">
        <v>36</v>
      </c>
      <c r="M224" t="s">
        <v>19177</v>
      </c>
      <c r="N224" t="s">
        <v>309</v>
      </c>
      <c r="O224" t="s">
        <v>6029</v>
      </c>
      <c r="P224" t="s">
        <v>114</v>
      </c>
    </row>
    <row r="225">
      <c r="A225">
        <f>HYPERLINK("http://bombeiros.sp.gov.br/hidrantes/03individual/3432.html","3432")</f>
      </c>
      <c r="B225" t="s">
        <v>114</v>
      </c>
      <c r="C225" t="s">
        <v>4356</v>
      </c>
      <c r="D225" t="s">
        <v>4356</v>
      </c>
      <c r="E225" t="s">
        <v>64</v>
      </c>
      <c r="F225" t="s">
        <v>4360</v>
      </c>
      <c r="G225" t="s">
        <v>18062</v>
      </c>
      <c r="H225" t="s">
        <v>1112</v>
      </c>
      <c r="I225" t="s">
        <v>1108</v>
      </c>
      <c r="J225" t="s">
        <v>4362</v>
      </c>
      <c r="K225" t="s">
        <v>4363</v>
      </c>
      <c r="L225" t="s">
        <v>36</v>
      </c>
      <c r="M225" t="s">
        <v>19177</v>
      </c>
      <c r="N225" t="s">
        <v>272</v>
      </c>
      <c r="O225" t="s">
        <v>272</v>
      </c>
      <c r="P225" t="s">
        <v>114</v>
      </c>
    </row>
    <row r="226">
      <c r="A226">
        <f>HYPERLINK("http://bombeiros.sp.gov.br/hidrantes/03individual/4319.html","4319")</f>
      </c>
      <c r="B226" t="s">
        <v>114</v>
      </c>
      <c r="C226" t="s">
        <v>4356</v>
      </c>
      <c r="D226" t="s">
        <v>4356</v>
      </c>
      <c r="E226" t="s">
        <v>15</v>
      </c>
      <c r="F226" t="s">
        <v>4379</v>
      </c>
      <c r="G226" t="s">
        <v>18048</v>
      </c>
      <c r="H226" t="s">
        <v>1107</v>
      </c>
      <c r="I226" t="s">
        <v>1108</v>
      </c>
      <c r="J226" t="s">
        <v>4380</v>
      </c>
      <c r="K226" t="s">
        <v>4381</v>
      </c>
      <c r="L226" t="s">
        <v>36</v>
      </c>
      <c r="M226" t="s">
        <v>19177</v>
      </c>
      <c r="N226" t="s">
        <v>272</v>
      </c>
      <c r="O226" t="s">
        <v>272</v>
      </c>
      <c r="P226" t="s">
        <v>114</v>
      </c>
    </row>
    <row r="227">
      <c r="A227">
        <f>HYPERLINK("http://bombeiros.sp.gov.br/hidrantes/03individual/858.html","858")</f>
      </c>
      <c r="B227" t="s">
        <v>114</v>
      </c>
      <c r="C227" t="s">
        <v>4356</v>
      </c>
      <c r="D227" t="s">
        <v>4385</v>
      </c>
      <c r="E227" t="s">
        <v>64</v>
      </c>
      <c r="F227" t="s">
        <v>4386</v>
      </c>
      <c r="G227" t="s">
        <v>18065</v>
      </c>
      <c r="H227" t="s">
        <v>1121</v>
      </c>
      <c r="I227" t="s">
        <v>1117</v>
      </c>
      <c r="J227" t="s">
        <v>4387</v>
      </c>
      <c r="K227" t="s">
        <v>4388</v>
      </c>
      <c r="L227" t="s">
        <v>36</v>
      </c>
      <c r="M227" t="s">
        <v>19177</v>
      </c>
      <c r="N227" t="s">
        <v>272</v>
      </c>
      <c r="O227" t="s">
        <v>272</v>
      </c>
      <c r="P227" t="s">
        <v>114</v>
      </c>
    </row>
    <row r="228">
      <c r="A228">
        <f>HYPERLINK("http://bombeiros.sp.gov.br/hidrantes/03individual/3456.html","3456")</f>
      </c>
      <c r="B228" t="s">
        <v>114</v>
      </c>
      <c r="C228" t="s">
        <v>4356</v>
      </c>
      <c r="D228" t="s">
        <v>4385</v>
      </c>
      <c r="E228" t="s">
        <v>64</v>
      </c>
      <c r="F228" t="s">
        <v>4389</v>
      </c>
      <c r="G228" t="s">
        <v>18048</v>
      </c>
      <c r="H228" t="s">
        <v>1121</v>
      </c>
      <c r="I228" t="s">
        <v>1117</v>
      </c>
      <c r="J228" t="s">
        <v>4390</v>
      </c>
      <c r="K228" t="s">
        <v>4391</v>
      </c>
      <c r="L228" t="s">
        <v>36</v>
      </c>
      <c r="M228" t="s">
        <v>19177</v>
      </c>
      <c r="N228" t="s">
        <v>272</v>
      </c>
      <c r="O228" t="s">
        <v>272</v>
      </c>
      <c r="P228" t="s">
        <v>114</v>
      </c>
    </row>
    <row r="229">
      <c r="A229">
        <f>HYPERLINK("http://bombeiros.sp.gov.br/hidrantes/03individual/3858.html","3858")</f>
      </c>
      <c r="B229" t="s">
        <v>114</v>
      </c>
      <c r="C229" t="s">
        <v>255</v>
      </c>
      <c r="D229" t="s">
        <v>255</v>
      </c>
      <c r="E229" t="s">
        <v>64</v>
      </c>
      <c r="F229" t="s">
        <v>4398</v>
      </c>
      <c r="G229" t="s">
        <v>18042</v>
      </c>
      <c r="H229" t="s">
        <v>1112</v>
      </c>
      <c r="I229" t="s">
        <v>1108</v>
      </c>
      <c r="J229" t="s">
        <v>4399</v>
      </c>
      <c r="K229" t="s">
        <v>4400</v>
      </c>
      <c r="L229" t="s">
        <v>36</v>
      </c>
      <c r="M229" t="s">
        <v>19177</v>
      </c>
      <c r="N229" t="s">
        <v>337</v>
      </c>
      <c r="O229" t="s">
        <v>337</v>
      </c>
      <c r="P229" t="s">
        <v>12</v>
      </c>
    </row>
    <row r="230">
      <c r="A230">
        <f>HYPERLINK("http://bombeiros.sp.gov.br/hidrantes/03individual/4377.html","4377")</f>
      </c>
      <c r="B230" t="s">
        <v>114</v>
      </c>
      <c r="C230" t="s">
        <v>255</v>
      </c>
      <c r="D230" t="s">
        <v>255</v>
      </c>
      <c r="E230" t="s">
        <v>15</v>
      </c>
      <c r="F230" t="s">
        <v>4407</v>
      </c>
      <c r="G230" t="s">
        <v>18042</v>
      </c>
      <c r="H230" t="s">
        <v>1112</v>
      </c>
      <c r="I230" t="s">
        <v>1108</v>
      </c>
      <c r="J230" t="s">
        <v>4408</v>
      </c>
      <c r="K230" t="s">
        <v>4409</v>
      </c>
      <c r="L230" t="s">
        <v>36</v>
      </c>
      <c r="M230" t="s">
        <v>19177</v>
      </c>
      <c r="N230" t="s">
        <v>337</v>
      </c>
      <c r="O230" t="s">
        <v>337</v>
      </c>
      <c r="P230" t="s">
        <v>12</v>
      </c>
    </row>
    <row r="231">
      <c r="A231">
        <f>HYPERLINK("http://bombeiros.sp.gov.br/hidrantes/03individual/3819.html","3819")</f>
      </c>
      <c r="B231" t="s">
        <v>114</v>
      </c>
      <c r="C231" t="s">
        <v>255</v>
      </c>
      <c r="D231" t="s">
        <v>4413</v>
      </c>
      <c r="E231" t="s">
        <v>64</v>
      </c>
      <c r="F231" t="s">
        <v>4417</v>
      </c>
      <c r="G231" t="s">
        <v>18062</v>
      </c>
      <c r="H231" t="s">
        <v>1121</v>
      </c>
      <c r="I231" t="s">
        <v>1117</v>
      </c>
      <c r="J231" t="s">
        <v>4418</v>
      </c>
      <c r="K231" t="s">
        <v>4419</v>
      </c>
      <c r="L231" t="s">
        <v>36</v>
      </c>
      <c r="M231" t="s">
        <v>19177</v>
      </c>
      <c r="N231" t="s">
        <v>337</v>
      </c>
      <c r="O231" t="s">
        <v>337</v>
      </c>
      <c r="P231" t="s">
        <v>12</v>
      </c>
    </row>
    <row r="232">
      <c r="A232">
        <f>HYPERLINK("http://bombeiros.sp.gov.br/hidrantes/03individual/3820.html","3820")</f>
      </c>
      <c r="B232" t="s">
        <v>114</v>
      </c>
      <c r="C232" t="s">
        <v>255</v>
      </c>
      <c r="D232" t="s">
        <v>4413</v>
      </c>
      <c r="E232" t="s">
        <v>64</v>
      </c>
      <c r="F232" t="s">
        <v>4420</v>
      </c>
      <c r="G232" t="s">
        <v>18050</v>
      </c>
      <c r="H232" t="s">
        <v>1121</v>
      </c>
      <c r="I232" t="s">
        <v>1117</v>
      </c>
      <c r="J232" t="s">
        <v>4421</v>
      </c>
      <c r="K232" t="s">
        <v>4422</v>
      </c>
      <c r="L232" t="s">
        <v>36</v>
      </c>
      <c r="M232" t="s">
        <v>19177</v>
      </c>
      <c r="N232" t="s">
        <v>337</v>
      </c>
      <c r="O232" t="s">
        <v>337</v>
      </c>
      <c r="P232" t="s">
        <v>12</v>
      </c>
    </row>
    <row r="233">
      <c r="A233">
        <f>HYPERLINK("http://bombeiros.sp.gov.br/hidrantes/03individual/4196.html","4196")</f>
      </c>
      <c r="B233" t="s">
        <v>114</v>
      </c>
      <c r="C233" t="s">
        <v>255</v>
      </c>
      <c r="D233" t="s">
        <v>256</v>
      </c>
      <c r="E233" t="s">
        <v>15</v>
      </c>
      <c r="F233" t="s">
        <v>4441</v>
      </c>
      <c r="G233" t="s">
        <v>18074</v>
      </c>
      <c r="H233" t="s">
        <v>1112</v>
      </c>
      <c r="I233" t="s">
        <v>1108</v>
      </c>
      <c r="J233" t="s">
        <v>4442</v>
      </c>
      <c r="K233" t="s">
        <v>4443</v>
      </c>
      <c r="L233" t="s">
        <v>36</v>
      </c>
      <c r="M233" t="s">
        <v>19177</v>
      </c>
      <c r="N233" t="s">
        <v>337</v>
      </c>
      <c r="O233" t="s">
        <v>337</v>
      </c>
      <c r="P233" t="s">
        <v>12</v>
      </c>
    </row>
    <row r="234">
      <c r="A234">
        <f>HYPERLINK("http://bombeiros.sp.gov.br/hidrantes/03individual/3771.html","3771")</f>
      </c>
      <c r="B234" t="s">
        <v>114</v>
      </c>
      <c r="C234" t="s">
        <v>260</v>
      </c>
      <c r="D234" t="s">
        <v>261</v>
      </c>
      <c r="E234" t="s">
        <v>64</v>
      </c>
      <c r="F234" t="s">
        <v>4447</v>
      </c>
      <c r="G234" t="s">
        <v>18553</v>
      </c>
      <c r="H234" t="s">
        <v>1112</v>
      </c>
      <c r="I234" t="s">
        <v>1108</v>
      </c>
      <c r="J234" t="s">
        <v>4448</v>
      </c>
      <c r="K234" t="s">
        <v>4449</v>
      </c>
      <c r="L234" t="s">
        <v>36</v>
      </c>
      <c r="M234" t="s">
        <v>19177</v>
      </c>
      <c r="N234" t="s">
        <v>6029</v>
      </c>
      <c r="O234" t="s">
        <v>6029</v>
      </c>
      <c r="P234" t="s">
        <v>114</v>
      </c>
    </row>
    <row r="235">
      <c r="A235">
        <f>HYPERLINK("http://bombeiros.sp.gov.br/hidrantes/03individual/3822.html","3822")</f>
      </c>
      <c r="B235" t="s">
        <v>114</v>
      </c>
      <c r="C235" t="s">
        <v>260</v>
      </c>
      <c r="D235" t="s">
        <v>261</v>
      </c>
      <c r="E235" t="s">
        <v>64</v>
      </c>
      <c r="F235" t="s">
        <v>4450</v>
      </c>
      <c r="G235" t="s">
        <v>18553</v>
      </c>
      <c r="H235" t="s">
        <v>1121</v>
      </c>
      <c r="I235" t="s">
        <v>1117</v>
      </c>
      <c r="J235" t="s">
        <v>4451</v>
      </c>
      <c r="K235" t="s">
        <v>4452</v>
      </c>
      <c r="L235" t="s">
        <v>36</v>
      </c>
      <c r="M235" t="s">
        <v>19177</v>
      </c>
      <c r="N235" t="s">
        <v>6029</v>
      </c>
      <c r="O235" t="s">
        <v>6029</v>
      </c>
      <c r="P235" t="s">
        <v>114</v>
      </c>
    </row>
    <row r="236">
      <c r="A236">
        <f>HYPERLINK("http://bombeiros.sp.gov.br/hidrantes/03individual/4369.html","4369")</f>
      </c>
      <c r="B236" t="s">
        <v>114</v>
      </c>
      <c r="C236" t="s">
        <v>260</v>
      </c>
      <c r="D236" t="s">
        <v>261</v>
      </c>
      <c r="E236" t="s">
        <v>64</v>
      </c>
      <c r="F236" t="s">
        <v>4456</v>
      </c>
      <c r="G236" t="s">
        <v>18099</v>
      </c>
      <c r="H236" t="s">
        <v>1112</v>
      </c>
      <c r="I236" t="s">
        <v>1108</v>
      </c>
      <c r="J236" t="s">
        <v>4457</v>
      </c>
      <c r="K236" t="s">
        <v>4458</v>
      </c>
      <c r="L236" t="s">
        <v>36</v>
      </c>
      <c r="M236" t="s">
        <v>19177</v>
      </c>
      <c r="N236" t="s">
        <v>6029</v>
      </c>
      <c r="O236" t="s">
        <v>6029</v>
      </c>
      <c r="P236" t="s">
        <v>114</v>
      </c>
    </row>
    <row r="237">
      <c r="A237">
        <f>HYPERLINK("http://bombeiros.sp.gov.br/hidrantes/03individual/3747.html","3747")</f>
      </c>
      <c r="B237" t="s">
        <v>114</v>
      </c>
      <c r="C237" t="s">
        <v>260</v>
      </c>
      <c r="D237" t="s">
        <v>260</v>
      </c>
      <c r="E237" t="s">
        <v>64</v>
      </c>
      <c r="F237" t="s">
        <v>4474</v>
      </c>
      <c r="G237" t="s">
        <v>18191</v>
      </c>
      <c r="H237" t="s">
        <v>1112</v>
      </c>
      <c r="I237" t="s">
        <v>1108</v>
      </c>
      <c r="J237" t="s">
        <v>4475</v>
      </c>
      <c r="K237" t="s">
        <v>4476</v>
      </c>
      <c r="L237" t="s">
        <v>36</v>
      </c>
      <c r="M237" t="s">
        <v>19177</v>
      </c>
      <c r="N237" t="s">
        <v>6029</v>
      </c>
      <c r="O237" t="s">
        <v>6029</v>
      </c>
      <c r="P237" t="s">
        <v>114</v>
      </c>
    </row>
    <row r="238">
      <c r="A238">
        <f>HYPERLINK("http://bombeiros.sp.gov.br/hidrantes/03individual/2038.html","2038")</f>
      </c>
      <c r="B238" t="s">
        <v>114</v>
      </c>
      <c r="C238" t="s">
        <v>260</v>
      </c>
      <c r="D238" t="s">
        <v>265</v>
      </c>
      <c r="E238" t="s">
        <v>64</v>
      </c>
      <c r="F238" t="s">
        <v>4513</v>
      </c>
      <c r="G238" t="s">
        <v>18099</v>
      </c>
      <c r="H238" t="s">
        <v>1121</v>
      </c>
      <c r="I238" t="s">
        <v>1117</v>
      </c>
      <c r="J238" t="s">
        <v>4514</v>
      </c>
      <c r="K238" t="s">
        <v>4515</v>
      </c>
      <c r="L238" t="s">
        <v>36</v>
      </c>
      <c r="M238" t="s">
        <v>19177</v>
      </c>
      <c r="N238" t="s">
        <v>6029</v>
      </c>
      <c r="O238" t="s">
        <v>6029</v>
      </c>
      <c r="P238" t="s">
        <v>114</v>
      </c>
    </row>
    <row r="239">
      <c r="A239">
        <f>HYPERLINK("http://bombeiros.sp.gov.br/hidrantes/03individual/6785.html","6785")</f>
      </c>
      <c r="B239" t="s">
        <v>114</v>
      </c>
      <c r="C239" t="s">
        <v>260</v>
      </c>
      <c r="D239" t="s">
        <v>265</v>
      </c>
      <c r="E239" t="s">
        <v>15</v>
      </c>
      <c r="F239" t="s">
        <v>4546</v>
      </c>
      <c r="G239" t="s">
        <v>18092</v>
      </c>
      <c r="H239" t="s">
        <v>1174</v>
      </c>
      <c r="I239" t="s">
        <v>1108</v>
      </c>
      <c r="J239" t="s">
        <v>4547</v>
      </c>
      <c r="K239" t="s">
        <v>4548</v>
      </c>
      <c r="L239" t="s">
        <v>36</v>
      </c>
      <c r="M239" t="s">
        <v>19177</v>
      </c>
      <c r="N239" t="s">
        <v>6029</v>
      </c>
      <c r="O239" t="s">
        <v>6029</v>
      </c>
      <c r="P239" t="s">
        <v>114</v>
      </c>
    </row>
    <row r="240">
      <c r="A240">
        <f>HYPERLINK("http://bombeiros.sp.gov.br/hidrantes/03individual/3411.html","3411")</f>
      </c>
      <c r="B240" t="s">
        <v>114</v>
      </c>
      <c r="C240" t="s">
        <v>272</v>
      </c>
      <c r="D240" t="s">
        <v>4555</v>
      </c>
      <c r="E240" t="s">
        <v>64</v>
      </c>
      <c r="F240" t="s">
        <v>4556</v>
      </c>
      <c r="G240" t="s">
        <v>18124</v>
      </c>
      <c r="H240" t="s">
        <v>1107</v>
      </c>
      <c r="I240" t="s">
        <v>1108</v>
      </c>
      <c r="J240" t="s">
        <v>4557</v>
      </c>
      <c r="K240" t="s">
        <v>4558</v>
      </c>
      <c r="L240" t="s">
        <v>36</v>
      </c>
      <c r="M240" t="s">
        <v>19177</v>
      </c>
      <c r="N240" t="s">
        <v>272</v>
      </c>
      <c r="O240" t="s">
        <v>272</v>
      </c>
      <c r="P240" t="s">
        <v>114</v>
      </c>
    </row>
    <row r="241">
      <c r="A241">
        <f>HYPERLINK("http://bombeiros.sp.gov.br/hidrantes/03individual/3460.html","3460")</f>
      </c>
      <c r="B241" t="s">
        <v>114</v>
      </c>
      <c r="C241" t="s">
        <v>272</v>
      </c>
      <c r="D241" t="s">
        <v>4555</v>
      </c>
      <c r="E241" t="s">
        <v>15</v>
      </c>
      <c r="F241" t="s">
        <v>4565</v>
      </c>
      <c r="G241" t="s">
        <v>18117</v>
      </c>
      <c r="H241" t="s">
        <v>1112</v>
      </c>
      <c r="I241" t="s">
        <v>1108</v>
      </c>
      <c r="J241" t="s">
        <v>4566</v>
      </c>
      <c r="K241" t="s">
        <v>4567</v>
      </c>
      <c r="L241" t="s">
        <v>36</v>
      </c>
      <c r="M241" t="s">
        <v>19177</v>
      </c>
      <c r="N241" t="s">
        <v>309</v>
      </c>
      <c r="O241" t="s">
        <v>6029</v>
      </c>
      <c r="P241" t="s">
        <v>114</v>
      </c>
    </row>
    <row r="242">
      <c r="A242">
        <f>HYPERLINK("http://bombeiros.sp.gov.br/hidrantes/03individual/3376.html","3376")</f>
      </c>
      <c r="B242" t="s">
        <v>114</v>
      </c>
      <c r="C242" t="s">
        <v>272</v>
      </c>
      <c r="D242" t="s">
        <v>272</v>
      </c>
      <c r="E242" t="s">
        <v>64</v>
      </c>
      <c r="F242" t="s">
        <v>4581</v>
      </c>
      <c r="G242" t="s">
        <v>18483</v>
      </c>
      <c r="H242" t="s">
        <v>1112</v>
      </c>
      <c r="I242" t="s">
        <v>1108</v>
      </c>
      <c r="J242" t="s">
        <v>4582</v>
      </c>
      <c r="K242" t="s">
        <v>4583</v>
      </c>
      <c r="L242" t="s">
        <v>36</v>
      </c>
      <c r="M242" t="s">
        <v>19177</v>
      </c>
      <c r="N242" t="s">
        <v>272</v>
      </c>
      <c r="O242" t="s">
        <v>272</v>
      </c>
      <c r="P242" t="s">
        <v>114</v>
      </c>
    </row>
    <row r="243">
      <c r="A243">
        <f>HYPERLINK("http://bombeiros.sp.gov.br/hidrantes/03individual/3342.html","3342")</f>
      </c>
      <c r="B243" t="s">
        <v>114</v>
      </c>
      <c r="C243" t="s">
        <v>272</v>
      </c>
      <c r="D243" t="s">
        <v>279</v>
      </c>
      <c r="E243" t="s">
        <v>64</v>
      </c>
      <c r="F243" t="s">
        <v>4606</v>
      </c>
      <c r="G243" t="s">
        <v>18066</v>
      </c>
      <c r="H243" t="s">
        <v>1112</v>
      </c>
      <c r="I243" t="s">
        <v>1108</v>
      </c>
      <c r="J243" t="s">
        <v>4607</v>
      </c>
      <c r="K243" t="s">
        <v>4608</v>
      </c>
      <c r="L243" t="s">
        <v>36</v>
      </c>
      <c r="M243" t="s">
        <v>19177</v>
      </c>
      <c r="N243" t="s">
        <v>272</v>
      </c>
      <c r="O243" t="s">
        <v>272</v>
      </c>
      <c r="P243" t="s">
        <v>114</v>
      </c>
    </row>
    <row r="244">
      <c r="A244">
        <f>HYPERLINK("http://bombeiros.sp.gov.br/hidrantes/03individual/3347.html","3347")</f>
      </c>
      <c r="B244" t="s">
        <v>114</v>
      </c>
      <c r="C244" t="s">
        <v>272</v>
      </c>
      <c r="D244" t="s">
        <v>279</v>
      </c>
      <c r="E244" t="s">
        <v>64</v>
      </c>
      <c r="F244" t="s">
        <v>4612</v>
      </c>
      <c r="G244" t="s">
        <v>18051</v>
      </c>
      <c r="H244" t="s">
        <v>1121</v>
      </c>
      <c r="I244" t="s">
        <v>1117</v>
      </c>
      <c r="J244" t="s">
        <v>4613</v>
      </c>
      <c r="K244" t="s">
        <v>4614</v>
      </c>
      <c r="L244" t="s">
        <v>36</v>
      </c>
      <c r="M244" t="s">
        <v>19177</v>
      </c>
      <c r="N244" t="s">
        <v>272</v>
      </c>
      <c r="O244" t="s">
        <v>272</v>
      </c>
      <c r="P244" t="s">
        <v>114</v>
      </c>
    </row>
    <row r="245">
      <c r="A245">
        <f>HYPERLINK("http://bombeiros.sp.gov.br/hidrantes/03individual/3348.html","3348")</f>
      </c>
      <c r="B245" t="s">
        <v>114</v>
      </c>
      <c r="C245" t="s">
        <v>272</v>
      </c>
      <c r="D245" t="s">
        <v>279</v>
      </c>
      <c r="E245" t="s">
        <v>64</v>
      </c>
      <c r="F245" t="s">
        <v>4615</v>
      </c>
      <c r="G245" t="s">
        <v>18145</v>
      </c>
      <c r="H245" t="s">
        <v>1112</v>
      </c>
      <c r="I245" t="s">
        <v>1108</v>
      </c>
      <c r="J245" t="s">
        <v>4616</v>
      </c>
      <c r="K245" t="s">
        <v>4617</v>
      </c>
      <c r="L245" t="s">
        <v>36</v>
      </c>
      <c r="M245" t="s">
        <v>19177</v>
      </c>
      <c r="N245" t="s">
        <v>272</v>
      </c>
      <c r="O245" t="s">
        <v>272</v>
      </c>
      <c r="P245" t="s">
        <v>114</v>
      </c>
    </row>
    <row r="246">
      <c r="A246">
        <f>HYPERLINK("http://bombeiros.sp.gov.br/hidrantes/03individual/3368.html","3368")</f>
      </c>
      <c r="B246" t="s">
        <v>114</v>
      </c>
      <c r="C246" t="s">
        <v>272</v>
      </c>
      <c r="D246" t="s">
        <v>279</v>
      </c>
      <c r="E246" t="s">
        <v>64</v>
      </c>
      <c r="F246" t="s">
        <v>4618</v>
      </c>
      <c r="G246" t="s">
        <v>18132</v>
      </c>
      <c r="H246" t="s">
        <v>1121</v>
      </c>
      <c r="I246" t="s">
        <v>1117</v>
      </c>
      <c r="J246" t="s">
        <v>4619</v>
      </c>
      <c r="K246" t="s">
        <v>4620</v>
      </c>
      <c r="L246" t="s">
        <v>36</v>
      </c>
      <c r="M246" t="s">
        <v>19177</v>
      </c>
      <c r="N246" t="s">
        <v>272</v>
      </c>
      <c r="O246" t="s">
        <v>272</v>
      </c>
      <c r="P246" t="s">
        <v>114</v>
      </c>
    </row>
    <row r="247">
      <c r="A247">
        <f>HYPERLINK("http://bombeiros.sp.gov.br/hidrantes/03individual/3424.html","3424")</f>
      </c>
      <c r="B247" t="s">
        <v>114</v>
      </c>
      <c r="C247" t="s">
        <v>272</v>
      </c>
      <c r="D247" t="s">
        <v>279</v>
      </c>
      <c r="E247" t="s">
        <v>64</v>
      </c>
      <c r="F247" t="s">
        <v>4621</v>
      </c>
      <c r="G247" t="s">
        <v>18145</v>
      </c>
      <c r="H247" t="s">
        <v>1107</v>
      </c>
      <c r="I247" t="s">
        <v>1108</v>
      </c>
      <c r="J247" t="s">
        <v>4622</v>
      </c>
      <c r="K247" t="s">
        <v>4623</v>
      </c>
      <c r="L247" t="s">
        <v>36</v>
      </c>
      <c r="M247" t="s">
        <v>19177</v>
      </c>
      <c r="N247" t="s">
        <v>272</v>
      </c>
      <c r="O247" t="s">
        <v>272</v>
      </c>
      <c r="P247" t="s">
        <v>114</v>
      </c>
    </row>
    <row r="248">
      <c r="A248">
        <f>HYPERLINK("http://bombeiros.sp.gov.br/hidrantes/03individual/3344.html","3344")</f>
      </c>
      <c r="B248" t="s">
        <v>114</v>
      </c>
      <c r="C248" t="s">
        <v>272</v>
      </c>
      <c r="D248" t="s">
        <v>279</v>
      </c>
      <c r="E248" t="s">
        <v>15</v>
      </c>
      <c r="F248" t="s">
        <v>4627</v>
      </c>
      <c r="G248" t="s">
        <v>18051</v>
      </c>
      <c r="H248" t="s">
        <v>1121</v>
      </c>
      <c r="I248" t="s">
        <v>1117</v>
      </c>
      <c r="J248" t="s">
        <v>4628</v>
      </c>
      <c r="K248" t="s">
        <v>4629</v>
      </c>
      <c r="L248" t="s">
        <v>36</v>
      </c>
      <c r="M248" t="s">
        <v>19177</v>
      </c>
      <c r="N248" t="s">
        <v>272</v>
      </c>
      <c r="O248" t="s">
        <v>272</v>
      </c>
      <c r="P248" t="s">
        <v>114</v>
      </c>
    </row>
    <row r="249">
      <c r="A249">
        <f>HYPERLINK("http://bombeiros.sp.gov.br/hidrantes/03individual/3406.html","3406")</f>
      </c>
      <c r="B249" t="s">
        <v>114</v>
      </c>
      <c r="C249" t="s">
        <v>272</v>
      </c>
      <c r="D249" t="s">
        <v>4648</v>
      </c>
      <c r="E249" t="s">
        <v>64</v>
      </c>
      <c r="F249" t="s">
        <v>4652</v>
      </c>
      <c r="G249" t="s">
        <v>18067</v>
      </c>
      <c r="H249" t="s">
        <v>1107</v>
      </c>
      <c r="I249" t="s">
        <v>1108</v>
      </c>
      <c r="J249" t="s">
        <v>4653</v>
      </c>
      <c r="K249" t="s">
        <v>4654</v>
      </c>
      <c r="L249" t="s">
        <v>36</v>
      </c>
      <c r="M249" t="s">
        <v>19177</v>
      </c>
      <c r="N249" t="s">
        <v>272</v>
      </c>
      <c r="O249" t="s">
        <v>272</v>
      </c>
      <c r="P249" t="s">
        <v>114</v>
      </c>
    </row>
    <row r="250">
      <c r="A250">
        <f>HYPERLINK("http://bombeiros.sp.gov.br/hidrantes/03individual/4412.html","4412")</f>
      </c>
      <c r="B250" t="s">
        <v>114</v>
      </c>
      <c r="C250" t="s">
        <v>272</v>
      </c>
      <c r="D250" t="s">
        <v>4648</v>
      </c>
      <c r="E250" t="s">
        <v>64</v>
      </c>
      <c r="F250" t="s">
        <v>4655</v>
      </c>
      <c r="G250" t="s">
        <v>18067</v>
      </c>
      <c r="H250" t="s">
        <v>1107</v>
      </c>
      <c r="I250" t="s">
        <v>1108</v>
      </c>
      <c r="J250" t="s">
        <v>4656</v>
      </c>
      <c r="K250" t="s">
        <v>4657</v>
      </c>
      <c r="L250" t="s">
        <v>36</v>
      </c>
      <c r="M250" t="s">
        <v>19177</v>
      </c>
      <c r="N250" t="s">
        <v>272</v>
      </c>
      <c r="O250" t="s">
        <v>272</v>
      </c>
      <c r="P250" t="s">
        <v>114</v>
      </c>
    </row>
    <row r="251">
      <c r="A251">
        <f>HYPERLINK("http://bombeiros.sp.gov.br/hidrantes/03individual/2006.html","2006")</f>
      </c>
      <c r="B251" t="s">
        <v>114</v>
      </c>
      <c r="C251" t="s">
        <v>272</v>
      </c>
      <c r="D251" t="s">
        <v>4658</v>
      </c>
      <c r="E251" t="s">
        <v>64</v>
      </c>
      <c r="F251" t="s">
        <v>4659</v>
      </c>
      <c r="G251" t="s">
        <v>18077</v>
      </c>
      <c r="H251" t="s">
        <v>1121</v>
      </c>
      <c r="I251" t="s">
        <v>1117</v>
      </c>
      <c r="J251" t="s">
        <v>4660</v>
      </c>
      <c r="K251" t="s">
        <v>4661</v>
      </c>
      <c r="L251" t="s">
        <v>36</v>
      </c>
      <c r="M251" t="s">
        <v>19177</v>
      </c>
      <c r="N251" t="s">
        <v>272</v>
      </c>
      <c r="O251" t="s">
        <v>272</v>
      </c>
      <c r="P251" t="s">
        <v>114</v>
      </c>
    </row>
    <row r="252">
      <c r="A252">
        <f>HYPERLINK("http://bombeiros.sp.gov.br/hidrantes/03individual/6781.html","6781")</f>
      </c>
      <c r="B252" t="s">
        <v>114</v>
      </c>
      <c r="C252" t="s">
        <v>4749</v>
      </c>
      <c r="D252" t="s">
        <v>4750</v>
      </c>
      <c r="E252" t="s">
        <v>64</v>
      </c>
      <c r="F252" t="s">
        <v>4757</v>
      </c>
      <c r="G252" t="s">
        <v>18050</v>
      </c>
      <c r="H252" t="s">
        <v>1121</v>
      </c>
      <c r="I252" t="s">
        <v>1117</v>
      </c>
      <c r="J252" t="s">
        <v>4758</v>
      </c>
      <c r="K252" t="s">
        <v>4759</v>
      </c>
      <c r="L252" t="s">
        <v>36</v>
      </c>
      <c r="M252" t="s">
        <v>19177</v>
      </c>
      <c r="N252" t="s">
        <v>272</v>
      </c>
      <c r="O252" t="s">
        <v>272</v>
      </c>
      <c r="P252" t="s">
        <v>114</v>
      </c>
    </row>
    <row r="253">
      <c r="A253">
        <f>HYPERLINK("http://bombeiros.sp.gov.br/hidrantes/03individual/3357.html","3357")</f>
      </c>
      <c r="B253" t="s">
        <v>114</v>
      </c>
      <c r="C253" t="s">
        <v>4749</v>
      </c>
      <c r="D253" t="s">
        <v>4749</v>
      </c>
      <c r="E253" t="s">
        <v>64</v>
      </c>
      <c r="F253" t="s">
        <v>4763</v>
      </c>
      <c r="G253" t="s">
        <v>18085</v>
      </c>
      <c r="H253" t="s">
        <v>1121</v>
      </c>
      <c r="I253" t="s">
        <v>1117</v>
      </c>
      <c r="J253" t="s">
        <v>4764</v>
      </c>
      <c r="K253" t="s">
        <v>4765</v>
      </c>
      <c r="L253" t="s">
        <v>36</v>
      </c>
      <c r="M253" t="s">
        <v>19177</v>
      </c>
      <c r="N253" t="s">
        <v>272</v>
      </c>
      <c r="O253" t="s">
        <v>272</v>
      </c>
      <c r="P253" t="s">
        <v>114</v>
      </c>
    </row>
    <row r="254">
      <c r="A254">
        <f>HYPERLINK("http://bombeiros.sp.gov.br/hidrantes/03individual/3383.html","3383")</f>
      </c>
      <c r="B254" t="s">
        <v>114</v>
      </c>
      <c r="C254" t="s">
        <v>4749</v>
      </c>
      <c r="D254" t="s">
        <v>4749</v>
      </c>
      <c r="E254" t="s">
        <v>64</v>
      </c>
      <c r="F254" t="s">
        <v>4766</v>
      </c>
      <c r="G254" t="s">
        <v>18084</v>
      </c>
      <c r="H254" t="s">
        <v>1121</v>
      </c>
      <c r="I254" t="s">
        <v>1117</v>
      </c>
      <c r="J254" t="s">
        <v>4767</v>
      </c>
      <c r="K254" t="s">
        <v>4768</v>
      </c>
      <c r="L254" t="s">
        <v>36</v>
      </c>
      <c r="M254" t="s">
        <v>19177</v>
      </c>
      <c r="N254" t="s">
        <v>272</v>
      </c>
      <c r="O254" t="s">
        <v>272</v>
      </c>
      <c r="P254" t="s">
        <v>114</v>
      </c>
    </row>
    <row r="255">
      <c r="A255">
        <f>HYPERLINK("http://bombeiros.sp.gov.br/hidrantes/03individual/3385.html","3385")</f>
      </c>
      <c r="B255" t="s">
        <v>114</v>
      </c>
      <c r="C255" t="s">
        <v>4749</v>
      </c>
      <c r="D255" t="s">
        <v>4749</v>
      </c>
      <c r="E255" t="s">
        <v>64</v>
      </c>
      <c r="F255" t="s">
        <v>4769</v>
      </c>
      <c r="G255" t="s">
        <v>18105</v>
      </c>
      <c r="H255" t="s">
        <v>1121</v>
      </c>
      <c r="I255" t="s">
        <v>1117</v>
      </c>
      <c r="J255" t="s">
        <v>4770</v>
      </c>
      <c r="K255" t="s">
        <v>4771</v>
      </c>
      <c r="L255" t="s">
        <v>36</v>
      </c>
      <c r="M255" t="s">
        <v>19177</v>
      </c>
      <c r="N255" t="s">
        <v>272</v>
      </c>
      <c r="O255" t="s">
        <v>272</v>
      </c>
      <c r="P255" t="s">
        <v>114</v>
      </c>
    </row>
    <row r="256">
      <c r="A256">
        <f>HYPERLINK("http://bombeiros.sp.gov.br/hidrantes/03individual/3412.html","3412")</f>
      </c>
      <c r="B256" t="s">
        <v>114</v>
      </c>
      <c r="C256" t="s">
        <v>4749</v>
      </c>
      <c r="D256" t="s">
        <v>4749</v>
      </c>
      <c r="E256" t="s">
        <v>64</v>
      </c>
      <c r="F256" t="s">
        <v>4772</v>
      </c>
      <c r="G256" t="s">
        <v>18046</v>
      </c>
      <c r="H256" t="s">
        <v>1121</v>
      </c>
      <c r="I256" t="s">
        <v>1117</v>
      </c>
      <c r="J256" t="s">
        <v>4773</v>
      </c>
      <c r="K256" t="s">
        <v>4774</v>
      </c>
      <c r="L256" t="s">
        <v>36</v>
      </c>
      <c r="M256" t="s">
        <v>19177</v>
      </c>
      <c r="N256" t="s">
        <v>272</v>
      </c>
      <c r="O256" t="s">
        <v>272</v>
      </c>
      <c r="P256" t="s">
        <v>114</v>
      </c>
    </row>
    <row r="257">
      <c r="A257">
        <f>HYPERLINK("http://bombeiros.sp.gov.br/hidrantes/03individual/3413.html","3413")</f>
      </c>
      <c r="B257" t="s">
        <v>114</v>
      </c>
      <c r="C257" t="s">
        <v>4749</v>
      </c>
      <c r="D257" t="s">
        <v>4749</v>
      </c>
      <c r="E257" t="s">
        <v>64</v>
      </c>
      <c r="F257" t="s">
        <v>4775</v>
      </c>
      <c r="G257" t="s">
        <v>18145</v>
      </c>
      <c r="H257" t="s">
        <v>1112</v>
      </c>
      <c r="I257" t="s">
        <v>1108</v>
      </c>
      <c r="J257" t="s">
        <v>4776</v>
      </c>
      <c r="K257" t="s">
        <v>4777</v>
      </c>
      <c r="L257" t="s">
        <v>36</v>
      </c>
      <c r="M257" t="s">
        <v>19177</v>
      </c>
      <c r="N257" t="s">
        <v>272</v>
      </c>
      <c r="O257" t="s">
        <v>272</v>
      </c>
      <c r="P257" t="s">
        <v>114</v>
      </c>
    </row>
    <row r="258">
      <c r="A258">
        <f>HYPERLINK("http://bombeiros.sp.gov.br/hidrantes/03individual/3414.html","3414")</f>
      </c>
      <c r="B258" t="s">
        <v>114</v>
      </c>
      <c r="C258" t="s">
        <v>4749</v>
      </c>
      <c r="D258" t="s">
        <v>4749</v>
      </c>
      <c r="E258" t="s">
        <v>64</v>
      </c>
      <c r="F258" t="s">
        <v>4778</v>
      </c>
      <c r="G258" t="s">
        <v>18084</v>
      </c>
      <c r="H258" t="s">
        <v>1112</v>
      </c>
      <c r="I258" t="s">
        <v>1108</v>
      </c>
      <c r="J258" t="s">
        <v>4779</v>
      </c>
      <c r="K258" t="s">
        <v>4780</v>
      </c>
      <c r="L258" t="s">
        <v>36</v>
      </c>
      <c r="M258" t="s">
        <v>19177</v>
      </c>
      <c r="N258" t="s">
        <v>272</v>
      </c>
      <c r="O258" t="s">
        <v>272</v>
      </c>
      <c r="P258" t="s">
        <v>114</v>
      </c>
    </row>
    <row r="259">
      <c r="A259">
        <f>HYPERLINK("http://bombeiros.sp.gov.br/hidrantes/03individual/3423.html","3423")</f>
      </c>
      <c r="B259" t="s">
        <v>114</v>
      </c>
      <c r="C259" t="s">
        <v>4749</v>
      </c>
      <c r="D259" t="s">
        <v>4749</v>
      </c>
      <c r="E259" t="s">
        <v>64</v>
      </c>
      <c r="F259" t="s">
        <v>4781</v>
      </c>
      <c r="G259" t="s">
        <v>18085</v>
      </c>
      <c r="H259" t="s">
        <v>1107</v>
      </c>
      <c r="I259" t="s">
        <v>1108</v>
      </c>
      <c r="J259" t="s">
        <v>4782</v>
      </c>
      <c r="K259" t="s">
        <v>4783</v>
      </c>
      <c r="L259" t="s">
        <v>36</v>
      </c>
      <c r="M259" t="s">
        <v>19177</v>
      </c>
      <c r="N259" t="s">
        <v>272</v>
      </c>
      <c r="O259" t="s">
        <v>272</v>
      </c>
      <c r="P259" t="s">
        <v>114</v>
      </c>
    </row>
    <row r="260">
      <c r="A260">
        <f>HYPERLINK("http://bombeiros.sp.gov.br/hidrantes/03individual/4316.html","4316")</f>
      </c>
      <c r="B260" t="s">
        <v>114</v>
      </c>
      <c r="C260" t="s">
        <v>4749</v>
      </c>
      <c r="D260" t="s">
        <v>4749</v>
      </c>
      <c r="E260" t="s">
        <v>64</v>
      </c>
      <c r="F260" t="s">
        <v>4784</v>
      </c>
      <c r="G260" t="s">
        <v>18085</v>
      </c>
      <c r="H260" t="s">
        <v>1121</v>
      </c>
      <c r="I260" t="s">
        <v>1117</v>
      </c>
      <c r="J260" t="s">
        <v>4785</v>
      </c>
      <c r="K260" t="s">
        <v>4786</v>
      </c>
      <c r="L260" t="s">
        <v>36</v>
      </c>
      <c r="M260" t="s">
        <v>19177</v>
      </c>
      <c r="N260" t="s">
        <v>272</v>
      </c>
      <c r="O260" t="s">
        <v>272</v>
      </c>
      <c r="P260" t="s">
        <v>114</v>
      </c>
    </row>
    <row r="261">
      <c r="A261">
        <f>HYPERLINK("http://bombeiros.sp.gov.br/hidrantes/03individual/4327.html","4327")</f>
      </c>
      <c r="B261" t="s">
        <v>114</v>
      </c>
      <c r="C261" t="s">
        <v>4824</v>
      </c>
      <c r="D261" t="s">
        <v>4824</v>
      </c>
      <c r="E261" t="s">
        <v>64</v>
      </c>
      <c r="F261" t="s">
        <v>4834</v>
      </c>
      <c r="G261" t="s">
        <v>18099</v>
      </c>
      <c r="H261" t="s">
        <v>1112</v>
      </c>
      <c r="I261" t="s">
        <v>1108</v>
      </c>
      <c r="J261" t="s">
        <v>4835</v>
      </c>
      <c r="K261" t="s">
        <v>4836</v>
      </c>
      <c r="L261" t="s">
        <v>36</v>
      </c>
      <c r="M261" t="s">
        <v>19177</v>
      </c>
      <c r="N261" t="s">
        <v>272</v>
      </c>
      <c r="O261" t="s">
        <v>272</v>
      </c>
      <c r="P261" t="s">
        <v>114</v>
      </c>
    </row>
    <row r="262">
      <c r="A262">
        <f>HYPERLINK("http://bombeiros.sp.gov.br/hidrantes/03individual/3189.html","3189")</f>
      </c>
      <c r="B262" t="s">
        <v>114</v>
      </c>
      <c r="C262" t="s">
        <v>300</v>
      </c>
      <c r="D262" t="s">
        <v>4852</v>
      </c>
      <c r="E262" t="s">
        <v>64</v>
      </c>
      <c r="F262" t="s">
        <v>4859</v>
      </c>
      <c r="G262" t="s">
        <v>18133</v>
      </c>
      <c r="H262" t="s">
        <v>1112</v>
      </c>
      <c r="I262" t="s">
        <v>1108</v>
      </c>
      <c r="J262" t="s">
        <v>4860</v>
      </c>
      <c r="K262" t="s">
        <v>4861</v>
      </c>
      <c r="L262" t="s">
        <v>36</v>
      </c>
      <c r="M262" t="s">
        <v>19177</v>
      </c>
      <c r="N262" t="s">
        <v>300</v>
      </c>
      <c r="O262" t="s">
        <v>16373</v>
      </c>
      <c r="P262" t="s">
        <v>12</v>
      </c>
    </row>
    <row r="263">
      <c r="A263">
        <f>HYPERLINK("http://bombeiros.sp.gov.br/hidrantes/03individual/3195.html","3195")</f>
      </c>
      <c r="B263" t="s">
        <v>114</v>
      </c>
      <c r="C263" t="s">
        <v>300</v>
      </c>
      <c r="D263" t="s">
        <v>4852</v>
      </c>
      <c r="E263" t="s">
        <v>64</v>
      </c>
      <c r="F263" t="s">
        <v>4862</v>
      </c>
      <c r="G263" t="s">
        <v>18066</v>
      </c>
      <c r="H263" t="s">
        <v>1112</v>
      </c>
      <c r="I263" t="s">
        <v>1108</v>
      </c>
      <c r="J263" t="s">
        <v>4863</v>
      </c>
      <c r="K263" t="s">
        <v>4864</v>
      </c>
      <c r="L263" t="s">
        <v>36</v>
      </c>
      <c r="M263" t="s">
        <v>19177</v>
      </c>
      <c r="N263" t="s">
        <v>300</v>
      </c>
      <c r="O263" t="s">
        <v>16373</v>
      </c>
      <c r="P263" t="s">
        <v>12</v>
      </c>
    </row>
    <row r="264">
      <c r="A264">
        <f>HYPERLINK("http://bombeiros.sp.gov.br/hidrantes/03individual/1509.html","1509")</f>
      </c>
      <c r="B264" t="s">
        <v>114</v>
      </c>
      <c r="C264" t="s">
        <v>300</v>
      </c>
      <c r="D264" t="s">
        <v>300</v>
      </c>
      <c r="E264" t="s">
        <v>64</v>
      </c>
      <c r="F264" t="s">
        <v>4892</v>
      </c>
      <c r="G264" t="s">
        <v>18089</v>
      </c>
      <c r="H264" t="s">
        <v>1112</v>
      </c>
      <c r="I264" t="s">
        <v>1108</v>
      </c>
      <c r="J264" t="s">
        <v>4893</v>
      </c>
      <c r="K264" t="s">
        <v>4894</v>
      </c>
      <c r="L264" t="s">
        <v>36</v>
      </c>
      <c r="M264" t="s">
        <v>19177</v>
      </c>
      <c r="N264" t="s">
        <v>300</v>
      </c>
      <c r="O264" t="s">
        <v>16373</v>
      </c>
      <c r="P264" t="s">
        <v>12</v>
      </c>
    </row>
    <row r="265">
      <c r="A265">
        <f>HYPERLINK("http://bombeiros.sp.gov.br/hidrantes/03individual/3044.html","3044")</f>
      </c>
      <c r="B265" t="s">
        <v>114</v>
      </c>
      <c r="C265" t="s">
        <v>300</v>
      </c>
      <c r="D265" t="s">
        <v>300</v>
      </c>
      <c r="E265" t="s">
        <v>64</v>
      </c>
      <c r="F265" t="s">
        <v>4901</v>
      </c>
      <c r="G265" t="s">
        <v>18066</v>
      </c>
      <c r="H265" t="s">
        <v>1112</v>
      </c>
      <c r="I265" t="s">
        <v>1108</v>
      </c>
      <c r="J265" t="s">
        <v>16509</v>
      </c>
      <c r="K265" t="s">
        <v>16510</v>
      </c>
      <c r="L265" t="s">
        <v>36</v>
      </c>
      <c r="M265" t="s">
        <v>19177</v>
      </c>
      <c r="N265" t="s">
        <v>300</v>
      </c>
      <c r="O265" t="s">
        <v>16373</v>
      </c>
      <c r="P265" t="s">
        <v>12</v>
      </c>
    </row>
    <row r="266">
      <c r="A266">
        <f>HYPERLINK("http://bombeiros.sp.gov.br/hidrantes/03individual/3127.html","3127")</f>
      </c>
      <c r="B266" t="s">
        <v>114</v>
      </c>
      <c r="C266" t="s">
        <v>300</v>
      </c>
      <c r="D266" t="s">
        <v>300</v>
      </c>
      <c r="E266" t="s">
        <v>64</v>
      </c>
      <c r="F266" t="s">
        <v>4907</v>
      </c>
      <c r="G266" t="s">
        <v>18082</v>
      </c>
      <c r="H266" t="s">
        <v>1112</v>
      </c>
      <c r="I266" t="s">
        <v>1108</v>
      </c>
      <c r="J266" t="s">
        <v>17745</v>
      </c>
      <c r="K266" t="s">
        <v>17746</v>
      </c>
      <c r="L266" t="s">
        <v>36</v>
      </c>
      <c r="M266" t="s">
        <v>19177</v>
      </c>
      <c r="N266" t="s">
        <v>300</v>
      </c>
      <c r="O266" t="s">
        <v>16373</v>
      </c>
      <c r="P266" t="s">
        <v>12</v>
      </c>
    </row>
    <row r="267">
      <c r="A267">
        <f>HYPERLINK("http://bombeiros.sp.gov.br/hidrantes/03individual/1950.html","1950")</f>
      </c>
      <c r="B267" t="s">
        <v>114</v>
      </c>
      <c r="C267" t="s">
        <v>300</v>
      </c>
      <c r="D267" t="s">
        <v>4982</v>
      </c>
      <c r="E267" t="s">
        <v>64</v>
      </c>
      <c r="F267" t="s">
        <v>4986</v>
      </c>
      <c r="G267" t="s">
        <v>18133</v>
      </c>
      <c r="H267" t="s">
        <v>1112</v>
      </c>
      <c r="I267" t="s">
        <v>1108</v>
      </c>
      <c r="J267" t="s">
        <v>4987</v>
      </c>
      <c r="K267" t="s">
        <v>4988</v>
      </c>
      <c r="L267" t="s">
        <v>36</v>
      </c>
      <c r="M267" t="s">
        <v>19177</v>
      </c>
      <c r="N267" t="s">
        <v>300</v>
      </c>
      <c r="O267" t="s">
        <v>16373</v>
      </c>
      <c r="P267" t="s">
        <v>12</v>
      </c>
    </row>
    <row r="268">
      <c r="A268">
        <f>HYPERLINK("http://bombeiros.sp.gov.br/hidrantes/03individual/3206.html","3206")</f>
      </c>
      <c r="B268" t="s">
        <v>114</v>
      </c>
      <c r="C268" t="s">
        <v>300</v>
      </c>
      <c r="D268" t="s">
        <v>4982</v>
      </c>
      <c r="E268" t="s">
        <v>64</v>
      </c>
      <c r="F268" t="s">
        <v>4989</v>
      </c>
      <c r="G268" t="s">
        <v>18133</v>
      </c>
      <c r="H268" t="s">
        <v>1112</v>
      </c>
      <c r="I268" t="s">
        <v>1108</v>
      </c>
      <c r="J268" t="s">
        <v>4990</v>
      </c>
      <c r="K268" t="s">
        <v>4991</v>
      </c>
      <c r="L268" t="s">
        <v>36</v>
      </c>
      <c r="M268" t="s">
        <v>19177</v>
      </c>
      <c r="N268" t="s">
        <v>300</v>
      </c>
      <c r="O268" t="s">
        <v>16373</v>
      </c>
      <c r="P268" t="s">
        <v>12</v>
      </c>
    </row>
    <row r="269">
      <c r="A269">
        <f>HYPERLINK("http://bombeiros.sp.gov.br/hidrantes/03individual/1696.html","1696")</f>
      </c>
      <c r="B269" t="s">
        <v>114</v>
      </c>
      <c r="C269" t="s">
        <v>300</v>
      </c>
      <c r="D269" t="s">
        <v>4982</v>
      </c>
      <c r="E269" t="s">
        <v>15</v>
      </c>
      <c r="F269" t="s">
        <v>5025</v>
      </c>
      <c r="G269" t="s">
        <v>18172</v>
      </c>
      <c r="H269" t="s">
        <v>1112</v>
      </c>
      <c r="I269" t="s">
        <v>1108</v>
      </c>
      <c r="J269" t="s">
        <v>5026</v>
      </c>
      <c r="K269" t="s">
        <v>5027</v>
      </c>
      <c r="L269" t="s">
        <v>36</v>
      </c>
      <c r="M269" t="s">
        <v>19177</v>
      </c>
      <c r="N269" t="s">
        <v>300</v>
      </c>
      <c r="O269" t="s">
        <v>16373</v>
      </c>
      <c r="P269" t="s">
        <v>12</v>
      </c>
    </row>
    <row r="270">
      <c r="A270">
        <f>HYPERLINK("http://bombeiros.sp.gov.br/hidrantes/03individual/1002.html","1002")</f>
      </c>
      <c r="B270" t="s">
        <v>114</v>
      </c>
      <c r="C270" t="s">
        <v>304</v>
      </c>
      <c r="D270" t="s">
        <v>5064</v>
      </c>
      <c r="E270" t="s">
        <v>64</v>
      </c>
      <c r="F270" t="s">
        <v>5068</v>
      </c>
      <c r="G270" t="s">
        <v>18098</v>
      </c>
      <c r="H270" t="s">
        <v>1112</v>
      </c>
      <c r="I270" t="s">
        <v>1108</v>
      </c>
      <c r="J270" t="s">
        <v>5069</v>
      </c>
      <c r="K270" t="s">
        <v>5070</v>
      </c>
      <c r="L270" t="s">
        <v>36</v>
      </c>
      <c r="M270" t="s">
        <v>19177</v>
      </c>
      <c r="N270" t="s">
        <v>97</v>
      </c>
      <c r="O270" t="s">
        <v>937</v>
      </c>
      <c r="P270" t="s">
        <v>12</v>
      </c>
    </row>
    <row r="271">
      <c r="A271">
        <f>HYPERLINK("http://bombeiros.sp.gov.br/hidrantes/03individual/1001.html","1001")</f>
      </c>
      <c r="B271" t="s">
        <v>114</v>
      </c>
      <c r="C271" t="s">
        <v>304</v>
      </c>
      <c r="D271" t="s">
        <v>5087</v>
      </c>
      <c r="E271" t="s">
        <v>64</v>
      </c>
      <c r="F271" t="s">
        <v>5091</v>
      </c>
      <c r="G271" t="s">
        <v>18048</v>
      </c>
      <c r="H271" t="s">
        <v>1112</v>
      </c>
      <c r="I271" t="s">
        <v>1108</v>
      </c>
      <c r="J271" t="s">
        <v>5092</v>
      </c>
      <c r="K271" t="s">
        <v>5093</v>
      </c>
      <c r="L271" t="s">
        <v>36</v>
      </c>
      <c r="M271" t="s">
        <v>19177</v>
      </c>
      <c r="N271" t="s">
        <v>97</v>
      </c>
      <c r="O271" t="s">
        <v>937</v>
      </c>
      <c r="P271" t="s">
        <v>12</v>
      </c>
    </row>
    <row r="272">
      <c r="A272">
        <f>HYPERLINK("http://bombeiros.sp.gov.br/hidrantes/03individual/1743.html","1743")</f>
      </c>
      <c r="B272" t="s">
        <v>114</v>
      </c>
      <c r="C272" t="s">
        <v>304</v>
      </c>
      <c r="D272" t="s">
        <v>5087</v>
      </c>
      <c r="E272" t="s">
        <v>64</v>
      </c>
      <c r="F272" t="s">
        <v>5094</v>
      </c>
      <c r="G272" t="s">
        <v>18048</v>
      </c>
      <c r="H272" t="s">
        <v>1174</v>
      </c>
      <c r="I272" t="s">
        <v>1108</v>
      </c>
      <c r="J272" t="s">
        <v>5095</v>
      </c>
      <c r="K272" t="s">
        <v>5096</v>
      </c>
      <c r="L272" t="s">
        <v>36</v>
      </c>
      <c r="M272" t="s">
        <v>19177</v>
      </c>
      <c r="N272" t="s">
        <v>97</v>
      </c>
      <c r="O272" t="s">
        <v>937</v>
      </c>
      <c r="P272" t="s">
        <v>12</v>
      </c>
    </row>
    <row r="273">
      <c r="A273">
        <f>HYPERLINK("http://bombeiros.sp.gov.br/hidrantes/03individual/789.html","789")</f>
      </c>
      <c r="B273" t="s">
        <v>114</v>
      </c>
      <c r="C273" t="s">
        <v>304</v>
      </c>
      <c r="D273" t="s">
        <v>304</v>
      </c>
      <c r="E273" t="s">
        <v>15</v>
      </c>
      <c r="F273" t="s">
        <v>5166</v>
      </c>
      <c r="G273" t="s">
        <v>18072</v>
      </c>
      <c r="H273" t="s">
        <v>1107</v>
      </c>
      <c r="I273" t="s">
        <v>1108</v>
      </c>
      <c r="J273" t="s">
        <v>5167</v>
      </c>
      <c r="K273" t="s">
        <v>5168</v>
      </c>
      <c r="L273" t="s">
        <v>36</v>
      </c>
      <c r="M273" t="s">
        <v>19177</v>
      </c>
      <c r="N273" t="s">
        <v>97</v>
      </c>
      <c r="O273" t="s">
        <v>937</v>
      </c>
      <c r="P273" t="s">
        <v>12</v>
      </c>
    </row>
    <row r="274">
      <c r="A274">
        <f>HYPERLINK("http://bombeiros.sp.gov.br/hidrantes/03individual/1745.html","1745")</f>
      </c>
      <c r="B274" t="s">
        <v>114</v>
      </c>
      <c r="C274" t="s">
        <v>304</v>
      </c>
      <c r="D274" t="s">
        <v>304</v>
      </c>
      <c r="E274" t="s">
        <v>15</v>
      </c>
      <c r="F274" t="s">
        <v>5190</v>
      </c>
      <c r="G274" t="s">
        <v>18048</v>
      </c>
      <c r="H274" t="s">
        <v>1107</v>
      </c>
      <c r="I274" t="s">
        <v>1108</v>
      </c>
      <c r="J274" t="s">
        <v>5191</v>
      </c>
      <c r="K274" t="s">
        <v>5192</v>
      </c>
      <c r="L274" t="s">
        <v>36</v>
      </c>
      <c r="M274" t="s">
        <v>19177</v>
      </c>
      <c r="N274" t="s">
        <v>97</v>
      </c>
      <c r="O274" t="s">
        <v>937</v>
      </c>
      <c r="P274" t="s">
        <v>12</v>
      </c>
    </row>
    <row r="275">
      <c r="A275">
        <f>HYPERLINK("http://bombeiros.sp.gov.br/hidrantes/03individual/2008.html","2008")</f>
      </c>
      <c r="B275" t="s">
        <v>114</v>
      </c>
      <c r="C275" t="s">
        <v>304</v>
      </c>
      <c r="D275" t="s">
        <v>304</v>
      </c>
      <c r="E275" t="s">
        <v>15</v>
      </c>
      <c r="F275" t="s">
        <v>5207</v>
      </c>
      <c r="G275" t="s">
        <v>18083</v>
      </c>
      <c r="H275" t="s">
        <v>1121</v>
      </c>
      <c r="I275" t="s">
        <v>1117</v>
      </c>
      <c r="J275" t="s">
        <v>5208</v>
      </c>
      <c r="K275" t="s">
        <v>5209</v>
      </c>
      <c r="L275" t="s">
        <v>36</v>
      </c>
      <c r="M275" t="s">
        <v>19177</v>
      </c>
      <c r="N275" t="s">
        <v>97</v>
      </c>
      <c r="O275" t="s">
        <v>937</v>
      </c>
      <c r="P275" t="s">
        <v>12</v>
      </c>
    </row>
    <row r="276">
      <c r="A276">
        <f>HYPERLINK("http://bombeiros.sp.gov.br/hidrantes/03individual/43.html","43")</f>
      </c>
      <c r="B276" t="s">
        <v>114</v>
      </c>
      <c r="C276" t="s">
        <v>309</v>
      </c>
      <c r="D276" t="s">
        <v>309</v>
      </c>
      <c r="E276" t="s">
        <v>64</v>
      </c>
      <c r="F276" t="s">
        <v>5246</v>
      </c>
      <c r="G276" t="s">
        <v>18065</v>
      </c>
      <c r="H276" t="s">
        <v>1107</v>
      </c>
      <c r="I276" t="s">
        <v>1108</v>
      </c>
      <c r="J276" t="s">
        <v>5247</v>
      </c>
      <c r="K276" t="s">
        <v>5248</v>
      </c>
      <c r="L276" t="s">
        <v>36</v>
      </c>
      <c r="M276" t="s">
        <v>19177</v>
      </c>
      <c r="N276" t="s">
        <v>309</v>
      </c>
      <c r="O276" t="s">
        <v>6029</v>
      </c>
      <c r="P276" t="s">
        <v>114</v>
      </c>
    </row>
    <row r="277">
      <c r="A277">
        <f>HYPERLINK("http://bombeiros.sp.gov.br/hidrantes/03individual/832.html","832")</f>
      </c>
      <c r="B277" t="s">
        <v>114</v>
      </c>
      <c r="C277" t="s">
        <v>309</v>
      </c>
      <c r="D277" t="s">
        <v>309</v>
      </c>
      <c r="E277" t="s">
        <v>64</v>
      </c>
      <c r="F277" t="s">
        <v>5249</v>
      </c>
      <c r="G277" t="s">
        <v>18082</v>
      </c>
      <c r="H277" t="s">
        <v>1121</v>
      </c>
      <c r="I277" t="s">
        <v>1117</v>
      </c>
      <c r="J277" t="s">
        <v>5250</v>
      </c>
      <c r="K277" t="s">
        <v>5251</v>
      </c>
      <c r="L277" t="s">
        <v>36</v>
      </c>
      <c r="M277" t="s">
        <v>19177</v>
      </c>
      <c r="N277" t="s">
        <v>309</v>
      </c>
      <c r="O277" t="s">
        <v>6029</v>
      </c>
      <c r="P277" t="s">
        <v>114</v>
      </c>
    </row>
    <row r="278">
      <c r="A278">
        <f>HYPERLINK("http://bombeiros.sp.gov.br/hidrantes/03individual/1331.html","1331")</f>
      </c>
      <c r="B278" t="s">
        <v>114</v>
      </c>
      <c r="C278" t="s">
        <v>309</v>
      </c>
      <c r="D278" t="s">
        <v>309</v>
      </c>
      <c r="E278" t="s">
        <v>64</v>
      </c>
      <c r="F278" t="s">
        <v>310</v>
      </c>
      <c r="G278" t="s">
        <v>18192</v>
      </c>
      <c r="H278"/>
      <c r="I278" t="s">
        <v>18</v>
      </c>
      <c r="J278" t="s">
        <v>312</v>
      </c>
      <c r="K278" t="s">
        <v>313</v>
      </c>
      <c r="L278" t="s">
        <v>36</v>
      </c>
      <c r="M278" t="s">
        <v>19177</v>
      </c>
      <c r="N278" t="s">
        <v>309</v>
      </c>
      <c r="O278" t="s">
        <v>6029</v>
      </c>
      <c r="P278" t="s">
        <v>114</v>
      </c>
    </row>
    <row r="279">
      <c r="A279">
        <f>HYPERLINK("http://bombeiros.sp.gov.br/hidrantes/03individual/1364.html","1364")</f>
      </c>
      <c r="B279" t="s">
        <v>114</v>
      </c>
      <c r="C279" t="s">
        <v>309</v>
      </c>
      <c r="D279" t="s">
        <v>309</v>
      </c>
      <c r="E279" t="s">
        <v>64</v>
      </c>
      <c r="F279" t="s">
        <v>5264</v>
      </c>
      <c r="G279" t="s">
        <v>18193</v>
      </c>
      <c r="H279" t="s">
        <v>1112</v>
      </c>
      <c r="I279" t="s">
        <v>1108</v>
      </c>
      <c r="J279" t="s">
        <v>5265</v>
      </c>
      <c r="K279" t="s">
        <v>5266</v>
      </c>
      <c r="L279" t="s">
        <v>36</v>
      </c>
      <c r="M279" t="s">
        <v>19177</v>
      </c>
      <c r="N279" t="s">
        <v>309</v>
      </c>
      <c r="O279" t="s">
        <v>6029</v>
      </c>
      <c r="P279" t="s">
        <v>114</v>
      </c>
    </row>
    <row r="280">
      <c r="A280">
        <f>HYPERLINK("http://bombeiros.sp.gov.br/hidrantes/03individual/1365.html","1365")</f>
      </c>
      <c r="B280" t="s">
        <v>114</v>
      </c>
      <c r="C280" t="s">
        <v>309</v>
      </c>
      <c r="D280" t="s">
        <v>309</v>
      </c>
      <c r="E280" t="s">
        <v>64</v>
      </c>
      <c r="F280" t="s">
        <v>5267</v>
      </c>
      <c r="G280" t="s">
        <v>18097</v>
      </c>
      <c r="H280" t="s">
        <v>1121</v>
      </c>
      <c r="I280" t="s">
        <v>1117</v>
      </c>
      <c r="J280" t="s">
        <v>16515</v>
      </c>
      <c r="K280" t="s">
        <v>16516</v>
      </c>
      <c r="L280" t="s">
        <v>36</v>
      </c>
      <c r="M280" t="s">
        <v>19177</v>
      </c>
      <c r="N280" t="s">
        <v>309</v>
      </c>
      <c r="O280" t="s">
        <v>6029</v>
      </c>
      <c r="P280" t="s">
        <v>114</v>
      </c>
    </row>
    <row r="281">
      <c r="A281">
        <f>HYPERLINK("http://bombeiros.sp.gov.br/hidrantes/03individual/1333.html","1333")</f>
      </c>
      <c r="B281" t="s">
        <v>114</v>
      </c>
      <c r="C281" t="s">
        <v>309</v>
      </c>
      <c r="D281" t="s">
        <v>309</v>
      </c>
      <c r="E281" t="s">
        <v>15</v>
      </c>
      <c r="F281" t="s">
        <v>5276</v>
      </c>
      <c r="G281" t="s">
        <v>18193</v>
      </c>
      <c r="H281" t="s">
        <v>1112</v>
      </c>
      <c r="I281" t="s">
        <v>1108</v>
      </c>
      <c r="J281" t="s">
        <v>5277</v>
      </c>
      <c r="K281" t="s">
        <v>5278</v>
      </c>
      <c r="L281" t="s">
        <v>36</v>
      </c>
      <c r="M281" t="s">
        <v>19177</v>
      </c>
      <c r="N281" t="s">
        <v>309</v>
      </c>
      <c r="O281" t="s">
        <v>6029</v>
      </c>
      <c r="P281" t="s">
        <v>114</v>
      </c>
    </row>
    <row r="282">
      <c r="A282">
        <f>HYPERLINK("http://bombeiros.sp.gov.br/hidrantes/03individual/1363.html","1363")</f>
      </c>
      <c r="B282" t="s">
        <v>114</v>
      </c>
      <c r="C282" t="s">
        <v>309</v>
      </c>
      <c r="D282" t="s">
        <v>309</v>
      </c>
      <c r="E282" t="s">
        <v>15</v>
      </c>
      <c r="F282" t="s">
        <v>5282</v>
      </c>
      <c r="G282" t="s">
        <v>18096</v>
      </c>
      <c r="H282" t="s">
        <v>1107</v>
      </c>
      <c r="I282" t="s">
        <v>1108</v>
      </c>
      <c r="J282" t="s">
        <v>5283</v>
      </c>
      <c r="K282" t="s">
        <v>5284</v>
      </c>
      <c r="L282" t="s">
        <v>36</v>
      </c>
      <c r="M282" t="s">
        <v>19177</v>
      </c>
      <c r="N282" t="s">
        <v>309</v>
      </c>
      <c r="O282" t="s">
        <v>6029</v>
      </c>
      <c r="P282" t="s">
        <v>114</v>
      </c>
    </row>
    <row r="283">
      <c r="A283">
        <f>HYPERLINK("http://bombeiros.sp.gov.br/hidrantes/03individual/1398.html","1398")</f>
      </c>
      <c r="B283" t="s">
        <v>114</v>
      </c>
      <c r="C283" t="s">
        <v>309</v>
      </c>
      <c r="D283" t="s">
        <v>309</v>
      </c>
      <c r="E283" t="s">
        <v>15</v>
      </c>
      <c r="F283" t="s">
        <v>5291</v>
      </c>
      <c r="G283" t="s">
        <v>18194</v>
      </c>
      <c r="H283" t="s">
        <v>1121</v>
      </c>
      <c r="I283" t="s">
        <v>1117</v>
      </c>
      <c r="J283" t="s">
        <v>5292</v>
      </c>
      <c r="K283" t="s">
        <v>5293</v>
      </c>
      <c r="L283" t="s">
        <v>36</v>
      </c>
      <c r="M283" t="s">
        <v>19177</v>
      </c>
      <c r="N283" t="s">
        <v>309</v>
      </c>
      <c r="O283" t="s">
        <v>6029</v>
      </c>
      <c r="P283" t="s">
        <v>114</v>
      </c>
    </row>
    <row r="284">
      <c r="A284">
        <f>HYPERLINK("http://bombeiros.sp.gov.br/hidrantes/03individual/822.html","822")</f>
      </c>
      <c r="B284" t="s">
        <v>114</v>
      </c>
      <c r="C284" t="s">
        <v>309</v>
      </c>
      <c r="D284" t="s">
        <v>5342</v>
      </c>
      <c r="E284" t="s">
        <v>64</v>
      </c>
      <c r="F284" t="s">
        <v>5343</v>
      </c>
      <c r="G284" t="s">
        <v>18085</v>
      </c>
      <c r="H284" t="s">
        <v>1112</v>
      </c>
      <c r="I284" t="s">
        <v>1108</v>
      </c>
      <c r="J284" t="s">
        <v>5344</v>
      </c>
      <c r="K284" t="s">
        <v>5345</v>
      </c>
      <c r="L284" t="s">
        <v>36</v>
      </c>
      <c r="M284" t="s">
        <v>19177</v>
      </c>
      <c r="N284" t="s">
        <v>309</v>
      </c>
      <c r="O284" t="s">
        <v>6029</v>
      </c>
      <c r="P284" t="s">
        <v>114</v>
      </c>
    </row>
    <row r="285">
      <c r="A285">
        <f>HYPERLINK("http://bombeiros.sp.gov.br/hidrantes/03individual/943.html","943")</f>
      </c>
      <c r="B285" t="s">
        <v>114</v>
      </c>
      <c r="C285" t="s">
        <v>309</v>
      </c>
      <c r="D285" t="s">
        <v>5342</v>
      </c>
      <c r="E285" t="s">
        <v>64</v>
      </c>
      <c r="F285" t="s">
        <v>5346</v>
      </c>
      <c r="G285" t="s">
        <v>18076</v>
      </c>
      <c r="H285" t="s">
        <v>1112</v>
      </c>
      <c r="I285" t="s">
        <v>1108</v>
      </c>
      <c r="J285" t="s">
        <v>5347</v>
      </c>
      <c r="K285" t="s">
        <v>5348</v>
      </c>
      <c r="L285" t="s">
        <v>36</v>
      </c>
      <c r="M285" t="s">
        <v>19177</v>
      </c>
      <c r="N285" t="s">
        <v>309</v>
      </c>
      <c r="O285" t="s">
        <v>6029</v>
      </c>
      <c r="P285" t="s">
        <v>114</v>
      </c>
    </row>
    <row r="286">
      <c r="A286">
        <f>HYPERLINK("http://bombeiros.sp.gov.br/hidrantes/03individual/961.html","961")</f>
      </c>
      <c r="B286" t="s">
        <v>114</v>
      </c>
      <c r="C286" t="s">
        <v>309</v>
      </c>
      <c r="D286" t="s">
        <v>5342</v>
      </c>
      <c r="E286" t="s">
        <v>64</v>
      </c>
      <c r="F286" t="s">
        <v>5352</v>
      </c>
      <c r="G286" t="s">
        <v>18099</v>
      </c>
      <c r="H286" t="s">
        <v>1107</v>
      </c>
      <c r="I286" t="s">
        <v>1108</v>
      </c>
      <c r="J286" t="s">
        <v>5353</v>
      </c>
      <c r="K286" t="s">
        <v>5354</v>
      </c>
      <c r="L286" t="s">
        <v>36</v>
      </c>
      <c r="M286" t="s">
        <v>19177</v>
      </c>
      <c r="N286" t="s">
        <v>309</v>
      </c>
      <c r="O286" t="s">
        <v>6029</v>
      </c>
      <c r="P286" t="s">
        <v>114</v>
      </c>
    </row>
    <row r="287">
      <c r="A287">
        <f>HYPERLINK("http://bombeiros.sp.gov.br/hidrantes/03individual/2986.html","2986")</f>
      </c>
      <c r="B287" t="s">
        <v>114</v>
      </c>
      <c r="C287" t="s">
        <v>309</v>
      </c>
      <c r="D287" t="s">
        <v>5342</v>
      </c>
      <c r="E287" t="s">
        <v>64</v>
      </c>
      <c r="F287" t="s">
        <v>5355</v>
      </c>
      <c r="G287" t="s">
        <v>18099</v>
      </c>
      <c r="H287" t="s">
        <v>1107</v>
      </c>
      <c r="I287" t="s">
        <v>1108</v>
      </c>
      <c r="J287" t="s">
        <v>5356</v>
      </c>
      <c r="K287" t="s">
        <v>5357</v>
      </c>
      <c r="L287" t="s">
        <v>36</v>
      </c>
      <c r="M287" t="s">
        <v>19177</v>
      </c>
      <c r="N287" t="s">
        <v>309</v>
      </c>
      <c r="O287" t="s">
        <v>6029</v>
      </c>
      <c r="P287" t="s">
        <v>114</v>
      </c>
    </row>
    <row r="288">
      <c r="A288">
        <f>HYPERLINK("http://bombeiros.sp.gov.br/hidrantes/03individual/3157.html","3157")</f>
      </c>
      <c r="B288" t="s">
        <v>114</v>
      </c>
      <c r="C288" t="s">
        <v>309</v>
      </c>
      <c r="D288" t="s">
        <v>5342</v>
      </c>
      <c r="E288" t="s">
        <v>64</v>
      </c>
      <c r="F288" t="s">
        <v>5358</v>
      </c>
      <c r="G288" t="s">
        <v>18067</v>
      </c>
      <c r="H288" t="s">
        <v>1121</v>
      </c>
      <c r="I288" t="s">
        <v>1117</v>
      </c>
      <c r="J288" t="s">
        <v>5359</v>
      </c>
      <c r="K288" t="s">
        <v>5360</v>
      </c>
      <c r="L288" t="s">
        <v>36</v>
      </c>
      <c r="M288" t="s">
        <v>19177</v>
      </c>
      <c r="N288" t="s">
        <v>309</v>
      </c>
      <c r="O288" t="s">
        <v>6029</v>
      </c>
      <c r="P288" t="s">
        <v>114</v>
      </c>
    </row>
    <row r="289">
      <c r="A289">
        <f>HYPERLINK("http://bombeiros.sp.gov.br/hidrantes/03individual/963.html","963")</f>
      </c>
      <c r="B289" t="s">
        <v>114</v>
      </c>
      <c r="C289" t="s">
        <v>309</v>
      </c>
      <c r="D289" t="s">
        <v>314</v>
      </c>
      <c r="E289" t="s">
        <v>64</v>
      </c>
      <c r="F289" t="s">
        <v>5427</v>
      </c>
      <c r="G289" t="s">
        <v>18099</v>
      </c>
      <c r="H289" t="s">
        <v>1112</v>
      </c>
      <c r="I289" t="s">
        <v>1108</v>
      </c>
      <c r="J289" t="s">
        <v>5428</v>
      </c>
      <c r="K289" t="s">
        <v>5429</v>
      </c>
      <c r="L289" t="s">
        <v>36</v>
      </c>
      <c r="M289" t="s">
        <v>19177</v>
      </c>
      <c r="N289"/>
      <c r="O289" t="s">
        <v>272</v>
      </c>
      <c r="P289" t="s">
        <v>114</v>
      </c>
    </row>
    <row r="290">
      <c r="A290">
        <f>HYPERLINK("http://bombeiros.sp.gov.br/hidrantes/03individual/964.html","964")</f>
      </c>
      <c r="B290" t="s">
        <v>114</v>
      </c>
      <c r="C290" t="s">
        <v>309</v>
      </c>
      <c r="D290" t="s">
        <v>314</v>
      </c>
      <c r="E290" t="s">
        <v>64</v>
      </c>
      <c r="F290" t="s">
        <v>5430</v>
      </c>
      <c r="G290" t="s">
        <v>18103</v>
      </c>
      <c r="H290" t="s">
        <v>1107</v>
      </c>
      <c r="I290" t="s">
        <v>1108</v>
      </c>
      <c r="J290" t="s">
        <v>5431</v>
      </c>
      <c r="K290" t="s">
        <v>5432</v>
      </c>
      <c r="L290" t="s">
        <v>36</v>
      </c>
      <c r="M290" t="s">
        <v>19177</v>
      </c>
      <c r="N290" t="s">
        <v>309</v>
      </c>
      <c r="O290" t="s">
        <v>6029</v>
      </c>
      <c r="P290" t="s">
        <v>114</v>
      </c>
    </row>
    <row r="291">
      <c r="A291">
        <f>HYPERLINK("http://bombeiros.sp.gov.br/hidrantes/03individual/1050.html","1050")</f>
      </c>
      <c r="B291" t="s">
        <v>114</v>
      </c>
      <c r="C291" t="s">
        <v>318</v>
      </c>
      <c r="D291" t="s">
        <v>318</v>
      </c>
      <c r="E291" t="s">
        <v>64</v>
      </c>
      <c r="F291" t="s">
        <v>5573</v>
      </c>
      <c r="G291" t="s">
        <v>18084</v>
      </c>
      <c r="H291" t="s">
        <v>1107</v>
      </c>
      <c r="I291" t="s">
        <v>1108</v>
      </c>
      <c r="J291" t="s">
        <v>16893</v>
      </c>
      <c r="K291" t="s">
        <v>16894</v>
      </c>
      <c r="L291" t="s">
        <v>36</v>
      </c>
      <c r="M291" t="s">
        <v>19177</v>
      </c>
      <c r="N291" t="s">
        <v>309</v>
      </c>
      <c r="O291" t="s">
        <v>6029</v>
      </c>
      <c r="P291" t="s">
        <v>114</v>
      </c>
    </row>
    <row r="292">
      <c r="A292">
        <f>HYPERLINK("http://bombeiros.sp.gov.br/hidrantes/03individual/1051.html","1051")</f>
      </c>
      <c r="B292" t="s">
        <v>114</v>
      </c>
      <c r="C292" t="s">
        <v>318</v>
      </c>
      <c r="D292" t="s">
        <v>318</v>
      </c>
      <c r="E292" t="s">
        <v>64</v>
      </c>
      <c r="F292" t="s">
        <v>5576</v>
      </c>
      <c r="G292" t="s">
        <v>18143</v>
      </c>
      <c r="H292" t="s">
        <v>1112</v>
      </c>
      <c r="I292" t="s">
        <v>1108</v>
      </c>
      <c r="J292" t="s">
        <v>15860</v>
      </c>
      <c r="K292" t="s">
        <v>15861</v>
      </c>
      <c r="L292" t="s">
        <v>36</v>
      </c>
      <c r="M292" t="s">
        <v>19177</v>
      </c>
      <c r="N292" t="s">
        <v>309</v>
      </c>
      <c r="O292" t="s">
        <v>6029</v>
      </c>
      <c r="P292" t="s">
        <v>114</v>
      </c>
    </row>
    <row r="293">
      <c r="A293">
        <f>HYPERLINK("http://bombeiros.sp.gov.br/hidrantes/03individual/1916.html","1916")</f>
      </c>
      <c r="B293" t="s">
        <v>114</v>
      </c>
      <c r="C293" t="s">
        <v>318</v>
      </c>
      <c r="D293" t="s">
        <v>318</v>
      </c>
      <c r="E293" t="s">
        <v>64</v>
      </c>
      <c r="F293" t="s">
        <v>5579</v>
      </c>
      <c r="G293" t="s">
        <v>18099</v>
      </c>
      <c r="H293" t="s">
        <v>1107</v>
      </c>
      <c r="I293" t="s">
        <v>1108</v>
      </c>
      <c r="J293" t="s">
        <v>5580</v>
      </c>
      <c r="K293" t="s">
        <v>5581</v>
      </c>
      <c r="L293" t="s">
        <v>36</v>
      </c>
      <c r="M293" t="s">
        <v>19177</v>
      </c>
      <c r="N293" t="s">
        <v>309</v>
      </c>
      <c r="O293" t="s">
        <v>6029</v>
      </c>
      <c r="P293" t="s">
        <v>114</v>
      </c>
    </row>
    <row r="294">
      <c r="A294">
        <f>HYPERLINK("http://bombeiros.sp.gov.br/hidrantes/03individual/1919.html","1919")</f>
      </c>
      <c r="B294" t="s">
        <v>114</v>
      </c>
      <c r="C294" t="s">
        <v>318</v>
      </c>
      <c r="D294" t="s">
        <v>318</v>
      </c>
      <c r="E294" t="s">
        <v>64</v>
      </c>
      <c r="F294" t="s">
        <v>5582</v>
      </c>
      <c r="G294" t="s">
        <v>18074</v>
      </c>
      <c r="H294" t="s">
        <v>1121</v>
      </c>
      <c r="I294" t="s">
        <v>1117</v>
      </c>
      <c r="J294" t="s">
        <v>5583</v>
      </c>
      <c r="K294" t="s">
        <v>5584</v>
      </c>
      <c r="L294" t="s">
        <v>36</v>
      </c>
      <c r="M294" t="s">
        <v>19177</v>
      </c>
      <c r="N294" t="s">
        <v>309</v>
      </c>
      <c r="O294" t="s">
        <v>6029</v>
      </c>
      <c r="P294" t="s">
        <v>114</v>
      </c>
    </row>
    <row r="295">
      <c r="A295">
        <f>HYPERLINK("http://bombeiros.sp.gov.br/hidrantes/03individual/3387.html","3387")</f>
      </c>
      <c r="B295" t="s">
        <v>114</v>
      </c>
      <c r="C295" t="s">
        <v>318</v>
      </c>
      <c r="D295" t="s">
        <v>318</v>
      </c>
      <c r="E295" t="s">
        <v>64</v>
      </c>
      <c r="F295" t="s">
        <v>5585</v>
      </c>
      <c r="G295" t="s">
        <v>18099</v>
      </c>
      <c r="H295" t="s">
        <v>1107</v>
      </c>
      <c r="I295" t="s">
        <v>1108</v>
      </c>
      <c r="J295" t="s">
        <v>5586</v>
      </c>
      <c r="K295" t="s">
        <v>5587</v>
      </c>
      <c r="L295" t="s">
        <v>36</v>
      </c>
      <c r="M295" t="s">
        <v>19177</v>
      </c>
      <c r="N295" t="s">
        <v>309</v>
      </c>
      <c r="O295" t="s">
        <v>6029</v>
      </c>
      <c r="P295" t="s">
        <v>114</v>
      </c>
    </row>
    <row r="296">
      <c r="A296">
        <f>HYPERLINK("http://bombeiros.sp.gov.br/hidrantes/03individual/881.html","881")</f>
      </c>
      <c r="B296" t="s">
        <v>114</v>
      </c>
      <c r="C296" t="s">
        <v>322</v>
      </c>
      <c r="D296" t="s">
        <v>5618</v>
      </c>
      <c r="E296" t="s">
        <v>64</v>
      </c>
      <c r="F296" t="s">
        <v>5619</v>
      </c>
      <c r="G296" t="s">
        <v>18119</v>
      </c>
      <c r="H296" t="s">
        <v>1112</v>
      </c>
      <c r="I296" t="s">
        <v>1108</v>
      </c>
      <c r="J296" t="s">
        <v>5620</v>
      </c>
      <c r="K296" t="s">
        <v>5621</v>
      </c>
      <c r="L296" t="s">
        <v>36</v>
      </c>
      <c r="M296" t="s">
        <v>19177</v>
      </c>
      <c r="N296" t="s">
        <v>300</v>
      </c>
      <c r="O296" t="s">
        <v>16373</v>
      </c>
      <c r="P296" t="s">
        <v>12</v>
      </c>
    </row>
    <row r="297">
      <c r="A297">
        <f>HYPERLINK("http://bombeiros.sp.gov.br/hidrantes/03individual/883.html","883")</f>
      </c>
      <c r="B297" t="s">
        <v>114</v>
      </c>
      <c r="C297" t="s">
        <v>322</v>
      </c>
      <c r="D297" t="s">
        <v>5618</v>
      </c>
      <c r="E297" t="s">
        <v>64</v>
      </c>
      <c r="F297" t="s">
        <v>5622</v>
      </c>
      <c r="G297" t="s">
        <v>18050</v>
      </c>
      <c r="H297" t="s">
        <v>1112</v>
      </c>
      <c r="I297" t="s">
        <v>1108</v>
      </c>
      <c r="J297" t="s">
        <v>5623</v>
      </c>
      <c r="K297" t="s">
        <v>5624</v>
      </c>
      <c r="L297" t="s">
        <v>36</v>
      </c>
      <c r="M297" t="s">
        <v>19177</v>
      </c>
      <c r="N297" t="s">
        <v>300</v>
      </c>
      <c r="O297" t="s">
        <v>16373</v>
      </c>
      <c r="P297" t="s">
        <v>12</v>
      </c>
    </row>
    <row r="298">
      <c r="A298">
        <f>HYPERLINK("http://bombeiros.sp.gov.br/hidrantes/03individual/3155.html","3155")</f>
      </c>
      <c r="B298" t="s">
        <v>114</v>
      </c>
      <c r="C298" t="s">
        <v>322</v>
      </c>
      <c r="D298" t="s">
        <v>5618</v>
      </c>
      <c r="E298" t="s">
        <v>64</v>
      </c>
      <c r="F298" t="s">
        <v>5625</v>
      </c>
      <c r="G298" t="s">
        <v>18050</v>
      </c>
      <c r="H298" t="s">
        <v>1112</v>
      </c>
      <c r="I298" t="s">
        <v>1108</v>
      </c>
      <c r="J298" t="s">
        <v>5626</v>
      </c>
      <c r="K298" t="s">
        <v>5627</v>
      </c>
      <c r="L298" t="s">
        <v>36</v>
      </c>
      <c r="M298" t="s">
        <v>19177</v>
      </c>
      <c r="N298" t="s">
        <v>300</v>
      </c>
      <c r="O298" t="s">
        <v>16373</v>
      </c>
      <c r="P298" t="s">
        <v>12</v>
      </c>
    </row>
    <row r="299">
      <c r="A299">
        <f>HYPERLINK("http://bombeiros.sp.gov.br/hidrantes/03individual/3158.html","3158")</f>
      </c>
      <c r="B299" t="s">
        <v>114</v>
      </c>
      <c r="C299" t="s">
        <v>322</v>
      </c>
      <c r="D299" t="s">
        <v>5618</v>
      </c>
      <c r="E299" t="s">
        <v>64</v>
      </c>
      <c r="F299" t="s">
        <v>5628</v>
      </c>
      <c r="G299" t="s">
        <v>18050</v>
      </c>
      <c r="H299" t="s">
        <v>1107</v>
      </c>
      <c r="I299" t="s">
        <v>1108</v>
      </c>
      <c r="J299" t="s">
        <v>5629</v>
      </c>
      <c r="K299" t="s">
        <v>5630</v>
      </c>
      <c r="L299" t="s">
        <v>36</v>
      </c>
      <c r="M299" t="s">
        <v>19177</v>
      </c>
      <c r="N299" t="s">
        <v>300</v>
      </c>
      <c r="O299" t="s">
        <v>16373</v>
      </c>
      <c r="P299" t="s">
        <v>12</v>
      </c>
    </row>
    <row r="300">
      <c r="A300">
        <f>HYPERLINK("http://bombeiros.sp.gov.br/hidrantes/03individual/3159.html","3159")</f>
      </c>
      <c r="B300" t="s">
        <v>114</v>
      </c>
      <c r="C300" t="s">
        <v>322</v>
      </c>
      <c r="D300" t="s">
        <v>5618</v>
      </c>
      <c r="E300" t="s">
        <v>64</v>
      </c>
      <c r="F300" t="s">
        <v>5631</v>
      </c>
      <c r="G300" t="s">
        <v>18050</v>
      </c>
      <c r="H300" t="s">
        <v>1121</v>
      </c>
      <c r="I300" t="s">
        <v>1117</v>
      </c>
      <c r="J300" t="s">
        <v>5632</v>
      </c>
      <c r="K300" t="s">
        <v>5633</v>
      </c>
      <c r="L300" t="s">
        <v>36</v>
      </c>
      <c r="M300" t="s">
        <v>19177</v>
      </c>
      <c r="N300" t="s">
        <v>300</v>
      </c>
      <c r="O300" t="s">
        <v>16373</v>
      </c>
      <c r="P300" t="s">
        <v>12</v>
      </c>
    </row>
    <row r="301">
      <c r="A301">
        <f>HYPERLINK("http://bombeiros.sp.gov.br/hidrantes/03individual/3161.html","3161")</f>
      </c>
      <c r="B301" t="s">
        <v>114</v>
      </c>
      <c r="C301" t="s">
        <v>322</v>
      </c>
      <c r="D301" t="s">
        <v>5618</v>
      </c>
      <c r="E301" t="s">
        <v>64</v>
      </c>
      <c r="F301" t="s">
        <v>5634</v>
      </c>
      <c r="G301" t="s">
        <v>18045</v>
      </c>
      <c r="H301" t="s">
        <v>1107</v>
      </c>
      <c r="I301" t="s">
        <v>1108</v>
      </c>
      <c r="J301" t="s">
        <v>5635</v>
      </c>
      <c r="K301" t="s">
        <v>5636</v>
      </c>
      <c r="L301" t="s">
        <v>36</v>
      </c>
      <c r="M301" t="s">
        <v>19177</v>
      </c>
      <c r="N301" t="s">
        <v>300</v>
      </c>
      <c r="O301" t="s">
        <v>16373</v>
      </c>
      <c r="P301" t="s">
        <v>12</v>
      </c>
    </row>
    <row r="302">
      <c r="A302">
        <f>HYPERLINK("http://bombeiros.sp.gov.br/hidrantes/03individual/1395.html","1395")</f>
      </c>
      <c r="B302" t="s">
        <v>114</v>
      </c>
      <c r="C302" t="s">
        <v>322</v>
      </c>
      <c r="D302" t="s">
        <v>323</v>
      </c>
      <c r="E302" t="s">
        <v>64</v>
      </c>
      <c r="F302" t="s">
        <v>5673</v>
      </c>
      <c r="G302" t="s">
        <v>18050</v>
      </c>
      <c r="H302" t="s">
        <v>1112</v>
      </c>
      <c r="I302" t="s">
        <v>1108</v>
      </c>
      <c r="J302" t="s">
        <v>5674</v>
      </c>
      <c r="K302" t="s">
        <v>5675</v>
      </c>
      <c r="L302" t="s">
        <v>36</v>
      </c>
      <c r="M302" t="s">
        <v>19177</v>
      </c>
      <c r="N302" t="s">
        <v>300</v>
      </c>
      <c r="O302" t="s">
        <v>16373</v>
      </c>
      <c r="P302" t="s">
        <v>12</v>
      </c>
    </row>
    <row r="303">
      <c r="A303">
        <f>HYPERLINK("http://bombeiros.sp.gov.br/hidrantes/03individual/3075.html","3075")</f>
      </c>
      <c r="B303" t="s">
        <v>114</v>
      </c>
      <c r="C303" t="s">
        <v>322</v>
      </c>
      <c r="D303" t="s">
        <v>323</v>
      </c>
      <c r="E303" t="s">
        <v>64</v>
      </c>
      <c r="F303" t="s">
        <v>5676</v>
      </c>
      <c r="G303" t="s">
        <v>18076</v>
      </c>
      <c r="H303" t="s">
        <v>1112</v>
      </c>
      <c r="I303" t="s">
        <v>1108</v>
      </c>
      <c r="J303" t="s">
        <v>5677</v>
      </c>
      <c r="K303" t="s">
        <v>5678</v>
      </c>
      <c r="L303" t="s">
        <v>36</v>
      </c>
      <c r="M303" t="s">
        <v>19177</v>
      </c>
      <c r="N303" t="s">
        <v>300</v>
      </c>
      <c r="O303" t="s">
        <v>16373</v>
      </c>
      <c r="P303" t="s">
        <v>12</v>
      </c>
    </row>
    <row r="304">
      <c r="A304">
        <f>HYPERLINK("http://bombeiros.sp.gov.br/hidrantes/03individual/3150.html","3150")</f>
      </c>
      <c r="B304" t="s">
        <v>114</v>
      </c>
      <c r="C304" t="s">
        <v>322</v>
      </c>
      <c r="D304" t="s">
        <v>323</v>
      </c>
      <c r="E304" t="s">
        <v>64</v>
      </c>
      <c r="F304" t="s">
        <v>5682</v>
      </c>
      <c r="G304" t="s">
        <v>18050</v>
      </c>
      <c r="H304" t="s">
        <v>1112</v>
      </c>
      <c r="I304" t="s">
        <v>1108</v>
      </c>
      <c r="J304" t="s">
        <v>5683</v>
      </c>
      <c r="K304" t="s">
        <v>5684</v>
      </c>
      <c r="L304" t="s">
        <v>36</v>
      </c>
      <c r="M304" t="s">
        <v>19177</v>
      </c>
      <c r="N304" t="s">
        <v>300</v>
      </c>
      <c r="O304" t="s">
        <v>16373</v>
      </c>
      <c r="P304" t="s">
        <v>12</v>
      </c>
    </row>
    <row r="305">
      <c r="A305">
        <f>HYPERLINK("http://bombeiros.sp.gov.br/hidrantes/03individual/3660.html","3660")</f>
      </c>
      <c r="B305" t="s">
        <v>114</v>
      </c>
      <c r="C305" t="s">
        <v>322</v>
      </c>
      <c r="D305" t="s">
        <v>323</v>
      </c>
      <c r="E305" t="s">
        <v>15</v>
      </c>
      <c r="F305" t="s">
        <v>330</v>
      </c>
      <c r="G305" t="s">
        <v>18089</v>
      </c>
      <c r="H305"/>
      <c r="I305" t="s">
        <v>18</v>
      </c>
      <c r="J305" t="s">
        <v>331</v>
      </c>
      <c r="K305" t="s">
        <v>332</v>
      </c>
      <c r="L305" t="s">
        <v>36</v>
      </c>
      <c r="M305" t="s">
        <v>19177</v>
      </c>
      <c r="N305" t="s">
        <v>300</v>
      </c>
      <c r="O305" t="s">
        <v>16373</v>
      </c>
      <c r="P305" t="s">
        <v>12</v>
      </c>
    </row>
    <row r="306">
      <c r="A306">
        <f>HYPERLINK("http://bombeiros.sp.gov.br/hidrantes/03individual/3265.html","3265")</f>
      </c>
      <c r="B306" t="s">
        <v>114</v>
      </c>
      <c r="C306" t="s">
        <v>322</v>
      </c>
      <c r="D306" t="s">
        <v>5775</v>
      </c>
      <c r="E306" t="s">
        <v>64</v>
      </c>
      <c r="F306" t="s">
        <v>5776</v>
      </c>
      <c r="G306" t="s">
        <v>18097</v>
      </c>
      <c r="H306" t="s">
        <v>1112</v>
      </c>
      <c r="I306" t="s">
        <v>1108</v>
      </c>
      <c r="J306" t="s">
        <v>5777</v>
      </c>
      <c r="K306" t="s">
        <v>5778</v>
      </c>
      <c r="L306" t="s">
        <v>36</v>
      </c>
      <c r="M306" t="s">
        <v>19177</v>
      </c>
      <c r="N306" t="s">
        <v>300</v>
      </c>
      <c r="O306" t="s">
        <v>16373</v>
      </c>
      <c r="P306" t="s">
        <v>12</v>
      </c>
    </row>
    <row r="307">
      <c r="A307">
        <f>HYPERLINK("http://bombeiros.sp.gov.br/hidrantes/03individual/891.html","891")</f>
      </c>
      <c r="B307" t="s">
        <v>114</v>
      </c>
      <c r="C307" t="s">
        <v>337</v>
      </c>
      <c r="D307" t="s">
        <v>5839</v>
      </c>
      <c r="E307" t="s">
        <v>64</v>
      </c>
      <c r="F307" t="s">
        <v>5840</v>
      </c>
      <c r="G307" t="s">
        <v>18095</v>
      </c>
      <c r="H307" t="s">
        <v>1112</v>
      </c>
      <c r="I307" t="s">
        <v>1108</v>
      </c>
      <c r="J307" t="s">
        <v>5841</v>
      </c>
      <c r="K307" t="s">
        <v>5842</v>
      </c>
      <c r="L307" t="s">
        <v>36</v>
      </c>
      <c r="M307" t="s">
        <v>19177</v>
      </c>
      <c r="N307" t="s">
        <v>337</v>
      </c>
      <c r="O307" t="s">
        <v>337</v>
      </c>
      <c r="P307" t="s">
        <v>12</v>
      </c>
    </row>
    <row r="308">
      <c r="A308">
        <f>HYPERLINK("http://bombeiros.sp.gov.br/hidrantes/03individual/994.html","994")</f>
      </c>
      <c r="B308" t="s">
        <v>114</v>
      </c>
      <c r="C308" t="s">
        <v>337</v>
      </c>
      <c r="D308" t="s">
        <v>5839</v>
      </c>
      <c r="E308" t="s">
        <v>64</v>
      </c>
      <c r="F308" t="s">
        <v>5846</v>
      </c>
      <c r="G308" t="s">
        <v>18195</v>
      </c>
      <c r="H308" t="s">
        <v>1107</v>
      </c>
      <c r="I308" t="s">
        <v>1108</v>
      </c>
      <c r="J308" t="s">
        <v>5847</v>
      </c>
      <c r="K308" t="s">
        <v>5848</v>
      </c>
      <c r="L308" t="s">
        <v>36</v>
      </c>
      <c r="M308" t="s">
        <v>19177</v>
      </c>
      <c r="N308" t="s">
        <v>337</v>
      </c>
      <c r="O308" t="s">
        <v>337</v>
      </c>
      <c r="P308" t="s">
        <v>12</v>
      </c>
    </row>
    <row r="309">
      <c r="A309">
        <f>HYPERLINK("http://bombeiros.sp.gov.br/hidrantes/03individual/2106.html","2106")</f>
      </c>
      <c r="B309" t="s">
        <v>114</v>
      </c>
      <c r="C309" t="s">
        <v>337</v>
      </c>
      <c r="D309" t="s">
        <v>338</v>
      </c>
      <c r="E309" t="s">
        <v>64</v>
      </c>
      <c r="F309" t="s">
        <v>5894</v>
      </c>
      <c r="G309" t="s">
        <v>18072</v>
      </c>
      <c r="H309" t="s">
        <v>1121</v>
      </c>
      <c r="I309" t="s">
        <v>1117</v>
      </c>
      <c r="J309" t="s">
        <v>5895</v>
      </c>
      <c r="K309" t="s">
        <v>5896</v>
      </c>
      <c r="L309" t="s">
        <v>36</v>
      </c>
      <c r="M309" t="s">
        <v>19177</v>
      </c>
      <c r="N309" t="s">
        <v>337</v>
      </c>
      <c r="O309" t="s">
        <v>337</v>
      </c>
      <c r="P309" t="s">
        <v>12</v>
      </c>
    </row>
    <row r="310">
      <c r="A310">
        <f>HYPERLINK("http://bombeiros.sp.gov.br/hidrantes/03individual/3895.html","3895")</f>
      </c>
      <c r="B310" t="s">
        <v>114</v>
      </c>
      <c r="C310" t="s">
        <v>337</v>
      </c>
      <c r="D310" t="s">
        <v>338</v>
      </c>
      <c r="E310" t="s">
        <v>64</v>
      </c>
      <c r="F310" t="s">
        <v>339</v>
      </c>
      <c r="G310" t="s">
        <v>18067</v>
      </c>
      <c r="H310" t="s">
        <v>1107</v>
      </c>
      <c r="I310" t="s">
        <v>1108</v>
      </c>
      <c r="J310" t="s">
        <v>341</v>
      </c>
      <c r="K310" t="s">
        <v>342</v>
      </c>
      <c r="L310" t="s">
        <v>36</v>
      </c>
      <c r="M310" t="s">
        <v>19177</v>
      </c>
      <c r="N310" t="s">
        <v>337</v>
      </c>
      <c r="O310" t="s">
        <v>337</v>
      </c>
      <c r="P310" t="s">
        <v>12</v>
      </c>
    </row>
    <row r="311">
      <c r="A311">
        <f>HYPERLINK("http://bombeiros.sp.gov.br/hidrantes/03individual/976.html","976")</f>
      </c>
      <c r="B311" t="s">
        <v>114</v>
      </c>
      <c r="C311" t="s">
        <v>337</v>
      </c>
      <c r="D311" t="s">
        <v>337</v>
      </c>
      <c r="E311" t="s">
        <v>64</v>
      </c>
      <c r="F311" t="s">
        <v>5943</v>
      </c>
      <c r="G311" t="s">
        <v>18045</v>
      </c>
      <c r="H311" t="s">
        <v>1112</v>
      </c>
      <c r="I311" t="s">
        <v>1108</v>
      </c>
      <c r="J311" t="s">
        <v>5945</v>
      </c>
      <c r="K311" t="s">
        <v>5946</v>
      </c>
      <c r="L311" t="s">
        <v>36</v>
      </c>
      <c r="M311" t="s">
        <v>19177</v>
      </c>
      <c r="N311" t="s">
        <v>337</v>
      </c>
      <c r="O311" t="s">
        <v>337</v>
      </c>
      <c r="P311" t="s">
        <v>12</v>
      </c>
    </row>
    <row r="312">
      <c r="A312">
        <f>HYPERLINK("http://bombeiros.sp.gov.br/hidrantes/03individual/4365.html","4365")</f>
      </c>
      <c r="B312" t="s">
        <v>114</v>
      </c>
      <c r="C312" t="s">
        <v>337</v>
      </c>
      <c r="D312" t="s">
        <v>337</v>
      </c>
      <c r="E312" t="s">
        <v>64</v>
      </c>
      <c r="F312" t="s">
        <v>5956</v>
      </c>
      <c r="G312" t="s">
        <v>18195</v>
      </c>
      <c r="H312" t="s">
        <v>1107</v>
      </c>
      <c r="I312" t="s">
        <v>1108</v>
      </c>
      <c r="J312" t="s">
        <v>5957</v>
      </c>
      <c r="K312" t="s">
        <v>5958</v>
      </c>
      <c r="L312" t="s">
        <v>36</v>
      </c>
      <c r="M312" t="s">
        <v>19177</v>
      </c>
      <c r="N312" t="s">
        <v>337</v>
      </c>
      <c r="O312" t="s">
        <v>337</v>
      </c>
      <c r="P312" t="s">
        <v>12</v>
      </c>
    </row>
    <row r="313">
      <c r="A313">
        <f>HYPERLINK("http://bombeiros.sp.gov.br/hidrantes/03individual/4206.html","4206")</f>
      </c>
      <c r="B313" t="s">
        <v>114</v>
      </c>
      <c r="C313" t="s">
        <v>337</v>
      </c>
      <c r="D313" t="s">
        <v>337</v>
      </c>
      <c r="E313" t="s">
        <v>15</v>
      </c>
      <c r="F313" t="s">
        <v>5977</v>
      </c>
      <c r="G313" t="s">
        <v>18051</v>
      </c>
      <c r="H313" t="s">
        <v>1121</v>
      </c>
      <c r="I313" t="s">
        <v>1117</v>
      </c>
      <c r="J313" t="s">
        <v>5978</v>
      </c>
      <c r="K313" t="s">
        <v>5979</v>
      </c>
      <c r="L313" t="s">
        <v>36</v>
      </c>
      <c r="M313" t="s">
        <v>19177</v>
      </c>
      <c r="N313" t="s">
        <v>337</v>
      </c>
      <c r="O313" t="s">
        <v>337</v>
      </c>
      <c r="P313" t="s">
        <v>12</v>
      </c>
    </row>
    <row r="314">
      <c r="A314">
        <f>HYPERLINK("http://bombeiros.sp.gov.br/hidrantes/03individual/6787.html","6787")</f>
      </c>
      <c r="B314" t="s">
        <v>114</v>
      </c>
      <c r="C314" t="s">
        <v>337</v>
      </c>
      <c r="D314" t="s">
        <v>337</v>
      </c>
      <c r="E314" t="s">
        <v>15</v>
      </c>
      <c r="F314" t="s">
        <v>5980</v>
      </c>
      <c r="G314" t="s">
        <v>18055</v>
      </c>
      <c r="H314" t="s">
        <v>1112</v>
      </c>
      <c r="I314" t="s">
        <v>1108</v>
      </c>
      <c r="J314" t="s">
        <v>5981</v>
      </c>
      <c r="K314" t="s">
        <v>5982</v>
      </c>
      <c r="L314" t="s">
        <v>36</v>
      </c>
      <c r="M314" t="s">
        <v>19177</v>
      </c>
      <c r="N314" t="s">
        <v>337</v>
      </c>
      <c r="O314" t="s">
        <v>337</v>
      </c>
      <c r="P314" t="s">
        <v>12</v>
      </c>
    </row>
    <row r="315">
      <c r="A315">
        <f>HYPERLINK("http://bombeiros.sp.gov.br/hidrantes/03individual/2019.html","2019")</f>
      </c>
      <c r="B315" t="s">
        <v>114</v>
      </c>
      <c r="C315" t="s">
        <v>347</v>
      </c>
      <c r="D315" t="s">
        <v>348</v>
      </c>
      <c r="E315" t="s">
        <v>15</v>
      </c>
      <c r="F315" t="s">
        <v>5993</v>
      </c>
      <c r="G315" t="s">
        <v>18105</v>
      </c>
      <c r="H315" t="s">
        <v>1107</v>
      </c>
      <c r="I315" t="s">
        <v>1108</v>
      </c>
      <c r="J315" t="s">
        <v>5994</v>
      </c>
      <c r="K315" t="s">
        <v>5995</v>
      </c>
      <c r="L315" t="s">
        <v>36</v>
      </c>
      <c r="M315" t="s">
        <v>19177</v>
      </c>
      <c r="N315" t="s">
        <v>6029</v>
      </c>
      <c r="O315" t="s">
        <v>6029</v>
      </c>
      <c r="P315" t="s">
        <v>114</v>
      </c>
    </row>
    <row r="316">
      <c r="A316">
        <f>HYPERLINK("http://bombeiros.sp.gov.br/hidrantes/03individual/3486.html","3486")</f>
      </c>
      <c r="B316" t="s">
        <v>114</v>
      </c>
      <c r="C316" t="s">
        <v>347</v>
      </c>
      <c r="D316" t="s">
        <v>6029</v>
      </c>
      <c r="E316" t="s">
        <v>64</v>
      </c>
      <c r="F316" t="s">
        <v>6033</v>
      </c>
      <c r="G316" t="s">
        <v>18095</v>
      </c>
      <c r="H316" t="s">
        <v>1112</v>
      </c>
      <c r="I316" t="s">
        <v>1108</v>
      </c>
      <c r="J316" t="s">
        <v>6034</v>
      </c>
      <c r="K316" t="s">
        <v>6035</v>
      </c>
      <c r="L316" t="s">
        <v>36</v>
      </c>
      <c r="M316" t="s">
        <v>19177</v>
      </c>
      <c r="N316" t="s">
        <v>6029</v>
      </c>
      <c r="O316" t="s">
        <v>6029</v>
      </c>
      <c r="P316" t="s">
        <v>114</v>
      </c>
    </row>
    <row r="317">
      <c r="A317">
        <f>HYPERLINK("http://bombeiros.sp.gov.br/hidrantes/03individual/3872.html","3872")</f>
      </c>
      <c r="B317" t="s">
        <v>114</v>
      </c>
      <c r="C317" t="s">
        <v>356</v>
      </c>
      <c r="D317" t="s">
        <v>357</v>
      </c>
      <c r="E317" t="s">
        <v>64</v>
      </c>
      <c r="F317" t="s">
        <v>6079</v>
      </c>
      <c r="G317" t="s">
        <v>18050</v>
      </c>
      <c r="H317" t="s">
        <v>1107</v>
      </c>
      <c r="I317" t="s">
        <v>1108</v>
      </c>
      <c r="J317" t="s">
        <v>6080</v>
      </c>
      <c r="K317" t="s">
        <v>6081</v>
      </c>
      <c r="L317" t="s">
        <v>36</v>
      </c>
      <c r="M317" t="s">
        <v>19177</v>
      </c>
      <c r="N317" t="s">
        <v>337</v>
      </c>
      <c r="O317" t="s">
        <v>337</v>
      </c>
      <c r="P317" t="s">
        <v>12</v>
      </c>
    </row>
    <row r="318">
      <c r="A318">
        <f>HYPERLINK("http://bombeiros.sp.gov.br/hidrantes/03individual/3871.html","3871")</f>
      </c>
      <c r="B318" t="s">
        <v>114</v>
      </c>
      <c r="C318" t="s">
        <v>356</v>
      </c>
      <c r="D318" t="s">
        <v>361</v>
      </c>
      <c r="E318" t="s">
        <v>15</v>
      </c>
      <c r="F318" t="s">
        <v>6127</v>
      </c>
      <c r="G318" t="s">
        <v>18045</v>
      </c>
      <c r="H318" t="s">
        <v>1107</v>
      </c>
      <c r="I318" t="s">
        <v>1108</v>
      </c>
      <c r="J318" t="s">
        <v>6128</v>
      </c>
      <c r="K318" t="s">
        <v>6129</v>
      </c>
      <c r="L318" t="s">
        <v>36</v>
      </c>
      <c r="M318" t="s">
        <v>19177</v>
      </c>
      <c r="N318" t="s">
        <v>337</v>
      </c>
      <c r="O318" t="s">
        <v>337</v>
      </c>
      <c r="P318" t="s">
        <v>12</v>
      </c>
    </row>
    <row r="319">
      <c r="A319">
        <f>HYPERLINK("http://bombeiros.sp.gov.br/hidrantes/03individual/2959.html","2959")</f>
      </c>
      <c r="B319" t="s">
        <v>114</v>
      </c>
      <c r="C319" t="s">
        <v>365</v>
      </c>
      <c r="D319" t="s">
        <v>366</v>
      </c>
      <c r="E319" t="s">
        <v>64</v>
      </c>
      <c r="F319" t="s">
        <v>6185</v>
      </c>
      <c r="G319" t="s">
        <v>18097</v>
      </c>
      <c r="H319" t="s">
        <v>1107</v>
      </c>
      <c r="I319" t="s">
        <v>1108</v>
      </c>
      <c r="J319" t="s">
        <v>6186</v>
      </c>
      <c r="K319" t="s">
        <v>6187</v>
      </c>
      <c r="L319" t="s">
        <v>36</v>
      </c>
      <c r="M319" t="s">
        <v>19177</v>
      </c>
      <c r="N319" t="s">
        <v>337</v>
      </c>
      <c r="O319" t="s">
        <v>337</v>
      </c>
      <c r="P319" t="s">
        <v>12</v>
      </c>
    </row>
    <row r="320">
      <c r="A320">
        <f>HYPERLINK("http://bombeiros.sp.gov.br/hidrantes/03individual/889.html","889")</f>
      </c>
      <c r="B320" t="s">
        <v>114</v>
      </c>
      <c r="C320" t="s">
        <v>365</v>
      </c>
      <c r="D320" t="s">
        <v>6239</v>
      </c>
      <c r="E320" t="s">
        <v>64</v>
      </c>
      <c r="F320" t="s">
        <v>6264</v>
      </c>
      <c r="G320" t="s">
        <v>18095</v>
      </c>
      <c r="H320" t="s">
        <v>1112</v>
      </c>
      <c r="I320" t="s">
        <v>1117</v>
      </c>
      <c r="J320" t="s">
        <v>6265</v>
      </c>
      <c r="K320" t="s">
        <v>6266</v>
      </c>
      <c r="L320" t="s">
        <v>36</v>
      </c>
      <c r="M320" t="s">
        <v>19177</v>
      </c>
      <c r="N320" t="s">
        <v>337</v>
      </c>
      <c r="O320" t="s">
        <v>337</v>
      </c>
      <c r="P320" t="s">
        <v>12</v>
      </c>
    </row>
    <row r="321">
      <c r="A321">
        <f>HYPERLINK("http://bombeiros.sp.gov.br/hidrantes/03individual/988.html","988")</f>
      </c>
      <c r="B321" t="s">
        <v>114</v>
      </c>
      <c r="C321" t="s">
        <v>365</v>
      </c>
      <c r="D321" t="s">
        <v>6239</v>
      </c>
      <c r="E321" t="s">
        <v>64</v>
      </c>
      <c r="F321" t="s">
        <v>6182</v>
      </c>
      <c r="G321" t="s">
        <v>18430</v>
      </c>
      <c r="H321" t="s">
        <v>1107</v>
      </c>
      <c r="I321" t="s">
        <v>1108</v>
      </c>
      <c r="J321" t="s">
        <v>16199</v>
      </c>
      <c r="K321" t="s">
        <v>16200</v>
      </c>
      <c r="L321" t="s">
        <v>36</v>
      </c>
      <c r="M321" t="s">
        <v>19177</v>
      </c>
      <c r="N321" t="s">
        <v>337</v>
      </c>
      <c r="O321" t="s">
        <v>337</v>
      </c>
      <c r="P321" t="s">
        <v>12</v>
      </c>
    </row>
    <row r="322">
      <c r="A322">
        <f>HYPERLINK("http://bombeiros.sp.gov.br/hidrantes/03individual/4197.html","4197")</f>
      </c>
      <c r="B322" t="s">
        <v>114</v>
      </c>
      <c r="C322" t="s">
        <v>365</v>
      </c>
      <c r="D322" t="s">
        <v>6297</v>
      </c>
      <c r="E322" t="s">
        <v>64</v>
      </c>
      <c r="F322" t="s">
        <v>6298</v>
      </c>
      <c r="G322" t="s">
        <v>18066</v>
      </c>
      <c r="H322" t="s">
        <v>1121</v>
      </c>
      <c r="I322" t="s">
        <v>1117</v>
      </c>
      <c r="J322" t="s">
        <v>6299</v>
      </c>
      <c r="K322" t="s">
        <v>6300</v>
      </c>
      <c r="L322" t="s">
        <v>36</v>
      </c>
      <c r="M322" t="s">
        <v>19177</v>
      </c>
      <c r="N322" t="s">
        <v>337</v>
      </c>
      <c r="O322" t="s">
        <v>337</v>
      </c>
      <c r="P322" t="s">
        <v>12</v>
      </c>
    </row>
    <row r="323">
      <c r="A323">
        <f>HYPERLINK("http://bombeiros.sp.gov.br/hidrantes/03individual/3284.html","3284")</f>
      </c>
      <c r="B323" t="s">
        <v>114</v>
      </c>
      <c r="C323" t="s">
        <v>374</v>
      </c>
      <c r="D323" t="s">
        <v>375</v>
      </c>
      <c r="E323" t="s">
        <v>64</v>
      </c>
      <c r="F323" t="s">
        <v>6313</v>
      </c>
      <c r="G323" t="s">
        <v>18055</v>
      </c>
      <c r="H323" t="s">
        <v>1112</v>
      </c>
      <c r="I323" t="s">
        <v>1108</v>
      </c>
      <c r="J323" t="s">
        <v>6314</v>
      </c>
      <c r="K323" t="s">
        <v>6315</v>
      </c>
      <c r="L323" t="s">
        <v>36</v>
      </c>
      <c r="M323" t="s">
        <v>19177</v>
      </c>
      <c r="N323" t="s">
        <v>300</v>
      </c>
      <c r="O323" t="s">
        <v>16373</v>
      </c>
      <c r="P323" t="s">
        <v>12</v>
      </c>
    </row>
    <row r="324">
      <c r="A324">
        <f>HYPERLINK("http://bombeiros.sp.gov.br/hidrantes/03individual/3293.html","3293")</f>
      </c>
      <c r="B324" t="s">
        <v>114</v>
      </c>
      <c r="C324" t="s">
        <v>374</v>
      </c>
      <c r="D324" t="s">
        <v>375</v>
      </c>
      <c r="E324" t="s">
        <v>64</v>
      </c>
      <c r="F324" t="s">
        <v>6316</v>
      </c>
      <c r="G324" t="s">
        <v>18093</v>
      </c>
      <c r="H324" t="s">
        <v>1112</v>
      </c>
      <c r="I324" t="s">
        <v>1108</v>
      </c>
      <c r="J324" t="s">
        <v>6317</v>
      </c>
      <c r="K324" t="s">
        <v>6318</v>
      </c>
      <c r="L324" t="s">
        <v>36</v>
      </c>
      <c r="M324" t="s">
        <v>19177</v>
      </c>
      <c r="N324" t="s">
        <v>300</v>
      </c>
      <c r="O324" t="s">
        <v>16373</v>
      </c>
      <c r="P324" t="s">
        <v>12</v>
      </c>
    </row>
    <row r="325">
      <c r="A325">
        <f>HYPERLINK("http://bombeiros.sp.gov.br/hidrantes/03individual/1017.html","1017")</f>
      </c>
      <c r="B325" t="s">
        <v>114</v>
      </c>
      <c r="C325" t="s">
        <v>374</v>
      </c>
      <c r="D325" t="s">
        <v>380</v>
      </c>
      <c r="E325" t="s">
        <v>64</v>
      </c>
      <c r="F325" t="s">
        <v>6352</v>
      </c>
      <c r="G325" t="s">
        <v>18089</v>
      </c>
      <c r="H325" t="s">
        <v>1112</v>
      </c>
      <c r="I325" t="s">
        <v>1108</v>
      </c>
      <c r="J325" t="s">
        <v>6353</v>
      </c>
      <c r="K325" t="s">
        <v>6354</v>
      </c>
      <c r="L325" t="s">
        <v>36</v>
      </c>
      <c r="M325" t="s">
        <v>19177</v>
      </c>
      <c r="N325" t="s">
        <v>300</v>
      </c>
      <c r="O325" t="s">
        <v>16373</v>
      </c>
      <c r="P325" t="s">
        <v>12</v>
      </c>
    </row>
    <row r="326">
      <c r="A326">
        <f>HYPERLINK("http://bombeiros.sp.gov.br/hidrantes/03individual/1784.html","1784")</f>
      </c>
      <c r="B326" t="s">
        <v>114</v>
      </c>
      <c r="C326" t="s">
        <v>374</v>
      </c>
      <c r="D326" t="s">
        <v>395</v>
      </c>
      <c r="E326" t="s">
        <v>64</v>
      </c>
      <c r="F326" t="s">
        <v>6406</v>
      </c>
      <c r="G326" t="s">
        <v>18082</v>
      </c>
      <c r="H326" t="s">
        <v>1107</v>
      </c>
      <c r="I326" t="s">
        <v>1108</v>
      </c>
      <c r="J326" t="s">
        <v>6407</v>
      </c>
      <c r="K326" t="s">
        <v>6408</v>
      </c>
      <c r="L326" t="s">
        <v>36</v>
      </c>
      <c r="M326" t="s">
        <v>19177</v>
      </c>
      <c r="N326" t="s">
        <v>300</v>
      </c>
      <c r="O326" t="s">
        <v>16373</v>
      </c>
      <c r="P326" t="s">
        <v>12</v>
      </c>
    </row>
    <row r="327">
      <c r="A327">
        <f>HYPERLINK("http://bombeiros.sp.gov.br/hidrantes/03individual/3140.html","3140")</f>
      </c>
      <c r="B327" t="s">
        <v>114</v>
      </c>
      <c r="C327" t="s">
        <v>374</v>
      </c>
      <c r="D327" t="s">
        <v>395</v>
      </c>
      <c r="E327" t="s">
        <v>64</v>
      </c>
      <c r="F327" t="s">
        <v>6412</v>
      </c>
      <c r="G327" t="s">
        <v>18082</v>
      </c>
      <c r="H327" t="s">
        <v>1112</v>
      </c>
      <c r="I327" t="s">
        <v>1108</v>
      </c>
      <c r="J327" t="s">
        <v>6413</v>
      </c>
      <c r="K327" t="s">
        <v>6414</v>
      </c>
      <c r="L327" t="s">
        <v>36</v>
      </c>
      <c r="M327" t="s">
        <v>19177</v>
      </c>
      <c r="N327" t="s">
        <v>300</v>
      </c>
      <c r="O327" t="s">
        <v>16373</v>
      </c>
      <c r="P327" t="s">
        <v>12</v>
      </c>
    </row>
    <row r="328">
      <c r="A328">
        <f>HYPERLINK("http://bombeiros.sp.gov.br/hidrantes/03individual/3328.html","3328")</f>
      </c>
      <c r="B328" t="s">
        <v>114</v>
      </c>
      <c r="C328" t="s">
        <v>374</v>
      </c>
      <c r="D328" t="s">
        <v>395</v>
      </c>
      <c r="E328" t="s">
        <v>64</v>
      </c>
      <c r="F328" t="s">
        <v>6421</v>
      </c>
      <c r="G328" t="s">
        <v>18194</v>
      </c>
      <c r="H328" t="s">
        <v>1112</v>
      </c>
      <c r="I328" t="s">
        <v>1108</v>
      </c>
      <c r="J328" t="s">
        <v>6422</v>
      </c>
      <c r="K328" t="s">
        <v>6423</v>
      </c>
      <c r="L328" t="s">
        <v>36</v>
      </c>
      <c r="M328" t="s">
        <v>19177</v>
      </c>
      <c r="N328" t="s">
        <v>300</v>
      </c>
      <c r="O328" t="s">
        <v>16373</v>
      </c>
      <c r="P328" t="s">
        <v>12</v>
      </c>
    </row>
    <row r="329">
      <c r="A329">
        <f>HYPERLINK("http://bombeiros.sp.gov.br/hidrantes/03individual/3142.html","3142")</f>
      </c>
      <c r="B329" t="s">
        <v>114</v>
      </c>
      <c r="C329" t="s">
        <v>374</v>
      </c>
      <c r="D329" t="s">
        <v>395</v>
      </c>
      <c r="E329" t="s">
        <v>15</v>
      </c>
      <c r="F329" t="s">
        <v>6455</v>
      </c>
      <c r="G329" t="s">
        <v>18082</v>
      </c>
      <c r="H329" t="s">
        <v>1174</v>
      </c>
      <c r="I329" t="s">
        <v>1108</v>
      </c>
      <c r="J329" t="s">
        <v>6456</v>
      </c>
      <c r="K329" t="s">
        <v>6457</v>
      </c>
      <c r="L329" t="s">
        <v>36</v>
      </c>
      <c r="M329" t="s">
        <v>19177</v>
      </c>
      <c r="N329" t="s">
        <v>300</v>
      </c>
      <c r="O329" t="s">
        <v>16373</v>
      </c>
      <c r="P329" t="s">
        <v>12</v>
      </c>
    </row>
    <row r="330">
      <c r="A330">
        <f>HYPERLINK("http://bombeiros.sp.gov.br/hidrantes/03individual/3227.html","3227")</f>
      </c>
      <c r="B330" t="s">
        <v>114</v>
      </c>
      <c r="C330" t="s">
        <v>374</v>
      </c>
      <c r="D330" t="s">
        <v>374</v>
      </c>
      <c r="E330" t="s">
        <v>64</v>
      </c>
      <c r="F330" t="s">
        <v>6464</v>
      </c>
      <c r="G330" t="s">
        <v>18072</v>
      </c>
      <c r="H330" t="s">
        <v>1112</v>
      </c>
      <c r="I330" t="s">
        <v>1108</v>
      </c>
      <c r="J330" t="s">
        <v>6465</v>
      </c>
      <c r="K330" t="s">
        <v>6466</v>
      </c>
      <c r="L330" t="s">
        <v>36</v>
      </c>
      <c r="M330" t="s">
        <v>19177</v>
      </c>
      <c r="N330" t="s">
        <v>300</v>
      </c>
      <c r="O330" t="s">
        <v>16373</v>
      </c>
      <c r="P330" t="s">
        <v>12</v>
      </c>
    </row>
    <row r="331">
      <c r="A331">
        <f>HYPERLINK("http://bombeiros.sp.gov.br/hidrantes/03individual/3404.html","3404")</f>
      </c>
      <c r="B331" t="s">
        <v>114</v>
      </c>
      <c r="C331" t="s">
        <v>399</v>
      </c>
      <c r="D331" t="s">
        <v>400</v>
      </c>
      <c r="E331" t="s">
        <v>64</v>
      </c>
      <c r="F331" t="s">
        <v>6512</v>
      </c>
      <c r="G331" t="s">
        <v>18548</v>
      </c>
      <c r="H331" t="s">
        <v>1112</v>
      </c>
      <c r="I331" t="s">
        <v>1108</v>
      </c>
      <c r="J331" t="s">
        <v>6513</v>
      </c>
      <c r="K331" t="s">
        <v>6514</v>
      </c>
      <c r="L331" t="s">
        <v>36</v>
      </c>
      <c r="M331" t="s">
        <v>19177</v>
      </c>
      <c r="N331" t="s">
        <v>6029</v>
      </c>
      <c r="O331" t="s">
        <v>6029</v>
      </c>
      <c r="P331" t="s">
        <v>114</v>
      </c>
    </row>
    <row r="332">
      <c r="A332">
        <f>HYPERLINK("http://bombeiros.sp.gov.br/hidrantes/03individual/3365.html","3365")</f>
      </c>
      <c r="B332" t="s">
        <v>114</v>
      </c>
      <c r="C332" t="s">
        <v>399</v>
      </c>
      <c r="D332" t="s">
        <v>400</v>
      </c>
      <c r="E332" t="s">
        <v>15</v>
      </c>
      <c r="F332" t="s">
        <v>6518</v>
      </c>
      <c r="G332" t="s">
        <v>18069</v>
      </c>
      <c r="H332" t="s">
        <v>1121</v>
      </c>
      <c r="I332" t="s">
        <v>1117</v>
      </c>
      <c r="J332" t="s">
        <v>6519</v>
      </c>
      <c r="K332" t="s">
        <v>6520</v>
      </c>
      <c r="L332" t="s">
        <v>36</v>
      </c>
      <c r="M332" t="s">
        <v>19177</v>
      </c>
      <c r="N332" t="s">
        <v>6029</v>
      </c>
      <c r="O332" t="s">
        <v>6029</v>
      </c>
      <c r="P332" t="s">
        <v>114</v>
      </c>
    </row>
    <row r="333">
      <c r="A333">
        <f>HYPERLINK("http://bombeiros.sp.gov.br/hidrantes/03individual/3349.html","3349")</f>
      </c>
      <c r="B333" t="s">
        <v>114</v>
      </c>
      <c r="C333" t="s">
        <v>399</v>
      </c>
      <c r="D333" t="s">
        <v>399</v>
      </c>
      <c r="E333" t="s">
        <v>64</v>
      </c>
      <c r="F333" t="s">
        <v>6530</v>
      </c>
      <c r="G333" t="s">
        <v>18134</v>
      </c>
      <c r="H333" t="s">
        <v>1107</v>
      </c>
      <c r="I333" t="s">
        <v>1108</v>
      </c>
      <c r="J333" t="s">
        <v>6531</v>
      </c>
      <c r="K333" t="s">
        <v>6532</v>
      </c>
      <c r="L333" t="s">
        <v>36</v>
      </c>
      <c r="M333" t="s">
        <v>19177</v>
      </c>
      <c r="N333" t="s">
        <v>6029</v>
      </c>
      <c r="O333" t="s">
        <v>6029</v>
      </c>
      <c r="P333" t="s">
        <v>114</v>
      </c>
    </row>
    <row r="334">
      <c r="A334">
        <f>HYPERLINK("http://bombeiros.sp.gov.br/hidrantes/03individual/3353.html","3353")</f>
      </c>
      <c r="B334" t="s">
        <v>114</v>
      </c>
      <c r="C334" t="s">
        <v>399</v>
      </c>
      <c r="D334" t="s">
        <v>399</v>
      </c>
      <c r="E334" t="s">
        <v>64</v>
      </c>
      <c r="F334" t="s">
        <v>6536</v>
      </c>
      <c r="G334" t="s">
        <v>18564</v>
      </c>
      <c r="H334" t="s">
        <v>1107</v>
      </c>
      <c r="I334" t="s">
        <v>1108</v>
      </c>
      <c r="J334" t="s">
        <v>6537</v>
      </c>
      <c r="K334" t="s">
        <v>6538</v>
      </c>
      <c r="L334" t="s">
        <v>36</v>
      </c>
      <c r="M334" t="s">
        <v>19177</v>
      </c>
      <c r="N334" t="s">
        <v>6029</v>
      </c>
      <c r="O334" t="s">
        <v>6029</v>
      </c>
      <c r="P334" t="s">
        <v>114</v>
      </c>
    </row>
    <row r="335">
      <c r="A335">
        <f>HYPERLINK("http://bombeiros.sp.gov.br/hidrantes/03individual/1018.html","1018")</f>
      </c>
      <c r="B335" t="s">
        <v>114</v>
      </c>
      <c r="C335" t="s">
        <v>333</v>
      </c>
      <c r="D335" t="s">
        <v>407</v>
      </c>
      <c r="E335" t="s">
        <v>64</v>
      </c>
      <c r="F335" t="s">
        <v>6581</v>
      </c>
      <c r="G335" t="s">
        <v>18089</v>
      </c>
      <c r="H335" t="s">
        <v>1107</v>
      </c>
      <c r="I335" t="s">
        <v>1108</v>
      </c>
      <c r="J335" t="s">
        <v>6582</v>
      </c>
      <c r="K335" t="s">
        <v>6583</v>
      </c>
      <c r="L335" t="s">
        <v>36</v>
      </c>
      <c r="M335" t="s">
        <v>19177</v>
      </c>
      <c r="N335" t="s">
        <v>300</v>
      </c>
      <c r="O335" t="s">
        <v>16373</v>
      </c>
      <c r="P335" t="s">
        <v>12</v>
      </c>
    </row>
    <row r="336">
      <c r="A336">
        <f>HYPERLINK("http://bombeiros.sp.gov.br/hidrantes/03individual/1021.html","1021")</f>
      </c>
      <c r="B336" t="s">
        <v>114</v>
      </c>
      <c r="C336" t="s">
        <v>333</v>
      </c>
      <c r="D336" t="s">
        <v>407</v>
      </c>
      <c r="E336" t="s">
        <v>64</v>
      </c>
      <c r="F336" t="s">
        <v>6587</v>
      </c>
      <c r="G336" t="s">
        <v>18089</v>
      </c>
      <c r="H336" t="s">
        <v>1121</v>
      </c>
      <c r="I336" t="s">
        <v>1117</v>
      </c>
      <c r="J336" t="s">
        <v>6588</v>
      </c>
      <c r="K336" t="s">
        <v>6589</v>
      </c>
      <c r="L336" t="s">
        <v>36</v>
      </c>
      <c r="M336" t="s">
        <v>19177</v>
      </c>
      <c r="N336" t="s">
        <v>300</v>
      </c>
      <c r="O336" t="s">
        <v>16373</v>
      </c>
      <c r="P336" t="s">
        <v>12</v>
      </c>
    </row>
    <row r="337">
      <c r="A337">
        <f>HYPERLINK("http://bombeiros.sp.gov.br/hidrantes/03individual/1022.html","1022")</f>
      </c>
      <c r="B337" t="s">
        <v>114</v>
      </c>
      <c r="C337" t="s">
        <v>333</v>
      </c>
      <c r="D337" t="s">
        <v>407</v>
      </c>
      <c r="E337" t="s">
        <v>64</v>
      </c>
      <c r="F337" t="s">
        <v>6590</v>
      </c>
      <c r="G337" t="s">
        <v>18075</v>
      </c>
      <c r="H337" t="s">
        <v>1107</v>
      </c>
      <c r="I337" t="s">
        <v>1108</v>
      </c>
      <c r="J337" t="s">
        <v>6591</v>
      </c>
      <c r="K337" t="s">
        <v>6592</v>
      </c>
      <c r="L337" t="s">
        <v>36</v>
      </c>
      <c r="M337" t="s">
        <v>19177</v>
      </c>
      <c r="N337" t="s">
        <v>300</v>
      </c>
      <c r="O337" t="s">
        <v>16373</v>
      </c>
      <c r="P337" t="s">
        <v>12</v>
      </c>
    </row>
    <row r="338">
      <c r="A338">
        <f>HYPERLINK("http://bombeiros.sp.gov.br/hidrantes/03individual/1024.html","1024")</f>
      </c>
      <c r="B338" t="s">
        <v>114</v>
      </c>
      <c r="C338" t="s">
        <v>333</v>
      </c>
      <c r="D338" t="s">
        <v>407</v>
      </c>
      <c r="E338" t="s">
        <v>64</v>
      </c>
      <c r="F338" t="s">
        <v>6596</v>
      </c>
      <c r="G338" t="s">
        <v>18082</v>
      </c>
      <c r="H338" t="s">
        <v>1174</v>
      </c>
      <c r="I338" t="s">
        <v>1108</v>
      </c>
      <c r="J338" t="s">
        <v>6597</v>
      </c>
      <c r="K338" t="s">
        <v>6598</v>
      </c>
      <c r="L338" t="s">
        <v>36</v>
      </c>
      <c r="M338" t="s">
        <v>19177</v>
      </c>
      <c r="N338" t="s">
        <v>300</v>
      </c>
      <c r="O338" t="s">
        <v>16373</v>
      </c>
      <c r="P338" t="s">
        <v>12</v>
      </c>
    </row>
    <row r="339">
      <c r="A339">
        <f>HYPERLINK("http://bombeiros.sp.gov.br/hidrantes/03individual/3321.html","3321")</f>
      </c>
      <c r="B339" t="s">
        <v>114</v>
      </c>
      <c r="C339" t="s">
        <v>333</v>
      </c>
      <c r="D339" t="s">
        <v>407</v>
      </c>
      <c r="E339" t="s">
        <v>64</v>
      </c>
      <c r="F339" t="s">
        <v>6599</v>
      </c>
      <c r="G339" t="s">
        <v>18089</v>
      </c>
      <c r="H339" t="s">
        <v>1112</v>
      </c>
      <c r="I339" t="s">
        <v>1108</v>
      </c>
      <c r="J339" t="s">
        <v>6600</v>
      </c>
      <c r="K339" t="s">
        <v>6601</v>
      </c>
      <c r="L339" t="s">
        <v>36</v>
      </c>
      <c r="M339" t="s">
        <v>19177</v>
      </c>
      <c r="N339" t="s">
        <v>300</v>
      </c>
      <c r="O339" t="s">
        <v>16373</v>
      </c>
      <c r="P339" t="s">
        <v>12</v>
      </c>
    </row>
    <row r="340">
      <c r="A340">
        <f>HYPERLINK("http://bombeiros.sp.gov.br/hidrantes/03individual/3327.html","3327")</f>
      </c>
      <c r="B340" t="s">
        <v>114</v>
      </c>
      <c r="C340" t="s">
        <v>333</v>
      </c>
      <c r="D340" t="s">
        <v>407</v>
      </c>
      <c r="E340" t="s">
        <v>64</v>
      </c>
      <c r="F340" t="s">
        <v>6602</v>
      </c>
      <c r="G340" t="s">
        <v>18130</v>
      </c>
      <c r="H340" t="s">
        <v>1121</v>
      </c>
      <c r="I340" t="s">
        <v>1117</v>
      </c>
      <c r="J340" t="s">
        <v>6603</v>
      </c>
      <c r="K340" t="s">
        <v>6604</v>
      </c>
      <c r="L340" t="s">
        <v>36</v>
      </c>
      <c r="M340" t="s">
        <v>19177</v>
      </c>
      <c r="N340" t="s">
        <v>300</v>
      </c>
      <c r="O340" t="s">
        <v>16373</v>
      </c>
      <c r="P340" t="s">
        <v>12</v>
      </c>
    </row>
    <row r="341">
      <c r="A341">
        <f>HYPERLINK("http://bombeiros.sp.gov.br/hidrantes/03individual/989.html","989")</f>
      </c>
      <c r="B341" t="s">
        <v>114</v>
      </c>
      <c r="C341" t="s">
        <v>333</v>
      </c>
      <c r="D341" t="s">
        <v>333</v>
      </c>
      <c r="E341" t="s">
        <v>64</v>
      </c>
      <c r="F341" t="s">
        <v>6675</v>
      </c>
      <c r="G341" t="s">
        <v>18192</v>
      </c>
      <c r="H341" t="s">
        <v>1112</v>
      </c>
      <c r="I341" t="s">
        <v>1108</v>
      </c>
      <c r="J341" t="s">
        <v>6676</v>
      </c>
      <c r="K341" t="s">
        <v>6677</v>
      </c>
      <c r="L341" t="s">
        <v>36</v>
      </c>
      <c r="M341" t="s">
        <v>19177</v>
      </c>
      <c r="N341" t="s">
        <v>300</v>
      </c>
      <c r="O341" t="s">
        <v>16373</v>
      </c>
      <c r="P341" t="s">
        <v>12</v>
      </c>
    </row>
    <row r="342">
      <c r="A342">
        <f>HYPERLINK("http://bombeiros.sp.gov.br/hidrantes/03individual/3269.html","3269")</f>
      </c>
      <c r="B342" t="s">
        <v>114</v>
      </c>
      <c r="C342" t="s">
        <v>333</v>
      </c>
      <c r="D342" t="s">
        <v>333</v>
      </c>
      <c r="E342" t="s">
        <v>64</v>
      </c>
      <c r="F342" t="s">
        <v>6678</v>
      </c>
      <c r="G342" t="s">
        <v>18192</v>
      </c>
      <c r="H342" t="s">
        <v>1107</v>
      </c>
      <c r="I342" t="s">
        <v>1108</v>
      </c>
      <c r="J342" t="s">
        <v>6679</v>
      </c>
      <c r="K342" t="s">
        <v>6680</v>
      </c>
      <c r="L342" t="s">
        <v>36</v>
      </c>
      <c r="M342" t="s">
        <v>19177</v>
      </c>
      <c r="N342" t="s">
        <v>300</v>
      </c>
      <c r="O342" t="s">
        <v>16373</v>
      </c>
      <c r="P342" t="s">
        <v>12</v>
      </c>
    </row>
    <row r="343">
      <c r="A343">
        <f>HYPERLINK("http://bombeiros.sp.gov.br/hidrantes/03individual/3002.html","3002")</f>
      </c>
      <c r="B343" t="s">
        <v>114</v>
      </c>
      <c r="C343" t="s">
        <v>333</v>
      </c>
      <c r="D343" t="s">
        <v>333</v>
      </c>
      <c r="E343" t="s">
        <v>15</v>
      </c>
      <c r="F343" t="s">
        <v>6696</v>
      </c>
      <c r="G343" t="s">
        <v>18083</v>
      </c>
      <c r="H343" t="s">
        <v>1112</v>
      </c>
      <c r="I343" t="s">
        <v>1108</v>
      </c>
      <c r="J343" t="s">
        <v>6697</v>
      </c>
      <c r="K343" t="s">
        <v>6698</v>
      </c>
      <c r="L343" t="s">
        <v>36</v>
      </c>
      <c r="M343" t="s">
        <v>19177</v>
      </c>
      <c r="N343" t="s">
        <v>300</v>
      </c>
      <c r="O343" t="s">
        <v>16373</v>
      </c>
      <c r="P343" t="s">
        <v>12</v>
      </c>
    </row>
    <row r="344">
      <c r="A344">
        <f>HYPERLINK("http://bombeiros.sp.gov.br/hidrantes/03individual/3458.html","3458")</f>
      </c>
      <c r="B344" t="s">
        <v>114</v>
      </c>
      <c r="C344" t="s">
        <v>421</v>
      </c>
      <c r="D344" t="s">
        <v>6768</v>
      </c>
      <c r="E344" t="s">
        <v>64</v>
      </c>
      <c r="F344" t="s">
        <v>6769</v>
      </c>
      <c r="G344" t="s">
        <v>18097</v>
      </c>
      <c r="H344" t="s">
        <v>1121</v>
      </c>
      <c r="I344" t="s">
        <v>1117</v>
      </c>
      <c r="J344" t="s">
        <v>6770</v>
      </c>
      <c r="K344" t="s">
        <v>6771</v>
      </c>
      <c r="L344" t="s">
        <v>36</v>
      </c>
      <c r="M344" t="s">
        <v>19177</v>
      </c>
      <c r="N344" t="s">
        <v>272</v>
      </c>
      <c r="O344" t="s">
        <v>272</v>
      </c>
      <c r="P344" t="s">
        <v>114</v>
      </c>
    </row>
    <row r="345">
      <c r="A345">
        <f>HYPERLINK("http://bombeiros.sp.gov.br/hidrantes/03individual/3395.html","3395")</f>
      </c>
      <c r="B345" t="s">
        <v>114</v>
      </c>
      <c r="C345" t="s">
        <v>421</v>
      </c>
      <c r="D345" t="s">
        <v>6775</v>
      </c>
      <c r="E345" t="s">
        <v>64</v>
      </c>
      <c r="F345" t="s">
        <v>6779</v>
      </c>
      <c r="G345" t="s">
        <v>18117</v>
      </c>
      <c r="H345" t="s">
        <v>1107</v>
      </c>
      <c r="I345" t="s">
        <v>1108</v>
      </c>
      <c r="J345" t="s">
        <v>16165</v>
      </c>
      <c r="K345" t="s">
        <v>16166</v>
      </c>
      <c r="L345" t="s">
        <v>36</v>
      </c>
      <c r="M345" t="s">
        <v>19177</v>
      </c>
      <c r="N345" t="s">
        <v>309</v>
      </c>
      <c r="O345" t="s">
        <v>6029</v>
      </c>
      <c r="P345" t="s">
        <v>114</v>
      </c>
    </row>
    <row r="346">
      <c r="A346">
        <f>HYPERLINK("http://bombeiros.sp.gov.br/hidrantes/03individual/4326.html","4326")</f>
      </c>
      <c r="B346" t="s">
        <v>114</v>
      </c>
      <c r="C346" t="s">
        <v>421</v>
      </c>
      <c r="D346" t="s">
        <v>6775</v>
      </c>
      <c r="E346" t="s">
        <v>64</v>
      </c>
      <c r="F346" t="s">
        <v>6782</v>
      </c>
      <c r="G346" t="s">
        <v>18117</v>
      </c>
      <c r="H346" t="s">
        <v>1121</v>
      </c>
      <c r="I346" t="s">
        <v>1117</v>
      </c>
      <c r="J346" t="s">
        <v>6783</v>
      </c>
      <c r="K346" t="s">
        <v>6784</v>
      </c>
      <c r="L346" t="s">
        <v>36</v>
      </c>
      <c r="M346" t="s">
        <v>19177</v>
      </c>
      <c r="N346" t="s">
        <v>309</v>
      </c>
      <c r="O346" t="s">
        <v>6029</v>
      </c>
      <c r="P346" t="s">
        <v>114</v>
      </c>
    </row>
    <row r="347">
      <c r="A347">
        <f>HYPERLINK("http://bombeiros.sp.gov.br/hidrantes/03individual/3396.html","3396")</f>
      </c>
      <c r="B347" t="s">
        <v>114</v>
      </c>
      <c r="C347" t="s">
        <v>421</v>
      </c>
      <c r="D347" t="s">
        <v>6775</v>
      </c>
      <c r="E347" t="s">
        <v>15</v>
      </c>
      <c r="F347" t="s">
        <v>6794</v>
      </c>
      <c r="G347" t="s">
        <v>18099</v>
      </c>
      <c r="H347" t="s">
        <v>1107</v>
      </c>
      <c r="I347" t="s">
        <v>1108</v>
      </c>
      <c r="J347" t="s">
        <v>6795</v>
      </c>
      <c r="K347" t="s">
        <v>6796</v>
      </c>
      <c r="L347" t="s">
        <v>36</v>
      </c>
      <c r="M347" t="s">
        <v>19177</v>
      </c>
      <c r="N347" t="s">
        <v>6029</v>
      </c>
      <c r="O347" t="s">
        <v>6029</v>
      </c>
      <c r="P347" t="s">
        <v>114</v>
      </c>
    </row>
    <row r="348">
      <c r="A348">
        <f>HYPERLINK("http://bombeiros.sp.gov.br/hidrantes/03individual/1680.html","1680")</f>
      </c>
      <c r="B348" t="s">
        <v>114</v>
      </c>
      <c r="C348" t="s">
        <v>435</v>
      </c>
      <c r="D348" t="s">
        <v>6846</v>
      </c>
      <c r="E348" t="s">
        <v>64</v>
      </c>
      <c r="F348" t="s">
        <v>6850</v>
      </c>
      <c r="G348" t="s">
        <v>18076</v>
      </c>
      <c r="H348" t="s">
        <v>1112</v>
      </c>
      <c r="I348" t="s">
        <v>1108</v>
      </c>
      <c r="J348" t="s">
        <v>6851</v>
      </c>
      <c r="K348" t="s">
        <v>6852</v>
      </c>
      <c r="L348" t="s">
        <v>36</v>
      </c>
      <c r="M348" t="s">
        <v>19177</v>
      </c>
      <c r="N348" t="s">
        <v>16374</v>
      </c>
      <c r="O348" t="s">
        <v>272</v>
      </c>
      <c r="P348" t="s">
        <v>114</v>
      </c>
    </row>
    <row r="349">
      <c r="A349">
        <f>HYPERLINK("http://bombeiros.sp.gov.br/hidrantes/03individual/3179.html","3179")</f>
      </c>
      <c r="B349" t="s">
        <v>114</v>
      </c>
      <c r="C349" t="s">
        <v>435</v>
      </c>
      <c r="D349" t="s">
        <v>16145</v>
      </c>
      <c r="E349" t="s">
        <v>15</v>
      </c>
      <c r="F349" t="s">
        <v>6967</v>
      </c>
      <c r="G349" t="s">
        <v>18076</v>
      </c>
      <c r="H349" t="s">
        <v>1112</v>
      </c>
      <c r="I349" t="s">
        <v>1108</v>
      </c>
      <c r="J349" t="s">
        <v>6968</v>
      </c>
      <c r="K349" t="s">
        <v>6969</v>
      </c>
      <c r="L349" t="s">
        <v>36</v>
      </c>
      <c r="M349" t="s">
        <v>19177</v>
      </c>
      <c r="N349" t="s">
        <v>309</v>
      </c>
      <c r="O349" t="s">
        <v>6029</v>
      </c>
      <c r="P349" t="s">
        <v>114</v>
      </c>
    </row>
    <row r="350">
      <c r="A350">
        <f>HYPERLINK("http://bombeiros.sp.gov.br/hidrantes/03individual/3199.html","3199")</f>
      </c>
      <c r="B350" t="s">
        <v>114</v>
      </c>
      <c r="C350" t="s">
        <v>435</v>
      </c>
      <c r="D350" t="s">
        <v>435</v>
      </c>
      <c r="E350" t="s">
        <v>64</v>
      </c>
      <c r="F350" t="s">
        <v>7000</v>
      </c>
      <c r="G350" t="s">
        <v>18065</v>
      </c>
      <c r="H350" t="s">
        <v>1174</v>
      </c>
      <c r="I350" t="s">
        <v>1117</v>
      </c>
      <c r="J350" t="s">
        <v>7001</v>
      </c>
      <c r="K350" t="s">
        <v>7002</v>
      </c>
      <c r="L350" t="s">
        <v>36</v>
      </c>
      <c r="M350" t="s">
        <v>19177</v>
      </c>
      <c r="N350" t="s">
        <v>16374</v>
      </c>
      <c r="O350" t="s">
        <v>272</v>
      </c>
      <c r="P350" t="s">
        <v>114</v>
      </c>
    </row>
    <row r="351">
      <c r="A351">
        <f>HYPERLINK("http://bombeiros.sp.gov.br/hidrantes/03individual/1885.html","1885")</f>
      </c>
      <c r="B351" t="s">
        <v>114</v>
      </c>
      <c r="C351" t="s">
        <v>440</v>
      </c>
      <c r="D351" t="s">
        <v>115</v>
      </c>
      <c r="E351" t="s">
        <v>64</v>
      </c>
      <c r="F351" t="s">
        <v>7084</v>
      </c>
      <c r="G351" t="s">
        <v>18097</v>
      </c>
      <c r="H351" t="s">
        <v>1112</v>
      </c>
      <c r="I351" t="s">
        <v>1108</v>
      </c>
      <c r="J351" t="s">
        <v>7085</v>
      </c>
      <c r="K351" t="s">
        <v>7086</v>
      </c>
      <c r="L351" t="s">
        <v>36</v>
      </c>
      <c r="M351" t="s">
        <v>19177</v>
      </c>
      <c r="N351" t="s">
        <v>300</v>
      </c>
      <c r="O351" t="s">
        <v>16373</v>
      </c>
      <c r="P351" t="s">
        <v>12</v>
      </c>
    </row>
    <row r="352">
      <c r="A352">
        <f>HYPERLINK("http://bombeiros.sp.gov.br/hidrantes/03individual/34.html","34")</f>
      </c>
      <c r="B352" t="s">
        <v>114</v>
      </c>
      <c r="C352" t="s">
        <v>440</v>
      </c>
      <c r="D352" t="s">
        <v>441</v>
      </c>
      <c r="E352" t="s">
        <v>64</v>
      </c>
      <c r="F352" t="s">
        <v>7087</v>
      </c>
      <c r="G352" t="s">
        <v>18196</v>
      </c>
      <c r="H352" t="s">
        <v>1112</v>
      </c>
      <c r="I352" t="s">
        <v>1108</v>
      </c>
      <c r="J352" t="s">
        <v>7088</v>
      </c>
      <c r="K352" t="s">
        <v>7089</v>
      </c>
      <c r="L352" t="s">
        <v>36</v>
      </c>
      <c r="M352" t="s">
        <v>19177</v>
      </c>
      <c r="N352" t="s">
        <v>300</v>
      </c>
      <c r="O352" t="s">
        <v>16373</v>
      </c>
      <c r="P352" t="s">
        <v>12</v>
      </c>
    </row>
    <row r="353">
      <c r="A353">
        <f>HYPERLINK("http://bombeiros.sp.gov.br/hidrantes/03individual/3027.html","3027")</f>
      </c>
      <c r="B353" t="s">
        <v>114</v>
      </c>
      <c r="C353" t="s">
        <v>440</v>
      </c>
      <c r="D353" t="s">
        <v>441</v>
      </c>
      <c r="E353" t="s">
        <v>64</v>
      </c>
      <c r="F353" t="s">
        <v>7093</v>
      </c>
      <c r="G353" t="s">
        <v>18055</v>
      </c>
      <c r="H353" t="s">
        <v>1121</v>
      </c>
      <c r="I353" t="s">
        <v>1117</v>
      </c>
      <c r="J353" t="s">
        <v>7094</v>
      </c>
      <c r="K353" t="s">
        <v>7095</v>
      </c>
      <c r="L353" t="s">
        <v>36</v>
      </c>
      <c r="M353" t="s">
        <v>19177</v>
      </c>
      <c r="N353" t="s">
        <v>300</v>
      </c>
      <c r="O353" t="s">
        <v>16373</v>
      </c>
      <c r="P353" t="s">
        <v>12</v>
      </c>
    </row>
    <row r="354">
      <c r="A354">
        <f>HYPERLINK("http://bombeiros.sp.gov.br/hidrantes/03individual/170.html","170")</f>
      </c>
      <c r="B354" t="s">
        <v>114</v>
      </c>
      <c r="C354" t="s">
        <v>440</v>
      </c>
      <c r="D354" t="s">
        <v>7161</v>
      </c>
      <c r="E354" t="s">
        <v>64</v>
      </c>
      <c r="F354" t="s">
        <v>15922</v>
      </c>
      <c r="G354" t="s">
        <v>18158</v>
      </c>
      <c r="H354" t="s">
        <v>1112</v>
      </c>
      <c r="I354" t="s">
        <v>1108</v>
      </c>
      <c r="J354" t="s">
        <v>15925</v>
      </c>
      <c r="K354" t="s">
        <v>15926</v>
      </c>
      <c r="L354" t="s">
        <v>36</v>
      </c>
      <c r="M354" t="s">
        <v>19177</v>
      </c>
      <c r="N354" t="s">
        <v>300</v>
      </c>
      <c r="O354" t="s">
        <v>16373</v>
      </c>
      <c r="P354" t="s">
        <v>12</v>
      </c>
    </row>
    <row r="355">
      <c r="A355">
        <f>HYPERLINK("http://bombeiros.sp.gov.br/hidrantes/03individual/870.html","870")</f>
      </c>
      <c r="B355" t="s">
        <v>114</v>
      </c>
      <c r="C355" t="s">
        <v>440</v>
      </c>
      <c r="D355" t="s">
        <v>7161</v>
      </c>
      <c r="E355" t="s">
        <v>64</v>
      </c>
      <c r="F355" t="s">
        <v>7172</v>
      </c>
      <c r="G355" t="s">
        <v>18196</v>
      </c>
      <c r="H355" t="s">
        <v>1121</v>
      </c>
      <c r="I355" t="s">
        <v>1117</v>
      </c>
      <c r="J355" t="s">
        <v>7173</v>
      </c>
      <c r="K355" t="s">
        <v>7174</v>
      </c>
      <c r="L355" t="s">
        <v>36</v>
      </c>
      <c r="M355" t="s">
        <v>19177</v>
      </c>
      <c r="N355" t="s">
        <v>300</v>
      </c>
      <c r="O355" t="s">
        <v>16373</v>
      </c>
      <c r="P355" t="s">
        <v>12</v>
      </c>
    </row>
    <row r="356">
      <c r="A356">
        <f>HYPERLINK("http://bombeiros.sp.gov.br/hidrantes/03individual/4290.html","4290")</f>
      </c>
      <c r="B356" t="s">
        <v>114</v>
      </c>
      <c r="C356" t="s">
        <v>440</v>
      </c>
      <c r="D356" t="s">
        <v>7161</v>
      </c>
      <c r="E356" t="s">
        <v>64</v>
      </c>
      <c r="F356" t="s">
        <v>7184</v>
      </c>
      <c r="G356" t="s">
        <v>18117</v>
      </c>
      <c r="H356" t="s">
        <v>1112</v>
      </c>
      <c r="I356" t="s">
        <v>1108</v>
      </c>
      <c r="J356" t="s">
        <v>7185</v>
      </c>
      <c r="K356" t="s">
        <v>7186</v>
      </c>
      <c r="L356" t="s">
        <v>36</v>
      </c>
      <c r="M356" t="s">
        <v>19177</v>
      </c>
      <c r="N356" t="s">
        <v>300</v>
      </c>
      <c r="O356" t="s">
        <v>16373</v>
      </c>
      <c r="P356" t="s">
        <v>12</v>
      </c>
    </row>
    <row r="357">
      <c r="A357">
        <f>HYPERLINK("http://bombeiros.sp.gov.br/hidrantes/03individual/121.html","121")</f>
      </c>
      <c r="B357" t="s">
        <v>114</v>
      </c>
      <c r="C357" t="s">
        <v>440</v>
      </c>
      <c r="D357" t="s">
        <v>449</v>
      </c>
      <c r="E357" t="s">
        <v>64</v>
      </c>
      <c r="F357" t="s">
        <v>7190</v>
      </c>
      <c r="G357" t="s">
        <v>18093</v>
      </c>
      <c r="H357" t="s">
        <v>1112</v>
      </c>
      <c r="I357" t="s">
        <v>1108</v>
      </c>
      <c r="J357" t="s">
        <v>7192</v>
      </c>
      <c r="K357" t="s">
        <v>7193</v>
      </c>
      <c r="L357" t="s">
        <v>36</v>
      </c>
      <c r="M357" t="s">
        <v>19177</v>
      </c>
      <c r="N357" t="s">
        <v>300</v>
      </c>
      <c r="O357" t="s">
        <v>16373</v>
      </c>
      <c r="P357" t="s">
        <v>12</v>
      </c>
    </row>
    <row r="358">
      <c r="A358">
        <f>HYPERLINK("http://bombeiros.sp.gov.br/hidrantes/03individual/878.html","878")</f>
      </c>
      <c r="B358" t="s">
        <v>114</v>
      </c>
      <c r="C358" t="s">
        <v>440</v>
      </c>
      <c r="D358" t="s">
        <v>449</v>
      </c>
      <c r="E358" t="s">
        <v>64</v>
      </c>
      <c r="F358" t="s">
        <v>7197</v>
      </c>
      <c r="G358" t="s">
        <v>18056</v>
      </c>
      <c r="H358" t="s">
        <v>1112</v>
      </c>
      <c r="I358" t="s">
        <v>1108</v>
      </c>
      <c r="J358" t="s">
        <v>7198</v>
      </c>
      <c r="K358" t="s">
        <v>7199</v>
      </c>
      <c r="L358" t="s">
        <v>36</v>
      </c>
      <c r="M358" t="s">
        <v>19177</v>
      </c>
      <c r="N358" t="s">
        <v>300</v>
      </c>
      <c r="O358" t="s">
        <v>16373</v>
      </c>
      <c r="P358" t="s">
        <v>12</v>
      </c>
    </row>
    <row r="359">
      <c r="A359">
        <f>HYPERLINK("http://bombeiros.sp.gov.br/hidrantes/03individual/3600.html","3600")</f>
      </c>
      <c r="B359" t="s">
        <v>114</v>
      </c>
      <c r="C359" t="s">
        <v>440</v>
      </c>
      <c r="D359" t="s">
        <v>449</v>
      </c>
      <c r="E359" t="s">
        <v>64</v>
      </c>
      <c r="F359" t="s">
        <v>7203</v>
      </c>
      <c r="G359" t="s">
        <v>18197</v>
      </c>
      <c r="H359" t="s">
        <v>1112</v>
      </c>
      <c r="I359" t="s">
        <v>1108</v>
      </c>
      <c r="J359" t="s">
        <v>15900</v>
      </c>
      <c r="K359" t="s">
        <v>15901</v>
      </c>
      <c r="L359" t="s">
        <v>36</v>
      </c>
      <c r="M359" t="s">
        <v>19177</v>
      </c>
      <c r="N359" t="s">
        <v>300</v>
      </c>
      <c r="O359" t="s">
        <v>16373</v>
      </c>
      <c r="P359" t="s">
        <v>12</v>
      </c>
    </row>
    <row r="360">
      <c r="A360">
        <f>HYPERLINK("http://bombeiros.sp.gov.br/hidrantes/03individual/3623.html","3623")</f>
      </c>
      <c r="B360" t="s">
        <v>114</v>
      </c>
      <c r="C360" t="s">
        <v>440</v>
      </c>
      <c r="D360" t="s">
        <v>449</v>
      </c>
      <c r="E360" t="s">
        <v>64</v>
      </c>
      <c r="F360" t="s">
        <v>7206</v>
      </c>
      <c r="G360" t="s">
        <v>18084</v>
      </c>
      <c r="H360" t="s">
        <v>1112</v>
      </c>
      <c r="I360" t="s">
        <v>1108</v>
      </c>
      <c r="J360" t="s">
        <v>7207</v>
      </c>
      <c r="K360" t="s">
        <v>7208</v>
      </c>
      <c r="L360" t="s">
        <v>36</v>
      </c>
      <c r="M360" t="s">
        <v>19177</v>
      </c>
      <c r="N360" t="s">
        <v>300</v>
      </c>
      <c r="O360" t="s">
        <v>16373</v>
      </c>
      <c r="P360" t="s">
        <v>12</v>
      </c>
    </row>
    <row r="361">
      <c r="A361">
        <f>HYPERLINK("http://bombeiros.sp.gov.br/hidrantes/03individual/102.html","102")</f>
      </c>
      <c r="B361" t="s">
        <v>114</v>
      </c>
      <c r="C361" t="s">
        <v>440</v>
      </c>
      <c r="D361" t="s">
        <v>449</v>
      </c>
      <c r="E361" t="s">
        <v>15</v>
      </c>
      <c r="F361" t="s">
        <v>7224</v>
      </c>
      <c r="G361" t="s">
        <v>18106</v>
      </c>
      <c r="H361" t="s">
        <v>1107</v>
      </c>
      <c r="I361" t="s">
        <v>1108</v>
      </c>
      <c r="J361" t="s">
        <v>7225</v>
      </c>
      <c r="K361" t="s">
        <v>7226</v>
      </c>
      <c r="L361" t="s">
        <v>36</v>
      </c>
      <c r="M361" t="s">
        <v>19177</v>
      </c>
      <c r="N361" t="s">
        <v>300</v>
      </c>
      <c r="O361" t="s">
        <v>16373</v>
      </c>
      <c r="P361" t="s">
        <v>12</v>
      </c>
    </row>
    <row r="362">
      <c r="A362">
        <f>HYPERLINK("http://bombeiros.sp.gov.br/hidrantes/03individual/286.html","286")</f>
      </c>
      <c r="B362" t="s">
        <v>114</v>
      </c>
      <c r="C362" t="s">
        <v>440</v>
      </c>
      <c r="D362" t="s">
        <v>449</v>
      </c>
      <c r="E362" t="s">
        <v>15</v>
      </c>
      <c r="F362" t="s">
        <v>7296</v>
      </c>
      <c r="G362" t="s">
        <v>18050</v>
      </c>
      <c r="H362" t="s">
        <v>1107</v>
      </c>
      <c r="I362" t="s">
        <v>1108</v>
      </c>
      <c r="J362" t="s">
        <v>7297</v>
      </c>
      <c r="K362" t="s">
        <v>7298</v>
      </c>
      <c r="L362" t="s">
        <v>36</v>
      </c>
      <c r="M362" t="s">
        <v>19177</v>
      </c>
      <c r="N362" t="s">
        <v>300</v>
      </c>
      <c r="O362" t="s">
        <v>16373</v>
      </c>
      <c r="P362" t="s">
        <v>12</v>
      </c>
    </row>
    <row r="363">
      <c r="A363">
        <f>HYPERLINK("http://bombeiros.sp.gov.br/hidrantes/03individual/3597.html","3597")</f>
      </c>
      <c r="B363" t="s">
        <v>114</v>
      </c>
      <c r="C363" t="s">
        <v>440</v>
      </c>
      <c r="D363" t="s">
        <v>449</v>
      </c>
      <c r="E363" t="s">
        <v>15</v>
      </c>
      <c r="F363" t="s">
        <v>7334</v>
      </c>
      <c r="G363" t="s">
        <v>18143</v>
      </c>
      <c r="H363" t="s">
        <v>1112</v>
      </c>
      <c r="I363" t="s">
        <v>1108</v>
      </c>
      <c r="J363" t="s">
        <v>7335</v>
      </c>
      <c r="K363" t="s">
        <v>7336</v>
      </c>
      <c r="L363" t="s">
        <v>36</v>
      </c>
      <c r="M363" t="s">
        <v>19177</v>
      </c>
      <c r="N363" t="s">
        <v>300</v>
      </c>
      <c r="O363" t="s">
        <v>16373</v>
      </c>
      <c r="P363" t="s">
        <v>12</v>
      </c>
    </row>
    <row r="364">
      <c r="A364">
        <f>HYPERLINK("http://bombeiros.sp.gov.br/hidrantes/03individual/3646.html","3646")</f>
      </c>
      <c r="B364" t="s">
        <v>454</v>
      </c>
      <c r="C364" t="s">
        <v>460</v>
      </c>
      <c r="D364" t="s">
        <v>460</v>
      </c>
      <c r="E364" t="s">
        <v>64</v>
      </c>
      <c r="F364" t="s">
        <v>7355</v>
      </c>
      <c r="G364" t="s">
        <v>18112</v>
      </c>
      <c r="H364" t="s">
        <v>1107</v>
      </c>
      <c r="I364" t="s">
        <v>1108</v>
      </c>
      <c r="J364" t="s">
        <v>7356</v>
      </c>
      <c r="K364" t="s">
        <v>7357</v>
      </c>
      <c r="L364" t="s">
        <v>36</v>
      </c>
      <c r="M364" t="s">
        <v>19177</v>
      </c>
      <c r="N364" t="s">
        <v>478</v>
      </c>
      <c r="O364" t="s">
        <v>478</v>
      </c>
      <c r="P364" t="s">
        <v>454</v>
      </c>
    </row>
    <row r="365">
      <c r="A365">
        <f>HYPERLINK("http://bombeiros.sp.gov.br/hidrantes/03individual/3648.html","3648")</f>
      </c>
      <c r="B365" t="s">
        <v>454</v>
      </c>
      <c r="C365" t="s">
        <v>460</v>
      </c>
      <c r="D365" t="s">
        <v>460</v>
      </c>
      <c r="E365" t="s">
        <v>64</v>
      </c>
      <c r="F365" t="s">
        <v>7358</v>
      </c>
      <c r="G365" t="s">
        <v>18053</v>
      </c>
      <c r="H365" t="s">
        <v>1112</v>
      </c>
      <c r="I365" t="s">
        <v>1108</v>
      </c>
      <c r="J365" t="s">
        <v>7359</v>
      </c>
      <c r="K365" t="s">
        <v>7360</v>
      </c>
      <c r="L365" t="s">
        <v>36</v>
      </c>
      <c r="M365" t="s">
        <v>19177</v>
      </c>
      <c r="N365" t="s">
        <v>478</v>
      </c>
      <c r="O365" t="s">
        <v>478</v>
      </c>
      <c r="P365" t="s">
        <v>454</v>
      </c>
    </row>
    <row r="366">
      <c r="A366">
        <f>HYPERLINK("http://bombeiros.sp.gov.br/hidrantes/03individual/3662.html","3662")</f>
      </c>
      <c r="B366" t="s">
        <v>454</v>
      </c>
      <c r="C366" t="s">
        <v>460</v>
      </c>
      <c r="D366" t="s">
        <v>460</v>
      </c>
      <c r="E366" t="s">
        <v>64</v>
      </c>
      <c r="F366" t="s">
        <v>7364</v>
      </c>
      <c r="G366" t="s">
        <v>18113</v>
      </c>
      <c r="H366" t="s">
        <v>1112</v>
      </c>
      <c r="I366" t="s">
        <v>1108</v>
      </c>
      <c r="J366" t="s">
        <v>7365</v>
      </c>
      <c r="K366" t="s">
        <v>7366</v>
      </c>
      <c r="L366" t="s">
        <v>36</v>
      </c>
      <c r="M366" t="s">
        <v>19177</v>
      </c>
      <c r="N366" t="s">
        <v>478</v>
      </c>
      <c r="O366" t="s">
        <v>478</v>
      </c>
      <c r="P366" t="s">
        <v>454</v>
      </c>
    </row>
    <row r="367">
      <c r="A367">
        <f>HYPERLINK("http://bombeiros.sp.gov.br/hidrantes/03individual/4054.html","4054")</f>
      </c>
      <c r="B367" t="s">
        <v>454</v>
      </c>
      <c r="C367" t="s">
        <v>460</v>
      </c>
      <c r="D367" t="s">
        <v>7398</v>
      </c>
      <c r="E367" t="s">
        <v>64</v>
      </c>
      <c r="F367" t="s">
        <v>7399</v>
      </c>
      <c r="G367" t="s">
        <v>18075</v>
      </c>
      <c r="H367" t="s">
        <v>1174</v>
      </c>
      <c r="I367" t="s">
        <v>1117</v>
      </c>
      <c r="J367" t="s">
        <v>7400</v>
      </c>
      <c r="K367" t="s">
        <v>7401</v>
      </c>
      <c r="L367" t="s">
        <v>36</v>
      </c>
      <c r="M367" t="s">
        <v>19177</v>
      </c>
      <c r="N367" t="s">
        <v>519</v>
      </c>
      <c r="O367" t="s">
        <v>519</v>
      </c>
      <c r="P367" t="s">
        <v>454</v>
      </c>
    </row>
    <row r="368">
      <c r="A368">
        <f>HYPERLINK("http://bombeiros.sp.gov.br/hidrantes/03individual/3506.html","3506")</f>
      </c>
      <c r="B368" t="s">
        <v>454</v>
      </c>
      <c r="C368" t="s">
        <v>465</v>
      </c>
      <c r="D368" t="s">
        <v>465</v>
      </c>
      <c r="E368" t="s">
        <v>64</v>
      </c>
      <c r="F368" t="s">
        <v>7414</v>
      </c>
      <c r="G368" t="s">
        <v>18154</v>
      </c>
      <c r="H368" t="s">
        <v>1112</v>
      </c>
      <c r="I368" t="s">
        <v>1108</v>
      </c>
      <c r="J368" t="s">
        <v>7415</v>
      </c>
      <c r="K368" t="s">
        <v>7416</v>
      </c>
      <c r="L368" t="s">
        <v>36</v>
      </c>
      <c r="M368" t="s">
        <v>19177</v>
      </c>
      <c r="N368" t="s">
        <v>478</v>
      </c>
      <c r="O368" t="s">
        <v>478</v>
      </c>
      <c r="P368" t="s">
        <v>454</v>
      </c>
    </row>
    <row r="369">
      <c r="A369">
        <f>HYPERLINK("http://bombeiros.sp.gov.br/hidrantes/03individual/3499.html","3499")</f>
      </c>
      <c r="B369" t="s">
        <v>454</v>
      </c>
      <c r="C369" t="s">
        <v>465</v>
      </c>
      <c r="D369" t="s">
        <v>7478</v>
      </c>
      <c r="E369" t="s">
        <v>64</v>
      </c>
      <c r="F369" t="s">
        <v>7479</v>
      </c>
      <c r="G369" t="s">
        <v>18115</v>
      </c>
      <c r="H369" t="s">
        <v>1112</v>
      </c>
      <c r="I369" t="s">
        <v>1108</v>
      </c>
      <c r="J369" t="s">
        <v>7480</v>
      </c>
      <c r="K369" t="s">
        <v>7481</v>
      </c>
      <c r="L369" t="s">
        <v>36</v>
      </c>
      <c r="M369" t="s">
        <v>19177</v>
      </c>
      <c r="N369" t="s">
        <v>478</v>
      </c>
      <c r="O369" t="s">
        <v>478</v>
      </c>
      <c r="P369" t="s">
        <v>454</v>
      </c>
    </row>
    <row r="370">
      <c r="A370">
        <f>HYPERLINK("http://bombeiros.sp.gov.br/hidrantes/03individual/3501.html","3501")</f>
      </c>
      <c r="B370" t="s">
        <v>454</v>
      </c>
      <c r="C370" t="s">
        <v>465</v>
      </c>
      <c r="D370" t="s">
        <v>7478</v>
      </c>
      <c r="E370" t="s">
        <v>64</v>
      </c>
      <c r="F370" t="s">
        <v>7482</v>
      </c>
      <c r="G370" t="s">
        <v>18130</v>
      </c>
      <c r="H370" t="s">
        <v>1107</v>
      </c>
      <c r="I370" t="s">
        <v>1108</v>
      </c>
      <c r="J370" t="s">
        <v>7483</v>
      </c>
      <c r="K370" t="s">
        <v>7484</v>
      </c>
      <c r="L370" t="s">
        <v>36</v>
      </c>
      <c r="M370" t="s">
        <v>19177</v>
      </c>
      <c r="N370" t="s">
        <v>478</v>
      </c>
      <c r="O370" t="s">
        <v>478</v>
      </c>
      <c r="P370" t="s">
        <v>454</v>
      </c>
    </row>
    <row r="371">
      <c r="A371">
        <f>HYPERLINK("http://bombeiros.sp.gov.br/hidrantes/03individual/2195.html","2195")</f>
      </c>
      <c r="B371" t="s">
        <v>454</v>
      </c>
      <c r="C371" t="s">
        <v>469</v>
      </c>
      <c r="D371" t="s">
        <v>473</v>
      </c>
      <c r="E371" t="s">
        <v>64</v>
      </c>
      <c r="F371" t="s">
        <v>474</v>
      </c>
      <c r="G371" t="s">
        <v>18198</v>
      </c>
      <c r="H371" t="s">
        <v>1112</v>
      </c>
      <c r="I371" t="s">
        <v>1108</v>
      </c>
      <c r="J371" t="s">
        <v>476</v>
      </c>
      <c r="K371" t="s">
        <v>477</v>
      </c>
      <c r="L371" t="s">
        <v>36</v>
      </c>
      <c r="M371" t="s">
        <v>19177</v>
      </c>
      <c r="N371" t="s">
        <v>531</v>
      </c>
      <c r="O371" t="s">
        <v>531</v>
      </c>
      <c r="P371" t="s">
        <v>454</v>
      </c>
    </row>
    <row r="372">
      <c r="A372">
        <f>HYPERLINK("http://bombeiros.sp.gov.br/hidrantes/03individual/3641.html","3641")</f>
      </c>
      <c r="B372" t="s">
        <v>454</v>
      </c>
      <c r="C372" t="s">
        <v>478</v>
      </c>
      <c r="D372" t="s">
        <v>478</v>
      </c>
      <c r="E372" t="s">
        <v>64</v>
      </c>
      <c r="F372" t="s">
        <v>7627</v>
      </c>
      <c r="G372" t="s">
        <v>18109</v>
      </c>
      <c r="H372" t="s">
        <v>1112</v>
      </c>
      <c r="I372" t="s">
        <v>1108</v>
      </c>
      <c r="J372" t="s">
        <v>7628</v>
      </c>
      <c r="K372" t="s">
        <v>7629</v>
      </c>
      <c r="L372" t="s">
        <v>36</v>
      </c>
      <c r="M372" t="s">
        <v>19177</v>
      </c>
      <c r="N372" t="s">
        <v>478</v>
      </c>
      <c r="O372" t="s">
        <v>478</v>
      </c>
      <c r="P372" t="s">
        <v>454</v>
      </c>
    </row>
    <row r="373">
      <c r="A373">
        <f>HYPERLINK("http://bombeiros.sp.gov.br/hidrantes/03individual/1218.html","1218")</f>
      </c>
      <c r="B373" t="s">
        <v>454</v>
      </c>
      <c r="C373" t="s">
        <v>478</v>
      </c>
      <c r="D373" t="s">
        <v>478</v>
      </c>
      <c r="E373" t="s">
        <v>15</v>
      </c>
      <c r="F373" t="s">
        <v>7657</v>
      </c>
      <c r="G373" t="s">
        <v>18042</v>
      </c>
      <c r="H373" t="s">
        <v>1112</v>
      </c>
      <c r="I373" t="s">
        <v>1108</v>
      </c>
      <c r="J373" t="s">
        <v>7658</v>
      </c>
      <c r="K373" t="s">
        <v>7659</v>
      </c>
      <c r="L373" t="s">
        <v>36</v>
      </c>
      <c r="M373" t="s">
        <v>19177</v>
      </c>
      <c r="N373" t="s">
        <v>478</v>
      </c>
      <c r="O373" t="s">
        <v>478</v>
      </c>
      <c r="P373" t="s">
        <v>454</v>
      </c>
    </row>
    <row r="374">
      <c r="A374">
        <f>HYPERLINK("http://bombeiros.sp.gov.br/hidrantes/03individual/3642.html","3642")</f>
      </c>
      <c r="B374" t="s">
        <v>454</v>
      </c>
      <c r="C374" t="s">
        <v>478</v>
      </c>
      <c r="D374" t="s">
        <v>7708</v>
      </c>
      <c r="E374" t="s">
        <v>64</v>
      </c>
      <c r="F374" t="s">
        <v>7709</v>
      </c>
      <c r="G374" t="s">
        <v>18112</v>
      </c>
      <c r="H374" t="s">
        <v>1112</v>
      </c>
      <c r="I374" t="s">
        <v>1108</v>
      </c>
      <c r="J374" t="s">
        <v>7710</v>
      </c>
      <c r="K374" t="s">
        <v>7711</v>
      </c>
      <c r="L374" t="s">
        <v>36</v>
      </c>
      <c r="M374" t="s">
        <v>19177</v>
      </c>
      <c r="N374" t="s">
        <v>478</v>
      </c>
      <c r="O374" t="s">
        <v>478</v>
      </c>
      <c r="P374" t="s">
        <v>454</v>
      </c>
    </row>
    <row r="375">
      <c r="A375">
        <f>HYPERLINK("http://bombeiros.sp.gov.br/hidrantes/03individual/3643.html","3643")</f>
      </c>
      <c r="B375" t="s">
        <v>454</v>
      </c>
      <c r="C375" t="s">
        <v>478</v>
      </c>
      <c r="D375" t="s">
        <v>7708</v>
      </c>
      <c r="E375" t="s">
        <v>64</v>
      </c>
      <c r="F375" t="s">
        <v>7712</v>
      </c>
      <c r="G375" t="s">
        <v>18053</v>
      </c>
      <c r="H375" t="s">
        <v>1107</v>
      </c>
      <c r="I375" t="s">
        <v>1108</v>
      </c>
      <c r="J375" t="s">
        <v>7713</v>
      </c>
      <c r="K375" t="s">
        <v>7714</v>
      </c>
      <c r="L375" t="s">
        <v>36</v>
      </c>
      <c r="M375" t="s">
        <v>19177</v>
      </c>
      <c r="N375" t="s">
        <v>478</v>
      </c>
      <c r="O375" t="s">
        <v>478</v>
      </c>
      <c r="P375" t="s">
        <v>454</v>
      </c>
    </row>
    <row r="376">
      <c r="A376">
        <f>HYPERLINK("http://bombeiros.sp.gov.br/hidrantes/03individual/3663.html","3663")</f>
      </c>
      <c r="B376" t="s">
        <v>454</v>
      </c>
      <c r="C376" t="s">
        <v>478</v>
      </c>
      <c r="D376" t="s">
        <v>483</v>
      </c>
      <c r="E376" t="s">
        <v>64</v>
      </c>
      <c r="F376" t="s">
        <v>7733</v>
      </c>
      <c r="G376" t="s">
        <v>18109</v>
      </c>
      <c r="H376" t="s">
        <v>1112</v>
      </c>
      <c r="I376" t="s">
        <v>1108</v>
      </c>
      <c r="J376" t="s">
        <v>7734</v>
      </c>
      <c r="K376" t="s">
        <v>7735</v>
      </c>
      <c r="L376" t="s">
        <v>36</v>
      </c>
      <c r="M376" t="s">
        <v>19177</v>
      </c>
      <c r="N376" t="s">
        <v>478</v>
      </c>
      <c r="O376" t="s">
        <v>478</v>
      </c>
      <c r="P376" t="s">
        <v>454</v>
      </c>
    </row>
    <row r="377">
      <c r="A377">
        <f>HYPERLINK("http://bombeiros.sp.gov.br/hidrantes/03individual/580.html","580")</f>
      </c>
      <c r="B377" t="s">
        <v>454</v>
      </c>
      <c r="C377" t="s">
        <v>490</v>
      </c>
      <c r="D377" t="s">
        <v>490</v>
      </c>
      <c r="E377" t="s">
        <v>64</v>
      </c>
      <c r="F377" t="s">
        <v>7757</v>
      </c>
      <c r="G377" t="s">
        <v>18125</v>
      </c>
      <c r="H377" t="s">
        <v>1107</v>
      </c>
      <c r="I377" t="s">
        <v>1108</v>
      </c>
      <c r="J377" t="s">
        <v>7758</v>
      </c>
      <c r="K377" t="s">
        <v>7759</v>
      </c>
      <c r="L377" t="s">
        <v>36</v>
      </c>
      <c r="M377" t="s">
        <v>19177</v>
      </c>
      <c r="N377" t="s">
        <v>594</v>
      </c>
      <c r="O377" t="s">
        <v>531</v>
      </c>
      <c r="P377" t="s">
        <v>454</v>
      </c>
    </row>
    <row r="378">
      <c r="A378">
        <f>HYPERLINK("http://bombeiros.sp.gov.br/hidrantes/03individual/3475.html","3475")</f>
      </c>
      <c r="B378" t="s">
        <v>454</v>
      </c>
      <c r="C378" t="s">
        <v>490</v>
      </c>
      <c r="D378" t="s">
        <v>490</v>
      </c>
      <c r="E378" t="s">
        <v>64</v>
      </c>
      <c r="F378" t="s">
        <v>7760</v>
      </c>
      <c r="G378" t="s">
        <v>18066</v>
      </c>
      <c r="H378" t="s">
        <v>1107</v>
      </c>
      <c r="I378" t="s">
        <v>1108</v>
      </c>
      <c r="J378" t="s">
        <v>7761</v>
      </c>
      <c r="K378" t="s">
        <v>7762</v>
      </c>
      <c r="L378" t="s">
        <v>36</v>
      </c>
      <c r="M378" t="s">
        <v>19177</v>
      </c>
      <c r="N378" t="s">
        <v>594</v>
      </c>
      <c r="O378" t="s">
        <v>531</v>
      </c>
      <c r="P378" t="s">
        <v>454</v>
      </c>
    </row>
    <row r="379">
      <c r="A379">
        <f>HYPERLINK("http://bombeiros.sp.gov.br/hidrantes/03individual/3479.html","3479")</f>
      </c>
      <c r="B379" t="s">
        <v>454</v>
      </c>
      <c r="C379" t="s">
        <v>490</v>
      </c>
      <c r="D379" t="s">
        <v>490</v>
      </c>
      <c r="E379" t="s">
        <v>64</v>
      </c>
      <c r="F379" t="s">
        <v>7763</v>
      </c>
      <c r="G379" t="s">
        <v>18057</v>
      </c>
      <c r="H379" t="s">
        <v>1112</v>
      </c>
      <c r="I379" t="s">
        <v>1117</v>
      </c>
      <c r="J379" t="s">
        <v>16008</v>
      </c>
      <c r="K379" t="s">
        <v>16009</v>
      </c>
      <c r="L379" t="s">
        <v>36</v>
      </c>
      <c r="M379" t="s">
        <v>19177</v>
      </c>
      <c r="N379" t="s">
        <v>594</v>
      </c>
      <c r="O379" t="s">
        <v>531</v>
      </c>
      <c r="P379" t="s">
        <v>454</v>
      </c>
    </row>
    <row r="380">
      <c r="A380">
        <f>HYPERLINK("http://bombeiros.sp.gov.br/hidrantes/03individual/3537.html","3537")</f>
      </c>
      <c r="B380" t="s">
        <v>454</v>
      </c>
      <c r="C380" t="s">
        <v>490</v>
      </c>
      <c r="D380" t="s">
        <v>490</v>
      </c>
      <c r="E380" t="s">
        <v>64</v>
      </c>
      <c r="F380" t="s">
        <v>7766</v>
      </c>
      <c r="G380" t="s">
        <v>18196</v>
      </c>
      <c r="H380" t="s">
        <v>1112</v>
      </c>
      <c r="I380" t="s">
        <v>1108</v>
      </c>
      <c r="J380" t="s">
        <v>7767</v>
      </c>
      <c r="K380" t="s">
        <v>7768</v>
      </c>
      <c r="L380" t="s">
        <v>36</v>
      </c>
      <c r="M380" t="s">
        <v>19177</v>
      </c>
      <c r="N380" t="s">
        <v>594</v>
      </c>
      <c r="O380" t="s">
        <v>531</v>
      </c>
      <c r="P380" t="s">
        <v>454</v>
      </c>
    </row>
    <row r="381">
      <c r="A381">
        <f>HYPERLINK("http://bombeiros.sp.gov.br/hidrantes/03individual/3540.html","3540")</f>
      </c>
      <c r="B381" t="s">
        <v>454</v>
      </c>
      <c r="C381" t="s">
        <v>490</v>
      </c>
      <c r="D381" t="s">
        <v>490</v>
      </c>
      <c r="E381" t="s">
        <v>64</v>
      </c>
      <c r="F381" t="s">
        <v>7769</v>
      </c>
      <c r="G381" t="s">
        <v>18196</v>
      </c>
      <c r="H381" t="s">
        <v>1112</v>
      </c>
      <c r="I381" t="s">
        <v>1117</v>
      </c>
      <c r="J381" t="s">
        <v>7770</v>
      </c>
      <c r="K381" t="s">
        <v>7771</v>
      </c>
      <c r="L381" t="s">
        <v>36</v>
      </c>
      <c r="M381" t="s">
        <v>19177</v>
      </c>
      <c r="N381" t="s">
        <v>594</v>
      </c>
      <c r="O381" t="s">
        <v>531</v>
      </c>
      <c r="P381" t="s">
        <v>454</v>
      </c>
    </row>
    <row r="382">
      <c r="A382">
        <f>HYPERLINK("http://bombeiros.sp.gov.br/hidrantes/03individual/3541.html","3541")</f>
      </c>
      <c r="B382" t="s">
        <v>454</v>
      </c>
      <c r="C382" t="s">
        <v>490</v>
      </c>
      <c r="D382" t="s">
        <v>490</v>
      </c>
      <c r="E382" t="s">
        <v>64</v>
      </c>
      <c r="F382" t="s">
        <v>7772</v>
      </c>
      <c r="G382" t="s">
        <v>18196</v>
      </c>
      <c r="H382" t="s">
        <v>1112</v>
      </c>
      <c r="I382" t="s">
        <v>1108</v>
      </c>
      <c r="J382" t="s">
        <v>7773</v>
      </c>
      <c r="K382" t="s">
        <v>7774</v>
      </c>
      <c r="L382" t="s">
        <v>36</v>
      </c>
      <c r="M382" t="s">
        <v>19177</v>
      </c>
      <c r="N382" t="s">
        <v>594</v>
      </c>
      <c r="O382" t="s">
        <v>531</v>
      </c>
      <c r="P382" t="s">
        <v>454</v>
      </c>
    </row>
    <row r="383">
      <c r="A383">
        <f>HYPERLINK("http://bombeiros.sp.gov.br/hidrantes/03individual/3521.html","3521")</f>
      </c>
      <c r="B383" t="s">
        <v>454</v>
      </c>
      <c r="C383" t="s">
        <v>490</v>
      </c>
      <c r="D383" t="s">
        <v>506</v>
      </c>
      <c r="E383" t="s">
        <v>15</v>
      </c>
      <c r="F383" t="s">
        <v>7844</v>
      </c>
      <c r="G383" t="s">
        <v>18057</v>
      </c>
      <c r="H383" t="s">
        <v>1112</v>
      </c>
      <c r="I383" t="s">
        <v>1108</v>
      </c>
      <c r="J383" t="s">
        <v>7845</v>
      </c>
      <c r="K383" t="s">
        <v>7846</v>
      </c>
      <c r="L383" t="s">
        <v>36</v>
      </c>
      <c r="M383" t="s">
        <v>19177</v>
      </c>
      <c r="N383" t="s">
        <v>594</v>
      </c>
      <c r="O383" t="s">
        <v>531</v>
      </c>
      <c r="P383" t="s">
        <v>454</v>
      </c>
    </row>
    <row r="384">
      <c r="A384">
        <f>HYPERLINK("http://bombeiros.sp.gov.br/hidrantes/03individual/1011.html","1011")</f>
      </c>
      <c r="B384" t="s">
        <v>454</v>
      </c>
      <c r="C384" t="s">
        <v>510</v>
      </c>
      <c r="D384" t="s">
        <v>7847</v>
      </c>
      <c r="E384" t="s">
        <v>64</v>
      </c>
      <c r="F384" t="s">
        <v>7851</v>
      </c>
      <c r="G384" t="s">
        <v>18103</v>
      </c>
      <c r="H384" t="s">
        <v>1112</v>
      </c>
      <c r="I384" t="s">
        <v>1108</v>
      </c>
      <c r="J384" t="s">
        <v>16356</v>
      </c>
      <c r="K384" t="s">
        <v>16357</v>
      </c>
      <c r="L384" t="s">
        <v>36</v>
      </c>
      <c r="M384" t="s">
        <v>19177</v>
      </c>
      <c r="N384" t="s">
        <v>519</v>
      </c>
      <c r="O384" t="s">
        <v>519</v>
      </c>
      <c r="P384" t="s">
        <v>454</v>
      </c>
    </row>
    <row r="385">
      <c r="A385">
        <f>HYPERLINK("http://bombeiros.sp.gov.br/hidrantes/03individual/3979.html","3979")</f>
      </c>
      <c r="B385" t="s">
        <v>454</v>
      </c>
      <c r="C385" t="s">
        <v>510</v>
      </c>
      <c r="D385" t="s">
        <v>511</v>
      </c>
      <c r="E385" t="s">
        <v>64</v>
      </c>
      <c r="F385" t="s">
        <v>7872</v>
      </c>
      <c r="G385" t="s">
        <v>18181</v>
      </c>
      <c r="H385" t="s">
        <v>1112</v>
      </c>
      <c r="I385" t="s">
        <v>1108</v>
      </c>
      <c r="J385" t="s">
        <v>7873</v>
      </c>
      <c r="K385" t="s">
        <v>7874</v>
      </c>
      <c r="L385" t="s">
        <v>36</v>
      </c>
      <c r="M385" t="s">
        <v>19177</v>
      </c>
      <c r="N385" t="s">
        <v>519</v>
      </c>
      <c r="O385" t="s">
        <v>519</v>
      </c>
      <c r="P385" t="s">
        <v>454</v>
      </c>
    </row>
    <row r="386">
      <c r="A386">
        <f>HYPERLINK("http://bombeiros.sp.gov.br/hidrantes/03individual/4064.html","4064")</f>
      </c>
      <c r="B386" t="s">
        <v>454</v>
      </c>
      <c r="C386" t="s">
        <v>510</v>
      </c>
      <c r="D386" t="s">
        <v>511</v>
      </c>
      <c r="E386" t="s">
        <v>64</v>
      </c>
      <c r="F386" t="s">
        <v>7878</v>
      </c>
      <c r="G386" t="s">
        <v>18197</v>
      </c>
      <c r="H386" t="s">
        <v>1112</v>
      </c>
      <c r="I386" t="s">
        <v>1108</v>
      </c>
      <c r="J386" t="s">
        <v>7879</v>
      </c>
      <c r="K386" t="s">
        <v>7880</v>
      </c>
      <c r="L386" t="s">
        <v>36</v>
      </c>
      <c r="M386" t="s">
        <v>19177</v>
      </c>
      <c r="N386" t="s">
        <v>519</v>
      </c>
      <c r="O386" t="s">
        <v>519</v>
      </c>
      <c r="P386" t="s">
        <v>454</v>
      </c>
    </row>
    <row r="387">
      <c r="A387">
        <f>HYPERLINK("http://bombeiros.sp.gov.br/hidrantes/03individual/4068.html","4068")</f>
      </c>
      <c r="B387" t="s">
        <v>454</v>
      </c>
      <c r="C387" t="s">
        <v>510</v>
      </c>
      <c r="D387" t="s">
        <v>511</v>
      </c>
      <c r="E387" t="s">
        <v>64</v>
      </c>
      <c r="F387" t="s">
        <v>7881</v>
      </c>
      <c r="G387" t="s">
        <v>18197</v>
      </c>
      <c r="H387" t="s">
        <v>1112</v>
      </c>
      <c r="I387" t="s">
        <v>1108</v>
      </c>
      <c r="J387" t="s">
        <v>7882</v>
      </c>
      <c r="K387" t="s">
        <v>7883</v>
      </c>
      <c r="L387" t="s">
        <v>36</v>
      </c>
      <c r="M387" t="s">
        <v>19177</v>
      </c>
      <c r="N387" t="s">
        <v>519</v>
      </c>
      <c r="O387" t="s">
        <v>519</v>
      </c>
      <c r="P387" t="s">
        <v>454</v>
      </c>
    </row>
    <row r="388">
      <c r="A388">
        <f>HYPERLINK("http://bombeiros.sp.gov.br/hidrantes/03individual/3637.html","3637")</f>
      </c>
      <c r="B388" t="s">
        <v>454</v>
      </c>
      <c r="C388" t="s">
        <v>515</v>
      </c>
      <c r="D388" t="s">
        <v>7929</v>
      </c>
      <c r="E388" t="s">
        <v>15</v>
      </c>
      <c r="F388" t="s">
        <v>7951</v>
      </c>
      <c r="G388" t="s">
        <v>18065</v>
      </c>
      <c r="H388" t="s">
        <v>1174</v>
      </c>
      <c r="I388" t="s">
        <v>1108</v>
      </c>
      <c r="J388" t="s">
        <v>7952</v>
      </c>
      <c r="K388" t="s">
        <v>7953</v>
      </c>
      <c r="L388" t="s">
        <v>36</v>
      </c>
      <c r="M388" t="s">
        <v>19177</v>
      </c>
      <c r="N388" t="s">
        <v>478</v>
      </c>
      <c r="O388" t="s">
        <v>478</v>
      </c>
      <c r="P388" t="s">
        <v>454</v>
      </c>
    </row>
    <row r="389">
      <c r="A389">
        <f>HYPERLINK("http://bombeiros.sp.gov.br/hidrantes/03individual/3510.html","3510")</f>
      </c>
      <c r="B389" t="s">
        <v>454</v>
      </c>
      <c r="C389" t="s">
        <v>8036</v>
      </c>
      <c r="D389" t="s">
        <v>8037</v>
      </c>
      <c r="E389" t="s">
        <v>64</v>
      </c>
      <c r="F389" t="s">
        <v>8038</v>
      </c>
      <c r="G389" t="s">
        <v>18070</v>
      </c>
      <c r="H389" t="s">
        <v>1174</v>
      </c>
      <c r="I389" t="s">
        <v>1117</v>
      </c>
      <c r="J389" t="s">
        <v>8039</v>
      </c>
      <c r="K389" t="s">
        <v>8040</v>
      </c>
      <c r="L389" t="s">
        <v>36</v>
      </c>
      <c r="M389" t="s">
        <v>19177</v>
      </c>
      <c r="N389" t="s">
        <v>478</v>
      </c>
      <c r="O389" t="s">
        <v>478</v>
      </c>
      <c r="P389" t="s">
        <v>454</v>
      </c>
    </row>
    <row r="390">
      <c r="A390">
        <f>HYPERLINK("http://bombeiros.sp.gov.br/hidrantes/03individual/1009.html","1009")</f>
      </c>
      <c r="B390" t="s">
        <v>454</v>
      </c>
      <c r="C390" t="s">
        <v>8036</v>
      </c>
      <c r="D390" t="s">
        <v>8036</v>
      </c>
      <c r="E390" t="s">
        <v>15</v>
      </c>
      <c r="F390" t="s">
        <v>8068</v>
      </c>
      <c r="G390" t="s">
        <v>18072</v>
      </c>
      <c r="H390"/>
      <c r="I390" t="s">
        <v>18</v>
      </c>
      <c r="J390" t="s">
        <v>8069</v>
      </c>
      <c r="K390" t="s">
        <v>8070</v>
      </c>
      <c r="L390" t="s">
        <v>36</v>
      </c>
      <c r="M390" t="s">
        <v>19177</v>
      </c>
      <c r="N390" t="s">
        <v>531</v>
      </c>
      <c r="O390" t="s">
        <v>531</v>
      </c>
      <c r="P390" t="s">
        <v>454</v>
      </c>
    </row>
    <row r="391">
      <c r="A391">
        <f>HYPERLINK("http://bombeiros.sp.gov.br/hidrantes/03individual/1285.html","1285")</f>
      </c>
      <c r="B391" t="s">
        <v>454</v>
      </c>
      <c r="C391" t="s">
        <v>8036</v>
      </c>
      <c r="D391" t="s">
        <v>8036</v>
      </c>
      <c r="E391" t="s">
        <v>15</v>
      </c>
      <c r="F391" t="s">
        <v>8107</v>
      </c>
      <c r="G391" t="s">
        <v>18053</v>
      </c>
      <c r="H391" t="s">
        <v>1112</v>
      </c>
      <c r="I391" t="s">
        <v>1108</v>
      </c>
      <c r="J391" t="s">
        <v>8108</v>
      </c>
      <c r="K391" t="s">
        <v>8109</v>
      </c>
      <c r="L391" t="s">
        <v>36</v>
      </c>
      <c r="M391" t="s">
        <v>19177</v>
      </c>
      <c r="N391" t="s">
        <v>478</v>
      </c>
      <c r="O391" t="s">
        <v>478</v>
      </c>
      <c r="P391" t="s">
        <v>454</v>
      </c>
    </row>
    <row r="392">
      <c r="A392">
        <f>HYPERLINK("http://bombeiros.sp.gov.br/hidrantes/03individual/3946.html","3946")</f>
      </c>
      <c r="B392" t="s">
        <v>454</v>
      </c>
      <c r="C392" t="s">
        <v>8128</v>
      </c>
      <c r="D392" t="s">
        <v>8128</v>
      </c>
      <c r="E392" t="s">
        <v>64</v>
      </c>
      <c r="F392" t="s">
        <v>8132</v>
      </c>
      <c r="G392" t="s">
        <v>18199</v>
      </c>
      <c r="H392" t="s">
        <v>1112</v>
      </c>
      <c r="I392" t="s">
        <v>1108</v>
      </c>
      <c r="J392" t="s">
        <v>8133</v>
      </c>
      <c r="K392" t="s">
        <v>8134</v>
      </c>
      <c r="L392" t="s">
        <v>36</v>
      </c>
      <c r="M392" t="s">
        <v>19177</v>
      </c>
      <c r="N392" t="s">
        <v>519</v>
      </c>
      <c r="O392" t="s">
        <v>519</v>
      </c>
      <c r="P392" t="s">
        <v>454</v>
      </c>
    </row>
    <row r="393">
      <c r="A393">
        <f>HYPERLINK("http://bombeiros.sp.gov.br/hidrantes/03individual/3950.html","3950")</f>
      </c>
      <c r="B393" t="s">
        <v>454</v>
      </c>
      <c r="C393" t="s">
        <v>8128</v>
      </c>
      <c r="D393" t="s">
        <v>8128</v>
      </c>
      <c r="E393" t="s">
        <v>64</v>
      </c>
      <c r="F393" t="s">
        <v>8135</v>
      </c>
      <c r="G393" t="s">
        <v>18180</v>
      </c>
      <c r="H393" t="s">
        <v>1112</v>
      </c>
      <c r="I393" t="s">
        <v>1108</v>
      </c>
      <c r="J393" t="s">
        <v>8136</v>
      </c>
      <c r="K393" t="s">
        <v>8137</v>
      </c>
      <c r="L393" t="s">
        <v>36</v>
      </c>
      <c r="M393" t="s">
        <v>19177</v>
      </c>
      <c r="N393" t="s">
        <v>519</v>
      </c>
      <c r="O393" t="s">
        <v>519</v>
      </c>
      <c r="P393" t="s">
        <v>454</v>
      </c>
    </row>
    <row r="394">
      <c r="A394">
        <f>HYPERLINK("http://bombeiros.sp.gov.br/hidrantes/03individual/4019.html","4019")</f>
      </c>
      <c r="B394" t="s">
        <v>454</v>
      </c>
      <c r="C394" t="s">
        <v>519</v>
      </c>
      <c r="D394" t="s">
        <v>519</v>
      </c>
      <c r="E394" t="s">
        <v>64</v>
      </c>
      <c r="F394" t="s">
        <v>8162</v>
      </c>
      <c r="G394" t="s">
        <v>18049</v>
      </c>
      <c r="H394" t="s">
        <v>1107</v>
      </c>
      <c r="I394" t="s">
        <v>1108</v>
      </c>
      <c r="J394" t="s">
        <v>17648</v>
      </c>
      <c r="K394" t="s">
        <v>17649</v>
      </c>
      <c r="L394" t="s">
        <v>36</v>
      </c>
      <c r="M394" t="s">
        <v>19177</v>
      </c>
      <c r="N394" t="s">
        <v>519</v>
      </c>
      <c r="O394" t="s">
        <v>519</v>
      </c>
      <c r="P394" t="s">
        <v>454</v>
      </c>
    </row>
    <row r="395">
      <c r="A395">
        <f>HYPERLINK("http://bombeiros.sp.gov.br/hidrantes/03individual/708.html","708")</f>
      </c>
      <c r="B395" t="s">
        <v>454</v>
      </c>
      <c r="C395" t="s">
        <v>531</v>
      </c>
      <c r="D395" t="s">
        <v>532</v>
      </c>
      <c r="E395" t="s">
        <v>64</v>
      </c>
      <c r="F395" t="s">
        <v>533</v>
      </c>
      <c r="G395" t="s">
        <v>18043</v>
      </c>
      <c r="H395" t="s">
        <v>1112</v>
      </c>
      <c r="I395" t="s">
        <v>1108</v>
      </c>
      <c r="J395" t="s">
        <v>535</v>
      </c>
      <c r="K395" t="s">
        <v>536</v>
      </c>
      <c r="L395" t="s">
        <v>36</v>
      </c>
      <c r="M395" t="s">
        <v>19177</v>
      </c>
      <c r="N395" t="s">
        <v>531</v>
      </c>
      <c r="O395" t="s">
        <v>531</v>
      </c>
      <c r="P395" t="s">
        <v>454</v>
      </c>
    </row>
    <row r="396">
      <c r="A396">
        <f>HYPERLINK("http://bombeiros.sp.gov.br/hidrantes/03individual/3568.html","3568")</f>
      </c>
      <c r="B396" t="s">
        <v>454</v>
      </c>
      <c r="C396" t="s">
        <v>531</v>
      </c>
      <c r="D396" t="s">
        <v>532</v>
      </c>
      <c r="E396" t="s">
        <v>64</v>
      </c>
      <c r="F396" t="s">
        <v>8330</v>
      </c>
      <c r="G396" t="s">
        <v>18200</v>
      </c>
      <c r="H396" t="s">
        <v>1121</v>
      </c>
      <c r="I396" t="s">
        <v>1117</v>
      </c>
      <c r="J396" t="s">
        <v>8331</v>
      </c>
      <c r="K396" t="s">
        <v>8332</v>
      </c>
      <c r="L396" t="s">
        <v>36</v>
      </c>
      <c r="M396" t="s">
        <v>19177</v>
      </c>
      <c r="N396" t="s">
        <v>531</v>
      </c>
      <c r="O396" t="s">
        <v>531</v>
      </c>
      <c r="P396" t="s">
        <v>454</v>
      </c>
    </row>
    <row r="397">
      <c r="A397">
        <f>HYPERLINK("http://bombeiros.sp.gov.br/hidrantes/03individual/595.html","595")</f>
      </c>
      <c r="B397" t="s">
        <v>454</v>
      </c>
      <c r="C397" t="s">
        <v>531</v>
      </c>
      <c r="D397" t="s">
        <v>532</v>
      </c>
      <c r="E397" t="s">
        <v>15</v>
      </c>
      <c r="F397" t="s">
        <v>8333</v>
      </c>
      <c r="G397" t="s">
        <v>18484</v>
      </c>
      <c r="H397" t="s">
        <v>1107</v>
      </c>
      <c r="I397" t="s">
        <v>1108</v>
      </c>
      <c r="J397" t="s">
        <v>8334</v>
      </c>
      <c r="K397" t="s">
        <v>8335</v>
      </c>
      <c r="L397" t="s">
        <v>36</v>
      </c>
      <c r="M397" t="s">
        <v>19177</v>
      </c>
      <c r="N397" t="s">
        <v>531</v>
      </c>
      <c r="O397" t="s">
        <v>531</v>
      </c>
      <c r="P397" t="s">
        <v>454</v>
      </c>
    </row>
    <row r="398">
      <c r="A398">
        <f>HYPERLINK("http://bombeiros.sp.gov.br/hidrantes/03individual/2238.html","2238")</f>
      </c>
      <c r="B398" t="s">
        <v>454</v>
      </c>
      <c r="C398" t="s">
        <v>531</v>
      </c>
      <c r="D398" t="s">
        <v>532</v>
      </c>
      <c r="E398" t="s">
        <v>15</v>
      </c>
      <c r="F398" t="s">
        <v>8366</v>
      </c>
      <c r="G398" t="s">
        <v>18484</v>
      </c>
      <c r="H398" t="s">
        <v>1121</v>
      </c>
      <c r="I398" t="s">
        <v>1117</v>
      </c>
      <c r="J398" t="s">
        <v>8367</v>
      </c>
      <c r="K398" t="s">
        <v>8368</v>
      </c>
      <c r="L398" t="s">
        <v>36</v>
      </c>
      <c r="M398" t="s">
        <v>19177</v>
      </c>
      <c r="N398" t="s">
        <v>531</v>
      </c>
      <c r="O398" t="s">
        <v>531</v>
      </c>
      <c r="P398" t="s">
        <v>454</v>
      </c>
    </row>
    <row r="399">
      <c r="A399">
        <f>HYPERLINK("http://bombeiros.sp.gov.br/hidrantes/03individual/2745.html","2745")</f>
      </c>
      <c r="B399" t="s">
        <v>454</v>
      </c>
      <c r="C399" t="s">
        <v>531</v>
      </c>
      <c r="D399" t="s">
        <v>8378</v>
      </c>
      <c r="E399" t="s">
        <v>15</v>
      </c>
      <c r="F399" t="s">
        <v>8394</v>
      </c>
      <c r="G399" t="s">
        <v>18201</v>
      </c>
      <c r="H399" t="s">
        <v>1107</v>
      </c>
      <c r="I399" t="s">
        <v>1108</v>
      </c>
      <c r="J399" t="s">
        <v>8395</v>
      </c>
      <c r="K399" t="s">
        <v>8396</v>
      </c>
      <c r="L399" t="s">
        <v>36</v>
      </c>
      <c r="M399" t="s">
        <v>19177</v>
      </c>
      <c r="N399" t="s">
        <v>531</v>
      </c>
      <c r="O399" t="s">
        <v>531</v>
      </c>
      <c r="P399" t="s">
        <v>454</v>
      </c>
    </row>
    <row r="400">
      <c r="A400">
        <f>HYPERLINK("http://bombeiros.sp.gov.br/hidrantes/03individual/3558.html","3558")</f>
      </c>
      <c r="B400" t="s">
        <v>454</v>
      </c>
      <c r="C400" t="s">
        <v>531</v>
      </c>
      <c r="D400" t="s">
        <v>549</v>
      </c>
      <c r="E400" t="s">
        <v>64</v>
      </c>
      <c r="F400" t="s">
        <v>8400</v>
      </c>
      <c r="G400" t="s">
        <v>18184</v>
      </c>
      <c r="H400" t="s">
        <v>1112</v>
      </c>
      <c r="I400" t="s">
        <v>1108</v>
      </c>
      <c r="J400" t="s">
        <v>16119</v>
      </c>
      <c r="K400" t="s">
        <v>16120</v>
      </c>
      <c r="L400" t="s">
        <v>36</v>
      </c>
      <c r="M400" t="s">
        <v>19177</v>
      </c>
      <c r="N400" t="s">
        <v>531</v>
      </c>
      <c r="O400" t="s">
        <v>531</v>
      </c>
      <c r="P400" t="s">
        <v>454</v>
      </c>
    </row>
    <row r="401">
      <c r="A401">
        <f>HYPERLINK("http://bombeiros.sp.gov.br/hidrantes/03individual/3562.html","3562")</f>
      </c>
      <c r="B401" t="s">
        <v>454</v>
      </c>
      <c r="C401" t="s">
        <v>531</v>
      </c>
      <c r="D401" t="s">
        <v>549</v>
      </c>
      <c r="E401" t="s">
        <v>64</v>
      </c>
      <c r="F401" t="s">
        <v>8403</v>
      </c>
      <c r="G401" t="s">
        <v>18202</v>
      </c>
      <c r="H401" t="s">
        <v>1107</v>
      </c>
      <c r="I401" t="s">
        <v>1108</v>
      </c>
      <c r="J401" t="s">
        <v>8404</v>
      </c>
      <c r="K401" t="s">
        <v>8405</v>
      </c>
      <c r="L401" t="s">
        <v>36</v>
      </c>
      <c r="M401" t="s">
        <v>19177</v>
      </c>
      <c r="N401" t="s">
        <v>531</v>
      </c>
      <c r="O401" t="s">
        <v>531</v>
      </c>
      <c r="P401" t="s">
        <v>454</v>
      </c>
    </row>
    <row r="402">
      <c r="A402">
        <f>HYPERLINK("http://bombeiros.sp.gov.br/hidrantes/03individual/3565.html","3565")</f>
      </c>
      <c r="B402" t="s">
        <v>454</v>
      </c>
      <c r="C402" t="s">
        <v>531</v>
      </c>
      <c r="D402" t="s">
        <v>549</v>
      </c>
      <c r="E402" t="s">
        <v>64</v>
      </c>
      <c r="F402" t="s">
        <v>8409</v>
      </c>
      <c r="G402" t="s">
        <v>18071</v>
      </c>
      <c r="H402" t="s">
        <v>1174</v>
      </c>
      <c r="I402" t="s">
        <v>1117</v>
      </c>
      <c r="J402" t="s">
        <v>8410</v>
      </c>
      <c r="K402" t="s">
        <v>8411</v>
      </c>
      <c r="L402" t="s">
        <v>36</v>
      </c>
      <c r="M402" t="s">
        <v>19177</v>
      </c>
      <c r="N402" t="s">
        <v>531</v>
      </c>
      <c r="O402" t="s">
        <v>531</v>
      </c>
      <c r="P402" t="s">
        <v>454</v>
      </c>
    </row>
    <row r="403">
      <c r="A403">
        <f>HYPERLINK("http://bombeiros.sp.gov.br/hidrantes/03individual/3566.html","3566")</f>
      </c>
      <c r="B403" t="s">
        <v>454</v>
      </c>
      <c r="C403" t="s">
        <v>531</v>
      </c>
      <c r="D403" t="s">
        <v>549</v>
      </c>
      <c r="E403" t="s">
        <v>64</v>
      </c>
      <c r="F403" t="s">
        <v>8412</v>
      </c>
      <c r="G403" t="s">
        <v>18096</v>
      </c>
      <c r="H403" t="s">
        <v>1112</v>
      </c>
      <c r="I403" t="s">
        <v>1108</v>
      </c>
      <c r="J403" t="s">
        <v>8413</v>
      </c>
      <c r="K403" t="s">
        <v>8414</v>
      </c>
      <c r="L403" t="s">
        <v>36</v>
      </c>
      <c r="M403" t="s">
        <v>19177</v>
      </c>
      <c r="N403" t="s">
        <v>531</v>
      </c>
      <c r="O403" t="s">
        <v>531</v>
      </c>
      <c r="P403" t="s">
        <v>454</v>
      </c>
    </row>
    <row r="404">
      <c r="A404">
        <f>HYPERLINK("http://bombeiros.sp.gov.br/hidrantes/03individual/3581.html","3581")</f>
      </c>
      <c r="B404" t="s">
        <v>454</v>
      </c>
      <c r="C404" t="s">
        <v>531</v>
      </c>
      <c r="D404" t="s">
        <v>549</v>
      </c>
      <c r="E404" t="s">
        <v>64</v>
      </c>
      <c r="F404" t="s">
        <v>8415</v>
      </c>
      <c r="G404" t="s">
        <v>18071</v>
      </c>
      <c r="H404" t="s">
        <v>1107</v>
      </c>
      <c r="I404" t="s">
        <v>1108</v>
      </c>
      <c r="J404" t="s">
        <v>8416</v>
      </c>
      <c r="K404" t="s">
        <v>8417</v>
      </c>
      <c r="L404" t="s">
        <v>36</v>
      </c>
      <c r="M404" t="s">
        <v>19177</v>
      </c>
      <c r="N404" t="s">
        <v>531</v>
      </c>
      <c r="O404" t="s">
        <v>531</v>
      </c>
      <c r="P404" t="s">
        <v>454</v>
      </c>
    </row>
    <row r="405">
      <c r="A405">
        <f>HYPERLINK("http://bombeiros.sp.gov.br/hidrantes/03individual/3583.html","3583")</f>
      </c>
      <c r="B405" t="s">
        <v>454</v>
      </c>
      <c r="C405" t="s">
        <v>531</v>
      </c>
      <c r="D405" t="s">
        <v>549</v>
      </c>
      <c r="E405" t="s">
        <v>64</v>
      </c>
      <c r="F405" t="s">
        <v>8418</v>
      </c>
      <c r="G405" t="s">
        <v>18554</v>
      </c>
      <c r="H405" t="s">
        <v>1107</v>
      </c>
      <c r="I405" t="s">
        <v>1108</v>
      </c>
      <c r="J405" t="s">
        <v>8419</v>
      </c>
      <c r="K405" t="s">
        <v>8420</v>
      </c>
      <c r="L405" t="s">
        <v>36</v>
      </c>
      <c r="M405" t="s">
        <v>19177</v>
      </c>
      <c r="N405" t="s">
        <v>531</v>
      </c>
      <c r="O405" t="s">
        <v>531</v>
      </c>
      <c r="P405" t="s">
        <v>454</v>
      </c>
    </row>
    <row r="406">
      <c r="A406">
        <f>HYPERLINK("http://bombeiros.sp.gov.br/hidrantes/03individual/576.html","576")</f>
      </c>
      <c r="B406" t="s">
        <v>454</v>
      </c>
      <c r="C406" t="s">
        <v>531</v>
      </c>
      <c r="D406" t="s">
        <v>549</v>
      </c>
      <c r="E406" t="s">
        <v>15</v>
      </c>
      <c r="F406" t="s">
        <v>8427</v>
      </c>
      <c r="G406" t="s">
        <v>18554</v>
      </c>
      <c r="H406" t="s">
        <v>1112</v>
      </c>
      <c r="I406" t="s">
        <v>1108</v>
      </c>
      <c r="J406" t="s">
        <v>8428</v>
      </c>
      <c r="K406" t="s">
        <v>8429</v>
      </c>
      <c r="L406" t="s">
        <v>36</v>
      </c>
      <c r="M406" t="s">
        <v>19177</v>
      </c>
      <c r="N406" t="s">
        <v>531</v>
      </c>
      <c r="O406" t="s">
        <v>531</v>
      </c>
      <c r="P406" t="s">
        <v>454</v>
      </c>
    </row>
    <row r="407">
      <c r="A407">
        <f>HYPERLINK("http://bombeiros.sp.gov.br/hidrantes/03individual/749.html","749")</f>
      </c>
      <c r="B407" t="s">
        <v>454</v>
      </c>
      <c r="C407" t="s">
        <v>531</v>
      </c>
      <c r="D407" t="s">
        <v>549</v>
      </c>
      <c r="E407" t="s">
        <v>15</v>
      </c>
      <c r="F407" t="s">
        <v>8436</v>
      </c>
      <c r="G407" t="s">
        <v>18126</v>
      </c>
      <c r="H407" t="s">
        <v>1112</v>
      </c>
      <c r="I407" t="s">
        <v>1108</v>
      </c>
      <c r="J407" t="s">
        <v>8437</v>
      </c>
      <c r="K407" t="s">
        <v>8438</v>
      </c>
      <c r="L407" t="s">
        <v>36</v>
      </c>
      <c r="M407" t="s">
        <v>19177</v>
      </c>
      <c r="N407" t="s">
        <v>531</v>
      </c>
      <c r="O407" t="s">
        <v>531</v>
      </c>
      <c r="P407" t="s">
        <v>454</v>
      </c>
    </row>
    <row r="408">
      <c r="A408">
        <f>HYPERLINK("http://bombeiros.sp.gov.br/hidrantes/03individual/857.html","857")</f>
      </c>
      <c r="B408" t="s">
        <v>454</v>
      </c>
      <c r="C408" t="s">
        <v>531</v>
      </c>
      <c r="D408" t="s">
        <v>549</v>
      </c>
      <c r="E408" t="s">
        <v>15</v>
      </c>
      <c r="F408" t="s">
        <v>8442</v>
      </c>
      <c r="G408" t="s">
        <v>18147</v>
      </c>
      <c r="H408" t="s">
        <v>1107</v>
      </c>
      <c r="I408" t="s">
        <v>1108</v>
      </c>
      <c r="J408" t="s">
        <v>8443</v>
      </c>
      <c r="K408" t="s">
        <v>8444</v>
      </c>
      <c r="L408" t="s">
        <v>36</v>
      </c>
      <c r="M408" t="s">
        <v>19177</v>
      </c>
      <c r="N408" t="s">
        <v>531</v>
      </c>
      <c r="O408" t="s">
        <v>531</v>
      </c>
      <c r="P408" t="s">
        <v>454</v>
      </c>
    </row>
    <row r="409">
      <c r="A409">
        <f>HYPERLINK("http://bombeiros.sp.gov.br/hidrantes/03individual/3559.html","3559")</f>
      </c>
      <c r="B409" t="s">
        <v>454</v>
      </c>
      <c r="C409" t="s">
        <v>531</v>
      </c>
      <c r="D409" t="s">
        <v>549</v>
      </c>
      <c r="E409" t="s">
        <v>15</v>
      </c>
      <c r="F409" t="s">
        <v>550</v>
      </c>
      <c r="G409" t="s">
        <v>18184</v>
      </c>
      <c r="H409"/>
      <c r="I409" t="s">
        <v>18</v>
      </c>
      <c r="J409" t="s">
        <v>551</v>
      </c>
      <c r="K409" t="s">
        <v>552</v>
      </c>
      <c r="L409" t="s">
        <v>36</v>
      </c>
      <c r="M409" t="s">
        <v>19177</v>
      </c>
      <c r="N409" t="s">
        <v>531</v>
      </c>
      <c r="O409" t="s">
        <v>531</v>
      </c>
      <c r="P409" t="s">
        <v>454</v>
      </c>
    </row>
    <row r="410">
      <c r="A410">
        <f>HYPERLINK("http://bombeiros.sp.gov.br/hidrantes/03individual/5611.html","5611")</f>
      </c>
      <c r="B410" t="s">
        <v>454</v>
      </c>
      <c r="C410" t="s">
        <v>531</v>
      </c>
      <c r="D410" t="s">
        <v>8466</v>
      </c>
      <c r="E410" t="s">
        <v>64</v>
      </c>
      <c r="F410" t="s">
        <v>8470</v>
      </c>
      <c r="G410" t="s">
        <v>18126</v>
      </c>
      <c r="H410" t="s">
        <v>1107</v>
      </c>
      <c r="I410" t="s">
        <v>1108</v>
      </c>
      <c r="J410" t="s">
        <v>8471</v>
      </c>
      <c r="K410" t="s">
        <v>8472</v>
      </c>
      <c r="L410" t="s">
        <v>36</v>
      </c>
      <c r="M410" t="s">
        <v>19177</v>
      </c>
      <c r="N410" t="s">
        <v>531</v>
      </c>
      <c r="O410" t="s">
        <v>531</v>
      </c>
      <c r="P410" t="s">
        <v>454</v>
      </c>
    </row>
    <row r="411">
      <c r="A411">
        <f>HYPERLINK("http://bombeiros.sp.gov.br/hidrantes/03individual/3567.html","3567")</f>
      </c>
      <c r="B411" t="s">
        <v>454</v>
      </c>
      <c r="C411" t="s">
        <v>531</v>
      </c>
      <c r="D411" t="s">
        <v>553</v>
      </c>
      <c r="E411" t="s">
        <v>64</v>
      </c>
      <c r="F411" t="s">
        <v>8482</v>
      </c>
      <c r="G411" t="s">
        <v>18125</v>
      </c>
      <c r="H411" t="s">
        <v>1112</v>
      </c>
      <c r="I411" t="s">
        <v>1108</v>
      </c>
      <c r="J411" t="s">
        <v>8483</v>
      </c>
      <c r="K411" t="s">
        <v>8484</v>
      </c>
      <c r="L411" t="s">
        <v>36</v>
      </c>
      <c r="M411" t="s">
        <v>19177</v>
      </c>
      <c r="N411" t="s">
        <v>531</v>
      </c>
      <c r="O411" t="s">
        <v>531</v>
      </c>
      <c r="P411" t="s">
        <v>454</v>
      </c>
    </row>
    <row r="412">
      <c r="A412">
        <f>HYPERLINK("http://bombeiros.sp.gov.br/hidrantes/03individual/3574.html","3574")</f>
      </c>
      <c r="B412" t="s">
        <v>454</v>
      </c>
      <c r="C412" t="s">
        <v>531</v>
      </c>
      <c r="D412" t="s">
        <v>553</v>
      </c>
      <c r="E412" t="s">
        <v>64</v>
      </c>
      <c r="F412" t="s">
        <v>8485</v>
      </c>
      <c r="G412" t="s">
        <v>18132</v>
      </c>
      <c r="H412" t="s">
        <v>1112</v>
      </c>
      <c r="I412" t="s">
        <v>1108</v>
      </c>
      <c r="J412" t="s">
        <v>8486</v>
      </c>
      <c r="K412" t="s">
        <v>8487</v>
      </c>
      <c r="L412" t="s">
        <v>36</v>
      </c>
      <c r="M412" t="s">
        <v>19177</v>
      </c>
      <c r="N412" t="s">
        <v>531</v>
      </c>
      <c r="O412" t="s">
        <v>531</v>
      </c>
      <c r="P412" t="s">
        <v>454</v>
      </c>
    </row>
    <row r="413">
      <c r="A413">
        <f>HYPERLINK("http://bombeiros.sp.gov.br/hidrantes/03individual/3577.html","3577")</f>
      </c>
      <c r="B413" t="s">
        <v>454</v>
      </c>
      <c r="C413" t="s">
        <v>531</v>
      </c>
      <c r="D413" t="s">
        <v>553</v>
      </c>
      <c r="E413" t="s">
        <v>64</v>
      </c>
      <c r="F413" t="s">
        <v>8488</v>
      </c>
      <c r="G413" t="s">
        <v>18071</v>
      </c>
      <c r="H413" t="s">
        <v>1112</v>
      </c>
      <c r="I413" t="s">
        <v>1108</v>
      </c>
      <c r="J413" t="s">
        <v>8489</v>
      </c>
      <c r="K413" t="s">
        <v>8490</v>
      </c>
      <c r="L413" t="s">
        <v>36</v>
      </c>
      <c r="M413" t="s">
        <v>19177</v>
      </c>
      <c r="N413" t="s">
        <v>531</v>
      </c>
      <c r="O413" t="s">
        <v>531</v>
      </c>
      <c r="P413" t="s">
        <v>454</v>
      </c>
    </row>
    <row r="414">
      <c r="A414">
        <f>HYPERLINK("http://bombeiros.sp.gov.br/hidrantes/03individual/3573.html","3573")</f>
      </c>
      <c r="B414" t="s">
        <v>454</v>
      </c>
      <c r="C414" t="s">
        <v>531</v>
      </c>
      <c r="D414" t="s">
        <v>553</v>
      </c>
      <c r="E414" t="s">
        <v>15</v>
      </c>
      <c r="F414" t="s">
        <v>557</v>
      </c>
      <c r="G414" t="s">
        <v>18127</v>
      </c>
      <c r="H414" t="s">
        <v>1107</v>
      </c>
      <c r="I414" t="s">
        <v>1108</v>
      </c>
      <c r="J414" t="s">
        <v>558</v>
      </c>
      <c r="K414" t="s">
        <v>559</v>
      </c>
      <c r="L414" t="s">
        <v>36</v>
      </c>
      <c r="M414" t="s">
        <v>19177</v>
      </c>
      <c r="N414" t="s">
        <v>531</v>
      </c>
      <c r="O414" t="s">
        <v>531</v>
      </c>
      <c r="P414" t="s">
        <v>454</v>
      </c>
    </row>
    <row r="415">
      <c r="A415">
        <f>HYPERLINK("http://bombeiros.sp.gov.br/hidrantes/03individual/2526.html","2526")</f>
      </c>
      <c r="B415" t="s">
        <v>454</v>
      </c>
      <c r="C415" t="s">
        <v>531</v>
      </c>
      <c r="D415" t="s">
        <v>531</v>
      </c>
      <c r="E415" t="s">
        <v>64</v>
      </c>
      <c r="F415" t="s">
        <v>8528</v>
      </c>
      <c r="G415" t="s">
        <v>18484</v>
      </c>
      <c r="H415" t="s">
        <v>1112</v>
      </c>
      <c r="I415" t="s">
        <v>1108</v>
      </c>
      <c r="J415" t="s">
        <v>16321</v>
      </c>
      <c r="K415" t="s">
        <v>16322</v>
      </c>
      <c r="L415" t="s">
        <v>36</v>
      </c>
      <c r="M415" t="s">
        <v>19177</v>
      </c>
      <c r="N415" t="s">
        <v>531</v>
      </c>
      <c r="O415" t="s">
        <v>531</v>
      </c>
      <c r="P415" t="s">
        <v>454</v>
      </c>
    </row>
    <row r="416">
      <c r="A416">
        <f>HYPERLINK("http://bombeiros.sp.gov.br/hidrantes/03individual/2114.html","2114")</f>
      </c>
      <c r="B416" t="s">
        <v>454</v>
      </c>
      <c r="C416" t="s">
        <v>531</v>
      </c>
      <c r="D416" t="s">
        <v>8555</v>
      </c>
      <c r="E416" t="s">
        <v>64</v>
      </c>
      <c r="F416" t="s">
        <v>8559</v>
      </c>
      <c r="G416" t="s">
        <v>18043</v>
      </c>
      <c r="H416" t="s">
        <v>1121</v>
      </c>
      <c r="I416" t="s">
        <v>1117</v>
      </c>
      <c r="J416" t="s">
        <v>8560</v>
      </c>
      <c r="K416" t="s">
        <v>8561</v>
      </c>
      <c r="L416" t="s">
        <v>36</v>
      </c>
      <c r="M416" t="s">
        <v>19177</v>
      </c>
      <c r="N416" t="s">
        <v>531</v>
      </c>
      <c r="O416" t="s">
        <v>531</v>
      </c>
      <c r="P416" t="s">
        <v>454</v>
      </c>
    </row>
    <row r="417">
      <c r="A417">
        <f>HYPERLINK("http://bombeiros.sp.gov.br/hidrantes/03individual/2179.html","2179")</f>
      </c>
      <c r="B417" t="s">
        <v>454</v>
      </c>
      <c r="C417" t="s">
        <v>531</v>
      </c>
      <c r="D417" t="s">
        <v>8555</v>
      </c>
      <c r="E417" t="s">
        <v>64</v>
      </c>
      <c r="F417" t="s">
        <v>8562</v>
      </c>
      <c r="G417" t="s">
        <v>18043</v>
      </c>
      <c r="H417" t="s">
        <v>1121</v>
      </c>
      <c r="I417" t="s">
        <v>1117</v>
      </c>
      <c r="J417" t="s">
        <v>8563</v>
      </c>
      <c r="K417" t="s">
        <v>8564</v>
      </c>
      <c r="L417" t="s">
        <v>36</v>
      </c>
      <c r="M417" t="s">
        <v>19177</v>
      </c>
      <c r="N417" t="s">
        <v>531</v>
      </c>
      <c r="O417" t="s">
        <v>531</v>
      </c>
      <c r="P417" t="s">
        <v>454</v>
      </c>
    </row>
    <row r="418">
      <c r="A418">
        <f>HYPERLINK("http://bombeiros.sp.gov.br/hidrantes/03individual/1005.html","1005")</f>
      </c>
      <c r="B418" t="s">
        <v>454</v>
      </c>
      <c r="C418" t="s">
        <v>560</v>
      </c>
      <c r="D418" t="s">
        <v>8587</v>
      </c>
      <c r="E418" t="s">
        <v>64</v>
      </c>
      <c r="F418" t="s">
        <v>8591</v>
      </c>
      <c r="G418" t="s">
        <v>18204</v>
      </c>
      <c r="H418" t="s">
        <v>1107</v>
      </c>
      <c r="I418" t="s">
        <v>1108</v>
      </c>
      <c r="J418" t="s">
        <v>8592</v>
      </c>
      <c r="K418" t="s">
        <v>8593</v>
      </c>
      <c r="L418" t="s">
        <v>36</v>
      </c>
      <c r="M418" t="s">
        <v>19177</v>
      </c>
      <c r="N418" t="s">
        <v>519</v>
      </c>
      <c r="O418" t="s">
        <v>519</v>
      </c>
      <c r="P418" t="s">
        <v>454</v>
      </c>
    </row>
    <row r="419">
      <c r="A419">
        <f>HYPERLINK("http://bombeiros.sp.gov.br/hidrantes/03individual/1008.html","1008")</f>
      </c>
      <c r="B419" t="s">
        <v>454</v>
      </c>
      <c r="C419" t="s">
        <v>560</v>
      </c>
      <c r="D419" t="s">
        <v>8587</v>
      </c>
      <c r="E419" t="s">
        <v>64</v>
      </c>
      <c r="F419" t="s">
        <v>8597</v>
      </c>
      <c r="G419" t="s">
        <v>18115</v>
      </c>
      <c r="H419" t="s">
        <v>1107</v>
      </c>
      <c r="I419" t="s">
        <v>1108</v>
      </c>
      <c r="J419" t="s">
        <v>8598</v>
      </c>
      <c r="K419" t="s">
        <v>8599</v>
      </c>
      <c r="L419" t="s">
        <v>36</v>
      </c>
      <c r="M419" t="s">
        <v>19177</v>
      </c>
      <c r="N419" t="s">
        <v>519</v>
      </c>
      <c r="O419" t="s">
        <v>519</v>
      </c>
      <c r="P419" t="s">
        <v>454</v>
      </c>
    </row>
    <row r="420">
      <c r="A420">
        <f>HYPERLINK("http://bombeiros.sp.gov.br/hidrantes/03individual/975.html","975")</f>
      </c>
      <c r="B420" t="s">
        <v>454</v>
      </c>
      <c r="C420" t="s">
        <v>560</v>
      </c>
      <c r="D420" t="s">
        <v>8587</v>
      </c>
      <c r="E420" t="s">
        <v>15</v>
      </c>
      <c r="F420" t="s">
        <v>8603</v>
      </c>
      <c r="G420" t="s">
        <v>18115</v>
      </c>
      <c r="H420" t="s">
        <v>1107</v>
      </c>
      <c r="I420" t="s">
        <v>1108</v>
      </c>
      <c r="J420" t="s">
        <v>8604</v>
      </c>
      <c r="K420" t="s">
        <v>8605</v>
      </c>
      <c r="L420" t="s">
        <v>36</v>
      </c>
      <c r="M420" t="s">
        <v>19177</v>
      </c>
      <c r="N420" t="s">
        <v>519</v>
      </c>
      <c r="O420" t="s">
        <v>519</v>
      </c>
      <c r="P420" t="s">
        <v>454</v>
      </c>
    </row>
    <row r="421">
      <c r="A421">
        <f>HYPERLINK("http://bombeiros.sp.gov.br/hidrantes/03individual/1031.html","1031")</f>
      </c>
      <c r="B421" t="s">
        <v>454</v>
      </c>
      <c r="C421" t="s">
        <v>560</v>
      </c>
      <c r="D421" t="s">
        <v>560</v>
      </c>
      <c r="E421" t="s">
        <v>64</v>
      </c>
      <c r="F421" t="s">
        <v>8621</v>
      </c>
      <c r="G421" t="s">
        <v>18129</v>
      </c>
      <c r="H421" t="s">
        <v>1112</v>
      </c>
      <c r="I421" t="s">
        <v>1108</v>
      </c>
      <c r="J421" t="s">
        <v>8622</v>
      </c>
      <c r="K421" t="s">
        <v>8623</v>
      </c>
      <c r="L421" t="s">
        <v>36</v>
      </c>
      <c r="M421" t="s">
        <v>19177</v>
      </c>
      <c r="N421" t="s">
        <v>519</v>
      </c>
      <c r="O421" t="s">
        <v>519</v>
      </c>
      <c r="P421" t="s">
        <v>454</v>
      </c>
    </row>
    <row r="422">
      <c r="A422">
        <f>HYPERLINK("http://bombeiros.sp.gov.br/hidrantes/03individual/1093.html","1093")</f>
      </c>
      <c r="B422" t="s">
        <v>454</v>
      </c>
      <c r="C422" t="s">
        <v>560</v>
      </c>
      <c r="D422" t="s">
        <v>560</v>
      </c>
      <c r="E422" t="s">
        <v>64</v>
      </c>
      <c r="F422" t="s">
        <v>8624</v>
      </c>
      <c r="G422" t="s">
        <v>18205</v>
      </c>
      <c r="H422" t="s">
        <v>1112</v>
      </c>
      <c r="I422" t="s">
        <v>1108</v>
      </c>
      <c r="J422" t="s">
        <v>8625</v>
      </c>
      <c r="K422" t="s">
        <v>8626</v>
      </c>
      <c r="L422" t="s">
        <v>36</v>
      </c>
      <c r="M422" t="s">
        <v>19177</v>
      </c>
      <c r="N422" t="s">
        <v>519</v>
      </c>
      <c r="O422" t="s">
        <v>519</v>
      </c>
      <c r="P422" t="s">
        <v>454</v>
      </c>
    </row>
    <row r="423">
      <c r="A423">
        <f>HYPERLINK("http://bombeiros.sp.gov.br/hidrantes/03individual/1159.html","1159")</f>
      </c>
      <c r="B423" t="s">
        <v>454</v>
      </c>
      <c r="C423" t="s">
        <v>560</v>
      </c>
      <c r="D423" t="s">
        <v>560</v>
      </c>
      <c r="E423" t="s">
        <v>64</v>
      </c>
      <c r="F423" t="s">
        <v>8627</v>
      </c>
      <c r="G423" t="s">
        <v>17984</v>
      </c>
      <c r="H423" t="s">
        <v>1107</v>
      </c>
      <c r="I423" t="s">
        <v>1108</v>
      </c>
      <c r="J423" t="s">
        <v>8628</v>
      </c>
      <c r="K423" t="s">
        <v>8629</v>
      </c>
      <c r="L423" t="s">
        <v>36</v>
      </c>
      <c r="M423" t="s">
        <v>19177</v>
      </c>
      <c r="N423" t="s">
        <v>519</v>
      </c>
      <c r="O423" t="s">
        <v>519</v>
      </c>
      <c r="P423" t="s">
        <v>454</v>
      </c>
    </row>
    <row r="424">
      <c r="A424">
        <f>HYPERLINK("http://bombeiros.sp.gov.br/hidrantes/03individual/1303.html","1303")</f>
      </c>
      <c r="B424" t="s">
        <v>454</v>
      </c>
      <c r="C424" t="s">
        <v>560</v>
      </c>
      <c r="D424" t="s">
        <v>560</v>
      </c>
      <c r="E424" t="s">
        <v>64</v>
      </c>
      <c r="F424" t="s">
        <v>8630</v>
      </c>
      <c r="G424" t="s">
        <v>18075</v>
      </c>
      <c r="H424" t="s">
        <v>1121</v>
      </c>
      <c r="I424" t="s">
        <v>1117</v>
      </c>
      <c r="J424" t="s">
        <v>8631</v>
      </c>
      <c r="K424" t="s">
        <v>8632</v>
      </c>
      <c r="L424" t="s">
        <v>36</v>
      </c>
      <c r="M424" t="s">
        <v>19177</v>
      </c>
      <c r="N424" t="s">
        <v>519</v>
      </c>
      <c r="O424" t="s">
        <v>519</v>
      </c>
      <c r="P424" t="s">
        <v>454</v>
      </c>
    </row>
    <row r="425">
      <c r="A425">
        <f>HYPERLINK("http://bombeiros.sp.gov.br/hidrantes/03individual/1314.html","1314")</f>
      </c>
      <c r="B425" t="s">
        <v>454</v>
      </c>
      <c r="C425" t="s">
        <v>560</v>
      </c>
      <c r="D425" t="s">
        <v>560</v>
      </c>
      <c r="E425" t="s">
        <v>64</v>
      </c>
      <c r="F425" t="s">
        <v>8633</v>
      </c>
      <c r="G425" t="s">
        <v>18119</v>
      </c>
      <c r="H425" t="s">
        <v>1121</v>
      </c>
      <c r="I425" t="s">
        <v>1117</v>
      </c>
      <c r="J425" t="s">
        <v>8634</v>
      </c>
      <c r="K425" t="s">
        <v>8635</v>
      </c>
      <c r="L425" t="s">
        <v>36</v>
      </c>
      <c r="M425" t="s">
        <v>19177</v>
      </c>
      <c r="N425" t="s">
        <v>519</v>
      </c>
      <c r="O425" t="s">
        <v>519</v>
      </c>
      <c r="P425" t="s">
        <v>454</v>
      </c>
    </row>
    <row r="426">
      <c r="A426">
        <f>HYPERLINK("http://bombeiros.sp.gov.br/hidrantes/03individual/3363.html","3363")</f>
      </c>
      <c r="B426" t="s">
        <v>454</v>
      </c>
      <c r="C426" t="s">
        <v>560</v>
      </c>
      <c r="D426" t="s">
        <v>560</v>
      </c>
      <c r="E426" t="s">
        <v>64</v>
      </c>
      <c r="F426" t="s">
        <v>8636</v>
      </c>
      <c r="G426" t="s">
        <v>18130</v>
      </c>
      <c r="H426" t="s">
        <v>1121</v>
      </c>
      <c r="I426" t="s">
        <v>1117</v>
      </c>
      <c r="J426" t="s">
        <v>8637</v>
      </c>
      <c r="K426" t="s">
        <v>8638</v>
      </c>
      <c r="L426" t="s">
        <v>36</v>
      </c>
      <c r="M426" t="s">
        <v>19177</v>
      </c>
      <c r="N426" t="s">
        <v>519</v>
      </c>
      <c r="O426" t="s">
        <v>519</v>
      </c>
      <c r="P426" t="s">
        <v>454</v>
      </c>
    </row>
    <row r="427">
      <c r="A427">
        <f>HYPERLINK("http://bombeiros.sp.gov.br/hidrantes/03individual/1200.html","1200")</f>
      </c>
      <c r="B427" t="s">
        <v>454</v>
      </c>
      <c r="C427" t="s">
        <v>560</v>
      </c>
      <c r="D427" t="s">
        <v>560</v>
      </c>
      <c r="E427" t="s">
        <v>15</v>
      </c>
      <c r="F427" t="s">
        <v>8669</v>
      </c>
      <c r="G427" t="s">
        <v>18046</v>
      </c>
      <c r="H427" t="s">
        <v>1112</v>
      </c>
      <c r="I427" t="s">
        <v>1108</v>
      </c>
      <c r="J427" t="s">
        <v>8670</v>
      </c>
      <c r="K427" t="s">
        <v>8671</v>
      </c>
      <c r="L427" t="s">
        <v>36</v>
      </c>
      <c r="M427" t="s">
        <v>19177</v>
      </c>
      <c r="N427" t="s">
        <v>519</v>
      </c>
      <c r="O427" t="s">
        <v>519</v>
      </c>
      <c r="P427" t="s">
        <v>454</v>
      </c>
    </row>
    <row r="428">
      <c r="A428">
        <f>HYPERLINK("http://bombeiros.sp.gov.br/hidrantes/03individual/1266.html","1266")</f>
      </c>
      <c r="B428" t="s">
        <v>454</v>
      </c>
      <c r="C428" t="s">
        <v>560</v>
      </c>
      <c r="D428" t="s">
        <v>560</v>
      </c>
      <c r="E428" t="s">
        <v>15</v>
      </c>
      <c r="F428" t="s">
        <v>8681</v>
      </c>
      <c r="G428" t="s">
        <v>18197</v>
      </c>
      <c r="H428" t="s">
        <v>1112</v>
      </c>
      <c r="I428" t="s">
        <v>1108</v>
      </c>
      <c r="J428" t="s">
        <v>8683</v>
      </c>
      <c r="K428" t="s">
        <v>8684</v>
      </c>
      <c r="L428" t="s">
        <v>36</v>
      </c>
      <c r="M428" t="s">
        <v>19177</v>
      </c>
      <c r="N428" t="s">
        <v>519</v>
      </c>
      <c r="O428" t="s">
        <v>519</v>
      </c>
      <c r="P428" t="s">
        <v>454</v>
      </c>
    </row>
    <row r="429">
      <c r="A429">
        <f>HYPERLINK("http://bombeiros.sp.gov.br/hidrantes/03individual/1316.html","1316")</f>
      </c>
      <c r="B429" t="s">
        <v>454</v>
      </c>
      <c r="C429" t="s">
        <v>560</v>
      </c>
      <c r="D429" t="s">
        <v>560</v>
      </c>
      <c r="E429" t="s">
        <v>15</v>
      </c>
      <c r="F429" t="s">
        <v>8691</v>
      </c>
      <c r="G429" t="s">
        <v>18089</v>
      </c>
      <c r="H429" t="s">
        <v>1107</v>
      </c>
      <c r="I429" t="s">
        <v>1108</v>
      </c>
      <c r="J429" t="s">
        <v>8692</v>
      </c>
      <c r="K429" t="s">
        <v>8693</v>
      </c>
      <c r="L429" t="s">
        <v>36</v>
      </c>
      <c r="M429" t="s">
        <v>19177</v>
      </c>
      <c r="N429" t="s">
        <v>519</v>
      </c>
      <c r="O429" t="s">
        <v>519</v>
      </c>
      <c r="P429" t="s">
        <v>454</v>
      </c>
    </row>
    <row r="430">
      <c r="A430">
        <f>HYPERLINK("http://bombeiros.sp.gov.br/hidrantes/03individual/3548.html","3548")</f>
      </c>
      <c r="B430" t="s">
        <v>454</v>
      </c>
      <c r="C430" t="s">
        <v>565</v>
      </c>
      <c r="D430" t="s">
        <v>8727</v>
      </c>
      <c r="E430" t="s">
        <v>64</v>
      </c>
      <c r="F430" t="s">
        <v>8728</v>
      </c>
      <c r="G430" t="s">
        <v>18206</v>
      </c>
      <c r="H430" t="s">
        <v>1112</v>
      </c>
      <c r="I430" t="s">
        <v>1108</v>
      </c>
      <c r="J430" t="s">
        <v>8729</v>
      </c>
      <c r="K430" t="s">
        <v>8730</v>
      </c>
      <c r="L430" t="s">
        <v>36</v>
      </c>
      <c r="M430" t="s">
        <v>19177</v>
      </c>
      <c r="N430" t="s">
        <v>531</v>
      </c>
      <c r="O430" t="s">
        <v>531</v>
      </c>
      <c r="P430" t="s">
        <v>454</v>
      </c>
    </row>
    <row r="431">
      <c r="A431">
        <f>HYPERLINK("http://bombeiros.sp.gov.br/hidrantes/03individual/3570.html","3570")</f>
      </c>
      <c r="B431" t="s">
        <v>454</v>
      </c>
      <c r="C431" t="s">
        <v>565</v>
      </c>
      <c r="D431" t="s">
        <v>8727</v>
      </c>
      <c r="E431" t="s">
        <v>64</v>
      </c>
      <c r="F431" t="s">
        <v>8734</v>
      </c>
      <c r="G431" t="s">
        <v>18206</v>
      </c>
      <c r="H431" t="s">
        <v>1112</v>
      </c>
      <c r="I431" t="s">
        <v>1108</v>
      </c>
      <c r="J431" t="s">
        <v>8735</v>
      </c>
      <c r="K431" t="s">
        <v>8736</v>
      </c>
      <c r="L431" t="s">
        <v>36</v>
      </c>
      <c r="M431" t="s">
        <v>19177</v>
      </c>
      <c r="N431" t="s">
        <v>531</v>
      </c>
      <c r="O431" t="s">
        <v>531</v>
      </c>
      <c r="P431" t="s">
        <v>454</v>
      </c>
    </row>
    <row r="432">
      <c r="A432">
        <f>HYPERLINK("http://bombeiros.sp.gov.br/hidrantes/03individual/3534.html","3534")</f>
      </c>
      <c r="B432" t="s">
        <v>454</v>
      </c>
      <c r="C432" t="s">
        <v>565</v>
      </c>
      <c r="D432" t="s">
        <v>566</v>
      </c>
      <c r="E432" t="s">
        <v>64</v>
      </c>
      <c r="F432" t="s">
        <v>8737</v>
      </c>
      <c r="G432" t="s">
        <v>18054</v>
      </c>
      <c r="H432" t="s">
        <v>1112</v>
      </c>
      <c r="I432" t="s">
        <v>1108</v>
      </c>
      <c r="J432" t="s">
        <v>8738</v>
      </c>
      <c r="K432" t="s">
        <v>8739</v>
      </c>
      <c r="L432" t="s">
        <v>36</v>
      </c>
      <c r="M432" t="s">
        <v>19177</v>
      </c>
      <c r="N432" t="s">
        <v>594</v>
      </c>
      <c r="O432" t="s">
        <v>531</v>
      </c>
      <c r="P432" t="s">
        <v>454</v>
      </c>
    </row>
    <row r="433">
      <c r="A433">
        <f>HYPERLINK("http://bombeiros.sp.gov.br/hidrantes/03individual/3517.html","3517")</f>
      </c>
      <c r="B433" t="s">
        <v>454</v>
      </c>
      <c r="C433" t="s">
        <v>565</v>
      </c>
      <c r="D433" t="s">
        <v>565</v>
      </c>
      <c r="E433" t="s">
        <v>64</v>
      </c>
      <c r="F433" t="s">
        <v>8784</v>
      </c>
      <c r="G433" t="s">
        <v>18067</v>
      </c>
      <c r="H433" t="s">
        <v>1107</v>
      </c>
      <c r="I433" t="s">
        <v>1108</v>
      </c>
      <c r="J433" t="s">
        <v>8785</v>
      </c>
      <c r="K433" t="s">
        <v>8786</v>
      </c>
      <c r="L433" t="s">
        <v>36</v>
      </c>
      <c r="M433" t="s">
        <v>19177</v>
      </c>
      <c r="N433" t="s">
        <v>478</v>
      </c>
      <c r="O433" t="s">
        <v>478</v>
      </c>
      <c r="P433" t="s">
        <v>454</v>
      </c>
    </row>
    <row r="434">
      <c r="A434">
        <f>HYPERLINK("http://bombeiros.sp.gov.br/hidrantes/03individual/3518.html","3518")</f>
      </c>
      <c r="B434" t="s">
        <v>454</v>
      </c>
      <c r="C434" t="s">
        <v>565</v>
      </c>
      <c r="D434" t="s">
        <v>565</v>
      </c>
      <c r="E434" t="s">
        <v>64</v>
      </c>
      <c r="F434" t="s">
        <v>8787</v>
      </c>
      <c r="G434" t="s">
        <v>18070</v>
      </c>
      <c r="H434" t="s">
        <v>1107</v>
      </c>
      <c r="I434" t="s">
        <v>1108</v>
      </c>
      <c r="J434" t="s">
        <v>8788</v>
      </c>
      <c r="K434" t="s">
        <v>8789</v>
      </c>
      <c r="L434" t="s">
        <v>36</v>
      </c>
      <c r="M434" t="s">
        <v>19177</v>
      </c>
      <c r="N434" t="s">
        <v>478</v>
      </c>
      <c r="O434" t="s">
        <v>478</v>
      </c>
      <c r="P434" t="s">
        <v>454</v>
      </c>
    </row>
    <row r="435">
      <c r="A435">
        <f>HYPERLINK("http://bombeiros.sp.gov.br/hidrantes/03individual/599.html","599")</f>
      </c>
      <c r="B435" t="s">
        <v>454</v>
      </c>
      <c r="C435" t="s">
        <v>570</v>
      </c>
      <c r="D435" t="s">
        <v>571</v>
      </c>
      <c r="E435" t="s">
        <v>64</v>
      </c>
      <c r="F435" t="s">
        <v>8814</v>
      </c>
      <c r="G435" t="s">
        <v>18042</v>
      </c>
      <c r="H435" t="s">
        <v>1112</v>
      </c>
      <c r="I435" t="s">
        <v>1108</v>
      </c>
      <c r="J435" t="s">
        <v>8815</v>
      </c>
      <c r="K435" t="s">
        <v>8816</v>
      </c>
      <c r="L435" t="s">
        <v>36</v>
      </c>
      <c r="M435" t="s">
        <v>19177</v>
      </c>
      <c r="N435" t="s">
        <v>531</v>
      </c>
      <c r="O435" t="s">
        <v>531</v>
      </c>
      <c r="P435" t="s">
        <v>454</v>
      </c>
    </row>
    <row r="436">
      <c r="A436">
        <f>HYPERLINK("http://bombeiros.sp.gov.br/hidrantes/03individual/3582.html","3582")</f>
      </c>
      <c r="B436" t="s">
        <v>454</v>
      </c>
      <c r="C436" t="s">
        <v>570</v>
      </c>
      <c r="D436" t="s">
        <v>571</v>
      </c>
      <c r="E436" t="s">
        <v>64</v>
      </c>
      <c r="F436" t="s">
        <v>8817</v>
      </c>
      <c r="G436" t="s">
        <v>18147</v>
      </c>
      <c r="H436" t="s">
        <v>1112</v>
      </c>
      <c r="I436" t="s">
        <v>1108</v>
      </c>
      <c r="J436" t="s">
        <v>8818</v>
      </c>
      <c r="K436" t="s">
        <v>8819</v>
      </c>
      <c r="L436" t="s">
        <v>36</v>
      </c>
      <c r="M436" t="s">
        <v>19177</v>
      </c>
      <c r="N436" t="s">
        <v>531</v>
      </c>
      <c r="O436" t="s">
        <v>531</v>
      </c>
      <c r="P436" t="s">
        <v>454</v>
      </c>
    </row>
    <row r="437">
      <c r="A437">
        <f>HYPERLINK("http://bombeiros.sp.gov.br/hidrantes/03individual/727.html","727")</f>
      </c>
      <c r="B437" t="s">
        <v>454</v>
      </c>
      <c r="C437" t="s">
        <v>570</v>
      </c>
      <c r="D437" t="s">
        <v>571</v>
      </c>
      <c r="E437" t="s">
        <v>15</v>
      </c>
      <c r="F437" t="s">
        <v>8844</v>
      </c>
      <c r="G437" t="s">
        <v>18042</v>
      </c>
      <c r="H437" t="s">
        <v>1174</v>
      </c>
      <c r="I437" t="s">
        <v>1117</v>
      </c>
      <c r="J437" t="s">
        <v>8845</v>
      </c>
      <c r="K437" t="s">
        <v>8846</v>
      </c>
      <c r="L437" t="s">
        <v>36</v>
      </c>
      <c r="M437" t="s">
        <v>19177</v>
      </c>
      <c r="N437" t="s">
        <v>531</v>
      </c>
      <c r="O437" t="s">
        <v>531</v>
      </c>
      <c r="P437" t="s">
        <v>454</v>
      </c>
    </row>
    <row r="438">
      <c r="A438">
        <f>HYPERLINK("http://bombeiros.sp.gov.br/hidrantes/03individual/3520.html","3520")</f>
      </c>
      <c r="B438" t="s">
        <v>454</v>
      </c>
      <c r="C438" t="s">
        <v>570</v>
      </c>
      <c r="D438" t="s">
        <v>570</v>
      </c>
      <c r="E438" t="s">
        <v>64</v>
      </c>
      <c r="F438" t="s">
        <v>8868</v>
      </c>
      <c r="G438" t="s">
        <v>18133</v>
      </c>
      <c r="H438" t="s">
        <v>1174</v>
      </c>
      <c r="I438" t="s">
        <v>1117</v>
      </c>
      <c r="J438" t="s">
        <v>8869</v>
      </c>
      <c r="K438" t="s">
        <v>8870</v>
      </c>
      <c r="L438" t="s">
        <v>36</v>
      </c>
      <c r="M438" t="s">
        <v>19177</v>
      </c>
      <c r="N438" t="s">
        <v>531</v>
      </c>
      <c r="O438" t="s">
        <v>531</v>
      </c>
      <c r="P438" t="s">
        <v>454</v>
      </c>
    </row>
    <row r="439">
      <c r="A439">
        <f>HYPERLINK("http://bombeiros.sp.gov.br/hidrantes/03individual/3528.html","3528")</f>
      </c>
      <c r="B439" t="s">
        <v>454</v>
      </c>
      <c r="C439" t="s">
        <v>570</v>
      </c>
      <c r="D439" t="s">
        <v>570</v>
      </c>
      <c r="E439" t="s">
        <v>64</v>
      </c>
      <c r="F439" t="s">
        <v>8874</v>
      </c>
      <c r="G439" t="s">
        <v>18043</v>
      </c>
      <c r="H439" t="s">
        <v>1107</v>
      </c>
      <c r="I439" t="s">
        <v>1108</v>
      </c>
      <c r="J439" t="s">
        <v>8875</v>
      </c>
      <c r="K439" t="s">
        <v>8876</v>
      </c>
      <c r="L439" t="s">
        <v>36</v>
      </c>
      <c r="M439" t="s">
        <v>19177</v>
      </c>
      <c r="N439" t="s">
        <v>531</v>
      </c>
      <c r="O439" t="s">
        <v>531</v>
      </c>
      <c r="P439" t="s">
        <v>454</v>
      </c>
    </row>
    <row r="440">
      <c r="A440">
        <f>HYPERLINK("http://bombeiros.sp.gov.br/hidrantes/03individual/3542.html","3542")</f>
      </c>
      <c r="B440" t="s">
        <v>454</v>
      </c>
      <c r="C440" t="s">
        <v>570</v>
      </c>
      <c r="D440" t="s">
        <v>570</v>
      </c>
      <c r="E440" t="s">
        <v>64</v>
      </c>
      <c r="F440" t="s">
        <v>8883</v>
      </c>
      <c r="G440" t="s">
        <v>18554</v>
      </c>
      <c r="H440" t="s">
        <v>1107</v>
      </c>
      <c r="I440" t="s">
        <v>1108</v>
      </c>
      <c r="J440" t="s">
        <v>8884</v>
      </c>
      <c r="K440" t="s">
        <v>8885</v>
      </c>
      <c r="L440" t="s">
        <v>36</v>
      </c>
      <c r="M440" t="s">
        <v>19177</v>
      </c>
      <c r="N440" t="s">
        <v>531</v>
      </c>
      <c r="O440" t="s">
        <v>531</v>
      </c>
      <c r="P440" t="s">
        <v>454</v>
      </c>
    </row>
    <row r="441">
      <c r="A441">
        <f>HYPERLINK("http://bombeiros.sp.gov.br/hidrantes/03individual/3589.html","3589")</f>
      </c>
      <c r="B441" t="s">
        <v>454</v>
      </c>
      <c r="C441" t="s">
        <v>570</v>
      </c>
      <c r="D441" t="s">
        <v>570</v>
      </c>
      <c r="E441" t="s">
        <v>64</v>
      </c>
      <c r="F441" t="s">
        <v>8889</v>
      </c>
      <c r="G441" t="s">
        <v>18043</v>
      </c>
      <c r="H441" t="s">
        <v>1112</v>
      </c>
      <c r="I441" t="s">
        <v>1108</v>
      </c>
      <c r="J441" t="s">
        <v>8890</v>
      </c>
      <c r="K441" t="s">
        <v>8891</v>
      </c>
      <c r="L441" t="s">
        <v>36</v>
      </c>
      <c r="M441" t="s">
        <v>19177</v>
      </c>
      <c r="N441" t="s">
        <v>531</v>
      </c>
      <c r="O441" t="s">
        <v>531</v>
      </c>
      <c r="P441" t="s">
        <v>454</v>
      </c>
    </row>
    <row r="442">
      <c r="A442">
        <f>HYPERLINK("http://bombeiros.sp.gov.br/hidrantes/03individual/585.html","585")</f>
      </c>
      <c r="B442" t="s">
        <v>454</v>
      </c>
      <c r="C442" t="s">
        <v>570</v>
      </c>
      <c r="D442" t="s">
        <v>570</v>
      </c>
      <c r="E442" t="s">
        <v>15</v>
      </c>
      <c r="F442" t="s">
        <v>8901</v>
      </c>
      <c r="G442" t="s">
        <v>18067</v>
      </c>
      <c r="H442" t="s">
        <v>1174</v>
      </c>
      <c r="I442" t="s">
        <v>1108</v>
      </c>
      <c r="J442" t="s">
        <v>8902</v>
      </c>
      <c r="K442" t="s">
        <v>16924</v>
      </c>
      <c r="L442" t="s">
        <v>36</v>
      </c>
      <c r="M442" t="s">
        <v>19177</v>
      </c>
      <c r="N442" t="s">
        <v>531</v>
      </c>
      <c r="O442" t="s">
        <v>531</v>
      </c>
      <c r="P442" t="s">
        <v>454</v>
      </c>
    </row>
    <row r="443">
      <c r="A443">
        <f>HYPERLINK("http://bombeiros.sp.gov.br/hidrantes/03individual/772.html","772")</f>
      </c>
      <c r="B443" t="s">
        <v>454</v>
      </c>
      <c r="C443" t="s">
        <v>570</v>
      </c>
      <c r="D443" t="s">
        <v>570</v>
      </c>
      <c r="E443" t="s">
        <v>15</v>
      </c>
      <c r="F443" t="s">
        <v>8913</v>
      </c>
      <c r="G443" t="s">
        <v>18133</v>
      </c>
      <c r="H443" t="s">
        <v>1107</v>
      </c>
      <c r="I443" t="s">
        <v>1108</v>
      </c>
      <c r="J443" t="s">
        <v>8914</v>
      </c>
      <c r="K443" t="s">
        <v>8915</v>
      </c>
      <c r="L443" t="s">
        <v>36</v>
      </c>
      <c r="M443" t="s">
        <v>19177</v>
      </c>
      <c r="N443" t="s">
        <v>531</v>
      </c>
      <c r="O443" t="s">
        <v>531</v>
      </c>
      <c r="P443" t="s">
        <v>454</v>
      </c>
    </row>
    <row r="444">
      <c r="A444">
        <f>HYPERLINK("http://bombeiros.sp.gov.br/hidrantes/03individual/3526.html","3526")</f>
      </c>
      <c r="B444" t="s">
        <v>454</v>
      </c>
      <c r="C444" t="s">
        <v>570</v>
      </c>
      <c r="D444" t="s">
        <v>581</v>
      </c>
      <c r="E444" t="s">
        <v>64</v>
      </c>
      <c r="F444" t="s">
        <v>8931</v>
      </c>
      <c r="G444" t="s">
        <v>18133</v>
      </c>
      <c r="H444" t="s">
        <v>1112</v>
      </c>
      <c r="I444" t="s">
        <v>1108</v>
      </c>
      <c r="J444" t="s">
        <v>8932</v>
      </c>
      <c r="K444" t="s">
        <v>8933</v>
      </c>
      <c r="L444" t="s">
        <v>36</v>
      </c>
      <c r="M444" t="s">
        <v>19177</v>
      </c>
      <c r="N444" t="s">
        <v>531</v>
      </c>
      <c r="O444" t="s">
        <v>531</v>
      </c>
      <c r="P444" t="s">
        <v>454</v>
      </c>
    </row>
    <row r="445">
      <c r="A445">
        <f>HYPERLINK("http://bombeiros.sp.gov.br/hidrantes/03individual/3532.html","3532")</f>
      </c>
      <c r="B445" t="s">
        <v>454</v>
      </c>
      <c r="C445" t="s">
        <v>570</v>
      </c>
      <c r="D445" t="s">
        <v>581</v>
      </c>
      <c r="E445" t="s">
        <v>64</v>
      </c>
      <c r="F445" t="s">
        <v>8934</v>
      </c>
      <c r="G445" t="s">
        <v>18204</v>
      </c>
      <c r="H445" t="s">
        <v>1112</v>
      </c>
      <c r="I445" t="s">
        <v>1108</v>
      </c>
      <c r="J445" t="s">
        <v>8935</v>
      </c>
      <c r="K445" t="s">
        <v>8936</v>
      </c>
      <c r="L445" t="s">
        <v>36</v>
      </c>
      <c r="M445" t="s">
        <v>19177</v>
      </c>
      <c r="N445" t="s">
        <v>531</v>
      </c>
      <c r="O445" t="s">
        <v>531</v>
      </c>
      <c r="P445" t="s">
        <v>454</v>
      </c>
    </row>
    <row r="446">
      <c r="A446">
        <f>HYPERLINK("http://bombeiros.sp.gov.br/hidrantes/03individual/3535.html","3535")</f>
      </c>
      <c r="B446" t="s">
        <v>454</v>
      </c>
      <c r="C446" t="s">
        <v>570</v>
      </c>
      <c r="D446" t="s">
        <v>581</v>
      </c>
      <c r="E446" t="s">
        <v>64</v>
      </c>
      <c r="F446" t="s">
        <v>8937</v>
      </c>
      <c r="G446" t="s">
        <v>18054</v>
      </c>
      <c r="H446" t="s">
        <v>1112</v>
      </c>
      <c r="I446" t="s">
        <v>1108</v>
      </c>
      <c r="J446" t="s">
        <v>8938</v>
      </c>
      <c r="K446" t="s">
        <v>8939</v>
      </c>
      <c r="L446" t="s">
        <v>36</v>
      </c>
      <c r="M446" t="s">
        <v>19177</v>
      </c>
      <c r="N446" t="s">
        <v>531</v>
      </c>
      <c r="O446" t="s">
        <v>531</v>
      </c>
      <c r="P446" t="s">
        <v>454</v>
      </c>
    </row>
    <row r="447">
      <c r="A447">
        <f>HYPERLINK("http://bombeiros.sp.gov.br/hidrantes/03individual/3554.html","3554")</f>
      </c>
      <c r="B447" t="s">
        <v>454</v>
      </c>
      <c r="C447" t="s">
        <v>570</v>
      </c>
      <c r="D447" t="s">
        <v>581</v>
      </c>
      <c r="E447" t="s">
        <v>64</v>
      </c>
      <c r="F447" t="s">
        <v>8940</v>
      </c>
      <c r="G447" t="s">
        <v>18042</v>
      </c>
      <c r="H447" t="s">
        <v>1112</v>
      </c>
      <c r="I447" t="s">
        <v>1108</v>
      </c>
      <c r="J447" t="s">
        <v>8941</v>
      </c>
      <c r="K447" t="s">
        <v>8942</v>
      </c>
      <c r="L447" t="s">
        <v>36</v>
      </c>
      <c r="M447" t="s">
        <v>19177</v>
      </c>
      <c r="N447" t="s">
        <v>531</v>
      </c>
      <c r="O447" t="s">
        <v>531</v>
      </c>
      <c r="P447" t="s">
        <v>454</v>
      </c>
    </row>
    <row r="448">
      <c r="A448">
        <f>HYPERLINK("http://bombeiros.sp.gov.br/hidrantes/03individual/2870.html","2870")</f>
      </c>
      <c r="B448" t="s">
        <v>454</v>
      </c>
      <c r="C448" t="s">
        <v>588</v>
      </c>
      <c r="D448" t="s">
        <v>588</v>
      </c>
      <c r="E448" t="s">
        <v>64</v>
      </c>
      <c r="F448" t="s">
        <v>9005</v>
      </c>
      <c r="G448" t="s">
        <v>18096</v>
      </c>
      <c r="H448" t="s">
        <v>1107</v>
      </c>
      <c r="I448" t="s">
        <v>1108</v>
      </c>
      <c r="J448" t="s">
        <v>9006</v>
      </c>
      <c r="K448" t="s">
        <v>9007</v>
      </c>
      <c r="L448" t="s">
        <v>36</v>
      </c>
      <c r="M448" t="s">
        <v>19177</v>
      </c>
      <c r="N448" t="s">
        <v>594</v>
      </c>
      <c r="O448" t="s">
        <v>531</v>
      </c>
      <c r="P448" t="s">
        <v>454</v>
      </c>
    </row>
    <row r="449">
      <c r="A449">
        <f>HYPERLINK("http://bombeiros.sp.gov.br/hidrantes/03individual/2871.html","2871")</f>
      </c>
      <c r="B449" t="s">
        <v>454</v>
      </c>
      <c r="C449" t="s">
        <v>588</v>
      </c>
      <c r="D449" t="s">
        <v>588</v>
      </c>
      <c r="E449" t="s">
        <v>64</v>
      </c>
      <c r="F449" t="s">
        <v>9008</v>
      </c>
      <c r="G449" t="s">
        <v>18484</v>
      </c>
      <c r="H449" t="s">
        <v>1121</v>
      </c>
      <c r="I449" t="s">
        <v>1117</v>
      </c>
      <c r="J449" t="s">
        <v>9009</v>
      </c>
      <c r="K449" t="s">
        <v>9010</v>
      </c>
      <c r="L449" t="s">
        <v>36</v>
      </c>
      <c r="M449" t="s">
        <v>19177</v>
      </c>
      <c r="N449" t="s">
        <v>594</v>
      </c>
      <c r="O449" t="s">
        <v>531</v>
      </c>
      <c r="P449" t="s">
        <v>454</v>
      </c>
    </row>
    <row r="450">
      <c r="A450">
        <f>HYPERLINK("http://bombeiros.sp.gov.br/hidrantes/03individual/2827.html","2827")</f>
      </c>
      <c r="B450" t="s">
        <v>454</v>
      </c>
      <c r="C450" t="s">
        <v>588</v>
      </c>
      <c r="D450" t="s">
        <v>9017</v>
      </c>
      <c r="E450" t="s">
        <v>64</v>
      </c>
      <c r="F450" t="s">
        <v>9018</v>
      </c>
      <c r="G450" t="s">
        <v>18053</v>
      </c>
      <c r="H450" t="s">
        <v>1107</v>
      </c>
      <c r="I450" t="s">
        <v>1108</v>
      </c>
      <c r="J450" t="s">
        <v>9019</v>
      </c>
      <c r="K450" t="s">
        <v>9020</v>
      </c>
      <c r="L450" t="s">
        <v>36</v>
      </c>
      <c r="M450" t="s">
        <v>19177</v>
      </c>
      <c r="N450" t="s">
        <v>594</v>
      </c>
      <c r="O450" t="s">
        <v>531</v>
      </c>
      <c r="P450" t="s">
        <v>454</v>
      </c>
    </row>
    <row r="451">
      <c r="A451">
        <f>HYPERLINK("http://bombeiros.sp.gov.br/hidrantes/03individual/543.html","543")</f>
      </c>
      <c r="B451" t="s">
        <v>454</v>
      </c>
      <c r="C451" t="s">
        <v>588</v>
      </c>
      <c r="D451" t="s">
        <v>9017</v>
      </c>
      <c r="E451" t="s">
        <v>15</v>
      </c>
      <c r="F451" t="s">
        <v>9040</v>
      </c>
      <c r="G451" t="s">
        <v>18071</v>
      </c>
      <c r="H451" t="s">
        <v>1107</v>
      </c>
      <c r="I451" t="s">
        <v>1108</v>
      </c>
      <c r="J451" t="s">
        <v>16578</v>
      </c>
      <c r="K451" t="s">
        <v>16579</v>
      </c>
      <c r="L451" t="s">
        <v>36</v>
      </c>
      <c r="M451" t="s">
        <v>19177</v>
      </c>
      <c r="N451" t="s">
        <v>594</v>
      </c>
      <c r="O451" t="s">
        <v>531</v>
      </c>
      <c r="P451" t="s">
        <v>454</v>
      </c>
    </row>
    <row r="452">
      <c r="A452">
        <f>HYPERLINK("http://bombeiros.sp.gov.br/hidrantes/03individual/2989.html","2989")</f>
      </c>
      <c r="B452" t="s">
        <v>454</v>
      </c>
      <c r="C452" t="s">
        <v>588</v>
      </c>
      <c r="D452" t="s">
        <v>9017</v>
      </c>
      <c r="E452" t="s">
        <v>15</v>
      </c>
      <c r="F452" t="s">
        <v>9109</v>
      </c>
      <c r="G452" t="s">
        <v>18096</v>
      </c>
      <c r="H452" t="s">
        <v>1121</v>
      </c>
      <c r="I452" t="s">
        <v>1117</v>
      </c>
      <c r="J452" t="s">
        <v>9111</v>
      </c>
      <c r="K452" t="s">
        <v>9112</v>
      </c>
      <c r="L452" t="s">
        <v>36</v>
      </c>
      <c r="M452" t="s">
        <v>19177</v>
      </c>
      <c r="N452" t="s">
        <v>594</v>
      </c>
      <c r="O452" t="s">
        <v>531</v>
      </c>
      <c r="P452" t="s">
        <v>454</v>
      </c>
    </row>
    <row r="453">
      <c r="A453">
        <f>HYPERLINK("http://bombeiros.sp.gov.br/hidrantes/03individual/3229.html","3229")</f>
      </c>
      <c r="B453" t="s">
        <v>454</v>
      </c>
      <c r="C453" t="s">
        <v>594</v>
      </c>
      <c r="D453" t="s">
        <v>595</v>
      </c>
      <c r="E453" t="s">
        <v>64</v>
      </c>
      <c r="F453" t="s">
        <v>9134</v>
      </c>
      <c r="G453" t="s">
        <v>18135</v>
      </c>
      <c r="H453" t="s">
        <v>1112</v>
      </c>
      <c r="I453" t="s">
        <v>1108</v>
      </c>
      <c r="J453" t="s">
        <v>9135</v>
      </c>
      <c r="K453" t="s">
        <v>9136</v>
      </c>
      <c r="L453" t="s">
        <v>36</v>
      </c>
      <c r="M453" t="s">
        <v>19177</v>
      </c>
      <c r="N453" t="s">
        <v>594</v>
      </c>
      <c r="O453" t="s">
        <v>531</v>
      </c>
      <c r="P453" t="s">
        <v>454</v>
      </c>
    </row>
    <row r="454">
      <c r="A454">
        <f>HYPERLINK("http://bombeiros.sp.gov.br/hidrantes/03individual/3234.html","3234")</f>
      </c>
      <c r="B454" t="s">
        <v>454</v>
      </c>
      <c r="C454" t="s">
        <v>594</v>
      </c>
      <c r="D454" t="s">
        <v>595</v>
      </c>
      <c r="E454" t="s">
        <v>64</v>
      </c>
      <c r="F454" t="s">
        <v>9137</v>
      </c>
      <c r="G454" t="s">
        <v>18076</v>
      </c>
      <c r="H454" t="s">
        <v>1107</v>
      </c>
      <c r="I454" t="s">
        <v>1108</v>
      </c>
      <c r="J454" t="s">
        <v>9138</v>
      </c>
      <c r="K454" t="s">
        <v>9139</v>
      </c>
      <c r="L454" t="s">
        <v>36</v>
      </c>
      <c r="M454" t="s">
        <v>19177</v>
      </c>
      <c r="N454" t="s">
        <v>594</v>
      </c>
      <c r="O454" t="s">
        <v>531</v>
      </c>
      <c r="P454" t="s">
        <v>454</v>
      </c>
    </row>
    <row r="455">
      <c r="A455">
        <f>HYPERLINK("http://bombeiros.sp.gov.br/hidrantes/03individual/2966.html","2966")</f>
      </c>
      <c r="B455" t="s">
        <v>454</v>
      </c>
      <c r="C455" t="s">
        <v>594</v>
      </c>
      <c r="D455" t="s">
        <v>595</v>
      </c>
      <c r="E455" t="s">
        <v>15</v>
      </c>
      <c r="F455" t="s">
        <v>9213</v>
      </c>
      <c r="G455" t="s">
        <v>18133</v>
      </c>
      <c r="H455" t="s">
        <v>1112</v>
      </c>
      <c r="I455" t="s">
        <v>1108</v>
      </c>
      <c r="J455" t="s">
        <v>9214</v>
      </c>
      <c r="K455" t="s">
        <v>9215</v>
      </c>
      <c r="L455" t="s">
        <v>36</v>
      </c>
      <c r="M455" t="s">
        <v>19177</v>
      </c>
      <c r="N455" t="s">
        <v>594</v>
      </c>
      <c r="O455" t="s">
        <v>531</v>
      </c>
      <c r="P455" t="s">
        <v>454</v>
      </c>
    </row>
    <row r="456">
      <c r="A456">
        <f>HYPERLINK("http://bombeiros.sp.gov.br/hidrantes/03individual/2973.html","2973")</f>
      </c>
      <c r="B456" t="s">
        <v>454</v>
      </c>
      <c r="C456" t="s">
        <v>594</v>
      </c>
      <c r="D456" t="s">
        <v>595</v>
      </c>
      <c r="E456" t="s">
        <v>15</v>
      </c>
      <c r="F456" t="s">
        <v>9216</v>
      </c>
      <c r="G456" t="s">
        <v>18193</v>
      </c>
      <c r="H456" t="s">
        <v>1112</v>
      </c>
      <c r="I456" t="s">
        <v>1108</v>
      </c>
      <c r="J456" t="s">
        <v>9217</v>
      </c>
      <c r="K456" t="s">
        <v>9218</v>
      </c>
      <c r="L456" t="s">
        <v>36</v>
      </c>
      <c r="M456" t="s">
        <v>19177</v>
      </c>
      <c r="N456" t="s">
        <v>594</v>
      </c>
      <c r="O456" t="s">
        <v>531</v>
      </c>
      <c r="P456" t="s">
        <v>454</v>
      </c>
    </row>
    <row r="457">
      <c r="A457">
        <f>HYPERLINK("http://bombeiros.sp.gov.br/hidrantes/03individual/3101.html","3101")</f>
      </c>
      <c r="B457" t="s">
        <v>454</v>
      </c>
      <c r="C457" t="s">
        <v>594</v>
      </c>
      <c r="D457" t="s">
        <v>595</v>
      </c>
      <c r="E457" t="s">
        <v>15</v>
      </c>
      <c r="F457" t="s">
        <v>9225</v>
      </c>
      <c r="G457" t="s">
        <v>18143</v>
      </c>
      <c r="H457" t="s">
        <v>1107</v>
      </c>
      <c r="I457" t="s">
        <v>1108</v>
      </c>
      <c r="J457" t="s">
        <v>9226</v>
      </c>
      <c r="K457" t="s">
        <v>9227</v>
      </c>
      <c r="L457" t="s">
        <v>36</v>
      </c>
      <c r="M457" t="s">
        <v>19177</v>
      </c>
      <c r="N457" t="s">
        <v>594</v>
      </c>
      <c r="O457" t="s">
        <v>531</v>
      </c>
      <c r="P457" t="s">
        <v>454</v>
      </c>
    </row>
    <row r="458">
      <c r="A458">
        <f>HYPERLINK("http://bombeiros.sp.gov.br/hidrantes/03individual/3232.html","3232")</f>
      </c>
      <c r="B458" t="s">
        <v>454</v>
      </c>
      <c r="C458" t="s">
        <v>594</v>
      </c>
      <c r="D458" t="s">
        <v>595</v>
      </c>
      <c r="E458" t="s">
        <v>15</v>
      </c>
      <c r="F458" t="s">
        <v>9237</v>
      </c>
      <c r="G458" t="s">
        <v>18089</v>
      </c>
      <c r="H458" t="s">
        <v>1107</v>
      </c>
      <c r="I458" t="s">
        <v>1108</v>
      </c>
      <c r="J458" t="s">
        <v>9238</v>
      </c>
      <c r="K458" t="s">
        <v>9239</v>
      </c>
      <c r="L458" t="s">
        <v>36</v>
      </c>
      <c r="M458" t="s">
        <v>19177</v>
      </c>
      <c r="N458" t="s">
        <v>594</v>
      </c>
      <c r="O458" t="s">
        <v>531</v>
      </c>
      <c r="P458" t="s">
        <v>454</v>
      </c>
    </row>
    <row r="459">
      <c r="A459">
        <f>HYPERLINK("http://bombeiros.sp.gov.br/hidrantes/03individual/3483.html","3483")</f>
      </c>
      <c r="B459" t="s">
        <v>454</v>
      </c>
      <c r="C459" t="s">
        <v>594</v>
      </c>
      <c r="D459" t="s">
        <v>595</v>
      </c>
      <c r="E459" t="s">
        <v>15</v>
      </c>
      <c r="F459" t="s">
        <v>9252</v>
      </c>
      <c r="G459" t="s">
        <v>18479</v>
      </c>
      <c r="H459" t="s">
        <v>1174</v>
      </c>
      <c r="I459" t="s">
        <v>1117</v>
      </c>
      <c r="J459" t="s">
        <v>9253</v>
      </c>
      <c r="K459" t="s">
        <v>9254</v>
      </c>
      <c r="L459" t="s">
        <v>36</v>
      </c>
      <c r="M459" t="s">
        <v>19177</v>
      </c>
      <c r="N459" t="s">
        <v>594</v>
      </c>
      <c r="O459" t="s">
        <v>531</v>
      </c>
      <c r="P459" t="s">
        <v>454</v>
      </c>
    </row>
    <row r="460">
      <c r="A460">
        <f>HYPERLINK("http://bombeiros.sp.gov.br/hidrantes/03individual/803.html","803")</f>
      </c>
      <c r="B460" t="s">
        <v>454</v>
      </c>
      <c r="C460" t="s">
        <v>594</v>
      </c>
      <c r="D460" t="s">
        <v>600</v>
      </c>
      <c r="E460" t="s">
        <v>64</v>
      </c>
      <c r="F460" t="s">
        <v>9264</v>
      </c>
      <c r="G460" t="s">
        <v>18066</v>
      </c>
      <c r="H460" t="s">
        <v>1107</v>
      </c>
      <c r="I460" t="s">
        <v>1108</v>
      </c>
      <c r="J460" t="s">
        <v>17526</v>
      </c>
      <c r="K460" t="s">
        <v>17527</v>
      </c>
      <c r="L460" t="s">
        <v>36</v>
      </c>
      <c r="M460" t="s">
        <v>19177</v>
      </c>
      <c r="N460" t="s">
        <v>594</v>
      </c>
      <c r="O460" t="s">
        <v>531</v>
      </c>
      <c r="P460" t="s">
        <v>454</v>
      </c>
    </row>
    <row r="461">
      <c r="A461">
        <f>HYPERLINK("http://bombeiros.sp.gov.br/hidrantes/03individual/828.html","828")</f>
      </c>
      <c r="B461" t="s">
        <v>454</v>
      </c>
      <c r="C461" t="s">
        <v>594</v>
      </c>
      <c r="D461" t="s">
        <v>600</v>
      </c>
      <c r="E461" t="s">
        <v>64</v>
      </c>
      <c r="F461" t="s">
        <v>601</v>
      </c>
      <c r="G461" t="s">
        <v>18051</v>
      </c>
      <c r="H461"/>
      <c r="I461" t="s">
        <v>18</v>
      </c>
      <c r="J461" t="s">
        <v>602</v>
      </c>
      <c r="K461" t="s">
        <v>603</v>
      </c>
      <c r="L461" t="s">
        <v>36</v>
      </c>
      <c r="M461" t="s">
        <v>19177</v>
      </c>
      <c r="N461" t="s">
        <v>594</v>
      </c>
      <c r="O461" t="s">
        <v>531</v>
      </c>
      <c r="P461" t="s">
        <v>454</v>
      </c>
    </row>
    <row r="462">
      <c r="A462">
        <f>HYPERLINK("http://bombeiros.sp.gov.br/hidrantes/03individual/830.html","830")</f>
      </c>
      <c r="B462" t="s">
        <v>454</v>
      </c>
      <c r="C462" t="s">
        <v>594</v>
      </c>
      <c r="D462" t="s">
        <v>600</v>
      </c>
      <c r="E462" t="s">
        <v>64</v>
      </c>
      <c r="F462" t="s">
        <v>9267</v>
      </c>
      <c r="G462" t="s">
        <v>18051</v>
      </c>
      <c r="H462" t="s">
        <v>1174</v>
      </c>
      <c r="I462" t="s">
        <v>1108</v>
      </c>
      <c r="J462" t="s">
        <v>9268</v>
      </c>
      <c r="K462" t="s">
        <v>9269</v>
      </c>
      <c r="L462" t="s">
        <v>36</v>
      </c>
      <c r="M462" t="s">
        <v>19177</v>
      </c>
      <c r="N462" t="s">
        <v>594</v>
      </c>
      <c r="O462" t="s">
        <v>531</v>
      </c>
      <c r="P462" t="s">
        <v>454</v>
      </c>
    </row>
    <row r="463">
      <c r="A463">
        <f>HYPERLINK("http://bombeiros.sp.gov.br/hidrantes/03individual/3241.html","3241")</f>
      </c>
      <c r="B463" t="s">
        <v>454</v>
      </c>
      <c r="C463" t="s">
        <v>594</v>
      </c>
      <c r="D463" t="s">
        <v>600</v>
      </c>
      <c r="E463" t="s">
        <v>64</v>
      </c>
      <c r="F463" t="s">
        <v>9270</v>
      </c>
      <c r="G463" t="s">
        <v>18074</v>
      </c>
      <c r="H463" t="s">
        <v>1107</v>
      </c>
      <c r="I463" t="s">
        <v>1108</v>
      </c>
      <c r="J463" t="s">
        <v>9271</v>
      </c>
      <c r="K463" t="s">
        <v>9272</v>
      </c>
      <c r="L463" t="s">
        <v>36</v>
      </c>
      <c r="M463" t="s">
        <v>19177</v>
      </c>
      <c r="N463" t="s">
        <v>594</v>
      </c>
      <c r="O463" t="s">
        <v>531</v>
      </c>
      <c r="P463" t="s">
        <v>454</v>
      </c>
    </row>
    <row r="464">
      <c r="A464">
        <f>HYPERLINK("http://bombeiros.sp.gov.br/hidrantes/03individual/3283.html","3283")</f>
      </c>
      <c r="B464" t="s">
        <v>454</v>
      </c>
      <c r="C464" t="s">
        <v>594</v>
      </c>
      <c r="D464" t="s">
        <v>600</v>
      </c>
      <c r="E464" t="s">
        <v>64</v>
      </c>
      <c r="F464" t="s">
        <v>9273</v>
      </c>
      <c r="G464" t="s">
        <v>18055</v>
      </c>
      <c r="H464" t="s">
        <v>1112</v>
      </c>
      <c r="I464" t="s">
        <v>1108</v>
      </c>
      <c r="J464" t="s">
        <v>9274</v>
      </c>
      <c r="K464" t="s">
        <v>9275</v>
      </c>
      <c r="L464" t="s">
        <v>36</v>
      </c>
      <c r="M464" t="s">
        <v>19177</v>
      </c>
      <c r="N464" t="s">
        <v>594</v>
      </c>
      <c r="O464" t="s">
        <v>531</v>
      </c>
      <c r="P464" t="s">
        <v>454</v>
      </c>
    </row>
    <row r="465">
      <c r="A465">
        <f>HYPERLINK("http://bombeiros.sp.gov.br/hidrantes/03individual/1037.html","1037")</f>
      </c>
      <c r="B465" t="s">
        <v>454</v>
      </c>
      <c r="C465" t="s">
        <v>594</v>
      </c>
      <c r="D465" t="s">
        <v>594</v>
      </c>
      <c r="E465" t="s">
        <v>64</v>
      </c>
      <c r="F465" t="s">
        <v>9343</v>
      </c>
      <c r="G465" t="s">
        <v>18483</v>
      </c>
      <c r="H465" t="s">
        <v>1112</v>
      </c>
      <c r="I465" t="s">
        <v>1108</v>
      </c>
      <c r="J465" t="s">
        <v>9344</v>
      </c>
      <c r="K465" t="s">
        <v>9345</v>
      </c>
      <c r="L465" t="s">
        <v>36</v>
      </c>
      <c r="M465" t="s">
        <v>19177</v>
      </c>
      <c r="N465" t="s">
        <v>594</v>
      </c>
      <c r="O465" t="s">
        <v>531</v>
      </c>
      <c r="P465" t="s">
        <v>454</v>
      </c>
    </row>
    <row r="466">
      <c r="A466">
        <f>HYPERLINK("http://bombeiros.sp.gov.br/hidrantes/03individual/1039.html","1039")</f>
      </c>
      <c r="B466" t="s">
        <v>454</v>
      </c>
      <c r="C466" t="s">
        <v>594</v>
      </c>
      <c r="D466" t="s">
        <v>594</v>
      </c>
      <c r="E466" t="s">
        <v>64</v>
      </c>
      <c r="F466" t="s">
        <v>9346</v>
      </c>
      <c r="G466" t="s">
        <v>18483</v>
      </c>
      <c r="H466" t="s">
        <v>1121</v>
      </c>
      <c r="I466" t="s">
        <v>1117</v>
      </c>
      <c r="J466" t="s">
        <v>9347</v>
      </c>
      <c r="K466" t="s">
        <v>9348</v>
      </c>
      <c r="L466" t="s">
        <v>36</v>
      </c>
      <c r="M466" t="s">
        <v>19177</v>
      </c>
      <c r="N466" t="s">
        <v>594</v>
      </c>
      <c r="O466" t="s">
        <v>531</v>
      </c>
      <c r="P466" t="s">
        <v>454</v>
      </c>
    </row>
    <row r="467">
      <c r="A467">
        <f>HYPERLINK("http://bombeiros.sp.gov.br/hidrantes/03individual/1040.html","1040")</f>
      </c>
      <c r="B467" t="s">
        <v>454</v>
      </c>
      <c r="C467" t="s">
        <v>594</v>
      </c>
      <c r="D467" t="s">
        <v>594</v>
      </c>
      <c r="E467" t="s">
        <v>64</v>
      </c>
      <c r="F467" t="s">
        <v>9349</v>
      </c>
      <c r="G467" t="s">
        <v>18496</v>
      </c>
      <c r="H467" t="s">
        <v>1121</v>
      </c>
      <c r="I467" t="s">
        <v>1117</v>
      </c>
      <c r="J467" t="s">
        <v>9350</v>
      </c>
      <c r="K467" t="s">
        <v>16925</v>
      </c>
      <c r="L467" t="s">
        <v>36</v>
      </c>
      <c r="M467" t="s">
        <v>19177</v>
      </c>
      <c r="N467" t="s">
        <v>594</v>
      </c>
      <c r="O467" t="s">
        <v>531</v>
      </c>
      <c r="P467" t="s">
        <v>454</v>
      </c>
    </row>
    <row r="468">
      <c r="A468">
        <f>HYPERLINK("http://bombeiros.sp.gov.br/hidrantes/03individual/1043.html","1043")</f>
      </c>
      <c r="B468" t="s">
        <v>454</v>
      </c>
      <c r="C468" t="s">
        <v>594</v>
      </c>
      <c r="D468" t="s">
        <v>594</v>
      </c>
      <c r="E468" t="s">
        <v>64</v>
      </c>
      <c r="F468" t="s">
        <v>9355</v>
      </c>
      <c r="G468" t="s">
        <v>18126</v>
      </c>
      <c r="H468" t="s">
        <v>1112</v>
      </c>
      <c r="I468" t="s">
        <v>1108</v>
      </c>
      <c r="J468" t="s">
        <v>9356</v>
      </c>
      <c r="K468" t="s">
        <v>9357</v>
      </c>
      <c r="L468" t="s">
        <v>36</v>
      </c>
      <c r="M468" t="s">
        <v>19177</v>
      </c>
      <c r="N468" t="s">
        <v>594</v>
      </c>
      <c r="O468" t="s">
        <v>531</v>
      </c>
      <c r="P468" t="s">
        <v>454</v>
      </c>
    </row>
    <row r="469">
      <c r="A469">
        <f>HYPERLINK("http://bombeiros.sp.gov.br/hidrantes/03individual/3165.html","3165")</f>
      </c>
      <c r="B469" t="s">
        <v>454</v>
      </c>
      <c r="C469" t="s">
        <v>594</v>
      </c>
      <c r="D469" t="s">
        <v>594</v>
      </c>
      <c r="E469" t="s">
        <v>64</v>
      </c>
      <c r="F469" t="s">
        <v>9361</v>
      </c>
      <c r="G469" t="s">
        <v>18103</v>
      </c>
      <c r="H469" t="s">
        <v>1107</v>
      </c>
      <c r="I469" t="s">
        <v>1108</v>
      </c>
      <c r="J469" t="s">
        <v>9362</v>
      </c>
      <c r="K469" t="s">
        <v>9363</v>
      </c>
      <c r="L469" t="s">
        <v>36</v>
      </c>
      <c r="M469" t="s">
        <v>19177</v>
      </c>
      <c r="N469" t="s">
        <v>594</v>
      </c>
      <c r="O469" t="s">
        <v>531</v>
      </c>
      <c r="P469" t="s">
        <v>454</v>
      </c>
    </row>
    <row r="470">
      <c r="A470">
        <f>HYPERLINK("http://bombeiros.sp.gov.br/hidrantes/03individual/723.html","723")</f>
      </c>
      <c r="B470" t="s">
        <v>454</v>
      </c>
      <c r="C470" t="s">
        <v>594</v>
      </c>
      <c r="D470" t="s">
        <v>594</v>
      </c>
      <c r="E470" t="s">
        <v>15</v>
      </c>
      <c r="F470" t="s">
        <v>9412</v>
      </c>
      <c r="G470" t="s">
        <v>18067</v>
      </c>
      <c r="H470" t="s">
        <v>1107</v>
      </c>
      <c r="I470" t="s">
        <v>1108</v>
      </c>
      <c r="J470" t="s">
        <v>9413</v>
      </c>
      <c r="K470" t="s">
        <v>9414</v>
      </c>
      <c r="L470" t="s">
        <v>36</v>
      </c>
      <c r="M470" t="s">
        <v>19177</v>
      </c>
      <c r="N470" t="s">
        <v>594</v>
      </c>
      <c r="O470" t="s">
        <v>531</v>
      </c>
      <c r="P470" t="s">
        <v>454</v>
      </c>
    </row>
    <row r="471">
      <c r="A471">
        <f>HYPERLINK("http://bombeiros.sp.gov.br/hidrantes/03individual/3164.html","3164")</f>
      </c>
      <c r="B471" t="s">
        <v>454</v>
      </c>
      <c r="C471" t="s">
        <v>594</v>
      </c>
      <c r="D471" t="s">
        <v>594</v>
      </c>
      <c r="E471" t="s">
        <v>15</v>
      </c>
      <c r="F471" t="s">
        <v>9448</v>
      </c>
      <c r="G471" t="s">
        <v>18042</v>
      </c>
      <c r="H471" t="s">
        <v>1107</v>
      </c>
      <c r="I471" t="s">
        <v>1108</v>
      </c>
      <c r="J471" t="s">
        <v>9449</v>
      </c>
      <c r="K471" t="s">
        <v>9450</v>
      </c>
      <c r="L471" t="s">
        <v>36</v>
      </c>
      <c r="M471" t="s">
        <v>19177</v>
      </c>
      <c r="N471" t="s">
        <v>594</v>
      </c>
      <c r="O471" t="s">
        <v>531</v>
      </c>
      <c r="P471" t="s">
        <v>454</v>
      </c>
    </row>
    <row r="472">
      <c r="A472">
        <f>HYPERLINK("http://bombeiros.sp.gov.br/hidrantes/03individual/3405.html","3405")</f>
      </c>
      <c r="B472" t="s">
        <v>454</v>
      </c>
      <c r="C472" t="s">
        <v>611</v>
      </c>
      <c r="D472" t="s">
        <v>611</v>
      </c>
      <c r="E472" t="s">
        <v>64</v>
      </c>
      <c r="F472" t="s">
        <v>9500</v>
      </c>
      <c r="G472" t="s">
        <v>18471</v>
      </c>
      <c r="H472" t="s">
        <v>1107</v>
      </c>
      <c r="I472" t="s">
        <v>1108</v>
      </c>
      <c r="J472" t="s">
        <v>9501</v>
      </c>
      <c r="K472" t="s">
        <v>9502</v>
      </c>
      <c r="L472" t="s">
        <v>36</v>
      </c>
      <c r="M472" t="s">
        <v>19177</v>
      </c>
      <c r="N472" t="s">
        <v>594</v>
      </c>
      <c r="O472" t="s">
        <v>531</v>
      </c>
      <c r="P472" t="s">
        <v>454</v>
      </c>
    </row>
    <row r="473">
      <c r="A473">
        <f>HYPERLINK("http://bombeiros.sp.gov.br/hidrantes/03individual/3474.html","3474")</f>
      </c>
      <c r="B473" t="s">
        <v>454</v>
      </c>
      <c r="C473" t="s">
        <v>611</v>
      </c>
      <c r="D473" t="s">
        <v>611</v>
      </c>
      <c r="E473" t="s">
        <v>64</v>
      </c>
      <c r="F473" t="s">
        <v>9503</v>
      </c>
      <c r="G473" t="s">
        <v>18075</v>
      </c>
      <c r="H473" t="s">
        <v>1107</v>
      </c>
      <c r="I473" t="s">
        <v>1108</v>
      </c>
      <c r="J473" t="s">
        <v>9504</v>
      </c>
      <c r="K473" t="s">
        <v>9505</v>
      </c>
      <c r="L473" t="s">
        <v>36</v>
      </c>
      <c r="M473" t="s">
        <v>19177</v>
      </c>
      <c r="N473" t="s">
        <v>594</v>
      </c>
      <c r="O473" t="s">
        <v>531</v>
      </c>
      <c r="P473" t="s">
        <v>454</v>
      </c>
    </row>
    <row r="474">
      <c r="A474">
        <f>HYPERLINK("http://bombeiros.sp.gov.br/hidrantes/03individual/3481.html","3481")</f>
      </c>
      <c r="B474" t="s">
        <v>454</v>
      </c>
      <c r="C474" t="s">
        <v>611</v>
      </c>
      <c r="D474" t="s">
        <v>611</v>
      </c>
      <c r="E474" t="s">
        <v>64</v>
      </c>
      <c r="F474" t="s">
        <v>9506</v>
      </c>
      <c r="G474" t="s">
        <v>18471</v>
      </c>
      <c r="H474" t="s">
        <v>1121</v>
      </c>
      <c r="I474" t="s">
        <v>1117</v>
      </c>
      <c r="J474" t="s">
        <v>9507</v>
      </c>
      <c r="K474" t="s">
        <v>9508</v>
      </c>
      <c r="L474" t="s">
        <v>36</v>
      </c>
      <c r="M474" t="s">
        <v>19177</v>
      </c>
      <c r="N474" t="s">
        <v>594</v>
      </c>
      <c r="O474" t="s">
        <v>531</v>
      </c>
      <c r="P474" t="s">
        <v>454</v>
      </c>
    </row>
    <row r="475">
      <c r="A475">
        <f>HYPERLINK("http://bombeiros.sp.gov.br/hidrantes/03individual/3482.html","3482")</f>
      </c>
      <c r="B475" t="s">
        <v>454</v>
      </c>
      <c r="C475" t="s">
        <v>611</v>
      </c>
      <c r="D475" t="s">
        <v>611</v>
      </c>
      <c r="E475" t="s">
        <v>64</v>
      </c>
      <c r="F475" t="s">
        <v>9509</v>
      </c>
      <c r="G475" t="s">
        <v>18205</v>
      </c>
      <c r="H475" t="s">
        <v>1112</v>
      </c>
      <c r="I475" t="s">
        <v>1108</v>
      </c>
      <c r="J475" t="s">
        <v>16201</v>
      </c>
      <c r="K475" t="s">
        <v>16202</v>
      </c>
      <c r="L475" t="s">
        <v>36</v>
      </c>
      <c r="M475" t="s">
        <v>19177</v>
      </c>
      <c r="N475" t="s">
        <v>594</v>
      </c>
      <c r="O475" t="s">
        <v>531</v>
      </c>
      <c r="P475" t="s">
        <v>454</v>
      </c>
    </row>
    <row r="476">
      <c r="A476">
        <f>HYPERLINK("http://bombeiros.sp.gov.br/hidrantes/03individual/902.html","902")</f>
      </c>
      <c r="B476" t="s">
        <v>623</v>
      </c>
      <c r="C476" t="s">
        <v>624</v>
      </c>
      <c r="D476" t="s">
        <v>624</v>
      </c>
      <c r="E476" t="s">
        <v>64</v>
      </c>
      <c r="F476" t="s">
        <v>9582</v>
      </c>
      <c r="G476" t="s">
        <v>18091</v>
      </c>
      <c r="H476" t="s">
        <v>1121</v>
      </c>
      <c r="I476" t="s">
        <v>1117</v>
      </c>
      <c r="J476" t="s">
        <v>9584</v>
      </c>
      <c r="K476" t="s">
        <v>9585</v>
      </c>
      <c r="L476" t="s">
        <v>36</v>
      </c>
      <c r="M476" t="s">
        <v>19177</v>
      </c>
      <c r="N476" t="s">
        <v>714</v>
      </c>
      <c r="O476" t="s">
        <v>10263</v>
      </c>
      <c r="P476" t="s">
        <v>12</v>
      </c>
    </row>
    <row r="477">
      <c r="A477">
        <f>HYPERLINK("http://bombeiros.sp.gov.br/hidrantes/03individual/1392.html","1392")</f>
      </c>
      <c r="B477" t="s">
        <v>623</v>
      </c>
      <c r="C477" t="s">
        <v>624</v>
      </c>
      <c r="D477" t="s">
        <v>624</v>
      </c>
      <c r="E477" t="s">
        <v>64</v>
      </c>
      <c r="F477" t="s">
        <v>9586</v>
      </c>
      <c r="G477" t="s">
        <v>18095</v>
      </c>
      <c r="H477" t="s">
        <v>1112</v>
      </c>
      <c r="I477" t="s">
        <v>1108</v>
      </c>
      <c r="J477" t="s">
        <v>9587</v>
      </c>
      <c r="K477" t="s">
        <v>9588</v>
      </c>
      <c r="L477" t="s">
        <v>36</v>
      </c>
      <c r="M477" t="s">
        <v>19177</v>
      </c>
      <c r="N477" t="s">
        <v>714</v>
      </c>
      <c r="O477" t="s">
        <v>10263</v>
      </c>
      <c r="P477" t="s">
        <v>12</v>
      </c>
    </row>
    <row r="478">
      <c r="A478">
        <f>HYPERLINK("http://bombeiros.sp.gov.br/hidrantes/03individual/839.html","839")</f>
      </c>
      <c r="B478" t="s">
        <v>623</v>
      </c>
      <c r="C478" t="s">
        <v>624</v>
      </c>
      <c r="D478" t="s">
        <v>9605</v>
      </c>
      <c r="E478" t="s">
        <v>64</v>
      </c>
      <c r="F478" t="s">
        <v>9606</v>
      </c>
      <c r="G478" t="s">
        <v>18094</v>
      </c>
      <c r="H478" t="s">
        <v>1174</v>
      </c>
      <c r="I478" t="s">
        <v>1108</v>
      </c>
      <c r="J478" t="s">
        <v>9608</v>
      </c>
      <c r="K478" t="s">
        <v>9609</v>
      </c>
      <c r="L478" t="s">
        <v>36</v>
      </c>
      <c r="M478" t="s">
        <v>19177</v>
      </c>
      <c r="N478" t="s">
        <v>714</v>
      </c>
      <c r="O478" t="s">
        <v>10263</v>
      </c>
      <c r="P478" t="s">
        <v>12</v>
      </c>
    </row>
    <row r="479">
      <c r="A479">
        <f>HYPERLINK("http://bombeiros.sp.gov.br/hidrantes/03individual/2171.html","2171")</f>
      </c>
      <c r="B479" t="s">
        <v>623</v>
      </c>
      <c r="C479" t="s">
        <v>624</v>
      </c>
      <c r="D479" t="s">
        <v>625</v>
      </c>
      <c r="E479" t="s">
        <v>15</v>
      </c>
      <c r="F479" t="s">
        <v>9656</v>
      </c>
      <c r="G479" t="s">
        <v>18084</v>
      </c>
      <c r="H479" t="s">
        <v>1112</v>
      </c>
      <c r="I479" t="s">
        <v>1108</v>
      </c>
      <c r="J479" t="s">
        <v>9657</v>
      </c>
      <c r="K479" t="s">
        <v>9658</v>
      </c>
      <c r="L479" t="s">
        <v>36</v>
      </c>
      <c r="M479" t="s">
        <v>19177</v>
      </c>
      <c r="N479" t="s">
        <v>714</v>
      </c>
      <c r="O479" t="s">
        <v>10263</v>
      </c>
      <c r="P479" t="s">
        <v>12</v>
      </c>
    </row>
    <row r="480">
      <c r="A480">
        <f>HYPERLINK("http://bombeiros.sp.gov.br/hidrantes/03individual/1682.html","1682")</f>
      </c>
      <c r="B480" t="s">
        <v>623</v>
      </c>
      <c r="C480" t="s">
        <v>630</v>
      </c>
      <c r="D480" t="s">
        <v>631</v>
      </c>
      <c r="E480" t="s">
        <v>64</v>
      </c>
      <c r="F480" t="s">
        <v>9695</v>
      </c>
      <c r="G480" t="s">
        <v>18155</v>
      </c>
      <c r="H480" t="s">
        <v>1107</v>
      </c>
      <c r="I480" t="s">
        <v>1108</v>
      </c>
      <c r="J480" t="s">
        <v>9696</v>
      </c>
      <c r="K480" t="s">
        <v>9697</v>
      </c>
      <c r="L480" t="s">
        <v>36</v>
      </c>
      <c r="M480" t="s">
        <v>19177</v>
      </c>
      <c r="N480" t="s">
        <v>714</v>
      </c>
      <c r="O480" t="s">
        <v>10263</v>
      </c>
      <c r="P480" t="s">
        <v>12</v>
      </c>
    </row>
    <row r="481">
      <c r="A481">
        <f>HYPERLINK("http://bombeiros.sp.gov.br/hidrantes/03individual/2334.html","2334")</f>
      </c>
      <c r="B481" t="s">
        <v>623</v>
      </c>
      <c r="C481" t="s">
        <v>630</v>
      </c>
      <c r="D481" t="s">
        <v>631</v>
      </c>
      <c r="E481" t="s">
        <v>64</v>
      </c>
      <c r="F481" t="s">
        <v>9698</v>
      </c>
      <c r="G481" t="s">
        <v>18151</v>
      </c>
      <c r="H481" t="s">
        <v>1107</v>
      </c>
      <c r="I481" t="s">
        <v>1108</v>
      </c>
      <c r="J481" t="s">
        <v>9699</v>
      </c>
      <c r="K481" t="s">
        <v>9700</v>
      </c>
      <c r="L481" t="s">
        <v>36</v>
      </c>
      <c r="M481" t="s">
        <v>19177</v>
      </c>
      <c r="N481" t="s">
        <v>714</v>
      </c>
      <c r="O481" t="s">
        <v>10263</v>
      </c>
      <c r="P481" t="s">
        <v>12</v>
      </c>
    </row>
    <row r="482">
      <c r="A482">
        <f>HYPERLINK("http://bombeiros.sp.gov.br/hidrantes/03individual/2873.html","2873")</f>
      </c>
      <c r="B482" t="s">
        <v>623</v>
      </c>
      <c r="C482" t="s">
        <v>630</v>
      </c>
      <c r="D482" t="s">
        <v>630</v>
      </c>
      <c r="E482" t="s">
        <v>64</v>
      </c>
      <c r="F482" t="s">
        <v>9722</v>
      </c>
      <c r="G482" t="s">
        <v>18067</v>
      </c>
      <c r="H482" t="s">
        <v>1174</v>
      </c>
      <c r="I482" t="s">
        <v>1117</v>
      </c>
      <c r="J482" t="s">
        <v>9723</v>
      </c>
      <c r="K482" t="s">
        <v>9724</v>
      </c>
      <c r="L482" t="s">
        <v>36</v>
      </c>
      <c r="M482" t="s">
        <v>19177</v>
      </c>
      <c r="N482" t="s">
        <v>714</v>
      </c>
      <c r="O482" t="s">
        <v>10263</v>
      </c>
      <c r="P482" t="s">
        <v>12</v>
      </c>
    </row>
    <row r="483">
      <c r="A483">
        <f>HYPERLINK("http://bombeiros.sp.gov.br/hidrantes/03individual/1146.html","1146")</f>
      </c>
      <c r="B483" t="s">
        <v>623</v>
      </c>
      <c r="C483" t="s">
        <v>630</v>
      </c>
      <c r="D483" t="s">
        <v>630</v>
      </c>
      <c r="E483" t="s">
        <v>15</v>
      </c>
      <c r="F483" t="s">
        <v>9731</v>
      </c>
      <c r="G483" t="s">
        <v>18067</v>
      </c>
      <c r="H483" t="s">
        <v>1121</v>
      </c>
      <c r="I483" t="s">
        <v>1117</v>
      </c>
      <c r="J483" t="s">
        <v>9732</v>
      </c>
      <c r="K483" t="s">
        <v>9733</v>
      </c>
      <c r="L483" t="s">
        <v>36</v>
      </c>
      <c r="M483" t="s">
        <v>19177</v>
      </c>
      <c r="N483" t="s">
        <v>714</v>
      </c>
      <c r="O483" t="s">
        <v>10263</v>
      </c>
      <c r="P483" t="s">
        <v>12</v>
      </c>
    </row>
    <row r="484">
      <c r="A484">
        <f>HYPERLINK("http://bombeiros.sp.gov.br/hidrantes/03individual/4249.html","4249")</f>
      </c>
      <c r="B484" t="s">
        <v>623</v>
      </c>
      <c r="C484" t="s">
        <v>640</v>
      </c>
      <c r="D484" t="s">
        <v>640</v>
      </c>
      <c r="E484" t="s">
        <v>15</v>
      </c>
      <c r="F484" t="s">
        <v>9797</v>
      </c>
      <c r="G484" t="s">
        <v>18098</v>
      </c>
      <c r="H484" t="s">
        <v>1107</v>
      </c>
      <c r="I484" t="s">
        <v>1108</v>
      </c>
      <c r="J484" t="s">
        <v>9798</v>
      </c>
      <c r="K484" t="s">
        <v>9799</v>
      </c>
      <c r="L484" t="s">
        <v>36</v>
      </c>
      <c r="M484" t="s">
        <v>19177</v>
      </c>
      <c r="N484" t="s">
        <v>16375</v>
      </c>
      <c r="O484" t="s">
        <v>640</v>
      </c>
      <c r="P484" t="s">
        <v>623</v>
      </c>
    </row>
    <row r="485">
      <c r="A485">
        <f>HYPERLINK("http://bombeiros.sp.gov.br/hidrantes/03individual/1373.html","1373")</f>
      </c>
      <c r="B485" t="s">
        <v>623</v>
      </c>
      <c r="C485" t="s">
        <v>640</v>
      </c>
      <c r="D485" t="s">
        <v>652</v>
      </c>
      <c r="E485" t="s">
        <v>64</v>
      </c>
      <c r="F485" t="s">
        <v>9812</v>
      </c>
      <c r="G485" t="s">
        <v>18145</v>
      </c>
      <c r="H485" t="s">
        <v>1107</v>
      </c>
      <c r="I485" t="s">
        <v>1108</v>
      </c>
      <c r="J485" t="s">
        <v>9813</v>
      </c>
      <c r="K485" t="s">
        <v>9814</v>
      </c>
      <c r="L485" t="s">
        <v>36</v>
      </c>
      <c r="M485" t="s">
        <v>19177</v>
      </c>
      <c r="N485" t="s">
        <v>16375</v>
      </c>
      <c r="O485" t="s">
        <v>640</v>
      </c>
      <c r="P485" t="s">
        <v>623</v>
      </c>
    </row>
    <row r="486">
      <c r="A486">
        <f>HYPERLINK("http://bombeiros.sp.gov.br/hidrantes/03individual/1246.html","1246")</f>
      </c>
      <c r="B486" t="s">
        <v>623</v>
      </c>
      <c r="C486" t="s">
        <v>640</v>
      </c>
      <c r="D486" t="s">
        <v>660</v>
      </c>
      <c r="E486" t="s">
        <v>64</v>
      </c>
      <c r="F486" t="s">
        <v>9827</v>
      </c>
      <c r="G486" t="s">
        <v>18065</v>
      </c>
      <c r="H486" t="s">
        <v>1112</v>
      </c>
      <c r="I486" t="s">
        <v>1108</v>
      </c>
      <c r="J486" t="s">
        <v>9828</v>
      </c>
      <c r="K486" t="s">
        <v>9829</v>
      </c>
      <c r="L486" t="s">
        <v>36</v>
      </c>
      <c r="M486" t="s">
        <v>19177</v>
      </c>
      <c r="N486" t="s">
        <v>16375</v>
      </c>
      <c r="O486" t="s">
        <v>640</v>
      </c>
      <c r="P486" t="s">
        <v>623</v>
      </c>
    </row>
    <row r="487">
      <c r="A487">
        <f>HYPERLINK("http://bombeiros.sp.gov.br/hidrantes/03individual/6682.html","6682")</f>
      </c>
      <c r="B487" t="s">
        <v>623</v>
      </c>
      <c r="C487" t="s">
        <v>640</v>
      </c>
      <c r="D487" t="s">
        <v>660</v>
      </c>
      <c r="E487" t="s">
        <v>64</v>
      </c>
      <c r="F487" t="s">
        <v>9830</v>
      </c>
      <c r="G487" t="s">
        <v>18078</v>
      </c>
      <c r="H487" t="s">
        <v>1112</v>
      </c>
      <c r="I487" t="s">
        <v>1108</v>
      </c>
      <c r="J487" t="s">
        <v>9831</v>
      </c>
      <c r="K487" t="s">
        <v>9832</v>
      </c>
      <c r="L487" t="s">
        <v>36</v>
      </c>
      <c r="M487" t="s">
        <v>19177</v>
      </c>
      <c r="N487" t="s">
        <v>16375</v>
      </c>
      <c r="O487" t="s">
        <v>640</v>
      </c>
      <c r="P487" t="s">
        <v>623</v>
      </c>
    </row>
    <row r="488">
      <c r="A488">
        <f>HYPERLINK("http://bombeiros.sp.gov.br/hidrantes/03individual/1259.html","1259")</f>
      </c>
      <c r="B488" t="s">
        <v>623</v>
      </c>
      <c r="C488" t="s">
        <v>640</v>
      </c>
      <c r="D488" t="s">
        <v>669</v>
      </c>
      <c r="E488" t="s">
        <v>64</v>
      </c>
      <c r="F488" t="s">
        <v>9871</v>
      </c>
      <c r="G488" t="s">
        <v>18132</v>
      </c>
      <c r="H488" t="s">
        <v>1121</v>
      </c>
      <c r="I488" t="s">
        <v>1117</v>
      </c>
      <c r="J488" t="s">
        <v>9872</v>
      </c>
      <c r="K488" t="s">
        <v>9873</v>
      </c>
      <c r="L488" t="s">
        <v>36</v>
      </c>
      <c r="M488" t="s">
        <v>19177</v>
      </c>
      <c r="N488" t="s">
        <v>16375</v>
      </c>
      <c r="O488" t="s">
        <v>640</v>
      </c>
      <c r="P488" t="s">
        <v>623</v>
      </c>
    </row>
    <row r="489">
      <c r="A489">
        <f>HYPERLINK("http://bombeiros.sp.gov.br/hidrantes/03individual/1287.html","1287")</f>
      </c>
      <c r="B489" t="s">
        <v>623</v>
      </c>
      <c r="C489" t="s">
        <v>640</v>
      </c>
      <c r="D489" t="s">
        <v>669</v>
      </c>
      <c r="E489" t="s">
        <v>64</v>
      </c>
      <c r="F489" t="s">
        <v>9874</v>
      </c>
      <c r="G489" t="s">
        <v>18207</v>
      </c>
      <c r="H489" t="s">
        <v>1112</v>
      </c>
      <c r="I489" t="s">
        <v>1108</v>
      </c>
      <c r="J489" t="s">
        <v>9875</v>
      </c>
      <c r="K489" t="s">
        <v>9876</v>
      </c>
      <c r="L489" t="s">
        <v>36</v>
      </c>
      <c r="M489" t="s">
        <v>19177</v>
      </c>
      <c r="N489" t="s">
        <v>16375</v>
      </c>
      <c r="O489" t="s">
        <v>640</v>
      </c>
      <c r="P489" t="s">
        <v>623</v>
      </c>
    </row>
    <row r="490">
      <c r="A490">
        <f>HYPERLINK("http://bombeiros.sp.gov.br/hidrantes/03individual/4255.html","4255")</f>
      </c>
      <c r="B490" t="s">
        <v>623</v>
      </c>
      <c r="C490" t="s">
        <v>640</v>
      </c>
      <c r="D490" t="s">
        <v>669</v>
      </c>
      <c r="E490" t="s">
        <v>64</v>
      </c>
      <c r="F490" t="s">
        <v>9877</v>
      </c>
      <c r="G490" t="s">
        <v>18207</v>
      </c>
      <c r="H490" t="s">
        <v>1112</v>
      </c>
      <c r="I490" t="s">
        <v>1108</v>
      </c>
      <c r="J490" t="s">
        <v>9878</v>
      </c>
      <c r="K490" t="s">
        <v>9879</v>
      </c>
      <c r="L490" t="s">
        <v>36</v>
      </c>
      <c r="M490" t="s">
        <v>19177</v>
      </c>
      <c r="N490" t="s">
        <v>16375</v>
      </c>
      <c r="O490" t="s">
        <v>640</v>
      </c>
      <c r="P490" t="s">
        <v>623</v>
      </c>
    </row>
    <row r="491">
      <c r="A491">
        <f>HYPERLINK("http://bombeiros.sp.gov.br/hidrantes/03individual/4256.html","4256")</f>
      </c>
      <c r="B491" t="s">
        <v>623</v>
      </c>
      <c r="C491" t="s">
        <v>640</v>
      </c>
      <c r="D491" t="s">
        <v>669</v>
      </c>
      <c r="E491" t="s">
        <v>64</v>
      </c>
      <c r="F491" t="s">
        <v>9880</v>
      </c>
      <c r="G491" t="s">
        <v>18132</v>
      </c>
      <c r="H491" t="s">
        <v>1107</v>
      </c>
      <c r="I491" t="s">
        <v>1108</v>
      </c>
      <c r="J491" t="s">
        <v>9881</v>
      </c>
      <c r="K491" t="s">
        <v>9882</v>
      </c>
      <c r="L491" t="s">
        <v>36</v>
      </c>
      <c r="M491" t="s">
        <v>19177</v>
      </c>
      <c r="N491" t="s">
        <v>16375</v>
      </c>
      <c r="O491" t="s">
        <v>640</v>
      </c>
      <c r="P491" t="s">
        <v>623</v>
      </c>
    </row>
    <row r="492">
      <c r="A492">
        <f>HYPERLINK("http://bombeiros.sp.gov.br/hidrantes/03individual/4383.html","4383")</f>
      </c>
      <c r="B492" t="s">
        <v>623</v>
      </c>
      <c r="C492" t="s">
        <v>674</v>
      </c>
      <c r="D492" t="s">
        <v>675</v>
      </c>
      <c r="E492" t="s">
        <v>15</v>
      </c>
      <c r="F492" t="s">
        <v>676</v>
      </c>
      <c r="G492" t="s">
        <v>18146</v>
      </c>
      <c r="H492" t="s">
        <v>1121</v>
      </c>
      <c r="I492" t="s">
        <v>1117</v>
      </c>
      <c r="J492" t="s">
        <v>677</v>
      </c>
      <c r="K492" t="s">
        <v>678</v>
      </c>
      <c r="L492" t="s">
        <v>36</v>
      </c>
      <c r="M492" t="s">
        <v>19177</v>
      </c>
      <c r="N492" t="s">
        <v>1024</v>
      </c>
      <c r="O492" t="s">
        <v>1024</v>
      </c>
      <c r="P492" t="s">
        <v>842</v>
      </c>
    </row>
    <row r="493">
      <c r="A493">
        <f>HYPERLINK("http://bombeiros.sp.gov.br/hidrantes/03individual/4159.html","4159")</f>
      </c>
      <c r="B493" t="s">
        <v>623</v>
      </c>
      <c r="C493" t="s">
        <v>674</v>
      </c>
      <c r="D493" t="s">
        <v>9936</v>
      </c>
      <c r="E493" t="s">
        <v>15</v>
      </c>
      <c r="F493" t="s">
        <v>9968</v>
      </c>
      <c r="G493" t="s">
        <v>18146</v>
      </c>
      <c r="H493" t="s">
        <v>1112</v>
      </c>
      <c r="I493" t="s">
        <v>1108</v>
      </c>
      <c r="J493" t="s">
        <v>9969</v>
      </c>
      <c r="K493" t="s">
        <v>9970</v>
      </c>
      <c r="L493" t="s">
        <v>36</v>
      </c>
      <c r="M493" t="s">
        <v>19177</v>
      </c>
      <c r="N493" t="s">
        <v>1024</v>
      </c>
      <c r="O493" t="s">
        <v>1024</v>
      </c>
      <c r="P493" t="s">
        <v>842</v>
      </c>
    </row>
    <row r="494">
      <c r="A494">
        <f>HYPERLINK("http://bombeiros.sp.gov.br/hidrantes/03individual/1541.html","1541")</f>
      </c>
      <c r="B494" t="s">
        <v>623</v>
      </c>
      <c r="C494" t="s">
        <v>674</v>
      </c>
      <c r="D494" t="s">
        <v>9989</v>
      </c>
      <c r="E494" t="s">
        <v>64</v>
      </c>
      <c r="F494" t="s">
        <v>9990</v>
      </c>
      <c r="G494" t="s">
        <v>17960</v>
      </c>
      <c r="H494" t="s">
        <v>1121</v>
      </c>
      <c r="I494" t="s">
        <v>1117</v>
      </c>
      <c r="J494" t="s">
        <v>9991</v>
      </c>
      <c r="K494" t="s">
        <v>9992</v>
      </c>
      <c r="L494" t="s">
        <v>36</v>
      </c>
      <c r="M494" t="s">
        <v>19177</v>
      </c>
      <c r="N494" t="s">
        <v>714</v>
      </c>
      <c r="O494" t="s">
        <v>10263</v>
      </c>
      <c r="P494" t="s">
        <v>12</v>
      </c>
    </row>
    <row r="495">
      <c r="A495">
        <f>HYPERLINK("http://bombeiros.sp.gov.br/hidrantes/03individual/1498.html","1498")</f>
      </c>
      <c r="B495" t="s">
        <v>623</v>
      </c>
      <c r="C495" t="s">
        <v>674</v>
      </c>
      <c r="D495" t="s">
        <v>9989</v>
      </c>
      <c r="E495" t="s">
        <v>15</v>
      </c>
      <c r="F495" t="s">
        <v>9999</v>
      </c>
      <c r="G495" t="s">
        <v>17960</v>
      </c>
      <c r="H495" t="s">
        <v>1112</v>
      </c>
      <c r="I495" t="s">
        <v>1108</v>
      </c>
      <c r="J495" t="s">
        <v>15994</v>
      </c>
      <c r="K495" t="s">
        <v>15995</v>
      </c>
      <c r="L495" t="s">
        <v>36</v>
      </c>
      <c r="M495" t="s">
        <v>19177</v>
      </c>
      <c r="N495" t="s">
        <v>714</v>
      </c>
      <c r="O495" t="s">
        <v>10263</v>
      </c>
      <c r="P495" t="s">
        <v>12</v>
      </c>
    </row>
    <row r="496">
      <c r="A496">
        <f>HYPERLINK("http://bombeiros.sp.gov.br/hidrantes/03individual/1554.html","1554")</f>
      </c>
      <c r="B496" t="s">
        <v>623</v>
      </c>
      <c r="C496" t="s">
        <v>674</v>
      </c>
      <c r="D496" t="s">
        <v>9989</v>
      </c>
      <c r="E496" t="s">
        <v>15</v>
      </c>
      <c r="F496" t="s">
        <v>10005</v>
      </c>
      <c r="G496" t="s">
        <v>17960</v>
      </c>
      <c r="H496" t="s">
        <v>1112</v>
      </c>
      <c r="I496" t="s">
        <v>1108</v>
      </c>
      <c r="J496" t="s">
        <v>10006</v>
      </c>
      <c r="K496" t="s">
        <v>10007</v>
      </c>
      <c r="L496" t="s">
        <v>36</v>
      </c>
      <c r="M496" t="s">
        <v>19177</v>
      </c>
      <c r="N496" t="s">
        <v>714</v>
      </c>
      <c r="O496" t="s">
        <v>10263</v>
      </c>
      <c r="P496" t="s">
        <v>12</v>
      </c>
    </row>
    <row r="497">
      <c r="A497">
        <f>HYPERLINK("http://bombeiros.sp.gov.br/hidrantes/03individual/3992.html","3992")</f>
      </c>
      <c r="B497" t="s">
        <v>623</v>
      </c>
      <c r="C497" t="s">
        <v>674</v>
      </c>
      <c r="D497" t="s">
        <v>10030</v>
      </c>
      <c r="E497" t="s">
        <v>64</v>
      </c>
      <c r="F497" t="s">
        <v>10031</v>
      </c>
      <c r="G497" t="s">
        <v>18208</v>
      </c>
      <c r="H497" t="s">
        <v>1121</v>
      </c>
      <c r="I497" t="s">
        <v>1117</v>
      </c>
      <c r="J497" t="s">
        <v>10032</v>
      </c>
      <c r="K497" t="s">
        <v>10033</v>
      </c>
      <c r="L497" t="s">
        <v>36</v>
      </c>
      <c r="M497" t="s">
        <v>19177</v>
      </c>
      <c r="N497" t="s">
        <v>714</v>
      </c>
      <c r="O497" t="s">
        <v>10263</v>
      </c>
      <c r="P497" t="s">
        <v>12</v>
      </c>
    </row>
    <row r="498">
      <c r="A498">
        <f>HYPERLINK("http://bombeiros.sp.gov.br/hidrantes/03individual/3913.html","3913")</f>
      </c>
      <c r="B498" t="s">
        <v>623</v>
      </c>
      <c r="C498" t="s">
        <v>674</v>
      </c>
      <c r="D498" t="s">
        <v>683</v>
      </c>
      <c r="E498" t="s">
        <v>15</v>
      </c>
      <c r="F498" t="s">
        <v>10058</v>
      </c>
      <c r="G498" t="s">
        <v>18209</v>
      </c>
      <c r="H498" t="s">
        <v>1112</v>
      </c>
      <c r="I498" t="s">
        <v>1108</v>
      </c>
      <c r="J498" t="s">
        <v>10059</v>
      </c>
      <c r="K498" t="s">
        <v>10060</v>
      </c>
      <c r="L498" t="s">
        <v>36</v>
      </c>
      <c r="M498" t="s">
        <v>19177</v>
      </c>
      <c r="N498" t="s">
        <v>1024</v>
      </c>
      <c r="O498" t="s">
        <v>1024</v>
      </c>
      <c r="P498" t="s">
        <v>842</v>
      </c>
    </row>
    <row r="499">
      <c r="A499">
        <f>HYPERLINK("http://bombeiros.sp.gov.br/hidrantes/03individual/1432.html","1432")</f>
      </c>
      <c r="B499" t="s">
        <v>623</v>
      </c>
      <c r="C499" t="s">
        <v>674</v>
      </c>
      <c r="D499" t="s">
        <v>10073</v>
      </c>
      <c r="E499" t="s">
        <v>64</v>
      </c>
      <c r="F499" t="s">
        <v>10074</v>
      </c>
      <c r="G499" t="s">
        <v>17927</v>
      </c>
      <c r="H499" t="s">
        <v>1121</v>
      </c>
      <c r="I499" t="s">
        <v>1117</v>
      </c>
      <c r="J499" t="s">
        <v>10075</v>
      </c>
      <c r="K499" t="s">
        <v>10076</v>
      </c>
      <c r="L499" t="s">
        <v>36</v>
      </c>
      <c r="M499" t="s">
        <v>19177</v>
      </c>
      <c r="N499" t="s">
        <v>714</v>
      </c>
      <c r="O499" t="s">
        <v>10263</v>
      </c>
      <c r="P499" t="s">
        <v>12</v>
      </c>
    </row>
    <row r="500">
      <c r="A500">
        <f>HYPERLINK("http://bombeiros.sp.gov.br/hidrantes/03individual/1486.html","1486")</f>
      </c>
      <c r="B500" t="s">
        <v>623</v>
      </c>
      <c r="C500" t="s">
        <v>674</v>
      </c>
      <c r="D500" t="s">
        <v>10073</v>
      </c>
      <c r="E500" t="s">
        <v>64</v>
      </c>
      <c r="F500" t="s">
        <v>10080</v>
      </c>
      <c r="G500" t="s">
        <v>17939</v>
      </c>
      <c r="H500" t="s">
        <v>1112</v>
      </c>
      <c r="I500" t="s">
        <v>1108</v>
      </c>
      <c r="J500" t="s">
        <v>10081</v>
      </c>
      <c r="K500" t="s">
        <v>10082</v>
      </c>
      <c r="L500" t="s">
        <v>36</v>
      </c>
      <c r="M500" t="s">
        <v>19177</v>
      </c>
      <c r="N500" t="s">
        <v>714</v>
      </c>
      <c r="O500" t="s">
        <v>10263</v>
      </c>
      <c r="P500" t="s">
        <v>12</v>
      </c>
    </row>
    <row r="501">
      <c r="A501">
        <f>HYPERLINK("http://bombeiros.sp.gov.br/hidrantes/03individual/1531.html","1531")</f>
      </c>
      <c r="B501" t="s">
        <v>623</v>
      </c>
      <c r="C501" t="s">
        <v>674</v>
      </c>
      <c r="D501" t="s">
        <v>10073</v>
      </c>
      <c r="E501" t="s">
        <v>64</v>
      </c>
      <c r="F501" t="s">
        <v>10083</v>
      </c>
      <c r="G501" t="s">
        <v>17945</v>
      </c>
      <c r="H501" t="s">
        <v>1112</v>
      </c>
      <c r="I501" t="s">
        <v>1108</v>
      </c>
      <c r="J501" t="s">
        <v>10084</v>
      </c>
      <c r="K501" t="s">
        <v>10085</v>
      </c>
      <c r="L501" t="s">
        <v>36</v>
      </c>
      <c r="M501" t="s">
        <v>19177</v>
      </c>
      <c r="N501" t="s">
        <v>714</v>
      </c>
      <c r="O501" t="s">
        <v>10263</v>
      </c>
      <c r="P501" t="s">
        <v>12</v>
      </c>
    </row>
    <row r="502">
      <c r="A502">
        <f>HYPERLINK("http://bombeiros.sp.gov.br/hidrantes/03individual/1463.html","1463")</f>
      </c>
      <c r="B502" t="s">
        <v>623</v>
      </c>
      <c r="C502" t="s">
        <v>674</v>
      </c>
      <c r="D502" t="s">
        <v>10073</v>
      </c>
      <c r="E502" t="s">
        <v>15</v>
      </c>
      <c r="F502" t="s">
        <v>10086</v>
      </c>
      <c r="G502" t="s">
        <v>18148</v>
      </c>
      <c r="H502" t="s">
        <v>1121</v>
      </c>
      <c r="I502" t="s">
        <v>1117</v>
      </c>
      <c r="J502" t="s">
        <v>10087</v>
      </c>
      <c r="K502" t="s">
        <v>10088</v>
      </c>
      <c r="L502" t="s">
        <v>36</v>
      </c>
      <c r="M502" t="s">
        <v>19177</v>
      </c>
      <c r="N502" t="s">
        <v>714</v>
      </c>
      <c r="O502" t="s">
        <v>10263</v>
      </c>
      <c r="P502" t="s">
        <v>12</v>
      </c>
    </row>
    <row r="503">
      <c r="A503">
        <f>HYPERLINK("http://bombeiros.sp.gov.br/hidrantes/03individual/895.html","895")</f>
      </c>
      <c r="B503" t="s">
        <v>623</v>
      </c>
      <c r="C503" t="s">
        <v>696</v>
      </c>
      <c r="D503" t="s">
        <v>696</v>
      </c>
      <c r="E503" t="s">
        <v>64</v>
      </c>
      <c r="F503" t="s">
        <v>10146</v>
      </c>
      <c r="G503" t="s">
        <v>18132</v>
      </c>
      <c r="H503" t="s">
        <v>1121</v>
      </c>
      <c r="I503" t="s">
        <v>1117</v>
      </c>
      <c r="J503" t="s">
        <v>10147</v>
      </c>
      <c r="K503" t="s">
        <v>10148</v>
      </c>
      <c r="L503" t="s">
        <v>36</v>
      </c>
      <c r="M503" t="s">
        <v>19177</v>
      </c>
      <c r="N503" t="s">
        <v>16375</v>
      </c>
      <c r="O503" t="s">
        <v>640</v>
      </c>
      <c r="P503" t="s">
        <v>623</v>
      </c>
    </row>
    <row r="504">
      <c r="A504">
        <f>HYPERLINK("http://bombeiros.sp.gov.br/hidrantes/03individual/1219.html","1219")</f>
      </c>
      <c r="B504" t="s">
        <v>623</v>
      </c>
      <c r="C504" t="s">
        <v>696</v>
      </c>
      <c r="D504" t="s">
        <v>704</v>
      </c>
      <c r="E504" t="s">
        <v>64</v>
      </c>
      <c r="F504" t="s">
        <v>10167</v>
      </c>
      <c r="G504" t="s">
        <v>18132</v>
      </c>
      <c r="H504" t="s">
        <v>1121</v>
      </c>
      <c r="I504" t="s">
        <v>1117</v>
      </c>
      <c r="J504" t="s">
        <v>10168</v>
      </c>
      <c r="K504" t="s">
        <v>10169</v>
      </c>
      <c r="L504" t="s">
        <v>36</v>
      </c>
      <c r="M504" t="s">
        <v>19177</v>
      </c>
      <c r="N504" t="s">
        <v>16375</v>
      </c>
      <c r="O504" t="s">
        <v>640</v>
      </c>
      <c r="P504" t="s">
        <v>623</v>
      </c>
    </row>
    <row r="505">
      <c r="A505">
        <f>HYPERLINK("http://bombeiros.sp.gov.br/hidrantes/03individual/1368.html","1368")</f>
      </c>
      <c r="B505" t="s">
        <v>623</v>
      </c>
      <c r="C505" t="s">
        <v>696</v>
      </c>
      <c r="D505" t="s">
        <v>704</v>
      </c>
      <c r="E505" t="s">
        <v>64</v>
      </c>
      <c r="F505" t="s">
        <v>10170</v>
      </c>
      <c r="G505" t="s">
        <v>18143</v>
      </c>
      <c r="H505" t="s">
        <v>1112</v>
      </c>
      <c r="I505" t="s">
        <v>1108</v>
      </c>
      <c r="J505" t="s">
        <v>10171</v>
      </c>
      <c r="K505" t="s">
        <v>10172</v>
      </c>
      <c r="L505" t="s">
        <v>36</v>
      </c>
      <c r="M505" t="s">
        <v>19177</v>
      </c>
      <c r="N505" t="s">
        <v>16375</v>
      </c>
      <c r="O505" t="s">
        <v>640</v>
      </c>
      <c r="P505" t="s">
        <v>623</v>
      </c>
    </row>
    <row r="506">
      <c r="A506">
        <f>HYPERLINK("http://bombeiros.sp.gov.br/hidrantes/03individual/1370.html","1370")</f>
      </c>
      <c r="B506" t="s">
        <v>623</v>
      </c>
      <c r="C506" t="s">
        <v>696</v>
      </c>
      <c r="D506" t="s">
        <v>704</v>
      </c>
      <c r="E506" t="s">
        <v>64</v>
      </c>
      <c r="F506" t="s">
        <v>10173</v>
      </c>
      <c r="G506" t="s">
        <v>18132</v>
      </c>
      <c r="H506" t="s">
        <v>1112</v>
      </c>
      <c r="I506" t="s">
        <v>1108</v>
      </c>
      <c r="J506" t="s">
        <v>10174</v>
      </c>
      <c r="K506" t="s">
        <v>10175</v>
      </c>
      <c r="L506" t="s">
        <v>36</v>
      </c>
      <c r="M506" t="s">
        <v>19177</v>
      </c>
      <c r="N506" t="s">
        <v>16375</v>
      </c>
      <c r="O506" t="s">
        <v>640</v>
      </c>
      <c r="P506" t="s">
        <v>623</v>
      </c>
    </row>
    <row r="507">
      <c r="A507">
        <f>HYPERLINK("http://bombeiros.sp.gov.br/hidrantes/03individual/1216.html","1216")</f>
      </c>
      <c r="B507" t="s">
        <v>623</v>
      </c>
      <c r="C507" t="s">
        <v>696</v>
      </c>
      <c r="D507" t="s">
        <v>704</v>
      </c>
      <c r="E507" t="s">
        <v>15</v>
      </c>
      <c r="F507" t="s">
        <v>10179</v>
      </c>
      <c r="G507" t="s">
        <v>18143</v>
      </c>
      <c r="H507" t="s">
        <v>1112</v>
      </c>
      <c r="I507" t="s">
        <v>1108</v>
      </c>
      <c r="J507" t="s">
        <v>10180</v>
      </c>
      <c r="K507" t="s">
        <v>10181</v>
      </c>
      <c r="L507" t="s">
        <v>36</v>
      </c>
      <c r="M507" t="s">
        <v>19177</v>
      </c>
      <c r="N507" t="s">
        <v>16375</v>
      </c>
      <c r="O507" t="s">
        <v>640</v>
      </c>
      <c r="P507" t="s">
        <v>623</v>
      </c>
    </row>
    <row r="508">
      <c r="A508">
        <f>HYPERLINK("http://bombeiros.sp.gov.br/hidrantes/03individual/491.html","491")</f>
      </c>
      <c r="B508" t="s">
        <v>623</v>
      </c>
      <c r="C508" t="s">
        <v>709</v>
      </c>
      <c r="D508" t="s">
        <v>10197</v>
      </c>
      <c r="E508" t="s">
        <v>64</v>
      </c>
      <c r="F508" t="s">
        <v>10198</v>
      </c>
      <c r="G508" t="s">
        <v>18150</v>
      </c>
      <c r="H508" t="s">
        <v>1112</v>
      </c>
      <c r="I508" t="s">
        <v>1108</v>
      </c>
      <c r="J508" t="s">
        <v>10200</v>
      </c>
      <c r="K508" t="s">
        <v>10201</v>
      </c>
      <c r="L508" t="s">
        <v>36</v>
      </c>
      <c r="M508" t="s">
        <v>19177</v>
      </c>
      <c r="N508" t="s">
        <v>714</v>
      </c>
      <c r="O508" t="s">
        <v>10263</v>
      </c>
      <c r="P508" t="s">
        <v>12</v>
      </c>
    </row>
    <row r="509">
      <c r="A509">
        <f>HYPERLINK("http://bombeiros.sp.gov.br/hidrantes/03individual/2625.html","2625")</f>
      </c>
      <c r="B509" t="s">
        <v>623</v>
      </c>
      <c r="C509" t="s">
        <v>709</v>
      </c>
      <c r="D509" t="s">
        <v>10197</v>
      </c>
      <c r="E509" t="s">
        <v>64</v>
      </c>
      <c r="F509" t="s">
        <v>10202</v>
      </c>
      <c r="G509" t="s">
        <v>18179</v>
      </c>
      <c r="H509" t="s">
        <v>1112</v>
      </c>
      <c r="I509" t="s">
        <v>1108</v>
      </c>
      <c r="J509" t="s">
        <v>10203</v>
      </c>
      <c r="K509" t="s">
        <v>10204</v>
      </c>
      <c r="L509" t="s">
        <v>36</v>
      </c>
      <c r="M509" t="s">
        <v>19177</v>
      </c>
      <c r="N509" t="s">
        <v>714</v>
      </c>
      <c r="O509" t="s">
        <v>10263</v>
      </c>
      <c r="P509" t="s">
        <v>12</v>
      </c>
    </row>
    <row r="510">
      <c r="A510">
        <f>HYPERLINK("http://bombeiros.sp.gov.br/hidrantes/03individual/1927.html","1927")</f>
      </c>
      <c r="B510" t="s">
        <v>623</v>
      </c>
      <c r="C510" t="s">
        <v>709</v>
      </c>
      <c r="D510" t="s">
        <v>10223</v>
      </c>
      <c r="E510" t="s">
        <v>64</v>
      </c>
      <c r="F510" t="s">
        <v>10224</v>
      </c>
      <c r="G510" t="s">
        <v>18075</v>
      </c>
      <c r="H510" t="s">
        <v>1107</v>
      </c>
      <c r="I510" t="s">
        <v>1108</v>
      </c>
      <c r="J510" t="s">
        <v>10225</v>
      </c>
      <c r="K510" t="s">
        <v>10226</v>
      </c>
      <c r="L510" t="s">
        <v>36</v>
      </c>
      <c r="M510" t="s">
        <v>19177</v>
      </c>
      <c r="N510" t="s">
        <v>714</v>
      </c>
      <c r="O510" t="s">
        <v>10263</v>
      </c>
      <c r="P510" t="s">
        <v>12</v>
      </c>
    </row>
    <row r="511">
      <c r="A511">
        <f>HYPERLINK("http://bombeiros.sp.gov.br/hidrantes/03individual/2228.html","2228")</f>
      </c>
      <c r="B511" t="s">
        <v>623</v>
      </c>
      <c r="C511" t="s">
        <v>709</v>
      </c>
      <c r="D511" t="s">
        <v>10223</v>
      </c>
      <c r="E511" t="s">
        <v>64</v>
      </c>
      <c r="F511" t="s">
        <v>10230</v>
      </c>
      <c r="G511" t="s">
        <v>18050</v>
      </c>
      <c r="H511" t="s">
        <v>1112</v>
      </c>
      <c r="I511" t="s">
        <v>1108</v>
      </c>
      <c r="J511" t="s">
        <v>10231</v>
      </c>
      <c r="K511" t="s">
        <v>10232</v>
      </c>
      <c r="L511" t="s">
        <v>36</v>
      </c>
      <c r="M511" t="s">
        <v>19177</v>
      </c>
      <c r="N511" t="s">
        <v>714</v>
      </c>
      <c r="O511" t="s">
        <v>10263</v>
      </c>
      <c r="P511" t="s">
        <v>12</v>
      </c>
    </row>
    <row r="512">
      <c r="A512">
        <f>HYPERLINK("http://bombeiros.sp.gov.br/hidrantes/03individual/2733.html","2733")</f>
      </c>
      <c r="B512" t="s">
        <v>623</v>
      </c>
      <c r="C512" t="s">
        <v>709</v>
      </c>
      <c r="D512" t="s">
        <v>10223</v>
      </c>
      <c r="E512" t="s">
        <v>64</v>
      </c>
      <c r="F512" t="s">
        <v>10233</v>
      </c>
      <c r="G512" t="s">
        <v>18075</v>
      </c>
      <c r="H512" t="s">
        <v>1121</v>
      </c>
      <c r="I512" t="s">
        <v>1117</v>
      </c>
      <c r="J512" t="s">
        <v>10234</v>
      </c>
      <c r="K512" t="s">
        <v>10235</v>
      </c>
      <c r="L512" t="s">
        <v>36</v>
      </c>
      <c r="M512" t="s">
        <v>19177</v>
      </c>
      <c r="N512" t="s">
        <v>714</v>
      </c>
      <c r="O512" t="s">
        <v>10263</v>
      </c>
      <c r="P512" t="s">
        <v>12</v>
      </c>
    </row>
    <row r="513">
      <c r="A513">
        <f>HYPERLINK("http://bombeiros.sp.gov.br/hidrantes/03individual/4276.html","4276")</f>
      </c>
      <c r="B513" t="s">
        <v>623</v>
      </c>
      <c r="C513" t="s">
        <v>709</v>
      </c>
      <c r="D513" t="s">
        <v>10223</v>
      </c>
      <c r="E513" t="s">
        <v>64</v>
      </c>
      <c r="F513" t="s">
        <v>10236</v>
      </c>
      <c r="G513" t="s">
        <v>18050</v>
      </c>
      <c r="H513" t="s">
        <v>1121</v>
      </c>
      <c r="I513" t="s">
        <v>1117</v>
      </c>
      <c r="J513" t="s">
        <v>10237</v>
      </c>
      <c r="K513" t="s">
        <v>10238</v>
      </c>
      <c r="L513" t="s">
        <v>36</v>
      </c>
      <c r="M513" t="s">
        <v>19177</v>
      </c>
      <c r="N513" t="s">
        <v>714</v>
      </c>
      <c r="O513" t="s">
        <v>10263</v>
      </c>
      <c r="P513" t="s">
        <v>12</v>
      </c>
    </row>
    <row r="514">
      <c r="A514">
        <f>HYPERLINK("http://bombeiros.sp.gov.br/hidrantes/03individual/1552.html","1552")</f>
      </c>
      <c r="B514" t="s">
        <v>623</v>
      </c>
      <c r="C514" t="s">
        <v>709</v>
      </c>
      <c r="D514" t="s">
        <v>10263</v>
      </c>
      <c r="E514" t="s">
        <v>64</v>
      </c>
      <c r="F514" t="s">
        <v>10264</v>
      </c>
      <c r="G514" t="s">
        <v>17945</v>
      </c>
      <c r="H514" t="s">
        <v>1112</v>
      </c>
      <c r="I514" t="s">
        <v>1108</v>
      </c>
      <c r="J514" t="s">
        <v>10265</v>
      </c>
      <c r="K514" t="s">
        <v>10266</v>
      </c>
      <c r="L514" t="s">
        <v>36</v>
      </c>
      <c r="M514" t="s">
        <v>19177</v>
      </c>
      <c r="N514" t="s">
        <v>714</v>
      </c>
      <c r="O514" t="s">
        <v>10263</v>
      </c>
      <c r="P514" t="s">
        <v>12</v>
      </c>
    </row>
    <row r="515">
      <c r="A515">
        <f>HYPERLINK("http://bombeiros.sp.gov.br/hidrantes/03individual/1845.html","1845")</f>
      </c>
      <c r="B515" t="s">
        <v>623</v>
      </c>
      <c r="C515" t="s">
        <v>709</v>
      </c>
      <c r="D515" t="s">
        <v>10263</v>
      </c>
      <c r="E515" t="s">
        <v>64</v>
      </c>
      <c r="F515" t="s">
        <v>10267</v>
      </c>
      <c r="G515" t="s">
        <v>18151</v>
      </c>
      <c r="H515" t="s">
        <v>1112</v>
      </c>
      <c r="I515" t="s">
        <v>1108</v>
      </c>
      <c r="J515" t="s">
        <v>10268</v>
      </c>
      <c r="K515" t="s">
        <v>10269</v>
      </c>
      <c r="L515" t="s">
        <v>36</v>
      </c>
      <c r="M515" t="s">
        <v>19177</v>
      </c>
      <c r="N515" t="s">
        <v>714</v>
      </c>
      <c r="O515" t="s">
        <v>10263</v>
      </c>
      <c r="P515" t="s">
        <v>12</v>
      </c>
    </row>
    <row r="516">
      <c r="A516">
        <f>HYPERLINK("http://bombeiros.sp.gov.br/hidrantes/03individual/2095.html","2095")</f>
      </c>
      <c r="B516" t="s">
        <v>623</v>
      </c>
      <c r="C516" t="s">
        <v>709</v>
      </c>
      <c r="D516" t="s">
        <v>10263</v>
      </c>
      <c r="E516" t="s">
        <v>64</v>
      </c>
      <c r="F516" t="s">
        <v>10270</v>
      </c>
      <c r="G516" t="s">
        <v>18065</v>
      </c>
      <c r="H516" t="s">
        <v>1121</v>
      </c>
      <c r="I516" t="s">
        <v>1117</v>
      </c>
      <c r="J516" t="s">
        <v>10271</v>
      </c>
      <c r="K516" t="s">
        <v>10272</v>
      </c>
      <c r="L516" t="s">
        <v>36</v>
      </c>
      <c r="M516" t="s">
        <v>19177</v>
      </c>
      <c r="N516" t="s">
        <v>714</v>
      </c>
      <c r="O516" t="s">
        <v>10263</v>
      </c>
      <c r="P516" t="s">
        <v>12</v>
      </c>
    </row>
    <row r="517">
      <c r="A517">
        <f>HYPERLINK("http://bombeiros.sp.gov.br/hidrantes/03individual/2189.html","2189")</f>
      </c>
      <c r="B517" t="s">
        <v>623</v>
      </c>
      <c r="C517" t="s">
        <v>709</v>
      </c>
      <c r="D517" t="s">
        <v>10263</v>
      </c>
      <c r="E517" t="s">
        <v>64</v>
      </c>
      <c r="F517" t="s">
        <v>10273</v>
      </c>
      <c r="G517" t="s">
        <v>17924</v>
      </c>
      <c r="H517" t="s">
        <v>1121</v>
      </c>
      <c r="I517" t="s">
        <v>1117</v>
      </c>
      <c r="J517" t="s">
        <v>10274</v>
      </c>
      <c r="K517" t="s">
        <v>10275</v>
      </c>
      <c r="L517" t="s">
        <v>36</v>
      </c>
      <c r="M517" t="s">
        <v>19177</v>
      </c>
      <c r="N517" t="s">
        <v>714</v>
      </c>
      <c r="O517" t="s">
        <v>10263</v>
      </c>
      <c r="P517" t="s">
        <v>12</v>
      </c>
    </row>
    <row r="518">
      <c r="A518">
        <f>HYPERLINK("http://bombeiros.sp.gov.br/hidrantes/03individual/94.html","94")</f>
      </c>
      <c r="B518" t="s">
        <v>623</v>
      </c>
      <c r="C518" t="s">
        <v>709</v>
      </c>
      <c r="D518" t="s">
        <v>10263</v>
      </c>
      <c r="E518" t="s">
        <v>15</v>
      </c>
      <c r="F518" t="s">
        <v>10282</v>
      </c>
      <c r="G518" t="s">
        <v>18097</v>
      </c>
      <c r="H518" t="s">
        <v>1121</v>
      </c>
      <c r="I518" t="s">
        <v>1108</v>
      </c>
      <c r="J518" t="s">
        <v>10283</v>
      </c>
      <c r="K518" t="s">
        <v>10284</v>
      </c>
      <c r="L518" t="s">
        <v>36</v>
      </c>
      <c r="M518" t="s">
        <v>19177</v>
      </c>
      <c r="N518" t="s">
        <v>714</v>
      </c>
      <c r="O518" t="s">
        <v>10263</v>
      </c>
      <c r="P518" t="s">
        <v>12</v>
      </c>
    </row>
    <row r="519">
      <c r="A519">
        <f>HYPERLINK("http://bombeiros.sp.gov.br/hidrantes/03individual/1785.html","1785")</f>
      </c>
      <c r="B519" t="s">
        <v>623</v>
      </c>
      <c r="C519" t="s">
        <v>709</v>
      </c>
      <c r="D519" t="s">
        <v>10263</v>
      </c>
      <c r="E519" t="s">
        <v>15</v>
      </c>
      <c r="F519" t="s">
        <v>10288</v>
      </c>
      <c r="G519" t="s">
        <v>17945</v>
      </c>
      <c r="H519" t="s">
        <v>1112</v>
      </c>
      <c r="I519" t="s">
        <v>1108</v>
      </c>
      <c r="J519" t="s">
        <v>10289</v>
      </c>
      <c r="K519" t="s">
        <v>10290</v>
      </c>
      <c r="L519" t="s">
        <v>36</v>
      </c>
      <c r="M519" t="s">
        <v>19177</v>
      </c>
      <c r="N519" t="s">
        <v>714</v>
      </c>
      <c r="O519" t="s">
        <v>10263</v>
      </c>
      <c r="P519" t="s">
        <v>12</v>
      </c>
    </row>
    <row r="520">
      <c r="A520">
        <f>HYPERLINK("http://bombeiros.sp.gov.br/hidrantes/03individual/2313.html","2313")</f>
      </c>
      <c r="B520" t="s">
        <v>623</v>
      </c>
      <c r="C520" t="s">
        <v>709</v>
      </c>
      <c r="D520" t="s">
        <v>10263</v>
      </c>
      <c r="E520" t="s">
        <v>15</v>
      </c>
      <c r="F520" t="s">
        <v>10318</v>
      </c>
      <c r="G520" t="s">
        <v>18193</v>
      </c>
      <c r="H520" t="s">
        <v>1112</v>
      </c>
      <c r="I520" t="s">
        <v>1108</v>
      </c>
      <c r="J520" t="s">
        <v>10319</v>
      </c>
      <c r="K520" t="s">
        <v>10320</v>
      </c>
      <c r="L520" t="s">
        <v>36</v>
      </c>
      <c r="M520" t="s">
        <v>19177</v>
      </c>
      <c r="N520" t="s">
        <v>714</v>
      </c>
      <c r="O520" t="s">
        <v>10263</v>
      </c>
      <c r="P520" t="s">
        <v>12</v>
      </c>
    </row>
    <row r="521">
      <c r="A521">
        <f>HYPERLINK("http://bombeiros.sp.gov.br/hidrantes/03individual/2340.html","2340")</f>
      </c>
      <c r="B521" t="s">
        <v>623</v>
      </c>
      <c r="C521" t="s">
        <v>709</v>
      </c>
      <c r="D521" t="s">
        <v>710</v>
      </c>
      <c r="E521" t="s">
        <v>15</v>
      </c>
      <c r="F521" t="s">
        <v>10345</v>
      </c>
      <c r="G521" t="s">
        <v>18169</v>
      </c>
      <c r="H521" t="s">
        <v>1112</v>
      </c>
      <c r="I521" t="s">
        <v>1108</v>
      </c>
      <c r="J521" t="s">
        <v>10346</v>
      </c>
      <c r="K521" t="s">
        <v>10347</v>
      </c>
      <c r="L521" t="s">
        <v>36</v>
      </c>
      <c r="M521" t="s">
        <v>19177</v>
      </c>
      <c r="N521" t="s">
        <v>714</v>
      </c>
      <c r="O521" t="s">
        <v>10263</v>
      </c>
      <c r="P521" t="s">
        <v>12</v>
      </c>
    </row>
    <row r="522">
      <c r="A522">
        <f>HYPERLINK("http://bombeiros.sp.gov.br/hidrantes/03individual/2367.html","2367")</f>
      </c>
      <c r="B522" t="s">
        <v>623</v>
      </c>
      <c r="C522" t="s">
        <v>709</v>
      </c>
      <c r="D522" t="s">
        <v>10370</v>
      </c>
      <c r="E522" t="s">
        <v>64</v>
      </c>
      <c r="F522" t="s">
        <v>1710</v>
      </c>
      <c r="G522" t="s">
        <v>18179</v>
      </c>
      <c r="H522" t="s">
        <v>1121</v>
      </c>
      <c r="I522" t="s">
        <v>1117</v>
      </c>
      <c r="J522" t="s">
        <v>16010</v>
      </c>
      <c r="K522" t="s">
        <v>16011</v>
      </c>
      <c r="L522" t="s">
        <v>36</v>
      </c>
      <c r="M522" t="s">
        <v>19177</v>
      </c>
      <c r="N522" t="s">
        <v>714</v>
      </c>
      <c r="O522" t="s">
        <v>10263</v>
      </c>
      <c r="P522" t="s">
        <v>12</v>
      </c>
    </row>
    <row r="523">
      <c r="A523">
        <f>HYPERLINK("http://bombeiros.sp.gov.br/hidrantes/03individual/2642.html","2642")</f>
      </c>
      <c r="B523" t="s">
        <v>623</v>
      </c>
      <c r="C523" t="s">
        <v>709</v>
      </c>
      <c r="D523" t="s">
        <v>10370</v>
      </c>
      <c r="E523" t="s">
        <v>15</v>
      </c>
      <c r="F523" t="s">
        <v>10403</v>
      </c>
      <c r="G523" t="s">
        <v>18154</v>
      </c>
      <c r="H523" t="s">
        <v>1107</v>
      </c>
      <c r="I523" t="s">
        <v>1108</v>
      </c>
      <c r="J523" t="s">
        <v>10404</v>
      </c>
      <c r="K523" t="s">
        <v>10405</v>
      </c>
      <c r="L523" t="s">
        <v>36</v>
      </c>
      <c r="M523" t="s">
        <v>19177</v>
      </c>
      <c r="N523" t="s">
        <v>714</v>
      </c>
      <c r="O523" t="s">
        <v>10263</v>
      </c>
      <c r="P523" t="s">
        <v>12</v>
      </c>
    </row>
    <row r="524">
      <c r="A524">
        <f>HYPERLINK("http://bombeiros.sp.gov.br/hidrantes/03individual/1124.html","1124")</f>
      </c>
      <c r="B524" t="s">
        <v>623</v>
      </c>
      <c r="C524" t="s">
        <v>714</v>
      </c>
      <c r="D524" t="s">
        <v>714</v>
      </c>
      <c r="E524" t="s">
        <v>64</v>
      </c>
      <c r="F524" t="s">
        <v>10482</v>
      </c>
      <c r="G524" t="s">
        <v>17921</v>
      </c>
      <c r="H524" t="s">
        <v>1112</v>
      </c>
      <c r="I524" t="s">
        <v>1108</v>
      </c>
      <c r="J524" t="s">
        <v>10483</v>
      </c>
      <c r="K524" t="s">
        <v>10484</v>
      </c>
      <c r="L524" t="s">
        <v>36</v>
      </c>
      <c r="M524" t="s">
        <v>19177</v>
      </c>
      <c r="N524" t="s">
        <v>714</v>
      </c>
      <c r="O524" t="s">
        <v>10263</v>
      </c>
      <c r="P524" t="s">
        <v>12</v>
      </c>
    </row>
    <row r="525">
      <c r="A525">
        <f>HYPERLINK("http://bombeiros.sp.gov.br/hidrantes/03individual/1150.html","1150")</f>
      </c>
      <c r="B525" t="s">
        <v>623</v>
      </c>
      <c r="C525" t="s">
        <v>714</v>
      </c>
      <c r="D525" t="s">
        <v>714</v>
      </c>
      <c r="E525" t="s">
        <v>64</v>
      </c>
      <c r="F525" t="s">
        <v>10485</v>
      </c>
      <c r="G525" t="s">
        <v>17913</v>
      </c>
      <c r="H525" t="s">
        <v>1112</v>
      </c>
      <c r="I525" t="s">
        <v>1108</v>
      </c>
      <c r="J525" t="s">
        <v>10486</v>
      </c>
      <c r="K525" t="s">
        <v>10487</v>
      </c>
      <c r="L525" t="s">
        <v>36</v>
      </c>
      <c r="M525" t="s">
        <v>19177</v>
      </c>
      <c r="N525" t="s">
        <v>714</v>
      </c>
      <c r="O525" t="s">
        <v>10263</v>
      </c>
      <c r="P525" t="s">
        <v>12</v>
      </c>
    </row>
    <row r="526">
      <c r="A526">
        <f>HYPERLINK("http://bombeiros.sp.gov.br/hidrantes/03individual/1152.html","1152")</f>
      </c>
      <c r="B526" t="s">
        <v>623</v>
      </c>
      <c r="C526" t="s">
        <v>714</v>
      </c>
      <c r="D526" t="s">
        <v>714</v>
      </c>
      <c r="E526" t="s">
        <v>64</v>
      </c>
      <c r="F526" t="s">
        <v>10488</v>
      </c>
      <c r="G526" t="s">
        <v>18164</v>
      </c>
      <c r="H526" t="s">
        <v>1112</v>
      </c>
      <c r="I526" t="s">
        <v>1108</v>
      </c>
      <c r="J526" t="s">
        <v>10489</v>
      </c>
      <c r="K526" t="s">
        <v>10490</v>
      </c>
      <c r="L526" t="s">
        <v>36</v>
      </c>
      <c r="M526" t="s">
        <v>19177</v>
      </c>
      <c r="N526" t="s">
        <v>714</v>
      </c>
      <c r="O526" t="s">
        <v>10263</v>
      </c>
      <c r="P526" t="s">
        <v>12</v>
      </c>
    </row>
    <row r="527">
      <c r="A527">
        <f>HYPERLINK("http://bombeiros.sp.gov.br/hidrantes/03individual/1181.html","1181")</f>
      </c>
      <c r="B527" t="s">
        <v>623</v>
      </c>
      <c r="C527" t="s">
        <v>714</v>
      </c>
      <c r="D527" t="s">
        <v>714</v>
      </c>
      <c r="E527" t="s">
        <v>64</v>
      </c>
      <c r="F527" t="s">
        <v>10491</v>
      </c>
      <c r="G527" t="s">
        <v>18157</v>
      </c>
      <c r="H527" t="s">
        <v>1112</v>
      </c>
      <c r="I527" t="s">
        <v>1108</v>
      </c>
      <c r="J527" t="s">
        <v>10492</v>
      </c>
      <c r="K527" t="s">
        <v>10493</v>
      </c>
      <c r="L527" t="s">
        <v>36</v>
      </c>
      <c r="M527" t="s">
        <v>19177</v>
      </c>
      <c r="N527" t="s">
        <v>714</v>
      </c>
      <c r="O527" t="s">
        <v>10263</v>
      </c>
      <c r="P527" t="s">
        <v>12</v>
      </c>
    </row>
    <row r="528">
      <c r="A528">
        <f>HYPERLINK("http://bombeiros.sp.gov.br/hidrantes/03individual/1473.html","1473")</f>
      </c>
      <c r="B528" t="s">
        <v>623</v>
      </c>
      <c r="C528" t="s">
        <v>714</v>
      </c>
      <c r="D528" t="s">
        <v>714</v>
      </c>
      <c r="E528" t="s">
        <v>64</v>
      </c>
      <c r="F528" t="s">
        <v>10494</v>
      </c>
      <c r="G528" t="s">
        <v>18210</v>
      </c>
      <c r="H528" t="s">
        <v>1112</v>
      </c>
      <c r="I528" t="s">
        <v>1108</v>
      </c>
      <c r="J528" t="s">
        <v>10495</v>
      </c>
      <c r="K528" t="s">
        <v>10496</v>
      </c>
      <c r="L528" t="s">
        <v>36</v>
      </c>
      <c r="M528" t="s">
        <v>19177</v>
      </c>
      <c r="N528" t="s">
        <v>714</v>
      </c>
      <c r="O528" t="s">
        <v>10263</v>
      </c>
      <c r="P528" t="s">
        <v>12</v>
      </c>
    </row>
    <row r="529">
      <c r="A529">
        <f>HYPERLINK("http://bombeiros.sp.gov.br/hidrantes/03individual/2145.html","2145")</f>
      </c>
      <c r="B529" t="s">
        <v>623</v>
      </c>
      <c r="C529" t="s">
        <v>714</v>
      </c>
      <c r="D529" t="s">
        <v>714</v>
      </c>
      <c r="E529" t="s">
        <v>64</v>
      </c>
      <c r="F529" t="s">
        <v>10500</v>
      </c>
      <c r="G529" t="s">
        <v>18107</v>
      </c>
      <c r="H529" t="s">
        <v>1112</v>
      </c>
      <c r="I529" t="s">
        <v>1108</v>
      </c>
      <c r="J529" t="s">
        <v>10501</v>
      </c>
      <c r="K529" t="s">
        <v>10502</v>
      </c>
      <c r="L529" t="s">
        <v>36</v>
      </c>
      <c r="M529" t="s">
        <v>19177</v>
      </c>
      <c r="N529" t="s">
        <v>714</v>
      </c>
      <c r="O529" t="s">
        <v>10263</v>
      </c>
      <c r="P529" t="s">
        <v>12</v>
      </c>
    </row>
    <row r="530">
      <c r="A530">
        <f>HYPERLINK("http://bombeiros.sp.gov.br/hidrantes/03individual/2245.html","2245")</f>
      </c>
      <c r="B530" t="s">
        <v>623</v>
      </c>
      <c r="C530" t="s">
        <v>714</v>
      </c>
      <c r="D530" t="s">
        <v>714</v>
      </c>
      <c r="E530" t="s">
        <v>64</v>
      </c>
      <c r="F530" t="s">
        <v>10506</v>
      </c>
      <c r="G530" t="s">
        <v>18090</v>
      </c>
      <c r="H530" t="s">
        <v>1112</v>
      </c>
      <c r="I530" t="s">
        <v>1108</v>
      </c>
      <c r="J530" t="s">
        <v>10507</v>
      </c>
      <c r="K530" t="s">
        <v>10508</v>
      </c>
      <c r="L530" t="s">
        <v>36</v>
      </c>
      <c r="M530" t="s">
        <v>19177</v>
      </c>
      <c r="N530" t="s">
        <v>714</v>
      </c>
      <c r="O530" t="s">
        <v>10263</v>
      </c>
      <c r="P530" t="s">
        <v>12</v>
      </c>
    </row>
    <row r="531">
      <c r="A531">
        <f>HYPERLINK("http://bombeiros.sp.gov.br/hidrantes/03individual/2255.html","2255")</f>
      </c>
      <c r="B531" t="s">
        <v>623</v>
      </c>
      <c r="C531" t="s">
        <v>714</v>
      </c>
      <c r="D531" t="s">
        <v>714</v>
      </c>
      <c r="E531" t="s">
        <v>64</v>
      </c>
      <c r="F531" t="s">
        <v>10509</v>
      </c>
      <c r="G531" t="s">
        <v>18107</v>
      </c>
      <c r="H531" t="s">
        <v>1112</v>
      </c>
      <c r="I531" t="s">
        <v>1108</v>
      </c>
      <c r="J531" t="s">
        <v>10510</v>
      </c>
      <c r="K531" t="s">
        <v>10511</v>
      </c>
      <c r="L531" t="s">
        <v>36</v>
      </c>
      <c r="M531" t="s">
        <v>19177</v>
      </c>
      <c r="N531" t="s">
        <v>714</v>
      </c>
      <c r="O531" t="s">
        <v>10263</v>
      </c>
      <c r="P531" t="s">
        <v>12</v>
      </c>
    </row>
    <row r="532">
      <c r="A532">
        <f>HYPERLINK("http://bombeiros.sp.gov.br/hidrantes/03individual/1126.html","1126")</f>
      </c>
      <c r="B532" t="s">
        <v>623</v>
      </c>
      <c r="C532" t="s">
        <v>714</v>
      </c>
      <c r="D532" t="s">
        <v>714</v>
      </c>
      <c r="E532" t="s">
        <v>15</v>
      </c>
      <c r="F532" t="s">
        <v>10539</v>
      </c>
      <c r="G532" t="s">
        <v>18107</v>
      </c>
      <c r="H532" t="s">
        <v>1112</v>
      </c>
      <c r="I532" t="s">
        <v>1108</v>
      </c>
      <c r="J532" t="s">
        <v>10540</v>
      </c>
      <c r="K532" t="s">
        <v>10541</v>
      </c>
      <c r="L532" t="s">
        <v>36</v>
      </c>
      <c r="M532" t="s">
        <v>19177</v>
      </c>
      <c r="N532" t="s">
        <v>714</v>
      </c>
      <c r="O532" t="s">
        <v>10263</v>
      </c>
      <c r="P532" t="s">
        <v>12</v>
      </c>
    </row>
    <row r="533">
      <c r="A533">
        <f>HYPERLINK("http://bombeiros.sp.gov.br/hidrantes/03individual/2172.html","2172")</f>
      </c>
      <c r="B533" t="s">
        <v>623</v>
      </c>
      <c r="C533" t="s">
        <v>714</v>
      </c>
      <c r="D533" t="s">
        <v>714</v>
      </c>
      <c r="E533" t="s">
        <v>15</v>
      </c>
      <c r="F533" t="s">
        <v>10598</v>
      </c>
      <c r="G533" t="s">
        <v>18090</v>
      </c>
      <c r="H533" t="s">
        <v>1112</v>
      </c>
      <c r="I533" t="s">
        <v>1108</v>
      </c>
      <c r="J533" t="s">
        <v>10599</v>
      </c>
      <c r="K533" t="s">
        <v>10600</v>
      </c>
      <c r="L533" t="s">
        <v>36</v>
      </c>
      <c r="M533" t="s">
        <v>19177</v>
      </c>
      <c r="N533" t="s">
        <v>714</v>
      </c>
      <c r="O533" t="s">
        <v>10263</v>
      </c>
      <c r="P533" t="s">
        <v>12</v>
      </c>
    </row>
    <row r="534">
      <c r="A534">
        <f>HYPERLINK("http://bombeiros.sp.gov.br/hidrantes/03individual/1471.html","1471")</f>
      </c>
      <c r="B534" t="s">
        <v>623</v>
      </c>
      <c r="C534" t="s">
        <v>714</v>
      </c>
      <c r="D534" t="s">
        <v>10655</v>
      </c>
      <c r="E534" t="s">
        <v>64</v>
      </c>
      <c r="F534" t="s">
        <v>10659</v>
      </c>
      <c r="G534" t="s">
        <v>18156</v>
      </c>
      <c r="H534" t="s">
        <v>1112</v>
      </c>
      <c r="I534" t="s">
        <v>1108</v>
      </c>
      <c r="J534" t="s">
        <v>10660</v>
      </c>
      <c r="K534" t="s">
        <v>10661</v>
      </c>
      <c r="L534" t="s">
        <v>36</v>
      </c>
      <c r="M534" t="s">
        <v>19177</v>
      </c>
      <c r="N534" t="s">
        <v>714</v>
      </c>
      <c r="O534" t="s">
        <v>10263</v>
      </c>
      <c r="P534" t="s">
        <v>12</v>
      </c>
    </row>
    <row r="535">
      <c r="A535">
        <f>HYPERLINK("http://bombeiros.sp.gov.br/hidrantes/03individual/2279.html","2279")</f>
      </c>
      <c r="B535" t="s">
        <v>623</v>
      </c>
      <c r="C535" t="s">
        <v>714</v>
      </c>
      <c r="D535" t="s">
        <v>10655</v>
      </c>
      <c r="E535" t="s">
        <v>15</v>
      </c>
      <c r="F535" t="s">
        <v>10704</v>
      </c>
      <c r="G535" t="s">
        <v>18129</v>
      </c>
      <c r="H535" t="s">
        <v>1112</v>
      </c>
      <c r="I535" t="s">
        <v>1108</v>
      </c>
      <c r="J535" t="s">
        <v>10705</v>
      </c>
      <c r="K535" t="s">
        <v>10706</v>
      </c>
      <c r="L535" t="s">
        <v>36</v>
      </c>
      <c r="M535" t="s">
        <v>19177</v>
      </c>
      <c r="N535" t="s">
        <v>714</v>
      </c>
      <c r="O535" t="s">
        <v>10263</v>
      </c>
      <c r="P535" t="s">
        <v>12</v>
      </c>
    </row>
    <row r="536">
      <c r="A536">
        <f>HYPERLINK("http://bombeiros.sp.gov.br/hidrantes/03individual/1179.html","1179")</f>
      </c>
      <c r="B536" t="s">
        <v>623</v>
      </c>
      <c r="C536" t="s">
        <v>714</v>
      </c>
      <c r="D536" t="s">
        <v>737</v>
      </c>
      <c r="E536" t="s">
        <v>64</v>
      </c>
      <c r="F536" t="s">
        <v>10757</v>
      </c>
      <c r="G536" t="s">
        <v>17927</v>
      </c>
      <c r="H536" t="s">
        <v>1112</v>
      </c>
      <c r="I536" t="s">
        <v>1108</v>
      </c>
      <c r="J536" t="s">
        <v>10758</v>
      </c>
      <c r="K536" t="s">
        <v>10759</v>
      </c>
      <c r="L536" t="s">
        <v>36</v>
      </c>
      <c r="M536" t="s">
        <v>19177</v>
      </c>
      <c r="N536" t="s">
        <v>714</v>
      </c>
      <c r="O536" t="s">
        <v>10263</v>
      </c>
      <c r="P536" t="s">
        <v>12</v>
      </c>
    </row>
    <row r="537">
      <c r="A537">
        <f>HYPERLINK("http://bombeiros.sp.gov.br/hidrantes/03individual/1722.html","1722")</f>
      </c>
      <c r="B537" t="s">
        <v>623</v>
      </c>
      <c r="C537" t="s">
        <v>714</v>
      </c>
      <c r="D537" t="s">
        <v>737</v>
      </c>
      <c r="E537" t="s">
        <v>64</v>
      </c>
      <c r="F537" t="s">
        <v>10763</v>
      </c>
      <c r="G537" t="s">
        <v>18151</v>
      </c>
      <c r="H537" t="s">
        <v>1107</v>
      </c>
      <c r="I537" t="s">
        <v>1108</v>
      </c>
      <c r="J537" t="s">
        <v>10764</v>
      </c>
      <c r="K537" t="s">
        <v>10765</v>
      </c>
      <c r="L537" t="s">
        <v>36</v>
      </c>
      <c r="M537" t="s">
        <v>19177</v>
      </c>
      <c r="N537" t="s">
        <v>714</v>
      </c>
      <c r="O537" t="s">
        <v>10263</v>
      </c>
      <c r="P537" t="s">
        <v>12</v>
      </c>
    </row>
    <row r="538">
      <c r="A538">
        <f>HYPERLINK("http://bombeiros.sp.gov.br/hidrantes/03individual/2174.html","2174")</f>
      </c>
      <c r="B538" t="s">
        <v>623</v>
      </c>
      <c r="C538" t="s">
        <v>714</v>
      </c>
      <c r="D538" t="s">
        <v>737</v>
      </c>
      <c r="E538" t="s">
        <v>15</v>
      </c>
      <c r="F538" t="s">
        <v>10796</v>
      </c>
      <c r="G538" t="s">
        <v>18151</v>
      </c>
      <c r="H538" t="s">
        <v>1112</v>
      </c>
      <c r="I538" t="s">
        <v>1108</v>
      </c>
      <c r="J538" t="s">
        <v>10797</v>
      </c>
      <c r="K538" t="s">
        <v>10798</v>
      </c>
      <c r="L538" t="s">
        <v>36</v>
      </c>
      <c r="M538" t="s">
        <v>19177</v>
      </c>
      <c r="N538" t="s">
        <v>714</v>
      </c>
      <c r="O538" t="s">
        <v>10263</v>
      </c>
      <c r="P538" t="s">
        <v>12</v>
      </c>
    </row>
    <row r="539">
      <c r="A539">
        <f>HYPERLINK("http://bombeiros.sp.gov.br/hidrantes/03individual/4436.html","4436")</f>
      </c>
      <c r="B539" t="s">
        <v>623</v>
      </c>
      <c r="C539" t="s">
        <v>742</v>
      </c>
      <c r="D539" t="s">
        <v>743</v>
      </c>
      <c r="E539" t="s">
        <v>64</v>
      </c>
      <c r="F539" t="s">
        <v>10829</v>
      </c>
      <c r="G539" t="s">
        <v>18089</v>
      </c>
      <c r="H539" t="s">
        <v>1112</v>
      </c>
      <c r="I539" t="s">
        <v>1108</v>
      </c>
      <c r="J539" t="s">
        <v>10830</v>
      </c>
      <c r="K539" t="s">
        <v>10831</v>
      </c>
      <c r="L539" t="s">
        <v>36</v>
      </c>
      <c r="M539" t="s">
        <v>19177</v>
      </c>
      <c r="N539" t="s">
        <v>16375</v>
      </c>
      <c r="O539" t="s">
        <v>640</v>
      </c>
      <c r="P539" t="s">
        <v>623</v>
      </c>
    </row>
    <row r="540">
      <c r="A540">
        <f>HYPERLINK("http://bombeiros.sp.gov.br/hidrantes/03individual/2317.html","2317")</f>
      </c>
      <c r="B540" t="s">
        <v>623</v>
      </c>
      <c r="C540" t="s">
        <v>742</v>
      </c>
      <c r="D540" t="s">
        <v>743</v>
      </c>
      <c r="E540" t="s">
        <v>15</v>
      </c>
      <c r="F540" t="s">
        <v>10835</v>
      </c>
      <c r="G540" t="s">
        <v>18063</v>
      </c>
      <c r="H540" t="s">
        <v>1107</v>
      </c>
      <c r="I540" t="s">
        <v>1108</v>
      </c>
      <c r="J540" t="s">
        <v>10836</v>
      </c>
      <c r="K540" t="s">
        <v>10837</v>
      </c>
      <c r="L540" t="s">
        <v>36</v>
      </c>
      <c r="M540" t="s">
        <v>19177</v>
      </c>
      <c r="N540" t="s">
        <v>16375</v>
      </c>
      <c r="O540" t="s">
        <v>640</v>
      </c>
      <c r="P540" t="s">
        <v>623</v>
      </c>
    </row>
    <row r="541">
      <c r="A541">
        <f>HYPERLINK("http://bombeiros.sp.gov.br/hidrantes/03individual/1350.html","1350")</f>
      </c>
      <c r="B541" t="s">
        <v>623</v>
      </c>
      <c r="C541" t="s">
        <v>742</v>
      </c>
      <c r="D541" t="s">
        <v>751</v>
      </c>
      <c r="E541" t="s">
        <v>64</v>
      </c>
      <c r="F541" t="s">
        <v>10850</v>
      </c>
      <c r="G541" t="s">
        <v>18089</v>
      </c>
      <c r="H541" t="s">
        <v>1112</v>
      </c>
      <c r="I541" t="s">
        <v>1108</v>
      </c>
      <c r="J541" t="s">
        <v>10851</v>
      </c>
      <c r="K541" t="s">
        <v>10852</v>
      </c>
      <c r="L541" t="s">
        <v>36</v>
      </c>
      <c r="M541" t="s">
        <v>19177</v>
      </c>
      <c r="N541" t="s">
        <v>16375</v>
      </c>
      <c r="O541" t="s">
        <v>640</v>
      </c>
      <c r="P541" t="s">
        <v>623</v>
      </c>
    </row>
    <row r="542">
      <c r="A542">
        <f>HYPERLINK("http://bombeiros.sp.gov.br/hidrantes/03individual/1401.html","1401")</f>
      </c>
      <c r="B542" t="s">
        <v>623</v>
      </c>
      <c r="C542" t="s">
        <v>742</v>
      </c>
      <c r="D542" t="s">
        <v>751</v>
      </c>
      <c r="E542" t="s">
        <v>15</v>
      </c>
      <c r="F542" t="s">
        <v>10859</v>
      </c>
      <c r="G542" t="s">
        <v>18034</v>
      </c>
      <c r="H542" t="s">
        <v>1121</v>
      </c>
      <c r="I542" t="s">
        <v>1117</v>
      </c>
      <c r="J542" t="s">
        <v>15902</v>
      </c>
      <c r="K542" t="s">
        <v>15903</v>
      </c>
      <c r="L542" t="s">
        <v>36</v>
      </c>
      <c r="M542" t="s">
        <v>19177</v>
      </c>
      <c r="N542" t="s">
        <v>16375</v>
      </c>
      <c r="O542" t="s">
        <v>640</v>
      </c>
      <c r="P542" t="s">
        <v>623</v>
      </c>
    </row>
    <row r="543">
      <c r="A543">
        <f>HYPERLINK("http://bombeiros.sp.gov.br/hidrantes/03individual/2264.html","2264")</f>
      </c>
      <c r="B543" t="s">
        <v>623</v>
      </c>
      <c r="C543" t="s">
        <v>742</v>
      </c>
      <c r="D543" t="s">
        <v>765</v>
      </c>
      <c r="E543" t="s">
        <v>64</v>
      </c>
      <c r="F543" t="s">
        <v>10916</v>
      </c>
      <c r="G543" t="s">
        <v>17903</v>
      </c>
      <c r="H543" t="s">
        <v>1121</v>
      </c>
      <c r="I543" t="s">
        <v>1117</v>
      </c>
      <c r="J543" t="s">
        <v>10917</v>
      </c>
      <c r="K543" t="s">
        <v>10918</v>
      </c>
      <c r="L543" t="s">
        <v>36</v>
      </c>
      <c r="M543" t="s">
        <v>19177</v>
      </c>
      <c r="N543" t="s">
        <v>16375</v>
      </c>
      <c r="O543" t="s">
        <v>640</v>
      </c>
      <c r="P543" t="s">
        <v>623</v>
      </c>
    </row>
    <row r="544">
      <c r="A544">
        <f>HYPERLINK("http://bombeiros.sp.gov.br/hidrantes/03individual/252.html","252")</f>
      </c>
      <c r="B544" t="s">
        <v>623</v>
      </c>
      <c r="C544" t="s">
        <v>773</v>
      </c>
      <c r="D544" t="s">
        <v>10943</v>
      </c>
      <c r="E544" t="s">
        <v>64</v>
      </c>
      <c r="F544" t="s">
        <v>10944</v>
      </c>
      <c r="G544" t="s">
        <v>18114</v>
      </c>
      <c r="H544" t="s">
        <v>1121</v>
      </c>
      <c r="I544" t="s">
        <v>1117</v>
      </c>
      <c r="J544" t="s">
        <v>10945</v>
      </c>
      <c r="K544" t="s">
        <v>10946</v>
      </c>
      <c r="L544" t="s">
        <v>36</v>
      </c>
      <c r="M544" t="s">
        <v>19177</v>
      </c>
      <c r="N544" t="s">
        <v>714</v>
      </c>
      <c r="O544" t="s">
        <v>10263</v>
      </c>
      <c r="P544" t="s">
        <v>12</v>
      </c>
    </row>
    <row r="545">
      <c r="A545">
        <f>HYPERLINK("http://bombeiros.sp.gov.br/hidrantes/03individual/1628.html","1628")</f>
      </c>
      <c r="B545" t="s">
        <v>623</v>
      </c>
      <c r="C545" t="s">
        <v>773</v>
      </c>
      <c r="D545" t="s">
        <v>773</v>
      </c>
      <c r="E545" t="s">
        <v>64</v>
      </c>
      <c r="F545" t="s">
        <v>10974</v>
      </c>
      <c r="G545" t="s">
        <v>18160</v>
      </c>
      <c r="H545" t="s">
        <v>1112</v>
      </c>
      <c r="I545" t="s">
        <v>1108</v>
      </c>
      <c r="J545" t="s">
        <v>10975</v>
      </c>
      <c r="K545" t="s">
        <v>10976</v>
      </c>
      <c r="L545" t="s">
        <v>36</v>
      </c>
      <c r="M545" t="s">
        <v>19177</v>
      </c>
      <c r="N545" t="s">
        <v>714</v>
      </c>
      <c r="O545" t="s">
        <v>10263</v>
      </c>
      <c r="P545" t="s">
        <v>12</v>
      </c>
    </row>
    <row r="546">
      <c r="A546">
        <f>HYPERLINK("http://bombeiros.sp.gov.br/hidrantes/03individual/1630.html","1630")</f>
      </c>
      <c r="B546" t="s">
        <v>623</v>
      </c>
      <c r="C546" t="s">
        <v>773</v>
      </c>
      <c r="D546" t="s">
        <v>773</v>
      </c>
      <c r="E546" t="s">
        <v>64</v>
      </c>
      <c r="F546" t="s">
        <v>10977</v>
      </c>
      <c r="G546" t="s">
        <v>18160</v>
      </c>
      <c r="H546" t="s">
        <v>1121</v>
      </c>
      <c r="I546" t="s">
        <v>1117</v>
      </c>
      <c r="J546" t="s">
        <v>10978</v>
      </c>
      <c r="K546" t="s">
        <v>10979</v>
      </c>
      <c r="L546" t="s">
        <v>36</v>
      </c>
      <c r="M546" t="s">
        <v>19177</v>
      </c>
      <c r="N546" t="s">
        <v>714</v>
      </c>
      <c r="O546" t="s">
        <v>10263</v>
      </c>
      <c r="P546" t="s">
        <v>12</v>
      </c>
    </row>
    <row r="547">
      <c r="A547">
        <f>HYPERLINK("http://bombeiros.sp.gov.br/hidrantes/03individual/2207.html","2207")</f>
      </c>
      <c r="B547" t="s">
        <v>623</v>
      </c>
      <c r="C547" t="s">
        <v>773</v>
      </c>
      <c r="D547" t="s">
        <v>773</v>
      </c>
      <c r="E547" t="s">
        <v>64</v>
      </c>
      <c r="F547" t="s">
        <v>10980</v>
      </c>
      <c r="G547" t="s">
        <v>17914</v>
      </c>
      <c r="H547" t="s">
        <v>1112</v>
      </c>
      <c r="I547" t="s">
        <v>1108</v>
      </c>
      <c r="J547" t="s">
        <v>10981</v>
      </c>
      <c r="K547" t="s">
        <v>10982</v>
      </c>
      <c r="L547" t="s">
        <v>36</v>
      </c>
      <c r="M547" t="s">
        <v>19177</v>
      </c>
      <c r="N547" t="s">
        <v>714</v>
      </c>
      <c r="O547" t="s">
        <v>10263</v>
      </c>
      <c r="P547" t="s">
        <v>12</v>
      </c>
    </row>
    <row r="548">
      <c r="A548">
        <f>HYPERLINK("http://bombeiros.sp.gov.br/hidrantes/03individual/1625.html","1625")</f>
      </c>
      <c r="B548" t="s">
        <v>623</v>
      </c>
      <c r="C548" t="s">
        <v>773</v>
      </c>
      <c r="D548" t="s">
        <v>10710</v>
      </c>
      <c r="E548" t="s">
        <v>64</v>
      </c>
      <c r="F548" t="s">
        <v>11019</v>
      </c>
      <c r="G548" t="s">
        <v>18160</v>
      </c>
      <c r="H548" t="s">
        <v>1112</v>
      </c>
      <c r="I548" t="s">
        <v>1108</v>
      </c>
      <c r="J548" t="s">
        <v>11020</v>
      </c>
      <c r="K548" t="s">
        <v>11021</v>
      </c>
      <c r="L548" t="s">
        <v>36</v>
      </c>
      <c r="M548" t="s">
        <v>19177</v>
      </c>
      <c r="N548" t="s">
        <v>714</v>
      </c>
      <c r="O548" t="s">
        <v>10263</v>
      </c>
      <c r="P548" t="s">
        <v>12</v>
      </c>
    </row>
    <row r="549">
      <c r="A549">
        <f>HYPERLINK("http://bombeiros.sp.gov.br/hidrantes/03individual/97.html","97")</f>
      </c>
      <c r="B549" t="s">
        <v>623</v>
      </c>
      <c r="C549" t="s">
        <v>773</v>
      </c>
      <c r="D549" t="s">
        <v>11031</v>
      </c>
      <c r="E549" t="s">
        <v>64</v>
      </c>
      <c r="F549" t="s">
        <v>11032</v>
      </c>
      <c r="G549" t="s">
        <v>18114</v>
      </c>
      <c r="H549" t="s">
        <v>1112</v>
      </c>
      <c r="I549" t="s">
        <v>1108</v>
      </c>
      <c r="J549" t="s">
        <v>11033</v>
      </c>
      <c r="K549" t="s">
        <v>11034</v>
      </c>
      <c r="L549" t="s">
        <v>36</v>
      </c>
      <c r="M549" t="s">
        <v>19177</v>
      </c>
      <c r="N549" t="s">
        <v>714</v>
      </c>
      <c r="O549" t="s">
        <v>10263</v>
      </c>
      <c r="P549" t="s">
        <v>12</v>
      </c>
    </row>
    <row r="550">
      <c r="A550">
        <f>HYPERLINK("http://bombeiros.sp.gov.br/hidrantes/03individual/2216.html","2216")</f>
      </c>
      <c r="B550" t="s">
        <v>623</v>
      </c>
      <c r="C550" t="s">
        <v>773</v>
      </c>
      <c r="D550" t="s">
        <v>11031</v>
      </c>
      <c r="E550" t="s">
        <v>64</v>
      </c>
      <c r="F550" t="s">
        <v>11035</v>
      </c>
      <c r="G550" t="s">
        <v>18110</v>
      </c>
      <c r="H550" t="s">
        <v>1112</v>
      </c>
      <c r="I550" t="s">
        <v>1108</v>
      </c>
      <c r="J550" t="s">
        <v>11036</v>
      </c>
      <c r="K550" t="s">
        <v>11037</v>
      </c>
      <c r="L550" t="s">
        <v>36</v>
      </c>
      <c r="M550" t="s">
        <v>19177</v>
      </c>
      <c r="N550" t="s">
        <v>714</v>
      </c>
      <c r="O550" t="s">
        <v>10263</v>
      </c>
      <c r="P550" t="s">
        <v>12</v>
      </c>
    </row>
    <row r="551">
      <c r="A551">
        <f>HYPERLINK("http://bombeiros.sp.gov.br/hidrantes/03individual/2103.html","2103")</f>
      </c>
      <c r="B551" t="s">
        <v>623</v>
      </c>
      <c r="C551" t="s">
        <v>773</v>
      </c>
      <c r="D551" t="s">
        <v>11074</v>
      </c>
      <c r="E551" t="s">
        <v>64</v>
      </c>
      <c r="F551" t="s">
        <v>11075</v>
      </c>
      <c r="G551" t="s">
        <v>18157</v>
      </c>
      <c r="H551" t="s">
        <v>1112</v>
      </c>
      <c r="I551" t="s">
        <v>1108</v>
      </c>
      <c r="J551" t="s">
        <v>11076</v>
      </c>
      <c r="K551" t="s">
        <v>11077</v>
      </c>
      <c r="L551" t="s">
        <v>36</v>
      </c>
      <c r="M551" t="s">
        <v>19177</v>
      </c>
      <c r="N551" t="s">
        <v>714</v>
      </c>
      <c r="O551" t="s">
        <v>10263</v>
      </c>
      <c r="P551" t="s">
        <v>12</v>
      </c>
    </row>
    <row r="552">
      <c r="A552">
        <f>HYPERLINK("http://bombeiros.sp.gov.br/hidrantes/03individual/2244.html","2244")</f>
      </c>
      <c r="B552" t="s">
        <v>623</v>
      </c>
      <c r="C552" t="s">
        <v>773</v>
      </c>
      <c r="D552" t="s">
        <v>11074</v>
      </c>
      <c r="E552" t="s">
        <v>64</v>
      </c>
      <c r="F552" t="s">
        <v>11078</v>
      </c>
      <c r="G552" t="s">
        <v>18157</v>
      </c>
      <c r="H552" t="s">
        <v>1112</v>
      </c>
      <c r="I552" t="s">
        <v>1108</v>
      </c>
      <c r="J552" t="s">
        <v>11079</v>
      </c>
      <c r="K552" t="s">
        <v>11080</v>
      </c>
      <c r="L552" t="s">
        <v>36</v>
      </c>
      <c r="M552" t="s">
        <v>19177</v>
      </c>
      <c r="N552" t="s">
        <v>714</v>
      </c>
      <c r="O552" t="s">
        <v>10263</v>
      </c>
      <c r="P552" t="s">
        <v>12</v>
      </c>
    </row>
    <row r="553">
      <c r="A553">
        <f>HYPERLINK("http://bombeiros.sp.gov.br/hidrantes/03individual/1539.html","1539")</f>
      </c>
      <c r="B553" t="s">
        <v>623</v>
      </c>
      <c r="C553" t="s">
        <v>773</v>
      </c>
      <c r="D553" t="s">
        <v>11124</v>
      </c>
      <c r="E553" t="s">
        <v>64</v>
      </c>
      <c r="F553" t="s">
        <v>11125</v>
      </c>
      <c r="G553" t="s">
        <v>18114</v>
      </c>
      <c r="H553" t="s">
        <v>1112</v>
      </c>
      <c r="I553" t="s">
        <v>1108</v>
      </c>
      <c r="J553" t="s">
        <v>11126</v>
      </c>
      <c r="K553" t="s">
        <v>11127</v>
      </c>
      <c r="L553" t="s">
        <v>36</v>
      </c>
      <c r="M553" t="s">
        <v>19177</v>
      </c>
      <c r="N553" t="s">
        <v>714</v>
      </c>
      <c r="O553" t="s">
        <v>10263</v>
      </c>
      <c r="P553" t="s">
        <v>12</v>
      </c>
    </row>
    <row r="554">
      <c r="A554">
        <f>HYPERLINK("http://bombeiros.sp.gov.br/hidrantes/03individual/1643.html","1643")</f>
      </c>
      <c r="B554" t="s">
        <v>623</v>
      </c>
      <c r="C554" t="s">
        <v>777</v>
      </c>
      <c r="D554" t="s">
        <v>778</v>
      </c>
      <c r="E554" t="s">
        <v>64</v>
      </c>
      <c r="F554" t="s">
        <v>11143</v>
      </c>
      <c r="G554" t="s">
        <v>18044</v>
      </c>
      <c r="H554" t="s">
        <v>1121</v>
      </c>
      <c r="I554" t="s">
        <v>1117</v>
      </c>
      <c r="J554" t="s">
        <v>11144</v>
      </c>
      <c r="K554" t="s">
        <v>11145</v>
      </c>
      <c r="L554" t="s">
        <v>36</v>
      </c>
      <c r="M554" t="s">
        <v>19177</v>
      </c>
      <c r="N554" t="s">
        <v>714</v>
      </c>
      <c r="O554" t="s">
        <v>10263</v>
      </c>
      <c r="P554" t="s">
        <v>12</v>
      </c>
    </row>
    <row r="555">
      <c r="A555">
        <f>HYPERLINK("http://bombeiros.sp.gov.br/hidrantes/03individual/1667.html","1667")</f>
      </c>
      <c r="B555" t="s">
        <v>623</v>
      </c>
      <c r="C555" t="s">
        <v>777</v>
      </c>
      <c r="D555" t="s">
        <v>778</v>
      </c>
      <c r="E555" t="s">
        <v>64</v>
      </c>
      <c r="F555" t="s">
        <v>11149</v>
      </c>
      <c r="G555" t="s">
        <v>18091</v>
      </c>
      <c r="H555" t="s">
        <v>1112</v>
      </c>
      <c r="I555" t="s">
        <v>1108</v>
      </c>
      <c r="J555" t="s">
        <v>11150</v>
      </c>
      <c r="K555" t="s">
        <v>11151</v>
      </c>
      <c r="L555" t="s">
        <v>36</v>
      </c>
      <c r="M555" t="s">
        <v>19177</v>
      </c>
      <c r="N555" t="s">
        <v>714</v>
      </c>
      <c r="O555" t="s">
        <v>10263</v>
      </c>
      <c r="P555" t="s">
        <v>12</v>
      </c>
    </row>
    <row r="556">
      <c r="A556">
        <f>HYPERLINK("http://bombeiros.sp.gov.br/hidrantes/03individual/1686.html","1686")</f>
      </c>
      <c r="B556" t="s">
        <v>623</v>
      </c>
      <c r="C556" t="s">
        <v>777</v>
      </c>
      <c r="D556" t="s">
        <v>778</v>
      </c>
      <c r="E556" t="s">
        <v>64</v>
      </c>
      <c r="F556" t="s">
        <v>11155</v>
      </c>
      <c r="G556" t="s">
        <v>18044</v>
      </c>
      <c r="H556" t="s">
        <v>1107</v>
      </c>
      <c r="I556" t="s">
        <v>1108</v>
      </c>
      <c r="J556" t="s">
        <v>11156</v>
      </c>
      <c r="K556" t="s">
        <v>11157</v>
      </c>
      <c r="L556" t="s">
        <v>36</v>
      </c>
      <c r="M556" t="s">
        <v>19177</v>
      </c>
      <c r="N556" t="s">
        <v>714</v>
      </c>
      <c r="O556" t="s">
        <v>10263</v>
      </c>
      <c r="P556" t="s">
        <v>12</v>
      </c>
    </row>
    <row r="557">
      <c r="A557">
        <f>HYPERLINK("http://bombeiros.sp.gov.br/hidrantes/03individual/1893.html","1893")</f>
      </c>
      <c r="B557" t="s">
        <v>623</v>
      </c>
      <c r="C557" t="s">
        <v>777</v>
      </c>
      <c r="D557" t="s">
        <v>783</v>
      </c>
      <c r="E557" t="s">
        <v>64</v>
      </c>
      <c r="F557" t="s">
        <v>11203</v>
      </c>
      <c r="G557" t="s">
        <v>18085</v>
      </c>
      <c r="H557" t="s">
        <v>1112</v>
      </c>
      <c r="I557" t="s">
        <v>1108</v>
      </c>
      <c r="J557" t="s">
        <v>11204</v>
      </c>
      <c r="K557" t="s">
        <v>11205</v>
      </c>
      <c r="L557" t="s">
        <v>36</v>
      </c>
      <c r="M557" t="s">
        <v>19177</v>
      </c>
      <c r="N557" t="s">
        <v>714</v>
      </c>
      <c r="O557" t="s">
        <v>10263</v>
      </c>
      <c r="P557" t="s">
        <v>12</v>
      </c>
    </row>
    <row r="558">
      <c r="A558">
        <f>HYPERLINK("http://bombeiros.sp.gov.br/hidrantes/03individual/1907.html","1907")</f>
      </c>
      <c r="B558" t="s">
        <v>623</v>
      </c>
      <c r="C558" t="s">
        <v>777</v>
      </c>
      <c r="D558" t="s">
        <v>783</v>
      </c>
      <c r="E558" t="s">
        <v>64</v>
      </c>
      <c r="F558" t="s">
        <v>11206</v>
      </c>
      <c r="G558" t="s">
        <v>18147</v>
      </c>
      <c r="H558" t="s">
        <v>1112</v>
      </c>
      <c r="I558" t="s">
        <v>1108</v>
      </c>
      <c r="J558" t="s">
        <v>11207</v>
      </c>
      <c r="K558" t="s">
        <v>11208</v>
      </c>
      <c r="L558" t="s">
        <v>36</v>
      </c>
      <c r="M558" t="s">
        <v>19177</v>
      </c>
      <c r="N558" t="s">
        <v>714</v>
      </c>
      <c r="O558" t="s">
        <v>10263</v>
      </c>
      <c r="P558" t="s">
        <v>12</v>
      </c>
    </row>
    <row r="559">
      <c r="A559">
        <f>HYPERLINK("http://bombeiros.sp.gov.br/hidrantes/03individual/1917.html","1917")</f>
      </c>
      <c r="B559" t="s">
        <v>623</v>
      </c>
      <c r="C559" t="s">
        <v>777</v>
      </c>
      <c r="D559" t="s">
        <v>783</v>
      </c>
      <c r="E559" t="s">
        <v>64</v>
      </c>
      <c r="F559" t="s">
        <v>11209</v>
      </c>
      <c r="G559" t="s">
        <v>18085</v>
      </c>
      <c r="H559" t="s">
        <v>1121</v>
      </c>
      <c r="I559" t="s">
        <v>1117</v>
      </c>
      <c r="J559" t="s">
        <v>11210</v>
      </c>
      <c r="K559" t="s">
        <v>11211</v>
      </c>
      <c r="L559" t="s">
        <v>36</v>
      </c>
      <c r="M559" t="s">
        <v>19177</v>
      </c>
      <c r="N559" t="s">
        <v>714</v>
      </c>
      <c r="O559" t="s">
        <v>10263</v>
      </c>
      <c r="P559" t="s">
        <v>12</v>
      </c>
    </row>
    <row r="560">
      <c r="A560">
        <f>HYPERLINK("http://bombeiros.sp.gov.br/hidrantes/03individual/2147.html","2147")</f>
      </c>
      <c r="B560" t="s">
        <v>623</v>
      </c>
      <c r="C560" t="s">
        <v>777</v>
      </c>
      <c r="D560" t="s">
        <v>783</v>
      </c>
      <c r="E560" t="s">
        <v>64</v>
      </c>
      <c r="F560" t="s">
        <v>11212</v>
      </c>
      <c r="G560" t="s">
        <v>18085</v>
      </c>
      <c r="H560" t="s">
        <v>1112</v>
      </c>
      <c r="I560" t="s">
        <v>1108</v>
      </c>
      <c r="J560" t="s">
        <v>11213</v>
      </c>
      <c r="K560" t="s">
        <v>11214</v>
      </c>
      <c r="L560" t="s">
        <v>36</v>
      </c>
      <c r="M560" t="s">
        <v>19177</v>
      </c>
      <c r="N560" t="s">
        <v>714</v>
      </c>
      <c r="O560" t="s">
        <v>10263</v>
      </c>
      <c r="P560" t="s">
        <v>12</v>
      </c>
    </row>
    <row r="561">
      <c r="A561">
        <f>HYPERLINK("http://bombeiros.sp.gov.br/hidrantes/03individual/2243.html","2243")</f>
      </c>
      <c r="B561" t="s">
        <v>623</v>
      </c>
      <c r="C561" t="s">
        <v>777</v>
      </c>
      <c r="D561" t="s">
        <v>783</v>
      </c>
      <c r="E561" t="s">
        <v>64</v>
      </c>
      <c r="F561" t="s">
        <v>11215</v>
      </c>
      <c r="G561" t="s">
        <v>18057</v>
      </c>
      <c r="H561" t="s">
        <v>1112</v>
      </c>
      <c r="I561" t="s">
        <v>1108</v>
      </c>
      <c r="J561" t="s">
        <v>11216</v>
      </c>
      <c r="K561" t="s">
        <v>11217</v>
      </c>
      <c r="L561" t="s">
        <v>36</v>
      </c>
      <c r="M561" t="s">
        <v>19177</v>
      </c>
      <c r="N561" t="s">
        <v>714</v>
      </c>
      <c r="O561" t="s">
        <v>10263</v>
      </c>
      <c r="P561" t="s">
        <v>12</v>
      </c>
    </row>
    <row r="562">
      <c r="A562">
        <f>HYPERLINK("http://bombeiros.sp.gov.br/hidrantes/03individual/2391.html","2391")</f>
      </c>
      <c r="B562" t="s">
        <v>623</v>
      </c>
      <c r="C562" t="s">
        <v>777</v>
      </c>
      <c r="D562" t="s">
        <v>783</v>
      </c>
      <c r="E562" t="s">
        <v>64</v>
      </c>
      <c r="F562" t="s">
        <v>11218</v>
      </c>
      <c r="G562" t="s">
        <v>18085</v>
      </c>
      <c r="H562" t="s">
        <v>1112</v>
      </c>
      <c r="I562" t="s">
        <v>1108</v>
      </c>
      <c r="J562" t="s">
        <v>11219</v>
      </c>
      <c r="K562" t="s">
        <v>11220</v>
      </c>
      <c r="L562" t="s">
        <v>36</v>
      </c>
      <c r="M562" t="s">
        <v>19177</v>
      </c>
      <c r="N562" t="s">
        <v>714</v>
      </c>
      <c r="O562" t="s">
        <v>10263</v>
      </c>
      <c r="P562" t="s">
        <v>12</v>
      </c>
    </row>
    <row r="563">
      <c r="A563">
        <f>HYPERLINK("http://bombeiros.sp.gov.br/hidrantes/03individual/2403.html","2403")</f>
      </c>
      <c r="B563" t="s">
        <v>623</v>
      </c>
      <c r="C563" t="s">
        <v>777</v>
      </c>
      <c r="D563" t="s">
        <v>783</v>
      </c>
      <c r="E563" t="s">
        <v>64</v>
      </c>
      <c r="F563" t="s">
        <v>11221</v>
      </c>
      <c r="G563" t="s">
        <v>18095</v>
      </c>
      <c r="H563" t="s">
        <v>1112</v>
      </c>
      <c r="I563" t="s">
        <v>1108</v>
      </c>
      <c r="J563" t="s">
        <v>11222</v>
      </c>
      <c r="K563" t="s">
        <v>11223</v>
      </c>
      <c r="L563" t="s">
        <v>36</v>
      </c>
      <c r="M563" t="s">
        <v>19177</v>
      </c>
      <c r="N563" t="s">
        <v>714</v>
      </c>
      <c r="O563" t="s">
        <v>10263</v>
      </c>
      <c r="P563" t="s">
        <v>12</v>
      </c>
    </row>
    <row r="564">
      <c r="A564">
        <f>HYPERLINK("http://bombeiros.sp.gov.br/hidrantes/03individual/2407.html","2407")</f>
      </c>
      <c r="B564" t="s">
        <v>623</v>
      </c>
      <c r="C564" t="s">
        <v>777</v>
      </c>
      <c r="D564" t="s">
        <v>783</v>
      </c>
      <c r="E564" t="s">
        <v>64</v>
      </c>
      <c r="F564" t="s">
        <v>11224</v>
      </c>
      <c r="G564" t="s">
        <v>18095</v>
      </c>
      <c r="H564" t="s">
        <v>1112</v>
      </c>
      <c r="I564" t="s">
        <v>1108</v>
      </c>
      <c r="J564" t="s">
        <v>11225</v>
      </c>
      <c r="K564" t="s">
        <v>11226</v>
      </c>
      <c r="L564" t="s">
        <v>36</v>
      </c>
      <c r="M564" t="s">
        <v>19177</v>
      </c>
      <c r="N564" t="s">
        <v>714</v>
      </c>
      <c r="O564" t="s">
        <v>10263</v>
      </c>
      <c r="P564" t="s">
        <v>12</v>
      </c>
    </row>
    <row r="565">
      <c r="A565">
        <f>HYPERLINK("http://bombeiros.sp.gov.br/hidrantes/03individual/2654.html","2654")</f>
      </c>
      <c r="B565" t="s">
        <v>623</v>
      </c>
      <c r="C565" t="s">
        <v>777</v>
      </c>
      <c r="D565" t="s">
        <v>783</v>
      </c>
      <c r="E565" t="s">
        <v>64</v>
      </c>
      <c r="F565" t="s">
        <v>11230</v>
      </c>
      <c r="G565" t="s">
        <v>18129</v>
      </c>
      <c r="H565" t="s">
        <v>1121</v>
      </c>
      <c r="I565" t="s">
        <v>1117</v>
      </c>
      <c r="J565" t="s">
        <v>11231</v>
      </c>
      <c r="K565" t="s">
        <v>11232</v>
      </c>
      <c r="L565" t="s">
        <v>36</v>
      </c>
      <c r="M565" t="s">
        <v>19177</v>
      </c>
      <c r="N565" t="s">
        <v>714</v>
      </c>
      <c r="O565" t="s">
        <v>10263</v>
      </c>
      <c r="P565" t="s">
        <v>12</v>
      </c>
    </row>
    <row r="566">
      <c r="A566">
        <f>HYPERLINK("http://bombeiros.sp.gov.br/hidrantes/03individual/1876.html","1876")</f>
      </c>
      <c r="B566" t="s">
        <v>623</v>
      </c>
      <c r="C566" t="s">
        <v>777</v>
      </c>
      <c r="D566" t="s">
        <v>783</v>
      </c>
      <c r="E566" t="s">
        <v>15</v>
      </c>
      <c r="F566" t="s">
        <v>11233</v>
      </c>
      <c r="G566" t="s">
        <v>18091</v>
      </c>
      <c r="H566" t="s">
        <v>1112</v>
      </c>
      <c r="I566" t="s">
        <v>1108</v>
      </c>
      <c r="J566" t="s">
        <v>11234</v>
      </c>
      <c r="K566" t="s">
        <v>11235</v>
      </c>
      <c r="L566" t="s">
        <v>36</v>
      </c>
      <c r="M566" t="s">
        <v>19177</v>
      </c>
      <c r="N566" t="s">
        <v>714</v>
      </c>
      <c r="O566" t="s">
        <v>10263</v>
      </c>
      <c r="P566" t="s">
        <v>12</v>
      </c>
    </row>
    <row r="567">
      <c r="A567">
        <f>HYPERLINK("http://bombeiros.sp.gov.br/hidrantes/03individual/2443.html","2443")</f>
      </c>
      <c r="B567" t="s">
        <v>623</v>
      </c>
      <c r="C567" t="s">
        <v>777</v>
      </c>
      <c r="D567" t="s">
        <v>783</v>
      </c>
      <c r="E567" t="s">
        <v>15</v>
      </c>
      <c r="F567" t="s">
        <v>11257</v>
      </c>
      <c r="G567" t="s">
        <v>18095</v>
      </c>
      <c r="H567" t="s">
        <v>1112</v>
      </c>
      <c r="I567" t="s">
        <v>1108</v>
      </c>
      <c r="J567" t="s">
        <v>11258</v>
      </c>
      <c r="K567" t="s">
        <v>11259</v>
      </c>
      <c r="L567" t="s">
        <v>36</v>
      </c>
      <c r="M567" t="s">
        <v>19177</v>
      </c>
      <c r="N567" t="s">
        <v>714</v>
      </c>
      <c r="O567" t="s">
        <v>10263</v>
      </c>
      <c r="P567" t="s">
        <v>12</v>
      </c>
    </row>
    <row r="568">
      <c r="A568">
        <f>HYPERLINK("http://bombeiros.sp.gov.br/hidrantes/03individual/4264.html","4264")</f>
      </c>
      <c r="B568" t="s">
        <v>623</v>
      </c>
      <c r="C568" t="s">
        <v>777</v>
      </c>
      <c r="D568" t="s">
        <v>783</v>
      </c>
      <c r="E568" t="s">
        <v>15</v>
      </c>
      <c r="F568" t="s">
        <v>11263</v>
      </c>
      <c r="G568" t="s">
        <v>18085</v>
      </c>
      <c r="H568" t="s">
        <v>1112</v>
      </c>
      <c r="I568" t="s">
        <v>1108</v>
      </c>
      <c r="J568" t="s">
        <v>11264</v>
      </c>
      <c r="K568" t="s">
        <v>11265</v>
      </c>
      <c r="L568" t="s">
        <v>36</v>
      </c>
      <c r="M568" t="s">
        <v>19177</v>
      </c>
      <c r="N568" t="s">
        <v>714</v>
      </c>
      <c r="O568" t="s">
        <v>10263</v>
      </c>
      <c r="P568" t="s">
        <v>12</v>
      </c>
    </row>
    <row r="569">
      <c r="A569">
        <f>HYPERLINK("http://bombeiros.sp.gov.br/hidrantes/03individual/2153.html","2153")</f>
      </c>
      <c r="B569" t="s">
        <v>623</v>
      </c>
      <c r="C569" t="s">
        <v>777</v>
      </c>
      <c r="D569" t="s">
        <v>777</v>
      </c>
      <c r="E569" t="s">
        <v>64</v>
      </c>
      <c r="F569" t="s">
        <v>11278</v>
      </c>
      <c r="G569" t="s">
        <v>18145</v>
      </c>
      <c r="H569" t="s">
        <v>1107</v>
      </c>
      <c r="I569" t="s">
        <v>1108</v>
      </c>
      <c r="J569" t="s">
        <v>11279</v>
      </c>
      <c r="K569" t="s">
        <v>11280</v>
      </c>
      <c r="L569" t="s">
        <v>36</v>
      </c>
      <c r="M569" t="s">
        <v>19177</v>
      </c>
      <c r="N569" t="s">
        <v>714</v>
      </c>
      <c r="O569" t="s">
        <v>10263</v>
      </c>
      <c r="P569" t="s">
        <v>12</v>
      </c>
    </row>
    <row r="570">
      <c r="A570">
        <f>HYPERLINK("http://bombeiros.sp.gov.br/hidrantes/03individual/2377.html","2377")</f>
      </c>
      <c r="B570" t="s">
        <v>623</v>
      </c>
      <c r="C570" t="s">
        <v>777</v>
      </c>
      <c r="D570" t="s">
        <v>777</v>
      </c>
      <c r="E570" t="s">
        <v>64</v>
      </c>
      <c r="F570" t="s">
        <v>11281</v>
      </c>
      <c r="G570" t="s">
        <v>18107</v>
      </c>
      <c r="H570" t="s">
        <v>1112</v>
      </c>
      <c r="I570" t="s">
        <v>1108</v>
      </c>
      <c r="J570" t="s">
        <v>11282</v>
      </c>
      <c r="K570" t="s">
        <v>11283</v>
      </c>
      <c r="L570" t="s">
        <v>36</v>
      </c>
      <c r="M570" t="s">
        <v>19177</v>
      </c>
      <c r="N570" t="s">
        <v>714</v>
      </c>
      <c r="O570" t="s">
        <v>10263</v>
      </c>
      <c r="P570" t="s">
        <v>12</v>
      </c>
    </row>
    <row r="571">
      <c r="A571">
        <f>HYPERLINK("http://bombeiros.sp.gov.br/hidrantes/03individual/2825.html","2825")</f>
      </c>
      <c r="B571" t="s">
        <v>623</v>
      </c>
      <c r="C571" t="s">
        <v>777</v>
      </c>
      <c r="D571" t="s">
        <v>777</v>
      </c>
      <c r="E571" t="s">
        <v>64</v>
      </c>
      <c r="F571" t="s">
        <v>11287</v>
      </c>
      <c r="G571" t="s">
        <v>18107</v>
      </c>
      <c r="H571" t="s">
        <v>1112</v>
      </c>
      <c r="I571" t="s">
        <v>1108</v>
      </c>
      <c r="J571" t="s">
        <v>11288</v>
      </c>
      <c r="K571" t="s">
        <v>11289</v>
      </c>
      <c r="L571" t="s">
        <v>36</v>
      </c>
      <c r="M571" t="s">
        <v>19177</v>
      </c>
      <c r="N571" t="s">
        <v>714</v>
      </c>
      <c r="O571" t="s">
        <v>10263</v>
      </c>
      <c r="P571" t="s">
        <v>12</v>
      </c>
    </row>
    <row r="572">
      <c r="A572">
        <f>HYPERLINK("http://bombeiros.sp.gov.br/hidrantes/03individual/1168.html","1168")</f>
      </c>
      <c r="B572" t="s">
        <v>623</v>
      </c>
      <c r="C572" t="s">
        <v>797</v>
      </c>
      <c r="D572" t="s">
        <v>11375</v>
      </c>
      <c r="E572" t="s">
        <v>64</v>
      </c>
      <c r="F572" t="s">
        <v>11379</v>
      </c>
      <c r="G572" t="s">
        <v>18057</v>
      </c>
      <c r="H572" t="s">
        <v>1112</v>
      </c>
      <c r="I572" t="s">
        <v>1108</v>
      </c>
      <c r="J572" t="s">
        <v>11380</v>
      </c>
      <c r="K572" t="s">
        <v>11381</v>
      </c>
      <c r="L572" t="s">
        <v>36</v>
      </c>
      <c r="M572" t="s">
        <v>19177</v>
      </c>
      <c r="N572" t="s">
        <v>16375</v>
      </c>
      <c r="O572" t="s">
        <v>640</v>
      </c>
      <c r="P572" t="s">
        <v>623</v>
      </c>
    </row>
    <row r="573">
      <c r="A573">
        <f>HYPERLINK("http://bombeiros.sp.gov.br/hidrantes/03individual/3375.html","3375")</f>
      </c>
      <c r="B573" t="s">
        <v>623</v>
      </c>
      <c r="C573" t="s">
        <v>802</v>
      </c>
      <c r="D573" t="s">
        <v>803</v>
      </c>
      <c r="E573" t="s">
        <v>64</v>
      </c>
      <c r="F573" t="s">
        <v>11416</v>
      </c>
      <c r="G573" t="s">
        <v>18143</v>
      </c>
      <c r="H573" t="s">
        <v>1112</v>
      </c>
      <c r="I573" t="s">
        <v>1108</v>
      </c>
      <c r="J573" t="s">
        <v>11417</v>
      </c>
      <c r="K573" t="s">
        <v>11418</v>
      </c>
      <c r="L573" t="s">
        <v>36</v>
      </c>
      <c r="M573" t="s">
        <v>19177</v>
      </c>
      <c r="N573" t="s">
        <v>16375</v>
      </c>
      <c r="O573" t="s">
        <v>640</v>
      </c>
      <c r="P573" t="s">
        <v>623</v>
      </c>
    </row>
    <row r="574">
      <c r="A574">
        <f>HYPERLINK("http://bombeiros.sp.gov.br/hidrantes/03individual/6656.html","6656")</f>
      </c>
      <c r="B574" t="s">
        <v>623</v>
      </c>
      <c r="C574" t="s">
        <v>802</v>
      </c>
      <c r="D574" t="s">
        <v>803</v>
      </c>
      <c r="E574" t="s">
        <v>64</v>
      </c>
      <c r="F574" t="s">
        <v>11419</v>
      </c>
      <c r="G574" t="s">
        <v>18183</v>
      </c>
      <c r="H574" t="s">
        <v>1107</v>
      </c>
      <c r="I574" t="s">
        <v>1108</v>
      </c>
      <c r="J574" t="s">
        <v>11420</v>
      </c>
      <c r="K574" t="s">
        <v>11421</v>
      </c>
      <c r="L574" t="s">
        <v>36</v>
      </c>
      <c r="M574" t="s">
        <v>19177</v>
      </c>
      <c r="N574" t="s">
        <v>16375</v>
      </c>
      <c r="O574" t="s">
        <v>640</v>
      </c>
      <c r="P574" t="s">
        <v>623</v>
      </c>
    </row>
    <row r="575">
      <c r="A575">
        <f>HYPERLINK("http://bombeiros.sp.gov.br/hidrantes/03individual/6657.html","6657")</f>
      </c>
      <c r="B575" t="s">
        <v>623</v>
      </c>
      <c r="C575" t="s">
        <v>802</v>
      </c>
      <c r="D575" t="s">
        <v>803</v>
      </c>
      <c r="E575" t="s">
        <v>64</v>
      </c>
      <c r="F575" t="s">
        <v>11422</v>
      </c>
      <c r="G575" t="s">
        <v>18062</v>
      </c>
      <c r="H575" t="s">
        <v>1107</v>
      </c>
      <c r="I575" t="s">
        <v>1108</v>
      </c>
      <c r="J575" t="s">
        <v>11423</v>
      </c>
      <c r="K575" t="s">
        <v>11424</v>
      </c>
      <c r="L575" t="s">
        <v>36</v>
      </c>
      <c r="M575" t="s">
        <v>19177</v>
      </c>
      <c r="N575" t="s">
        <v>16375</v>
      </c>
      <c r="O575" t="s">
        <v>640</v>
      </c>
      <c r="P575" t="s">
        <v>623</v>
      </c>
    </row>
    <row r="576">
      <c r="A576">
        <f>HYPERLINK("http://bombeiros.sp.gov.br/hidrantes/03individual/1223.html","1223")</f>
      </c>
      <c r="B576" t="s">
        <v>623</v>
      </c>
      <c r="C576" t="s">
        <v>802</v>
      </c>
      <c r="D576" t="s">
        <v>802</v>
      </c>
      <c r="E576" t="s">
        <v>64</v>
      </c>
      <c r="F576" t="s">
        <v>11467</v>
      </c>
      <c r="G576" t="s">
        <v>18194</v>
      </c>
      <c r="H576" t="s">
        <v>1112</v>
      </c>
      <c r="I576" t="s">
        <v>1108</v>
      </c>
      <c r="J576" t="s">
        <v>11468</v>
      </c>
      <c r="K576" t="s">
        <v>11469</v>
      </c>
      <c r="L576" t="s">
        <v>36</v>
      </c>
      <c r="M576" t="s">
        <v>19177</v>
      </c>
      <c r="N576" t="s">
        <v>16375</v>
      </c>
      <c r="O576" t="s">
        <v>640</v>
      </c>
      <c r="P576" t="s">
        <v>623</v>
      </c>
    </row>
    <row r="577">
      <c r="A577">
        <f>HYPERLINK("http://bombeiros.sp.gov.br/hidrantes/03individual/1225.html","1225")</f>
      </c>
      <c r="B577" t="s">
        <v>623</v>
      </c>
      <c r="C577" t="s">
        <v>802</v>
      </c>
      <c r="D577" t="s">
        <v>802</v>
      </c>
      <c r="E577" t="s">
        <v>64</v>
      </c>
      <c r="F577" t="s">
        <v>811</v>
      </c>
      <c r="G577" t="s">
        <v>18183</v>
      </c>
      <c r="H577" t="s">
        <v>1107</v>
      </c>
      <c r="I577" t="s">
        <v>1108</v>
      </c>
      <c r="J577" t="s">
        <v>813</v>
      </c>
      <c r="K577" t="s">
        <v>814</v>
      </c>
      <c r="L577" t="s">
        <v>36</v>
      </c>
      <c r="M577" t="s">
        <v>19177</v>
      </c>
      <c r="N577" t="s">
        <v>16375</v>
      </c>
      <c r="O577" t="s">
        <v>640</v>
      </c>
      <c r="P577" t="s">
        <v>623</v>
      </c>
    </row>
    <row r="578">
      <c r="A578">
        <f>HYPERLINK("http://bombeiros.sp.gov.br/hidrantes/03individual/1241.html","1241")</f>
      </c>
      <c r="B578" t="s">
        <v>623</v>
      </c>
      <c r="C578" t="s">
        <v>831</v>
      </c>
      <c r="D578" t="s">
        <v>11682</v>
      </c>
      <c r="E578" t="s">
        <v>64</v>
      </c>
      <c r="F578" t="s">
        <v>11683</v>
      </c>
      <c r="G578" t="s">
        <v>18143</v>
      </c>
      <c r="H578" t="s">
        <v>1121</v>
      </c>
      <c r="I578" t="s">
        <v>1117</v>
      </c>
      <c r="J578" t="s">
        <v>11684</v>
      </c>
      <c r="K578" t="s">
        <v>11685</v>
      </c>
      <c r="L578" t="s">
        <v>36</v>
      </c>
      <c r="M578" t="s">
        <v>19177</v>
      </c>
      <c r="N578" t="s">
        <v>16375</v>
      </c>
      <c r="O578" t="s">
        <v>640</v>
      </c>
      <c r="P578" t="s">
        <v>623</v>
      </c>
    </row>
    <row r="579">
      <c r="A579">
        <f>HYPERLINK("http://bombeiros.sp.gov.br/hidrantes/03individual/3920.html","3920")</f>
      </c>
      <c r="B579" t="s">
        <v>842</v>
      </c>
      <c r="C579" t="s">
        <v>11775</v>
      </c>
      <c r="D579" t="s">
        <v>11775</v>
      </c>
      <c r="E579" t="s">
        <v>64</v>
      </c>
      <c r="F579" t="s">
        <v>11779</v>
      </c>
      <c r="G579" t="s">
        <v>18164</v>
      </c>
      <c r="H579" t="s">
        <v>1112</v>
      </c>
      <c r="I579" t="s">
        <v>1108</v>
      </c>
      <c r="J579" t="s">
        <v>11780</v>
      </c>
      <c r="K579" t="s">
        <v>11781</v>
      </c>
      <c r="L579" t="s">
        <v>36</v>
      </c>
      <c r="M579" t="s">
        <v>19177</v>
      </c>
      <c r="N579" t="s">
        <v>1024</v>
      </c>
      <c r="O579" t="s">
        <v>1024</v>
      </c>
      <c r="P579" t="s">
        <v>842</v>
      </c>
    </row>
    <row r="580">
      <c r="A580">
        <f>HYPERLINK("http://bombeiros.sp.gov.br/hidrantes/03individual/3923.html","3923")</f>
      </c>
      <c r="B580" t="s">
        <v>842</v>
      </c>
      <c r="C580" t="s">
        <v>11775</v>
      </c>
      <c r="D580" t="s">
        <v>11775</v>
      </c>
      <c r="E580" t="s">
        <v>64</v>
      </c>
      <c r="F580" t="s">
        <v>11782</v>
      </c>
      <c r="G580" t="s">
        <v>18093</v>
      </c>
      <c r="H580" t="s">
        <v>1112</v>
      </c>
      <c r="I580" t="s">
        <v>1108</v>
      </c>
      <c r="J580" t="s">
        <v>11783</v>
      </c>
      <c r="K580" t="s">
        <v>11784</v>
      </c>
      <c r="L580" t="s">
        <v>36</v>
      </c>
      <c r="M580" t="s">
        <v>19177</v>
      </c>
      <c r="N580" t="s">
        <v>1024</v>
      </c>
      <c r="O580" t="s">
        <v>1024</v>
      </c>
      <c r="P580" t="s">
        <v>842</v>
      </c>
    </row>
    <row r="581">
      <c r="A581">
        <f>HYPERLINK("http://bombeiros.sp.gov.br/hidrantes/03individual/4385.html","4385")</f>
      </c>
      <c r="B581" t="s">
        <v>842</v>
      </c>
      <c r="C581" t="s">
        <v>11775</v>
      </c>
      <c r="D581" t="s">
        <v>11815</v>
      </c>
      <c r="E581" t="s">
        <v>64</v>
      </c>
      <c r="F581" t="s">
        <v>11819</v>
      </c>
      <c r="G581" t="s">
        <v>18041</v>
      </c>
      <c r="H581" t="s">
        <v>1112</v>
      </c>
      <c r="I581" t="s">
        <v>1108</v>
      </c>
      <c r="J581" t="s">
        <v>11820</v>
      </c>
      <c r="K581" t="s">
        <v>11821</v>
      </c>
      <c r="L581" t="s">
        <v>36</v>
      </c>
      <c r="M581" t="s">
        <v>19177</v>
      </c>
      <c r="N581" t="s">
        <v>1024</v>
      </c>
      <c r="O581" t="s">
        <v>1024</v>
      </c>
      <c r="P581" t="s">
        <v>842</v>
      </c>
    </row>
    <row r="582">
      <c r="A582">
        <f>HYPERLINK("http://bombeiros.sp.gov.br/hidrantes/03individual/3763.html","3763")</f>
      </c>
      <c r="B582" t="s">
        <v>842</v>
      </c>
      <c r="C582" t="s">
        <v>11775</v>
      </c>
      <c r="D582" t="s">
        <v>11822</v>
      </c>
      <c r="E582" t="s">
        <v>15</v>
      </c>
      <c r="F582" t="s">
        <v>11835</v>
      </c>
      <c r="G582" t="s">
        <v>18041</v>
      </c>
      <c r="H582" t="s">
        <v>1121</v>
      </c>
      <c r="I582" t="s">
        <v>1117</v>
      </c>
      <c r="J582" t="s">
        <v>11836</v>
      </c>
      <c r="K582" t="s">
        <v>11837</v>
      </c>
      <c r="L582" t="s">
        <v>36</v>
      </c>
      <c r="M582" t="s">
        <v>19177</v>
      </c>
      <c r="N582" t="s">
        <v>1024</v>
      </c>
      <c r="O582" t="s">
        <v>1024</v>
      </c>
      <c r="P582" t="s">
        <v>842</v>
      </c>
    </row>
    <row r="583">
      <c r="A583">
        <f>HYPERLINK("http://bombeiros.sp.gov.br/hidrantes/03individual/454.html","454")</f>
      </c>
      <c r="B583" t="s">
        <v>842</v>
      </c>
      <c r="C583" t="s">
        <v>11775</v>
      </c>
      <c r="D583" t="s">
        <v>679</v>
      </c>
      <c r="E583" t="s">
        <v>64</v>
      </c>
      <c r="F583" t="s">
        <v>11893</v>
      </c>
      <c r="G583" t="s">
        <v>18093</v>
      </c>
      <c r="H583" t="s">
        <v>1112</v>
      </c>
      <c r="I583" t="s">
        <v>1108</v>
      </c>
      <c r="J583" t="s">
        <v>11894</v>
      </c>
      <c r="K583" t="s">
        <v>11895</v>
      </c>
      <c r="L583" t="s">
        <v>36</v>
      </c>
      <c r="M583" t="s">
        <v>19177</v>
      </c>
      <c r="N583" t="s">
        <v>1024</v>
      </c>
      <c r="O583" t="s">
        <v>1024</v>
      </c>
      <c r="P583" t="s">
        <v>842</v>
      </c>
    </row>
    <row r="584">
      <c r="A584">
        <f>HYPERLINK("http://bombeiros.sp.gov.br/hidrantes/03individual/3929.html","3929")</f>
      </c>
      <c r="B584" t="s">
        <v>842</v>
      </c>
      <c r="C584" t="s">
        <v>11775</v>
      </c>
      <c r="D584" t="s">
        <v>679</v>
      </c>
      <c r="E584" t="s">
        <v>64</v>
      </c>
      <c r="F584" t="s">
        <v>11902</v>
      </c>
      <c r="G584" t="s">
        <v>18093</v>
      </c>
      <c r="H584" t="s">
        <v>1121</v>
      </c>
      <c r="I584" t="s">
        <v>1117</v>
      </c>
      <c r="J584" t="s">
        <v>11903</v>
      </c>
      <c r="K584" t="s">
        <v>11904</v>
      </c>
      <c r="L584" t="s">
        <v>36</v>
      </c>
      <c r="M584" t="s">
        <v>19177</v>
      </c>
      <c r="N584" t="s">
        <v>1024</v>
      </c>
      <c r="O584" t="s">
        <v>1024</v>
      </c>
      <c r="P584" t="s">
        <v>842</v>
      </c>
    </row>
    <row r="585">
      <c r="A585">
        <f>HYPERLINK("http://bombeiros.sp.gov.br/hidrantes/03individual/2374.html","2374")</f>
      </c>
      <c r="B585" t="s">
        <v>842</v>
      </c>
      <c r="C585" t="s">
        <v>11956</v>
      </c>
      <c r="D585" t="s">
        <v>11990</v>
      </c>
      <c r="E585" t="s">
        <v>64</v>
      </c>
      <c r="F585" t="s">
        <v>11994</v>
      </c>
      <c r="G585" t="s">
        <v>18084</v>
      </c>
      <c r="H585" t="s">
        <v>1112</v>
      </c>
      <c r="I585" t="s">
        <v>1108</v>
      </c>
      <c r="J585" t="s">
        <v>11995</v>
      </c>
      <c r="K585" t="s">
        <v>11996</v>
      </c>
      <c r="L585" t="s">
        <v>36</v>
      </c>
      <c r="M585" t="s">
        <v>19177</v>
      </c>
      <c r="N585" t="s">
        <v>1024</v>
      </c>
      <c r="O585" t="s">
        <v>1024</v>
      </c>
      <c r="P585" t="s">
        <v>842</v>
      </c>
    </row>
    <row r="586">
      <c r="A586">
        <f>HYPERLINK("http://bombeiros.sp.gov.br/hidrantes/03individual/2384.html","2384")</f>
      </c>
      <c r="B586" t="s">
        <v>842</v>
      </c>
      <c r="C586" t="s">
        <v>11956</v>
      </c>
      <c r="D586" t="s">
        <v>11990</v>
      </c>
      <c r="E586" t="s">
        <v>64</v>
      </c>
      <c r="F586" t="s">
        <v>11997</v>
      </c>
      <c r="G586" t="s">
        <v>18139</v>
      </c>
      <c r="H586" t="s">
        <v>1112</v>
      </c>
      <c r="I586" t="s">
        <v>1108</v>
      </c>
      <c r="J586" t="s">
        <v>11998</v>
      </c>
      <c r="K586" t="s">
        <v>11999</v>
      </c>
      <c r="L586" t="s">
        <v>36</v>
      </c>
      <c r="M586" t="s">
        <v>19177</v>
      </c>
      <c r="N586" t="s">
        <v>1024</v>
      </c>
      <c r="O586" t="s">
        <v>1024</v>
      </c>
      <c r="P586" t="s">
        <v>842</v>
      </c>
    </row>
    <row r="587">
      <c r="A587">
        <f>HYPERLINK("http://bombeiros.sp.gov.br/hidrantes/03individual/3664.html","3664")</f>
      </c>
      <c r="B587" t="s">
        <v>842</v>
      </c>
      <c r="C587" t="s">
        <v>11956</v>
      </c>
      <c r="D587" t="s">
        <v>11990</v>
      </c>
      <c r="E587" t="s">
        <v>64</v>
      </c>
      <c r="F587" t="s">
        <v>12003</v>
      </c>
      <c r="G587" t="s">
        <v>18093</v>
      </c>
      <c r="H587" t="s">
        <v>1112</v>
      </c>
      <c r="I587" t="s">
        <v>1108</v>
      </c>
      <c r="J587" t="s">
        <v>12004</v>
      </c>
      <c r="K587" t="s">
        <v>12005</v>
      </c>
      <c r="L587" t="s">
        <v>36</v>
      </c>
      <c r="M587" t="s">
        <v>19177</v>
      </c>
      <c r="N587" t="s">
        <v>1024</v>
      </c>
      <c r="O587" t="s">
        <v>1024</v>
      </c>
      <c r="P587" t="s">
        <v>842</v>
      </c>
    </row>
    <row r="588">
      <c r="A588">
        <f>HYPERLINK("http://bombeiros.sp.gov.br/hidrantes/03individual/4348.html","4348")</f>
      </c>
      <c r="B588" t="s">
        <v>842</v>
      </c>
      <c r="C588" t="s">
        <v>11956</v>
      </c>
      <c r="D588" t="s">
        <v>11990</v>
      </c>
      <c r="E588" t="s">
        <v>15</v>
      </c>
      <c r="F588" t="s">
        <v>12045</v>
      </c>
      <c r="G588" t="s">
        <v>18139</v>
      </c>
      <c r="H588" t="s">
        <v>1107</v>
      </c>
      <c r="I588" t="s">
        <v>1108</v>
      </c>
      <c r="J588" t="s">
        <v>12046</v>
      </c>
      <c r="K588" t="s">
        <v>12047</v>
      </c>
      <c r="L588" t="s">
        <v>36</v>
      </c>
      <c r="M588" t="s">
        <v>19177</v>
      </c>
      <c r="N588" t="s">
        <v>1024</v>
      </c>
      <c r="O588" t="s">
        <v>1024</v>
      </c>
      <c r="P588" t="s">
        <v>842</v>
      </c>
    </row>
    <row r="589">
      <c r="A589">
        <f>HYPERLINK("http://bombeiros.sp.gov.br/hidrantes/03individual/2388.html","2388")</f>
      </c>
      <c r="B589" t="s">
        <v>842</v>
      </c>
      <c r="C589" t="s">
        <v>11956</v>
      </c>
      <c r="D589" t="s">
        <v>12061</v>
      </c>
      <c r="E589" t="s">
        <v>64</v>
      </c>
      <c r="F589" t="s">
        <v>12062</v>
      </c>
      <c r="G589" t="s">
        <v>18053</v>
      </c>
      <c r="H589" t="s">
        <v>1112</v>
      </c>
      <c r="I589" t="s">
        <v>1108</v>
      </c>
      <c r="J589" t="s">
        <v>12063</v>
      </c>
      <c r="K589" t="s">
        <v>12064</v>
      </c>
      <c r="L589" t="s">
        <v>36</v>
      </c>
      <c r="M589" t="s">
        <v>19177</v>
      </c>
      <c r="N589" t="s">
        <v>1024</v>
      </c>
      <c r="O589" t="s">
        <v>1024</v>
      </c>
      <c r="P589" t="s">
        <v>842</v>
      </c>
    </row>
    <row r="590">
      <c r="A590">
        <f>HYPERLINK("http://bombeiros.sp.gov.br/hidrantes/03individual/4113.html","4113")</f>
      </c>
      <c r="B590" t="s">
        <v>842</v>
      </c>
      <c r="C590" t="s">
        <v>843</v>
      </c>
      <c r="D590" t="s">
        <v>844</v>
      </c>
      <c r="E590" t="s">
        <v>64</v>
      </c>
      <c r="F590" t="s">
        <v>12136</v>
      </c>
      <c r="G590" t="s">
        <v>17915</v>
      </c>
      <c r="H590" t="s">
        <v>1112</v>
      </c>
      <c r="I590" t="s">
        <v>1108</v>
      </c>
      <c r="J590" t="s">
        <v>12137</v>
      </c>
      <c r="K590" t="s">
        <v>12138</v>
      </c>
      <c r="L590" t="s">
        <v>36</v>
      </c>
      <c r="M590" t="s">
        <v>19177</v>
      </c>
      <c r="N590" t="s">
        <v>848</v>
      </c>
      <c r="O590" t="s">
        <v>640</v>
      </c>
      <c r="P590" t="s">
        <v>623</v>
      </c>
    </row>
    <row r="591">
      <c r="A591">
        <f>HYPERLINK("http://bombeiros.sp.gov.br/hidrantes/03individual/4389.html","4389")</f>
      </c>
      <c r="B591" t="s">
        <v>842</v>
      </c>
      <c r="C591" t="s">
        <v>843</v>
      </c>
      <c r="D591" t="s">
        <v>844</v>
      </c>
      <c r="E591" t="s">
        <v>64</v>
      </c>
      <c r="F591" t="s">
        <v>12139</v>
      </c>
      <c r="G591" t="s">
        <v>18051</v>
      </c>
      <c r="H591" t="s">
        <v>1121</v>
      </c>
      <c r="I591" t="s">
        <v>1117</v>
      </c>
      <c r="J591" t="s">
        <v>12140</v>
      </c>
      <c r="K591" t="s">
        <v>12141</v>
      </c>
      <c r="L591" t="s">
        <v>36</v>
      </c>
      <c r="M591" t="s">
        <v>19177</v>
      </c>
      <c r="N591" t="s">
        <v>848</v>
      </c>
      <c r="O591" t="s">
        <v>640</v>
      </c>
      <c r="P591" t="s">
        <v>623</v>
      </c>
    </row>
    <row r="592">
      <c r="A592">
        <f>HYPERLINK("http://bombeiros.sp.gov.br/hidrantes/03individual/6720.html","6720")</f>
      </c>
      <c r="B592" t="s">
        <v>842</v>
      </c>
      <c r="C592" t="s">
        <v>843</v>
      </c>
      <c r="D592" t="s">
        <v>844</v>
      </c>
      <c r="E592" t="s">
        <v>64</v>
      </c>
      <c r="F592" t="s">
        <v>12145</v>
      </c>
      <c r="G592" t="s">
        <v>18051</v>
      </c>
      <c r="H592" t="s">
        <v>1107</v>
      </c>
      <c r="I592" t="s">
        <v>1108</v>
      </c>
      <c r="J592" t="s">
        <v>12146</v>
      </c>
      <c r="K592" t="s">
        <v>12147</v>
      </c>
      <c r="L592" t="s">
        <v>36</v>
      </c>
      <c r="M592" t="s">
        <v>19177</v>
      </c>
      <c r="N592" t="s">
        <v>848</v>
      </c>
      <c r="O592" t="s">
        <v>640</v>
      </c>
      <c r="P592" t="s">
        <v>623</v>
      </c>
    </row>
    <row r="593">
      <c r="A593">
        <f>HYPERLINK("http://bombeiros.sp.gov.br/hidrantes/03individual/4043.html","4043")</f>
      </c>
      <c r="B593" t="s">
        <v>842</v>
      </c>
      <c r="C593" t="s">
        <v>843</v>
      </c>
      <c r="D593" t="s">
        <v>848</v>
      </c>
      <c r="E593" t="s">
        <v>64</v>
      </c>
      <c r="F593" t="s">
        <v>12148</v>
      </c>
      <c r="G593" t="s">
        <v>18173</v>
      </c>
      <c r="H593" t="s">
        <v>1107</v>
      </c>
      <c r="I593" t="s">
        <v>1108</v>
      </c>
      <c r="J593" t="s">
        <v>12149</v>
      </c>
      <c r="K593" t="s">
        <v>12150</v>
      </c>
      <c r="L593" t="s">
        <v>36</v>
      </c>
      <c r="M593" t="s">
        <v>19177</v>
      </c>
      <c r="N593" t="s">
        <v>848</v>
      </c>
      <c r="O593" t="s">
        <v>640</v>
      </c>
      <c r="P593" t="s">
        <v>623</v>
      </c>
    </row>
    <row r="594">
      <c r="A594">
        <f>HYPERLINK("http://bombeiros.sp.gov.br/hidrantes/03individual/4121.html","4121")</f>
      </c>
      <c r="B594" t="s">
        <v>842</v>
      </c>
      <c r="C594" t="s">
        <v>852</v>
      </c>
      <c r="D594" t="s">
        <v>866</v>
      </c>
      <c r="E594" t="s">
        <v>64</v>
      </c>
      <c r="F594" t="s">
        <v>12172</v>
      </c>
      <c r="G594" t="s">
        <v>18211</v>
      </c>
      <c r="H594" t="s">
        <v>1121</v>
      </c>
      <c r="I594" t="s">
        <v>1117</v>
      </c>
      <c r="J594" t="s">
        <v>12173</v>
      </c>
      <c r="K594" t="s">
        <v>12174</v>
      </c>
      <c r="L594" t="s">
        <v>36</v>
      </c>
      <c r="M594" t="s">
        <v>19177</v>
      </c>
      <c r="N594" t="s">
        <v>848</v>
      </c>
      <c r="O594" t="s">
        <v>640</v>
      </c>
      <c r="P594" t="s">
        <v>623</v>
      </c>
    </row>
    <row r="595">
      <c r="A595">
        <f>HYPERLINK("http://bombeiros.sp.gov.br/hidrantes/03individual/2408.html","2408")</f>
      </c>
      <c r="B595" t="s">
        <v>842</v>
      </c>
      <c r="C595" t="s">
        <v>894</v>
      </c>
      <c r="D595" t="s">
        <v>895</v>
      </c>
      <c r="E595" t="s">
        <v>64</v>
      </c>
      <c r="F595" t="s">
        <v>12316</v>
      </c>
      <c r="G595" t="s">
        <v>18482</v>
      </c>
      <c r="H595" t="s">
        <v>1112</v>
      </c>
      <c r="I595" t="s">
        <v>1108</v>
      </c>
      <c r="J595" t="s">
        <v>16121</v>
      </c>
      <c r="K595" t="s">
        <v>16122</v>
      </c>
      <c r="L595" t="s">
        <v>36</v>
      </c>
      <c r="M595" t="s">
        <v>19177</v>
      </c>
      <c r="N595" t="s">
        <v>16376</v>
      </c>
      <c r="O595" t="s">
        <v>16376</v>
      </c>
      <c r="P595" t="s">
        <v>842</v>
      </c>
    </row>
    <row r="596">
      <c r="A596">
        <f>HYPERLINK("http://bombeiros.sp.gov.br/hidrantes/03individual/4127.html","4127")</f>
      </c>
      <c r="B596" t="s">
        <v>842</v>
      </c>
      <c r="C596" t="s">
        <v>894</v>
      </c>
      <c r="D596" t="s">
        <v>895</v>
      </c>
      <c r="E596" t="s">
        <v>64</v>
      </c>
      <c r="F596" t="s">
        <v>12319</v>
      </c>
      <c r="G596" t="s">
        <v>18055</v>
      </c>
      <c r="H596" t="s">
        <v>1107</v>
      </c>
      <c r="I596" t="s">
        <v>1108</v>
      </c>
      <c r="J596" t="s">
        <v>12321</v>
      </c>
      <c r="K596" t="s">
        <v>12322</v>
      </c>
      <c r="L596" t="s">
        <v>36</v>
      </c>
      <c r="M596" t="s">
        <v>19177</v>
      </c>
      <c r="N596" t="s">
        <v>16376</v>
      </c>
      <c r="O596" t="s">
        <v>16376</v>
      </c>
      <c r="P596" t="s">
        <v>842</v>
      </c>
    </row>
    <row r="597">
      <c r="A597">
        <f>HYPERLINK("http://bombeiros.sp.gov.br/hidrantes/03individual/4147.html","4147")</f>
      </c>
      <c r="B597" t="s">
        <v>842</v>
      </c>
      <c r="C597" t="s">
        <v>894</v>
      </c>
      <c r="D597" t="s">
        <v>895</v>
      </c>
      <c r="E597" t="s">
        <v>64</v>
      </c>
      <c r="F597" t="s">
        <v>12323</v>
      </c>
      <c r="G597" t="s">
        <v>18210</v>
      </c>
      <c r="H597" t="s">
        <v>1174</v>
      </c>
      <c r="I597" t="s">
        <v>1108</v>
      </c>
      <c r="J597" t="s">
        <v>12324</v>
      </c>
      <c r="K597" t="s">
        <v>12325</v>
      </c>
      <c r="L597" t="s">
        <v>36</v>
      </c>
      <c r="M597" t="s">
        <v>19177</v>
      </c>
      <c r="N597" t="s">
        <v>16376</v>
      </c>
      <c r="O597" t="s">
        <v>16376</v>
      </c>
      <c r="P597" t="s">
        <v>842</v>
      </c>
    </row>
    <row r="598">
      <c r="A598">
        <f>HYPERLINK("http://bombeiros.sp.gov.br/hidrantes/03individual/4146.html","4146")</f>
      </c>
      <c r="B598" t="s">
        <v>842</v>
      </c>
      <c r="C598" t="s">
        <v>894</v>
      </c>
      <c r="D598" t="s">
        <v>12344</v>
      </c>
      <c r="E598" t="s">
        <v>15</v>
      </c>
      <c r="F598" t="s">
        <v>12357</v>
      </c>
      <c r="G598" t="s">
        <v>18154</v>
      </c>
      <c r="H598" t="s">
        <v>1112</v>
      </c>
      <c r="I598" t="s">
        <v>1108</v>
      </c>
      <c r="J598" t="s">
        <v>12358</v>
      </c>
      <c r="K598" t="s">
        <v>12359</v>
      </c>
      <c r="L598" t="s">
        <v>36</v>
      </c>
      <c r="M598" t="s">
        <v>19177</v>
      </c>
      <c r="N598" t="s">
        <v>16376</v>
      </c>
      <c r="O598" t="s">
        <v>16376</v>
      </c>
      <c r="P598" t="s">
        <v>842</v>
      </c>
    </row>
    <row r="599">
      <c r="A599">
        <f>HYPERLINK("http://bombeiros.sp.gov.br/hidrantes/03individual/4114.html","4114")</f>
      </c>
      <c r="B599" t="s">
        <v>842</v>
      </c>
      <c r="C599" t="s">
        <v>894</v>
      </c>
      <c r="D599" t="s">
        <v>899</v>
      </c>
      <c r="E599" t="s">
        <v>64</v>
      </c>
      <c r="F599" t="s">
        <v>12372</v>
      </c>
      <c r="G599" t="s">
        <v>18055</v>
      </c>
      <c r="H599" t="s">
        <v>1112</v>
      </c>
      <c r="I599" t="s">
        <v>1108</v>
      </c>
      <c r="J599" t="s">
        <v>12373</v>
      </c>
      <c r="K599" t="s">
        <v>12374</v>
      </c>
      <c r="L599" t="s">
        <v>36</v>
      </c>
      <c r="M599" t="s">
        <v>19177</v>
      </c>
      <c r="N599" t="s">
        <v>16376</v>
      </c>
      <c r="O599" t="s">
        <v>16376</v>
      </c>
      <c r="P599" t="s">
        <v>842</v>
      </c>
    </row>
    <row r="600">
      <c r="A600">
        <f>HYPERLINK("http://bombeiros.sp.gov.br/hidrantes/03individual/4130.html","4130")</f>
      </c>
      <c r="B600" t="s">
        <v>842</v>
      </c>
      <c r="C600" t="s">
        <v>894</v>
      </c>
      <c r="D600" t="s">
        <v>899</v>
      </c>
      <c r="E600" t="s">
        <v>15</v>
      </c>
      <c r="F600" t="s">
        <v>12390</v>
      </c>
      <c r="G600" t="s">
        <v>18154</v>
      </c>
      <c r="H600" t="s">
        <v>1112</v>
      </c>
      <c r="I600" t="s">
        <v>1108</v>
      </c>
      <c r="J600" t="s">
        <v>12391</v>
      </c>
      <c r="K600" t="s">
        <v>12392</v>
      </c>
      <c r="L600" t="s">
        <v>36</v>
      </c>
      <c r="M600" t="s">
        <v>19177</v>
      </c>
      <c r="N600" t="s">
        <v>16376</v>
      </c>
      <c r="O600" t="s">
        <v>16376</v>
      </c>
      <c r="P600" t="s">
        <v>842</v>
      </c>
    </row>
    <row r="601">
      <c r="A601">
        <f>HYPERLINK("http://bombeiros.sp.gov.br/hidrantes/03individual/4115.html","4115")</f>
      </c>
      <c r="B601" t="s">
        <v>842</v>
      </c>
      <c r="C601" t="s">
        <v>894</v>
      </c>
      <c r="D601" t="s">
        <v>903</v>
      </c>
      <c r="E601" t="s">
        <v>64</v>
      </c>
      <c r="F601" t="s">
        <v>12402</v>
      </c>
      <c r="G601" t="s">
        <v>18055</v>
      </c>
      <c r="H601" t="s">
        <v>1121</v>
      </c>
      <c r="I601" t="s">
        <v>1117</v>
      </c>
      <c r="J601" t="s">
        <v>12403</v>
      </c>
      <c r="K601" t="s">
        <v>12404</v>
      </c>
      <c r="L601" t="s">
        <v>36</v>
      </c>
      <c r="M601" t="s">
        <v>19177</v>
      </c>
      <c r="N601" t="s">
        <v>16376</v>
      </c>
      <c r="O601" t="s">
        <v>16376</v>
      </c>
      <c r="P601" t="s">
        <v>842</v>
      </c>
    </row>
    <row r="602">
      <c r="A602">
        <f>HYPERLINK("http://bombeiros.sp.gov.br/hidrantes/03individual/3602.html","3602")</f>
      </c>
      <c r="B602" t="s">
        <v>842</v>
      </c>
      <c r="C602" t="s">
        <v>12426</v>
      </c>
      <c r="D602" t="s">
        <v>12427</v>
      </c>
      <c r="E602" t="s">
        <v>64</v>
      </c>
      <c r="F602" t="s">
        <v>12428</v>
      </c>
      <c r="G602" t="s">
        <v>18212</v>
      </c>
      <c r="H602" t="s">
        <v>1121</v>
      </c>
      <c r="I602" t="s">
        <v>1117</v>
      </c>
      <c r="J602" t="s">
        <v>12429</v>
      </c>
      <c r="K602" t="s">
        <v>12430</v>
      </c>
      <c r="L602" t="s">
        <v>36</v>
      </c>
      <c r="M602" t="s">
        <v>19177</v>
      </c>
      <c r="N602" t="s">
        <v>97</v>
      </c>
      <c r="O602" t="s">
        <v>937</v>
      </c>
      <c r="P602" t="s">
        <v>12</v>
      </c>
    </row>
    <row r="603">
      <c r="A603">
        <f>HYPERLINK("http://bombeiros.sp.gov.br/hidrantes/03individual/497.html","497")</f>
      </c>
      <c r="B603" t="s">
        <v>842</v>
      </c>
      <c r="C603" t="s">
        <v>12426</v>
      </c>
      <c r="D603" t="s">
        <v>12427</v>
      </c>
      <c r="E603" t="s">
        <v>15</v>
      </c>
      <c r="F603" t="s">
        <v>12443</v>
      </c>
      <c r="G603" t="s">
        <v>18070</v>
      </c>
      <c r="H603" t="s">
        <v>1107</v>
      </c>
      <c r="I603" t="s">
        <v>1108</v>
      </c>
      <c r="J603" t="s">
        <v>12444</v>
      </c>
      <c r="K603" t="s">
        <v>12445</v>
      </c>
      <c r="L603" t="s">
        <v>36</v>
      </c>
      <c r="M603" t="s">
        <v>19177</v>
      </c>
      <c r="N603" t="s">
        <v>97</v>
      </c>
      <c r="O603" t="s">
        <v>937</v>
      </c>
      <c r="P603" t="s">
        <v>12</v>
      </c>
    </row>
    <row r="604">
      <c r="A604">
        <f>HYPERLINK("http://bombeiros.sp.gov.br/hidrantes/03individual/3797.html","3797")</f>
      </c>
      <c r="B604" t="s">
        <v>842</v>
      </c>
      <c r="C604" t="s">
        <v>12426</v>
      </c>
      <c r="D604" t="s">
        <v>12427</v>
      </c>
      <c r="E604" t="s">
        <v>15</v>
      </c>
      <c r="F604" t="s">
        <v>12449</v>
      </c>
      <c r="G604" t="s">
        <v>18070</v>
      </c>
      <c r="H604" t="s">
        <v>1107</v>
      </c>
      <c r="I604" t="s">
        <v>1108</v>
      </c>
      <c r="J604" t="s">
        <v>12450</v>
      </c>
      <c r="K604" t="s">
        <v>12451</v>
      </c>
      <c r="L604" t="s">
        <v>36</v>
      </c>
      <c r="M604" t="s">
        <v>19177</v>
      </c>
      <c r="N604" t="s">
        <v>97</v>
      </c>
      <c r="O604" t="s">
        <v>937</v>
      </c>
      <c r="P604" t="s">
        <v>12</v>
      </c>
    </row>
    <row r="605">
      <c r="A605">
        <f>HYPERLINK("http://bombeiros.sp.gov.br/hidrantes/03individual/415.html","415")</f>
      </c>
      <c r="B605" t="s">
        <v>842</v>
      </c>
      <c r="C605" t="s">
        <v>12426</v>
      </c>
      <c r="D605" t="s">
        <v>12485</v>
      </c>
      <c r="E605" t="s">
        <v>64</v>
      </c>
      <c r="F605" t="s">
        <v>12486</v>
      </c>
      <c r="G605" t="s">
        <v>18060</v>
      </c>
      <c r="H605" t="s">
        <v>1112</v>
      </c>
      <c r="I605" t="s">
        <v>1108</v>
      </c>
      <c r="J605" t="s">
        <v>12487</v>
      </c>
      <c r="K605" t="s">
        <v>12488</v>
      </c>
      <c r="L605" t="s">
        <v>36</v>
      </c>
      <c r="M605" t="s">
        <v>19177</v>
      </c>
      <c r="N605" t="s">
        <v>97</v>
      </c>
      <c r="O605" t="s">
        <v>937</v>
      </c>
      <c r="P605" t="s">
        <v>12</v>
      </c>
    </row>
    <row r="606">
      <c r="A606">
        <f>HYPERLINK("http://bombeiros.sp.gov.br/hidrantes/03individual/3603.html","3603")</f>
      </c>
      <c r="B606" t="s">
        <v>842</v>
      </c>
      <c r="C606" t="s">
        <v>12426</v>
      </c>
      <c r="D606" t="s">
        <v>12485</v>
      </c>
      <c r="E606" t="s">
        <v>64</v>
      </c>
      <c r="F606" t="s">
        <v>12489</v>
      </c>
      <c r="G606" t="s">
        <v>18149</v>
      </c>
      <c r="H606" t="s">
        <v>1121</v>
      </c>
      <c r="I606" t="s">
        <v>1117</v>
      </c>
      <c r="J606" t="s">
        <v>12490</v>
      </c>
      <c r="K606" t="s">
        <v>12491</v>
      </c>
      <c r="L606" t="s">
        <v>36</v>
      </c>
      <c r="M606" t="s">
        <v>19177</v>
      </c>
      <c r="N606" t="s">
        <v>97</v>
      </c>
      <c r="O606" t="s">
        <v>937</v>
      </c>
      <c r="P606" t="s">
        <v>12</v>
      </c>
    </row>
    <row r="607">
      <c r="A607">
        <f>HYPERLINK("http://bombeiros.sp.gov.br/hidrantes/03individual/445.html","445")</f>
      </c>
      <c r="B607" t="s">
        <v>842</v>
      </c>
      <c r="C607" t="s">
        <v>12426</v>
      </c>
      <c r="D607" t="s">
        <v>12584</v>
      </c>
      <c r="E607" t="s">
        <v>64</v>
      </c>
      <c r="F607" t="s">
        <v>12585</v>
      </c>
      <c r="G607" t="s">
        <v>18117</v>
      </c>
      <c r="H607" t="s">
        <v>1107</v>
      </c>
      <c r="I607" t="s">
        <v>1108</v>
      </c>
      <c r="J607" t="s">
        <v>12586</v>
      </c>
      <c r="K607" t="s">
        <v>12587</v>
      </c>
      <c r="L607" t="s">
        <v>36</v>
      </c>
      <c r="M607" t="s">
        <v>19177</v>
      </c>
      <c r="N607" t="s">
        <v>97</v>
      </c>
      <c r="O607" t="s">
        <v>937</v>
      </c>
      <c r="P607" t="s">
        <v>12</v>
      </c>
    </row>
    <row r="608">
      <c r="A608">
        <f>HYPERLINK("http://bombeiros.sp.gov.br/hidrantes/03individual/4119.html","4119")</f>
      </c>
      <c r="B608" t="s">
        <v>842</v>
      </c>
      <c r="C608" t="s">
        <v>907</v>
      </c>
      <c r="D608" t="s">
        <v>908</v>
      </c>
      <c r="E608" t="s">
        <v>64</v>
      </c>
      <c r="F608" t="s">
        <v>12633</v>
      </c>
      <c r="G608" t="s">
        <v>18519</v>
      </c>
      <c r="H608" t="s">
        <v>1112</v>
      </c>
      <c r="I608" t="s">
        <v>1108</v>
      </c>
      <c r="J608" t="s">
        <v>12634</v>
      </c>
      <c r="K608" t="s">
        <v>12635</v>
      </c>
      <c r="L608" t="s">
        <v>36</v>
      </c>
      <c r="M608" t="s">
        <v>19177</v>
      </c>
      <c r="N608" t="s">
        <v>16376</v>
      </c>
      <c r="O608" t="s">
        <v>16376</v>
      </c>
      <c r="P608" t="s">
        <v>842</v>
      </c>
    </row>
    <row r="609">
      <c r="A609">
        <f>HYPERLINK("http://bombeiros.sp.gov.br/hidrantes/03individual/4140.html","4140")</f>
      </c>
      <c r="B609" t="s">
        <v>842</v>
      </c>
      <c r="C609" t="s">
        <v>907</v>
      </c>
      <c r="D609" t="s">
        <v>920</v>
      </c>
      <c r="E609" t="s">
        <v>15</v>
      </c>
      <c r="F609" t="s">
        <v>12661</v>
      </c>
      <c r="G609" t="s">
        <v>18055</v>
      </c>
      <c r="H609" t="s">
        <v>1112</v>
      </c>
      <c r="I609" t="s">
        <v>1108</v>
      </c>
      <c r="J609" t="s">
        <v>12662</v>
      </c>
      <c r="K609" t="s">
        <v>12663</v>
      </c>
      <c r="L609" t="s">
        <v>36</v>
      </c>
      <c r="M609" t="s">
        <v>19177</v>
      </c>
      <c r="N609" t="s">
        <v>16376</v>
      </c>
      <c r="O609" t="s">
        <v>16376</v>
      </c>
      <c r="P609" t="s">
        <v>842</v>
      </c>
    </row>
    <row r="610">
      <c r="A610">
        <f>HYPERLINK("http://bombeiros.sp.gov.br/hidrantes/03individual/4118.html","4118")</f>
      </c>
      <c r="B610" t="s">
        <v>842</v>
      </c>
      <c r="C610" t="s">
        <v>907</v>
      </c>
      <c r="D610" t="s">
        <v>907</v>
      </c>
      <c r="E610" t="s">
        <v>64</v>
      </c>
      <c r="F610" t="s">
        <v>12667</v>
      </c>
      <c r="G610" t="s">
        <v>18055</v>
      </c>
      <c r="H610" t="s">
        <v>1174</v>
      </c>
      <c r="I610" t="s">
        <v>1117</v>
      </c>
      <c r="J610" t="s">
        <v>12668</v>
      </c>
      <c r="K610" t="s">
        <v>12669</v>
      </c>
      <c r="L610" t="s">
        <v>36</v>
      </c>
      <c r="M610" t="s">
        <v>19177</v>
      </c>
      <c r="N610" t="s">
        <v>16376</v>
      </c>
      <c r="O610" t="s">
        <v>16376</v>
      </c>
      <c r="P610" t="s">
        <v>842</v>
      </c>
    </row>
    <row r="611">
      <c r="A611">
        <f>HYPERLINK("http://bombeiros.sp.gov.br/hidrantes/03individual/4404.html","4404")</f>
      </c>
      <c r="B611" t="s">
        <v>842</v>
      </c>
      <c r="C611" t="s">
        <v>907</v>
      </c>
      <c r="D611" t="s">
        <v>932</v>
      </c>
      <c r="E611" t="s">
        <v>15</v>
      </c>
      <c r="F611" t="s">
        <v>12709</v>
      </c>
      <c r="G611" t="s">
        <v>18050</v>
      </c>
      <c r="H611" t="s">
        <v>1112</v>
      </c>
      <c r="I611" t="s">
        <v>1108</v>
      </c>
      <c r="J611" t="s">
        <v>12710</v>
      </c>
      <c r="K611" t="s">
        <v>12711</v>
      </c>
      <c r="L611" t="s">
        <v>36</v>
      </c>
      <c r="M611" t="s">
        <v>19177</v>
      </c>
      <c r="N611" t="s">
        <v>16376</v>
      </c>
      <c r="O611" t="s">
        <v>16376</v>
      </c>
      <c r="P611" t="s">
        <v>842</v>
      </c>
    </row>
    <row r="612">
      <c r="A612">
        <f>HYPERLINK("http://bombeiros.sp.gov.br/hidrantes/03individual/1835.html","1835")</f>
      </c>
      <c r="B612" t="s">
        <v>842</v>
      </c>
      <c r="C612" t="s">
        <v>937</v>
      </c>
      <c r="D612" t="s">
        <v>937</v>
      </c>
      <c r="E612" t="s">
        <v>64</v>
      </c>
      <c r="F612" t="s">
        <v>12751</v>
      </c>
      <c r="G612" t="s">
        <v>18068</v>
      </c>
      <c r="H612" t="s">
        <v>1107</v>
      </c>
      <c r="I612" t="s">
        <v>1108</v>
      </c>
      <c r="J612" t="s">
        <v>12752</v>
      </c>
      <c r="K612" t="s">
        <v>12753</v>
      </c>
      <c r="L612" t="s">
        <v>36</v>
      </c>
      <c r="M612" t="s">
        <v>19177</v>
      </c>
      <c r="N612" t="s">
        <v>97</v>
      </c>
      <c r="O612" t="s">
        <v>937</v>
      </c>
      <c r="P612" t="s">
        <v>12</v>
      </c>
    </row>
    <row r="613">
      <c r="A613">
        <f>HYPERLINK("http://bombeiros.sp.gov.br/hidrantes/03individual/2982.html","2982")</f>
      </c>
      <c r="B613" t="s">
        <v>842</v>
      </c>
      <c r="C613" t="s">
        <v>937</v>
      </c>
      <c r="D613" t="s">
        <v>937</v>
      </c>
      <c r="E613" t="s">
        <v>64</v>
      </c>
      <c r="F613" t="s">
        <v>12754</v>
      </c>
      <c r="G613" t="s">
        <v>18068</v>
      </c>
      <c r="H613" t="s">
        <v>1174</v>
      </c>
      <c r="I613" t="s">
        <v>1108</v>
      </c>
      <c r="J613" t="s">
        <v>12755</v>
      </c>
      <c r="K613" t="s">
        <v>12756</v>
      </c>
      <c r="L613" t="s">
        <v>36</v>
      </c>
      <c r="M613" t="s">
        <v>19177</v>
      </c>
      <c r="N613" t="s">
        <v>97</v>
      </c>
      <c r="O613" t="s">
        <v>937</v>
      </c>
      <c r="P613" t="s">
        <v>12</v>
      </c>
    </row>
    <row r="614">
      <c r="A614">
        <f>HYPERLINK("http://bombeiros.sp.gov.br/hidrantes/03individual/3016.html","3016")</f>
      </c>
      <c r="B614" t="s">
        <v>842</v>
      </c>
      <c r="C614" t="s">
        <v>937</v>
      </c>
      <c r="D614" t="s">
        <v>937</v>
      </c>
      <c r="E614" t="s">
        <v>64</v>
      </c>
      <c r="F614" t="s">
        <v>12757</v>
      </c>
      <c r="G614" t="s">
        <v>18170</v>
      </c>
      <c r="H614" t="s">
        <v>1112</v>
      </c>
      <c r="I614" t="s">
        <v>1108</v>
      </c>
      <c r="J614" t="s">
        <v>12758</v>
      </c>
      <c r="K614" t="s">
        <v>12759</v>
      </c>
      <c r="L614" t="s">
        <v>36</v>
      </c>
      <c r="M614" t="s">
        <v>19177</v>
      </c>
      <c r="N614" t="s">
        <v>97</v>
      </c>
      <c r="O614" t="s">
        <v>937</v>
      </c>
      <c r="P614" t="s">
        <v>12</v>
      </c>
    </row>
    <row r="615">
      <c r="A615">
        <f>HYPERLINK("http://bombeiros.sp.gov.br/hidrantes/03individual/3057.html","3057")</f>
      </c>
      <c r="B615" t="s">
        <v>842</v>
      </c>
      <c r="C615" t="s">
        <v>937</v>
      </c>
      <c r="D615" t="s">
        <v>12838</v>
      </c>
      <c r="E615" t="s">
        <v>15</v>
      </c>
      <c r="F615" t="s">
        <v>12881</v>
      </c>
      <c r="G615" t="s">
        <v>18066</v>
      </c>
      <c r="H615" t="s">
        <v>1107</v>
      </c>
      <c r="I615" t="s">
        <v>1108</v>
      </c>
      <c r="J615" t="s">
        <v>12882</v>
      </c>
      <c r="K615" t="s">
        <v>12883</v>
      </c>
      <c r="L615" t="s">
        <v>36</v>
      </c>
      <c r="M615" t="s">
        <v>19177</v>
      </c>
      <c r="N615" t="s">
        <v>97</v>
      </c>
      <c r="O615" t="s">
        <v>937</v>
      </c>
      <c r="P615" t="s">
        <v>12</v>
      </c>
    </row>
    <row r="616">
      <c r="A616">
        <f>HYPERLINK("http://bombeiros.sp.gov.br/hidrantes/03individual/1895.html","1895")</f>
      </c>
      <c r="B616" t="s">
        <v>842</v>
      </c>
      <c r="C616" t="s">
        <v>937</v>
      </c>
      <c r="D616" t="s">
        <v>950</v>
      </c>
      <c r="E616" t="s">
        <v>15</v>
      </c>
      <c r="F616" t="s">
        <v>12935</v>
      </c>
      <c r="G616" t="s">
        <v>18160</v>
      </c>
      <c r="H616" t="s">
        <v>1174</v>
      </c>
      <c r="I616" t="s">
        <v>1108</v>
      </c>
      <c r="J616" t="s">
        <v>12936</v>
      </c>
      <c r="K616" t="s">
        <v>12937</v>
      </c>
      <c r="L616" t="s">
        <v>36</v>
      </c>
      <c r="M616" t="s">
        <v>19177</v>
      </c>
      <c r="N616" t="s">
        <v>97</v>
      </c>
      <c r="O616" t="s">
        <v>937</v>
      </c>
      <c r="P616" t="s">
        <v>12</v>
      </c>
    </row>
    <row r="617">
      <c r="A617">
        <f>HYPERLINK("http://bombeiros.sp.gov.br/hidrantes/03individual/1794.html","1794")</f>
      </c>
      <c r="B617" t="s">
        <v>842</v>
      </c>
      <c r="C617" t="s">
        <v>937</v>
      </c>
      <c r="D617" t="s">
        <v>12965</v>
      </c>
      <c r="E617" t="s">
        <v>15</v>
      </c>
      <c r="F617" t="s">
        <v>12999</v>
      </c>
      <c r="G617" t="s">
        <v>18076</v>
      </c>
      <c r="H617" t="s">
        <v>1112</v>
      </c>
      <c r="I617" t="s">
        <v>1108</v>
      </c>
      <c r="J617" t="s">
        <v>13000</v>
      </c>
      <c r="K617" t="s">
        <v>13001</v>
      </c>
      <c r="L617" t="s">
        <v>36</v>
      </c>
      <c r="M617" t="s">
        <v>19177</v>
      </c>
      <c r="N617" t="s">
        <v>97</v>
      </c>
      <c r="O617" t="s">
        <v>937</v>
      </c>
      <c r="P617" t="s">
        <v>12</v>
      </c>
    </row>
    <row r="618">
      <c r="A618">
        <f>HYPERLINK("http://bombeiros.sp.gov.br/hidrantes/03individual/260.html","260")</f>
      </c>
      <c r="B618" t="s">
        <v>842</v>
      </c>
      <c r="C618" t="s">
        <v>937</v>
      </c>
      <c r="D618" t="s">
        <v>960</v>
      </c>
      <c r="E618" t="s">
        <v>64</v>
      </c>
      <c r="F618" t="s">
        <v>13008</v>
      </c>
      <c r="G618" t="s">
        <v>18115</v>
      </c>
      <c r="H618" t="s">
        <v>1174</v>
      </c>
      <c r="I618" t="s">
        <v>1108</v>
      </c>
      <c r="J618" t="s">
        <v>13009</v>
      </c>
      <c r="K618" t="s">
        <v>13010</v>
      </c>
      <c r="L618" t="s">
        <v>36</v>
      </c>
      <c r="M618" t="s">
        <v>19177</v>
      </c>
      <c r="N618" t="s">
        <v>97</v>
      </c>
      <c r="O618" t="s">
        <v>937</v>
      </c>
      <c r="P618" t="s">
        <v>12</v>
      </c>
    </row>
    <row r="619">
      <c r="A619">
        <f>HYPERLINK("http://bombeiros.sp.gov.br/hidrantes/03individual/2035.html","2035")</f>
      </c>
      <c r="B619" t="s">
        <v>842</v>
      </c>
      <c r="C619" t="s">
        <v>937</v>
      </c>
      <c r="D619" t="s">
        <v>960</v>
      </c>
      <c r="E619" t="s">
        <v>64</v>
      </c>
      <c r="F619" t="s">
        <v>13011</v>
      </c>
      <c r="G619" t="s">
        <v>18095</v>
      </c>
      <c r="H619" t="s">
        <v>1107</v>
      </c>
      <c r="I619" t="s">
        <v>1108</v>
      </c>
      <c r="J619" t="s">
        <v>13012</v>
      </c>
      <c r="K619" t="s">
        <v>13013</v>
      </c>
      <c r="L619" t="s">
        <v>36</v>
      </c>
      <c r="M619" t="s">
        <v>19177</v>
      </c>
      <c r="N619" t="s">
        <v>97</v>
      </c>
      <c r="O619" t="s">
        <v>937</v>
      </c>
      <c r="P619" t="s">
        <v>12</v>
      </c>
    </row>
    <row r="620">
      <c r="A620">
        <f>HYPERLINK("http://bombeiros.sp.gov.br/hidrantes/03individual/341.html","341")</f>
      </c>
      <c r="B620" t="s">
        <v>842</v>
      </c>
      <c r="C620" t="s">
        <v>964</v>
      </c>
      <c r="D620" t="s">
        <v>965</v>
      </c>
      <c r="E620" t="s">
        <v>15</v>
      </c>
      <c r="F620" t="s">
        <v>13083</v>
      </c>
      <c r="G620" t="s">
        <v>18145</v>
      </c>
      <c r="H620" t="s">
        <v>1121</v>
      </c>
      <c r="I620" t="s">
        <v>1117</v>
      </c>
      <c r="J620" t="s">
        <v>13084</v>
      </c>
      <c r="K620" t="s">
        <v>13085</v>
      </c>
      <c r="L620" t="s">
        <v>36</v>
      </c>
      <c r="M620" t="s">
        <v>19177</v>
      </c>
      <c r="N620" t="s">
        <v>1024</v>
      </c>
      <c r="O620" t="s">
        <v>1024</v>
      </c>
      <c r="P620" t="s">
        <v>842</v>
      </c>
    </row>
    <row r="621">
      <c r="A621">
        <f>HYPERLINK("http://bombeiros.sp.gov.br/hidrantes/03individual/4361.html","4361")</f>
      </c>
      <c r="B621" t="s">
        <v>842</v>
      </c>
      <c r="C621" t="s">
        <v>964</v>
      </c>
      <c r="D621" t="s">
        <v>965</v>
      </c>
      <c r="E621" t="s">
        <v>15</v>
      </c>
      <c r="F621" t="s">
        <v>13128</v>
      </c>
      <c r="G621" t="s">
        <v>18042</v>
      </c>
      <c r="H621" t="s">
        <v>1112</v>
      </c>
      <c r="I621" t="s">
        <v>1108</v>
      </c>
      <c r="J621" t="s">
        <v>13129</v>
      </c>
      <c r="K621" t="s">
        <v>13130</v>
      </c>
      <c r="L621" t="s">
        <v>36</v>
      </c>
      <c r="M621" t="s">
        <v>19177</v>
      </c>
      <c r="N621" t="s">
        <v>1024</v>
      </c>
      <c r="O621" t="s">
        <v>1024</v>
      </c>
      <c r="P621" t="s">
        <v>842</v>
      </c>
    </row>
    <row r="622">
      <c r="A622">
        <f>HYPERLINK("http://bombeiros.sp.gov.br/hidrantes/03individual/393.html","393")</f>
      </c>
      <c r="B622" t="s">
        <v>842</v>
      </c>
      <c r="C622" t="s">
        <v>964</v>
      </c>
      <c r="D622" t="s">
        <v>964</v>
      </c>
      <c r="E622" t="s">
        <v>64</v>
      </c>
      <c r="F622" t="s">
        <v>13141</v>
      </c>
      <c r="G622" t="s">
        <v>18041</v>
      </c>
      <c r="H622" t="s">
        <v>1112</v>
      </c>
      <c r="I622" t="s">
        <v>1108</v>
      </c>
      <c r="J622" t="s">
        <v>13142</v>
      </c>
      <c r="K622" t="s">
        <v>13143</v>
      </c>
      <c r="L622" t="s">
        <v>36</v>
      </c>
      <c r="M622" t="s">
        <v>19177</v>
      </c>
      <c r="N622" t="s">
        <v>1024</v>
      </c>
      <c r="O622" t="s">
        <v>1024</v>
      </c>
      <c r="P622" t="s">
        <v>842</v>
      </c>
    </row>
    <row r="623">
      <c r="A623">
        <f>HYPERLINK("http://bombeiros.sp.gov.br/hidrantes/03individual/4373.html","4373")</f>
      </c>
      <c r="B623" t="s">
        <v>842</v>
      </c>
      <c r="C623" t="s">
        <v>964</v>
      </c>
      <c r="D623" t="s">
        <v>964</v>
      </c>
      <c r="E623" t="s">
        <v>64</v>
      </c>
      <c r="F623" t="s">
        <v>13144</v>
      </c>
      <c r="G623" t="s">
        <v>18145</v>
      </c>
      <c r="H623" t="s">
        <v>1121</v>
      </c>
      <c r="I623" t="s">
        <v>1117</v>
      </c>
      <c r="J623" t="s">
        <v>13145</v>
      </c>
      <c r="K623" t="s">
        <v>13146</v>
      </c>
      <c r="L623" t="s">
        <v>36</v>
      </c>
      <c r="M623" t="s">
        <v>19177</v>
      </c>
      <c r="N623" t="s">
        <v>1024</v>
      </c>
      <c r="O623" t="s">
        <v>1024</v>
      </c>
      <c r="P623" t="s">
        <v>842</v>
      </c>
    </row>
    <row r="624">
      <c r="A624">
        <f>HYPERLINK("http://bombeiros.sp.gov.br/hidrantes/03individual/3735.html","3735")</f>
      </c>
      <c r="B624" t="s">
        <v>842</v>
      </c>
      <c r="C624" t="s">
        <v>964</v>
      </c>
      <c r="D624" t="s">
        <v>13292</v>
      </c>
      <c r="E624" t="s">
        <v>64</v>
      </c>
      <c r="F624" t="s">
        <v>13293</v>
      </c>
      <c r="G624" t="s">
        <v>18531</v>
      </c>
      <c r="H624" t="s">
        <v>1112</v>
      </c>
      <c r="I624" t="s">
        <v>1108</v>
      </c>
      <c r="J624" t="s">
        <v>13294</v>
      </c>
      <c r="K624" t="s">
        <v>13295</v>
      </c>
      <c r="L624" t="s">
        <v>36</v>
      </c>
      <c r="M624" t="s">
        <v>19177</v>
      </c>
      <c r="N624" t="s">
        <v>1024</v>
      </c>
      <c r="O624" t="s">
        <v>1024</v>
      </c>
      <c r="P624" t="s">
        <v>842</v>
      </c>
    </row>
    <row r="625">
      <c r="A625">
        <f>HYPERLINK("http://bombeiros.sp.gov.br/hidrantes/03individual/4148.html","4148")</f>
      </c>
      <c r="B625" t="s">
        <v>842</v>
      </c>
      <c r="C625" t="s">
        <v>975</v>
      </c>
      <c r="D625" t="s">
        <v>13369</v>
      </c>
      <c r="E625" t="s">
        <v>64</v>
      </c>
      <c r="F625" t="s">
        <v>13370</v>
      </c>
      <c r="G625" t="s">
        <v>17909</v>
      </c>
      <c r="H625" t="s">
        <v>1107</v>
      </c>
      <c r="I625" t="s">
        <v>1108</v>
      </c>
      <c r="J625" t="s">
        <v>13371</v>
      </c>
      <c r="K625" t="s">
        <v>13372</v>
      </c>
      <c r="L625" t="s">
        <v>36</v>
      </c>
      <c r="M625" t="s">
        <v>19177</v>
      </c>
      <c r="N625" t="s">
        <v>843</v>
      </c>
      <c r="O625" t="s">
        <v>987</v>
      </c>
      <c r="P625" t="s">
        <v>842</v>
      </c>
    </row>
    <row r="626">
      <c r="A626">
        <f>HYPERLINK("http://bombeiros.sp.gov.br/hidrantes/03individual/4110.html","4110")</f>
      </c>
      <c r="B626" t="s">
        <v>842</v>
      </c>
      <c r="C626" t="s">
        <v>979</v>
      </c>
      <c r="D626" t="s">
        <v>980</v>
      </c>
      <c r="E626" t="s">
        <v>64</v>
      </c>
      <c r="F626" t="s">
        <v>13376</v>
      </c>
      <c r="G626" t="s">
        <v>18055</v>
      </c>
      <c r="H626" t="s">
        <v>1112</v>
      </c>
      <c r="I626" t="s">
        <v>1108</v>
      </c>
      <c r="J626" t="s">
        <v>13377</v>
      </c>
      <c r="K626" t="s">
        <v>13378</v>
      </c>
      <c r="L626" t="s">
        <v>36</v>
      </c>
      <c r="M626" t="s">
        <v>19177</v>
      </c>
      <c r="N626" t="s">
        <v>843</v>
      </c>
      <c r="O626" t="s">
        <v>987</v>
      </c>
      <c r="P626" t="s">
        <v>842</v>
      </c>
    </row>
    <row r="627">
      <c r="A627">
        <f>HYPERLINK("http://bombeiros.sp.gov.br/hidrantes/03individual/4133.html","4133")</f>
      </c>
      <c r="B627" t="s">
        <v>842</v>
      </c>
      <c r="C627" t="s">
        <v>979</v>
      </c>
      <c r="D627" t="s">
        <v>980</v>
      </c>
      <c r="E627" t="s">
        <v>64</v>
      </c>
      <c r="F627" t="s">
        <v>13379</v>
      </c>
      <c r="G627" t="s">
        <v>17921</v>
      </c>
      <c r="H627" t="s">
        <v>1112</v>
      </c>
      <c r="I627" t="s">
        <v>1108</v>
      </c>
      <c r="J627" t="s">
        <v>13380</v>
      </c>
      <c r="K627" t="s">
        <v>13381</v>
      </c>
      <c r="L627" t="s">
        <v>36</v>
      </c>
      <c r="M627" t="s">
        <v>19177</v>
      </c>
      <c r="N627" t="s">
        <v>843</v>
      </c>
      <c r="O627" t="s">
        <v>987</v>
      </c>
      <c r="P627" t="s">
        <v>842</v>
      </c>
    </row>
    <row r="628">
      <c r="A628">
        <f>HYPERLINK("http://bombeiros.sp.gov.br/hidrantes/03individual/4134.html","4134")</f>
      </c>
      <c r="B628" t="s">
        <v>842</v>
      </c>
      <c r="C628" t="s">
        <v>979</v>
      </c>
      <c r="D628" t="s">
        <v>980</v>
      </c>
      <c r="E628" t="s">
        <v>64</v>
      </c>
      <c r="F628" t="s">
        <v>13382</v>
      </c>
      <c r="G628" t="s">
        <v>17921</v>
      </c>
      <c r="H628" t="s">
        <v>1121</v>
      </c>
      <c r="I628" t="s">
        <v>1117</v>
      </c>
      <c r="J628" t="s">
        <v>13383</v>
      </c>
      <c r="K628" t="s">
        <v>13384</v>
      </c>
      <c r="L628" t="s">
        <v>36</v>
      </c>
      <c r="M628" t="s">
        <v>19177</v>
      </c>
      <c r="N628" t="s">
        <v>843</v>
      </c>
      <c r="O628" t="s">
        <v>987</v>
      </c>
      <c r="P628" t="s">
        <v>842</v>
      </c>
    </row>
    <row r="629">
      <c r="A629">
        <f>HYPERLINK("http://bombeiros.sp.gov.br/hidrantes/03individual/4402.html","4402")</f>
      </c>
      <c r="B629" t="s">
        <v>842</v>
      </c>
      <c r="C629" t="s">
        <v>979</v>
      </c>
      <c r="D629" t="s">
        <v>987</v>
      </c>
      <c r="E629" t="s">
        <v>64</v>
      </c>
      <c r="F629" t="s">
        <v>13412</v>
      </c>
      <c r="G629" t="s">
        <v>17911</v>
      </c>
      <c r="H629" t="s">
        <v>1121</v>
      </c>
      <c r="I629" t="s">
        <v>1117</v>
      </c>
      <c r="J629" t="s">
        <v>13413</v>
      </c>
      <c r="K629" t="s">
        <v>13414</v>
      </c>
      <c r="L629" t="s">
        <v>36</v>
      </c>
      <c r="M629" t="s">
        <v>19177</v>
      </c>
      <c r="N629" t="s">
        <v>843</v>
      </c>
      <c r="O629" t="s">
        <v>987</v>
      </c>
      <c r="P629" t="s">
        <v>842</v>
      </c>
    </row>
    <row r="630">
      <c r="A630">
        <f>HYPERLINK("http://bombeiros.sp.gov.br/hidrantes/03individual/6721.html","6721")</f>
      </c>
      <c r="B630" t="s">
        <v>842</v>
      </c>
      <c r="C630" t="s">
        <v>979</v>
      </c>
      <c r="D630" t="s">
        <v>979</v>
      </c>
      <c r="E630" t="s">
        <v>64</v>
      </c>
      <c r="F630" t="s">
        <v>13424</v>
      </c>
      <c r="G630" t="s">
        <v>17921</v>
      </c>
      <c r="H630" t="s">
        <v>1112</v>
      </c>
      <c r="I630" t="s">
        <v>1117</v>
      </c>
      <c r="J630" t="s">
        <v>13425</v>
      </c>
      <c r="K630" t="s">
        <v>13426</v>
      </c>
      <c r="L630" t="s">
        <v>36</v>
      </c>
      <c r="M630" t="s">
        <v>19177</v>
      </c>
      <c r="N630" t="s">
        <v>848</v>
      </c>
      <c r="O630" t="s">
        <v>640</v>
      </c>
      <c r="P630" t="s">
        <v>623</v>
      </c>
    </row>
    <row r="631">
      <c r="A631">
        <f>HYPERLINK("http://bombeiros.sp.gov.br/hidrantes/03individual/3784.html","3784")</f>
      </c>
      <c r="B631" t="s">
        <v>842</v>
      </c>
      <c r="C631" t="s">
        <v>996</v>
      </c>
      <c r="D631" t="s">
        <v>13449</v>
      </c>
      <c r="E631" t="s">
        <v>1507</v>
      </c>
      <c r="F631" t="s">
        <v>13450</v>
      </c>
      <c r="G631" t="s">
        <v>18083</v>
      </c>
      <c r="H631" t="s">
        <v>1107</v>
      </c>
      <c r="I631" t="s">
        <v>1108</v>
      </c>
      <c r="J631" t="s">
        <v>13451</v>
      </c>
      <c r="K631" t="s">
        <v>13452</v>
      </c>
      <c r="L631" t="s">
        <v>36</v>
      </c>
      <c r="M631" t="s">
        <v>19177</v>
      </c>
      <c r="N631" t="s">
        <v>714</v>
      </c>
      <c r="O631" t="s">
        <v>10263</v>
      </c>
      <c r="P631" t="s">
        <v>12</v>
      </c>
    </row>
    <row r="632">
      <c r="A632">
        <f>HYPERLINK("http://bombeiros.sp.gov.br/hidrantes/03individual/3698.html","3698")</f>
      </c>
      <c r="B632" t="s">
        <v>842</v>
      </c>
      <c r="C632" t="s">
        <v>996</v>
      </c>
      <c r="D632" t="s">
        <v>13449</v>
      </c>
      <c r="E632" t="s">
        <v>64</v>
      </c>
      <c r="F632" t="s">
        <v>13453</v>
      </c>
      <c r="G632" t="s">
        <v>18129</v>
      </c>
      <c r="H632" t="s">
        <v>1112</v>
      </c>
      <c r="I632" t="s">
        <v>1108</v>
      </c>
      <c r="J632" t="s">
        <v>13454</v>
      </c>
      <c r="K632" t="s">
        <v>13455</v>
      </c>
      <c r="L632" t="s">
        <v>36</v>
      </c>
      <c r="M632" t="s">
        <v>19177</v>
      </c>
      <c r="N632" t="s">
        <v>714</v>
      </c>
      <c r="O632" t="s">
        <v>10263</v>
      </c>
      <c r="P632" t="s">
        <v>12</v>
      </c>
    </row>
    <row r="633">
      <c r="A633">
        <f>HYPERLINK("http://bombeiros.sp.gov.br/hidrantes/03individual/3783.html","3783")</f>
      </c>
      <c r="B633" t="s">
        <v>842</v>
      </c>
      <c r="C633" t="s">
        <v>996</v>
      </c>
      <c r="D633" t="s">
        <v>13449</v>
      </c>
      <c r="E633" t="s">
        <v>64</v>
      </c>
      <c r="F633" t="s">
        <v>13456</v>
      </c>
      <c r="G633" t="s">
        <v>18544</v>
      </c>
      <c r="H633" t="s">
        <v>1121</v>
      </c>
      <c r="I633" t="s">
        <v>1117</v>
      </c>
      <c r="J633" t="s">
        <v>13457</v>
      </c>
      <c r="K633" t="s">
        <v>13458</v>
      </c>
      <c r="L633" t="s">
        <v>36</v>
      </c>
      <c r="M633" t="s">
        <v>19177</v>
      </c>
      <c r="N633" t="s">
        <v>714</v>
      </c>
      <c r="O633" t="s">
        <v>10263</v>
      </c>
      <c r="P633" t="s">
        <v>12</v>
      </c>
    </row>
    <row r="634">
      <c r="A634">
        <f>HYPERLINK("http://bombeiros.sp.gov.br/hidrantes/03individual/4005.html","4005")</f>
      </c>
      <c r="B634" t="s">
        <v>842</v>
      </c>
      <c r="C634" t="s">
        <v>996</v>
      </c>
      <c r="D634" t="s">
        <v>13449</v>
      </c>
      <c r="E634" t="s">
        <v>64</v>
      </c>
      <c r="F634" t="s">
        <v>13459</v>
      </c>
      <c r="G634" t="s">
        <v>18129</v>
      </c>
      <c r="H634" t="s">
        <v>1112</v>
      </c>
      <c r="I634" t="s">
        <v>1108</v>
      </c>
      <c r="J634" t="s">
        <v>13461</v>
      </c>
      <c r="K634" t="s">
        <v>13462</v>
      </c>
      <c r="L634" t="s">
        <v>36</v>
      </c>
      <c r="M634" t="s">
        <v>19177</v>
      </c>
      <c r="N634" t="s">
        <v>714</v>
      </c>
      <c r="O634" t="s">
        <v>10263</v>
      </c>
      <c r="P634" t="s">
        <v>12</v>
      </c>
    </row>
    <row r="635">
      <c r="A635">
        <f>HYPERLINK("http://bombeiros.sp.gov.br/hidrantes/03individual/326.html","326")</f>
      </c>
      <c r="B635" t="s">
        <v>842</v>
      </c>
      <c r="C635" t="s">
        <v>996</v>
      </c>
      <c r="D635" t="s">
        <v>996</v>
      </c>
      <c r="E635" t="s">
        <v>64</v>
      </c>
      <c r="F635" t="s">
        <v>13490</v>
      </c>
      <c r="G635" t="s">
        <v>18060</v>
      </c>
      <c r="H635" t="s">
        <v>1107</v>
      </c>
      <c r="I635" t="s">
        <v>1108</v>
      </c>
      <c r="J635" t="s">
        <v>13491</v>
      </c>
      <c r="K635" t="s">
        <v>13492</v>
      </c>
      <c r="L635" t="s">
        <v>36</v>
      </c>
      <c r="M635" t="s">
        <v>19177</v>
      </c>
      <c r="N635" t="s">
        <v>714</v>
      </c>
      <c r="O635" t="s">
        <v>10263</v>
      </c>
      <c r="P635" t="s">
        <v>12</v>
      </c>
    </row>
    <row r="636">
      <c r="A636">
        <f>HYPERLINK("http://bombeiros.sp.gov.br/hidrantes/03individual/389.html","389")</f>
      </c>
      <c r="B636" t="s">
        <v>842</v>
      </c>
      <c r="C636" t="s">
        <v>996</v>
      </c>
      <c r="D636" t="s">
        <v>996</v>
      </c>
      <c r="E636" t="s">
        <v>64</v>
      </c>
      <c r="F636" t="s">
        <v>13493</v>
      </c>
      <c r="G636" t="s">
        <v>18544</v>
      </c>
      <c r="H636" t="s">
        <v>1107</v>
      </c>
      <c r="I636" t="s">
        <v>1108</v>
      </c>
      <c r="J636" t="s">
        <v>13494</v>
      </c>
      <c r="K636" t="s">
        <v>13495</v>
      </c>
      <c r="L636" t="s">
        <v>36</v>
      </c>
      <c r="M636" t="s">
        <v>19177</v>
      </c>
      <c r="N636" t="s">
        <v>714</v>
      </c>
      <c r="O636" t="s">
        <v>10263</v>
      </c>
      <c r="P636" t="s">
        <v>12</v>
      </c>
    </row>
    <row r="637">
      <c r="A637">
        <f>HYPERLINK("http://bombeiros.sp.gov.br/hidrantes/03individual/3697.html","3697")</f>
      </c>
      <c r="B637" t="s">
        <v>842</v>
      </c>
      <c r="C637" t="s">
        <v>996</v>
      </c>
      <c r="D637" t="s">
        <v>996</v>
      </c>
      <c r="E637" t="s">
        <v>64</v>
      </c>
      <c r="F637" t="s">
        <v>13496</v>
      </c>
      <c r="G637" t="s">
        <v>18083</v>
      </c>
      <c r="H637" t="s">
        <v>1107</v>
      </c>
      <c r="I637" t="s">
        <v>1108</v>
      </c>
      <c r="J637" t="s">
        <v>13497</v>
      </c>
      <c r="K637" t="s">
        <v>13498</v>
      </c>
      <c r="L637" t="s">
        <v>36</v>
      </c>
      <c r="M637" t="s">
        <v>19177</v>
      </c>
      <c r="N637" t="s">
        <v>714</v>
      </c>
      <c r="O637" t="s">
        <v>10263</v>
      </c>
      <c r="P637" t="s">
        <v>12</v>
      </c>
    </row>
    <row r="638">
      <c r="A638">
        <f>HYPERLINK("http://bombeiros.sp.gov.br/hidrantes/03individual/3701.html","3701")</f>
      </c>
      <c r="B638" t="s">
        <v>842</v>
      </c>
      <c r="C638" t="s">
        <v>996</v>
      </c>
      <c r="D638" t="s">
        <v>996</v>
      </c>
      <c r="E638" t="s">
        <v>64</v>
      </c>
      <c r="F638" t="s">
        <v>13499</v>
      </c>
      <c r="G638" t="s">
        <v>18167</v>
      </c>
      <c r="H638" t="s">
        <v>1107</v>
      </c>
      <c r="I638" t="s">
        <v>1108</v>
      </c>
      <c r="J638" t="s">
        <v>13500</v>
      </c>
      <c r="K638" t="s">
        <v>13501</v>
      </c>
      <c r="L638" t="s">
        <v>36</v>
      </c>
      <c r="M638" t="s">
        <v>19177</v>
      </c>
      <c r="N638" t="s">
        <v>714</v>
      </c>
      <c r="O638" t="s">
        <v>10263</v>
      </c>
      <c r="P638" t="s">
        <v>12</v>
      </c>
    </row>
    <row r="639">
      <c r="A639">
        <f>HYPERLINK("http://bombeiros.sp.gov.br/hidrantes/03individual/3995.html","3995")</f>
      </c>
      <c r="B639" t="s">
        <v>842</v>
      </c>
      <c r="C639" t="s">
        <v>996</v>
      </c>
      <c r="D639" t="s">
        <v>996</v>
      </c>
      <c r="E639" t="s">
        <v>64</v>
      </c>
      <c r="F639" t="s">
        <v>13502</v>
      </c>
      <c r="G639" t="s">
        <v>18544</v>
      </c>
      <c r="H639" t="s">
        <v>1107</v>
      </c>
      <c r="I639" t="s">
        <v>1108</v>
      </c>
      <c r="J639" t="s">
        <v>13503</v>
      </c>
      <c r="K639" t="s">
        <v>13504</v>
      </c>
      <c r="L639" t="s">
        <v>36</v>
      </c>
      <c r="M639" t="s">
        <v>19177</v>
      </c>
      <c r="N639" t="s">
        <v>714</v>
      </c>
      <c r="O639" t="s">
        <v>10263</v>
      </c>
      <c r="P639" t="s">
        <v>12</v>
      </c>
    </row>
    <row r="640">
      <c r="A640">
        <f>HYPERLINK("http://bombeiros.sp.gov.br/hidrantes/03individual/477.html","477")</f>
      </c>
      <c r="B640" t="s">
        <v>842</v>
      </c>
      <c r="C640" t="s">
        <v>996</v>
      </c>
      <c r="D640" t="s">
        <v>996</v>
      </c>
      <c r="E640" t="s">
        <v>15</v>
      </c>
      <c r="F640" t="s">
        <v>13529</v>
      </c>
      <c r="G640" t="s">
        <v>18544</v>
      </c>
      <c r="H640" t="s">
        <v>1107</v>
      </c>
      <c r="I640" t="s">
        <v>1108</v>
      </c>
      <c r="J640" t="s">
        <v>13530</v>
      </c>
      <c r="K640" t="s">
        <v>13531</v>
      </c>
      <c r="L640" t="s">
        <v>36</v>
      </c>
      <c r="M640" t="s">
        <v>19177</v>
      </c>
      <c r="N640" t="s">
        <v>714</v>
      </c>
      <c r="O640" t="s">
        <v>10263</v>
      </c>
      <c r="P640" t="s">
        <v>12</v>
      </c>
    </row>
    <row r="641">
      <c r="A641">
        <f>HYPERLINK("http://bombeiros.sp.gov.br/hidrantes/03individual/4006.html","4006")</f>
      </c>
      <c r="B641" t="s">
        <v>842</v>
      </c>
      <c r="C641" t="s">
        <v>996</v>
      </c>
      <c r="D641" t="s">
        <v>996</v>
      </c>
      <c r="E641" t="s">
        <v>15</v>
      </c>
      <c r="F641" t="s">
        <v>13544</v>
      </c>
      <c r="G641" t="s">
        <v>18563</v>
      </c>
      <c r="H641" t="s">
        <v>1121</v>
      </c>
      <c r="I641" t="s">
        <v>1117</v>
      </c>
      <c r="J641" t="s">
        <v>13545</v>
      </c>
      <c r="K641" t="s">
        <v>13546</v>
      </c>
      <c r="L641" t="s">
        <v>36</v>
      </c>
      <c r="M641" t="s">
        <v>19177</v>
      </c>
      <c r="N641" t="s">
        <v>714</v>
      </c>
      <c r="O641" t="s">
        <v>10263</v>
      </c>
      <c r="P641" t="s">
        <v>12</v>
      </c>
    </row>
    <row r="642">
      <c r="A642">
        <f>HYPERLINK("http://bombeiros.sp.gov.br/hidrantes/03individual/1771.html","1771")</f>
      </c>
      <c r="B642" t="s">
        <v>842</v>
      </c>
      <c r="C642" t="s">
        <v>996</v>
      </c>
      <c r="D642" t="s">
        <v>1002</v>
      </c>
      <c r="E642" t="s">
        <v>64</v>
      </c>
      <c r="F642" t="s">
        <v>13550</v>
      </c>
      <c r="G642" t="s">
        <v>18077</v>
      </c>
      <c r="H642" t="s">
        <v>1107</v>
      </c>
      <c r="I642" t="s">
        <v>1108</v>
      </c>
      <c r="J642" t="s">
        <v>13551</v>
      </c>
      <c r="K642" t="s">
        <v>13552</v>
      </c>
      <c r="L642" t="s">
        <v>36</v>
      </c>
      <c r="M642" t="s">
        <v>19177</v>
      </c>
      <c r="N642" t="s">
        <v>714</v>
      </c>
      <c r="O642" t="s">
        <v>10263</v>
      </c>
      <c r="P642" t="s">
        <v>12</v>
      </c>
    </row>
    <row r="643">
      <c r="A643">
        <f>HYPERLINK("http://bombeiros.sp.gov.br/hidrantes/03individual/2196.html","2196")</f>
      </c>
      <c r="B643" t="s">
        <v>842</v>
      </c>
      <c r="C643" t="s">
        <v>996</v>
      </c>
      <c r="D643" t="s">
        <v>1002</v>
      </c>
      <c r="E643" t="s">
        <v>64</v>
      </c>
      <c r="F643" t="s">
        <v>13553</v>
      </c>
      <c r="G643" t="s">
        <v>18048</v>
      </c>
      <c r="H643" t="s">
        <v>1107</v>
      </c>
      <c r="I643" t="s">
        <v>1108</v>
      </c>
      <c r="J643" t="s">
        <v>13554</v>
      </c>
      <c r="K643" t="s">
        <v>13555</v>
      </c>
      <c r="L643" t="s">
        <v>36</v>
      </c>
      <c r="M643" t="s">
        <v>19177</v>
      </c>
      <c r="N643" t="s">
        <v>714</v>
      </c>
      <c r="O643" t="s">
        <v>10263</v>
      </c>
      <c r="P643" t="s">
        <v>12</v>
      </c>
    </row>
    <row r="644">
      <c r="A644">
        <f>HYPERLINK("http://bombeiros.sp.gov.br/hidrantes/03individual/4271.html","4271")</f>
      </c>
      <c r="B644" t="s">
        <v>842</v>
      </c>
      <c r="C644" t="s">
        <v>996</v>
      </c>
      <c r="D644" t="s">
        <v>1002</v>
      </c>
      <c r="E644" t="s">
        <v>64</v>
      </c>
      <c r="F644" t="s">
        <v>13556</v>
      </c>
      <c r="G644" t="s">
        <v>18173</v>
      </c>
      <c r="H644" t="s">
        <v>1107</v>
      </c>
      <c r="I644" t="s">
        <v>1108</v>
      </c>
      <c r="J644" t="s">
        <v>13557</v>
      </c>
      <c r="K644" t="s">
        <v>13558</v>
      </c>
      <c r="L644" t="s">
        <v>36</v>
      </c>
      <c r="M644" t="s">
        <v>19177</v>
      </c>
      <c r="N644" t="s">
        <v>714</v>
      </c>
      <c r="O644" t="s">
        <v>10263</v>
      </c>
      <c r="P644" t="s">
        <v>12</v>
      </c>
    </row>
    <row r="645">
      <c r="A645">
        <f>HYPERLINK("http://bombeiros.sp.gov.br/hidrantes/03individual/2190.html","2190")</f>
      </c>
      <c r="B645" t="s">
        <v>842</v>
      </c>
      <c r="C645" t="s">
        <v>996</v>
      </c>
      <c r="D645" t="s">
        <v>13630</v>
      </c>
      <c r="E645" t="s">
        <v>64</v>
      </c>
      <c r="F645" t="s">
        <v>13634</v>
      </c>
      <c r="G645" t="s">
        <v>18214</v>
      </c>
      <c r="H645" t="s">
        <v>1112</v>
      </c>
      <c r="I645" t="s">
        <v>1108</v>
      </c>
      <c r="J645" t="s">
        <v>13635</v>
      </c>
      <c r="K645" t="s">
        <v>13636</v>
      </c>
      <c r="L645" t="s">
        <v>36</v>
      </c>
      <c r="M645" t="s">
        <v>19177</v>
      </c>
      <c r="N645" t="s">
        <v>714</v>
      </c>
      <c r="O645" t="s">
        <v>10263</v>
      </c>
      <c r="P645" t="s">
        <v>12</v>
      </c>
    </row>
    <row r="646">
      <c r="A646">
        <f>HYPERLINK("http://bombeiros.sp.gov.br/hidrantes/03individual/1536.html","1536")</f>
      </c>
      <c r="B646" t="s">
        <v>842</v>
      </c>
      <c r="C646" t="s">
        <v>996</v>
      </c>
      <c r="D646" t="s">
        <v>13655</v>
      </c>
      <c r="E646" t="s">
        <v>64</v>
      </c>
      <c r="F646" t="s">
        <v>13656</v>
      </c>
      <c r="G646" t="s">
        <v>17945</v>
      </c>
      <c r="H646" t="s">
        <v>1112</v>
      </c>
      <c r="I646" t="s">
        <v>1108</v>
      </c>
      <c r="J646" t="s">
        <v>13657</v>
      </c>
      <c r="K646" t="s">
        <v>13658</v>
      </c>
      <c r="L646" t="s">
        <v>36</v>
      </c>
      <c r="M646" t="s">
        <v>19177</v>
      </c>
      <c r="N646" t="s">
        <v>714</v>
      </c>
      <c r="O646" t="s">
        <v>10263</v>
      </c>
      <c r="P646" t="s">
        <v>12</v>
      </c>
    </row>
    <row r="647">
      <c r="A647">
        <f>HYPERLINK("http://bombeiros.sp.gov.br/hidrantes/03individual/1726.html","1726")</f>
      </c>
      <c r="B647" t="s">
        <v>842</v>
      </c>
      <c r="C647" t="s">
        <v>996</v>
      </c>
      <c r="D647" t="s">
        <v>13655</v>
      </c>
      <c r="E647" t="s">
        <v>64</v>
      </c>
      <c r="F647" t="s">
        <v>13659</v>
      </c>
      <c r="G647" t="s">
        <v>18131</v>
      </c>
      <c r="H647" t="s">
        <v>1121</v>
      </c>
      <c r="I647" t="s">
        <v>1117</v>
      </c>
      <c r="J647" t="s">
        <v>13660</v>
      </c>
      <c r="K647" t="s">
        <v>13661</v>
      </c>
      <c r="L647" t="s">
        <v>36</v>
      </c>
      <c r="M647" t="s">
        <v>19177</v>
      </c>
      <c r="N647" t="s">
        <v>714</v>
      </c>
      <c r="O647" t="s">
        <v>10263</v>
      </c>
      <c r="P647" t="s">
        <v>12</v>
      </c>
    </row>
    <row r="648">
      <c r="A648">
        <f>HYPERLINK("http://bombeiros.sp.gov.br/hidrantes/03individual/395.html","395")</f>
      </c>
      <c r="B648" t="s">
        <v>842</v>
      </c>
      <c r="C648" t="s">
        <v>945</v>
      </c>
      <c r="D648" t="s">
        <v>1016</v>
      </c>
      <c r="E648" t="s">
        <v>64</v>
      </c>
      <c r="F648" t="s">
        <v>13739</v>
      </c>
      <c r="G648" t="s">
        <v>18215</v>
      </c>
      <c r="H648" t="s">
        <v>1107</v>
      </c>
      <c r="I648" t="s">
        <v>1108</v>
      </c>
      <c r="J648" t="s">
        <v>13740</v>
      </c>
      <c r="K648" t="s">
        <v>13741</v>
      </c>
      <c r="L648" t="s">
        <v>36</v>
      </c>
      <c r="M648" t="s">
        <v>19177</v>
      </c>
      <c r="N648" t="s">
        <v>97</v>
      </c>
      <c r="O648" t="s">
        <v>937</v>
      </c>
      <c r="P648" t="s">
        <v>12</v>
      </c>
    </row>
    <row r="649">
      <c r="A649">
        <f>HYPERLINK("http://bombeiros.sp.gov.br/hidrantes/03individual/3599.html","3599")</f>
      </c>
      <c r="B649" t="s">
        <v>842</v>
      </c>
      <c r="C649" t="s">
        <v>945</v>
      </c>
      <c r="D649" t="s">
        <v>1016</v>
      </c>
      <c r="E649" t="s">
        <v>64</v>
      </c>
      <c r="F649" t="s">
        <v>15705</v>
      </c>
      <c r="G649" t="s">
        <v>18152</v>
      </c>
      <c r="H649" t="s">
        <v>1112</v>
      </c>
      <c r="I649" t="s">
        <v>1108</v>
      </c>
      <c r="J649" t="s">
        <v>15706</v>
      </c>
      <c r="K649" t="s">
        <v>15707</v>
      </c>
      <c r="L649" t="s">
        <v>36</v>
      </c>
      <c r="M649" t="s">
        <v>19177</v>
      </c>
      <c r="N649" t="s">
        <v>97</v>
      </c>
      <c r="O649" t="s">
        <v>937</v>
      </c>
      <c r="P649" t="s">
        <v>12</v>
      </c>
    </row>
    <row r="650">
      <c r="A650">
        <f>HYPERLINK("http://bombeiros.sp.gov.br/hidrantes/03individual/3610.html","3610")</f>
      </c>
      <c r="B650" t="s">
        <v>842</v>
      </c>
      <c r="C650" t="s">
        <v>945</v>
      </c>
      <c r="D650" t="s">
        <v>1016</v>
      </c>
      <c r="E650" t="s">
        <v>64</v>
      </c>
      <c r="F650" t="s">
        <v>13745</v>
      </c>
      <c r="G650" t="s">
        <v>18173</v>
      </c>
      <c r="H650" t="s">
        <v>1112</v>
      </c>
      <c r="I650" t="s">
        <v>1108</v>
      </c>
      <c r="J650" t="s">
        <v>13746</v>
      </c>
      <c r="K650" t="s">
        <v>13747</v>
      </c>
      <c r="L650" t="s">
        <v>36</v>
      </c>
      <c r="M650" t="s">
        <v>19177</v>
      </c>
      <c r="N650" t="s">
        <v>97</v>
      </c>
      <c r="O650" t="s">
        <v>937</v>
      </c>
      <c r="P650" t="s">
        <v>12</v>
      </c>
    </row>
    <row r="651">
      <c r="A651">
        <f>HYPERLINK("http://bombeiros.sp.gov.br/hidrantes/03individual/3620.html","3620")</f>
      </c>
      <c r="B651" t="s">
        <v>842</v>
      </c>
      <c r="C651" t="s">
        <v>945</v>
      </c>
      <c r="D651" t="s">
        <v>13774</v>
      </c>
      <c r="E651" t="s">
        <v>64</v>
      </c>
      <c r="F651" t="s">
        <v>13779</v>
      </c>
      <c r="G651" t="s">
        <v>18199</v>
      </c>
      <c r="H651" t="s">
        <v>1112</v>
      </c>
      <c r="I651" t="s">
        <v>1108</v>
      </c>
      <c r="J651" t="s">
        <v>13780</v>
      </c>
      <c r="K651" t="s">
        <v>13781</v>
      </c>
      <c r="L651" t="s">
        <v>36</v>
      </c>
      <c r="M651" t="s">
        <v>19177</v>
      </c>
      <c r="N651" t="s">
        <v>97</v>
      </c>
      <c r="O651" t="s">
        <v>937</v>
      </c>
      <c r="P651" t="s">
        <v>12</v>
      </c>
    </row>
    <row r="652">
      <c r="A652">
        <f>HYPERLINK("http://bombeiros.sp.gov.br/hidrantes/03individual/3624.html","3624")</f>
      </c>
      <c r="B652" t="s">
        <v>842</v>
      </c>
      <c r="C652" t="s">
        <v>945</v>
      </c>
      <c r="D652" t="s">
        <v>13774</v>
      </c>
      <c r="E652" t="s">
        <v>64</v>
      </c>
      <c r="F652" t="s">
        <v>13782</v>
      </c>
      <c r="G652" t="s">
        <v>18169</v>
      </c>
      <c r="H652" t="s">
        <v>1107</v>
      </c>
      <c r="I652" t="s">
        <v>1108</v>
      </c>
      <c r="J652" t="s">
        <v>13783</v>
      </c>
      <c r="K652" t="s">
        <v>13784</v>
      </c>
      <c r="L652" t="s">
        <v>36</v>
      </c>
      <c r="M652" t="s">
        <v>19177</v>
      </c>
      <c r="N652" t="s">
        <v>97</v>
      </c>
      <c r="O652" t="s">
        <v>937</v>
      </c>
      <c r="P652" t="s">
        <v>12</v>
      </c>
    </row>
    <row r="653">
      <c r="A653">
        <f>HYPERLINK("http://bombeiros.sp.gov.br/hidrantes/03individual/3661.html","3661")</f>
      </c>
      <c r="B653" t="s">
        <v>842</v>
      </c>
      <c r="C653" t="s">
        <v>945</v>
      </c>
      <c r="D653" t="s">
        <v>13774</v>
      </c>
      <c r="E653" t="s">
        <v>64</v>
      </c>
      <c r="F653" t="s">
        <v>13785</v>
      </c>
      <c r="G653" t="s">
        <v>18216</v>
      </c>
      <c r="H653" t="s">
        <v>1121</v>
      </c>
      <c r="I653" t="s">
        <v>1117</v>
      </c>
      <c r="J653" t="s">
        <v>13786</v>
      </c>
      <c r="K653" t="s">
        <v>13787</v>
      </c>
      <c r="L653" t="s">
        <v>36</v>
      </c>
      <c r="M653" t="s">
        <v>19177</v>
      </c>
      <c r="N653" t="s">
        <v>97</v>
      </c>
      <c r="O653" t="s">
        <v>937</v>
      </c>
      <c r="P653" t="s">
        <v>12</v>
      </c>
    </row>
    <row r="654">
      <c r="A654">
        <f>HYPERLINK("http://bombeiros.sp.gov.br/hidrantes/03individual/3670.html","3670")</f>
      </c>
      <c r="B654" t="s">
        <v>842</v>
      </c>
      <c r="C654" t="s">
        <v>945</v>
      </c>
      <c r="D654" t="s">
        <v>13774</v>
      </c>
      <c r="E654" t="s">
        <v>64</v>
      </c>
      <c r="F654" t="s">
        <v>13788</v>
      </c>
      <c r="G654" t="s">
        <v>18073</v>
      </c>
      <c r="H654" t="s">
        <v>1107</v>
      </c>
      <c r="I654" t="s">
        <v>1108</v>
      </c>
      <c r="J654" t="s">
        <v>13789</v>
      </c>
      <c r="K654" t="s">
        <v>13790</v>
      </c>
      <c r="L654" t="s">
        <v>36</v>
      </c>
      <c r="M654" t="s">
        <v>19177</v>
      </c>
      <c r="N654" t="s">
        <v>97</v>
      </c>
      <c r="O654" t="s">
        <v>937</v>
      </c>
      <c r="P654" t="s">
        <v>12</v>
      </c>
    </row>
    <row r="655">
      <c r="A655">
        <f>HYPERLINK("http://bombeiros.sp.gov.br/hidrantes/03individual/3679.html","3679")</f>
      </c>
      <c r="B655" t="s">
        <v>842</v>
      </c>
      <c r="C655" t="s">
        <v>945</v>
      </c>
      <c r="D655" t="s">
        <v>13774</v>
      </c>
      <c r="E655" t="s">
        <v>64</v>
      </c>
      <c r="F655" t="s">
        <v>13791</v>
      </c>
      <c r="G655" t="s">
        <v>18216</v>
      </c>
      <c r="H655" t="s">
        <v>1121</v>
      </c>
      <c r="I655" t="s">
        <v>1117</v>
      </c>
      <c r="J655" t="s">
        <v>13792</v>
      </c>
      <c r="K655" t="s">
        <v>13793</v>
      </c>
      <c r="L655" t="s">
        <v>36</v>
      </c>
      <c r="M655" t="s">
        <v>19177</v>
      </c>
      <c r="N655" t="s">
        <v>97</v>
      </c>
      <c r="O655" t="s">
        <v>937</v>
      </c>
      <c r="P655" t="s">
        <v>12</v>
      </c>
    </row>
    <row r="656">
      <c r="A656">
        <f>HYPERLINK("http://bombeiros.sp.gov.br/hidrantes/03individual/3684.html","3684")</f>
      </c>
      <c r="B656" t="s">
        <v>842</v>
      </c>
      <c r="C656" t="s">
        <v>945</v>
      </c>
      <c r="D656" t="s">
        <v>13774</v>
      </c>
      <c r="E656" t="s">
        <v>64</v>
      </c>
      <c r="F656" t="s">
        <v>13794</v>
      </c>
      <c r="G656" t="s">
        <v>18169</v>
      </c>
      <c r="H656" t="s">
        <v>1112</v>
      </c>
      <c r="I656" t="s">
        <v>1108</v>
      </c>
      <c r="J656" t="s">
        <v>13795</v>
      </c>
      <c r="K656" t="s">
        <v>13796</v>
      </c>
      <c r="L656" t="s">
        <v>36</v>
      </c>
      <c r="M656" t="s">
        <v>19177</v>
      </c>
      <c r="N656" t="s">
        <v>97</v>
      </c>
      <c r="O656" t="s">
        <v>937</v>
      </c>
      <c r="P656" t="s">
        <v>12</v>
      </c>
    </row>
    <row r="657">
      <c r="A657">
        <f>HYPERLINK("http://bombeiros.sp.gov.br/hidrantes/03individual/3925.html","3925")</f>
      </c>
      <c r="B657" t="s">
        <v>842</v>
      </c>
      <c r="C657" t="s">
        <v>945</v>
      </c>
      <c r="D657" t="s">
        <v>13774</v>
      </c>
      <c r="E657" t="s">
        <v>64</v>
      </c>
      <c r="F657" t="s">
        <v>13803</v>
      </c>
      <c r="G657" t="s">
        <v>18073</v>
      </c>
      <c r="H657" t="s">
        <v>1121</v>
      </c>
      <c r="I657" t="s">
        <v>1117</v>
      </c>
      <c r="J657" t="s">
        <v>13804</v>
      </c>
      <c r="K657" t="s">
        <v>13805</v>
      </c>
      <c r="L657" t="s">
        <v>36</v>
      </c>
      <c r="M657" t="s">
        <v>19177</v>
      </c>
      <c r="N657" t="s">
        <v>97</v>
      </c>
      <c r="O657" t="s">
        <v>937</v>
      </c>
      <c r="P657" t="s">
        <v>12</v>
      </c>
    </row>
    <row r="658">
      <c r="A658">
        <f>HYPERLINK("http://bombeiros.sp.gov.br/hidrantes/03individual/3879.html","3879")</f>
      </c>
      <c r="B658" t="s">
        <v>842</v>
      </c>
      <c r="C658" t="s">
        <v>945</v>
      </c>
      <c r="D658" t="s">
        <v>13774</v>
      </c>
      <c r="E658" t="s">
        <v>15</v>
      </c>
      <c r="F658" t="s">
        <v>13854</v>
      </c>
      <c r="G658" t="s">
        <v>18199</v>
      </c>
      <c r="H658" t="s">
        <v>1112</v>
      </c>
      <c r="I658" t="s">
        <v>1108</v>
      </c>
      <c r="J658" t="s">
        <v>13855</v>
      </c>
      <c r="K658" t="s">
        <v>13856</v>
      </c>
      <c r="L658" t="s">
        <v>36</v>
      </c>
      <c r="M658" t="s">
        <v>19177</v>
      </c>
      <c r="N658" t="s">
        <v>97</v>
      </c>
      <c r="O658" t="s">
        <v>937</v>
      </c>
      <c r="P658" t="s">
        <v>12</v>
      </c>
    </row>
    <row r="659">
      <c r="A659">
        <f>HYPERLINK("http://bombeiros.sp.gov.br/hidrantes/03individual/3621.html","3621")</f>
      </c>
      <c r="B659" t="s">
        <v>842</v>
      </c>
      <c r="C659" t="s">
        <v>945</v>
      </c>
      <c r="D659" t="s">
        <v>1020</v>
      </c>
      <c r="E659" t="s">
        <v>64</v>
      </c>
      <c r="F659" t="s">
        <v>13863</v>
      </c>
      <c r="G659" t="s">
        <v>18118</v>
      </c>
      <c r="H659" t="s">
        <v>1121</v>
      </c>
      <c r="I659" t="s">
        <v>1117</v>
      </c>
      <c r="J659" t="s">
        <v>13864</v>
      </c>
      <c r="K659" t="s">
        <v>13865</v>
      </c>
      <c r="L659" t="s">
        <v>36</v>
      </c>
      <c r="M659" t="s">
        <v>19177</v>
      </c>
      <c r="N659" t="s">
        <v>97</v>
      </c>
      <c r="O659" t="s">
        <v>937</v>
      </c>
      <c r="P659" t="s">
        <v>12</v>
      </c>
    </row>
    <row r="660">
      <c r="A660">
        <f>HYPERLINK("http://bombeiros.sp.gov.br/hidrantes/03individual/3636.html","3636")</f>
      </c>
      <c r="B660" t="s">
        <v>842</v>
      </c>
      <c r="C660" t="s">
        <v>945</v>
      </c>
      <c r="D660" t="s">
        <v>1020</v>
      </c>
      <c r="E660" t="s">
        <v>64</v>
      </c>
      <c r="F660" t="s">
        <v>13866</v>
      </c>
      <c r="G660" t="s">
        <v>18217</v>
      </c>
      <c r="H660" t="s">
        <v>1112</v>
      </c>
      <c r="I660" t="s">
        <v>1117</v>
      </c>
      <c r="J660" t="s">
        <v>13867</v>
      </c>
      <c r="K660" t="s">
        <v>13868</v>
      </c>
      <c r="L660" t="s">
        <v>36</v>
      </c>
      <c r="M660" t="s">
        <v>19177</v>
      </c>
      <c r="N660" t="s">
        <v>97</v>
      </c>
      <c r="O660" t="s">
        <v>937</v>
      </c>
      <c r="P660" t="s">
        <v>12</v>
      </c>
    </row>
    <row r="661">
      <c r="A661">
        <f>HYPERLINK("http://bombeiros.sp.gov.br/hidrantes/03individual/3630.html","3630")</f>
      </c>
      <c r="B661" t="s">
        <v>842</v>
      </c>
      <c r="C661" t="s">
        <v>945</v>
      </c>
      <c r="D661" t="s">
        <v>13908</v>
      </c>
      <c r="E661" t="s">
        <v>64</v>
      </c>
      <c r="F661" t="s">
        <v>13912</v>
      </c>
      <c r="G661" t="s">
        <v>18212</v>
      </c>
      <c r="H661" t="s">
        <v>1112</v>
      </c>
      <c r="I661" t="s">
        <v>1108</v>
      </c>
      <c r="J661" t="s">
        <v>13913</v>
      </c>
      <c r="K661" t="s">
        <v>13914</v>
      </c>
      <c r="L661" t="s">
        <v>36</v>
      </c>
      <c r="M661" t="s">
        <v>19177</v>
      </c>
      <c r="N661" t="s">
        <v>97</v>
      </c>
      <c r="O661" t="s">
        <v>937</v>
      </c>
      <c r="P661" t="s">
        <v>12</v>
      </c>
    </row>
    <row r="662">
      <c r="A662">
        <f>HYPERLINK("http://bombeiros.sp.gov.br/hidrantes/03individual/3681.html","3681")</f>
      </c>
      <c r="B662" t="s">
        <v>842</v>
      </c>
      <c r="C662" t="s">
        <v>945</v>
      </c>
      <c r="D662" t="s">
        <v>13908</v>
      </c>
      <c r="E662" t="s">
        <v>64</v>
      </c>
      <c r="F662" t="s">
        <v>13918</v>
      </c>
      <c r="G662" t="s">
        <v>18199</v>
      </c>
      <c r="H662" t="s">
        <v>1112</v>
      </c>
      <c r="I662" t="s">
        <v>1108</v>
      </c>
      <c r="J662" t="s">
        <v>13919</v>
      </c>
      <c r="K662" t="s">
        <v>16926</v>
      </c>
      <c r="L662" t="s">
        <v>36</v>
      </c>
      <c r="M662" t="s">
        <v>19177</v>
      </c>
      <c r="N662" t="s">
        <v>97</v>
      </c>
      <c r="O662" t="s">
        <v>937</v>
      </c>
      <c r="P662" t="s">
        <v>12</v>
      </c>
    </row>
    <row r="663">
      <c r="A663">
        <f>HYPERLINK("http://bombeiros.sp.gov.br/hidrantes/03individual/3791.html","3791")</f>
      </c>
      <c r="B663" t="s">
        <v>842</v>
      </c>
      <c r="C663" t="s">
        <v>945</v>
      </c>
      <c r="D663" t="s">
        <v>13908</v>
      </c>
      <c r="E663" t="s">
        <v>64</v>
      </c>
      <c r="F663" t="s">
        <v>13921</v>
      </c>
      <c r="G663" t="s">
        <v>18108</v>
      </c>
      <c r="H663" t="s">
        <v>1112</v>
      </c>
      <c r="I663" t="s">
        <v>1108</v>
      </c>
      <c r="J663" t="s">
        <v>13922</v>
      </c>
      <c r="K663" t="s">
        <v>13923</v>
      </c>
      <c r="L663" t="s">
        <v>36</v>
      </c>
      <c r="M663" t="s">
        <v>19177</v>
      </c>
      <c r="N663" t="s">
        <v>97</v>
      </c>
      <c r="O663" t="s">
        <v>937</v>
      </c>
      <c r="P663" t="s">
        <v>12</v>
      </c>
    </row>
    <row r="664">
      <c r="A664">
        <f>HYPERLINK("http://bombeiros.sp.gov.br/hidrantes/03individual/3691.html","3691")</f>
      </c>
      <c r="B664" t="s">
        <v>842</v>
      </c>
      <c r="C664" t="s">
        <v>945</v>
      </c>
      <c r="D664" t="s">
        <v>13984</v>
      </c>
      <c r="E664" t="s">
        <v>64</v>
      </c>
      <c r="F664" t="s">
        <v>13997</v>
      </c>
      <c r="G664" t="s">
        <v>18171</v>
      </c>
      <c r="H664" t="s">
        <v>1107</v>
      </c>
      <c r="I664" t="s">
        <v>1108</v>
      </c>
      <c r="J664" t="s">
        <v>13998</v>
      </c>
      <c r="K664" t="s">
        <v>13999</v>
      </c>
      <c r="L664" t="s">
        <v>36</v>
      </c>
      <c r="M664" t="s">
        <v>19177</v>
      </c>
      <c r="N664" t="s">
        <v>97</v>
      </c>
      <c r="O664" t="s">
        <v>937</v>
      </c>
      <c r="P664" t="s">
        <v>12</v>
      </c>
    </row>
    <row r="665">
      <c r="A665">
        <f>HYPERLINK("http://bombeiros.sp.gov.br/hidrantes/03individual/2385.html","2385")</f>
      </c>
      <c r="B665" t="s">
        <v>842</v>
      </c>
      <c r="C665" t="s">
        <v>1024</v>
      </c>
      <c r="D665" t="s">
        <v>14012</v>
      </c>
      <c r="E665" t="s">
        <v>64</v>
      </c>
      <c r="F665" t="s">
        <v>14016</v>
      </c>
      <c r="G665" t="s">
        <v>18130</v>
      </c>
      <c r="H665" t="s">
        <v>1112</v>
      </c>
      <c r="I665" t="s">
        <v>1108</v>
      </c>
      <c r="J665" t="s">
        <v>14017</v>
      </c>
      <c r="K665" t="s">
        <v>14018</v>
      </c>
      <c r="L665" t="s">
        <v>36</v>
      </c>
      <c r="M665" t="s">
        <v>19177</v>
      </c>
      <c r="N665" t="s">
        <v>1024</v>
      </c>
      <c r="O665" t="s">
        <v>1024</v>
      </c>
      <c r="P665" t="s">
        <v>842</v>
      </c>
    </row>
    <row r="666">
      <c r="A666">
        <f>HYPERLINK("http://bombeiros.sp.gov.br/hidrantes/03individual/2361.html","2361")</f>
      </c>
      <c r="B666" t="s">
        <v>842</v>
      </c>
      <c r="C666" t="s">
        <v>1024</v>
      </c>
      <c r="D666" t="s">
        <v>1025</v>
      </c>
      <c r="E666" t="s">
        <v>64</v>
      </c>
      <c r="F666" t="s">
        <v>14067</v>
      </c>
      <c r="G666" t="s">
        <v>18200</v>
      </c>
      <c r="H666" t="s">
        <v>1112</v>
      </c>
      <c r="I666" t="s">
        <v>1108</v>
      </c>
      <c r="J666" t="s">
        <v>14068</v>
      </c>
      <c r="K666" t="s">
        <v>14069</v>
      </c>
      <c r="L666" t="s">
        <v>36</v>
      </c>
      <c r="M666" t="s">
        <v>19177</v>
      </c>
      <c r="N666" t="s">
        <v>1024</v>
      </c>
      <c r="O666" t="s">
        <v>1024</v>
      </c>
      <c r="P666" t="s">
        <v>842</v>
      </c>
    </row>
    <row r="667">
      <c r="A667">
        <f>HYPERLINK("http://bombeiros.sp.gov.br/hidrantes/03individual/3863.html","3863")</f>
      </c>
      <c r="B667" t="s">
        <v>842</v>
      </c>
      <c r="C667" t="s">
        <v>1024</v>
      </c>
      <c r="D667" t="s">
        <v>1025</v>
      </c>
      <c r="E667" t="s">
        <v>64</v>
      </c>
      <c r="F667" t="s">
        <v>14070</v>
      </c>
      <c r="G667" t="s">
        <v>18209</v>
      </c>
      <c r="H667" t="s">
        <v>1112</v>
      </c>
      <c r="I667" t="s">
        <v>1108</v>
      </c>
      <c r="J667" t="s">
        <v>14071</v>
      </c>
      <c r="K667" t="s">
        <v>14072</v>
      </c>
      <c r="L667" t="s">
        <v>36</v>
      </c>
      <c r="M667" t="s">
        <v>19177</v>
      </c>
      <c r="N667" t="s">
        <v>1024</v>
      </c>
      <c r="O667" t="s">
        <v>1024</v>
      </c>
      <c r="P667" t="s">
        <v>842</v>
      </c>
    </row>
    <row r="668">
      <c r="A668">
        <f>HYPERLINK("http://bombeiros.sp.gov.br/hidrantes/03individual/4388.html","4388")</f>
      </c>
      <c r="B668" t="s">
        <v>842</v>
      </c>
      <c r="C668" t="s">
        <v>1024</v>
      </c>
      <c r="D668" t="s">
        <v>1025</v>
      </c>
      <c r="E668" t="s">
        <v>64</v>
      </c>
      <c r="F668" t="s">
        <v>14076</v>
      </c>
      <c r="G668" t="s">
        <v>18189</v>
      </c>
      <c r="H668" t="s">
        <v>1112</v>
      </c>
      <c r="I668" t="s">
        <v>1108</v>
      </c>
      <c r="J668" t="s">
        <v>14077</v>
      </c>
      <c r="K668" t="s">
        <v>14078</v>
      </c>
      <c r="L668" t="s">
        <v>36</v>
      </c>
      <c r="M668" t="s">
        <v>19177</v>
      </c>
      <c r="N668" t="s">
        <v>1024</v>
      </c>
      <c r="O668" t="s">
        <v>1024</v>
      </c>
      <c r="P668" t="s">
        <v>842</v>
      </c>
    </row>
    <row r="669">
      <c r="A669">
        <f>HYPERLINK("http://bombeiros.sp.gov.br/hidrantes/03individual/3897.html","3897")</f>
      </c>
      <c r="B669" t="s">
        <v>842</v>
      </c>
      <c r="C669" t="s">
        <v>1024</v>
      </c>
      <c r="D669" t="s">
        <v>1025</v>
      </c>
      <c r="E669" t="s">
        <v>15</v>
      </c>
      <c r="F669" t="s">
        <v>14094</v>
      </c>
      <c r="G669" t="s">
        <v>18209</v>
      </c>
      <c r="H669" t="s">
        <v>1112</v>
      </c>
      <c r="I669" t="s">
        <v>1108</v>
      </c>
      <c r="J669" t="s">
        <v>14095</v>
      </c>
      <c r="K669" t="s">
        <v>14096</v>
      </c>
      <c r="L669" t="s">
        <v>36</v>
      </c>
      <c r="M669" t="s">
        <v>19177</v>
      </c>
      <c r="N669" t="s">
        <v>1024</v>
      </c>
      <c r="O669" t="s">
        <v>1024</v>
      </c>
      <c r="P669" t="s">
        <v>842</v>
      </c>
    </row>
    <row r="670">
      <c r="A670">
        <f>HYPERLINK("http://bombeiros.sp.gov.br/hidrantes/03individual/4051.html","4051")</f>
      </c>
      <c r="B670" t="s">
        <v>842</v>
      </c>
      <c r="C670" t="s">
        <v>1024</v>
      </c>
      <c r="D670" t="s">
        <v>1025</v>
      </c>
      <c r="E670" t="s">
        <v>15</v>
      </c>
      <c r="F670" t="s">
        <v>14109</v>
      </c>
      <c r="G670" t="s">
        <v>18150</v>
      </c>
      <c r="H670" t="s">
        <v>1112</v>
      </c>
      <c r="I670" t="s">
        <v>1108</v>
      </c>
      <c r="J670" t="s">
        <v>14110</v>
      </c>
      <c r="K670" t="s">
        <v>14111</v>
      </c>
      <c r="L670" t="s">
        <v>36</v>
      </c>
      <c r="M670" t="s">
        <v>19177</v>
      </c>
      <c r="N670" t="s">
        <v>1024</v>
      </c>
      <c r="O670" t="s">
        <v>1024</v>
      </c>
      <c r="P670" t="s">
        <v>842</v>
      </c>
    </row>
    <row r="671">
      <c r="A671">
        <f>HYPERLINK("http://bombeiros.sp.gov.br/hidrantes/03individual/4394.html","4394")</f>
      </c>
      <c r="B671" t="s">
        <v>842</v>
      </c>
      <c r="C671" t="s">
        <v>1024</v>
      </c>
      <c r="D671" t="s">
        <v>1025</v>
      </c>
      <c r="E671" t="s">
        <v>15</v>
      </c>
      <c r="F671" t="s">
        <v>14124</v>
      </c>
      <c r="G671" t="s">
        <v>18150</v>
      </c>
      <c r="H671" t="s">
        <v>1112</v>
      </c>
      <c r="I671" t="s">
        <v>1108</v>
      </c>
      <c r="J671" t="s">
        <v>14125</v>
      </c>
      <c r="K671" t="s">
        <v>14126</v>
      </c>
      <c r="L671" t="s">
        <v>36</v>
      </c>
      <c r="M671" t="s">
        <v>19177</v>
      </c>
      <c r="N671" t="s">
        <v>1024</v>
      </c>
      <c r="O671" t="s">
        <v>1024</v>
      </c>
      <c r="P671" t="s">
        <v>842</v>
      </c>
    </row>
    <row r="672">
      <c r="A672">
        <f>HYPERLINK("http://bombeiros.sp.gov.br/hidrantes/03individual/3856.html","3856")</f>
      </c>
      <c r="B672" t="s">
        <v>842</v>
      </c>
      <c r="C672" t="s">
        <v>1024</v>
      </c>
      <c r="D672" t="s">
        <v>1024</v>
      </c>
      <c r="E672" t="s">
        <v>64</v>
      </c>
      <c r="F672" t="s">
        <v>14157</v>
      </c>
      <c r="G672" t="s">
        <v>18147</v>
      </c>
      <c r="H672" t="s">
        <v>1112</v>
      </c>
      <c r="I672" t="s">
        <v>1108</v>
      </c>
      <c r="J672" t="s">
        <v>14158</v>
      </c>
      <c r="K672" t="s">
        <v>14159</v>
      </c>
      <c r="L672" t="s">
        <v>36</v>
      </c>
      <c r="M672" t="s">
        <v>19177</v>
      </c>
      <c r="N672" t="s">
        <v>1024</v>
      </c>
      <c r="O672" t="s">
        <v>1024</v>
      </c>
      <c r="P672" t="s">
        <v>842</v>
      </c>
    </row>
    <row r="673">
      <c r="A673">
        <f>HYPERLINK("http://bombeiros.sp.gov.br/hidrantes/03individual/3799.html","3799")</f>
      </c>
      <c r="B673" t="s">
        <v>842</v>
      </c>
      <c r="C673" t="s">
        <v>1024</v>
      </c>
      <c r="D673" t="s">
        <v>1024</v>
      </c>
      <c r="E673" t="s">
        <v>15</v>
      </c>
      <c r="F673" t="s">
        <v>14163</v>
      </c>
      <c r="G673" t="s">
        <v>18078</v>
      </c>
      <c r="H673" t="s">
        <v>1107</v>
      </c>
      <c r="I673" t="s">
        <v>1108</v>
      </c>
      <c r="J673" t="s">
        <v>14164</v>
      </c>
      <c r="K673" t="s">
        <v>14165</v>
      </c>
      <c r="L673" t="s">
        <v>36</v>
      </c>
      <c r="M673" t="s">
        <v>19177</v>
      </c>
      <c r="N673" t="s">
        <v>1024</v>
      </c>
      <c r="O673" t="s">
        <v>1024</v>
      </c>
      <c r="P673" t="s">
        <v>842</v>
      </c>
    </row>
    <row r="674">
      <c r="A674">
        <f>HYPERLINK("http://bombeiros.sp.gov.br/hidrantes/03individual/4016.html","4016")</f>
      </c>
      <c r="B674" t="s">
        <v>842</v>
      </c>
      <c r="C674" t="s">
        <v>1024</v>
      </c>
      <c r="D674" t="s">
        <v>1055</v>
      </c>
      <c r="E674" t="s">
        <v>64</v>
      </c>
      <c r="F674" t="s">
        <v>14214</v>
      </c>
      <c r="G674" t="s">
        <v>18072</v>
      </c>
      <c r="H674" t="s">
        <v>1112</v>
      </c>
      <c r="I674" t="s">
        <v>1108</v>
      </c>
      <c r="J674" t="s">
        <v>14215</v>
      </c>
      <c r="K674" t="s">
        <v>14216</v>
      </c>
      <c r="L674" t="s">
        <v>36</v>
      </c>
      <c r="M674" t="s">
        <v>19177</v>
      </c>
      <c r="N674" t="s">
        <v>1024</v>
      </c>
      <c r="O674" t="s">
        <v>1024</v>
      </c>
      <c r="P674" t="s">
        <v>842</v>
      </c>
    </row>
    <row r="675">
      <c r="A675">
        <f>HYPERLINK("http://bombeiros.sp.gov.br/hidrantes/03individual/10045.html","10045")</f>
      </c>
      <c r="B675" t="s">
        <v>842</v>
      </c>
      <c r="C675" t="s">
        <v>1024</v>
      </c>
      <c r="D675" t="s">
        <v>1055</v>
      </c>
      <c r="E675" t="s">
        <v>15</v>
      </c>
      <c r="F675" t="s">
        <v>1059</v>
      </c>
      <c r="G675" t="s">
        <v>18078</v>
      </c>
      <c r="H675" t="s">
        <v>1174</v>
      </c>
      <c r="I675" t="s">
        <v>1108</v>
      </c>
      <c r="J675" t="s">
        <v>1060</v>
      </c>
      <c r="K675" t="s">
        <v>1061</v>
      </c>
      <c r="L675" t="s">
        <v>36</v>
      </c>
      <c r="M675" t="s">
        <v>19177</v>
      </c>
      <c r="N675" t="s">
        <v>1024</v>
      </c>
      <c r="O675" t="s">
        <v>1024</v>
      </c>
      <c r="P675" t="s">
        <v>842</v>
      </c>
    </row>
    <row r="676">
      <c r="A676">
        <f>HYPERLINK("http://bombeiros.sp.gov.br/hidrantes/03individual/3609.html","3609")</f>
      </c>
      <c r="B676" t="s">
        <v>842</v>
      </c>
      <c r="C676" t="s">
        <v>1065</v>
      </c>
      <c r="D676" t="s">
        <v>1066</v>
      </c>
      <c r="E676" t="s">
        <v>64</v>
      </c>
      <c r="F676" t="s">
        <v>14247</v>
      </c>
      <c r="G676" t="s">
        <v>18551</v>
      </c>
      <c r="H676" t="s">
        <v>1112</v>
      </c>
      <c r="I676" t="s">
        <v>1108</v>
      </c>
      <c r="J676" t="s">
        <v>14248</v>
      </c>
      <c r="K676" t="s">
        <v>14249</v>
      </c>
      <c r="L676" t="s">
        <v>36</v>
      </c>
      <c r="M676" t="s">
        <v>19177</v>
      </c>
      <c r="N676" t="s">
        <v>714</v>
      </c>
      <c r="O676" t="s">
        <v>10263</v>
      </c>
      <c r="P676" t="s">
        <v>12</v>
      </c>
    </row>
    <row r="677">
      <c r="A677">
        <f>HYPERLINK("http://bombeiros.sp.gov.br/hidrantes/03individual/3611.html","3611")</f>
      </c>
      <c r="B677" t="s">
        <v>842</v>
      </c>
      <c r="C677" t="s">
        <v>1065</v>
      </c>
      <c r="D677" t="s">
        <v>1066</v>
      </c>
      <c r="E677" t="s">
        <v>64</v>
      </c>
      <c r="F677" t="s">
        <v>14250</v>
      </c>
      <c r="G677" t="s">
        <v>18551</v>
      </c>
      <c r="H677" t="s">
        <v>1112</v>
      </c>
      <c r="I677" t="s">
        <v>1108</v>
      </c>
      <c r="J677" t="s">
        <v>14251</v>
      </c>
      <c r="K677" t="s">
        <v>14252</v>
      </c>
      <c r="L677" t="s">
        <v>36</v>
      </c>
      <c r="M677" t="s">
        <v>19177</v>
      </c>
      <c r="N677" t="s">
        <v>714</v>
      </c>
      <c r="O677" t="s">
        <v>10263</v>
      </c>
      <c r="P677" t="s">
        <v>12</v>
      </c>
    </row>
    <row r="678">
      <c r="A678">
        <f>HYPERLINK("http://bombeiros.sp.gov.br/hidrantes/03individual/288.html","288")</f>
      </c>
      <c r="B678" t="s">
        <v>842</v>
      </c>
      <c r="C678" t="s">
        <v>1065</v>
      </c>
      <c r="D678" t="s">
        <v>14295</v>
      </c>
      <c r="E678" t="s">
        <v>64</v>
      </c>
      <c r="F678" t="s">
        <v>14296</v>
      </c>
      <c r="G678" t="s">
        <v>18181</v>
      </c>
      <c r="H678" t="s">
        <v>1112</v>
      </c>
      <c r="I678" t="s">
        <v>1108</v>
      </c>
      <c r="J678" t="s">
        <v>17242</v>
      </c>
      <c r="K678" t="s">
        <v>17243</v>
      </c>
      <c r="L678" t="s">
        <v>36</v>
      </c>
      <c r="M678" t="s">
        <v>19177</v>
      </c>
      <c r="N678" t="s">
        <v>714</v>
      </c>
      <c r="O678" t="s">
        <v>10263</v>
      </c>
      <c r="P678" t="s">
        <v>12</v>
      </c>
    </row>
    <row r="679">
      <c r="A679">
        <f>HYPERLINK("http://bombeiros.sp.gov.br/hidrantes/03individual/316.html","316")</f>
      </c>
      <c r="B679" t="s">
        <v>842</v>
      </c>
      <c r="C679" t="s">
        <v>1065</v>
      </c>
      <c r="D679" t="s">
        <v>14295</v>
      </c>
      <c r="E679" t="s">
        <v>64</v>
      </c>
      <c r="F679" t="s">
        <v>14299</v>
      </c>
      <c r="G679" t="s">
        <v>18551</v>
      </c>
      <c r="H679" t="s">
        <v>1112</v>
      </c>
      <c r="I679" t="s">
        <v>1108</v>
      </c>
      <c r="J679" t="s">
        <v>14300</v>
      </c>
      <c r="K679" t="s">
        <v>14301</v>
      </c>
      <c r="L679" t="s">
        <v>36</v>
      </c>
      <c r="M679" t="s">
        <v>19177</v>
      </c>
      <c r="N679" t="s">
        <v>714</v>
      </c>
      <c r="O679" t="s">
        <v>10263</v>
      </c>
      <c r="P679" t="s">
        <v>12</v>
      </c>
    </row>
    <row r="680">
      <c r="A680">
        <f>HYPERLINK("http://bombeiros.sp.gov.br/hidrantes/03individual/347.html","347")</f>
      </c>
      <c r="B680" t="s">
        <v>842</v>
      </c>
      <c r="C680" t="s">
        <v>1065</v>
      </c>
      <c r="D680" t="s">
        <v>14295</v>
      </c>
      <c r="E680" t="s">
        <v>64</v>
      </c>
      <c r="F680" t="s">
        <v>14302</v>
      </c>
      <c r="G680" t="s">
        <v>18181</v>
      </c>
      <c r="H680" t="s">
        <v>1112</v>
      </c>
      <c r="I680" t="s">
        <v>1108</v>
      </c>
      <c r="J680" t="s">
        <v>14303</v>
      </c>
      <c r="K680" t="s">
        <v>14304</v>
      </c>
      <c r="L680" t="s">
        <v>36</v>
      </c>
      <c r="M680" t="s">
        <v>19177</v>
      </c>
      <c r="N680" t="s">
        <v>714</v>
      </c>
      <c r="O680" t="s">
        <v>10263</v>
      </c>
      <c r="P680" t="s">
        <v>12</v>
      </c>
    </row>
    <row r="681">
      <c r="A681">
        <f>HYPERLINK("http://bombeiros.sp.gov.br/hidrantes/03individual/3608.html","3608")</f>
      </c>
      <c r="B681" t="s">
        <v>842</v>
      </c>
      <c r="C681" t="s">
        <v>1065</v>
      </c>
      <c r="D681" t="s">
        <v>14295</v>
      </c>
      <c r="E681" t="s">
        <v>64</v>
      </c>
      <c r="F681" t="s">
        <v>14305</v>
      </c>
      <c r="G681" t="s">
        <v>18114</v>
      </c>
      <c r="H681" t="s">
        <v>1112</v>
      </c>
      <c r="I681" t="s">
        <v>1108</v>
      </c>
      <c r="J681" t="s">
        <v>14306</v>
      </c>
      <c r="K681" t="s">
        <v>14307</v>
      </c>
      <c r="L681" t="s">
        <v>36</v>
      </c>
      <c r="M681" t="s">
        <v>19177</v>
      </c>
      <c r="N681" t="s">
        <v>714</v>
      </c>
      <c r="O681" t="s">
        <v>10263</v>
      </c>
      <c r="P681" t="s">
        <v>12</v>
      </c>
    </row>
    <row r="682">
      <c r="A682">
        <f>HYPERLINK("http://bombeiros.sp.gov.br/hidrantes/03individual/2835.html","2835")</f>
      </c>
      <c r="B682" t="s">
        <v>842</v>
      </c>
      <c r="C682" t="s">
        <v>1065</v>
      </c>
      <c r="D682" t="s">
        <v>14295</v>
      </c>
      <c r="E682" t="s">
        <v>15</v>
      </c>
      <c r="F682" t="s">
        <v>14328</v>
      </c>
      <c r="G682" t="s">
        <v>18052</v>
      </c>
      <c r="H682" t="s">
        <v>1112</v>
      </c>
      <c r="I682" t="s">
        <v>1108</v>
      </c>
      <c r="J682" t="s">
        <v>14329</v>
      </c>
      <c r="K682" t="s">
        <v>14330</v>
      </c>
      <c r="L682" t="s">
        <v>36</v>
      </c>
      <c r="M682" t="s">
        <v>19177</v>
      </c>
      <c r="N682" t="s">
        <v>714</v>
      </c>
      <c r="O682" t="s">
        <v>10263</v>
      </c>
      <c r="P682" t="s">
        <v>12</v>
      </c>
    </row>
    <row r="683">
      <c r="A683">
        <f>HYPERLINK("http://bombeiros.sp.gov.br/hidrantes/03individual/4010.html","4010")</f>
      </c>
      <c r="B683" t="s">
        <v>842</v>
      </c>
      <c r="C683" t="s">
        <v>1065</v>
      </c>
      <c r="D683" t="s">
        <v>14295</v>
      </c>
      <c r="E683" t="s">
        <v>15</v>
      </c>
      <c r="F683" t="s">
        <v>14364</v>
      </c>
      <c r="G683" t="s">
        <v>18210</v>
      </c>
      <c r="H683" t="s">
        <v>1112</v>
      </c>
      <c r="I683" t="s">
        <v>1108</v>
      </c>
      <c r="J683" t="s">
        <v>14365</v>
      </c>
      <c r="K683" t="s">
        <v>14366</v>
      </c>
      <c r="L683" t="s">
        <v>36</v>
      </c>
      <c r="M683" t="s">
        <v>19177</v>
      </c>
      <c r="N683" t="s">
        <v>714</v>
      </c>
      <c r="O683" t="s">
        <v>10263</v>
      </c>
      <c r="P683" t="s">
        <v>12</v>
      </c>
    </row>
    <row r="684">
      <c r="A684">
        <f>HYPERLINK("http://bombeiros.sp.gov.br/hidrantes/03individual/4386.html","4386")</f>
      </c>
      <c r="B684" t="s">
        <v>842</v>
      </c>
      <c r="C684" t="s">
        <v>1065</v>
      </c>
      <c r="D684" t="s">
        <v>14295</v>
      </c>
      <c r="E684" t="s">
        <v>15</v>
      </c>
      <c r="F684" t="s">
        <v>14370</v>
      </c>
      <c r="G684" t="s">
        <v>18150</v>
      </c>
      <c r="H684" t="s">
        <v>1107</v>
      </c>
      <c r="I684" t="s">
        <v>1108</v>
      </c>
      <c r="J684" t="s">
        <v>14371</v>
      </c>
      <c r="K684" t="s">
        <v>14372</v>
      </c>
      <c r="L684" t="s">
        <v>36</v>
      </c>
      <c r="M684" t="s">
        <v>19177</v>
      </c>
      <c r="N684" t="s">
        <v>714</v>
      </c>
      <c r="O684" t="s">
        <v>10263</v>
      </c>
      <c r="P684" t="s">
        <v>12</v>
      </c>
    </row>
    <row r="685">
      <c r="A685">
        <f>HYPERLINK("http://bombeiros.sp.gov.br/hidrantes/03individual/330.html","330")</f>
      </c>
      <c r="B685" t="s">
        <v>842</v>
      </c>
      <c r="C685" t="s">
        <v>1065</v>
      </c>
      <c r="D685" t="s">
        <v>14385</v>
      </c>
      <c r="E685" t="s">
        <v>64</v>
      </c>
      <c r="F685" t="s">
        <v>14386</v>
      </c>
      <c r="G685" t="s">
        <v>18563</v>
      </c>
      <c r="H685" t="s">
        <v>1112</v>
      </c>
      <c r="I685" t="s">
        <v>1108</v>
      </c>
      <c r="J685" t="s">
        <v>14387</v>
      </c>
      <c r="K685" t="s">
        <v>14388</v>
      </c>
      <c r="L685" t="s">
        <v>36</v>
      </c>
      <c r="M685" t="s">
        <v>19177</v>
      </c>
      <c r="N685" t="s">
        <v>714</v>
      </c>
      <c r="O685" t="s">
        <v>10263</v>
      </c>
      <c r="P685" t="s">
        <v>12</v>
      </c>
    </row>
    <row r="686">
      <c r="A686">
        <f>HYPERLINK("http://bombeiros.sp.gov.br/hidrantes/03individual/3940.html","3940")</f>
      </c>
      <c r="B686" t="s">
        <v>842</v>
      </c>
      <c r="C686" t="s">
        <v>1065</v>
      </c>
      <c r="D686" t="s">
        <v>14385</v>
      </c>
      <c r="E686" t="s">
        <v>64</v>
      </c>
      <c r="F686" t="s">
        <v>14389</v>
      </c>
      <c r="G686" t="s">
        <v>18563</v>
      </c>
      <c r="H686" t="s">
        <v>1121</v>
      </c>
      <c r="I686" t="s">
        <v>1117</v>
      </c>
      <c r="J686" t="s">
        <v>14390</v>
      </c>
      <c r="K686" t="s">
        <v>14391</v>
      </c>
      <c r="L686" t="s">
        <v>36</v>
      </c>
      <c r="M686" t="s">
        <v>19177</v>
      </c>
      <c r="N686" t="s">
        <v>714</v>
      </c>
      <c r="O686" t="s">
        <v>10263</v>
      </c>
      <c r="P686" t="s">
        <v>12</v>
      </c>
    </row>
    <row r="687">
      <c r="A687">
        <f>HYPERLINK("http://bombeiros.sp.gov.br/hidrantes/03individual/3949.html","3949")</f>
      </c>
      <c r="B687" t="s">
        <v>842</v>
      </c>
      <c r="C687" t="s">
        <v>1065</v>
      </c>
      <c r="D687" t="s">
        <v>14385</v>
      </c>
      <c r="E687" t="s">
        <v>64</v>
      </c>
      <c r="F687" t="s">
        <v>14392</v>
      </c>
      <c r="G687" t="s">
        <v>18041</v>
      </c>
      <c r="H687" t="s">
        <v>1112</v>
      </c>
      <c r="I687" t="s">
        <v>1108</v>
      </c>
      <c r="J687" t="s">
        <v>14393</v>
      </c>
      <c r="K687" t="s">
        <v>14394</v>
      </c>
      <c r="L687" t="s">
        <v>36</v>
      </c>
      <c r="M687" t="s">
        <v>19177</v>
      </c>
      <c r="N687" t="s">
        <v>1024</v>
      </c>
      <c r="O687" t="s">
        <v>1024</v>
      </c>
      <c r="P687" t="s">
        <v>842</v>
      </c>
    </row>
    <row r="688">
      <c r="A688">
        <f>HYPERLINK("http://bombeiros.sp.gov.br/hidrantes/03individual/3984.html","3984")</f>
      </c>
      <c r="B688" t="s">
        <v>842</v>
      </c>
      <c r="C688" t="s">
        <v>1065</v>
      </c>
      <c r="D688" t="s">
        <v>14385</v>
      </c>
      <c r="E688" t="s">
        <v>64</v>
      </c>
      <c r="F688" t="s">
        <v>14395</v>
      </c>
      <c r="G688" t="s">
        <v>18563</v>
      </c>
      <c r="H688" t="s">
        <v>1112</v>
      </c>
      <c r="I688" t="s">
        <v>1108</v>
      </c>
      <c r="J688" t="s">
        <v>14396</v>
      </c>
      <c r="K688" t="s">
        <v>14397</v>
      </c>
      <c r="L688" t="s">
        <v>36</v>
      </c>
      <c r="M688" t="s">
        <v>19177</v>
      </c>
      <c r="N688" t="s">
        <v>714</v>
      </c>
      <c r="O688" t="s">
        <v>10263</v>
      </c>
      <c r="P688" t="s">
        <v>12</v>
      </c>
    </row>
    <row r="689">
      <c r="A689">
        <f>HYPERLINK("http://bombeiros.sp.gov.br/hidrantes/03individual/4003.html","4003")</f>
      </c>
      <c r="B689" t="s">
        <v>842</v>
      </c>
      <c r="C689" t="s">
        <v>1065</v>
      </c>
      <c r="D689" t="s">
        <v>14385</v>
      </c>
      <c r="E689" t="s">
        <v>64</v>
      </c>
      <c r="F689" t="s">
        <v>14398</v>
      </c>
      <c r="G689" t="s">
        <v>18563</v>
      </c>
      <c r="H689" t="s">
        <v>1112</v>
      </c>
      <c r="I689" t="s">
        <v>1108</v>
      </c>
      <c r="J689" t="s">
        <v>14399</v>
      </c>
      <c r="K689" t="s">
        <v>14400</v>
      </c>
      <c r="L689" t="s">
        <v>36</v>
      </c>
      <c r="M689" t="s">
        <v>19177</v>
      </c>
      <c r="N689" t="s">
        <v>714</v>
      </c>
      <c r="O689" t="s">
        <v>10263</v>
      </c>
      <c r="P689" t="s">
        <v>12</v>
      </c>
    </row>
    <row r="690">
      <c r="A690">
        <f>HYPERLINK("http://bombeiros.sp.gov.br/hidrantes/03individual/3937.html","3937")</f>
      </c>
      <c r="B690" t="s">
        <v>842</v>
      </c>
      <c r="C690" t="s">
        <v>1065</v>
      </c>
      <c r="D690" t="s">
        <v>14385</v>
      </c>
      <c r="E690" t="s">
        <v>15</v>
      </c>
      <c r="F690" t="s">
        <v>14433</v>
      </c>
      <c r="G690" t="s">
        <v>18145</v>
      </c>
      <c r="H690" t="s">
        <v>1107</v>
      </c>
      <c r="I690" t="s">
        <v>1108</v>
      </c>
      <c r="J690" t="s">
        <v>14434</v>
      </c>
      <c r="K690" t="s">
        <v>14435</v>
      </c>
      <c r="L690" t="s">
        <v>36</v>
      </c>
      <c r="M690" t="s">
        <v>19177</v>
      </c>
      <c r="N690" t="s">
        <v>714</v>
      </c>
      <c r="O690" t="s">
        <v>10263</v>
      </c>
      <c r="P690" t="s">
        <v>12</v>
      </c>
    </row>
    <row r="691">
      <c r="A691">
        <f>HYPERLINK("http://bombeiros.sp.gov.br/hidrantes/03individual/3951.html","3951")</f>
      </c>
      <c r="B691" t="s">
        <v>842</v>
      </c>
      <c r="C691" t="s">
        <v>1065</v>
      </c>
      <c r="D691" t="s">
        <v>14385</v>
      </c>
      <c r="E691" t="s">
        <v>15</v>
      </c>
      <c r="F691" t="s">
        <v>14436</v>
      </c>
      <c r="G691" t="s">
        <v>18041</v>
      </c>
      <c r="H691" t="s">
        <v>1112</v>
      </c>
      <c r="I691" t="s">
        <v>1108</v>
      </c>
      <c r="J691" t="s">
        <v>14437</v>
      </c>
      <c r="K691" t="s">
        <v>14438</v>
      </c>
      <c r="L691" t="s">
        <v>36</v>
      </c>
      <c r="M691" t="s">
        <v>19177</v>
      </c>
      <c r="N691" t="s">
        <v>1024</v>
      </c>
      <c r="O691" t="s">
        <v>1024</v>
      </c>
      <c r="P691" t="s">
        <v>842</v>
      </c>
    </row>
    <row r="692">
      <c r="A692">
        <f>HYPERLINK("http://bombeiros.sp.gov.br/hidrantes/03individual/3605.html","3605")</f>
      </c>
      <c r="B692" t="s">
        <v>842</v>
      </c>
      <c r="C692" t="s">
        <v>1065</v>
      </c>
      <c r="D692" t="s">
        <v>1065</v>
      </c>
      <c r="E692" t="s">
        <v>64</v>
      </c>
      <c r="F692" t="s">
        <v>14492</v>
      </c>
      <c r="G692" t="s">
        <v>18049</v>
      </c>
      <c r="H692" t="s">
        <v>1107</v>
      </c>
      <c r="I692" t="s">
        <v>1108</v>
      </c>
      <c r="J692" t="s">
        <v>14493</v>
      </c>
      <c r="K692" t="s">
        <v>14494</v>
      </c>
      <c r="L692" t="s">
        <v>36</v>
      </c>
      <c r="M692" t="s">
        <v>19177</v>
      </c>
      <c r="N692" t="s">
        <v>714</v>
      </c>
      <c r="O692" t="s">
        <v>10263</v>
      </c>
      <c r="P692" t="s">
        <v>12</v>
      </c>
    </row>
    <row r="693">
      <c r="A693">
        <f>HYPERLINK("http://bombeiros.sp.gov.br/hidrantes/03individual/3606.html","3606")</f>
      </c>
      <c r="B693" t="s">
        <v>842</v>
      </c>
      <c r="C693" t="s">
        <v>1065</v>
      </c>
      <c r="D693" t="s">
        <v>1065</v>
      </c>
      <c r="E693" t="s">
        <v>64</v>
      </c>
      <c r="F693" t="s">
        <v>14495</v>
      </c>
      <c r="G693" t="s">
        <v>18049</v>
      </c>
      <c r="H693" t="s">
        <v>1107</v>
      </c>
      <c r="I693" t="s">
        <v>1108</v>
      </c>
      <c r="J693" t="s">
        <v>14496</v>
      </c>
      <c r="K693" t="s">
        <v>14497</v>
      </c>
      <c r="L693" t="s">
        <v>36</v>
      </c>
      <c r="M693" t="s">
        <v>19177</v>
      </c>
      <c r="N693" t="s">
        <v>714</v>
      </c>
      <c r="O693" t="s">
        <v>10263</v>
      </c>
      <c r="P693" t="s">
        <v>12</v>
      </c>
    </row>
    <row r="694">
      <c r="A694">
        <f>HYPERLINK("http://bombeiros.sp.gov.br/hidrantes/03individual/3865.html","3865")</f>
      </c>
      <c r="B694" t="s">
        <v>842</v>
      </c>
      <c r="C694" t="s">
        <v>1065</v>
      </c>
      <c r="D694" t="s">
        <v>1065</v>
      </c>
      <c r="E694" t="s">
        <v>64</v>
      </c>
      <c r="F694" t="s">
        <v>14498</v>
      </c>
      <c r="G694" t="s">
        <v>18049</v>
      </c>
      <c r="H694" t="s">
        <v>1112</v>
      </c>
      <c r="I694" t="s">
        <v>1108</v>
      </c>
      <c r="J694" t="s">
        <v>18219</v>
      </c>
      <c r="K694" t="s">
        <v>18220</v>
      </c>
      <c r="L694" t="s">
        <v>36</v>
      </c>
      <c r="M694" t="s">
        <v>19177</v>
      </c>
      <c r="N694" t="s">
        <v>714</v>
      </c>
      <c r="O694" t="s">
        <v>10263</v>
      </c>
      <c r="P694" t="s">
        <v>12</v>
      </c>
    </row>
    <row r="695">
      <c r="A695">
        <f>HYPERLINK("http://bombeiros.sp.gov.br/hidrantes/03individual/4077.html","4077")</f>
      </c>
      <c r="B695" t="s">
        <v>842</v>
      </c>
      <c r="C695" t="s">
        <v>1071</v>
      </c>
      <c r="D695" t="s">
        <v>1072</v>
      </c>
      <c r="E695" t="s">
        <v>64</v>
      </c>
      <c r="F695" t="s">
        <v>14560</v>
      </c>
      <c r="G695" t="s">
        <v>18052</v>
      </c>
      <c r="H695" t="s">
        <v>1121</v>
      </c>
      <c r="I695" t="s">
        <v>1117</v>
      </c>
      <c r="J695" t="s">
        <v>14561</v>
      </c>
      <c r="K695" t="s">
        <v>14562</v>
      </c>
      <c r="L695" t="s">
        <v>36</v>
      </c>
      <c r="M695" t="s">
        <v>19177</v>
      </c>
      <c r="N695" t="s">
        <v>16376</v>
      </c>
      <c r="O695" t="s">
        <v>16376</v>
      </c>
      <c r="P695" t="s">
        <v>842</v>
      </c>
    </row>
    <row r="696">
      <c r="A696">
        <f>HYPERLINK("http://bombeiros.sp.gov.br/hidrantes/03individual/4013.html","4013")</f>
      </c>
      <c r="B696" t="s">
        <v>842</v>
      </c>
      <c r="C696" t="s">
        <v>1097</v>
      </c>
      <c r="D696" t="s">
        <v>14608</v>
      </c>
      <c r="E696" t="s">
        <v>64</v>
      </c>
      <c r="F696" t="s">
        <v>14609</v>
      </c>
      <c r="G696" t="s">
        <v>18117</v>
      </c>
      <c r="H696" t="s">
        <v>1112</v>
      </c>
      <c r="I696" t="s">
        <v>1108</v>
      </c>
      <c r="J696" t="s">
        <v>14610</v>
      </c>
      <c r="K696" t="s">
        <v>14611</v>
      </c>
      <c r="L696" t="s">
        <v>36</v>
      </c>
      <c r="M696" t="s">
        <v>19177</v>
      </c>
      <c r="N696" t="s">
        <v>848</v>
      </c>
      <c r="O696" t="s">
        <v>640</v>
      </c>
      <c r="P696" t="s">
        <v>623</v>
      </c>
    </row>
    <row r="697">
      <c r="A697">
        <f>HYPERLINK("http://bombeiros.sp.gov.br/hidrantes/03individual/4017.html","4017")</f>
      </c>
      <c r="B697" t="s">
        <v>842</v>
      </c>
      <c r="C697" t="s">
        <v>1097</v>
      </c>
      <c r="D697" t="s">
        <v>14608</v>
      </c>
      <c r="E697" t="s">
        <v>64</v>
      </c>
      <c r="F697" t="s">
        <v>14612</v>
      </c>
      <c r="G697" t="s">
        <v>18057</v>
      </c>
      <c r="H697" t="s">
        <v>1121</v>
      </c>
      <c r="I697" t="s">
        <v>1117</v>
      </c>
      <c r="J697" t="s">
        <v>14613</v>
      </c>
      <c r="K697" t="s">
        <v>14614</v>
      </c>
      <c r="L697" t="s">
        <v>36</v>
      </c>
      <c r="M697" t="s">
        <v>19177</v>
      </c>
      <c r="N697" t="s">
        <v>848</v>
      </c>
      <c r="O697" t="s">
        <v>640</v>
      </c>
      <c r="P697" t="s">
        <v>623</v>
      </c>
    </row>
    <row r="698">
      <c r="A698">
        <f>HYPERLINK("http://bombeiros.sp.gov.br/hidrantes/03individual/4027.html","4027")</f>
      </c>
      <c r="B698" t="s">
        <v>842</v>
      </c>
      <c r="C698" t="s">
        <v>1097</v>
      </c>
      <c r="D698" t="s">
        <v>14608</v>
      </c>
      <c r="E698" t="s">
        <v>64</v>
      </c>
      <c r="F698" t="s">
        <v>14615</v>
      </c>
      <c r="G698" t="s">
        <v>18076</v>
      </c>
      <c r="H698" t="s">
        <v>1107</v>
      </c>
      <c r="I698" t="s">
        <v>1108</v>
      </c>
      <c r="J698" t="s">
        <v>18221</v>
      </c>
      <c r="K698" t="s">
        <v>17158</v>
      </c>
      <c r="L698" t="s">
        <v>36</v>
      </c>
      <c r="M698" t="s">
        <v>19177</v>
      </c>
      <c r="N698" t="s">
        <v>848</v>
      </c>
      <c r="O698" t="s">
        <v>640</v>
      </c>
      <c r="P698" t="s">
        <v>623</v>
      </c>
    </row>
    <row r="699">
      <c r="A699">
        <f>HYPERLINK("http://bombeiros.sp.gov.br/hidrantes/03individual/4018.html","4018")</f>
      </c>
      <c r="B699" t="s">
        <v>842</v>
      </c>
      <c r="C699" t="s">
        <v>1097</v>
      </c>
      <c r="D699" t="s">
        <v>1102</v>
      </c>
      <c r="E699" t="s">
        <v>64</v>
      </c>
      <c r="F699" t="s">
        <v>14636</v>
      </c>
      <c r="G699" t="s">
        <v>17921</v>
      </c>
      <c r="H699" t="s">
        <v>1112</v>
      </c>
      <c r="I699" t="s">
        <v>1108</v>
      </c>
      <c r="J699" t="s">
        <v>14637</v>
      </c>
      <c r="K699" t="s">
        <v>14638</v>
      </c>
      <c r="L699" t="s">
        <v>36</v>
      </c>
      <c r="M699" t="s">
        <v>19177</v>
      </c>
      <c r="N699" t="s">
        <v>848</v>
      </c>
      <c r="O699" t="s">
        <v>640</v>
      </c>
      <c r="P699" t="s">
        <v>623</v>
      </c>
    </row>
    <row r="700">
      <c r="A700">
        <f>HYPERLINK("http://bombeiros.sp.gov.br/hidrantes/03individual/302.html","302")</f>
      </c>
      <c r="B700" t="s">
        <v>842</v>
      </c>
      <c r="C700" t="s">
        <v>14642</v>
      </c>
      <c r="D700" t="s">
        <v>14687</v>
      </c>
      <c r="E700" t="s">
        <v>15</v>
      </c>
      <c r="F700" t="s">
        <v>14706</v>
      </c>
      <c r="G700" t="s">
        <v>18147</v>
      </c>
      <c r="H700" t="s">
        <v>1107</v>
      </c>
      <c r="I700" t="s">
        <v>1108</v>
      </c>
      <c r="J700" t="s">
        <v>14707</v>
      </c>
      <c r="K700" t="s">
        <v>14708</v>
      </c>
      <c r="L700" t="s">
        <v>36</v>
      </c>
      <c r="M700" t="s">
        <v>19177</v>
      </c>
      <c r="N700" t="s">
        <v>714</v>
      </c>
      <c r="O700" t="s">
        <v>10263</v>
      </c>
      <c r="P700" t="s">
        <v>12</v>
      </c>
    </row>
    <row r="701">
      <c r="A701">
        <f>HYPERLINK("http://bombeiros.sp.gov.br/hidrantes/03individual/2600.html","2600")</f>
      </c>
      <c r="B701" t="s">
        <v>842</v>
      </c>
      <c r="C701" t="s">
        <v>14642</v>
      </c>
      <c r="D701" t="s">
        <v>14776</v>
      </c>
      <c r="E701" t="s">
        <v>64</v>
      </c>
      <c r="F701" t="s">
        <v>14777</v>
      </c>
      <c r="G701" t="s">
        <v>18048</v>
      </c>
      <c r="H701" t="s">
        <v>1107</v>
      </c>
      <c r="I701" t="s">
        <v>1108</v>
      </c>
      <c r="J701" t="s">
        <v>14778</v>
      </c>
      <c r="K701" t="s">
        <v>14779</v>
      </c>
      <c r="L701" t="s">
        <v>36</v>
      </c>
      <c r="M701" t="s">
        <v>19177</v>
      </c>
      <c r="N701" t="s">
        <v>714</v>
      </c>
      <c r="O701" t="s">
        <v>10263</v>
      </c>
      <c r="P701" t="s">
        <v>12</v>
      </c>
    </row>
    <row r="702">
      <c r="A702">
        <f>HYPERLINK("http://bombeiros.sp.gov.br/hidrantes/03individual/2720.html","2720")</f>
      </c>
      <c r="B702" t="s">
        <v>842</v>
      </c>
      <c r="C702" t="s">
        <v>14642</v>
      </c>
      <c r="D702" t="s">
        <v>14776</v>
      </c>
      <c r="E702" t="s">
        <v>64</v>
      </c>
      <c r="F702" t="s">
        <v>1115</v>
      </c>
      <c r="G702" t="s">
        <v>18048</v>
      </c>
      <c r="H702" t="s">
        <v>1107</v>
      </c>
      <c r="I702" t="s">
        <v>1108</v>
      </c>
      <c r="J702" t="s">
        <v>14786</v>
      </c>
      <c r="K702" t="s">
        <v>14787</v>
      </c>
      <c r="L702" t="s">
        <v>36</v>
      </c>
      <c r="M702" t="s">
        <v>19177</v>
      </c>
      <c r="N702" t="s">
        <v>714</v>
      </c>
      <c r="O702" t="s">
        <v>10263</v>
      </c>
      <c r="P702" t="s">
        <v>12</v>
      </c>
    </row>
    <row r="703">
      <c r="A703">
        <f>HYPERLINK("http://bombeiros.sp.gov.br/hidrantes/03individual/420.html","420")</f>
      </c>
      <c r="B703" t="s">
        <v>842</v>
      </c>
      <c r="C703" t="s">
        <v>14642</v>
      </c>
      <c r="D703" t="s">
        <v>14776</v>
      </c>
      <c r="E703" t="s">
        <v>15</v>
      </c>
      <c r="F703" t="s">
        <v>14806</v>
      </c>
      <c r="G703" t="s">
        <v>18062</v>
      </c>
      <c r="H703" t="s">
        <v>1107</v>
      </c>
      <c r="I703" t="s">
        <v>1108</v>
      </c>
      <c r="J703" t="s">
        <v>14807</v>
      </c>
      <c r="K703" t="s">
        <v>14808</v>
      </c>
      <c r="L703" t="s">
        <v>36</v>
      </c>
      <c r="M703" t="s">
        <v>19177</v>
      </c>
      <c r="N703" t="s">
        <v>714</v>
      </c>
      <c r="O703" t="s">
        <v>10263</v>
      </c>
      <c r="P703" t="s">
        <v>12</v>
      </c>
    </row>
    <row r="704">
      <c r="A704">
        <f>HYPERLINK("http://bombeiros.sp.gov.br/hidrantes/03individual/2253.html","2253")</f>
      </c>
      <c r="B704" t="s">
        <v>842</v>
      </c>
      <c r="C704" t="s">
        <v>14642</v>
      </c>
      <c r="D704" t="s">
        <v>14833</v>
      </c>
      <c r="E704" t="s">
        <v>64</v>
      </c>
      <c r="F704" t="s">
        <v>14834</v>
      </c>
      <c r="G704" t="s">
        <v>18099</v>
      </c>
      <c r="H704" t="s">
        <v>1107</v>
      </c>
      <c r="I704" t="s">
        <v>1108</v>
      </c>
      <c r="J704" t="s">
        <v>14835</v>
      </c>
      <c r="K704" t="s">
        <v>14836</v>
      </c>
      <c r="L704" t="s">
        <v>36</v>
      </c>
      <c r="M704" t="s">
        <v>19177</v>
      </c>
      <c r="N704" t="s">
        <v>714</v>
      </c>
      <c r="O704" t="s">
        <v>10263</v>
      </c>
      <c r="P704" t="s">
        <v>12</v>
      </c>
    </row>
    <row r="705">
      <c r="A705">
        <f>HYPERLINK("http://bombeiros.sp.gov.br/hidrantes/03individual/5603.html","5603")</f>
      </c>
      <c r="B705" t="s">
        <v>842</v>
      </c>
      <c r="C705" t="s">
        <v>14642</v>
      </c>
      <c r="D705" t="s">
        <v>14833</v>
      </c>
      <c r="E705" t="s">
        <v>64</v>
      </c>
      <c r="F705" t="s">
        <v>14840</v>
      </c>
      <c r="G705" t="s">
        <v>18099</v>
      </c>
      <c r="H705" t="s">
        <v>1107</v>
      </c>
      <c r="I705" t="s">
        <v>1108</v>
      </c>
      <c r="J705" t="s">
        <v>14841</v>
      </c>
      <c r="K705" t="s">
        <v>14842</v>
      </c>
      <c r="L705" t="s">
        <v>36</v>
      </c>
      <c r="M705" t="s">
        <v>19177</v>
      </c>
      <c r="N705" t="s">
        <v>714</v>
      </c>
      <c r="O705" t="s">
        <v>10263</v>
      </c>
      <c r="P705" t="s">
        <v>12</v>
      </c>
    </row>
    <row r="706">
      <c r="A706">
        <f>HYPERLINK("http://bombeiros.sp.gov.br/hidrantes/03individual/306.html","306")</f>
      </c>
      <c r="B706" t="s">
        <v>842</v>
      </c>
      <c r="C706" t="s">
        <v>14642</v>
      </c>
      <c r="D706" t="s">
        <v>14833</v>
      </c>
      <c r="E706" t="s">
        <v>15</v>
      </c>
      <c r="F706" t="s">
        <v>14849</v>
      </c>
      <c r="G706" t="s">
        <v>18099</v>
      </c>
      <c r="H706" t="s">
        <v>1121</v>
      </c>
      <c r="I706" t="s">
        <v>1117</v>
      </c>
      <c r="J706" t="s">
        <v>14850</v>
      </c>
      <c r="K706" t="s">
        <v>14851</v>
      </c>
      <c r="L706" t="s">
        <v>36</v>
      </c>
      <c r="M706" t="s">
        <v>19177</v>
      </c>
      <c r="N706" t="s">
        <v>714</v>
      </c>
      <c r="O706" t="s">
        <v>10263</v>
      </c>
      <c r="P706" t="s">
        <v>12</v>
      </c>
    </row>
    <row r="707">
      <c r="A707">
        <f>HYPERLINK("http://bombeiros.sp.gov.br/hidrantes/03individual/1988.html","1988")</f>
      </c>
      <c r="B707" t="s">
        <v>842</v>
      </c>
      <c r="C707" t="s">
        <v>14642</v>
      </c>
      <c r="D707" t="s">
        <v>14888</v>
      </c>
      <c r="E707" t="s">
        <v>64</v>
      </c>
      <c r="F707" t="s">
        <v>14889</v>
      </c>
      <c r="G707" t="s">
        <v>18130</v>
      </c>
      <c r="H707" t="s">
        <v>1112</v>
      </c>
      <c r="I707" t="s">
        <v>1108</v>
      </c>
      <c r="J707" t="s">
        <v>14890</v>
      </c>
      <c r="K707" t="s">
        <v>14891</v>
      </c>
      <c r="L707" t="s">
        <v>36</v>
      </c>
      <c r="M707" t="s">
        <v>19177</v>
      </c>
      <c r="N707" t="s">
        <v>714</v>
      </c>
      <c r="O707" t="s">
        <v>10263</v>
      </c>
      <c r="P707" t="s">
        <v>12</v>
      </c>
    </row>
    <row r="708">
      <c r="A708">
        <f>HYPERLINK("http://bombeiros.sp.gov.br/hidrantes/03individual/2007.html","2007")</f>
      </c>
      <c r="B708" t="s">
        <v>842</v>
      </c>
      <c r="C708" t="s">
        <v>14642</v>
      </c>
      <c r="D708" t="s">
        <v>14888</v>
      </c>
      <c r="E708" t="s">
        <v>64</v>
      </c>
      <c r="F708" t="s">
        <v>14892</v>
      </c>
      <c r="G708" t="s">
        <v>18545</v>
      </c>
      <c r="H708" t="s">
        <v>1107</v>
      </c>
      <c r="I708" t="s">
        <v>1108</v>
      </c>
      <c r="J708" t="s">
        <v>14893</v>
      </c>
      <c r="K708" t="s">
        <v>14894</v>
      </c>
      <c r="L708" t="s">
        <v>36</v>
      </c>
      <c r="M708" t="s">
        <v>19177</v>
      </c>
      <c r="N708" t="s">
        <v>714</v>
      </c>
      <c r="O708" t="s">
        <v>10263</v>
      </c>
      <c r="P708" t="s">
        <v>12</v>
      </c>
    </row>
    <row r="709">
      <c r="A709">
        <f>HYPERLINK("http://bombeiros.sp.gov.br/hidrantes/03individual/2409.html","2409")</f>
      </c>
      <c r="B709" t="s">
        <v>842</v>
      </c>
      <c r="C709" t="s">
        <v>14642</v>
      </c>
      <c r="D709" t="s">
        <v>14916</v>
      </c>
      <c r="E709" t="s">
        <v>64</v>
      </c>
      <c r="F709" t="s">
        <v>14920</v>
      </c>
      <c r="G709" t="s">
        <v>18112</v>
      </c>
      <c r="H709" t="s">
        <v>1112</v>
      </c>
      <c r="I709" t="s">
        <v>1108</v>
      </c>
      <c r="J709" t="s">
        <v>14921</v>
      </c>
      <c r="K709" t="s">
        <v>14922</v>
      </c>
      <c r="L709" t="s">
        <v>36</v>
      </c>
      <c r="M709" t="s">
        <v>19177</v>
      </c>
      <c r="N709" t="s">
        <v>714</v>
      </c>
      <c r="O709" t="s">
        <v>10263</v>
      </c>
      <c r="P709" t="s">
        <v>12</v>
      </c>
    </row>
    <row r="710">
      <c r="A710">
        <f>HYPERLINK("http://bombeiros.sp.gov.br/hidrantes/03individual/303.html","303")</f>
      </c>
      <c r="B710" t="s">
        <v>842</v>
      </c>
      <c r="C710" t="s">
        <v>14642</v>
      </c>
      <c r="D710" t="s">
        <v>14916</v>
      </c>
      <c r="E710" t="s">
        <v>15</v>
      </c>
      <c r="F710" t="s">
        <v>14926</v>
      </c>
      <c r="G710" t="s">
        <v>18052</v>
      </c>
      <c r="H710" t="s">
        <v>1112</v>
      </c>
      <c r="I710" t="s">
        <v>1108</v>
      </c>
      <c r="J710" t="s">
        <v>14927</v>
      </c>
      <c r="K710" t="s">
        <v>14928</v>
      </c>
      <c r="L710" t="s">
        <v>36</v>
      </c>
      <c r="M710" t="s">
        <v>19177</v>
      </c>
      <c r="N710" t="s">
        <v>714</v>
      </c>
      <c r="O710" t="s">
        <v>10263</v>
      </c>
      <c r="P710" t="s">
        <v>12</v>
      </c>
    </row>
    <row r="711">
      <c r="A711">
        <f>HYPERLINK("http://bombeiros.sp.gov.br/hidrantes/03individual/376.html","376")</f>
      </c>
      <c r="B711" t="s">
        <v>842</v>
      </c>
      <c r="C711" t="s">
        <v>14642</v>
      </c>
      <c r="D711" t="s">
        <v>14916</v>
      </c>
      <c r="E711" t="s">
        <v>15</v>
      </c>
      <c r="F711" t="s">
        <v>14932</v>
      </c>
      <c r="G711" t="s">
        <v>18052</v>
      </c>
      <c r="H711" t="s">
        <v>1112</v>
      </c>
      <c r="I711" t="s">
        <v>1108</v>
      </c>
      <c r="J711" t="s">
        <v>14933</v>
      </c>
      <c r="K711" t="s">
        <v>14934</v>
      </c>
      <c r="L711" t="s">
        <v>36</v>
      </c>
      <c r="M711" t="s">
        <v>19177</v>
      </c>
      <c r="N711" t="s">
        <v>714</v>
      </c>
      <c r="O711" t="s">
        <v>10263</v>
      </c>
      <c r="P711" t="s">
        <v>12</v>
      </c>
    </row>
    <row r="712">
      <c r="A712">
        <f>HYPERLINK("http://bombeiros.sp.gov.br/hidrantes/03individual/2307.html","2307")</f>
      </c>
      <c r="B712" t="s">
        <v>842</v>
      </c>
      <c r="C712" t="s">
        <v>14642</v>
      </c>
      <c r="D712" t="s">
        <v>14916</v>
      </c>
      <c r="E712" t="s">
        <v>15</v>
      </c>
      <c r="F712" t="s">
        <v>14939</v>
      </c>
      <c r="G712" t="s">
        <v>18062</v>
      </c>
      <c r="H712" t="s">
        <v>1107</v>
      </c>
      <c r="I712" t="s">
        <v>1108</v>
      </c>
      <c r="J712" t="s">
        <v>14940</v>
      </c>
      <c r="K712" t="s">
        <v>14941</v>
      </c>
      <c r="L712" t="s">
        <v>36</v>
      </c>
      <c r="M712" t="s">
        <v>19177</v>
      </c>
      <c r="N712" t="s">
        <v>714</v>
      </c>
      <c r="O712" t="s">
        <v>10263</v>
      </c>
      <c r="P712" t="s">
        <v>12</v>
      </c>
    </row>
    <row r="713">
      <c r="A713">
        <f>HYPERLINK("http://bombeiros.sp.gov.br/hidrantes/03individual/2954.html","2954")</f>
      </c>
      <c r="B713" t="s">
        <v>842</v>
      </c>
      <c r="C713" t="s">
        <v>14642</v>
      </c>
      <c r="D713" t="s">
        <v>14642</v>
      </c>
      <c r="E713" t="s">
        <v>64</v>
      </c>
      <c r="F713" t="s">
        <v>14954</v>
      </c>
      <c r="G713" t="s">
        <v>18145</v>
      </c>
      <c r="H713" t="s">
        <v>1107</v>
      </c>
      <c r="I713" t="s">
        <v>1108</v>
      </c>
      <c r="J713" t="s">
        <v>14955</v>
      </c>
      <c r="K713" t="s">
        <v>14956</v>
      </c>
      <c r="L713" t="s">
        <v>36</v>
      </c>
      <c r="M713" t="s">
        <v>19177</v>
      </c>
      <c r="N713" t="s">
        <v>714</v>
      </c>
      <c r="O713" t="s">
        <v>10263</v>
      </c>
      <c r="P713" t="s">
        <v>12</v>
      </c>
    </row>
    <row r="714">
      <c r="A714">
        <f>HYPERLINK("http://bombeiros.sp.gov.br/hidrantes/03individual/2018.html","2018")</f>
      </c>
      <c r="B714" t="s">
        <v>842</v>
      </c>
      <c r="C714" t="s">
        <v>14642</v>
      </c>
      <c r="D714" t="s">
        <v>14642</v>
      </c>
      <c r="E714" t="s">
        <v>15</v>
      </c>
      <c r="F714" t="s">
        <v>14969</v>
      </c>
      <c r="G714" t="s">
        <v>18145</v>
      </c>
      <c r="H714" t="s">
        <v>1107</v>
      </c>
      <c r="I714" t="s">
        <v>1108</v>
      </c>
      <c r="J714" t="s">
        <v>14970</v>
      </c>
      <c r="K714" t="s">
        <v>14971</v>
      </c>
      <c r="L714" t="s">
        <v>36</v>
      </c>
      <c r="M714" t="s">
        <v>19177</v>
      </c>
      <c r="N714" t="s">
        <v>714</v>
      </c>
      <c r="O714" t="s">
        <v>10263</v>
      </c>
      <c r="P714" t="s">
        <v>12</v>
      </c>
    </row>
  </sheetData>
</worksheet>
</file>

<file path=xl/worksheets/sheet52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8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5.7109375" customWidth="true"/>
    <col min="4" max="4" width="20.7109375" customWidth="true"/>
    <col min="5" max="5" width="20.7109375" customWidth="true"/>
    <col min="6" max="6" width="100.7109375" customWidth="true"/>
    <col min="7" max="7" width="12.7109375" customWidth="true"/>
    <col min="8" max="8" width="15.7109375" customWidth="true"/>
    <col min="9" max="9" width="20.7109375" customWidth="true"/>
    <col min="10" max="10" width="20.7109375" customWidth="true"/>
    <col min="11" max="11" width="20.7109375" customWidth="true"/>
    <col min="12" max="12" width="10.7109375" customWidth="true"/>
    <col min="13" max="13" width="12.7109375" customWidth="true"/>
    <col min="14" max="14" width="30.7109375" customWidth="true"/>
    <col min="15" max="15" width="30.7109375" customWidth="true"/>
    <col min="16" max="16" width="3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14981</v>
      </c>
      <c r="N1" t="s">
        <v>16370</v>
      </c>
      <c r="O1" t="s">
        <v>16371</v>
      </c>
      <c r="P1" t="s">
        <v>16372</v>
      </c>
    </row>
    <row r="2">
      <c r="A2">
        <f>HYPERLINK("http://bombeiros.sp.gov.br/hidrantes/03individual/10055.html","10055")</f>
      </c>
      <c r="B2" t="s">
        <v>114</v>
      </c>
      <c r="C2" t="s">
        <v>195</v>
      </c>
      <c r="D2" t="s">
        <v>206</v>
      </c>
      <c r="E2" t="s">
        <v>1507</v>
      </c>
      <c r="F2" t="s">
        <v>3765</v>
      </c>
      <c r="G2" t="s">
        <v>18143</v>
      </c>
      <c r="H2"/>
      <c r="I2" t="s">
        <v>18</v>
      </c>
      <c r="J2" t="s">
        <v>3766</v>
      </c>
      <c r="K2" t="s">
        <v>3767</v>
      </c>
      <c r="L2" t="s">
        <v>21</v>
      </c>
      <c r="M2" t="s">
        <v>19177</v>
      </c>
      <c r="N2" t="s">
        <v>309</v>
      </c>
      <c r="O2" t="s">
        <v>6029</v>
      </c>
      <c r="P2" t="s">
        <v>114</v>
      </c>
    </row>
    <row r="3">
      <c r="A3">
        <f>HYPERLINK("http://bombeiros.sp.gov.br/hidrantes/03individual/10056.html","10056")</f>
      </c>
      <c r="B3" t="s">
        <v>114</v>
      </c>
      <c r="C3" t="s">
        <v>4749</v>
      </c>
      <c r="D3" t="s">
        <v>4749</v>
      </c>
      <c r="E3" t="s">
        <v>1507</v>
      </c>
      <c r="F3" t="s">
        <v>4760</v>
      </c>
      <c r="G3" t="s">
        <v>18105</v>
      </c>
      <c r="H3"/>
      <c r="I3" t="s">
        <v>18</v>
      </c>
      <c r="J3" t="s">
        <v>19088</v>
      </c>
      <c r="K3" t="s">
        <v>19089</v>
      </c>
      <c r="L3" t="s">
        <v>21</v>
      </c>
      <c r="M3" t="s">
        <v>19177</v>
      </c>
      <c r="N3" t="s">
        <v>272</v>
      </c>
      <c r="O3" t="s">
        <v>272</v>
      </c>
      <c r="P3" t="s">
        <v>114</v>
      </c>
    </row>
    <row r="4">
      <c r="A4">
        <f>HYPERLINK("http://bombeiros.sp.gov.br/hidrantes/03individual/4423.html","4423")</f>
      </c>
      <c r="B4" t="s">
        <v>114</v>
      </c>
      <c r="C4" t="s">
        <v>347</v>
      </c>
      <c r="D4" t="s">
        <v>6029</v>
      </c>
      <c r="E4" t="s">
        <v>1507</v>
      </c>
      <c r="F4" t="s">
        <v>6030</v>
      </c>
      <c r="G4" t="s">
        <v>18095</v>
      </c>
      <c r="H4" t="s">
        <v>1112</v>
      </c>
      <c r="I4" t="s">
        <v>1108</v>
      </c>
      <c r="J4" t="s">
        <v>6031</v>
      </c>
      <c r="K4" t="s">
        <v>6032</v>
      </c>
      <c r="L4" t="s">
        <v>21</v>
      </c>
      <c r="M4" t="s">
        <v>19177</v>
      </c>
      <c r="N4" t="s">
        <v>6029</v>
      </c>
      <c r="O4" t="s">
        <v>6029</v>
      </c>
      <c r="P4" t="s">
        <v>114</v>
      </c>
    </row>
    <row r="5">
      <c r="A5">
        <f>HYPERLINK("http://bombeiros.sp.gov.br/hidrantes/03individual/4424.html","4424")</f>
      </c>
      <c r="B5" t="s">
        <v>114</v>
      </c>
      <c r="C5" t="s">
        <v>440</v>
      </c>
      <c r="D5" t="s">
        <v>449</v>
      </c>
      <c r="E5" t="s">
        <v>1507</v>
      </c>
      <c r="F5" t="s">
        <v>7187</v>
      </c>
      <c r="G5" t="s">
        <v>18187</v>
      </c>
      <c r="H5" t="s">
        <v>1112</v>
      </c>
      <c r="I5" t="s">
        <v>1108</v>
      </c>
      <c r="J5" t="s">
        <v>7188</v>
      </c>
      <c r="K5" t="s">
        <v>7189</v>
      </c>
      <c r="L5" t="s">
        <v>21</v>
      </c>
      <c r="M5" t="s">
        <v>19177</v>
      </c>
      <c r="N5" t="s">
        <v>300</v>
      </c>
      <c r="O5" t="s">
        <v>16373</v>
      </c>
      <c r="P5" t="s">
        <v>12</v>
      </c>
    </row>
    <row r="6">
      <c r="A6">
        <f>HYPERLINK("http://bombeiros.sp.gov.br/hidrantes/03individual/10048.html","10048")</f>
      </c>
      <c r="B6" t="s">
        <v>454</v>
      </c>
      <c r="C6" t="s">
        <v>478</v>
      </c>
      <c r="D6" t="s">
        <v>478</v>
      </c>
      <c r="E6" t="s">
        <v>1507</v>
      </c>
      <c r="F6" t="s">
        <v>7617</v>
      </c>
      <c r="G6" t="s">
        <v>18113</v>
      </c>
      <c r="H6" t="s">
        <v>1121</v>
      </c>
      <c r="I6" t="s">
        <v>1117</v>
      </c>
      <c r="J6" t="s">
        <v>7618</v>
      </c>
      <c r="K6" t="s">
        <v>7619</v>
      </c>
      <c r="L6" t="s">
        <v>21</v>
      </c>
      <c r="M6" t="s">
        <v>19177</v>
      </c>
      <c r="N6" t="s">
        <v>478</v>
      </c>
      <c r="O6" t="s">
        <v>478</v>
      </c>
      <c r="P6" t="s">
        <v>454</v>
      </c>
    </row>
    <row r="7">
      <c r="A7">
        <f>HYPERLINK("http://bombeiros.sp.gov.br/hidrantes/03individual/10047.html","10047")</f>
      </c>
      <c r="B7" t="s">
        <v>454</v>
      </c>
      <c r="C7" t="s">
        <v>510</v>
      </c>
      <c r="D7" t="s">
        <v>511</v>
      </c>
      <c r="E7" t="s">
        <v>1507</v>
      </c>
      <c r="F7" t="s">
        <v>7863</v>
      </c>
      <c r="G7" t="s">
        <v>18146</v>
      </c>
      <c r="H7" t="s">
        <v>1107</v>
      </c>
      <c r="I7" t="s">
        <v>1108</v>
      </c>
      <c r="J7" t="s">
        <v>7864</v>
      </c>
      <c r="K7" t="s">
        <v>7865</v>
      </c>
      <c r="L7" t="s">
        <v>21</v>
      </c>
      <c r="M7" t="s">
        <v>19177</v>
      </c>
      <c r="N7" t="s">
        <v>519</v>
      </c>
      <c r="O7" t="s">
        <v>519</v>
      </c>
      <c r="P7" t="s">
        <v>454</v>
      </c>
    </row>
    <row r="8">
      <c r="A8">
        <f>HYPERLINK("http://bombeiros.sp.gov.br/hidrantes/03individual/10054.html","10054")</f>
      </c>
      <c r="B8" t="s">
        <v>454</v>
      </c>
      <c r="C8" t="s">
        <v>515</v>
      </c>
      <c r="D8" t="s">
        <v>7975</v>
      </c>
      <c r="E8" t="s">
        <v>1507</v>
      </c>
      <c r="F8" t="s">
        <v>7976</v>
      </c>
      <c r="G8" t="s">
        <v>18165</v>
      </c>
      <c r="H8" t="s">
        <v>1112</v>
      </c>
      <c r="I8" t="s">
        <v>1108</v>
      </c>
      <c r="J8" t="s">
        <v>18731</v>
      </c>
      <c r="K8" t="s">
        <v>18732</v>
      </c>
      <c r="L8" t="s">
        <v>21</v>
      </c>
      <c r="M8" t="s">
        <v>19177</v>
      </c>
      <c r="N8" t="s">
        <v>478</v>
      </c>
      <c r="O8" t="s">
        <v>478</v>
      </c>
      <c r="P8" t="s">
        <v>454</v>
      </c>
    </row>
    <row r="9">
      <c r="A9">
        <f>HYPERLINK("http://bombeiros.sp.gov.br/hidrantes/03individual/10053.html","10053")</f>
      </c>
      <c r="B9" t="s">
        <v>454</v>
      </c>
      <c r="C9" t="s">
        <v>560</v>
      </c>
      <c r="D9" t="s">
        <v>560</v>
      </c>
      <c r="E9" t="s">
        <v>1507</v>
      </c>
      <c r="F9" t="s">
        <v>8618</v>
      </c>
      <c r="G9" t="s">
        <v>18126</v>
      </c>
      <c r="H9" t="s">
        <v>1112</v>
      </c>
      <c r="I9" t="s">
        <v>1108</v>
      </c>
      <c r="J9" t="s">
        <v>8619</v>
      </c>
      <c r="K9" t="s">
        <v>8620</v>
      </c>
      <c r="L9" t="s">
        <v>21</v>
      </c>
      <c r="M9" t="s">
        <v>19177</v>
      </c>
      <c r="N9" t="s">
        <v>519</v>
      </c>
      <c r="O9" t="s">
        <v>519</v>
      </c>
      <c r="P9" t="s">
        <v>454</v>
      </c>
    </row>
    <row r="10">
      <c r="A10">
        <f>HYPERLINK("http://bombeiros.sp.gov.br/hidrantes/03individual/10052.html","10052")</f>
      </c>
      <c r="B10" t="s">
        <v>454</v>
      </c>
      <c r="C10" t="s">
        <v>570</v>
      </c>
      <c r="D10" t="s">
        <v>581</v>
      </c>
      <c r="E10" t="s">
        <v>1507</v>
      </c>
      <c r="F10" t="s">
        <v>8928</v>
      </c>
      <c r="G10" t="s">
        <v>18125</v>
      </c>
      <c r="H10" t="s">
        <v>1112</v>
      </c>
      <c r="I10" t="s">
        <v>1117</v>
      </c>
      <c r="J10" t="s">
        <v>8929</v>
      </c>
      <c r="K10" t="s">
        <v>8930</v>
      </c>
      <c r="L10" t="s">
        <v>21</v>
      </c>
      <c r="M10" t="s">
        <v>19177</v>
      </c>
      <c r="N10" t="s">
        <v>531</v>
      </c>
      <c r="O10" t="s">
        <v>531</v>
      </c>
      <c r="P10" t="s">
        <v>454</v>
      </c>
    </row>
    <row r="11">
      <c r="A11">
        <f>HYPERLINK("http://bombeiros.sp.gov.br/hidrantes/03individual/26742.html","26742")</f>
      </c>
      <c r="B11" t="s">
        <v>454</v>
      </c>
      <c r="C11" t="s">
        <v>594</v>
      </c>
      <c r="D11" t="s">
        <v>595</v>
      </c>
      <c r="E11" t="s">
        <v>1507</v>
      </c>
      <c r="F11" t="s">
        <v>9131</v>
      </c>
      <c r="G11" t="s">
        <v>18074</v>
      </c>
      <c r="H11" t="s">
        <v>1112</v>
      </c>
      <c r="I11" t="s">
        <v>1108</v>
      </c>
      <c r="J11" t="s">
        <v>9132</v>
      </c>
      <c r="K11" t="s">
        <v>9133</v>
      </c>
      <c r="L11" t="s">
        <v>21</v>
      </c>
      <c r="M11" t="s">
        <v>19177</v>
      </c>
      <c r="N11" t="s">
        <v>594</v>
      </c>
      <c r="O11" t="s">
        <v>531</v>
      </c>
      <c r="P11" t="s">
        <v>454</v>
      </c>
    </row>
    <row r="12">
      <c r="A12">
        <f>HYPERLINK("http://bombeiros.sp.gov.br/hidrantes/03individual/10051.html","10051")</f>
      </c>
      <c r="B12" t="s">
        <v>454</v>
      </c>
      <c r="C12" t="s">
        <v>611</v>
      </c>
      <c r="D12" t="s">
        <v>611</v>
      </c>
      <c r="E12" t="s">
        <v>1507</v>
      </c>
      <c r="F12" t="s">
        <v>9496</v>
      </c>
      <c r="G12" t="s">
        <v>18042</v>
      </c>
      <c r="H12" t="s">
        <v>1112</v>
      </c>
      <c r="I12" t="s">
        <v>1108</v>
      </c>
      <c r="J12" t="s">
        <v>9498</v>
      </c>
      <c r="K12" t="s">
        <v>9499</v>
      </c>
      <c r="L12" t="s">
        <v>21</v>
      </c>
      <c r="M12" t="s">
        <v>19177</v>
      </c>
      <c r="N12" t="s">
        <v>594</v>
      </c>
      <c r="O12" t="s">
        <v>531</v>
      </c>
      <c r="P12" t="s">
        <v>454</v>
      </c>
    </row>
    <row r="13">
      <c r="A13">
        <f>HYPERLINK("http://bombeiros.sp.gov.br/hidrantes/03individual/10050.html","10050")</f>
      </c>
      <c r="B13" t="s">
        <v>623</v>
      </c>
      <c r="C13" t="s">
        <v>690</v>
      </c>
      <c r="D13" t="s">
        <v>691</v>
      </c>
      <c r="E13" t="s">
        <v>1507</v>
      </c>
      <c r="F13" t="s">
        <v>10116</v>
      </c>
      <c r="G13" t="s">
        <v>17954</v>
      </c>
      <c r="H13" t="s">
        <v>1112</v>
      </c>
      <c r="I13" t="s">
        <v>1108</v>
      </c>
      <c r="J13" t="s">
        <v>10117</v>
      </c>
      <c r="K13" t="s">
        <v>10118</v>
      </c>
      <c r="L13" t="s">
        <v>21</v>
      </c>
      <c r="M13" t="s">
        <v>19177</v>
      </c>
      <c r="N13" t="s">
        <v>519</v>
      </c>
      <c r="O13" t="s">
        <v>519</v>
      </c>
      <c r="P13" t="s">
        <v>454</v>
      </c>
    </row>
    <row r="14">
      <c r="A14">
        <f>HYPERLINK("http://bombeiros.sp.gov.br/hidrantes/03individual/10057.html","10057")</f>
      </c>
      <c r="B14" t="s">
        <v>623</v>
      </c>
      <c r="C14" t="s">
        <v>696</v>
      </c>
      <c r="D14" t="s">
        <v>704</v>
      </c>
      <c r="E14" t="s">
        <v>1507</v>
      </c>
      <c r="F14" t="s">
        <v>10164</v>
      </c>
      <c r="G14" t="s">
        <v>17694</v>
      </c>
      <c r="H14" t="s">
        <v>1112</v>
      </c>
      <c r="I14" t="s">
        <v>1108</v>
      </c>
      <c r="J14" t="s">
        <v>10165</v>
      </c>
      <c r="K14" t="s">
        <v>10166</v>
      </c>
      <c r="L14" t="s">
        <v>21</v>
      </c>
      <c r="M14" t="s">
        <v>19177</v>
      </c>
      <c r="N14" t="s">
        <v>16375</v>
      </c>
      <c r="O14" t="s">
        <v>640</v>
      </c>
      <c r="P14" t="s">
        <v>623</v>
      </c>
    </row>
    <row r="15">
      <c r="A15">
        <f>HYPERLINK("http://bombeiros.sp.gov.br/hidrantes/03individual/10049.html","10049")</f>
      </c>
      <c r="B15" t="s">
        <v>623</v>
      </c>
      <c r="C15" t="s">
        <v>821</v>
      </c>
      <c r="D15" t="s">
        <v>11612</v>
      </c>
      <c r="E15" t="s">
        <v>1507</v>
      </c>
      <c r="F15" t="s">
        <v>11613</v>
      </c>
      <c r="G15" t="s">
        <v>18146</v>
      </c>
      <c r="H15" t="s">
        <v>1112</v>
      </c>
      <c r="I15" t="s">
        <v>1108</v>
      </c>
      <c r="J15" t="s">
        <v>11614</v>
      </c>
      <c r="K15" t="s">
        <v>11615</v>
      </c>
      <c r="L15" t="s">
        <v>21</v>
      </c>
      <c r="M15" t="s">
        <v>19177</v>
      </c>
      <c r="N15" t="s">
        <v>714</v>
      </c>
      <c r="O15" t="s">
        <v>10263</v>
      </c>
      <c r="P15" t="s">
        <v>12</v>
      </c>
    </row>
    <row r="16">
      <c r="A16">
        <f>HYPERLINK("http://bombeiros.sp.gov.br/hidrantes/03individual/5607.html","5607")</f>
      </c>
      <c r="B16" t="s">
        <v>842</v>
      </c>
      <c r="C16" t="s">
        <v>937</v>
      </c>
      <c r="D16" t="s">
        <v>960</v>
      </c>
      <c r="E16" t="s">
        <v>1507</v>
      </c>
      <c r="F16" t="s">
        <v>13005</v>
      </c>
      <c r="G16" t="s">
        <v>18095</v>
      </c>
      <c r="H16" t="s">
        <v>1112</v>
      </c>
      <c r="I16" t="s">
        <v>1108</v>
      </c>
      <c r="J16" t="s">
        <v>13006</v>
      </c>
      <c r="K16" t="s">
        <v>13007</v>
      </c>
      <c r="L16" t="s">
        <v>21</v>
      </c>
      <c r="M16" t="s">
        <v>19177</v>
      </c>
      <c r="N16" t="s">
        <v>97</v>
      </c>
      <c r="O16" t="s">
        <v>937</v>
      </c>
      <c r="P16" t="s">
        <v>12</v>
      </c>
    </row>
    <row r="17">
      <c r="A17">
        <f>HYPERLINK("http://bombeiros.sp.gov.br/hidrantes/03individual/10058.html","10058")</f>
      </c>
      <c r="B17" t="s">
        <v>842</v>
      </c>
      <c r="C17" t="s">
        <v>979</v>
      </c>
      <c r="D17" t="s">
        <v>980</v>
      </c>
      <c r="E17" t="s">
        <v>1507</v>
      </c>
      <c r="F17" t="s">
        <v>13373</v>
      </c>
      <c r="G17" t="s">
        <v>17921</v>
      </c>
      <c r="H17" t="s">
        <v>1112</v>
      </c>
      <c r="I17" t="s">
        <v>1108</v>
      </c>
      <c r="J17" t="s">
        <v>13374</v>
      </c>
      <c r="K17" t="s">
        <v>13375</v>
      </c>
      <c r="L17" t="s">
        <v>21</v>
      </c>
      <c r="M17" t="s">
        <v>19177</v>
      </c>
      <c r="N17" t="s">
        <v>843</v>
      </c>
      <c r="O17" t="s">
        <v>987</v>
      </c>
      <c r="P17" t="s">
        <v>842</v>
      </c>
    </row>
    <row r="18">
      <c r="A18">
        <f>HYPERLINK("http://bombeiros.sp.gov.br/hidrantes/03individual/3784.html","3784")</f>
      </c>
      <c r="B18" t="s">
        <v>842</v>
      </c>
      <c r="C18" t="s">
        <v>996</v>
      </c>
      <c r="D18" t="s">
        <v>13449</v>
      </c>
      <c r="E18" t="s">
        <v>1507</v>
      </c>
      <c r="F18" t="s">
        <v>13450</v>
      </c>
      <c r="G18" t="s">
        <v>18083</v>
      </c>
      <c r="H18" t="s">
        <v>1107</v>
      </c>
      <c r="I18" t="s">
        <v>1108</v>
      </c>
      <c r="J18" t="s">
        <v>13451</v>
      </c>
      <c r="K18" t="s">
        <v>13452</v>
      </c>
      <c r="L18" t="s">
        <v>36</v>
      </c>
      <c r="M18" t="s">
        <v>19177</v>
      </c>
      <c r="N18" t="s">
        <v>714</v>
      </c>
      <c r="O18" t="s">
        <v>10263</v>
      </c>
      <c r="P18" t="s">
        <v>12</v>
      </c>
    </row>
  </sheetData>
</worksheet>
</file>

<file path=xl/worksheets/sheet52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957"/>
  <sheetViews>
    <sheetView workbookViewId="0">
      <pane xSplit="0.0" ySplit="1" topLeftCell="A2" activePane="bottomLeft" state="frozen"/>
    </sheetView>
  </sheetViews>
  <sheetFormatPr defaultRowHeight="15"/>
  <cols>
    <col min="1" max="1" width="10.7109375" customWidth="true"/>
    <col min="2" max="2" width="10.7109375" customWidth="true"/>
    <col min="3" max="3" width="15.7109375" customWidth="true"/>
    <col min="4" max="4" width="20.7109375" customWidth="true"/>
    <col min="5" max="5" width="20.7109375" customWidth="true"/>
    <col min="6" max="6" width="100.7109375" customWidth="true"/>
    <col min="7" max="7" width="12.7109375" customWidth="true"/>
    <col min="8" max="8" width="15.7109375" customWidth="true"/>
    <col min="9" max="9" width="20.7109375" customWidth="true"/>
    <col min="10" max="10" width="20.7109375" customWidth="true"/>
    <col min="11" max="11" width="20.7109375" customWidth="true"/>
    <col min="12" max="12" width="10.7109375" customWidth="true"/>
    <col min="13" max="13" width="12.7109375" customWidth="true"/>
    <col min="14" max="14" width="30.7109375" customWidth="true"/>
    <col min="15" max="15" width="30.7109375" customWidth="true"/>
    <col min="16" max="16" width="3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14981</v>
      </c>
      <c r="N1" t="s">
        <v>16370</v>
      </c>
      <c r="O1" t="s">
        <v>16371</v>
      </c>
      <c r="P1" t="s">
        <v>16372</v>
      </c>
    </row>
    <row r="2">
      <c r="A2">
        <f>HYPERLINK("http://bombeiros.sp.gov.br/hidrantes/03individual/276.html","276")</f>
      </c>
      <c r="B2" t="s">
        <v>12</v>
      </c>
      <c r="C2" t="s">
        <v>13</v>
      </c>
      <c r="D2" t="s">
        <v>13</v>
      </c>
      <c r="E2" t="s">
        <v>15</v>
      </c>
      <c r="F2" t="s">
        <v>1130</v>
      </c>
      <c r="G2" t="s">
        <v>17964</v>
      </c>
      <c r="H2" t="s">
        <v>1112</v>
      </c>
      <c r="I2" t="s">
        <v>1108</v>
      </c>
      <c r="J2" t="s">
        <v>1131</v>
      </c>
      <c r="K2" t="s">
        <v>1132</v>
      </c>
      <c r="L2" t="s">
        <v>21</v>
      </c>
      <c r="M2" t="s">
        <v>19177</v>
      </c>
      <c r="N2" t="s">
        <v>714</v>
      </c>
      <c r="O2" t="s">
        <v>10263</v>
      </c>
      <c r="P2" t="s">
        <v>12</v>
      </c>
    </row>
    <row r="3">
      <c r="A3">
        <f>HYPERLINK("http://bombeiros.sp.gov.br/hidrantes/03individual/2716.html","2716")</f>
      </c>
      <c r="B3" t="s">
        <v>12</v>
      </c>
      <c r="C3" t="s">
        <v>13</v>
      </c>
      <c r="D3" t="s">
        <v>13</v>
      </c>
      <c r="E3" t="s">
        <v>15</v>
      </c>
      <c r="F3" t="s">
        <v>18880</v>
      </c>
      <c r="G3" t="s">
        <v>18160</v>
      </c>
      <c r="H3" t="s">
        <v>1112</v>
      </c>
      <c r="I3" t="s">
        <v>1108</v>
      </c>
      <c r="J3" t="s">
        <v>1142</v>
      </c>
      <c r="K3" t="s">
        <v>1143</v>
      </c>
      <c r="L3" t="s">
        <v>21</v>
      </c>
      <c r="M3" t="s">
        <v>19177</v>
      </c>
      <c r="N3" t="s">
        <v>714</v>
      </c>
      <c r="O3" t="s">
        <v>10263</v>
      </c>
      <c r="P3" t="s">
        <v>12</v>
      </c>
    </row>
    <row r="4">
      <c r="A4">
        <f>HYPERLINK("http://bombeiros.sp.gov.br/hidrantes/03individual/2724.html","2724")</f>
      </c>
      <c r="B4" t="s">
        <v>12</v>
      </c>
      <c r="C4" t="s">
        <v>13</v>
      </c>
      <c r="D4" t="s">
        <v>13</v>
      </c>
      <c r="E4" t="s">
        <v>15</v>
      </c>
      <c r="F4" t="s">
        <v>1147</v>
      </c>
      <c r="G4" t="s">
        <v>18040</v>
      </c>
      <c r="H4" t="s">
        <v>1112</v>
      </c>
      <c r="I4" t="s">
        <v>1108</v>
      </c>
      <c r="J4" t="s">
        <v>1148</v>
      </c>
      <c r="K4" t="s">
        <v>1149</v>
      </c>
      <c r="L4" t="s">
        <v>36</v>
      </c>
      <c r="M4" t="s">
        <v>19177</v>
      </c>
      <c r="N4" t="s">
        <v>714</v>
      </c>
      <c r="O4" t="s">
        <v>10263</v>
      </c>
      <c r="P4" t="s">
        <v>12</v>
      </c>
    </row>
    <row r="5">
      <c r="A5">
        <f>HYPERLINK("http://bombeiros.sp.gov.br/hidrantes/03individual/2758.html","2758")</f>
      </c>
      <c r="B5" t="s">
        <v>12</v>
      </c>
      <c r="C5" t="s">
        <v>13</v>
      </c>
      <c r="D5" t="s">
        <v>13</v>
      </c>
      <c r="E5" t="s">
        <v>15</v>
      </c>
      <c r="F5" t="s">
        <v>1153</v>
      </c>
      <c r="G5" t="s">
        <v>18023</v>
      </c>
      <c r="H5" t="s">
        <v>1112</v>
      </c>
      <c r="I5" t="s">
        <v>1108</v>
      </c>
      <c r="J5" t="s">
        <v>1154</v>
      </c>
      <c r="K5" t="s">
        <v>1155</v>
      </c>
      <c r="L5" t="s">
        <v>21</v>
      </c>
      <c r="M5" t="s">
        <v>19177</v>
      </c>
      <c r="N5" t="s">
        <v>714</v>
      </c>
      <c r="O5" t="s">
        <v>10263</v>
      </c>
      <c r="P5" t="s">
        <v>12</v>
      </c>
    </row>
    <row r="6">
      <c r="A6">
        <f>HYPERLINK("http://bombeiros.sp.gov.br/hidrantes/03individual/127.html","127")</f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18043</v>
      </c>
      <c r="H6" t="s">
        <v>1112</v>
      </c>
      <c r="I6" t="s">
        <v>1108</v>
      </c>
      <c r="J6" t="s">
        <v>19</v>
      </c>
      <c r="K6" t="s">
        <v>20</v>
      </c>
      <c r="L6" t="s">
        <v>21</v>
      </c>
      <c r="M6" t="s">
        <v>19177</v>
      </c>
      <c r="N6" t="s">
        <v>714</v>
      </c>
      <c r="O6" t="s">
        <v>10263</v>
      </c>
      <c r="P6" t="s">
        <v>12</v>
      </c>
    </row>
    <row r="7">
      <c r="A7">
        <f>HYPERLINK("http://bombeiros.sp.gov.br/hidrantes/03individual/2555.html","2555")</f>
      </c>
      <c r="B7" t="s">
        <v>12</v>
      </c>
      <c r="C7" t="s">
        <v>13</v>
      </c>
      <c r="D7" t="s">
        <v>1172</v>
      </c>
      <c r="E7" t="s">
        <v>64</v>
      </c>
      <c r="F7" t="s">
        <v>1181</v>
      </c>
      <c r="G7" t="s">
        <v>18133</v>
      </c>
      <c r="H7" t="s">
        <v>1112</v>
      </c>
      <c r="I7" t="s">
        <v>1108</v>
      </c>
      <c r="J7" t="s">
        <v>1182</v>
      </c>
      <c r="K7" t="s">
        <v>1183</v>
      </c>
      <c r="L7" t="s">
        <v>36</v>
      </c>
      <c r="M7" t="s">
        <v>19177</v>
      </c>
      <c r="N7" t="s">
        <v>714</v>
      </c>
      <c r="O7" t="s">
        <v>10263</v>
      </c>
      <c r="P7" t="s">
        <v>12</v>
      </c>
    </row>
    <row r="8">
      <c r="A8">
        <f>HYPERLINK("http://bombeiros.sp.gov.br/hidrantes/03individual/2520.html","2520")</f>
      </c>
      <c r="B8" t="s">
        <v>12</v>
      </c>
      <c r="C8" t="s">
        <v>13</v>
      </c>
      <c r="D8" t="s">
        <v>1172</v>
      </c>
      <c r="E8" t="s">
        <v>15</v>
      </c>
      <c r="F8" t="s">
        <v>1202</v>
      </c>
      <c r="G8" t="s">
        <v>18060</v>
      </c>
      <c r="H8" t="s">
        <v>1107</v>
      </c>
      <c r="I8" t="s">
        <v>1108</v>
      </c>
      <c r="J8" t="s">
        <v>1204</v>
      </c>
      <c r="K8" t="s">
        <v>1205</v>
      </c>
      <c r="L8" t="s">
        <v>21</v>
      </c>
      <c r="M8" t="s">
        <v>19177</v>
      </c>
      <c r="N8" t="s">
        <v>714</v>
      </c>
      <c r="O8" t="s">
        <v>10263</v>
      </c>
      <c r="P8" t="s">
        <v>12</v>
      </c>
    </row>
    <row r="9">
      <c r="A9">
        <f>HYPERLINK("http://bombeiros.sp.gov.br/hidrantes/03individual/2927.html","2927")</f>
      </c>
      <c r="B9" t="s">
        <v>12</v>
      </c>
      <c r="C9" t="s">
        <v>13</v>
      </c>
      <c r="D9" t="s">
        <v>1172</v>
      </c>
      <c r="E9" t="s">
        <v>15</v>
      </c>
      <c r="F9" t="s">
        <v>1212</v>
      </c>
      <c r="G9" t="s">
        <v>18060</v>
      </c>
      <c r="H9" t="s">
        <v>1107</v>
      </c>
      <c r="I9" t="s">
        <v>1108</v>
      </c>
      <c r="J9" t="s">
        <v>1213</v>
      </c>
      <c r="K9" t="s">
        <v>1214</v>
      </c>
      <c r="L9" t="s">
        <v>21</v>
      </c>
      <c r="M9" t="s">
        <v>19177</v>
      </c>
      <c r="N9" t="s">
        <v>714</v>
      </c>
      <c r="O9" t="s">
        <v>10263</v>
      </c>
      <c r="P9" t="s">
        <v>12</v>
      </c>
    </row>
    <row r="10">
      <c r="A10">
        <f>HYPERLINK("http://bombeiros.sp.gov.br/hidrantes/03individual/25215.html","25215")</f>
      </c>
      <c r="B10" t="s">
        <v>12</v>
      </c>
      <c r="C10" t="s">
        <v>13</v>
      </c>
      <c r="D10" t="s">
        <v>1172</v>
      </c>
      <c r="E10" t="s">
        <v>15</v>
      </c>
      <c r="F10" t="s">
        <v>1227</v>
      </c>
      <c r="G10" t="s">
        <v>18010</v>
      </c>
      <c r="H10" t="s">
        <v>1107</v>
      </c>
      <c r="I10" t="s">
        <v>1108</v>
      </c>
      <c r="J10" t="s">
        <v>1228</v>
      </c>
      <c r="K10" t="s">
        <v>1229</v>
      </c>
      <c r="L10" t="s">
        <v>21</v>
      </c>
      <c r="M10" t="s">
        <v>19177</v>
      </c>
      <c r="N10" t="s">
        <v>714</v>
      </c>
      <c r="O10" t="s">
        <v>10263</v>
      </c>
      <c r="P10" t="s">
        <v>12</v>
      </c>
    </row>
    <row r="11">
      <c r="A11">
        <f>HYPERLINK("http://bombeiros.sp.gov.br/hidrantes/03individual/26806.html","26806")</f>
      </c>
      <c r="B11" t="s">
        <v>12</v>
      </c>
      <c r="C11" t="s">
        <v>13</v>
      </c>
      <c r="D11" t="s">
        <v>1172</v>
      </c>
      <c r="E11" t="s">
        <v>15</v>
      </c>
      <c r="F11" t="s">
        <v>1212</v>
      </c>
      <c r="G11" t="s">
        <v>18130</v>
      </c>
      <c r="H11" t="s">
        <v>1107</v>
      </c>
      <c r="I11" t="s">
        <v>1108</v>
      </c>
      <c r="J11" t="s">
        <v>15923</v>
      </c>
      <c r="K11" t="s">
        <v>15924</v>
      </c>
      <c r="L11" t="s">
        <v>21</v>
      </c>
      <c r="M11" t="s">
        <v>19177</v>
      </c>
      <c r="N11" t="s">
        <v>714</v>
      </c>
      <c r="O11" t="s">
        <v>10263</v>
      </c>
      <c r="P11" t="s">
        <v>12</v>
      </c>
    </row>
    <row r="12">
      <c r="A12">
        <f>HYPERLINK("http://bombeiros.sp.gov.br/hidrantes/03individual/158.html","158")</f>
      </c>
      <c r="B12" t="s">
        <v>12</v>
      </c>
      <c r="C12" t="s">
        <v>13</v>
      </c>
      <c r="D12" t="s">
        <v>25</v>
      </c>
      <c r="E12" t="s">
        <v>64</v>
      </c>
      <c r="F12" t="s">
        <v>1230</v>
      </c>
      <c r="G12" t="s">
        <v>18150</v>
      </c>
      <c r="H12" t="s">
        <v>1112</v>
      </c>
      <c r="I12" t="s">
        <v>1108</v>
      </c>
      <c r="J12" t="s">
        <v>1231</v>
      </c>
      <c r="K12" t="s">
        <v>1232</v>
      </c>
      <c r="L12" t="s">
        <v>21</v>
      </c>
      <c r="M12" t="s">
        <v>19177</v>
      </c>
      <c r="N12" t="s">
        <v>714</v>
      </c>
      <c r="O12" t="s">
        <v>10263</v>
      </c>
      <c r="P12" t="s">
        <v>12</v>
      </c>
    </row>
    <row r="13">
      <c r="A13">
        <f>HYPERLINK("http://bombeiros.sp.gov.br/hidrantes/03individual/2338.html","2338")</f>
      </c>
      <c r="B13" t="s">
        <v>12</v>
      </c>
      <c r="C13" t="s">
        <v>13</v>
      </c>
      <c r="D13" t="s">
        <v>25</v>
      </c>
      <c r="E13" t="s">
        <v>15</v>
      </c>
      <c r="F13" t="s">
        <v>1248</v>
      </c>
      <c r="G13" t="s">
        <v>18013</v>
      </c>
      <c r="H13" t="s">
        <v>1107</v>
      </c>
      <c r="I13" t="s">
        <v>1108</v>
      </c>
      <c r="J13" t="s">
        <v>1249</v>
      </c>
      <c r="K13" t="s">
        <v>1250</v>
      </c>
      <c r="L13" t="s">
        <v>36</v>
      </c>
      <c r="M13" t="s">
        <v>19177</v>
      </c>
      <c r="N13" t="s">
        <v>714</v>
      </c>
      <c r="O13" t="s">
        <v>10263</v>
      </c>
      <c r="P13" t="s">
        <v>12</v>
      </c>
    </row>
    <row r="14">
      <c r="A14">
        <f>HYPERLINK("http://bombeiros.sp.gov.br/hidrantes/03individual/2656.html","2656")</f>
      </c>
      <c r="B14" t="s">
        <v>12</v>
      </c>
      <c r="C14" t="s">
        <v>13</v>
      </c>
      <c r="D14" t="s">
        <v>1251</v>
      </c>
      <c r="E14" t="s">
        <v>15</v>
      </c>
      <c r="F14" t="s">
        <v>1268</v>
      </c>
      <c r="G14" t="s">
        <v>18066</v>
      </c>
      <c r="H14" t="s">
        <v>1112</v>
      </c>
      <c r="I14" t="s">
        <v>1108</v>
      </c>
      <c r="J14" t="s">
        <v>15943</v>
      </c>
      <c r="K14" t="s">
        <v>15944</v>
      </c>
      <c r="L14" t="s">
        <v>21</v>
      </c>
      <c r="M14" t="s">
        <v>19177</v>
      </c>
      <c r="N14" t="s">
        <v>714</v>
      </c>
      <c r="O14" t="s">
        <v>10263</v>
      </c>
      <c r="P14" t="s">
        <v>12</v>
      </c>
    </row>
    <row r="15">
      <c r="A15">
        <f>HYPERLINK("http://bombeiros.sp.gov.br/hidrantes/03individual/2751.html","2751")</f>
      </c>
      <c r="B15" t="s">
        <v>12</v>
      </c>
      <c r="C15" t="s">
        <v>13</v>
      </c>
      <c r="D15" t="s">
        <v>1251</v>
      </c>
      <c r="E15" t="s">
        <v>15</v>
      </c>
      <c r="F15" t="s">
        <v>1271</v>
      </c>
      <c r="G15" t="s">
        <v>18023</v>
      </c>
      <c r="H15" t="s">
        <v>1112</v>
      </c>
      <c r="I15" t="s">
        <v>1108</v>
      </c>
      <c r="J15" t="s">
        <v>1272</v>
      </c>
      <c r="K15" t="s">
        <v>1273</v>
      </c>
      <c r="L15" t="s">
        <v>21</v>
      </c>
      <c r="M15" t="s">
        <v>19177</v>
      </c>
      <c r="N15" t="s">
        <v>714</v>
      </c>
      <c r="O15" t="s">
        <v>10263</v>
      </c>
      <c r="P15" t="s">
        <v>12</v>
      </c>
    </row>
    <row r="16">
      <c r="A16">
        <f>HYPERLINK("http://bombeiros.sp.gov.br/hidrantes/03individual/5501.html","5501")</f>
      </c>
      <c r="B16" t="s">
        <v>12</v>
      </c>
      <c r="C16" t="s">
        <v>30</v>
      </c>
      <c r="D16" t="s">
        <v>30</v>
      </c>
      <c r="E16" t="s">
        <v>64</v>
      </c>
      <c r="F16" t="s">
        <v>1298</v>
      </c>
      <c r="G16" t="s">
        <v>18066</v>
      </c>
      <c r="H16" t="s">
        <v>1107</v>
      </c>
      <c r="I16" t="s">
        <v>1108</v>
      </c>
      <c r="J16" t="s">
        <v>1300</v>
      </c>
      <c r="K16" t="s">
        <v>1301</v>
      </c>
      <c r="L16" t="s">
        <v>21</v>
      </c>
      <c r="M16" t="s">
        <v>19177</v>
      </c>
      <c r="N16" t="s">
        <v>97</v>
      </c>
      <c r="O16" t="s">
        <v>937</v>
      </c>
      <c r="P16" t="s">
        <v>12</v>
      </c>
    </row>
    <row r="17">
      <c r="A17">
        <f>HYPERLINK("http://bombeiros.sp.gov.br/hidrantes/03individual/653.html","653")</f>
      </c>
      <c r="B17" t="s">
        <v>12</v>
      </c>
      <c r="C17" t="s">
        <v>30</v>
      </c>
      <c r="D17" t="s">
        <v>30</v>
      </c>
      <c r="E17" t="s">
        <v>15</v>
      </c>
      <c r="F17" t="s">
        <v>1309</v>
      </c>
      <c r="G17" t="s">
        <v>18125</v>
      </c>
      <c r="H17" t="s">
        <v>1112</v>
      </c>
      <c r="I17" t="s">
        <v>1108</v>
      </c>
      <c r="J17" t="s">
        <v>1310</v>
      </c>
      <c r="K17" t="s">
        <v>1311</v>
      </c>
      <c r="L17" t="s">
        <v>21</v>
      </c>
      <c r="M17" t="s">
        <v>19177</v>
      </c>
      <c r="N17" t="s">
        <v>97</v>
      </c>
      <c r="O17" t="s">
        <v>937</v>
      </c>
      <c r="P17" t="s">
        <v>12</v>
      </c>
    </row>
    <row r="18">
      <c r="A18">
        <f>HYPERLINK("http://bombeiros.sp.gov.br/hidrantes/03individual/2794.html","2794")</f>
      </c>
      <c r="B18" t="s">
        <v>12</v>
      </c>
      <c r="C18" t="s">
        <v>30</v>
      </c>
      <c r="D18" t="s">
        <v>30</v>
      </c>
      <c r="E18" t="s">
        <v>15</v>
      </c>
      <c r="F18" t="s">
        <v>1325</v>
      </c>
      <c r="G18" t="s">
        <v>18055</v>
      </c>
      <c r="H18" t="s">
        <v>1112</v>
      </c>
      <c r="I18" t="s">
        <v>1108</v>
      </c>
      <c r="J18" t="s">
        <v>1327</v>
      </c>
      <c r="K18" t="s">
        <v>1328</v>
      </c>
      <c r="L18" t="s">
        <v>36</v>
      </c>
      <c r="M18" t="s">
        <v>19177</v>
      </c>
      <c r="N18" t="s">
        <v>97</v>
      </c>
      <c r="O18" t="s">
        <v>937</v>
      </c>
      <c r="P18" t="s">
        <v>12</v>
      </c>
    </row>
    <row r="19">
      <c r="A19">
        <f>HYPERLINK("http://bombeiros.sp.gov.br/hidrantes/03individual/2802.html","2802")</f>
      </c>
      <c r="B19" t="s">
        <v>12</v>
      </c>
      <c r="C19" t="s">
        <v>30</v>
      </c>
      <c r="D19" t="s">
        <v>30</v>
      </c>
      <c r="E19" t="s">
        <v>15</v>
      </c>
      <c r="F19" t="s">
        <v>1332</v>
      </c>
      <c r="G19" t="s">
        <v>18183</v>
      </c>
      <c r="H19" t="s">
        <v>1112</v>
      </c>
      <c r="I19" t="s">
        <v>1108</v>
      </c>
      <c r="J19" t="s">
        <v>1333</v>
      </c>
      <c r="K19" t="s">
        <v>1334</v>
      </c>
      <c r="L19" t="s">
        <v>21</v>
      </c>
      <c r="M19" t="s">
        <v>19177</v>
      </c>
      <c r="N19" t="s">
        <v>97</v>
      </c>
      <c r="O19" t="s">
        <v>937</v>
      </c>
      <c r="P19" t="s">
        <v>12</v>
      </c>
    </row>
    <row r="20">
      <c r="A20">
        <f>HYPERLINK("http://bombeiros.sp.gov.br/hidrantes/03individual/2806.html","2806")</f>
      </c>
      <c r="B20" t="s">
        <v>12</v>
      </c>
      <c r="C20" t="s">
        <v>30</v>
      </c>
      <c r="D20" t="s">
        <v>30</v>
      </c>
      <c r="E20" t="s">
        <v>15</v>
      </c>
      <c r="F20" t="s">
        <v>1338</v>
      </c>
      <c r="G20" t="s">
        <v>18183</v>
      </c>
      <c r="H20" t="s">
        <v>1112</v>
      </c>
      <c r="I20" t="s">
        <v>1108</v>
      </c>
      <c r="J20" t="s">
        <v>1339</v>
      </c>
      <c r="K20" t="s">
        <v>1340</v>
      </c>
      <c r="L20" t="s">
        <v>36</v>
      </c>
      <c r="M20" t="s">
        <v>19177</v>
      </c>
      <c r="N20" t="s">
        <v>97</v>
      </c>
      <c r="O20" t="s">
        <v>937</v>
      </c>
      <c r="P20" t="s">
        <v>12</v>
      </c>
    </row>
    <row r="21">
      <c r="A21">
        <f>HYPERLINK("http://bombeiros.sp.gov.br/hidrantes/03individual/2808.html","2808")</f>
      </c>
      <c r="B21" t="s">
        <v>12</v>
      </c>
      <c r="C21" t="s">
        <v>30</v>
      </c>
      <c r="D21" t="s">
        <v>30</v>
      </c>
      <c r="E21" t="s">
        <v>15</v>
      </c>
      <c r="F21" t="s">
        <v>1341</v>
      </c>
      <c r="G21" t="s">
        <v>18044</v>
      </c>
      <c r="H21" t="s">
        <v>1107</v>
      </c>
      <c r="I21" t="s">
        <v>1108</v>
      </c>
      <c r="J21" t="s">
        <v>1342</v>
      </c>
      <c r="K21" t="s">
        <v>1343</v>
      </c>
      <c r="L21" t="s">
        <v>21</v>
      </c>
      <c r="M21" t="s">
        <v>19177</v>
      </c>
      <c r="N21" t="s">
        <v>97</v>
      </c>
      <c r="O21" t="s">
        <v>937</v>
      </c>
      <c r="P21" t="s">
        <v>12</v>
      </c>
    </row>
    <row r="22">
      <c r="A22">
        <f>HYPERLINK("http://bombeiros.sp.gov.br/hidrantes/03individual/2930.html","2930")</f>
      </c>
      <c r="B22" t="s">
        <v>12</v>
      </c>
      <c r="C22" t="s">
        <v>30</v>
      </c>
      <c r="D22" t="s">
        <v>30</v>
      </c>
      <c r="E22" t="s">
        <v>15</v>
      </c>
      <c r="F22" t="s">
        <v>1350</v>
      </c>
      <c r="G22" t="s">
        <v>18046</v>
      </c>
      <c r="H22" t="s">
        <v>1112</v>
      </c>
      <c r="I22" t="s">
        <v>1108</v>
      </c>
      <c r="J22" t="s">
        <v>1351</v>
      </c>
      <c r="K22" t="s">
        <v>1352</v>
      </c>
      <c r="L22" t="s">
        <v>36</v>
      </c>
      <c r="M22" t="s">
        <v>19177</v>
      </c>
      <c r="N22" t="s">
        <v>97</v>
      </c>
      <c r="O22" t="s">
        <v>937</v>
      </c>
      <c r="P22" t="s">
        <v>12</v>
      </c>
    </row>
    <row r="23">
      <c r="A23">
        <f>HYPERLINK("http://bombeiros.sp.gov.br/hidrantes/03individual/2051.html","2051")</f>
      </c>
      <c r="B23" t="s">
        <v>12</v>
      </c>
      <c r="C23" t="s">
        <v>30</v>
      </c>
      <c r="D23" t="s">
        <v>31</v>
      </c>
      <c r="E23" t="s">
        <v>64</v>
      </c>
      <c r="F23" t="s">
        <v>1367</v>
      </c>
      <c r="G23" t="s">
        <v>18183</v>
      </c>
      <c r="H23" t="s">
        <v>1112</v>
      </c>
      <c r="I23" t="s">
        <v>1108</v>
      </c>
      <c r="J23" t="s">
        <v>1369</v>
      </c>
      <c r="K23" t="s">
        <v>1370</v>
      </c>
      <c r="L23" t="s">
        <v>36</v>
      </c>
      <c r="M23" t="s">
        <v>19177</v>
      </c>
      <c r="N23" t="s">
        <v>97</v>
      </c>
      <c r="O23" t="s">
        <v>937</v>
      </c>
      <c r="P23" t="s">
        <v>12</v>
      </c>
    </row>
    <row r="24">
      <c r="A24">
        <f>HYPERLINK("http://bombeiros.sp.gov.br/hidrantes/03individual/2053.html","2053")</f>
      </c>
      <c r="B24" t="s">
        <v>12</v>
      </c>
      <c r="C24" t="s">
        <v>30</v>
      </c>
      <c r="D24" t="s">
        <v>31</v>
      </c>
      <c r="E24" t="s">
        <v>64</v>
      </c>
      <c r="F24" t="s">
        <v>1371</v>
      </c>
      <c r="G24" t="s">
        <v>18183</v>
      </c>
      <c r="H24" t="s">
        <v>1112</v>
      </c>
      <c r="I24" t="s">
        <v>1108</v>
      </c>
      <c r="J24" t="s">
        <v>1372</v>
      </c>
      <c r="K24" t="s">
        <v>1373</v>
      </c>
      <c r="L24" t="s">
        <v>21</v>
      </c>
      <c r="M24" t="s">
        <v>19177</v>
      </c>
      <c r="N24" t="s">
        <v>97</v>
      </c>
      <c r="O24" t="s">
        <v>937</v>
      </c>
      <c r="P24" t="s">
        <v>12</v>
      </c>
    </row>
    <row r="25">
      <c r="A25">
        <f>HYPERLINK("http://bombeiros.sp.gov.br/hidrantes/03individual/2414.html","2414")</f>
      </c>
      <c r="B25" t="s">
        <v>12</v>
      </c>
      <c r="C25" t="s">
        <v>30</v>
      </c>
      <c r="D25" t="s">
        <v>31</v>
      </c>
      <c r="E25" t="s">
        <v>64</v>
      </c>
      <c r="F25" t="s">
        <v>1374</v>
      </c>
      <c r="G25" t="s">
        <v>18044</v>
      </c>
      <c r="H25" t="s">
        <v>1107</v>
      </c>
      <c r="I25" t="s">
        <v>1108</v>
      </c>
      <c r="J25" t="s">
        <v>1375</v>
      </c>
      <c r="K25" t="s">
        <v>1376</v>
      </c>
      <c r="L25" t="s">
        <v>36</v>
      </c>
      <c r="M25" t="s">
        <v>19177</v>
      </c>
      <c r="N25" t="s">
        <v>97</v>
      </c>
      <c r="O25" t="s">
        <v>937</v>
      </c>
      <c r="P25" t="s">
        <v>12</v>
      </c>
    </row>
    <row r="26">
      <c r="A26">
        <f>HYPERLINK("http://bombeiros.sp.gov.br/hidrantes/03individual/2416.html","2416")</f>
      </c>
      <c r="B26" t="s">
        <v>12</v>
      </c>
      <c r="C26" t="s">
        <v>30</v>
      </c>
      <c r="D26" t="s">
        <v>31</v>
      </c>
      <c r="E26" t="s">
        <v>64</v>
      </c>
      <c r="F26" t="s">
        <v>1377</v>
      </c>
      <c r="G26" t="s">
        <v>18044</v>
      </c>
      <c r="H26" t="s">
        <v>1107</v>
      </c>
      <c r="I26" t="s">
        <v>1108</v>
      </c>
      <c r="J26" t="s">
        <v>1378</v>
      </c>
      <c r="K26" t="s">
        <v>1379</v>
      </c>
      <c r="L26" t="s">
        <v>21</v>
      </c>
      <c r="M26" t="s">
        <v>19177</v>
      </c>
      <c r="N26" t="s">
        <v>97</v>
      </c>
      <c r="O26" t="s">
        <v>937</v>
      </c>
      <c r="P26" t="s">
        <v>12</v>
      </c>
    </row>
    <row r="27">
      <c r="A27">
        <f>HYPERLINK("http://bombeiros.sp.gov.br/hidrantes/03individual/2423.html","2423")</f>
      </c>
      <c r="B27" t="s">
        <v>12</v>
      </c>
      <c r="C27" t="s">
        <v>30</v>
      </c>
      <c r="D27" t="s">
        <v>31</v>
      </c>
      <c r="E27" t="s">
        <v>64</v>
      </c>
      <c r="F27" t="s">
        <v>1383</v>
      </c>
      <c r="G27" t="s">
        <v>18048</v>
      </c>
      <c r="H27" t="s">
        <v>1107</v>
      </c>
      <c r="I27" t="s">
        <v>1108</v>
      </c>
      <c r="J27" t="s">
        <v>1385</v>
      </c>
      <c r="K27" t="s">
        <v>1386</v>
      </c>
      <c r="L27" t="s">
        <v>21</v>
      </c>
      <c r="M27" t="s">
        <v>19177</v>
      </c>
      <c r="N27" t="s">
        <v>97</v>
      </c>
      <c r="O27" t="s">
        <v>937</v>
      </c>
      <c r="P27" t="s">
        <v>12</v>
      </c>
    </row>
    <row r="28">
      <c r="A28">
        <f>HYPERLINK("http://bombeiros.sp.gov.br/hidrantes/03individual/2433.html","2433")</f>
      </c>
      <c r="B28" t="s">
        <v>12</v>
      </c>
      <c r="C28" t="s">
        <v>30</v>
      </c>
      <c r="D28" t="s">
        <v>31</v>
      </c>
      <c r="E28" t="s">
        <v>64</v>
      </c>
      <c r="F28" t="s">
        <v>1387</v>
      </c>
      <c r="G28" t="s">
        <v>18044</v>
      </c>
      <c r="H28" t="s">
        <v>1107</v>
      </c>
      <c r="I28" t="s">
        <v>1108</v>
      </c>
      <c r="J28" t="s">
        <v>1388</v>
      </c>
      <c r="K28" t="s">
        <v>1389</v>
      </c>
      <c r="L28" t="s">
        <v>36</v>
      </c>
      <c r="M28" t="s">
        <v>19177</v>
      </c>
      <c r="N28" t="s">
        <v>97</v>
      </c>
      <c r="O28" t="s">
        <v>937</v>
      </c>
      <c r="P28" t="s">
        <v>12</v>
      </c>
    </row>
    <row r="29">
      <c r="A29">
        <f>HYPERLINK("http://bombeiros.sp.gov.br/hidrantes/03individual/707.html","707")</f>
      </c>
      <c r="B29" t="s">
        <v>12</v>
      </c>
      <c r="C29" t="s">
        <v>30</v>
      </c>
      <c r="D29" t="s">
        <v>31</v>
      </c>
      <c r="E29" t="s">
        <v>15</v>
      </c>
      <c r="F29" t="s">
        <v>1424</v>
      </c>
      <c r="G29" t="s">
        <v>18047</v>
      </c>
      <c r="H29" t="s">
        <v>1107</v>
      </c>
      <c r="I29" t="s">
        <v>1108</v>
      </c>
      <c r="J29" t="s">
        <v>1425</v>
      </c>
      <c r="K29" t="s">
        <v>1426</v>
      </c>
      <c r="L29" t="s">
        <v>21</v>
      </c>
      <c r="M29" t="s">
        <v>19177</v>
      </c>
      <c r="N29" t="s">
        <v>97</v>
      </c>
      <c r="O29" t="s">
        <v>937</v>
      </c>
      <c r="P29" t="s">
        <v>12</v>
      </c>
    </row>
    <row r="30">
      <c r="A30">
        <f>HYPERLINK("http://bombeiros.sp.gov.br/hidrantes/03individual/785.html","785")</f>
      </c>
      <c r="B30" t="s">
        <v>12</v>
      </c>
      <c r="C30" t="s">
        <v>30</v>
      </c>
      <c r="D30" t="s">
        <v>31</v>
      </c>
      <c r="E30" t="s">
        <v>15</v>
      </c>
      <c r="F30" t="s">
        <v>1436</v>
      </c>
      <c r="G30" t="s">
        <v>18089</v>
      </c>
      <c r="H30" t="s">
        <v>1121</v>
      </c>
      <c r="I30" t="s">
        <v>1117</v>
      </c>
      <c r="J30" t="s">
        <v>1437</v>
      </c>
      <c r="K30" t="s">
        <v>1438</v>
      </c>
      <c r="L30" t="s">
        <v>21</v>
      </c>
      <c r="M30" t="s">
        <v>19177</v>
      </c>
      <c r="N30" t="s">
        <v>97</v>
      </c>
      <c r="O30" t="s">
        <v>937</v>
      </c>
      <c r="P30" t="s">
        <v>12</v>
      </c>
    </row>
    <row r="31">
      <c r="A31">
        <f>HYPERLINK("http://bombeiros.sp.gov.br/hidrantes/03individual/2413.html","2413")</f>
      </c>
      <c r="B31" t="s">
        <v>12</v>
      </c>
      <c r="C31" t="s">
        <v>30</v>
      </c>
      <c r="D31" t="s">
        <v>31</v>
      </c>
      <c r="E31" t="s">
        <v>15</v>
      </c>
      <c r="F31" t="s">
        <v>1457</v>
      </c>
      <c r="G31" t="s">
        <v>18044</v>
      </c>
      <c r="H31" t="s">
        <v>1174</v>
      </c>
      <c r="I31" t="s">
        <v>1108</v>
      </c>
      <c r="J31" t="s">
        <v>1458</v>
      </c>
      <c r="K31" t="s">
        <v>1459</v>
      </c>
      <c r="L31" t="s">
        <v>21</v>
      </c>
      <c r="M31" t="s">
        <v>19177</v>
      </c>
      <c r="N31" t="s">
        <v>97</v>
      </c>
      <c r="O31" t="s">
        <v>937</v>
      </c>
      <c r="P31" t="s">
        <v>12</v>
      </c>
    </row>
    <row r="32">
      <c r="A32">
        <f>HYPERLINK("http://bombeiros.sp.gov.br/hidrantes/03individual/2417.html","2417")</f>
      </c>
      <c r="B32" t="s">
        <v>12</v>
      </c>
      <c r="C32" t="s">
        <v>30</v>
      </c>
      <c r="D32" t="s">
        <v>31</v>
      </c>
      <c r="E32" t="s">
        <v>15</v>
      </c>
      <c r="F32" t="s">
        <v>1460</v>
      </c>
      <c r="G32" t="s">
        <v>18183</v>
      </c>
      <c r="H32" t="s">
        <v>1107</v>
      </c>
      <c r="I32" t="s">
        <v>1108</v>
      </c>
      <c r="J32" t="s">
        <v>1461</v>
      </c>
      <c r="K32" t="s">
        <v>1462</v>
      </c>
      <c r="L32" t="s">
        <v>21</v>
      </c>
      <c r="M32" t="s">
        <v>19177</v>
      </c>
      <c r="N32" t="s">
        <v>97</v>
      </c>
      <c r="O32" t="s">
        <v>937</v>
      </c>
      <c r="P32" t="s">
        <v>12</v>
      </c>
    </row>
    <row r="33">
      <c r="A33">
        <f>HYPERLINK("http://bombeiros.sp.gov.br/hidrantes/03individual/5504.html","5504")</f>
      </c>
      <c r="B33" t="s">
        <v>12</v>
      </c>
      <c r="C33" t="s">
        <v>30</v>
      </c>
      <c r="D33" t="s">
        <v>1506</v>
      </c>
      <c r="E33" t="s">
        <v>64</v>
      </c>
      <c r="F33" t="s">
        <v>1518</v>
      </c>
      <c r="G33" t="s">
        <v>18067</v>
      </c>
      <c r="H33" t="s">
        <v>1112</v>
      </c>
      <c r="I33" t="s">
        <v>1108</v>
      </c>
      <c r="J33" t="s">
        <v>1519</v>
      </c>
      <c r="K33" t="s">
        <v>1520</v>
      </c>
      <c r="L33" t="s">
        <v>21</v>
      </c>
      <c r="M33" t="s">
        <v>19177</v>
      </c>
      <c r="N33" t="s">
        <v>97</v>
      </c>
      <c r="O33" t="s">
        <v>937</v>
      </c>
      <c r="P33" t="s">
        <v>12</v>
      </c>
    </row>
    <row r="34">
      <c r="A34">
        <f>HYPERLINK("http://bombeiros.sp.gov.br/hidrantes/03individual/16443.html","16443")</f>
      </c>
      <c r="B34" t="s">
        <v>12</v>
      </c>
      <c r="C34" t="s">
        <v>30</v>
      </c>
      <c r="D34" t="s">
        <v>1506</v>
      </c>
      <c r="E34" t="s">
        <v>64</v>
      </c>
      <c r="F34" t="s">
        <v>1521</v>
      </c>
      <c r="G34" t="s">
        <v>18084</v>
      </c>
      <c r="H34" t="s">
        <v>1107</v>
      </c>
      <c r="I34" t="s">
        <v>1108</v>
      </c>
      <c r="J34" t="s">
        <v>1522</v>
      </c>
      <c r="K34" t="s">
        <v>1523</v>
      </c>
      <c r="L34" t="s">
        <v>21</v>
      </c>
      <c r="M34" t="s">
        <v>19177</v>
      </c>
      <c r="N34" t="s">
        <v>97</v>
      </c>
      <c r="O34" t="s">
        <v>937</v>
      </c>
      <c r="P34" t="s">
        <v>12</v>
      </c>
    </row>
    <row r="35">
      <c r="A35">
        <f>HYPERLINK("http://bombeiros.sp.gov.br/hidrantes/03individual/27126.html","27126")</f>
      </c>
      <c r="B35" t="s">
        <v>12</v>
      </c>
      <c r="C35" t="s">
        <v>30</v>
      </c>
      <c r="D35" t="s">
        <v>1506</v>
      </c>
      <c r="E35" t="s">
        <v>64</v>
      </c>
      <c r="F35" t="s">
        <v>16804</v>
      </c>
      <c r="G35" t="s">
        <v>18067</v>
      </c>
      <c r="H35" t="s">
        <v>1112</v>
      </c>
      <c r="I35" t="s">
        <v>1108</v>
      </c>
      <c r="J35" t="s">
        <v>16805</v>
      </c>
      <c r="K35" t="s">
        <v>16806</v>
      </c>
      <c r="L35" t="s">
        <v>21</v>
      </c>
      <c r="M35" t="s">
        <v>19177</v>
      </c>
      <c r="N35" t="s">
        <v>97</v>
      </c>
      <c r="O35" t="s">
        <v>937</v>
      </c>
      <c r="P35" t="s">
        <v>12</v>
      </c>
    </row>
    <row r="36">
      <c r="A36">
        <f>HYPERLINK("http://bombeiros.sp.gov.br/hidrantes/03individual/5646.html","5646")</f>
      </c>
      <c r="B36" t="s">
        <v>12</v>
      </c>
      <c r="C36" t="s">
        <v>37</v>
      </c>
      <c r="D36" t="s">
        <v>37</v>
      </c>
      <c r="E36" t="s">
        <v>64</v>
      </c>
      <c r="F36" t="s">
        <v>1557</v>
      </c>
      <c r="G36" t="s">
        <v>18106</v>
      </c>
      <c r="H36" t="s">
        <v>1112</v>
      </c>
      <c r="I36" t="s">
        <v>1108</v>
      </c>
      <c r="J36" t="s">
        <v>1558</v>
      </c>
      <c r="K36" t="s">
        <v>1559</v>
      </c>
      <c r="L36" t="s">
        <v>21</v>
      </c>
      <c r="M36" t="s">
        <v>19177</v>
      </c>
      <c r="N36" t="s">
        <v>97</v>
      </c>
      <c r="O36" t="s">
        <v>937</v>
      </c>
      <c r="P36" t="s">
        <v>12</v>
      </c>
    </row>
    <row r="37">
      <c r="A37">
        <f>HYPERLINK("http://bombeiros.sp.gov.br/hidrantes/03individual/5647.html","5647")</f>
      </c>
      <c r="B37" t="s">
        <v>12</v>
      </c>
      <c r="C37" t="s">
        <v>37</v>
      </c>
      <c r="D37" t="s">
        <v>37</v>
      </c>
      <c r="E37" t="s">
        <v>64</v>
      </c>
      <c r="F37" t="s">
        <v>1560</v>
      </c>
      <c r="G37" t="s">
        <v>18106</v>
      </c>
      <c r="H37" t="s">
        <v>1112</v>
      </c>
      <c r="I37" t="s">
        <v>1108</v>
      </c>
      <c r="J37" t="s">
        <v>1561</v>
      </c>
      <c r="K37" t="s">
        <v>1562</v>
      </c>
      <c r="L37" t="s">
        <v>21</v>
      </c>
      <c r="M37" t="s">
        <v>19177</v>
      </c>
      <c r="N37" t="s">
        <v>97</v>
      </c>
      <c r="O37" t="s">
        <v>937</v>
      </c>
      <c r="P37" t="s">
        <v>12</v>
      </c>
    </row>
    <row r="38">
      <c r="A38">
        <f>HYPERLINK("http://bombeiros.sp.gov.br/hidrantes/03individual/8.html","8")</f>
      </c>
      <c r="B38" t="s">
        <v>12</v>
      </c>
      <c r="C38" t="s">
        <v>37</v>
      </c>
      <c r="D38" t="s">
        <v>37</v>
      </c>
      <c r="E38" t="s">
        <v>15</v>
      </c>
      <c r="F38" t="s">
        <v>1563</v>
      </c>
      <c r="G38" t="s">
        <v>18152</v>
      </c>
      <c r="H38" t="s">
        <v>1112</v>
      </c>
      <c r="I38" t="s">
        <v>1108</v>
      </c>
      <c r="J38" t="s">
        <v>1564</v>
      </c>
      <c r="K38" t="s">
        <v>1565</v>
      </c>
      <c r="L38" t="s">
        <v>21</v>
      </c>
      <c r="M38" t="s">
        <v>19177</v>
      </c>
      <c r="N38" t="s">
        <v>97</v>
      </c>
      <c r="O38" t="s">
        <v>937</v>
      </c>
      <c r="P38" t="s">
        <v>12</v>
      </c>
    </row>
    <row r="39">
      <c r="A39">
        <f>HYPERLINK("http://bombeiros.sp.gov.br/hidrantes/03individual/68.html","68")</f>
      </c>
      <c r="B39" t="s">
        <v>12</v>
      </c>
      <c r="C39" t="s">
        <v>37</v>
      </c>
      <c r="D39" t="s">
        <v>37</v>
      </c>
      <c r="E39" t="s">
        <v>15</v>
      </c>
      <c r="F39" t="s">
        <v>1575</v>
      </c>
      <c r="G39" t="s">
        <v>18106</v>
      </c>
      <c r="H39" t="s">
        <v>1112</v>
      </c>
      <c r="I39" t="s">
        <v>1108</v>
      </c>
      <c r="J39" t="s">
        <v>1576</v>
      </c>
      <c r="K39" t="s">
        <v>1577</v>
      </c>
      <c r="L39" t="s">
        <v>21</v>
      </c>
      <c r="M39" t="s">
        <v>19177</v>
      </c>
      <c r="N39" t="s">
        <v>97</v>
      </c>
      <c r="O39" t="s">
        <v>937</v>
      </c>
      <c r="P39" t="s">
        <v>12</v>
      </c>
    </row>
    <row r="40">
      <c r="A40">
        <f>HYPERLINK("http://bombeiros.sp.gov.br/hidrantes/03individual/70.html","70")</f>
      </c>
      <c r="B40" t="s">
        <v>12</v>
      </c>
      <c r="C40" t="s">
        <v>37</v>
      </c>
      <c r="D40" t="s">
        <v>37</v>
      </c>
      <c r="E40" t="s">
        <v>15</v>
      </c>
      <c r="F40" t="s">
        <v>1578</v>
      </c>
      <c r="G40" t="s">
        <v>18106</v>
      </c>
      <c r="H40" t="s">
        <v>1121</v>
      </c>
      <c r="I40" t="s">
        <v>1117</v>
      </c>
      <c r="J40" t="s">
        <v>1579</v>
      </c>
      <c r="K40" t="s">
        <v>1580</v>
      </c>
      <c r="L40" t="s">
        <v>21</v>
      </c>
      <c r="M40" t="s">
        <v>19177</v>
      </c>
      <c r="N40" t="s">
        <v>97</v>
      </c>
      <c r="O40" t="s">
        <v>937</v>
      </c>
      <c r="P40" t="s">
        <v>12</v>
      </c>
    </row>
    <row r="41">
      <c r="A41">
        <f>HYPERLINK("http://bombeiros.sp.gov.br/hidrantes/03individual/71.html","71")</f>
      </c>
      <c r="B41" t="s">
        <v>12</v>
      </c>
      <c r="C41" t="s">
        <v>37</v>
      </c>
      <c r="D41" t="s">
        <v>37</v>
      </c>
      <c r="E41" t="s">
        <v>15</v>
      </c>
      <c r="F41" t="s">
        <v>1581</v>
      </c>
      <c r="G41" t="s">
        <v>18106</v>
      </c>
      <c r="H41" t="s">
        <v>1112</v>
      </c>
      <c r="I41" t="s">
        <v>1108</v>
      </c>
      <c r="J41" t="s">
        <v>1582</v>
      </c>
      <c r="K41" t="s">
        <v>1583</v>
      </c>
      <c r="L41" t="s">
        <v>21</v>
      </c>
      <c r="M41" t="s">
        <v>19177</v>
      </c>
      <c r="N41" t="s">
        <v>97</v>
      </c>
      <c r="O41" t="s">
        <v>937</v>
      </c>
      <c r="P41" t="s">
        <v>12</v>
      </c>
    </row>
    <row r="42">
      <c r="A42">
        <f>HYPERLINK("http://bombeiros.sp.gov.br/hidrantes/03individual/109.html","109")</f>
      </c>
      <c r="B42" t="s">
        <v>12</v>
      </c>
      <c r="C42" t="s">
        <v>37</v>
      </c>
      <c r="D42" t="s">
        <v>37</v>
      </c>
      <c r="E42" t="s">
        <v>15</v>
      </c>
      <c r="F42" t="s">
        <v>1584</v>
      </c>
      <c r="G42" t="s">
        <v>18106</v>
      </c>
      <c r="H42" t="s">
        <v>1121</v>
      </c>
      <c r="I42" t="s">
        <v>1117</v>
      </c>
      <c r="J42" t="s">
        <v>1585</v>
      </c>
      <c r="K42" t="s">
        <v>1586</v>
      </c>
      <c r="L42" t="s">
        <v>21</v>
      </c>
      <c r="M42" t="s">
        <v>19177</v>
      </c>
      <c r="N42" t="s">
        <v>97</v>
      </c>
      <c r="O42" t="s">
        <v>937</v>
      </c>
      <c r="P42" t="s">
        <v>12</v>
      </c>
    </row>
    <row r="43">
      <c r="A43">
        <f>HYPERLINK("http://bombeiros.sp.gov.br/hidrantes/03individual/2075.html","2075")</f>
      </c>
      <c r="B43" t="s">
        <v>12</v>
      </c>
      <c r="C43" t="s">
        <v>37</v>
      </c>
      <c r="D43" t="s">
        <v>37</v>
      </c>
      <c r="E43" t="s">
        <v>15</v>
      </c>
      <c r="F43" t="s">
        <v>1590</v>
      </c>
      <c r="G43" t="s">
        <v>18152</v>
      </c>
      <c r="H43" t="s">
        <v>1112</v>
      </c>
      <c r="I43" t="s">
        <v>1108</v>
      </c>
      <c r="J43" t="s">
        <v>1591</v>
      </c>
      <c r="K43" t="s">
        <v>1592</v>
      </c>
      <c r="L43" t="s">
        <v>21</v>
      </c>
      <c r="M43" t="s">
        <v>19177</v>
      </c>
      <c r="N43" t="s">
        <v>97</v>
      </c>
      <c r="O43" t="s">
        <v>937</v>
      </c>
      <c r="P43" t="s">
        <v>12</v>
      </c>
    </row>
    <row r="44">
      <c r="A44">
        <f>HYPERLINK("http://bombeiros.sp.gov.br/hidrantes/03individual/2344.html","2344")</f>
      </c>
      <c r="B44" t="s">
        <v>12</v>
      </c>
      <c r="C44" t="s">
        <v>37</v>
      </c>
      <c r="D44" t="s">
        <v>37</v>
      </c>
      <c r="E44" t="s">
        <v>15</v>
      </c>
      <c r="F44" t="s">
        <v>1599</v>
      </c>
      <c r="G44" t="s">
        <v>18046</v>
      </c>
      <c r="H44" t="s">
        <v>1112</v>
      </c>
      <c r="I44" t="s">
        <v>1108</v>
      </c>
      <c r="J44" t="s">
        <v>1600</v>
      </c>
      <c r="K44" t="s">
        <v>1601</v>
      </c>
      <c r="L44" t="s">
        <v>21</v>
      </c>
      <c r="M44" t="s">
        <v>19177</v>
      </c>
      <c r="N44" t="s">
        <v>97</v>
      </c>
      <c r="O44" t="s">
        <v>937</v>
      </c>
      <c r="P44" t="s">
        <v>12</v>
      </c>
    </row>
    <row r="45">
      <c r="A45">
        <f>HYPERLINK("http://bombeiros.sp.gov.br/hidrantes/03individual/1878.html","1878")</f>
      </c>
      <c r="B45" t="s">
        <v>12</v>
      </c>
      <c r="C45" t="s">
        <v>37</v>
      </c>
      <c r="D45" t="s">
        <v>38</v>
      </c>
      <c r="E45" t="s">
        <v>64</v>
      </c>
      <c r="F45" t="s">
        <v>1629</v>
      </c>
      <c r="G45" t="s">
        <v>18050</v>
      </c>
      <c r="H45" t="s">
        <v>1112</v>
      </c>
      <c r="I45" t="s">
        <v>1108</v>
      </c>
      <c r="J45" t="s">
        <v>1630</v>
      </c>
      <c r="K45" t="s">
        <v>1631</v>
      </c>
      <c r="L45" t="s">
        <v>36</v>
      </c>
      <c r="M45" t="s">
        <v>19177</v>
      </c>
      <c r="N45" t="s">
        <v>97</v>
      </c>
      <c r="O45" t="s">
        <v>937</v>
      </c>
      <c r="P45" t="s">
        <v>12</v>
      </c>
    </row>
    <row r="46">
      <c r="A46">
        <f>HYPERLINK("http://bombeiros.sp.gov.br/hidrantes/03individual/140.html","140")</f>
      </c>
      <c r="B46" t="s">
        <v>12</v>
      </c>
      <c r="C46" t="s">
        <v>37</v>
      </c>
      <c r="D46" t="s">
        <v>38</v>
      </c>
      <c r="E46" t="s">
        <v>15</v>
      </c>
      <c r="F46" t="s">
        <v>1638</v>
      </c>
      <c r="G46" t="s">
        <v>18050</v>
      </c>
      <c r="H46" t="s">
        <v>1112</v>
      </c>
      <c r="I46" t="s">
        <v>1108</v>
      </c>
      <c r="J46" t="s">
        <v>1639</v>
      </c>
      <c r="K46" t="s">
        <v>1640</v>
      </c>
      <c r="L46" t="s">
        <v>21</v>
      </c>
      <c r="M46" t="s">
        <v>19177</v>
      </c>
      <c r="N46" t="s">
        <v>97</v>
      </c>
      <c r="O46" t="s">
        <v>937</v>
      </c>
      <c r="P46" t="s">
        <v>12</v>
      </c>
    </row>
    <row r="47">
      <c r="A47">
        <f>HYPERLINK("http://bombeiros.sp.gov.br/hidrantes/03individual/1657.html","1657")</f>
      </c>
      <c r="B47" t="s">
        <v>12</v>
      </c>
      <c r="C47" t="s">
        <v>37</v>
      </c>
      <c r="D47" t="s">
        <v>38</v>
      </c>
      <c r="E47" t="s">
        <v>15</v>
      </c>
      <c r="F47" t="s">
        <v>1650</v>
      </c>
      <c r="G47" t="s">
        <v>18049</v>
      </c>
      <c r="H47" t="s">
        <v>1112</v>
      </c>
      <c r="I47" t="s">
        <v>1108</v>
      </c>
      <c r="J47" t="s">
        <v>1651</v>
      </c>
      <c r="K47" t="s">
        <v>1652</v>
      </c>
      <c r="L47" t="s">
        <v>21</v>
      </c>
      <c r="M47" t="s">
        <v>19177</v>
      </c>
      <c r="N47" t="s">
        <v>97</v>
      </c>
      <c r="O47" t="s">
        <v>937</v>
      </c>
      <c r="P47" t="s">
        <v>12</v>
      </c>
    </row>
    <row r="48">
      <c r="A48">
        <f>HYPERLINK("http://bombeiros.sp.gov.br/hidrantes/03individual/1818.html","1818")</f>
      </c>
      <c r="B48" t="s">
        <v>12</v>
      </c>
      <c r="C48" t="s">
        <v>37</v>
      </c>
      <c r="D48" t="s">
        <v>38</v>
      </c>
      <c r="E48" t="s">
        <v>15</v>
      </c>
      <c r="F48" t="s">
        <v>1659</v>
      </c>
      <c r="G48" t="s">
        <v>18077</v>
      </c>
      <c r="H48" t="s">
        <v>1112</v>
      </c>
      <c r="I48" t="s">
        <v>1108</v>
      </c>
      <c r="J48" t="s">
        <v>1660</v>
      </c>
      <c r="K48" t="s">
        <v>1661</v>
      </c>
      <c r="L48" t="s">
        <v>21</v>
      </c>
      <c r="M48" t="s">
        <v>19177</v>
      </c>
      <c r="N48" t="s">
        <v>97</v>
      </c>
      <c r="O48" t="s">
        <v>937</v>
      </c>
      <c r="P48" t="s">
        <v>12</v>
      </c>
    </row>
    <row r="49">
      <c r="A49">
        <f>HYPERLINK("http://bombeiros.sp.gov.br/hidrantes/03individual/2071.html","2071")</f>
      </c>
      <c r="B49" t="s">
        <v>12</v>
      </c>
      <c r="C49" t="s">
        <v>37</v>
      </c>
      <c r="D49" t="s">
        <v>38</v>
      </c>
      <c r="E49" t="s">
        <v>15</v>
      </c>
      <c r="F49" t="s">
        <v>1680</v>
      </c>
      <c r="G49" t="s">
        <v>18073</v>
      </c>
      <c r="H49" t="s">
        <v>1107</v>
      </c>
      <c r="I49" t="s">
        <v>1108</v>
      </c>
      <c r="J49" t="s">
        <v>1681</v>
      </c>
      <c r="K49" t="s">
        <v>1682</v>
      </c>
      <c r="L49" t="s">
        <v>21</v>
      </c>
      <c r="M49" t="s">
        <v>19177</v>
      </c>
      <c r="N49" t="s">
        <v>97</v>
      </c>
      <c r="O49" t="s">
        <v>937</v>
      </c>
      <c r="P49" t="s">
        <v>12</v>
      </c>
    </row>
    <row r="50">
      <c r="A50">
        <f>HYPERLINK("http://bombeiros.sp.gov.br/hidrantes/03individual/2122.html","2122")</f>
      </c>
      <c r="B50" t="s">
        <v>12</v>
      </c>
      <c r="C50" t="s">
        <v>37</v>
      </c>
      <c r="D50" t="s">
        <v>38</v>
      </c>
      <c r="E50" t="s">
        <v>15</v>
      </c>
      <c r="F50" t="s">
        <v>1683</v>
      </c>
      <c r="G50" t="s">
        <v>18152</v>
      </c>
      <c r="H50" t="s">
        <v>1107</v>
      </c>
      <c r="I50" t="s">
        <v>1108</v>
      </c>
      <c r="J50" t="s">
        <v>1684</v>
      </c>
      <c r="K50" t="s">
        <v>1685</v>
      </c>
      <c r="L50" t="s">
        <v>21</v>
      </c>
      <c r="M50" t="s">
        <v>19177</v>
      </c>
      <c r="N50" t="s">
        <v>97</v>
      </c>
      <c r="O50" t="s">
        <v>937</v>
      </c>
      <c r="P50" t="s">
        <v>12</v>
      </c>
    </row>
    <row r="51">
      <c r="A51">
        <f>HYPERLINK("http://bombeiros.sp.gov.br/hidrantes/03individual/2124.html","2124")</f>
      </c>
      <c r="B51" t="s">
        <v>12</v>
      </c>
      <c r="C51" t="s">
        <v>37</v>
      </c>
      <c r="D51" t="s">
        <v>38</v>
      </c>
      <c r="E51" t="s">
        <v>15</v>
      </c>
      <c r="F51" t="s">
        <v>1686</v>
      </c>
      <c r="G51" t="s">
        <v>18077</v>
      </c>
      <c r="H51" t="s">
        <v>1112</v>
      </c>
      <c r="I51" t="s">
        <v>1108</v>
      </c>
      <c r="J51" t="s">
        <v>1687</v>
      </c>
      <c r="K51" t="s">
        <v>1688</v>
      </c>
      <c r="L51" t="s">
        <v>21</v>
      </c>
      <c r="M51" t="s">
        <v>19177</v>
      </c>
      <c r="N51" t="s">
        <v>97</v>
      </c>
      <c r="O51" t="s">
        <v>937</v>
      </c>
      <c r="P51" t="s">
        <v>12</v>
      </c>
    </row>
    <row r="52">
      <c r="A52">
        <f>HYPERLINK("http://bombeiros.sp.gov.br/hidrantes/03individual/844.html","844")</f>
      </c>
      <c r="B52" t="s">
        <v>12</v>
      </c>
      <c r="C52" t="s">
        <v>47</v>
      </c>
      <c r="D52" t="s">
        <v>47</v>
      </c>
      <c r="E52" t="s">
        <v>64</v>
      </c>
      <c r="F52" t="s">
        <v>1707</v>
      </c>
      <c r="G52" t="s">
        <v>18179</v>
      </c>
      <c r="H52" t="s">
        <v>1121</v>
      </c>
      <c r="I52" t="s">
        <v>1117</v>
      </c>
      <c r="J52" t="s">
        <v>1708</v>
      </c>
      <c r="K52" t="s">
        <v>1709</v>
      </c>
      <c r="L52" t="s">
        <v>36</v>
      </c>
      <c r="M52" t="s">
        <v>19177</v>
      </c>
      <c r="N52" t="s">
        <v>714</v>
      </c>
      <c r="O52" t="s">
        <v>10263</v>
      </c>
      <c r="P52" t="s">
        <v>12</v>
      </c>
    </row>
    <row r="53">
      <c r="A53">
        <f>HYPERLINK("http://bombeiros.sp.gov.br/hidrantes/03individual/846.html","846")</f>
      </c>
      <c r="B53" t="s">
        <v>12</v>
      </c>
      <c r="C53" t="s">
        <v>47</v>
      </c>
      <c r="D53" t="s">
        <v>47</v>
      </c>
      <c r="E53" t="s">
        <v>64</v>
      </c>
      <c r="F53" t="s">
        <v>1710</v>
      </c>
      <c r="G53" t="s">
        <v>18179</v>
      </c>
      <c r="H53" t="s">
        <v>1107</v>
      </c>
      <c r="I53" t="s">
        <v>1108</v>
      </c>
      <c r="J53" t="s">
        <v>1712</v>
      </c>
      <c r="K53" t="s">
        <v>1713</v>
      </c>
      <c r="L53" t="s">
        <v>36</v>
      </c>
      <c r="M53" t="s">
        <v>19177</v>
      </c>
      <c r="N53" t="s">
        <v>714</v>
      </c>
      <c r="O53" t="s">
        <v>10263</v>
      </c>
      <c r="P53" t="s">
        <v>12</v>
      </c>
    </row>
    <row r="54">
      <c r="A54">
        <f>HYPERLINK("http://bombeiros.sp.gov.br/hidrantes/03individual/2399.html","2399")</f>
      </c>
      <c r="B54" t="s">
        <v>12</v>
      </c>
      <c r="C54" t="s">
        <v>47</v>
      </c>
      <c r="D54" t="s">
        <v>47</v>
      </c>
      <c r="E54" t="s">
        <v>64</v>
      </c>
      <c r="F54" t="s">
        <v>1717</v>
      </c>
      <c r="G54" t="s">
        <v>18179</v>
      </c>
      <c r="H54" t="s">
        <v>1107</v>
      </c>
      <c r="I54" t="s">
        <v>1108</v>
      </c>
      <c r="J54" t="s">
        <v>1718</v>
      </c>
      <c r="K54" t="s">
        <v>1719</v>
      </c>
      <c r="L54" t="s">
        <v>36</v>
      </c>
      <c r="M54" t="s">
        <v>19177</v>
      </c>
      <c r="N54" t="s">
        <v>714</v>
      </c>
      <c r="O54" t="s">
        <v>10263</v>
      </c>
      <c r="P54" t="s">
        <v>12</v>
      </c>
    </row>
    <row r="55">
      <c r="A55">
        <f>HYPERLINK("http://bombeiros.sp.gov.br/hidrantes/03individual/2762.html","2762")</f>
      </c>
      <c r="B55" t="s">
        <v>12</v>
      </c>
      <c r="C55" t="s">
        <v>47</v>
      </c>
      <c r="D55" t="s">
        <v>47</v>
      </c>
      <c r="E55" t="s">
        <v>64</v>
      </c>
      <c r="F55" t="s">
        <v>1720</v>
      </c>
      <c r="G55" t="s">
        <v>18054</v>
      </c>
      <c r="H55" t="s">
        <v>1107</v>
      </c>
      <c r="I55" t="s">
        <v>1108</v>
      </c>
      <c r="J55" t="s">
        <v>1721</v>
      </c>
      <c r="K55" t="s">
        <v>1722</v>
      </c>
      <c r="L55" t="s">
        <v>36</v>
      </c>
      <c r="M55" t="s">
        <v>19177</v>
      </c>
      <c r="N55" t="s">
        <v>714</v>
      </c>
      <c r="O55" t="s">
        <v>10263</v>
      </c>
      <c r="P55" t="s">
        <v>12</v>
      </c>
    </row>
    <row r="56">
      <c r="A56">
        <f>HYPERLINK("http://bombeiros.sp.gov.br/hidrantes/03individual/95.html","95")</f>
      </c>
      <c r="B56" t="s">
        <v>12</v>
      </c>
      <c r="C56" t="s">
        <v>47</v>
      </c>
      <c r="D56" t="s">
        <v>47</v>
      </c>
      <c r="E56" t="s">
        <v>15</v>
      </c>
      <c r="F56" t="s">
        <v>1727</v>
      </c>
      <c r="G56" t="s">
        <v>18152</v>
      </c>
      <c r="H56" t="s">
        <v>1107</v>
      </c>
      <c r="I56" t="s">
        <v>1108</v>
      </c>
      <c r="J56" t="s">
        <v>1729</v>
      </c>
      <c r="K56" t="s">
        <v>1730</v>
      </c>
      <c r="L56" t="s">
        <v>21</v>
      </c>
      <c r="M56" t="s">
        <v>19177</v>
      </c>
      <c r="N56" t="s">
        <v>714</v>
      </c>
      <c r="O56" t="s">
        <v>10263</v>
      </c>
      <c r="P56" t="s">
        <v>12</v>
      </c>
    </row>
    <row r="57">
      <c r="A57">
        <f>HYPERLINK("http://bombeiros.sp.gov.br/hidrantes/03individual/2283.html","2283")</f>
      </c>
      <c r="B57" t="s">
        <v>12</v>
      </c>
      <c r="C57" t="s">
        <v>47</v>
      </c>
      <c r="D57" t="s">
        <v>47</v>
      </c>
      <c r="E57" t="s">
        <v>15</v>
      </c>
      <c r="F57" t="s">
        <v>1734</v>
      </c>
      <c r="G57" t="s">
        <v>18052</v>
      </c>
      <c r="H57" t="s">
        <v>1112</v>
      </c>
      <c r="I57" t="s">
        <v>1108</v>
      </c>
      <c r="J57" t="s">
        <v>1735</v>
      </c>
      <c r="K57" t="s">
        <v>1736</v>
      </c>
      <c r="L57" t="s">
        <v>21</v>
      </c>
      <c r="M57" t="s">
        <v>19177</v>
      </c>
      <c r="N57" t="s">
        <v>714</v>
      </c>
      <c r="O57" t="s">
        <v>10263</v>
      </c>
      <c r="P57" t="s">
        <v>12</v>
      </c>
    </row>
    <row r="58">
      <c r="A58">
        <f>HYPERLINK("http://bombeiros.sp.gov.br/hidrantes/03individual/2298.html","2298")</f>
      </c>
      <c r="B58" t="s">
        <v>12</v>
      </c>
      <c r="C58" t="s">
        <v>47</v>
      </c>
      <c r="D58" t="s">
        <v>47</v>
      </c>
      <c r="E58" t="s">
        <v>15</v>
      </c>
      <c r="F58" t="s">
        <v>1737</v>
      </c>
      <c r="G58" t="s">
        <v>18052</v>
      </c>
      <c r="H58" t="s">
        <v>1112</v>
      </c>
      <c r="I58" t="s">
        <v>1108</v>
      </c>
      <c r="J58" t="s">
        <v>1738</v>
      </c>
      <c r="K58" t="s">
        <v>1739</v>
      </c>
      <c r="L58" t="s">
        <v>21</v>
      </c>
      <c r="M58" t="s">
        <v>19177</v>
      </c>
      <c r="N58" t="s">
        <v>714</v>
      </c>
      <c r="O58" t="s">
        <v>10263</v>
      </c>
      <c r="P58" t="s">
        <v>12</v>
      </c>
    </row>
    <row r="59">
      <c r="A59">
        <f>HYPERLINK("http://bombeiros.sp.gov.br/hidrantes/03individual/2512.html","2512")</f>
      </c>
      <c r="B59" t="s">
        <v>12</v>
      </c>
      <c r="C59" t="s">
        <v>47</v>
      </c>
      <c r="D59" t="s">
        <v>47</v>
      </c>
      <c r="E59" t="s">
        <v>15</v>
      </c>
      <c r="F59" t="s">
        <v>1748</v>
      </c>
      <c r="G59" t="s">
        <v>18042</v>
      </c>
      <c r="H59" t="s">
        <v>1107</v>
      </c>
      <c r="I59" t="s">
        <v>1108</v>
      </c>
      <c r="J59" t="s">
        <v>1749</v>
      </c>
      <c r="K59" t="s">
        <v>1750</v>
      </c>
      <c r="L59" t="s">
        <v>21</v>
      </c>
      <c r="M59" t="s">
        <v>19177</v>
      </c>
      <c r="N59" t="s">
        <v>714</v>
      </c>
      <c r="O59" t="s">
        <v>10263</v>
      </c>
      <c r="P59" t="s">
        <v>12</v>
      </c>
    </row>
    <row r="60">
      <c r="A60">
        <f>HYPERLINK("http://bombeiros.sp.gov.br/hidrantes/03individual/2545.html","2545")</f>
      </c>
      <c r="B60" t="s">
        <v>12</v>
      </c>
      <c r="C60" t="s">
        <v>47</v>
      </c>
      <c r="D60" t="s">
        <v>47</v>
      </c>
      <c r="E60" t="s">
        <v>15</v>
      </c>
      <c r="F60" t="s">
        <v>1757</v>
      </c>
      <c r="G60" t="s">
        <v>18042</v>
      </c>
      <c r="H60" t="s">
        <v>1107</v>
      </c>
      <c r="I60" t="s">
        <v>1108</v>
      </c>
      <c r="J60" t="s">
        <v>1758</v>
      </c>
      <c r="K60" t="s">
        <v>1759</v>
      </c>
      <c r="L60" t="s">
        <v>21</v>
      </c>
      <c r="M60" t="s">
        <v>19177</v>
      </c>
      <c r="N60" t="s">
        <v>714</v>
      </c>
      <c r="O60" t="s">
        <v>10263</v>
      </c>
      <c r="P60" t="s">
        <v>12</v>
      </c>
    </row>
    <row r="61">
      <c r="A61">
        <f>HYPERLINK("http://bombeiros.sp.gov.br/hidrantes/03individual/24.html","24")</f>
      </c>
      <c r="B61" t="s">
        <v>12</v>
      </c>
      <c r="C61" t="s">
        <v>47</v>
      </c>
      <c r="D61" t="s">
        <v>52</v>
      </c>
      <c r="E61" t="s">
        <v>64</v>
      </c>
      <c r="F61" t="s">
        <v>1763</v>
      </c>
      <c r="G61" t="s">
        <v>18054</v>
      </c>
      <c r="H61" t="s">
        <v>1112</v>
      </c>
      <c r="I61" t="s">
        <v>1108</v>
      </c>
      <c r="J61" t="s">
        <v>1764</v>
      </c>
      <c r="K61" t="s">
        <v>1765</v>
      </c>
      <c r="L61" t="s">
        <v>36</v>
      </c>
      <c r="M61" t="s">
        <v>19177</v>
      </c>
      <c r="N61" t="s">
        <v>714</v>
      </c>
      <c r="O61" t="s">
        <v>10263</v>
      </c>
      <c r="P61" t="s">
        <v>12</v>
      </c>
    </row>
    <row r="62">
      <c r="A62">
        <f>HYPERLINK("http://bombeiros.sp.gov.br/hidrantes/03individual/1406.html","1406")</f>
      </c>
      <c r="B62" t="s">
        <v>12</v>
      </c>
      <c r="C62" t="s">
        <v>47</v>
      </c>
      <c r="D62" t="s">
        <v>52</v>
      </c>
      <c r="E62" t="s">
        <v>15</v>
      </c>
      <c r="F62" t="s">
        <v>1769</v>
      </c>
      <c r="G62" t="s">
        <v>18056</v>
      </c>
      <c r="H62" t="s">
        <v>1107</v>
      </c>
      <c r="I62" t="s">
        <v>1108</v>
      </c>
      <c r="J62" t="s">
        <v>1770</v>
      </c>
      <c r="K62" t="s">
        <v>1771</v>
      </c>
      <c r="L62" t="s">
        <v>21</v>
      </c>
      <c r="M62" t="s">
        <v>19177</v>
      </c>
      <c r="N62" t="s">
        <v>714</v>
      </c>
      <c r="O62" t="s">
        <v>10263</v>
      </c>
      <c r="P62" t="s">
        <v>12</v>
      </c>
    </row>
    <row r="63">
      <c r="A63">
        <f>HYPERLINK("http://bombeiros.sp.gov.br/hidrantes/03individual/226.html","226")</f>
      </c>
      <c r="B63" t="s">
        <v>12</v>
      </c>
      <c r="C63" t="s">
        <v>47</v>
      </c>
      <c r="D63" t="s">
        <v>1788</v>
      </c>
      <c r="E63" t="s">
        <v>15</v>
      </c>
      <c r="F63" t="s">
        <v>1798</v>
      </c>
      <c r="G63" t="s">
        <v>18054</v>
      </c>
      <c r="H63" t="s">
        <v>1107</v>
      </c>
      <c r="I63" t="s">
        <v>1108</v>
      </c>
      <c r="J63" t="s">
        <v>1799</v>
      </c>
      <c r="K63" t="s">
        <v>1800</v>
      </c>
      <c r="L63" t="s">
        <v>21</v>
      </c>
      <c r="M63" t="s">
        <v>19177</v>
      </c>
      <c r="N63" t="s">
        <v>714</v>
      </c>
      <c r="O63" t="s">
        <v>10263</v>
      </c>
      <c r="P63" t="s">
        <v>12</v>
      </c>
    </row>
    <row r="64">
      <c r="A64">
        <f>HYPERLINK("http://bombeiros.sp.gov.br/hidrantes/03individual/1606.html","1606")</f>
      </c>
      <c r="B64" t="s">
        <v>12</v>
      </c>
      <c r="C64" t="s">
        <v>47</v>
      </c>
      <c r="D64" t="s">
        <v>1788</v>
      </c>
      <c r="E64" t="s">
        <v>15</v>
      </c>
      <c r="F64" t="s">
        <v>1801</v>
      </c>
      <c r="G64" t="s">
        <v>18055</v>
      </c>
      <c r="H64" t="s">
        <v>1112</v>
      </c>
      <c r="I64" t="s">
        <v>1108</v>
      </c>
      <c r="J64" t="s">
        <v>1802</v>
      </c>
      <c r="K64" t="s">
        <v>1803</v>
      </c>
      <c r="L64" t="s">
        <v>21</v>
      </c>
      <c r="M64" t="s">
        <v>19177</v>
      </c>
      <c r="N64" t="s">
        <v>714</v>
      </c>
      <c r="O64" t="s">
        <v>10263</v>
      </c>
      <c r="P64" t="s">
        <v>12</v>
      </c>
    </row>
    <row r="65">
      <c r="A65">
        <f>HYPERLINK("http://bombeiros.sp.gov.br/hidrantes/03individual/1863.html","1863")</f>
      </c>
      <c r="B65" t="s">
        <v>12</v>
      </c>
      <c r="C65" t="s">
        <v>47</v>
      </c>
      <c r="D65" t="s">
        <v>1788</v>
      </c>
      <c r="E65" t="s">
        <v>15</v>
      </c>
      <c r="F65" t="s">
        <v>1810</v>
      </c>
      <c r="G65" t="s">
        <v>18054</v>
      </c>
      <c r="H65" t="s">
        <v>1107</v>
      </c>
      <c r="I65" t="s">
        <v>1108</v>
      </c>
      <c r="J65" t="s">
        <v>1811</v>
      </c>
      <c r="K65" t="s">
        <v>1812</v>
      </c>
      <c r="L65" t="s">
        <v>21</v>
      </c>
      <c r="M65" t="s">
        <v>19177</v>
      </c>
      <c r="N65" t="s">
        <v>714</v>
      </c>
      <c r="O65" t="s">
        <v>10263</v>
      </c>
      <c r="P65" t="s">
        <v>12</v>
      </c>
    </row>
    <row r="66">
      <c r="A66">
        <f>HYPERLINK("http://bombeiros.sp.gov.br/hidrantes/03individual/1922.html","1922")</f>
      </c>
      <c r="B66" t="s">
        <v>12</v>
      </c>
      <c r="C66" t="s">
        <v>47</v>
      </c>
      <c r="D66" t="s">
        <v>1788</v>
      </c>
      <c r="E66" t="s">
        <v>15</v>
      </c>
      <c r="F66" t="s">
        <v>1819</v>
      </c>
      <c r="G66" t="s">
        <v>18054</v>
      </c>
      <c r="H66" t="s">
        <v>1112</v>
      </c>
      <c r="I66" t="s">
        <v>1108</v>
      </c>
      <c r="J66" t="s">
        <v>1820</v>
      </c>
      <c r="K66" t="s">
        <v>1821</v>
      </c>
      <c r="L66" t="s">
        <v>21</v>
      </c>
      <c r="M66" t="s">
        <v>19177</v>
      </c>
      <c r="N66" t="s">
        <v>714</v>
      </c>
      <c r="O66" t="s">
        <v>10263</v>
      </c>
      <c r="P66" t="s">
        <v>12</v>
      </c>
    </row>
    <row r="67">
      <c r="A67">
        <f>HYPERLINK("http://bombeiros.sp.gov.br/hidrantes/03individual/1929.html","1929")</f>
      </c>
      <c r="B67" t="s">
        <v>12</v>
      </c>
      <c r="C67" t="s">
        <v>47</v>
      </c>
      <c r="D67" t="s">
        <v>1788</v>
      </c>
      <c r="E67" t="s">
        <v>15</v>
      </c>
      <c r="F67" t="s">
        <v>1822</v>
      </c>
      <c r="G67" t="s">
        <v>18054</v>
      </c>
      <c r="H67" t="s">
        <v>1107</v>
      </c>
      <c r="I67" t="s">
        <v>1108</v>
      </c>
      <c r="J67" t="s">
        <v>1823</v>
      </c>
      <c r="K67" t="s">
        <v>1824</v>
      </c>
      <c r="L67" t="s">
        <v>21</v>
      </c>
      <c r="M67" t="s">
        <v>19177</v>
      </c>
      <c r="N67" t="s">
        <v>714</v>
      </c>
      <c r="O67" t="s">
        <v>10263</v>
      </c>
      <c r="P67" t="s">
        <v>12</v>
      </c>
    </row>
    <row r="68">
      <c r="A68">
        <f>HYPERLINK("http://bombeiros.sp.gov.br/hidrantes/03individual/1934.html","1934")</f>
      </c>
      <c r="B68" t="s">
        <v>12</v>
      </c>
      <c r="C68" t="s">
        <v>47</v>
      </c>
      <c r="D68" t="s">
        <v>1788</v>
      </c>
      <c r="E68" t="s">
        <v>15</v>
      </c>
      <c r="F68" t="s">
        <v>1789</v>
      </c>
      <c r="G68" t="s">
        <v>18054</v>
      </c>
      <c r="H68" t="s">
        <v>1107</v>
      </c>
      <c r="I68" t="s">
        <v>1108</v>
      </c>
      <c r="J68" t="s">
        <v>1825</v>
      </c>
      <c r="K68" t="s">
        <v>1826</v>
      </c>
      <c r="L68" t="s">
        <v>21</v>
      </c>
      <c r="M68" t="s">
        <v>19177</v>
      </c>
      <c r="N68" t="s">
        <v>714</v>
      </c>
      <c r="O68" t="s">
        <v>10263</v>
      </c>
      <c r="P68" t="s">
        <v>12</v>
      </c>
    </row>
    <row r="69">
      <c r="A69">
        <f>HYPERLINK("http://bombeiros.sp.gov.br/hidrantes/03individual/2844.html","2844")</f>
      </c>
      <c r="B69" t="s">
        <v>12</v>
      </c>
      <c r="C69" t="s">
        <v>47</v>
      </c>
      <c r="D69" t="s">
        <v>1788</v>
      </c>
      <c r="E69" t="s">
        <v>15</v>
      </c>
      <c r="F69" t="s">
        <v>1834</v>
      </c>
      <c r="G69" t="s">
        <v>18057</v>
      </c>
      <c r="H69" t="s">
        <v>1112</v>
      </c>
      <c r="I69" t="s">
        <v>1108</v>
      </c>
      <c r="J69" t="s">
        <v>16054</v>
      </c>
      <c r="K69" t="s">
        <v>16055</v>
      </c>
      <c r="L69" t="s">
        <v>21</v>
      </c>
      <c r="M69" t="s">
        <v>19177</v>
      </c>
      <c r="N69" t="s">
        <v>97</v>
      </c>
      <c r="O69" t="s">
        <v>937</v>
      </c>
      <c r="P69" t="s">
        <v>12</v>
      </c>
    </row>
    <row r="70">
      <c r="A70">
        <f>HYPERLINK("http://bombeiros.sp.gov.br/hidrantes/03individual/16569.html","16569")</f>
      </c>
      <c r="B70" t="s">
        <v>12</v>
      </c>
      <c r="C70" t="s">
        <v>47</v>
      </c>
      <c r="D70" t="s">
        <v>1840</v>
      </c>
      <c r="E70" t="s">
        <v>64</v>
      </c>
      <c r="F70" t="s">
        <v>1841</v>
      </c>
      <c r="G70" t="s">
        <v>18050</v>
      </c>
      <c r="H70" t="s">
        <v>1112</v>
      </c>
      <c r="I70" t="s">
        <v>1108</v>
      </c>
      <c r="J70" t="s">
        <v>1842</v>
      </c>
      <c r="K70" t="s">
        <v>1843</v>
      </c>
      <c r="L70" t="s">
        <v>21</v>
      </c>
      <c r="M70" t="s">
        <v>19177</v>
      </c>
      <c r="N70" t="s">
        <v>714</v>
      </c>
      <c r="O70" t="s">
        <v>10263</v>
      </c>
      <c r="P70" t="s">
        <v>12</v>
      </c>
    </row>
    <row r="71">
      <c r="A71">
        <f>HYPERLINK("http://bombeiros.sp.gov.br/hidrantes/03individual/2101.html","2101")</f>
      </c>
      <c r="B71" t="s">
        <v>12</v>
      </c>
      <c r="C71" t="s">
        <v>47</v>
      </c>
      <c r="D71" t="s">
        <v>1840</v>
      </c>
      <c r="E71" t="s">
        <v>15</v>
      </c>
      <c r="F71" t="s">
        <v>1847</v>
      </c>
      <c r="G71" t="s">
        <v>18159</v>
      </c>
      <c r="H71" t="s">
        <v>1112</v>
      </c>
      <c r="I71" t="s">
        <v>1108</v>
      </c>
      <c r="J71" t="s">
        <v>1848</v>
      </c>
      <c r="K71" t="s">
        <v>1849</v>
      </c>
      <c r="L71" t="s">
        <v>21</v>
      </c>
      <c r="M71" t="s">
        <v>19177</v>
      </c>
      <c r="N71" t="s">
        <v>714</v>
      </c>
      <c r="O71" t="s">
        <v>10263</v>
      </c>
      <c r="P71" t="s">
        <v>12</v>
      </c>
    </row>
    <row r="72">
      <c r="A72">
        <f>HYPERLINK("http://bombeiros.sp.gov.br/hidrantes/03individual/5598.html","5598")</f>
      </c>
      <c r="B72" t="s">
        <v>12</v>
      </c>
      <c r="C72" t="s">
        <v>47</v>
      </c>
      <c r="D72" t="s">
        <v>1840</v>
      </c>
      <c r="E72" t="s">
        <v>15</v>
      </c>
      <c r="F72" t="s">
        <v>1853</v>
      </c>
      <c r="G72" t="s">
        <v>18196</v>
      </c>
      <c r="H72" t="s">
        <v>1107</v>
      </c>
      <c r="I72" t="s">
        <v>1108</v>
      </c>
      <c r="J72" t="s">
        <v>1855</v>
      </c>
      <c r="K72" t="s">
        <v>1856</v>
      </c>
      <c r="L72" t="s">
        <v>21</v>
      </c>
      <c r="M72" t="s">
        <v>19177</v>
      </c>
      <c r="N72" t="s">
        <v>714</v>
      </c>
      <c r="O72" t="s">
        <v>10263</v>
      </c>
      <c r="P72" t="s">
        <v>12</v>
      </c>
    </row>
    <row r="73">
      <c r="A73">
        <f>HYPERLINK("http://bombeiros.sp.gov.br/hidrantes/03individual/17703.html","17703")</f>
      </c>
      <c r="B73" t="s">
        <v>12</v>
      </c>
      <c r="C73" t="s">
        <v>47</v>
      </c>
      <c r="D73" t="s">
        <v>1840</v>
      </c>
      <c r="E73" t="s">
        <v>15</v>
      </c>
      <c r="F73" t="s">
        <v>1857</v>
      </c>
      <c r="G73" t="s">
        <v>18160</v>
      </c>
      <c r="H73" t="s">
        <v>1112</v>
      </c>
      <c r="I73" t="s">
        <v>1108</v>
      </c>
      <c r="J73" t="s">
        <v>1858</v>
      </c>
      <c r="K73" t="s">
        <v>1859</v>
      </c>
      <c r="L73" t="s">
        <v>21</v>
      </c>
      <c r="M73" t="s">
        <v>19177</v>
      </c>
      <c r="N73" t="s">
        <v>714</v>
      </c>
      <c r="O73" t="s">
        <v>10263</v>
      </c>
      <c r="P73" t="s">
        <v>12</v>
      </c>
    </row>
    <row r="74">
      <c r="A74">
        <f>HYPERLINK("http://bombeiros.sp.gov.br/hidrantes/03individual/2483.html","2483")</f>
      </c>
      <c r="B74" t="s">
        <v>12</v>
      </c>
      <c r="C74" t="s">
        <v>47</v>
      </c>
      <c r="D74" t="s">
        <v>1860</v>
      </c>
      <c r="E74" t="s">
        <v>64</v>
      </c>
      <c r="F74" t="s">
        <v>1874</v>
      </c>
      <c r="G74" t="s">
        <v>18054</v>
      </c>
      <c r="H74" t="s">
        <v>1112</v>
      </c>
      <c r="I74" t="s">
        <v>1108</v>
      </c>
      <c r="J74" t="s">
        <v>1875</v>
      </c>
      <c r="K74" t="s">
        <v>1876</v>
      </c>
      <c r="L74" t="s">
        <v>36</v>
      </c>
      <c r="M74" t="s">
        <v>19177</v>
      </c>
      <c r="N74" t="s">
        <v>714</v>
      </c>
      <c r="O74" t="s">
        <v>10263</v>
      </c>
      <c r="P74" t="s">
        <v>12</v>
      </c>
    </row>
    <row r="75">
      <c r="A75">
        <f>HYPERLINK("http://bombeiros.sp.gov.br/hidrantes/03individual/2687.html","2687")</f>
      </c>
      <c r="B75" t="s">
        <v>12</v>
      </c>
      <c r="C75" t="s">
        <v>47</v>
      </c>
      <c r="D75" t="s">
        <v>1860</v>
      </c>
      <c r="E75" t="s">
        <v>64</v>
      </c>
      <c r="F75" t="s">
        <v>1877</v>
      </c>
      <c r="G75" t="s">
        <v>18054</v>
      </c>
      <c r="H75" t="s">
        <v>1112</v>
      </c>
      <c r="I75" t="s">
        <v>1108</v>
      </c>
      <c r="J75" t="s">
        <v>1878</v>
      </c>
      <c r="K75" t="s">
        <v>1879</v>
      </c>
      <c r="L75" t="s">
        <v>21</v>
      </c>
      <c r="M75" t="s">
        <v>19177</v>
      </c>
      <c r="N75" t="s">
        <v>714</v>
      </c>
      <c r="O75" t="s">
        <v>10263</v>
      </c>
      <c r="P75" t="s">
        <v>12</v>
      </c>
    </row>
    <row r="76">
      <c r="A76">
        <f>HYPERLINK("http://bombeiros.sp.gov.br/hidrantes/03individual/5602.html","5602")</f>
      </c>
      <c r="B76" t="s">
        <v>12</v>
      </c>
      <c r="C76" t="s">
        <v>47</v>
      </c>
      <c r="D76" t="s">
        <v>1860</v>
      </c>
      <c r="E76" t="s">
        <v>64</v>
      </c>
      <c r="F76" t="s">
        <v>1880</v>
      </c>
      <c r="G76" t="s">
        <v>18054</v>
      </c>
      <c r="H76" t="s">
        <v>1112</v>
      </c>
      <c r="I76" t="s">
        <v>1108</v>
      </c>
      <c r="J76" t="s">
        <v>1881</v>
      </c>
      <c r="K76" t="s">
        <v>1882</v>
      </c>
      <c r="L76" t="s">
        <v>21</v>
      </c>
      <c r="M76" t="s">
        <v>19177</v>
      </c>
      <c r="N76" t="s">
        <v>714</v>
      </c>
      <c r="O76" t="s">
        <v>10263</v>
      </c>
      <c r="P76" t="s">
        <v>12</v>
      </c>
    </row>
    <row r="77">
      <c r="A77">
        <f>HYPERLINK("http://bombeiros.sp.gov.br/hidrantes/03individual/2853.html","2853")</f>
      </c>
      <c r="B77" t="s">
        <v>12</v>
      </c>
      <c r="C77" t="s">
        <v>47</v>
      </c>
      <c r="D77" t="s">
        <v>1860</v>
      </c>
      <c r="E77" t="s">
        <v>15</v>
      </c>
      <c r="F77" t="s">
        <v>1910</v>
      </c>
      <c r="G77" t="s">
        <v>18046</v>
      </c>
      <c r="H77" t="s">
        <v>1112</v>
      </c>
      <c r="I77" t="s">
        <v>1108</v>
      </c>
      <c r="J77" t="s">
        <v>1912</v>
      </c>
      <c r="K77" t="s">
        <v>1913</v>
      </c>
      <c r="L77" t="s">
        <v>21</v>
      </c>
      <c r="M77" t="s">
        <v>19177</v>
      </c>
      <c r="N77" t="s">
        <v>714</v>
      </c>
      <c r="O77" t="s">
        <v>10263</v>
      </c>
      <c r="P77" t="s">
        <v>12</v>
      </c>
    </row>
    <row r="78">
      <c r="A78">
        <f>HYPERLINK("http://bombeiros.sp.gov.br/hidrantes/03individual/16636.html","16636")</f>
      </c>
      <c r="B78" t="s">
        <v>12</v>
      </c>
      <c r="C78" t="s">
        <v>47</v>
      </c>
      <c r="D78" t="s">
        <v>1860</v>
      </c>
      <c r="E78" t="s">
        <v>15</v>
      </c>
      <c r="F78" t="s">
        <v>1917</v>
      </c>
      <c r="G78" t="s">
        <v>18052</v>
      </c>
      <c r="H78" t="s">
        <v>1112</v>
      </c>
      <c r="I78" t="s">
        <v>1108</v>
      </c>
      <c r="J78" t="s">
        <v>1918</v>
      </c>
      <c r="K78" t="s">
        <v>1919</v>
      </c>
      <c r="L78" t="s">
        <v>21</v>
      </c>
      <c r="M78" t="s">
        <v>19177</v>
      </c>
      <c r="N78" t="s">
        <v>714</v>
      </c>
      <c r="O78" t="s">
        <v>10263</v>
      </c>
      <c r="P78" t="s">
        <v>12</v>
      </c>
    </row>
    <row r="79">
      <c r="A79">
        <f>HYPERLINK("http://bombeiros.sp.gov.br/hidrantes/03individual/26810.html","26810")</f>
      </c>
      <c r="B79" t="s">
        <v>12</v>
      </c>
      <c r="C79" t="s">
        <v>47</v>
      </c>
      <c r="D79" t="s">
        <v>1860</v>
      </c>
      <c r="E79" t="s">
        <v>15</v>
      </c>
      <c r="F79" t="s">
        <v>15948</v>
      </c>
      <c r="G79" t="s">
        <v>18043</v>
      </c>
      <c r="H79" t="s">
        <v>1112</v>
      </c>
      <c r="I79" t="s">
        <v>1108</v>
      </c>
      <c r="J79" t="s">
        <v>15949</v>
      </c>
      <c r="K79" t="s">
        <v>15950</v>
      </c>
      <c r="L79" t="s">
        <v>21</v>
      </c>
      <c r="M79" t="s">
        <v>19177</v>
      </c>
      <c r="N79" t="s">
        <v>97</v>
      </c>
      <c r="O79" t="s">
        <v>937</v>
      </c>
      <c r="P79" t="s">
        <v>12</v>
      </c>
    </row>
    <row r="80">
      <c r="A80">
        <f>HYPERLINK("http://bombeiros.sp.gov.br/hidrantes/03individual/69.html","69")</f>
      </c>
      <c r="B80" t="s">
        <v>12</v>
      </c>
      <c r="C80" t="s">
        <v>57</v>
      </c>
      <c r="D80" t="s">
        <v>1923</v>
      </c>
      <c r="E80" t="s">
        <v>15</v>
      </c>
      <c r="F80" t="s">
        <v>1924</v>
      </c>
      <c r="G80" t="s">
        <v>18052</v>
      </c>
      <c r="H80" t="s">
        <v>1112</v>
      </c>
      <c r="I80" t="s">
        <v>1108</v>
      </c>
      <c r="J80" t="s">
        <v>1925</v>
      </c>
      <c r="K80" t="s">
        <v>1926</v>
      </c>
      <c r="L80" t="s">
        <v>21</v>
      </c>
      <c r="M80" t="s">
        <v>19177</v>
      </c>
      <c r="N80" t="s">
        <v>714</v>
      </c>
      <c r="O80" t="s">
        <v>10263</v>
      </c>
      <c r="P80" t="s">
        <v>12</v>
      </c>
    </row>
    <row r="81">
      <c r="A81">
        <f>HYPERLINK("http://bombeiros.sp.gov.br/hidrantes/03individual/143.html","143")</f>
      </c>
      <c r="B81" t="s">
        <v>12</v>
      </c>
      <c r="C81" t="s">
        <v>57</v>
      </c>
      <c r="D81" t="s">
        <v>1923</v>
      </c>
      <c r="E81" t="s">
        <v>15</v>
      </c>
      <c r="F81" t="s">
        <v>1927</v>
      </c>
      <c r="G81" t="s">
        <v>18052</v>
      </c>
      <c r="H81" t="s">
        <v>1112</v>
      </c>
      <c r="I81" t="s">
        <v>1108</v>
      </c>
      <c r="J81" t="s">
        <v>1928</v>
      </c>
      <c r="K81" t="s">
        <v>1929</v>
      </c>
      <c r="L81" t="s">
        <v>21</v>
      </c>
      <c r="M81" t="s">
        <v>19177</v>
      </c>
      <c r="N81" t="s">
        <v>714</v>
      </c>
      <c r="O81" t="s">
        <v>10263</v>
      </c>
      <c r="P81" t="s">
        <v>12</v>
      </c>
    </row>
    <row r="82">
      <c r="A82">
        <f>HYPERLINK("http://bombeiros.sp.gov.br/hidrantes/03individual/144.html","144")</f>
      </c>
      <c r="B82" t="s">
        <v>12</v>
      </c>
      <c r="C82" t="s">
        <v>57</v>
      </c>
      <c r="D82" t="s">
        <v>1923</v>
      </c>
      <c r="E82" t="s">
        <v>15</v>
      </c>
      <c r="F82" t="s">
        <v>1930</v>
      </c>
      <c r="G82" t="s">
        <v>18052</v>
      </c>
      <c r="H82" t="s">
        <v>1112</v>
      </c>
      <c r="I82" t="s">
        <v>1108</v>
      </c>
      <c r="J82" t="s">
        <v>1931</v>
      </c>
      <c r="K82" t="s">
        <v>1932</v>
      </c>
      <c r="L82" t="s">
        <v>21</v>
      </c>
      <c r="M82" t="s">
        <v>19177</v>
      </c>
      <c r="N82" t="s">
        <v>714</v>
      </c>
      <c r="O82" t="s">
        <v>10263</v>
      </c>
      <c r="P82" t="s">
        <v>12</v>
      </c>
    </row>
    <row r="83">
      <c r="A83">
        <f>HYPERLINK("http://bombeiros.sp.gov.br/hidrantes/03individual/209.html","209")</f>
      </c>
      <c r="B83" t="s">
        <v>12</v>
      </c>
      <c r="C83" t="s">
        <v>57</v>
      </c>
      <c r="D83" t="s">
        <v>1923</v>
      </c>
      <c r="E83" t="s">
        <v>15</v>
      </c>
      <c r="F83" t="s">
        <v>1936</v>
      </c>
      <c r="G83" t="s">
        <v>18052</v>
      </c>
      <c r="H83"/>
      <c r="I83" t="s">
        <v>18</v>
      </c>
      <c r="J83" t="s">
        <v>15990</v>
      </c>
      <c r="K83" t="s">
        <v>15991</v>
      </c>
      <c r="L83" t="s">
        <v>21</v>
      </c>
      <c r="M83" t="s">
        <v>19177</v>
      </c>
      <c r="N83" t="s">
        <v>97</v>
      </c>
      <c r="O83" t="s">
        <v>937</v>
      </c>
      <c r="P83" t="s">
        <v>12</v>
      </c>
    </row>
    <row r="84">
      <c r="A84">
        <f>HYPERLINK("http://bombeiros.sp.gov.br/hidrantes/03individual/210.html","210")</f>
      </c>
      <c r="B84" t="s">
        <v>12</v>
      </c>
      <c r="C84" t="s">
        <v>57</v>
      </c>
      <c r="D84" t="s">
        <v>1923</v>
      </c>
      <c r="E84" t="s">
        <v>15</v>
      </c>
      <c r="F84" t="s">
        <v>1939</v>
      </c>
      <c r="G84" t="s">
        <v>18061</v>
      </c>
      <c r="H84" t="s">
        <v>1112</v>
      </c>
      <c r="I84" t="s">
        <v>1108</v>
      </c>
      <c r="J84" t="s">
        <v>1940</v>
      </c>
      <c r="K84" t="s">
        <v>1941</v>
      </c>
      <c r="L84" t="s">
        <v>21</v>
      </c>
      <c r="M84" t="s">
        <v>19177</v>
      </c>
      <c r="N84" t="s">
        <v>714</v>
      </c>
      <c r="O84" t="s">
        <v>10263</v>
      </c>
      <c r="P84" t="s">
        <v>12</v>
      </c>
    </row>
    <row r="85">
      <c r="A85">
        <f>HYPERLINK("http://bombeiros.sp.gov.br/hidrantes/03individual/212.html","212")</f>
      </c>
      <c r="B85" t="s">
        <v>12</v>
      </c>
      <c r="C85" t="s">
        <v>57</v>
      </c>
      <c r="D85" t="s">
        <v>1923</v>
      </c>
      <c r="E85" t="s">
        <v>15</v>
      </c>
      <c r="F85" t="s">
        <v>1942</v>
      </c>
      <c r="G85" t="s">
        <v>18052</v>
      </c>
      <c r="H85" t="s">
        <v>1112</v>
      </c>
      <c r="I85" t="s">
        <v>1108</v>
      </c>
      <c r="J85" t="s">
        <v>1943</v>
      </c>
      <c r="K85" t="s">
        <v>1944</v>
      </c>
      <c r="L85" t="s">
        <v>21</v>
      </c>
      <c r="M85" t="s">
        <v>19177</v>
      </c>
      <c r="N85" t="s">
        <v>714</v>
      </c>
      <c r="O85" t="s">
        <v>10263</v>
      </c>
      <c r="P85" t="s">
        <v>12</v>
      </c>
    </row>
    <row r="86">
      <c r="A86">
        <f>HYPERLINK("http://bombeiros.sp.gov.br/hidrantes/03individual/2397.html","2397")</f>
      </c>
      <c r="B86" t="s">
        <v>12</v>
      </c>
      <c r="C86" t="s">
        <v>57</v>
      </c>
      <c r="D86" t="s">
        <v>1923</v>
      </c>
      <c r="E86" t="s">
        <v>15</v>
      </c>
      <c r="F86" t="s">
        <v>1945</v>
      </c>
      <c r="G86" t="s">
        <v>18061</v>
      </c>
      <c r="H86" t="s">
        <v>1121</v>
      </c>
      <c r="I86" t="s">
        <v>1108</v>
      </c>
      <c r="J86" t="s">
        <v>1946</v>
      </c>
      <c r="K86" t="s">
        <v>1947</v>
      </c>
      <c r="L86" t="s">
        <v>21</v>
      </c>
      <c r="M86" t="s">
        <v>19177</v>
      </c>
      <c r="N86" t="s">
        <v>714</v>
      </c>
      <c r="O86" t="s">
        <v>10263</v>
      </c>
      <c r="P86" t="s">
        <v>12</v>
      </c>
    </row>
    <row r="87">
      <c r="A87">
        <f>HYPERLINK("http://bombeiros.sp.gov.br/hidrantes/03individual/26624.html","26624")</f>
      </c>
      <c r="B87" t="s">
        <v>12</v>
      </c>
      <c r="C87" t="s">
        <v>57</v>
      </c>
      <c r="D87" t="s">
        <v>1923</v>
      </c>
      <c r="E87" t="s">
        <v>15</v>
      </c>
      <c r="F87" t="s">
        <v>1948</v>
      </c>
      <c r="G87" t="s">
        <v>18052</v>
      </c>
      <c r="H87" t="s">
        <v>1112</v>
      </c>
      <c r="I87" t="s">
        <v>1108</v>
      </c>
      <c r="J87" t="s">
        <v>1949</v>
      </c>
      <c r="K87" t="s">
        <v>1950</v>
      </c>
      <c r="L87" t="s">
        <v>21</v>
      </c>
      <c r="M87" t="s">
        <v>19177</v>
      </c>
      <c r="N87" t="s">
        <v>714</v>
      </c>
      <c r="O87" t="s">
        <v>10263</v>
      </c>
      <c r="P87" t="s">
        <v>12</v>
      </c>
    </row>
    <row r="88">
      <c r="A88">
        <f>HYPERLINK("http://bombeiros.sp.gov.br/hidrantes/03individual/27208.html","27208")</f>
      </c>
      <c r="B88" t="s">
        <v>12</v>
      </c>
      <c r="C88" t="s">
        <v>57</v>
      </c>
      <c r="D88" t="s">
        <v>1923</v>
      </c>
      <c r="E88" t="s">
        <v>15</v>
      </c>
      <c r="F88" t="s">
        <v>16939</v>
      </c>
      <c r="G88" t="s">
        <v>18052</v>
      </c>
      <c r="H88" t="s">
        <v>1112</v>
      </c>
      <c r="I88" t="s">
        <v>1108</v>
      </c>
      <c r="J88" t="s">
        <v>16940</v>
      </c>
      <c r="K88" t="s">
        <v>16941</v>
      </c>
      <c r="L88" t="s">
        <v>21</v>
      </c>
      <c r="M88" t="s">
        <v>19177</v>
      </c>
      <c r="N88" t="s">
        <v>714</v>
      </c>
      <c r="O88" t="s">
        <v>10263</v>
      </c>
      <c r="P88" t="s">
        <v>12</v>
      </c>
    </row>
    <row r="89">
      <c r="A89">
        <f>HYPERLINK("http://bombeiros.sp.gov.br/hidrantes/03individual/2683.html","2683")</f>
      </c>
      <c r="B89" t="s">
        <v>12</v>
      </c>
      <c r="C89" t="s">
        <v>57</v>
      </c>
      <c r="D89" t="s">
        <v>1954</v>
      </c>
      <c r="E89" t="s">
        <v>64</v>
      </c>
      <c r="F89" t="s">
        <v>1961</v>
      </c>
      <c r="G89" t="s">
        <v>18184</v>
      </c>
      <c r="H89" t="s">
        <v>1121</v>
      </c>
      <c r="I89" t="s">
        <v>1117</v>
      </c>
      <c r="J89" t="s">
        <v>1962</v>
      </c>
      <c r="K89" t="s">
        <v>1963</v>
      </c>
      <c r="L89" t="s">
        <v>21</v>
      </c>
      <c r="M89" t="s">
        <v>19177</v>
      </c>
      <c r="N89" t="s">
        <v>714</v>
      </c>
      <c r="O89" t="s">
        <v>10263</v>
      </c>
      <c r="P89" t="s">
        <v>12</v>
      </c>
    </row>
    <row r="90">
      <c r="A90">
        <f>HYPERLINK("http://bombeiros.sp.gov.br/hidrantes/03individual/11.html","11")</f>
      </c>
      <c r="B90" t="s">
        <v>12</v>
      </c>
      <c r="C90" t="s">
        <v>57</v>
      </c>
      <c r="D90" t="s">
        <v>58</v>
      </c>
      <c r="E90" t="s">
        <v>64</v>
      </c>
      <c r="F90" t="s">
        <v>1973</v>
      </c>
      <c r="G90" t="s">
        <v>18106</v>
      </c>
      <c r="H90" t="s">
        <v>1112</v>
      </c>
      <c r="I90" t="s">
        <v>1108</v>
      </c>
      <c r="J90" t="s">
        <v>1974</v>
      </c>
      <c r="K90" t="s">
        <v>1975</v>
      </c>
      <c r="L90" t="s">
        <v>21</v>
      </c>
      <c r="M90" t="s">
        <v>19177</v>
      </c>
      <c r="N90" t="s">
        <v>97</v>
      </c>
      <c r="O90" t="s">
        <v>937</v>
      </c>
      <c r="P90" t="s">
        <v>12</v>
      </c>
    </row>
    <row r="91">
      <c r="A91">
        <f>HYPERLINK("http://bombeiros.sp.gov.br/hidrantes/03individual/4174.html","4174")</f>
      </c>
      <c r="B91" t="s">
        <v>12</v>
      </c>
      <c r="C91" t="s">
        <v>57</v>
      </c>
      <c r="D91" t="s">
        <v>58</v>
      </c>
      <c r="E91" t="s">
        <v>64</v>
      </c>
      <c r="F91" t="s">
        <v>1976</v>
      </c>
      <c r="G91" t="s">
        <v>18072</v>
      </c>
      <c r="H91" t="s">
        <v>1112</v>
      </c>
      <c r="I91" t="s">
        <v>1108</v>
      </c>
      <c r="J91" t="s">
        <v>1977</v>
      </c>
      <c r="K91" t="s">
        <v>1978</v>
      </c>
      <c r="L91" t="s">
        <v>21</v>
      </c>
      <c r="M91" t="s">
        <v>19177</v>
      </c>
      <c r="N91" t="s">
        <v>714</v>
      </c>
      <c r="O91" t="s">
        <v>10263</v>
      </c>
      <c r="P91" t="s">
        <v>12</v>
      </c>
    </row>
    <row r="92">
      <c r="A92">
        <f>HYPERLINK("http://bombeiros.sp.gov.br/hidrantes/03individual/26357.html","26357")</f>
      </c>
      <c r="B92" t="s">
        <v>12</v>
      </c>
      <c r="C92" t="s">
        <v>57</v>
      </c>
      <c r="D92" t="s">
        <v>58</v>
      </c>
      <c r="E92" t="s">
        <v>64</v>
      </c>
      <c r="F92" t="s">
        <v>1979</v>
      </c>
      <c r="G92" t="s">
        <v>18189</v>
      </c>
      <c r="H92" t="s">
        <v>1112</v>
      </c>
      <c r="I92" t="s">
        <v>1108</v>
      </c>
      <c r="J92" t="s">
        <v>1980</v>
      </c>
      <c r="K92" t="s">
        <v>1981</v>
      </c>
      <c r="L92" t="s">
        <v>21</v>
      </c>
      <c r="M92" t="s">
        <v>19177</v>
      </c>
      <c r="N92" t="s">
        <v>97</v>
      </c>
      <c r="O92" t="s">
        <v>937</v>
      </c>
      <c r="P92" t="s">
        <v>12</v>
      </c>
    </row>
    <row r="93">
      <c r="A93">
        <f>HYPERLINK("http://bombeiros.sp.gov.br/hidrantes/03individual/26665.html","26665")</f>
      </c>
      <c r="B93" t="s">
        <v>12</v>
      </c>
      <c r="C93" t="s">
        <v>57</v>
      </c>
      <c r="D93" t="s">
        <v>58</v>
      </c>
      <c r="E93" t="s">
        <v>64</v>
      </c>
      <c r="F93" t="s">
        <v>1982</v>
      </c>
      <c r="G93" t="s">
        <v>18073</v>
      </c>
      <c r="H93" t="s">
        <v>1107</v>
      </c>
      <c r="I93" t="s">
        <v>1108</v>
      </c>
      <c r="J93" t="s">
        <v>1983</v>
      </c>
      <c r="K93" t="s">
        <v>1984</v>
      </c>
      <c r="L93" t="s">
        <v>21</v>
      </c>
      <c r="M93" t="s">
        <v>19177</v>
      </c>
      <c r="N93" t="s">
        <v>97</v>
      </c>
      <c r="O93" t="s">
        <v>937</v>
      </c>
      <c r="P93" t="s">
        <v>12</v>
      </c>
    </row>
    <row r="94">
      <c r="A94">
        <f>HYPERLINK("http://bombeiros.sp.gov.br/hidrantes/03individual/39.html","39")</f>
      </c>
      <c r="B94" t="s">
        <v>12</v>
      </c>
      <c r="C94" t="s">
        <v>57</v>
      </c>
      <c r="D94" t="s">
        <v>58</v>
      </c>
      <c r="E94" t="s">
        <v>15</v>
      </c>
      <c r="F94" t="s">
        <v>1988</v>
      </c>
      <c r="G94" t="s">
        <v>18074</v>
      </c>
      <c r="H94" t="s">
        <v>1112</v>
      </c>
      <c r="I94" t="s">
        <v>1108</v>
      </c>
      <c r="J94" t="s">
        <v>1989</v>
      </c>
      <c r="K94" t="s">
        <v>1990</v>
      </c>
      <c r="L94" t="s">
        <v>21</v>
      </c>
      <c r="M94" t="s">
        <v>19177</v>
      </c>
      <c r="N94" t="s">
        <v>714</v>
      </c>
      <c r="O94" t="s">
        <v>10263</v>
      </c>
      <c r="P94" t="s">
        <v>12</v>
      </c>
    </row>
    <row r="95">
      <c r="A95">
        <f>HYPERLINK("http://bombeiros.sp.gov.br/hidrantes/03individual/2184.html","2184")</f>
      </c>
      <c r="B95" t="s">
        <v>12</v>
      </c>
      <c r="C95" t="s">
        <v>57</v>
      </c>
      <c r="D95" t="s">
        <v>58</v>
      </c>
      <c r="E95" t="s">
        <v>15</v>
      </c>
      <c r="F95" t="s">
        <v>1997</v>
      </c>
      <c r="G95" t="s">
        <v>18076</v>
      </c>
      <c r="H95" t="s">
        <v>1112</v>
      </c>
      <c r="I95" t="s">
        <v>1108</v>
      </c>
      <c r="J95" t="s">
        <v>1998</v>
      </c>
      <c r="K95" t="s">
        <v>1999</v>
      </c>
      <c r="L95" t="s">
        <v>21</v>
      </c>
      <c r="M95" t="s">
        <v>19177</v>
      </c>
      <c r="N95" t="s">
        <v>714</v>
      </c>
      <c r="O95" t="s">
        <v>10263</v>
      </c>
      <c r="P95" t="s">
        <v>12</v>
      </c>
    </row>
    <row r="96">
      <c r="A96">
        <f>HYPERLINK("http://bombeiros.sp.gov.br/hidrantes/03individual/2476.html","2476")</f>
      </c>
      <c r="B96" t="s">
        <v>12</v>
      </c>
      <c r="C96" t="s">
        <v>57</v>
      </c>
      <c r="D96" t="s">
        <v>57</v>
      </c>
      <c r="E96" t="s">
        <v>64</v>
      </c>
      <c r="F96" t="s">
        <v>2000</v>
      </c>
      <c r="G96" t="s">
        <v>18063</v>
      </c>
      <c r="H96" t="s">
        <v>1121</v>
      </c>
      <c r="I96" t="s">
        <v>1117</v>
      </c>
      <c r="J96" t="s">
        <v>2001</v>
      </c>
      <c r="K96" t="s">
        <v>2002</v>
      </c>
      <c r="L96" t="s">
        <v>36</v>
      </c>
      <c r="M96" t="s">
        <v>19177</v>
      </c>
      <c r="N96" t="s">
        <v>714</v>
      </c>
      <c r="O96" t="s">
        <v>10263</v>
      </c>
      <c r="P96" t="s">
        <v>12</v>
      </c>
    </row>
    <row r="97">
      <c r="A97">
        <f>HYPERLINK("http://bombeiros.sp.gov.br/hidrantes/03individual/2522.html","2522")</f>
      </c>
      <c r="B97" t="s">
        <v>12</v>
      </c>
      <c r="C97" t="s">
        <v>57</v>
      </c>
      <c r="D97" t="s">
        <v>57</v>
      </c>
      <c r="E97" t="s">
        <v>64</v>
      </c>
      <c r="F97" t="s">
        <v>2009</v>
      </c>
      <c r="G97" t="s">
        <v>18184</v>
      </c>
      <c r="H97" t="s">
        <v>1112</v>
      </c>
      <c r="I97" t="s">
        <v>1108</v>
      </c>
      <c r="J97" t="s">
        <v>2010</v>
      </c>
      <c r="K97" t="s">
        <v>2011</v>
      </c>
      <c r="L97" t="s">
        <v>36</v>
      </c>
      <c r="M97" t="s">
        <v>19177</v>
      </c>
      <c r="N97" t="s">
        <v>714</v>
      </c>
      <c r="O97" t="s">
        <v>10263</v>
      </c>
      <c r="P97" t="s">
        <v>12</v>
      </c>
    </row>
    <row r="98">
      <c r="A98">
        <f>HYPERLINK("http://bombeiros.sp.gov.br/hidrantes/03individual/50.html","50")</f>
      </c>
      <c r="B98" t="s">
        <v>12</v>
      </c>
      <c r="C98" t="s">
        <v>57</v>
      </c>
      <c r="D98" t="s">
        <v>57</v>
      </c>
      <c r="E98" t="s">
        <v>15</v>
      </c>
      <c r="F98" t="s">
        <v>2021</v>
      </c>
      <c r="G98" t="s">
        <v>18063</v>
      </c>
      <c r="H98" t="s">
        <v>1121</v>
      </c>
      <c r="I98" t="s">
        <v>1117</v>
      </c>
      <c r="J98" t="s">
        <v>2022</v>
      </c>
      <c r="K98" t="s">
        <v>2023</v>
      </c>
      <c r="L98" t="s">
        <v>21</v>
      </c>
      <c r="M98" t="s">
        <v>19177</v>
      </c>
      <c r="N98" t="s">
        <v>97</v>
      </c>
      <c r="O98" t="s">
        <v>937</v>
      </c>
      <c r="P98" t="s">
        <v>12</v>
      </c>
    </row>
    <row r="99">
      <c r="A99">
        <f>HYPERLINK("http://bombeiros.sp.gov.br/hidrantes/03individual/12.html","12")</f>
      </c>
      <c r="B99" t="s">
        <v>12</v>
      </c>
      <c r="C99" t="s">
        <v>57</v>
      </c>
      <c r="D99" t="s">
        <v>2036</v>
      </c>
      <c r="E99" t="s">
        <v>15</v>
      </c>
      <c r="F99" t="s">
        <v>2037</v>
      </c>
      <c r="G99" t="s">
        <v>18046</v>
      </c>
      <c r="H99"/>
      <c r="I99" t="s">
        <v>18</v>
      </c>
      <c r="J99" t="s">
        <v>2038</v>
      </c>
      <c r="K99" t="s">
        <v>2039</v>
      </c>
      <c r="L99" t="s">
        <v>21</v>
      </c>
      <c r="M99" t="s">
        <v>19177</v>
      </c>
      <c r="N99" t="s">
        <v>714</v>
      </c>
      <c r="O99" t="s">
        <v>10263</v>
      </c>
      <c r="P99" t="s">
        <v>12</v>
      </c>
    </row>
    <row r="100">
      <c r="A100">
        <f>HYPERLINK("http://bombeiros.sp.gov.br/hidrantes/03individual/54.html","54")</f>
      </c>
      <c r="B100" t="s">
        <v>12</v>
      </c>
      <c r="C100" t="s">
        <v>57</v>
      </c>
      <c r="D100" t="s">
        <v>2036</v>
      </c>
      <c r="E100" t="s">
        <v>15</v>
      </c>
      <c r="F100" t="s">
        <v>2040</v>
      </c>
      <c r="G100" t="s">
        <v>18051</v>
      </c>
      <c r="H100" t="s">
        <v>1112</v>
      </c>
      <c r="I100" t="s">
        <v>1108</v>
      </c>
      <c r="J100" t="s">
        <v>2041</v>
      </c>
      <c r="K100" t="s">
        <v>2042</v>
      </c>
      <c r="L100" t="s">
        <v>21</v>
      </c>
      <c r="M100" t="s">
        <v>19177</v>
      </c>
      <c r="N100" t="s">
        <v>714</v>
      </c>
      <c r="O100" t="s">
        <v>10263</v>
      </c>
      <c r="P100" t="s">
        <v>12</v>
      </c>
    </row>
    <row r="101">
      <c r="A101">
        <f>HYPERLINK("http://bombeiros.sp.gov.br/hidrantes/03individual/55.html","55")</f>
      </c>
      <c r="B101" t="s">
        <v>12</v>
      </c>
      <c r="C101" t="s">
        <v>57</v>
      </c>
      <c r="D101" t="s">
        <v>2036</v>
      </c>
      <c r="E101" t="s">
        <v>15</v>
      </c>
      <c r="F101" t="s">
        <v>2043</v>
      </c>
      <c r="G101" t="s">
        <v>18074</v>
      </c>
      <c r="H101" t="s">
        <v>1121</v>
      </c>
      <c r="I101" t="s">
        <v>1117</v>
      </c>
      <c r="J101" t="s">
        <v>2044</v>
      </c>
      <c r="K101" t="s">
        <v>2045</v>
      </c>
      <c r="L101" t="s">
        <v>21</v>
      </c>
      <c r="M101" t="s">
        <v>19177</v>
      </c>
      <c r="N101" t="s">
        <v>714</v>
      </c>
      <c r="O101" t="s">
        <v>10263</v>
      </c>
      <c r="P101" t="s">
        <v>12</v>
      </c>
    </row>
    <row r="102">
      <c r="A102">
        <f>HYPERLINK("http://bombeiros.sp.gov.br/hidrantes/03individual/2455.html","2455")</f>
      </c>
      <c r="B102" t="s">
        <v>12</v>
      </c>
      <c r="C102" t="s">
        <v>57</v>
      </c>
      <c r="D102" t="s">
        <v>2036</v>
      </c>
      <c r="E102" t="s">
        <v>15</v>
      </c>
      <c r="F102" t="s">
        <v>2058</v>
      </c>
      <c r="G102" t="s">
        <v>18099</v>
      </c>
      <c r="H102" t="s">
        <v>1107</v>
      </c>
      <c r="I102" t="s">
        <v>1108</v>
      </c>
      <c r="J102" t="s">
        <v>17669</v>
      </c>
      <c r="K102" t="s">
        <v>17670</v>
      </c>
      <c r="L102" t="s">
        <v>21</v>
      </c>
      <c r="M102" t="s">
        <v>19177</v>
      </c>
      <c r="N102" t="s">
        <v>714</v>
      </c>
      <c r="O102" t="s">
        <v>10263</v>
      </c>
      <c r="P102" t="s">
        <v>12</v>
      </c>
    </row>
    <row r="103">
      <c r="A103">
        <f>HYPERLINK("http://bombeiros.sp.gov.br/hidrantes/03individual/4175.html","4175")</f>
      </c>
      <c r="B103" t="s">
        <v>12</v>
      </c>
      <c r="C103" t="s">
        <v>63</v>
      </c>
      <c r="D103" t="s">
        <v>2064</v>
      </c>
      <c r="E103" t="s">
        <v>64</v>
      </c>
      <c r="F103" t="s">
        <v>2071</v>
      </c>
      <c r="G103" t="s">
        <v>18150</v>
      </c>
      <c r="H103" t="s">
        <v>1121</v>
      </c>
      <c r="I103" t="s">
        <v>1117</v>
      </c>
      <c r="J103" t="s">
        <v>2072</v>
      </c>
      <c r="K103" t="s">
        <v>2073</v>
      </c>
      <c r="L103" t="s">
        <v>21</v>
      </c>
      <c r="M103" t="s">
        <v>19177</v>
      </c>
      <c r="N103" t="s">
        <v>97</v>
      </c>
      <c r="O103" t="s">
        <v>937</v>
      </c>
      <c r="P103" t="s">
        <v>12</v>
      </c>
    </row>
    <row r="104">
      <c r="A104">
        <f>HYPERLINK("http://bombeiros.sp.gov.br/hidrantes/03individual/48.html","48")</f>
      </c>
      <c r="B104" t="s">
        <v>12</v>
      </c>
      <c r="C104" t="s">
        <v>63</v>
      </c>
      <c r="D104" t="s">
        <v>2064</v>
      </c>
      <c r="E104" t="s">
        <v>15</v>
      </c>
      <c r="F104" t="s">
        <v>2077</v>
      </c>
      <c r="G104" t="s">
        <v>18207</v>
      </c>
      <c r="H104" t="s">
        <v>1107</v>
      </c>
      <c r="I104" t="s">
        <v>1108</v>
      </c>
      <c r="J104" t="s">
        <v>2078</v>
      </c>
      <c r="K104" t="s">
        <v>2079</v>
      </c>
      <c r="L104" t="s">
        <v>21</v>
      </c>
      <c r="M104" t="s">
        <v>19177</v>
      </c>
      <c r="N104" t="s">
        <v>97</v>
      </c>
      <c r="O104" t="s">
        <v>937</v>
      </c>
      <c r="P104" t="s">
        <v>12</v>
      </c>
    </row>
    <row r="105">
      <c r="A105">
        <f>HYPERLINK("http://bombeiros.sp.gov.br/hidrantes/03individual/262.html","262")</f>
      </c>
      <c r="B105" t="s">
        <v>12</v>
      </c>
      <c r="C105" t="s">
        <v>63</v>
      </c>
      <c r="D105" t="s">
        <v>2064</v>
      </c>
      <c r="E105" t="s">
        <v>15</v>
      </c>
      <c r="F105" t="s">
        <v>2086</v>
      </c>
      <c r="G105" t="s">
        <v>18059</v>
      </c>
      <c r="H105" t="s">
        <v>1107</v>
      </c>
      <c r="I105" t="s">
        <v>1108</v>
      </c>
      <c r="J105" t="s">
        <v>2087</v>
      </c>
      <c r="K105" t="s">
        <v>2088</v>
      </c>
      <c r="L105" t="s">
        <v>21</v>
      </c>
      <c r="M105" t="s">
        <v>19177</v>
      </c>
      <c r="N105" t="s">
        <v>97</v>
      </c>
      <c r="O105" t="s">
        <v>937</v>
      </c>
      <c r="P105" t="s">
        <v>12</v>
      </c>
    </row>
    <row r="106">
      <c r="A106">
        <f>HYPERLINK("http://bombeiros.sp.gov.br/hidrantes/03individual/777.html","777")</f>
      </c>
      <c r="B106" t="s">
        <v>12</v>
      </c>
      <c r="C106" t="s">
        <v>63</v>
      </c>
      <c r="D106" t="s">
        <v>63</v>
      </c>
      <c r="E106" t="s">
        <v>64</v>
      </c>
      <c r="F106" t="s">
        <v>2113</v>
      </c>
      <c r="G106" t="s">
        <v>18064</v>
      </c>
      <c r="H106" t="s">
        <v>1121</v>
      </c>
      <c r="I106" t="s">
        <v>1117</v>
      </c>
      <c r="J106" t="s">
        <v>2114</v>
      </c>
      <c r="K106" t="s">
        <v>2115</v>
      </c>
      <c r="L106" t="s">
        <v>36</v>
      </c>
      <c r="M106" t="s">
        <v>19177</v>
      </c>
      <c r="N106" t="s">
        <v>97</v>
      </c>
      <c r="O106" t="s">
        <v>937</v>
      </c>
      <c r="P106" t="s">
        <v>12</v>
      </c>
    </row>
    <row r="107">
      <c r="A107">
        <f>HYPERLINK("http://bombeiros.sp.gov.br/hidrantes/03individual/27555.html","27555")</f>
      </c>
      <c r="B107" t="s">
        <v>12</v>
      </c>
      <c r="C107" t="s">
        <v>63</v>
      </c>
      <c r="D107" t="s">
        <v>63</v>
      </c>
      <c r="E107" t="s">
        <v>64</v>
      </c>
      <c r="F107" t="s">
        <v>17427</v>
      </c>
      <c r="G107" t="s">
        <v>18057</v>
      </c>
      <c r="H107" t="s">
        <v>1107</v>
      </c>
      <c r="I107" t="s">
        <v>1108</v>
      </c>
      <c r="J107" t="s">
        <v>17428</v>
      </c>
      <c r="K107" t="s">
        <v>17429</v>
      </c>
      <c r="L107" t="s">
        <v>21</v>
      </c>
      <c r="M107" t="s">
        <v>19177</v>
      </c>
      <c r="N107" t="s">
        <v>97</v>
      </c>
      <c r="O107" t="s">
        <v>937</v>
      </c>
      <c r="P107" t="s">
        <v>12</v>
      </c>
    </row>
    <row r="108">
      <c r="A108">
        <f>HYPERLINK("http://bombeiros.sp.gov.br/hidrantes/03individual/2916.html","2916")</f>
      </c>
      <c r="B108" t="s">
        <v>12</v>
      </c>
      <c r="C108" t="s">
        <v>63</v>
      </c>
      <c r="D108" t="s">
        <v>63</v>
      </c>
      <c r="E108" t="s">
        <v>15</v>
      </c>
      <c r="F108" t="s">
        <v>2176</v>
      </c>
      <c r="G108" t="s">
        <v>18043</v>
      </c>
      <c r="H108" t="s">
        <v>1107</v>
      </c>
      <c r="I108" t="s">
        <v>1108</v>
      </c>
      <c r="J108" t="s">
        <v>15982</v>
      </c>
      <c r="K108" t="s">
        <v>15983</v>
      </c>
      <c r="L108" t="s">
        <v>36</v>
      </c>
      <c r="M108" t="s">
        <v>19177</v>
      </c>
      <c r="N108" t="s">
        <v>97</v>
      </c>
      <c r="O108" t="s">
        <v>937</v>
      </c>
      <c r="P108" t="s">
        <v>12</v>
      </c>
    </row>
    <row r="109">
      <c r="A109">
        <f>HYPERLINK("http://bombeiros.sp.gov.br/hidrantes/03individual/14991.html","14991")</f>
      </c>
      <c r="B109" t="s">
        <v>12</v>
      </c>
      <c r="C109" t="s">
        <v>63</v>
      </c>
      <c r="D109" t="s">
        <v>77</v>
      </c>
      <c r="E109" t="s">
        <v>64</v>
      </c>
      <c r="F109" t="s">
        <v>2265</v>
      </c>
      <c r="G109" t="s">
        <v>18057</v>
      </c>
      <c r="H109" t="s">
        <v>1121</v>
      </c>
      <c r="I109" t="s">
        <v>1117</v>
      </c>
      <c r="J109" t="s">
        <v>2266</v>
      </c>
      <c r="K109" t="s">
        <v>2267</v>
      </c>
      <c r="L109" t="s">
        <v>21</v>
      </c>
      <c r="M109" t="s">
        <v>19177</v>
      </c>
      <c r="N109" t="s">
        <v>97</v>
      </c>
      <c r="O109" t="s">
        <v>937</v>
      </c>
      <c r="P109" t="s">
        <v>12</v>
      </c>
    </row>
    <row r="110">
      <c r="A110">
        <f>HYPERLINK("http://bombeiros.sp.gov.br/hidrantes/03individual/27144.html","27144")</f>
      </c>
      <c r="B110" t="s">
        <v>12</v>
      </c>
      <c r="C110" t="s">
        <v>63</v>
      </c>
      <c r="D110" t="s">
        <v>77</v>
      </c>
      <c r="E110" t="s">
        <v>64</v>
      </c>
      <c r="F110" t="s">
        <v>16834</v>
      </c>
      <c r="G110" t="s">
        <v>18187</v>
      </c>
      <c r="H110" t="s">
        <v>1112</v>
      </c>
      <c r="I110" t="s">
        <v>1108</v>
      </c>
      <c r="J110" t="s">
        <v>16835</v>
      </c>
      <c r="K110" t="s">
        <v>16836</v>
      </c>
      <c r="L110" t="s">
        <v>21</v>
      </c>
      <c r="M110" t="s">
        <v>19177</v>
      </c>
      <c r="N110" t="s">
        <v>97</v>
      </c>
      <c r="O110" t="s">
        <v>937</v>
      </c>
      <c r="P110" t="s">
        <v>12</v>
      </c>
    </row>
    <row r="111">
      <c r="A111">
        <f>HYPERLINK("http://bombeiros.sp.gov.br/hidrantes/03individual/740.html","740")</f>
      </c>
      <c r="B111" t="s">
        <v>12</v>
      </c>
      <c r="C111" t="s">
        <v>92</v>
      </c>
      <c r="D111" t="s">
        <v>2332</v>
      </c>
      <c r="E111" t="s">
        <v>15</v>
      </c>
      <c r="F111" t="s">
        <v>2393</v>
      </c>
      <c r="G111" t="s">
        <v>18050</v>
      </c>
      <c r="H111" t="s">
        <v>1107</v>
      </c>
      <c r="I111" t="s">
        <v>1108</v>
      </c>
      <c r="J111" t="s">
        <v>2394</v>
      </c>
      <c r="K111" t="s">
        <v>2395</v>
      </c>
      <c r="L111" t="s">
        <v>21</v>
      </c>
      <c r="M111" t="s">
        <v>19177</v>
      </c>
      <c r="N111" t="s">
        <v>714</v>
      </c>
      <c r="O111" t="s">
        <v>10263</v>
      </c>
      <c r="P111" t="s">
        <v>12</v>
      </c>
    </row>
    <row r="112">
      <c r="A112">
        <f>HYPERLINK("http://bombeiros.sp.gov.br/hidrantes/03individual/1596.html","1596")</f>
      </c>
      <c r="B112" t="s">
        <v>12</v>
      </c>
      <c r="C112" t="s">
        <v>92</v>
      </c>
      <c r="D112" t="s">
        <v>2332</v>
      </c>
      <c r="E112" t="s">
        <v>15</v>
      </c>
      <c r="F112" t="s">
        <v>2399</v>
      </c>
      <c r="G112" t="s">
        <v>18055</v>
      </c>
      <c r="H112" t="s">
        <v>1107</v>
      </c>
      <c r="I112" t="s">
        <v>1108</v>
      </c>
      <c r="J112" t="s">
        <v>2400</v>
      </c>
      <c r="K112" t="s">
        <v>2401</v>
      </c>
      <c r="L112" t="s">
        <v>21</v>
      </c>
      <c r="M112" t="s">
        <v>19177</v>
      </c>
      <c r="N112" t="s">
        <v>714</v>
      </c>
      <c r="O112" t="s">
        <v>10263</v>
      </c>
      <c r="P112" t="s">
        <v>12</v>
      </c>
    </row>
    <row r="113">
      <c r="A113">
        <f>HYPERLINK("http://bombeiros.sp.gov.br/hidrantes/03individual/2767.html","2767")</f>
      </c>
      <c r="B113" t="s">
        <v>12</v>
      </c>
      <c r="C113" t="s">
        <v>92</v>
      </c>
      <c r="D113" t="s">
        <v>2332</v>
      </c>
      <c r="E113" t="s">
        <v>15</v>
      </c>
      <c r="F113" t="s">
        <v>2414</v>
      </c>
      <c r="G113" t="s">
        <v>18055</v>
      </c>
      <c r="H113" t="s">
        <v>1107</v>
      </c>
      <c r="I113" t="s">
        <v>1108</v>
      </c>
      <c r="J113" t="s">
        <v>2415</v>
      </c>
      <c r="K113" t="s">
        <v>2416</v>
      </c>
      <c r="L113" t="s">
        <v>21</v>
      </c>
      <c r="M113" t="s">
        <v>19177</v>
      </c>
      <c r="N113" t="s">
        <v>714</v>
      </c>
      <c r="O113" t="s">
        <v>10263</v>
      </c>
      <c r="P113" t="s">
        <v>12</v>
      </c>
    </row>
    <row r="114">
      <c r="A114">
        <f>HYPERLINK("http://bombeiros.sp.gov.br/hidrantes/03individual/2769.html","2769")</f>
      </c>
      <c r="B114" t="s">
        <v>12</v>
      </c>
      <c r="C114" t="s">
        <v>92</v>
      </c>
      <c r="D114" t="s">
        <v>2332</v>
      </c>
      <c r="E114" t="s">
        <v>15</v>
      </c>
      <c r="F114" t="s">
        <v>2417</v>
      </c>
      <c r="G114" t="s">
        <v>18055</v>
      </c>
      <c r="H114" t="s">
        <v>1112</v>
      </c>
      <c r="I114" t="s">
        <v>1108</v>
      </c>
      <c r="J114" t="s">
        <v>2418</v>
      </c>
      <c r="K114" t="s">
        <v>2419</v>
      </c>
      <c r="L114" t="s">
        <v>21</v>
      </c>
      <c r="M114" t="s">
        <v>19177</v>
      </c>
      <c r="N114" t="s">
        <v>714</v>
      </c>
      <c r="O114" t="s">
        <v>10263</v>
      </c>
      <c r="P114" t="s">
        <v>12</v>
      </c>
    </row>
    <row r="115">
      <c r="A115">
        <f>HYPERLINK("http://bombeiros.sp.gov.br/hidrantes/03individual/2893.html","2893")</f>
      </c>
      <c r="B115" t="s">
        <v>12</v>
      </c>
      <c r="C115" t="s">
        <v>92</v>
      </c>
      <c r="D115" t="s">
        <v>2332</v>
      </c>
      <c r="E115" t="s">
        <v>15</v>
      </c>
      <c r="F115" t="s">
        <v>2447</v>
      </c>
      <c r="G115" t="s">
        <v>18046</v>
      </c>
      <c r="H115" t="s">
        <v>1112</v>
      </c>
      <c r="I115" t="s">
        <v>1108</v>
      </c>
      <c r="J115" t="s">
        <v>2448</v>
      </c>
      <c r="K115" t="s">
        <v>2449</v>
      </c>
      <c r="L115" t="s">
        <v>21</v>
      </c>
      <c r="M115" t="s">
        <v>19177</v>
      </c>
      <c r="N115" t="s">
        <v>714</v>
      </c>
      <c r="O115" t="s">
        <v>10263</v>
      </c>
      <c r="P115" t="s">
        <v>12</v>
      </c>
    </row>
    <row r="116">
      <c r="A116">
        <f>HYPERLINK("http://bombeiros.sp.gov.br/hidrantes/03individual/5500.html","5500")</f>
      </c>
      <c r="B116" t="s">
        <v>12</v>
      </c>
      <c r="C116" t="s">
        <v>92</v>
      </c>
      <c r="D116" t="s">
        <v>2332</v>
      </c>
      <c r="E116" t="s">
        <v>15</v>
      </c>
      <c r="F116" t="s">
        <v>2476</v>
      </c>
      <c r="G116" t="s">
        <v>18066</v>
      </c>
      <c r="H116" t="s">
        <v>1107</v>
      </c>
      <c r="I116" t="s">
        <v>1108</v>
      </c>
      <c r="J116" t="s">
        <v>2477</v>
      </c>
      <c r="K116" t="s">
        <v>2478</v>
      </c>
      <c r="L116" t="s">
        <v>21</v>
      </c>
      <c r="M116" t="s">
        <v>19177</v>
      </c>
      <c r="N116" t="s">
        <v>97</v>
      </c>
      <c r="O116" t="s">
        <v>937</v>
      </c>
      <c r="P116" t="s">
        <v>12</v>
      </c>
    </row>
    <row r="117">
      <c r="A117">
        <f>HYPERLINK("http://bombeiros.sp.gov.br/hidrantes/03individual/16584.html","16584")</f>
      </c>
      <c r="B117" t="s">
        <v>12</v>
      </c>
      <c r="C117" t="s">
        <v>92</v>
      </c>
      <c r="D117" t="s">
        <v>2332</v>
      </c>
      <c r="E117" t="s">
        <v>15</v>
      </c>
      <c r="F117" t="s">
        <v>2482</v>
      </c>
      <c r="G117" t="s">
        <v>18057</v>
      </c>
      <c r="H117" t="s">
        <v>1107</v>
      </c>
      <c r="I117" t="s">
        <v>1108</v>
      </c>
      <c r="J117" t="s">
        <v>2483</v>
      </c>
      <c r="K117" t="s">
        <v>2484</v>
      </c>
      <c r="L117" t="s">
        <v>21</v>
      </c>
      <c r="M117" t="s">
        <v>19177</v>
      </c>
      <c r="N117" t="s">
        <v>714</v>
      </c>
      <c r="O117" t="s">
        <v>10263</v>
      </c>
      <c r="P117" t="s">
        <v>12</v>
      </c>
    </row>
    <row r="118">
      <c r="A118">
        <f>HYPERLINK("http://bombeiros.sp.gov.br/hidrantes/03individual/2782.html","2782")</f>
      </c>
      <c r="B118" t="s">
        <v>12</v>
      </c>
      <c r="C118" t="s">
        <v>92</v>
      </c>
      <c r="D118" t="s">
        <v>2485</v>
      </c>
      <c r="E118" t="s">
        <v>15</v>
      </c>
      <c r="F118" t="s">
        <v>2516</v>
      </c>
      <c r="G118" t="s">
        <v>18068</v>
      </c>
      <c r="H118" t="s">
        <v>1112</v>
      </c>
      <c r="I118" t="s">
        <v>1108</v>
      </c>
      <c r="J118" t="s">
        <v>2517</v>
      </c>
      <c r="K118" t="s">
        <v>2518</v>
      </c>
      <c r="L118" t="s">
        <v>21</v>
      </c>
      <c r="M118" t="s">
        <v>19177</v>
      </c>
      <c r="N118" t="s">
        <v>97</v>
      </c>
      <c r="O118" t="s">
        <v>937</v>
      </c>
      <c r="P118" t="s">
        <v>12</v>
      </c>
    </row>
    <row r="119">
      <c r="A119">
        <f>HYPERLINK("http://bombeiros.sp.gov.br/hidrantes/03individual/2785.html","2785")</f>
      </c>
      <c r="B119" t="s">
        <v>12</v>
      </c>
      <c r="C119" t="s">
        <v>92</v>
      </c>
      <c r="D119" t="s">
        <v>2485</v>
      </c>
      <c r="E119" t="s">
        <v>15</v>
      </c>
      <c r="F119" t="s">
        <v>2522</v>
      </c>
      <c r="G119" t="s">
        <v>18048</v>
      </c>
      <c r="H119" t="s">
        <v>1112</v>
      </c>
      <c r="I119" t="s">
        <v>1108</v>
      </c>
      <c r="J119" t="s">
        <v>2523</v>
      </c>
      <c r="K119" t="s">
        <v>2524</v>
      </c>
      <c r="L119" t="s">
        <v>21</v>
      </c>
      <c r="M119" t="s">
        <v>19177</v>
      </c>
      <c r="N119" t="s">
        <v>97</v>
      </c>
      <c r="O119" t="s">
        <v>937</v>
      </c>
      <c r="P119" t="s">
        <v>12</v>
      </c>
    </row>
    <row r="120">
      <c r="A120">
        <f>HYPERLINK("http://bombeiros.sp.gov.br/hidrantes/03individual/5614.html","5614")</f>
      </c>
      <c r="B120" t="s">
        <v>12</v>
      </c>
      <c r="C120" t="s">
        <v>92</v>
      </c>
      <c r="D120" t="s">
        <v>92</v>
      </c>
      <c r="E120" t="s">
        <v>64</v>
      </c>
      <c r="F120" t="s">
        <v>2568</v>
      </c>
      <c r="G120" t="s">
        <v>18067</v>
      </c>
      <c r="H120" t="s">
        <v>1112</v>
      </c>
      <c r="I120" t="s">
        <v>1108</v>
      </c>
      <c r="J120" t="s">
        <v>2570</v>
      </c>
      <c r="K120" t="s">
        <v>2571</v>
      </c>
      <c r="L120" t="s">
        <v>21</v>
      </c>
      <c r="M120" t="s">
        <v>19177</v>
      </c>
      <c r="N120" t="s">
        <v>97</v>
      </c>
      <c r="O120" t="s">
        <v>937</v>
      </c>
      <c r="P120" t="s">
        <v>12</v>
      </c>
    </row>
    <row r="121">
      <c r="A121">
        <f>HYPERLINK("http://bombeiros.sp.gov.br/hidrantes/03individual/552.html","552")</f>
      </c>
      <c r="B121" t="s">
        <v>12</v>
      </c>
      <c r="C121" t="s">
        <v>92</v>
      </c>
      <c r="D121" t="s">
        <v>92</v>
      </c>
      <c r="E121" t="s">
        <v>15</v>
      </c>
      <c r="F121" t="s">
        <v>2590</v>
      </c>
      <c r="G121" t="s">
        <v>18069</v>
      </c>
      <c r="H121" t="s">
        <v>1107</v>
      </c>
      <c r="I121" t="s">
        <v>1108</v>
      </c>
      <c r="J121" t="s">
        <v>2591</v>
      </c>
      <c r="K121" t="s">
        <v>2592</v>
      </c>
      <c r="L121" t="s">
        <v>21</v>
      </c>
      <c r="M121" t="s">
        <v>19177</v>
      </c>
      <c r="N121" t="s">
        <v>97</v>
      </c>
      <c r="O121" t="s">
        <v>937</v>
      </c>
      <c r="P121" t="s">
        <v>12</v>
      </c>
    </row>
    <row r="122">
      <c r="A122">
        <f>HYPERLINK("http://bombeiros.sp.gov.br/hidrantes/03individual/685.html","685")</f>
      </c>
      <c r="B122" t="s">
        <v>12</v>
      </c>
      <c r="C122" t="s">
        <v>92</v>
      </c>
      <c r="D122" t="s">
        <v>92</v>
      </c>
      <c r="E122" t="s">
        <v>15</v>
      </c>
      <c r="F122" t="s">
        <v>2611</v>
      </c>
      <c r="G122" t="s">
        <v>18069</v>
      </c>
      <c r="H122" t="s">
        <v>1107</v>
      </c>
      <c r="I122" t="s">
        <v>1108</v>
      </c>
      <c r="J122" t="s">
        <v>2612</v>
      </c>
      <c r="K122" t="s">
        <v>2613</v>
      </c>
      <c r="L122" t="s">
        <v>21</v>
      </c>
      <c r="M122" t="s">
        <v>19177</v>
      </c>
      <c r="N122" t="s">
        <v>97</v>
      </c>
      <c r="O122" t="s">
        <v>937</v>
      </c>
      <c r="P122" t="s">
        <v>12</v>
      </c>
    </row>
    <row r="123">
      <c r="A123">
        <f>HYPERLINK("http://bombeiros.sp.gov.br/hidrantes/03individual/807.html","807")</f>
      </c>
      <c r="B123" t="s">
        <v>12</v>
      </c>
      <c r="C123" t="s">
        <v>92</v>
      </c>
      <c r="D123" t="s">
        <v>92</v>
      </c>
      <c r="E123" t="s">
        <v>15</v>
      </c>
      <c r="F123" t="s">
        <v>2623</v>
      </c>
      <c r="G123" t="s">
        <v>18055</v>
      </c>
      <c r="H123" t="s">
        <v>1107</v>
      </c>
      <c r="I123" t="s">
        <v>1108</v>
      </c>
      <c r="J123" t="s">
        <v>2624</v>
      </c>
      <c r="K123" t="s">
        <v>2625</v>
      </c>
      <c r="L123" t="s">
        <v>21</v>
      </c>
      <c r="M123" t="s">
        <v>19177</v>
      </c>
      <c r="N123" t="s">
        <v>97</v>
      </c>
      <c r="O123" t="s">
        <v>937</v>
      </c>
      <c r="P123" t="s">
        <v>12</v>
      </c>
    </row>
    <row r="124">
      <c r="A124">
        <f>HYPERLINK("http://bombeiros.sp.gov.br/hidrantes/03individual/2812.html","2812")</f>
      </c>
      <c r="B124" t="s">
        <v>12</v>
      </c>
      <c r="C124" t="s">
        <v>92</v>
      </c>
      <c r="D124" t="s">
        <v>92</v>
      </c>
      <c r="E124" t="s">
        <v>15</v>
      </c>
      <c r="F124" t="s">
        <v>2632</v>
      </c>
      <c r="G124" t="s">
        <v>18055</v>
      </c>
      <c r="H124" t="s">
        <v>1107</v>
      </c>
      <c r="I124" t="s">
        <v>1108</v>
      </c>
      <c r="J124" t="s">
        <v>2633</v>
      </c>
      <c r="K124" t="s">
        <v>2634</v>
      </c>
      <c r="L124" t="s">
        <v>36</v>
      </c>
      <c r="M124" t="s">
        <v>19177</v>
      </c>
      <c r="N124" t="s">
        <v>97</v>
      </c>
      <c r="O124" t="s">
        <v>937</v>
      </c>
      <c r="P124" t="s">
        <v>12</v>
      </c>
    </row>
    <row r="125">
      <c r="A125">
        <f>HYPERLINK("http://bombeiros.sp.gov.br/hidrantes/03individual/2821.html","2821")</f>
      </c>
      <c r="B125" t="s">
        <v>12</v>
      </c>
      <c r="C125" t="s">
        <v>92</v>
      </c>
      <c r="D125" t="s">
        <v>92</v>
      </c>
      <c r="E125" t="s">
        <v>15</v>
      </c>
      <c r="F125" t="s">
        <v>2635</v>
      </c>
      <c r="G125" t="s">
        <v>18089</v>
      </c>
      <c r="H125" t="s">
        <v>1107</v>
      </c>
      <c r="I125" t="s">
        <v>1108</v>
      </c>
      <c r="J125" t="s">
        <v>2636</v>
      </c>
      <c r="K125" t="s">
        <v>2637</v>
      </c>
      <c r="L125" t="s">
        <v>21</v>
      </c>
      <c r="M125" t="s">
        <v>19177</v>
      </c>
      <c r="N125" t="s">
        <v>97</v>
      </c>
      <c r="O125" t="s">
        <v>937</v>
      </c>
      <c r="P125" t="s">
        <v>12</v>
      </c>
    </row>
    <row r="126">
      <c r="A126">
        <f>HYPERLINK("http://bombeiros.sp.gov.br/hidrantes/03individual/2164.html","2164")</f>
      </c>
      <c r="B126" t="s">
        <v>12</v>
      </c>
      <c r="C126" t="s">
        <v>97</v>
      </c>
      <c r="D126" t="s">
        <v>98</v>
      </c>
      <c r="E126" t="s">
        <v>64</v>
      </c>
      <c r="F126" t="s">
        <v>2678</v>
      </c>
      <c r="G126" t="s">
        <v>18068</v>
      </c>
      <c r="H126" t="s">
        <v>1112</v>
      </c>
      <c r="I126" t="s">
        <v>1108</v>
      </c>
      <c r="J126" t="s">
        <v>2679</v>
      </c>
      <c r="K126" t="s">
        <v>2680</v>
      </c>
      <c r="L126" t="s">
        <v>36</v>
      </c>
      <c r="M126" t="s">
        <v>19177</v>
      </c>
      <c r="N126" t="s">
        <v>97</v>
      </c>
      <c r="O126" t="s">
        <v>937</v>
      </c>
      <c r="P126" t="s">
        <v>12</v>
      </c>
    </row>
    <row r="127">
      <c r="A127">
        <f>HYPERLINK("http://bombeiros.sp.gov.br/hidrantes/03individual/2928.html","2928")</f>
      </c>
      <c r="B127" t="s">
        <v>12</v>
      </c>
      <c r="C127" t="s">
        <v>97</v>
      </c>
      <c r="D127" t="s">
        <v>98</v>
      </c>
      <c r="E127" t="s">
        <v>15</v>
      </c>
      <c r="F127" t="s">
        <v>2735</v>
      </c>
      <c r="G127" t="s">
        <v>18050</v>
      </c>
      <c r="H127" t="s">
        <v>1112</v>
      </c>
      <c r="I127" t="s">
        <v>1108</v>
      </c>
      <c r="J127" t="s">
        <v>2736</v>
      </c>
      <c r="K127" t="s">
        <v>2737</v>
      </c>
      <c r="L127" t="s">
        <v>36</v>
      </c>
      <c r="M127" t="s">
        <v>19177</v>
      </c>
      <c r="N127" t="s">
        <v>97</v>
      </c>
      <c r="O127" t="s">
        <v>937</v>
      </c>
      <c r="P127" t="s">
        <v>12</v>
      </c>
    </row>
    <row r="128">
      <c r="A128">
        <f>HYPERLINK("http://bombeiros.sp.gov.br/hidrantes/03individual/214.html","214")</f>
      </c>
      <c r="B128" t="s">
        <v>12</v>
      </c>
      <c r="C128" t="s">
        <v>97</v>
      </c>
      <c r="D128" t="s">
        <v>102</v>
      </c>
      <c r="E128" t="s">
        <v>64</v>
      </c>
      <c r="F128" t="s">
        <v>2744</v>
      </c>
      <c r="G128" t="s">
        <v>18184</v>
      </c>
      <c r="H128" t="s">
        <v>1112</v>
      </c>
      <c r="I128" t="s">
        <v>1108</v>
      </c>
      <c r="J128" t="s">
        <v>2745</v>
      </c>
      <c r="K128" t="s">
        <v>2746</v>
      </c>
      <c r="L128" t="s">
        <v>36</v>
      </c>
      <c r="M128" t="s">
        <v>19177</v>
      </c>
      <c r="N128" t="s">
        <v>97</v>
      </c>
      <c r="O128" t="s">
        <v>937</v>
      </c>
      <c r="P128" t="s">
        <v>12</v>
      </c>
    </row>
    <row r="129">
      <c r="A129">
        <f>HYPERLINK("http://bombeiros.sp.gov.br/hidrantes/03individual/2493.html","2493")</f>
      </c>
      <c r="B129" t="s">
        <v>12</v>
      </c>
      <c r="C129" t="s">
        <v>97</v>
      </c>
      <c r="D129" t="s">
        <v>102</v>
      </c>
      <c r="E129" t="s">
        <v>64</v>
      </c>
      <c r="F129" t="s">
        <v>2747</v>
      </c>
      <c r="G129" t="s">
        <v>18099</v>
      </c>
      <c r="H129" t="s">
        <v>1107</v>
      </c>
      <c r="I129" t="s">
        <v>1108</v>
      </c>
      <c r="J129" t="s">
        <v>2748</v>
      </c>
      <c r="K129" t="s">
        <v>2749</v>
      </c>
      <c r="L129" t="s">
        <v>36</v>
      </c>
      <c r="M129" t="s">
        <v>19177</v>
      </c>
      <c r="N129" t="s">
        <v>97</v>
      </c>
      <c r="O129" t="s">
        <v>937</v>
      </c>
      <c r="P129" t="s">
        <v>12</v>
      </c>
    </row>
    <row r="130">
      <c r="A130">
        <f>HYPERLINK("http://bombeiros.sp.gov.br/hidrantes/03individual/2813.html","2813")</f>
      </c>
      <c r="B130" t="s">
        <v>12</v>
      </c>
      <c r="C130" t="s">
        <v>97</v>
      </c>
      <c r="D130" t="s">
        <v>102</v>
      </c>
      <c r="E130" t="s">
        <v>64</v>
      </c>
      <c r="F130" t="s">
        <v>2750</v>
      </c>
      <c r="G130" t="s">
        <v>18188</v>
      </c>
      <c r="H130" t="s">
        <v>1112</v>
      </c>
      <c r="I130" t="s">
        <v>1108</v>
      </c>
      <c r="J130" t="s">
        <v>2751</v>
      </c>
      <c r="K130" t="s">
        <v>2752</v>
      </c>
      <c r="L130" t="s">
        <v>36</v>
      </c>
      <c r="M130" t="s">
        <v>19177</v>
      </c>
      <c r="N130" t="s">
        <v>97</v>
      </c>
      <c r="O130" t="s">
        <v>937</v>
      </c>
      <c r="P130" t="s">
        <v>12</v>
      </c>
    </row>
    <row r="131">
      <c r="A131">
        <f>HYPERLINK("http://bombeiros.sp.gov.br/hidrantes/03individual/25204.html","25204")</f>
      </c>
      <c r="B131" t="s">
        <v>12</v>
      </c>
      <c r="C131" t="s">
        <v>97</v>
      </c>
      <c r="D131" t="s">
        <v>102</v>
      </c>
      <c r="E131" t="s">
        <v>15</v>
      </c>
      <c r="F131" t="s">
        <v>2777</v>
      </c>
      <c r="G131" t="s">
        <v>18063</v>
      </c>
      <c r="H131" t="s">
        <v>1112</v>
      </c>
      <c r="I131" t="s">
        <v>1108</v>
      </c>
      <c r="J131" t="s">
        <v>2778</v>
      </c>
      <c r="K131" t="s">
        <v>2779</v>
      </c>
      <c r="L131" t="s">
        <v>21</v>
      </c>
      <c r="M131" t="s">
        <v>19177</v>
      </c>
      <c r="N131" t="s">
        <v>97</v>
      </c>
      <c r="O131" t="s">
        <v>937</v>
      </c>
      <c r="P131" t="s">
        <v>12</v>
      </c>
    </row>
    <row r="132">
      <c r="A132">
        <f>HYPERLINK("http://bombeiros.sp.gov.br/hidrantes/03individual/808.html","808")</f>
      </c>
      <c r="B132" t="s">
        <v>12</v>
      </c>
      <c r="C132" t="s">
        <v>97</v>
      </c>
      <c r="D132" t="s">
        <v>97</v>
      </c>
      <c r="E132" t="s">
        <v>64</v>
      </c>
      <c r="F132" t="s">
        <v>2789</v>
      </c>
      <c r="G132" t="s">
        <v>18189</v>
      </c>
      <c r="H132" t="s">
        <v>1112</v>
      </c>
      <c r="I132" t="s">
        <v>1108</v>
      </c>
      <c r="J132" t="s">
        <v>2790</v>
      </c>
      <c r="K132" t="s">
        <v>2791</v>
      </c>
      <c r="L132" t="s">
        <v>36</v>
      </c>
      <c r="M132" t="s">
        <v>19177</v>
      </c>
      <c r="N132" t="s">
        <v>97</v>
      </c>
      <c r="O132" t="s">
        <v>937</v>
      </c>
      <c r="P132" t="s">
        <v>12</v>
      </c>
    </row>
    <row r="133">
      <c r="A133">
        <f>HYPERLINK("http://bombeiros.sp.gov.br/hidrantes/03individual/2166.html","2166")</f>
      </c>
      <c r="B133" t="s">
        <v>12</v>
      </c>
      <c r="C133" t="s">
        <v>97</v>
      </c>
      <c r="D133" t="s">
        <v>97</v>
      </c>
      <c r="E133" t="s">
        <v>64</v>
      </c>
      <c r="F133" t="s">
        <v>2792</v>
      </c>
      <c r="G133" t="s">
        <v>18068</v>
      </c>
      <c r="H133" t="s">
        <v>1112</v>
      </c>
      <c r="I133" t="s">
        <v>1108</v>
      </c>
      <c r="J133" t="s">
        <v>2793</v>
      </c>
      <c r="K133" t="s">
        <v>2794</v>
      </c>
      <c r="L133" t="s">
        <v>21</v>
      </c>
      <c r="M133" t="s">
        <v>19177</v>
      </c>
      <c r="N133" t="s">
        <v>97</v>
      </c>
      <c r="O133" t="s">
        <v>937</v>
      </c>
      <c r="P133" t="s">
        <v>12</v>
      </c>
    </row>
    <row r="134">
      <c r="A134">
        <f>HYPERLINK("http://bombeiros.sp.gov.br/hidrantes/03individual/2792.html","2792")</f>
      </c>
      <c r="B134" t="s">
        <v>12</v>
      </c>
      <c r="C134" t="s">
        <v>97</v>
      </c>
      <c r="D134" t="s">
        <v>97</v>
      </c>
      <c r="E134" t="s">
        <v>64</v>
      </c>
      <c r="F134" t="s">
        <v>2810</v>
      </c>
      <c r="G134" t="s">
        <v>18076</v>
      </c>
      <c r="H134" t="s">
        <v>1121</v>
      </c>
      <c r="I134" t="s">
        <v>1117</v>
      </c>
      <c r="J134" t="s">
        <v>2811</v>
      </c>
      <c r="K134" t="s">
        <v>2812</v>
      </c>
      <c r="L134" t="s">
        <v>21</v>
      </c>
      <c r="M134" t="s">
        <v>19177</v>
      </c>
      <c r="N134" t="s">
        <v>97</v>
      </c>
      <c r="O134" t="s">
        <v>937</v>
      </c>
      <c r="P134" t="s">
        <v>12</v>
      </c>
    </row>
    <row r="135">
      <c r="A135">
        <f>HYPERLINK("http://bombeiros.sp.gov.br/hidrantes/03individual/14.html","14")</f>
      </c>
      <c r="B135" t="s">
        <v>12</v>
      </c>
      <c r="C135" t="s">
        <v>97</v>
      </c>
      <c r="D135" t="s">
        <v>97</v>
      </c>
      <c r="E135" t="s">
        <v>15</v>
      </c>
      <c r="F135" t="s">
        <v>2819</v>
      </c>
      <c r="G135" t="s">
        <v>18073</v>
      </c>
      <c r="H135" t="s">
        <v>1112</v>
      </c>
      <c r="I135" t="s">
        <v>1108</v>
      </c>
      <c r="J135" t="s">
        <v>2820</v>
      </c>
      <c r="K135" t="s">
        <v>2821</v>
      </c>
      <c r="L135" t="s">
        <v>21</v>
      </c>
      <c r="M135" t="s">
        <v>19177</v>
      </c>
      <c r="N135" t="s">
        <v>97</v>
      </c>
      <c r="O135" t="s">
        <v>937</v>
      </c>
      <c r="P135" t="s">
        <v>12</v>
      </c>
    </row>
    <row r="136">
      <c r="A136">
        <f>HYPERLINK("http://bombeiros.sp.gov.br/hidrantes/03individual/3251.html","3251")</f>
      </c>
      <c r="B136" t="s">
        <v>114</v>
      </c>
      <c r="C136" t="s">
        <v>115</v>
      </c>
      <c r="D136" t="s">
        <v>115</v>
      </c>
      <c r="E136" t="s">
        <v>64</v>
      </c>
      <c r="F136" t="s">
        <v>2877</v>
      </c>
      <c r="G136" t="s">
        <v>18097</v>
      </c>
      <c r="H136" t="s">
        <v>1112</v>
      </c>
      <c r="I136" t="s">
        <v>1108</v>
      </c>
      <c r="J136" t="s">
        <v>2878</v>
      </c>
      <c r="K136" t="s">
        <v>2879</v>
      </c>
      <c r="L136" t="s">
        <v>36</v>
      </c>
      <c r="M136" t="s">
        <v>19177</v>
      </c>
      <c r="N136" t="s">
        <v>300</v>
      </c>
      <c r="O136" t="s">
        <v>16373</v>
      </c>
      <c r="P136" t="s">
        <v>12</v>
      </c>
    </row>
    <row r="137">
      <c r="A137">
        <f>HYPERLINK("http://bombeiros.sp.gov.br/hidrantes/03individual/16558.html","16558")</f>
      </c>
      <c r="B137" t="s">
        <v>114</v>
      </c>
      <c r="C137" t="s">
        <v>115</v>
      </c>
      <c r="D137" t="s">
        <v>115</v>
      </c>
      <c r="E137" t="s">
        <v>64</v>
      </c>
      <c r="F137" t="s">
        <v>2880</v>
      </c>
      <c r="G137" t="s">
        <v>18076</v>
      </c>
      <c r="H137" t="s">
        <v>1112</v>
      </c>
      <c r="I137" t="s">
        <v>1108</v>
      </c>
      <c r="J137" t="s">
        <v>2881</v>
      </c>
      <c r="K137" t="s">
        <v>2882</v>
      </c>
      <c r="L137" t="s">
        <v>21</v>
      </c>
      <c r="M137" t="s">
        <v>19177</v>
      </c>
      <c r="N137" t="s">
        <v>300</v>
      </c>
      <c r="O137" t="s">
        <v>16373</v>
      </c>
      <c r="P137" t="s">
        <v>12</v>
      </c>
    </row>
    <row r="138">
      <c r="A138">
        <f>HYPERLINK("http://bombeiros.sp.gov.br/hidrantes/03individual/26882.html","26882")</f>
      </c>
      <c r="B138" t="s">
        <v>114</v>
      </c>
      <c r="C138" t="s">
        <v>115</v>
      </c>
      <c r="D138" t="s">
        <v>115</v>
      </c>
      <c r="E138" t="s">
        <v>15</v>
      </c>
      <c r="F138" t="s">
        <v>16281</v>
      </c>
      <c r="G138" t="s">
        <v>18045</v>
      </c>
      <c r="H138" t="s">
        <v>1112</v>
      </c>
      <c r="I138" t="s">
        <v>1108</v>
      </c>
      <c r="J138" t="s">
        <v>16282</v>
      </c>
      <c r="K138" t="s">
        <v>16283</v>
      </c>
      <c r="L138" t="s">
        <v>21</v>
      </c>
      <c r="M138" t="s">
        <v>19177</v>
      </c>
      <c r="N138" t="s">
        <v>300</v>
      </c>
      <c r="O138" t="s">
        <v>16373</v>
      </c>
      <c r="P138" t="s">
        <v>12</v>
      </c>
    </row>
    <row r="139">
      <c r="A139">
        <f>HYPERLINK("http://bombeiros.sp.gov.br/hidrantes/03individual/1595.html","1595")</f>
      </c>
      <c r="B139" t="s">
        <v>114</v>
      </c>
      <c r="C139" t="s">
        <v>115</v>
      </c>
      <c r="D139" t="s">
        <v>120</v>
      </c>
      <c r="E139" t="s">
        <v>64</v>
      </c>
      <c r="F139" t="s">
        <v>2958</v>
      </c>
      <c r="G139" t="s">
        <v>18143</v>
      </c>
      <c r="H139" t="s">
        <v>1112</v>
      </c>
      <c r="I139" t="s">
        <v>1108</v>
      </c>
      <c r="J139" t="s">
        <v>16153</v>
      </c>
      <c r="K139" t="s">
        <v>16154</v>
      </c>
      <c r="L139" t="s">
        <v>21</v>
      </c>
      <c r="M139" t="s">
        <v>19177</v>
      </c>
      <c r="N139" t="s">
        <v>300</v>
      </c>
      <c r="O139" t="s">
        <v>16373</v>
      </c>
      <c r="P139" t="s">
        <v>12</v>
      </c>
    </row>
    <row r="140">
      <c r="A140">
        <f>HYPERLINK("http://bombeiros.sp.gov.br/hidrantes/03individual/3213.html","3213")</f>
      </c>
      <c r="B140" t="s">
        <v>114</v>
      </c>
      <c r="C140" t="s">
        <v>115</v>
      </c>
      <c r="D140" t="s">
        <v>120</v>
      </c>
      <c r="E140" t="s">
        <v>64</v>
      </c>
      <c r="F140" t="s">
        <v>2961</v>
      </c>
      <c r="G140" t="s">
        <v>18143</v>
      </c>
      <c r="H140" t="s">
        <v>1112</v>
      </c>
      <c r="I140" t="s">
        <v>1108</v>
      </c>
      <c r="J140" t="s">
        <v>2962</v>
      </c>
      <c r="K140" t="s">
        <v>2963</v>
      </c>
      <c r="L140" t="s">
        <v>36</v>
      </c>
      <c r="M140" t="s">
        <v>19177</v>
      </c>
      <c r="N140" t="s">
        <v>300</v>
      </c>
      <c r="O140" t="s">
        <v>16373</v>
      </c>
      <c r="P140" t="s">
        <v>12</v>
      </c>
    </row>
    <row r="141">
      <c r="A141">
        <f>HYPERLINK("http://bombeiros.sp.gov.br/hidrantes/03individual/1597.html","1597")</f>
      </c>
      <c r="B141" t="s">
        <v>114</v>
      </c>
      <c r="C141" t="s">
        <v>115</v>
      </c>
      <c r="D141" t="s">
        <v>120</v>
      </c>
      <c r="E141" t="s">
        <v>15</v>
      </c>
      <c r="F141" t="s">
        <v>2967</v>
      </c>
      <c r="G141" t="s">
        <v>18107</v>
      </c>
      <c r="H141" t="s">
        <v>1112</v>
      </c>
      <c r="I141" t="s">
        <v>1108</v>
      </c>
      <c r="J141" t="s">
        <v>2968</v>
      </c>
      <c r="K141" t="s">
        <v>2969</v>
      </c>
      <c r="L141" t="s">
        <v>21</v>
      </c>
      <c r="M141" t="s">
        <v>19177</v>
      </c>
      <c r="N141" t="s">
        <v>300</v>
      </c>
      <c r="O141" t="s">
        <v>16373</v>
      </c>
      <c r="P141" t="s">
        <v>12</v>
      </c>
    </row>
    <row r="142">
      <c r="A142">
        <f>HYPERLINK("http://bombeiros.sp.gov.br/hidrantes/03individual/1660.html","1660")</f>
      </c>
      <c r="B142" t="s">
        <v>114</v>
      </c>
      <c r="C142" t="s">
        <v>115</v>
      </c>
      <c r="D142" t="s">
        <v>120</v>
      </c>
      <c r="E142" t="s">
        <v>15</v>
      </c>
      <c r="F142" t="s">
        <v>2973</v>
      </c>
      <c r="G142" t="s">
        <v>18076</v>
      </c>
      <c r="H142" t="s">
        <v>1112</v>
      </c>
      <c r="I142" t="s">
        <v>1108</v>
      </c>
      <c r="J142" t="s">
        <v>2974</v>
      </c>
      <c r="K142" t="s">
        <v>2975</v>
      </c>
      <c r="L142" t="s">
        <v>21</v>
      </c>
      <c r="M142" t="s">
        <v>19177</v>
      </c>
      <c r="N142" t="s">
        <v>300</v>
      </c>
      <c r="O142" t="s">
        <v>16373</v>
      </c>
      <c r="P142" t="s">
        <v>12</v>
      </c>
    </row>
    <row r="143">
      <c r="A143">
        <f>HYPERLINK("http://bombeiros.sp.gov.br/hidrantes/03individual/3108.html","3108")</f>
      </c>
      <c r="B143" t="s">
        <v>114</v>
      </c>
      <c r="C143" t="s">
        <v>115</v>
      </c>
      <c r="D143" t="s">
        <v>120</v>
      </c>
      <c r="E143" t="s">
        <v>15</v>
      </c>
      <c r="F143" t="s">
        <v>2979</v>
      </c>
      <c r="G143" t="s">
        <v>18143</v>
      </c>
      <c r="H143" t="s">
        <v>1107</v>
      </c>
      <c r="I143" t="s">
        <v>1108</v>
      </c>
      <c r="J143" t="s">
        <v>2980</v>
      </c>
      <c r="K143" t="s">
        <v>2981</v>
      </c>
      <c r="L143" t="s">
        <v>21</v>
      </c>
      <c r="M143" t="s">
        <v>19177</v>
      </c>
      <c r="N143" t="s">
        <v>300</v>
      </c>
      <c r="O143" t="s">
        <v>16373</v>
      </c>
      <c r="P143" t="s">
        <v>12</v>
      </c>
    </row>
    <row r="144">
      <c r="A144">
        <f>HYPERLINK("http://bombeiros.sp.gov.br/hidrantes/03individual/3207.html","3207")</f>
      </c>
      <c r="B144" t="s">
        <v>114</v>
      </c>
      <c r="C144" t="s">
        <v>115</v>
      </c>
      <c r="D144" t="s">
        <v>120</v>
      </c>
      <c r="E144" t="s">
        <v>15</v>
      </c>
      <c r="F144" t="s">
        <v>2982</v>
      </c>
      <c r="G144" t="s">
        <v>18107</v>
      </c>
      <c r="H144" t="s">
        <v>1112</v>
      </c>
      <c r="I144" t="s">
        <v>1108</v>
      </c>
      <c r="J144" t="s">
        <v>16162</v>
      </c>
      <c r="K144" t="s">
        <v>16163</v>
      </c>
      <c r="L144" t="s">
        <v>21</v>
      </c>
      <c r="M144" t="s">
        <v>19177</v>
      </c>
      <c r="N144" t="s">
        <v>300</v>
      </c>
      <c r="O144" t="s">
        <v>16373</v>
      </c>
      <c r="P144" t="s">
        <v>12</v>
      </c>
    </row>
    <row r="145">
      <c r="A145">
        <f>HYPERLINK("http://bombeiros.sp.gov.br/hidrantes/03individual/4420.html","4420")</f>
      </c>
      <c r="B145" t="s">
        <v>114</v>
      </c>
      <c r="C145" t="s">
        <v>115</v>
      </c>
      <c r="D145" t="s">
        <v>120</v>
      </c>
      <c r="E145" t="s">
        <v>15</v>
      </c>
      <c r="F145" t="s">
        <v>2991</v>
      </c>
      <c r="G145" t="s">
        <v>18107</v>
      </c>
      <c r="H145" t="s">
        <v>1112</v>
      </c>
      <c r="I145" t="s">
        <v>1108</v>
      </c>
      <c r="J145" t="s">
        <v>2992</v>
      </c>
      <c r="K145" t="s">
        <v>2993</v>
      </c>
      <c r="L145" t="s">
        <v>21</v>
      </c>
      <c r="M145" t="s">
        <v>19177</v>
      </c>
      <c r="N145" t="s">
        <v>300</v>
      </c>
      <c r="O145" t="s">
        <v>16373</v>
      </c>
      <c r="P145" t="s">
        <v>12</v>
      </c>
    </row>
    <row r="146">
      <c r="A146">
        <f>HYPERLINK("http://bombeiros.sp.gov.br/hidrantes/03individual/25219.html","25219")</f>
      </c>
      <c r="B146" t="s">
        <v>114</v>
      </c>
      <c r="C146" t="s">
        <v>115</v>
      </c>
      <c r="D146" t="s">
        <v>120</v>
      </c>
      <c r="E146" t="s">
        <v>15</v>
      </c>
      <c r="F146" t="s">
        <v>2994</v>
      </c>
      <c r="G146" t="s">
        <v>18076</v>
      </c>
      <c r="H146" t="s">
        <v>1112</v>
      </c>
      <c r="I146" t="s">
        <v>1108</v>
      </c>
      <c r="J146" t="s">
        <v>2995</v>
      </c>
      <c r="K146" t="s">
        <v>2996</v>
      </c>
      <c r="L146" t="s">
        <v>21</v>
      </c>
      <c r="M146" t="s">
        <v>19177</v>
      </c>
      <c r="N146" t="s">
        <v>300</v>
      </c>
      <c r="O146" t="s">
        <v>16373</v>
      </c>
      <c r="P146" t="s">
        <v>12</v>
      </c>
    </row>
    <row r="147">
      <c r="A147">
        <f>HYPERLINK("http://bombeiros.sp.gov.br/hidrantes/03individual/1029.html","1029")</f>
      </c>
      <c r="B147" t="s">
        <v>114</v>
      </c>
      <c r="C147" t="s">
        <v>115</v>
      </c>
      <c r="D147" t="s">
        <v>2997</v>
      </c>
      <c r="E147" t="s">
        <v>64</v>
      </c>
      <c r="F147" t="s">
        <v>2998</v>
      </c>
      <c r="G147" t="s">
        <v>18051</v>
      </c>
      <c r="H147" t="s">
        <v>1107</v>
      </c>
      <c r="I147" t="s">
        <v>1108</v>
      </c>
      <c r="J147" t="s">
        <v>2999</v>
      </c>
      <c r="K147" t="s">
        <v>3000</v>
      </c>
      <c r="L147" t="s">
        <v>36</v>
      </c>
      <c r="M147" t="s">
        <v>19177</v>
      </c>
      <c r="N147" t="s">
        <v>300</v>
      </c>
      <c r="O147" t="s">
        <v>16373</v>
      </c>
      <c r="P147" t="s">
        <v>12</v>
      </c>
    </row>
    <row r="148">
      <c r="A148">
        <f>HYPERLINK("http://bombeiros.sp.gov.br/hidrantes/03individual/1593.html","1593")</f>
      </c>
      <c r="B148" t="s">
        <v>114</v>
      </c>
      <c r="C148" t="s">
        <v>115</v>
      </c>
      <c r="D148" t="s">
        <v>2997</v>
      </c>
      <c r="E148" t="s">
        <v>64</v>
      </c>
      <c r="F148" t="s">
        <v>3001</v>
      </c>
      <c r="G148" t="s">
        <v>18107</v>
      </c>
      <c r="H148" t="s">
        <v>1112</v>
      </c>
      <c r="I148" t="s">
        <v>1108</v>
      </c>
      <c r="J148" t="s">
        <v>3002</v>
      </c>
      <c r="K148" t="s">
        <v>3003</v>
      </c>
      <c r="L148" t="s">
        <v>36</v>
      </c>
      <c r="M148" t="s">
        <v>19177</v>
      </c>
      <c r="N148" t="s">
        <v>300</v>
      </c>
      <c r="O148" t="s">
        <v>16373</v>
      </c>
      <c r="P148" t="s">
        <v>12</v>
      </c>
    </row>
    <row r="149">
      <c r="A149">
        <f>HYPERLINK("http://bombeiros.sp.gov.br/hidrantes/03individual/3240.html","3240")</f>
      </c>
      <c r="B149" t="s">
        <v>114</v>
      </c>
      <c r="C149" t="s">
        <v>115</v>
      </c>
      <c r="D149" t="s">
        <v>2997</v>
      </c>
      <c r="E149" t="s">
        <v>64</v>
      </c>
      <c r="F149" t="s">
        <v>3007</v>
      </c>
      <c r="G149" t="s">
        <v>18090</v>
      </c>
      <c r="H149" t="s">
        <v>1112</v>
      </c>
      <c r="I149" t="s">
        <v>1108</v>
      </c>
      <c r="J149" t="s">
        <v>3008</v>
      </c>
      <c r="K149" t="s">
        <v>3009</v>
      </c>
      <c r="L149" t="s">
        <v>21</v>
      </c>
      <c r="M149" t="s">
        <v>19177</v>
      </c>
      <c r="N149" t="s">
        <v>300</v>
      </c>
      <c r="O149" t="s">
        <v>16373</v>
      </c>
      <c r="P149" t="s">
        <v>12</v>
      </c>
    </row>
    <row r="150">
      <c r="A150">
        <f>HYPERLINK("http://bombeiros.sp.gov.br/hidrantes/03individual/1658.html","1658")</f>
      </c>
      <c r="B150" t="s">
        <v>114</v>
      </c>
      <c r="C150" t="s">
        <v>115</v>
      </c>
      <c r="D150" t="s">
        <v>2997</v>
      </c>
      <c r="E150" t="s">
        <v>15</v>
      </c>
      <c r="F150" t="s">
        <v>3016</v>
      </c>
      <c r="G150" t="s">
        <v>18096</v>
      </c>
      <c r="H150" t="s">
        <v>1112</v>
      </c>
      <c r="I150" t="s">
        <v>1108</v>
      </c>
      <c r="J150" t="s">
        <v>3017</v>
      </c>
      <c r="K150" t="s">
        <v>3018</v>
      </c>
      <c r="L150" t="s">
        <v>21</v>
      </c>
      <c r="M150" t="s">
        <v>19177</v>
      </c>
      <c r="N150" t="s">
        <v>300</v>
      </c>
      <c r="O150" t="s">
        <v>16373</v>
      </c>
      <c r="P150" t="s">
        <v>12</v>
      </c>
    </row>
    <row r="151">
      <c r="A151">
        <f>HYPERLINK("http://bombeiros.sp.gov.br/hidrantes/03individual/3102.html","3102")</f>
      </c>
      <c r="B151" t="s">
        <v>114</v>
      </c>
      <c r="C151" t="s">
        <v>115</v>
      </c>
      <c r="D151" t="s">
        <v>2997</v>
      </c>
      <c r="E151" t="s">
        <v>15</v>
      </c>
      <c r="F151" t="s">
        <v>3019</v>
      </c>
      <c r="G151" t="s">
        <v>18046</v>
      </c>
      <c r="H151" t="s">
        <v>1112</v>
      </c>
      <c r="I151" t="s">
        <v>1108</v>
      </c>
      <c r="J151" t="s">
        <v>3020</v>
      </c>
      <c r="K151" t="s">
        <v>3021</v>
      </c>
      <c r="L151" t="s">
        <v>21</v>
      </c>
      <c r="M151" t="s">
        <v>19177</v>
      </c>
      <c r="N151" t="s">
        <v>300</v>
      </c>
      <c r="O151" t="s">
        <v>16373</v>
      </c>
      <c r="P151" t="s">
        <v>12</v>
      </c>
    </row>
    <row r="152">
      <c r="A152">
        <f>HYPERLINK("http://bombeiros.sp.gov.br/hidrantes/03individual/3104.html","3104")</f>
      </c>
      <c r="B152" t="s">
        <v>114</v>
      </c>
      <c r="C152" t="s">
        <v>115</v>
      </c>
      <c r="D152" t="s">
        <v>2997</v>
      </c>
      <c r="E152" t="s">
        <v>15</v>
      </c>
      <c r="F152" t="s">
        <v>3025</v>
      </c>
      <c r="G152" t="s">
        <v>18046</v>
      </c>
      <c r="H152" t="s">
        <v>1112</v>
      </c>
      <c r="I152" t="s">
        <v>1108</v>
      </c>
      <c r="J152" t="s">
        <v>3026</v>
      </c>
      <c r="K152" t="s">
        <v>3027</v>
      </c>
      <c r="L152" t="s">
        <v>21</v>
      </c>
      <c r="M152" t="s">
        <v>19177</v>
      </c>
      <c r="N152" t="s">
        <v>300</v>
      </c>
      <c r="O152" t="s">
        <v>16373</v>
      </c>
      <c r="P152" t="s">
        <v>12</v>
      </c>
    </row>
    <row r="153">
      <c r="A153">
        <f>HYPERLINK("http://bombeiros.sp.gov.br/hidrantes/03individual/3105.html","3105")</f>
      </c>
      <c r="B153" t="s">
        <v>114</v>
      </c>
      <c r="C153" t="s">
        <v>115</v>
      </c>
      <c r="D153" t="s">
        <v>2997</v>
      </c>
      <c r="E153" t="s">
        <v>15</v>
      </c>
      <c r="F153" t="s">
        <v>3028</v>
      </c>
      <c r="G153" t="s">
        <v>18046</v>
      </c>
      <c r="H153" t="s">
        <v>1112</v>
      </c>
      <c r="I153" t="s">
        <v>1108</v>
      </c>
      <c r="J153" t="s">
        <v>3029</v>
      </c>
      <c r="K153" t="s">
        <v>3030</v>
      </c>
      <c r="L153" t="s">
        <v>21</v>
      </c>
      <c r="M153" t="s">
        <v>19177</v>
      </c>
      <c r="N153" t="s">
        <v>300</v>
      </c>
      <c r="O153" t="s">
        <v>16373</v>
      </c>
      <c r="P153" t="s">
        <v>12</v>
      </c>
    </row>
    <row r="154">
      <c r="A154">
        <f>HYPERLINK("http://bombeiros.sp.gov.br/hidrantes/03individual/3134.html","3134")</f>
      </c>
      <c r="B154" t="s">
        <v>114</v>
      </c>
      <c r="C154" t="s">
        <v>115</v>
      </c>
      <c r="D154" t="s">
        <v>2997</v>
      </c>
      <c r="E154" t="s">
        <v>15</v>
      </c>
      <c r="F154" t="s">
        <v>3031</v>
      </c>
      <c r="G154" t="s">
        <v>18076</v>
      </c>
      <c r="H154" t="s">
        <v>1112</v>
      </c>
      <c r="I154" t="s">
        <v>1108</v>
      </c>
      <c r="J154" t="s">
        <v>3032</v>
      </c>
      <c r="K154" t="s">
        <v>3033</v>
      </c>
      <c r="L154" t="s">
        <v>21</v>
      </c>
      <c r="M154" t="s">
        <v>19177</v>
      </c>
      <c r="N154" t="s">
        <v>300</v>
      </c>
      <c r="O154" t="s">
        <v>16373</v>
      </c>
      <c r="P154" t="s">
        <v>12</v>
      </c>
    </row>
    <row r="155">
      <c r="A155">
        <f>HYPERLINK("http://bombeiros.sp.gov.br/hidrantes/03individual/3239.html","3239")</f>
      </c>
      <c r="B155" t="s">
        <v>114</v>
      </c>
      <c r="C155" t="s">
        <v>115</v>
      </c>
      <c r="D155" t="s">
        <v>2997</v>
      </c>
      <c r="E155" t="s">
        <v>15</v>
      </c>
      <c r="F155" t="s">
        <v>3037</v>
      </c>
      <c r="G155" t="s">
        <v>18143</v>
      </c>
      <c r="H155" t="s">
        <v>1107</v>
      </c>
      <c r="I155" t="s">
        <v>1108</v>
      </c>
      <c r="J155" t="s">
        <v>17448</v>
      </c>
      <c r="K155" t="s">
        <v>17449</v>
      </c>
      <c r="L155" t="s">
        <v>21</v>
      </c>
      <c r="M155" t="s">
        <v>19177</v>
      </c>
      <c r="N155" t="s">
        <v>300</v>
      </c>
      <c r="O155" t="s">
        <v>16373</v>
      </c>
      <c r="P155" t="s">
        <v>12</v>
      </c>
    </row>
    <row r="156">
      <c r="A156">
        <f>HYPERLINK("http://bombeiros.sp.gov.br/hidrantes/03individual/2970.html","2970")</f>
      </c>
      <c r="B156" t="s">
        <v>114</v>
      </c>
      <c r="C156" t="s">
        <v>124</v>
      </c>
      <c r="D156" t="s">
        <v>124</v>
      </c>
      <c r="E156" t="s">
        <v>64</v>
      </c>
      <c r="F156" t="s">
        <v>3043</v>
      </c>
      <c r="G156" t="s">
        <v>18129</v>
      </c>
      <c r="H156" t="s">
        <v>1112</v>
      </c>
      <c r="I156" t="s">
        <v>1108</v>
      </c>
      <c r="J156" t="s">
        <v>3044</v>
      </c>
      <c r="K156" t="s">
        <v>3045</v>
      </c>
      <c r="L156" t="s">
        <v>36</v>
      </c>
      <c r="M156" t="s">
        <v>19177</v>
      </c>
      <c r="N156" t="s">
        <v>300</v>
      </c>
      <c r="O156" t="s">
        <v>16373</v>
      </c>
      <c r="P156" t="s">
        <v>12</v>
      </c>
    </row>
    <row r="157">
      <c r="A157">
        <f>HYPERLINK("http://bombeiros.sp.gov.br/hidrantes/03individual/3006.html","3006")</f>
      </c>
      <c r="B157" t="s">
        <v>114</v>
      </c>
      <c r="C157" t="s">
        <v>124</v>
      </c>
      <c r="D157" t="s">
        <v>124</v>
      </c>
      <c r="E157" t="s">
        <v>64</v>
      </c>
      <c r="F157" t="s">
        <v>3056</v>
      </c>
      <c r="G157" t="s">
        <v>18085</v>
      </c>
      <c r="H157" t="s">
        <v>1112</v>
      </c>
      <c r="I157" t="s">
        <v>1108</v>
      </c>
      <c r="J157" t="s">
        <v>3057</v>
      </c>
      <c r="K157" t="s">
        <v>3058</v>
      </c>
      <c r="L157" t="s">
        <v>36</v>
      </c>
      <c r="M157" t="s">
        <v>19177</v>
      </c>
      <c r="N157" t="s">
        <v>300</v>
      </c>
      <c r="O157" t="s">
        <v>16373</v>
      </c>
      <c r="P157" t="s">
        <v>12</v>
      </c>
    </row>
    <row r="158">
      <c r="A158">
        <f>HYPERLINK("http://bombeiros.sp.gov.br/hidrantes/03individual/4289.html","4289")</f>
      </c>
      <c r="B158" t="s">
        <v>114</v>
      </c>
      <c r="C158" t="s">
        <v>124</v>
      </c>
      <c r="D158" t="s">
        <v>124</v>
      </c>
      <c r="E158" t="s">
        <v>64</v>
      </c>
      <c r="F158" t="s">
        <v>3062</v>
      </c>
      <c r="G158" t="s">
        <v>18085</v>
      </c>
      <c r="H158" t="s">
        <v>1112</v>
      </c>
      <c r="I158" t="s">
        <v>1108</v>
      </c>
      <c r="J158" t="s">
        <v>3063</v>
      </c>
      <c r="K158" t="s">
        <v>3064</v>
      </c>
      <c r="L158" t="s">
        <v>36</v>
      </c>
      <c r="M158" t="s">
        <v>19177</v>
      </c>
      <c r="N158" t="s">
        <v>300</v>
      </c>
      <c r="O158" t="s">
        <v>16373</v>
      </c>
      <c r="P158" t="s">
        <v>12</v>
      </c>
    </row>
    <row r="159">
      <c r="A159">
        <f>HYPERLINK("http://bombeiros.sp.gov.br/hidrantes/03individual/15220.html","15220")</f>
      </c>
      <c r="B159" t="s">
        <v>114</v>
      </c>
      <c r="C159" t="s">
        <v>124</v>
      </c>
      <c r="D159" t="s">
        <v>124</v>
      </c>
      <c r="E159" t="s">
        <v>64</v>
      </c>
      <c r="F159" t="s">
        <v>3065</v>
      </c>
      <c r="G159" t="s">
        <v>18067</v>
      </c>
      <c r="H159" t="s">
        <v>1112</v>
      </c>
      <c r="I159" t="s">
        <v>1108</v>
      </c>
      <c r="J159" t="s">
        <v>3066</v>
      </c>
      <c r="K159" t="s">
        <v>3067</v>
      </c>
      <c r="L159" t="s">
        <v>21</v>
      </c>
      <c r="M159" t="s">
        <v>19177</v>
      </c>
      <c r="N159" t="s">
        <v>300</v>
      </c>
      <c r="O159" t="s">
        <v>16373</v>
      </c>
      <c r="P159" t="s">
        <v>12</v>
      </c>
    </row>
    <row r="160">
      <c r="A160">
        <f>HYPERLINK("http://bombeiros.sp.gov.br/hidrantes/03individual/3003.html","3003")</f>
      </c>
      <c r="B160" t="s">
        <v>114</v>
      </c>
      <c r="C160" t="s">
        <v>124</v>
      </c>
      <c r="D160" t="s">
        <v>124</v>
      </c>
      <c r="E160" t="s">
        <v>15</v>
      </c>
      <c r="F160" t="s">
        <v>3089</v>
      </c>
      <c r="G160" t="s">
        <v>18075</v>
      </c>
      <c r="H160" t="s">
        <v>1112</v>
      </c>
      <c r="I160" t="s">
        <v>1108</v>
      </c>
      <c r="J160" t="s">
        <v>3090</v>
      </c>
      <c r="K160" t="s">
        <v>3091</v>
      </c>
      <c r="L160" t="s">
        <v>21</v>
      </c>
      <c r="M160" t="s">
        <v>19177</v>
      </c>
      <c r="N160" t="s">
        <v>300</v>
      </c>
      <c r="O160" t="s">
        <v>16373</v>
      </c>
      <c r="P160" t="s">
        <v>12</v>
      </c>
    </row>
    <row r="161">
      <c r="A161">
        <f>HYPERLINK("http://bombeiros.sp.gov.br/hidrantes/03individual/3007.html","3007")</f>
      </c>
      <c r="B161" t="s">
        <v>114</v>
      </c>
      <c r="C161" t="s">
        <v>124</v>
      </c>
      <c r="D161" t="s">
        <v>124</v>
      </c>
      <c r="E161" t="s">
        <v>15</v>
      </c>
      <c r="F161" t="s">
        <v>3095</v>
      </c>
      <c r="G161" t="s">
        <v>18067</v>
      </c>
      <c r="H161" t="s">
        <v>1112</v>
      </c>
      <c r="I161" t="s">
        <v>1108</v>
      </c>
      <c r="J161" t="s">
        <v>16522</v>
      </c>
      <c r="K161" t="s">
        <v>16523</v>
      </c>
      <c r="L161" t="s">
        <v>21</v>
      </c>
      <c r="M161" t="s">
        <v>19177</v>
      </c>
      <c r="N161" t="s">
        <v>300</v>
      </c>
      <c r="O161" t="s">
        <v>16373</v>
      </c>
      <c r="P161" t="s">
        <v>12</v>
      </c>
    </row>
    <row r="162">
      <c r="A162">
        <f>HYPERLINK("http://bombeiros.sp.gov.br/hidrantes/03individual/3008.html","3008")</f>
      </c>
      <c r="B162" t="s">
        <v>114</v>
      </c>
      <c r="C162" t="s">
        <v>124</v>
      </c>
      <c r="D162" t="s">
        <v>124</v>
      </c>
      <c r="E162" t="s">
        <v>15</v>
      </c>
      <c r="F162" t="s">
        <v>3098</v>
      </c>
      <c r="G162" t="s">
        <v>18074</v>
      </c>
      <c r="H162" t="s">
        <v>1112</v>
      </c>
      <c r="I162" t="s">
        <v>1108</v>
      </c>
      <c r="J162" t="s">
        <v>3099</v>
      </c>
      <c r="K162" t="s">
        <v>3100</v>
      </c>
      <c r="L162" t="s">
        <v>21</v>
      </c>
      <c r="M162" t="s">
        <v>19177</v>
      </c>
      <c r="N162" t="s">
        <v>300</v>
      </c>
      <c r="O162" t="s">
        <v>16373</v>
      </c>
      <c r="P162" t="s">
        <v>12</v>
      </c>
    </row>
    <row r="163">
      <c r="A163">
        <f>HYPERLINK("http://bombeiros.sp.gov.br/hidrantes/03individual/3244.html","3244")</f>
      </c>
      <c r="B163" t="s">
        <v>114</v>
      </c>
      <c r="C163" t="s">
        <v>124</v>
      </c>
      <c r="D163" t="s">
        <v>124</v>
      </c>
      <c r="E163" t="s">
        <v>15</v>
      </c>
      <c r="F163" t="s">
        <v>3101</v>
      </c>
      <c r="G163" t="s">
        <v>18099</v>
      </c>
      <c r="H163" t="s">
        <v>1112</v>
      </c>
      <c r="I163" t="s">
        <v>1108</v>
      </c>
      <c r="J163" t="s">
        <v>3102</v>
      </c>
      <c r="K163" t="s">
        <v>3103</v>
      </c>
      <c r="L163" t="s">
        <v>36</v>
      </c>
      <c r="M163" t="s">
        <v>19177</v>
      </c>
      <c r="N163" t="s">
        <v>300</v>
      </c>
      <c r="O163" t="s">
        <v>16373</v>
      </c>
      <c r="P163" t="s">
        <v>12</v>
      </c>
    </row>
    <row r="164">
      <c r="A164">
        <f>HYPERLINK("http://bombeiros.sp.gov.br/hidrantes/03individual/993.html","993")</f>
      </c>
      <c r="B164" t="s">
        <v>114</v>
      </c>
      <c r="C164" t="s">
        <v>124</v>
      </c>
      <c r="D164" t="s">
        <v>3107</v>
      </c>
      <c r="E164" t="s">
        <v>64</v>
      </c>
      <c r="F164" t="s">
        <v>3123</v>
      </c>
      <c r="G164" t="s">
        <v>18075</v>
      </c>
      <c r="H164" t="s">
        <v>1112</v>
      </c>
      <c r="I164" t="s">
        <v>1108</v>
      </c>
      <c r="J164" t="s">
        <v>3124</v>
      </c>
      <c r="K164" t="s">
        <v>3125</v>
      </c>
      <c r="L164" t="s">
        <v>21</v>
      </c>
      <c r="M164" t="s">
        <v>19177</v>
      </c>
      <c r="N164" t="s">
        <v>300</v>
      </c>
      <c r="O164" t="s">
        <v>16373</v>
      </c>
      <c r="P164" t="s">
        <v>12</v>
      </c>
    </row>
    <row r="165">
      <c r="A165">
        <f>HYPERLINK("http://bombeiros.sp.gov.br/hidrantes/03individual/2999.html","2999")</f>
      </c>
      <c r="B165" t="s">
        <v>114</v>
      </c>
      <c r="C165" t="s">
        <v>124</v>
      </c>
      <c r="D165" t="s">
        <v>3107</v>
      </c>
      <c r="E165" t="s">
        <v>64</v>
      </c>
      <c r="F165" t="s">
        <v>3132</v>
      </c>
      <c r="G165" t="s">
        <v>18195</v>
      </c>
      <c r="H165" t="s">
        <v>1112</v>
      </c>
      <c r="I165" t="s">
        <v>1108</v>
      </c>
      <c r="J165" t="s">
        <v>3133</v>
      </c>
      <c r="K165" t="s">
        <v>3134</v>
      </c>
      <c r="L165" t="s">
        <v>21</v>
      </c>
      <c r="M165" t="s">
        <v>19177</v>
      </c>
      <c r="N165" t="s">
        <v>300</v>
      </c>
      <c r="O165" t="s">
        <v>16373</v>
      </c>
      <c r="P165" t="s">
        <v>12</v>
      </c>
    </row>
    <row r="166">
      <c r="A166">
        <f>HYPERLINK("http://bombeiros.sp.gov.br/hidrantes/03individual/3242.html","3242")</f>
      </c>
      <c r="B166" t="s">
        <v>114</v>
      </c>
      <c r="C166" t="s">
        <v>124</v>
      </c>
      <c r="D166" t="s">
        <v>3107</v>
      </c>
      <c r="E166" t="s">
        <v>64</v>
      </c>
      <c r="F166" t="s">
        <v>3135</v>
      </c>
      <c r="G166" t="s">
        <v>18066</v>
      </c>
      <c r="H166" t="s">
        <v>1174</v>
      </c>
      <c r="I166" t="s">
        <v>1108</v>
      </c>
      <c r="J166" t="s">
        <v>3136</v>
      </c>
      <c r="K166" t="s">
        <v>3137</v>
      </c>
      <c r="L166" t="s">
        <v>36</v>
      </c>
      <c r="M166" t="s">
        <v>19177</v>
      </c>
      <c r="N166" t="s">
        <v>300</v>
      </c>
      <c r="O166" t="s">
        <v>16373</v>
      </c>
      <c r="P166" t="s">
        <v>12</v>
      </c>
    </row>
    <row r="167">
      <c r="A167">
        <f>HYPERLINK("http://bombeiros.sp.gov.br/hidrantes/03individual/5612.html","5612")</f>
      </c>
      <c r="B167" t="s">
        <v>114</v>
      </c>
      <c r="C167" t="s">
        <v>124</v>
      </c>
      <c r="D167" t="s">
        <v>3107</v>
      </c>
      <c r="E167" t="s">
        <v>64</v>
      </c>
      <c r="F167" t="s">
        <v>3138</v>
      </c>
      <c r="G167" t="s">
        <v>18548</v>
      </c>
      <c r="H167" t="s">
        <v>1112</v>
      </c>
      <c r="I167" t="s">
        <v>1108</v>
      </c>
      <c r="J167" t="s">
        <v>3139</v>
      </c>
      <c r="K167" t="s">
        <v>3140</v>
      </c>
      <c r="L167" t="s">
        <v>21</v>
      </c>
      <c r="M167" t="s">
        <v>19177</v>
      </c>
      <c r="N167" t="s">
        <v>300</v>
      </c>
      <c r="O167" t="s">
        <v>16373</v>
      </c>
      <c r="P167" t="s">
        <v>12</v>
      </c>
    </row>
    <row r="168">
      <c r="A168">
        <f>HYPERLINK("http://bombeiros.sp.gov.br/hidrantes/03individual/1980.html","1980")</f>
      </c>
      <c r="B168" t="s">
        <v>114</v>
      </c>
      <c r="C168" t="s">
        <v>124</v>
      </c>
      <c r="D168" t="s">
        <v>3107</v>
      </c>
      <c r="E168" t="s">
        <v>15</v>
      </c>
      <c r="F168" t="s">
        <v>3147</v>
      </c>
      <c r="G168" t="s">
        <v>18240</v>
      </c>
      <c r="H168" t="s">
        <v>1112</v>
      </c>
      <c r="I168" t="s">
        <v>1108</v>
      </c>
      <c r="J168" t="s">
        <v>3148</v>
      </c>
      <c r="K168" t="s">
        <v>3149</v>
      </c>
      <c r="L168" t="s">
        <v>21</v>
      </c>
      <c r="M168" t="s">
        <v>19177</v>
      </c>
      <c r="N168" t="s">
        <v>337</v>
      </c>
      <c r="O168" t="s">
        <v>337</v>
      </c>
      <c r="P168" t="s">
        <v>12</v>
      </c>
    </row>
    <row r="169">
      <c r="A169">
        <f>HYPERLINK("http://bombeiros.sp.gov.br/hidrantes/03individual/25199.html","25199")</f>
      </c>
      <c r="B169" t="s">
        <v>114</v>
      </c>
      <c r="C169" t="s">
        <v>129</v>
      </c>
      <c r="D169" t="s">
        <v>129</v>
      </c>
      <c r="E169" t="s">
        <v>64</v>
      </c>
      <c r="F169" t="s">
        <v>3162</v>
      </c>
      <c r="G169" t="s">
        <v>18076</v>
      </c>
      <c r="H169" t="s">
        <v>1112</v>
      </c>
      <c r="I169" t="s">
        <v>1108</v>
      </c>
      <c r="J169" t="s">
        <v>3163</v>
      </c>
      <c r="K169" t="s">
        <v>3164</v>
      </c>
      <c r="L169" t="s">
        <v>21</v>
      </c>
      <c r="M169" t="s">
        <v>19177</v>
      </c>
      <c r="N169" t="s">
        <v>16374</v>
      </c>
      <c r="O169" t="s">
        <v>272</v>
      </c>
      <c r="P169" t="s">
        <v>114</v>
      </c>
    </row>
    <row r="170">
      <c r="A170">
        <f>HYPERLINK("http://bombeiros.sp.gov.br/hidrantes/03individual/27072.html","27072")</f>
      </c>
      <c r="B170" t="s">
        <v>114</v>
      </c>
      <c r="C170" t="s">
        <v>129</v>
      </c>
      <c r="D170" t="s">
        <v>129</v>
      </c>
      <c r="E170" t="s">
        <v>64</v>
      </c>
      <c r="F170" t="s">
        <v>16710</v>
      </c>
      <c r="G170" t="s">
        <v>18518</v>
      </c>
      <c r="H170" t="s">
        <v>1112</v>
      </c>
      <c r="I170" t="s">
        <v>1108</v>
      </c>
      <c r="J170" t="s">
        <v>16711</v>
      </c>
      <c r="K170" t="s">
        <v>16712</v>
      </c>
      <c r="L170" t="s">
        <v>21</v>
      </c>
      <c r="M170" t="s">
        <v>19177</v>
      </c>
      <c r="N170" t="s">
        <v>16374</v>
      </c>
      <c r="O170" t="s">
        <v>272</v>
      </c>
      <c r="P170" t="s">
        <v>114</v>
      </c>
    </row>
    <row r="171">
      <c r="A171">
        <f>HYPERLINK("http://bombeiros.sp.gov.br/hidrantes/03individual/27073.html","27073")</f>
      </c>
      <c r="B171" t="s">
        <v>114</v>
      </c>
      <c r="C171" t="s">
        <v>129</v>
      </c>
      <c r="D171" t="s">
        <v>129</v>
      </c>
      <c r="E171" t="s">
        <v>64</v>
      </c>
      <c r="F171" t="s">
        <v>16713</v>
      </c>
      <c r="G171" t="s">
        <v>18555</v>
      </c>
      <c r="H171" t="s">
        <v>1112</v>
      </c>
      <c r="I171" t="s">
        <v>1108</v>
      </c>
      <c r="J171" t="s">
        <v>16714</v>
      </c>
      <c r="K171" t="s">
        <v>16715</v>
      </c>
      <c r="L171" t="s">
        <v>21</v>
      </c>
      <c r="M171" t="s">
        <v>19177</v>
      </c>
      <c r="N171" t="s">
        <v>16374</v>
      </c>
      <c r="O171" t="s">
        <v>272</v>
      </c>
      <c r="P171" t="s">
        <v>114</v>
      </c>
    </row>
    <row r="172">
      <c r="A172">
        <f>HYPERLINK("http://bombeiros.sp.gov.br/hidrantes/03individual/27074.html","27074")</f>
      </c>
      <c r="B172" t="s">
        <v>114</v>
      </c>
      <c r="C172" t="s">
        <v>129</v>
      </c>
      <c r="D172" t="s">
        <v>129</v>
      </c>
      <c r="E172" t="s">
        <v>64</v>
      </c>
      <c r="F172" t="s">
        <v>16716</v>
      </c>
      <c r="G172" t="s">
        <v>18192</v>
      </c>
      <c r="H172" t="s">
        <v>1112</v>
      </c>
      <c r="I172" t="s">
        <v>1108</v>
      </c>
      <c r="J172" t="s">
        <v>16717</v>
      </c>
      <c r="K172" t="s">
        <v>16718</v>
      </c>
      <c r="L172" t="s">
        <v>21</v>
      </c>
      <c r="M172" t="s">
        <v>19177</v>
      </c>
      <c r="N172" t="s">
        <v>16374</v>
      </c>
      <c r="O172" t="s">
        <v>272</v>
      </c>
      <c r="P172" t="s">
        <v>114</v>
      </c>
    </row>
    <row r="173">
      <c r="A173">
        <f>HYPERLINK("http://bombeiros.sp.gov.br/hidrantes/03individual/27075.html","27075")</f>
      </c>
      <c r="B173" t="s">
        <v>114</v>
      </c>
      <c r="C173" t="s">
        <v>129</v>
      </c>
      <c r="D173" t="s">
        <v>129</v>
      </c>
      <c r="E173" t="s">
        <v>64</v>
      </c>
      <c r="F173" t="s">
        <v>16719</v>
      </c>
      <c r="G173" t="s">
        <v>18076</v>
      </c>
      <c r="H173" t="s">
        <v>1112</v>
      </c>
      <c r="I173" t="s">
        <v>1108</v>
      </c>
      <c r="J173" t="s">
        <v>16720</v>
      </c>
      <c r="K173" t="s">
        <v>16721</v>
      </c>
      <c r="L173" t="s">
        <v>21</v>
      </c>
      <c r="M173" t="s">
        <v>19177</v>
      </c>
      <c r="N173" t="s">
        <v>16374</v>
      </c>
      <c r="O173" t="s">
        <v>272</v>
      </c>
      <c r="P173" t="s">
        <v>114</v>
      </c>
    </row>
    <row r="174">
      <c r="A174">
        <f>HYPERLINK("http://bombeiros.sp.gov.br/hidrantes/03individual/27292.html","27292")</f>
      </c>
      <c r="B174" t="s">
        <v>114</v>
      </c>
      <c r="C174" t="s">
        <v>129</v>
      </c>
      <c r="D174" t="s">
        <v>129</v>
      </c>
      <c r="E174" t="s">
        <v>64</v>
      </c>
      <c r="F174" t="s">
        <v>17042</v>
      </c>
      <c r="G174" t="s">
        <v>18192</v>
      </c>
      <c r="H174" t="s">
        <v>1112</v>
      </c>
      <c r="I174" t="s">
        <v>1108</v>
      </c>
      <c r="J174" t="s">
        <v>17043</v>
      </c>
      <c r="K174" t="s">
        <v>17044</v>
      </c>
      <c r="L174" t="s">
        <v>21</v>
      </c>
      <c r="M174" t="s">
        <v>19177</v>
      </c>
      <c r="N174" t="s">
        <v>16374</v>
      </c>
      <c r="O174" t="s">
        <v>272</v>
      </c>
      <c r="P174" t="s">
        <v>114</v>
      </c>
    </row>
    <row r="175">
      <c r="A175">
        <f>HYPERLINK("http://bombeiros.sp.gov.br/hidrantes/03individual/1801.html","1801")</f>
      </c>
      <c r="B175" t="s">
        <v>114</v>
      </c>
      <c r="C175" t="s">
        <v>129</v>
      </c>
      <c r="D175" t="s">
        <v>129</v>
      </c>
      <c r="E175" t="s">
        <v>15</v>
      </c>
      <c r="F175" t="s">
        <v>3165</v>
      </c>
      <c r="G175" t="s">
        <v>18192</v>
      </c>
      <c r="H175" t="s">
        <v>1107</v>
      </c>
      <c r="I175" t="s">
        <v>1108</v>
      </c>
      <c r="J175" t="s">
        <v>3166</v>
      </c>
      <c r="K175" t="s">
        <v>3167</v>
      </c>
      <c r="L175" t="s">
        <v>21</v>
      </c>
      <c r="M175" t="s">
        <v>19177</v>
      </c>
      <c r="N175" t="s">
        <v>16374</v>
      </c>
      <c r="O175" t="s">
        <v>272</v>
      </c>
      <c r="P175" t="s">
        <v>114</v>
      </c>
    </row>
    <row r="176">
      <c r="A176">
        <f>HYPERLINK("http://bombeiros.sp.gov.br/hidrantes/03individual/1937.html","1937")</f>
      </c>
      <c r="B176" t="s">
        <v>114</v>
      </c>
      <c r="C176" t="s">
        <v>129</v>
      </c>
      <c r="D176" t="s">
        <v>129</v>
      </c>
      <c r="E176" t="s">
        <v>15</v>
      </c>
      <c r="F176" t="s">
        <v>3177</v>
      </c>
      <c r="G176" t="s">
        <v>18555</v>
      </c>
      <c r="H176"/>
      <c r="I176" t="s">
        <v>18</v>
      </c>
      <c r="J176" t="s">
        <v>3178</v>
      </c>
      <c r="K176" t="s">
        <v>3179</v>
      </c>
      <c r="L176" t="s">
        <v>21</v>
      </c>
      <c r="M176" t="s">
        <v>19177</v>
      </c>
      <c r="N176" t="s">
        <v>16374</v>
      </c>
      <c r="O176" t="s">
        <v>272</v>
      </c>
      <c r="P176" t="s">
        <v>114</v>
      </c>
    </row>
    <row r="177">
      <c r="A177">
        <f>HYPERLINK("http://bombeiros.sp.gov.br/hidrantes/03individual/1959.html","1959")</f>
      </c>
      <c r="B177" t="s">
        <v>114</v>
      </c>
      <c r="C177" t="s">
        <v>129</v>
      </c>
      <c r="D177" t="s">
        <v>129</v>
      </c>
      <c r="E177" t="s">
        <v>15</v>
      </c>
      <c r="F177" t="s">
        <v>3180</v>
      </c>
      <c r="G177" t="s">
        <v>18555</v>
      </c>
      <c r="H177" t="s">
        <v>1112</v>
      </c>
      <c r="I177" t="s">
        <v>1108</v>
      </c>
      <c r="J177" t="s">
        <v>3181</v>
      </c>
      <c r="K177" t="s">
        <v>3182</v>
      </c>
      <c r="L177" t="s">
        <v>21</v>
      </c>
      <c r="M177" t="s">
        <v>19177</v>
      </c>
      <c r="N177" t="s">
        <v>16374</v>
      </c>
      <c r="O177" t="s">
        <v>272</v>
      </c>
      <c r="P177" t="s">
        <v>114</v>
      </c>
    </row>
    <row r="178">
      <c r="A178">
        <f>HYPERLINK("http://bombeiros.sp.gov.br/hidrantes/03individual/3418.html","3418")</f>
      </c>
      <c r="B178" t="s">
        <v>114</v>
      </c>
      <c r="C178" t="s">
        <v>129</v>
      </c>
      <c r="D178" t="s">
        <v>129</v>
      </c>
      <c r="E178" t="s">
        <v>15</v>
      </c>
      <c r="F178" t="s">
        <v>3191</v>
      </c>
      <c r="G178" t="s">
        <v>18555</v>
      </c>
      <c r="H178" t="s">
        <v>1112</v>
      </c>
      <c r="I178" t="s">
        <v>1108</v>
      </c>
      <c r="J178" t="s">
        <v>3192</v>
      </c>
      <c r="K178" t="s">
        <v>3193</v>
      </c>
      <c r="L178" t="s">
        <v>21</v>
      </c>
      <c r="M178" t="s">
        <v>19177</v>
      </c>
      <c r="N178" t="s">
        <v>16374</v>
      </c>
      <c r="O178" t="s">
        <v>272</v>
      </c>
      <c r="P178" t="s">
        <v>114</v>
      </c>
    </row>
    <row r="179">
      <c r="A179">
        <f>HYPERLINK("http://bombeiros.sp.gov.br/hidrantes/03individual/4160.html","4160")</f>
      </c>
      <c r="B179" t="s">
        <v>114</v>
      </c>
      <c r="C179" t="s">
        <v>129</v>
      </c>
      <c r="D179" t="s">
        <v>129</v>
      </c>
      <c r="E179" t="s">
        <v>15</v>
      </c>
      <c r="F179" t="s">
        <v>3200</v>
      </c>
      <c r="G179" t="s">
        <v>18077</v>
      </c>
      <c r="H179" t="s">
        <v>1112</v>
      </c>
      <c r="I179" t="s">
        <v>1108</v>
      </c>
      <c r="J179" t="s">
        <v>3202</v>
      </c>
      <c r="K179" t="s">
        <v>3203</v>
      </c>
      <c r="L179" t="s">
        <v>21</v>
      </c>
      <c r="M179" t="s">
        <v>19177</v>
      </c>
      <c r="N179" t="s">
        <v>16374</v>
      </c>
      <c r="O179" t="s">
        <v>272</v>
      </c>
      <c r="P179" t="s">
        <v>114</v>
      </c>
    </row>
    <row r="180">
      <c r="A180">
        <f>HYPERLINK("http://bombeiros.sp.gov.br/hidrantes/03individual/4170.html","4170")</f>
      </c>
      <c r="B180" t="s">
        <v>114</v>
      </c>
      <c r="C180" t="s">
        <v>129</v>
      </c>
      <c r="D180" t="s">
        <v>129</v>
      </c>
      <c r="E180" t="s">
        <v>15</v>
      </c>
      <c r="F180" t="s">
        <v>3207</v>
      </c>
      <c r="G180" t="s">
        <v>18488</v>
      </c>
      <c r="H180" t="s">
        <v>1112</v>
      </c>
      <c r="I180" t="s">
        <v>1108</v>
      </c>
      <c r="J180" t="s">
        <v>3208</v>
      </c>
      <c r="K180" t="s">
        <v>3209</v>
      </c>
      <c r="L180" t="s">
        <v>21</v>
      </c>
      <c r="M180" t="s">
        <v>19177</v>
      </c>
      <c r="N180" t="s">
        <v>16374</v>
      </c>
      <c r="O180" t="s">
        <v>272</v>
      </c>
      <c r="P180" t="s">
        <v>114</v>
      </c>
    </row>
    <row r="181">
      <c r="A181">
        <f>HYPERLINK("http://bombeiros.sp.gov.br/hidrantes/03individual/1362.html","1362")</f>
      </c>
      <c r="B181" t="s">
        <v>114</v>
      </c>
      <c r="C181" t="s">
        <v>129</v>
      </c>
      <c r="D181" t="s">
        <v>3222</v>
      </c>
      <c r="E181" t="s">
        <v>64</v>
      </c>
      <c r="F181" t="s">
        <v>3223</v>
      </c>
      <c r="G181" t="s">
        <v>18085</v>
      </c>
      <c r="H181" t="s">
        <v>1112</v>
      </c>
      <c r="I181" t="s">
        <v>1108</v>
      </c>
      <c r="J181" t="s">
        <v>3224</v>
      </c>
      <c r="K181" t="s">
        <v>3225</v>
      </c>
      <c r="L181" t="s">
        <v>21</v>
      </c>
      <c r="M181" t="s">
        <v>19177</v>
      </c>
      <c r="N181" t="s">
        <v>309</v>
      </c>
      <c r="O181" t="s">
        <v>6029</v>
      </c>
      <c r="P181" t="s">
        <v>114</v>
      </c>
    </row>
    <row r="182">
      <c r="A182">
        <f>HYPERLINK("http://bombeiros.sp.gov.br/hidrantes/03individual/3429.html","3429")</f>
      </c>
      <c r="B182" t="s">
        <v>114</v>
      </c>
      <c r="C182" t="s">
        <v>129</v>
      </c>
      <c r="D182" t="s">
        <v>3222</v>
      </c>
      <c r="E182" t="s">
        <v>64</v>
      </c>
      <c r="F182" t="s">
        <v>3232</v>
      </c>
      <c r="G182" t="s">
        <v>18085</v>
      </c>
      <c r="H182" t="s">
        <v>1112</v>
      </c>
      <c r="I182" t="s">
        <v>1108</v>
      </c>
      <c r="J182" t="s">
        <v>3233</v>
      </c>
      <c r="K182" t="s">
        <v>3234</v>
      </c>
      <c r="L182" t="s">
        <v>36</v>
      </c>
      <c r="M182" t="s">
        <v>19177</v>
      </c>
      <c r="N182" t="s">
        <v>16374</v>
      </c>
      <c r="O182" t="s">
        <v>272</v>
      </c>
      <c r="P182" t="s">
        <v>114</v>
      </c>
    </row>
    <row r="183">
      <c r="A183">
        <f>HYPERLINK("http://bombeiros.sp.gov.br/hidrantes/03individual/3436.html","3436")</f>
      </c>
      <c r="B183" t="s">
        <v>114</v>
      </c>
      <c r="C183" t="s">
        <v>129</v>
      </c>
      <c r="D183" t="s">
        <v>3222</v>
      </c>
      <c r="E183" t="s">
        <v>64</v>
      </c>
      <c r="F183" t="s">
        <v>3238</v>
      </c>
      <c r="G183" t="s">
        <v>18085</v>
      </c>
      <c r="H183" t="s">
        <v>1112</v>
      </c>
      <c r="I183" t="s">
        <v>1108</v>
      </c>
      <c r="J183" t="s">
        <v>3239</v>
      </c>
      <c r="K183" t="s">
        <v>3240</v>
      </c>
      <c r="L183" t="s">
        <v>36</v>
      </c>
      <c r="M183" t="s">
        <v>19177</v>
      </c>
      <c r="N183" t="s">
        <v>309</v>
      </c>
      <c r="O183" t="s">
        <v>6029</v>
      </c>
      <c r="P183" t="s">
        <v>114</v>
      </c>
    </row>
    <row r="184">
      <c r="A184">
        <f>HYPERLINK("http://bombeiros.sp.gov.br/hidrantes/03individual/3464.html","3464")</f>
      </c>
      <c r="B184" t="s">
        <v>114</v>
      </c>
      <c r="C184" t="s">
        <v>129</v>
      </c>
      <c r="D184" t="s">
        <v>3222</v>
      </c>
      <c r="E184" t="s">
        <v>64</v>
      </c>
      <c r="F184" t="s">
        <v>3241</v>
      </c>
      <c r="G184" t="s">
        <v>18085</v>
      </c>
      <c r="H184" t="s">
        <v>1112</v>
      </c>
      <c r="I184" t="s">
        <v>1108</v>
      </c>
      <c r="J184" t="s">
        <v>3242</v>
      </c>
      <c r="K184" t="s">
        <v>3243</v>
      </c>
      <c r="L184" t="s">
        <v>36</v>
      </c>
      <c r="M184" t="s">
        <v>19177</v>
      </c>
      <c r="N184" t="s">
        <v>309</v>
      </c>
      <c r="O184" t="s">
        <v>6029</v>
      </c>
      <c r="P184" t="s">
        <v>114</v>
      </c>
    </row>
    <row r="185">
      <c r="A185">
        <f>HYPERLINK("http://bombeiros.sp.gov.br/hidrantes/03individual/1858.html","1858")</f>
      </c>
      <c r="B185" t="s">
        <v>114</v>
      </c>
      <c r="C185" t="s">
        <v>129</v>
      </c>
      <c r="D185" t="s">
        <v>3222</v>
      </c>
      <c r="E185" t="s">
        <v>15</v>
      </c>
      <c r="F185" t="s">
        <v>3253</v>
      </c>
      <c r="G185" t="s">
        <v>18057</v>
      </c>
      <c r="H185" t="s">
        <v>1112</v>
      </c>
      <c r="I185" t="s">
        <v>1108</v>
      </c>
      <c r="J185" t="s">
        <v>3254</v>
      </c>
      <c r="K185" t="s">
        <v>3255</v>
      </c>
      <c r="L185" t="s">
        <v>21</v>
      </c>
      <c r="M185" t="s">
        <v>19177</v>
      </c>
      <c r="N185" t="s">
        <v>16374</v>
      </c>
      <c r="O185" t="s">
        <v>272</v>
      </c>
      <c r="P185" t="s">
        <v>114</v>
      </c>
    </row>
    <row r="186">
      <c r="A186">
        <f>HYPERLINK("http://bombeiros.sp.gov.br/hidrantes/03individual/3434.html","3434")</f>
      </c>
      <c r="B186" t="s">
        <v>114</v>
      </c>
      <c r="C186" t="s">
        <v>129</v>
      </c>
      <c r="D186" t="s">
        <v>3222</v>
      </c>
      <c r="E186" t="s">
        <v>15</v>
      </c>
      <c r="F186" t="s">
        <v>3259</v>
      </c>
      <c r="G186" t="s">
        <v>18085</v>
      </c>
      <c r="H186" t="s">
        <v>1112</v>
      </c>
      <c r="I186" t="s">
        <v>1108</v>
      </c>
      <c r="J186" t="s">
        <v>3260</v>
      </c>
      <c r="K186" t="s">
        <v>3261</v>
      </c>
      <c r="L186" t="s">
        <v>36</v>
      </c>
      <c r="M186" t="s">
        <v>19177</v>
      </c>
      <c r="N186" t="s">
        <v>309</v>
      </c>
      <c r="O186" t="s">
        <v>6029</v>
      </c>
      <c r="P186" t="s">
        <v>114</v>
      </c>
    </row>
    <row r="187">
      <c r="A187">
        <f>HYPERLINK("http://bombeiros.sp.gov.br/hidrantes/03individual/4190.html","4190")</f>
      </c>
      <c r="B187" t="s">
        <v>114</v>
      </c>
      <c r="C187" t="s">
        <v>129</v>
      </c>
      <c r="D187" t="s">
        <v>3222</v>
      </c>
      <c r="E187" t="s">
        <v>15</v>
      </c>
      <c r="F187" t="s">
        <v>3274</v>
      </c>
      <c r="G187" t="s">
        <v>18093</v>
      </c>
      <c r="H187" t="s">
        <v>1112</v>
      </c>
      <c r="I187" t="s">
        <v>1108</v>
      </c>
      <c r="J187" t="s">
        <v>3275</v>
      </c>
      <c r="K187" t="s">
        <v>3276</v>
      </c>
      <c r="L187" t="s">
        <v>21</v>
      </c>
      <c r="M187" t="s">
        <v>19177</v>
      </c>
      <c r="N187" t="s">
        <v>16374</v>
      </c>
      <c r="O187" t="s">
        <v>272</v>
      </c>
      <c r="P187" t="s">
        <v>114</v>
      </c>
    </row>
    <row r="188">
      <c r="A188">
        <f>HYPERLINK("http://bombeiros.sp.gov.br/hidrantes/03individual/4434.html","4434")</f>
      </c>
      <c r="B188" t="s">
        <v>114</v>
      </c>
      <c r="C188" t="s">
        <v>129</v>
      </c>
      <c r="D188" t="s">
        <v>3222</v>
      </c>
      <c r="E188" t="s">
        <v>15</v>
      </c>
      <c r="F188" t="s">
        <v>3280</v>
      </c>
      <c r="G188" t="s">
        <v>18085</v>
      </c>
      <c r="H188" t="s">
        <v>1107</v>
      </c>
      <c r="I188" t="s">
        <v>1108</v>
      </c>
      <c r="J188" t="s">
        <v>3281</v>
      </c>
      <c r="K188" t="s">
        <v>3282</v>
      </c>
      <c r="L188" t="s">
        <v>21</v>
      </c>
      <c r="M188" t="s">
        <v>19177</v>
      </c>
      <c r="N188" t="s">
        <v>309</v>
      </c>
      <c r="O188" t="s">
        <v>6029</v>
      </c>
      <c r="P188" t="s">
        <v>114</v>
      </c>
    </row>
    <row r="189">
      <c r="A189">
        <f>HYPERLINK("http://bombeiros.sp.gov.br/hidrantes/03individual/999.html","999")</f>
      </c>
      <c r="B189" t="s">
        <v>114</v>
      </c>
      <c r="C189" t="s">
        <v>144</v>
      </c>
      <c r="D189" t="s">
        <v>144</v>
      </c>
      <c r="E189" t="s">
        <v>64</v>
      </c>
      <c r="F189" t="s">
        <v>3286</v>
      </c>
      <c r="G189" t="s">
        <v>18098</v>
      </c>
      <c r="H189" t="s">
        <v>1112</v>
      </c>
      <c r="I189" t="s">
        <v>1108</v>
      </c>
      <c r="J189" t="s">
        <v>3287</v>
      </c>
      <c r="K189" t="s">
        <v>3288</v>
      </c>
      <c r="L189" t="s">
        <v>36</v>
      </c>
      <c r="M189" t="s">
        <v>19177</v>
      </c>
      <c r="N189" t="s">
        <v>300</v>
      </c>
      <c r="O189" t="s">
        <v>16373</v>
      </c>
      <c r="P189" t="s">
        <v>12</v>
      </c>
    </row>
    <row r="190">
      <c r="A190">
        <f>HYPERLINK("http://bombeiros.sp.gov.br/hidrantes/03individual/1577.html","1577")</f>
      </c>
      <c r="B190" t="s">
        <v>114</v>
      </c>
      <c r="C190" t="s">
        <v>144</v>
      </c>
      <c r="D190" t="s">
        <v>144</v>
      </c>
      <c r="E190" t="s">
        <v>64</v>
      </c>
      <c r="F190" t="s">
        <v>3292</v>
      </c>
      <c r="G190" t="s">
        <v>18066</v>
      </c>
      <c r="H190" t="s">
        <v>1112</v>
      </c>
      <c r="I190" t="s">
        <v>1108</v>
      </c>
      <c r="J190" t="s">
        <v>3293</v>
      </c>
      <c r="K190" t="s">
        <v>3294</v>
      </c>
      <c r="L190" t="s">
        <v>36</v>
      </c>
      <c r="M190" t="s">
        <v>19177</v>
      </c>
      <c r="N190" t="s">
        <v>300</v>
      </c>
      <c r="O190" t="s">
        <v>16373</v>
      </c>
      <c r="P190" t="s">
        <v>12</v>
      </c>
    </row>
    <row r="191">
      <c r="A191">
        <f>HYPERLINK("http://bombeiros.sp.gov.br/hidrantes/03individual/3331.html","3331")</f>
      </c>
      <c r="B191" t="s">
        <v>114</v>
      </c>
      <c r="C191" t="s">
        <v>144</v>
      </c>
      <c r="D191" t="s">
        <v>144</v>
      </c>
      <c r="E191" t="s">
        <v>64</v>
      </c>
      <c r="F191" t="s">
        <v>3295</v>
      </c>
      <c r="G191" t="s">
        <v>18046</v>
      </c>
      <c r="H191" t="s">
        <v>1112</v>
      </c>
      <c r="I191" t="s">
        <v>1108</v>
      </c>
      <c r="J191" t="s">
        <v>3296</v>
      </c>
      <c r="K191" t="s">
        <v>3297</v>
      </c>
      <c r="L191" t="s">
        <v>21</v>
      </c>
      <c r="M191" t="s">
        <v>19177</v>
      </c>
      <c r="N191" t="s">
        <v>300</v>
      </c>
      <c r="O191" t="s">
        <v>16373</v>
      </c>
      <c r="P191" t="s">
        <v>12</v>
      </c>
    </row>
    <row r="192">
      <c r="A192">
        <f>HYPERLINK("http://bombeiros.sp.gov.br/hidrantes/03individual/1404.html","1404")</f>
      </c>
      <c r="B192" t="s">
        <v>114</v>
      </c>
      <c r="C192" t="s">
        <v>144</v>
      </c>
      <c r="D192" t="s">
        <v>144</v>
      </c>
      <c r="E192" t="s">
        <v>15</v>
      </c>
      <c r="F192" t="s">
        <v>3301</v>
      </c>
      <c r="G192" t="s">
        <v>18062</v>
      </c>
      <c r="H192" t="s">
        <v>1112</v>
      </c>
      <c r="I192" t="s">
        <v>1108</v>
      </c>
      <c r="J192" t="s">
        <v>3302</v>
      </c>
      <c r="K192" t="s">
        <v>3303</v>
      </c>
      <c r="L192" t="s">
        <v>21</v>
      </c>
      <c r="M192" t="s">
        <v>19177</v>
      </c>
      <c r="N192" t="s">
        <v>300</v>
      </c>
      <c r="O192" t="s">
        <v>16373</v>
      </c>
      <c r="P192" t="s">
        <v>12</v>
      </c>
    </row>
    <row r="193">
      <c r="A193">
        <f>HYPERLINK("http://bombeiros.sp.gov.br/hidrantes/03individual/3303.html","3303")</f>
      </c>
      <c r="B193" t="s">
        <v>114</v>
      </c>
      <c r="C193" t="s">
        <v>144</v>
      </c>
      <c r="D193" t="s">
        <v>144</v>
      </c>
      <c r="E193" t="s">
        <v>15</v>
      </c>
      <c r="F193" t="s">
        <v>3304</v>
      </c>
      <c r="G193" t="s">
        <v>18066</v>
      </c>
      <c r="H193" t="s">
        <v>1112</v>
      </c>
      <c r="I193" t="s">
        <v>1108</v>
      </c>
      <c r="J193" t="s">
        <v>3305</v>
      </c>
      <c r="K193" t="s">
        <v>3306</v>
      </c>
      <c r="L193" t="s">
        <v>21</v>
      </c>
      <c r="M193" t="s">
        <v>19177</v>
      </c>
      <c r="N193" t="s">
        <v>300</v>
      </c>
      <c r="O193" t="s">
        <v>16373</v>
      </c>
      <c r="P193" t="s">
        <v>12</v>
      </c>
    </row>
    <row r="194">
      <c r="A194">
        <f>HYPERLINK("http://bombeiros.sp.gov.br/hidrantes/03individual/1517.html","1517")</f>
      </c>
      <c r="B194" t="s">
        <v>114</v>
      </c>
      <c r="C194" t="s">
        <v>144</v>
      </c>
      <c r="D194" t="s">
        <v>149</v>
      </c>
      <c r="E194" t="s">
        <v>64</v>
      </c>
      <c r="F194" t="s">
        <v>3310</v>
      </c>
      <c r="G194" t="s">
        <v>18098</v>
      </c>
      <c r="H194" t="s">
        <v>1112</v>
      </c>
      <c r="I194" t="s">
        <v>1108</v>
      </c>
      <c r="J194" t="s">
        <v>3311</v>
      </c>
      <c r="K194" t="s">
        <v>3312</v>
      </c>
      <c r="L194" t="s">
        <v>36</v>
      </c>
      <c r="M194" t="s">
        <v>19177</v>
      </c>
      <c r="N194" t="s">
        <v>300</v>
      </c>
      <c r="O194" t="s">
        <v>16373</v>
      </c>
      <c r="P194" t="s">
        <v>12</v>
      </c>
    </row>
    <row r="195">
      <c r="A195">
        <f>HYPERLINK("http://bombeiros.sp.gov.br/hidrantes/03individual/1559.html","1559")</f>
      </c>
      <c r="B195" t="s">
        <v>114</v>
      </c>
      <c r="C195" t="s">
        <v>144</v>
      </c>
      <c r="D195" t="s">
        <v>149</v>
      </c>
      <c r="E195" t="s">
        <v>64</v>
      </c>
      <c r="F195" t="s">
        <v>3313</v>
      </c>
      <c r="G195" t="s">
        <v>18098</v>
      </c>
      <c r="H195" t="s">
        <v>1112</v>
      </c>
      <c r="I195" t="s">
        <v>1108</v>
      </c>
      <c r="J195" t="s">
        <v>3314</v>
      </c>
      <c r="K195" t="s">
        <v>3315</v>
      </c>
      <c r="L195" t="s">
        <v>36</v>
      </c>
      <c r="M195" t="s">
        <v>19177</v>
      </c>
      <c r="N195" t="s">
        <v>97</v>
      </c>
      <c r="O195" t="s">
        <v>937</v>
      </c>
      <c r="P195" t="s">
        <v>12</v>
      </c>
    </row>
    <row r="196">
      <c r="A196">
        <f>HYPERLINK("http://bombeiros.sp.gov.br/hidrantes/03individual/2997.html","2997")</f>
      </c>
      <c r="B196" t="s">
        <v>114</v>
      </c>
      <c r="C196" t="s">
        <v>144</v>
      </c>
      <c r="D196" t="s">
        <v>149</v>
      </c>
      <c r="E196" t="s">
        <v>64</v>
      </c>
      <c r="F196" t="s">
        <v>3316</v>
      </c>
      <c r="G196" t="s">
        <v>18046</v>
      </c>
      <c r="H196" t="s">
        <v>1112</v>
      </c>
      <c r="I196" t="s">
        <v>1108</v>
      </c>
      <c r="J196" t="s">
        <v>3317</v>
      </c>
      <c r="K196" t="s">
        <v>3318</v>
      </c>
      <c r="L196" t="s">
        <v>36</v>
      </c>
      <c r="M196" t="s">
        <v>19177</v>
      </c>
      <c r="N196" t="s">
        <v>300</v>
      </c>
      <c r="O196" t="s">
        <v>16373</v>
      </c>
      <c r="P196" t="s">
        <v>12</v>
      </c>
    </row>
    <row r="197">
      <c r="A197">
        <f>HYPERLINK("http://bombeiros.sp.gov.br/hidrantes/03individual/1352.html","1352")</f>
      </c>
      <c r="B197" t="s">
        <v>114</v>
      </c>
      <c r="C197" t="s">
        <v>144</v>
      </c>
      <c r="D197" t="s">
        <v>149</v>
      </c>
      <c r="E197" t="s">
        <v>15</v>
      </c>
      <c r="F197" t="s">
        <v>3322</v>
      </c>
      <c r="G197" t="s">
        <v>18098</v>
      </c>
      <c r="H197" t="s">
        <v>1112</v>
      </c>
      <c r="I197" t="s">
        <v>1108</v>
      </c>
      <c r="J197" t="s">
        <v>3323</v>
      </c>
      <c r="K197" t="s">
        <v>3324</v>
      </c>
      <c r="L197" t="s">
        <v>21</v>
      </c>
      <c r="M197" t="s">
        <v>19177</v>
      </c>
      <c r="N197" t="s">
        <v>97</v>
      </c>
      <c r="O197" t="s">
        <v>937</v>
      </c>
      <c r="P197" t="s">
        <v>12</v>
      </c>
    </row>
    <row r="198">
      <c r="A198">
        <f>HYPERLINK("http://bombeiros.sp.gov.br/hidrantes/03individual/1575.html","1575")</f>
      </c>
      <c r="B198" t="s">
        <v>114</v>
      </c>
      <c r="C198" t="s">
        <v>144</v>
      </c>
      <c r="D198" t="s">
        <v>149</v>
      </c>
      <c r="E198" t="s">
        <v>15</v>
      </c>
      <c r="F198" t="s">
        <v>3343</v>
      </c>
      <c r="G198" t="s">
        <v>18078</v>
      </c>
      <c r="H198" t="s">
        <v>1112</v>
      </c>
      <c r="I198" t="s">
        <v>1108</v>
      </c>
      <c r="J198" t="s">
        <v>3344</v>
      </c>
      <c r="K198" t="s">
        <v>3345</v>
      </c>
      <c r="L198" t="s">
        <v>21</v>
      </c>
      <c r="M198" t="s">
        <v>19177</v>
      </c>
      <c r="N198" t="s">
        <v>300</v>
      </c>
      <c r="O198" t="s">
        <v>16373</v>
      </c>
      <c r="P198" t="s">
        <v>12</v>
      </c>
    </row>
    <row r="199">
      <c r="A199">
        <f>HYPERLINK("http://bombeiros.sp.gov.br/hidrantes/03individual/1582.html","1582")</f>
      </c>
      <c r="B199" t="s">
        <v>114</v>
      </c>
      <c r="C199" t="s">
        <v>144</v>
      </c>
      <c r="D199" t="s">
        <v>149</v>
      </c>
      <c r="E199" t="s">
        <v>15</v>
      </c>
      <c r="F199" t="s">
        <v>3349</v>
      </c>
      <c r="G199" t="s">
        <v>18078</v>
      </c>
      <c r="H199" t="s">
        <v>1112</v>
      </c>
      <c r="I199" t="s">
        <v>1108</v>
      </c>
      <c r="J199" t="s">
        <v>3350</v>
      </c>
      <c r="K199" t="s">
        <v>3351</v>
      </c>
      <c r="L199" t="s">
        <v>21</v>
      </c>
      <c r="M199" t="s">
        <v>19177</v>
      </c>
      <c r="N199" t="s">
        <v>300</v>
      </c>
      <c r="O199" t="s">
        <v>16373</v>
      </c>
      <c r="P199" t="s">
        <v>12</v>
      </c>
    </row>
    <row r="200">
      <c r="A200">
        <f>HYPERLINK("http://bombeiros.sp.gov.br/hidrantes/03individual/2974.html","2974")</f>
      </c>
      <c r="B200" t="s">
        <v>114</v>
      </c>
      <c r="C200" t="s">
        <v>144</v>
      </c>
      <c r="D200" t="s">
        <v>149</v>
      </c>
      <c r="E200" t="s">
        <v>15</v>
      </c>
      <c r="F200" t="s">
        <v>3370</v>
      </c>
      <c r="G200" t="s">
        <v>18062</v>
      </c>
      <c r="H200" t="s">
        <v>1112</v>
      </c>
      <c r="I200" t="s">
        <v>1108</v>
      </c>
      <c r="J200" t="s">
        <v>3371</v>
      </c>
      <c r="K200" t="s">
        <v>3372</v>
      </c>
      <c r="L200" t="s">
        <v>21</v>
      </c>
      <c r="M200" t="s">
        <v>19177</v>
      </c>
      <c r="N200" t="s">
        <v>300</v>
      </c>
      <c r="O200" t="s">
        <v>16373</v>
      </c>
      <c r="P200" t="s">
        <v>12</v>
      </c>
    </row>
    <row r="201">
      <c r="A201">
        <f>HYPERLINK("http://bombeiros.sp.gov.br/hidrantes/03individual/1564.html","1564")</f>
      </c>
      <c r="B201" t="s">
        <v>114</v>
      </c>
      <c r="C201" t="s">
        <v>144</v>
      </c>
      <c r="D201" t="s">
        <v>165</v>
      </c>
      <c r="E201" t="s">
        <v>64</v>
      </c>
      <c r="F201" t="s">
        <v>3398</v>
      </c>
      <c r="G201" t="s">
        <v>18055</v>
      </c>
      <c r="H201" t="s">
        <v>1112</v>
      </c>
      <c r="I201" t="s">
        <v>1108</v>
      </c>
      <c r="J201" t="s">
        <v>3399</v>
      </c>
      <c r="K201" t="s">
        <v>3400</v>
      </c>
      <c r="L201" t="s">
        <v>21</v>
      </c>
      <c r="M201" t="s">
        <v>19177</v>
      </c>
      <c r="N201" t="s">
        <v>97</v>
      </c>
      <c r="O201" t="s">
        <v>937</v>
      </c>
      <c r="P201" t="s">
        <v>12</v>
      </c>
    </row>
    <row r="202">
      <c r="A202">
        <f>HYPERLINK("http://bombeiros.sp.gov.br/hidrantes/03individual/1587.html","1587")</f>
      </c>
      <c r="B202" t="s">
        <v>114</v>
      </c>
      <c r="C202" t="s">
        <v>144</v>
      </c>
      <c r="D202" t="s">
        <v>165</v>
      </c>
      <c r="E202" t="s">
        <v>64</v>
      </c>
      <c r="F202" t="s">
        <v>3401</v>
      </c>
      <c r="G202" t="s">
        <v>18098</v>
      </c>
      <c r="H202" t="s">
        <v>1112</v>
      </c>
      <c r="I202" t="s">
        <v>1108</v>
      </c>
      <c r="J202" t="s">
        <v>3402</v>
      </c>
      <c r="K202" t="s">
        <v>3403</v>
      </c>
      <c r="L202" t="s">
        <v>21</v>
      </c>
      <c r="M202" t="s">
        <v>19177</v>
      </c>
      <c r="N202" t="s">
        <v>97</v>
      </c>
      <c r="O202" t="s">
        <v>937</v>
      </c>
      <c r="P202" t="s">
        <v>12</v>
      </c>
    </row>
    <row r="203">
      <c r="A203">
        <f>HYPERLINK("http://bombeiros.sp.gov.br/hidrantes/03individual/1353.html","1353")</f>
      </c>
      <c r="B203" t="s">
        <v>114</v>
      </c>
      <c r="C203" t="s">
        <v>144</v>
      </c>
      <c r="D203" t="s">
        <v>165</v>
      </c>
      <c r="E203" t="s">
        <v>15</v>
      </c>
      <c r="F203" t="s">
        <v>3422</v>
      </c>
      <c r="G203" t="s">
        <v>18055</v>
      </c>
      <c r="H203" t="s">
        <v>1112</v>
      </c>
      <c r="I203" t="s">
        <v>1108</v>
      </c>
      <c r="J203" t="s">
        <v>3423</v>
      </c>
      <c r="K203" t="s">
        <v>3424</v>
      </c>
      <c r="L203" t="s">
        <v>21</v>
      </c>
      <c r="M203" t="s">
        <v>19177</v>
      </c>
      <c r="N203" t="s">
        <v>97</v>
      </c>
      <c r="O203" t="s">
        <v>937</v>
      </c>
      <c r="P203" t="s">
        <v>12</v>
      </c>
    </row>
    <row r="204">
      <c r="A204">
        <f>HYPERLINK("http://bombeiros.sp.gov.br/hidrantes/03individual/1529.html","1529")</f>
      </c>
      <c r="B204" t="s">
        <v>114</v>
      </c>
      <c r="C204" t="s">
        <v>144</v>
      </c>
      <c r="D204" t="s">
        <v>165</v>
      </c>
      <c r="E204" t="s">
        <v>15</v>
      </c>
      <c r="F204" t="s">
        <v>3437</v>
      </c>
      <c r="G204" t="s">
        <v>18098</v>
      </c>
      <c r="H204" t="s">
        <v>1112</v>
      </c>
      <c r="I204" t="s">
        <v>1108</v>
      </c>
      <c r="J204" t="s">
        <v>18274</v>
      </c>
      <c r="K204" t="s">
        <v>18275</v>
      </c>
      <c r="L204" t="s">
        <v>21</v>
      </c>
      <c r="M204" t="s">
        <v>19177</v>
      </c>
      <c r="N204" t="s">
        <v>97</v>
      </c>
      <c r="O204" t="s">
        <v>937</v>
      </c>
      <c r="P204" t="s">
        <v>12</v>
      </c>
    </row>
    <row r="205">
      <c r="A205">
        <f>HYPERLINK("http://bombeiros.sp.gov.br/hidrantes/03individual/1576.html","1576")</f>
      </c>
      <c r="B205" t="s">
        <v>114</v>
      </c>
      <c r="C205" t="s">
        <v>144</v>
      </c>
      <c r="D205" t="s">
        <v>165</v>
      </c>
      <c r="E205" t="s">
        <v>15</v>
      </c>
      <c r="F205" t="s">
        <v>3443</v>
      </c>
      <c r="G205" t="s">
        <v>18098</v>
      </c>
      <c r="H205" t="s">
        <v>1112</v>
      </c>
      <c r="I205" t="s">
        <v>1108</v>
      </c>
      <c r="J205" t="s">
        <v>3444</v>
      </c>
      <c r="K205" t="s">
        <v>3445</v>
      </c>
      <c r="L205" t="s">
        <v>21</v>
      </c>
      <c r="M205" t="s">
        <v>19177</v>
      </c>
      <c r="N205" t="s">
        <v>97</v>
      </c>
      <c r="O205" t="s">
        <v>937</v>
      </c>
      <c r="P205" t="s">
        <v>12</v>
      </c>
    </row>
    <row r="206">
      <c r="A206">
        <f>HYPERLINK("http://bombeiros.sp.gov.br/hidrantes/03individual/1335.html","1335")</f>
      </c>
      <c r="B206" t="s">
        <v>114</v>
      </c>
      <c r="C206" t="s">
        <v>144</v>
      </c>
      <c r="D206" t="s">
        <v>3467</v>
      </c>
      <c r="E206" t="s">
        <v>64</v>
      </c>
      <c r="F206" t="s">
        <v>3468</v>
      </c>
      <c r="G206" t="s">
        <v>18046</v>
      </c>
      <c r="H206" t="s">
        <v>1107</v>
      </c>
      <c r="I206" t="s">
        <v>1108</v>
      </c>
      <c r="J206" t="s">
        <v>3469</v>
      </c>
      <c r="K206" t="s">
        <v>3470</v>
      </c>
      <c r="L206" t="s">
        <v>36</v>
      </c>
      <c r="M206" t="s">
        <v>19177</v>
      </c>
      <c r="N206" t="s">
        <v>300</v>
      </c>
      <c r="O206" t="s">
        <v>16373</v>
      </c>
      <c r="P206" t="s">
        <v>12</v>
      </c>
    </row>
    <row r="207">
      <c r="A207">
        <f>HYPERLINK("http://bombeiros.sp.gov.br/hidrantes/03individual/1654.html","1654")</f>
      </c>
      <c r="B207" t="s">
        <v>114</v>
      </c>
      <c r="C207" t="s">
        <v>144</v>
      </c>
      <c r="D207" t="s">
        <v>3467</v>
      </c>
      <c r="E207" t="s">
        <v>15</v>
      </c>
      <c r="F207" t="s">
        <v>3474</v>
      </c>
      <c r="G207" t="s">
        <v>18042</v>
      </c>
      <c r="H207" t="s">
        <v>1112</v>
      </c>
      <c r="I207" t="s">
        <v>1108</v>
      </c>
      <c r="J207" t="s">
        <v>3475</v>
      </c>
      <c r="K207" t="s">
        <v>3476</v>
      </c>
      <c r="L207" t="s">
        <v>21</v>
      </c>
      <c r="M207" t="s">
        <v>19177</v>
      </c>
      <c r="N207" t="s">
        <v>300</v>
      </c>
      <c r="O207" t="s">
        <v>16373</v>
      </c>
      <c r="P207" t="s">
        <v>12</v>
      </c>
    </row>
    <row r="208">
      <c r="A208">
        <f>HYPERLINK("http://bombeiros.sp.gov.br/hidrantes/03individual/3305.html","3305")</f>
      </c>
      <c r="B208" t="s">
        <v>114</v>
      </c>
      <c r="C208" t="s">
        <v>144</v>
      </c>
      <c r="D208" t="s">
        <v>3467</v>
      </c>
      <c r="E208" t="s">
        <v>15</v>
      </c>
      <c r="F208" t="s">
        <v>3483</v>
      </c>
      <c r="G208" t="s">
        <v>18042</v>
      </c>
      <c r="H208" t="s">
        <v>1107</v>
      </c>
      <c r="I208" t="s">
        <v>1117</v>
      </c>
      <c r="J208" t="s">
        <v>3484</v>
      </c>
      <c r="K208" t="s">
        <v>3485</v>
      </c>
      <c r="L208" t="s">
        <v>36</v>
      </c>
      <c r="M208" t="s">
        <v>19177</v>
      </c>
      <c r="N208" t="s">
        <v>300</v>
      </c>
      <c r="O208" t="s">
        <v>16373</v>
      </c>
      <c r="P208" t="s">
        <v>12</v>
      </c>
    </row>
    <row r="209">
      <c r="A209">
        <f>HYPERLINK("http://bombeiros.sp.gov.br/hidrantes/03individual/128.html","128")</f>
      </c>
      <c r="B209" t="s">
        <v>114</v>
      </c>
      <c r="C209" t="s">
        <v>172</v>
      </c>
      <c r="D209" t="s">
        <v>172</v>
      </c>
      <c r="E209" t="s">
        <v>64</v>
      </c>
      <c r="F209" t="s">
        <v>3486</v>
      </c>
      <c r="G209" t="s">
        <v>18157</v>
      </c>
      <c r="H209" t="s">
        <v>1121</v>
      </c>
      <c r="I209" t="s">
        <v>1117</v>
      </c>
      <c r="J209" t="s">
        <v>3488</v>
      </c>
      <c r="K209" t="s">
        <v>3489</v>
      </c>
      <c r="L209" t="s">
        <v>36</v>
      </c>
      <c r="M209" t="s">
        <v>19177</v>
      </c>
      <c r="N209" t="s">
        <v>97</v>
      </c>
      <c r="O209" t="s">
        <v>937</v>
      </c>
      <c r="P209" t="s">
        <v>12</v>
      </c>
    </row>
    <row r="210">
      <c r="A210">
        <f>HYPERLINK("http://bombeiros.sp.gov.br/hidrantes/03individual/27869.html","27869")</f>
      </c>
      <c r="B210" t="s">
        <v>114</v>
      </c>
      <c r="C210" t="s">
        <v>172</v>
      </c>
      <c r="D210" t="s">
        <v>172</v>
      </c>
      <c r="E210" t="s">
        <v>15</v>
      </c>
      <c r="F210" t="s">
        <v>17862</v>
      </c>
      <c r="G210" t="s">
        <v>18145</v>
      </c>
      <c r="H210" t="s">
        <v>1107</v>
      </c>
      <c r="I210" t="s">
        <v>1108</v>
      </c>
      <c r="J210" t="s">
        <v>17863</v>
      </c>
      <c r="K210" t="s">
        <v>17864</v>
      </c>
      <c r="L210" t="s">
        <v>21</v>
      </c>
      <c r="M210" t="s">
        <v>19177</v>
      </c>
      <c r="N210" t="s">
        <v>97</v>
      </c>
      <c r="O210" t="s">
        <v>937</v>
      </c>
      <c r="P210" t="s">
        <v>12</v>
      </c>
    </row>
    <row r="211">
      <c r="A211">
        <f>HYPERLINK("http://bombeiros.sp.gov.br/hidrantes/03individual/1956.html","1956")</f>
      </c>
      <c r="B211" t="s">
        <v>114</v>
      </c>
      <c r="C211" t="s">
        <v>172</v>
      </c>
      <c r="D211" t="s">
        <v>173</v>
      </c>
      <c r="E211" t="s">
        <v>64</v>
      </c>
      <c r="F211" t="s">
        <v>3568</v>
      </c>
      <c r="G211" t="s">
        <v>18165</v>
      </c>
      <c r="H211" t="s">
        <v>1112</v>
      </c>
      <c r="I211" t="s">
        <v>1108</v>
      </c>
      <c r="J211" t="s">
        <v>3570</v>
      </c>
      <c r="K211" t="s">
        <v>3571</v>
      </c>
      <c r="L211" t="s">
        <v>21</v>
      </c>
      <c r="M211" t="s">
        <v>19177</v>
      </c>
      <c r="N211" t="s">
        <v>97</v>
      </c>
      <c r="O211" t="s">
        <v>937</v>
      </c>
      <c r="P211" t="s">
        <v>12</v>
      </c>
    </row>
    <row r="212">
      <c r="A212">
        <f>HYPERLINK("http://bombeiros.sp.gov.br/hidrantes/03individual/179.html","179")</f>
      </c>
      <c r="B212" t="s">
        <v>114</v>
      </c>
      <c r="C212" t="s">
        <v>172</v>
      </c>
      <c r="D212" t="s">
        <v>191</v>
      </c>
      <c r="E212" t="s">
        <v>15</v>
      </c>
      <c r="F212" t="s">
        <v>3660</v>
      </c>
      <c r="G212" t="s">
        <v>18151</v>
      </c>
      <c r="H212" t="s">
        <v>1174</v>
      </c>
      <c r="I212" t="s">
        <v>1117</v>
      </c>
      <c r="J212" t="s">
        <v>3661</v>
      </c>
      <c r="K212" t="s">
        <v>3662</v>
      </c>
      <c r="L212" t="s">
        <v>21</v>
      </c>
      <c r="M212" t="s">
        <v>19177</v>
      </c>
      <c r="N212" t="s">
        <v>97</v>
      </c>
      <c r="O212" t="s">
        <v>937</v>
      </c>
      <c r="P212" t="s">
        <v>12</v>
      </c>
    </row>
    <row r="213">
      <c r="A213">
        <f>HYPERLINK("http://bombeiros.sp.gov.br/hidrantes/03individual/186.html","186")</f>
      </c>
      <c r="B213" t="s">
        <v>114</v>
      </c>
      <c r="C213" t="s">
        <v>172</v>
      </c>
      <c r="D213" t="s">
        <v>191</v>
      </c>
      <c r="E213" t="s">
        <v>15</v>
      </c>
      <c r="F213" t="s">
        <v>3666</v>
      </c>
      <c r="G213" t="s">
        <v>18151</v>
      </c>
      <c r="H213" t="s">
        <v>1112</v>
      </c>
      <c r="I213" t="s">
        <v>1108</v>
      </c>
      <c r="J213" t="s">
        <v>3667</v>
      </c>
      <c r="K213" t="s">
        <v>3668</v>
      </c>
      <c r="L213" t="s">
        <v>21</v>
      </c>
      <c r="M213" t="s">
        <v>19177</v>
      </c>
      <c r="N213" t="s">
        <v>97</v>
      </c>
      <c r="O213" t="s">
        <v>937</v>
      </c>
      <c r="P213" t="s">
        <v>12</v>
      </c>
    </row>
    <row r="214">
      <c r="A214">
        <f>HYPERLINK("http://bombeiros.sp.gov.br/hidrantes/03individual/245.html","245")</f>
      </c>
      <c r="B214" t="s">
        <v>114</v>
      </c>
      <c r="C214" t="s">
        <v>172</v>
      </c>
      <c r="D214" t="s">
        <v>191</v>
      </c>
      <c r="E214" t="s">
        <v>15</v>
      </c>
      <c r="F214" t="s">
        <v>3672</v>
      </c>
      <c r="G214" t="s">
        <v>18277</v>
      </c>
      <c r="H214" t="s">
        <v>1112</v>
      </c>
      <c r="I214" t="s">
        <v>1108</v>
      </c>
      <c r="J214" t="s">
        <v>3673</v>
      </c>
      <c r="K214" t="s">
        <v>3674</v>
      </c>
      <c r="L214" t="s">
        <v>21</v>
      </c>
      <c r="M214" t="s">
        <v>19177</v>
      </c>
      <c r="N214" t="s">
        <v>97</v>
      </c>
      <c r="O214" t="s">
        <v>937</v>
      </c>
      <c r="P214" t="s">
        <v>12</v>
      </c>
    </row>
    <row r="215">
      <c r="A215">
        <f>HYPERLINK("http://bombeiros.sp.gov.br/hidrantes/03individual/814.html","814")</f>
      </c>
      <c r="B215" t="s">
        <v>114</v>
      </c>
      <c r="C215" t="s">
        <v>172</v>
      </c>
      <c r="D215" t="s">
        <v>191</v>
      </c>
      <c r="E215" t="s">
        <v>15</v>
      </c>
      <c r="F215" t="s">
        <v>3690</v>
      </c>
      <c r="G215" t="s">
        <v>18048</v>
      </c>
      <c r="H215" t="s">
        <v>1107</v>
      </c>
      <c r="I215" t="s">
        <v>1108</v>
      </c>
      <c r="J215" t="s">
        <v>3691</v>
      </c>
      <c r="K215" t="s">
        <v>3692</v>
      </c>
      <c r="L215" t="s">
        <v>21</v>
      </c>
      <c r="M215" t="s">
        <v>19177</v>
      </c>
      <c r="N215" t="s">
        <v>97</v>
      </c>
      <c r="O215" t="s">
        <v>937</v>
      </c>
      <c r="P215" t="s">
        <v>12</v>
      </c>
    </row>
    <row r="216">
      <c r="A216">
        <f>HYPERLINK("http://bombeiros.sp.gov.br/hidrantes/03individual/816.html","816")</f>
      </c>
      <c r="B216" t="s">
        <v>114</v>
      </c>
      <c r="C216" t="s">
        <v>172</v>
      </c>
      <c r="D216" t="s">
        <v>191</v>
      </c>
      <c r="E216" t="s">
        <v>15</v>
      </c>
      <c r="F216" t="s">
        <v>3693</v>
      </c>
      <c r="G216" t="s">
        <v>18183</v>
      </c>
      <c r="H216" t="s">
        <v>1174</v>
      </c>
      <c r="I216" t="s">
        <v>1108</v>
      </c>
      <c r="J216" t="s">
        <v>3694</v>
      </c>
      <c r="K216" t="s">
        <v>3695</v>
      </c>
      <c r="L216" t="s">
        <v>36</v>
      </c>
      <c r="M216" t="s">
        <v>19177</v>
      </c>
      <c r="N216" t="s">
        <v>97</v>
      </c>
      <c r="O216" t="s">
        <v>937</v>
      </c>
      <c r="P216" t="s">
        <v>12</v>
      </c>
    </row>
    <row r="217">
      <c r="A217">
        <f>HYPERLINK("http://bombeiros.sp.gov.br/hidrantes/03individual/1601.html","1601")</f>
      </c>
      <c r="B217" t="s">
        <v>114</v>
      </c>
      <c r="C217" t="s">
        <v>172</v>
      </c>
      <c r="D217" t="s">
        <v>191</v>
      </c>
      <c r="E217" t="s">
        <v>15</v>
      </c>
      <c r="F217" t="s">
        <v>3696</v>
      </c>
      <c r="G217" t="s">
        <v>18092</v>
      </c>
      <c r="H217" t="s">
        <v>1107</v>
      </c>
      <c r="I217" t="s">
        <v>1108</v>
      </c>
      <c r="J217" t="s">
        <v>3697</v>
      </c>
      <c r="K217" t="s">
        <v>3698</v>
      </c>
      <c r="L217" t="s">
        <v>21</v>
      </c>
      <c r="M217" t="s">
        <v>19177</v>
      </c>
      <c r="N217" t="s">
        <v>97</v>
      </c>
      <c r="O217" t="s">
        <v>937</v>
      </c>
      <c r="P217" t="s">
        <v>12</v>
      </c>
    </row>
    <row r="218">
      <c r="A218">
        <f>HYPERLINK("http://bombeiros.sp.gov.br/hidrantes/03individual/935.html","935")</f>
      </c>
      <c r="B218" t="s">
        <v>114</v>
      </c>
      <c r="C218" t="s">
        <v>195</v>
      </c>
      <c r="D218" t="s">
        <v>196</v>
      </c>
      <c r="E218" t="s">
        <v>64</v>
      </c>
      <c r="F218" t="s">
        <v>3717</v>
      </c>
      <c r="G218" t="s">
        <v>18084</v>
      </c>
      <c r="H218" t="s">
        <v>1121</v>
      </c>
      <c r="I218" t="s">
        <v>1117</v>
      </c>
      <c r="J218" t="s">
        <v>3718</v>
      </c>
      <c r="K218" t="s">
        <v>3719</v>
      </c>
      <c r="L218" t="s">
        <v>36</v>
      </c>
      <c r="M218" t="s">
        <v>19177</v>
      </c>
      <c r="N218" t="s">
        <v>309</v>
      </c>
      <c r="O218" t="s">
        <v>6029</v>
      </c>
      <c r="P218" t="s">
        <v>114</v>
      </c>
    </row>
    <row r="219">
      <c r="A219">
        <f>HYPERLINK("http://bombeiros.sp.gov.br/hidrantes/03individual/945.html","945")</f>
      </c>
      <c r="B219" t="s">
        <v>114</v>
      </c>
      <c r="C219" t="s">
        <v>195</v>
      </c>
      <c r="D219" t="s">
        <v>196</v>
      </c>
      <c r="E219" t="s">
        <v>64</v>
      </c>
      <c r="F219" t="s">
        <v>3720</v>
      </c>
      <c r="G219" t="s">
        <v>18084</v>
      </c>
      <c r="H219" t="s">
        <v>1112</v>
      </c>
      <c r="I219" t="s">
        <v>1108</v>
      </c>
      <c r="J219" t="s">
        <v>3721</v>
      </c>
      <c r="K219" t="s">
        <v>3722</v>
      </c>
      <c r="L219" t="s">
        <v>36</v>
      </c>
      <c r="M219" t="s">
        <v>19177</v>
      </c>
      <c r="N219" t="s">
        <v>309</v>
      </c>
      <c r="O219" t="s">
        <v>6029</v>
      </c>
      <c r="P219" t="s">
        <v>114</v>
      </c>
    </row>
    <row r="220">
      <c r="A220">
        <f>HYPERLINK("http://bombeiros.sp.gov.br/hidrantes/03individual/946.html","946")</f>
      </c>
      <c r="B220" t="s">
        <v>114</v>
      </c>
      <c r="C220" t="s">
        <v>195</v>
      </c>
      <c r="D220" t="s">
        <v>196</v>
      </c>
      <c r="E220" t="s">
        <v>64</v>
      </c>
      <c r="F220" t="s">
        <v>3723</v>
      </c>
      <c r="G220" t="s">
        <v>18067</v>
      </c>
      <c r="H220" t="s">
        <v>1112</v>
      </c>
      <c r="I220" t="s">
        <v>1108</v>
      </c>
      <c r="J220" t="s">
        <v>3724</v>
      </c>
      <c r="K220" t="s">
        <v>3725</v>
      </c>
      <c r="L220" t="s">
        <v>36</v>
      </c>
      <c r="M220" t="s">
        <v>19177</v>
      </c>
      <c r="N220" t="s">
        <v>309</v>
      </c>
      <c r="O220" t="s">
        <v>6029</v>
      </c>
      <c r="P220" t="s">
        <v>114</v>
      </c>
    </row>
    <row r="221">
      <c r="A221">
        <f>HYPERLINK("http://bombeiros.sp.gov.br/hidrantes/03individual/1044.html","1044")</f>
      </c>
      <c r="B221" t="s">
        <v>114</v>
      </c>
      <c r="C221" t="s">
        <v>195</v>
      </c>
      <c r="D221" t="s">
        <v>196</v>
      </c>
      <c r="E221" t="s">
        <v>15</v>
      </c>
      <c r="F221" t="s">
        <v>3732</v>
      </c>
      <c r="G221" t="s">
        <v>18084</v>
      </c>
      <c r="H221" t="s">
        <v>1107</v>
      </c>
      <c r="I221" t="s">
        <v>1108</v>
      </c>
      <c r="J221" t="s">
        <v>3733</v>
      </c>
      <c r="K221" t="s">
        <v>3734</v>
      </c>
      <c r="L221" t="s">
        <v>21</v>
      </c>
      <c r="M221" t="s">
        <v>19177</v>
      </c>
      <c r="N221" t="s">
        <v>309</v>
      </c>
      <c r="O221" t="s">
        <v>6029</v>
      </c>
      <c r="P221" t="s">
        <v>114</v>
      </c>
    </row>
    <row r="222">
      <c r="A222">
        <f>HYPERLINK("http://bombeiros.sp.gov.br/hidrantes/03individual/1426.html","1426")</f>
      </c>
      <c r="B222" t="s">
        <v>114</v>
      </c>
      <c r="C222" t="s">
        <v>195</v>
      </c>
      <c r="D222" t="s">
        <v>196</v>
      </c>
      <c r="E222" t="s">
        <v>15</v>
      </c>
      <c r="F222" t="s">
        <v>3744</v>
      </c>
      <c r="G222" t="s">
        <v>18074</v>
      </c>
      <c r="H222" t="s">
        <v>1112</v>
      </c>
      <c r="I222" t="s">
        <v>1108</v>
      </c>
      <c r="J222" t="s">
        <v>3745</v>
      </c>
      <c r="K222" t="s">
        <v>3746</v>
      </c>
      <c r="L222" t="s">
        <v>21</v>
      </c>
      <c r="M222" t="s">
        <v>19177</v>
      </c>
      <c r="N222" t="s">
        <v>309</v>
      </c>
      <c r="O222" t="s">
        <v>6029</v>
      </c>
      <c r="P222" t="s">
        <v>114</v>
      </c>
    </row>
    <row r="223">
      <c r="A223">
        <f>HYPERLINK("http://bombeiros.sp.gov.br/hidrantes/03individual/1427.html","1427")</f>
      </c>
      <c r="B223" t="s">
        <v>114</v>
      </c>
      <c r="C223" t="s">
        <v>195</v>
      </c>
      <c r="D223" t="s">
        <v>196</v>
      </c>
      <c r="E223" t="s">
        <v>15</v>
      </c>
      <c r="F223" t="s">
        <v>3747</v>
      </c>
      <c r="G223" t="s">
        <v>18074</v>
      </c>
      <c r="H223" t="s">
        <v>1112</v>
      </c>
      <c r="I223" t="s">
        <v>1108</v>
      </c>
      <c r="J223" t="s">
        <v>3748</v>
      </c>
      <c r="K223" t="s">
        <v>3749</v>
      </c>
      <c r="L223" t="s">
        <v>21</v>
      </c>
      <c r="M223" t="s">
        <v>19177</v>
      </c>
      <c r="N223" t="s">
        <v>309</v>
      </c>
      <c r="O223" t="s">
        <v>6029</v>
      </c>
      <c r="P223" t="s">
        <v>114</v>
      </c>
    </row>
    <row r="224">
      <c r="A224">
        <f>HYPERLINK("http://bombeiros.sp.gov.br/hidrantes/03individual/1429.html","1429")</f>
      </c>
      <c r="B224" t="s">
        <v>114</v>
      </c>
      <c r="C224" t="s">
        <v>195</v>
      </c>
      <c r="D224" t="s">
        <v>196</v>
      </c>
      <c r="E224" t="s">
        <v>15</v>
      </c>
      <c r="F224" t="s">
        <v>3750</v>
      </c>
      <c r="G224" t="s">
        <v>18074</v>
      </c>
      <c r="H224" t="s">
        <v>1112</v>
      </c>
      <c r="I224" t="s">
        <v>1108</v>
      </c>
      <c r="J224" t="s">
        <v>3751</v>
      </c>
      <c r="K224" t="s">
        <v>3752</v>
      </c>
      <c r="L224" t="s">
        <v>21</v>
      </c>
      <c r="M224" t="s">
        <v>19177</v>
      </c>
      <c r="N224" t="s">
        <v>309</v>
      </c>
      <c r="O224" t="s">
        <v>6029</v>
      </c>
      <c r="P224" t="s">
        <v>114</v>
      </c>
    </row>
    <row r="225">
      <c r="A225">
        <f>HYPERLINK("http://bombeiros.sp.gov.br/hidrantes/03individual/10055.html","10055")</f>
      </c>
      <c r="B225" t="s">
        <v>114</v>
      </c>
      <c r="C225" t="s">
        <v>195</v>
      </c>
      <c r="D225" t="s">
        <v>206</v>
      </c>
      <c r="E225" t="s">
        <v>1507</v>
      </c>
      <c r="F225" t="s">
        <v>3765</v>
      </c>
      <c r="G225" t="s">
        <v>18143</v>
      </c>
      <c r="H225"/>
      <c r="I225" t="s">
        <v>18</v>
      </c>
      <c r="J225" t="s">
        <v>3766</v>
      </c>
      <c r="K225" t="s">
        <v>3767</v>
      </c>
      <c r="L225" t="s">
        <v>21</v>
      </c>
      <c r="M225" t="s">
        <v>19177</v>
      </c>
      <c r="N225" t="s">
        <v>309</v>
      </c>
      <c r="O225" t="s">
        <v>6029</v>
      </c>
      <c r="P225" t="s">
        <v>114</v>
      </c>
    </row>
    <row r="226">
      <c r="A226">
        <f>HYPERLINK("http://bombeiros.sp.gov.br/hidrantes/03individual/921.html","921")</f>
      </c>
      <c r="B226" t="s">
        <v>114</v>
      </c>
      <c r="C226" t="s">
        <v>195</v>
      </c>
      <c r="D226" t="s">
        <v>206</v>
      </c>
      <c r="E226" t="s">
        <v>64</v>
      </c>
      <c r="F226" t="s">
        <v>3768</v>
      </c>
      <c r="G226" t="s">
        <v>18143</v>
      </c>
      <c r="H226" t="s">
        <v>1107</v>
      </c>
      <c r="I226" t="s">
        <v>1108</v>
      </c>
      <c r="J226" t="s">
        <v>3769</v>
      </c>
      <c r="K226" t="s">
        <v>3770</v>
      </c>
      <c r="L226" t="s">
        <v>36</v>
      </c>
      <c r="M226" t="s">
        <v>19177</v>
      </c>
      <c r="N226" t="s">
        <v>309</v>
      </c>
      <c r="O226" t="s">
        <v>6029</v>
      </c>
      <c r="P226" t="s">
        <v>114</v>
      </c>
    </row>
    <row r="227">
      <c r="A227">
        <f>HYPERLINK("http://bombeiros.sp.gov.br/hidrantes/03individual/925.html","925")</f>
      </c>
      <c r="B227" t="s">
        <v>114</v>
      </c>
      <c r="C227" t="s">
        <v>195</v>
      </c>
      <c r="D227" t="s">
        <v>206</v>
      </c>
      <c r="E227" t="s">
        <v>64</v>
      </c>
      <c r="F227" t="s">
        <v>3771</v>
      </c>
      <c r="G227" t="s">
        <v>18143</v>
      </c>
      <c r="H227" t="s">
        <v>1112</v>
      </c>
      <c r="I227" t="s">
        <v>1108</v>
      </c>
      <c r="J227" t="s">
        <v>3772</v>
      </c>
      <c r="K227" t="s">
        <v>3773</v>
      </c>
      <c r="L227" t="s">
        <v>36</v>
      </c>
      <c r="M227" t="s">
        <v>19177</v>
      </c>
      <c r="N227" t="s">
        <v>309</v>
      </c>
      <c r="O227" t="s">
        <v>6029</v>
      </c>
      <c r="P227" t="s">
        <v>114</v>
      </c>
    </row>
    <row r="228">
      <c r="A228">
        <f>HYPERLINK("http://bombeiros.sp.gov.br/hidrantes/03individual/950.html","950")</f>
      </c>
      <c r="B228" t="s">
        <v>114</v>
      </c>
      <c r="C228" t="s">
        <v>195</v>
      </c>
      <c r="D228" t="s">
        <v>206</v>
      </c>
      <c r="E228" t="s">
        <v>64</v>
      </c>
      <c r="F228" t="s">
        <v>3774</v>
      </c>
      <c r="G228" t="s">
        <v>18143</v>
      </c>
      <c r="H228" t="s">
        <v>1112</v>
      </c>
      <c r="I228" t="s">
        <v>1108</v>
      </c>
      <c r="J228" t="s">
        <v>3775</v>
      </c>
      <c r="K228" t="s">
        <v>3776</v>
      </c>
      <c r="L228" t="s">
        <v>36</v>
      </c>
      <c r="M228" t="s">
        <v>19177</v>
      </c>
      <c r="N228" t="s">
        <v>309</v>
      </c>
      <c r="O228" t="s">
        <v>6029</v>
      </c>
      <c r="P228" t="s">
        <v>114</v>
      </c>
    </row>
    <row r="229">
      <c r="A229">
        <f>HYPERLINK("http://bombeiros.sp.gov.br/hidrantes/03individual/27823.html","27823")</f>
      </c>
      <c r="B229" t="s">
        <v>114</v>
      </c>
      <c r="C229" t="s">
        <v>195</v>
      </c>
      <c r="D229" t="s">
        <v>206</v>
      </c>
      <c r="E229" t="s">
        <v>64</v>
      </c>
      <c r="F229" t="s">
        <v>17830</v>
      </c>
      <c r="G229" t="s">
        <v>18143</v>
      </c>
      <c r="H229" t="s">
        <v>1112</v>
      </c>
      <c r="I229" t="s">
        <v>1108</v>
      </c>
      <c r="J229" t="s">
        <v>17831</v>
      </c>
      <c r="K229" t="s">
        <v>17832</v>
      </c>
      <c r="L229" t="s">
        <v>21</v>
      </c>
      <c r="M229" t="s">
        <v>19177</v>
      </c>
      <c r="N229" t="s">
        <v>309</v>
      </c>
      <c r="O229" t="s">
        <v>6029</v>
      </c>
      <c r="P229" t="s">
        <v>114</v>
      </c>
    </row>
    <row r="230">
      <c r="A230">
        <f>HYPERLINK("http://bombeiros.sp.gov.br/hidrantes/03individual/27626.html","27626")</f>
      </c>
      <c r="B230" t="s">
        <v>114</v>
      </c>
      <c r="C230" t="s">
        <v>195</v>
      </c>
      <c r="D230" t="s">
        <v>3780</v>
      </c>
      <c r="E230" t="s">
        <v>64</v>
      </c>
      <c r="F230" t="s">
        <v>17515</v>
      </c>
      <c r="G230" t="s">
        <v>18066</v>
      </c>
      <c r="H230" t="s">
        <v>1112</v>
      </c>
      <c r="I230" t="s">
        <v>1108</v>
      </c>
      <c r="J230" t="s">
        <v>17516</v>
      </c>
      <c r="K230" t="s">
        <v>17517</v>
      </c>
      <c r="L230" t="s">
        <v>21</v>
      </c>
      <c r="M230" t="s">
        <v>19177</v>
      </c>
      <c r="N230" t="s">
        <v>309</v>
      </c>
      <c r="O230" t="s">
        <v>6029</v>
      </c>
      <c r="P230" t="s">
        <v>114</v>
      </c>
    </row>
    <row r="231">
      <c r="A231">
        <f>HYPERLINK("http://bombeiros.sp.gov.br/hidrantes/03individual/3017.html","3017")</f>
      </c>
      <c r="B231" t="s">
        <v>114</v>
      </c>
      <c r="C231" t="s">
        <v>210</v>
      </c>
      <c r="D231" t="s">
        <v>124</v>
      </c>
      <c r="E231" t="s">
        <v>64</v>
      </c>
      <c r="F231" t="s">
        <v>3824</v>
      </c>
      <c r="G231" t="s">
        <v>18129</v>
      </c>
      <c r="H231" t="s">
        <v>1107</v>
      </c>
      <c r="I231" t="s">
        <v>1108</v>
      </c>
      <c r="J231" t="s">
        <v>3825</v>
      </c>
      <c r="K231" t="s">
        <v>3826</v>
      </c>
      <c r="L231" t="s">
        <v>36</v>
      </c>
      <c r="M231" t="s">
        <v>19177</v>
      </c>
      <c r="N231" t="s">
        <v>300</v>
      </c>
      <c r="O231" t="s">
        <v>16373</v>
      </c>
      <c r="P231" t="s">
        <v>12</v>
      </c>
    </row>
    <row r="232">
      <c r="A232">
        <f>HYPERLINK("http://bombeiros.sp.gov.br/hidrantes/03individual/1030.html","1030")</f>
      </c>
      <c r="B232" t="s">
        <v>114</v>
      </c>
      <c r="C232" t="s">
        <v>210</v>
      </c>
      <c r="D232" t="s">
        <v>211</v>
      </c>
      <c r="E232" t="s">
        <v>64</v>
      </c>
      <c r="F232" t="s">
        <v>3827</v>
      </c>
      <c r="G232" t="s">
        <v>18047</v>
      </c>
      <c r="H232" t="s">
        <v>1112</v>
      </c>
      <c r="I232" t="s">
        <v>1108</v>
      </c>
      <c r="J232" t="s">
        <v>3828</v>
      </c>
      <c r="K232" t="s">
        <v>3829</v>
      </c>
      <c r="L232" t="s">
        <v>36</v>
      </c>
      <c r="M232" t="s">
        <v>19177</v>
      </c>
      <c r="N232" t="s">
        <v>300</v>
      </c>
      <c r="O232" t="s">
        <v>16373</v>
      </c>
      <c r="P232" t="s">
        <v>12</v>
      </c>
    </row>
    <row r="233">
      <c r="A233">
        <f>HYPERLINK("http://bombeiros.sp.gov.br/hidrantes/03individual/27046.html","27046")</f>
      </c>
      <c r="B233" t="s">
        <v>114</v>
      </c>
      <c r="C233" t="s">
        <v>210</v>
      </c>
      <c r="D233" t="s">
        <v>211</v>
      </c>
      <c r="E233" t="s">
        <v>64</v>
      </c>
      <c r="F233" t="s">
        <v>16649</v>
      </c>
      <c r="G233" t="s">
        <v>18194</v>
      </c>
      <c r="H233" t="s">
        <v>1112</v>
      </c>
      <c r="I233" t="s">
        <v>1108</v>
      </c>
      <c r="J233" t="s">
        <v>16650</v>
      </c>
      <c r="K233" t="s">
        <v>16651</v>
      </c>
      <c r="L233" t="s">
        <v>21</v>
      </c>
      <c r="M233" t="s">
        <v>19177</v>
      </c>
      <c r="N233" t="s">
        <v>300</v>
      </c>
      <c r="O233" t="s">
        <v>16373</v>
      </c>
      <c r="P233" t="s">
        <v>12</v>
      </c>
    </row>
    <row r="234">
      <c r="A234">
        <f>HYPERLINK("http://bombeiros.sp.gov.br/hidrantes/03individual/1522.html","1522")</f>
      </c>
      <c r="B234" t="s">
        <v>114</v>
      </c>
      <c r="C234" t="s">
        <v>210</v>
      </c>
      <c r="D234" t="s">
        <v>211</v>
      </c>
      <c r="E234" t="s">
        <v>15</v>
      </c>
      <c r="F234" t="s">
        <v>3842</v>
      </c>
      <c r="G234" t="s">
        <v>18061</v>
      </c>
      <c r="H234" t="s">
        <v>1112</v>
      </c>
      <c r="I234" t="s">
        <v>1108</v>
      </c>
      <c r="J234" t="s">
        <v>3843</v>
      </c>
      <c r="K234" t="s">
        <v>3844</v>
      </c>
      <c r="L234" t="s">
        <v>21</v>
      </c>
      <c r="M234" t="s">
        <v>19177</v>
      </c>
      <c r="N234" t="s">
        <v>300</v>
      </c>
      <c r="O234" t="s">
        <v>16373</v>
      </c>
      <c r="P234" t="s">
        <v>12</v>
      </c>
    </row>
    <row r="235">
      <c r="A235">
        <f>HYPERLINK("http://bombeiros.sp.gov.br/hidrantes/03individual/1664.html","1664")</f>
      </c>
      <c r="B235" t="s">
        <v>114</v>
      </c>
      <c r="C235" t="s">
        <v>210</v>
      </c>
      <c r="D235" t="s">
        <v>211</v>
      </c>
      <c r="E235" t="s">
        <v>15</v>
      </c>
      <c r="F235" t="s">
        <v>3863</v>
      </c>
      <c r="G235" t="s">
        <v>18042</v>
      </c>
      <c r="H235" t="s">
        <v>1112</v>
      </c>
      <c r="I235" t="s">
        <v>1108</v>
      </c>
      <c r="J235" t="s">
        <v>3864</v>
      </c>
      <c r="K235" t="s">
        <v>3865</v>
      </c>
      <c r="L235" t="s">
        <v>21</v>
      </c>
      <c r="M235" t="s">
        <v>19177</v>
      </c>
      <c r="N235" t="s">
        <v>300</v>
      </c>
      <c r="O235" t="s">
        <v>16373</v>
      </c>
      <c r="P235" t="s">
        <v>12</v>
      </c>
    </row>
    <row r="236">
      <c r="A236">
        <f>HYPERLINK("http://bombeiros.sp.gov.br/hidrantes/03individual/3316.html","3316")</f>
      </c>
      <c r="B236" t="s">
        <v>114</v>
      </c>
      <c r="C236" t="s">
        <v>210</v>
      </c>
      <c r="D236" t="s">
        <v>211</v>
      </c>
      <c r="E236" t="s">
        <v>15</v>
      </c>
      <c r="F236" t="s">
        <v>3902</v>
      </c>
      <c r="G236" t="s">
        <v>18042</v>
      </c>
      <c r="H236" t="s">
        <v>1112</v>
      </c>
      <c r="I236" t="s">
        <v>1108</v>
      </c>
      <c r="J236" t="s">
        <v>3903</v>
      </c>
      <c r="K236" t="s">
        <v>3904</v>
      </c>
      <c r="L236" t="s">
        <v>21</v>
      </c>
      <c r="M236" t="s">
        <v>19177</v>
      </c>
      <c r="N236" t="s">
        <v>300</v>
      </c>
      <c r="O236" t="s">
        <v>16373</v>
      </c>
      <c r="P236" t="s">
        <v>12</v>
      </c>
    </row>
    <row r="237">
      <c r="A237">
        <f>HYPERLINK("http://bombeiros.sp.gov.br/hidrantes/03individual/3323.html","3323")</f>
      </c>
      <c r="B237" t="s">
        <v>114</v>
      </c>
      <c r="C237" t="s">
        <v>210</v>
      </c>
      <c r="D237" t="s">
        <v>211</v>
      </c>
      <c r="E237" t="s">
        <v>15</v>
      </c>
      <c r="F237" t="s">
        <v>3908</v>
      </c>
      <c r="G237" t="s">
        <v>18042</v>
      </c>
      <c r="H237" t="s">
        <v>1112</v>
      </c>
      <c r="I237" t="s">
        <v>1108</v>
      </c>
      <c r="J237" t="s">
        <v>3909</v>
      </c>
      <c r="K237" t="s">
        <v>3910</v>
      </c>
      <c r="L237" t="s">
        <v>21</v>
      </c>
      <c r="M237" t="s">
        <v>19177</v>
      </c>
      <c r="N237" t="s">
        <v>300</v>
      </c>
      <c r="O237" t="s">
        <v>16373</v>
      </c>
      <c r="P237" t="s">
        <v>12</v>
      </c>
    </row>
    <row r="238">
      <c r="A238">
        <f>HYPERLINK("http://bombeiros.sp.gov.br/hidrantes/03individual/3555.html","3555")</f>
      </c>
      <c r="B238" t="s">
        <v>114</v>
      </c>
      <c r="C238" t="s">
        <v>210</v>
      </c>
      <c r="D238" t="s">
        <v>211</v>
      </c>
      <c r="E238" t="s">
        <v>15</v>
      </c>
      <c r="F238" t="s">
        <v>3914</v>
      </c>
      <c r="G238" t="s">
        <v>18061</v>
      </c>
      <c r="H238" t="s">
        <v>1112</v>
      </c>
      <c r="I238" t="s">
        <v>1108</v>
      </c>
      <c r="J238" t="s">
        <v>3915</v>
      </c>
      <c r="K238" t="s">
        <v>3916</v>
      </c>
      <c r="L238" t="s">
        <v>21</v>
      </c>
      <c r="M238" t="s">
        <v>19177</v>
      </c>
      <c r="N238" t="s">
        <v>300</v>
      </c>
      <c r="O238" t="s">
        <v>16373</v>
      </c>
      <c r="P238" t="s">
        <v>12</v>
      </c>
    </row>
    <row r="239">
      <c r="A239">
        <f>HYPERLINK("http://bombeiros.sp.gov.br/hidrantes/03individual/1033.html","1033")</f>
      </c>
      <c r="B239" t="s">
        <v>114</v>
      </c>
      <c r="C239" t="s">
        <v>210</v>
      </c>
      <c r="D239" t="s">
        <v>3917</v>
      </c>
      <c r="E239" t="s">
        <v>64</v>
      </c>
      <c r="F239" t="s">
        <v>3918</v>
      </c>
      <c r="G239" t="s">
        <v>18051</v>
      </c>
      <c r="H239" t="s">
        <v>1112</v>
      </c>
      <c r="I239" t="s">
        <v>1108</v>
      </c>
      <c r="J239" t="s">
        <v>3919</v>
      </c>
      <c r="K239" t="s">
        <v>3920</v>
      </c>
      <c r="L239" t="s">
        <v>21</v>
      </c>
      <c r="M239" t="s">
        <v>19177</v>
      </c>
      <c r="N239" t="s">
        <v>300</v>
      </c>
      <c r="O239" t="s">
        <v>16373</v>
      </c>
      <c r="P239" t="s">
        <v>12</v>
      </c>
    </row>
    <row r="240">
      <c r="A240">
        <f>HYPERLINK("http://bombeiros.sp.gov.br/hidrantes/03individual/1731.html","1731")</f>
      </c>
      <c r="B240" t="s">
        <v>114</v>
      </c>
      <c r="C240" t="s">
        <v>210</v>
      </c>
      <c r="D240" t="s">
        <v>3917</v>
      </c>
      <c r="E240" t="s">
        <v>15</v>
      </c>
      <c r="F240" t="s">
        <v>3951</v>
      </c>
      <c r="G240" t="s">
        <v>18149</v>
      </c>
      <c r="H240" t="s">
        <v>1112</v>
      </c>
      <c r="I240" t="s">
        <v>1108</v>
      </c>
      <c r="J240" t="s">
        <v>3952</v>
      </c>
      <c r="K240" t="s">
        <v>3953</v>
      </c>
      <c r="L240" t="s">
        <v>21</v>
      </c>
      <c r="M240" t="s">
        <v>19177</v>
      </c>
      <c r="N240" t="s">
        <v>300</v>
      </c>
      <c r="O240" t="s">
        <v>16373</v>
      </c>
      <c r="P240" t="s">
        <v>12</v>
      </c>
    </row>
    <row r="241">
      <c r="A241">
        <f>HYPERLINK("http://bombeiros.sp.gov.br/hidrantes/03individual/4291.html","4291")</f>
      </c>
      <c r="B241" t="s">
        <v>114</v>
      </c>
      <c r="C241" t="s">
        <v>210</v>
      </c>
      <c r="D241" t="s">
        <v>3917</v>
      </c>
      <c r="E241" t="s">
        <v>15</v>
      </c>
      <c r="F241" t="s">
        <v>4005</v>
      </c>
      <c r="G241" t="s">
        <v>18067</v>
      </c>
      <c r="H241" t="s">
        <v>1107</v>
      </c>
      <c r="I241" t="s">
        <v>1108</v>
      </c>
      <c r="J241" t="s">
        <v>16842</v>
      </c>
      <c r="K241" t="s">
        <v>16843</v>
      </c>
      <c r="L241" t="s">
        <v>21</v>
      </c>
      <c r="M241" t="s">
        <v>19177</v>
      </c>
      <c r="N241" t="s">
        <v>300</v>
      </c>
      <c r="O241" t="s">
        <v>16373</v>
      </c>
      <c r="P241" t="s">
        <v>12</v>
      </c>
    </row>
    <row r="242">
      <c r="A242">
        <f>HYPERLINK("http://bombeiros.sp.gov.br/hidrantes/03individual/2975.html","2975")</f>
      </c>
      <c r="B242" t="s">
        <v>114</v>
      </c>
      <c r="C242" t="s">
        <v>222</v>
      </c>
      <c r="D242" t="s">
        <v>223</v>
      </c>
      <c r="E242" t="s">
        <v>64</v>
      </c>
      <c r="F242" t="s">
        <v>4014</v>
      </c>
      <c r="G242" t="s">
        <v>18533</v>
      </c>
      <c r="H242" t="s">
        <v>1112</v>
      </c>
      <c r="I242" t="s">
        <v>1108</v>
      </c>
      <c r="J242" t="s">
        <v>4015</v>
      </c>
      <c r="K242" t="s">
        <v>4016</v>
      </c>
      <c r="L242" t="s">
        <v>21</v>
      </c>
      <c r="M242" t="s">
        <v>19177</v>
      </c>
      <c r="N242" t="s">
        <v>16374</v>
      </c>
      <c r="O242" t="s">
        <v>272</v>
      </c>
      <c r="P242" t="s">
        <v>114</v>
      </c>
    </row>
    <row r="243">
      <c r="A243">
        <f>HYPERLINK("http://bombeiros.sp.gov.br/hidrantes/03individual/5650.html","5650")</f>
      </c>
      <c r="B243" t="s">
        <v>114</v>
      </c>
      <c r="C243" t="s">
        <v>222</v>
      </c>
      <c r="D243" t="s">
        <v>223</v>
      </c>
      <c r="E243" t="s">
        <v>64</v>
      </c>
      <c r="F243" t="s">
        <v>16993</v>
      </c>
      <c r="G243" t="s">
        <v>18488</v>
      </c>
      <c r="H243" t="s">
        <v>1112</v>
      </c>
      <c r="I243" t="s">
        <v>1108</v>
      </c>
      <c r="J243" t="s">
        <v>16994</v>
      </c>
      <c r="K243" t="s">
        <v>16995</v>
      </c>
      <c r="L243" t="s">
        <v>21</v>
      </c>
      <c r="M243" t="s">
        <v>19177</v>
      </c>
      <c r="N243" t="s">
        <v>16374</v>
      </c>
      <c r="O243" t="s">
        <v>272</v>
      </c>
      <c r="P243" t="s">
        <v>114</v>
      </c>
    </row>
    <row r="244">
      <c r="A244">
        <f>HYPERLINK("http://bombeiros.sp.gov.br/hidrantes/03individual/4418.html","4418")</f>
      </c>
      <c r="B244" t="s">
        <v>114</v>
      </c>
      <c r="C244" t="s">
        <v>222</v>
      </c>
      <c r="D244" t="s">
        <v>234</v>
      </c>
      <c r="E244" t="s">
        <v>64</v>
      </c>
      <c r="F244" t="s">
        <v>4050</v>
      </c>
      <c r="G244" t="s">
        <v>18533</v>
      </c>
      <c r="H244" t="s">
        <v>1112</v>
      </c>
      <c r="I244" t="s">
        <v>1108</v>
      </c>
      <c r="J244" t="s">
        <v>4051</v>
      </c>
      <c r="K244" t="s">
        <v>4052</v>
      </c>
      <c r="L244" t="s">
        <v>21</v>
      </c>
      <c r="M244" t="s">
        <v>19177</v>
      </c>
      <c r="N244" t="s">
        <v>16374</v>
      </c>
      <c r="O244" t="s">
        <v>272</v>
      </c>
      <c r="P244" t="s">
        <v>114</v>
      </c>
    </row>
    <row r="245">
      <c r="A245">
        <f>HYPERLINK("http://bombeiros.sp.gov.br/hidrantes/03individual/5609.html","5609")</f>
      </c>
      <c r="B245" t="s">
        <v>114</v>
      </c>
      <c r="C245" t="s">
        <v>222</v>
      </c>
      <c r="D245" t="s">
        <v>234</v>
      </c>
      <c r="E245" t="s">
        <v>64</v>
      </c>
      <c r="F245" t="s">
        <v>4056</v>
      </c>
      <c r="G245" t="s">
        <v>18477</v>
      </c>
      <c r="H245" t="s">
        <v>1112</v>
      </c>
      <c r="I245" t="s">
        <v>1108</v>
      </c>
      <c r="J245" t="s">
        <v>4057</v>
      </c>
      <c r="K245" t="s">
        <v>4058</v>
      </c>
      <c r="L245" t="s">
        <v>21</v>
      </c>
      <c r="M245" t="s">
        <v>19177</v>
      </c>
      <c r="N245" t="s">
        <v>16374</v>
      </c>
      <c r="O245" t="s">
        <v>272</v>
      </c>
      <c r="P245" t="s">
        <v>114</v>
      </c>
    </row>
    <row r="246">
      <c r="A246">
        <f>HYPERLINK("http://bombeiros.sp.gov.br/hidrantes/03individual/1046.html","1046")</f>
      </c>
      <c r="B246" t="s">
        <v>114</v>
      </c>
      <c r="C246" t="s">
        <v>222</v>
      </c>
      <c r="D246" t="s">
        <v>234</v>
      </c>
      <c r="E246" t="s">
        <v>15</v>
      </c>
      <c r="F246" t="s">
        <v>4059</v>
      </c>
      <c r="G246" t="s">
        <v>18564</v>
      </c>
      <c r="H246" t="s">
        <v>1112</v>
      </c>
      <c r="I246" t="s">
        <v>1108</v>
      </c>
      <c r="J246" t="s">
        <v>4060</v>
      </c>
      <c r="K246" t="s">
        <v>4061</v>
      </c>
      <c r="L246" t="s">
        <v>21</v>
      </c>
      <c r="M246" t="s">
        <v>19177</v>
      </c>
      <c r="N246" t="s">
        <v>16374</v>
      </c>
      <c r="O246" t="s">
        <v>272</v>
      </c>
      <c r="P246" t="s">
        <v>114</v>
      </c>
    </row>
    <row r="247">
      <c r="A247">
        <f>HYPERLINK("http://bombeiros.sp.gov.br/hidrantes/03individual/17740.html","17740")</f>
      </c>
      <c r="B247" t="s">
        <v>114</v>
      </c>
      <c r="C247" t="s">
        <v>222</v>
      </c>
      <c r="D247" t="s">
        <v>234</v>
      </c>
      <c r="E247" t="s">
        <v>15</v>
      </c>
      <c r="F247" t="s">
        <v>4071</v>
      </c>
      <c r="G247" t="s">
        <v>18046</v>
      </c>
      <c r="H247" t="s">
        <v>1112</v>
      </c>
      <c r="I247" t="s">
        <v>1108</v>
      </c>
      <c r="J247" t="s">
        <v>4072</v>
      </c>
      <c r="K247" t="s">
        <v>4073</v>
      </c>
      <c r="L247" t="s">
        <v>21</v>
      </c>
      <c r="M247" t="s">
        <v>19177</v>
      </c>
      <c r="N247" t="s">
        <v>16374</v>
      </c>
      <c r="O247" t="s">
        <v>272</v>
      </c>
      <c r="P247" t="s">
        <v>114</v>
      </c>
    </row>
    <row r="248">
      <c r="A248">
        <f>HYPERLINK("http://bombeiros.sp.gov.br/hidrantes/03individual/968.html","968")</f>
      </c>
      <c r="B248" t="s">
        <v>114</v>
      </c>
      <c r="C248" t="s">
        <v>222</v>
      </c>
      <c r="D248" t="s">
        <v>238</v>
      </c>
      <c r="E248" t="s">
        <v>64</v>
      </c>
      <c r="F248" t="s">
        <v>4074</v>
      </c>
      <c r="G248" t="s">
        <v>18564</v>
      </c>
      <c r="H248" t="s">
        <v>1112</v>
      </c>
      <c r="I248" t="s">
        <v>1108</v>
      </c>
      <c r="J248" t="s">
        <v>4075</v>
      </c>
      <c r="K248" t="s">
        <v>4076</v>
      </c>
      <c r="L248" t="s">
        <v>21</v>
      </c>
      <c r="M248" t="s">
        <v>19177</v>
      </c>
      <c r="N248" t="s">
        <v>16374</v>
      </c>
      <c r="O248" t="s">
        <v>272</v>
      </c>
      <c r="P248" t="s">
        <v>114</v>
      </c>
    </row>
    <row r="249">
      <c r="A249">
        <f>HYPERLINK("http://bombeiros.sp.gov.br/hidrantes/03individual/969.html","969")</f>
      </c>
      <c r="B249" t="s">
        <v>114</v>
      </c>
      <c r="C249" t="s">
        <v>222</v>
      </c>
      <c r="D249" t="s">
        <v>238</v>
      </c>
      <c r="E249" t="s">
        <v>64</v>
      </c>
      <c r="F249" t="s">
        <v>4077</v>
      </c>
      <c r="G249" t="s">
        <v>18084</v>
      </c>
      <c r="H249" t="s">
        <v>1112</v>
      </c>
      <c r="I249" t="s">
        <v>1108</v>
      </c>
      <c r="J249" t="s">
        <v>4078</v>
      </c>
      <c r="K249" t="s">
        <v>4079</v>
      </c>
      <c r="L249" t="s">
        <v>21</v>
      </c>
      <c r="M249" t="s">
        <v>19177</v>
      </c>
      <c r="N249" t="s">
        <v>16374</v>
      </c>
      <c r="O249" t="s">
        <v>272</v>
      </c>
      <c r="P249" t="s">
        <v>114</v>
      </c>
    </row>
    <row r="250">
      <c r="A250">
        <f>HYPERLINK("http://bombeiros.sp.gov.br/hidrantes/03individual/3400.html","3400")</f>
      </c>
      <c r="B250" t="s">
        <v>114</v>
      </c>
      <c r="C250" t="s">
        <v>222</v>
      </c>
      <c r="D250" t="s">
        <v>238</v>
      </c>
      <c r="E250" t="s">
        <v>64</v>
      </c>
      <c r="F250" t="s">
        <v>4086</v>
      </c>
      <c r="G250" t="s">
        <v>18494</v>
      </c>
      <c r="H250" t="s">
        <v>1107</v>
      </c>
      <c r="I250" t="s">
        <v>1108</v>
      </c>
      <c r="J250" t="s">
        <v>4087</v>
      </c>
      <c r="K250" t="s">
        <v>4088</v>
      </c>
      <c r="L250" t="s">
        <v>21</v>
      </c>
      <c r="M250" t="s">
        <v>19177</v>
      </c>
      <c r="N250" t="s">
        <v>272</v>
      </c>
      <c r="O250" t="s">
        <v>272</v>
      </c>
      <c r="P250" t="s">
        <v>114</v>
      </c>
    </row>
    <row r="251">
      <c r="A251">
        <f>HYPERLINK("http://bombeiros.sp.gov.br/hidrantes/03individual/27902.html","27902")</f>
      </c>
      <c r="B251" t="s">
        <v>114</v>
      </c>
      <c r="C251" t="s">
        <v>222</v>
      </c>
      <c r="D251" t="s">
        <v>238</v>
      </c>
      <c r="E251" t="s">
        <v>64</v>
      </c>
      <c r="F251" t="s">
        <v>17930</v>
      </c>
      <c r="G251" t="s">
        <v>18494</v>
      </c>
      <c r="H251" t="s">
        <v>1112</v>
      </c>
      <c r="I251" t="s">
        <v>1108</v>
      </c>
      <c r="J251" t="s">
        <v>17931</v>
      </c>
      <c r="K251" t="s">
        <v>18278</v>
      </c>
      <c r="L251" t="s">
        <v>21</v>
      </c>
      <c r="M251" t="s">
        <v>19177</v>
      </c>
      <c r="N251" t="s">
        <v>272</v>
      </c>
      <c r="O251" t="s">
        <v>272</v>
      </c>
      <c r="P251" t="s">
        <v>114</v>
      </c>
    </row>
    <row r="252">
      <c r="A252">
        <f>HYPERLINK("http://bombeiros.sp.gov.br/hidrantes/03individual/860.html","860")</f>
      </c>
      <c r="B252" t="s">
        <v>114</v>
      </c>
      <c r="C252" t="s">
        <v>242</v>
      </c>
      <c r="D252" t="s">
        <v>242</v>
      </c>
      <c r="E252" t="s">
        <v>64</v>
      </c>
      <c r="F252" t="s">
        <v>4110</v>
      </c>
      <c r="G252" t="s">
        <v>18055</v>
      </c>
      <c r="H252" t="s">
        <v>1112</v>
      </c>
      <c r="I252" t="s">
        <v>1108</v>
      </c>
      <c r="J252" t="s">
        <v>4111</v>
      </c>
      <c r="K252" t="s">
        <v>4112</v>
      </c>
      <c r="L252" t="s">
        <v>36</v>
      </c>
      <c r="M252" t="s">
        <v>19177</v>
      </c>
      <c r="N252" t="s">
        <v>272</v>
      </c>
      <c r="O252" t="s">
        <v>272</v>
      </c>
      <c r="P252" t="s">
        <v>114</v>
      </c>
    </row>
    <row r="253">
      <c r="A253">
        <f>HYPERLINK("http://bombeiros.sp.gov.br/hidrantes/03individual/923.html","923")</f>
      </c>
      <c r="B253" t="s">
        <v>114</v>
      </c>
      <c r="C253" t="s">
        <v>242</v>
      </c>
      <c r="D253" t="s">
        <v>242</v>
      </c>
      <c r="E253" t="s">
        <v>64</v>
      </c>
      <c r="F253" t="s">
        <v>4134</v>
      </c>
      <c r="G253" t="s">
        <v>18190</v>
      </c>
      <c r="H253" t="s">
        <v>1112</v>
      </c>
      <c r="I253" t="s">
        <v>1108</v>
      </c>
      <c r="J253" t="s">
        <v>4135</v>
      </c>
      <c r="K253" t="s">
        <v>4136</v>
      </c>
      <c r="L253" t="s">
        <v>21</v>
      </c>
      <c r="M253" t="s">
        <v>19177</v>
      </c>
      <c r="N253" t="s">
        <v>272</v>
      </c>
      <c r="O253" t="s">
        <v>272</v>
      </c>
      <c r="P253" t="s">
        <v>114</v>
      </c>
    </row>
    <row r="254">
      <c r="A254">
        <f>HYPERLINK("http://bombeiros.sp.gov.br/hidrantes/03individual/941.html","941")</f>
      </c>
      <c r="B254" t="s">
        <v>114</v>
      </c>
      <c r="C254" t="s">
        <v>242</v>
      </c>
      <c r="D254" t="s">
        <v>242</v>
      </c>
      <c r="E254" t="s">
        <v>64</v>
      </c>
      <c r="F254" t="s">
        <v>4146</v>
      </c>
      <c r="G254" t="s">
        <v>18094</v>
      </c>
      <c r="H254" t="s">
        <v>1112</v>
      </c>
      <c r="I254" t="s">
        <v>1108</v>
      </c>
      <c r="J254" t="s">
        <v>4147</v>
      </c>
      <c r="K254" t="s">
        <v>4148</v>
      </c>
      <c r="L254" t="s">
        <v>36</v>
      </c>
      <c r="M254" t="s">
        <v>19177</v>
      </c>
      <c r="N254" t="s">
        <v>272</v>
      </c>
      <c r="O254" t="s">
        <v>272</v>
      </c>
      <c r="P254" t="s">
        <v>114</v>
      </c>
    </row>
    <row r="255">
      <c r="A255">
        <f>HYPERLINK("http://bombeiros.sp.gov.br/hidrantes/03individual/2068.html","2068")</f>
      </c>
      <c r="B255" t="s">
        <v>114</v>
      </c>
      <c r="C255" t="s">
        <v>242</v>
      </c>
      <c r="D255" t="s">
        <v>242</v>
      </c>
      <c r="E255" t="s">
        <v>15</v>
      </c>
      <c r="F255" t="s">
        <v>4209</v>
      </c>
      <c r="G255" t="s">
        <v>18129</v>
      </c>
      <c r="H255" t="s">
        <v>1112</v>
      </c>
      <c r="I255" t="s">
        <v>1108</v>
      </c>
      <c r="J255" t="s">
        <v>4210</v>
      </c>
      <c r="K255" t="s">
        <v>4211</v>
      </c>
      <c r="L255" t="s">
        <v>36</v>
      </c>
      <c r="M255" t="s">
        <v>19177</v>
      </c>
      <c r="N255" t="s">
        <v>272</v>
      </c>
      <c r="O255" t="s">
        <v>272</v>
      </c>
      <c r="P255" t="s">
        <v>114</v>
      </c>
    </row>
    <row r="256">
      <c r="A256">
        <f>HYPERLINK("http://bombeiros.sp.gov.br/hidrantes/03individual/5595.html","5595")</f>
      </c>
      <c r="B256" t="s">
        <v>114</v>
      </c>
      <c r="C256" t="s">
        <v>242</v>
      </c>
      <c r="D256" t="s">
        <v>242</v>
      </c>
      <c r="E256" t="s">
        <v>15</v>
      </c>
      <c r="F256" t="s">
        <v>4212</v>
      </c>
      <c r="G256" t="s">
        <v>18094</v>
      </c>
      <c r="H256" t="s">
        <v>1112</v>
      </c>
      <c r="I256" t="s">
        <v>1108</v>
      </c>
      <c r="J256" t="s">
        <v>4213</v>
      </c>
      <c r="K256" t="s">
        <v>4214</v>
      </c>
      <c r="L256" t="s">
        <v>21</v>
      </c>
      <c r="M256" t="s">
        <v>19177</v>
      </c>
      <c r="N256" t="s">
        <v>272</v>
      </c>
      <c r="O256" t="s">
        <v>272</v>
      </c>
      <c r="P256" t="s">
        <v>114</v>
      </c>
    </row>
    <row r="257">
      <c r="A257">
        <f>HYPERLINK("http://bombeiros.sp.gov.br/hidrantes/03individual/17785.html","17785")</f>
      </c>
      <c r="B257" t="s">
        <v>114</v>
      </c>
      <c r="C257" t="s">
        <v>242</v>
      </c>
      <c r="D257" t="s">
        <v>4221</v>
      </c>
      <c r="E257" t="s">
        <v>64</v>
      </c>
      <c r="F257" t="s">
        <v>4222</v>
      </c>
      <c r="G257" t="s">
        <v>18051</v>
      </c>
      <c r="H257" t="s">
        <v>1112</v>
      </c>
      <c r="I257" t="s">
        <v>1108</v>
      </c>
      <c r="J257" t="s">
        <v>4223</v>
      </c>
      <c r="K257" t="s">
        <v>4224</v>
      </c>
      <c r="L257" t="s">
        <v>21</v>
      </c>
      <c r="M257" t="s">
        <v>19177</v>
      </c>
      <c r="N257" t="s">
        <v>272</v>
      </c>
      <c r="O257" t="s">
        <v>272</v>
      </c>
      <c r="P257" t="s">
        <v>114</v>
      </c>
    </row>
    <row r="258">
      <c r="A258">
        <f>HYPERLINK("http://bombeiros.sp.gov.br/hidrantes/03individual/904.html","904")</f>
      </c>
      <c r="B258" t="s">
        <v>114</v>
      </c>
      <c r="C258" t="s">
        <v>242</v>
      </c>
      <c r="D258" t="s">
        <v>4225</v>
      </c>
      <c r="E258" t="s">
        <v>64</v>
      </c>
      <c r="F258" t="s">
        <v>4244</v>
      </c>
      <c r="G258" t="s">
        <v>18043</v>
      </c>
      <c r="H258" t="s">
        <v>1112</v>
      </c>
      <c r="I258" t="s">
        <v>1108</v>
      </c>
      <c r="J258" t="s">
        <v>4245</v>
      </c>
      <c r="K258" t="s">
        <v>4246</v>
      </c>
      <c r="L258" t="s">
        <v>21</v>
      </c>
      <c r="M258" t="s">
        <v>19177</v>
      </c>
      <c r="N258" t="s">
        <v>272</v>
      </c>
      <c r="O258" t="s">
        <v>272</v>
      </c>
      <c r="P258" t="s">
        <v>114</v>
      </c>
    </row>
    <row r="259">
      <c r="A259">
        <f>HYPERLINK("http://bombeiros.sp.gov.br/hidrantes/03individual/813.html","813")</f>
      </c>
      <c r="B259" t="s">
        <v>114</v>
      </c>
      <c r="C259" t="s">
        <v>251</v>
      </c>
      <c r="D259" t="s">
        <v>251</v>
      </c>
      <c r="E259" t="s">
        <v>64</v>
      </c>
      <c r="F259" t="s">
        <v>4262</v>
      </c>
      <c r="G259" t="s">
        <v>18143</v>
      </c>
      <c r="H259" t="s">
        <v>1112</v>
      </c>
      <c r="I259" t="s">
        <v>1108</v>
      </c>
      <c r="J259" t="s">
        <v>4263</v>
      </c>
      <c r="K259" t="s">
        <v>4264</v>
      </c>
      <c r="L259" t="s">
        <v>21</v>
      </c>
      <c r="M259" t="s">
        <v>19177</v>
      </c>
      <c r="N259" t="s">
        <v>309</v>
      </c>
      <c r="O259" t="s">
        <v>6029</v>
      </c>
      <c r="P259" t="s">
        <v>114</v>
      </c>
    </row>
    <row r="260">
      <c r="A260">
        <f>HYPERLINK("http://bombeiros.sp.gov.br/hidrantes/03individual/952.html","952")</f>
      </c>
      <c r="B260" t="s">
        <v>114</v>
      </c>
      <c r="C260" t="s">
        <v>251</v>
      </c>
      <c r="D260" t="s">
        <v>251</v>
      </c>
      <c r="E260" t="s">
        <v>64</v>
      </c>
      <c r="F260" t="s">
        <v>4268</v>
      </c>
      <c r="G260" t="s">
        <v>18091</v>
      </c>
      <c r="H260" t="s">
        <v>1112</v>
      </c>
      <c r="I260" t="s">
        <v>1108</v>
      </c>
      <c r="J260" t="s">
        <v>4269</v>
      </c>
      <c r="K260" t="s">
        <v>4270</v>
      </c>
      <c r="L260" t="s">
        <v>21</v>
      </c>
      <c r="M260" t="s">
        <v>19177</v>
      </c>
      <c r="N260" t="s">
        <v>6029</v>
      </c>
      <c r="O260" t="s">
        <v>6029</v>
      </c>
      <c r="P260" t="s">
        <v>114</v>
      </c>
    </row>
    <row r="261">
      <c r="A261">
        <f>HYPERLINK("http://bombeiros.sp.gov.br/hidrantes/03individual/1468.html","1468")</f>
      </c>
      <c r="B261" t="s">
        <v>114</v>
      </c>
      <c r="C261" t="s">
        <v>251</v>
      </c>
      <c r="D261" t="s">
        <v>251</v>
      </c>
      <c r="E261" t="s">
        <v>15</v>
      </c>
      <c r="F261" t="s">
        <v>4277</v>
      </c>
      <c r="G261" t="s">
        <v>18091</v>
      </c>
      <c r="H261" t="s">
        <v>1112</v>
      </c>
      <c r="I261" t="s">
        <v>1108</v>
      </c>
      <c r="J261" t="s">
        <v>4278</v>
      </c>
      <c r="K261" t="s">
        <v>4279</v>
      </c>
      <c r="L261" t="s">
        <v>21</v>
      </c>
      <c r="M261" t="s">
        <v>19177</v>
      </c>
      <c r="N261" t="s">
        <v>309</v>
      </c>
      <c r="O261" t="s">
        <v>6029</v>
      </c>
      <c r="P261" t="s">
        <v>114</v>
      </c>
    </row>
    <row r="262">
      <c r="A262">
        <f>HYPERLINK("http://bombeiros.sp.gov.br/hidrantes/03individual/1534.html","1534")</f>
      </c>
      <c r="B262" t="s">
        <v>114</v>
      </c>
      <c r="C262" t="s">
        <v>251</v>
      </c>
      <c r="D262" t="s">
        <v>251</v>
      </c>
      <c r="E262" t="s">
        <v>15</v>
      </c>
      <c r="F262" t="s">
        <v>4283</v>
      </c>
      <c r="G262" t="s">
        <v>18091</v>
      </c>
      <c r="H262" t="s">
        <v>1112</v>
      </c>
      <c r="I262" t="s">
        <v>1108</v>
      </c>
      <c r="J262" t="s">
        <v>4284</v>
      </c>
      <c r="K262" t="s">
        <v>4285</v>
      </c>
      <c r="L262" t="s">
        <v>21</v>
      </c>
      <c r="M262" t="s">
        <v>19177</v>
      </c>
      <c r="N262" t="s">
        <v>309</v>
      </c>
      <c r="O262" t="s">
        <v>6029</v>
      </c>
      <c r="P262" t="s">
        <v>114</v>
      </c>
    </row>
    <row r="263">
      <c r="A263">
        <f>HYPERLINK("http://bombeiros.sp.gov.br/hidrantes/03individual/3470.html","3470")</f>
      </c>
      <c r="B263" t="s">
        <v>114</v>
      </c>
      <c r="C263" t="s">
        <v>251</v>
      </c>
      <c r="D263" t="s">
        <v>251</v>
      </c>
      <c r="E263" t="s">
        <v>15</v>
      </c>
      <c r="F263" t="s">
        <v>4298</v>
      </c>
      <c r="G263" t="s">
        <v>18091</v>
      </c>
      <c r="H263" t="s">
        <v>1112</v>
      </c>
      <c r="I263" t="s">
        <v>1108</v>
      </c>
      <c r="J263" t="s">
        <v>4299</v>
      </c>
      <c r="K263" t="s">
        <v>4300</v>
      </c>
      <c r="L263" t="s">
        <v>21</v>
      </c>
      <c r="M263" t="s">
        <v>19177</v>
      </c>
      <c r="N263" t="s">
        <v>309</v>
      </c>
      <c r="O263" t="s">
        <v>6029</v>
      </c>
      <c r="P263" t="s">
        <v>114</v>
      </c>
    </row>
    <row r="264">
      <c r="A264">
        <f>HYPERLINK("http://bombeiros.sp.gov.br/hidrantes/03individual/3557.html","3557")</f>
      </c>
      <c r="B264" t="s">
        <v>114</v>
      </c>
      <c r="C264" t="s">
        <v>251</v>
      </c>
      <c r="D264" t="s">
        <v>251</v>
      </c>
      <c r="E264" t="s">
        <v>15</v>
      </c>
      <c r="F264" t="s">
        <v>4301</v>
      </c>
      <c r="G264" t="s">
        <v>18091</v>
      </c>
      <c r="H264" t="s">
        <v>1107</v>
      </c>
      <c r="I264" t="s">
        <v>1108</v>
      </c>
      <c r="J264" t="s">
        <v>15962</v>
      </c>
      <c r="K264" t="s">
        <v>15963</v>
      </c>
      <c r="L264" t="s">
        <v>21</v>
      </c>
      <c r="M264" t="s">
        <v>19177</v>
      </c>
      <c r="N264" t="s">
        <v>6029</v>
      </c>
      <c r="O264" t="s">
        <v>6029</v>
      </c>
      <c r="P264" t="s">
        <v>114</v>
      </c>
    </row>
    <row r="265">
      <c r="A265">
        <f>HYPERLINK("http://bombeiros.sp.gov.br/hidrantes/03individual/4339.html","4339")</f>
      </c>
      <c r="B265" t="s">
        <v>114</v>
      </c>
      <c r="C265" t="s">
        <v>251</v>
      </c>
      <c r="D265" t="s">
        <v>251</v>
      </c>
      <c r="E265" t="s">
        <v>15</v>
      </c>
      <c r="F265" t="s">
        <v>4304</v>
      </c>
      <c r="G265" t="s">
        <v>18042</v>
      </c>
      <c r="H265" t="s">
        <v>1112</v>
      </c>
      <c r="I265" t="s">
        <v>1108</v>
      </c>
      <c r="J265" t="s">
        <v>15964</v>
      </c>
      <c r="K265" t="s">
        <v>15965</v>
      </c>
      <c r="L265" t="s">
        <v>21</v>
      </c>
      <c r="M265" t="s">
        <v>19177</v>
      </c>
      <c r="N265" t="s">
        <v>6029</v>
      </c>
      <c r="O265" t="s">
        <v>6029</v>
      </c>
      <c r="P265" t="s">
        <v>114</v>
      </c>
    </row>
    <row r="266">
      <c r="A266">
        <f>HYPERLINK("http://bombeiros.sp.gov.br/hidrantes/03individual/1776.html","1776")</f>
      </c>
      <c r="B266" t="s">
        <v>114</v>
      </c>
      <c r="C266" t="s">
        <v>251</v>
      </c>
      <c r="D266" t="s">
        <v>4310</v>
      </c>
      <c r="E266" t="s">
        <v>15</v>
      </c>
      <c r="F266" t="s">
        <v>4317</v>
      </c>
      <c r="G266" t="s">
        <v>18042</v>
      </c>
      <c r="H266" t="s">
        <v>1112</v>
      </c>
      <c r="I266" t="s">
        <v>1108</v>
      </c>
      <c r="J266" t="s">
        <v>4318</v>
      </c>
      <c r="K266" t="s">
        <v>4319</v>
      </c>
      <c r="L266" t="s">
        <v>21</v>
      </c>
      <c r="M266" t="s">
        <v>19177</v>
      </c>
      <c r="N266" t="s">
        <v>309</v>
      </c>
      <c r="O266" t="s">
        <v>6029</v>
      </c>
      <c r="P266" t="s">
        <v>114</v>
      </c>
    </row>
    <row r="267">
      <c r="A267">
        <f>HYPERLINK("http://bombeiros.sp.gov.br/hidrantes/03individual/3516.html","3516")</f>
      </c>
      <c r="B267" t="s">
        <v>114</v>
      </c>
      <c r="C267" t="s">
        <v>251</v>
      </c>
      <c r="D267" t="s">
        <v>4310</v>
      </c>
      <c r="E267" t="s">
        <v>15</v>
      </c>
      <c r="F267" t="s">
        <v>4341</v>
      </c>
      <c r="G267" t="s">
        <v>18124</v>
      </c>
      <c r="H267" t="s">
        <v>1107</v>
      </c>
      <c r="I267" t="s">
        <v>1108</v>
      </c>
      <c r="J267" t="s">
        <v>4342</v>
      </c>
      <c r="K267" t="s">
        <v>4343</v>
      </c>
      <c r="L267" t="s">
        <v>21</v>
      </c>
      <c r="M267" t="s">
        <v>19177</v>
      </c>
      <c r="N267" t="s">
        <v>6029</v>
      </c>
      <c r="O267" t="s">
        <v>6029</v>
      </c>
      <c r="P267" t="s">
        <v>114</v>
      </c>
    </row>
    <row r="268">
      <c r="A268">
        <f>HYPERLINK("http://bombeiros.sp.gov.br/hidrantes/03individual/4341.html","4341")</f>
      </c>
      <c r="B268" t="s">
        <v>114</v>
      </c>
      <c r="C268" t="s">
        <v>251</v>
      </c>
      <c r="D268" t="s">
        <v>4310</v>
      </c>
      <c r="E268" t="s">
        <v>15</v>
      </c>
      <c r="F268" t="s">
        <v>4347</v>
      </c>
      <c r="G268" t="s">
        <v>18124</v>
      </c>
      <c r="H268" t="s">
        <v>1107</v>
      </c>
      <c r="I268" t="s">
        <v>1108</v>
      </c>
      <c r="J268" t="s">
        <v>4348</v>
      </c>
      <c r="K268" t="s">
        <v>4349</v>
      </c>
      <c r="L268" t="s">
        <v>21</v>
      </c>
      <c r="M268" t="s">
        <v>19177</v>
      </c>
      <c r="N268" t="s">
        <v>6029</v>
      </c>
      <c r="O268" t="s">
        <v>6029</v>
      </c>
      <c r="P268" t="s">
        <v>114</v>
      </c>
    </row>
    <row r="269">
      <c r="A269">
        <f>HYPERLINK("http://bombeiros.sp.gov.br/hidrantes/03individual/4342.html","4342")</f>
      </c>
      <c r="B269" t="s">
        <v>114</v>
      </c>
      <c r="C269" t="s">
        <v>251</v>
      </c>
      <c r="D269" t="s">
        <v>4310</v>
      </c>
      <c r="E269" t="s">
        <v>15</v>
      </c>
      <c r="F269" t="s">
        <v>4350</v>
      </c>
      <c r="G269" t="s">
        <v>18084</v>
      </c>
      <c r="H269" t="s">
        <v>1112</v>
      </c>
      <c r="I269" t="s">
        <v>1108</v>
      </c>
      <c r="J269" t="s">
        <v>4351</v>
      </c>
      <c r="K269" t="s">
        <v>4352</v>
      </c>
      <c r="L269" t="s">
        <v>21</v>
      </c>
      <c r="M269" t="s">
        <v>19177</v>
      </c>
      <c r="N269" t="s">
        <v>6029</v>
      </c>
      <c r="O269" t="s">
        <v>6029</v>
      </c>
      <c r="P269" t="s">
        <v>114</v>
      </c>
    </row>
    <row r="270">
      <c r="A270">
        <f>HYPERLINK("http://bombeiros.sp.gov.br/hidrantes/03individual/17789.html","17789")</f>
      </c>
      <c r="B270" t="s">
        <v>114</v>
      </c>
      <c r="C270" t="s">
        <v>4356</v>
      </c>
      <c r="D270" t="s">
        <v>4356</v>
      </c>
      <c r="E270" t="s">
        <v>64</v>
      </c>
      <c r="F270" t="s">
        <v>4367</v>
      </c>
      <c r="G270" t="s">
        <v>18097</v>
      </c>
      <c r="H270" t="s">
        <v>1107</v>
      </c>
      <c r="I270" t="s">
        <v>1108</v>
      </c>
      <c r="J270" t="s">
        <v>4368</v>
      </c>
      <c r="K270" t="s">
        <v>4369</v>
      </c>
      <c r="L270" t="s">
        <v>21</v>
      </c>
      <c r="M270" t="s">
        <v>19177</v>
      </c>
      <c r="N270" t="s">
        <v>272</v>
      </c>
      <c r="O270" t="s">
        <v>272</v>
      </c>
      <c r="P270" t="s">
        <v>114</v>
      </c>
    </row>
    <row r="271">
      <c r="A271">
        <f>HYPERLINK("http://bombeiros.sp.gov.br/hidrantes/03individual/26814.html","26814")</f>
      </c>
      <c r="B271" t="s">
        <v>114</v>
      </c>
      <c r="C271" t="s">
        <v>4356</v>
      </c>
      <c r="D271" t="s">
        <v>4356</v>
      </c>
      <c r="E271" t="s">
        <v>64</v>
      </c>
      <c r="F271" t="s">
        <v>16056</v>
      </c>
      <c r="G271" t="s">
        <v>18065</v>
      </c>
      <c r="H271" t="s">
        <v>1121</v>
      </c>
      <c r="I271" t="s">
        <v>1117</v>
      </c>
      <c r="J271" t="s">
        <v>16057</v>
      </c>
      <c r="K271" t="s">
        <v>16058</v>
      </c>
      <c r="L271" t="s">
        <v>21</v>
      </c>
      <c r="M271" t="s">
        <v>19177</v>
      </c>
      <c r="N271" t="s">
        <v>272</v>
      </c>
      <c r="O271" t="s">
        <v>272</v>
      </c>
      <c r="P271" t="s">
        <v>114</v>
      </c>
    </row>
    <row r="272">
      <c r="A272">
        <f>HYPERLINK("http://bombeiros.sp.gov.br/hidrantes/03individual/28184.html","28184")</f>
      </c>
      <c r="B272" t="s">
        <v>114</v>
      </c>
      <c r="C272" t="s">
        <v>4356</v>
      </c>
      <c r="D272" t="s">
        <v>4356</v>
      </c>
      <c r="E272" t="s">
        <v>64</v>
      </c>
      <c r="F272" t="s">
        <v>18279</v>
      </c>
      <c r="G272" t="s">
        <v>18048</v>
      </c>
      <c r="H272" t="s">
        <v>1112</v>
      </c>
      <c r="I272" t="s">
        <v>1108</v>
      </c>
      <c r="J272" t="s">
        <v>18280</v>
      </c>
      <c r="K272" t="s">
        <v>18281</v>
      </c>
      <c r="L272" t="s">
        <v>21</v>
      </c>
      <c r="M272" t="s">
        <v>19177</v>
      </c>
      <c r="N272" t="s">
        <v>272</v>
      </c>
      <c r="O272" t="s">
        <v>272</v>
      </c>
      <c r="P272" t="s">
        <v>114</v>
      </c>
    </row>
    <row r="273">
      <c r="A273">
        <f>HYPERLINK("http://bombeiros.sp.gov.br/hidrantes/03individual/4333.html","4333")</f>
      </c>
      <c r="B273" t="s">
        <v>114</v>
      </c>
      <c r="C273" t="s">
        <v>4356</v>
      </c>
      <c r="D273" t="s">
        <v>4356</v>
      </c>
      <c r="E273" t="s">
        <v>15</v>
      </c>
      <c r="F273" t="s">
        <v>4382</v>
      </c>
      <c r="G273" t="s">
        <v>18048</v>
      </c>
      <c r="H273" t="s">
        <v>1112</v>
      </c>
      <c r="I273" t="s">
        <v>1108</v>
      </c>
      <c r="J273" t="s">
        <v>4383</v>
      </c>
      <c r="K273" t="s">
        <v>4384</v>
      </c>
      <c r="L273" t="s">
        <v>21</v>
      </c>
      <c r="M273" t="s">
        <v>19177</v>
      </c>
      <c r="N273" t="s">
        <v>272</v>
      </c>
      <c r="O273" t="s">
        <v>272</v>
      </c>
      <c r="P273" t="s">
        <v>114</v>
      </c>
    </row>
    <row r="274">
      <c r="A274">
        <f>HYPERLINK("http://bombeiros.sp.gov.br/hidrantes/03individual/27078.html","27078")</f>
      </c>
      <c r="B274" t="s">
        <v>114</v>
      </c>
      <c r="C274" t="s">
        <v>4356</v>
      </c>
      <c r="D274" t="s">
        <v>4385</v>
      </c>
      <c r="E274" t="s">
        <v>64</v>
      </c>
      <c r="F274" t="s">
        <v>16728</v>
      </c>
      <c r="G274" t="s">
        <v>18065</v>
      </c>
      <c r="H274" t="s">
        <v>1121</v>
      </c>
      <c r="I274" t="s">
        <v>1108</v>
      </c>
      <c r="J274" t="s">
        <v>16729</v>
      </c>
      <c r="K274" t="s">
        <v>16730</v>
      </c>
      <c r="L274" t="s">
        <v>21</v>
      </c>
      <c r="M274" t="s">
        <v>19177</v>
      </c>
      <c r="N274" t="s">
        <v>272</v>
      </c>
      <c r="O274" t="s">
        <v>272</v>
      </c>
      <c r="P274" t="s">
        <v>114</v>
      </c>
    </row>
    <row r="275">
      <c r="A275">
        <f>HYPERLINK("http://bombeiros.sp.gov.br/hidrantes/03individual/27180.html","27180")</f>
      </c>
      <c r="B275" t="s">
        <v>114</v>
      </c>
      <c r="C275" t="s">
        <v>4356</v>
      </c>
      <c r="D275" t="s">
        <v>4385</v>
      </c>
      <c r="E275" t="s">
        <v>64</v>
      </c>
      <c r="F275" t="s">
        <v>16916</v>
      </c>
      <c r="G275" t="s">
        <v>18065</v>
      </c>
      <c r="H275" t="s">
        <v>1112</v>
      </c>
      <c r="I275" t="s">
        <v>1108</v>
      </c>
      <c r="J275" t="s">
        <v>16917</v>
      </c>
      <c r="K275" t="s">
        <v>16918</v>
      </c>
      <c r="L275" t="s">
        <v>21</v>
      </c>
      <c r="M275" t="s">
        <v>19177</v>
      </c>
      <c r="N275" t="s">
        <v>272</v>
      </c>
      <c r="O275" t="s">
        <v>272</v>
      </c>
      <c r="P275" t="s">
        <v>114</v>
      </c>
    </row>
    <row r="276">
      <c r="A276">
        <f>HYPERLINK("http://bombeiros.sp.gov.br/hidrantes/03individual/3858.html","3858")</f>
      </c>
      <c r="B276" t="s">
        <v>114</v>
      </c>
      <c r="C276" t="s">
        <v>255</v>
      </c>
      <c r="D276" t="s">
        <v>255</v>
      </c>
      <c r="E276" t="s">
        <v>64</v>
      </c>
      <c r="F276" t="s">
        <v>4398</v>
      </c>
      <c r="G276" t="s">
        <v>18042</v>
      </c>
      <c r="H276" t="s">
        <v>1112</v>
      </c>
      <c r="I276" t="s">
        <v>1108</v>
      </c>
      <c r="J276" t="s">
        <v>4399</v>
      </c>
      <c r="K276" t="s">
        <v>4400</v>
      </c>
      <c r="L276" t="s">
        <v>36</v>
      </c>
      <c r="M276" t="s">
        <v>19177</v>
      </c>
      <c r="N276" t="s">
        <v>337</v>
      </c>
      <c r="O276" t="s">
        <v>337</v>
      </c>
      <c r="P276" t="s">
        <v>12</v>
      </c>
    </row>
    <row r="277">
      <c r="A277">
        <f>HYPERLINK("http://bombeiros.sp.gov.br/hidrantes/03individual/4377.html","4377")</f>
      </c>
      <c r="B277" t="s">
        <v>114</v>
      </c>
      <c r="C277" t="s">
        <v>255</v>
      </c>
      <c r="D277" t="s">
        <v>255</v>
      </c>
      <c r="E277" t="s">
        <v>15</v>
      </c>
      <c r="F277" t="s">
        <v>4407</v>
      </c>
      <c r="G277" t="s">
        <v>18042</v>
      </c>
      <c r="H277" t="s">
        <v>1112</v>
      </c>
      <c r="I277" t="s">
        <v>1108</v>
      </c>
      <c r="J277" t="s">
        <v>4408</v>
      </c>
      <c r="K277" t="s">
        <v>4409</v>
      </c>
      <c r="L277" t="s">
        <v>36</v>
      </c>
      <c r="M277" t="s">
        <v>19177</v>
      </c>
      <c r="N277" t="s">
        <v>337</v>
      </c>
      <c r="O277" t="s">
        <v>337</v>
      </c>
      <c r="P277" t="s">
        <v>12</v>
      </c>
    </row>
    <row r="278">
      <c r="A278">
        <f>HYPERLINK("http://bombeiros.sp.gov.br/hidrantes/03individual/2109.html","2109")</f>
      </c>
      <c r="B278" t="s">
        <v>114</v>
      </c>
      <c r="C278" t="s">
        <v>255</v>
      </c>
      <c r="D278" t="s">
        <v>4413</v>
      </c>
      <c r="E278" t="s">
        <v>64</v>
      </c>
      <c r="F278" t="s">
        <v>4414</v>
      </c>
      <c r="G278" t="s">
        <v>18048</v>
      </c>
      <c r="H278" t="s">
        <v>1112</v>
      </c>
      <c r="I278" t="s">
        <v>1108</v>
      </c>
      <c r="J278" t="s">
        <v>4415</v>
      </c>
      <c r="K278" t="s">
        <v>4416</v>
      </c>
      <c r="L278" t="s">
        <v>21</v>
      </c>
      <c r="M278" t="s">
        <v>19177</v>
      </c>
      <c r="N278" t="s">
        <v>337</v>
      </c>
      <c r="O278" t="s">
        <v>337</v>
      </c>
      <c r="P278" t="s">
        <v>12</v>
      </c>
    </row>
    <row r="279">
      <c r="A279">
        <f>HYPERLINK("http://bombeiros.sp.gov.br/hidrantes/03individual/27081.html","27081")</f>
      </c>
      <c r="B279" t="s">
        <v>114</v>
      </c>
      <c r="C279" t="s">
        <v>255</v>
      </c>
      <c r="D279" t="s">
        <v>4413</v>
      </c>
      <c r="E279" t="s">
        <v>64</v>
      </c>
      <c r="F279" t="s">
        <v>16731</v>
      </c>
      <c r="G279" t="s">
        <v>18048</v>
      </c>
      <c r="H279" t="s">
        <v>1112</v>
      </c>
      <c r="I279" t="s">
        <v>1108</v>
      </c>
      <c r="J279" t="s">
        <v>16732</v>
      </c>
      <c r="K279" t="s">
        <v>16733</v>
      </c>
      <c r="L279" t="s">
        <v>21</v>
      </c>
      <c r="M279" t="s">
        <v>19177</v>
      </c>
      <c r="N279" t="s">
        <v>337</v>
      </c>
      <c r="O279" t="s">
        <v>337</v>
      </c>
      <c r="P279" t="s">
        <v>12</v>
      </c>
    </row>
    <row r="280">
      <c r="A280">
        <f>HYPERLINK("http://bombeiros.sp.gov.br/hidrantes/03individual/27082.html","27082")</f>
      </c>
      <c r="B280" t="s">
        <v>114</v>
      </c>
      <c r="C280" t="s">
        <v>255</v>
      </c>
      <c r="D280" t="s">
        <v>4413</v>
      </c>
      <c r="E280" t="s">
        <v>64</v>
      </c>
      <c r="F280" t="s">
        <v>16734</v>
      </c>
      <c r="G280" t="s">
        <v>18048</v>
      </c>
      <c r="H280" t="s">
        <v>1112</v>
      </c>
      <c r="I280" t="s">
        <v>1108</v>
      </c>
      <c r="J280" t="s">
        <v>16735</v>
      </c>
      <c r="K280" t="s">
        <v>16736</v>
      </c>
      <c r="L280" t="s">
        <v>21</v>
      </c>
      <c r="M280" t="s">
        <v>19177</v>
      </c>
      <c r="N280" t="s">
        <v>337</v>
      </c>
      <c r="O280" t="s">
        <v>337</v>
      </c>
      <c r="P280" t="s">
        <v>12</v>
      </c>
    </row>
    <row r="281">
      <c r="A281">
        <f>HYPERLINK("http://bombeiros.sp.gov.br/hidrantes/03individual/2081.html","2081")</f>
      </c>
      <c r="B281" t="s">
        <v>114</v>
      </c>
      <c r="C281" t="s">
        <v>255</v>
      </c>
      <c r="D281" t="s">
        <v>256</v>
      </c>
      <c r="E281" t="s">
        <v>64</v>
      </c>
      <c r="F281" t="s">
        <v>4429</v>
      </c>
      <c r="G281" t="s">
        <v>18042</v>
      </c>
      <c r="H281" t="s">
        <v>1112</v>
      </c>
      <c r="I281" t="s">
        <v>1108</v>
      </c>
      <c r="J281" t="s">
        <v>4430</v>
      </c>
      <c r="K281" t="s">
        <v>4431</v>
      </c>
      <c r="L281" t="s">
        <v>21</v>
      </c>
      <c r="M281" t="s">
        <v>19177</v>
      </c>
      <c r="N281" t="s">
        <v>337</v>
      </c>
      <c r="O281" t="s">
        <v>337</v>
      </c>
      <c r="P281" t="s">
        <v>12</v>
      </c>
    </row>
    <row r="282">
      <c r="A282">
        <f>HYPERLINK("http://bombeiros.sp.gov.br/hidrantes/03individual/3771.html","3771")</f>
      </c>
      <c r="B282" t="s">
        <v>114</v>
      </c>
      <c r="C282" t="s">
        <v>260</v>
      </c>
      <c r="D282" t="s">
        <v>261</v>
      </c>
      <c r="E282" t="s">
        <v>64</v>
      </c>
      <c r="F282" t="s">
        <v>4447</v>
      </c>
      <c r="G282" t="s">
        <v>18553</v>
      </c>
      <c r="H282" t="s">
        <v>1112</v>
      </c>
      <c r="I282" t="s">
        <v>1108</v>
      </c>
      <c r="J282" t="s">
        <v>4448</v>
      </c>
      <c r="K282" t="s">
        <v>4449</v>
      </c>
      <c r="L282" t="s">
        <v>36</v>
      </c>
      <c r="M282" t="s">
        <v>19177</v>
      </c>
      <c r="N282" t="s">
        <v>6029</v>
      </c>
      <c r="O282" t="s">
        <v>6029</v>
      </c>
      <c r="P282" t="s">
        <v>114</v>
      </c>
    </row>
    <row r="283">
      <c r="A283">
        <f>HYPERLINK("http://bombeiros.sp.gov.br/hidrantes/03individual/3900.html","3900")</f>
      </c>
      <c r="B283" t="s">
        <v>114</v>
      </c>
      <c r="C283" t="s">
        <v>260</v>
      </c>
      <c r="D283" t="s">
        <v>261</v>
      </c>
      <c r="E283" t="s">
        <v>64</v>
      </c>
      <c r="F283" t="s">
        <v>4453</v>
      </c>
      <c r="G283" t="s">
        <v>18553</v>
      </c>
      <c r="H283" t="s">
        <v>1112</v>
      </c>
      <c r="I283" t="s">
        <v>1108</v>
      </c>
      <c r="J283" t="s">
        <v>4454</v>
      </c>
      <c r="K283" t="s">
        <v>4455</v>
      </c>
      <c r="L283" t="s">
        <v>21</v>
      </c>
      <c r="M283" t="s">
        <v>19177</v>
      </c>
      <c r="N283" t="s">
        <v>6029</v>
      </c>
      <c r="O283" t="s">
        <v>6029</v>
      </c>
      <c r="P283" t="s">
        <v>114</v>
      </c>
    </row>
    <row r="284">
      <c r="A284">
        <f>HYPERLINK("http://bombeiros.sp.gov.br/hidrantes/03individual/4369.html","4369")</f>
      </c>
      <c r="B284" t="s">
        <v>114</v>
      </c>
      <c r="C284" t="s">
        <v>260</v>
      </c>
      <c r="D284" t="s">
        <v>261</v>
      </c>
      <c r="E284" t="s">
        <v>64</v>
      </c>
      <c r="F284" t="s">
        <v>4456</v>
      </c>
      <c r="G284" t="s">
        <v>18099</v>
      </c>
      <c r="H284" t="s">
        <v>1112</v>
      </c>
      <c r="I284" t="s">
        <v>1108</v>
      </c>
      <c r="J284" t="s">
        <v>4457</v>
      </c>
      <c r="K284" t="s">
        <v>4458</v>
      </c>
      <c r="L284" t="s">
        <v>36</v>
      </c>
      <c r="M284" t="s">
        <v>19177</v>
      </c>
      <c r="N284" t="s">
        <v>6029</v>
      </c>
      <c r="O284" t="s">
        <v>6029</v>
      </c>
      <c r="P284" t="s">
        <v>114</v>
      </c>
    </row>
    <row r="285">
      <c r="A285">
        <f>HYPERLINK("http://bombeiros.sp.gov.br/hidrantes/03individual/26975.html","26975")</f>
      </c>
      <c r="B285" t="s">
        <v>114</v>
      </c>
      <c r="C285" t="s">
        <v>260</v>
      </c>
      <c r="D285" t="s">
        <v>261</v>
      </c>
      <c r="E285" t="s">
        <v>64</v>
      </c>
      <c r="F285" t="s">
        <v>16529</v>
      </c>
      <c r="G285" t="s">
        <v>18134</v>
      </c>
      <c r="H285" t="s">
        <v>1107</v>
      </c>
      <c r="I285" t="s">
        <v>1108</v>
      </c>
      <c r="J285" t="s">
        <v>16530</v>
      </c>
      <c r="K285" t="s">
        <v>16531</v>
      </c>
      <c r="L285" t="s">
        <v>21</v>
      </c>
      <c r="M285" t="s">
        <v>19177</v>
      </c>
      <c r="N285" t="s">
        <v>6029</v>
      </c>
      <c r="O285" t="s">
        <v>6029</v>
      </c>
      <c r="P285" t="s">
        <v>114</v>
      </c>
    </row>
    <row r="286">
      <c r="A286">
        <f>HYPERLINK("http://bombeiros.sp.gov.br/hidrantes/03individual/27090.html","27090")</f>
      </c>
      <c r="B286" t="s">
        <v>114</v>
      </c>
      <c r="C286" t="s">
        <v>260</v>
      </c>
      <c r="D286" t="s">
        <v>261</v>
      </c>
      <c r="E286" t="s">
        <v>64</v>
      </c>
      <c r="F286" t="s">
        <v>16761</v>
      </c>
      <c r="G286" t="s">
        <v>18134</v>
      </c>
      <c r="H286" t="s">
        <v>1107</v>
      </c>
      <c r="I286" t="s">
        <v>1108</v>
      </c>
      <c r="J286" t="s">
        <v>16762</v>
      </c>
      <c r="K286" t="s">
        <v>16763</v>
      </c>
      <c r="L286" t="s">
        <v>21</v>
      </c>
      <c r="M286" t="s">
        <v>19177</v>
      </c>
      <c r="N286" t="s">
        <v>6029</v>
      </c>
      <c r="O286" t="s">
        <v>6029</v>
      </c>
      <c r="P286" t="s">
        <v>114</v>
      </c>
    </row>
    <row r="287">
      <c r="A287">
        <f>HYPERLINK("http://bombeiros.sp.gov.br/hidrantes/03individual/27330.html","27330")</f>
      </c>
      <c r="B287" t="s">
        <v>114</v>
      </c>
      <c r="C287" t="s">
        <v>260</v>
      </c>
      <c r="D287" t="s">
        <v>261</v>
      </c>
      <c r="E287" t="s">
        <v>64</v>
      </c>
      <c r="F287" t="s">
        <v>17164</v>
      </c>
      <c r="G287" t="s">
        <v>18547</v>
      </c>
      <c r="H287" t="s">
        <v>1112</v>
      </c>
      <c r="I287" t="s">
        <v>1108</v>
      </c>
      <c r="J287" t="s">
        <v>17165</v>
      </c>
      <c r="K287" t="s">
        <v>17166</v>
      </c>
      <c r="L287" t="s">
        <v>21</v>
      </c>
      <c r="M287" t="s">
        <v>19177</v>
      </c>
      <c r="N287" t="s">
        <v>6029</v>
      </c>
      <c r="O287" t="s">
        <v>6029</v>
      </c>
      <c r="P287" t="s">
        <v>114</v>
      </c>
    </row>
    <row r="288">
      <c r="A288">
        <f>HYPERLINK("http://bombeiros.sp.gov.br/hidrantes/03individual/27609.html","27609")</f>
      </c>
      <c r="B288" t="s">
        <v>114</v>
      </c>
      <c r="C288" t="s">
        <v>260</v>
      </c>
      <c r="D288" t="s">
        <v>261</v>
      </c>
      <c r="E288" t="s">
        <v>64</v>
      </c>
      <c r="F288" t="s">
        <v>17492</v>
      </c>
      <c r="G288" t="s">
        <v>18547</v>
      </c>
      <c r="H288" t="s">
        <v>1112</v>
      </c>
      <c r="I288" t="s">
        <v>1108</v>
      </c>
      <c r="J288" t="s">
        <v>17493</v>
      </c>
      <c r="K288" t="s">
        <v>17494</v>
      </c>
      <c r="L288" t="s">
        <v>21</v>
      </c>
      <c r="M288" t="s">
        <v>19177</v>
      </c>
      <c r="N288" t="s">
        <v>6029</v>
      </c>
      <c r="O288" t="s">
        <v>6029</v>
      </c>
      <c r="P288" t="s">
        <v>114</v>
      </c>
    </row>
    <row r="289">
      <c r="A289">
        <f>HYPERLINK("http://bombeiros.sp.gov.br/hidrantes/03individual/27650.html","27650")</f>
      </c>
      <c r="B289" t="s">
        <v>114</v>
      </c>
      <c r="C289" t="s">
        <v>260</v>
      </c>
      <c r="D289" t="s">
        <v>261</v>
      </c>
      <c r="E289" t="s">
        <v>64</v>
      </c>
      <c r="F289" t="s">
        <v>17547</v>
      </c>
      <c r="G289" t="s">
        <v>18092</v>
      </c>
      <c r="H289" t="s">
        <v>1121</v>
      </c>
      <c r="I289" t="s">
        <v>1117</v>
      </c>
      <c r="J289" t="s">
        <v>17548</v>
      </c>
      <c r="K289" t="s">
        <v>17549</v>
      </c>
      <c r="L289" t="s">
        <v>21</v>
      </c>
      <c r="M289" t="s">
        <v>19177</v>
      </c>
      <c r="N289" t="s">
        <v>6029</v>
      </c>
      <c r="O289" t="s">
        <v>6029</v>
      </c>
      <c r="P289" t="s">
        <v>114</v>
      </c>
    </row>
    <row r="290">
      <c r="A290">
        <f>HYPERLINK("http://bombeiros.sp.gov.br/hidrantes/03individual/27682.html","27682")</f>
      </c>
      <c r="B290" t="s">
        <v>114</v>
      </c>
      <c r="C290" t="s">
        <v>260</v>
      </c>
      <c r="D290" t="s">
        <v>261</v>
      </c>
      <c r="E290" t="s">
        <v>64</v>
      </c>
      <c r="F290" t="s">
        <v>17642</v>
      </c>
      <c r="G290" t="s">
        <v>18553</v>
      </c>
      <c r="H290" t="s">
        <v>1112</v>
      </c>
      <c r="I290" t="s">
        <v>1108</v>
      </c>
      <c r="J290" t="s">
        <v>17643</v>
      </c>
      <c r="K290" t="s">
        <v>17644</v>
      </c>
      <c r="L290" t="s">
        <v>21</v>
      </c>
      <c r="M290" t="s">
        <v>19177</v>
      </c>
      <c r="N290" t="s">
        <v>6029</v>
      </c>
      <c r="O290" t="s">
        <v>6029</v>
      </c>
      <c r="P290" t="s">
        <v>114</v>
      </c>
    </row>
    <row r="291">
      <c r="A291">
        <f>HYPERLINK("http://bombeiros.sp.gov.br/hidrantes/03individual/3764.html","3764")</f>
      </c>
      <c r="B291" t="s">
        <v>114</v>
      </c>
      <c r="C291" t="s">
        <v>260</v>
      </c>
      <c r="D291" t="s">
        <v>261</v>
      </c>
      <c r="E291" t="s">
        <v>15</v>
      </c>
      <c r="F291" t="s">
        <v>4468</v>
      </c>
      <c r="G291" t="s">
        <v>18092</v>
      </c>
      <c r="H291" t="s">
        <v>1107</v>
      </c>
      <c r="I291" t="s">
        <v>1108</v>
      </c>
      <c r="J291" t="s">
        <v>17126</v>
      </c>
      <c r="K291" t="s">
        <v>17127</v>
      </c>
      <c r="L291" t="s">
        <v>21</v>
      </c>
      <c r="M291" t="s">
        <v>19177</v>
      </c>
      <c r="N291" t="s">
        <v>6029</v>
      </c>
      <c r="O291" t="s">
        <v>6029</v>
      </c>
      <c r="P291" t="s">
        <v>114</v>
      </c>
    </row>
    <row r="292">
      <c r="A292">
        <f>HYPERLINK("http://bombeiros.sp.gov.br/hidrantes/03individual/3747.html","3747")</f>
      </c>
      <c r="B292" t="s">
        <v>114</v>
      </c>
      <c r="C292" t="s">
        <v>260</v>
      </c>
      <c r="D292" t="s">
        <v>260</v>
      </c>
      <c r="E292" t="s">
        <v>64</v>
      </c>
      <c r="F292" t="s">
        <v>4474</v>
      </c>
      <c r="G292" t="s">
        <v>18191</v>
      </c>
      <c r="H292" t="s">
        <v>1112</v>
      </c>
      <c r="I292" t="s">
        <v>1108</v>
      </c>
      <c r="J292" t="s">
        <v>4475</v>
      </c>
      <c r="K292" t="s">
        <v>4476</v>
      </c>
      <c r="L292" t="s">
        <v>36</v>
      </c>
      <c r="M292" t="s">
        <v>19177</v>
      </c>
      <c r="N292" t="s">
        <v>6029</v>
      </c>
      <c r="O292" t="s">
        <v>6029</v>
      </c>
      <c r="P292" t="s">
        <v>114</v>
      </c>
    </row>
    <row r="293">
      <c r="A293">
        <f>HYPERLINK("http://bombeiros.sp.gov.br/hidrantes/03individual/26279.html","26279")</f>
      </c>
      <c r="B293" t="s">
        <v>114</v>
      </c>
      <c r="C293" t="s">
        <v>260</v>
      </c>
      <c r="D293" t="s">
        <v>260</v>
      </c>
      <c r="E293" t="s">
        <v>64</v>
      </c>
      <c r="F293" t="s">
        <v>4477</v>
      </c>
      <c r="G293" t="s">
        <v>18545</v>
      </c>
      <c r="H293" t="s">
        <v>1112</v>
      </c>
      <c r="I293" t="s">
        <v>1108</v>
      </c>
      <c r="J293" t="s">
        <v>4478</v>
      </c>
      <c r="K293" t="s">
        <v>4479</v>
      </c>
      <c r="L293" t="s">
        <v>21</v>
      </c>
      <c r="M293" t="s">
        <v>19177</v>
      </c>
      <c r="N293" t="s">
        <v>6029</v>
      </c>
      <c r="O293" t="s">
        <v>6029</v>
      </c>
      <c r="P293" t="s">
        <v>114</v>
      </c>
    </row>
    <row r="294">
      <c r="A294">
        <f>HYPERLINK("http://bombeiros.sp.gov.br/hidrantes/03individual/27389.html","27389")</f>
      </c>
      <c r="B294" t="s">
        <v>114</v>
      </c>
      <c r="C294" t="s">
        <v>260</v>
      </c>
      <c r="D294" t="s">
        <v>260</v>
      </c>
      <c r="E294" t="s">
        <v>64</v>
      </c>
      <c r="F294" t="s">
        <v>17235</v>
      </c>
      <c r="G294" t="s">
        <v>18545</v>
      </c>
      <c r="H294" t="s">
        <v>1112</v>
      </c>
      <c r="I294" t="s">
        <v>1108</v>
      </c>
      <c r="J294" t="s">
        <v>17236</v>
      </c>
      <c r="K294" t="s">
        <v>17237</v>
      </c>
      <c r="L294" t="s">
        <v>21</v>
      </c>
      <c r="M294" t="s">
        <v>19177</v>
      </c>
      <c r="N294" t="s">
        <v>6029</v>
      </c>
      <c r="O294" t="s">
        <v>6029</v>
      </c>
      <c r="P294" t="s">
        <v>114</v>
      </c>
    </row>
    <row r="295">
      <c r="A295">
        <f>HYPERLINK("http://bombeiros.sp.gov.br/hidrantes/03individual/27614.html","27614")</f>
      </c>
      <c r="B295" t="s">
        <v>114</v>
      </c>
      <c r="C295" t="s">
        <v>260</v>
      </c>
      <c r="D295" t="s">
        <v>260</v>
      </c>
      <c r="E295" t="s">
        <v>64</v>
      </c>
      <c r="F295" t="s">
        <v>17497</v>
      </c>
      <c r="G295" t="s">
        <v>18548</v>
      </c>
      <c r="H295" t="s">
        <v>1112</v>
      </c>
      <c r="I295" t="s">
        <v>1108</v>
      </c>
      <c r="J295" t="s">
        <v>17498</v>
      </c>
      <c r="K295" t="s">
        <v>17499</v>
      </c>
      <c r="L295" t="s">
        <v>21</v>
      </c>
      <c r="M295" t="s">
        <v>19177</v>
      </c>
      <c r="N295" t="s">
        <v>6029</v>
      </c>
      <c r="O295" t="s">
        <v>6029</v>
      </c>
      <c r="P295" t="s">
        <v>114</v>
      </c>
    </row>
    <row r="296">
      <c r="A296">
        <f>HYPERLINK("http://bombeiros.sp.gov.br/hidrantes/03individual/27648.html","27648")</f>
      </c>
      <c r="B296" t="s">
        <v>114</v>
      </c>
      <c r="C296" t="s">
        <v>260</v>
      </c>
      <c r="D296" t="s">
        <v>260</v>
      </c>
      <c r="E296" t="s">
        <v>64</v>
      </c>
      <c r="F296" t="s">
        <v>17543</v>
      </c>
      <c r="G296" t="s">
        <v>18548</v>
      </c>
      <c r="H296" t="s">
        <v>1112</v>
      </c>
      <c r="I296" t="s">
        <v>1108</v>
      </c>
      <c r="J296" t="s">
        <v>17544</v>
      </c>
      <c r="K296" t="s">
        <v>17545</v>
      </c>
      <c r="L296" t="s">
        <v>21</v>
      </c>
      <c r="M296" t="s">
        <v>19177</v>
      </c>
      <c r="N296" t="s">
        <v>6029</v>
      </c>
      <c r="O296" t="s">
        <v>6029</v>
      </c>
      <c r="P296" t="s">
        <v>114</v>
      </c>
    </row>
    <row r="297">
      <c r="A297">
        <f>HYPERLINK("http://bombeiros.sp.gov.br/hidrantes/03individual/1967.html","1967")</f>
      </c>
      <c r="B297" t="s">
        <v>114</v>
      </c>
      <c r="C297" t="s">
        <v>260</v>
      </c>
      <c r="D297" t="s">
        <v>260</v>
      </c>
      <c r="E297" t="s">
        <v>15</v>
      </c>
      <c r="F297" t="s">
        <v>4486</v>
      </c>
      <c r="G297" t="s">
        <v>18547</v>
      </c>
      <c r="H297" t="s">
        <v>1112</v>
      </c>
      <c r="I297" t="s">
        <v>1108</v>
      </c>
      <c r="J297" t="s">
        <v>4487</v>
      </c>
      <c r="K297" t="s">
        <v>4488</v>
      </c>
      <c r="L297" t="s">
        <v>21</v>
      </c>
      <c r="M297" t="s">
        <v>19177</v>
      </c>
      <c r="N297" t="s">
        <v>6029</v>
      </c>
      <c r="O297" t="s">
        <v>6029</v>
      </c>
      <c r="P297" t="s">
        <v>114</v>
      </c>
    </row>
    <row r="298">
      <c r="A298">
        <f>HYPERLINK("http://bombeiros.sp.gov.br/hidrantes/03individual/1968.html","1968")</f>
      </c>
      <c r="B298" t="s">
        <v>114</v>
      </c>
      <c r="C298" t="s">
        <v>260</v>
      </c>
      <c r="D298" t="s">
        <v>260</v>
      </c>
      <c r="E298" t="s">
        <v>15</v>
      </c>
      <c r="F298" t="s">
        <v>4489</v>
      </c>
      <c r="G298" t="s">
        <v>18043</v>
      </c>
      <c r="H298" t="s">
        <v>1112</v>
      </c>
      <c r="I298" t="s">
        <v>1108</v>
      </c>
      <c r="J298" t="s">
        <v>4490</v>
      </c>
      <c r="K298" t="s">
        <v>4491</v>
      </c>
      <c r="L298" t="s">
        <v>21</v>
      </c>
      <c r="M298" t="s">
        <v>19177</v>
      </c>
      <c r="N298" t="s">
        <v>6029</v>
      </c>
      <c r="O298" t="s">
        <v>6029</v>
      </c>
      <c r="P298" t="s">
        <v>114</v>
      </c>
    </row>
    <row r="299">
      <c r="A299">
        <f>HYPERLINK("http://bombeiros.sp.gov.br/hidrantes/03individual/1971.html","1971")</f>
      </c>
      <c r="B299" t="s">
        <v>114</v>
      </c>
      <c r="C299" t="s">
        <v>260</v>
      </c>
      <c r="D299" t="s">
        <v>260</v>
      </c>
      <c r="E299" t="s">
        <v>15</v>
      </c>
      <c r="F299" t="s">
        <v>4492</v>
      </c>
      <c r="G299" t="s">
        <v>18094</v>
      </c>
      <c r="H299" t="s">
        <v>1112</v>
      </c>
      <c r="I299" t="s">
        <v>1108</v>
      </c>
      <c r="J299" t="s">
        <v>4493</v>
      </c>
      <c r="K299" t="s">
        <v>4494</v>
      </c>
      <c r="L299" t="s">
        <v>21</v>
      </c>
      <c r="M299" t="s">
        <v>19177</v>
      </c>
      <c r="N299" t="s">
        <v>6029</v>
      </c>
      <c r="O299" t="s">
        <v>6029</v>
      </c>
      <c r="P299" t="s">
        <v>114</v>
      </c>
    </row>
    <row r="300">
      <c r="A300">
        <f>HYPERLINK("http://bombeiros.sp.gov.br/hidrantes/03individual/3471.html","3471")</f>
      </c>
      <c r="B300" t="s">
        <v>114</v>
      </c>
      <c r="C300" t="s">
        <v>260</v>
      </c>
      <c r="D300" t="s">
        <v>260</v>
      </c>
      <c r="E300" t="s">
        <v>15</v>
      </c>
      <c r="F300" t="s">
        <v>4501</v>
      </c>
      <c r="G300" t="s">
        <v>18094</v>
      </c>
      <c r="H300" t="s">
        <v>1112</v>
      </c>
      <c r="I300" t="s">
        <v>1108</v>
      </c>
      <c r="J300" t="s">
        <v>4502</v>
      </c>
      <c r="K300" t="s">
        <v>4503</v>
      </c>
      <c r="L300" t="s">
        <v>21</v>
      </c>
      <c r="M300" t="s">
        <v>19177</v>
      </c>
      <c r="N300" t="s">
        <v>6029</v>
      </c>
      <c r="O300" t="s">
        <v>6029</v>
      </c>
      <c r="P300" t="s">
        <v>114</v>
      </c>
    </row>
    <row r="301">
      <c r="A301">
        <f>HYPERLINK("http://bombeiros.sp.gov.br/hidrantes/03individual/911.html","911")</f>
      </c>
      <c r="B301" t="s">
        <v>114</v>
      </c>
      <c r="C301" t="s">
        <v>260</v>
      </c>
      <c r="D301" t="s">
        <v>265</v>
      </c>
      <c r="E301" t="s">
        <v>64</v>
      </c>
      <c r="F301" t="s">
        <v>4510</v>
      </c>
      <c r="G301" t="s">
        <v>18134</v>
      </c>
      <c r="H301" t="s">
        <v>1107</v>
      </c>
      <c r="I301" t="s">
        <v>1108</v>
      </c>
      <c r="J301" t="s">
        <v>4511</v>
      </c>
      <c r="K301" t="s">
        <v>4512</v>
      </c>
      <c r="L301" t="s">
        <v>21</v>
      </c>
      <c r="M301" t="s">
        <v>19177</v>
      </c>
      <c r="N301" t="s">
        <v>6029</v>
      </c>
      <c r="O301" t="s">
        <v>6029</v>
      </c>
      <c r="P301" t="s">
        <v>114</v>
      </c>
    </row>
    <row r="302">
      <c r="A302">
        <f>HYPERLINK("http://bombeiros.sp.gov.br/hidrantes/03individual/3715.html","3715")</f>
      </c>
      <c r="B302" t="s">
        <v>114</v>
      </c>
      <c r="C302" t="s">
        <v>260</v>
      </c>
      <c r="D302" t="s">
        <v>265</v>
      </c>
      <c r="E302" t="s">
        <v>64</v>
      </c>
      <c r="F302" t="s">
        <v>4516</v>
      </c>
      <c r="G302" t="s">
        <v>18181</v>
      </c>
      <c r="H302" t="s">
        <v>1112</v>
      </c>
      <c r="I302" t="s">
        <v>1108</v>
      </c>
      <c r="J302" t="s">
        <v>4517</v>
      </c>
      <c r="K302" t="s">
        <v>4518</v>
      </c>
      <c r="L302" t="s">
        <v>21</v>
      </c>
      <c r="M302" t="s">
        <v>19177</v>
      </c>
      <c r="N302" t="s">
        <v>6029</v>
      </c>
      <c r="O302" t="s">
        <v>6029</v>
      </c>
      <c r="P302" t="s">
        <v>114</v>
      </c>
    </row>
    <row r="303">
      <c r="A303">
        <f>HYPERLINK("http://bombeiros.sp.gov.br/hidrantes/03individual/4349.html","4349")</f>
      </c>
      <c r="B303" t="s">
        <v>114</v>
      </c>
      <c r="C303" t="s">
        <v>260</v>
      </c>
      <c r="D303" t="s">
        <v>265</v>
      </c>
      <c r="E303" t="s">
        <v>64</v>
      </c>
      <c r="F303" t="s">
        <v>4519</v>
      </c>
      <c r="G303" t="s">
        <v>18085</v>
      </c>
      <c r="H303" t="s">
        <v>1112</v>
      </c>
      <c r="I303" t="s">
        <v>1108</v>
      </c>
      <c r="J303" t="s">
        <v>4520</v>
      </c>
      <c r="K303" t="s">
        <v>4521</v>
      </c>
      <c r="L303" t="s">
        <v>21</v>
      </c>
      <c r="M303" t="s">
        <v>19177</v>
      </c>
      <c r="N303" t="s">
        <v>6029</v>
      </c>
      <c r="O303" t="s">
        <v>6029</v>
      </c>
      <c r="P303" t="s">
        <v>114</v>
      </c>
    </row>
    <row r="304">
      <c r="A304">
        <f>HYPERLINK("http://bombeiros.sp.gov.br/hidrantes/03individual/1991.html","1991")</f>
      </c>
      <c r="B304" t="s">
        <v>114</v>
      </c>
      <c r="C304" t="s">
        <v>260</v>
      </c>
      <c r="D304" t="s">
        <v>265</v>
      </c>
      <c r="E304" t="s">
        <v>15</v>
      </c>
      <c r="F304" t="s">
        <v>4522</v>
      </c>
      <c r="G304" t="s">
        <v>18134</v>
      </c>
      <c r="H304" t="s">
        <v>1107</v>
      </c>
      <c r="I304" t="s">
        <v>1108</v>
      </c>
      <c r="J304" t="s">
        <v>4523</v>
      </c>
      <c r="K304" t="s">
        <v>4524</v>
      </c>
      <c r="L304" t="s">
        <v>21</v>
      </c>
      <c r="M304" t="s">
        <v>19177</v>
      </c>
      <c r="N304" t="s">
        <v>6029</v>
      </c>
      <c r="O304" t="s">
        <v>6029</v>
      </c>
      <c r="P304" t="s">
        <v>114</v>
      </c>
    </row>
    <row r="305">
      <c r="A305">
        <f>HYPERLINK("http://bombeiros.sp.gov.br/hidrantes/03individual/2047.html","2047")</f>
      </c>
      <c r="B305" t="s">
        <v>114</v>
      </c>
      <c r="C305" t="s">
        <v>260</v>
      </c>
      <c r="D305" t="s">
        <v>265</v>
      </c>
      <c r="E305" t="s">
        <v>15</v>
      </c>
      <c r="F305" t="s">
        <v>4525</v>
      </c>
      <c r="G305" t="s">
        <v>18084</v>
      </c>
      <c r="H305" t="s">
        <v>1112</v>
      </c>
      <c r="I305" t="s">
        <v>1108</v>
      </c>
      <c r="J305" t="s">
        <v>4526</v>
      </c>
      <c r="K305" t="s">
        <v>4527</v>
      </c>
      <c r="L305" t="s">
        <v>21</v>
      </c>
      <c r="M305" t="s">
        <v>19177</v>
      </c>
      <c r="N305" t="s">
        <v>6029</v>
      </c>
      <c r="O305" t="s">
        <v>6029</v>
      </c>
      <c r="P305" t="s">
        <v>114</v>
      </c>
    </row>
    <row r="306">
      <c r="A306">
        <f>HYPERLINK("http://bombeiros.sp.gov.br/hidrantes/03individual/3713.html","3713")</f>
      </c>
      <c r="B306" t="s">
        <v>114</v>
      </c>
      <c r="C306" t="s">
        <v>260</v>
      </c>
      <c r="D306" t="s">
        <v>265</v>
      </c>
      <c r="E306" t="s">
        <v>15</v>
      </c>
      <c r="F306" t="s">
        <v>4537</v>
      </c>
      <c r="G306" t="s">
        <v>18085</v>
      </c>
      <c r="H306" t="s">
        <v>1112</v>
      </c>
      <c r="I306" t="s">
        <v>1108</v>
      </c>
      <c r="J306" t="s">
        <v>4538</v>
      </c>
      <c r="K306" t="s">
        <v>4539</v>
      </c>
      <c r="L306" t="s">
        <v>21</v>
      </c>
      <c r="M306" t="s">
        <v>19177</v>
      </c>
      <c r="N306" t="s">
        <v>6029</v>
      </c>
      <c r="O306" t="s">
        <v>6029</v>
      </c>
      <c r="P306" t="s">
        <v>114</v>
      </c>
    </row>
    <row r="307">
      <c r="A307">
        <f>HYPERLINK("http://bombeiros.sp.gov.br/hidrantes/03individual/3714.html","3714")</f>
      </c>
      <c r="B307" t="s">
        <v>114</v>
      </c>
      <c r="C307" t="s">
        <v>260</v>
      </c>
      <c r="D307" t="s">
        <v>265</v>
      </c>
      <c r="E307" t="s">
        <v>15</v>
      </c>
      <c r="F307" t="s">
        <v>4540</v>
      </c>
      <c r="G307" t="s">
        <v>18085</v>
      </c>
      <c r="H307" t="s">
        <v>1112</v>
      </c>
      <c r="I307" t="s">
        <v>1108</v>
      </c>
      <c r="J307" t="s">
        <v>4541</v>
      </c>
      <c r="K307" t="s">
        <v>4542</v>
      </c>
      <c r="L307" t="s">
        <v>21</v>
      </c>
      <c r="M307" t="s">
        <v>19177</v>
      </c>
      <c r="N307" t="s">
        <v>6029</v>
      </c>
      <c r="O307" t="s">
        <v>6029</v>
      </c>
      <c r="P307" t="s">
        <v>114</v>
      </c>
    </row>
    <row r="308">
      <c r="A308">
        <f>HYPERLINK("http://bombeiros.sp.gov.br/hidrantes/03individual/17897.html","17897")</f>
      </c>
      <c r="B308" t="s">
        <v>114</v>
      </c>
      <c r="C308" t="s">
        <v>260</v>
      </c>
      <c r="D308" t="s">
        <v>265</v>
      </c>
      <c r="E308" t="s">
        <v>15</v>
      </c>
      <c r="F308" t="s">
        <v>4552</v>
      </c>
      <c r="G308" t="s">
        <v>18134</v>
      </c>
      <c r="H308" t="s">
        <v>1107</v>
      </c>
      <c r="I308" t="s">
        <v>1108</v>
      </c>
      <c r="J308" t="s">
        <v>4553</v>
      </c>
      <c r="K308" t="s">
        <v>4554</v>
      </c>
      <c r="L308" t="s">
        <v>21</v>
      </c>
      <c r="M308" t="s">
        <v>19177</v>
      </c>
      <c r="N308" t="s">
        <v>6029</v>
      </c>
      <c r="O308" t="s">
        <v>6029</v>
      </c>
      <c r="P308" t="s">
        <v>114</v>
      </c>
    </row>
    <row r="309">
      <c r="A309">
        <f>HYPERLINK("http://bombeiros.sp.gov.br/hidrantes/03individual/28024.html","28024")</f>
      </c>
      <c r="B309" t="s">
        <v>114</v>
      </c>
      <c r="C309" t="s">
        <v>260</v>
      </c>
      <c r="D309" t="s">
        <v>265</v>
      </c>
      <c r="E309" t="s">
        <v>15</v>
      </c>
      <c r="F309" t="s">
        <v>18282</v>
      </c>
      <c r="G309" t="s">
        <v>18043</v>
      </c>
      <c r="H309" t="s">
        <v>1112</v>
      </c>
      <c r="I309" t="s">
        <v>1108</v>
      </c>
      <c r="J309" t="s">
        <v>18283</v>
      </c>
      <c r="K309" t="s">
        <v>18284</v>
      </c>
      <c r="L309" t="s">
        <v>21</v>
      </c>
      <c r="M309" t="s">
        <v>19177</v>
      </c>
      <c r="N309" t="s">
        <v>6029</v>
      </c>
      <c r="O309" t="s">
        <v>6029</v>
      </c>
      <c r="P309" t="s">
        <v>114</v>
      </c>
    </row>
    <row r="310">
      <c r="A310">
        <f>HYPERLINK("http://bombeiros.sp.gov.br/hidrantes/03individual/1918.html","1918")</f>
      </c>
      <c r="B310" t="s">
        <v>114</v>
      </c>
      <c r="C310" t="s">
        <v>272</v>
      </c>
      <c r="D310" t="s">
        <v>4555</v>
      </c>
      <c r="E310" t="s">
        <v>15</v>
      </c>
      <c r="F310" t="s">
        <v>4562</v>
      </c>
      <c r="G310" t="s">
        <v>18097</v>
      </c>
      <c r="H310" t="s">
        <v>1107</v>
      </c>
      <c r="I310" t="s">
        <v>1108</v>
      </c>
      <c r="J310" t="s">
        <v>4563</v>
      </c>
      <c r="K310" t="s">
        <v>4564</v>
      </c>
      <c r="L310" t="s">
        <v>21</v>
      </c>
      <c r="M310" t="s">
        <v>19177</v>
      </c>
      <c r="N310" t="s">
        <v>309</v>
      </c>
      <c r="O310" t="s">
        <v>6029</v>
      </c>
      <c r="P310" t="s">
        <v>114</v>
      </c>
    </row>
    <row r="311">
      <c r="A311">
        <f>HYPERLINK("http://bombeiros.sp.gov.br/hidrantes/03individual/3460.html","3460")</f>
      </c>
      <c r="B311" t="s">
        <v>114</v>
      </c>
      <c r="C311" t="s">
        <v>272</v>
      </c>
      <c r="D311" t="s">
        <v>4555</v>
      </c>
      <c r="E311" t="s">
        <v>15</v>
      </c>
      <c r="F311" t="s">
        <v>4565</v>
      </c>
      <c r="G311" t="s">
        <v>18117</v>
      </c>
      <c r="H311" t="s">
        <v>1112</v>
      </c>
      <c r="I311" t="s">
        <v>1108</v>
      </c>
      <c r="J311" t="s">
        <v>4566</v>
      </c>
      <c r="K311" t="s">
        <v>4567</v>
      </c>
      <c r="L311" t="s">
        <v>36</v>
      </c>
      <c r="M311" t="s">
        <v>19177</v>
      </c>
      <c r="N311" t="s">
        <v>309</v>
      </c>
      <c r="O311" t="s">
        <v>6029</v>
      </c>
      <c r="P311" t="s">
        <v>114</v>
      </c>
    </row>
    <row r="312">
      <c r="A312">
        <f>HYPERLINK("http://bombeiros.sp.gov.br/hidrantes/03individual/3402.html","3402")</f>
      </c>
      <c r="B312" t="s">
        <v>114</v>
      </c>
      <c r="C312" t="s">
        <v>272</v>
      </c>
      <c r="D312" t="s">
        <v>4571</v>
      </c>
      <c r="E312" t="s">
        <v>64</v>
      </c>
      <c r="F312" t="s">
        <v>4572</v>
      </c>
      <c r="G312" t="s">
        <v>18515</v>
      </c>
      <c r="H312" t="s">
        <v>1107</v>
      </c>
      <c r="I312" t="s">
        <v>1108</v>
      </c>
      <c r="J312" t="s">
        <v>4573</v>
      </c>
      <c r="K312" t="s">
        <v>4574</v>
      </c>
      <c r="L312" t="s">
        <v>21</v>
      </c>
      <c r="M312" t="s">
        <v>19177</v>
      </c>
      <c r="N312" t="s">
        <v>272</v>
      </c>
      <c r="O312" t="s">
        <v>272</v>
      </c>
      <c r="P312" t="s">
        <v>114</v>
      </c>
    </row>
    <row r="313">
      <c r="A313">
        <f>HYPERLINK("http://bombeiros.sp.gov.br/hidrantes/03individual/3407.html","3407")</f>
      </c>
      <c r="B313" t="s">
        <v>114</v>
      </c>
      <c r="C313" t="s">
        <v>272</v>
      </c>
      <c r="D313" t="s">
        <v>4571</v>
      </c>
      <c r="E313" t="s">
        <v>64</v>
      </c>
      <c r="F313" t="s">
        <v>4575</v>
      </c>
      <c r="G313" t="s">
        <v>18515</v>
      </c>
      <c r="H313" t="s">
        <v>1112</v>
      </c>
      <c r="I313" t="s">
        <v>1108</v>
      </c>
      <c r="J313" t="s">
        <v>4576</v>
      </c>
      <c r="K313" t="s">
        <v>4577</v>
      </c>
      <c r="L313" t="s">
        <v>21</v>
      </c>
      <c r="M313" t="s">
        <v>19177</v>
      </c>
      <c r="N313" t="s">
        <v>272</v>
      </c>
      <c r="O313" t="s">
        <v>272</v>
      </c>
      <c r="P313" t="s">
        <v>114</v>
      </c>
    </row>
    <row r="314">
      <c r="A314">
        <f>HYPERLINK("http://bombeiros.sp.gov.br/hidrantes/03individual/5524.html","5524")</f>
      </c>
      <c r="B314" t="s">
        <v>114</v>
      </c>
      <c r="C314" t="s">
        <v>272</v>
      </c>
      <c r="D314" t="s">
        <v>4571</v>
      </c>
      <c r="E314" t="s">
        <v>64</v>
      </c>
      <c r="F314" t="s">
        <v>4578</v>
      </c>
      <c r="G314" t="s">
        <v>18515</v>
      </c>
      <c r="H314" t="s">
        <v>1112</v>
      </c>
      <c r="I314" t="s">
        <v>1108</v>
      </c>
      <c r="J314" t="s">
        <v>4579</v>
      </c>
      <c r="K314" t="s">
        <v>4580</v>
      </c>
      <c r="L314" t="s">
        <v>21</v>
      </c>
      <c r="M314" t="s">
        <v>19177</v>
      </c>
      <c r="N314" t="s">
        <v>272</v>
      </c>
      <c r="O314" t="s">
        <v>272</v>
      </c>
      <c r="P314" t="s">
        <v>114</v>
      </c>
    </row>
    <row r="315">
      <c r="A315">
        <f>HYPERLINK("http://bombeiros.sp.gov.br/hidrantes/03individual/27158.html","27158")</f>
      </c>
      <c r="B315" t="s">
        <v>114</v>
      </c>
      <c r="C315" t="s">
        <v>272</v>
      </c>
      <c r="D315" t="s">
        <v>4571</v>
      </c>
      <c r="E315" t="s">
        <v>64</v>
      </c>
      <c r="F315" t="s">
        <v>16849</v>
      </c>
      <c r="G315" t="s">
        <v>18515</v>
      </c>
      <c r="H315" t="s">
        <v>1112</v>
      </c>
      <c r="I315" t="s">
        <v>1108</v>
      </c>
      <c r="J315" t="s">
        <v>16850</v>
      </c>
      <c r="K315" t="s">
        <v>16851</v>
      </c>
      <c r="L315" t="s">
        <v>21</v>
      </c>
      <c r="M315" t="s">
        <v>19177</v>
      </c>
      <c r="N315" t="s">
        <v>272</v>
      </c>
      <c r="O315" t="s">
        <v>272</v>
      </c>
      <c r="P315" t="s">
        <v>114</v>
      </c>
    </row>
    <row r="316">
      <c r="A316">
        <f>HYPERLINK("http://bombeiros.sp.gov.br/hidrantes/03individual/3376.html","3376")</f>
      </c>
      <c r="B316" t="s">
        <v>114</v>
      </c>
      <c r="C316" t="s">
        <v>272</v>
      </c>
      <c r="D316" t="s">
        <v>272</v>
      </c>
      <c r="E316" t="s">
        <v>64</v>
      </c>
      <c r="F316" t="s">
        <v>4581</v>
      </c>
      <c r="G316" t="s">
        <v>18483</v>
      </c>
      <c r="H316" t="s">
        <v>1112</v>
      </c>
      <c r="I316" t="s">
        <v>1108</v>
      </c>
      <c r="J316" t="s">
        <v>4582</v>
      </c>
      <c r="K316" t="s">
        <v>4583</v>
      </c>
      <c r="L316" t="s">
        <v>36</v>
      </c>
      <c r="M316" t="s">
        <v>19177</v>
      </c>
      <c r="N316" t="s">
        <v>272</v>
      </c>
      <c r="O316" t="s">
        <v>272</v>
      </c>
      <c r="P316" t="s">
        <v>114</v>
      </c>
    </row>
    <row r="317">
      <c r="A317">
        <f>HYPERLINK("http://bombeiros.sp.gov.br/hidrantes/03individual/3372.html","3372")</f>
      </c>
      <c r="B317" t="s">
        <v>114</v>
      </c>
      <c r="C317" t="s">
        <v>272</v>
      </c>
      <c r="D317" t="s">
        <v>272</v>
      </c>
      <c r="E317" t="s">
        <v>15</v>
      </c>
      <c r="F317" t="s">
        <v>4597</v>
      </c>
      <c r="G317" t="s">
        <v>18483</v>
      </c>
      <c r="H317" t="s">
        <v>1112</v>
      </c>
      <c r="I317" t="s">
        <v>1108</v>
      </c>
      <c r="J317" t="s">
        <v>4598</v>
      </c>
      <c r="K317" t="s">
        <v>4599</v>
      </c>
      <c r="L317" t="s">
        <v>21</v>
      </c>
      <c r="M317" t="s">
        <v>19177</v>
      </c>
      <c r="N317" t="s">
        <v>272</v>
      </c>
      <c r="O317" t="s">
        <v>272</v>
      </c>
      <c r="P317" t="s">
        <v>114</v>
      </c>
    </row>
    <row r="318">
      <c r="A318">
        <f>HYPERLINK("http://bombeiros.sp.gov.br/hidrantes/03individual/3379.html","3379")</f>
      </c>
      <c r="B318" t="s">
        <v>114</v>
      </c>
      <c r="C318" t="s">
        <v>272</v>
      </c>
      <c r="D318" t="s">
        <v>272</v>
      </c>
      <c r="E318" t="s">
        <v>15</v>
      </c>
      <c r="F318" t="s">
        <v>4603</v>
      </c>
      <c r="G318" t="s">
        <v>18521</v>
      </c>
      <c r="H318" t="s">
        <v>1112</v>
      </c>
      <c r="I318" t="s">
        <v>1108</v>
      </c>
      <c r="J318" t="s">
        <v>4604</v>
      </c>
      <c r="K318" t="s">
        <v>4605</v>
      </c>
      <c r="L318" t="s">
        <v>21</v>
      </c>
      <c r="M318" t="s">
        <v>19177</v>
      </c>
      <c r="N318" t="s">
        <v>272</v>
      </c>
      <c r="O318" t="s">
        <v>272</v>
      </c>
      <c r="P318" t="s">
        <v>114</v>
      </c>
    </row>
    <row r="319">
      <c r="A319">
        <f>HYPERLINK("http://bombeiros.sp.gov.br/hidrantes/03individual/27581.html","27581")</f>
      </c>
      <c r="B319" t="s">
        <v>114</v>
      </c>
      <c r="C319" t="s">
        <v>272</v>
      </c>
      <c r="D319" t="s">
        <v>272</v>
      </c>
      <c r="E319" t="s">
        <v>15</v>
      </c>
      <c r="F319" t="s">
        <v>17466</v>
      </c>
      <c r="G319" t="s">
        <v>18483</v>
      </c>
      <c r="H319" t="s">
        <v>1112</v>
      </c>
      <c r="I319" t="s">
        <v>1108</v>
      </c>
      <c r="J319" t="s">
        <v>17467</v>
      </c>
      <c r="K319" t="s">
        <v>17468</v>
      </c>
      <c r="L319" t="s">
        <v>21</v>
      </c>
      <c r="M319" t="s">
        <v>19177</v>
      </c>
      <c r="N319" t="s">
        <v>272</v>
      </c>
      <c r="O319" t="s">
        <v>272</v>
      </c>
      <c r="P319" t="s">
        <v>114</v>
      </c>
    </row>
    <row r="320">
      <c r="A320">
        <f>HYPERLINK("http://bombeiros.sp.gov.br/hidrantes/03individual/3343.html","3343")</f>
      </c>
      <c r="B320" t="s">
        <v>114</v>
      </c>
      <c r="C320" t="s">
        <v>272</v>
      </c>
      <c r="D320" t="s">
        <v>279</v>
      </c>
      <c r="E320" t="s">
        <v>64</v>
      </c>
      <c r="F320" t="s">
        <v>4609</v>
      </c>
      <c r="G320" t="s">
        <v>18132</v>
      </c>
      <c r="H320" t="s">
        <v>1121</v>
      </c>
      <c r="I320" t="s">
        <v>1117</v>
      </c>
      <c r="J320" t="s">
        <v>4610</v>
      </c>
      <c r="K320" t="s">
        <v>4611</v>
      </c>
      <c r="L320" t="s">
        <v>21</v>
      </c>
      <c r="M320" t="s">
        <v>19177</v>
      </c>
      <c r="N320" t="s">
        <v>272</v>
      </c>
      <c r="O320" t="s">
        <v>272</v>
      </c>
      <c r="P320" t="s">
        <v>114</v>
      </c>
    </row>
    <row r="321">
      <c r="A321">
        <f>HYPERLINK("http://bombeiros.sp.gov.br/hidrantes/03individual/3348.html","3348")</f>
      </c>
      <c r="B321" t="s">
        <v>114</v>
      </c>
      <c r="C321" t="s">
        <v>272</v>
      </c>
      <c r="D321" t="s">
        <v>279</v>
      </c>
      <c r="E321" t="s">
        <v>64</v>
      </c>
      <c r="F321" t="s">
        <v>4615</v>
      </c>
      <c r="G321" t="s">
        <v>18145</v>
      </c>
      <c r="H321" t="s">
        <v>1112</v>
      </c>
      <c r="I321" t="s">
        <v>1108</v>
      </c>
      <c r="J321" t="s">
        <v>4616</v>
      </c>
      <c r="K321" t="s">
        <v>4617</v>
      </c>
      <c r="L321" t="s">
        <v>36</v>
      </c>
      <c r="M321" t="s">
        <v>19177</v>
      </c>
      <c r="N321" t="s">
        <v>272</v>
      </c>
      <c r="O321" t="s">
        <v>272</v>
      </c>
      <c r="P321" t="s">
        <v>114</v>
      </c>
    </row>
    <row r="322">
      <c r="A322">
        <f>HYPERLINK("http://bombeiros.sp.gov.br/hidrantes/03individual/3389.html","3389")</f>
      </c>
      <c r="B322" t="s">
        <v>114</v>
      </c>
      <c r="C322" t="s">
        <v>272</v>
      </c>
      <c r="D322" t="s">
        <v>4658</v>
      </c>
      <c r="E322" t="s">
        <v>15</v>
      </c>
      <c r="F322" t="s">
        <v>4683</v>
      </c>
      <c r="G322" t="s">
        <v>18095</v>
      </c>
      <c r="H322" t="s">
        <v>1112</v>
      </c>
      <c r="I322" t="s">
        <v>1108</v>
      </c>
      <c r="J322" t="s">
        <v>4684</v>
      </c>
      <c r="K322" t="s">
        <v>4685</v>
      </c>
      <c r="L322" t="s">
        <v>21</v>
      </c>
      <c r="M322" t="s">
        <v>19177</v>
      </c>
      <c r="N322" t="s">
        <v>272</v>
      </c>
      <c r="O322" t="s">
        <v>272</v>
      </c>
      <c r="P322" t="s">
        <v>114</v>
      </c>
    </row>
    <row r="323">
      <c r="A323">
        <f>HYPERLINK("http://bombeiros.sp.gov.br/hidrantes/03individual/3427.html","3427")</f>
      </c>
      <c r="B323" t="s">
        <v>114</v>
      </c>
      <c r="C323" t="s">
        <v>272</v>
      </c>
      <c r="D323" t="s">
        <v>284</v>
      </c>
      <c r="E323" t="s">
        <v>64</v>
      </c>
      <c r="F323" t="s">
        <v>4692</v>
      </c>
      <c r="G323" t="s">
        <v>18093</v>
      </c>
      <c r="H323" t="s">
        <v>1112</v>
      </c>
      <c r="I323" t="s">
        <v>1108</v>
      </c>
      <c r="J323" t="s">
        <v>4693</v>
      </c>
      <c r="K323" t="s">
        <v>4694</v>
      </c>
      <c r="L323" t="s">
        <v>21</v>
      </c>
      <c r="M323" t="s">
        <v>19177</v>
      </c>
      <c r="N323" t="s">
        <v>272</v>
      </c>
      <c r="O323" t="s">
        <v>272</v>
      </c>
      <c r="P323" t="s">
        <v>114</v>
      </c>
    </row>
    <row r="324">
      <c r="A324">
        <f>HYPERLINK("http://bombeiros.sp.gov.br/hidrantes/03individual/2100.html","2100")</f>
      </c>
      <c r="B324" t="s">
        <v>114</v>
      </c>
      <c r="C324" t="s">
        <v>289</v>
      </c>
      <c r="D324" t="s">
        <v>289</v>
      </c>
      <c r="E324" t="s">
        <v>64</v>
      </c>
      <c r="F324" t="s">
        <v>4716</v>
      </c>
      <c r="G324" t="s">
        <v>18042</v>
      </c>
      <c r="H324" t="s">
        <v>1107</v>
      </c>
      <c r="I324" t="s">
        <v>1108</v>
      </c>
      <c r="J324" t="s">
        <v>4717</v>
      </c>
      <c r="K324" t="s">
        <v>4718</v>
      </c>
      <c r="L324" t="s">
        <v>21</v>
      </c>
      <c r="M324" t="s">
        <v>19177</v>
      </c>
      <c r="N324" t="s">
        <v>6029</v>
      </c>
      <c r="O324" t="s">
        <v>6029</v>
      </c>
      <c r="P324" t="s">
        <v>114</v>
      </c>
    </row>
    <row r="325">
      <c r="A325">
        <f>HYPERLINK("http://bombeiros.sp.gov.br/hidrantes/03individual/27443.html","27443")</f>
      </c>
      <c r="B325" t="s">
        <v>114</v>
      </c>
      <c r="C325" t="s">
        <v>289</v>
      </c>
      <c r="D325" t="s">
        <v>289</v>
      </c>
      <c r="E325" t="s">
        <v>15</v>
      </c>
      <c r="F325" t="s">
        <v>17316</v>
      </c>
      <c r="G325" t="s">
        <v>18094</v>
      </c>
      <c r="H325" t="s">
        <v>1112</v>
      </c>
      <c r="I325" t="s">
        <v>1108</v>
      </c>
      <c r="J325" t="s">
        <v>17317</v>
      </c>
      <c r="K325" t="s">
        <v>17318</v>
      </c>
      <c r="L325" t="s">
        <v>21</v>
      </c>
      <c r="M325" t="s">
        <v>19177</v>
      </c>
      <c r="N325" t="s">
        <v>6029</v>
      </c>
      <c r="O325" t="s">
        <v>6029</v>
      </c>
      <c r="P325" t="s">
        <v>114</v>
      </c>
    </row>
    <row r="326">
      <c r="A326">
        <f>HYPERLINK("http://bombeiros.sp.gov.br/hidrantes/03individual/3397.html","3397")</f>
      </c>
      <c r="B326" t="s">
        <v>114</v>
      </c>
      <c r="C326" t="s">
        <v>4749</v>
      </c>
      <c r="D326" t="s">
        <v>4750</v>
      </c>
      <c r="E326" t="s">
        <v>64</v>
      </c>
      <c r="F326" t="s">
        <v>4754</v>
      </c>
      <c r="G326" t="s">
        <v>18066</v>
      </c>
      <c r="H326" t="s">
        <v>1112</v>
      </c>
      <c r="I326" t="s">
        <v>1108</v>
      </c>
      <c r="J326" t="s">
        <v>4755</v>
      </c>
      <c r="K326" t="s">
        <v>4756</v>
      </c>
      <c r="L326" t="s">
        <v>21</v>
      </c>
      <c r="M326" t="s">
        <v>19177</v>
      </c>
      <c r="N326" t="s">
        <v>272</v>
      </c>
      <c r="O326" t="s">
        <v>272</v>
      </c>
      <c r="P326" t="s">
        <v>114</v>
      </c>
    </row>
    <row r="327">
      <c r="A327">
        <f>HYPERLINK("http://bombeiros.sp.gov.br/hidrantes/03individual/26991.html","26991")</f>
      </c>
      <c r="B327" t="s">
        <v>114</v>
      </c>
      <c r="C327" t="s">
        <v>4749</v>
      </c>
      <c r="D327" t="s">
        <v>4750</v>
      </c>
      <c r="E327" t="s">
        <v>64</v>
      </c>
      <c r="F327" t="s">
        <v>16574</v>
      </c>
      <c r="G327" t="s">
        <v>18074</v>
      </c>
      <c r="H327" t="s">
        <v>1112</v>
      </c>
      <c r="I327" t="s">
        <v>1108</v>
      </c>
      <c r="J327" t="s">
        <v>16575</v>
      </c>
      <c r="K327" t="s">
        <v>16576</v>
      </c>
      <c r="L327" t="s">
        <v>21</v>
      </c>
      <c r="M327" t="s">
        <v>19177</v>
      </c>
      <c r="N327" t="s">
        <v>272</v>
      </c>
      <c r="O327" t="s">
        <v>272</v>
      </c>
      <c r="P327" t="s">
        <v>114</v>
      </c>
    </row>
    <row r="328">
      <c r="A328">
        <f>HYPERLINK("http://bombeiros.sp.gov.br/hidrantes/03individual/10056.html","10056")</f>
      </c>
      <c r="B328" t="s">
        <v>114</v>
      </c>
      <c r="C328" t="s">
        <v>4749</v>
      </c>
      <c r="D328" t="s">
        <v>4749</v>
      </c>
      <c r="E328" t="s">
        <v>1507</v>
      </c>
      <c r="F328" t="s">
        <v>4760</v>
      </c>
      <c r="G328" t="s">
        <v>18105</v>
      </c>
      <c r="H328"/>
      <c r="I328" t="s">
        <v>18</v>
      </c>
      <c r="J328" t="s">
        <v>19088</v>
      </c>
      <c r="K328" t="s">
        <v>19089</v>
      </c>
      <c r="L328" t="s">
        <v>21</v>
      </c>
      <c r="M328" t="s">
        <v>19177</v>
      </c>
      <c r="N328" t="s">
        <v>272</v>
      </c>
      <c r="O328" t="s">
        <v>272</v>
      </c>
      <c r="P328" t="s">
        <v>114</v>
      </c>
    </row>
    <row r="329">
      <c r="A329">
        <f>HYPERLINK("http://bombeiros.sp.gov.br/hidrantes/03individual/3385.html","3385")</f>
      </c>
      <c r="B329" t="s">
        <v>114</v>
      </c>
      <c r="C329" t="s">
        <v>4749</v>
      </c>
      <c r="D329" t="s">
        <v>4749</v>
      </c>
      <c r="E329" t="s">
        <v>64</v>
      </c>
      <c r="F329" t="s">
        <v>4769</v>
      </c>
      <c r="G329" t="s">
        <v>18105</v>
      </c>
      <c r="H329" t="s">
        <v>1121</v>
      </c>
      <c r="I329" t="s">
        <v>1117</v>
      </c>
      <c r="J329" t="s">
        <v>4770</v>
      </c>
      <c r="K329" t="s">
        <v>4771</v>
      </c>
      <c r="L329" t="s">
        <v>36</v>
      </c>
      <c r="M329" t="s">
        <v>19177</v>
      </c>
      <c r="N329" t="s">
        <v>272</v>
      </c>
      <c r="O329" t="s">
        <v>272</v>
      </c>
      <c r="P329" t="s">
        <v>114</v>
      </c>
    </row>
    <row r="330">
      <c r="A330">
        <f>HYPERLINK("http://bombeiros.sp.gov.br/hidrantes/03individual/3413.html","3413")</f>
      </c>
      <c r="B330" t="s">
        <v>114</v>
      </c>
      <c r="C330" t="s">
        <v>4749</v>
      </c>
      <c r="D330" t="s">
        <v>4749</v>
      </c>
      <c r="E330" t="s">
        <v>64</v>
      </c>
      <c r="F330" t="s">
        <v>4775</v>
      </c>
      <c r="G330" t="s">
        <v>18145</v>
      </c>
      <c r="H330" t="s">
        <v>1112</v>
      </c>
      <c r="I330" t="s">
        <v>1108</v>
      </c>
      <c r="J330" t="s">
        <v>4776</v>
      </c>
      <c r="K330" t="s">
        <v>4777</v>
      </c>
      <c r="L330" t="s">
        <v>36</v>
      </c>
      <c r="M330" t="s">
        <v>19177</v>
      </c>
      <c r="N330" t="s">
        <v>272</v>
      </c>
      <c r="O330" t="s">
        <v>272</v>
      </c>
      <c r="P330" t="s">
        <v>114</v>
      </c>
    </row>
    <row r="331">
      <c r="A331">
        <f>HYPERLINK("http://bombeiros.sp.gov.br/hidrantes/03individual/3414.html","3414")</f>
      </c>
      <c r="B331" t="s">
        <v>114</v>
      </c>
      <c r="C331" t="s">
        <v>4749</v>
      </c>
      <c r="D331" t="s">
        <v>4749</v>
      </c>
      <c r="E331" t="s">
        <v>64</v>
      </c>
      <c r="F331" t="s">
        <v>4778</v>
      </c>
      <c r="G331" t="s">
        <v>18084</v>
      </c>
      <c r="H331" t="s">
        <v>1112</v>
      </c>
      <c r="I331" t="s">
        <v>1108</v>
      </c>
      <c r="J331" t="s">
        <v>4779</v>
      </c>
      <c r="K331" t="s">
        <v>4780</v>
      </c>
      <c r="L331" t="s">
        <v>36</v>
      </c>
      <c r="M331" t="s">
        <v>19177</v>
      </c>
      <c r="N331" t="s">
        <v>272</v>
      </c>
      <c r="O331" t="s">
        <v>272</v>
      </c>
      <c r="P331" t="s">
        <v>114</v>
      </c>
    </row>
    <row r="332">
      <c r="A332">
        <f>HYPERLINK("http://bombeiros.sp.gov.br/hidrantes/03individual/14977.html","14977")</f>
      </c>
      <c r="B332" t="s">
        <v>114</v>
      </c>
      <c r="C332" t="s">
        <v>4749</v>
      </c>
      <c r="D332" t="s">
        <v>4749</v>
      </c>
      <c r="E332" t="s">
        <v>64</v>
      </c>
      <c r="F332" t="s">
        <v>4790</v>
      </c>
      <c r="G332" t="s">
        <v>18105</v>
      </c>
      <c r="H332" t="s">
        <v>1112</v>
      </c>
      <c r="I332" t="s">
        <v>1108</v>
      </c>
      <c r="J332" t="s">
        <v>4791</v>
      </c>
      <c r="K332" t="s">
        <v>4792</v>
      </c>
      <c r="L332" t="s">
        <v>21</v>
      </c>
      <c r="M332" t="s">
        <v>19177</v>
      </c>
      <c r="N332" t="s">
        <v>272</v>
      </c>
      <c r="O332" t="s">
        <v>272</v>
      </c>
      <c r="P332" t="s">
        <v>114</v>
      </c>
    </row>
    <row r="333">
      <c r="A333">
        <f>HYPERLINK("http://bombeiros.sp.gov.br/hidrantes/03individual/26959.html","26959")</f>
      </c>
      <c r="B333" t="s">
        <v>114</v>
      </c>
      <c r="C333" t="s">
        <v>4824</v>
      </c>
      <c r="D333" t="s">
        <v>261</v>
      </c>
      <c r="E333" t="s">
        <v>64</v>
      </c>
      <c r="F333" t="s">
        <v>16473</v>
      </c>
      <c r="G333" t="s">
        <v>18547</v>
      </c>
      <c r="H333" t="s">
        <v>1112</v>
      </c>
      <c r="I333" t="s">
        <v>1108</v>
      </c>
      <c r="J333" t="s">
        <v>16474</v>
      </c>
      <c r="K333" t="s">
        <v>16475</v>
      </c>
      <c r="L333" t="s">
        <v>21</v>
      </c>
      <c r="M333" t="s">
        <v>19177</v>
      </c>
      <c r="N333" t="s">
        <v>6029</v>
      </c>
      <c r="O333" t="s">
        <v>6029</v>
      </c>
      <c r="P333" t="s">
        <v>114</v>
      </c>
    </row>
    <row r="334">
      <c r="A334">
        <f>HYPERLINK("http://bombeiros.sp.gov.br/hidrantes/03individual/3399.html","3399")</f>
      </c>
      <c r="B334" t="s">
        <v>114</v>
      </c>
      <c r="C334" t="s">
        <v>4824</v>
      </c>
      <c r="D334" t="s">
        <v>4824</v>
      </c>
      <c r="E334" t="s">
        <v>64</v>
      </c>
      <c r="F334" t="s">
        <v>4825</v>
      </c>
      <c r="G334" t="s">
        <v>18092</v>
      </c>
      <c r="H334" t="s">
        <v>1107</v>
      </c>
      <c r="I334" t="s">
        <v>1108</v>
      </c>
      <c r="J334" t="s">
        <v>4826</v>
      </c>
      <c r="K334" t="s">
        <v>4827</v>
      </c>
      <c r="L334" t="s">
        <v>21</v>
      </c>
      <c r="M334" t="s">
        <v>19177</v>
      </c>
      <c r="N334" t="s">
        <v>272</v>
      </c>
      <c r="O334" t="s">
        <v>272</v>
      </c>
      <c r="P334" t="s">
        <v>114</v>
      </c>
    </row>
    <row r="335">
      <c r="A335">
        <f>HYPERLINK("http://bombeiros.sp.gov.br/hidrantes/03individual/3408.html","3408")</f>
      </c>
      <c r="B335" t="s">
        <v>114</v>
      </c>
      <c r="C335" t="s">
        <v>4824</v>
      </c>
      <c r="D335" t="s">
        <v>4824</v>
      </c>
      <c r="E335" t="s">
        <v>64</v>
      </c>
      <c r="F335" t="s">
        <v>4828</v>
      </c>
      <c r="G335" t="s">
        <v>18092</v>
      </c>
      <c r="H335" t="s">
        <v>1112</v>
      </c>
      <c r="I335" t="s">
        <v>1108</v>
      </c>
      <c r="J335" t="s">
        <v>4829</v>
      </c>
      <c r="K335" t="s">
        <v>4830</v>
      </c>
      <c r="L335" t="s">
        <v>21</v>
      </c>
      <c r="M335" t="s">
        <v>19177</v>
      </c>
      <c r="N335" t="s">
        <v>272</v>
      </c>
      <c r="O335" t="s">
        <v>272</v>
      </c>
      <c r="P335" t="s">
        <v>114</v>
      </c>
    </row>
    <row r="336">
      <c r="A336">
        <f>HYPERLINK("http://bombeiros.sp.gov.br/hidrantes/03individual/17875.html","17875")</f>
      </c>
      <c r="B336" t="s">
        <v>114</v>
      </c>
      <c r="C336" t="s">
        <v>4824</v>
      </c>
      <c r="D336" t="s">
        <v>4824</v>
      </c>
      <c r="E336" t="s">
        <v>64</v>
      </c>
      <c r="F336" t="s">
        <v>4840</v>
      </c>
      <c r="G336" t="s">
        <v>18092</v>
      </c>
      <c r="H336" t="s">
        <v>1174</v>
      </c>
      <c r="I336" t="s">
        <v>1108</v>
      </c>
      <c r="J336" t="s">
        <v>4841</v>
      </c>
      <c r="K336" t="s">
        <v>4842</v>
      </c>
      <c r="L336" t="s">
        <v>21</v>
      </c>
      <c r="M336" t="s">
        <v>19177</v>
      </c>
      <c r="N336" t="s">
        <v>272</v>
      </c>
      <c r="O336" t="s">
        <v>272</v>
      </c>
      <c r="P336" t="s">
        <v>114</v>
      </c>
    </row>
    <row r="337">
      <c r="A337">
        <f>HYPERLINK("http://bombeiros.sp.gov.br/hidrantes/03individual/1629.html","1629")</f>
      </c>
      <c r="B337" t="s">
        <v>114</v>
      </c>
      <c r="C337" t="s">
        <v>300</v>
      </c>
      <c r="D337" t="s">
        <v>4852</v>
      </c>
      <c r="E337" t="s">
        <v>64</v>
      </c>
      <c r="F337" t="s">
        <v>4856</v>
      </c>
      <c r="G337" t="s">
        <v>18090</v>
      </c>
      <c r="H337" t="s">
        <v>1112</v>
      </c>
      <c r="I337" t="s">
        <v>1108</v>
      </c>
      <c r="J337" t="s">
        <v>4857</v>
      </c>
      <c r="K337" t="s">
        <v>4858</v>
      </c>
      <c r="L337" t="s">
        <v>21</v>
      </c>
      <c r="M337" t="s">
        <v>19177</v>
      </c>
      <c r="N337" t="s">
        <v>300</v>
      </c>
      <c r="O337" t="s">
        <v>16373</v>
      </c>
      <c r="P337" t="s">
        <v>12</v>
      </c>
    </row>
    <row r="338">
      <c r="A338">
        <f>HYPERLINK("http://bombeiros.sp.gov.br/hidrantes/03individual/3189.html","3189")</f>
      </c>
      <c r="B338" t="s">
        <v>114</v>
      </c>
      <c r="C338" t="s">
        <v>300</v>
      </c>
      <c r="D338" t="s">
        <v>4852</v>
      </c>
      <c r="E338" t="s">
        <v>64</v>
      </c>
      <c r="F338" t="s">
        <v>4859</v>
      </c>
      <c r="G338" t="s">
        <v>18133</v>
      </c>
      <c r="H338" t="s">
        <v>1112</v>
      </c>
      <c r="I338" t="s">
        <v>1108</v>
      </c>
      <c r="J338" t="s">
        <v>4860</v>
      </c>
      <c r="K338" t="s">
        <v>4861</v>
      </c>
      <c r="L338" t="s">
        <v>36</v>
      </c>
      <c r="M338" t="s">
        <v>19177</v>
      </c>
      <c r="N338" t="s">
        <v>300</v>
      </c>
      <c r="O338" t="s">
        <v>16373</v>
      </c>
      <c r="P338" t="s">
        <v>12</v>
      </c>
    </row>
    <row r="339">
      <c r="A339">
        <f>HYPERLINK("http://bombeiros.sp.gov.br/hidrantes/03individual/3195.html","3195")</f>
      </c>
      <c r="B339" t="s">
        <v>114</v>
      </c>
      <c r="C339" t="s">
        <v>300</v>
      </c>
      <c r="D339" t="s">
        <v>4852</v>
      </c>
      <c r="E339" t="s">
        <v>64</v>
      </c>
      <c r="F339" t="s">
        <v>4862</v>
      </c>
      <c r="G339" t="s">
        <v>18066</v>
      </c>
      <c r="H339" t="s">
        <v>1112</v>
      </c>
      <c r="I339" t="s">
        <v>1108</v>
      </c>
      <c r="J339" t="s">
        <v>4863</v>
      </c>
      <c r="K339" t="s">
        <v>4864</v>
      </c>
      <c r="L339" t="s">
        <v>36</v>
      </c>
      <c r="M339" t="s">
        <v>19177</v>
      </c>
      <c r="N339" t="s">
        <v>300</v>
      </c>
      <c r="O339" t="s">
        <v>16373</v>
      </c>
      <c r="P339" t="s">
        <v>12</v>
      </c>
    </row>
    <row r="340">
      <c r="A340">
        <f>HYPERLINK("http://bombeiros.sp.gov.br/hidrantes/03individual/3191.html","3191")</f>
      </c>
      <c r="B340" t="s">
        <v>114</v>
      </c>
      <c r="C340" t="s">
        <v>300</v>
      </c>
      <c r="D340" t="s">
        <v>4852</v>
      </c>
      <c r="E340" t="s">
        <v>15</v>
      </c>
      <c r="F340" t="s">
        <v>4880</v>
      </c>
      <c r="G340" t="s">
        <v>18066</v>
      </c>
      <c r="H340" t="s">
        <v>1112</v>
      </c>
      <c r="I340" t="s">
        <v>1108</v>
      </c>
      <c r="J340" t="s">
        <v>4881</v>
      </c>
      <c r="K340" t="s">
        <v>4882</v>
      </c>
      <c r="L340" t="s">
        <v>21</v>
      </c>
      <c r="M340" t="s">
        <v>19177</v>
      </c>
      <c r="N340" t="s">
        <v>300</v>
      </c>
      <c r="O340" t="s">
        <v>16373</v>
      </c>
      <c r="P340" t="s">
        <v>12</v>
      </c>
    </row>
    <row r="341">
      <c r="A341">
        <f>HYPERLINK("http://bombeiros.sp.gov.br/hidrantes/03individual/3598.html","3598")</f>
      </c>
      <c r="B341" t="s">
        <v>114</v>
      </c>
      <c r="C341" t="s">
        <v>300</v>
      </c>
      <c r="D341" t="s">
        <v>4852</v>
      </c>
      <c r="E341" t="s">
        <v>15</v>
      </c>
      <c r="F341" t="s">
        <v>4889</v>
      </c>
      <c r="G341" t="s">
        <v>18066</v>
      </c>
      <c r="H341" t="s">
        <v>1112</v>
      </c>
      <c r="I341" t="s">
        <v>1108</v>
      </c>
      <c r="J341" t="s">
        <v>4890</v>
      </c>
      <c r="K341" t="s">
        <v>4891</v>
      </c>
      <c r="L341" t="s">
        <v>21</v>
      </c>
      <c r="M341" t="s">
        <v>19177</v>
      </c>
      <c r="N341" t="s">
        <v>300</v>
      </c>
      <c r="O341" t="s">
        <v>16373</v>
      </c>
      <c r="P341" t="s">
        <v>12</v>
      </c>
    </row>
    <row r="342">
      <c r="A342">
        <f>HYPERLINK("http://bombeiros.sp.gov.br/hidrantes/03individual/1509.html","1509")</f>
      </c>
      <c r="B342" t="s">
        <v>114</v>
      </c>
      <c r="C342" t="s">
        <v>300</v>
      </c>
      <c r="D342" t="s">
        <v>300</v>
      </c>
      <c r="E342" t="s">
        <v>64</v>
      </c>
      <c r="F342" t="s">
        <v>4892</v>
      </c>
      <c r="G342" t="s">
        <v>18089</v>
      </c>
      <c r="H342" t="s">
        <v>1112</v>
      </c>
      <c r="I342" t="s">
        <v>1108</v>
      </c>
      <c r="J342" t="s">
        <v>4893</v>
      </c>
      <c r="K342" t="s">
        <v>4894</v>
      </c>
      <c r="L342" t="s">
        <v>36</v>
      </c>
      <c r="M342" t="s">
        <v>19177</v>
      </c>
      <c r="N342" t="s">
        <v>300</v>
      </c>
      <c r="O342" t="s">
        <v>16373</v>
      </c>
      <c r="P342" t="s">
        <v>12</v>
      </c>
    </row>
    <row r="343">
      <c r="A343">
        <f>HYPERLINK("http://bombeiros.sp.gov.br/hidrantes/03individual/1530.html","1530")</f>
      </c>
      <c r="B343" t="s">
        <v>114</v>
      </c>
      <c r="C343" t="s">
        <v>300</v>
      </c>
      <c r="D343" t="s">
        <v>300</v>
      </c>
      <c r="E343" t="s">
        <v>64</v>
      </c>
      <c r="F343" t="s">
        <v>4895</v>
      </c>
      <c r="G343" t="s">
        <v>18067</v>
      </c>
      <c r="H343" t="s">
        <v>1112</v>
      </c>
      <c r="I343" t="s">
        <v>1108</v>
      </c>
      <c r="J343" t="s">
        <v>4896</v>
      </c>
      <c r="K343" t="s">
        <v>4897</v>
      </c>
      <c r="L343" t="s">
        <v>21</v>
      </c>
      <c r="M343" t="s">
        <v>19177</v>
      </c>
      <c r="N343" t="s">
        <v>300</v>
      </c>
      <c r="O343" t="s">
        <v>16373</v>
      </c>
      <c r="P343" t="s">
        <v>12</v>
      </c>
    </row>
    <row r="344">
      <c r="A344">
        <f>HYPERLINK("http://bombeiros.sp.gov.br/hidrantes/03individual/3125.html","3125")</f>
      </c>
      <c r="B344" t="s">
        <v>114</v>
      </c>
      <c r="C344" t="s">
        <v>300</v>
      </c>
      <c r="D344" t="s">
        <v>300</v>
      </c>
      <c r="E344" t="s">
        <v>64</v>
      </c>
      <c r="F344" t="s">
        <v>4904</v>
      </c>
      <c r="G344" t="s">
        <v>18133</v>
      </c>
      <c r="H344" t="s">
        <v>1112</v>
      </c>
      <c r="I344" t="s">
        <v>1108</v>
      </c>
      <c r="J344" t="s">
        <v>16481</v>
      </c>
      <c r="K344" t="s">
        <v>16482</v>
      </c>
      <c r="L344" t="s">
        <v>21</v>
      </c>
      <c r="M344" t="s">
        <v>19177</v>
      </c>
      <c r="N344" t="s">
        <v>300</v>
      </c>
      <c r="O344" t="s">
        <v>16373</v>
      </c>
      <c r="P344" t="s">
        <v>12</v>
      </c>
    </row>
    <row r="345">
      <c r="A345">
        <f>HYPERLINK("http://bombeiros.sp.gov.br/hidrantes/03individual/3127.html","3127")</f>
      </c>
      <c r="B345" t="s">
        <v>114</v>
      </c>
      <c r="C345" t="s">
        <v>300</v>
      </c>
      <c r="D345" t="s">
        <v>300</v>
      </c>
      <c r="E345" t="s">
        <v>64</v>
      </c>
      <c r="F345" t="s">
        <v>4907</v>
      </c>
      <c r="G345" t="s">
        <v>18082</v>
      </c>
      <c r="H345" t="s">
        <v>1112</v>
      </c>
      <c r="I345" t="s">
        <v>1108</v>
      </c>
      <c r="J345" t="s">
        <v>17745</v>
      </c>
      <c r="K345" t="s">
        <v>17746</v>
      </c>
      <c r="L345" t="s">
        <v>36</v>
      </c>
      <c r="M345" t="s">
        <v>19177</v>
      </c>
      <c r="N345" t="s">
        <v>300</v>
      </c>
      <c r="O345" t="s">
        <v>16373</v>
      </c>
      <c r="P345" t="s">
        <v>12</v>
      </c>
    </row>
    <row r="346">
      <c r="A346">
        <f>HYPERLINK("http://bombeiros.sp.gov.br/hidrantes/03individual/3201.html","3201")</f>
      </c>
      <c r="B346" t="s">
        <v>114</v>
      </c>
      <c r="C346" t="s">
        <v>300</v>
      </c>
      <c r="D346" t="s">
        <v>300</v>
      </c>
      <c r="E346" t="s">
        <v>64</v>
      </c>
      <c r="F346" t="s">
        <v>4910</v>
      </c>
      <c r="G346" t="s">
        <v>18133</v>
      </c>
      <c r="H346" t="s">
        <v>1112</v>
      </c>
      <c r="I346" t="s">
        <v>1108</v>
      </c>
      <c r="J346" t="s">
        <v>4911</v>
      </c>
      <c r="K346" t="s">
        <v>4912</v>
      </c>
      <c r="L346" t="s">
        <v>21</v>
      </c>
      <c r="M346" t="s">
        <v>19177</v>
      </c>
      <c r="N346" t="s">
        <v>300</v>
      </c>
      <c r="O346" t="s">
        <v>16373</v>
      </c>
      <c r="P346" t="s">
        <v>12</v>
      </c>
    </row>
    <row r="347">
      <c r="A347">
        <f>HYPERLINK("http://bombeiros.sp.gov.br/hidrantes/03individual/5608.html","5608")</f>
      </c>
      <c r="B347" t="s">
        <v>114</v>
      </c>
      <c r="C347" t="s">
        <v>300</v>
      </c>
      <c r="D347" t="s">
        <v>300</v>
      </c>
      <c r="E347" t="s">
        <v>64</v>
      </c>
      <c r="F347" t="s">
        <v>4913</v>
      </c>
      <c r="G347" t="s">
        <v>18098</v>
      </c>
      <c r="H347" t="s">
        <v>1112</v>
      </c>
      <c r="I347" t="s">
        <v>1108</v>
      </c>
      <c r="J347" t="s">
        <v>4914</v>
      </c>
      <c r="K347" t="s">
        <v>4915</v>
      </c>
      <c r="L347" t="s">
        <v>21</v>
      </c>
      <c r="M347" t="s">
        <v>19177</v>
      </c>
      <c r="N347" t="s">
        <v>300</v>
      </c>
      <c r="O347" t="s">
        <v>16373</v>
      </c>
      <c r="P347" t="s">
        <v>12</v>
      </c>
    </row>
    <row r="348">
      <c r="A348">
        <f>HYPERLINK("http://bombeiros.sp.gov.br/hidrantes/03individual/1489.html","1489")</f>
      </c>
      <c r="B348" t="s">
        <v>114</v>
      </c>
      <c r="C348" t="s">
        <v>300</v>
      </c>
      <c r="D348" t="s">
        <v>300</v>
      </c>
      <c r="E348" t="s">
        <v>15</v>
      </c>
      <c r="F348" t="s">
        <v>4919</v>
      </c>
      <c r="G348" t="s">
        <v>18098</v>
      </c>
      <c r="H348" t="s">
        <v>1107</v>
      </c>
      <c r="I348" t="s">
        <v>1108</v>
      </c>
      <c r="J348" t="s">
        <v>4920</v>
      </c>
      <c r="K348" t="s">
        <v>4921</v>
      </c>
      <c r="L348" t="s">
        <v>21</v>
      </c>
      <c r="M348" t="s">
        <v>19177</v>
      </c>
      <c r="N348" t="s">
        <v>300</v>
      </c>
      <c r="O348" t="s">
        <v>16373</v>
      </c>
      <c r="P348" t="s">
        <v>12</v>
      </c>
    </row>
    <row r="349">
      <c r="A349">
        <f>HYPERLINK("http://bombeiros.sp.gov.br/hidrantes/03individual/1511.html","1511")</f>
      </c>
      <c r="B349" t="s">
        <v>114</v>
      </c>
      <c r="C349" t="s">
        <v>300</v>
      </c>
      <c r="D349" t="s">
        <v>300</v>
      </c>
      <c r="E349" t="s">
        <v>15</v>
      </c>
      <c r="F349" t="s">
        <v>4925</v>
      </c>
      <c r="G349" t="s">
        <v>18098</v>
      </c>
      <c r="H349" t="s">
        <v>1112</v>
      </c>
      <c r="I349" t="s">
        <v>1108</v>
      </c>
      <c r="J349" t="s">
        <v>17413</v>
      </c>
      <c r="K349" t="s">
        <v>18288</v>
      </c>
      <c r="L349" t="s">
        <v>21</v>
      </c>
      <c r="M349" t="s">
        <v>19177</v>
      </c>
      <c r="N349" t="s">
        <v>300</v>
      </c>
      <c r="O349" t="s">
        <v>16373</v>
      </c>
      <c r="P349" t="s">
        <v>12</v>
      </c>
    </row>
    <row r="350">
      <c r="A350">
        <f>HYPERLINK("http://bombeiros.sp.gov.br/hidrantes/03individual/1608.html","1608")</f>
      </c>
      <c r="B350" t="s">
        <v>114</v>
      </c>
      <c r="C350" t="s">
        <v>300</v>
      </c>
      <c r="D350" t="s">
        <v>300</v>
      </c>
      <c r="E350" t="s">
        <v>15</v>
      </c>
      <c r="F350" t="s">
        <v>4937</v>
      </c>
      <c r="G350" t="s">
        <v>18089</v>
      </c>
      <c r="H350" t="s">
        <v>1107</v>
      </c>
      <c r="I350" t="s">
        <v>1108</v>
      </c>
      <c r="J350" t="s">
        <v>4938</v>
      </c>
      <c r="K350" t="s">
        <v>4939</v>
      </c>
      <c r="L350" t="s">
        <v>21</v>
      </c>
      <c r="M350" t="s">
        <v>19177</v>
      </c>
      <c r="N350" t="s">
        <v>300</v>
      </c>
      <c r="O350" t="s">
        <v>16373</v>
      </c>
      <c r="P350" t="s">
        <v>12</v>
      </c>
    </row>
    <row r="351">
      <c r="A351">
        <f>HYPERLINK("http://bombeiros.sp.gov.br/hidrantes/03individual/3109.html","3109")</f>
      </c>
      <c r="B351" t="s">
        <v>114</v>
      </c>
      <c r="C351" t="s">
        <v>300</v>
      </c>
      <c r="D351" t="s">
        <v>300</v>
      </c>
      <c r="E351" t="s">
        <v>15</v>
      </c>
      <c r="F351" t="s">
        <v>4952</v>
      </c>
      <c r="G351" t="s">
        <v>18090</v>
      </c>
      <c r="H351" t="s">
        <v>1112</v>
      </c>
      <c r="I351" t="s">
        <v>1108</v>
      </c>
      <c r="J351" t="s">
        <v>4953</v>
      </c>
      <c r="K351" t="s">
        <v>4954</v>
      </c>
      <c r="L351" t="s">
        <v>21</v>
      </c>
      <c r="M351" t="s">
        <v>19177</v>
      </c>
      <c r="N351" t="s">
        <v>300</v>
      </c>
      <c r="O351" t="s">
        <v>16373</v>
      </c>
      <c r="P351" t="s">
        <v>12</v>
      </c>
    </row>
    <row r="352">
      <c r="A352">
        <f>HYPERLINK("http://bombeiros.sp.gov.br/hidrantes/03individual/3114.html","3114")</f>
      </c>
      <c r="B352" t="s">
        <v>114</v>
      </c>
      <c r="C352" t="s">
        <v>300</v>
      </c>
      <c r="D352" t="s">
        <v>300</v>
      </c>
      <c r="E352" t="s">
        <v>15</v>
      </c>
      <c r="F352" t="s">
        <v>4955</v>
      </c>
      <c r="G352" t="s">
        <v>18133</v>
      </c>
      <c r="H352" t="s">
        <v>1112</v>
      </c>
      <c r="I352" t="s">
        <v>1108</v>
      </c>
      <c r="J352" t="s">
        <v>4956</v>
      </c>
      <c r="K352" t="s">
        <v>4957</v>
      </c>
      <c r="L352" t="s">
        <v>21</v>
      </c>
      <c r="M352" t="s">
        <v>19177</v>
      </c>
      <c r="N352" t="s">
        <v>300</v>
      </c>
      <c r="O352" t="s">
        <v>16373</v>
      </c>
      <c r="P352" t="s">
        <v>12</v>
      </c>
    </row>
    <row r="353">
      <c r="A353">
        <f>HYPERLINK("http://bombeiros.sp.gov.br/hidrantes/03individual/3118.html","3118")</f>
      </c>
      <c r="B353" t="s">
        <v>114</v>
      </c>
      <c r="C353" t="s">
        <v>300</v>
      </c>
      <c r="D353" t="s">
        <v>300</v>
      </c>
      <c r="E353" t="s">
        <v>15</v>
      </c>
      <c r="F353" t="s">
        <v>4961</v>
      </c>
      <c r="G353" t="s">
        <v>18133</v>
      </c>
      <c r="H353" t="s">
        <v>1112</v>
      </c>
      <c r="I353" t="s">
        <v>1108</v>
      </c>
      <c r="J353" t="s">
        <v>4962</v>
      </c>
      <c r="K353" t="s">
        <v>4963</v>
      </c>
      <c r="L353" t="s">
        <v>21</v>
      </c>
      <c r="M353" t="s">
        <v>19177</v>
      </c>
      <c r="N353" t="s">
        <v>300</v>
      </c>
      <c r="O353" t="s">
        <v>16373</v>
      </c>
      <c r="P353" t="s">
        <v>12</v>
      </c>
    </row>
    <row r="354">
      <c r="A354">
        <f>HYPERLINK("http://bombeiros.sp.gov.br/hidrantes/03individual/3126.html","3126")</f>
      </c>
      <c r="B354" t="s">
        <v>114</v>
      </c>
      <c r="C354" t="s">
        <v>300</v>
      </c>
      <c r="D354" t="s">
        <v>300</v>
      </c>
      <c r="E354" t="s">
        <v>15</v>
      </c>
      <c r="F354" t="s">
        <v>4964</v>
      </c>
      <c r="G354" t="s">
        <v>18082</v>
      </c>
      <c r="H354" t="s">
        <v>1112</v>
      </c>
      <c r="I354" t="s">
        <v>1108</v>
      </c>
      <c r="J354" t="s">
        <v>4965</v>
      </c>
      <c r="K354" t="s">
        <v>4966</v>
      </c>
      <c r="L354" t="s">
        <v>21</v>
      </c>
      <c r="M354" t="s">
        <v>19177</v>
      </c>
      <c r="N354" t="s">
        <v>300</v>
      </c>
      <c r="O354" t="s">
        <v>16373</v>
      </c>
      <c r="P354" t="s">
        <v>12</v>
      </c>
    </row>
    <row r="355">
      <c r="A355">
        <f>HYPERLINK("http://bombeiros.sp.gov.br/hidrantes/03individual/3128.html","3128")</f>
      </c>
      <c r="B355" t="s">
        <v>114</v>
      </c>
      <c r="C355" t="s">
        <v>300</v>
      </c>
      <c r="D355" t="s">
        <v>300</v>
      </c>
      <c r="E355" t="s">
        <v>15</v>
      </c>
      <c r="F355" t="s">
        <v>4967</v>
      </c>
      <c r="G355" t="s">
        <v>18133</v>
      </c>
      <c r="H355" t="s">
        <v>1107</v>
      </c>
      <c r="I355" t="s">
        <v>1108</v>
      </c>
      <c r="J355" t="s">
        <v>4968</v>
      </c>
      <c r="K355" t="s">
        <v>4969</v>
      </c>
      <c r="L355" t="s">
        <v>21</v>
      </c>
      <c r="M355" t="s">
        <v>19177</v>
      </c>
      <c r="N355" t="s">
        <v>300</v>
      </c>
      <c r="O355" t="s">
        <v>16373</v>
      </c>
      <c r="P355" t="s">
        <v>12</v>
      </c>
    </row>
    <row r="356">
      <c r="A356">
        <f>HYPERLINK("http://bombeiros.sp.gov.br/hidrantes/03individual/26740.html","26740")</f>
      </c>
      <c r="B356" t="s">
        <v>114</v>
      </c>
      <c r="C356" t="s">
        <v>300</v>
      </c>
      <c r="D356" t="s">
        <v>300</v>
      </c>
      <c r="E356" t="s">
        <v>15</v>
      </c>
      <c r="F356" t="s">
        <v>4976</v>
      </c>
      <c r="G356" t="s">
        <v>18042</v>
      </c>
      <c r="H356" t="s">
        <v>1112</v>
      </c>
      <c r="I356" t="s">
        <v>1108</v>
      </c>
      <c r="J356" t="s">
        <v>4977</v>
      </c>
      <c r="K356" t="s">
        <v>4978</v>
      </c>
      <c r="L356" t="s">
        <v>21</v>
      </c>
      <c r="M356" t="s">
        <v>19177</v>
      </c>
      <c r="N356" t="s">
        <v>300</v>
      </c>
      <c r="O356" t="s">
        <v>16373</v>
      </c>
      <c r="P356" t="s">
        <v>12</v>
      </c>
    </row>
    <row r="357">
      <c r="A357">
        <f>HYPERLINK("http://bombeiros.sp.gov.br/hidrantes/03individual/2958.html","2958")</f>
      </c>
      <c r="B357" t="s">
        <v>114</v>
      </c>
      <c r="C357" t="s">
        <v>300</v>
      </c>
      <c r="D357" t="s">
        <v>441</v>
      </c>
      <c r="E357" t="s">
        <v>15</v>
      </c>
      <c r="F357" t="s">
        <v>4979</v>
      </c>
      <c r="G357" t="s">
        <v>18074</v>
      </c>
      <c r="H357" t="s">
        <v>1112</v>
      </c>
      <c r="I357" t="s">
        <v>1108</v>
      </c>
      <c r="J357" t="s">
        <v>4980</v>
      </c>
      <c r="K357" t="s">
        <v>4981</v>
      </c>
      <c r="L357" t="s">
        <v>21</v>
      </c>
      <c r="M357" t="s">
        <v>19177</v>
      </c>
      <c r="N357" t="s">
        <v>300</v>
      </c>
      <c r="O357" t="s">
        <v>16373</v>
      </c>
      <c r="P357" t="s">
        <v>12</v>
      </c>
    </row>
    <row r="358">
      <c r="A358">
        <f>HYPERLINK("http://bombeiros.sp.gov.br/hidrantes/03individual/1950.html","1950")</f>
      </c>
      <c r="B358" t="s">
        <v>114</v>
      </c>
      <c r="C358" t="s">
        <v>300</v>
      </c>
      <c r="D358" t="s">
        <v>4982</v>
      </c>
      <c r="E358" t="s">
        <v>64</v>
      </c>
      <c r="F358" t="s">
        <v>4986</v>
      </c>
      <c r="G358" t="s">
        <v>18133</v>
      </c>
      <c r="H358" t="s">
        <v>1112</v>
      </c>
      <c r="I358" t="s">
        <v>1108</v>
      </c>
      <c r="J358" t="s">
        <v>4987</v>
      </c>
      <c r="K358" t="s">
        <v>4988</v>
      </c>
      <c r="L358" t="s">
        <v>36</v>
      </c>
      <c r="M358" t="s">
        <v>19177</v>
      </c>
      <c r="N358" t="s">
        <v>300</v>
      </c>
      <c r="O358" t="s">
        <v>16373</v>
      </c>
      <c r="P358" t="s">
        <v>12</v>
      </c>
    </row>
    <row r="359">
      <c r="A359">
        <f>HYPERLINK("http://bombeiros.sp.gov.br/hidrantes/03individual/3206.html","3206")</f>
      </c>
      <c r="B359" t="s">
        <v>114</v>
      </c>
      <c r="C359" t="s">
        <v>300</v>
      </c>
      <c r="D359" t="s">
        <v>4982</v>
      </c>
      <c r="E359" t="s">
        <v>64</v>
      </c>
      <c r="F359" t="s">
        <v>4989</v>
      </c>
      <c r="G359" t="s">
        <v>18133</v>
      </c>
      <c r="H359" t="s">
        <v>1112</v>
      </c>
      <c r="I359" t="s">
        <v>1108</v>
      </c>
      <c r="J359" t="s">
        <v>4990</v>
      </c>
      <c r="K359" t="s">
        <v>4991</v>
      </c>
      <c r="L359" t="s">
        <v>36</v>
      </c>
      <c r="M359" t="s">
        <v>19177</v>
      </c>
      <c r="N359" t="s">
        <v>300</v>
      </c>
      <c r="O359" t="s">
        <v>16373</v>
      </c>
      <c r="P359" t="s">
        <v>12</v>
      </c>
    </row>
    <row r="360">
      <c r="A360">
        <f>HYPERLINK("http://bombeiros.sp.gov.br/hidrantes/03individual/27014.html","27014")</f>
      </c>
      <c r="B360" t="s">
        <v>114</v>
      </c>
      <c r="C360" t="s">
        <v>300</v>
      </c>
      <c r="D360" t="s">
        <v>4982</v>
      </c>
      <c r="E360" t="s">
        <v>64</v>
      </c>
      <c r="F360" t="s">
        <v>16582</v>
      </c>
      <c r="G360" t="s">
        <v>18251</v>
      </c>
      <c r="H360" t="s">
        <v>1112</v>
      </c>
      <c r="I360" t="s">
        <v>1108</v>
      </c>
      <c r="J360" t="s">
        <v>16583</v>
      </c>
      <c r="K360" t="s">
        <v>16584</v>
      </c>
      <c r="L360" t="s">
        <v>21</v>
      </c>
      <c r="M360" t="s">
        <v>19177</v>
      </c>
      <c r="N360" t="s">
        <v>300</v>
      </c>
      <c r="O360" t="s">
        <v>16373</v>
      </c>
      <c r="P360" t="s">
        <v>12</v>
      </c>
    </row>
    <row r="361">
      <c r="A361">
        <f>HYPERLINK("http://bombeiros.sp.gov.br/hidrantes/03individual/27412.html","27412")</f>
      </c>
      <c r="B361" t="s">
        <v>114</v>
      </c>
      <c r="C361" t="s">
        <v>300</v>
      </c>
      <c r="D361" t="s">
        <v>4982</v>
      </c>
      <c r="E361" t="s">
        <v>64</v>
      </c>
      <c r="F361" t="s">
        <v>17322</v>
      </c>
      <c r="G361" t="s">
        <v>18133</v>
      </c>
      <c r="H361" t="s">
        <v>1107</v>
      </c>
      <c r="I361" t="s">
        <v>1108</v>
      </c>
      <c r="J361" t="s">
        <v>17323</v>
      </c>
      <c r="K361" t="s">
        <v>17324</v>
      </c>
      <c r="L361" t="s">
        <v>21</v>
      </c>
      <c r="M361" t="s">
        <v>19177</v>
      </c>
      <c r="N361" t="s">
        <v>300</v>
      </c>
      <c r="O361" t="s">
        <v>16373</v>
      </c>
      <c r="P361" t="s">
        <v>12</v>
      </c>
    </row>
    <row r="362">
      <c r="A362">
        <f>HYPERLINK("http://bombeiros.sp.gov.br/hidrantes/03individual/1526.html","1526")</f>
      </c>
      <c r="B362" t="s">
        <v>114</v>
      </c>
      <c r="C362" t="s">
        <v>300</v>
      </c>
      <c r="D362" t="s">
        <v>4982</v>
      </c>
      <c r="E362" t="s">
        <v>15</v>
      </c>
      <c r="F362" t="s">
        <v>5004</v>
      </c>
      <c r="G362" t="s">
        <v>18089</v>
      </c>
      <c r="H362" t="s">
        <v>1121</v>
      </c>
      <c r="I362" t="s">
        <v>1117</v>
      </c>
      <c r="J362" t="s">
        <v>5005</v>
      </c>
      <c r="K362" t="s">
        <v>5006</v>
      </c>
      <c r="L362" t="s">
        <v>21</v>
      </c>
      <c r="M362" t="s">
        <v>19177</v>
      </c>
      <c r="N362" t="s">
        <v>300</v>
      </c>
      <c r="O362" t="s">
        <v>16373</v>
      </c>
      <c r="P362" t="s">
        <v>12</v>
      </c>
    </row>
    <row r="363">
      <c r="A363">
        <f>HYPERLINK("http://bombeiros.sp.gov.br/hidrantes/03individual/1633.html","1633")</f>
      </c>
      <c r="B363" t="s">
        <v>114</v>
      </c>
      <c r="C363" t="s">
        <v>300</v>
      </c>
      <c r="D363" t="s">
        <v>4982</v>
      </c>
      <c r="E363" t="s">
        <v>15</v>
      </c>
      <c r="F363" t="s">
        <v>5010</v>
      </c>
      <c r="G363" t="s">
        <v>18133</v>
      </c>
      <c r="H363" t="s">
        <v>1112</v>
      </c>
      <c r="I363" t="s">
        <v>1108</v>
      </c>
      <c r="J363" t="s">
        <v>5011</v>
      </c>
      <c r="K363" t="s">
        <v>5012</v>
      </c>
      <c r="L363" t="s">
        <v>21</v>
      </c>
      <c r="M363" t="s">
        <v>19177</v>
      </c>
      <c r="N363" t="s">
        <v>300</v>
      </c>
      <c r="O363" t="s">
        <v>16373</v>
      </c>
      <c r="P363" t="s">
        <v>12</v>
      </c>
    </row>
    <row r="364">
      <c r="A364">
        <f>HYPERLINK("http://bombeiros.sp.gov.br/hidrantes/03individual/1696.html","1696")</f>
      </c>
      <c r="B364" t="s">
        <v>114</v>
      </c>
      <c r="C364" t="s">
        <v>300</v>
      </c>
      <c r="D364" t="s">
        <v>4982</v>
      </c>
      <c r="E364" t="s">
        <v>15</v>
      </c>
      <c r="F364" t="s">
        <v>5025</v>
      </c>
      <c r="G364" t="s">
        <v>18172</v>
      </c>
      <c r="H364" t="s">
        <v>1112</v>
      </c>
      <c r="I364" t="s">
        <v>1108</v>
      </c>
      <c r="J364" t="s">
        <v>5026</v>
      </c>
      <c r="K364" t="s">
        <v>5027</v>
      </c>
      <c r="L364" t="s">
        <v>36</v>
      </c>
      <c r="M364" t="s">
        <v>19177</v>
      </c>
      <c r="N364" t="s">
        <v>300</v>
      </c>
      <c r="O364" t="s">
        <v>16373</v>
      </c>
      <c r="P364" t="s">
        <v>12</v>
      </c>
    </row>
    <row r="365">
      <c r="A365">
        <f>HYPERLINK("http://bombeiros.sp.gov.br/hidrantes/03individual/1728.html","1728")</f>
      </c>
      <c r="B365" t="s">
        <v>114</v>
      </c>
      <c r="C365" t="s">
        <v>300</v>
      </c>
      <c r="D365" t="s">
        <v>4982</v>
      </c>
      <c r="E365" t="s">
        <v>15</v>
      </c>
      <c r="F365" t="s">
        <v>5031</v>
      </c>
      <c r="G365" t="s">
        <v>18133</v>
      </c>
      <c r="H365" t="s">
        <v>1107</v>
      </c>
      <c r="I365" t="s">
        <v>1108</v>
      </c>
      <c r="J365" t="s">
        <v>5032</v>
      </c>
      <c r="K365" t="s">
        <v>5033</v>
      </c>
      <c r="L365" t="s">
        <v>21</v>
      </c>
      <c r="M365" t="s">
        <v>19177</v>
      </c>
      <c r="N365" t="s">
        <v>300</v>
      </c>
      <c r="O365" t="s">
        <v>16373</v>
      </c>
      <c r="P365" t="s">
        <v>12</v>
      </c>
    </row>
    <row r="366">
      <c r="A366">
        <f>HYPERLINK("http://bombeiros.sp.gov.br/hidrantes/03individual/3124.html","3124")</f>
      </c>
      <c r="B366" t="s">
        <v>114</v>
      </c>
      <c r="C366" t="s">
        <v>300</v>
      </c>
      <c r="D366" t="s">
        <v>4982</v>
      </c>
      <c r="E366" t="s">
        <v>15</v>
      </c>
      <c r="F366" t="s">
        <v>5040</v>
      </c>
      <c r="G366" t="s">
        <v>18133</v>
      </c>
      <c r="H366" t="s">
        <v>1112</v>
      </c>
      <c r="I366" t="s">
        <v>1108</v>
      </c>
      <c r="J366" t="s">
        <v>5041</v>
      </c>
      <c r="K366" t="s">
        <v>5042</v>
      </c>
      <c r="L366" t="s">
        <v>21</v>
      </c>
      <c r="M366" t="s">
        <v>19177</v>
      </c>
      <c r="N366" t="s">
        <v>300</v>
      </c>
      <c r="O366" t="s">
        <v>16373</v>
      </c>
      <c r="P366" t="s">
        <v>12</v>
      </c>
    </row>
    <row r="367">
      <c r="A367">
        <f>HYPERLINK("http://bombeiros.sp.gov.br/hidrantes/03individual/3166.html","3166")</f>
      </c>
      <c r="B367" t="s">
        <v>114</v>
      </c>
      <c r="C367" t="s">
        <v>300</v>
      </c>
      <c r="D367" t="s">
        <v>4982</v>
      </c>
      <c r="E367" t="s">
        <v>15</v>
      </c>
      <c r="F367" t="s">
        <v>5043</v>
      </c>
      <c r="G367" t="s">
        <v>18074</v>
      </c>
      <c r="H367" t="s">
        <v>1112</v>
      </c>
      <c r="I367" t="s">
        <v>1108</v>
      </c>
      <c r="J367" t="s">
        <v>5044</v>
      </c>
      <c r="K367" t="s">
        <v>5045</v>
      </c>
      <c r="L367" t="s">
        <v>21</v>
      </c>
      <c r="M367" t="s">
        <v>19177</v>
      </c>
      <c r="N367" t="s">
        <v>300</v>
      </c>
      <c r="O367" t="s">
        <v>16373</v>
      </c>
      <c r="P367" t="s">
        <v>12</v>
      </c>
    </row>
    <row r="368">
      <c r="A368">
        <f>HYPERLINK("http://bombeiros.sp.gov.br/hidrantes/03individual/17690.html","17690")</f>
      </c>
      <c r="B368" t="s">
        <v>114</v>
      </c>
      <c r="C368" t="s">
        <v>300</v>
      </c>
      <c r="D368" t="s">
        <v>4982</v>
      </c>
      <c r="E368" t="s">
        <v>15</v>
      </c>
      <c r="F368" t="s">
        <v>5055</v>
      </c>
      <c r="G368" t="s">
        <v>18089</v>
      </c>
      <c r="H368" t="s">
        <v>1112</v>
      </c>
      <c r="I368" t="s">
        <v>1108</v>
      </c>
      <c r="J368" t="s">
        <v>5056</v>
      </c>
      <c r="K368" t="s">
        <v>5057</v>
      </c>
      <c r="L368" t="s">
        <v>21</v>
      </c>
      <c r="M368" t="s">
        <v>19177</v>
      </c>
      <c r="N368" t="s">
        <v>300</v>
      </c>
      <c r="O368" t="s">
        <v>16373</v>
      </c>
      <c r="P368" t="s">
        <v>12</v>
      </c>
    </row>
    <row r="369">
      <c r="A369">
        <f>HYPERLINK("http://bombeiros.sp.gov.br/hidrantes/03individual/3047.html","3047")</f>
      </c>
      <c r="B369" t="s">
        <v>114</v>
      </c>
      <c r="C369" t="s">
        <v>300</v>
      </c>
      <c r="D369" t="s">
        <v>3467</v>
      </c>
      <c r="E369" t="s">
        <v>15</v>
      </c>
      <c r="F369" t="s">
        <v>5061</v>
      </c>
      <c r="G369" t="s">
        <v>18133</v>
      </c>
      <c r="H369" t="s">
        <v>1107</v>
      </c>
      <c r="I369" t="s">
        <v>1108</v>
      </c>
      <c r="J369" t="s">
        <v>16507</v>
      </c>
      <c r="K369" t="s">
        <v>16508</v>
      </c>
      <c r="L369" t="s">
        <v>21</v>
      </c>
      <c r="M369" t="s">
        <v>19177</v>
      </c>
      <c r="N369" t="s">
        <v>300</v>
      </c>
      <c r="O369" t="s">
        <v>16373</v>
      </c>
      <c r="P369" t="s">
        <v>12</v>
      </c>
    </row>
    <row r="370">
      <c r="A370">
        <f>HYPERLINK("http://bombeiros.sp.gov.br/hidrantes/03individual/996.html","996")</f>
      </c>
      <c r="B370" t="s">
        <v>114</v>
      </c>
      <c r="C370" t="s">
        <v>304</v>
      </c>
      <c r="D370" t="s">
        <v>5064</v>
      </c>
      <c r="E370" t="s">
        <v>64</v>
      </c>
      <c r="F370" t="s">
        <v>5065</v>
      </c>
      <c r="G370" t="s">
        <v>18098</v>
      </c>
      <c r="H370" t="s">
        <v>1112</v>
      </c>
      <c r="I370" t="s">
        <v>1108</v>
      </c>
      <c r="J370" t="s">
        <v>5066</v>
      </c>
      <c r="K370" t="s">
        <v>5067</v>
      </c>
      <c r="L370" t="s">
        <v>21</v>
      </c>
      <c r="M370" t="s">
        <v>19177</v>
      </c>
      <c r="N370" t="s">
        <v>97</v>
      </c>
      <c r="O370" t="s">
        <v>937</v>
      </c>
      <c r="P370" t="s">
        <v>12</v>
      </c>
    </row>
    <row r="371">
      <c r="A371">
        <f>HYPERLINK("http://bombeiros.sp.gov.br/hidrantes/03individual/1001.html","1001")</f>
      </c>
      <c r="B371" t="s">
        <v>114</v>
      </c>
      <c r="C371" t="s">
        <v>304</v>
      </c>
      <c r="D371" t="s">
        <v>5087</v>
      </c>
      <c r="E371" t="s">
        <v>64</v>
      </c>
      <c r="F371" t="s">
        <v>5091</v>
      </c>
      <c r="G371" t="s">
        <v>18048</v>
      </c>
      <c r="H371" t="s">
        <v>1112</v>
      </c>
      <c r="I371" t="s">
        <v>1108</v>
      </c>
      <c r="J371" t="s">
        <v>5092</v>
      </c>
      <c r="K371" t="s">
        <v>5093</v>
      </c>
      <c r="L371" t="s">
        <v>36</v>
      </c>
      <c r="M371" t="s">
        <v>19177</v>
      </c>
      <c r="N371" t="s">
        <v>97</v>
      </c>
      <c r="O371" t="s">
        <v>937</v>
      </c>
      <c r="P371" t="s">
        <v>12</v>
      </c>
    </row>
    <row r="372">
      <c r="A372">
        <f>HYPERLINK("http://bombeiros.sp.gov.br/hidrantes/03individual/2004.html","2004")</f>
      </c>
      <c r="B372" t="s">
        <v>114</v>
      </c>
      <c r="C372" t="s">
        <v>304</v>
      </c>
      <c r="D372" t="s">
        <v>304</v>
      </c>
      <c r="E372" t="s">
        <v>15</v>
      </c>
      <c r="F372" t="s">
        <v>5204</v>
      </c>
      <c r="G372" t="s">
        <v>18078</v>
      </c>
      <c r="H372" t="s">
        <v>1112</v>
      </c>
      <c r="I372" t="s">
        <v>1108</v>
      </c>
      <c r="J372" t="s">
        <v>5205</v>
      </c>
      <c r="K372" t="s">
        <v>5206</v>
      </c>
      <c r="L372" t="s">
        <v>21</v>
      </c>
      <c r="M372" t="s">
        <v>19177</v>
      </c>
      <c r="N372" t="s">
        <v>97</v>
      </c>
      <c r="O372" t="s">
        <v>937</v>
      </c>
      <c r="P372" t="s">
        <v>12</v>
      </c>
    </row>
    <row r="373">
      <c r="A373">
        <f>HYPERLINK("http://bombeiros.sp.gov.br/hidrantes/03individual/4318.html","4318")</f>
      </c>
      <c r="B373" t="s">
        <v>114</v>
      </c>
      <c r="C373" t="s">
        <v>5210</v>
      </c>
      <c r="D373" t="s">
        <v>5211</v>
      </c>
      <c r="E373" t="s">
        <v>64</v>
      </c>
      <c r="F373" t="s">
        <v>5218</v>
      </c>
      <c r="G373" t="s">
        <v>18084</v>
      </c>
      <c r="H373" t="s">
        <v>1112</v>
      </c>
      <c r="I373" t="s">
        <v>1108</v>
      </c>
      <c r="J373" t="s">
        <v>5219</v>
      </c>
      <c r="K373" t="s">
        <v>5220</v>
      </c>
      <c r="L373" t="s">
        <v>21</v>
      </c>
      <c r="M373" t="s">
        <v>19177</v>
      </c>
      <c r="N373" t="s">
        <v>272</v>
      </c>
      <c r="O373" t="s">
        <v>272</v>
      </c>
      <c r="P373" t="s">
        <v>114</v>
      </c>
    </row>
    <row r="374">
      <c r="A374">
        <f>HYPERLINK("http://bombeiros.sp.gov.br/hidrantes/03individual/27198.html","27198")</f>
      </c>
      <c r="B374" t="s">
        <v>114</v>
      </c>
      <c r="C374" t="s">
        <v>5210</v>
      </c>
      <c r="D374" t="s">
        <v>5211</v>
      </c>
      <c r="E374" t="s">
        <v>64</v>
      </c>
      <c r="F374" t="s">
        <v>16949</v>
      </c>
      <c r="G374" t="s">
        <v>18548</v>
      </c>
      <c r="H374" t="s">
        <v>1112</v>
      </c>
      <c r="I374" t="s">
        <v>1108</v>
      </c>
      <c r="J374" t="s">
        <v>16950</v>
      </c>
      <c r="K374" t="s">
        <v>16951</v>
      </c>
      <c r="L374" t="s">
        <v>21</v>
      </c>
      <c r="M374" t="s">
        <v>19177</v>
      </c>
      <c r="N374" t="s">
        <v>272</v>
      </c>
      <c r="O374" t="s">
        <v>272</v>
      </c>
      <c r="P374" t="s">
        <v>114</v>
      </c>
    </row>
    <row r="375">
      <c r="A375">
        <f>HYPERLINK("http://bombeiros.sp.gov.br/hidrantes/03individual/27703.html","27703")</f>
      </c>
      <c r="B375" t="s">
        <v>114</v>
      </c>
      <c r="C375" t="s">
        <v>5210</v>
      </c>
      <c r="D375" t="s">
        <v>5211</v>
      </c>
      <c r="E375" t="s">
        <v>64</v>
      </c>
      <c r="F375" t="s">
        <v>17679</v>
      </c>
      <c r="G375" t="s">
        <v>18521</v>
      </c>
      <c r="H375" t="s">
        <v>1112</v>
      </c>
      <c r="I375" t="s">
        <v>1108</v>
      </c>
      <c r="J375" t="s">
        <v>17680</v>
      </c>
      <c r="K375" t="s">
        <v>17681</v>
      </c>
      <c r="L375" t="s">
        <v>21</v>
      </c>
      <c r="M375" t="s">
        <v>19177</v>
      </c>
      <c r="N375" t="s">
        <v>16374</v>
      </c>
      <c r="O375" t="s">
        <v>272</v>
      </c>
      <c r="P375" t="s">
        <v>114</v>
      </c>
    </row>
    <row r="376">
      <c r="A376">
        <f>HYPERLINK("http://bombeiros.sp.gov.br/hidrantes/03individual/17802.html","17802")</f>
      </c>
      <c r="B376" t="s">
        <v>114</v>
      </c>
      <c r="C376" t="s">
        <v>5210</v>
      </c>
      <c r="D376" t="s">
        <v>5211</v>
      </c>
      <c r="E376" t="s">
        <v>15</v>
      </c>
      <c r="F376" t="s">
        <v>5221</v>
      </c>
      <c r="G376" t="s">
        <v>18050</v>
      </c>
      <c r="H376" t="s">
        <v>1112</v>
      </c>
      <c r="I376" t="s">
        <v>1108</v>
      </c>
      <c r="J376" t="s">
        <v>5222</v>
      </c>
      <c r="K376" t="s">
        <v>5223</v>
      </c>
      <c r="L376" t="s">
        <v>21</v>
      </c>
      <c r="M376" t="s">
        <v>19177</v>
      </c>
      <c r="N376" t="s">
        <v>272</v>
      </c>
      <c r="O376" t="s">
        <v>272</v>
      </c>
      <c r="P376" t="s">
        <v>114</v>
      </c>
    </row>
    <row r="377">
      <c r="A377">
        <f>HYPERLINK("http://bombeiros.sp.gov.br/hidrantes/03individual/2013.html","2013")</f>
      </c>
      <c r="B377" t="s">
        <v>114</v>
      </c>
      <c r="C377" t="s">
        <v>5210</v>
      </c>
      <c r="D377" t="s">
        <v>5210</v>
      </c>
      <c r="E377" t="s">
        <v>64</v>
      </c>
      <c r="F377" t="s">
        <v>5224</v>
      </c>
      <c r="G377" t="s">
        <v>18471</v>
      </c>
      <c r="H377" t="s">
        <v>1112</v>
      </c>
      <c r="I377" t="s">
        <v>1108</v>
      </c>
      <c r="J377" t="s">
        <v>5225</v>
      </c>
      <c r="K377" t="s">
        <v>5226</v>
      </c>
      <c r="L377" t="s">
        <v>21</v>
      </c>
      <c r="M377" t="s">
        <v>19177</v>
      </c>
      <c r="N377" t="s">
        <v>16374</v>
      </c>
      <c r="O377" t="s">
        <v>272</v>
      </c>
      <c r="P377" t="s">
        <v>114</v>
      </c>
    </row>
    <row r="378">
      <c r="A378">
        <f>HYPERLINK("http://bombeiros.sp.gov.br/hidrantes/03individual/3345.html","3345")</f>
      </c>
      <c r="B378" t="s">
        <v>114</v>
      </c>
      <c r="C378" t="s">
        <v>5210</v>
      </c>
      <c r="D378" t="s">
        <v>5227</v>
      </c>
      <c r="E378" t="s">
        <v>64</v>
      </c>
      <c r="F378" t="s">
        <v>5231</v>
      </c>
      <c r="G378" t="s">
        <v>18478</v>
      </c>
      <c r="H378" t="s">
        <v>1112</v>
      </c>
      <c r="I378" t="s">
        <v>1108</v>
      </c>
      <c r="J378" t="s">
        <v>5232</v>
      </c>
      <c r="K378" t="s">
        <v>5233</v>
      </c>
      <c r="L378" t="s">
        <v>21</v>
      </c>
      <c r="M378" t="s">
        <v>19177</v>
      </c>
      <c r="N378" t="s">
        <v>16374</v>
      </c>
      <c r="O378" t="s">
        <v>272</v>
      </c>
      <c r="P378" t="s">
        <v>114</v>
      </c>
    </row>
    <row r="379">
      <c r="A379">
        <f>HYPERLINK("http://bombeiros.sp.gov.br/hidrantes/03individual/27139.html","27139")</f>
      </c>
      <c r="B379" t="s">
        <v>114</v>
      </c>
      <c r="C379" t="s">
        <v>5210</v>
      </c>
      <c r="D379" t="s">
        <v>5227</v>
      </c>
      <c r="E379" t="s">
        <v>64</v>
      </c>
      <c r="F379" t="s">
        <v>16826</v>
      </c>
      <c r="G379" t="s">
        <v>18477</v>
      </c>
      <c r="H379" t="s">
        <v>1112</v>
      </c>
      <c r="I379" t="s">
        <v>1108</v>
      </c>
      <c r="J379" t="s">
        <v>16827</v>
      </c>
      <c r="K379" t="s">
        <v>16828</v>
      </c>
      <c r="L379" t="s">
        <v>21</v>
      </c>
      <c r="M379" t="s">
        <v>19177</v>
      </c>
      <c r="N379" t="s">
        <v>16374</v>
      </c>
      <c r="O379" t="s">
        <v>272</v>
      </c>
      <c r="P379" t="s">
        <v>114</v>
      </c>
    </row>
    <row r="380">
      <c r="A380">
        <f>HYPERLINK("http://bombeiros.sp.gov.br/hidrantes/03individual/27157.html","27157")</f>
      </c>
      <c r="B380" t="s">
        <v>114</v>
      </c>
      <c r="C380" t="s">
        <v>5210</v>
      </c>
      <c r="D380" t="s">
        <v>5227</v>
      </c>
      <c r="E380" t="s">
        <v>64</v>
      </c>
      <c r="F380" t="s">
        <v>16855</v>
      </c>
      <c r="G380" t="s">
        <v>18515</v>
      </c>
      <c r="H380" t="s">
        <v>1112</v>
      </c>
      <c r="I380" t="s">
        <v>1108</v>
      </c>
      <c r="J380" t="s">
        <v>16856</v>
      </c>
      <c r="K380" t="s">
        <v>16857</v>
      </c>
      <c r="L380" t="s">
        <v>21</v>
      </c>
      <c r="M380" t="s">
        <v>19177</v>
      </c>
      <c r="N380" t="s">
        <v>16374</v>
      </c>
      <c r="O380" t="s">
        <v>272</v>
      </c>
      <c r="P380" t="s">
        <v>114</v>
      </c>
    </row>
    <row r="381">
      <c r="A381">
        <f>HYPERLINK("http://bombeiros.sp.gov.br/hidrantes/03individual/2055.html","2055")</f>
      </c>
      <c r="B381" t="s">
        <v>114</v>
      </c>
      <c r="C381" t="s">
        <v>5210</v>
      </c>
      <c r="D381" t="s">
        <v>5227</v>
      </c>
      <c r="E381" t="s">
        <v>15</v>
      </c>
      <c r="F381" t="s">
        <v>5237</v>
      </c>
      <c r="G381" t="s">
        <v>18542</v>
      </c>
      <c r="H381" t="s">
        <v>1112</v>
      </c>
      <c r="I381" t="s">
        <v>1108</v>
      </c>
      <c r="J381" t="s">
        <v>5238</v>
      </c>
      <c r="K381" t="s">
        <v>5239</v>
      </c>
      <c r="L381" t="s">
        <v>21</v>
      </c>
      <c r="M381" t="s">
        <v>19177</v>
      </c>
      <c r="N381" t="s">
        <v>272</v>
      </c>
      <c r="O381" t="s">
        <v>272</v>
      </c>
      <c r="P381" t="s">
        <v>114</v>
      </c>
    </row>
    <row r="382">
      <c r="A382">
        <f>HYPERLINK("http://bombeiros.sp.gov.br/hidrantes/03individual/938.html","938")</f>
      </c>
      <c r="B382" t="s">
        <v>114</v>
      </c>
      <c r="C382" t="s">
        <v>309</v>
      </c>
      <c r="D382" t="s">
        <v>309</v>
      </c>
      <c r="E382" t="s">
        <v>64</v>
      </c>
      <c r="F382" t="s">
        <v>5258</v>
      </c>
      <c r="G382" t="s">
        <v>18193</v>
      </c>
      <c r="H382" t="s">
        <v>1112</v>
      </c>
      <c r="I382" t="s">
        <v>1108</v>
      </c>
      <c r="J382" t="s">
        <v>5259</v>
      </c>
      <c r="K382" t="s">
        <v>5260</v>
      </c>
      <c r="L382" t="s">
        <v>21</v>
      </c>
      <c r="M382" t="s">
        <v>19177</v>
      </c>
      <c r="N382" t="s">
        <v>309</v>
      </c>
      <c r="O382" t="s">
        <v>6029</v>
      </c>
      <c r="P382" t="s">
        <v>114</v>
      </c>
    </row>
    <row r="383">
      <c r="A383">
        <f>HYPERLINK("http://bombeiros.sp.gov.br/hidrantes/03individual/939.html","939")</f>
      </c>
      <c r="B383" t="s">
        <v>114</v>
      </c>
      <c r="C383" t="s">
        <v>309</v>
      </c>
      <c r="D383" t="s">
        <v>309</v>
      </c>
      <c r="E383" t="s">
        <v>64</v>
      </c>
      <c r="F383" t="s">
        <v>5261</v>
      </c>
      <c r="G383" t="s">
        <v>18193</v>
      </c>
      <c r="H383" t="s">
        <v>1107</v>
      </c>
      <c r="I383" t="s">
        <v>1108</v>
      </c>
      <c r="J383" t="s">
        <v>5262</v>
      </c>
      <c r="K383" t="s">
        <v>5263</v>
      </c>
      <c r="L383" t="s">
        <v>21</v>
      </c>
      <c r="M383" t="s">
        <v>19177</v>
      </c>
      <c r="N383" t="s">
        <v>309</v>
      </c>
      <c r="O383" t="s">
        <v>6029</v>
      </c>
      <c r="P383" t="s">
        <v>114</v>
      </c>
    </row>
    <row r="384">
      <c r="A384">
        <f>HYPERLINK("http://bombeiros.sp.gov.br/hidrantes/03individual/16358.html","16358")</f>
      </c>
      <c r="B384" t="s">
        <v>114</v>
      </c>
      <c r="C384" t="s">
        <v>309</v>
      </c>
      <c r="D384" t="s">
        <v>309</v>
      </c>
      <c r="E384" t="s">
        <v>64</v>
      </c>
      <c r="F384" t="s">
        <v>5270</v>
      </c>
      <c r="G384" t="s">
        <v>18192</v>
      </c>
      <c r="H384" t="s">
        <v>1112</v>
      </c>
      <c r="I384" t="s">
        <v>1108</v>
      </c>
      <c r="J384" t="s">
        <v>15960</v>
      </c>
      <c r="K384" t="s">
        <v>15961</v>
      </c>
      <c r="L384" t="s">
        <v>21</v>
      </c>
      <c r="M384" t="s">
        <v>19177</v>
      </c>
      <c r="N384" t="s">
        <v>309</v>
      </c>
      <c r="O384" t="s">
        <v>6029</v>
      </c>
      <c r="P384" t="s">
        <v>114</v>
      </c>
    </row>
    <row r="385">
      <c r="A385">
        <f>HYPERLINK("http://bombeiros.sp.gov.br/hidrantes/03individual/1400.html","1400")</f>
      </c>
      <c r="B385" t="s">
        <v>114</v>
      </c>
      <c r="C385" t="s">
        <v>309</v>
      </c>
      <c r="D385" t="s">
        <v>309</v>
      </c>
      <c r="E385" t="s">
        <v>15</v>
      </c>
      <c r="F385" t="s">
        <v>5294</v>
      </c>
      <c r="G385" t="s">
        <v>18192</v>
      </c>
      <c r="H385" t="s">
        <v>1112</v>
      </c>
      <c r="I385" t="s">
        <v>1108</v>
      </c>
      <c r="J385" t="s">
        <v>5295</v>
      </c>
      <c r="K385" t="s">
        <v>5296</v>
      </c>
      <c r="L385" t="s">
        <v>21</v>
      </c>
      <c r="M385" t="s">
        <v>19177</v>
      </c>
      <c r="N385" t="s">
        <v>309</v>
      </c>
      <c r="O385" t="s">
        <v>6029</v>
      </c>
      <c r="P385" t="s">
        <v>114</v>
      </c>
    </row>
    <row r="386">
      <c r="A386">
        <f>HYPERLINK("http://bombeiros.sp.gov.br/hidrantes/03individual/1403.html","1403")</f>
      </c>
      <c r="B386" t="s">
        <v>114</v>
      </c>
      <c r="C386" t="s">
        <v>309</v>
      </c>
      <c r="D386" t="s">
        <v>309</v>
      </c>
      <c r="E386" t="s">
        <v>15</v>
      </c>
      <c r="F386" t="s">
        <v>5297</v>
      </c>
      <c r="G386" t="s">
        <v>18082</v>
      </c>
      <c r="H386" t="s">
        <v>1112</v>
      </c>
      <c r="I386" t="s">
        <v>1108</v>
      </c>
      <c r="J386" t="s">
        <v>5298</v>
      </c>
      <c r="K386" t="s">
        <v>5299</v>
      </c>
      <c r="L386" t="s">
        <v>21</v>
      </c>
      <c r="M386" t="s">
        <v>19177</v>
      </c>
      <c r="N386" t="s">
        <v>309</v>
      </c>
      <c r="O386" t="s">
        <v>6029</v>
      </c>
      <c r="P386" t="s">
        <v>114</v>
      </c>
    </row>
    <row r="387">
      <c r="A387">
        <f>HYPERLINK("http://bombeiros.sp.gov.br/hidrantes/03individual/5640.html","5640")</f>
      </c>
      <c r="B387" t="s">
        <v>114</v>
      </c>
      <c r="C387" t="s">
        <v>309</v>
      </c>
      <c r="D387" t="s">
        <v>309</v>
      </c>
      <c r="E387" t="s">
        <v>15</v>
      </c>
      <c r="F387" t="s">
        <v>5336</v>
      </c>
      <c r="G387" t="s">
        <v>18097</v>
      </c>
      <c r="H387" t="s">
        <v>1112</v>
      </c>
      <c r="I387" t="s">
        <v>1108</v>
      </c>
      <c r="J387" t="s">
        <v>5337</v>
      </c>
      <c r="K387" t="s">
        <v>5338</v>
      </c>
      <c r="L387" t="s">
        <v>21</v>
      </c>
      <c r="M387" t="s">
        <v>19177</v>
      </c>
      <c r="N387" t="s">
        <v>309</v>
      </c>
      <c r="O387" t="s">
        <v>6029</v>
      </c>
      <c r="P387" t="s">
        <v>114</v>
      </c>
    </row>
    <row r="388">
      <c r="A388">
        <f>HYPERLINK("http://bombeiros.sp.gov.br/hidrantes/03individual/822.html","822")</f>
      </c>
      <c r="B388" t="s">
        <v>114</v>
      </c>
      <c r="C388" t="s">
        <v>309</v>
      </c>
      <c r="D388" t="s">
        <v>5342</v>
      </c>
      <c r="E388" t="s">
        <v>64</v>
      </c>
      <c r="F388" t="s">
        <v>5343</v>
      </c>
      <c r="G388" t="s">
        <v>18085</v>
      </c>
      <c r="H388" t="s">
        <v>1112</v>
      </c>
      <c r="I388" t="s">
        <v>1108</v>
      </c>
      <c r="J388" t="s">
        <v>5344</v>
      </c>
      <c r="K388" t="s">
        <v>5345</v>
      </c>
      <c r="L388" t="s">
        <v>36</v>
      </c>
      <c r="M388" t="s">
        <v>19177</v>
      </c>
      <c r="N388" t="s">
        <v>309</v>
      </c>
      <c r="O388" t="s">
        <v>6029</v>
      </c>
      <c r="P388" t="s">
        <v>114</v>
      </c>
    </row>
    <row r="389">
      <c r="A389">
        <f>HYPERLINK("http://bombeiros.sp.gov.br/hidrantes/03individual/943.html","943")</f>
      </c>
      <c r="B389" t="s">
        <v>114</v>
      </c>
      <c r="C389" t="s">
        <v>309</v>
      </c>
      <c r="D389" t="s">
        <v>5342</v>
      </c>
      <c r="E389" t="s">
        <v>64</v>
      </c>
      <c r="F389" t="s">
        <v>5346</v>
      </c>
      <c r="G389" t="s">
        <v>18076</v>
      </c>
      <c r="H389" t="s">
        <v>1112</v>
      </c>
      <c r="I389" t="s">
        <v>1108</v>
      </c>
      <c r="J389" t="s">
        <v>5347</v>
      </c>
      <c r="K389" t="s">
        <v>5348</v>
      </c>
      <c r="L389" t="s">
        <v>36</v>
      </c>
      <c r="M389" t="s">
        <v>19177</v>
      </c>
      <c r="N389" t="s">
        <v>309</v>
      </c>
      <c r="O389" t="s">
        <v>6029</v>
      </c>
      <c r="P389" t="s">
        <v>114</v>
      </c>
    </row>
    <row r="390">
      <c r="A390">
        <f>HYPERLINK("http://bombeiros.sp.gov.br/hidrantes/03individual/959.html","959")</f>
      </c>
      <c r="B390" t="s">
        <v>114</v>
      </c>
      <c r="C390" t="s">
        <v>309</v>
      </c>
      <c r="D390" t="s">
        <v>5342</v>
      </c>
      <c r="E390" t="s">
        <v>64</v>
      </c>
      <c r="F390" t="s">
        <v>5349</v>
      </c>
      <c r="G390" t="s">
        <v>18099</v>
      </c>
      <c r="H390" t="s">
        <v>1112</v>
      </c>
      <c r="I390" t="s">
        <v>1108</v>
      </c>
      <c r="J390" t="s">
        <v>5350</v>
      </c>
      <c r="K390" t="s">
        <v>5351</v>
      </c>
      <c r="L390" t="s">
        <v>21</v>
      </c>
      <c r="M390" t="s">
        <v>19177</v>
      </c>
      <c r="N390" t="s">
        <v>309</v>
      </c>
      <c r="O390" t="s">
        <v>6029</v>
      </c>
      <c r="P390" t="s">
        <v>114</v>
      </c>
    </row>
    <row r="391">
      <c r="A391">
        <f>HYPERLINK("http://bombeiros.sp.gov.br/hidrantes/03individual/961.html","961")</f>
      </c>
      <c r="B391" t="s">
        <v>114</v>
      </c>
      <c r="C391" t="s">
        <v>309</v>
      </c>
      <c r="D391" t="s">
        <v>5342</v>
      </c>
      <c r="E391" t="s">
        <v>64</v>
      </c>
      <c r="F391" t="s">
        <v>5352</v>
      </c>
      <c r="G391" t="s">
        <v>18099</v>
      </c>
      <c r="H391" t="s">
        <v>1107</v>
      </c>
      <c r="I391" t="s">
        <v>1108</v>
      </c>
      <c r="J391" t="s">
        <v>5353</v>
      </c>
      <c r="K391" t="s">
        <v>5354</v>
      </c>
      <c r="L391" t="s">
        <v>36</v>
      </c>
      <c r="M391" t="s">
        <v>19177</v>
      </c>
      <c r="N391" t="s">
        <v>309</v>
      </c>
      <c r="O391" t="s">
        <v>6029</v>
      </c>
      <c r="P391" t="s">
        <v>114</v>
      </c>
    </row>
    <row r="392">
      <c r="A392">
        <f>HYPERLINK("http://bombeiros.sp.gov.br/hidrantes/03individual/2986.html","2986")</f>
      </c>
      <c r="B392" t="s">
        <v>114</v>
      </c>
      <c r="C392" t="s">
        <v>309</v>
      </c>
      <c r="D392" t="s">
        <v>5342</v>
      </c>
      <c r="E392" t="s">
        <v>64</v>
      </c>
      <c r="F392" t="s">
        <v>5355</v>
      </c>
      <c r="G392" t="s">
        <v>18099</v>
      </c>
      <c r="H392" t="s">
        <v>1107</v>
      </c>
      <c r="I392" t="s">
        <v>1108</v>
      </c>
      <c r="J392" t="s">
        <v>5356</v>
      </c>
      <c r="K392" t="s">
        <v>5357</v>
      </c>
      <c r="L392" t="s">
        <v>36</v>
      </c>
      <c r="M392" t="s">
        <v>19177</v>
      </c>
      <c r="N392" t="s">
        <v>309</v>
      </c>
      <c r="O392" t="s">
        <v>6029</v>
      </c>
      <c r="P392" t="s">
        <v>114</v>
      </c>
    </row>
    <row r="393">
      <c r="A393">
        <f>HYPERLINK("http://bombeiros.sp.gov.br/hidrantes/03individual/27293.html","27293")</f>
      </c>
      <c r="B393" t="s">
        <v>114</v>
      </c>
      <c r="C393" t="s">
        <v>309</v>
      </c>
      <c r="D393" t="s">
        <v>5342</v>
      </c>
      <c r="E393" t="s">
        <v>64</v>
      </c>
      <c r="F393" t="s">
        <v>17048</v>
      </c>
      <c r="G393" t="s">
        <v>18099</v>
      </c>
      <c r="H393" t="s">
        <v>1112</v>
      </c>
      <c r="I393" t="s">
        <v>1108</v>
      </c>
      <c r="J393" t="s">
        <v>17049</v>
      </c>
      <c r="K393" t="s">
        <v>17050</v>
      </c>
      <c r="L393" t="s">
        <v>21</v>
      </c>
      <c r="M393" t="s">
        <v>19177</v>
      </c>
      <c r="N393" t="s">
        <v>309</v>
      </c>
      <c r="O393" t="s">
        <v>6029</v>
      </c>
      <c r="P393" t="s">
        <v>114</v>
      </c>
    </row>
    <row r="394">
      <c r="A394">
        <f>HYPERLINK("http://bombeiros.sp.gov.br/hidrantes/03individual/1371.html","1371")</f>
      </c>
      <c r="B394" t="s">
        <v>114</v>
      </c>
      <c r="C394" t="s">
        <v>309</v>
      </c>
      <c r="D394" t="s">
        <v>5342</v>
      </c>
      <c r="E394" t="s">
        <v>15</v>
      </c>
      <c r="F394" t="s">
        <v>5361</v>
      </c>
      <c r="G394" t="s">
        <v>18193</v>
      </c>
      <c r="H394" t="s">
        <v>1112</v>
      </c>
      <c r="I394" t="s">
        <v>1108</v>
      </c>
      <c r="J394" t="s">
        <v>5362</v>
      </c>
      <c r="K394" t="s">
        <v>5363</v>
      </c>
      <c r="L394" t="s">
        <v>21</v>
      </c>
      <c r="M394" t="s">
        <v>19177</v>
      </c>
      <c r="N394" t="s">
        <v>309</v>
      </c>
      <c r="O394" t="s">
        <v>6029</v>
      </c>
      <c r="P394" t="s">
        <v>114</v>
      </c>
    </row>
    <row r="395">
      <c r="A395">
        <f>HYPERLINK("http://bombeiros.sp.gov.br/hidrantes/03individual/1410.html","1410")</f>
      </c>
      <c r="B395" t="s">
        <v>114</v>
      </c>
      <c r="C395" t="s">
        <v>309</v>
      </c>
      <c r="D395" t="s">
        <v>5342</v>
      </c>
      <c r="E395" t="s">
        <v>15</v>
      </c>
      <c r="F395" t="s">
        <v>5370</v>
      </c>
      <c r="G395" t="s">
        <v>18097</v>
      </c>
      <c r="H395" t="s">
        <v>1107</v>
      </c>
      <c r="I395" t="s">
        <v>1108</v>
      </c>
      <c r="J395" t="s">
        <v>5371</v>
      </c>
      <c r="K395" t="s">
        <v>5372</v>
      </c>
      <c r="L395" t="s">
        <v>21</v>
      </c>
      <c r="M395" t="s">
        <v>19177</v>
      </c>
      <c r="N395" t="s">
        <v>309</v>
      </c>
      <c r="O395" t="s">
        <v>6029</v>
      </c>
      <c r="P395" t="s">
        <v>114</v>
      </c>
    </row>
    <row r="396">
      <c r="A396">
        <f>HYPERLINK("http://bombeiros.sp.gov.br/hidrantes/03individual/1485.html","1485")</f>
      </c>
      <c r="B396" t="s">
        <v>114</v>
      </c>
      <c r="C396" t="s">
        <v>309</v>
      </c>
      <c r="D396" t="s">
        <v>5342</v>
      </c>
      <c r="E396" t="s">
        <v>15</v>
      </c>
      <c r="F396" t="s">
        <v>5379</v>
      </c>
      <c r="G396" t="s">
        <v>18055</v>
      </c>
      <c r="H396" t="s">
        <v>1112</v>
      </c>
      <c r="I396" t="s">
        <v>1108</v>
      </c>
      <c r="J396" t="s">
        <v>5380</v>
      </c>
      <c r="K396" t="s">
        <v>5381</v>
      </c>
      <c r="L396" t="s">
        <v>21</v>
      </c>
      <c r="M396" t="s">
        <v>19177</v>
      </c>
      <c r="N396" t="s">
        <v>309</v>
      </c>
      <c r="O396" t="s">
        <v>6029</v>
      </c>
      <c r="P396" t="s">
        <v>114</v>
      </c>
    </row>
    <row r="397">
      <c r="A397">
        <f>HYPERLINK("http://bombeiros.sp.gov.br/hidrantes/03individual/2995.html","2995")</f>
      </c>
      <c r="B397" t="s">
        <v>114</v>
      </c>
      <c r="C397" t="s">
        <v>309</v>
      </c>
      <c r="D397" t="s">
        <v>5342</v>
      </c>
      <c r="E397" t="s">
        <v>15</v>
      </c>
      <c r="F397" t="s">
        <v>5394</v>
      </c>
      <c r="G397" t="s">
        <v>18067</v>
      </c>
      <c r="H397" t="s">
        <v>1112</v>
      </c>
      <c r="I397" t="s">
        <v>1108</v>
      </c>
      <c r="J397" t="s">
        <v>5395</v>
      </c>
      <c r="K397" t="s">
        <v>5396</v>
      </c>
      <c r="L397" t="s">
        <v>21</v>
      </c>
      <c r="M397" t="s">
        <v>19177</v>
      </c>
      <c r="N397" t="s">
        <v>309</v>
      </c>
      <c r="O397" t="s">
        <v>6029</v>
      </c>
      <c r="P397" t="s">
        <v>114</v>
      </c>
    </row>
    <row r="398">
      <c r="A398">
        <f>HYPERLINK("http://bombeiros.sp.gov.br/hidrantes/03individual/3065.html","3065")</f>
      </c>
      <c r="B398" t="s">
        <v>114</v>
      </c>
      <c r="C398" t="s">
        <v>309</v>
      </c>
      <c r="D398" t="s">
        <v>5342</v>
      </c>
      <c r="E398" t="s">
        <v>15</v>
      </c>
      <c r="F398" t="s">
        <v>5409</v>
      </c>
      <c r="G398" t="s">
        <v>18099</v>
      </c>
      <c r="H398" t="s">
        <v>1107</v>
      </c>
      <c r="I398" t="s">
        <v>1108</v>
      </c>
      <c r="J398" t="s">
        <v>5410</v>
      </c>
      <c r="K398" t="s">
        <v>5411</v>
      </c>
      <c r="L398" t="s">
        <v>21</v>
      </c>
      <c r="M398" t="s">
        <v>19177</v>
      </c>
      <c r="N398" t="s">
        <v>309</v>
      </c>
      <c r="O398" t="s">
        <v>6029</v>
      </c>
      <c r="P398" t="s">
        <v>114</v>
      </c>
    </row>
    <row r="399">
      <c r="A399">
        <f>HYPERLINK("http://bombeiros.sp.gov.br/hidrantes/03individual/17736.html","17736")</f>
      </c>
      <c r="B399" t="s">
        <v>114</v>
      </c>
      <c r="C399" t="s">
        <v>309</v>
      </c>
      <c r="D399" t="s">
        <v>5342</v>
      </c>
      <c r="E399" t="s">
        <v>15</v>
      </c>
      <c r="F399" t="s">
        <v>5424</v>
      </c>
      <c r="G399" t="s">
        <v>18099</v>
      </c>
      <c r="H399" t="s">
        <v>1174</v>
      </c>
      <c r="I399" t="s">
        <v>1108</v>
      </c>
      <c r="J399" t="s">
        <v>5425</v>
      </c>
      <c r="K399" t="s">
        <v>5426</v>
      </c>
      <c r="L399" t="s">
        <v>21</v>
      </c>
      <c r="M399" t="s">
        <v>19177</v>
      </c>
      <c r="N399" t="s">
        <v>309</v>
      </c>
      <c r="O399" t="s">
        <v>6029</v>
      </c>
      <c r="P399" t="s">
        <v>114</v>
      </c>
    </row>
    <row r="400">
      <c r="A400">
        <f>HYPERLINK("http://bombeiros.sp.gov.br/hidrantes/03individual/963.html","963")</f>
      </c>
      <c r="B400" t="s">
        <v>114</v>
      </c>
      <c r="C400" t="s">
        <v>309</v>
      </c>
      <c r="D400" t="s">
        <v>314</v>
      </c>
      <c r="E400" t="s">
        <v>64</v>
      </c>
      <c r="F400" t="s">
        <v>5427</v>
      </c>
      <c r="G400" t="s">
        <v>18099</v>
      </c>
      <c r="H400" t="s">
        <v>1112</v>
      </c>
      <c r="I400" t="s">
        <v>1108</v>
      </c>
      <c r="J400" t="s">
        <v>5428</v>
      </c>
      <c r="K400" t="s">
        <v>5429</v>
      </c>
      <c r="L400" t="s">
        <v>36</v>
      </c>
      <c r="M400" t="s">
        <v>19177</v>
      </c>
      <c r="N400"/>
      <c r="O400" t="s">
        <v>272</v>
      </c>
      <c r="P400" t="s">
        <v>114</v>
      </c>
    </row>
    <row r="401">
      <c r="A401">
        <f>HYPERLINK("http://bombeiros.sp.gov.br/hidrantes/03individual/1610.html","1610")</f>
      </c>
      <c r="B401" t="s">
        <v>114</v>
      </c>
      <c r="C401" t="s">
        <v>309</v>
      </c>
      <c r="D401" t="s">
        <v>314</v>
      </c>
      <c r="E401" t="s">
        <v>64</v>
      </c>
      <c r="F401" t="s">
        <v>5433</v>
      </c>
      <c r="G401" t="s">
        <v>18099</v>
      </c>
      <c r="H401" t="s">
        <v>1112</v>
      </c>
      <c r="I401" t="s">
        <v>1108</v>
      </c>
      <c r="J401" t="s">
        <v>5434</v>
      </c>
      <c r="K401" t="s">
        <v>5435</v>
      </c>
      <c r="L401" t="s">
        <v>21</v>
      </c>
      <c r="M401" t="s">
        <v>19177</v>
      </c>
      <c r="N401" t="s">
        <v>16374</v>
      </c>
      <c r="O401" t="s">
        <v>272</v>
      </c>
      <c r="P401" t="s">
        <v>114</v>
      </c>
    </row>
    <row r="402">
      <c r="A402">
        <f>HYPERLINK("http://bombeiros.sp.gov.br/hidrantes/03individual/27143.html","27143")</f>
      </c>
      <c r="B402" t="s">
        <v>114</v>
      </c>
      <c r="C402" t="s">
        <v>309</v>
      </c>
      <c r="D402" t="s">
        <v>314</v>
      </c>
      <c r="E402" t="s">
        <v>64</v>
      </c>
      <c r="F402" t="s">
        <v>16830</v>
      </c>
      <c r="G402" t="s">
        <v>18252</v>
      </c>
      <c r="H402" t="s">
        <v>1112</v>
      </c>
      <c r="I402" t="s">
        <v>1108</v>
      </c>
      <c r="J402" t="s">
        <v>16831</v>
      </c>
      <c r="K402" t="s">
        <v>16832</v>
      </c>
      <c r="L402" t="s">
        <v>21</v>
      </c>
      <c r="M402" t="s">
        <v>19177</v>
      </c>
      <c r="N402" t="s">
        <v>16374</v>
      </c>
      <c r="O402" t="s">
        <v>272</v>
      </c>
      <c r="P402" t="s">
        <v>114</v>
      </c>
    </row>
    <row r="403">
      <c r="A403">
        <f>HYPERLINK("http://bombeiros.sp.gov.br/hidrantes/03individual/27816.html","27816")</f>
      </c>
      <c r="B403" t="s">
        <v>114</v>
      </c>
      <c r="C403" t="s">
        <v>309</v>
      </c>
      <c r="D403" t="s">
        <v>314</v>
      </c>
      <c r="E403" t="s">
        <v>64</v>
      </c>
      <c r="F403" t="s">
        <v>17819</v>
      </c>
      <c r="G403" t="s">
        <v>18062</v>
      </c>
      <c r="H403" t="s">
        <v>1112</v>
      </c>
      <c r="I403" t="s">
        <v>1108</v>
      </c>
      <c r="J403" t="s">
        <v>17820</v>
      </c>
      <c r="K403" t="s">
        <v>17821</v>
      </c>
      <c r="L403" t="s">
        <v>21</v>
      </c>
      <c r="M403" t="s">
        <v>19177</v>
      </c>
      <c r="N403" t="s">
        <v>309</v>
      </c>
      <c r="O403" t="s">
        <v>6029</v>
      </c>
      <c r="P403" t="s">
        <v>114</v>
      </c>
    </row>
    <row r="404">
      <c r="A404">
        <f>HYPERLINK("http://bombeiros.sp.gov.br/hidrantes/03individual/28038.html","28038")</f>
      </c>
      <c r="B404" t="s">
        <v>114</v>
      </c>
      <c r="C404" t="s">
        <v>309</v>
      </c>
      <c r="D404" t="s">
        <v>314</v>
      </c>
      <c r="E404" t="s">
        <v>64</v>
      </c>
      <c r="F404" t="s">
        <v>18292</v>
      </c>
      <c r="G404" t="s">
        <v>18099</v>
      </c>
      <c r="H404" t="s">
        <v>1112</v>
      </c>
      <c r="I404" t="s">
        <v>1108</v>
      </c>
      <c r="J404" t="s">
        <v>18293</v>
      </c>
      <c r="K404" t="s">
        <v>18294</v>
      </c>
      <c r="L404" t="s">
        <v>21</v>
      </c>
      <c r="M404" t="s">
        <v>19177</v>
      </c>
      <c r="N404" t="s">
        <v>16374</v>
      </c>
      <c r="O404" t="s">
        <v>272</v>
      </c>
      <c r="P404" t="s">
        <v>114</v>
      </c>
    </row>
    <row r="405">
      <c r="A405">
        <f>HYPERLINK("http://bombeiros.sp.gov.br/hidrantes/03individual/1538.html","1538")</f>
      </c>
      <c r="B405" t="s">
        <v>114</v>
      </c>
      <c r="C405" t="s">
        <v>309</v>
      </c>
      <c r="D405" t="s">
        <v>314</v>
      </c>
      <c r="E405" t="s">
        <v>15</v>
      </c>
      <c r="F405" t="s">
        <v>5436</v>
      </c>
      <c r="G405" t="s">
        <v>18055</v>
      </c>
      <c r="H405" t="s">
        <v>1112</v>
      </c>
      <c r="I405" t="s">
        <v>1108</v>
      </c>
      <c r="J405" t="s">
        <v>5437</v>
      </c>
      <c r="K405" t="s">
        <v>5438</v>
      </c>
      <c r="L405" t="s">
        <v>21</v>
      </c>
      <c r="M405" t="s">
        <v>19177</v>
      </c>
      <c r="N405" t="s">
        <v>16374</v>
      </c>
      <c r="O405" t="s">
        <v>272</v>
      </c>
      <c r="P405" t="s">
        <v>114</v>
      </c>
    </row>
    <row r="406">
      <c r="A406">
        <f>HYPERLINK("http://bombeiros.sp.gov.br/hidrantes/03individual/27515.html","27515")</f>
      </c>
      <c r="B406" t="s">
        <v>114</v>
      </c>
      <c r="C406" t="s">
        <v>309</v>
      </c>
      <c r="D406" t="s">
        <v>314</v>
      </c>
      <c r="E406" t="s">
        <v>15</v>
      </c>
      <c r="F406" t="s">
        <v>17325</v>
      </c>
      <c r="G406" t="s">
        <v>18103</v>
      </c>
      <c r="H406" t="s">
        <v>1112</v>
      </c>
      <c r="I406" t="s">
        <v>1108</v>
      </c>
      <c r="J406" t="s">
        <v>17326</v>
      </c>
      <c r="K406" t="s">
        <v>17327</v>
      </c>
      <c r="L406" t="s">
        <v>21</v>
      </c>
      <c r="M406" t="s">
        <v>19177</v>
      </c>
      <c r="N406" t="s">
        <v>16374</v>
      </c>
      <c r="O406" t="s">
        <v>272</v>
      </c>
      <c r="P406" t="s">
        <v>114</v>
      </c>
    </row>
    <row r="407">
      <c r="A407">
        <f>HYPERLINK("http://bombeiros.sp.gov.br/hidrantes/03individual/1717.html","1717")</f>
      </c>
      <c r="B407" t="s">
        <v>114</v>
      </c>
      <c r="C407" t="s">
        <v>309</v>
      </c>
      <c r="D407" t="s">
        <v>5484</v>
      </c>
      <c r="E407" t="s">
        <v>64</v>
      </c>
      <c r="F407" t="s">
        <v>5500</v>
      </c>
      <c r="G407" t="s">
        <v>18103</v>
      </c>
      <c r="H407" t="s">
        <v>1112</v>
      </c>
      <c r="I407" t="s">
        <v>1108</v>
      </c>
      <c r="J407" t="s">
        <v>5501</v>
      </c>
      <c r="K407" t="s">
        <v>5502</v>
      </c>
      <c r="L407" t="s">
        <v>21</v>
      </c>
      <c r="M407" t="s">
        <v>19177</v>
      </c>
      <c r="N407" t="s">
        <v>16374</v>
      </c>
      <c r="O407" t="s">
        <v>272</v>
      </c>
      <c r="P407" t="s">
        <v>114</v>
      </c>
    </row>
    <row r="408">
      <c r="A408">
        <f>HYPERLINK("http://bombeiros.sp.gov.br/hidrantes/03individual/26671.html","26671")</f>
      </c>
      <c r="B408" t="s">
        <v>114</v>
      </c>
      <c r="C408" t="s">
        <v>309</v>
      </c>
      <c r="D408" t="s">
        <v>5484</v>
      </c>
      <c r="E408" t="s">
        <v>64</v>
      </c>
      <c r="F408" t="s">
        <v>5485</v>
      </c>
      <c r="G408" t="s">
        <v>18095</v>
      </c>
      <c r="H408" t="s">
        <v>1112</v>
      </c>
      <c r="I408" t="s">
        <v>1108</v>
      </c>
      <c r="J408" t="s">
        <v>5486</v>
      </c>
      <c r="K408" t="s">
        <v>5487</v>
      </c>
      <c r="L408" t="s">
        <v>21</v>
      </c>
      <c r="M408" t="s">
        <v>19177</v>
      </c>
      <c r="N408" t="s">
        <v>16374</v>
      </c>
      <c r="O408" t="s">
        <v>272</v>
      </c>
      <c r="P408" t="s">
        <v>114</v>
      </c>
    </row>
    <row r="409">
      <c r="A409">
        <f>HYPERLINK("http://bombeiros.sp.gov.br/hidrantes/03individual/26672.html","26672")</f>
      </c>
      <c r="B409" t="s">
        <v>114</v>
      </c>
      <c r="C409" t="s">
        <v>309</v>
      </c>
      <c r="D409" t="s">
        <v>5484</v>
      </c>
      <c r="E409" t="s">
        <v>64</v>
      </c>
      <c r="F409" t="s">
        <v>5488</v>
      </c>
      <c r="G409" t="s">
        <v>18095</v>
      </c>
      <c r="H409" t="s">
        <v>1112</v>
      </c>
      <c r="I409" t="s">
        <v>1108</v>
      </c>
      <c r="J409" t="s">
        <v>5489</v>
      </c>
      <c r="K409" t="s">
        <v>5490</v>
      </c>
      <c r="L409" t="s">
        <v>21</v>
      </c>
      <c r="M409" t="s">
        <v>19177</v>
      </c>
      <c r="N409" t="s">
        <v>16374</v>
      </c>
      <c r="O409" t="s">
        <v>272</v>
      </c>
      <c r="P409" t="s">
        <v>114</v>
      </c>
    </row>
    <row r="410">
      <c r="A410">
        <f>HYPERLINK("http://bombeiros.sp.gov.br/hidrantes/03individual/1706.html","1706")</f>
      </c>
      <c r="B410" t="s">
        <v>114</v>
      </c>
      <c r="C410" t="s">
        <v>309</v>
      </c>
      <c r="D410" t="s">
        <v>5484</v>
      </c>
      <c r="E410" t="s">
        <v>15</v>
      </c>
      <c r="F410" t="s">
        <v>5494</v>
      </c>
      <c r="G410" t="s">
        <v>18095</v>
      </c>
      <c r="H410" t="s">
        <v>1107</v>
      </c>
      <c r="I410" t="s">
        <v>1108</v>
      </c>
      <c r="J410" t="s">
        <v>5495</v>
      </c>
      <c r="K410" t="s">
        <v>5496</v>
      </c>
      <c r="L410" t="s">
        <v>21</v>
      </c>
      <c r="M410" t="s">
        <v>19177</v>
      </c>
      <c r="N410" t="s">
        <v>16374</v>
      </c>
      <c r="O410" t="s">
        <v>272</v>
      </c>
      <c r="P410" t="s">
        <v>114</v>
      </c>
    </row>
    <row r="411">
      <c r="A411">
        <f>HYPERLINK("http://bombeiros.sp.gov.br/hidrantes/03individual/1761.html","1761")</f>
      </c>
      <c r="B411" t="s">
        <v>114</v>
      </c>
      <c r="C411" t="s">
        <v>309</v>
      </c>
      <c r="D411" t="s">
        <v>5484</v>
      </c>
      <c r="E411" t="s">
        <v>15</v>
      </c>
      <c r="F411" t="s">
        <v>5506</v>
      </c>
      <c r="G411" t="s">
        <v>18095</v>
      </c>
      <c r="H411" t="s">
        <v>1112</v>
      </c>
      <c r="I411" t="s">
        <v>1108</v>
      </c>
      <c r="J411" t="s">
        <v>5507</v>
      </c>
      <c r="K411" t="s">
        <v>5508</v>
      </c>
      <c r="L411" t="s">
        <v>21</v>
      </c>
      <c r="M411" t="s">
        <v>19177</v>
      </c>
      <c r="N411" t="s">
        <v>309</v>
      </c>
      <c r="O411" t="s">
        <v>6029</v>
      </c>
      <c r="P411" t="s">
        <v>114</v>
      </c>
    </row>
    <row r="412">
      <c r="A412">
        <f>HYPERLINK("http://bombeiros.sp.gov.br/hidrantes/03individual/5526.html","5526")</f>
      </c>
      <c r="B412" t="s">
        <v>114</v>
      </c>
      <c r="C412" t="s">
        <v>318</v>
      </c>
      <c r="D412" t="s">
        <v>5542</v>
      </c>
      <c r="E412" t="s">
        <v>64</v>
      </c>
      <c r="F412" t="s">
        <v>5546</v>
      </c>
      <c r="G412" t="s">
        <v>18124</v>
      </c>
      <c r="H412" t="s">
        <v>1112</v>
      </c>
      <c r="I412" t="s">
        <v>1108</v>
      </c>
      <c r="J412" t="s">
        <v>5547</v>
      </c>
      <c r="K412" t="s">
        <v>5548</v>
      </c>
      <c r="L412" t="s">
        <v>21</v>
      </c>
      <c r="M412" t="s">
        <v>19177</v>
      </c>
      <c r="N412" t="s">
        <v>309</v>
      </c>
      <c r="O412" t="s">
        <v>6029</v>
      </c>
      <c r="P412" t="s">
        <v>114</v>
      </c>
    </row>
    <row r="413">
      <c r="A413">
        <f>HYPERLINK("http://bombeiros.sp.gov.br/hidrantes/03individual/17876.html","17876")</f>
      </c>
      <c r="B413" t="s">
        <v>114</v>
      </c>
      <c r="C413" t="s">
        <v>318</v>
      </c>
      <c r="D413" t="s">
        <v>5542</v>
      </c>
      <c r="E413" t="s">
        <v>64</v>
      </c>
      <c r="F413" t="s">
        <v>5549</v>
      </c>
      <c r="G413" t="s">
        <v>18099</v>
      </c>
      <c r="H413" t="s">
        <v>1112</v>
      </c>
      <c r="I413" t="s">
        <v>1108</v>
      </c>
      <c r="J413" t="s">
        <v>5550</v>
      </c>
      <c r="K413" t="s">
        <v>5551</v>
      </c>
      <c r="L413" t="s">
        <v>21</v>
      </c>
      <c r="M413" t="s">
        <v>19177</v>
      </c>
      <c r="N413" t="s">
        <v>309</v>
      </c>
      <c r="O413" t="s">
        <v>6029</v>
      </c>
      <c r="P413" t="s">
        <v>114</v>
      </c>
    </row>
    <row r="414">
      <c r="A414">
        <f>HYPERLINK("http://bombeiros.sp.gov.br/hidrantes/03individual/1846.html","1846")</f>
      </c>
      <c r="B414" t="s">
        <v>114</v>
      </c>
      <c r="C414" t="s">
        <v>318</v>
      </c>
      <c r="D414" t="s">
        <v>5542</v>
      </c>
      <c r="E414" t="s">
        <v>15</v>
      </c>
      <c r="F414" t="s">
        <v>5561</v>
      </c>
      <c r="G414" t="s">
        <v>18124</v>
      </c>
      <c r="H414" t="s">
        <v>1107</v>
      </c>
      <c r="I414" t="s">
        <v>1108</v>
      </c>
      <c r="J414" t="s">
        <v>5562</v>
      </c>
      <c r="K414" t="s">
        <v>5563</v>
      </c>
      <c r="L414" t="s">
        <v>21</v>
      </c>
      <c r="M414" t="s">
        <v>19177</v>
      </c>
      <c r="N414" t="s">
        <v>309</v>
      </c>
      <c r="O414" t="s">
        <v>6029</v>
      </c>
      <c r="P414" t="s">
        <v>114</v>
      </c>
    </row>
    <row r="415">
      <c r="A415">
        <f>HYPERLINK("http://bombeiros.sp.gov.br/hidrantes/03individual/1919.html","1919")</f>
      </c>
      <c r="B415" t="s">
        <v>114</v>
      </c>
      <c r="C415" t="s">
        <v>318</v>
      </c>
      <c r="D415" t="s">
        <v>318</v>
      </c>
      <c r="E415" t="s">
        <v>64</v>
      </c>
      <c r="F415" t="s">
        <v>5582</v>
      </c>
      <c r="G415" t="s">
        <v>18074</v>
      </c>
      <c r="H415" t="s">
        <v>1121</v>
      </c>
      <c r="I415" t="s">
        <v>1117</v>
      </c>
      <c r="J415" t="s">
        <v>5583</v>
      </c>
      <c r="K415" t="s">
        <v>5584</v>
      </c>
      <c r="L415" t="s">
        <v>36</v>
      </c>
      <c r="M415" t="s">
        <v>19177</v>
      </c>
      <c r="N415" t="s">
        <v>309</v>
      </c>
      <c r="O415" t="s">
        <v>6029</v>
      </c>
      <c r="P415" t="s">
        <v>114</v>
      </c>
    </row>
    <row r="416">
      <c r="A416">
        <f>HYPERLINK("http://bombeiros.sp.gov.br/hidrantes/03individual/3386.html","3386")</f>
      </c>
      <c r="B416" t="s">
        <v>114</v>
      </c>
      <c r="C416" t="s">
        <v>318</v>
      </c>
      <c r="D416" t="s">
        <v>318</v>
      </c>
      <c r="E416" t="s">
        <v>15</v>
      </c>
      <c r="F416" t="s">
        <v>5612</v>
      </c>
      <c r="G416" t="s">
        <v>18099</v>
      </c>
      <c r="H416" t="s">
        <v>1107</v>
      </c>
      <c r="I416" t="s">
        <v>1108</v>
      </c>
      <c r="J416" t="s">
        <v>5613</v>
      </c>
      <c r="K416" t="s">
        <v>5614</v>
      </c>
      <c r="L416" t="s">
        <v>21</v>
      </c>
      <c r="M416" t="s">
        <v>19177</v>
      </c>
      <c r="N416" t="s">
        <v>309</v>
      </c>
      <c r="O416" t="s">
        <v>6029</v>
      </c>
      <c r="P416" t="s">
        <v>114</v>
      </c>
    </row>
    <row r="417">
      <c r="A417">
        <f>HYPERLINK("http://bombeiros.sp.gov.br/hidrantes/03individual/26865.html","26865")</f>
      </c>
      <c r="B417" t="s">
        <v>114</v>
      </c>
      <c r="C417" t="s">
        <v>318</v>
      </c>
      <c r="D417" t="s">
        <v>318</v>
      </c>
      <c r="E417" t="s">
        <v>15</v>
      </c>
      <c r="F417" t="s">
        <v>16245</v>
      </c>
      <c r="G417" t="s">
        <v>18050</v>
      </c>
      <c r="H417" t="s">
        <v>1107</v>
      </c>
      <c r="I417" t="s">
        <v>1108</v>
      </c>
      <c r="J417" t="s">
        <v>16246</v>
      </c>
      <c r="K417" t="s">
        <v>16247</v>
      </c>
      <c r="L417" t="s">
        <v>21</v>
      </c>
      <c r="M417" t="s">
        <v>19177</v>
      </c>
      <c r="N417" t="s">
        <v>309</v>
      </c>
      <c r="O417" t="s">
        <v>6029</v>
      </c>
      <c r="P417" t="s">
        <v>114</v>
      </c>
    </row>
    <row r="418">
      <c r="A418">
        <f>HYPERLINK("http://bombeiros.sp.gov.br/hidrantes/03individual/881.html","881")</f>
      </c>
      <c r="B418" t="s">
        <v>114</v>
      </c>
      <c r="C418" t="s">
        <v>322</v>
      </c>
      <c r="D418" t="s">
        <v>5618</v>
      </c>
      <c r="E418" t="s">
        <v>64</v>
      </c>
      <c r="F418" t="s">
        <v>5619</v>
      </c>
      <c r="G418" t="s">
        <v>18119</v>
      </c>
      <c r="H418" t="s">
        <v>1112</v>
      </c>
      <c r="I418" t="s">
        <v>1108</v>
      </c>
      <c r="J418" t="s">
        <v>5620</v>
      </c>
      <c r="K418" t="s">
        <v>5621</v>
      </c>
      <c r="L418" t="s">
        <v>36</v>
      </c>
      <c r="M418" t="s">
        <v>19177</v>
      </c>
      <c r="N418" t="s">
        <v>300</v>
      </c>
      <c r="O418" t="s">
        <v>16373</v>
      </c>
      <c r="P418" t="s">
        <v>12</v>
      </c>
    </row>
    <row r="419">
      <c r="A419">
        <f>HYPERLINK("http://bombeiros.sp.gov.br/hidrantes/03individual/883.html","883")</f>
      </c>
      <c r="B419" t="s">
        <v>114</v>
      </c>
      <c r="C419" t="s">
        <v>322</v>
      </c>
      <c r="D419" t="s">
        <v>5618</v>
      </c>
      <c r="E419" t="s">
        <v>64</v>
      </c>
      <c r="F419" t="s">
        <v>5622</v>
      </c>
      <c r="G419" t="s">
        <v>18050</v>
      </c>
      <c r="H419" t="s">
        <v>1112</v>
      </c>
      <c r="I419" t="s">
        <v>1108</v>
      </c>
      <c r="J419" t="s">
        <v>5623</v>
      </c>
      <c r="K419" t="s">
        <v>5624</v>
      </c>
      <c r="L419" t="s">
        <v>36</v>
      </c>
      <c r="M419" t="s">
        <v>19177</v>
      </c>
      <c r="N419" t="s">
        <v>300</v>
      </c>
      <c r="O419" t="s">
        <v>16373</v>
      </c>
      <c r="P419" t="s">
        <v>12</v>
      </c>
    </row>
    <row r="420">
      <c r="A420">
        <f>HYPERLINK("http://bombeiros.sp.gov.br/hidrantes/03individual/1868.html","1868")</f>
      </c>
      <c r="B420" t="s">
        <v>114</v>
      </c>
      <c r="C420" t="s">
        <v>322</v>
      </c>
      <c r="D420" t="s">
        <v>5618</v>
      </c>
      <c r="E420" t="s">
        <v>15</v>
      </c>
      <c r="F420" t="s">
        <v>5640</v>
      </c>
      <c r="G420" t="s">
        <v>18050</v>
      </c>
      <c r="H420" t="s">
        <v>1107</v>
      </c>
      <c r="I420" t="s">
        <v>1108</v>
      </c>
      <c r="J420" t="s">
        <v>5641</v>
      </c>
      <c r="K420" t="s">
        <v>5642</v>
      </c>
      <c r="L420" t="s">
        <v>21</v>
      </c>
      <c r="M420" t="s">
        <v>19177</v>
      </c>
      <c r="N420" t="s">
        <v>300</v>
      </c>
      <c r="O420" t="s">
        <v>16373</v>
      </c>
      <c r="P420" t="s">
        <v>12</v>
      </c>
    </row>
    <row r="421">
      <c r="A421">
        <f>HYPERLINK("http://bombeiros.sp.gov.br/hidrantes/03individual/3147.html","3147")</f>
      </c>
      <c r="B421" t="s">
        <v>114</v>
      </c>
      <c r="C421" t="s">
        <v>322</v>
      </c>
      <c r="D421" t="s">
        <v>5618</v>
      </c>
      <c r="E421" t="s">
        <v>15</v>
      </c>
      <c r="F421" t="s">
        <v>5646</v>
      </c>
      <c r="G421" t="s">
        <v>18050</v>
      </c>
      <c r="H421" t="s">
        <v>1107</v>
      </c>
      <c r="I421" t="s">
        <v>1108</v>
      </c>
      <c r="J421" t="s">
        <v>5647</v>
      </c>
      <c r="K421" t="s">
        <v>5648</v>
      </c>
      <c r="L421" t="s">
        <v>21</v>
      </c>
      <c r="M421" t="s">
        <v>19177</v>
      </c>
      <c r="N421" t="s">
        <v>300</v>
      </c>
      <c r="O421" t="s">
        <v>16373</v>
      </c>
      <c r="P421" t="s">
        <v>12</v>
      </c>
    </row>
    <row r="422">
      <c r="A422">
        <f>HYPERLINK("http://bombeiros.sp.gov.br/hidrantes/03individual/3149.html","3149")</f>
      </c>
      <c r="B422" t="s">
        <v>114</v>
      </c>
      <c r="C422" t="s">
        <v>322</v>
      </c>
      <c r="D422" t="s">
        <v>5618</v>
      </c>
      <c r="E422" t="s">
        <v>15</v>
      </c>
      <c r="F422" t="s">
        <v>5649</v>
      </c>
      <c r="G422" t="s">
        <v>18050</v>
      </c>
      <c r="H422" t="s">
        <v>1107</v>
      </c>
      <c r="I422" t="s">
        <v>1108</v>
      </c>
      <c r="J422" t="s">
        <v>5650</v>
      </c>
      <c r="K422" t="s">
        <v>5651</v>
      </c>
      <c r="L422" t="s">
        <v>21</v>
      </c>
      <c r="M422" t="s">
        <v>19177</v>
      </c>
      <c r="N422" t="s">
        <v>300</v>
      </c>
      <c r="O422" t="s">
        <v>16373</v>
      </c>
      <c r="P422" t="s">
        <v>12</v>
      </c>
    </row>
    <row r="423">
      <c r="A423">
        <f>HYPERLINK("http://bombeiros.sp.gov.br/hidrantes/03individual/1395.html","1395")</f>
      </c>
      <c r="B423" t="s">
        <v>114</v>
      </c>
      <c r="C423" t="s">
        <v>322</v>
      </c>
      <c r="D423" t="s">
        <v>323</v>
      </c>
      <c r="E423" t="s">
        <v>64</v>
      </c>
      <c r="F423" t="s">
        <v>5673</v>
      </c>
      <c r="G423" t="s">
        <v>18050</v>
      </c>
      <c r="H423" t="s">
        <v>1112</v>
      </c>
      <c r="I423" t="s">
        <v>1108</v>
      </c>
      <c r="J423" t="s">
        <v>5674</v>
      </c>
      <c r="K423" t="s">
        <v>5675</v>
      </c>
      <c r="L423" t="s">
        <v>36</v>
      </c>
      <c r="M423" t="s">
        <v>19177</v>
      </c>
      <c r="N423" t="s">
        <v>300</v>
      </c>
      <c r="O423" t="s">
        <v>16373</v>
      </c>
      <c r="P423" t="s">
        <v>12</v>
      </c>
    </row>
    <row r="424">
      <c r="A424">
        <f>HYPERLINK("http://bombeiros.sp.gov.br/hidrantes/03individual/3075.html","3075")</f>
      </c>
      <c r="B424" t="s">
        <v>114</v>
      </c>
      <c r="C424" t="s">
        <v>322</v>
      </c>
      <c r="D424" t="s">
        <v>323</v>
      </c>
      <c r="E424" t="s">
        <v>64</v>
      </c>
      <c r="F424" t="s">
        <v>5676</v>
      </c>
      <c r="G424" t="s">
        <v>18076</v>
      </c>
      <c r="H424" t="s">
        <v>1112</v>
      </c>
      <c r="I424" t="s">
        <v>1108</v>
      </c>
      <c r="J424" t="s">
        <v>5677</v>
      </c>
      <c r="K424" t="s">
        <v>5678</v>
      </c>
      <c r="L424" t="s">
        <v>36</v>
      </c>
      <c r="M424" t="s">
        <v>19177</v>
      </c>
      <c r="N424" t="s">
        <v>300</v>
      </c>
      <c r="O424" t="s">
        <v>16373</v>
      </c>
      <c r="P424" t="s">
        <v>12</v>
      </c>
    </row>
    <row r="425">
      <c r="A425">
        <f>HYPERLINK("http://bombeiros.sp.gov.br/hidrantes/03individual/10022.html","10022")</f>
      </c>
      <c r="B425" t="s">
        <v>114</v>
      </c>
      <c r="C425" t="s">
        <v>322</v>
      </c>
      <c r="D425" t="s">
        <v>323</v>
      </c>
      <c r="E425" t="s">
        <v>64</v>
      </c>
      <c r="F425" t="s">
        <v>5688</v>
      </c>
      <c r="G425" t="s">
        <v>18180</v>
      </c>
      <c r="H425" t="s">
        <v>1112</v>
      </c>
      <c r="I425" t="s">
        <v>1108</v>
      </c>
      <c r="J425" t="s">
        <v>5689</v>
      </c>
      <c r="K425" t="s">
        <v>5690</v>
      </c>
      <c r="L425" t="s">
        <v>21</v>
      </c>
      <c r="M425" t="s">
        <v>19177</v>
      </c>
      <c r="N425" t="s">
        <v>300</v>
      </c>
      <c r="O425" t="s">
        <v>16373</v>
      </c>
      <c r="P425" t="s">
        <v>12</v>
      </c>
    </row>
    <row r="426">
      <c r="A426">
        <f>HYPERLINK("http://bombeiros.sp.gov.br/hidrantes/03individual/10023.html","10023")</f>
      </c>
      <c r="B426" t="s">
        <v>114</v>
      </c>
      <c r="C426" t="s">
        <v>322</v>
      </c>
      <c r="D426" t="s">
        <v>323</v>
      </c>
      <c r="E426" t="s">
        <v>64</v>
      </c>
      <c r="F426" t="s">
        <v>5691</v>
      </c>
      <c r="G426" t="s">
        <v>18119</v>
      </c>
      <c r="H426" t="s">
        <v>1112</v>
      </c>
      <c r="I426" t="s">
        <v>1108</v>
      </c>
      <c r="J426" t="s">
        <v>5692</v>
      </c>
      <c r="K426" t="s">
        <v>5693</v>
      </c>
      <c r="L426" t="s">
        <v>21</v>
      </c>
      <c r="M426" t="s">
        <v>19177</v>
      </c>
      <c r="N426" t="s">
        <v>300</v>
      </c>
      <c r="O426" t="s">
        <v>16373</v>
      </c>
      <c r="P426" t="s">
        <v>12</v>
      </c>
    </row>
    <row r="427">
      <c r="A427">
        <f>HYPERLINK("http://bombeiros.sp.gov.br/hidrantes/03individual/1510.html","1510")</f>
      </c>
      <c r="B427" t="s">
        <v>114</v>
      </c>
      <c r="C427" t="s">
        <v>322</v>
      </c>
      <c r="D427" t="s">
        <v>323</v>
      </c>
      <c r="E427" t="s">
        <v>15</v>
      </c>
      <c r="F427" t="s">
        <v>5706</v>
      </c>
      <c r="G427" t="s">
        <v>18051</v>
      </c>
      <c r="H427" t="s">
        <v>1112</v>
      </c>
      <c r="I427" t="s">
        <v>1108</v>
      </c>
      <c r="J427" t="s">
        <v>5707</v>
      </c>
      <c r="K427" t="s">
        <v>5708</v>
      </c>
      <c r="L427" t="s">
        <v>21</v>
      </c>
      <c r="M427" t="s">
        <v>19177</v>
      </c>
      <c r="N427" t="s">
        <v>300</v>
      </c>
      <c r="O427" t="s">
        <v>16373</v>
      </c>
      <c r="P427" t="s">
        <v>12</v>
      </c>
    </row>
    <row r="428">
      <c r="A428">
        <f>HYPERLINK("http://bombeiros.sp.gov.br/hidrantes/03individual/1512.html","1512")</f>
      </c>
      <c r="B428" t="s">
        <v>114</v>
      </c>
      <c r="C428" t="s">
        <v>322</v>
      </c>
      <c r="D428" t="s">
        <v>323</v>
      </c>
      <c r="E428" t="s">
        <v>15</v>
      </c>
      <c r="F428" t="s">
        <v>5709</v>
      </c>
      <c r="G428" t="s">
        <v>18430</v>
      </c>
      <c r="H428" t="s">
        <v>1112</v>
      </c>
      <c r="I428" t="s">
        <v>1108</v>
      </c>
      <c r="J428" t="s">
        <v>5710</v>
      </c>
      <c r="K428" t="s">
        <v>5711</v>
      </c>
      <c r="L428" t="s">
        <v>21</v>
      </c>
      <c r="M428" t="s">
        <v>19177</v>
      </c>
      <c r="N428" t="s">
        <v>337</v>
      </c>
      <c r="O428" t="s">
        <v>337</v>
      </c>
      <c r="P428" t="s">
        <v>12</v>
      </c>
    </row>
    <row r="429">
      <c r="A429">
        <f>HYPERLINK("http://bombeiros.sp.gov.br/hidrantes/03individual/3152.html","3152")</f>
      </c>
      <c r="B429" t="s">
        <v>114</v>
      </c>
      <c r="C429" t="s">
        <v>322</v>
      </c>
      <c r="D429" t="s">
        <v>323</v>
      </c>
      <c r="E429" t="s">
        <v>15</v>
      </c>
      <c r="F429" t="s">
        <v>5727</v>
      </c>
      <c r="G429" t="s">
        <v>18050</v>
      </c>
      <c r="H429" t="s">
        <v>1107</v>
      </c>
      <c r="I429" t="s">
        <v>1108</v>
      </c>
      <c r="J429" t="s">
        <v>5728</v>
      </c>
      <c r="K429" t="s">
        <v>5729</v>
      </c>
      <c r="L429" t="s">
        <v>21</v>
      </c>
      <c r="M429" t="s">
        <v>19177</v>
      </c>
      <c r="N429" t="s">
        <v>300</v>
      </c>
      <c r="O429" t="s">
        <v>16373</v>
      </c>
      <c r="P429" t="s">
        <v>12</v>
      </c>
    </row>
    <row r="430">
      <c r="A430">
        <f>HYPERLINK("http://bombeiros.sp.gov.br/hidrantes/03individual/3651.html","3651")</f>
      </c>
      <c r="B430" t="s">
        <v>114</v>
      </c>
      <c r="C430" t="s">
        <v>322</v>
      </c>
      <c r="D430" t="s">
        <v>323</v>
      </c>
      <c r="E430" t="s">
        <v>15</v>
      </c>
      <c r="F430" t="s">
        <v>5733</v>
      </c>
      <c r="G430" t="s">
        <v>18076</v>
      </c>
      <c r="H430" t="s">
        <v>1112</v>
      </c>
      <c r="I430" t="s">
        <v>1108</v>
      </c>
      <c r="J430" t="s">
        <v>5734</v>
      </c>
      <c r="K430" t="s">
        <v>5735</v>
      </c>
      <c r="L430" t="s">
        <v>21</v>
      </c>
      <c r="M430" t="s">
        <v>19177</v>
      </c>
      <c r="N430" t="s">
        <v>300</v>
      </c>
      <c r="O430" t="s">
        <v>16373</v>
      </c>
      <c r="P430" t="s">
        <v>12</v>
      </c>
    </row>
    <row r="431">
      <c r="A431">
        <f>HYPERLINK("http://bombeiros.sp.gov.br/hidrantes/03individual/3654.html","3654")</f>
      </c>
      <c r="B431" t="s">
        <v>114</v>
      </c>
      <c r="C431" t="s">
        <v>322</v>
      </c>
      <c r="D431" t="s">
        <v>323</v>
      </c>
      <c r="E431" t="s">
        <v>15</v>
      </c>
      <c r="F431" t="s">
        <v>5736</v>
      </c>
      <c r="G431" t="s">
        <v>18051</v>
      </c>
      <c r="H431" t="s">
        <v>1107</v>
      </c>
      <c r="I431" t="s">
        <v>1108</v>
      </c>
      <c r="J431" t="s">
        <v>5737</v>
      </c>
      <c r="K431" t="s">
        <v>5738</v>
      </c>
      <c r="L431" t="s">
        <v>21</v>
      </c>
      <c r="M431" t="s">
        <v>19177</v>
      </c>
      <c r="N431" t="s">
        <v>300</v>
      </c>
      <c r="O431" t="s">
        <v>16373</v>
      </c>
      <c r="P431" t="s">
        <v>12</v>
      </c>
    </row>
    <row r="432">
      <c r="A432">
        <f>HYPERLINK("http://bombeiros.sp.gov.br/hidrantes/03individual/4186.html","4186")</f>
      </c>
      <c r="B432" t="s">
        <v>114</v>
      </c>
      <c r="C432" t="s">
        <v>322</v>
      </c>
      <c r="D432" t="s">
        <v>323</v>
      </c>
      <c r="E432" t="s">
        <v>15</v>
      </c>
      <c r="F432" t="s">
        <v>5748</v>
      </c>
      <c r="G432" t="s">
        <v>18076</v>
      </c>
      <c r="H432" t="s">
        <v>1112</v>
      </c>
      <c r="I432" t="s">
        <v>1108</v>
      </c>
      <c r="J432" t="s">
        <v>5749</v>
      </c>
      <c r="K432" t="s">
        <v>5750</v>
      </c>
      <c r="L432" t="s">
        <v>21</v>
      </c>
      <c r="M432" t="s">
        <v>19177</v>
      </c>
      <c r="N432" t="s">
        <v>300</v>
      </c>
      <c r="O432" t="s">
        <v>16373</v>
      </c>
      <c r="P432" t="s">
        <v>12</v>
      </c>
    </row>
    <row r="433">
      <c r="A433">
        <f>HYPERLINK("http://bombeiros.sp.gov.br/hidrantes/03individual/4346.html","4346")</f>
      </c>
      <c r="B433" t="s">
        <v>114</v>
      </c>
      <c r="C433" t="s">
        <v>322</v>
      </c>
      <c r="D433" t="s">
        <v>323</v>
      </c>
      <c r="E433" t="s">
        <v>15</v>
      </c>
      <c r="F433" t="s">
        <v>5757</v>
      </c>
      <c r="G433" t="s">
        <v>18051</v>
      </c>
      <c r="H433" t="s">
        <v>1112</v>
      </c>
      <c r="I433" t="s">
        <v>1108</v>
      </c>
      <c r="J433" t="s">
        <v>5758</v>
      </c>
      <c r="K433" t="s">
        <v>5759</v>
      </c>
      <c r="L433" t="s">
        <v>21</v>
      </c>
      <c r="M433" t="s">
        <v>19177</v>
      </c>
      <c r="N433" t="s">
        <v>300</v>
      </c>
      <c r="O433" t="s">
        <v>16373</v>
      </c>
      <c r="P433" t="s">
        <v>12</v>
      </c>
    </row>
    <row r="434">
      <c r="A434">
        <f>HYPERLINK("http://bombeiros.sp.gov.br/hidrantes/03individual/10020.html","10020")</f>
      </c>
      <c r="B434" t="s">
        <v>114</v>
      </c>
      <c r="C434" t="s">
        <v>322</v>
      </c>
      <c r="D434" t="s">
        <v>323</v>
      </c>
      <c r="E434" t="s">
        <v>15</v>
      </c>
      <c r="F434" t="s">
        <v>5766</v>
      </c>
      <c r="G434" t="s">
        <v>18180</v>
      </c>
      <c r="H434" t="s">
        <v>1112</v>
      </c>
      <c r="I434" t="s">
        <v>1108</v>
      </c>
      <c r="J434" t="s">
        <v>5767</v>
      </c>
      <c r="K434" t="s">
        <v>5768</v>
      </c>
      <c r="L434" t="s">
        <v>21</v>
      </c>
      <c r="M434" t="s">
        <v>19177</v>
      </c>
      <c r="N434" t="s">
        <v>300</v>
      </c>
      <c r="O434" t="s">
        <v>16373</v>
      </c>
      <c r="P434" t="s">
        <v>12</v>
      </c>
    </row>
    <row r="435">
      <c r="A435">
        <f>HYPERLINK("http://bombeiros.sp.gov.br/hidrantes/03individual/10021.html","10021")</f>
      </c>
      <c r="B435" t="s">
        <v>114</v>
      </c>
      <c r="C435" t="s">
        <v>322</v>
      </c>
      <c r="D435" t="s">
        <v>323</v>
      </c>
      <c r="E435" t="s">
        <v>15</v>
      </c>
      <c r="F435" t="s">
        <v>5769</v>
      </c>
      <c r="G435" t="s">
        <v>18180</v>
      </c>
      <c r="H435" t="s">
        <v>1112</v>
      </c>
      <c r="I435" t="s">
        <v>1108</v>
      </c>
      <c r="J435" t="s">
        <v>5770</v>
      </c>
      <c r="K435" t="s">
        <v>5771</v>
      </c>
      <c r="L435" t="s">
        <v>21</v>
      </c>
      <c r="M435" t="s">
        <v>19177</v>
      </c>
      <c r="N435" t="s">
        <v>300</v>
      </c>
      <c r="O435" t="s">
        <v>16373</v>
      </c>
      <c r="P435" t="s">
        <v>12</v>
      </c>
    </row>
    <row r="436">
      <c r="A436">
        <f>HYPERLINK("http://bombeiros.sp.gov.br/hidrantes/03individual/3265.html","3265")</f>
      </c>
      <c r="B436" t="s">
        <v>114</v>
      </c>
      <c r="C436" t="s">
        <v>322</v>
      </c>
      <c r="D436" t="s">
        <v>5775</v>
      </c>
      <c r="E436" t="s">
        <v>64</v>
      </c>
      <c r="F436" t="s">
        <v>5776</v>
      </c>
      <c r="G436" t="s">
        <v>18097</v>
      </c>
      <c r="H436" t="s">
        <v>1112</v>
      </c>
      <c r="I436" t="s">
        <v>1108</v>
      </c>
      <c r="J436" t="s">
        <v>5777</v>
      </c>
      <c r="K436" t="s">
        <v>5778</v>
      </c>
      <c r="L436" t="s">
        <v>36</v>
      </c>
      <c r="M436" t="s">
        <v>19177</v>
      </c>
      <c r="N436" t="s">
        <v>300</v>
      </c>
      <c r="O436" t="s">
        <v>16373</v>
      </c>
      <c r="P436" t="s">
        <v>12</v>
      </c>
    </row>
    <row r="437">
      <c r="A437">
        <f>HYPERLINK("http://bombeiros.sp.gov.br/hidrantes/03individual/26692.html","26692")</f>
      </c>
      <c r="B437" t="s">
        <v>114</v>
      </c>
      <c r="C437" t="s">
        <v>322</v>
      </c>
      <c r="D437" t="s">
        <v>5775</v>
      </c>
      <c r="E437" t="s">
        <v>64</v>
      </c>
      <c r="F437" t="s">
        <v>5779</v>
      </c>
      <c r="G437" t="s">
        <v>18097</v>
      </c>
      <c r="H437" t="s">
        <v>1112</v>
      </c>
      <c r="I437" t="s">
        <v>1108</v>
      </c>
      <c r="J437" t="s">
        <v>5780</v>
      </c>
      <c r="K437" t="s">
        <v>5781</v>
      </c>
      <c r="L437" t="s">
        <v>21</v>
      </c>
      <c r="M437" t="s">
        <v>19177</v>
      </c>
      <c r="N437" t="s">
        <v>300</v>
      </c>
      <c r="O437" t="s">
        <v>16373</v>
      </c>
      <c r="P437" t="s">
        <v>12</v>
      </c>
    </row>
    <row r="438">
      <c r="A438">
        <f>HYPERLINK("http://bombeiros.sp.gov.br/hidrantes/03individual/1340.html","1340")</f>
      </c>
      <c r="B438" t="s">
        <v>114</v>
      </c>
      <c r="C438" t="s">
        <v>322</v>
      </c>
      <c r="D438" t="s">
        <v>5775</v>
      </c>
      <c r="E438" t="s">
        <v>15</v>
      </c>
      <c r="F438" t="s">
        <v>5782</v>
      </c>
      <c r="G438" t="s">
        <v>18051</v>
      </c>
      <c r="H438" t="s">
        <v>1107</v>
      </c>
      <c r="I438" t="s">
        <v>1108</v>
      </c>
      <c r="J438" t="s">
        <v>5783</v>
      </c>
      <c r="K438" t="s">
        <v>5784</v>
      </c>
      <c r="L438" t="s">
        <v>21</v>
      </c>
      <c r="M438" t="s">
        <v>19177</v>
      </c>
      <c r="N438" t="s">
        <v>300</v>
      </c>
      <c r="O438" t="s">
        <v>16373</v>
      </c>
      <c r="P438" t="s">
        <v>12</v>
      </c>
    </row>
    <row r="439">
      <c r="A439">
        <f>HYPERLINK("http://bombeiros.sp.gov.br/hidrantes/03individual/1357.html","1357")</f>
      </c>
      <c r="B439" t="s">
        <v>114</v>
      </c>
      <c r="C439" t="s">
        <v>322</v>
      </c>
      <c r="D439" t="s">
        <v>5775</v>
      </c>
      <c r="E439" t="s">
        <v>15</v>
      </c>
      <c r="F439" t="s">
        <v>5785</v>
      </c>
      <c r="G439" t="s">
        <v>18097</v>
      </c>
      <c r="H439" t="s">
        <v>1107</v>
      </c>
      <c r="I439" t="s">
        <v>1108</v>
      </c>
      <c r="J439" t="s">
        <v>5786</v>
      </c>
      <c r="K439" t="s">
        <v>5787</v>
      </c>
      <c r="L439" t="s">
        <v>21</v>
      </c>
      <c r="M439" t="s">
        <v>19177</v>
      </c>
      <c r="N439" t="s">
        <v>300</v>
      </c>
      <c r="O439" t="s">
        <v>16373</v>
      </c>
      <c r="P439" t="s">
        <v>12</v>
      </c>
    </row>
    <row r="440">
      <c r="A440">
        <f>HYPERLINK("http://bombeiros.sp.gov.br/hidrantes/03individual/1747.html","1747")</f>
      </c>
      <c r="B440" t="s">
        <v>114</v>
      </c>
      <c r="C440" t="s">
        <v>322</v>
      </c>
      <c r="D440" t="s">
        <v>5775</v>
      </c>
      <c r="E440" t="s">
        <v>15</v>
      </c>
      <c r="F440" t="s">
        <v>5797</v>
      </c>
      <c r="G440" t="s">
        <v>18045</v>
      </c>
      <c r="H440" t="s">
        <v>1112</v>
      </c>
      <c r="I440" t="s">
        <v>1108</v>
      </c>
      <c r="J440" t="s">
        <v>5798</v>
      </c>
      <c r="K440" t="s">
        <v>5799</v>
      </c>
      <c r="L440" t="s">
        <v>21</v>
      </c>
      <c r="M440" t="s">
        <v>19177</v>
      </c>
      <c r="N440" t="s">
        <v>300</v>
      </c>
      <c r="O440" t="s">
        <v>16373</v>
      </c>
      <c r="P440" t="s">
        <v>12</v>
      </c>
    </row>
    <row r="441">
      <c r="A441">
        <f>HYPERLINK("http://bombeiros.sp.gov.br/hidrantes/03individual/1814.html","1814")</f>
      </c>
      <c r="B441" t="s">
        <v>114</v>
      </c>
      <c r="C441" t="s">
        <v>322</v>
      </c>
      <c r="D441" t="s">
        <v>5775</v>
      </c>
      <c r="E441" t="s">
        <v>15</v>
      </c>
      <c r="F441" t="s">
        <v>5800</v>
      </c>
      <c r="G441" t="s">
        <v>18097</v>
      </c>
      <c r="H441" t="s">
        <v>1107</v>
      </c>
      <c r="I441" t="s">
        <v>1108</v>
      </c>
      <c r="J441" t="s">
        <v>5801</v>
      </c>
      <c r="K441" t="s">
        <v>5802</v>
      </c>
      <c r="L441" t="s">
        <v>21</v>
      </c>
      <c r="M441" t="s">
        <v>19177</v>
      </c>
      <c r="N441" t="s">
        <v>300</v>
      </c>
      <c r="O441" t="s">
        <v>16373</v>
      </c>
      <c r="P441" t="s">
        <v>12</v>
      </c>
    </row>
    <row r="442">
      <c r="A442">
        <f>HYPERLINK("http://bombeiros.sp.gov.br/hidrantes/03individual/3070.html","3070")</f>
      </c>
      <c r="B442" t="s">
        <v>114</v>
      </c>
      <c r="C442" t="s">
        <v>322</v>
      </c>
      <c r="D442" t="s">
        <v>5775</v>
      </c>
      <c r="E442" t="s">
        <v>15</v>
      </c>
      <c r="F442" t="s">
        <v>5812</v>
      </c>
      <c r="G442" t="s">
        <v>18051</v>
      </c>
      <c r="H442" t="s">
        <v>1107</v>
      </c>
      <c r="I442" t="s">
        <v>1108</v>
      </c>
      <c r="J442" t="s">
        <v>5813</v>
      </c>
      <c r="K442" t="s">
        <v>5814</v>
      </c>
      <c r="L442" t="s">
        <v>21</v>
      </c>
      <c r="M442" t="s">
        <v>19177</v>
      </c>
      <c r="N442" t="s">
        <v>300</v>
      </c>
      <c r="O442" t="s">
        <v>16373</v>
      </c>
      <c r="P442" t="s">
        <v>12</v>
      </c>
    </row>
    <row r="443">
      <c r="A443">
        <f>HYPERLINK("http://bombeiros.sp.gov.br/hidrantes/03individual/3145.html","3145")</f>
      </c>
      <c r="B443" t="s">
        <v>114</v>
      </c>
      <c r="C443" t="s">
        <v>322</v>
      </c>
      <c r="D443" t="s">
        <v>5775</v>
      </c>
      <c r="E443" t="s">
        <v>15</v>
      </c>
      <c r="F443" t="s">
        <v>5818</v>
      </c>
      <c r="G443" t="s">
        <v>18097</v>
      </c>
      <c r="H443" t="s">
        <v>1107</v>
      </c>
      <c r="I443" t="s">
        <v>1108</v>
      </c>
      <c r="J443" t="s">
        <v>5819</v>
      </c>
      <c r="K443" t="s">
        <v>5820</v>
      </c>
      <c r="L443" t="s">
        <v>21</v>
      </c>
      <c r="M443" t="s">
        <v>19177</v>
      </c>
      <c r="N443" t="s">
        <v>300</v>
      </c>
      <c r="O443" t="s">
        <v>16373</v>
      </c>
      <c r="P443" t="s">
        <v>12</v>
      </c>
    </row>
    <row r="444">
      <c r="A444">
        <f>HYPERLINK("http://bombeiros.sp.gov.br/hidrantes/03individual/3163.html","3163")</f>
      </c>
      <c r="B444" t="s">
        <v>114</v>
      </c>
      <c r="C444" t="s">
        <v>322</v>
      </c>
      <c r="D444" t="s">
        <v>5775</v>
      </c>
      <c r="E444" t="s">
        <v>15</v>
      </c>
      <c r="F444" t="s">
        <v>5821</v>
      </c>
      <c r="G444" t="s">
        <v>18097</v>
      </c>
      <c r="H444" t="s">
        <v>1112</v>
      </c>
      <c r="I444" t="s">
        <v>1108</v>
      </c>
      <c r="J444" t="s">
        <v>5822</v>
      </c>
      <c r="K444" t="s">
        <v>5823</v>
      </c>
      <c r="L444" t="s">
        <v>21</v>
      </c>
      <c r="M444" t="s">
        <v>19177</v>
      </c>
      <c r="N444" t="s">
        <v>300</v>
      </c>
      <c r="O444" t="s">
        <v>16373</v>
      </c>
      <c r="P444" t="s">
        <v>12</v>
      </c>
    </row>
    <row r="445">
      <c r="A445">
        <f>HYPERLINK("http://bombeiros.sp.gov.br/hidrantes/03individual/3270.html","3270")</f>
      </c>
      <c r="B445" t="s">
        <v>114</v>
      </c>
      <c r="C445" t="s">
        <v>322</v>
      </c>
      <c r="D445" t="s">
        <v>5775</v>
      </c>
      <c r="E445" t="s">
        <v>15</v>
      </c>
      <c r="F445" t="s">
        <v>5827</v>
      </c>
      <c r="G445" t="s">
        <v>18051</v>
      </c>
      <c r="H445" t="s">
        <v>1112</v>
      </c>
      <c r="I445" t="s">
        <v>1108</v>
      </c>
      <c r="J445" t="s">
        <v>5828</v>
      </c>
      <c r="K445" t="s">
        <v>5829</v>
      </c>
      <c r="L445" t="s">
        <v>21</v>
      </c>
      <c r="M445" t="s">
        <v>19177</v>
      </c>
      <c r="N445" t="s">
        <v>300</v>
      </c>
      <c r="O445" t="s">
        <v>16373</v>
      </c>
      <c r="P445" t="s">
        <v>12</v>
      </c>
    </row>
    <row r="446">
      <c r="A446">
        <f>HYPERLINK("http://bombeiros.sp.gov.br/hidrantes/03individual/3272.html","3272")</f>
      </c>
      <c r="B446" t="s">
        <v>114</v>
      </c>
      <c r="C446" t="s">
        <v>322</v>
      </c>
      <c r="D446" t="s">
        <v>5775</v>
      </c>
      <c r="E446" t="s">
        <v>15</v>
      </c>
      <c r="F446" t="s">
        <v>5830</v>
      </c>
      <c r="G446" t="s">
        <v>18099</v>
      </c>
      <c r="H446" t="s">
        <v>1112</v>
      </c>
      <c r="I446" t="s">
        <v>1108</v>
      </c>
      <c r="J446" t="s">
        <v>5831</v>
      </c>
      <c r="K446" t="s">
        <v>5832</v>
      </c>
      <c r="L446" t="s">
        <v>21</v>
      </c>
      <c r="M446" t="s">
        <v>19177</v>
      </c>
      <c r="N446" t="s">
        <v>300</v>
      </c>
      <c r="O446" t="s">
        <v>16373</v>
      </c>
      <c r="P446" t="s">
        <v>12</v>
      </c>
    </row>
    <row r="447">
      <c r="A447">
        <f>HYPERLINK("http://bombeiros.sp.gov.br/hidrantes/03individual/3469.html","3469")</f>
      </c>
      <c r="B447" t="s">
        <v>114</v>
      </c>
      <c r="C447" t="s">
        <v>322</v>
      </c>
      <c r="D447" t="s">
        <v>5775</v>
      </c>
      <c r="E447" t="s">
        <v>15</v>
      </c>
      <c r="F447" t="s">
        <v>5833</v>
      </c>
      <c r="G447" t="s">
        <v>18051</v>
      </c>
      <c r="H447" t="s">
        <v>1112</v>
      </c>
      <c r="I447" t="s">
        <v>1108</v>
      </c>
      <c r="J447" t="s">
        <v>5834</v>
      </c>
      <c r="K447" t="s">
        <v>5835</v>
      </c>
      <c r="L447" t="s">
        <v>21</v>
      </c>
      <c r="M447" t="s">
        <v>19177</v>
      </c>
      <c r="N447" t="s">
        <v>300</v>
      </c>
      <c r="O447" t="s">
        <v>16373</v>
      </c>
      <c r="P447" t="s">
        <v>12</v>
      </c>
    </row>
    <row r="448">
      <c r="A448">
        <f>HYPERLINK("http://bombeiros.sp.gov.br/hidrantes/03individual/891.html","891")</f>
      </c>
      <c r="B448" t="s">
        <v>114</v>
      </c>
      <c r="C448" t="s">
        <v>337</v>
      </c>
      <c r="D448" t="s">
        <v>5839</v>
      </c>
      <c r="E448" t="s">
        <v>64</v>
      </c>
      <c r="F448" t="s">
        <v>5840</v>
      </c>
      <c r="G448" t="s">
        <v>18095</v>
      </c>
      <c r="H448" t="s">
        <v>1112</v>
      </c>
      <c r="I448" t="s">
        <v>1108</v>
      </c>
      <c r="J448" t="s">
        <v>5841</v>
      </c>
      <c r="K448" t="s">
        <v>5842</v>
      </c>
      <c r="L448" t="s">
        <v>36</v>
      </c>
      <c r="M448" t="s">
        <v>19177</v>
      </c>
      <c r="N448" t="s">
        <v>337</v>
      </c>
      <c r="O448" t="s">
        <v>337</v>
      </c>
      <c r="P448" t="s">
        <v>12</v>
      </c>
    </row>
    <row r="449">
      <c r="A449">
        <f>HYPERLINK("http://bombeiros.sp.gov.br/hidrantes/03individual/26488.html","26488")</f>
      </c>
      <c r="B449" t="s">
        <v>114</v>
      </c>
      <c r="C449" t="s">
        <v>337</v>
      </c>
      <c r="D449" t="s">
        <v>5839</v>
      </c>
      <c r="E449" t="s">
        <v>64</v>
      </c>
      <c r="F449" t="s">
        <v>5852</v>
      </c>
      <c r="G449" t="s">
        <v>18055</v>
      </c>
      <c r="H449" t="s">
        <v>1121</v>
      </c>
      <c r="I449" t="s">
        <v>1117</v>
      </c>
      <c r="J449" t="s">
        <v>5853</v>
      </c>
      <c r="K449" t="s">
        <v>5854</v>
      </c>
      <c r="L449" t="s">
        <v>21</v>
      </c>
      <c r="M449" t="s">
        <v>19177</v>
      </c>
      <c r="N449" t="s">
        <v>337</v>
      </c>
      <c r="O449" t="s">
        <v>337</v>
      </c>
      <c r="P449" t="s">
        <v>12</v>
      </c>
    </row>
    <row r="450">
      <c r="A450">
        <f>HYPERLINK("http://bombeiros.sp.gov.br/hidrantes/03individual/27283.html","27283")</f>
      </c>
      <c r="B450" t="s">
        <v>114</v>
      </c>
      <c r="C450" t="s">
        <v>337</v>
      </c>
      <c r="D450" t="s">
        <v>5839</v>
      </c>
      <c r="E450" t="s">
        <v>64</v>
      </c>
      <c r="F450" t="s">
        <v>17032</v>
      </c>
      <c r="G450" t="s">
        <v>18067</v>
      </c>
      <c r="H450" t="s">
        <v>1107</v>
      </c>
      <c r="I450" t="s">
        <v>1108</v>
      </c>
      <c r="J450" t="s">
        <v>17033</v>
      </c>
      <c r="K450" t="s">
        <v>17034</v>
      </c>
      <c r="L450" t="s">
        <v>21</v>
      </c>
      <c r="M450" t="s">
        <v>19177</v>
      </c>
      <c r="N450" t="s">
        <v>337</v>
      </c>
      <c r="O450" t="s">
        <v>337</v>
      </c>
      <c r="P450" t="s">
        <v>12</v>
      </c>
    </row>
    <row r="451">
      <c r="A451">
        <f>HYPERLINK("http://bombeiros.sp.gov.br/hidrantes/03individual/17730.html","17730")</f>
      </c>
      <c r="B451" t="s">
        <v>114</v>
      </c>
      <c r="C451" t="s">
        <v>337</v>
      </c>
      <c r="D451" t="s">
        <v>5839</v>
      </c>
      <c r="E451" t="s">
        <v>15</v>
      </c>
      <c r="F451" t="s">
        <v>5885</v>
      </c>
      <c r="G451" t="s">
        <v>18067</v>
      </c>
      <c r="H451" t="s">
        <v>1112</v>
      </c>
      <c r="I451" t="s">
        <v>1108</v>
      </c>
      <c r="J451" t="s">
        <v>5886</v>
      </c>
      <c r="K451" t="s">
        <v>5887</v>
      </c>
      <c r="L451" t="s">
        <v>21</v>
      </c>
      <c r="M451" t="s">
        <v>19177</v>
      </c>
      <c r="N451" t="s">
        <v>337</v>
      </c>
      <c r="O451" t="s">
        <v>337</v>
      </c>
      <c r="P451" t="s">
        <v>12</v>
      </c>
    </row>
    <row r="452">
      <c r="A452">
        <f>HYPERLINK("http://bombeiros.sp.gov.br/hidrantes/03individual/5629.html","5629")</f>
      </c>
      <c r="B452" t="s">
        <v>114</v>
      </c>
      <c r="C452" t="s">
        <v>337</v>
      </c>
      <c r="D452" t="s">
        <v>338</v>
      </c>
      <c r="E452" t="s">
        <v>64</v>
      </c>
      <c r="F452" t="s">
        <v>5897</v>
      </c>
      <c r="G452" t="s">
        <v>18072</v>
      </c>
      <c r="H452" t="s">
        <v>1112</v>
      </c>
      <c r="I452" t="s">
        <v>1108</v>
      </c>
      <c r="J452" t="s">
        <v>5898</v>
      </c>
      <c r="K452" t="s">
        <v>5899</v>
      </c>
      <c r="L452" t="s">
        <v>21</v>
      </c>
      <c r="M452" t="s">
        <v>19177</v>
      </c>
      <c r="N452" t="s">
        <v>337</v>
      </c>
      <c r="O452" t="s">
        <v>337</v>
      </c>
      <c r="P452" t="s">
        <v>12</v>
      </c>
    </row>
    <row r="453">
      <c r="A453">
        <f>HYPERLINK("http://bombeiros.sp.gov.br/hidrantes/03individual/5630.html","5630")</f>
      </c>
      <c r="B453" t="s">
        <v>114</v>
      </c>
      <c r="C453" t="s">
        <v>337</v>
      </c>
      <c r="D453" t="s">
        <v>338</v>
      </c>
      <c r="E453" t="s">
        <v>64</v>
      </c>
      <c r="F453" t="s">
        <v>5900</v>
      </c>
      <c r="G453" t="s">
        <v>18072</v>
      </c>
      <c r="H453" t="s">
        <v>1112</v>
      </c>
      <c r="I453" t="s">
        <v>1108</v>
      </c>
      <c r="J453" t="s">
        <v>5901</v>
      </c>
      <c r="K453" t="s">
        <v>5902</v>
      </c>
      <c r="L453" t="s">
        <v>21</v>
      </c>
      <c r="M453" t="s">
        <v>19177</v>
      </c>
      <c r="N453" t="s">
        <v>337</v>
      </c>
      <c r="O453" t="s">
        <v>337</v>
      </c>
      <c r="P453" t="s">
        <v>12</v>
      </c>
    </row>
    <row r="454">
      <c r="A454">
        <f>HYPERLINK("http://bombeiros.sp.gov.br/hidrantes/03individual/5631.html","5631")</f>
      </c>
      <c r="B454" t="s">
        <v>114</v>
      </c>
      <c r="C454" t="s">
        <v>337</v>
      </c>
      <c r="D454" t="s">
        <v>338</v>
      </c>
      <c r="E454" t="s">
        <v>64</v>
      </c>
      <c r="F454" t="s">
        <v>5903</v>
      </c>
      <c r="G454" t="s">
        <v>18072</v>
      </c>
      <c r="H454" t="s">
        <v>1112</v>
      </c>
      <c r="I454" t="s">
        <v>1108</v>
      </c>
      <c r="J454" t="s">
        <v>5904</v>
      </c>
      <c r="K454" t="s">
        <v>5905</v>
      </c>
      <c r="L454" t="s">
        <v>21</v>
      </c>
      <c r="M454" t="s">
        <v>19177</v>
      </c>
      <c r="N454" t="s">
        <v>337</v>
      </c>
      <c r="O454" t="s">
        <v>337</v>
      </c>
      <c r="P454" t="s">
        <v>12</v>
      </c>
    </row>
    <row r="455">
      <c r="A455">
        <f>HYPERLINK("http://bombeiros.sp.gov.br/hidrantes/03individual/5632.html","5632")</f>
      </c>
      <c r="B455" t="s">
        <v>114</v>
      </c>
      <c r="C455" t="s">
        <v>337</v>
      </c>
      <c r="D455" t="s">
        <v>338</v>
      </c>
      <c r="E455" t="s">
        <v>64</v>
      </c>
      <c r="F455" t="s">
        <v>5906</v>
      </c>
      <c r="G455" t="s">
        <v>18105</v>
      </c>
      <c r="H455" t="s">
        <v>1112</v>
      </c>
      <c r="I455" t="s">
        <v>1108</v>
      </c>
      <c r="J455" t="s">
        <v>5907</v>
      </c>
      <c r="K455" t="s">
        <v>5908</v>
      </c>
      <c r="L455" t="s">
        <v>21</v>
      </c>
      <c r="M455" t="s">
        <v>19177</v>
      </c>
      <c r="N455" t="s">
        <v>337</v>
      </c>
      <c r="O455" t="s">
        <v>337</v>
      </c>
      <c r="P455" t="s">
        <v>12</v>
      </c>
    </row>
    <row r="456">
      <c r="A456">
        <f>HYPERLINK("http://bombeiros.sp.gov.br/hidrantes/03individual/17727.html","17727")</f>
      </c>
      <c r="B456" t="s">
        <v>114</v>
      </c>
      <c r="C456" t="s">
        <v>337</v>
      </c>
      <c r="D456" t="s">
        <v>338</v>
      </c>
      <c r="E456" t="s">
        <v>64</v>
      </c>
      <c r="F456" t="s">
        <v>5909</v>
      </c>
      <c r="G456" t="s">
        <v>18105</v>
      </c>
      <c r="H456" t="s">
        <v>1112</v>
      </c>
      <c r="I456" t="s">
        <v>1108</v>
      </c>
      <c r="J456" t="s">
        <v>5910</v>
      </c>
      <c r="K456" t="s">
        <v>5911</v>
      </c>
      <c r="L456" t="s">
        <v>21</v>
      </c>
      <c r="M456" t="s">
        <v>19177</v>
      </c>
      <c r="N456" t="s">
        <v>337</v>
      </c>
      <c r="O456" t="s">
        <v>337</v>
      </c>
      <c r="P456" t="s">
        <v>12</v>
      </c>
    </row>
    <row r="457">
      <c r="A457">
        <f>HYPERLINK("http://bombeiros.sp.gov.br/hidrantes/03individual/2086.html","2086")</f>
      </c>
      <c r="B457" t="s">
        <v>114</v>
      </c>
      <c r="C457" t="s">
        <v>337</v>
      </c>
      <c r="D457" t="s">
        <v>338</v>
      </c>
      <c r="E457" t="s">
        <v>15</v>
      </c>
      <c r="F457" t="s">
        <v>5915</v>
      </c>
      <c r="G457" t="s">
        <v>18105</v>
      </c>
      <c r="H457" t="s">
        <v>1112</v>
      </c>
      <c r="I457" t="s">
        <v>1108</v>
      </c>
      <c r="J457" t="s">
        <v>5916</v>
      </c>
      <c r="K457" t="s">
        <v>5917</v>
      </c>
      <c r="L457" t="s">
        <v>21</v>
      </c>
      <c r="M457" t="s">
        <v>19177</v>
      </c>
      <c r="N457" t="s">
        <v>337</v>
      </c>
      <c r="O457" t="s">
        <v>337</v>
      </c>
      <c r="P457" t="s">
        <v>12</v>
      </c>
    </row>
    <row r="458">
      <c r="A458">
        <f>HYPERLINK("http://bombeiros.sp.gov.br/hidrantes/03individual/2107.html","2107")</f>
      </c>
      <c r="B458" t="s">
        <v>114</v>
      </c>
      <c r="C458" t="s">
        <v>337</v>
      </c>
      <c r="D458" t="s">
        <v>338</v>
      </c>
      <c r="E458" t="s">
        <v>15</v>
      </c>
      <c r="F458" t="s">
        <v>5921</v>
      </c>
      <c r="G458" t="s">
        <v>18048</v>
      </c>
      <c r="H458" t="s">
        <v>1112</v>
      </c>
      <c r="I458" t="s">
        <v>1108</v>
      </c>
      <c r="J458" t="s">
        <v>5922</v>
      </c>
      <c r="K458" t="s">
        <v>5923</v>
      </c>
      <c r="L458" t="s">
        <v>21</v>
      </c>
      <c r="M458" t="s">
        <v>19177</v>
      </c>
      <c r="N458" t="s">
        <v>337</v>
      </c>
      <c r="O458" t="s">
        <v>337</v>
      </c>
      <c r="P458" t="s">
        <v>12</v>
      </c>
    </row>
    <row r="459">
      <c r="A459">
        <f>HYPERLINK("http://bombeiros.sp.gov.br/hidrantes/03individual/3818.html","3818")</f>
      </c>
      <c r="B459" t="s">
        <v>114</v>
      </c>
      <c r="C459" t="s">
        <v>337</v>
      </c>
      <c r="D459" t="s">
        <v>338</v>
      </c>
      <c r="E459" t="s">
        <v>15</v>
      </c>
      <c r="F459" t="s">
        <v>5924</v>
      </c>
      <c r="G459" t="s">
        <v>18098</v>
      </c>
      <c r="H459" t="s">
        <v>1107</v>
      </c>
      <c r="I459" t="s">
        <v>1108</v>
      </c>
      <c r="J459" t="s">
        <v>5925</v>
      </c>
      <c r="K459" t="s">
        <v>5926</v>
      </c>
      <c r="L459" t="s">
        <v>21</v>
      </c>
      <c r="M459" t="s">
        <v>19177</v>
      </c>
      <c r="N459" t="s">
        <v>337</v>
      </c>
      <c r="O459" t="s">
        <v>337</v>
      </c>
      <c r="P459" t="s">
        <v>12</v>
      </c>
    </row>
    <row r="460">
      <c r="A460">
        <f>HYPERLINK("http://bombeiros.sp.gov.br/hidrantes/03individual/27136.html","27136")</f>
      </c>
      <c r="B460" t="s">
        <v>114</v>
      </c>
      <c r="C460" t="s">
        <v>337</v>
      </c>
      <c r="D460" t="s">
        <v>5933</v>
      </c>
      <c r="E460" t="s">
        <v>64</v>
      </c>
      <c r="F460" t="s">
        <v>16820</v>
      </c>
      <c r="G460" t="s">
        <v>18055</v>
      </c>
      <c r="H460" t="s">
        <v>1121</v>
      </c>
      <c r="I460" t="s">
        <v>1117</v>
      </c>
      <c r="J460" t="s">
        <v>16821</v>
      </c>
      <c r="K460" t="s">
        <v>16822</v>
      </c>
      <c r="L460" t="s">
        <v>21</v>
      </c>
      <c r="M460" t="s">
        <v>19177</v>
      </c>
      <c r="N460" t="s">
        <v>337</v>
      </c>
      <c r="O460" t="s">
        <v>337</v>
      </c>
      <c r="P460" t="s">
        <v>12</v>
      </c>
    </row>
    <row r="461">
      <c r="A461">
        <f>HYPERLINK("http://bombeiros.sp.gov.br/hidrantes/03individual/983.html","983")</f>
      </c>
      <c r="B461" t="s">
        <v>114</v>
      </c>
      <c r="C461" t="s">
        <v>337</v>
      </c>
      <c r="D461" t="s">
        <v>337</v>
      </c>
      <c r="E461" t="s">
        <v>64</v>
      </c>
      <c r="F461" t="s">
        <v>5947</v>
      </c>
      <c r="G461" t="s">
        <v>18045</v>
      </c>
      <c r="H461" t="s">
        <v>1112</v>
      </c>
      <c r="I461" t="s">
        <v>1108</v>
      </c>
      <c r="J461" t="s">
        <v>5948</v>
      </c>
      <c r="K461" t="s">
        <v>5949</v>
      </c>
      <c r="L461" t="s">
        <v>21</v>
      </c>
      <c r="M461" t="s">
        <v>19177</v>
      </c>
      <c r="N461" t="s">
        <v>337</v>
      </c>
      <c r="O461" t="s">
        <v>337</v>
      </c>
      <c r="P461" t="s">
        <v>12</v>
      </c>
    </row>
    <row r="462">
      <c r="A462">
        <f>HYPERLINK("http://bombeiros.sp.gov.br/hidrantes/03individual/982.html","982")</f>
      </c>
      <c r="B462" t="s">
        <v>114</v>
      </c>
      <c r="C462" t="s">
        <v>337</v>
      </c>
      <c r="D462" t="s">
        <v>337</v>
      </c>
      <c r="E462" t="s">
        <v>15</v>
      </c>
      <c r="F462" t="s">
        <v>5959</v>
      </c>
      <c r="G462" t="s">
        <v>18042</v>
      </c>
      <c r="H462" t="s">
        <v>1107</v>
      </c>
      <c r="I462" t="s">
        <v>1108</v>
      </c>
      <c r="J462" t="s">
        <v>5960</v>
      </c>
      <c r="K462" t="s">
        <v>5961</v>
      </c>
      <c r="L462" t="s">
        <v>21</v>
      </c>
      <c r="M462" t="s">
        <v>19177</v>
      </c>
      <c r="N462" t="s">
        <v>337</v>
      </c>
      <c r="O462" t="s">
        <v>337</v>
      </c>
      <c r="P462" t="s">
        <v>12</v>
      </c>
    </row>
    <row r="463">
      <c r="A463">
        <f>HYPERLINK("http://bombeiros.sp.gov.br/hidrantes/03individual/4340.html","4340")</f>
      </c>
      <c r="B463" t="s">
        <v>114</v>
      </c>
      <c r="C463" t="s">
        <v>347</v>
      </c>
      <c r="D463" t="s">
        <v>348</v>
      </c>
      <c r="E463" t="s">
        <v>64</v>
      </c>
      <c r="F463" t="s">
        <v>5986</v>
      </c>
      <c r="G463" t="s">
        <v>18092</v>
      </c>
      <c r="H463" t="s">
        <v>1112</v>
      </c>
      <c r="I463" t="s">
        <v>1108</v>
      </c>
      <c r="J463" t="s">
        <v>5988</v>
      </c>
      <c r="K463" t="s">
        <v>5989</v>
      </c>
      <c r="L463" t="s">
        <v>21</v>
      </c>
      <c r="M463" t="s">
        <v>19177</v>
      </c>
      <c r="N463" t="s">
        <v>6029</v>
      </c>
      <c r="O463" t="s">
        <v>6029</v>
      </c>
      <c r="P463" t="s">
        <v>114</v>
      </c>
    </row>
    <row r="464">
      <c r="A464">
        <f>HYPERLINK("http://bombeiros.sp.gov.br/hidrantes/03individual/3531.html","3531")</f>
      </c>
      <c r="B464" t="s">
        <v>114</v>
      </c>
      <c r="C464" t="s">
        <v>347</v>
      </c>
      <c r="D464" t="s">
        <v>348</v>
      </c>
      <c r="E464" t="s">
        <v>15</v>
      </c>
      <c r="F464" t="s">
        <v>6017</v>
      </c>
      <c r="G464" t="s">
        <v>18092</v>
      </c>
      <c r="H464" t="s">
        <v>1112</v>
      </c>
      <c r="I464" t="s">
        <v>1108</v>
      </c>
      <c r="J464" t="s">
        <v>6018</v>
      </c>
      <c r="K464" t="s">
        <v>6019</v>
      </c>
      <c r="L464" t="s">
        <v>21</v>
      </c>
      <c r="M464" t="s">
        <v>19177</v>
      </c>
      <c r="N464" t="s">
        <v>6029</v>
      </c>
      <c r="O464" t="s">
        <v>6029</v>
      </c>
      <c r="P464" t="s">
        <v>114</v>
      </c>
    </row>
    <row r="465">
      <c r="A465">
        <f>HYPERLINK("http://bombeiros.sp.gov.br/hidrantes/03individual/3549.html","3549")</f>
      </c>
      <c r="B465" t="s">
        <v>114</v>
      </c>
      <c r="C465" t="s">
        <v>347</v>
      </c>
      <c r="D465" t="s">
        <v>348</v>
      </c>
      <c r="E465" t="s">
        <v>15</v>
      </c>
      <c r="F465" t="s">
        <v>6020</v>
      </c>
      <c r="G465" t="s">
        <v>18043</v>
      </c>
      <c r="H465" t="s">
        <v>1112</v>
      </c>
      <c r="I465" t="s">
        <v>1108</v>
      </c>
      <c r="J465" t="s">
        <v>6021</v>
      </c>
      <c r="K465" t="s">
        <v>6022</v>
      </c>
      <c r="L465" t="s">
        <v>21</v>
      </c>
      <c r="M465" t="s">
        <v>19177</v>
      </c>
      <c r="N465" t="s">
        <v>6029</v>
      </c>
      <c r="O465" t="s">
        <v>6029</v>
      </c>
      <c r="P465" t="s">
        <v>114</v>
      </c>
    </row>
    <row r="466">
      <c r="A466">
        <f>HYPERLINK("http://bombeiros.sp.gov.br/hidrantes/03individual/3486.html","3486")</f>
      </c>
      <c r="B466" t="s">
        <v>114</v>
      </c>
      <c r="C466" t="s">
        <v>347</v>
      </c>
      <c r="D466" t="s">
        <v>6029</v>
      </c>
      <c r="E466" t="s">
        <v>64</v>
      </c>
      <c r="F466" t="s">
        <v>6033</v>
      </c>
      <c r="G466" t="s">
        <v>18095</v>
      </c>
      <c r="H466" t="s">
        <v>1112</v>
      </c>
      <c r="I466" t="s">
        <v>1108</v>
      </c>
      <c r="J466" t="s">
        <v>6034</v>
      </c>
      <c r="K466" t="s">
        <v>6035</v>
      </c>
      <c r="L466" t="s">
        <v>36</v>
      </c>
      <c r="M466" t="s">
        <v>19177</v>
      </c>
      <c r="N466" t="s">
        <v>6029</v>
      </c>
      <c r="O466" t="s">
        <v>6029</v>
      </c>
      <c r="P466" t="s">
        <v>114</v>
      </c>
    </row>
    <row r="467">
      <c r="A467">
        <f>HYPERLINK("http://bombeiros.sp.gov.br/hidrantes/03individual/1986.html","1986")</f>
      </c>
      <c r="B467" t="s">
        <v>114</v>
      </c>
      <c r="C467" t="s">
        <v>347</v>
      </c>
      <c r="D467" t="s">
        <v>6029</v>
      </c>
      <c r="E467" t="s">
        <v>15</v>
      </c>
      <c r="F467" t="s">
        <v>6036</v>
      </c>
      <c r="G467" t="s">
        <v>18077</v>
      </c>
      <c r="H467" t="s">
        <v>1112</v>
      </c>
      <c r="I467" t="s">
        <v>1108</v>
      </c>
      <c r="J467" t="s">
        <v>6037</v>
      </c>
      <c r="K467" t="s">
        <v>6038</v>
      </c>
      <c r="L467" t="s">
        <v>21</v>
      </c>
      <c r="M467" t="s">
        <v>19177</v>
      </c>
      <c r="N467" t="s">
        <v>6029</v>
      </c>
      <c r="O467" t="s">
        <v>6029</v>
      </c>
      <c r="P467" t="s">
        <v>114</v>
      </c>
    </row>
    <row r="468">
      <c r="A468">
        <f>HYPERLINK("http://bombeiros.sp.gov.br/hidrantes/03individual/2024.html","2024")</f>
      </c>
      <c r="B468" t="s">
        <v>114</v>
      </c>
      <c r="C468" t="s">
        <v>347</v>
      </c>
      <c r="D468" t="s">
        <v>6029</v>
      </c>
      <c r="E468" t="s">
        <v>15</v>
      </c>
      <c r="F468" t="s">
        <v>6039</v>
      </c>
      <c r="G468" t="s">
        <v>18077</v>
      </c>
      <c r="H468" t="s">
        <v>1107</v>
      </c>
      <c r="I468" t="s">
        <v>1108</v>
      </c>
      <c r="J468" t="s">
        <v>6040</v>
      </c>
      <c r="K468" t="s">
        <v>6041</v>
      </c>
      <c r="L468" t="s">
        <v>21</v>
      </c>
      <c r="M468" t="s">
        <v>19177</v>
      </c>
      <c r="N468" t="s">
        <v>6029</v>
      </c>
      <c r="O468" t="s">
        <v>6029</v>
      </c>
      <c r="P468" t="s">
        <v>114</v>
      </c>
    </row>
    <row r="469">
      <c r="A469">
        <f>HYPERLINK("http://bombeiros.sp.gov.br/hidrantes/03individual/4200.html","4200")</f>
      </c>
      <c r="B469" t="s">
        <v>114</v>
      </c>
      <c r="C469" t="s">
        <v>347</v>
      </c>
      <c r="D469" t="s">
        <v>6029</v>
      </c>
      <c r="E469" t="s">
        <v>15</v>
      </c>
      <c r="F469" t="s">
        <v>6057</v>
      </c>
      <c r="G469" t="s">
        <v>18099</v>
      </c>
      <c r="H469" t="s">
        <v>1112</v>
      </c>
      <c r="I469" t="s">
        <v>1108</v>
      </c>
      <c r="J469" t="s">
        <v>6058</v>
      </c>
      <c r="K469" t="s">
        <v>6059</v>
      </c>
      <c r="L469" t="s">
        <v>21</v>
      </c>
      <c r="M469" t="s">
        <v>19177</v>
      </c>
      <c r="N469" t="s">
        <v>6029</v>
      </c>
      <c r="O469" t="s">
        <v>6029</v>
      </c>
      <c r="P469" t="s">
        <v>114</v>
      </c>
    </row>
    <row r="470">
      <c r="A470">
        <f>HYPERLINK("http://bombeiros.sp.gov.br/hidrantes/03individual/26815.html","26815")</f>
      </c>
      <c r="B470" t="s">
        <v>114</v>
      </c>
      <c r="C470" t="s">
        <v>347</v>
      </c>
      <c r="D470" t="s">
        <v>6029</v>
      </c>
      <c r="E470" t="s">
        <v>15</v>
      </c>
      <c r="F470" t="s">
        <v>16062</v>
      </c>
      <c r="G470" t="s">
        <v>18099</v>
      </c>
      <c r="H470" t="s">
        <v>1112</v>
      </c>
      <c r="I470" t="s">
        <v>1108</v>
      </c>
      <c r="J470" t="s">
        <v>16063</v>
      </c>
      <c r="K470" t="s">
        <v>16064</v>
      </c>
      <c r="L470" t="s">
        <v>21</v>
      </c>
      <c r="M470" t="s">
        <v>19177</v>
      </c>
      <c r="N470" t="s">
        <v>6029</v>
      </c>
      <c r="O470" t="s">
        <v>6029</v>
      </c>
      <c r="P470" t="s">
        <v>114</v>
      </c>
    </row>
    <row r="471">
      <c r="A471">
        <f>HYPERLINK("http://bombeiros.sp.gov.br/hidrantes/03individual/28039.html","28039")</f>
      </c>
      <c r="B471" t="s">
        <v>114</v>
      </c>
      <c r="C471" t="s">
        <v>347</v>
      </c>
      <c r="D471" t="s">
        <v>6029</v>
      </c>
      <c r="E471" t="s">
        <v>15</v>
      </c>
      <c r="F471" t="s">
        <v>18295</v>
      </c>
      <c r="G471" t="s">
        <v>17919</v>
      </c>
      <c r="H471" t="s">
        <v>1112</v>
      </c>
      <c r="I471" t="s">
        <v>1108</v>
      </c>
      <c r="J471" t="s">
        <v>18296</v>
      </c>
      <c r="K471" t="s">
        <v>18297</v>
      </c>
      <c r="L471" t="s">
        <v>21</v>
      </c>
      <c r="M471" t="s">
        <v>19177</v>
      </c>
      <c r="N471" t="s">
        <v>6029</v>
      </c>
      <c r="O471" t="s">
        <v>6029</v>
      </c>
      <c r="P471" t="s">
        <v>114</v>
      </c>
    </row>
    <row r="472">
      <c r="A472">
        <f>HYPERLINK("http://bombeiros.sp.gov.br/hidrantes/03individual/27877.html","27877")</f>
      </c>
      <c r="B472" t="s">
        <v>114</v>
      </c>
      <c r="C472" t="s">
        <v>347</v>
      </c>
      <c r="D472" t="s">
        <v>6063</v>
      </c>
      <c r="E472" t="s">
        <v>64</v>
      </c>
      <c r="F472" t="s">
        <v>17892</v>
      </c>
      <c r="G472" t="s">
        <v>18085</v>
      </c>
      <c r="H472" t="s">
        <v>1107</v>
      </c>
      <c r="I472" t="s">
        <v>1108</v>
      </c>
      <c r="J472" t="s">
        <v>17893</v>
      </c>
      <c r="K472" t="s">
        <v>17894</v>
      </c>
      <c r="L472" t="s">
        <v>21</v>
      </c>
      <c r="M472" t="s">
        <v>19177</v>
      </c>
      <c r="N472" t="s">
        <v>272</v>
      </c>
      <c r="O472" t="s">
        <v>272</v>
      </c>
      <c r="P472" t="s">
        <v>114</v>
      </c>
    </row>
    <row r="473">
      <c r="A473">
        <f>HYPERLINK("http://bombeiros.sp.gov.br/hidrantes/03individual/2020.html","2020")</f>
      </c>
      <c r="B473" t="s">
        <v>114</v>
      </c>
      <c r="C473" t="s">
        <v>347</v>
      </c>
      <c r="D473" t="s">
        <v>6063</v>
      </c>
      <c r="E473" t="s">
        <v>15</v>
      </c>
      <c r="F473" t="s">
        <v>6064</v>
      </c>
      <c r="G473" t="s">
        <v>18095</v>
      </c>
      <c r="H473" t="s">
        <v>1112</v>
      </c>
      <c r="I473" t="s">
        <v>1108</v>
      </c>
      <c r="J473" t="s">
        <v>6065</v>
      </c>
      <c r="K473" t="s">
        <v>6066</v>
      </c>
      <c r="L473" t="s">
        <v>21</v>
      </c>
      <c r="M473" t="s">
        <v>19177</v>
      </c>
      <c r="N473" t="s">
        <v>272</v>
      </c>
      <c r="O473" t="s">
        <v>272</v>
      </c>
      <c r="P473" t="s">
        <v>114</v>
      </c>
    </row>
    <row r="474">
      <c r="A474">
        <f>HYPERLINK("http://bombeiros.sp.gov.br/hidrantes/03individual/3401.html","3401")</f>
      </c>
      <c r="B474" t="s">
        <v>114</v>
      </c>
      <c r="C474" t="s">
        <v>347</v>
      </c>
      <c r="D474" t="s">
        <v>6063</v>
      </c>
      <c r="E474" t="s">
        <v>15</v>
      </c>
      <c r="F474" t="s">
        <v>6067</v>
      </c>
      <c r="G474" t="s">
        <v>18095</v>
      </c>
      <c r="H474" t="s">
        <v>1112</v>
      </c>
      <c r="I474" t="s">
        <v>1108</v>
      </c>
      <c r="J474" t="s">
        <v>17154</v>
      </c>
      <c r="K474" t="s">
        <v>17155</v>
      </c>
      <c r="L474" t="s">
        <v>21</v>
      </c>
      <c r="M474" t="s">
        <v>19177</v>
      </c>
      <c r="N474" t="s">
        <v>272</v>
      </c>
      <c r="O474" t="s">
        <v>272</v>
      </c>
      <c r="P474" t="s">
        <v>114</v>
      </c>
    </row>
    <row r="475">
      <c r="A475">
        <f>HYPERLINK("http://bombeiros.sp.gov.br/hidrantes/03individual/2082.html","2082")</f>
      </c>
      <c r="B475" t="s">
        <v>114</v>
      </c>
      <c r="C475" t="s">
        <v>356</v>
      </c>
      <c r="D475" t="s">
        <v>357</v>
      </c>
      <c r="E475" t="s">
        <v>64</v>
      </c>
      <c r="F475" t="s">
        <v>6076</v>
      </c>
      <c r="G475" t="s">
        <v>18063</v>
      </c>
      <c r="H475" t="s">
        <v>1112</v>
      </c>
      <c r="I475" t="s">
        <v>1108</v>
      </c>
      <c r="J475" t="s">
        <v>6077</v>
      </c>
      <c r="K475" t="s">
        <v>6078</v>
      </c>
      <c r="L475" t="s">
        <v>21</v>
      </c>
      <c r="M475" t="s">
        <v>19177</v>
      </c>
      <c r="N475" t="s">
        <v>337</v>
      </c>
      <c r="O475" t="s">
        <v>337</v>
      </c>
      <c r="P475" t="s">
        <v>12</v>
      </c>
    </row>
    <row r="476">
      <c r="A476">
        <f>HYPERLINK("http://bombeiros.sp.gov.br/hidrantes/03individual/5615.html","5615")</f>
      </c>
      <c r="B476" t="s">
        <v>114</v>
      </c>
      <c r="C476" t="s">
        <v>356</v>
      </c>
      <c r="D476" t="s">
        <v>357</v>
      </c>
      <c r="E476" t="s">
        <v>64</v>
      </c>
      <c r="F476" t="s">
        <v>6085</v>
      </c>
      <c r="G476" t="s">
        <v>18067</v>
      </c>
      <c r="H476" t="s">
        <v>1112</v>
      </c>
      <c r="I476" t="s">
        <v>1108</v>
      </c>
      <c r="J476" t="s">
        <v>6086</v>
      </c>
      <c r="K476" t="s">
        <v>6087</v>
      </c>
      <c r="L476" t="s">
        <v>21</v>
      </c>
      <c r="M476" t="s">
        <v>19177</v>
      </c>
      <c r="N476" t="s">
        <v>337</v>
      </c>
      <c r="O476" t="s">
        <v>337</v>
      </c>
      <c r="P476" t="s">
        <v>12</v>
      </c>
    </row>
    <row r="477">
      <c r="A477">
        <f>HYPERLINK("http://bombeiros.sp.gov.br/hidrantes/03individual/2102.html","2102")</f>
      </c>
      <c r="B477" t="s">
        <v>114</v>
      </c>
      <c r="C477" t="s">
        <v>356</v>
      </c>
      <c r="D477" t="s">
        <v>357</v>
      </c>
      <c r="E477" t="s">
        <v>15</v>
      </c>
      <c r="F477" t="s">
        <v>6097</v>
      </c>
      <c r="G477" t="s">
        <v>18042</v>
      </c>
      <c r="H477" t="s">
        <v>1107</v>
      </c>
      <c r="I477" t="s">
        <v>1108</v>
      </c>
      <c r="J477" t="s">
        <v>6098</v>
      </c>
      <c r="K477" t="s">
        <v>6099</v>
      </c>
      <c r="L477" t="s">
        <v>21</v>
      </c>
      <c r="M477" t="s">
        <v>19177</v>
      </c>
      <c r="N477" t="s">
        <v>337</v>
      </c>
      <c r="O477" t="s">
        <v>337</v>
      </c>
      <c r="P477" t="s">
        <v>12</v>
      </c>
    </row>
    <row r="478">
      <c r="A478">
        <f>HYPERLINK("http://bombeiros.sp.gov.br/hidrantes/03individual/5642.html","5642")</f>
      </c>
      <c r="B478" t="s">
        <v>114</v>
      </c>
      <c r="C478" t="s">
        <v>356</v>
      </c>
      <c r="D478" t="s">
        <v>357</v>
      </c>
      <c r="E478" t="s">
        <v>15</v>
      </c>
      <c r="F478" t="s">
        <v>6103</v>
      </c>
      <c r="G478" t="s">
        <v>18074</v>
      </c>
      <c r="H478" t="s">
        <v>1121</v>
      </c>
      <c r="I478" t="s">
        <v>1117</v>
      </c>
      <c r="J478" t="s">
        <v>6104</v>
      </c>
      <c r="K478" t="s">
        <v>6105</v>
      </c>
      <c r="L478" t="s">
        <v>21</v>
      </c>
      <c r="M478" t="s">
        <v>19177</v>
      </c>
      <c r="N478" t="s">
        <v>337</v>
      </c>
      <c r="O478" t="s">
        <v>337</v>
      </c>
      <c r="P478" t="s">
        <v>12</v>
      </c>
    </row>
    <row r="479">
      <c r="A479">
        <f>HYPERLINK("http://bombeiros.sp.gov.br/hidrantes/03individual/2062.html","2062")</f>
      </c>
      <c r="B479" t="s">
        <v>114</v>
      </c>
      <c r="C479" t="s">
        <v>356</v>
      </c>
      <c r="D479" t="s">
        <v>361</v>
      </c>
      <c r="E479" t="s">
        <v>15</v>
      </c>
      <c r="F479" t="s">
        <v>6112</v>
      </c>
      <c r="G479" t="s">
        <v>18098</v>
      </c>
      <c r="H479" t="s">
        <v>1107</v>
      </c>
      <c r="I479" t="s">
        <v>1108</v>
      </c>
      <c r="J479" t="s">
        <v>6113</v>
      </c>
      <c r="K479" t="s">
        <v>6114</v>
      </c>
      <c r="L479" t="s">
        <v>21</v>
      </c>
      <c r="M479" t="s">
        <v>19177</v>
      </c>
      <c r="N479" t="s">
        <v>337</v>
      </c>
      <c r="O479" t="s">
        <v>337</v>
      </c>
      <c r="P479" t="s">
        <v>12</v>
      </c>
    </row>
    <row r="480">
      <c r="A480">
        <f>HYPERLINK("http://bombeiros.sp.gov.br/hidrantes/03individual/2078.html","2078")</f>
      </c>
      <c r="B480" t="s">
        <v>114</v>
      </c>
      <c r="C480" t="s">
        <v>356</v>
      </c>
      <c r="D480" t="s">
        <v>361</v>
      </c>
      <c r="E480" t="s">
        <v>15</v>
      </c>
      <c r="F480" t="s">
        <v>6118</v>
      </c>
      <c r="G480" t="s">
        <v>18042</v>
      </c>
      <c r="H480" t="s">
        <v>1112</v>
      </c>
      <c r="I480" t="s">
        <v>1108</v>
      </c>
      <c r="J480" t="s">
        <v>6119</v>
      </c>
      <c r="K480" t="s">
        <v>6120</v>
      </c>
      <c r="L480" t="s">
        <v>21</v>
      </c>
      <c r="M480" t="s">
        <v>19177</v>
      </c>
      <c r="N480" t="s">
        <v>337</v>
      </c>
      <c r="O480" t="s">
        <v>337</v>
      </c>
      <c r="P480" t="s">
        <v>12</v>
      </c>
    </row>
    <row r="481">
      <c r="A481">
        <f>HYPERLINK("http://bombeiros.sp.gov.br/hidrantes/03individual/5628.html","5628")</f>
      </c>
      <c r="B481" t="s">
        <v>114</v>
      </c>
      <c r="C481" t="s">
        <v>356</v>
      </c>
      <c r="D481" t="s">
        <v>361</v>
      </c>
      <c r="E481" t="s">
        <v>15</v>
      </c>
      <c r="F481" t="s">
        <v>6130</v>
      </c>
      <c r="G481" t="s">
        <v>18063</v>
      </c>
      <c r="H481" t="s">
        <v>1112</v>
      </c>
      <c r="I481" t="s">
        <v>1108</v>
      </c>
      <c r="J481" t="s">
        <v>6131</v>
      </c>
      <c r="K481" t="s">
        <v>6132</v>
      </c>
      <c r="L481" t="s">
        <v>21</v>
      </c>
      <c r="M481" t="s">
        <v>19177</v>
      </c>
      <c r="N481" t="s">
        <v>337</v>
      </c>
      <c r="O481" t="s">
        <v>337</v>
      </c>
      <c r="P481" t="s">
        <v>12</v>
      </c>
    </row>
    <row r="482">
      <c r="A482">
        <f>HYPERLINK("http://bombeiros.sp.gov.br/hidrantes/03individual/26848.html","26848")</f>
      </c>
      <c r="B482" t="s">
        <v>114</v>
      </c>
      <c r="C482" t="s">
        <v>356</v>
      </c>
      <c r="D482" t="s">
        <v>361</v>
      </c>
      <c r="E482" t="s">
        <v>15</v>
      </c>
      <c r="F482" t="s">
        <v>16189</v>
      </c>
      <c r="G482" t="s">
        <v>18067</v>
      </c>
      <c r="H482" t="s">
        <v>1112</v>
      </c>
      <c r="I482" t="s">
        <v>1108</v>
      </c>
      <c r="J482" t="s">
        <v>16190</v>
      </c>
      <c r="K482" t="s">
        <v>16191</v>
      </c>
      <c r="L482" t="s">
        <v>21</v>
      </c>
      <c r="M482" t="s">
        <v>19177</v>
      </c>
      <c r="N482" t="s">
        <v>337</v>
      </c>
      <c r="O482" t="s">
        <v>337</v>
      </c>
      <c r="P482" t="s">
        <v>12</v>
      </c>
    </row>
    <row r="483">
      <c r="A483">
        <f>HYPERLINK("http://bombeiros.sp.gov.br/hidrantes/03individual/3724.html","3724")</f>
      </c>
      <c r="B483" t="s">
        <v>114</v>
      </c>
      <c r="C483" t="s">
        <v>365</v>
      </c>
      <c r="D483" t="s">
        <v>6139</v>
      </c>
      <c r="E483" t="s">
        <v>64</v>
      </c>
      <c r="F483" t="s">
        <v>6140</v>
      </c>
      <c r="G483" t="s">
        <v>18050</v>
      </c>
      <c r="H483" t="s">
        <v>1112</v>
      </c>
      <c r="I483" t="s">
        <v>1108</v>
      </c>
      <c r="J483" t="s">
        <v>6141</v>
      </c>
      <c r="K483" t="s">
        <v>6142</v>
      </c>
      <c r="L483" t="s">
        <v>21</v>
      </c>
      <c r="M483" t="s">
        <v>19177</v>
      </c>
      <c r="N483" t="s">
        <v>337</v>
      </c>
      <c r="O483" t="s">
        <v>337</v>
      </c>
      <c r="P483" t="s">
        <v>12</v>
      </c>
    </row>
    <row r="484">
      <c r="A484">
        <f>HYPERLINK("http://bombeiros.sp.gov.br/hidrantes/03individual/17724.html","17724")</f>
      </c>
      <c r="B484" t="s">
        <v>114</v>
      </c>
      <c r="C484" t="s">
        <v>365</v>
      </c>
      <c r="D484" t="s">
        <v>6139</v>
      </c>
      <c r="E484" t="s">
        <v>15</v>
      </c>
      <c r="F484" t="s">
        <v>6176</v>
      </c>
      <c r="G484" t="s">
        <v>18067</v>
      </c>
      <c r="H484" t="s">
        <v>1112</v>
      </c>
      <c r="I484" t="s">
        <v>1108</v>
      </c>
      <c r="J484" t="s">
        <v>6177</v>
      </c>
      <c r="K484" t="s">
        <v>6178</v>
      </c>
      <c r="L484" t="s">
        <v>21</v>
      </c>
      <c r="M484" t="s">
        <v>19177</v>
      </c>
      <c r="N484" t="s">
        <v>337</v>
      </c>
      <c r="O484" t="s">
        <v>337</v>
      </c>
      <c r="P484" t="s">
        <v>12</v>
      </c>
    </row>
    <row r="485">
      <c r="A485">
        <f>HYPERLINK("http://bombeiros.sp.gov.br/hidrantes/03individual/1687.html","1687")</f>
      </c>
      <c r="B485" t="s">
        <v>114</v>
      </c>
      <c r="C485" t="s">
        <v>365</v>
      </c>
      <c r="D485" t="s">
        <v>366</v>
      </c>
      <c r="E485" t="s">
        <v>15</v>
      </c>
      <c r="F485" t="s">
        <v>6197</v>
      </c>
      <c r="G485" t="s">
        <v>18083</v>
      </c>
      <c r="H485" t="s">
        <v>1112</v>
      </c>
      <c r="I485" t="s">
        <v>1108</v>
      </c>
      <c r="J485" t="s">
        <v>16205</v>
      </c>
      <c r="K485" t="s">
        <v>16206</v>
      </c>
      <c r="L485" t="s">
        <v>21</v>
      </c>
      <c r="M485" t="s">
        <v>19177</v>
      </c>
      <c r="N485" t="s">
        <v>300</v>
      </c>
      <c r="O485" t="s">
        <v>16373</v>
      </c>
      <c r="P485" t="s">
        <v>12</v>
      </c>
    </row>
    <row r="486">
      <c r="A486">
        <f>HYPERLINK("http://bombeiros.sp.gov.br/hidrantes/03individual/1930.html","1930")</f>
      </c>
      <c r="B486" t="s">
        <v>114</v>
      </c>
      <c r="C486" t="s">
        <v>365</v>
      </c>
      <c r="D486" t="s">
        <v>366</v>
      </c>
      <c r="E486" t="s">
        <v>15</v>
      </c>
      <c r="F486" t="s">
        <v>6203</v>
      </c>
      <c r="G486" t="s">
        <v>18083</v>
      </c>
      <c r="H486" t="s">
        <v>1112</v>
      </c>
      <c r="I486" t="s">
        <v>1108</v>
      </c>
      <c r="J486" t="s">
        <v>6204</v>
      </c>
      <c r="K486" t="s">
        <v>6205</v>
      </c>
      <c r="L486" t="s">
        <v>21</v>
      </c>
      <c r="M486" t="s">
        <v>19177</v>
      </c>
      <c r="N486" t="s">
        <v>337</v>
      </c>
      <c r="O486" t="s">
        <v>337</v>
      </c>
      <c r="P486" t="s">
        <v>12</v>
      </c>
    </row>
    <row r="487">
      <c r="A487">
        <f>HYPERLINK("http://bombeiros.sp.gov.br/hidrantes/03individual/28049.html","28049")</f>
      </c>
      <c r="B487" t="s">
        <v>114</v>
      </c>
      <c r="C487" t="s">
        <v>365</v>
      </c>
      <c r="D487" t="s">
        <v>366</v>
      </c>
      <c r="E487" t="s">
        <v>15</v>
      </c>
      <c r="F487" t="s">
        <v>18298</v>
      </c>
      <c r="G487" t="s">
        <v>18045</v>
      </c>
      <c r="H487" t="s">
        <v>1174</v>
      </c>
      <c r="I487" t="s">
        <v>1108</v>
      </c>
      <c r="J487" t="s">
        <v>18299</v>
      </c>
      <c r="K487" t="s">
        <v>18300</v>
      </c>
      <c r="L487" t="s">
        <v>21</v>
      </c>
      <c r="M487" t="s">
        <v>19177</v>
      </c>
      <c r="N487" t="s">
        <v>337</v>
      </c>
      <c r="O487" t="s">
        <v>337</v>
      </c>
      <c r="P487" t="s">
        <v>12</v>
      </c>
    </row>
    <row r="488">
      <c r="A488">
        <f>HYPERLINK("http://bombeiros.sp.gov.br/hidrantes/03individual/3706.html","3706")</f>
      </c>
      <c r="B488" t="s">
        <v>114</v>
      </c>
      <c r="C488" t="s">
        <v>365</v>
      </c>
      <c r="D488" t="s">
        <v>370</v>
      </c>
      <c r="E488" t="s">
        <v>15</v>
      </c>
      <c r="F488" t="s">
        <v>6224</v>
      </c>
      <c r="G488" t="s">
        <v>18098</v>
      </c>
      <c r="H488" t="s">
        <v>1112</v>
      </c>
      <c r="I488" t="s">
        <v>1108</v>
      </c>
      <c r="J488" t="s">
        <v>6225</v>
      </c>
      <c r="K488" t="s">
        <v>6226</v>
      </c>
      <c r="L488" t="s">
        <v>21</v>
      </c>
      <c r="M488" t="s">
        <v>19177</v>
      </c>
      <c r="N488" t="s">
        <v>337</v>
      </c>
      <c r="O488" t="s">
        <v>337</v>
      </c>
      <c r="P488" t="s">
        <v>12</v>
      </c>
    </row>
    <row r="489">
      <c r="A489">
        <f>HYPERLINK("http://bombeiros.sp.gov.br/hidrantes/03individual/4347.html","4347")</f>
      </c>
      <c r="B489" t="s">
        <v>114</v>
      </c>
      <c r="C489" t="s">
        <v>365</v>
      </c>
      <c r="D489" t="s">
        <v>370</v>
      </c>
      <c r="E489" t="s">
        <v>15</v>
      </c>
      <c r="F489" t="s">
        <v>6230</v>
      </c>
      <c r="G489" t="s">
        <v>18074</v>
      </c>
      <c r="H489" t="s">
        <v>1112</v>
      </c>
      <c r="I489" t="s">
        <v>1108</v>
      </c>
      <c r="J489" t="s">
        <v>16038</v>
      </c>
      <c r="K489" t="s">
        <v>16039</v>
      </c>
      <c r="L489" t="s">
        <v>21</v>
      </c>
      <c r="M489" t="s">
        <v>19177</v>
      </c>
      <c r="N489" t="s">
        <v>337</v>
      </c>
      <c r="O489" t="s">
        <v>337</v>
      </c>
      <c r="P489" t="s">
        <v>12</v>
      </c>
    </row>
    <row r="490">
      <c r="A490">
        <f>HYPERLINK("http://bombeiros.sp.gov.br/hidrantes/03individual/25201.html","25201")</f>
      </c>
      <c r="B490" t="s">
        <v>114</v>
      </c>
      <c r="C490" t="s">
        <v>365</v>
      </c>
      <c r="D490" t="s">
        <v>370</v>
      </c>
      <c r="E490" t="s">
        <v>15</v>
      </c>
      <c r="F490" t="s">
        <v>6233</v>
      </c>
      <c r="G490" t="s">
        <v>18097</v>
      </c>
      <c r="H490" t="s">
        <v>1174</v>
      </c>
      <c r="I490" t="s">
        <v>1108</v>
      </c>
      <c r="J490" t="s">
        <v>6234</v>
      </c>
      <c r="K490" t="s">
        <v>6235</v>
      </c>
      <c r="L490" t="s">
        <v>21</v>
      </c>
      <c r="M490" t="s">
        <v>19177</v>
      </c>
      <c r="N490" t="s">
        <v>337</v>
      </c>
      <c r="O490" t="s">
        <v>337</v>
      </c>
      <c r="P490" t="s">
        <v>12</v>
      </c>
    </row>
    <row r="491">
      <c r="A491">
        <f>HYPERLINK("http://bombeiros.sp.gov.br/hidrantes/03individual/44.html","44")</f>
      </c>
      <c r="B491" t="s">
        <v>114</v>
      </c>
      <c r="C491" t="s">
        <v>365</v>
      </c>
      <c r="D491" t="s">
        <v>6239</v>
      </c>
      <c r="E491" t="s">
        <v>64</v>
      </c>
      <c r="F491" t="s">
        <v>6240</v>
      </c>
      <c r="G491" t="s">
        <v>18048</v>
      </c>
      <c r="H491" t="s">
        <v>1112</v>
      </c>
      <c r="I491" t="s">
        <v>1108</v>
      </c>
      <c r="J491" t="s">
        <v>6241</v>
      </c>
      <c r="K491" t="s">
        <v>6242</v>
      </c>
      <c r="L491" t="s">
        <v>21</v>
      </c>
      <c r="M491" t="s">
        <v>19177</v>
      </c>
      <c r="N491" t="s">
        <v>337</v>
      </c>
      <c r="O491" t="s">
        <v>337</v>
      </c>
      <c r="P491" t="s">
        <v>12</v>
      </c>
    </row>
    <row r="492">
      <c r="A492">
        <f>HYPERLINK("http://bombeiros.sp.gov.br/hidrantes/03individual/824.html","824")</f>
      </c>
      <c r="B492" t="s">
        <v>114</v>
      </c>
      <c r="C492" t="s">
        <v>365</v>
      </c>
      <c r="D492" t="s">
        <v>6239</v>
      </c>
      <c r="E492" t="s">
        <v>64</v>
      </c>
      <c r="F492" t="s">
        <v>6246</v>
      </c>
      <c r="G492" t="s">
        <v>18075</v>
      </c>
      <c r="H492" t="s">
        <v>1112</v>
      </c>
      <c r="I492" t="s">
        <v>1108</v>
      </c>
      <c r="J492" t="s">
        <v>6247</v>
      </c>
      <c r="K492" t="s">
        <v>6248</v>
      </c>
      <c r="L492" t="s">
        <v>21</v>
      </c>
      <c r="M492" t="s">
        <v>19177</v>
      </c>
      <c r="N492" t="s">
        <v>337</v>
      </c>
      <c r="O492" t="s">
        <v>337</v>
      </c>
      <c r="P492" t="s">
        <v>12</v>
      </c>
    </row>
    <row r="493">
      <c r="A493">
        <f>HYPERLINK("http://bombeiros.sp.gov.br/hidrantes/03individual/826.html","826")</f>
      </c>
      <c r="B493" t="s">
        <v>114</v>
      </c>
      <c r="C493" t="s">
        <v>365</v>
      </c>
      <c r="D493" t="s">
        <v>6239</v>
      </c>
      <c r="E493" t="s">
        <v>64</v>
      </c>
      <c r="F493" t="s">
        <v>6249</v>
      </c>
      <c r="G493" t="s">
        <v>18069</v>
      </c>
      <c r="H493" t="s">
        <v>1121</v>
      </c>
      <c r="I493" t="s">
        <v>1117</v>
      </c>
      <c r="J493" t="s">
        <v>6250</v>
      </c>
      <c r="K493" t="s">
        <v>6251</v>
      </c>
      <c r="L493" t="s">
        <v>21</v>
      </c>
      <c r="M493" t="s">
        <v>19177</v>
      </c>
      <c r="N493" t="s">
        <v>337</v>
      </c>
      <c r="O493" t="s">
        <v>337</v>
      </c>
      <c r="P493" t="s">
        <v>12</v>
      </c>
    </row>
    <row r="494">
      <c r="A494">
        <f>HYPERLINK("http://bombeiros.sp.gov.br/hidrantes/03individual/885.html","885")</f>
      </c>
      <c r="B494" t="s">
        <v>114</v>
      </c>
      <c r="C494" t="s">
        <v>365</v>
      </c>
      <c r="D494" t="s">
        <v>6239</v>
      </c>
      <c r="E494" t="s">
        <v>64</v>
      </c>
      <c r="F494" t="s">
        <v>6258</v>
      </c>
      <c r="G494" t="s">
        <v>18047</v>
      </c>
      <c r="H494" t="s">
        <v>1112</v>
      </c>
      <c r="I494" t="s">
        <v>1108</v>
      </c>
      <c r="J494" t="s">
        <v>6259</v>
      </c>
      <c r="K494" t="s">
        <v>6260</v>
      </c>
      <c r="L494" t="s">
        <v>21</v>
      </c>
      <c r="M494" t="s">
        <v>19177</v>
      </c>
      <c r="N494" t="s">
        <v>337</v>
      </c>
      <c r="O494" t="s">
        <v>337</v>
      </c>
      <c r="P494" t="s">
        <v>12</v>
      </c>
    </row>
    <row r="495">
      <c r="A495">
        <f>HYPERLINK("http://bombeiros.sp.gov.br/hidrantes/03individual/889.html","889")</f>
      </c>
      <c r="B495" t="s">
        <v>114</v>
      </c>
      <c r="C495" t="s">
        <v>365</v>
      </c>
      <c r="D495" t="s">
        <v>6239</v>
      </c>
      <c r="E495" t="s">
        <v>64</v>
      </c>
      <c r="F495" t="s">
        <v>6264</v>
      </c>
      <c r="G495" t="s">
        <v>18095</v>
      </c>
      <c r="H495" t="s">
        <v>1112</v>
      </c>
      <c r="I495" t="s">
        <v>1117</v>
      </c>
      <c r="J495" t="s">
        <v>6265</v>
      </c>
      <c r="K495" t="s">
        <v>6266</v>
      </c>
      <c r="L495" t="s">
        <v>36</v>
      </c>
      <c r="M495" t="s">
        <v>19177</v>
      </c>
      <c r="N495" t="s">
        <v>337</v>
      </c>
      <c r="O495" t="s">
        <v>337</v>
      </c>
      <c r="P495" t="s">
        <v>12</v>
      </c>
    </row>
    <row r="496">
      <c r="A496">
        <f>HYPERLINK("http://bombeiros.sp.gov.br/hidrantes/03individual/988.html","988")</f>
      </c>
      <c r="B496" t="s">
        <v>114</v>
      </c>
      <c r="C496" t="s">
        <v>365</v>
      </c>
      <c r="D496" t="s">
        <v>6239</v>
      </c>
      <c r="E496" t="s">
        <v>64</v>
      </c>
      <c r="F496" t="s">
        <v>6182</v>
      </c>
      <c r="G496" t="s">
        <v>18430</v>
      </c>
      <c r="H496" t="s">
        <v>1107</v>
      </c>
      <c r="I496" t="s">
        <v>1108</v>
      </c>
      <c r="J496" t="s">
        <v>16199</v>
      </c>
      <c r="K496" t="s">
        <v>16200</v>
      </c>
      <c r="L496" t="s">
        <v>36</v>
      </c>
      <c r="M496" t="s">
        <v>19177</v>
      </c>
      <c r="N496" t="s">
        <v>337</v>
      </c>
      <c r="O496" t="s">
        <v>337</v>
      </c>
      <c r="P496" t="s">
        <v>12</v>
      </c>
    </row>
    <row r="497">
      <c r="A497">
        <f>HYPERLINK("http://bombeiros.sp.gov.br/hidrantes/03individual/4309.html","4309")</f>
      </c>
      <c r="B497" t="s">
        <v>114</v>
      </c>
      <c r="C497" t="s">
        <v>365</v>
      </c>
      <c r="D497" t="s">
        <v>6239</v>
      </c>
      <c r="E497" t="s">
        <v>64</v>
      </c>
      <c r="F497" t="s">
        <v>6267</v>
      </c>
      <c r="G497" t="s">
        <v>18074</v>
      </c>
      <c r="H497" t="s">
        <v>1112</v>
      </c>
      <c r="I497" t="s">
        <v>1108</v>
      </c>
      <c r="J497" t="s">
        <v>6268</v>
      </c>
      <c r="K497" t="s">
        <v>6269</v>
      </c>
      <c r="L497" t="s">
        <v>21</v>
      </c>
      <c r="M497" t="s">
        <v>19177</v>
      </c>
      <c r="N497" t="s">
        <v>337</v>
      </c>
      <c r="O497" t="s">
        <v>337</v>
      </c>
      <c r="P497" t="s">
        <v>12</v>
      </c>
    </row>
    <row r="498">
      <c r="A498">
        <f>HYPERLINK("http://bombeiros.sp.gov.br/hidrantes/03individual/4310.html","4310")</f>
      </c>
      <c r="B498" t="s">
        <v>114</v>
      </c>
      <c r="C498" t="s">
        <v>365</v>
      </c>
      <c r="D498" t="s">
        <v>6239</v>
      </c>
      <c r="E498" t="s">
        <v>64</v>
      </c>
      <c r="F498" t="s">
        <v>6270</v>
      </c>
      <c r="G498" t="s">
        <v>18074</v>
      </c>
      <c r="H498" t="s">
        <v>1112</v>
      </c>
      <c r="I498" t="s">
        <v>1108</v>
      </c>
      <c r="J498" t="s">
        <v>6271</v>
      </c>
      <c r="K498" t="s">
        <v>6272</v>
      </c>
      <c r="L498" t="s">
        <v>21</v>
      </c>
      <c r="M498" t="s">
        <v>19177</v>
      </c>
      <c r="N498" t="s">
        <v>337</v>
      </c>
      <c r="O498" t="s">
        <v>337</v>
      </c>
      <c r="P498" t="s">
        <v>12</v>
      </c>
    </row>
    <row r="499">
      <c r="A499">
        <f>HYPERLINK("http://bombeiros.sp.gov.br/hidrantes/03individual/14915.html","14915")</f>
      </c>
      <c r="B499" t="s">
        <v>114</v>
      </c>
      <c r="C499" t="s">
        <v>365</v>
      </c>
      <c r="D499" t="s">
        <v>6239</v>
      </c>
      <c r="E499" t="s">
        <v>64</v>
      </c>
      <c r="F499" t="s">
        <v>6276</v>
      </c>
      <c r="G499" t="s">
        <v>18145</v>
      </c>
      <c r="H499" t="s">
        <v>1112</v>
      </c>
      <c r="I499" t="s">
        <v>1108</v>
      </c>
      <c r="J499" t="s">
        <v>6277</v>
      </c>
      <c r="K499" t="s">
        <v>6278</v>
      </c>
      <c r="L499" t="s">
        <v>21</v>
      </c>
      <c r="M499" t="s">
        <v>19177</v>
      </c>
      <c r="N499" t="s">
        <v>337</v>
      </c>
      <c r="O499" t="s">
        <v>337</v>
      </c>
      <c r="P499" t="s">
        <v>12</v>
      </c>
    </row>
    <row r="500">
      <c r="A500">
        <f>HYPERLINK("http://bombeiros.sp.gov.br/hidrantes/03individual/27020.html","27020")</f>
      </c>
      <c r="B500" t="s">
        <v>114</v>
      </c>
      <c r="C500" t="s">
        <v>365</v>
      </c>
      <c r="D500" t="s">
        <v>6239</v>
      </c>
      <c r="E500" t="s">
        <v>64</v>
      </c>
      <c r="F500" t="s">
        <v>16591</v>
      </c>
      <c r="G500" t="s">
        <v>18145</v>
      </c>
      <c r="H500" t="s">
        <v>1112</v>
      </c>
      <c r="I500" t="s">
        <v>1108</v>
      </c>
      <c r="J500" t="s">
        <v>16592</v>
      </c>
      <c r="K500" t="s">
        <v>16593</v>
      </c>
      <c r="L500" t="s">
        <v>21</v>
      </c>
      <c r="M500" t="s">
        <v>19177</v>
      </c>
      <c r="N500" t="s">
        <v>337</v>
      </c>
      <c r="O500" t="s">
        <v>337</v>
      </c>
      <c r="P500" t="s">
        <v>12</v>
      </c>
    </row>
    <row r="501">
      <c r="A501">
        <f>HYPERLINK("http://bombeiros.sp.gov.br/hidrantes/03individual/28240.html","28240")</f>
      </c>
      <c r="B501" t="s">
        <v>114</v>
      </c>
      <c r="C501" t="s">
        <v>365</v>
      </c>
      <c r="D501" t="s">
        <v>6239</v>
      </c>
      <c r="E501" t="s">
        <v>64</v>
      </c>
      <c r="F501" t="s">
        <v>18301</v>
      </c>
      <c r="G501" t="s">
        <v>18074</v>
      </c>
      <c r="H501" t="s">
        <v>1112</v>
      </c>
      <c r="I501" t="s">
        <v>1108</v>
      </c>
      <c r="J501" t="s">
        <v>18302</v>
      </c>
      <c r="K501" t="s">
        <v>18303</v>
      </c>
      <c r="L501" t="s">
        <v>21</v>
      </c>
      <c r="M501" t="s">
        <v>19177</v>
      </c>
      <c r="N501" t="s">
        <v>337</v>
      </c>
      <c r="O501" t="s">
        <v>337</v>
      </c>
      <c r="P501" t="s">
        <v>12</v>
      </c>
    </row>
    <row r="502">
      <c r="A502">
        <f>HYPERLINK("http://bombeiros.sp.gov.br/hidrantes/03individual/2984.html","2984")</f>
      </c>
      <c r="B502" t="s">
        <v>114</v>
      </c>
      <c r="C502" t="s">
        <v>365</v>
      </c>
      <c r="D502" t="s">
        <v>6239</v>
      </c>
      <c r="E502" t="s">
        <v>15</v>
      </c>
      <c r="F502" t="s">
        <v>6285</v>
      </c>
      <c r="G502" t="s">
        <v>18042</v>
      </c>
      <c r="H502" t="s">
        <v>1112</v>
      </c>
      <c r="I502" t="s">
        <v>1108</v>
      </c>
      <c r="J502" t="s">
        <v>6286</v>
      </c>
      <c r="K502" t="s">
        <v>6287</v>
      </c>
      <c r="L502" t="s">
        <v>21</v>
      </c>
      <c r="M502" t="s">
        <v>19177</v>
      </c>
      <c r="N502" t="s">
        <v>300</v>
      </c>
      <c r="O502" t="s">
        <v>16373</v>
      </c>
      <c r="P502" t="s">
        <v>12</v>
      </c>
    </row>
    <row r="503">
      <c r="A503">
        <f>HYPERLINK("http://bombeiros.sp.gov.br/hidrantes/03individual/17722.html","17722")</f>
      </c>
      <c r="B503" t="s">
        <v>114</v>
      </c>
      <c r="C503" t="s">
        <v>365</v>
      </c>
      <c r="D503" t="s">
        <v>6239</v>
      </c>
      <c r="E503" t="s">
        <v>15</v>
      </c>
      <c r="F503" t="s">
        <v>6291</v>
      </c>
      <c r="G503" t="s">
        <v>18074</v>
      </c>
      <c r="H503" t="s">
        <v>1174</v>
      </c>
      <c r="I503" t="s">
        <v>1117</v>
      </c>
      <c r="J503" t="s">
        <v>6292</v>
      </c>
      <c r="K503" t="s">
        <v>6293</v>
      </c>
      <c r="L503" t="s">
        <v>21</v>
      </c>
      <c r="M503" t="s">
        <v>19177</v>
      </c>
      <c r="N503" t="s">
        <v>337</v>
      </c>
      <c r="O503" t="s">
        <v>337</v>
      </c>
      <c r="P503" t="s">
        <v>12</v>
      </c>
    </row>
    <row r="504">
      <c r="A504">
        <f>HYPERLINK("http://bombeiros.sp.gov.br/hidrantes/03individual/17725.html","17725")</f>
      </c>
      <c r="B504" t="s">
        <v>114</v>
      </c>
      <c r="C504" t="s">
        <v>365</v>
      </c>
      <c r="D504" t="s">
        <v>6297</v>
      </c>
      <c r="E504" t="s">
        <v>15</v>
      </c>
      <c r="F504" t="s">
        <v>6304</v>
      </c>
      <c r="G504" t="s">
        <v>18145</v>
      </c>
      <c r="H504" t="s">
        <v>1112</v>
      </c>
      <c r="I504" t="s">
        <v>1108</v>
      </c>
      <c r="J504" t="s">
        <v>6305</v>
      </c>
      <c r="K504" t="s">
        <v>6306</v>
      </c>
      <c r="L504" t="s">
        <v>21</v>
      </c>
      <c r="M504" t="s">
        <v>19177</v>
      </c>
      <c r="N504" t="s">
        <v>337</v>
      </c>
      <c r="O504" t="s">
        <v>337</v>
      </c>
      <c r="P504" t="s">
        <v>12</v>
      </c>
    </row>
    <row r="505">
      <c r="A505">
        <f>HYPERLINK("http://bombeiros.sp.gov.br/hidrantes/03individual/17781.html","17781")</f>
      </c>
      <c r="B505" t="s">
        <v>114</v>
      </c>
      <c r="C505" t="s">
        <v>365</v>
      </c>
      <c r="D505" t="s">
        <v>6297</v>
      </c>
      <c r="E505" t="s">
        <v>15</v>
      </c>
      <c r="F505" t="s">
        <v>6307</v>
      </c>
      <c r="G505" t="s">
        <v>18145</v>
      </c>
      <c r="H505" t="s">
        <v>1112</v>
      </c>
      <c r="I505" t="s">
        <v>1108</v>
      </c>
      <c r="J505" t="s">
        <v>6308</v>
      </c>
      <c r="K505" t="s">
        <v>6309</v>
      </c>
      <c r="L505" t="s">
        <v>21</v>
      </c>
      <c r="M505" t="s">
        <v>19177</v>
      </c>
      <c r="N505" t="s">
        <v>337</v>
      </c>
      <c r="O505" t="s">
        <v>337</v>
      </c>
      <c r="P505" t="s">
        <v>12</v>
      </c>
    </row>
    <row r="506">
      <c r="A506">
        <f>HYPERLINK("http://bombeiros.sp.gov.br/hidrantes/03individual/831.html","831")</f>
      </c>
      <c r="B506" t="s">
        <v>114</v>
      </c>
      <c r="C506" t="s">
        <v>374</v>
      </c>
      <c r="D506" t="s">
        <v>375</v>
      </c>
      <c r="E506" t="s">
        <v>64</v>
      </c>
      <c r="F506" t="s">
        <v>6310</v>
      </c>
      <c r="G506" t="s">
        <v>18089</v>
      </c>
      <c r="H506" t="s">
        <v>1112</v>
      </c>
      <c r="I506" t="s">
        <v>1108</v>
      </c>
      <c r="J506" t="s">
        <v>6311</v>
      </c>
      <c r="K506" t="s">
        <v>6312</v>
      </c>
      <c r="L506" t="s">
        <v>21</v>
      </c>
      <c r="M506" t="s">
        <v>19177</v>
      </c>
      <c r="N506" t="s">
        <v>300</v>
      </c>
      <c r="O506" t="s">
        <v>16373</v>
      </c>
      <c r="P506" t="s">
        <v>12</v>
      </c>
    </row>
    <row r="507">
      <c r="A507">
        <f>HYPERLINK("http://bombeiros.sp.gov.br/hidrantes/03individual/3293.html","3293")</f>
      </c>
      <c r="B507" t="s">
        <v>114</v>
      </c>
      <c r="C507" t="s">
        <v>374</v>
      </c>
      <c r="D507" t="s">
        <v>375</v>
      </c>
      <c r="E507" t="s">
        <v>64</v>
      </c>
      <c r="F507" t="s">
        <v>6316</v>
      </c>
      <c r="G507" t="s">
        <v>18093</v>
      </c>
      <c r="H507" t="s">
        <v>1112</v>
      </c>
      <c r="I507" t="s">
        <v>1108</v>
      </c>
      <c r="J507" t="s">
        <v>6317</v>
      </c>
      <c r="K507" t="s">
        <v>6318</v>
      </c>
      <c r="L507" t="s">
        <v>36</v>
      </c>
      <c r="M507" t="s">
        <v>19177</v>
      </c>
      <c r="N507" t="s">
        <v>300</v>
      </c>
      <c r="O507" t="s">
        <v>16373</v>
      </c>
      <c r="P507" t="s">
        <v>12</v>
      </c>
    </row>
    <row r="508">
      <c r="A508">
        <f>HYPERLINK("http://bombeiros.sp.gov.br/hidrantes/03individual/1701.html","1701")</f>
      </c>
      <c r="B508" t="s">
        <v>114</v>
      </c>
      <c r="C508" t="s">
        <v>374</v>
      </c>
      <c r="D508" t="s">
        <v>375</v>
      </c>
      <c r="E508" t="s">
        <v>15</v>
      </c>
      <c r="F508" t="s">
        <v>6322</v>
      </c>
      <c r="G508" t="s">
        <v>18072</v>
      </c>
      <c r="H508" t="s">
        <v>1112</v>
      </c>
      <c r="I508" t="s">
        <v>1108</v>
      </c>
      <c r="J508" t="s">
        <v>6323</v>
      </c>
      <c r="K508" t="s">
        <v>6324</v>
      </c>
      <c r="L508" t="s">
        <v>21</v>
      </c>
      <c r="M508" t="s">
        <v>19177</v>
      </c>
      <c r="N508" t="s">
        <v>300</v>
      </c>
      <c r="O508" t="s">
        <v>16373</v>
      </c>
      <c r="P508" t="s">
        <v>12</v>
      </c>
    </row>
    <row r="509">
      <c r="A509">
        <f>HYPERLINK("http://bombeiros.sp.gov.br/hidrantes/03individual/1017.html","1017")</f>
      </c>
      <c r="B509" t="s">
        <v>114</v>
      </c>
      <c r="C509" t="s">
        <v>374</v>
      </c>
      <c r="D509" t="s">
        <v>380</v>
      </c>
      <c r="E509" t="s">
        <v>64</v>
      </c>
      <c r="F509" t="s">
        <v>6352</v>
      </c>
      <c r="G509" t="s">
        <v>18089</v>
      </c>
      <c r="H509" t="s">
        <v>1112</v>
      </c>
      <c r="I509" t="s">
        <v>1108</v>
      </c>
      <c r="J509" t="s">
        <v>6353</v>
      </c>
      <c r="K509" t="s">
        <v>6354</v>
      </c>
      <c r="L509" t="s">
        <v>36</v>
      </c>
      <c r="M509" t="s">
        <v>19177</v>
      </c>
      <c r="N509" t="s">
        <v>300</v>
      </c>
      <c r="O509" t="s">
        <v>16373</v>
      </c>
      <c r="P509" t="s">
        <v>12</v>
      </c>
    </row>
    <row r="510">
      <c r="A510">
        <f>HYPERLINK("http://bombeiros.sp.gov.br/hidrantes/03individual/1436.html","1436")</f>
      </c>
      <c r="B510" t="s">
        <v>114</v>
      </c>
      <c r="C510" t="s">
        <v>374</v>
      </c>
      <c r="D510" t="s">
        <v>380</v>
      </c>
      <c r="E510" t="s">
        <v>15</v>
      </c>
      <c r="F510" t="s">
        <v>6358</v>
      </c>
      <c r="G510" t="s">
        <v>18093</v>
      </c>
      <c r="H510" t="s">
        <v>1112</v>
      </c>
      <c r="I510" t="s">
        <v>1108</v>
      </c>
      <c r="J510" t="s">
        <v>6359</v>
      </c>
      <c r="K510" t="s">
        <v>6360</v>
      </c>
      <c r="L510" t="s">
        <v>21</v>
      </c>
      <c r="M510" t="s">
        <v>19177</v>
      </c>
      <c r="N510" t="s">
        <v>300</v>
      </c>
      <c r="O510" t="s">
        <v>16373</v>
      </c>
      <c r="P510" t="s">
        <v>12</v>
      </c>
    </row>
    <row r="511">
      <c r="A511">
        <f>HYPERLINK("http://bombeiros.sp.gov.br/hidrantes/03individual/1452.html","1452")</f>
      </c>
      <c r="B511" t="s">
        <v>114</v>
      </c>
      <c r="C511" t="s">
        <v>374</v>
      </c>
      <c r="D511" t="s">
        <v>380</v>
      </c>
      <c r="E511" t="s">
        <v>15</v>
      </c>
      <c r="F511" t="s">
        <v>6370</v>
      </c>
      <c r="G511" t="s">
        <v>18089</v>
      </c>
      <c r="H511" t="s">
        <v>1107</v>
      </c>
      <c r="I511" t="s">
        <v>1108</v>
      </c>
      <c r="J511" t="s">
        <v>6371</v>
      </c>
      <c r="K511" t="s">
        <v>6372</v>
      </c>
      <c r="L511" t="s">
        <v>21</v>
      </c>
      <c r="M511" t="s">
        <v>19177</v>
      </c>
      <c r="N511" t="s">
        <v>300</v>
      </c>
      <c r="O511" t="s">
        <v>16373</v>
      </c>
      <c r="P511" t="s">
        <v>12</v>
      </c>
    </row>
    <row r="512">
      <c r="A512">
        <f>HYPERLINK("http://bombeiros.sp.gov.br/hidrantes/03individual/3136.html","3136")</f>
      </c>
      <c r="B512" t="s">
        <v>114</v>
      </c>
      <c r="C512" t="s">
        <v>374</v>
      </c>
      <c r="D512" t="s">
        <v>395</v>
      </c>
      <c r="E512" t="s">
        <v>64</v>
      </c>
      <c r="F512" t="s">
        <v>6409</v>
      </c>
      <c r="G512" t="s">
        <v>18082</v>
      </c>
      <c r="H512" t="s">
        <v>1107</v>
      </c>
      <c r="I512" t="s">
        <v>1108</v>
      </c>
      <c r="J512" t="s">
        <v>6410</v>
      </c>
      <c r="K512" t="s">
        <v>6411</v>
      </c>
      <c r="L512" t="s">
        <v>21</v>
      </c>
      <c r="M512" t="s">
        <v>19177</v>
      </c>
      <c r="N512" t="s">
        <v>300</v>
      </c>
      <c r="O512" t="s">
        <v>16373</v>
      </c>
      <c r="P512" t="s">
        <v>12</v>
      </c>
    </row>
    <row r="513">
      <c r="A513">
        <f>HYPERLINK("http://bombeiros.sp.gov.br/hidrantes/03individual/3140.html","3140")</f>
      </c>
      <c r="B513" t="s">
        <v>114</v>
      </c>
      <c r="C513" t="s">
        <v>374</v>
      </c>
      <c r="D513" t="s">
        <v>395</v>
      </c>
      <c r="E513" t="s">
        <v>64</v>
      </c>
      <c r="F513" t="s">
        <v>6412</v>
      </c>
      <c r="G513" t="s">
        <v>18082</v>
      </c>
      <c r="H513" t="s">
        <v>1112</v>
      </c>
      <c r="I513" t="s">
        <v>1108</v>
      </c>
      <c r="J513" t="s">
        <v>6413</v>
      </c>
      <c r="K513" t="s">
        <v>6414</v>
      </c>
      <c r="L513" t="s">
        <v>36</v>
      </c>
      <c r="M513" t="s">
        <v>19177</v>
      </c>
      <c r="N513" t="s">
        <v>300</v>
      </c>
      <c r="O513" t="s">
        <v>16373</v>
      </c>
      <c r="P513" t="s">
        <v>12</v>
      </c>
    </row>
    <row r="514">
      <c r="A514">
        <f>HYPERLINK("http://bombeiros.sp.gov.br/hidrantes/03individual/3328.html","3328")</f>
      </c>
      <c r="B514" t="s">
        <v>114</v>
      </c>
      <c r="C514" t="s">
        <v>374</v>
      </c>
      <c r="D514" t="s">
        <v>395</v>
      </c>
      <c r="E514" t="s">
        <v>64</v>
      </c>
      <c r="F514" t="s">
        <v>6421</v>
      </c>
      <c r="G514" t="s">
        <v>18194</v>
      </c>
      <c r="H514" t="s">
        <v>1112</v>
      </c>
      <c r="I514" t="s">
        <v>1108</v>
      </c>
      <c r="J514" t="s">
        <v>6422</v>
      </c>
      <c r="K514" t="s">
        <v>6423</v>
      </c>
      <c r="L514" t="s">
        <v>36</v>
      </c>
      <c r="M514" t="s">
        <v>19177</v>
      </c>
      <c r="N514" t="s">
        <v>300</v>
      </c>
      <c r="O514" t="s">
        <v>16373</v>
      </c>
      <c r="P514" t="s">
        <v>12</v>
      </c>
    </row>
    <row r="515">
      <c r="A515">
        <f>HYPERLINK("http://bombeiros.sp.gov.br/hidrantes/03individual/1783.html","1783")</f>
      </c>
      <c r="B515" t="s">
        <v>114</v>
      </c>
      <c r="C515" t="s">
        <v>374</v>
      </c>
      <c r="D515" t="s">
        <v>395</v>
      </c>
      <c r="E515" t="s">
        <v>15</v>
      </c>
      <c r="F515" t="s">
        <v>6427</v>
      </c>
      <c r="G515" t="s">
        <v>18205</v>
      </c>
      <c r="H515" t="s">
        <v>1112</v>
      </c>
      <c r="I515" t="s">
        <v>1108</v>
      </c>
      <c r="J515" t="s">
        <v>6428</v>
      </c>
      <c r="K515" t="s">
        <v>6429</v>
      </c>
      <c r="L515" t="s">
        <v>21</v>
      </c>
      <c r="M515" t="s">
        <v>19177</v>
      </c>
      <c r="N515" t="s">
        <v>300</v>
      </c>
      <c r="O515" t="s">
        <v>16373</v>
      </c>
      <c r="P515" t="s">
        <v>12</v>
      </c>
    </row>
    <row r="516">
      <c r="A516">
        <f>HYPERLINK("http://bombeiros.sp.gov.br/hidrantes/03individual/1823.html","1823")</f>
      </c>
      <c r="B516" t="s">
        <v>114</v>
      </c>
      <c r="C516" t="s">
        <v>374</v>
      </c>
      <c r="D516" t="s">
        <v>395</v>
      </c>
      <c r="E516" t="s">
        <v>15</v>
      </c>
      <c r="F516" t="s">
        <v>6433</v>
      </c>
      <c r="G516" t="s">
        <v>18205</v>
      </c>
      <c r="H516" t="s">
        <v>1112</v>
      </c>
      <c r="I516" t="s">
        <v>1108</v>
      </c>
      <c r="J516" t="s">
        <v>6434</v>
      </c>
      <c r="K516" t="s">
        <v>6435</v>
      </c>
      <c r="L516" t="s">
        <v>21</v>
      </c>
      <c r="M516" t="s">
        <v>19177</v>
      </c>
      <c r="N516" t="s">
        <v>300</v>
      </c>
      <c r="O516" t="s">
        <v>16373</v>
      </c>
      <c r="P516" t="s">
        <v>12</v>
      </c>
    </row>
    <row r="517">
      <c r="A517">
        <f>HYPERLINK("http://bombeiros.sp.gov.br/hidrantes/03individual/3314.html","3314")</f>
      </c>
      <c r="B517" t="s">
        <v>114</v>
      </c>
      <c r="C517" t="s">
        <v>374</v>
      </c>
      <c r="D517" t="s">
        <v>374</v>
      </c>
      <c r="E517" t="s">
        <v>15</v>
      </c>
      <c r="F517" t="s">
        <v>6506</v>
      </c>
      <c r="G517" t="s">
        <v>18093</v>
      </c>
      <c r="H517" t="s">
        <v>1112</v>
      </c>
      <c r="I517" t="s">
        <v>1108</v>
      </c>
      <c r="J517" t="s">
        <v>6507</v>
      </c>
      <c r="K517" t="s">
        <v>6508</v>
      </c>
      <c r="L517" t="s">
        <v>21</v>
      </c>
      <c r="M517" t="s">
        <v>19177</v>
      </c>
      <c r="N517" t="s">
        <v>300</v>
      </c>
      <c r="O517" t="s">
        <v>16373</v>
      </c>
      <c r="P517" t="s">
        <v>12</v>
      </c>
    </row>
    <row r="518">
      <c r="A518">
        <f>HYPERLINK("http://bombeiros.sp.gov.br/hidrantes/03individual/27525.html","27525")</f>
      </c>
      <c r="B518" t="s">
        <v>114</v>
      </c>
      <c r="C518" t="s">
        <v>399</v>
      </c>
      <c r="D518" t="s">
        <v>400</v>
      </c>
      <c r="E518" t="s">
        <v>64</v>
      </c>
      <c r="F518" t="s">
        <v>17390</v>
      </c>
      <c r="G518" t="s">
        <v>18085</v>
      </c>
      <c r="H518" t="s">
        <v>1174</v>
      </c>
      <c r="I518" t="s">
        <v>1108</v>
      </c>
      <c r="J518" t="s">
        <v>17391</v>
      </c>
      <c r="K518" t="s">
        <v>17392</v>
      </c>
      <c r="L518" t="s">
        <v>21</v>
      </c>
      <c r="M518" t="s">
        <v>19177</v>
      </c>
      <c r="N518" t="s">
        <v>6029</v>
      </c>
      <c r="O518" t="s">
        <v>6029</v>
      </c>
      <c r="P518" t="s">
        <v>114</v>
      </c>
    </row>
    <row r="519">
      <c r="A519">
        <f>HYPERLINK("http://bombeiros.sp.gov.br/hidrantes/03individual/27656.html","27656")</f>
      </c>
      <c r="B519" t="s">
        <v>114</v>
      </c>
      <c r="C519" t="s">
        <v>399</v>
      </c>
      <c r="D519" t="s">
        <v>400</v>
      </c>
      <c r="E519" t="s">
        <v>64</v>
      </c>
      <c r="F519" t="s">
        <v>17554</v>
      </c>
      <c r="G519" t="s">
        <v>18564</v>
      </c>
      <c r="H519" t="s">
        <v>1112</v>
      </c>
      <c r="I519" t="s">
        <v>1108</v>
      </c>
      <c r="J519" t="s">
        <v>17555</v>
      </c>
      <c r="K519" t="s">
        <v>17556</v>
      </c>
      <c r="L519" t="s">
        <v>21</v>
      </c>
      <c r="M519" t="s">
        <v>19177</v>
      </c>
      <c r="N519" t="s">
        <v>6029</v>
      </c>
      <c r="O519" t="s">
        <v>6029</v>
      </c>
      <c r="P519" t="s">
        <v>114</v>
      </c>
    </row>
    <row r="520">
      <c r="A520">
        <f>HYPERLINK("http://bombeiros.sp.gov.br/hidrantes/03individual/3428.html","3428")</f>
      </c>
      <c r="B520" t="s">
        <v>114</v>
      </c>
      <c r="C520" t="s">
        <v>399</v>
      </c>
      <c r="D520" t="s">
        <v>400</v>
      </c>
      <c r="E520" t="s">
        <v>15</v>
      </c>
      <c r="F520" t="s">
        <v>6521</v>
      </c>
      <c r="G520" t="s">
        <v>18092</v>
      </c>
      <c r="H520" t="s">
        <v>1112</v>
      </c>
      <c r="I520" t="s">
        <v>1108</v>
      </c>
      <c r="J520" t="s">
        <v>6522</v>
      </c>
      <c r="K520" t="s">
        <v>6523</v>
      </c>
      <c r="L520" t="s">
        <v>21</v>
      </c>
      <c r="M520" t="s">
        <v>19177</v>
      </c>
      <c r="N520" t="s">
        <v>6029</v>
      </c>
      <c r="O520" t="s">
        <v>6029</v>
      </c>
      <c r="P520" t="s">
        <v>114</v>
      </c>
    </row>
    <row r="521">
      <c r="A521">
        <f>HYPERLINK("http://bombeiros.sp.gov.br/hidrantes/03individual/3484.html","3484")</f>
      </c>
      <c r="B521" t="s">
        <v>114</v>
      </c>
      <c r="C521" t="s">
        <v>399</v>
      </c>
      <c r="D521" t="s">
        <v>399</v>
      </c>
      <c r="E521" t="s">
        <v>64</v>
      </c>
      <c r="F521" t="s">
        <v>6542</v>
      </c>
      <c r="G521" t="s">
        <v>18095</v>
      </c>
      <c r="H521" t="s">
        <v>1112</v>
      </c>
      <c r="I521" t="s">
        <v>1108</v>
      </c>
      <c r="J521" t="s">
        <v>6543</v>
      </c>
      <c r="K521" t="s">
        <v>6544</v>
      </c>
      <c r="L521" t="s">
        <v>21</v>
      </c>
      <c r="M521" t="s">
        <v>19177</v>
      </c>
      <c r="N521" t="s">
        <v>6029</v>
      </c>
      <c r="O521" t="s">
        <v>6029</v>
      </c>
      <c r="P521" t="s">
        <v>114</v>
      </c>
    </row>
    <row r="522">
      <c r="A522">
        <f>HYPERLINK("http://bombeiros.sp.gov.br/hidrantes/03individual/27657.html","27657")</f>
      </c>
      <c r="B522" t="s">
        <v>114</v>
      </c>
      <c r="C522" t="s">
        <v>399</v>
      </c>
      <c r="D522" t="s">
        <v>399</v>
      </c>
      <c r="E522" t="s">
        <v>64</v>
      </c>
      <c r="F522" t="s">
        <v>17557</v>
      </c>
      <c r="G522" t="s">
        <v>18564</v>
      </c>
      <c r="H522" t="s">
        <v>1112</v>
      </c>
      <c r="I522" t="s">
        <v>1108</v>
      </c>
      <c r="J522" t="s">
        <v>17558</v>
      </c>
      <c r="K522" t="s">
        <v>17559</v>
      </c>
      <c r="L522" t="s">
        <v>21</v>
      </c>
      <c r="M522" t="s">
        <v>19177</v>
      </c>
      <c r="N522" t="s">
        <v>6029</v>
      </c>
      <c r="O522" t="s">
        <v>6029</v>
      </c>
      <c r="P522" t="s">
        <v>114</v>
      </c>
    </row>
    <row r="523">
      <c r="A523">
        <f>HYPERLINK("http://bombeiros.sp.gov.br/hidrantes/03individual/3435.html","3435")</f>
      </c>
      <c r="B523" t="s">
        <v>114</v>
      </c>
      <c r="C523" t="s">
        <v>399</v>
      </c>
      <c r="D523" t="s">
        <v>399</v>
      </c>
      <c r="E523" t="s">
        <v>15</v>
      </c>
      <c r="F523" t="s">
        <v>6566</v>
      </c>
      <c r="G523" t="s">
        <v>18094</v>
      </c>
      <c r="H523" t="s">
        <v>1112</v>
      </c>
      <c r="I523" t="s">
        <v>1108</v>
      </c>
      <c r="J523" t="s">
        <v>6567</v>
      </c>
      <c r="K523" t="s">
        <v>6568</v>
      </c>
      <c r="L523" t="s">
        <v>21</v>
      </c>
      <c r="M523" t="s">
        <v>19177</v>
      </c>
      <c r="N523" t="s">
        <v>6029</v>
      </c>
      <c r="O523" t="s">
        <v>6029</v>
      </c>
      <c r="P523" t="s">
        <v>114</v>
      </c>
    </row>
    <row r="524">
      <c r="A524">
        <f>HYPERLINK("http://bombeiros.sp.gov.br/hidrantes/03individual/17794.html","17794")</f>
      </c>
      <c r="B524" t="s">
        <v>114</v>
      </c>
      <c r="C524" t="s">
        <v>399</v>
      </c>
      <c r="D524" t="s">
        <v>399</v>
      </c>
      <c r="E524" t="s">
        <v>15</v>
      </c>
      <c r="F524" t="s">
        <v>6575</v>
      </c>
      <c r="G524" t="s">
        <v>18092</v>
      </c>
      <c r="H524" t="s">
        <v>1121</v>
      </c>
      <c r="I524" t="s">
        <v>1117</v>
      </c>
      <c r="J524" t="s">
        <v>6576</v>
      </c>
      <c r="K524" t="s">
        <v>6577</v>
      </c>
      <c r="L524" t="s">
        <v>21</v>
      </c>
      <c r="M524" t="s">
        <v>19177</v>
      </c>
      <c r="N524" t="s">
        <v>6029</v>
      </c>
      <c r="O524" t="s">
        <v>6029</v>
      </c>
      <c r="P524" t="s">
        <v>114</v>
      </c>
    </row>
    <row r="525">
      <c r="A525">
        <f>HYPERLINK("http://bombeiros.sp.gov.br/hidrantes/03individual/17854.html","17854")</f>
      </c>
      <c r="B525" t="s">
        <v>114</v>
      </c>
      <c r="C525" t="s">
        <v>399</v>
      </c>
      <c r="D525" t="s">
        <v>399</v>
      </c>
      <c r="E525" t="s">
        <v>15</v>
      </c>
      <c r="F525" t="s">
        <v>6578</v>
      </c>
      <c r="G525" t="s">
        <v>18117</v>
      </c>
      <c r="H525" t="s">
        <v>1112</v>
      </c>
      <c r="I525" t="s">
        <v>1108</v>
      </c>
      <c r="J525" t="s">
        <v>6579</v>
      </c>
      <c r="K525" t="s">
        <v>6580</v>
      </c>
      <c r="L525" t="s">
        <v>21</v>
      </c>
      <c r="M525" t="s">
        <v>19177</v>
      </c>
      <c r="N525" t="s">
        <v>6029</v>
      </c>
      <c r="O525" t="s">
        <v>6029</v>
      </c>
      <c r="P525" t="s">
        <v>114</v>
      </c>
    </row>
    <row r="526">
      <c r="A526">
        <f>HYPERLINK("http://bombeiros.sp.gov.br/hidrantes/03individual/3330.html","3330")</f>
      </c>
      <c r="B526" t="s">
        <v>114</v>
      </c>
      <c r="C526" t="s">
        <v>333</v>
      </c>
      <c r="D526" t="s">
        <v>407</v>
      </c>
      <c r="E526" t="s">
        <v>64</v>
      </c>
      <c r="F526" t="s">
        <v>6605</v>
      </c>
      <c r="G526" t="s">
        <v>18089</v>
      </c>
      <c r="H526" t="s">
        <v>1112</v>
      </c>
      <c r="I526" t="s">
        <v>1108</v>
      </c>
      <c r="J526" t="s">
        <v>6607</v>
      </c>
      <c r="K526" t="s">
        <v>6608</v>
      </c>
      <c r="L526" t="s">
        <v>21</v>
      </c>
      <c r="M526" t="s">
        <v>19177</v>
      </c>
      <c r="N526" t="s">
        <v>300</v>
      </c>
      <c r="O526" t="s">
        <v>16373</v>
      </c>
      <c r="P526" t="s">
        <v>12</v>
      </c>
    </row>
    <row r="527">
      <c r="A527">
        <f>HYPERLINK("http://bombeiros.sp.gov.br/hidrantes/03individual/26781.html","26781")</f>
      </c>
      <c r="B527" t="s">
        <v>114</v>
      </c>
      <c r="C527" t="s">
        <v>333</v>
      </c>
      <c r="D527" t="s">
        <v>407</v>
      </c>
      <c r="E527" t="s">
        <v>64</v>
      </c>
      <c r="F527" t="s">
        <v>6627</v>
      </c>
      <c r="G527" t="s">
        <v>18075</v>
      </c>
      <c r="H527" t="s">
        <v>1112</v>
      </c>
      <c r="I527" t="s">
        <v>1108</v>
      </c>
      <c r="J527" t="s">
        <v>6628</v>
      </c>
      <c r="K527" t="s">
        <v>6629</v>
      </c>
      <c r="L527" t="s">
        <v>21</v>
      </c>
      <c r="M527" t="s">
        <v>19177</v>
      </c>
      <c r="N527" t="s">
        <v>300</v>
      </c>
      <c r="O527" t="s">
        <v>16373</v>
      </c>
      <c r="P527" t="s">
        <v>12</v>
      </c>
    </row>
    <row r="528">
      <c r="A528">
        <f>HYPERLINK("http://bombeiros.sp.gov.br/hidrantes/03individual/3106.html","3106")</f>
      </c>
      <c r="B528" t="s">
        <v>114</v>
      </c>
      <c r="C528" t="s">
        <v>333</v>
      </c>
      <c r="D528" t="s">
        <v>407</v>
      </c>
      <c r="E528" t="s">
        <v>15</v>
      </c>
      <c r="F528" t="s">
        <v>6636</v>
      </c>
      <c r="G528" t="s">
        <v>18082</v>
      </c>
      <c r="H528" t="s">
        <v>1112</v>
      </c>
      <c r="I528" t="s">
        <v>1108</v>
      </c>
      <c r="J528" t="s">
        <v>6637</v>
      </c>
      <c r="K528" t="s">
        <v>6638</v>
      </c>
      <c r="L528" t="s">
        <v>21</v>
      </c>
      <c r="M528" t="s">
        <v>19177</v>
      </c>
      <c r="N528" t="s">
        <v>300</v>
      </c>
      <c r="O528" t="s">
        <v>16373</v>
      </c>
      <c r="P528" t="s">
        <v>12</v>
      </c>
    </row>
    <row r="529">
      <c r="A529">
        <f>HYPERLINK("http://bombeiros.sp.gov.br/hidrantes/03individual/3111.html","3111")</f>
      </c>
      <c r="B529" t="s">
        <v>114</v>
      </c>
      <c r="C529" t="s">
        <v>333</v>
      </c>
      <c r="D529" t="s">
        <v>407</v>
      </c>
      <c r="E529" t="s">
        <v>15</v>
      </c>
      <c r="F529" t="s">
        <v>6642</v>
      </c>
      <c r="G529" t="s">
        <v>18076</v>
      </c>
      <c r="H529" t="s">
        <v>1112</v>
      </c>
      <c r="I529" t="s">
        <v>1108</v>
      </c>
      <c r="J529" t="s">
        <v>6643</v>
      </c>
      <c r="K529" t="s">
        <v>6644</v>
      </c>
      <c r="L529" t="s">
        <v>21</v>
      </c>
      <c r="M529" t="s">
        <v>19177</v>
      </c>
      <c r="N529" t="s">
        <v>300</v>
      </c>
      <c r="O529" t="s">
        <v>16373</v>
      </c>
      <c r="P529" t="s">
        <v>12</v>
      </c>
    </row>
    <row r="530">
      <c r="A530">
        <f>HYPERLINK("http://bombeiros.sp.gov.br/hidrantes/03individual/3122.html","3122")</f>
      </c>
      <c r="B530" t="s">
        <v>114</v>
      </c>
      <c r="C530" t="s">
        <v>333</v>
      </c>
      <c r="D530" t="s">
        <v>333</v>
      </c>
      <c r="E530" t="s">
        <v>15</v>
      </c>
      <c r="F530" t="s">
        <v>6708</v>
      </c>
      <c r="G530" t="s">
        <v>18051</v>
      </c>
      <c r="H530" t="s">
        <v>1112</v>
      </c>
      <c r="I530" t="s">
        <v>1108</v>
      </c>
      <c r="J530" t="s">
        <v>6709</v>
      </c>
      <c r="K530" t="s">
        <v>6710</v>
      </c>
      <c r="L530" t="s">
        <v>21</v>
      </c>
      <c r="M530" t="s">
        <v>19177</v>
      </c>
      <c r="N530" t="s">
        <v>300</v>
      </c>
      <c r="O530" t="s">
        <v>16373</v>
      </c>
      <c r="P530" t="s">
        <v>12</v>
      </c>
    </row>
    <row r="531">
      <c r="A531">
        <f>HYPERLINK("http://bombeiros.sp.gov.br/hidrantes/03individual/3292.html","3292")</f>
      </c>
      <c r="B531" t="s">
        <v>114</v>
      </c>
      <c r="C531" t="s">
        <v>333</v>
      </c>
      <c r="D531" t="s">
        <v>333</v>
      </c>
      <c r="E531" t="s">
        <v>15</v>
      </c>
      <c r="F531" t="s">
        <v>6717</v>
      </c>
      <c r="G531" t="s">
        <v>18065</v>
      </c>
      <c r="H531" t="s">
        <v>1107</v>
      </c>
      <c r="I531" t="s">
        <v>1108</v>
      </c>
      <c r="J531" t="s">
        <v>6718</v>
      </c>
      <c r="K531" t="s">
        <v>6719</v>
      </c>
      <c r="L531" t="s">
        <v>21</v>
      </c>
      <c r="M531" t="s">
        <v>19177</v>
      </c>
      <c r="N531" t="s">
        <v>300</v>
      </c>
      <c r="O531" t="s">
        <v>16373</v>
      </c>
      <c r="P531" t="s">
        <v>12</v>
      </c>
    </row>
    <row r="532">
      <c r="A532">
        <f>HYPERLINK("http://bombeiros.sp.gov.br/hidrantes/03individual/3307.html","3307")</f>
      </c>
      <c r="B532" t="s">
        <v>114</v>
      </c>
      <c r="C532" t="s">
        <v>333</v>
      </c>
      <c r="D532" t="s">
        <v>333</v>
      </c>
      <c r="E532" t="s">
        <v>15</v>
      </c>
      <c r="F532" t="s">
        <v>6726</v>
      </c>
      <c r="G532" t="s">
        <v>18192</v>
      </c>
      <c r="H532" t="s">
        <v>1112</v>
      </c>
      <c r="I532" t="s">
        <v>1108</v>
      </c>
      <c r="J532" t="s">
        <v>6727</v>
      </c>
      <c r="K532" t="s">
        <v>6728</v>
      </c>
      <c r="L532" t="s">
        <v>21</v>
      </c>
      <c r="M532" t="s">
        <v>19177</v>
      </c>
      <c r="N532" t="s">
        <v>300</v>
      </c>
      <c r="O532" t="s">
        <v>16373</v>
      </c>
      <c r="P532" t="s">
        <v>12</v>
      </c>
    </row>
    <row r="533">
      <c r="A533">
        <f>HYPERLINK("http://bombeiros.sp.gov.br/hidrantes/03individual/1798.html","1798")</f>
      </c>
      <c r="B533" t="s">
        <v>114</v>
      </c>
      <c r="C533" t="s">
        <v>421</v>
      </c>
      <c r="D533" t="s">
        <v>6775</v>
      </c>
      <c r="E533" t="s">
        <v>64</v>
      </c>
      <c r="F533" t="s">
        <v>6776</v>
      </c>
      <c r="G533" t="s">
        <v>18085</v>
      </c>
      <c r="H533" t="s">
        <v>1112</v>
      </c>
      <c r="I533" t="s">
        <v>1108</v>
      </c>
      <c r="J533" t="s">
        <v>15966</v>
      </c>
      <c r="K533" t="s">
        <v>15967</v>
      </c>
      <c r="L533" t="s">
        <v>21</v>
      </c>
      <c r="M533" t="s">
        <v>19177</v>
      </c>
      <c r="N533" t="s">
        <v>309</v>
      </c>
      <c r="O533" t="s">
        <v>6029</v>
      </c>
      <c r="P533" t="s">
        <v>114</v>
      </c>
    </row>
    <row r="534">
      <c r="A534">
        <f>HYPERLINK("http://bombeiros.sp.gov.br/hidrantes/03individual/14893.html","14893")</f>
      </c>
      <c r="B534" t="s">
        <v>114</v>
      </c>
      <c r="C534" t="s">
        <v>421</v>
      </c>
      <c r="D534" t="s">
        <v>6775</v>
      </c>
      <c r="E534" t="s">
        <v>64</v>
      </c>
      <c r="F534" t="s">
        <v>6785</v>
      </c>
      <c r="G534" t="s">
        <v>18099</v>
      </c>
      <c r="H534" t="s">
        <v>1112</v>
      </c>
      <c r="I534" t="s">
        <v>1108</v>
      </c>
      <c r="J534" t="s">
        <v>6786</v>
      </c>
      <c r="K534" t="s">
        <v>6787</v>
      </c>
      <c r="L534" t="s">
        <v>21</v>
      </c>
      <c r="M534" t="s">
        <v>19177</v>
      </c>
      <c r="N534" t="s">
        <v>309</v>
      </c>
      <c r="O534" t="s">
        <v>6029</v>
      </c>
      <c r="P534" t="s">
        <v>114</v>
      </c>
    </row>
    <row r="535">
      <c r="A535">
        <f>HYPERLINK("http://bombeiros.sp.gov.br/hidrantes/03individual/3396.html","3396")</f>
      </c>
      <c r="B535" t="s">
        <v>114</v>
      </c>
      <c r="C535" t="s">
        <v>421</v>
      </c>
      <c r="D535" t="s">
        <v>6775</v>
      </c>
      <c r="E535" t="s">
        <v>15</v>
      </c>
      <c r="F535" t="s">
        <v>6794</v>
      </c>
      <c r="G535" t="s">
        <v>18099</v>
      </c>
      <c r="H535" t="s">
        <v>1107</v>
      </c>
      <c r="I535" t="s">
        <v>1108</v>
      </c>
      <c r="J535" t="s">
        <v>6795</v>
      </c>
      <c r="K535" t="s">
        <v>6796</v>
      </c>
      <c r="L535" t="s">
        <v>36</v>
      </c>
      <c r="M535" t="s">
        <v>19177</v>
      </c>
      <c r="N535" t="s">
        <v>6029</v>
      </c>
      <c r="O535" t="s">
        <v>6029</v>
      </c>
      <c r="P535" t="s">
        <v>114</v>
      </c>
    </row>
    <row r="536">
      <c r="A536">
        <f>HYPERLINK("http://bombeiros.sp.gov.br/hidrantes/03individual/26850.html","26850")</f>
      </c>
      <c r="B536" t="s">
        <v>114</v>
      </c>
      <c r="C536" t="s">
        <v>421</v>
      </c>
      <c r="D536" t="s">
        <v>6775</v>
      </c>
      <c r="E536" t="s">
        <v>15</v>
      </c>
      <c r="F536" t="s">
        <v>16192</v>
      </c>
      <c r="G536" t="s">
        <v>18099</v>
      </c>
      <c r="H536" t="s">
        <v>1107</v>
      </c>
      <c r="I536" t="s">
        <v>1108</v>
      </c>
      <c r="J536" t="s">
        <v>16193</v>
      </c>
      <c r="K536" t="s">
        <v>16194</v>
      </c>
      <c r="L536" t="s">
        <v>21</v>
      </c>
      <c r="M536" t="s">
        <v>19177</v>
      </c>
      <c r="N536" t="s">
        <v>6029</v>
      </c>
      <c r="O536" t="s">
        <v>6029</v>
      </c>
      <c r="P536" t="s">
        <v>114</v>
      </c>
    </row>
    <row r="537">
      <c r="A537">
        <f>HYPERLINK("http://bombeiros.sp.gov.br/hidrantes/03individual/1983.html","1983")</f>
      </c>
      <c r="B537" t="s">
        <v>114</v>
      </c>
      <c r="C537" t="s">
        <v>421</v>
      </c>
      <c r="D537" t="s">
        <v>422</v>
      </c>
      <c r="E537" t="s">
        <v>15</v>
      </c>
      <c r="F537" t="s">
        <v>6803</v>
      </c>
      <c r="G537" t="s">
        <v>18072</v>
      </c>
      <c r="H537" t="s">
        <v>1112</v>
      </c>
      <c r="I537" t="s">
        <v>1108</v>
      </c>
      <c r="J537" t="s">
        <v>6804</v>
      </c>
      <c r="K537" t="s">
        <v>6805</v>
      </c>
      <c r="L537" t="s">
        <v>21</v>
      </c>
      <c r="M537" t="s">
        <v>19177</v>
      </c>
      <c r="N537" t="s">
        <v>6029</v>
      </c>
      <c r="O537" t="s">
        <v>6029</v>
      </c>
      <c r="P537" t="s">
        <v>114</v>
      </c>
    </row>
    <row r="538">
      <c r="A538">
        <f>HYPERLINK("http://bombeiros.sp.gov.br/hidrantes/03individual/28183.html","28183")</f>
      </c>
      <c r="B538" t="s">
        <v>114</v>
      </c>
      <c r="C538" t="s">
        <v>421</v>
      </c>
      <c r="D538" t="s">
        <v>6824</v>
      </c>
      <c r="E538" t="s">
        <v>64</v>
      </c>
      <c r="F538" t="s">
        <v>18304</v>
      </c>
      <c r="G538" t="s">
        <v>18072</v>
      </c>
      <c r="H538" t="s">
        <v>1112</v>
      </c>
      <c r="I538" t="s">
        <v>1108</v>
      </c>
      <c r="J538" t="s">
        <v>18305</v>
      </c>
      <c r="K538" t="s">
        <v>18306</v>
      </c>
      <c r="L538" t="s">
        <v>21</v>
      </c>
      <c r="M538" t="s">
        <v>19177</v>
      </c>
      <c r="N538" t="s">
        <v>6029</v>
      </c>
      <c r="O538" t="s">
        <v>6029</v>
      </c>
      <c r="P538" t="s">
        <v>114</v>
      </c>
    </row>
    <row r="539">
      <c r="A539">
        <f>HYPERLINK("http://bombeiros.sp.gov.br/hidrantes/03individual/3346.html","3346")</f>
      </c>
      <c r="B539" t="s">
        <v>114</v>
      </c>
      <c r="C539" t="s">
        <v>421</v>
      </c>
      <c r="D539" t="s">
        <v>6063</v>
      </c>
      <c r="E539" t="s">
        <v>64</v>
      </c>
      <c r="F539" t="s">
        <v>6831</v>
      </c>
      <c r="G539" t="s">
        <v>18095</v>
      </c>
      <c r="H539" t="s">
        <v>1112</v>
      </c>
      <c r="I539" t="s">
        <v>1108</v>
      </c>
      <c r="J539" t="s">
        <v>6832</v>
      </c>
      <c r="K539" t="s">
        <v>6833</v>
      </c>
      <c r="L539" t="s">
        <v>21</v>
      </c>
      <c r="M539" t="s">
        <v>19177</v>
      </c>
      <c r="N539" t="s">
        <v>272</v>
      </c>
      <c r="O539" t="s">
        <v>272</v>
      </c>
      <c r="P539" t="s">
        <v>114</v>
      </c>
    </row>
    <row r="540">
      <c r="A540">
        <f>HYPERLINK("http://bombeiros.sp.gov.br/hidrantes/03individual/1035.html","1035")</f>
      </c>
      <c r="B540" t="s">
        <v>114</v>
      </c>
      <c r="C540" t="s">
        <v>435</v>
      </c>
      <c r="D540" t="s">
        <v>6846</v>
      </c>
      <c r="E540" t="s">
        <v>64</v>
      </c>
      <c r="F540" t="s">
        <v>6847</v>
      </c>
      <c r="G540" t="s">
        <v>18217</v>
      </c>
      <c r="H540" t="s">
        <v>1112</v>
      </c>
      <c r="I540" t="s">
        <v>1108</v>
      </c>
      <c r="J540" t="s">
        <v>6848</v>
      </c>
      <c r="K540" t="s">
        <v>6849</v>
      </c>
      <c r="L540" t="s">
        <v>21</v>
      </c>
      <c r="M540" t="s">
        <v>19177</v>
      </c>
      <c r="N540" t="s">
        <v>309</v>
      </c>
      <c r="O540" t="s">
        <v>6029</v>
      </c>
      <c r="P540" t="s">
        <v>114</v>
      </c>
    </row>
    <row r="541">
      <c r="A541">
        <f>HYPERLINK("http://bombeiros.sp.gov.br/hidrantes/03individual/1680.html","1680")</f>
      </c>
      <c r="B541" t="s">
        <v>114</v>
      </c>
      <c r="C541" t="s">
        <v>435</v>
      </c>
      <c r="D541" t="s">
        <v>6846</v>
      </c>
      <c r="E541" t="s">
        <v>64</v>
      </c>
      <c r="F541" t="s">
        <v>6850</v>
      </c>
      <c r="G541" t="s">
        <v>18076</v>
      </c>
      <c r="H541" t="s">
        <v>1112</v>
      </c>
      <c r="I541" t="s">
        <v>1108</v>
      </c>
      <c r="J541" t="s">
        <v>6851</v>
      </c>
      <c r="K541" t="s">
        <v>6852</v>
      </c>
      <c r="L541" t="s">
        <v>36</v>
      </c>
      <c r="M541" t="s">
        <v>19177</v>
      </c>
      <c r="N541" t="s">
        <v>16374</v>
      </c>
      <c r="O541" t="s">
        <v>272</v>
      </c>
      <c r="P541" t="s">
        <v>114</v>
      </c>
    </row>
    <row r="542">
      <c r="A542">
        <f>HYPERLINK("http://bombeiros.sp.gov.br/hidrantes/03individual/1668.html","1668")</f>
      </c>
      <c r="B542" t="s">
        <v>114</v>
      </c>
      <c r="C542" t="s">
        <v>435</v>
      </c>
      <c r="D542" t="s">
        <v>6846</v>
      </c>
      <c r="E542" t="s">
        <v>15</v>
      </c>
      <c r="F542" t="s">
        <v>6868</v>
      </c>
      <c r="G542" t="s">
        <v>18097</v>
      </c>
      <c r="H542" t="s">
        <v>1112</v>
      </c>
      <c r="I542" t="s">
        <v>1108</v>
      </c>
      <c r="J542" t="s">
        <v>6869</v>
      </c>
      <c r="K542" t="s">
        <v>6870</v>
      </c>
      <c r="L542" t="s">
        <v>21</v>
      </c>
      <c r="M542" t="s">
        <v>19177</v>
      </c>
      <c r="N542" t="s">
        <v>16374</v>
      </c>
      <c r="O542" t="s">
        <v>272</v>
      </c>
      <c r="P542" t="s">
        <v>114</v>
      </c>
    </row>
    <row r="543">
      <c r="A543">
        <f>HYPERLINK("http://bombeiros.sp.gov.br/hidrantes/03individual/3056.html","3056")</f>
      </c>
      <c r="B543" t="s">
        <v>114</v>
      </c>
      <c r="C543" t="s">
        <v>435</v>
      </c>
      <c r="D543" t="s">
        <v>6846</v>
      </c>
      <c r="E543" t="s">
        <v>15</v>
      </c>
      <c r="F543" t="s">
        <v>6901</v>
      </c>
      <c r="G543" t="s">
        <v>18050</v>
      </c>
      <c r="H543" t="s">
        <v>1107</v>
      </c>
      <c r="I543" t="s">
        <v>1108</v>
      </c>
      <c r="J543" t="s">
        <v>6902</v>
      </c>
      <c r="K543" t="s">
        <v>6903</v>
      </c>
      <c r="L543" t="s">
        <v>21</v>
      </c>
      <c r="M543" t="s">
        <v>19177</v>
      </c>
      <c r="N543" t="s">
        <v>16374</v>
      </c>
      <c r="O543" t="s">
        <v>272</v>
      </c>
      <c r="P543" t="s">
        <v>114</v>
      </c>
    </row>
    <row r="544">
      <c r="A544">
        <f>HYPERLINK("http://bombeiros.sp.gov.br/hidrantes/03individual/3237.html","3237")</f>
      </c>
      <c r="B544" t="s">
        <v>114</v>
      </c>
      <c r="C544" t="s">
        <v>435</v>
      </c>
      <c r="D544" t="s">
        <v>6846</v>
      </c>
      <c r="E544" t="s">
        <v>15</v>
      </c>
      <c r="F544" t="s">
        <v>6916</v>
      </c>
      <c r="G544" t="s">
        <v>18076</v>
      </c>
      <c r="H544" t="s">
        <v>1107</v>
      </c>
      <c r="I544" t="s">
        <v>1108</v>
      </c>
      <c r="J544" t="s">
        <v>6917</v>
      </c>
      <c r="K544" t="s">
        <v>6918</v>
      </c>
      <c r="L544" t="s">
        <v>21</v>
      </c>
      <c r="M544" t="s">
        <v>19177</v>
      </c>
      <c r="N544" t="s">
        <v>16374</v>
      </c>
      <c r="O544" t="s">
        <v>272</v>
      </c>
      <c r="P544" t="s">
        <v>114</v>
      </c>
    </row>
    <row r="545">
      <c r="A545">
        <f>HYPERLINK("http://bombeiros.sp.gov.br/hidrantes/03individual/1758.html","1758")</f>
      </c>
      <c r="B545" t="s">
        <v>114</v>
      </c>
      <c r="C545" t="s">
        <v>435</v>
      </c>
      <c r="D545" t="s">
        <v>16145</v>
      </c>
      <c r="E545" t="s">
        <v>15</v>
      </c>
      <c r="F545" t="s">
        <v>6958</v>
      </c>
      <c r="G545" t="s">
        <v>18094</v>
      </c>
      <c r="H545" t="s">
        <v>1112</v>
      </c>
      <c r="I545" t="s">
        <v>1108</v>
      </c>
      <c r="J545" t="s">
        <v>6959</v>
      </c>
      <c r="K545" t="s">
        <v>6960</v>
      </c>
      <c r="L545" t="s">
        <v>21</v>
      </c>
      <c r="M545" t="s">
        <v>19177</v>
      </c>
      <c r="N545" t="s">
        <v>309</v>
      </c>
      <c r="O545" t="s">
        <v>6029</v>
      </c>
      <c r="P545" t="s">
        <v>114</v>
      </c>
    </row>
    <row r="546">
      <c r="A546">
        <f>HYPERLINK("http://bombeiros.sp.gov.br/hidrantes/03individual/3179.html","3179")</f>
      </c>
      <c r="B546" t="s">
        <v>114</v>
      </c>
      <c r="C546" t="s">
        <v>435</v>
      </c>
      <c r="D546" t="s">
        <v>16145</v>
      </c>
      <c r="E546" t="s">
        <v>15</v>
      </c>
      <c r="F546" t="s">
        <v>6967</v>
      </c>
      <c r="G546" t="s">
        <v>18076</v>
      </c>
      <c r="H546" t="s">
        <v>1112</v>
      </c>
      <c r="I546" t="s">
        <v>1108</v>
      </c>
      <c r="J546" t="s">
        <v>6968</v>
      </c>
      <c r="K546" t="s">
        <v>6969</v>
      </c>
      <c r="L546" t="s">
        <v>36</v>
      </c>
      <c r="M546" t="s">
        <v>19177</v>
      </c>
      <c r="N546" t="s">
        <v>309</v>
      </c>
      <c r="O546" t="s">
        <v>6029</v>
      </c>
      <c r="P546" t="s">
        <v>114</v>
      </c>
    </row>
    <row r="547">
      <c r="A547">
        <f>HYPERLINK("http://bombeiros.sp.gov.br/hidrantes/03individual/3182.html","3182")</f>
      </c>
      <c r="B547" t="s">
        <v>114</v>
      </c>
      <c r="C547" t="s">
        <v>435</v>
      </c>
      <c r="D547" t="s">
        <v>16145</v>
      </c>
      <c r="E547" t="s">
        <v>15</v>
      </c>
      <c r="F547" t="s">
        <v>6973</v>
      </c>
      <c r="G547" t="s">
        <v>18076</v>
      </c>
      <c r="H547" t="s">
        <v>1107</v>
      </c>
      <c r="I547" t="s">
        <v>1108</v>
      </c>
      <c r="J547" t="s">
        <v>6974</v>
      </c>
      <c r="K547" t="s">
        <v>6975</v>
      </c>
      <c r="L547" t="s">
        <v>21</v>
      </c>
      <c r="M547" t="s">
        <v>19177</v>
      </c>
      <c r="N547" t="s">
        <v>309</v>
      </c>
      <c r="O547" t="s">
        <v>6029</v>
      </c>
      <c r="P547" t="s">
        <v>114</v>
      </c>
    </row>
    <row r="548">
      <c r="A548">
        <f>HYPERLINK("http://bombeiros.sp.gov.br/hidrantes/03individual/27045.html","27045")</f>
      </c>
      <c r="B548" t="s">
        <v>114</v>
      </c>
      <c r="C548" t="s">
        <v>435</v>
      </c>
      <c r="D548" t="s">
        <v>16145</v>
      </c>
      <c r="E548" t="s">
        <v>15</v>
      </c>
      <c r="F548" t="s">
        <v>16655</v>
      </c>
      <c r="G548" t="s">
        <v>18085</v>
      </c>
      <c r="H548" t="s">
        <v>1121</v>
      </c>
      <c r="I548" t="s">
        <v>1117</v>
      </c>
      <c r="J548" t="s">
        <v>16656</v>
      </c>
      <c r="K548" t="s">
        <v>16657</v>
      </c>
      <c r="L548" t="s">
        <v>21</v>
      </c>
      <c r="M548" t="s">
        <v>19177</v>
      </c>
      <c r="N548" t="s">
        <v>309</v>
      </c>
      <c r="O548" t="s">
        <v>6029</v>
      </c>
      <c r="P548" t="s">
        <v>114</v>
      </c>
    </row>
    <row r="549">
      <c r="A549">
        <f>HYPERLINK("http://bombeiros.sp.gov.br/hidrantes/03individual/1483.html","1483")</f>
      </c>
      <c r="B549" t="s">
        <v>114</v>
      </c>
      <c r="C549" t="s">
        <v>435</v>
      </c>
      <c r="D549" t="s">
        <v>435</v>
      </c>
      <c r="E549" t="s">
        <v>15</v>
      </c>
      <c r="F549" t="s">
        <v>7015</v>
      </c>
      <c r="G549" t="s">
        <v>18065</v>
      </c>
      <c r="H549" t="s">
        <v>1112</v>
      </c>
      <c r="I549" t="s">
        <v>1108</v>
      </c>
      <c r="J549" t="s">
        <v>7016</v>
      </c>
      <c r="K549" t="s">
        <v>7017</v>
      </c>
      <c r="L549" t="s">
        <v>21</v>
      </c>
      <c r="M549" t="s">
        <v>19177</v>
      </c>
      <c r="N549" t="s">
        <v>16374</v>
      </c>
      <c r="O549" t="s">
        <v>272</v>
      </c>
      <c r="P549" t="s">
        <v>114</v>
      </c>
    </row>
    <row r="550">
      <c r="A550">
        <f>HYPERLINK("http://bombeiros.sp.gov.br/hidrantes/03individual/1676.html","1676")</f>
      </c>
      <c r="B550" t="s">
        <v>114</v>
      </c>
      <c r="C550" t="s">
        <v>435</v>
      </c>
      <c r="D550" t="s">
        <v>435</v>
      </c>
      <c r="E550" t="s">
        <v>15</v>
      </c>
      <c r="F550" t="s">
        <v>7042</v>
      </c>
      <c r="G550" t="s">
        <v>18076</v>
      </c>
      <c r="H550" t="s">
        <v>1107</v>
      </c>
      <c r="I550" t="s">
        <v>1108</v>
      </c>
      <c r="J550" t="s">
        <v>7043</v>
      </c>
      <c r="K550" t="s">
        <v>7044</v>
      </c>
      <c r="L550" t="s">
        <v>21</v>
      </c>
      <c r="M550" t="s">
        <v>19177</v>
      </c>
      <c r="N550" t="s">
        <v>16374</v>
      </c>
      <c r="O550" t="s">
        <v>272</v>
      </c>
      <c r="P550" t="s">
        <v>114</v>
      </c>
    </row>
    <row r="551">
      <c r="A551">
        <f>HYPERLINK("http://bombeiros.sp.gov.br/hidrantes/03individual/3203.html","3203")</f>
      </c>
      <c r="B551" t="s">
        <v>114</v>
      </c>
      <c r="C551" t="s">
        <v>435</v>
      </c>
      <c r="D551" t="s">
        <v>435</v>
      </c>
      <c r="E551" t="s">
        <v>15</v>
      </c>
      <c r="F551" t="s">
        <v>7072</v>
      </c>
      <c r="G551" t="s">
        <v>18065</v>
      </c>
      <c r="H551" t="s">
        <v>1107</v>
      </c>
      <c r="I551" t="s">
        <v>1108</v>
      </c>
      <c r="J551" t="s">
        <v>7073</v>
      </c>
      <c r="K551" t="s">
        <v>7074</v>
      </c>
      <c r="L551" t="s">
        <v>21</v>
      </c>
      <c r="M551" t="s">
        <v>19177</v>
      </c>
      <c r="N551" t="s">
        <v>16374</v>
      </c>
      <c r="O551" t="s">
        <v>272</v>
      </c>
      <c r="P551" t="s">
        <v>114</v>
      </c>
    </row>
    <row r="552">
      <c r="A552">
        <f>HYPERLINK("http://bombeiros.sp.gov.br/hidrantes/03individual/1885.html","1885")</f>
      </c>
      <c r="B552" t="s">
        <v>114</v>
      </c>
      <c r="C552" t="s">
        <v>440</v>
      </c>
      <c r="D552" t="s">
        <v>115</v>
      </c>
      <c r="E552" t="s">
        <v>64</v>
      </c>
      <c r="F552" t="s">
        <v>7084</v>
      </c>
      <c r="G552" t="s">
        <v>18097</v>
      </c>
      <c r="H552" t="s">
        <v>1112</v>
      </c>
      <c r="I552" t="s">
        <v>1108</v>
      </c>
      <c r="J552" t="s">
        <v>7085</v>
      </c>
      <c r="K552" t="s">
        <v>7086</v>
      </c>
      <c r="L552" t="s">
        <v>36</v>
      </c>
      <c r="M552" t="s">
        <v>19177</v>
      </c>
      <c r="N552" t="s">
        <v>300</v>
      </c>
      <c r="O552" t="s">
        <v>16373</v>
      </c>
      <c r="P552" t="s">
        <v>12</v>
      </c>
    </row>
    <row r="553">
      <c r="A553">
        <f>HYPERLINK("http://bombeiros.sp.gov.br/hidrantes/03individual/34.html","34")</f>
      </c>
      <c r="B553" t="s">
        <v>114</v>
      </c>
      <c r="C553" t="s">
        <v>440</v>
      </c>
      <c r="D553" t="s">
        <v>441</v>
      </c>
      <c r="E553" t="s">
        <v>64</v>
      </c>
      <c r="F553" t="s">
        <v>7087</v>
      </c>
      <c r="G553" t="s">
        <v>18196</v>
      </c>
      <c r="H553" t="s">
        <v>1112</v>
      </c>
      <c r="I553" t="s">
        <v>1108</v>
      </c>
      <c r="J553" t="s">
        <v>7088</v>
      </c>
      <c r="K553" t="s">
        <v>7089</v>
      </c>
      <c r="L553" t="s">
        <v>36</v>
      </c>
      <c r="M553" t="s">
        <v>19177</v>
      </c>
      <c r="N553" t="s">
        <v>300</v>
      </c>
      <c r="O553" t="s">
        <v>16373</v>
      </c>
      <c r="P553" t="s">
        <v>12</v>
      </c>
    </row>
    <row r="554">
      <c r="A554">
        <f>HYPERLINK("http://bombeiros.sp.gov.br/hidrantes/03individual/865.html","865")</f>
      </c>
      <c r="B554" t="s">
        <v>114</v>
      </c>
      <c r="C554" t="s">
        <v>440</v>
      </c>
      <c r="D554" t="s">
        <v>441</v>
      </c>
      <c r="E554" t="s">
        <v>64</v>
      </c>
      <c r="F554" t="s">
        <v>7090</v>
      </c>
      <c r="G554" t="s">
        <v>18196</v>
      </c>
      <c r="H554" t="s">
        <v>1112</v>
      </c>
      <c r="I554" t="s">
        <v>1108</v>
      </c>
      <c r="J554" t="s">
        <v>7091</v>
      </c>
      <c r="K554" t="s">
        <v>7092</v>
      </c>
      <c r="L554" t="s">
        <v>21</v>
      </c>
      <c r="M554" t="s">
        <v>19177</v>
      </c>
      <c r="N554" t="s">
        <v>300</v>
      </c>
      <c r="O554" t="s">
        <v>16373</v>
      </c>
      <c r="P554" t="s">
        <v>12</v>
      </c>
    </row>
    <row r="555">
      <c r="A555">
        <f>HYPERLINK("http://bombeiros.sp.gov.br/hidrantes/03individual/106.html","106")</f>
      </c>
      <c r="B555" t="s">
        <v>114</v>
      </c>
      <c r="C555" t="s">
        <v>440</v>
      </c>
      <c r="D555" t="s">
        <v>441</v>
      </c>
      <c r="E555" t="s">
        <v>15</v>
      </c>
      <c r="F555" t="s">
        <v>7102</v>
      </c>
      <c r="G555" t="s">
        <v>18196</v>
      </c>
      <c r="H555" t="s">
        <v>1112</v>
      </c>
      <c r="I555" t="s">
        <v>1108</v>
      </c>
      <c r="J555" t="s">
        <v>7103</v>
      </c>
      <c r="K555" t="s">
        <v>7104</v>
      </c>
      <c r="L555" t="s">
        <v>21</v>
      </c>
      <c r="M555" t="s">
        <v>19177</v>
      </c>
      <c r="N555" t="s">
        <v>300</v>
      </c>
      <c r="O555" t="s">
        <v>16373</v>
      </c>
      <c r="P555" t="s">
        <v>12</v>
      </c>
    </row>
    <row r="556">
      <c r="A556">
        <f>HYPERLINK("http://bombeiros.sp.gov.br/hidrantes/03individual/239.html","239")</f>
      </c>
      <c r="B556" t="s">
        <v>114</v>
      </c>
      <c r="C556" t="s">
        <v>440</v>
      </c>
      <c r="D556" t="s">
        <v>441</v>
      </c>
      <c r="E556" t="s">
        <v>15</v>
      </c>
      <c r="F556" t="s">
        <v>7114</v>
      </c>
      <c r="G556" t="s">
        <v>18124</v>
      </c>
      <c r="H556" t="s">
        <v>1107</v>
      </c>
      <c r="I556" t="s">
        <v>1108</v>
      </c>
      <c r="J556" t="s">
        <v>7116</v>
      </c>
      <c r="K556" t="s">
        <v>7117</v>
      </c>
      <c r="L556" t="s">
        <v>21</v>
      </c>
      <c r="M556" t="s">
        <v>19177</v>
      </c>
      <c r="N556" t="s">
        <v>300</v>
      </c>
      <c r="O556" t="s">
        <v>16373</v>
      </c>
      <c r="P556" t="s">
        <v>12</v>
      </c>
    </row>
    <row r="557">
      <c r="A557">
        <f>HYPERLINK("http://bombeiros.sp.gov.br/hidrantes/03individual/240.html","240")</f>
      </c>
      <c r="B557" t="s">
        <v>114</v>
      </c>
      <c r="C557" t="s">
        <v>440</v>
      </c>
      <c r="D557" t="s">
        <v>441</v>
      </c>
      <c r="E557" t="s">
        <v>15</v>
      </c>
      <c r="F557" t="s">
        <v>7118</v>
      </c>
      <c r="G557" t="s">
        <v>18124</v>
      </c>
      <c r="H557" t="s">
        <v>1112</v>
      </c>
      <c r="I557" t="s">
        <v>1108</v>
      </c>
      <c r="J557" t="s">
        <v>7120</v>
      </c>
      <c r="K557" t="s">
        <v>7121</v>
      </c>
      <c r="L557" t="s">
        <v>21</v>
      </c>
      <c r="M557" t="s">
        <v>19177</v>
      </c>
      <c r="N557" t="s">
        <v>300</v>
      </c>
      <c r="O557" t="s">
        <v>16373</v>
      </c>
      <c r="P557" t="s">
        <v>12</v>
      </c>
    </row>
    <row r="558">
      <c r="A558">
        <f>HYPERLINK("http://bombeiros.sp.gov.br/hidrantes/03individual/243.html","243")</f>
      </c>
      <c r="B558" t="s">
        <v>114</v>
      </c>
      <c r="C558" t="s">
        <v>440</v>
      </c>
      <c r="D558" t="s">
        <v>441</v>
      </c>
      <c r="E558" t="s">
        <v>15</v>
      </c>
      <c r="F558" t="s">
        <v>7125</v>
      </c>
      <c r="G558" t="s">
        <v>18055</v>
      </c>
      <c r="H558" t="s">
        <v>1112</v>
      </c>
      <c r="I558" t="s">
        <v>1108</v>
      </c>
      <c r="J558" t="s">
        <v>7126</v>
      </c>
      <c r="K558" t="s">
        <v>7127</v>
      </c>
      <c r="L558" t="s">
        <v>21</v>
      </c>
      <c r="M558" t="s">
        <v>19177</v>
      </c>
      <c r="N558" t="s">
        <v>300</v>
      </c>
      <c r="O558" t="s">
        <v>16373</v>
      </c>
      <c r="P558" t="s">
        <v>12</v>
      </c>
    </row>
    <row r="559">
      <c r="A559">
        <f>HYPERLINK("http://bombeiros.sp.gov.br/hidrantes/03individual/2961.html","2961")</f>
      </c>
      <c r="B559" t="s">
        <v>114</v>
      </c>
      <c r="C559" t="s">
        <v>440</v>
      </c>
      <c r="D559" t="s">
        <v>441</v>
      </c>
      <c r="E559" t="s">
        <v>15</v>
      </c>
      <c r="F559" t="s">
        <v>7128</v>
      </c>
      <c r="G559" t="s">
        <v>18117</v>
      </c>
      <c r="H559" t="s">
        <v>1112</v>
      </c>
      <c r="I559" t="s">
        <v>1108</v>
      </c>
      <c r="J559" t="s">
        <v>7129</v>
      </c>
      <c r="K559" t="s">
        <v>7130</v>
      </c>
      <c r="L559" t="s">
        <v>21</v>
      </c>
      <c r="M559" t="s">
        <v>19177</v>
      </c>
      <c r="N559" t="s">
        <v>300</v>
      </c>
      <c r="O559" t="s">
        <v>16373</v>
      </c>
      <c r="P559" t="s">
        <v>12</v>
      </c>
    </row>
    <row r="560">
      <c r="A560">
        <f>HYPERLINK("http://bombeiros.sp.gov.br/hidrantes/03individual/3029.html","3029")</f>
      </c>
      <c r="B560" t="s">
        <v>114</v>
      </c>
      <c r="C560" t="s">
        <v>440</v>
      </c>
      <c r="D560" t="s">
        <v>441</v>
      </c>
      <c r="E560" t="s">
        <v>15</v>
      </c>
      <c r="F560" t="s">
        <v>7131</v>
      </c>
      <c r="G560" t="s">
        <v>18158</v>
      </c>
      <c r="H560" t="s">
        <v>1107</v>
      </c>
      <c r="I560" t="s">
        <v>1108</v>
      </c>
      <c r="J560" t="s">
        <v>7132</v>
      </c>
      <c r="K560" t="s">
        <v>7133</v>
      </c>
      <c r="L560" t="s">
        <v>21</v>
      </c>
      <c r="M560" t="s">
        <v>19177</v>
      </c>
      <c r="N560" t="s">
        <v>300</v>
      </c>
      <c r="O560" t="s">
        <v>16373</v>
      </c>
      <c r="P560" t="s">
        <v>12</v>
      </c>
    </row>
    <row r="561">
      <c r="A561">
        <f>HYPERLINK("http://bombeiros.sp.gov.br/hidrantes/03individual/3076.html","3076")</f>
      </c>
      <c r="B561" t="s">
        <v>114</v>
      </c>
      <c r="C561" t="s">
        <v>440</v>
      </c>
      <c r="D561" t="s">
        <v>441</v>
      </c>
      <c r="E561" t="s">
        <v>15</v>
      </c>
      <c r="F561" t="s">
        <v>7134</v>
      </c>
      <c r="G561" t="s">
        <v>18145</v>
      </c>
      <c r="H561" t="s">
        <v>1107</v>
      </c>
      <c r="I561" t="s">
        <v>1108</v>
      </c>
      <c r="J561" t="s">
        <v>7135</v>
      </c>
      <c r="K561" t="s">
        <v>7136</v>
      </c>
      <c r="L561" t="s">
        <v>21</v>
      </c>
      <c r="M561" t="s">
        <v>19177</v>
      </c>
      <c r="N561" t="s">
        <v>300</v>
      </c>
      <c r="O561" t="s">
        <v>16373</v>
      </c>
      <c r="P561" t="s">
        <v>12</v>
      </c>
    </row>
    <row r="562">
      <c r="A562">
        <f>HYPERLINK("http://bombeiros.sp.gov.br/hidrantes/03individual/3087.html","3087")</f>
      </c>
      <c r="B562" t="s">
        <v>114</v>
      </c>
      <c r="C562" t="s">
        <v>440</v>
      </c>
      <c r="D562" t="s">
        <v>441</v>
      </c>
      <c r="E562" t="s">
        <v>15</v>
      </c>
      <c r="F562" t="s">
        <v>7140</v>
      </c>
      <c r="G562" t="s">
        <v>18124</v>
      </c>
      <c r="H562" t="s">
        <v>1112</v>
      </c>
      <c r="I562" t="s">
        <v>1108</v>
      </c>
      <c r="J562" t="s">
        <v>7141</v>
      </c>
      <c r="K562" t="s">
        <v>7142</v>
      </c>
      <c r="L562" t="s">
        <v>21</v>
      </c>
      <c r="M562" t="s">
        <v>19177</v>
      </c>
      <c r="N562" t="s">
        <v>300</v>
      </c>
      <c r="O562" t="s">
        <v>16373</v>
      </c>
      <c r="P562" t="s">
        <v>12</v>
      </c>
    </row>
    <row r="563">
      <c r="A563">
        <f>HYPERLINK("http://bombeiros.sp.gov.br/hidrantes/03individual/3093.html","3093")</f>
      </c>
      <c r="B563" t="s">
        <v>114</v>
      </c>
      <c r="C563" t="s">
        <v>440</v>
      </c>
      <c r="D563" t="s">
        <v>441</v>
      </c>
      <c r="E563" t="s">
        <v>15</v>
      </c>
      <c r="F563" t="s">
        <v>7143</v>
      </c>
      <c r="G563" t="s">
        <v>18124</v>
      </c>
      <c r="H563" t="s">
        <v>1112</v>
      </c>
      <c r="I563" t="s">
        <v>1108</v>
      </c>
      <c r="J563" t="s">
        <v>7144</v>
      </c>
      <c r="K563" t="s">
        <v>7145</v>
      </c>
      <c r="L563" t="s">
        <v>21</v>
      </c>
      <c r="M563" t="s">
        <v>19177</v>
      </c>
      <c r="N563" t="s">
        <v>300</v>
      </c>
      <c r="O563" t="s">
        <v>16373</v>
      </c>
      <c r="P563" t="s">
        <v>12</v>
      </c>
    </row>
    <row r="564">
      <c r="A564">
        <f>HYPERLINK("http://bombeiros.sp.gov.br/hidrantes/03individual/3174.html","3174")</f>
      </c>
      <c r="B564" t="s">
        <v>114</v>
      </c>
      <c r="C564" t="s">
        <v>440</v>
      </c>
      <c r="D564" t="s">
        <v>441</v>
      </c>
      <c r="E564" t="s">
        <v>15</v>
      </c>
      <c r="F564" t="s">
        <v>7146</v>
      </c>
      <c r="G564" t="s">
        <v>18046</v>
      </c>
      <c r="H564" t="s">
        <v>1121</v>
      </c>
      <c r="I564" t="s">
        <v>1117</v>
      </c>
      <c r="J564" t="s">
        <v>7147</v>
      </c>
      <c r="K564" t="s">
        <v>7148</v>
      </c>
      <c r="L564" t="s">
        <v>21</v>
      </c>
      <c r="M564" t="s">
        <v>19177</v>
      </c>
      <c r="N564" t="s">
        <v>300</v>
      </c>
      <c r="O564" t="s">
        <v>16373</v>
      </c>
      <c r="P564" t="s">
        <v>12</v>
      </c>
    </row>
    <row r="565">
      <c r="A565">
        <f>HYPERLINK("http://bombeiros.sp.gov.br/hidrantes/03individual/17687.html","17687")</f>
      </c>
      <c r="B565" t="s">
        <v>114</v>
      </c>
      <c r="C565" t="s">
        <v>440</v>
      </c>
      <c r="D565" t="s">
        <v>441</v>
      </c>
      <c r="E565" t="s">
        <v>15</v>
      </c>
      <c r="F565" t="s">
        <v>7155</v>
      </c>
      <c r="G565" t="s">
        <v>18074</v>
      </c>
      <c r="H565" t="s">
        <v>1174</v>
      </c>
      <c r="I565" t="s">
        <v>1117</v>
      </c>
      <c r="J565" t="s">
        <v>7156</v>
      </c>
      <c r="K565" t="s">
        <v>7157</v>
      </c>
      <c r="L565" t="s">
        <v>21</v>
      </c>
      <c r="M565" t="s">
        <v>19177</v>
      </c>
      <c r="N565" t="s">
        <v>300</v>
      </c>
      <c r="O565" t="s">
        <v>16373</v>
      </c>
      <c r="P565" t="s">
        <v>12</v>
      </c>
    </row>
    <row r="566">
      <c r="A566">
        <f>HYPERLINK("http://bombeiros.sp.gov.br/hidrantes/03individual/3633.html","3633")</f>
      </c>
      <c r="B566" t="s">
        <v>114</v>
      </c>
      <c r="C566" t="s">
        <v>440</v>
      </c>
      <c r="D566" t="s">
        <v>323</v>
      </c>
      <c r="E566" t="s">
        <v>64</v>
      </c>
      <c r="F566" t="s">
        <v>7158</v>
      </c>
      <c r="G566" t="s">
        <v>18150</v>
      </c>
      <c r="H566" t="s">
        <v>1174</v>
      </c>
      <c r="I566" t="s">
        <v>1117</v>
      </c>
      <c r="J566" t="s">
        <v>7159</v>
      </c>
      <c r="K566" t="s">
        <v>7160</v>
      </c>
      <c r="L566" t="s">
        <v>21</v>
      </c>
      <c r="M566" t="s">
        <v>19177</v>
      </c>
      <c r="N566" t="s">
        <v>300</v>
      </c>
      <c r="O566" t="s">
        <v>16373</v>
      </c>
      <c r="P566" t="s">
        <v>12</v>
      </c>
    </row>
    <row r="567">
      <c r="A567">
        <f>HYPERLINK("http://bombeiros.sp.gov.br/hidrantes/03individual/869.html","869")</f>
      </c>
      <c r="B567" t="s">
        <v>114</v>
      </c>
      <c r="C567" t="s">
        <v>440</v>
      </c>
      <c r="D567" t="s">
        <v>7161</v>
      </c>
      <c r="E567" t="s">
        <v>64</v>
      </c>
      <c r="F567" t="s">
        <v>7169</v>
      </c>
      <c r="G567" t="s">
        <v>18117</v>
      </c>
      <c r="H567" t="s">
        <v>1112</v>
      </c>
      <c r="I567" t="s">
        <v>1108</v>
      </c>
      <c r="J567" t="s">
        <v>7170</v>
      </c>
      <c r="K567" t="s">
        <v>7171</v>
      </c>
      <c r="L567" t="s">
        <v>21</v>
      </c>
      <c r="M567" t="s">
        <v>19177</v>
      </c>
      <c r="N567" t="s">
        <v>300</v>
      </c>
      <c r="O567" t="s">
        <v>16373</v>
      </c>
      <c r="P567" t="s">
        <v>12</v>
      </c>
    </row>
    <row r="568">
      <c r="A568">
        <f>HYPERLINK("http://bombeiros.sp.gov.br/hidrantes/03individual/873.html","873")</f>
      </c>
      <c r="B568" t="s">
        <v>114</v>
      </c>
      <c r="C568" t="s">
        <v>440</v>
      </c>
      <c r="D568" t="s">
        <v>7161</v>
      </c>
      <c r="E568" t="s">
        <v>64</v>
      </c>
      <c r="F568" t="s">
        <v>7178</v>
      </c>
      <c r="G568" t="s">
        <v>18117</v>
      </c>
      <c r="H568" t="s">
        <v>1112</v>
      </c>
      <c r="I568" t="s">
        <v>1108</v>
      </c>
      <c r="J568" t="s">
        <v>7179</v>
      </c>
      <c r="K568" t="s">
        <v>7180</v>
      </c>
      <c r="L568" t="s">
        <v>21</v>
      </c>
      <c r="M568" t="s">
        <v>19177</v>
      </c>
      <c r="N568" t="s">
        <v>300</v>
      </c>
      <c r="O568" t="s">
        <v>16373</v>
      </c>
      <c r="P568" t="s">
        <v>12</v>
      </c>
    </row>
    <row r="569">
      <c r="A569">
        <f>HYPERLINK("http://bombeiros.sp.gov.br/hidrantes/03individual/875.html","875")</f>
      </c>
      <c r="B569" t="s">
        <v>114</v>
      </c>
      <c r="C569" t="s">
        <v>440</v>
      </c>
      <c r="D569" t="s">
        <v>7161</v>
      </c>
      <c r="E569" t="s">
        <v>64</v>
      </c>
      <c r="F569" t="s">
        <v>7181</v>
      </c>
      <c r="G569" t="s">
        <v>18147</v>
      </c>
      <c r="H569" t="s">
        <v>1107</v>
      </c>
      <c r="I569" t="s">
        <v>1108</v>
      </c>
      <c r="J569" t="s">
        <v>7182</v>
      </c>
      <c r="K569" t="s">
        <v>7183</v>
      </c>
      <c r="L569" t="s">
        <v>21</v>
      </c>
      <c r="M569" t="s">
        <v>19177</v>
      </c>
      <c r="N569" t="s">
        <v>300</v>
      </c>
      <c r="O569" t="s">
        <v>16373</v>
      </c>
      <c r="P569" t="s">
        <v>12</v>
      </c>
    </row>
    <row r="570">
      <c r="A570">
        <f>HYPERLINK("http://bombeiros.sp.gov.br/hidrantes/03individual/4290.html","4290")</f>
      </c>
      <c r="B570" t="s">
        <v>114</v>
      </c>
      <c r="C570" t="s">
        <v>440</v>
      </c>
      <c r="D570" t="s">
        <v>7161</v>
      </c>
      <c r="E570" t="s">
        <v>64</v>
      </c>
      <c r="F570" t="s">
        <v>7184</v>
      </c>
      <c r="G570" t="s">
        <v>18117</v>
      </c>
      <c r="H570" t="s">
        <v>1112</v>
      </c>
      <c r="I570" t="s">
        <v>1108</v>
      </c>
      <c r="J570" t="s">
        <v>7185</v>
      </c>
      <c r="K570" t="s">
        <v>7186</v>
      </c>
      <c r="L570" t="s">
        <v>36</v>
      </c>
      <c r="M570" t="s">
        <v>19177</v>
      </c>
      <c r="N570" t="s">
        <v>300</v>
      </c>
      <c r="O570" t="s">
        <v>16373</v>
      </c>
      <c r="P570" t="s">
        <v>12</v>
      </c>
    </row>
    <row r="571">
      <c r="A571">
        <f>HYPERLINK("http://bombeiros.sp.gov.br/hidrantes/03individual/4424.html","4424")</f>
      </c>
      <c r="B571" t="s">
        <v>114</v>
      </c>
      <c r="C571" t="s">
        <v>440</v>
      </c>
      <c r="D571" t="s">
        <v>449</v>
      </c>
      <c r="E571" t="s">
        <v>1507</v>
      </c>
      <c r="F571" t="s">
        <v>7187</v>
      </c>
      <c r="G571" t="s">
        <v>18187</v>
      </c>
      <c r="H571" t="s">
        <v>1112</v>
      </c>
      <c r="I571" t="s">
        <v>1108</v>
      </c>
      <c r="J571" t="s">
        <v>7188</v>
      </c>
      <c r="K571" t="s">
        <v>7189</v>
      </c>
      <c r="L571" t="s">
        <v>21</v>
      </c>
      <c r="M571" t="s">
        <v>19177</v>
      </c>
      <c r="N571" t="s">
        <v>300</v>
      </c>
      <c r="O571" t="s">
        <v>16373</v>
      </c>
      <c r="P571" t="s">
        <v>12</v>
      </c>
    </row>
    <row r="572">
      <c r="A572">
        <f>HYPERLINK("http://bombeiros.sp.gov.br/hidrantes/03individual/121.html","121")</f>
      </c>
      <c r="B572" t="s">
        <v>114</v>
      </c>
      <c r="C572" t="s">
        <v>440</v>
      </c>
      <c r="D572" t="s">
        <v>449</v>
      </c>
      <c r="E572" t="s">
        <v>64</v>
      </c>
      <c r="F572" t="s">
        <v>7190</v>
      </c>
      <c r="G572" t="s">
        <v>18093</v>
      </c>
      <c r="H572" t="s">
        <v>1112</v>
      </c>
      <c r="I572" t="s">
        <v>1108</v>
      </c>
      <c r="J572" t="s">
        <v>7192</v>
      </c>
      <c r="K572" t="s">
        <v>7193</v>
      </c>
      <c r="L572" t="s">
        <v>36</v>
      </c>
      <c r="M572" t="s">
        <v>19177</v>
      </c>
      <c r="N572" t="s">
        <v>300</v>
      </c>
      <c r="O572" t="s">
        <v>16373</v>
      </c>
      <c r="P572" t="s">
        <v>12</v>
      </c>
    </row>
    <row r="573">
      <c r="A573">
        <f>HYPERLINK("http://bombeiros.sp.gov.br/hidrantes/03individual/876.html","876")</f>
      </c>
      <c r="B573" t="s">
        <v>114</v>
      </c>
      <c r="C573" t="s">
        <v>440</v>
      </c>
      <c r="D573" t="s">
        <v>449</v>
      </c>
      <c r="E573" t="s">
        <v>64</v>
      </c>
      <c r="F573" t="s">
        <v>7194</v>
      </c>
      <c r="G573" t="s">
        <v>18056</v>
      </c>
      <c r="H573" t="s">
        <v>1112</v>
      </c>
      <c r="I573" t="s">
        <v>1108</v>
      </c>
      <c r="J573" t="s">
        <v>17415</v>
      </c>
      <c r="K573" t="s">
        <v>17416</v>
      </c>
      <c r="L573" t="s">
        <v>21</v>
      </c>
      <c r="M573" t="s">
        <v>19177</v>
      </c>
      <c r="N573" t="s">
        <v>300</v>
      </c>
      <c r="O573" t="s">
        <v>16373</v>
      </c>
      <c r="P573" t="s">
        <v>12</v>
      </c>
    </row>
    <row r="574">
      <c r="A574">
        <f>HYPERLINK("http://bombeiros.sp.gov.br/hidrantes/03individual/878.html","878")</f>
      </c>
      <c r="B574" t="s">
        <v>114</v>
      </c>
      <c r="C574" t="s">
        <v>440</v>
      </c>
      <c r="D574" t="s">
        <v>449</v>
      </c>
      <c r="E574" t="s">
        <v>64</v>
      </c>
      <c r="F574" t="s">
        <v>7197</v>
      </c>
      <c r="G574" t="s">
        <v>18056</v>
      </c>
      <c r="H574" t="s">
        <v>1112</v>
      </c>
      <c r="I574" t="s">
        <v>1108</v>
      </c>
      <c r="J574" t="s">
        <v>7198</v>
      </c>
      <c r="K574" t="s">
        <v>7199</v>
      </c>
      <c r="L574" t="s">
        <v>36</v>
      </c>
      <c r="M574" t="s">
        <v>19177</v>
      </c>
      <c r="N574" t="s">
        <v>300</v>
      </c>
      <c r="O574" t="s">
        <v>16373</v>
      </c>
      <c r="P574" t="s">
        <v>12</v>
      </c>
    </row>
    <row r="575">
      <c r="A575">
        <f>HYPERLINK("http://bombeiros.sp.gov.br/hidrantes/03individual/880.html","880")</f>
      </c>
      <c r="B575" t="s">
        <v>114</v>
      </c>
      <c r="C575" t="s">
        <v>440</v>
      </c>
      <c r="D575" t="s">
        <v>449</v>
      </c>
      <c r="E575" t="s">
        <v>64</v>
      </c>
      <c r="F575" t="s">
        <v>7200</v>
      </c>
      <c r="G575" t="s">
        <v>18056</v>
      </c>
      <c r="H575" t="s">
        <v>1112</v>
      </c>
      <c r="I575" t="s">
        <v>1108</v>
      </c>
      <c r="J575" t="s">
        <v>7201</v>
      </c>
      <c r="K575" t="s">
        <v>7202</v>
      </c>
      <c r="L575" t="s">
        <v>21</v>
      </c>
      <c r="M575" t="s">
        <v>19177</v>
      </c>
      <c r="N575" t="s">
        <v>300</v>
      </c>
      <c r="O575" t="s">
        <v>16373</v>
      </c>
      <c r="P575" t="s">
        <v>12</v>
      </c>
    </row>
    <row r="576">
      <c r="A576">
        <f>HYPERLINK("http://bombeiros.sp.gov.br/hidrantes/03individual/3623.html","3623")</f>
      </c>
      <c r="B576" t="s">
        <v>114</v>
      </c>
      <c r="C576" t="s">
        <v>440</v>
      </c>
      <c r="D576" t="s">
        <v>449</v>
      </c>
      <c r="E576" t="s">
        <v>64</v>
      </c>
      <c r="F576" t="s">
        <v>7206</v>
      </c>
      <c r="G576" t="s">
        <v>18084</v>
      </c>
      <c r="H576" t="s">
        <v>1112</v>
      </c>
      <c r="I576" t="s">
        <v>1108</v>
      </c>
      <c r="J576" t="s">
        <v>7207</v>
      </c>
      <c r="K576" t="s">
        <v>7208</v>
      </c>
      <c r="L576" t="s">
        <v>36</v>
      </c>
      <c r="M576" t="s">
        <v>19177</v>
      </c>
      <c r="N576" t="s">
        <v>300</v>
      </c>
      <c r="O576" t="s">
        <v>16373</v>
      </c>
      <c r="P576" t="s">
        <v>12</v>
      </c>
    </row>
    <row r="577">
      <c r="A577">
        <f>HYPERLINK("http://bombeiros.sp.gov.br/hidrantes/03individual/6.html","6")</f>
      </c>
      <c r="B577" t="s">
        <v>114</v>
      </c>
      <c r="C577" t="s">
        <v>440</v>
      </c>
      <c r="D577" t="s">
        <v>449</v>
      </c>
      <c r="E577" t="s">
        <v>15</v>
      </c>
      <c r="F577" t="s">
        <v>7209</v>
      </c>
      <c r="G577" t="s">
        <v>18130</v>
      </c>
      <c r="H577" t="s">
        <v>1112</v>
      </c>
      <c r="I577" t="s">
        <v>1108</v>
      </c>
      <c r="J577" t="s">
        <v>7210</v>
      </c>
      <c r="K577" t="s">
        <v>7211</v>
      </c>
      <c r="L577" t="s">
        <v>21</v>
      </c>
      <c r="M577" t="s">
        <v>19177</v>
      </c>
      <c r="N577" t="s">
        <v>300</v>
      </c>
      <c r="O577" t="s">
        <v>16373</v>
      </c>
      <c r="P577" t="s">
        <v>12</v>
      </c>
    </row>
    <row r="578">
      <c r="A578">
        <f>HYPERLINK("http://bombeiros.sp.gov.br/hidrantes/03individual/33.html","33")</f>
      </c>
      <c r="B578" t="s">
        <v>114</v>
      </c>
      <c r="C578" t="s">
        <v>440</v>
      </c>
      <c r="D578" t="s">
        <v>449</v>
      </c>
      <c r="E578" t="s">
        <v>15</v>
      </c>
      <c r="F578" t="s">
        <v>7212</v>
      </c>
      <c r="G578" t="s">
        <v>18056</v>
      </c>
      <c r="H578" t="s">
        <v>1112</v>
      </c>
      <c r="I578" t="s">
        <v>1108</v>
      </c>
      <c r="J578" t="s">
        <v>7213</v>
      </c>
      <c r="K578" t="s">
        <v>7214</v>
      </c>
      <c r="L578" t="s">
        <v>21</v>
      </c>
      <c r="M578" t="s">
        <v>19177</v>
      </c>
      <c r="N578" t="s">
        <v>300</v>
      </c>
      <c r="O578" t="s">
        <v>16373</v>
      </c>
      <c r="P578" t="s">
        <v>12</v>
      </c>
    </row>
    <row r="579">
      <c r="A579">
        <f>HYPERLINK("http://bombeiros.sp.gov.br/hidrantes/03individual/62.html","62")</f>
      </c>
      <c r="B579" t="s">
        <v>114</v>
      </c>
      <c r="C579" t="s">
        <v>440</v>
      </c>
      <c r="D579" t="s">
        <v>449</v>
      </c>
      <c r="E579" t="s">
        <v>15</v>
      </c>
      <c r="F579" t="s">
        <v>7215</v>
      </c>
      <c r="G579" t="s">
        <v>18105</v>
      </c>
      <c r="H579" t="s">
        <v>1112</v>
      </c>
      <c r="I579" t="s">
        <v>1108</v>
      </c>
      <c r="J579" t="s">
        <v>7216</v>
      </c>
      <c r="K579" t="s">
        <v>7217</v>
      </c>
      <c r="L579" t="s">
        <v>21</v>
      </c>
      <c r="M579" t="s">
        <v>19177</v>
      </c>
      <c r="N579" t="s">
        <v>300</v>
      </c>
      <c r="O579" t="s">
        <v>16373</v>
      </c>
      <c r="P579" t="s">
        <v>12</v>
      </c>
    </row>
    <row r="580">
      <c r="A580">
        <f>HYPERLINK("http://bombeiros.sp.gov.br/hidrantes/03individual/101.html","101")</f>
      </c>
      <c r="B580" t="s">
        <v>114</v>
      </c>
      <c r="C580" t="s">
        <v>440</v>
      </c>
      <c r="D580" t="s">
        <v>449</v>
      </c>
      <c r="E580" t="s">
        <v>15</v>
      </c>
      <c r="F580" t="s">
        <v>7221</v>
      </c>
      <c r="G580" t="s">
        <v>18145</v>
      </c>
      <c r="H580" t="s">
        <v>1112</v>
      </c>
      <c r="I580" t="s">
        <v>1108</v>
      </c>
      <c r="J580" t="s">
        <v>7222</v>
      </c>
      <c r="K580" t="s">
        <v>7223</v>
      </c>
      <c r="L580" t="s">
        <v>21</v>
      </c>
      <c r="M580" t="s">
        <v>19177</v>
      </c>
      <c r="N580" t="s">
        <v>300</v>
      </c>
      <c r="O580" t="s">
        <v>16373</v>
      </c>
      <c r="P580" t="s">
        <v>12</v>
      </c>
    </row>
    <row r="581">
      <c r="A581">
        <f>HYPERLINK("http://bombeiros.sp.gov.br/hidrantes/03individual/104.html","104")</f>
      </c>
      <c r="B581" t="s">
        <v>114</v>
      </c>
      <c r="C581" t="s">
        <v>440</v>
      </c>
      <c r="D581" t="s">
        <v>449</v>
      </c>
      <c r="E581" t="s">
        <v>15</v>
      </c>
      <c r="F581" t="s">
        <v>7230</v>
      </c>
      <c r="G581" t="s">
        <v>18060</v>
      </c>
      <c r="H581" t="s">
        <v>1121</v>
      </c>
      <c r="I581" t="s">
        <v>1117</v>
      </c>
      <c r="J581" t="s">
        <v>7231</v>
      </c>
      <c r="K581" t="s">
        <v>7232</v>
      </c>
      <c r="L581" t="s">
        <v>21</v>
      </c>
      <c r="M581" t="s">
        <v>19177</v>
      </c>
      <c r="N581" t="s">
        <v>300</v>
      </c>
      <c r="O581" t="s">
        <v>16373</v>
      </c>
      <c r="P581" t="s">
        <v>12</v>
      </c>
    </row>
    <row r="582">
      <c r="A582">
        <f>HYPERLINK("http://bombeiros.sp.gov.br/hidrantes/03individual/107.html","107")</f>
      </c>
      <c r="B582" t="s">
        <v>114</v>
      </c>
      <c r="C582" t="s">
        <v>440</v>
      </c>
      <c r="D582" t="s">
        <v>449</v>
      </c>
      <c r="E582" t="s">
        <v>15</v>
      </c>
      <c r="F582" t="s">
        <v>7236</v>
      </c>
      <c r="G582" t="s">
        <v>18052</v>
      </c>
      <c r="H582" t="s">
        <v>1112</v>
      </c>
      <c r="I582" t="s">
        <v>1108</v>
      </c>
      <c r="J582" t="s">
        <v>7237</v>
      </c>
      <c r="K582" t="s">
        <v>7238</v>
      </c>
      <c r="L582" t="s">
        <v>21</v>
      </c>
      <c r="M582" t="s">
        <v>19177</v>
      </c>
      <c r="N582" t="s">
        <v>300</v>
      </c>
      <c r="O582" t="s">
        <v>16373</v>
      </c>
      <c r="P582" t="s">
        <v>12</v>
      </c>
    </row>
    <row r="583">
      <c r="A583">
        <f>HYPERLINK("http://bombeiros.sp.gov.br/hidrantes/03individual/120.html","120")</f>
      </c>
      <c r="B583" t="s">
        <v>114</v>
      </c>
      <c r="C583" t="s">
        <v>440</v>
      </c>
      <c r="D583" t="s">
        <v>449</v>
      </c>
      <c r="E583" t="s">
        <v>15</v>
      </c>
      <c r="F583" t="s">
        <v>7239</v>
      </c>
      <c r="G583" t="s">
        <v>18107</v>
      </c>
      <c r="H583" t="s">
        <v>1121</v>
      </c>
      <c r="I583" t="s">
        <v>1117</v>
      </c>
      <c r="J583" t="s">
        <v>16240</v>
      </c>
      <c r="K583" t="s">
        <v>16241</v>
      </c>
      <c r="L583" t="s">
        <v>21</v>
      </c>
      <c r="M583" t="s">
        <v>19177</v>
      </c>
      <c r="N583" t="s">
        <v>300</v>
      </c>
      <c r="O583" t="s">
        <v>16373</v>
      </c>
      <c r="P583" t="s">
        <v>12</v>
      </c>
    </row>
    <row r="584">
      <c r="A584">
        <f>HYPERLINK("http://bombeiros.sp.gov.br/hidrantes/03individual/165.html","165")</f>
      </c>
      <c r="B584" t="s">
        <v>114</v>
      </c>
      <c r="C584" t="s">
        <v>440</v>
      </c>
      <c r="D584" t="s">
        <v>449</v>
      </c>
      <c r="E584" t="s">
        <v>15</v>
      </c>
      <c r="F584" t="s">
        <v>7242</v>
      </c>
      <c r="G584" t="s">
        <v>18060</v>
      </c>
      <c r="H584" t="s">
        <v>1121</v>
      </c>
      <c r="I584" t="s">
        <v>1117</v>
      </c>
      <c r="J584" t="s">
        <v>7243</v>
      </c>
      <c r="K584" t="s">
        <v>7244</v>
      </c>
      <c r="L584" t="s">
        <v>21</v>
      </c>
      <c r="M584" t="s">
        <v>19177</v>
      </c>
      <c r="N584" t="s">
        <v>300</v>
      </c>
      <c r="O584" t="s">
        <v>16373</v>
      </c>
      <c r="P584" t="s">
        <v>12</v>
      </c>
    </row>
    <row r="585">
      <c r="A585">
        <f>HYPERLINK("http://bombeiros.sp.gov.br/hidrantes/03individual/167.html","167")</f>
      </c>
      <c r="B585" t="s">
        <v>114</v>
      </c>
      <c r="C585" t="s">
        <v>440</v>
      </c>
      <c r="D585" t="s">
        <v>449</v>
      </c>
      <c r="E585" t="s">
        <v>15</v>
      </c>
      <c r="F585" t="s">
        <v>7245</v>
      </c>
      <c r="G585" t="s">
        <v>18187</v>
      </c>
      <c r="H585" t="s">
        <v>1112</v>
      </c>
      <c r="I585" t="s">
        <v>1108</v>
      </c>
      <c r="J585" t="s">
        <v>7246</v>
      </c>
      <c r="K585" t="s">
        <v>7247</v>
      </c>
      <c r="L585" t="s">
        <v>21</v>
      </c>
      <c r="M585" t="s">
        <v>19177</v>
      </c>
      <c r="N585" t="s">
        <v>300</v>
      </c>
      <c r="O585" t="s">
        <v>16373</v>
      </c>
      <c r="P585" t="s">
        <v>12</v>
      </c>
    </row>
    <row r="586">
      <c r="A586">
        <f>HYPERLINK("http://bombeiros.sp.gov.br/hidrantes/03individual/171.html","171")</f>
      </c>
      <c r="B586" t="s">
        <v>114</v>
      </c>
      <c r="C586" t="s">
        <v>440</v>
      </c>
      <c r="D586" t="s">
        <v>449</v>
      </c>
      <c r="E586" t="s">
        <v>15</v>
      </c>
      <c r="F586" t="s">
        <v>7254</v>
      </c>
      <c r="G586" t="s">
        <v>18143</v>
      </c>
      <c r="H586" t="s">
        <v>1112</v>
      </c>
      <c r="I586" t="s">
        <v>1108</v>
      </c>
      <c r="J586" t="s">
        <v>16554</v>
      </c>
      <c r="K586" t="s">
        <v>16555</v>
      </c>
      <c r="L586" t="s">
        <v>21</v>
      </c>
      <c r="M586" t="s">
        <v>19177</v>
      </c>
      <c r="N586" t="s">
        <v>300</v>
      </c>
      <c r="O586" t="s">
        <v>16373</v>
      </c>
      <c r="P586" t="s">
        <v>12</v>
      </c>
    </row>
    <row r="587">
      <c r="A587">
        <f>HYPERLINK("http://bombeiros.sp.gov.br/hidrantes/03individual/198.html","198")</f>
      </c>
      <c r="B587" t="s">
        <v>114</v>
      </c>
      <c r="C587" t="s">
        <v>440</v>
      </c>
      <c r="D587" t="s">
        <v>449</v>
      </c>
      <c r="E587" t="s">
        <v>15</v>
      </c>
      <c r="F587" t="s">
        <v>7263</v>
      </c>
      <c r="G587" t="s">
        <v>18130</v>
      </c>
      <c r="H587" t="s">
        <v>1112</v>
      </c>
      <c r="I587" t="s">
        <v>1108</v>
      </c>
      <c r="J587" t="s">
        <v>7264</v>
      </c>
      <c r="K587" t="s">
        <v>7265</v>
      </c>
      <c r="L587" t="s">
        <v>21</v>
      </c>
      <c r="M587" t="s">
        <v>19177</v>
      </c>
      <c r="N587" t="s">
        <v>300</v>
      </c>
      <c r="O587" t="s">
        <v>16373</v>
      </c>
      <c r="P587" t="s">
        <v>12</v>
      </c>
    </row>
    <row r="588">
      <c r="A588">
        <f>HYPERLINK("http://bombeiros.sp.gov.br/hidrantes/03individual/237.html","237")</f>
      </c>
      <c r="B588" t="s">
        <v>114</v>
      </c>
      <c r="C588" t="s">
        <v>440</v>
      </c>
      <c r="D588" t="s">
        <v>449</v>
      </c>
      <c r="E588" t="s">
        <v>15</v>
      </c>
      <c r="F588" t="s">
        <v>7269</v>
      </c>
      <c r="G588" t="s">
        <v>18084</v>
      </c>
      <c r="H588" t="s">
        <v>1112</v>
      </c>
      <c r="I588" t="s">
        <v>1108</v>
      </c>
      <c r="J588" t="s">
        <v>7270</v>
      </c>
      <c r="K588" t="s">
        <v>7271</v>
      </c>
      <c r="L588" t="s">
        <v>21</v>
      </c>
      <c r="M588" t="s">
        <v>19177</v>
      </c>
      <c r="N588" t="s">
        <v>300</v>
      </c>
      <c r="O588" t="s">
        <v>16373</v>
      </c>
      <c r="P588" t="s">
        <v>12</v>
      </c>
    </row>
    <row r="589">
      <c r="A589">
        <f>HYPERLINK("http://bombeiros.sp.gov.br/hidrantes/03individual/242.html","242")</f>
      </c>
      <c r="B589" t="s">
        <v>114</v>
      </c>
      <c r="C589" t="s">
        <v>440</v>
      </c>
      <c r="D589" t="s">
        <v>449</v>
      </c>
      <c r="E589" t="s">
        <v>15</v>
      </c>
      <c r="F589" t="s">
        <v>7275</v>
      </c>
      <c r="G589" t="s">
        <v>18106</v>
      </c>
      <c r="H589" t="s">
        <v>1121</v>
      </c>
      <c r="I589" t="s">
        <v>1117</v>
      </c>
      <c r="J589" t="s">
        <v>7276</v>
      </c>
      <c r="K589" t="s">
        <v>7277</v>
      </c>
      <c r="L589" t="s">
        <v>21</v>
      </c>
      <c r="M589" t="s">
        <v>19177</v>
      </c>
      <c r="N589" t="s">
        <v>300</v>
      </c>
      <c r="O589" t="s">
        <v>16373</v>
      </c>
      <c r="P589" t="s">
        <v>12</v>
      </c>
    </row>
    <row r="590">
      <c r="A590">
        <f>HYPERLINK("http://bombeiros.sp.gov.br/hidrantes/03individual/282.html","282")</f>
      </c>
      <c r="B590" t="s">
        <v>114</v>
      </c>
      <c r="C590" t="s">
        <v>440</v>
      </c>
      <c r="D590" t="s">
        <v>449</v>
      </c>
      <c r="E590" t="s">
        <v>15</v>
      </c>
      <c r="F590" t="s">
        <v>7284</v>
      </c>
      <c r="G590" t="s">
        <v>18119</v>
      </c>
      <c r="H590" t="s">
        <v>1112</v>
      </c>
      <c r="I590" t="s">
        <v>1108</v>
      </c>
      <c r="J590" t="s">
        <v>7285</v>
      </c>
      <c r="K590" t="s">
        <v>7286</v>
      </c>
      <c r="L590" t="s">
        <v>21</v>
      </c>
      <c r="M590" t="s">
        <v>19177</v>
      </c>
      <c r="N590" t="s">
        <v>300</v>
      </c>
      <c r="O590" t="s">
        <v>16373</v>
      </c>
      <c r="P590" t="s">
        <v>12</v>
      </c>
    </row>
    <row r="591">
      <c r="A591">
        <f>HYPERLINK("http://bombeiros.sp.gov.br/hidrantes/03individual/283.html","283")</f>
      </c>
      <c r="B591" t="s">
        <v>114</v>
      </c>
      <c r="C591" t="s">
        <v>440</v>
      </c>
      <c r="D591" t="s">
        <v>449</v>
      </c>
      <c r="E591" t="s">
        <v>15</v>
      </c>
      <c r="F591" t="s">
        <v>7287</v>
      </c>
      <c r="G591" t="s">
        <v>18119</v>
      </c>
      <c r="H591" t="s">
        <v>1112</v>
      </c>
      <c r="I591" t="s">
        <v>1108</v>
      </c>
      <c r="J591" t="s">
        <v>7288</v>
      </c>
      <c r="K591" t="s">
        <v>7289</v>
      </c>
      <c r="L591" t="s">
        <v>21</v>
      </c>
      <c r="M591" t="s">
        <v>19177</v>
      </c>
      <c r="N591" t="s">
        <v>300</v>
      </c>
      <c r="O591" t="s">
        <v>16373</v>
      </c>
      <c r="P591" t="s">
        <v>12</v>
      </c>
    </row>
    <row r="592">
      <c r="A592">
        <f>HYPERLINK("http://bombeiros.sp.gov.br/hidrantes/03individual/284.html","284")</f>
      </c>
      <c r="B592" t="s">
        <v>114</v>
      </c>
      <c r="C592" t="s">
        <v>440</v>
      </c>
      <c r="D592" t="s">
        <v>449</v>
      </c>
      <c r="E592" t="s">
        <v>15</v>
      </c>
      <c r="F592" t="s">
        <v>7290</v>
      </c>
      <c r="G592" t="s">
        <v>18084</v>
      </c>
      <c r="H592" t="s">
        <v>1112</v>
      </c>
      <c r="I592" t="s">
        <v>1108</v>
      </c>
      <c r="J592" t="s">
        <v>7291</v>
      </c>
      <c r="K592" t="s">
        <v>7292</v>
      </c>
      <c r="L592" t="s">
        <v>21</v>
      </c>
      <c r="M592" t="s">
        <v>19177</v>
      </c>
      <c r="N592" t="s">
        <v>300</v>
      </c>
      <c r="O592" t="s">
        <v>16373</v>
      </c>
      <c r="P592" t="s">
        <v>12</v>
      </c>
    </row>
    <row r="593">
      <c r="A593">
        <f>HYPERLINK("http://bombeiros.sp.gov.br/hidrantes/03individual/3068.html","3068")</f>
      </c>
      <c r="B593" t="s">
        <v>114</v>
      </c>
      <c r="C593" t="s">
        <v>440</v>
      </c>
      <c r="D593" t="s">
        <v>449</v>
      </c>
      <c r="E593" t="s">
        <v>15</v>
      </c>
      <c r="F593" t="s">
        <v>7299</v>
      </c>
      <c r="G593" t="s">
        <v>18052</v>
      </c>
      <c r="H593" t="s">
        <v>1112</v>
      </c>
      <c r="I593" t="s">
        <v>1108</v>
      </c>
      <c r="J593" t="s">
        <v>7300</v>
      </c>
      <c r="K593" t="s">
        <v>7301</v>
      </c>
      <c r="L593" t="s">
        <v>21</v>
      </c>
      <c r="M593" t="s">
        <v>19177</v>
      </c>
      <c r="N593" t="s">
        <v>300</v>
      </c>
      <c r="O593" t="s">
        <v>16373</v>
      </c>
      <c r="P593" t="s">
        <v>12</v>
      </c>
    </row>
    <row r="594">
      <c r="A594">
        <f>HYPERLINK("http://bombeiros.sp.gov.br/hidrantes/03individual/3072.html","3072")</f>
      </c>
      <c r="B594" t="s">
        <v>114</v>
      </c>
      <c r="C594" t="s">
        <v>440</v>
      </c>
      <c r="D594" t="s">
        <v>449</v>
      </c>
      <c r="E594" t="s">
        <v>15</v>
      </c>
      <c r="F594" t="s">
        <v>7302</v>
      </c>
      <c r="G594" t="s">
        <v>18145</v>
      </c>
      <c r="H594" t="s">
        <v>1112</v>
      </c>
      <c r="I594" t="s">
        <v>1108</v>
      </c>
      <c r="J594" t="s">
        <v>7303</v>
      </c>
      <c r="K594" t="s">
        <v>7304</v>
      </c>
      <c r="L594" t="s">
        <v>21</v>
      </c>
      <c r="M594" t="s">
        <v>19177</v>
      </c>
      <c r="N594" t="s">
        <v>300</v>
      </c>
      <c r="O594" t="s">
        <v>16373</v>
      </c>
      <c r="P594" t="s">
        <v>12</v>
      </c>
    </row>
    <row r="595">
      <c r="A595">
        <f>HYPERLINK("http://bombeiros.sp.gov.br/hidrantes/03individual/3078.html","3078")</f>
      </c>
      <c r="B595" t="s">
        <v>114</v>
      </c>
      <c r="C595" t="s">
        <v>440</v>
      </c>
      <c r="D595" t="s">
        <v>449</v>
      </c>
      <c r="E595" t="s">
        <v>15</v>
      </c>
      <c r="F595" t="s">
        <v>7305</v>
      </c>
      <c r="G595" t="s">
        <v>18170</v>
      </c>
      <c r="H595" t="s">
        <v>1107</v>
      </c>
      <c r="I595" t="s">
        <v>1117</v>
      </c>
      <c r="J595" t="s">
        <v>15908</v>
      </c>
      <c r="K595" t="s">
        <v>15909</v>
      </c>
      <c r="L595" t="s">
        <v>21</v>
      </c>
      <c r="M595" t="s">
        <v>19177</v>
      </c>
      <c r="N595" t="s">
        <v>300</v>
      </c>
      <c r="O595" t="s">
        <v>16373</v>
      </c>
      <c r="P595" t="s">
        <v>12</v>
      </c>
    </row>
    <row r="596">
      <c r="A596">
        <f>HYPERLINK("http://bombeiros.sp.gov.br/hidrantes/03individual/3079.html","3079")</f>
      </c>
      <c r="B596" t="s">
        <v>114</v>
      </c>
      <c r="C596" t="s">
        <v>440</v>
      </c>
      <c r="D596" t="s">
        <v>449</v>
      </c>
      <c r="E596" t="s">
        <v>15</v>
      </c>
      <c r="F596" t="s">
        <v>7308</v>
      </c>
      <c r="G596" t="s">
        <v>18196</v>
      </c>
      <c r="H596" t="s">
        <v>1112</v>
      </c>
      <c r="I596" t="s">
        <v>1108</v>
      </c>
      <c r="J596" t="s">
        <v>7309</v>
      </c>
      <c r="K596" t="s">
        <v>7310</v>
      </c>
      <c r="L596" t="s">
        <v>21</v>
      </c>
      <c r="M596" t="s">
        <v>19177</v>
      </c>
      <c r="N596" t="s">
        <v>300</v>
      </c>
      <c r="O596" t="s">
        <v>16373</v>
      </c>
      <c r="P596" t="s">
        <v>12</v>
      </c>
    </row>
    <row r="597">
      <c r="A597">
        <f>HYPERLINK("http://bombeiros.sp.gov.br/hidrantes/03individual/3082.html","3082")</f>
      </c>
      <c r="B597" t="s">
        <v>114</v>
      </c>
      <c r="C597" t="s">
        <v>440</v>
      </c>
      <c r="D597" t="s">
        <v>449</v>
      </c>
      <c r="E597" t="s">
        <v>15</v>
      </c>
      <c r="F597" t="s">
        <v>7311</v>
      </c>
      <c r="G597" t="s">
        <v>18196</v>
      </c>
      <c r="H597" t="s">
        <v>1112</v>
      </c>
      <c r="I597" t="s">
        <v>1108</v>
      </c>
      <c r="J597" t="s">
        <v>17653</v>
      </c>
      <c r="K597" t="s">
        <v>17654</v>
      </c>
      <c r="L597" t="s">
        <v>21</v>
      </c>
      <c r="M597" t="s">
        <v>19177</v>
      </c>
      <c r="N597" t="s">
        <v>300</v>
      </c>
      <c r="O597" t="s">
        <v>16373</v>
      </c>
      <c r="P597" t="s">
        <v>12</v>
      </c>
    </row>
    <row r="598">
      <c r="A598">
        <f>HYPERLINK("http://bombeiros.sp.gov.br/hidrantes/03individual/3086.html","3086")</f>
      </c>
      <c r="B598" t="s">
        <v>114</v>
      </c>
      <c r="C598" t="s">
        <v>440</v>
      </c>
      <c r="D598" t="s">
        <v>449</v>
      </c>
      <c r="E598" t="s">
        <v>15</v>
      </c>
      <c r="F598" t="s">
        <v>7314</v>
      </c>
      <c r="G598" t="s">
        <v>18180</v>
      </c>
      <c r="H598" t="s">
        <v>1112</v>
      </c>
      <c r="I598" t="s">
        <v>1108</v>
      </c>
      <c r="J598" t="s">
        <v>7316</v>
      </c>
      <c r="K598" t="s">
        <v>7317</v>
      </c>
      <c r="L598" t="s">
        <v>21</v>
      </c>
      <c r="M598" t="s">
        <v>19177</v>
      </c>
      <c r="N598" t="s">
        <v>300</v>
      </c>
      <c r="O598" t="s">
        <v>16373</v>
      </c>
      <c r="P598" t="s">
        <v>12</v>
      </c>
    </row>
    <row r="599">
      <c r="A599">
        <f>HYPERLINK("http://bombeiros.sp.gov.br/hidrantes/03individual/3088.html","3088")</f>
      </c>
      <c r="B599" t="s">
        <v>114</v>
      </c>
      <c r="C599" t="s">
        <v>440</v>
      </c>
      <c r="D599" t="s">
        <v>449</v>
      </c>
      <c r="E599" t="s">
        <v>15</v>
      </c>
      <c r="F599" t="s">
        <v>7318</v>
      </c>
      <c r="G599" t="s">
        <v>18145</v>
      </c>
      <c r="H599" t="s">
        <v>1112</v>
      </c>
      <c r="I599" t="s">
        <v>1108</v>
      </c>
      <c r="J599" t="s">
        <v>7319</v>
      </c>
      <c r="K599" t="s">
        <v>7320</v>
      </c>
      <c r="L599" t="s">
        <v>21</v>
      </c>
      <c r="M599" t="s">
        <v>19177</v>
      </c>
      <c r="N599" t="s">
        <v>300</v>
      </c>
      <c r="O599" t="s">
        <v>16373</v>
      </c>
      <c r="P599" t="s">
        <v>12</v>
      </c>
    </row>
    <row r="600">
      <c r="A600">
        <f>HYPERLINK("http://bombeiros.sp.gov.br/hidrantes/03individual/3089.html","3089")</f>
      </c>
      <c r="B600" t="s">
        <v>114</v>
      </c>
      <c r="C600" t="s">
        <v>440</v>
      </c>
      <c r="D600" t="s">
        <v>449</v>
      </c>
      <c r="E600" t="s">
        <v>15</v>
      </c>
      <c r="F600" t="s">
        <v>7321</v>
      </c>
      <c r="G600" t="s">
        <v>18180</v>
      </c>
      <c r="H600" t="s">
        <v>1112</v>
      </c>
      <c r="I600" t="s">
        <v>1108</v>
      </c>
      <c r="J600" t="s">
        <v>7322</v>
      </c>
      <c r="K600" t="s">
        <v>7323</v>
      </c>
      <c r="L600" t="s">
        <v>21</v>
      </c>
      <c r="M600" t="s">
        <v>19177</v>
      </c>
      <c r="N600" t="s">
        <v>300</v>
      </c>
      <c r="O600" t="s">
        <v>16373</v>
      </c>
      <c r="P600" t="s">
        <v>12</v>
      </c>
    </row>
    <row r="601">
      <c r="A601">
        <f>HYPERLINK("http://bombeiros.sp.gov.br/hidrantes/03individual/3092.html","3092")</f>
      </c>
      <c r="B601" t="s">
        <v>114</v>
      </c>
      <c r="C601" t="s">
        <v>440</v>
      </c>
      <c r="D601" t="s">
        <v>449</v>
      </c>
      <c r="E601" t="s">
        <v>15</v>
      </c>
      <c r="F601" t="s">
        <v>7327</v>
      </c>
      <c r="G601" t="s">
        <v>18130</v>
      </c>
      <c r="H601" t="s">
        <v>1112</v>
      </c>
      <c r="I601" t="s">
        <v>1108</v>
      </c>
      <c r="J601" t="s">
        <v>7329</v>
      </c>
      <c r="K601" t="s">
        <v>7330</v>
      </c>
      <c r="L601" t="s">
        <v>21</v>
      </c>
      <c r="M601" t="s">
        <v>19177</v>
      </c>
      <c r="N601" t="s">
        <v>300</v>
      </c>
      <c r="O601" t="s">
        <v>16373</v>
      </c>
      <c r="P601" t="s">
        <v>12</v>
      </c>
    </row>
    <row r="602">
      <c r="A602">
        <f>HYPERLINK("http://bombeiros.sp.gov.br/hidrantes/03individual/3097.html","3097")</f>
      </c>
      <c r="B602" t="s">
        <v>114</v>
      </c>
      <c r="C602" t="s">
        <v>440</v>
      </c>
      <c r="D602" t="s">
        <v>449</v>
      </c>
      <c r="E602" t="s">
        <v>15</v>
      </c>
      <c r="F602" t="s">
        <v>7331</v>
      </c>
      <c r="G602" t="s">
        <v>18130</v>
      </c>
      <c r="H602" t="s">
        <v>1112</v>
      </c>
      <c r="I602" t="s">
        <v>1108</v>
      </c>
      <c r="J602" t="s">
        <v>7332</v>
      </c>
      <c r="K602" t="s">
        <v>7333</v>
      </c>
      <c r="L602" t="s">
        <v>21</v>
      </c>
      <c r="M602" t="s">
        <v>19177</v>
      </c>
      <c r="N602" t="s">
        <v>300</v>
      </c>
      <c r="O602" t="s">
        <v>16373</v>
      </c>
      <c r="P602" t="s">
        <v>12</v>
      </c>
    </row>
    <row r="603">
      <c r="A603">
        <f>HYPERLINK("http://bombeiros.sp.gov.br/hidrantes/03individual/3597.html","3597")</f>
      </c>
      <c r="B603" t="s">
        <v>114</v>
      </c>
      <c r="C603" t="s">
        <v>440</v>
      </c>
      <c r="D603" t="s">
        <v>449</v>
      </c>
      <c r="E603" t="s">
        <v>15</v>
      </c>
      <c r="F603" t="s">
        <v>7334</v>
      </c>
      <c r="G603" t="s">
        <v>18143</v>
      </c>
      <c r="H603" t="s">
        <v>1112</v>
      </c>
      <c r="I603" t="s">
        <v>1108</v>
      </c>
      <c r="J603" t="s">
        <v>7335</v>
      </c>
      <c r="K603" t="s">
        <v>7336</v>
      </c>
      <c r="L603" t="s">
        <v>36</v>
      </c>
      <c r="M603" t="s">
        <v>19177</v>
      </c>
      <c r="N603" t="s">
        <v>300</v>
      </c>
      <c r="O603" t="s">
        <v>16373</v>
      </c>
      <c r="P603" t="s">
        <v>12</v>
      </c>
    </row>
    <row r="604">
      <c r="A604">
        <f>HYPERLINK("http://bombeiros.sp.gov.br/hidrantes/03individual/4173.html","4173")</f>
      </c>
      <c r="B604" t="s">
        <v>114</v>
      </c>
      <c r="C604" t="s">
        <v>440</v>
      </c>
      <c r="D604" t="s">
        <v>449</v>
      </c>
      <c r="E604" t="s">
        <v>15</v>
      </c>
      <c r="F604" t="s">
        <v>7340</v>
      </c>
      <c r="G604" t="s">
        <v>18197</v>
      </c>
      <c r="H604" t="s">
        <v>1112</v>
      </c>
      <c r="I604" t="s">
        <v>1108</v>
      </c>
      <c r="J604" t="s">
        <v>15910</v>
      </c>
      <c r="K604" t="s">
        <v>15911</v>
      </c>
      <c r="L604" t="s">
        <v>21</v>
      </c>
      <c r="M604" t="s">
        <v>19177</v>
      </c>
      <c r="N604" t="s">
        <v>300</v>
      </c>
      <c r="O604" t="s">
        <v>16373</v>
      </c>
      <c r="P604" t="s">
        <v>12</v>
      </c>
    </row>
    <row r="605">
      <c r="A605">
        <f>HYPERLINK("http://bombeiros.sp.gov.br/hidrantes/03individual/4177.html","4177")</f>
      </c>
      <c r="B605" t="s">
        <v>114</v>
      </c>
      <c r="C605" t="s">
        <v>440</v>
      </c>
      <c r="D605" t="s">
        <v>449</v>
      </c>
      <c r="E605" t="s">
        <v>15</v>
      </c>
      <c r="F605" t="s">
        <v>7343</v>
      </c>
      <c r="G605" t="s">
        <v>18093</v>
      </c>
      <c r="H605" t="s">
        <v>1107</v>
      </c>
      <c r="I605" t="s">
        <v>1108</v>
      </c>
      <c r="J605" t="s">
        <v>7344</v>
      </c>
      <c r="K605" t="s">
        <v>7345</v>
      </c>
      <c r="L605" t="s">
        <v>21</v>
      </c>
      <c r="M605" t="s">
        <v>19177</v>
      </c>
      <c r="N605" t="s">
        <v>300</v>
      </c>
      <c r="O605" t="s">
        <v>16373</v>
      </c>
      <c r="P605" t="s">
        <v>12</v>
      </c>
    </row>
    <row r="606">
      <c r="A606">
        <f>HYPERLINK("http://bombeiros.sp.gov.br/hidrantes/03individual/4344.html","4344")</f>
      </c>
      <c r="B606" t="s">
        <v>114</v>
      </c>
      <c r="C606" t="s">
        <v>440</v>
      </c>
      <c r="D606" t="s">
        <v>449</v>
      </c>
      <c r="E606" t="s">
        <v>15</v>
      </c>
      <c r="F606" t="s">
        <v>7346</v>
      </c>
      <c r="G606" t="s">
        <v>18084</v>
      </c>
      <c r="H606" t="s">
        <v>1112</v>
      </c>
      <c r="I606" t="s">
        <v>1108</v>
      </c>
      <c r="J606" t="s">
        <v>7347</v>
      </c>
      <c r="K606" t="s">
        <v>7348</v>
      </c>
      <c r="L606" t="s">
        <v>21</v>
      </c>
      <c r="M606" t="s">
        <v>19177</v>
      </c>
      <c r="N606" t="s">
        <v>300</v>
      </c>
      <c r="O606" t="s">
        <v>16373</v>
      </c>
      <c r="P606" t="s">
        <v>12</v>
      </c>
    </row>
    <row r="607">
      <c r="A607">
        <f>HYPERLINK("http://bombeiros.sp.gov.br/hidrantes/03individual/17780.html","17780")</f>
      </c>
      <c r="B607" t="s">
        <v>114</v>
      </c>
      <c r="C607" t="s">
        <v>440</v>
      </c>
      <c r="D607" t="s">
        <v>449</v>
      </c>
      <c r="E607" t="s">
        <v>15</v>
      </c>
      <c r="F607" t="s">
        <v>7349</v>
      </c>
      <c r="G607" t="s">
        <v>18180</v>
      </c>
      <c r="H607" t="s">
        <v>1112</v>
      </c>
      <c r="I607" t="s">
        <v>1108</v>
      </c>
      <c r="J607" t="s">
        <v>7350</v>
      </c>
      <c r="K607" t="s">
        <v>7351</v>
      </c>
      <c r="L607" t="s">
        <v>21</v>
      </c>
      <c r="M607" t="s">
        <v>19177</v>
      </c>
      <c r="N607" t="s">
        <v>300</v>
      </c>
      <c r="O607" t="s">
        <v>16373</v>
      </c>
      <c r="P607" t="s">
        <v>12</v>
      </c>
    </row>
    <row r="608">
      <c r="A608">
        <f>HYPERLINK("http://bombeiros.sp.gov.br/hidrantes/03individual/27513.html","27513")</f>
      </c>
      <c r="B608" t="s">
        <v>114</v>
      </c>
      <c r="C608" t="s">
        <v>440</v>
      </c>
      <c r="D608" t="s">
        <v>449</v>
      </c>
      <c r="E608" t="s">
        <v>15</v>
      </c>
      <c r="F608" t="s">
        <v>17328</v>
      </c>
      <c r="G608" t="s">
        <v>18093</v>
      </c>
      <c r="H608" t="s">
        <v>1107</v>
      </c>
      <c r="I608" t="s">
        <v>1108</v>
      </c>
      <c r="J608" t="s">
        <v>17329</v>
      </c>
      <c r="K608" t="s">
        <v>17330</v>
      </c>
      <c r="L608" t="s">
        <v>21</v>
      </c>
      <c r="M608" t="s">
        <v>19177</v>
      </c>
      <c r="N608" t="s">
        <v>300</v>
      </c>
      <c r="O608" t="s">
        <v>16373</v>
      </c>
      <c r="P608" t="s">
        <v>12</v>
      </c>
    </row>
    <row r="609">
      <c r="A609">
        <f>HYPERLINK("http://bombeiros.sp.gov.br/hidrantes/03individual/15069.html","15069")</f>
      </c>
      <c r="B609" t="s">
        <v>454</v>
      </c>
      <c r="C609" t="s">
        <v>455</v>
      </c>
      <c r="D609" t="s">
        <v>456</v>
      </c>
      <c r="E609" t="s">
        <v>64</v>
      </c>
      <c r="F609" t="s">
        <v>7352</v>
      </c>
      <c r="G609" t="s">
        <v>18103</v>
      </c>
      <c r="H609" t="s">
        <v>1112</v>
      </c>
      <c r="I609" t="s">
        <v>1108</v>
      </c>
      <c r="J609" t="s">
        <v>7353</v>
      </c>
      <c r="K609" t="s">
        <v>7354</v>
      </c>
      <c r="L609" t="s">
        <v>21</v>
      </c>
      <c r="M609" t="s">
        <v>19177</v>
      </c>
      <c r="N609" t="s">
        <v>519</v>
      </c>
      <c r="O609" t="s">
        <v>519</v>
      </c>
      <c r="P609" t="s">
        <v>454</v>
      </c>
    </row>
    <row r="610">
      <c r="A610">
        <f>HYPERLINK("http://bombeiros.sp.gov.br/hidrantes/03individual/3646.html","3646")</f>
      </c>
      <c r="B610" t="s">
        <v>454</v>
      </c>
      <c r="C610" t="s">
        <v>460</v>
      </c>
      <c r="D610" t="s">
        <v>460</v>
      </c>
      <c r="E610" t="s">
        <v>64</v>
      </c>
      <c r="F610" t="s">
        <v>7355</v>
      </c>
      <c r="G610" t="s">
        <v>18112</v>
      </c>
      <c r="H610" t="s">
        <v>1107</v>
      </c>
      <c r="I610" t="s">
        <v>1108</v>
      </c>
      <c r="J610" t="s">
        <v>7356</v>
      </c>
      <c r="K610" t="s">
        <v>7357</v>
      </c>
      <c r="L610" t="s">
        <v>36</v>
      </c>
      <c r="M610" t="s">
        <v>19177</v>
      </c>
      <c r="N610" t="s">
        <v>478</v>
      </c>
      <c r="O610" t="s">
        <v>478</v>
      </c>
      <c r="P610" t="s">
        <v>454</v>
      </c>
    </row>
    <row r="611">
      <c r="A611">
        <f>HYPERLINK("http://bombeiros.sp.gov.br/hidrantes/03individual/3648.html","3648")</f>
      </c>
      <c r="B611" t="s">
        <v>454</v>
      </c>
      <c r="C611" t="s">
        <v>460</v>
      </c>
      <c r="D611" t="s">
        <v>460</v>
      </c>
      <c r="E611" t="s">
        <v>64</v>
      </c>
      <c r="F611" t="s">
        <v>7358</v>
      </c>
      <c r="G611" t="s">
        <v>18053</v>
      </c>
      <c r="H611" t="s">
        <v>1112</v>
      </c>
      <c r="I611" t="s">
        <v>1108</v>
      </c>
      <c r="J611" t="s">
        <v>7359</v>
      </c>
      <c r="K611" t="s">
        <v>7360</v>
      </c>
      <c r="L611" t="s">
        <v>36</v>
      </c>
      <c r="M611" t="s">
        <v>19177</v>
      </c>
      <c r="N611" t="s">
        <v>478</v>
      </c>
      <c r="O611" t="s">
        <v>478</v>
      </c>
      <c r="P611" t="s">
        <v>454</v>
      </c>
    </row>
    <row r="612">
      <c r="A612">
        <f>HYPERLINK("http://bombeiros.sp.gov.br/hidrantes/03individual/3650.html","3650")</f>
      </c>
      <c r="B612" t="s">
        <v>454</v>
      </c>
      <c r="C612" t="s">
        <v>460</v>
      </c>
      <c r="D612" t="s">
        <v>460</v>
      </c>
      <c r="E612" t="s">
        <v>64</v>
      </c>
      <c r="F612" t="s">
        <v>7361</v>
      </c>
      <c r="G612" t="s">
        <v>18112</v>
      </c>
      <c r="H612" t="s">
        <v>1107</v>
      </c>
      <c r="I612" t="s">
        <v>1108</v>
      </c>
      <c r="J612" t="s">
        <v>7362</v>
      </c>
      <c r="K612" t="s">
        <v>7363</v>
      </c>
      <c r="L612" t="s">
        <v>21</v>
      </c>
      <c r="M612" t="s">
        <v>19177</v>
      </c>
      <c r="N612" t="s">
        <v>478</v>
      </c>
      <c r="O612" t="s">
        <v>478</v>
      </c>
      <c r="P612" t="s">
        <v>454</v>
      </c>
    </row>
    <row r="613">
      <c r="A613">
        <f>HYPERLINK("http://bombeiros.sp.gov.br/hidrantes/03individual/5502.html","5502")</f>
      </c>
      <c r="B613" t="s">
        <v>454</v>
      </c>
      <c r="C613" t="s">
        <v>460</v>
      </c>
      <c r="D613" t="s">
        <v>460</v>
      </c>
      <c r="E613" t="s">
        <v>64</v>
      </c>
      <c r="F613" t="s">
        <v>7367</v>
      </c>
      <c r="G613" t="s">
        <v>18218</v>
      </c>
      <c r="H613" t="s">
        <v>1121</v>
      </c>
      <c r="I613" t="s">
        <v>1117</v>
      </c>
      <c r="J613" t="s">
        <v>7368</v>
      </c>
      <c r="K613" t="s">
        <v>7369</v>
      </c>
      <c r="L613" t="s">
        <v>21</v>
      </c>
      <c r="M613" t="s">
        <v>19177</v>
      </c>
      <c r="N613" t="s">
        <v>478</v>
      </c>
      <c r="O613" t="s">
        <v>478</v>
      </c>
      <c r="P613" t="s">
        <v>454</v>
      </c>
    </row>
    <row r="614">
      <c r="A614">
        <f>HYPERLINK("http://bombeiros.sp.gov.br/hidrantes/03individual/5503.html","5503")</f>
      </c>
      <c r="B614" t="s">
        <v>454</v>
      </c>
      <c r="C614" t="s">
        <v>460</v>
      </c>
      <c r="D614" t="s">
        <v>460</v>
      </c>
      <c r="E614" t="s">
        <v>64</v>
      </c>
      <c r="F614" t="s">
        <v>7370</v>
      </c>
      <c r="G614" t="s">
        <v>18218</v>
      </c>
      <c r="H614" t="s">
        <v>1112</v>
      </c>
      <c r="I614" t="s">
        <v>1108</v>
      </c>
      <c r="J614" t="s">
        <v>7371</v>
      </c>
      <c r="K614" t="s">
        <v>7372</v>
      </c>
      <c r="L614" t="s">
        <v>21</v>
      </c>
      <c r="M614" t="s">
        <v>19177</v>
      </c>
      <c r="N614" t="s">
        <v>478</v>
      </c>
      <c r="O614" t="s">
        <v>478</v>
      </c>
      <c r="P614" t="s">
        <v>454</v>
      </c>
    </row>
    <row r="615">
      <c r="A615">
        <f>HYPERLINK("http://bombeiros.sp.gov.br/hidrantes/03individual/1212.html","1212")</f>
      </c>
      <c r="B615" t="s">
        <v>454</v>
      </c>
      <c r="C615" t="s">
        <v>460</v>
      </c>
      <c r="D615" t="s">
        <v>460</v>
      </c>
      <c r="E615" t="s">
        <v>15</v>
      </c>
      <c r="F615" t="s">
        <v>7373</v>
      </c>
      <c r="G615" t="s">
        <v>18042</v>
      </c>
      <c r="H615" t="s">
        <v>1112</v>
      </c>
      <c r="I615" t="s">
        <v>1108</v>
      </c>
      <c r="J615" t="s">
        <v>7374</v>
      </c>
      <c r="K615" t="s">
        <v>7375</v>
      </c>
      <c r="L615" t="s">
        <v>21</v>
      </c>
      <c r="M615" t="s">
        <v>19177</v>
      </c>
      <c r="N615" t="s">
        <v>478</v>
      </c>
      <c r="O615" t="s">
        <v>478</v>
      </c>
      <c r="P615" t="s">
        <v>454</v>
      </c>
    </row>
    <row r="616">
      <c r="A616">
        <f>HYPERLINK("http://bombeiros.sp.gov.br/hidrantes/03individual/3761.html","3761")</f>
      </c>
      <c r="B616" t="s">
        <v>454</v>
      </c>
      <c r="C616" t="s">
        <v>460</v>
      </c>
      <c r="D616" t="s">
        <v>460</v>
      </c>
      <c r="E616" t="s">
        <v>15</v>
      </c>
      <c r="F616" t="s">
        <v>7379</v>
      </c>
      <c r="G616" t="s">
        <v>17946</v>
      </c>
      <c r="H616" t="s">
        <v>1112</v>
      </c>
      <c r="I616" t="s">
        <v>1108</v>
      </c>
      <c r="J616" t="s">
        <v>7380</v>
      </c>
      <c r="K616" t="s">
        <v>7381</v>
      </c>
      <c r="L616" t="s">
        <v>21</v>
      </c>
      <c r="M616" t="s">
        <v>19177</v>
      </c>
      <c r="N616" t="s">
        <v>478</v>
      </c>
      <c r="O616" t="s">
        <v>478</v>
      </c>
      <c r="P616" t="s">
        <v>454</v>
      </c>
    </row>
    <row r="617">
      <c r="A617">
        <f>HYPERLINK("http://bombeiros.sp.gov.br/hidrantes/03individual/1116.html","1116")</f>
      </c>
      <c r="B617" t="s">
        <v>454</v>
      </c>
      <c r="C617" t="s">
        <v>460</v>
      </c>
      <c r="D617" t="s">
        <v>7382</v>
      </c>
      <c r="E617" t="s">
        <v>64</v>
      </c>
      <c r="F617" t="s">
        <v>7383</v>
      </c>
      <c r="G617" t="s">
        <v>18053</v>
      </c>
      <c r="H617" t="s">
        <v>1112</v>
      </c>
      <c r="I617" t="s">
        <v>1108</v>
      </c>
      <c r="J617" t="s">
        <v>7384</v>
      </c>
      <c r="K617" t="s">
        <v>7385</v>
      </c>
      <c r="L617" t="s">
        <v>21</v>
      </c>
      <c r="M617" t="s">
        <v>19177</v>
      </c>
      <c r="N617" t="s">
        <v>478</v>
      </c>
      <c r="O617" t="s">
        <v>478</v>
      </c>
      <c r="P617" t="s">
        <v>454</v>
      </c>
    </row>
    <row r="618">
      <c r="A618">
        <f>HYPERLINK("http://bombeiros.sp.gov.br/hidrantes/03individual/4054.html","4054")</f>
      </c>
      <c r="B618" t="s">
        <v>454</v>
      </c>
      <c r="C618" t="s">
        <v>460</v>
      </c>
      <c r="D618" t="s">
        <v>7398</v>
      </c>
      <c r="E618" t="s">
        <v>64</v>
      </c>
      <c r="F618" t="s">
        <v>7399</v>
      </c>
      <c r="G618" t="s">
        <v>18075</v>
      </c>
      <c r="H618" t="s">
        <v>1174</v>
      </c>
      <c r="I618" t="s">
        <v>1117</v>
      </c>
      <c r="J618" t="s">
        <v>7400</v>
      </c>
      <c r="K618" t="s">
        <v>7401</v>
      </c>
      <c r="L618" t="s">
        <v>36</v>
      </c>
      <c r="M618" t="s">
        <v>19177</v>
      </c>
      <c r="N618" t="s">
        <v>519</v>
      </c>
      <c r="O618" t="s">
        <v>519</v>
      </c>
      <c r="P618" t="s">
        <v>454</v>
      </c>
    </row>
    <row r="619">
      <c r="A619">
        <f>HYPERLINK("http://bombeiros.sp.gov.br/hidrantes/03individual/27378.html","27378")</f>
      </c>
      <c r="B619" t="s">
        <v>454</v>
      </c>
      <c r="C619" t="s">
        <v>460</v>
      </c>
      <c r="D619" t="s">
        <v>17205</v>
      </c>
      <c r="E619" t="s">
        <v>64</v>
      </c>
      <c r="F619" t="s">
        <v>17206</v>
      </c>
      <c r="G619" t="s">
        <v>18113</v>
      </c>
      <c r="H619" t="s">
        <v>1112</v>
      </c>
      <c r="I619" t="s">
        <v>1108</v>
      </c>
      <c r="J619" t="s">
        <v>17207</v>
      </c>
      <c r="K619" t="s">
        <v>17208</v>
      </c>
      <c r="L619" t="s">
        <v>21</v>
      </c>
      <c r="M619" t="s">
        <v>19177</v>
      </c>
      <c r="N619" t="s">
        <v>519</v>
      </c>
      <c r="O619" t="s">
        <v>519</v>
      </c>
      <c r="P619" t="s">
        <v>454</v>
      </c>
    </row>
    <row r="620">
      <c r="A620">
        <f>HYPERLINK("http://bombeiros.sp.gov.br/hidrantes/03individual/3506.html","3506")</f>
      </c>
      <c r="B620" t="s">
        <v>454</v>
      </c>
      <c r="C620" t="s">
        <v>465</v>
      </c>
      <c r="D620" t="s">
        <v>465</v>
      </c>
      <c r="E620" t="s">
        <v>64</v>
      </c>
      <c r="F620" t="s">
        <v>7414</v>
      </c>
      <c r="G620" t="s">
        <v>18154</v>
      </c>
      <c r="H620" t="s">
        <v>1112</v>
      </c>
      <c r="I620" t="s">
        <v>1108</v>
      </c>
      <c r="J620" t="s">
        <v>7415</v>
      </c>
      <c r="K620" t="s">
        <v>7416</v>
      </c>
      <c r="L620" t="s">
        <v>36</v>
      </c>
      <c r="M620" t="s">
        <v>19177</v>
      </c>
      <c r="N620" t="s">
        <v>478</v>
      </c>
      <c r="O620" t="s">
        <v>478</v>
      </c>
      <c r="P620" t="s">
        <v>454</v>
      </c>
    </row>
    <row r="621">
      <c r="A621">
        <f>HYPERLINK("http://bombeiros.sp.gov.br/hidrantes/03individual/960.html","960")</f>
      </c>
      <c r="B621" t="s">
        <v>454</v>
      </c>
      <c r="C621" t="s">
        <v>465</v>
      </c>
      <c r="D621" t="s">
        <v>465</v>
      </c>
      <c r="E621" t="s">
        <v>15</v>
      </c>
      <c r="F621" t="s">
        <v>7420</v>
      </c>
      <c r="G621" t="s">
        <v>18072</v>
      </c>
      <c r="H621" t="s">
        <v>1112</v>
      </c>
      <c r="I621" t="s">
        <v>1108</v>
      </c>
      <c r="J621" t="s">
        <v>7421</v>
      </c>
      <c r="K621" t="s">
        <v>7422</v>
      </c>
      <c r="L621" t="s">
        <v>21</v>
      </c>
      <c r="M621" t="s">
        <v>19177</v>
      </c>
      <c r="N621" t="s">
        <v>478</v>
      </c>
      <c r="O621" t="s">
        <v>478</v>
      </c>
      <c r="P621" t="s">
        <v>454</v>
      </c>
    </row>
    <row r="622">
      <c r="A622">
        <f>HYPERLINK("http://bombeiros.sp.gov.br/hidrantes/03individual/1142.html","1142")</f>
      </c>
      <c r="B622" t="s">
        <v>454</v>
      </c>
      <c r="C622" t="s">
        <v>465</v>
      </c>
      <c r="D622" t="s">
        <v>465</v>
      </c>
      <c r="E622" t="s">
        <v>15</v>
      </c>
      <c r="F622" t="s">
        <v>7432</v>
      </c>
      <c r="G622" t="s">
        <v>18173</v>
      </c>
      <c r="H622" t="s">
        <v>1107</v>
      </c>
      <c r="I622" t="s">
        <v>1108</v>
      </c>
      <c r="J622" t="s">
        <v>7433</v>
      </c>
      <c r="K622" t="s">
        <v>7434</v>
      </c>
      <c r="L622" t="s">
        <v>21</v>
      </c>
      <c r="M622" t="s">
        <v>19177</v>
      </c>
      <c r="N622" t="s">
        <v>478</v>
      </c>
      <c r="O622" t="s">
        <v>478</v>
      </c>
      <c r="P622" t="s">
        <v>454</v>
      </c>
    </row>
    <row r="623">
      <c r="A623">
        <f>HYPERLINK("http://bombeiros.sp.gov.br/hidrantes/03individual/1143.html","1143")</f>
      </c>
      <c r="B623" t="s">
        <v>454</v>
      </c>
      <c r="C623" t="s">
        <v>465</v>
      </c>
      <c r="D623" t="s">
        <v>465</v>
      </c>
      <c r="E623" t="s">
        <v>15</v>
      </c>
      <c r="F623" t="s">
        <v>7435</v>
      </c>
      <c r="G623" t="s">
        <v>18154</v>
      </c>
      <c r="H623" t="s">
        <v>1112</v>
      </c>
      <c r="I623" t="s">
        <v>1108</v>
      </c>
      <c r="J623" t="s">
        <v>7436</v>
      </c>
      <c r="K623" t="s">
        <v>7437</v>
      </c>
      <c r="L623" t="s">
        <v>21</v>
      </c>
      <c r="M623" t="s">
        <v>19177</v>
      </c>
      <c r="N623" t="s">
        <v>478</v>
      </c>
      <c r="O623" t="s">
        <v>478</v>
      </c>
      <c r="P623" t="s">
        <v>454</v>
      </c>
    </row>
    <row r="624">
      <c r="A624">
        <f>HYPERLINK("http://bombeiros.sp.gov.br/hidrantes/03individual/1226.html","1226")</f>
      </c>
      <c r="B624" t="s">
        <v>454</v>
      </c>
      <c r="C624" t="s">
        <v>465</v>
      </c>
      <c r="D624" t="s">
        <v>465</v>
      </c>
      <c r="E624" t="s">
        <v>15</v>
      </c>
      <c r="F624" t="s">
        <v>7450</v>
      </c>
      <c r="G624" t="s">
        <v>18173</v>
      </c>
      <c r="H624" t="s">
        <v>1112</v>
      </c>
      <c r="I624" t="s">
        <v>1108</v>
      </c>
      <c r="J624" t="s">
        <v>7451</v>
      </c>
      <c r="K624" t="s">
        <v>7452</v>
      </c>
      <c r="L624" t="s">
        <v>21</v>
      </c>
      <c r="M624" t="s">
        <v>19177</v>
      </c>
      <c r="N624" t="s">
        <v>478</v>
      </c>
      <c r="O624" t="s">
        <v>478</v>
      </c>
      <c r="P624" t="s">
        <v>454</v>
      </c>
    </row>
    <row r="625">
      <c r="A625">
        <f>HYPERLINK("http://bombeiros.sp.gov.br/hidrantes/03individual/1304.html","1304")</f>
      </c>
      <c r="B625" t="s">
        <v>454</v>
      </c>
      <c r="C625" t="s">
        <v>465</v>
      </c>
      <c r="D625" t="s">
        <v>465</v>
      </c>
      <c r="E625" t="s">
        <v>15</v>
      </c>
      <c r="F625" t="s">
        <v>7453</v>
      </c>
      <c r="G625" t="s">
        <v>18024</v>
      </c>
      <c r="H625" t="s">
        <v>1112</v>
      </c>
      <c r="I625" t="s">
        <v>1108</v>
      </c>
      <c r="J625" t="s">
        <v>7455</v>
      </c>
      <c r="K625" t="s">
        <v>7456</v>
      </c>
      <c r="L625" t="s">
        <v>21</v>
      </c>
      <c r="M625" t="s">
        <v>19177</v>
      </c>
      <c r="N625" t="s">
        <v>478</v>
      </c>
      <c r="O625" t="s">
        <v>478</v>
      </c>
      <c r="P625" t="s">
        <v>454</v>
      </c>
    </row>
    <row r="626">
      <c r="A626">
        <f>HYPERLINK("http://bombeiros.sp.gov.br/hidrantes/03individual/3781.html","3781")</f>
      </c>
      <c r="B626" t="s">
        <v>454</v>
      </c>
      <c r="C626" t="s">
        <v>465</v>
      </c>
      <c r="D626" t="s">
        <v>465</v>
      </c>
      <c r="E626" t="s">
        <v>15</v>
      </c>
      <c r="F626" t="s">
        <v>7460</v>
      </c>
      <c r="G626" t="s">
        <v>18173</v>
      </c>
      <c r="H626" t="s">
        <v>1112</v>
      </c>
      <c r="I626" t="s">
        <v>1108</v>
      </c>
      <c r="J626" t="s">
        <v>7461</v>
      </c>
      <c r="K626" t="s">
        <v>7462</v>
      </c>
      <c r="L626" t="s">
        <v>21</v>
      </c>
      <c r="M626" t="s">
        <v>19177</v>
      </c>
      <c r="N626" t="s">
        <v>478</v>
      </c>
      <c r="O626" t="s">
        <v>478</v>
      </c>
      <c r="P626" t="s">
        <v>454</v>
      </c>
    </row>
    <row r="627">
      <c r="A627">
        <f>HYPERLINK("http://bombeiros.sp.gov.br/hidrantes/03individual/3788.html","3788")</f>
      </c>
      <c r="B627" t="s">
        <v>454</v>
      </c>
      <c r="C627" t="s">
        <v>465</v>
      </c>
      <c r="D627" t="s">
        <v>465</v>
      </c>
      <c r="E627" t="s">
        <v>15</v>
      </c>
      <c r="F627" t="s">
        <v>7463</v>
      </c>
      <c r="G627" t="s">
        <v>18119</v>
      </c>
      <c r="H627" t="s">
        <v>1121</v>
      </c>
      <c r="I627" t="s">
        <v>1117</v>
      </c>
      <c r="J627" t="s">
        <v>7464</v>
      </c>
      <c r="K627" t="s">
        <v>7465</v>
      </c>
      <c r="L627" t="s">
        <v>21</v>
      </c>
      <c r="M627" t="s">
        <v>19177</v>
      </c>
      <c r="N627" t="s">
        <v>478</v>
      </c>
      <c r="O627" t="s">
        <v>478</v>
      </c>
      <c r="P627" t="s">
        <v>454</v>
      </c>
    </row>
    <row r="628">
      <c r="A628">
        <f>HYPERLINK("http://bombeiros.sp.gov.br/hidrantes/03individual/3824.html","3824")</f>
      </c>
      <c r="B628" t="s">
        <v>454</v>
      </c>
      <c r="C628" t="s">
        <v>465</v>
      </c>
      <c r="D628" t="s">
        <v>465</v>
      </c>
      <c r="E628" t="s">
        <v>15</v>
      </c>
      <c r="F628" t="s">
        <v>7466</v>
      </c>
      <c r="G628" t="s">
        <v>18117</v>
      </c>
      <c r="H628" t="s">
        <v>1112</v>
      </c>
      <c r="I628" t="s">
        <v>1108</v>
      </c>
      <c r="J628" t="s">
        <v>7467</v>
      </c>
      <c r="K628" t="s">
        <v>7468</v>
      </c>
      <c r="L628" t="s">
        <v>21</v>
      </c>
      <c r="M628" t="s">
        <v>19177</v>
      </c>
      <c r="N628" t="s">
        <v>478</v>
      </c>
      <c r="O628" t="s">
        <v>478</v>
      </c>
      <c r="P628" t="s">
        <v>454</v>
      </c>
    </row>
    <row r="629">
      <c r="A629">
        <f>HYPERLINK("http://bombeiros.sp.gov.br/hidrantes/03individual/3847.html","3847")</f>
      </c>
      <c r="B629" t="s">
        <v>454</v>
      </c>
      <c r="C629" t="s">
        <v>465</v>
      </c>
      <c r="D629" t="s">
        <v>465</v>
      </c>
      <c r="E629" t="s">
        <v>15</v>
      </c>
      <c r="F629" t="s">
        <v>7469</v>
      </c>
      <c r="G629" t="s">
        <v>18062</v>
      </c>
      <c r="H629" t="s">
        <v>1107</v>
      </c>
      <c r="I629" t="s">
        <v>1108</v>
      </c>
      <c r="J629" t="s">
        <v>7470</v>
      </c>
      <c r="K629" t="s">
        <v>7471</v>
      </c>
      <c r="L629" t="s">
        <v>21</v>
      </c>
      <c r="M629" t="s">
        <v>19177</v>
      </c>
      <c r="N629" t="s">
        <v>478</v>
      </c>
      <c r="O629" t="s">
        <v>478</v>
      </c>
      <c r="P629" t="s">
        <v>454</v>
      </c>
    </row>
    <row r="630">
      <c r="A630">
        <f>HYPERLINK("http://bombeiros.sp.gov.br/hidrantes/03individual/17750.html","17750")</f>
      </c>
      <c r="B630" t="s">
        <v>454</v>
      </c>
      <c r="C630" t="s">
        <v>465</v>
      </c>
      <c r="D630" t="s">
        <v>465</v>
      </c>
      <c r="E630" t="s">
        <v>15</v>
      </c>
      <c r="F630" t="s">
        <v>7472</v>
      </c>
      <c r="G630" t="s">
        <v>18129</v>
      </c>
      <c r="H630" t="s">
        <v>1107</v>
      </c>
      <c r="I630" t="s">
        <v>1108</v>
      </c>
      <c r="J630" t="s">
        <v>7473</v>
      </c>
      <c r="K630" t="s">
        <v>7474</v>
      </c>
      <c r="L630" t="s">
        <v>21</v>
      </c>
      <c r="M630" t="s">
        <v>19177</v>
      </c>
      <c r="N630" t="s">
        <v>478</v>
      </c>
      <c r="O630" t="s">
        <v>478</v>
      </c>
      <c r="P630" t="s">
        <v>454</v>
      </c>
    </row>
    <row r="631">
      <c r="A631">
        <f>HYPERLINK("http://bombeiros.sp.gov.br/hidrantes/03individual/17751.html","17751")</f>
      </c>
      <c r="B631" t="s">
        <v>454</v>
      </c>
      <c r="C631" t="s">
        <v>465</v>
      </c>
      <c r="D631" t="s">
        <v>465</v>
      </c>
      <c r="E631" t="s">
        <v>15</v>
      </c>
      <c r="F631" t="s">
        <v>7475</v>
      </c>
      <c r="G631" t="s">
        <v>18062</v>
      </c>
      <c r="H631" t="s">
        <v>1112</v>
      </c>
      <c r="I631" t="s">
        <v>1108</v>
      </c>
      <c r="J631" t="s">
        <v>7476</v>
      </c>
      <c r="K631" t="s">
        <v>7477</v>
      </c>
      <c r="L631" t="s">
        <v>21</v>
      </c>
      <c r="M631" t="s">
        <v>19177</v>
      </c>
      <c r="N631" t="s">
        <v>478</v>
      </c>
      <c r="O631" t="s">
        <v>478</v>
      </c>
      <c r="P631" t="s">
        <v>454</v>
      </c>
    </row>
    <row r="632">
      <c r="A632">
        <f>HYPERLINK("http://bombeiros.sp.gov.br/hidrantes/03individual/3499.html","3499")</f>
      </c>
      <c r="B632" t="s">
        <v>454</v>
      </c>
      <c r="C632" t="s">
        <v>465</v>
      </c>
      <c r="D632" t="s">
        <v>7478</v>
      </c>
      <c r="E632" t="s">
        <v>64</v>
      </c>
      <c r="F632" t="s">
        <v>7479</v>
      </c>
      <c r="G632" t="s">
        <v>18115</v>
      </c>
      <c r="H632" t="s">
        <v>1112</v>
      </c>
      <c r="I632" t="s">
        <v>1108</v>
      </c>
      <c r="J632" t="s">
        <v>7480</v>
      </c>
      <c r="K632" t="s">
        <v>7481</v>
      </c>
      <c r="L632" t="s">
        <v>36</v>
      </c>
      <c r="M632" t="s">
        <v>19177</v>
      </c>
      <c r="N632" t="s">
        <v>478</v>
      </c>
      <c r="O632" t="s">
        <v>478</v>
      </c>
      <c r="P632" t="s">
        <v>454</v>
      </c>
    </row>
    <row r="633">
      <c r="A633">
        <f>HYPERLINK("http://bombeiros.sp.gov.br/hidrantes/03individual/3501.html","3501")</f>
      </c>
      <c r="B633" t="s">
        <v>454</v>
      </c>
      <c r="C633" t="s">
        <v>465</v>
      </c>
      <c r="D633" t="s">
        <v>7478</v>
      </c>
      <c r="E633" t="s">
        <v>64</v>
      </c>
      <c r="F633" t="s">
        <v>7482</v>
      </c>
      <c r="G633" t="s">
        <v>18130</v>
      </c>
      <c r="H633" t="s">
        <v>1107</v>
      </c>
      <c r="I633" t="s">
        <v>1108</v>
      </c>
      <c r="J633" t="s">
        <v>7483</v>
      </c>
      <c r="K633" t="s">
        <v>7484</v>
      </c>
      <c r="L633" t="s">
        <v>36</v>
      </c>
      <c r="M633" t="s">
        <v>19177</v>
      </c>
      <c r="N633" t="s">
        <v>478</v>
      </c>
      <c r="O633" t="s">
        <v>478</v>
      </c>
      <c r="P633" t="s">
        <v>454</v>
      </c>
    </row>
    <row r="634">
      <c r="A634">
        <f>HYPERLINK("http://bombeiros.sp.gov.br/hidrantes/03individual/3504.html","3504")</f>
      </c>
      <c r="B634" t="s">
        <v>454</v>
      </c>
      <c r="C634" t="s">
        <v>465</v>
      </c>
      <c r="D634" t="s">
        <v>7478</v>
      </c>
      <c r="E634" t="s">
        <v>64</v>
      </c>
      <c r="F634" t="s">
        <v>7485</v>
      </c>
      <c r="G634" t="s">
        <v>18130</v>
      </c>
      <c r="H634" t="s">
        <v>1112</v>
      </c>
      <c r="I634" t="s">
        <v>1108</v>
      </c>
      <c r="J634" t="s">
        <v>7486</v>
      </c>
      <c r="K634" t="s">
        <v>7487</v>
      </c>
      <c r="L634" t="s">
        <v>21</v>
      </c>
      <c r="M634" t="s">
        <v>19177</v>
      </c>
      <c r="N634" t="s">
        <v>478</v>
      </c>
      <c r="O634" t="s">
        <v>478</v>
      </c>
      <c r="P634" t="s">
        <v>454</v>
      </c>
    </row>
    <row r="635">
      <c r="A635">
        <f>HYPERLINK("http://bombeiros.sp.gov.br/hidrantes/03individual/15060.html","15060")</f>
      </c>
      <c r="B635" t="s">
        <v>454</v>
      </c>
      <c r="C635" t="s">
        <v>465</v>
      </c>
      <c r="D635" t="s">
        <v>7478</v>
      </c>
      <c r="E635" t="s">
        <v>64</v>
      </c>
      <c r="F635" t="s">
        <v>7488</v>
      </c>
      <c r="G635" t="s">
        <v>18119</v>
      </c>
      <c r="H635" t="s">
        <v>1121</v>
      </c>
      <c r="I635" t="s">
        <v>1117</v>
      </c>
      <c r="J635" t="s">
        <v>7489</v>
      </c>
      <c r="K635" t="s">
        <v>7490</v>
      </c>
      <c r="L635" t="s">
        <v>21</v>
      </c>
      <c r="M635" t="s">
        <v>19177</v>
      </c>
      <c r="N635" t="s">
        <v>478</v>
      </c>
      <c r="O635" t="s">
        <v>478</v>
      </c>
      <c r="P635" t="s">
        <v>454</v>
      </c>
    </row>
    <row r="636">
      <c r="A636">
        <f>HYPERLINK("http://bombeiros.sp.gov.br/hidrantes/03individual/15070.html","15070")</f>
      </c>
      <c r="B636" t="s">
        <v>454</v>
      </c>
      <c r="C636" t="s">
        <v>465</v>
      </c>
      <c r="D636" t="s">
        <v>7478</v>
      </c>
      <c r="E636" t="s">
        <v>64</v>
      </c>
      <c r="F636" t="s">
        <v>7491</v>
      </c>
      <c r="G636" t="s">
        <v>18053</v>
      </c>
      <c r="H636" t="s">
        <v>1112</v>
      </c>
      <c r="I636" t="s">
        <v>1108</v>
      </c>
      <c r="J636" t="s">
        <v>17634</v>
      </c>
      <c r="K636" t="s">
        <v>17635</v>
      </c>
      <c r="L636" t="s">
        <v>21</v>
      </c>
      <c r="M636" t="s">
        <v>19177</v>
      </c>
      <c r="N636" t="s">
        <v>478</v>
      </c>
      <c r="O636" t="s">
        <v>478</v>
      </c>
      <c r="P636" t="s">
        <v>454</v>
      </c>
    </row>
    <row r="637">
      <c r="A637">
        <f>HYPERLINK("http://bombeiros.sp.gov.br/hidrantes/03individual/1281.html","1281")</f>
      </c>
      <c r="B637" t="s">
        <v>454</v>
      </c>
      <c r="C637" t="s">
        <v>465</v>
      </c>
      <c r="D637" t="s">
        <v>7478</v>
      </c>
      <c r="E637" t="s">
        <v>15</v>
      </c>
      <c r="F637" t="s">
        <v>7497</v>
      </c>
      <c r="G637" t="s">
        <v>18119</v>
      </c>
      <c r="H637" t="s">
        <v>1107</v>
      </c>
      <c r="I637" t="s">
        <v>1108</v>
      </c>
      <c r="J637" t="s">
        <v>7498</v>
      </c>
      <c r="K637" t="s">
        <v>7499</v>
      </c>
      <c r="L637" t="s">
        <v>21</v>
      </c>
      <c r="M637" t="s">
        <v>19177</v>
      </c>
      <c r="N637" t="s">
        <v>478</v>
      </c>
      <c r="O637" t="s">
        <v>478</v>
      </c>
      <c r="P637" t="s">
        <v>454</v>
      </c>
    </row>
    <row r="638">
      <c r="A638">
        <f>HYPERLINK("http://bombeiros.sp.gov.br/hidrantes/03individual/5599.html","5599")</f>
      </c>
      <c r="B638" t="s">
        <v>454</v>
      </c>
      <c r="C638" t="s">
        <v>469</v>
      </c>
      <c r="D638" t="s">
        <v>469</v>
      </c>
      <c r="E638" t="s">
        <v>64</v>
      </c>
      <c r="F638" t="s">
        <v>7503</v>
      </c>
      <c r="G638" t="s">
        <v>18109</v>
      </c>
      <c r="H638" t="s">
        <v>1112</v>
      </c>
      <c r="I638" t="s">
        <v>1108</v>
      </c>
      <c r="J638" t="s">
        <v>7504</v>
      </c>
      <c r="K638" t="s">
        <v>7505</v>
      </c>
      <c r="L638" t="s">
        <v>21</v>
      </c>
      <c r="M638" t="s">
        <v>19177</v>
      </c>
      <c r="N638" t="s">
        <v>478</v>
      </c>
      <c r="O638" t="s">
        <v>478</v>
      </c>
      <c r="P638" t="s">
        <v>454</v>
      </c>
    </row>
    <row r="639">
      <c r="A639">
        <f>HYPERLINK("http://bombeiros.sp.gov.br/hidrantes/03individual/947.html","947")</f>
      </c>
      <c r="B639" t="s">
        <v>454</v>
      </c>
      <c r="C639" t="s">
        <v>469</v>
      </c>
      <c r="D639" t="s">
        <v>469</v>
      </c>
      <c r="E639" t="s">
        <v>15</v>
      </c>
      <c r="F639" t="s">
        <v>7512</v>
      </c>
      <c r="G639" t="s">
        <v>18180</v>
      </c>
      <c r="H639" t="s">
        <v>1174</v>
      </c>
      <c r="I639" t="s">
        <v>1117</v>
      </c>
      <c r="J639" t="s">
        <v>7513</v>
      </c>
      <c r="K639" t="s">
        <v>7514</v>
      </c>
      <c r="L639" t="s">
        <v>21</v>
      </c>
      <c r="M639" t="s">
        <v>19177</v>
      </c>
      <c r="N639" t="s">
        <v>478</v>
      </c>
      <c r="O639" t="s">
        <v>478</v>
      </c>
      <c r="P639" t="s">
        <v>454</v>
      </c>
    </row>
    <row r="640">
      <c r="A640">
        <f>HYPERLINK("http://bombeiros.sp.gov.br/hidrantes/03individual/1121.html","1121")</f>
      </c>
      <c r="B640" t="s">
        <v>454</v>
      </c>
      <c r="C640" t="s">
        <v>469</v>
      </c>
      <c r="D640" t="s">
        <v>469</v>
      </c>
      <c r="E640" t="s">
        <v>15</v>
      </c>
      <c r="F640" t="s">
        <v>7521</v>
      </c>
      <c r="G640" t="s">
        <v>18068</v>
      </c>
      <c r="H640" t="s">
        <v>1112</v>
      </c>
      <c r="I640" t="s">
        <v>1108</v>
      </c>
      <c r="J640" t="s">
        <v>7522</v>
      </c>
      <c r="K640" t="s">
        <v>7523</v>
      </c>
      <c r="L640" t="s">
        <v>21</v>
      </c>
      <c r="M640" t="s">
        <v>19177</v>
      </c>
      <c r="N640" t="s">
        <v>478</v>
      </c>
      <c r="O640" t="s">
        <v>478</v>
      </c>
      <c r="P640" t="s">
        <v>454</v>
      </c>
    </row>
    <row r="641">
      <c r="A641">
        <f>HYPERLINK("http://bombeiros.sp.gov.br/hidrantes/03individual/1293.html","1293")</f>
      </c>
      <c r="B641" t="s">
        <v>454</v>
      </c>
      <c r="C641" t="s">
        <v>469</v>
      </c>
      <c r="D641" t="s">
        <v>469</v>
      </c>
      <c r="E641" t="s">
        <v>15</v>
      </c>
      <c r="F641" t="s">
        <v>7542</v>
      </c>
      <c r="G641" t="s">
        <v>18109</v>
      </c>
      <c r="H641" t="s">
        <v>1174</v>
      </c>
      <c r="I641" t="s">
        <v>1108</v>
      </c>
      <c r="J641" t="s">
        <v>7543</v>
      </c>
      <c r="K641" t="s">
        <v>7544</v>
      </c>
      <c r="L641" t="s">
        <v>21</v>
      </c>
      <c r="M641" t="s">
        <v>19177</v>
      </c>
      <c r="N641" t="s">
        <v>531</v>
      </c>
      <c r="O641" t="s">
        <v>531</v>
      </c>
      <c r="P641" t="s">
        <v>454</v>
      </c>
    </row>
    <row r="642">
      <c r="A642">
        <f>HYPERLINK("http://bombeiros.sp.gov.br/hidrantes/03individual/3569.html","3569")</f>
      </c>
      <c r="B642" t="s">
        <v>454</v>
      </c>
      <c r="C642" t="s">
        <v>469</v>
      </c>
      <c r="D642" t="s">
        <v>473</v>
      </c>
      <c r="E642" t="s">
        <v>64</v>
      </c>
      <c r="F642" t="s">
        <v>7569</v>
      </c>
      <c r="G642" t="s">
        <v>18144</v>
      </c>
      <c r="H642" t="s">
        <v>1107</v>
      </c>
      <c r="I642" t="s">
        <v>1108</v>
      </c>
      <c r="J642" t="s">
        <v>7570</v>
      </c>
      <c r="K642" t="s">
        <v>7571</v>
      </c>
      <c r="L642" t="s">
        <v>21</v>
      </c>
      <c r="M642" t="s">
        <v>19177</v>
      </c>
      <c r="N642" t="s">
        <v>531</v>
      </c>
      <c r="O642" t="s">
        <v>531</v>
      </c>
      <c r="P642" t="s">
        <v>454</v>
      </c>
    </row>
    <row r="643">
      <c r="A643">
        <f>HYPERLINK("http://bombeiros.sp.gov.br/hidrantes/03individual/1108.html","1108")</f>
      </c>
      <c r="B643" t="s">
        <v>454</v>
      </c>
      <c r="C643" t="s">
        <v>469</v>
      </c>
      <c r="D643" t="s">
        <v>473</v>
      </c>
      <c r="E643" t="s">
        <v>15</v>
      </c>
      <c r="F643" t="s">
        <v>7578</v>
      </c>
      <c r="G643" t="s">
        <v>18116</v>
      </c>
      <c r="H643" t="s">
        <v>1174</v>
      </c>
      <c r="I643" t="s">
        <v>1117</v>
      </c>
      <c r="J643" t="s">
        <v>7579</v>
      </c>
      <c r="K643" t="s">
        <v>7580</v>
      </c>
      <c r="L643" t="s">
        <v>21</v>
      </c>
      <c r="M643" t="s">
        <v>19177</v>
      </c>
      <c r="N643" t="s">
        <v>478</v>
      </c>
      <c r="O643" t="s">
        <v>478</v>
      </c>
      <c r="P643" t="s">
        <v>454</v>
      </c>
    </row>
    <row r="644">
      <c r="A644">
        <f>HYPERLINK("http://bombeiros.sp.gov.br/hidrantes/03individual/1190.html","1190")</f>
      </c>
      <c r="B644" t="s">
        <v>454</v>
      </c>
      <c r="C644" t="s">
        <v>469</v>
      </c>
      <c r="D644" t="s">
        <v>473</v>
      </c>
      <c r="E644" t="s">
        <v>15</v>
      </c>
      <c r="F644" t="s">
        <v>7581</v>
      </c>
      <c r="G644" t="s">
        <v>18068</v>
      </c>
      <c r="H644" t="s">
        <v>1112</v>
      </c>
      <c r="I644" t="s">
        <v>1108</v>
      </c>
      <c r="J644" t="s">
        <v>7582</v>
      </c>
      <c r="K644" t="s">
        <v>7583</v>
      </c>
      <c r="L644" t="s">
        <v>21</v>
      </c>
      <c r="M644" t="s">
        <v>19177</v>
      </c>
      <c r="N644" t="s">
        <v>531</v>
      </c>
      <c r="O644" t="s">
        <v>531</v>
      </c>
      <c r="P644" t="s">
        <v>454</v>
      </c>
    </row>
    <row r="645">
      <c r="A645">
        <f>HYPERLINK("http://bombeiros.sp.gov.br/hidrantes/03individual/1235.html","1235")</f>
      </c>
      <c r="B645" t="s">
        <v>454</v>
      </c>
      <c r="C645" t="s">
        <v>469</v>
      </c>
      <c r="D645" t="s">
        <v>473</v>
      </c>
      <c r="E645" t="s">
        <v>15</v>
      </c>
      <c r="F645" t="s">
        <v>7584</v>
      </c>
      <c r="G645" t="s">
        <v>18110</v>
      </c>
      <c r="H645" t="s">
        <v>1112</v>
      </c>
      <c r="I645" t="s">
        <v>1108</v>
      </c>
      <c r="J645" t="s">
        <v>7585</v>
      </c>
      <c r="K645" t="s">
        <v>7586</v>
      </c>
      <c r="L645" t="s">
        <v>21</v>
      </c>
      <c r="M645" t="s">
        <v>19177</v>
      </c>
      <c r="N645" t="s">
        <v>478</v>
      </c>
      <c r="O645" t="s">
        <v>478</v>
      </c>
      <c r="P645" t="s">
        <v>454</v>
      </c>
    </row>
    <row r="646">
      <c r="A646">
        <f>HYPERLINK("http://bombeiros.sp.gov.br/hidrantes/03individual/1244.html","1244")</f>
      </c>
      <c r="B646" t="s">
        <v>454</v>
      </c>
      <c r="C646" t="s">
        <v>469</v>
      </c>
      <c r="D646" t="s">
        <v>473</v>
      </c>
      <c r="E646" t="s">
        <v>15</v>
      </c>
      <c r="F646" t="s">
        <v>7587</v>
      </c>
      <c r="G646" t="s">
        <v>18256</v>
      </c>
      <c r="H646" t="s">
        <v>1121</v>
      </c>
      <c r="I646" t="s">
        <v>1117</v>
      </c>
      <c r="J646" t="s">
        <v>17159</v>
      </c>
      <c r="K646" t="s">
        <v>17160</v>
      </c>
      <c r="L646" t="s">
        <v>21</v>
      </c>
      <c r="M646" t="s">
        <v>19177</v>
      </c>
      <c r="N646" t="s">
        <v>531</v>
      </c>
      <c r="O646" t="s">
        <v>531</v>
      </c>
      <c r="P646" t="s">
        <v>454</v>
      </c>
    </row>
    <row r="647">
      <c r="A647">
        <f>HYPERLINK("http://bombeiros.sp.gov.br/hidrantes/03individual/3888.html","3888")</f>
      </c>
      <c r="B647" t="s">
        <v>454</v>
      </c>
      <c r="C647" t="s">
        <v>469</v>
      </c>
      <c r="D647" t="s">
        <v>473</v>
      </c>
      <c r="E647" t="s">
        <v>15</v>
      </c>
      <c r="F647" t="s">
        <v>7605</v>
      </c>
      <c r="G647" t="s">
        <v>18110</v>
      </c>
      <c r="H647" t="s">
        <v>1107</v>
      </c>
      <c r="I647" t="s">
        <v>1108</v>
      </c>
      <c r="J647" t="s">
        <v>7606</v>
      </c>
      <c r="K647" t="s">
        <v>7607</v>
      </c>
      <c r="L647" t="s">
        <v>21</v>
      </c>
      <c r="M647" t="s">
        <v>19177</v>
      </c>
      <c r="N647" t="s">
        <v>478</v>
      </c>
      <c r="O647" t="s">
        <v>478</v>
      </c>
      <c r="P647" t="s">
        <v>454</v>
      </c>
    </row>
    <row r="648">
      <c r="A648">
        <f>HYPERLINK("http://bombeiros.sp.gov.br/hidrantes/03individual/17664.html","17664")</f>
      </c>
      <c r="B648" t="s">
        <v>454</v>
      </c>
      <c r="C648" t="s">
        <v>469</v>
      </c>
      <c r="D648" t="s">
        <v>473</v>
      </c>
      <c r="E648" t="s">
        <v>15</v>
      </c>
      <c r="F648" t="s">
        <v>7614</v>
      </c>
      <c r="G648" t="s">
        <v>18108</v>
      </c>
      <c r="H648" t="s">
        <v>1112</v>
      </c>
      <c r="I648" t="s">
        <v>1108</v>
      </c>
      <c r="J648" t="s">
        <v>7615</v>
      </c>
      <c r="K648" t="s">
        <v>7616</v>
      </c>
      <c r="L648" t="s">
        <v>21</v>
      </c>
      <c r="M648" t="s">
        <v>19177</v>
      </c>
      <c r="N648" t="s">
        <v>478</v>
      </c>
      <c r="O648" t="s">
        <v>478</v>
      </c>
      <c r="P648" t="s">
        <v>454</v>
      </c>
    </row>
    <row r="649">
      <c r="A649">
        <f>HYPERLINK("http://bombeiros.sp.gov.br/hidrantes/03individual/1495.html","1495")</f>
      </c>
      <c r="B649" t="s">
        <v>454</v>
      </c>
      <c r="C649" t="s">
        <v>478</v>
      </c>
      <c r="D649" t="s">
        <v>478</v>
      </c>
      <c r="E649" t="s">
        <v>64</v>
      </c>
      <c r="F649" t="s">
        <v>7624</v>
      </c>
      <c r="G649" t="s">
        <v>18053</v>
      </c>
      <c r="H649" t="s">
        <v>1112</v>
      </c>
      <c r="I649" t="s">
        <v>1108</v>
      </c>
      <c r="J649" t="s">
        <v>7625</v>
      </c>
      <c r="K649" t="s">
        <v>7626</v>
      </c>
      <c r="L649" t="s">
        <v>21</v>
      </c>
      <c r="M649" t="s">
        <v>19177</v>
      </c>
      <c r="N649" t="s">
        <v>478</v>
      </c>
      <c r="O649" t="s">
        <v>478</v>
      </c>
      <c r="P649" t="s">
        <v>454</v>
      </c>
    </row>
    <row r="650">
      <c r="A650">
        <f>HYPERLINK("http://bombeiros.sp.gov.br/hidrantes/03individual/1027.html","1027")</f>
      </c>
      <c r="B650" t="s">
        <v>454</v>
      </c>
      <c r="C650" t="s">
        <v>478</v>
      </c>
      <c r="D650" t="s">
        <v>478</v>
      </c>
      <c r="E650" t="s">
        <v>15</v>
      </c>
      <c r="F650" t="s">
        <v>7633</v>
      </c>
      <c r="G650" t="s">
        <v>18112</v>
      </c>
      <c r="H650" t="s">
        <v>1112</v>
      </c>
      <c r="I650" t="s">
        <v>1108</v>
      </c>
      <c r="J650" t="s">
        <v>7634</v>
      </c>
      <c r="K650" t="s">
        <v>7635</v>
      </c>
      <c r="L650" t="s">
        <v>21</v>
      </c>
      <c r="M650" t="s">
        <v>19177</v>
      </c>
      <c r="N650" t="s">
        <v>478</v>
      </c>
      <c r="O650" t="s">
        <v>478</v>
      </c>
      <c r="P650" t="s">
        <v>454</v>
      </c>
    </row>
    <row r="651">
      <c r="A651">
        <f>HYPERLINK("http://bombeiros.sp.gov.br/hidrantes/03individual/1090.html","1090")</f>
      </c>
      <c r="B651" t="s">
        <v>454</v>
      </c>
      <c r="C651" t="s">
        <v>478</v>
      </c>
      <c r="D651" t="s">
        <v>478</v>
      </c>
      <c r="E651" t="s">
        <v>15</v>
      </c>
      <c r="F651" t="s">
        <v>7636</v>
      </c>
      <c r="G651" t="s">
        <v>17973</v>
      </c>
      <c r="H651" t="s">
        <v>1112</v>
      </c>
      <c r="I651" t="s">
        <v>1108</v>
      </c>
      <c r="J651" t="s">
        <v>7637</v>
      </c>
      <c r="K651" t="s">
        <v>7638</v>
      </c>
      <c r="L651" t="s">
        <v>21</v>
      </c>
      <c r="M651" t="s">
        <v>19177</v>
      </c>
      <c r="N651" t="s">
        <v>478</v>
      </c>
      <c r="O651" t="s">
        <v>478</v>
      </c>
      <c r="P651" t="s">
        <v>454</v>
      </c>
    </row>
    <row r="652">
      <c r="A652">
        <f>HYPERLINK("http://bombeiros.sp.gov.br/hidrantes/03individual/1176.html","1176")</f>
      </c>
      <c r="B652" t="s">
        <v>454</v>
      </c>
      <c r="C652" t="s">
        <v>478</v>
      </c>
      <c r="D652" t="s">
        <v>478</v>
      </c>
      <c r="E652" t="s">
        <v>15</v>
      </c>
      <c r="F652" t="s">
        <v>7645</v>
      </c>
      <c r="G652" t="s">
        <v>18042</v>
      </c>
      <c r="H652" t="s">
        <v>1112</v>
      </c>
      <c r="I652" t="s">
        <v>1108</v>
      </c>
      <c r="J652" t="s">
        <v>7646</v>
      </c>
      <c r="K652" t="s">
        <v>7647</v>
      </c>
      <c r="L652" t="s">
        <v>21</v>
      </c>
      <c r="M652" t="s">
        <v>19177</v>
      </c>
      <c r="N652" t="s">
        <v>478</v>
      </c>
      <c r="O652" t="s">
        <v>478</v>
      </c>
      <c r="P652" t="s">
        <v>454</v>
      </c>
    </row>
    <row r="653">
      <c r="A653">
        <f>HYPERLINK("http://bombeiros.sp.gov.br/hidrantes/03individual/1214.html","1214")</f>
      </c>
      <c r="B653" t="s">
        <v>454</v>
      </c>
      <c r="C653" t="s">
        <v>478</v>
      </c>
      <c r="D653" t="s">
        <v>478</v>
      </c>
      <c r="E653" t="s">
        <v>15</v>
      </c>
      <c r="F653" t="s">
        <v>7651</v>
      </c>
      <c r="G653" t="s">
        <v>17973</v>
      </c>
      <c r="H653" t="s">
        <v>1112</v>
      </c>
      <c r="I653" t="s">
        <v>1108</v>
      </c>
      <c r="J653" t="s">
        <v>7652</v>
      </c>
      <c r="K653" t="s">
        <v>7653</v>
      </c>
      <c r="L653" t="s">
        <v>21</v>
      </c>
      <c r="M653" t="s">
        <v>19177</v>
      </c>
      <c r="N653" t="s">
        <v>478</v>
      </c>
      <c r="O653" t="s">
        <v>478</v>
      </c>
      <c r="P653" t="s">
        <v>454</v>
      </c>
    </row>
    <row r="654">
      <c r="A654">
        <f>HYPERLINK("http://bombeiros.sp.gov.br/hidrantes/03individual/1215.html","1215")</f>
      </c>
      <c r="B654" t="s">
        <v>454</v>
      </c>
      <c r="C654" t="s">
        <v>478</v>
      </c>
      <c r="D654" t="s">
        <v>478</v>
      </c>
      <c r="E654" t="s">
        <v>15</v>
      </c>
      <c r="F654" t="s">
        <v>7654</v>
      </c>
      <c r="G654" t="s">
        <v>18109</v>
      </c>
      <c r="H654" t="s">
        <v>1112</v>
      </c>
      <c r="I654" t="s">
        <v>1108</v>
      </c>
      <c r="J654" t="s">
        <v>7655</v>
      </c>
      <c r="K654" t="s">
        <v>7656</v>
      </c>
      <c r="L654" t="s">
        <v>21</v>
      </c>
      <c r="M654" t="s">
        <v>19177</v>
      </c>
      <c r="N654" t="s">
        <v>478</v>
      </c>
      <c r="O654" t="s">
        <v>478</v>
      </c>
      <c r="P654" t="s">
        <v>454</v>
      </c>
    </row>
    <row r="655">
      <c r="A655">
        <f>HYPERLINK("http://bombeiros.sp.gov.br/hidrantes/03individual/1306.html","1306")</f>
      </c>
      <c r="B655" t="s">
        <v>454</v>
      </c>
      <c r="C655" t="s">
        <v>478</v>
      </c>
      <c r="D655" t="s">
        <v>478</v>
      </c>
      <c r="E655" t="s">
        <v>15</v>
      </c>
      <c r="F655" t="s">
        <v>7666</v>
      </c>
      <c r="G655" t="s">
        <v>18013</v>
      </c>
      <c r="H655" t="s">
        <v>1112</v>
      </c>
      <c r="I655" t="s">
        <v>1108</v>
      </c>
      <c r="J655" t="s">
        <v>7667</v>
      </c>
      <c r="K655" t="s">
        <v>7668</v>
      </c>
      <c r="L655" t="s">
        <v>21</v>
      </c>
      <c r="M655" t="s">
        <v>19177</v>
      </c>
      <c r="N655" t="s">
        <v>478</v>
      </c>
      <c r="O655" t="s">
        <v>478</v>
      </c>
      <c r="P655" t="s">
        <v>454</v>
      </c>
    </row>
    <row r="656">
      <c r="A656">
        <f>HYPERLINK("http://bombeiros.sp.gov.br/hidrantes/03individual/1308.html","1308")</f>
      </c>
      <c r="B656" t="s">
        <v>454</v>
      </c>
      <c r="C656" t="s">
        <v>478</v>
      </c>
      <c r="D656" t="s">
        <v>478</v>
      </c>
      <c r="E656" t="s">
        <v>15</v>
      </c>
      <c r="F656" t="s">
        <v>7669</v>
      </c>
      <c r="G656" t="s">
        <v>18113</v>
      </c>
      <c r="H656" t="s">
        <v>1112</v>
      </c>
      <c r="I656" t="s">
        <v>1108</v>
      </c>
      <c r="J656" t="s">
        <v>7670</v>
      </c>
      <c r="K656" t="s">
        <v>7671</v>
      </c>
      <c r="L656" t="s">
        <v>21</v>
      </c>
      <c r="M656" t="s">
        <v>19177</v>
      </c>
      <c r="N656" t="s">
        <v>478</v>
      </c>
      <c r="O656" t="s">
        <v>478</v>
      </c>
      <c r="P656" t="s">
        <v>454</v>
      </c>
    </row>
    <row r="657">
      <c r="A657">
        <f>HYPERLINK("http://bombeiros.sp.gov.br/hidrantes/03individual/3711.html","3711")</f>
      </c>
      <c r="B657" t="s">
        <v>454</v>
      </c>
      <c r="C657" t="s">
        <v>478</v>
      </c>
      <c r="D657" t="s">
        <v>478</v>
      </c>
      <c r="E657" t="s">
        <v>15</v>
      </c>
      <c r="F657" t="s">
        <v>7678</v>
      </c>
      <c r="G657" t="s">
        <v>18114</v>
      </c>
      <c r="H657" t="s">
        <v>1112</v>
      </c>
      <c r="I657" t="s">
        <v>1108</v>
      </c>
      <c r="J657" t="s">
        <v>7679</v>
      </c>
      <c r="K657" t="s">
        <v>7680</v>
      </c>
      <c r="L657" t="s">
        <v>21</v>
      </c>
      <c r="M657" t="s">
        <v>19177</v>
      </c>
      <c r="N657" t="s">
        <v>478</v>
      </c>
      <c r="O657" t="s">
        <v>478</v>
      </c>
      <c r="P657" t="s">
        <v>454</v>
      </c>
    </row>
    <row r="658">
      <c r="A658">
        <f>HYPERLINK("http://bombeiros.sp.gov.br/hidrantes/03individual/3717.html","3717")</f>
      </c>
      <c r="B658" t="s">
        <v>454</v>
      </c>
      <c r="C658" t="s">
        <v>478</v>
      </c>
      <c r="D658" t="s">
        <v>478</v>
      </c>
      <c r="E658" t="s">
        <v>15</v>
      </c>
      <c r="F658" t="s">
        <v>7681</v>
      </c>
      <c r="G658" t="s">
        <v>18013</v>
      </c>
      <c r="H658" t="s">
        <v>1112</v>
      </c>
      <c r="I658" t="s">
        <v>1108</v>
      </c>
      <c r="J658" t="s">
        <v>7682</v>
      </c>
      <c r="K658" t="s">
        <v>7683</v>
      </c>
      <c r="L658" t="s">
        <v>21</v>
      </c>
      <c r="M658" t="s">
        <v>19177</v>
      </c>
      <c r="N658" t="s">
        <v>478</v>
      </c>
      <c r="O658" t="s">
        <v>478</v>
      </c>
      <c r="P658" t="s">
        <v>454</v>
      </c>
    </row>
    <row r="659">
      <c r="A659">
        <f>HYPERLINK("http://bombeiros.sp.gov.br/hidrantes/03individual/3718.html","3718")</f>
      </c>
      <c r="B659" t="s">
        <v>454</v>
      </c>
      <c r="C659" t="s">
        <v>478</v>
      </c>
      <c r="D659" t="s">
        <v>478</v>
      </c>
      <c r="E659" t="s">
        <v>15</v>
      </c>
      <c r="F659" t="s">
        <v>7684</v>
      </c>
      <c r="G659" t="s">
        <v>18218</v>
      </c>
      <c r="H659" t="s">
        <v>1112</v>
      </c>
      <c r="I659" t="s">
        <v>1108</v>
      </c>
      <c r="J659" t="s">
        <v>16490</v>
      </c>
      <c r="K659" t="s">
        <v>16491</v>
      </c>
      <c r="L659" t="s">
        <v>21</v>
      </c>
      <c r="M659" t="s">
        <v>19177</v>
      </c>
      <c r="N659" t="s">
        <v>478</v>
      </c>
      <c r="O659" t="s">
        <v>478</v>
      </c>
      <c r="P659" t="s">
        <v>454</v>
      </c>
    </row>
    <row r="660">
      <c r="A660">
        <f>HYPERLINK("http://bombeiros.sp.gov.br/hidrantes/03individual/3733.html","3733")</f>
      </c>
      <c r="B660" t="s">
        <v>454</v>
      </c>
      <c r="C660" t="s">
        <v>478</v>
      </c>
      <c r="D660" t="s">
        <v>478</v>
      </c>
      <c r="E660" t="s">
        <v>15</v>
      </c>
      <c r="F660" t="s">
        <v>7699</v>
      </c>
      <c r="G660" t="s">
        <v>18114</v>
      </c>
      <c r="H660" t="s">
        <v>1112</v>
      </c>
      <c r="I660" t="s">
        <v>1108</v>
      </c>
      <c r="J660" t="s">
        <v>7700</v>
      </c>
      <c r="K660" t="s">
        <v>7701</v>
      </c>
      <c r="L660" t="s">
        <v>21</v>
      </c>
      <c r="M660" t="s">
        <v>19177</v>
      </c>
      <c r="N660" t="s">
        <v>478</v>
      </c>
      <c r="O660" t="s">
        <v>478</v>
      </c>
      <c r="P660" t="s">
        <v>454</v>
      </c>
    </row>
    <row r="661">
      <c r="A661">
        <f>HYPERLINK("http://bombeiros.sp.gov.br/hidrantes/03individual/3742.html","3742")</f>
      </c>
      <c r="B661" t="s">
        <v>454</v>
      </c>
      <c r="C661" t="s">
        <v>478</v>
      </c>
      <c r="D661" t="s">
        <v>478</v>
      </c>
      <c r="E661" t="s">
        <v>15</v>
      </c>
      <c r="F661" t="s">
        <v>7705</v>
      </c>
      <c r="G661" t="s">
        <v>18001</v>
      </c>
      <c r="H661" t="s">
        <v>1112</v>
      </c>
      <c r="I661" t="s">
        <v>1108</v>
      </c>
      <c r="J661" t="s">
        <v>7706</v>
      </c>
      <c r="K661" t="s">
        <v>7707</v>
      </c>
      <c r="L661" t="s">
        <v>21</v>
      </c>
      <c r="M661" t="s">
        <v>19177</v>
      </c>
      <c r="N661" t="s">
        <v>478</v>
      </c>
      <c r="O661" t="s">
        <v>478</v>
      </c>
      <c r="P661" t="s">
        <v>454</v>
      </c>
    </row>
    <row r="662">
      <c r="A662">
        <f>HYPERLINK("http://bombeiros.sp.gov.br/hidrantes/03individual/3642.html","3642")</f>
      </c>
      <c r="B662" t="s">
        <v>454</v>
      </c>
      <c r="C662" t="s">
        <v>478</v>
      </c>
      <c r="D662" t="s">
        <v>7708</v>
      </c>
      <c r="E662" t="s">
        <v>64</v>
      </c>
      <c r="F662" t="s">
        <v>7709</v>
      </c>
      <c r="G662" t="s">
        <v>18112</v>
      </c>
      <c r="H662" t="s">
        <v>1112</v>
      </c>
      <c r="I662" t="s">
        <v>1108</v>
      </c>
      <c r="J662" t="s">
        <v>7710</v>
      </c>
      <c r="K662" t="s">
        <v>7711</v>
      </c>
      <c r="L662" t="s">
        <v>36</v>
      </c>
      <c r="M662" t="s">
        <v>19177</v>
      </c>
      <c r="N662" t="s">
        <v>478</v>
      </c>
      <c r="O662" t="s">
        <v>478</v>
      </c>
      <c r="P662" t="s">
        <v>454</v>
      </c>
    </row>
    <row r="663">
      <c r="A663">
        <f>HYPERLINK("http://bombeiros.sp.gov.br/hidrantes/03individual/3643.html","3643")</f>
      </c>
      <c r="B663" t="s">
        <v>454</v>
      </c>
      <c r="C663" t="s">
        <v>478</v>
      </c>
      <c r="D663" t="s">
        <v>7708</v>
      </c>
      <c r="E663" t="s">
        <v>64</v>
      </c>
      <c r="F663" t="s">
        <v>7712</v>
      </c>
      <c r="G663" t="s">
        <v>18053</v>
      </c>
      <c r="H663" t="s">
        <v>1107</v>
      </c>
      <c r="I663" t="s">
        <v>1108</v>
      </c>
      <c r="J663" t="s">
        <v>7713</v>
      </c>
      <c r="K663" t="s">
        <v>7714</v>
      </c>
      <c r="L663" t="s">
        <v>36</v>
      </c>
      <c r="M663" t="s">
        <v>19177</v>
      </c>
      <c r="N663" t="s">
        <v>478</v>
      </c>
      <c r="O663" t="s">
        <v>478</v>
      </c>
      <c r="P663" t="s">
        <v>454</v>
      </c>
    </row>
    <row r="664">
      <c r="A664">
        <f>HYPERLINK("http://bombeiros.sp.gov.br/hidrantes/03individual/1302.html","1302")</f>
      </c>
      <c r="B664" t="s">
        <v>454</v>
      </c>
      <c r="C664" t="s">
        <v>478</v>
      </c>
      <c r="D664" t="s">
        <v>7708</v>
      </c>
      <c r="E664" t="s">
        <v>15</v>
      </c>
      <c r="F664" t="s">
        <v>7715</v>
      </c>
      <c r="G664" t="s">
        <v>18112</v>
      </c>
      <c r="H664" t="s">
        <v>1112</v>
      </c>
      <c r="I664" t="s">
        <v>1108</v>
      </c>
      <c r="J664" t="s">
        <v>7716</v>
      </c>
      <c r="K664" t="s">
        <v>7717</v>
      </c>
      <c r="L664" t="s">
        <v>21</v>
      </c>
      <c r="M664" t="s">
        <v>19177</v>
      </c>
      <c r="N664" t="s">
        <v>478</v>
      </c>
      <c r="O664" t="s">
        <v>478</v>
      </c>
      <c r="P664" t="s">
        <v>454</v>
      </c>
    </row>
    <row r="665">
      <c r="A665">
        <f>HYPERLINK("http://bombeiros.sp.gov.br/hidrantes/03individual/3737.html","3737")</f>
      </c>
      <c r="B665" t="s">
        <v>454</v>
      </c>
      <c r="C665" t="s">
        <v>478</v>
      </c>
      <c r="D665" t="s">
        <v>7708</v>
      </c>
      <c r="E665" t="s">
        <v>15</v>
      </c>
      <c r="F665" t="s">
        <v>7721</v>
      </c>
      <c r="G665" t="s">
        <v>18112</v>
      </c>
      <c r="H665" t="s">
        <v>1112</v>
      </c>
      <c r="I665" t="s">
        <v>1108</v>
      </c>
      <c r="J665" t="s">
        <v>7722</v>
      </c>
      <c r="K665" t="s">
        <v>7723</v>
      </c>
      <c r="L665" t="s">
        <v>21</v>
      </c>
      <c r="M665" t="s">
        <v>19177</v>
      </c>
      <c r="N665" t="s">
        <v>478</v>
      </c>
      <c r="O665" t="s">
        <v>478</v>
      </c>
      <c r="P665" t="s">
        <v>454</v>
      </c>
    </row>
    <row r="666">
      <c r="A666">
        <f>HYPERLINK("http://bombeiros.sp.gov.br/hidrantes/03individual/3774.html","3774")</f>
      </c>
      <c r="B666" t="s">
        <v>454</v>
      </c>
      <c r="C666" t="s">
        <v>478</v>
      </c>
      <c r="D666" t="s">
        <v>7708</v>
      </c>
      <c r="E666" t="s">
        <v>15</v>
      </c>
      <c r="F666" t="s">
        <v>7730</v>
      </c>
      <c r="G666" t="s">
        <v>18218</v>
      </c>
      <c r="H666" t="s">
        <v>1121</v>
      </c>
      <c r="I666" t="s">
        <v>1117</v>
      </c>
      <c r="J666" t="s">
        <v>7731</v>
      </c>
      <c r="K666" t="s">
        <v>7732</v>
      </c>
      <c r="L666" t="s">
        <v>21</v>
      </c>
      <c r="M666" t="s">
        <v>19177</v>
      </c>
      <c r="N666" t="s">
        <v>478</v>
      </c>
      <c r="O666" t="s">
        <v>478</v>
      </c>
      <c r="P666" t="s">
        <v>454</v>
      </c>
    </row>
    <row r="667">
      <c r="A667">
        <f>HYPERLINK("http://bombeiros.sp.gov.br/hidrantes/03individual/85.html","85")</f>
      </c>
      <c r="B667" t="s">
        <v>454</v>
      </c>
      <c r="C667" t="s">
        <v>478</v>
      </c>
      <c r="D667" t="s">
        <v>483</v>
      </c>
      <c r="E667" t="s">
        <v>15</v>
      </c>
      <c r="F667" t="s">
        <v>7739</v>
      </c>
      <c r="G667" t="s">
        <v>17973</v>
      </c>
      <c r="H667" t="s">
        <v>1112</v>
      </c>
      <c r="I667" t="s">
        <v>1108</v>
      </c>
      <c r="J667" t="s">
        <v>7740</v>
      </c>
      <c r="K667" t="s">
        <v>7741</v>
      </c>
      <c r="L667" t="s">
        <v>21</v>
      </c>
      <c r="M667" t="s">
        <v>19177</v>
      </c>
      <c r="N667" t="s">
        <v>478</v>
      </c>
      <c r="O667" t="s">
        <v>478</v>
      </c>
      <c r="P667" t="s">
        <v>454</v>
      </c>
    </row>
    <row r="668">
      <c r="A668">
        <f>HYPERLINK("http://bombeiros.sp.gov.br/hidrantes/03individual/1095.html","1095")</f>
      </c>
      <c r="B668" t="s">
        <v>454</v>
      </c>
      <c r="C668" t="s">
        <v>478</v>
      </c>
      <c r="D668" t="s">
        <v>483</v>
      </c>
      <c r="E668" t="s">
        <v>15</v>
      </c>
      <c r="F668" t="s">
        <v>7742</v>
      </c>
      <c r="G668" t="s">
        <v>18075</v>
      </c>
      <c r="H668" t="s">
        <v>1107</v>
      </c>
      <c r="I668" t="s">
        <v>1117</v>
      </c>
      <c r="J668" t="s">
        <v>7743</v>
      </c>
      <c r="K668" t="s">
        <v>7744</v>
      </c>
      <c r="L668" t="s">
        <v>21</v>
      </c>
      <c r="M668" t="s">
        <v>19177</v>
      </c>
      <c r="N668" t="s">
        <v>519</v>
      </c>
      <c r="O668" t="s">
        <v>519</v>
      </c>
      <c r="P668" t="s">
        <v>454</v>
      </c>
    </row>
    <row r="669">
      <c r="A669">
        <f>HYPERLINK("http://bombeiros.sp.gov.br/hidrantes/03individual/1267.html","1267")</f>
      </c>
      <c r="B669" t="s">
        <v>454</v>
      </c>
      <c r="C669" t="s">
        <v>478</v>
      </c>
      <c r="D669" t="s">
        <v>483</v>
      </c>
      <c r="E669" t="s">
        <v>15</v>
      </c>
      <c r="F669" t="s">
        <v>7745</v>
      </c>
      <c r="G669" t="s">
        <v>18022</v>
      </c>
      <c r="H669" t="s">
        <v>1112</v>
      </c>
      <c r="I669" t="s">
        <v>1108</v>
      </c>
      <c r="J669" t="s">
        <v>7746</v>
      </c>
      <c r="K669" t="s">
        <v>7747</v>
      </c>
      <c r="L669" t="s">
        <v>21</v>
      </c>
      <c r="M669" t="s">
        <v>19177</v>
      </c>
      <c r="N669" t="s">
        <v>478</v>
      </c>
      <c r="O669" t="s">
        <v>478</v>
      </c>
      <c r="P669" t="s">
        <v>454</v>
      </c>
    </row>
    <row r="670">
      <c r="A670">
        <f>HYPERLINK("http://bombeiros.sp.gov.br/hidrantes/03individual/4042.html","4042")</f>
      </c>
      <c r="B670" t="s">
        <v>454</v>
      </c>
      <c r="C670" t="s">
        <v>478</v>
      </c>
      <c r="D670" t="s">
        <v>483</v>
      </c>
      <c r="E670" t="s">
        <v>15</v>
      </c>
      <c r="F670" t="s">
        <v>7751</v>
      </c>
      <c r="G670" t="s">
        <v>18116</v>
      </c>
      <c r="H670" t="s">
        <v>1112</v>
      </c>
      <c r="I670" t="s">
        <v>1108</v>
      </c>
      <c r="J670" t="s">
        <v>7752</v>
      </c>
      <c r="K670" t="s">
        <v>7753</v>
      </c>
      <c r="L670" t="s">
        <v>21</v>
      </c>
      <c r="M670" t="s">
        <v>19177</v>
      </c>
      <c r="N670" t="s">
        <v>478</v>
      </c>
      <c r="O670" t="s">
        <v>478</v>
      </c>
      <c r="P670" t="s">
        <v>454</v>
      </c>
    </row>
    <row r="671">
      <c r="A671">
        <f>HYPERLINK("http://bombeiros.sp.gov.br/hidrantes/03individual/580.html","580")</f>
      </c>
      <c r="B671" t="s">
        <v>454</v>
      </c>
      <c r="C671" t="s">
        <v>490</v>
      </c>
      <c r="D671" t="s">
        <v>490</v>
      </c>
      <c r="E671" t="s">
        <v>64</v>
      </c>
      <c r="F671" t="s">
        <v>7757</v>
      </c>
      <c r="G671" t="s">
        <v>18125</v>
      </c>
      <c r="H671" t="s">
        <v>1107</v>
      </c>
      <c r="I671" t="s">
        <v>1108</v>
      </c>
      <c r="J671" t="s">
        <v>7758</v>
      </c>
      <c r="K671" t="s">
        <v>7759</v>
      </c>
      <c r="L671" t="s">
        <v>36</v>
      </c>
      <c r="M671" t="s">
        <v>19177</v>
      </c>
      <c r="N671" t="s">
        <v>594</v>
      </c>
      <c r="O671" t="s">
        <v>531</v>
      </c>
      <c r="P671" t="s">
        <v>454</v>
      </c>
    </row>
    <row r="672">
      <c r="A672">
        <f>HYPERLINK("http://bombeiros.sp.gov.br/hidrantes/03individual/3475.html","3475")</f>
      </c>
      <c r="B672" t="s">
        <v>454</v>
      </c>
      <c r="C672" t="s">
        <v>490</v>
      </c>
      <c r="D672" t="s">
        <v>490</v>
      </c>
      <c r="E672" t="s">
        <v>64</v>
      </c>
      <c r="F672" t="s">
        <v>7760</v>
      </c>
      <c r="G672" t="s">
        <v>18066</v>
      </c>
      <c r="H672" t="s">
        <v>1107</v>
      </c>
      <c r="I672" t="s">
        <v>1108</v>
      </c>
      <c r="J672" t="s">
        <v>7761</v>
      </c>
      <c r="K672" t="s">
        <v>7762</v>
      </c>
      <c r="L672" t="s">
        <v>36</v>
      </c>
      <c r="M672" t="s">
        <v>19177</v>
      </c>
      <c r="N672" t="s">
        <v>594</v>
      </c>
      <c r="O672" t="s">
        <v>531</v>
      </c>
      <c r="P672" t="s">
        <v>454</v>
      </c>
    </row>
    <row r="673">
      <c r="A673">
        <f>HYPERLINK("http://bombeiros.sp.gov.br/hidrantes/03individual/3479.html","3479")</f>
      </c>
      <c r="B673" t="s">
        <v>454</v>
      </c>
      <c r="C673" t="s">
        <v>490</v>
      </c>
      <c r="D673" t="s">
        <v>490</v>
      </c>
      <c r="E673" t="s">
        <v>64</v>
      </c>
      <c r="F673" t="s">
        <v>7763</v>
      </c>
      <c r="G673" t="s">
        <v>18057</v>
      </c>
      <c r="H673" t="s">
        <v>1112</v>
      </c>
      <c r="I673" t="s">
        <v>1117</v>
      </c>
      <c r="J673" t="s">
        <v>16008</v>
      </c>
      <c r="K673" t="s">
        <v>16009</v>
      </c>
      <c r="L673" t="s">
        <v>36</v>
      </c>
      <c r="M673" t="s">
        <v>19177</v>
      </c>
      <c r="N673" t="s">
        <v>594</v>
      </c>
      <c r="O673" t="s">
        <v>531</v>
      </c>
      <c r="P673" t="s">
        <v>454</v>
      </c>
    </row>
    <row r="674">
      <c r="A674">
        <f>HYPERLINK("http://bombeiros.sp.gov.br/hidrantes/03individual/3584.html","3584")</f>
      </c>
      <c r="B674" t="s">
        <v>454</v>
      </c>
      <c r="C674" t="s">
        <v>490</v>
      </c>
      <c r="D674" t="s">
        <v>490</v>
      </c>
      <c r="E674" t="s">
        <v>64</v>
      </c>
      <c r="F674" t="s">
        <v>7775</v>
      </c>
      <c r="G674" t="s">
        <v>18066</v>
      </c>
      <c r="H674" t="s">
        <v>1121</v>
      </c>
      <c r="I674" t="s">
        <v>1117</v>
      </c>
      <c r="J674" t="s">
        <v>7776</v>
      </c>
      <c r="K674" t="s">
        <v>7777</v>
      </c>
      <c r="L674" t="s">
        <v>21</v>
      </c>
      <c r="M674" t="s">
        <v>19177</v>
      </c>
      <c r="N674" t="s">
        <v>594</v>
      </c>
      <c r="O674" t="s">
        <v>531</v>
      </c>
      <c r="P674" t="s">
        <v>454</v>
      </c>
    </row>
    <row r="675">
      <c r="A675">
        <f>HYPERLINK("http://bombeiros.sp.gov.br/hidrantes/03individual/665.html","665")</f>
      </c>
      <c r="B675" t="s">
        <v>454</v>
      </c>
      <c r="C675" t="s">
        <v>490</v>
      </c>
      <c r="D675" t="s">
        <v>490</v>
      </c>
      <c r="E675" t="s">
        <v>15</v>
      </c>
      <c r="F675" t="s">
        <v>7781</v>
      </c>
      <c r="G675" t="s">
        <v>18196</v>
      </c>
      <c r="H675" t="s">
        <v>1112</v>
      </c>
      <c r="I675" t="s">
        <v>1108</v>
      </c>
      <c r="J675" t="s">
        <v>7782</v>
      </c>
      <c r="K675" t="s">
        <v>7783</v>
      </c>
      <c r="L675" t="s">
        <v>21</v>
      </c>
      <c r="M675" t="s">
        <v>19177</v>
      </c>
      <c r="N675" t="s">
        <v>594</v>
      </c>
      <c r="O675" t="s">
        <v>531</v>
      </c>
      <c r="P675" t="s">
        <v>454</v>
      </c>
    </row>
    <row r="676">
      <c r="A676">
        <f>HYPERLINK("http://bombeiros.sp.gov.br/hidrantes/03individual/730.html","730")</f>
      </c>
      <c r="B676" t="s">
        <v>454</v>
      </c>
      <c r="C676" t="s">
        <v>490</v>
      </c>
      <c r="D676" t="s">
        <v>490</v>
      </c>
      <c r="E676" t="s">
        <v>15</v>
      </c>
      <c r="F676" t="s">
        <v>7793</v>
      </c>
      <c r="G676" t="s">
        <v>18046</v>
      </c>
      <c r="H676" t="s">
        <v>1107</v>
      </c>
      <c r="I676" t="s">
        <v>1108</v>
      </c>
      <c r="J676" t="s">
        <v>7794</v>
      </c>
      <c r="K676" t="s">
        <v>7795</v>
      </c>
      <c r="L676" t="s">
        <v>21</v>
      </c>
      <c r="M676" t="s">
        <v>19177</v>
      </c>
      <c r="N676" t="s">
        <v>594</v>
      </c>
      <c r="O676" t="s">
        <v>531</v>
      </c>
      <c r="P676" t="s">
        <v>454</v>
      </c>
    </row>
    <row r="677">
      <c r="A677">
        <f>HYPERLINK("http://bombeiros.sp.gov.br/hidrantes/03individual/3477.html","3477")</f>
      </c>
      <c r="B677" t="s">
        <v>454</v>
      </c>
      <c r="C677" t="s">
        <v>490</v>
      </c>
      <c r="D677" t="s">
        <v>490</v>
      </c>
      <c r="E677" t="s">
        <v>15</v>
      </c>
      <c r="F677" t="s">
        <v>7814</v>
      </c>
      <c r="G677" t="s">
        <v>18066</v>
      </c>
      <c r="H677" t="s">
        <v>1107</v>
      </c>
      <c r="I677" t="s">
        <v>1108</v>
      </c>
      <c r="J677" t="s">
        <v>7815</v>
      </c>
      <c r="K677" t="s">
        <v>7816</v>
      </c>
      <c r="L677" t="s">
        <v>21</v>
      </c>
      <c r="M677" t="s">
        <v>19177</v>
      </c>
      <c r="N677" t="s">
        <v>594</v>
      </c>
      <c r="O677" t="s">
        <v>531</v>
      </c>
      <c r="P677" t="s">
        <v>454</v>
      </c>
    </row>
    <row r="678">
      <c r="A678">
        <f>HYPERLINK("http://bombeiros.sp.gov.br/hidrantes/03individual/719.html","719")</f>
      </c>
      <c r="B678" t="s">
        <v>454</v>
      </c>
      <c r="C678" t="s">
        <v>490</v>
      </c>
      <c r="D678" t="s">
        <v>506</v>
      </c>
      <c r="E678" t="s">
        <v>64</v>
      </c>
      <c r="F678" t="s">
        <v>7823</v>
      </c>
      <c r="G678" t="s">
        <v>18066</v>
      </c>
      <c r="H678" t="s">
        <v>1174</v>
      </c>
      <c r="I678" t="s">
        <v>1108</v>
      </c>
      <c r="J678" t="s">
        <v>7824</v>
      </c>
      <c r="K678" t="s">
        <v>7825</v>
      </c>
      <c r="L678" t="s">
        <v>21</v>
      </c>
      <c r="M678" t="s">
        <v>19177</v>
      </c>
      <c r="N678" t="s">
        <v>594</v>
      </c>
      <c r="O678" t="s">
        <v>531</v>
      </c>
      <c r="P678" t="s">
        <v>454</v>
      </c>
    </row>
    <row r="679">
      <c r="A679">
        <f>HYPERLINK("http://bombeiros.sp.gov.br/hidrantes/03individual/716.html","716")</f>
      </c>
      <c r="B679" t="s">
        <v>454</v>
      </c>
      <c r="C679" t="s">
        <v>490</v>
      </c>
      <c r="D679" t="s">
        <v>506</v>
      </c>
      <c r="E679" t="s">
        <v>15</v>
      </c>
      <c r="F679" t="s">
        <v>7838</v>
      </c>
      <c r="G679" t="s">
        <v>18057</v>
      </c>
      <c r="H679" t="s">
        <v>1112</v>
      </c>
      <c r="I679" t="s">
        <v>1108</v>
      </c>
      <c r="J679" t="s">
        <v>7839</v>
      </c>
      <c r="K679" t="s">
        <v>7840</v>
      </c>
      <c r="L679" t="s">
        <v>21</v>
      </c>
      <c r="M679" t="s">
        <v>19177</v>
      </c>
      <c r="N679" t="s">
        <v>594</v>
      </c>
      <c r="O679" t="s">
        <v>531</v>
      </c>
      <c r="P679" t="s">
        <v>454</v>
      </c>
    </row>
    <row r="680">
      <c r="A680">
        <f>HYPERLINK("http://bombeiros.sp.gov.br/hidrantes/03individual/1010.html","1010")</f>
      </c>
      <c r="B680" t="s">
        <v>454</v>
      </c>
      <c r="C680" t="s">
        <v>510</v>
      </c>
      <c r="D680" t="s">
        <v>7847</v>
      </c>
      <c r="E680" t="s">
        <v>64</v>
      </c>
      <c r="F680" t="s">
        <v>7848</v>
      </c>
      <c r="G680" t="s">
        <v>18145</v>
      </c>
      <c r="H680" t="s">
        <v>1112</v>
      </c>
      <c r="I680" t="s">
        <v>1108</v>
      </c>
      <c r="J680" t="s">
        <v>7849</v>
      </c>
      <c r="K680" t="s">
        <v>7850</v>
      </c>
      <c r="L680" t="s">
        <v>21</v>
      </c>
      <c r="M680" t="s">
        <v>19177</v>
      </c>
      <c r="N680" t="s">
        <v>519</v>
      </c>
      <c r="O680" t="s">
        <v>519</v>
      </c>
      <c r="P680" t="s">
        <v>454</v>
      </c>
    </row>
    <row r="681">
      <c r="A681">
        <f>HYPERLINK("http://bombeiros.sp.gov.br/hidrantes/03individual/4396.html","4396")</f>
      </c>
      <c r="B681" t="s">
        <v>454</v>
      </c>
      <c r="C681" t="s">
        <v>510</v>
      </c>
      <c r="D681" t="s">
        <v>7847</v>
      </c>
      <c r="E681" t="s">
        <v>64</v>
      </c>
      <c r="F681" t="s">
        <v>7854</v>
      </c>
      <c r="G681" t="s">
        <v>18193</v>
      </c>
      <c r="H681" t="s">
        <v>1107</v>
      </c>
      <c r="I681" t="s">
        <v>1108</v>
      </c>
      <c r="J681" t="s">
        <v>7855</v>
      </c>
      <c r="K681" t="s">
        <v>7856</v>
      </c>
      <c r="L681" t="s">
        <v>21</v>
      </c>
      <c r="M681" t="s">
        <v>19177</v>
      </c>
      <c r="N681" t="s">
        <v>519</v>
      </c>
      <c r="O681" t="s">
        <v>519</v>
      </c>
      <c r="P681" t="s">
        <v>454</v>
      </c>
    </row>
    <row r="682">
      <c r="A682">
        <f>HYPERLINK("http://bombeiros.sp.gov.br/hidrantes/03individual/4072.html","4072")</f>
      </c>
      <c r="B682" t="s">
        <v>454</v>
      </c>
      <c r="C682" t="s">
        <v>510</v>
      </c>
      <c r="D682" t="s">
        <v>7847</v>
      </c>
      <c r="E682" t="s">
        <v>15</v>
      </c>
      <c r="F682" t="s">
        <v>7860</v>
      </c>
      <c r="G682" t="s">
        <v>18052</v>
      </c>
      <c r="H682" t="s">
        <v>1112</v>
      </c>
      <c r="I682" t="s">
        <v>1108</v>
      </c>
      <c r="J682" t="s">
        <v>7861</v>
      </c>
      <c r="K682" t="s">
        <v>7862</v>
      </c>
      <c r="L682" t="s">
        <v>21</v>
      </c>
      <c r="M682" t="s">
        <v>19177</v>
      </c>
      <c r="N682" t="s">
        <v>519</v>
      </c>
      <c r="O682" t="s">
        <v>519</v>
      </c>
      <c r="P682" t="s">
        <v>454</v>
      </c>
    </row>
    <row r="683">
      <c r="A683">
        <f>HYPERLINK("http://bombeiros.sp.gov.br/hidrantes/03individual/10047.html","10047")</f>
      </c>
      <c r="B683" t="s">
        <v>454</v>
      </c>
      <c r="C683" t="s">
        <v>510</v>
      </c>
      <c r="D683" t="s">
        <v>511</v>
      </c>
      <c r="E683" t="s">
        <v>1507</v>
      </c>
      <c r="F683" t="s">
        <v>7863</v>
      </c>
      <c r="G683" t="s">
        <v>18146</v>
      </c>
      <c r="H683" t="s">
        <v>1107</v>
      </c>
      <c r="I683" t="s">
        <v>1108</v>
      </c>
      <c r="J683" t="s">
        <v>7864</v>
      </c>
      <c r="K683" t="s">
        <v>7865</v>
      </c>
      <c r="L683" t="s">
        <v>21</v>
      </c>
      <c r="M683" t="s">
        <v>19177</v>
      </c>
      <c r="N683" t="s">
        <v>519</v>
      </c>
      <c r="O683" t="s">
        <v>519</v>
      </c>
      <c r="P683" t="s">
        <v>454</v>
      </c>
    </row>
    <row r="684">
      <c r="A684">
        <f>HYPERLINK("http://bombeiros.sp.gov.br/hidrantes/03individual/3979.html","3979")</f>
      </c>
      <c r="B684" t="s">
        <v>454</v>
      </c>
      <c r="C684" t="s">
        <v>510</v>
      </c>
      <c r="D684" t="s">
        <v>511</v>
      </c>
      <c r="E684" t="s">
        <v>64</v>
      </c>
      <c r="F684" t="s">
        <v>7872</v>
      </c>
      <c r="G684" t="s">
        <v>18181</v>
      </c>
      <c r="H684" t="s">
        <v>1112</v>
      </c>
      <c r="I684" t="s">
        <v>1108</v>
      </c>
      <c r="J684" t="s">
        <v>7873</v>
      </c>
      <c r="K684" t="s">
        <v>7874</v>
      </c>
      <c r="L684" t="s">
        <v>36</v>
      </c>
      <c r="M684" t="s">
        <v>19177</v>
      </c>
      <c r="N684" t="s">
        <v>519</v>
      </c>
      <c r="O684" t="s">
        <v>519</v>
      </c>
      <c r="P684" t="s">
        <v>454</v>
      </c>
    </row>
    <row r="685">
      <c r="A685">
        <f>HYPERLINK("http://bombeiros.sp.gov.br/hidrantes/03individual/4062.html","4062")</f>
      </c>
      <c r="B685" t="s">
        <v>454</v>
      </c>
      <c r="C685" t="s">
        <v>510</v>
      </c>
      <c r="D685" t="s">
        <v>511</v>
      </c>
      <c r="E685" t="s">
        <v>64</v>
      </c>
      <c r="F685" t="s">
        <v>7875</v>
      </c>
      <c r="G685" t="s">
        <v>18197</v>
      </c>
      <c r="H685" t="s">
        <v>1112</v>
      </c>
      <c r="I685" t="s">
        <v>1108</v>
      </c>
      <c r="J685" t="s">
        <v>7876</v>
      </c>
      <c r="K685" t="s">
        <v>7877</v>
      </c>
      <c r="L685" t="s">
        <v>21</v>
      </c>
      <c r="M685" t="s">
        <v>19177</v>
      </c>
      <c r="N685" t="s">
        <v>519</v>
      </c>
      <c r="O685" t="s">
        <v>519</v>
      </c>
      <c r="P685" t="s">
        <v>454</v>
      </c>
    </row>
    <row r="686">
      <c r="A686">
        <f>HYPERLINK("http://bombeiros.sp.gov.br/hidrantes/03individual/4064.html","4064")</f>
      </c>
      <c r="B686" t="s">
        <v>454</v>
      </c>
      <c r="C686" t="s">
        <v>510</v>
      </c>
      <c r="D686" t="s">
        <v>511</v>
      </c>
      <c r="E686" t="s">
        <v>64</v>
      </c>
      <c r="F686" t="s">
        <v>7878</v>
      </c>
      <c r="G686" t="s">
        <v>18197</v>
      </c>
      <c r="H686" t="s">
        <v>1112</v>
      </c>
      <c r="I686" t="s">
        <v>1108</v>
      </c>
      <c r="J686" t="s">
        <v>7879</v>
      </c>
      <c r="K686" t="s">
        <v>7880</v>
      </c>
      <c r="L686" t="s">
        <v>36</v>
      </c>
      <c r="M686" t="s">
        <v>19177</v>
      </c>
      <c r="N686" t="s">
        <v>519</v>
      </c>
      <c r="O686" t="s">
        <v>519</v>
      </c>
      <c r="P686" t="s">
        <v>454</v>
      </c>
    </row>
    <row r="687">
      <c r="A687">
        <f>HYPERLINK("http://bombeiros.sp.gov.br/hidrantes/03individual/4068.html","4068")</f>
      </c>
      <c r="B687" t="s">
        <v>454</v>
      </c>
      <c r="C687" t="s">
        <v>510</v>
      </c>
      <c r="D687" t="s">
        <v>511</v>
      </c>
      <c r="E687" t="s">
        <v>64</v>
      </c>
      <c r="F687" t="s">
        <v>7881</v>
      </c>
      <c r="G687" t="s">
        <v>18197</v>
      </c>
      <c r="H687" t="s">
        <v>1112</v>
      </c>
      <c r="I687" t="s">
        <v>1108</v>
      </c>
      <c r="J687" t="s">
        <v>7882</v>
      </c>
      <c r="K687" t="s">
        <v>7883</v>
      </c>
      <c r="L687" t="s">
        <v>36</v>
      </c>
      <c r="M687" t="s">
        <v>19177</v>
      </c>
      <c r="N687" t="s">
        <v>519</v>
      </c>
      <c r="O687" t="s">
        <v>519</v>
      </c>
      <c r="P687" t="s">
        <v>454</v>
      </c>
    </row>
    <row r="688">
      <c r="A688">
        <f>HYPERLINK("http://bombeiros.sp.gov.br/hidrantes/03individual/5523.html","5523")</f>
      </c>
      <c r="B688" t="s">
        <v>454</v>
      </c>
      <c r="C688" t="s">
        <v>510</v>
      </c>
      <c r="D688" t="s">
        <v>511</v>
      </c>
      <c r="E688" t="s">
        <v>64</v>
      </c>
      <c r="F688" t="s">
        <v>7884</v>
      </c>
      <c r="G688" t="s">
        <v>18197</v>
      </c>
      <c r="H688" t="s">
        <v>1112</v>
      </c>
      <c r="I688" t="s">
        <v>1108</v>
      </c>
      <c r="J688" t="s">
        <v>7885</v>
      </c>
      <c r="K688" t="s">
        <v>7886</v>
      </c>
      <c r="L688" t="s">
        <v>21</v>
      </c>
      <c r="M688" t="s">
        <v>19177</v>
      </c>
      <c r="N688" t="s">
        <v>519</v>
      </c>
      <c r="O688" t="s">
        <v>519</v>
      </c>
      <c r="P688" t="s">
        <v>454</v>
      </c>
    </row>
    <row r="689">
      <c r="A689">
        <f>HYPERLINK("http://bombeiros.sp.gov.br/hidrantes/03individual/16369.html","16369")</f>
      </c>
      <c r="B689" t="s">
        <v>454</v>
      </c>
      <c r="C689" t="s">
        <v>510</v>
      </c>
      <c r="D689" t="s">
        <v>511</v>
      </c>
      <c r="E689" t="s">
        <v>64</v>
      </c>
      <c r="F689" t="s">
        <v>7887</v>
      </c>
      <c r="G689" t="s">
        <v>18197</v>
      </c>
      <c r="H689" t="s">
        <v>1112</v>
      </c>
      <c r="I689" t="s">
        <v>1108</v>
      </c>
      <c r="J689" t="s">
        <v>7888</v>
      </c>
      <c r="K689" t="s">
        <v>7889</v>
      </c>
      <c r="L689" t="s">
        <v>21</v>
      </c>
      <c r="M689" t="s">
        <v>19177</v>
      </c>
      <c r="N689" t="s">
        <v>519</v>
      </c>
      <c r="O689" t="s">
        <v>519</v>
      </c>
      <c r="P689" t="s">
        <v>454</v>
      </c>
    </row>
    <row r="690">
      <c r="A690">
        <f>HYPERLINK("http://bombeiros.sp.gov.br/hidrantes/03individual/16409.html","16409")</f>
      </c>
      <c r="B690" t="s">
        <v>454</v>
      </c>
      <c r="C690" t="s">
        <v>510</v>
      </c>
      <c r="D690" t="s">
        <v>511</v>
      </c>
      <c r="E690" t="s">
        <v>64</v>
      </c>
      <c r="F690" t="s">
        <v>7890</v>
      </c>
      <c r="G690" t="s">
        <v>18197</v>
      </c>
      <c r="H690" t="s">
        <v>1112</v>
      </c>
      <c r="I690" t="s">
        <v>1108</v>
      </c>
      <c r="J690" t="s">
        <v>7891</v>
      </c>
      <c r="K690" t="s">
        <v>7892</v>
      </c>
      <c r="L690" t="s">
        <v>21</v>
      </c>
      <c r="M690" t="s">
        <v>19177</v>
      </c>
      <c r="N690" t="s">
        <v>519</v>
      </c>
      <c r="O690" t="s">
        <v>519</v>
      </c>
      <c r="P690" t="s">
        <v>454</v>
      </c>
    </row>
    <row r="691">
      <c r="A691">
        <f>HYPERLINK("http://bombeiros.sp.gov.br/hidrantes/03individual/17902.html","17902")</f>
      </c>
      <c r="B691" t="s">
        <v>454</v>
      </c>
      <c r="C691" t="s">
        <v>510</v>
      </c>
      <c r="D691" t="s">
        <v>511</v>
      </c>
      <c r="E691" t="s">
        <v>64</v>
      </c>
      <c r="F691" t="s">
        <v>7893</v>
      </c>
      <c r="G691" t="s">
        <v>18042</v>
      </c>
      <c r="H691" t="s">
        <v>1112</v>
      </c>
      <c r="I691" t="s">
        <v>1108</v>
      </c>
      <c r="J691" t="s">
        <v>7894</v>
      </c>
      <c r="K691" t="s">
        <v>7895</v>
      </c>
      <c r="L691" t="s">
        <v>21</v>
      </c>
      <c r="M691" t="s">
        <v>19177</v>
      </c>
      <c r="N691" t="s">
        <v>519</v>
      </c>
      <c r="O691" t="s">
        <v>519</v>
      </c>
      <c r="P691" t="s">
        <v>454</v>
      </c>
    </row>
    <row r="692">
      <c r="A692">
        <f>HYPERLINK("http://bombeiros.sp.gov.br/hidrantes/03individual/24145.html","24145")</f>
      </c>
      <c r="B692" t="s">
        <v>454</v>
      </c>
      <c r="C692" t="s">
        <v>510</v>
      </c>
      <c r="D692" t="s">
        <v>511</v>
      </c>
      <c r="E692" t="s">
        <v>64</v>
      </c>
      <c r="F692" t="s">
        <v>7896</v>
      </c>
      <c r="G692" t="s">
        <v>18113</v>
      </c>
      <c r="H692" t="s">
        <v>1112</v>
      </c>
      <c r="I692" t="s">
        <v>1108</v>
      </c>
      <c r="J692" t="s">
        <v>7897</v>
      </c>
      <c r="K692" t="s">
        <v>7898</v>
      </c>
      <c r="L692" t="s">
        <v>21</v>
      </c>
      <c r="M692" t="s">
        <v>19177</v>
      </c>
      <c r="N692" t="s">
        <v>519</v>
      </c>
      <c r="O692" t="s">
        <v>519</v>
      </c>
      <c r="P692" t="s">
        <v>454</v>
      </c>
    </row>
    <row r="693">
      <c r="A693">
        <f>HYPERLINK("http://bombeiros.sp.gov.br/hidrantes/03individual/26682.html","26682")</f>
      </c>
      <c r="B693" t="s">
        <v>454</v>
      </c>
      <c r="C693" t="s">
        <v>510</v>
      </c>
      <c r="D693" t="s">
        <v>511</v>
      </c>
      <c r="E693" t="s">
        <v>64</v>
      </c>
      <c r="F693" t="s">
        <v>7899</v>
      </c>
      <c r="G693" t="s">
        <v>18197</v>
      </c>
      <c r="H693" t="s">
        <v>1112</v>
      </c>
      <c r="I693" t="s">
        <v>1108</v>
      </c>
      <c r="J693" t="s">
        <v>7900</v>
      </c>
      <c r="K693" t="s">
        <v>7901</v>
      </c>
      <c r="L693" t="s">
        <v>21</v>
      </c>
      <c r="M693" t="s">
        <v>19177</v>
      </c>
      <c r="N693" t="s">
        <v>519</v>
      </c>
      <c r="O693" t="s">
        <v>519</v>
      </c>
      <c r="P693" t="s">
        <v>454</v>
      </c>
    </row>
    <row r="694">
      <c r="A694">
        <f>HYPERLINK("http://bombeiros.sp.gov.br/hidrantes/03individual/26688.html","26688")</f>
      </c>
      <c r="B694" t="s">
        <v>454</v>
      </c>
      <c r="C694" t="s">
        <v>510</v>
      </c>
      <c r="D694" t="s">
        <v>511</v>
      </c>
      <c r="E694" t="s">
        <v>64</v>
      </c>
      <c r="F694" t="s">
        <v>7902</v>
      </c>
      <c r="G694" t="s">
        <v>18197</v>
      </c>
      <c r="H694" t="s">
        <v>1112</v>
      </c>
      <c r="I694" t="s">
        <v>1108</v>
      </c>
      <c r="J694" t="s">
        <v>7903</v>
      </c>
      <c r="K694" t="s">
        <v>7904</v>
      </c>
      <c r="L694" t="s">
        <v>21</v>
      </c>
      <c r="M694" t="s">
        <v>19177</v>
      </c>
      <c r="N694" t="s">
        <v>519</v>
      </c>
      <c r="O694" t="s">
        <v>519</v>
      </c>
      <c r="P694" t="s">
        <v>454</v>
      </c>
    </row>
    <row r="695">
      <c r="A695">
        <f>HYPERLINK("http://bombeiros.sp.gov.br/hidrantes/03individual/27267.html","27267")</f>
      </c>
      <c r="B695" t="s">
        <v>454</v>
      </c>
      <c r="C695" t="s">
        <v>510</v>
      </c>
      <c r="D695" t="s">
        <v>511</v>
      </c>
      <c r="E695" t="s">
        <v>64</v>
      </c>
      <c r="F695" t="s">
        <v>17019</v>
      </c>
      <c r="G695" t="s">
        <v>18197</v>
      </c>
      <c r="H695" t="s">
        <v>1107</v>
      </c>
      <c r="I695" t="s">
        <v>1108</v>
      </c>
      <c r="J695" t="s">
        <v>17020</v>
      </c>
      <c r="K695" t="s">
        <v>17021</v>
      </c>
      <c r="L695" t="s">
        <v>21</v>
      </c>
      <c r="M695" t="s">
        <v>19177</v>
      </c>
      <c r="N695" t="s">
        <v>519</v>
      </c>
      <c r="O695" t="s">
        <v>519</v>
      </c>
      <c r="P695" t="s">
        <v>454</v>
      </c>
    </row>
    <row r="696">
      <c r="A696">
        <f>HYPERLINK("http://bombeiros.sp.gov.br/hidrantes/03individual/27387.html","27387")</f>
      </c>
      <c r="B696" t="s">
        <v>454</v>
      </c>
      <c r="C696" t="s">
        <v>510</v>
      </c>
      <c r="D696" t="s">
        <v>511</v>
      </c>
      <c r="E696" t="s">
        <v>64</v>
      </c>
      <c r="F696" t="s">
        <v>17223</v>
      </c>
      <c r="G696" t="s">
        <v>18197</v>
      </c>
      <c r="H696" t="s">
        <v>1107</v>
      </c>
      <c r="I696" t="s">
        <v>1108</v>
      </c>
      <c r="J696" t="s">
        <v>17224</v>
      </c>
      <c r="K696" t="s">
        <v>17225</v>
      </c>
      <c r="L696" t="s">
        <v>21</v>
      </c>
      <c r="M696" t="s">
        <v>19177</v>
      </c>
      <c r="N696" t="s">
        <v>519</v>
      </c>
      <c r="O696" t="s">
        <v>519</v>
      </c>
      <c r="P696" t="s">
        <v>454</v>
      </c>
    </row>
    <row r="697">
      <c r="A697">
        <f>HYPERLINK("http://bombeiros.sp.gov.br/hidrantes/03individual/1061.html","1061")</f>
      </c>
      <c r="B697" t="s">
        <v>454</v>
      </c>
      <c r="C697" t="s">
        <v>510</v>
      </c>
      <c r="D697" t="s">
        <v>511</v>
      </c>
      <c r="E697" t="s">
        <v>15</v>
      </c>
      <c r="F697" t="s">
        <v>7905</v>
      </c>
      <c r="G697" t="s">
        <v>18197</v>
      </c>
      <c r="H697" t="s">
        <v>1112</v>
      </c>
      <c r="I697" t="s">
        <v>1108</v>
      </c>
      <c r="J697" t="s">
        <v>7906</v>
      </c>
      <c r="K697" t="s">
        <v>7907</v>
      </c>
      <c r="L697" t="s">
        <v>21</v>
      </c>
      <c r="M697" t="s">
        <v>19177</v>
      </c>
      <c r="N697" t="s">
        <v>519</v>
      </c>
      <c r="O697" t="s">
        <v>519</v>
      </c>
      <c r="P697" t="s">
        <v>454</v>
      </c>
    </row>
    <row r="698">
      <c r="A698">
        <f>HYPERLINK("http://bombeiros.sp.gov.br/hidrantes/03individual/1321.html","1321")</f>
      </c>
      <c r="B698" t="s">
        <v>454</v>
      </c>
      <c r="C698" t="s">
        <v>510</v>
      </c>
      <c r="D698" t="s">
        <v>511</v>
      </c>
      <c r="E698" t="s">
        <v>15</v>
      </c>
      <c r="F698" t="s">
        <v>7911</v>
      </c>
      <c r="G698" t="s">
        <v>18146</v>
      </c>
      <c r="H698" t="s">
        <v>1112</v>
      </c>
      <c r="I698" t="s">
        <v>1108</v>
      </c>
      <c r="J698" t="s">
        <v>7912</v>
      </c>
      <c r="K698" t="s">
        <v>7913</v>
      </c>
      <c r="L698" t="s">
        <v>21</v>
      </c>
      <c r="M698" t="s">
        <v>19177</v>
      </c>
      <c r="N698" t="s">
        <v>519</v>
      </c>
      <c r="O698" t="s">
        <v>519</v>
      </c>
      <c r="P698" t="s">
        <v>454</v>
      </c>
    </row>
    <row r="699">
      <c r="A699">
        <f>HYPERLINK("http://bombeiros.sp.gov.br/hidrantes/03individual/4057.html","4057")</f>
      </c>
      <c r="B699" t="s">
        <v>454</v>
      </c>
      <c r="C699" t="s">
        <v>510</v>
      </c>
      <c r="D699" t="s">
        <v>511</v>
      </c>
      <c r="E699" t="s">
        <v>15</v>
      </c>
      <c r="F699" t="s">
        <v>7917</v>
      </c>
      <c r="G699" t="s">
        <v>18048</v>
      </c>
      <c r="H699" t="s">
        <v>1112</v>
      </c>
      <c r="I699" t="s">
        <v>1108</v>
      </c>
      <c r="J699" t="s">
        <v>7918</v>
      </c>
      <c r="K699" t="s">
        <v>7919</v>
      </c>
      <c r="L699" t="s">
        <v>21</v>
      </c>
      <c r="M699" t="s">
        <v>19177</v>
      </c>
      <c r="N699" t="s">
        <v>519</v>
      </c>
      <c r="O699" t="s">
        <v>519</v>
      </c>
      <c r="P699" t="s">
        <v>454</v>
      </c>
    </row>
    <row r="700">
      <c r="A700">
        <f>HYPERLINK("http://bombeiros.sp.gov.br/hidrantes/03individual/5556.html","5556")</f>
      </c>
      <c r="B700" t="s">
        <v>454</v>
      </c>
      <c r="C700" t="s">
        <v>510</v>
      </c>
      <c r="D700" t="s">
        <v>511</v>
      </c>
      <c r="E700" t="s">
        <v>15</v>
      </c>
      <c r="F700" t="s">
        <v>7920</v>
      </c>
      <c r="G700" t="s">
        <v>18197</v>
      </c>
      <c r="H700" t="s">
        <v>1112</v>
      </c>
      <c r="I700" t="s">
        <v>1108</v>
      </c>
      <c r="J700" t="s">
        <v>7921</v>
      </c>
      <c r="K700" t="s">
        <v>7922</v>
      </c>
      <c r="L700" t="s">
        <v>21</v>
      </c>
      <c r="M700" t="s">
        <v>19177</v>
      </c>
      <c r="N700" t="s">
        <v>519</v>
      </c>
      <c r="O700" t="s">
        <v>519</v>
      </c>
      <c r="P700" t="s">
        <v>454</v>
      </c>
    </row>
    <row r="701">
      <c r="A701">
        <f>HYPERLINK("http://bombeiros.sp.gov.br/hidrantes/03individual/5557.html","5557")</f>
      </c>
      <c r="B701" t="s">
        <v>454</v>
      </c>
      <c r="C701" t="s">
        <v>510</v>
      </c>
      <c r="D701" t="s">
        <v>511</v>
      </c>
      <c r="E701" t="s">
        <v>15</v>
      </c>
      <c r="F701" t="s">
        <v>7923</v>
      </c>
      <c r="G701" t="s">
        <v>18197</v>
      </c>
      <c r="H701" t="s">
        <v>1112</v>
      </c>
      <c r="I701" t="s">
        <v>1108</v>
      </c>
      <c r="J701" t="s">
        <v>7924</v>
      </c>
      <c r="K701" t="s">
        <v>7925</v>
      </c>
      <c r="L701" t="s">
        <v>21</v>
      </c>
      <c r="M701" t="s">
        <v>19177</v>
      </c>
      <c r="N701" t="s">
        <v>519</v>
      </c>
      <c r="O701" t="s">
        <v>519</v>
      </c>
      <c r="P701" t="s">
        <v>454</v>
      </c>
    </row>
    <row r="702">
      <c r="A702">
        <f>HYPERLINK("http://bombeiros.sp.gov.br/hidrantes/03individual/16494.html","16494")</f>
      </c>
      <c r="B702" t="s">
        <v>454</v>
      </c>
      <c r="C702" t="s">
        <v>510</v>
      </c>
      <c r="D702" t="s">
        <v>511</v>
      </c>
      <c r="E702" t="s">
        <v>15</v>
      </c>
      <c r="F702" t="s">
        <v>7926</v>
      </c>
      <c r="G702" t="s">
        <v>18197</v>
      </c>
      <c r="H702" t="s">
        <v>1112</v>
      </c>
      <c r="I702" t="s">
        <v>1108</v>
      </c>
      <c r="J702" t="s">
        <v>7927</v>
      </c>
      <c r="K702" t="s">
        <v>7928</v>
      </c>
      <c r="L702" t="s">
        <v>21</v>
      </c>
      <c r="M702" t="s">
        <v>19177</v>
      </c>
      <c r="N702" t="s">
        <v>519</v>
      </c>
      <c r="O702" t="s">
        <v>519</v>
      </c>
      <c r="P702" t="s">
        <v>454</v>
      </c>
    </row>
    <row r="703">
      <c r="A703">
        <f>HYPERLINK("http://bombeiros.sp.gov.br/hidrantes/03individual/1020.html","1020")</f>
      </c>
      <c r="B703" t="s">
        <v>454</v>
      </c>
      <c r="C703" t="s">
        <v>515</v>
      </c>
      <c r="D703" t="s">
        <v>7929</v>
      </c>
      <c r="E703" t="s">
        <v>15</v>
      </c>
      <c r="F703" t="s">
        <v>7936</v>
      </c>
      <c r="G703" t="s">
        <v>18075</v>
      </c>
      <c r="H703" t="s">
        <v>1112</v>
      </c>
      <c r="I703" t="s">
        <v>1108</v>
      </c>
      <c r="J703" t="s">
        <v>7937</v>
      </c>
      <c r="K703" t="s">
        <v>7938</v>
      </c>
      <c r="L703" t="s">
        <v>21</v>
      </c>
      <c r="M703" t="s">
        <v>19177</v>
      </c>
      <c r="N703" t="s">
        <v>478</v>
      </c>
      <c r="O703" t="s">
        <v>478</v>
      </c>
      <c r="P703" t="s">
        <v>454</v>
      </c>
    </row>
    <row r="704">
      <c r="A704">
        <f>HYPERLINK("http://bombeiros.sp.gov.br/hidrantes/03individual/3727.html","3727")</f>
      </c>
      <c r="B704" t="s">
        <v>454</v>
      </c>
      <c r="C704" t="s">
        <v>515</v>
      </c>
      <c r="D704" t="s">
        <v>7929</v>
      </c>
      <c r="E704" t="s">
        <v>15</v>
      </c>
      <c r="F704" t="s">
        <v>7957</v>
      </c>
      <c r="G704" t="s">
        <v>18110</v>
      </c>
      <c r="H704" t="s">
        <v>1112</v>
      </c>
      <c r="I704" t="s">
        <v>1108</v>
      </c>
      <c r="J704" t="s">
        <v>7958</v>
      </c>
      <c r="K704" t="s">
        <v>7959</v>
      </c>
      <c r="L704" t="s">
        <v>21</v>
      </c>
      <c r="M704" t="s">
        <v>19177</v>
      </c>
      <c r="N704" t="s">
        <v>478</v>
      </c>
      <c r="O704" t="s">
        <v>478</v>
      </c>
      <c r="P704" t="s">
        <v>454</v>
      </c>
    </row>
    <row r="705">
      <c r="A705">
        <f>HYPERLINK("http://bombeiros.sp.gov.br/hidrantes/03individual/3729.html","3729")</f>
      </c>
      <c r="B705" t="s">
        <v>454</v>
      </c>
      <c r="C705" t="s">
        <v>515</v>
      </c>
      <c r="D705" t="s">
        <v>7929</v>
      </c>
      <c r="E705" t="s">
        <v>15</v>
      </c>
      <c r="F705" t="s">
        <v>7960</v>
      </c>
      <c r="G705" t="s">
        <v>18307</v>
      </c>
      <c r="H705" t="s">
        <v>1112</v>
      </c>
      <c r="I705" t="s">
        <v>1108</v>
      </c>
      <c r="J705" t="s">
        <v>7961</v>
      </c>
      <c r="K705" t="s">
        <v>7962</v>
      </c>
      <c r="L705" t="s">
        <v>21</v>
      </c>
      <c r="M705" t="s">
        <v>19177</v>
      </c>
      <c r="N705" t="s">
        <v>478</v>
      </c>
      <c r="O705" t="s">
        <v>478</v>
      </c>
      <c r="P705" t="s">
        <v>454</v>
      </c>
    </row>
    <row r="706">
      <c r="A706">
        <f>HYPERLINK("http://bombeiros.sp.gov.br/hidrantes/03individual/3750.html","3750")</f>
      </c>
      <c r="B706" t="s">
        <v>454</v>
      </c>
      <c r="C706" t="s">
        <v>515</v>
      </c>
      <c r="D706" t="s">
        <v>7929</v>
      </c>
      <c r="E706" t="s">
        <v>15</v>
      </c>
      <c r="F706" t="s">
        <v>7963</v>
      </c>
      <c r="G706" t="s">
        <v>18114</v>
      </c>
      <c r="H706" t="s">
        <v>1112</v>
      </c>
      <c r="I706" t="s">
        <v>1108</v>
      </c>
      <c r="J706" t="s">
        <v>7964</v>
      </c>
      <c r="K706" t="s">
        <v>7965</v>
      </c>
      <c r="L706" t="s">
        <v>21</v>
      </c>
      <c r="M706" t="s">
        <v>19177</v>
      </c>
      <c r="N706" t="s">
        <v>478</v>
      </c>
      <c r="O706" t="s">
        <v>478</v>
      </c>
      <c r="P706" t="s">
        <v>454</v>
      </c>
    </row>
    <row r="707">
      <c r="A707">
        <f>HYPERLINK("http://bombeiros.sp.gov.br/hidrantes/03individual/10054.html","10054")</f>
      </c>
      <c r="B707" t="s">
        <v>454</v>
      </c>
      <c r="C707" t="s">
        <v>515</v>
      </c>
      <c r="D707" t="s">
        <v>7975</v>
      </c>
      <c r="E707" t="s">
        <v>1507</v>
      </c>
      <c r="F707" t="s">
        <v>7976</v>
      </c>
      <c r="G707" t="s">
        <v>18165</v>
      </c>
      <c r="H707" t="s">
        <v>1112</v>
      </c>
      <c r="I707" t="s">
        <v>1108</v>
      </c>
      <c r="J707" t="s">
        <v>18731</v>
      </c>
      <c r="K707" t="s">
        <v>18732</v>
      </c>
      <c r="L707" t="s">
        <v>21</v>
      </c>
      <c r="M707" t="s">
        <v>19177</v>
      </c>
      <c r="N707" t="s">
        <v>478</v>
      </c>
      <c r="O707" t="s">
        <v>478</v>
      </c>
      <c r="P707" t="s">
        <v>454</v>
      </c>
    </row>
    <row r="708">
      <c r="A708">
        <f>HYPERLINK("http://bombeiros.sp.gov.br/hidrantes/03individual/949.html","949")</f>
      </c>
      <c r="B708" t="s">
        <v>454</v>
      </c>
      <c r="C708" t="s">
        <v>515</v>
      </c>
      <c r="D708" t="s">
        <v>7975</v>
      </c>
      <c r="E708" t="s">
        <v>15</v>
      </c>
      <c r="F708" t="s">
        <v>7979</v>
      </c>
      <c r="G708" t="s">
        <v>18065</v>
      </c>
      <c r="H708" t="s">
        <v>1112</v>
      </c>
      <c r="I708" t="s">
        <v>1108</v>
      </c>
      <c r="J708" t="s">
        <v>7980</v>
      </c>
      <c r="K708" t="s">
        <v>7981</v>
      </c>
      <c r="L708" t="s">
        <v>21</v>
      </c>
      <c r="M708" t="s">
        <v>19177</v>
      </c>
      <c r="N708" t="s">
        <v>478</v>
      </c>
      <c r="O708" t="s">
        <v>478</v>
      </c>
      <c r="P708" t="s">
        <v>454</v>
      </c>
    </row>
    <row r="709">
      <c r="A709">
        <f>HYPERLINK("http://bombeiros.sp.gov.br/hidrantes/03individual/1155.html","1155")</f>
      </c>
      <c r="B709" t="s">
        <v>454</v>
      </c>
      <c r="C709" t="s">
        <v>515</v>
      </c>
      <c r="D709" t="s">
        <v>7975</v>
      </c>
      <c r="E709" t="s">
        <v>15</v>
      </c>
      <c r="F709" t="s">
        <v>7991</v>
      </c>
      <c r="G709" t="s">
        <v>18108</v>
      </c>
      <c r="H709" t="s">
        <v>1112</v>
      </c>
      <c r="I709" t="s">
        <v>1108</v>
      </c>
      <c r="J709" t="s">
        <v>7992</v>
      </c>
      <c r="K709" t="s">
        <v>7993</v>
      </c>
      <c r="L709" t="s">
        <v>21</v>
      </c>
      <c r="M709" t="s">
        <v>19177</v>
      </c>
      <c r="N709" t="s">
        <v>478</v>
      </c>
      <c r="O709" t="s">
        <v>478</v>
      </c>
      <c r="P709" t="s">
        <v>454</v>
      </c>
    </row>
    <row r="710">
      <c r="A710">
        <f>HYPERLINK("http://bombeiros.sp.gov.br/hidrantes/03individual/3744.html","3744")</f>
      </c>
      <c r="B710" t="s">
        <v>454</v>
      </c>
      <c r="C710" t="s">
        <v>515</v>
      </c>
      <c r="D710" t="s">
        <v>7975</v>
      </c>
      <c r="E710" t="s">
        <v>15</v>
      </c>
      <c r="F710" t="s">
        <v>8012</v>
      </c>
      <c r="G710" t="s">
        <v>18080</v>
      </c>
      <c r="H710" t="s">
        <v>1107</v>
      </c>
      <c r="I710" t="s">
        <v>1108</v>
      </c>
      <c r="J710" t="s">
        <v>8013</v>
      </c>
      <c r="K710" t="s">
        <v>8014</v>
      </c>
      <c r="L710" t="s">
        <v>21</v>
      </c>
      <c r="M710" t="s">
        <v>19177</v>
      </c>
      <c r="N710" t="s">
        <v>478</v>
      </c>
      <c r="O710" t="s">
        <v>478</v>
      </c>
      <c r="P710" t="s">
        <v>454</v>
      </c>
    </row>
    <row r="711">
      <c r="A711">
        <f>HYPERLINK("http://bombeiros.sp.gov.br/hidrantes/03individual/3795.html","3795")</f>
      </c>
      <c r="B711" t="s">
        <v>454</v>
      </c>
      <c r="C711" t="s">
        <v>515</v>
      </c>
      <c r="D711" t="s">
        <v>7975</v>
      </c>
      <c r="E711" t="s">
        <v>15</v>
      </c>
      <c r="F711" t="s">
        <v>8018</v>
      </c>
      <c r="G711" t="s">
        <v>18075</v>
      </c>
      <c r="H711" t="s">
        <v>1112</v>
      </c>
      <c r="I711" t="s">
        <v>1108</v>
      </c>
      <c r="J711" t="s">
        <v>8019</v>
      </c>
      <c r="K711" t="s">
        <v>8020</v>
      </c>
      <c r="L711" t="s">
        <v>21</v>
      </c>
      <c r="M711" t="s">
        <v>19177</v>
      </c>
      <c r="N711" t="s">
        <v>478</v>
      </c>
      <c r="O711" t="s">
        <v>478</v>
      </c>
      <c r="P711" t="s">
        <v>454</v>
      </c>
    </row>
    <row r="712">
      <c r="A712">
        <f>HYPERLINK("http://bombeiros.sp.gov.br/hidrantes/03individual/17748.html","17748")</f>
      </c>
      <c r="B712" t="s">
        <v>454</v>
      </c>
      <c r="C712" t="s">
        <v>515</v>
      </c>
      <c r="D712" t="s">
        <v>7975</v>
      </c>
      <c r="E712" t="s">
        <v>15</v>
      </c>
      <c r="F712" t="s">
        <v>8024</v>
      </c>
      <c r="G712" t="s">
        <v>18307</v>
      </c>
      <c r="H712" t="s">
        <v>1112</v>
      </c>
      <c r="I712" t="s">
        <v>1108</v>
      </c>
      <c r="J712" t="s">
        <v>8025</v>
      </c>
      <c r="K712" t="s">
        <v>8026</v>
      </c>
      <c r="L712" t="s">
        <v>21</v>
      </c>
      <c r="M712" t="s">
        <v>19177</v>
      </c>
      <c r="N712" t="s">
        <v>478</v>
      </c>
      <c r="O712" t="s">
        <v>478</v>
      </c>
      <c r="P712" t="s">
        <v>454</v>
      </c>
    </row>
    <row r="713">
      <c r="A713">
        <f>HYPERLINK("http://bombeiros.sp.gov.br/hidrantes/03individual/3512.html","3512")</f>
      </c>
      <c r="B713" t="s">
        <v>454</v>
      </c>
      <c r="C713" t="s">
        <v>8036</v>
      </c>
      <c r="D713" t="s">
        <v>8037</v>
      </c>
      <c r="E713" t="s">
        <v>64</v>
      </c>
      <c r="F713" t="s">
        <v>8041</v>
      </c>
      <c r="G713" t="s">
        <v>18470</v>
      </c>
      <c r="H713" t="s">
        <v>1107</v>
      </c>
      <c r="I713" t="s">
        <v>1108</v>
      </c>
      <c r="J713" t="s">
        <v>8042</v>
      </c>
      <c r="K713" t="s">
        <v>8043</v>
      </c>
      <c r="L713" t="s">
        <v>21</v>
      </c>
      <c r="M713" t="s">
        <v>19177</v>
      </c>
      <c r="N713" t="s">
        <v>478</v>
      </c>
      <c r="O713" t="s">
        <v>478</v>
      </c>
      <c r="P713" t="s">
        <v>454</v>
      </c>
    </row>
    <row r="714">
      <c r="A714">
        <f>HYPERLINK("http://bombeiros.sp.gov.br/hidrantes/03individual/27662.html","27662")</f>
      </c>
      <c r="B714" t="s">
        <v>454</v>
      </c>
      <c r="C714" t="s">
        <v>8036</v>
      </c>
      <c r="D714" t="s">
        <v>8037</v>
      </c>
      <c r="E714" t="s">
        <v>64</v>
      </c>
      <c r="F714" t="s">
        <v>17567</v>
      </c>
      <c r="G714" t="s">
        <v>18048</v>
      </c>
      <c r="H714" t="s">
        <v>1112</v>
      </c>
      <c r="I714" t="s">
        <v>1108</v>
      </c>
      <c r="J714" t="s">
        <v>17568</v>
      </c>
      <c r="K714" t="s">
        <v>17569</v>
      </c>
      <c r="L714" t="s">
        <v>21</v>
      </c>
      <c r="M714" t="s">
        <v>19177</v>
      </c>
      <c r="N714" t="s">
        <v>478</v>
      </c>
      <c r="O714" t="s">
        <v>478</v>
      </c>
      <c r="P714" t="s">
        <v>454</v>
      </c>
    </row>
    <row r="715">
      <c r="A715">
        <f>HYPERLINK("http://bombeiros.sp.gov.br/hidrantes/03individual/3579.html","3579")</f>
      </c>
      <c r="B715" t="s">
        <v>454</v>
      </c>
      <c r="C715" t="s">
        <v>8036</v>
      </c>
      <c r="D715" t="s">
        <v>8036</v>
      </c>
      <c r="E715" t="s">
        <v>64</v>
      </c>
      <c r="F715" t="s">
        <v>8047</v>
      </c>
      <c r="G715" t="s">
        <v>18113</v>
      </c>
      <c r="H715" t="s">
        <v>1112</v>
      </c>
      <c r="I715" t="s">
        <v>1108</v>
      </c>
      <c r="J715" t="s">
        <v>8048</v>
      </c>
      <c r="K715" t="s">
        <v>8049</v>
      </c>
      <c r="L715" t="s">
        <v>21</v>
      </c>
      <c r="M715" t="s">
        <v>19177</v>
      </c>
      <c r="N715" t="s">
        <v>531</v>
      </c>
      <c r="O715" t="s">
        <v>531</v>
      </c>
      <c r="P715" t="s">
        <v>454</v>
      </c>
    </row>
    <row r="716">
      <c r="A716">
        <f>HYPERLINK("http://bombeiros.sp.gov.br/hidrantes/03individual/3629.html","3629")</f>
      </c>
      <c r="B716" t="s">
        <v>454</v>
      </c>
      <c r="C716" t="s">
        <v>8036</v>
      </c>
      <c r="D716" t="s">
        <v>8036</v>
      </c>
      <c r="E716" t="s">
        <v>64</v>
      </c>
      <c r="F716" t="s">
        <v>8053</v>
      </c>
      <c r="G716" t="s">
        <v>18062</v>
      </c>
      <c r="H716" t="s">
        <v>1112</v>
      </c>
      <c r="I716" t="s">
        <v>1108</v>
      </c>
      <c r="J716" t="s">
        <v>8054</v>
      </c>
      <c r="K716" t="s">
        <v>8055</v>
      </c>
      <c r="L716" t="s">
        <v>21</v>
      </c>
      <c r="M716" t="s">
        <v>19177</v>
      </c>
      <c r="N716" t="s">
        <v>478</v>
      </c>
      <c r="O716" t="s">
        <v>478</v>
      </c>
      <c r="P716" t="s">
        <v>454</v>
      </c>
    </row>
    <row r="717">
      <c r="A717">
        <f>HYPERLINK("http://bombeiros.sp.gov.br/hidrantes/03individual/5561.html","5561")</f>
      </c>
      <c r="B717" t="s">
        <v>454</v>
      </c>
      <c r="C717" t="s">
        <v>8036</v>
      </c>
      <c r="D717" t="s">
        <v>8036</v>
      </c>
      <c r="E717" t="s">
        <v>64</v>
      </c>
      <c r="F717" t="s">
        <v>8059</v>
      </c>
      <c r="G717" t="s">
        <v>18062</v>
      </c>
      <c r="H717" t="s">
        <v>1112</v>
      </c>
      <c r="I717" t="s">
        <v>1108</v>
      </c>
      <c r="J717" t="s">
        <v>8060</v>
      </c>
      <c r="K717" t="s">
        <v>8061</v>
      </c>
      <c r="L717" t="s">
        <v>21</v>
      </c>
      <c r="M717" t="s">
        <v>19177</v>
      </c>
      <c r="N717" t="s">
        <v>478</v>
      </c>
      <c r="O717" t="s">
        <v>478</v>
      </c>
      <c r="P717" t="s">
        <v>454</v>
      </c>
    </row>
    <row r="718">
      <c r="A718">
        <f>HYPERLINK("http://bombeiros.sp.gov.br/hidrantes/03individual/1007.html","1007")</f>
      </c>
      <c r="B718" t="s">
        <v>454</v>
      </c>
      <c r="C718" t="s">
        <v>8036</v>
      </c>
      <c r="D718" t="s">
        <v>8036</v>
      </c>
      <c r="E718" t="s">
        <v>15</v>
      </c>
      <c r="F718" t="s">
        <v>8065</v>
      </c>
      <c r="G718" t="s">
        <v>18060</v>
      </c>
      <c r="H718" t="s">
        <v>1112</v>
      </c>
      <c r="I718" t="s">
        <v>1108</v>
      </c>
      <c r="J718" t="s">
        <v>8066</v>
      </c>
      <c r="K718" t="s">
        <v>8067</v>
      </c>
      <c r="L718" t="s">
        <v>21</v>
      </c>
      <c r="M718" t="s">
        <v>19177</v>
      </c>
      <c r="N718" t="s">
        <v>478</v>
      </c>
      <c r="O718" t="s">
        <v>478</v>
      </c>
      <c r="P718" t="s">
        <v>454</v>
      </c>
    </row>
    <row r="719">
      <c r="A719">
        <f>HYPERLINK("http://bombeiros.sp.gov.br/hidrantes/03individual/1012.html","1012")</f>
      </c>
      <c r="B719" t="s">
        <v>454</v>
      </c>
      <c r="C719" t="s">
        <v>8036</v>
      </c>
      <c r="D719" t="s">
        <v>8036</v>
      </c>
      <c r="E719" t="s">
        <v>15</v>
      </c>
      <c r="F719" t="s">
        <v>8071</v>
      </c>
      <c r="G719" t="s">
        <v>18129</v>
      </c>
      <c r="H719" t="s">
        <v>1174</v>
      </c>
      <c r="I719" t="s">
        <v>1108</v>
      </c>
      <c r="J719" t="s">
        <v>8072</v>
      </c>
      <c r="K719" t="s">
        <v>8073</v>
      </c>
      <c r="L719" t="s">
        <v>21</v>
      </c>
      <c r="M719" t="s">
        <v>19177</v>
      </c>
      <c r="N719" t="s">
        <v>478</v>
      </c>
      <c r="O719" t="s">
        <v>478</v>
      </c>
      <c r="P719" t="s">
        <v>454</v>
      </c>
    </row>
    <row r="720">
      <c r="A720">
        <f>HYPERLINK("http://bombeiros.sp.gov.br/hidrantes/03individual/1056.html","1056")</f>
      </c>
      <c r="B720" t="s">
        <v>454</v>
      </c>
      <c r="C720" t="s">
        <v>8036</v>
      </c>
      <c r="D720" t="s">
        <v>8036</v>
      </c>
      <c r="E720" t="s">
        <v>15</v>
      </c>
      <c r="F720" t="s">
        <v>8077</v>
      </c>
      <c r="G720" t="s">
        <v>18060</v>
      </c>
      <c r="H720" t="s">
        <v>1112</v>
      </c>
      <c r="I720" t="s">
        <v>1108</v>
      </c>
      <c r="J720" t="s">
        <v>8078</v>
      </c>
      <c r="K720" t="s">
        <v>8079</v>
      </c>
      <c r="L720" t="s">
        <v>21</v>
      </c>
      <c r="M720" t="s">
        <v>19177</v>
      </c>
      <c r="N720" t="s">
        <v>478</v>
      </c>
      <c r="O720" t="s">
        <v>478</v>
      </c>
      <c r="P720" t="s">
        <v>454</v>
      </c>
    </row>
    <row r="721">
      <c r="A721">
        <f>HYPERLINK("http://bombeiros.sp.gov.br/hidrantes/03individual/1058.html","1058")</f>
      </c>
      <c r="B721" t="s">
        <v>454</v>
      </c>
      <c r="C721" t="s">
        <v>8036</v>
      </c>
      <c r="D721" t="s">
        <v>8036</v>
      </c>
      <c r="E721" t="s">
        <v>15</v>
      </c>
      <c r="F721" t="s">
        <v>8080</v>
      </c>
      <c r="G721" t="s">
        <v>18063</v>
      </c>
      <c r="H721" t="s">
        <v>1112</v>
      </c>
      <c r="I721" t="s">
        <v>1108</v>
      </c>
      <c r="J721" t="s">
        <v>8081</v>
      </c>
      <c r="K721" t="s">
        <v>8082</v>
      </c>
      <c r="L721" t="s">
        <v>21</v>
      </c>
      <c r="M721" t="s">
        <v>19177</v>
      </c>
      <c r="N721" t="s">
        <v>531</v>
      </c>
      <c r="O721" t="s">
        <v>531</v>
      </c>
      <c r="P721" t="s">
        <v>454</v>
      </c>
    </row>
    <row r="722">
      <c r="A722">
        <f>HYPERLINK("http://bombeiros.sp.gov.br/hidrantes/03individual/1140.html","1140")</f>
      </c>
      <c r="B722" t="s">
        <v>454</v>
      </c>
      <c r="C722" t="s">
        <v>8036</v>
      </c>
      <c r="D722" t="s">
        <v>8036</v>
      </c>
      <c r="E722" t="s">
        <v>15</v>
      </c>
      <c r="F722" t="s">
        <v>8083</v>
      </c>
      <c r="G722" t="s">
        <v>18063</v>
      </c>
      <c r="H722" t="s">
        <v>1174</v>
      </c>
      <c r="I722" t="s">
        <v>1108</v>
      </c>
      <c r="J722" t="s">
        <v>8084</v>
      </c>
      <c r="K722" t="s">
        <v>8085</v>
      </c>
      <c r="L722" t="s">
        <v>21</v>
      </c>
      <c r="M722" t="s">
        <v>19177</v>
      </c>
      <c r="N722" t="s">
        <v>531</v>
      </c>
      <c r="O722" t="s">
        <v>531</v>
      </c>
      <c r="P722" t="s">
        <v>454</v>
      </c>
    </row>
    <row r="723">
      <c r="A723">
        <f>HYPERLINK("http://bombeiros.sp.gov.br/hidrantes/03individual/1191.html","1191")</f>
      </c>
      <c r="B723" t="s">
        <v>454</v>
      </c>
      <c r="C723" t="s">
        <v>8036</v>
      </c>
      <c r="D723" t="s">
        <v>8036</v>
      </c>
      <c r="E723" t="s">
        <v>15</v>
      </c>
      <c r="F723" t="s">
        <v>8086</v>
      </c>
      <c r="G723" t="s">
        <v>18053</v>
      </c>
      <c r="H723" t="s">
        <v>1112</v>
      </c>
      <c r="I723" t="s">
        <v>1108</v>
      </c>
      <c r="J723" t="s">
        <v>8087</v>
      </c>
      <c r="K723" t="s">
        <v>8088</v>
      </c>
      <c r="L723" t="s">
        <v>21</v>
      </c>
      <c r="M723" t="s">
        <v>19177</v>
      </c>
      <c r="N723" t="s">
        <v>478</v>
      </c>
      <c r="O723" t="s">
        <v>478</v>
      </c>
      <c r="P723" t="s">
        <v>454</v>
      </c>
    </row>
    <row r="724">
      <c r="A724">
        <f>HYPERLINK("http://bombeiros.sp.gov.br/hidrantes/03individual/1224.html","1224")</f>
      </c>
      <c r="B724" t="s">
        <v>454</v>
      </c>
      <c r="C724" t="s">
        <v>8036</v>
      </c>
      <c r="D724" t="s">
        <v>8036</v>
      </c>
      <c r="E724" t="s">
        <v>15</v>
      </c>
      <c r="F724" t="s">
        <v>8089</v>
      </c>
      <c r="G724" t="s">
        <v>18073</v>
      </c>
      <c r="H724" t="s">
        <v>1112</v>
      </c>
      <c r="I724" t="s">
        <v>1108</v>
      </c>
      <c r="J724" t="s">
        <v>8090</v>
      </c>
      <c r="K724" t="s">
        <v>8091</v>
      </c>
      <c r="L724" t="s">
        <v>21</v>
      </c>
      <c r="M724" t="s">
        <v>19177</v>
      </c>
      <c r="N724" t="s">
        <v>478</v>
      </c>
      <c r="O724" t="s">
        <v>478</v>
      </c>
      <c r="P724" t="s">
        <v>454</v>
      </c>
    </row>
    <row r="725">
      <c r="A725">
        <f>HYPERLINK("http://bombeiros.sp.gov.br/hidrantes/03individual/1229.html","1229")</f>
      </c>
      <c r="B725" t="s">
        <v>454</v>
      </c>
      <c r="C725" t="s">
        <v>8036</v>
      </c>
      <c r="D725" t="s">
        <v>8036</v>
      </c>
      <c r="E725" t="s">
        <v>15</v>
      </c>
      <c r="F725" t="s">
        <v>8092</v>
      </c>
      <c r="G725" t="s">
        <v>18060</v>
      </c>
      <c r="H725" t="s">
        <v>1112</v>
      </c>
      <c r="I725" t="s">
        <v>1108</v>
      </c>
      <c r="J725" t="s">
        <v>8093</v>
      </c>
      <c r="K725" t="s">
        <v>8094</v>
      </c>
      <c r="L725" t="s">
        <v>21</v>
      </c>
      <c r="M725" t="s">
        <v>19177</v>
      </c>
      <c r="N725" t="s">
        <v>478</v>
      </c>
      <c r="O725" t="s">
        <v>478</v>
      </c>
      <c r="P725" t="s">
        <v>454</v>
      </c>
    </row>
    <row r="726">
      <c r="A726">
        <f>HYPERLINK("http://bombeiros.sp.gov.br/hidrantes/03individual/1270.html","1270")</f>
      </c>
      <c r="B726" t="s">
        <v>454</v>
      </c>
      <c r="C726" t="s">
        <v>8036</v>
      </c>
      <c r="D726" t="s">
        <v>8036</v>
      </c>
      <c r="E726" t="s">
        <v>15</v>
      </c>
      <c r="F726" t="s">
        <v>8095</v>
      </c>
      <c r="G726" t="s">
        <v>18003</v>
      </c>
      <c r="H726" t="s">
        <v>1112</v>
      </c>
      <c r="I726" t="s">
        <v>1108</v>
      </c>
      <c r="J726" t="s">
        <v>8096</v>
      </c>
      <c r="K726" t="s">
        <v>8097</v>
      </c>
      <c r="L726" t="s">
        <v>21</v>
      </c>
      <c r="M726" t="s">
        <v>19177</v>
      </c>
      <c r="N726" t="s">
        <v>478</v>
      </c>
      <c r="O726" t="s">
        <v>478</v>
      </c>
      <c r="P726" t="s">
        <v>454</v>
      </c>
    </row>
    <row r="727">
      <c r="A727">
        <f>HYPERLINK("http://bombeiros.sp.gov.br/hidrantes/03individual/1277.html","1277")</f>
      </c>
      <c r="B727" t="s">
        <v>454</v>
      </c>
      <c r="C727" t="s">
        <v>8036</v>
      </c>
      <c r="D727" t="s">
        <v>8036</v>
      </c>
      <c r="E727" t="s">
        <v>15</v>
      </c>
      <c r="F727" t="s">
        <v>8098</v>
      </c>
      <c r="G727" t="s">
        <v>18129</v>
      </c>
      <c r="H727" t="s">
        <v>1174</v>
      </c>
      <c r="I727" t="s">
        <v>1117</v>
      </c>
      <c r="J727" t="s">
        <v>8099</v>
      </c>
      <c r="K727" t="s">
        <v>8100</v>
      </c>
      <c r="L727" t="s">
        <v>21</v>
      </c>
      <c r="M727" t="s">
        <v>19177</v>
      </c>
      <c r="N727" t="s">
        <v>478</v>
      </c>
      <c r="O727" t="s">
        <v>478</v>
      </c>
      <c r="P727" t="s">
        <v>454</v>
      </c>
    </row>
    <row r="728">
      <c r="A728">
        <f>HYPERLINK("http://bombeiros.sp.gov.br/hidrantes/03individual/1283.html","1283")</f>
      </c>
      <c r="B728" t="s">
        <v>454</v>
      </c>
      <c r="C728" t="s">
        <v>8036</v>
      </c>
      <c r="D728" t="s">
        <v>8036</v>
      </c>
      <c r="E728" t="s">
        <v>15</v>
      </c>
      <c r="F728" t="s">
        <v>8104</v>
      </c>
      <c r="G728" t="s">
        <v>18118</v>
      </c>
      <c r="H728" t="s">
        <v>1112</v>
      </c>
      <c r="I728" t="s">
        <v>1108</v>
      </c>
      <c r="J728" t="s">
        <v>8105</v>
      </c>
      <c r="K728" t="s">
        <v>8106</v>
      </c>
      <c r="L728" t="s">
        <v>21</v>
      </c>
      <c r="M728" t="s">
        <v>19177</v>
      </c>
      <c r="N728" t="s">
        <v>531</v>
      </c>
      <c r="O728" t="s">
        <v>531</v>
      </c>
      <c r="P728" t="s">
        <v>454</v>
      </c>
    </row>
    <row r="729">
      <c r="A729">
        <f>HYPERLINK("http://bombeiros.sp.gov.br/hidrantes/03individual/1285.html","1285")</f>
      </c>
      <c r="B729" t="s">
        <v>454</v>
      </c>
      <c r="C729" t="s">
        <v>8036</v>
      </c>
      <c r="D729" t="s">
        <v>8036</v>
      </c>
      <c r="E729" t="s">
        <v>15</v>
      </c>
      <c r="F729" t="s">
        <v>8107</v>
      </c>
      <c r="G729" t="s">
        <v>18053</v>
      </c>
      <c r="H729" t="s">
        <v>1112</v>
      </c>
      <c r="I729" t="s">
        <v>1108</v>
      </c>
      <c r="J729" t="s">
        <v>8108</v>
      </c>
      <c r="K729" t="s">
        <v>8109</v>
      </c>
      <c r="L729" t="s">
        <v>36</v>
      </c>
      <c r="M729" t="s">
        <v>19177</v>
      </c>
      <c r="N729" t="s">
        <v>478</v>
      </c>
      <c r="O729" t="s">
        <v>478</v>
      </c>
      <c r="P729" t="s">
        <v>454</v>
      </c>
    </row>
    <row r="730">
      <c r="A730">
        <f>HYPERLINK("http://bombeiros.sp.gov.br/hidrantes/03individual/3899.html","3899")</f>
      </c>
      <c r="B730" t="s">
        <v>454</v>
      </c>
      <c r="C730" t="s">
        <v>8036</v>
      </c>
      <c r="D730" t="s">
        <v>8036</v>
      </c>
      <c r="E730" t="s">
        <v>15</v>
      </c>
      <c r="F730" t="s">
        <v>8116</v>
      </c>
      <c r="G730" t="s">
        <v>18072</v>
      </c>
      <c r="H730" t="s">
        <v>1121</v>
      </c>
      <c r="I730" t="s">
        <v>1117</v>
      </c>
      <c r="J730" t="s">
        <v>8117</v>
      </c>
      <c r="K730" t="s">
        <v>8118</v>
      </c>
      <c r="L730" t="s">
        <v>21</v>
      </c>
      <c r="M730" t="s">
        <v>19177</v>
      </c>
      <c r="N730" t="s">
        <v>478</v>
      </c>
      <c r="O730" t="s">
        <v>478</v>
      </c>
      <c r="P730" t="s">
        <v>454</v>
      </c>
    </row>
    <row r="731">
      <c r="A731">
        <f>HYPERLINK("http://bombeiros.sp.gov.br/hidrantes/03individual/3953.html","3953")</f>
      </c>
      <c r="B731" t="s">
        <v>454</v>
      </c>
      <c r="C731" t="s">
        <v>8036</v>
      </c>
      <c r="D731" t="s">
        <v>8036</v>
      </c>
      <c r="E731" t="s">
        <v>15</v>
      </c>
      <c r="F731" t="s">
        <v>8122</v>
      </c>
      <c r="G731" t="s">
        <v>18106</v>
      </c>
      <c r="H731" t="s">
        <v>1112</v>
      </c>
      <c r="I731" t="s">
        <v>1108</v>
      </c>
      <c r="J731" t="s">
        <v>8123</v>
      </c>
      <c r="K731" t="s">
        <v>8124</v>
      </c>
      <c r="L731" t="s">
        <v>21</v>
      </c>
      <c r="M731" t="s">
        <v>19177</v>
      </c>
      <c r="N731" t="s">
        <v>478</v>
      </c>
      <c r="O731" t="s">
        <v>478</v>
      </c>
      <c r="P731" t="s">
        <v>454</v>
      </c>
    </row>
    <row r="732">
      <c r="A732">
        <f>HYPERLINK("http://bombeiros.sp.gov.br/hidrantes/03individual/17659.html","17659")</f>
      </c>
      <c r="B732" t="s">
        <v>454</v>
      </c>
      <c r="C732" t="s">
        <v>8036</v>
      </c>
      <c r="D732" t="s">
        <v>8036</v>
      </c>
      <c r="E732" t="s">
        <v>15</v>
      </c>
      <c r="F732" t="s">
        <v>8125</v>
      </c>
      <c r="G732" t="s">
        <v>18073</v>
      </c>
      <c r="H732" t="s">
        <v>1107</v>
      </c>
      <c r="I732" t="s">
        <v>1108</v>
      </c>
      <c r="J732" t="s">
        <v>8126</v>
      </c>
      <c r="K732" t="s">
        <v>8127</v>
      </c>
      <c r="L732" t="s">
        <v>21</v>
      </c>
      <c r="M732" t="s">
        <v>19177</v>
      </c>
      <c r="N732" t="s">
        <v>478</v>
      </c>
      <c r="O732" t="s">
        <v>478</v>
      </c>
      <c r="P732" t="s">
        <v>454</v>
      </c>
    </row>
    <row r="733">
      <c r="A733">
        <f>HYPERLINK("http://bombeiros.sp.gov.br/hidrantes/03individual/3945.html","3945")</f>
      </c>
      <c r="B733" t="s">
        <v>454</v>
      </c>
      <c r="C733" t="s">
        <v>8128</v>
      </c>
      <c r="D733" t="s">
        <v>8128</v>
      </c>
      <c r="E733" t="s">
        <v>64</v>
      </c>
      <c r="F733" t="s">
        <v>8129</v>
      </c>
      <c r="G733" t="s">
        <v>18169</v>
      </c>
      <c r="H733" t="s">
        <v>1121</v>
      </c>
      <c r="I733" t="s">
        <v>1117</v>
      </c>
      <c r="J733" t="s">
        <v>8130</v>
      </c>
      <c r="K733" t="s">
        <v>8131</v>
      </c>
      <c r="L733" t="s">
        <v>21</v>
      </c>
      <c r="M733" t="s">
        <v>19177</v>
      </c>
      <c r="N733" t="s">
        <v>519</v>
      </c>
      <c r="O733" t="s">
        <v>519</v>
      </c>
      <c r="P733" t="s">
        <v>454</v>
      </c>
    </row>
    <row r="734">
      <c r="A734">
        <f>HYPERLINK("http://bombeiros.sp.gov.br/hidrantes/03individual/3946.html","3946")</f>
      </c>
      <c r="B734" t="s">
        <v>454</v>
      </c>
      <c r="C734" t="s">
        <v>8128</v>
      </c>
      <c r="D734" t="s">
        <v>8128</v>
      </c>
      <c r="E734" t="s">
        <v>64</v>
      </c>
      <c r="F734" t="s">
        <v>8132</v>
      </c>
      <c r="G734" t="s">
        <v>18199</v>
      </c>
      <c r="H734" t="s">
        <v>1112</v>
      </c>
      <c r="I734" t="s">
        <v>1108</v>
      </c>
      <c r="J734" t="s">
        <v>8133</v>
      </c>
      <c r="K734" t="s">
        <v>8134</v>
      </c>
      <c r="L734" t="s">
        <v>36</v>
      </c>
      <c r="M734" t="s">
        <v>19177</v>
      </c>
      <c r="N734" t="s">
        <v>519</v>
      </c>
      <c r="O734" t="s">
        <v>519</v>
      </c>
      <c r="P734" t="s">
        <v>454</v>
      </c>
    </row>
    <row r="735">
      <c r="A735">
        <f>HYPERLINK("http://bombeiros.sp.gov.br/hidrantes/03individual/3950.html","3950")</f>
      </c>
      <c r="B735" t="s">
        <v>454</v>
      </c>
      <c r="C735" t="s">
        <v>8128</v>
      </c>
      <c r="D735" t="s">
        <v>8128</v>
      </c>
      <c r="E735" t="s">
        <v>64</v>
      </c>
      <c r="F735" t="s">
        <v>8135</v>
      </c>
      <c r="G735" t="s">
        <v>18180</v>
      </c>
      <c r="H735" t="s">
        <v>1112</v>
      </c>
      <c r="I735" t="s">
        <v>1108</v>
      </c>
      <c r="J735" t="s">
        <v>8136</v>
      </c>
      <c r="K735" t="s">
        <v>8137</v>
      </c>
      <c r="L735" t="s">
        <v>36</v>
      </c>
      <c r="M735" t="s">
        <v>19177</v>
      </c>
      <c r="N735" t="s">
        <v>519</v>
      </c>
      <c r="O735" t="s">
        <v>519</v>
      </c>
      <c r="P735" t="s">
        <v>454</v>
      </c>
    </row>
    <row r="736">
      <c r="A736">
        <f>HYPERLINK("http://bombeiros.sp.gov.br/hidrantes/03individual/15064.html","15064")</f>
      </c>
      <c r="B736" t="s">
        <v>454</v>
      </c>
      <c r="C736" t="s">
        <v>8128</v>
      </c>
      <c r="D736" t="s">
        <v>8128</v>
      </c>
      <c r="E736" t="s">
        <v>64</v>
      </c>
      <c r="F736" t="s">
        <v>8138</v>
      </c>
      <c r="G736" t="s">
        <v>18056</v>
      </c>
      <c r="H736" t="s">
        <v>1112</v>
      </c>
      <c r="I736" t="s">
        <v>1108</v>
      </c>
      <c r="J736" t="s">
        <v>8139</v>
      </c>
      <c r="K736" t="s">
        <v>8140</v>
      </c>
      <c r="L736" t="s">
        <v>21</v>
      </c>
      <c r="M736" t="s">
        <v>19177</v>
      </c>
      <c r="N736" t="s">
        <v>519</v>
      </c>
      <c r="O736" t="s">
        <v>519</v>
      </c>
      <c r="P736" t="s">
        <v>454</v>
      </c>
    </row>
    <row r="737">
      <c r="A737">
        <f>HYPERLINK("http://bombeiros.sp.gov.br/hidrantes/03individual/26300.html","26300")</f>
      </c>
      <c r="B737" t="s">
        <v>454</v>
      </c>
      <c r="C737" t="s">
        <v>8128</v>
      </c>
      <c r="D737" t="s">
        <v>8128</v>
      </c>
      <c r="E737" t="s">
        <v>64</v>
      </c>
      <c r="F737" t="s">
        <v>8141</v>
      </c>
      <c r="G737" t="s">
        <v>18125</v>
      </c>
      <c r="H737" t="s">
        <v>1112</v>
      </c>
      <c r="I737" t="s">
        <v>1108</v>
      </c>
      <c r="J737" t="s">
        <v>8142</v>
      </c>
      <c r="K737" t="s">
        <v>8143</v>
      </c>
      <c r="L737" t="s">
        <v>21</v>
      </c>
      <c r="M737" t="s">
        <v>19177</v>
      </c>
      <c r="N737" t="s">
        <v>519</v>
      </c>
      <c r="O737" t="s">
        <v>519</v>
      </c>
      <c r="P737" t="s">
        <v>454</v>
      </c>
    </row>
    <row r="738">
      <c r="A738">
        <f>HYPERLINK("http://bombeiros.sp.gov.br/hidrantes/03individual/5593.html","5593")</f>
      </c>
      <c r="B738" t="s">
        <v>454</v>
      </c>
      <c r="C738" t="s">
        <v>8128</v>
      </c>
      <c r="D738" t="s">
        <v>8128</v>
      </c>
      <c r="E738" t="s">
        <v>15</v>
      </c>
      <c r="F738" t="s">
        <v>8153</v>
      </c>
      <c r="G738" t="s">
        <v>18145</v>
      </c>
      <c r="H738" t="s">
        <v>1112</v>
      </c>
      <c r="I738" t="s">
        <v>1108</v>
      </c>
      <c r="J738" t="s">
        <v>8154</v>
      </c>
      <c r="K738" t="s">
        <v>8155</v>
      </c>
      <c r="L738" t="s">
        <v>21</v>
      </c>
      <c r="M738" t="s">
        <v>19177</v>
      </c>
      <c r="N738" t="s">
        <v>519</v>
      </c>
      <c r="O738" t="s">
        <v>519</v>
      </c>
      <c r="P738" t="s">
        <v>454</v>
      </c>
    </row>
    <row r="739">
      <c r="A739">
        <f>HYPERLINK("http://bombeiros.sp.gov.br/hidrantes/03individual/17903.html","17903")</f>
      </c>
      <c r="B739" t="s">
        <v>454</v>
      </c>
      <c r="C739" t="s">
        <v>8128</v>
      </c>
      <c r="D739" t="s">
        <v>8128</v>
      </c>
      <c r="E739" t="s">
        <v>15</v>
      </c>
      <c r="F739" t="s">
        <v>8156</v>
      </c>
      <c r="G739" t="s">
        <v>18052</v>
      </c>
      <c r="H739" t="s">
        <v>1112</v>
      </c>
      <c r="I739" t="s">
        <v>1117</v>
      </c>
      <c r="J739" t="s">
        <v>8157</v>
      </c>
      <c r="K739" t="s">
        <v>8158</v>
      </c>
      <c r="L739" t="s">
        <v>21</v>
      </c>
      <c r="M739" t="s">
        <v>19177</v>
      </c>
      <c r="N739" t="s">
        <v>519</v>
      </c>
      <c r="O739" t="s">
        <v>519</v>
      </c>
      <c r="P739" t="s">
        <v>454</v>
      </c>
    </row>
    <row r="740">
      <c r="A740">
        <f>HYPERLINK("http://bombeiros.sp.gov.br/hidrantes/03individual/4019.html","4019")</f>
      </c>
      <c r="B740" t="s">
        <v>454</v>
      </c>
      <c r="C740" t="s">
        <v>519</v>
      </c>
      <c r="D740" t="s">
        <v>519</v>
      </c>
      <c r="E740" t="s">
        <v>64</v>
      </c>
      <c r="F740" t="s">
        <v>8162</v>
      </c>
      <c r="G740" t="s">
        <v>18049</v>
      </c>
      <c r="H740" t="s">
        <v>1107</v>
      </c>
      <c r="I740" t="s">
        <v>1108</v>
      </c>
      <c r="J740" t="s">
        <v>17648</v>
      </c>
      <c r="K740" t="s">
        <v>17649</v>
      </c>
      <c r="L740" t="s">
        <v>36</v>
      </c>
      <c r="M740" t="s">
        <v>19177</v>
      </c>
      <c r="N740" t="s">
        <v>519</v>
      </c>
      <c r="O740" t="s">
        <v>519</v>
      </c>
      <c r="P740" t="s">
        <v>454</v>
      </c>
    </row>
    <row r="741">
      <c r="A741">
        <f>HYPERLINK("http://bombeiros.sp.gov.br/hidrantes/03individual/1134.html","1134")</f>
      </c>
      <c r="B741" t="s">
        <v>454</v>
      </c>
      <c r="C741" t="s">
        <v>519</v>
      </c>
      <c r="D741" t="s">
        <v>519</v>
      </c>
      <c r="E741" t="s">
        <v>15</v>
      </c>
      <c r="F741" t="s">
        <v>8165</v>
      </c>
      <c r="G741" t="s">
        <v>18096</v>
      </c>
      <c r="H741" t="s">
        <v>1112</v>
      </c>
      <c r="I741" t="s">
        <v>1108</v>
      </c>
      <c r="J741" t="s">
        <v>8166</v>
      </c>
      <c r="K741" t="s">
        <v>8167</v>
      </c>
      <c r="L741" t="s">
        <v>21</v>
      </c>
      <c r="M741" t="s">
        <v>19177</v>
      </c>
      <c r="N741" t="s">
        <v>519</v>
      </c>
      <c r="O741" t="s">
        <v>519</v>
      </c>
      <c r="P741" t="s">
        <v>454</v>
      </c>
    </row>
    <row r="742">
      <c r="A742">
        <f>HYPERLINK("http://bombeiros.sp.gov.br/hidrantes/03individual/1297.html","1297")</f>
      </c>
      <c r="B742" t="s">
        <v>454</v>
      </c>
      <c r="C742" t="s">
        <v>519</v>
      </c>
      <c r="D742" t="s">
        <v>519</v>
      </c>
      <c r="E742" t="s">
        <v>15</v>
      </c>
      <c r="F742" t="s">
        <v>8180</v>
      </c>
      <c r="G742" t="s">
        <v>18048</v>
      </c>
      <c r="H742" t="s">
        <v>1112</v>
      </c>
      <c r="I742" t="s">
        <v>1108</v>
      </c>
      <c r="J742" t="s">
        <v>8181</v>
      </c>
      <c r="K742" t="s">
        <v>8182</v>
      </c>
      <c r="L742" t="s">
        <v>21</v>
      </c>
      <c r="M742" t="s">
        <v>19177</v>
      </c>
      <c r="N742" t="s">
        <v>478</v>
      </c>
      <c r="O742" t="s">
        <v>478</v>
      </c>
      <c r="P742" t="s">
        <v>454</v>
      </c>
    </row>
    <row r="743">
      <c r="A743">
        <f>HYPERLINK("http://bombeiros.sp.gov.br/hidrantes/03individual/4024.html","4024")</f>
      </c>
      <c r="B743" t="s">
        <v>454</v>
      </c>
      <c r="C743" t="s">
        <v>519</v>
      </c>
      <c r="D743" t="s">
        <v>519</v>
      </c>
      <c r="E743" t="s">
        <v>15</v>
      </c>
      <c r="F743" t="s">
        <v>8195</v>
      </c>
      <c r="G743" t="s">
        <v>18055</v>
      </c>
      <c r="H743" t="s">
        <v>1107</v>
      </c>
      <c r="I743" t="s">
        <v>1108</v>
      </c>
      <c r="J743" t="s">
        <v>8196</v>
      </c>
      <c r="K743" t="s">
        <v>8197</v>
      </c>
      <c r="L743" t="s">
        <v>21</v>
      </c>
      <c r="M743" t="s">
        <v>19177</v>
      </c>
      <c r="N743" t="s">
        <v>519</v>
      </c>
      <c r="O743" t="s">
        <v>519</v>
      </c>
      <c r="P743" t="s">
        <v>454</v>
      </c>
    </row>
    <row r="744">
      <c r="A744">
        <f>HYPERLINK("http://bombeiros.sp.gov.br/hidrantes/03individual/4025.html","4025")</f>
      </c>
      <c r="B744" t="s">
        <v>454</v>
      </c>
      <c r="C744" t="s">
        <v>519</v>
      </c>
      <c r="D744" t="s">
        <v>519</v>
      </c>
      <c r="E744" t="s">
        <v>15</v>
      </c>
      <c r="F744" t="s">
        <v>8198</v>
      </c>
      <c r="G744" t="s">
        <v>18123</v>
      </c>
      <c r="H744" t="s">
        <v>1107</v>
      </c>
      <c r="I744" t="s">
        <v>1108</v>
      </c>
      <c r="J744" t="s">
        <v>8199</v>
      </c>
      <c r="K744" t="s">
        <v>8200</v>
      </c>
      <c r="L744" t="s">
        <v>21</v>
      </c>
      <c r="M744" t="s">
        <v>19177</v>
      </c>
      <c r="N744" t="s">
        <v>519</v>
      </c>
      <c r="O744" t="s">
        <v>519</v>
      </c>
      <c r="P744" t="s">
        <v>454</v>
      </c>
    </row>
    <row r="745">
      <c r="A745">
        <f>HYPERLINK("http://bombeiros.sp.gov.br/hidrantes/03individual/4032.html","4032")</f>
      </c>
      <c r="B745" t="s">
        <v>454</v>
      </c>
      <c r="C745" t="s">
        <v>519</v>
      </c>
      <c r="D745" t="s">
        <v>519</v>
      </c>
      <c r="E745" t="s">
        <v>15</v>
      </c>
      <c r="F745" t="s">
        <v>8201</v>
      </c>
      <c r="G745" t="s">
        <v>18107</v>
      </c>
      <c r="H745" t="s">
        <v>1112</v>
      </c>
      <c r="I745" t="s">
        <v>1108</v>
      </c>
      <c r="J745" t="s">
        <v>8202</v>
      </c>
      <c r="K745" t="s">
        <v>8203</v>
      </c>
      <c r="L745" t="s">
        <v>21</v>
      </c>
      <c r="M745" t="s">
        <v>19177</v>
      </c>
      <c r="N745" t="s">
        <v>478</v>
      </c>
      <c r="O745" t="s">
        <v>478</v>
      </c>
      <c r="P745" t="s">
        <v>454</v>
      </c>
    </row>
    <row r="746">
      <c r="A746">
        <f>HYPERLINK("http://bombeiros.sp.gov.br/hidrantes/03individual/4033.html","4033")</f>
      </c>
      <c r="B746" t="s">
        <v>454</v>
      </c>
      <c r="C746" t="s">
        <v>519</v>
      </c>
      <c r="D746" t="s">
        <v>519</v>
      </c>
      <c r="E746" t="s">
        <v>15</v>
      </c>
      <c r="F746" t="s">
        <v>8204</v>
      </c>
      <c r="G746" t="s">
        <v>18123</v>
      </c>
      <c r="H746" t="s">
        <v>1174</v>
      </c>
      <c r="I746" t="s">
        <v>1108</v>
      </c>
      <c r="J746" t="s">
        <v>18918</v>
      </c>
      <c r="K746" t="s">
        <v>18919</v>
      </c>
      <c r="L746" t="s">
        <v>21</v>
      </c>
      <c r="M746" t="s">
        <v>19177</v>
      </c>
      <c r="N746" t="s">
        <v>519</v>
      </c>
      <c r="O746" t="s">
        <v>519</v>
      </c>
      <c r="P746" t="s">
        <v>454</v>
      </c>
    </row>
    <row r="747">
      <c r="A747">
        <f>HYPERLINK("http://bombeiros.sp.gov.br/hidrantes/03individual/4034.html","4034")</f>
      </c>
      <c r="B747" t="s">
        <v>454</v>
      </c>
      <c r="C747" t="s">
        <v>519</v>
      </c>
      <c r="D747" t="s">
        <v>519</v>
      </c>
      <c r="E747" t="s">
        <v>15</v>
      </c>
      <c r="F747" t="s">
        <v>8207</v>
      </c>
      <c r="G747" t="s">
        <v>18123</v>
      </c>
      <c r="H747" t="s">
        <v>1107</v>
      </c>
      <c r="I747" t="s">
        <v>1108</v>
      </c>
      <c r="J747" t="s">
        <v>8208</v>
      </c>
      <c r="K747" t="s">
        <v>8209</v>
      </c>
      <c r="L747" t="s">
        <v>21</v>
      </c>
      <c r="M747" t="s">
        <v>19177</v>
      </c>
      <c r="N747" t="s">
        <v>519</v>
      </c>
      <c r="O747" t="s">
        <v>519</v>
      </c>
      <c r="P747" t="s">
        <v>454</v>
      </c>
    </row>
    <row r="748">
      <c r="A748">
        <f>HYPERLINK("http://bombeiros.sp.gov.br/hidrantes/03individual/5597.html","5597")</f>
      </c>
      <c r="B748" t="s">
        <v>454</v>
      </c>
      <c r="C748" t="s">
        <v>519</v>
      </c>
      <c r="D748" t="s">
        <v>519</v>
      </c>
      <c r="E748" t="s">
        <v>15</v>
      </c>
      <c r="F748" t="s">
        <v>8210</v>
      </c>
      <c r="G748" t="s">
        <v>18107</v>
      </c>
      <c r="H748" t="s">
        <v>1112</v>
      </c>
      <c r="I748" t="s">
        <v>1108</v>
      </c>
      <c r="J748" t="s">
        <v>8211</v>
      </c>
      <c r="K748" t="s">
        <v>8212</v>
      </c>
      <c r="L748" t="s">
        <v>21</v>
      </c>
      <c r="M748" t="s">
        <v>19177</v>
      </c>
      <c r="N748" t="s">
        <v>478</v>
      </c>
      <c r="O748" t="s">
        <v>478</v>
      </c>
      <c r="P748" t="s">
        <v>454</v>
      </c>
    </row>
    <row r="749">
      <c r="A749">
        <f>HYPERLINK("http://bombeiros.sp.gov.br/hidrantes/03individual/944.html","944")</f>
      </c>
      <c r="B749" t="s">
        <v>454</v>
      </c>
      <c r="C749" t="s">
        <v>519</v>
      </c>
      <c r="D749" t="s">
        <v>527</v>
      </c>
      <c r="E749" t="s">
        <v>15</v>
      </c>
      <c r="F749" t="s">
        <v>8216</v>
      </c>
      <c r="G749" t="s">
        <v>18123</v>
      </c>
      <c r="H749" t="s">
        <v>1107</v>
      </c>
      <c r="I749" t="s">
        <v>1108</v>
      </c>
      <c r="J749" t="s">
        <v>8217</v>
      </c>
      <c r="K749" t="s">
        <v>8218</v>
      </c>
      <c r="L749" t="s">
        <v>21</v>
      </c>
      <c r="M749" t="s">
        <v>19177</v>
      </c>
      <c r="N749" t="s">
        <v>519</v>
      </c>
      <c r="O749" t="s">
        <v>519</v>
      </c>
      <c r="P749" t="s">
        <v>454</v>
      </c>
    </row>
    <row r="750">
      <c r="A750">
        <f>HYPERLINK("http://bombeiros.sp.gov.br/hidrantes/03individual/970.html","970")</f>
      </c>
      <c r="B750" t="s">
        <v>454</v>
      </c>
      <c r="C750" t="s">
        <v>519</v>
      </c>
      <c r="D750" t="s">
        <v>527</v>
      </c>
      <c r="E750" t="s">
        <v>15</v>
      </c>
      <c r="F750" t="s">
        <v>8219</v>
      </c>
      <c r="G750" t="s">
        <v>18085</v>
      </c>
      <c r="H750" t="s">
        <v>1107</v>
      </c>
      <c r="I750" t="s">
        <v>1108</v>
      </c>
      <c r="J750" t="s">
        <v>8220</v>
      </c>
      <c r="K750" t="s">
        <v>8221</v>
      </c>
      <c r="L750" t="s">
        <v>21</v>
      </c>
      <c r="M750" t="s">
        <v>19177</v>
      </c>
      <c r="N750" t="s">
        <v>519</v>
      </c>
      <c r="O750" t="s">
        <v>519</v>
      </c>
      <c r="P750" t="s">
        <v>454</v>
      </c>
    </row>
    <row r="751">
      <c r="A751">
        <f>HYPERLINK("http://bombeiros.sp.gov.br/hidrantes/03individual/977.html","977")</f>
      </c>
      <c r="B751" t="s">
        <v>454</v>
      </c>
      <c r="C751" t="s">
        <v>519</v>
      </c>
      <c r="D751" t="s">
        <v>527</v>
      </c>
      <c r="E751" t="s">
        <v>15</v>
      </c>
      <c r="F751" t="s">
        <v>8225</v>
      </c>
      <c r="G751" t="s">
        <v>18107</v>
      </c>
      <c r="H751" t="s">
        <v>1112</v>
      </c>
      <c r="I751" t="s">
        <v>1108</v>
      </c>
      <c r="J751" t="s">
        <v>8226</v>
      </c>
      <c r="K751" t="s">
        <v>8227</v>
      </c>
      <c r="L751" t="s">
        <v>21</v>
      </c>
      <c r="M751" t="s">
        <v>19177</v>
      </c>
      <c r="N751" t="s">
        <v>478</v>
      </c>
      <c r="O751" t="s">
        <v>478</v>
      </c>
      <c r="P751" t="s">
        <v>454</v>
      </c>
    </row>
    <row r="752">
      <c r="A752">
        <f>HYPERLINK("http://bombeiros.sp.gov.br/hidrantes/03individual/1135.html","1135")</f>
      </c>
      <c r="B752" t="s">
        <v>454</v>
      </c>
      <c r="C752" t="s">
        <v>519</v>
      </c>
      <c r="D752" t="s">
        <v>527</v>
      </c>
      <c r="E752" t="s">
        <v>15</v>
      </c>
      <c r="F752" t="s">
        <v>8246</v>
      </c>
      <c r="G752" t="s">
        <v>18072</v>
      </c>
      <c r="H752" t="s">
        <v>1112</v>
      </c>
      <c r="I752" t="s">
        <v>1108</v>
      </c>
      <c r="J752" t="s">
        <v>8247</v>
      </c>
      <c r="K752" t="s">
        <v>8248</v>
      </c>
      <c r="L752" t="s">
        <v>21</v>
      </c>
      <c r="M752" t="s">
        <v>19177</v>
      </c>
      <c r="N752" t="s">
        <v>478</v>
      </c>
      <c r="O752" t="s">
        <v>478</v>
      </c>
      <c r="P752" t="s">
        <v>454</v>
      </c>
    </row>
    <row r="753">
      <c r="A753">
        <f>HYPERLINK("http://bombeiros.sp.gov.br/hidrantes/03individual/1160.html","1160")</f>
      </c>
      <c r="B753" t="s">
        <v>454</v>
      </c>
      <c r="C753" t="s">
        <v>519</v>
      </c>
      <c r="D753" t="s">
        <v>527</v>
      </c>
      <c r="E753" t="s">
        <v>15</v>
      </c>
      <c r="F753" t="s">
        <v>8249</v>
      </c>
      <c r="G753" t="s">
        <v>18085</v>
      </c>
      <c r="H753" t="s">
        <v>1107</v>
      </c>
      <c r="I753" t="s">
        <v>1108</v>
      </c>
      <c r="J753" t="s">
        <v>8250</v>
      </c>
      <c r="K753" t="s">
        <v>8251</v>
      </c>
      <c r="L753" t="s">
        <v>21</v>
      </c>
      <c r="M753" t="s">
        <v>19177</v>
      </c>
      <c r="N753" t="s">
        <v>519</v>
      </c>
      <c r="O753" t="s">
        <v>519</v>
      </c>
      <c r="P753" t="s">
        <v>454</v>
      </c>
    </row>
    <row r="754">
      <c r="A754">
        <f>HYPERLINK("http://bombeiros.sp.gov.br/hidrantes/03individual/1208.html","1208")</f>
      </c>
      <c r="B754" t="s">
        <v>454</v>
      </c>
      <c r="C754" t="s">
        <v>519</v>
      </c>
      <c r="D754" t="s">
        <v>527</v>
      </c>
      <c r="E754" t="s">
        <v>15</v>
      </c>
      <c r="F754" t="s">
        <v>8258</v>
      </c>
      <c r="G754" t="s">
        <v>18123</v>
      </c>
      <c r="H754" t="s">
        <v>1107</v>
      </c>
      <c r="I754" t="s">
        <v>1108</v>
      </c>
      <c r="J754" t="s">
        <v>8259</v>
      </c>
      <c r="K754" t="s">
        <v>8260</v>
      </c>
      <c r="L754" t="s">
        <v>21</v>
      </c>
      <c r="M754" t="s">
        <v>19177</v>
      </c>
      <c r="N754" t="s">
        <v>519</v>
      </c>
      <c r="O754" t="s">
        <v>519</v>
      </c>
      <c r="P754" t="s">
        <v>454</v>
      </c>
    </row>
    <row r="755">
      <c r="A755">
        <f>HYPERLINK("http://bombeiros.sp.gov.br/hidrantes/03individual/1264.html","1264")</f>
      </c>
      <c r="B755" t="s">
        <v>454</v>
      </c>
      <c r="C755" t="s">
        <v>519</v>
      </c>
      <c r="D755" t="s">
        <v>527</v>
      </c>
      <c r="E755" t="s">
        <v>15</v>
      </c>
      <c r="F755" t="s">
        <v>8261</v>
      </c>
      <c r="G755" t="s">
        <v>18085</v>
      </c>
      <c r="H755" t="s">
        <v>1107</v>
      </c>
      <c r="I755" t="s">
        <v>1108</v>
      </c>
      <c r="J755" t="s">
        <v>8262</v>
      </c>
      <c r="K755" t="s">
        <v>8263</v>
      </c>
      <c r="L755" t="s">
        <v>21</v>
      </c>
      <c r="M755" t="s">
        <v>19177</v>
      </c>
      <c r="N755" t="s">
        <v>519</v>
      </c>
      <c r="O755" t="s">
        <v>519</v>
      </c>
      <c r="P755" t="s">
        <v>454</v>
      </c>
    </row>
    <row r="756">
      <c r="A756">
        <f>HYPERLINK("http://bombeiros.sp.gov.br/hidrantes/03individual/4030.html","4030")</f>
      </c>
      <c r="B756" t="s">
        <v>454</v>
      </c>
      <c r="C756" t="s">
        <v>519</v>
      </c>
      <c r="D756" t="s">
        <v>527</v>
      </c>
      <c r="E756" t="s">
        <v>15</v>
      </c>
      <c r="F756" t="s">
        <v>8276</v>
      </c>
      <c r="G756" t="s">
        <v>18118</v>
      </c>
      <c r="H756" t="s">
        <v>1112</v>
      </c>
      <c r="I756" t="s">
        <v>1108</v>
      </c>
      <c r="J756" t="s">
        <v>8277</v>
      </c>
      <c r="K756" t="s">
        <v>8278</v>
      </c>
      <c r="L756" t="s">
        <v>21</v>
      </c>
      <c r="M756" t="s">
        <v>19177</v>
      </c>
      <c r="N756" t="s">
        <v>478</v>
      </c>
      <c r="O756" t="s">
        <v>478</v>
      </c>
      <c r="P756" t="s">
        <v>454</v>
      </c>
    </row>
    <row r="757">
      <c r="A757">
        <f>HYPERLINK("http://bombeiros.sp.gov.br/hidrantes/03individual/4047.html","4047")</f>
      </c>
      <c r="B757" t="s">
        <v>454</v>
      </c>
      <c r="C757" t="s">
        <v>519</v>
      </c>
      <c r="D757" t="s">
        <v>527</v>
      </c>
      <c r="E757" t="s">
        <v>15</v>
      </c>
      <c r="F757" t="s">
        <v>8291</v>
      </c>
      <c r="G757" t="s">
        <v>18072</v>
      </c>
      <c r="H757" t="s">
        <v>1112</v>
      </c>
      <c r="I757" t="s">
        <v>1108</v>
      </c>
      <c r="J757" t="s">
        <v>8292</v>
      </c>
      <c r="K757" t="s">
        <v>8293</v>
      </c>
      <c r="L757" t="s">
        <v>21</v>
      </c>
      <c r="M757" t="s">
        <v>19177</v>
      </c>
      <c r="N757" t="s">
        <v>478</v>
      </c>
      <c r="O757" t="s">
        <v>478</v>
      </c>
      <c r="P757" t="s">
        <v>454</v>
      </c>
    </row>
    <row r="758">
      <c r="A758">
        <f>HYPERLINK("http://bombeiros.sp.gov.br/hidrantes/03individual/4075.html","4075")</f>
      </c>
      <c r="B758" t="s">
        <v>454</v>
      </c>
      <c r="C758" t="s">
        <v>519</v>
      </c>
      <c r="D758" t="s">
        <v>527</v>
      </c>
      <c r="E758" t="s">
        <v>15</v>
      </c>
      <c r="F758" t="s">
        <v>8294</v>
      </c>
      <c r="G758" t="s">
        <v>18132</v>
      </c>
      <c r="H758" t="s">
        <v>1107</v>
      </c>
      <c r="I758" t="s">
        <v>1108</v>
      </c>
      <c r="J758" t="s">
        <v>8295</v>
      </c>
      <c r="K758" t="s">
        <v>8296</v>
      </c>
      <c r="L758" t="s">
        <v>21</v>
      </c>
      <c r="M758" t="s">
        <v>19177</v>
      </c>
      <c r="N758" t="s">
        <v>519</v>
      </c>
      <c r="O758" t="s">
        <v>519</v>
      </c>
      <c r="P758" t="s">
        <v>454</v>
      </c>
    </row>
    <row r="759">
      <c r="A759">
        <f>HYPERLINK("http://bombeiros.sp.gov.br/hidrantes/03individual/4081.html","4081")</f>
      </c>
      <c r="B759" t="s">
        <v>454</v>
      </c>
      <c r="C759" t="s">
        <v>519</v>
      </c>
      <c r="D759" t="s">
        <v>527</v>
      </c>
      <c r="E759" t="s">
        <v>15</v>
      </c>
      <c r="F759" t="s">
        <v>8297</v>
      </c>
      <c r="G759" t="s">
        <v>18085</v>
      </c>
      <c r="H759" t="s">
        <v>1107</v>
      </c>
      <c r="I759" t="s">
        <v>1108</v>
      </c>
      <c r="J759" t="s">
        <v>8298</v>
      </c>
      <c r="K759" t="s">
        <v>8299</v>
      </c>
      <c r="L759" t="s">
        <v>21</v>
      </c>
      <c r="M759" t="s">
        <v>19177</v>
      </c>
      <c r="N759" t="s">
        <v>519</v>
      </c>
      <c r="O759" t="s">
        <v>519</v>
      </c>
      <c r="P759" t="s">
        <v>454</v>
      </c>
    </row>
    <row r="760">
      <c r="A760">
        <f>HYPERLINK("http://bombeiros.sp.gov.br/hidrantes/03individual/5493.html","5493")</f>
      </c>
      <c r="B760" t="s">
        <v>454</v>
      </c>
      <c r="C760" t="s">
        <v>519</v>
      </c>
      <c r="D760" t="s">
        <v>527</v>
      </c>
      <c r="E760" t="s">
        <v>15</v>
      </c>
      <c r="F760" t="s">
        <v>8303</v>
      </c>
      <c r="G760" t="s">
        <v>18123</v>
      </c>
      <c r="H760" t="s">
        <v>1112</v>
      </c>
      <c r="I760" t="s">
        <v>1108</v>
      </c>
      <c r="J760" t="s">
        <v>8304</v>
      </c>
      <c r="K760" t="s">
        <v>8305</v>
      </c>
      <c r="L760" t="s">
        <v>21</v>
      </c>
      <c r="M760" t="s">
        <v>19177</v>
      </c>
      <c r="N760" t="s">
        <v>519</v>
      </c>
      <c r="O760" t="s">
        <v>519</v>
      </c>
      <c r="P760" t="s">
        <v>454</v>
      </c>
    </row>
    <row r="761">
      <c r="A761">
        <f>HYPERLINK("http://bombeiros.sp.gov.br/hidrantes/03individual/5494.html","5494")</f>
      </c>
      <c r="B761" t="s">
        <v>454</v>
      </c>
      <c r="C761" t="s">
        <v>519</v>
      </c>
      <c r="D761" t="s">
        <v>527</v>
      </c>
      <c r="E761" t="s">
        <v>15</v>
      </c>
      <c r="F761" t="s">
        <v>8306</v>
      </c>
      <c r="G761" t="s">
        <v>18123</v>
      </c>
      <c r="H761" t="s">
        <v>1174</v>
      </c>
      <c r="I761" t="s">
        <v>1117</v>
      </c>
      <c r="J761" t="s">
        <v>8307</v>
      </c>
      <c r="K761" t="s">
        <v>8308</v>
      </c>
      <c r="L761" t="s">
        <v>21</v>
      </c>
      <c r="M761" t="s">
        <v>19177</v>
      </c>
      <c r="N761" t="s">
        <v>519</v>
      </c>
      <c r="O761" t="s">
        <v>519</v>
      </c>
      <c r="P761" t="s">
        <v>454</v>
      </c>
    </row>
    <row r="762">
      <c r="A762">
        <f>HYPERLINK("http://bombeiros.sp.gov.br/hidrantes/03individual/5497.html","5497")</f>
      </c>
      <c r="B762" t="s">
        <v>454</v>
      </c>
      <c r="C762" t="s">
        <v>519</v>
      </c>
      <c r="D762" t="s">
        <v>527</v>
      </c>
      <c r="E762" t="s">
        <v>15</v>
      </c>
      <c r="F762" t="s">
        <v>8309</v>
      </c>
      <c r="G762" t="s">
        <v>18123</v>
      </c>
      <c r="H762" t="s">
        <v>1112</v>
      </c>
      <c r="I762" t="s">
        <v>1108</v>
      </c>
      <c r="J762" t="s">
        <v>8310</v>
      </c>
      <c r="K762" t="s">
        <v>8311</v>
      </c>
      <c r="L762" t="s">
        <v>21</v>
      </c>
      <c r="M762" t="s">
        <v>19177</v>
      </c>
      <c r="N762" t="s">
        <v>519</v>
      </c>
      <c r="O762" t="s">
        <v>519</v>
      </c>
      <c r="P762" t="s">
        <v>454</v>
      </c>
    </row>
    <row r="763">
      <c r="A763">
        <f>HYPERLINK("http://bombeiros.sp.gov.br/hidrantes/03individual/26905.html","26905")</f>
      </c>
      <c r="B763" t="s">
        <v>454</v>
      </c>
      <c r="C763" t="s">
        <v>519</v>
      </c>
      <c r="D763" t="s">
        <v>527</v>
      </c>
      <c r="E763" t="s">
        <v>15</v>
      </c>
      <c r="F763" t="s">
        <v>16350</v>
      </c>
      <c r="G763" t="s">
        <v>18132</v>
      </c>
      <c r="H763" t="s">
        <v>1107</v>
      </c>
      <c r="I763" t="s">
        <v>1108</v>
      </c>
      <c r="J763" t="s">
        <v>16351</v>
      </c>
      <c r="K763" t="s">
        <v>16352</v>
      </c>
      <c r="L763" t="s">
        <v>21</v>
      </c>
      <c r="M763" t="s">
        <v>19177</v>
      </c>
      <c r="N763" t="s">
        <v>519</v>
      </c>
      <c r="O763" t="s">
        <v>519</v>
      </c>
      <c r="P763" t="s">
        <v>454</v>
      </c>
    </row>
    <row r="764">
      <c r="A764">
        <f>HYPERLINK("http://bombeiros.sp.gov.br/hidrantes/03individual/708.html","708")</f>
      </c>
      <c r="B764" t="s">
        <v>454</v>
      </c>
      <c r="C764" t="s">
        <v>531</v>
      </c>
      <c r="D764" t="s">
        <v>532</v>
      </c>
      <c r="E764" t="s">
        <v>64</v>
      </c>
      <c r="F764" t="s">
        <v>533</v>
      </c>
      <c r="G764" t="s">
        <v>18043</v>
      </c>
      <c r="H764" t="s">
        <v>1112</v>
      </c>
      <c r="I764" t="s">
        <v>1108</v>
      </c>
      <c r="J764" t="s">
        <v>535</v>
      </c>
      <c r="K764" t="s">
        <v>536</v>
      </c>
      <c r="L764" t="s">
        <v>36</v>
      </c>
      <c r="M764" t="s">
        <v>19177</v>
      </c>
      <c r="N764" t="s">
        <v>531</v>
      </c>
      <c r="O764" t="s">
        <v>531</v>
      </c>
      <c r="P764" t="s">
        <v>454</v>
      </c>
    </row>
    <row r="765">
      <c r="A765">
        <f>HYPERLINK("http://bombeiros.sp.gov.br/hidrantes/03individual/748.html","748")</f>
      </c>
      <c r="B765" t="s">
        <v>454</v>
      </c>
      <c r="C765" t="s">
        <v>531</v>
      </c>
      <c r="D765" t="s">
        <v>532</v>
      </c>
      <c r="E765" t="s">
        <v>15</v>
      </c>
      <c r="F765" t="s">
        <v>8354</v>
      </c>
      <c r="G765" t="s">
        <v>18183</v>
      </c>
      <c r="H765" t="s">
        <v>1112</v>
      </c>
      <c r="I765" t="s">
        <v>1108</v>
      </c>
      <c r="J765" t="s">
        <v>8355</v>
      </c>
      <c r="K765" t="s">
        <v>8356</v>
      </c>
      <c r="L765" t="s">
        <v>21</v>
      </c>
      <c r="M765" t="s">
        <v>19177</v>
      </c>
      <c r="N765" t="s">
        <v>531</v>
      </c>
      <c r="O765" t="s">
        <v>531</v>
      </c>
      <c r="P765" t="s">
        <v>454</v>
      </c>
    </row>
    <row r="766">
      <c r="A766">
        <f>HYPERLINK("http://bombeiros.sp.gov.br/hidrantes/03individual/3983.html","3983")</f>
      </c>
      <c r="B766" t="s">
        <v>454</v>
      </c>
      <c r="C766" t="s">
        <v>531</v>
      </c>
      <c r="D766" t="s">
        <v>532</v>
      </c>
      <c r="E766" t="s">
        <v>15</v>
      </c>
      <c r="F766" t="s">
        <v>8372</v>
      </c>
      <c r="G766" t="s">
        <v>18127</v>
      </c>
      <c r="H766" t="s">
        <v>1107</v>
      </c>
      <c r="I766" t="s">
        <v>1108</v>
      </c>
      <c r="J766" t="s">
        <v>8373</v>
      </c>
      <c r="K766" t="s">
        <v>8374</v>
      </c>
      <c r="L766" t="s">
        <v>21</v>
      </c>
      <c r="M766" t="s">
        <v>19177</v>
      </c>
      <c r="N766" t="s">
        <v>531</v>
      </c>
      <c r="O766" t="s">
        <v>531</v>
      </c>
      <c r="P766" t="s">
        <v>454</v>
      </c>
    </row>
    <row r="767">
      <c r="A767">
        <f>HYPERLINK("http://bombeiros.sp.gov.br/hidrantes/03individual/2586.html","2586")</f>
      </c>
      <c r="B767" t="s">
        <v>454</v>
      </c>
      <c r="C767" t="s">
        <v>531</v>
      </c>
      <c r="D767" t="s">
        <v>8378</v>
      </c>
      <c r="E767" t="s">
        <v>64</v>
      </c>
      <c r="F767" t="s">
        <v>8382</v>
      </c>
      <c r="G767" t="s">
        <v>18043</v>
      </c>
      <c r="H767" t="s">
        <v>1107</v>
      </c>
      <c r="I767" t="s">
        <v>1108</v>
      </c>
      <c r="J767" t="s">
        <v>8383</v>
      </c>
      <c r="K767" t="s">
        <v>8384</v>
      </c>
      <c r="L767" t="s">
        <v>21</v>
      </c>
      <c r="M767" t="s">
        <v>19177</v>
      </c>
      <c r="N767" t="s">
        <v>531</v>
      </c>
      <c r="O767" t="s">
        <v>531</v>
      </c>
      <c r="P767" t="s">
        <v>454</v>
      </c>
    </row>
    <row r="768">
      <c r="A768">
        <f>HYPERLINK("http://bombeiros.sp.gov.br/hidrantes/03individual/563.html","563")</f>
      </c>
      <c r="B768" t="s">
        <v>454</v>
      </c>
      <c r="C768" t="s">
        <v>531</v>
      </c>
      <c r="D768" t="s">
        <v>8378</v>
      </c>
      <c r="E768" t="s">
        <v>15</v>
      </c>
      <c r="F768" t="s">
        <v>8388</v>
      </c>
      <c r="G768" t="s">
        <v>18182</v>
      </c>
      <c r="H768" t="s">
        <v>1112</v>
      </c>
      <c r="I768" t="s">
        <v>1108</v>
      </c>
      <c r="J768" t="s">
        <v>8389</v>
      </c>
      <c r="K768" t="s">
        <v>8390</v>
      </c>
      <c r="L768" t="s">
        <v>21</v>
      </c>
      <c r="M768" t="s">
        <v>19177</v>
      </c>
      <c r="N768" t="s">
        <v>531</v>
      </c>
      <c r="O768" t="s">
        <v>531</v>
      </c>
      <c r="P768" t="s">
        <v>454</v>
      </c>
    </row>
    <row r="769">
      <c r="A769">
        <f>HYPERLINK("http://bombeiros.sp.gov.br/hidrantes/03individual/908.html","908")</f>
      </c>
      <c r="B769" t="s">
        <v>454</v>
      </c>
      <c r="C769" t="s">
        <v>531</v>
      </c>
      <c r="D769" t="s">
        <v>549</v>
      </c>
      <c r="E769" t="s">
        <v>64</v>
      </c>
      <c r="F769" t="s">
        <v>8397</v>
      </c>
      <c r="G769" t="s">
        <v>18105</v>
      </c>
      <c r="H769" t="s">
        <v>1112</v>
      </c>
      <c r="I769" t="s">
        <v>1108</v>
      </c>
      <c r="J769" t="s">
        <v>8398</v>
      </c>
      <c r="K769" t="s">
        <v>8399</v>
      </c>
      <c r="L769" t="s">
        <v>21</v>
      </c>
      <c r="M769" t="s">
        <v>19177</v>
      </c>
      <c r="N769" t="s">
        <v>531</v>
      </c>
      <c r="O769" t="s">
        <v>531</v>
      </c>
      <c r="P769" t="s">
        <v>454</v>
      </c>
    </row>
    <row r="770">
      <c r="A770">
        <f>HYPERLINK("http://bombeiros.sp.gov.br/hidrantes/03individual/3558.html","3558")</f>
      </c>
      <c r="B770" t="s">
        <v>454</v>
      </c>
      <c r="C770" t="s">
        <v>531</v>
      </c>
      <c r="D770" t="s">
        <v>549</v>
      </c>
      <c r="E770" t="s">
        <v>64</v>
      </c>
      <c r="F770" t="s">
        <v>8400</v>
      </c>
      <c r="G770" t="s">
        <v>18184</v>
      </c>
      <c r="H770" t="s">
        <v>1112</v>
      </c>
      <c r="I770" t="s">
        <v>1108</v>
      </c>
      <c r="J770" t="s">
        <v>16119</v>
      </c>
      <c r="K770" t="s">
        <v>16120</v>
      </c>
      <c r="L770" t="s">
        <v>36</v>
      </c>
      <c r="M770" t="s">
        <v>19177</v>
      </c>
      <c r="N770" t="s">
        <v>531</v>
      </c>
      <c r="O770" t="s">
        <v>531</v>
      </c>
      <c r="P770" t="s">
        <v>454</v>
      </c>
    </row>
    <row r="771">
      <c r="A771">
        <f>HYPERLINK("http://bombeiros.sp.gov.br/hidrantes/03individual/3562.html","3562")</f>
      </c>
      <c r="B771" t="s">
        <v>454</v>
      </c>
      <c r="C771" t="s">
        <v>531</v>
      </c>
      <c r="D771" t="s">
        <v>549</v>
      </c>
      <c r="E771" t="s">
        <v>64</v>
      </c>
      <c r="F771" t="s">
        <v>8403</v>
      </c>
      <c r="G771" t="s">
        <v>18202</v>
      </c>
      <c r="H771" t="s">
        <v>1107</v>
      </c>
      <c r="I771" t="s">
        <v>1108</v>
      </c>
      <c r="J771" t="s">
        <v>8404</v>
      </c>
      <c r="K771" t="s">
        <v>8405</v>
      </c>
      <c r="L771" t="s">
        <v>36</v>
      </c>
      <c r="M771" t="s">
        <v>19177</v>
      </c>
      <c r="N771" t="s">
        <v>531</v>
      </c>
      <c r="O771" t="s">
        <v>531</v>
      </c>
      <c r="P771" t="s">
        <v>454</v>
      </c>
    </row>
    <row r="772">
      <c r="A772">
        <f>HYPERLINK("http://bombeiros.sp.gov.br/hidrantes/03individual/3563.html","3563")</f>
      </c>
      <c r="B772" t="s">
        <v>454</v>
      </c>
      <c r="C772" t="s">
        <v>531</v>
      </c>
      <c r="D772" t="s">
        <v>549</v>
      </c>
      <c r="E772" t="s">
        <v>64</v>
      </c>
      <c r="F772" t="s">
        <v>8406</v>
      </c>
      <c r="G772" t="s">
        <v>18554</v>
      </c>
      <c r="H772" t="s">
        <v>1107</v>
      </c>
      <c r="I772" t="s">
        <v>1108</v>
      </c>
      <c r="J772" t="s">
        <v>8407</v>
      </c>
      <c r="K772" t="s">
        <v>8408</v>
      </c>
      <c r="L772" t="s">
        <v>21</v>
      </c>
      <c r="M772" t="s">
        <v>19177</v>
      </c>
      <c r="N772" t="s">
        <v>531</v>
      </c>
      <c r="O772" t="s">
        <v>531</v>
      </c>
      <c r="P772" t="s">
        <v>454</v>
      </c>
    </row>
    <row r="773">
      <c r="A773">
        <f>HYPERLINK("http://bombeiros.sp.gov.br/hidrantes/03individual/3566.html","3566")</f>
      </c>
      <c r="B773" t="s">
        <v>454</v>
      </c>
      <c r="C773" t="s">
        <v>531</v>
      </c>
      <c r="D773" t="s">
        <v>549</v>
      </c>
      <c r="E773" t="s">
        <v>64</v>
      </c>
      <c r="F773" t="s">
        <v>8412</v>
      </c>
      <c r="G773" t="s">
        <v>18096</v>
      </c>
      <c r="H773" t="s">
        <v>1112</v>
      </c>
      <c r="I773" t="s">
        <v>1108</v>
      </c>
      <c r="J773" t="s">
        <v>8413</v>
      </c>
      <c r="K773" t="s">
        <v>8414</v>
      </c>
      <c r="L773" t="s">
        <v>36</v>
      </c>
      <c r="M773" t="s">
        <v>19177</v>
      </c>
      <c r="N773" t="s">
        <v>531</v>
      </c>
      <c r="O773" t="s">
        <v>531</v>
      </c>
      <c r="P773" t="s">
        <v>454</v>
      </c>
    </row>
    <row r="774">
      <c r="A774">
        <f>HYPERLINK("http://bombeiros.sp.gov.br/hidrantes/03individual/3583.html","3583")</f>
      </c>
      <c r="B774" t="s">
        <v>454</v>
      </c>
      <c r="C774" t="s">
        <v>531</v>
      </c>
      <c r="D774" t="s">
        <v>549</v>
      </c>
      <c r="E774" t="s">
        <v>64</v>
      </c>
      <c r="F774" t="s">
        <v>8418</v>
      </c>
      <c r="G774" t="s">
        <v>18554</v>
      </c>
      <c r="H774" t="s">
        <v>1107</v>
      </c>
      <c r="I774" t="s">
        <v>1108</v>
      </c>
      <c r="J774" t="s">
        <v>8419</v>
      </c>
      <c r="K774" t="s">
        <v>8420</v>
      </c>
      <c r="L774" t="s">
        <v>36</v>
      </c>
      <c r="M774" t="s">
        <v>19177</v>
      </c>
      <c r="N774" t="s">
        <v>531</v>
      </c>
      <c r="O774" t="s">
        <v>531</v>
      </c>
      <c r="P774" t="s">
        <v>454</v>
      </c>
    </row>
    <row r="775">
      <c r="A775">
        <f>HYPERLINK("http://bombeiros.sp.gov.br/hidrantes/03individual/576.html","576")</f>
      </c>
      <c r="B775" t="s">
        <v>454</v>
      </c>
      <c r="C775" t="s">
        <v>531</v>
      </c>
      <c r="D775" t="s">
        <v>549</v>
      </c>
      <c r="E775" t="s">
        <v>15</v>
      </c>
      <c r="F775" t="s">
        <v>8427</v>
      </c>
      <c r="G775" t="s">
        <v>18554</v>
      </c>
      <c r="H775" t="s">
        <v>1112</v>
      </c>
      <c r="I775" t="s">
        <v>1108</v>
      </c>
      <c r="J775" t="s">
        <v>8428</v>
      </c>
      <c r="K775" t="s">
        <v>8429</v>
      </c>
      <c r="L775" t="s">
        <v>36</v>
      </c>
      <c r="M775" t="s">
        <v>19177</v>
      </c>
      <c r="N775" t="s">
        <v>531</v>
      </c>
      <c r="O775" t="s">
        <v>531</v>
      </c>
      <c r="P775" t="s">
        <v>454</v>
      </c>
    </row>
    <row r="776">
      <c r="A776">
        <f>HYPERLINK("http://bombeiros.sp.gov.br/hidrantes/03individual/749.html","749")</f>
      </c>
      <c r="B776" t="s">
        <v>454</v>
      </c>
      <c r="C776" t="s">
        <v>531</v>
      </c>
      <c r="D776" t="s">
        <v>549</v>
      </c>
      <c r="E776" t="s">
        <v>15</v>
      </c>
      <c r="F776" t="s">
        <v>8436</v>
      </c>
      <c r="G776" t="s">
        <v>18126</v>
      </c>
      <c r="H776" t="s">
        <v>1112</v>
      </c>
      <c r="I776" t="s">
        <v>1108</v>
      </c>
      <c r="J776" t="s">
        <v>8437</v>
      </c>
      <c r="K776" t="s">
        <v>8438</v>
      </c>
      <c r="L776" t="s">
        <v>36</v>
      </c>
      <c r="M776" t="s">
        <v>19177</v>
      </c>
      <c r="N776" t="s">
        <v>531</v>
      </c>
      <c r="O776" t="s">
        <v>531</v>
      </c>
      <c r="P776" t="s">
        <v>454</v>
      </c>
    </row>
    <row r="777">
      <c r="A777">
        <f>HYPERLINK("http://bombeiros.sp.gov.br/hidrantes/03individual/857.html","857")</f>
      </c>
      <c r="B777" t="s">
        <v>454</v>
      </c>
      <c r="C777" t="s">
        <v>531</v>
      </c>
      <c r="D777" t="s">
        <v>549</v>
      </c>
      <c r="E777" t="s">
        <v>15</v>
      </c>
      <c r="F777" t="s">
        <v>8442</v>
      </c>
      <c r="G777" t="s">
        <v>18147</v>
      </c>
      <c r="H777" t="s">
        <v>1107</v>
      </c>
      <c r="I777" t="s">
        <v>1108</v>
      </c>
      <c r="J777" t="s">
        <v>8443</v>
      </c>
      <c r="K777" t="s">
        <v>8444</v>
      </c>
      <c r="L777" t="s">
        <v>36</v>
      </c>
      <c r="M777" t="s">
        <v>19177</v>
      </c>
      <c r="N777" t="s">
        <v>531</v>
      </c>
      <c r="O777" t="s">
        <v>531</v>
      </c>
      <c r="P777" t="s">
        <v>454</v>
      </c>
    </row>
    <row r="778">
      <c r="A778">
        <f>HYPERLINK("http://bombeiros.sp.gov.br/hidrantes/03individual/910.html","910")</f>
      </c>
      <c r="B778" t="s">
        <v>454</v>
      </c>
      <c r="C778" t="s">
        <v>531</v>
      </c>
      <c r="D778" t="s">
        <v>549</v>
      </c>
      <c r="E778" t="s">
        <v>15</v>
      </c>
      <c r="F778" t="s">
        <v>8448</v>
      </c>
      <c r="G778" t="s">
        <v>18105</v>
      </c>
      <c r="H778" t="s">
        <v>1112</v>
      </c>
      <c r="I778" t="s">
        <v>1108</v>
      </c>
      <c r="J778" t="s">
        <v>8449</v>
      </c>
      <c r="K778" t="s">
        <v>8450</v>
      </c>
      <c r="L778" t="s">
        <v>21</v>
      </c>
      <c r="M778" t="s">
        <v>19177</v>
      </c>
      <c r="N778" t="s">
        <v>531</v>
      </c>
      <c r="O778" t="s">
        <v>531</v>
      </c>
      <c r="P778" t="s">
        <v>454</v>
      </c>
    </row>
    <row r="779">
      <c r="A779">
        <f>HYPERLINK("http://bombeiros.sp.gov.br/hidrantes/03individual/3873.html","3873")</f>
      </c>
      <c r="B779" t="s">
        <v>454</v>
      </c>
      <c r="C779" t="s">
        <v>531</v>
      </c>
      <c r="D779" t="s">
        <v>549</v>
      </c>
      <c r="E779" t="s">
        <v>15</v>
      </c>
      <c r="F779" t="s">
        <v>8451</v>
      </c>
      <c r="G779" t="s">
        <v>18089</v>
      </c>
      <c r="H779" t="s">
        <v>1112</v>
      </c>
      <c r="I779" t="s">
        <v>1108</v>
      </c>
      <c r="J779" t="s">
        <v>8452</v>
      </c>
      <c r="K779" t="s">
        <v>8453</v>
      </c>
      <c r="L779" t="s">
        <v>21</v>
      </c>
      <c r="M779" t="s">
        <v>19177</v>
      </c>
      <c r="N779" t="s">
        <v>531</v>
      </c>
      <c r="O779" t="s">
        <v>531</v>
      </c>
      <c r="P779" t="s">
        <v>454</v>
      </c>
    </row>
    <row r="780">
      <c r="A780">
        <f>HYPERLINK("http://bombeiros.sp.gov.br/hidrantes/03individual/17819.html","17819")</f>
      </c>
      <c r="B780" t="s">
        <v>454</v>
      </c>
      <c r="C780" t="s">
        <v>531</v>
      </c>
      <c r="D780" t="s">
        <v>549</v>
      </c>
      <c r="E780" t="s">
        <v>15</v>
      </c>
      <c r="F780" t="s">
        <v>8460</v>
      </c>
      <c r="G780" t="s">
        <v>18551</v>
      </c>
      <c r="H780" t="s">
        <v>1112</v>
      </c>
      <c r="I780" t="s">
        <v>1108</v>
      </c>
      <c r="J780" t="s">
        <v>8461</v>
      </c>
      <c r="K780" t="s">
        <v>8462</v>
      </c>
      <c r="L780" t="s">
        <v>21</v>
      </c>
      <c r="M780" t="s">
        <v>19177</v>
      </c>
      <c r="N780" t="s">
        <v>531</v>
      </c>
      <c r="O780" t="s">
        <v>531</v>
      </c>
      <c r="P780" t="s">
        <v>454</v>
      </c>
    </row>
    <row r="781">
      <c r="A781">
        <f>HYPERLINK("http://bombeiros.sp.gov.br/hidrantes/03individual/3567.html","3567")</f>
      </c>
      <c r="B781" t="s">
        <v>454</v>
      </c>
      <c r="C781" t="s">
        <v>531</v>
      </c>
      <c r="D781" t="s">
        <v>553</v>
      </c>
      <c r="E781" t="s">
        <v>64</v>
      </c>
      <c r="F781" t="s">
        <v>8482</v>
      </c>
      <c r="G781" t="s">
        <v>18125</v>
      </c>
      <c r="H781" t="s">
        <v>1112</v>
      </c>
      <c r="I781" t="s">
        <v>1108</v>
      </c>
      <c r="J781" t="s">
        <v>8483</v>
      </c>
      <c r="K781" t="s">
        <v>8484</v>
      </c>
      <c r="L781" t="s">
        <v>36</v>
      </c>
      <c r="M781" t="s">
        <v>19177</v>
      </c>
      <c r="N781" t="s">
        <v>531</v>
      </c>
      <c r="O781" t="s">
        <v>531</v>
      </c>
      <c r="P781" t="s">
        <v>454</v>
      </c>
    </row>
    <row r="782">
      <c r="A782">
        <f>HYPERLINK("http://bombeiros.sp.gov.br/hidrantes/03individual/3574.html","3574")</f>
      </c>
      <c r="B782" t="s">
        <v>454</v>
      </c>
      <c r="C782" t="s">
        <v>531</v>
      </c>
      <c r="D782" t="s">
        <v>553</v>
      </c>
      <c r="E782" t="s">
        <v>64</v>
      </c>
      <c r="F782" t="s">
        <v>8485</v>
      </c>
      <c r="G782" t="s">
        <v>18132</v>
      </c>
      <c r="H782" t="s">
        <v>1112</v>
      </c>
      <c r="I782" t="s">
        <v>1108</v>
      </c>
      <c r="J782" t="s">
        <v>8486</v>
      </c>
      <c r="K782" t="s">
        <v>8487</v>
      </c>
      <c r="L782" t="s">
        <v>36</v>
      </c>
      <c r="M782" t="s">
        <v>19177</v>
      </c>
      <c r="N782" t="s">
        <v>531</v>
      </c>
      <c r="O782" t="s">
        <v>531</v>
      </c>
      <c r="P782" t="s">
        <v>454</v>
      </c>
    </row>
    <row r="783">
      <c r="A783">
        <f>HYPERLINK("http://bombeiros.sp.gov.br/hidrantes/03individual/3577.html","3577")</f>
      </c>
      <c r="B783" t="s">
        <v>454</v>
      </c>
      <c r="C783" t="s">
        <v>531</v>
      </c>
      <c r="D783" t="s">
        <v>553</v>
      </c>
      <c r="E783" t="s">
        <v>64</v>
      </c>
      <c r="F783" t="s">
        <v>8488</v>
      </c>
      <c r="G783" t="s">
        <v>18071</v>
      </c>
      <c r="H783" t="s">
        <v>1112</v>
      </c>
      <c r="I783" t="s">
        <v>1108</v>
      </c>
      <c r="J783" t="s">
        <v>8489</v>
      </c>
      <c r="K783" t="s">
        <v>8490</v>
      </c>
      <c r="L783" t="s">
        <v>36</v>
      </c>
      <c r="M783" t="s">
        <v>19177</v>
      </c>
      <c r="N783" t="s">
        <v>531</v>
      </c>
      <c r="O783" t="s">
        <v>531</v>
      </c>
      <c r="P783" t="s">
        <v>454</v>
      </c>
    </row>
    <row r="784">
      <c r="A784">
        <f>HYPERLINK("http://bombeiros.sp.gov.br/hidrantes/03individual/591.html","591")</f>
      </c>
      <c r="B784" t="s">
        <v>454</v>
      </c>
      <c r="C784" t="s">
        <v>531</v>
      </c>
      <c r="D784" t="s">
        <v>553</v>
      </c>
      <c r="E784" t="s">
        <v>15</v>
      </c>
      <c r="F784" t="s">
        <v>8494</v>
      </c>
      <c r="G784" t="s">
        <v>18132</v>
      </c>
      <c r="H784" t="s">
        <v>1112</v>
      </c>
      <c r="I784" t="s">
        <v>1108</v>
      </c>
      <c r="J784" t="s">
        <v>8495</v>
      </c>
      <c r="K784" t="s">
        <v>8496</v>
      </c>
      <c r="L784" t="s">
        <v>21</v>
      </c>
      <c r="M784" t="s">
        <v>19177</v>
      </c>
      <c r="N784" t="s">
        <v>531</v>
      </c>
      <c r="O784" t="s">
        <v>531</v>
      </c>
      <c r="P784" t="s">
        <v>454</v>
      </c>
    </row>
    <row r="785">
      <c r="A785">
        <f>HYPERLINK("http://bombeiros.sp.gov.br/hidrantes/03individual/648.html","648")</f>
      </c>
      <c r="B785" t="s">
        <v>454</v>
      </c>
      <c r="C785" t="s">
        <v>531</v>
      </c>
      <c r="D785" t="s">
        <v>553</v>
      </c>
      <c r="E785" t="s">
        <v>15</v>
      </c>
      <c r="F785" t="s">
        <v>8503</v>
      </c>
      <c r="G785" t="s">
        <v>18096</v>
      </c>
      <c r="H785" t="s">
        <v>1112</v>
      </c>
      <c r="I785" t="s">
        <v>1108</v>
      </c>
      <c r="J785" t="s">
        <v>8504</v>
      </c>
      <c r="K785" t="s">
        <v>8505</v>
      </c>
      <c r="L785" t="s">
        <v>21</v>
      </c>
      <c r="M785" t="s">
        <v>19177</v>
      </c>
      <c r="N785" t="s">
        <v>531</v>
      </c>
      <c r="O785" t="s">
        <v>531</v>
      </c>
      <c r="P785" t="s">
        <v>454</v>
      </c>
    </row>
    <row r="786">
      <c r="A786">
        <f>HYPERLINK("http://bombeiros.sp.gov.br/hidrantes/03individual/710.html","710")</f>
      </c>
      <c r="B786" t="s">
        <v>454</v>
      </c>
      <c r="C786" t="s">
        <v>531</v>
      </c>
      <c r="D786" t="s">
        <v>553</v>
      </c>
      <c r="E786" t="s">
        <v>15</v>
      </c>
      <c r="F786" t="s">
        <v>8509</v>
      </c>
      <c r="G786" t="s">
        <v>18132</v>
      </c>
      <c r="H786" t="s">
        <v>1107</v>
      </c>
      <c r="I786" t="s">
        <v>1108</v>
      </c>
      <c r="J786" t="s">
        <v>8510</v>
      </c>
      <c r="K786" t="s">
        <v>8511</v>
      </c>
      <c r="L786" t="s">
        <v>21</v>
      </c>
      <c r="M786" t="s">
        <v>19177</v>
      </c>
      <c r="N786" t="s">
        <v>531</v>
      </c>
      <c r="O786" t="s">
        <v>531</v>
      </c>
      <c r="P786" t="s">
        <v>454</v>
      </c>
    </row>
    <row r="787">
      <c r="A787">
        <f>HYPERLINK("http://bombeiros.sp.gov.br/hidrantes/03individual/2231.html","2231")</f>
      </c>
      <c r="B787" t="s">
        <v>454</v>
      </c>
      <c r="C787" t="s">
        <v>531</v>
      </c>
      <c r="D787" t="s">
        <v>531</v>
      </c>
      <c r="E787" t="s">
        <v>64</v>
      </c>
      <c r="F787" t="s">
        <v>8524</v>
      </c>
      <c r="G787" t="s">
        <v>18484</v>
      </c>
      <c r="H787" t="s">
        <v>1112</v>
      </c>
      <c r="I787" t="s">
        <v>1108</v>
      </c>
      <c r="J787" t="s">
        <v>8526</v>
      </c>
      <c r="K787" t="s">
        <v>8527</v>
      </c>
      <c r="L787" t="s">
        <v>21</v>
      </c>
      <c r="M787" t="s">
        <v>19177</v>
      </c>
      <c r="N787" t="s">
        <v>531</v>
      </c>
      <c r="O787" t="s">
        <v>531</v>
      </c>
      <c r="P787" t="s">
        <v>454</v>
      </c>
    </row>
    <row r="788">
      <c r="A788">
        <f>HYPERLINK("http://bombeiros.sp.gov.br/hidrantes/03individual/2526.html","2526")</f>
      </c>
      <c r="B788" t="s">
        <v>454</v>
      </c>
      <c r="C788" t="s">
        <v>531</v>
      </c>
      <c r="D788" t="s">
        <v>531</v>
      </c>
      <c r="E788" t="s">
        <v>64</v>
      </c>
      <c r="F788" t="s">
        <v>8528</v>
      </c>
      <c r="G788" t="s">
        <v>18484</v>
      </c>
      <c r="H788" t="s">
        <v>1112</v>
      </c>
      <c r="I788" t="s">
        <v>1108</v>
      </c>
      <c r="J788" t="s">
        <v>16321</v>
      </c>
      <c r="K788" t="s">
        <v>16322</v>
      </c>
      <c r="L788" t="s">
        <v>36</v>
      </c>
      <c r="M788" t="s">
        <v>19177</v>
      </c>
      <c r="N788" t="s">
        <v>531</v>
      </c>
      <c r="O788" t="s">
        <v>531</v>
      </c>
      <c r="P788" t="s">
        <v>454</v>
      </c>
    </row>
    <row r="789">
      <c r="A789">
        <f>HYPERLINK("http://bombeiros.sp.gov.br/hidrantes/03individual/709.html","709")</f>
      </c>
      <c r="B789" t="s">
        <v>454</v>
      </c>
      <c r="C789" t="s">
        <v>531</v>
      </c>
      <c r="D789" t="s">
        <v>531</v>
      </c>
      <c r="E789" t="s">
        <v>15</v>
      </c>
      <c r="F789" t="s">
        <v>8537</v>
      </c>
      <c r="G789" t="s">
        <v>18207</v>
      </c>
      <c r="H789" t="s">
        <v>1112</v>
      </c>
      <c r="I789" t="s">
        <v>1108</v>
      </c>
      <c r="J789" t="s">
        <v>8538</v>
      </c>
      <c r="K789" t="s">
        <v>8539</v>
      </c>
      <c r="L789" t="s">
        <v>21</v>
      </c>
      <c r="M789" t="s">
        <v>19177</v>
      </c>
      <c r="N789" t="s">
        <v>531</v>
      </c>
      <c r="O789" t="s">
        <v>531</v>
      </c>
      <c r="P789" t="s">
        <v>454</v>
      </c>
    </row>
    <row r="790">
      <c r="A790">
        <f>HYPERLINK("http://bombeiros.sp.gov.br/hidrantes/03individual/744.html","744")</f>
      </c>
      <c r="B790" t="s">
        <v>454</v>
      </c>
      <c r="C790" t="s">
        <v>531</v>
      </c>
      <c r="D790" t="s">
        <v>531</v>
      </c>
      <c r="E790" t="s">
        <v>15</v>
      </c>
      <c r="F790" t="s">
        <v>8543</v>
      </c>
      <c r="G790" t="s">
        <v>18207</v>
      </c>
      <c r="H790" t="s">
        <v>1112</v>
      </c>
      <c r="I790" t="s">
        <v>1108</v>
      </c>
      <c r="J790" t="s">
        <v>8544</v>
      </c>
      <c r="K790" t="s">
        <v>8545</v>
      </c>
      <c r="L790" t="s">
        <v>21</v>
      </c>
      <c r="M790" t="s">
        <v>19177</v>
      </c>
      <c r="N790" t="s">
        <v>531</v>
      </c>
      <c r="O790" t="s">
        <v>531</v>
      </c>
      <c r="P790" t="s">
        <v>454</v>
      </c>
    </row>
    <row r="791">
      <c r="A791">
        <f>HYPERLINK("http://bombeiros.sp.gov.br/hidrantes/03individual/827.html","827")</f>
      </c>
      <c r="B791" t="s">
        <v>454</v>
      </c>
      <c r="C791" t="s">
        <v>531</v>
      </c>
      <c r="D791" t="s">
        <v>531</v>
      </c>
      <c r="E791" t="s">
        <v>15</v>
      </c>
      <c r="F791" t="s">
        <v>8546</v>
      </c>
      <c r="G791" t="s">
        <v>18096</v>
      </c>
      <c r="H791" t="s">
        <v>1112</v>
      </c>
      <c r="I791" t="s">
        <v>1108</v>
      </c>
      <c r="J791" t="s">
        <v>8547</v>
      </c>
      <c r="K791" t="s">
        <v>8548</v>
      </c>
      <c r="L791" t="s">
        <v>21</v>
      </c>
      <c r="M791" t="s">
        <v>19177</v>
      </c>
      <c r="N791" t="s">
        <v>531</v>
      </c>
      <c r="O791" t="s">
        <v>531</v>
      </c>
      <c r="P791" t="s">
        <v>454</v>
      </c>
    </row>
    <row r="792">
      <c r="A792">
        <f>HYPERLINK("http://bombeiros.sp.gov.br/hidrantes/03individual/2707.html","2707")</f>
      </c>
      <c r="B792" t="s">
        <v>454</v>
      </c>
      <c r="C792" t="s">
        <v>531</v>
      </c>
      <c r="D792" t="s">
        <v>531</v>
      </c>
      <c r="E792" t="s">
        <v>15</v>
      </c>
      <c r="F792" t="s">
        <v>8552</v>
      </c>
      <c r="G792" t="s">
        <v>18043</v>
      </c>
      <c r="H792" t="s">
        <v>1112</v>
      </c>
      <c r="I792" t="s">
        <v>1108</v>
      </c>
      <c r="J792" t="s">
        <v>8553</v>
      </c>
      <c r="K792" t="s">
        <v>8554</v>
      </c>
      <c r="L792" t="s">
        <v>21</v>
      </c>
      <c r="M792" t="s">
        <v>19177</v>
      </c>
      <c r="N792" t="s">
        <v>531</v>
      </c>
      <c r="O792" t="s">
        <v>531</v>
      </c>
      <c r="P792" t="s">
        <v>454</v>
      </c>
    </row>
    <row r="793">
      <c r="A793">
        <f>HYPERLINK("http://bombeiros.sp.gov.br/hidrantes/03individual/2756.html","2756")</f>
      </c>
      <c r="B793" t="s">
        <v>454</v>
      </c>
      <c r="C793" t="s">
        <v>531</v>
      </c>
      <c r="D793" t="s">
        <v>8571</v>
      </c>
      <c r="E793" t="s">
        <v>64</v>
      </c>
      <c r="F793" t="s">
        <v>8572</v>
      </c>
      <c r="G793" t="s">
        <v>18207</v>
      </c>
      <c r="H793" t="s">
        <v>1112</v>
      </c>
      <c r="I793" t="s">
        <v>1108</v>
      </c>
      <c r="J793" t="s">
        <v>8573</v>
      </c>
      <c r="K793" t="s">
        <v>8574</v>
      </c>
      <c r="L793" t="s">
        <v>21</v>
      </c>
      <c r="M793" t="s">
        <v>19177</v>
      </c>
      <c r="N793" t="s">
        <v>531</v>
      </c>
      <c r="O793" t="s">
        <v>531</v>
      </c>
      <c r="P793" t="s">
        <v>454</v>
      </c>
    </row>
    <row r="794">
      <c r="A794">
        <f>HYPERLINK("http://bombeiros.sp.gov.br/hidrantes/03individual/2768.html","2768")</f>
      </c>
      <c r="B794" t="s">
        <v>454</v>
      </c>
      <c r="C794" t="s">
        <v>531</v>
      </c>
      <c r="D794" t="s">
        <v>8571</v>
      </c>
      <c r="E794" t="s">
        <v>64</v>
      </c>
      <c r="F794" t="s">
        <v>8575</v>
      </c>
      <c r="G794" t="s">
        <v>18096</v>
      </c>
      <c r="H794" t="s">
        <v>1112</v>
      </c>
      <c r="I794" t="s">
        <v>1108</v>
      </c>
      <c r="J794" t="s">
        <v>8576</v>
      </c>
      <c r="K794" t="s">
        <v>8577</v>
      </c>
      <c r="L794" t="s">
        <v>21</v>
      </c>
      <c r="M794" t="s">
        <v>19177</v>
      </c>
      <c r="N794" t="s">
        <v>531</v>
      </c>
      <c r="O794" t="s">
        <v>531</v>
      </c>
      <c r="P794" t="s">
        <v>454</v>
      </c>
    </row>
    <row r="795">
      <c r="A795">
        <f>HYPERLINK("http://bombeiros.sp.gov.br/hidrantes/03individual/974.html","974")</f>
      </c>
      <c r="B795" t="s">
        <v>454</v>
      </c>
      <c r="C795" t="s">
        <v>560</v>
      </c>
      <c r="D795" t="s">
        <v>8587</v>
      </c>
      <c r="E795" t="s">
        <v>64</v>
      </c>
      <c r="F795" t="s">
        <v>8588</v>
      </c>
      <c r="G795" t="s">
        <v>18190</v>
      </c>
      <c r="H795" t="s">
        <v>1112</v>
      </c>
      <c r="I795" t="s">
        <v>1108</v>
      </c>
      <c r="J795" t="s">
        <v>8589</v>
      </c>
      <c r="K795" t="s">
        <v>8590</v>
      </c>
      <c r="L795" t="s">
        <v>21</v>
      </c>
      <c r="M795" t="s">
        <v>19177</v>
      </c>
      <c r="N795" t="s">
        <v>519</v>
      </c>
      <c r="O795" t="s">
        <v>519</v>
      </c>
      <c r="P795" t="s">
        <v>454</v>
      </c>
    </row>
    <row r="796">
      <c r="A796">
        <f>HYPERLINK("http://bombeiros.sp.gov.br/hidrantes/03individual/1005.html","1005")</f>
      </c>
      <c r="B796" t="s">
        <v>454</v>
      </c>
      <c r="C796" t="s">
        <v>560</v>
      </c>
      <c r="D796" t="s">
        <v>8587</v>
      </c>
      <c r="E796" t="s">
        <v>64</v>
      </c>
      <c r="F796" t="s">
        <v>8591</v>
      </c>
      <c r="G796" t="s">
        <v>18204</v>
      </c>
      <c r="H796" t="s">
        <v>1107</v>
      </c>
      <c r="I796" t="s">
        <v>1108</v>
      </c>
      <c r="J796" t="s">
        <v>8592</v>
      </c>
      <c r="K796" t="s">
        <v>8593</v>
      </c>
      <c r="L796" t="s">
        <v>36</v>
      </c>
      <c r="M796" t="s">
        <v>19177</v>
      </c>
      <c r="N796" t="s">
        <v>519</v>
      </c>
      <c r="O796" t="s">
        <v>519</v>
      </c>
      <c r="P796" t="s">
        <v>454</v>
      </c>
    </row>
    <row r="797">
      <c r="A797">
        <f>HYPERLINK("http://bombeiros.sp.gov.br/hidrantes/03individual/1006.html","1006")</f>
      </c>
      <c r="B797" t="s">
        <v>454</v>
      </c>
      <c r="C797" t="s">
        <v>560</v>
      </c>
      <c r="D797" t="s">
        <v>8587</v>
      </c>
      <c r="E797" t="s">
        <v>64</v>
      </c>
      <c r="F797" t="s">
        <v>8594</v>
      </c>
      <c r="G797" t="s">
        <v>18204</v>
      </c>
      <c r="H797" t="s">
        <v>1112</v>
      </c>
      <c r="I797" t="s">
        <v>1108</v>
      </c>
      <c r="J797" t="s">
        <v>8595</v>
      </c>
      <c r="K797" t="s">
        <v>8596</v>
      </c>
      <c r="L797" t="s">
        <v>21</v>
      </c>
      <c r="M797" t="s">
        <v>19177</v>
      </c>
      <c r="N797" t="s">
        <v>519</v>
      </c>
      <c r="O797" t="s">
        <v>519</v>
      </c>
      <c r="P797" t="s">
        <v>454</v>
      </c>
    </row>
    <row r="798">
      <c r="A798">
        <f>HYPERLINK("http://bombeiros.sp.gov.br/hidrantes/03individual/1008.html","1008")</f>
      </c>
      <c r="B798" t="s">
        <v>454</v>
      </c>
      <c r="C798" t="s">
        <v>560</v>
      </c>
      <c r="D798" t="s">
        <v>8587</v>
      </c>
      <c r="E798" t="s">
        <v>64</v>
      </c>
      <c r="F798" t="s">
        <v>8597</v>
      </c>
      <c r="G798" t="s">
        <v>18115</v>
      </c>
      <c r="H798" t="s">
        <v>1107</v>
      </c>
      <c r="I798" t="s">
        <v>1108</v>
      </c>
      <c r="J798" t="s">
        <v>8598</v>
      </c>
      <c r="K798" t="s">
        <v>8599</v>
      </c>
      <c r="L798" t="s">
        <v>36</v>
      </c>
      <c r="M798" t="s">
        <v>19177</v>
      </c>
      <c r="N798" t="s">
        <v>519</v>
      </c>
      <c r="O798" t="s">
        <v>519</v>
      </c>
      <c r="P798" t="s">
        <v>454</v>
      </c>
    </row>
    <row r="799">
      <c r="A799">
        <f>HYPERLINK("http://bombeiros.sp.gov.br/hidrantes/03individual/5496.html","5496")</f>
      </c>
      <c r="B799" t="s">
        <v>454</v>
      </c>
      <c r="C799" t="s">
        <v>560</v>
      </c>
      <c r="D799" t="s">
        <v>8587</v>
      </c>
      <c r="E799" t="s">
        <v>64</v>
      </c>
      <c r="F799" t="s">
        <v>8600</v>
      </c>
      <c r="G799" t="s">
        <v>18204</v>
      </c>
      <c r="H799" t="s">
        <v>1121</v>
      </c>
      <c r="I799" t="s">
        <v>1117</v>
      </c>
      <c r="J799" t="s">
        <v>8601</v>
      </c>
      <c r="K799" t="s">
        <v>8602</v>
      </c>
      <c r="L799" t="s">
        <v>21</v>
      </c>
      <c r="M799" t="s">
        <v>19177</v>
      </c>
      <c r="N799" t="s">
        <v>519</v>
      </c>
      <c r="O799" t="s">
        <v>519</v>
      </c>
      <c r="P799" t="s">
        <v>454</v>
      </c>
    </row>
    <row r="800">
      <c r="A800">
        <f>HYPERLINK("http://bombeiros.sp.gov.br/hidrantes/03individual/975.html","975")</f>
      </c>
      <c r="B800" t="s">
        <v>454</v>
      </c>
      <c r="C800" t="s">
        <v>560</v>
      </c>
      <c r="D800" t="s">
        <v>8587</v>
      </c>
      <c r="E800" t="s">
        <v>15</v>
      </c>
      <c r="F800" t="s">
        <v>8603</v>
      </c>
      <c r="G800" t="s">
        <v>18115</v>
      </c>
      <c r="H800" t="s">
        <v>1107</v>
      </c>
      <c r="I800" t="s">
        <v>1108</v>
      </c>
      <c r="J800" t="s">
        <v>8604</v>
      </c>
      <c r="K800" t="s">
        <v>8605</v>
      </c>
      <c r="L800" t="s">
        <v>36</v>
      </c>
      <c r="M800" t="s">
        <v>19177</v>
      </c>
      <c r="N800" t="s">
        <v>519</v>
      </c>
      <c r="O800" t="s">
        <v>519</v>
      </c>
      <c r="P800" t="s">
        <v>454</v>
      </c>
    </row>
    <row r="801">
      <c r="A801">
        <f>HYPERLINK("http://bombeiros.sp.gov.br/hidrantes/03individual/1070.html","1070")</f>
      </c>
      <c r="B801" t="s">
        <v>454</v>
      </c>
      <c r="C801" t="s">
        <v>560</v>
      </c>
      <c r="D801" t="s">
        <v>8587</v>
      </c>
      <c r="E801" t="s">
        <v>15</v>
      </c>
      <c r="F801" t="s">
        <v>8606</v>
      </c>
      <c r="G801" t="s">
        <v>18115</v>
      </c>
      <c r="H801" t="s">
        <v>1107</v>
      </c>
      <c r="I801" t="s">
        <v>1108</v>
      </c>
      <c r="J801" t="s">
        <v>8607</v>
      </c>
      <c r="K801" t="s">
        <v>8608</v>
      </c>
      <c r="L801" t="s">
        <v>21</v>
      </c>
      <c r="M801" t="s">
        <v>19177</v>
      </c>
      <c r="N801" t="s">
        <v>519</v>
      </c>
      <c r="O801" t="s">
        <v>519</v>
      </c>
      <c r="P801" t="s">
        <v>454</v>
      </c>
    </row>
    <row r="802">
      <c r="A802">
        <f>HYPERLINK("http://bombeiros.sp.gov.br/hidrantes/03individual/1201.html","1201")</f>
      </c>
      <c r="B802" t="s">
        <v>454</v>
      </c>
      <c r="C802" t="s">
        <v>560</v>
      </c>
      <c r="D802" t="s">
        <v>8587</v>
      </c>
      <c r="E802" t="s">
        <v>15</v>
      </c>
      <c r="F802" t="s">
        <v>8612</v>
      </c>
      <c r="G802" t="s">
        <v>18115</v>
      </c>
      <c r="H802" t="s">
        <v>1107</v>
      </c>
      <c r="I802" t="s">
        <v>1108</v>
      </c>
      <c r="J802" t="s">
        <v>8613</v>
      </c>
      <c r="K802" t="s">
        <v>8614</v>
      </c>
      <c r="L802" t="s">
        <v>21</v>
      </c>
      <c r="M802" t="s">
        <v>19177</v>
      </c>
      <c r="N802" t="s">
        <v>519</v>
      </c>
      <c r="O802" t="s">
        <v>519</v>
      </c>
      <c r="P802" t="s">
        <v>454</v>
      </c>
    </row>
    <row r="803">
      <c r="A803">
        <f>HYPERLINK("http://bombeiros.sp.gov.br/hidrantes/03individual/5495.html","5495")</f>
      </c>
      <c r="B803" t="s">
        <v>454</v>
      </c>
      <c r="C803" t="s">
        <v>560</v>
      </c>
      <c r="D803" t="s">
        <v>8587</v>
      </c>
      <c r="E803" t="s">
        <v>15</v>
      </c>
      <c r="F803" t="s">
        <v>8615</v>
      </c>
      <c r="G803" t="s">
        <v>18204</v>
      </c>
      <c r="H803" t="s">
        <v>1174</v>
      </c>
      <c r="I803" t="s">
        <v>1108</v>
      </c>
      <c r="J803" t="s">
        <v>8616</v>
      </c>
      <c r="K803" t="s">
        <v>8617</v>
      </c>
      <c r="L803" t="s">
        <v>21</v>
      </c>
      <c r="M803" t="s">
        <v>19177</v>
      </c>
      <c r="N803" t="s">
        <v>519</v>
      </c>
      <c r="O803" t="s">
        <v>519</v>
      </c>
      <c r="P803" t="s">
        <v>454</v>
      </c>
    </row>
    <row r="804">
      <c r="A804">
        <f>HYPERLINK("http://bombeiros.sp.gov.br/hidrantes/03individual/10053.html","10053")</f>
      </c>
      <c r="B804" t="s">
        <v>454</v>
      </c>
      <c r="C804" t="s">
        <v>560</v>
      </c>
      <c r="D804" t="s">
        <v>560</v>
      </c>
      <c r="E804" t="s">
        <v>1507</v>
      </c>
      <c r="F804" t="s">
        <v>8618</v>
      </c>
      <c r="G804" t="s">
        <v>18126</v>
      </c>
      <c r="H804" t="s">
        <v>1112</v>
      </c>
      <c r="I804" t="s">
        <v>1108</v>
      </c>
      <c r="J804" t="s">
        <v>8619</v>
      </c>
      <c r="K804" t="s">
        <v>8620</v>
      </c>
      <c r="L804" t="s">
        <v>21</v>
      </c>
      <c r="M804" t="s">
        <v>19177</v>
      </c>
      <c r="N804" t="s">
        <v>519</v>
      </c>
      <c r="O804" t="s">
        <v>519</v>
      </c>
      <c r="P804" t="s">
        <v>454</v>
      </c>
    </row>
    <row r="805">
      <c r="A805">
        <f>HYPERLINK("http://bombeiros.sp.gov.br/hidrantes/03individual/1031.html","1031")</f>
      </c>
      <c r="B805" t="s">
        <v>454</v>
      </c>
      <c r="C805" t="s">
        <v>560</v>
      </c>
      <c r="D805" t="s">
        <v>560</v>
      </c>
      <c r="E805" t="s">
        <v>64</v>
      </c>
      <c r="F805" t="s">
        <v>8621</v>
      </c>
      <c r="G805" t="s">
        <v>18129</v>
      </c>
      <c r="H805" t="s">
        <v>1112</v>
      </c>
      <c r="I805" t="s">
        <v>1108</v>
      </c>
      <c r="J805" t="s">
        <v>8622</v>
      </c>
      <c r="K805" t="s">
        <v>8623</v>
      </c>
      <c r="L805" t="s">
        <v>36</v>
      </c>
      <c r="M805" t="s">
        <v>19177</v>
      </c>
      <c r="N805" t="s">
        <v>519</v>
      </c>
      <c r="O805" t="s">
        <v>519</v>
      </c>
      <c r="P805" t="s">
        <v>454</v>
      </c>
    </row>
    <row r="806">
      <c r="A806">
        <f>HYPERLINK("http://bombeiros.sp.gov.br/hidrantes/03individual/1093.html","1093")</f>
      </c>
      <c r="B806" t="s">
        <v>454</v>
      </c>
      <c r="C806" t="s">
        <v>560</v>
      </c>
      <c r="D806" t="s">
        <v>560</v>
      </c>
      <c r="E806" t="s">
        <v>64</v>
      </c>
      <c r="F806" t="s">
        <v>8624</v>
      </c>
      <c r="G806" t="s">
        <v>18205</v>
      </c>
      <c r="H806" t="s">
        <v>1112</v>
      </c>
      <c r="I806" t="s">
        <v>1108</v>
      </c>
      <c r="J806" t="s">
        <v>8625</v>
      </c>
      <c r="K806" t="s">
        <v>8626</v>
      </c>
      <c r="L806" t="s">
        <v>36</v>
      </c>
      <c r="M806" t="s">
        <v>19177</v>
      </c>
      <c r="N806" t="s">
        <v>519</v>
      </c>
      <c r="O806" t="s">
        <v>519</v>
      </c>
      <c r="P806" t="s">
        <v>454</v>
      </c>
    </row>
    <row r="807">
      <c r="A807">
        <f>HYPERLINK("http://bombeiros.sp.gov.br/hidrantes/03individual/1159.html","1159")</f>
      </c>
      <c r="B807" t="s">
        <v>454</v>
      </c>
      <c r="C807" t="s">
        <v>560</v>
      </c>
      <c r="D807" t="s">
        <v>560</v>
      </c>
      <c r="E807" t="s">
        <v>64</v>
      </c>
      <c r="F807" t="s">
        <v>8627</v>
      </c>
      <c r="G807" t="s">
        <v>17984</v>
      </c>
      <c r="H807" t="s">
        <v>1107</v>
      </c>
      <c r="I807" t="s">
        <v>1108</v>
      </c>
      <c r="J807" t="s">
        <v>8628</v>
      </c>
      <c r="K807" t="s">
        <v>8629</v>
      </c>
      <c r="L807" t="s">
        <v>36</v>
      </c>
      <c r="M807" t="s">
        <v>19177</v>
      </c>
      <c r="N807" t="s">
        <v>519</v>
      </c>
      <c r="O807" t="s">
        <v>519</v>
      </c>
      <c r="P807" t="s">
        <v>454</v>
      </c>
    </row>
    <row r="808">
      <c r="A808">
        <f>HYPERLINK("http://bombeiros.sp.gov.br/hidrantes/03individual/4095.html","4095")</f>
      </c>
      <c r="B808" t="s">
        <v>454</v>
      </c>
      <c r="C808" t="s">
        <v>560</v>
      </c>
      <c r="D808" t="s">
        <v>560</v>
      </c>
      <c r="E808" t="s">
        <v>64</v>
      </c>
      <c r="F808" t="s">
        <v>8639</v>
      </c>
      <c r="G808" t="s">
        <v>18149</v>
      </c>
      <c r="H808" t="s">
        <v>1121</v>
      </c>
      <c r="I808" t="s">
        <v>1117</v>
      </c>
      <c r="J808" t="s">
        <v>8640</v>
      </c>
      <c r="K808" t="s">
        <v>8641</v>
      </c>
      <c r="L808" t="s">
        <v>21</v>
      </c>
      <c r="M808" t="s">
        <v>19177</v>
      </c>
      <c r="N808" t="s">
        <v>519</v>
      </c>
      <c r="O808" t="s">
        <v>519</v>
      </c>
      <c r="P808" t="s">
        <v>454</v>
      </c>
    </row>
    <row r="809">
      <c r="A809">
        <f>HYPERLINK("http://bombeiros.sp.gov.br/hidrantes/03individual/4098.html","4098")</f>
      </c>
      <c r="B809" t="s">
        <v>454</v>
      </c>
      <c r="C809" t="s">
        <v>560</v>
      </c>
      <c r="D809" t="s">
        <v>560</v>
      </c>
      <c r="E809" t="s">
        <v>64</v>
      </c>
      <c r="F809" t="s">
        <v>8642</v>
      </c>
      <c r="G809" t="s">
        <v>18119</v>
      </c>
      <c r="H809" t="s">
        <v>1112</v>
      </c>
      <c r="I809" t="s">
        <v>1108</v>
      </c>
      <c r="J809" t="s">
        <v>8643</v>
      </c>
      <c r="K809" t="s">
        <v>8644</v>
      </c>
      <c r="L809" t="s">
        <v>21</v>
      </c>
      <c r="M809" t="s">
        <v>19177</v>
      </c>
      <c r="N809" t="s">
        <v>519</v>
      </c>
      <c r="O809" t="s">
        <v>519</v>
      </c>
      <c r="P809" t="s">
        <v>454</v>
      </c>
    </row>
    <row r="810">
      <c r="A810">
        <f>HYPERLINK("http://bombeiros.sp.gov.br/hidrantes/03individual/4100.html","4100")</f>
      </c>
      <c r="B810" t="s">
        <v>454</v>
      </c>
      <c r="C810" t="s">
        <v>560</v>
      </c>
      <c r="D810" t="s">
        <v>560</v>
      </c>
      <c r="E810" t="s">
        <v>64</v>
      </c>
      <c r="F810" t="s">
        <v>8645</v>
      </c>
      <c r="G810" t="s">
        <v>18149</v>
      </c>
      <c r="H810" t="s">
        <v>1112</v>
      </c>
      <c r="I810" t="s">
        <v>1108</v>
      </c>
      <c r="J810" t="s">
        <v>8646</v>
      </c>
      <c r="K810" t="s">
        <v>8647</v>
      </c>
      <c r="L810" t="s">
        <v>21</v>
      </c>
      <c r="M810" t="s">
        <v>19177</v>
      </c>
      <c r="N810" t="s">
        <v>519</v>
      </c>
      <c r="O810" t="s">
        <v>519</v>
      </c>
      <c r="P810" t="s">
        <v>454</v>
      </c>
    </row>
    <row r="811">
      <c r="A811">
        <f>HYPERLINK("http://bombeiros.sp.gov.br/hidrantes/03individual/1136.html","1136")</f>
      </c>
      <c r="B811" t="s">
        <v>454</v>
      </c>
      <c r="C811" t="s">
        <v>560</v>
      </c>
      <c r="D811" t="s">
        <v>560</v>
      </c>
      <c r="E811" t="s">
        <v>15</v>
      </c>
      <c r="F811" t="s">
        <v>8663</v>
      </c>
      <c r="G811" t="s">
        <v>18074</v>
      </c>
      <c r="H811" t="s">
        <v>1112</v>
      </c>
      <c r="I811" t="s">
        <v>1108</v>
      </c>
      <c r="J811" t="s">
        <v>8664</v>
      </c>
      <c r="K811" t="s">
        <v>8665</v>
      </c>
      <c r="L811" t="s">
        <v>21</v>
      </c>
      <c r="M811" t="s">
        <v>19177</v>
      </c>
      <c r="N811" t="s">
        <v>519</v>
      </c>
      <c r="O811" t="s">
        <v>519</v>
      </c>
      <c r="P811" t="s">
        <v>454</v>
      </c>
    </row>
    <row r="812">
      <c r="A812">
        <f>HYPERLINK("http://bombeiros.sp.gov.br/hidrantes/03individual/1199.html","1199")</f>
      </c>
      <c r="B812" t="s">
        <v>454</v>
      </c>
      <c r="C812" t="s">
        <v>560</v>
      </c>
      <c r="D812" t="s">
        <v>560</v>
      </c>
      <c r="E812" t="s">
        <v>15</v>
      </c>
      <c r="F812" t="s">
        <v>8666</v>
      </c>
      <c r="G812" t="s">
        <v>18074</v>
      </c>
      <c r="H812" t="s">
        <v>1112</v>
      </c>
      <c r="I812" t="s">
        <v>1108</v>
      </c>
      <c r="J812" t="s">
        <v>8667</v>
      </c>
      <c r="K812" t="s">
        <v>8668</v>
      </c>
      <c r="L812" t="s">
        <v>21</v>
      </c>
      <c r="M812" t="s">
        <v>19177</v>
      </c>
      <c r="N812" t="s">
        <v>519</v>
      </c>
      <c r="O812" t="s">
        <v>519</v>
      </c>
      <c r="P812" t="s">
        <v>454</v>
      </c>
    </row>
    <row r="813">
      <c r="A813">
        <f>HYPERLINK("http://bombeiros.sp.gov.br/hidrantes/03individual/1202.html","1202")</f>
      </c>
      <c r="B813" t="s">
        <v>454</v>
      </c>
      <c r="C813" t="s">
        <v>560</v>
      </c>
      <c r="D813" t="s">
        <v>560</v>
      </c>
      <c r="E813" t="s">
        <v>15</v>
      </c>
      <c r="F813" t="s">
        <v>8672</v>
      </c>
      <c r="G813" t="s">
        <v>18118</v>
      </c>
      <c r="H813" t="s">
        <v>1112</v>
      </c>
      <c r="I813" t="s">
        <v>1108</v>
      </c>
      <c r="J813" t="s">
        <v>8673</v>
      </c>
      <c r="K813" t="s">
        <v>8674</v>
      </c>
      <c r="L813" t="s">
        <v>21</v>
      </c>
      <c r="M813" t="s">
        <v>19177</v>
      </c>
      <c r="N813" t="s">
        <v>519</v>
      </c>
      <c r="O813" t="s">
        <v>519</v>
      </c>
      <c r="P813" t="s">
        <v>454</v>
      </c>
    </row>
    <row r="814">
      <c r="A814">
        <f>HYPERLINK("http://bombeiros.sp.gov.br/hidrantes/03individual/1266.html","1266")</f>
      </c>
      <c r="B814" t="s">
        <v>454</v>
      </c>
      <c r="C814" t="s">
        <v>560</v>
      </c>
      <c r="D814" t="s">
        <v>560</v>
      </c>
      <c r="E814" t="s">
        <v>15</v>
      </c>
      <c r="F814" t="s">
        <v>8681</v>
      </c>
      <c r="G814" t="s">
        <v>18197</v>
      </c>
      <c r="H814" t="s">
        <v>1112</v>
      </c>
      <c r="I814" t="s">
        <v>1108</v>
      </c>
      <c r="J814" t="s">
        <v>8683</v>
      </c>
      <c r="K814" t="s">
        <v>8684</v>
      </c>
      <c r="L814" t="s">
        <v>36</v>
      </c>
      <c r="M814" t="s">
        <v>19177</v>
      </c>
      <c r="N814" t="s">
        <v>519</v>
      </c>
      <c r="O814" t="s">
        <v>519</v>
      </c>
      <c r="P814" t="s">
        <v>454</v>
      </c>
    </row>
    <row r="815">
      <c r="A815">
        <f>HYPERLINK("http://bombeiros.sp.gov.br/hidrantes/03individual/1299.html","1299")</f>
      </c>
      <c r="B815" t="s">
        <v>454</v>
      </c>
      <c r="C815" t="s">
        <v>560</v>
      </c>
      <c r="D815" t="s">
        <v>560</v>
      </c>
      <c r="E815" t="s">
        <v>15</v>
      </c>
      <c r="F815" t="s">
        <v>8685</v>
      </c>
      <c r="G815" t="s">
        <v>18075</v>
      </c>
      <c r="H815" t="s">
        <v>1112</v>
      </c>
      <c r="I815" t="s">
        <v>1108</v>
      </c>
      <c r="J815" t="s">
        <v>8686</v>
      </c>
      <c r="K815" t="s">
        <v>8687</v>
      </c>
      <c r="L815" t="s">
        <v>21</v>
      </c>
      <c r="M815" t="s">
        <v>19177</v>
      </c>
      <c r="N815" t="s">
        <v>519</v>
      </c>
      <c r="O815" t="s">
        <v>519</v>
      </c>
      <c r="P815" t="s">
        <v>454</v>
      </c>
    </row>
    <row r="816">
      <c r="A816">
        <f>HYPERLINK("http://bombeiros.sp.gov.br/hidrantes/03individual/1301.html","1301")</f>
      </c>
      <c r="B816" t="s">
        <v>454</v>
      </c>
      <c r="C816" t="s">
        <v>560</v>
      </c>
      <c r="D816" t="s">
        <v>560</v>
      </c>
      <c r="E816" t="s">
        <v>15</v>
      </c>
      <c r="F816" t="s">
        <v>8688</v>
      </c>
      <c r="G816" t="s">
        <v>18187</v>
      </c>
      <c r="H816" t="s">
        <v>1112</v>
      </c>
      <c r="I816" t="s">
        <v>1108</v>
      </c>
      <c r="J816" t="s">
        <v>8689</v>
      </c>
      <c r="K816" t="s">
        <v>8690</v>
      </c>
      <c r="L816" t="s">
        <v>21</v>
      </c>
      <c r="M816" t="s">
        <v>19177</v>
      </c>
      <c r="N816" t="s">
        <v>519</v>
      </c>
      <c r="O816" t="s">
        <v>519</v>
      </c>
      <c r="P816" t="s">
        <v>454</v>
      </c>
    </row>
    <row r="817">
      <c r="A817">
        <f>HYPERLINK("http://bombeiros.sp.gov.br/hidrantes/03individual/4090.html","4090")</f>
      </c>
      <c r="B817" t="s">
        <v>454</v>
      </c>
      <c r="C817" t="s">
        <v>560</v>
      </c>
      <c r="D817" t="s">
        <v>560</v>
      </c>
      <c r="E817" t="s">
        <v>15</v>
      </c>
      <c r="F817" t="s">
        <v>8694</v>
      </c>
      <c r="G817" t="s">
        <v>18075</v>
      </c>
      <c r="H817" t="s">
        <v>1112</v>
      </c>
      <c r="I817" t="s">
        <v>1108</v>
      </c>
      <c r="J817" t="s">
        <v>8695</v>
      </c>
      <c r="K817" t="s">
        <v>8696</v>
      </c>
      <c r="L817" t="s">
        <v>21</v>
      </c>
      <c r="M817" t="s">
        <v>19177</v>
      </c>
      <c r="N817" t="s">
        <v>519</v>
      </c>
      <c r="O817" t="s">
        <v>519</v>
      </c>
      <c r="P817" t="s">
        <v>454</v>
      </c>
    </row>
    <row r="818">
      <c r="A818">
        <f>HYPERLINK("http://bombeiros.sp.gov.br/hidrantes/03individual/4091.html","4091")</f>
      </c>
      <c r="B818" t="s">
        <v>454</v>
      </c>
      <c r="C818" t="s">
        <v>560</v>
      </c>
      <c r="D818" t="s">
        <v>560</v>
      </c>
      <c r="E818" t="s">
        <v>15</v>
      </c>
      <c r="F818" t="s">
        <v>8697</v>
      </c>
      <c r="G818" t="s">
        <v>18027</v>
      </c>
      <c r="H818" t="s">
        <v>1107</v>
      </c>
      <c r="I818" t="s">
        <v>1108</v>
      </c>
      <c r="J818" t="s">
        <v>8698</v>
      </c>
      <c r="K818" t="s">
        <v>8699</v>
      </c>
      <c r="L818" t="s">
        <v>21</v>
      </c>
      <c r="M818" t="s">
        <v>19177</v>
      </c>
      <c r="N818" t="s">
        <v>519</v>
      </c>
      <c r="O818" t="s">
        <v>519</v>
      </c>
      <c r="P818" t="s">
        <v>454</v>
      </c>
    </row>
    <row r="819">
      <c r="A819">
        <f>HYPERLINK("http://bombeiros.sp.gov.br/hidrantes/03individual/4102.html","4102")</f>
      </c>
      <c r="B819" t="s">
        <v>454</v>
      </c>
      <c r="C819" t="s">
        <v>560</v>
      </c>
      <c r="D819" t="s">
        <v>560</v>
      </c>
      <c r="E819" t="s">
        <v>15</v>
      </c>
      <c r="F819" t="s">
        <v>8703</v>
      </c>
      <c r="G819" t="s">
        <v>18149</v>
      </c>
      <c r="H819" t="s">
        <v>1107</v>
      </c>
      <c r="I819" t="s">
        <v>1108</v>
      </c>
      <c r="J819" t="s">
        <v>8704</v>
      </c>
      <c r="K819" t="s">
        <v>8705</v>
      </c>
      <c r="L819" t="s">
        <v>21</v>
      </c>
      <c r="M819" t="s">
        <v>19177</v>
      </c>
      <c r="N819" t="s">
        <v>519</v>
      </c>
      <c r="O819" t="s">
        <v>519</v>
      </c>
      <c r="P819" t="s">
        <v>454</v>
      </c>
    </row>
    <row r="820">
      <c r="A820">
        <f>HYPERLINK("http://bombeiros.sp.gov.br/hidrantes/03individual/17825.html","17825")</f>
      </c>
      <c r="B820" t="s">
        <v>454</v>
      </c>
      <c r="C820" t="s">
        <v>560</v>
      </c>
      <c r="D820" t="s">
        <v>560</v>
      </c>
      <c r="E820" t="s">
        <v>15</v>
      </c>
      <c r="F820" t="s">
        <v>8712</v>
      </c>
      <c r="G820" t="s">
        <v>18149</v>
      </c>
      <c r="H820" t="s">
        <v>1107</v>
      </c>
      <c r="I820" t="s">
        <v>1108</v>
      </c>
      <c r="J820" t="s">
        <v>8713</v>
      </c>
      <c r="K820" t="s">
        <v>8714</v>
      </c>
      <c r="L820" t="s">
        <v>21</v>
      </c>
      <c r="M820" t="s">
        <v>19177</v>
      </c>
      <c r="N820" t="s">
        <v>519</v>
      </c>
      <c r="O820" t="s">
        <v>519</v>
      </c>
      <c r="P820" t="s">
        <v>454</v>
      </c>
    </row>
    <row r="821">
      <c r="A821">
        <f>HYPERLINK("http://bombeiros.sp.gov.br/hidrantes/03individual/17829.html","17829")</f>
      </c>
      <c r="B821" t="s">
        <v>454</v>
      </c>
      <c r="C821" t="s">
        <v>560</v>
      </c>
      <c r="D821" t="s">
        <v>560</v>
      </c>
      <c r="E821" t="s">
        <v>15</v>
      </c>
      <c r="F821" t="s">
        <v>8724</v>
      </c>
      <c r="G821" t="s">
        <v>18129</v>
      </c>
      <c r="H821" t="s">
        <v>1107</v>
      </c>
      <c r="I821" t="s">
        <v>1117</v>
      </c>
      <c r="J821" t="s">
        <v>8725</v>
      </c>
      <c r="K821" t="s">
        <v>8726</v>
      </c>
      <c r="L821" t="s">
        <v>21</v>
      </c>
      <c r="M821" t="s">
        <v>19177</v>
      </c>
      <c r="N821" t="s">
        <v>519</v>
      </c>
      <c r="O821" t="s">
        <v>519</v>
      </c>
      <c r="P821" t="s">
        <v>454</v>
      </c>
    </row>
    <row r="822">
      <c r="A822">
        <f>HYPERLINK("http://bombeiros.sp.gov.br/hidrantes/03individual/3548.html","3548")</f>
      </c>
      <c r="B822" t="s">
        <v>454</v>
      </c>
      <c r="C822" t="s">
        <v>565</v>
      </c>
      <c r="D822" t="s">
        <v>8727</v>
      </c>
      <c r="E822" t="s">
        <v>64</v>
      </c>
      <c r="F822" t="s">
        <v>8728</v>
      </c>
      <c r="G822" t="s">
        <v>18206</v>
      </c>
      <c r="H822" t="s">
        <v>1112</v>
      </c>
      <c r="I822" t="s">
        <v>1108</v>
      </c>
      <c r="J822" t="s">
        <v>8729</v>
      </c>
      <c r="K822" t="s">
        <v>8730</v>
      </c>
      <c r="L822" t="s">
        <v>36</v>
      </c>
      <c r="M822" t="s">
        <v>19177</v>
      </c>
      <c r="N822" t="s">
        <v>531</v>
      </c>
      <c r="O822" t="s">
        <v>531</v>
      </c>
      <c r="P822" t="s">
        <v>454</v>
      </c>
    </row>
    <row r="823">
      <c r="A823">
        <f>HYPERLINK("http://bombeiros.sp.gov.br/hidrantes/03individual/3551.html","3551")</f>
      </c>
      <c r="B823" t="s">
        <v>454</v>
      </c>
      <c r="C823" t="s">
        <v>565</v>
      </c>
      <c r="D823" t="s">
        <v>8727</v>
      </c>
      <c r="E823" t="s">
        <v>64</v>
      </c>
      <c r="F823" t="s">
        <v>8731</v>
      </c>
      <c r="G823" t="s">
        <v>18206</v>
      </c>
      <c r="H823" t="s">
        <v>1112</v>
      </c>
      <c r="I823" t="s">
        <v>1108</v>
      </c>
      <c r="J823" t="s">
        <v>8732</v>
      </c>
      <c r="K823" t="s">
        <v>8733</v>
      </c>
      <c r="L823" t="s">
        <v>21</v>
      </c>
      <c r="M823" t="s">
        <v>19177</v>
      </c>
      <c r="N823" t="s">
        <v>531</v>
      </c>
      <c r="O823" t="s">
        <v>531</v>
      </c>
      <c r="P823" t="s">
        <v>454</v>
      </c>
    </row>
    <row r="824">
      <c r="A824">
        <f>HYPERLINK("http://bombeiros.sp.gov.br/hidrantes/03individual/3534.html","3534")</f>
      </c>
      <c r="B824" t="s">
        <v>454</v>
      </c>
      <c r="C824" t="s">
        <v>565</v>
      </c>
      <c r="D824" t="s">
        <v>566</v>
      </c>
      <c r="E824" t="s">
        <v>64</v>
      </c>
      <c r="F824" t="s">
        <v>8737</v>
      </c>
      <c r="G824" t="s">
        <v>18054</v>
      </c>
      <c r="H824" t="s">
        <v>1112</v>
      </c>
      <c r="I824" t="s">
        <v>1108</v>
      </c>
      <c r="J824" t="s">
        <v>8738</v>
      </c>
      <c r="K824" t="s">
        <v>8739</v>
      </c>
      <c r="L824" t="s">
        <v>36</v>
      </c>
      <c r="M824" t="s">
        <v>19177</v>
      </c>
      <c r="N824" t="s">
        <v>594</v>
      </c>
      <c r="O824" t="s">
        <v>531</v>
      </c>
      <c r="P824" t="s">
        <v>454</v>
      </c>
    </row>
    <row r="825">
      <c r="A825">
        <f>HYPERLINK("http://bombeiros.sp.gov.br/hidrantes/03individual/3543.html","3543")</f>
      </c>
      <c r="B825" t="s">
        <v>454</v>
      </c>
      <c r="C825" t="s">
        <v>565</v>
      </c>
      <c r="D825" t="s">
        <v>566</v>
      </c>
      <c r="E825" t="s">
        <v>64</v>
      </c>
      <c r="F825" t="s">
        <v>8740</v>
      </c>
      <c r="G825" t="s">
        <v>18196</v>
      </c>
      <c r="H825" t="s">
        <v>1112</v>
      </c>
      <c r="I825" t="s">
        <v>1108</v>
      </c>
      <c r="J825" t="s">
        <v>8742</v>
      </c>
      <c r="K825" t="s">
        <v>8743</v>
      </c>
      <c r="L825" t="s">
        <v>21</v>
      </c>
      <c r="M825" t="s">
        <v>19177</v>
      </c>
      <c r="N825" t="s">
        <v>531</v>
      </c>
      <c r="O825" t="s">
        <v>531</v>
      </c>
      <c r="P825" t="s">
        <v>454</v>
      </c>
    </row>
    <row r="826">
      <c r="A826">
        <f>HYPERLINK("http://bombeiros.sp.gov.br/hidrantes/03individual/3546.html","3546")</f>
      </c>
      <c r="B826" t="s">
        <v>454</v>
      </c>
      <c r="C826" t="s">
        <v>565</v>
      </c>
      <c r="D826" t="s">
        <v>566</v>
      </c>
      <c r="E826" t="s">
        <v>64</v>
      </c>
      <c r="F826" t="s">
        <v>8744</v>
      </c>
      <c r="G826" t="s">
        <v>18054</v>
      </c>
      <c r="H826" t="s">
        <v>1112</v>
      </c>
      <c r="I826" t="s">
        <v>1108</v>
      </c>
      <c r="J826" t="s">
        <v>8745</v>
      </c>
      <c r="K826" t="s">
        <v>8746</v>
      </c>
      <c r="L826" t="s">
        <v>21</v>
      </c>
      <c r="M826" t="s">
        <v>19177</v>
      </c>
      <c r="N826" t="s">
        <v>531</v>
      </c>
      <c r="O826" t="s">
        <v>531</v>
      </c>
      <c r="P826" t="s">
        <v>454</v>
      </c>
    </row>
    <row r="827">
      <c r="A827">
        <f>HYPERLINK("http://bombeiros.sp.gov.br/hidrantes/03individual/3553.html","3553")</f>
      </c>
      <c r="B827" t="s">
        <v>454</v>
      </c>
      <c r="C827" t="s">
        <v>565</v>
      </c>
      <c r="D827" t="s">
        <v>566</v>
      </c>
      <c r="E827" t="s">
        <v>64</v>
      </c>
      <c r="F827" t="s">
        <v>8747</v>
      </c>
      <c r="G827" t="s">
        <v>18206</v>
      </c>
      <c r="H827" t="s">
        <v>1112</v>
      </c>
      <c r="I827" t="s">
        <v>1108</v>
      </c>
      <c r="J827" t="s">
        <v>8748</v>
      </c>
      <c r="K827" t="s">
        <v>8749</v>
      </c>
      <c r="L827" t="s">
        <v>21</v>
      </c>
      <c r="M827" t="s">
        <v>19177</v>
      </c>
      <c r="N827" t="s">
        <v>531</v>
      </c>
      <c r="O827" t="s">
        <v>531</v>
      </c>
      <c r="P827" t="s">
        <v>454</v>
      </c>
    </row>
    <row r="828">
      <c r="A828">
        <f>HYPERLINK("http://bombeiros.sp.gov.br/hidrantes/03individual/3575.html","3575")</f>
      </c>
      <c r="B828" t="s">
        <v>454</v>
      </c>
      <c r="C828" t="s">
        <v>565</v>
      </c>
      <c r="D828" t="s">
        <v>566</v>
      </c>
      <c r="E828" t="s">
        <v>64</v>
      </c>
      <c r="F828" t="s">
        <v>16116</v>
      </c>
      <c r="G828" t="s">
        <v>18076</v>
      </c>
      <c r="H828" t="s">
        <v>1174</v>
      </c>
      <c r="I828" t="s">
        <v>1108</v>
      </c>
      <c r="J828" t="s">
        <v>16126</v>
      </c>
      <c r="K828" t="s">
        <v>16127</v>
      </c>
      <c r="L828" t="s">
        <v>21</v>
      </c>
      <c r="M828" t="s">
        <v>19177</v>
      </c>
      <c r="N828" t="s">
        <v>531</v>
      </c>
      <c r="O828" t="s">
        <v>531</v>
      </c>
      <c r="P828" t="s">
        <v>454</v>
      </c>
    </row>
    <row r="829">
      <c r="A829">
        <f>HYPERLINK("http://bombeiros.sp.gov.br/hidrantes/03individual/3578.html","3578")</f>
      </c>
      <c r="B829" t="s">
        <v>454</v>
      </c>
      <c r="C829" t="s">
        <v>565</v>
      </c>
      <c r="D829" t="s">
        <v>566</v>
      </c>
      <c r="E829" t="s">
        <v>64</v>
      </c>
      <c r="F829" t="s">
        <v>8753</v>
      </c>
      <c r="G829" t="s">
        <v>18062</v>
      </c>
      <c r="H829" t="s">
        <v>1107</v>
      </c>
      <c r="I829" t="s">
        <v>1108</v>
      </c>
      <c r="J829" t="s">
        <v>8754</v>
      </c>
      <c r="K829" t="s">
        <v>8755</v>
      </c>
      <c r="L829" t="s">
        <v>21</v>
      </c>
      <c r="M829" t="s">
        <v>19177</v>
      </c>
      <c r="N829" t="s">
        <v>531</v>
      </c>
      <c r="O829" t="s">
        <v>531</v>
      </c>
      <c r="P829" t="s">
        <v>454</v>
      </c>
    </row>
    <row r="830">
      <c r="A830">
        <f>HYPERLINK("http://bombeiros.sp.gov.br/hidrantes/03individual/549.html","549")</f>
      </c>
      <c r="B830" t="s">
        <v>454</v>
      </c>
      <c r="C830" t="s">
        <v>565</v>
      </c>
      <c r="D830" t="s">
        <v>566</v>
      </c>
      <c r="E830" t="s">
        <v>15</v>
      </c>
      <c r="F830" t="s">
        <v>8759</v>
      </c>
      <c r="G830" t="s">
        <v>18054</v>
      </c>
      <c r="H830" t="s">
        <v>1107</v>
      </c>
      <c r="I830" t="s">
        <v>1117</v>
      </c>
      <c r="J830" t="s">
        <v>8760</v>
      </c>
      <c r="K830" t="s">
        <v>8761</v>
      </c>
      <c r="L830" t="s">
        <v>21</v>
      </c>
      <c r="M830" t="s">
        <v>19177</v>
      </c>
      <c r="N830" t="s">
        <v>531</v>
      </c>
      <c r="O830" t="s">
        <v>531</v>
      </c>
      <c r="P830" t="s">
        <v>454</v>
      </c>
    </row>
    <row r="831">
      <c r="A831">
        <f>HYPERLINK("http://bombeiros.sp.gov.br/hidrantes/03individual/771.html","771")</f>
      </c>
      <c r="B831" t="s">
        <v>454</v>
      </c>
      <c r="C831" t="s">
        <v>565</v>
      </c>
      <c r="D831" t="s">
        <v>566</v>
      </c>
      <c r="E831" t="s">
        <v>15</v>
      </c>
      <c r="F831" t="s">
        <v>8765</v>
      </c>
      <c r="G831" t="s">
        <v>18054</v>
      </c>
      <c r="H831" t="s">
        <v>1112</v>
      </c>
      <c r="I831" t="s">
        <v>1108</v>
      </c>
      <c r="J831" t="s">
        <v>8766</v>
      </c>
      <c r="K831" t="s">
        <v>8767</v>
      </c>
      <c r="L831" t="s">
        <v>21</v>
      </c>
      <c r="M831" t="s">
        <v>19177</v>
      </c>
      <c r="N831" t="s">
        <v>531</v>
      </c>
      <c r="O831" t="s">
        <v>531</v>
      </c>
      <c r="P831" t="s">
        <v>454</v>
      </c>
    </row>
    <row r="832">
      <c r="A832">
        <f>HYPERLINK("http://bombeiros.sp.gov.br/hidrantes/03individual/17820.html","17820")</f>
      </c>
      <c r="B832" t="s">
        <v>454</v>
      </c>
      <c r="C832" t="s">
        <v>565</v>
      </c>
      <c r="D832" t="s">
        <v>566</v>
      </c>
      <c r="E832" t="s">
        <v>15</v>
      </c>
      <c r="F832" t="s">
        <v>8771</v>
      </c>
      <c r="G832" t="s">
        <v>18206</v>
      </c>
      <c r="H832" t="s">
        <v>1112</v>
      </c>
      <c r="I832" t="s">
        <v>1108</v>
      </c>
      <c r="J832" t="s">
        <v>8772</v>
      </c>
      <c r="K832" t="s">
        <v>8773</v>
      </c>
      <c r="L832" t="s">
        <v>21</v>
      </c>
      <c r="M832" t="s">
        <v>19177</v>
      </c>
      <c r="N832" t="s">
        <v>531</v>
      </c>
      <c r="O832" t="s">
        <v>531</v>
      </c>
      <c r="P832" t="s">
        <v>454</v>
      </c>
    </row>
    <row r="833">
      <c r="A833">
        <f>HYPERLINK("http://bombeiros.sp.gov.br/hidrantes/03individual/1315.html","1315")</f>
      </c>
      <c r="B833" t="s">
        <v>454</v>
      </c>
      <c r="C833" t="s">
        <v>565</v>
      </c>
      <c r="D833" t="s">
        <v>8774</v>
      </c>
      <c r="E833" t="s">
        <v>15</v>
      </c>
      <c r="F833" t="s">
        <v>8775</v>
      </c>
      <c r="G833" t="s">
        <v>18067</v>
      </c>
      <c r="H833" t="s">
        <v>1112</v>
      </c>
      <c r="I833" t="s">
        <v>1108</v>
      </c>
      <c r="J833" t="s">
        <v>8776</v>
      </c>
      <c r="K833" t="s">
        <v>8777</v>
      </c>
      <c r="L833" t="s">
        <v>21</v>
      </c>
      <c r="M833" t="s">
        <v>19177</v>
      </c>
      <c r="N833" t="s">
        <v>531</v>
      </c>
      <c r="O833" t="s">
        <v>531</v>
      </c>
      <c r="P833" t="s">
        <v>454</v>
      </c>
    </row>
    <row r="834">
      <c r="A834">
        <f>HYPERLINK("http://bombeiros.sp.gov.br/hidrantes/03individual/3728.html","3728")</f>
      </c>
      <c r="B834" t="s">
        <v>454</v>
      </c>
      <c r="C834" t="s">
        <v>565</v>
      </c>
      <c r="D834" t="s">
        <v>8774</v>
      </c>
      <c r="E834" t="s">
        <v>15</v>
      </c>
      <c r="F834" t="s">
        <v>8778</v>
      </c>
      <c r="G834" t="s">
        <v>18089</v>
      </c>
      <c r="H834" t="s">
        <v>1112</v>
      </c>
      <c r="I834" t="s">
        <v>1108</v>
      </c>
      <c r="J834" t="s">
        <v>8779</v>
      </c>
      <c r="K834" t="s">
        <v>8780</v>
      </c>
      <c r="L834" t="s">
        <v>21</v>
      </c>
      <c r="M834" t="s">
        <v>19177</v>
      </c>
      <c r="N834" t="s">
        <v>531</v>
      </c>
      <c r="O834" t="s">
        <v>531</v>
      </c>
      <c r="P834" t="s">
        <v>454</v>
      </c>
    </row>
    <row r="835">
      <c r="A835">
        <f>HYPERLINK("http://bombeiros.sp.gov.br/hidrantes/03individual/3518.html","3518")</f>
      </c>
      <c r="B835" t="s">
        <v>454</v>
      </c>
      <c r="C835" t="s">
        <v>565</v>
      </c>
      <c r="D835" t="s">
        <v>565</v>
      </c>
      <c r="E835" t="s">
        <v>64</v>
      </c>
      <c r="F835" t="s">
        <v>8787</v>
      </c>
      <c r="G835" t="s">
        <v>18070</v>
      </c>
      <c r="H835" t="s">
        <v>1107</v>
      </c>
      <c r="I835" t="s">
        <v>1108</v>
      </c>
      <c r="J835" t="s">
        <v>8788</v>
      </c>
      <c r="K835" t="s">
        <v>8789</v>
      </c>
      <c r="L835" t="s">
        <v>36</v>
      </c>
      <c r="M835" t="s">
        <v>19177</v>
      </c>
      <c r="N835" t="s">
        <v>478</v>
      </c>
      <c r="O835" t="s">
        <v>478</v>
      </c>
      <c r="P835" t="s">
        <v>454</v>
      </c>
    </row>
    <row r="836">
      <c r="A836">
        <f>HYPERLINK("http://bombeiros.sp.gov.br/hidrantes/03individual/1227.html","1227")</f>
      </c>
      <c r="B836" t="s">
        <v>454</v>
      </c>
      <c r="C836" t="s">
        <v>565</v>
      </c>
      <c r="D836" t="s">
        <v>565</v>
      </c>
      <c r="E836" t="s">
        <v>15</v>
      </c>
      <c r="F836" t="s">
        <v>8796</v>
      </c>
      <c r="G836" t="s">
        <v>18270</v>
      </c>
      <c r="H836" t="s">
        <v>1112</v>
      </c>
      <c r="I836" t="s">
        <v>1108</v>
      </c>
      <c r="J836" t="s">
        <v>8797</v>
      </c>
      <c r="K836" t="s">
        <v>8798</v>
      </c>
      <c r="L836" t="s">
        <v>21</v>
      </c>
      <c r="M836" t="s">
        <v>19177</v>
      </c>
      <c r="N836" t="s">
        <v>478</v>
      </c>
      <c r="O836" t="s">
        <v>478</v>
      </c>
      <c r="P836" t="s">
        <v>454</v>
      </c>
    </row>
    <row r="837">
      <c r="A837">
        <f>HYPERLINK("http://bombeiros.sp.gov.br/hidrantes/03individual/1273.html","1273")</f>
      </c>
      <c r="B837" t="s">
        <v>454</v>
      </c>
      <c r="C837" t="s">
        <v>565</v>
      </c>
      <c r="D837" t="s">
        <v>565</v>
      </c>
      <c r="E837" t="s">
        <v>15</v>
      </c>
      <c r="F837" t="s">
        <v>8802</v>
      </c>
      <c r="G837" t="s">
        <v>18089</v>
      </c>
      <c r="H837" t="s">
        <v>1112</v>
      </c>
      <c r="I837" t="s">
        <v>1108</v>
      </c>
      <c r="J837" t="s">
        <v>8803</v>
      </c>
      <c r="K837" t="s">
        <v>8804</v>
      </c>
      <c r="L837" t="s">
        <v>21</v>
      </c>
      <c r="M837" t="s">
        <v>19177</v>
      </c>
      <c r="N837" t="s">
        <v>531</v>
      </c>
      <c r="O837" t="s">
        <v>531</v>
      </c>
      <c r="P837" t="s">
        <v>454</v>
      </c>
    </row>
    <row r="838">
      <c r="A838">
        <f>HYPERLINK("http://bombeiros.sp.gov.br/hidrantes/03individual/3710.html","3710")</f>
      </c>
      <c r="B838" t="s">
        <v>454</v>
      </c>
      <c r="C838" t="s">
        <v>565</v>
      </c>
      <c r="D838" t="s">
        <v>565</v>
      </c>
      <c r="E838" t="s">
        <v>15</v>
      </c>
      <c r="F838" t="s">
        <v>8808</v>
      </c>
      <c r="G838" t="s">
        <v>18089</v>
      </c>
      <c r="H838" t="s">
        <v>1112</v>
      </c>
      <c r="I838" t="s">
        <v>1108</v>
      </c>
      <c r="J838" t="s">
        <v>8809</v>
      </c>
      <c r="K838" t="s">
        <v>8810</v>
      </c>
      <c r="L838" t="s">
        <v>21</v>
      </c>
      <c r="M838" t="s">
        <v>19177</v>
      </c>
      <c r="N838" t="s">
        <v>531</v>
      </c>
      <c r="O838" t="s">
        <v>531</v>
      </c>
      <c r="P838" t="s">
        <v>454</v>
      </c>
    </row>
    <row r="839">
      <c r="A839">
        <f>HYPERLINK("http://bombeiros.sp.gov.br/hidrantes/03individual/3731.html","3731")</f>
      </c>
      <c r="B839" t="s">
        <v>454</v>
      </c>
      <c r="C839" t="s">
        <v>565</v>
      </c>
      <c r="D839" t="s">
        <v>565</v>
      </c>
      <c r="E839" t="s">
        <v>15</v>
      </c>
      <c r="F839" t="s">
        <v>8811</v>
      </c>
      <c r="G839" t="s">
        <v>18089</v>
      </c>
      <c r="H839" t="s">
        <v>1112</v>
      </c>
      <c r="I839" t="s">
        <v>1108</v>
      </c>
      <c r="J839" t="s">
        <v>8812</v>
      </c>
      <c r="K839" t="s">
        <v>8813</v>
      </c>
      <c r="L839" t="s">
        <v>21</v>
      </c>
      <c r="M839" t="s">
        <v>19177</v>
      </c>
      <c r="N839" t="s">
        <v>478</v>
      </c>
      <c r="O839" t="s">
        <v>478</v>
      </c>
      <c r="P839" t="s">
        <v>454</v>
      </c>
    </row>
    <row r="840">
      <c r="A840">
        <f>HYPERLINK("http://bombeiros.sp.gov.br/hidrantes/03individual/599.html","599")</f>
      </c>
      <c r="B840" t="s">
        <v>454</v>
      </c>
      <c r="C840" t="s">
        <v>570</v>
      </c>
      <c r="D840" t="s">
        <v>571</v>
      </c>
      <c r="E840" t="s">
        <v>64</v>
      </c>
      <c r="F840" t="s">
        <v>8814</v>
      </c>
      <c r="G840" t="s">
        <v>18042</v>
      </c>
      <c r="H840" t="s">
        <v>1112</v>
      </c>
      <c r="I840" t="s">
        <v>1108</v>
      </c>
      <c r="J840" t="s">
        <v>8815</v>
      </c>
      <c r="K840" t="s">
        <v>8816</v>
      </c>
      <c r="L840" t="s">
        <v>36</v>
      </c>
      <c r="M840" t="s">
        <v>19177</v>
      </c>
      <c r="N840" t="s">
        <v>531</v>
      </c>
      <c r="O840" t="s">
        <v>531</v>
      </c>
      <c r="P840" t="s">
        <v>454</v>
      </c>
    </row>
    <row r="841">
      <c r="A841">
        <f>HYPERLINK("http://bombeiros.sp.gov.br/hidrantes/03individual/3582.html","3582")</f>
      </c>
      <c r="B841" t="s">
        <v>454</v>
      </c>
      <c r="C841" t="s">
        <v>570</v>
      </c>
      <c r="D841" t="s">
        <v>571</v>
      </c>
      <c r="E841" t="s">
        <v>64</v>
      </c>
      <c r="F841" t="s">
        <v>8817</v>
      </c>
      <c r="G841" t="s">
        <v>18147</v>
      </c>
      <c r="H841" t="s">
        <v>1112</v>
      </c>
      <c r="I841" t="s">
        <v>1108</v>
      </c>
      <c r="J841" t="s">
        <v>8818</v>
      </c>
      <c r="K841" t="s">
        <v>8819</v>
      </c>
      <c r="L841" t="s">
        <v>36</v>
      </c>
      <c r="M841" t="s">
        <v>19177</v>
      </c>
      <c r="N841" t="s">
        <v>531</v>
      </c>
      <c r="O841" t="s">
        <v>531</v>
      </c>
      <c r="P841" t="s">
        <v>454</v>
      </c>
    </row>
    <row r="842">
      <c r="A842">
        <f>HYPERLINK("http://bombeiros.sp.gov.br/hidrantes/03individual/565.html","565")</f>
      </c>
      <c r="B842" t="s">
        <v>454</v>
      </c>
      <c r="C842" t="s">
        <v>570</v>
      </c>
      <c r="D842" t="s">
        <v>571</v>
      </c>
      <c r="E842" t="s">
        <v>15</v>
      </c>
      <c r="F842" t="s">
        <v>8823</v>
      </c>
      <c r="G842" t="s">
        <v>18132</v>
      </c>
      <c r="H842" t="s">
        <v>1112</v>
      </c>
      <c r="I842" t="s">
        <v>1108</v>
      </c>
      <c r="J842" t="s">
        <v>8824</v>
      </c>
      <c r="K842" t="s">
        <v>8825</v>
      </c>
      <c r="L842" t="s">
        <v>21</v>
      </c>
      <c r="M842" t="s">
        <v>19177</v>
      </c>
      <c r="N842" t="s">
        <v>531</v>
      </c>
      <c r="O842" t="s">
        <v>531</v>
      </c>
      <c r="P842" t="s">
        <v>454</v>
      </c>
    </row>
    <row r="843">
      <c r="A843">
        <f>HYPERLINK("http://bombeiros.sp.gov.br/hidrantes/03individual/593.html","593")</f>
      </c>
      <c r="B843" t="s">
        <v>454</v>
      </c>
      <c r="C843" t="s">
        <v>570</v>
      </c>
      <c r="D843" t="s">
        <v>571</v>
      </c>
      <c r="E843" t="s">
        <v>15</v>
      </c>
      <c r="F843" t="s">
        <v>8832</v>
      </c>
      <c r="G843" t="s">
        <v>18075</v>
      </c>
      <c r="H843" t="s">
        <v>1112</v>
      </c>
      <c r="I843" t="s">
        <v>1108</v>
      </c>
      <c r="J843" t="s">
        <v>8833</v>
      </c>
      <c r="K843" t="s">
        <v>8834</v>
      </c>
      <c r="L843" t="s">
        <v>21</v>
      </c>
      <c r="M843" t="s">
        <v>19177</v>
      </c>
      <c r="N843" t="s">
        <v>594</v>
      </c>
      <c r="O843" t="s">
        <v>531</v>
      </c>
      <c r="P843" t="s">
        <v>454</v>
      </c>
    </row>
    <row r="844">
      <c r="A844">
        <f>HYPERLINK("http://bombeiros.sp.gov.br/hidrantes/03individual/660.html","660")</f>
      </c>
      <c r="B844" t="s">
        <v>454</v>
      </c>
      <c r="C844" t="s">
        <v>570</v>
      </c>
      <c r="D844" t="s">
        <v>571</v>
      </c>
      <c r="E844" t="s">
        <v>15</v>
      </c>
      <c r="F844" t="s">
        <v>8835</v>
      </c>
      <c r="G844" t="s">
        <v>18042</v>
      </c>
      <c r="H844" t="s">
        <v>1107</v>
      </c>
      <c r="I844" t="s">
        <v>1108</v>
      </c>
      <c r="J844" t="s">
        <v>8836</v>
      </c>
      <c r="K844" t="s">
        <v>8837</v>
      </c>
      <c r="L844" t="s">
        <v>21</v>
      </c>
      <c r="M844" t="s">
        <v>19177</v>
      </c>
      <c r="N844" t="s">
        <v>531</v>
      </c>
      <c r="O844" t="s">
        <v>531</v>
      </c>
      <c r="P844" t="s">
        <v>454</v>
      </c>
    </row>
    <row r="845">
      <c r="A845">
        <f>HYPERLINK("http://bombeiros.sp.gov.br/hidrantes/03individual/675.html","675")</f>
      </c>
      <c r="B845" t="s">
        <v>454</v>
      </c>
      <c r="C845" t="s">
        <v>570</v>
      </c>
      <c r="D845" t="s">
        <v>571</v>
      </c>
      <c r="E845" t="s">
        <v>15</v>
      </c>
      <c r="F845" t="s">
        <v>8838</v>
      </c>
      <c r="G845" t="s">
        <v>18042</v>
      </c>
      <c r="H845" t="s">
        <v>1107</v>
      </c>
      <c r="I845" t="s">
        <v>1108</v>
      </c>
      <c r="J845" t="s">
        <v>8839</v>
      </c>
      <c r="K845" t="s">
        <v>8840</v>
      </c>
      <c r="L845" t="s">
        <v>21</v>
      </c>
      <c r="M845" t="s">
        <v>19177</v>
      </c>
      <c r="N845" t="s">
        <v>531</v>
      </c>
      <c r="O845" t="s">
        <v>531</v>
      </c>
      <c r="P845" t="s">
        <v>454</v>
      </c>
    </row>
    <row r="846">
      <c r="A846">
        <f>HYPERLINK("http://bombeiros.sp.gov.br/hidrantes/03individual/726.html","726")</f>
      </c>
      <c r="B846" t="s">
        <v>454</v>
      </c>
      <c r="C846" t="s">
        <v>570</v>
      </c>
      <c r="D846" t="s">
        <v>571</v>
      </c>
      <c r="E846" t="s">
        <v>15</v>
      </c>
      <c r="F846" t="s">
        <v>8841</v>
      </c>
      <c r="G846" t="s">
        <v>18147</v>
      </c>
      <c r="H846" t="s">
        <v>1112</v>
      </c>
      <c r="I846" t="s">
        <v>1108</v>
      </c>
      <c r="J846" t="s">
        <v>8842</v>
      </c>
      <c r="K846" t="s">
        <v>8843</v>
      </c>
      <c r="L846" t="s">
        <v>21</v>
      </c>
      <c r="M846" t="s">
        <v>19177</v>
      </c>
      <c r="N846" t="s">
        <v>531</v>
      </c>
      <c r="O846" t="s">
        <v>531</v>
      </c>
      <c r="P846" t="s">
        <v>454</v>
      </c>
    </row>
    <row r="847">
      <c r="A847">
        <f>HYPERLINK("http://bombeiros.sp.gov.br/hidrantes/03individual/3500.html","3500")</f>
      </c>
      <c r="B847" t="s">
        <v>454</v>
      </c>
      <c r="C847" t="s">
        <v>570</v>
      </c>
      <c r="D847" t="s">
        <v>571</v>
      </c>
      <c r="E847" t="s">
        <v>15</v>
      </c>
      <c r="F847" t="s">
        <v>8847</v>
      </c>
      <c r="G847" t="s">
        <v>18193</v>
      </c>
      <c r="H847" t="s">
        <v>1174</v>
      </c>
      <c r="I847" t="s">
        <v>1108</v>
      </c>
      <c r="J847" t="s">
        <v>8848</v>
      </c>
      <c r="K847" t="s">
        <v>8849</v>
      </c>
      <c r="L847" t="s">
        <v>21</v>
      </c>
      <c r="M847" t="s">
        <v>19177</v>
      </c>
      <c r="N847" t="s">
        <v>531</v>
      </c>
      <c r="O847" t="s">
        <v>531</v>
      </c>
      <c r="P847" t="s">
        <v>454</v>
      </c>
    </row>
    <row r="848">
      <c r="A848">
        <f>HYPERLINK("http://bombeiros.sp.gov.br/hidrantes/03individual/3528.html","3528")</f>
      </c>
      <c r="B848" t="s">
        <v>454</v>
      </c>
      <c r="C848" t="s">
        <v>570</v>
      </c>
      <c r="D848" t="s">
        <v>570</v>
      </c>
      <c r="E848" t="s">
        <v>64</v>
      </c>
      <c r="F848" t="s">
        <v>8874</v>
      </c>
      <c r="G848" t="s">
        <v>18043</v>
      </c>
      <c r="H848" t="s">
        <v>1107</v>
      </c>
      <c r="I848" t="s">
        <v>1108</v>
      </c>
      <c r="J848" t="s">
        <v>8875</v>
      </c>
      <c r="K848" t="s">
        <v>8876</v>
      </c>
      <c r="L848" t="s">
        <v>36</v>
      </c>
      <c r="M848" t="s">
        <v>19177</v>
      </c>
      <c r="N848" t="s">
        <v>531</v>
      </c>
      <c r="O848" t="s">
        <v>531</v>
      </c>
      <c r="P848" t="s">
        <v>454</v>
      </c>
    </row>
    <row r="849">
      <c r="A849">
        <f>HYPERLINK("http://bombeiros.sp.gov.br/hidrantes/03individual/3533.html","3533")</f>
      </c>
      <c r="B849" t="s">
        <v>454</v>
      </c>
      <c r="C849" t="s">
        <v>570</v>
      </c>
      <c r="D849" t="s">
        <v>570</v>
      </c>
      <c r="E849" t="s">
        <v>64</v>
      </c>
      <c r="F849" t="s">
        <v>8877</v>
      </c>
      <c r="G849" t="s">
        <v>18067</v>
      </c>
      <c r="H849" t="s">
        <v>1112</v>
      </c>
      <c r="I849" t="s">
        <v>1108</v>
      </c>
      <c r="J849" t="s">
        <v>8878</v>
      </c>
      <c r="K849" t="s">
        <v>8879</v>
      </c>
      <c r="L849" t="s">
        <v>21</v>
      </c>
      <c r="M849" t="s">
        <v>19177</v>
      </c>
      <c r="N849" t="s">
        <v>531</v>
      </c>
      <c r="O849" t="s">
        <v>531</v>
      </c>
      <c r="P849" t="s">
        <v>454</v>
      </c>
    </row>
    <row r="850">
      <c r="A850">
        <f>HYPERLINK("http://bombeiros.sp.gov.br/hidrantes/03individual/3542.html","3542")</f>
      </c>
      <c r="B850" t="s">
        <v>454</v>
      </c>
      <c r="C850" t="s">
        <v>570</v>
      </c>
      <c r="D850" t="s">
        <v>570</v>
      </c>
      <c r="E850" t="s">
        <v>64</v>
      </c>
      <c r="F850" t="s">
        <v>8883</v>
      </c>
      <c r="G850" t="s">
        <v>18554</v>
      </c>
      <c r="H850" t="s">
        <v>1107</v>
      </c>
      <c r="I850" t="s">
        <v>1108</v>
      </c>
      <c r="J850" t="s">
        <v>8884</v>
      </c>
      <c r="K850" t="s">
        <v>8885</v>
      </c>
      <c r="L850" t="s">
        <v>36</v>
      </c>
      <c r="M850" t="s">
        <v>19177</v>
      </c>
      <c r="N850" t="s">
        <v>531</v>
      </c>
      <c r="O850" t="s">
        <v>531</v>
      </c>
      <c r="P850" t="s">
        <v>454</v>
      </c>
    </row>
    <row r="851">
      <c r="A851">
        <f>HYPERLINK("http://bombeiros.sp.gov.br/hidrantes/03individual/3589.html","3589")</f>
      </c>
      <c r="B851" t="s">
        <v>454</v>
      </c>
      <c r="C851" t="s">
        <v>570</v>
      </c>
      <c r="D851" t="s">
        <v>570</v>
      </c>
      <c r="E851" t="s">
        <v>64</v>
      </c>
      <c r="F851" t="s">
        <v>8889</v>
      </c>
      <c r="G851" t="s">
        <v>18043</v>
      </c>
      <c r="H851" t="s">
        <v>1112</v>
      </c>
      <c r="I851" t="s">
        <v>1108</v>
      </c>
      <c r="J851" t="s">
        <v>8890</v>
      </c>
      <c r="K851" t="s">
        <v>8891</v>
      </c>
      <c r="L851" t="s">
        <v>36</v>
      </c>
      <c r="M851" t="s">
        <v>19177</v>
      </c>
      <c r="N851" t="s">
        <v>531</v>
      </c>
      <c r="O851" t="s">
        <v>531</v>
      </c>
      <c r="P851" t="s">
        <v>454</v>
      </c>
    </row>
    <row r="852">
      <c r="A852">
        <f>HYPERLINK("http://bombeiros.sp.gov.br/hidrantes/03individual/584.html","584")</f>
      </c>
      <c r="B852" t="s">
        <v>454</v>
      </c>
      <c r="C852" t="s">
        <v>570</v>
      </c>
      <c r="D852" t="s">
        <v>570</v>
      </c>
      <c r="E852" t="s">
        <v>15</v>
      </c>
      <c r="F852" t="s">
        <v>8898</v>
      </c>
      <c r="G852" t="s">
        <v>18043</v>
      </c>
      <c r="H852" t="s">
        <v>1121</v>
      </c>
      <c r="I852" t="s">
        <v>1117</v>
      </c>
      <c r="J852" t="s">
        <v>8899</v>
      </c>
      <c r="K852" t="s">
        <v>8900</v>
      </c>
      <c r="L852" t="s">
        <v>21</v>
      </c>
      <c r="M852" t="s">
        <v>19177</v>
      </c>
      <c r="N852" t="s">
        <v>531</v>
      </c>
      <c r="O852" t="s">
        <v>531</v>
      </c>
      <c r="P852" t="s">
        <v>454</v>
      </c>
    </row>
    <row r="853">
      <c r="A853">
        <f>HYPERLINK("http://bombeiros.sp.gov.br/hidrantes/03individual/3529.html","3529")</f>
      </c>
      <c r="B853" t="s">
        <v>454</v>
      </c>
      <c r="C853" t="s">
        <v>570</v>
      </c>
      <c r="D853" t="s">
        <v>570</v>
      </c>
      <c r="E853" t="s">
        <v>15</v>
      </c>
      <c r="F853" t="s">
        <v>8919</v>
      </c>
      <c r="G853" t="s">
        <v>18043</v>
      </c>
      <c r="H853" t="s">
        <v>1112</v>
      </c>
      <c r="I853" t="s">
        <v>1108</v>
      </c>
      <c r="J853" t="s">
        <v>8920</v>
      </c>
      <c r="K853" t="s">
        <v>8921</v>
      </c>
      <c r="L853" t="s">
        <v>21</v>
      </c>
      <c r="M853" t="s">
        <v>19177</v>
      </c>
      <c r="N853" t="s">
        <v>531</v>
      </c>
      <c r="O853" t="s">
        <v>531</v>
      </c>
      <c r="P853" t="s">
        <v>454</v>
      </c>
    </row>
    <row r="854">
      <c r="A854">
        <f>HYPERLINK("http://bombeiros.sp.gov.br/hidrantes/03individual/3536.html","3536")</f>
      </c>
      <c r="B854" t="s">
        <v>454</v>
      </c>
      <c r="C854" t="s">
        <v>570</v>
      </c>
      <c r="D854" t="s">
        <v>570</v>
      </c>
      <c r="E854" t="s">
        <v>15</v>
      </c>
      <c r="F854" t="s">
        <v>8922</v>
      </c>
      <c r="G854" t="s">
        <v>18551</v>
      </c>
      <c r="H854" t="s">
        <v>1112</v>
      </c>
      <c r="I854" t="s">
        <v>1108</v>
      </c>
      <c r="J854" t="s">
        <v>8923</v>
      </c>
      <c r="K854" t="s">
        <v>8924</v>
      </c>
      <c r="L854" t="s">
        <v>21</v>
      </c>
      <c r="M854" t="s">
        <v>19177</v>
      </c>
      <c r="N854" t="s">
        <v>531</v>
      </c>
      <c r="O854" t="s">
        <v>531</v>
      </c>
      <c r="P854" t="s">
        <v>454</v>
      </c>
    </row>
    <row r="855">
      <c r="A855">
        <f>HYPERLINK("http://bombeiros.sp.gov.br/hidrantes/03individual/10052.html","10052")</f>
      </c>
      <c r="B855" t="s">
        <v>454</v>
      </c>
      <c r="C855" t="s">
        <v>570</v>
      </c>
      <c r="D855" t="s">
        <v>581</v>
      </c>
      <c r="E855" t="s">
        <v>1507</v>
      </c>
      <c r="F855" t="s">
        <v>8928</v>
      </c>
      <c r="G855" t="s">
        <v>18125</v>
      </c>
      <c r="H855" t="s">
        <v>1112</v>
      </c>
      <c r="I855" t="s">
        <v>1117</v>
      </c>
      <c r="J855" t="s">
        <v>8929</v>
      </c>
      <c r="K855" t="s">
        <v>8930</v>
      </c>
      <c r="L855" t="s">
        <v>21</v>
      </c>
      <c r="M855" t="s">
        <v>19177</v>
      </c>
      <c r="N855" t="s">
        <v>531</v>
      </c>
      <c r="O855" t="s">
        <v>531</v>
      </c>
      <c r="P855" t="s">
        <v>454</v>
      </c>
    </row>
    <row r="856">
      <c r="A856">
        <f>HYPERLINK("http://bombeiros.sp.gov.br/hidrantes/03individual/3526.html","3526")</f>
      </c>
      <c r="B856" t="s">
        <v>454</v>
      </c>
      <c r="C856" t="s">
        <v>570</v>
      </c>
      <c r="D856" t="s">
        <v>581</v>
      </c>
      <c r="E856" t="s">
        <v>64</v>
      </c>
      <c r="F856" t="s">
        <v>8931</v>
      </c>
      <c r="G856" t="s">
        <v>18133</v>
      </c>
      <c r="H856" t="s">
        <v>1112</v>
      </c>
      <c r="I856" t="s">
        <v>1108</v>
      </c>
      <c r="J856" t="s">
        <v>8932</v>
      </c>
      <c r="K856" t="s">
        <v>8933</v>
      </c>
      <c r="L856" t="s">
        <v>36</v>
      </c>
      <c r="M856" t="s">
        <v>19177</v>
      </c>
      <c r="N856" t="s">
        <v>531</v>
      </c>
      <c r="O856" t="s">
        <v>531</v>
      </c>
      <c r="P856" t="s">
        <v>454</v>
      </c>
    </row>
    <row r="857">
      <c r="A857">
        <f>HYPERLINK("http://bombeiros.sp.gov.br/hidrantes/03individual/3532.html","3532")</f>
      </c>
      <c r="B857" t="s">
        <v>454</v>
      </c>
      <c r="C857" t="s">
        <v>570</v>
      </c>
      <c r="D857" t="s">
        <v>581</v>
      </c>
      <c r="E857" t="s">
        <v>64</v>
      </c>
      <c r="F857" t="s">
        <v>8934</v>
      </c>
      <c r="G857" t="s">
        <v>18204</v>
      </c>
      <c r="H857" t="s">
        <v>1112</v>
      </c>
      <c r="I857" t="s">
        <v>1108</v>
      </c>
      <c r="J857" t="s">
        <v>8935</v>
      </c>
      <c r="K857" t="s">
        <v>8936</v>
      </c>
      <c r="L857" t="s">
        <v>36</v>
      </c>
      <c r="M857" t="s">
        <v>19177</v>
      </c>
      <c r="N857" t="s">
        <v>531</v>
      </c>
      <c r="O857" t="s">
        <v>531</v>
      </c>
      <c r="P857" t="s">
        <v>454</v>
      </c>
    </row>
    <row r="858">
      <c r="A858">
        <f>HYPERLINK("http://bombeiros.sp.gov.br/hidrantes/03individual/3535.html","3535")</f>
      </c>
      <c r="B858" t="s">
        <v>454</v>
      </c>
      <c r="C858" t="s">
        <v>570</v>
      </c>
      <c r="D858" t="s">
        <v>581</v>
      </c>
      <c r="E858" t="s">
        <v>64</v>
      </c>
      <c r="F858" t="s">
        <v>8937</v>
      </c>
      <c r="G858" t="s">
        <v>18054</v>
      </c>
      <c r="H858" t="s">
        <v>1112</v>
      </c>
      <c r="I858" t="s">
        <v>1108</v>
      </c>
      <c r="J858" t="s">
        <v>8938</v>
      </c>
      <c r="K858" t="s">
        <v>8939</v>
      </c>
      <c r="L858" t="s">
        <v>36</v>
      </c>
      <c r="M858" t="s">
        <v>19177</v>
      </c>
      <c r="N858" t="s">
        <v>531</v>
      </c>
      <c r="O858" t="s">
        <v>531</v>
      </c>
      <c r="P858" t="s">
        <v>454</v>
      </c>
    </row>
    <row r="859">
      <c r="A859">
        <f>HYPERLINK("http://bombeiros.sp.gov.br/hidrantes/03individual/3554.html","3554")</f>
      </c>
      <c r="B859" t="s">
        <v>454</v>
      </c>
      <c r="C859" t="s">
        <v>570</v>
      </c>
      <c r="D859" t="s">
        <v>581</v>
      </c>
      <c r="E859" t="s">
        <v>64</v>
      </c>
      <c r="F859" t="s">
        <v>8940</v>
      </c>
      <c r="G859" t="s">
        <v>18042</v>
      </c>
      <c r="H859" t="s">
        <v>1112</v>
      </c>
      <c r="I859" t="s">
        <v>1108</v>
      </c>
      <c r="J859" t="s">
        <v>8941</v>
      </c>
      <c r="K859" t="s">
        <v>8942</v>
      </c>
      <c r="L859" t="s">
        <v>36</v>
      </c>
      <c r="M859" t="s">
        <v>19177</v>
      </c>
      <c r="N859" t="s">
        <v>531</v>
      </c>
      <c r="O859" t="s">
        <v>531</v>
      </c>
      <c r="P859" t="s">
        <v>454</v>
      </c>
    </row>
    <row r="860">
      <c r="A860">
        <f>HYPERLINK("http://bombeiros.sp.gov.br/hidrantes/03individual/551.html","551")</f>
      </c>
      <c r="B860" t="s">
        <v>454</v>
      </c>
      <c r="C860" t="s">
        <v>570</v>
      </c>
      <c r="D860" t="s">
        <v>581</v>
      </c>
      <c r="E860" t="s">
        <v>15</v>
      </c>
      <c r="F860" t="s">
        <v>8952</v>
      </c>
      <c r="G860" t="s">
        <v>18049</v>
      </c>
      <c r="H860" t="s">
        <v>1107</v>
      </c>
      <c r="I860" t="s">
        <v>1108</v>
      </c>
      <c r="J860" t="s">
        <v>8953</v>
      </c>
      <c r="K860" t="s">
        <v>8954</v>
      </c>
      <c r="L860" t="s">
        <v>21</v>
      </c>
      <c r="M860" t="s">
        <v>19177</v>
      </c>
      <c r="N860" t="s">
        <v>531</v>
      </c>
      <c r="O860" t="s">
        <v>531</v>
      </c>
      <c r="P860" t="s">
        <v>454</v>
      </c>
    </row>
    <row r="861">
      <c r="A861">
        <f>HYPERLINK("http://bombeiros.sp.gov.br/hidrantes/03individual/581.html","581")</f>
      </c>
      <c r="B861" t="s">
        <v>454</v>
      </c>
      <c r="C861" t="s">
        <v>570</v>
      </c>
      <c r="D861" t="s">
        <v>581</v>
      </c>
      <c r="E861" t="s">
        <v>15</v>
      </c>
      <c r="F861" t="s">
        <v>8958</v>
      </c>
      <c r="G861" t="s">
        <v>18062</v>
      </c>
      <c r="H861" t="s">
        <v>1107</v>
      </c>
      <c r="I861" t="s">
        <v>1108</v>
      </c>
      <c r="J861" t="s">
        <v>8959</v>
      </c>
      <c r="K861" t="s">
        <v>8960</v>
      </c>
      <c r="L861" t="s">
        <v>21</v>
      </c>
      <c r="M861" t="s">
        <v>19177</v>
      </c>
      <c r="N861" t="s">
        <v>594</v>
      </c>
      <c r="O861" t="s">
        <v>531</v>
      </c>
      <c r="P861" t="s">
        <v>454</v>
      </c>
    </row>
    <row r="862">
      <c r="A862">
        <f>HYPERLINK("http://bombeiros.sp.gov.br/hidrantes/03individual/3525.html","3525")</f>
      </c>
      <c r="B862" t="s">
        <v>454</v>
      </c>
      <c r="C862" t="s">
        <v>570</v>
      </c>
      <c r="D862" t="s">
        <v>581</v>
      </c>
      <c r="E862" t="s">
        <v>15</v>
      </c>
      <c r="F862" t="s">
        <v>8989</v>
      </c>
      <c r="G862" t="s">
        <v>18132</v>
      </c>
      <c r="H862" t="s">
        <v>1112</v>
      </c>
      <c r="I862" t="s">
        <v>1108</v>
      </c>
      <c r="J862" t="s">
        <v>15951</v>
      </c>
      <c r="K862" t="s">
        <v>15952</v>
      </c>
      <c r="L862" t="s">
        <v>21</v>
      </c>
      <c r="M862" t="s">
        <v>19177</v>
      </c>
      <c r="N862" t="s">
        <v>531</v>
      </c>
      <c r="O862" t="s">
        <v>531</v>
      </c>
      <c r="P862" t="s">
        <v>454</v>
      </c>
    </row>
    <row r="863">
      <c r="A863">
        <f>HYPERLINK("http://bombeiros.sp.gov.br/hidrantes/03individual/3545.html","3545")</f>
      </c>
      <c r="B863" t="s">
        <v>454</v>
      </c>
      <c r="C863" t="s">
        <v>570</v>
      </c>
      <c r="D863" t="s">
        <v>581</v>
      </c>
      <c r="E863" t="s">
        <v>15</v>
      </c>
      <c r="F863" t="s">
        <v>8992</v>
      </c>
      <c r="G863" t="s">
        <v>18042</v>
      </c>
      <c r="H863" t="s">
        <v>1112</v>
      </c>
      <c r="I863" t="s">
        <v>1108</v>
      </c>
      <c r="J863" t="s">
        <v>8993</v>
      </c>
      <c r="K863" t="s">
        <v>8994</v>
      </c>
      <c r="L863" t="s">
        <v>21</v>
      </c>
      <c r="M863" t="s">
        <v>19177</v>
      </c>
      <c r="N863" t="s">
        <v>531</v>
      </c>
      <c r="O863" t="s">
        <v>531</v>
      </c>
      <c r="P863" t="s">
        <v>454</v>
      </c>
    </row>
    <row r="864">
      <c r="A864">
        <f>HYPERLINK("http://bombeiros.sp.gov.br/hidrantes/03individual/3778.html","3778")</f>
      </c>
      <c r="B864" t="s">
        <v>454</v>
      </c>
      <c r="C864" t="s">
        <v>570</v>
      </c>
      <c r="D864" t="s">
        <v>581</v>
      </c>
      <c r="E864" t="s">
        <v>15</v>
      </c>
      <c r="F864" t="s">
        <v>8995</v>
      </c>
      <c r="G864" t="s">
        <v>18133</v>
      </c>
      <c r="H864" t="s">
        <v>1112</v>
      </c>
      <c r="I864" t="s">
        <v>1108</v>
      </c>
      <c r="J864" t="s">
        <v>8996</v>
      </c>
      <c r="K864" t="s">
        <v>8997</v>
      </c>
      <c r="L864" t="s">
        <v>21</v>
      </c>
      <c r="M864" t="s">
        <v>19177</v>
      </c>
      <c r="N864" t="s">
        <v>531</v>
      </c>
      <c r="O864" t="s">
        <v>531</v>
      </c>
      <c r="P864" t="s">
        <v>454</v>
      </c>
    </row>
    <row r="865">
      <c r="A865">
        <f>HYPERLINK("http://bombeiros.sp.gov.br/hidrantes/03individual/2870.html","2870")</f>
      </c>
      <c r="B865" t="s">
        <v>454</v>
      </c>
      <c r="C865" t="s">
        <v>588</v>
      </c>
      <c r="D865" t="s">
        <v>588</v>
      </c>
      <c r="E865" t="s">
        <v>64</v>
      </c>
      <c r="F865" t="s">
        <v>9005</v>
      </c>
      <c r="G865" t="s">
        <v>18096</v>
      </c>
      <c r="H865" t="s">
        <v>1107</v>
      </c>
      <c r="I865" t="s">
        <v>1108</v>
      </c>
      <c r="J865" t="s">
        <v>9006</v>
      </c>
      <c r="K865" t="s">
        <v>9007</v>
      </c>
      <c r="L865" t="s">
        <v>36</v>
      </c>
      <c r="M865" t="s">
        <v>19177</v>
      </c>
      <c r="N865" t="s">
        <v>594</v>
      </c>
      <c r="O865" t="s">
        <v>531</v>
      </c>
      <c r="P865" t="s">
        <v>454</v>
      </c>
    </row>
    <row r="866">
      <c r="A866">
        <f>HYPERLINK("http://bombeiros.sp.gov.br/hidrantes/03individual/3051.html","3051")</f>
      </c>
      <c r="B866" t="s">
        <v>454</v>
      </c>
      <c r="C866" t="s">
        <v>588</v>
      </c>
      <c r="D866" t="s">
        <v>588</v>
      </c>
      <c r="E866" t="s">
        <v>64</v>
      </c>
      <c r="F866" t="s">
        <v>9011</v>
      </c>
      <c r="G866" t="s">
        <v>18075</v>
      </c>
      <c r="H866" t="s">
        <v>1112</v>
      </c>
      <c r="I866" t="s">
        <v>1108</v>
      </c>
      <c r="J866" t="s">
        <v>9012</v>
      </c>
      <c r="K866" t="s">
        <v>9013</v>
      </c>
      <c r="L866" t="s">
        <v>21</v>
      </c>
      <c r="M866" t="s">
        <v>19177</v>
      </c>
      <c r="N866" t="s">
        <v>594</v>
      </c>
      <c r="O866" t="s">
        <v>531</v>
      </c>
      <c r="P866" t="s">
        <v>454</v>
      </c>
    </row>
    <row r="867">
      <c r="A867">
        <f>HYPERLINK("http://bombeiros.sp.gov.br/hidrantes/03individual/2827.html","2827")</f>
      </c>
      <c r="B867" t="s">
        <v>454</v>
      </c>
      <c r="C867" t="s">
        <v>588</v>
      </c>
      <c r="D867" t="s">
        <v>9017</v>
      </c>
      <c r="E867" t="s">
        <v>64</v>
      </c>
      <c r="F867" t="s">
        <v>9018</v>
      </c>
      <c r="G867" t="s">
        <v>18053</v>
      </c>
      <c r="H867" t="s">
        <v>1107</v>
      </c>
      <c r="I867" t="s">
        <v>1108</v>
      </c>
      <c r="J867" t="s">
        <v>9019</v>
      </c>
      <c r="K867" t="s">
        <v>9020</v>
      </c>
      <c r="L867" t="s">
        <v>36</v>
      </c>
      <c r="M867" t="s">
        <v>19177</v>
      </c>
      <c r="N867" t="s">
        <v>594</v>
      </c>
      <c r="O867" t="s">
        <v>531</v>
      </c>
      <c r="P867" t="s">
        <v>454</v>
      </c>
    </row>
    <row r="868">
      <c r="A868">
        <f>HYPERLINK("http://bombeiros.sp.gov.br/hidrantes/03individual/543.html","543")</f>
      </c>
      <c r="B868" t="s">
        <v>454</v>
      </c>
      <c r="C868" t="s">
        <v>588</v>
      </c>
      <c r="D868" t="s">
        <v>9017</v>
      </c>
      <c r="E868" t="s">
        <v>15</v>
      </c>
      <c r="F868" t="s">
        <v>9040</v>
      </c>
      <c r="G868" t="s">
        <v>18071</v>
      </c>
      <c r="H868" t="s">
        <v>1107</v>
      </c>
      <c r="I868" t="s">
        <v>1108</v>
      </c>
      <c r="J868" t="s">
        <v>16578</v>
      </c>
      <c r="K868" t="s">
        <v>16579</v>
      </c>
      <c r="L868" t="s">
        <v>36</v>
      </c>
      <c r="M868" t="s">
        <v>19177</v>
      </c>
      <c r="N868" t="s">
        <v>594</v>
      </c>
      <c r="O868" t="s">
        <v>531</v>
      </c>
      <c r="P868" t="s">
        <v>454</v>
      </c>
    </row>
    <row r="869">
      <c r="A869">
        <f>HYPERLINK("http://bombeiros.sp.gov.br/hidrantes/03individual/547.html","547")</f>
      </c>
      <c r="B869" t="s">
        <v>454</v>
      </c>
      <c r="C869" t="s">
        <v>588</v>
      </c>
      <c r="D869" t="s">
        <v>9017</v>
      </c>
      <c r="E869" t="s">
        <v>15</v>
      </c>
      <c r="F869" t="s">
        <v>9043</v>
      </c>
      <c r="G869" t="s">
        <v>18484</v>
      </c>
      <c r="H869" t="s">
        <v>1107</v>
      </c>
      <c r="I869" t="s">
        <v>1108</v>
      </c>
      <c r="J869" t="s">
        <v>9044</v>
      </c>
      <c r="K869" t="s">
        <v>9045</v>
      </c>
      <c r="L869" t="s">
        <v>21</v>
      </c>
      <c r="M869" t="s">
        <v>19177</v>
      </c>
      <c r="N869" t="s">
        <v>594</v>
      </c>
      <c r="O869" t="s">
        <v>531</v>
      </c>
      <c r="P869" t="s">
        <v>454</v>
      </c>
    </row>
    <row r="870">
      <c r="A870">
        <f>HYPERLINK("http://bombeiros.sp.gov.br/hidrantes/03individual/634.html","634")</f>
      </c>
      <c r="B870" t="s">
        <v>454</v>
      </c>
      <c r="C870" t="s">
        <v>588</v>
      </c>
      <c r="D870" t="s">
        <v>9017</v>
      </c>
      <c r="E870" t="s">
        <v>15</v>
      </c>
      <c r="F870" t="s">
        <v>9046</v>
      </c>
      <c r="G870" t="s">
        <v>18093</v>
      </c>
      <c r="H870" t="s">
        <v>1107</v>
      </c>
      <c r="I870" t="s">
        <v>1108</v>
      </c>
      <c r="J870" t="s">
        <v>9047</v>
      </c>
      <c r="K870" t="s">
        <v>9048</v>
      </c>
      <c r="L870" t="s">
        <v>21</v>
      </c>
      <c r="M870" t="s">
        <v>19177</v>
      </c>
      <c r="N870" t="s">
        <v>594</v>
      </c>
      <c r="O870" t="s">
        <v>531</v>
      </c>
      <c r="P870" t="s">
        <v>454</v>
      </c>
    </row>
    <row r="871">
      <c r="A871">
        <f>HYPERLINK("http://bombeiros.sp.gov.br/hidrantes/03individual/635.html","635")</f>
      </c>
      <c r="B871" t="s">
        <v>454</v>
      </c>
      <c r="C871" t="s">
        <v>588</v>
      </c>
      <c r="D871" t="s">
        <v>9017</v>
      </c>
      <c r="E871" t="s">
        <v>15</v>
      </c>
      <c r="F871" t="s">
        <v>9049</v>
      </c>
      <c r="G871" t="s">
        <v>18495</v>
      </c>
      <c r="H871" t="s">
        <v>1112</v>
      </c>
      <c r="I871" t="s">
        <v>1108</v>
      </c>
      <c r="J871" t="s">
        <v>9050</v>
      </c>
      <c r="K871" t="s">
        <v>9051</v>
      </c>
      <c r="L871" t="s">
        <v>21</v>
      </c>
      <c r="M871" t="s">
        <v>19177</v>
      </c>
      <c r="N871" t="s">
        <v>594</v>
      </c>
      <c r="O871" t="s">
        <v>531</v>
      </c>
      <c r="P871" t="s">
        <v>454</v>
      </c>
    </row>
    <row r="872">
      <c r="A872">
        <f>HYPERLINK("http://bombeiros.sp.gov.br/hidrantes/03individual/825.html","825")</f>
      </c>
      <c r="B872" t="s">
        <v>454</v>
      </c>
      <c r="C872" t="s">
        <v>588</v>
      </c>
      <c r="D872" t="s">
        <v>9017</v>
      </c>
      <c r="E872" t="s">
        <v>15</v>
      </c>
      <c r="F872" t="s">
        <v>9070</v>
      </c>
      <c r="G872" t="s">
        <v>18201</v>
      </c>
      <c r="H872" t="s">
        <v>1112</v>
      </c>
      <c r="I872" t="s">
        <v>1108</v>
      </c>
      <c r="J872" t="s">
        <v>9071</v>
      </c>
      <c r="K872" t="s">
        <v>9072</v>
      </c>
      <c r="L872" t="s">
        <v>21</v>
      </c>
      <c r="M872" t="s">
        <v>19177</v>
      </c>
      <c r="N872" t="s">
        <v>594</v>
      </c>
      <c r="O872" t="s">
        <v>531</v>
      </c>
      <c r="P872" t="s">
        <v>454</v>
      </c>
    </row>
    <row r="873">
      <c r="A873">
        <f>HYPERLINK("http://bombeiros.sp.gov.br/hidrantes/03individual/2875.html","2875")</f>
      </c>
      <c r="B873" t="s">
        <v>454</v>
      </c>
      <c r="C873" t="s">
        <v>588</v>
      </c>
      <c r="D873" t="s">
        <v>9017</v>
      </c>
      <c r="E873" t="s">
        <v>15</v>
      </c>
      <c r="F873" t="s">
        <v>9088</v>
      </c>
      <c r="G873" t="s">
        <v>18143</v>
      </c>
      <c r="H873" t="s">
        <v>1107</v>
      </c>
      <c r="I873" t="s">
        <v>1108</v>
      </c>
      <c r="J873" t="s">
        <v>9089</v>
      </c>
      <c r="K873" t="s">
        <v>9090</v>
      </c>
      <c r="L873" t="s">
        <v>21</v>
      </c>
      <c r="M873" t="s">
        <v>19177</v>
      </c>
      <c r="N873" t="s">
        <v>594</v>
      </c>
      <c r="O873" t="s">
        <v>531</v>
      </c>
      <c r="P873" t="s">
        <v>454</v>
      </c>
    </row>
    <row r="874">
      <c r="A874">
        <f>HYPERLINK("http://bombeiros.sp.gov.br/hidrantes/03individual/2877.html","2877")</f>
      </c>
      <c r="B874" t="s">
        <v>454</v>
      </c>
      <c r="C874" t="s">
        <v>588</v>
      </c>
      <c r="D874" t="s">
        <v>9017</v>
      </c>
      <c r="E874" t="s">
        <v>15</v>
      </c>
      <c r="F874" t="s">
        <v>9091</v>
      </c>
      <c r="G874" t="s">
        <v>18093</v>
      </c>
      <c r="H874" t="s">
        <v>1107</v>
      </c>
      <c r="I874" t="s">
        <v>1108</v>
      </c>
      <c r="J874" t="s">
        <v>9092</v>
      </c>
      <c r="K874" t="s">
        <v>9093</v>
      </c>
      <c r="L874" t="s">
        <v>21</v>
      </c>
      <c r="M874" t="s">
        <v>19177</v>
      </c>
      <c r="N874" t="s">
        <v>594</v>
      </c>
      <c r="O874" t="s">
        <v>531</v>
      </c>
      <c r="P874" t="s">
        <v>454</v>
      </c>
    </row>
    <row r="875">
      <c r="A875">
        <f>HYPERLINK("http://bombeiros.sp.gov.br/hidrantes/03individual/2960.html","2960")</f>
      </c>
      <c r="B875" t="s">
        <v>454</v>
      </c>
      <c r="C875" t="s">
        <v>588</v>
      </c>
      <c r="D875" t="s">
        <v>9017</v>
      </c>
      <c r="E875" t="s">
        <v>15</v>
      </c>
      <c r="F875" t="s">
        <v>9106</v>
      </c>
      <c r="G875" t="s">
        <v>18093</v>
      </c>
      <c r="H875" t="s">
        <v>1107</v>
      </c>
      <c r="I875" t="s">
        <v>1108</v>
      </c>
      <c r="J875" t="s">
        <v>9107</v>
      </c>
      <c r="K875" t="s">
        <v>9108</v>
      </c>
      <c r="L875" t="s">
        <v>21</v>
      </c>
      <c r="M875" t="s">
        <v>19177</v>
      </c>
      <c r="N875" t="s">
        <v>594</v>
      </c>
      <c r="O875" t="s">
        <v>531</v>
      </c>
      <c r="P875" t="s">
        <v>454</v>
      </c>
    </row>
    <row r="876">
      <c r="A876">
        <f>HYPERLINK("http://bombeiros.sp.gov.br/hidrantes/03individual/5251.html","5251")</f>
      </c>
      <c r="B876" t="s">
        <v>454</v>
      </c>
      <c r="C876" t="s">
        <v>588</v>
      </c>
      <c r="D876" t="s">
        <v>9017</v>
      </c>
      <c r="E876" t="s">
        <v>15</v>
      </c>
      <c r="F876" t="s">
        <v>9125</v>
      </c>
      <c r="G876" t="s">
        <v>18201</v>
      </c>
      <c r="H876" t="s">
        <v>1112</v>
      </c>
      <c r="I876" t="s">
        <v>1108</v>
      </c>
      <c r="J876" t="s">
        <v>9126</v>
      </c>
      <c r="K876" t="s">
        <v>9127</v>
      </c>
      <c r="L876" t="s">
        <v>21</v>
      </c>
      <c r="M876" t="s">
        <v>19177</v>
      </c>
      <c r="N876" t="s">
        <v>531</v>
      </c>
      <c r="O876" t="s">
        <v>531</v>
      </c>
      <c r="P876" t="s">
        <v>454</v>
      </c>
    </row>
    <row r="877">
      <c r="A877">
        <f>HYPERLINK("http://bombeiros.sp.gov.br/hidrantes/03individual/28093.html","28093")</f>
      </c>
      <c r="B877" t="s">
        <v>454</v>
      </c>
      <c r="C877" t="s">
        <v>588</v>
      </c>
      <c r="D877" t="s">
        <v>9017</v>
      </c>
      <c r="E877" t="s">
        <v>15</v>
      </c>
      <c r="F877" t="s">
        <v>18314</v>
      </c>
      <c r="G877" t="s">
        <v>18042</v>
      </c>
      <c r="H877" t="s">
        <v>1112</v>
      </c>
      <c r="I877" t="s">
        <v>1108</v>
      </c>
      <c r="J877" t="s">
        <v>18315</v>
      </c>
      <c r="K877" t="s">
        <v>18316</v>
      </c>
      <c r="L877" t="s">
        <v>21</v>
      </c>
      <c r="M877" t="s">
        <v>19177</v>
      </c>
      <c r="N877" t="s">
        <v>531</v>
      </c>
      <c r="O877" t="s">
        <v>531</v>
      </c>
      <c r="P877" t="s">
        <v>454</v>
      </c>
    </row>
    <row r="878">
      <c r="A878">
        <f>HYPERLINK("http://bombeiros.sp.gov.br/hidrantes/03individual/26742.html","26742")</f>
      </c>
      <c r="B878" t="s">
        <v>454</v>
      </c>
      <c r="C878" t="s">
        <v>594</v>
      </c>
      <c r="D878" t="s">
        <v>595</v>
      </c>
      <c r="E878" t="s">
        <v>1507</v>
      </c>
      <c r="F878" t="s">
        <v>9131</v>
      </c>
      <c r="G878" t="s">
        <v>18074</v>
      </c>
      <c r="H878" t="s">
        <v>1112</v>
      </c>
      <c r="I878" t="s">
        <v>1108</v>
      </c>
      <c r="J878" t="s">
        <v>9132</v>
      </c>
      <c r="K878" t="s">
        <v>9133</v>
      </c>
      <c r="L878" t="s">
        <v>21</v>
      </c>
      <c r="M878" t="s">
        <v>19177</v>
      </c>
      <c r="N878" t="s">
        <v>594</v>
      </c>
      <c r="O878" t="s">
        <v>531</v>
      </c>
      <c r="P878" t="s">
        <v>454</v>
      </c>
    </row>
    <row r="879">
      <c r="A879">
        <f>HYPERLINK("http://bombeiros.sp.gov.br/hidrantes/03individual/3229.html","3229")</f>
      </c>
      <c r="B879" t="s">
        <v>454</v>
      </c>
      <c r="C879" t="s">
        <v>594</v>
      </c>
      <c r="D879" t="s">
        <v>595</v>
      </c>
      <c r="E879" t="s">
        <v>64</v>
      </c>
      <c r="F879" t="s">
        <v>9134</v>
      </c>
      <c r="G879" t="s">
        <v>18135</v>
      </c>
      <c r="H879" t="s">
        <v>1112</v>
      </c>
      <c r="I879" t="s">
        <v>1108</v>
      </c>
      <c r="J879" t="s">
        <v>9135</v>
      </c>
      <c r="K879" t="s">
        <v>9136</v>
      </c>
      <c r="L879" t="s">
        <v>36</v>
      </c>
      <c r="M879" t="s">
        <v>19177</v>
      </c>
      <c r="N879" t="s">
        <v>594</v>
      </c>
      <c r="O879" t="s">
        <v>531</v>
      </c>
      <c r="P879" t="s">
        <v>454</v>
      </c>
    </row>
    <row r="880">
      <c r="A880">
        <f>HYPERLINK("http://bombeiros.sp.gov.br/hidrantes/03individual/3234.html","3234")</f>
      </c>
      <c r="B880" t="s">
        <v>454</v>
      </c>
      <c r="C880" t="s">
        <v>594</v>
      </c>
      <c r="D880" t="s">
        <v>595</v>
      </c>
      <c r="E880" t="s">
        <v>64</v>
      </c>
      <c r="F880" t="s">
        <v>9137</v>
      </c>
      <c r="G880" t="s">
        <v>18076</v>
      </c>
      <c r="H880" t="s">
        <v>1107</v>
      </c>
      <c r="I880" t="s">
        <v>1108</v>
      </c>
      <c r="J880" t="s">
        <v>9138</v>
      </c>
      <c r="K880" t="s">
        <v>9139</v>
      </c>
      <c r="L880" t="s">
        <v>36</v>
      </c>
      <c r="M880" t="s">
        <v>19177</v>
      </c>
      <c r="N880" t="s">
        <v>594</v>
      </c>
      <c r="O880" t="s">
        <v>531</v>
      </c>
      <c r="P880" t="s">
        <v>454</v>
      </c>
    </row>
    <row r="881">
      <c r="A881">
        <f>HYPERLINK("http://bombeiros.sp.gov.br/hidrantes/03individual/566.html","566")</f>
      </c>
      <c r="B881" t="s">
        <v>454</v>
      </c>
      <c r="C881" t="s">
        <v>594</v>
      </c>
      <c r="D881" t="s">
        <v>595</v>
      </c>
      <c r="E881" t="s">
        <v>15</v>
      </c>
      <c r="F881" t="s">
        <v>9153</v>
      </c>
      <c r="G881" t="s">
        <v>18471</v>
      </c>
      <c r="H881" t="s">
        <v>1107</v>
      </c>
      <c r="I881" t="s">
        <v>1108</v>
      </c>
      <c r="J881" t="s">
        <v>9154</v>
      </c>
      <c r="K881" t="s">
        <v>9155</v>
      </c>
      <c r="L881" t="s">
        <v>21</v>
      </c>
      <c r="M881" t="s">
        <v>19177</v>
      </c>
      <c r="N881" t="s">
        <v>594</v>
      </c>
      <c r="O881" t="s">
        <v>531</v>
      </c>
      <c r="P881" t="s">
        <v>454</v>
      </c>
    </row>
    <row r="882">
      <c r="A882">
        <f>HYPERLINK("http://bombeiros.sp.gov.br/hidrantes/03individual/614.html","614")</f>
      </c>
      <c r="B882" t="s">
        <v>454</v>
      </c>
      <c r="C882" t="s">
        <v>594</v>
      </c>
      <c r="D882" t="s">
        <v>595</v>
      </c>
      <c r="E882" t="s">
        <v>15</v>
      </c>
      <c r="F882" t="s">
        <v>9159</v>
      </c>
      <c r="G882" t="s">
        <v>18078</v>
      </c>
      <c r="H882" t="s">
        <v>1107</v>
      </c>
      <c r="I882" t="s">
        <v>1108</v>
      </c>
      <c r="J882" t="s">
        <v>9160</v>
      </c>
      <c r="K882" t="s">
        <v>9161</v>
      </c>
      <c r="L882" t="s">
        <v>21</v>
      </c>
      <c r="M882" t="s">
        <v>19177</v>
      </c>
      <c r="N882" t="s">
        <v>594</v>
      </c>
      <c r="O882" t="s">
        <v>531</v>
      </c>
      <c r="P882" t="s">
        <v>454</v>
      </c>
    </row>
    <row r="883">
      <c r="A883">
        <f>HYPERLINK("http://bombeiros.sp.gov.br/hidrantes/03individual/670.html","670")</f>
      </c>
      <c r="B883" t="s">
        <v>454</v>
      </c>
      <c r="C883" t="s">
        <v>594</v>
      </c>
      <c r="D883" t="s">
        <v>595</v>
      </c>
      <c r="E883" t="s">
        <v>15</v>
      </c>
      <c r="F883" t="s">
        <v>9162</v>
      </c>
      <c r="G883" t="s">
        <v>18133</v>
      </c>
      <c r="H883" t="s">
        <v>1112</v>
      </c>
      <c r="I883" t="s">
        <v>1108</v>
      </c>
      <c r="J883" t="s">
        <v>9163</v>
      </c>
      <c r="K883" t="s">
        <v>9164</v>
      </c>
      <c r="L883" t="s">
        <v>21</v>
      </c>
      <c r="M883" t="s">
        <v>19177</v>
      </c>
      <c r="N883" t="s">
        <v>594</v>
      </c>
      <c r="O883" t="s">
        <v>531</v>
      </c>
      <c r="P883" t="s">
        <v>454</v>
      </c>
    </row>
    <row r="884">
      <c r="A884">
        <f>HYPERLINK("http://bombeiros.sp.gov.br/hidrantes/03individual/679.html","679")</f>
      </c>
      <c r="B884" t="s">
        <v>454</v>
      </c>
      <c r="C884" t="s">
        <v>594</v>
      </c>
      <c r="D884" t="s">
        <v>595</v>
      </c>
      <c r="E884" t="s">
        <v>15</v>
      </c>
      <c r="F884" t="s">
        <v>9165</v>
      </c>
      <c r="G884" t="s">
        <v>18074</v>
      </c>
      <c r="H884" t="s">
        <v>1107</v>
      </c>
      <c r="I884" t="s">
        <v>1108</v>
      </c>
      <c r="J884" t="s">
        <v>9166</v>
      </c>
      <c r="K884" t="s">
        <v>9167</v>
      </c>
      <c r="L884" t="s">
        <v>21</v>
      </c>
      <c r="M884" t="s">
        <v>19177</v>
      </c>
      <c r="N884" t="s">
        <v>594</v>
      </c>
      <c r="O884" t="s">
        <v>531</v>
      </c>
      <c r="P884" t="s">
        <v>454</v>
      </c>
    </row>
    <row r="885">
      <c r="A885">
        <f>HYPERLINK("http://bombeiros.sp.gov.br/hidrantes/03individual/717.html","717")</f>
      </c>
      <c r="B885" t="s">
        <v>454</v>
      </c>
      <c r="C885" t="s">
        <v>594</v>
      </c>
      <c r="D885" t="s">
        <v>595</v>
      </c>
      <c r="E885" t="s">
        <v>15</v>
      </c>
      <c r="F885" t="s">
        <v>9171</v>
      </c>
      <c r="G885" t="s">
        <v>18471</v>
      </c>
      <c r="H885" t="s">
        <v>1107</v>
      </c>
      <c r="I885" t="s">
        <v>1108</v>
      </c>
      <c r="J885" t="s">
        <v>9172</v>
      </c>
      <c r="K885" t="s">
        <v>9173</v>
      </c>
      <c r="L885" t="s">
        <v>21</v>
      </c>
      <c r="M885" t="s">
        <v>19177</v>
      </c>
      <c r="N885" t="s">
        <v>594</v>
      </c>
      <c r="O885" t="s">
        <v>531</v>
      </c>
      <c r="P885" t="s">
        <v>454</v>
      </c>
    </row>
    <row r="886">
      <c r="A886">
        <f>HYPERLINK("http://bombeiros.sp.gov.br/hidrantes/03individual/752.html","752")</f>
      </c>
      <c r="B886" t="s">
        <v>454</v>
      </c>
      <c r="C886" t="s">
        <v>594</v>
      </c>
      <c r="D886" t="s">
        <v>595</v>
      </c>
      <c r="E886" t="s">
        <v>15</v>
      </c>
      <c r="F886" t="s">
        <v>9174</v>
      </c>
      <c r="G886" t="s">
        <v>18471</v>
      </c>
      <c r="H886" t="s">
        <v>1107</v>
      </c>
      <c r="I886" t="s">
        <v>1108</v>
      </c>
      <c r="J886" t="s">
        <v>9175</v>
      </c>
      <c r="K886" t="s">
        <v>9176</v>
      </c>
      <c r="L886" t="s">
        <v>21</v>
      </c>
      <c r="M886" t="s">
        <v>19177</v>
      </c>
      <c r="N886" t="s">
        <v>594</v>
      </c>
      <c r="O886" t="s">
        <v>531</v>
      </c>
      <c r="P886" t="s">
        <v>454</v>
      </c>
    </row>
    <row r="887">
      <c r="A887">
        <f>HYPERLINK("http://bombeiros.sp.gov.br/hidrantes/03individual/757.html","757")</f>
      </c>
      <c r="B887" t="s">
        <v>454</v>
      </c>
      <c r="C887" t="s">
        <v>594</v>
      </c>
      <c r="D887" t="s">
        <v>595</v>
      </c>
      <c r="E887" t="s">
        <v>15</v>
      </c>
      <c r="F887" t="s">
        <v>9180</v>
      </c>
      <c r="G887" t="s">
        <v>18484</v>
      </c>
      <c r="H887" t="s">
        <v>1112</v>
      </c>
      <c r="I887" t="s">
        <v>1108</v>
      </c>
      <c r="J887" t="s">
        <v>9181</v>
      </c>
      <c r="K887" t="s">
        <v>9182</v>
      </c>
      <c r="L887" t="s">
        <v>21</v>
      </c>
      <c r="M887" t="s">
        <v>19177</v>
      </c>
      <c r="N887" t="s">
        <v>594</v>
      </c>
      <c r="O887" t="s">
        <v>531</v>
      </c>
      <c r="P887" t="s">
        <v>454</v>
      </c>
    </row>
    <row r="888">
      <c r="A888">
        <f>HYPERLINK("http://bombeiros.sp.gov.br/hidrantes/03individual/761.html","761")</f>
      </c>
      <c r="B888" t="s">
        <v>454</v>
      </c>
      <c r="C888" t="s">
        <v>594</v>
      </c>
      <c r="D888" t="s">
        <v>595</v>
      </c>
      <c r="E888" t="s">
        <v>15</v>
      </c>
      <c r="F888" t="s">
        <v>9183</v>
      </c>
      <c r="G888" t="s">
        <v>18074</v>
      </c>
      <c r="H888" t="s">
        <v>1107</v>
      </c>
      <c r="I888" t="s">
        <v>1108</v>
      </c>
      <c r="J888" t="s">
        <v>15988</v>
      </c>
      <c r="K888" t="s">
        <v>15989</v>
      </c>
      <c r="L888" t="s">
        <v>21</v>
      </c>
      <c r="M888" t="s">
        <v>19177</v>
      </c>
      <c r="N888" t="s">
        <v>594</v>
      </c>
      <c r="O888" t="s">
        <v>531</v>
      </c>
      <c r="P888" t="s">
        <v>454</v>
      </c>
    </row>
    <row r="889">
      <c r="A889">
        <f>HYPERLINK("http://bombeiros.sp.gov.br/hidrantes/03individual/764.html","764")</f>
      </c>
      <c r="B889" t="s">
        <v>454</v>
      </c>
      <c r="C889" t="s">
        <v>594</v>
      </c>
      <c r="D889" t="s">
        <v>595</v>
      </c>
      <c r="E889" t="s">
        <v>15</v>
      </c>
      <c r="F889" t="s">
        <v>9189</v>
      </c>
      <c r="G889" t="s">
        <v>18479</v>
      </c>
      <c r="H889" t="s">
        <v>1107</v>
      </c>
      <c r="I889" t="s">
        <v>1108</v>
      </c>
      <c r="J889" t="s">
        <v>9190</v>
      </c>
      <c r="K889" t="s">
        <v>9191</v>
      </c>
      <c r="L889" t="s">
        <v>21</v>
      </c>
      <c r="M889" t="s">
        <v>19177</v>
      </c>
      <c r="N889" t="s">
        <v>594</v>
      </c>
      <c r="O889" t="s">
        <v>531</v>
      </c>
      <c r="P889" t="s">
        <v>454</v>
      </c>
    </row>
    <row r="890">
      <c r="A890">
        <f>HYPERLINK("http://bombeiros.sp.gov.br/hidrantes/03individual/765.html","765")</f>
      </c>
      <c r="B890" t="s">
        <v>454</v>
      </c>
      <c r="C890" t="s">
        <v>594</v>
      </c>
      <c r="D890" t="s">
        <v>595</v>
      </c>
      <c r="E890" t="s">
        <v>15</v>
      </c>
      <c r="F890" t="s">
        <v>9192</v>
      </c>
      <c r="G890" t="s">
        <v>18048</v>
      </c>
      <c r="H890" t="s">
        <v>1107</v>
      </c>
      <c r="I890" t="s">
        <v>1108</v>
      </c>
      <c r="J890" t="s">
        <v>9193</v>
      </c>
      <c r="K890" t="s">
        <v>9194</v>
      </c>
      <c r="L890" t="s">
        <v>21</v>
      </c>
      <c r="M890" t="s">
        <v>19177</v>
      </c>
      <c r="N890" t="s">
        <v>594</v>
      </c>
      <c r="O890" t="s">
        <v>531</v>
      </c>
      <c r="P890" t="s">
        <v>454</v>
      </c>
    </row>
    <row r="891">
      <c r="A891">
        <f>HYPERLINK("http://bombeiros.sp.gov.br/hidrantes/03individual/848.html","848")</f>
      </c>
      <c r="B891" t="s">
        <v>454</v>
      </c>
      <c r="C891" t="s">
        <v>594</v>
      </c>
      <c r="D891" t="s">
        <v>595</v>
      </c>
      <c r="E891" t="s">
        <v>15</v>
      </c>
      <c r="F891" t="s">
        <v>9198</v>
      </c>
      <c r="G891" t="s">
        <v>18075</v>
      </c>
      <c r="H891" t="s">
        <v>1121</v>
      </c>
      <c r="I891" t="s">
        <v>1117</v>
      </c>
      <c r="J891" t="s">
        <v>9199</v>
      </c>
      <c r="K891" t="s">
        <v>9200</v>
      </c>
      <c r="L891" t="s">
        <v>21</v>
      </c>
      <c r="M891" t="s">
        <v>19177</v>
      </c>
      <c r="N891" t="s">
        <v>594</v>
      </c>
      <c r="O891" t="s">
        <v>531</v>
      </c>
      <c r="P891" t="s">
        <v>454</v>
      </c>
    </row>
    <row r="892">
      <c r="A892">
        <f>HYPERLINK("http://bombeiros.sp.gov.br/hidrantes/03individual/854.html","854")</f>
      </c>
      <c r="B892" t="s">
        <v>454</v>
      </c>
      <c r="C892" t="s">
        <v>594</v>
      </c>
      <c r="D892" t="s">
        <v>595</v>
      </c>
      <c r="E892" t="s">
        <v>15</v>
      </c>
      <c r="F892" t="s">
        <v>9204</v>
      </c>
      <c r="G892" t="s">
        <v>18067</v>
      </c>
      <c r="H892" t="s">
        <v>1121</v>
      </c>
      <c r="I892" t="s">
        <v>1117</v>
      </c>
      <c r="J892" t="s">
        <v>9205</v>
      </c>
      <c r="K892" t="s">
        <v>9206</v>
      </c>
      <c r="L892" t="s">
        <v>21</v>
      </c>
      <c r="M892" t="s">
        <v>19177</v>
      </c>
      <c r="N892" t="s">
        <v>594</v>
      </c>
      <c r="O892" t="s">
        <v>531</v>
      </c>
      <c r="P892" t="s">
        <v>454</v>
      </c>
    </row>
    <row r="893">
      <c r="A893">
        <f>HYPERLINK("http://bombeiros.sp.gov.br/hidrantes/03individual/928.html","928")</f>
      </c>
      <c r="B893" t="s">
        <v>454</v>
      </c>
      <c r="C893" t="s">
        <v>594</v>
      </c>
      <c r="D893" t="s">
        <v>595</v>
      </c>
      <c r="E893" t="s">
        <v>15</v>
      </c>
      <c r="F893" t="s">
        <v>9207</v>
      </c>
      <c r="G893" t="s">
        <v>18258</v>
      </c>
      <c r="H893" t="s">
        <v>1112</v>
      </c>
      <c r="I893" t="s">
        <v>1108</v>
      </c>
      <c r="J893" t="s">
        <v>9208</v>
      </c>
      <c r="K893" t="s">
        <v>9209</v>
      </c>
      <c r="L893" t="s">
        <v>21</v>
      </c>
      <c r="M893" t="s">
        <v>19177</v>
      </c>
      <c r="N893" t="s">
        <v>594</v>
      </c>
      <c r="O893" t="s">
        <v>531</v>
      </c>
      <c r="P893" t="s">
        <v>454</v>
      </c>
    </row>
    <row r="894">
      <c r="A894">
        <f>HYPERLINK("http://bombeiros.sp.gov.br/hidrantes/03individual/2966.html","2966")</f>
      </c>
      <c r="B894" t="s">
        <v>454</v>
      </c>
      <c r="C894" t="s">
        <v>594</v>
      </c>
      <c r="D894" t="s">
        <v>595</v>
      </c>
      <c r="E894" t="s">
        <v>15</v>
      </c>
      <c r="F894" t="s">
        <v>9213</v>
      </c>
      <c r="G894" t="s">
        <v>18133</v>
      </c>
      <c r="H894" t="s">
        <v>1112</v>
      </c>
      <c r="I894" t="s">
        <v>1108</v>
      </c>
      <c r="J894" t="s">
        <v>9214</v>
      </c>
      <c r="K894" t="s">
        <v>9215</v>
      </c>
      <c r="L894" t="s">
        <v>36</v>
      </c>
      <c r="M894" t="s">
        <v>19177</v>
      </c>
      <c r="N894" t="s">
        <v>594</v>
      </c>
      <c r="O894" t="s">
        <v>531</v>
      </c>
      <c r="P894" t="s">
        <v>454</v>
      </c>
    </row>
    <row r="895">
      <c r="A895">
        <f>HYPERLINK("http://bombeiros.sp.gov.br/hidrantes/03individual/2973.html","2973")</f>
      </c>
      <c r="B895" t="s">
        <v>454</v>
      </c>
      <c r="C895" t="s">
        <v>594</v>
      </c>
      <c r="D895" t="s">
        <v>595</v>
      </c>
      <c r="E895" t="s">
        <v>15</v>
      </c>
      <c r="F895" t="s">
        <v>9216</v>
      </c>
      <c r="G895" t="s">
        <v>18193</v>
      </c>
      <c r="H895" t="s">
        <v>1112</v>
      </c>
      <c r="I895" t="s">
        <v>1108</v>
      </c>
      <c r="J895" t="s">
        <v>9217</v>
      </c>
      <c r="K895" t="s">
        <v>9218</v>
      </c>
      <c r="L895" t="s">
        <v>36</v>
      </c>
      <c r="M895" t="s">
        <v>19177</v>
      </c>
      <c r="N895" t="s">
        <v>594</v>
      </c>
      <c r="O895" t="s">
        <v>531</v>
      </c>
      <c r="P895" t="s">
        <v>454</v>
      </c>
    </row>
    <row r="896">
      <c r="A896">
        <f>HYPERLINK("http://bombeiros.sp.gov.br/hidrantes/03individual/3009.html","3009")</f>
      </c>
      <c r="B896" t="s">
        <v>454</v>
      </c>
      <c r="C896" t="s">
        <v>594</v>
      </c>
      <c r="D896" t="s">
        <v>595</v>
      </c>
      <c r="E896" t="s">
        <v>15</v>
      </c>
      <c r="F896" t="s">
        <v>9222</v>
      </c>
      <c r="G896" t="s">
        <v>18471</v>
      </c>
      <c r="H896" t="s">
        <v>1107</v>
      </c>
      <c r="I896" t="s">
        <v>1108</v>
      </c>
      <c r="J896" t="s">
        <v>9223</v>
      </c>
      <c r="K896" t="s">
        <v>9224</v>
      </c>
      <c r="L896" t="s">
        <v>21</v>
      </c>
      <c r="M896" t="s">
        <v>19177</v>
      </c>
      <c r="N896" t="s">
        <v>594</v>
      </c>
      <c r="O896" t="s">
        <v>531</v>
      </c>
      <c r="P896" t="s">
        <v>454</v>
      </c>
    </row>
    <row r="897">
      <c r="A897">
        <f>HYPERLINK("http://bombeiros.sp.gov.br/hidrantes/03individual/3101.html","3101")</f>
      </c>
      <c r="B897" t="s">
        <v>454</v>
      </c>
      <c r="C897" t="s">
        <v>594</v>
      </c>
      <c r="D897" t="s">
        <v>595</v>
      </c>
      <c r="E897" t="s">
        <v>15</v>
      </c>
      <c r="F897" t="s">
        <v>9225</v>
      </c>
      <c r="G897" t="s">
        <v>18143</v>
      </c>
      <c r="H897" t="s">
        <v>1107</v>
      </c>
      <c r="I897" t="s">
        <v>1108</v>
      </c>
      <c r="J897" t="s">
        <v>9226</v>
      </c>
      <c r="K897" t="s">
        <v>9227</v>
      </c>
      <c r="L897" t="s">
        <v>36</v>
      </c>
      <c r="M897" t="s">
        <v>19177</v>
      </c>
      <c r="N897" t="s">
        <v>594</v>
      </c>
      <c r="O897" t="s">
        <v>531</v>
      </c>
      <c r="P897" t="s">
        <v>454</v>
      </c>
    </row>
    <row r="898">
      <c r="A898">
        <f>HYPERLINK("http://bombeiros.sp.gov.br/hidrantes/03individual/3186.html","3186")</f>
      </c>
      <c r="B898" t="s">
        <v>454</v>
      </c>
      <c r="C898" t="s">
        <v>594</v>
      </c>
      <c r="D898" t="s">
        <v>595</v>
      </c>
      <c r="E898" t="s">
        <v>15</v>
      </c>
      <c r="F898" t="s">
        <v>9231</v>
      </c>
      <c r="G898" t="s">
        <v>18133</v>
      </c>
      <c r="H898" t="s">
        <v>1112</v>
      </c>
      <c r="I898" t="s">
        <v>1108</v>
      </c>
      <c r="J898" t="s">
        <v>9232</v>
      </c>
      <c r="K898" t="s">
        <v>9233</v>
      </c>
      <c r="L898" t="s">
        <v>21</v>
      </c>
      <c r="M898" t="s">
        <v>19177</v>
      </c>
      <c r="N898" t="s">
        <v>594</v>
      </c>
      <c r="O898" t="s">
        <v>531</v>
      </c>
      <c r="P898" t="s">
        <v>454</v>
      </c>
    </row>
    <row r="899">
      <c r="A899">
        <f>HYPERLINK("http://bombeiros.sp.gov.br/hidrantes/03individual/3232.html","3232")</f>
      </c>
      <c r="B899" t="s">
        <v>454</v>
      </c>
      <c r="C899" t="s">
        <v>594</v>
      </c>
      <c r="D899" t="s">
        <v>595</v>
      </c>
      <c r="E899" t="s">
        <v>15</v>
      </c>
      <c r="F899" t="s">
        <v>9237</v>
      </c>
      <c r="G899" t="s">
        <v>18089</v>
      </c>
      <c r="H899" t="s">
        <v>1107</v>
      </c>
      <c r="I899" t="s">
        <v>1108</v>
      </c>
      <c r="J899" t="s">
        <v>9238</v>
      </c>
      <c r="K899" t="s">
        <v>9239</v>
      </c>
      <c r="L899" t="s">
        <v>36</v>
      </c>
      <c r="M899" t="s">
        <v>19177</v>
      </c>
      <c r="N899" t="s">
        <v>594</v>
      </c>
      <c r="O899" t="s">
        <v>531</v>
      </c>
      <c r="P899" t="s">
        <v>454</v>
      </c>
    </row>
    <row r="900">
      <c r="A900">
        <f>HYPERLINK("http://bombeiros.sp.gov.br/hidrantes/03individual/3235.html","3235")</f>
      </c>
      <c r="B900" t="s">
        <v>454</v>
      </c>
      <c r="C900" t="s">
        <v>594</v>
      </c>
      <c r="D900" t="s">
        <v>595</v>
      </c>
      <c r="E900" t="s">
        <v>15</v>
      </c>
      <c r="F900" t="s">
        <v>9240</v>
      </c>
      <c r="G900" t="s">
        <v>18076</v>
      </c>
      <c r="H900" t="s">
        <v>1107</v>
      </c>
      <c r="I900" t="s">
        <v>1108</v>
      </c>
      <c r="J900" t="s">
        <v>9241</v>
      </c>
      <c r="K900" t="s">
        <v>9242</v>
      </c>
      <c r="L900" t="s">
        <v>21</v>
      </c>
      <c r="M900" t="s">
        <v>19177</v>
      </c>
      <c r="N900" t="s">
        <v>594</v>
      </c>
      <c r="O900" t="s">
        <v>531</v>
      </c>
      <c r="P900" t="s">
        <v>454</v>
      </c>
    </row>
    <row r="901">
      <c r="A901">
        <f>HYPERLINK("http://bombeiros.sp.gov.br/hidrantes/03individual/17714.html","17714")</f>
      </c>
      <c r="B901" t="s">
        <v>454</v>
      </c>
      <c r="C901" t="s">
        <v>594</v>
      </c>
      <c r="D901" t="s">
        <v>595</v>
      </c>
      <c r="E901" t="s">
        <v>15</v>
      </c>
      <c r="F901" t="s">
        <v>9255</v>
      </c>
      <c r="G901" t="s">
        <v>18193</v>
      </c>
      <c r="H901" t="s">
        <v>1112</v>
      </c>
      <c r="I901" t="s">
        <v>1117</v>
      </c>
      <c r="J901" t="s">
        <v>9256</v>
      </c>
      <c r="K901" t="s">
        <v>9257</v>
      </c>
      <c r="L901" t="s">
        <v>21</v>
      </c>
      <c r="M901" t="s">
        <v>19177</v>
      </c>
      <c r="N901" t="s">
        <v>594</v>
      </c>
      <c r="O901" t="s">
        <v>531</v>
      </c>
      <c r="P901" t="s">
        <v>454</v>
      </c>
    </row>
    <row r="902">
      <c r="A902">
        <f>HYPERLINK("http://bombeiros.sp.gov.br/hidrantes/03individual/26793.html","26793")</f>
      </c>
      <c r="B902" t="s">
        <v>454</v>
      </c>
      <c r="C902" t="s">
        <v>594</v>
      </c>
      <c r="D902" t="s">
        <v>595</v>
      </c>
      <c r="E902" t="s">
        <v>15</v>
      </c>
      <c r="F902" t="s">
        <v>15830</v>
      </c>
      <c r="G902" t="s">
        <v>18133</v>
      </c>
      <c r="H902" t="s">
        <v>1112</v>
      </c>
      <c r="I902" t="s">
        <v>1108</v>
      </c>
      <c r="J902" t="s">
        <v>15831</v>
      </c>
      <c r="K902" t="s">
        <v>15832</v>
      </c>
      <c r="L902" t="s">
        <v>21</v>
      </c>
      <c r="M902" t="s">
        <v>19177</v>
      </c>
      <c r="N902" t="s">
        <v>594</v>
      </c>
      <c r="O902" t="s">
        <v>531</v>
      </c>
      <c r="P902" t="s">
        <v>454</v>
      </c>
    </row>
    <row r="903">
      <c r="A903">
        <f>HYPERLINK("http://bombeiros.sp.gov.br/hidrantes/03individual/26892.html","26892")</f>
      </c>
      <c r="B903" t="s">
        <v>454</v>
      </c>
      <c r="C903" t="s">
        <v>594</v>
      </c>
      <c r="D903" t="s">
        <v>595</v>
      </c>
      <c r="E903" t="s">
        <v>15</v>
      </c>
      <c r="F903" t="s">
        <v>16312</v>
      </c>
      <c r="G903" t="s">
        <v>18089</v>
      </c>
      <c r="H903" t="s">
        <v>1107</v>
      </c>
      <c r="I903" t="s">
        <v>1108</v>
      </c>
      <c r="J903" t="s">
        <v>16313</v>
      </c>
      <c r="K903" t="s">
        <v>16314</v>
      </c>
      <c r="L903" t="s">
        <v>21</v>
      </c>
      <c r="M903" t="s">
        <v>19177</v>
      </c>
      <c r="N903" t="s">
        <v>594</v>
      </c>
      <c r="O903" t="s">
        <v>531</v>
      </c>
      <c r="P903" t="s">
        <v>454</v>
      </c>
    </row>
    <row r="904">
      <c r="A904">
        <f>HYPERLINK("http://bombeiros.sp.gov.br/hidrantes/03individual/803.html","803")</f>
      </c>
      <c r="B904" t="s">
        <v>454</v>
      </c>
      <c r="C904" t="s">
        <v>594</v>
      </c>
      <c r="D904" t="s">
        <v>600</v>
      </c>
      <c r="E904" t="s">
        <v>64</v>
      </c>
      <c r="F904" t="s">
        <v>9264</v>
      </c>
      <c r="G904" t="s">
        <v>18066</v>
      </c>
      <c r="H904" t="s">
        <v>1107</v>
      </c>
      <c r="I904" t="s">
        <v>1108</v>
      </c>
      <c r="J904" t="s">
        <v>17526</v>
      </c>
      <c r="K904" t="s">
        <v>17527</v>
      </c>
      <c r="L904" t="s">
        <v>36</v>
      </c>
      <c r="M904" t="s">
        <v>19177</v>
      </c>
      <c r="N904" t="s">
        <v>594</v>
      </c>
      <c r="O904" t="s">
        <v>531</v>
      </c>
      <c r="P904" t="s">
        <v>454</v>
      </c>
    </row>
    <row r="905">
      <c r="A905">
        <f>HYPERLINK("http://bombeiros.sp.gov.br/hidrantes/03individual/3241.html","3241")</f>
      </c>
      <c r="B905" t="s">
        <v>454</v>
      </c>
      <c r="C905" t="s">
        <v>594</v>
      </c>
      <c r="D905" t="s">
        <v>600</v>
      </c>
      <c r="E905" t="s">
        <v>64</v>
      </c>
      <c r="F905" t="s">
        <v>9270</v>
      </c>
      <c r="G905" t="s">
        <v>18074</v>
      </c>
      <c r="H905" t="s">
        <v>1107</v>
      </c>
      <c r="I905" t="s">
        <v>1108</v>
      </c>
      <c r="J905" t="s">
        <v>9271</v>
      </c>
      <c r="K905" t="s">
        <v>9272</v>
      </c>
      <c r="L905" t="s">
        <v>36</v>
      </c>
      <c r="M905" t="s">
        <v>19177</v>
      </c>
      <c r="N905" t="s">
        <v>594</v>
      </c>
      <c r="O905" t="s">
        <v>531</v>
      </c>
      <c r="P905" t="s">
        <v>454</v>
      </c>
    </row>
    <row r="906">
      <c r="A906">
        <f>HYPERLINK("http://bombeiros.sp.gov.br/hidrantes/03individual/3283.html","3283")</f>
      </c>
      <c r="B906" t="s">
        <v>454</v>
      </c>
      <c r="C906" t="s">
        <v>594</v>
      </c>
      <c r="D906" t="s">
        <v>600</v>
      </c>
      <c r="E906" t="s">
        <v>64</v>
      </c>
      <c r="F906" t="s">
        <v>9273</v>
      </c>
      <c r="G906" t="s">
        <v>18055</v>
      </c>
      <c r="H906" t="s">
        <v>1112</v>
      </c>
      <c r="I906" t="s">
        <v>1108</v>
      </c>
      <c r="J906" t="s">
        <v>9274</v>
      </c>
      <c r="K906" t="s">
        <v>9275</v>
      </c>
      <c r="L906" t="s">
        <v>36</v>
      </c>
      <c r="M906" t="s">
        <v>19177</v>
      </c>
      <c r="N906" t="s">
        <v>594</v>
      </c>
      <c r="O906" t="s">
        <v>531</v>
      </c>
      <c r="P906" t="s">
        <v>454</v>
      </c>
    </row>
    <row r="907">
      <c r="A907">
        <f>HYPERLINK("http://bombeiros.sp.gov.br/hidrantes/03individual/3224.html","3224")</f>
      </c>
      <c r="B907" t="s">
        <v>454</v>
      </c>
      <c r="C907" t="s">
        <v>594</v>
      </c>
      <c r="D907" t="s">
        <v>600</v>
      </c>
      <c r="E907" t="s">
        <v>15</v>
      </c>
      <c r="F907" t="s">
        <v>9300</v>
      </c>
      <c r="G907" t="s">
        <v>18074</v>
      </c>
      <c r="H907" t="s">
        <v>1112</v>
      </c>
      <c r="I907" t="s">
        <v>1108</v>
      </c>
      <c r="J907" t="s">
        <v>9301</v>
      </c>
      <c r="K907" t="s">
        <v>9302</v>
      </c>
      <c r="L907" t="s">
        <v>21</v>
      </c>
      <c r="M907" t="s">
        <v>19177</v>
      </c>
      <c r="N907" t="s">
        <v>594</v>
      </c>
      <c r="O907" t="s">
        <v>531</v>
      </c>
      <c r="P907" t="s">
        <v>454</v>
      </c>
    </row>
    <row r="908">
      <c r="A908">
        <f>HYPERLINK("http://bombeiros.sp.gov.br/hidrantes/03individual/3254.html","3254")</f>
      </c>
      <c r="B908" t="s">
        <v>454</v>
      </c>
      <c r="C908" t="s">
        <v>594</v>
      </c>
      <c r="D908" t="s">
        <v>600</v>
      </c>
      <c r="E908" t="s">
        <v>15</v>
      </c>
      <c r="F908" t="s">
        <v>9315</v>
      </c>
      <c r="G908" t="s">
        <v>18074</v>
      </c>
      <c r="H908" t="s">
        <v>1107</v>
      </c>
      <c r="I908" t="s">
        <v>1108</v>
      </c>
      <c r="J908" t="s">
        <v>9316</v>
      </c>
      <c r="K908" t="s">
        <v>9317</v>
      </c>
      <c r="L908" t="s">
        <v>21</v>
      </c>
      <c r="M908" t="s">
        <v>19177</v>
      </c>
      <c r="N908" t="s">
        <v>594</v>
      </c>
      <c r="O908" t="s">
        <v>531</v>
      </c>
      <c r="P908" t="s">
        <v>454</v>
      </c>
    </row>
    <row r="909">
      <c r="A909">
        <f>HYPERLINK("http://bombeiros.sp.gov.br/hidrantes/03individual/3259.html","3259")</f>
      </c>
      <c r="B909" t="s">
        <v>454</v>
      </c>
      <c r="C909" t="s">
        <v>594</v>
      </c>
      <c r="D909" t="s">
        <v>600</v>
      </c>
      <c r="E909" t="s">
        <v>15</v>
      </c>
      <c r="F909" t="s">
        <v>9321</v>
      </c>
      <c r="G909" t="s">
        <v>18089</v>
      </c>
      <c r="H909" t="s">
        <v>1107</v>
      </c>
      <c r="I909" t="s">
        <v>1108</v>
      </c>
      <c r="J909" t="s">
        <v>9322</v>
      </c>
      <c r="K909" t="s">
        <v>9323</v>
      </c>
      <c r="L909" t="s">
        <v>21</v>
      </c>
      <c r="M909" t="s">
        <v>19177</v>
      </c>
      <c r="N909" t="s">
        <v>594</v>
      </c>
      <c r="O909" t="s">
        <v>531</v>
      </c>
      <c r="P909" t="s">
        <v>454</v>
      </c>
    </row>
    <row r="910">
      <c r="A910">
        <f>HYPERLINK("http://bombeiros.sp.gov.br/hidrantes/03individual/3261.html","3261")</f>
      </c>
      <c r="B910" t="s">
        <v>454</v>
      </c>
      <c r="C910" t="s">
        <v>594</v>
      </c>
      <c r="D910" t="s">
        <v>600</v>
      </c>
      <c r="E910" t="s">
        <v>15</v>
      </c>
      <c r="F910" t="s">
        <v>9324</v>
      </c>
      <c r="G910" t="s">
        <v>18117</v>
      </c>
      <c r="H910" t="s">
        <v>1107</v>
      </c>
      <c r="I910" t="s">
        <v>1108</v>
      </c>
      <c r="J910" t="s">
        <v>9325</v>
      </c>
      <c r="K910" t="s">
        <v>9326</v>
      </c>
      <c r="L910" t="s">
        <v>21</v>
      </c>
      <c r="M910" t="s">
        <v>19177</v>
      </c>
      <c r="N910" t="s">
        <v>594</v>
      </c>
      <c r="O910" t="s">
        <v>531</v>
      </c>
      <c r="P910" t="s">
        <v>454</v>
      </c>
    </row>
    <row r="911">
      <c r="A911">
        <f>HYPERLINK("http://bombeiros.sp.gov.br/hidrantes/03individual/3263.html","3263")</f>
      </c>
      <c r="B911" t="s">
        <v>454</v>
      </c>
      <c r="C911" t="s">
        <v>594</v>
      </c>
      <c r="D911" t="s">
        <v>600</v>
      </c>
      <c r="E911" t="s">
        <v>15</v>
      </c>
      <c r="F911" t="s">
        <v>9330</v>
      </c>
      <c r="G911" t="s">
        <v>18117</v>
      </c>
      <c r="H911" t="s">
        <v>1107</v>
      </c>
      <c r="I911" t="s">
        <v>1108</v>
      </c>
      <c r="J911" t="s">
        <v>9331</v>
      </c>
      <c r="K911" t="s">
        <v>9332</v>
      </c>
      <c r="L911" t="s">
        <v>21</v>
      </c>
      <c r="M911" t="s">
        <v>19177</v>
      </c>
      <c r="N911" t="s">
        <v>594</v>
      </c>
      <c r="O911" t="s">
        <v>531</v>
      </c>
      <c r="P911" t="s">
        <v>454</v>
      </c>
    </row>
    <row r="912">
      <c r="A912">
        <f>HYPERLINK("http://bombeiros.sp.gov.br/hidrantes/03individual/1037.html","1037")</f>
      </c>
      <c r="B912" t="s">
        <v>454</v>
      </c>
      <c r="C912" t="s">
        <v>594</v>
      </c>
      <c r="D912" t="s">
        <v>594</v>
      </c>
      <c r="E912" t="s">
        <v>64</v>
      </c>
      <c r="F912" t="s">
        <v>9343</v>
      </c>
      <c r="G912" t="s">
        <v>18483</v>
      </c>
      <c r="H912" t="s">
        <v>1112</v>
      </c>
      <c r="I912" t="s">
        <v>1108</v>
      </c>
      <c r="J912" t="s">
        <v>9344</v>
      </c>
      <c r="K912" t="s">
        <v>9345</v>
      </c>
      <c r="L912" t="s">
        <v>36</v>
      </c>
      <c r="M912" t="s">
        <v>19177</v>
      </c>
      <c r="N912" t="s">
        <v>594</v>
      </c>
      <c r="O912" t="s">
        <v>531</v>
      </c>
      <c r="P912" t="s">
        <v>454</v>
      </c>
    </row>
    <row r="913">
      <c r="A913">
        <f>HYPERLINK("http://bombeiros.sp.gov.br/hidrantes/03individual/1043.html","1043")</f>
      </c>
      <c r="B913" t="s">
        <v>454</v>
      </c>
      <c r="C913" t="s">
        <v>594</v>
      </c>
      <c r="D913" t="s">
        <v>594</v>
      </c>
      <c r="E913" t="s">
        <v>64</v>
      </c>
      <c r="F913" t="s">
        <v>9355</v>
      </c>
      <c r="G913" t="s">
        <v>18126</v>
      </c>
      <c r="H913" t="s">
        <v>1112</v>
      </c>
      <c r="I913" t="s">
        <v>1108</v>
      </c>
      <c r="J913" t="s">
        <v>9356</v>
      </c>
      <c r="K913" t="s">
        <v>9357</v>
      </c>
      <c r="L913" t="s">
        <v>36</v>
      </c>
      <c r="M913" t="s">
        <v>19177</v>
      </c>
      <c r="N913" t="s">
        <v>594</v>
      </c>
      <c r="O913" t="s">
        <v>531</v>
      </c>
      <c r="P913" t="s">
        <v>454</v>
      </c>
    </row>
    <row r="914">
      <c r="A914">
        <f>HYPERLINK("http://bombeiros.sp.gov.br/hidrantes/03individual/3091.html","3091")</f>
      </c>
      <c r="B914" t="s">
        <v>454</v>
      </c>
      <c r="C914" t="s">
        <v>594</v>
      </c>
      <c r="D914" t="s">
        <v>594</v>
      </c>
      <c r="E914" t="s">
        <v>64</v>
      </c>
      <c r="F914" t="s">
        <v>9358</v>
      </c>
      <c r="G914" t="s">
        <v>18103</v>
      </c>
      <c r="H914" t="s">
        <v>1121</v>
      </c>
      <c r="I914" t="s">
        <v>1117</v>
      </c>
      <c r="J914" t="s">
        <v>9359</v>
      </c>
      <c r="K914" t="s">
        <v>9360</v>
      </c>
      <c r="L914" t="s">
        <v>21</v>
      </c>
      <c r="M914" t="s">
        <v>19177</v>
      </c>
      <c r="N914" t="s">
        <v>594</v>
      </c>
      <c r="O914" t="s">
        <v>531</v>
      </c>
      <c r="P914" t="s">
        <v>454</v>
      </c>
    </row>
    <row r="915">
      <c r="A915">
        <f>HYPERLINK("http://bombeiros.sp.gov.br/hidrantes/03individual/3165.html","3165")</f>
      </c>
      <c r="B915" t="s">
        <v>454</v>
      </c>
      <c r="C915" t="s">
        <v>594</v>
      </c>
      <c r="D915" t="s">
        <v>594</v>
      </c>
      <c r="E915" t="s">
        <v>64</v>
      </c>
      <c r="F915" t="s">
        <v>9361</v>
      </c>
      <c r="G915" t="s">
        <v>18103</v>
      </c>
      <c r="H915" t="s">
        <v>1107</v>
      </c>
      <c r="I915" t="s">
        <v>1108</v>
      </c>
      <c r="J915" t="s">
        <v>9362</v>
      </c>
      <c r="K915" t="s">
        <v>9363</v>
      </c>
      <c r="L915" t="s">
        <v>36</v>
      </c>
      <c r="M915" t="s">
        <v>19177</v>
      </c>
      <c r="N915" t="s">
        <v>594</v>
      </c>
      <c r="O915" t="s">
        <v>531</v>
      </c>
      <c r="P915" t="s">
        <v>454</v>
      </c>
    </row>
    <row r="916">
      <c r="A916">
        <f>HYPERLINK("http://bombeiros.sp.gov.br/hidrantes/03individual/618.html","618")</f>
      </c>
      <c r="B916" t="s">
        <v>454</v>
      </c>
      <c r="C916" t="s">
        <v>594</v>
      </c>
      <c r="D916" t="s">
        <v>594</v>
      </c>
      <c r="E916" t="s">
        <v>15</v>
      </c>
      <c r="F916" t="s">
        <v>9379</v>
      </c>
      <c r="G916" t="s">
        <v>18126</v>
      </c>
      <c r="H916" t="s">
        <v>1112</v>
      </c>
      <c r="I916" t="s">
        <v>1108</v>
      </c>
      <c r="J916" t="s">
        <v>9380</v>
      </c>
      <c r="K916" t="s">
        <v>9381</v>
      </c>
      <c r="L916" t="s">
        <v>21</v>
      </c>
      <c r="M916" t="s">
        <v>19177</v>
      </c>
      <c r="N916" t="s">
        <v>594</v>
      </c>
      <c r="O916" t="s">
        <v>531</v>
      </c>
      <c r="P916" t="s">
        <v>454</v>
      </c>
    </row>
    <row r="917">
      <c r="A917">
        <f>HYPERLINK("http://bombeiros.sp.gov.br/hidrantes/03individual/632.html","632")</f>
      </c>
      <c r="B917" t="s">
        <v>454</v>
      </c>
      <c r="C917" t="s">
        <v>594</v>
      </c>
      <c r="D917" t="s">
        <v>594</v>
      </c>
      <c r="E917" t="s">
        <v>15</v>
      </c>
      <c r="F917" t="s">
        <v>9382</v>
      </c>
      <c r="G917" t="s">
        <v>18048</v>
      </c>
      <c r="H917" t="s">
        <v>1112</v>
      </c>
      <c r="I917" t="s">
        <v>1108</v>
      </c>
      <c r="J917" t="s">
        <v>9383</v>
      </c>
      <c r="K917" t="s">
        <v>9384</v>
      </c>
      <c r="L917" t="s">
        <v>21</v>
      </c>
      <c r="M917" t="s">
        <v>19177</v>
      </c>
      <c r="N917" t="s">
        <v>594</v>
      </c>
      <c r="O917" t="s">
        <v>531</v>
      </c>
      <c r="P917" t="s">
        <v>454</v>
      </c>
    </row>
    <row r="918">
      <c r="A918">
        <f>HYPERLINK("http://bombeiros.sp.gov.br/hidrantes/03individual/650.html","650")</f>
      </c>
      <c r="B918" t="s">
        <v>454</v>
      </c>
      <c r="C918" t="s">
        <v>594</v>
      </c>
      <c r="D918" t="s">
        <v>594</v>
      </c>
      <c r="E918" t="s">
        <v>15</v>
      </c>
      <c r="F918" t="s">
        <v>9394</v>
      </c>
      <c r="G918" t="s">
        <v>18194</v>
      </c>
      <c r="H918" t="s">
        <v>1107</v>
      </c>
      <c r="I918" t="s">
        <v>1108</v>
      </c>
      <c r="J918" t="s">
        <v>9395</v>
      </c>
      <c r="K918" t="s">
        <v>9396</v>
      </c>
      <c r="L918" t="s">
        <v>21</v>
      </c>
      <c r="M918" t="s">
        <v>19177</v>
      </c>
      <c r="N918" t="s">
        <v>594</v>
      </c>
      <c r="O918" t="s">
        <v>531</v>
      </c>
      <c r="P918" t="s">
        <v>454</v>
      </c>
    </row>
    <row r="919">
      <c r="A919">
        <f>HYPERLINK("http://bombeiros.sp.gov.br/hidrantes/03individual/767.html","767")</f>
      </c>
      <c r="B919" t="s">
        <v>454</v>
      </c>
      <c r="C919" t="s">
        <v>594</v>
      </c>
      <c r="D919" t="s">
        <v>594</v>
      </c>
      <c r="E919" t="s">
        <v>15</v>
      </c>
      <c r="F919" t="s">
        <v>9421</v>
      </c>
      <c r="G919" t="s">
        <v>18484</v>
      </c>
      <c r="H919" t="s">
        <v>1174</v>
      </c>
      <c r="I919" t="s">
        <v>1108</v>
      </c>
      <c r="J919" t="s">
        <v>9422</v>
      </c>
      <c r="K919" t="s">
        <v>9423</v>
      </c>
      <c r="L919" t="s">
        <v>21</v>
      </c>
      <c r="M919" t="s">
        <v>19177</v>
      </c>
      <c r="N919" t="s">
        <v>594</v>
      </c>
      <c r="O919" t="s">
        <v>531</v>
      </c>
      <c r="P919" t="s">
        <v>454</v>
      </c>
    </row>
    <row r="920">
      <c r="A920">
        <f>HYPERLINK("http://bombeiros.sp.gov.br/hidrantes/03individual/2994.html","2994")</f>
      </c>
      <c r="B920" t="s">
        <v>454</v>
      </c>
      <c r="C920" t="s">
        <v>594</v>
      </c>
      <c r="D920" t="s">
        <v>594</v>
      </c>
      <c r="E920" t="s">
        <v>15</v>
      </c>
      <c r="F920" t="s">
        <v>9430</v>
      </c>
      <c r="G920" t="s">
        <v>18072</v>
      </c>
      <c r="H920" t="s">
        <v>1107</v>
      </c>
      <c r="I920" t="s">
        <v>1108</v>
      </c>
      <c r="J920" t="s">
        <v>9431</v>
      </c>
      <c r="K920" t="s">
        <v>9432</v>
      </c>
      <c r="L920" t="s">
        <v>21</v>
      </c>
      <c r="M920" t="s">
        <v>19177</v>
      </c>
      <c r="N920" t="s">
        <v>594</v>
      </c>
      <c r="O920" t="s">
        <v>531</v>
      </c>
      <c r="P920" t="s">
        <v>454</v>
      </c>
    </row>
    <row r="921">
      <c r="A921">
        <f>HYPERLINK("http://bombeiros.sp.gov.br/hidrantes/03individual/3171.html","3171")</f>
      </c>
      <c r="B921" t="s">
        <v>454</v>
      </c>
      <c r="C921" t="s">
        <v>594</v>
      </c>
      <c r="D921" t="s">
        <v>594</v>
      </c>
      <c r="E921" t="s">
        <v>15</v>
      </c>
      <c r="F921" t="s">
        <v>604</v>
      </c>
      <c r="G921" t="s">
        <v>18067</v>
      </c>
      <c r="H921" t="s">
        <v>1107</v>
      </c>
      <c r="I921" t="s">
        <v>1108</v>
      </c>
      <c r="J921" t="s">
        <v>605</v>
      </c>
      <c r="K921" t="s">
        <v>606</v>
      </c>
      <c r="L921" t="s">
        <v>21</v>
      </c>
      <c r="M921" t="s">
        <v>19177</v>
      </c>
      <c r="N921" t="s">
        <v>594</v>
      </c>
      <c r="O921" t="s">
        <v>531</v>
      </c>
      <c r="P921" t="s">
        <v>454</v>
      </c>
    </row>
    <row r="922">
      <c r="A922">
        <f>HYPERLINK("http://bombeiros.sp.gov.br/hidrantes/03individual/540.html","540")</f>
      </c>
      <c r="B922" t="s">
        <v>454</v>
      </c>
      <c r="C922" t="s">
        <v>611</v>
      </c>
      <c r="D922" t="s">
        <v>612</v>
      </c>
      <c r="E922" t="s">
        <v>15</v>
      </c>
      <c r="F922" t="s">
        <v>9457</v>
      </c>
      <c r="G922" t="s">
        <v>18205</v>
      </c>
      <c r="H922" t="s">
        <v>1112</v>
      </c>
      <c r="I922" t="s">
        <v>1108</v>
      </c>
      <c r="J922" t="s">
        <v>9458</v>
      </c>
      <c r="K922" t="s">
        <v>9459</v>
      </c>
      <c r="L922" t="s">
        <v>21</v>
      </c>
      <c r="M922" t="s">
        <v>19177</v>
      </c>
      <c r="N922" t="s">
        <v>594</v>
      </c>
      <c r="O922" t="s">
        <v>531</v>
      </c>
      <c r="P922" t="s">
        <v>454</v>
      </c>
    </row>
    <row r="923">
      <c r="A923">
        <f>HYPERLINK("http://bombeiros.sp.gov.br/hidrantes/03individual/542.html","542")</f>
      </c>
      <c r="B923" t="s">
        <v>454</v>
      </c>
      <c r="C923" t="s">
        <v>611</v>
      </c>
      <c r="D923" t="s">
        <v>612</v>
      </c>
      <c r="E923" t="s">
        <v>15</v>
      </c>
      <c r="F923" t="s">
        <v>9463</v>
      </c>
      <c r="G923" t="s">
        <v>18207</v>
      </c>
      <c r="H923" t="s">
        <v>1112</v>
      </c>
      <c r="I923" t="s">
        <v>1108</v>
      </c>
      <c r="J923" t="s">
        <v>9464</v>
      </c>
      <c r="K923" t="s">
        <v>9465</v>
      </c>
      <c r="L923" t="s">
        <v>21</v>
      </c>
      <c r="M923" t="s">
        <v>19177</v>
      </c>
      <c r="N923" t="s">
        <v>594</v>
      </c>
      <c r="O923" t="s">
        <v>531</v>
      </c>
      <c r="P923" t="s">
        <v>454</v>
      </c>
    </row>
    <row r="924">
      <c r="A924">
        <f>HYPERLINK("http://bombeiros.sp.gov.br/hidrantes/03individual/545.html","545")</f>
      </c>
      <c r="B924" t="s">
        <v>454</v>
      </c>
      <c r="C924" t="s">
        <v>611</v>
      </c>
      <c r="D924" t="s">
        <v>612</v>
      </c>
      <c r="E924" t="s">
        <v>15</v>
      </c>
      <c r="F924" t="s">
        <v>9466</v>
      </c>
      <c r="G924" t="s">
        <v>18076</v>
      </c>
      <c r="H924" t="s">
        <v>1107</v>
      </c>
      <c r="I924" t="s">
        <v>1108</v>
      </c>
      <c r="J924" t="s">
        <v>9467</v>
      </c>
      <c r="K924" t="s">
        <v>9468</v>
      </c>
      <c r="L924" t="s">
        <v>21</v>
      </c>
      <c r="M924" t="s">
        <v>19177</v>
      </c>
      <c r="N924" t="s">
        <v>594</v>
      </c>
      <c r="O924" t="s">
        <v>531</v>
      </c>
      <c r="P924" t="s">
        <v>454</v>
      </c>
    </row>
    <row r="925">
      <c r="A925">
        <f>HYPERLINK("http://bombeiros.sp.gov.br/hidrantes/03individual/571.html","571")</f>
      </c>
      <c r="B925" t="s">
        <v>454</v>
      </c>
      <c r="C925" t="s">
        <v>611</v>
      </c>
      <c r="D925" t="s">
        <v>612</v>
      </c>
      <c r="E925" t="s">
        <v>15</v>
      </c>
      <c r="F925" t="s">
        <v>9469</v>
      </c>
      <c r="G925" t="s">
        <v>18205</v>
      </c>
      <c r="H925" t="s">
        <v>1112</v>
      </c>
      <c r="I925" t="s">
        <v>1108</v>
      </c>
      <c r="J925" t="s">
        <v>9470</v>
      </c>
      <c r="K925" t="s">
        <v>9471</v>
      </c>
      <c r="L925" t="s">
        <v>21</v>
      </c>
      <c r="M925" t="s">
        <v>19177</v>
      </c>
      <c r="N925" t="s">
        <v>594</v>
      </c>
      <c r="O925" t="s">
        <v>531</v>
      </c>
      <c r="P925" t="s">
        <v>454</v>
      </c>
    </row>
    <row r="926">
      <c r="A926">
        <f>HYPERLINK("http://bombeiros.sp.gov.br/hidrantes/03individual/573.html","573")</f>
      </c>
      <c r="B926" t="s">
        <v>454</v>
      </c>
      <c r="C926" t="s">
        <v>611</v>
      </c>
      <c r="D926" t="s">
        <v>612</v>
      </c>
      <c r="E926" t="s">
        <v>15</v>
      </c>
      <c r="F926" t="s">
        <v>9472</v>
      </c>
      <c r="G926" t="s">
        <v>18076</v>
      </c>
      <c r="H926" t="s">
        <v>1107</v>
      </c>
      <c r="I926" t="s">
        <v>1108</v>
      </c>
      <c r="J926" t="s">
        <v>9473</v>
      </c>
      <c r="K926" t="s">
        <v>9474</v>
      </c>
      <c r="L926" t="s">
        <v>21</v>
      </c>
      <c r="M926" t="s">
        <v>19177</v>
      </c>
      <c r="N926" t="s">
        <v>594</v>
      </c>
      <c r="O926" t="s">
        <v>531</v>
      </c>
      <c r="P926" t="s">
        <v>454</v>
      </c>
    </row>
    <row r="927">
      <c r="A927">
        <f>HYPERLINK("http://bombeiros.sp.gov.br/hidrantes/03individual/758.html","758")</f>
      </c>
      <c r="B927" t="s">
        <v>454</v>
      </c>
      <c r="C927" t="s">
        <v>611</v>
      </c>
      <c r="D927" t="s">
        <v>612</v>
      </c>
      <c r="E927" t="s">
        <v>15</v>
      </c>
      <c r="F927" t="s">
        <v>9481</v>
      </c>
      <c r="G927" t="s">
        <v>18107</v>
      </c>
      <c r="H927" t="s">
        <v>1107</v>
      </c>
      <c r="I927" t="s">
        <v>1108</v>
      </c>
      <c r="J927" t="s">
        <v>9482</v>
      </c>
      <c r="K927" t="s">
        <v>9483</v>
      </c>
      <c r="L927" t="s">
        <v>21</v>
      </c>
      <c r="M927" t="s">
        <v>19177</v>
      </c>
      <c r="N927" t="s">
        <v>594</v>
      </c>
      <c r="O927" t="s">
        <v>531</v>
      </c>
      <c r="P927" t="s">
        <v>454</v>
      </c>
    </row>
    <row r="928">
      <c r="A928">
        <f>HYPERLINK("http://bombeiros.sp.gov.br/hidrantes/03individual/845.html","845")</f>
      </c>
      <c r="B928" t="s">
        <v>454</v>
      </c>
      <c r="C928" t="s">
        <v>611</v>
      </c>
      <c r="D928" t="s">
        <v>612</v>
      </c>
      <c r="E928" t="s">
        <v>15</v>
      </c>
      <c r="F928" t="s">
        <v>9484</v>
      </c>
      <c r="G928" t="s">
        <v>18076</v>
      </c>
      <c r="H928" t="s">
        <v>1107</v>
      </c>
      <c r="I928" t="s">
        <v>1108</v>
      </c>
      <c r="J928" t="s">
        <v>9485</v>
      </c>
      <c r="K928" t="s">
        <v>9486</v>
      </c>
      <c r="L928" t="s">
        <v>21</v>
      </c>
      <c r="M928" t="s">
        <v>19177</v>
      </c>
      <c r="N928" t="s">
        <v>594</v>
      </c>
      <c r="O928" t="s">
        <v>531</v>
      </c>
      <c r="P928" t="s">
        <v>454</v>
      </c>
    </row>
    <row r="929">
      <c r="A929">
        <f>HYPERLINK("http://bombeiros.sp.gov.br/hidrantes/03individual/3488.html","3488")</f>
      </c>
      <c r="B929" t="s">
        <v>454</v>
      </c>
      <c r="C929" t="s">
        <v>611</v>
      </c>
      <c r="D929" t="s">
        <v>612</v>
      </c>
      <c r="E929" t="s">
        <v>15</v>
      </c>
      <c r="F929" t="s">
        <v>9487</v>
      </c>
      <c r="G929" t="s">
        <v>18107</v>
      </c>
      <c r="H929" t="s">
        <v>1107</v>
      </c>
      <c r="I929" t="s">
        <v>1108</v>
      </c>
      <c r="J929" t="s">
        <v>9488</v>
      </c>
      <c r="K929" t="s">
        <v>9489</v>
      </c>
      <c r="L929" t="s">
        <v>21</v>
      </c>
      <c r="M929" t="s">
        <v>19177</v>
      </c>
      <c r="N929" t="s">
        <v>594</v>
      </c>
      <c r="O929" t="s">
        <v>531</v>
      </c>
      <c r="P929" t="s">
        <v>454</v>
      </c>
    </row>
    <row r="930">
      <c r="A930">
        <f>HYPERLINK("http://bombeiros.sp.gov.br/hidrantes/03individual/3503.html","3503")</f>
      </c>
      <c r="B930" t="s">
        <v>454</v>
      </c>
      <c r="C930" t="s">
        <v>611</v>
      </c>
      <c r="D930" t="s">
        <v>612</v>
      </c>
      <c r="E930" t="s">
        <v>15</v>
      </c>
      <c r="F930" t="s">
        <v>9490</v>
      </c>
      <c r="G930" t="s">
        <v>18073</v>
      </c>
      <c r="H930" t="s">
        <v>1107</v>
      </c>
      <c r="I930" t="s">
        <v>1108</v>
      </c>
      <c r="J930" t="s">
        <v>9491</v>
      </c>
      <c r="K930" t="s">
        <v>9492</v>
      </c>
      <c r="L930" t="s">
        <v>21</v>
      </c>
      <c r="M930" t="s">
        <v>19177</v>
      </c>
      <c r="N930" t="s">
        <v>594</v>
      </c>
      <c r="O930" t="s">
        <v>531</v>
      </c>
      <c r="P930" t="s">
        <v>454</v>
      </c>
    </row>
    <row r="931">
      <c r="A931">
        <f>HYPERLINK("http://bombeiros.sp.gov.br/hidrantes/03individual/3514.html","3514")</f>
      </c>
      <c r="B931" t="s">
        <v>454</v>
      </c>
      <c r="C931" t="s">
        <v>611</v>
      </c>
      <c r="D931" t="s">
        <v>612</v>
      </c>
      <c r="E931" t="s">
        <v>15</v>
      </c>
      <c r="F931" t="s">
        <v>9493</v>
      </c>
      <c r="G931" t="s">
        <v>18057</v>
      </c>
      <c r="H931" t="s">
        <v>1112</v>
      </c>
      <c r="I931" t="s">
        <v>1108</v>
      </c>
      <c r="J931" t="s">
        <v>9494</v>
      </c>
      <c r="K931" t="s">
        <v>9495</v>
      </c>
      <c r="L931" t="s">
        <v>21</v>
      </c>
      <c r="M931" t="s">
        <v>19177</v>
      </c>
      <c r="N931" t="s">
        <v>594</v>
      </c>
      <c r="O931" t="s">
        <v>531</v>
      </c>
      <c r="P931" t="s">
        <v>454</v>
      </c>
    </row>
    <row r="932">
      <c r="A932">
        <f>HYPERLINK("http://bombeiros.sp.gov.br/hidrantes/03individual/26791.html","26791")</f>
      </c>
      <c r="B932" t="s">
        <v>454</v>
      </c>
      <c r="C932" t="s">
        <v>611</v>
      </c>
      <c r="D932" t="s">
        <v>612</v>
      </c>
      <c r="E932" t="s">
        <v>15</v>
      </c>
      <c r="F932" t="s">
        <v>15823</v>
      </c>
      <c r="G932" t="s">
        <v>18207</v>
      </c>
      <c r="H932" t="s">
        <v>1107</v>
      </c>
      <c r="I932" t="s">
        <v>1108</v>
      </c>
      <c r="J932" t="s">
        <v>15824</v>
      </c>
      <c r="K932" t="s">
        <v>15825</v>
      </c>
      <c r="L932" t="s">
        <v>21</v>
      </c>
      <c r="M932" t="s">
        <v>19177</v>
      </c>
      <c r="N932" t="s">
        <v>594</v>
      </c>
      <c r="O932" t="s">
        <v>531</v>
      </c>
      <c r="P932" t="s">
        <v>454</v>
      </c>
    </row>
    <row r="933">
      <c r="A933">
        <f>HYPERLINK("http://bombeiros.sp.gov.br/hidrantes/03individual/3481.html","3481")</f>
      </c>
      <c r="B933" t="s">
        <v>454</v>
      </c>
      <c r="C933" t="s">
        <v>611</v>
      </c>
      <c r="D933" t="s">
        <v>611</v>
      </c>
      <c r="E933" t="s">
        <v>64</v>
      </c>
      <c r="F933" t="s">
        <v>9506</v>
      </c>
      <c r="G933" t="s">
        <v>18471</v>
      </c>
      <c r="H933" t="s">
        <v>1121</v>
      </c>
      <c r="I933" t="s">
        <v>1117</v>
      </c>
      <c r="J933" t="s">
        <v>9507</v>
      </c>
      <c r="K933" t="s">
        <v>9508</v>
      </c>
      <c r="L933" t="s">
        <v>36</v>
      </c>
      <c r="M933" t="s">
        <v>19177</v>
      </c>
      <c r="N933" t="s">
        <v>594</v>
      </c>
      <c r="O933" t="s">
        <v>531</v>
      </c>
      <c r="P933" t="s">
        <v>454</v>
      </c>
    </row>
    <row r="934">
      <c r="A934">
        <f>HYPERLINK("http://bombeiros.sp.gov.br/hidrantes/03individual/3482.html","3482")</f>
      </c>
      <c r="B934" t="s">
        <v>454</v>
      </c>
      <c r="C934" t="s">
        <v>611</v>
      </c>
      <c r="D934" t="s">
        <v>611</v>
      </c>
      <c r="E934" t="s">
        <v>64</v>
      </c>
      <c r="F934" t="s">
        <v>9509</v>
      </c>
      <c r="G934" t="s">
        <v>18205</v>
      </c>
      <c r="H934" t="s">
        <v>1112</v>
      </c>
      <c r="I934" t="s">
        <v>1108</v>
      </c>
      <c r="J934" t="s">
        <v>16201</v>
      </c>
      <c r="K934" t="s">
        <v>16202</v>
      </c>
      <c r="L934" t="s">
        <v>36</v>
      </c>
      <c r="M934" t="s">
        <v>19177</v>
      </c>
      <c r="N934" t="s">
        <v>594</v>
      </c>
      <c r="O934" t="s">
        <v>531</v>
      </c>
      <c r="P934" t="s">
        <v>454</v>
      </c>
    </row>
    <row r="935">
      <c r="A935">
        <f>HYPERLINK("http://bombeiros.sp.gov.br/hidrantes/03individual/539.html","539")</f>
      </c>
      <c r="B935" t="s">
        <v>454</v>
      </c>
      <c r="C935" t="s">
        <v>611</v>
      </c>
      <c r="D935" t="s">
        <v>611</v>
      </c>
      <c r="E935" t="s">
        <v>15</v>
      </c>
      <c r="F935" t="s">
        <v>9512</v>
      </c>
      <c r="G935" t="s">
        <v>18085</v>
      </c>
      <c r="H935" t="s">
        <v>1112</v>
      </c>
      <c r="I935" t="s">
        <v>1108</v>
      </c>
      <c r="J935" t="s">
        <v>9513</v>
      </c>
      <c r="K935" t="s">
        <v>9514</v>
      </c>
      <c r="L935" t="s">
        <v>21</v>
      </c>
      <c r="M935" t="s">
        <v>19177</v>
      </c>
      <c r="N935" t="s">
        <v>594</v>
      </c>
      <c r="O935" t="s">
        <v>531</v>
      </c>
      <c r="P935" t="s">
        <v>454</v>
      </c>
    </row>
    <row r="936">
      <c r="A936">
        <f>HYPERLINK("http://bombeiros.sp.gov.br/hidrantes/03individual/568.html","568")</f>
      </c>
      <c r="B936" t="s">
        <v>454</v>
      </c>
      <c r="C936" t="s">
        <v>611</v>
      </c>
      <c r="D936" t="s">
        <v>611</v>
      </c>
      <c r="E936" t="s">
        <v>15</v>
      </c>
      <c r="F936" t="s">
        <v>9515</v>
      </c>
      <c r="G936" t="s">
        <v>18471</v>
      </c>
      <c r="H936" t="s">
        <v>1107</v>
      </c>
      <c r="I936" t="s">
        <v>1108</v>
      </c>
      <c r="J936" t="s">
        <v>9516</v>
      </c>
      <c r="K936" t="s">
        <v>9517</v>
      </c>
      <c r="L936" t="s">
        <v>21</v>
      </c>
      <c r="M936" t="s">
        <v>19177</v>
      </c>
      <c r="N936" t="s">
        <v>594</v>
      </c>
      <c r="O936" t="s">
        <v>531</v>
      </c>
      <c r="P936" t="s">
        <v>454</v>
      </c>
    </row>
    <row r="937">
      <c r="A937">
        <f>HYPERLINK("http://bombeiros.sp.gov.br/hidrantes/03individual/574.html","574")</f>
      </c>
      <c r="B937" t="s">
        <v>454</v>
      </c>
      <c r="C937" t="s">
        <v>611</v>
      </c>
      <c r="D937" t="s">
        <v>611</v>
      </c>
      <c r="E937" t="s">
        <v>15</v>
      </c>
      <c r="F937" t="s">
        <v>9518</v>
      </c>
      <c r="G937" t="s">
        <v>18205</v>
      </c>
      <c r="H937" t="s">
        <v>1112</v>
      </c>
      <c r="I937" t="s">
        <v>1108</v>
      </c>
      <c r="J937" t="s">
        <v>9519</v>
      </c>
      <c r="K937" t="s">
        <v>9520</v>
      </c>
      <c r="L937" t="s">
        <v>21</v>
      </c>
      <c r="M937" t="s">
        <v>19177</v>
      </c>
      <c r="N937" t="s">
        <v>594</v>
      </c>
      <c r="O937" t="s">
        <v>531</v>
      </c>
      <c r="P937" t="s">
        <v>454</v>
      </c>
    </row>
    <row r="938">
      <c r="A938">
        <f>HYPERLINK("http://bombeiros.sp.gov.br/hidrantes/03individual/575.html","575")</f>
      </c>
      <c r="B938" t="s">
        <v>454</v>
      </c>
      <c r="C938" t="s">
        <v>611</v>
      </c>
      <c r="D938" t="s">
        <v>611</v>
      </c>
      <c r="E938" t="s">
        <v>15</v>
      </c>
      <c r="F938" t="s">
        <v>9521</v>
      </c>
      <c r="G938" t="s">
        <v>18205</v>
      </c>
      <c r="H938" t="s">
        <v>1107</v>
      </c>
      <c r="I938" t="s">
        <v>1108</v>
      </c>
      <c r="J938" t="s">
        <v>9522</v>
      </c>
      <c r="K938" t="s">
        <v>9523</v>
      </c>
      <c r="L938" t="s">
        <v>21</v>
      </c>
      <c r="M938" t="s">
        <v>19177</v>
      </c>
      <c r="N938" t="s">
        <v>594</v>
      </c>
      <c r="O938" t="s">
        <v>531</v>
      </c>
      <c r="P938" t="s">
        <v>454</v>
      </c>
    </row>
    <row r="939">
      <c r="A939">
        <f>HYPERLINK("http://bombeiros.sp.gov.br/hidrantes/03individual/619.html","619")</f>
      </c>
      <c r="B939" t="s">
        <v>454</v>
      </c>
      <c r="C939" t="s">
        <v>611</v>
      </c>
      <c r="D939" t="s">
        <v>611</v>
      </c>
      <c r="E939" t="s">
        <v>15</v>
      </c>
      <c r="F939" t="s">
        <v>9530</v>
      </c>
      <c r="G939" t="s">
        <v>18046</v>
      </c>
      <c r="H939" t="s">
        <v>1107</v>
      </c>
      <c r="I939" t="s">
        <v>1108</v>
      </c>
      <c r="J939" t="s">
        <v>9531</v>
      </c>
      <c r="K939" t="s">
        <v>9532</v>
      </c>
      <c r="L939" t="s">
        <v>21</v>
      </c>
      <c r="M939" t="s">
        <v>19177</v>
      </c>
      <c r="N939" t="s">
        <v>594</v>
      </c>
      <c r="O939" t="s">
        <v>531</v>
      </c>
      <c r="P939" t="s">
        <v>454</v>
      </c>
    </row>
    <row r="940">
      <c r="A940">
        <f>HYPERLINK("http://bombeiros.sp.gov.br/hidrantes/03individual/722.html","722")</f>
      </c>
      <c r="B940" t="s">
        <v>454</v>
      </c>
      <c r="C940" t="s">
        <v>611</v>
      </c>
      <c r="D940" t="s">
        <v>611</v>
      </c>
      <c r="E940" t="s">
        <v>15</v>
      </c>
      <c r="F940" t="s">
        <v>9539</v>
      </c>
      <c r="G940" t="s">
        <v>18093</v>
      </c>
      <c r="H940" t="s">
        <v>1174</v>
      </c>
      <c r="I940" t="s">
        <v>1108</v>
      </c>
      <c r="J940" t="s">
        <v>9540</v>
      </c>
      <c r="K940" t="s">
        <v>9541</v>
      </c>
      <c r="L940" t="s">
        <v>21</v>
      </c>
      <c r="M940" t="s">
        <v>19177</v>
      </c>
      <c r="N940" t="s">
        <v>594</v>
      </c>
      <c r="O940" t="s">
        <v>531</v>
      </c>
      <c r="P940" t="s">
        <v>454</v>
      </c>
    </row>
    <row r="941">
      <c r="A941">
        <f>HYPERLINK("http://bombeiros.sp.gov.br/hidrantes/03individual/736.html","736")</f>
      </c>
      <c r="B941" t="s">
        <v>454</v>
      </c>
      <c r="C941" t="s">
        <v>611</v>
      </c>
      <c r="D941" t="s">
        <v>611</v>
      </c>
      <c r="E941" t="s">
        <v>15</v>
      </c>
      <c r="F941" t="s">
        <v>9542</v>
      </c>
      <c r="G941" t="s">
        <v>18067</v>
      </c>
      <c r="H941" t="s">
        <v>1121</v>
      </c>
      <c r="I941" t="s">
        <v>1117</v>
      </c>
      <c r="J941" t="s">
        <v>9543</v>
      </c>
      <c r="K941" t="s">
        <v>9544</v>
      </c>
      <c r="L941" t="s">
        <v>21</v>
      </c>
      <c r="M941" t="s">
        <v>19177</v>
      </c>
      <c r="N941" t="s">
        <v>594</v>
      </c>
      <c r="O941" t="s">
        <v>531</v>
      </c>
      <c r="P941" t="s">
        <v>454</v>
      </c>
    </row>
    <row r="942">
      <c r="A942">
        <f>HYPERLINK("http://bombeiros.sp.gov.br/hidrantes/03individual/754.html","754")</f>
      </c>
      <c r="B942" t="s">
        <v>454</v>
      </c>
      <c r="C942" t="s">
        <v>611</v>
      </c>
      <c r="D942" t="s">
        <v>611</v>
      </c>
      <c r="E942" t="s">
        <v>15</v>
      </c>
      <c r="F942" t="s">
        <v>9545</v>
      </c>
      <c r="G942" t="s">
        <v>18135</v>
      </c>
      <c r="H942" t="s">
        <v>1112</v>
      </c>
      <c r="I942" t="s">
        <v>1108</v>
      </c>
      <c r="J942" t="s">
        <v>9546</v>
      </c>
      <c r="K942" t="s">
        <v>9547</v>
      </c>
      <c r="L942" t="s">
        <v>21</v>
      </c>
      <c r="M942" t="s">
        <v>19177</v>
      </c>
      <c r="N942" t="s">
        <v>594</v>
      </c>
      <c r="O942" t="s">
        <v>531</v>
      </c>
      <c r="P942" t="s">
        <v>454</v>
      </c>
    </row>
    <row r="943">
      <c r="A943">
        <f>HYPERLINK("http://bombeiros.sp.gov.br/hidrantes/03individual/930.html","930")</f>
      </c>
      <c r="B943" t="s">
        <v>454</v>
      </c>
      <c r="C943" t="s">
        <v>611</v>
      </c>
      <c r="D943" t="s">
        <v>611</v>
      </c>
      <c r="E943" t="s">
        <v>15</v>
      </c>
      <c r="F943" t="s">
        <v>9551</v>
      </c>
      <c r="G943" t="s">
        <v>18067</v>
      </c>
      <c r="H943" t="s">
        <v>1121</v>
      </c>
      <c r="I943" t="s">
        <v>1117</v>
      </c>
      <c r="J943" t="s">
        <v>16207</v>
      </c>
      <c r="K943" t="s">
        <v>16208</v>
      </c>
      <c r="L943" t="s">
        <v>21</v>
      </c>
      <c r="M943" t="s">
        <v>19177</v>
      </c>
      <c r="N943" t="s">
        <v>594</v>
      </c>
      <c r="O943" t="s">
        <v>531</v>
      </c>
      <c r="P943" t="s">
        <v>454</v>
      </c>
    </row>
    <row r="944">
      <c r="A944">
        <f>HYPERLINK("http://bombeiros.sp.gov.br/hidrantes/03individual/3480.html","3480")</f>
      </c>
      <c r="B944" t="s">
        <v>454</v>
      </c>
      <c r="C944" t="s">
        <v>611</v>
      </c>
      <c r="D944" t="s">
        <v>611</v>
      </c>
      <c r="E944" t="s">
        <v>15</v>
      </c>
      <c r="F944" t="s">
        <v>9555</v>
      </c>
      <c r="G944" t="s">
        <v>18471</v>
      </c>
      <c r="H944" t="s">
        <v>1107</v>
      </c>
      <c r="I944" t="s">
        <v>1108</v>
      </c>
      <c r="J944" t="s">
        <v>9556</v>
      </c>
      <c r="K944" t="s">
        <v>9557</v>
      </c>
      <c r="L944" t="s">
        <v>21</v>
      </c>
      <c r="M944" t="s">
        <v>19177</v>
      </c>
      <c r="N944" t="s">
        <v>594</v>
      </c>
      <c r="O944" t="s">
        <v>531</v>
      </c>
      <c r="P944" t="s">
        <v>454</v>
      </c>
    </row>
    <row r="945">
      <c r="A945">
        <f>HYPERLINK("http://bombeiros.sp.gov.br/hidrantes/03individual/3492.html","3492")</f>
      </c>
      <c r="B945" t="s">
        <v>454</v>
      </c>
      <c r="C945" t="s">
        <v>611</v>
      </c>
      <c r="D945" t="s">
        <v>611</v>
      </c>
      <c r="E945" t="s">
        <v>15</v>
      </c>
      <c r="F945" t="s">
        <v>9561</v>
      </c>
      <c r="G945" t="s">
        <v>18471</v>
      </c>
      <c r="H945" t="s">
        <v>1121</v>
      </c>
      <c r="I945" t="s">
        <v>1117</v>
      </c>
      <c r="J945" t="s">
        <v>9562</v>
      </c>
      <c r="K945" t="s">
        <v>9563</v>
      </c>
      <c r="L945" t="s">
        <v>21</v>
      </c>
      <c r="M945" t="s">
        <v>19177</v>
      </c>
      <c r="N945" t="s">
        <v>594</v>
      </c>
      <c r="O945" t="s">
        <v>531</v>
      </c>
      <c r="P945" t="s">
        <v>454</v>
      </c>
    </row>
    <row r="946">
      <c r="A946">
        <f>HYPERLINK("http://bombeiros.sp.gov.br/hidrantes/03individual/17752.html","17752")</f>
      </c>
      <c r="B946" t="s">
        <v>454</v>
      </c>
      <c r="C946" t="s">
        <v>611</v>
      </c>
      <c r="D946" t="s">
        <v>611</v>
      </c>
      <c r="E946" t="s">
        <v>15</v>
      </c>
      <c r="F946" t="s">
        <v>9579</v>
      </c>
      <c r="G946" t="s">
        <v>18067</v>
      </c>
      <c r="H946" t="s">
        <v>1174</v>
      </c>
      <c r="I946" t="s">
        <v>1108</v>
      </c>
      <c r="J946" t="s">
        <v>9580</v>
      </c>
      <c r="K946" t="s">
        <v>9581</v>
      </c>
      <c r="L946" t="s">
        <v>21</v>
      </c>
      <c r="M946" t="s">
        <v>19177</v>
      </c>
      <c r="N946" t="s">
        <v>594</v>
      </c>
      <c r="O946" t="s">
        <v>531</v>
      </c>
      <c r="P946" t="s">
        <v>454</v>
      </c>
    </row>
    <row r="947">
      <c r="A947">
        <f>HYPERLINK("http://bombeiros.sp.gov.br/hidrantes/03individual/1392.html","1392")</f>
      </c>
      <c r="B947" t="s">
        <v>623</v>
      </c>
      <c r="C947" t="s">
        <v>624</v>
      </c>
      <c r="D947" t="s">
        <v>624</v>
      </c>
      <c r="E947" t="s">
        <v>64</v>
      </c>
      <c r="F947" t="s">
        <v>9586</v>
      </c>
      <c r="G947" t="s">
        <v>18095</v>
      </c>
      <c r="H947" t="s">
        <v>1112</v>
      </c>
      <c r="I947" t="s">
        <v>1108</v>
      </c>
      <c r="J947" t="s">
        <v>9587</v>
      </c>
      <c r="K947" t="s">
        <v>9588</v>
      </c>
      <c r="L947" t="s">
        <v>36</v>
      </c>
      <c r="M947" t="s">
        <v>19177</v>
      </c>
      <c r="N947" t="s">
        <v>714</v>
      </c>
      <c r="O947" t="s">
        <v>10263</v>
      </c>
      <c r="P947" t="s">
        <v>12</v>
      </c>
    </row>
    <row r="948">
      <c r="A948">
        <f>HYPERLINK("http://bombeiros.sp.gov.br/hidrantes/03individual/27168.html","27168")</f>
      </c>
      <c r="B948" t="s">
        <v>623</v>
      </c>
      <c r="C948" t="s">
        <v>624</v>
      </c>
      <c r="D948" t="s">
        <v>624</v>
      </c>
      <c r="E948" t="s">
        <v>64</v>
      </c>
      <c r="F948" t="s">
        <v>16878</v>
      </c>
      <c r="G948" t="s">
        <v>18095</v>
      </c>
      <c r="H948" t="s">
        <v>1112</v>
      </c>
      <c r="I948" t="s">
        <v>1108</v>
      </c>
      <c r="J948" t="s">
        <v>16879</v>
      </c>
      <c r="K948" t="s">
        <v>16880</v>
      </c>
      <c r="L948" t="s">
        <v>21</v>
      </c>
      <c r="M948" t="s">
        <v>19177</v>
      </c>
      <c r="N948" t="s">
        <v>714</v>
      </c>
      <c r="O948" t="s">
        <v>10263</v>
      </c>
      <c r="P948" t="s">
        <v>12</v>
      </c>
    </row>
    <row r="949">
      <c r="A949">
        <f>HYPERLINK("http://bombeiros.sp.gov.br/hidrantes/03individual/6654.html","6654")</f>
      </c>
      <c r="B949" t="s">
        <v>623</v>
      </c>
      <c r="C949" t="s">
        <v>624</v>
      </c>
      <c r="D949" t="s">
        <v>9605</v>
      </c>
      <c r="E949" t="s">
        <v>64</v>
      </c>
      <c r="F949" t="s">
        <v>9613</v>
      </c>
      <c r="G949" t="s">
        <v>18094</v>
      </c>
      <c r="H949" t="s">
        <v>1112</v>
      </c>
      <c r="I949" t="s">
        <v>1108</v>
      </c>
      <c r="J949" t="s">
        <v>16084</v>
      </c>
      <c r="K949" t="s">
        <v>16085</v>
      </c>
      <c r="L949" t="s">
        <v>21</v>
      </c>
      <c r="M949" t="s">
        <v>19177</v>
      </c>
      <c r="N949" t="s">
        <v>714</v>
      </c>
      <c r="O949" t="s">
        <v>10263</v>
      </c>
      <c r="P949" t="s">
        <v>12</v>
      </c>
    </row>
    <row r="950">
      <c r="A950">
        <f>HYPERLINK("http://bombeiros.sp.gov.br/hidrantes/03individual/6655.html","6655")</f>
      </c>
      <c r="B950" t="s">
        <v>623</v>
      </c>
      <c r="C950" t="s">
        <v>624</v>
      </c>
      <c r="D950" t="s">
        <v>9605</v>
      </c>
      <c r="E950" t="s">
        <v>64</v>
      </c>
      <c r="F950" t="s">
        <v>9616</v>
      </c>
      <c r="G950" t="s">
        <v>18094</v>
      </c>
      <c r="H950" t="s">
        <v>1112</v>
      </c>
      <c r="I950" t="s">
        <v>1108</v>
      </c>
      <c r="J950" t="s">
        <v>9617</v>
      </c>
      <c r="K950" t="s">
        <v>9618</v>
      </c>
      <c r="L950" t="s">
        <v>21</v>
      </c>
      <c r="M950" t="s">
        <v>19177</v>
      </c>
      <c r="N950" t="s">
        <v>714</v>
      </c>
      <c r="O950" t="s">
        <v>10263</v>
      </c>
      <c r="P950" t="s">
        <v>12</v>
      </c>
    </row>
    <row r="951">
      <c r="A951">
        <f>HYPERLINK("http://bombeiros.sp.gov.br/hidrantes/03individual/6662.html","6662")</f>
      </c>
      <c r="B951" t="s">
        <v>623</v>
      </c>
      <c r="C951" t="s">
        <v>624</v>
      </c>
      <c r="D951" t="s">
        <v>9605</v>
      </c>
      <c r="E951" t="s">
        <v>64</v>
      </c>
      <c r="F951" t="s">
        <v>9619</v>
      </c>
      <c r="G951" t="s">
        <v>18094</v>
      </c>
      <c r="H951" t="s">
        <v>1112</v>
      </c>
      <c r="I951" t="s">
        <v>1108</v>
      </c>
      <c r="J951" t="s">
        <v>9620</v>
      </c>
      <c r="K951" t="s">
        <v>9621</v>
      </c>
      <c r="L951" t="s">
        <v>21</v>
      </c>
      <c r="M951" t="s">
        <v>19177</v>
      </c>
      <c r="N951" t="s">
        <v>714</v>
      </c>
      <c r="O951" t="s">
        <v>10263</v>
      </c>
      <c r="P951" t="s">
        <v>12</v>
      </c>
    </row>
    <row r="952">
      <c r="A952">
        <f>HYPERLINK("http://bombeiros.sp.gov.br/hidrantes/03individual/1269.html","1269")</f>
      </c>
      <c r="B952" t="s">
        <v>623</v>
      </c>
      <c r="C952" t="s">
        <v>624</v>
      </c>
      <c r="D952" t="s">
        <v>9605</v>
      </c>
      <c r="E952" t="s">
        <v>15</v>
      </c>
      <c r="F952" t="s">
        <v>9622</v>
      </c>
      <c r="G952" t="s">
        <v>18143</v>
      </c>
      <c r="H952" t="s">
        <v>1107</v>
      </c>
      <c r="I952" t="s">
        <v>1108</v>
      </c>
      <c r="J952" t="s">
        <v>9623</v>
      </c>
      <c r="K952" t="s">
        <v>9624</v>
      </c>
      <c r="L952" t="s">
        <v>21</v>
      </c>
      <c r="M952" t="s">
        <v>19177</v>
      </c>
      <c r="N952" t="s">
        <v>714</v>
      </c>
      <c r="O952" t="s">
        <v>10263</v>
      </c>
      <c r="P952" t="s">
        <v>12</v>
      </c>
    </row>
    <row r="953">
      <c r="A953">
        <f>HYPERLINK("http://bombeiros.sp.gov.br/hidrantes/03individual/1282.html","1282")</f>
      </c>
      <c r="B953" t="s">
        <v>623</v>
      </c>
      <c r="C953" t="s">
        <v>624</v>
      </c>
      <c r="D953" t="s">
        <v>9605</v>
      </c>
      <c r="E953" t="s">
        <v>15</v>
      </c>
      <c r="F953" t="s">
        <v>9629</v>
      </c>
      <c r="G953" t="s">
        <v>18143</v>
      </c>
      <c r="H953" t="s">
        <v>1112</v>
      </c>
      <c r="I953" t="s">
        <v>1108</v>
      </c>
      <c r="J953" t="s">
        <v>9630</v>
      </c>
      <c r="K953" t="s">
        <v>9631</v>
      </c>
      <c r="L953" t="s">
        <v>21</v>
      </c>
      <c r="M953" t="s">
        <v>19177</v>
      </c>
      <c r="N953" t="s">
        <v>714</v>
      </c>
      <c r="O953" t="s">
        <v>10263</v>
      </c>
      <c r="P953" t="s">
        <v>12</v>
      </c>
    </row>
    <row r="954">
      <c r="A954">
        <f>HYPERLINK("http://bombeiros.sp.gov.br/hidrantes/03individual/1376.html","1376")</f>
      </c>
      <c r="B954" t="s">
        <v>623</v>
      </c>
      <c r="C954" t="s">
        <v>624</v>
      </c>
      <c r="D954" t="s">
        <v>9605</v>
      </c>
      <c r="E954" t="s">
        <v>15</v>
      </c>
      <c r="F954" t="s">
        <v>9632</v>
      </c>
      <c r="G954" t="s">
        <v>18139</v>
      </c>
      <c r="H954" t="s">
        <v>1112</v>
      </c>
      <c r="I954" t="s">
        <v>1108</v>
      </c>
      <c r="J954" t="s">
        <v>9633</v>
      </c>
      <c r="K954" t="s">
        <v>9634</v>
      </c>
      <c r="L954" t="s">
        <v>21</v>
      </c>
      <c r="M954" t="s">
        <v>19177</v>
      </c>
      <c r="N954" t="s">
        <v>714</v>
      </c>
      <c r="O954" t="s">
        <v>10263</v>
      </c>
      <c r="P954" t="s">
        <v>12</v>
      </c>
    </row>
    <row r="955">
      <c r="A955">
        <f>HYPERLINK("http://bombeiros.sp.gov.br/hidrantes/03individual/4717.html","4717")</f>
      </c>
      <c r="B955" t="s">
        <v>623</v>
      </c>
      <c r="C955" t="s">
        <v>624</v>
      </c>
      <c r="D955" t="s">
        <v>9605</v>
      </c>
      <c r="E955" t="s">
        <v>15</v>
      </c>
      <c r="F955" t="s">
        <v>9635</v>
      </c>
      <c r="G955" t="s">
        <v>18143</v>
      </c>
      <c r="H955" t="s">
        <v>1107</v>
      </c>
      <c r="I955" t="s">
        <v>1108</v>
      </c>
      <c r="J955" t="s">
        <v>9636</v>
      </c>
      <c r="K955" t="s">
        <v>16952</v>
      </c>
      <c r="L955" t="s">
        <v>21</v>
      </c>
      <c r="M955" t="s">
        <v>19177</v>
      </c>
      <c r="N955" t="s">
        <v>714</v>
      </c>
      <c r="O955" t="s">
        <v>10263</v>
      </c>
      <c r="P955" t="s">
        <v>12</v>
      </c>
    </row>
    <row r="956">
      <c r="A956">
        <f>HYPERLINK("http://bombeiros.sp.gov.br/hidrantes/03individual/17706.html","17706")</f>
      </c>
      <c r="B956" t="s">
        <v>623</v>
      </c>
      <c r="C956" t="s">
        <v>624</v>
      </c>
      <c r="D956" t="s">
        <v>9605</v>
      </c>
      <c r="E956" t="s">
        <v>15</v>
      </c>
      <c r="F956" t="s">
        <v>9638</v>
      </c>
      <c r="G956" t="s">
        <v>18139</v>
      </c>
      <c r="H956" t="s">
        <v>1107</v>
      </c>
      <c r="I956" t="s">
        <v>1108</v>
      </c>
      <c r="J956" t="s">
        <v>9639</v>
      </c>
      <c r="K956" t="s">
        <v>9640</v>
      </c>
      <c r="L956" t="s">
        <v>21</v>
      </c>
      <c r="M956" t="s">
        <v>19177</v>
      </c>
      <c r="N956" t="s">
        <v>714</v>
      </c>
      <c r="O956" t="s">
        <v>10263</v>
      </c>
      <c r="P956" t="s">
        <v>12</v>
      </c>
    </row>
    <row r="957">
      <c r="A957">
        <f>HYPERLINK("http://bombeiros.sp.gov.br/hidrantes/03individual/17777.html","17777")</f>
      </c>
      <c r="B957" t="s">
        <v>623</v>
      </c>
      <c r="C957" t="s">
        <v>624</v>
      </c>
      <c r="D957" t="s">
        <v>9605</v>
      </c>
      <c r="E957" t="s">
        <v>15</v>
      </c>
      <c r="F957" t="s">
        <v>9641</v>
      </c>
      <c r="G957" t="s">
        <v>18139</v>
      </c>
      <c r="H957" t="s">
        <v>1112</v>
      </c>
      <c r="I957" t="s">
        <v>1108</v>
      </c>
      <c r="J957" t="s">
        <v>16511</v>
      </c>
      <c r="K957" t="s">
        <v>16512</v>
      </c>
      <c r="L957" t="s">
        <v>21</v>
      </c>
      <c r="M957" t="s">
        <v>19177</v>
      </c>
      <c r="N957" t="s">
        <v>714</v>
      </c>
      <c r="O957" t="s">
        <v>10263</v>
      </c>
      <c r="P957" t="s">
        <v>12</v>
      </c>
    </row>
    <row r="958">
      <c r="A958">
        <f>HYPERLINK("http://bombeiros.sp.gov.br/hidrantes/03individual/1276.html","1276")</f>
      </c>
      <c r="B958" t="s">
        <v>623</v>
      </c>
      <c r="C958" t="s">
        <v>624</v>
      </c>
      <c r="D958" t="s">
        <v>625</v>
      </c>
      <c r="E958" t="s">
        <v>15</v>
      </c>
      <c r="F958" t="s">
        <v>9644</v>
      </c>
      <c r="G958" t="s">
        <v>18057</v>
      </c>
      <c r="H958" t="s">
        <v>1112</v>
      </c>
      <c r="I958" t="s">
        <v>1108</v>
      </c>
      <c r="J958" t="s">
        <v>9645</v>
      </c>
      <c r="K958" t="s">
        <v>9646</v>
      </c>
      <c r="L958" t="s">
        <v>21</v>
      </c>
      <c r="M958" t="s">
        <v>19177</v>
      </c>
      <c r="N958" t="s">
        <v>714</v>
      </c>
      <c r="O958" t="s">
        <v>10263</v>
      </c>
      <c r="P958" t="s">
        <v>12</v>
      </c>
    </row>
    <row r="959">
      <c r="A959">
        <f>HYPERLINK("http://bombeiros.sp.gov.br/hidrantes/03individual/2144.html","2144")</f>
      </c>
      <c r="B959" t="s">
        <v>623</v>
      </c>
      <c r="C959" t="s">
        <v>624</v>
      </c>
      <c r="D959" t="s">
        <v>625</v>
      </c>
      <c r="E959" t="s">
        <v>15</v>
      </c>
      <c r="F959" t="s">
        <v>9653</v>
      </c>
      <c r="G959" t="s">
        <v>18084</v>
      </c>
      <c r="H959" t="s">
        <v>1107</v>
      </c>
      <c r="I959" t="s">
        <v>1108</v>
      </c>
      <c r="J959" t="s">
        <v>9654</v>
      </c>
      <c r="K959" t="s">
        <v>9655</v>
      </c>
      <c r="L959" t="s">
        <v>21</v>
      </c>
      <c r="M959" t="s">
        <v>19177</v>
      </c>
      <c r="N959" t="s">
        <v>714</v>
      </c>
      <c r="O959" t="s">
        <v>10263</v>
      </c>
      <c r="P959" t="s">
        <v>12</v>
      </c>
    </row>
    <row r="960">
      <c r="A960">
        <f>HYPERLINK("http://bombeiros.sp.gov.br/hidrantes/03individual/2171.html","2171")</f>
      </c>
      <c r="B960" t="s">
        <v>623</v>
      </c>
      <c r="C960" t="s">
        <v>624</v>
      </c>
      <c r="D960" t="s">
        <v>625</v>
      </c>
      <c r="E960" t="s">
        <v>15</v>
      </c>
      <c r="F960" t="s">
        <v>9656</v>
      </c>
      <c r="G960" t="s">
        <v>18084</v>
      </c>
      <c r="H960" t="s">
        <v>1112</v>
      </c>
      <c r="I960" t="s">
        <v>1108</v>
      </c>
      <c r="J960" t="s">
        <v>9657</v>
      </c>
      <c r="K960" t="s">
        <v>9658</v>
      </c>
      <c r="L960" t="s">
        <v>36</v>
      </c>
      <c r="M960" t="s">
        <v>19177</v>
      </c>
      <c r="N960" t="s">
        <v>714</v>
      </c>
      <c r="O960" t="s">
        <v>10263</v>
      </c>
      <c r="P960" t="s">
        <v>12</v>
      </c>
    </row>
    <row r="961">
      <c r="A961">
        <f>HYPERLINK("http://bombeiros.sp.gov.br/hidrantes/03individual/2194.html","2194")</f>
      </c>
      <c r="B961" t="s">
        <v>623</v>
      </c>
      <c r="C961" t="s">
        <v>624</v>
      </c>
      <c r="D961" t="s">
        <v>625</v>
      </c>
      <c r="E961" t="s">
        <v>15</v>
      </c>
      <c r="F961" t="s">
        <v>9659</v>
      </c>
      <c r="G961" t="s">
        <v>18084</v>
      </c>
      <c r="H961" t="s">
        <v>1107</v>
      </c>
      <c r="I961" t="s">
        <v>1108</v>
      </c>
      <c r="J961" t="s">
        <v>9660</v>
      </c>
      <c r="K961" t="s">
        <v>9661</v>
      </c>
      <c r="L961" t="s">
        <v>21</v>
      </c>
      <c r="M961" t="s">
        <v>19177</v>
      </c>
      <c r="N961" t="s">
        <v>714</v>
      </c>
      <c r="O961" t="s">
        <v>10263</v>
      </c>
      <c r="P961" t="s">
        <v>12</v>
      </c>
    </row>
    <row r="962">
      <c r="A962">
        <f>HYPERLINK("http://bombeiros.sp.gov.br/hidrantes/03individual/2671.html","2671")</f>
      </c>
      <c r="B962" t="s">
        <v>623</v>
      </c>
      <c r="C962" t="s">
        <v>624</v>
      </c>
      <c r="D962" t="s">
        <v>625</v>
      </c>
      <c r="E962" t="s">
        <v>15</v>
      </c>
      <c r="F962" t="s">
        <v>9662</v>
      </c>
      <c r="G962" t="s">
        <v>18143</v>
      </c>
      <c r="H962" t="s">
        <v>1112</v>
      </c>
      <c r="I962" t="s">
        <v>1108</v>
      </c>
      <c r="J962" t="s">
        <v>9663</v>
      </c>
      <c r="K962" t="s">
        <v>9664</v>
      </c>
      <c r="L962" t="s">
        <v>21</v>
      </c>
      <c r="M962" t="s">
        <v>19177</v>
      </c>
      <c r="N962" t="s">
        <v>714</v>
      </c>
      <c r="O962" t="s">
        <v>10263</v>
      </c>
      <c r="P962" t="s">
        <v>12</v>
      </c>
    </row>
    <row r="963">
      <c r="A963">
        <f>HYPERLINK("http://bombeiros.sp.gov.br/hidrantes/03individual/4257.html","4257")</f>
      </c>
      <c r="B963" t="s">
        <v>623</v>
      </c>
      <c r="C963" t="s">
        <v>624</v>
      </c>
      <c r="D963" t="s">
        <v>625</v>
      </c>
      <c r="E963" t="s">
        <v>15</v>
      </c>
      <c r="F963" t="s">
        <v>9665</v>
      </c>
      <c r="G963" t="s">
        <v>18057</v>
      </c>
      <c r="H963" t="s">
        <v>1112</v>
      </c>
      <c r="I963" t="s">
        <v>1108</v>
      </c>
      <c r="J963" t="s">
        <v>9666</v>
      </c>
      <c r="K963" t="s">
        <v>9667</v>
      </c>
      <c r="L963" t="s">
        <v>21</v>
      </c>
      <c r="M963" t="s">
        <v>19177</v>
      </c>
      <c r="N963" t="s">
        <v>714</v>
      </c>
      <c r="O963" t="s">
        <v>10263</v>
      </c>
      <c r="P963" t="s">
        <v>12</v>
      </c>
    </row>
    <row r="964">
      <c r="A964">
        <f>HYPERLINK("http://bombeiros.sp.gov.br/hidrantes/03individual/6676.html","6676")</f>
      </c>
      <c r="B964" t="s">
        <v>623</v>
      </c>
      <c r="C964" t="s">
        <v>624</v>
      </c>
      <c r="D964" t="s">
        <v>625</v>
      </c>
      <c r="E964" t="s">
        <v>15</v>
      </c>
      <c r="F964" t="s">
        <v>9671</v>
      </c>
      <c r="G964" t="s">
        <v>18057</v>
      </c>
      <c r="H964" t="s">
        <v>1112</v>
      </c>
      <c r="I964" t="s">
        <v>1108</v>
      </c>
      <c r="J964" t="s">
        <v>9672</v>
      </c>
      <c r="K964" t="s">
        <v>9673</v>
      </c>
      <c r="L964" t="s">
        <v>21</v>
      </c>
      <c r="M964" t="s">
        <v>19177</v>
      </c>
      <c r="N964" t="s">
        <v>714</v>
      </c>
      <c r="O964" t="s">
        <v>10263</v>
      </c>
      <c r="P964" t="s">
        <v>12</v>
      </c>
    </row>
    <row r="965">
      <c r="A965">
        <f>HYPERLINK("http://bombeiros.sp.gov.br/hidrantes/03individual/25216.html","25216")</f>
      </c>
      <c r="B965" t="s">
        <v>623</v>
      </c>
      <c r="C965" t="s">
        <v>624</v>
      </c>
      <c r="D965" t="s">
        <v>625</v>
      </c>
      <c r="E965" t="s">
        <v>15</v>
      </c>
      <c r="F965" t="s">
        <v>9683</v>
      </c>
      <c r="G965" t="s">
        <v>18115</v>
      </c>
      <c r="H965" t="s">
        <v>1112</v>
      </c>
      <c r="I965" t="s">
        <v>1108</v>
      </c>
      <c r="J965" t="s">
        <v>9684</v>
      </c>
      <c r="K965" t="s">
        <v>9685</v>
      </c>
      <c r="L965" t="s">
        <v>21</v>
      </c>
      <c r="M965" t="s">
        <v>19177</v>
      </c>
      <c r="N965" t="s">
        <v>714</v>
      </c>
      <c r="O965" t="s">
        <v>10263</v>
      </c>
      <c r="P965" t="s">
        <v>12</v>
      </c>
    </row>
    <row r="966">
      <c r="A966">
        <f>HYPERLINK("http://bombeiros.sp.gov.br/hidrantes/03individual/25217.html","25217")</f>
      </c>
      <c r="B966" t="s">
        <v>623</v>
      </c>
      <c r="C966" t="s">
        <v>624</v>
      </c>
      <c r="D966" t="s">
        <v>625</v>
      </c>
      <c r="E966" t="s">
        <v>15</v>
      </c>
      <c r="F966" t="s">
        <v>9686</v>
      </c>
      <c r="G966" t="s">
        <v>18084</v>
      </c>
      <c r="H966" t="s">
        <v>1112</v>
      </c>
      <c r="I966" t="s">
        <v>1108</v>
      </c>
      <c r="J966" t="s">
        <v>9687</v>
      </c>
      <c r="K966" t="s">
        <v>9688</v>
      </c>
      <c r="L966" t="s">
        <v>21</v>
      </c>
      <c r="M966" t="s">
        <v>19177</v>
      </c>
      <c r="N966" t="s">
        <v>714</v>
      </c>
      <c r="O966" t="s">
        <v>10263</v>
      </c>
      <c r="P966" t="s">
        <v>12</v>
      </c>
    </row>
    <row r="967">
      <c r="A967">
        <f>HYPERLINK("http://bombeiros.sp.gov.br/hidrantes/03individual/956.html","956")</f>
      </c>
      <c r="B967" t="s">
        <v>623</v>
      </c>
      <c r="C967" t="s">
        <v>630</v>
      </c>
      <c r="D967" t="s">
        <v>631</v>
      </c>
      <c r="E967" t="s">
        <v>64</v>
      </c>
      <c r="F967" t="s">
        <v>9692</v>
      </c>
      <c r="G967" t="s">
        <v>18211</v>
      </c>
      <c r="H967" t="s">
        <v>1112</v>
      </c>
      <c r="I967" t="s">
        <v>1108</v>
      </c>
      <c r="J967" t="s">
        <v>9693</v>
      </c>
      <c r="K967" t="s">
        <v>9694</v>
      </c>
      <c r="L967" t="s">
        <v>21</v>
      </c>
      <c r="M967" t="s">
        <v>19177</v>
      </c>
      <c r="N967" t="s">
        <v>714</v>
      </c>
      <c r="O967" t="s">
        <v>10263</v>
      </c>
      <c r="P967" t="s">
        <v>12</v>
      </c>
    </row>
    <row r="968">
      <c r="A968">
        <f>HYPERLINK("http://bombeiros.sp.gov.br/hidrantes/03individual/1682.html","1682")</f>
      </c>
      <c r="B968" t="s">
        <v>623</v>
      </c>
      <c r="C968" t="s">
        <v>630</v>
      </c>
      <c r="D968" t="s">
        <v>631</v>
      </c>
      <c r="E968" t="s">
        <v>64</v>
      </c>
      <c r="F968" t="s">
        <v>9695</v>
      </c>
      <c r="G968" t="s">
        <v>18155</v>
      </c>
      <c r="H968" t="s">
        <v>1107</v>
      </c>
      <c r="I968" t="s">
        <v>1108</v>
      </c>
      <c r="J968" t="s">
        <v>9696</v>
      </c>
      <c r="K968" t="s">
        <v>9697</v>
      </c>
      <c r="L968" t="s">
        <v>36</v>
      </c>
      <c r="M968" t="s">
        <v>19177</v>
      </c>
      <c r="N968" t="s">
        <v>714</v>
      </c>
      <c r="O968" t="s">
        <v>10263</v>
      </c>
      <c r="P968" t="s">
        <v>12</v>
      </c>
    </row>
    <row r="969">
      <c r="A969">
        <f>HYPERLINK("http://bombeiros.sp.gov.br/hidrantes/03individual/2334.html","2334")</f>
      </c>
      <c r="B969" t="s">
        <v>623</v>
      </c>
      <c r="C969" t="s">
        <v>630</v>
      </c>
      <c r="D969" t="s">
        <v>631</v>
      </c>
      <c r="E969" t="s">
        <v>64</v>
      </c>
      <c r="F969" t="s">
        <v>9698</v>
      </c>
      <c r="G969" t="s">
        <v>18151</v>
      </c>
      <c r="H969" t="s">
        <v>1107</v>
      </c>
      <c r="I969" t="s">
        <v>1108</v>
      </c>
      <c r="J969" t="s">
        <v>9699</v>
      </c>
      <c r="K969" t="s">
        <v>9700</v>
      </c>
      <c r="L969" t="s">
        <v>36</v>
      </c>
      <c r="M969" t="s">
        <v>19177</v>
      </c>
      <c r="N969" t="s">
        <v>714</v>
      </c>
      <c r="O969" t="s">
        <v>10263</v>
      </c>
      <c r="P969" t="s">
        <v>12</v>
      </c>
    </row>
    <row r="970">
      <c r="A970">
        <f>HYPERLINK("http://bombeiros.sp.gov.br/hidrantes/03individual/2873.html","2873")</f>
      </c>
      <c r="B970" t="s">
        <v>623</v>
      </c>
      <c r="C970" t="s">
        <v>630</v>
      </c>
      <c r="D970" t="s">
        <v>630</v>
      </c>
      <c r="E970" t="s">
        <v>64</v>
      </c>
      <c r="F970" t="s">
        <v>9722</v>
      </c>
      <c r="G970" t="s">
        <v>18067</v>
      </c>
      <c r="H970" t="s">
        <v>1174</v>
      </c>
      <c r="I970" t="s">
        <v>1117</v>
      </c>
      <c r="J970" t="s">
        <v>9723</v>
      </c>
      <c r="K970" t="s">
        <v>9724</v>
      </c>
      <c r="L970" t="s">
        <v>36</v>
      </c>
      <c r="M970" t="s">
        <v>19177</v>
      </c>
      <c r="N970" t="s">
        <v>714</v>
      </c>
      <c r="O970" t="s">
        <v>10263</v>
      </c>
      <c r="P970" t="s">
        <v>12</v>
      </c>
    </row>
    <row r="971">
      <c r="A971">
        <f>HYPERLINK("http://bombeiros.sp.gov.br/hidrantes/03individual/2915.html","2915")</f>
      </c>
      <c r="B971" t="s">
        <v>623</v>
      </c>
      <c r="C971" t="s">
        <v>630</v>
      </c>
      <c r="D971" t="s">
        <v>630</v>
      </c>
      <c r="E971" t="s">
        <v>64</v>
      </c>
      <c r="F971" t="s">
        <v>9725</v>
      </c>
      <c r="G971" t="s">
        <v>18083</v>
      </c>
      <c r="H971" t="s">
        <v>1112</v>
      </c>
      <c r="I971" t="s">
        <v>1108</v>
      </c>
      <c r="J971" t="s">
        <v>9726</v>
      </c>
      <c r="K971" t="s">
        <v>9727</v>
      </c>
      <c r="L971" t="s">
        <v>21</v>
      </c>
      <c r="M971" t="s">
        <v>19177</v>
      </c>
      <c r="N971" t="s">
        <v>714</v>
      </c>
      <c r="O971" t="s">
        <v>10263</v>
      </c>
      <c r="P971" t="s">
        <v>12</v>
      </c>
    </row>
    <row r="972">
      <c r="A972">
        <f>HYPERLINK("http://bombeiros.sp.gov.br/hidrantes/03individual/28082.html","28082")</f>
      </c>
      <c r="B972" t="s">
        <v>623</v>
      </c>
      <c r="C972" t="s">
        <v>630</v>
      </c>
      <c r="D972" t="s">
        <v>630</v>
      </c>
      <c r="E972" t="s">
        <v>64</v>
      </c>
      <c r="F972" t="s">
        <v>18323</v>
      </c>
      <c r="G972" t="s">
        <v>18172</v>
      </c>
      <c r="H972" t="s">
        <v>1112</v>
      </c>
      <c r="I972" t="s">
        <v>1108</v>
      </c>
      <c r="J972" t="s">
        <v>18324</v>
      </c>
      <c r="K972" t="s">
        <v>18325</v>
      </c>
      <c r="L972" t="s">
        <v>21</v>
      </c>
      <c r="M972" t="s">
        <v>19177</v>
      </c>
      <c r="N972" t="s">
        <v>714</v>
      </c>
      <c r="O972" t="s">
        <v>10263</v>
      </c>
      <c r="P972" t="s">
        <v>12</v>
      </c>
    </row>
    <row r="973">
      <c r="A973">
        <f>HYPERLINK("http://bombeiros.sp.gov.br/hidrantes/03individual/2193.html","2193")</f>
      </c>
      <c r="B973" t="s">
        <v>623</v>
      </c>
      <c r="C973" t="s">
        <v>630</v>
      </c>
      <c r="D973" t="s">
        <v>9734</v>
      </c>
      <c r="E973" t="s">
        <v>64</v>
      </c>
      <c r="F973" t="s">
        <v>9738</v>
      </c>
      <c r="G973" t="s">
        <v>18067</v>
      </c>
      <c r="H973" t="s">
        <v>1174</v>
      </c>
      <c r="I973" t="s">
        <v>1117</v>
      </c>
      <c r="J973" t="s">
        <v>9739</v>
      </c>
      <c r="K973" t="s">
        <v>9740</v>
      </c>
      <c r="L973" t="s">
        <v>21</v>
      </c>
      <c r="M973" t="s">
        <v>19177</v>
      </c>
      <c r="N973" t="s">
        <v>714</v>
      </c>
      <c r="O973" t="s">
        <v>10263</v>
      </c>
      <c r="P973" t="s">
        <v>12</v>
      </c>
    </row>
    <row r="974">
      <c r="A974">
        <f>HYPERLINK("http://bombeiros.sp.gov.br/hidrantes/03individual/2220.html","2220")</f>
      </c>
      <c r="B974" t="s">
        <v>623</v>
      </c>
      <c r="C974" t="s">
        <v>630</v>
      </c>
      <c r="D974" t="s">
        <v>9734</v>
      </c>
      <c r="E974" t="s">
        <v>64</v>
      </c>
      <c r="F974" t="s">
        <v>9741</v>
      </c>
      <c r="G974" t="s">
        <v>18083</v>
      </c>
      <c r="H974" t="s">
        <v>1112</v>
      </c>
      <c r="I974" t="s">
        <v>1108</v>
      </c>
      <c r="J974" t="s">
        <v>9742</v>
      </c>
      <c r="K974" t="s">
        <v>9743</v>
      </c>
      <c r="L974" t="s">
        <v>21</v>
      </c>
      <c r="M974" t="s">
        <v>19177</v>
      </c>
      <c r="N974" t="s">
        <v>714</v>
      </c>
      <c r="O974" t="s">
        <v>10263</v>
      </c>
      <c r="P974" t="s">
        <v>12</v>
      </c>
    </row>
    <row r="975">
      <c r="A975">
        <f>HYPERLINK("http://bombeiros.sp.gov.br/hidrantes/03individual/2795.html","2795")</f>
      </c>
      <c r="B975" t="s">
        <v>623</v>
      </c>
      <c r="C975" t="s">
        <v>630</v>
      </c>
      <c r="D975" t="s">
        <v>9734</v>
      </c>
      <c r="E975" t="s">
        <v>64</v>
      </c>
      <c r="F975" t="s">
        <v>9744</v>
      </c>
      <c r="G975" t="s">
        <v>18067</v>
      </c>
      <c r="H975" t="s">
        <v>1174</v>
      </c>
      <c r="I975" t="s">
        <v>1117</v>
      </c>
      <c r="J975" t="s">
        <v>9745</v>
      </c>
      <c r="K975" t="s">
        <v>9746</v>
      </c>
      <c r="L975" t="s">
        <v>21</v>
      </c>
      <c r="M975" t="s">
        <v>19177</v>
      </c>
      <c r="N975" t="s">
        <v>714</v>
      </c>
      <c r="O975" t="s">
        <v>10263</v>
      </c>
      <c r="P975" t="s">
        <v>12</v>
      </c>
    </row>
    <row r="976">
      <c r="A976">
        <f>HYPERLINK("http://bombeiros.sp.gov.br/hidrantes/03individual/16586.html","16586")</f>
      </c>
      <c r="B976" t="s">
        <v>623</v>
      </c>
      <c r="C976" t="s">
        <v>630</v>
      </c>
      <c r="D976" t="s">
        <v>9734</v>
      </c>
      <c r="E976" t="s">
        <v>64</v>
      </c>
      <c r="F976" t="s">
        <v>9747</v>
      </c>
      <c r="G976" t="s">
        <v>18046</v>
      </c>
      <c r="H976" t="s">
        <v>1112</v>
      </c>
      <c r="I976" t="s">
        <v>1108</v>
      </c>
      <c r="J976" t="s">
        <v>9748</v>
      </c>
      <c r="K976" t="s">
        <v>9749</v>
      </c>
      <c r="L976" t="s">
        <v>21</v>
      </c>
      <c r="M976" t="s">
        <v>19177</v>
      </c>
      <c r="N976" t="s">
        <v>714</v>
      </c>
      <c r="O976" t="s">
        <v>10263</v>
      </c>
      <c r="P976" t="s">
        <v>12</v>
      </c>
    </row>
    <row r="977">
      <c r="A977">
        <f>HYPERLINK("http://bombeiros.sp.gov.br/hidrantes/03individual/27779.html","27779")</f>
      </c>
      <c r="B977" t="s">
        <v>623</v>
      </c>
      <c r="C977" t="s">
        <v>630</v>
      </c>
      <c r="D977" t="s">
        <v>9734</v>
      </c>
      <c r="E977" t="s">
        <v>64</v>
      </c>
      <c r="F977" t="s">
        <v>17749</v>
      </c>
      <c r="G977" t="s">
        <v>18083</v>
      </c>
      <c r="H977" t="s">
        <v>1112</v>
      </c>
      <c r="I977" t="s">
        <v>1108</v>
      </c>
      <c r="J977" t="s">
        <v>17750</v>
      </c>
      <c r="K977" t="s">
        <v>17751</v>
      </c>
      <c r="L977" t="s">
        <v>21</v>
      </c>
      <c r="M977" t="s">
        <v>19177</v>
      </c>
      <c r="N977" t="s">
        <v>714</v>
      </c>
      <c r="O977" t="s">
        <v>10263</v>
      </c>
      <c r="P977" t="s">
        <v>12</v>
      </c>
    </row>
    <row r="978">
      <c r="A978">
        <f>HYPERLINK("http://bombeiros.sp.gov.br/hidrantes/03individual/2349.html","2349")</f>
      </c>
      <c r="B978" t="s">
        <v>623</v>
      </c>
      <c r="C978" t="s">
        <v>630</v>
      </c>
      <c r="D978" t="s">
        <v>635</v>
      </c>
      <c r="E978" t="s">
        <v>64</v>
      </c>
      <c r="F978" t="s">
        <v>9765</v>
      </c>
      <c r="G978" t="s">
        <v>18129</v>
      </c>
      <c r="H978" t="s">
        <v>1112</v>
      </c>
      <c r="I978" t="s">
        <v>1108</v>
      </c>
      <c r="J978" t="s">
        <v>9767</v>
      </c>
      <c r="K978" t="s">
        <v>9768</v>
      </c>
      <c r="L978" t="s">
        <v>21</v>
      </c>
      <c r="M978" t="s">
        <v>19177</v>
      </c>
      <c r="N978" t="s">
        <v>714</v>
      </c>
      <c r="O978" t="s">
        <v>10263</v>
      </c>
      <c r="P978" t="s">
        <v>12</v>
      </c>
    </row>
    <row r="979">
      <c r="A979">
        <f>HYPERLINK("http://bombeiros.sp.gov.br/hidrantes/03individual/2358.html","2358")</f>
      </c>
      <c r="B979" t="s">
        <v>623</v>
      </c>
      <c r="C979" t="s">
        <v>630</v>
      </c>
      <c r="D979" t="s">
        <v>635</v>
      </c>
      <c r="E979" t="s">
        <v>64</v>
      </c>
      <c r="F979" t="s">
        <v>9769</v>
      </c>
      <c r="G979" t="s">
        <v>18068</v>
      </c>
      <c r="H979" t="s">
        <v>1107</v>
      </c>
      <c r="I979" t="s">
        <v>1108</v>
      </c>
      <c r="J979" t="s">
        <v>9770</v>
      </c>
      <c r="K979" t="s">
        <v>9771</v>
      </c>
      <c r="L979" t="s">
        <v>21</v>
      </c>
      <c r="M979" t="s">
        <v>19177</v>
      </c>
      <c r="N979" t="s">
        <v>714</v>
      </c>
      <c r="O979" t="s">
        <v>10263</v>
      </c>
      <c r="P979" t="s">
        <v>12</v>
      </c>
    </row>
    <row r="980">
      <c r="A980">
        <f>HYPERLINK("http://bombeiros.sp.gov.br/hidrantes/03individual/2291.html","2291")</f>
      </c>
      <c r="B980" t="s">
        <v>623</v>
      </c>
      <c r="C980" t="s">
        <v>630</v>
      </c>
      <c r="D980" t="s">
        <v>635</v>
      </c>
      <c r="E980" t="s">
        <v>15</v>
      </c>
      <c r="F980" t="s">
        <v>9772</v>
      </c>
      <c r="G980" t="s">
        <v>17913</v>
      </c>
      <c r="H980" t="s">
        <v>1112</v>
      </c>
      <c r="I980" t="s">
        <v>1108</v>
      </c>
      <c r="J980" t="s">
        <v>9774</v>
      </c>
      <c r="K980" t="s">
        <v>9775</v>
      </c>
      <c r="L980" t="s">
        <v>21</v>
      </c>
      <c r="M980" t="s">
        <v>19177</v>
      </c>
      <c r="N980" t="s">
        <v>714</v>
      </c>
      <c r="O980" t="s">
        <v>10263</v>
      </c>
      <c r="P980" t="s">
        <v>12</v>
      </c>
    </row>
    <row r="981">
      <c r="A981">
        <f>HYPERLINK("http://bombeiros.sp.gov.br/hidrantes/03individual/27068.html","27068")</f>
      </c>
      <c r="B981" t="s">
        <v>623</v>
      </c>
      <c r="C981" t="s">
        <v>640</v>
      </c>
      <c r="D981" t="s">
        <v>640</v>
      </c>
      <c r="E981" t="s">
        <v>64</v>
      </c>
      <c r="F981" t="s">
        <v>16749</v>
      </c>
      <c r="G981" t="s">
        <v>18166</v>
      </c>
      <c r="H981" t="s">
        <v>1112</v>
      </c>
      <c r="I981" t="s">
        <v>1108</v>
      </c>
      <c r="J981" t="s">
        <v>16750</v>
      </c>
      <c r="K981" t="s">
        <v>16751</v>
      </c>
      <c r="L981" t="s">
        <v>21</v>
      </c>
      <c r="M981" t="s">
        <v>19177</v>
      </c>
      <c r="N981" t="s">
        <v>16375</v>
      </c>
      <c r="O981" t="s">
        <v>640</v>
      </c>
      <c r="P981" t="s">
        <v>623</v>
      </c>
    </row>
    <row r="982">
      <c r="A982">
        <f>HYPERLINK("http://bombeiros.sp.gov.br/hidrantes/03individual/27418.html","27418")</f>
      </c>
      <c r="B982" t="s">
        <v>623</v>
      </c>
      <c r="C982" t="s">
        <v>640</v>
      </c>
      <c r="D982" t="s">
        <v>640</v>
      </c>
      <c r="E982" t="s">
        <v>64</v>
      </c>
      <c r="F982" t="s">
        <v>17307</v>
      </c>
      <c r="G982" t="s">
        <v>18207</v>
      </c>
      <c r="H982" t="s">
        <v>1112</v>
      </c>
      <c r="I982" t="s">
        <v>1108</v>
      </c>
      <c r="J982" t="s">
        <v>17308</v>
      </c>
      <c r="K982" t="s">
        <v>17309</v>
      </c>
      <c r="L982" t="s">
        <v>21</v>
      </c>
      <c r="M982" t="s">
        <v>19177</v>
      </c>
      <c r="N982" t="s">
        <v>16375</v>
      </c>
      <c r="O982" t="s">
        <v>640</v>
      </c>
      <c r="P982" t="s">
        <v>623</v>
      </c>
    </row>
    <row r="983">
      <c r="A983">
        <f>HYPERLINK("http://bombeiros.sp.gov.br/hidrantes/03individual/4249.html","4249")</f>
      </c>
      <c r="B983" t="s">
        <v>623</v>
      </c>
      <c r="C983" t="s">
        <v>640</v>
      </c>
      <c r="D983" t="s">
        <v>640</v>
      </c>
      <c r="E983" t="s">
        <v>15</v>
      </c>
      <c r="F983" t="s">
        <v>9797</v>
      </c>
      <c r="G983" t="s">
        <v>18098</v>
      </c>
      <c r="H983" t="s">
        <v>1107</v>
      </c>
      <c r="I983" t="s">
        <v>1108</v>
      </c>
      <c r="J983" t="s">
        <v>9798</v>
      </c>
      <c r="K983" t="s">
        <v>9799</v>
      </c>
      <c r="L983" t="s">
        <v>36</v>
      </c>
      <c r="M983" t="s">
        <v>19177</v>
      </c>
      <c r="N983" t="s">
        <v>16375</v>
      </c>
      <c r="O983" t="s">
        <v>640</v>
      </c>
      <c r="P983" t="s">
        <v>623</v>
      </c>
    </row>
    <row r="984">
      <c r="A984">
        <f>HYPERLINK("http://bombeiros.sp.gov.br/hidrantes/03individual/4251.html","4251")</f>
      </c>
      <c r="B984" t="s">
        <v>623</v>
      </c>
      <c r="C984" t="s">
        <v>640</v>
      </c>
      <c r="D984" t="s">
        <v>640</v>
      </c>
      <c r="E984" t="s">
        <v>15</v>
      </c>
      <c r="F984" t="s">
        <v>9803</v>
      </c>
      <c r="G984" t="s">
        <v>18207</v>
      </c>
      <c r="H984" t="s">
        <v>1112</v>
      </c>
      <c r="I984" t="s">
        <v>1108</v>
      </c>
      <c r="J984" t="s">
        <v>16465</v>
      </c>
      <c r="K984" t="s">
        <v>16466</v>
      </c>
      <c r="L984" t="s">
        <v>21</v>
      </c>
      <c r="M984" t="s">
        <v>19177</v>
      </c>
      <c r="N984" t="s">
        <v>16375</v>
      </c>
      <c r="O984" t="s">
        <v>640</v>
      </c>
      <c r="P984" t="s">
        <v>623</v>
      </c>
    </row>
    <row r="985">
      <c r="A985">
        <f>HYPERLINK("http://bombeiros.sp.gov.br/hidrantes/03individual/25198.html","25198")</f>
      </c>
      <c r="B985" t="s">
        <v>623</v>
      </c>
      <c r="C985" t="s">
        <v>640</v>
      </c>
      <c r="D985" t="s">
        <v>652</v>
      </c>
      <c r="E985" t="s">
        <v>64</v>
      </c>
      <c r="F985" t="s">
        <v>9824</v>
      </c>
      <c r="G985" t="s">
        <v>18065</v>
      </c>
      <c r="H985" t="s">
        <v>1112</v>
      </c>
      <c r="I985" t="s">
        <v>1108</v>
      </c>
      <c r="J985" t="s">
        <v>9825</v>
      </c>
      <c r="K985" t="s">
        <v>9826</v>
      </c>
      <c r="L985" t="s">
        <v>21</v>
      </c>
      <c r="M985" t="s">
        <v>19177</v>
      </c>
      <c r="N985" t="s">
        <v>16375</v>
      </c>
      <c r="O985" t="s">
        <v>640</v>
      </c>
      <c r="P985" t="s">
        <v>623</v>
      </c>
    </row>
    <row r="986">
      <c r="A986">
        <f>HYPERLINK("http://bombeiros.sp.gov.br/hidrantes/03individual/27034.html","27034")</f>
      </c>
      <c r="B986" t="s">
        <v>623</v>
      </c>
      <c r="C986" t="s">
        <v>640</v>
      </c>
      <c r="D986" t="s">
        <v>652</v>
      </c>
      <c r="E986" t="s">
        <v>64</v>
      </c>
      <c r="F986" t="s">
        <v>16603</v>
      </c>
      <c r="G986" t="s">
        <v>18194</v>
      </c>
      <c r="H986" t="s">
        <v>1112</v>
      </c>
      <c r="I986" t="s">
        <v>1108</v>
      </c>
      <c r="J986" t="s">
        <v>16604</v>
      </c>
      <c r="K986" t="s">
        <v>16605</v>
      </c>
      <c r="L986" t="s">
        <v>21</v>
      </c>
      <c r="M986" t="s">
        <v>19177</v>
      </c>
      <c r="N986" t="s">
        <v>16375</v>
      </c>
      <c r="O986" t="s">
        <v>640</v>
      </c>
      <c r="P986" t="s">
        <v>623</v>
      </c>
    </row>
    <row r="987">
      <c r="A987">
        <f>HYPERLINK("http://bombeiros.sp.gov.br/hidrantes/03individual/27062.html","27062")</f>
      </c>
      <c r="B987" t="s">
        <v>623</v>
      </c>
      <c r="C987" t="s">
        <v>640</v>
      </c>
      <c r="D987" t="s">
        <v>652</v>
      </c>
      <c r="E987" t="s">
        <v>64</v>
      </c>
      <c r="F987" t="s">
        <v>16678</v>
      </c>
      <c r="G987" t="s">
        <v>18065</v>
      </c>
      <c r="H987" t="s">
        <v>1112</v>
      </c>
      <c r="I987" t="s">
        <v>1108</v>
      </c>
      <c r="J987" t="s">
        <v>16679</v>
      </c>
      <c r="K987" t="s">
        <v>16680</v>
      </c>
      <c r="L987" t="s">
        <v>21</v>
      </c>
      <c r="M987" t="s">
        <v>19177</v>
      </c>
      <c r="N987" t="s">
        <v>16375</v>
      </c>
      <c r="O987" t="s">
        <v>640</v>
      </c>
      <c r="P987" t="s">
        <v>623</v>
      </c>
    </row>
    <row r="988">
      <c r="A988">
        <f>HYPERLINK("http://bombeiros.sp.gov.br/hidrantes/03individual/1246.html","1246")</f>
      </c>
      <c r="B988" t="s">
        <v>623</v>
      </c>
      <c r="C988" t="s">
        <v>640</v>
      </c>
      <c r="D988" t="s">
        <v>660</v>
      </c>
      <c r="E988" t="s">
        <v>64</v>
      </c>
      <c r="F988" t="s">
        <v>9827</v>
      </c>
      <c r="G988" t="s">
        <v>18065</v>
      </c>
      <c r="H988" t="s">
        <v>1112</v>
      </c>
      <c r="I988" t="s">
        <v>1108</v>
      </c>
      <c r="J988" t="s">
        <v>9828</v>
      </c>
      <c r="K988" t="s">
        <v>9829</v>
      </c>
      <c r="L988" t="s">
        <v>36</v>
      </c>
      <c r="M988" t="s">
        <v>19177</v>
      </c>
      <c r="N988" t="s">
        <v>16375</v>
      </c>
      <c r="O988" t="s">
        <v>640</v>
      </c>
      <c r="P988" t="s">
        <v>623</v>
      </c>
    </row>
    <row r="989">
      <c r="A989">
        <f>HYPERLINK("http://bombeiros.sp.gov.br/hidrantes/03individual/6682.html","6682")</f>
      </c>
      <c r="B989" t="s">
        <v>623</v>
      </c>
      <c r="C989" t="s">
        <v>640</v>
      </c>
      <c r="D989" t="s">
        <v>660</v>
      </c>
      <c r="E989" t="s">
        <v>64</v>
      </c>
      <c r="F989" t="s">
        <v>9830</v>
      </c>
      <c r="G989" t="s">
        <v>18078</v>
      </c>
      <c r="H989" t="s">
        <v>1112</v>
      </c>
      <c r="I989" t="s">
        <v>1108</v>
      </c>
      <c r="J989" t="s">
        <v>9831</v>
      </c>
      <c r="K989" t="s">
        <v>9832</v>
      </c>
      <c r="L989" t="s">
        <v>36</v>
      </c>
      <c r="M989" t="s">
        <v>19177</v>
      </c>
      <c r="N989" t="s">
        <v>16375</v>
      </c>
      <c r="O989" t="s">
        <v>640</v>
      </c>
      <c r="P989" t="s">
        <v>623</v>
      </c>
    </row>
    <row r="990">
      <c r="A990">
        <f>HYPERLINK("http://bombeiros.sp.gov.br/hidrantes/03individual/6683.html","6683")</f>
      </c>
      <c r="B990" t="s">
        <v>623</v>
      </c>
      <c r="C990" t="s">
        <v>640</v>
      </c>
      <c r="D990" t="s">
        <v>660</v>
      </c>
      <c r="E990" t="s">
        <v>64</v>
      </c>
      <c r="F990" t="s">
        <v>9830</v>
      </c>
      <c r="G990" t="s">
        <v>18078</v>
      </c>
      <c r="H990" t="s">
        <v>1112</v>
      </c>
      <c r="I990" t="s">
        <v>1108</v>
      </c>
      <c r="J990" t="s">
        <v>9833</v>
      </c>
      <c r="K990" t="s">
        <v>9834</v>
      </c>
      <c r="L990" t="s">
        <v>21</v>
      </c>
      <c r="M990" t="s">
        <v>19177</v>
      </c>
      <c r="N990" t="s">
        <v>16375</v>
      </c>
      <c r="O990" t="s">
        <v>640</v>
      </c>
      <c r="P990" t="s">
        <v>623</v>
      </c>
    </row>
    <row r="991">
      <c r="A991">
        <f>HYPERLINK("http://bombeiros.sp.gov.br/hidrantes/03individual/27031.html","27031")</f>
      </c>
      <c r="B991" t="s">
        <v>623</v>
      </c>
      <c r="C991" t="s">
        <v>640</v>
      </c>
      <c r="D991" t="s">
        <v>660</v>
      </c>
      <c r="E991" t="s">
        <v>64</v>
      </c>
      <c r="F991" t="s">
        <v>16606</v>
      </c>
      <c r="G991" t="s">
        <v>17928</v>
      </c>
      <c r="H991" t="s">
        <v>1121</v>
      </c>
      <c r="I991" t="s">
        <v>1117</v>
      </c>
      <c r="J991" t="s">
        <v>16607</v>
      </c>
      <c r="K991" t="s">
        <v>16608</v>
      </c>
      <c r="L991" t="s">
        <v>21</v>
      </c>
      <c r="M991" t="s">
        <v>19177</v>
      </c>
      <c r="N991" t="s">
        <v>16375</v>
      </c>
      <c r="O991" t="s">
        <v>640</v>
      </c>
      <c r="P991" t="s">
        <v>623</v>
      </c>
    </row>
    <row r="992">
      <c r="A992">
        <f>HYPERLINK("http://bombeiros.sp.gov.br/hidrantes/03individual/27032.html","27032")</f>
      </c>
      <c r="B992" t="s">
        <v>623</v>
      </c>
      <c r="C992" t="s">
        <v>640</v>
      </c>
      <c r="D992" t="s">
        <v>660</v>
      </c>
      <c r="E992" t="s">
        <v>64</v>
      </c>
      <c r="F992" t="s">
        <v>16609</v>
      </c>
      <c r="G992" t="s">
        <v>17834</v>
      </c>
      <c r="H992" t="s">
        <v>1112</v>
      </c>
      <c r="I992" t="s">
        <v>1108</v>
      </c>
      <c r="J992" t="s">
        <v>16610</v>
      </c>
      <c r="K992" t="s">
        <v>16611</v>
      </c>
      <c r="L992" t="s">
        <v>21</v>
      </c>
      <c r="M992" t="s">
        <v>19177</v>
      </c>
      <c r="N992" t="s">
        <v>16375</v>
      </c>
      <c r="O992" t="s">
        <v>640</v>
      </c>
      <c r="P992" t="s">
        <v>623</v>
      </c>
    </row>
    <row r="993">
      <c r="A993">
        <f>HYPERLINK("http://bombeiros.sp.gov.br/hidrantes/03individual/27033.html","27033")</f>
      </c>
      <c r="B993" t="s">
        <v>623</v>
      </c>
      <c r="C993" t="s">
        <v>640</v>
      </c>
      <c r="D993" t="s">
        <v>660</v>
      </c>
      <c r="E993" t="s">
        <v>64</v>
      </c>
      <c r="F993" t="s">
        <v>16612</v>
      </c>
      <c r="G993" t="s">
        <v>18065</v>
      </c>
      <c r="H993" t="s">
        <v>1112</v>
      </c>
      <c r="I993" t="s">
        <v>1108</v>
      </c>
      <c r="J993" t="s">
        <v>16613</v>
      </c>
      <c r="K993" t="s">
        <v>16614</v>
      </c>
      <c r="L993" t="s">
        <v>21</v>
      </c>
      <c r="M993" t="s">
        <v>19177</v>
      </c>
      <c r="N993" t="s">
        <v>16375</v>
      </c>
      <c r="O993" t="s">
        <v>640</v>
      </c>
      <c r="P993" t="s">
        <v>623</v>
      </c>
    </row>
    <row r="994">
      <c r="A994">
        <f>HYPERLINK("http://bombeiros.sp.gov.br/hidrantes/03individual/27069.html","27069")</f>
      </c>
      <c r="B994" t="s">
        <v>623</v>
      </c>
      <c r="C994" t="s">
        <v>640</v>
      </c>
      <c r="D994" t="s">
        <v>660</v>
      </c>
      <c r="E994" t="s">
        <v>64</v>
      </c>
      <c r="F994" t="s">
        <v>16752</v>
      </c>
      <c r="G994" t="s">
        <v>18084</v>
      </c>
      <c r="H994" t="s">
        <v>1112</v>
      </c>
      <c r="I994" t="s">
        <v>1108</v>
      </c>
      <c r="J994" t="s">
        <v>16753</v>
      </c>
      <c r="K994" t="s">
        <v>16754</v>
      </c>
      <c r="L994" t="s">
        <v>21</v>
      </c>
      <c r="M994" t="s">
        <v>19177</v>
      </c>
      <c r="N994" t="s">
        <v>16375</v>
      </c>
      <c r="O994" t="s">
        <v>640</v>
      </c>
      <c r="P994" t="s">
        <v>623</v>
      </c>
    </row>
    <row r="995">
      <c r="A995">
        <f>HYPERLINK("http://bombeiros.sp.gov.br/hidrantes/03individual/2129.html","2129")</f>
      </c>
      <c r="B995" t="s">
        <v>623</v>
      </c>
      <c r="C995" t="s">
        <v>640</v>
      </c>
      <c r="D995" t="s">
        <v>660</v>
      </c>
      <c r="E995" t="s">
        <v>15</v>
      </c>
      <c r="F995" t="s">
        <v>9844</v>
      </c>
      <c r="G995" t="s">
        <v>17855</v>
      </c>
      <c r="H995" t="s">
        <v>1112</v>
      </c>
      <c r="I995" t="s">
        <v>1108</v>
      </c>
      <c r="J995" t="s">
        <v>9845</v>
      </c>
      <c r="K995" t="s">
        <v>9846</v>
      </c>
      <c r="L995" t="s">
        <v>21</v>
      </c>
      <c r="M995" t="s">
        <v>19177</v>
      </c>
      <c r="N995" t="s">
        <v>16375</v>
      </c>
      <c r="O995" t="s">
        <v>640</v>
      </c>
      <c r="P995" t="s">
        <v>623</v>
      </c>
    </row>
    <row r="996">
      <c r="A996">
        <f>HYPERLINK("http://bombeiros.sp.gov.br/hidrantes/03individual/2131.html","2131")</f>
      </c>
      <c r="B996" t="s">
        <v>623</v>
      </c>
      <c r="C996" t="s">
        <v>640</v>
      </c>
      <c r="D996" t="s">
        <v>660</v>
      </c>
      <c r="E996" t="s">
        <v>15</v>
      </c>
      <c r="F996" t="s">
        <v>9847</v>
      </c>
      <c r="G996" t="s">
        <v>18084</v>
      </c>
      <c r="H996" t="s">
        <v>1112</v>
      </c>
      <c r="I996" t="s">
        <v>1108</v>
      </c>
      <c r="J996" t="s">
        <v>9848</v>
      </c>
      <c r="K996" t="s">
        <v>9849</v>
      </c>
      <c r="L996" t="s">
        <v>21</v>
      </c>
      <c r="M996" t="s">
        <v>19177</v>
      </c>
      <c r="N996" t="s">
        <v>16375</v>
      </c>
      <c r="O996" t="s">
        <v>640</v>
      </c>
      <c r="P996" t="s">
        <v>623</v>
      </c>
    </row>
    <row r="997">
      <c r="A997">
        <f>HYPERLINK("http://bombeiros.sp.gov.br/hidrantes/03individual/4245.html","4245")</f>
      </c>
      <c r="B997" t="s">
        <v>623</v>
      </c>
      <c r="C997" t="s">
        <v>640</v>
      </c>
      <c r="D997" t="s">
        <v>660</v>
      </c>
      <c r="E997" t="s">
        <v>15</v>
      </c>
      <c r="F997" t="s">
        <v>9859</v>
      </c>
      <c r="G997" t="s">
        <v>18084</v>
      </c>
      <c r="H997" t="s">
        <v>1112</v>
      </c>
      <c r="I997" t="s">
        <v>1108</v>
      </c>
      <c r="J997" t="s">
        <v>9860</v>
      </c>
      <c r="K997" t="s">
        <v>9861</v>
      </c>
      <c r="L997" t="s">
        <v>21</v>
      </c>
      <c r="M997" t="s">
        <v>19177</v>
      </c>
      <c r="N997" t="s">
        <v>16375</v>
      </c>
      <c r="O997" t="s">
        <v>640</v>
      </c>
      <c r="P997" t="s">
        <v>623</v>
      </c>
    </row>
    <row r="998">
      <c r="A998">
        <f>HYPERLINK("http://bombeiros.sp.gov.br/hidrantes/03individual/1287.html","1287")</f>
      </c>
      <c r="B998" t="s">
        <v>623</v>
      </c>
      <c r="C998" t="s">
        <v>640</v>
      </c>
      <c r="D998" t="s">
        <v>669</v>
      </c>
      <c r="E998" t="s">
        <v>64</v>
      </c>
      <c r="F998" t="s">
        <v>9874</v>
      </c>
      <c r="G998" t="s">
        <v>18207</v>
      </c>
      <c r="H998" t="s">
        <v>1112</v>
      </c>
      <c r="I998" t="s">
        <v>1108</v>
      </c>
      <c r="J998" t="s">
        <v>9875</v>
      </c>
      <c r="K998" t="s">
        <v>9876</v>
      </c>
      <c r="L998" t="s">
        <v>36</v>
      </c>
      <c r="M998" t="s">
        <v>19177</v>
      </c>
      <c r="N998" t="s">
        <v>16375</v>
      </c>
      <c r="O998" t="s">
        <v>640</v>
      </c>
      <c r="P998" t="s">
        <v>623</v>
      </c>
    </row>
    <row r="999">
      <c r="A999">
        <f>HYPERLINK("http://bombeiros.sp.gov.br/hidrantes/03individual/4255.html","4255")</f>
      </c>
      <c r="B999" t="s">
        <v>623</v>
      </c>
      <c r="C999" t="s">
        <v>640</v>
      </c>
      <c r="D999" t="s">
        <v>669</v>
      </c>
      <c r="E999" t="s">
        <v>64</v>
      </c>
      <c r="F999" t="s">
        <v>9877</v>
      </c>
      <c r="G999" t="s">
        <v>18207</v>
      </c>
      <c r="H999" t="s">
        <v>1112</v>
      </c>
      <c r="I999" t="s">
        <v>1108</v>
      </c>
      <c r="J999" t="s">
        <v>9878</v>
      </c>
      <c r="K999" t="s">
        <v>9879</v>
      </c>
      <c r="L999" t="s">
        <v>36</v>
      </c>
      <c r="M999" t="s">
        <v>19177</v>
      </c>
      <c r="N999" t="s">
        <v>16375</v>
      </c>
      <c r="O999" t="s">
        <v>640</v>
      </c>
      <c r="P999" t="s">
        <v>623</v>
      </c>
    </row>
    <row r="1000">
      <c r="A1000">
        <f>HYPERLINK("http://bombeiros.sp.gov.br/hidrantes/03individual/4256.html","4256")</f>
      </c>
      <c r="B1000" t="s">
        <v>623</v>
      </c>
      <c r="C1000" t="s">
        <v>640</v>
      </c>
      <c r="D1000" t="s">
        <v>669</v>
      </c>
      <c r="E1000" t="s">
        <v>64</v>
      </c>
      <c r="F1000" t="s">
        <v>9880</v>
      </c>
      <c r="G1000" t="s">
        <v>18132</v>
      </c>
      <c r="H1000" t="s">
        <v>1107</v>
      </c>
      <c r="I1000" t="s">
        <v>1108</v>
      </c>
      <c r="J1000" t="s">
        <v>9881</v>
      </c>
      <c r="K1000" t="s">
        <v>9882</v>
      </c>
      <c r="L1000" t="s">
        <v>36</v>
      </c>
      <c r="M1000" t="s">
        <v>19177</v>
      </c>
      <c r="N1000" t="s">
        <v>16375</v>
      </c>
      <c r="O1000" t="s">
        <v>640</v>
      </c>
      <c r="P1000" t="s">
        <v>623</v>
      </c>
    </row>
    <row r="1001">
      <c r="A1001">
        <f>HYPERLINK("http://bombeiros.sp.gov.br/hidrantes/03individual/16308.html","16308")</f>
      </c>
      <c r="B1001" t="s">
        <v>623</v>
      </c>
      <c r="C1001" t="s">
        <v>640</v>
      </c>
      <c r="D1001" t="s">
        <v>669</v>
      </c>
      <c r="E1001" t="s">
        <v>64</v>
      </c>
      <c r="F1001" t="s">
        <v>9883</v>
      </c>
      <c r="G1001" t="s">
        <v>18078</v>
      </c>
      <c r="H1001" t="s">
        <v>1112</v>
      </c>
      <c r="I1001" t="s">
        <v>1108</v>
      </c>
      <c r="J1001" t="s">
        <v>9884</v>
      </c>
      <c r="K1001" t="s">
        <v>9885</v>
      </c>
      <c r="L1001" t="s">
        <v>21</v>
      </c>
      <c r="M1001" t="s">
        <v>19177</v>
      </c>
      <c r="N1001" t="s">
        <v>16375</v>
      </c>
      <c r="O1001" t="s">
        <v>640</v>
      </c>
      <c r="P1001" t="s">
        <v>623</v>
      </c>
    </row>
    <row r="1002">
      <c r="A1002">
        <f>HYPERLINK("http://bombeiros.sp.gov.br/hidrantes/03individual/1320.html","1320")</f>
      </c>
      <c r="B1002" t="s">
        <v>623</v>
      </c>
      <c r="C1002" t="s">
        <v>640</v>
      </c>
      <c r="D1002" t="s">
        <v>669</v>
      </c>
      <c r="E1002" t="s">
        <v>15</v>
      </c>
      <c r="F1002" t="s">
        <v>9889</v>
      </c>
      <c r="G1002" t="s">
        <v>18034</v>
      </c>
      <c r="H1002" t="s">
        <v>1112</v>
      </c>
      <c r="I1002" t="s">
        <v>1108</v>
      </c>
      <c r="J1002" t="s">
        <v>9890</v>
      </c>
      <c r="K1002" t="s">
        <v>9891</v>
      </c>
      <c r="L1002" t="s">
        <v>21</v>
      </c>
      <c r="M1002" t="s">
        <v>19177</v>
      </c>
      <c r="N1002" t="s">
        <v>16375</v>
      </c>
      <c r="O1002" t="s">
        <v>640</v>
      </c>
      <c r="P1002" t="s">
        <v>623</v>
      </c>
    </row>
    <row r="1003">
      <c r="A1003">
        <f>HYPERLINK("http://bombeiros.sp.gov.br/hidrantes/03individual/2225.html","2225")</f>
      </c>
      <c r="B1003" t="s">
        <v>623</v>
      </c>
      <c r="C1003" t="s">
        <v>640</v>
      </c>
      <c r="D1003" t="s">
        <v>669</v>
      </c>
      <c r="E1003" t="s">
        <v>15</v>
      </c>
      <c r="F1003" t="s">
        <v>9892</v>
      </c>
      <c r="G1003" t="s">
        <v>18132</v>
      </c>
      <c r="H1003" t="s">
        <v>1112</v>
      </c>
      <c r="I1003" t="s">
        <v>1108</v>
      </c>
      <c r="J1003" t="s">
        <v>9893</v>
      </c>
      <c r="K1003" t="s">
        <v>9894</v>
      </c>
      <c r="L1003" t="s">
        <v>21</v>
      </c>
      <c r="M1003" t="s">
        <v>19177</v>
      </c>
      <c r="N1003" t="s">
        <v>16375</v>
      </c>
      <c r="O1003" t="s">
        <v>640</v>
      </c>
      <c r="P1003" t="s">
        <v>623</v>
      </c>
    </row>
    <row r="1004">
      <c r="A1004">
        <f>HYPERLINK("http://bombeiros.sp.gov.br/hidrantes/03individual/2278.html","2278")</f>
      </c>
      <c r="B1004" t="s">
        <v>623</v>
      </c>
      <c r="C1004" t="s">
        <v>640</v>
      </c>
      <c r="D1004" t="s">
        <v>669</v>
      </c>
      <c r="E1004" t="s">
        <v>15</v>
      </c>
      <c r="F1004" t="s">
        <v>9901</v>
      </c>
      <c r="G1004" t="s">
        <v>18132</v>
      </c>
      <c r="H1004" t="s">
        <v>1112</v>
      </c>
      <c r="I1004" t="s">
        <v>1108</v>
      </c>
      <c r="J1004" t="s">
        <v>9902</v>
      </c>
      <c r="K1004" t="s">
        <v>9903</v>
      </c>
      <c r="L1004" t="s">
        <v>21</v>
      </c>
      <c r="M1004" t="s">
        <v>19177</v>
      </c>
      <c r="N1004" t="s">
        <v>16375</v>
      </c>
      <c r="O1004" t="s">
        <v>640</v>
      </c>
      <c r="P1004" t="s">
        <v>623</v>
      </c>
    </row>
    <row r="1005">
      <c r="A1005">
        <f>HYPERLINK("http://bombeiros.sp.gov.br/hidrantes/03individual/4248.html","4248")</f>
      </c>
      <c r="B1005" t="s">
        <v>623</v>
      </c>
      <c r="C1005" t="s">
        <v>640</v>
      </c>
      <c r="D1005" t="s">
        <v>669</v>
      </c>
      <c r="E1005" t="s">
        <v>15</v>
      </c>
      <c r="F1005" t="s">
        <v>9910</v>
      </c>
      <c r="G1005" t="s">
        <v>18194</v>
      </c>
      <c r="H1005" t="s">
        <v>1112</v>
      </c>
      <c r="I1005" t="s">
        <v>1108</v>
      </c>
      <c r="J1005" t="s">
        <v>9911</v>
      </c>
      <c r="K1005" t="s">
        <v>9912</v>
      </c>
      <c r="L1005" t="s">
        <v>21</v>
      </c>
      <c r="M1005" t="s">
        <v>19177</v>
      </c>
      <c r="N1005" t="s">
        <v>16375</v>
      </c>
      <c r="O1005" t="s">
        <v>640</v>
      </c>
      <c r="P1005" t="s">
        <v>623</v>
      </c>
    </row>
    <row r="1006">
      <c r="A1006">
        <f>HYPERLINK("http://bombeiros.sp.gov.br/hidrantes/03individual/15022.html","15022")</f>
      </c>
      <c r="B1006" t="s">
        <v>623</v>
      </c>
      <c r="C1006" t="s">
        <v>640</v>
      </c>
      <c r="D1006" t="s">
        <v>669</v>
      </c>
      <c r="E1006" t="s">
        <v>15</v>
      </c>
      <c r="F1006" t="s">
        <v>9913</v>
      </c>
      <c r="G1006" t="s">
        <v>18207</v>
      </c>
      <c r="H1006" t="s">
        <v>1112</v>
      </c>
      <c r="I1006" t="s">
        <v>1108</v>
      </c>
      <c r="J1006" t="s">
        <v>9915</v>
      </c>
      <c r="K1006" t="s">
        <v>9916</v>
      </c>
      <c r="L1006" t="s">
        <v>21</v>
      </c>
      <c r="M1006" t="s">
        <v>19177</v>
      </c>
      <c r="N1006" t="s">
        <v>16375</v>
      </c>
      <c r="O1006" t="s">
        <v>640</v>
      </c>
      <c r="P1006" t="s">
        <v>623</v>
      </c>
    </row>
    <row r="1007">
      <c r="A1007">
        <f>HYPERLINK("http://bombeiros.sp.gov.br/hidrantes/03individual/16539.html","16539")</f>
      </c>
      <c r="B1007" t="s">
        <v>623</v>
      </c>
      <c r="C1007" t="s">
        <v>640</v>
      </c>
      <c r="D1007" t="s">
        <v>669</v>
      </c>
      <c r="E1007" t="s">
        <v>15</v>
      </c>
      <c r="F1007" t="s">
        <v>9917</v>
      </c>
      <c r="G1007" t="s">
        <v>17965</v>
      </c>
      <c r="H1007" t="s">
        <v>1112</v>
      </c>
      <c r="I1007" t="s">
        <v>1108</v>
      </c>
      <c r="J1007" t="s">
        <v>9919</v>
      </c>
      <c r="K1007" t="s">
        <v>9920</v>
      </c>
      <c r="L1007" t="s">
        <v>21</v>
      </c>
      <c r="M1007" t="s">
        <v>19177</v>
      </c>
      <c r="N1007" t="s">
        <v>16375</v>
      </c>
      <c r="O1007" t="s">
        <v>640</v>
      </c>
      <c r="P1007" t="s">
        <v>623</v>
      </c>
    </row>
    <row r="1008">
      <c r="A1008">
        <f>HYPERLINK("http://bombeiros.sp.gov.br/hidrantes/03individual/1419.html","1419")</f>
      </c>
      <c r="B1008" t="s">
        <v>623</v>
      </c>
      <c r="C1008" t="s">
        <v>674</v>
      </c>
      <c r="D1008" t="s">
        <v>675</v>
      </c>
      <c r="E1008" t="s">
        <v>64</v>
      </c>
      <c r="F1008" t="s">
        <v>9921</v>
      </c>
      <c r="G1008" t="s">
        <v>17927</v>
      </c>
      <c r="H1008" t="s">
        <v>1112</v>
      </c>
      <c r="I1008" t="s">
        <v>1108</v>
      </c>
      <c r="J1008" t="s">
        <v>9922</v>
      </c>
      <c r="K1008" t="s">
        <v>9923</v>
      </c>
      <c r="L1008" t="s">
        <v>21</v>
      </c>
      <c r="M1008" t="s">
        <v>19177</v>
      </c>
      <c r="N1008" t="s">
        <v>714</v>
      </c>
      <c r="O1008" t="s">
        <v>10263</v>
      </c>
      <c r="P1008" t="s">
        <v>12</v>
      </c>
    </row>
    <row r="1009">
      <c r="A1009">
        <f>HYPERLINK("http://bombeiros.sp.gov.br/hidrantes/03individual/3935.html","3935")</f>
      </c>
      <c r="B1009" t="s">
        <v>623</v>
      </c>
      <c r="C1009" t="s">
        <v>674</v>
      </c>
      <c r="D1009" t="s">
        <v>675</v>
      </c>
      <c r="E1009" t="s">
        <v>64</v>
      </c>
      <c r="F1009" t="s">
        <v>9927</v>
      </c>
      <c r="G1009" t="s">
        <v>18214</v>
      </c>
      <c r="H1009" t="s">
        <v>1112</v>
      </c>
      <c r="I1009" t="s">
        <v>1108</v>
      </c>
      <c r="J1009" t="s">
        <v>9928</v>
      </c>
      <c r="K1009" t="s">
        <v>9929</v>
      </c>
      <c r="L1009" t="s">
        <v>21</v>
      </c>
      <c r="M1009" t="s">
        <v>19177</v>
      </c>
      <c r="N1009" t="s">
        <v>1024</v>
      </c>
      <c r="O1009" t="s">
        <v>1024</v>
      </c>
      <c r="P1009" t="s">
        <v>842</v>
      </c>
    </row>
    <row r="1010">
      <c r="A1010">
        <f>HYPERLINK("http://bombeiros.sp.gov.br/hidrantes/03individual/4384.html","4384")</f>
      </c>
      <c r="B1010" t="s">
        <v>623</v>
      </c>
      <c r="C1010" t="s">
        <v>674</v>
      </c>
      <c r="D1010" t="s">
        <v>675</v>
      </c>
      <c r="E1010" t="s">
        <v>15</v>
      </c>
      <c r="F1010" t="s">
        <v>9933</v>
      </c>
      <c r="G1010" t="s">
        <v>18146</v>
      </c>
      <c r="H1010" t="s">
        <v>1112</v>
      </c>
      <c r="I1010" t="s">
        <v>1108</v>
      </c>
      <c r="J1010" t="s">
        <v>9934</v>
      </c>
      <c r="K1010" t="s">
        <v>9935</v>
      </c>
      <c r="L1010" t="s">
        <v>21</v>
      </c>
      <c r="M1010" t="s">
        <v>19177</v>
      </c>
      <c r="N1010" t="s">
        <v>1024</v>
      </c>
      <c r="O1010" t="s">
        <v>1024</v>
      </c>
      <c r="P1010" t="s">
        <v>842</v>
      </c>
    </row>
    <row r="1011">
      <c r="A1011">
        <f>HYPERLINK("http://bombeiros.sp.gov.br/hidrantes/03individual/3942.html","3942")</f>
      </c>
      <c r="B1011" t="s">
        <v>623</v>
      </c>
      <c r="C1011" t="s">
        <v>674</v>
      </c>
      <c r="D1011" t="s">
        <v>9936</v>
      </c>
      <c r="E1011" t="s">
        <v>15</v>
      </c>
      <c r="F1011" t="s">
        <v>9947</v>
      </c>
      <c r="G1011" t="s">
        <v>18147</v>
      </c>
      <c r="H1011" t="s">
        <v>1112</v>
      </c>
      <c r="I1011" t="s">
        <v>1108</v>
      </c>
      <c r="J1011" t="s">
        <v>9948</v>
      </c>
      <c r="K1011" t="s">
        <v>9949</v>
      </c>
      <c r="L1011" t="s">
        <v>21</v>
      </c>
      <c r="M1011" t="s">
        <v>19177</v>
      </c>
      <c r="N1011" t="s">
        <v>1024</v>
      </c>
      <c r="O1011" t="s">
        <v>1024</v>
      </c>
      <c r="P1011" t="s">
        <v>842</v>
      </c>
    </row>
    <row r="1012">
      <c r="A1012">
        <f>HYPERLINK("http://bombeiros.sp.gov.br/hidrantes/03individual/3968.html","3968")</f>
      </c>
      <c r="B1012" t="s">
        <v>623</v>
      </c>
      <c r="C1012" t="s">
        <v>674</v>
      </c>
      <c r="D1012" t="s">
        <v>9936</v>
      </c>
      <c r="E1012" t="s">
        <v>15</v>
      </c>
      <c r="F1012" t="s">
        <v>9956</v>
      </c>
      <c r="G1012" t="s">
        <v>18090</v>
      </c>
      <c r="H1012" t="s">
        <v>1112</v>
      </c>
      <c r="I1012" t="s">
        <v>1108</v>
      </c>
      <c r="J1012" t="s">
        <v>9957</v>
      </c>
      <c r="K1012" t="s">
        <v>9958</v>
      </c>
      <c r="L1012" t="s">
        <v>21</v>
      </c>
      <c r="M1012" t="s">
        <v>19177</v>
      </c>
      <c r="N1012" t="s">
        <v>1024</v>
      </c>
      <c r="O1012" t="s">
        <v>1024</v>
      </c>
      <c r="P1012" t="s">
        <v>842</v>
      </c>
    </row>
    <row r="1013">
      <c r="A1013">
        <f>HYPERLINK("http://bombeiros.sp.gov.br/hidrantes/03individual/3970.html","3970")</f>
      </c>
      <c r="B1013" t="s">
        <v>623</v>
      </c>
      <c r="C1013" t="s">
        <v>674</v>
      </c>
      <c r="D1013" t="s">
        <v>9936</v>
      </c>
      <c r="E1013" t="s">
        <v>15</v>
      </c>
      <c r="F1013" t="s">
        <v>9959</v>
      </c>
      <c r="G1013" t="s">
        <v>18090</v>
      </c>
      <c r="H1013" t="s">
        <v>1112</v>
      </c>
      <c r="I1013" t="s">
        <v>1108</v>
      </c>
      <c r="J1013" t="s">
        <v>9960</v>
      </c>
      <c r="K1013" t="s">
        <v>9961</v>
      </c>
      <c r="L1013" t="s">
        <v>21</v>
      </c>
      <c r="M1013" t="s">
        <v>19177</v>
      </c>
      <c r="N1013" t="s">
        <v>1024</v>
      </c>
      <c r="O1013" t="s">
        <v>1024</v>
      </c>
      <c r="P1013" t="s">
        <v>842</v>
      </c>
    </row>
    <row r="1014">
      <c r="A1014">
        <f>HYPERLINK("http://bombeiros.sp.gov.br/hidrantes/03individual/3971.html","3971")</f>
      </c>
      <c r="B1014" t="s">
        <v>623</v>
      </c>
      <c r="C1014" t="s">
        <v>674</v>
      </c>
      <c r="D1014" t="s">
        <v>9936</v>
      </c>
      <c r="E1014" t="s">
        <v>15</v>
      </c>
      <c r="F1014" t="s">
        <v>9962</v>
      </c>
      <c r="G1014" t="s">
        <v>18147</v>
      </c>
      <c r="H1014" t="s">
        <v>1107</v>
      </c>
      <c r="I1014" t="s">
        <v>1108</v>
      </c>
      <c r="J1014" t="s">
        <v>9963</v>
      </c>
      <c r="K1014" t="s">
        <v>9964</v>
      </c>
      <c r="L1014" t="s">
        <v>21</v>
      </c>
      <c r="M1014" t="s">
        <v>19177</v>
      </c>
      <c r="N1014" t="s">
        <v>1024</v>
      </c>
      <c r="O1014" t="s">
        <v>1024</v>
      </c>
      <c r="P1014" t="s">
        <v>842</v>
      </c>
    </row>
    <row r="1015">
      <c r="A1015">
        <f>HYPERLINK("http://bombeiros.sp.gov.br/hidrantes/03individual/4159.html","4159")</f>
      </c>
      <c r="B1015" t="s">
        <v>623</v>
      </c>
      <c r="C1015" t="s">
        <v>674</v>
      </c>
      <c r="D1015" t="s">
        <v>9936</v>
      </c>
      <c r="E1015" t="s">
        <v>15</v>
      </c>
      <c r="F1015" t="s">
        <v>9968</v>
      </c>
      <c r="G1015" t="s">
        <v>18146</v>
      </c>
      <c r="H1015" t="s">
        <v>1112</v>
      </c>
      <c r="I1015" t="s">
        <v>1108</v>
      </c>
      <c r="J1015" t="s">
        <v>9969</v>
      </c>
      <c r="K1015" t="s">
        <v>9970</v>
      </c>
      <c r="L1015" t="s">
        <v>36</v>
      </c>
      <c r="M1015" t="s">
        <v>19177</v>
      </c>
      <c r="N1015" t="s">
        <v>1024</v>
      </c>
      <c r="O1015" t="s">
        <v>1024</v>
      </c>
      <c r="P1015" t="s">
        <v>842</v>
      </c>
    </row>
    <row r="1016">
      <c r="A1016">
        <f>HYPERLINK("http://bombeiros.sp.gov.br/hidrantes/03individual/4162.html","4162")</f>
      </c>
      <c r="B1016" t="s">
        <v>623</v>
      </c>
      <c r="C1016" t="s">
        <v>674</v>
      </c>
      <c r="D1016" t="s">
        <v>9936</v>
      </c>
      <c r="E1016" t="s">
        <v>15</v>
      </c>
      <c r="F1016" t="s">
        <v>9971</v>
      </c>
      <c r="G1016" t="s">
        <v>18090</v>
      </c>
      <c r="H1016" t="s">
        <v>1112</v>
      </c>
      <c r="I1016" t="s">
        <v>1108</v>
      </c>
      <c r="J1016" t="s">
        <v>9972</v>
      </c>
      <c r="K1016" t="s">
        <v>9973</v>
      </c>
      <c r="L1016" t="s">
        <v>21</v>
      </c>
      <c r="M1016" t="s">
        <v>19177</v>
      </c>
      <c r="N1016" t="s">
        <v>1024</v>
      </c>
      <c r="O1016" t="s">
        <v>1024</v>
      </c>
      <c r="P1016" t="s">
        <v>842</v>
      </c>
    </row>
    <row r="1017">
      <c r="A1017">
        <f>HYPERLINK("http://bombeiros.sp.gov.br/hidrantes/03individual/4166.html","4166")</f>
      </c>
      <c r="B1017" t="s">
        <v>623</v>
      </c>
      <c r="C1017" t="s">
        <v>674</v>
      </c>
      <c r="D1017" t="s">
        <v>9936</v>
      </c>
      <c r="E1017" t="s">
        <v>15</v>
      </c>
      <c r="F1017" t="s">
        <v>9974</v>
      </c>
      <c r="G1017" t="s">
        <v>18146</v>
      </c>
      <c r="H1017" t="s">
        <v>1112</v>
      </c>
      <c r="I1017" t="s">
        <v>1108</v>
      </c>
      <c r="J1017" t="s">
        <v>9975</v>
      </c>
      <c r="K1017" t="s">
        <v>9976</v>
      </c>
      <c r="L1017" t="s">
        <v>21</v>
      </c>
      <c r="M1017" t="s">
        <v>19177</v>
      </c>
      <c r="N1017" t="s">
        <v>1024</v>
      </c>
      <c r="O1017" t="s">
        <v>1024</v>
      </c>
      <c r="P1017" t="s">
        <v>842</v>
      </c>
    </row>
    <row r="1018">
      <c r="A1018">
        <f>HYPERLINK("http://bombeiros.sp.gov.br/hidrantes/03individual/26771.html","26771")</f>
      </c>
      <c r="B1018" t="s">
        <v>623</v>
      </c>
      <c r="C1018" t="s">
        <v>674</v>
      </c>
      <c r="D1018" t="s">
        <v>9936</v>
      </c>
      <c r="E1018" t="s">
        <v>15</v>
      </c>
      <c r="F1018" t="s">
        <v>9986</v>
      </c>
      <c r="G1018" t="s">
        <v>18147</v>
      </c>
      <c r="H1018" t="s">
        <v>1107</v>
      </c>
      <c r="I1018" t="s">
        <v>1108</v>
      </c>
      <c r="J1018" t="s">
        <v>9987</v>
      </c>
      <c r="K1018" t="s">
        <v>9988</v>
      </c>
      <c r="L1018" t="s">
        <v>21</v>
      </c>
      <c r="M1018" t="s">
        <v>19177</v>
      </c>
      <c r="N1018" t="s">
        <v>1024</v>
      </c>
      <c r="O1018" t="s">
        <v>1024</v>
      </c>
      <c r="P1018" t="s">
        <v>842</v>
      </c>
    </row>
    <row r="1019">
      <c r="A1019">
        <f>HYPERLINK("http://bombeiros.sp.gov.br/hidrantes/03individual/27204.html","27204")</f>
      </c>
      <c r="B1019" t="s">
        <v>623</v>
      </c>
      <c r="C1019" t="s">
        <v>674</v>
      </c>
      <c r="D1019" t="s">
        <v>9936</v>
      </c>
      <c r="E1019" t="s">
        <v>15</v>
      </c>
      <c r="F1019" t="s">
        <v>16956</v>
      </c>
      <c r="G1019" t="s">
        <v>18146</v>
      </c>
      <c r="H1019" t="s">
        <v>1112</v>
      </c>
      <c r="I1019" t="s">
        <v>1108</v>
      </c>
      <c r="J1019" t="s">
        <v>16957</v>
      </c>
      <c r="K1019" t="s">
        <v>16958</v>
      </c>
      <c r="L1019" t="s">
        <v>21</v>
      </c>
      <c r="M1019" t="s">
        <v>19177</v>
      </c>
      <c r="N1019" t="s">
        <v>1024</v>
      </c>
      <c r="O1019" t="s">
        <v>1024</v>
      </c>
      <c r="P1019" t="s">
        <v>842</v>
      </c>
    </row>
    <row r="1020">
      <c r="A1020">
        <f>HYPERLINK("http://bombeiros.sp.gov.br/hidrantes/03individual/1568.html","1568")</f>
      </c>
      <c r="B1020" t="s">
        <v>623</v>
      </c>
      <c r="C1020" t="s">
        <v>674</v>
      </c>
      <c r="D1020" t="s">
        <v>9989</v>
      </c>
      <c r="E1020" t="s">
        <v>64</v>
      </c>
      <c r="F1020" t="s">
        <v>9993</v>
      </c>
      <c r="G1020" t="s">
        <v>17960</v>
      </c>
      <c r="H1020" t="s">
        <v>1121</v>
      </c>
      <c r="I1020" t="s">
        <v>1117</v>
      </c>
      <c r="J1020" t="s">
        <v>9994</v>
      </c>
      <c r="K1020" t="s">
        <v>9995</v>
      </c>
      <c r="L1020" t="s">
        <v>21</v>
      </c>
      <c r="M1020" t="s">
        <v>19177</v>
      </c>
      <c r="N1020" t="s">
        <v>714</v>
      </c>
      <c r="O1020" t="s">
        <v>10263</v>
      </c>
      <c r="P1020" t="s">
        <v>12</v>
      </c>
    </row>
    <row r="1021">
      <c r="A1021">
        <f>HYPERLINK("http://bombeiros.sp.gov.br/hidrantes/03individual/1498.html","1498")</f>
      </c>
      <c r="B1021" t="s">
        <v>623</v>
      </c>
      <c r="C1021" t="s">
        <v>674</v>
      </c>
      <c r="D1021" t="s">
        <v>9989</v>
      </c>
      <c r="E1021" t="s">
        <v>15</v>
      </c>
      <c r="F1021" t="s">
        <v>9999</v>
      </c>
      <c r="G1021" t="s">
        <v>17960</v>
      </c>
      <c r="H1021" t="s">
        <v>1112</v>
      </c>
      <c r="I1021" t="s">
        <v>1108</v>
      </c>
      <c r="J1021" t="s">
        <v>15994</v>
      </c>
      <c r="K1021" t="s">
        <v>15995</v>
      </c>
      <c r="L1021" t="s">
        <v>36</v>
      </c>
      <c r="M1021" t="s">
        <v>19177</v>
      </c>
      <c r="N1021" t="s">
        <v>714</v>
      </c>
      <c r="O1021" t="s">
        <v>10263</v>
      </c>
      <c r="P1021" t="s">
        <v>12</v>
      </c>
    </row>
    <row r="1022">
      <c r="A1022">
        <f>HYPERLINK("http://bombeiros.sp.gov.br/hidrantes/03individual/1501.html","1501")</f>
      </c>
      <c r="B1022" t="s">
        <v>623</v>
      </c>
      <c r="C1022" t="s">
        <v>674</v>
      </c>
      <c r="D1022" t="s">
        <v>9989</v>
      </c>
      <c r="E1022" t="s">
        <v>15</v>
      </c>
      <c r="F1022" t="s">
        <v>10002</v>
      </c>
      <c r="G1022" t="s">
        <v>17960</v>
      </c>
      <c r="H1022" t="s">
        <v>1112</v>
      </c>
      <c r="I1022" t="s">
        <v>1108</v>
      </c>
      <c r="J1022" t="s">
        <v>10003</v>
      </c>
      <c r="K1022" t="s">
        <v>10004</v>
      </c>
      <c r="L1022" t="s">
        <v>21</v>
      </c>
      <c r="M1022" t="s">
        <v>19177</v>
      </c>
      <c r="N1022" t="s">
        <v>714</v>
      </c>
      <c r="O1022" t="s">
        <v>10263</v>
      </c>
      <c r="P1022" t="s">
        <v>12</v>
      </c>
    </row>
    <row r="1023">
      <c r="A1023">
        <f>HYPERLINK("http://bombeiros.sp.gov.br/hidrantes/03individual/1554.html","1554")</f>
      </c>
      <c r="B1023" t="s">
        <v>623</v>
      </c>
      <c r="C1023" t="s">
        <v>674</v>
      </c>
      <c r="D1023" t="s">
        <v>9989</v>
      </c>
      <c r="E1023" t="s">
        <v>15</v>
      </c>
      <c r="F1023" t="s">
        <v>10005</v>
      </c>
      <c r="G1023" t="s">
        <v>17960</v>
      </c>
      <c r="H1023" t="s">
        <v>1112</v>
      </c>
      <c r="I1023" t="s">
        <v>1108</v>
      </c>
      <c r="J1023" t="s">
        <v>10006</v>
      </c>
      <c r="K1023" t="s">
        <v>10007</v>
      </c>
      <c r="L1023" t="s">
        <v>36</v>
      </c>
      <c r="M1023" t="s">
        <v>19177</v>
      </c>
      <c r="N1023" t="s">
        <v>714</v>
      </c>
      <c r="O1023" t="s">
        <v>10263</v>
      </c>
      <c r="P1023" t="s">
        <v>12</v>
      </c>
    </row>
    <row r="1024">
      <c r="A1024">
        <f>HYPERLINK("http://bombeiros.sp.gov.br/hidrantes/03individual/1574.html","1574")</f>
      </c>
      <c r="B1024" t="s">
        <v>623</v>
      </c>
      <c r="C1024" t="s">
        <v>674</v>
      </c>
      <c r="D1024" t="s">
        <v>9989</v>
      </c>
      <c r="E1024" t="s">
        <v>15</v>
      </c>
      <c r="F1024" t="s">
        <v>10008</v>
      </c>
      <c r="G1024" t="s">
        <v>17963</v>
      </c>
      <c r="H1024" t="s">
        <v>1112</v>
      </c>
      <c r="I1024" t="s">
        <v>1108</v>
      </c>
      <c r="J1024" t="s">
        <v>10009</v>
      </c>
      <c r="K1024" t="s">
        <v>10010</v>
      </c>
      <c r="L1024" t="s">
        <v>21</v>
      </c>
      <c r="M1024" t="s">
        <v>19177</v>
      </c>
      <c r="N1024" t="s">
        <v>714</v>
      </c>
      <c r="O1024" t="s">
        <v>10263</v>
      </c>
      <c r="P1024" t="s">
        <v>12</v>
      </c>
    </row>
    <row r="1025">
      <c r="A1025">
        <f>HYPERLINK("http://bombeiros.sp.gov.br/hidrantes/03individual/1599.html","1599")</f>
      </c>
      <c r="B1025" t="s">
        <v>623</v>
      </c>
      <c r="C1025" t="s">
        <v>674</v>
      </c>
      <c r="D1025" t="s">
        <v>9989</v>
      </c>
      <c r="E1025" t="s">
        <v>15</v>
      </c>
      <c r="F1025" t="s">
        <v>10014</v>
      </c>
      <c r="G1025" t="s">
        <v>17927</v>
      </c>
      <c r="H1025" t="s">
        <v>1112</v>
      </c>
      <c r="I1025" t="s">
        <v>1108</v>
      </c>
      <c r="J1025" t="s">
        <v>10015</v>
      </c>
      <c r="K1025" t="s">
        <v>10016</v>
      </c>
      <c r="L1025" t="s">
        <v>21</v>
      </c>
      <c r="M1025" t="s">
        <v>19177</v>
      </c>
      <c r="N1025" t="s">
        <v>714</v>
      </c>
      <c r="O1025" t="s">
        <v>10263</v>
      </c>
      <c r="P1025" t="s">
        <v>12</v>
      </c>
    </row>
    <row r="1026">
      <c r="A1026">
        <f>HYPERLINK("http://bombeiros.sp.gov.br/hidrantes/03individual/3992.html","3992")</f>
      </c>
      <c r="B1026" t="s">
        <v>623</v>
      </c>
      <c r="C1026" t="s">
        <v>674</v>
      </c>
      <c r="D1026" t="s">
        <v>10030</v>
      </c>
      <c r="E1026" t="s">
        <v>64</v>
      </c>
      <c r="F1026" t="s">
        <v>10031</v>
      </c>
      <c r="G1026" t="s">
        <v>18208</v>
      </c>
      <c r="H1026" t="s">
        <v>1121</v>
      </c>
      <c r="I1026" t="s">
        <v>1117</v>
      </c>
      <c r="J1026" t="s">
        <v>10032</v>
      </c>
      <c r="K1026" t="s">
        <v>10033</v>
      </c>
      <c r="L1026" t="s">
        <v>36</v>
      </c>
      <c r="M1026" t="s">
        <v>19177</v>
      </c>
      <c r="N1026" t="s">
        <v>714</v>
      </c>
      <c r="O1026" t="s">
        <v>10263</v>
      </c>
      <c r="P1026" t="s">
        <v>12</v>
      </c>
    </row>
    <row r="1027">
      <c r="A1027">
        <f>HYPERLINK("http://bombeiros.sp.gov.br/hidrantes/03individual/26301.html","26301")</f>
      </c>
      <c r="B1027" t="s">
        <v>623</v>
      </c>
      <c r="C1027" t="s">
        <v>674</v>
      </c>
      <c r="D1027" t="s">
        <v>10030</v>
      </c>
      <c r="E1027" t="s">
        <v>64</v>
      </c>
      <c r="F1027" t="s">
        <v>10034</v>
      </c>
      <c r="G1027" t="s">
        <v>18214</v>
      </c>
      <c r="H1027" t="s">
        <v>1112</v>
      </c>
      <c r="I1027" t="s">
        <v>1108</v>
      </c>
      <c r="J1027" t="s">
        <v>10035</v>
      </c>
      <c r="K1027" t="s">
        <v>10036</v>
      </c>
      <c r="L1027" t="s">
        <v>21</v>
      </c>
      <c r="M1027" t="s">
        <v>19177</v>
      </c>
      <c r="N1027" t="s">
        <v>714</v>
      </c>
      <c r="O1027" t="s">
        <v>10263</v>
      </c>
      <c r="P1027" t="s">
        <v>12</v>
      </c>
    </row>
    <row r="1028">
      <c r="A1028">
        <f>HYPERLINK("http://bombeiros.sp.gov.br/hidrantes/03individual/6701.html","6701")</f>
      </c>
      <c r="B1028" t="s">
        <v>623</v>
      </c>
      <c r="C1028" t="s">
        <v>674</v>
      </c>
      <c r="D1028" t="s">
        <v>10030</v>
      </c>
      <c r="E1028" t="s">
        <v>15</v>
      </c>
      <c r="F1028" t="s">
        <v>10049</v>
      </c>
      <c r="G1028" t="s">
        <v>18208</v>
      </c>
      <c r="H1028" t="s">
        <v>1112</v>
      </c>
      <c r="I1028" t="s">
        <v>1108</v>
      </c>
      <c r="J1028" t="s">
        <v>10050</v>
      </c>
      <c r="K1028" t="s">
        <v>10051</v>
      </c>
      <c r="L1028" t="s">
        <v>21</v>
      </c>
      <c r="M1028" t="s">
        <v>19177</v>
      </c>
      <c r="N1028" t="s">
        <v>714</v>
      </c>
      <c r="O1028" t="s">
        <v>10263</v>
      </c>
      <c r="P1028" t="s">
        <v>12</v>
      </c>
    </row>
    <row r="1029">
      <c r="A1029">
        <f>HYPERLINK("http://bombeiros.sp.gov.br/hidrantes/03individual/3910.html","3910")</f>
      </c>
      <c r="B1029" t="s">
        <v>623</v>
      </c>
      <c r="C1029" t="s">
        <v>674</v>
      </c>
      <c r="D1029" t="s">
        <v>683</v>
      </c>
      <c r="E1029" t="s">
        <v>15</v>
      </c>
      <c r="F1029" t="s">
        <v>10055</v>
      </c>
      <c r="G1029" t="s">
        <v>18152</v>
      </c>
      <c r="H1029" t="s">
        <v>1112</v>
      </c>
      <c r="I1029" t="s">
        <v>1108</v>
      </c>
      <c r="J1029" t="s">
        <v>10056</v>
      </c>
      <c r="K1029" t="s">
        <v>10057</v>
      </c>
      <c r="L1029" t="s">
        <v>21</v>
      </c>
      <c r="M1029" t="s">
        <v>19177</v>
      </c>
      <c r="N1029" t="s">
        <v>1024</v>
      </c>
      <c r="O1029" t="s">
        <v>1024</v>
      </c>
      <c r="P1029" t="s">
        <v>842</v>
      </c>
    </row>
    <row r="1030">
      <c r="A1030">
        <f>HYPERLINK("http://bombeiros.sp.gov.br/hidrantes/03individual/3914.html","3914")</f>
      </c>
      <c r="B1030" t="s">
        <v>623</v>
      </c>
      <c r="C1030" t="s">
        <v>674</v>
      </c>
      <c r="D1030" t="s">
        <v>683</v>
      </c>
      <c r="E1030" t="s">
        <v>15</v>
      </c>
      <c r="F1030" t="s">
        <v>10061</v>
      </c>
      <c r="G1030" t="s">
        <v>18209</v>
      </c>
      <c r="H1030" t="s">
        <v>1112</v>
      </c>
      <c r="I1030" t="s">
        <v>1108</v>
      </c>
      <c r="J1030" t="s">
        <v>10062</v>
      </c>
      <c r="K1030" t="s">
        <v>10063</v>
      </c>
      <c r="L1030" t="s">
        <v>21</v>
      </c>
      <c r="M1030" t="s">
        <v>19177</v>
      </c>
      <c r="N1030" t="s">
        <v>1024</v>
      </c>
      <c r="O1030" t="s">
        <v>1024</v>
      </c>
      <c r="P1030" t="s">
        <v>842</v>
      </c>
    </row>
    <row r="1031">
      <c r="A1031">
        <f>HYPERLINK("http://bombeiros.sp.gov.br/hidrantes/03individual/3916.html","3916")</f>
      </c>
      <c r="B1031" t="s">
        <v>623</v>
      </c>
      <c r="C1031" t="s">
        <v>674</v>
      </c>
      <c r="D1031" t="s">
        <v>683</v>
      </c>
      <c r="E1031" t="s">
        <v>15</v>
      </c>
      <c r="F1031" t="s">
        <v>10064</v>
      </c>
      <c r="G1031" t="s">
        <v>18209</v>
      </c>
      <c r="H1031" t="s">
        <v>1112</v>
      </c>
      <c r="I1031" t="s">
        <v>1108</v>
      </c>
      <c r="J1031" t="s">
        <v>10065</v>
      </c>
      <c r="K1031" t="s">
        <v>10066</v>
      </c>
      <c r="L1031" t="s">
        <v>21</v>
      </c>
      <c r="M1031" t="s">
        <v>19177</v>
      </c>
      <c r="N1031" t="s">
        <v>1024</v>
      </c>
      <c r="O1031" t="s">
        <v>1024</v>
      </c>
      <c r="P1031" t="s">
        <v>842</v>
      </c>
    </row>
    <row r="1032">
      <c r="A1032">
        <f>HYPERLINK("http://bombeiros.sp.gov.br/hidrantes/03individual/4379.html","4379")</f>
      </c>
      <c r="B1032" t="s">
        <v>623</v>
      </c>
      <c r="C1032" t="s">
        <v>674</v>
      </c>
      <c r="D1032" t="s">
        <v>683</v>
      </c>
      <c r="E1032" t="s">
        <v>15</v>
      </c>
      <c r="F1032" t="s">
        <v>10067</v>
      </c>
      <c r="G1032" t="s">
        <v>18152</v>
      </c>
      <c r="H1032" t="s">
        <v>1112</v>
      </c>
      <c r="I1032" t="s">
        <v>1108</v>
      </c>
      <c r="J1032" t="s">
        <v>10068</v>
      </c>
      <c r="K1032" t="s">
        <v>10069</v>
      </c>
      <c r="L1032" t="s">
        <v>21</v>
      </c>
      <c r="M1032" t="s">
        <v>19177</v>
      </c>
      <c r="N1032" t="s">
        <v>1024</v>
      </c>
      <c r="O1032" t="s">
        <v>1024</v>
      </c>
      <c r="P1032" t="s">
        <v>842</v>
      </c>
    </row>
    <row r="1033">
      <c r="A1033">
        <f>HYPERLINK("http://bombeiros.sp.gov.br/hidrantes/03individual/16534.html","16534")</f>
      </c>
      <c r="B1033" t="s">
        <v>623</v>
      </c>
      <c r="C1033" t="s">
        <v>674</v>
      </c>
      <c r="D1033" t="s">
        <v>683</v>
      </c>
      <c r="E1033" t="s">
        <v>15</v>
      </c>
      <c r="F1033" t="s">
        <v>10070</v>
      </c>
      <c r="G1033" t="s">
        <v>18152</v>
      </c>
      <c r="H1033" t="s">
        <v>1112</v>
      </c>
      <c r="I1033" t="s">
        <v>1108</v>
      </c>
      <c r="J1033" t="s">
        <v>10071</v>
      </c>
      <c r="K1033" t="s">
        <v>10072</v>
      </c>
      <c r="L1033" t="s">
        <v>21</v>
      </c>
      <c r="M1033" t="s">
        <v>19177</v>
      </c>
      <c r="N1033" t="s">
        <v>1024</v>
      </c>
      <c r="O1033" t="s">
        <v>1024</v>
      </c>
      <c r="P1033" t="s">
        <v>842</v>
      </c>
    </row>
    <row r="1034">
      <c r="A1034">
        <f>HYPERLINK("http://bombeiros.sp.gov.br/hidrantes/03individual/1432.html","1432")</f>
      </c>
      <c r="B1034" t="s">
        <v>623</v>
      </c>
      <c r="C1034" t="s">
        <v>674</v>
      </c>
      <c r="D1034" t="s">
        <v>10073</v>
      </c>
      <c r="E1034" t="s">
        <v>64</v>
      </c>
      <c r="F1034" t="s">
        <v>10074</v>
      </c>
      <c r="G1034" t="s">
        <v>17927</v>
      </c>
      <c r="H1034" t="s">
        <v>1121</v>
      </c>
      <c r="I1034" t="s">
        <v>1117</v>
      </c>
      <c r="J1034" t="s">
        <v>10075</v>
      </c>
      <c r="K1034" t="s">
        <v>10076</v>
      </c>
      <c r="L1034" t="s">
        <v>36</v>
      </c>
      <c r="M1034" t="s">
        <v>19177</v>
      </c>
      <c r="N1034" t="s">
        <v>714</v>
      </c>
      <c r="O1034" t="s">
        <v>10263</v>
      </c>
      <c r="P1034" t="s">
        <v>12</v>
      </c>
    </row>
    <row r="1035">
      <c r="A1035">
        <f>HYPERLINK("http://bombeiros.sp.gov.br/hidrantes/03individual/1486.html","1486")</f>
      </c>
      <c r="B1035" t="s">
        <v>623</v>
      </c>
      <c r="C1035" t="s">
        <v>674</v>
      </c>
      <c r="D1035" t="s">
        <v>10073</v>
      </c>
      <c r="E1035" t="s">
        <v>64</v>
      </c>
      <c r="F1035" t="s">
        <v>10080</v>
      </c>
      <c r="G1035" t="s">
        <v>17939</v>
      </c>
      <c r="H1035" t="s">
        <v>1112</v>
      </c>
      <c r="I1035" t="s">
        <v>1108</v>
      </c>
      <c r="J1035" t="s">
        <v>10081</v>
      </c>
      <c r="K1035" t="s">
        <v>10082</v>
      </c>
      <c r="L1035" t="s">
        <v>36</v>
      </c>
      <c r="M1035" t="s">
        <v>19177</v>
      </c>
      <c r="N1035" t="s">
        <v>714</v>
      </c>
      <c r="O1035" t="s">
        <v>10263</v>
      </c>
      <c r="P1035" t="s">
        <v>12</v>
      </c>
    </row>
    <row r="1036">
      <c r="A1036">
        <f>HYPERLINK("http://bombeiros.sp.gov.br/hidrantes/03individual/1531.html","1531")</f>
      </c>
      <c r="B1036" t="s">
        <v>623</v>
      </c>
      <c r="C1036" t="s">
        <v>674</v>
      </c>
      <c r="D1036" t="s">
        <v>10073</v>
      </c>
      <c r="E1036" t="s">
        <v>64</v>
      </c>
      <c r="F1036" t="s">
        <v>10083</v>
      </c>
      <c r="G1036" t="s">
        <v>17945</v>
      </c>
      <c r="H1036" t="s">
        <v>1112</v>
      </c>
      <c r="I1036" t="s">
        <v>1108</v>
      </c>
      <c r="J1036" t="s">
        <v>10084</v>
      </c>
      <c r="K1036" t="s">
        <v>10085</v>
      </c>
      <c r="L1036" t="s">
        <v>36</v>
      </c>
      <c r="M1036" t="s">
        <v>19177</v>
      </c>
      <c r="N1036" t="s">
        <v>714</v>
      </c>
      <c r="O1036" t="s">
        <v>10263</v>
      </c>
      <c r="P1036" t="s">
        <v>12</v>
      </c>
    </row>
    <row r="1037">
      <c r="A1037">
        <f>HYPERLINK("http://bombeiros.sp.gov.br/hidrantes/03individual/1527.html","1527")</f>
      </c>
      <c r="B1037" t="s">
        <v>623</v>
      </c>
      <c r="C1037" t="s">
        <v>674</v>
      </c>
      <c r="D1037" t="s">
        <v>10073</v>
      </c>
      <c r="E1037" t="s">
        <v>15</v>
      </c>
      <c r="F1037" t="s">
        <v>10095</v>
      </c>
      <c r="G1037" t="s">
        <v>17945</v>
      </c>
      <c r="H1037" t="s">
        <v>1112</v>
      </c>
      <c r="I1037" t="s">
        <v>1108</v>
      </c>
      <c r="J1037" t="s">
        <v>10096</v>
      </c>
      <c r="K1037" t="s">
        <v>10097</v>
      </c>
      <c r="L1037" t="s">
        <v>21</v>
      </c>
      <c r="M1037" t="s">
        <v>19177</v>
      </c>
      <c r="N1037" t="s">
        <v>714</v>
      </c>
      <c r="O1037" t="s">
        <v>10263</v>
      </c>
      <c r="P1037" t="s">
        <v>12</v>
      </c>
    </row>
    <row r="1038">
      <c r="A1038">
        <f>HYPERLINK("http://bombeiros.sp.gov.br/hidrantes/03individual/1528.html","1528")</f>
      </c>
      <c r="B1038" t="s">
        <v>623</v>
      </c>
      <c r="C1038" t="s">
        <v>674</v>
      </c>
      <c r="D1038" t="s">
        <v>10073</v>
      </c>
      <c r="E1038" t="s">
        <v>15</v>
      </c>
      <c r="F1038" t="s">
        <v>10098</v>
      </c>
      <c r="G1038" t="s">
        <v>17945</v>
      </c>
      <c r="H1038" t="s">
        <v>1112</v>
      </c>
      <c r="I1038" t="s">
        <v>1108</v>
      </c>
      <c r="J1038" t="s">
        <v>10099</v>
      </c>
      <c r="K1038" t="s">
        <v>10100</v>
      </c>
      <c r="L1038" t="s">
        <v>21</v>
      </c>
      <c r="M1038" t="s">
        <v>19177</v>
      </c>
      <c r="N1038" t="s">
        <v>714</v>
      </c>
      <c r="O1038" t="s">
        <v>10263</v>
      </c>
      <c r="P1038" t="s">
        <v>12</v>
      </c>
    </row>
    <row r="1039">
      <c r="A1039">
        <f>HYPERLINK("http://bombeiros.sp.gov.br/hidrantes/03individual/1533.html","1533")</f>
      </c>
      <c r="B1039" t="s">
        <v>623</v>
      </c>
      <c r="C1039" t="s">
        <v>674</v>
      </c>
      <c r="D1039" t="s">
        <v>10073</v>
      </c>
      <c r="E1039" t="s">
        <v>15</v>
      </c>
      <c r="F1039" t="s">
        <v>10101</v>
      </c>
      <c r="G1039" t="s">
        <v>17945</v>
      </c>
      <c r="H1039" t="s">
        <v>1112</v>
      </c>
      <c r="I1039" t="s">
        <v>1108</v>
      </c>
      <c r="J1039" t="s">
        <v>15865</v>
      </c>
      <c r="K1039" t="s">
        <v>15866</v>
      </c>
      <c r="L1039" t="s">
        <v>21</v>
      </c>
      <c r="M1039" t="s">
        <v>19177</v>
      </c>
      <c r="N1039" t="s">
        <v>714</v>
      </c>
      <c r="O1039" t="s">
        <v>10263</v>
      </c>
      <c r="P1039" t="s">
        <v>12</v>
      </c>
    </row>
    <row r="1040">
      <c r="A1040">
        <f>HYPERLINK("http://bombeiros.sp.gov.br/hidrantes/03individual/2136.html","2136")</f>
      </c>
      <c r="B1040" t="s">
        <v>623</v>
      </c>
      <c r="C1040" t="s">
        <v>674</v>
      </c>
      <c r="D1040" t="s">
        <v>10073</v>
      </c>
      <c r="E1040" t="s">
        <v>15</v>
      </c>
      <c r="F1040" t="s">
        <v>10086</v>
      </c>
      <c r="G1040" t="s">
        <v>17939</v>
      </c>
      <c r="H1040" t="s">
        <v>1107</v>
      </c>
      <c r="I1040" t="s">
        <v>1108</v>
      </c>
      <c r="J1040" t="s">
        <v>10108</v>
      </c>
      <c r="K1040" t="s">
        <v>10109</v>
      </c>
      <c r="L1040" t="s">
        <v>21</v>
      </c>
      <c r="M1040" t="s">
        <v>19177</v>
      </c>
      <c r="N1040" t="s">
        <v>714</v>
      </c>
      <c r="O1040" t="s">
        <v>10263</v>
      </c>
      <c r="P1040" t="s">
        <v>12</v>
      </c>
    </row>
    <row r="1041">
      <c r="A1041">
        <f>HYPERLINK("http://bombeiros.sp.gov.br/hidrantes/03individual/2138.html","2138")</f>
      </c>
      <c r="B1041" t="s">
        <v>623</v>
      </c>
      <c r="C1041" t="s">
        <v>674</v>
      </c>
      <c r="D1041" t="s">
        <v>10073</v>
      </c>
      <c r="E1041" t="s">
        <v>15</v>
      </c>
      <c r="F1041" t="s">
        <v>10110</v>
      </c>
      <c r="G1041" t="s">
        <v>17939</v>
      </c>
      <c r="H1041" t="s">
        <v>1112</v>
      </c>
      <c r="I1041" t="s">
        <v>1108</v>
      </c>
      <c r="J1041" t="s">
        <v>10111</v>
      </c>
      <c r="K1041" t="s">
        <v>10112</v>
      </c>
      <c r="L1041" t="s">
        <v>21</v>
      </c>
      <c r="M1041" t="s">
        <v>19177</v>
      </c>
      <c r="N1041" t="s">
        <v>714</v>
      </c>
      <c r="O1041" t="s">
        <v>10263</v>
      </c>
      <c r="P1041" t="s">
        <v>12</v>
      </c>
    </row>
    <row r="1042">
      <c r="A1042">
        <f>HYPERLINK("http://bombeiros.sp.gov.br/hidrantes/03individual/2140.html","2140")</f>
      </c>
      <c r="B1042" t="s">
        <v>623</v>
      </c>
      <c r="C1042" t="s">
        <v>674</v>
      </c>
      <c r="D1042" t="s">
        <v>10073</v>
      </c>
      <c r="E1042" t="s">
        <v>15</v>
      </c>
      <c r="F1042" t="s">
        <v>10113</v>
      </c>
      <c r="G1042" t="s">
        <v>17939</v>
      </c>
      <c r="H1042" t="s">
        <v>1112</v>
      </c>
      <c r="I1042" t="s">
        <v>1108</v>
      </c>
      <c r="J1042" t="s">
        <v>10114</v>
      </c>
      <c r="K1042" t="s">
        <v>10115</v>
      </c>
      <c r="L1042" t="s">
        <v>21</v>
      </c>
      <c r="M1042" t="s">
        <v>19177</v>
      </c>
      <c r="N1042" t="s">
        <v>714</v>
      </c>
      <c r="O1042" t="s">
        <v>10263</v>
      </c>
      <c r="P1042" t="s">
        <v>12</v>
      </c>
    </row>
    <row r="1043">
      <c r="A1043">
        <f>HYPERLINK("http://bombeiros.sp.gov.br/hidrantes/03individual/10050.html","10050")</f>
      </c>
      <c r="B1043" t="s">
        <v>623</v>
      </c>
      <c r="C1043" t="s">
        <v>690</v>
      </c>
      <c r="D1043" t="s">
        <v>691</v>
      </c>
      <c r="E1043" t="s">
        <v>1507</v>
      </c>
      <c r="F1043" t="s">
        <v>10116</v>
      </c>
      <c r="G1043" t="s">
        <v>17954</v>
      </c>
      <c r="H1043" t="s">
        <v>1112</v>
      </c>
      <c r="I1043" t="s">
        <v>1108</v>
      </c>
      <c r="J1043" t="s">
        <v>10117</v>
      </c>
      <c r="K1043" t="s">
        <v>10118</v>
      </c>
      <c r="L1043" t="s">
        <v>21</v>
      </c>
      <c r="M1043" t="s">
        <v>19177</v>
      </c>
      <c r="N1043" t="s">
        <v>519</v>
      </c>
      <c r="O1043" t="s">
        <v>519</v>
      </c>
      <c r="P1043" t="s">
        <v>454</v>
      </c>
    </row>
    <row r="1044">
      <c r="A1044">
        <f>HYPERLINK("http://bombeiros.sp.gov.br/hidrantes/03individual/1096.html","1096")</f>
      </c>
      <c r="B1044" t="s">
        <v>623</v>
      </c>
      <c r="C1044" t="s">
        <v>690</v>
      </c>
      <c r="D1044" t="s">
        <v>691</v>
      </c>
      <c r="E1044" t="s">
        <v>15</v>
      </c>
      <c r="F1044" t="s">
        <v>10122</v>
      </c>
      <c r="G1044" t="s">
        <v>18206</v>
      </c>
      <c r="H1044" t="s">
        <v>1112</v>
      </c>
      <c r="I1044" t="s">
        <v>1108</v>
      </c>
      <c r="J1044" t="s">
        <v>10123</v>
      </c>
      <c r="K1044" t="s">
        <v>10124</v>
      </c>
      <c r="L1044" t="s">
        <v>21</v>
      </c>
      <c r="M1044" t="s">
        <v>19177</v>
      </c>
      <c r="N1044" t="s">
        <v>519</v>
      </c>
      <c r="O1044" t="s">
        <v>519</v>
      </c>
      <c r="P1044" t="s">
        <v>454</v>
      </c>
    </row>
    <row r="1045">
      <c r="A1045">
        <f>HYPERLINK("http://bombeiros.sp.gov.br/hidrantes/03individual/4226.html","4226")</f>
      </c>
      <c r="B1045" t="s">
        <v>623</v>
      </c>
      <c r="C1045" t="s">
        <v>690</v>
      </c>
      <c r="D1045" t="s">
        <v>691</v>
      </c>
      <c r="E1045" t="s">
        <v>15</v>
      </c>
      <c r="F1045" t="s">
        <v>10140</v>
      </c>
      <c r="G1045" t="s">
        <v>18149</v>
      </c>
      <c r="H1045" t="s">
        <v>1112</v>
      </c>
      <c r="I1045" t="s">
        <v>1108</v>
      </c>
      <c r="J1045" t="s">
        <v>10141</v>
      </c>
      <c r="K1045" t="s">
        <v>10142</v>
      </c>
      <c r="L1045" t="s">
        <v>21</v>
      </c>
      <c r="M1045" t="s">
        <v>19177</v>
      </c>
      <c r="N1045" t="s">
        <v>519</v>
      </c>
      <c r="O1045" t="s">
        <v>519</v>
      </c>
      <c r="P1045" t="s">
        <v>454</v>
      </c>
    </row>
    <row r="1046">
      <c r="A1046">
        <f>HYPERLINK("http://bombeiros.sp.gov.br/hidrantes/03individual/895.html","895")</f>
      </c>
      <c r="B1046" t="s">
        <v>623</v>
      </c>
      <c r="C1046" t="s">
        <v>696</v>
      </c>
      <c r="D1046" t="s">
        <v>696</v>
      </c>
      <c r="E1046" t="s">
        <v>64</v>
      </c>
      <c r="F1046" t="s">
        <v>10146</v>
      </c>
      <c r="G1046" t="s">
        <v>18132</v>
      </c>
      <c r="H1046" t="s">
        <v>1121</v>
      </c>
      <c r="I1046" t="s">
        <v>1117</v>
      </c>
      <c r="J1046" t="s">
        <v>10147</v>
      </c>
      <c r="K1046" t="s">
        <v>10148</v>
      </c>
      <c r="L1046" t="s">
        <v>36</v>
      </c>
      <c r="M1046" t="s">
        <v>19177</v>
      </c>
      <c r="N1046" t="s">
        <v>16375</v>
      </c>
      <c r="O1046" t="s">
        <v>640</v>
      </c>
      <c r="P1046" t="s">
        <v>623</v>
      </c>
    </row>
    <row r="1047">
      <c r="A1047">
        <f>HYPERLINK("http://bombeiros.sp.gov.br/hidrantes/03individual/6653.html","6653")</f>
      </c>
      <c r="B1047" t="s">
        <v>623</v>
      </c>
      <c r="C1047" t="s">
        <v>696</v>
      </c>
      <c r="D1047" t="s">
        <v>696</v>
      </c>
      <c r="E1047" t="s">
        <v>64</v>
      </c>
      <c r="F1047" t="s">
        <v>10149</v>
      </c>
      <c r="G1047" t="s">
        <v>18098</v>
      </c>
      <c r="H1047" t="s">
        <v>1174</v>
      </c>
      <c r="I1047" t="s">
        <v>1117</v>
      </c>
      <c r="J1047" t="s">
        <v>10150</v>
      </c>
      <c r="K1047" t="s">
        <v>10151</v>
      </c>
      <c r="L1047" t="s">
        <v>21</v>
      </c>
      <c r="M1047" t="s">
        <v>19177</v>
      </c>
      <c r="N1047" t="s">
        <v>16375</v>
      </c>
      <c r="O1047" t="s">
        <v>640</v>
      </c>
      <c r="P1047" t="s">
        <v>623</v>
      </c>
    </row>
    <row r="1048">
      <c r="A1048">
        <f>HYPERLINK("http://bombeiros.sp.gov.br/hidrantes/03individual/27037.html","27037")</f>
      </c>
      <c r="B1048" t="s">
        <v>623</v>
      </c>
      <c r="C1048" t="s">
        <v>696</v>
      </c>
      <c r="D1048" t="s">
        <v>696</v>
      </c>
      <c r="E1048" t="s">
        <v>64</v>
      </c>
      <c r="F1048" t="s">
        <v>16615</v>
      </c>
      <c r="G1048" t="s">
        <v>18326</v>
      </c>
      <c r="H1048" t="s">
        <v>1107</v>
      </c>
      <c r="I1048" t="s">
        <v>1108</v>
      </c>
      <c r="J1048" t="s">
        <v>16616</v>
      </c>
      <c r="K1048" t="s">
        <v>16617</v>
      </c>
      <c r="L1048" t="s">
        <v>21</v>
      </c>
      <c r="M1048" t="s">
        <v>19177</v>
      </c>
      <c r="N1048" t="s">
        <v>16375</v>
      </c>
      <c r="O1048" t="s">
        <v>640</v>
      </c>
      <c r="P1048" t="s">
        <v>623</v>
      </c>
    </row>
    <row r="1049">
      <c r="A1049">
        <f>HYPERLINK("http://bombeiros.sp.gov.br/hidrantes/03individual/27421.html","27421")</f>
      </c>
      <c r="B1049" t="s">
        <v>623</v>
      </c>
      <c r="C1049" t="s">
        <v>696</v>
      </c>
      <c r="D1049" t="s">
        <v>696</v>
      </c>
      <c r="E1049" t="s">
        <v>64</v>
      </c>
      <c r="F1049" t="s">
        <v>17331</v>
      </c>
      <c r="G1049" t="s">
        <v>18143</v>
      </c>
      <c r="H1049" t="s">
        <v>1112</v>
      </c>
      <c r="I1049" t="s">
        <v>1108</v>
      </c>
      <c r="J1049" t="s">
        <v>17332</v>
      </c>
      <c r="K1049" t="s">
        <v>17333</v>
      </c>
      <c r="L1049" t="s">
        <v>21</v>
      </c>
      <c r="M1049" t="s">
        <v>19177</v>
      </c>
      <c r="N1049" t="s">
        <v>16375</v>
      </c>
      <c r="O1049" t="s">
        <v>640</v>
      </c>
      <c r="P1049" t="s">
        <v>623</v>
      </c>
    </row>
    <row r="1050">
      <c r="A1050">
        <f>HYPERLINK("http://bombeiros.sp.gov.br/hidrantes/03individual/10057.html","10057")</f>
      </c>
      <c r="B1050" t="s">
        <v>623</v>
      </c>
      <c r="C1050" t="s">
        <v>696</v>
      </c>
      <c r="D1050" t="s">
        <v>704</v>
      </c>
      <c r="E1050" t="s">
        <v>1507</v>
      </c>
      <c r="F1050" t="s">
        <v>10164</v>
      </c>
      <c r="G1050" t="s">
        <v>17694</v>
      </c>
      <c r="H1050" t="s">
        <v>1112</v>
      </c>
      <c r="I1050" t="s">
        <v>1108</v>
      </c>
      <c r="J1050" t="s">
        <v>10165</v>
      </c>
      <c r="K1050" t="s">
        <v>10166</v>
      </c>
      <c r="L1050" t="s">
        <v>21</v>
      </c>
      <c r="M1050" t="s">
        <v>19177</v>
      </c>
      <c r="N1050" t="s">
        <v>16375</v>
      </c>
      <c r="O1050" t="s">
        <v>640</v>
      </c>
      <c r="P1050" t="s">
        <v>623</v>
      </c>
    </row>
    <row r="1051">
      <c r="A1051">
        <f>HYPERLINK("http://bombeiros.sp.gov.br/hidrantes/03individual/1368.html","1368")</f>
      </c>
      <c r="B1051" t="s">
        <v>623</v>
      </c>
      <c r="C1051" t="s">
        <v>696</v>
      </c>
      <c r="D1051" t="s">
        <v>704</v>
      </c>
      <c r="E1051" t="s">
        <v>64</v>
      </c>
      <c r="F1051" t="s">
        <v>10170</v>
      </c>
      <c r="G1051" t="s">
        <v>18143</v>
      </c>
      <c r="H1051" t="s">
        <v>1112</v>
      </c>
      <c r="I1051" t="s">
        <v>1108</v>
      </c>
      <c r="J1051" t="s">
        <v>10171</v>
      </c>
      <c r="K1051" t="s">
        <v>10172</v>
      </c>
      <c r="L1051" t="s">
        <v>36</v>
      </c>
      <c r="M1051" t="s">
        <v>19177</v>
      </c>
      <c r="N1051" t="s">
        <v>16375</v>
      </c>
      <c r="O1051" t="s">
        <v>640</v>
      </c>
      <c r="P1051" t="s">
        <v>623</v>
      </c>
    </row>
    <row r="1052">
      <c r="A1052">
        <f>HYPERLINK("http://bombeiros.sp.gov.br/hidrantes/03individual/1370.html","1370")</f>
      </c>
      <c r="B1052" t="s">
        <v>623</v>
      </c>
      <c r="C1052" t="s">
        <v>696</v>
      </c>
      <c r="D1052" t="s">
        <v>704</v>
      </c>
      <c r="E1052" t="s">
        <v>64</v>
      </c>
      <c r="F1052" t="s">
        <v>10173</v>
      </c>
      <c r="G1052" t="s">
        <v>18132</v>
      </c>
      <c r="H1052" t="s">
        <v>1112</v>
      </c>
      <c r="I1052" t="s">
        <v>1108</v>
      </c>
      <c r="J1052" t="s">
        <v>10174</v>
      </c>
      <c r="K1052" t="s">
        <v>10175</v>
      </c>
      <c r="L1052" t="s">
        <v>36</v>
      </c>
      <c r="M1052" t="s">
        <v>19177</v>
      </c>
      <c r="N1052" t="s">
        <v>16375</v>
      </c>
      <c r="O1052" t="s">
        <v>640</v>
      </c>
      <c r="P1052" t="s">
        <v>623</v>
      </c>
    </row>
    <row r="1053">
      <c r="A1053">
        <f>HYPERLINK("http://bombeiros.sp.gov.br/hidrantes/03individual/27038.html","27038")</f>
      </c>
      <c r="B1053" t="s">
        <v>623</v>
      </c>
      <c r="C1053" t="s">
        <v>696</v>
      </c>
      <c r="D1053" t="s">
        <v>704</v>
      </c>
      <c r="E1053" t="s">
        <v>64</v>
      </c>
      <c r="F1053" t="s">
        <v>16618</v>
      </c>
      <c r="G1053" t="s">
        <v>18132</v>
      </c>
      <c r="H1053" t="s">
        <v>1112</v>
      </c>
      <c r="I1053" t="s">
        <v>1108</v>
      </c>
      <c r="J1053" t="s">
        <v>16619</v>
      </c>
      <c r="K1053" t="s">
        <v>16620</v>
      </c>
      <c r="L1053" t="s">
        <v>21</v>
      </c>
      <c r="M1053" t="s">
        <v>19177</v>
      </c>
      <c r="N1053" t="s">
        <v>16375</v>
      </c>
      <c r="O1053" t="s">
        <v>640</v>
      </c>
      <c r="P1053" t="s">
        <v>623</v>
      </c>
    </row>
    <row r="1054">
      <c r="A1054">
        <f>HYPERLINK("http://bombeiros.sp.gov.br/hidrantes/03individual/27052.html","27052")</f>
      </c>
      <c r="B1054" t="s">
        <v>623</v>
      </c>
      <c r="C1054" t="s">
        <v>696</v>
      </c>
      <c r="D1054" t="s">
        <v>704</v>
      </c>
      <c r="E1054" t="s">
        <v>64</v>
      </c>
      <c r="F1054" t="s">
        <v>16666</v>
      </c>
      <c r="G1054" t="s">
        <v>18143</v>
      </c>
      <c r="H1054" t="s">
        <v>1121</v>
      </c>
      <c r="I1054" t="s">
        <v>1117</v>
      </c>
      <c r="J1054" t="s">
        <v>16667</v>
      </c>
      <c r="K1054" t="s">
        <v>16668</v>
      </c>
      <c r="L1054" t="s">
        <v>21</v>
      </c>
      <c r="M1054" t="s">
        <v>19177</v>
      </c>
      <c r="N1054" t="s">
        <v>16375</v>
      </c>
      <c r="O1054" t="s">
        <v>640</v>
      </c>
      <c r="P1054" t="s">
        <v>623</v>
      </c>
    </row>
    <row r="1055">
      <c r="A1055">
        <f>HYPERLINK("http://bombeiros.sp.gov.br/hidrantes/03individual/1216.html","1216")</f>
      </c>
      <c r="B1055" t="s">
        <v>623</v>
      </c>
      <c r="C1055" t="s">
        <v>696</v>
      </c>
      <c r="D1055" t="s">
        <v>704</v>
      </c>
      <c r="E1055" t="s">
        <v>15</v>
      </c>
      <c r="F1055" t="s">
        <v>10179</v>
      </c>
      <c r="G1055" t="s">
        <v>18143</v>
      </c>
      <c r="H1055" t="s">
        <v>1112</v>
      </c>
      <c r="I1055" t="s">
        <v>1108</v>
      </c>
      <c r="J1055" t="s">
        <v>10180</v>
      </c>
      <c r="K1055" t="s">
        <v>10181</v>
      </c>
      <c r="L1055" t="s">
        <v>36</v>
      </c>
      <c r="M1055" t="s">
        <v>19177</v>
      </c>
      <c r="N1055" t="s">
        <v>16375</v>
      </c>
      <c r="O1055" t="s">
        <v>640</v>
      </c>
      <c r="P1055" t="s">
        <v>623</v>
      </c>
    </row>
    <row r="1056">
      <c r="A1056">
        <f>HYPERLINK("http://bombeiros.sp.gov.br/hidrantes/03individual/1366.html","1366")</f>
      </c>
      <c r="B1056" t="s">
        <v>623</v>
      </c>
      <c r="C1056" t="s">
        <v>696</v>
      </c>
      <c r="D1056" t="s">
        <v>704</v>
      </c>
      <c r="E1056" t="s">
        <v>15</v>
      </c>
      <c r="F1056" t="s">
        <v>10182</v>
      </c>
      <c r="G1056" t="s">
        <v>18143</v>
      </c>
      <c r="H1056" t="s">
        <v>1112</v>
      </c>
      <c r="I1056" t="s">
        <v>1108</v>
      </c>
      <c r="J1056" t="s">
        <v>10183</v>
      </c>
      <c r="K1056" t="s">
        <v>10184</v>
      </c>
      <c r="L1056" t="s">
        <v>21</v>
      </c>
      <c r="M1056" t="s">
        <v>19177</v>
      </c>
      <c r="N1056" t="s">
        <v>16375</v>
      </c>
      <c r="O1056" t="s">
        <v>640</v>
      </c>
      <c r="P1056" t="s">
        <v>623</v>
      </c>
    </row>
    <row r="1057">
      <c r="A1057">
        <f>HYPERLINK("http://bombeiros.sp.gov.br/hidrantes/03individual/25223.html","25223")</f>
      </c>
      <c r="B1057" t="s">
        <v>623</v>
      </c>
      <c r="C1057" t="s">
        <v>696</v>
      </c>
      <c r="D1057" t="s">
        <v>704</v>
      </c>
      <c r="E1057" t="s">
        <v>15</v>
      </c>
      <c r="F1057" t="s">
        <v>10194</v>
      </c>
      <c r="G1057" t="s">
        <v>18132</v>
      </c>
      <c r="H1057" t="s">
        <v>1112</v>
      </c>
      <c r="I1057" t="s">
        <v>1108</v>
      </c>
      <c r="J1057" t="s">
        <v>10195</v>
      </c>
      <c r="K1057" t="s">
        <v>10196</v>
      </c>
      <c r="L1057" t="s">
        <v>21</v>
      </c>
      <c r="M1057" t="s">
        <v>19177</v>
      </c>
      <c r="N1057" t="s">
        <v>16375</v>
      </c>
      <c r="O1057" t="s">
        <v>640</v>
      </c>
      <c r="P1057" t="s">
        <v>623</v>
      </c>
    </row>
    <row r="1058">
      <c r="A1058">
        <f>HYPERLINK("http://bombeiros.sp.gov.br/hidrantes/03individual/27326.html","27326")</f>
      </c>
      <c r="B1058" t="s">
        <v>623</v>
      </c>
      <c r="C1058" t="s">
        <v>696</v>
      </c>
      <c r="D1058" t="s">
        <v>704</v>
      </c>
      <c r="E1058" t="s">
        <v>15</v>
      </c>
      <c r="F1058" t="s">
        <v>17144</v>
      </c>
      <c r="G1058" t="s">
        <v>18143</v>
      </c>
      <c r="H1058" t="s">
        <v>1112</v>
      </c>
      <c r="I1058" t="s">
        <v>1108</v>
      </c>
      <c r="J1058" t="s">
        <v>17145</v>
      </c>
      <c r="K1058" t="s">
        <v>18333</v>
      </c>
      <c r="L1058" t="s">
        <v>21</v>
      </c>
      <c r="M1058" t="s">
        <v>19177</v>
      </c>
      <c r="N1058" t="s">
        <v>16375</v>
      </c>
      <c r="O1058" t="s">
        <v>640</v>
      </c>
      <c r="P1058" t="s">
        <v>623</v>
      </c>
    </row>
    <row r="1059">
      <c r="A1059">
        <f>HYPERLINK("http://bombeiros.sp.gov.br/hidrantes/03individual/2625.html","2625")</f>
      </c>
      <c r="B1059" t="s">
        <v>623</v>
      </c>
      <c r="C1059" t="s">
        <v>709</v>
      </c>
      <c r="D1059" t="s">
        <v>10197</v>
      </c>
      <c r="E1059" t="s">
        <v>64</v>
      </c>
      <c r="F1059" t="s">
        <v>10202</v>
      </c>
      <c r="G1059" t="s">
        <v>18179</v>
      </c>
      <c r="H1059" t="s">
        <v>1112</v>
      </c>
      <c r="I1059" t="s">
        <v>1108</v>
      </c>
      <c r="J1059" t="s">
        <v>10203</v>
      </c>
      <c r="K1059" t="s">
        <v>10204</v>
      </c>
      <c r="L1059" t="s">
        <v>36</v>
      </c>
      <c r="M1059" t="s">
        <v>19177</v>
      </c>
      <c r="N1059" t="s">
        <v>714</v>
      </c>
      <c r="O1059" t="s">
        <v>10263</v>
      </c>
      <c r="P1059" t="s">
        <v>12</v>
      </c>
    </row>
    <row r="1060">
      <c r="A1060">
        <f>HYPERLINK("http://bombeiros.sp.gov.br/hidrantes/03individual/17744.html","17744")</f>
      </c>
      <c r="B1060" t="s">
        <v>623</v>
      </c>
      <c r="C1060" t="s">
        <v>709</v>
      </c>
      <c r="D1060" t="s">
        <v>10197</v>
      </c>
      <c r="E1060" t="s">
        <v>15</v>
      </c>
      <c r="F1060" t="s">
        <v>10220</v>
      </c>
      <c r="G1060" t="s">
        <v>18124</v>
      </c>
      <c r="H1060" t="s">
        <v>1112</v>
      </c>
      <c r="I1060" t="s">
        <v>1108</v>
      </c>
      <c r="J1060" t="s">
        <v>10221</v>
      </c>
      <c r="K1060" t="s">
        <v>10222</v>
      </c>
      <c r="L1060" t="s">
        <v>21</v>
      </c>
      <c r="M1060" t="s">
        <v>19177</v>
      </c>
      <c r="N1060" t="s">
        <v>714</v>
      </c>
      <c r="O1060" t="s">
        <v>10263</v>
      </c>
      <c r="P1060" t="s">
        <v>12</v>
      </c>
    </row>
    <row r="1061">
      <c r="A1061">
        <f>HYPERLINK("http://bombeiros.sp.gov.br/hidrantes/03individual/26812.html","26812")</f>
      </c>
      <c r="B1061" t="s">
        <v>623</v>
      </c>
      <c r="C1061" t="s">
        <v>709</v>
      </c>
      <c r="D1061" t="s">
        <v>10197</v>
      </c>
      <c r="E1061" t="s">
        <v>15</v>
      </c>
      <c r="F1061" t="s">
        <v>15974</v>
      </c>
      <c r="G1061" t="s">
        <v>18430</v>
      </c>
      <c r="H1061" t="s">
        <v>1112</v>
      </c>
      <c r="I1061" t="s">
        <v>1108</v>
      </c>
      <c r="J1061" t="s">
        <v>16910</v>
      </c>
      <c r="K1061" t="s">
        <v>16911</v>
      </c>
      <c r="L1061" t="s">
        <v>21</v>
      </c>
      <c r="M1061" t="s">
        <v>19177</v>
      </c>
      <c r="N1061" t="s">
        <v>714</v>
      </c>
      <c r="O1061" t="s">
        <v>10263</v>
      </c>
      <c r="P1061" t="s">
        <v>12</v>
      </c>
    </row>
    <row r="1062">
      <c r="A1062">
        <f>HYPERLINK("http://bombeiros.sp.gov.br/hidrantes/03individual/1927.html","1927")</f>
      </c>
      <c r="B1062" t="s">
        <v>623</v>
      </c>
      <c r="C1062" t="s">
        <v>709</v>
      </c>
      <c r="D1062" t="s">
        <v>10223</v>
      </c>
      <c r="E1062" t="s">
        <v>64</v>
      </c>
      <c r="F1062" t="s">
        <v>10224</v>
      </c>
      <c r="G1062" t="s">
        <v>18075</v>
      </c>
      <c r="H1062" t="s">
        <v>1107</v>
      </c>
      <c r="I1062" t="s">
        <v>1108</v>
      </c>
      <c r="J1062" t="s">
        <v>10225</v>
      </c>
      <c r="K1062" t="s">
        <v>10226</v>
      </c>
      <c r="L1062" t="s">
        <v>36</v>
      </c>
      <c r="M1062" t="s">
        <v>19177</v>
      </c>
      <c r="N1062" t="s">
        <v>714</v>
      </c>
      <c r="O1062" t="s">
        <v>10263</v>
      </c>
      <c r="P1062" t="s">
        <v>12</v>
      </c>
    </row>
    <row r="1063">
      <c r="A1063">
        <f>HYPERLINK("http://bombeiros.sp.gov.br/hidrantes/03individual/2228.html","2228")</f>
      </c>
      <c r="B1063" t="s">
        <v>623</v>
      </c>
      <c r="C1063" t="s">
        <v>709</v>
      </c>
      <c r="D1063" t="s">
        <v>10223</v>
      </c>
      <c r="E1063" t="s">
        <v>64</v>
      </c>
      <c r="F1063" t="s">
        <v>10230</v>
      </c>
      <c r="G1063" t="s">
        <v>18050</v>
      </c>
      <c r="H1063" t="s">
        <v>1112</v>
      </c>
      <c r="I1063" t="s">
        <v>1108</v>
      </c>
      <c r="J1063" t="s">
        <v>10231</v>
      </c>
      <c r="K1063" t="s">
        <v>10232</v>
      </c>
      <c r="L1063" t="s">
        <v>36</v>
      </c>
      <c r="M1063" t="s">
        <v>19177</v>
      </c>
      <c r="N1063" t="s">
        <v>714</v>
      </c>
      <c r="O1063" t="s">
        <v>10263</v>
      </c>
      <c r="P1063" t="s">
        <v>12</v>
      </c>
    </row>
    <row r="1064">
      <c r="A1064">
        <f>HYPERLINK("http://bombeiros.sp.gov.br/hidrantes/03individual/100.html","100")</f>
      </c>
      <c r="B1064" t="s">
        <v>623</v>
      </c>
      <c r="C1064" t="s">
        <v>709</v>
      </c>
      <c r="D1064" t="s">
        <v>10223</v>
      </c>
      <c r="E1064" t="s">
        <v>15</v>
      </c>
      <c r="F1064" t="s">
        <v>10239</v>
      </c>
      <c r="G1064" t="s">
        <v>18075</v>
      </c>
      <c r="H1064" t="s">
        <v>1107</v>
      </c>
      <c r="I1064" t="s">
        <v>1108</v>
      </c>
      <c r="J1064" t="s">
        <v>10240</v>
      </c>
      <c r="K1064" t="s">
        <v>10241</v>
      </c>
      <c r="L1064" t="s">
        <v>21</v>
      </c>
      <c r="M1064" t="s">
        <v>19177</v>
      </c>
      <c r="N1064" t="s">
        <v>714</v>
      </c>
      <c r="O1064" t="s">
        <v>10263</v>
      </c>
      <c r="P1064" t="s">
        <v>12</v>
      </c>
    </row>
    <row r="1065">
      <c r="A1065">
        <f>HYPERLINK("http://bombeiros.sp.gov.br/hidrantes/03individual/2503.html","2503")</f>
      </c>
      <c r="B1065" t="s">
        <v>623</v>
      </c>
      <c r="C1065" t="s">
        <v>709</v>
      </c>
      <c r="D1065" t="s">
        <v>10223</v>
      </c>
      <c r="E1065" t="s">
        <v>15</v>
      </c>
      <c r="F1065" t="s">
        <v>10254</v>
      </c>
      <c r="G1065" t="s">
        <v>18193</v>
      </c>
      <c r="H1065" t="s">
        <v>1112</v>
      </c>
      <c r="I1065" t="s">
        <v>1108</v>
      </c>
      <c r="J1065" t="s">
        <v>10255</v>
      </c>
      <c r="K1065" t="s">
        <v>10256</v>
      </c>
      <c r="L1065" t="s">
        <v>21</v>
      </c>
      <c r="M1065" t="s">
        <v>19177</v>
      </c>
      <c r="N1065" t="s">
        <v>714</v>
      </c>
      <c r="O1065" t="s">
        <v>10263</v>
      </c>
      <c r="P1065" t="s">
        <v>12</v>
      </c>
    </row>
    <row r="1066">
      <c r="A1066">
        <f>HYPERLINK("http://bombeiros.sp.gov.br/hidrantes/03individual/1845.html","1845")</f>
      </c>
      <c r="B1066" t="s">
        <v>623</v>
      </c>
      <c r="C1066" t="s">
        <v>709</v>
      </c>
      <c r="D1066" t="s">
        <v>10263</v>
      </c>
      <c r="E1066" t="s">
        <v>64</v>
      </c>
      <c r="F1066" t="s">
        <v>10267</v>
      </c>
      <c r="G1066" t="s">
        <v>18151</v>
      </c>
      <c r="H1066" t="s">
        <v>1112</v>
      </c>
      <c r="I1066" t="s">
        <v>1108</v>
      </c>
      <c r="J1066" t="s">
        <v>10268</v>
      </c>
      <c r="K1066" t="s">
        <v>10269</v>
      </c>
      <c r="L1066" t="s">
        <v>36</v>
      </c>
      <c r="M1066" t="s">
        <v>19177</v>
      </c>
      <c r="N1066" t="s">
        <v>714</v>
      </c>
      <c r="O1066" t="s">
        <v>10263</v>
      </c>
      <c r="P1066" t="s">
        <v>12</v>
      </c>
    </row>
    <row r="1067">
      <c r="A1067">
        <f>HYPERLINK("http://bombeiros.sp.gov.br/hidrantes/03individual/2276.html","2276")</f>
      </c>
      <c r="B1067" t="s">
        <v>623</v>
      </c>
      <c r="C1067" t="s">
        <v>709</v>
      </c>
      <c r="D1067" t="s">
        <v>10263</v>
      </c>
      <c r="E1067" t="s">
        <v>64</v>
      </c>
      <c r="F1067" t="s">
        <v>10276</v>
      </c>
      <c r="G1067" t="s">
        <v>18065</v>
      </c>
      <c r="H1067" t="s">
        <v>1112</v>
      </c>
      <c r="I1067" t="s">
        <v>1108</v>
      </c>
      <c r="J1067" t="s">
        <v>10277</v>
      </c>
      <c r="K1067" t="s">
        <v>10278</v>
      </c>
      <c r="L1067" t="s">
        <v>21</v>
      </c>
      <c r="M1067" t="s">
        <v>19177</v>
      </c>
      <c r="N1067" t="s">
        <v>714</v>
      </c>
      <c r="O1067" t="s">
        <v>10263</v>
      </c>
      <c r="P1067" t="s">
        <v>12</v>
      </c>
    </row>
    <row r="1068">
      <c r="A1068">
        <f>HYPERLINK("http://bombeiros.sp.gov.br/hidrantes/03individual/32.html","32")</f>
      </c>
      <c r="B1068" t="s">
        <v>623</v>
      </c>
      <c r="C1068" t="s">
        <v>709</v>
      </c>
      <c r="D1068" t="s">
        <v>10263</v>
      </c>
      <c r="E1068" t="s">
        <v>15</v>
      </c>
      <c r="F1068" t="s">
        <v>10279</v>
      </c>
      <c r="G1068" t="s">
        <v>18118</v>
      </c>
      <c r="H1068" t="s">
        <v>1112</v>
      </c>
      <c r="I1068" t="s">
        <v>1108</v>
      </c>
      <c r="J1068" t="s">
        <v>10280</v>
      </c>
      <c r="K1068" t="s">
        <v>10281</v>
      </c>
      <c r="L1068" t="s">
        <v>21</v>
      </c>
      <c r="M1068" t="s">
        <v>19177</v>
      </c>
      <c r="N1068" t="s">
        <v>714</v>
      </c>
      <c r="O1068" t="s">
        <v>10263</v>
      </c>
      <c r="P1068" t="s">
        <v>12</v>
      </c>
    </row>
    <row r="1069">
      <c r="A1069">
        <f>HYPERLINK("http://bombeiros.sp.gov.br/hidrantes/03individual/1859.html","1859")</f>
      </c>
      <c r="B1069" t="s">
        <v>623</v>
      </c>
      <c r="C1069" t="s">
        <v>709</v>
      </c>
      <c r="D1069" t="s">
        <v>10263</v>
      </c>
      <c r="E1069" t="s">
        <v>15</v>
      </c>
      <c r="F1069" t="s">
        <v>10297</v>
      </c>
      <c r="G1069" t="s">
        <v>18151</v>
      </c>
      <c r="H1069" t="s">
        <v>1112</v>
      </c>
      <c r="I1069" t="s">
        <v>1108</v>
      </c>
      <c r="J1069" t="s">
        <v>10298</v>
      </c>
      <c r="K1069" t="s">
        <v>10299</v>
      </c>
      <c r="L1069" t="s">
        <v>21</v>
      </c>
      <c r="M1069" t="s">
        <v>19177</v>
      </c>
      <c r="N1069" t="s">
        <v>714</v>
      </c>
      <c r="O1069" t="s">
        <v>10263</v>
      </c>
      <c r="P1069" t="s">
        <v>12</v>
      </c>
    </row>
    <row r="1070">
      <c r="A1070">
        <f>HYPERLINK("http://bombeiros.sp.gov.br/hidrantes/03individual/1861.html","1861")</f>
      </c>
      <c r="B1070" t="s">
        <v>623</v>
      </c>
      <c r="C1070" t="s">
        <v>709</v>
      </c>
      <c r="D1070" t="s">
        <v>10263</v>
      </c>
      <c r="E1070" t="s">
        <v>15</v>
      </c>
      <c r="F1070" t="s">
        <v>10300</v>
      </c>
      <c r="G1070" t="s">
        <v>18151</v>
      </c>
      <c r="H1070" t="s">
        <v>1112</v>
      </c>
      <c r="I1070" t="s">
        <v>1108</v>
      </c>
      <c r="J1070" t="s">
        <v>10301</v>
      </c>
      <c r="K1070" t="s">
        <v>10302</v>
      </c>
      <c r="L1070" t="s">
        <v>21</v>
      </c>
      <c r="M1070" t="s">
        <v>19177</v>
      </c>
      <c r="N1070" t="s">
        <v>714</v>
      </c>
      <c r="O1070" t="s">
        <v>10263</v>
      </c>
      <c r="P1070" t="s">
        <v>12</v>
      </c>
    </row>
    <row r="1071">
      <c r="A1071">
        <f>HYPERLINK("http://bombeiros.sp.gov.br/hidrantes/03individual/2105.html","2105")</f>
      </c>
      <c r="B1071" t="s">
        <v>623</v>
      </c>
      <c r="C1071" t="s">
        <v>709</v>
      </c>
      <c r="D1071" t="s">
        <v>10263</v>
      </c>
      <c r="E1071" t="s">
        <v>15</v>
      </c>
      <c r="F1071" t="s">
        <v>10306</v>
      </c>
      <c r="G1071" t="s">
        <v>18065</v>
      </c>
      <c r="H1071" t="s">
        <v>1112</v>
      </c>
      <c r="I1071" t="s">
        <v>1108</v>
      </c>
      <c r="J1071" t="s">
        <v>10307</v>
      </c>
      <c r="K1071" t="s">
        <v>10308</v>
      </c>
      <c r="L1071" t="s">
        <v>21</v>
      </c>
      <c r="M1071" t="s">
        <v>19177</v>
      </c>
      <c r="N1071" t="s">
        <v>714</v>
      </c>
      <c r="O1071" t="s">
        <v>10263</v>
      </c>
      <c r="P1071" t="s">
        <v>12</v>
      </c>
    </row>
    <row r="1072">
      <c r="A1072">
        <f>HYPERLINK("http://bombeiros.sp.gov.br/hidrantes/03individual/2187.html","2187")</f>
      </c>
      <c r="B1072" t="s">
        <v>623</v>
      </c>
      <c r="C1072" t="s">
        <v>709</v>
      </c>
      <c r="D1072" t="s">
        <v>10263</v>
      </c>
      <c r="E1072" t="s">
        <v>15</v>
      </c>
      <c r="F1072" t="s">
        <v>10309</v>
      </c>
      <c r="G1072" t="s">
        <v>18065</v>
      </c>
      <c r="H1072" t="s">
        <v>1112</v>
      </c>
      <c r="I1072" t="s">
        <v>1108</v>
      </c>
      <c r="J1072" t="s">
        <v>10310</v>
      </c>
      <c r="K1072" t="s">
        <v>10311</v>
      </c>
      <c r="L1072" t="s">
        <v>21</v>
      </c>
      <c r="M1072" t="s">
        <v>19177</v>
      </c>
      <c r="N1072" t="s">
        <v>714</v>
      </c>
      <c r="O1072" t="s">
        <v>10263</v>
      </c>
      <c r="P1072" t="s">
        <v>12</v>
      </c>
    </row>
    <row r="1073">
      <c r="A1073">
        <f>HYPERLINK("http://bombeiros.sp.gov.br/hidrantes/03individual/2192.html","2192")</f>
      </c>
      <c r="B1073" t="s">
        <v>623</v>
      </c>
      <c r="C1073" t="s">
        <v>709</v>
      </c>
      <c r="D1073" t="s">
        <v>10263</v>
      </c>
      <c r="E1073" t="s">
        <v>15</v>
      </c>
      <c r="F1073" t="s">
        <v>10312</v>
      </c>
      <c r="G1073" t="s">
        <v>18151</v>
      </c>
      <c r="H1073" t="s">
        <v>1112</v>
      </c>
      <c r="I1073" t="s">
        <v>1108</v>
      </c>
      <c r="J1073" t="s">
        <v>10313</v>
      </c>
      <c r="K1073" t="s">
        <v>10314</v>
      </c>
      <c r="L1073" t="s">
        <v>21</v>
      </c>
      <c r="M1073" t="s">
        <v>19177</v>
      </c>
      <c r="N1073" t="s">
        <v>714</v>
      </c>
      <c r="O1073" t="s">
        <v>10263</v>
      </c>
      <c r="P1073" t="s">
        <v>12</v>
      </c>
    </row>
    <row r="1074">
      <c r="A1074">
        <f>HYPERLINK("http://bombeiros.sp.gov.br/hidrantes/03individual/2289.html","2289")</f>
      </c>
      <c r="B1074" t="s">
        <v>623</v>
      </c>
      <c r="C1074" t="s">
        <v>709</v>
      </c>
      <c r="D1074" t="s">
        <v>10263</v>
      </c>
      <c r="E1074" t="s">
        <v>15</v>
      </c>
      <c r="F1074" t="s">
        <v>10315</v>
      </c>
      <c r="G1074" t="s">
        <v>18065</v>
      </c>
      <c r="H1074" t="s">
        <v>1112</v>
      </c>
      <c r="I1074" t="s">
        <v>1108</v>
      </c>
      <c r="J1074" t="s">
        <v>10316</v>
      </c>
      <c r="K1074" t="s">
        <v>10317</v>
      </c>
      <c r="L1074" t="s">
        <v>21</v>
      </c>
      <c r="M1074" t="s">
        <v>19177</v>
      </c>
      <c r="N1074" t="s">
        <v>714</v>
      </c>
      <c r="O1074" t="s">
        <v>10263</v>
      </c>
      <c r="P1074" t="s">
        <v>12</v>
      </c>
    </row>
    <row r="1075">
      <c r="A1075">
        <f>HYPERLINK("http://bombeiros.sp.gov.br/hidrantes/03individual/2313.html","2313")</f>
      </c>
      <c r="B1075" t="s">
        <v>623</v>
      </c>
      <c r="C1075" t="s">
        <v>709</v>
      </c>
      <c r="D1075" t="s">
        <v>10263</v>
      </c>
      <c r="E1075" t="s">
        <v>15</v>
      </c>
      <c r="F1075" t="s">
        <v>10318</v>
      </c>
      <c r="G1075" t="s">
        <v>18193</v>
      </c>
      <c r="H1075" t="s">
        <v>1112</v>
      </c>
      <c r="I1075" t="s">
        <v>1108</v>
      </c>
      <c r="J1075" t="s">
        <v>10319</v>
      </c>
      <c r="K1075" t="s">
        <v>10320</v>
      </c>
      <c r="L1075" t="s">
        <v>36</v>
      </c>
      <c r="M1075" t="s">
        <v>19177</v>
      </c>
      <c r="N1075" t="s">
        <v>714</v>
      </c>
      <c r="O1075" t="s">
        <v>10263</v>
      </c>
      <c r="P1075" t="s">
        <v>12</v>
      </c>
    </row>
    <row r="1076">
      <c r="A1076">
        <f>HYPERLINK("http://bombeiros.sp.gov.br/hidrantes/03individual/161.html","161")</f>
      </c>
      <c r="B1076" t="s">
        <v>623</v>
      </c>
      <c r="C1076" t="s">
        <v>709</v>
      </c>
      <c r="D1076" t="s">
        <v>710</v>
      </c>
      <c r="E1076" t="s">
        <v>15</v>
      </c>
      <c r="F1076" t="s">
        <v>10333</v>
      </c>
      <c r="G1076" t="s">
        <v>18152</v>
      </c>
      <c r="H1076" t="s">
        <v>1112</v>
      </c>
      <c r="I1076" t="s">
        <v>1108</v>
      </c>
      <c r="J1076" t="s">
        <v>10334</v>
      </c>
      <c r="K1076" t="s">
        <v>10335</v>
      </c>
      <c r="L1076" t="s">
        <v>21</v>
      </c>
      <c r="M1076" t="s">
        <v>19177</v>
      </c>
      <c r="N1076" t="s">
        <v>714</v>
      </c>
      <c r="O1076" t="s">
        <v>10263</v>
      </c>
      <c r="P1076" t="s">
        <v>12</v>
      </c>
    </row>
    <row r="1077">
      <c r="A1077">
        <f>HYPERLINK("http://bombeiros.sp.gov.br/hidrantes/03individual/2336.html","2336")</f>
      </c>
      <c r="B1077" t="s">
        <v>623</v>
      </c>
      <c r="C1077" t="s">
        <v>709</v>
      </c>
      <c r="D1077" t="s">
        <v>710</v>
      </c>
      <c r="E1077" t="s">
        <v>15</v>
      </c>
      <c r="F1077" t="s">
        <v>10342</v>
      </c>
      <c r="G1077" t="s">
        <v>18169</v>
      </c>
      <c r="H1077" t="s">
        <v>1112</v>
      </c>
      <c r="I1077" t="s">
        <v>1108</v>
      </c>
      <c r="J1077" t="s">
        <v>10343</v>
      </c>
      <c r="K1077" t="s">
        <v>10344</v>
      </c>
      <c r="L1077" t="s">
        <v>21</v>
      </c>
      <c r="M1077" t="s">
        <v>19177</v>
      </c>
      <c r="N1077" t="s">
        <v>714</v>
      </c>
      <c r="O1077" t="s">
        <v>10263</v>
      </c>
      <c r="P1077" t="s">
        <v>12</v>
      </c>
    </row>
    <row r="1078">
      <c r="A1078">
        <f>HYPERLINK("http://bombeiros.sp.gov.br/hidrantes/03individual/2340.html","2340")</f>
      </c>
      <c r="B1078" t="s">
        <v>623</v>
      </c>
      <c r="C1078" t="s">
        <v>709</v>
      </c>
      <c r="D1078" t="s">
        <v>710</v>
      </c>
      <c r="E1078" t="s">
        <v>15</v>
      </c>
      <c r="F1078" t="s">
        <v>10345</v>
      </c>
      <c r="G1078" t="s">
        <v>18169</v>
      </c>
      <c r="H1078" t="s">
        <v>1112</v>
      </c>
      <c r="I1078" t="s">
        <v>1108</v>
      </c>
      <c r="J1078" t="s">
        <v>10346</v>
      </c>
      <c r="K1078" t="s">
        <v>10347</v>
      </c>
      <c r="L1078" t="s">
        <v>36</v>
      </c>
      <c r="M1078" t="s">
        <v>19177</v>
      </c>
      <c r="N1078" t="s">
        <v>714</v>
      </c>
      <c r="O1078" t="s">
        <v>10263</v>
      </c>
      <c r="P1078" t="s">
        <v>12</v>
      </c>
    </row>
    <row r="1079">
      <c r="A1079">
        <f>HYPERLINK("http://bombeiros.sp.gov.br/hidrantes/03individual/2474.html","2474")</f>
      </c>
      <c r="B1079" t="s">
        <v>623</v>
      </c>
      <c r="C1079" t="s">
        <v>709</v>
      </c>
      <c r="D1079" t="s">
        <v>10357</v>
      </c>
      <c r="E1079" t="s">
        <v>64</v>
      </c>
      <c r="F1079" t="s">
        <v>10358</v>
      </c>
      <c r="G1079" t="s">
        <v>18097</v>
      </c>
      <c r="H1079" t="s">
        <v>1112</v>
      </c>
      <c r="I1079" t="s">
        <v>1108</v>
      </c>
      <c r="J1079" t="s">
        <v>16149</v>
      </c>
      <c r="K1079" t="s">
        <v>16150</v>
      </c>
      <c r="L1079" t="s">
        <v>21</v>
      </c>
      <c r="M1079" t="s">
        <v>19177</v>
      </c>
      <c r="N1079" t="s">
        <v>714</v>
      </c>
      <c r="O1079" t="s">
        <v>10263</v>
      </c>
      <c r="P1079" t="s">
        <v>12</v>
      </c>
    </row>
    <row r="1080">
      <c r="A1080">
        <f>HYPERLINK("http://bombeiros.sp.gov.br/hidrantes/03individual/93.html","93")</f>
      </c>
      <c r="B1080" t="s">
        <v>623</v>
      </c>
      <c r="C1080" t="s">
        <v>709</v>
      </c>
      <c r="D1080" t="s">
        <v>10357</v>
      </c>
      <c r="E1080" t="s">
        <v>15</v>
      </c>
      <c r="F1080" t="s">
        <v>10364</v>
      </c>
      <c r="G1080" t="s">
        <v>18153</v>
      </c>
      <c r="H1080" t="s">
        <v>1107</v>
      </c>
      <c r="I1080" t="s">
        <v>1108</v>
      </c>
      <c r="J1080" t="s">
        <v>10365</v>
      </c>
      <c r="K1080" t="s">
        <v>10366</v>
      </c>
      <c r="L1080" t="s">
        <v>21</v>
      </c>
      <c r="M1080" t="s">
        <v>19177</v>
      </c>
      <c r="N1080" t="s">
        <v>714</v>
      </c>
      <c r="O1080" t="s">
        <v>10263</v>
      </c>
      <c r="P1080" t="s">
        <v>12</v>
      </c>
    </row>
    <row r="1081">
      <c r="A1081">
        <f>HYPERLINK("http://bombeiros.sp.gov.br/hidrantes/03individual/2363.html","2363")</f>
      </c>
      <c r="B1081" t="s">
        <v>623</v>
      </c>
      <c r="C1081" t="s">
        <v>709</v>
      </c>
      <c r="D1081" t="s">
        <v>10370</v>
      </c>
      <c r="E1081" t="s">
        <v>64</v>
      </c>
      <c r="F1081" t="s">
        <v>10371</v>
      </c>
      <c r="G1081" t="s">
        <v>18152</v>
      </c>
      <c r="H1081" t="s">
        <v>1112</v>
      </c>
      <c r="I1081" t="s">
        <v>1108</v>
      </c>
      <c r="J1081" t="s">
        <v>10372</v>
      </c>
      <c r="K1081" t="s">
        <v>10373</v>
      </c>
      <c r="L1081" t="s">
        <v>21</v>
      </c>
      <c r="M1081" t="s">
        <v>19177</v>
      </c>
      <c r="N1081" t="s">
        <v>714</v>
      </c>
      <c r="O1081" t="s">
        <v>10263</v>
      </c>
      <c r="P1081" t="s">
        <v>12</v>
      </c>
    </row>
    <row r="1082">
      <c r="A1082">
        <f>HYPERLINK("http://bombeiros.sp.gov.br/hidrantes/03individual/2367.html","2367")</f>
      </c>
      <c r="B1082" t="s">
        <v>623</v>
      </c>
      <c r="C1082" t="s">
        <v>709</v>
      </c>
      <c r="D1082" t="s">
        <v>10370</v>
      </c>
      <c r="E1082" t="s">
        <v>64</v>
      </c>
      <c r="F1082" t="s">
        <v>1710</v>
      </c>
      <c r="G1082" t="s">
        <v>18179</v>
      </c>
      <c r="H1082" t="s">
        <v>1121</v>
      </c>
      <c r="I1082" t="s">
        <v>1117</v>
      </c>
      <c r="J1082" t="s">
        <v>16010</v>
      </c>
      <c r="K1082" t="s">
        <v>16011</v>
      </c>
      <c r="L1082" t="s">
        <v>36</v>
      </c>
      <c r="M1082" t="s">
        <v>19177</v>
      </c>
      <c r="N1082" t="s">
        <v>714</v>
      </c>
      <c r="O1082" t="s">
        <v>10263</v>
      </c>
      <c r="P1082" t="s">
        <v>12</v>
      </c>
    </row>
    <row r="1083">
      <c r="A1083">
        <f>HYPERLINK("http://bombeiros.sp.gov.br/hidrantes/03individual/2564.html","2564")</f>
      </c>
      <c r="B1083" t="s">
        <v>623</v>
      </c>
      <c r="C1083" t="s">
        <v>709</v>
      </c>
      <c r="D1083" t="s">
        <v>10370</v>
      </c>
      <c r="E1083" t="s">
        <v>64</v>
      </c>
      <c r="F1083" t="s">
        <v>10376</v>
      </c>
      <c r="G1083" t="s">
        <v>18179</v>
      </c>
      <c r="H1083" t="s">
        <v>1107</v>
      </c>
      <c r="I1083" t="s">
        <v>1108</v>
      </c>
      <c r="J1083" t="s">
        <v>10377</v>
      </c>
      <c r="K1083" t="s">
        <v>10378</v>
      </c>
      <c r="L1083" t="s">
        <v>21</v>
      </c>
      <c r="M1083" t="s">
        <v>19177</v>
      </c>
      <c r="N1083" t="s">
        <v>714</v>
      </c>
      <c r="O1083" t="s">
        <v>10263</v>
      </c>
      <c r="P1083" t="s">
        <v>12</v>
      </c>
    </row>
    <row r="1084">
      <c r="A1084">
        <f>HYPERLINK("http://bombeiros.sp.gov.br/hidrantes/03individual/89.html","89")</f>
      </c>
      <c r="B1084" t="s">
        <v>623</v>
      </c>
      <c r="C1084" t="s">
        <v>709</v>
      </c>
      <c r="D1084" t="s">
        <v>10370</v>
      </c>
      <c r="E1084" t="s">
        <v>15</v>
      </c>
      <c r="F1084" t="s">
        <v>10391</v>
      </c>
      <c r="G1084" t="s">
        <v>18097</v>
      </c>
      <c r="H1084" t="s">
        <v>1112</v>
      </c>
      <c r="I1084" t="s">
        <v>1108</v>
      </c>
      <c r="J1084" t="s">
        <v>10392</v>
      </c>
      <c r="K1084" t="s">
        <v>10393</v>
      </c>
      <c r="L1084" t="s">
        <v>21</v>
      </c>
      <c r="M1084" t="s">
        <v>19177</v>
      </c>
      <c r="N1084" t="s">
        <v>714</v>
      </c>
      <c r="O1084" t="s">
        <v>10263</v>
      </c>
      <c r="P1084" t="s">
        <v>12</v>
      </c>
    </row>
    <row r="1085">
      <c r="A1085">
        <f>HYPERLINK("http://bombeiros.sp.gov.br/hidrantes/03individual/2665.html","2665")</f>
      </c>
      <c r="B1085" t="s">
        <v>623</v>
      </c>
      <c r="C1085" t="s">
        <v>709</v>
      </c>
      <c r="D1085" t="s">
        <v>10370</v>
      </c>
      <c r="E1085" t="s">
        <v>15</v>
      </c>
      <c r="F1085" t="s">
        <v>10409</v>
      </c>
      <c r="G1085" t="s">
        <v>18053</v>
      </c>
      <c r="H1085" t="s">
        <v>1107</v>
      </c>
      <c r="I1085" t="s">
        <v>1108</v>
      </c>
      <c r="J1085" t="s">
        <v>10410</v>
      </c>
      <c r="K1085" t="s">
        <v>10411</v>
      </c>
      <c r="L1085" t="s">
        <v>21</v>
      </c>
      <c r="M1085" t="s">
        <v>19177</v>
      </c>
      <c r="N1085" t="s">
        <v>714</v>
      </c>
      <c r="O1085" t="s">
        <v>10263</v>
      </c>
      <c r="P1085" t="s">
        <v>12</v>
      </c>
    </row>
    <row r="1086">
      <c r="A1086">
        <f>HYPERLINK("http://bombeiros.sp.gov.br/hidrantes/03individual/2743.html","2743")</f>
      </c>
      <c r="B1086" t="s">
        <v>623</v>
      </c>
      <c r="C1086" t="s">
        <v>709</v>
      </c>
      <c r="D1086" t="s">
        <v>10370</v>
      </c>
      <c r="E1086" t="s">
        <v>15</v>
      </c>
      <c r="F1086" t="s">
        <v>10412</v>
      </c>
      <c r="G1086" t="s">
        <v>18153</v>
      </c>
      <c r="H1086" t="s">
        <v>1112</v>
      </c>
      <c r="I1086" t="s">
        <v>1108</v>
      </c>
      <c r="J1086" t="s">
        <v>10413</v>
      </c>
      <c r="K1086" t="s">
        <v>10414</v>
      </c>
      <c r="L1086" t="s">
        <v>21</v>
      </c>
      <c r="M1086" t="s">
        <v>19177</v>
      </c>
      <c r="N1086" t="s">
        <v>714</v>
      </c>
      <c r="O1086" t="s">
        <v>10263</v>
      </c>
      <c r="P1086" t="s">
        <v>12</v>
      </c>
    </row>
    <row r="1087">
      <c r="A1087">
        <f>HYPERLINK("http://bombeiros.sp.gov.br/hidrantes/03individual/1177.html","1177")</f>
      </c>
      <c r="B1087" t="s">
        <v>623</v>
      </c>
      <c r="C1087" t="s">
        <v>714</v>
      </c>
      <c r="D1087" t="s">
        <v>10418</v>
      </c>
      <c r="E1087" t="s">
        <v>15</v>
      </c>
      <c r="F1087" t="s">
        <v>10423</v>
      </c>
      <c r="G1087" t="s">
        <v>17952</v>
      </c>
      <c r="H1087" t="s">
        <v>1112</v>
      </c>
      <c r="I1087" t="s">
        <v>1108</v>
      </c>
      <c r="J1087" t="s">
        <v>10424</v>
      </c>
      <c r="K1087" t="s">
        <v>10425</v>
      </c>
      <c r="L1087" t="s">
        <v>21</v>
      </c>
      <c r="M1087" t="s">
        <v>19177</v>
      </c>
      <c r="N1087" t="s">
        <v>714</v>
      </c>
      <c r="O1087" t="s">
        <v>10263</v>
      </c>
      <c r="P1087" t="s">
        <v>12</v>
      </c>
    </row>
    <row r="1088">
      <c r="A1088">
        <f>HYPERLINK("http://bombeiros.sp.gov.br/hidrantes/03individual/1255.html","1255")</f>
      </c>
      <c r="B1088" t="s">
        <v>623</v>
      </c>
      <c r="C1088" t="s">
        <v>714</v>
      </c>
      <c r="D1088" t="s">
        <v>10418</v>
      </c>
      <c r="E1088" t="s">
        <v>15</v>
      </c>
      <c r="F1088" t="s">
        <v>10426</v>
      </c>
      <c r="G1088" t="s">
        <v>17914</v>
      </c>
      <c r="H1088" t="s">
        <v>1112</v>
      </c>
      <c r="I1088" t="s">
        <v>1108</v>
      </c>
      <c r="J1088" t="s">
        <v>10428</v>
      </c>
      <c r="K1088" t="s">
        <v>10429</v>
      </c>
      <c r="L1088" t="s">
        <v>21</v>
      </c>
      <c r="M1088" t="s">
        <v>19177</v>
      </c>
      <c r="N1088" t="s">
        <v>714</v>
      </c>
      <c r="O1088" t="s">
        <v>10263</v>
      </c>
      <c r="P1088" t="s">
        <v>12</v>
      </c>
    </row>
    <row r="1089">
      <c r="A1089">
        <f>HYPERLINK("http://bombeiros.sp.gov.br/hidrantes/03individual/1272.html","1272")</f>
      </c>
      <c r="B1089" t="s">
        <v>623</v>
      </c>
      <c r="C1089" t="s">
        <v>714</v>
      </c>
      <c r="D1089" t="s">
        <v>10418</v>
      </c>
      <c r="E1089" t="s">
        <v>15</v>
      </c>
      <c r="F1089" t="s">
        <v>10430</v>
      </c>
      <c r="G1089" t="s">
        <v>18146</v>
      </c>
      <c r="H1089" t="s">
        <v>1112</v>
      </c>
      <c r="I1089" t="s">
        <v>1108</v>
      </c>
      <c r="J1089" t="s">
        <v>10431</v>
      </c>
      <c r="K1089" t="s">
        <v>10432</v>
      </c>
      <c r="L1089" t="s">
        <v>21</v>
      </c>
      <c r="M1089" t="s">
        <v>19177</v>
      </c>
      <c r="N1089" t="s">
        <v>714</v>
      </c>
      <c r="O1089" t="s">
        <v>10263</v>
      </c>
      <c r="P1089" t="s">
        <v>12</v>
      </c>
    </row>
    <row r="1090">
      <c r="A1090">
        <f>HYPERLINK("http://bombeiros.sp.gov.br/hidrantes/03individual/1274.html","1274")</f>
      </c>
      <c r="B1090" t="s">
        <v>623</v>
      </c>
      <c r="C1090" t="s">
        <v>714</v>
      </c>
      <c r="D1090" t="s">
        <v>10418</v>
      </c>
      <c r="E1090" t="s">
        <v>15</v>
      </c>
      <c r="F1090" t="s">
        <v>10433</v>
      </c>
      <c r="G1090" t="s">
        <v>18090</v>
      </c>
      <c r="H1090" t="s">
        <v>1112</v>
      </c>
      <c r="I1090" t="s">
        <v>1108</v>
      </c>
      <c r="J1090" t="s">
        <v>16232</v>
      </c>
      <c r="K1090" t="s">
        <v>16233</v>
      </c>
      <c r="L1090" t="s">
        <v>21</v>
      </c>
      <c r="M1090" t="s">
        <v>19177</v>
      </c>
      <c r="N1090" t="s">
        <v>714</v>
      </c>
      <c r="O1090" t="s">
        <v>10263</v>
      </c>
      <c r="P1090" t="s">
        <v>12</v>
      </c>
    </row>
    <row r="1091">
      <c r="A1091">
        <f>HYPERLINK("http://bombeiros.sp.gov.br/hidrantes/03individual/2370.html","2370")</f>
      </c>
      <c r="B1091" t="s">
        <v>623</v>
      </c>
      <c r="C1091" t="s">
        <v>714</v>
      </c>
      <c r="D1091" t="s">
        <v>10418</v>
      </c>
      <c r="E1091" t="s">
        <v>15</v>
      </c>
      <c r="F1091" t="s">
        <v>10439</v>
      </c>
      <c r="G1091" t="s">
        <v>17952</v>
      </c>
      <c r="H1091" t="s">
        <v>1112</v>
      </c>
      <c r="I1091" t="s">
        <v>1108</v>
      </c>
      <c r="J1091" t="s">
        <v>10441</v>
      </c>
      <c r="K1091" t="s">
        <v>10442</v>
      </c>
      <c r="L1091" t="s">
        <v>21</v>
      </c>
      <c r="M1091" t="s">
        <v>19177</v>
      </c>
      <c r="N1091" t="s">
        <v>714</v>
      </c>
      <c r="O1091" t="s">
        <v>10263</v>
      </c>
      <c r="P1091" t="s">
        <v>12</v>
      </c>
    </row>
    <row r="1092">
      <c r="A1092">
        <f>HYPERLINK("http://bombeiros.sp.gov.br/hidrantes/03individual/4237.html","4237")</f>
      </c>
      <c r="B1092" t="s">
        <v>623</v>
      </c>
      <c r="C1092" t="s">
        <v>714</v>
      </c>
      <c r="D1092" t="s">
        <v>10418</v>
      </c>
      <c r="E1092" t="s">
        <v>15</v>
      </c>
      <c r="F1092" t="s">
        <v>10443</v>
      </c>
      <c r="G1092" t="s">
        <v>17928</v>
      </c>
      <c r="H1092" t="s">
        <v>1112</v>
      </c>
      <c r="I1092" t="s">
        <v>1108</v>
      </c>
      <c r="J1092" t="s">
        <v>10444</v>
      </c>
      <c r="K1092" t="s">
        <v>10445</v>
      </c>
      <c r="L1092" t="s">
        <v>21</v>
      </c>
      <c r="M1092" t="s">
        <v>19177</v>
      </c>
      <c r="N1092" t="s">
        <v>714</v>
      </c>
      <c r="O1092" t="s">
        <v>10263</v>
      </c>
      <c r="P1092" t="s">
        <v>12</v>
      </c>
    </row>
    <row r="1093">
      <c r="A1093">
        <f>HYPERLINK("http://bombeiros.sp.gov.br/hidrantes/03individual/4240.html","4240")</f>
      </c>
      <c r="B1093" t="s">
        <v>623</v>
      </c>
      <c r="C1093" t="s">
        <v>714</v>
      </c>
      <c r="D1093" t="s">
        <v>10418</v>
      </c>
      <c r="E1093" t="s">
        <v>15</v>
      </c>
      <c r="F1093" t="s">
        <v>10449</v>
      </c>
      <c r="G1093" t="s">
        <v>17952</v>
      </c>
      <c r="H1093" t="s">
        <v>1112</v>
      </c>
      <c r="I1093" t="s">
        <v>1108</v>
      </c>
      <c r="J1093" t="s">
        <v>10450</v>
      </c>
      <c r="K1093" t="s">
        <v>10451</v>
      </c>
      <c r="L1093" t="s">
        <v>21</v>
      </c>
      <c r="M1093" t="s">
        <v>19177</v>
      </c>
      <c r="N1093" t="s">
        <v>714</v>
      </c>
      <c r="O1093" t="s">
        <v>10263</v>
      </c>
      <c r="P1093" t="s">
        <v>12</v>
      </c>
    </row>
    <row r="1094">
      <c r="A1094">
        <f>HYPERLINK("http://bombeiros.sp.gov.br/hidrantes/03individual/6675.html","6675")</f>
      </c>
      <c r="B1094" t="s">
        <v>623</v>
      </c>
      <c r="C1094" t="s">
        <v>714</v>
      </c>
      <c r="D1094" t="s">
        <v>10418</v>
      </c>
      <c r="E1094" t="s">
        <v>15</v>
      </c>
      <c r="F1094" t="s">
        <v>10459</v>
      </c>
      <c r="G1094" t="s">
        <v>18146</v>
      </c>
      <c r="H1094" t="s">
        <v>1112</v>
      </c>
      <c r="I1094" t="s">
        <v>1108</v>
      </c>
      <c r="J1094" t="s">
        <v>10460</v>
      </c>
      <c r="K1094" t="s">
        <v>10461</v>
      </c>
      <c r="L1094" t="s">
        <v>21</v>
      </c>
      <c r="M1094" t="s">
        <v>19177</v>
      </c>
      <c r="N1094" t="s">
        <v>714</v>
      </c>
      <c r="O1094" t="s">
        <v>10263</v>
      </c>
      <c r="P1094" t="s">
        <v>12</v>
      </c>
    </row>
    <row r="1095">
      <c r="A1095">
        <f>HYPERLINK("http://bombeiros.sp.gov.br/hidrantes/03individual/16594.html","16594")</f>
      </c>
      <c r="B1095" t="s">
        <v>623</v>
      </c>
      <c r="C1095" t="s">
        <v>714</v>
      </c>
      <c r="D1095" t="s">
        <v>10418</v>
      </c>
      <c r="E1095" t="s">
        <v>15</v>
      </c>
      <c r="F1095" t="s">
        <v>10462</v>
      </c>
      <c r="G1095" t="s">
        <v>18090</v>
      </c>
      <c r="H1095" t="s">
        <v>1112</v>
      </c>
      <c r="I1095" t="s">
        <v>1108</v>
      </c>
      <c r="J1095" t="s">
        <v>10463</v>
      </c>
      <c r="K1095" t="s">
        <v>10464</v>
      </c>
      <c r="L1095" t="s">
        <v>21</v>
      </c>
      <c r="M1095" t="s">
        <v>19177</v>
      </c>
      <c r="N1095" t="s">
        <v>714</v>
      </c>
      <c r="O1095" t="s">
        <v>10263</v>
      </c>
      <c r="P1095" t="s">
        <v>12</v>
      </c>
    </row>
    <row r="1096">
      <c r="A1096">
        <f>HYPERLINK("http://bombeiros.sp.gov.br/hidrantes/03individual/17866.html","17866")</f>
      </c>
      <c r="B1096" t="s">
        <v>623</v>
      </c>
      <c r="C1096" t="s">
        <v>714</v>
      </c>
      <c r="D1096" t="s">
        <v>10418</v>
      </c>
      <c r="E1096" t="s">
        <v>15</v>
      </c>
      <c r="F1096" t="s">
        <v>10465</v>
      </c>
      <c r="G1096" t="s">
        <v>18155</v>
      </c>
      <c r="H1096" t="s">
        <v>1112</v>
      </c>
      <c r="I1096" t="s">
        <v>1108</v>
      </c>
      <c r="J1096" t="s">
        <v>10466</v>
      </c>
      <c r="K1096" t="s">
        <v>10467</v>
      </c>
      <c r="L1096" t="s">
        <v>21</v>
      </c>
      <c r="M1096" t="s">
        <v>19177</v>
      </c>
      <c r="N1096" t="s">
        <v>714</v>
      </c>
      <c r="O1096" t="s">
        <v>10263</v>
      </c>
      <c r="P1096" t="s">
        <v>12</v>
      </c>
    </row>
    <row r="1097">
      <c r="A1097">
        <f>HYPERLINK("http://bombeiros.sp.gov.br/hidrantes/03individual/1148.html","1148")</f>
      </c>
      <c r="B1097" t="s">
        <v>623</v>
      </c>
      <c r="C1097" t="s">
        <v>714</v>
      </c>
      <c r="D1097" t="s">
        <v>10468</v>
      </c>
      <c r="E1097" t="s">
        <v>15</v>
      </c>
      <c r="F1097" t="s">
        <v>10469</v>
      </c>
      <c r="G1097" t="s">
        <v>17921</v>
      </c>
      <c r="H1097" t="s">
        <v>1112</v>
      </c>
      <c r="I1097" t="s">
        <v>1108</v>
      </c>
      <c r="J1097" t="s">
        <v>10470</v>
      </c>
      <c r="K1097" t="s">
        <v>10471</v>
      </c>
      <c r="L1097" t="s">
        <v>21</v>
      </c>
      <c r="M1097" t="s">
        <v>19177</v>
      </c>
      <c r="N1097" t="s">
        <v>714</v>
      </c>
      <c r="O1097" t="s">
        <v>10263</v>
      </c>
      <c r="P1097" t="s">
        <v>12</v>
      </c>
    </row>
    <row r="1098">
      <c r="A1098">
        <f>HYPERLINK("http://bombeiros.sp.gov.br/hidrantes/03individual/4227.html","4227")</f>
      </c>
      <c r="B1098" t="s">
        <v>623</v>
      </c>
      <c r="C1098" t="s">
        <v>714</v>
      </c>
      <c r="D1098" t="s">
        <v>10468</v>
      </c>
      <c r="E1098" t="s">
        <v>15</v>
      </c>
      <c r="F1098" t="s">
        <v>10472</v>
      </c>
      <c r="G1098" t="s">
        <v>18110</v>
      </c>
      <c r="H1098" t="s">
        <v>1112</v>
      </c>
      <c r="I1098" t="s">
        <v>1108</v>
      </c>
      <c r="J1098" t="s">
        <v>10473</v>
      </c>
      <c r="K1098" t="s">
        <v>10474</v>
      </c>
      <c r="L1098" t="s">
        <v>21</v>
      </c>
      <c r="M1098" t="s">
        <v>19177</v>
      </c>
      <c r="N1098" t="s">
        <v>714</v>
      </c>
      <c r="O1098" t="s">
        <v>10263</v>
      </c>
      <c r="P1098" t="s">
        <v>12</v>
      </c>
    </row>
    <row r="1099">
      <c r="A1099">
        <f>HYPERLINK("http://bombeiros.sp.gov.br/hidrantes/03individual/4228.html","4228")</f>
      </c>
      <c r="B1099" t="s">
        <v>623</v>
      </c>
      <c r="C1099" t="s">
        <v>714</v>
      </c>
      <c r="D1099" t="s">
        <v>10468</v>
      </c>
      <c r="E1099" t="s">
        <v>15</v>
      </c>
      <c r="F1099" t="s">
        <v>10475</v>
      </c>
      <c r="G1099" t="s">
        <v>18090</v>
      </c>
      <c r="H1099" t="s">
        <v>1112</v>
      </c>
      <c r="I1099" t="s">
        <v>1108</v>
      </c>
      <c r="J1099" t="s">
        <v>10476</v>
      </c>
      <c r="K1099" t="s">
        <v>10477</v>
      </c>
      <c r="L1099" t="s">
        <v>21</v>
      </c>
      <c r="M1099" t="s">
        <v>19177</v>
      </c>
      <c r="N1099" t="s">
        <v>714</v>
      </c>
      <c r="O1099" t="s">
        <v>10263</v>
      </c>
      <c r="P1099" t="s">
        <v>12</v>
      </c>
    </row>
    <row r="1100">
      <c r="A1100">
        <f>HYPERLINK("http://bombeiros.sp.gov.br/hidrantes/03individual/16317.html","16317")</f>
      </c>
      <c r="B1100" t="s">
        <v>623</v>
      </c>
      <c r="C1100" t="s">
        <v>714</v>
      </c>
      <c r="D1100" t="s">
        <v>10468</v>
      </c>
      <c r="E1100" t="s">
        <v>15</v>
      </c>
      <c r="F1100" t="s">
        <v>10478</v>
      </c>
      <c r="G1100" t="s">
        <v>17700</v>
      </c>
      <c r="H1100" t="s">
        <v>1112</v>
      </c>
      <c r="I1100" t="s">
        <v>1108</v>
      </c>
      <c r="J1100" t="s">
        <v>10480</v>
      </c>
      <c r="K1100" t="s">
        <v>10481</v>
      </c>
      <c r="L1100" t="s">
        <v>21</v>
      </c>
      <c r="M1100" t="s">
        <v>19177</v>
      </c>
      <c r="N1100" t="s">
        <v>714</v>
      </c>
      <c r="O1100" t="s">
        <v>10263</v>
      </c>
      <c r="P1100" t="s">
        <v>12</v>
      </c>
    </row>
    <row r="1101">
      <c r="A1101">
        <f>HYPERLINK("http://bombeiros.sp.gov.br/hidrantes/03individual/1124.html","1124")</f>
      </c>
      <c r="B1101" t="s">
        <v>623</v>
      </c>
      <c r="C1101" t="s">
        <v>714</v>
      </c>
      <c r="D1101" t="s">
        <v>714</v>
      </c>
      <c r="E1101" t="s">
        <v>64</v>
      </c>
      <c r="F1101" t="s">
        <v>10482</v>
      </c>
      <c r="G1101" t="s">
        <v>17921</v>
      </c>
      <c r="H1101" t="s">
        <v>1112</v>
      </c>
      <c r="I1101" t="s">
        <v>1108</v>
      </c>
      <c r="J1101" t="s">
        <v>10483</v>
      </c>
      <c r="K1101" t="s">
        <v>10484</v>
      </c>
      <c r="L1101" t="s">
        <v>36</v>
      </c>
      <c r="M1101" t="s">
        <v>19177</v>
      </c>
      <c r="N1101" t="s">
        <v>714</v>
      </c>
      <c r="O1101" t="s">
        <v>10263</v>
      </c>
      <c r="P1101" t="s">
        <v>12</v>
      </c>
    </row>
    <row r="1102">
      <c r="A1102">
        <f>HYPERLINK("http://bombeiros.sp.gov.br/hidrantes/03individual/1150.html","1150")</f>
      </c>
      <c r="B1102" t="s">
        <v>623</v>
      </c>
      <c r="C1102" t="s">
        <v>714</v>
      </c>
      <c r="D1102" t="s">
        <v>714</v>
      </c>
      <c r="E1102" t="s">
        <v>64</v>
      </c>
      <c r="F1102" t="s">
        <v>10485</v>
      </c>
      <c r="G1102" t="s">
        <v>17913</v>
      </c>
      <c r="H1102" t="s">
        <v>1112</v>
      </c>
      <c r="I1102" t="s">
        <v>1108</v>
      </c>
      <c r="J1102" t="s">
        <v>10486</v>
      </c>
      <c r="K1102" t="s">
        <v>10487</v>
      </c>
      <c r="L1102" t="s">
        <v>36</v>
      </c>
      <c r="M1102" t="s">
        <v>19177</v>
      </c>
      <c r="N1102" t="s">
        <v>714</v>
      </c>
      <c r="O1102" t="s">
        <v>10263</v>
      </c>
      <c r="P1102" t="s">
        <v>12</v>
      </c>
    </row>
    <row r="1103">
      <c r="A1103">
        <f>HYPERLINK("http://bombeiros.sp.gov.br/hidrantes/03individual/1152.html","1152")</f>
      </c>
      <c r="B1103" t="s">
        <v>623</v>
      </c>
      <c r="C1103" t="s">
        <v>714</v>
      </c>
      <c r="D1103" t="s">
        <v>714</v>
      </c>
      <c r="E1103" t="s">
        <v>64</v>
      </c>
      <c r="F1103" t="s">
        <v>10488</v>
      </c>
      <c r="G1103" t="s">
        <v>18164</v>
      </c>
      <c r="H1103" t="s">
        <v>1112</v>
      </c>
      <c r="I1103" t="s">
        <v>1108</v>
      </c>
      <c r="J1103" t="s">
        <v>10489</v>
      </c>
      <c r="K1103" t="s">
        <v>10490</v>
      </c>
      <c r="L1103" t="s">
        <v>36</v>
      </c>
      <c r="M1103" t="s">
        <v>19177</v>
      </c>
      <c r="N1103" t="s">
        <v>714</v>
      </c>
      <c r="O1103" t="s">
        <v>10263</v>
      </c>
      <c r="P1103" t="s">
        <v>12</v>
      </c>
    </row>
    <row r="1104">
      <c r="A1104">
        <f>HYPERLINK("http://bombeiros.sp.gov.br/hidrantes/03individual/1473.html","1473")</f>
      </c>
      <c r="B1104" t="s">
        <v>623</v>
      </c>
      <c r="C1104" t="s">
        <v>714</v>
      </c>
      <c r="D1104" t="s">
        <v>714</v>
      </c>
      <c r="E1104" t="s">
        <v>64</v>
      </c>
      <c r="F1104" t="s">
        <v>10494</v>
      </c>
      <c r="G1104" t="s">
        <v>18210</v>
      </c>
      <c r="H1104" t="s">
        <v>1112</v>
      </c>
      <c r="I1104" t="s">
        <v>1108</v>
      </c>
      <c r="J1104" t="s">
        <v>10495</v>
      </c>
      <c r="K1104" t="s">
        <v>10496</v>
      </c>
      <c r="L1104" t="s">
        <v>36</v>
      </c>
      <c r="M1104" t="s">
        <v>19177</v>
      </c>
      <c r="N1104" t="s">
        <v>714</v>
      </c>
      <c r="O1104" t="s">
        <v>10263</v>
      </c>
      <c r="P1104" t="s">
        <v>12</v>
      </c>
    </row>
    <row r="1105">
      <c r="A1105">
        <f>HYPERLINK("http://bombeiros.sp.gov.br/hidrantes/03individual/1477.html","1477")</f>
      </c>
      <c r="B1105" t="s">
        <v>623</v>
      </c>
      <c r="C1105" t="s">
        <v>714</v>
      </c>
      <c r="D1105" t="s">
        <v>714</v>
      </c>
      <c r="E1105" t="s">
        <v>64</v>
      </c>
      <c r="F1105" t="s">
        <v>10497</v>
      </c>
      <c r="G1105" t="s">
        <v>18107</v>
      </c>
      <c r="H1105" t="s">
        <v>1112</v>
      </c>
      <c r="I1105" t="s">
        <v>1108</v>
      </c>
      <c r="J1105" t="s">
        <v>10498</v>
      </c>
      <c r="K1105" t="s">
        <v>10499</v>
      </c>
      <c r="L1105" t="s">
        <v>21</v>
      </c>
      <c r="M1105" t="s">
        <v>19177</v>
      </c>
      <c r="N1105" t="s">
        <v>714</v>
      </c>
      <c r="O1105" t="s">
        <v>10263</v>
      </c>
      <c r="P1105" t="s">
        <v>12</v>
      </c>
    </row>
    <row r="1106">
      <c r="A1106">
        <f>HYPERLINK("http://bombeiros.sp.gov.br/hidrantes/03individual/2145.html","2145")</f>
      </c>
      <c r="B1106" t="s">
        <v>623</v>
      </c>
      <c r="C1106" t="s">
        <v>714</v>
      </c>
      <c r="D1106" t="s">
        <v>714</v>
      </c>
      <c r="E1106" t="s">
        <v>64</v>
      </c>
      <c r="F1106" t="s">
        <v>10500</v>
      </c>
      <c r="G1106" t="s">
        <v>18107</v>
      </c>
      <c r="H1106" t="s">
        <v>1112</v>
      </c>
      <c r="I1106" t="s">
        <v>1108</v>
      </c>
      <c r="J1106" t="s">
        <v>10501</v>
      </c>
      <c r="K1106" t="s">
        <v>10502</v>
      </c>
      <c r="L1106" t="s">
        <v>36</v>
      </c>
      <c r="M1106" t="s">
        <v>19177</v>
      </c>
      <c r="N1106" t="s">
        <v>714</v>
      </c>
      <c r="O1106" t="s">
        <v>10263</v>
      </c>
      <c r="P1106" t="s">
        <v>12</v>
      </c>
    </row>
    <row r="1107">
      <c r="A1107">
        <f>HYPERLINK("http://bombeiros.sp.gov.br/hidrantes/03individual/2201.html","2201")</f>
      </c>
      <c r="B1107" t="s">
        <v>623</v>
      </c>
      <c r="C1107" t="s">
        <v>714</v>
      </c>
      <c r="D1107" t="s">
        <v>714</v>
      </c>
      <c r="E1107" t="s">
        <v>64</v>
      </c>
      <c r="F1107" t="s">
        <v>10503</v>
      </c>
      <c r="G1107" t="s">
        <v>18151</v>
      </c>
      <c r="H1107" t="s">
        <v>1112</v>
      </c>
      <c r="I1107" t="s">
        <v>1108</v>
      </c>
      <c r="J1107" t="s">
        <v>10504</v>
      </c>
      <c r="K1107" t="s">
        <v>10505</v>
      </c>
      <c r="L1107" t="s">
        <v>21</v>
      </c>
      <c r="M1107" t="s">
        <v>19177</v>
      </c>
      <c r="N1107" t="s">
        <v>714</v>
      </c>
      <c r="O1107" t="s">
        <v>10263</v>
      </c>
      <c r="P1107" t="s">
        <v>12</v>
      </c>
    </row>
    <row r="1108">
      <c r="A1108">
        <f>HYPERLINK("http://bombeiros.sp.gov.br/hidrantes/03individual/2245.html","2245")</f>
      </c>
      <c r="B1108" t="s">
        <v>623</v>
      </c>
      <c r="C1108" t="s">
        <v>714</v>
      </c>
      <c r="D1108" t="s">
        <v>714</v>
      </c>
      <c r="E1108" t="s">
        <v>64</v>
      </c>
      <c r="F1108" t="s">
        <v>10506</v>
      </c>
      <c r="G1108" t="s">
        <v>18090</v>
      </c>
      <c r="H1108" t="s">
        <v>1112</v>
      </c>
      <c r="I1108" t="s">
        <v>1108</v>
      </c>
      <c r="J1108" t="s">
        <v>10507</v>
      </c>
      <c r="K1108" t="s">
        <v>10508</v>
      </c>
      <c r="L1108" t="s">
        <v>36</v>
      </c>
      <c r="M1108" t="s">
        <v>19177</v>
      </c>
      <c r="N1108" t="s">
        <v>714</v>
      </c>
      <c r="O1108" t="s">
        <v>10263</v>
      </c>
      <c r="P1108" t="s">
        <v>12</v>
      </c>
    </row>
    <row r="1109">
      <c r="A1109">
        <f>HYPERLINK("http://bombeiros.sp.gov.br/hidrantes/03individual/2255.html","2255")</f>
      </c>
      <c r="B1109" t="s">
        <v>623</v>
      </c>
      <c r="C1109" t="s">
        <v>714</v>
      </c>
      <c r="D1109" t="s">
        <v>714</v>
      </c>
      <c r="E1109" t="s">
        <v>64</v>
      </c>
      <c r="F1109" t="s">
        <v>10509</v>
      </c>
      <c r="G1109" t="s">
        <v>18107</v>
      </c>
      <c r="H1109" t="s">
        <v>1112</v>
      </c>
      <c r="I1109" t="s">
        <v>1108</v>
      </c>
      <c r="J1109" t="s">
        <v>10510</v>
      </c>
      <c r="K1109" t="s">
        <v>10511</v>
      </c>
      <c r="L1109" t="s">
        <v>36</v>
      </c>
      <c r="M1109" t="s">
        <v>19177</v>
      </c>
      <c r="N1109" t="s">
        <v>714</v>
      </c>
      <c r="O1109" t="s">
        <v>10263</v>
      </c>
      <c r="P1109" t="s">
        <v>12</v>
      </c>
    </row>
    <row r="1110">
      <c r="A1110">
        <f>HYPERLINK("http://bombeiros.sp.gov.br/hidrantes/03individual/17684.html","17684")</f>
      </c>
      <c r="B1110" t="s">
        <v>623</v>
      </c>
      <c r="C1110" t="s">
        <v>714</v>
      </c>
      <c r="D1110" t="s">
        <v>714</v>
      </c>
      <c r="E1110" t="s">
        <v>64</v>
      </c>
      <c r="F1110" t="s">
        <v>10512</v>
      </c>
      <c r="G1110" t="s">
        <v>17913</v>
      </c>
      <c r="H1110" t="s">
        <v>1112</v>
      </c>
      <c r="I1110" t="s">
        <v>1108</v>
      </c>
      <c r="J1110" t="s">
        <v>10513</v>
      </c>
      <c r="K1110" t="s">
        <v>10514</v>
      </c>
      <c r="L1110" t="s">
        <v>21</v>
      </c>
      <c r="M1110" t="s">
        <v>19177</v>
      </c>
      <c r="N1110" t="s">
        <v>714</v>
      </c>
      <c r="O1110" t="s">
        <v>10263</v>
      </c>
      <c r="P1110" t="s">
        <v>12</v>
      </c>
    </row>
    <row r="1111">
      <c r="A1111">
        <f>HYPERLINK("http://bombeiros.sp.gov.br/hidrantes/03individual/26955.html","26955")</f>
      </c>
      <c r="B1111" t="s">
        <v>623</v>
      </c>
      <c r="C1111" t="s">
        <v>714</v>
      </c>
      <c r="D1111" t="s">
        <v>714</v>
      </c>
      <c r="E1111" t="s">
        <v>64</v>
      </c>
      <c r="F1111" t="s">
        <v>16467</v>
      </c>
      <c r="G1111" t="s">
        <v>18090</v>
      </c>
      <c r="H1111" t="s">
        <v>1112</v>
      </c>
      <c r="I1111" t="s">
        <v>1108</v>
      </c>
      <c r="J1111" t="s">
        <v>16468</v>
      </c>
      <c r="K1111" t="s">
        <v>16469</v>
      </c>
      <c r="L1111" t="s">
        <v>21</v>
      </c>
      <c r="M1111" t="s">
        <v>19177</v>
      </c>
      <c r="N1111" t="s">
        <v>714</v>
      </c>
      <c r="O1111" t="s">
        <v>10263</v>
      </c>
      <c r="P1111" t="s">
        <v>12</v>
      </c>
    </row>
    <row r="1112">
      <c r="A1112">
        <f>HYPERLINK("http://bombeiros.sp.gov.br/hidrantes/03individual/1091.html","1091")</f>
      </c>
      <c r="B1112" t="s">
        <v>623</v>
      </c>
      <c r="C1112" t="s">
        <v>714</v>
      </c>
      <c r="D1112" t="s">
        <v>714</v>
      </c>
      <c r="E1112" t="s">
        <v>15</v>
      </c>
      <c r="F1112" t="s">
        <v>10515</v>
      </c>
      <c r="G1112" t="s">
        <v>18146</v>
      </c>
      <c r="H1112" t="s">
        <v>1112</v>
      </c>
      <c r="I1112" t="s">
        <v>1108</v>
      </c>
      <c r="J1112" t="s">
        <v>10516</v>
      </c>
      <c r="K1112" t="s">
        <v>10517</v>
      </c>
      <c r="L1112" t="s">
        <v>21</v>
      </c>
      <c r="M1112" t="s">
        <v>19177</v>
      </c>
      <c r="N1112" t="s">
        <v>714</v>
      </c>
      <c r="O1112" t="s">
        <v>10263</v>
      </c>
      <c r="P1112" t="s">
        <v>12</v>
      </c>
    </row>
    <row r="1113">
      <c r="A1113">
        <f>HYPERLINK("http://bombeiros.sp.gov.br/hidrantes/03individual/1109.html","1109")</f>
      </c>
      <c r="B1113" t="s">
        <v>623</v>
      </c>
      <c r="C1113" t="s">
        <v>714</v>
      </c>
      <c r="D1113" t="s">
        <v>714</v>
      </c>
      <c r="E1113" t="s">
        <v>15</v>
      </c>
      <c r="F1113" t="s">
        <v>10518</v>
      </c>
      <c r="G1113" t="s">
        <v>17911</v>
      </c>
      <c r="H1113" t="s">
        <v>1112</v>
      </c>
      <c r="I1113" t="s">
        <v>1108</v>
      </c>
      <c r="J1113" t="s">
        <v>10519</v>
      </c>
      <c r="K1113" t="s">
        <v>10520</v>
      </c>
      <c r="L1113" t="s">
        <v>21</v>
      </c>
      <c r="M1113" t="s">
        <v>19177</v>
      </c>
      <c r="N1113" t="s">
        <v>714</v>
      </c>
      <c r="O1113" t="s">
        <v>10263</v>
      </c>
      <c r="P1113" t="s">
        <v>12</v>
      </c>
    </row>
    <row r="1114">
      <c r="A1114">
        <f>HYPERLINK("http://bombeiros.sp.gov.br/hidrantes/03individual/1111.html","1111")</f>
      </c>
      <c r="B1114" t="s">
        <v>623</v>
      </c>
      <c r="C1114" t="s">
        <v>714</v>
      </c>
      <c r="D1114" t="s">
        <v>714</v>
      </c>
      <c r="E1114" t="s">
        <v>15</v>
      </c>
      <c r="F1114" t="s">
        <v>10521</v>
      </c>
      <c r="G1114" t="s">
        <v>18154</v>
      </c>
      <c r="H1114" t="s">
        <v>1121</v>
      </c>
      <c r="I1114" t="s">
        <v>1117</v>
      </c>
      <c r="J1114" t="s">
        <v>10522</v>
      </c>
      <c r="K1114" t="s">
        <v>10523</v>
      </c>
      <c r="L1114" t="s">
        <v>21</v>
      </c>
      <c r="M1114" t="s">
        <v>19177</v>
      </c>
      <c r="N1114" t="s">
        <v>714</v>
      </c>
      <c r="O1114" t="s">
        <v>10263</v>
      </c>
      <c r="P1114" t="s">
        <v>12</v>
      </c>
    </row>
    <row r="1115">
      <c r="A1115">
        <f>HYPERLINK("http://bombeiros.sp.gov.br/hidrantes/03individual/1115.html","1115")</f>
      </c>
      <c r="B1115" t="s">
        <v>623</v>
      </c>
      <c r="C1115" t="s">
        <v>714</v>
      </c>
      <c r="D1115" t="s">
        <v>714</v>
      </c>
      <c r="E1115" t="s">
        <v>15</v>
      </c>
      <c r="F1115" t="s">
        <v>10524</v>
      </c>
      <c r="G1115" t="s">
        <v>18154</v>
      </c>
      <c r="H1115" t="s">
        <v>1112</v>
      </c>
      <c r="I1115" t="s">
        <v>1108</v>
      </c>
      <c r="J1115" t="s">
        <v>10525</v>
      </c>
      <c r="K1115" t="s">
        <v>10526</v>
      </c>
      <c r="L1115" t="s">
        <v>21</v>
      </c>
      <c r="M1115" t="s">
        <v>19177</v>
      </c>
      <c r="N1115" t="s">
        <v>714</v>
      </c>
      <c r="O1115" t="s">
        <v>10263</v>
      </c>
      <c r="P1115" t="s">
        <v>12</v>
      </c>
    </row>
    <row r="1116">
      <c r="A1116">
        <f>HYPERLINK("http://bombeiros.sp.gov.br/hidrantes/03individual/1117.html","1117")</f>
      </c>
      <c r="B1116" t="s">
        <v>623</v>
      </c>
      <c r="C1116" t="s">
        <v>714</v>
      </c>
      <c r="D1116" t="s">
        <v>714</v>
      </c>
      <c r="E1116" t="s">
        <v>15</v>
      </c>
      <c r="F1116" t="s">
        <v>10527</v>
      </c>
      <c r="G1116" t="s">
        <v>18107</v>
      </c>
      <c r="H1116" t="s">
        <v>1112</v>
      </c>
      <c r="I1116" t="s">
        <v>1108</v>
      </c>
      <c r="J1116" t="s">
        <v>10528</v>
      </c>
      <c r="K1116" t="s">
        <v>10529</v>
      </c>
      <c r="L1116" t="s">
        <v>21</v>
      </c>
      <c r="M1116" t="s">
        <v>19177</v>
      </c>
      <c r="N1116" t="s">
        <v>714</v>
      </c>
      <c r="O1116" t="s">
        <v>10263</v>
      </c>
      <c r="P1116" t="s">
        <v>12</v>
      </c>
    </row>
    <row r="1117">
      <c r="A1117">
        <f>HYPERLINK("http://bombeiros.sp.gov.br/hidrantes/03individual/1118.html","1118")</f>
      </c>
      <c r="B1117" t="s">
        <v>623</v>
      </c>
      <c r="C1117" t="s">
        <v>714</v>
      </c>
      <c r="D1117" t="s">
        <v>714</v>
      </c>
      <c r="E1117" t="s">
        <v>15</v>
      </c>
      <c r="F1117" t="s">
        <v>10530</v>
      </c>
      <c r="G1117" t="s">
        <v>18146</v>
      </c>
      <c r="H1117" t="s">
        <v>1112</v>
      </c>
      <c r="I1117" t="s">
        <v>1108</v>
      </c>
      <c r="J1117" t="s">
        <v>10531</v>
      </c>
      <c r="K1117" t="s">
        <v>10532</v>
      </c>
      <c r="L1117" t="s">
        <v>21</v>
      </c>
      <c r="M1117" t="s">
        <v>19177</v>
      </c>
      <c r="N1117" t="s">
        <v>714</v>
      </c>
      <c r="O1117" t="s">
        <v>10263</v>
      </c>
      <c r="P1117" t="s">
        <v>12</v>
      </c>
    </row>
    <row r="1118">
      <c r="A1118">
        <f>HYPERLINK("http://bombeiros.sp.gov.br/hidrantes/03individual/1120.html","1120")</f>
      </c>
      <c r="B1118" t="s">
        <v>623</v>
      </c>
      <c r="C1118" t="s">
        <v>714</v>
      </c>
      <c r="D1118" t="s">
        <v>714</v>
      </c>
      <c r="E1118" t="s">
        <v>15</v>
      </c>
      <c r="F1118" t="s">
        <v>10533</v>
      </c>
      <c r="G1118" t="s">
        <v>18154</v>
      </c>
      <c r="H1118" t="s">
        <v>1112</v>
      </c>
      <c r="I1118" t="s">
        <v>1108</v>
      </c>
      <c r="J1118" t="s">
        <v>10534</v>
      </c>
      <c r="K1118" t="s">
        <v>10535</v>
      </c>
      <c r="L1118" t="s">
        <v>21</v>
      </c>
      <c r="M1118" t="s">
        <v>19177</v>
      </c>
      <c r="N1118" t="s">
        <v>714</v>
      </c>
      <c r="O1118" t="s">
        <v>10263</v>
      </c>
      <c r="P1118" t="s">
        <v>12</v>
      </c>
    </row>
    <row r="1119">
      <c r="A1119">
        <f>HYPERLINK("http://bombeiros.sp.gov.br/hidrantes/03individual/1122.html","1122")</f>
      </c>
      <c r="B1119" t="s">
        <v>623</v>
      </c>
      <c r="C1119" t="s">
        <v>714</v>
      </c>
      <c r="D1119" t="s">
        <v>714</v>
      </c>
      <c r="E1119" t="s">
        <v>15</v>
      </c>
      <c r="F1119" t="s">
        <v>10536</v>
      </c>
      <c r="G1119" t="s">
        <v>18090</v>
      </c>
      <c r="H1119" t="s">
        <v>1112</v>
      </c>
      <c r="I1119" t="s">
        <v>1108</v>
      </c>
      <c r="J1119" t="s">
        <v>10537</v>
      </c>
      <c r="K1119" t="s">
        <v>10538</v>
      </c>
      <c r="L1119" t="s">
        <v>21</v>
      </c>
      <c r="M1119" t="s">
        <v>19177</v>
      </c>
      <c r="N1119" t="s">
        <v>714</v>
      </c>
      <c r="O1119" t="s">
        <v>10263</v>
      </c>
      <c r="P1119" t="s">
        <v>12</v>
      </c>
    </row>
    <row r="1120">
      <c r="A1120">
        <f>HYPERLINK("http://bombeiros.sp.gov.br/hidrantes/03individual/1126.html","1126")</f>
      </c>
      <c r="B1120" t="s">
        <v>623</v>
      </c>
      <c r="C1120" t="s">
        <v>714</v>
      </c>
      <c r="D1120" t="s">
        <v>714</v>
      </c>
      <c r="E1120" t="s">
        <v>15</v>
      </c>
      <c r="F1120" t="s">
        <v>10539</v>
      </c>
      <c r="G1120" t="s">
        <v>18107</v>
      </c>
      <c r="H1120" t="s">
        <v>1112</v>
      </c>
      <c r="I1120" t="s">
        <v>1108</v>
      </c>
      <c r="J1120" t="s">
        <v>10540</v>
      </c>
      <c r="K1120" t="s">
        <v>10541</v>
      </c>
      <c r="L1120" t="s">
        <v>36</v>
      </c>
      <c r="M1120" t="s">
        <v>19177</v>
      </c>
      <c r="N1120" t="s">
        <v>714</v>
      </c>
      <c r="O1120" t="s">
        <v>10263</v>
      </c>
      <c r="P1120" t="s">
        <v>12</v>
      </c>
    </row>
    <row r="1121">
      <c r="A1121">
        <f>HYPERLINK("http://bombeiros.sp.gov.br/hidrantes/03individual/1162.html","1162")</f>
      </c>
      <c r="B1121" t="s">
        <v>623</v>
      </c>
      <c r="C1121" t="s">
        <v>714</v>
      </c>
      <c r="D1121" t="s">
        <v>714</v>
      </c>
      <c r="E1121" t="s">
        <v>15</v>
      </c>
      <c r="F1121" t="s">
        <v>10545</v>
      </c>
      <c r="G1121" t="s">
        <v>18107</v>
      </c>
      <c r="H1121" t="s">
        <v>1112</v>
      </c>
      <c r="I1121" t="s">
        <v>1108</v>
      </c>
      <c r="J1121" t="s">
        <v>10546</v>
      </c>
      <c r="K1121" t="s">
        <v>10547</v>
      </c>
      <c r="L1121" t="s">
        <v>21</v>
      </c>
      <c r="M1121" t="s">
        <v>19177</v>
      </c>
      <c r="N1121" t="s">
        <v>714</v>
      </c>
      <c r="O1121" t="s">
        <v>10263</v>
      </c>
      <c r="P1121" t="s">
        <v>12</v>
      </c>
    </row>
    <row r="1122">
      <c r="A1122">
        <f>HYPERLINK("http://bombeiros.sp.gov.br/hidrantes/03individual/1163.html","1163")</f>
      </c>
      <c r="B1122" t="s">
        <v>623</v>
      </c>
      <c r="C1122" t="s">
        <v>714</v>
      </c>
      <c r="D1122" t="s">
        <v>714</v>
      </c>
      <c r="E1122" t="s">
        <v>15</v>
      </c>
      <c r="F1122" t="s">
        <v>10548</v>
      </c>
      <c r="G1122" t="s">
        <v>18107</v>
      </c>
      <c r="H1122" t="s">
        <v>1112</v>
      </c>
      <c r="I1122" t="s">
        <v>1108</v>
      </c>
      <c r="J1122" t="s">
        <v>10549</v>
      </c>
      <c r="K1122" t="s">
        <v>10550</v>
      </c>
      <c r="L1122" t="s">
        <v>21</v>
      </c>
      <c r="M1122" t="s">
        <v>19177</v>
      </c>
      <c r="N1122" t="s">
        <v>714</v>
      </c>
      <c r="O1122" t="s">
        <v>10263</v>
      </c>
      <c r="P1122" t="s">
        <v>12</v>
      </c>
    </row>
    <row r="1123">
      <c r="A1123">
        <f>HYPERLINK("http://bombeiros.sp.gov.br/hidrantes/03individual/1170.html","1170")</f>
      </c>
      <c r="B1123" t="s">
        <v>623</v>
      </c>
      <c r="C1123" t="s">
        <v>714</v>
      </c>
      <c r="D1123" t="s">
        <v>714</v>
      </c>
      <c r="E1123" t="s">
        <v>15</v>
      </c>
      <c r="F1123" t="s">
        <v>10551</v>
      </c>
      <c r="G1123" t="s">
        <v>18090</v>
      </c>
      <c r="H1123" t="s">
        <v>1112</v>
      </c>
      <c r="I1123" t="s">
        <v>1108</v>
      </c>
      <c r="J1123" t="s">
        <v>10552</v>
      </c>
      <c r="K1123" t="s">
        <v>10553</v>
      </c>
      <c r="L1123" t="s">
        <v>21</v>
      </c>
      <c r="M1123" t="s">
        <v>19177</v>
      </c>
      <c r="N1123" t="s">
        <v>714</v>
      </c>
      <c r="O1123" t="s">
        <v>10263</v>
      </c>
      <c r="P1123" t="s">
        <v>12</v>
      </c>
    </row>
    <row r="1124">
      <c r="A1124">
        <f>HYPERLINK("http://bombeiros.sp.gov.br/hidrantes/03individual/1182.html","1182")</f>
      </c>
      <c r="B1124" t="s">
        <v>623</v>
      </c>
      <c r="C1124" t="s">
        <v>714</v>
      </c>
      <c r="D1124" t="s">
        <v>714</v>
      </c>
      <c r="E1124" t="s">
        <v>15</v>
      </c>
      <c r="F1124" t="s">
        <v>10554</v>
      </c>
      <c r="G1124" t="s">
        <v>17949</v>
      </c>
      <c r="H1124" t="s">
        <v>1112</v>
      </c>
      <c r="I1124" t="s">
        <v>1108</v>
      </c>
      <c r="J1124" t="s">
        <v>10555</v>
      </c>
      <c r="K1124" t="s">
        <v>10556</v>
      </c>
      <c r="L1124" t="s">
        <v>21</v>
      </c>
      <c r="M1124" t="s">
        <v>19177</v>
      </c>
      <c r="N1124" t="s">
        <v>714</v>
      </c>
      <c r="O1124" t="s">
        <v>10263</v>
      </c>
      <c r="P1124" t="s">
        <v>12</v>
      </c>
    </row>
    <row r="1125">
      <c r="A1125">
        <f>HYPERLINK("http://bombeiros.sp.gov.br/hidrantes/03individual/1475.html","1475")</f>
      </c>
      <c r="B1125" t="s">
        <v>623</v>
      </c>
      <c r="C1125" t="s">
        <v>714</v>
      </c>
      <c r="D1125" t="s">
        <v>714</v>
      </c>
      <c r="E1125" t="s">
        <v>15</v>
      </c>
      <c r="F1125" t="s">
        <v>10563</v>
      </c>
      <c r="G1125" t="s">
        <v>18151</v>
      </c>
      <c r="H1125" t="s">
        <v>1174</v>
      </c>
      <c r="I1125" t="s">
        <v>1117</v>
      </c>
      <c r="J1125" t="s">
        <v>10564</v>
      </c>
      <c r="K1125" t="s">
        <v>10565</v>
      </c>
      <c r="L1125" t="s">
        <v>21</v>
      </c>
      <c r="M1125" t="s">
        <v>19177</v>
      </c>
      <c r="N1125" t="s">
        <v>714</v>
      </c>
      <c r="O1125" t="s">
        <v>10263</v>
      </c>
      <c r="P1125" t="s">
        <v>12</v>
      </c>
    </row>
    <row r="1126">
      <c r="A1126">
        <f>HYPERLINK("http://bombeiros.sp.gov.br/hidrantes/03individual/1476.html","1476")</f>
      </c>
      <c r="B1126" t="s">
        <v>623</v>
      </c>
      <c r="C1126" t="s">
        <v>714</v>
      </c>
      <c r="D1126" t="s">
        <v>714</v>
      </c>
      <c r="E1126" t="s">
        <v>15</v>
      </c>
      <c r="F1126" t="s">
        <v>10566</v>
      </c>
      <c r="G1126" t="s">
        <v>18151</v>
      </c>
      <c r="H1126" t="s">
        <v>1112</v>
      </c>
      <c r="I1126" t="s">
        <v>1108</v>
      </c>
      <c r="J1126" t="s">
        <v>10567</v>
      </c>
      <c r="K1126" t="s">
        <v>10568</v>
      </c>
      <c r="L1126" t="s">
        <v>21</v>
      </c>
      <c r="M1126" t="s">
        <v>19177</v>
      </c>
      <c r="N1126" t="s">
        <v>714</v>
      </c>
      <c r="O1126" t="s">
        <v>10263</v>
      </c>
      <c r="P1126" t="s">
        <v>12</v>
      </c>
    </row>
    <row r="1127">
      <c r="A1127">
        <f>HYPERLINK("http://bombeiros.sp.gov.br/hidrantes/03individual/1479.html","1479")</f>
      </c>
      <c r="B1127" t="s">
        <v>623</v>
      </c>
      <c r="C1127" t="s">
        <v>714</v>
      </c>
      <c r="D1127" t="s">
        <v>714</v>
      </c>
      <c r="E1127" t="s">
        <v>15</v>
      </c>
      <c r="F1127" t="s">
        <v>10569</v>
      </c>
      <c r="G1127" t="s">
        <v>18107</v>
      </c>
      <c r="H1127" t="s">
        <v>1112</v>
      </c>
      <c r="I1127" t="s">
        <v>1108</v>
      </c>
      <c r="J1127" t="s">
        <v>10570</v>
      </c>
      <c r="K1127" t="s">
        <v>10571</v>
      </c>
      <c r="L1127" t="s">
        <v>21</v>
      </c>
      <c r="M1127" t="s">
        <v>19177</v>
      </c>
      <c r="N1127" t="s">
        <v>714</v>
      </c>
      <c r="O1127" t="s">
        <v>10263</v>
      </c>
      <c r="P1127" t="s">
        <v>12</v>
      </c>
    </row>
    <row r="1128">
      <c r="A1128">
        <f>HYPERLINK("http://bombeiros.sp.gov.br/hidrantes/03individual/1482.html","1482")</f>
      </c>
      <c r="B1128" t="s">
        <v>623</v>
      </c>
      <c r="C1128" t="s">
        <v>714</v>
      </c>
      <c r="D1128" t="s">
        <v>714</v>
      </c>
      <c r="E1128" t="s">
        <v>15</v>
      </c>
      <c r="F1128" t="s">
        <v>10572</v>
      </c>
      <c r="G1128" t="s">
        <v>18090</v>
      </c>
      <c r="H1128" t="s">
        <v>1112</v>
      </c>
      <c r="I1128" t="s">
        <v>1108</v>
      </c>
      <c r="J1128" t="s">
        <v>10573</v>
      </c>
      <c r="K1128" t="s">
        <v>10574</v>
      </c>
      <c r="L1128" t="s">
        <v>21</v>
      </c>
      <c r="M1128" t="s">
        <v>19177</v>
      </c>
      <c r="N1128" t="s">
        <v>714</v>
      </c>
      <c r="O1128" t="s">
        <v>10263</v>
      </c>
      <c r="P1128" t="s">
        <v>12</v>
      </c>
    </row>
    <row r="1129">
      <c r="A1129">
        <f>HYPERLINK("http://bombeiros.sp.gov.br/hidrantes/03individual/1491.html","1491")</f>
      </c>
      <c r="B1129" t="s">
        <v>623</v>
      </c>
      <c r="C1129" t="s">
        <v>714</v>
      </c>
      <c r="D1129" t="s">
        <v>714</v>
      </c>
      <c r="E1129" t="s">
        <v>15</v>
      </c>
      <c r="F1129" t="s">
        <v>10575</v>
      </c>
      <c r="G1129" t="s">
        <v>18210</v>
      </c>
      <c r="H1129" t="s">
        <v>1112</v>
      </c>
      <c r="I1129" t="s">
        <v>1108</v>
      </c>
      <c r="J1129" t="s">
        <v>10576</v>
      </c>
      <c r="K1129" t="s">
        <v>10577</v>
      </c>
      <c r="L1129" t="s">
        <v>21</v>
      </c>
      <c r="M1129" t="s">
        <v>19177</v>
      </c>
      <c r="N1129" t="s">
        <v>714</v>
      </c>
      <c r="O1129" t="s">
        <v>10263</v>
      </c>
      <c r="P1129" t="s">
        <v>12</v>
      </c>
    </row>
    <row r="1130">
      <c r="A1130">
        <f>HYPERLINK("http://bombeiros.sp.gov.br/hidrantes/03individual/1493.html","1493")</f>
      </c>
      <c r="B1130" t="s">
        <v>623</v>
      </c>
      <c r="C1130" t="s">
        <v>714</v>
      </c>
      <c r="D1130" t="s">
        <v>714</v>
      </c>
      <c r="E1130" t="s">
        <v>15</v>
      </c>
      <c r="F1130" t="s">
        <v>10578</v>
      </c>
      <c r="G1130" t="s">
        <v>18146</v>
      </c>
      <c r="H1130" t="s">
        <v>1112</v>
      </c>
      <c r="I1130" t="s">
        <v>1108</v>
      </c>
      <c r="J1130" t="s">
        <v>10579</v>
      </c>
      <c r="K1130" t="s">
        <v>10580</v>
      </c>
      <c r="L1130" t="s">
        <v>21</v>
      </c>
      <c r="M1130" t="s">
        <v>19177</v>
      </c>
      <c r="N1130" t="s">
        <v>714</v>
      </c>
      <c r="O1130" t="s">
        <v>10263</v>
      </c>
      <c r="P1130" t="s">
        <v>12</v>
      </c>
    </row>
    <row r="1131">
      <c r="A1131">
        <f>HYPERLINK("http://bombeiros.sp.gov.br/hidrantes/03individual/1513.html","1513")</f>
      </c>
      <c r="B1131" t="s">
        <v>623</v>
      </c>
      <c r="C1131" t="s">
        <v>714</v>
      </c>
      <c r="D1131" t="s">
        <v>714</v>
      </c>
      <c r="E1131" t="s">
        <v>15</v>
      </c>
      <c r="F1131" t="s">
        <v>10506</v>
      </c>
      <c r="G1131" t="s">
        <v>18107</v>
      </c>
      <c r="H1131" t="s">
        <v>1112</v>
      </c>
      <c r="I1131" t="s">
        <v>1108</v>
      </c>
      <c r="J1131" t="s">
        <v>10584</v>
      </c>
      <c r="K1131" t="s">
        <v>10585</v>
      </c>
      <c r="L1131" t="s">
        <v>21</v>
      </c>
      <c r="M1131" t="s">
        <v>19177</v>
      </c>
      <c r="N1131" t="s">
        <v>714</v>
      </c>
      <c r="O1131" t="s">
        <v>10263</v>
      </c>
      <c r="P1131" t="s">
        <v>12</v>
      </c>
    </row>
    <row r="1132">
      <c r="A1132">
        <f>HYPERLINK("http://bombeiros.sp.gov.br/hidrantes/03individual/2121.html","2121")</f>
      </c>
      <c r="B1132" t="s">
        <v>623</v>
      </c>
      <c r="C1132" t="s">
        <v>714</v>
      </c>
      <c r="D1132" t="s">
        <v>714</v>
      </c>
      <c r="E1132" t="s">
        <v>15</v>
      </c>
      <c r="F1132" t="s">
        <v>10589</v>
      </c>
      <c r="G1132" t="s">
        <v>18107</v>
      </c>
      <c r="H1132" t="s">
        <v>1112</v>
      </c>
      <c r="I1132" t="s">
        <v>1108</v>
      </c>
      <c r="J1132" t="s">
        <v>10590</v>
      </c>
      <c r="K1132" t="s">
        <v>10591</v>
      </c>
      <c r="L1132" t="s">
        <v>21</v>
      </c>
      <c r="M1132" t="s">
        <v>19177</v>
      </c>
      <c r="N1132" t="s">
        <v>714</v>
      </c>
      <c r="O1132" t="s">
        <v>10263</v>
      </c>
      <c r="P1132" t="s">
        <v>12</v>
      </c>
    </row>
    <row r="1133">
      <c r="A1133">
        <f>HYPERLINK("http://bombeiros.sp.gov.br/hidrantes/03individual/2170.html","2170")</f>
      </c>
      <c r="B1133" t="s">
        <v>623</v>
      </c>
      <c r="C1133" t="s">
        <v>714</v>
      </c>
      <c r="D1133" t="s">
        <v>714</v>
      </c>
      <c r="E1133" t="s">
        <v>15</v>
      </c>
      <c r="F1133" t="s">
        <v>10595</v>
      </c>
      <c r="G1133" t="s">
        <v>18146</v>
      </c>
      <c r="H1133" t="s">
        <v>1112</v>
      </c>
      <c r="I1133" t="s">
        <v>1108</v>
      </c>
      <c r="J1133" t="s">
        <v>10596</v>
      </c>
      <c r="K1133" t="s">
        <v>10597</v>
      </c>
      <c r="L1133" t="s">
        <v>21</v>
      </c>
      <c r="M1133" t="s">
        <v>19177</v>
      </c>
      <c r="N1133" t="s">
        <v>714</v>
      </c>
      <c r="O1133" t="s">
        <v>10263</v>
      </c>
      <c r="P1133" t="s">
        <v>12</v>
      </c>
    </row>
    <row r="1134">
      <c r="A1134">
        <f>HYPERLINK("http://bombeiros.sp.gov.br/hidrantes/03individual/2172.html","2172")</f>
      </c>
      <c r="B1134" t="s">
        <v>623</v>
      </c>
      <c r="C1134" t="s">
        <v>714</v>
      </c>
      <c r="D1134" t="s">
        <v>714</v>
      </c>
      <c r="E1134" t="s">
        <v>15</v>
      </c>
      <c r="F1134" t="s">
        <v>10598</v>
      </c>
      <c r="G1134" t="s">
        <v>18090</v>
      </c>
      <c r="H1134" t="s">
        <v>1112</v>
      </c>
      <c r="I1134" t="s">
        <v>1108</v>
      </c>
      <c r="J1134" t="s">
        <v>10599</v>
      </c>
      <c r="K1134" t="s">
        <v>10600</v>
      </c>
      <c r="L1134" t="s">
        <v>36</v>
      </c>
      <c r="M1134" t="s">
        <v>19177</v>
      </c>
      <c r="N1134" t="s">
        <v>714</v>
      </c>
      <c r="O1134" t="s">
        <v>10263</v>
      </c>
      <c r="P1134" t="s">
        <v>12</v>
      </c>
    </row>
    <row r="1135">
      <c r="A1135">
        <f>HYPERLINK("http://bombeiros.sp.gov.br/hidrantes/03individual/2173.html","2173")</f>
      </c>
      <c r="B1135" t="s">
        <v>623</v>
      </c>
      <c r="C1135" t="s">
        <v>714</v>
      </c>
      <c r="D1135" t="s">
        <v>714</v>
      </c>
      <c r="E1135" t="s">
        <v>15</v>
      </c>
      <c r="F1135" t="s">
        <v>10601</v>
      </c>
      <c r="G1135" t="s">
        <v>18090</v>
      </c>
      <c r="H1135" t="s">
        <v>1112</v>
      </c>
      <c r="I1135" t="s">
        <v>1108</v>
      </c>
      <c r="J1135" t="s">
        <v>10602</v>
      </c>
      <c r="K1135" t="s">
        <v>10603</v>
      </c>
      <c r="L1135" t="s">
        <v>21</v>
      </c>
      <c r="M1135" t="s">
        <v>19177</v>
      </c>
      <c r="N1135" t="s">
        <v>714</v>
      </c>
      <c r="O1135" t="s">
        <v>10263</v>
      </c>
      <c r="P1135" t="s">
        <v>12</v>
      </c>
    </row>
    <row r="1136">
      <c r="A1136">
        <f>HYPERLINK("http://bombeiros.sp.gov.br/hidrantes/03individual/2180.html","2180")</f>
      </c>
      <c r="B1136" t="s">
        <v>623</v>
      </c>
      <c r="C1136" t="s">
        <v>714</v>
      </c>
      <c r="D1136" t="s">
        <v>714</v>
      </c>
      <c r="E1136" t="s">
        <v>15</v>
      </c>
      <c r="F1136" t="s">
        <v>728</v>
      </c>
      <c r="G1136" t="s">
        <v>18090</v>
      </c>
      <c r="H1136" t="s">
        <v>1112</v>
      </c>
      <c r="I1136" t="s">
        <v>1108</v>
      </c>
      <c r="J1136" t="s">
        <v>730</v>
      </c>
      <c r="K1136" t="s">
        <v>731</v>
      </c>
      <c r="L1136" t="s">
        <v>21</v>
      </c>
      <c r="M1136" t="s">
        <v>19177</v>
      </c>
      <c r="N1136" t="s">
        <v>714</v>
      </c>
      <c r="O1136" t="s">
        <v>10263</v>
      </c>
      <c r="P1136" t="s">
        <v>12</v>
      </c>
    </row>
    <row r="1137">
      <c r="A1137">
        <f>HYPERLINK("http://bombeiros.sp.gov.br/hidrantes/03individual/2197.html","2197")</f>
      </c>
      <c r="B1137" t="s">
        <v>623</v>
      </c>
      <c r="C1137" t="s">
        <v>714</v>
      </c>
      <c r="D1137" t="s">
        <v>714</v>
      </c>
      <c r="E1137" t="s">
        <v>15</v>
      </c>
      <c r="F1137" t="s">
        <v>10607</v>
      </c>
      <c r="G1137" t="s">
        <v>18090</v>
      </c>
      <c r="H1137" t="s">
        <v>1112</v>
      </c>
      <c r="I1137" t="s">
        <v>1108</v>
      </c>
      <c r="J1137" t="s">
        <v>10608</v>
      </c>
      <c r="K1137" t="s">
        <v>10609</v>
      </c>
      <c r="L1137" t="s">
        <v>21</v>
      </c>
      <c r="M1137" t="s">
        <v>19177</v>
      </c>
      <c r="N1137" t="s">
        <v>714</v>
      </c>
      <c r="O1137" t="s">
        <v>10263</v>
      </c>
      <c r="P1137" t="s">
        <v>12</v>
      </c>
    </row>
    <row r="1138">
      <c r="A1138">
        <f>HYPERLINK("http://bombeiros.sp.gov.br/hidrantes/03individual/2202.html","2202")</f>
      </c>
      <c r="B1138" t="s">
        <v>623</v>
      </c>
      <c r="C1138" t="s">
        <v>714</v>
      </c>
      <c r="D1138" t="s">
        <v>714</v>
      </c>
      <c r="E1138" t="s">
        <v>15</v>
      </c>
      <c r="F1138" t="s">
        <v>10610</v>
      </c>
      <c r="G1138" t="s">
        <v>18090</v>
      </c>
      <c r="H1138" t="s">
        <v>1112</v>
      </c>
      <c r="I1138" t="s">
        <v>1108</v>
      </c>
      <c r="J1138" t="s">
        <v>10611</v>
      </c>
      <c r="K1138" t="s">
        <v>10612</v>
      </c>
      <c r="L1138" t="s">
        <v>21</v>
      </c>
      <c r="M1138" t="s">
        <v>19177</v>
      </c>
      <c r="N1138" t="s">
        <v>714</v>
      </c>
      <c r="O1138" t="s">
        <v>10263</v>
      </c>
      <c r="P1138" t="s">
        <v>12</v>
      </c>
    </row>
    <row r="1139">
      <c r="A1139">
        <f>HYPERLINK("http://bombeiros.sp.gov.br/hidrantes/03individual/2203.html","2203")</f>
      </c>
      <c r="B1139" t="s">
        <v>623</v>
      </c>
      <c r="C1139" t="s">
        <v>714</v>
      </c>
      <c r="D1139" t="s">
        <v>714</v>
      </c>
      <c r="E1139" t="s">
        <v>15</v>
      </c>
      <c r="F1139" t="s">
        <v>10613</v>
      </c>
      <c r="G1139" t="s">
        <v>18107</v>
      </c>
      <c r="H1139" t="s">
        <v>1112</v>
      </c>
      <c r="I1139" t="s">
        <v>1108</v>
      </c>
      <c r="J1139" t="s">
        <v>10614</v>
      </c>
      <c r="K1139" t="s">
        <v>10615</v>
      </c>
      <c r="L1139" t="s">
        <v>21</v>
      </c>
      <c r="M1139" t="s">
        <v>19177</v>
      </c>
      <c r="N1139" t="s">
        <v>714</v>
      </c>
      <c r="O1139" t="s">
        <v>10263</v>
      </c>
      <c r="P1139" t="s">
        <v>12</v>
      </c>
    </row>
    <row r="1140">
      <c r="A1140">
        <f>HYPERLINK("http://bombeiros.sp.gov.br/hidrantes/03individual/2217.html","2217")</f>
      </c>
      <c r="B1140" t="s">
        <v>623</v>
      </c>
      <c r="C1140" t="s">
        <v>714</v>
      </c>
      <c r="D1140" t="s">
        <v>714</v>
      </c>
      <c r="E1140" t="s">
        <v>15</v>
      </c>
      <c r="F1140" t="s">
        <v>10616</v>
      </c>
      <c r="G1140" t="s">
        <v>18107</v>
      </c>
      <c r="H1140" t="s">
        <v>1112</v>
      </c>
      <c r="I1140" t="s">
        <v>1108</v>
      </c>
      <c r="J1140" t="s">
        <v>10617</v>
      </c>
      <c r="K1140" t="s">
        <v>10618</v>
      </c>
      <c r="L1140" t="s">
        <v>21</v>
      </c>
      <c r="M1140" t="s">
        <v>19177</v>
      </c>
      <c r="N1140" t="s">
        <v>714</v>
      </c>
      <c r="O1140" t="s">
        <v>10263</v>
      </c>
      <c r="P1140" t="s">
        <v>12</v>
      </c>
    </row>
    <row r="1141">
      <c r="A1141">
        <f>HYPERLINK("http://bombeiros.sp.gov.br/hidrantes/03individual/2221.html","2221")</f>
      </c>
      <c r="B1141" t="s">
        <v>623</v>
      </c>
      <c r="C1141" t="s">
        <v>714</v>
      </c>
      <c r="D1141" t="s">
        <v>714</v>
      </c>
      <c r="E1141" t="s">
        <v>15</v>
      </c>
      <c r="F1141" t="s">
        <v>10619</v>
      </c>
      <c r="G1141" t="s">
        <v>18151</v>
      </c>
      <c r="H1141" t="s">
        <v>1112</v>
      </c>
      <c r="I1141" t="s">
        <v>1108</v>
      </c>
      <c r="J1141" t="s">
        <v>10620</v>
      </c>
      <c r="K1141" t="s">
        <v>10621</v>
      </c>
      <c r="L1141" t="s">
        <v>21</v>
      </c>
      <c r="M1141" t="s">
        <v>19177</v>
      </c>
      <c r="N1141" t="s">
        <v>714</v>
      </c>
      <c r="O1141" t="s">
        <v>10263</v>
      </c>
      <c r="P1141" t="s">
        <v>12</v>
      </c>
    </row>
    <row r="1142">
      <c r="A1142">
        <f>HYPERLINK("http://bombeiros.sp.gov.br/hidrantes/03individual/2223.html","2223")</f>
      </c>
      <c r="B1142" t="s">
        <v>623</v>
      </c>
      <c r="C1142" t="s">
        <v>714</v>
      </c>
      <c r="D1142" t="s">
        <v>714</v>
      </c>
      <c r="E1142" t="s">
        <v>15</v>
      </c>
      <c r="F1142" t="s">
        <v>10622</v>
      </c>
      <c r="G1142" t="s">
        <v>18090</v>
      </c>
      <c r="H1142" t="s">
        <v>1112</v>
      </c>
      <c r="I1142" t="s">
        <v>1108</v>
      </c>
      <c r="J1142" t="s">
        <v>10623</v>
      </c>
      <c r="K1142" t="s">
        <v>10624</v>
      </c>
      <c r="L1142" t="s">
        <v>21</v>
      </c>
      <c r="M1142" t="s">
        <v>19177</v>
      </c>
      <c r="N1142" t="s">
        <v>714</v>
      </c>
      <c r="O1142" t="s">
        <v>10263</v>
      </c>
      <c r="P1142" t="s">
        <v>12</v>
      </c>
    </row>
    <row r="1143">
      <c r="A1143">
        <f>HYPERLINK("http://bombeiros.sp.gov.br/hidrantes/03individual/2232.html","2232")</f>
      </c>
      <c r="B1143" t="s">
        <v>623</v>
      </c>
      <c r="C1143" t="s">
        <v>714</v>
      </c>
      <c r="D1143" t="s">
        <v>714</v>
      </c>
      <c r="E1143" t="s">
        <v>15</v>
      </c>
      <c r="F1143" t="s">
        <v>10625</v>
      </c>
      <c r="G1143" t="s">
        <v>17927</v>
      </c>
      <c r="H1143" t="s">
        <v>1112</v>
      </c>
      <c r="I1143" t="s">
        <v>1108</v>
      </c>
      <c r="J1143" t="s">
        <v>10626</v>
      </c>
      <c r="K1143" t="s">
        <v>10627</v>
      </c>
      <c r="L1143" t="s">
        <v>21</v>
      </c>
      <c r="M1143" t="s">
        <v>19177</v>
      </c>
      <c r="N1143" t="s">
        <v>714</v>
      </c>
      <c r="O1143" t="s">
        <v>10263</v>
      </c>
      <c r="P1143" t="s">
        <v>12</v>
      </c>
    </row>
    <row r="1144">
      <c r="A1144">
        <f>HYPERLINK("http://bombeiros.sp.gov.br/hidrantes/03individual/2234.html","2234")</f>
      </c>
      <c r="B1144" t="s">
        <v>623</v>
      </c>
      <c r="C1144" t="s">
        <v>714</v>
      </c>
      <c r="D1144" t="s">
        <v>714</v>
      </c>
      <c r="E1144" t="s">
        <v>15</v>
      </c>
      <c r="F1144" t="s">
        <v>10628</v>
      </c>
      <c r="G1144" t="s">
        <v>17927</v>
      </c>
      <c r="H1144" t="s">
        <v>1112</v>
      </c>
      <c r="I1144" t="s">
        <v>1108</v>
      </c>
      <c r="J1144" t="s">
        <v>10629</v>
      </c>
      <c r="K1144" t="s">
        <v>10630</v>
      </c>
      <c r="L1144" t="s">
        <v>21</v>
      </c>
      <c r="M1144" t="s">
        <v>19177</v>
      </c>
      <c r="N1144" t="s">
        <v>714</v>
      </c>
      <c r="O1144" t="s">
        <v>10263</v>
      </c>
      <c r="P1144" t="s">
        <v>12</v>
      </c>
    </row>
    <row r="1145">
      <c r="A1145">
        <f>HYPERLINK("http://bombeiros.sp.gov.br/hidrantes/03individual/2246.html","2246")</f>
      </c>
      <c r="B1145" t="s">
        <v>623</v>
      </c>
      <c r="C1145" t="s">
        <v>714</v>
      </c>
      <c r="D1145" t="s">
        <v>714</v>
      </c>
      <c r="E1145" t="s">
        <v>15</v>
      </c>
      <c r="F1145" t="s">
        <v>10631</v>
      </c>
      <c r="G1145" t="s">
        <v>17927</v>
      </c>
      <c r="H1145" t="s">
        <v>1112</v>
      </c>
      <c r="I1145" t="s">
        <v>1108</v>
      </c>
      <c r="J1145" t="s">
        <v>10632</v>
      </c>
      <c r="K1145" t="s">
        <v>10633</v>
      </c>
      <c r="L1145" t="s">
        <v>21</v>
      </c>
      <c r="M1145" t="s">
        <v>19177</v>
      </c>
      <c r="N1145" t="s">
        <v>714</v>
      </c>
      <c r="O1145" t="s">
        <v>10263</v>
      </c>
      <c r="P1145" t="s">
        <v>12</v>
      </c>
    </row>
    <row r="1146">
      <c r="A1146">
        <f>HYPERLINK("http://bombeiros.sp.gov.br/hidrantes/03individual/2247.html","2247")</f>
      </c>
      <c r="B1146" t="s">
        <v>623</v>
      </c>
      <c r="C1146" t="s">
        <v>714</v>
      </c>
      <c r="D1146" t="s">
        <v>714</v>
      </c>
      <c r="E1146" t="s">
        <v>15</v>
      </c>
      <c r="F1146" t="s">
        <v>10634</v>
      </c>
      <c r="G1146" t="s">
        <v>18090</v>
      </c>
      <c r="H1146" t="s">
        <v>1112</v>
      </c>
      <c r="I1146" t="s">
        <v>1108</v>
      </c>
      <c r="J1146" t="s">
        <v>10635</v>
      </c>
      <c r="K1146" t="s">
        <v>10636</v>
      </c>
      <c r="L1146" t="s">
        <v>21</v>
      </c>
      <c r="M1146" t="s">
        <v>19177</v>
      </c>
      <c r="N1146" t="s">
        <v>714</v>
      </c>
      <c r="O1146" t="s">
        <v>10263</v>
      </c>
      <c r="P1146" t="s">
        <v>12</v>
      </c>
    </row>
    <row r="1147">
      <c r="A1147">
        <f>HYPERLINK("http://bombeiros.sp.gov.br/hidrantes/03individual/2248.html","2248")</f>
      </c>
      <c r="B1147" t="s">
        <v>623</v>
      </c>
      <c r="C1147" t="s">
        <v>714</v>
      </c>
      <c r="D1147" t="s">
        <v>714</v>
      </c>
      <c r="E1147" t="s">
        <v>15</v>
      </c>
      <c r="F1147" t="s">
        <v>10637</v>
      </c>
      <c r="G1147" t="s">
        <v>18110</v>
      </c>
      <c r="H1147" t="s">
        <v>1112</v>
      </c>
      <c r="I1147" t="s">
        <v>1108</v>
      </c>
      <c r="J1147" t="s">
        <v>10638</v>
      </c>
      <c r="K1147" t="s">
        <v>10639</v>
      </c>
      <c r="L1147" t="s">
        <v>21</v>
      </c>
      <c r="M1147" t="s">
        <v>19177</v>
      </c>
      <c r="N1147" t="s">
        <v>714</v>
      </c>
      <c r="O1147" t="s">
        <v>10263</v>
      </c>
      <c r="P1147" t="s">
        <v>12</v>
      </c>
    </row>
    <row r="1148">
      <c r="A1148">
        <f>HYPERLINK("http://bombeiros.sp.gov.br/hidrantes/03individual/2250.html","2250")</f>
      </c>
      <c r="B1148" t="s">
        <v>623</v>
      </c>
      <c r="C1148" t="s">
        <v>714</v>
      </c>
      <c r="D1148" t="s">
        <v>714</v>
      </c>
      <c r="E1148" t="s">
        <v>15</v>
      </c>
      <c r="F1148" t="s">
        <v>10640</v>
      </c>
      <c r="G1148" t="s">
        <v>18090</v>
      </c>
      <c r="H1148" t="s">
        <v>1112</v>
      </c>
      <c r="I1148" t="s">
        <v>1108</v>
      </c>
      <c r="J1148" t="s">
        <v>10641</v>
      </c>
      <c r="K1148" t="s">
        <v>10642</v>
      </c>
      <c r="L1148" t="s">
        <v>21</v>
      </c>
      <c r="M1148" t="s">
        <v>19177</v>
      </c>
      <c r="N1148" t="s">
        <v>714</v>
      </c>
      <c r="O1148" t="s">
        <v>10263</v>
      </c>
      <c r="P1148" t="s">
        <v>12</v>
      </c>
    </row>
    <row r="1149">
      <c r="A1149">
        <f>HYPERLINK("http://bombeiros.sp.gov.br/hidrantes/03individual/2288.html","2288")</f>
      </c>
      <c r="B1149" t="s">
        <v>623</v>
      </c>
      <c r="C1149" t="s">
        <v>714</v>
      </c>
      <c r="D1149" t="s">
        <v>714</v>
      </c>
      <c r="E1149" t="s">
        <v>15</v>
      </c>
      <c r="F1149" t="s">
        <v>10643</v>
      </c>
      <c r="G1149" t="s">
        <v>18090</v>
      </c>
      <c r="H1149" t="s">
        <v>1112</v>
      </c>
      <c r="I1149" t="s">
        <v>1108</v>
      </c>
      <c r="J1149" t="s">
        <v>10644</v>
      </c>
      <c r="K1149" t="s">
        <v>10645</v>
      </c>
      <c r="L1149" t="s">
        <v>21</v>
      </c>
      <c r="M1149" t="s">
        <v>19177</v>
      </c>
      <c r="N1149" t="s">
        <v>714</v>
      </c>
      <c r="O1149" t="s">
        <v>10263</v>
      </c>
      <c r="P1149" t="s">
        <v>12</v>
      </c>
    </row>
    <row r="1150">
      <c r="A1150">
        <f>HYPERLINK("http://bombeiros.sp.gov.br/hidrantes/03individual/2293.html","2293")</f>
      </c>
      <c r="B1150" t="s">
        <v>623</v>
      </c>
      <c r="C1150" t="s">
        <v>714</v>
      </c>
      <c r="D1150" t="s">
        <v>714</v>
      </c>
      <c r="E1150" t="s">
        <v>15</v>
      </c>
      <c r="F1150" t="s">
        <v>10646</v>
      </c>
      <c r="G1150" t="s">
        <v>18107</v>
      </c>
      <c r="H1150" t="s">
        <v>1112</v>
      </c>
      <c r="I1150" t="s">
        <v>1108</v>
      </c>
      <c r="J1150" t="s">
        <v>10647</v>
      </c>
      <c r="K1150" t="s">
        <v>10648</v>
      </c>
      <c r="L1150" t="s">
        <v>21</v>
      </c>
      <c r="M1150" t="s">
        <v>19177</v>
      </c>
      <c r="N1150" t="s">
        <v>714</v>
      </c>
      <c r="O1150" t="s">
        <v>10263</v>
      </c>
      <c r="P1150" t="s">
        <v>12</v>
      </c>
    </row>
    <row r="1151">
      <c r="A1151">
        <f>HYPERLINK("http://bombeiros.sp.gov.br/hidrantes/03individual/16545.html","16545")</f>
      </c>
      <c r="B1151" t="s">
        <v>623</v>
      </c>
      <c r="C1151" t="s">
        <v>714</v>
      </c>
      <c r="D1151" t="s">
        <v>714</v>
      </c>
      <c r="E1151" t="s">
        <v>15</v>
      </c>
      <c r="F1151" t="s">
        <v>10649</v>
      </c>
      <c r="G1151" t="s">
        <v>18090</v>
      </c>
      <c r="H1151" t="s">
        <v>1112</v>
      </c>
      <c r="I1151" t="s">
        <v>1108</v>
      </c>
      <c r="J1151" t="s">
        <v>10650</v>
      </c>
      <c r="K1151" t="s">
        <v>10651</v>
      </c>
      <c r="L1151" t="s">
        <v>21</v>
      </c>
      <c r="M1151" t="s">
        <v>19177</v>
      </c>
      <c r="N1151" t="s">
        <v>714</v>
      </c>
      <c r="O1151" t="s">
        <v>10263</v>
      </c>
      <c r="P1151" t="s">
        <v>12</v>
      </c>
    </row>
    <row r="1152">
      <c r="A1152">
        <f>HYPERLINK("http://bombeiros.sp.gov.br/hidrantes/03individual/26775.html","26775")</f>
      </c>
      <c r="B1152" t="s">
        <v>623</v>
      </c>
      <c r="C1152" t="s">
        <v>714</v>
      </c>
      <c r="D1152" t="s">
        <v>714</v>
      </c>
      <c r="E1152" t="s">
        <v>15</v>
      </c>
      <c r="F1152" t="s">
        <v>10652</v>
      </c>
      <c r="G1152" t="s">
        <v>17921</v>
      </c>
      <c r="H1152" t="s">
        <v>1112</v>
      </c>
      <c r="I1152" t="s">
        <v>1108</v>
      </c>
      <c r="J1152" t="s">
        <v>10653</v>
      </c>
      <c r="K1152" t="s">
        <v>10654</v>
      </c>
      <c r="L1152" t="s">
        <v>21</v>
      </c>
      <c r="M1152" t="s">
        <v>19177</v>
      </c>
      <c r="N1152" t="s">
        <v>714</v>
      </c>
      <c r="O1152" t="s">
        <v>10263</v>
      </c>
      <c r="P1152" t="s">
        <v>12</v>
      </c>
    </row>
    <row r="1153">
      <c r="A1153">
        <f>HYPERLINK("http://bombeiros.sp.gov.br/hidrantes/03individual/27327.html","27327")</f>
      </c>
      <c r="B1153" t="s">
        <v>623</v>
      </c>
      <c r="C1153" t="s">
        <v>714</v>
      </c>
      <c r="D1153" t="s">
        <v>714</v>
      </c>
      <c r="E1153" t="s">
        <v>15</v>
      </c>
      <c r="F1153" t="s">
        <v>17147</v>
      </c>
      <c r="G1153" t="s">
        <v>18090</v>
      </c>
      <c r="H1153" t="s">
        <v>1112</v>
      </c>
      <c r="I1153" t="s">
        <v>1108</v>
      </c>
      <c r="J1153" t="s">
        <v>17148</v>
      </c>
      <c r="K1153" t="s">
        <v>17149</v>
      </c>
      <c r="L1153" t="s">
        <v>21</v>
      </c>
      <c r="M1153" t="s">
        <v>19177</v>
      </c>
      <c r="N1153" t="s">
        <v>714</v>
      </c>
      <c r="O1153" t="s">
        <v>10263</v>
      </c>
      <c r="P1153" t="s">
        <v>12</v>
      </c>
    </row>
    <row r="1154">
      <c r="A1154">
        <f>HYPERLINK("http://bombeiros.sp.gov.br/hidrantes/03individual/1101.html","1101")</f>
      </c>
      <c r="B1154" t="s">
        <v>623</v>
      </c>
      <c r="C1154" t="s">
        <v>714</v>
      </c>
      <c r="D1154" t="s">
        <v>10655</v>
      </c>
      <c r="E1154" t="s">
        <v>64</v>
      </c>
      <c r="F1154" t="s">
        <v>10656</v>
      </c>
      <c r="G1154" t="s">
        <v>17951</v>
      </c>
      <c r="H1154" t="s">
        <v>1121</v>
      </c>
      <c r="I1154" t="s">
        <v>1117</v>
      </c>
      <c r="J1154" t="s">
        <v>10657</v>
      </c>
      <c r="K1154" t="s">
        <v>10658</v>
      </c>
      <c r="L1154" t="s">
        <v>21</v>
      </c>
      <c r="M1154" t="s">
        <v>19177</v>
      </c>
      <c r="N1154" t="s">
        <v>714</v>
      </c>
      <c r="O1154" t="s">
        <v>10263</v>
      </c>
      <c r="P1154" t="s">
        <v>12</v>
      </c>
    </row>
    <row r="1155">
      <c r="A1155">
        <f>HYPERLINK("http://bombeiros.sp.gov.br/hidrantes/03individual/1471.html","1471")</f>
      </c>
      <c r="B1155" t="s">
        <v>623</v>
      </c>
      <c r="C1155" t="s">
        <v>714</v>
      </c>
      <c r="D1155" t="s">
        <v>10655</v>
      </c>
      <c r="E1155" t="s">
        <v>64</v>
      </c>
      <c r="F1155" t="s">
        <v>10659</v>
      </c>
      <c r="G1155" t="s">
        <v>18156</v>
      </c>
      <c r="H1155" t="s">
        <v>1112</v>
      </c>
      <c r="I1155" t="s">
        <v>1108</v>
      </c>
      <c r="J1155" t="s">
        <v>10660</v>
      </c>
      <c r="K1155" t="s">
        <v>10661</v>
      </c>
      <c r="L1155" t="s">
        <v>36</v>
      </c>
      <c r="M1155" t="s">
        <v>19177</v>
      </c>
      <c r="N1155" t="s">
        <v>714</v>
      </c>
      <c r="O1155" t="s">
        <v>10263</v>
      </c>
      <c r="P1155" t="s">
        <v>12</v>
      </c>
    </row>
    <row r="1156">
      <c r="A1156">
        <f>HYPERLINK("http://bombeiros.sp.gov.br/hidrantes/03individual/1641.html","1641")</f>
      </c>
      <c r="B1156" t="s">
        <v>623</v>
      </c>
      <c r="C1156" t="s">
        <v>714</v>
      </c>
      <c r="D1156" t="s">
        <v>10655</v>
      </c>
      <c r="E1156" t="s">
        <v>64</v>
      </c>
      <c r="F1156" t="s">
        <v>10662</v>
      </c>
      <c r="G1156" t="s">
        <v>18156</v>
      </c>
      <c r="H1156" t="s">
        <v>1112</v>
      </c>
      <c r="I1156" t="s">
        <v>1108</v>
      </c>
      <c r="J1156" t="s">
        <v>10663</v>
      </c>
      <c r="K1156" t="s">
        <v>10664</v>
      </c>
      <c r="L1156" t="s">
        <v>21</v>
      </c>
      <c r="M1156" t="s">
        <v>19177</v>
      </c>
      <c r="N1156" t="s">
        <v>714</v>
      </c>
      <c r="O1156" t="s">
        <v>10263</v>
      </c>
      <c r="P1156" t="s">
        <v>12</v>
      </c>
    </row>
    <row r="1157">
      <c r="A1157">
        <f>HYPERLINK("http://bombeiros.sp.gov.br/hidrantes/03individual/1069.html","1069")</f>
      </c>
      <c r="B1157" t="s">
        <v>623</v>
      </c>
      <c r="C1157" t="s">
        <v>714</v>
      </c>
      <c r="D1157" t="s">
        <v>10655</v>
      </c>
      <c r="E1157" t="s">
        <v>15</v>
      </c>
      <c r="F1157" t="s">
        <v>10683</v>
      </c>
      <c r="G1157" t="s">
        <v>18257</v>
      </c>
      <c r="H1157" t="s">
        <v>1112</v>
      </c>
      <c r="I1157" t="s">
        <v>1108</v>
      </c>
      <c r="J1157" t="s">
        <v>16471</v>
      </c>
      <c r="K1157" t="s">
        <v>16472</v>
      </c>
      <c r="L1157" t="s">
        <v>21</v>
      </c>
      <c r="M1157" t="s">
        <v>19177</v>
      </c>
      <c r="N1157" t="s">
        <v>714</v>
      </c>
      <c r="O1157" t="s">
        <v>10263</v>
      </c>
      <c r="P1157" t="s">
        <v>12</v>
      </c>
    </row>
    <row r="1158">
      <c r="A1158">
        <f>HYPERLINK("http://bombeiros.sp.gov.br/hidrantes/03individual/1099.html","1099")</f>
      </c>
      <c r="B1158" t="s">
        <v>623</v>
      </c>
      <c r="C1158" t="s">
        <v>714</v>
      </c>
      <c r="D1158" t="s">
        <v>10655</v>
      </c>
      <c r="E1158" t="s">
        <v>15</v>
      </c>
      <c r="F1158" t="s">
        <v>10686</v>
      </c>
      <c r="G1158" t="s">
        <v>18257</v>
      </c>
      <c r="H1158" t="s">
        <v>1112</v>
      </c>
      <c r="I1158" t="s">
        <v>1108</v>
      </c>
      <c r="J1158" t="s">
        <v>10687</v>
      </c>
      <c r="K1158" t="s">
        <v>10688</v>
      </c>
      <c r="L1158" t="s">
        <v>21</v>
      </c>
      <c r="M1158" t="s">
        <v>19177</v>
      </c>
      <c r="N1158" t="s">
        <v>714</v>
      </c>
      <c r="O1158" t="s">
        <v>10263</v>
      </c>
      <c r="P1158" t="s">
        <v>12</v>
      </c>
    </row>
    <row r="1159">
      <c r="A1159">
        <f>HYPERLINK("http://bombeiros.sp.gov.br/hidrantes/03individual/2125.html","2125")</f>
      </c>
      <c r="B1159" t="s">
        <v>623</v>
      </c>
      <c r="C1159" t="s">
        <v>714</v>
      </c>
      <c r="D1159" t="s">
        <v>10655</v>
      </c>
      <c r="E1159" t="s">
        <v>15</v>
      </c>
      <c r="F1159" t="s">
        <v>10695</v>
      </c>
      <c r="G1159" t="s">
        <v>18156</v>
      </c>
      <c r="H1159" t="s">
        <v>1107</v>
      </c>
      <c r="I1159" t="s">
        <v>1108</v>
      </c>
      <c r="J1159" t="s">
        <v>10696</v>
      </c>
      <c r="K1159" t="s">
        <v>10697</v>
      </c>
      <c r="L1159" t="s">
        <v>21</v>
      </c>
      <c r="M1159" t="s">
        <v>19177</v>
      </c>
      <c r="N1159" t="s">
        <v>714</v>
      </c>
      <c r="O1159" t="s">
        <v>10263</v>
      </c>
      <c r="P1159" t="s">
        <v>12</v>
      </c>
    </row>
    <row r="1160">
      <c r="A1160">
        <f>HYPERLINK("http://bombeiros.sp.gov.br/hidrantes/03individual/2270.html","2270")</f>
      </c>
      <c r="B1160" t="s">
        <v>623</v>
      </c>
      <c r="C1160" t="s">
        <v>714</v>
      </c>
      <c r="D1160" t="s">
        <v>10655</v>
      </c>
      <c r="E1160" t="s">
        <v>15</v>
      </c>
      <c r="F1160" t="s">
        <v>10701</v>
      </c>
      <c r="G1160" t="s">
        <v>17913</v>
      </c>
      <c r="H1160" t="s">
        <v>1112</v>
      </c>
      <c r="I1160" t="s">
        <v>1108</v>
      </c>
      <c r="J1160" t="s">
        <v>10702</v>
      </c>
      <c r="K1160" t="s">
        <v>10703</v>
      </c>
      <c r="L1160" t="s">
        <v>21</v>
      </c>
      <c r="M1160" t="s">
        <v>19177</v>
      </c>
      <c r="N1160" t="s">
        <v>714</v>
      </c>
      <c r="O1160" t="s">
        <v>10263</v>
      </c>
      <c r="P1160" t="s">
        <v>12</v>
      </c>
    </row>
    <row r="1161">
      <c r="A1161">
        <f>HYPERLINK("http://bombeiros.sp.gov.br/hidrantes/03individual/2279.html","2279")</f>
      </c>
      <c r="B1161" t="s">
        <v>623</v>
      </c>
      <c r="C1161" t="s">
        <v>714</v>
      </c>
      <c r="D1161" t="s">
        <v>10655</v>
      </c>
      <c r="E1161" t="s">
        <v>15</v>
      </c>
      <c r="F1161" t="s">
        <v>10704</v>
      </c>
      <c r="G1161" t="s">
        <v>18129</v>
      </c>
      <c r="H1161" t="s">
        <v>1112</v>
      </c>
      <c r="I1161" t="s">
        <v>1108</v>
      </c>
      <c r="J1161" t="s">
        <v>10705</v>
      </c>
      <c r="K1161" t="s">
        <v>10706</v>
      </c>
      <c r="L1161" t="s">
        <v>36</v>
      </c>
      <c r="M1161" t="s">
        <v>19177</v>
      </c>
      <c r="N1161" t="s">
        <v>714</v>
      </c>
      <c r="O1161" t="s">
        <v>10263</v>
      </c>
      <c r="P1161" t="s">
        <v>12</v>
      </c>
    </row>
    <row r="1162">
      <c r="A1162">
        <f>HYPERLINK("http://bombeiros.sp.gov.br/hidrantes/03individual/26626.html","26626")</f>
      </c>
      <c r="B1162" t="s">
        <v>623</v>
      </c>
      <c r="C1162" t="s">
        <v>714</v>
      </c>
      <c r="D1162" t="s">
        <v>10655</v>
      </c>
      <c r="E1162" t="s">
        <v>15</v>
      </c>
      <c r="F1162" t="s">
        <v>10707</v>
      </c>
      <c r="G1162" t="s">
        <v>18257</v>
      </c>
      <c r="H1162" t="s">
        <v>1112</v>
      </c>
      <c r="I1162" t="s">
        <v>1108</v>
      </c>
      <c r="J1162" t="s">
        <v>10708</v>
      </c>
      <c r="K1162" t="s">
        <v>10709</v>
      </c>
      <c r="L1162" t="s">
        <v>21</v>
      </c>
      <c r="M1162" t="s">
        <v>19177</v>
      </c>
      <c r="N1162" t="s">
        <v>714</v>
      </c>
      <c r="O1162" t="s">
        <v>10263</v>
      </c>
      <c r="P1162" t="s">
        <v>12</v>
      </c>
    </row>
    <row r="1163">
      <c r="A1163">
        <f>HYPERLINK("http://bombeiros.sp.gov.br/hidrantes/03individual/16588.html","16588")</f>
      </c>
      <c r="B1163" t="s">
        <v>623</v>
      </c>
      <c r="C1163" t="s">
        <v>714</v>
      </c>
      <c r="D1163" t="s">
        <v>10710</v>
      </c>
      <c r="E1163" t="s">
        <v>15</v>
      </c>
      <c r="F1163" t="s">
        <v>10711</v>
      </c>
      <c r="G1163" t="s">
        <v>18107</v>
      </c>
      <c r="H1163" t="s">
        <v>1112</v>
      </c>
      <c r="I1163" t="s">
        <v>1108</v>
      </c>
      <c r="J1163" t="s">
        <v>10712</v>
      </c>
      <c r="K1163" t="s">
        <v>10713</v>
      </c>
      <c r="L1163" t="s">
        <v>21</v>
      </c>
      <c r="M1163" t="s">
        <v>19177</v>
      </c>
      <c r="N1163" t="s">
        <v>714</v>
      </c>
      <c r="O1163" t="s">
        <v>10263</v>
      </c>
      <c r="P1163" t="s">
        <v>12</v>
      </c>
    </row>
    <row r="1164">
      <c r="A1164">
        <f>HYPERLINK("http://bombeiros.sp.gov.br/hidrantes/03individual/1071.html","1071")</f>
      </c>
      <c r="B1164" t="s">
        <v>623</v>
      </c>
      <c r="C1164" t="s">
        <v>714</v>
      </c>
      <c r="D1164" t="s">
        <v>732</v>
      </c>
      <c r="E1164" t="s">
        <v>64</v>
      </c>
      <c r="F1164" t="s">
        <v>10714</v>
      </c>
      <c r="G1164" t="s">
        <v>17942</v>
      </c>
      <c r="H1164" t="s">
        <v>1112</v>
      </c>
      <c r="I1164" t="s">
        <v>1108</v>
      </c>
      <c r="J1164" t="s">
        <v>10715</v>
      </c>
      <c r="K1164" t="s">
        <v>10716</v>
      </c>
      <c r="L1164" t="s">
        <v>21</v>
      </c>
      <c r="M1164" t="s">
        <v>19177</v>
      </c>
      <c r="N1164" t="s">
        <v>714</v>
      </c>
      <c r="O1164" t="s">
        <v>10263</v>
      </c>
      <c r="P1164" t="s">
        <v>12</v>
      </c>
    </row>
    <row r="1165">
      <c r="A1165">
        <f>HYPERLINK("http://bombeiros.sp.gov.br/hidrantes/03individual/1082.html","1082")</f>
      </c>
      <c r="B1165" t="s">
        <v>623</v>
      </c>
      <c r="C1165" t="s">
        <v>714</v>
      </c>
      <c r="D1165" t="s">
        <v>732</v>
      </c>
      <c r="E1165" t="s">
        <v>64</v>
      </c>
      <c r="F1165" t="s">
        <v>10717</v>
      </c>
      <c r="G1165" t="s">
        <v>18154</v>
      </c>
      <c r="H1165" t="s">
        <v>1112</v>
      </c>
      <c r="I1165" t="s">
        <v>1108</v>
      </c>
      <c r="J1165" t="s">
        <v>10718</v>
      </c>
      <c r="K1165" t="s">
        <v>10719</v>
      </c>
      <c r="L1165" t="s">
        <v>21</v>
      </c>
      <c r="M1165" t="s">
        <v>19177</v>
      </c>
      <c r="N1165" t="s">
        <v>714</v>
      </c>
      <c r="O1165" t="s">
        <v>10263</v>
      </c>
      <c r="P1165" t="s">
        <v>12</v>
      </c>
    </row>
    <row r="1166">
      <c r="A1166">
        <f>HYPERLINK("http://bombeiros.sp.gov.br/hidrantes/03individual/1085.html","1085")</f>
      </c>
      <c r="B1166" t="s">
        <v>623</v>
      </c>
      <c r="C1166" t="s">
        <v>714</v>
      </c>
      <c r="D1166" t="s">
        <v>732</v>
      </c>
      <c r="E1166" t="s">
        <v>64</v>
      </c>
      <c r="F1166" t="s">
        <v>10720</v>
      </c>
      <c r="G1166" t="s">
        <v>18154</v>
      </c>
      <c r="H1166" t="s">
        <v>1112</v>
      </c>
      <c r="I1166" t="s">
        <v>1108</v>
      </c>
      <c r="J1166" t="s">
        <v>10721</v>
      </c>
      <c r="K1166" t="s">
        <v>10722</v>
      </c>
      <c r="L1166" t="s">
        <v>21</v>
      </c>
      <c r="M1166" t="s">
        <v>19177</v>
      </c>
      <c r="N1166" t="s">
        <v>714</v>
      </c>
      <c r="O1166" t="s">
        <v>10263</v>
      </c>
      <c r="P1166" t="s">
        <v>12</v>
      </c>
    </row>
    <row r="1167">
      <c r="A1167">
        <f>HYPERLINK("http://bombeiros.sp.gov.br/hidrantes/03individual/28108.html","28108")</f>
      </c>
      <c r="B1167" t="s">
        <v>623</v>
      </c>
      <c r="C1167" t="s">
        <v>714</v>
      </c>
      <c r="D1167" t="s">
        <v>732</v>
      </c>
      <c r="E1167" t="s">
        <v>64</v>
      </c>
      <c r="F1167" t="s">
        <v>18334</v>
      </c>
      <c r="G1167" t="s">
        <v>18104</v>
      </c>
      <c r="H1167" t="s">
        <v>1112</v>
      </c>
      <c r="I1167" t="s">
        <v>1108</v>
      </c>
      <c r="J1167" t="s">
        <v>18335</v>
      </c>
      <c r="K1167" t="s">
        <v>18336</v>
      </c>
      <c r="L1167" t="s">
        <v>21</v>
      </c>
      <c r="M1167" t="s">
        <v>19177</v>
      </c>
      <c r="N1167" t="s">
        <v>714</v>
      </c>
      <c r="O1167" t="s">
        <v>10263</v>
      </c>
      <c r="P1167" t="s">
        <v>12</v>
      </c>
    </row>
    <row r="1168">
      <c r="A1168">
        <f>HYPERLINK("http://bombeiros.sp.gov.br/hidrantes/03individual/1060.html","1060")</f>
      </c>
      <c r="B1168" t="s">
        <v>623</v>
      </c>
      <c r="C1168" t="s">
        <v>714</v>
      </c>
      <c r="D1168" t="s">
        <v>732</v>
      </c>
      <c r="E1168" t="s">
        <v>15</v>
      </c>
      <c r="F1168" t="s">
        <v>10723</v>
      </c>
      <c r="G1168" t="s">
        <v>18110</v>
      </c>
      <c r="H1168" t="s">
        <v>1112</v>
      </c>
      <c r="I1168" t="s">
        <v>1108</v>
      </c>
      <c r="J1168" t="s">
        <v>10725</v>
      </c>
      <c r="K1168" t="s">
        <v>10726</v>
      </c>
      <c r="L1168" t="s">
        <v>21</v>
      </c>
      <c r="M1168" t="s">
        <v>19177</v>
      </c>
      <c r="N1168" t="s">
        <v>714</v>
      </c>
      <c r="O1168" t="s">
        <v>10263</v>
      </c>
      <c r="P1168" t="s">
        <v>12</v>
      </c>
    </row>
    <row r="1169">
      <c r="A1169">
        <f>HYPERLINK("http://bombeiros.sp.gov.br/hidrantes/03individual/1062.html","1062")</f>
      </c>
      <c r="B1169" t="s">
        <v>623</v>
      </c>
      <c r="C1169" t="s">
        <v>714</v>
      </c>
      <c r="D1169" t="s">
        <v>732</v>
      </c>
      <c r="E1169" t="s">
        <v>15</v>
      </c>
      <c r="F1169" t="s">
        <v>10727</v>
      </c>
      <c r="G1169" t="s">
        <v>18110</v>
      </c>
      <c r="H1169" t="s">
        <v>1112</v>
      </c>
      <c r="I1169" t="s">
        <v>1108</v>
      </c>
      <c r="J1169" t="s">
        <v>10728</v>
      </c>
      <c r="K1169" t="s">
        <v>10729</v>
      </c>
      <c r="L1169" t="s">
        <v>21</v>
      </c>
      <c r="M1169" t="s">
        <v>19177</v>
      </c>
      <c r="N1169" t="s">
        <v>714</v>
      </c>
      <c r="O1169" t="s">
        <v>10263</v>
      </c>
      <c r="P1169" t="s">
        <v>12</v>
      </c>
    </row>
    <row r="1170">
      <c r="A1170">
        <f>HYPERLINK("http://bombeiros.sp.gov.br/hidrantes/03individual/1075.html","1075")</f>
      </c>
      <c r="B1170" t="s">
        <v>623</v>
      </c>
      <c r="C1170" t="s">
        <v>714</v>
      </c>
      <c r="D1170" t="s">
        <v>732</v>
      </c>
      <c r="E1170" t="s">
        <v>15</v>
      </c>
      <c r="F1170" t="s">
        <v>10736</v>
      </c>
      <c r="G1170" t="s">
        <v>18110</v>
      </c>
      <c r="H1170" t="s">
        <v>1112</v>
      </c>
      <c r="I1170" t="s">
        <v>1108</v>
      </c>
      <c r="J1170" t="s">
        <v>10737</v>
      </c>
      <c r="K1170" t="s">
        <v>10738</v>
      </c>
      <c r="L1170" t="s">
        <v>21</v>
      </c>
      <c r="M1170" t="s">
        <v>19177</v>
      </c>
      <c r="N1170" t="s">
        <v>714</v>
      </c>
      <c r="O1170" t="s">
        <v>10263</v>
      </c>
      <c r="P1170" t="s">
        <v>12</v>
      </c>
    </row>
    <row r="1171">
      <c r="A1171">
        <f>HYPERLINK("http://bombeiros.sp.gov.br/hidrantes/03individual/1078.html","1078")</f>
      </c>
      <c r="B1171" t="s">
        <v>623</v>
      </c>
      <c r="C1171" t="s">
        <v>714</v>
      </c>
      <c r="D1171" t="s">
        <v>732</v>
      </c>
      <c r="E1171" t="s">
        <v>15</v>
      </c>
      <c r="F1171" t="s">
        <v>10742</v>
      </c>
      <c r="G1171" t="s">
        <v>17942</v>
      </c>
      <c r="H1171" t="s">
        <v>1174</v>
      </c>
      <c r="I1171" t="s">
        <v>1117</v>
      </c>
      <c r="J1171" t="s">
        <v>10743</v>
      </c>
      <c r="K1171" t="s">
        <v>10744</v>
      </c>
      <c r="L1171" t="s">
        <v>21</v>
      </c>
      <c r="M1171" t="s">
        <v>19177</v>
      </c>
      <c r="N1171" t="s">
        <v>714</v>
      </c>
      <c r="O1171" t="s">
        <v>10263</v>
      </c>
      <c r="P1171" t="s">
        <v>12</v>
      </c>
    </row>
    <row r="1172">
      <c r="A1172">
        <f>HYPERLINK("http://bombeiros.sp.gov.br/hidrantes/03individual/1079.html","1079")</f>
      </c>
      <c r="B1172" t="s">
        <v>623</v>
      </c>
      <c r="C1172" t="s">
        <v>714</v>
      </c>
      <c r="D1172" t="s">
        <v>732</v>
      </c>
      <c r="E1172" t="s">
        <v>15</v>
      </c>
      <c r="F1172" t="s">
        <v>10745</v>
      </c>
      <c r="G1172" t="s">
        <v>18154</v>
      </c>
      <c r="H1172" t="s">
        <v>1112</v>
      </c>
      <c r="I1172" t="s">
        <v>1108</v>
      </c>
      <c r="J1172" t="s">
        <v>10746</v>
      </c>
      <c r="K1172" t="s">
        <v>10747</v>
      </c>
      <c r="L1172" t="s">
        <v>21</v>
      </c>
      <c r="M1172" t="s">
        <v>19177</v>
      </c>
      <c r="N1172" t="s">
        <v>714</v>
      </c>
      <c r="O1172" t="s">
        <v>10263</v>
      </c>
      <c r="P1172" t="s">
        <v>12</v>
      </c>
    </row>
    <row r="1173">
      <c r="A1173">
        <f>HYPERLINK("http://bombeiros.sp.gov.br/hidrantes/03individual/1081.html","1081")</f>
      </c>
      <c r="B1173" t="s">
        <v>623</v>
      </c>
      <c r="C1173" t="s">
        <v>714</v>
      </c>
      <c r="D1173" t="s">
        <v>732</v>
      </c>
      <c r="E1173" t="s">
        <v>15</v>
      </c>
      <c r="F1173" t="s">
        <v>10748</v>
      </c>
      <c r="G1173" t="s">
        <v>18154</v>
      </c>
      <c r="H1173" t="s">
        <v>1112</v>
      </c>
      <c r="I1173" t="s">
        <v>1108</v>
      </c>
      <c r="J1173" t="s">
        <v>10749</v>
      </c>
      <c r="K1173" t="s">
        <v>10750</v>
      </c>
      <c r="L1173" t="s">
        <v>21</v>
      </c>
      <c r="M1173" t="s">
        <v>19177</v>
      </c>
      <c r="N1173" t="s">
        <v>714</v>
      </c>
      <c r="O1173" t="s">
        <v>10263</v>
      </c>
      <c r="P1173" t="s">
        <v>12</v>
      </c>
    </row>
    <row r="1174">
      <c r="A1174">
        <f>HYPERLINK("http://bombeiros.sp.gov.br/hidrantes/03individual/4224.html","4224")</f>
      </c>
      <c r="B1174" t="s">
        <v>623</v>
      </c>
      <c r="C1174" t="s">
        <v>714</v>
      </c>
      <c r="D1174" t="s">
        <v>732</v>
      </c>
      <c r="E1174" t="s">
        <v>15</v>
      </c>
      <c r="F1174" t="s">
        <v>10751</v>
      </c>
      <c r="G1174" t="s">
        <v>18110</v>
      </c>
      <c r="H1174" t="s">
        <v>1112</v>
      </c>
      <c r="I1174" t="s">
        <v>1108</v>
      </c>
      <c r="J1174" t="s">
        <v>10752</v>
      </c>
      <c r="K1174" t="s">
        <v>10753</v>
      </c>
      <c r="L1174" t="s">
        <v>21</v>
      </c>
      <c r="M1174" t="s">
        <v>19177</v>
      </c>
      <c r="N1174" t="s">
        <v>714</v>
      </c>
      <c r="O1174" t="s">
        <v>10263</v>
      </c>
      <c r="P1174" t="s">
        <v>12</v>
      </c>
    </row>
    <row r="1175">
      <c r="A1175">
        <f>HYPERLINK("http://bombeiros.sp.gov.br/hidrantes/03individual/4225.html","4225")</f>
      </c>
      <c r="B1175" t="s">
        <v>623</v>
      </c>
      <c r="C1175" t="s">
        <v>714</v>
      </c>
      <c r="D1175" t="s">
        <v>732</v>
      </c>
      <c r="E1175" t="s">
        <v>15</v>
      </c>
      <c r="F1175" t="s">
        <v>10754</v>
      </c>
      <c r="G1175" t="s">
        <v>18110</v>
      </c>
      <c r="H1175" t="s">
        <v>1112</v>
      </c>
      <c r="I1175" t="s">
        <v>1108</v>
      </c>
      <c r="J1175" t="s">
        <v>10755</v>
      </c>
      <c r="K1175" t="s">
        <v>10756</v>
      </c>
      <c r="L1175" t="s">
        <v>21</v>
      </c>
      <c r="M1175" t="s">
        <v>19177</v>
      </c>
      <c r="N1175" t="s">
        <v>714</v>
      </c>
      <c r="O1175" t="s">
        <v>10263</v>
      </c>
      <c r="P1175" t="s">
        <v>12</v>
      </c>
    </row>
    <row r="1176">
      <c r="A1176">
        <f>HYPERLINK("http://bombeiros.sp.gov.br/hidrantes/03individual/27051.html","27051")</f>
      </c>
      <c r="B1176" t="s">
        <v>623</v>
      </c>
      <c r="C1176" t="s">
        <v>714</v>
      </c>
      <c r="D1176" t="s">
        <v>732</v>
      </c>
      <c r="E1176" t="s">
        <v>15</v>
      </c>
      <c r="F1176" t="s">
        <v>16669</v>
      </c>
      <c r="G1176" t="s">
        <v>18110</v>
      </c>
      <c r="H1176" t="s">
        <v>1112</v>
      </c>
      <c r="I1176" t="s">
        <v>1108</v>
      </c>
      <c r="J1176" t="s">
        <v>16670</v>
      </c>
      <c r="K1176" t="s">
        <v>16671</v>
      </c>
      <c r="L1176" t="s">
        <v>21</v>
      </c>
      <c r="M1176" t="s">
        <v>19177</v>
      </c>
      <c r="N1176" t="s">
        <v>714</v>
      </c>
      <c r="O1176" t="s">
        <v>10263</v>
      </c>
      <c r="P1176" t="s">
        <v>12</v>
      </c>
    </row>
    <row r="1177">
      <c r="A1177">
        <f>HYPERLINK("http://bombeiros.sp.gov.br/hidrantes/03individual/27061.html","27061")</f>
      </c>
      <c r="B1177" t="s">
        <v>623</v>
      </c>
      <c r="C1177" t="s">
        <v>714</v>
      </c>
      <c r="D1177" t="s">
        <v>732</v>
      </c>
      <c r="E1177" t="s">
        <v>15</v>
      </c>
      <c r="F1177" t="s">
        <v>16681</v>
      </c>
      <c r="G1177" t="s">
        <v>18110</v>
      </c>
      <c r="H1177" t="s">
        <v>1112</v>
      </c>
      <c r="I1177" t="s">
        <v>1108</v>
      </c>
      <c r="J1177" t="s">
        <v>16682</v>
      </c>
      <c r="K1177" t="s">
        <v>16683</v>
      </c>
      <c r="L1177" t="s">
        <v>21</v>
      </c>
      <c r="M1177" t="s">
        <v>19177</v>
      </c>
      <c r="N1177" t="s">
        <v>714</v>
      </c>
      <c r="O1177" t="s">
        <v>10263</v>
      </c>
      <c r="P1177" t="s">
        <v>12</v>
      </c>
    </row>
    <row r="1178">
      <c r="A1178">
        <f>HYPERLINK("http://bombeiros.sp.gov.br/hidrantes/03individual/1179.html","1179")</f>
      </c>
      <c r="B1178" t="s">
        <v>623</v>
      </c>
      <c r="C1178" t="s">
        <v>714</v>
      </c>
      <c r="D1178" t="s">
        <v>737</v>
      </c>
      <c r="E1178" t="s">
        <v>64</v>
      </c>
      <c r="F1178" t="s">
        <v>10757</v>
      </c>
      <c r="G1178" t="s">
        <v>17927</v>
      </c>
      <c r="H1178" t="s">
        <v>1112</v>
      </c>
      <c r="I1178" t="s">
        <v>1108</v>
      </c>
      <c r="J1178" t="s">
        <v>10758</v>
      </c>
      <c r="K1178" t="s">
        <v>10759</v>
      </c>
      <c r="L1178" t="s">
        <v>36</v>
      </c>
      <c r="M1178" t="s">
        <v>19177</v>
      </c>
      <c r="N1178" t="s">
        <v>714</v>
      </c>
      <c r="O1178" t="s">
        <v>10263</v>
      </c>
      <c r="P1178" t="s">
        <v>12</v>
      </c>
    </row>
    <row r="1179">
      <c r="A1179">
        <f>HYPERLINK("http://bombeiros.sp.gov.br/hidrantes/03individual/1570.html","1570")</f>
      </c>
      <c r="B1179" t="s">
        <v>623</v>
      </c>
      <c r="C1179" t="s">
        <v>714</v>
      </c>
      <c r="D1179" t="s">
        <v>737</v>
      </c>
      <c r="E1179" t="s">
        <v>64</v>
      </c>
      <c r="F1179" t="s">
        <v>10760</v>
      </c>
      <c r="G1179" t="s">
        <v>18151</v>
      </c>
      <c r="H1179" t="s">
        <v>1112</v>
      </c>
      <c r="I1179" t="s">
        <v>1108</v>
      </c>
      <c r="J1179" t="s">
        <v>10761</v>
      </c>
      <c r="K1179" t="s">
        <v>10762</v>
      </c>
      <c r="L1179" t="s">
        <v>21</v>
      </c>
      <c r="M1179" t="s">
        <v>19177</v>
      </c>
      <c r="N1179" t="s">
        <v>714</v>
      </c>
      <c r="O1179" t="s">
        <v>10263</v>
      </c>
      <c r="P1179" t="s">
        <v>12</v>
      </c>
    </row>
    <row r="1180">
      <c r="A1180">
        <f>HYPERLINK("http://bombeiros.sp.gov.br/hidrantes/03individual/1722.html","1722")</f>
      </c>
      <c r="B1180" t="s">
        <v>623</v>
      </c>
      <c r="C1180" t="s">
        <v>714</v>
      </c>
      <c r="D1180" t="s">
        <v>737</v>
      </c>
      <c r="E1180" t="s">
        <v>64</v>
      </c>
      <c r="F1180" t="s">
        <v>10763</v>
      </c>
      <c r="G1180" t="s">
        <v>18151</v>
      </c>
      <c r="H1180" t="s">
        <v>1107</v>
      </c>
      <c r="I1180" t="s">
        <v>1108</v>
      </c>
      <c r="J1180" t="s">
        <v>10764</v>
      </c>
      <c r="K1180" t="s">
        <v>10765</v>
      </c>
      <c r="L1180" t="s">
        <v>36</v>
      </c>
      <c r="M1180" t="s">
        <v>19177</v>
      </c>
      <c r="N1180" t="s">
        <v>714</v>
      </c>
      <c r="O1180" t="s">
        <v>10263</v>
      </c>
      <c r="P1180" t="s">
        <v>12</v>
      </c>
    </row>
    <row r="1181">
      <c r="A1181">
        <f>HYPERLINK("http://bombeiros.sp.gov.br/hidrantes/03individual/6677.html","6677")</f>
      </c>
      <c r="B1181" t="s">
        <v>623</v>
      </c>
      <c r="C1181" t="s">
        <v>714</v>
      </c>
      <c r="D1181" t="s">
        <v>737</v>
      </c>
      <c r="E1181" t="s">
        <v>64</v>
      </c>
      <c r="F1181" t="s">
        <v>10766</v>
      </c>
      <c r="G1181" t="s">
        <v>18129</v>
      </c>
      <c r="H1181" t="s">
        <v>1112</v>
      </c>
      <c r="I1181" t="s">
        <v>1108</v>
      </c>
      <c r="J1181" t="s">
        <v>10767</v>
      </c>
      <c r="K1181" t="s">
        <v>10768</v>
      </c>
      <c r="L1181" t="s">
        <v>21</v>
      </c>
      <c r="M1181" t="s">
        <v>19177</v>
      </c>
      <c r="N1181" t="s">
        <v>714</v>
      </c>
      <c r="O1181" t="s">
        <v>10263</v>
      </c>
      <c r="P1181" t="s">
        <v>12</v>
      </c>
    </row>
    <row r="1182">
      <c r="A1182">
        <f>HYPERLINK("http://bombeiros.sp.gov.br/hidrantes/03individual/1154.html","1154")</f>
      </c>
      <c r="B1182" t="s">
        <v>623</v>
      </c>
      <c r="C1182" t="s">
        <v>714</v>
      </c>
      <c r="D1182" t="s">
        <v>737</v>
      </c>
      <c r="E1182" t="s">
        <v>15</v>
      </c>
      <c r="F1182" t="s">
        <v>10769</v>
      </c>
      <c r="G1182" t="s">
        <v>18157</v>
      </c>
      <c r="H1182" t="s">
        <v>1112</v>
      </c>
      <c r="I1182" t="s">
        <v>1108</v>
      </c>
      <c r="J1182" t="s">
        <v>18920</v>
      </c>
      <c r="K1182" t="s">
        <v>18921</v>
      </c>
      <c r="L1182" t="s">
        <v>21</v>
      </c>
      <c r="M1182" t="s">
        <v>19177</v>
      </c>
      <c r="N1182" t="s">
        <v>714</v>
      </c>
      <c r="O1182" t="s">
        <v>10263</v>
      </c>
      <c r="P1182" t="s">
        <v>12</v>
      </c>
    </row>
    <row r="1183">
      <c r="A1183">
        <f>HYPERLINK("http://bombeiros.sp.gov.br/hidrantes/03individual/1172.html","1172")</f>
      </c>
      <c r="B1183" t="s">
        <v>623</v>
      </c>
      <c r="C1183" t="s">
        <v>714</v>
      </c>
      <c r="D1183" t="s">
        <v>737</v>
      </c>
      <c r="E1183" t="s">
        <v>15</v>
      </c>
      <c r="F1183" t="s">
        <v>10772</v>
      </c>
      <c r="G1183" t="s">
        <v>17927</v>
      </c>
      <c r="H1183" t="s">
        <v>1112</v>
      </c>
      <c r="I1183" t="s">
        <v>1108</v>
      </c>
      <c r="J1183" t="s">
        <v>10773</v>
      </c>
      <c r="K1183" t="s">
        <v>10774</v>
      </c>
      <c r="L1183" t="s">
        <v>21</v>
      </c>
      <c r="M1183" t="s">
        <v>19177</v>
      </c>
      <c r="N1183" t="s">
        <v>714</v>
      </c>
      <c r="O1183" t="s">
        <v>10263</v>
      </c>
      <c r="P1183" t="s">
        <v>12</v>
      </c>
    </row>
    <row r="1184">
      <c r="A1184">
        <f>HYPERLINK("http://bombeiros.sp.gov.br/hidrantes/03individual/1173.html","1173")</f>
      </c>
      <c r="B1184" t="s">
        <v>623</v>
      </c>
      <c r="C1184" t="s">
        <v>714</v>
      </c>
      <c r="D1184" t="s">
        <v>737</v>
      </c>
      <c r="E1184" t="s">
        <v>15</v>
      </c>
      <c r="F1184" t="s">
        <v>10775</v>
      </c>
      <c r="G1184" t="s">
        <v>17728</v>
      </c>
      <c r="H1184" t="s">
        <v>1112</v>
      </c>
      <c r="I1184" t="s">
        <v>1108</v>
      </c>
      <c r="J1184" t="s">
        <v>10776</v>
      </c>
      <c r="K1184" t="s">
        <v>10777</v>
      </c>
      <c r="L1184" t="s">
        <v>21</v>
      </c>
      <c r="M1184" t="s">
        <v>19177</v>
      </c>
      <c r="N1184" t="s">
        <v>714</v>
      </c>
      <c r="O1184" t="s">
        <v>10263</v>
      </c>
      <c r="P1184" t="s">
        <v>12</v>
      </c>
    </row>
    <row r="1185">
      <c r="A1185">
        <f>HYPERLINK("http://bombeiros.sp.gov.br/hidrantes/03individual/1174.html","1174")</f>
      </c>
      <c r="B1185" t="s">
        <v>623</v>
      </c>
      <c r="C1185" t="s">
        <v>714</v>
      </c>
      <c r="D1185" t="s">
        <v>737</v>
      </c>
      <c r="E1185" t="s">
        <v>15</v>
      </c>
      <c r="F1185" t="s">
        <v>10778</v>
      </c>
      <c r="G1185" t="s">
        <v>18157</v>
      </c>
      <c r="H1185" t="s">
        <v>1112</v>
      </c>
      <c r="I1185" t="s">
        <v>1108</v>
      </c>
      <c r="J1185" t="s">
        <v>10779</v>
      </c>
      <c r="K1185" t="s">
        <v>10780</v>
      </c>
      <c r="L1185" t="s">
        <v>21</v>
      </c>
      <c r="M1185" t="s">
        <v>19177</v>
      </c>
      <c r="N1185" t="s">
        <v>714</v>
      </c>
      <c r="O1185" t="s">
        <v>10263</v>
      </c>
      <c r="P1185" t="s">
        <v>12</v>
      </c>
    </row>
    <row r="1186">
      <c r="A1186">
        <f>HYPERLINK("http://bombeiros.sp.gov.br/hidrantes/03individual/1585.html","1585")</f>
      </c>
      <c r="B1186" t="s">
        <v>623</v>
      </c>
      <c r="C1186" t="s">
        <v>714</v>
      </c>
      <c r="D1186" t="s">
        <v>737</v>
      </c>
      <c r="E1186" t="s">
        <v>15</v>
      </c>
      <c r="F1186" t="s">
        <v>10787</v>
      </c>
      <c r="G1186" t="s">
        <v>18151</v>
      </c>
      <c r="H1186" t="s">
        <v>1112</v>
      </c>
      <c r="I1186" t="s">
        <v>1108</v>
      </c>
      <c r="J1186" t="s">
        <v>10788</v>
      </c>
      <c r="K1186" t="s">
        <v>10789</v>
      </c>
      <c r="L1186" t="s">
        <v>21</v>
      </c>
      <c r="M1186" t="s">
        <v>19177</v>
      </c>
      <c r="N1186" t="s">
        <v>714</v>
      </c>
      <c r="O1186" t="s">
        <v>10263</v>
      </c>
      <c r="P1186" t="s">
        <v>12</v>
      </c>
    </row>
    <row r="1187">
      <c r="A1187">
        <f>HYPERLINK("http://bombeiros.sp.gov.br/hidrantes/03individual/2174.html","2174")</f>
      </c>
      <c r="B1187" t="s">
        <v>623</v>
      </c>
      <c r="C1187" t="s">
        <v>714</v>
      </c>
      <c r="D1187" t="s">
        <v>737</v>
      </c>
      <c r="E1187" t="s">
        <v>15</v>
      </c>
      <c r="F1187" t="s">
        <v>10796</v>
      </c>
      <c r="G1187" t="s">
        <v>18151</v>
      </c>
      <c r="H1187" t="s">
        <v>1112</v>
      </c>
      <c r="I1187" t="s">
        <v>1108</v>
      </c>
      <c r="J1187" t="s">
        <v>10797</v>
      </c>
      <c r="K1187" t="s">
        <v>10798</v>
      </c>
      <c r="L1187" t="s">
        <v>36</v>
      </c>
      <c r="M1187" t="s">
        <v>19177</v>
      </c>
      <c r="N1187" t="s">
        <v>714</v>
      </c>
      <c r="O1187" t="s">
        <v>10263</v>
      </c>
      <c r="P1187" t="s">
        <v>12</v>
      </c>
    </row>
    <row r="1188">
      <c r="A1188">
        <f>HYPERLINK("http://bombeiros.sp.gov.br/hidrantes/03individual/2183.html","2183")</f>
      </c>
      <c r="B1188" t="s">
        <v>623</v>
      </c>
      <c r="C1188" t="s">
        <v>714</v>
      </c>
      <c r="D1188" t="s">
        <v>737</v>
      </c>
      <c r="E1188" t="s">
        <v>15</v>
      </c>
      <c r="F1188" t="s">
        <v>10802</v>
      </c>
      <c r="G1188" t="s">
        <v>17953</v>
      </c>
      <c r="H1188" t="s">
        <v>1112</v>
      </c>
      <c r="I1188" t="s">
        <v>1108</v>
      </c>
      <c r="J1188" t="s">
        <v>10803</v>
      </c>
      <c r="K1188" t="s">
        <v>10804</v>
      </c>
      <c r="L1188" t="s">
        <v>21</v>
      </c>
      <c r="M1188" t="s">
        <v>19177</v>
      </c>
      <c r="N1188" t="s">
        <v>714</v>
      </c>
      <c r="O1188" t="s">
        <v>10263</v>
      </c>
      <c r="P1188" t="s">
        <v>12</v>
      </c>
    </row>
    <row r="1189">
      <c r="A1189">
        <f>HYPERLINK("http://bombeiros.sp.gov.br/hidrantes/03individual/2199.html","2199")</f>
      </c>
      <c r="B1189" t="s">
        <v>623</v>
      </c>
      <c r="C1189" t="s">
        <v>714</v>
      </c>
      <c r="D1189" t="s">
        <v>737</v>
      </c>
      <c r="E1189" t="s">
        <v>15</v>
      </c>
      <c r="F1189" t="s">
        <v>10805</v>
      </c>
      <c r="G1189" t="s">
        <v>17588</v>
      </c>
      <c r="H1189" t="s">
        <v>1112</v>
      </c>
      <c r="I1189" t="s">
        <v>1108</v>
      </c>
      <c r="J1189" t="s">
        <v>18922</v>
      </c>
      <c r="K1189" t="s">
        <v>18923</v>
      </c>
      <c r="L1189" t="s">
        <v>21</v>
      </c>
      <c r="M1189" t="s">
        <v>19177</v>
      </c>
      <c r="N1189" t="s">
        <v>714</v>
      </c>
      <c r="O1189" t="s">
        <v>10263</v>
      </c>
      <c r="P1189" t="s">
        <v>12</v>
      </c>
    </row>
    <row r="1190">
      <c r="A1190">
        <f>HYPERLINK("http://bombeiros.sp.gov.br/hidrantes/03individual/2219.html","2219")</f>
      </c>
      <c r="B1190" t="s">
        <v>623</v>
      </c>
      <c r="C1190" t="s">
        <v>714</v>
      </c>
      <c r="D1190" t="s">
        <v>737</v>
      </c>
      <c r="E1190" t="s">
        <v>15</v>
      </c>
      <c r="F1190" t="s">
        <v>10811</v>
      </c>
      <c r="G1190" t="s">
        <v>18090</v>
      </c>
      <c r="H1190" t="s">
        <v>1112</v>
      </c>
      <c r="I1190" t="s">
        <v>1108</v>
      </c>
      <c r="J1190" t="s">
        <v>10812</v>
      </c>
      <c r="K1190" t="s">
        <v>10813</v>
      </c>
      <c r="L1190" t="s">
        <v>21</v>
      </c>
      <c r="M1190" t="s">
        <v>19177</v>
      </c>
      <c r="N1190" t="s">
        <v>714</v>
      </c>
      <c r="O1190" t="s">
        <v>10263</v>
      </c>
      <c r="P1190" t="s">
        <v>12</v>
      </c>
    </row>
    <row r="1191">
      <c r="A1191">
        <f>HYPERLINK("http://bombeiros.sp.gov.br/hidrantes/03individual/2945.html","2945")</f>
      </c>
      <c r="B1191" t="s">
        <v>623</v>
      </c>
      <c r="C1191" t="s">
        <v>714</v>
      </c>
      <c r="D1191" t="s">
        <v>737</v>
      </c>
      <c r="E1191" t="s">
        <v>15</v>
      </c>
      <c r="F1191" t="s">
        <v>10817</v>
      </c>
      <c r="G1191" t="s">
        <v>17911</v>
      </c>
      <c r="H1191" t="s">
        <v>1112</v>
      </c>
      <c r="I1191" t="s">
        <v>1108</v>
      </c>
      <c r="J1191" t="s">
        <v>10818</v>
      </c>
      <c r="K1191" t="s">
        <v>10819</v>
      </c>
      <c r="L1191" t="s">
        <v>21</v>
      </c>
      <c r="M1191" t="s">
        <v>19177</v>
      </c>
      <c r="N1191" t="s">
        <v>714</v>
      </c>
      <c r="O1191" t="s">
        <v>10263</v>
      </c>
      <c r="P1191" t="s">
        <v>12</v>
      </c>
    </row>
    <row r="1192">
      <c r="A1192">
        <f>HYPERLINK("http://bombeiros.sp.gov.br/hidrantes/03individual/4260.html","4260")</f>
      </c>
      <c r="B1192" t="s">
        <v>623</v>
      </c>
      <c r="C1192" t="s">
        <v>714</v>
      </c>
      <c r="D1192" t="s">
        <v>737</v>
      </c>
      <c r="E1192" t="s">
        <v>15</v>
      </c>
      <c r="F1192" t="s">
        <v>10820</v>
      </c>
      <c r="G1192" t="s">
        <v>18155</v>
      </c>
      <c r="H1192" t="s">
        <v>1112</v>
      </c>
      <c r="I1192" t="s">
        <v>1108</v>
      </c>
      <c r="J1192" t="s">
        <v>10821</v>
      </c>
      <c r="K1192" t="s">
        <v>10822</v>
      </c>
      <c r="L1192" t="s">
        <v>21</v>
      </c>
      <c r="M1192" t="s">
        <v>19177</v>
      </c>
      <c r="N1192" t="s">
        <v>714</v>
      </c>
      <c r="O1192" t="s">
        <v>10263</v>
      </c>
      <c r="P1192" t="s">
        <v>12</v>
      </c>
    </row>
    <row r="1193">
      <c r="A1193">
        <f>HYPERLINK("http://bombeiros.sp.gov.br/hidrantes/03individual/16321.html","16321")</f>
      </c>
      <c r="B1193" t="s">
        <v>623</v>
      </c>
      <c r="C1193" t="s">
        <v>714</v>
      </c>
      <c r="D1193" t="s">
        <v>737</v>
      </c>
      <c r="E1193" t="s">
        <v>15</v>
      </c>
      <c r="F1193" t="s">
        <v>10826</v>
      </c>
      <c r="G1193" t="s">
        <v>17728</v>
      </c>
      <c r="H1193" t="s">
        <v>1112</v>
      </c>
      <c r="I1193" t="s">
        <v>1108</v>
      </c>
      <c r="J1193" t="s">
        <v>10827</v>
      </c>
      <c r="K1193" t="s">
        <v>10828</v>
      </c>
      <c r="L1193" t="s">
        <v>21</v>
      </c>
      <c r="M1193" t="s">
        <v>19177</v>
      </c>
      <c r="N1193" t="s">
        <v>714</v>
      </c>
      <c r="O1193" t="s">
        <v>10263</v>
      </c>
      <c r="P1193" t="s">
        <v>12</v>
      </c>
    </row>
    <row r="1194">
      <c r="A1194">
        <f>HYPERLINK("http://bombeiros.sp.gov.br/hidrantes/03individual/28032.html","28032")</f>
      </c>
      <c r="B1194" t="s">
        <v>623</v>
      </c>
      <c r="C1194" t="s">
        <v>714</v>
      </c>
      <c r="D1194" t="s">
        <v>737</v>
      </c>
      <c r="E1194" t="s">
        <v>15</v>
      </c>
      <c r="F1194" t="s">
        <v>18337</v>
      </c>
      <c r="G1194" t="s">
        <v>18104</v>
      </c>
      <c r="H1194" t="s">
        <v>1112</v>
      </c>
      <c r="I1194" t="s">
        <v>1108</v>
      </c>
      <c r="J1194" t="s">
        <v>18338</v>
      </c>
      <c r="K1194" t="s">
        <v>18339</v>
      </c>
      <c r="L1194" t="s">
        <v>21</v>
      </c>
      <c r="M1194" t="s">
        <v>19177</v>
      </c>
      <c r="N1194" t="s">
        <v>714</v>
      </c>
      <c r="O1194" t="s">
        <v>10263</v>
      </c>
      <c r="P1194" t="s">
        <v>12</v>
      </c>
    </row>
    <row r="1195">
      <c r="A1195">
        <f>HYPERLINK("http://bombeiros.sp.gov.br/hidrantes/03individual/28036.html","28036")</f>
      </c>
      <c r="B1195" t="s">
        <v>623</v>
      </c>
      <c r="C1195" t="s">
        <v>714</v>
      </c>
      <c r="D1195" t="s">
        <v>737</v>
      </c>
      <c r="E1195" t="s">
        <v>15</v>
      </c>
      <c r="F1195" t="s">
        <v>18343</v>
      </c>
      <c r="G1195" t="s">
        <v>18215</v>
      </c>
      <c r="H1195" t="s">
        <v>1112</v>
      </c>
      <c r="I1195" t="s">
        <v>1108</v>
      </c>
      <c r="J1195" t="s">
        <v>18344</v>
      </c>
      <c r="K1195" t="s">
        <v>18345</v>
      </c>
      <c r="L1195" t="s">
        <v>21</v>
      </c>
      <c r="M1195" t="s">
        <v>19177</v>
      </c>
      <c r="N1195" t="s">
        <v>714</v>
      </c>
      <c r="O1195" t="s">
        <v>10263</v>
      </c>
      <c r="P1195" t="s">
        <v>12</v>
      </c>
    </row>
    <row r="1196">
      <c r="A1196">
        <f>HYPERLINK("http://bombeiros.sp.gov.br/hidrantes/03individual/27685.html","27685")</f>
      </c>
      <c r="B1196" t="s">
        <v>623</v>
      </c>
      <c r="C1196" t="s">
        <v>742</v>
      </c>
      <c r="D1196" t="s">
        <v>743</v>
      </c>
      <c r="E1196" t="s">
        <v>64</v>
      </c>
      <c r="F1196" t="s">
        <v>17645</v>
      </c>
      <c r="G1196" t="s">
        <v>18034</v>
      </c>
      <c r="H1196" t="s">
        <v>1112</v>
      </c>
      <c r="I1196" t="s">
        <v>1108</v>
      </c>
      <c r="J1196" t="s">
        <v>17646</v>
      </c>
      <c r="K1196" t="s">
        <v>17647</v>
      </c>
      <c r="L1196" t="s">
        <v>21</v>
      </c>
      <c r="M1196" t="s">
        <v>19177</v>
      </c>
      <c r="N1196" t="s">
        <v>16375</v>
      </c>
      <c r="O1196" t="s">
        <v>640</v>
      </c>
      <c r="P1196" t="s">
        <v>623</v>
      </c>
    </row>
    <row r="1197">
      <c r="A1197">
        <f>HYPERLINK("http://bombeiros.sp.gov.br/hidrantes/03individual/16537.html","16537")</f>
      </c>
      <c r="B1197" t="s">
        <v>623</v>
      </c>
      <c r="C1197" t="s">
        <v>742</v>
      </c>
      <c r="D1197" t="s">
        <v>743</v>
      </c>
      <c r="E1197" t="s">
        <v>15</v>
      </c>
      <c r="F1197" t="s">
        <v>10841</v>
      </c>
      <c r="G1197" t="s">
        <v>18076</v>
      </c>
      <c r="H1197" t="s">
        <v>1112</v>
      </c>
      <c r="I1197" t="s">
        <v>1108</v>
      </c>
      <c r="J1197" t="s">
        <v>10842</v>
      </c>
      <c r="K1197" t="s">
        <v>10843</v>
      </c>
      <c r="L1197" t="s">
        <v>21</v>
      </c>
      <c r="M1197" t="s">
        <v>19177</v>
      </c>
      <c r="N1197" t="s">
        <v>16375</v>
      </c>
      <c r="O1197" t="s">
        <v>640</v>
      </c>
      <c r="P1197" t="s">
        <v>623</v>
      </c>
    </row>
    <row r="1198">
      <c r="A1198">
        <f>HYPERLINK("http://bombeiros.sp.gov.br/hidrantes/03individual/1249.html","1249")</f>
      </c>
      <c r="B1198" t="s">
        <v>623</v>
      </c>
      <c r="C1198" t="s">
        <v>742</v>
      </c>
      <c r="D1198" t="s">
        <v>751</v>
      </c>
      <c r="E1198" t="s">
        <v>15</v>
      </c>
      <c r="F1198" t="s">
        <v>10853</v>
      </c>
      <c r="G1198" t="s">
        <v>18076</v>
      </c>
      <c r="H1198" t="s">
        <v>1112</v>
      </c>
      <c r="I1198" t="s">
        <v>1108</v>
      </c>
      <c r="J1198" t="s">
        <v>10854</v>
      </c>
      <c r="K1198" t="s">
        <v>10855</v>
      </c>
      <c r="L1198" t="s">
        <v>21</v>
      </c>
      <c r="M1198" t="s">
        <v>19177</v>
      </c>
      <c r="N1198" t="s">
        <v>16375</v>
      </c>
      <c r="O1198" t="s">
        <v>640</v>
      </c>
      <c r="P1198" t="s">
        <v>623</v>
      </c>
    </row>
    <row r="1199">
      <c r="A1199">
        <f>HYPERLINK("http://bombeiros.sp.gov.br/hidrantes/03individual/1402.html","1402")</f>
      </c>
      <c r="B1199" t="s">
        <v>623</v>
      </c>
      <c r="C1199" t="s">
        <v>742</v>
      </c>
      <c r="D1199" t="s">
        <v>751</v>
      </c>
      <c r="E1199" t="s">
        <v>15</v>
      </c>
      <c r="F1199" t="s">
        <v>10862</v>
      </c>
      <c r="G1199" t="s">
        <v>18076</v>
      </c>
      <c r="H1199" t="s">
        <v>1112</v>
      </c>
      <c r="I1199" t="s">
        <v>1108</v>
      </c>
      <c r="J1199" t="s">
        <v>10863</v>
      </c>
      <c r="K1199" t="s">
        <v>10864</v>
      </c>
      <c r="L1199" t="s">
        <v>21</v>
      </c>
      <c r="M1199" t="s">
        <v>19177</v>
      </c>
      <c r="N1199" t="s">
        <v>16375</v>
      </c>
      <c r="O1199" t="s">
        <v>640</v>
      </c>
      <c r="P1199" t="s">
        <v>623</v>
      </c>
    </row>
    <row r="1200">
      <c r="A1200">
        <f>HYPERLINK("http://bombeiros.sp.gov.br/hidrantes/03individual/1430.html","1430")</f>
      </c>
      <c r="B1200" t="s">
        <v>623</v>
      </c>
      <c r="C1200" t="s">
        <v>742</v>
      </c>
      <c r="D1200" t="s">
        <v>751</v>
      </c>
      <c r="E1200" t="s">
        <v>15</v>
      </c>
      <c r="F1200" t="s">
        <v>10868</v>
      </c>
      <c r="G1200" t="s">
        <v>18089</v>
      </c>
      <c r="H1200" t="s">
        <v>1174</v>
      </c>
      <c r="I1200" t="s">
        <v>1117</v>
      </c>
      <c r="J1200" t="s">
        <v>10869</v>
      </c>
      <c r="K1200" t="s">
        <v>10870</v>
      </c>
      <c r="L1200" t="s">
        <v>21</v>
      </c>
      <c r="M1200" t="s">
        <v>19177</v>
      </c>
      <c r="N1200" t="s">
        <v>16375</v>
      </c>
      <c r="O1200" t="s">
        <v>640</v>
      </c>
      <c r="P1200" t="s">
        <v>623</v>
      </c>
    </row>
    <row r="1201">
      <c r="A1201">
        <f>HYPERLINK("http://bombeiros.sp.gov.br/hidrantes/03individual/2275.html","2275")</f>
      </c>
      <c r="B1201" t="s">
        <v>623</v>
      </c>
      <c r="C1201" t="s">
        <v>742</v>
      </c>
      <c r="D1201" t="s">
        <v>742</v>
      </c>
      <c r="E1201" t="s">
        <v>15</v>
      </c>
      <c r="F1201" t="s">
        <v>10904</v>
      </c>
      <c r="G1201" t="s">
        <v>18130</v>
      </c>
      <c r="H1201" t="s">
        <v>1112</v>
      </c>
      <c r="I1201" t="s">
        <v>1108</v>
      </c>
      <c r="J1201" t="s">
        <v>10905</v>
      </c>
      <c r="K1201" t="s">
        <v>10906</v>
      </c>
      <c r="L1201" t="s">
        <v>21</v>
      </c>
      <c r="M1201" t="s">
        <v>19177</v>
      </c>
      <c r="N1201" t="s">
        <v>16375</v>
      </c>
      <c r="O1201" t="s">
        <v>640</v>
      </c>
      <c r="P1201" t="s">
        <v>623</v>
      </c>
    </row>
    <row r="1202">
      <c r="A1202">
        <f>HYPERLINK("http://bombeiros.sp.gov.br/hidrantes/03individual/16307.html","16307")</f>
      </c>
      <c r="B1202" t="s">
        <v>623</v>
      </c>
      <c r="C1202" t="s">
        <v>742</v>
      </c>
      <c r="D1202" t="s">
        <v>765</v>
      </c>
      <c r="E1202" t="s">
        <v>64</v>
      </c>
      <c r="F1202" t="s">
        <v>10922</v>
      </c>
      <c r="G1202" t="s">
        <v>18089</v>
      </c>
      <c r="H1202" t="s">
        <v>1174</v>
      </c>
      <c r="I1202" t="s">
        <v>1117</v>
      </c>
      <c r="J1202" t="s">
        <v>10923</v>
      </c>
      <c r="K1202" t="s">
        <v>10924</v>
      </c>
      <c r="L1202" t="s">
        <v>21</v>
      </c>
      <c r="M1202" t="s">
        <v>19177</v>
      </c>
      <c r="N1202" t="s">
        <v>16375</v>
      </c>
      <c r="O1202" t="s">
        <v>640</v>
      </c>
      <c r="P1202" t="s">
        <v>623</v>
      </c>
    </row>
    <row r="1203">
      <c r="A1203">
        <f>HYPERLINK("http://bombeiros.sp.gov.br/hidrantes/03individual/27056.html","27056")</f>
      </c>
      <c r="B1203" t="s">
        <v>623</v>
      </c>
      <c r="C1203" t="s">
        <v>742</v>
      </c>
      <c r="D1203" t="s">
        <v>765</v>
      </c>
      <c r="E1203" t="s">
        <v>64</v>
      </c>
      <c r="F1203" t="s">
        <v>16684</v>
      </c>
      <c r="G1203" t="s">
        <v>18076</v>
      </c>
      <c r="H1203" t="s">
        <v>1112</v>
      </c>
      <c r="I1203" t="s">
        <v>1108</v>
      </c>
      <c r="J1203" t="s">
        <v>16685</v>
      </c>
      <c r="K1203" t="s">
        <v>16686</v>
      </c>
      <c r="L1203" t="s">
        <v>21</v>
      </c>
      <c r="M1203" t="s">
        <v>19177</v>
      </c>
      <c r="N1203" t="s">
        <v>16375</v>
      </c>
      <c r="O1203" t="s">
        <v>640</v>
      </c>
      <c r="P1203" t="s">
        <v>623</v>
      </c>
    </row>
    <row r="1204">
      <c r="A1204">
        <f>HYPERLINK("http://bombeiros.sp.gov.br/hidrantes/03individual/2277.html","2277")</f>
      </c>
      <c r="B1204" t="s">
        <v>623</v>
      </c>
      <c r="C1204" t="s">
        <v>742</v>
      </c>
      <c r="D1204" t="s">
        <v>765</v>
      </c>
      <c r="E1204" t="s">
        <v>15</v>
      </c>
      <c r="F1204" t="s">
        <v>10925</v>
      </c>
      <c r="G1204" t="s">
        <v>18076</v>
      </c>
      <c r="H1204" t="s">
        <v>1107</v>
      </c>
      <c r="I1204" t="s">
        <v>1108</v>
      </c>
      <c r="J1204" t="s">
        <v>10926</v>
      </c>
      <c r="K1204" t="s">
        <v>10927</v>
      </c>
      <c r="L1204" t="s">
        <v>21</v>
      </c>
      <c r="M1204" t="s">
        <v>19177</v>
      </c>
      <c r="N1204" t="s">
        <v>16375</v>
      </c>
      <c r="O1204" t="s">
        <v>640</v>
      </c>
      <c r="P1204" t="s">
        <v>623</v>
      </c>
    </row>
    <row r="1205">
      <c r="A1205">
        <f>HYPERLINK("http://bombeiros.sp.gov.br/hidrantes/03individual/2280.html","2280")</f>
      </c>
      <c r="B1205" t="s">
        <v>623</v>
      </c>
      <c r="C1205" t="s">
        <v>742</v>
      </c>
      <c r="D1205" t="s">
        <v>765</v>
      </c>
      <c r="E1205" t="s">
        <v>15</v>
      </c>
      <c r="F1205" t="s">
        <v>10928</v>
      </c>
      <c r="G1205" t="s">
        <v>18076</v>
      </c>
      <c r="H1205" t="s">
        <v>1112</v>
      </c>
      <c r="I1205" t="s">
        <v>1108</v>
      </c>
      <c r="J1205" t="s">
        <v>10929</v>
      </c>
      <c r="K1205" t="s">
        <v>10930</v>
      </c>
      <c r="L1205" t="s">
        <v>21</v>
      </c>
      <c r="M1205" t="s">
        <v>19177</v>
      </c>
      <c r="N1205" t="s">
        <v>16375</v>
      </c>
      <c r="O1205" t="s">
        <v>640</v>
      </c>
      <c r="P1205" t="s">
        <v>623</v>
      </c>
    </row>
    <row r="1206">
      <c r="A1206">
        <f>HYPERLINK("http://bombeiros.sp.gov.br/hidrantes/03individual/4038.html","4038")</f>
      </c>
      <c r="B1206" t="s">
        <v>623</v>
      </c>
      <c r="C1206" t="s">
        <v>742</v>
      </c>
      <c r="D1206" t="s">
        <v>765</v>
      </c>
      <c r="E1206" t="s">
        <v>15</v>
      </c>
      <c r="F1206" t="s">
        <v>10934</v>
      </c>
      <c r="G1206" t="s">
        <v>18155</v>
      </c>
      <c r="H1206" t="s">
        <v>1112</v>
      </c>
      <c r="I1206" t="s">
        <v>1108</v>
      </c>
      <c r="J1206" t="s">
        <v>10935</v>
      </c>
      <c r="K1206" t="s">
        <v>10936</v>
      </c>
      <c r="L1206" t="s">
        <v>21</v>
      </c>
      <c r="M1206" t="s">
        <v>19177</v>
      </c>
      <c r="N1206" t="s">
        <v>16375</v>
      </c>
      <c r="O1206" t="s">
        <v>640</v>
      </c>
      <c r="P1206" t="s">
        <v>623</v>
      </c>
    </row>
    <row r="1207">
      <c r="A1207">
        <f>HYPERLINK("http://bombeiros.sp.gov.br/hidrantes/03individual/160.html","160")</f>
      </c>
      <c r="B1207" t="s">
        <v>623</v>
      </c>
      <c r="C1207" t="s">
        <v>773</v>
      </c>
      <c r="D1207" t="s">
        <v>10943</v>
      </c>
      <c r="E1207" t="s">
        <v>15</v>
      </c>
      <c r="F1207" t="s">
        <v>10947</v>
      </c>
      <c r="G1207" t="s">
        <v>18114</v>
      </c>
      <c r="H1207" t="s">
        <v>1121</v>
      </c>
      <c r="I1207" t="s">
        <v>1117</v>
      </c>
      <c r="J1207" t="s">
        <v>10948</v>
      </c>
      <c r="K1207" t="s">
        <v>10949</v>
      </c>
      <c r="L1207" t="s">
        <v>21</v>
      </c>
      <c r="M1207" t="s">
        <v>19177</v>
      </c>
      <c r="N1207" t="s">
        <v>714</v>
      </c>
      <c r="O1207" t="s">
        <v>10263</v>
      </c>
      <c r="P1207" t="s">
        <v>12</v>
      </c>
    </row>
    <row r="1208">
      <c r="A1208">
        <f>HYPERLINK("http://bombeiros.sp.gov.br/hidrantes/03individual/4261.html","4261")</f>
      </c>
      <c r="B1208" t="s">
        <v>623</v>
      </c>
      <c r="C1208" t="s">
        <v>773</v>
      </c>
      <c r="D1208" t="s">
        <v>10943</v>
      </c>
      <c r="E1208" t="s">
        <v>15</v>
      </c>
      <c r="F1208" t="s">
        <v>10962</v>
      </c>
      <c r="G1208" t="s">
        <v>17934</v>
      </c>
      <c r="H1208" t="s">
        <v>1112</v>
      </c>
      <c r="I1208" t="s">
        <v>1108</v>
      </c>
      <c r="J1208" t="s">
        <v>10963</v>
      </c>
      <c r="K1208" t="s">
        <v>10964</v>
      </c>
      <c r="L1208" t="s">
        <v>21</v>
      </c>
      <c r="M1208" t="s">
        <v>19177</v>
      </c>
      <c r="N1208" t="s">
        <v>714</v>
      </c>
      <c r="O1208" t="s">
        <v>10263</v>
      </c>
      <c r="P1208" t="s">
        <v>12</v>
      </c>
    </row>
    <row r="1209">
      <c r="A1209">
        <f>HYPERLINK("http://bombeiros.sp.gov.br/hidrantes/03individual/4283.html","4283")</f>
      </c>
      <c r="B1209" t="s">
        <v>623</v>
      </c>
      <c r="C1209" t="s">
        <v>773</v>
      </c>
      <c r="D1209" t="s">
        <v>10943</v>
      </c>
      <c r="E1209" t="s">
        <v>15</v>
      </c>
      <c r="F1209" t="s">
        <v>10965</v>
      </c>
      <c r="G1209" t="s">
        <v>18159</v>
      </c>
      <c r="H1209" t="s">
        <v>1112</v>
      </c>
      <c r="I1209" t="s">
        <v>1108</v>
      </c>
      <c r="J1209" t="s">
        <v>10966</v>
      </c>
      <c r="K1209" t="s">
        <v>10967</v>
      </c>
      <c r="L1209" t="s">
        <v>21</v>
      </c>
      <c r="M1209" t="s">
        <v>19177</v>
      </c>
      <c r="N1209" t="s">
        <v>714</v>
      </c>
      <c r="O1209" t="s">
        <v>10263</v>
      </c>
      <c r="P1209" t="s">
        <v>12</v>
      </c>
    </row>
    <row r="1210">
      <c r="A1210">
        <f>HYPERLINK("http://bombeiros.sp.gov.br/hidrantes/03individual/26625.html","26625")</f>
      </c>
      <c r="B1210" t="s">
        <v>623</v>
      </c>
      <c r="C1210" t="s">
        <v>773</v>
      </c>
      <c r="D1210" t="s">
        <v>10943</v>
      </c>
      <c r="E1210" t="s">
        <v>15</v>
      </c>
      <c r="F1210" t="s">
        <v>10971</v>
      </c>
      <c r="G1210" t="s">
        <v>18196</v>
      </c>
      <c r="H1210" t="s">
        <v>1112</v>
      </c>
      <c r="I1210" t="s">
        <v>1108</v>
      </c>
      <c r="J1210" t="s">
        <v>10972</v>
      </c>
      <c r="K1210" t="s">
        <v>10973</v>
      </c>
      <c r="L1210" t="s">
        <v>21</v>
      </c>
      <c r="M1210" t="s">
        <v>19177</v>
      </c>
      <c r="N1210" t="s">
        <v>714</v>
      </c>
      <c r="O1210" t="s">
        <v>10263</v>
      </c>
      <c r="P1210" t="s">
        <v>12</v>
      </c>
    </row>
    <row r="1211">
      <c r="A1211">
        <f>HYPERLINK("http://bombeiros.sp.gov.br/hidrantes/03individual/1628.html","1628")</f>
      </c>
      <c r="B1211" t="s">
        <v>623</v>
      </c>
      <c r="C1211" t="s">
        <v>773</v>
      </c>
      <c r="D1211" t="s">
        <v>773</v>
      </c>
      <c r="E1211" t="s">
        <v>64</v>
      </c>
      <c r="F1211" t="s">
        <v>10974</v>
      </c>
      <c r="G1211" t="s">
        <v>18160</v>
      </c>
      <c r="H1211" t="s">
        <v>1112</v>
      </c>
      <c r="I1211" t="s">
        <v>1108</v>
      </c>
      <c r="J1211" t="s">
        <v>10975</v>
      </c>
      <c r="K1211" t="s">
        <v>10976</v>
      </c>
      <c r="L1211" t="s">
        <v>36</v>
      </c>
      <c r="M1211" t="s">
        <v>19177</v>
      </c>
      <c r="N1211" t="s">
        <v>714</v>
      </c>
      <c r="O1211" t="s">
        <v>10263</v>
      </c>
      <c r="P1211" t="s">
        <v>12</v>
      </c>
    </row>
    <row r="1212">
      <c r="A1212">
        <f>HYPERLINK("http://bombeiros.sp.gov.br/hidrantes/03individual/2207.html","2207")</f>
      </c>
      <c r="B1212" t="s">
        <v>623</v>
      </c>
      <c r="C1212" t="s">
        <v>773</v>
      </c>
      <c r="D1212" t="s">
        <v>773</v>
      </c>
      <c r="E1212" t="s">
        <v>64</v>
      </c>
      <c r="F1212" t="s">
        <v>10980</v>
      </c>
      <c r="G1212" t="s">
        <v>17914</v>
      </c>
      <c r="H1212" t="s">
        <v>1112</v>
      </c>
      <c r="I1212" t="s">
        <v>1108</v>
      </c>
      <c r="J1212" t="s">
        <v>10981</v>
      </c>
      <c r="K1212" t="s">
        <v>10982</v>
      </c>
      <c r="L1212" t="s">
        <v>36</v>
      </c>
      <c r="M1212" t="s">
        <v>19177</v>
      </c>
      <c r="N1212" t="s">
        <v>714</v>
      </c>
      <c r="O1212" t="s">
        <v>10263</v>
      </c>
      <c r="P1212" t="s">
        <v>12</v>
      </c>
    </row>
    <row r="1213">
      <c r="A1213">
        <f>HYPERLINK("http://bombeiros.sp.gov.br/hidrantes/03individual/2212.html","2212")</f>
      </c>
      <c r="B1213" t="s">
        <v>623</v>
      </c>
      <c r="C1213" t="s">
        <v>773</v>
      </c>
      <c r="D1213" t="s">
        <v>773</v>
      </c>
      <c r="E1213" t="s">
        <v>64</v>
      </c>
      <c r="F1213" t="s">
        <v>10983</v>
      </c>
      <c r="G1213" t="s">
        <v>18110</v>
      </c>
      <c r="H1213" t="s">
        <v>1112</v>
      </c>
      <c r="I1213" t="s">
        <v>1108</v>
      </c>
      <c r="J1213" t="s">
        <v>10984</v>
      </c>
      <c r="K1213" t="s">
        <v>10985</v>
      </c>
      <c r="L1213" t="s">
        <v>21</v>
      </c>
      <c r="M1213" t="s">
        <v>19177</v>
      </c>
      <c r="N1213" t="s">
        <v>714</v>
      </c>
      <c r="O1213" t="s">
        <v>10263</v>
      </c>
      <c r="P1213" t="s">
        <v>12</v>
      </c>
    </row>
    <row r="1214">
      <c r="A1214">
        <f>HYPERLINK("http://bombeiros.sp.gov.br/hidrantes/03individual/1692.html","1692")</f>
      </c>
      <c r="B1214" t="s">
        <v>623</v>
      </c>
      <c r="C1214" t="s">
        <v>773</v>
      </c>
      <c r="D1214" t="s">
        <v>773</v>
      </c>
      <c r="E1214" t="s">
        <v>15</v>
      </c>
      <c r="F1214" t="s">
        <v>10986</v>
      </c>
      <c r="G1214" t="s">
        <v>17956</v>
      </c>
      <c r="H1214" t="s">
        <v>1112</v>
      </c>
      <c r="I1214" t="s">
        <v>1108</v>
      </c>
      <c r="J1214" t="s">
        <v>10987</v>
      </c>
      <c r="K1214" t="s">
        <v>10988</v>
      </c>
      <c r="L1214" t="s">
        <v>21</v>
      </c>
      <c r="M1214" t="s">
        <v>19177</v>
      </c>
      <c r="N1214" t="s">
        <v>714</v>
      </c>
      <c r="O1214" t="s">
        <v>10263</v>
      </c>
      <c r="P1214" t="s">
        <v>12</v>
      </c>
    </row>
    <row r="1215">
      <c r="A1215">
        <f>HYPERLINK("http://bombeiros.sp.gov.br/hidrantes/03individual/2205.html","2205")</f>
      </c>
      <c r="B1215" t="s">
        <v>623</v>
      </c>
      <c r="C1215" t="s">
        <v>773</v>
      </c>
      <c r="D1215" t="s">
        <v>773</v>
      </c>
      <c r="E1215" t="s">
        <v>15</v>
      </c>
      <c r="F1215" t="s">
        <v>10989</v>
      </c>
      <c r="G1215" t="s">
        <v>18160</v>
      </c>
      <c r="H1215" t="s">
        <v>1107</v>
      </c>
      <c r="I1215" t="s">
        <v>1108</v>
      </c>
      <c r="J1215" t="s">
        <v>10990</v>
      </c>
      <c r="K1215" t="s">
        <v>10991</v>
      </c>
      <c r="L1215" t="s">
        <v>21</v>
      </c>
      <c r="M1215" t="s">
        <v>19177</v>
      </c>
      <c r="N1215" t="s">
        <v>714</v>
      </c>
      <c r="O1215" t="s">
        <v>10263</v>
      </c>
      <c r="P1215" t="s">
        <v>12</v>
      </c>
    </row>
    <row r="1216">
      <c r="A1216">
        <f>HYPERLINK("http://bombeiros.sp.gov.br/hidrantes/03individual/2206.html","2206")</f>
      </c>
      <c r="B1216" t="s">
        <v>623</v>
      </c>
      <c r="C1216" t="s">
        <v>773</v>
      </c>
      <c r="D1216" t="s">
        <v>773</v>
      </c>
      <c r="E1216" t="s">
        <v>15</v>
      </c>
      <c r="F1216" t="s">
        <v>10992</v>
      </c>
      <c r="G1216" t="s">
        <v>18160</v>
      </c>
      <c r="H1216" t="s">
        <v>1112</v>
      </c>
      <c r="I1216" t="s">
        <v>1108</v>
      </c>
      <c r="J1216" t="s">
        <v>10993</v>
      </c>
      <c r="K1216" t="s">
        <v>10994</v>
      </c>
      <c r="L1216" t="s">
        <v>21</v>
      </c>
      <c r="M1216" t="s">
        <v>19177</v>
      </c>
      <c r="N1216" t="s">
        <v>714</v>
      </c>
      <c r="O1216" t="s">
        <v>10263</v>
      </c>
      <c r="P1216" t="s">
        <v>12</v>
      </c>
    </row>
    <row r="1217">
      <c r="A1217">
        <f>HYPERLINK("http://bombeiros.sp.gov.br/hidrantes/03individual/2215.html","2215")</f>
      </c>
      <c r="B1217" t="s">
        <v>623</v>
      </c>
      <c r="C1217" t="s">
        <v>773</v>
      </c>
      <c r="D1217" t="s">
        <v>773</v>
      </c>
      <c r="E1217" t="s">
        <v>15</v>
      </c>
      <c r="F1217" t="s">
        <v>10998</v>
      </c>
      <c r="G1217" t="s">
        <v>17956</v>
      </c>
      <c r="H1217" t="s">
        <v>1112</v>
      </c>
      <c r="I1217" t="s">
        <v>1108</v>
      </c>
      <c r="J1217" t="s">
        <v>10999</v>
      </c>
      <c r="K1217" t="s">
        <v>11000</v>
      </c>
      <c r="L1217" t="s">
        <v>21</v>
      </c>
      <c r="M1217" t="s">
        <v>19177</v>
      </c>
      <c r="N1217" t="s">
        <v>714</v>
      </c>
      <c r="O1217" t="s">
        <v>10263</v>
      </c>
      <c r="P1217" t="s">
        <v>12</v>
      </c>
    </row>
    <row r="1218">
      <c r="A1218">
        <f>HYPERLINK("http://bombeiros.sp.gov.br/hidrantes/03individual/2312.html","2312")</f>
      </c>
      <c r="B1218" t="s">
        <v>623</v>
      </c>
      <c r="C1218" t="s">
        <v>773</v>
      </c>
      <c r="D1218" t="s">
        <v>773</v>
      </c>
      <c r="E1218" t="s">
        <v>15</v>
      </c>
      <c r="F1218" t="s">
        <v>11001</v>
      </c>
      <c r="G1218" t="s">
        <v>18160</v>
      </c>
      <c r="H1218" t="s">
        <v>1112</v>
      </c>
      <c r="I1218" t="s">
        <v>1108</v>
      </c>
      <c r="J1218" t="s">
        <v>11002</v>
      </c>
      <c r="K1218" t="s">
        <v>11003</v>
      </c>
      <c r="L1218" t="s">
        <v>21</v>
      </c>
      <c r="M1218" t="s">
        <v>19177</v>
      </c>
      <c r="N1218" t="s">
        <v>714</v>
      </c>
      <c r="O1218" t="s">
        <v>10263</v>
      </c>
      <c r="P1218" t="s">
        <v>12</v>
      </c>
    </row>
    <row r="1219">
      <c r="A1219">
        <f>HYPERLINK("http://bombeiros.sp.gov.br/hidrantes/03individual/2314.html","2314")</f>
      </c>
      <c r="B1219" t="s">
        <v>623</v>
      </c>
      <c r="C1219" t="s">
        <v>773</v>
      </c>
      <c r="D1219" t="s">
        <v>773</v>
      </c>
      <c r="E1219" t="s">
        <v>15</v>
      </c>
      <c r="F1219" t="s">
        <v>11004</v>
      </c>
      <c r="G1219" t="s">
        <v>17960</v>
      </c>
      <c r="H1219" t="s">
        <v>1112</v>
      </c>
      <c r="I1219" t="s">
        <v>1108</v>
      </c>
      <c r="J1219" t="s">
        <v>11005</v>
      </c>
      <c r="K1219" t="s">
        <v>11006</v>
      </c>
      <c r="L1219" t="s">
        <v>21</v>
      </c>
      <c r="M1219" t="s">
        <v>19177</v>
      </c>
      <c r="N1219" t="s">
        <v>714</v>
      </c>
      <c r="O1219" t="s">
        <v>10263</v>
      </c>
      <c r="P1219" t="s">
        <v>12</v>
      </c>
    </row>
    <row r="1220">
      <c r="A1220">
        <f>HYPERLINK("http://bombeiros.sp.gov.br/hidrantes/03individual/2321.html","2321")</f>
      </c>
      <c r="B1220" t="s">
        <v>623</v>
      </c>
      <c r="C1220" t="s">
        <v>773</v>
      </c>
      <c r="D1220" t="s">
        <v>773</v>
      </c>
      <c r="E1220" t="s">
        <v>15</v>
      </c>
      <c r="F1220" t="s">
        <v>11007</v>
      </c>
      <c r="G1220" t="s">
        <v>18155</v>
      </c>
      <c r="H1220" t="s">
        <v>1112</v>
      </c>
      <c r="I1220" t="s">
        <v>1108</v>
      </c>
      <c r="J1220" t="s">
        <v>11008</v>
      </c>
      <c r="K1220" t="s">
        <v>11009</v>
      </c>
      <c r="L1220" t="s">
        <v>21</v>
      </c>
      <c r="M1220" t="s">
        <v>19177</v>
      </c>
      <c r="N1220" t="s">
        <v>714</v>
      </c>
      <c r="O1220" t="s">
        <v>10263</v>
      </c>
      <c r="P1220" t="s">
        <v>12</v>
      </c>
    </row>
    <row r="1221">
      <c r="A1221">
        <f>HYPERLINK("http://bombeiros.sp.gov.br/hidrantes/03individual/2323.html","2323")</f>
      </c>
      <c r="B1221" t="s">
        <v>623</v>
      </c>
      <c r="C1221" t="s">
        <v>773</v>
      </c>
      <c r="D1221" t="s">
        <v>773</v>
      </c>
      <c r="E1221" t="s">
        <v>15</v>
      </c>
      <c r="F1221" t="s">
        <v>11010</v>
      </c>
      <c r="G1221" t="s">
        <v>18110</v>
      </c>
      <c r="H1221" t="s">
        <v>1121</v>
      </c>
      <c r="I1221" t="s">
        <v>1117</v>
      </c>
      <c r="J1221" t="s">
        <v>11011</v>
      </c>
      <c r="K1221" t="s">
        <v>11012</v>
      </c>
      <c r="L1221" t="s">
        <v>21</v>
      </c>
      <c r="M1221" t="s">
        <v>19177</v>
      </c>
      <c r="N1221" t="s">
        <v>714</v>
      </c>
      <c r="O1221" t="s">
        <v>10263</v>
      </c>
      <c r="P1221" t="s">
        <v>12</v>
      </c>
    </row>
    <row r="1222">
      <c r="A1222">
        <f>HYPERLINK("http://bombeiros.sp.gov.br/hidrantes/03individual/1625.html","1625")</f>
      </c>
      <c r="B1222" t="s">
        <v>623</v>
      </c>
      <c r="C1222" t="s">
        <v>773</v>
      </c>
      <c r="D1222" t="s">
        <v>10710</v>
      </c>
      <c r="E1222" t="s">
        <v>64</v>
      </c>
      <c r="F1222" t="s">
        <v>11019</v>
      </c>
      <c r="G1222" t="s">
        <v>18160</v>
      </c>
      <c r="H1222" t="s">
        <v>1112</v>
      </c>
      <c r="I1222" t="s">
        <v>1108</v>
      </c>
      <c r="J1222" t="s">
        <v>11020</v>
      </c>
      <c r="K1222" t="s">
        <v>11021</v>
      </c>
      <c r="L1222" t="s">
        <v>36</v>
      </c>
      <c r="M1222" t="s">
        <v>19177</v>
      </c>
      <c r="N1222" t="s">
        <v>714</v>
      </c>
      <c r="O1222" t="s">
        <v>10263</v>
      </c>
      <c r="P1222" t="s">
        <v>12</v>
      </c>
    </row>
    <row r="1223">
      <c r="A1223">
        <f>HYPERLINK("http://bombeiros.sp.gov.br/hidrantes/03individual/27526.html","27526")</f>
      </c>
      <c r="B1223" t="s">
        <v>623</v>
      </c>
      <c r="C1223" t="s">
        <v>773</v>
      </c>
      <c r="D1223" t="s">
        <v>10710</v>
      </c>
      <c r="E1223" t="s">
        <v>64</v>
      </c>
      <c r="F1223" t="s">
        <v>17393</v>
      </c>
      <c r="G1223" t="s">
        <v>18160</v>
      </c>
      <c r="H1223" t="s">
        <v>1112</v>
      </c>
      <c r="I1223" t="s">
        <v>1108</v>
      </c>
      <c r="J1223" t="s">
        <v>17394</v>
      </c>
      <c r="K1223" t="s">
        <v>17395</v>
      </c>
      <c r="L1223" t="s">
        <v>21</v>
      </c>
      <c r="M1223" t="s">
        <v>19177</v>
      </c>
      <c r="N1223" t="s">
        <v>714</v>
      </c>
      <c r="O1223" t="s">
        <v>10263</v>
      </c>
      <c r="P1223" t="s">
        <v>12</v>
      </c>
    </row>
    <row r="1224">
      <c r="A1224">
        <f>HYPERLINK("http://bombeiros.sp.gov.br/hidrantes/03individual/2271.html","2271")</f>
      </c>
      <c r="B1224" t="s">
        <v>623</v>
      </c>
      <c r="C1224" t="s">
        <v>773</v>
      </c>
      <c r="D1224" t="s">
        <v>10710</v>
      </c>
      <c r="E1224" t="s">
        <v>15</v>
      </c>
      <c r="F1224" t="s">
        <v>11025</v>
      </c>
      <c r="G1224" t="s">
        <v>18155</v>
      </c>
      <c r="H1224" t="s">
        <v>1112</v>
      </c>
      <c r="I1224" t="s">
        <v>1108</v>
      </c>
      <c r="J1224" t="s">
        <v>11026</v>
      </c>
      <c r="K1224" t="s">
        <v>11027</v>
      </c>
      <c r="L1224" t="s">
        <v>21</v>
      </c>
      <c r="M1224" t="s">
        <v>19177</v>
      </c>
      <c r="N1224" t="s">
        <v>714</v>
      </c>
      <c r="O1224" t="s">
        <v>10263</v>
      </c>
      <c r="P1224" t="s">
        <v>12</v>
      </c>
    </row>
    <row r="1225">
      <c r="A1225">
        <f>HYPERLINK("http://bombeiros.sp.gov.br/hidrantes/03individual/2337.html","2337")</f>
      </c>
      <c r="B1225" t="s">
        <v>623</v>
      </c>
      <c r="C1225" t="s">
        <v>773</v>
      </c>
      <c r="D1225" t="s">
        <v>10710</v>
      </c>
      <c r="E1225" t="s">
        <v>15</v>
      </c>
      <c r="F1225" t="s">
        <v>11028</v>
      </c>
      <c r="G1225" t="s">
        <v>17949</v>
      </c>
      <c r="H1225" t="s">
        <v>1112</v>
      </c>
      <c r="I1225" t="s">
        <v>1108</v>
      </c>
      <c r="J1225" t="s">
        <v>11029</v>
      </c>
      <c r="K1225" t="s">
        <v>11030</v>
      </c>
      <c r="L1225" t="s">
        <v>21</v>
      </c>
      <c r="M1225" t="s">
        <v>19177</v>
      </c>
      <c r="N1225" t="s">
        <v>714</v>
      </c>
      <c r="O1225" t="s">
        <v>10263</v>
      </c>
      <c r="P1225" t="s">
        <v>12</v>
      </c>
    </row>
    <row r="1226">
      <c r="A1226">
        <f>HYPERLINK("http://bombeiros.sp.gov.br/hidrantes/03individual/27164.html","27164")</f>
      </c>
      <c r="B1226" t="s">
        <v>623</v>
      </c>
      <c r="C1226" t="s">
        <v>773</v>
      </c>
      <c r="D1226" t="s">
        <v>10710</v>
      </c>
      <c r="E1226" t="s">
        <v>15</v>
      </c>
      <c r="F1226" t="s">
        <v>16881</v>
      </c>
      <c r="G1226" t="s">
        <v>18160</v>
      </c>
      <c r="H1226" t="s">
        <v>1112</v>
      </c>
      <c r="I1226" t="s">
        <v>1108</v>
      </c>
      <c r="J1226" t="s">
        <v>16882</v>
      </c>
      <c r="K1226" t="s">
        <v>16883</v>
      </c>
      <c r="L1226" t="s">
        <v>21</v>
      </c>
      <c r="M1226" t="s">
        <v>19177</v>
      </c>
      <c r="N1226" t="s">
        <v>714</v>
      </c>
      <c r="O1226" t="s">
        <v>10263</v>
      </c>
      <c r="P1226" t="s">
        <v>12</v>
      </c>
    </row>
    <row r="1227">
      <c r="A1227">
        <f>HYPERLINK("http://bombeiros.sp.gov.br/hidrantes/03individual/97.html","97")</f>
      </c>
      <c r="B1227" t="s">
        <v>623</v>
      </c>
      <c r="C1227" t="s">
        <v>773</v>
      </c>
      <c r="D1227" t="s">
        <v>11031</v>
      </c>
      <c r="E1227" t="s">
        <v>64</v>
      </c>
      <c r="F1227" t="s">
        <v>11032</v>
      </c>
      <c r="G1227" t="s">
        <v>18114</v>
      </c>
      <c r="H1227" t="s">
        <v>1112</v>
      </c>
      <c r="I1227" t="s">
        <v>1108</v>
      </c>
      <c r="J1227" t="s">
        <v>11033</v>
      </c>
      <c r="K1227" t="s">
        <v>11034</v>
      </c>
      <c r="L1227" t="s">
        <v>36</v>
      </c>
      <c r="M1227" t="s">
        <v>19177</v>
      </c>
      <c r="N1227" t="s">
        <v>714</v>
      </c>
      <c r="O1227" t="s">
        <v>10263</v>
      </c>
      <c r="P1227" t="s">
        <v>12</v>
      </c>
    </row>
    <row r="1228">
      <c r="A1228">
        <f>HYPERLINK("http://bombeiros.sp.gov.br/hidrantes/03individual/2216.html","2216")</f>
      </c>
      <c r="B1228" t="s">
        <v>623</v>
      </c>
      <c r="C1228" t="s">
        <v>773</v>
      </c>
      <c r="D1228" t="s">
        <v>11031</v>
      </c>
      <c r="E1228" t="s">
        <v>64</v>
      </c>
      <c r="F1228" t="s">
        <v>11035</v>
      </c>
      <c r="G1228" t="s">
        <v>18110</v>
      </c>
      <c r="H1228" t="s">
        <v>1112</v>
      </c>
      <c r="I1228" t="s">
        <v>1108</v>
      </c>
      <c r="J1228" t="s">
        <v>11036</v>
      </c>
      <c r="K1228" t="s">
        <v>11037</v>
      </c>
      <c r="L1228" t="s">
        <v>36</v>
      </c>
      <c r="M1228" t="s">
        <v>19177</v>
      </c>
      <c r="N1228" t="s">
        <v>714</v>
      </c>
      <c r="O1228" t="s">
        <v>10263</v>
      </c>
      <c r="P1228" t="s">
        <v>12</v>
      </c>
    </row>
    <row r="1229">
      <c r="A1229">
        <f>HYPERLINK("http://bombeiros.sp.gov.br/hidrantes/03individual/2103.html","2103")</f>
      </c>
      <c r="B1229" t="s">
        <v>623</v>
      </c>
      <c r="C1229" t="s">
        <v>773</v>
      </c>
      <c r="D1229" t="s">
        <v>11074</v>
      </c>
      <c r="E1229" t="s">
        <v>64</v>
      </c>
      <c r="F1229" t="s">
        <v>11075</v>
      </c>
      <c r="G1229" t="s">
        <v>18157</v>
      </c>
      <c r="H1229" t="s">
        <v>1112</v>
      </c>
      <c r="I1229" t="s">
        <v>1108</v>
      </c>
      <c r="J1229" t="s">
        <v>11076</v>
      </c>
      <c r="K1229" t="s">
        <v>11077</v>
      </c>
      <c r="L1229" t="s">
        <v>36</v>
      </c>
      <c r="M1229" t="s">
        <v>19177</v>
      </c>
      <c r="N1229" t="s">
        <v>714</v>
      </c>
      <c r="O1229" t="s">
        <v>10263</v>
      </c>
      <c r="P1229" t="s">
        <v>12</v>
      </c>
    </row>
    <row r="1230">
      <c r="A1230">
        <f>HYPERLINK("http://bombeiros.sp.gov.br/hidrantes/03individual/2244.html","2244")</f>
      </c>
      <c r="B1230" t="s">
        <v>623</v>
      </c>
      <c r="C1230" t="s">
        <v>773</v>
      </c>
      <c r="D1230" t="s">
        <v>11074</v>
      </c>
      <c r="E1230" t="s">
        <v>64</v>
      </c>
      <c r="F1230" t="s">
        <v>11078</v>
      </c>
      <c r="G1230" t="s">
        <v>18157</v>
      </c>
      <c r="H1230" t="s">
        <v>1112</v>
      </c>
      <c r="I1230" t="s">
        <v>1108</v>
      </c>
      <c r="J1230" t="s">
        <v>11079</v>
      </c>
      <c r="K1230" t="s">
        <v>11080</v>
      </c>
      <c r="L1230" t="s">
        <v>36</v>
      </c>
      <c r="M1230" t="s">
        <v>19177</v>
      </c>
      <c r="N1230" t="s">
        <v>714</v>
      </c>
      <c r="O1230" t="s">
        <v>10263</v>
      </c>
      <c r="P1230" t="s">
        <v>12</v>
      </c>
    </row>
    <row r="1231">
      <c r="A1231">
        <f>HYPERLINK("http://bombeiros.sp.gov.br/hidrantes/03individual/1943.html","1943")</f>
      </c>
      <c r="B1231" t="s">
        <v>623</v>
      </c>
      <c r="C1231" t="s">
        <v>773</v>
      </c>
      <c r="D1231" t="s">
        <v>11074</v>
      </c>
      <c r="E1231" t="s">
        <v>15</v>
      </c>
      <c r="F1231" t="s">
        <v>11081</v>
      </c>
      <c r="G1231" t="s">
        <v>18157</v>
      </c>
      <c r="H1231" t="s">
        <v>1112</v>
      </c>
      <c r="I1231" t="s">
        <v>1108</v>
      </c>
      <c r="J1231" t="s">
        <v>11082</v>
      </c>
      <c r="K1231" t="s">
        <v>11083</v>
      </c>
      <c r="L1231" t="s">
        <v>21</v>
      </c>
      <c r="M1231" t="s">
        <v>19177</v>
      </c>
      <c r="N1231" t="s">
        <v>714</v>
      </c>
      <c r="O1231" t="s">
        <v>10263</v>
      </c>
      <c r="P1231" t="s">
        <v>12</v>
      </c>
    </row>
    <row r="1232">
      <c r="A1232">
        <f>HYPERLINK("http://bombeiros.sp.gov.br/hidrantes/03individual/1945.html","1945")</f>
      </c>
      <c r="B1232" t="s">
        <v>623</v>
      </c>
      <c r="C1232" t="s">
        <v>773</v>
      </c>
      <c r="D1232" t="s">
        <v>11074</v>
      </c>
      <c r="E1232" t="s">
        <v>15</v>
      </c>
      <c r="F1232" t="s">
        <v>11084</v>
      </c>
      <c r="G1232" t="s">
        <v>18157</v>
      </c>
      <c r="H1232" t="s">
        <v>1112</v>
      </c>
      <c r="I1232" t="s">
        <v>1108</v>
      </c>
      <c r="J1232" t="s">
        <v>11085</v>
      </c>
      <c r="K1232" t="s">
        <v>11086</v>
      </c>
      <c r="L1232" t="s">
        <v>21</v>
      </c>
      <c r="M1232" t="s">
        <v>19177</v>
      </c>
      <c r="N1232" t="s">
        <v>714</v>
      </c>
      <c r="O1232" t="s">
        <v>10263</v>
      </c>
      <c r="P1232" t="s">
        <v>12</v>
      </c>
    </row>
    <row r="1233">
      <c r="A1233">
        <f>HYPERLINK("http://bombeiros.sp.gov.br/hidrantes/03individual/2290.html","2290")</f>
      </c>
      <c r="B1233" t="s">
        <v>623</v>
      </c>
      <c r="C1233" t="s">
        <v>773</v>
      </c>
      <c r="D1233" t="s">
        <v>11074</v>
      </c>
      <c r="E1233" t="s">
        <v>15</v>
      </c>
      <c r="F1233" t="s">
        <v>11093</v>
      </c>
      <c r="G1233" t="s">
        <v>17956</v>
      </c>
      <c r="H1233" t="s">
        <v>1107</v>
      </c>
      <c r="I1233" t="s">
        <v>1108</v>
      </c>
      <c r="J1233" t="s">
        <v>11094</v>
      </c>
      <c r="K1233" t="s">
        <v>11095</v>
      </c>
      <c r="L1233" t="s">
        <v>21</v>
      </c>
      <c r="M1233" t="s">
        <v>19177</v>
      </c>
      <c r="N1233" t="s">
        <v>714</v>
      </c>
      <c r="O1233" t="s">
        <v>10263</v>
      </c>
      <c r="P1233" t="s">
        <v>12</v>
      </c>
    </row>
    <row r="1234">
      <c r="A1234">
        <f>HYPERLINK("http://bombeiros.sp.gov.br/hidrantes/03individual/2923.html","2923")</f>
      </c>
      <c r="B1234" t="s">
        <v>623</v>
      </c>
      <c r="C1234" t="s">
        <v>773</v>
      </c>
      <c r="D1234" t="s">
        <v>11074</v>
      </c>
      <c r="E1234" t="s">
        <v>15</v>
      </c>
      <c r="F1234" t="s">
        <v>11096</v>
      </c>
      <c r="G1234" t="s">
        <v>17914</v>
      </c>
      <c r="H1234" t="s">
        <v>1112</v>
      </c>
      <c r="I1234" t="s">
        <v>1108</v>
      </c>
      <c r="J1234" t="s">
        <v>11097</v>
      </c>
      <c r="K1234" t="s">
        <v>11098</v>
      </c>
      <c r="L1234" t="s">
        <v>21</v>
      </c>
      <c r="M1234" t="s">
        <v>19177</v>
      </c>
      <c r="N1234" t="s">
        <v>714</v>
      </c>
      <c r="O1234" t="s">
        <v>10263</v>
      </c>
      <c r="P1234" t="s">
        <v>12</v>
      </c>
    </row>
    <row r="1235">
      <c r="A1235">
        <f>HYPERLINK("http://bombeiros.sp.gov.br/hidrantes/03individual/2929.html","2929")</f>
      </c>
      <c r="B1235" t="s">
        <v>623</v>
      </c>
      <c r="C1235" t="s">
        <v>773</v>
      </c>
      <c r="D1235" t="s">
        <v>11074</v>
      </c>
      <c r="E1235" t="s">
        <v>15</v>
      </c>
      <c r="F1235" t="s">
        <v>11099</v>
      </c>
      <c r="G1235" t="s">
        <v>17914</v>
      </c>
      <c r="H1235" t="s">
        <v>1112</v>
      </c>
      <c r="I1235" t="s">
        <v>1108</v>
      </c>
      <c r="J1235" t="s">
        <v>11100</v>
      </c>
      <c r="K1235" t="s">
        <v>11101</v>
      </c>
      <c r="L1235" t="s">
        <v>21</v>
      </c>
      <c r="M1235" t="s">
        <v>19177</v>
      </c>
      <c r="N1235" t="s">
        <v>714</v>
      </c>
      <c r="O1235" t="s">
        <v>10263</v>
      </c>
      <c r="P1235" t="s">
        <v>12</v>
      </c>
    </row>
    <row r="1236">
      <c r="A1236">
        <f>HYPERLINK("http://bombeiros.sp.gov.br/hidrantes/03individual/4285.html","4285")</f>
      </c>
      <c r="B1236" t="s">
        <v>623</v>
      </c>
      <c r="C1236" t="s">
        <v>773</v>
      </c>
      <c r="D1236" t="s">
        <v>11102</v>
      </c>
      <c r="E1236" t="s">
        <v>64</v>
      </c>
      <c r="F1236" t="s">
        <v>11103</v>
      </c>
      <c r="G1236" t="s">
        <v>17956</v>
      </c>
      <c r="H1236" t="s">
        <v>1112</v>
      </c>
      <c r="I1236" t="s">
        <v>1108</v>
      </c>
      <c r="J1236" t="s">
        <v>11104</v>
      </c>
      <c r="K1236" t="s">
        <v>11105</v>
      </c>
      <c r="L1236" t="s">
        <v>21</v>
      </c>
      <c r="M1236" t="s">
        <v>19177</v>
      </c>
      <c r="N1236" t="s">
        <v>714</v>
      </c>
      <c r="O1236" t="s">
        <v>10263</v>
      </c>
      <c r="P1236" t="s">
        <v>12</v>
      </c>
    </row>
    <row r="1237">
      <c r="A1237">
        <f>HYPERLINK("http://bombeiros.sp.gov.br/hidrantes/03individual/1734.html","1734")</f>
      </c>
      <c r="B1237" t="s">
        <v>623</v>
      </c>
      <c r="C1237" t="s">
        <v>773</v>
      </c>
      <c r="D1237" t="s">
        <v>11102</v>
      </c>
      <c r="E1237" t="s">
        <v>15</v>
      </c>
      <c r="F1237" t="s">
        <v>11106</v>
      </c>
      <c r="G1237" t="s">
        <v>17911</v>
      </c>
      <c r="H1237" t="s">
        <v>1112</v>
      </c>
      <c r="I1237" t="s">
        <v>1108</v>
      </c>
      <c r="J1237" t="s">
        <v>11107</v>
      </c>
      <c r="K1237" t="s">
        <v>11108</v>
      </c>
      <c r="L1237" t="s">
        <v>21</v>
      </c>
      <c r="M1237" t="s">
        <v>19177</v>
      </c>
      <c r="N1237" t="s">
        <v>714</v>
      </c>
      <c r="O1237" t="s">
        <v>10263</v>
      </c>
      <c r="P1237" t="s">
        <v>12</v>
      </c>
    </row>
    <row r="1238">
      <c r="A1238">
        <f>HYPERLINK("http://bombeiros.sp.gov.br/hidrantes/03individual/2252.html","2252")</f>
      </c>
      <c r="B1238" t="s">
        <v>623</v>
      </c>
      <c r="C1238" t="s">
        <v>773</v>
      </c>
      <c r="D1238" t="s">
        <v>11102</v>
      </c>
      <c r="E1238" t="s">
        <v>15</v>
      </c>
      <c r="F1238" t="s">
        <v>11109</v>
      </c>
      <c r="G1238" t="s">
        <v>18155</v>
      </c>
      <c r="H1238" t="s">
        <v>1112</v>
      </c>
      <c r="I1238" t="s">
        <v>1108</v>
      </c>
      <c r="J1238" t="s">
        <v>11110</v>
      </c>
      <c r="K1238" t="s">
        <v>11111</v>
      </c>
      <c r="L1238" t="s">
        <v>21</v>
      </c>
      <c r="M1238" t="s">
        <v>19177</v>
      </c>
      <c r="N1238" t="s">
        <v>714</v>
      </c>
      <c r="O1238" t="s">
        <v>10263</v>
      </c>
      <c r="P1238" t="s">
        <v>12</v>
      </c>
    </row>
    <row r="1239">
      <c r="A1239">
        <f>HYPERLINK("http://bombeiros.sp.gov.br/hidrantes/03individual/2711.html","2711")</f>
      </c>
      <c r="B1239" t="s">
        <v>623</v>
      </c>
      <c r="C1239" t="s">
        <v>773</v>
      </c>
      <c r="D1239" t="s">
        <v>11102</v>
      </c>
      <c r="E1239" t="s">
        <v>15</v>
      </c>
      <c r="F1239" t="s">
        <v>11112</v>
      </c>
      <c r="G1239" t="s">
        <v>17956</v>
      </c>
      <c r="H1239" t="s">
        <v>1112</v>
      </c>
      <c r="I1239" t="s">
        <v>1108</v>
      </c>
      <c r="J1239" t="s">
        <v>11113</v>
      </c>
      <c r="K1239" t="s">
        <v>11114</v>
      </c>
      <c r="L1239" t="s">
        <v>21</v>
      </c>
      <c r="M1239" t="s">
        <v>19177</v>
      </c>
      <c r="N1239" t="s">
        <v>714</v>
      </c>
      <c r="O1239" t="s">
        <v>10263</v>
      </c>
      <c r="P1239" t="s">
        <v>12</v>
      </c>
    </row>
    <row r="1240">
      <c r="A1240">
        <f>HYPERLINK("http://bombeiros.sp.gov.br/hidrantes/03individual/2932.html","2932")</f>
      </c>
      <c r="B1240" t="s">
        <v>623</v>
      </c>
      <c r="C1240" t="s">
        <v>773</v>
      </c>
      <c r="D1240" t="s">
        <v>11102</v>
      </c>
      <c r="E1240" t="s">
        <v>15</v>
      </c>
      <c r="F1240" t="s">
        <v>11115</v>
      </c>
      <c r="G1240" t="s">
        <v>17956</v>
      </c>
      <c r="H1240" t="s">
        <v>1112</v>
      </c>
      <c r="I1240" t="s">
        <v>1108</v>
      </c>
      <c r="J1240" t="s">
        <v>11116</v>
      </c>
      <c r="K1240" t="s">
        <v>11117</v>
      </c>
      <c r="L1240" t="s">
        <v>21</v>
      </c>
      <c r="M1240" t="s">
        <v>19177</v>
      </c>
      <c r="N1240" t="s">
        <v>714</v>
      </c>
      <c r="O1240" t="s">
        <v>10263</v>
      </c>
      <c r="P1240" t="s">
        <v>12</v>
      </c>
    </row>
    <row r="1241">
      <c r="A1241">
        <f>HYPERLINK("http://bombeiros.sp.gov.br/hidrantes/03individual/17704.html","17704")</f>
      </c>
      <c r="B1241" t="s">
        <v>623</v>
      </c>
      <c r="C1241" t="s">
        <v>773</v>
      </c>
      <c r="D1241" t="s">
        <v>11102</v>
      </c>
      <c r="E1241" t="s">
        <v>15</v>
      </c>
      <c r="F1241" t="s">
        <v>11118</v>
      </c>
      <c r="G1241" t="s">
        <v>17911</v>
      </c>
      <c r="H1241" t="s">
        <v>1112</v>
      </c>
      <c r="I1241" t="s">
        <v>1108</v>
      </c>
      <c r="J1241" t="s">
        <v>11119</v>
      </c>
      <c r="K1241" t="s">
        <v>11120</v>
      </c>
      <c r="L1241" t="s">
        <v>21</v>
      </c>
      <c r="M1241" t="s">
        <v>19177</v>
      </c>
      <c r="N1241" t="s">
        <v>714</v>
      </c>
      <c r="O1241" t="s">
        <v>10263</v>
      </c>
      <c r="P1241" t="s">
        <v>12</v>
      </c>
    </row>
    <row r="1242">
      <c r="A1242">
        <f>HYPERLINK("http://bombeiros.sp.gov.br/hidrantes/03individual/17778.html","17778")</f>
      </c>
      <c r="B1242" t="s">
        <v>623</v>
      </c>
      <c r="C1242" t="s">
        <v>773</v>
      </c>
      <c r="D1242" t="s">
        <v>11102</v>
      </c>
      <c r="E1242" t="s">
        <v>15</v>
      </c>
      <c r="F1242" t="s">
        <v>11121</v>
      </c>
      <c r="G1242" t="s">
        <v>17911</v>
      </c>
      <c r="H1242" t="s">
        <v>1112</v>
      </c>
      <c r="I1242" t="s">
        <v>1108</v>
      </c>
      <c r="J1242" t="s">
        <v>11122</v>
      </c>
      <c r="K1242" t="s">
        <v>11123</v>
      </c>
      <c r="L1242" t="s">
        <v>21</v>
      </c>
      <c r="M1242" t="s">
        <v>19177</v>
      </c>
      <c r="N1242" t="s">
        <v>714</v>
      </c>
      <c r="O1242" t="s">
        <v>10263</v>
      </c>
      <c r="P1242" t="s">
        <v>12</v>
      </c>
    </row>
    <row r="1243">
      <c r="A1243">
        <f>HYPERLINK("http://bombeiros.sp.gov.br/hidrantes/03individual/28047.html","28047")</f>
      </c>
      <c r="B1243" t="s">
        <v>623</v>
      </c>
      <c r="C1243" t="s">
        <v>773</v>
      </c>
      <c r="D1243" t="s">
        <v>11102</v>
      </c>
      <c r="E1243" t="s">
        <v>15</v>
      </c>
      <c r="F1243" t="s">
        <v>18365</v>
      </c>
      <c r="G1243" t="s">
        <v>18104</v>
      </c>
      <c r="H1243" t="s">
        <v>1112</v>
      </c>
      <c r="I1243" t="s">
        <v>1108</v>
      </c>
      <c r="J1243" t="s">
        <v>18366</v>
      </c>
      <c r="K1243" t="s">
        <v>18367</v>
      </c>
      <c r="L1243" t="s">
        <v>21</v>
      </c>
      <c r="M1243" t="s">
        <v>19177</v>
      </c>
      <c r="N1243" t="s">
        <v>714</v>
      </c>
      <c r="O1243" t="s">
        <v>10263</v>
      </c>
      <c r="P1243" t="s">
        <v>12</v>
      </c>
    </row>
    <row r="1244">
      <c r="A1244">
        <f>HYPERLINK("http://bombeiros.sp.gov.br/hidrantes/03individual/1539.html","1539")</f>
      </c>
      <c r="B1244" t="s">
        <v>623</v>
      </c>
      <c r="C1244" t="s">
        <v>773</v>
      </c>
      <c r="D1244" t="s">
        <v>11124</v>
      </c>
      <c r="E1244" t="s">
        <v>64</v>
      </c>
      <c r="F1244" t="s">
        <v>11125</v>
      </c>
      <c r="G1244" t="s">
        <v>18114</v>
      </c>
      <c r="H1244" t="s">
        <v>1112</v>
      </c>
      <c r="I1244" t="s">
        <v>1108</v>
      </c>
      <c r="J1244" t="s">
        <v>11126</v>
      </c>
      <c r="K1244" t="s">
        <v>11127</v>
      </c>
      <c r="L1244" t="s">
        <v>36</v>
      </c>
      <c r="M1244" t="s">
        <v>19177</v>
      </c>
      <c r="N1244" t="s">
        <v>714</v>
      </c>
      <c r="O1244" t="s">
        <v>10263</v>
      </c>
      <c r="P1244" t="s">
        <v>12</v>
      </c>
    </row>
    <row r="1245">
      <c r="A1245">
        <f>HYPERLINK("http://bombeiros.sp.gov.br/hidrantes/03individual/231.html","231")</f>
      </c>
      <c r="B1245" t="s">
        <v>623</v>
      </c>
      <c r="C1245" t="s">
        <v>773</v>
      </c>
      <c r="D1245" t="s">
        <v>11124</v>
      </c>
      <c r="E1245" t="s">
        <v>15</v>
      </c>
      <c r="F1245" t="s">
        <v>11131</v>
      </c>
      <c r="G1245" t="s">
        <v>18114</v>
      </c>
      <c r="H1245" t="s">
        <v>1107</v>
      </c>
      <c r="I1245" t="s">
        <v>1108</v>
      </c>
      <c r="J1245" t="s">
        <v>11132</v>
      </c>
      <c r="K1245" t="s">
        <v>11133</v>
      </c>
      <c r="L1245" t="s">
        <v>21</v>
      </c>
      <c r="M1245" t="s">
        <v>19177</v>
      </c>
      <c r="N1245" t="s">
        <v>714</v>
      </c>
      <c r="O1245" t="s">
        <v>10263</v>
      </c>
      <c r="P1245" t="s">
        <v>12</v>
      </c>
    </row>
    <row r="1246">
      <c r="A1246">
        <f>HYPERLINK("http://bombeiros.sp.gov.br/hidrantes/03individual/1651.html","1651")</f>
      </c>
      <c r="B1246" t="s">
        <v>623</v>
      </c>
      <c r="C1246" t="s">
        <v>777</v>
      </c>
      <c r="D1246" t="s">
        <v>778</v>
      </c>
      <c r="E1246" t="s">
        <v>64</v>
      </c>
      <c r="F1246" t="s">
        <v>11146</v>
      </c>
      <c r="G1246" t="s">
        <v>18044</v>
      </c>
      <c r="H1246" t="s">
        <v>1112</v>
      </c>
      <c r="I1246" t="s">
        <v>1108</v>
      </c>
      <c r="J1246" t="s">
        <v>11147</v>
      </c>
      <c r="K1246" t="s">
        <v>11148</v>
      </c>
      <c r="L1246" t="s">
        <v>21</v>
      </c>
      <c r="M1246" t="s">
        <v>19177</v>
      </c>
      <c r="N1246" t="s">
        <v>714</v>
      </c>
      <c r="O1246" t="s">
        <v>10263</v>
      </c>
      <c r="P1246" t="s">
        <v>12</v>
      </c>
    </row>
    <row r="1247">
      <c r="A1247">
        <f>HYPERLINK("http://bombeiros.sp.gov.br/hidrantes/03individual/1667.html","1667")</f>
      </c>
      <c r="B1247" t="s">
        <v>623</v>
      </c>
      <c r="C1247" t="s">
        <v>777</v>
      </c>
      <c r="D1247" t="s">
        <v>778</v>
      </c>
      <c r="E1247" t="s">
        <v>64</v>
      </c>
      <c r="F1247" t="s">
        <v>11149</v>
      </c>
      <c r="G1247" t="s">
        <v>18091</v>
      </c>
      <c r="H1247" t="s">
        <v>1112</v>
      </c>
      <c r="I1247" t="s">
        <v>1108</v>
      </c>
      <c r="J1247" t="s">
        <v>11150</v>
      </c>
      <c r="K1247" t="s">
        <v>11151</v>
      </c>
      <c r="L1247" t="s">
        <v>36</v>
      </c>
      <c r="M1247" t="s">
        <v>19177</v>
      </c>
      <c r="N1247" t="s">
        <v>714</v>
      </c>
      <c r="O1247" t="s">
        <v>10263</v>
      </c>
      <c r="P1247" t="s">
        <v>12</v>
      </c>
    </row>
    <row r="1248">
      <c r="A1248">
        <f>HYPERLINK("http://bombeiros.sp.gov.br/hidrantes/03individual/1669.html","1669")</f>
      </c>
      <c r="B1248" t="s">
        <v>623</v>
      </c>
      <c r="C1248" t="s">
        <v>777</v>
      </c>
      <c r="D1248" t="s">
        <v>778</v>
      </c>
      <c r="E1248" t="s">
        <v>64</v>
      </c>
      <c r="F1248" t="s">
        <v>11152</v>
      </c>
      <c r="G1248" t="s">
        <v>18044</v>
      </c>
      <c r="H1248" t="s">
        <v>1112</v>
      </c>
      <c r="I1248" t="s">
        <v>1108</v>
      </c>
      <c r="J1248" t="s">
        <v>11153</v>
      </c>
      <c r="K1248" t="s">
        <v>11154</v>
      </c>
      <c r="L1248" t="s">
        <v>21</v>
      </c>
      <c r="M1248" t="s">
        <v>19177</v>
      </c>
      <c r="N1248" t="s">
        <v>714</v>
      </c>
      <c r="O1248" t="s">
        <v>10263</v>
      </c>
      <c r="P1248" t="s">
        <v>12</v>
      </c>
    </row>
    <row r="1249">
      <c r="A1249">
        <f>HYPERLINK("http://bombeiros.sp.gov.br/hidrantes/03individual/1786.html","1786")</f>
      </c>
      <c r="B1249" t="s">
        <v>623</v>
      </c>
      <c r="C1249" t="s">
        <v>777</v>
      </c>
      <c r="D1249" t="s">
        <v>778</v>
      </c>
      <c r="E1249" t="s">
        <v>64</v>
      </c>
      <c r="F1249" t="s">
        <v>11158</v>
      </c>
      <c r="G1249" t="s">
        <v>17948</v>
      </c>
      <c r="H1249" t="s">
        <v>1112</v>
      </c>
      <c r="I1249" t="s">
        <v>1108</v>
      </c>
      <c r="J1249" t="s">
        <v>11159</v>
      </c>
      <c r="K1249" t="s">
        <v>11160</v>
      </c>
      <c r="L1249" t="s">
        <v>21</v>
      </c>
      <c r="M1249" t="s">
        <v>19177</v>
      </c>
      <c r="N1249" t="s">
        <v>714</v>
      </c>
      <c r="O1249" t="s">
        <v>10263</v>
      </c>
      <c r="P1249" t="s">
        <v>12</v>
      </c>
    </row>
    <row r="1250">
      <c r="A1250">
        <f>HYPERLINK("http://bombeiros.sp.gov.br/hidrantes/03individual/2331.html","2331")</f>
      </c>
      <c r="B1250" t="s">
        <v>623</v>
      </c>
      <c r="C1250" t="s">
        <v>777</v>
      </c>
      <c r="D1250" t="s">
        <v>778</v>
      </c>
      <c r="E1250" t="s">
        <v>15</v>
      </c>
      <c r="F1250" t="s">
        <v>11179</v>
      </c>
      <c r="G1250" t="s">
        <v>18096</v>
      </c>
      <c r="H1250" t="s">
        <v>1107</v>
      </c>
      <c r="I1250" t="s">
        <v>1108</v>
      </c>
      <c r="J1250" t="s">
        <v>11180</v>
      </c>
      <c r="K1250" t="s">
        <v>11181</v>
      </c>
      <c r="L1250" t="s">
        <v>21</v>
      </c>
      <c r="M1250" t="s">
        <v>19177</v>
      </c>
      <c r="N1250" t="s">
        <v>714</v>
      </c>
      <c r="O1250" t="s">
        <v>10263</v>
      </c>
      <c r="P1250" t="s">
        <v>12</v>
      </c>
    </row>
    <row r="1251">
      <c r="A1251">
        <f>HYPERLINK("http://bombeiros.sp.gov.br/hidrantes/03individual/4259.html","4259")</f>
      </c>
      <c r="B1251" t="s">
        <v>623</v>
      </c>
      <c r="C1251" t="s">
        <v>777</v>
      </c>
      <c r="D1251" t="s">
        <v>778</v>
      </c>
      <c r="E1251" t="s">
        <v>15</v>
      </c>
      <c r="F1251" t="s">
        <v>11185</v>
      </c>
      <c r="G1251" t="s">
        <v>18192</v>
      </c>
      <c r="H1251" t="s">
        <v>1112</v>
      </c>
      <c r="I1251" t="s">
        <v>1108</v>
      </c>
      <c r="J1251" t="s">
        <v>11186</v>
      </c>
      <c r="K1251" t="s">
        <v>11187</v>
      </c>
      <c r="L1251" t="s">
        <v>21</v>
      </c>
      <c r="M1251" t="s">
        <v>19177</v>
      </c>
      <c r="N1251" t="s">
        <v>714</v>
      </c>
      <c r="O1251" t="s">
        <v>10263</v>
      </c>
      <c r="P1251" t="s">
        <v>12</v>
      </c>
    </row>
    <row r="1252">
      <c r="A1252">
        <f>HYPERLINK("http://bombeiros.sp.gov.br/hidrantes/03individual/5376.html","5376")</f>
      </c>
      <c r="B1252" t="s">
        <v>623</v>
      </c>
      <c r="C1252" t="s">
        <v>777</v>
      </c>
      <c r="D1252" t="s">
        <v>778</v>
      </c>
      <c r="E1252" t="s">
        <v>15</v>
      </c>
      <c r="F1252" t="s">
        <v>11188</v>
      </c>
      <c r="G1252" t="s">
        <v>18192</v>
      </c>
      <c r="H1252" t="s">
        <v>1112</v>
      </c>
      <c r="I1252" t="s">
        <v>1108</v>
      </c>
      <c r="J1252" t="s">
        <v>11189</v>
      </c>
      <c r="K1252" t="s">
        <v>11190</v>
      </c>
      <c r="L1252" t="s">
        <v>21</v>
      </c>
      <c r="M1252" t="s">
        <v>19177</v>
      </c>
      <c r="N1252" t="s">
        <v>714</v>
      </c>
      <c r="O1252" t="s">
        <v>10263</v>
      </c>
      <c r="P1252" t="s">
        <v>12</v>
      </c>
    </row>
    <row r="1253">
      <c r="A1253">
        <f>HYPERLINK("http://bombeiros.sp.gov.br/hidrantes/03individual/16593.html","16593")</f>
      </c>
      <c r="B1253" t="s">
        <v>623</v>
      </c>
      <c r="C1253" t="s">
        <v>777</v>
      </c>
      <c r="D1253" t="s">
        <v>778</v>
      </c>
      <c r="E1253" t="s">
        <v>15</v>
      </c>
      <c r="F1253" t="s">
        <v>11200</v>
      </c>
      <c r="G1253" t="s">
        <v>18096</v>
      </c>
      <c r="H1253" t="s">
        <v>1107</v>
      </c>
      <c r="I1253" t="s">
        <v>1108</v>
      </c>
      <c r="J1253" t="s">
        <v>11201</v>
      </c>
      <c r="K1253" t="s">
        <v>11202</v>
      </c>
      <c r="L1253" t="s">
        <v>21</v>
      </c>
      <c r="M1253" t="s">
        <v>19177</v>
      </c>
      <c r="N1253" t="s">
        <v>714</v>
      </c>
      <c r="O1253" t="s">
        <v>10263</v>
      </c>
      <c r="P1253" t="s">
        <v>12</v>
      </c>
    </row>
    <row r="1254">
      <c r="A1254">
        <f>HYPERLINK("http://bombeiros.sp.gov.br/hidrantes/03individual/1907.html","1907")</f>
      </c>
      <c r="B1254" t="s">
        <v>623</v>
      </c>
      <c r="C1254" t="s">
        <v>777</v>
      </c>
      <c r="D1254" t="s">
        <v>783</v>
      </c>
      <c r="E1254" t="s">
        <v>64</v>
      </c>
      <c r="F1254" t="s">
        <v>11206</v>
      </c>
      <c r="G1254" t="s">
        <v>18147</v>
      </c>
      <c r="H1254" t="s">
        <v>1112</v>
      </c>
      <c r="I1254" t="s">
        <v>1108</v>
      </c>
      <c r="J1254" t="s">
        <v>11207</v>
      </c>
      <c r="K1254" t="s">
        <v>11208</v>
      </c>
      <c r="L1254" t="s">
        <v>36</v>
      </c>
      <c r="M1254" t="s">
        <v>19177</v>
      </c>
      <c r="N1254" t="s">
        <v>714</v>
      </c>
      <c r="O1254" t="s">
        <v>10263</v>
      </c>
      <c r="P1254" t="s">
        <v>12</v>
      </c>
    </row>
    <row r="1255">
      <c r="A1255">
        <f>HYPERLINK("http://bombeiros.sp.gov.br/hidrantes/03individual/2147.html","2147")</f>
      </c>
      <c r="B1255" t="s">
        <v>623</v>
      </c>
      <c r="C1255" t="s">
        <v>777</v>
      </c>
      <c r="D1255" t="s">
        <v>783</v>
      </c>
      <c r="E1255" t="s">
        <v>64</v>
      </c>
      <c r="F1255" t="s">
        <v>11212</v>
      </c>
      <c r="G1255" t="s">
        <v>18085</v>
      </c>
      <c r="H1255" t="s">
        <v>1112</v>
      </c>
      <c r="I1255" t="s">
        <v>1108</v>
      </c>
      <c r="J1255" t="s">
        <v>11213</v>
      </c>
      <c r="K1255" t="s">
        <v>11214</v>
      </c>
      <c r="L1255" t="s">
        <v>36</v>
      </c>
      <c r="M1255" t="s">
        <v>19177</v>
      </c>
      <c r="N1255" t="s">
        <v>714</v>
      </c>
      <c r="O1255" t="s">
        <v>10263</v>
      </c>
      <c r="P1255" t="s">
        <v>12</v>
      </c>
    </row>
    <row r="1256">
      <c r="A1256">
        <f>HYPERLINK("http://bombeiros.sp.gov.br/hidrantes/03individual/2243.html","2243")</f>
      </c>
      <c r="B1256" t="s">
        <v>623</v>
      </c>
      <c r="C1256" t="s">
        <v>777</v>
      </c>
      <c r="D1256" t="s">
        <v>783</v>
      </c>
      <c r="E1256" t="s">
        <v>64</v>
      </c>
      <c r="F1256" t="s">
        <v>11215</v>
      </c>
      <c r="G1256" t="s">
        <v>18057</v>
      </c>
      <c r="H1256" t="s">
        <v>1112</v>
      </c>
      <c r="I1256" t="s">
        <v>1108</v>
      </c>
      <c r="J1256" t="s">
        <v>11216</v>
      </c>
      <c r="K1256" t="s">
        <v>11217</v>
      </c>
      <c r="L1256" t="s">
        <v>36</v>
      </c>
      <c r="M1256" t="s">
        <v>19177</v>
      </c>
      <c r="N1256" t="s">
        <v>714</v>
      </c>
      <c r="O1256" t="s">
        <v>10263</v>
      </c>
      <c r="P1256" t="s">
        <v>12</v>
      </c>
    </row>
    <row r="1257">
      <c r="A1257">
        <f>HYPERLINK("http://bombeiros.sp.gov.br/hidrantes/03individual/2391.html","2391")</f>
      </c>
      <c r="B1257" t="s">
        <v>623</v>
      </c>
      <c r="C1257" t="s">
        <v>777</v>
      </c>
      <c r="D1257" t="s">
        <v>783</v>
      </c>
      <c r="E1257" t="s">
        <v>64</v>
      </c>
      <c r="F1257" t="s">
        <v>11218</v>
      </c>
      <c r="G1257" t="s">
        <v>18085</v>
      </c>
      <c r="H1257" t="s">
        <v>1112</v>
      </c>
      <c r="I1257" t="s">
        <v>1108</v>
      </c>
      <c r="J1257" t="s">
        <v>11219</v>
      </c>
      <c r="K1257" t="s">
        <v>11220</v>
      </c>
      <c r="L1257" t="s">
        <v>36</v>
      </c>
      <c r="M1257" t="s">
        <v>19177</v>
      </c>
      <c r="N1257" t="s">
        <v>714</v>
      </c>
      <c r="O1257" t="s">
        <v>10263</v>
      </c>
      <c r="P1257" t="s">
        <v>12</v>
      </c>
    </row>
    <row r="1258">
      <c r="A1258">
        <f>HYPERLINK("http://bombeiros.sp.gov.br/hidrantes/03individual/2403.html","2403")</f>
      </c>
      <c r="B1258" t="s">
        <v>623</v>
      </c>
      <c r="C1258" t="s">
        <v>777</v>
      </c>
      <c r="D1258" t="s">
        <v>783</v>
      </c>
      <c r="E1258" t="s">
        <v>64</v>
      </c>
      <c r="F1258" t="s">
        <v>11221</v>
      </c>
      <c r="G1258" t="s">
        <v>18095</v>
      </c>
      <c r="H1258" t="s">
        <v>1112</v>
      </c>
      <c r="I1258" t="s">
        <v>1108</v>
      </c>
      <c r="J1258" t="s">
        <v>11222</v>
      </c>
      <c r="K1258" t="s">
        <v>11223</v>
      </c>
      <c r="L1258" t="s">
        <v>36</v>
      </c>
      <c r="M1258" t="s">
        <v>19177</v>
      </c>
      <c r="N1258" t="s">
        <v>714</v>
      </c>
      <c r="O1258" t="s">
        <v>10263</v>
      </c>
      <c r="P1258" t="s">
        <v>12</v>
      </c>
    </row>
    <row r="1259">
      <c r="A1259">
        <f>HYPERLINK("http://bombeiros.sp.gov.br/hidrantes/03individual/2407.html","2407")</f>
      </c>
      <c r="B1259" t="s">
        <v>623</v>
      </c>
      <c r="C1259" t="s">
        <v>777</v>
      </c>
      <c r="D1259" t="s">
        <v>783</v>
      </c>
      <c r="E1259" t="s">
        <v>64</v>
      </c>
      <c r="F1259" t="s">
        <v>11224</v>
      </c>
      <c r="G1259" t="s">
        <v>18095</v>
      </c>
      <c r="H1259" t="s">
        <v>1112</v>
      </c>
      <c r="I1259" t="s">
        <v>1108</v>
      </c>
      <c r="J1259" t="s">
        <v>11225</v>
      </c>
      <c r="K1259" t="s">
        <v>11226</v>
      </c>
      <c r="L1259" t="s">
        <v>36</v>
      </c>
      <c r="M1259" t="s">
        <v>19177</v>
      </c>
      <c r="N1259" t="s">
        <v>714</v>
      </c>
      <c r="O1259" t="s">
        <v>10263</v>
      </c>
      <c r="P1259" t="s">
        <v>12</v>
      </c>
    </row>
    <row r="1260">
      <c r="A1260">
        <f>HYPERLINK("http://bombeiros.sp.gov.br/hidrantes/03individual/2448.html","2448")</f>
      </c>
      <c r="B1260" t="s">
        <v>623</v>
      </c>
      <c r="C1260" t="s">
        <v>777</v>
      </c>
      <c r="D1260" t="s">
        <v>783</v>
      </c>
      <c r="E1260" t="s">
        <v>64</v>
      </c>
      <c r="F1260" t="s">
        <v>11227</v>
      </c>
      <c r="G1260" t="s">
        <v>18085</v>
      </c>
      <c r="H1260" t="s">
        <v>1112</v>
      </c>
      <c r="I1260" t="s">
        <v>1108</v>
      </c>
      <c r="J1260" t="s">
        <v>11228</v>
      </c>
      <c r="K1260" t="s">
        <v>11229</v>
      </c>
      <c r="L1260" t="s">
        <v>21</v>
      </c>
      <c r="M1260" t="s">
        <v>19177</v>
      </c>
      <c r="N1260" t="s">
        <v>714</v>
      </c>
      <c r="O1260" t="s">
        <v>10263</v>
      </c>
      <c r="P1260" t="s">
        <v>12</v>
      </c>
    </row>
    <row r="1261">
      <c r="A1261">
        <f>HYPERLINK("http://bombeiros.sp.gov.br/hidrantes/03individual/2654.html","2654")</f>
      </c>
      <c r="B1261" t="s">
        <v>623</v>
      </c>
      <c r="C1261" t="s">
        <v>777</v>
      </c>
      <c r="D1261" t="s">
        <v>783</v>
      </c>
      <c r="E1261" t="s">
        <v>64</v>
      </c>
      <c r="F1261" t="s">
        <v>11230</v>
      </c>
      <c r="G1261" t="s">
        <v>18129</v>
      </c>
      <c r="H1261" t="s">
        <v>1121</v>
      </c>
      <c r="I1261" t="s">
        <v>1117</v>
      </c>
      <c r="J1261" t="s">
        <v>11231</v>
      </c>
      <c r="K1261" t="s">
        <v>11232</v>
      </c>
      <c r="L1261" t="s">
        <v>36</v>
      </c>
      <c r="M1261" t="s">
        <v>19177</v>
      </c>
      <c r="N1261" t="s">
        <v>714</v>
      </c>
      <c r="O1261" t="s">
        <v>10263</v>
      </c>
      <c r="P1261" t="s">
        <v>12</v>
      </c>
    </row>
    <row r="1262">
      <c r="A1262">
        <f>HYPERLINK("http://bombeiros.sp.gov.br/hidrantes/03individual/27067.html","27067")</f>
      </c>
      <c r="B1262" t="s">
        <v>623</v>
      </c>
      <c r="C1262" t="s">
        <v>777</v>
      </c>
      <c r="D1262" t="s">
        <v>783</v>
      </c>
      <c r="E1262" t="s">
        <v>64</v>
      </c>
      <c r="F1262" t="s">
        <v>16755</v>
      </c>
      <c r="G1262" t="s">
        <v>18085</v>
      </c>
      <c r="H1262" t="s">
        <v>1112</v>
      </c>
      <c r="I1262" t="s">
        <v>1108</v>
      </c>
      <c r="J1262" t="s">
        <v>16756</v>
      </c>
      <c r="K1262" t="s">
        <v>16757</v>
      </c>
      <c r="L1262" t="s">
        <v>21</v>
      </c>
      <c r="M1262" t="s">
        <v>19177</v>
      </c>
      <c r="N1262" t="s">
        <v>714</v>
      </c>
      <c r="O1262" t="s">
        <v>10263</v>
      </c>
      <c r="P1262" t="s">
        <v>12</v>
      </c>
    </row>
    <row r="1263">
      <c r="A1263">
        <f>HYPERLINK("http://bombeiros.sp.gov.br/hidrantes/03individual/1911.html","1911")</f>
      </c>
      <c r="B1263" t="s">
        <v>623</v>
      </c>
      <c r="C1263" t="s">
        <v>777</v>
      </c>
      <c r="D1263" t="s">
        <v>783</v>
      </c>
      <c r="E1263" t="s">
        <v>15</v>
      </c>
      <c r="F1263" t="s">
        <v>11239</v>
      </c>
      <c r="G1263" t="s">
        <v>18147</v>
      </c>
      <c r="H1263" t="s">
        <v>1112</v>
      </c>
      <c r="I1263" t="s">
        <v>1108</v>
      </c>
      <c r="J1263" t="s">
        <v>16658</v>
      </c>
      <c r="K1263" t="s">
        <v>16659</v>
      </c>
      <c r="L1263" t="s">
        <v>21</v>
      </c>
      <c r="M1263" t="s">
        <v>19177</v>
      </c>
      <c r="N1263" t="s">
        <v>714</v>
      </c>
      <c r="O1263" t="s">
        <v>10263</v>
      </c>
      <c r="P1263" t="s">
        <v>12</v>
      </c>
    </row>
    <row r="1264">
      <c r="A1264">
        <f>HYPERLINK("http://bombeiros.sp.gov.br/hidrantes/03individual/2268.html","2268")</f>
      </c>
      <c r="B1264" t="s">
        <v>623</v>
      </c>
      <c r="C1264" t="s">
        <v>777</v>
      </c>
      <c r="D1264" t="s">
        <v>783</v>
      </c>
      <c r="E1264" t="s">
        <v>15</v>
      </c>
      <c r="F1264" t="s">
        <v>11248</v>
      </c>
      <c r="G1264" t="s">
        <v>18096</v>
      </c>
      <c r="H1264" t="s">
        <v>1107</v>
      </c>
      <c r="I1264" t="s">
        <v>1108</v>
      </c>
      <c r="J1264" t="s">
        <v>11249</v>
      </c>
      <c r="K1264" t="s">
        <v>11250</v>
      </c>
      <c r="L1264" t="s">
        <v>21</v>
      </c>
      <c r="M1264" t="s">
        <v>19177</v>
      </c>
      <c r="N1264" t="s">
        <v>714</v>
      </c>
      <c r="O1264" t="s">
        <v>10263</v>
      </c>
      <c r="P1264" t="s">
        <v>12</v>
      </c>
    </row>
    <row r="1265">
      <c r="A1265">
        <f>HYPERLINK("http://bombeiros.sp.gov.br/hidrantes/03individual/2285.html","2285")</f>
      </c>
      <c r="B1265" t="s">
        <v>623</v>
      </c>
      <c r="C1265" t="s">
        <v>777</v>
      </c>
      <c r="D1265" t="s">
        <v>783</v>
      </c>
      <c r="E1265" t="s">
        <v>15</v>
      </c>
      <c r="F1265" t="s">
        <v>11251</v>
      </c>
      <c r="G1265" t="s">
        <v>18084</v>
      </c>
      <c r="H1265" t="s">
        <v>1174</v>
      </c>
      <c r="I1265" t="s">
        <v>1117</v>
      </c>
      <c r="J1265" t="s">
        <v>11252</v>
      </c>
      <c r="K1265" t="s">
        <v>11253</v>
      </c>
      <c r="L1265" t="s">
        <v>21</v>
      </c>
      <c r="M1265" t="s">
        <v>19177</v>
      </c>
      <c r="N1265" t="s">
        <v>714</v>
      </c>
      <c r="O1265" t="s">
        <v>10263</v>
      </c>
      <c r="P1265" t="s">
        <v>12</v>
      </c>
    </row>
    <row r="1266">
      <c r="A1266">
        <f>HYPERLINK("http://bombeiros.sp.gov.br/hidrantes/03individual/2443.html","2443")</f>
      </c>
      <c r="B1266" t="s">
        <v>623</v>
      </c>
      <c r="C1266" t="s">
        <v>777</v>
      </c>
      <c r="D1266" t="s">
        <v>783</v>
      </c>
      <c r="E1266" t="s">
        <v>15</v>
      </c>
      <c r="F1266" t="s">
        <v>11257</v>
      </c>
      <c r="G1266" t="s">
        <v>18095</v>
      </c>
      <c r="H1266" t="s">
        <v>1112</v>
      </c>
      <c r="I1266" t="s">
        <v>1108</v>
      </c>
      <c r="J1266" t="s">
        <v>11258</v>
      </c>
      <c r="K1266" t="s">
        <v>11259</v>
      </c>
      <c r="L1266" t="s">
        <v>36</v>
      </c>
      <c r="M1266" t="s">
        <v>19177</v>
      </c>
      <c r="N1266" t="s">
        <v>714</v>
      </c>
      <c r="O1266" t="s">
        <v>10263</v>
      </c>
      <c r="P1266" t="s">
        <v>12</v>
      </c>
    </row>
    <row r="1267">
      <c r="A1267">
        <f>HYPERLINK("http://bombeiros.sp.gov.br/hidrantes/03individual/2444.html","2444")</f>
      </c>
      <c r="B1267" t="s">
        <v>623</v>
      </c>
      <c r="C1267" t="s">
        <v>777</v>
      </c>
      <c r="D1267" t="s">
        <v>783</v>
      </c>
      <c r="E1267" t="s">
        <v>15</v>
      </c>
      <c r="F1267" t="s">
        <v>11260</v>
      </c>
      <c r="G1267" t="s">
        <v>18085</v>
      </c>
      <c r="H1267" t="s">
        <v>1112</v>
      </c>
      <c r="I1267" t="s">
        <v>1108</v>
      </c>
      <c r="J1267" t="s">
        <v>11261</v>
      </c>
      <c r="K1267" t="s">
        <v>11262</v>
      </c>
      <c r="L1267" t="s">
        <v>21</v>
      </c>
      <c r="M1267" t="s">
        <v>19177</v>
      </c>
      <c r="N1267" t="s">
        <v>714</v>
      </c>
      <c r="O1267" t="s">
        <v>10263</v>
      </c>
      <c r="P1267" t="s">
        <v>12</v>
      </c>
    </row>
    <row r="1268">
      <c r="A1268">
        <f>HYPERLINK("http://bombeiros.sp.gov.br/hidrantes/03individual/4264.html","4264")</f>
      </c>
      <c r="B1268" t="s">
        <v>623</v>
      </c>
      <c r="C1268" t="s">
        <v>777</v>
      </c>
      <c r="D1268" t="s">
        <v>783</v>
      </c>
      <c r="E1268" t="s">
        <v>15</v>
      </c>
      <c r="F1268" t="s">
        <v>11263</v>
      </c>
      <c r="G1268" t="s">
        <v>18085</v>
      </c>
      <c r="H1268" t="s">
        <v>1112</v>
      </c>
      <c r="I1268" t="s">
        <v>1108</v>
      </c>
      <c r="J1268" t="s">
        <v>11264</v>
      </c>
      <c r="K1268" t="s">
        <v>11265</v>
      </c>
      <c r="L1268" t="s">
        <v>36</v>
      </c>
      <c r="M1268" t="s">
        <v>19177</v>
      </c>
      <c r="N1268" t="s">
        <v>714</v>
      </c>
      <c r="O1268" t="s">
        <v>10263</v>
      </c>
      <c r="P1268" t="s">
        <v>12</v>
      </c>
    </row>
    <row r="1269">
      <c r="A1269">
        <f>HYPERLINK("http://bombeiros.sp.gov.br/hidrantes/03individual/1800.html","1800")</f>
      </c>
      <c r="B1269" t="s">
        <v>623</v>
      </c>
      <c r="C1269" t="s">
        <v>777</v>
      </c>
      <c r="D1269" t="s">
        <v>777</v>
      </c>
      <c r="E1269" t="s">
        <v>64</v>
      </c>
      <c r="F1269" t="s">
        <v>11272</v>
      </c>
      <c r="G1269" t="s">
        <v>18129</v>
      </c>
      <c r="H1269" t="s">
        <v>1112</v>
      </c>
      <c r="I1269" t="s">
        <v>1108</v>
      </c>
      <c r="J1269" t="s">
        <v>11273</v>
      </c>
      <c r="K1269" t="s">
        <v>11274</v>
      </c>
      <c r="L1269" t="s">
        <v>21</v>
      </c>
      <c r="M1269" t="s">
        <v>19177</v>
      </c>
      <c r="N1269" t="s">
        <v>714</v>
      </c>
      <c r="O1269" t="s">
        <v>10263</v>
      </c>
      <c r="P1269" t="s">
        <v>12</v>
      </c>
    </row>
    <row r="1270">
      <c r="A1270">
        <f>HYPERLINK("http://bombeiros.sp.gov.br/hidrantes/03individual/1804.html","1804")</f>
      </c>
      <c r="B1270" t="s">
        <v>623</v>
      </c>
      <c r="C1270" t="s">
        <v>777</v>
      </c>
      <c r="D1270" t="s">
        <v>777</v>
      </c>
      <c r="E1270" t="s">
        <v>64</v>
      </c>
      <c r="F1270" t="s">
        <v>11275</v>
      </c>
      <c r="G1270" t="s">
        <v>18095</v>
      </c>
      <c r="H1270" t="s">
        <v>1112</v>
      </c>
      <c r="I1270" t="s">
        <v>1108</v>
      </c>
      <c r="J1270" t="s">
        <v>11276</v>
      </c>
      <c r="K1270" t="s">
        <v>11277</v>
      </c>
      <c r="L1270" t="s">
        <v>21</v>
      </c>
      <c r="M1270" t="s">
        <v>19177</v>
      </c>
      <c r="N1270" t="s">
        <v>714</v>
      </c>
      <c r="O1270" t="s">
        <v>10263</v>
      </c>
      <c r="P1270" t="s">
        <v>12</v>
      </c>
    </row>
    <row r="1271">
      <c r="A1271">
        <f>HYPERLINK("http://bombeiros.sp.gov.br/hidrantes/03individual/2153.html","2153")</f>
      </c>
      <c r="B1271" t="s">
        <v>623</v>
      </c>
      <c r="C1271" t="s">
        <v>777</v>
      </c>
      <c r="D1271" t="s">
        <v>777</v>
      </c>
      <c r="E1271" t="s">
        <v>64</v>
      </c>
      <c r="F1271" t="s">
        <v>11278</v>
      </c>
      <c r="G1271" t="s">
        <v>18145</v>
      </c>
      <c r="H1271" t="s">
        <v>1107</v>
      </c>
      <c r="I1271" t="s">
        <v>1108</v>
      </c>
      <c r="J1271" t="s">
        <v>11279</v>
      </c>
      <c r="K1271" t="s">
        <v>11280</v>
      </c>
      <c r="L1271" t="s">
        <v>36</v>
      </c>
      <c r="M1271" t="s">
        <v>19177</v>
      </c>
      <c r="N1271" t="s">
        <v>714</v>
      </c>
      <c r="O1271" t="s">
        <v>10263</v>
      </c>
      <c r="P1271" t="s">
        <v>12</v>
      </c>
    </row>
    <row r="1272">
      <c r="A1272">
        <f>HYPERLINK("http://bombeiros.sp.gov.br/hidrantes/03individual/2377.html","2377")</f>
      </c>
      <c r="B1272" t="s">
        <v>623</v>
      </c>
      <c r="C1272" t="s">
        <v>777</v>
      </c>
      <c r="D1272" t="s">
        <v>777</v>
      </c>
      <c r="E1272" t="s">
        <v>64</v>
      </c>
      <c r="F1272" t="s">
        <v>11281</v>
      </c>
      <c r="G1272" t="s">
        <v>18107</v>
      </c>
      <c r="H1272" t="s">
        <v>1112</v>
      </c>
      <c r="I1272" t="s">
        <v>1108</v>
      </c>
      <c r="J1272" t="s">
        <v>11282</v>
      </c>
      <c r="K1272" t="s">
        <v>11283</v>
      </c>
      <c r="L1272" t="s">
        <v>36</v>
      </c>
      <c r="M1272" t="s">
        <v>19177</v>
      </c>
      <c r="N1272" t="s">
        <v>714</v>
      </c>
      <c r="O1272" t="s">
        <v>10263</v>
      </c>
      <c r="P1272" t="s">
        <v>12</v>
      </c>
    </row>
    <row r="1273">
      <c r="A1273">
        <f>HYPERLINK("http://bombeiros.sp.gov.br/hidrantes/03individual/2381.html","2381")</f>
      </c>
      <c r="B1273" t="s">
        <v>623</v>
      </c>
      <c r="C1273" t="s">
        <v>777</v>
      </c>
      <c r="D1273" t="s">
        <v>777</v>
      </c>
      <c r="E1273" t="s">
        <v>64</v>
      </c>
      <c r="F1273" t="s">
        <v>11284</v>
      </c>
      <c r="G1273" t="s">
        <v>18094</v>
      </c>
      <c r="H1273" t="s">
        <v>1112</v>
      </c>
      <c r="I1273" t="s">
        <v>1108</v>
      </c>
      <c r="J1273" t="s">
        <v>11285</v>
      </c>
      <c r="K1273" t="s">
        <v>11286</v>
      </c>
      <c r="L1273" t="s">
        <v>21</v>
      </c>
      <c r="M1273" t="s">
        <v>19177</v>
      </c>
      <c r="N1273" t="s">
        <v>714</v>
      </c>
      <c r="O1273" t="s">
        <v>10263</v>
      </c>
      <c r="P1273" t="s">
        <v>12</v>
      </c>
    </row>
    <row r="1274">
      <c r="A1274">
        <f>HYPERLINK("http://bombeiros.sp.gov.br/hidrantes/03individual/2825.html","2825")</f>
      </c>
      <c r="B1274" t="s">
        <v>623</v>
      </c>
      <c r="C1274" t="s">
        <v>777</v>
      </c>
      <c r="D1274" t="s">
        <v>777</v>
      </c>
      <c r="E1274" t="s">
        <v>64</v>
      </c>
      <c r="F1274" t="s">
        <v>11287</v>
      </c>
      <c r="G1274" t="s">
        <v>18107</v>
      </c>
      <c r="H1274" t="s">
        <v>1112</v>
      </c>
      <c r="I1274" t="s">
        <v>1108</v>
      </c>
      <c r="J1274" t="s">
        <v>11288</v>
      </c>
      <c r="K1274" t="s">
        <v>11289</v>
      </c>
      <c r="L1274" t="s">
        <v>36</v>
      </c>
      <c r="M1274" t="s">
        <v>19177</v>
      </c>
      <c r="N1274" t="s">
        <v>714</v>
      </c>
      <c r="O1274" t="s">
        <v>10263</v>
      </c>
      <c r="P1274" t="s">
        <v>12</v>
      </c>
    </row>
    <row r="1275">
      <c r="A1275">
        <f>HYPERLINK("http://bombeiros.sp.gov.br/hidrantes/03individual/4266.html","4266")</f>
      </c>
      <c r="B1275" t="s">
        <v>623</v>
      </c>
      <c r="C1275" t="s">
        <v>777</v>
      </c>
      <c r="D1275" t="s">
        <v>777</v>
      </c>
      <c r="E1275" t="s">
        <v>64</v>
      </c>
      <c r="F1275" t="s">
        <v>11290</v>
      </c>
      <c r="G1275" t="s">
        <v>18115</v>
      </c>
      <c r="H1275" t="s">
        <v>1112</v>
      </c>
      <c r="I1275" t="s">
        <v>1108</v>
      </c>
      <c r="J1275" t="s">
        <v>18963</v>
      </c>
      <c r="K1275" t="s">
        <v>18964</v>
      </c>
      <c r="L1275" t="s">
        <v>21</v>
      </c>
      <c r="M1275" t="s">
        <v>19177</v>
      </c>
      <c r="N1275" t="s">
        <v>714</v>
      </c>
      <c r="O1275" t="s">
        <v>10263</v>
      </c>
      <c r="P1275" t="s">
        <v>12</v>
      </c>
    </row>
    <row r="1276">
      <c r="A1276">
        <f>HYPERLINK("http://bombeiros.sp.gov.br/hidrantes/03individual/4262.html","4262")</f>
      </c>
      <c r="B1276" t="s">
        <v>623</v>
      </c>
      <c r="C1276" t="s">
        <v>777</v>
      </c>
      <c r="D1276" t="s">
        <v>777</v>
      </c>
      <c r="E1276" t="s">
        <v>15</v>
      </c>
      <c r="F1276" t="s">
        <v>11309</v>
      </c>
      <c r="G1276" t="s">
        <v>18192</v>
      </c>
      <c r="H1276" t="s">
        <v>1112</v>
      </c>
      <c r="I1276" t="s">
        <v>1108</v>
      </c>
      <c r="J1276" t="s">
        <v>11310</v>
      </c>
      <c r="K1276" t="s">
        <v>11311</v>
      </c>
      <c r="L1276" t="s">
        <v>21</v>
      </c>
      <c r="M1276" t="s">
        <v>19177</v>
      </c>
      <c r="N1276" t="s">
        <v>714</v>
      </c>
      <c r="O1276" t="s">
        <v>10263</v>
      </c>
      <c r="P1276" t="s">
        <v>12</v>
      </c>
    </row>
    <row r="1277">
      <c r="A1277">
        <f>HYPERLINK("http://bombeiros.sp.gov.br/hidrantes/03individual/17753.html","17753")</f>
      </c>
      <c r="B1277" t="s">
        <v>623</v>
      </c>
      <c r="C1277" t="s">
        <v>777</v>
      </c>
      <c r="D1277" t="s">
        <v>777</v>
      </c>
      <c r="E1277" t="s">
        <v>15</v>
      </c>
      <c r="F1277" t="s">
        <v>11318</v>
      </c>
      <c r="G1277" t="s">
        <v>18192</v>
      </c>
      <c r="H1277" t="s">
        <v>1107</v>
      </c>
      <c r="I1277" t="s">
        <v>1108</v>
      </c>
      <c r="J1277" t="s">
        <v>11319</v>
      </c>
      <c r="K1277" t="s">
        <v>11320</v>
      </c>
      <c r="L1277" t="s">
        <v>21</v>
      </c>
      <c r="M1277" t="s">
        <v>19177</v>
      </c>
      <c r="N1277" t="s">
        <v>714</v>
      </c>
      <c r="O1277" t="s">
        <v>10263</v>
      </c>
      <c r="P1277" t="s">
        <v>12</v>
      </c>
    </row>
    <row r="1278">
      <c r="A1278">
        <f>HYPERLINK("http://bombeiros.sp.gov.br/hidrantes/03individual/2141.html","2141")</f>
      </c>
      <c r="B1278" t="s">
        <v>623</v>
      </c>
      <c r="C1278" t="s">
        <v>777</v>
      </c>
      <c r="D1278" t="s">
        <v>793</v>
      </c>
      <c r="E1278" t="s">
        <v>15</v>
      </c>
      <c r="F1278" t="s">
        <v>11321</v>
      </c>
      <c r="G1278" t="s">
        <v>18085</v>
      </c>
      <c r="H1278" t="s">
        <v>1107</v>
      </c>
      <c r="I1278" t="s">
        <v>1108</v>
      </c>
      <c r="J1278" t="s">
        <v>11322</v>
      </c>
      <c r="K1278" t="s">
        <v>11323</v>
      </c>
      <c r="L1278" t="s">
        <v>21</v>
      </c>
      <c r="M1278" t="s">
        <v>19177</v>
      </c>
      <c r="N1278" t="s">
        <v>714</v>
      </c>
      <c r="O1278" t="s">
        <v>10263</v>
      </c>
      <c r="P1278" t="s">
        <v>12</v>
      </c>
    </row>
    <row r="1279">
      <c r="A1279">
        <f>HYPERLINK("http://bombeiros.sp.gov.br/hidrantes/03individual/2157.html","2157")</f>
      </c>
      <c r="B1279" t="s">
        <v>623</v>
      </c>
      <c r="C1279" t="s">
        <v>777</v>
      </c>
      <c r="D1279" t="s">
        <v>793</v>
      </c>
      <c r="E1279" t="s">
        <v>15</v>
      </c>
      <c r="F1279" t="s">
        <v>11327</v>
      </c>
      <c r="G1279" t="s">
        <v>18084</v>
      </c>
      <c r="H1279" t="s">
        <v>1112</v>
      </c>
      <c r="I1279" t="s">
        <v>1108</v>
      </c>
      <c r="J1279" t="s">
        <v>11328</v>
      </c>
      <c r="K1279" t="s">
        <v>11329</v>
      </c>
      <c r="L1279" t="s">
        <v>21</v>
      </c>
      <c r="M1279" t="s">
        <v>19177</v>
      </c>
      <c r="N1279" t="s">
        <v>714</v>
      </c>
      <c r="O1279" t="s">
        <v>10263</v>
      </c>
      <c r="P1279" t="s">
        <v>12</v>
      </c>
    </row>
    <row r="1280">
      <c r="A1280">
        <f>HYPERLINK("http://bombeiros.sp.gov.br/hidrantes/03individual/2242.html","2242")</f>
      </c>
      <c r="B1280" t="s">
        <v>623</v>
      </c>
      <c r="C1280" t="s">
        <v>777</v>
      </c>
      <c r="D1280" t="s">
        <v>793</v>
      </c>
      <c r="E1280" t="s">
        <v>15</v>
      </c>
      <c r="F1280" t="s">
        <v>11333</v>
      </c>
      <c r="G1280" t="s">
        <v>18085</v>
      </c>
      <c r="H1280" t="s">
        <v>1107</v>
      </c>
      <c r="I1280" t="s">
        <v>1108</v>
      </c>
      <c r="J1280" t="s">
        <v>11334</v>
      </c>
      <c r="K1280" t="s">
        <v>11335</v>
      </c>
      <c r="L1280" t="s">
        <v>21</v>
      </c>
      <c r="M1280" t="s">
        <v>19177</v>
      </c>
      <c r="N1280" t="s">
        <v>714</v>
      </c>
      <c r="O1280" t="s">
        <v>10263</v>
      </c>
      <c r="P1280" t="s">
        <v>12</v>
      </c>
    </row>
    <row r="1281">
      <c r="A1281">
        <f>HYPERLINK("http://bombeiros.sp.gov.br/hidrantes/03individual/2282.html","2282")</f>
      </c>
      <c r="B1281" t="s">
        <v>623</v>
      </c>
      <c r="C1281" t="s">
        <v>777</v>
      </c>
      <c r="D1281" t="s">
        <v>793</v>
      </c>
      <c r="E1281" t="s">
        <v>15</v>
      </c>
      <c r="F1281" t="s">
        <v>11336</v>
      </c>
      <c r="G1281" t="s">
        <v>18084</v>
      </c>
      <c r="H1281" t="s">
        <v>1174</v>
      </c>
      <c r="I1281" t="s">
        <v>1117</v>
      </c>
      <c r="J1281" t="s">
        <v>11337</v>
      </c>
      <c r="K1281" t="s">
        <v>11338</v>
      </c>
      <c r="L1281" t="s">
        <v>21</v>
      </c>
      <c r="M1281" t="s">
        <v>19177</v>
      </c>
      <c r="N1281" t="s">
        <v>714</v>
      </c>
      <c r="O1281" t="s">
        <v>10263</v>
      </c>
      <c r="P1281" t="s">
        <v>12</v>
      </c>
    </row>
    <row r="1282">
      <c r="A1282">
        <f>HYPERLINK("http://bombeiros.sp.gov.br/hidrantes/03individual/2690.html","2690")</f>
      </c>
      <c r="B1282" t="s">
        <v>623</v>
      </c>
      <c r="C1282" t="s">
        <v>777</v>
      </c>
      <c r="D1282" t="s">
        <v>793</v>
      </c>
      <c r="E1282" t="s">
        <v>15</v>
      </c>
      <c r="F1282" t="s">
        <v>11345</v>
      </c>
      <c r="G1282" t="s">
        <v>18085</v>
      </c>
      <c r="H1282" t="s">
        <v>1112</v>
      </c>
      <c r="I1282" t="s">
        <v>1108</v>
      </c>
      <c r="J1282" t="s">
        <v>11346</v>
      </c>
      <c r="K1282" t="s">
        <v>11347</v>
      </c>
      <c r="L1282" t="s">
        <v>21</v>
      </c>
      <c r="M1282" t="s">
        <v>19177</v>
      </c>
      <c r="N1282" t="s">
        <v>714</v>
      </c>
      <c r="O1282" t="s">
        <v>10263</v>
      </c>
      <c r="P1282" t="s">
        <v>12</v>
      </c>
    </row>
    <row r="1283">
      <c r="A1283">
        <f>HYPERLINK("http://bombeiros.sp.gov.br/hidrantes/03individual/4272.html","4272")</f>
      </c>
      <c r="B1283" t="s">
        <v>623</v>
      </c>
      <c r="C1283" t="s">
        <v>777</v>
      </c>
      <c r="D1283" t="s">
        <v>793</v>
      </c>
      <c r="E1283" t="s">
        <v>15</v>
      </c>
      <c r="F1283" t="s">
        <v>11354</v>
      </c>
      <c r="G1283" t="s">
        <v>18085</v>
      </c>
      <c r="H1283" t="s">
        <v>1174</v>
      </c>
      <c r="I1283" t="s">
        <v>1108</v>
      </c>
      <c r="J1283" t="s">
        <v>11355</v>
      </c>
      <c r="K1283" t="s">
        <v>11356</v>
      </c>
      <c r="L1283" t="s">
        <v>21</v>
      </c>
      <c r="M1283" t="s">
        <v>19177</v>
      </c>
      <c r="N1283" t="s">
        <v>714</v>
      </c>
      <c r="O1283" t="s">
        <v>10263</v>
      </c>
      <c r="P1283" t="s">
        <v>12</v>
      </c>
    </row>
    <row r="1284">
      <c r="A1284">
        <f>HYPERLINK("http://bombeiros.sp.gov.br/hidrantes/03individual/16577.html","16577")</f>
      </c>
      <c r="B1284" t="s">
        <v>623</v>
      </c>
      <c r="C1284" t="s">
        <v>777</v>
      </c>
      <c r="D1284" t="s">
        <v>793</v>
      </c>
      <c r="E1284" t="s">
        <v>15</v>
      </c>
      <c r="F1284" t="s">
        <v>11363</v>
      </c>
      <c r="G1284" t="s">
        <v>18085</v>
      </c>
      <c r="H1284" t="s">
        <v>1107</v>
      </c>
      <c r="I1284" t="s">
        <v>1108</v>
      </c>
      <c r="J1284" t="s">
        <v>11364</v>
      </c>
      <c r="K1284" t="s">
        <v>11365</v>
      </c>
      <c r="L1284" t="s">
        <v>21</v>
      </c>
      <c r="M1284" t="s">
        <v>19177</v>
      </c>
      <c r="N1284" t="s">
        <v>714</v>
      </c>
      <c r="O1284" t="s">
        <v>10263</v>
      </c>
      <c r="P1284" t="s">
        <v>12</v>
      </c>
    </row>
    <row r="1285">
      <c r="A1285">
        <f>HYPERLINK("http://bombeiros.sp.gov.br/hidrantes/03individual/17653.html","17653")</f>
      </c>
      <c r="B1285" t="s">
        <v>623</v>
      </c>
      <c r="C1285" t="s">
        <v>777</v>
      </c>
      <c r="D1285" t="s">
        <v>793</v>
      </c>
      <c r="E1285" t="s">
        <v>15</v>
      </c>
      <c r="F1285" t="s">
        <v>11369</v>
      </c>
      <c r="G1285" t="s">
        <v>18143</v>
      </c>
      <c r="H1285" t="s">
        <v>1112</v>
      </c>
      <c r="I1285" t="s">
        <v>1108</v>
      </c>
      <c r="J1285" t="s">
        <v>11370</v>
      </c>
      <c r="K1285" t="s">
        <v>11371</v>
      </c>
      <c r="L1285" t="s">
        <v>21</v>
      </c>
      <c r="M1285" t="s">
        <v>19177</v>
      </c>
      <c r="N1285" t="s">
        <v>714</v>
      </c>
      <c r="O1285" t="s">
        <v>10263</v>
      </c>
      <c r="P1285" t="s">
        <v>12</v>
      </c>
    </row>
    <row r="1286">
      <c r="A1286">
        <f>HYPERLINK("http://bombeiros.sp.gov.br/hidrantes/03individual/17654.html","17654")</f>
      </c>
      <c r="B1286" t="s">
        <v>623</v>
      </c>
      <c r="C1286" t="s">
        <v>777</v>
      </c>
      <c r="D1286" t="s">
        <v>793</v>
      </c>
      <c r="E1286" t="s">
        <v>15</v>
      </c>
      <c r="F1286" t="s">
        <v>11372</v>
      </c>
      <c r="G1286" t="s">
        <v>18084</v>
      </c>
      <c r="H1286" t="s">
        <v>1107</v>
      </c>
      <c r="I1286" t="s">
        <v>1108</v>
      </c>
      <c r="J1286" t="s">
        <v>11373</v>
      </c>
      <c r="K1286" t="s">
        <v>11374</v>
      </c>
      <c r="L1286" t="s">
        <v>21</v>
      </c>
      <c r="M1286" t="s">
        <v>19177</v>
      </c>
      <c r="N1286" t="s">
        <v>714</v>
      </c>
      <c r="O1286" t="s">
        <v>10263</v>
      </c>
      <c r="P1286" t="s">
        <v>12</v>
      </c>
    </row>
    <row r="1287">
      <c r="A1287">
        <f>HYPERLINK("http://bombeiros.sp.gov.br/hidrantes/03individual/1168.html","1168")</f>
      </c>
      <c r="B1287" t="s">
        <v>623</v>
      </c>
      <c r="C1287" t="s">
        <v>797</v>
      </c>
      <c r="D1287" t="s">
        <v>11375</v>
      </c>
      <c r="E1287" t="s">
        <v>64</v>
      </c>
      <c r="F1287" t="s">
        <v>11379</v>
      </c>
      <c r="G1287" t="s">
        <v>18057</v>
      </c>
      <c r="H1287" t="s">
        <v>1112</v>
      </c>
      <c r="I1287" t="s">
        <v>1108</v>
      </c>
      <c r="J1287" t="s">
        <v>11380</v>
      </c>
      <c r="K1287" t="s">
        <v>11381</v>
      </c>
      <c r="L1287" t="s">
        <v>36</v>
      </c>
      <c r="M1287" t="s">
        <v>19177</v>
      </c>
      <c r="N1287" t="s">
        <v>16375</v>
      </c>
      <c r="O1287" t="s">
        <v>640</v>
      </c>
      <c r="P1287" t="s">
        <v>623</v>
      </c>
    </row>
    <row r="1288">
      <c r="A1288">
        <f>HYPERLINK("http://bombeiros.sp.gov.br/hidrantes/03individual/1158.html","1158")</f>
      </c>
      <c r="B1288" t="s">
        <v>623</v>
      </c>
      <c r="C1288" t="s">
        <v>797</v>
      </c>
      <c r="D1288" t="s">
        <v>11375</v>
      </c>
      <c r="E1288" t="s">
        <v>15</v>
      </c>
      <c r="F1288" t="s">
        <v>11382</v>
      </c>
      <c r="G1288" t="s">
        <v>18057</v>
      </c>
      <c r="H1288" t="s">
        <v>1112</v>
      </c>
      <c r="I1288" t="s">
        <v>1108</v>
      </c>
      <c r="J1288" t="s">
        <v>11383</v>
      </c>
      <c r="K1288" t="s">
        <v>11384</v>
      </c>
      <c r="L1288" t="s">
        <v>21</v>
      </c>
      <c r="M1288" t="s">
        <v>19177</v>
      </c>
      <c r="N1288" t="s">
        <v>16375</v>
      </c>
      <c r="O1288" t="s">
        <v>640</v>
      </c>
      <c r="P1288" t="s">
        <v>623</v>
      </c>
    </row>
    <row r="1289">
      <c r="A1289">
        <f>HYPERLINK("http://bombeiros.sp.gov.br/hidrantes/03individual/1092.html","1092")</f>
      </c>
      <c r="B1289" t="s">
        <v>623</v>
      </c>
      <c r="C1289" t="s">
        <v>797</v>
      </c>
      <c r="D1289" t="s">
        <v>11388</v>
      </c>
      <c r="E1289" t="s">
        <v>64</v>
      </c>
      <c r="F1289" t="s">
        <v>11389</v>
      </c>
      <c r="G1289" t="s">
        <v>18084</v>
      </c>
      <c r="H1289" t="s">
        <v>1112</v>
      </c>
      <c r="I1289" t="s">
        <v>1108</v>
      </c>
      <c r="J1289" t="s">
        <v>11390</v>
      </c>
      <c r="K1289" t="s">
        <v>11391</v>
      </c>
      <c r="L1289" t="s">
        <v>21</v>
      </c>
      <c r="M1289" t="s">
        <v>19177</v>
      </c>
      <c r="N1289" t="s">
        <v>16375</v>
      </c>
      <c r="O1289" t="s">
        <v>640</v>
      </c>
      <c r="P1289" t="s">
        <v>623</v>
      </c>
    </row>
    <row r="1290">
      <c r="A1290">
        <f>HYPERLINK("http://bombeiros.sp.gov.br/hidrantes/03individual/1157.html","1157")</f>
      </c>
      <c r="B1290" t="s">
        <v>623</v>
      </c>
      <c r="C1290" t="s">
        <v>797</v>
      </c>
      <c r="D1290" t="s">
        <v>11388</v>
      </c>
      <c r="E1290" t="s">
        <v>64</v>
      </c>
      <c r="F1290" t="s">
        <v>11395</v>
      </c>
      <c r="G1290" t="s">
        <v>18084</v>
      </c>
      <c r="H1290" t="s">
        <v>1112</v>
      </c>
      <c r="I1290" t="s">
        <v>1108</v>
      </c>
      <c r="J1290" t="s">
        <v>11396</v>
      </c>
      <c r="K1290" t="s">
        <v>11397</v>
      </c>
      <c r="L1290" t="s">
        <v>21</v>
      </c>
      <c r="M1290" t="s">
        <v>19177</v>
      </c>
      <c r="N1290" t="s">
        <v>16375</v>
      </c>
      <c r="O1290" t="s">
        <v>640</v>
      </c>
      <c r="P1290" t="s">
        <v>623</v>
      </c>
    </row>
    <row r="1291">
      <c r="A1291">
        <f>HYPERLINK("http://bombeiros.sp.gov.br/hidrantes/03individual/4409.html","4409")</f>
      </c>
      <c r="B1291" t="s">
        <v>623</v>
      </c>
      <c r="C1291" t="s">
        <v>797</v>
      </c>
      <c r="D1291" t="s">
        <v>11388</v>
      </c>
      <c r="E1291" t="s">
        <v>64</v>
      </c>
      <c r="F1291" t="s">
        <v>11398</v>
      </c>
      <c r="G1291" t="s">
        <v>18084</v>
      </c>
      <c r="H1291" t="s">
        <v>1112</v>
      </c>
      <c r="I1291" t="s">
        <v>1108</v>
      </c>
      <c r="J1291" t="s">
        <v>11399</v>
      </c>
      <c r="K1291" t="s">
        <v>11400</v>
      </c>
      <c r="L1291" t="s">
        <v>21</v>
      </c>
      <c r="M1291" t="s">
        <v>19177</v>
      </c>
      <c r="N1291" t="s">
        <v>16375</v>
      </c>
      <c r="O1291" t="s">
        <v>640</v>
      </c>
      <c r="P1291" t="s">
        <v>623</v>
      </c>
    </row>
    <row r="1292">
      <c r="A1292">
        <f>HYPERLINK("http://bombeiros.sp.gov.br/hidrantes/03individual/27320.html","27320")</f>
      </c>
      <c r="B1292" t="s">
        <v>623</v>
      </c>
      <c r="C1292" t="s">
        <v>797</v>
      </c>
      <c r="D1292" t="s">
        <v>11388</v>
      </c>
      <c r="E1292" t="s">
        <v>64</v>
      </c>
      <c r="F1292" t="s">
        <v>17131</v>
      </c>
      <c r="G1292" t="s">
        <v>18084</v>
      </c>
      <c r="H1292" t="s">
        <v>1112</v>
      </c>
      <c r="I1292" t="s">
        <v>1108</v>
      </c>
      <c r="J1292" t="s">
        <v>17132</v>
      </c>
      <c r="K1292" t="s">
        <v>17133</v>
      </c>
      <c r="L1292" t="s">
        <v>21</v>
      </c>
      <c r="M1292" t="s">
        <v>19177</v>
      </c>
      <c r="N1292" t="s">
        <v>16375</v>
      </c>
      <c r="O1292" t="s">
        <v>640</v>
      </c>
      <c r="P1292" t="s">
        <v>623</v>
      </c>
    </row>
    <row r="1293">
      <c r="A1293">
        <f>HYPERLINK("http://bombeiros.sp.gov.br/hidrantes/03individual/6689.html","6689")</f>
      </c>
      <c r="B1293" t="s">
        <v>623</v>
      </c>
      <c r="C1293" t="s">
        <v>797</v>
      </c>
      <c r="D1293" t="s">
        <v>11388</v>
      </c>
      <c r="E1293" t="s">
        <v>15</v>
      </c>
      <c r="F1293" t="s">
        <v>11401</v>
      </c>
      <c r="G1293" t="s">
        <v>18084</v>
      </c>
      <c r="H1293" t="s">
        <v>1121</v>
      </c>
      <c r="I1293" t="s">
        <v>1117</v>
      </c>
      <c r="J1293" t="s">
        <v>11402</v>
      </c>
      <c r="K1293" t="s">
        <v>11403</v>
      </c>
      <c r="L1293" t="s">
        <v>21</v>
      </c>
      <c r="M1293" t="s">
        <v>19177</v>
      </c>
      <c r="N1293" t="s">
        <v>16375</v>
      </c>
      <c r="O1293" t="s">
        <v>640</v>
      </c>
      <c r="P1293" t="s">
        <v>623</v>
      </c>
    </row>
    <row r="1294">
      <c r="A1294">
        <f>HYPERLINK("http://bombeiros.sp.gov.br/hidrantes/03individual/4244.html","4244")</f>
      </c>
      <c r="B1294" t="s">
        <v>623</v>
      </c>
      <c r="C1294" t="s">
        <v>797</v>
      </c>
      <c r="D1294" t="s">
        <v>797</v>
      </c>
      <c r="E1294" t="s">
        <v>64</v>
      </c>
      <c r="F1294" t="s">
        <v>11407</v>
      </c>
      <c r="G1294" t="s">
        <v>18084</v>
      </c>
      <c r="H1294" t="s">
        <v>1112</v>
      </c>
      <c r="I1294" t="s">
        <v>1108</v>
      </c>
      <c r="J1294" t="s">
        <v>11408</v>
      </c>
      <c r="K1294" t="s">
        <v>11409</v>
      </c>
      <c r="L1294" t="s">
        <v>21</v>
      </c>
      <c r="M1294" t="s">
        <v>19177</v>
      </c>
      <c r="N1294" t="s">
        <v>16375</v>
      </c>
      <c r="O1294" t="s">
        <v>640</v>
      </c>
      <c r="P1294" t="s">
        <v>623</v>
      </c>
    </row>
    <row r="1295">
      <c r="A1295">
        <f>HYPERLINK("http://bombeiros.sp.gov.br/hidrantes/03individual/6658.html","6658")</f>
      </c>
      <c r="B1295" t="s">
        <v>623</v>
      </c>
      <c r="C1295" t="s">
        <v>797</v>
      </c>
      <c r="D1295" t="s">
        <v>797</v>
      </c>
      <c r="E1295" t="s">
        <v>64</v>
      </c>
      <c r="F1295" t="s">
        <v>11410</v>
      </c>
      <c r="G1295" t="s">
        <v>18084</v>
      </c>
      <c r="H1295" t="s">
        <v>1112</v>
      </c>
      <c r="I1295" t="s">
        <v>1108</v>
      </c>
      <c r="J1295" t="s">
        <v>11411</v>
      </c>
      <c r="K1295" t="s">
        <v>11412</v>
      </c>
      <c r="L1295" t="s">
        <v>21</v>
      </c>
      <c r="M1295" t="s">
        <v>19177</v>
      </c>
      <c r="N1295" t="s">
        <v>16375</v>
      </c>
      <c r="O1295" t="s">
        <v>640</v>
      </c>
      <c r="P1295" t="s">
        <v>623</v>
      </c>
    </row>
    <row r="1296">
      <c r="A1296">
        <f>HYPERLINK("http://bombeiros.sp.gov.br/hidrantes/03individual/3375.html","3375")</f>
      </c>
      <c r="B1296" t="s">
        <v>623</v>
      </c>
      <c r="C1296" t="s">
        <v>802</v>
      </c>
      <c r="D1296" t="s">
        <v>803</v>
      </c>
      <c r="E1296" t="s">
        <v>64</v>
      </c>
      <c r="F1296" t="s">
        <v>11416</v>
      </c>
      <c r="G1296" t="s">
        <v>18143</v>
      </c>
      <c r="H1296" t="s">
        <v>1112</v>
      </c>
      <c r="I1296" t="s">
        <v>1108</v>
      </c>
      <c r="J1296" t="s">
        <v>11417</v>
      </c>
      <c r="K1296" t="s">
        <v>11418</v>
      </c>
      <c r="L1296" t="s">
        <v>36</v>
      </c>
      <c r="M1296" t="s">
        <v>19177</v>
      </c>
      <c r="N1296" t="s">
        <v>16375</v>
      </c>
      <c r="O1296" t="s">
        <v>640</v>
      </c>
      <c r="P1296" t="s">
        <v>623</v>
      </c>
    </row>
    <row r="1297">
      <c r="A1297">
        <f>HYPERLINK("http://bombeiros.sp.gov.br/hidrantes/03individual/6680.html","6680")</f>
      </c>
      <c r="B1297" t="s">
        <v>623</v>
      </c>
      <c r="C1297" t="s">
        <v>802</v>
      </c>
      <c r="D1297" t="s">
        <v>803</v>
      </c>
      <c r="E1297" t="s">
        <v>64</v>
      </c>
      <c r="F1297" t="s">
        <v>11425</v>
      </c>
      <c r="G1297" t="s">
        <v>18143</v>
      </c>
      <c r="H1297" t="s">
        <v>1112</v>
      </c>
      <c r="I1297" t="s">
        <v>1108</v>
      </c>
      <c r="J1297" t="s">
        <v>11426</v>
      </c>
      <c r="K1297" t="s">
        <v>11427</v>
      </c>
      <c r="L1297" t="s">
        <v>21</v>
      </c>
      <c r="M1297" t="s">
        <v>19177</v>
      </c>
      <c r="N1297" t="s">
        <v>16375</v>
      </c>
      <c r="O1297" t="s">
        <v>640</v>
      </c>
      <c r="P1297" t="s">
        <v>623</v>
      </c>
    </row>
    <row r="1298">
      <c r="A1298">
        <f>HYPERLINK("http://bombeiros.sp.gov.br/hidrantes/03individual/27036.html","27036")</f>
      </c>
      <c r="B1298" t="s">
        <v>623</v>
      </c>
      <c r="C1298" t="s">
        <v>802</v>
      </c>
      <c r="D1298" t="s">
        <v>803</v>
      </c>
      <c r="E1298" t="s">
        <v>64</v>
      </c>
      <c r="F1298" t="s">
        <v>16585</v>
      </c>
      <c r="G1298" t="s">
        <v>18078</v>
      </c>
      <c r="H1298" t="s">
        <v>1107</v>
      </c>
      <c r="I1298" t="s">
        <v>1108</v>
      </c>
      <c r="J1298" t="s">
        <v>16586</v>
      </c>
      <c r="K1298" t="s">
        <v>16587</v>
      </c>
      <c r="L1298" t="s">
        <v>21</v>
      </c>
      <c r="M1298" t="s">
        <v>19177</v>
      </c>
      <c r="N1298" t="s">
        <v>16377</v>
      </c>
      <c r="O1298" t="s">
        <v>16377</v>
      </c>
      <c r="P1298" t="s">
        <v>623</v>
      </c>
    </row>
    <row r="1299">
      <c r="A1299">
        <f>HYPERLINK("http://bombeiros.sp.gov.br/hidrantes/03individual/1294.html","1294")</f>
      </c>
      <c r="B1299" t="s">
        <v>623</v>
      </c>
      <c r="C1299" t="s">
        <v>802</v>
      </c>
      <c r="D1299" t="s">
        <v>803</v>
      </c>
      <c r="E1299" t="s">
        <v>15</v>
      </c>
      <c r="F1299" t="s">
        <v>11434</v>
      </c>
      <c r="G1299" t="s">
        <v>18143</v>
      </c>
      <c r="H1299" t="s">
        <v>1112</v>
      </c>
      <c r="I1299" t="s">
        <v>1108</v>
      </c>
      <c r="J1299" t="s">
        <v>11435</v>
      </c>
      <c r="K1299" t="s">
        <v>11436</v>
      </c>
      <c r="L1299" t="s">
        <v>21</v>
      </c>
      <c r="M1299" t="s">
        <v>19177</v>
      </c>
      <c r="N1299" t="s">
        <v>16375</v>
      </c>
      <c r="O1299" t="s">
        <v>640</v>
      </c>
      <c r="P1299" t="s">
        <v>623</v>
      </c>
    </row>
    <row r="1300">
      <c r="A1300">
        <f>HYPERLINK("http://bombeiros.sp.gov.br/hidrantes/03individual/2778.html","2778")</f>
      </c>
      <c r="B1300" t="s">
        <v>623</v>
      </c>
      <c r="C1300" t="s">
        <v>802</v>
      </c>
      <c r="D1300" t="s">
        <v>803</v>
      </c>
      <c r="E1300" t="s">
        <v>15</v>
      </c>
      <c r="F1300" t="s">
        <v>11437</v>
      </c>
      <c r="G1300" t="s">
        <v>18143</v>
      </c>
      <c r="H1300" t="s">
        <v>1112</v>
      </c>
      <c r="I1300" t="s">
        <v>1108</v>
      </c>
      <c r="J1300" t="s">
        <v>11438</v>
      </c>
      <c r="K1300" t="s">
        <v>11439</v>
      </c>
      <c r="L1300" t="s">
        <v>21</v>
      </c>
      <c r="M1300" t="s">
        <v>19177</v>
      </c>
      <c r="N1300" t="s">
        <v>16375</v>
      </c>
      <c r="O1300" t="s">
        <v>640</v>
      </c>
      <c r="P1300" t="s">
        <v>623</v>
      </c>
    </row>
    <row r="1301">
      <c r="A1301">
        <f>HYPERLINK("http://bombeiros.sp.gov.br/hidrantes/03individual/17766.html","17766")</f>
      </c>
      <c r="B1301" t="s">
        <v>623</v>
      </c>
      <c r="C1301" t="s">
        <v>802</v>
      </c>
      <c r="D1301" t="s">
        <v>803</v>
      </c>
      <c r="E1301" t="s">
        <v>15</v>
      </c>
      <c r="F1301" t="s">
        <v>11446</v>
      </c>
      <c r="G1301" t="s">
        <v>18143</v>
      </c>
      <c r="H1301"/>
      <c r="I1301" t="s">
        <v>18</v>
      </c>
      <c r="J1301" t="s">
        <v>11447</v>
      </c>
      <c r="K1301" t="s">
        <v>11448</v>
      </c>
      <c r="L1301" t="s">
        <v>21</v>
      </c>
      <c r="M1301" t="s">
        <v>19177</v>
      </c>
      <c r="N1301" t="s">
        <v>16375</v>
      </c>
      <c r="O1301" t="s">
        <v>640</v>
      </c>
      <c r="P1301" t="s">
        <v>623</v>
      </c>
    </row>
    <row r="1302">
      <c r="A1302">
        <f>HYPERLINK("http://bombeiros.sp.gov.br/hidrantes/03individual/27324.html","27324")</f>
      </c>
      <c r="B1302" t="s">
        <v>623</v>
      </c>
      <c r="C1302" t="s">
        <v>802</v>
      </c>
      <c r="D1302" t="s">
        <v>803</v>
      </c>
      <c r="E1302" t="s">
        <v>15</v>
      </c>
      <c r="F1302" t="s">
        <v>17140</v>
      </c>
      <c r="G1302" t="s">
        <v>18143</v>
      </c>
      <c r="H1302" t="s">
        <v>1112</v>
      </c>
      <c r="I1302" t="s">
        <v>1108</v>
      </c>
      <c r="J1302" t="s">
        <v>17141</v>
      </c>
      <c r="K1302" t="s">
        <v>17142</v>
      </c>
      <c r="L1302" t="s">
        <v>21</v>
      </c>
      <c r="M1302" t="s">
        <v>19177</v>
      </c>
      <c r="N1302" t="s">
        <v>16375</v>
      </c>
      <c r="O1302" t="s">
        <v>640</v>
      </c>
      <c r="P1302" t="s">
        <v>623</v>
      </c>
    </row>
    <row r="1303">
      <c r="A1303">
        <f>HYPERLINK("http://bombeiros.sp.gov.br/hidrantes/03individual/27422.html","27422")</f>
      </c>
      <c r="B1303" t="s">
        <v>623</v>
      </c>
      <c r="C1303" t="s">
        <v>802</v>
      </c>
      <c r="D1303" t="s">
        <v>807</v>
      </c>
      <c r="E1303" t="s">
        <v>64</v>
      </c>
      <c r="F1303" t="s">
        <v>17337</v>
      </c>
      <c r="G1303" t="s">
        <v>18084</v>
      </c>
      <c r="H1303" t="s">
        <v>1112</v>
      </c>
      <c r="I1303" t="s">
        <v>1108</v>
      </c>
      <c r="J1303" t="s">
        <v>17338</v>
      </c>
      <c r="K1303" t="s">
        <v>17339</v>
      </c>
      <c r="L1303" t="s">
        <v>21</v>
      </c>
      <c r="M1303" t="s">
        <v>19177</v>
      </c>
      <c r="N1303" t="s">
        <v>16375</v>
      </c>
      <c r="O1303" t="s">
        <v>640</v>
      </c>
      <c r="P1303" t="s">
        <v>623</v>
      </c>
    </row>
    <row r="1304">
      <c r="A1304">
        <f>HYPERLINK("http://bombeiros.sp.gov.br/hidrantes/03individual/27573.html","27573")</f>
      </c>
      <c r="B1304" t="s">
        <v>623</v>
      </c>
      <c r="C1304" t="s">
        <v>802</v>
      </c>
      <c r="D1304" t="s">
        <v>807</v>
      </c>
      <c r="E1304" t="s">
        <v>64</v>
      </c>
      <c r="F1304" t="s">
        <v>17455</v>
      </c>
      <c r="G1304" t="s">
        <v>18084</v>
      </c>
      <c r="H1304" t="s">
        <v>1112</v>
      </c>
      <c r="I1304" t="s">
        <v>1108</v>
      </c>
      <c r="J1304" t="s">
        <v>17456</v>
      </c>
      <c r="K1304" t="s">
        <v>17457</v>
      </c>
      <c r="L1304" t="s">
        <v>21</v>
      </c>
      <c r="M1304" t="s">
        <v>19177</v>
      </c>
      <c r="N1304" t="s">
        <v>16375</v>
      </c>
      <c r="O1304" t="s">
        <v>640</v>
      </c>
      <c r="P1304" t="s">
        <v>623</v>
      </c>
    </row>
    <row r="1305">
      <c r="A1305">
        <f>HYPERLINK("http://bombeiros.sp.gov.br/hidrantes/03individual/1254.html","1254")</f>
      </c>
      <c r="B1305" t="s">
        <v>623</v>
      </c>
      <c r="C1305" t="s">
        <v>802</v>
      </c>
      <c r="D1305" t="s">
        <v>807</v>
      </c>
      <c r="E1305" t="s">
        <v>15</v>
      </c>
      <c r="F1305" t="s">
        <v>11452</v>
      </c>
      <c r="G1305" t="s">
        <v>18143</v>
      </c>
      <c r="H1305" t="s">
        <v>1112</v>
      </c>
      <c r="I1305" t="s">
        <v>1108</v>
      </c>
      <c r="J1305" t="s">
        <v>11453</v>
      </c>
      <c r="K1305" t="s">
        <v>11454</v>
      </c>
      <c r="L1305" t="s">
        <v>21</v>
      </c>
      <c r="M1305" t="s">
        <v>19177</v>
      </c>
      <c r="N1305" t="s">
        <v>16375</v>
      </c>
      <c r="O1305" t="s">
        <v>640</v>
      </c>
      <c r="P1305" t="s">
        <v>623</v>
      </c>
    </row>
    <row r="1306">
      <c r="A1306">
        <f>HYPERLINK("http://bombeiros.sp.gov.br/hidrantes/03individual/5381.html","5381")</f>
      </c>
      <c r="B1306" t="s">
        <v>623</v>
      </c>
      <c r="C1306" t="s">
        <v>802</v>
      </c>
      <c r="D1306" t="s">
        <v>807</v>
      </c>
      <c r="E1306" t="s">
        <v>15</v>
      </c>
      <c r="F1306" t="s">
        <v>11455</v>
      </c>
      <c r="G1306" t="s">
        <v>18183</v>
      </c>
      <c r="H1306" t="s">
        <v>1112</v>
      </c>
      <c r="I1306" t="s">
        <v>1108</v>
      </c>
      <c r="J1306" t="s">
        <v>11456</v>
      </c>
      <c r="K1306" t="s">
        <v>11457</v>
      </c>
      <c r="L1306" t="s">
        <v>21</v>
      </c>
      <c r="M1306" t="s">
        <v>19177</v>
      </c>
      <c r="N1306" t="s">
        <v>16375</v>
      </c>
      <c r="O1306" t="s">
        <v>640</v>
      </c>
      <c r="P1306" t="s">
        <v>623</v>
      </c>
    </row>
    <row r="1307">
      <c r="A1307">
        <f>HYPERLINK("http://bombeiros.sp.gov.br/hidrantes/03individual/17767.html","17767")</f>
      </c>
      <c r="B1307" t="s">
        <v>623</v>
      </c>
      <c r="C1307" t="s">
        <v>802</v>
      </c>
      <c r="D1307" t="s">
        <v>807</v>
      </c>
      <c r="E1307" t="s">
        <v>15</v>
      </c>
      <c r="F1307" t="s">
        <v>11458</v>
      </c>
      <c r="G1307" t="s">
        <v>18084</v>
      </c>
      <c r="H1307" t="s">
        <v>1121</v>
      </c>
      <c r="I1307" t="s">
        <v>1117</v>
      </c>
      <c r="J1307" t="s">
        <v>11459</v>
      </c>
      <c r="K1307" t="s">
        <v>11460</v>
      </c>
      <c r="L1307" t="s">
        <v>21</v>
      </c>
      <c r="M1307" t="s">
        <v>19177</v>
      </c>
      <c r="N1307" t="s">
        <v>16375</v>
      </c>
      <c r="O1307" t="s">
        <v>640</v>
      </c>
      <c r="P1307" t="s">
        <v>623</v>
      </c>
    </row>
    <row r="1308">
      <c r="A1308">
        <f>HYPERLINK("http://bombeiros.sp.gov.br/hidrantes/03individual/17808.html","17808")</f>
      </c>
      <c r="B1308" t="s">
        <v>623</v>
      </c>
      <c r="C1308" t="s">
        <v>802</v>
      </c>
      <c r="D1308" t="s">
        <v>807</v>
      </c>
      <c r="E1308" t="s">
        <v>15</v>
      </c>
      <c r="F1308" t="s">
        <v>11464</v>
      </c>
      <c r="G1308" t="s">
        <v>18084</v>
      </c>
      <c r="H1308" t="s">
        <v>1112</v>
      </c>
      <c r="I1308" t="s">
        <v>1108</v>
      </c>
      <c r="J1308" t="s">
        <v>11465</v>
      </c>
      <c r="K1308" t="s">
        <v>11466</v>
      </c>
      <c r="L1308" t="s">
        <v>21</v>
      </c>
      <c r="M1308" t="s">
        <v>19177</v>
      </c>
      <c r="N1308" t="s">
        <v>16375</v>
      </c>
      <c r="O1308" t="s">
        <v>640</v>
      </c>
      <c r="P1308" t="s">
        <v>623</v>
      </c>
    </row>
    <row r="1309">
      <c r="A1309">
        <f>HYPERLINK("http://bombeiros.sp.gov.br/hidrantes/03individual/1223.html","1223")</f>
      </c>
      <c r="B1309" t="s">
        <v>623</v>
      </c>
      <c r="C1309" t="s">
        <v>802</v>
      </c>
      <c r="D1309" t="s">
        <v>802</v>
      </c>
      <c r="E1309" t="s">
        <v>64</v>
      </c>
      <c r="F1309" t="s">
        <v>11467</v>
      </c>
      <c r="G1309" t="s">
        <v>18194</v>
      </c>
      <c r="H1309" t="s">
        <v>1112</v>
      </c>
      <c r="I1309" t="s">
        <v>1108</v>
      </c>
      <c r="J1309" t="s">
        <v>11468</v>
      </c>
      <c r="K1309" t="s">
        <v>11469</v>
      </c>
      <c r="L1309" t="s">
        <v>36</v>
      </c>
      <c r="M1309" t="s">
        <v>19177</v>
      </c>
      <c r="N1309" t="s">
        <v>16375</v>
      </c>
      <c r="O1309" t="s">
        <v>640</v>
      </c>
      <c r="P1309" t="s">
        <v>623</v>
      </c>
    </row>
    <row r="1310">
      <c r="A1310">
        <f>HYPERLINK("http://bombeiros.sp.gov.br/hidrantes/03individual/15285.html","15285")</f>
      </c>
      <c r="B1310" t="s">
        <v>623</v>
      </c>
      <c r="C1310" t="s">
        <v>802</v>
      </c>
      <c r="D1310" t="s">
        <v>802</v>
      </c>
      <c r="E1310" t="s">
        <v>64</v>
      </c>
      <c r="F1310" t="s">
        <v>11473</v>
      </c>
      <c r="G1310" t="s">
        <v>17867</v>
      </c>
      <c r="H1310" t="s">
        <v>1112</v>
      </c>
      <c r="I1310" t="s">
        <v>1108</v>
      </c>
      <c r="J1310" t="s">
        <v>11474</v>
      </c>
      <c r="K1310" t="s">
        <v>11475</v>
      </c>
      <c r="L1310" t="s">
        <v>21</v>
      </c>
      <c r="M1310" t="s">
        <v>19177</v>
      </c>
      <c r="N1310" t="s">
        <v>16375</v>
      </c>
      <c r="O1310" t="s">
        <v>640</v>
      </c>
      <c r="P1310" t="s">
        <v>623</v>
      </c>
    </row>
    <row r="1311">
      <c r="A1311">
        <f>HYPERLINK("http://bombeiros.sp.gov.br/hidrantes/03individual/17797.html","17797")</f>
      </c>
      <c r="B1311" t="s">
        <v>623</v>
      </c>
      <c r="C1311" t="s">
        <v>802</v>
      </c>
      <c r="D1311" t="s">
        <v>802</v>
      </c>
      <c r="E1311" t="s">
        <v>15</v>
      </c>
      <c r="F1311" t="s">
        <v>11488</v>
      </c>
      <c r="G1311" t="s">
        <v>18194</v>
      </c>
      <c r="H1311" t="s">
        <v>1112</v>
      </c>
      <c r="I1311" t="s">
        <v>1108</v>
      </c>
      <c r="J1311" t="s">
        <v>11489</v>
      </c>
      <c r="K1311" t="s">
        <v>11490</v>
      </c>
      <c r="L1311" t="s">
        <v>21</v>
      </c>
      <c r="M1311" t="s">
        <v>19177</v>
      </c>
      <c r="N1311" t="s">
        <v>16375</v>
      </c>
      <c r="O1311" t="s">
        <v>640</v>
      </c>
      <c r="P1311" t="s">
        <v>623</v>
      </c>
    </row>
    <row r="1312">
      <c r="A1312">
        <f>HYPERLINK("http://bombeiros.sp.gov.br/hidrantes/03individual/24103.html","24103")</f>
      </c>
      <c r="B1312" t="s">
        <v>623</v>
      </c>
      <c r="C1312" t="s">
        <v>802</v>
      </c>
      <c r="D1312" t="s">
        <v>802</v>
      </c>
      <c r="E1312" t="s">
        <v>15</v>
      </c>
      <c r="F1312" t="s">
        <v>11497</v>
      </c>
      <c r="G1312" t="s">
        <v>18099</v>
      </c>
      <c r="H1312" t="s">
        <v>1121</v>
      </c>
      <c r="I1312" t="s">
        <v>1117</v>
      </c>
      <c r="J1312" t="s">
        <v>11498</v>
      </c>
      <c r="K1312" t="s">
        <v>11499</v>
      </c>
      <c r="L1312" t="s">
        <v>21</v>
      </c>
      <c r="M1312" t="s">
        <v>19177</v>
      </c>
      <c r="N1312" t="s">
        <v>16375</v>
      </c>
      <c r="O1312" t="s">
        <v>640</v>
      </c>
      <c r="P1312" t="s">
        <v>623</v>
      </c>
    </row>
    <row r="1313">
      <c r="A1313">
        <f>HYPERLINK("http://bombeiros.sp.gov.br/hidrantes/03individual/1144.html","1144")</f>
      </c>
      <c r="B1313" t="s">
        <v>623</v>
      </c>
      <c r="C1313" t="s">
        <v>821</v>
      </c>
      <c r="D1313" t="s">
        <v>11500</v>
      </c>
      <c r="E1313" t="s">
        <v>15</v>
      </c>
      <c r="F1313" t="s">
        <v>11501</v>
      </c>
      <c r="G1313" t="s">
        <v>18146</v>
      </c>
      <c r="H1313" t="s">
        <v>1112</v>
      </c>
      <c r="I1313" t="s">
        <v>1108</v>
      </c>
      <c r="J1313" t="s">
        <v>11502</v>
      </c>
      <c r="K1313" t="s">
        <v>11503</v>
      </c>
      <c r="L1313" t="s">
        <v>21</v>
      </c>
      <c r="M1313" t="s">
        <v>19177</v>
      </c>
      <c r="N1313" t="s">
        <v>714</v>
      </c>
      <c r="O1313" t="s">
        <v>10263</v>
      </c>
      <c r="P1313" t="s">
        <v>12</v>
      </c>
    </row>
    <row r="1314">
      <c r="A1314">
        <f>HYPERLINK("http://bombeiros.sp.gov.br/hidrantes/03individual/17707.html","17707")</f>
      </c>
      <c r="B1314" t="s">
        <v>623</v>
      </c>
      <c r="C1314" t="s">
        <v>821</v>
      </c>
      <c r="D1314" t="s">
        <v>11500</v>
      </c>
      <c r="E1314" t="s">
        <v>15</v>
      </c>
      <c r="F1314" t="s">
        <v>11507</v>
      </c>
      <c r="G1314" t="s">
        <v>18050</v>
      </c>
      <c r="H1314" t="s">
        <v>1112</v>
      </c>
      <c r="I1314" t="s">
        <v>1108</v>
      </c>
      <c r="J1314" t="s">
        <v>11508</v>
      </c>
      <c r="K1314" t="s">
        <v>11509</v>
      </c>
      <c r="L1314" t="s">
        <v>21</v>
      </c>
      <c r="M1314" t="s">
        <v>19177</v>
      </c>
      <c r="N1314" t="s">
        <v>714</v>
      </c>
      <c r="O1314" t="s">
        <v>10263</v>
      </c>
      <c r="P1314" t="s">
        <v>12</v>
      </c>
    </row>
    <row r="1315">
      <c r="A1315">
        <f>HYPERLINK("http://bombeiros.sp.gov.br/hidrantes/03individual/26887.html","26887")</f>
      </c>
      <c r="B1315" t="s">
        <v>623</v>
      </c>
      <c r="C1315" t="s">
        <v>821</v>
      </c>
      <c r="D1315" t="s">
        <v>11500</v>
      </c>
      <c r="E1315" t="s">
        <v>15</v>
      </c>
      <c r="F1315" t="s">
        <v>16300</v>
      </c>
      <c r="G1315" t="s">
        <v>18097</v>
      </c>
      <c r="H1315" t="s">
        <v>1112</v>
      </c>
      <c r="I1315" t="s">
        <v>1108</v>
      </c>
      <c r="J1315" t="s">
        <v>16906</v>
      </c>
      <c r="K1315" t="s">
        <v>16907</v>
      </c>
      <c r="L1315" t="s">
        <v>21</v>
      </c>
      <c r="M1315" t="s">
        <v>19177</v>
      </c>
      <c r="N1315" t="s">
        <v>714</v>
      </c>
      <c r="O1315" t="s">
        <v>10263</v>
      </c>
      <c r="P1315" t="s">
        <v>12</v>
      </c>
    </row>
    <row r="1316">
      <c r="A1316">
        <f>HYPERLINK("http://bombeiros.sp.gov.br/hidrantes/03individual/896.html","896")</f>
      </c>
      <c r="B1316" t="s">
        <v>623</v>
      </c>
      <c r="C1316" t="s">
        <v>821</v>
      </c>
      <c r="D1316" t="s">
        <v>822</v>
      </c>
      <c r="E1316" t="s">
        <v>64</v>
      </c>
      <c r="F1316" t="s">
        <v>11510</v>
      </c>
      <c r="G1316" t="s">
        <v>17725</v>
      </c>
      <c r="H1316" t="s">
        <v>1112</v>
      </c>
      <c r="I1316" t="s">
        <v>1108</v>
      </c>
      <c r="J1316" t="s">
        <v>11511</v>
      </c>
      <c r="K1316" t="s">
        <v>11512</v>
      </c>
      <c r="L1316" t="s">
        <v>21</v>
      </c>
      <c r="M1316" t="s">
        <v>19177</v>
      </c>
      <c r="N1316" t="s">
        <v>714</v>
      </c>
      <c r="O1316" t="s">
        <v>10263</v>
      </c>
      <c r="P1316" t="s">
        <v>12</v>
      </c>
    </row>
    <row r="1317">
      <c r="A1317">
        <f>HYPERLINK("http://bombeiros.sp.gov.br/hidrantes/03individual/6659.html","6659")</f>
      </c>
      <c r="B1317" t="s">
        <v>623</v>
      </c>
      <c r="C1317" t="s">
        <v>821</v>
      </c>
      <c r="D1317" t="s">
        <v>822</v>
      </c>
      <c r="E1317" t="s">
        <v>64</v>
      </c>
      <c r="F1317" t="s">
        <v>11513</v>
      </c>
      <c r="G1317" t="s">
        <v>18146</v>
      </c>
      <c r="H1317" t="s">
        <v>1112</v>
      </c>
      <c r="I1317" t="s">
        <v>1108</v>
      </c>
      <c r="J1317" t="s">
        <v>11514</v>
      </c>
      <c r="K1317" t="s">
        <v>11515</v>
      </c>
      <c r="L1317" t="s">
        <v>21</v>
      </c>
      <c r="M1317" t="s">
        <v>19177</v>
      </c>
      <c r="N1317" t="s">
        <v>714</v>
      </c>
      <c r="O1317" t="s">
        <v>10263</v>
      </c>
      <c r="P1317" t="s">
        <v>12</v>
      </c>
    </row>
    <row r="1318">
      <c r="A1318">
        <f>HYPERLINK("http://bombeiros.sp.gov.br/hidrantes/03individual/6660.html","6660")</f>
      </c>
      <c r="B1318" t="s">
        <v>623</v>
      </c>
      <c r="C1318" t="s">
        <v>821</v>
      </c>
      <c r="D1318" t="s">
        <v>822</v>
      </c>
      <c r="E1318" t="s">
        <v>64</v>
      </c>
      <c r="F1318" t="s">
        <v>11516</v>
      </c>
      <c r="G1318" t="s">
        <v>18146</v>
      </c>
      <c r="H1318" t="s">
        <v>1112</v>
      </c>
      <c r="I1318" t="s">
        <v>1108</v>
      </c>
      <c r="J1318" t="s">
        <v>11517</v>
      </c>
      <c r="K1318" t="s">
        <v>11518</v>
      </c>
      <c r="L1318" t="s">
        <v>21</v>
      </c>
      <c r="M1318" t="s">
        <v>19177</v>
      </c>
      <c r="N1318" t="s">
        <v>714</v>
      </c>
      <c r="O1318" t="s">
        <v>10263</v>
      </c>
      <c r="P1318" t="s">
        <v>12</v>
      </c>
    </row>
    <row r="1319">
      <c r="A1319">
        <f>HYPERLINK("http://bombeiros.sp.gov.br/hidrantes/03individual/6742.html","6742")</f>
      </c>
      <c r="B1319" t="s">
        <v>623</v>
      </c>
      <c r="C1319" t="s">
        <v>821</v>
      </c>
      <c r="D1319" t="s">
        <v>822</v>
      </c>
      <c r="E1319" t="s">
        <v>64</v>
      </c>
      <c r="F1319" t="s">
        <v>11519</v>
      </c>
      <c r="G1319" t="s">
        <v>18146</v>
      </c>
      <c r="H1319" t="s">
        <v>1112</v>
      </c>
      <c r="I1319" t="s">
        <v>1108</v>
      </c>
      <c r="J1319" t="s">
        <v>11520</v>
      </c>
      <c r="K1319" t="s">
        <v>11521</v>
      </c>
      <c r="L1319" t="s">
        <v>21</v>
      </c>
      <c r="M1319" t="s">
        <v>19177</v>
      </c>
      <c r="N1319" t="s">
        <v>714</v>
      </c>
      <c r="O1319" t="s">
        <v>10263</v>
      </c>
      <c r="P1319" t="s">
        <v>12</v>
      </c>
    </row>
    <row r="1320">
      <c r="A1320">
        <f>HYPERLINK("http://bombeiros.sp.gov.br/hidrantes/03individual/6743.html","6743")</f>
      </c>
      <c r="B1320" t="s">
        <v>623</v>
      </c>
      <c r="C1320" t="s">
        <v>821</v>
      </c>
      <c r="D1320" t="s">
        <v>822</v>
      </c>
      <c r="E1320" t="s">
        <v>64</v>
      </c>
      <c r="F1320" t="s">
        <v>11522</v>
      </c>
      <c r="G1320" t="s">
        <v>18146</v>
      </c>
      <c r="H1320" t="s">
        <v>1112</v>
      </c>
      <c r="I1320" t="s">
        <v>1108</v>
      </c>
      <c r="J1320" t="s">
        <v>11523</v>
      </c>
      <c r="K1320" t="s">
        <v>11524</v>
      </c>
      <c r="L1320" t="s">
        <v>21</v>
      </c>
      <c r="M1320" t="s">
        <v>19177</v>
      </c>
      <c r="N1320" t="s">
        <v>714</v>
      </c>
      <c r="O1320" t="s">
        <v>10263</v>
      </c>
      <c r="P1320" t="s">
        <v>12</v>
      </c>
    </row>
    <row r="1321">
      <c r="A1321">
        <f>HYPERLINK("http://bombeiros.sp.gov.br/hidrantes/03individual/6746.html","6746")</f>
      </c>
      <c r="B1321" t="s">
        <v>623</v>
      </c>
      <c r="C1321" t="s">
        <v>821</v>
      </c>
      <c r="D1321" t="s">
        <v>822</v>
      </c>
      <c r="E1321" t="s">
        <v>64</v>
      </c>
      <c r="F1321" t="s">
        <v>11525</v>
      </c>
      <c r="G1321" t="s">
        <v>18146</v>
      </c>
      <c r="H1321" t="s">
        <v>1112</v>
      </c>
      <c r="I1321" t="s">
        <v>1108</v>
      </c>
      <c r="J1321" t="s">
        <v>11526</v>
      </c>
      <c r="K1321" t="s">
        <v>11527</v>
      </c>
      <c r="L1321" t="s">
        <v>21</v>
      </c>
      <c r="M1321" t="s">
        <v>19177</v>
      </c>
      <c r="N1321" t="s">
        <v>714</v>
      </c>
      <c r="O1321" t="s">
        <v>10263</v>
      </c>
      <c r="P1321" t="s">
        <v>12</v>
      </c>
    </row>
    <row r="1322">
      <c r="A1322">
        <f>HYPERLINK("http://bombeiros.sp.gov.br/hidrantes/03individual/6747.html","6747")</f>
      </c>
      <c r="B1322" t="s">
        <v>623</v>
      </c>
      <c r="C1322" t="s">
        <v>821</v>
      </c>
      <c r="D1322" t="s">
        <v>822</v>
      </c>
      <c r="E1322" t="s">
        <v>64</v>
      </c>
      <c r="F1322" t="s">
        <v>11528</v>
      </c>
      <c r="G1322" t="s">
        <v>18146</v>
      </c>
      <c r="H1322" t="s">
        <v>1112</v>
      </c>
      <c r="I1322" t="s">
        <v>1108</v>
      </c>
      <c r="J1322" t="s">
        <v>11529</v>
      </c>
      <c r="K1322" t="s">
        <v>11530</v>
      </c>
      <c r="L1322" t="s">
        <v>21</v>
      </c>
      <c r="M1322" t="s">
        <v>19177</v>
      </c>
      <c r="N1322" t="s">
        <v>714</v>
      </c>
      <c r="O1322" t="s">
        <v>10263</v>
      </c>
      <c r="P1322" t="s">
        <v>12</v>
      </c>
    </row>
    <row r="1323">
      <c r="A1323">
        <f>HYPERLINK("http://bombeiros.sp.gov.br/hidrantes/03individual/6748.html","6748")</f>
      </c>
      <c r="B1323" t="s">
        <v>623</v>
      </c>
      <c r="C1323" t="s">
        <v>821</v>
      </c>
      <c r="D1323" t="s">
        <v>822</v>
      </c>
      <c r="E1323" t="s">
        <v>64</v>
      </c>
      <c r="F1323" t="s">
        <v>11531</v>
      </c>
      <c r="G1323" t="s">
        <v>18146</v>
      </c>
      <c r="H1323" t="s">
        <v>1112</v>
      </c>
      <c r="I1323" t="s">
        <v>1108</v>
      </c>
      <c r="J1323" t="s">
        <v>11532</v>
      </c>
      <c r="K1323" t="s">
        <v>11533</v>
      </c>
      <c r="L1323" t="s">
        <v>21</v>
      </c>
      <c r="M1323" t="s">
        <v>19177</v>
      </c>
      <c r="N1323" t="s">
        <v>714</v>
      </c>
      <c r="O1323" t="s">
        <v>10263</v>
      </c>
      <c r="P1323" t="s">
        <v>12</v>
      </c>
    </row>
    <row r="1324">
      <c r="A1324">
        <f>HYPERLINK("http://bombeiros.sp.gov.br/hidrantes/03individual/6749.html","6749")</f>
      </c>
      <c r="B1324" t="s">
        <v>623</v>
      </c>
      <c r="C1324" t="s">
        <v>821</v>
      </c>
      <c r="D1324" t="s">
        <v>822</v>
      </c>
      <c r="E1324" t="s">
        <v>64</v>
      </c>
      <c r="F1324" t="s">
        <v>11534</v>
      </c>
      <c r="G1324" t="s">
        <v>18146</v>
      </c>
      <c r="H1324" t="s">
        <v>1112</v>
      </c>
      <c r="I1324" t="s">
        <v>1108</v>
      </c>
      <c r="J1324" t="s">
        <v>11535</v>
      </c>
      <c r="K1324" t="s">
        <v>11536</v>
      </c>
      <c r="L1324" t="s">
        <v>21</v>
      </c>
      <c r="M1324" t="s">
        <v>19177</v>
      </c>
      <c r="N1324" t="s">
        <v>714</v>
      </c>
      <c r="O1324" t="s">
        <v>10263</v>
      </c>
      <c r="P1324" t="s">
        <v>12</v>
      </c>
    </row>
    <row r="1325">
      <c r="A1325">
        <f>HYPERLINK("http://bombeiros.sp.gov.br/hidrantes/03individual/6750.html","6750")</f>
      </c>
      <c r="B1325" t="s">
        <v>623</v>
      </c>
      <c r="C1325" t="s">
        <v>821</v>
      </c>
      <c r="D1325" t="s">
        <v>822</v>
      </c>
      <c r="E1325" t="s">
        <v>64</v>
      </c>
      <c r="F1325" t="s">
        <v>11537</v>
      </c>
      <c r="G1325" t="s">
        <v>18146</v>
      </c>
      <c r="H1325" t="s">
        <v>1112</v>
      </c>
      <c r="I1325" t="s">
        <v>1108</v>
      </c>
      <c r="J1325" t="s">
        <v>11538</v>
      </c>
      <c r="K1325" t="s">
        <v>11539</v>
      </c>
      <c r="L1325" t="s">
        <v>21</v>
      </c>
      <c r="M1325" t="s">
        <v>19177</v>
      </c>
      <c r="N1325" t="s">
        <v>714</v>
      </c>
      <c r="O1325" t="s">
        <v>10263</v>
      </c>
      <c r="P1325" t="s">
        <v>12</v>
      </c>
    </row>
    <row r="1326">
      <c r="A1326">
        <f>HYPERLINK("http://bombeiros.sp.gov.br/hidrantes/03individual/6751.html","6751")</f>
      </c>
      <c r="B1326" t="s">
        <v>623</v>
      </c>
      <c r="C1326" t="s">
        <v>821</v>
      </c>
      <c r="D1326" t="s">
        <v>822</v>
      </c>
      <c r="E1326" t="s">
        <v>64</v>
      </c>
      <c r="F1326" t="s">
        <v>11540</v>
      </c>
      <c r="G1326" t="s">
        <v>18146</v>
      </c>
      <c r="H1326" t="s">
        <v>1112</v>
      </c>
      <c r="I1326" t="s">
        <v>1108</v>
      </c>
      <c r="J1326" t="s">
        <v>11541</v>
      </c>
      <c r="K1326" t="s">
        <v>11542</v>
      </c>
      <c r="L1326" t="s">
        <v>21</v>
      </c>
      <c r="M1326" t="s">
        <v>19177</v>
      </c>
      <c r="N1326" t="s">
        <v>714</v>
      </c>
      <c r="O1326" t="s">
        <v>10263</v>
      </c>
      <c r="P1326" t="s">
        <v>12</v>
      </c>
    </row>
    <row r="1327">
      <c r="A1327">
        <f>HYPERLINK("http://bombeiros.sp.gov.br/hidrantes/03individual/6752.html","6752")</f>
      </c>
      <c r="B1327" t="s">
        <v>623</v>
      </c>
      <c r="C1327" t="s">
        <v>821</v>
      </c>
      <c r="D1327" t="s">
        <v>822</v>
      </c>
      <c r="E1327" t="s">
        <v>64</v>
      </c>
      <c r="F1327" t="s">
        <v>11543</v>
      </c>
      <c r="G1327" t="s">
        <v>18146</v>
      </c>
      <c r="H1327" t="s">
        <v>1112</v>
      </c>
      <c r="I1327" t="s">
        <v>1108</v>
      </c>
      <c r="J1327" t="s">
        <v>11544</v>
      </c>
      <c r="K1327" t="s">
        <v>11545</v>
      </c>
      <c r="L1327" t="s">
        <v>21</v>
      </c>
      <c r="M1327" t="s">
        <v>19177</v>
      </c>
      <c r="N1327" t="s">
        <v>714</v>
      </c>
      <c r="O1327" t="s">
        <v>10263</v>
      </c>
      <c r="P1327" t="s">
        <v>12</v>
      </c>
    </row>
    <row r="1328">
      <c r="A1328">
        <f>HYPERLINK("http://bombeiros.sp.gov.br/hidrantes/03individual/6753.html","6753")</f>
      </c>
      <c r="B1328" t="s">
        <v>623</v>
      </c>
      <c r="C1328" t="s">
        <v>821</v>
      </c>
      <c r="D1328" t="s">
        <v>822</v>
      </c>
      <c r="E1328" t="s">
        <v>64</v>
      </c>
      <c r="F1328" t="s">
        <v>11546</v>
      </c>
      <c r="G1328" t="s">
        <v>18146</v>
      </c>
      <c r="H1328" t="s">
        <v>1107</v>
      </c>
      <c r="I1328" t="s">
        <v>1108</v>
      </c>
      <c r="J1328" t="s">
        <v>11547</v>
      </c>
      <c r="K1328" t="s">
        <v>11548</v>
      </c>
      <c r="L1328" t="s">
        <v>21</v>
      </c>
      <c r="M1328" t="s">
        <v>19177</v>
      </c>
      <c r="N1328" t="s">
        <v>714</v>
      </c>
      <c r="O1328" t="s">
        <v>10263</v>
      </c>
      <c r="P1328" t="s">
        <v>12</v>
      </c>
    </row>
    <row r="1329">
      <c r="A1329">
        <f>HYPERLINK("http://bombeiros.sp.gov.br/hidrantes/03individual/6754.html","6754")</f>
      </c>
      <c r="B1329" t="s">
        <v>623</v>
      </c>
      <c r="C1329" t="s">
        <v>821</v>
      </c>
      <c r="D1329" t="s">
        <v>822</v>
      </c>
      <c r="E1329" t="s">
        <v>64</v>
      </c>
      <c r="F1329" t="s">
        <v>11525</v>
      </c>
      <c r="G1329" t="s">
        <v>18146</v>
      </c>
      <c r="H1329" t="s">
        <v>1112</v>
      </c>
      <c r="I1329" t="s">
        <v>1108</v>
      </c>
      <c r="J1329" t="s">
        <v>11549</v>
      </c>
      <c r="K1329" t="s">
        <v>11550</v>
      </c>
      <c r="L1329" t="s">
        <v>21</v>
      </c>
      <c r="M1329" t="s">
        <v>19177</v>
      </c>
      <c r="N1329" t="s">
        <v>714</v>
      </c>
      <c r="O1329" t="s">
        <v>10263</v>
      </c>
      <c r="P1329" t="s">
        <v>12</v>
      </c>
    </row>
    <row r="1330">
      <c r="A1330">
        <f>HYPERLINK("http://bombeiros.sp.gov.br/hidrantes/03individual/6755.html","6755")</f>
      </c>
      <c r="B1330" t="s">
        <v>623</v>
      </c>
      <c r="C1330" t="s">
        <v>821</v>
      </c>
      <c r="D1330" t="s">
        <v>822</v>
      </c>
      <c r="E1330" t="s">
        <v>64</v>
      </c>
      <c r="F1330" t="s">
        <v>11551</v>
      </c>
      <c r="G1330" t="s">
        <v>18146</v>
      </c>
      <c r="H1330" t="s">
        <v>1112</v>
      </c>
      <c r="I1330" t="s">
        <v>1108</v>
      </c>
      <c r="J1330" t="s">
        <v>11552</v>
      </c>
      <c r="K1330" t="s">
        <v>11553</v>
      </c>
      <c r="L1330" t="s">
        <v>21</v>
      </c>
      <c r="M1330" t="s">
        <v>19177</v>
      </c>
      <c r="N1330" t="s">
        <v>714</v>
      </c>
      <c r="O1330" t="s">
        <v>10263</v>
      </c>
      <c r="P1330" t="s">
        <v>12</v>
      </c>
    </row>
    <row r="1331">
      <c r="A1331">
        <f>HYPERLINK("http://bombeiros.sp.gov.br/hidrantes/03individual/6756.html","6756")</f>
      </c>
      <c r="B1331" t="s">
        <v>623</v>
      </c>
      <c r="C1331" t="s">
        <v>821</v>
      </c>
      <c r="D1331" t="s">
        <v>822</v>
      </c>
      <c r="E1331" t="s">
        <v>64</v>
      </c>
      <c r="F1331" t="s">
        <v>11554</v>
      </c>
      <c r="G1331" t="s">
        <v>18146</v>
      </c>
      <c r="H1331"/>
      <c r="I1331" t="s">
        <v>18</v>
      </c>
      <c r="J1331" t="s">
        <v>11555</v>
      </c>
      <c r="K1331" t="s">
        <v>11556</v>
      </c>
      <c r="L1331" t="s">
        <v>21</v>
      </c>
      <c r="M1331" t="s">
        <v>19177</v>
      </c>
      <c r="N1331" t="s">
        <v>714</v>
      </c>
      <c r="O1331" t="s">
        <v>10263</v>
      </c>
      <c r="P1331" t="s">
        <v>12</v>
      </c>
    </row>
    <row r="1332">
      <c r="A1332">
        <f>HYPERLINK("http://bombeiros.sp.gov.br/hidrantes/03individual/6757.html","6757")</f>
      </c>
      <c r="B1332" t="s">
        <v>623</v>
      </c>
      <c r="C1332" t="s">
        <v>821</v>
      </c>
      <c r="D1332" t="s">
        <v>822</v>
      </c>
      <c r="E1332" t="s">
        <v>64</v>
      </c>
      <c r="F1332" t="s">
        <v>11557</v>
      </c>
      <c r="G1332" t="s">
        <v>18146</v>
      </c>
      <c r="H1332" t="s">
        <v>1112</v>
      </c>
      <c r="I1332" t="s">
        <v>1108</v>
      </c>
      <c r="J1332" t="s">
        <v>11558</v>
      </c>
      <c r="K1332" t="s">
        <v>11559</v>
      </c>
      <c r="L1332" t="s">
        <v>21</v>
      </c>
      <c r="M1332" t="s">
        <v>19177</v>
      </c>
      <c r="N1332" t="s">
        <v>714</v>
      </c>
      <c r="O1332" t="s">
        <v>10263</v>
      </c>
      <c r="P1332" t="s">
        <v>12</v>
      </c>
    </row>
    <row r="1333">
      <c r="A1333">
        <f>HYPERLINK("http://bombeiros.sp.gov.br/hidrantes/03individual/6758.html","6758")</f>
      </c>
      <c r="B1333" t="s">
        <v>623</v>
      </c>
      <c r="C1333" t="s">
        <v>821</v>
      </c>
      <c r="D1333" t="s">
        <v>822</v>
      </c>
      <c r="E1333" t="s">
        <v>64</v>
      </c>
      <c r="F1333" t="s">
        <v>11557</v>
      </c>
      <c r="G1333" t="s">
        <v>18146</v>
      </c>
      <c r="H1333" t="s">
        <v>1112</v>
      </c>
      <c r="I1333" t="s">
        <v>1108</v>
      </c>
      <c r="J1333" t="s">
        <v>11560</v>
      </c>
      <c r="K1333" t="s">
        <v>11561</v>
      </c>
      <c r="L1333" t="s">
        <v>21</v>
      </c>
      <c r="M1333" t="s">
        <v>19177</v>
      </c>
      <c r="N1333" t="s">
        <v>714</v>
      </c>
      <c r="O1333" t="s">
        <v>10263</v>
      </c>
      <c r="P1333" t="s">
        <v>12</v>
      </c>
    </row>
    <row r="1334">
      <c r="A1334">
        <f>HYPERLINK("http://bombeiros.sp.gov.br/hidrantes/03individual/6760.html","6760")</f>
      </c>
      <c r="B1334" t="s">
        <v>623</v>
      </c>
      <c r="C1334" t="s">
        <v>821</v>
      </c>
      <c r="D1334" t="s">
        <v>822</v>
      </c>
      <c r="E1334" t="s">
        <v>64</v>
      </c>
      <c r="F1334" t="s">
        <v>11565</v>
      </c>
      <c r="G1334" t="s">
        <v>18146</v>
      </c>
      <c r="H1334" t="s">
        <v>1112</v>
      </c>
      <c r="I1334" t="s">
        <v>1108</v>
      </c>
      <c r="J1334" t="s">
        <v>11566</v>
      </c>
      <c r="K1334" t="s">
        <v>11567</v>
      </c>
      <c r="L1334" t="s">
        <v>21</v>
      </c>
      <c r="M1334" t="s">
        <v>19177</v>
      </c>
      <c r="N1334" t="s">
        <v>714</v>
      </c>
      <c r="O1334" t="s">
        <v>10263</v>
      </c>
      <c r="P1334" t="s">
        <v>12</v>
      </c>
    </row>
    <row r="1335">
      <c r="A1335">
        <f>HYPERLINK("http://bombeiros.sp.gov.br/hidrantes/03individual/6761.html","6761")</f>
      </c>
      <c r="B1335" t="s">
        <v>623</v>
      </c>
      <c r="C1335" t="s">
        <v>821</v>
      </c>
      <c r="D1335" t="s">
        <v>822</v>
      </c>
      <c r="E1335" t="s">
        <v>64</v>
      </c>
      <c r="F1335" t="s">
        <v>11568</v>
      </c>
      <c r="G1335" t="s">
        <v>18146</v>
      </c>
      <c r="H1335" t="s">
        <v>1112</v>
      </c>
      <c r="I1335" t="s">
        <v>1108</v>
      </c>
      <c r="J1335" t="s">
        <v>11569</v>
      </c>
      <c r="K1335" t="s">
        <v>11570</v>
      </c>
      <c r="L1335" t="s">
        <v>21</v>
      </c>
      <c r="M1335" t="s">
        <v>19177</v>
      </c>
      <c r="N1335" t="s">
        <v>714</v>
      </c>
      <c r="O1335" t="s">
        <v>10263</v>
      </c>
      <c r="P1335" t="s">
        <v>12</v>
      </c>
    </row>
    <row r="1336">
      <c r="A1336">
        <f>HYPERLINK("http://bombeiros.sp.gov.br/hidrantes/03individual/6762.html","6762")</f>
      </c>
      <c r="B1336" t="s">
        <v>623</v>
      </c>
      <c r="C1336" t="s">
        <v>821</v>
      </c>
      <c r="D1336" t="s">
        <v>822</v>
      </c>
      <c r="E1336" t="s">
        <v>64</v>
      </c>
      <c r="F1336" t="s">
        <v>11571</v>
      </c>
      <c r="G1336" t="s">
        <v>18146</v>
      </c>
      <c r="H1336" t="s">
        <v>1112</v>
      </c>
      <c r="I1336" t="s">
        <v>1108</v>
      </c>
      <c r="J1336" t="s">
        <v>11572</v>
      </c>
      <c r="K1336" t="s">
        <v>11573</v>
      </c>
      <c r="L1336" t="s">
        <v>21</v>
      </c>
      <c r="M1336" t="s">
        <v>19177</v>
      </c>
      <c r="N1336" t="s">
        <v>714</v>
      </c>
      <c r="O1336" t="s">
        <v>10263</v>
      </c>
      <c r="P1336" t="s">
        <v>12</v>
      </c>
    </row>
    <row r="1337">
      <c r="A1337">
        <f>HYPERLINK("http://bombeiros.sp.gov.br/hidrantes/03individual/6764.html","6764")</f>
      </c>
      <c r="B1337" t="s">
        <v>623</v>
      </c>
      <c r="C1337" t="s">
        <v>821</v>
      </c>
      <c r="D1337" t="s">
        <v>822</v>
      </c>
      <c r="E1337" t="s">
        <v>64</v>
      </c>
      <c r="F1337" t="s">
        <v>11577</v>
      </c>
      <c r="G1337" t="s">
        <v>18146</v>
      </c>
      <c r="H1337" t="s">
        <v>1112</v>
      </c>
      <c r="I1337" t="s">
        <v>1108</v>
      </c>
      <c r="J1337" t="s">
        <v>11578</v>
      </c>
      <c r="K1337" t="s">
        <v>11579</v>
      </c>
      <c r="L1337" t="s">
        <v>21</v>
      </c>
      <c r="M1337" t="s">
        <v>19177</v>
      </c>
      <c r="N1337" t="s">
        <v>714</v>
      </c>
      <c r="O1337" t="s">
        <v>10263</v>
      </c>
      <c r="P1337" t="s">
        <v>12</v>
      </c>
    </row>
    <row r="1338">
      <c r="A1338">
        <f>HYPERLINK("http://bombeiros.sp.gov.br/hidrantes/03individual/6765.html","6765")</f>
      </c>
      <c r="B1338" t="s">
        <v>623</v>
      </c>
      <c r="C1338" t="s">
        <v>821</v>
      </c>
      <c r="D1338" t="s">
        <v>822</v>
      </c>
      <c r="E1338" t="s">
        <v>64</v>
      </c>
      <c r="F1338" t="s">
        <v>11580</v>
      </c>
      <c r="G1338" t="s">
        <v>17934</v>
      </c>
      <c r="H1338"/>
      <c r="I1338" t="s">
        <v>18</v>
      </c>
      <c r="J1338" t="s">
        <v>11581</v>
      </c>
      <c r="K1338" t="s">
        <v>11582</v>
      </c>
      <c r="L1338" t="s">
        <v>21</v>
      </c>
      <c r="M1338" t="s">
        <v>19177</v>
      </c>
      <c r="N1338" t="s">
        <v>714</v>
      </c>
      <c r="O1338" t="s">
        <v>10263</v>
      </c>
      <c r="P1338" t="s">
        <v>12</v>
      </c>
    </row>
    <row r="1339">
      <c r="A1339">
        <f>HYPERLINK("http://bombeiros.sp.gov.br/hidrantes/03individual/6766.html","6766")</f>
      </c>
      <c r="B1339" t="s">
        <v>623</v>
      </c>
      <c r="C1339" t="s">
        <v>821</v>
      </c>
      <c r="D1339" t="s">
        <v>822</v>
      </c>
      <c r="E1339" t="s">
        <v>64</v>
      </c>
      <c r="F1339" t="s">
        <v>11583</v>
      </c>
      <c r="G1339" t="s">
        <v>18146</v>
      </c>
      <c r="H1339" t="s">
        <v>1112</v>
      </c>
      <c r="I1339" t="s">
        <v>1108</v>
      </c>
      <c r="J1339" t="s">
        <v>11584</v>
      </c>
      <c r="K1339" t="s">
        <v>11585</v>
      </c>
      <c r="L1339" t="s">
        <v>21</v>
      </c>
      <c r="M1339" t="s">
        <v>19177</v>
      </c>
      <c r="N1339" t="s">
        <v>714</v>
      </c>
      <c r="O1339" t="s">
        <v>10263</v>
      </c>
      <c r="P1339" t="s">
        <v>12</v>
      </c>
    </row>
    <row r="1340">
      <c r="A1340">
        <f>HYPERLINK("http://bombeiros.sp.gov.br/hidrantes/03individual/6767.html","6767")</f>
      </c>
      <c r="B1340" t="s">
        <v>623</v>
      </c>
      <c r="C1340" t="s">
        <v>821</v>
      </c>
      <c r="D1340" t="s">
        <v>822</v>
      </c>
      <c r="E1340" t="s">
        <v>64</v>
      </c>
      <c r="F1340" t="s">
        <v>11586</v>
      </c>
      <c r="G1340" t="s">
        <v>18146</v>
      </c>
      <c r="H1340" t="s">
        <v>1112</v>
      </c>
      <c r="I1340" t="s">
        <v>1108</v>
      </c>
      <c r="J1340" t="s">
        <v>11587</v>
      </c>
      <c r="K1340" t="s">
        <v>11588</v>
      </c>
      <c r="L1340" t="s">
        <v>21</v>
      </c>
      <c r="M1340" t="s">
        <v>19177</v>
      </c>
      <c r="N1340" t="s">
        <v>714</v>
      </c>
      <c r="O1340" t="s">
        <v>10263</v>
      </c>
      <c r="P1340" t="s">
        <v>12</v>
      </c>
    </row>
    <row r="1341">
      <c r="A1341">
        <f>HYPERLINK("http://bombeiros.sp.gov.br/hidrantes/03individual/6768.html","6768")</f>
      </c>
      <c r="B1341" t="s">
        <v>623</v>
      </c>
      <c r="C1341" t="s">
        <v>821</v>
      </c>
      <c r="D1341" t="s">
        <v>822</v>
      </c>
      <c r="E1341" t="s">
        <v>64</v>
      </c>
      <c r="F1341" t="s">
        <v>11589</v>
      </c>
      <c r="G1341" t="s">
        <v>18146</v>
      </c>
      <c r="H1341" t="s">
        <v>1112</v>
      </c>
      <c r="I1341" t="s">
        <v>1108</v>
      </c>
      <c r="J1341" t="s">
        <v>11590</v>
      </c>
      <c r="K1341" t="s">
        <v>11591</v>
      </c>
      <c r="L1341" t="s">
        <v>21</v>
      </c>
      <c r="M1341" t="s">
        <v>19177</v>
      </c>
      <c r="N1341" t="s">
        <v>714</v>
      </c>
      <c r="O1341" t="s">
        <v>10263</v>
      </c>
      <c r="P1341" t="s">
        <v>12</v>
      </c>
    </row>
    <row r="1342">
      <c r="A1342">
        <f>HYPERLINK("http://bombeiros.sp.gov.br/hidrantes/03individual/6769.html","6769")</f>
      </c>
      <c r="B1342" t="s">
        <v>623</v>
      </c>
      <c r="C1342" t="s">
        <v>821</v>
      </c>
      <c r="D1342" t="s">
        <v>822</v>
      </c>
      <c r="E1342" t="s">
        <v>64</v>
      </c>
      <c r="F1342" t="s">
        <v>11592</v>
      </c>
      <c r="G1342" t="s">
        <v>17955</v>
      </c>
      <c r="H1342" t="s">
        <v>1112</v>
      </c>
      <c r="I1342" t="s">
        <v>1108</v>
      </c>
      <c r="J1342" t="s">
        <v>11593</v>
      </c>
      <c r="K1342" t="s">
        <v>11594</v>
      </c>
      <c r="L1342" t="s">
        <v>21</v>
      </c>
      <c r="M1342" t="s">
        <v>19177</v>
      </c>
      <c r="N1342" t="s">
        <v>714</v>
      </c>
      <c r="O1342" t="s">
        <v>10263</v>
      </c>
      <c r="P1342" t="s">
        <v>12</v>
      </c>
    </row>
    <row r="1343">
      <c r="A1343">
        <f>HYPERLINK("http://bombeiros.sp.gov.br/hidrantes/03individual/6770.html","6770")</f>
      </c>
      <c r="B1343" t="s">
        <v>623</v>
      </c>
      <c r="C1343" t="s">
        <v>821</v>
      </c>
      <c r="D1343" t="s">
        <v>822</v>
      </c>
      <c r="E1343" t="s">
        <v>64</v>
      </c>
      <c r="F1343" t="s">
        <v>11595</v>
      </c>
      <c r="G1343" t="s">
        <v>18146</v>
      </c>
      <c r="H1343" t="s">
        <v>1112</v>
      </c>
      <c r="I1343" t="s">
        <v>1108</v>
      </c>
      <c r="J1343" t="s">
        <v>11596</v>
      </c>
      <c r="K1343" t="s">
        <v>11597</v>
      </c>
      <c r="L1343" t="s">
        <v>21</v>
      </c>
      <c r="M1343" t="s">
        <v>19177</v>
      </c>
      <c r="N1343" t="s">
        <v>714</v>
      </c>
      <c r="O1343" t="s">
        <v>10263</v>
      </c>
      <c r="P1343" t="s">
        <v>12</v>
      </c>
    </row>
    <row r="1344">
      <c r="A1344">
        <f>HYPERLINK("http://bombeiros.sp.gov.br/hidrantes/03individual/6771.html","6771")</f>
      </c>
      <c r="B1344" t="s">
        <v>623</v>
      </c>
      <c r="C1344" t="s">
        <v>821</v>
      </c>
      <c r="D1344" t="s">
        <v>822</v>
      </c>
      <c r="E1344" t="s">
        <v>64</v>
      </c>
      <c r="F1344" t="s">
        <v>11598</v>
      </c>
      <c r="G1344" t="s">
        <v>18146</v>
      </c>
      <c r="H1344" t="s">
        <v>1112</v>
      </c>
      <c r="I1344" t="s">
        <v>1108</v>
      </c>
      <c r="J1344" t="s">
        <v>11599</v>
      </c>
      <c r="K1344" t="s">
        <v>11600</v>
      </c>
      <c r="L1344" t="s">
        <v>21</v>
      </c>
      <c r="M1344" t="s">
        <v>19177</v>
      </c>
      <c r="N1344" t="s">
        <v>714</v>
      </c>
      <c r="O1344" t="s">
        <v>10263</v>
      </c>
      <c r="P1344" t="s">
        <v>12</v>
      </c>
    </row>
    <row r="1345">
      <c r="A1345">
        <f>HYPERLINK("http://bombeiros.sp.gov.br/hidrantes/03individual/6772.html","6772")</f>
      </c>
      <c r="B1345" t="s">
        <v>623</v>
      </c>
      <c r="C1345" t="s">
        <v>821</v>
      </c>
      <c r="D1345" t="s">
        <v>822</v>
      </c>
      <c r="E1345" t="s">
        <v>64</v>
      </c>
      <c r="F1345" t="s">
        <v>11601</v>
      </c>
      <c r="G1345" t="s">
        <v>18146</v>
      </c>
      <c r="H1345" t="s">
        <v>1112</v>
      </c>
      <c r="I1345" t="s">
        <v>1108</v>
      </c>
      <c r="J1345" t="s">
        <v>11602</v>
      </c>
      <c r="K1345" t="s">
        <v>11603</v>
      </c>
      <c r="L1345" t="s">
        <v>21</v>
      </c>
      <c r="M1345" t="s">
        <v>19177</v>
      </c>
      <c r="N1345" t="s">
        <v>714</v>
      </c>
      <c r="O1345" t="s">
        <v>10263</v>
      </c>
      <c r="P1345" t="s">
        <v>12</v>
      </c>
    </row>
    <row r="1346">
      <c r="A1346">
        <f>HYPERLINK("http://bombeiros.sp.gov.br/hidrantes/03individual/16310.html","16310")</f>
      </c>
      <c r="B1346" t="s">
        <v>623</v>
      </c>
      <c r="C1346" t="s">
        <v>821</v>
      </c>
      <c r="D1346" t="s">
        <v>822</v>
      </c>
      <c r="E1346" t="s">
        <v>64</v>
      </c>
      <c r="F1346" t="s">
        <v>11516</v>
      </c>
      <c r="G1346" t="s">
        <v>18146</v>
      </c>
      <c r="H1346" t="s">
        <v>1112</v>
      </c>
      <c r="I1346" t="s">
        <v>1108</v>
      </c>
      <c r="J1346" t="s">
        <v>11604</v>
      </c>
      <c r="K1346" t="s">
        <v>11605</v>
      </c>
      <c r="L1346" t="s">
        <v>21</v>
      </c>
      <c r="M1346" t="s">
        <v>19177</v>
      </c>
      <c r="N1346" t="s">
        <v>714</v>
      </c>
      <c r="O1346" t="s">
        <v>10263</v>
      </c>
      <c r="P1346" t="s">
        <v>12</v>
      </c>
    </row>
    <row r="1347">
      <c r="A1347">
        <f>HYPERLINK("http://bombeiros.sp.gov.br/hidrantes/03individual/27414.html","27414")</f>
      </c>
      <c r="B1347" t="s">
        <v>623</v>
      </c>
      <c r="C1347" t="s">
        <v>821</v>
      </c>
      <c r="D1347" t="s">
        <v>822</v>
      </c>
      <c r="E1347" t="s">
        <v>64</v>
      </c>
      <c r="F1347" t="s">
        <v>17340</v>
      </c>
      <c r="G1347" t="s">
        <v>18090</v>
      </c>
      <c r="H1347" t="s">
        <v>1112</v>
      </c>
      <c r="I1347" t="s">
        <v>1108</v>
      </c>
      <c r="J1347" t="s">
        <v>17341</v>
      </c>
      <c r="K1347" t="s">
        <v>17342</v>
      </c>
      <c r="L1347" t="s">
        <v>21</v>
      </c>
      <c r="M1347" t="s">
        <v>19177</v>
      </c>
      <c r="N1347" t="s">
        <v>714</v>
      </c>
      <c r="O1347" t="s">
        <v>10263</v>
      </c>
      <c r="P1347" t="s">
        <v>12</v>
      </c>
    </row>
    <row r="1348">
      <c r="A1348">
        <f>HYPERLINK("http://bombeiros.sp.gov.br/hidrantes/03individual/27416.html","27416")</f>
      </c>
      <c r="B1348" t="s">
        <v>623</v>
      </c>
      <c r="C1348" t="s">
        <v>821</v>
      </c>
      <c r="D1348" t="s">
        <v>822</v>
      </c>
      <c r="E1348" t="s">
        <v>64</v>
      </c>
      <c r="F1348" t="s">
        <v>17346</v>
      </c>
      <c r="G1348" t="s">
        <v>18146</v>
      </c>
      <c r="H1348" t="s">
        <v>1112</v>
      </c>
      <c r="I1348" t="s">
        <v>1108</v>
      </c>
      <c r="J1348" t="s">
        <v>17347</v>
      </c>
      <c r="K1348" t="s">
        <v>17348</v>
      </c>
      <c r="L1348" t="s">
        <v>21</v>
      </c>
      <c r="M1348" t="s">
        <v>19177</v>
      </c>
      <c r="N1348" t="s">
        <v>714</v>
      </c>
      <c r="O1348" t="s">
        <v>10263</v>
      </c>
      <c r="P1348" t="s">
        <v>12</v>
      </c>
    </row>
    <row r="1349">
      <c r="A1349">
        <f>HYPERLINK("http://bombeiros.sp.gov.br/hidrantes/03individual/27444.html","27444")</f>
      </c>
      <c r="B1349" t="s">
        <v>623</v>
      </c>
      <c r="C1349" t="s">
        <v>821</v>
      </c>
      <c r="D1349" t="s">
        <v>822</v>
      </c>
      <c r="E1349" t="s">
        <v>64</v>
      </c>
      <c r="F1349" t="s">
        <v>17349</v>
      </c>
      <c r="G1349" t="s">
        <v>17955</v>
      </c>
      <c r="H1349" t="s">
        <v>1112</v>
      </c>
      <c r="I1349" t="s">
        <v>1108</v>
      </c>
      <c r="J1349" t="s">
        <v>17350</v>
      </c>
      <c r="K1349" t="s">
        <v>17351</v>
      </c>
      <c r="L1349" t="s">
        <v>21</v>
      </c>
      <c r="M1349" t="s">
        <v>19177</v>
      </c>
      <c r="N1349" t="s">
        <v>714</v>
      </c>
      <c r="O1349" t="s">
        <v>10263</v>
      </c>
      <c r="P1349" t="s">
        <v>12</v>
      </c>
    </row>
    <row r="1350">
      <c r="A1350">
        <f>HYPERLINK("http://bombeiros.sp.gov.br/hidrantes/03individual/27445.html","27445")</f>
      </c>
      <c r="B1350" t="s">
        <v>623</v>
      </c>
      <c r="C1350" t="s">
        <v>821</v>
      </c>
      <c r="D1350" t="s">
        <v>822</v>
      </c>
      <c r="E1350" t="s">
        <v>64</v>
      </c>
      <c r="F1350" t="s">
        <v>17352</v>
      </c>
      <c r="G1350" t="s">
        <v>18146</v>
      </c>
      <c r="H1350" t="s">
        <v>1112</v>
      </c>
      <c r="I1350" t="s">
        <v>1108</v>
      </c>
      <c r="J1350" t="s">
        <v>17353</v>
      </c>
      <c r="K1350" t="s">
        <v>17354</v>
      </c>
      <c r="L1350" t="s">
        <v>21</v>
      </c>
      <c r="M1350" t="s">
        <v>19177</v>
      </c>
      <c r="N1350" t="s">
        <v>714</v>
      </c>
      <c r="O1350" t="s">
        <v>10263</v>
      </c>
      <c r="P1350" t="s">
        <v>12</v>
      </c>
    </row>
    <row r="1351">
      <c r="A1351">
        <f>HYPERLINK("http://bombeiros.sp.gov.br/hidrantes/03individual/27447.html","27447")</f>
      </c>
      <c r="B1351" t="s">
        <v>623</v>
      </c>
      <c r="C1351" t="s">
        <v>821</v>
      </c>
      <c r="D1351" t="s">
        <v>822</v>
      </c>
      <c r="E1351" t="s">
        <v>64</v>
      </c>
      <c r="F1351" t="s">
        <v>17358</v>
      </c>
      <c r="G1351" t="s">
        <v>18146</v>
      </c>
      <c r="H1351" t="s">
        <v>1112</v>
      </c>
      <c r="I1351" t="s">
        <v>1108</v>
      </c>
      <c r="J1351" t="s">
        <v>17359</v>
      </c>
      <c r="K1351" t="s">
        <v>17360</v>
      </c>
      <c r="L1351" t="s">
        <v>21</v>
      </c>
      <c r="M1351" t="s">
        <v>19177</v>
      </c>
      <c r="N1351" t="s">
        <v>714</v>
      </c>
      <c r="O1351" t="s">
        <v>10263</v>
      </c>
      <c r="P1351" t="s">
        <v>12</v>
      </c>
    </row>
    <row r="1352">
      <c r="A1352">
        <f>HYPERLINK("http://bombeiros.sp.gov.br/hidrantes/03individual/27448.html","27448")</f>
      </c>
      <c r="B1352" t="s">
        <v>623</v>
      </c>
      <c r="C1352" t="s">
        <v>821</v>
      </c>
      <c r="D1352" t="s">
        <v>822</v>
      </c>
      <c r="E1352" t="s">
        <v>64</v>
      </c>
      <c r="F1352" t="s">
        <v>17361</v>
      </c>
      <c r="G1352" t="s">
        <v>18146</v>
      </c>
      <c r="H1352" t="s">
        <v>1112</v>
      </c>
      <c r="I1352" t="s">
        <v>1108</v>
      </c>
      <c r="J1352" t="s">
        <v>17362</v>
      </c>
      <c r="K1352" t="s">
        <v>17363</v>
      </c>
      <c r="L1352" t="s">
        <v>21</v>
      </c>
      <c r="M1352" t="s">
        <v>19177</v>
      </c>
      <c r="N1352" t="s">
        <v>714</v>
      </c>
      <c r="O1352" t="s">
        <v>10263</v>
      </c>
      <c r="P1352" t="s">
        <v>12</v>
      </c>
    </row>
    <row r="1353">
      <c r="A1353">
        <f>HYPERLINK("http://bombeiros.sp.gov.br/hidrantes/03individual/27450.html","27450")</f>
      </c>
      <c r="B1353" t="s">
        <v>623</v>
      </c>
      <c r="C1353" t="s">
        <v>821</v>
      </c>
      <c r="D1353" t="s">
        <v>822</v>
      </c>
      <c r="E1353" t="s">
        <v>64</v>
      </c>
      <c r="F1353" t="s">
        <v>17367</v>
      </c>
      <c r="G1353" t="s">
        <v>18146</v>
      </c>
      <c r="H1353" t="s">
        <v>1112</v>
      </c>
      <c r="I1353" t="s">
        <v>1108</v>
      </c>
      <c r="J1353" t="s">
        <v>17368</v>
      </c>
      <c r="K1353" t="s">
        <v>17369</v>
      </c>
      <c r="L1353" t="s">
        <v>21</v>
      </c>
      <c r="M1353" t="s">
        <v>19177</v>
      </c>
      <c r="N1353" t="s">
        <v>714</v>
      </c>
      <c r="O1353" t="s">
        <v>10263</v>
      </c>
      <c r="P1353" t="s">
        <v>12</v>
      </c>
    </row>
    <row r="1354">
      <c r="A1354">
        <f>HYPERLINK("http://bombeiros.sp.gov.br/hidrantes/03individual/27451.html","27451")</f>
      </c>
      <c r="B1354" t="s">
        <v>623</v>
      </c>
      <c r="C1354" t="s">
        <v>821</v>
      </c>
      <c r="D1354" t="s">
        <v>822</v>
      </c>
      <c r="E1354" t="s">
        <v>64</v>
      </c>
      <c r="F1354" t="s">
        <v>17370</v>
      </c>
      <c r="G1354" t="s">
        <v>18146</v>
      </c>
      <c r="H1354" t="s">
        <v>1112</v>
      </c>
      <c r="I1354" t="s">
        <v>1108</v>
      </c>
      <c r="J1354" t="s">
        <v>17371</v>
      </c>
      <c r="K1354" t="s">
        <v>17372</v>
      </c>
      <c r="L1354" t="s">
        <v>21</v>
      </c>
      <c r="M1354" t="s">
        <v>19177</v>
      </c>
      <c r="N1354" t="s">
        <v>714</v>
      </c>
      <c r="O1354" t="s">
        <v>10263</v>
      </c>
      <c r="P1354" t="s">
        <v>12</v>
      </c>
    </row>
    <row r="1355">
      <c r="A1355">
        <f>HYPERLINK("http://bombeiros.sp.gov.br/hidrantes/03individual/10049.html","10049")</f>
      </c>
      <c r="B1355" t="s">
        <v>623</v>
      </c>
      <c r="C1355" t="s">
        <v>821</v>
      </c>
      <c r="D1355" t="s">
        <v>11612</v>
      </c>
      <c r="E1355" t="s">
        <v>1507</v>
      </c>
      <c r="F1355" t="s">
        <v>11613</v>
      </c>
      <c r="G1355" t="s">
        <v>18146</v>
      </c>
      <c r="H1355" t="s">
        <v>1112</v>
      </c>
      <c r="I1355" t="s">
        <v>1108</v>
      </c>
      <c r="J1355" t="s">
        <v>11614</v>
      </c>
      <c r="K1355" t="s">
        <v>11615</v>
      </c>
      <c r="L1355" t="s">
        <v>21</v>
      </c>
      <c r="M1355" t="s">
        <v>19177</v>
      </c>
      <c r="N1355" t="s">
        <v>714</v>
      </c>
      <c r="O1355" t="s">
        <v>10263</v>
      </c>
      <c r="P1355" t="s">
        <v>12</v>
      </c>
    </row>
    <row r="1356">
      <c r="A1356">
        <f>HYPERLINK("http://bombeiros.sp.gov.br/hidrantes/03individual/1087.html","1087")</f>
      </c>
      <c r="B1356" t="s">
        <v>623</v>
      </c>
      <c r="C1356" t="s">
        <v>821</v>
      </c>
      <c r="D1356" t="s">
        <v>11612</v>
      </c>
      <c r="E1356" t="s">
        <v>15</v>
      </c>
      <c r="F1356" t="s">
        <v>11616</v>
      </c>
      <c r="G1356" t="s">
        <v>18146</v>
      </c>
      <c r="H1356" t="s">
        <v>1112</v>
      </c>
      <c r="I1356" t="s">
        <v>1108</v>
      </c>
      <c r="J1356" t="s">
        <v>11617</v>
      </c>
      <c r="K1356" t="s">
        <v>11618</v>
      </c>
      <c r="L1356" t="s">
        <v>21</v>
      </c>
      <c r="M1356" t="s">
        <v>19177</v>
      </c>
      <c r="N1356" t="s">
        <v>714</v>
      </c>
      <c r="O1356" t="s">
        <v>10263</v>
      </c>
      <c r="P1356" t="s">
        <v>12</v>
      </c>
    </row>
    <row r="1357">
      <c r="A1357">
        <f>HYPERLINK("http://bombeiros.sp.gov.br/hidrantes/03individual/1088.html","1088")</f>
      </c>
      <c r="B1357" t="s">
        <v>623</v>
      </c>
      <c r="C1357" t="s">
        <v>821</v>
      </c>
      <c r="D1357" t="s">
        <v>11612</v>
      </c>
      <c r="E1357" t="s">
        <v>15</v>
      </c>
      <c r="F1357" t="s">
        <v>11619</v>
      </c>
      <c r="G1357" t="s">
        <v>18146</v>
      </c>
      <c r="H1357" t="s">
        <v>1112</v>
      </c>
      <c r="I1357" t="s">
        <v>1108</v>
      </c>
      <c r="J1357" t="s">
        <v>11620</v>
      </c>
      <c r="K1357" t="s">
        <v>11621</v>
      </c>
      <c r="L1357" t="s">
        <v>21</v>
      </c>
      <c r="M1357" t="s">
        <v>19177</v>
      </c>
      <c r="N1357" t="s">
        <v>714</v>
      </c>
      <c r="O1357" t="s">
        <v>10263</v>
      </c>
      <c r="P1357" t="s">
        <v>12</v>
      </c>
    </row>
    <row r="1358">
      <c r="A1358">
        <f>HYPERLINK("http://bombeiros.sp.gov.br/hidrantes/03individual/1089.html","1089")</f>
      </c>
      <c r="B1358" t="s">
        <v>623</v>
      </c>
      <c r="C1358" t="s">
        <v>821</v>
      </c>
      <c r="D1358" t="s">
        <v>11612</v>
      </c>
      <c r="E1358" t="s">
        <v>15</v>
      </c>
      <c r="F1358" t="s">
        <v>11622</v>
      </c>
      <c r="G1358" t="s">
        <v>18146</v>
      </c>
      <c r="H1358" t="s">
        <v>1112</v>
      </c>
      <c r="I1358" t="s">
        <v>1108</v>
      </c>
      <c r="J1358" t="s">
        <v>11623</v>
      </c>
      <c r="K1358" t="s">
        <v>11624</v>
      </c>
      <c r="L1358" t="s">
        <v>21</v>
      </c>
      <c r="M1358" t="s">
        <v>19177</v>
      </c>
      <c r="N1358" t="s">
        <v>714</v>
      </c>
      <c r="O1358" t="s">
        <v>10263</v>
      </c>
      <c r="P1358" t="s">
        <v>12</v>
      </c>
    </row>
    <row r="1359">
      <c r="A1359">
        <f>HYPERLINK("http://bombeiros.sp.gov.br/hidrantes/03individual/1147.html","1147")</f>
      </c>
      <c r="B1359" t="s">
        <v>623</v>
      </c>
      <c r="C1359" t="s">
        <v>821</v>
      </c>
      <c r="D1359" t="s">
        <v>11612</v>
      </c>
      <c r="E1359" t="s">
        <v>15</v>
      </c>
      <c r="F1359" t="s">
        <v>11625</v>
      </c>
      <c r="G1359" t="s">
        <v>17913</v>
      </c>
      <c r="H1359" t="s">
        <v>1112</v>
      </c>
      <c r="I1359" t="s">
        <v>1108</v>
      </c>
      <c r="J1359" t="s">
        <v>11626</v>
      </c>
      <c r="K1359" t="s">
        <v>11627</v>
      </c>
      <c r="L1359" t="s">
        <v>21</v>
      </c>
      <c r="M1359" t="s">
        <v>19177</v>
      </c>
      <c r="N1359" t="s">
        <v>714</v>
      </c>
      <c r="O1359" t="s">
        <v>10263</v>
      </c>
      <c r="P1359" t="s">
        <v>12</v>
      </c>
    </row>
    <row r="1360">
      <c r="A1360">
        <f>HYPERLINK("http://bombeiros.sp.gov.br/hidrantes/03individual/17906.html","17906")</f>
      </c>
      <c r="B1360" t="s">
        <v>623</v>
      </c>
      <c r="C1360" t="s">
        <v>821</v>
      </c>
      <c r="D1360" t="s">
        <v>11612</v>
      </c>
      <c r="E1360" t="s">
        <v>15</v>
      </c>
      <c r="F1360" t="s">
        <v>11628</v>
      </c>
      <c r="G1360" t="s">
        <v>18146</v>
      </c>
      <c r="H1360" t="s">
        <v>1112</v>
      </c>
      <c r="I1360" t="s">
        <v>1108</v>
      </c>
      <c r="J1360" t="s">
        <v>11629</v>
      </c>
      <c r="K1360" t="s">
        <v>11630</v>
      </c>
      <c r="L1360" t="s">
        <v>21</v>
      </c>
      <c r="M1360" t="s">
        <v>19177</v>
      </c>
      <c r="N1360" t="s">
        <v>714</v>
      </c>
      <c r="O1360" t="s">
        <v>10263</v>
      </c>
      <c r="P1360" t="s">
        <v>12</v>
      </c>
    </row>
    <row r="1361">
      <c r="A1361">
        <f>HYPERLINK("http://bombeiros.sp.gov.br/hidrantes/03individual/900.html","900")</f>
      </c>
      <c r="B1361" t="s">
        <v>623</v>
      </c>
      <c r="C1361" t="s">
        <v>821</v>
      </c>
      <c r="D1361" t="s">
        <v>11631</v>
      </c>
      <c r="E1361" t="s">
        <v>64</v>
      </c>
      <c r="F1361" t="s">
        <v>11632</v>
      </c>
      <c r="G1361" t="s">
        <v>18090</v>
      </c>
      <c r="H1361" t="s">
        <v>1112</v>
      </c>
      <c r="I1361" t="s">
        <v>1108</v>
      </c>
      <c r="J1361" t="s">
        <v>11633</v>
      </c>
      <c r="K1361" t="s">
        <v>11634</v>
      </c>
      <c r="L1361" t="s">
        <v>21</v>
      </c>
      <c r="M1361" t="s">
        <v>19177</v>
      </c>
      <c r="N1361" t="s">
        <v>714</v>
      </c>
      <c r="O1361" t="s">
        <v>10263</v>
      </c>
      <c r="P1361" t="s">
        <v>12</v>
      </c>
    </row>
    <row r="1362">
      <c r="A1362">
        <f>HYPERLINK("http://bombeiros.sp.gov.br/hidrantes/03individual/1250.html","1250")</f>
      </c>
      <c r="B1362" t="s">
        <v>623</v>
      </c>
      <c r="C1362" t="s">
        <v>821</v>
      </c>
      <c r="D1362" t="s">
        <v>11631</v>
      </c>
      <c r="E1362" t="s">
        <v>15</v>
      </c>
      <c r="F1362" t="s">
        <v>11635</v>
      </c>
      <c r="G1362" t="s">
        <v>18117</v>
      </c>
      <c r="H1362" t="s">
        <v>1107</v>
      </c>
      <c r="I1362" t="s">
        <v>1108</v>
      </c>
      <c r="J1362" t="s">
        <v>11636</v>
      </c>
      <c r="K1362" t="s">
        <v>11637</v>
      </c>
      <c r="L1362" t="s">
        <v>21</v>
      </c>
      <c r="M1362" t="s">
        <v>19177</v>
      </c>
      <c r="N1362" t="s">
        <v>714</v>
      </c>
      <c r="O1362" t="s">
        <v>10263</v>
      </c>
      <c r="P1362" t="s">
        <v>12</v>
      </c>
    </row>
    <row r="1363">
      <c r="A1363">
        <f>HYPERLINK("http://bombeiros.sp.gov.br/hidrantes/03individual/1252.html","1252")</f>
      </c>
      <c r="B1363" t="s">
        <v>623</v>
      </c>
      <c r="C1363" t="s">
        <v>821</v>
      </c>
      <c r="D1363" t="s">
        <v>11631</v>
      </c>
      <c r="E1363" t="s">
        <v>15</v>
      </c>
      <c r="F1363" t="s">
        <v>11638</v>
      </c>
      <c r="G1363" t="s">
        <v>18143</v>
      </c>
      <c r="H1363"/>
      <c r="I1363" t="s">
        <v>18</v>
      </c>
      <c r="J1363" t="s">
        <v>11639</v>
      </c>
      <c r="K1363" t="s">
        <v>11640</v>
      </c>
      <c r="L1363" t="s">
        <v>21</v>
      </c>
      <c r="M1363" t="s">
        <v>19177</v>
      </c>
      <c r="N1363" t="s">
        <v>714</v>
      </c>
      <c r="O1363" t="s">
        <v>10263</v>
      </c>
      <c r="P1363" t="s">
        <v>12</v>
      </c>
    </row>
    <row r="1364">
      <c r="A1364">
        <f>HYPERLINK("http://bombeiros.sp.gov.br/hidrantes/03individual/1253.html","1253")</f>
      </c>
      <c r="B1364" t="s">
        <v>623</v>
      </c>
      <c r="C1364" t="s">
        <v>821</v>
      </c>
      <c r="D1364" t="s">
        <v>11631</v>
      </c>
      <c r="E1364" t="s">
        <v>15</v>
      </c>
      <c r="F1364" t="s">
        <v>11641</v>
      </c>
      <c r="G1364" t="s">
        <v>18050</v>
      </c>
      <c r="H1364" t="s">
        <v>1112</v>
      </c>
      <c r="I1364" t="s">
        <v>1108</v>
      </c>
      <c r="J1364" t="s">
        <v>11642</v>
      </c>
      <c r="K1364" t="s">
        <v>11643</v>
      </c>
      <c r="L1364" t="s">
        <v>21</v>
      </c>
      <c r="M1364" t="s">
        <v>19177</v>
      </c>
      <c r="N1364" t="s">
        <v>714</v>
      </c>
      <c r="O1364" t="s">
        <v>10263</v>
      </c>
      <c r="P1364" t="s">
        <v>12</v>
      </c>
    </row>
    <row r="1365">
      <c r="A1365">
        <f>HYPERLINK("http://bombeiros.sp.gov.br/hidrantes/03individual/1257.html","1257")</f>
      </c>
      <c r="B1365" t="s">
        <v>623</v>
      </c>
      <c r="C1365" t="s">
        <v>821</v>
      </c>
      <c r="D1365" t="s">
        <v>11631</v>
      </c>
      <c r="E1365" t="s">
        <v>15</v>
      </c>
      <c r="F1365" t="s">
        <v>11644</v>
      </c>
      <c r="G1365" t="s">
        <v>18110</v>
      </c>
      <c r="H1365" t="s">
        <v>1112</v>
      </c>
      <c r="I1365" t="s">
        <v>1108</v>
      </c>
      <c r="J1365" t="s">
        <v>11645</v>
      </c>
      <c r="K1365" t="s">
        <v>11646</v>
      </c>
      <c r="L1365" t="s">
        <v>21</v>
      </c>
      <c r="M1365" t="s">
        <v>19177</v>
      </c>
      <c r="N1365" t="s">
        <v>714</v>
      </c>
      <c r="O1365" t="s">
        <v>10263</v>
      </c>
      <c r="P1365" t="s">
        <v>12</v>
      </c>
    </row>
    <row r="1366">
      <c r="A1366">
        <f>HYPERLINK("http://bombeiros.sp.gov.br/hidrantes/03individual/1345.html","1345")</f>
      </c>
      <c r="B1366" t="s">
        <v>623</v>
      </c>
      <c r="C1366" t="s">
        <v>821</v>
      </c>
      <c r="D1366" t="s">
        <v>11631</v>
      </c>
      <c r="E1366" t="s">
        <v>15</v>
      </c>
      <c r="F1366" t="s">
        <v>11647</v>
      </c>
      <c r="G1366" t="s">
        <v>17918</v>
      </c>
      <c r="H1366" t="s">
        <v>1112</v>
      </c>
      <c r="I1366" t="s">
        <v>1108</v>
      </c>
      <c r="J1366" t="s">
        <v>11648</v>
      </c>
      <c r="K1366" t="s">
        <v>11649</v>
      </c>
      <c r="L1366" t="s">
        <v>21</v>
      </c>
      <c r="M1366" t="s">
        <v>19177</v>
      </c>
      <c r="N1366" t="s">
        <v>714</v>
      </c>
      <c r="O1366" t="s">
        <v>10263</v>
      </c>
      <c r="P1366" t="s">
        <v>12</v>
      </c>
    </row>
    <row r="1367">
      <c r="A1367">
        <f>HYPERLINK("http://bombeiros.sp.gov.br/hidrantes/03individual/6788.html","6788")</f>
      </c>
      <c r="B1367" t="s">
        <v>623</v>
      </c>
      <c r="C1367" t="s">
        <v>821</v>
      </c>
      <c r="D1367" t="s">
        <v>11631</v>
      </c>
      <c r="E1367" t="s">
        <v>15</v>
      </c>
      <c r="F1367" t="s">
        <v>11650</v>
      </c>
      <c r="G1367" t="s">
        <v>17952</v>
      </c>
      <c r="H1367" t="s">
        <v>1112</v>
      </c>
      <c r="I1367" t="s">
        <v>1108</v>
      </c>
      <c r="J1367" t="s">
        <v>11651</v>
      </c>
      <c r="K1367" t="s">
        <v>11652</v>
      </c>
      <c r="L1367" t="s">
        <v>21</v>
      </c>
      <c r="M1367" t="s">
        <v>19177</v>
      </c>
      <c r="N1367" t="s">
        <v>714</v>
      </c>
      <c r="O1367" t="s">
        <v>10263</v>
      </c>
      <c r="P1367" t="s">
        <v>12</v>
      </c>
    </row>
    <row r="1368">
      <c r="A1368">
        <f>HYPERLINK("http://bombeiros.sp.gov.br/hidrantes/03individual/17682.html","17682")</f>
      </c>
      <c r="B1368" t="s">
        <v>623</v>
      </c>
      <c r="C1368" t="s">
        <v>821</v>
      </c>
      <c r="D1368" t="s">
        <v>11631</v>
      </c>
      <c r="E1368" t="s">
        <v>15</v>
      </c>
      <c r="F1368" t="s">
        <v>11653</v>
      </c>
      <c r="G1368" t="s">
        <v>17918</v>
      </c>
      <c r="H1368" t="s">
        <v>1112</v>
      </c>
      <c r="I1368" t="s">
        <v>1108</v>
      </c>
      <c r="J1368" t="s">
        <v>11654</v>
      </c>
      <c r="K1368" t="s">
        <v>11655</v>
      </c>
      <c r="L1368" t="s">
        <v>21</v>
      </c>
      <c r="M1368" t="s">
        <v>19177</v>
      </c>
      <c r="N1368" t="s">
        <v>714</v>
      </c>
      <c r="O1368" t="s">
        <v>10263</v>
      </c>
      <c r="P1368" t="s">
        <v>12</v>
      </c>
    </row>
    <row r="1369">
      <c r="A1369">
        <f>HYPERLINK("http://bombeiros.sp.gov.br/hidrantes/03individual/17683.html","17683")</f>
      </c>
      <c r="B1369" t="s">
        <v>623</v>
      </c>
      <c r="C1369" t="s">
        <v>821</v>
      </c>
      <c r="D1369" t="s">
        <v>11631</v>
      </c>
      <c r="E1369" t="s">
        <v>15</v>
      </c>
      <c r="F1369" t="s">
        <v>11656</v>
      </c>
      <c r="G1369" t="s">
        <v>18097</v>
      </c>
      <c r="H1369" t="s">
        <v>1112</v>
      </c>
      <c r="I1369" t="s">
        <v>1108</v>
      </c>
      <c r="J1369" t="s">
        <v>11657</v>
      </c>
      <c r="K1369" t="s">
        <v>11658</v>
      </c>
      <c r="L1369" t="s">
        <v>21</v>
      </c>
      <c r="M1369" t="s">
        <v>19177</v>
      </c>
      <c r="N1369" t="s">
        <v>714</v>
      </c>
      <c r="O1369" t="s">
        <v>10263</v>
      </c>
      <c r="P1369" t="s">
        <v>12</v>
      </c>
    </row>
    <row r="1370">
      <c r="A1370">
        <f>HYPERLINK("http://bombeiros.sp.gov.br/hidrantes/03individual/27294.html","27294")</f>
      </c>
      <c r="B1370" t="s">
        <v>623</v>
      </c>
      <c r="C1370" t="s">
        <v>821</v>
      </c>
      <c r="D1370" t="s">
        <v>11631</v>
      </c>
      <c r="E1370" t="s">
        <v>15</v>
      </c>
      <c r="F1370" t="s">
        <v>17096</v>
      </c>
      <c r="G1370" t="s">
        <v>17913</v>
      </c>
      <c r="H1370" t="s">
        <v>1112</v>
      </c>
      <c r="I1370" t="s">
        <v>1108</v>
      </c>
      <c r="J1370" t="s">
        <v>17097</v>
      </c>
      <c r="K1370" t="s">
        <v>17098</v>
      </c>
      <c r="L1370" t="s">
        <v>21</v>
      </c>
      <c r="M1370" t="s">
        <v>19177</v>
      </c>
      <c r="N1370" t="s">
        <v>714</v>
      </c>
      <c r="O1370" t="s">
        <v>10263</v>
      </c>
      <c r="P1370" t="s">
        <v>12</v>
      </c>
    </row>
    <row r="1371">
      <c r="A1371">
        <f>HYPERLINK("http://bombeiros.sp.gov.br/hidrantes/03individual/1137.html","1137")</f>
      </c>
      <c r="B1371" t="s">
        <v>623</v>
      </c>
      <c r="C1371" t="s">
        <v>821</v>
      </c>
      <c r="D1371" t="s">
        <v>821</v>
      </c>
      <c r="E1371" t="s">
        <v>15</v>
      </c>
      <c r="F1371" t="s">
        <v>827</v>
      </c>
      <c r="G1371" t="s">
        <v>18143</v>
      </c>
      <c r="H1371" t="s">
        <v>1112</v>
      </c>
      <c r="I1371" t="s">
        <v>1108</v>
      </c>
      <c r="J1371" t="s">
        <v>829</v>
      </c>
      <c r="K1371" t="s">
        <v>830</v>
      </c>
      <c r="L1371" t="s">
        <v>21</v>
      </c>
      <c r="M1371" t="s">
        <v>19177</v>
      </c>
      <c r="N1371" t="s">
        <v>714</v>
      </c>
      <c r="O1371" t="s">
        <v>10263</v>
      </c>
      <c r="P1371" t="s">
        <v>12</v>
      </c>
    </row>
    <row r="1372">
      <c r="A1372">
        <f>HYPERLINK("http://bombeiros.sp.gov.br/hidrantes/03individual/1141.html","1141")</f>
      </c>
      <c r="B1372" t="s">
        <v>623</v>
      </c>
      <c r="C1372" t="s">
        <v>821</v>
      </c>
      <c r="D1372" t="s">
        <v>821</v>
      </c>
      <c r="E1372" t="s">
        <v>15</v>
      </c>
      <c r="F1372" t="s">
        <v>11659</v>
      </c>
      <c r="G1372" t="s">
        <v>18143</v>
      </c>
      <c r="H1372" t="s">
        <v>1121</v>
      </c>
      <c r="I1372" t="s">
        <v>1117</v>
      </c>
      <c r="J1372" t="s">
        <v>11660</v>
      </c>
      <c r="K1372" t="s">
        <v>11661</v>
      </c>
      <c r="L1372" t="s">
        <v>21</v>
      </c>
      <c r="M1372" t="s">
        <v>19177</v>
      </c>
      <c r="N1372" t="s">
        <v>714</v>
      </c>
      <c r="O1372" t="s">
        <v>10263</v>
      </c>
      <c r="P1372" t="s">
        <v>12</v>
      </c>
    </row>
    <row r="1373">
      <c r="A1373">
        <f>HYPERLINK("http://bombeiros.sp.gov.br/hidrantes/03individual/1263.html","1263")</f>
      </c>
      <c r="B1373" t="s">
        <v>623</v>
      </c>
      <c r="C1373" t="s">
        <v>821</v>
      </c>
      <c r="D1373" t="s">
        <v>821</v>
      </c>
      <c r="E1373" t="s">
        <v>15</v>
      </c>
      <c r="F1373" t="s">
        <v>11662</v>
      </c>
      <c r="G1373" t="s">
        <v>18110</v>
      </c>
      <c r="H1373" t="s">
        <v>1112</v>
      </c>
      <c r="I1373" t="s">
        <v>1108</v>
      </c>
      <c r="J1373" t="s">
        <v>11663</v>
      </c>
      <c r="K1373" t="s">
        <v>11664</v>
      </c>
      <c r="L1373" t="s">
        <v>21</v>
      </c>
      <c r="M1373" t="s">
        <v>19177</v>
      </c>
      <c r="N1373" t="s">
        <v>714</v>
      </c>
      <c r="O1373" t="s">
        <v>10263</v>
      </c>
      <c r="P1373" t="s">
        <v>12</v>
      </c>
    </row>
    <row r="1374">
      <c r="A1374">
        <f>HYPERLINK("http://bombeiros.sp.gov.br/hidrantes/03individual/1265.html","1265")</f>
      </c>
      <c r="B1374" t="s">
        <v>623</v>
      </c>
      <c r="C1374" t="s">
        <v>821</v>
      </c>
      <c r="D1374" t="s">
        <v>821</v>
      </c>
      <c r="E1374" t="s">
        <v>15</v>
      </c>
      <c r="F1374" t="s">
        <v>11665</v>
      </c>
      <c r="G1374" t="s">
        <v>18097</v>
      </c>
      <c r="H1374" t="s">
        <v>1112</v>
      </c>
      <c r="I1374" t="s">
        <v>1108</v>
      </c>
      <c r="J1374" t="s">
        <v>11666</v>
      </c>
      <c r="K1374" t="s">
        <v>11667</v>
      </c>
      <c r="L1374" t="s">
        <v>21</v>
      </c>
      <c r="M1374" t="s">
        <v>19177</v>
      </c>
      <c r="N1374" t="s">
        <v>714</v>
      </c>
      <c r="O1374" t="s">
        <v>10263</v>
      </c>
      <c r="P1374" t="s">
        <v>12</v>
      </c>
    </row>
    <row r="1375">
      <c r="A1375">
        <f>HYPERLINK("http://bombeiros.sp.gov.br/hidrantes/03individual/4435.html","4435")</f>
      </c>
      <c r="B1375" t="s">
        <v>623</v>
      </c>
      <c r="C1375" t="s">
        <v>821</v>
      </c>
      <c r="D1375" t="s">
        <v>821</v>
      </c>
      <c r="E1375" t="s">
        <v>15</v>
      </c>
      <c r="F1375" t="s">
        <v>11668</v>
      </c>
      <c r="G1375" t="s">
        <v>18050</v>
      </c>
      <c r="H1375" t="s">
        <v>1112</v>
      </c>
      <c r="I1375" t="s">
        <v>1108</v>
      </c>
      <c r="J1375" t="s">
        <v>18371</v>
      </c>
      <c r="K1375" t="s">
        <v>18372</v>
      </c>
      <c r="L1375" t="s">
        <v>21</v>
      </c>
      <c r="M1375" t="s">
        <v>19177</v>
      </c>
      <c r="N1375" t="s">
        <v>714</v>
      </c>
      <c r="O1375" t="s">
        <v>10263</v>
      </c>
      <c r="P1375" t="s">
        <v>12</v>
      </c>
    </row>
    <row r="1376">
      <c r="A1376">
        <f>HYPERLINK("http://bombeiros.sp.gov.br/hidrantes/03individual/27029.html","27029")</f>
      </c>
      <c r="B1376" t="s">
        <v>623</v>
      </c>
      <c r="C1376" t="s">
        <v>831</v>
      </c>
      <c r="D1376" t="s">
        <v>832</v>
      </c>
      <c r="E1376" t="s">
        <v>64</v>
      </c>
      <c r="F1376" t="s">
        <v>16621</v>
      </c>
      <c r="G1376" t="s">
        <v>17944</v>
      </c>
      <c r="H1376" t="s">
        <v>1112</v>
      </c>
      <c r="I1376" t="s">
        <v>1108</v>
      </c>
      <c r="J1376" t="s">
        <v>16622</v>
      </c>
      <c r="K1376" t="s">
        <v>16623</v>
      </c>
      <c r="L1376" t="s">
        <v>21</v>
      </c>
      <c r="M1376" t="s">
        <v>19177</v>
      </c>
      <c r="N1376" t="s">
        <v>16375</v>
      </c>
      <c r="O1376" t="s">
        <v>640</v>
      </c>
      <c r="P1376" t="s">
        <v>623</v>
      </c>
    </row>
    <row r="1377">
      <c r="A1377">
        <f>HYPERLINK("http://bombeiros.sp.gov.br/hidrantes/03individual/27057.html","27057")</f>
      </c>
      <c r="B1377" t="s">
        <v>623</v>
      </c>
      <c r="C1377" t="s">
        <v>831</v>
      </c>
      <c r="D1377" t="s">
        <v>832</v>
      </c>
      <c r="E1377" t="s">
        <v>64</v>
      </c>
      <c r="F1377" t="s">
        <v>16687</v>
      </c>
      <c r="G1377" t="s">
        <v>18057</v>
      </c>
      <c r="H1377" t="s">
        <v>1112</v>
      </c>
      <c r="I1377" t="s">
        <v>1108</v>
      </c>
      <c r="J1377" t="s">
        <v>16688</v>
      </c>
      <c r="K1377" t="s">
        <v>16689</v>
      </c>
      <c r="L1377" t="s">
        <v>21</v>
      </c>
      <c r="M1377" t="s">
        <v>19177</v>
      </c>
      <c r="N1377" t="s">
        <v>848</v>
      </c>
      <c r="O1377" t="s">
        <v>640</v>
      </c>
      <c r="P1377" t="s">
        <v>623</v>
      </c>
    </row>
    <row r="1378">
      <c r="A1378">
        <f>HYPERLINK("http://bombeiros.sp.gov.br/hidrantes/03individual/27122.html","27122")</f>
      </c>
      <c r="B1378" t="s">
        <v>623</v>
      </c>
      <c r="C1378" t="s">
        <v>831</v>
      </c>
      <c r="D1378" t="s">
        <v>832</v>
      </c>
      <c r="E1378" t="s">
        <v>64</v>
      </c>
      <c r="F1378" t="s">
        <v>16787</v>
      </c>
      <c r="G1378" t="s">
        <v>18078</v>
      </c>
      <c r="H1378" t="s">
        <v>1112</v>
      </c>
      <c r="I1378" t="s">
        <v>1108</v>
      </c>
      <c r="J1378" t="s">
        <v>16788</v>
      </c>
      <c r="K1378" t="s">
        <v>16789</v>
      </c>
      <c r="L1378" t="s">
        <v>21</v>
      </c>
      <c r="M1378" t="s">
        <v>19177</v>
      </c>
      <c r="N1378" t="s">
        <v>848</v>
      </c>
      <c r="O1378" t="s">
        <v>640</v>
      </c>
      <c r="P1378" t="s">
        <v>623</v>
      </c>
    </row>
    <row r="1379">
      <c r="A1379">
        <f>HYPERLINK("http://bombeiros.sp.gov.br/hidrantes/03individual/27123.html","27123")</f>
      </c>
      <c r="B1379" t="s">
        <v>623</v>
      </c>
      <c r="C1379" t="s">
        <v>831</v>
      </c>
      <c r="D1379" t="s">
        <v>832</v>
      </c>
      <c r="E1379" t="s">
        <v>64</v>
      </c>
      <c r="F1379" t="s">
        <v>16790</v>
      </c>
      <c r="G1379" t="s">
        <v>18051</v>
      </c>
      <c r="H1379" t="s">
        <v>1112</v>
      </c>
      <c r="I1379" t="s">
        <v>1108</v>
      </c>
      <c r="J1379" t="s">
        <v>16791</v>
      </c>
      <c r="K1379" t="s">
        <v>16792</v>
      </c>
      <c r="L1379" t="s">
        <v>21</v>
      </c>
      <c r="M1379" t="s">
        <v>19177</v>
      </c>
      <c r="N1379" t="s">
        <v>848</v>
      </c>
      <c r="O1379" t="s">
        <v>640</v>
      </c>
      <c r="P1379" t="s">
        <v>623</v>
      </c>
    </row>
    <row r="1380">
      <c r="A1380">
        <f>HYPERLINK("http://bombeiros.sp.gov.br/hidrantes/03individual/4039.html","4039")</f>
      </c>
      <c r="B1380" t="s">
        <v>623</v>
      </c>
      <c r="C1380" t="s">
        <v>831</v>
      </c>
      <c r="D1380" t="s">
        <v>832</v>
      </c>
      <c r="E1380" t="s">
        <v>15</v>
      </c>
      <c r="F1380" t="s">
        <v>11677</v>
      </c>
      <c r="G1380" t="s">
        <v>17867</v>
      </c>
      <c r="H1380" t="s">
        <v>1112</v>
      </c>
      <c r="I1380" t="s">
        <v>1108</v>
      </c>
      <c r="J1380" t="s">
        <v>11678</v>
      </c>
      <c r="K1380" t="s">
        <v>11679</v>
      </c>
      <c r="L1380" t="s">
        <v>21</v>
      </c>
      <c r="M1380" t="s">
        <v>19177</v>
      </c>
      <c r="N1380" t="s">
        <v>848</v>
      </c>
      <c r="O1380" t="s">
        <v>640</v>
      </c>
      <c r="P1380" t="s">
        <v>623</v>
      </c>
    </row>
    <row r="1381">
      <c r="A1381">
        <f>HYPERLINK("http://bombeiros.sp.gov.br/hidrantes/03individual/4252.html","4252")</f>
      </c>
      <c r="B1381" t="s">
        <v>623</v>
      </c>
      <c r="C1381" t="s">
        <v>831</v>
      </c>
      <c r="D1381" t="s">
        <v>11682</v>
      </c>
      <c r="E1381" t="s">
        <v>64</v>
      </c>
      <c r="F1381" t="s">
        <v>11686</v>
      </c>
      <c r="G1381" t="s">
        <v>18050</v>
      </c>
      <c r="H1381" t="s">
        <v>1112</v>
      </c>
      <c r="I1381" t="s">
        <v>1108</v>
      </c>
      <c r="J1381" t="s">
        <v>11687</v>
      </c>
      <c r="K1381" t="s">
        <v>11688</v>
      </c>
      <c r="L1381" t="s">
        <v>21</v>
      </c>
      <c r="M1381" t="s">
        <v>19177</v>
      </c>
      <c r="N1381" t="s">
        <v>16375</v>
      </c>
      <c r="O1381" t="s">
        <v>640</v>
      </c>
      <c r="P1381" t="s">
        <v>623</v>
      </c>
    </row>
    <row r="1382">
      <c r="A1382">
        <f>HYPERLINK("http://bombeiros.sp.gov.br/hidrantes/03individual/6681.html","6681")</f>
      </c>
      <c r="B1382" t="s">
        <v>623</v>
      </c>
      <c r="C1382" t="s">
        <v>831</v>
      </c>
      <c r="D1382" t="s">
        <v>11682</v>
      </c>
      <c r="E1382" t="s">
        <v>64</v>
      </c>
      <c r="F1382" t="s">
        <v>11689</v>
      </c>
      <c r="G1382" t="s">
        <v>18143</v>
      </c>
      <c r="H1382" t="s">
        <v>1112</v>
      </c>
      <c r="I1382" t="s">
        <v>1108</v>
      </c>
      <c r="J1382" t="s">
        <v>11690</v>
      </c>
      <c r="K1382" t="s">
        <v>11691</v>
      </c>
      <c r="L1382" t="s">
        <v>21</v>
      </c>
      <c r="M1382" t="s">
        <v>19177</v>
      </c>
      <c r="N1382" t="s">
        <v>16375</v>
      </c>
      <c r="O1382" t="s">
        <v>640</v>
      </c>
      <c r="P1382" t="s">
        <v>623</v>
      </c>
    </row>
    <row r="1383">
      <c r="A1383">
        <f>HYPERLINK("http://bombeiros.sp.gov.br/hidrantes/03individual/15047.html","15047")</f>
      </c>
      <c r="B1383" t="s">
        <v>623</v>
      </c>
      <c r="C1383" t="s">
        <v>831</v>
      </c>
      <c r="D1383" t="s">
        <v>11682</v>
      </c>
      <c r="E1383" t="s">
        <v>64</v>
      </c>
      <c r="F1383" t="s">
        <v>11692</v>
      </c>
      <c r="G1383" t="s">
        <v>18143</v>
      </c>
      <c r="H1383" t="s">
        <v>1112</v>
      </c>
      <c r="I1383" t="s">
        <v>1108</v>
      </c>
      <c r="J1383" t="s">
        <v>11693</v>
      </c>
      <c r="K1383" t="s">
        <v>11694</v>
      </c>
      <c r="L1383" t="s">
        <v>21</v>
      </c>
      <c r="M1383" t="s">
        <v>19177</v>
      </c>
      <c r="N1383" t="s">
        <v>16375</v>
      </c>
      <c r="O1383" t="s">
        <v>640</v>
      </c>
      <c r="P1383" t="s">
        <v>623</v>
      </c>
    </row>
    <row r="1384">
      <c r="A1384">
        <f>HYPERLINK("http://bombeiros.sp.gov.br/hidrantes/03individual/27030.html","27030")</f>
      </c>
      <c r="B1384" t="s">
        <v>623</v>
      </c>
      <c r="C1384" t="s">
        <v>831</v>
      </c>
      <c r="D1384" t="s">
        <v>11682</v>
      </c>
      <c r="E1384" t="s">
        <v>64</v>
      </c>
      <c r="F1384" t="s">
        <v>16624</v>
      </c>
      <c r="G1384" t="s">
        <v>18050</v>
      </c>
      <c r="H1384" t="s">
        <v>1112</v>
      </c>
      <c r="I1384" t="s">
        <v>1108</v>
      </c>
      <c r="J1384" t="s">
        <v>16625</v>
      </c>
      <c r="K1384" t="s">
        <v>16626</v>
      </c>
      <c r="L1384" t="s">
        <v>21</v>
      </c>
      <c r="M1384" t="s">
        <v>19177</v>
      </c>
      <c r="N1384" t="s">
        <v>16375</v>
      </c>
      <c r="O1384" t="s">
        <v>640</v>
      </c>
      <c r="P1384" t="s">
        <v>623</v>
      </c>
    </row>
    <row r="1385">
      <c r="A1385">
        <f>HYPERLINK("http://bombeiros.sp.gov.br/hidrantes/03individual/27063.html","27063")</f>
      </c>
      <c r="B1385" t="s">
        <v>623</v>
      </c>
      <c r="C1385" t="s">
        <v>831</v>
      </c>
      <c r="D1385" t="s">
        <v>11682</v>
      </c>
      <c r="E1385" t="s">
        <v>64</v>
      </c>
      <c r="F1385" t="s">
        <v>16690</v>
      </c>
      <c r="G1385" t="s">
        <v>18050</v>
      </c>
      <c r="H1385" t="s">
        <v>1112</v>
      </c>
      <c r="I1385" t="s">
        <v>1108</v>
      </c>
      <c r="J1385" t="s">
        <v>16691</v>
      </c>
      <c r="K1385" t="s">
        <v>16692</v>
      </c>
      <c r="L1385" t="s">
        <v>21</v>
      </c>
      <c r="M1385" t="s">
        <v>19177</v>
      </c>
      <c r="N1385" t="s">
        <v>16375</v>
      </c>
      <c r="O1385" t="s">
        <v>640</v>
      </c>
      <c r="P1385" t="s">
        <v>623</v>
      </c>
    </row>
    <row r="1386">
      <c r="A1386">
        <f>HYPERLINK("http://bombeiros.sp.gov.br/hidrantes/03individual/17764.html","17764")</f>
      </c>
      <c r="B1386" t="s">
        <v>623</v>
      </c>
      <c r="C1386" t="s">
        <v>831</v>
      </c>
      <c r="D1386" t="s">
        <v>11682</v>
      </c>
      <c r="E1386" t="s">
        <v>15</v>
      </c>
      <c r="F1386" t="s">
        <v>11698</v>
      </c>
      <c r="G1386" t="s">
        <v>17867</v>
      </c>
      <c r="H1386" t="s">
        <v>1112</v>
      </c>
      <c r="I1386" t="s">
        <v>1108</v>
      </c>
      <c r="J1386" t="s">
        <v>11699</v>
      </c>
      <c r="K1386" t="s">
        <v>11700</v>
      </c>
      <c r="L1386" t="s">
        <v>21</v>
      </c>
      <c r="M1386" t="s">
        <v>19177</v>
      </c>
      <c r="N1386" t="s">
        <v>16375</v>
      </c>
      <c r="O1386" t="s">
        <v>640</v>
      </c>
      <c r="P1386" t="s">
        <v>623</v>
      </c>
    </row>
    <row r="1387">
      <c r="A1387">
        <f>HYPERLINK("http://bombeiros.sp.gov.br/hidrantes/03individual/17816.html","17816")</f>
      </c>
      <c r="B1387" t="s">
        <v>623</v>
      </c>
      <c r="C1387" t="s">
        <v>831</v>
      </c>
      <c r="D1387" t="s">
        <v>11682</v>
      </c>
      <c r="E1387" t="s">
        <v>15</v>
      </c>
      <c r="F1387" t="s">
        <v>11704</v>
      </c>
      <c r="G1387" t="s">
        <v>18050</v>
      </c>
      <c r="H1387" t="s">
        <v>1112</v>
      </c>
      <c r="I1387" t="s">
        <v>1108</v>
      </c>
      <c r="J1387" t="s">
        <v>16895</v>
      </c>
      <c r="K1387" t="s">
        <v>16896</v>
      </c>
      <c r="L1387" t="s">
        <v>21</v>
      </c>
      <c r="M1387" t="s">
        <v>19177</v>
      </c>
      <c r="N1387" t="s">
        <v>16375</v>
      </c>
      <c r="O1387" t="s">
        <v>640</v>
      </c>
      <c r="P1387" t="s">
        <v>623</v>
      </c>
    </row>
    <row r="1388">
      <c r="A1388">
        <f>HYPERLINK("http://bombeiros.sp.gov.br/hidrantes/03individual/1329.html","1329")</f>
      </c>
      <c r="B1388" t="s">
        <v>623</v>
      </c>
      <c r="C1388" t="s">
        <v>831</v>
      </c>
      <c r="D1388" t="s">
        <v>831</v>
      </c>
      <c r="E1388" t="s">
        <v>15</v>
      </c>
      <c r="F1388" t="s">
        <v>11729</v>
      </c>
      <c r="G1388" t="s">
        <v>18057</v>
      </c>
      <c r="H1388" t="s">
        <v>1112</v>
      </c>
      <c r="I1388" t="s">
        <v>1108</v>
      </c>
      <c r="J1388" t="s">
        <v>11730</v>
      </c>
      <c r="K1388" t="s">
        <v>11731</v>
      </c>
      <c r="L1388" t="s">
        <v>21</v>
      </c>
      <c r="M1388" t="s">
        <v>19177</v>
      </c>
      <c r="N1388" t="s">
        <v>16375</v>
      </c>
      <c r="O1388" t="s">
        <v>640</v>
      </c>
      <c r="P1388" t="s">
        <v>623</v>
      </c>
    </row>
    <row r="1389">
      <c r="A1389">
        <f>HYPERLINK("http://bombeiros.sp.gov.br/hidrantes/03individual/2186.html","2186")</f>
      </c>
      <c r="B1389" t="s">
        <v>623</v>
      </c>
      <c r="C1389" t="s">
        <v>831</v>
      </c>
      <c r="D1389" t="s">
        <v>831</v>
      </c>
      <c r="E1389" t="s">
        <v>15</v>
      </c>
      <c r="F1389" t="s">
        <v>11754</v>
      </c>
      <c r="G1389" t="s">
        <v>17860</v>
      </c>
      <c r="H1389" t="s">
        <v>1112</v>
      </c>
      <c r="I1389" t="s">
        <v>1108</v>
      </c>
      <c r="J1389" t="s">
        <v>11755</v>
      </c>
      <c r="K1389" t="s">
        <v>11756</v>
      </c>
      <c r="L1389" t="s">
        <v>21</v>
      </c>
      <c r="M1389" t="s">
        <v>19177</v>
      </c>
      <c r="N1389" t="s">
        <v>16375</v>
      </c>
      <c r="O1389" t="s">
        <v>640</v>
      </c>
      <c r="P1389" t="s">
        <v>623</v>
      </c>
    </row>
    <row r="1390">
      <c r="A1390">
        <f>HYPERLINK("http://bombeiros.sp.gov.br/hidrantes/03individual/2208.html","2208")</f>
      </c>
      <c r="B1390" t="s">
        <v>623</v>
      </c>
      <c r="C1390" t="s">
        <v>831</v>
      </c>
      <c r="D1390" t="s">
        <v>831</v>
      </c>
      <c r="E1390" t="s">
        <v>15</v>
      </c>
      <c r="F1390" t="s">
        <v>11757</v>
      </c>
      <c r="G1390" t="s">
        <v>18046</v>
      </c>
      <c r="H1390" t="s">
        <v>1112</v>
      </c>
      <c r="I1390" t="s">
        <v>1108</v>
      </c>
      <c r="J1390" t="s">
        <v>11758</v>
      </c>
      <c r="K1390" t="s">
        <v>11759</v>
      </c>
      <c r="L1390" t="s">
        <v>21</v>
      </c>
      <c r="M1390" t="s">
        <v>19177</v>
      </c>
      <c r="N1390" t="s">
        <v>16375</v>
      </c>
      <c r="O1390" t="s">
        <v>640</v>
      </c>
      <c r="P1390" t="s">
        <v>623</v>
      </c>
    </row>
    <row r="1391">
      <c r="A1391">
        <f>HYPERLINK("http://bombeiros.sp.gov.br/hidrantes/03individual/6690.html","6690")</f>
      </c>
      <c r="B1391" t="s">
        <v>623</v>
      </c>
      <c r="C1391" t="s">
        <v>831</v>
      </c>
      <c r="D1391" t="s">
        <v>831</v>
      </c>
      <c r="E1391" t="s">
        <v>15</v>
      </c>
      <c r="F1391" t="s">
        <v>11769</v>
      </c>
      <c r="G1391" t="s">
        <v>18051</v>
      </c>
      <c r="H1391" t="s">
        <v>1121</v>
      </c>
      <c r="I1391" t="s">
        <v>1117</v>
      </c>
      <c r="J1391" t="s">
        <v>11770</v>
      </c>
      <c r="K1391" t="s">
        <v>11771</v>
      </c>
      <c r="L1391" t="s">
        <v>21</v>
      </c>
      <c r="M1391" t="s">
        <v>19177</v>
      </c>
      <c r="N1391" t="s">
        <v>16375</v>
      </c>
      <c r="O1391" t="s">
        <v>640</v>
      </c>
      <c r="P1391" t="s">
        <v>623</v>
      </c>
    </row>
    <row r="1392">
      <c r="A1392">
        <f>HYPERLINK("http://bombeiros.sp.gov.br/hidrantes/03individual/6691.html","6691")</f>
      </c>
      <c r="B1392" t="s">
        <v>623</v>
      </c>
      <c r="C1392" t="s">
        <v>831</v>
      </c>
      <c r="D1392" t="s">
        <v>831</v>
      </c>
      <c r="E1392" t="s">
        <v>15</v>
      </c>
      <c r="F1392" t="s">
        <v>11772</v>
      </c>
      <c r="G1392" t="s">
        <v>18050</v>
      </c>
      <c r="H1392" t="s">
        <v>1112</v>
      </c>
      <c r="I1392" t="s">
        <v>1108</v>
      </c>
      <c r="J1392" t="s">
        <v>11773</v>
      </c>
      <c r="K1392" t="s">
        <v>11774</v>
      </c>
      <c r="L1392" t="s">
        <v>21</v>
      </c>
      <c r="M1392" t="s">
        <v>19177</v>
      </c>
      <c r="N1392" t="s">
        <v>16375</v>
      </c>
      <c r="O1392" t="s">
        <v>640</v>
      </c>
      <c r="P1392" t="s">
        <v>623</v>
      </c>
    </row>
    <row r="1393">
      <c r="A1393">
        <f>HYPERLINK("http://bombeiros.sp.gov.br/hidrantes/03individual/3920.html","3920")</f>
      </c>
      <c r="B1393" t="s">
        <v>842</v>
      </c>
      <c r="C1393" t="s">
        <v>11775</v>
      </c>
      <c r="D1393" t="s">
        <v>11775</v>
      </c>
      <c r="E1393" t="s">
        <v>64</v>
      </c>
      <c r="F1393" t="s">
        <v>11779</v>
      </c>
      <c r="G1393" t="s">
        <v>18164</v>
      </c>
      <c r="H1393" t="s">
        <v>1112</v>
      </c>
      <c r="I1393" t="s">
        <v>1108</v>
      </c>
      <c r="J1393" t="s">
        <v>11780</v>
      </c>
      <c r="K1393" t="s">
        <v>11781</v>
      </c>
      <c r="L1393" t="s">
        <v>36</v>
      </c>
      <c r="M1393" t="s">
        <v>19177</v>
      </c>
      <c r="N1393" t="s">
        <v>1024</v>
      </c>
      <c r="O1393" t="s">
        <v>1024</v>
      </c>
      <c r="P1393" t="s">
        <v>842</v>
      </c>
    </row>
    <row r="1394">
      <c r="A1394">
        <f>HYPERLINK("http://bombeiros.sp.gov.br/hidrantes/03individual/3923.html","3923")</f>
      </c>
      <c r="B1394" t="s">
        <v>842</v>
      </c>
      <c r="C1394" t="s">
        <v>11775</v>
      </c>
      <c r="D1394" t="s">
        <v>11775</v>
      </c>
      <c r="E1394" t="s">
        <v>64</v>
      </c>
      <c r="F1394" t="s">
        <v>11782</v>
      </c>
      <c r="G1394" t="s">
        <v>18093</v>
      </c>
      <c r="H1394" t="s">
        <v>1112</v>
      </c>
      <c r="I1394" t="s">
        <v>1108</v>
      </c>
      <c r="J1394" t="s">
        <v>11783</v>
      </c>
      <c r="K1394" t="s">
        <v>11784</v>
      </c>
      <c r="L1394" t="s">
        <v>36</v>
      </c>
      <c r="M1394" t="s">
        <v>19177</v>
      </c>
      <c r="N1394" t="s">
        <v>1024</v>
      </c>
      <c r="O1394" t="s">
        <v>1024</v>
      </c>
      <c r="P1394" t="s">
        <v>842</v>
      </c>
    </row>
    <row r="1395">
      <c r="A1395">
        <f>HYPERLINK("http://bombeiros.sp.gov.br/hidrantes/03individual/27570.html","27570")</f>
      </c>
      <c r="B1395" t="s">
        <v>842</v>
      </c>
      <c r="C1395" t="s">
        <v>11775</v>
      </c>
      <c r="D1395" t="s">
        <v>11775</v>
      </c>
      <c r="E1395" t="s">
        <v>64</v>
      </c>
      <c r="F1395" t="s">
        <v>17438</v>
      </c>
      <c r="G1395" t="s">
        <v>18164</v>
      </c>
      <c r="H1395" t="s">
        <v>1112</v>
      </c>
      <c r="I1395" t="s">
        <v>1108</v>
      </c>
      <c r="J1395" t="s">
        <v>17439</v>
      </c>
      <c r="K1395" t="s">
        <v>17440</v>
      </c>
      <c r="L1395" t="s">
        <v>21</v>
      </c>
      <c r="M1395" t="s">
        <v>19177</v>
      </c>
      <c r="N1395" t="s">
        <v>1024</v>
      </c>
      <c r="O1395" t="s">
        <v>1024</v>
      </c>
      <c r="P1395" t="s">
        <v>842</v>
      </c>
    </row>
    <row r="1396">
      <c r="A1396">
        <f>HYPERLINK("http://bombeiros.sp.gov.br/hidrantes/03individual/385.html","385")</f>
      </c>
      <c r="B1396" t="s">
        <v>842</v>
      </c>
      <c r="C1396" t="s">
        <v>11775</v>
      </c>
      <c r="D1396" t="s">
        <v>11775</v>
      </c>
      <c r="E1396" t="s">
        <v>15</v>
      </c>
      <c r="F1396" t="s">
        <v>11791</v>
      </c>
      <c r="G1396" t="s">
        <v>18093</v>
      </c>
      <c r="H1396" t="s">
        <v>1112</v>
      </c>
      <c r="I1396" t="s">
        <v>1108</v>
      </c>
      <c r="J1396" t="s">
        <v>11792</v>
      </c>
      <c r="K1396" t="s">
        <v>11793</v>
      </c>
      <c r="L1396" t="s">
        <v>21</v>
      </c>
      <c r="M1396" t="s">
        <v>19177</v>
      </c>
      <c r="N1396" t="s">
        <v>1024</v>
      </c>
      <c r="O1396" t="s">
        <v>1024</v>
      </c>
      <c r="P1396" t="s">
        <v>842</v>
      </c>
    </row>
    <row r="1397">
      <c r="A1397">
        <f>HYPERLINK("http://bombeiros.sp.gov.br/hidrantes/03individual/400.html","400")</f>
      </c>
      <c r="B1397" t="s">
        <v>842</v>
      </c>
      <c r="C1397" t="s">
        <v>11775</v>
      </c>
      <c r="D1397" t="s">
        <v>11775</v>
      </c>
      <c r="E1397" t="s">
        <v>15</v>
      </c>
      <c r="F1397" t="s">
        <v>11794</v>
      </c>
      <c r="G1397" t="s">
        <v>18164</v>
      </c>
      <c r="H1397" t="s">
        <v>1112</v>
      </c>
      <c r="I1397" t="s">
        <v>1108</v>
      </c>
      <c r="J1397" t="s">
        <v>11795</v>
      </c>
      <c r="K1397" t="s">
        <v>11796</v>
      </c>
      <c r="L1397" t="s">
        <v>21</v>
      </c>
      <c r="M1397" t="s">
        <v>19177</v>
      </c>
      <c r="N1397" t="s">
        <v>1024</v>
      </c>
      <c r="O1397" t="s">
        <v>1024</v>
      </c>
      <c r="P1397" t="s">
        <v>842</v>
      </c>
    </row>
    <row r="1398">
      <c r="A1398">
        <f>HYPERLINK("http://bombeiros.sp.gov.br/hidrantes/03individual/401.html","401")</f>
      </c>
      <c r="B1398" t="s">
        <v>842</v>
      </c>
      <c r="C1398" t="s">
        <v>11775</v>
      </c>
      <c r="D1398" t="s">
        <v>11775</v>
      </c>
      <c r="E1398" t="s">
        <v>15</v>
      </c>
      <c r="F1398" t="s">
        <v>11797</v>
      </c>
      <c r="G1398" t="s">
        <v>18103</v>
      </c>
      <c r="H1398" t="s">
        <v>1112</v>
      </c>
      <c r="I1398" t="s">
        <v>1108</v>
      </c>
      <c r="J1398" t="s">
        <v>11798</v>
      </c>
      <c r="K1398" t="s">
        <v>11799</v>
      </c>
      <c r="L1398" t="s">
        <v>21</v>
      </c>
      <c r="M1398" t="s">
        <v>19177</v>
      </c>
      <c r="N1398" t="s">
        <v>1024</v>
      </c>
      <c r="O1398" t="s">
        <v>1024</v>
      </c>
      <c r="P1398" t="s">
        <v>842</v>
      </c>
    </row>
    <row r="1399">
      <c r="A1399">
        <f>HYPERLINK("http://bombeiros.sp.gov.br/hidrantes/03individual/3933.html","3933")</f>
      </c>
      <c r="B1399" t="s">
        <v>842</v>
      </c>
      <c r="C1399" t="s">
        <v>11775</v>
      </c>
      <c r="D1399" t="s">
        <v>11775</v>
      </c>
      <c r="E1399" t="s">
        <v>15</v>
      </c>
      <c r="F1399" t="s">
        <v>11806</v>
      </c>
      <c r="G1399" t="s">
        <v>18103</v>
      </c>
      <c r="H1399" t="s">
        <v>1112</v>
      </c>
      <c r="I1399" t="s">
        <v>1108</v>
      </c>
      <c r="J1399" t="s">
        <v>11807</v>
      </c>
      <c r="K1399" t="s">
        <v>11808</v>
      </c>
      <c r="L1399" t="s">
        <v>21</v>
      </c>
      <c r="M1399" t="s">
        <v>19177</v>
      </c>
      <c r="N1399" t="s">
        <v>1024</v>
      </c>
      <c r="O1399" t="s">
        <v>1024</v>
      </c>
      <c r="P1399" t="s">
        <v>842</v>
      </c>
    </row>
    <row r="1400">
      <c r="A1400">
        <f>HYPERLINK("http://bombeiros.sp.gov.br/hidrantes/03individual/4385.html","4385")</f>
      </c>
      <c r="B1400" t="s">
        <v>842</v>
      </c>
      <c r="C1400" t="s">
        <v>11775</v>
      </c>
      <c r="D1400" t="s">
        <v>11815</v>
      </c>
      <c r="E1400" t="s">
        <v>64</v>
      </c>
      <c r="F1400" t="s">
        <v>11819</v>
      </c>
      <c r="G1400" t="s">
        <v>18041</v>
      </c>
      <c r="H1400" t="s">
        <v>1112</v>
      </c>
      <c r="I1400" t="s">
        <v>1108</v>
      </c>
      <c r="J1400" t="s">
        <v>11820</v>
      </c>
      <c r="K1400" t="s">
        <v>11821</v>
      </c>
      <c r="L1400" t="s">
        <v>36</v>
      </c>
      <c r="M1400" t="s">
        <v>19177</v>
      </c>
      <c r="N1400" t="s">
        <v>1024</v>
      </c>
      <c r="O1400" t="s">
        <v>1024</v>
      </c>
      <c r="P1400" t="s">
        <v>842</v>
      </c>
    </row>
    <row r="1401">
      <c r="A1401">
        <f>HYPERLINK("http://bombeiros.sp.gov.br/hidrantes/03individual/308.html","308")</f>
      </c>
      <c r="B1401" t="s">
        <v>842</v>
      </c>
      <c r="C1401" t="s">
        <v>11775</v>
      </c>
      <c r="D1401" t="s">
        <v>11822</v>
      </c>
      <c r="E1401" t="s">
        <v>15</v>
      </c>
      <c r="F1401" t="s">
        <v>11823</v>
      </c>
      <c r="G1401" t="s">
        <v>18239</v>
      </c>
      <c r="H1401" t="s">
        <v>1112</v>
      </c>
      <c r="I1401" t="s">
        <v>1108</v>
      </c>
      <c r="J1401" t="s">
        <v>11824</v>
      </c>
      <c r="K1401" t="s">
        <v>11825</v>
      </c>
      <c r="L1401" t="s">
        <v>21</v>
      </c>
      <c r="M1401" t="s">
        <v>19177</v>
      </c>
      <c r="N1401" t="s">
        <v>1024</v>
      </c>
      <c r="O1401" t="s">
        <v>1024</v>
      </c>
      <c r="P1401" t="s">
        <v>842</v>
      </c>
    </row>
    <row r="1402">
      <c r="A1402">
        <f>HYPERLINK("http://bombeiros.sp.gov.br/hidrantes/03individual/337.html","337")</f>
      </c>
      <c r="B1402" t="s">
        <v>842</v>
      </c>
      <c r="C1402" t="s">
        <v>11775</v>
      </c>
      <c r="D1402" t="s">
        <v>11822</v>
      </c>
      <c r="E1402" t="s">
        <v>15</v>
      </c>
      <c r="F1402" t="s">
        <v>11826</v>
      </c>
      <c r="G1402" t="s">
        <v>18074</v>
      </c>
      <c r="H1402" t="s">
        <v>1112</v>
      </c>
      <c r="I1402" t="s">
        <v>1108</v>
      </c>
      <c r="J1402" t="s">
        <v>11827</v>
      </c>
      <c r="K1402" t="s">
        <v>11828</v>
      </c>
      <c r="L1402" t="s">
        <v>21</v>
      </c>
      <c r="M1402" t="s">
        <v>19177</v>
      </c>
      <c r="N1402" t="s">
        <v>1024</v>
      </c>
      <c r="O1402" t="s">
        <v>1024</v>
      </c>
      <c r="P1402" t="s">
        <v>842</v>
      </c>
    </row>
    <row r="1403">
      <c r="A1403">
        <f>HYPERLINK("http://bombeiros.sp.gov.br/hidrantes/03individual/3746.html","3746")</f>
      </c>
      <c r="B1403" t="s">
        <v>842</v>
      </c>
      <c r="C1403" t="s">
        <v>11775</v>
      </c>
      <c r="D1403" t="s">
        <v>11822</v>
      </c>
      <c r="E1403" t="s">
        <v>15</v>
      </c>
      <c r="F1403" t="s">
        <v>11829</v>
      </c>
      <c r="G1403" t="s">
        <v>18239</v>
      </c>
      <c r="H1403" t="s">
        <v>1112</v>
      </c>
      <c r="I1403" t="s">
        <v>1108</v>
      </c>
      <c r="J1403" t="s">
        <v>11830</v>
      </c>
      <c r="K1403" t="s">
        <v>11831</v>
      </c>
      <c r="L1403" t="s">
        <v>21</v>
      </c>
      <c r="M1403" t="s">
        <v>19177</v>
      </c>
      <c r="N1403" t="s">
        <v>1024</v>
      </c>
      <c r="O1403" t="s">
        <v>1024</v>
      </c>
      <c r="P1403" t="s">
        <v>842</v>
      </c>
    </row>
    <row r="1404">
      <c r="A1404">
        <f>HYPERLINK("http://bombeiros.sp.gov.br/hidrantes/03individual/3763.html","3763")</f>
      </c>
      <c r="B1404" t="s">
        <v>842</v>
      </c>
      <c r="C1404" t="s">
        <v>11775</v>
      </c>
      <c r="D1404" t="s">
        <v>11822</v>
      </c>
      <c r="E1404" t="s">
        <v>15</v>
      </c>
      <c r="F1404" t="s">
        <v>11835</v>
      </c>
      <c r="G1404" t="s">
        <v>18041</v>
      </c>
      <c r="H1404" t="s">
        <v>1121</v>
      </c>
      <c r="I1404" t="s">
        <v>1117</v>
      </c>
      <c r="J1404" t="s">
        <v>11836</v>
      </c>
      <c r="K1404" t="s">
        <v>11837</v>
      </c>
      <c r="L1404" t="s">
        <v>36</v>
      </c>
      <c r="M1404" t="s">
        <v>19177</v>
      </c>
      <c r="N1404" t="s">
        <v>1024</v>
      </c>
      <c r="O1404" t="s">
        <v>1024</v>
      </c>
      <c r="P1404" t="s">
        <v>842</v>
      </c>
    </row>
    <row r="1405">
      <c r="A1405">
        <f>HYPERLINK("http://bombeiros.sp.gov.br/hidrantes/03individual/3765.html","3765")</f>
      </c>
      <c r="B1405" t="s">
        <v>842</v>
      </c>
      <c r="C1405" t="s">
        <v>11775</v>
      </c>
      <c r="D1405" t="s">
        <v>11822</v>
      </c>
      <c r="E1405" t="s">
        <v>15</v>
      </c>
      <c r="F1405" t="s">
        <v>11838</v>
      </c>
      <c r="G1405" t="s">
        <v>18046</v>
      </c>
      <c r="H1405" t="s">
        <v>1112</v>
      </c>
      <c r="I1405" t="s">
        <v>1108</v>
      </c>
      <c r="J1405" t="s">
        <v>11839</v>
      </c>
      <c r="K1405" t="s">
        <v>11840</v>
      </c>
      <c r="L1405" t="s">
        <v>21</v>
      </c>
      <c r="M1405" t="s">
        <v>19177</v>
      </c>
      <c r="N1405" t="s">
        <v>1024</v>
      </c>
      <c r="O1405" t="s">
        <v>1024</v>
      </c>
      <c r="P1405" t="s">
        <v>842</v>
      </c>
    </row>
    <row r="1406">
      <c r="A1406">
        <f>HYPERLINK("http://bombeiros.sp.gov.br/hidrantes/03individual/3875.html","3875")</f>
      </c>
      <c r="B1406" t="s">
        <v>842</v>
      </c>
      <c r="C1406" t="s">
        <v>11775</v>
      </c>
      <c r="D1406" t="s">
        <v>11822</v>
      </c>
      <c r="E1406" t="s">
        <v>15</v>
      </c>
      <c r="F1406" t="s">
        <v>11841</v>
      </c>
      <c r="G1406" t="s">
        <v>18062</v>
      </c>
      <c r="H1406" t="s">
        <v>1107</v>
      </c>
      <c r="I1406" t="s">
        <v>1108</v>
      </c>
      <c r="J1406" t="s">
        <v>11842</v>
      </c>
      <c r="K1406" t="s">
        <v>11843</v>
      </c>
      <c r="L1406" t="s">
        <v>21</v>
      </c>
      <c r="M1406" t="s">
        <v>19177</v>
      </c>
      <c r="N1406" t="s">
        <v>1024</v>
      </c>
      <c r="O1406" t="s">
        <v>1024</v>
      </c>
      <c r="P1406" t="s">
        <v>842</v>
      </c>
    </row>
    <row r="1407">
      <c r="A1407">
        <f>HYPERLINK("http://bombeiros.sp.gov.br/hidrantes/03individual/4182.html","4182")</f>
      </c>
      <c r="B1407" t="s">
        <v>842</v>
      </c>
      <c r="C1407" t="s">
        <v>11775</v>
      </c>
      <c r="D1407" t="s">
        <v>11822</v>
      </c>
      <c r="E1407" t="s">
        <v>15</v>
      </c>
      <c r="F1407" t="s">
        <v>11844</v>
      </c>
      <c r="G1407" t="s">
        <v>18123</v>
      </c>
      <c r="H1407" t="s">
        <v>1112</v>
      </c>
      <c r="I1407" t="s">
        <v>1108</v>
      </c>
      <c r="J1407" t="s">
        <v>11845</v>
      </c>
      <c r="K1407" t="s">
        <v>11846</v>
      </c>
      <c r="L1407" t="s">
        <v>21</v>
      </c>
      <c r="M1407" t="s">
        <v>19177</v>
      </c>
      <c r="N1407" t="s">
        <v>1024</v>
      </c>
      <c r="O1407" t="s">
        <v>1024</v>
      </c>
      <c r="P1407" t="s">
        <v>842</v>
      </c>
    </row>
    <row r="1408">
      <c r="A1408">
        <f>HYPERLINK("http://bombeiros.sp.gov.br/hidrantes/03individual/388.html","388")</f>
      </c>
      <c r="B1408" t="s">
        <v>842</v>
      </c>
      <c r="C1408" t="s">
        <v>11775</v>
      </c>
      <c r="D1408" t="s">
        <v>11850</v>
      </c>
      <c r="E1408" t="s">
        <v>15</v>
      </c>
      <c r="F1408" t="s">
        <v>11863</v>
      </c>
      <c r="G1408" t="s">
        <v>18200</v>
      </c>
      <c r="H1408" t="s">
        <v>1107</v>
      </c>
      <c r="I1408" t="s">
        <v>1108</v>
      </c>
      <c r="J1408" t="s">
        <v>11864</v>
      </c>
      <c r="K1408" t="s">
        <v>11865</v>
      </c>
      <c r="L1408" t="s">
        <v>21</v>
      </c>
      <c r="M1408" t="s">
        <v>19177</v>
      </c>
      <c r="N1408" t="s">
        <v>1024</v>
      </c>
      <c r="O1408" t="s">
        <v>1024</v>
      </c>
      <c r="P1408" t="s">
        <v>842</v>
      </c>
    </row>
    <row r="1409">
      <c r="A1409">
        <f>HYPERLINK("http://bombeiros.sp.gov.br/hidrantes/03individual/2389.html","2389")</f>
      </c>
      <c r="B1409" t="s">
        <v>842</v>
      </c>
      <c r="C1409" t="s">
        <v>11775</v>
      </c>
      <c r="D1409" t="s">
        <v>11850</v>
      </c>
      <c r="E1409" t="s">
        <v>15</v>
      </c>
      <c r="F1409" t="s">
        <v>11872</v>
      </c>
      <c r="G1409" t="s">
        <v>18200</v>
      </c>
      <c r="H1409" t="s">
        <v>1112</v>
      </c>
      <c r="I1409" t="s">
        <v>1108</v>
      </c>
      <c r="J1409" t="s">
        <v>11873</v>
      </c>
      <c r="K1409" t="s">
        <v>11874</v>
      </c>
      <c r="L1409" t="s">
        <v>21</v>
      </c>
      <c r="M1409" t="s">
        <v>19177</v>
      </c>
      <c r="N1409" t="s">
        <v>1024</v>
      </c>
      <c r="O1409" t="s">
        <v>1024</v>
      </c>
      <c r="P1409" t="s">
        <v>842</v>
      </c>
    </row>
    <row r="1410">
      <c r="A1410">
        <f>HYPERLINK("http://bombeiros.sp.gov.br/hidrantes/03individual/3751.html","3751")</f>
      </c>
      <c r="B1410" t="s">
        <v>842</v>
      </c>
      <c r="C1410" t="s">
        <v>11775</v>
      </c>
      <c r="D1410" t="s">
        <v>11850</v>
      </c>
      <c r="E1410" t="s">
        <v>15</v>
      </c>
      <c r="F1410" t="s">
        <v>11875</v>
      </c>
      <c r="G1410" t="s">
        <v>18200</v>
      </c>
      <c r="H1410" t="s">
        <v>1112</v>
      </c>
      <c r="I1410" t="s">
        <v>1108</v>
      </c>
      <c r="J1410" t="s">
        <v>11876</v>
      </c>
      <c r="K1410" t="s">
        <v>11877</v>
      </c>
      <c r="L1410" t="s">
        <v>21</v>
      </c>
      <c r="M1410" t="s">
        <v>19177</v>
      </c>
      <c r="N1410" t="s">
        <v>1024</v>
      </c>
      <c r="O1410" t="s">
        <v>1024</v>
      </c>
      <c r="P1410" t="s">
        <v>842</v>
      </c>
    </row>
    <row r="1411">
      <c r="A1411">
        <f>HYPERLINK("http://bombeiros.sp.gov.br/hidrantes/03individual/3867.html","3867")</f>
      </c>
      <c r="B1411" t="s">
        <v>842</v>
      </c>
      <c r="C1411" t="s">
        <v>11775</v>
      </c>
      <c r="D1411" t="s">
        <v>11850</v>
      </c>
      <c r="E1411" t="s">
        <v>15</v>
      </c>
      <c r="F1411" t="s">
        <v>11878</v>
      </c>
      <c r="G1411" t="s">
        <v>18200</v>
      </c>
      <c r="H1411" t="s">
        <v>1112</v>
      </c>
      <c r="I1411" t="s">
        <v>1108</v>
      </c>
      <c r="J1411" t="s">
        <v>11879</v>
      </c>
      <c r="K1411" t="s">
        <v>11880</v>
      </c>
      <c r="L1411" t="s">
        <v>21</v>
      </c>
      <c r="M1411" t="s">
        <v>19177</v>
      </c>
      <c r="N1411" t="s">
        <v>1024</v>
      </c>
      <c r="O1411" t="s">
        <v>1024</v>
      </c>
      <c r="P1411" t="s">
        <v>842</v>
      </c>
    </row>
    <row r="1412">
      <c r="A1412">
        <f>HYPERLINK("http://bombeiros.sp.gov.br/hidrantes/03individual/3874.html","3874")</f>
      </c>
      <c r="B1412" t="s">
        <v>842</v>
      </c>
      <c r="C1412" t="s">
        <v>11775</v>
      </c>
      <c r="D1412" t="s">
        <v>11850</v>
      </c>
      <c r="E1412" t="s">
        <v>15</v>
      </c>
      <c r="F1412" t="s">
        <v>11881</v>
      </c>
      <c r="G1412" t="s">
        <v>18200</v>
      </c>
      <c r="H1412" t="s">
        <v>1112</v>
      </c>
      <c r="I1412" t="s">
        <v>1108</v>
      </c>
      <c r="J1412" t="s">
        <v>11882</v>
      </c>
      <c r="K1412" t="s">
        <v>11883</v>
      </c>
      <c r="L1412" t="s">
        <v>21</v>
      </c>
      <c r="M1412" t="s">
        <v>19177</v>
      </c>
      <c r="N1412" t="s">
        <v>1024</v>
      </c>
      <c r="O1412" t="s">
        <v>1024</v>
      </c>
      <c r="P1412" t="s">
        <v>842</v>
      </c>
    </row>
    <row r="1413">
      <c r="A1413">
        <f>HYPERLINK("http://bombeiros.sp.gov.br/hidrantes/03individual/3877.html","3877")</f>
      </c>
      <c r="B1413" t="s">
        <v>842</v>
      </c>
      <c r="C1413" t="s">
        <v>11775</v>
      </c>
      <c r="D1413" t="s">
        <v>11850</v>
      </c>
      <c r="E1413" t="s">
        <v>15</v>
      </c>
      <c r="F1413" t="s">
        <v>11884</v>
      </c>
      <c r="G1413" t="s">
        <v>18200</v>
      </c>
      <c r="H1413" t="s">
        <v>1112</v>
      </c>
      <c r="I1413" t="s">
        <v>1108</v>
      </c>
      <c r="J1413" t="s">
        <v>11885</v>
      </c>
      <c r="K1413" t="s">
        <v>11886</v>
      </c>
      <c r="L1413" t="s">
        <v>21</v>
      </c>
      <c r="M1413" t="s">
        <v>19177</v>
      </c>
      <c r="N1413" t="s">
        <v>1024</v>
      </c>
      <c r="O1413" t="s">
        <v>1024</v>
      </c>
      <c r="P1413" t="s">
        <v>842</v>
      </c>
    </row>
    <row r="1414">
      <c r="A1414">
        <f>HYPERLINK("http://bombeiros.sp.gov.br/hidrantes/03individual/3884.html","3884")</f>
      </c>
      <c r="B1414" t="s">
        <v>842</v>
      </c>
      <c r="C1414" t="s">
        <v>11775</v>
      </c>
      <c r="D1414" t="s">
        <v>11850</v>
      </c>
      <c r="E1414" t="s">
        <v>15</v>
      </c>
      <c r="F1414" t="s">
        <v>11887</v>
      </c>
      <c r="G1414" t="s">
        <v>18200</v>
      </c>
      <c r="H1414" t="s">
        <v>1112</v>
      </c>
      <c r="I1414" t="s">
        <v>1108</v>
      </c>
      <c r="J1414" t="s">
        <v>11888</v>
      </c>
      <c r="K1414" t="s">
        <v>11889</v>
      </c>
      <c r="L1414" t="s">
        <v>21</v>
      </c>
      <c r="M1414" t="s">
        <v>19177</v>
      </c>
      <c r="N1414" t="s">
        <v>1024</v>
      </c>
      <c r="O1414" t="s">
        <v>1024</v>
      </c>
      <c r="P1414" t="s">
        <v>842</v>
      </c>
    </row>
    <row r="1415">
      <c r="A1415">
        <f>HYPERLINK("http://bombeiros.sp.gov.br/hidrantes/03individual/16614.html","16614")</f>
      </c>
      <c r="B1415" t="s">
        <v>842</v>
      </c>
      <c r="C1415" t="s">
        <v>11775</v>
      </c>
      <c r="D1415" t="s">
        <v>11850</v>
      </c>
      <c r="E1415" t="s">
        <v>15</v>
      </c>
      <c r="F1415" t="s">
        <v>11890</v>
      </c>
      <c r="G1415" t="s">
        <v>18200</v>
      </c>
      <c r="H1415" t="s">
        <v>1112</v>
      </c>
      <c r="I1415" t="s">
        <v>1108</v>
      </c>
      <c r="J1415" t="s">
        <v>11891</v>
      </c>
      <c r="K1415" t="s">
        <v>11892</v>
      </c>
      <c r="L1415" t="s">
        <v>21</v>
      </c>
      <c r="M1415" t="s">
        <v>19177</v>
      </c>
      <c r="N1415" t="s">
        <v>1024</v>
      </c>
      <c r="O1415" t="s">
        <v>1024</v>
      </c>
      <c r="P1415" t="s">
        <v>842</v>
      </c>
    </row>
    <row r="1416">
      <c r="A1416">
        <f>HYPERLINK("http://bombeiros.sp.gov.br/hidrantes/03individual/454.html","454")</f>
      </c>
      <c r="B1416" t="s">
        <v>842</v>
      </c>
      <c r="C1416" t="s">
        <v>11775</v>
      </c>
      <c r="D1416" t="s">
        <v>679</v>
      </c>
      <c r="E1416" t="s">
        <v>64</v>
      </c>
      <c r="F1416" t="s">
        <v>11893</v>
      </c>
      <c r="G1416" t="s">
        <v>18093</v>
      </c>
      <c r="H1416" t="s">
        <v>1112</v>
      </c>
      <c r="I1416" t="s">
        <v>1108</v>
      </c>
      <c r="J1416" t="s">
        <v>11894</v>
      </c>
      <c r="K1416" t="s">
        <v>11895</v>
      </c>
      <c r="L1416" t="s">
        <v>36</v>
      </c>
      <c r="M1416" t="s">
        <v>19177</v>
      </c>
      <c r="N1416" t="s">
        <v>1024</v>
      </c>
      <c r="O1416" t="s">
        <v>1024</v>
      </c>
      <c r="P1416" t="s">
        <v>842</v>
      </c>
    </row>
    <row r="1417">
      <c r="A1417">
        <f>HYPERLINK("http://bombeiros.sp.gov.br/hidrantes/03individual/3878.html","3878")</f>
      </c>
      <c r="B1417" t="s">
        <v>842</v>
      </c>
      <c r="C1417" t="s">
        <v>11775</v>
      </c>
      <c r="D1417" t="s">
        <v>679</v>
      </c>
      <c r="E1417" t="s">
        <v>64</v>
      </c>
      <c r="F1417" t="s">
        <v>11896</v>
      </c>
      <c r="G1417" t="s">
        <v>18089</v>
      </c>
      <c r="H1417" t="s">
        <v>1112</v>
      </c>
      <c r="I1417" t="s">
        <v>1108</v>
      </c>
      <c r="J1417" t="s">
        <v>11897</v>
      </c>
      <c r="K1417" t="s">
        <v>11898</v>
      </c>
      <c r="L1417" t="s">
        <v>21</v>
      </c>
      <c r="M1417" t="s">
        <v>19177</v>
      </c>
      <c r="N1417" t="s">
        <v>1024</v>
      </c>
      <c r="O1417" t="s">
        <v>1024</v>
      </c>
      <c r="P1417" t="s">
        <v>842</v>
      </c>
    </row>
    <row r="1418">
      <c r="A1418">
        <f>HYPERLINK("http://bombeiros.sp.gov.br/hidrantes/03individual/3929.html","3929")</f>
      </c>
      <c r="B1418" t="s">
        <v>842</v>
      </c>
      <c r="C1418" t="s">
        <v>11775</v>
      </c>
      <c r="D1418" t="s">
        <v>679</v>
      </c>
      <c r="E1418" t="s">
        <v>64</v>
      </c>
      <c r="F1418" t="s">
        <v>11902</v>
      </c>
      <c r="G1418" t="s">
        <v>18093</v>
      </c>
      <c r="H1418" t="s">
        <v>1121</v>
      </c>
      <c r="I1418" t="s">
        <v>1117</v>
      </c>
      <c r="J1418" t="s">
        <v>11903</v>
      </c>
      <c r="K1418" t="s">
        <v>11904</v>
      </c>
      <c r="L1418" t="s">
        <v>36</v>
      </c>
      <c r="M1418" t="s">
        <v>19177</v>
      </c>
      <c r="N1418" t="s">
        <v>1024</v>
      </c>
      <c r="O1418" t="s">
        <v>1024</v>
      </c>
      <c r="P1418" t="s">
        <v>842</v>
      </c>
    </row>
    <row r="1419">
      <c r="A1419">
        <f>HYPERLINK("http://bombeiros.sp.gov.br/hidrantes/03individual/307.html","307")</f>
      </c>
      <c r="B1419" t="s">
        <v>842</v>
      </c>
      <c r="C1419" t="s">
        <v>11775</v>
      </c>
      <c r="D1419" t="s">
        <v>679</v>
      </c>
      <c r="E1419" t="s">
        <v>15</v>
      </c>
      <c r="F1419" t="s">
        <v>11911</v>
      </c>
      <c r="G1419" t="s">
        <v>18164</v>
      </c>
      <c r="H1419" t="s">
        <v>1112</v>
      </c>
      <c r="I1419" t="s">
        <v>1108</v>
      </c>
      <c r="J1419" t="s">
        <v>11912</v>
      </c>
      <c r="K1419" t="s">
        <v>11913</v>
      </c>
      <c r="L1419" t="s">
        <v>21</v>
      </c>
      <c r="M1419" t="s">
        <v>19177</v>
      </c>
      <c r="N1419" t="s">
        <v>1024</v>
      </c>
      <c r="O1419" t="s">
        <v>1024</v>
      </c>
      <c r="P1419" t="s">
        <v>842</v>
      </c>
    </row>
    <row r="1420">
      <c r="A1420">
        <f>HYPERLINK("http://bombeiros.sp.gov.br/hidrantes/03individual/328.html","328")</f>
      </c>
      <c r="B1420" t="s">
        <v>842</v>
      </c>
      <c r="C1420" t="s">
        <v>11775</v>
      </c>
      <c r="D1420" t="s">
        <v>679</v>
      </c>
      <c r="E1420" t="s">
        <v>15</v>
      </c>
      <c r="F1420" t="s">
        <v>11914</v>
      </c>
      <c r="G1420" t="s">
        <v>18164</v>
      </c>
      <c r="H1420" t="s">
        <v>1112</v>
      </c>
      <c r="I1420" t="s">
        <v>1108</v>
      </c>
      <c r="J1420" t="s">
        <v>11915</v>
      </c>
      <c r="K1420" t="s">
        <v>11916</v>
      </c>
      <c r="L1420" t="s">
        <v>21</v>
      </c>
      <c r="M1420" t="s">
        <v>19177</v>
      </c>
      <c r="N1420" t="s">
        <v>1024</v>
      </c>
      <c r="O1420" t="s">
        <v>1024</v>
      </c>
      <c r="P1420" t="s">
        <v>842</v>
      </c>
    </row>
    <row r="1421">
      <c r="A1421">
        <f>HYPERLINK("http://bombeiros.sp.gov.br/hidrantes/03individual/428.html","428")</f>
      </c>
      <c r="B1421" t="s">
        <v>842</v>
      </c>
      <c r="C1421" t="s">
        <v>11775</v>
      </c>
      <c r="D1421" t="s">
        <v>679</v>
      </c>
      <c r="E1421" t="s">
        <v>15</v>
      </c>
      <c r="F1421" t="s">
        <v>11923</v>
      </c>
      <c r="G1421" t="s">
        <v>18093</v>
      </c>
      <c r="H1421" t="s">
        <v>1112</v>
      </c>
      <c r="I1421" t="s">
        <v>1108</v>
      </c>
      <c r="J1421" t="s">
        <v>11924</v>
      </c>
      <c r="K1421" t="s">
        <v>11925</v>
      </c>
      <c r="L1421" t="s">
        <v>21</v>
      </c>
      <c r="M1421" t="s">
        <v>19177</v>
      </c>
      <c r="N1421" t="s">
        <v>1024</v>
      </c>
      <c r="O1421" t="s">
        <v>1024</v>
      </c>
      <c r="P1421" t="s">
        <v>842</v>
      </c>
    </row>
    <row r="1422">
      <c r="A1422">
        <f>HYPERLINK("http://bombeiros.sp.gov.br/hidrantes/03individual/3932.html","3932")</f>
      </c>
      <c r="B1422" t="s">
        <v>842</v>
      </c>
      <c r="C1422" t="s">
        <v>11775</v>
      </c>
      <c r="D1422" t="s">
        <v>679</v>
      </c>
      <c r="E1422" t="s">
        <v>15</v>
      </c>
      <c r="F1422" t="s">
        <v>11947</v>
      </c>
      <c r="G1422" t="s">
        <v>18093</v>
      </c>
      <c r="H1422" t="s">
        <v>1112</v>
      </c>
      <c r="I1422" t="s">
        <v>1108</v>
      </c>
      <c r="J1422" t="s">
        <v>11948</v>
      </c>
      <c r="K1422" t="s">
        <v>11949</v>
      </c>
      <c r="L1422" t="s">
        <v>21</v>
      </c>
      <c r="M1422" t="s">
        <v>19177</v>
      </c>
      <c r="N1422" t="s">
        <v>1024</v>
      </c>
      <c r="O1422" t="s">
        <v>1024</v>
      </c>
      <c r="P1422" t="s">
        <v>842</v>
      </c>
    </row>
    <row r="1423">
      <c r="A1423">
        <f>HYPERLINK("http://bombeiros.sp.gov.br/hidrantes/03individual/4158.html","4158")</f>
      </c>
      <c r="B1423" t="s">
        <v>842</v>
      </c>
      <c r="C1423" t="s">
        <v>11775</v>
      </c>
      <c r="D1423" t="s">
        <v>679</v>
      </c>
      <c r="E1423" t="s">
        <v>15</v>
      </c>
      <c r="F1423" t="s">
        <v>11953</v>
      </c>
      <c r="G1423" t="s">
        <v>18089</v>
      </c>
      <c r="H1423" t="s">
        <v>1112</v>
      </c>
      <c r="I1423" t="s">
        <v>1108</v>
      </c>
      <c r="J1423" t="s">
        <v>11954</v>
      </c>
      <c r="K1423" t="s">
        <v>11955</v>
      </c>
      <c r="L1423" t="s">
        <v>21</v>
      </c>
      <c r="M1423" t="s">
        <v>19177</v>
      </c>
      <c r="N1423" t="s">
        <v>1024</v>
      </c>
      <c r="O1423" t="s">
        <v>1024</v>
      </c>
      <c r="P1423" t="s">
        <v>842</v>
      </c>
    </row>
    <row r="1424">
      <c r="A1424">
        <f>HYPERLINK("http://bombeiros.sp.gov.br/hidrantes/03individual/3659.html","3659")</f>
      </c>
      <c r="B1424" t="s">
        <v>842</v>
      </c>
      <c r="C1424" t="s">
        <v>11956</v>
      </c>
      <c r="D1424" t="s">
        <v>11956</v>
      </c>
      <c r="E1424" t="s">
        <v>64</v>
      </c>
      <c r="F1424" t="s">
        <v>11957</v>
      </c>
      <c r="G1424" t="s">
        <v>17899</v>
      </c>
      <c r="H1424" t="s">
        <v>1112</v>
      </c>
      <c r="I1424" t="s">
        <v>1108</v>
      </c>
      <c r="J1424" t="s">
        <v>11958</v>
      </c>
      <c r="K1424" t="s">
        <v>11959</v>
      </c>
      <c r="L1424" t="s">
        <v>21</v>
      </c>
      <c r="M1424" t="s">
        <v>19177</v>
      </c>
      <c r="N1424" t="s">
        <v>1024</v>
      </c>
      <c r="O1424" t="s">
        <v>1024</v>
      </c>
      <c r="P1424" t="s">
        <v>842</v>
      </c>
    </row>
    <row r="1425">
      <c r="A1425">
        <f>HYPERLINK("http://bombeiros.sp.gov.br/hidrantes/03individual/2463.html","2463")</f>
      </c>
      <c r="B1425" t="s">
        <v>842</v>
      </c>
      <c r="C1425" t="s">
        <v>11956</v>
      </c>
      <c r="D1425" t="s">
        <v>11956</v>
      </c>
      <c r="E1425" t="s">
        <v>15</v>
      </c>
      <c r="F1425" t="s">
        <v>11972</v>
      </c>
      <c r="G1425" t="s">
        <v>17580</v>
      </c>
      <c r="H1425" t="s">
        <v>1112</v>
      </c>
      <c r="I1425" t="s">
        <v>1108</v>
      </c>
      <c r="J1425" t="s">
        <v>11973</v>
      </c>
      <c r="K1425" t="s">
        <v>11974</v>
      </c>
      <c r="L1425" t="s">
        <v>21</v>
      </c>
      <c r="M1425" t="s">
        <v>19177</v>
      </c>
      <c r="N1425" t="s">
        <v>1024</v>
      </c>
      <c r="O1425" t="s">
        <v>1024</v>
      </c>
      <c r="P1425" t="s">
        <v>842</v>
      </c>
    </row>
    <row r="1426">
      <c r="A1426">
        <f>HYPERLINK("http://bombeiros.sp.gov.br/hidrantes/03individual/2469.html","2469")</f>
      </c>
      <c r="B1426" t="s">
        <v>842</v>
      </c>
      <c r="C1426" t="s">
        <v>11956</v>
      </c>
      <c r="D1426" t="s">
        <v>11956</v>
      </c>
      <c r="E1426" t="s">
        <v>15</v>
      </c>
      <c r="F1426" t="s">
        <v>11975</v>
      </c>
      <c r="G1426" t="s">
        <v>17899</v>
      </c>
      <c r="H1426" t="s">
        <v>1107</v>
      </c>
      <c r="I1426" t="s">
        <v>1108</v>
      </c>
      <c r="J1426" t="s">
        <v>11976</v>
      </c>
      <c r="K1426" t="s">
        <v>11977</v>
      </c>
      <c r="L1426" t="s">
        <v>21</v>
      </c>
      <c r="M1426" t="s">
        <v>19177</v>
      </c>
      <c r="N1426" t="s">
        <v>1024</v>
      </c>
      <c r="O1426" t="s">
        <v>1024</v>
      </c>
      <c r="P1426" t="s">
        <v>842</v>
      </c>
    </row>
    <row r="1427">
      <c r="A1427">
        <f>HYPERLINK("http://bombeiros.sp.gov.br/hidrantes/03individual/3767.html","3767")</f>
      </c>
      <c r="B1427" t="s">
        <v>842</v>
      </c>
      <c r="C1427" t="s">
        <v>11956</v>
      </c>
      <c r="D1427" t="s">
        <v>11956</v>
      </c>
      <c r="E1427" t="s">
        <v>15</v>
      </c>
      <c r="F1427" t="s">
        <v>11984</v>
      </c>
      <c r="G1427" t="s">
        <v>17611</v>
      </c>
      <c r="H1427" t="s">
        <v>1112</v>
      </c>
      <c r="I1427" t="s">
        <v>1108</v>
      </c>
      <c r="J1427" t="s">
        <v>11985</v>
      </c>
      <c r="K1427" t="s">
        <v>11986</v>
      </c>
      <c r="L1427" t="s">
        <v>21</v>
      </c>
      <c r="M1427" t="s">
        <v>19177</v>
      </c>
      <c r="N1427" t="s">
        <v>1024</v>
      </c>
      <c r="O1427" t="s">
        <v>1024</v>
      </c>
      <c r="P1427" t="s">
        <v>842</v>
      </c>
    </row>
    <row r="1428">
      <c r="A1428">
        <f>HYPERLINK("http://bombeiros.sp.gov.br/hidrantes/03individual/26871.html","26871")</f>
      </c>
      <c r="B1428" t="s">
        <v>842</v>
      </c>
      <c r="C1428" t="s">
        <v>11956</v>
      </c>
      <c r="D1428" t="s">
        <v>11956</v>
      </c>
      <c r="E1428" t="s">
        <v>15</v>
      </c>
      <c r="F1428" t="s">
        <v>16270</v>
      </c>
      <c r="G1428" t="s">
        <v>17900</v>
      </c>
      <c r="H1428" t="s">
        <v>1112</v>
      </c>
      <c r="I1428" t="s">
        <v>1108</v>
      </c>
      <c r="J1428" t="s">
        <v>16271</v>
      </c>
      <c r="K1428" t="s">
        <v>16272</v>
      </c>
      <c r="L1428" t="s">
        <v>21</v>
      </c>
      <c r="M1428" t="s">
        <v>19177</v>
      </c>
      <c r="N1428" t="s">
        <v>1024</v>
      </c>
      <c r="O1428" t="s">
        <v>1024</v>
      </c>
      <c r="P1428" t="s">
        <v>842</v>
      </c>
    </row>
    <row r="1429">
      <c r="A1429">
        <f>HYPERLINK("http://bombeiros.sp.gov.br/hidrantes/03individual/26910.html","26910")</f>
      </c>
      <c r="B1429" t="s">
        <v>842</v>
      </c>
      <c r="C1429" t="s">
        <v>11956</v>
      </c>
      <c r="D1429" t="s">
        <v>11956</v>
      </c>
      <c r="E1429" t="s">
        <v>15</v>
      </c>
      <c r="F1429" t="s">
        <v>16367</v>
      </c>
      <c r="G1429" t="s">
        <v>17583</v>
      </c>
      <c r="H1429" t="s">
        <v>1112</v>
      </c>
      <c r="I1429" t="s">
        <v>1108</v>
      </c>
      <c r="J1429" t="s">
        <v>16368</v>
      </c>
      <c r="K1429" t="s">
        <v>16369</v>
      </c>
      <c r="L1429" t="s">
        <v>21</v>
      </c>
      <c r="M1429" t="s">
        <v>19177</v>
      </c>
      <c r="N1429" t="s">
        <v>1024</v>
      </c>
      <c r="O1429" t="s">
        <v>1024</v>
      </c>
      <c r="P1429" t="s">
        <v>842</v>
      </c>
    </row>
    <row r="1430">
      <c r="A1430">
        <f>HYPERLINK("http://bombeiros.sp.gov.br/hidrantes/03individual/2350.html","2350")</f>
      </c>
      <c r="B1430" t="s">
        <v>842</v>
      </c>
      <c r="C1430" t="s">
        <v>11956</v>
      </c>
      <c r="D1430" t="s">
        <v>11990</v>
      </c>
      <c r="E1430" t="s">
        <v>64</v>
      </c>
      <c r="F1430" t="s">
        <v>11991</v>
      </c>
      <c r="G1430" t="s">
        <v>18139</v>
      </c>
      <c r="H1430" t="s">
        <v>1112</v>
      </c>
      <c r="I1430" t="s">
        <v>1108</v>
      </c>
      <c r="J1430" t="s">
        <v>11992</v>
      </c>
      <c r="K1430" t="s">
        <v>11993</v>
      </c>
      <c r="L1430" t="s">
        <v>21</v>
      </c>
      <c r="M1430" t="s">
        <v>19177</v>
      </c>
      <c r="N1430" t="s">
        <v>1024</v>
      </c>
      <c r="O1430" t="s">
        <v>1024</v>
      </c>
      <c r="P1430" t="s">
        <v>842</v>
      </c>
    </row>
    <row r="1431">
      <c r="A1431">
        <f>HYPERLINK("http://bombeiros.sp.gov.br/hidrantes/03individual/2374.html","2374")</f>
      </c>
      <c r="B1431" t="s">
        <v>842</v>
      </c>
      <c r="C1431" t="s">
        <v>11956</v>
      </c>
      <c r="D1431" t="s">
        <v>11990</v>
      </c>
      <c r="E1431" t="s">
        <v>64</v>
      </c>
      <c r="F1431" t="s">
        <v>11994</v>
      </c>
      <c r="G1431" t="s">
        <v>18084</v>
      </c>
      <c r="H1431" t="s">
        <v>1112</v>
      </c>
      <c r="I1431" t="s">
        <v>1108</v>
      </c>
      <c r="J1431" t="s">
        <v>11995</v>
      </c>
      <c r="K1431" t="s">
        <v>11996</v>
      </c>
      <c r="L1431" t="s">
        <v>36</v>
      </c>
      <c r="M1431" t="s">
        <v>19177</v>
      </c>
      <c r="N1431" t="s">
        <v>1024</v>
      </c>
      <c r="O1431" t="s">
        <v>1024</v>
      </c>
      <c r="P1431" t="s">
        <v>842</v>
      </c>
    </row>
    <row r="1432">
      <c r="A1432">
        <f>HYPERLINK("http://bombeiros.sp.gov.br/hidrantes/03individual/2384.html","2384")</f>
      </c>
      <c r="B1432" t="s">
        <v>842</v>
      </c>
      <c r="C1432" t="s">
        <v>11956</v>
      </c>
      <c r="D1432" t="s">
        <v>11990</v>
      </c>
      <c r="E1432" t="s">
        <v>64</v>
      </c>
      <c r="F1432" t="s">
        <v>11997</v>
      </c>
      <c r="G1432" t="s">
        <v>18139</v>
      </c>
      <c r="H1432" t="s">
        <v>1112</v>
      </c>
      <c r="I1432" t="s">
        <v>1108</v>
      </c>
      <c r="J1432" t="s">
        <v>11998</v>
      </c>
      <c r="K1432" t="s">
        <v>11999</v>
      </c>
      <c r="L1432" t="s">
        <v>36</v>
      </c>
      <c r="M1432" t="s">
        <v>19177</v>
      </c>
      <c r="N1432" t="s">
        <v>1024</v>
      </c>
      <c r="O1432" t="s">
        <v>1024</v>
      </c>
      <c r="P1432" t="s">
        <v>842</v>
      </c>
    </row>
    <row r="1433">
      <c r="A1433">
        <f>HYPERLINK("http://bombeiros.sp.gov.br/hidrantes/03individual/3664.html","3664")</f>
      </c>
      <c r="B1433" t="s">
        <v>842</v>
      </c>
      <c r="C1433" t="s">
        <v>11956</v>
      </c>
      <c r="D1433" t="s">
        <v>11990</v>
      </c>
      <c r="E1433" t="s">
        <v>64</v>
      </c>
      <c r="F1433" t="s">
        <v>12003</v>
      </c>
      <c r="G1433" t="s">
        <v>18093</v>
      </c>
      <c r="H1433" t="s">
        <v>1112</v>
      </c>
      <c r="I1433" t="s">
        <v>1108</v>
      </c>
      <c r="J1433" t="s">
        <v>12004</v>
      </c>
      <c r="K1433" t="s">
        <v>12005</v>
      </c>
      <c r="L1433" t="s">
        <v>36</v>
      </c>
      <c r="M1433" t="s">
        <v>19177</v>
      </c>
      <c r="N1433" t="s">
        <v>1024</v>
      </c>
      <c r="O1433" t="s">
        <v>1024</v>
      </c>
      <c r="P1433" t="s">
        <v>842</v>
      </c>
    </row>
    <row r="1434">
      <c r="A1434">
        <f>HYPERLINK("http://bombeiros.sp.gov.br/hidrantes/03individual/4073.html","4073")</f>
      </c>
      <c r="B1434" t="s">
        <v>842</v>
      </c>
      <c r="C1434" t="s">
        <v>11956</v>
      </c>
      <c r="D1434" t="s">
        <v>11990</v>
      </c>
      <c r="E1434" t="s">
        <v>64</v>
      </c>
      <c r="F1434" t="s">
        <v>12006</v>
      </c>
      <c r="G1434" t="s">
        <v>18147</v>
      </c>
      <c r="H1434" t="s">
        <v>1112</v>
      </c>
      <c r="I1434" t="s">
        <v>1108</v>
      </c>
      <c r="J1434" t="s">
        <v>12007</v>
      </c>
      <c r="K1434" t="s">
        <v>12008</v>
      </c>
      <c r="L1434" t="s">
        <v>21</v>
      </c>
      <c r="M1434" t="s">
        <v>19177</v>
      </c>
      <c r="N1434" t="s">
        <v>1024</v>
      </c>
      <c r="O1434" t="s">
        <v>1024</v>
      </c>
      <c r="P1434" t="s">
        <v>842</v>
      </c>
    </row>
    <row r="1435">
      <c r="A1435">
        <f>HYPERLINK("http://bombeiros.sp.gov.br/hidrantes/03individual/26914.html","26914")</f>
      </c>
      <c r="B1435" t="s">
        <v>842</v>
      </c>
      <c r="C1435" t="s">
        <v>11956</v>
      </c>
      <c r="D1435" t="s">
        <v>11990</v>
      </c>
      <c r="E1435" t="s">
        <v>64</v>
      </c>
      <c r="F1435" t="s">
        <v>16381</v>
      </c>
      <c r="G1435" t="s">
        <v>18173</v>
      </c>
      <c r="H1435" t="s">
        <v>1107</v>
      </c>
      <c r="I1435" t="s">
        <v>1108</v>
      </c>
      <c r="J1435" t="s">
        <v>16382</v>
      </c>
      <c r="K1435" t="s">
        <v>16383</v>
      </c>
      <c r="L1435" t="s">
        <v>21</v>
      </c>
      <c r="M1435" t="s">
        <v>19177</v>
      </c>
      <c r="N1435" t="s">
        <v>1024</v>
      </c>
      <c r="O1435" t="s">
        <v>1024</v>
      </c>
      <c r="P1435" t="s">
        <v>842</v>
      </c>
    </row>
    <row r="1436">
      <c r="A1436">
        <f>HYPERLINK("http://bombeiros.sp.gov.br/hidrantes/03individual/3792.html","3792")</f>
      </c>
      <c r="B1436" t="s">
        <v>842</v>
      </c>
      <c r="C1436" t="s">
        <v>11956</v>
      </c>
      <c r="D1436" t="s">
        <v>11990</v>
      </c>
      <c r="E1436" t="s">
        <v>15</v>
      </c>
      <c r="F1436" t="s">
        <v>12027</v>
      </c>
      <c r="G1436" t="s">
        <v>18139</v>
      </c>
      <c r="H1436" t="s">
        <v>1112</v>
      </c>
      <c r="I1436" t="s">
        <v>1108</v>
      </c>
      <c r="J1436" t="s">
        <v>12028</v>
      </c>
      <c r="K1436" t="s">
        <v>12029</v>
      </c>
      <c r="L1436" t="s">
        <v>21</v>
      </c>
      <c r="M1436" t="s">
        <v>19177</v>
      </c>
      <c r="N1436" t="s">
        <v>1024</v>
      </c>
      <c r="O1436" t="s">
        <v>1024</v>
      </c>
      <c r="P1436" t="s">
        <v>842</v>
      </c>
    </row>
    <row r="1437">
      <c r="A1437">
        <f>HYPERLINK("http://bombeiros.sp.gov.br/hidrantes/03individual/3796.html","3796")</f>
      </c>
      <c r="B1437" t="s">
        <v>842</v>
      </c>
      <c r="C1437" t="s">
        <v>11956</v>
      </c>
      <c r="D1437" t="s">
        <v>11990</v>
      </c>
      <c r="E1437" t="s">
        <v>15</v>
      </c>
      <c r="F1437" t="s">
        <v>12030</v>
      </c>
      <c r="G1437" t="s">
        <v>18139</v>
      </c>
      <c r="H1437" t="s">
        <v>1112</v>
      </c>
      <c r="I1437" t="s">
        <v>1108</v>
      </c>
      <c r="J1437" t="s">
        <v>12031</v>
      </c>
      <c r="K1437" t="s">
        <v>12032</v>
      </c>
      <c r="L1437" t="s">
        <v>21</v>
      </c>
      <c r="M1437" t="s">
        <v>19177</v>
      </c>
      <c r="N1437" t="s">
        <v>1024</v>
      </c>
      <c r="O1437" t="s">
        <v>1024</v>
      </c>
      <c r="P1437" t="s">
        <v>842</v>
      </c>
    </row>
    <row r="1438">
      <c r="A1438">
        <f>HYPERLINK("http://bombeiros.sp.gov.br/hidrantes/03individual/3801.html","3801")</f>
      </c>
      <c r="B1438" t="s">
        <v>842</v>
      </c>
      <c r="C1438" t="s">
        <v>11956</v>
      </c>
      <c r="D1438" t="s">
        <v>11990</v>
      </c>
      <c r="E1438" t="s">
        <v>15</v>
      </c>
      <c r="F1438" t="s">
        <v>12033</v>
      </c>
      <c r="G1438" t="s">
        <v>18131</v>
      </c>
      <c r="H1438" t="s">
        <v>1112</v>
      </c>
      <c r="I1438" t="s">
        <v>1108</v>
      </c>
      <c r="J1438" t="s">
        <v>12034</v>
      </c>
      <c r="K1438" t="s">
        <v>12035</v>
      </c>
      <c r="L1438" t="s">
        <v>21</v>
      </c>
      <c r="M1438" t="s">
        <v>19177</v>
      </c>
      <c r="N1438" t="s">
        <v>1024</v>
      </c>
      <c r="O1438" t="s">
        <v>1024</v>
      </c>
      <c r="P1438" t="s">
        <v>842</v>
      </c>
    </row>
    <row r="1439">
      <c r="A1439">
        <f>HYPERLINK("http://bombeiros.sp.gov.br/hidrantes/03individual/27289.html","27289")</f>
      </c>
      <c r="B1439" t="s">
        <v>842</v>
      </c>
      <c r="C1439" t="s">
        <v>11956</v>
      </c>
      <c r="D1439" t="s">
        <v>11990</v>
      </c>
      <c r="E1439" t="s">
        <v>15</v>
      </c>
      <c r="F1439" t="s">
        <v>17051</v>
      </c>
      <c r="G1439" t="s">
        <v>18084</v>
      </c>
      <c r="H1439" t="s">
        <v>1112</v>
      </c>
      <c r="I1439" t="s">
        <v>1108</v>
      </c>
      <c r="J1439" t="s">
        <v>17052</v>
      </c>
      <c r="K1439" t="s">
        <v>17053</v>
      </c>
      <c r="L1439" t="s">
        <v>21</v>
      </c>
      <c r="M1439" t="s">
        <v>19177</v>
      </c>
      <c r="N1439" t="s">
        <v>1024</v>
      </c>
      <c r="O1439" t="s">
        <v>1024</v>
      </c>
      <c r="P1439" t="s">
        <v>842</v>
      </c>
    </row>
    <row r="1440">
      <c r="A1440">
        <f>HYPERLINK("http://bombeiros.sp.gov.br/hidrantes/03individual/17870.html","17870")</f>
      </c>
      <c r="B1440" t="s">
        <v>842</v>
      </c>
      <c r="C1440" t="s">
        <v>11956</v>
      </c>
      <c r="D1440" t="s">
        <v>12054</v>
      </c>
      <c r="E1440" t="s">
        <v>15</v>
      </c>
      <c r="F1440" t="s">
        <v>16450</v>
      </c>
      <c r="G1440" t="s">
        <v>18093</v>
      </c>
      <c r="H1440" t="s">
        <v>1112</v>
      </c>
      <c r="I1440" t="s">
        <v>1108</v>
      </c>
      <c r="J1440" t="s">
        <v>16451</v>
      </c>
      <c r="K1440" t="s">
        <v>16452</v>
      </c>
      <c r="L1440" t="s">
        <v>21</v>
      </c>
      <c r="M1440" t="s">
        <v>19177</v>
      </c>
      <c r="N1440" t="s">
        <v>1024</v>
      </c>
      <c r="O1440" t="s">
        <v>1024</v>
      </c>
      <c r="P1440" t="s">
        <v>842</v>
      </c>
    </row>
    <row r="1441">
      <c r="A1441">
        <f>HYPERLINK("http://bombeiros.sp.gov.br/hidrantes/03individual/2388.html","2388")</f>
      </c>
      <c r="B1441" t="s">
        <v>842</v>
      </c>
      <c r="C1441" t="s">
        <v>11956</v>
      </c>
      <c r="D1441" t="s">
        <v>12061</v>
      </c>
      <c r="E1441" t="s">
        <v>64</v>
      </c>
      <c r="F1441" t="s">
        <v>12062</v>
      </c>
      <c r="G1441" t="s">
        <v>18053</v>
      </c>
      <c r="H1441" t="s">
        <v>1112</v>
      </c>
      <c r="I1441" t="s">
        <v>1108</v>
      </c>
      <c r="J1441" t="s">
        <v>12063</v>
      </c>
      <c r="K1441" t="s">
        <v>12064</v>
      </c>
      <c r="L1441" t="s">
        <v>36</v>
      </c>
      <c r="M1441" t="s">
        <v>19177</v>
      </c>
      <c r="N1441" t="s">
        <v>1024</v>
      </c>
      <c r="O1441" t="s">
        <v>1024</v>
      </c>
      <c r="P1441" t="s">
        <v>842</v>
      </c>
    </row>
    <row r="1442">
      <c r="A1442">
        <f>HYPERLINK("http://bombeiros.sp.gov.br/hidrantes/03individual/6730.html","6730")</f>
      </c>
      <c r="B1442" t="s">
        <v>842</v>
      </c>
      <c r="C1442" t="s">
        <v>11956</v>
      </c>
      <c r="D1442" t="s">
        <v>12061</v>
      </c>
      <c r="E1442" t="s">
        <v>64</v>
      </c>
      <c r="F1442" t="s">
        <v>12065</v>
      </c>
      <c r="G1442" t="s">
        <v>17584</v>
      </c>
      <c r="H1442" t="s">
        <v>1112</v>
      </c>
      <c r="I1442" t="s">
        <v>1108</v>
      </c>
      <c r="J1442" t="s">
        <v>12066</v>
      </c>
      <c r="K1442" t="s">
        <v>12067</v>
      </c>
      <c r="L1442" t="s">
        <v>21</v>
      </c>
      <c r="M1442" t="s">
        <v>19177</v>
      </c>
      <c r="N1442" t="s">
        <v>1024</v>
      </c>
      <c r="O1442" t="s">
        <v>1024</v>
      </c>
      <c r="P1442" t="s">
        <v>842</v>
      </c>
    </row>
    <row r="1443">
      <c r="A1443">
        <f>HYPERLINK("http://bombeiros.sp.gov.br/hidrantes/03individual/6739.html","6739")</f>
      </c>
      <c r="B1443" t="s">
        <v>842</v>
      </c>
      <c r="C1443" t="s">
        <v>11956</v>
      </c>
      <c r="D1443" t="s">
        <v>12061</v>
      </c>
      <c r="E1443" t="s">
        <v>64</v>
      </c>
      <c r="F1443" t="s">
        <v>12068</v>
      </c>
      <c r="G1443" t="s">
        <v>18240</v>
      </c>
      <c r="H1443" t="s">
        <v>1112</v>
      </c>
      <c r="I1443" t="s">
        <v>1108</v>
      </c>
      <c r="J1443" t="s">
        <v>12069</v>
      </c>
      <c r="K1443" t="s">
        <v>12070</v>
      </c>
      <c r="L1443" t="s">
        <v>21</v>
      </c>
      <c r="M1443" t="s">
        <v>19177</v>
      </c>
      <c r="N1443" t="s">
        <v>1024</v>
      </c>
      <c r="O1443" t="s">
        <v>1024</v>
      </c>
      <c r="P1443" t="s">
        <v>842</v>
      </c>
    </row>
    <row r="1444">
      <c r="A1444">
        <f>HYPERLINK("http://bombeiros.sp.gov.br/hidrantes/03individual/26283.html","26283")</f>
      </c>
      <c r="B1444" t="s">
        <v>842</v>
      </c>
      <c r="C1444" t="s">
        <v>11956</v>
      </c>
      <c r="D1444" t="s">
        <v>12061</v>
      </c>
      <c r="E1444" t="s">
        <v>64</v>
      </c>
      <c r="F1444" t="s">
        <v>12071</v>
      </c>
      <c r="G1444" t="s">
        <v>18240</v>
      </c>
      <c r="H1444" t="s">
        <v>1112</v>
      </c>
      <c r="I1444" t="s">
        <v>1108</v>
      </c>
      <c r="J1444" t="s">
        <v>12072</v>
      </c>
      <c r="K1444" t="s">
        <v>12073</v>
      </c>
      <c r="L1444" t="s">
        <v>21</v>
      </c>
      <c r="M1444" t="s">
        <v>19177</v>
      </c>
      <c r="N1444" t="s">
        <v>1024</v>
      </c>
      <c r="O1444" t="s">
        <v>1024</v>
      </c>
      <c r="P1444" t="s">
        <v>842</v>
      </c>
    </row>
    <row r="1445">
      <c r="A1445">
        <f>HYPERLINK("http://bombeiros.sp.gov.br/hidrantes/03individual/2420.html","2420")</f>
      </c>
      <c r="B1445" t="s">
        <v>842</v>
      </c>
      <c r="C1445" t="s">
        <v>11956</v>
      </c>
      <c r="D1445" t="s">
        <v>12061</v>
      </c>
      <c r="E1445" t="s">
        <v>15</v>
      </c>
      <c r="F1445" t="s">
        <v>12077</v>
      </c>
      <c r="G1445" t="s">
        <v>18105</v>
      </c>
      <c r="H1445" t="s">
        <v>1112</v>
      </c>
      <c r="I1445" t="s">
        <v>1108</v>
      </c>
      <c r="J1445" t="s">
        <v>12078</v>
      </c>
      <c r="K1445" t="s">
        <v>12079</v>
      </c>
      <c r="L1445" t="s">
        <v>21</v>
      </c>
      <c r="M1445" t="s">
        <v>19177</v>
      </c>
      <c r="N1445" t="s">
        <v>1024</v>
      </c>
      <c r="O1445" t="s">
        <v>1024</v>
      </c>
      <c r="P1445" t="s">
        <v>842</v>
      </c>
    </row>
    <row r="1446">
      <c r="A1446">
        <f>HYPERLINK("http://bombeiros.sp.gov.br/hidrantes/03individual/2426.html","2426")</f>
      </c>
      <c r="B1446" t="s">
        <v>842</v>
      </c>
      <c r="C1446" t="s">
        <v>11956</v>
      </c>
      <c r="D1446" t="s">
        <v>12061</v>
      </c>
      <c r="E1446" t="s">
        <v>15</v>
      </c>
      <c r="F1446" t="s">
        <v>12080</v>
      </c>
      <c r="G1446" t="s">
        <v>18126</v>
      </c>
      <c r="H1446" t="s">
        <v>1107</v>
      </c>
      <c r="I1446" t="s">
        <v>1108</v>
      </c>
      <c r="J1446" t="s">
        <v>12081</v>
      </c>
      <c r="K1446" t="s">
        <v>12082</v>
      </c>
      <c r="L1446" t="s">
        <v>21</v>
      </c>
      <c r="M1446" t="s">
        <v>19177</v>
      </c>
      <c r="N1446" t="s">
        <v>1024</v>
      </c>
      <c r="O1446" t="s">
        <v>1024</v>
      </c>
      <c r="P1446" t="s">
        <v>842</v>
      </c>
    </row>
    <row r="1447">
      <c r="A1447">
        <f>HYPERLINK("http://bombeiros.sp.gov.br/hidrantes/03individual/6733.html","6733")</f>
      </c>
      <c r="B1447" t="s">
        <v>842</v>
      </c>
      <c r="C1447" t="s">
        <v>11956</v>
      </c>
      <c r="D1447" t="s">
        <v>12061</v>
      </c>
      <c r="E1447" t="s">
        <v>15</v>
      </c>
      <c r="F1447" t="s">
        <v>12107</v>
      </c>
      <c r="G1447" t="s">
        <v>18214</v>
      </c>
      <c r="H1447" t="s">
        <v>1112</v>
      </c>
      <c r="I1447" t="s">
        <v>1108</v>
      </c>
      <c r="J1447" t="s">
        <v>12108</v>
      </c>
      <c r="K1447" t="s">
        <v>12109</v>
      </c>
      <c r="L1447" t="s">
        <v>21</v>
      </c>
      <c r="M1447" t="s">
        <v>19177</v>
      </c>
      <c r="N1447" t="s">
        <v>1024</v>
      </c>
      <c r="O1447" t="s">
        <v>1024</v>
      </c>
      <c r="P1447" t="s">
        <v>842</v>
      </c>
    </row>
    <row r="1448">
      <c r="A1448">
        <f>HYPERLINK("http://bombeiros.sp.gov.br/hidrantes/03individual/26788.html","26788")</f>
      </c>
      <c r="B1448" t="s">
        <v>842</v>
      </c>
      <c r="C1448" t="s">
        <v>843</v>
      </c>
      <c r="D1448" t="s">
        <v>12113</v>
      </c>
      <c r="E1448" t="s">
        <v>64</v>
      </c>
      <c r="F1448" t="s">
        <v>15812</v>
      </c>
      <c r="G1448" t="s">
        <v>17921</v>
      </c>
      <c r="H1448" t="s">
        <v>1112</v>
      </c>
      <c r="I1448" t="s">
        <v>1108</v>
      </c>
      <c r="J1448" t="s">
        <v>15813</v>
      </c>
      <c r="K1448" t="s">
        <v>15814</v>
      </c>
      <c r="L1448" t="s">
        <v>21</v>
      </c>
      <c r="M1448" t="s">
        <v>19177</v>
      </c>
      <c r="N1448" t="s">
        <v>848</v>
      </c>
      <c r="O1448" t="s">
        <v>640</v>
      </c>
      <c r="P1448" t="s">
        <v>623</v>
      </c>
    </row>
    <row r="1449">
      <c r="A1449">
        <f>HYPERLINK("http://bombeiros.sp.gov.br/hidrantes/03individual/27304.html","27304")</f>
      </c>
      <c r="B1449" t="s">
        <v>842</v>
      </c>
      <c r="C1449" t="s">
        <v>843</v>
      </c>
      <c r="D1449" t="s">
        <v>12113</v>
      </c>
      <c r="E1449" t="s">
        <v>64</v>
      </c>
      <c r="F1449" t="s">
        <v>17099</v>
      </c>
      <c r="G1449" t="s">
        <v>17921</v>
      </c>
      <c r="H1449" t="s">
        <v>1112</v>
      </c>
      <c r="I1449" t="s">
        <v>1108</v>
      </c>
      <c r="J1449" t="s">
        <v>18379</v>
      </c>
      <c r="K1449" t="s">
        <v>17101</v>
      </c>
      <c r="L1449" t="s">
        <v>21</v>
      </c>
      <c r="M1449" t="s">
        <v>19177</v>
      </c>
      <c r="N1449" t="s">
        <v>848</v>
      </c>
      <c r="O1449" t="s">
        <v>640</v>
      </c>
      <c r="P1449" t="s">
        <v>623</v>
      </c>
    </row>
    <row r="1450">
      <c r="A1450">
        <f>HYPERLINK("http://bombeiros.sp.gov.br/hidrantes/03individual/17692.html","17692")</f>
      </c>
      <c r="B1450" t="s">
        <v>842</v>
      </c>
      <c r="C1450" t="s">
        <v>843</v>
      </c>
      <c r="D1450" t="s">
        <v>12113</v>
      </c>
      <c r="E1450" t="s">
        <v>15</v>
      </c>
      <c r="F1450" t="s">
        <v>12117</v>
      </c>
      <c r="G1450" t="s">
        <v>17915</v>
      </c>
      <c r="H1450" t="s">
        <v>1112</v>
      </c>
      <c r="I1450" t="s">
        <v>1108</v>
      </c>
      <c r="J1450" t="s">
        <v>12118</v>
      </c>
      <c r="K1450" t="s">
        <v>12119</v>
      </c>
      <c r="L1450" t="s">
        <v>21</v>
      </c>
      <c r="M1450" t="s">
        <v>19177</v>
      </c>
      <c r="N1450" t="s">
        <v>848</v>
      </c>
      <c r="O1450" t="s">
        <v>640</v>
      </c>
      <c r="P1450" t="s">
        <v>623</v>
      </c>
    </row>
    <row r="1451">
      <c r="A1451">
        <f>HYPERLINK("http://bombeiros.sp.gov.br/hidrantes/03individual/4020.html","4020")</f>
      </c>
      <c r="B1451" t="s">
        <v>842</v>
      </c>
      <c r="C1451" t="s">
        <v>843</v>
      </c>
      <c r="D1451" t="s">
        <v>12120</v>
      </c>
      <c r="E1451" t="s">
        <v>64</v>
      </c>
      <c r="F1451" t="s">
        <v>12121</v>
      </c>
      <c r="G1451" t="s">
        <v>18132</v>
      </c>
      <c r="H1451" t="s">
        <v>1112</v>
      </c>
      <c r="I1451" t="s">
        <v>1108</v>
      </c>
      <c r="J1451" t="s">
        <v>12122</v>
      </c>
      <c r="K1451" t="s">
        <v>12123</v>
      </c>
      <c r="L1451" t="s">
        <v>21</v>
      </c>
      <c r="M1451" t="s">
        <v>19177</v>
      </c>
      <c r="N1451" t="s">
        <v>848</v>
      </c>
      <c r="O1451" t="s">
        <v>640</v>
      </c>
      <c r="P1451" t="s">
        <v>623</v>
      </c>
    </row>
    <row r="1452">
      <c r="A1452">
        <f>HYPERLINK("http://bombeiros.sp.gov.br/hidrantes/03individual/4021.html","4021")</f>
      </c>
      <c r="B1452" t="s">
        <v>842</v>
      </c>
      <c r="C1452" t="s">
        <v>843</v>
      </c>
      <c r="D1452" t="s">
        <v>12120</v>
      </c>
      <c r="E1452" t="s">
        <v>64</v>
      </c>
      <c r="F1452" t="s">
        <v>12124</v>
      </c>
      <c r="G1452" t="s">
        <v>18132</v>
      </c>
      <c r="H1452" t="s">
        <v>1112</v>
      </c>
      <c r="I1452" t="s">
        <v>1108</v>
      </c>
      <c r="J1452" t="s">
        <v>12125</v>
      </c>
      <c r="K1452" t="s">
        <v>12126</v>
      </c>
      <c r="L1452" t="s">
        <v>21</v>
      </c>
      <c r="M1452" t="s">
        <v>19177</v>
      </c>
      <c r="N1452" t="s">
        <v>848</v>
      </c>
      <c r="O1452" t="s">
        <v>640</v>
      </c>
      <c r="P1452" t="s">
        <v>623</v>
      </c>
    </row>
    <row r="1453">
      <c r="A1453">
        <f>HYPERLINK("http://bombeiros.sp.gov.br/hidrantes/03individual/27026.html","27026")</f>
      </c>
      <c r="B1453" t="s">
        <v>842</v>
      </c>
      <c r="C1453" t="s">
        <v>843</v>
      </c>
      <c r="D1453" t="s">
        <v>12120</v>
      </c>
      <c r="E1453" t="s">
        <v>64</v>
      </c>
      <c r="F1453" t="s">
        <v>16630</v>
      </c>
      <c r="G1453" t="s">
        <v>18165</v>
      </c>
      <c r="H1453" t="s">
        <v>1112</v>
      </c>
      <c r="I1453" t="s">
        <v>1108</v>
      </c>
      <c r="J1453" t="s">
        <v>16631</v>
      </c>
      <c r="K1453" t="s">
        <v>16632</v>
      </c>
      <c r="L1453" t="s">
        <v>21</v>
      </c>
      <c r="M1453" t="s">
        <v>19177</v>
      </c>
      <c r="N1453" t="s">
        <v>848</v>
      </c>
      <c r="O1453" t="s">
        <v>640</v>
      </c>
      <c r="P1453" t="s">
        <v>623</v>
      </c>
    </row>
    <row r="1454">
      <c r="A1454">
        <f>HYPERLINK("http://bombeiros.sp.gov.br/hidrantes/03individual/27058.html","27058")</f>
      </c>
      <c r="B1454" t="s">
        <v>842</v>
      </c>
      <c r="C1454" t="s">
        <v>843</v>
      </c>
      <c r="D1454" t="s">
        <v>12120</v>
      </c>
      <c r="E1454" t="s">
        <v>64</v>
      </c>
      <c r="F1454" t="s">
        <v>16693</v>
      </c>
      <c r="G1454" t="s">
        <v>18205</v>
      </c>
      <c r="H1454" t="s">
        <v>1112</v>
      </c>
      <c r="I1454" t="s">
        <v>1108</v>
      </c>
      <c r="J1454" t="s">
        <v>16694</v>
      </c>
      <c r="K1454" t="s">
        <v>16695</v>
      </c>
      <c r="L1454" t="s">
        <v>21</v>
      </c>
      <c r="M1454" t="s">
        <v>19177</v>
      </c>
      <c r="N1454" t="s">
        <v>848</v>
      </c>
      <c r="O1454" t="s">
        <v>640</v>
      </c>
      <c r="P1454" t="s">
        <v>623</v>
      </c>
    </row>
    <row r="1455">
      <c r="A1455">
        <f>HYPERLINK("http://bombeiros.sp.gov.br/hidrantes/03individual/2435.html","2435")</f>
      </c>
      <c r="B1455" t="s">
        <v>842</v>
      </c>
      <c r="C1455" t="s">
        <v>843</v>
      </c>
      <c r="D1455" t="s">
        <v>12120</v>
      </c>
      <c r="E1455" t="s">
        <v>15</v>
      </c>
      <c r="F1455" t="s">
        <v>12127</v>
      </c>
      <c r="G1455" t="s">
        <v>18057</v>
      </c>
      <c r="H1455" t="s">
        <v>1112</v>
      </c>
      <c r="I1455" t="s">
        <v>1108</v>
      </c>
      <c r="J1455" t="s">
        <v>12128</v>
      </c>
      <c r="K1455" t="s">
        <v>12129</v>
      </c>
      <c r="L1455" t="s">
        <v>21</v>
      </c>
      <c r="M1455" t="s">
        <v>19177</v>
      </c>
      <c r="N1455" t="s">
        <v>848</v>
      </c>
      <c r="O1455" t="s">
        <v>640</v>
      </c>
      <c r="P1455" t="s">
        <v>623</v>
      </c>
    </row>
    <row r="1456">
      <c r="A1456">
        <f>HYPERLINK("http://bombeiros.sp.gov.br/hidrantes/03individual/16616.html","16616")</f>
      </c>
      <c r="B1456" t="s">
        <v>842</v>
      </c>
      <c r="C1456" t="s">
        <v>843</v>
      </c>
      <c r="D1456" t="s">
        <v>12120</v>
      </c>
      <c r="E1456" t="s">
        <v>15</v>
      </c>
      <c r="F1456" t="s">
        <v>12133</v>
      </c>
      <c r="G1456" t="s">
        <v>18051</v>
      </c>
      <c r="H1456" t="s">
        <v>1112</v>
      </c>
      <c r="I1456" t="s">
        <v>1108</v>
      </c>
      <c r="J1456" t="s">
        <v>12134</v>
      </c>
      <c r="K1456" t="s">
        <v>12135</v>
      </c>
      <c r="L1456" t="s">
        <v>21</v>
      </c>
      <c r="M1456" t="s">
        <v>19177</v>
      </c>
      <c r="N1456" t="s">
        <v>848</v>
      </c>
      <c r="O1456" t="s">
        <v>640</v>
      </c>
      <c r="P1456" t="s">
        <v>623</v>
      </c>
    </row>
    <row r="1457">
      <c r="A1457">
        <f>HYPERLINK("http://bombeiros.sp.gov.br/hidrantes/03individual/4113.html","4113")</f>
      </c>
      <c r="B1457" t="s">
        <v>842</v>
      </c>
      <c r="C1457" t="s">
        <v>843</v>
      </c>
      <c r="D1457" t="s">
        <v>844</v>
      </c>
      <c r="E1457" t="s">
        <v>64</v>
      </c>
      <c r="F1457" t="s">
        <v>12136</v>
      </c>
      <c r="G1457" t="s">
        <v>17915</v>
      </c>
      <c r="H1457" t="s">
        <v>1112</v>
      </c>
      <c r="I1457" t="s">
        <v>1108</v>
      </c>
      <c r="J1457" t="s">
        <v>12137</v>
      </c>
      <c r="K1457" t="s">
        <v>12138</v>
      </c>
      <c r="L1457" t="s">
        <v>36</v>
      </c>
      <c r="M1457" t="s">
        <v>19177</v>
      </c>
      <c r="N1457" t="s">
        <v>848</v>
      </c>
      <c r="O1457" t="s">
        <v>640</v>
      </c>
      <c r="P1457" t="s">
        <v>623</v>
      </c>
    </row>
    <row r="1458">
      <c r="A1458">
        <f>HYPERLINK("http://bombeiros.sp.gov.br/hidrantes/03individual/6708.html","6708")</f>
      </c>
      <c r="B1458" t="s">
        <v>842</v>
      </c>
      <c r="C1458" t="s">
        <v>843</v>
      </c>
      <c r="D1458" t="s">
        <v>844</v>
      </c>
      <c r="E1458" t="s">
        <v>64</v>
      </c>
      <c r="F1458" t="s">
        <v>12142</v>
      </c>
      <c r="G1458" t="s">
        <v>17915</v>
      </c>
      <c r="H1458" t="s">
        <v>1112</v>
      </c>
      <c r="I1458" t="s">
        <v>1108</v>
      </c>
      <c r="J1458" t="s">
        <v>12143</v>
      </c>
      <c r="K1458" t="s">
        <v>12144</v>
      </c>
      <c r="L1458" t="s">
        <v>21</v>
      </c>
      <c r="M1458" t="s">
        <v>19177</v>
      </c>
      <c r="N1458" t="s">
        <v>848</v>
      </c>
      <c r="O1458" t="s">
        <v>640</v>
      </c>
      <c r="P1458" t="s">
        <v>623</v>
      </c>
    </row>
    <row r="1459">
      <c r="A1459">
        <f>HYPERLINK("http://bombeiros.sp.gov.br/hidrantes/03individual/4048.html","4048")</f>
      </c>
      <c r="B1459" t="s">
        <v>842</v>
      </c>
      <c r="C1459" t="s">
        <v>843</v>
      </c>
      <c r="D1459" t="s">
        <v>848</v>
      </c>
      <c r="E1459" t="s">
        <v>64</v>
      </c>
      <c r="F1459" t="s">
        <v>12151</v>
      </c>
      <c r="G1459" t="s">
        <v>18205</v>
      </c>
      <c r="H1459" t="s">
        <v>1112</v>
      </c>
      <c r="I1459" t="s">
        <v>1108</v>
      </c>
      <c r="J1459" t="s">
        <v>12152</v>
      </c>
      <c r="K1459" t="s">
        <v>12153</v>
      </c>
      <c r="L1459" t="s">
        <v>21</v>
      </c>
      <c r="M1459" t="s">
        <v>19177</v>
      </c>
      <c r="N1459" t="s">
        <v>848</v>
      </c>
      <c r="O1459" t="s">
        <v>640</v>
      </c>
      <c r="P1459" t="s">
        <v>623</v>
      </c>
    </row>
    <row r="1460">
      <c r="A1460">
        <f>HYPERLINK("http://bombeiros.sp.gov.br/hidrantes/03individual/27303.html","27303")</f>
      </c>
      <c r="B1460" t="s">
        <v>842</v>
      </c>
      <c r="C1460" t="s">
        <v>843</v>
      </c>
      <c r="D1460" t="s">
        <v>848</v>
      </c>
      <c r="E1460" t="s">
        <v>64</v>
      </c>
      <c r="F1460" t="s">
        <v>17102</v>
      </c>
      <c r="G1460" t="s">
        <v>18205</v>
      </c>
      <c r="H1460" t="s">
        <v>1112</v>
      </c>
      <c r="I1460" t="s">
        <v>1108</v>
      </c>
      <c r="J1460" t="s">
        <v>17103</v>
      </c>
      <c r="K1460" t="s">
        <v>17104</v>
      </c>
      <c r="L1460" t="s">
        <v>21</v>
      </c>
      <c r="M1460" t="s">
        <v>19177</v>
      </c>
      <c r="N1460" t="s">
        <v>848</v>
      </c>
      <c r="O1460" t="s">
        <v>640</v>
      </c>
      <c r="P1460" t="s">
        <v>623</v>
      </c>
    </row>
    <row r="1461">
      <c r="A1461">
        <f>HYPERLINK("http://bombeiros.sp.gov.br/hidrantes/03individual/27651.html","27651")</f>
      </c>
      <c r="B1461" t="s">
        <v>842</v>
      </c>
      <c r="C1461" t="s">
        <v>843</v>
      </c>
      <c r="D1461" t="s">
        <v>848</v>
      </c>
      <c r="E1461" t="s">
        <v>64</v>
      </c>
      <c r="F1461" t="s">
        <v>17550</v>
      </c>
      <c r="G1461" t="s">
        <v>18132</v>
      </c>
      <c r="H1461" t="s">
        <v>1112</v>
      </c>
      <c r="I1461" t="s">
        <v>1108</v>
      </c>
      <c r="J1461" t="s">
        <v>17551</v>
      </c>
      <c r="K1461" t="s">
        <v>17552</v>
      </c>
      <c r="L1461" t="s">
        <v>21</v>
      </c>
      <c r="M1461" t="s">
        <v>19177</v>
      </c>
      <c r="N1461" t="s">
        <v>848</v>
      </c>
      <c r="O1461" t="s">
        <v>640</v>
      </c>
      <c r="P1461" t="s">
        <v>623</v>
      </c>
    </row>
    <row r="1462">
      <c r="A1462">
        <f>HYPERLINK("http://bombeiros.sp.gov.br/hidrantes/03individual/10073.html","10073")</f>
      </c>
      <c r="B1462" t="s">
        <v>842</v>
      </c>
      <c r="C1462" t="s">
        <v>852</v>
      </c>
      <c r="D1462" t="s">
        <v>853</v>
      </c>
      <c r="E1462" t="s">
        <v>64</v>
      </c>
      <c r="F1462" t="s">
        <v>12160</v>
      </c>
      <c r="G1462" t="s">
        <v>17909</v>
      </c>
      <c r="H1462" t="s">
        <v>1112</v>
      </c>
      <c r="I1462" t="s">
        <v>1108</v>
      </c>
      <c r="J1462" t="s">
        <v>12161</v>
      </c>
      <c r="K1462" t="s">
        <v>12162</v>
      </c>
      <c r="L1462" t="s">
        <v>21</v>
      </c>
      <c r="M1462" t="s">
        <v>19177</v>
      </c>
      <c r="N1462" t="s">
        <v>848</v>
      </c>
      <c r="O1462" t="s">
        <v>640</v>
      </c>
      <c r="P1462" t="s">
        <v>623</v>
      </c>
    </row>
    <row r="1463">
      <c r="A1463">
        <f>HYPERLINK("http://bombeiros.sp.gov.br/hidrantes/03individual/16649.html","16649")</f>
      </c>
      <c r="B1463" t="s">
        <v>842</v>
      </c>
      <c r="C1463" t="s">
        <v>852</v>
      </c>
      <c r="D1463" t="s">
        <v>853</v>
      </c>
      <c r="E1463" t="s">
        <v>64</v>
      </c>
      <c r="F1463" t="s">
        <v>12163</v>
      </c>
      <c r="G1463" t="s">
        <v>17909</v>
      </c>
      <c r="H1463" t="s">
        <v>1107</v>
      </c>
      <c r="I1463" t="s">
        <v>1108</v>
      </c>
      <c r="J1463" t="s">
        <v>12164</v>
      </c>
      <c r="K1463" t="s">
        <v>12165</v>
      </c>
      <c r="L1463" t="s">
        <v>21</v>
      </c>
      <c r="M1463" t="s">
        <v>19177</v>
      </c>
      <c r="N1463" t="s">
        <v>843</v>
      </c>
      <c r="O1463" t="s">
        <v>987</v>
      </c>
      <c r="P1463" t="s">
        <v>842</v>
      </c>
    </row>
    <row r="1464">
      <c r="A1464">
        <f>HYPERLINK("http://bombeiros.sp.gov.br/hidrantes/03individual/4151.html","4151")</f>
      </c>
      <c r="B1464" t="s">
        <v>842</v>
      </c>
      <c r="C1464" t="s">
        <v>852</v>
      </c>
      <c r="D1464" t="s">
        <v>852</v>
      </c>
      <c r="E1464" t="s">
        <v>64</v>
      </c>
      <c r="F1464" t="s">
        <v>18608</v>
      </c>
      <c r="G1464" t="s">
        <v>17915</v>
      </c>
      <c r="H1464" t="s">
        <v>1112</v>
      </c>
      <c r="I1464" t="s">
        <v>1108</v>
      </c>
      <c r="J1464" t="s">
        <v>864</v>
      </c>
      <c r="K1464" t="s">
        <v>865</v>
      </c>
      <c r="L1464" t="s">
        <v>21</v>
      </c>
      <c r="M1464" t="s">
        <v>19177</v>
      </c>
      <c r="N1464" t="s">
        <v>843</v>
      </c>
      <c r="O1464" t="s">
        <v>987</v>
      </c>
      <c r="P1464" t="s">
        <v>842</v>
      </c>
    </row>
    <row r="1465">
      <c r="A1465">
        <f>HYPERLINK("http://bombeiros.sp.gov.br/hidrantes/03individual/6722.html","6722")</f>
      </c>
      <c r="B1465" t="s">
        <v>842</v>
      </c>
      <c r="C1465" t="s">
        <v>852</v>
      </c>
      <c r="D1465" t="s">
        <v>852</v>
      </c>
      <c r="E1465" t="s">
        <v>15</v>
      </c>
      <c r="F1465" t="s">
        <v>12169</v>
      </c>
      <c r="G1465" t="s">
        <v>18211</v>
      </c>
      <c r="H1465" t="s">
        <v>1107</v>
      </c>
      <c r="I1465" t="s">
        <v>1108</v>
      </c>
      <c r="J1465" t="s">
        <v>12170</v>
      </c>
      <c r="K1465" t="s">
        <v>12171</v>
      </c>
      <c r="L1465" t="s">
        <v>21</v>
      </c>
      <c r="M1465" t="s">
        <v>19177</v>
      </c>
      <c r="N1465" t="s">
        <v>848</v>
      </c>
      <c r="O1465" t="s">
        <v>640</v>
      </c>
      <c r="P1465" t="s">
        <v>623</v>
      </c>
    </row>
    <row r="1466">
      <c r="A1466">
        <f>HYPERLINK("http://bombeiros.sp.gov.br/hidrantes/03individual/27086.html","27086")</f>
      </c>
      <c r="B1466" t="s">
        <v>842</v>
      </c>
      <c r="C1466" t="s">
        <v>852</v>
      </c>
      <c r="D1466" t="s">
        <v>866</v>
      </c>
      <c r="E1466" t="s">
        <v>64</v>
      </c>
      <c r="F1466" t="s">
        <v>16764</v>
      </c>
      <c r="G1466" t="s">
        <v>17909</v>
      </c>
      <c r="H1466" t="s">
        <v>1112</v>
      </c>
      <c r="I1466" t="s">
        <v>1108</v>
      </c>
      <c r="J1466" t="s">
        <v>16765</v>
      </c>
      <c r="K1466" t="s">
        <v>16766</v>
      </c>
      <c r="L1466" t="s">
        <v>21</v>
      </c>
      <c r="M1466" t="s">
        <v>19177</v>
      </c>
      <c r="N1466" t="s">
        <v>848</v>
      </c>
      <c r="O1466" t="s">
        <v>640</v>
      </c>
      <c r="P1466" t="s">
        <v>623</v>
      </c>
    </row>
    <row r="1467">
      <c r="A1467">
        <f>HYPERLINK("http://bombeiros.sp.gov.br/hidrantes/03individual/4153.html","4153")</f>
      </c>
      <c r="B1467" t="s">
        <v>842</v>
      </c>
      <c r="C1467" t="s">
        <v>852</v>
      </c>
      <c r="D1467" t="s">
        <v>866</v>
      </c>
      <c r="E1467" t="s">
        <v>15</v>
      </c>
      <c r="F1467" t="s">
        <v>12178</v>
      </c>
      <c r="G1467" t="s">
        <v>17915</v>
      </c>
      <c r="H1467" t="s">
        <v>1107</v>
      </c>
      <c r="I1467" t="s">
        <v>1108</v>
      </c>
      <c r="J1467" t="s">
        <v>12179</v>
      </c>
      <c r="K1467" t="s">
        <v>12180</v>
      </c>
      <c r="L1467" t="s">
        <v>21</v>
      </c>
      <c r="M1467" t="s">
        <v>19177</v>
      </c>
      <c r="N1467" t="s">
        <v>848</v>
      </c>
      <c r="O1467" t="s">
        <v>640</v>
      </c>
      <c r="P1467" t="s">
        <v>623</v>
      </c>
    </row>
    <row r="1468">
      <c r="A1468">
        <f>HYPERLINK("http://bombeiros.sp.gov.br/hidrantes/03individual/27384.html","27384")</f>
      </c>
      <c r="B1468" t="s">
        <v>842</v>
      </c>
      <c r="C1468" t="s">
        <v>852</v>
      </c>
      <c r="D1468" t="s">
        <v>866</v>
      </c>
      <c r="E1468" t="s">
        <v>15</v>
      </c>
      <c r="F1468" t="s">
        <v>17213</v>
      </c>
      <c r="G1468" t="s">
        <v>17921</v>
      </c>
      <c r="H1468" t="s">
        <v>1107</v>
      </c>
      <c r="I1468" t="s">
        <v>1108</v>
      </c>
      <c r="J1468" t="s">
        <v>17214</v>
      </c>
      <c r="K1468" t="s">
        <v>17215</v>
      </c>
      <c r="L1468" t="s">
        <v>21</v>
      </c>
      <c r="M1468" t="s">
        <v>19177</v>
      </c>
      <c r="N1468" t="s">
        <v>848</v>
      </c>
      <c r="O1468" t="s">
        <v>640</v>
      </c>
      <c r="P1468" t="s">
        <v>623</v>
      </c>
    </row>
    <row r="1469">
      <c r="A1469">
        <f>HYPERLINK("http://bombeiros.sp.gov.br/hidrantes/03individual/15074.html","15074")</f>
      </c>
      <c r="B1469" t="s">
        <v>842</v>
      </c>
      <c r="C1469" t="s">
        <v>870</v>
      </c>
      <c r="D1469" t="s">
        <v>871</v>
      </c>
      <c r="E1469" t="s">
        <v>64</v>
      </c>
      <c r="F1469" t="s">
        <v>12184</v>
      </c>
      <c r="G1469" t="s">
        <v>17905</v>
      </c>
      <c r="H1469" t="s">
        <v>1107</v>
      </c>
      <c r="I1469" t="s">
        <v>1108</v>
      </c>
      <c r="J1469" t="s">
        <v>12185</v>
      </c>
      <c r="K1469" t="s">
        <v>12186</v>
      </c>
      <c r="L1469" t="s">
        <v>21</v>
      </c>
      <c r="M1469" t="s">
        <v>19177</v>
      </c>
      <c r="N1469" t="s">
        <v>1024</v>
      </c>
      <c r="O1469" t="s">
        <v>1024</v>
      </c>
      <c r="P1469" t="s">
        <v>842</v>
      </c>
    </row>
    <row r="1470">
      <c r="A1470">
        <f>HYPERLINK("http://bombeiros.sp.gov.br/hidrantes/03individual/27731.html","27731")</f>
      </c>
      <c r="B1470" t="s">
        <v>842</v>
      </c>
      <c r="C1470" t="s">
        <v>870</v>
      </c>
      <c r="D1470" t="s">
        <v>871</v>
      </c>
      <c r="E1470" t="s">
        <v>64</v>
      </c>
      <c r="F1470" t="s">
        <v>17711</v>
      </c>
      <c r="G1470" t="s">
        <v>18182</v>
      </c>
      <c r="H1470" t="s">
        <v>1112</v>
      </c>
      <c r="I1470" t="s">
        <v>1108</v>
      </c>
      <c r="J1470" t="s">
        <v>18383</v>
      </c>
      <c r="K1470" t="s">
        <v>17713</v>
      </c>
      <c r="L1470" t="s">
        <v>21</v>
      </c>
      <c r="M1470" t="s">
        <v>19177</v>
      </c>
      <c r="N1470" t="s">
        <v>1024</v>
      </c>
      <c r="O1470" t="s">
        <v>1024</v>
      </c>
      <c r="P1470" t="s">
        <v>842</v>
      </c>
    </row>
    <row r="1471">
      <c r="A1471">
        <f>HYPERLINK("http://bombeiros.sp.gov.br/hidrantes/03individual/411.html","411")</f>
      </c>
      <c r="B1471" t="s">
        <v>842</v>
      </c>
      <c r="C1471" t="s">
        <v>870</v>
      </c>
      <c r="D1471" t="s">
        <v>871</v>
      </c>
      <c r="E1471" t="s">
        <v>15</v>
      </c>
      <c r="F1471" t="s">
        <v>12190</v>
      </c>
      <c r="G1471" t="s">
        <v>18111</v>
      </c>
      <c r="H1471" t="s">
        <v>1112</v>
      </c>
      <c r="I1471" t="s">
        <v>1108</v>
      </c>
      <c r="J1471" t="s">
        <v>12191</v>
      </c>
      <c r="K1471" t="s">
        <v>12192</v>
      </c>
      <c r="L1471" t="s">
        <v>21</v>
      </c>
      <c r="M1471" t="s">
        <v>19177</v>
      </c>
      <c r="N1471" t="s">
        <v>1024</v>
      </c>
      <c r="O1471" t="s">
        <v>1024</v>
      </c>
      <c r="P1471" t="s">
        <v>842</v>
      </c>
    </row>
    <row r="1472">
      <c r="A1472">
        <f>HYPERLINK("http://bombeiros.sp.gov.br/hidrantes/03individual/2415.html","2415")</f>
      </c>
      <c r="B1472" t="s">
        <v>842</v>
      </c>
      <c r="C1472" t="s">
        <v>870</v>
      </c>
      <c r="D1472" t="s">
        <v>871</v>
      </c>
      <c r="E1472" t="s">
        <v>15</v>
      </c>
      <c r="F1472" t="s">
        <v>12193</v>
      </c>
      <c r="G1472" t="s">
        <v>18143</v>
      </c>
      <c r="H1472" t="s">
        <v>1107</v>
      </c>
      <c r="I1472" t="s">
        <v>1108</v>
      </c>
      <c r="J1472" t="s">
        <v>12194</v>
      </c>
      <c r="K1472" t="s">
        <v>12195</v>
      </c>
      <c r="L1472" t="s">
        <v>21</v>
      </c>
      <c r="M1472" t="s">
        <v>19177</v>
      </c>
      <c r="N1472" t="s">
        <v>1024</v>
      </c>
      <c r="O1472" t="s">
        <v>1024</v>
      </c>
      <c r="P1472" t="s">
        <v>842</v>
      </c>
    </row>
    <row r="1473">
      <c r="A1473">
        <f>HYPERLINK("http://bombeiros.sp.gov.br/hidrantes/03individual/2418.html","2418")</f>
      </c>
      <c r="B1473" t="s">
        <v>842</v>
      </c>
      <c r="C1473" t="s">
        <v>870</v>
      </c>
      <c r="D1473" t="s">
        <v>871</v>
      </c>
      <c r="E1473" t="s">
        <v>15</v>
      </c>
      <c r="F1473" t="s">
        <v>12196</v>
      </c>
      <c r="G1473" t="s">
        <v>18143</v>
      </c>
      <c r="H1473" t="s">
        <v>1107</v>
      </c>
      <c r="I1473" t="s">
        <v>1117</v>
      </c>
      <c r="J1473" t="s">
        <v>12197</v>
      </c>
      <c r="K1473" t="s">
        <v>12198</v>
      </c>
      <c r="L1473" t="s">
        <v>21</v>
      </c>
      <c r="M1473" t="s">
        <v>19177</v>
      </c>
      <c r="N1473" t="s">
        <v>1024</v>
      </c>
      <c r="O1473" t="s">
        <v>1024</v>
      </c>
      <c r="P1473" t="s">
        <v>842</v>
      </c>
    </row>
    <row r="1474">
      <c r="A1474">
        <f>HYPERLINK("http://bombeiros.sp.gov.br/hidrantes/03individual/2466.html","2466")</f>
      </c>
      <c r="B1474" t="s">
        <v>842</v>
      </c>
      <c r="C1474" t="s">
        <v>870</v>
      </c>
      <c r="D1474" t="s">
        <v>871</v>
      </c>
      <c r="E1474" t="s">
        <v>15</v>
      </c>
      <c r="F1474" t="s">
        <v>876</v>
      </c>
      <c r="G1474" t="s">
        <v>17900</v>
      </c>
      <c r="H1474" t="s">
        <v>1174</v>
      </c>
      <c r="I1474" t="s">
        <v>1117</v>
      </c>
      <c r="J1474" t="s">
        <v>877</v>
      </c>
      <c r="K1474" t="s">
        <v>878</v>
      </c>
      <c r="L1474" t="s">
        <v>21</v>
      </c>
      <c r="M1474" t="s">
        <v>19177</v>
      </c>
      <c r="N1474" t="s">
        <v>1024</v>
      </c>
      <c r="O1474" t="s">
        <v>1024</v>
      </c>
      <c r="P1474" t="s">
        <v>842</v>
      </c>
    </row>
    <row r="1475">
      <c r="A1475">
        <f>HYPERLINK("http://bombeiros.sp.gov.br/hidrantes/03individual/2498.html","2498")</f>
      </c>
      <c r="B1475" t="s">
        <v>842</v>
      </c>
      <c r="C1475" t="s">
        <v>870</v>
      </c>
      <c r="D1475" t="s">
        <v>871</v>
      </c>
      <c r="E1475" t="s">
        <v>15</v>
      </c>
      <c r="F1475" t="s">
        <v>885</v>
      </c>
      <c r="G1475" t="s">
        <v>17900</v>
      </c>
      <c r="H1475" t="s">
        <v>1112</v>
      </c>
      <c r="I1475" t="s">
        <v>1108</v>
      </c>
      <c r="J1475" t="s">
        <v>886</v>
      </c>
      <c r="K1475" t="s">
        <v>887</v>
      </c>
      <c r="L1475" t="s">
        <v>21</v>
      </c>
      <c r="M1475" t="s">
        <v>19177</v>
      </c>
      <c r="N1475" t="s">
        <v>1024</v>
      </c>
      <c r="O1475" t="s">
        <v>1024</v>
      </c>
      <c r="P1475" t="s">
        <v>842</v>
      </c>
    </row>
    <row r="1476">
      <c r="A1476">
        <f>HYPERLINK("http://bombeiros.sp.gov.br/hidrantes/03individual/3776.html","3776")</f>
      </c>
      <c r="B1476" t="s">
        <v>842</v>
      </c>
      <c r="C1476" t="s">
        <v>870</v>
      </c>
      <c r="D1476" t="s">
        <v>871</v>
      </c>
      <c r="E1476" t="s">
        <v>15</v>
      </c>
      <c r="F1476" t="s">
        <v>12217</v>
      </c>
      <c r="G1476" t="s">
        <v>17900</v>
      </c>
      <c r="H1476" t="s">
        <v>1112</v>
      </c>
      <c r="I1476" t="s">
        <v>1108</v>
      </c>
      <c r="J1476" t="s">
        <v>12218</v>
      </c>
      <c r="K1476" t="s">
        <v>12219</v>
      </c>
      <c r="L1476" t="s">
        <v>21</v>
      </c>
      <c r="M1476" t="s">
        <v>19177</v>
      </c>
      <c r="N1476" t="s">
        <v>1024</v>
      </c>
      <c r="O1476" t="s">
        <v>1024</v>
      </c>
      <c r="P1476" t="s">
        <v>842</v>
      </c>
    </row>
    <row r="1477">
      <c r="A1477">
        <f>HYPERLINK("http://bombeiros.sp.gov.br/hidrantes/03individual/3780.html","3780")</f>
      </c>
      <c r="B1477" t="s">
        <v>842</v>
      </c>
      <c r="C1477" t="s">
        <v>870</v>
      </c>
      <c r="D1477" t="s">
        <v>871</v>
      </c>
      <c r="E1477" t="s">
        <v>15</v>
      </c>
      <c r="F1477" t="s">
        <v>12220</v>
      </c>
      <c r="G1477" t="s">
        <v>17900</v>
      </c>
      <c r="H1477" t="s">
        <v>1112</v>
      </c>
      <c r="I1477" t="s">
        <v>1108</v>
      </c>
      <c r="J1477" t="s">
        <v>12221</v>
      </c>
      <c r="K1477" t="s">
        <v>12222</v>
      </c>
      <c r="L1477" t="s">
        <v>21</v>
      </c>
      <c r="M1477" t="s">
        <v>19177</v>
      </c>
      <c r="N1477" t="s">
        <v>1024</v>
      </c>
      <c r="O1477" t="s">
        <v>1024</v>
      </c>
      <c r="P1477" t="s">
        <v>842</v>
      </c>
    </row>
    <row r="1478">
      <c r="A1478">
        <f>HYPERLINK("http://bombeiros.sp.gov.br/hidrantes/03individual/17670.html","17670")</f>
      </c>
      <c r="B1478" t="s">
        <v>842</v>
      </c>
      <c r="C1478" t="s">
        <v>870</v>
      </c>
      <c r="D1478" t="s">
        <v>871</v>
      </c>
      <c r="E1478" t="s">
        <v>15</v>
      </c>
      <c r="F1478" t="s">
        <v>12241</v>
      </c>
      <c r="G1478" t="s">
        <v>17900</v>
      </c>
      <c r="H1478" t="s">
        <v>1112</v>
      </c>
      <c r="I1478" t="s">
        <v>1108</v>
      </c>
      <c r="J1478" t="s">
        <v>12242</v>
      </c>
      <c r="K1478" t="s">
        <v>12243</v>
      </c>
      <c r="L1478" t="s">
        <v>21</v>
      </c>
      <c r="M1478" t="s">
        <v>19177</v>
      </c>
      <c r="N1478" t="s">
        <v>1024</v>
      </c>
      <c r="O1478" t="s">
        <v>1024</v>
      </c>
      <c r="P1478" t="s">
        <v>842</v>
      </c>
    </row>
    <row r="1479">
      <c r="A1479">
        <f>HYPERLINK("http://bombeiros.sp.gov.br/hidrantes/03individual/17698.html","17698")</f>
      </c>
      <c r="B1479" t="s">
        <v>842</v>
      </c>
      <c r="C1479" t="s">
        <v>870</v>
      </c>
      <c r="D1479" t="s">
        <v>871</v>
      </c>
      <c r="E1479" t="s">
        <v>15</v>
      </c>
      <c r="F1479" t="s">
        <v>12244</v>
      </c>
      <c r="G1479" t="s">
        <v>18143</v>
      </c>
      <c r="H1479" t="s">
        <v>1112</v>
      </c>
      <c r="I1479" t="s">
        <v>1108</v>
      </c>
      <c r="J1479" t="s">
        <v>12245</v>
      </c>
      <c r="K1479" t="s">
        <v>12246</v>
      </c>
      <c r="L1479" t="s">
        <v>21</v>
      </c>
      <c r="M1479" t="s">
        <v>19177</v>
      </c>
      <c r="N1479" t="s">
        <v>1024</v>
      </c>
      <c r="O1479" t="s">
        <v>1024</v>
      </c>
      <c r="P1479" t="s">
        <v>842</v>
      </c>
    </row>
    <row r="1480">
      <c r="A1480">
        <f>HYPERLINK("http://bombeiros.sp.gov.br/hidrantes/03individual/17879.html","17879")</f>
      </c>
      <c r="B1480" t="s">
        <v>842</v>
      </c>
      <c r="C1480" t="s">
        <v>870</v>
      </c>
      <c r="D1480" t="s">
        <v>12256</v>
      </c>
      <c r="E1480" t="s">
        <v>15</v>
      </c>
      <c r="F1480" t="s">
        <v>12257</v>
      </c>
      <c r="G1480" t="s">
        <v>18518</v>
      </c>
      <c r="H1480" t="s">
        <v>1112</v>
      </c>
      <c r="I1480" t="s">
        <v>1108</v>
      </c>
      <c r="J1480" t="s">
        <v>12258</v>
      </c>
      <c r="K1480" t="s">
        <v>12259</v>
      </c>
      <c r="L1480" t="s">
        <v>21</v>
      </c>
      <c r="M1480" t="s">
        <v>19177</v>
      </c>
      <c r="N1480" t="s">
        <v>1024</v>
      </c>
      <c r="O1480" t="s">
        <v>1024</v>
      </c>
      <c r="P1480" t="s">
        <v>842</v>
      </c>
    </row>
    <row r="1481">
      <c r="A1481">
        <f>HYPERLINK("http://bombeiros.sp.gov.br/hidrantes/03individual/335.html","335")</f>
      </c>
      <c r="B1481" t="s">
        <v>842</v>
      </c>
      <c r="C1481" t="s">
        <v>870</v>
      </c>
      <c r="D1481" t="s">
        <v>12260</v>
      </c>
      <c r="E1481" t="s">
        <v>15</v>
      </c>
      <c r="F1481" t="s">
        <v>12261</v>
      </c>
      <c r="G1481" t="s">
        <v>18518</v>
      </c>
      <c r="H1481" t="s">
        <v>1112</v>
      </c>
      <c r="I1481" t="s">
        <v>1108</v>
      </c>
      <c r="J1481" t="s">
        <v>12262</v>
      </c>
      <c r="K1481" t="s">
        <v>12263</v>
      </c>
      <c r="L1481" t="s">
        <v>21</v>
      </c>
      <c r="M1481" t="s">
        <v>19177</v>
      </c>
      <c r="N1481" t="s">
        <v>1024</v>
      </c>
      <c r="O1481" t="s">
        <v>1024</v>
      </c>
      <c r="P1481" t="s">
        <v>842</v>
      </c>
    </row>
    <row r="1482">
      <c r="A1482">
        <f>HYPERLINK("http://bombeiros.sp.gov.br/hidrantes/03individual/464.html","464")</f>
      </c>
      <c r="B1482" t="s">
        <v>842</v>
      </c>
      <c r="C1482" t="s">
        <v>870</v>
      </c>
      <c r="D1482" t="s">
        <v>12260</v>
      </c>
      <c r="E1482" t="s">
        <v>15</v>
      </c>
      <c r="F1482" t="s">
        <v>12264</v>
      </c>
      <c r="G1482" t="s">
        <v>18256</v>
      </c>
      <c r="H1482" t="s">
        <v>1112</v>
      </c>
      <c r="I1482" t="s">
        <v>1108</v>
      </c>
      <c r="J1482" t="s">
        <v>12265</v>
      </c>
      <c r="K1482" t="s">
        <v>12266</v>
      </c>
      <c r="L1482" t="s">
        <v>21</v>
      </c>
      <c r="M1482" t="s">
        <v>19177</v>
      </c>
      <c r="N1482" t="s">
        <v>1024</v>
      </c>
      <c r="O1482" t="s">
        <v>1024</v>
      </c>
      <c r="P1482" t="s">
        <v>842</v>
      </c>
    </row>
    <row r="1483">
      <c r="A1483">
        <f>HYPERLINK("http://bombeiros.sp.gov.br/hidrantes/03individual/3673.html","3673")</f>
      </c>
      <c r="B1483" t="s">
        <v>842</v>
      </c>
      <c r="C1483" t="s">
        <v>870</v>
      </c>
      <c r="D1483" t="s">
        <v>12260</v>
      </c>
      <c r="E1483" t="s">
        <v>15</v>
      </c>
      <c r="F1483" t="s">
        <v>12267</v>
      </c>
      <c r="G1483" t="s">
        <v>18518</v>
      </c>
      <c r="H1483" t="s">
        <v>1112</v>
      </c>
      <c r="I1483" t="s">
        <v>1108</v>
      </c>
      <c r="J1483" t="s">
        <v>12268</v>
      </c>
      <c r="K1483" t="s">
        <v>12269</v>
      </c>
      <c r="L1483" t="s">
        <v>21</v>
      </c>
      <c r="M1483" t="s">
        <v>19177</v>
      </c>
      <c r="N1483" t="s">
        <v>1024</v>
      </c>
      <c r="O1483" t="s">
        <v>1024</v>
      </c>
      <c r="P1483" t="s">
        <v>842</v>
      </c>
    </row>
    <row r="1484">
      <c r="A1484">
        <f>HYPERLINK("http://bombeiros.sp.gov.br/hidrantes/03individual/3675.html","3675")</f>
      </c>
      <c r="B1484" t="s">
        <v>842</v>
      </c>
      <c r="C1484" t="s">
        <v>870</v>
      </c>
      <c r="D1484" t="s">
        <v>12260</v>
      </c>
      <c r="E1484" t="s">
        <v>15</v>
      </c>
      <c r="F1484" t="s">
        <v>12270</v>
      </c>
      <c r="G1484" t="s">
        <v>18062</v>
      </c>
      <c r="H1484" t="s">
        <v>1112</v>
      </c>
      <c r="I1484" t="s">
        <v>1108</v>
      </c>
      <c r="J1484" t="s">
        <v>12271</v>
      </c>
      <c r="K1484" t="s">
        <v>12272</v>
      </c>
      <c r="L1484" t="s">
        <v>21</v>
      </c>
      <c r="M1484" t="s">
        <v>19177</v>
      </c>
      <c r="N1484" t="s">
        <v>1024</v>
      </c>
      <c r="O1484" t="s">
        <v>1024</v>
      </c>
      <c r="P1484" t="s">
        <v>842</v>
      </c>
    </row>
    <row r="1485">
      <c r="A1485">
        <f>HYPERLINK("http://bombeiros.sp.gov.br/hidrantes/03individual/3676.html","3676")</f>
      </c>
      <c r="B1485" t="s">
        <v>842</v>
      </c>
      <c r="C1485" t="s">
        <v>870</v>
      </c>
      <c r="D1485" t="s">
        <v>12260</v>
      </c>
      <c r="E1485" t="s">
        <v>15</v>
      </c>
      <c r="F1485" t="s">
        <v>12273</v>
      </c>
      <c r="G1485" t="s">
        <v>18062</v>
      </c>
      <c r="H1485" t="s">
        <v>1107</v>
      </c>
      <c r="I1485" t="s">
        <v>1108</v>
      </c>
      <c r="J1485" t="s">
        <v>12274</v>
      </c>
      <c r="K1485" t="s">
        <v>12275</v>
      </c>
      <c r="L1485" t="s">
        <v>21</v>
      </c>
      <c r="M1485" t="s">
        <v>19177</v>
      </c>
      <c r="N1485" t="s">
        <v>1024</v>
      </c>
      <c r="O1485" t="s">
        <v>1024</v>
      </c>
      <c r="P1485" t="s">
        <v>842</v>
      </c>
    </row>
    <row r="1486">
      <c r="A1486">
        <f>HYPERLINK("http://bombeiros.sp.gov.br/hidrantes/03individual/3755.html","3755")</f>
      </c>
      <c r="B1486" t="s">
        <v>842</v>
      </c>
      <c r="C1486" t="s">
        <v>870</v>
      </c>
      <c r="D1486" t="s">
        <v>12260</v>
      </c>
      <c r="E1486" t="s">
        <v>15</v>
      </c>
      <c r="F1486" t="s">
        <v>12276</v>
      </c>
      <c r="G1486" t="s">
        <v>18042</v>
      </c>
      <c r="H1486" t="s">
        <v>1112</v>
      </c>
      <c r="I1486" t="s">
        <v>1108</v>
      </c>
      <c r="J1486" t="s">
        <v>12277</v>
      </c>
      <c r="K1486" t="s">
        <v>12278</v>
      </c>
      <c r="L1486" t="s">
        <v>21</v>
      </c>
      <c r="M1486" t="s">
        <v>19177</v>
      </c>
      <c r="N1486" t="s">
        <v>1024</v>
      </c>
      <c r="O1486" t="s">
        <v>1024</v>
      </c>
      <c r="P1486" t="s">
        <v>842</v>
      </c>
    </row>
    <row r="1487">
      <c r="A1487">
        <f>HYPERLINK("http://bombeiros.sp.gov.br/hidrantes/03individual/3766.html","3766")</f>
      </c>
      <c r="B1487" t="s">
        <v>842</v>
      </c>
      <c r="C1487" t="s">
        <v>870</v>
      </c>
      <c r="D1487" t="s">
        <v>12260</v>
      </c>
      <c r="E1487" t="s">
        <v>15</v>
      </c>
      <c r="F1487" t="s">
        <v>12282</v>
      </c>
      <c r="G1487" t="s">
        <v>18062</v>
      </c>
      <c r="H1487" t="s">
        <v>1107</v>
      </c>
      <c r="I1487" t="s">
        <v>1108</v>
      </c>
      <c r="J1487" t="s">
        <v>12283</v>
      </c>
      <c r="K1487" t="s">
        <v>12284</v>
      </c>
      <c r="L1487" t="s">
        <v>21</v>
      </c>
      <c r="M1487" t="s">
        <v>19177</v>
      </c>
      <c r="N1487" t="s">
        <v>1024</v>
      </c>
      <c r="O1487" t="s">
        <v>1024</v>
      </c>
      <c r="P1487" t="s">
        <v>842</v>
      </c>
    </row>
    <row r="1488">
      <c r="A1488">
        <f>HYPERLINK("http://bombeiros.sp.gov.br/hidrantes/03individual/17694.html","17694")</f>
      </c>
      <c r="B1488" t="s">
        <v>842</v>
      </c>
      <c r="C1488" t="s">
        <v>870</v>
      </c>
      <c r="D1488" t="s">
        <v>12260</v>
      </c>
      <c r="E1488" t="s">
        <v>15</v>
      </c>
      <c r="F1488" t="s">
        <v>12285</v>
      </c>
      <c r="G1488" t="s">
        <v>18062</v>
      </c>
      <c r="H1488" t="s">
        <v>1107</v>
      </c>
      <c r="I1488" t="s">
        <v>1108</v>
      </c>
      <c r="J1488" t="s">
        <v>12286</v>
      </c>
      <c r="K1488" t="s">
        <v>12287</v>
      </c>
      <c r="L1488" t="s">
        <v>21</v>
      </c>
      <c r="M1488" t="s">
        <v>19177</v>
      </c>
      <c r="N1488" t="s">
        <v>1024</v>
      </c>
      <c r="O1488" t="s">
        <v>1024</v>
      </c>
      <c r="P1488" t="s">
        <v>842</v>
      </c>
    </row>
    <row r="1489">
      <c r="A1489">
        <f>HYPERLINK("http://bombeiros.sp.gov.br/hidrantes/03individual/17695.html","17695")</f>
      </c>
      <c r="B1489" t="s">
        <v>842</v>
      </c>
      <c r="C1489" t="s">
        <v>870</v>
      </c>
      <c r="D1489" t="s">
        <v>12260</v>
      </c>
      <c r="E1489" t="s">
        <v>15</v>
      </c>
      <c r="F1489" t="s">
        <v>12288</v>
      </c>
      <c r="G1489" t="s">
        <v>18117</v>
      </c>
      <c r="H1489" t="s">
        <v>1107</v>
      </c>
      <c r="I1489" t="s">
        <v>1108</v>
      </c>
      <c r="J1489" t="s">
        <v>12289</v>
      </c>
      <c r="K1489" t="s">
        <v>12290</v>
      </c>
      <c r="L1489" t="s">
        <v>21</v>
      </c>
      <c r="M1489" t="s">
        <v>19177</v>
      </c>
      <c r="N1489" t="s">
        <v>1024</v>
      </c>
      <c r="O1489" t="s">
        <v>1024</v>
      </c>
      <c r="P1489" t="s">
        <v>842</v>
      </c>
    </row>
    <row r="1490">
      <c r="A1490">
        <f>HYPERLINK("http://bombeiros.sp.gov.br/hidrantes/03individual/17697.html","17697")</f>
      </c>
      <c r="B1490" t="s">
        <v>842</v>
      </c>
      <c r="C1490" t="s">
        <v>870</v>
      </c>
      <c r="D1490" t="s">
        <v>12260</v>
      </c>
      <c r="E1490" t="s">
        <v>15</v>
      </c>
      <c r="F1490" t="s">
        <v>12294</v>
      </c>
      <c r="G1490" t="s">
        <v>18062</v>
      </c>
      <c r="H1490" t="s">
        <v>1112</v>
      </c>
      <c r="I1490" t="s">
        <v>1108</v>
      </c>
      <c r="J1490" t="s">
        <v>12295</v>
      </c>
      <c r="K1490" t="s">
        <v>12296</v>
      </c>
      <c r="L1490" t="s">
        <v>21</v>
      </c>
      <c r="M1490" t="s">
        <v>19177</v>
      </c>
      <c r="N1490" t="s">
        <v>1024</v>
      </c>
      <c r="O1490" t="s">
        <v>1024</v>
      </c>
      <c r="P1490" t="s">
        <v>842</v>
      </c>
    </row>
    <row r="1491">
      <c r="A1491">
        <f>HYPERLINK("http://bombeiros.sp.gov.br/hidrantes/03individual/17847.html","17847")</f>
      </c>
      <c r="B1491" t="s">
        <v>842</v>
      </c>
      <c r="C1491" t="s">
        <v>870</v>
      </c>
      <c r="D1491" t="s">
        <v>12260</v>
      </c>
      <c r="E1491" t="s">
        <v>15</v>
      </c>
      <c r="F1491" t="s">
        <v>12297</v>
      </c>
      <c r="G1491" t="s">
        <v>18518</v>
      </c>
      <c r="H1491" t="s">
        <v>1112</v>
      </c>
      <c r="I1491" t="s">
        <v>1108</v>
      </c>
      <c r="J1491" t="s">
        <v>12298</v>
      </c>
      <c r="K1491" t="s">
        <v>12299</v>
      </c>
      <c r="L1491" t="s">
        <v>21</v>
      </c>
      <c r="M1491" t="s">
        <v>19177</v>
      </c>
      <c r="N1491" t="s">
        <v>1024</v>
      </c>
      <c r="O1491" t="s">
        <v>1024</v>
      </c>
      <c r="P1491" t="s">
        <v>842</v>
      </c>
    </row>
    <row r="1492">
      <c r="A1492">
        <f>HYPERLINK("http://bombeiros.sp.gov.br/hidrantes/03individual/17841.html","17841")</f>
      </c>
      <c r="B1492" t="s">
        <v>842</v>
      </c>
      <c r="C1492" t="s">
        <v>870</v>
      </c>
      <c r="D1492" t="s">
        <v>12300</v>
      </c>
      <c r="E1492" t="s">
        <v>15</v>
      </c>
      <c r="F1492" t="s">
        <v>12313</v>
      </c>
      <c r="G1492" t="s">
        <v>18117</v>
      </c>
      <c r="H1492" t="s">
        <v>1107</v>
      </c>
      <c r="I1492" t="s">
        <v>1108</v>
      </c>
      <c r="J1492" t="s">
        <v>12314</v>
      </c>
      <c r="K1492" t="s">
        <v>12315</v>
      </c>
      <c r="L1492" t="s">
        <v>21</v>
      </c>
      <c r="M1492" t="s">
        <v>19177</v>
      </c>
      <c r="N1492" t="s">
        <v>1024</v>
      </c>
      <c r="O1492" t="s">
        <v>1024</v>
      </c>
      <c r="P1492" t="s">
        <v>842</v>
      </c>
    </row>
    <row r="1493">
      <c r="A1493">
        <f>HYPERLINK("http://bombeiros.sp.gov.br/hidrantes/03individual/2408.html","2408")</f>
      </c>
      <c r="B1493" t="s">
        <v>842</v>
      </c>
      <c r="C1493" t="s">
        <v>894</v>
      </c>
      <c r="D1493" t="s">
        <v>895</v>
      </c>
      <c r="E1493" t="s">
        <v>64</v>
      </c>
      <c r="F1493" t="s">
        <v>12316</v>
      </c>
      <c r="G1493" t="s">
        <v>18482</v>
      </c>
      <c r="H1493" t="s">
        <v>1112</v>
      </c>
      <c r="I1493" t="s">
        <v>1108</v>
      </c>
      <c r="J1493" t="s">
        <v>16121</v>
      </c>
      <c r="K1493" t="s">
        <v>16122</v>
      </c>
      <c r="L1493" t="s">
        <v>36</v>
      </c>
      <c r="M1493" t="s">
        <v>19177</v>
      </c>
      <c r="N1493" t="s">
        <v>16376</v>
      </c>
      <c r="O1493" t="s">
        <v>16376</v>
      </c>
      <c r="P1493" t="s">
        <v>842</v>
      </c>
    </row>
    <row r="1494">
      <c r="A1494">
        <f>HYPERLINK("http://bombeiros.sp.gov.br/hidrantes/03individual/4147.html","4147")</f>
      </c>
      <c r="B1494" t="s">
        <v>842</v>
      </c>
      <c r="C1494" t="s">
        <v>894</v>
      </c>
      <c r="D1494" t="s">
        <v>895</v>
      </c>
      <c r="E1494" t="s">
        <v>64</v>
      </c>
      <c r="F1494" t="s">
        <v>12323</v>
      </c>
      <c r="G1494" t="s">
        <v>18210</v>
      </c>
      <c r="H1494" t="s">
        <v>1174</v>
      </c>
      <c r="I1494" t="s">
        <v>1108</v>
      </c>
      <c r="J1494" t="s">
        <v>12324</v>
      </c>
      <c r="K1494" t="s">
        <v>12325</v>
      </c>
      <c r="L1494" t="s">
        <v>36</v>
      </c>
      <c r="M1494" t="s">
        <v>19177</v>
      </c>
      <c r="N1494" t="s">
        <v>16376</v>
      </c>
      <c r="O1494" t="s">
        <v>16376</v>
      </c>
      <c r="P1494" t="s">
        <v>842</v>
      </c>
    </row>
    <row r="1495">
      <c r="A1495">
        <f>HYPERLINK("http://bombeiros.sp.gov.br/hidrantes/03individual/17889.html","17889")</f>
      </c>
      <c r="B1495" t="s">
        <v>842</v>
      </c>
      <c r="C1495" t="s">
        <v>894</v>
      </c>
      <c r="D1495" t="s">
        <v>895</v>
      </c>
      <c r="E1495" t="s">
        <v>64</v>
      </c>
      <c r="F1495" t="s">
        <v>12326</v>
      </c>
      <c r="G1495" t="s">
        <v>18519</v>
      </c>
      <c r="H1495" t="s">
        <v>1112</v>
      </c>
      <c r="I1495" t="s">
        <v>1108</v>
      </c>
      <c r="J1495" t="s">
        <v>12327</v>
      </c>
      <c r="K1495" t="s">
        <v>12328</v>
      </c>
      <c r="L1495" t="s">
        <v>21</v>
      </c>
      <c r="M1495" t="s">
        <v>19177</v>
      </c>
      <c r="N1495" t="s">
        <v>16376</v>
      </c>
      <c r="O1495" t="s">
        <v>16376</v>
      </c>
      <c r="P1495" t="s">
        <v>842</v>
      </c>
    </row>
    <row r="1496">
      <c r="A1496">
        <f>HYPERLINK("http://bombeiros.sp.gov.br/hidrantes/03individual/17890.html","17890")</f>
      </c>
      <c r="B1496" t="s">
        <v>842</v>
      </c>
      <c r="C1496" t="s">
        <v>894</v>
      </c>
      <c r="D1496" t="s">
        <v>895</v>
      </c>
      <c r="E1496" t="s">
        <v>64</v>
      </c>
      <c r="F1496" t="s">
        <v>12329</v>
      </c>
      <c r="G1496" t="s">
        <v>18519</v>
      </c>
      <c r="H1496" t="s">
        <v>1112</v>
      </c>
      <c r="I1496" t="s">
        <v>1108</v>
      </c>
      <c r="J1496" t="s">
        <v>12330</v>
      </c>
      <c r="K1496" t="s">
        <v>12331</v>
      </c>
      <c r="L1496" t="s">
        <v>21</v>
      </c>
      <c r="M1496" t="s">
        <v>19177</v>
      </c>
      <c r="N1496" t="s">
        <v>16376</v>
      </c>
      <c r="O1496" t="s">
        <v>16376</v>
      </c>
      <c r="P1496" t="s">
        <v>842</v>
      </c>
    </row>
    <row r="1497">
      <c r="A1497">
        <f>HYPERLINK("http://bombeiros.sp.gov.br/hidrantes/03individual/4143.html","4143")</f>
      </c>
      <c r="B1497" t="s">
        <v>842</v>
      </c>
      <c r="C1497" t="s">
        <v>894</v>
      </c>
      <c r="D1497" t="s">
        <v>895</v>
      </c>
      <c r="E1497" t="s">
        <v>15</v>
      </c>
      <c r="F1497" t="s">
        <v>12341</v>
      </c>
      <c r="G1497" t="s">
        <v>18154</v>
      </c>
      <c r="H1497" t="s">
        <v>1112</v>
      </c>
      <c r="I1497" t="s">
        <v>1108</v>
      </c>
      <c r="J1497" t="s">
        <v>12342</v>
      </c>
      <c r="K1497" t="s">
        <v>12343</v>
      </c>
      <c r="L1497" t="s">
        <v>21</v>
      </c>
      <c r="M1497" t="s">
        <v>19177</v>
      </c>
      <c r="N1497" t="s">
        <v>16376</v>
      </c>
      <c r="O1497" t="s">
        <v>16376</v>
      </c>
      <c r="P1497" t="s">
        <v>842</v>
      </c>
    </row>
    <row r="1498">
      <c r="A1498">
        <f>HYPERLINK("http://bombeiros.sp.gov.br/hidrantes/03individual/4427.html","4427")</f>
      </c>
      <c r="B1498" t="s">
        <v>842</v>
      </c>
      <c r="C1498" t="s">
        <v>894</v>
      </c>
      <c r="D1498" t="s">
        <v>12344</v>
      </c>
      <c r="E1498" t="s">
        <v>64</v>
      </c>
      <c r="F1498" t="s">
        <v>12345</v>
      </c>
      <c r="G1498" t="s">
        <v>18056</v>
      </c>
      <c r="H1498" t="s">
        <v>1112</v>
      </c>
      <c r="I1498" t="s">
        <v>1108</v>
      </c>
      <c r="J1498" t="s">
        <v>12346</v>
      </c>
      <c r="K1498" t="s">
        <v>12347</v>
      </c>
      <c r="L1498" t="s">
        <v>21</v>
      </c>
      <c r="M1498" t="s">
        <v>19177</v>
      </c>
      <c r="N1498" t="s">
        <v>16376</v>
      </c>
      <c r="O1498" t="s">
        <v>16376</v>
      </c>
      <c r="P1498" t="s">
        <v>842</v>
      </c>
    </row>
    <row r="1499">
      <c r="A1499">
        <f>HYPERLINK("http://bombeiros.sp.gov.br/hidrantes/03individual/4144.html","4144")</f>
      </c>
      <c r="B1499" t="s">
        <v>842</v>
      </c>
      <c r="C1499" t="s">
        <v>894</v>
      </c>
      <c r="D1499" t="s">
        <v>12344</v>
      </c>
      <c r="E1499" t="s">
        <v>15</v>
      </c>
      <c r="F1499" t="s">
        <v>12354</v>
      </c>
      <c r="G1499" t="s">
        <v>18154</v>
      </c>
      <c r="H1499" t="s">
        <v>1112</v>
      </c>
      <c r="I1499" t="s">
        <v>1108</v>
      </c>
      <c r="J1499" t="s">
        <v>12355</v>
      </c>
      <c r="K1499" t="s">
        <v>12356</v>
      </c>
      <c r="L1499" t="s">
        <v>21</v>
      </c>
      <c r="M1499" t="s">
        <v>19177</v>
      </c>
      <c r="N1499" t="s">
        <v>16376</v>
      </c>
      <c r="O1499" t="s">
        <v>16376</v>
      </c>
      <c r="P1499" t="s">
        <v>842</v>
      </c>
    </row>
    <row r="1500">
      <c r="A1500">
        <f>HYPERLINK("http://bombeiros.sp.gov.br/hidrantes/03individual/4146.html","4146")</f>
      </c>
      <c r="B1500" t="s">
        <v>842</v>
      </c>
      <c r="C1500" t="s">
        <v>894</v>
      </c>
      <c r="D1500" t="s">
        <v>12344</v>
      </c>
      <c r="E1500" t="s">
        <v>15</v>
      </c>
      <c r="F1500" t="s">
        <v>12357</v>
      </c>
      <c r="G1500" t="s">
        <v>18154</v>
      </c>
      <c r="H1500" t="s">
        <v>1112</v>
      </c>
      <c r="I1500" t="s">
        <v>1108</v>
      </c>
      <c r="J1500" t="s">
        <v>12358</v>
      </c>
      <c r="K1500" t="s">
        <v>12359</v>
      </c>
      <c r="L1500" t="s">
        <v>36</v>
      </c>
      <c r="M1500" t="s">
        <v>19177</v>
      </c>
      <c r="N1500" t="s">
        <v>16376</v>
      </c>
      <c r="O1500" t="s">
        <v>16376</v>
      </c>
      <c r="P1500" t="s">
        <v>842</v>
      </c>
    </row>
    <row r="1501">
      <c r="A1501">
        <f>HYPERLINK("http://bombeiros.sp.gov.br/hidrantes/03individual/4407.html","4407")</f>
      </c>
      <c r="B1501" t="s">
        <v>842</v>
      </c>
      <c r="C1501" t="s">
        <v>894</v>
      </c>
      <c r="D1501" t="s">
        <v>12344</v>
      </c>
      <c r="E1501" t="s">
        <v>15</v>
      </c>
      <c r="F1501" t="s">
        <v>12360</v>
      </c>
      <c r="G1501" t="s">
        <v>18154</v>
      </c>
      <c r="H1501" t="s">
        <v>1112</v>
      </c>
      <c r="I1501" t="s">
        <v>1108</v>
      </c>
      <c r="J1501" t="s">
        <v>12361</v>
      </c>
      <c r="K1501" t="s">
        <v>12362</v>
      </c>
      <c r="L1501" t="s">
        <v>21</v>
      </c>
      <c r="M1501" t="s">
        <v>19177</v>
      </c>
      <c r="N1501" t="s">
        <v>16376</v>
      </c>
      <c r="O1501" t="s">
        <v>16376</v>
      </c>
      <c r="P1501" t="s">
        <v>842</v>
      </c>
    </row>
    <row r="1502">
      <c r="A1502">
        <f>HYPERLINK("http://bombeiros.sp.gov.br/hidrantes/03individual/6740.html","6740")</f>
      </c>
      <c r="B1502" t="s">
        <v>842</v>
      </c>
      <c r="C1502" t="s">
        <v>894</v>
      </c>
      <c r="D1502" t="s">
        <v>12344</v>
      </c>
      <c r="E1502" t="s">
        <v>15</v>
      </c>
      <c r="F1502" t="s">
        <v>12363</v>
      </c>
      <c r="G1502" t="s">
        <v>18154</v>
      </c>
      <c r="H1502" t="s">
        <v>1121</v>
      </c>
      <c r="I1502" t="s">
        <v>1117</v>
      </c>
      <c r="J1502" t="s">
        <v>12364</v>
      </c>
      <c r="K1502" t="s">
        <v>12365</v>
      </c>
      <c r="L1502" t="s">
        <v>21</v>
      </c>
      <c r="M1502" t="s">
        <v>19177</v>
      </c>
      <c r="N1502" t="s">
        <v>16376</v>
      </c>
      <c r="O1502" t="s">
        <v>16376</v>
      </c>
      <c r="P1502" t="s">
        <v>842</v>
      </c>
    </row>
    <row r="1503">
      <c r="A1503">
        <f>HYPERLINK("http://bombeiros.sp.gov.br/hidrantes/03individual/17867.html","17867")</f>
      </c>
      <c r="B1503" t="s">
        <v>842</v>
      </c>
      <c r="C1503" t="s">
        <v>894</v>
      </c>
      <c r="D1503" t="s">
        <v>12344</v>
      </c>
      <c r="E1503" t="s">
        <v>15</v>
      </c>
      <c r="F1503" t="s">
        <v>12366</v>
      </c>
      <c r="G1503" t="s">
        <v>18154</v>
      </c>
      <c r="H1503" t="s">
        <v>1112</v>
      </c>
      <c r="I1503" t="s">
        <v>1108</v>
      </c>
      <c r="J1503" t="s">
        <v>12367</v>
      </c>
      <c r="K1503" t="s">
        <v>12368</v>
      </c>
      <c r="L1503" t="s">
        <v>21</v>
      </c>
      <c r="M1503" t="s">
        <v>19177</v>
      </c>
      <c r="N1503" t="s">
        <v>16376</v>
      </c>
      <c r="O1503" t="s">
        <v>16376</v>
      </c>
      <c r="P1503" t="s">
        <v>842</v>
      </c>
    </row>
    <row r="1504">
      <c r="A1504">
        <f>HYPERLINK("http://bombeiros.sp.gov.br/hidrantes/03individual/17891.html","17891")</f>
      </c>
      <c r="B1504" t="s">
        <v>842</v>
      </c>
      <c r="C1504" t="s">
        <v>894</v>
      </c>
      <c r="D1504" t="s">
        <v>12344</v>
      </c>
      <c r="E1504" t="s">
        <v>15</v>
      </c>
      <c r="F1504" t="s">
        <v>12369</v>
      </c>
      <c r="G1504" t="s">
        <v>18154</v>
      </c>
      <c r="H1504" t="s">
        <v>1112</v>
      </c>
      <c r="I1504" t="s">
        <v>1108</v>
      </c>
      <c r="J1504" t="s">
        <v>12370</v>
      </c>
      <c r="K1504" t="s">
        <v>12371</v>
      </c>
      <c r="L1504" t="s">
        <v>21</v>
      </c>
      <c r="M1504" t="s">
        <v>19177</v>
      </c>
      <c r="N1504" t="s">
        <v>16376</v>
      </c>
      <c r="O1504" t="s">
        <v>16376</v>
      </c>
      <c r="P1504" t="s">
        <v>842</v>
      </c>
    </row>
    <row r="1505">
      <c r="A1505">
        <f>HYPERLINK("http://bombeiros.sp.gov.br/hidrantes/03individual/4116.html","4116")</f>
      </c>
      <c r="B1505" t="s">
        <v>842</v>
      </c>
      <c r="C1505" t="s">
        <v>894</v>
      </c>
      <c r="D1505" t="s">
        <v>899</v>
      </c>
      <c r="E1505" t="s">
        <v>64</v>
      </c>
      <c r="F1505" t="s">
        <v>12375</v>
      </c>
      <c r="G1505" t="s">
        <v>18056</v>
      </c>
      <c r="H1505" t="s">
        <v>1112</v>
      </c>
      <c r="I1505" t="s">
        <v>1108</v>
      </c>
      <c r="J1505" t="s">
        <v>15862</v>
      </c>
      <c r="K1505" t="s">
        <v>15863</v>
      </c>
      <c r="L1505" t="s">
        <v>21</v>
      </c>
      <c r="M1505" t="s">
        <v>19177</v>
      </c>
      <c r="N1505" t="s">
        <v>16376</v>
      </c>
      <c r="O1505" t="s">
        <v>16376</v>
      </c>
      <c r="P1505" t="s">
        <v>842</v>
      </c>
    </row>
    <row r="1506">
      <c r="A1506">
        <f>HYPERLINK("http://bombeiros.sp.gov.br/hidrantes/03individual/2404.html","2404")</f>
      </c>
      <c r="B1506" t="s">
        <v>842</v>
      </c>
      <c r="C1506" t="s">
        <v>894</v>
      </c>
      <c r="D1506" t="s">
        <v>899</v>
      </c>
      <c r="E1506" t="s">
        <v>15</v>
      </c>
      <c r="F1506" t="s">
        <v>12384</v>
      </c>
      <c r="G1506" t="s">
        <v>18199</v>
      </c>
      <c r="H1506" t="s">
        <v>1112</v>
      </c>
      <c r="I1506" t="s">
        <v>1108</v>
      </c>
      <c r="J1506" t="s">
        <v>12385</v>
      </c>
      <c r="K1506" t="s">
        <v>12386</v>
      </c>
      <c r="L1506" t="s">
        <v>21</v>
      </c>
      <c r="M1506" t="s">
        <v>19177</v>
      </c>
      <c r="N1506" t="s">
        <v>16376</v>
      </c>
      <c r="O1506" t="s">
        <v>16376</v>
      </c>
      <c r="P1506" t="s">
        <v>842</v>
      </c>
    </row>
    <row r="1507">
      <c r="A1507">
        <f>HYPERLINK("http://bombeiros.sp.gov.br/hidrantes/03individual/4130.html","4130")</f>
      </c>
      <c r="B1507" t="s">
        <v>842</v>
      </c>
      <c r="C1507" t="s">
        <v>894</v>
      </c>
      <c r="D1507" t="s">
        <v>899</v>
      </c>
      <c r="E1507" t="s">
        <v>15</v>
      </c>
      <c r="F1507" t="s">
        <v>12390</v>
      </c>
      <c r="G1507" t="s">
        <v>18154</v>
      </c>
      <c r="H1507" t="s">
        <v>1112</v>
      </c>
      <c r="I1507" t="s">
        <v>1108</v>
      </c>
      <c r="J1507" t="s">
        <v>12391</v>
      </c>
      <c r="K1507" t="s">
        <v>12392</v>
      </c>
      <c r="L1507" t="s">
        <v>36</v>
      </c>
      <c r="M1507" t="s">
        <v>19177</v>
      </c>
      <c r="N1507" t="s">
        <v>16376</v>
      </c>
      <c r="O1507" t="s">
        <v>16376</v>
      </c>
      <c r="P1507" t="s">
        <v>842</v>
      </c>
    </row>
    <row r="1508">
      <c r="A1508">
        <f>HYPERLINK("http://bombeiros.sp.gov.br/hidrantes/03individual/17710.html","17710")</f>
      </c>
      <c r="B1508" t="s">
        <v>842</v>
      </c>
      <c r="C1508" t="s">
        <v>894</v>
      </c>
      <c r="D1508" t="s">
        <v>899</v>
      </c>
      <c r="E1508" t="s">
        <v>15</v>
      </c>
      <c r="F1508" t="s">
        <v>12399</v>
      </c>
      <c r="G1508" t="s">
        <v>18052</v>
      </c>
      <c r="H1508" t="s">
        <v>1112</v>
      </c>
      <c r="I1508" t="s">
        <v>1108</v>
      </c>
      <c r="J1508" t="s">
        <v>12400</v>
      </c>
      <c r="K1508" t="s">
        <v>12401</v>
      </c>
      <c r="L1508" t="s">
        <v>21</v>
      </c>
      <c r="M1508" t="s">
        <v>19177</v>
      </c>
      <c r="N1508" t="s">
        <v>16376</v>
      </c>
      <c r="O1508" t="s">
        <v>16376</v>
      </c>
      <c r="P1508" t="s">
        <v>842</v>
      </c>
    </row>
    <row r="1509">
      <c r="A1509">
        <f>HYPERLINK("http://bombeiros.sp.gov.br/hidrantes/03individual/2489.html","2489")</f>
      </c>
      <c r="B1509" t="s">
        <v>842</v>
      </c>
      <c r="C1509" t="s">
        <v>894</v>
      </c>
      <c r="D1509" t="s">
        <v>903</v>
      </c>
      <c r="E1509" t="s">
        <v>15</v>
      </c>
      <c r="F1509" t="s">
        <v>12405</v>
      </c>
      <c r="G1509" t="s">
        <v>18049</v>
      </c>
      <c r="H1509" t="s">
        <v>1112</v>
      </c>
      <c r="I1509" t="s">
        <v>1108</v>
      </c>
      <c r="J1509" t="s">
        <v>12406</v>
      </c>
      <c r="K1509" t="s">
        <v>12407</v>
      </c>
      <c r="L1509" t="s">
        <v>21</v>
      </c>
      <c r="M1509" t="s">
        <v>19177</v>
      </c>
      <c r="N1509" t="s">
        <v>16376</v>
      </c>
      <c r="O1509" t="s">
        <v>16376</v>
      </c>
      <c r="P1509" t="s">
        <v>842</v>
      </c>
    </row>
    <row r="1510">
      <c r="A1510">
        <f>HYPERLINK("http://bombeiros.sp.gov.br/hidrantes/03individual/2495.html","2495")</f>
      </c>
      <c r="B1510" t="s">
        <v>842</v>
      </c>
      <c r="C1510" t="s">
        <v>894</v>
      </c>
      <c r="D1510" t="s">
        <v>903</v>
      </c>
      <c r="E1510" t="s">
        <v>15</v>
      </c>
      <c r="F1510" t="s">
        <v>12408</v>
      </c>
      <c r="G1510" t="s">
        <v>18049</v>
      </c>
      <c r="H1510" t="s">
        <v>1112</v>
      </c>
      <c r="I1510" t="s">
        <v>1108</v>
      </c>
      <c r="J1510" t="s">
        <v>12409</v>
      </c>
      <c r="K1510" t="s">
        <v>12410</v>
      </c>
      <c r="L1510" t="s">
        <v>21</v>
      </c>
      <c r="M1510" t="s">
        <v>19177</v>
      </c>
      <c r="N1510" t="s">
        <v>16376</v>
      </c>
      <c r="O1510" t="s">
        <v>16376</v>
      </c>
      <c r="P1510" t="s">
        <v>842</v>
      </c>
    </row>
    <row r="1511">
      <c r="A1511">
        <f>HYPERLINK("http://bombeiros.sp.gov.br/hidrantes/03individual/2500.html","2500")</f>
      </c>
      <c r="B1511" t="s">
        <v>842</v>
      </c>
      <c r="C1511" t="s">
        <v>894</v>
      </c>
      <c r="D1511" t="s">
        <v>903</v>
      </c>
      <c r="E1511" t="s">
        <v>15</v>
      </c>
      <c r="F1511" t="s">
        <v>12417</v>
      </c>
      <c r="G1511" t="s">
        <v>18049</v>
      </c>
      <c r="H1511" t="s">
        <v>1112</v>
      </c>
      <c r="I1511" t="s">
        <v>1108</v>
      </c>
      <c r="J1511" t="s">
        <v>12418</v>
      </c>
      <c r="K1511" t="s">
        <v>12419</v>
      </c>
      <c r="L1511" t="s">
        <v>21</v>
      </c>
      <c r="M1511" t="s">
        <v>19177</v>
      </c>
      <c r="N1511" t="s">
        <v>16376</v>
      </c>
      <c r="O1511" t="s">
        <v>16376</v>
      </c>
      <c r="P1511" t="s">
        <v>842</v>
      </c>
    </row>
    <row r="1512">
      <c r="A1512">
        <f>HYPERLINK("http://bombeiros.sp.gov.br/hidrantes/03individual/2501.html","2501")</f>
      </c>
      <c r="B1512" t="s">
        <v>842</v>
      </c>
      <c r="C1512" t="s">
        <v>894</v>
      </c>
      <c r="D1512" t="s">
        <v>903</v>
      </c>
      <c r="E1512" t="s">
        <v>15</v>
      </c>
      <c r="F1512" t="s">
        <v>12420</v>
      </c>
      <c r="G1512" t="s">
        <v>18049</v>
      </c>
      <c r="H1512" t="s">
        <v>1112</v>
      </c>
      <c r="I1512" t="s">
        <v>1108</v>
      </c>
      <c r="J1512" t="s">
        <v>12421</v>
      </c>
      <c r="K1512" t="s">
        <v>12422</v>
      </c>
      <c r="L1512" t="s">
        <v>21</v>
      </c>
      <c r="M1512" t="s">
        <v>19177</v>
      </c>
      <c r="N1512" t="s">
        <v>16376</v>
      </c>
      <c r="O1512" t="s">
        <v>16376</v>
      </c>
      <c r="P1512" t="s">
        <v>842</v>
      </c>
    </row>
    <row r="1513">
      <c r="A1513">
        <f>HYPERLINK("http://bombeiros.sp.gov.br/hidrantes/03individual/4129.html","4129")</f>
      </c>
      <c r="B1513" t="s">
        <v>842</v>
      </c>
      <c r="C1513" t="s">
        <v>894</v>
      </c>
      <c r="D1513" t="s">
        <v>903</v>
      </c>
      <c r="E1513" t="s">
        <v>15</v>
      </c>
      <c r="F1513" t="s">
        <v>12423</v>
      </c>
      <c r="G1513" t="s">
        <v>18049</v>
      </c>
      <c r="H1513" t="s">
        <v>1112</v>
      </c>
      <c r="I1513" t="s">
        <v>1108</v>
      </c>
      <c r="J1513" t="s">
        <v>12424</v>
      </c>
      <c r="K1513" t="s">
        <v>12425</v>
      </c>
      <c r="L1513" t="s">
        <v>21</v>
      </c>
      <c r="M1513" t="s">
        <v>19177</v>
      </c>
      <c r="N1513" t="s">
        <v>16376</v>
      </c>
      <c r="O1513" t="s">
        <v>16376</v>
      </c>
      <c r="P1513" t="s">
        <v>842</v>
      </c>
    </row>
    <row r="1514">
      <c r="A1514">
        <f>HYPERLINK("http://bombeiros.sp.gov.br/hidrantes/03individual/481.html","481")</f>
      </c>
      <c r="B1514" t="s">
        <v>842</v>
      </c>
      <c r="C1514" t="s">
        <v>12426</v>
      </c>
      <c r="D1514" t="s">
        <v>12427</v>
      </c>
      <c r="E1514" t="s">
        <v>15</v>
      </c>
      <c r="F1514" t="s">
        <v>12440</v>
      </c>
      <c r="G1514" t="s">
        <v>18200</v>
      </c>
      <c r="H1514" t="s">
        <v>1112</v>
      </c>
      <c r="I1514" t="s">
        <v>1108</v>
      </c>
      <c r="J1514" t="s">
        <v>12441</v>
      </c>
      <c r="K1514" t="s">
        <v>12442</v>
      </c>
      <c r="L1514" t="s">
        <v>21</v>
      </c>
      <c r="M1514" t="s">
        <v>19177</v>
      </c>
      <c r="N1514" t="s">
        <v>97</v>
      </c>
      <c r="O1514" t="s">
        <v>937</v>
      </c>
      <c r="P1514" t="s">
        <v>12</v>
      </c>
    </row>
    <row r="1515">
      <c r="A1515">
        <f>HYPERLINK("http://bombeiros.sp.gov.br/hidrantes/03individual/497.html","497")</f>
      </c>
      <c r="B1515" t="s">
        <v>842</v>
      </c>
      <c r="C1515" t="s">
        <v>12426</v>
      </c>
      <c r="D1515" t="s">
        <v>12427</v>
      </c>
      <c r="E1515" t="s">
        <v>15</v>
      </c>
      <c r="F1515" t="s">
        <v>12443</v>
      </c>
      <c r="G1515" t="s">
        <v>18070</v>
      </c>
      <c r="H1515" t="s">
        <v>1107</v>
      </c>
      <c r="I1515" t="s">
        <v>1108</v>
      </c>
      <c r="J1515" t="s">
        <v>12444</v>
      </c>
      <c r="K1515" t="s">
        <v>12445</v>
      </c>
      <c r="L1515" t="s">
        <v>36</v>
      </c>
      <c r="M1515" t="s">
        <v>19177</v>
      </c>
      <c r="N1515" t="s">
        <v>97</v>
      </c>
      <c r="O1515" t="s">
        <v>937</v>
      </c>
      <c r="P1515" t="s">
        <v>12</v>
      </c>
    </row>
    <row r="1516">
      <c r="A1516">
        <f>HYPERLINK("http://bombeiros.sp.gov.br/hidrantes/03individual/498.html","498")</f>
      </c>
      <c r="B1516" t="s">
        <v>842</v>
      </c>
      <c r="C1516" t="s">
        <v>12426</v>
      </c>
      <c r="D1516" t="s">
        <v>12427</v>
      </c>
      <c r="E1516" t="s">
        <v>15</v>
      </c>
      <c r="F1516" t="s">
        <v>12446</v>
      </c>
      <c r="G1516" t="s">
        <v>18070</v>
      </c>
      <c r="H1516" t="s">
        <v>1107</v>
      </c>
      <c r="I1516" t="s">
        <v>1108</v>
      </c>
      <c r="J1516" t="s">
        <v>12447</v>
      </c>
      <c r="K1516" t="s">
        <v>12448</v>
      </c>
      <c r="L1516" t="s">
        <v>21</v>
      </c>
      <c r="M1516" t="s">
        <v>19177</v>
      </c>
      <c r="N1516" t="s">
        <v>97</v>
      </c>
      <c r="O1516" t="s">
        <v>937</v>
      </c>
      <c r="P1516" t="s">
        <v>12</v>
      </c>
    </row>
    <row r="1517">
      <c r="A1517">
        <f>HYPERLINK("http://bombeiros.sp.gov.br/hidrantes/03individual/3797.html","3797")</f>
      </c>
      <c r="B1517" t="s">
        <v>842</v>
      </c>
      <c r="C1517" t="s">
        <v>12426</v>
      </c>
      <c r="D1517" t="s">
        <v>12427</v>
      </c>
      <c r="E1517" t="s">
        <v>15</v>
      </c>
      <c r="F1517" t="s">
        <v>12449</v>
      </c>
      <c r="G1517" t="s">
        <v>18070</v>
      </c>
      <c r="H1517" t="s">
        <v>1107</v>
      </c>
      <c r="I1517" t="s">
        <v>1108</v>
      </c>
      <c r="J1517" t="s">
        <v>12450</v>
      </c>
      <c r="K1517" t="s">
        <v>12451</v>
      </c>
      <c r="L1517" t="s">
        <v>36</v>
      </c>
      <c r="M1517" t="s">
        <v>19177</v>
      </c>
      <c r="N1517" t="s">
        <v>97</v>
      </c>
      <c r="O1517" t="s">
        <v>937</v>
      </c>
      <c r="P1517" t="s">
        <v>12</v>
      </c>
    </row>
    <row r="1518">
      <c r="A1518">
        <f>HYPERLINK("http://bombeiros.sp.gov.br/hidrantes/03individual/3798.html","3798")</f>
      </c>
      <c r="B1518" t="s">
        <v>842</v>
      </c>
      <c r="C1518" t="s">
        <v>12426</v>
      </c>
      <c r="D1518" t="s">
        <v>12427</v>
      </c>
      <c r="E1518" t="s">
        <v>15</v>
      </c>
      <c r="F1518" t="s">
        <v>12452</v>
      </c>
      <c r="G1518" t="s">
        <v>18070</v>
      </c>
      <c r="H1518" t="s">
        <v>1107</v>
      </c>
      <c r="I1518" t="s">
        <v>1108</v>
      </c>
      <c r="J1518" t="s">
        <v>12453</v>
      </c>
      <c r="K1518" t="s">
        <v>12454</v>
      </c>
      <c r="L1518" t="s">
        <v>21</v>
      </c>
      <c r="M1518" t="s">
        <v>19177</v>
      </c>
      <c r="N1518" t="s">
        <v>97</v>
      </c>
      <c r="O1518" t="s">
        <v>937</v>
      </c>
      <c r="P1518" t="s">
        <v>12</v>
      </c>
    </row>
    <row r="1519">
      <c r="A1519">
        <f>HYPERLINK("http://bombeiros.sp.gov.br/hidrantes/03individual/3805.html","3805")</f>
      </c>
      <c r="B1519" t="s">
        <v>842</v>
      </c>
      <c r="C1519" t="s">
        <v>12426</v>
      </c>
      <c r="D1519" t="s">
        <v>12427</v>
      </c>
      <c r="E1519" t="s">
        <v>15</v>
      </c>
      <c r="F1519" t="s">
        <v>12458</v>
      </c>
      <c r="G1519" t="s">
        <v>18055</v>
      </c>
      <c r="H1519" t="s">
        <v>1112</v>
      </c>
      <c r="I1519" t="s">
        <v>1108</v>
      </c>
      <c r="J1519" t="s">
        <v>12459</v>
      </c>
      <c r="K1519" t="s">
        <v>12460</v>
      </c>
      <c r="L1519" t="s">
        <v>21</v>
      </c>
      <c r="M1519" t="s">
        <v>19177</v>
      </c>
      <c r="N1519" t="s">
        <v>97</v>
      </c>
      <c r="O1519" t="s">
        <v>937</v>
      </c>
      <c r="P1519" t="s">
        <v>12</v>
      </c>
    </row>
    <row r="1520">
      <c r="A1520">
        <f>HYPERLINK("http://bombeiros.sp.gov.br/hidrantes/03individual/3810.html","3810")</f>
      </c>
      <c r="B1520" t="s">
        <v>842</v>
      </c>
      <c r="C1520" t="s">
        <v>12426</v>
      </c>
      <c r="D1520" t="s">
        <v>12427</v>
      </c>
      <c r="E1520" t="s">
        <v>15</v>
      </c>
      <c r="F1520" t="s">
        <v>12461</v>
      </c>
      <c r="G1520" t="s">
        <v>18108</v>
      </c>
      <c r="H1520" t="s">
        <v>1107</v>
      </c>
      <c r="I1520" t="s">
        <v>1108</v>
      </c>
      <c r="J1520" t="s">
        <v>12462</v>
      </c>
      <c r="K1520" t="s">
        <v>12463</v>
      </c>
      <c r="L1520" t="s">
        <v>21</v>
      </c>
      <c r="M1520" t="s">
        <v>19177</v>
      </c>
      <c r="N1520" t="s">
        <v>97</v>
      </c>
      <c r="O1520" t="s">
        <v>937</v>
      </c>
      <c r="P1520" t="s">
        <v>12</v>
      </c>
    </row>
    <row r="1521">
      <c r="A1521">
        <f>HYPERLINK("http://bombeiros.sp.gov.br/hidrantes/03individual/3926.html","3926")</f>
      </c>
      <c r="B1521" t="s">
        <v>842</v>
      </c>
      <c r="C1521" t="s">
        <v>12426</v>
      </c>
      <c r="D1521" t="s">
        <v>12427</v>
      </c>
      <c r="E1521" t="s">
        <v>15</v>
      </c>
      <c r="F1521" t="s">
        <v>12464</v>
      </c>
      <c r="G1521" t="s">
        <v>18144</v>
      </c>
      <c r="H1521" t="s">
        <v>1112</v>
      </c>
      <c r="I1521" t="s">
        <v>1108</v>
      </c>
      <c r="J1521" t="s">
        <v>12465</v>
      </c>
      <c r="K1521" t="s">
        <v>12466</v>
      </c>
      <c r="L1521" t="s">
        <v>21</v>
      </c>
      <c r="M1521" t="s">
        <v>19177</v>
      </c>
      <c r="N1521" t="s">
        <v>97</v>
      </c>
      <c r="O1521" t="s">
        <v>937</v>
      </c>
      <c r="P1521" t="s">
        <v>12</v>
      </c>
    </row>
    <row r="1522">
      <c r="A1522">
        <f>HYPERLINK("http://bombeiros.sp.gov.br/hidrantes/03individual/3934.html","3934")</f>
      </c>
      <c r="B1522" t="s">
        <v>842</v>
      </c>
      <c r="C1522" t="s">
        <v>12426</v>
      </c>
      <c r="D1522" t="s">
        <v>12427</v>
      </c>
      <c r="E1522" t="s">
        <v>15</v>
      </c>
      <c r="F1522" t="s">
        <v>12467</v>
      </c>
      <c r="G1522" t="s">
        <v>18041</v>
      </c>
      <c r="H1522" t="s">
        <v>1107</v>
      </c>
      <c r="I1522" t="s">
        <v>1108</v>
      </c>
      <c r="J1522" t="s">
        <v>12468</v>
      </c>
      <c r="K1522" t="s">
        <v>12469</v>
      </c>
      <c r="L1522" t="s">
        <v>21</v>
      </c>
      <c r="M1522" t="s">
        <v>19177</v>
      </c>
      <c r="N1522" t="s">
        <v>97</v>
      </c>
      <c r="O1522" t="s">
        <v>937</v>
      </c>
      <c r="P1522" t="s">
        <v>12</v>
      </c>
    </row>
    <row r="1523">
      <c r="A1523">
        <f>HYPERLINK("http://bombeiros.sp.gov.br/hidrantes/03individual/4012.html","4012")</f>
      </c>
      <c r="B1523" t="s">
        <v>842</v>
      </c>
      <c r="C1523" t="s">
        <v>12426</v>
      </c>
      <c r="D1523" t="s">
        <v>12427</v>
      </c>
      <c r="E1523" t="s">
        <v>15</v>
      </c>
      <c r="F1523" t="s">
        <v>12470</v>
      </c>
      <c r="G1523" t="s">
        <v>18070</v>
      </c>
      <c r="H1523" t="s">
        <v>1107</v>
      </c>
      <c r="I1523" t="s">
        <v>1108</v>
      </c>
      <c r="J1523" t="s">
        <v>12471</v>
      </c>
      <c r="K1523" t="s">
        <v>12472</v>
      </c>
      <c r="L1523" t="s">
        <v>21</v>
      </c>
      <c r="M1523" t="s">
        <v>19177</v>
      </c>
      <c r="N1523" t="s">
        <v>97</v>
      </c>
      <c r="O1523" t="s">
        <v>937</v>
      </c>
      <c r="P1523" t="s">
        <v>12</v>
      </c>
    </row>
    <row r="1524">
      <c r="A1524">
        <f>HYPERLINK("http://bombeiros.sp.gov.br/hidrantes/03individual/10032.html","10032")</f>
      </c>
      <c r="B1524" t="s">
        <v>842</v>
      </c>
      <c r="C1524" t="s">
        <v>12426</v>
      </c>
      <c r="D1524" t="s">
        <v>12427</v>
      </c>
      <c r="E1524" t="s">
        <v>15</v>
      </c>
      <c r="F1524" t="s">
        <v>12476</v>
      </c>
      <c r="G1524" t="s">
        <v>18118</v>
      </c>
      <c r="H1524" t="s">
        <v>1107</v>
      </c>
      <c r="I1524" t="s">
        <v>1108</v>
      </c>
      <c r="J1524" t="s">
        <v>12477</v>
      </c>
      <c r="K1524" t="s">
        <v>12478</v>
      </c>
      <c r="L1524" t="s">
        <v>21</v>
      </c>
      <c r="M1524" t="s">
        <v>19177</v>
      </c>
      <c r="N1524" t="s">
        <v>97</v>
      </c>
      <c r="O1524" t="s">
        <v>937</v>
      </c>
      <c r="P1524" t="s">
        <v>12</v>
      </c>
    </row>
    <row r="1525">
      <c r="A1525">
        <f>HYPERLINK("http://bombeiros.sp.gov.br/hidrantes/03individual/415.html","415")</f>
      </c>
      <c r="B1525" t="s">
        <v>842</v>
      </c>
      <c r="C1525" t="s">
        <v>12426</v>
      </c>
      <c r="D1525" t="s">
        <v>12485</v>
      </c>
      <c r="E1525" t="s">
        <v>64</v>
      </c>
      <c r="F1525" t="s">
        <v>12486</v>
      </c>
      <c r="G1525" t="s">
        <v>18060</v>
      </c>
      <c r="H1525" t="s">
        <v>1112</v>
      </c>
      <c r="I1525" t="s">
        <v>1108</v>
      </c>
      <c r="J1525" t="s">
        <v>12487</v>
      </c>
      <c r="K1525" t="s">
        <v>12488</v>
      </c>
      <c r="L1525" t="s">
        <v>36</v>
      </c>
      <c r="M1525" t="s">
        <v>19177</v>
      </c>
      <c r="N1525" t="s">
        <v>97</v>
      </c>
      <c r="O1525" t="s">
        <v>937</v>
      </c>
      <c r="P1525" t="s">
        <v>12</v>
      </c>
    </row>
    <row r="1526">
      <c r="A1526">
        <f>HYPERLINK("http://bombeiros.sp.gov.br/hidrantes/03individual/471.html","471")</f>
      </c>
      <c r="B1526" t="s">
        <v>842</v>
      </c>
      <c r="C1526" t="s">
        <v>12426</v>
      </c>
      <c r="D1526" t="s">
        <v>12485</v>
      </c>
      <c r="E1526" t="s">
        <v>15</v>
      </c>
      <c r="F1526" t="s">
        <v>12495</v>
      </c>
      <c r="G1526" t="s">
        <v>18149</v>
      </c>
      <c r="H1526" t="s">
        <v>1112</v>
      </c>
      <c r="I1526" t="s">
        <v>1108</v>
      </c>
      <c r="J1526" t="s">
        <v>16483</v>
      </c>
      <c r="K1526" t="s">
        <v>16484</v>
      </c>
      <c r="L1526" t="s">
        <v>21</v>
      </c>
      <c r="M1526" t="s">
        <v>19177</v>
      </c>
      <c r="N1526" t="s">
        <v>97</v>
      </c>
      <c r="O1526" t="s">
        <v>937</v>
      </c>
      <c r="P1526" t="s">
        <v>12</v>
      </c>
    </row>
    <row r="1527">
      <c r="A1527">
        <f>HYPERLINK("http://bombeiros.sp.gov.br/hidrantes/03individual/489.html","489")</f>
      </c>
      <c r="B1527" t="s">
        <v>842</v>
      </c>
      <c r="C1527" t="s">
        <v>12426</v>
      </c>
      <c r="D1527" t="s">
        <v>12485</v>
      </c>
      <c r="E1527" t="s">
        <v>15</v>
      </c>
      <c r="F1527" t="s">
        <v>12507</v>
      </c>
      <c r="G1527" t="s">
        <v>18118</v>
      </c>
      <c r="H1527" t="s">
        <v>1107</v>
      </c>
      <c r="I1527" t="s">
        <v>1108</v>
      </c>
      <c r="J1527" t="s">
        <v>12508</v>
      </c>
      <c r="K1527" t="s">
        <v>12509</v>
      </c>
      <c r="L1527" t="s">
        <v>21</v>
      </c>
      <c r="M1527" t="s">
        <v>19177</v>
      </c>
      <c r="N1527" t="s">
        <v>97</v>
      </c>
      <c r="O1527" t="s">
        <v>937</v>
      </c>
      <c r="P1527" t="s">
        <v>12</v>
      </c>
    </row>
    <row r="1528">
      <c r="A1528">
        <f>HYPERLINK("http://bombeiros.sp.gov.br/hidrantes/03individual/3808.html","3808")</f>
      </c>
      <c r="B1528" t="s">
        <v>842</v>
      </c>
      <c r="C1528" t="s">
        <v>12426</v>
      </c>
      <c r="D1528" t="s">
        <v>12485</v>
      </c>
      <c r="E1528" t="s">
        <v>15</v>
      </c>
      <c r="F1528" t="s">
        <v>12510</v>
      </c>
      <c r="G1528" t="s">
        <v>18149</v>
      </c>
      <c r="H1528" t="s">
        <v>1112</v>
      </c>
      <c r="I1528" t="s">
        <v>1108</v>
      </c>
      <c r="J1528" t="s">
        <v>12511</v>
      </c>
      <c r="K1528" t="s">
        <v>12512</v>
      </c>
      <c r="L1528" t="s">
        <v>21</v>
      </c>
      <c r="M1528" t="s">
        <v>19177</v>
      </c>
      <c r="N1528" t="s">
        <v>97</v>
      </c>
      <c r="O1528" t="s">
        <v>937</v>
      </c>
      <c r="P1528" t="s">
        <v>12</v>
      </c>
    </row>
    <row r="1529">
      <c r="A1529">
        <f>HYPERLINK("http://bombeiros.sp.gov.br/hidrantes/03individual/3809.html","3809")</f>
      </c>
      <c r="B1529" t="s">
        <v>842</v>
      </c>
      <c r="C1529" t="s">
        <v>12426</v>
      </c>
      <c r="D1529" t="s">
        <v>12485</v>
      </c>
      <c r="E1529" t="s">
        <v>15</v>
      </c>
      <c r="F1529" t="s">
        <v>12513</v>
      </c>
      <c r="G1529" t="s">
        <v>18117</v>
      </c>
      <c r="H1529" t="s">
        <v>1107</v>
      </c>
      <c r="I1529" t="s">
        <v>1108</v>
      </c>
      <c r="J1529" t="s">
        <v>12514</v>
      </c>
      <c r="K1529" t="s">
        <v>12515</v>
      </c>
      <c r="L1529" t="s">
        <v>21</v>
      </c>
      <c r="M1529" t="s">
        <v>19177</v>
      </c>
      <c r="N1529" t="s">
        <v>97</v>
      </c>
      <c r="O1529" t="s">
        <v>937</v>
      </c>
      <c r="P1529" t="s">
        <v>12</v>
      </c>
    </row>
    <row r="1530">
      <c r="A1530">
        <f>HYPERLINK("http://bombeiros.sp.gov.br/hidrantes/03individual/3813.html","3813")</f>
      </c>
      <c r="B1530" t="s">
        <v>842</v>
      </c>
      <c r="C1530" t="s">
        <v>12426</v>
      </c>
      <c r="D1530" t="s">
        <v>12485</v>
      </c>
      <c r="E1530" t="s">
        <v>15</v>
      </c>
      <c r="F1530" t="s">
        <v>12516</v>
      </c>
      <c r="G1530" t="s">
        <v>18117</v>
      </c>
      <c r="H1530" t="s">
        <v>1107</v>
      </c>
      <c r="I1530" t="s">
        <v>1108</v>
      </c>
      <c r="J1530" t="s">
        <v>12517</v>
      </c>
      <c r="K1530" t="s">
        <v>12518</v>
      </c>
      <c r="L1530" t="s">
        <v>21</v>
      </c>
      <c r="M1530" t="s">
        <v>19177</v>
      </c>
      <c r="N1530" t="s">
        <v>97</v>
      </c>
      <c r="O1530" t="s">
        <v>937</v>
      </c>
      <c r="P1530" t="s">
        <v>12</v>
      </c>
    </row>
    <row r="1531">
      <c r="A1531">
        <f>HYPERLINK("http://bombeiros.sp.gov.br/hidrantes/03individual/3893.html","3893")</f>
      </c>
      <c r="B1531" t="s">
        <v>842</v>
      </c>
      <c r="C1531" t="s">
        <v>12426</v>
      </c>
      <c r="D1531" t="s">
        <v>12485</v>
      </c>
      <c r="E1531" t="s">
        <v>15</v>
      </c>
      <c r="F1531" t="s">
        <v>12519</v>
      </c>
      <c r="G1531" t="s">
        <v>18060</v>
      </c>
      <c r="H1531" t="s">
        <v>1107</v>
      </c>
      <c r="I1531" t="s">
        <v>1108</v>
      </c>
      <c r="J1531" t="s">
        <v>12521</v>
      </c>
      <c r="K1531" t="s">
        <v>12522</v>
      </c>
      <c r="L1531" t="s">
        <v>21</v>
      </c>
      <c r="M1531" t="s">
        <v>19177</v>
      </c>
      <c r="N1531" t="s">
        <v>97</v>
      </c>
      <c r="O1531" t="s">
        <v>937</v>
      </c>
      <c r="P1531" t="s">
        <v>12</v>
      </c>
    </row>
    <row r="1532">
      <c r="A1532">
        <f>HYPERLINK("http://bombeiros.sp.gov.br/hidrantes/03individual/3912.html","3912")</f>
      </c>
      <c r="B1532" t="s">
        <v>842</v>
      </c>
      <c r="C1532" t="s">
        <v>12426</v>
      </c>
      <c r="D1532" t="s">
        <v>12485</v>
      </c>
      <c r="E1532" t="s">
        <v>15</v>
      </c>
      <c r="F1532" t="s">
        <v>12526</v>
      </c>
      <c r="G1532" t="s">
        <v>18127</v>
      </c>
      <c r="H1532" t="s">
        <v>1112</v>
      </c>
      <c r="I1532" t="s">
        <v>1108</v>
      </c>
      <c r="J1532" t="s">
        <v>12527</v>
      </c>
      <c r="K1532" t="s">
        <v>12528</v>
      </c>
      <c r="L1532" t="s">
        <v>21</v>
      </c>
      <c r="M1532" t="s">
        <v>19177</v>
      </c>
      <c r="N1532" t="s">
        <v>97</v>
      </c>
      <c r="O1532" t="s">
        <v>937</v>
      </c>
      <c r="P1532" t="s">
        <v>12</v>
      </c>
    </row>
    <row r="1533">
      <c r="A1533">
        <f>HYPERLINK("http://bombeiros.sp.gov.br/hidrantes/03individual/3936.html","3936")</f>
      </c>
      <c r="B1533" t="s">
        <v>842</v>
      </c>
      <c r="C1533" t="s">
        <v>12426</v>
      </c>
      <c r="D1533" t="s">
        <v>12485</v>
      </c>
      <c r="E1533" t="s">
        <v>15</v>
      </c>
      <c r="F1533" t="s">
        <v>12529</v>
      </c>
      <c r="G1533" t="s">
        <v>18149</v>
      </c>
      <c r="H1533" t="s">
        <v>1112</v>
      </c>
      <c r="I1533" t="s">
        <v>1108</v>
      </c>
      <c r="J1533" t="s">
        <v>12530</v>
      </c>
      <c r="K1533" t="s">
        <v>12531</v>
      </c>
      <c r="L1533" t="s">
        <v>21</v>
      </c>
      <c r="M1533" t="s">
        <v>19177</v>
      </c>
      <c r="N1533" t="s">
        <v>97</v>
      </c>
      <c r="O1533" t="s">
        <v>937</v>
      </c>
      <c r="P1533" t="s">
        <v>12</v>
      </c>
    </row>
    <row r="1534">
      <c r="A1534">
        <f>HYPERLINK("http://bombeiros.sp.gov.br/hidrantes/03individual/3974.html","3974")</f>
      </c>
      <c r="B1534" t="s">
        <v>842</v>
      </c>
      <c r="C1534" t="s">
        <v>12426</v>
      </c>
      <c r="D1534" t="s">
        <v>12485</v>
      </c>
      <c r="E1534" t="s">
        <v>15</v>
      </c>
      <c r="F1534" t="s">
        <v>12532</v>
      </c>
      <c r="G1534" t="s">
        <v>18060</v>
      </c>
      <c r="H1534" t="s">
        <v>1112</v>
      </c>
      <c r="I1534" t="s">
        <v>1108</v>
      </c>
      <c r="J1534" t="s">
        <v>12533</v>
      </c>
      <c r="K1534" t="s">
        <v>12534</v>
      </c>
      <c r="L1534" t="s">
        <v>21</v>
      </c>
      <c r="M1534" t="s">
        <v>19177</v>
      </c>
      <c r="N1534" t="s">
        <v>97</v>
      </c>
      <c r="O1534" t="s">
        <v>937</v>
      </c>
      <c r="P1534" t="s">
        <v>12</v>
      </c>
    </row>
    <row r="1535">
      <c r="A1535">
        <f>HYPERLINK("http://bombeiros.sp.gov.br/hidrantes/03individual/17676.html","17676")</f>
      </c>
      <c r="B1535" t="s">
        <v>842</v>
      </c>
      <c r="C1535" t="s">
        <v>12426</v>
      </c>
      <c r="D1535" t="s">
        <v>12485</v>
      </c>
      <c r="E1535" t="s">
        <v>15</v>
      </c>
      <c r="F1535" t="s">
        <v>12541</v>
      </c>
      <c r="G1535" t="s">
        <v>18178</v>
      </c>
      <c r="H1535" t="s">
        <v>1107</v>
      </c>
      <c r="I1535" t="s">
        <v>1108</v>
      </c>
      <c r="J1535" t="s">
        <v>12542</v>
      </c>
      <c r="K1535" t="s">
        <v>12543</v>
      </c>
      <c r="L1535" t="s">
        <v>21</v>
      </c>
      <c r="M1535" t="s">
        <v>19177</v>
      </c>
      <c r="N1535" t="s">
        <v>97</v>
      </c>
      <c r="O1535" t="s">
        <v>937</v>
      </c>
      <c r="P1535" t="s">
        <v>12</v>
      </c>
    </row>
    <row r="1536">
      <c r="A1536">
        <f>HYPERLINK("http://bombeiros.sp.gov.br/hidrantes/03individual/3627.html","3627")</f>
      </c>
      <c r="B1536" t="s">
        <v>842</v>
      </c>
      <c r="C1536" t="s">
        <v>12426</v>
      </c>
      <c r="D1536" t="s">
        <v>12544</v>
      </c>
      <c r="E1536" t="s">
        <v>64</v>
      </c>
      <c r="F1536" t="s">
        <v>12545</v>
      </c>
      <c r="G1536" t="s">
        <v>18264</v>
      </c>
      <c r="H1536" t="s">
        <v>1112</v>
      </c>
      <c r="I1536" t="s">
        <v>1108</v>
      </c>
      <c r="J1536" t="s">
        <v>12546</v>
      </c>
      <c r="K1536" t="s">
        <v>12547</v>
      </c>
      <c r="L1536" t="s">
        <v>21</v>
      </c>
      <c r="M1536" t="s">
        <v>19177</v>
      </c>
      <c r="N1536" t="s">
        <v>97</v>
      </c>
      <c r="O1536" t="s">
        <v>937</v>
      </c>
      <c r="P1536" t="s">
        <v>12</v>
      </c>
    </row>
    <row r="1537">
      <c r="A1537">
        <f>HYPERLINK("http://bombeiros.sp.gov.br/hidrantes/03individual/468.html","468")</f>
      </c>
      <c r="B1537" t="s">
        <v>842</v>
      </c>
      <c r="C1537" t="s">
        <v>12426</v>
      </c>
      <c r="D1537" t="s">
        <v>12544</v>
      </c>
      <c r="E1537" t="s">
        <v>15</v>
      </c>
      <c r="F1537" t="s">
        <v>12548</v>
      </c>
      <c r="G1537" t="s">
        <v>18117</v>
      </c>
      <c r="H1537" t="s">
        <v>1107</v>
      </c>
      <c r="I1537" t="s">
        <v>1108</v>
      </c>
      <c r="J1537" t="s">
        <v>12549</v>
      </c>
      <c r="K1537" t="s">
        <v>12550</v>
      </c>
      <c r="L1537" t="s">
        <v>21</v>
      </c>
      <c r="M1537" t="s">
        <v>19177</v>
      </c>
      <c r="N1537" t="s">
        <v>97</v>
      </c>
      <c r="O1537" t="s">
        <v>937</v>
      </c>
      <c r="P1537" t="s">
        <v>12</v>
      </c>
    </row>
    <row r="1538">
      <c r="A1538">
        <f>HYPERLINK("http://bombeiros.sp.gov.br/hidrantes/03individual/469.html","469")</f>
      </c>
      <c r="B1538" t="s">
        <v>842</v>
      </c>
      <c r="C1538" t="s">
        <v>12426</v>
      </c>
      <c r="D1538" t="s">
        <v>12544</v>
      </c>
      <c r="E1538" t="s">
        <v>15</v>
      </c>
      <c r="F1538" t="s">
        <v>12551</v>
      </c>
      <c r="G1538" t="s">
        <v>18264</v>
      </c>
      <c r="H1538" t="s">
        <v>1112</v>
      </c>
      <c r="I1538" t="s">
        <v>1108</v>
      </c>
      <c r="J1538" t="s">
        <v>12552</v>
      </c>
      <c r="K1538" t="s">
        <v>12553</v>
      </c>
      <c r="L1538" t="s">
        <v>21</v>
      </c>
      <c r="M1538" t="s">
        <v>19177</v>
      </c>
      <c r="N1538" t="s">
        <v>97</v>
      </c>
      <c r="O1538" t="s">
        <v>937</v>
      </c>
      <c r="P1538" t="s">
        <v>12</v>
      </c>
    </row>
    <row r="1539">
      <c r="A1539">
        <f>HYPERLINK("http://bombeiros.sp.gov.br/hidrantes/03individual/494.html","494")</f>
      </c>
      <c r="B1539" t="s">
        <v>842</v>
      </c>
      <c r="C1539" t="s">
        <v>12426</v>
      </c>
      <c r="D1539" t="s">
        <v>12544</v>
      </c>
      <c r="E1539" t="s">
        <v>15</v>
      </c>
      <c r="F1539" t="s">
        <v>12557</v>
      </c>
      <c r="G1539" t="s">
        <v>18117</v>
      </c>
      <c r="H1539" t="s">
        <v>1107</v>
      </c>
      <c r="I1539" t="s">
        <v>1108</v>
      </c>
      <c r="J1539" t="s">
        <v>12558</v>
      </c>
      <c r="K1539" t="s">
        <v>12559</v>
      </c>
      <c r="L1539" t="s">
        <v>21</v>
      </c>
      <c r="M1539" t="s">
        <v>19177</v>
      </c>
      <c r="N1539" t="s">
        <v>97</v>
      </c>
      <c r="O1539" t="s">
        <v>937</v>
      </c>
      <c r="P1539" t="s">
        <v>12</v>
      </c>
    </row>
    <row r="1540">
      <c r="A1540">
        <f>HYPERLINK("http://bombeiros.sp.gov.br/hidrantes/03individual/3815.html","3815")</f>
      </c>
      <c r="B1540" t="s">
        <v>842</v>
      </c>
      <c r="C1540" t="s">
        <v>12426</v>
      </c>
      <c r="D1540" t="s">
        <v>12544</v>
      </c>
      <c r="E1540" t="s">
        <v>15</v>
      </c>
      <c r="F1540" t="s">
        <v>12563</v>
      </c>
      <c r="G1540" t="s">
        <v>18264</v>
      </c>
      <c r="H1540" t="s">
        <v>1112</v>
      </c>
      <c r="I1540" t="s">
        <v>1108</v>
      </c>
      <c r="J1540" t="s">
        <v>16660</v>
      </c>
      <c r="K1540" t="s">
        <v>16661</v>
      </c>
      <c r="L1540" t="s">
        <v>21</v>
      </c>
      <c r="M1540" t="s">
        <v>19177</v>
      </c>
      <c r="N1540" t="s">
        <v>97</v>
      </c>
      <c r="O1540" t="s">
        <v>937</v>
      </c>
      <c r="P1540" t="s">
        <v>12</v>
      </c>
    </row>
    <row r="1541">
      <c r="A1541">
        <f>HYPERLINK("http://bombeiros.sp.gov.br/hidrantes/03individual/3911.html","3911")</f>
      </c>
      <c r="B1541" t="s">
        <v>842</v>
      </c>
      <c r="C1541" t="s">
        <v>12426</v>
      </c>
      <c r="D1541" t="s">
        <v>12544</v>
      </c>
      <c r="E1541" t="s">
        <v>15</v>
      </c>
      <c r="F1541" t="s">
        <v>12572</v>
      </c>
      <c r="G1541" t="s">
        <v>18264</v>
      </c>
      <c r="H1541" t="s">
        <v>1112</v>
      </c>
      <c r="I1541" t="s">
        <v>1108</v>
      </c>
      <c r="J1541" t="s">
        <v>12573</v>
      </c>
      <c r="K1541" t="s">
        <v>12574</v>
      </c>
      <c r="L1541" t="s">
        <v>21</v>
      </c>
      <c r="M1541" t="s">
        <v>19177</v>
      </c>
      <c r="N1541" t="s">
        <v>97</v>
      </c>
      <c r="O1541" t="s">
        <v>937</v>
      </c>
      <c r="P1541" t="s">
        <v>12</v>
      </c>
    </row>
    <row r="1542">
      <c r="A1542">
        <f>HYPERLINK("http://bombeiros.sp.gov.br/hidrantes/03individual/27300.html","27300")</f>
      </c>
      <c r="B1542" t="s">
        <v>842</v>
      </c>
      <c r="C1542" t="s">
        <v>12426</v>
      </c>
      <c r="D1542" t="s">
        <v>12544</v>
      </c>
      <c r="E1542" t="s">
        <v>15</v>
      </c>
      <c r="F1542" t="s">
        <v>17105</v>
      </c>
      <c r="G1542" t="s">
        <v>18214</v>
      </c>
      <c r="H1542" t="s">
        <v>1112</v>
      </c>
      <c r="I1542" t="s">
        <v>1108</v>
      </c>
      <c r="J1542" t="s">
        <v>17106</v>
      </c>
      <c r="K1542" t="s">
        <v>17107</v>
      </c>
      <c r="L1542" t="s">
        <v>21</v>
      </c>
      <c r="M1542" t="s">
        <v>19177</v>
      </c>
      <c r="N1542" t="s">
        <v>97</v>
      </c>
      <c r="O1542" t="s">
        <v>937</v>
      </c>
      <c r="P1542" t="s">
        <v>12</v>
      </c>
    </row>
    <row r="1543">
      <c r="A1543">
        <f>HYPERLINK("http://bombeiros.sp.gov.br/hidrantes/03individual/445.html","445")</f>
      </c>
      <c r="B1543" t="s">
        <v>842</v>
      </c>
      <c r="C1543" t="s">
        <v>12426</v>
      </c>
      <c r="D1543" t="s">
        <v>12584</v>
      </c>
      <c r="E1543" t="s">
        <v>64</v>
      </c>
      <c r="F1543" t="s">
        <v>12585</v>
      </c>
      <c r="G1543" t="s">
        <v>18117</v>
      </c>
      <c r="H1543" t="s">
        <v>1107</v>
      </c>
      <c r="I1543" t="s">
        <v>1108</v>
      </c>
      <c r="J1543" t="s">
        <v>12586</v>
      </c>
      <c r="K1543" t="s">
        <v>12587</v>
      </c>
      <c r="L1543" t="s">
        <v>36</v>
      </c>
      <c r="M1543" t="s">
        <v>19177</v>
      </c>
      <c r="N1543" t="s">
        <v>97</v>
      </c>
      <c r="O1543" t="s">
        <v>937</v>
      </c>
      <c r="P1543" t="s">
        <v>12</v>
      </c>
    </row>
    <row r="1544">
      <c r="A1544">
        <f>HYPERLINK("http://bombeiros.sp.gov.br/hidrantes/03individual/423.html","423")</f>
      </c>
      <c r="B1544" t="s">
        <v>842</v>
      </c>
      <c r="C1544" t="s">
        <v>12426</v>
      </c>
      <c r="D1544" t="s">
        <v>12584</v>
      </c>
      <c r="E1544" t="s">
        <v>15</v>
      </c>
      <c r="F1544" t="s">
        <v>12597</v>
      </c>
      <c r="G1544" t="s">
        <v>18264</v>
      </c>
      <c r="H1544" t="s">
        <v>1112</v>
      </c>
      <c r="I1544" t="s">
        <v>1108</v>
      </c>
      <c r="J1544" t="s">
        <v>12598</v>
      </c>
      <c r="K1544" t="s">
        <v>12599</v>
      </c>
      <c r="L1544" t="s">
        <v>21</v>
      </c>
      <c r="M1544" t="s">
        <v>19177</v>
      </c>
      <c r="N1544" t="s">
        <v>97</v>
      </c>
      <c r="O1544" t="s">
        <v>937</v>
      </c>
      <c r="P1544" t="s">
        <v>12</v>
      </c>
    </row>
    <row r="1545">
      <c r="A1545">
        <f>HYPERLINK("http://bombeiros.sp.gov.br/hidrantes/03individual/426.html","426")</f>
      </c>
      <c r="B1545" t="s">
        <v>842</v>
      </c>
      <c r="C1545" t="s">
        <v>12426</v>
      </c>
      <c r="D1545" t="s">
        <v>12584</v>
      </c>
      <c r="E1545" t="s">
        <v>15</v>
      </c>
      <c r="F1545" t="s">
        <v>12603</v>
      </c>
      <c r="G1545" t="s">
        <v>18167</v>
      </c>
      <c r="H1545" t="s">
        <v>1112</v>
      </c>
      <c r="I1545" t="s">
        <v>1108</v>
      </c>
      <c r="J1545" t="s">
        <v>12604</v>
      </c>
      <c r="K1545" t="s">
        <v>12605</v>
      </c>
      <c r="L1545" t="s">
        <v>21</v>
      </c>
      <c r="M1545" t="s">
        <v>19177</v>
      </c>
      <c r="N1545" t="s">
        <v>97</v>
      </c>
      <c r="O1545" t="s">
        <v>937</v>
      </c>
      <c r="P1545" t="s">
        <v>12</v>
      </c>
    </row>
    <row r="1546">
      <c r="A1546">
        <f>HYPERLINK("http://bombeiros.sp.gov.br/hidrantes/03individual/485.html","485")</f>
      </c>
      <c r="B1546" t="s">
        <v>842</v>
      </c>
      <c r="C1546" t="s">
        <v>12426</v>
      </c>
      <c r="D1546" t="s">
        <v>12584</v>
      </c>
      <c r="E1546" t="s">
        <v>15</v>
      </c>
      <c r="F1546" t="s">
        <v>12609</v>
      </c>
      <c r="G1546" t="s">
        <v>18264</v>
      </c>
      <c r="H1546" t="s">
        <v>1112</v>
      </c>
      <c r="I1546" t="s">
        <v>1108</v>
      </c>
      <c r="J1546" t="s">
        <v>12610</v>
      </c>
      <c r="K1546" t="s">
        <v>12611</v>
      </c>
      <c r="L1546" t="s">
        <v>21</v>
      </c>
      <c r="M1546" t="s">
        <v>19177</v>
      </c>
      <c r="N1546" t="s">
        <v>97</v>
      </c>
      <c r="O1546" t="s">
        <v>937</v>
      </c>
      <c r="P1546" t="s">
        <v>12</v>
      </c>
    </row>
    <row r="1547">
      <c r="A1547">
        <f>HYPERLINK("http://bombeiros.sp.gov.br/hidrantes/03individual/488.html","488")</f>
      </c>
      <c r="B1547" t="s">
        <v>842</v>
      </c>
      <c r="C1547" t="s">
        <v>12426</v>
      </c>
      <c r="D1547" t="s">
        <v>12584</v>
      </c>
      <c r="E1547" t="s">
        <v>15</v>
      </c>
      <c r="F1547" t="s">
        <v>12612</v>
      </c>
      <c r="G1547" t="s">
        <v>18384</v>
      </c>
      <c r="H1547" t="s">
        <v>1107</v>
      </c>
      <c r="I1547" t="s">
        <v>1108</v>
      </c>
      <c r="J1547" t="s">
        <v>12613</v>
      </c>
      <c r="K1547" t="s">
        <v>12614</v>
      </c>
      <c r="L1547" t="s">
        <v>21</v>
      </c>
      <c r="M1547" t="s">
        <v>19177</v>
      </c>
      <c r="N1547" t="s">
        <v>97</v>
      </c>
      <c r="O1547" t="s">
        <v>937</v>
      </c>
      <c r="P1547" t="s">
        <v>12</v>
      </c>
    </row>
    <row r="1548">
      <c r="A1548">
        <f>HYPERLINK("http://bombeiros.sp.gov.br/hidrantes/03individual/2311.html","2311")</f>
      </c>
      <c r="B1548" t="s">
        <v>842</v>
      </c>
      <c r="C1548" t="s">
        <v>12426</v>
      </c>
      <c r="D1548" t="s">
        <v>12584</v>
      </c>
      <c r="E1548" t="s">
        <v>15</v>
      </c>
      <c r="F1548" t="s">
        <v>12618</v>
      </c>
      <c r="G1548" t="s">
        <v>18130</v>
      </c>
      <c r="H1548" t="s">
        <v>1112</v>
      </c>
      <c r="I1548" t="s">
        <v>1108</v>
      </c>
      <c r="J1548" t="s">
        <v>12619</v>
      </c>
      <c r="K1548" t="s">
        <v>12620</v>
      </c>
      <c r="L1548" t="s">
        <v>21</v>
      </c>
      <c r="M1548" t="s">
        <v>19177</v>
      </c>
      <c r="N1548" t="s">
        <v>97</v>
      </c>
      <c r="O1548" t="s">
        <v>937</v>
      </c>
      <c r="P1548" t="s">
        <v>12</v>
      </c>
    </row>
    <row r="1549">
      <c r="A1549">
        <f>HYPERLINK("http://bombeiros.sp.gov.br/hidrantes/03individual/3882.html","3882")</f>
      </c>
      <c r="B1549" t="s">
        <v>842</v>
      </c>
      <c r="C1549" t="s">
        <v>12426</v>
      </c>
      <c r="D1549" t="s">
        <v>12584</v>
      </c>
      <c r="E1549" t="s">
        <v>15</v>
      </c>
      <c r="F1549" t="s">
        <v>12624</v>
      </c>
      <c r="G1549" t="s">
        <v>18117</v>
      </c>
      <c r="H1549" t="s">
        <v>1107</v>
      </c>
      <c r="I1549" t="s">
        <v>1108</v>
      </c>
      <c r="J1549" t="s">
        <v>12625</v>
      </c>
      <c r="K1549" t="s">
        <v>12626</v>
      </c>
      <c r="L1549" t="s">
        <v>21</v>
      </c>
      <c r="M1549" t="s">
        <v>19177</v>
      </c>
      <c r="N1549" t="s">
        <v>97</v>
      </c>
      <c r="O1549" t="s">
        <v>937</v>
      </c>
      <c r="P1549" t="s">
        <v>12</v>
      </c>
    </row>
    <row r="1550">
      <c r="A1550">
        <f>HYPERLINK("http://bombeiros.sp.gov.br/hidrantes/03individual/3921.html","3921")</f>
      </c>
      <c r="B1550" t="s">
        <v>842</v>
      </c>
      <c r="C1550" t="s">
        <v>12426</v>
      </c>
      <c r="D1550" t="s">
        <v>12584</v>
      </c>
      <c r="E1550" t="s">
        <v>15</v>
      </c>
      <c r="F1550" t="s">
        <v>12627</v>
      </c>
      <c r="G1550" t="s">
        <v>18270</v>
      </c>
      <c r="H1550" t="s">
        <v>1112</v>
      </c>
      <c r="I1550" t="s">
        <v>1108</v>
      </c>
      <c r="J1550" t="s">
        <v>12628</v>
      </c>
      <c r="K1550" t="s">
        <v>12629</v>
      </c>
      <c r="L1550" t="s">
        <v>21</v>
      </c>
      <c r="M1550" t="s">
        <v>19177</v>
      </c>
      <c r="N1550" t="s">
        <v>97</v>
      </c>
      <c r="O1550" t="s">
        <v>937</v>
      </c>
      <c r="P1550" t="s">
        <v>12</v>
      </c>
    </row>
    <row r="1551">
      <c r="A1551">
        <f>HYPERLINK("http://bombeiros.sp.gov.br/hidrantes/03individual/2432.html","2432")</f>
      </c>
      <c r="B1551" t="s">
        <v>842</v>
      </c>
      <c r="C1551" t="s">
        <v>907</v>
      </c>
      <c r="D1551" t="s">
        <v>908</v>
      </c>
      <c r="E1551" t="s">
        <v>64</v>
      </c>
      <c r="F1551" t="s">
        <v>12630</v>
      </c>
      <c r="G1551" t="s">
        <v>18115</v>
      </c>
      <c r="H1551" t="s">
        <v>1112</v>
      </c>
      <c r="I1551" t="s">
        <v>1108</v>
      </c>
      <c r="J1551" t="s">
        <v>12631</v>
      </c>
      <c r="K1551" t="s">
        <v>12632</v>
      </c>
      <c r="L1551" t="s">
        <v>21</v>
      </c>
      <c r="M1551" t="s">
        <v>19177</v>
      </c>
      <c r="N1551" t="s">
        <v>16376</v>
      </c>
      <c r="O1551" t="s">
        <v>16376</v>
      </c>
      <c r="P1551" t="s">
        <v>842</v>
      </c>
    </row>
    <row r="1552">
      <c r="A1552">
        <f>HYPERLINK("http://bombeiros.sp.gov.br/hidrantes/03individual/4119.html","4119")</f>
      </c>
      <c r="B1552" t="s">
        <v>842</v>
      </c>
      <c r="C1552" t="s">
        <v>907</v>
      </c>
      <c r="D1552" t="s">
        <v>908</v>
      </c>
      <c r="E1552" t="s">
        <v>64</v>
      </c>
      <c r="F1552" t="s">
        <v>12633</v>
      </c>
      <c r="G1552" t="s">
        <v>18519</v>
      </c>
      <c r="H1552" t="s">
        <v>1112</v>
      </c>
      <c r="I1552" t="s">
        <v>1108</v>
      </c>
      <c r="J1552" t="s">
        <v>12634</v>
      </c>
      <c r="K1552" t="s">
        <v>12635</v>
      </c>
      <c r="L1552" t="s">
        <v>36</v>
      </c>
      <c r="M1552" t="s">
        <v>19177</v>
      </c>
      <c r="N1552" t="s">
        <v>16376</v>
      </c>
      <c r="O1552" t="s">
        <v>16376</v>
      </c>
      <c r="P1552" t="s">
        <v>842</v>
      </c>
    </row>
    <row r="1553">
      <c r="A1553">
        <f>HYPERLINK("http://bombeiros.sp.gov.br/hidrantes/03individual/4120.html","4120")</f>
      </c>
      <c r="B1553" t="s">
        <v>842</v>
      </c>
      <c r="C1553" t="s">
        <v>907</v>
      </c>
      <c r="D1553" t="s">
        <v>908</v>
      </c>
      <c r="E1553" t="s">
        <v>64</v>
      </c>
      <c r="F1553" t="s">
        <v>12636</v>
      </c>
      <c r="G1553" t="s">
        <v>18115</v>
      </c>
      <c r="H1553" t="s">
        <v>1112</v>
      </c>
      <c r="I1553" t="s">
        <v>1108</v>
      </c>
      <c r="J1553" t="s">
        <v>12637</v>
      </c>
      <c r="K1553" t="s">
        <v>12638</v>
      </c>
      <c r="L1553" t="s">
        <v>21</v>
      </c>
      <c r="M1553" t="s">
        <v>19177</v>
      </c>
      <c r="N1553" t="s">
        <v>16376</v>
      </c>
      <c r="O1553" t="s">
        <v>16376</v>
      </c>
      <c r="P1553" t="s">
        <v>842</v>
      </c>
    </row>
    <row r="1554">
      <c r="A1554">
        <f>HYPERLINK("http://bombeiros.sp.gov.br/hidrantes/03individual/22018.html","22018")</f>
      </c>
      <c r="B1554" t="s">
        <v>842</v>
      </c>
      <c r="C1554" t="s">
        <v>907</v>
      </c>
      <c r="D1554" t="s">
        <v>908</v>
      </c>
      <c r="E1554" t="s">
        <v>64</v>
      </c>
      <c r="F1554" t="s">
        <v>12642</v>
      </c>
      <c r="G1554" t="s">
        <v>18492</v>
      </c>
      <c r="H1554" t="s">
        <v>1112</v>
      </c>
      <c r="I1554" t="s">
        <v>1108</v>
      </c>
      <c r="J1554" t="s">
        <v>12643</v>
      </c>
      <c r="K1554" t="s">
        <v>12644</v>
      </c>
      <c r="L1554" t="s">
        <v>21</v>
      </c>
      <c r="M1554" t="s">
        <v>19177</v>
      </c>
      <c r="N1554" t="s">
        <v>16376</v>
      </c>
      <c r="O1554" t="s">
        <v>16376</v>
      </c>
      <c r="P1554" t="s">
        <v>842</v>
      </c>
    </row>
    <row r="1555">
      <c r="A1555">
        <f>HYPERLINK("http://bombeiros.sp.gov.br/hidrantes/03individual/4125.html","4125")</f>
      </c>
      <c r="B1555" t="s">
        <v>842</v>
      </c>
      <c r="C1555" t="s">
        <v>907</v>
      </c>
      <c r="D1555" t="s">
        <v>908</v>
      </c>
      <c r="E1555" t="s">
        <v>15</v>
      </c>
      <c r="F1555" t="s">
        <v>12645</v>
      </c>
      <c r="G1555" t="s">
        <v>18056</v>
      </c>
      <c r="H1555" t="s">
        <v>1112</v>
      </c>
      <c r="I1555" t="s">
        <v>1108</v>
      </c>
      <c r="J1555" t="s">
        <v>12646</v>
      </c>
      <c r="K1555" t="s">
        <v>12647</v>
      </c>
      <c r="L1555" t="s">
        <v>21</v>
      </c>
      <c r="M1555" t="s">
        <v>19177</v>
      </c>
      <c r="N1555" t="s">
        <v>16376</v>
      </c>
      <c r="O1555" t="s">
        <v>16376</v>
      </c>
      <c r="P1555" t="s">
        <v>842</v>
      </c>
    </row>
    <row r="1556">
      <c r="A1556">
        <f>HYPERLINK("http://bombeiros.sp.gov.br/hidrantes/03individual/6663.html","6663")</f>
      </c>
      <c r="B1556" t="s">
        <v>842</v>
      </c>
      <c r="C1556" t="s">
        <v>907</v>
      </c>
      <c r="D1556" t="s">
        <v>908</v>
      </c>
      <c r="E1556" t="s">
        <v>15</v>
      </c>
      <c r="F1556" t="s">
        <v>12652</v>
      </c>
      <c r="G1556" t="s">
        <v>18513</v>
      </c>
      <c r="H1556" t="s">
        <v>1112</v>
      </c>
      <c r="I1556" t="s">
        <v>1108</v>
      </c>
      <c r="J1556" t="s">
        <v>12653</v>
      </c>
      <c r="K1556" t="s">
        <v>12654</v>
      </c>
      <c r="L1556" t="s">
        <v>21</v>
      </c>
      <c r="M1556" t="s">
        <v>19177</v>
      </c>
      <c r="N1556" t="s">
        <v>16376</v>
      </c>
      <c r="O1556" t="s">
        <v>16376</v>
      </c>
      <c r="P1556" t="s">
        <v>842</v>
      </c>
    </row>
    <row r="1557">
      <c r="A1557">
        <f>HYPERLINK("http://bombeiros.sp.gov.br/hidrantes/03individual/17892.html","17892")</f>
      </c>
      <c r="B1557" t="s">
        <v>842</v>
      </c>
      <c r="C1557" t="s">
        <v>907</v>
      </c>
      <c r="D1557" t="s">
        <v>908</v>
      </c>
      <c r="E1557" t="s">
        <v>15</v>
      </c>
      <c r="F1557" t="s">
        <v>12655</v>
      </c>
      <c r="G1557" t="s">
        <v>18513</v>
      </c>
      <c r="H1557" t="s">
        <v>1112</v>
      </c>
      <c r="I1557" t="s">
        <v>1108</v>
      </c>
      <c r="J1557" t="s">
        <v>12656</v>
      </c>
      <c r="K1557" t="s">
        <v>12657</v>
      </c>
      <c r="L1557" t="s">
        <v>21</v>
      </c>
      <c r="M1557" t="s">
        <v>19177</v>
      </c>
      <c r="N1557" t="s">
        <v>16376</v>
      </c>
      <c r="O1557" t="s">
        <v>16376</v>
      </c>
      <c r="P1557" t="s">
        <v>842</v>
      </c>
    </row>
    <row r="1558">
      <c r="A1558">
        <f>HYPERLINK("http://bombeiros.sp.gov.br/hidrantes/03individual/2490.html","2490")</f>
      </c>
      <c r="B1558" t="s">
        <v>842</v>
      </c>
      <c r="C1558" t="s">
        <v>907</v>
      </c>
      <c r="D1558" t="s">
        <v>920</v>
      </c>
      <c r="E1558" t="s">
        <v>15</v>
      </c>
      <c r="F1558" t="s">
        <v>12658</v>
      </c>
      <c r="G1558" t="s">
        <v>18055</v>
      </c>
      <c r="H1558" t="s">
        <v>1121</v>
      </c>
      <c r="I1558" t="s">
        <v>1117</v>
      </c>
      <c r="J1558" t="s">
        <v>12659</v>
      </c>
      <c r="K1558" t="s">
        <v>12660</v>
      </c>
      <c r="L1558" t="s">
        <v>21</v>
      </c>
      <c r="M1558" t="s">
        <v>19177</v>
      </c>
      <c r="N1558" t="s">
        <v>16376</v>
      </c>
      <c r="O1558" t="s">
        <v>16376</v>
      </c>
      <c r="P1558" t="s">
        <v>842</v>
      </c>
    </row>
    <row r="1559">
      <c r="A1559">
        <f>HYPERLINK("http://bombeiros.sp.gov.br/hidrantes/03individual/6741.html","6741")</f>
      </c>
      <c r="B1559" t="s">
        <v>842</v>
      </c>
      <c r="C1559" t="s">
        <v>907</v>
      </c>
      <c r="D1559" t="s">
        <v>920</v>
      </c>
      <c r="E1559" t="s">
        <v>15</v>
      </c>
      <c r="F1559" t="s">
        <v>12664</v>
      </c>
      <c r="G1559" t="s">
        <v>18055</v>
      </c>
      <c r="H1559" t="s">
        <v>1107</v>
      </c>
      <c r="I1559" t="s">
        <v>1108</v>
      </c>
      <c r="J1559" t="s">
        <v>12665</v>
      </c>
      <c r="K1559" t="s">
        <v>12666</v>
      </c>
      <c r="L1559" t="s">
        <v>21</v>
      </c>
      <c r="M1559" t="s">
        <v>19177</v>
      </c>
      <c r="N1559" t="s">
        <v>16376</v>
      </c>
      <c r="O1559" t="s">
        <v>16376</v>
      </c>
      <c r="P1559" t="s">
        <v>842</v>
      </c>
    </row>
    <row r="1560">
      <c r="A1560">
        <f>HYPERLINK("http://bombeiros.sp.gov.br/hidrantes/03individual/2393.html","2393")</f>
      </c>
      <c r="B1560" t="s">
        <v>842</v>
      </c>
      <c r="C1560" t="s">
        <v>907</v>
      </c>
      <c r="D1560" t="s">
        <v>907</v>
      </c>
      <c r="E1560" t="s">
        <v>15</v>
      </c>
      <c r="F1560" t="s">
        <v>12670</v>
      </c>
      <c r="G1560" t="s">
        <v>18168</v>
      </c>
      <c r="H1560" t="s">
        <v>1112</v>
      </c>
      <c r="I1560" t="s">
        <v>1108</v>
      </c>
      <c r="J1560" t="s">
        <v>12671</v>
      </c>
      <c r="K1560" t="s">
        <v>12672</v>
      </c>
      <c r="L1560" t="s">
        <v>21</v>
      </c>
      <c r="M1560" t="s">
        <v>19177</v>
      </c>
      <c r="N1560" t="s">
        <v>16376</v>
      </c>
      <c r="O1560" t="s">
        <v>16376</v>
      </c>
      <c r="P1560" t="s">
        <v>842</v>
      </c>
    </row>
    <row r="1561">
      <c r="A1561">
        <f>HYPERLINK("http://bombeiros.sp.gov.br/hidrantes/03individual/6664.html","6664")</f>
      </c>
      <c r="B1561" t="s">
        <v>842</v>
      </c>
      <c r="C1561" t="s">
        <v>907</v>
      </c>
      <c r="D1561" t="s">
        <v>932</v>
      </c>
      <c r="E1561" t="s">
        <v>64</v>
      </c>
      <c r="F1561" t="s">
        <v>12676</v>
      </c>
      <c r="G1561" t="s">
        <v>18150</v>
      </c>
      <c r="H1561" t="s">
        <v>1112</v>
      </c>
      <c r="I1561" t="s">
        <v>1108</v>
      </c>
      <c r="J1561" t="s">
        <v>12677</v>
      </c>
      <c r="K1561" t="s">
        <v>12678</v>
      </c>
      <c r="L1561" t="s">
        <v>21</v>
      </c>
      <c r="M1561" t="s">
        <v>19177</v>
      </c>
      <c r="N1561" t="s">
        <v>16376</v>
      </c>
      <c r="O1561" t="s">
        <v>16376</v>
      </c>
      <c r="P1561" t="s">
        <v>842</v>
      </c>
    </row>
    <row r="1562">
      <c r="A1562">
        <f>HYPERLINK("http://bombeiros.sp.gov.br/hidrantes/03individual/6665.html","6665")</f>
      </c>
      <c r="B1562" t="s">
        <v>842</v>
      </c>
      <c r="C1562" t="s">
        <v>907</v>
      </c>
      <c r="D1562" t="s">
        <v>932</v>
      </c>
      <c r="E1562" t="s">
        <v>64</v>
      </c>
      <c r="F1562" t="s">
        <v>12679</v>
      </c>
      <c r="G1562" t="s">
        <v>18150</v>
      </c>
      <c r="H1562" t="s">
        <v>1112</v>
      </c>
      <c r="I1562" t="s">
        <v>1108</v>
      </c>
      <c r="J1562" t="s">
        <v>12680</v>
      </c>
      <c r="K1562" t="s">
        <v>12681</v>
      </c>
      <c r="L1562" t="s">
        <v>21</v>
      </c>
      <c r="M1562" t="s">
        <v>19177</v>
      </c>
      <c r="N1562" t="s">
        <v>16376</v>
      </c>
      <c r="O1562" t="s">
        <v>16376</v>
      </c>
      <c r="P1562" t="s">
        <v>842</v>
      </c>
    </row>
    <row r="1563">
      <c r="A1563">
        <f>HYPERLINK("http://bombeiros.sp.gov.br/hidrantes/03individual/6666.html","6666")</f>
      </c>
      <c r="B1563" t="s">
        <v>842</v>
      </c>
      <c r="C1563" t="s">
        <v>907</v>
      </c>
      <c r="D1563" t="s">
        <v>932</v>
      </c>
      <c r="E1563" t="s">
        <v>64</v>
      </c>
      <c r="F1563" t="s">
        <v>12682</v>
      </c>
      <c r="G1563" t="s">
        <v>18150</v>
      </c>
      <c r="H1563" t="s">
        <v>1112</v>
      </c>
      <c r="I1563" t="s">
        <v>1108</v>
      </c>
      <c r="J1563" t="s">
        <v>12683</v>
      </c>
      <c r="K1563" t="s">
        <v>12684</v>
      </c>
      <c r="L1563" t="s">
        <v>21</v>
      </c>
      <c r="M1563" t="s">
        <v>19177</v>
      </c>
      <c r="N1563" t="s">
        <v>16376</v>
      </c>
      <c r="O1563" t="s">
        <v>16376</v>
      </c>
      <c r="P1563" t="s">
        <v>842</v>
      </c>
    </row>
    <row r="1564">
      <c r="A1564">
        <f>HYPERLINK("http://bombeiros.sp.gov.br/hidrantes/03individual/6667.html","6667")</f>
      </c>
      <c r="B1564" t="s">
        <v>842</v>
      </c>
      <c r="C1564" t="s">
        <v>907</v>
      </c>
      <c r="D1564" t="s">
        <v>932</v>
      </c>
      <c r="E1564" t="s">
        <v>64</v>
      </c>
      <c r="F1564" t="s">
        <v>12685</v>
      </c>
      <c r="G1564" t="s">
        <v>18150</v>
      </c>
      <c r="H1564" t="s">
        <v>1112</v>
      </c>
      <c r="I1564" t="s">
        <v>1108</v>
      </c>
      <c r="J1564" t="s">
        <v>12686</v>
      </c>
      <c r="K1564" t="s">
        <v>12687</v>
      </c>
      <c r="L1564" t="s">
        <v>21</v>
      </c>
      <c r="M1564" t="s">
        <v>19177</v>
      </c>
      <c r="N1564" t="s">
        <v>16376</v>
      </c>
      <c r="O1564" t="s">
        <v>16376</v>
      </c>
      <c r="P1564" t="s">
        <v>842</v>
      </c>
    </row>
    <row r="1565">
      <c r="A1565">
        <f>HYPERLINK("http://bombeiros.sp.gov.br/hidrantes/03individual/6668.html","6668")</f>
      </c>
      <c r="B1565" t="s">
        <v>842</v>
      </c>
      <c r="C1565" t="s">
        <v>907</v>
      </c>
      <c r="D1565" t="s">
        <v>932</v>
      </c>
      <c r="E1565" t="s">
        <v>64</v>
      </c>
      <c r="F1565" t="s">
        <v>12688</v>
      </c>
      <c r="G1565" t="s">
        <v>18150</v>
      </c>
      <c r="H1565" t="s">
        <v>1112</v>
      </c>
      <c r="I1565" t="s">
        <v>1108</v>
      </c>
      <c r="J1565" t="s">
        <v>12689</v>
      </c>
      <c r="K1565" t="s">
        <v>12690</v>
      </c>
      <c r="L1565" t="s">
        <v>21</v>
      </c>
      <c r="M1565" t="s">
        <v>19177</v>
      </c>
      <c r="N1565" t="s">
        <v>16376</v>
      </c>
      <c r="O1565" t="s">
        <v>16376</v>
      </c>
      <c r="P1565" t="s">
        <v>842</v>
      </c>
    </row>
    <row r="1566">
      <c r="A1566">
        <f>HYPERLINK("http://bombeiros.sp.gov.br/hidrantes/03individual/6670.html","6670")</f>
      </c>
      <c r="B1566" t="s">
        <v>842</v>
      </c>
      <c r="C1566" t="s">
        <v>907</v>
      </c>
      <c r="D1566" t="s">
        <v>932</v>
      </c>
      <c r="E1566" t="s">
        <v>64</v>
      </c>
      <c r="F1566" t="s">
        <v>12694</v>
      </c>
      <c r="G1566" t="s">
        <v>18154</v>
      </c>
      <c r="H1566" t="s">
        <v>1112</v>
      </c>
      <c r="I1566" t="s">
        <v>1108</v>
      </c>
      <c r="J1566" t="s">
        <v>12695</v>
      </c>
      <c r="K1566" t="s">
        <v>12696</v>
      </c>
      <c r="L1566" t="s">
        <v>21</v>
      </c>
      <c r="M1566" t="s">
        <v>19177</v>
      </c>
      <c r="N1566" t="s">
        <v>16376</v>
      </c>
      <c r="O1566" t="s">
        <v>16376</v>
      </c>
      <c r="P1566" t="s">
        <v>842</v>
      </c>
    </row>
    <row r="1567">
      <c r="A1567">
        <f>HYPERLINK("http://bombeiros.sp.gov.br/hidrantes/03individual/14967.html","14967")</f>
      </c>
      <c r="B1567" t="s">
        <v>842</v>
      </c>
      <c r="C1567" t="s">
        <v>907</v>
      </c>
      <c r="D1567" t="s">
        <v>932</v>
      </c>
      <c r="E1567" t="s">
        <v>64</v>
      </c>
      <c r="F1567" t="s">
        <v>12700</v>
      </c>
      <c r="G1567" t="s">
        <v>18150</v>
      </c>
      <c r="H1567" t="s">
        <v>1112</v>
      </c>
      <c r="I1567" t="s">
        <v>1108</v>
      </c>
      <c r="J1567" t="s">
        <v>12701</v>
      </c>
      <c r="K1567" t="s">
        <v>12702</v>
      </c>
      <c r="L1567" t="s">
        <v>21</v>
      </c>
      <c r="M1567" t="s">
        <v>19177</v>
      </c>
      <c r="N1567" t="s">
        <v>16376</v>
      </c>
      <c r="O1567" t="s">
        <v>16376</v>
      </c>
      <c r="P1567" t="s">
        <v>842</v>
      </c>
    </row>
    <row r="1568">
      <c r="A1568">
        <f>HYPERLINK("http://bombeiros.sp.gov.br/hidrantes/03individual/4404.html","4404")</f>
      </c>
      <c r="B1568" t="s">
        <v>842</v>
      </c>
      <c r="C1568" t="s">
        <v>907</v>
      </c>
      <c r="D1568" t="s">
        <v>932</v>
      </c>
      <c r="E1568" t="s">
        <v>15</v>
      </c>
      <c r="F1568" t="s">
        <v>12709</v>
      </c>
      <c r="G1568" t="s">
        <v>18050</v>
      </c>
      <c r="H1568" t="s">
        <v>1112</v>
      </c>
      <c r="I1568" t="s">
        <v>1108</v>
      </c>
      <c r="J1568" t="s">
        <v>12710</v>
      </c>
      <c r="K1568" t="s">
        <v>12711</v>
      </c>
      <c r="L1568" t="s">
        <v>36</v>
      </c>
      <c r="M1568" t="s">
        <v>19177</v>
      </c>
      <c r="N1568" t="s">
        <v>16376</v>
      </c>
      <c r="O1568" t="s">
        <v>16376</v>
      </c>
      <c r="P1568" t="s">
        <v>842</v>
      </c>
    </row>
    <row r="1569">
      <c r="A1569">
        <f>HYPERLINK("http://bombeiros.sp.gov.br/hidrantes/03individual/6678.html","6678")</f>
      </c>
      <c r="B1569" t="s">
        <v>842</v>
      </c>
      <c r="C1569" t="s">
        <v>907</v>
      </c>
      <c r="D1569" t="s">
        <v>932</v>
      </c>
      <c r="E1569" t="s">
        <v>15</v>
      </c>
      <c r="F1569" t="s">
        <v>12712</v>
      </c>
      <c r="G1569" t="s">
        <v>18504</v>
      </c>
      <c r="H1569" t="s">
        <v>1112</v>
      </c>
      <c r="I1569" t="s">
        <v>1108</v>
      </c>
      <c r="J1569" t="s">
        <v>12713</v>
      </c>
      <c r="K1569" t="s">
        <v>12714</v>
      </c>
      <c r="L1569" t="s">
        <v>21</v>
      </c>
      <c r="M1569" t="s">
        <v>19177</v>
      </c>
      <c r="N1569" t="s">
        <v>16376</v>
      </c>
      <c r="O1569" t="s">
        <v>16376</v>
      </c>
      <c r="P1569" t="s">
        <v>842</v>
      </c>
    </row>
    <row r="1570">
      <c r="A1570">
        <f>HYPERLINK("http://bombeiros.sp.gov.br/hidrantes/03individual/17859.html","17859")</f>
      </c>
      <c r="B1570" t="s">
        <v>842</v>
      </c>
      <c r="C1570" t="s">
        <v>907</v>
      </c>
      <c r="D1570" t="s">
        <v>932</v>
      </c>
      <c r="E1570" t="s">
        <v>15</v>
      </c>
      <c r="F1570" t="s">
        <v>12715</v>
      </c>
      <c r="G1570" t="s">
        <v>18519</v>
      </c>
      <c r="H1570" t="s">
        <v>1112</v>
      </c>
      <c r="I1570" t="s">
        <v>1108</v>
      </c>
      <c r="J1570" t="s">
        <v>12716</v>
      </c>
      <c r="K1570" t="s">
        <v>12717</v>
      </c>
      <c r="L1570" t="s">
        <v>21</v>
      </c>
      <c r="M1570" t="s">
        <v>19177</v>
      </c>
      <c r="N1570" t="s">
        <v>16376</v>
      </c>
      <c r="O1570" t="s">
        <v>16376</v>
      </c>
      <c r="P1570" t="s">
        <v>842</v>
      </c>
    </row>
    <row r="1571">
      <c r="A1571">
        <f>HYPERLINK("http://bombeiros.sp.gov.br/hidrantes/03individual/79.html","79")</f>
      </c>
      <c r="B1571" t="s">
        <v>842</v>
      </c>
      <c r="C1571" t="s">
        <v>937</v>
      </c>
      <c r="D1571" t="s">
        <v>938</v>
      </c>
      <c r="E1571" t="s">
        <v>15</v>
      </c>
      <c r="F1571" t="s">
        <v>12721</v>
      </c>
      <c r="G1571" t="s">
        <v>18085</v>
      </c>
      <c r="H1571" t="s">
        <v>1174</v>
      </c>
      <c r="I1571" t="s">
        <v>1117</v>
      </c>
      <c r="J1571" t="s">
        <v>12722</v>
      </c>
      <c r="K1571" t="s">
        <v>12723</v>
      </c>
      <c r="L1571" t="s">
        <v>21</v>
      </c>
      <c r="M1571" t="s">
        <v>19177</v>
      </c>
      <c r="N1571" t="s">
        <v>97</v>
      </c>
      <c r="O1571" t="s">
        <v>937</v>
      </c>
      <c r="P1571" t="s">
        <v>12</v>
      </c>
    </row>
    <row r="1572">
      <c r="A1572">
        <f>HYPERLINK("http://bombeiros.sp.gov.br/hidrantes/03individual/217.html","217")</f>
      </c>
      <c r="B1572" t="s">
        <v>842</v>
      </c>
      <c r="C1572" t="s">
        <v>937</v>
      </c>
      <c r="D1572" t="s">
        <v>938</v>
      </c>
      <c r="E1572" t="s">
        <v>15</v>
      </c>
      <c r="F1572" t="s">
        <v>12733</v>
      </c>
      <c r="G1572" t="s">
        <v>18052</v>
      </c>
      <c r="H1572" t="s">
        <v>1107</v>
      </c>
      <c r="I1572" t="s">
        <v>1108</v>
      </c>
      <c r="J1572" t="s">
        <v>12734</v>
      </c>
      <c r="K1572" t="s">
        <v>12735</v>
      </c>
      <c r="L1572" t="s">
        <v>21</v>
      </c>
      <c r="M1572" t="s">
        <v>19177</v>
      </c>
      <c r="N1572" t="s">
        <v>97</v>
      </c>
      <c r="O1572" t="s">
        <v>937</v>
      </c>
      <c r="P1572" t="s">
        <v>12</v>
      </c>
    </row>
    <row r="1573">
      <c r="A1573">
        <f>HYPERLINK("http://bombeiros.sp.gov.br/hidrantes/03individual/1835.html","1835")</f>
      </c>
      <c r="B1573" t="s">
        <v>842</v>
      </c>
      <c r="C1573" t="s">
        <v>937</v>
      </c>
      <c r="D1573" t="s">
        <v>937</v>
      </c>
      <c r="E1573" t="s">
        <v>64</v>
      </c>
      <c r="F1573" t="s">
        <v>12751</v>
      </c>
      <c r="G1573" t="s">
        <v>18068</v>
      </c>
      <c r="H1573" t="s">
        <v>1107</v>
      </c>
      <c r="I1573" t="s">
        <v>1108</v>
      </c>
      <c r="J1573" t="s">
        <v>12752</v>
      </c>
      <c r="K1573" t="s">
        <v>12753</v>
      </c>
      <c r="L1573" t="s">
        <v>36</v>
      </c>
      <c r="M1573" t="s">
        <v>19177</v>
      </c>
      <c r="N1573" t="s">
        <v>97</v>
      </c>
      <c r="O1573" t="s">
        <v>937</v>
      </c>
      <c r="P1573" t="s">
        <v>12</v>
      </c>
    </row>
    <row r="1574">
      <c r="A1574">
        <f>HYPERLINK("http://bombeiros.sp.gov.br/hidrantes/03individual/3016.html","3016")</f>
      </c>
      <c r="B1574" t="s">
        <v>842</v>
      </c>
      <c r="C1574" t="s">
        <v>937</v>
      </c>
      <c r="D1574" t="s">
        <v>937</v>
      </c>
      <c r="E1574" t="s">
        <v>64</v>
      </c>
      <c r="F1574" t="s">
        <v>12757</v>
      </c>
      <c r="G1574" t="s">
        <v>18170</v>
      </c>
      <c r="H1574" t="s">
        <v>1112</v>
      </c>
      <c r="I1574" t="s">
        <v>1108</v>
      </c>
      <c r="J1574" t="s">
        <v>12758</v>
      </c>
      <c r="K1574" t="s">
        <v>12759</v>
      </c>
      <c r="L1574" t="s">
        <v>36</v>
      </c>
      <c r="M1574" t="s">
        <v>19177</v>
      </c>
      <c r="N1574" t="s">
        <v>97</v>
      </c>
      <c r="O1574" t="s">
        <v>937</v>
      </c>
      <c r="P1574" t="s">
        <v>12</v>
      </c>
    </row>
    <row r="1575">
      <c r="A1575">
        <f>HYPERLINK("http://bombeiros.sp.gov.br/hidrantes/03individual/83.html","83")</f>
      </c>
      <c r="B1575" t="s">
        <v>842</v>
      </c>
      <c r="C1575" t="s">
        <v>937</v>
      </c>
      <c r="D1575" t="s">
        <v>937</v>
      </c>
      <c r="E1575" t="s">
        <v>15</v>
      </c>
      <c r="F1575" t="s">
        <v>12769</v>
      </c>
      <c r="G1575" t="s">
        <v>18169</v>
      </c>
      <c r="H1575" t="s">
        <v>1107</v>
      </c>
      <c r="I1575" t="s">
        <v>1108</v>
      </c>
      <c r="J1575" t="s">
        <v>12770</v>
      </c>
      <c r="K1575" t="s">
        <v>12771</v>
      </c>
      <c r="L1575" t="s">
        <v>21</v>
      </c>
      <c r="M1575" t="s">
        <v>19177</v>
      </c>
      <c r="N1575" t="s">
        <v>97</v>
      </c>
      <c r="O1575" t="s">
        <v>937</v>
      </c>
      <c r="P1575" t="s">
        <v>12</v>
      </c>
    </row>
    <row r="1576">
      <c r="A1576">
        <f>HYPERLINK("http://bombeiros.sp.gov.br/hidrantes/03individual/274.html","274")</f>
      </c>
      <c r="B1576" t="s">
        <v>842</v>
      </c>
      <c r="C1576" t="s">
        <v>937</v>
      </c>
      <c r="D1576" t="s">
        <v>937</v>
      </c>
      <c r="E1576" t="s">
        <v>15</v>
      </c>
      <c r="F1576" t="s">
        <v>12793</v>
      </c>
      <c r="G1576" t="s">
        <v>18168</v>
      </c>
      <c r="H1576" t="s">
        <v>1112</v>
      </c>
      <c r="I1576" t="s">
        <v>1108</v>
      </c>
      <c r="J1576" t="s">
        <v>12794</v>
      </c>
      <c r="K1576" t="s">
        <v>12795</v>
      </c>
      <c r="L1576" t="s">
        <v>21</v>
      </c>
      <c r="M1576" t="s">
        <v>19177</v>
      </c>
      <c r="N1576" t="s">
        <v>97</v>
      </c>
      <c r="O1576" t="s">
        <v>937</v>
      </c>
      <c r="P1576" t="s">
        <v>12</v>
      </c>
    </row>
    <row r="1577">
      <c r="A1577">
        <f>HYPERLINK("http://bombeiros.sp.gov.br/hidrantes/03individual/2302.html","2302")</f>
      </c>
      <c r="B1577" t="s">
        <v>842</v>
      </c>
      <c r="C1577" t="s">
        <v>937</v>
      </c>
      <c r="D1577" t="s">
        <v>937</v>
      </c>
      <c r="E1577" t="s">
        <v>15</v>
      </c>
      <c r="F1577" t="s">
        <v>12802</v>
      </c>
      <c r="G1577" t="s">
        <v>18170</v>
      </c>
      <c r="H1577" t="s">
        <v>1107</v>
      </c>
      <c r="I1577" t="s">
        <v>1108</v>
      </c>
      <c r="J1577" t="s">
        <v>12803</v>
      </c>
      <c r="K1577" t="s">
        <v>12804</v>
      </c>
      <c r="L1577" t="s">
        <v>21</v>
      </c>
      <c r="M1577" t="s">
        <v>19177</v>
      </c>
      <c r="N1577" t="s">
        <v>97</v>
      </c>
      <c r="O1577" t="s">
        <v>937</v>
      </c>
      <c r="P1577" t="s">
        <v>12</v>
      </c>
    </row>
    <row r="1578">
      <c r="A1578">
        <f>HYPERLINK("http://bombeiros.sp.gov.br/hidrantes/03individual/1837.html","1837")</f>
      </c>
      <c r="B1578" t="s">
        <v>842</v>
      </c>
      <c r="C1578" t="s">
        <v>937</v>
      </c>
      <c r="D1578" t="s">
        <v>945</v>
      </c>
      <c r="E1578" t="s">
        <v>15</v>
      </c>
      <c r="F1578" t="s">
        <v>12832</v>
      </c>
      <c r="G1578" t="s">
        <v>18170</v>
      </c>
      <c r="H1578" t="s">
        <v>1112</v>
      </c>
      <c r="I1578" t="s">
        <v>1108</v>
      </c>
      <c r="J1578" t="s">
        <v>12833</v>
      </c>
      <c r="K1578" t="s">
        <v>12834</v>
      </c>
      <c r="L1578" t="s">
        <v>21</v>
      </c>
      <c r="M1578" t="s">
        <v>19177</v>
      </c>
      <c r="N1578" t="s">
        <v>97</v>
      </c>
      <c r="O1578" t="s">
        <v>937</v>
      </c>
      <c r="P1578" t="s">
        <v>12</v>
      </c>
    </row>
    <row r="1579">
      <c r="A1579">
        <f>HYPERLINK("http://bombeiros.sp.gov.br/hidrantes/03individual/3692.html","3692")</f>
      </c>
      <c r="B1579" t="s">
        <v>842</v>
      </c>
      <c r="C1579" t="s">
        <v>937</v>
      </c>
      <c r="D1579" t="s">
        <v>12838</v>
      </c>
      <c r="E1579" t="s">
        <v>64</v>
      </c>
      <c r="F1579" t="s">
        <v>12842</v>
      </c>
      <c r="G1579" t="s">
        <v>18110</v>
      </c>
      <c r="H1579" t="s">
        <v>1112</v>
      </c>
      <c r="I1579" t="s">
        <v>1108</v>
      </c>
      <c r="J1579" t="s">
        <v>12843</v>
      </c>
      <c r="K1579" t="s">
        <v>12844</v>
      </c>
      <c r="L1579" t="s">
        <v>21</v>
      </c>
      <c r="M1579" t="s">
        <v>19177</v>
      </c>
      <c r="N1579" t="s">
        <v>97</v>
      </c>
      <c r="O1579" t="s">
        <v>937</v>
      </c>
      <c r="P1579" t="s">
        <v>12</v>
      </c>
    </row>
    <row r="1580">
      <c r="A1580">
        <f>HYPERLINK("http://bombeiros.sp.gov.br/hidrantes/03individual/3709.html","3709")</f>
      </c>
      <c r="B1580" t="s">
        <v>842</v>
      </c>
      <c r="C1580" t="s">
        <v>937</v>
      </c>
      <c r="D1580" t="s">
        <v>12838</v>
      </c>
      <c r="E1580" t="s">
        <v>64</v>
      </c>
      <c r="F1580" t="s">
        <v>12857</v>
      </c>
      <c r="G1580" t="s">
        <v>18166</v>
      </c>
      <c r="H1580" t="s">
        <v>1112</v>
      </c>
      <c r="I1580" t="s">
        <v>1108</v>
      </c>
      <c r="J1580" t="s">
        <v>12858</v>
      </c>
      <c r="K1580" t="s">
        <v>12859</v>
      </c>
      <c r="L1580" t="s">
        <v>21</v>
      </c>
      <c r="M1580" t="s">
        <v>19177</v>
      </c>
      <c r="N1580" t="s">
        <v>97</v>
      </c>
      <c r="O1580" t="s">
        <v>937</v>
      </c>
      <c r="P1580" t="s">
        <v>12</v>
      </c>
    </row>
    <row r="1581">
      <c r="A1581">
        <f>HYPERLINK("http://bombeiros.sp.gov.br/hidrantes/03individual/10024.html","10024")</f>
      </c>
      <c r="B1581" t="s">
        <v>842</v>
      </c>
      <c r="C1581" t="s">
        <v>937</v>
      </c>
      <c r="D1581" t="s">
        <v>12838</v>
      </c>
      <c r="E1581" t="s">
        <v>64</v>
      </c>
      <c r="F1581" t="s">
        <v>12860</v>
      </c>
      <c r="G1581" t="s">
        <v>18155</v>
      </c>
      <c r="H1581" t="s">
        <v>1174</v>
      </c>
      <c r="I1581" t="s">
        <v>1108</v>
      </c>
      <c r="J1581" t="s">
        <v>12861</v>
      </c>
      <c r="K1581" t="s">
        <v>12862</v>
      </c>
      <c r="L1581" t="s">
        <v>21</v>
      </c>
      <c r="M1581" t="s">
        <v>19177</v>
      </c>
      <c r="N1581" t="s">
        <v>97</v>
      </c>
      <c r="O1581" t="s">
        <v>937</v>
      </c>
      <c r="P1581" t="s">
        <v>12</v>
      </c>
    </row>
    <row r="1582">
      <c r="A1582">
        <f>HYPERLINK("http://bombeiros.sp.gov.br/hidrantes/03individual/3700.html","3700")</f>
      </c>
      <c r="B1582" t="s">
        <v>842</v>
      </c>
      <c r="C1582" t="s">
        <v>937</v>
      </c>
      <c r="D1582" t="s">
        <v>12838</v>
      </c>
      <c r="E1582" t="s">
        <v>15</v>
      </c>
      <c r="F1582" t="s">
        <v>12893</v>
      </c>
      <c r="G1582" t="s">
        <v>18080</v>
      </c>
      <c r="H1582" t="s">
        <v>1174</v>
      </c>
      <c r="I1582" t="s">
        <v>1117</v>
      </c>
      <c r="J1582" t="s">
        <v>12894</v>
      </c>
      <c r="K1582" t="s">
        <v>12895</v>
      </c>
      <c r="L1582" t="s">
        <v>21</v>
      </c>
      <c r="M1582" t="s">
        <v>19177</v>
      </c>
      <c r="N1582" t="s">
        <v>97</v>
      </c>
      <c r="O1582" t="s">
        <v>937</v>
      </c>
      <c r="P1582" t="s">
        <v>12</v>
      </c>
    </row>
    <row r="1583">
      <c r="A1583">
        <f>HYPERLINK("http://bombeiros.sp.gov.br/hidrantes/03individual/16642.html","16642")</f>
      </c>
      <c r="B1583" t="s">
        <v>842</v>
      </c>
      <c r="C1583" t="s">
        <v>937</v>
      </c>
      <c r="D1583" t="s">
        <v>12838</v>
      </c>
      <c r="E1583" t="s">
        <v>15</v>
      </c>
      <c r="F1583" t="s">
        <v>12905</v>
      </c>
      <c r="G1583" t="s">
        <v>18080</v>
      </c>
      <c r="H1583" t="s">
        <v>1107</v>
      </c>
      <c r="I1583" t="s">
        <v>1108</v>
      </c>
      <c r="J1583" t="s">
        <v>12906</v>
      </c>
      <c r="K1583" t="s">
        <v>12907</v>
      </c>
      <c r="L1583" t="s">
        <v>21</v>
      </c>
      <c r="M1583" t="s">
        <v>19177</v>
      </c>
      <c r="N1583" t="s">
        <v>97</v>
      </c>
      <c r="O1583" t="s">
        <v>937</v>
      </c>
      <c r="P1583" t="s">
        <v>12</v>
      </c>
    </row>
    <row r="1584">
      <c r="A1584">
        <f>HYPERLINK("http://bombeiros.sp.gov.br/hidrantes/03individual/1875.html","1875")</f>
      </c>
      <c r="B1584" t="s">
        <v>842</v>
      </c>
      <c r="C1584" t="s">
        <v>937</v>
      </c>
      <c r="D1584" t="s">
        <v>950</v>
      </c>
      <c r="E1584" t="s">
        <v>15</v>
      </c>
      <c r="F1584" t="s">
        <v>12932</v>
      </c>
      <c r="G1584" t="s">
        <v>18070</v>
      </c>
      <c r="H1584" t="s">
        <v>1107</v>
      </c>
      <c r="I1584" t="s">
        <v>1108</v>
      </c>
      <c r="J1584" t="s">
        <v>12933</v>
      </c>
      <c r="K1584" t="s">
        <v>12934</v>
      </c>
      <c r="L1584" t="s">
        <v>21</v>
      </c>
      <c r="M1584" t="s">
        <v>19177</v>
      </c>
      <c r="N1584" t="s">
        <v>97</v>
      </c>
      <c r="O1584" t="s">
        <v>937</v>
      </c>
      <c r="P1584" t="s">
        <v>12</v>
      </c>
    </row>
    <row r="1585">
      <c r="A1585">
        <f>HYPERLINK("http://bombeiros.sp.gov.br/hidrantes/03individual/176.html","176")</f>
      </c>
      <c r="B1585" t="s">
        <v>842</v>
      </c>
      <c r="C1585" t="s">
        <v>937</v>
      </c>
      <c r="D1585" t="s">
        <v>12965</v>
      </c>
      <c r="E1585" t="s">
        <v>15</v>
      </c>
      <c r="F1585" t="s">
        <v>12984</v>
      </c>
      <c r="G1585" t="s">
        <v>18076</v>
      </c>
      <c r="H1585" t="s">
        <v>1112</v>
      </c>
      <c r="I1585" t="s">
        <v>1108</v>
      </c>
      <c r="J1585" t="s">
        <v>12985</v>
      </c>
      <c r="K1585" t="s">
        <v>12986</v>
      </c>
      <c r="L1585" t="s">
        <v>21</v>
      </c>
      <c r="M1585" t="s">
        <v>19177</v>
      </c>
      <c r="N1585" t="s">
        <v>97</v>
      </c>
      <c r="O1585" t="s">
        <v>937</v>
      </c>
      <c r="P1585" t="s">
        <v>12</v>
      </c>
    </row>
    <row r="1586">
      <c r="A1586">
        <f>HYPERLINK("http://bombeiros.sp.gov.br/hidrantes/03individual/218.html","218")</f>
      </c>
      <c r="B1586" t="s">
        <v>842</v>
      </c>
      <c r="C1586" t="s">
        <v>937</v>
      </c>
      <c r="D1586" t="s">
        <v>12965</v>
      </c>
      <c r="E1586" t="s">
        <v>15</v>
      </c>
      <c r="F1586" t="s">
        <v>12987</v>
      </c>
      <c r="G1586" t="s">
        <v>18056</v>
      </c>
      <c r="H1586" t="s">
        <v>1121</v>
      </c>
      <c r="I1586" t="s">
        <v>1117</v>
      </c>
      <c r="J1586" t="s">
        <v>12988</v>
      </c>
      <c r="K1586" t="s">
        <v>12989</v>
      </c>
      <c r="L1586" t="s">
        <v>21</v>
      </c>
      <c r="M1586" t="s">
        <v>19177</v>
      </c>
      <c r="N1586" t="s">
        <v>97</v>
      </c>
      <c r="O1586" t="s">
        <v>937</v>
      </c>
      <c r="P1586" t="s">
        <v>12</v>
      </c>
    </row>
    <row r="1587">
      <c r="A1587">
        <f>HYPERLINK("http://bombeiros.sp.gov.br/hidrantes/03individual/1794.html","1794")</f>
      </c>
      <c r="B1587" t="s">
        <v>842</v>
      </c>
      <c r="C1587" t="s">
        <v>937</v>
      </c>
      <c r="D1587" t="s">
        <v>12965</v>
      </c>
      <c r="E1587" t="s">
        <v>15</v>
      </c>
      <c r="F1587" t="s">
        <v>12999</v>
      </c>
      <c r="G1587" t="s">
        <v>18076</v>
      </c>
      <c r="H1587" t="s">
        <v>1112</v>
      </c>
      <c r="I1587" t="s">
        <v>1108</v>
      </c>
      <c r="J1587" t="s">
        <v>13000</v>
      </c>
      <c r="K1587" t="s">
        <v>13001</v>
      </c>
      <c r="L1587" t="s">
        <v>36</v>
      </c>
      <c r="M1587" t="s">
        <v>19177</v>
      </c>
      <c r="N1587" t="s">
        <v>97</v>
      </c>
      <c r="O1587" t="s">
        <v>937</v>
      </c>
      <c r="P1587" t="s">
        <v>12</v>
      </c>
    </row>
    <row r="1588">
      <c r="A1588">
        <f>HYPERLINK("http://bombeiros.sp.gov.br/hidrantes/03individual/5607.html","5607")</f>
      </c>
      <c r="B1588" t="s">
        <v>842</v>
      </c>
      <c r="C1588" t="s">
        <v>937</v>
      </c>
      <c r="D1588" t="s">
        <v>960</v>
      </c>
      <c r="E1588" t="s">
        <v>1507</v>
      </c>
      <c r="F1588" t="s">
        <v>13005</v>
      </c>
      <c r="G1588" t="s">
        <v>18095</v>
      </c>
      <c r="H1588" t="s">
        <v>1112</v>
      </c>
      <c r="I1588" t="s">
        <v>1108</v>
      </c>
      <c r="J1588" t="s">
        <v>13006</v>
      </c>
      <c r="K1588" t="s">
        <v>13007</v>
      </c>
      <c r="L1588" t="s">
        <v>21</v>
      </c>
      <c r="M1588" t="s">
        <v>19177</v>
      </c>
      <c r="N1588" t="s">
        <v>97</v>
      </c>
      <c r="O1588" t="s">
        <v>937</v>
      </c>
      <c r="P1588" t="s">
        <v>12</v>
      </c>
    </row>
    <row r="1589">
      <c r="A1589">
        <f>HYPERLINK("http://bombeiros.sp.gov.br/hidrantes/03individual/17914.html","17914")</f>
      </c>
      <c r="B1589" t="s">
        <v>842</v>
      </c>
      <c r="C1589" t="s">
        <v>937</v>
      </c>
      <c r="D1589" t="s">
        <v>960</v>
      </c>
      <c r="E1589" t="s">
        <v>64</v>
      </c>
      <c r="F1589" t="s">
        <v>13014</v>
      </c>
      <c r="G1589" t="s">
        <v>18170</v>
      </c>
      <c r="H1589" t="s">
        <v>1107</v>
      </c>
      <c r="I1589" t="s">
        <v>1108</v>
      </c>
      <c r="J1589" t="s">
        <v>13015</v>
      </c>
      <c r="K1589" t="s">
        <v>13016</v>
      </c>
      <c r="L1589" t="s">
        <v>21</v>
      </c>
      <c r="M1589" t="s">
        <v>19177</v>
      </c>
      <c r="N1589" t="s">
        <v>97</v>
      </c>
      <c r="O1589" t="s">
        <v>937</v>
      </c>
      <c r="P1589" t="s">
        <v>12</v>
      </c>
    </row>
    <row r="1590">
      <c r="A1590">
        <f>HYPERLINK("http://bombeiros.sp.gov.br/hidrantes/03individual/249.html","249")</f>
      </c>
      <c r="B1590" t="s">
        <v>842</v>
      </c>
      <c r="C1590" t="s">
        <v>937</v>
      </c>
      <c r="D1590" t="s">
        <v>960</v>
      </c>
      <c r="E1590" t="s">
        <v>15</v>
      </c>
      <c r="F1590" t="s">
        <v>13041</v>
      </c>
      <c r="G1590" t="s">
        <v>18059</v>
      </c>
      <c r="H1590" t="s">
        <v>1112</v>
      </c>
      <c r="I1590" t="s">
        <v>1108</v>
      </c>
      <c r="J1590" t="s">
        <v>13042</v>
      </c>
      <c r="K1590" t="s">
        <v>13043</v>
      </c>
      <c r="L1590" t="s">
        <v>21</v>
      </c>
      <c r="M1590" t="s">
        <v>19177</v>
      </c>
      <c r="N1590" t="s">
        <v>97</v>
      </c>
      <c r="O1590" t="s">
        <v>937</v>
      </c>
      <c r="P1590" t="s">
        <v>12</v>
      </c>
    </row>
    <row r="1591">
      <c r="A1591">
        <f>HYPERLINK("http://bombeiros.sp.gov.br/hidrantes/03individual/2327.html","2327")</f>
      </c>
      <c r="B1591" t="s">
        <v>842</v>
      </c>
      <c r="C1591" t="s">
        <v>937</v>
      </c>
      <c r="D1591" t="s">
        <v>960</v>
      </c>
      <c r="E1591" t="s">
        <v>15</v>
      </c>
      <c r="F1591" t="s">
        <v>13068</v>
      </c>
      <c r="G1591" t="s">
        <v>18047</v>
      </c>
      <c r="H1591" t="s">
        <v>1174</v>
      </c>
      <c r="I1591" t="s">
        <v>1117</v>
      </c>
      <c r="J1591" t="s">
        <v>13069</v>
      </c>
      <c r="K1591" t="s">
        <v>13070</v>
      </c>
      <c r="L1591" t="s">
        <v>21</v>
      </c>
      <c r="M1591" t="s">
        <v>19177</v>
      </c>
      <c r="N1591" t="s">
        <v>97</v>
      </c>
      <c r="O1591" t="s">
        <v>937</v>
      </c>
      <c r="P1591" t="s">
        <v>12</v>
      </c>
    </row>
    <row r="1592">
      <c r="A1592">
        <f>HYPERLINK("http://bombeiros.sp.gov.br/hidrantes/03individual/10008.html","10008")</f>
      </c>
      <c r="B1592" t="s">
        <v>842</v>
      </c>
      <c r="C1592" t="s">
        <v>964</v>
      </c>
      <c r="D1592" t="s">
        <v>965</v>
      </c>
      <c r="E1592" t="s">
        <v>64</v>
      </c>
      <c r="F1592" t="s">
        <v>13080</v>
      </c>
      <c r="G1592" t="s">
        <v>18145</v>
      </c>
      <c r="H1592" t="s">
        <v>1174</v>
      </c>
      <c r="I1592" t="s">
        <v>1108</v>
      </c>
      <c r="J1592" t="s">
        <v>13081</v>
      </c>
      <c r="K1592" t="s">
        <v>13082</v>
      </c>
      <c r="L1592" t="s">
        <v>21</v>
      </c>
      <c r="M1592" t="s">
        <v>19177</v>
      </c>
      <c r="N1592" t="s">
        <v>1024</v>
      </c>
      <c r="O1592" t="s">
        <v>1024</v>
      </c>
      <c r="P1592" t="s">
        <v>842</v>
      </c>
    </row>
    <row r="1593">
      <c r="A1593">
        <f>HYPERLINK("http://bombeiros.sp.gov.br/hidrantes/03individual/409.html","409")</f>
      </c>
      <c r="B1593" t="s">
        <v>842</v>
      </c>
      <c r="C1593" t="s">
        <v>964</v>
      </c>
      <c r="D1593" t="s">
        <v>965</v>
      </c>
      <c r="E1593" t="s">
        <v>15</v>
      </c>
      <c r="F1593" t="s">
        <v>13089</v>
      </c>
      <c r="G1593" t="s">
        <v>18042</v>
      </c>
      <c r="H1593" t="s">
        <v>1112</v>
      </c>
      <c r="I1593" t="s">
        <v>1108</v>
      </c>
      <c r="J1593" t="s">
        <v>13090</v>
      </c>
      <c r="K1593" t="s">
        <v>13091</v>
      </c>
      <c r="L1593" t="s">
        <v>21</v>
      </c>
      <c r="M1593" t="s">
        <v>19177</v>
      </c>
      <c r="N1593" t="s">
        <v>1024</v>
      </c>
      <c r="O1593" t="s">
        <v>1024</v>
      </c>
      <c r="P1593" t="s">
        <v>842</v>
      </c>
    </row>
    <row r="1594">
      <c r="A1594">
        <f>HYPERLINK("http://bombeiros.sp.gov.br/hidrantes/03individual/440.html","440")</f>
      </c>
      <c r="B1594" t="s">
        <v>842</v>
      </c>
      <c r="C1594" t="s">
        <v>964</v>
      </c>
      <c r="D1594" t="s">
        <v>965</v>
      </c>
      <c r="E1594" t="s">
        <v>15</v>
      </c>
      <c r="F1594" t="s">
        <v>13092</v>
      </c>
      <c r="G1594" t="s">
        <v>18135</v>
      </c>
      <c r="H1594" t="s">
        <v>1112</v>
      </c>
      <c r="I1594" t="s">
        <v>1108</v>
      </c>
      <c r="J1594" t="s">
        <v>13093</v>
      </c>
      <c r="K1594" t="s">
        <v>13094</v>
      </c>
      <c r="L1594" t="s">
        <v>21</v>
      </c>
      <c r="M1594" t="s">
        <v>19177</v>
      </c>
      <c r="N1594" t="s">
        <v>1024</v>
      </c>
      <c r="O1594" t="s">
        <v>1024</v>
      </c>
      <c r="P1594" t="s">
        <v>842</v>
      </c>
    </row>
    <row r="1595">
      <c r="A1595">
        <f>HYPERLINK("http://bombeiros.sp.gov.br/hidrantes/03individual/466.html","466")</f>
      </c>
      <c r="B1595" t="s">
        <v>842</v>
      </c>
      <c r="C1595" t="s">
        <v>964</v>
      </c>
      <c r="D1595" t="s">
        <v>965</v>
      </c>
      <c r="E1595" t="s">
        <v>15</v>
      </c>
      <c r="F1595" t="s">
        <v>13095</v>
      </c>
      <c r="G1595" t="s">
        <v>18042</v>
      </c>
      <c r="H1595" t="s">
        <v>1112</v>
      </c>
      <c r="I1595" t="s">
        <v>1108</v>
      </c>
      <c r="J1595" t="s">
        <v>13096</v>
      </c>
      <c r="K1595" t="s">
        <v>13097</v>
      </c>
      <c r="L1595" t="s">
        <v>21</v>
      </c>
      <c r="M1595" t="s">
        <v>19177</v>
      </c>
      <c r="N1595" t="s">
        <v>1024</v>
      </c>
      <c r="O1595" t="s">
        <v>1024</v>
      </c>
      <c r="P1595" t="s">
        <v>842</v>
      </c>
    </row>
    <row r="1596">
      <c r="A1596">
        <f>HYPERLINK("http://bombeiros.sp.gov.br/hidrantes/03individual/484.html","484")</f>
      </c>
      <c r="B1596" t="s">
        <v>842</v>
      </c>
      <c r="C1596" t="s">
        <v>964</v>
      </c>
      <c r="D1596" t="s">
        <v>965</v>
      </c>
      <c r="E1596" t="s">
        <v>15</v>
      </c>
      <c r="F1596" t="s">
        <v>13101</v>
      </c>
      <c r="G1596" t="s">
        <v>18042</v>
      </c>
      <c r="H1596" t="s">
        <v>1112</v>
      </c>
      <c r="I1596" t="s">
        <v>1108</v>
      </c>
      <c r="J1596" t="s">
        <v>13102</v>
      </c>
      <c r="K1596" t="s">
        <v>13103</v>
      </c>
      <c r="L1596" t="s">
        <v>21</v>
      </c>
      <c r="M1596" t="s">
        <v>19177</v>
      </c>
      <c r="N1596" t="s">
        <v>1024</v>
      </c>
      <c r="O1596" t="s">
        <v>1024</v>
      </c>
      <c r="P1596" t="s">
        <v>842</v>
      </c>
    </row>
    <row r="1597">
      <c r="A1597">
        <f>HYPERLINK("http://bombeiros.sp.gov.br/hidrantes/03individual/3794.html","3794")</f>
      </c>
      <c r="B1597" t="s">
        <v>842</v>
      </c>
      <c r="C1597" t="s">
        <v>964</v>
      </c>
      <c r="D1597" t="s">
        <v>965</v>
      </c>
      <c r="E1597" t="s">
        <v>15</v>
      </c>
      <c r="F1597" t="s">
        <v>13107</v>
      </c>
      <c r="G1597" t="s">
        <v>18145</v>
      </c>
      <c r="H1597" t="s">
        <v>1112</v>
      </c>
      <c r="I1597" t="s">
        <v>1108</v>
      </c>
      <c r="J1597" t="s">
        <v>13108</v>
      </c>
      <c r="K1597" t="s">
        <v>13109</v>
      </c>
      <c r="L1597" t="s">
        <v>21</v>
      </c>
      <c r="M1597" t="s">
        <v>19177</v>
      </c>
      <c r="N1597" t="s">
        <v>1024</v>
      </c>
      <c r="O1597" t="s">
        <v>1024</v>
      </c>
      <c r="P1597" t="s">
        <v>842</v>
      </c>
    </row>
    <row r="1598">
      <c r="A1598">
        <f>HYPERLINK("http://bombeiros.sp.gov.br/hidrantes/03individual/3840.html","3840")</f>
      </c>
      <c r="B1598" t="s">
        <v>842</v>
      </c>
      <c r="C1598" t="s">
        <v>964</v>
      </c>
      <c r="D1598" t="s">
        <v>965</v>
      </c>
      <c r="E1598" t="s">
        <v>15</v>
      </c>
      <c r="F1598" t="s">
        <v>13110</v>
      </c>
      <c r="G1598" t="s">
        <v>18042</v>
      </c>
      <c r="H1598" t="s">
        <v>1121</v>
      </c>
      <c r="I1598" t="s">
        <v>1117</v>
      </c>
      <c r="J1598" t="s">
        <v>13111</v>
      </c>
      <c r="K1598" t="s">
        <v>13112</v>
      </c>
      <c r="L1598" t="s">
        <v>21</v>
      </c>
      <c r="M1598" t="s">
        <v>19177</v>
      </c>
      <c r="N1598" t="s">
        <v>1024</v>
      </c>
      <c r="O1598" t="s">
        <v>1024</v>
      </c>
      <c r="P1598" t="s">
        <v>842</v>
      </c>
    </row>
    <row r="1599">
      <c r="A1599">
        <f>HYPERLINK("http://bombeiros.sp.gov.br/hidrantes/03individual/3954.html","3954")</f>
      </c>
      <c r="B1599" t="s">
        <v>842</v>
      </c>
      <c r="C1599" t="s">
        <v>964</v>
      </c>
      <c r="D1599" t="s">
        <v>965</v>
      </c>
      <c r="E1599" t="s">
        <v>15</v>
      </c>
      <c r="F1599" t="s">
        <v>13119</v>
      </c>
      <c r="G1599" t="s">
        <v>18041</v>
      </c>
      <c r="H1599" t="s">
        <v>1112</v>
      </c>
      <c r="I1599" t="s">
        <v>1108</v>
      </c>
      <c r="J1599" t="s">
        <v>13120</v>
      </c>
      <c r="K1599" t="s">
        <v>13121</v>
      </c>
      <c r="L1599" t="s">
        <v>21</v>
      </c>
      <c r="M1599" t="s">
        <v>19177</v>
      </c>
      <c r="N1599" t="s">
        <v>1024</v>
      </c>
      <c r="O1599" t="s">
        <v>1024</v>
      </c>
      <c r="P1599" t="s">
        <v>842</v>
      </c>
    </row>
    <row r="1600">
      <c r="A1600">
        <f>HYPERLINK("http://bombeiros.sp.gov.br/hidrantes/03individual/3955.html","3955")</f>
      </c>
      <c r="B1600" t="s">
        <v>842</v>
      </c>
      <c r="C1600" t="s">
        <v>964</v>
      </c>
      <c r="D1600" t="s">
        <v>965</v>
      </c>
      <c r="E1600" t="s">
        <v>15</v>
      </c>
      <c r="F1600" t="s">
        <v>13122</v>
      </c>
      <c r="G1600" t="s">
        <v>18041</v>
      </c>
      <c r="H1600" t="s">
        <v>1107</v>
      </c>
      <c r="I1600" t="s">
        <v>1108</v>
      </c>
      <c r="J1600" t="s">
        <v>13123</v>
      </c>
      <c r="K1600" t="s">
        <v>13124</v>
      </c>
      <c r="L1600" t="s">
        <v>21</v>
      </c>
      <c r="M1600" t="s">
        <v>19177</v>
      </c>
      <c r="N1600" t="s">
        <v>1024</v>
      </c>
      <c r="O1600" t="s">
        <v>1024</v>
      </c>
      <c r="P1600" t="s">
        <v>842</v>
      </c>
    </row>
    <row r="1601">
      <c r="A1601">
        <f>HYPERLINK("http://bombeiros.sp.gov.br/hidrantes/03individual/4375.html","4375")</f>
      </c>
      <c r="B1601" t="s">
        <v>842</v>
      </c>
      <c r="C1601" t="s">
        <v>964</v>
      </c>
      <c r="D1601" t="s">
        <v>965</v>
      </c>
      <c r="E1601" t="s">
        <v>15</v>
      </c>
      <c r="F1601" t="s">
        <v>13131</v>
      </c>
      <c r="G1601" t="s">
        <v>18145</v>
      </c>
      <c r="H1601" t="s">
        <v>1112</v>
      </c>
      <c r="I1601" t="s">
        <v>1108</v>
      </c>
      <c r="J1601" t="s">
        <v>13132</v>
      </c>
      <c r="K1601" t="s">
        <v>13133</v>
      </c>
      <c r="L1601" t="s">
        <v>21</v>
      </c>
      <c r="M1601" t="s">
        <v>19177</v>
      </c>
      <c r="N1601" t="s">
        <v>1024</v>
      </c>
      <c r="O1601" t="s">
        <v>1024</v>
      </c>
      <c r="P1601" t="s">
        <v>842</v>
      </c>
    </row>
    <row r="1602">
      <c r="A1602">
        <f>HYPERLINK("http://bombeiros.sp.gov.br/hidrantes/03individual/16619.html","16619")</f>
      </c>
      <c r="B1602" t="s">
        <v>842</v>
      </c>
      <c r="C1602" t="s">
        <v>964</v>
      </c>
      <c r="D1602" t="s">
        <v>965</v>
      </c>
      <c r="E1602" t="s">
        <v>15</v>
      </c>
      <c r="F1602" t="s">
        <v>13134</v>
      </c>
      <c r="G1602" t="s">
        <v>18041</v>
      </c>
      <c r="H1602" t="s">
        <v>1112</v>
      </c>
      <c r="I1602" t="s">
        <v>1108</v>
      </c>
      <c r="J1602" t="s">
        <v>13136</v>
      </c>
      <c r="K1602" t="s">
        <v>13137</v>
      </c>
      <c r="L1602" t="s">
        <v>21</v>
      </c>
      <c r="M1602" t="s">
        <v>19177</v>
      </c>
      <c r="N1602" t="s">
        <v>1024</v>
      </c>
      <c r="O1602" t="s">
        <v>1024</v>
      </c>
      <c r="P1602" t="s">
        <v>842</v>
      </c>
    </row>
    <row r="1603">
      <c r="A1603">
        <f>HYPERLINK("http://bombeiros.sp.gov.br/hidrantes/03individual/26635.html","26635")</f>
      </c>
      <c r="B1603" t="s">
        <v>842</v>
      </c>
      <c r="C1603" t="s">
        <v>964</v>
      </c>
      <c r="D1603" t="s">
        <v>965</v>
      </c>
      <c r="E1603" t="s">
        <v>15</v>
      </c>
      <c r="F1603" t="s">
        <v>969</v>
      </c>
      <c r="G1603" t="s">
        <v>18042</v>
      </c>
      <c r="H1603" t="s">
        <v>1112</v>
      </c>
      <c r="I1603" t="s">
        <v>1108</v>
      </c>
      <c r="J1603" t="s">
        <v>970</v>
      </c>
      <c r="K1603" t="s">
        <v>971</v>
      </c>
      <c r="L1603" t="s">
        <v>21</v>
      </c>
      <c r="M1603" t="s">
        <v>19177</v>
      </c>
      <c r="N1603" t="s">
        <v>1024</v>
      </c>
      <c r="O1603" t="s">
        <v>1024</v>
      </c>
      <c r="P1603" t="s">
        <v>842</v>
      </c>
    </row>
    <row r="1604">
      <c r="A1604">
        <f>HYPERLINK("http://bombeiros.sp.gov.br/hidrantes/03individual/26925.html","26925")</f>
      </c>
      <c r="B1604" t="s">
        <v>842</v>
      </c>
      <c r="C1604" t="s">
        <v>964</v>
      </c>
      <c r="D1604" t="s">
        <v>965</v>
      </c>
      <c r="E1604" t="s">
        <v>15</v>
      </c>
      <c r="F1604" t="s">
        <v>16410</v>
      </c>
      <c r="G1604" t="s">
        <v>18019</v>
      </c>
      <c r="H1604" t="s">
        <v>1112</v>
      </c>
      <c r="I1604" t="s">
        <v>1108</v>
      </c>
      <c r="J1604" t="s">
        <v>16411</v>
      </c>
      <c r="K1604" t="s">
        <v>16412</v>
      </c>
      <c r="L1604" t="s">
        <v>21</v>
      </c>
      <c r="M1604" t="s">
        <v>19177</v>
      </c>
      <c r="N1604" t="s">
        <v>1024</v>
      </c>
      <c r="O1604" t="s">
        <v>1024</v>
      </c>
      <c r="P1604" t="s">
        <v>842</v>
      </c>
    </row>
    <row r="1605">
      <c r="A1605">
        <f>HYPERLINK("http://bombeiros.sp.gov.br/hidrantes/03individual/26926.html","26926")</f>
      </c>
      <c r="B1605" t="s">
        <v>842</v>
      </c>
      <c r="C1605" t="s">
        <v>964</v>
      </c>
      <c r="D1605" t="s">
        <v>965</v>
      </c>
      <c r="E1605" t="s">
        <v>15</v>
      </c>
      <c r="F1605" t="s">
        <v>16413</v>
      </c>
      <c r="G1605" t="s">
        <v>18135</v>
      </c>
      <c r="H1605" t="s">
        <v>1112</v>
      </c>
      <c r="I1605" t="s">
        <v>1108</v>
      </c>
      <c r="J1605" t="s">
        <v>16414</v>
      </c>
      <c r="K1605" t="s">
        <v>16415</v>
      </c>
      <c r="L1605" t="s">
        <v>21</v>
      </c>
      <c r="M1605" t="s">
        <v>19177</v>
      </c>
      <c r="N1605" t="s">
        <v>1024</v>
      </c>
      <c r="O1605" t="s">
        <v>1024</v>
      </c>
      <c r="P1605" t="s">
        <v>842</v>
      </c>
    </row>
    <row r="1606">
      <c r="A1606">
        <f>HYPERLINK("http://bombeiros.sp.gov.br/hidrantes/03individual/360.html","360")</f>
      </c>
      <c r="B1606" t="s">
        <v>842</v>
      </c>
      <c r="C1606" t="s">
        <v>964</v>
      </c>
      <c r="D1606" t="s">
        <v>964</v>
      </c>
      <c r="E1606" t="s">
        <v>15</v>
      </c>
      <c r="F1606" t="s">
        <v>13150</v>
      </c>
      <c r="G1606" t="s">
        <v>18145</v>
      </c>
      <c r="H1606" t="s">
        <v>1112</v>
      </c>
      <c r="I1606" t="s">
        <v>1108</v>
      </c>
      <c r="J1606" t="s">
        <v>13151</v>
      </c>
      <c r="K1606" t="s">
        <v>13152</v>
      </c>
      <c r="L1606" t="s">
        <v>21</v>
      </c>
      <c r="M1606" t="s">
        <v>19177</v>
      </c>
      <c r="N1606" t="s">
        <v>1024</v>
      </c>
      <c r="O1606" t="s">
        <v>1024</v>
      </c>
      <c r="P1606" t="s">
        <v>842</v>
      </c>
    </row>
    <row r="1607">
      <c r="A1607">
        <f>HYPERLINK("http://bombeiros.sp.gov.br/hidrantes/03individual/459.html","459")</f>
      </c>
      <c r="B1607" t="s">
        <v>842</v>
      </c>
      <c r="C1607" t="s">
        <v>964</v>
      </c>
      <c r="D1607" t="s">
        <v>964</v>
      </c>
      <c r="E1607" t="s">
        <v>15</v>
      </c>
      <c r="F1607" t="s">
        <v>13159</v>
      </c>
      <c r="G1607" t="s">
        <v>18199</v>
      </c>
      <c r="H1607" t="s">
        <v>1112</v>
      </c>
      <c r="I1607" t="s">
        <v>1108</v>
      </c>
      <c r="J1607" t="s">
        <v>13160</v>
      </c>
      <c r="K1607" t="s">
        <v>13161</v>
      </c>
      <c r="L1607" t="s">
        <v>21</v>
      </c>
      <c r="M1607" t="s">
        <v>19177</v>
      </c>
      <c r="N1607" t="s">
        <v>1024</v>
      </c>
      <c r="O1607" t="s">
        <v>1024</v>
      </c>
      <c r="P1607" t="s">
        <v>842</v>
      </c>
    </row>
    <row r="1608">
      <c r="A1608">
        <f>HYPERLINK("http://bombeiros.sp.gov.br/hidrantes/03individual/3828.html","3828")</f>
      </c>
      <c r="B1608" t="s">
        <v>842</v>
      </c>
      <c r="C1608" t="s">
        <v>964</v>
      </c>
      <c r="D1608" t="s">
        <v>964</v>
      </c>
      <c r="E1608" t="s">
        <v>15</v>
      </c>
      <c r="F1608" t="s">
        <v>13165</v>
      </c>
      <c r="G1608" t="s">
        <v>18046</v>
      </c>
      <c r="H1608" t="s">
        <v>1112</v>
      </c>
      <c r="I1608" t="s">
        <v>1108</v>
      </c>
      <c r="J1608" t="s">
        <v>13166</v>
      </c>
      <c r="K1608" t="s">
        <v>13167</v>
      </c>
      <c r="L1608" t="s">
        <v>21</v>
      </c>
      <c r="M1608" t="s">
        <v>19177</v>
      </c>
      <c r="N1608" t="s">
        <v>1024</v>
      </c>
      <c r="O1608" t="s">
        <v>1024</v>
      </c>
      <c r="P1608" t="s">
        <v>842</v>
      </c>
    </row>
    <row r="1609">
      <c r="A1609">
        <f>HYPERLINK("http://bombeiros.sp.gov.br/hidrantes/03individual/3829.html","3829")</f>
      </c>
      <c r="B1609" t="s">
        <v>842</v>
      </c>
      <c r="C1609" t="s">
        <v>964</v>
      </c>
      <c r="D1609" t="s">
        <v>964</v>
      </c>
      <c r="E1609" t="s">
        <v>15</v>
      </c>
      <c r="F1609" t="s">
        <v>13168</v>
      </c>
      <c r="G1609" t="s">
        <v>18042</v>
      </c>
      <c r="H1609" t="s">
        <v>1112</v>
      </c>
      <c r="I1609" t="s">
        <v>1108</v>
      </c>
      <c r="J1609" t="s">
        <v>13169</v>
      </c>
      <c r="K1609" t="s">
        <v>13170</v>
      </c>
      <c r="L1609" t="s">
        <v>21</v>
      </c>
      <c r="M1609" t="s">
        <v>19177</v>
      </c>
      <c r="N1609" t="s">
        <v>1024</v>
      </c>
      <c r="O1609" t="s">
        <v>1024</v>
      </c>
      <c r="P1609" t="s">
        <v>842</v>
      </c>
    </row>
    <row r="1610">
      <c r="A1610">
        <f>HYPERLINK("http://bombeiros.sp.gov.br/hidrantes/03individual/3831.html","3831")</f>
      </c>
      <c r="B1610" t="s">
        <v>842</v>
      </c>
      <c r="C1610" t="s">
        <v>964</v>
      </c>
      <c r="D1610" t="s">
        <v>964</v>
      </c>
      <c r="E1610" t="s">
        <v>15</v>
      </c>
      <c r="F1610" t="s">
        <v>13171</v>
      </c>
      <c r="G1610" t="s">
        <v>18094</v>
      </c>
      <c r="H1610" t="s">
        <v>1112</v>
      </c>
      <c r="I1610" t="s">
        <v>1108</v>
      </c>
      <c r="J1610" t="s">
        <v>13172</v>
      </c>
      <c r="K1610" t="s">
        <v>13173</v>
      </c>
      <c r="L1610" t="s">
        <v>21</v>
      </c>
      <c r="M1610" t="s">
        <v>19177</v>
      </c>
      <c r="N1610" t="s">
        <v>1024</v>
      </c>
      <c r="O1610" t="s">
        <v>1024</v>
      </c>
      <c r="P1610" t="s">
        <v>842</v>
      </c>
    </row>
    <row r="1611">
      <c r="A1611">
        <f>HYPERLINK("http://bombeiros.sp.gov.br/hidrantes/03individual/3848.html","3848")</f>
      </c>
      <c r="B1611" t="s">
        <v>842</v>
      </c>
      <c r="C1611" t="s">
        <v>964</v>
      </c>
      <c r="D1611" t="s">
        <v>964</v>
      </c>
      <c r="E1611" t="s">
        <v>15</v>
      </c>
      <c r="F1611" t="s">
        <v>13177</v>
      </c>
      <c r="G1611" t="s">
        <v>18094</v>
      </c>
      <c r="H1611" t="s">
        <v>1112</v>
      </c>
      <c r="I1611" t="s">
        <v>1108</v>
      </c>
      <c r="J1611" t="s">
        <v>13178</v>
      </c>
      <c r="K1611" t="s">
        <v>13179</v>
      </c>
      <c r="L1611" t="s">
        <v>21</v>
      </c>
      <c r="M1611" t="s">
        <v>19177</v>
      </c>
      <c r="N1611" t="s">
        <v>1024</v>
      </c>
      <c r="O1611" t="s">
        <v>1024</v>
      </c>
      <c r="P1611" t="s">
        <v>842</v>
      </c>
    </row>
    <row r="1612">
      <c r="A1612">
        <f>HYPERLINK("http://bombeiros.sp.gov.br/hidrantes/03individual/3849.html","3849")</f>
      </c>
      <c r="B1612" t="s">
        <v>842</v>
      </c>
      <c r="C1612" t="s">
        <v>964</v>
      </c>
      <c r="D1612" t="s">
        <v>964</v>
      </c>
      <c r="E1612" t="s">
        <v>15</v>
      </c>
      <c r="F1612" t="s">
        <v>13180</v>
      </c>
      <c r="G1612" t="s">
        <v>18531</v>
      </c>
      <c r="H1612" t="s">
        <v>1112</v>
      </c>
      <c r="I1612" t="s">
        <v>1108</v>
      </c>
      <c r="J1612" t="s">
        <v>13181</v>
      </c>
      <c r="K1612" t="s">
        <v>13182</v>
      </c>
      <c r="L1612" t="s">
        <v>21</v>
      </c>
      <c r="M1612" t="s">
        <v>19177</v>
      </c>
      <c r="N1612" t="s">
        <v>1024</v>
      </c>
      <c r="O1612" t="s">
        <v>1024</v>
      </c>
      <c r="P1612" t="s">
        <v>842</v>
      </c>
    </row>
    <row r="1613">
      <c r="A1613">
        <f>HYPERLINK("http://bombeiros.sp.gov.br/hidrantes/03individual/3850.html","3850")</f>
      </c>
      <c r="B1613" t="s">
        <v>842</v>
      </c>
      <c r="C1613" t="s">
        <v>964</v>
      </c>
      <c r="D1613" t="s">
        <v>964</v>
      </c>
      <c r="E1613" t="s">
        <v>15</v>
      </c>
      <c r="F1613" t="s">
        <v>13183</v>
      </c>
      <c r="G1613" t="s">
        <v>18094</v>
      </c>
      <c r="H1613" t="s">
        <v>1112</v>
      </c>
      <c r="I1613" t="s">
        <v>1108</v>
      </c>
      <c r="J1613" t="s">
        <v>13184</v>
      </c>
      <c r="K1613" t="s">
        <v>13185</v>
      </c>
      <c r="L1613" t="s">
        <v>21</v>
      </c>
      <c r="M1613" t="s">
        <v>19177</v>
      </c>
      <c r="N1613" t="s">
        <v>1024</v>
      </c>
      <c r="O1613" t="s">
        <v>1024</v>
      </c>
      <c r="P1613" t="s">
        <v>842</v>
      </c>
    </row>
    <row r="1614">
      <c r="A1614">
        <f>HYPERLINK("http://bombeiros.sp.gov.br/hidrantes/03individual/4371.html","4371")</f>
      </c>
      <c r="B1614" t="s">
        <v>842</v>
      </c>
      <c r="C1614" t="s">
        <v>964</v>
      </c>
      <c r="D1614" t="s">
        <v>964</v>
      </c>
      <c r="E1614" t="s">
        <v>15</v>
      </c>
      <c r="F1614" t="s">
        <v>13201</v>
      </c>
      <c r="G1614" t="s">
        <v>18145</v>
      </c>
      <c r="H1614" t="s">
        <v>1112</v>
      </c>
      <c r="I1614" t="s">
        <v>1108</v>
      </c>
      <c r="J1614" t="s">
        <v>13202</v>
      </c>
      <c r="K1614" t="s">
        <v>13203</v>
      </c>
      <c r="L1614" t="s">
        <v>21</v>
      </c>
      <c r="M1614" t="s">
        <v>19177</v>
      </c>
      <c r="N1614" t="s">
        <v>1024</v>
      </c>
      <c r="O1614" t="s">
        <v>1024</v>
      </c>
      <c r="P1614" t="s">
        <v>842</v>
      </c>
    </row>
    <row r="1615">
      <c r="A1615">
        <f>HYPERLINK("http://bombeiros.sp.gov.br/hidrantes/03individual/4372.html","4372")</f>
      </c>
      <c r="B1615" t="s">
        <v>842</v>
      </c>
      <c r="C1615" t="s">
        <v>964</v>
      </c>
      <c r="D1615" t="s">
        <v>964</v>
      </c>
      <c r="E1615" t="s">
        <v>15</v>
      </c>
      <c r="F1615" t="s">
        <v>13204</v>
      </c>
      <c r="G1615" t="s">
        <v>18041</v>
      </c>
      <c r="H1615" t="s">
        <v>1112</v>
      </c>
      <c r="I1615" t="s">
        <v>1108</v>
      </c>
      <c r="J1615" t="s">
        <v>13205</v>
      </c>
      <c r="K1615" t="s">
        <v>13206</v>
      </c>
      <c r="L1615" t="s">
        <v>21</v>
      </c>
      <c r="M1615" t="s">
        <v>19177</v>
      </c>
      <c r="N1615" t="s">
        <v>1024</v>
      </c>
      <c r="O1615" t="s">
        <v>1024</v>
      </c>
      <c r="P1615" t="s">
        <v>842</v>
      </c>
    </row>
    <row r="1616">
      <c r="A1616">
        <f>HYPERLINK("http://bombeiros.sp.gov.br/hidrantes/03individual/17851.html","17851")</f>
      </c>
      <c r="B1616" t="s">
        <v>842</v>
      </c>
      <c r="C1616" t="s">
        <v>964</v>
      </c>
      <c r="D1616" t="s">
        <v>964</v>
      </c>
      <c r="E1616" t="s">
        <v>15</v>
      </c>
      <c r="F1616" t="s">
        <v>13213</v>
      </c>
      <c r="G1616" t="s">
        <v>18041</v>
      </c>
      <c r="H1616" t="s">
        <v>1112</v>
      </c>
      <c r="I1616" t="s">
        <v>1108</v>
      </c>
      <c r="J1616" t="s">
        <v>17421</v>
      </c>
      <c r="K1616" t="s">
        <v>17422</v>
      </c>
      <c r="L1616" t="s">
        <v>21</v>
      </c>
      <c r="M1616" t="s">
        <v>19177</v>
      </c>
      <c r="N1616" t="s">
        <v>1024</v>
      </c>
      <c r="O1616" t="s">
        <v>1024</v>
      </c>
      <c r="P1616" t="s">
        <v>842</v>
      </c>
    </row>
    <row r="1617">
      <c r="A1617">
        <f>HYPERLINK("http://bombeiros.sp.gov.br/hidrantes/03individual/17871.html","17871")</f>
      </c>
      <c r="B1617" t="s">
        <v>842</v>
      </c>
      <c r="C1617" t="s">
        <v>964</v>
      </c>
      <c r="D1617" t="s">
        <v>964</v>
      </c>
      <c r="E1617" t="s">
        <v>15</v>
      </c>
      <c r="F1617" t="s">
        <v>13216</v>
      </c>
      <c r="G1617" t="s">
        <v>18065</v>
      </c>
      <c r="H1617" t="s">
        <v>1112</v>
      </c>
      <c r="I1617" t="s">
        <v>1108</v>
      </c>
      <c r="J1617" t="s">
        <v>16547</v>
      </c>
      <c r="K1617" t="s">
        <v>16548</v>
      </c>
      <c r="L1617" t="s">
        <v>21</v>
      </c>
      <c r="M1617" t="s">
        <v>19177</v>
      </c>
      <c r="N1617" t="s">
        <v>1024</v>
      </c>
      <c r="O1617" t="s">
        <v>1024</v>
      </c>
      <c r="P1617" t="s">
        <v>842</v>
      </c>
    </row>
    <row r="1618">
      <c r="A1618">
        <f>HYPERLINK("http://bombeiros.sp.gov.br/hidrantes/03individual/3779.html","3779")</f>
      </c>
      <c r="B1618" t="s">
        <v>842</v>
      </c>
      <c r="C1618" t="s">
        <v>964</v>
      </c>
      <c r="D1618" t="s">
        <v>13219</v>
      </c>
      <c r="E1618" t="s">
        <v>64</v>
      </c>
      <c r="F1618" t="s">
        <v>13226</v>
      </c>
      <c r="G1618" t="s">
        <v>18089</v>
      </c>
      <c r="H1618" t="s">
        <v>1112</v>
      </c>
      <c r="I1618" t="s">
        <v>1108</v>
      </c>
      <c r="J1618" t="s">
        <v>13227</v>
      </c>
      <c r="K1618" t="s">
        <v>13228</v>
      </c>
      <c r="L1618" t="s">
        <v>21</v>
      </c>
      <c r="M1618" t="s">
        <v>19177</v>
      </c>
      <c r="N1618" t="s">
        <v>1024</v>
      </c>
      <c r="O1618" t="s">
        <v>1024</v>
      </c>
      <c r="P1618" t="s">
        <v>842</v>
      </c>
    </row>
    <row r="1619">
      <c r="A1619">
        <f>HYPERLINK("http://bombeiros.sp.gov.br/hidrantes/03individual/10009.html","10009")</f>
      </c>
      <c r="B1619" t="s">
        <v>842</v>
      </c>
      <c r="C1619" t="s">
        <v>964</v>
      </c>
      <c r="D1619" t="s">
        <v>13219</v>
      </c>
      <c r="E1619" t="s">
        <v>64</v>
      </c>
      <c r="F1619" t="s">
        <v>13229</v>
      </c>
      <c r="G1619" t="s">
        <v>18145</v>
      </c>
      <c r="H1619" t="s">
        <v>1112</v>
      </c>
      <c r="I1619" t="s">
        <v>1108</v>
      </c>
      <c r="J1619" t="s">
        <v>13230</v>
      </c>
      <c r="K1619" t="s">
        <v>13231</v>
      </c>
      <c r="L1619" t="s">
        <v>21</v>
      </c>
      <c r="M1619" t="s">
        <v>19177</v>
      </c>
      <c r="N1619" t="s">
        <v>1024</v>
      </c>
      <c r="O1619" t="s">
        <v>1024</v>
      </c>
      <c r="P1619" t="s">
        <v>842</v>
      </c>
    </row>
    <row r="1620">
      <c r="A1620">
        <f>HYPERLINK("http://bombeiros.sp.gov.br/hidrantes/03individual/311.html","311")</f>
      </c>
      <c r="B1620" t="s">
        <v>842</v>
      </c>
      <c r="C1620" t="s">
        <v>964</v>
      </c>
      <c r="D1620" t="s">
        <v>13219</v>
      </c>
      <c r="E1620" t="s">
        <v>15</v>
      </c>
      <c r="F1620" t="s">
        <v>13235</v>
      </c>
      <c r="G1620" t="s">
        <v>18089</v>
      </c>
      <c r="H1620" t="s">
        <v>1107</v>
      </c>
      <c r="I1620" t="s">
        <v>1108</v>
      </c>
      <c r="J1620" t="s">
        <v>13236</v>
      </c>
      <c r="K1620" t="s">
        <v>13237</v>
      </c>
      <c r="L1620" t="s">
        <v>21</v>
      </c>
      <c r="M1620" t="s">
        <v>19177</v>
      </c>
      <c r="N1620" t="s">
        <v>1024</v>
      </c>
      <c r="O1620" t="s">
        <v>1024</v>
      </c>
      <c r="P1620" t="s">
        <v>842</v>
      </c>
    </row>
    <row r="1621">
      <c r="A1621">
        <f>HYPERLINK("http://bombeiros.sp.gov.br/hidrantes/03individual/312.html","312")</f>
      </c>
      <c r="B1621" t="s">
        <v>842</v>
      </c>
      <c r="C1621" t="s">
        <v>964</v>
      </c>
      <c r="D1621" t="s">
        <v>13219</v>
      </c>
      <c r="E1621" t="s">
        <v>15</v>
      </c>
      <c r="F1621" t="s">
        <v>13238</v>
      </c>
      <c r="G1621" t="s">
        <v>18001</v>
      </c>
      <c r="H1621" t="s">
        <v>1112</v>
      </c>
      <c r="I1621" t="s">
        <v>1108</v>
      </c>
      <c r="J1621" t="s">
        <v>15879</v>
      </c>
      <c r="K1621" t="s">
        <v>15880</v>
      </c>
      <c r="L1621" t="s">
        <v>21</v>
      </c>
      <c r="M1621" t="s">
        <v>19177</v>
      </c>
      <c r="N1621" t="s">
        <v>1024</v>
      </c>
      <c r="O1621" t="s">
        <v>1024</v>
      </c>
      <c r="P1621" t="s">
        <v>842</v>
      </c>
    </row>
    <row r="1622">
      <c r="A1622">
        <f>HYPERLINK("http://bombeiros.sp.gov.br/hidrantes/03individual/364.html","364")</f>
      </c>
      <c r="B1622" t="s">
        <v>842</v>
      </c>
      <c r="C1622" t="s">
        <v>964</v>
      </c>
      <c r="D1622" t="s">
        <v>13219</v>
      </c>
      <c r="E1622" t="s">
        <v>15</v>
      </c>
      <c r="F1622" t="s">
        <v>13241</v>
      </c>
      <c r="G1622" t="s">
        <v>18089</v>
      </c>
      <c r="H1622" t="s">
        <v>1112</v>
      </c>
      <c r="I1622" t="s">
        <v>1108</v>
      </c>
      <c r="J1622" t="s">
        <v>13242</v>
      </c>
      <c r="K1622" t="s">
        <v>13243</v>
      </c>
      <c r="L1622" t="s">
        <v>21</v>
      </c>
      <c r="M1622" t="s">
        <v>19177</v>
      </c>
      <c r="N1622" t="s">
        <v>1024</v>
      </c>
      <c r="O1622" t="s">
        <v>1024</v>
      </c>
      <c r="P1622" t="s">
        <v>842</v>
      </c>
    </row>
    <row r="1623">
      <c r="A1623">
        <f>HYPERLINK("http://bombeiros.sp.gov.br/hidrantes/03individual/407.html","407")</f>
      </c>
      <c r="B1623" t="s">
        <v>842</v>
      </c>
      <c r="C1623" t="s">
        <v>964</v>
      </c>
      <c r="D1623" t="s">
        <v>13219</v>
      </c>
      <c r="E1623" t="s">
        <v>15</v>
      </c>
      <c r="F1623" t="s">
        <v>13244</v>
      </c>
      <c r="G1623" t="s">
        <v>18135</v>
      </c>
      <c r="H1623" t="s">
        <v>1112</v>
      </c>
      <c r="I1623" t="s">
        <v>1108</v>
      </c>
      <c r="J1623" t="s">
        <v>13245</v>
      </c>
      <c r="K1623" t="s">
        <v>13246</v>
      </c>
      <c r="L1623" t="s">
        <v>21</v>
      </c>
      <c r="M1623" t="s">
        <v>19177</v>
      </c>
      <c r="N1623" t="s">
        <v>1024</v>
      </c>
      <c r="O1623" t="s">
        <v>1024</v>
      </c>
      <c r="P1623" t="s">
        <v>842</v>
      </c>
    </row>
    <row r="1624">
      <c r="A1624">
        <f>HYPERLINK("http://bombeiros.sp.gov.br/hidrantes/03individual/408.html","408")</f>
      </c>
      <c r="B1624" t="s">
        <v>842</v>
      </c>
      <c r="C1624" t="s">
        <v>964</v>
      </c>
      <c r="D1624" t="s">
        <v>13219</v>
      </c>
      <c r="E1624" t="s">
        <v>15</v>
      </c>
      <c r="F1624" t="s">
        <v>13247</v>
      </c>
      <c r="G1624" t="s">
        <v>18003</v>
      </c>
      <c r="H1624" t="s">
        <v>1112</v>
      </c>
      <c r="I1624" t="s">
        <v>1108</v>
      </c>
      <c r="J1624" t="s">
        <v>13248</v>
      </c>
      <c r="K1624" t="s">
        <v>13249</v>
      </c>
      <c r="L1624" t="s">
        <v>21</v>
      </c>
      <c r="M1624" t="s">
        <v>19177</v>
      </c>
      <c r="N1624" t="s">
        <v>1024</v>
      </c>
      <c r="O1624" t="s">
        <v>1024</v>
      </c>
      <c r="P1624" t="s">
        <v>842</v>
      </c>
    </row>
    <row r="1625">
      <c r="A1625">
        <f>HYPERLINK("http://bombeiros.sp.gov.br/hidrantes/03individual/444.html","444")</f>
      </c>
      <c r="B1625" t="s">
        <v>842</v>
      </c>
      <c r="C1625" t="s">
        <v>964</v>
      </c>
      <c r="D1625" t="s">
        <v>13219</v>
      </c>
      <c r="E1625" t="s">
        <v>15</v>
      </c>
      <c r="F1625" t="s">
        <v>13253</v>
      </c>
      <c r="G1625" t="s">
        <v>18518</v>
      </c>
      <c r="H1625" t="s">
        <v>1112</v>
      </c>
      <c r="I1625" t="s">
        <v>1108</v>
      </c>
      <c r="J1625" t="s">
        <v>13254</v>
      </c>
      <c r="K1625" t="s">
        <v>13255</v>
      </c>
      <c r="L1625" t="s">
        <v>21</v>
      </c>
      <c r="M1625" t="s">
        <v>19177</v>
      </c>
      <c r="N1625" t="s">
        <v>1024</v>
      </c>
      <c r="O1625" t="s">
        <v>1024</v>
      </c>
      <c r="P1625" t="s">
        <v>842</v>
      </c>
    </row>
    <row r="1626">
      <c r="A1626">
        <f>HYPERLINK("http://bombeiros.sp.gov.br/hidrantes/03individual/462.html","462")</f>
      </c>
      <c r="B1626" t="s">
        <v>842</v>
      </c>
      <c r="C1626" t="s">
        <v>964</v>
      </c>
      <c r="D1626" t="s">
        <v>13219</v>
      </c>
      <c r="E1626" t="s">
        <v>15</v>
      </c>
      <c r="F1626" t="s">
        <v>13256</v>
      </c>
      <c r="G1626" t="s">
        <v>18012</v>
      </c>
      <c r="H1626" t="s">
        <v>1112</v>
      </c>
      <c r="I1626" t="s">
        <v>1108</v>
      </c>
      <c r="J1626" t="s">
        <v>13257</v>
      </c>
      <c r="K1626" t="s">
        <v>13258</v>
      </c>
      <c r="L1626" t="s">
        <v>21</v>
      </c>
      <c r="M1626" t="s">
        <v>19177</v>
      </c>
      <c r="N1626" t="s">
        <v>1024</v>
      </c>
      <c r="O1626" t="s">
        <v>1024</v>
      </c>
      <c r="P1626" t="s">
        <v>842</v>
      </c>
    </row>
    <row r="1627">
      <c r="A1627">
        <f>HYPERLINK("http://bombeiros.sp.gov.br/hidrantes/03individual/463.html","463")</f>
      </c>
      <c r="B1627" t="s">
        <v>842</v>
      </c>
      <c r="C1627" t="s">
        <v>964</v>
      </c>
      <c r="D1627" t="s">
        <v>13219</v>
      </c>
      <c r="E1627" t="s">
        <v>15</v>
      </c>
      <c r="F1627" t="s">
        <v>13259</v>
      </c>
      <c r="G1627" t="s">
        <v>18001</v>
      </c>
      <c r="H1627" t="s">
        <v>1112</v>
      </c>
      <c r="I1627" t="s">
        <v>1108</v>
      </c>
      <c r="J1627" t="s">
        <v>13260</v>
      </c>
      <c r="K1627" t="s">
        <v>13261</v>
      </c>
      <c r="L1627" t="s">
        <v>21</v>
      </c>
      <c r="M1627" t="s">
        <v>19177</v>
      </c>
      <c r="N1627" t="s">
        <v>1024</v>
      </c>
      <c r="O1627" t="s">
        <v>1024</v>
      </c>
      <c r="P1627" t="s">
        <v>842</v>
      </c>
    </row>
    <row r="1628">
      <c r="A1628">
        <f>HYPERLINK("http://bombeiros.sp.gov.br/hidrantes/03individual/465.html","465")</f>
      </c>
      <c r="B1628" t="s">
        <v>842</v>
      </c>
      <c r="C1628" t="s">
        <v>964</v>
      </c>
      <c r="D1628" t="s">
        <v>13219</v>
      </c>
      <c r="E1628" t="s">
        <v>15</v>
      </c>
      <c r="F1628" t="s">
        <v>13262</v>
      </c>
      <c r="G1628" t="s">
        <v>18256</v>
      </c>
      <c r="H1628" t="s">
        <v>1112</v>
      </c>
      <c r="I1628" t="s">
        <v>1108</v>
      </c>
      <c r="J1628" t="s">
        <v>13263</v>
      </c>
      <c r="K1628" t="s">
        <v>13264</v>
      </c>
      <c r="L1628" t="s">
        <v>21</v>
      </c>
      <c r="M1628" t="s">
        <v>19177</v>
      </c>
      <c r="N1628" t="s">
        <v>1024</v>
      </c>
      <c r="O1628" t="s">
        <v>1024</v>
      </c>
      <c r="P1628" t="s">
        <v>842</v>
      </c>
    </row>
    <row r="1629">
      <c r="A1629">
        <f>HYPERLINK("http://bombeiros.sp.gov.br/hidrantes/03individual/3772.html","3772")</f>
      </c>
      <c r="B1629" t="s">
        <v>842</v>
      </c>
      <c r="C1629" t="s">
        <v>964</v>
      </c>
      <c r="D1629" t="s">
        <v>13219</v>
      </c>
      <c r="E1629" t="s">
        <v>15</v>
      </c>
      <c r="F1629" t="s">
        <v>13265</v>
      </c>
      <c r="G1629" t="s">
        <v>18144</v>
      </c>
      <c r="H1629" t="s">
        <v>1112</v>
      </c>
      <c r="I1629" t="s">
        <v>1108</v>
      </c>
      <c r="J1629" t="s">
        <v>13266</v>
      </c>
      <c r="K1629" t="s">
        <v>13267</v>
      </c>
      <c r="L1629" t="s">
        <v>21</v>
      </c>
      <c r="M1629" t="s">
        <v>19177</v>
      </c>
      <c r="N1629" t="s">
        <v>1024</v>
      </c>
      <c r="O1629" t="s">
        <v>1024</v>
      </c>
      <c r="P1629" t="s">
        <v>842</v>
      </c>
    </row>
    <row r="1630">
      <c r="A1630">
        <f>HYPERLINK("http://bombeiros.sp.gov.br/hidrantes/03individual/3830.html","3830")</f>
      </c>
      <c r="B1630" t="s">
        <v>842</v>
      </c>
      <c r="C1630" t="s">
        <v>964</v>
      </c>
      <c r="D1630" t="s">
        <v>13219</v>
      </c>
      <c r="E1630" t="s">
        <v>15</v>
      </c>
      <c r="F1630" t="s">
        <v>13268</v>
      </c>
      <c r="G1630" t="s">
        <v>18531</v>
      </c>
      <c r="H1630" t="s">
        <v>1112</v>
      </c>
      <c r="I1630" t="s">
        <v>1108</v>
      </c>
      <c r="J1630" t="s">
        <v>13269</v>
      </c>
      <c r="K1630" t="s">
        <v>13270</v>
      </c>
      <c r="L1630" t="s">
        <v>21</v>
      </c>
      <c r="M1630" t="s">
        <v>19177</v>
      </c>
      <c r="N1630" t="s">
        <v>1024</v>
      </c>
      <c r="O1630" t="s">
        <v>1024</v>
      </c>
      <c r="P1630" t="s">
        <v>842</v>
      </c>
    </row>
    <row r="1631">
      <c r="A1631">
        <f>HYPERLINK("http://bombeiros.sp.gov.br/hidrantes/03individual/3842.html","3842")</f>
      </c>
      <c r="B1631" t="s">
        <v>842</v>
      </c>
      <c r="C1631" t="s">
        <v>964</v>
      </c>
      <c r="D1631" t="s">
        <v>13219</v>
      </c>
      <c r="E1631" t="s">
        <v>15</v>
      </c>
      <c r="F1631" t="s">
        <v>13271</v>
      </c>
      <c r="G1631" t="s">
        <v>18003</v>
      </c>
      <c r="H1631" t="s">
        <v>1112</v>
      </c>
      <c r="I1631" t="s">
        <v>1108</v>
      </c>
      <c r="J1631" t="s">
        <v>13272</v>
      </c>
      <c r="K1631" t="s">
        <v>13273</v>
      </c>
      <c r="L1631" t="s">
        <v>21</v>
      </c>
      <c r="M1631" t="s">
        <v>19177</v>
      </c>
      <c r="N1631" t="s">
        <v>1024</v>
      </c>
      <c r="O1631" t="s">
        <v>1024</v>
      </c>
      <c r="P1631" t="s">
        <v>842</v>
      </c>
    </row>
    <row r="1632">
      <c r="A1632">
        <f>HYPERLINK("http://bombeiros.sp.gov.br/hidrantes/03individual/4180.html","4180")</f>
      </c>
      <c r="B1632" t="s">
        <v>842</v>
      </c>
      <c r="C1632" t="s">
        <v>964</v>
      </c>
      <c r="D1632" t="s">
        <v>13219</v>
      </c>
      <c r="E1632" t="s">
        <v>15</v>
      </c>
      <c r="F1632" t="s">
        <v>13274</v>
      </c>
      <c r="G1632" t="s">
        <v>18135</v>
      </c>
      <c r="H1632" t="s">
        <v>1112</v>
      </c>
      <c r="I1632" t="s">
        <v>1108</v>
      </c>
      <c r="J1632" t="s">
        <v>13275</v>
      </c>
      <c r="K1632" t="s">
        <v>13276</v>
      </c>
      <c r="L1632" t="s">
        <v>21</v>
      </c>
      <c r="M1632" t="s">
        <v>19177</v>
      </c>
      <c r="N1632" t="s">
        <v>1024</v>
      </c>
      <c r="O1632" t="s">
        <v>1024</v>
      </c>
      <c r="P1632" t="s">
        <v>842</v>
      </c>
    </row>
    <row r="1633">
      <c r="A1633">
        <f>HYPERLINK("http://bombeiros.sp.gov.br/hidrantes/03individual/16621.html","16621")</f>
      </c>
      <c r="B1633" t="s">
        <v>842</v>
      </c>
      <c r="C1633" t="s">
        <v>964</v>
      </c>
      <c r="D1633" t="s">
        <v>13219</v>
      </c>
      <c r="E1633" t="s">
        <v>15</v>
      </c>
      <c r="F1633" t="s">
        <v>13277</v>
      </c>
      <c r="G1633" t="s">
        <v>18089</v>
      </c>
      <c r="H1633" t="s">
        <v>1107</v>
      </c>
      <c r="I1633" t="s">
        <v>1108</v>
      </c>
      <c r="J1633" t="s">
        <v>13278</v>
      </c>
      <c r="K1633" t="s">
        <v>13279</v>
      </c>
      <c r="L1633" t="s">
        <v>21</v>
      </c>
      <c r="M1633" t="s">
        <v>19177</v>
      </c>
      <c r="N1633" t="s">
        <v>1024</v>
      </c>
      <c r="O1633" t="s">
        <v>1024</v>
      </c>
      <c r="P1633" t="s">
        <v>842</v>
      </c>
    </row>
    <row r="1634">
      <c r="A1634">
        <f>HYPERLINK("http://bombeiros.sp.gov.br/hidrantes/03individual/16623.html","16623")</f>
      </c>
      <c r="B1634" t="s">
        <v>842</v>
      </c>
      <c r="C1634" t="s">
        <v>964</v>
      </c>
      <c r="D1634" t="s">
        <v>13219</v>
      </c>
      <c r="E1634" t="s">
        <v>15</v>
      </c>
      <c r="F1634" t="s">
        <v>13283</v>
      </c>
      <c r="G1634" t="s">
        <v>18089</v>
      </c>
      <c r="H1634" t="s">
        <v>1107</v>
      </c>
      <c r="I1634" t="s">
        <v>1108</v>
      </c>
      <c r="J1634" t="s">
        <v>13284</v>
      </c>
      <c r="K1634" t="s">
        <v>13285</v>
      </c>
      <c r="L1634" t="s">
        <v>21</v>
      </c>
      <c r="M1634" t="s">
        <v>19177</v>
      </c>
      <c r="N1634" t="s">
        <v>1024</v>
      </c>
      <c r="O1634" t="s">
        <v>1024</v>
      </c>
      <c r="P1634" t="s">
        <v>842</v>
      </c>
    </row>
    <row r="1635">
      <c r="A1635">
        <f>HYPERLINK("http://bombeiros.sp.gov.br/hidrantes/03individual/17852.html","17852")</f>
      </c>
      <c r="B1635" t="s">
        <v>842</v>
      </c>
      <c r="C1635" t="s">
        <v>964</v>
      </c>
      <c r="D1635" t="s">
        <v>13219</v>
      </c>
      <c r="E1635" t="s">
        <v>15</v>
      </c>
      <c r="F1635" t="s">
        <v>13289</v>
      </c>
      <c r="G1635" t="s">
        <v>18135</v>
      </c>
      <c r="H1635" t="s">
        <v>1112</v>
      </c>
      <c r="I1635" t="s">
        <v>1108</v>
      </c>
      <c r="J1635" t="s">
        <v>13290</v>
      </c>
      <c r="K1635" t="s">
        <v>13291</v>
      </c>
      <c r="L1635" t="s">
        <v>21</v>
      </c>
      <c r="M1635" t="s">
        <v>19177</v>
      </c>
      <c r="N1635" t="s">
        <v>1024</v>
      </c>
      <c r="O1635" t="s">
        <v>1024</v>
      </c>
      <c r="P1635" t="s">
        <v>842</v>
      </c>
    </row>
    <row r="1636">
      <c r="A1636">
        <f>HYPERLINK("http://bombeiros.sp.gov.br/hidrantes/03individual/3735.html","3735")</f>
      </c>
      <c r="B1636" t="s">
        <v>842</v>
      </c>
      <c r="C1636" t="s">
        <v>964</v>
      </c>
      <c r="D1636" t="s">
        <v>13292</v>
      </c>
      <c r="E1636" t="s">
        <v>64</v>
      </c>
      <c r="F1636" t="s">
        <v>13293</v>
      </c>
      <c r="G1636" t="s">
        <v>18531</v>
      </c>
      <c r="H1636" t="s">
        <v>1112</v>
      </c>
      <c r="I1636" t="s">
        <v>1108</v>
      </c>
      <c r="J1636" t="s">
        <v>13294</v>
      </c>
      <c r="K1636" t="s">
        <v>13295</v>
      </c>
      <c r="L1636" t="s">
        <v>36</v>
      </c>
      <c r="M1636" t="s">
        <v>19177</v>
      </c>
      <c r="N1636" t="s">
        <v>1024</v>
      </c>
      <c r="O1636" t="s">
        <v>1024</v>
      </c>
      <c r="P1636" t="s">
        <v>842</v>
      </c>
    </row>
    <row r="1637">
      <c r="A1637">
        <f>HYPERLINK("http://bombeiros.sp.gov.br/hidrantes/03individual/3757.html","3757")</f>
      </c>
      <c r="B1637" t="s">
        <v>842</v>
      </c>
      <c r="C1637" t="s">
        <v>964</v>
      </c>
      <c r="D1637" t="s">
        <v>13292</v>
      </c>
      <c r="E1637" t="s">
        <v>64</v>
      </c>
      <c r="F1637" t="s">
        <v>13296</v>
      </c>
      <c r="G1637" t="s">
        <v>18074</v>
      </c>
      <c r="H1637" t="s">
        <v>1112</v>
      </c>
      <c r="I1637" t="s">
        <v>1108</v>
      </c>
      <c r="J1637" t="s">
        <v>13297</v>
      </c>
      <c r="K1637" t="s">
        <v>13298</v>
      </c>
      <c r="L1637" t="s">
        <v>21</v>
      </c>
      <c r="M1637" t="s">
        <v>19177</v>
      </c>
      <c r="N1637" t="s">
        <v>1024</v>
      </c>
      <c r="O1637" t="s">
        <v>1024</v>
      </c>
      <c r="P1637" t="s">
        <v>842</v>
      </c>
    </row>
    <row r="1638">
      <c r="A1638">
        <f>HYPERLINK("http://bombeiros.sp.gov.br/hidrantes/03individual/3782.html","3782")</f>
      </c>
      <c r="B1638" t="s">
        <v>842</v>
      </c>
      <c r="C1638" t="s">
        <v>964</v>
      </c>
      <c r="D1638" t="s">
        <v>13292</v>
      </c>
      <c r="E1638" t="s">
        <v>64</v>
      </c>
      <c r="F1638" t="s">
        <v>13299</v>
      </c>
      <c r="G1638" t="s">
        <v>18145</v>
      </c>
      <c r="H1638" t="s">
        <v>1112</v>
      </c>
      <c r="I1638" t="s">
        <v>1108</v>
      </c>
      <c r="J1638" t="s">
        <v>13300</v>
      </c>
      <c r="K1638" t="s">
        <v>13301</v>
      </c>
      <c r="L1638" t="s">
        <v>21</v>
      </c>
      <c r="M1638" t="s">
        <v>19177</v>
      </c>
      <c r="N1638" t="s">
        <v>1024</v>
      </c>
      <c r="O1638" t="s">
        <v>1024</v>
      </c>
      <c r="P1638" t="s">
        <v>842</v>
      </c>
    </row>
    <row r="1639">
      <c r="A1639">
        <f>HYPERLINK("http://bombeiros.sp.gov.br/hidrantes/03individual/410.html","410")</f>
      </c>
      <c r="B1639" t="s">
        <v>842</v>
      </c>
      <c r="C1639" t="s">
        <v>964</v>
      </c>
      <c r="D1639" t="s">
        <v>13292</v>
      </c>
      <c r="E1639" t="s">
        <v>15</v>
      </c>
      <c r="F1639" t="s">
        <v>13305</v>
      </c>
      <c r="G1639" t="s">
        <v>18531</v>
      </c>
      <c r="H1639" t="s">
        <v>1112</v>
      </c>
      <c r="I1639" t="s">
        <v>1108</v>
      </c>
      <c r="J1639" t="s">
        <v>13306</v>
      </c>
      <c r="K1639" t="s">
        <v>13307</v>
      </c>
      <c r="L1639" t="s">
        <v>21</v>
      </c>
      <c r="M1639" t="s">
        <v>19177</v>
      </c>
      <c r="N1639" t="s">
        <v>1024</v>
      </c>
      <c r="O1639" t="s">
        <v>1024</v>
      </c>
      <c r="P1639" t="s">
        <v>842</v>
      </c>
    </row>
    <row r="1640">
      <c r="A1640">
        <f>HYPERLINK("http://bombeiros.sp.gov.br/hidrantes/03individual/435.html","435")</f>
      </c>
      <c r="B1640" t="s">
        <v>842</v>
      </c>
      <c r="C1640" t="s">
        <v>964</v>
      </c>
      <c r="D1640" t="s">
        <v>13292</v>
      </c>
      <c r="E1640" t="s">
        <v>15</v>
      </c>
      <c r="F1640" t="s">
        <v>13308</v>
      </c>
      <c r="G1640" t="s">
        <v>18046</v>
      </c>
      <c r="H1640" t="s">
        <v>1112</v>
      </c>
      <c r="I1640" t="s">
        <v>1108</v>
      </c>
      <c r="J1640" t="s">
        <v>13309</v>
      </c>
      <c r="K1640" t="s">
        <v>13310</v>
      </c>
      <c r="L1640" t="s">
        <v>21</v>
      </c>
      <c r="M1640" t="s">
        <v>19177</v>
      </c>
      <c r="N1640" t="s">
        <v>1024</v>
      </c>
      <c r="O1640" t="s">
        <v>1024</v>
      </c>
      <c r="P1640" t="s">
        <v>842</v>
      </c>
    </row>
    <row r="1641">
      <c r="A1641">
        <f>HYPERLINK("http://bombeiros.sp.gov.br/hidrantes/03individual/460.html","460")</f>
      </c>
      <c r="B1641" t="s">
        <v>842</v>
      </c>
      <c r="C1641" t="s">
        <v>964</v>
      </c>
      <c r="D1641" t="s">
        <v>13292</v>
      </c>
      <c r="E1641" t="s">
        <v>15</v>
      </c>
      <c r="F1641" t="s">
        <v>13314</v>
      </c>
      <c r="G1641" t="s">
        <v>18531</v>
      </c>
      <c r="H1641" t="s">
        <v>1112</v>
      </c>
      <c r="I1641" t="s">
        <v>1108</v>
      </c>
      <c r="J1641" t="s">
        <v>15998</v>
      </c>
      <c r="K1641" t="s">
        <v>15999</v>
      </c>
      <c r="L1641" t="s">
        <v>21</v>
      </c>
      <c r="M1641" t="s">
        <v>19177</v>
      </c>
      <c r="N1641" t="s">
        <v>1024</v>
      </c>
      <c r="O1641" t="s">
        <v>1024</v>
      </c>
      <c r="P1641" t="s">
        <v>842</v>
      </c>
    </row>
    <row r="1642">
      <c r="A1642">
        <f>HYPERLINK("http://bombeiros.sp.gov.br/hidrantes/03individual/483.html","483")</f>
      </c>
      <c r="B1642" t="s">
        <v>842</v>
      </c>
      <c r="C1642" t="s">
        <v>964</v>
      </c>
      <c r="D1642" t="s">
        <v>13292</v>
      </c>
      <c r="E1642" t="s">
        <v>15</v>
      </c>
      <c r="F1642" t="s">
        <v>13320</v>
      </c>
      <c r="G1642" t="s">
        <v>18531</v>
      </c>
      <c r="H1642" t="s">
        <v>1112</v>
      </c>
      <c r="I1642" t="s">
        <v>1108</v>
      </c>
      <c r="J1642" t="s">
        <v>13321</v>
      </c>
      <c r="K1642" t="s">
        <v>13322</v>
      </c>
      <c r="L1642" t="s">
        <v>21</v>
      </c>
      <c r="M1642" t="s">
        <v>19177</v>
      </c>
      <c r="N1642" t="s">
        <v>1024</v>
      </c>
      <c r="O1642" t="s">
        <v>1024</v>
      </c>
      <c r="P1642" t="s">
        <v>842</v>
      </c>
    </row>
    <row r="1643">
      <c r="A1643">
        <f>HYPERLINK("http://bombeiros.sp.gov.br/hidrantes/03individual/496.html","496")</f>
      </c>
      <c r="B1643" t="s">
        <v>842</v>
      </c>
      <c r="C1643" t="s">
        <v>964</v>
      </c>
      <c r="D1643" t="s">
        <v>13292</v>
      </c>
      <c r="E1643" t="s">
        <v>15</v>
      </c>
      <c r="F1643" t="s">
        <v>13323</v>
      </c>
      <c r="G1643" t="s">
        <v>18531</v>
      </c>
      <c r="H1643" t="s">
        <v>1121</v>
      </c>
      <c r="I1643" t="s">
        <v>1108</v>
      </c>
      <c r="J1643" t="s">
        <v>17405</v>
      </c>
      <c r="K1643" t="s">
        <v>17406</v>
      </c>
      <c r="L1643" t="s">
        <v>21</v>
      </c>
      <c r="M1643" t="s">
        <v>19177</v>
      </c>
      <c r="N1643" t="s">
        <v>1024</v>
      </c>
      <c r="O1643" t="s">
        <v>1024</v>
      </c>
      <c r="P1643" t="s">
        <v>842</v>
      </c>
    </row>
    <row r="1644">
      <c r="A1644">
        <f>HYPERLINK("http://bombeiros.sp.gov.br/hidrantes/03individual/3741.html","3741")</f>
      </c>
      <c r="B1644" t="s">
        <v>842</v>
      </c>
      <c r="C1644" t="s">
        <v>964</v>
      </c>
      <c r="D1644" t="s">
        <v>13292</v>
      </c>
      <c r="E1644" t="s">
        <v>15</v>
      </c>
      <c r="F1644" t="s">
        <v>13332</v>
      </c>
      <c r="G1644" t="s">
        <v>18062</v>
      </c>
      <c r="H1644" t="s">
        <v>1112</v>
      </c>
      <c r="I1644" t="s">
        <v>1108</v>
      </c>
      <c r="J1644" t="s">
        <v>13333</v>
      </c>
      <c r="K1644" t="s">
        <v>13334</v>
      </c>
      <c r="L1644" t="s">
        <v>21</v>
      </c>
      <c r="M1644" t="s">
        <v>19177</v>
      </c>
      <c r="N1644" t="s">
        <v>1024</v>
      </c>
      <c r="O1644" t="s">
        <v>1024</v>
      </c>
      <c r="P1644" t="s">
        <v>842</v>
      </c>
    </row>
    <row r="1645">
      <c r="A1645">
        <f>HYPERLINK("http://bombeiros.sp.gov.br/hidrantes/03individual/3756.html","3756")</f>
      </c>
      <c r="B1645" t="s">
        <v>842</v>
      </c>
      <c r="C1645" t="s">
        <v>964</v>
      </c>
      <c r="D1645" t="s">
        <v>13292</v>
      </c>
      <c r="E1645" t="s">
        <v>15</v>
      </c>
      <c r="F1645" t="s">
        <v>13341</v>
      </c>
      <c r="G1645" t="s">
        <v>18005</v>
      </c>
      <c r="H1645" t="s">
        <v>1112</v>
      </c>
      <c r="I1645" t="s">
        <v>1108</v>
      </c>
      <c r="J1645" t="s">
        <v>13342</v>
      </c>
      <c r="K1645" t="s">
        <v>13343</v>
      </c>
      <c r="L1645" t="s">
        <v>21</v>
      </c>
      <c r="M1645" t="s">
        <v>19177</v>
      </c>
      <c r="N1645" t="s">
        <v>1024</v>
      </c>
      <c r="O1645" t="s">
        <v>1024</v>
      </c>
      <c r="P1645" t="s">
        <v>842</v>
      </c>
    </row>
    <row r="1646">
      <c r="A1646">
        <f>HYPERLINK("http://bombeiros.sp.gov.br/hidrantes/03individual/3825.html","3825")</f>
      </c>
      <c r="B1646" t="s">
        <v>842</v>
      </c>
      <c r="C1646" t="s">
        <v>964</v>
      </c>
      <c r="D1646" t="s">
        <v>13292</v>
      </c>
      <c r="E1646" t="s">
        <v>15</v>
      </c>
      <c r="F1646" t="s">
        <v>13344</v>
      </c>
      <c r="G1646" t="s">
        <v>18062</v>
      </c>
      <c r="H1646" t="s">
        <v>1112</v>
      </c>
      <c r="I1646" t="s">
        <v>1108</v>
      </c>
      <c r="J1646" t="s">
        <v>13345</v>
      </c>
      <c r="K1646" t="s">
        <v>13346</v>
      </c>
      <c r="L1646" t="s">
        <v>21</v>
      </c>
      <c r="M1646" t="s">
        <v>19177</v>
      </c>
      <c r="N1646" t="s">
        <v>1024</v>
      </c>
      <c r="O1646" t="s">
        <v>1024</v>
      </c>
      <c r="P1646" t="s">
        <v>842</v>
      </c>
    </row>
    <row r="1647">
      <c r="A1647">
        <f>HYPERLINK("http://bombeiros.sp.gov.br/hidrantes/03individual/3826.html","3826")</f>
      </c>
      <c r="B1647" t="s">
        <v>842</v>
      </c>
      <c r="C1647" t="s">
        <v>964</v>
      </c>
      <c r="D1647" t="s">
        <v>13292</v>
      </c>
      <c r="E1647" t="s">
        <v>15</v>
      </c>
      <c r="F1647" t="s">
        <v>13347</v>
      </c>
      <c r="G1647" t="s">
        <v>18056</v>
      </c>
      <c r="H1647" t="s">
        <v>1112</v>
      </c>
      <c r="I1647" t="s">
        <v>1108</v>
      </c>
      <c r="J1647" t="s">
        <v>13348</v>
      </c>
      <c r="K1647" t="s">
        <v>13349</v>
      </c>
      <c r="L1647" t="s">
        <v>21</v>
      </c>
      <c r="M1647" t="s">
        <v>19177</v>
      </c>
      <c r="N1647" t="s">
        <v>1024</v>
      </c>
      <c r="O1647" t="s">
        <v>1024</v>
      </c>
      <c r="P1647" t="s">
        <v>842</v>
      </c>
    </row>
    <row r="1648">
      <c r="A1648">
        <f>HYPERLINK("http://bombeiros.sp.gov.br/hidrantes/03individual/16615.html","16615")</f>
      </c>
      <c r="B1648" t="s">
        <v>842</v>
      </c>
      <c r="C1648" t="s">
        <v>964</v>
      </c>
      <c r="D1648" t="s">
        <v>13292</v>
      </c>
      <c r="E1648" t="s">
        <v>15</v>
      </c>
      <c r="F1648" t="s">
        <v>13350</v>
      </c>
      <c r="G1648" t="s">
        <v>18531</v>
      </c>
      <c r="H1648" t="s">
        <v>1112</v>
      </c>
      <c r="I1648" t="s">
        <v>1108</v>
      </c>
      <c r="J1648" t="s">
        <v>17770</v>
      </c>
      <c r="K1648" t="s">
        <v>17771</v>
      </c>
      <c r="L1648" t="s">
        <v>21</v>
      </c>
      <c r="M1648" t="s">
        <v>19177</v>
      </c>
      <c r="N1648" t="s">
        <v>1024</v>
      </c>
      <c r="O1648" t="s">
        <v>1024</v>
      </c>
      <c r="P1648" t="s">
        <v>842</v>
      </c>
    </row>
    <row r="1649">
      <c r="A1649">
        <f>HYPERLINK("http://bombeiros.sp.gov.br/hidrantes/03individual/16618.html","16618")</f>
      </c>
      <c r="B1649" t="s">
        <v>842</v>
      </c>
      <c r="C1649" t="s">
        <v>964</v>
      </c>
      <c r="D1649" t="s">
        <v>13292</v>
      </c>
      <c r="E1649" t="s">
        <v>15</v>
      </c>
      <c r="F1649" t="s">
        <v>13356</v>
      </c>
      <c r="G1649" t="s">
        <v>18239</v>
      </c>
      <c r="H1649" t="s">
        <v>1112</v>
      </c>
      <c r="I1649" t="s">
        <v>1108</v>
      </c>
      <c r="J1649" t="s">
        <v>13357</v>
      </c>
      <c r="K1649" t="s">
        <v>13358</v>
      </c>
      <c r="L1649" t="s">
        <v>21</v>
      </c>
      <c r="M1649" t="s">
        <v>19177</v>
      </c>
      <c r="N1649" t="s">
        <v>1024</v>
      </c>
      <c r="O1649" t="s">
        <v>1024</v>
      </c>
      <c r="P1649" t="s">
        <v>842</v>
      </c>
    </row>
    <row r="1650">
      <c r="A1650">
        <f>HYPERLINK("http://bombeiros.sp.gov.br/hidrantes/03individual/4400.html","4400")</f>
      </c>
      <c r="B1650" t="s">
        <v>842</v>
      </c>
      <c r="C1650" t="s">
        <v>975</v>
      </c>
      <c r="D1650" t="s">
        <v>975</v>
      </c>
      <c r="E1650" t="s">
        <v>64</v>
      </c>
      <c r="F1650" t="s">
        <v>13359</v>
      </c>
      <c r="G1650" t="s">
        <v>17909</v>
      </c>
      <c r="H1650" t="s">
        <v>1112</v>
      </c>
      <c r="I1650" t="s">
        <v>1108</v>
      </c>
      <c r="J1650" t="s">
        <v>13360</v>
      </c>
      <c r="K1650" t="s">
        <v>13361</v>
      </c>
      <c r="L1650" t="s">
        <v>21</v>
      </c>
      <c r="M1650" t="s">
        <v>19177</v>
      </c>
      <c r="N1650" t="s">
        <v>843</v>
      </c>
      <c r="O1650" t="s">
        <v>987</v>
      </c>
      <c r="P1650" t="s">
        <v>842</v>
      </c>
    </row>
    <row r="1651">
      <c r="A1651">
        <f>HYPERLINK("http://bombeiros.sp.gov.br/hidrantes/03individual/17804.html","17804")</f>
      </c>
      <c r="B1651" t="s">
        <v>842</v>
      </c>
      <c r="C1651" t="s">
        <v>975</v>
      </c>
      <c r="D1651" t="s">
        <v>13362</v>
      </c>
      <c r="E1651" t="s">
        <v>64</v>
      </c>
      <c r="F1651" t="s">
        <v>13366</v>
      </c>
      <c r="G1651" t="s">
        <v>17903</v>
      </c>
      <c r="H1651" t="s">
        <v>1112</v>
      </c>
      <c r="I1651" t="s">
        <v>1108</v>
      </c>
      <c r="J1651" t="s">
        <v>13367</v>
      </c>
      <c r="K1651" t="s">
        <v>13368</v>
      </c>
      <c r="L1651" t="s">
        <v>21</v>
      </c>
      <c r="M1651" t="s">
        <v>19177</v>
      </c>
      <c r="N1651" t="s">
        <v>843</v>
      </c>
      <c r="O1651" t="s">
        <v>987</v>
      </c>
      <c r="P1651" t="s">
        <v>842</v>
      </c>
    </row>
    <row r="1652">
      <c r="A1652">
        <f>HYPERLINK("http://bombeiros.sp.gov.br/hidrantes/03individual/26790.html","26790")</f>
      </c>
      <c r="B1652" t="s">
        <v>842</v>
      </c>
      <c r="C1652" t="s">
        <v>975</v>
      </c>
      <c r="D1652" t="s">
        <v>13362</v>
      </c>
      <c r="E1652" t="s">
        <v>64</v>
      </c>
      <c r="F1652" t="s">
        <v>15818</v>
      </c>
      <c r="G1652" t="s">
        <v>17909</v>
      </c>
      <c r="H1652" t="s">
        <v>1112</v>
      </c>
      <c r="I1652" t="s">
        <v>1108</v>
      </c>
      <c r="J1652" t="s">
        <v>15819</v>
      </c>
      <c r="K1652" t="s">
        <v>15820</v>
      </c>
      <c r="L1652" t="s">
        <v>21</v>
      </c>
      <c r="M1652" t="s">
        <v>19177</v>
      </c>
      <c r="N1652" t="s">
        <v>843</v>
      </c>
      <c r="O1652" t="s">
        <v>987</v>
      </c>
      <c r="P1652" t="s">
        <v>842</v>
      </c>
    </row>
    <row r="1653">
      <c r="A1653">
        <f>HYPERLINK("http://bombeiros.sp.gov.br/hidrantes/03individual/4148.html","4148")</f>
      </c>
      <c r="B1653" t="s">
        <v>842</v>
      </c>
      <c r="C1653" t="s">
        <v>975</v>
      </c>
      <c r="D1653" t="s">
        <v>13369</v>
      </c>
      <c r="E1653" t="s">
        <v>64</v>
      </c>
      <c r="F1653" t="s">
        <v>13370</v>
      </c>
      <c r="G1653" t="s">
        <v>17909</v>
      </c>
      <c r="H1653" t="s">
        <v>1107</v>
      </c>
      <c r="I1653" t="s">
        <v>1108</v>
      </c>
      <c r="J1653" t="s">
        <v>13371</v>
      </c>
      <c r="K1653" t="s">
        <v>13372</v>
      </c>
      <c r="L1653" t="s">
        <v>36</v>
      </c>
      <c r="M1653" t="s">
        <v>19177</v>
      </c>
      <c r="N1653" t="s">
        <v>843</v>
      </c>
      <c r="O1653" t="s">
        <v>987</v>
      </c>
      <c r="P1653" t="s">
        <v>842</v>
      </c>
    </row>
    <row r="1654">
      <c r="A1654">
        <f>HYPERLINK("http://bombeiros.sp.gov.br/hidrantes/03individual/10058.html","10058")</f>
      </c>
      <c r="B1654" t="s">
        <v>842</v>
      </c>
      <c r="C1654" t="s">
        <v>979</v>
      </c>
      <c r="D1654" t="s">
        <v>980</v>
      </c>
      <c r="E1654" t="s">
        <v>1507</v>
      </c>
      <c r="F1654" t="s">
        <v>13373</v>
      </c>
      <c r="G1654" t="s">
        <v>17921</v>
      </c>
      <c r="H1654" t="s">
        <v>1112</v>
      </c>
      <c r="I1654" t="s">
        <v>1108</v>
      </c>
      <c r="J1654" t="s">
        <v>13374</v>
      </c>
      <c r="K1654" t="s">
        <v>13375</v>
      </c>
      <c r="L1654" t="s">
        <v>21</v>
      </c>
      <c r="M1654" t="s">
        <v>19177</v>
      </c>
      <c r="N1654" t="s">
        <v>843</v>
      </c>
      <c r="O1654" t="s">
        <v>987</v>
      </c>
      <c r="P1654" t="s">
        <v>842</v>
      </c>
    </row>
    <row r="1655">
      <c r="A1655">
        <f>HYPERLINK("http://bombeiros.sp.gov.br/hidrantes/03individual/4110.html","4110")</f>
      </c>
      <c r="B1655" t="s">
        <v>842</v>
      </c>
      <c r="C1655" t="s">
        <v>979</v>
      </c>
      <c r="D1655" t="s">
        <v>980</v>
      </c>
      <c r="E1655" t="s">
        <v>64</v>
      </c>
      <c r="F1655" t="s">
        <v>13376</v>
      </c>
      <c r="G1655" t="s">
        <v>18055</v>
      </c>
      <c r="H1655" t="s">
        <v>1112</v>
      </c>
      <c r="I1655" t="s">
        <v>1108</v>
      </c>
      <c r="J1655" t="s">
        <v>13377</v>
      </c>
      <c r="K1655" t="s">
        <v>13378</v>
      </c>
      <c r="L1655" t="s">
        <v>36</v>
      </c>
      <c r="M1655" t="s">
        <v>19177</v>
      </c>
      <c r="N1655" t="s">
        <v>843</v>
      </c>
      <c r="O1655" t="s">
        <v>987</v>
      </c>
      <c r="P1655" t="s">
        <v>842</v>
      </c>
    </row>
    <row r="1656">
      <c r="A1656">
        <f>HYPERLINK("http://bombeiros.sp.gov.br/hidrantes/03individual/4133.html","4133")</f>
      </c>
      <c r="B1656" t="s">
        <v>842</v>
      </c>
      <c r="C1656" t="s">
        <v>979</v>
      </c>
      <c r="D1656" t="s">
        <v>980</v>
      </c>
      <c r="E1656" t="s">
        <v>64</v>
      </c>
      <c r="F1656" t="s">
        <v>13379</v>
      </c>
      <c r="G1656" t="s">
        <v>17921</v>
      </c>
      <c r="H1656" t="s">
        <v>1112</v>
      </c>
      <c r="I1656" t="s">
        <v>1108</v>
      </c>
      <c r="J1656" t="s">
        <v>13380</v>
      </c>
      <c r="K1656" t="s">
        <v>13381</v>
      </c>
      <c r="L1656" t="s">
        <v>36</v>
      </c>
      <c r="M1656" t="s">
        <v>19177</v>
      </c>
      <c r="N1656" t="s">
        <v>843</v>
      </c>
      <c r="O1656" t="s">
        <v>987</v>
      </c>
      <c r="P1656" t="s">
        <v>842</v>
      </c>
    </row>
    <row r="1657">
      <c r="A1657">
        <f>HYPERLINK("http://bombeiros.sp.gov.br/hidrantes/03individual/6736.html","6736")</f>
      </c>
      <c r="B1657" t="s">
        <v>842</v>
      </c>
      <c r="C1657" t="s">
        <v>979</v>
      </c>
      <c r="D1657" t="s">
        <v>980</v>
      </c>
      <c r="E1657" t="s">
        <v>64</v>
      </c>
      <c r="F1657" t="s">
        <v>13385</v>
      </c>
      <c r="G1657" t="s">
        <v>17921</v>
      </c>
      <c r="H1657" t="s">
        <v>1112</v>
      </c>
      <c r="I1657" t="s">
        <v>1108</v>
      </c>
      <c r="J1657" t="s">
        <v>13386</v>
      </c>
      <c r="K1657" t="s">
        <v>13387</v>
      </c>
      <c r="L1657" t="s">
        <v>21</v>
      </c>
      <c r="M1657" t="s">
        <v>19177</v>
      </c>
      <c r="N1657" t="s">
        <v>843</v>
      </c>
      <c r="O1657" t="s">
        <v>987</v>
      </c>
      <c r="P1657" t="s">
        <v>842</v>
      </c>
    </row>
    <row r="1658">
      <c r="A1658">
        <f>HYPERLINK("http://bombeiros.sp.gov.br/hidrantes/03individual/24149.html","24149")</f>
      </c>
      <c r="B1658" t="s">
        <v>842</v>
      </c>
      <c r="C1658" t="s">
        <v>979</v>
      </c>
      <c r="D1658" t="s">
        <v>980</v>
      </c>
      <c r="E1658" t="s">
        <v>64</v>
      </c>
      <c r="F1658" t="s">
        <v>13391</v>
      </c>
      <c r="G1658" t="s">
        <v>17921</v>
      </c>
      <c r="H1658" t="s">
        <v>1112</v>
      </c>
      <c r="I1658" t="s">
        <v>1108</v>
      </c>
      <c r="J1658" t="s">
        <v>13392</v>
      </c>
      <c r="K1658" t="s">
        <v>13393</v>
      </c>
      <c r="L1658" t="s">
        <v>21</v>
      </c>
      <c r="M1658" t="s">
        <v>19177</v>
      </c>
      <c r="N1658" t="s">
        <v>843</v>
      </c>
      <c r="O1658" t="s">
        <v>987</v>
      </c>
      <c r="P1658" t="s">
        <v>842</v>
      </c>
    </row>
    <row r="1659">
      <c r="A1659">
        <f>HYPERLINK("http://bombeiros.sp.gov.br/hidrantes/03individual/2345.html","2345")</f>
      </c>
      <c r="B1659" t="s">
        <v>842</v>
      </c>
      <c r="C1659" t="s">
        <v>979</v>
      </c>
      <c r="D1659" t="s">
        <v>980</v>
      </c>
      <c r="E1659" t="s">
        <v>15</v>
      </c>
      <c r="F1659" t="s">
        <v>13394</v>
      </c>
      <c r="G1659" t="s">
        <v>18055</v>
      </c>
      <c r="H1659" t="s">
        <v>1112</v>
      </c>
      <c r="I1659" t="s">
        <v>1108</v>
      </c>
      <c r="J1659" t="s">
        <v>13395</v>
      </c>
      <c r="K1659" t="s">
        <v>13396</v>
      </c>
      <c r="L1659" t="s">
        <v>21</v>
      </c>
      <c r="M1659" t="s">
        <v>19177</v>
      </c>
      <c r="N1659" t="s">
        <v>843</v>
      </c>
      <c r="O1659" t="s">
        <v>987</v>
      </c>
      <c r="P1659" t="s">
        <v>842</v>
      </c>
    </row>
    <row r="1660">
      <c r="A1660">
        <f>HYPERLINK("http://bombeiros.sp.gov.br/hidrantes/03individual/4150.html","4150")</f>
      </c>
      <c r="B1660" t="s">
        <v>842</v>
      </c>
      <c r="C1660" t="s">
        <v>979</v>
      </c>
      <c r="D1660" t="s">
        <v>980</v>
      </c>
      <c r="E1660" t="s">
        <v>15</v>
      </c>
      <c r="F1660" t="s">
        <v>13403</v>
      </c>
      <c r="G1660" t="s">
        <v>17911</v>
      </c>
      <c r="H1660" t="s">
        <v>1112</v>
      </c>
      <c r="I1660" t="s">
        <v>1108</v>
      </c>
      <c r="J1660" t="s">
        <v>13404</v>
      </c>
      <c r="K1660" t="s">
        <v>13405</v>
      </c>
      <c r="L1660" t="s">
        <v>21</v>
      </c>
      <c r="M1660" t="s">
        <v>19177</v>
      </c>
      <c r="N1660" t="s">
        <v>843</v>
      </c>
      <c r="O1660" t="s">
        <v>987</v>
      </c>
      <c r="P1660" t="s">
        <v>842</v>
      </c>
    </row>
    <row r="1661">
      <c r="A1661">
        <f>HYPERLINK("http://bombeiros.sp.gov.br/hidrantes/03individual/17805.html","17805")</f>
      </c>
      <c r="B1661" t="s">
        <v>842</v>
      </c>
      <c r="C1661" t="s">
        <v>979</v>
      </c>
      <c r="D1661" t="s">
        <v>980</v>
      </c>
      <c r="E1661" t="s">
        <v>15</v>
      </c>
      <c r="F1661" t="s">
        <v>13406</v>
      </c>
      <c r="G1661" t="s">
        <v>18055</v>
      </c>
      <c r="H1661" t="s">
        <v>1112</v>
      </c>
      <c r="I1661" t="s">
        <v>1108</v>
      </c>
      <c r="J1661" t="s">
        <v>13407</v>
      </c>
      <c r="K1661" t="s">
        <v>13408</v>
      </c>
      <c r="L1661" t="s">
        <v>21</v>
      </c>
      <c r="M1661" t="s">
        <v>19177</v>
      </c>
      <c r="N1661" t="s">
        <v>843</v>
      </c>
      <c r="O1661" t="s">
        <v>987</v>
      </c>
      <c r="P1661" t="s">
        <v>842</v>
      </c>
    </row>
    <row r="1662">
      <c r="A1662">
        <f>HYPERLINK("http://bombeiros.sp.gov.br/hidrantes/03individual/2492.html","2492")</f>
      </c>
      <c r="B1662" t="s">
        <v>842</v>
      </c>
      <c r="C1662" t="s">
        <v>979</v>
      </c>
      <c r="D1662" t="s">
        <v>987</v>
      </c>
      <c r="E1662" t="s">
        <v>64</v>
      </c>
      <c r="F1662" t="s">
        <v>13409</v>
      </c>
      <c r="G1662" t="s">
        <v>17911</v>
      </c>
      <c r="H1662" t="s">
        <v>1112</v>
      </c>
      <c r="I1662" t="s">
        <v>1108</v>
      </c>
      <c r="J1662" t="s">
        <v>13410</v>
      </c>
      <c r="K1662" t="s">
        <v>13411</v>
      </c>
      <c r="L1662" t="s">
        <v>21</v>
      </c>
      <c r="M1662" t="s">
        <v>19177</v>
      </c>
      <c r="N1662" t="s">
        <v>843</v>
      </c>
      <c r="O1662" t="s">
        <v>987</v>
      </c>
      <c r="P1662" t="s">
        <v>842</v>
      </c>
    </row>
    <row r="1663">
      <c r="A1663">
        <f>HYPERLINK("http://bombeiros.sp.gov.br/hidrantes/03individual/6737.html","6737")</f>
      </c>
      <c r="B1663" t="s">
        <v>842</v>
      </c>
      <c r="C1663" t="s">
        <v>979</v>
      </c>
      <c r="D1663" t="s">
        <v>987</v>
      </c>
      <c r="E1663" t="s">
        <v>64</v>
      </c>
      <c r="F1663" t="s">
        <v>13415</v>
      </c>
      <c r="G1663" t="s">
        <v>17911</v>
      </c>
      <c r="H1663" t="s">
        <v>1112</v>
      </c>
      <c r="I1663" t="s">
        <v>1108</v>
      </c>
      <c r="J1663" t="s">
        <v>13416</v>
      </c>
      <c r="K1663" t="s">
        <v>13417</v>
      </c>
      <c r="L1663" t="s">
        <v>21</v>
      </c>
      <c r="M1663" t="s">
        <v>19177</v>
      </c>
      <c r="N1663" t="s">
        <v>843</v>
      </c>
      <c r="O1663" t="s">
        <v>987</v>
      </c>
      <c r="P1663" t="s">
        <v>842</v>
      </c>
    </row>
    <row r="1664">
      <c r="A1664">
        <f>HYPERLINK("http://bombeiros.sp.gov.br/hidrantes/03individual/2457.html","2457")</f>
      </c>
      <c r="B1664" t="s">
        <v>842</v>
      </c>
      <c r="C1664" t="s">
        <v>979</v>
      </c>
      <c r="D1664" t="s">
        <v>979</v>
      </c>
      <c r="E1664" t="s">
        <v>15</v>
      </c>
      <c r="F1664" t="s">
        <v>13427</v>
      </c>
      <c r="G1664" t="s">
        <v>17915</v>
      </c>
      <c r="H1664" t="s">
        <v>1112</v>
      </c>
      <c r="I1664" t="s">
        <v>1108</v>
      </c>
      <c r="J1664" t="s">
        <v>13428</v>
      </c>
      <c r="K1664" t="s">
        <v>13429</v>
      </c>
      <c r="L1664" t="s">
        <v>21</v>
      </c>
      <c r="M1664" t="s">
        <v>19177</v>
      </c>
      <c r="N1664" t="s">
        <v>843</v>
      </c>
      <c r="O1664" t="s">
        <v>987</v>
      </c>
      <c r="P1664" t="s">
        <v>842</v>
      </c>
    </row>
    <row r="1665">
      <c r="A1665">
        <f>HYPERLINK("http://bombeiros.sp.gov.br/hidrantes/03individual/2504.html","2504")</f>
      </c>
      <c r="B1665" t="s">
        <v>842</v>
      </c>
      <c r="C1665" t="s">
        <v>979</v>
      </c>
      <c r="D1665" t="s">
        <v>979</v>
      </c>
      <c r="E1665" t="s">
        <v>15</v>
      </c>
      <c r="F1665" t="s">
        <v>13433</v>
      </c>
      <c r="G1665" t="s">
        <v>17921</v>
      </c>
      <c r="H1665" t="s">
        <v>1174</v>
      </c>
      <c r="I1665" t="s">
        <v>1108</v>
      </c>
      <c r="J1665" t="s">
        <v>13435</v>
      </c>
      <c r="K1665" t="s">
        <v>13436</v>
      </c>
      <c r="L1665" t="s">
        <v>21</v>
      </c>
      <c r="M1665" t="s">
        <v>19177</v>
      </c>
      <c r="N1665" t="s">
        <v>843</v>
      </c>
      <c r="O1665" t="s">
        <v>987</v>
      </c>
      <c r="P1665" t="s">
        <v>842</v>
      </c>
    </row>
    <row r="1666">
      <c r="A1666">
        <f>HYPERLINK("http://bombeiros.sp.gov.br/hidrantes/03individual/2505.html","2505")</f>
      </c>
      <c r="B1666" t="s">
        <v>842</v>
      </c>
      <c r="C1666" t="s">
        <v>979</v>
      </c>
      <c r="D1666" t="s">
        <v>979</v>
      </c>
      <c r="E1666" t="s">
        <v>15</v>
      </c>
      <c r="F1666" t="s">
        <v>13437</v>
      </c>
      <c r="G1666" t="s">
        <v>17915</v>
      </c>
      <c r="H1666" t="s">
        <v>1112</v>
      </c>
      <c r="I1666" t="s">
        <v>1108</v>
      </c>
      <c r="J1666" t="s">
        <v>13438</v>
      </c>
      <c r="K1666" t="s">
        <v>13439</v>
      </c>
      <c r="L1666" t="s">
        <v>21</v>
      </c>
      <c r="M1666" t="s">
        <v>19177</v>
      </c>
      <c r="N1666" t="s">
        <v>843</v>
      </c>
      <c r="O1666" t="s">
        <v>987</v>
      </c>
      <c r="P1666" t="s">
        <v>842</v>
      </c>
    </row>
    <row r="1667">
      <c r="A1667">
        <f>HYPERLINK("http://bombeiros.sp.gov.br/hidrantes/03individual/16626.html","16626")</f>
      </c>
      <c r="B1667" t="s">
        <v>842</v>
      </c>
      <c r="C1667" t="s">
        <v>979</v>
      </c>
      <c r="D1667" t="s">
        <v>979</v>
      </c>
      <c r="E1667" t="s">
        <v>15</v>
      </c>
      <c r="F1667" t="s">
        <v>13446</v>
      </c>
      <c r="G1667" t="s">
        <v>17921</v>
      </c>
      <c r="H1667" t="s">
        <v>1112</v>
      </c>
      <c r="I1667" t="s">
        <v>1108</v>
      </c>
      <c r="J1667" t="s">
        <v>13447</v>
      </c>
      <c r="K1667" t="s">
        <v>13448</v>
      </c>
      <c r="L1667" t="s">
        <v>21</v>
      </c>
      <c r="M1667" t="s">
        <v>19177</v>
      </c>
      <c r="N1667" t="s">
        <v>848</v>
      </c>
      <c r="O1667" t="s">
        <v>640</v>
      </c>
      <c r="P1667" t="s">
        <v>623</v>
      </c>
    </row>
    <row r="1668">
      <c r="A1668">
        <f>HYPERLINK("http://bombeiros.sp.gov.br/hidrantes/03individual/3784.html","3784")</f>
      </c>
      <c r="B1668" t="s">
        <v>842</v>
      </c>
      <c r="C1668" t="s">
        <v>996</v>
      </c>
      <c r="D1668" t="s">
        <v>13449</v>
      </c>
      <c r="E1668" t="s">
        <v>1507</v>
      </c>
      <c r="F1668" t="s">
        <v>13450</v>
      </c>
      <c r="G1668" t="s">
        <v>18083</v>
      </c>
      <c r="H1668" t="s">
        <v>1107</v>
      </c>
      <c r="I1668" t="s">
        <v>1108</v>
      </c>
      <c r="J1668" t="s">
        <v>13451</v>
      </c>
      <c r="K1668" t="s">
        <v>13452</v>
      </c>
      <c r="L1668" t="s">
        <v>36</v>
      </c>
      <c r="M1668" t="s">
        <v>19177</v>
      </c>
      <c r="N1668" t="s">
        <v>714</v>
      </c>
      <c r="O1668" t="s">
        <v>10263</v>
      </c>
      <c r="P1668" t="s">
        <v>12</v>
      </c>
    </row>
    <row r="1669">
      <c r="A1669">
        <f>HYPERLINK("http://bombeiros.sp.gov.br/hidrantes/03individual/3698.html","3698")</f>
      </c>
      <c r="B1669" t="s">
        <v>842</v>
      </c>
      <c r="C1669" t="s">
        <v>996</v>
      </c>
      <c r="D1669" t="s">
        <v>13449</v>
      </c>
      <c r="E1669" t="s">
        <v>64</v>
      </c>
      <c r="F1669" t="s">
        <v>13453</v>
      </c>
      <c r="G1669" t="s">
        <v>18129</v>
      </c>
      <c r="H1669" t="s">
        <v>1112</v>
      </c>
      <c r="I1669" t="s">
        <v>1108</v>
      </c>
      <c r="J1669" t="s">
        <v>13454</v>
      </c>
      <c r="K1669" t="s">
        <v>13455</v>
      </c>
      <c r="L1669" t="s">
        <v>36</v>
      </c>
      <c r="M1669" t="s">
        <v>19177</v>
      </c>
      <c r="N1669" t="s">
        <v>714</v>
      </c>
      <c r="O1669" t="s">
        <v>10263</v>
      </c>
      <c r="P1669" t="s">
        <v>12</v>
      </c>
    </row>
    <row r="1670">
      <c r="A1670">
        <f>HYPERLINK("http://bombeiros.sp.gov.br/hidrantes/03individual/3783.html","3783")</f>
      </c>
      <c r="B1670" t="s">
        <v>842</v>
      </c>
      <c r="C1670" t="s">
        <v>996</v>
      </c>
      <c r="D1670" t="s">
        <v>13449</v>
      </c>
      <c r="E1670" t="s">
        <v>64</v>
      </c>
      <c r="F1670" t="s">
        <v>13456</v>
      </c>
      <c r="G1670" t="s">
        <v>18544</v>
      </c>
      <c r="H1670" t="s">
        <v>1121</v>
      </c>
      <c r="I1670" t="s">
        <v>1117</v>
      </c>
      <c r="J1670" t="s">
        <v>13457</v>
      </c>
      <c r="K1670" t="s">
        <v>13458</v>
      </c>
      <c r="L1670" t="s">
        <v>36</v>
      </c>
      <c r="M1670" t="s">
        <v>19177</v>
      </c>
      <c r="N1670" t="s">
        <v>714</v>
      </c>
      <c r="O1670" t="s">
        <v>10263</v>
      </c>
      <c r="P1670" t="s">
        <v>12</v>
      </c>
    </row>
    <row r="1671">
      <c r="A1671">
        <f>HYPERLINK("http://bombeiros.sp.gov.br/hidrantes/03individual/4005.html","4005")</f>
      </c>
      <c r="B1671" t="s">
        <v>842</v>
      </c>
      <c r="C1671" t="s">
        <v>996</v>
      </c>
      <c r="D1671" t="s">
        <v>13449</v>
      </c>
      <c r="E1671" t="s">
        <v>64</v>
      </c>
      <c r="F1671" t="s">
        <v>13459</v>
      </c>
      <c r="G1671" t="s">
        <v>18129</v>
      </c>
      <c r="H1671" t="s">
        <v>1112</v>
      </c>
      <c r="I1671" t="s">
        <v>1108</v>
      </c>
      <c r="J1671" t="s">
        <v>13461</v>
      </c>
      <c r="K1671" t="s">
        <v>13462</v>
      </c>
      <c r="L1671" t="s">
        <v>36</v>
      </c>
      <c r="M1671" t="s">
        <v>19177</v>
      </c>
      <c r="N1671" t="s">
        <v>714</v>
      </c>
      <c r="O1671" t="s">
        <v>10263</v>
      </c>
      <c r="P1671" t="s">
        <v>12</v>
      </c>
    </row>
    <row r="1672">
      <c r="A1672">
        <f>HYPERLINK("http://bombeiros.sp.gov.br/hidrantes/03individual/331.html","331")</f>
      </c>
      <c r="B1672" t="s">
        <v>842</v>
      </c>
      <c r="C1672" t="s">
        <v>996</v>
      </c>
      <c r="D1672" t="s">
        <v>13449</v>
      </c>
      <c r="E1672" t="s">
        <v>15</v>
      </c>
      <c r="F1672" t="s">
        <v>13466</v>
      </c>
      <c r="G1672" t="s">
        <v>18129</v>
      </c>
      <c r="H1672" t="s">
        <v>1112</v>
      </c>
      <c r="I1672" t="s">
        <v>1108</v>
      </c>
      <c r="J1672" t="s">
        <v>13467</v>
      </c>
      <c r="K1672" t="s">
        <v>13468</v>
      </c>
      <c r="L1672" t="s">
        <v>21</v>
      </c>
      <c r="M1672" t="s">
        <v>19177</v>
      </c>
      <c r="N1672" t="s">
        <v>714</v>
      </c>
      <c r="O1672" t="s">
        <v>10263</v>
      </c>
      <c r="P1672" t="s">
        <v>12</v>
      </c>
    </row>
    <row r="1673">
      <c r="A1673">
        <f>HYPERLINK("http://bombeiros.sp.gov.br/hidrantes/03individual/2178.html","2178")</f>
      </c>
      <c r="B1673" t="s">
        <v>842</v>
      </c>
      <c r="C1673" t="s">
        <v>996</v>
      </c>
      <c r="D1673" t="s">
        <v>13449</v>
      </c>
      <c r="E1673" t="s">
        <v>15</v>
      </c>
      <c r="F1673" t="s">
        <v>13475</v>
      </c>
      <c r="G1673" t="s">
        <v>18214</v>
      </c>
      <c r="H1673" t="s">
        <v>1112</v>
      </c>
      <c r="I1673" t="s">
        <v>1108</v>
      </c>
      <c r="J1673" t="s">
        <v>13476</v>
      </c>
      <c r="K1673" t="s">
        <v>13477</v>
      </c>
      <c r="L1673" t="s">
        <v>21</v>
      </c>
      <c r="M1673" t="s">
        <v>19177</v>
      </c>
      <c r="N1673" t="s">
        <v>714</v>
      </c>
      <c r="O1673" t="s">
        <v>10263</v>
      </c>
      <c r="P1673" t="s">
        <v>12</v>
      </c>
    </row>
    <row r="1674">
      <c r="A1674">
        <f>HYPERLINK("http://bombeiros.sp.gov.br/hidrantes/03individual/27452.html","27452")</f>
      </c>
      <c r="B1674" t="s">
        <v>842</v>
      </c>
      <c r="C1674" t="s">
        <v>996</v>
      </c>
      <c r="D1674" t="s">
        <v>997</v>
      </c>
      <c r="E1674" t="s">
        <v>64</v>
      </c>
      <c r="F1674" t="s">
        <v>17293</v>
      </c>
      <c r="G1674" t="s">
        <v>18062</v>
      </c>
      <c r="H1674" t="s">
        <v>1107</v>
      </c>
      <c r="I1674" t="s">
        <v>1108</v>
      </c>
      <c r="J1674" t="s">
        <v>17294</v>
      </c>
      <c r="K1674" t="s">
        <v>17295</v>
      </c>
      <c r="L1674" t="s">
        <v>21</v>
      </c>
      <c r="M1674" t="s">
        <v>19177</v>
      </c>
      <c r="N1674" t="s">
        <v>714</v>
      </c>
      <c r="O1674" t="s">
        <v>10263</v>
      </c>
      <c r="P1674" t="s">
        <v>12</v>
      </c>
    </row>
    <row r="1675">
      <c r="A1675">
        <f>HYPERLINK("http://bombeiros.sp.gov.br/hidrantes/03individual/27453.html","27453")</f>
      </c>
      <c r="B1675" t="s">
        <v>842</v>
      </c>
      <c r="C1675" t="s">
        <v>996</v>
      </c>
      <c r="D1675" t="s">
        <v>997</v>
      </c>
      <c r="E1675" t="s">
        <v>64</v>
      </c>
      <c r="F1675" t="s">
        <v>17381</v>
      </c>
      <c r="G1675" t="s">
        <v>18083</v>
      </c>
      <c r="H1675" t="s">
        <v>1107</v>
      </c>
      <c r="I1675" t="s">
        <v>1108</v>
      </c>
      <c r="J1675" t="s">
        <v>17382</v>
      </c>
      <c r="K1675" t="s">
        <v>17383</v>
      </c>
      <c r="L1675" t="s">
        <v>21</v>
      </c>
      <c r="M1675" t="s">
        <v>19177</v>
      </c>
      <c r="N1675" t="s">
        <v>714</v>
      </c>
      <c r="O1675" t="s">
        <v>10263</v>
      </c>
      <c r="P1675" t="s">
        <v>12</v>
      </c>
    </row>
    <row r="1676">
      <c r="A1676">
        <f>HYPERLINK("http://bombeiros.sp.gov.br/hidrantes/03individual/27288.html","27288")</f>
      </c>
      <c r="B1676" t="s">
        <v>842</v>
      </c>
      <c r="C1676" t="s">
        <v>996</v>
      </c>
      <c r="D1676" t="s">
        <v>997</v>
      </c>
      <c r="E1676" t="s">
        <v>15</v>
      </c>
      <c r="F1676" t="s">
        <v>17060</v>
      </c>
      <c r="G1676" t="s">
        <v>18178</v>
      </c>
      <c r="H1676" t="s">
        <v>1121</v>
      </c>
      <c r="I1676" t="s">
        <v>1117</v>
      </c>
      <c r="J1676" t="s">
        <v>17061</v>
      </c>
      <c r="K1676" t="s">
        <v>17062</v>
      </c>
      <c r="L1676" t="s">
        <v>21</v>
      </c>
      <c r="M1676" t="s">
        <v>19177</v>
      </c>
      <c r="N1676" t="s">
        <v>714</v>
      </c>
      <c r="O1676" t="s">
        <v>10263</v>
      </c>
      <c r="P1676" t="s">
        <v>12</v>
      </c>
    </row>
    <row r="1677">
      <c r="A1677">
        <f>HYPERLINK("http://bombeiros.sp.gov.br/hidrantes/03individual/326.html","326")</f>
      </c>
      <c r="B1677" t="s">
        <v>842</v>
      </c>
      <c r="C1677" t="s">
        <v>996</v>
      </c>
      <c r="D1677" t="s">
        <v>996</v>
      </c>
      <c r="E1677" t="s">
        <v>64</v>
      </c>
      <c r="F1677" t="s">
        <v>13490</v>
      </c>
      <c r="G1677" t="s">
        <v>18060</v>
      </c>
      <c r="H1677" t="s">
        <v>1107</v>
      </c>
      <c r="I1677" t="s">
        <v>1108</v>
      </c>
      <c r="J1677" t="s">
        <v>13491</v>
      </c>
      <c r="K1677" t="s">
        <v>13492</v>
      </c>
      <c r="L1677" t="s">
        <v>36</v>
      </c>
      <c r="M1677" t="s">
        <v>19177</v>
      </c>
      <c r="N1677" t="s">
        <v>714</v>
      </c>
      <c r="O1677" t="s">
        <v>10263</v>
      </c>
      <c r="P1677" t="s">
        <v>12</v>
      </c>
    </row>
    <row r="1678">
      <c r="A1678">
        <f>HYPERLINK("http://bombeiros.sp.gov.br/hidrantes/03individual/389.html","389")</f>
      </c>
      <c r="B1678" t="s">
        <v>842</v>
      </c>
      <c r="C1678" t="s">
        <v>996</v>
      </c>
      <c r="D1678" t="s">
        <v>996</v>
      </c>
      <c r="E1678" t="s">
        <v>64</v>
      </c>
      <c r="F1678" t="s">
        <v>13493</v>
      </c>
      <c r="G1678" t="s">
        <v>18544</v>
      </c>
      <c r="H1678" t="s">
        <v>1107</v>
      </c>
      <c r="I1678" t="s">
        <v>1108</v>
      </c>
      <c r="J1678" t="s">
        <v>13494</v>
      </c>
      <c r="K1678" t="s">
        <v>13495</v>
      </c>
      <c r="L1678" t="s">
        <v>36</v>
      </c>
      <c r="M1678" t="s">
        <v>19177</v>
      </c>
      <c r="N1678" t="s">
        <v>714</v>
      </c>
      <c r="O1678" t="s">
        <v>10263</v>
      </c>
      <c r="P1678" t="s">
        <v>12</v>
      </c>
    </row>
    <row r="1679">
      <c r="A1679">
        <f>HYPERLINK("http://bombeiros.sp.gov.br/hidrantes/03individual/3697.html","3697")</f>
      </c>
      <c r="B1679" t="s">
        <v>842</v>
      </c>
      <c r="C1679" t="s">
        <v>996</v>
      </c>
      <c r="D1679" t="s">
        <v>996</v>
      </c>
      <c r="E1679" t="s">
        <v>64</v>
      </c>
      <c r="F1679" t="s">
        <v>13496</v>
      </c>
      <c r="G1679" t="s">
        <v>18083</v>
      </c>
      <c r="H1679" t="s">
        <v>1107</v>
      </c>
      <c r="I1679" t="s">
        <v>1108</v>
      </c>
      <c r="J1679" t="s">
        <v>13497</v>
      </c>
      <c r="K1679" t="s">
        <v>13498</v>
      </c>
      <c r="L1679" t="s">
        <v>36</v>
      </c>
      <c r="M1679" t="s">
        <v>19177</v>
      </c>
      <c r="N1679" t="s">
        <v>714</v>
      </c>
      <c r="O1679" t="s">
        <v>10263</v>
      </c>
      <c r="P1679" t="s">
        <v>12</v>
      </c>
    </row>
    <row r="1680">
      <c r="A1680">
        <f>HYPERLINK("http://bombeiros.sp.gov.br/hidrantes/03individual/3701.html","3701")</f>
      </c>
      <c r="B1680" t="s">
        <v>842</v>
      </c>
      <c r="C1680" t="s">
        <v>996</v>
      </c>
      <c r="D1680" t="s">
        <v>996</v>
      </c>
      <c r="E1680" t="s">
        <v>64</v>
      </c>
      <c r="F1680" t="s">
        <v>13499</v>
      </c>
      <c r="G1680" t="s">
        <v>18167</v>
      </c>
      <c r="H1680" t="s">
        <v>1107</v>
      </c>
      <c r="I1680" t="s">
        <v>1108</v>
      </c>
      <c r="J1680" t="s">
        <v>13500</v>
      </c>
      <c r="K1680" t="s">
        <v>13501</v>
      </c>
      <c r="L1680" t="s">
        <v>36</v>
      </c>
      <c r="M1680" t="s">
        <v>19177</v>
      </c>
      <c r="N1680" t="s">
        <v>714</v>
      </c>
      <c r="O1680" t="s">
        <v>10263</v>
      </c>
      <c r="P1680" t="s">
        <v>12</v>
      </c>
    </row>
    <row r="1681">
      <c r="A1681">
        <f>HYPERLINK("http://bombeiros.sp.gov.br/hidrantes/03individual/329.html","329")</f>
      </c>
      <c r="B1681" t="s">
        <v>842</v>
      </c>
      <c r="C1681" t="s">
        <v>996</v>
      </c>
      <c r="D1681" t="s">
        <v>996</v>
      </c>
      <c r="E1681" t="s">
        <v>15</v>
      </c>
      <c r="F1681" t="s">
        <v>13505</v>
      </c>
      <c r="G1681" t="s">
        <v>18544</v>
      </c>
      <c r="H1681" t="s">
        <v>1107</v>
      </c>
      <c r="I1681" t="s">
        <v>1108</v>
      </c>
      <c r="J1681" t="s">
        <v>16493</v>
      </c>
      <c r="K1681" t="s">
        <v>16494</v>
      </c>
      <c r="L1681" t="s">
        <v>21</v>
      </c>
      <c r="M1681" t="s">
        <v>19177</v>
      </c>
      <c r="N1681" t="s">
        <v>714</v>
      </c>
      <c r="O1681" t="s">
        <v>10263</v>
      </c>
      <c r="P1681" t="s">
        <v>12</v>
      </c>
    </row>
    <row r="1682">
      <c r="A1682">
        <f>HYPERLINK("http://bombeiros.sp.gov.br/hidrantes/03individual/391.html","391")</f>
      </c>
      <c r="B1682" t="s">
        <v>842</v>
      </c>
      <c r="C1682" t="s">
        <v>996</v>
      </c>
      <c r="D1682" t="s">
        <v>996</v>
      </c>
      <c r="E1682" t="s">
        <v>15</v>
      </c>
      <c r="F1682" t="s">
        <v>13511</v>
      </c>
      <c r="G1682" t="s">
        <v>18544</v>
      </c>
      <c r="H1682" t="s">
        <v>1107</v>
      </c>
      <c r="I1682" t="s">
        <v>1108</v>
      </c>
      <c r="J1682" t="s">
        <v>13512</v>
      </c>
      <c r="K1682" t="s">
        <v>13513</v>
      </c>
      <c r="L1682" t="s">
        <v>21</v>
      </c>
      <c r="M1682" t="s">
        <v>19177</v>
      </c>
      <c r="N1682" t="s">
        <v>714</v>
      </c>
      <c r="O1682" t="s">
        <v>10263</v>
      </c>
      <c r="P1682" t="s">
        <v>12</v>
      </c>
    </row>
    <row r="1683">
      <c r="A1683">
        <f>HYPERLINK("http://bombeiros.sp.gov.br/hidrantes/03individual/402.html","402")</f>
      </c>
      <c r="B1683" t="s">
        <v>842</v>
      </c>
      <c r="C1683" t="s">
        <v>996</v>
      </c>
      <c r="D1683" t="s">
        <v>996</v>
      </c>
      <c r="E1683" t="s">
        <v>15</v>
      </c>
      <c r="F1683" t="s">
        <v>13514</v>
      </c>
      <c r="G1683" t="s">
        <v>18053</v>
      </c>
      <c r="H1683" t="s">
        <v>1112</v>
      </c>
      <c r="I1683" t="s">
        <v>1108</v>
      </c>
      <c r="J1683" t="s">
        <v>13515</v>
      </c>
      <c r="K1683" t="s">
        <v>13516</v>
      </c>
      <c r="L1683" t="s">
        <v>21</v>
      </c>
      <c r="M1683" t="s">
        <v>19177</v>
      </c>
      <c r="N1683" t="s">
        <v>714</v>
      </c>
      <c r="O1683" t="s">
        <v>10263</v>
      </c>
      <c r="P1683" t="s">
        <v>12</v>
      </c>
    </row>
    <row r="1684">
      <c r="A1684">
        <f>HYPERLINK("http://bombeiros.sp.gov.br/hidrantes/03individual/434.html","434")</f>
      </c>
      <c r="B1684" t="s">
        <v>842</v>
      </c>
      <c r="C1684" t="s">
        <v>996</v>
      </c>
      <c r="D1684" t="s">
        <v>996</v>
      </c>
      <c r="E1684" t="s">
        <v>15</v>
      </c>
      <c r="F1684" t="s">
        <v>13523</v>
      </c>
      <c r="G1684" t="s">
        <v>18563</v>
      </c>
      <c r="H1684" t="s">
        <v>1121</v>
      </c>
      <c r="I1684" t="s">
        <v>1117</v>
      </c>
      <c r="J1684" t="s">
        <v>13524</v>
      </c>
      <c r="K1684" t="s">
        <v>13525</v>
      </c>
      <c r="L1684" t="s">
        <v>21</v>
      </c>
      <c r="M1684" t="s">
        <v>19177</v>
      </c>
      <c r="N1684" t="s">
        <v>714</v>
      </c>
      <c r="O1684" t="s">
        <v>10263</v>
      </c>
      <c r="P1684" t="s">
        <v>12</v>
      </c>
    </row>
    <row r="1685">
      <c r="A1685">
        <f>HYPERLINK("http://bombeiros.sp.gov.br/hidrantes/03individual/455.html","455")</f>
      </c>
      <c r="B1685" t="s">
        <v>842</v>
      </c>
      <c r="C1685" t="s">
        <v>996</v>
      </c>
      <c r="D1685" t="s">
        <v>996</v>
      </c>
      <c r="E1685" t="s">
        <v>15</v>
      </c>
      <c r="F1685" t="s">
        <v>13526</v>
      </c>
      <c r="G1685" t="s">
        <v>18083</v>
      </c>
      <c r="H1685" t="s">
        <v>1107</v>
      </c>
      <c r="I1685" t="s">
        <v>1108</v>
      </c>
      <c r="J1685" t="s">
        <v>16042</v>
      </c>
      <c r="K1685" t="s">
        <v>16043</v>
      </c>
      <c r="L1685" t="s">
        <v>21</v>
      </c>
      <c r="M1685" t="s">
        <v>19177</v>
      </c>
      <c r="N1685" t="s">
        <v>714</v>
      </c>
      <c r="O1685" t="s">
        <v>10263</v>
      </c>
      <c r="P1685" t="s">
        <v>12</v>
      </c>
    </row>
    <row r="1686">
      <c r="A1686">
        <f>HYPERLINK("http://bombeiros.sp.gov.br/hidrantes/03individual/477.html","477")</f>
      </c>
      <c r="B1686" t="s">
        <v>842</v>
      </c>
      <c r="C1686" t="s">
        <v>996</v>
      </c>
      <c r="D1686" t="s">
        <v>996</v>
      </c>
      <c r="E1686" t="s">
        <v>15</v>
      </c>
      <c r="F1686" t="s">
        <v>13529</v>
      </c>
      <c r="G1686" t="s">
        <v>18544</v>
      </c>
      <c r="H1686" t="s">
        <v>1107</v>
      </c>
      <c r="I1686" t="s">
        <v>1108</v>
      </c>
      <c r="J1686" t="s">
        <v>13530</v>
      </c>
      <c r="K1686" t="s">
        <v>13531</v>
      </c>
      <c r="L1686" t="s">
        <v>36</v>
      </c>
      <c r="M1686" t="s">
        <v>19177</v>
      </c>
      <c r="N1686" t="s">
        <v>714</v>
      </c>
      <c r="O1686" t="s">
        <v>10263</v>
      </c>
      <c r="P1686" t="s">
        <v>12</v>
      </c>
    </row>
    <row r="1687">
      <c r="A1687">
        <f>HYPERLINK("http://bombeiros.sp.gov.br/hidrantes/03individual/3996.html","3996")</f>
      </c>
      <c r="B1687" t="s">
        <v>842</v>
      </c>
      <c r="C1687" t="s">
        <v>996</v>
      </c>
      <c r="D1687" t="s">
        <v>996</v>
      </c>
      <c r="E1687" t="s">
        <v>15</v>
      </c>
      <c r="F1687" t="s">
        <v>13541</v>
      </c>
      <c r="G1687" t="s">
        <v>18544</v>
      </c>
      <c r="H1687" t="s">
        <v>1107</v>
      </c>
      <c r="I1687" t="s">
        <v>1108</v>
      </c>
      <c r="J1687" t="s">
        <v>13542</v>
      </c>
      <c r="K1687" t="s">
        <v>13543</v>
      </c>
      <c r="L1687" t="s">
        <v>21</v>
      </c>
      <c r="M1687" t="s">
        <v>19177</v>
      </c>
      <c r="N1687" t="s">
        <v>714</v>
      </c>
      <c r="O1687" t="s">
        <v>10263</v>
      </c>
      <c r="P1687" t="s">
        <v>12</v>
      </c>
    </row>
    <row r="1688">
      <c r="A1688">
        <f>HYPERLINK("http://bombeiros.sp.gov.br/hidrantes/03individual/26695.html","26695")</f>
      </c>
      <c r="B1688" t="s">
        <v>842</v>
      </c>
      <c r="C1688" t="s">
        <v>996</v>
      </c>
      <c r="D1688" t="s">
        <v>996</v>
      </c>
      <c r="E1688" t="s">
        <v>15</v>
      </c>
      <c r="F1688" t="s">
        <v>13547</v>
      </c>
      <c r="G1688" t="s">
        <v>18053</v>
      </c>
      <c r="H1688" t="s">
        <v>1112</v>
      </c>
      <c r="I1688" t="s">
        <v>1108</v>
      </c>
      <c r="J1688" t="s">
        <v>13548</v>
      </c>
      <c r="K1688" t="s">
        <v>13549</v>
      </c>
      <c r="L1688" t="s">
        <v>21</v>
      </c>
      <c r="M1688" t="s">
        <v>19177</v>
      </c>
      <c r="N1688" t="s">
        <v>714</v>
      </c>
      <c r="O1688" t="s">
        <v>10263</v>
      </c>
      <c r="P1688" t="s">
        <v>12</v>
      </c>
    </row>
    <row r="1689">
      <c r="A1689">
        <f>HYPERLINK("http://bombeiros.sp.gov.br/hidrantes/03individual/2263.html","2263")</f>
      </c>
      <c r="B1689" t="s">
        <v>842</v>
      </c>
      <c r="C1689" t="s">
        <v>996</v>
      </c>
      <c r="D1689" t="s">
        <v>14776</v>
      </c>
      <c r="E1689" t="s">
        <v>15</v>
      </c>
      <c r="F1689" t="s">
        <v>13579</v>
      </c>
      <c r="G1689" t="s">
        <v>18066</v>
      </c>
      <c r="H1689" t="s">
        <v>1107</v>
      </c>
      <c r="I1689" t="s">
        <v>1108</v>
      </c>
      <c r="J1689" t="s">
        <v>15970</v>
      </c>
      <c r="K1689" t="s">
        <v>15971</v>
      </c>
      <c r="L1689" t="s">
        <v>21</v>
      </c>
      <c r="M1689" t="s">
        <v>19177</v>
      </c>
      <c r="N1689" t="s">
        <v>714</v>
      </c>
      <c r="O1689" t="s">
        <v>10263</v>
      </c>
      <c r="P1689" t="s">
        <v>12</v>
      </c>
    </row>
    <row r="1690">
      <c r="A1690">
        <f>HYPERLINK("http://bombeiros.sp.gov.br/hidrantes/03individual/2196.html","2196")</f>
      </c>
      <c r="B1690" t="s">
        <v>842</v>
      </c>
      <c r="C1690" t="s">
        <v>996</v>
      </c>
      <c r="D1690" t="s">
        <v>1002</v>
      </c>
      <c r="E1690" t="s">
        <v>64</v>
      </c>
      <c r="F1690" t="s">
        <v>13553</v>
      </c>
      <c r="G1690" t="s">
        <v>18048</v>
      </c>
      <c r="H1690" t="s">
        <v>1107</v>
      </c>
      <c r="I1690" t="s">
        <v>1108</v>
      </c>
      <c r="J1690" t="s">
        <v>13554</v>
      </c>
      <c r="K1690" t="s">
        <v>13555</v>
      </c>
      <c r="L1690" t="s">
        <v>36</v>
      </c>
      <c r="M1690" t="s">
        <v>19177</v>
      </c>
      <c r="N1690" t="s">
        <v>714</v>
      </c>
      <c r="O1690" t="s">
        <v>10263</v>
      </c>
      <c r="P1690" t="s">
        <v>12</v>
      </c>
    </row>
    <row r="1691">
      <c r="A1691">
        <f>HYPERLINK("http://bombeiros.sp.gov.br/hidrantes/03individual/1702.html","1702")</f>
      </c>
      <c r="B1691" t="s">
        <v>842</v>
      </c>
      <c r="C1691" t="s">
        <v>996</v>
      </c>
      <c r="D1691" t="s">
        <v>1002</v>
      </c>
      <c r="E1691" t="s">
        <v>15</v>
      </c>
      <c r="F1691" t="s">
        <v>13562</v>
      </c>
      <c r="G1691" t="s">
        <v>17921</v>
      </c>
      <c r="H1691" t="s">
        <v>1112</v>
      </c>
      <c r="I1691" t="s">
        <v>1108</v>
      </c>
      <c r="J1691" t="s">
        <v>13563</v>
      </c>
      <c r="K1691" t="s">
        <v>13564</v>
      </c>
      <c r="L1691" t="s">
        <v>21</v>
      </c>
      <c r="M1691" t="s">
        <v>19177</v>
      </c>
      <c r="N1691" t="s">
        <v>714</v>
      </c>
      <c r="O1691" t="s">
        <v>10263</v>
      </c>
      <c r="P1691" t="s">
        <v>12</v>
      </c>
    </row>
    <row r="1692">
      <c r="A1692">
        <f>HYPERLINK("http://bombeiros.sp.gov.br/hidrantes/03individual/1711.html","1711")</f>
      </c>
      <c r="B1692" t="s">
        <v>842</v>
      </c>
      <c r="C1692" t="s">
        <v>996</v>
      </c>
      <c r="D1692" t="s">
        <v>1002</v>
      </c>
      <c r="E1692" t="s">
        <v>15</v>
      </c>
      <c r="F1692" t="s">
        <v>13570</v>
      </c>
      <c r="G1692" t="s">
        <v>17921</v>
      </c>
      <c r="H1692" t="s">
        <v>1112</v>
      </c>
      <c r="I1692" t="s">
        <v>1108</v>
      </c>
      <c r="J1692" t="s">
        <v>17636</v>
      </c>
      <c r="K1692" t="s">
        <v>17637</v>
      </c>
      <c r="L1692" t="s">
        <v>21</v>
      </c>
      <c r="M1692" t="s">
        <v>19177</v>
      </c>
      <c r="N1692" t="s">
        <v>714</v>
      </c>
      <c r="O1692" t="s">
        <v>10263</v>
      </c>
      <c r="P1692" t="s">
        <v>12</v>
      </c>
    </row>
    <row r="1693">
      <c r="A1693">
        <f>HYPERLINK("http://bombeiros.sp.gov.br/hidrantes/03individual/2241.html","2241")</f>
      </c>
      <c r="B1693" t="s">
        <v>842</v>
      </c>
      <c r="C1693" t="s">
        <v>996</v>
      </c>
      <c r="D1693" t="s">
        <v>1002</v>
      </c>
      <c r="E1693" t="s">
        <v>15</v>
      </c>
      <c r="F1693" t="s">
        <v>13576</v>
      </c>
      <c r="G1693" t="s">
        <v>18048</v>
      </c>
      <c r="H1693" t="s">
        <v>1107</v>
      </c>
      <c r="I1693" t="s">
        <v>1108</v>
      </c>
      <c r="J1693" t="s">
        <v>13577</v>
      </c>
      <c r="K1693" t="s">
        <v>13578</v>
      </c>
      <c r="L1693" t="s">
        <v>21</v>
      </c>
      <c r="M1693" t="s">
        <v>19177</v>
      </c>
      <c r="N1693" t="s">
        <v>714</v>
      </c>
      <c r="O1693" t="s">
        <v>10263</v>
      </c>
      <c r="P1693" t="s">
        <v>12</v>
      </c>
    </row>
    <row r="1694">
      <c r="A1694">
        <f>HYPERLINK("http://bombeiros.sp.gov.br/hidrantes/03individual/2265.html","2265")</f>
      </c>
      <c r="B1694" t="s">
        <v>842</v>
      </c>
      <c r="C1694" t="s">
        <v>996</v>
      </c>
      <c r="D1694" t="s">
        <v>1002</v>
      </c>
      <c r="E1694" t="s">
        <v>15</v>
      </c>
      <c r="F1694" t="s">
        <v>13582</v>
      </c>
      <c r="G1694" t="s">
        <v>18077</v>
      </c>
      <c r="H1694" t="s">
        <v>1112</v>
      </c>
      <c r="I1694" t="s">
        <v>1108</v>
      </c>
      <c r="J1694" t="s">
        <v>13583</v>
      </c>
      <c r="K1694" t="s">
        <v>13584</v>
      </c>
      <c r="L1694" t="s">
        <v>21</v>
      </c>
      <c r="M1694" t="s">
        <v>19177</v>
      </c>
      <c r="N1694" t="s">
        <v>714</v>
      </c>
      <c r="O1694" t="s">
        <v>10263</v>
      </c>
      <c r="P1694" t="s">
        <v>12</v>
      </c>
    </row>
    <row r="1695">
      <c r="A1695">
        <f>HYPERLINK("http://bombeiros.sp.gov.br/hidrantes/03individual/6694.html","6694")</f>
      </c>
      <c r="B1695" t="s">
        <v>842</v>
      </c>
      <c r="C1695" t="s">
        <v>996</v>
      </c>
      <c r="D1695" t="s">
        <v>1002</v>
      </c>
      <c r="E1695" t="s">
        <v>15</v>
      </c>
      <c r="F1695" t="s">
        <v>13600</v>
      </c>
      <c r="G1695" t="s">
        <v>17921</v>
      </c>
      <c r="H1695" t="s">
        <v>1112</v>
      </c>
      <c r="I1695" t="s">
        <v>1108</v>
      </c>
      <c r="J1695" t="s">
        <v>13601</v>
      </c>
      <c r="K1695" t="s">
        <v>13602</v>
      </c>
      <c r="L1695" t="s">
        <v>21</v>
      </c>
      <c r="M1695" t="s">
        <v>19177</v>
      </c>
      <c r="N1695" t="s">
        <v>714</v>
      </c>
      <c r="O1695" t="s">
        <v>10263</v>
      </c>
      <c r="P1695" t="s">
        <v>12</v>
      </c>
    </row>
    <row r="1696">
      <c r="A1696">
        <f>HYPERLINK("http://bombeiros.sp.gov.br/hidrantes/03individual/6695.html","6695")</f>
      </c>
      <c r="B1696" t="s">
        <v>842</v>
      </c>
      <c r="C1696" t="s">
        <v>996</v>
      </c>
      <c r="D1696" t="s">
        <v>1002</v>
      </c>
      <c r="E1696" t="s">
        <v>15</v>
      </c>
      <c r="F1696" t="s">
        <v>13603</v>
      </c>
      <c r="G1696" t="s">
        <v>17921</v>
      </c>
      <c r="H1696" t="s">
        <v>1112</v>
      </c>
      <c r="I1696" t="s">
        <v>1108</v>
      </c>
      <c r="J1696" t="s">
        <v>16086</v>
      </c>
      <c r="K1696" t="s">
        <v>16087</v>
      </c>
      <c r="L1696" t="s">
        <v>21</v>
      </c>
      <c r="M1696" t="s">
        <v>19177</v>
      </c>
      <c r="N1696" t="s">
        <v>714</v>
      </c>
      <c r="O1696" t="s">
        <v>10263</v>
      </c>
      <c r="P1696" t="s">
        <v>12</v>
      </c>
    </row>
    <row r="1697">
      <c r="A1697">
        <f>HYPERLINK("http://bombeiros.sp.gov.br/hidrantes/03individual/6717.html","6717")</f>
      </c>
      <c r="B1697" t="s">
        <v>842</v>
      </c>
      <c r="C1697" t="s">
        <v>996</v>
      </c>
      <c r="D1697" t="s">
        <v>1002</v>
      </c>
      <c r="E1697" t="s">
        <v>15</v>
      </c>
      <c r="F1697" t="s">
        <v>13615</v>
      </c>
      <c r="G1697" t="s">
        <v>17921</v>
      </c>
      <c r="H1697" t="s">
        <v>1107</v>
      </c>
      <c r="I1697" t="s">
        <v>1108</v>
      </c>
      <c r="J1697" t="s">
        <v>13616</v>
      </c>
      <c r="K1697" t="s">
        <v>13617</v>
      </c>
      <c r="L1697" t="s">
        <v>21</v>
      </c>
      <c r="M1697" t="s">
        <v>19177</v>
      </c>
      <c r="N1697" t="s">
        <v>714</v>
      </c>
      <c r="O1697" t="s">
        <v>10263</v>
      </c>
      <c r="P1697" t="s">
        <v>12</v>
      </c>
    </row>
    <row r="1698">
      <c r="A1698">
        <f>HYPERLINK("http://bombeiros.sp.gov.br/hidrantes/03individual/6719.html","6719")</f>
      </c>
      <c r="B1698" t="s">
        <v>842</v>
      </c>
      <c r="C1698" t="s">
        <v>996</v>
      </c>
      <c r="D1698" t="s">
        <v>1002</v>
      </c>
      <c r="E1698" t="s">
        <v>15</v>
      </c>
      <c r="F1698" t="s">
        <v>13621</v>
      </c>
      <c r="G1698" t="s">
        <v>17881</v>
      </c>
      <c r="H1698" t="s">
        <v>1112</v>
      </c>
      <c r="I1698" t="s">
        <v>1108</v>
      </c>
      <c r="J1698" t="s">
        <v>13622</v>
      </c>
      <c r="K1698" t="s">
        <v>13623</v>
      </c>
      <c r="L1698" t="s">
        <v>21</v>
      </c>
      <c r="M1698" t="s">
        <v>19177</v>
      </c>
      <c r="N1698" t="s">
        <v>714</v>
      </c>
      <c r="O1698" t="s">
        <v>10263</v>
      </c>
      <c r="P1698" t="s">
        <v>12</v>
      </c>
    </row>
    <row r="1699">
      <c r="A1699">
        <f>HYPERLINK("http://bombeiros.sp.gov.br/hidrantes/03individual/17711.html","17711")</f>
      </c>
      <c r="B1699" t="s">
        <v>842</v>
      </c>
      <c r="C1699" t="s">
        <v>996</v>
      </c>
      <c r="D1699" t="s">
        <v>1002</v>
      </c>
      <c r="E1699" t="s">
        <v>15</v>
      </c>
      <c r="F1699" t="s">
        <v>13624</v>
      </c>
      <c r="G1699" t="s">
        <v>17899</v>
      </c>
      <c r="H1699" t="s">
        <v>1107</v>
      </c>
      <c r="I1699" t="s">
        <v>1108</v>
      </c>
      <c r="J1699" t="s">
        <v>13625</v>
      </c>
      <c r="K1699" t="s">
        <v>13626</v>
      </c>
      <c r="L1699" t="s">
        <v>21</v>
      </c>
      <c r="M1699" t="s">
        <v>19177</v>
      </c>
      <c r="N1699" t="s">
        <v>714</v>
      </c>
      <c r="O1699" t="s">
        <v>10263</v>
      </c>
      <c r="P1699" t="s">
        <v>12</v>
      </c>
    </row>
    <row r="1700">
      <c r="A1700">
        <f>HYPERLINK("http://bombeiros.sp.gov.br/hidrantes/03individual/17899.html","17899")</f>
      </c>
      <c r="B1700" t="s">
        <v>842</v>
      </c>
      <c r="C1700" t="s">
        <v>996</v>
      </c>
      <c r="D1700" t="s">
        <v>1002</v>
      </c>
      <c r="E1700" t="s">
        <v>15</v>
      </c>
      <c r="F1700" t="s">
        <v>13627</v>
      </c>
      <c r="G1700" t="s">
        <v>18048</v>
      </c>
      <c r="H1700" t="s">
        <v>1107</v>
      </c>
      <c r="I1700" t="s">
        <v>1108</v>
      </c>
      <c r="J1700" t="s">
        <v>13628</v>
      </c>
      <c r="K1700" t="s">
        <v>13629</v>
      </c>
      <c r="L1700" t="s">
        <v>21</v>
      </c>
      <c r="M1700" t="s">
        <v>19177</v>
      </c>
      <c r="N1700" t="s">
        <v>714</v>
      </c>
      <c r="O1700" t="s">
        <v>10263</v>
      </c>
      <c r="P1700" t="s">
        <v>12</v>
      </c>
    </row>
    <row r="1701">
      <c r="A1701">
        <f>HYPERLINK("http://bombeiros.sp.gov.br/hidrantes/03individual/1611.html","1611")</f>
      </c>
      <c r="B1701" t="s">
        <v>842</v>
      </c>
      <c r="C1701" t="s">
        <v>996</v>
      </c>
      <c r="D1701" t="s">
        <v>13630</v>
      </c>
      <c r="E1701" t="s">
        <v>64</v>
      </c>
      <c r="F1701" t="s">
        <v>13631</v>
      </c>
      <c r="G1701" t="s">
        <v>18208</v>
      </c>
      <c r="H1701" t="s">
        <v>1112</v>
      </c>
      <c r="I1701" t="s">
        <v>1108</v>
      </c>
      <c r="J1701" t="s">
        <v>13632</v>
      </c>
      <c r="K1701" t="s">
        <v>13633</v>
      </c>
      <c r="L1701" t="s">
        <v>21</v>
      </c>
      <c r="M1701" t="s">
        <v>19177</v>
      </c>
      <c r="N1701" t="s">
        <v>714</v>
      </c>
      <c r="O1701" t="s">
        <v>10263</v>
      </c>
      <c r="P1701" t="s">
        <v>12</v>
      </c>
    </row>
    <row r="1702">
      <c r="A1702">
        <f>HYPERLINK("http://bombeiros.sp.gov.br/hidrantes/03individual/2190.html","2190")</f>
      </c>
      <c r="B1702" t="s">
        <v>842</v>
      </c>
      <c r="C1702" t="s">
        <v>996</v>
      </c>
      <c r="D1702" t="s">
        <v>13630</v>
      </c>
      <c r="E1702" t="s">
        <v>64</v>
      </c>
      <c r="F1702" t="s">
        <v>13634</v>
      </c>
      <c r="G1702" t="s">
        <v>18214</v>
      </c>
      <c r="H1702" t="s">
        <v>1112</v>
      </c>
      <c r="I1702" t="s">
        <v>1108</v>
      </c>
      <c r="J1702" t="s">
        <v>13635</v>
      </c>
      <c r="K1702" t="s">
        <v>13636</v>
      </c>
      <c r="L1702" t="s">
        <v>36</v>
      </c>
      <c r="M1702" t="s">
        <v>19177</v>
      </c>
      <c r="N1702" t="s">
        <v>714</v>
      </c>
      <c r="O1702" t="s">
        <v>10263</v>
      </c>
      <c r="P1702" t="s">
        <v>12</v>
      </c>
    </row>
    <row r="1703">
      <c r="A1703">
        <f>HYPERLINK("http://bombeiros.sp.gov.br/hidrantes/03individual/3991.html","3991")</f>
      </c>
      <c r="B1703" t="s">
        <v>842</v>
      </c>
      <c r="C1703" t="s">
        <v>996</v>
      </c>
      <c r="D1703" t="s">
        <v>13630</v>
      </c>
      <c r="E1703" t="s">
        <v>15</v>
      </c>
      <c r="F1703" t="s">
        <v>13652</v>
      </c>
      <c r="G1703" t="s">
        <v>18208</v>
      </c>
      <c r="H1703" t="s">
        <v>1112</v>
      </c>
      <c r="I1703" t="s">
        <v>1108</v>
      </c>
      <c r="J1703" t="s">
        <v>16485</v>
      </c>
      <c r="K1703" t="s">
        <v>16486</v>
      </c>
      <c r="L1703" t="s">
        <v>21</v>
      </c>
      <c r="M1703" t="s">
        <v>19177</v>
      </c>
      <c r="N1703" t="s">
        <v>714</v>
      </c>
      <c r="O1703" t="s">
        <v>10263</v>
      </c>
      <c r="P1703" t="s">
        <v>12</v>
      </c>
    </row>
    <row r="1704">
      <c r="A1704">
        <f>HYPERLINK("http://bombeiros.sp.gov.br/hidrantes/03individual/1536.html","1536")</f>
      </c>
      <c r="B1704" t="s">
        <v>842</v>
      </c>
      <c r="C1704" t="s">
        <v>996</v>
      </c>
      <c r="D1704" t="s">
        <v>13655</v>
      </c>
      <c r="E1704" t="s">
        <v>64</v>
      </c>
      <c r="F1704" t="s">
        <v>13656</v>
      </c>
      <c r="G1704" t="s">
        <v>17945</v>
      </c>
      <c r="H1704" t="s">
        <v>1112</v>
      </c>
      <c r="I1704" t="s">
        <v>1108</v>
      </c>
      <c r="J1704" t="s">
        <v>13657</v>
      </c>
      <c r="K1704" t="s">
        <v>13658</v>
      </c>
      <c r="L1704" t="s">
        <v>36</v>
      </c>
      <c r="M1704" t="s">
        <v>19177</v>
      </c>
      <c r="N1704" t="s">
        <v>714</v>
      </c>
      <c r="O1704" t="s">
        <v>10263</v>
      </c>
      <c r="P1704" t="s">
        <v>12</v>
      </c>
    </row>
    <row r="1705">
      <c r="A1705">
        <f>HYPERLINK("http://bombeiros.sp.gov.br/hidrantes/03individual/1726.html","1726")</f>
      </c>
      <c r="B1705" t="s">
        <v>842</v>
      </c>
      <c r="C1705" t="s">
        <v>996</v>
      </c>
      <c r="D1705" t="s">
        <v>13655</v>
      </c>
      <c r="E1705" t="s">
        <v>64</v>
      </c>
      <c r="F1705" t="s">
        <v>13659</v>
      </c>
      <c r="G1705" t="s">
        <v>18131</v>
      </c>
      <c r="H1705" t="s">
        <v>1121</v>
      </c>
      <c r="I1705" t="s">
        <v>1117</v>
      </c>
      <c r="J1705" t="s">
        <v>13660</v>
      </c>
      <c r="K1705" t="s">
        <v>13661</v>
      </c>
      <c r="L1705" t="s">
        <v>36</v>
      </c>
      <c r="M1705" t="s">
        <v>19177</v>
      </c>
      <c r="N1705" t="s">
        <v>714</v>
      </c>
      <c r="O1705" t="s">
        <v>10263</v>
      </c>
      <c r="P1705" t="s">
        <v>12</v>
      </c>
    </row>
    <row r="1706">
      <c r="A1706">
        <f>HYPERLINK("http://bombeiros.sp.gov.br/hidrantes/03individual/1739.html","1739")</f>
      </c>
      <c r="B1706" t="s">
        <v>842</v>
      </c>
      <c r="C1706" t="s">
        <v>996</v>
      </c>
      <c r="D1706" t="s">
        <v>13655</v>
      </c>
      <c r="E1706" t="s">
        <v>15</v>
      </c>
      <c r="F1706" t="s">
        <v>13665</v>
      </c>
      <c r="G1706" t="s">
        <v>17945</v>
      </c>
      <c r="H1706" t="s">
        <v>1112</v>
      </c>
      <c r="I1706" t="s">
        <v>1108</v>
      </c>
      <c r="J1706" t="s">
        <v>13666</v>
      </c>
      <c r="K1706" t="s">
        <v>13667</v>
      </c>
      <c r="L1706" t="s">
        <v>21</v>
      </c>
      <c r="M1706" t="s">
        <v>19177</v>
      </c>
      <c r="N1706" t="s">
        <v>714</v>
      </c>
      <c r="O1706" t="s">
        <v>10263</v>
      </c>
      <c r="P1706" t="s">
        <v>12</v>
      </c>
    </row>
    <row r="1707">
      <c r="A1707">
        <f>HYPERLINK("http://bombeiros.sp.gov.br/hidrantes/03individual/27200.html","27200")</f>
      </c>
      <c r="B1707" t="s">
        <v>842</v>
      </c>
      <c r="C1707" t="s">
        <v>996</v>
      </c>
      <c r="D1707" t="s">
        <v>13655</v>
      </c>
      <c r="E1707" t="s">
        <v>15</v>
      </c>
      <c r="F1707" t="s">
        <v>16969</v>
      </c>
      <c r="G1707" t="s">
        <v>17945</v>
      </c>
      <c r="H1707" t="s">
        <v>1121</v>
      </c>
      <c r="I1707" t="s">
        <v>1117</v>
      </c>
      <c r="J1707" t="s">
        <v>16970</v>
      </c>
      <c r="K1707" t="s">
        <v>16971</v>
      </c>
      <c r="L1707" t="s">
        <v>21</v>
      </c>
      <c r="M1707" t="s">
        <v>19177</v>
      </c>
      <c r="N1707" t="s">
        <v>714</v>
      </c>
      <c r="O1707" t="s">
        <v>10263</v>
      </c>
      <c r="P1707" t="s">
        <v>12</v>
      </c>
    </row>
    <row r="1708">
      <c r="A1708">
        <f>HYPERLINK("http://bombeiros.sp.gov.br/hidrantes/03individual/27201.html","27201")</f>
      </c>
      <c r="B1708" t="s">
        <v>842</v>
      </c>
      <c r="C1708" t="s">
        <v>996</v>
      </c>
      <c r="D1708" t="s">
        <v>13655</v>
      </c>
      <c r="E1708" t="s">
        <v>15</v>
      </c>
      <c r="F1708" t="s">
        <v>16972</v>
      </c>
      <c r="G1708" t="s">
        <v>17924</v>
      </c>
      <c r="H1708" t="s">
        <v>1112</v>
      </c>
      <c r="I1708" t="s">
        <v>1108</v>
      </c>
      <c r="J1708" t="s">
        <v>16973</v>
      </c>
      <c r="K1708" t="s">
        <v>16974</v>
      </c>
      <c r="L1708" t="s">
        <v>21</v>
      </c>
      <c r="M1708" t="s">
        <v>19177</v>
      </c>
      <c r="N1708" t="s">
        <v>714</v>
      </c>
      <c r="O1708" t="s">
        <v>10263</v>
      </c>
      <c r="P1708" t="s">
        <v>12</v>
      </c>
    </row>
    <row r="1709">
      <c r="A1709">
        <f>HYPERLINK("http://bombeiros.sp.gov.br/hidrantes/03individual/10072.html","10072")</f>
      </c>
      <c r="B1709" t="s">
        <v>842</v>
      </c>
      <c r="C1709" t="s">
        <v>13671</v>
      </c>
      <c r="D1709" t="s">
        <v>13672</v>
      </c>
      <c r="E1709" t="s">
        <v>64</v>
      </c>
      <c r="F1709" t="s">
        <v>13673</v>
      </c>
      <c r="G1709" t="s">
        <v>18472</v>
      </c>
      <c r="H1709" t="s">
        <v>1112</v>
      </c>
      <c r="I1709" t="s">
        <v>1108</v>
      </c>
      <c r="J1709" t="s">
        <v>13674</v>
      </c>
      <c r="K1709" t="s">
        <v>13675</v>
      </c>
      <c r="L1709" t="s">
        <v>21</v>
      </c>
      <c r="M1709" t="s">
        <v>19177</v>
      </c>
      <c r="N1709" t="s">
        <v>16376</v>
      </c>
      <c r="O1709" t="s">
        <v>16376</v>
      </c>
      <c r="P1709" t="s">
        <v>842</v>
      </c>
    </row>
    <row r="1710">
      <c r="A1710">
        <f>HYPERLINK("http://bombeiros.sp.gov.br/hidrantes/03individual/27336.html","27336")</f>
      </c>
      <c r="B1710" t="s">
        <v>842</v>
      </c>
      <c r="C1710" t="s">
        <v>13671</v>
      </c>
      <c r="D1710" t="s">
        <v>13671</v>
      </c>
      <c r="E1710" t="s">
        <v>64</v>
      </c>
      <c r="F1710" t="s">
        <v>17172</v>
      </c>
      <c r="G1710" t="s">
        <v>18050</v>
      </c>
      <c r="H1710" t="s">
        <v>1121</v>
      </c>
      <c r="I1710" t="s">
        <v>1117</v>
      </c>
      <c r="J1710" t="s">
        <v>17173</v>
      </c>
      <c r="K1710" t="s">
        <v>17174</v>
      </c>
      <c r="L1710" t="s">
        <v>21</v>
      </c>
      <c r="M1710" t="s">
        <v>19177</v>
      </c>
      <c r="N1710" t="s">
        <v>16376</v>
      </c>
      <c r="O1710" t="s">
        <v>16376</v>
      </c>
      <c r="P1710" t="s">
        <v>842</v>
      </c>
    </row>
    <row r="1711">
      <c r="A1711">
        <f>HYPERLINK("http://bombeiros.sp.gov.br/hidrantes/03individual/6673.html","6673")</f>
      </c>
      <c r="B1711" t="s">
        <v>842</v>
      </c>
      <c r="C1711" t="s">
        <v>13671</v>
      </c>
      <c r="D1711" t="s">
        <v>13671</v>
      </c>
      <c r="E1711" t="s">
        <v>15</v>
      </c>
      <c r="F1711" t="s">
        <v>13676</v>
      </c>
      <c r="G1711" t="s">
        <v>18211</v>
      </c>
      <c r="H1711" t="s">
        <v>1112</v>
      </c>
      <c r="I1711" t="s">
        <v>1108</v>
      </c>
      <c r="J1711" t="s">
        <v>13677</v>
      </c>
      <c r="K1711" t="s">
        <v>13678</v>
      </c>
      <c r="L1711" t="s">
        <v>21</v>
      </c>
      <c r="M1711" t="s">
        <v>19177</v>
      </c>
      <c r="N1711" t="s">
        <v>16376</v>
      </c>
      <c r="O1711" t="s">
        <v>16376</v>
      </c>
      <c r="P1711" t="s">
        <v>842</v>
      </c>
    </row>
    <row r="1712">
      <c r="A1712">
        <f>HYPERLINK("http://bombeiros.sp.gov.br/hidrantes/03individual/14966.html","14966")</f>
      </c>
      <c r="B1712" t="s">
        <v>842</v>
      </c>
      <c r="C1712" t="s">
        <v>1006</v>
      </c>
      <c r="D1712" t="s">
        <v>1007</v>
      </c>
      <c r="E1712" t="s">
        <v>64</v>
      </c>
      <c r="F1712" t="s">
        <v>13682</v>
      </c>
      <c r="G1712" t="s">
        <v>17901</v>
      </c>
      <c r="H1712" t="s">
        <v>1107</v>
      </c>
      <c r="I1712" t="s">
        <v>1117</v>
      </c>
      <c r="J1712" t="s">
        <v>13683</v>
      </c>
      <c r="K1712" t="s">
        <v>13684</v>
      </c>
      <c r="L1712" t="s">
        <v>21</v>
      </c>
      <c r="M1712" t="s">
        <v>19177</v>
      </c>
      <c r="N1712" t="s">
        <v>1024</v>
      </c>
      <c r="O1712" t="s">
        <v>1024</v>
      </c>
      <c r="P1712" t="s">
        <v>842</v>
      </c>
    </row>
    <row r="1713">
      <c r="A1713">
        <f>HYPERLINK("http://bombeiros.sp.gov.br/hidrantes/03individual/2477.html","2477")</f>
      </c>
      <c r="B1713" t="s">
        <v>842</v>
      </c>
      <c r="C1713" t="s">
        <v>1006</v>
      </c>
      <c r="D1713" t="s">
        <v>1007</v>
      </c>
      <c r="E1713" t="s">
        <v>15</v>
      </c>
      <c r="F1713" t="s">
        <v>13688</v>
      </c>
      <c r="G1713" t="s">
        <v>18053</v>
      </c>
      <c r="H1713" t="s">
        <v>1112</v>
      </c>
      <c r="I1713" t="s">
        <v>1108</v>
      </c>
      <c r="J1713" t="s">
        <v>13689</v>
      </c>
      <c r="K1713" t="s">
        <v>13690</v>
      </c>
      <c r="L1713" t="s">
        <v>21</v>
      </c>
      <c r="M1713" t="s">
        <v>19177</v>
      </c>
      <c r="N1713" t="s">
        <v>1024</v>
      </c>
      <c r="O1713" t="s">
        <v>1024</v>
      </c>
      <c r="P1713" t="s">
        <v>842</v>
      </c>
    </row>
    <row r="1714">
      <c r="A1714">
        <f>HYPERLINK("http://bombeiros.sp.gov.br/hidrantes/03individual/2478.html","2478")</f>
      </c>
      <c r="B1714" t="s">
        <v>842</v>
      </c>
      <c r="C1714" t="s">
        <v>1006</v>
      </c>
      <c r="D1714" t="s">
        <v>1007</v>
      </c>
      <c r="E1714" t="s">
        <v>15</v>
      </c>
      <c r="F1714" t="s">
        <v>13691</v>
      </c>
      <c r="G1714" t="s">
        <v>18164</v>
      </c>
      <c r="H1714" t="s">
        <v>1107</v>
      </c>
      <c r="I1714" t="s">
        <v>1108</v>
      </c>
      <c r="J1714" t="s">
        <v>13692</v>
      </c>
      <c r="K1714" t="s">
        <v>13693</v>
      </c>
      <c r="L1714" t="s">
        <v>21</v>
      </c>
      <c r="M1714" t="s">
        <v>19177</v>
      </c>
      <c r="N1714" t="s">
        <v>1024</v>
      </c>
      <c r="O1714" t="s">
        <v>1024</v>
      </c>
      <c r="P1714" t="s">
        <v>842</v>
      </c>
    </row>
    <row r="1715">
      <c r="A1715">
        <f>HYPERLINK("http://bombeiros.sp.gov.br/hidrantes/03individual/2484.html","2484")</f>
      </c>
      <c r="B1715" t="s">
        <v>842</v>
      </c>
      <c r="C1715" t="s">
        <v>1006</v>
      </c>
      <c r="D1715" t="s">
        <v>1007</v>
      </c>
      <c r="E1715" t="s">
        <v>15</v>
      </c>
      <c r="F1715" t="s">
        <v>13694</v>
      </c>
      <c r="G1715" t="s">
        <v>18111</v>
      </c>
      <c r="H1715" t="s">
        <v>1112</v>
      </c>
      <c r="I1715" t="s">
        <v>1108</v>
      </c>
      <c r="J1715" t="s">
        <v>13695</v>
      </c>
      <c r="K1715" t="s">
        <v>13696</v>
      </c>
      <c r="L1715" t="s">
        <v>21</v>
      </c>
      <c r="M1715" t="s">
        <v>19177</v>
      </c>
      <c r="N1715" t="s">
        <v>1024</v>
      </c>
      <c r="O1715" t="s">
        <v>1024</v>
      </c>
      <c r="P1715" t="s">
        <v>842</v>
      </c>
    </row>
    <row r="1716">
      <c r="A1716">
        <f>HYPERLINK("http://bombeiros.sp.gov.br/hidrantes/03individual/3638.html","3638")</f>
      </c>
      <c r="B1716" t="s">
        <v>842</v>
      </c>
      <c r="C1716" t="s">
        <v>1006</v>
      </c>
      <c r="D1716" t="s">
        <v>1007</v>
      </c>
      <c r="E1716" t="s">
        <v>15</v>
      </c>
      <c r="F1716" t="s">
        <v>13700</v>
      </c>
      <c r="G1716" t="s">
        <v>18053</v>
      </c>
      <c r="H1716" t="s">
        <v>1112</v>
      </c>
      <c r="I1716" t="s">
        <v>1108</v>
      </c>
      <c r="J1716" t="s">
        <v>13701</v>
      </c>
      <c r="K1716" t="s">
        <v>13702</v>
      </c>
      <c r="L1716" t="s">
        <v>21</v>
      </c>
      <c r="M1716" t="s">
        <v>19177</v>
      </c>
      <c r="N1716" t="s">
        <v>1024</v>
      </c>
      <c r="O1716" t="s">
        <v>1024</v>
      </c>
      <c r="P1716" t="s">
        <v>842</v>
      </c>
    </row>
    <row r="1717">
      <c r="A1717">
        <f>HYPERLINK("http://bombeiros.sp.gov.br/hidrantes/03individual/3640.html","3640")</f>
      </c>
      <c r="B1717" t="s">
        <v>842</v>
      </c>
      <c r="C1717" t="s">
        <v>1006</v>
      </c>
      <c r="D1717" t="s">
        <v>1007</v>
      </c>
      <c r="E1717" t="s">
        <v>15</v>
      </c>
      <c r="F1717" t="s">
        <v>13703</v>
      </c>
      <c r="G1717" t="s">
        <v>18164</v>
      </c>
      <c r="H1717" t="s">
        <v>1174</v>
      </c>
      <c r="I1717" t="s">
        <v>1108</v>
      </c>
      <c r="J1717" t="s">
        <v>13704</v>
      </c>
      <c r="K1717" t="s">
        <v>13705</v>
      </c>
      <c r="L1717" t="s">
        <v>21</v>
      </c>
      <c r="M1717" t="s">
        <v>19177</v>
      </c>
      <c r="N1717" t="s">
        <v>1024</v>
      </c>
      <c r="O1717" t="s">
        <v>1024</v>
      </c>
      <c r="P1717" t="s">
        <v>842</v>
      </c>
    </row>
    <row r="1718">
      <c r="A1718">
        <f>HYPERLINK("http://bombeiros.sp.gov.br/hidrantes/03individual/15071.html","15071")</f>
      </c>
      <c r="B1718" t="s">
        <v>842</v>
      </c>
      <c r="C1718" t="s">
        <v>1006</v>
      </c>
      <c r="D1718" t="s">
        <v>1006</v>
      </c>
      <c r="E1718" t="s">
        <v>64</v>
      </c>
      <c r="F1718" t="s">
        <v>13715</v>
      </c>
      <c r="G1718" t="s">
        <v>18273</v>
      </c>
      <c r="H1718" t="s">
        <v>1112</v>
      </c>
      <c r="I1718" t="s">
        <v>1108</v>
      </c>
      <c r="J1718" t="s">
        <v>13716</v>
      </c>
      <c r="K1718" t="s">
        <v>13717</v>
      </c>
      <c r="L1718" t="s">
        <v>21</v>
      </c>
      <c r="M1718" t="s">
        <v>19177</v>
      </c>
      <c r="N1718" t="s">
        <v>1024</v>
      </c>
      <c r="O1718" t="s">
        <v>1024</v>
      </c>
      <c r="P1718" t="s">
        <v>842</v>
      </c>
    </row>
    <row r="1719">
      <c r="A1719">
        <f>HYPERLINK("http://bombeiros.sp.gov.br/hidrantes/03individual/15072.html","15072")</f>
      </c>
      <c r="B1719" t="s">
        <v>842</v>
      </c>
      <c r="C1719" t="s">
        <v>1006</v>
      </c>
      <c r="D1719" t="s">
        <v>1006</v>
      </c>
      <c r="E1719" t="s">
        <v>64</v>
      </c>
      <c r="F1719" t="s">
        <v>13718</v>
      </c>
      <c r="G1719" t="s">
        <v>18273</v>
      </c>
      <c r="H1719" t="s">
        <v>1112</v>
      </c>
      <c r="I1719" t="s">
        <v>1108</v>
      </c>
      <c r="J1719" t="s">
        <v>13719</v>
      </c>
      <c r="K1719" t="s">
        <v>13720</v>
      </c>
      <c r="L1719" t="s">
        <v>21</v>
      </c>
      <c r="M1719" t="s">
        <v>19177</v>
      </c>
      <c r="N1719" t="s">
        <v>1024</v>
      </c>
      <c r="O1719" t="s">
        <v>1024</v>
      </c>
      <c r="P1719" t="s">
        <v>842</v>
      </c>
    </row>
    <row r="1720">
      <c r="A1720">
        <f>HYPERLINK("http://bombeiros.sp.gov.br/hidrantes/03individual/365.html","365")</f>
      </c>
      <c r="B1720" t="s">
        <v>842</v>
      </c>
      <c r="C1720" t="s">
        <v>1006</v>
      </c>
      <c r="D1720" t="s">
        <v>1006</v>
      </c>
      <c r="E1720" t="s">
        <v>15</v>
      </c>
      <c r="F1720" t="s">
        <v>13721</v>
      </c>
      <c r="G1720" t="s">
        <v>18046</v>
      </c>
      <c r="H1720" t="s">
        <v>1107</v>
      </c>
      <c r="I1720" t="s">
        <v>1108</v>
      </c>
      <c r="J1720" t="s">
        <v>13722</v>
      </c>
      <c r="K1720" t="s">
        <v>13723</v>
      </c>
      <c r="L1720" t="s">
        <v>21</v>
      </c>
      <c r="M1720" t="s">
        <v>19177</v>
      </c>
      <c r="N1720" t="s">
        <v>1024</v>
      </c>
      <c r="O1720" t="s">
        <v>1024</v>
      </c>
      <c r="P1720" t="s">
        <v>842</v>
      </c>
    </row>
    <row r="1721">
      <c r="A1721">
        <f>HYPERLINK("http://bombeiros.sp.gov.br/hidrantes/03individual/17839.html","17839")</f>
      </c>
      <c r="B1721" t="s">
        <v>842</v>
      </c>
      <c r="C1721" t="s">
        <v>1006</v>
      </c>
      <c r="D1721" t="s">
        <v>1006</v>
      </c>
      <c r="E1721" t="s">
        <v>15</v>
      </c>
      <c r="F1721" t="s">
        <v>13730</v>
      </c>
      <c r="G1721" t="s">
        <v>18046</v>
      </c>
      <c r="H1721" t="s">
        <v>1112</v>
      </c>
      <c r="I1721" t="s">
        <v>1108</v>
      </c>
      <c r="J1721" t="s">
        <v>13731</v>
      </c>
      <c r="K1721" t="s">
        <v>13732</v>
      </c>
      <c r="L1721" t="s">
        <v>21</v>
      </c>
      <c r="M1721" t="s">
        <v>19177</v>
      </c>
      <c r="N1721" t="s">
        <v>1024</v>
      </c>
      <c r="O1721" t="s">
        <v>1024</v>
      </c>
      <c r="P1721" t="s">
        <v>842</v>
      </c>
    </row>
    <row r="1722">
      <c r="A1722">
        <f>HYPERLINK("http://bombeiros.sp.gov.br/hidrantes/03individual/17843.html","17843")</f>
      </c>
      <c r="B1722" t="s">
        <v>842</v>
      </c>
      <c r="C1722" t="s">
        <v>1006</v>
      </c>
      <c r="D1722" t="s">
        <v>1006</v>
      </c>
      <c r="E1722" t="s">
        <v>15</v>
      </c>
      <c r="F1722" t="s">
        <v>13736</v>
      </c>
      <c r="G1722" t="s">
        <v>18194</v>
      </c>
      <c r="H1722" t="s">
        <v>1107</v>
      </c>
      <c r="I1722" t="s">
        <v>1108</v>
      </c>
      <c r="J1722" t="s">
        <v>13737</v>
      </c>
      <c r="K1722" t="s">
        <v>13738</v>
      </c>
      <c r="L1722" t="s">
        <v>21</v>
      </c>
      <c r="M1722" t="s">
        <v>19177</v>
      </c>
      <c r="N1722" t="s">
        <v>1024</v>
      </c>
      <c r="O1722" t="s">
        <v>1024</v>
      </c>
      <c r="P1722" t="s">
        <v>842</v>
      </c>
    </row>
    <row r="1723">
      <c r="A1723">
        <f>HYPERLINK("http://bombeiros.sp.gov.br/hidrantes/03individual/26870.html","26870")</f>
      </c>
      <c r="B1723" t="s">
        <v>842</v>
      </c>
      <c r="C1723" t="s">
        <v>1006</v>
      </c>
      <c r="D1723" t="s">
        <v>1006</v>
      </c>
      <c r="E1723" t="s">
        <v>15</v>
      </c>
      <c r="F1723" t="s">
        <v>16251</v>
      </c>
      <c r="G1723" t="s">
        <v>18273</v>
      </c>
      <c r="H1723" t="s">
        <v>1121</v>
      </c>
      <c r="I1723" t="s">
        <v>1108</v>
      </c>
      <c r="J1723" t="s">
        <v>16252</v>
      </c>
      <c r="K1723" t="s">
        <v>16253</v>
      </c>
      <c r="L1723" t="s">
        <v>21</v>
      </c>
      <c r="M1723" t="s">
        <v>19177</v>
      </c>
      <c r="N1723" t="s">
        <v>1024</v>
      </c>
      <c r="O1723" t="s">
        <v>1024</v>
      </c>
      <c r="P1723" t="s">
        <v>842</v>
      </c>
    </row>
    <row r="1724">
      <c r="A1724">
        <f>HYPERLINK("http://bombeiros.sp.gov.br/hidrantes/03individual/27788.html","27788")</f>
      </c>
      <c r="B1724" t="s">
        <v>842</v>
      </c>
      <c r="C1724" t="s">
        <v>1006</v>
      </c>
      <c r="D1724" t="s">
        <v>1006</v>
      </c>
      <c r="E1724" t="s">
        <v>15</v>
      </c>
      <c r="F1724" t="s">
        <v>17757</v>
      </c>
      <c r="G1724" t="s">
        <v>18046</v>
      </c>
      <c r="H1724" t="s">
        <v>1112</v>
      </c>
      <c r="I1724" t="s">
        <v>1108</v>
      </c>
      <c r="J1724" t="s">
        <v>17781</v>
      </c>
      <c r="K1724" t="s">
        <v>17782</v>
      </c>
      <c r="L1724" t="s">
        <v>21</v>
      </c>
      <c r="M1724" t="s">
        <v>19177</v>
      </c>
      <c r="N1724" t="s">
        <v>1024</v>
      </c>
      <c r="O1724" t="s">
        <v>1024</v>
      </c>
      <c r="P1724" t="s">
        <v>842</v>
      </c>
    </row>
    <row r="1725">
      <c r="A1725">
        <f>HYPERLINK("http://bombeiros.sp.gov.br/hidrantes/03individual/3599.html","3599")</f>
      </c>
      <c r="B1725" t="s">
        <v>842</v>
      </c>
      <c r="C1725" t="s">
        <v>945</v>
      </c>
      <c r="D1725" t="s">
        <v>1016</v>
      </c>
      <c r="E1725" t="s">
        <v>64</v>
      </c>
      <c r="F1725" t="s">
        <v>15705</v>
      </c>
      <c r="G1725" t="s">
        <v>18152</v>
      </c>
      <c r="H1725" t="s">
        <v>1112</v>
      </c>
      <c r="I1725" t="s">
        <v>1108</v>
      </c>
      <c r="J1725" t="s">
        <v>15706</v>
      </c>
      <c r="K1725" t="s">
        <v>15707</v>
      </c>
      <c r="L1725" t="s">
        <v>36</v>
      </c>
      <c r="M1725" t="s">
        <v>19177</v>
      </c>
      <c r="N1725" t="s">
        <v>97</v>
      </c>
      <c r="O1725" t="s">
        <v>937</v>
      </c>
      <c r="P1725" t="s">
        <v>12</v>
      </c>
    </row>
    <row r="1726">
      <c r="A1726">
        <f>HYPERLINK("http://bombeiros.sp.gov.br/hidrantes/03individual/3610.html","3610")</f>
      </c>
      <c r="B1726" t="s">
        <v>842</v>
      </c>
      <c r="C1726" t="s">
        <v>945</v>
      </c>
      <c r="D1726" t="s">
        <v>1016</v>
      </c>
      <c r="E1726" t="s">
        <v>64</v>
      </c>
      <c r="F1726" t="s">
        <v>13745</v>
      </c>
      <c r="G1726" t="s">
        <v>18173</v>
      </c>
      <c r="H1726" t="s">
        <v>1112</v>
      </c>
      <c r="I1726" t="s">
        <v>1108</v>
      </c>
      <c r="J1726" t="s">
        <v>13746</v>
      </c>
      <c r="K1726" t="s">
        <v>13747</v>
      </c>
      <c r="L1726" t="s">
        <v>36</v>
      </c>
      <c r="M1726" t="s">
        <v>19177</v>
      </c>
      <c r="N1726" t="s">
        <v>97</v>
      </c>
      <c r="O1726" t="s">
        <v>937</v>
      </c>
      <c r="P1726" t="s">
        <v>12</v>
      </c>
    </row>
    <row r="1727">
      <c r="A1727">
        <f>HYPERLINK("http://bombeiros.sp.gov.br/hidrantes/03individual/392.html","392")</f>
      </c>
      <c r="B1727" t="s">
        <v>842</v>
      </c>
      <c r="C1727" t="s">
        <v>945</v>
      </c>
      <c r="D1727" t="s">
        <v>1016</v>
      </c>
      <c r="E1727" t="s">
        <v>15</v>
      </c>
      <c r="F1727" t="s">
        <v>13754</v>
      </c>
      <c r="G1727" t="s">
        <v>18215</v>
      </c>
      <c r="H1727" t="s">
        <v>1112</v>
      </c>
      <c r="I1727" t="s">
        <v>1108</v>
      </c>
      <c r="J1727" t="s">
        <v>13755</v>
      </c>
      <c r="K1727" t="s">
        <v>13756</v>
      </c>
      <c r="L1727" t="s">
        <v>21</v>
      </c>
      <c r="M1727" t="s">
        <v>19177</v>
      </c>
      <c r="N1727" t="s">
        <v>97</v>
      </c>
      <c r="O1727" t="s">
        <v>937</v>
      </c>
      <c r="P1727" t="s">
        <v>12</v>
      </c>
    </row>
    <row r="1728">
      <c r="A1728">
        <f>HYPERLINK("http://bombeiros.sp.gov.br/hidrantes/03individual/3601.html","3601")</f>
      </c>
      <c r="B1728" t="s">
        <v>842</v>
      </c>
      <c r="C1728" t="s">
        <v>945</v>
      </c>
      <c r="D1728" t="s">
        <v>1016</v>
      </c>
      <c r="E1728" t="s">
        <v>15</v>
      </c>
      <c r="F1728" t="s">
        <v>13762</v>
      </c>
      <c r="G1728" t="s">
        <v>18173</v>
      </c>
      <c r="H1728" t="s">
        <v>1112</v>
      </c>
      <c r="I1728" t="s">
        <v>1108</v>
      </c>
      <c r="J1728" t="s">
        <v>13763</v>
      </c>
      <c r="K1728" t="s">
        <v>13764</v>
      </c>
      <c r="L1728" t="s">
        <v>21</v>
      </c>
      <c r="M1728" t="s">
        <v>19177</v>
      </c>
      <c r="N1728" t="s">
        <v>97</v>
      </c>
      <c r="O1728" t="s">
        <v>937</v>
      </c>
      <c r="P1728" t="s">
        <v>12</v>
      </c>
    </row>
    <row r="1729">
      <c r="A1729">
        <f>HYPERLINK("http://bombeiros.sp.gov.br/hidrantes/03individual/3614.html","3614")</f>
      </c>
      <c r="B1729" t="s">
        <v>842</v>
      </c>
      <c r="C1729" t="s">
        <v>945</v>
      </c>
      <c r="D1729" t="s">
        <v>1016</v>
      </c>
      <c r="E1729" t="s">
        <v>15</v>
      </c>
      <c r="F1729" t="s">
        <v>13765</v>
      </c>
      <c r="G1729" t="s">
        <v>18129</v>
      </c>
      <c r="H1729" t="s">
        <v>1121</v>
      </c>
      <c r="I1729" t="s">
        <v>1117</v>
      </c>
      <c r="J1729" t="s">
        <v>13766</v>
      </c>
      <c r="K1729" t="s">
        <v>13767</v>
      </c>
      <c r="L1729" t="s">
        <v>21</v>
      </c>
      <c r="M1729" t="s">
        <v>19177</v>
      </c>
      <c r="N1729" t="s">
        <v>97</v>
      </c>
      <c r="O1729" t="s">
        <v>937</v>
      </c>
      <c r="P1729" t="s">
        <v>12</v>
      </c>
    </row>
    <row r="1730">
      <c r="A1730">
        <f>HYPERLINK("http://bombeiros.sp.gov.br/hidrantes/03individual/27059.html","27059")</f>
      </c>
      <c r="B1730" t="s">
        <v>842</v>
      </c>
      <c r="C1730" t="s">
        <v>945</v>
      </c>
      <c r="D1730" t="s">
        <v>1016</v>
      </c>
      <c r="E1730" t="s">
        <v>15</v>
      </c>
      <c r="F1730" t="s">
        <v>16699</v>
      </c>
      <c r="G1730" t="s">
        <v>18215</v>
      </c>
      <c r="H1730" t="s">
        <v>1112</v>
      </c>
      <c r="I1730" t="s">
        <v>1108</v>
      </c>
      <c r="J1730" t="s">
        <v>16700</v>
      </c>
      <c r="K1730" t="s">
        <v>16701</v>
      </c>
      <c r="L1730" t="s">
        <v>21</v>
      </c>
      <c r="M1730" t="s">
        <v>19177</v>
      </c>
      <c r="N1730" t="s">
        <v>97</v>
      </c>
      <c r="O1730" t="s">
        <v>937</v>
      </c>
      <c r="P1730" t="s">
        <v>12</v>
      </c>
    </row>
    <row r="1731">
      <c r="A1731">
        <f>HYPERLINK("http://bombeiros.sp.gov.br/hidrantes/03individual/356.html","356")</f>
      </c>
      <c r="B1731" t="s">
        <v>842</v>
      </c>
      <c r="C1731" t="s">
        <v>945</v>
      </c>
      <c r="D1731" t="s">
        <v>13774</v>
      </c>
      <c r="E1731" t="s">
        <v>64</v>
      </c>
      <c r="F1731" t="s">
        <v>13775</v>
      </c>
      <c r="G1731" t="s">
        <v>17942</v>
      </c>
      <c r="H1731" t="s">
        <v>1112</v>
      </c>
      <c r="I1731" t="s">
        <v>1108</v>
      </c>
      <c r="J1731" t="s">
        <v>16273</v>
      </c>
      <c r="K1731" t="s">
        <v>16274</v>
      </c>
      <c r="L1731" t="s">
        <v>21</v>
      </c>
      <c r="M1731" t="s">
        <v>19177</v>
      </c>
      <c r="N1731" t="s">
        <v>97</v>
      </c>
      <c r="O1731" t="s">
        <v>937</v>
      </c>
      <c r="P1731" t="s">
        <v>12</v>
      </c>
    </row>
    <row r="1732">
      <c r="A1732">
        <f>HYPERLINK("http://bombeiros.sp.gov.br/hidrantes/03individual/3684.html","3684")</f>
      </c>
      <c r="B1732" t="s">
        <v>842</v>
      </c>
      <c r="C1732" t="s">
        <v>945</v>
      </c>
      <c r="D1732" t="s">
        <v>13774</v>
      </c>
      <c r="E1732" t="s">
        <v>64</v>
      </c>
      <c r="F1732" t="s">
        <v>13794</v>
      </c>
      <c r="G1732" t="s">
        <v>18169</v>
      </c>
      <c r="H1732" t="s">
        <v>1112</v>
      </c>
      <c r="I1732" t="s">
        <v>1108</v>
      </c>
      <c r="J1732" t="s">
        <v>13795</v>
      </c>
      <c r="K1732" t="s">
        <v>13796</v>
      </c>
      <c r="L1732" t="s">
        <v>36</v>
      </c>
      <c r="M1732" t="s">
        <v>19177</v>
      </c>
      <c r="N1732" t="s">
        <v>97</v>
      </c>
      <c r="O1732" t="s">
        <v>937</v>
      </c>
      <c r="P1732" t="s">
        <v>12</v>
      </c>
    </row>
    <row r="1733">
      <c r="A1733">
        <f>HYPERLINK("http://bombeiros.sp.gov.br/hidrantes/03individual/298.html","298")</f>
      </c>
      <c r="B1733" t="s">
        <v>842</v>
      </c>
      <c r="C1733" t="s">
        <v>945</v>
      </c>
      <c r="D1733" t="s">
        <v>13774</v>
      </c>
      <c r="E1733" t="s">
        <v>15</v>
      </c>
      <c r="F1733" t="s">
        <v>13806</v>
      </c>
      <c r="G1733" t="s">
        <v>17958</v>
      </c>
      <c r="H1733" t="s">
        <v>1112</v>
      </c>
      <c r="I1733" t="s">
        <v>1108</v>
      </c>
      <c r="J1733" t="s">
        <v>13807</v>
      </c>
      <c r="K1733" t="s">
        <v>13808</v>
      </c>
      <c r="L1733" t="s">
        <v>21</v>
      </c>
      <c r="M1733" t="s">
        <v>19177</v>
      </c>
      <c r="N1733" t="s">
        <v>97</v>
      </c>
      <c r="O1733" t="s">
        <v>937</v>
      </c>
      <c r="P1733" t="s">
        <v>12</v>
      </c>
    </row>
    <row r="1734">
      <c r="A1734">
        <f>HYPERLINK("http://bombeiros.sp.gov.br/hidrantes/03individual/339.html","339")</f>
      </c>
      <c r="B1734" t="s">
        <v>842</v>
      </c>
      <c r="C1734" t="s">
        <v>945</v>
      </c>
      <c r="D1734" t="s">
        <v>13774</v>
      </c>
      <c r="E1734" t="s">
        <v>15</v>
      </c>
      <c r="F1734" t="s">
        <v>13809</v>
      </c>
      <c r="G1734" t="s">
        <v>18216</v>
      </c>
      <c r="H1734" t="s">
        <v>1112</v>
      </c>
      <c r="I1734" t="s">
        <v>1108</v>
      </c>
      <c r="J1734" t="s">
        <v>13810</v>
      </c>
      <c r="K1734" t="s">
        <v>13811</v>
      </c>
      <c r="L1734" t="s">
        <v>21</v>
      </c>
      <c r="M1734" t="s">
        <v>19177</v>
      </c>
      <c r="N1734" t="s">
        <v>97</v>
      </c>
      <c r="O1734" t="s">
        <v>937</v>
      </c>
      <c r="P1734" t="s">
        <v>12</v>
      </c>
    </row>
    <row r="1735">
      <c r="A1735">
        <f>HYPERLINK("http://bombeiros.sp.gov.br/hidrantes/03individual/358.html","358")</f>
      </c>
      <c r="B1735" t="s">
        <v>842</v>
      </c>
      <c r="C1735" t="s">
        <v>945</v>
      </c>
      <c r="D1735" t="s">
        <v>13774</v>
      </c>
      <c r="E1735" t="s">
        <v>15</v>
      </c>
      <c r="F1735" t="s">
        <v>13815</v>
      </c>
      <c r="G1735" t="s">
        <v>18115</v>
      </c>
      <c r="H1735" t="s">
        <v>1112</v>
      </c>
      <c r="I1735" t="s">
        <v>1108</v>
      </c>
      <c r="J1735" t="s">
        <v>13816</v>
      </c>
      <c r="K1735" t="s">
        <v>13817</v>
      </c>
      <c r="L1735" t="s">
        <v>21</v>
      </c>
      <c r="M1735" t="s">
        <v>19177</v>
      </c>
      <c r="N1735" t="s">
        <v>97</v>
      </c>
      <c r="O1735" t="s">
        <v>937</v>
      </c>
      <c r="P1735" t="s">
        <v>12</v>
      </c>
    </row>
    <row r="1736">
      <c r="A1736">
        <f>HYPERLINK("http://bombeiros.sp.gov.br/hidrantes/03individual/457.html","457")</f>
      </c>
      <c r="B1736" t="s">
        <v>842</v>
      </c>
      <c r="C1736" t="s">
        <v>945</v>
      </c>
      <c r="D1736" t="s">
        <v>13774</v>
      </c>
      <c r="E1736" t="s">
        <v>15</v>
      </c>
      <c r="F1736" t="s">
        <v>13827</v>
      </c>
      <c r="G1736" t="s">
        <v>18200</v>
      </c>
      <c r="H1736" t="s">
        <v>1112</v>
      </c>
      <c r="I1736" t="s">
        <v>1108</v>
      </c>
      <c r="J1736" t="s">
        <v>13828</v>
      </c>
      <c r="K1736" t="s">
        <v>13829</v>
      </c>
      <c r="L1736" t="s">
        <v>21</v>
      </c>
      <c r="M1736" t="s">
        <v>19177</v>
      </c>
      <c r="N1736" t="s">
        <v>97</v>
      </c>
      <c r="O1736" t="s">
        <v>937</v>
      </c>
      <c r="P1736" t="s">
        <v>12</v>
      </c>
    </row>
    <row r="1737">
      <c r="A1737">
        <f>HYPERLINK("http://bombeiros.sp.gov.br/hidrantes/03individual/3678.html","3678")</f>
      </c>
      <c r="B1737" t="s">
        <v>842</v>
      </c>
      <c r="C1737" t="s">
        <v>945</v>
      </c>
      <c r="D1737" t="s">
        <v>13774</v>
      </c>
      <c r="E1737" t="s">
        <v>15</v>
      </c>
      <c r="F1737" t="s">
        <v>13839</v>
      </c>
      <c r="G1737" t="s">
        <v>18252</v>
      </c>
      <c r="H1737" t="s">
        <v>1112</v>
      </c>
      <c r="I1737" t="s">
        <v>1108</v>
      </c>
      <c r="J1737" t="s">
        <v>13840</v>
      </c>
      <c r="K1737" t="s">
        <v>13841</v>
      </c>
      <c r="L1737" t="s">
        <v>21</v>
      </c>
      <c r="M1737" t="s">
        <v>19177</v>
      </c>
      <c r="N1737" t="s">
        <v>97</v>
      </c>
      <c r="O1737" t="s">
        <v>937</v>
      </c>
      <c r="P1737" t="s">
        <v>12</v>
      </c>
    </row>
    <row r="1738">
      <c r="A1738">
        <f>HYPERLINK("http://bombeiros.sp.gov.br/hidrantes/03individual/10030.html","10030")</f>
      </c>
      <c r="B1738" t="s">
        <v>842</v>
      </c>
      <c r="C1738" t="s">
        <v>945</v>
      </c>
      <c r="D1738" t="s">
        <v>1020</v>
      </c>
      <c r="E1738" t="s">
        <v>64</v>
      </c>
      <c r="F1738" t="s">
        <v>13875</v>
      </c>
      <c r="G1738" t="s">
        <v>18174</v>
      </c>
      <c r="H1738" t="s">
        <v>1174</v>
      </c>
      <c r="I1738" t="s">
        <v>1117</v>
      </c>
      <c r="J1738" t="s">
        <v>13876</v>
      </c>
      <c r="K1738" t="s">
        <v>13877</v>
      </c>
      <c r="L1738" t="s">
        <v>21</v>
      </c>
      <c r="M1738" t="s">
        <v>19177</v>
      </c>
      <c r="N1738" t="s">
        <v>97</v>
      </c>
      <c r="O1738" t="s">
        <v>937</v>
      </c>
      <c r="P1738" t="s">
        <v>12</v>
      </c>
    </row>
    <row r="1739">
      <c r="A1739">
        <f>HYPERLINK("http://bombeiros.sp.gov.br/hidrantes/03individual/495.html","495")</f>
      </c>
      <c r="B1739" t="s">
        <v>842</v>
      </c>
      <c r="C1739" t="s">
        <v>945</v>
      </c>
      <c r="D1739" t="s">
        <v>1020</v>
      </c>
      <c r="E1739" t="s">
        <v>15</v>
      </c>
      <c r="F1739" t="s">
        <v>13878</v>
      </c>
      <c r="G1739" t="s">
        <v>18118</v>
      </c>
      <c r="H1739" t="s">
        <v>1112</v>
      </c>
      <c r="I1739" t="s">
        <v>1108</v>
      </c>
      <c r="J1739" t="s">
        <v>13879</v>
      </c>
      <c r="K1739" t="s">
        <v>13880</v>
      </c>
      <c r="L1739" t="s">
        <v>21</v>
      </c>
      <c r="M1739" t="s">
        <v>19177</v>
      </c>
      <c r="N1739" t="s">
        <v>97</v>
      </c>
      <c r="O1739" t="s">
        <v>937</v>
      </c>
      <c r="P1739" t="s">
        <v>12</v>
      </c>
    </row>
    <row r="1740">
      <c r="A1740">
        <f>HYPERLINK("http://bombeiros.sp.gov.br/hidrantes/03individual/3626.html","3626")</f>
      </c>
      <c r="B1740" t="s">
        <v>842</v>
      </c>
      <c r="C1740" t="s">
        <v>945</v>
      </c>
      <c r="D1740" t="s">
        <v>1020</v>
      </c>
      <c r="E1740" t="s">
        <v>15</v>
      </c>
      <c r="F1740" t="s">
        <v>13881</v>
      </c>
      <c r="G1740" t="s">
        <v>18118</v>
      </c>
      <c r="H1740" t="s">
        <v>1174</v>
      </c>
      <c r="I1740" t="s">
        <v>1108</v>
      </c>
      <c r="J1740" t="s">
        <v>13882</v>
      </c>
      <c r="K1740" t="s">
        <v>13883</v>
      </c>
      <c r="L1740" t="s">
        <v>21</v>
      </c>
      <c r="M1740" t="s">
        <v>19177</v>
      </c>
      <c r="N1740" t="s">
        <v>97</v>
      </c>
      <c r="O1740" t="s">
        <v>937</v>
      </c>
      <c r="P1740" t="s">
        <v>12</v>
      </c>
    </row>
    <row r="1741">
      <c r="A1741">
        <f>HYPERLINK("http://bombeiros.sp.gov.br/hidrantes/03individual/3628.html","3628")</f>
      </c>
      <c r="B1741" t="s">
        <v>842</v>
      </c>
      <c r="C1741" t="s">
        <v>945</v>
      </c>
      <c r="D1741" t="s">
        <v>1020</v>
      </c>
      <c r="E1741" t="s">
        <v>15</v>
      </c>
      <c r="F1741" t="s">
        <v>13884</v>
      </c>
      <c r="G1741" t="s">
        <v>18118</v>
      </c>
      <c r="H1741" t="s">
        <v>1112</v>
      </c>
      <c r="I1741" t="s">
        <v>1108</v>
      </c>
      <c r="J1741" t="s">
        <v>13885</v>
      </c>
      <c r="K1741" t="s">
        <v>13886</v>
      </c>
      <c r="L1741" t="s">
        <v>21</v>
      </c>
      <c r="M1741" t="s">
        <v>19177</v>
      </c>
      <c r="N1741" t="s">
        <v>97</v>
      </c>
      <c r="O1741" t="s">
        <v>937</v>
      </c>
      <c r="P1741" t="s">
        <v>12</v>
      </c>
    </row>
    <row r="1742">
      <c r="A1742">
        <f>HYPERLINK("http://bombeiros.sp.gov.br/hidrantes/03individual/3652.html","3652")</f>
      </c>
      <c r="B1742" t="s">
        <v>842</v>
      </c>
      <c r="C1742" t="s">
        <v>945</v>
      </c>
      <c r="D1742" t="s">
        <v>1020</v>
      </c>
      <c r="E1742" t="s">
        <v>15</v>
      </c>
      <c r="F1742" t="s">
        <v>13896</v>
      </c>
      <c r="G1742" t="s">
        <v>18050</v>
      </c>
      <c r="H1742" t="s">
        <v>1121</v>
      </c>
      <c r="I1742" t="s">
        <v>1117</v>
      </c>
      <c r="J1742" t="s">
        <v>13897</v>
      </c>
      <c r="K1742" t="s">
        <v>13898</v>
      </c>
      <c r="L1742" t="s">
        <v>21</v>
      </c>
      <c r="M1742" t="s">
        <v>19177</v>
      </c>
      <c r="N1742" t="s">
        <v>97</v>
      </c>
      <c r="O1742" t="s">
        <v>937</v>
      </c>
      <c r="P1742" t="s">
        <v>12</v>
      </c>
    </row>
    <row r="1743">
      <c r="A1743">
        <f>HYPERLINK("http://bombeiros.sp.gov.br/hidrantes/03individual/3665.html","3665")</f>
      </c>
      <c r="B1743" t="s">
        <v>842</v>
      </c>
      <c r="C1743" t="s">
        <v>945</v>
      </c>
      <c r="D1743" t="s">
        <v>1020</v>
      </c>
      <c r="E1743" t="s">
        <v>15</v>
      </c>
      <c r="F1743" t="s">
        <v>13902</v>
      </c>
      <c r="G1743" t="s">
        <v>18050</v>
      </c>
      <c r="H1743" t="s">
        <v>1112</v>
      </c>
      <c r="I1743" t="s">
        <v>1108</v>
      </c>
      <c r="J1743" t="s">
        <v>13903</v>
      </c>
      <c r="K1743" t="s">
        <v>13904</v>
      </c>
      <c r="L1743" t="s">
        <v>21</v>
      </c>
      <c r="M1743" t="s">
        <v>19177</v>
      </c>
      <c r="N1743" t="s">
        <v>97</v>
      </c>
      <c r="O1743" t="s">
        <v>937</v>
      </c>
      <c r="P1743" t="s">
        <v>12</v>
      </c>
    </row>
    <row r="1744">
      <c r="A1744">
        <f>HYPERLINK("http://bombeiros.sp.gov.br/hidrantes/03individual/3630.html","3630")</f>
      </c>
      <c r="B1744" t="s">
        <v>842</v>
      </c>
      <c r="C1744" t="s">
        <v>945</v>
      </c>
      <c r="D1744" t="s">
        <v>13908</v>
      </c>
      <c r="E1744" t="s">
        <v>64</v>
      </c>
      <c r="F1744" t="s">
        <v>13912</v>
      </c>
      <c r="G1744" t="s">
        <v>18212</v>
      </c>
      <c r="H1744" t="s">
        <v>1112</v>
      </c>
      <c r="I1744" t="s">
        <v>1108</v>
      </c>
      <c r="J1744" t="s">
        <v>13913</v>
      </c>
      <c r="K1744" t="s">
        <v>13914</v>
      </c>
      <c r="L1744" t="s">
        <v>36</v>
      </c>
      <c r="M1744" t="s">
        <v>19177</v>
      </c>
      <c r="N1744" t="s">
        <v>97</v>
      </c>
      <c r="O1744" t="s">
        <v>937</v>
      </c>
      <c r="P1744" t="s">
        <v>12</v>
      </c>
    </row>
    <row r="1745">
      <c r="A1745">
        <f>HYPERLINK("http://bombeiros.sp.gov.br/hidrantes/03individual/3631.html","3631")</f>
      </c>
      <c r="B1745" t="s">
        <v>842</v>
      </c>
      <c r="C1745" t="s">
        <v>945</v>
      </c>
      <c r="D1745" t="s">
        <v>13908</v>
      </c>
      <c r="E1745" t="s">
        <v>64</v>
      </c>
      <c r="F1745" t="s">
        <v>13915</v>
      </c>
      <c r="G1745" t="s">
        <v>18066</v>
      </c>
      <c r="H1745" t="s">
        <v>1112</v>
      </c>
      <c r="I1745" t="s">
        <v>1108</v>
      </c>
      <c r="J1745" t="s">
        <v>13916</v>
      </c>
      <c r="K1745" t="s">
        <v>13917</v>
      </c>
      <c r="L1745" t="s">
        <v>21</v>
      </c>
      <c r="M1745" t="s">
        <v>19177</v>
      </c>
      <c r="N1745" t="s">
        <v>97</v>
      </c>
      <c r="O1745" t="s">
        <v>937</v>
      </c>
      <c r="P1745" t="s">
        <v>12</v>
      </c>
    </row>
    <row r="1746">
      <c r="A1746">
        <f>HYPERLINK("http://bombeiros.sp.gov.br/hidrantes/03individual/3681.html","3681")</f>
      </c>
      <c r="B1746" t="s">
        <v>842</v>
      </c>
      <c r="C1746" t="s">
        <v>945</v>
      </c>
      <c r="D1746" t="s">
        <v>13908</v>
      </c>
      <c r="E1746" t="s">
        <v>64</v>
      </c>
      <c r="F1746" t="s">
        <v>13918</v>
      </c>
      <c r="G1746" t="s">
        <v>18199</v>
      </c>
      <c r="H1746" t="s">
        <v>1112</v>
      </c>
      <c r="I1746" t="s">
        <v>1108</v>
      </c>
      <c r="J1746" t="s">
        <v>13919</v>
      </c>
      <c r="K1746" t="s">
        <v>16926</v>
      </c>
      <c r="L1746" t="s">
        <v>36</v>
      </c>
      <c r="M1746" t="s">
        <v>19177</v>
      </c>
      <c r="N1746" t="s">
        <v>97</v>
      </c>
      <c r="O1746" t="s">
        <v>937</v>
      </c>
      <c r="P1746" t="s">
        <v>12</v>
      </c>
    </row>
    <row r="1747">
      <c r="A1747">
        <f>HYPERLINK("http://bombeiros.sp.gov.br/hidrantes/03individual/3791.html","3791")</f>
      </c>
      <c r="B1747" t="s">
        <v>842</v>
      </c>
      <c r="C1747" t="s">
        <v>945</v>
      </c>
      <c r="D1747" t="s">
        <v>13908</v>
      </c>
      <c r="E1747" t="s">
        <v>64</v>
      </c>
      <c r="F1747" t="s">
        <v>13921</v>
      </c>
      <c r="G1747" t="s">
        <v>18108</v>
      </c>
      <c r="H1747" t="s">
        <v>1112</v>
      </c>
      <c r="I1747" t="s">
        <v>1108</v>
      </c>
      <c r="J1747" t="s">
        <v>13922</v>
      </c>
      <c r="K1747" t="s">
        <v>13923</v>
      </c>
      <c r="L1747" t="s">
        <v>36</v>
      </c>
      <c r="M1747" t="s">
        <v>19177</v>
      </c>
      <c r="N1747" t="s">
        <v>97</v>
      </c>
      <c r="O1747" t="s">
        <v>937</v>
      </c>
      <c r="P1747" t="s">
        <v>12</v>
      </c>
    </row>
    <row r="1748">
      <c r="A1748">
        <f>HYPERLINK("http://bombeiros.sp.gov.br/hidrantes/03individual/334.html","334")</f>
      </c>
      <c r="B1748" t="s">
        <v>842</v>
      </c>
      <c r="C1748" t="s">
        <v>945</v>
      </c>
      <c r="D1748" t="s">
        <v>13908</v>
      </c>
      <c r="E1748" t="s">
        <v>15</v>
      </c>
      <c r="F1748" t="s">
        <v>13924</v>
      </c>
      <c r="G1748" t="s">
        <v>17411</v>
      </c>
      <c r="H1748"/>
      <c r="I1748" t="s">
        <v>18</v>
      </c>
      <c r="J1748" t="s">
        <v>13925</v>
      </c>
      <c r="K1748" t="s">
        <v>13926</v>
      </c>
      <c r="L1748" t="s">
        <v>21</v>
      </c>
      <c r="M1748" t="s">
        <v>19177</v>
      </c>
      <c r="N1748" t="s">
        <v>97</v>
      </c>
      <c r="O1748" t="s">
        <v>937</v>
      </c>
      <c r="P1748" t="s">
        <v>12</v>
      </c>
    </row>
    <row r="1749">
      <c r="A1749">
        <f>HYPERLINK("http://bombeiros.sp.gov.br/hidrantes/03individual/438.html","438")</f>
      </c>
      <c r="B1749" t="s">
        <v>842</v>
      </c>
      <c r="C1749" t="s">
        <v>945</v>
      </c>
      <c r="D1749" t="s">
        <v>13908</v>
      </c>
      <c r="E1749" t="s">
        <v>15</v>
      </c>
      <c r="F1749" t="s">
        <v>13927</v>
      </c>
      <c r="G1749" t="s">
        <v>18066</v>
      </c>
      <c r="H1749" t="s">
        <v>1112</v>
      </c>
      <c r="I1749" t="s">
        <v>1108</v>
      </c>
      <c r="J1749" t="s">
        <v>13928</v>
      </c>
      <c r="K1749" t="s">
        <v>13929</v>
      </c>
      <c r="L1749" t="s">
        <v>21</v>
      </c>
      <c r="M1749" t="s">
        <v>19177</v>
      </c>
      <c r="N1749" t="s">
        <v>97</v>
      </c>
      <c r="O1749" t="s">
        <v>937</v>
      </c>
      <c r="P1749" t="s">
        <v>12</v>
      </c>
    </row>
    <row r="1750">
      <c r="A1750">
        <f>HYPERLINK("http://bombeiros.sp.gov.br/hidrantes/03individual/439.html","439")</f>
      </c>
      <c r="B1750" t="s">
        <v>842</v>
      </c>
      <c r="C1750" t="s">
        <v>945</v>
      </c>
      <c r="D1750" t="s">
        <v>13908</v>
      </c>
      <c r="E1750" t="s">
        <v>15</v>
      </c>
      <c r="F1750" t="s">
        <v>13930</v>
      </c>
      <c r="G1750" t="s">
        <v>18200</v>
      </c>
      <c r="H1750" t="s">
        <v>1107</v>
      </c>
      <c r="I1750" t="s">
        <v>1108</v>
      </c>
      <c r="J1750" t="s">
        <v>13931</v>
      </c>
      <c r="K1750" t="s">
        <v>13932</v>
      </c>
      <c r="L1750" t="s">
        <v>21</v>
      </c>
      <c r="M1750" t="s">
        <v>19177</v>
      </c>
      <c r="N1750" t="s">
        <v>97</v>
      </c>
      <c r="O1750" t="s">
        <v>937</v>
      </c>
      <c r="P1750" t="s">
        <v>12</v>
      </c>
    </row>
    <row r="1751">
      <c r="A1751">
        <f>HYPERLINK("http://bombeiros.sp.gov.br/hidrantes/03individual/3655.html","3655")</f>
      </c>
      <c r="B1751" t="s">
        <v>842</v>
      </c>
      <c r="C1751" t="s">
        <v>945</v>
      </c>
      <c r="D1751" t="s">
        <v>13908</v>
      </c>
      <c r="E1751" t="s">
        <v>15</v>
      </c>
      <c r="F1751" t="s">
        <v>13939</v>
      </c>
      <c r="G1751" t="s">
        <v>18153</v>
      </c>
      <c r="H1751" t="s">
        <v>1112</v>
      </c>
      <c r="I1751" t="s">
        <v>1108</v>
      </c>
      <c r="J1751" t="s">
        <v>13940</v>
      </c>
      <c r="K1751" t="s">
        <v>13941</v>
      </c>
      <c r="L1751" t="s">
        <v>21</v>
      </c>
      <c r="M1751" t="s">
        <v>19177</v>
      </c>
      <c r="N1751" t="s">
        <v>97</v>
      </c>
      <c r="O1751" t="s">
        <v>937</v>
      </c>
      <c r="P1751" t="s">
        <v>12</v>
      </c>
    </row>
    <row r="1752">
      <c r="A1752">
        <f>HYPERLINK("http://bombeiros.sp.gov.br/hidrantes/03individual/3800.html","3800")</f>
      </c>
      <c r="B1752" t="s">
        <v>842</v>
      </c>
      <c r="C1752" t="s">
        <v>945</v>
      </c>
      <c r="D1752" t="s">
        <v>13908</v>
      </c>
      <c r="E1752" t="s">
        <v>15</v>
      </c>
      <c r="F1752" t="s">
        <v>13948</v>
      </c>
      <c r="G1752" t="s">
        <v>18129</v>
      </c>
      <c r="H1752" t="s">
        <v>1112</v>
      </c>
      <c r="I1752" t="s">
        <v>1108</v>
      </c>
      <c r="J1752" t="s">
        <v>13949</v>
      </c>
      <c r="K1752" t="s">
        <v>13950</v>
      </c>
      <c r="L1752" t="s">
        <v>21</v>
      </c>
      <c r="M1752" t="s">
        <v>19177</v>
      </c>
      <c r="N1752" t="s">
        <v>97</v>
      </c>
      <c r="O1752" t="s">
        <v>937</v>
      </c>
      <c r="P1752" t="s">
        <v>12</v>
      </c>
    </row>
    <row r="1753">
      <c r="A1753">
        <f>HYPERLINK("http://bombeiros.sp.gov.br/hidrantes/03individual/3802.html","3802")</f>
      </c>
      <c r="B1753" t="s">
        <v>842</v>
      </c>
      <c r="C1753" t="s">
        <v>945</v>
      </c>
      <c r="D1753" t="s">
        <v>13908</v>
      </c>
      <c r="E1753" t="s">
        <v>15</v>
      </c>
      <c r="F1753" t="s">
        <v>13951</v>
      </c>
      <c r="G1753" t="s">
        <v>18129</v>
      </c>
      <c r="H1753" t="s">
        <v>1107</v>
      </c>
      <c r="I1753" t="s">
        <v>1108</v>
      </c>
      <c r="J1753" t="s">
        <v>13952</v>
      </c>
      <c r="K1753" t="s">
        <v>13953</v>
      </c>
      <c r="L1753" t="s">
        <v>21</v>
      </c>
      <c r="M1753" t="s">
        <v>19177</v>
      </c>
      <c r="N1753" t="s">
        <v>97</v>
      </c>
      <c r="O1753" t="s">
        <v>937</v>
      </c>
      <c r="P1753" t="s">
        <v>12</v>
      </c>
    </row>
    <row r="1754">
      <c r="A1754">
        <f>HYPERLINK("http://bombeiros.sp.gov.br/hidrantes/03individual/3807.html","3807")</f>
      </c>
      <c r="B1754" t="s">
        <v>842</v>
      </c>
      <c r="C1754" t="s">
        <v>945</v>
      </c>
      <c r="D1754" t="s">
        <v>13908</v>
      </c>
      <c r="E1754" t="s">
        <v>15</v>
      </c>
      <c r="F1754" t="s">
        <v>13954</v>
      </c>
      <c r="G1754" t="s">
        <v>18172</v>
      </c>
      <c r="H1754" t="s">
        <v>1112</v>
      </c>
      <c r="I1754" t="s">
        <v>1108</v>
      </c>
      <c r="J1754" t="s">
        <v>13955</v>
      </c>
      <c r="K1754" t="s">
        <v>13956</v>
      </c>
      <c r="L1754" t="s">
        <v>21</v>
      </c>
      <c r="M1754" t="s">
        <v>19177</v>
      </c>
      <c r="N1754" t="s">
        <v>97</v>
      </c>
      <c r="O1754" t="s">
        <v>937</v>
      </c>
      <c r="P1754" t="s">
        <v>12</v>
      </c>
    </row>
    <row r="1755">
      <c r="A1755">
        <f>HYPERLINK("http://bombeiros.sp.gov.br/hidrantes/03individual/3812.html","3812")</f>
      </c>
      <c r="B1755" t="s">
        <v>842</v>
      </c>
      <c r="C1755" t="s">
        <v>945</v>
      </c>
      <c r="D1755" t="s">
        <v>13908</v>
      </c>
      <c r="E1755" t="s">
        <v>15</v>
      </c>
      <c r="F1755" t="s">
        <v>13957</v>
      </c>
      <c r="G1755" t="s">
        <v>18200</v>
      </c>
      <c r="H1755" t="s">
        <v>1107</v>
      </c>
      <c r="I1755" t="s">
        <v>1108</v>
      </c>
      <c r="J1755" t="s">
        <v>13958</v>
      </c>
      <c r="K1755" t="s">
        <v>13959</v>
      </c>
      <c r="L1755" t="s">
        <v>21</v>
      </c>
      <c r="M1755" t="s">
        <v>19177</v>
      </c>
      <c r="N1755" t="s">
        <v>97</v>
      </c>
      <c r="O1755" t="s">
        <v>937</v>
      </c>
      <c r="P1755" t="s">
        <v>12</v>
      </c>
    </row>
    <row r="1756">
      <c r="A1756">
        <f>HYPERLINK("http://bombeiros.sp.gov.br/hidrantes/03individual/3931.html","3931")</f>
      </c>
      <c r="B1756" t="s">
        <v>842</v>
      </c>
      <c r="C1756" t="s">
        <v>945</v>
      </c>
      <c r="D1756" t="s">
        <v>13908</v>
      </c>
      <c r="E1756" t="s">
        <v>15</v>
      </c>
      <c r="F1756" t="s">
        <v>13960</v>
      </c>
      <c r="G1756" t="s">
        <v>18212</v>
      </c>
      <c r="H1756" t="s">
        <v>1121</v>
      </c>
      <c r="I1756" t="s">
        <v>1117</v>
      </c>
      <c r="J1756" t="s">
        <v>13961</v>
      </c>
      <c r="K1756" t="s">
        <v>13962</v>
      </c>
      <c r="L1756" t="s">
        <v>21</v>
      </c>
      <c r="M1756" t="s">
        <v>19177</v>
      </c>
      <c r="N1756" t="s">
        <v>97</v>
      </c>
      <c r="O1756" t="s">
        <v>937</v>
      </c>
      <c r="P1756" t="s">
        <v>12</v>
      </c>
    </row>
    <row r="1757">
      <c r="A1757">
        <f>HYPERLINK("http://bombeiros.sp.gov.br/hidrantes/03individual/4359.html","4359")</f>
      </c>
      <c r="B1757" t="s">
        <v>842</v>
      </c>
      <c r="C1757" t="s">
        <v>945</v>
      </c>
      <c r="D1757" t="s">
        <v>13908</v>
      </c>
      <c r="E1757" t="s">
        <v>15</v>
      </c>
      <c r="F1757" t="s">
        <v>13966</v>
      </c>
      <c r="G1757" t="s">
        <v>18055</v>
      </c>
      <c r="H1757" t="s">
        <v>1112</v>
      </c>
      <c r="I1757" t="s">
        <v>1108</v>
      </c>
      <c r="J1757" t="s">
        <v>13967</v>
      </c>
      <c r="K1757" t="s">
        <v>13968</v>
      </c>
      <c r="L1757" t="s">
        <v>21</v>
      </c>
      <c r="M1757" t="s">
        <v>19177</v>
      </c>
      <c r="N1757" t="s">
        <v>97</v>
      </c>
      <c r="O1757" t="s">
        <v>937</v>
      </c>
      <c r="P1757" t="s">
        <v>12</v>
      </c>
    </row>
    <row r="1758">
      <c r="A1758">
        <f>HYPERLINK("http://bombeiros.sp.gov.br/hidrantes/03individual/4360.html","4360")</f>
      </c>
      <c r="B1758" t="s">
        <v>842</v>
      </c>
      <c r="C1758" t="s">
        <v>945</v>
      </c>
      <c r="D1758" t="s">
        <v>13908</v>
      </c>
      <c r="E1758" t="s">
        <v>15</v>
      </c>
      <c r="F1758" t="s">
        <v>13969</v>
      </c>
      <c r="G1758" t="s">
        <v>18130</v>
      </c>
      <c r="H1758" t="s">
        <v>1121</v>
      </c>
      <c r="I1758" t="s">
        <v>1117</v>
      </c>
      <c r="J1758" t="s">
        <v>13970</v>
      </c>
      <c r="K1758" t="s">
        <v>13971</v>
      </c>
      <c r="L1758" t="s">
        <v>21</v>
      </c>
      <c r="M1758" t="s">
        <v>19177</v>
      </c>
      <c r="N1758" t="s">
        <v>97</v>
      </c>
      <c r="O1758" t="s">
        <v>937</v>
      </c>
      <c r="P1758" t="s">
        <v>12</v>
      </c>
    </row>
    <row r="1759">
      <c r="A1759">
        <f>HYPERLINK("http://bombeiros.sp.gov.br/hidrantes/03individual/4363.html","4363")</f>
      </c>
      <c r="B1759" t="s">
        <v>842</v>
      </c>
      <c r="C1759" t="s">
        <v>945</v>
      </c>
      <c r="D1759" t="s">
        <v>13908</v>
      </c>
      <c r="E1759" t="s">
        <v>15</v>
      </c>
      <c r="F1759" t="s">
        <v>13972</v>
      </c>
      <c r="G1759" t="s">
        <v>18212</v>
      </c>
      <c r="H1759" t="s">
        <v>1112</v>
      </c>
      <c r="I1759" t="s">
        <v>1108</v>
      </c>
      <c r="J1759" t="s">
        <v>13973</v>
      </c>
      <c r="K1759" t="s">
        <v>13974</v>
      </c>
      <c r="L1759" t="s">
        <v>21</v>
      </c>
      <c r="M1759" t="s">
        <v>19177</v>
      </c>
      <c r="N1759" t="s">
        <v>97</v>
      </c>
      <c r="O1759" t="s">
        <v>937</v>
      </c>
      <c r="P1759" t="s">
        <v>12</v>
      </c>
    </row>
    <row r="1760">
      <c r="A1760">
        <f>HYPERLINK("http://bombeiros.sp.gov.br/hidrantes/03individual/4364.html","4364")</f>
      </c>
      <c r="B1760" t="s">
        <v>842</v>
      </c>
      <c r="C1760" t="s">
        <v>945</v>
      </c>
      <c r="D1760" t="s">
        <v>13908</v>
      </c>
      <c r="E1760" t="s">
        <v>15</v>
      </c>
      <c r="F1760" t="s">
        <v>13975</v>
      </c>
      <c r="G1760" t="s">
        <v>18055</v>
      </c>
      <c r="H1760" t="s">
        <v>1112</v>
      </c>
      <c r="I1760" t="s">
        <v>1108</v>
      </c>
      <c r="J1760" t="s">
        <v>13976</v>
      </c>
      <c r="K1760" t="s">
        <v>13977</v>
      </c>
      <c r="L1760" t="s">
        <v>21</v>
      </c>
      <c r="M1760" t="s">
        <v>19177</v>
      </c>
      <c r="N1760" t="s">
        <v>97</v>
      </c>
      <c r="O1760" t="s">
        <v>937</v>
      </c>
      <c r="P1760" t="s">
        <v>12</v>
      </c>
    </row>
    <row r="1761">
      <c r="A1761">
        <f>HYPERLINK("http://bombeiros.sp.gov.br/hidrantes/03individual/4367.html","4367")</f>
      </c>
      <c r="B1761" t="s">
        <v>842</v>
      </c>
      <c r="C1761" t="s">
        <v>945</v>
      </c>
      <c r="D1761" t="s">
        <v>13908</v>
      </c>
      <c r="E1761" t="s">
        <v>15</v>
      </c>
      <c r="F1761" t="s">
        <v>13981</v>
      </c>
      <c r="G1761" t="s">
        <v>18055</v>
      </c>
      <c r="H1761" t="s">
        <v>1107</v>
      </c>
      <c r="I1761" t="s">
        <v>1108</v>
      </c>
      <c r="J1761" t="s">
        <v>13982</v>
      </c>
      <c r="K1761" t="s">
        <v>13983</v>
      </c>
      <c r="L1761" t="s">
        <v>21</v>
      </c>
      <c r="M1761" t="s">
        <v>19177</v>
      </c>
      <c r="N1761" t="s">
        <v>97</v>
      </c>
      <c r="O1761" t="s">
        <v>937</v>
      </c>
      <c r="P1761" t="s">
        <v>12</v>
      </c>
    </row>
    <row r="1762">
      <c r="A1762">
        <f>HYPERLINK("http://bombeiros.sp.gov.br/hidrantes/03individual/3686.html","3686")</f>
      </c>
      <c r="B1762" t="s">
        <v>842</v>
      </c>
      <c r="C1762" t="s">
        <v>945</v>
      </c>
      <c r="D1762" t="s">
        <v>13984</v>
      </c>
      <c r="E1762" t="s">
        <v>64</v>
      </c>
      <c r="F1762" t="s">
        <v>13991</v>
      </c>
      <c r="G1762" t="s">
        <v>18171</v>
      </c>
      <c r="H1762"/>
      <c r="I1762" t="s">
        <v>18</v>
      </c>
      <c r="J1762" t="s">
        <v>13992</v>
      </c>
      <c r="K1762" t="s">
        <v>13993</v>
      </c>
      <c r="L1762" t="s">
        <v>21</v>
      </c>
      <c r="M1762" t="s">
        <v>19177</v>
      </c>
      <c r="N1762" t="s">
        <v>97</v>
      </c>
      <c r="O1762" t="s">
        <v>937</v>
      </c>
      <c r="P1762" t="s">
        <v>12</v>
      </c>
    </row>
    <row r="1763">
      <c r="A1763">
        <f>HYPERLINK("http://bombeiros.sp.gov.br/hidrantes/03individual/3689.html","3689")</f>
      </c>
      <c r="B1763" t="s">
        <v>842</v>
      </c>
      <c r="C1763" t="s">
        <v>945</v>
      </c>
      <c r="D1763" t="s">
        <v>13984</v>
      </c>
      <c r="E1763" t="s">
        <v>64</v>
      </c>
      <c r="F1763" t="s">
        <v>13994</v>
      </c>
      <c r="G1763" t="s">
        <v>18174</v>
      </c>
      <c r="H1763" t="s">
        <v>1107</v>
      </c>
      <c r="I1763" t="s">
        <v>1108</v>
      </c>
      <c r="J1763" t="s">
        <v>13995</v>
      </c>
      <c r="K1763" t="s">
        <v>13996</v>
      </c>
      <c r="L1763" t="s">
        <v>21</v>
      </c>
      <c r="M1763" t="s">
        <v>19177</v>
      </c>
      <c r="N1763" t="s">
        <v>97</v>
      </c>
      <c r="O1763" t="s">
        <v>937</v>
      </c>
      <c r="P1763" t="s">
        <v>12</v>
      </c>
    </row>
    <row r="1764">
      <c r="A1764">
        <f>HYPERLINK("http://bombeiros.sp.gov.br/hidrantes/03individual/3672.html","3672")</f>
      </c>
      <c r="B1764" t="s">
        <v>842</v>
      </c>
      <c r="C1764" t="s">
        <v>945</v>
      </c>
      <c r="D1764" t="s">
        <v>13984</v>
      </c>
      <c r="E1764" t="s">
        <v>15</v>
      </c>
      <c r="F1764" t="s">
        <v>14009</v>
      </c>
      <c r="G1764" t="s">
        <v>18003</v>
      </c>
      <c r="H1764" t="s">
        <v>1112</v>
      </c>
      <c r="I1764" t="s">
        <v>1108</v>
      </c>
      <c r="J1764" t="s">
        <v>14010</v>
      </c>
      <c r="K1764" t="s">
        <v>14011</v>
      </c>
      <c r="L1764" t="s">
        <v>21</v>
      </c>
      <c r="M1764" t="s">
        <v>19177</v>
      </c>
      <c r="N1764" t="s">
        <v>97</v>
      </c>
      <c r="O1764" t="s">
        <v>937</v>
      </c>
      <c r="P1764" t="s">
        <v>12</v>
      </c>
    </row>
    <row r="1765">
      <c r="A1765">
        <f>HYPERLINK("http://bombeiros.sp.gov.br/hidrantes/03individual/2359.html","2359")</f>
      </c>
      <c r="B1765" t="s">
        <v>842</v>
      </c>
      <c r="C1765" t="s">
        <v>1024</v>
      </c>
      <c r="D1765" t="s">
        <v>14012</v>
      </c>
      <c r="E1765" t="s">
        <v>64</v>
      </c>
      <c r="F1765" t="s">
        <v>14013</v>
      </c>
      <c r="G1765" t="s">
        <v>18107</v>
      </c>
      <c r="H1765" t="s">
        <v>1112</v>
      </c>
      <c r="I1765" t="s">
        <v>1108</v>
      </c>
      <c r="J1765" t="s">
        <v>14014</v>
      </c>
      <c r="K1765" t="s">
        <v>14015</v>
      </c>
      <c r="L1765" t="s">
        <v>21</v>
      </c>
      <c r="M1765" t="s">
        <v>19177</v>
      </c>
      <c r="N1765" t="s">
        <v>1024</v>
      </c>
      <c r="O1765" t="s">
        <v>1024</v>
      </c>
      <c r="P1765" t="s">
        <v>842</v>
      </c>
    </row>
    <row r="1766">
      <c r="A1766">
        <f>HYPERLINK("http://bombeiros.sp.gov.br/hidrantes/03individual/403.html","403")</f>
      </c>
      <c r="B1766" t="s">
        <v>842</v>
      </c>
      <c r="C1766" t="s">
        <v>1024</v>
      </c>
      <c r="D1766" t="s">
        <v>14012</v>
      </c>
      <c r="E1766" t="s">
        <v>15</v>
      </c>
      <c r="F1766" t="s">
        <v>14019</v>
      </c>
      <c r="G1766" t="s">
        <v>18130</v>
      </c>
      <c r="H1766" t="s">
        <v>1112</v>
      </c>
      <c r="I1766" t="s">
        <v>1108</v>
      </c>
      <c r="J1766" t="s">
        <v>14020</v>
      </c>
      <c r="K1766" t="s">
        <v>14021</v>
      </c>
      <c r="L1766" t="s">
        <v>21</v>
      </c>
      <c r="M1766" t="s">
        <v>19177</v>
      </c>
      <c r="N1766" t="s">
        <v>1024</v>
      </c>
      <c r="O1766" t="s">
        <v>1024</v>
      </c>
      <c r="P1766" t="s">
        <v>842</v>
      </c>
    </row>
    <row r="1767">
      <c r="A1767">
        <f>HYPERLINK("http://bombeiros.sp.gov.br/hidrantes/03individual/2352.html","2352")</f>
      </c>
      <c r="B1767" t="s">
        <v>842</v>
      </c>
      <c r="C1767" t="s">
        <v>1024</v>
      </c>
      <c r="D1767" t="s">
        <v>14012</v>
      </c>
      <c r="E1767" t="s">
        <v>15</v>
      </c>
      <c r="F1767" t="s">
        <v>14025</v>
      </c>
      <c r="G1767" t="s">
        <v>18107</v>
      </c>
      <c r="H1767" t="s">
        <v>1112</v>
      </c>
      <c r="I1767" t="s">
        <v>1108</v>
      </c>
      <c r="J1767" t="s">
        <v>14026</v>
      </c>
      <c r="K1767" t="s">
        <v>14027</v>
      </c>
      <c r="L1767" t="s">
        <v>21</v>
      </c>
      <c r="M1767" t="s">
        <v>19177</v>
      </c>
      <c r="N1767" t="s">
        <v>1024</v>
      </c>
      <c r="O1767" t="s">
        <v>1024</v>
      </c>
      <c r="P1767" t="s">
        <v>842</v>
      </c>
    </row>
    <row r="1768">
      <c r="A1768">
        <f>HYPERLINK("http://bombeiros.sp.gov.br/hidrantes/03individual/2371.html","2371")</f>
      </c>
      <c r="B1768" t="s">
        <v>842</v>
      </c>
      <c r="C1768" t="s">
        <v>1024</v>
      </c>
      <c r="D1768" t="s">
        <v>14012</v>
      </c>
      <c r="E1768" t="s">
        <v>15</v>
      </c>
      <c r="F1768" t="s">
        <v>14028</v>
      </c>
      <c r="G1768" t="s">
        <v>18118</v>
      </c>
      <c r="H1768" t="s">
        <v>1107</v>
      </c>
      <c r="I1768" t="s">
        <v>1108</v>
      </c>
      <c r="J1768" t="s">
        <v>17189</v>
      </c>
      <c r="K1768" t="s">
        <v>17190</v>
      </c>
      <c r="L1768" t="s">
        <v>21</v>
      </c>
      <c r="M1768" t="s">
        <v>19177</v>
      </c>
      <c r="N1768" t="s">
        <v>1024</v>
      </c>
      <c r="O1768" t="s">
        <v>1024</v>
      </c>
      <c r="P1768" t="s">
        <v>842</v>
      </c>
    </row>
    <row r="1769">
      <c r="A1769">
        <f>HYPERLINK("http://bombeiros.sp.gov.br/hidrantes/03individual/2396.html","2396")</f>
      </c>
      <c r="B1769" t="s">
        <v>842</v>
      </c>
      <c r="C1769" t="s">
        <v>1024</v>
      </c>
      <c r="D1769" t="s">
        <v>14012</v>
      </c>
      <c r="E1769" t="s">
        <v>15</v>
      </c>
      <c r="F1769" t="s">
        <v>14037</v>
      </c>
      <c r="G1769" t="s">
        <v>18118</v>
      </c>
      <c r="H1769" t="s">
        <v>1112</v>
      </c>
      <c r="I1769" t="s">
        <v>1108</v>
      </c>
      <c r="J1769" t="s">
        <v>14038</v>
      </c>
      <c r="K1769" t="s">
        <v>14039</v>
      </c>
      <c r="L1769" t="s">
        <v>21</v>
      </c>
      <c r="M1769" t="s">
        <v>19177</v>
      </c>
      <c r="N1769" t="s">
        <v>1024</v>
      </c>
      <c r="O1769" t="s">
        <v>1024</v>
      </c>
      <c r="P1769" t="s">
        <v>842</v>
      </c>
    </row>
    <row r="1770">
      <c r="A1770">
        <f>HYPERLINK("http://bombeiros.sp.gov.br/hidrantes/03individual/3846.html","3846")</f>
      </c>
      <c r="B1770" t="s">
        <v>842</v>
      </c>
      <c r="C1770" t="s">
        <v>1024</v>
      </c>
      <c r="D1770" t="s">
        <v>14012</v>
      </c>
      <c r="E1770" t="s">
        <v>15</v>
      </c>
      <c r="F1770" t="s">
        <v>14046</v>
      </c>
      <c r="G1770" t="s">
        <v>18107</v>
      </c>
      <c r="H1770" t="s">
        <v>1112</v>
      </c>
      <c r="I1770" t="s">
        <v>1108</v>
      </c>
      <c r="J1770" t="s">
        <v>14047</v>
      </c>
      <c r="K1770" t="s">
        <v>14048</v>
      </c>
      <c r="L1770" t="s">
        <v>21</v>
      </c>
      <c r="M1770" t="s">
        <v>19177</v>
      </c>
      <c r="N1770" t="s">
        <v>1024</v>
      </c>
      <c r="O1770" t="s">
        <v>1024</v>
      </c>
      <c r="P1770" t="s">
        <v>842</v>
      </c>
    </row>
    <row r="1771">
      <c r="A1771">
        <f>HYPERLINK("http://bombeiros.sp.gov.br/hidrantes/03individual/6728.html","6728")</f>
      </c>
      <c r="B1771" t="s">
        <v>842</v>
      </c>
      <c r="C1771" t="s">
        <v>1024</v>
      </c>
      <c r="D1771" t="s">
        <v>14012</v>
      </c>
      <c r="E1771" t="s">
        <v>15</v>
      </c>
      <c r="F1771" t="s">
        <v>14049</v>
      </c>
      <c r="G1771" t="s">
        <v>18131</v>
      </c>
      <c r="H1771" t="s">
        <v>1112</v>
      </c>
      <c r="I1771" t="s">
        <v>1108</v>
      </c>
      <c r="J1771" t="s">
        <v>14050</v>
      </c>
      <c r="K1771" t="s">
        <v>14051</v>
      </c>
      <c r="L1771" t="s">
        <v>21</v>
      </c>
      <c r="M1771" t="s">
        <v>19177</v>
      </c>
      <c r="N1771" t="s">
        <v>1024</v>
      </c>
      <c r="O1771" t="s">
        <v>1024</v>
      </c>
      <c r="P1771" t="s">
        <v>842</v>
      </c>
    </row>
    <row r="1772">
      <c r="A1772">
        <f>HYPERLINK("http://bombeiros.sp.gov.br/hidrantes/03individual/6732.html","6732")</f>
      </c>
      <c r="B1772" t="s">
        <v>842</v>
      </c>
      <c r="C1772" t="s">
        <v>1024</v>
      </c>
      <c r="D1772" t="s">
        <v>14012</v>
      </c>
      <c r="E1772" t="s">
        <v>15</v>
      </c>
      <c r="F1772" t="s">
        <v>14052</v>
      </c>
      <c r="G1772" t="s">
        <v>18105</v>
      </c>
      <c r="H1772" t="s">
        <v>1112</v>
      </c>
      <c r="I1772" t="s">
        <v>1108</v>
      </c>
      <c r="J1772" t="s">
        <v>14053</v>
      </c>
      <c r="K1772" t="s">
        <v>14054</v>
      </c>
      <c r="L1772" t="s">
        <v>21</v>
      </c>
      <c r="M1772" t="s">
        <v>19177</v>
      </c>
      <c r="N1772" t="s">
        <v>1024</v>
      </c>
      <c r="O1772" t="s">
        <v>1024</v>
      </c>
      <c r="P1772" t="s">
        <v>842</v>
      </c>
    </row>
    <row r="1773">
      <c r="A1773">
        <f>HYPERLINK("http://bombeiros.sp.gov.br/hidrantes/03individual/6735.html","6735")</f>
      </c>
      <c r="B1773" t="s">
        <v>842</v>
      </c>
      <c r="C1773" t="s">
        <v>1024</v>
      </c>
      <c r="D1773" t="s">
        <v>14012</v>
      </c>
      <c r="E1773" t="s">
        <v>15</v>
      </c>
      <c r="F1773" t="s">
        <v>14055</v>
      </c>
      <c r="G1773" t="s">
        <v>18105</v>
      </c>
      <c r="H1773" t="s">
        <v>1112</v>
      </c>
      <c r="I1773" t="s">
        <v>1108</v>
      </c>
      <c r="J1773" t="s">
        <v>14056</v>
      </c>
      <c r="K1773" t="s">
        <v>14057</v>
      </c>
      <c r="L1773" t="s">
        <v>21</v>
      </c>
      <c r="M1773" t="s">
        <v>19177</v>
      </c>
      <c r="N1773" t="s">
        <v>1024</v>
      </c>
      <c r="O1773" t="s">
        <v>1024</v>
      </c>
      <c r="P1773" t="s">
        <v>842</v>
      </c>
    </row>
    <row r="1774">
      <c r="A1774">
        <f>HYPERLINK("http://bombeiros.sp.gov.br/hidrantes/03individual/17850.html","17850")</f>
      </c>
      <c r="B1774" t="s">
        <v>842</v>
      </c>
      <c r="C1774" t="s">
        <v>1024</v>
      </c>
      <c r="D1774" t="s">
        <v>14012</v>
      </c>
      <c r="E1774" t="s">
        <v>15</v>
      </c>
      <c r="F1774" t="s">
        <v>14061</v>
      </c>
      <c r="G1774" t="s">
        <v>18105</v>
      </c>
      <c r="H1774" t="s">
        <v>1112</v>
      </c>
      <c r="I1774" t="s">
        <v>1108</v>
      </c>
      <c r="J1774" t="s">
        <v>14062</v>
      </c>
      <c r="K1774" t="s">
        <v>14063</v>
      </c>
      <c r="L1774" t="s">
        <v>21</v>
      </c>
      <c r="M1774" t="s">
        <v>19177</v>
      </c>
      <c r="N1774" t="s">
        <v>1024</v>
      </c>
      <c r="O1774" t="s">
        <v>1024</v>
      </c>
      <c r="P1774" t="s">
        <v>842</v>
      </c>
    </row>
    <row r="1775">
      <c r="A1775">
        <f>HYPERLINK("http://bombeiros.sp.gov.br/hidrantes/03individual/2361.html","2361")</f>
      </c>
      <c r="B1775" t="s">
        <v>842</v>
      </c>
      <c r="C1775" t="s">
        <v>1024</v>
      </c>
      <c r="D1775" t="s">
        <v>1025</v>
      </c>
      <c r="E1775" t="s">
        <v>64</v>
      </c>
      <c r="F1775" t="s">
        <v>14067</v>
      </c>
      <c r="G1775" t="s">
        <v>18200</v>
      </c>
      <c r="H1775" t="s">
        <v>1112</v>
      </c>
      <c r="I1775" t="s">
        <v>1108</v>
      </c>
      <c r="J1775" t="s">
        <v>14068</v>
      </c>
      <c r="K1775" t="s">
        <v>14069</v>
      </c>
      <c r="L1775" t="s">
        <v>36</v>
      </c>
      <c r="M1775" t="s">
        <v>19177</v>
      </c>
      <c r="N1775" t="s">
        <v>1024</v>
      </c>
      <c r="O1775" t="s">
        <v>1024</v>
      </c>
      <c r="P1775" t="s">
        <v>842</v>
      </c>
    </row>
    <row r="1776">
      <c r="A1776">
        <f>HYPERLINK("http://bombeiros.sp.gov.br/hidrantes/03individual/3863.html","3863")</f>
      </c>
      <c r="B1776" t="s">
        <v>842</v>
      </c>
      <c r="C1776" t="s">
        <v>1024</v>
      </c>
      <c r="D1776" t="s">
        <v>1025</v>
      </c>
      <c r="E1776" t="s">
        <v>64</v>
      </c>
      <c r="F1776" t="s">
        <v>14070</v>
      </c>
      <c r="G1776" t="s">
        <v>18209</v>
      </c>
      <c r="H1776" t="s">
        <v>1112</v>
      </c>
      <c r="I1776" t="s">
        <v>1108</v>
      </c>
      <c r="J1776" t="s">
        <v>14071</v>
      </c>
      <c r="K1776" t="s">
        <v>14072</v>
      </c>
      <c r="L1776" t="s">
        <v>36</v>
      </c>
      <c r="M1776" t="s">
        <v>19177</v>
      </c>
      <c r="N1776" t="s">
        <v>1024</v>
      </c>
      <c r="O1776" t="s">
        <v>1024</v>
      </c>
      <c r="P1776" t="s">
        <v>842</v>
      </c>
    </row>
    <row r="1777">
      <c r="A1777">
        <f>HYPERLINK("http://bombeiros.sp.gov.br/hidrantes/03individual/4388.html","4388")</f>
      </c>
      <c r="B1777" t="s">
        <v>842</v>
      </c>
      <c r="C1777" t="s">
        <v>1024</v>
      </c>
      <c r="D1777" t="s">
        <v>1025</v>
      </c>
      <c r="E1777" t="s">
        <v>64</v>
      </c>
      <c r="F1777" t="s">
        <v>14076</v>
      </c>
      <c r="G1777" t="s">
        <v>18189</v>
      </c>
      <c r="H1777" t="s">
        <v>1112</v>
      </c>
      <c r="I1777" t="s">
        <v>1108</v>
      </c>
      <c r="J1777" t="s">
        <v>14077</v>
      </c>
      <c r="K1777" t="s">
        <v>14078</v>
      </c>
      <c r="L1777" t="s">
        <v>36</v>
      </c>
      <c r="M1777" t="s">
        <v>19177</v>
      </c>
      <c r="N1777" t="s">
        <v>1024</v>
      </c>
      <c r="O1777" t="s">
        <v>1024</v>
      </c>
      <c r="P1777" t="s">
        <v>842</v>
      </c>
    </row>
    <row r="1778">
      <c r="A1778">
        <f>HYPERLINK("http://bombeiros.sp.gov.br/hidrantes/03individual/6704.html","6704")</f>
      </c>
      <c r="B1778" t="s">
        <v>842</v>
      </c>
      <c r="C1778" t="s">
        <v>1024</v>
      </c>
      <c r="D1778" t="s">
        <v>1025</v>
      </c>
      <c r="E1778" t="s">
        <v>64</v>
      </c>
      <c r="F1778" t="s">
        <v>14082</v>
      </c>
      <c r="G1778" t="s">
        <v>18062</v>
      </c>
      <c r="H1778" t="s">
        <v>1121</v>
      </c>
      <c r="I1778" t="s">
        <v>1117</v>
      </c>
      <c r="J1778" t="s">
        <v>14083</v>
      </c>
      <c r="K1778" t="s">
        <v>14084</v>
      </c>
      <c r="L1778" t="s">
        <v>21</v>
      </c>
      <c r="M1778" t="s">
        <v>19177</v>
      </c>
      <c r="N1778" t="s">
        <v>1024</v>
      </c>
      <c r="O1778" t="s">
        <v>1024</v>
      </c>
      <c r="P1778" t="s">
        <v>842</v>
      </c>
    </row>
    <row r="1779">
      <c r="A1779">
        <f>HYPERLINK("http://bombeiros.sp.gov.br/hidrantes/03individual/6705.html","6705")</f>
      </c>
      <c r="B1779" t="s">
        <v>842</v>
      </c>
      <c r="C1779" t="s">
        <v>1024</v>
      </c>
      <c r="D1779" t="s">
        <v>1025</v>
      </c>
      <c r="E1779" t="s">
        <v>64</v>
      </c>
      <c r="F1779" t="s">
        <v>14085</v>
      </c>
      <c r="G1779" t="s">
        <v>18062</v>
      </c>
      <c r="H1779" t="s">
        <v>1107</v>
      </c>
      <c r="I1779" t="s">
        <v>1108</v>
      </c>
      <c r="J1779" t="s">
        <v>14086</v>
      </c>
      <c r="K1779" t="s">
        <v>14087</v>
      </c>
      <c r="L1779" t="s">
        <v>21</v>
      </c>
      <c r="M1779" t="s">
        <v>19177</v>
      </c>
      <c r="N1779" t="s">
        <v>1024</v>
      </c>
      <c r="O1779" t="s">
        <v>1024</v>
      </c>
      <c r="P1779" t="s">
        <v>842</v>
      </c>
    </row>
    <row r="1780">
      <c r="A1780">
        <f>HYPERLINK("http://bombeiros.sp.gov.br/hidrantes/03individual/27104.html","27104")</f>
      </c>
      <c r="B1780" t="s">
        <v>842</v>
      </c>
      <c r="C1780" t="s">
        <v>1024</v>
      </c>
      <c r="D1780" t="s">
        <v>1025</v>
      </c>
      <c r="E1780" t="s">
        <v>64</v>
      </c>
      <c r="F1780" t="s">
        <v>16772</v>
      </c>
      <c r="G1780" t="s">
        <v>18118</v>
      </c>
      <c r="H1780" t="s">
        <v>1112</v>
      </c>
      <c r="I1780" t="s">
        <v>1108</v>
      </c>
      <c r="J1780" t="s">
        <v>16773</v>
      </c>
      <c r="K1780" t="s">
        <v>16774</v>
      </c>
      <c r="L1780" t="s">
        <v>21</v>
      </c>
      <c r="M1780" t="s">
        <v>19177</v>
      </c>
      <c r="N1780" t="s">
        <v>1024</v>
      </c>
      <c r="O1780" t="s">
        <v>1024</v>
      </c>
      <c r="P1780" t="s">
        <v>842</v>
      </c>
    </row>
    <row r="1781">
      <c r="A1781">
        <f>HYPERLINK("http://bombeiros.sp.gov.br/hidrantes/03individual/27120.html","27120")</f>
      </c>
      <c r="B1781" t="s">
        <v>842</v>
      </c>
      <c r="C1781" t="s">
        <v>1024</v>
      </c>
      <c r="D1781" t="s">
        <v>1025</v>
      </c>
      <c r="E1781" t="s">
        <v>64</v>
      </c>
      <c r="F1781" t="s">
        <v>16793</v>
      </c>
      <c r="G1781" t="s">
        <v>18099</v>
      </c>
      <c r="H1781" t="s">
        <v>1112</v>
      </c>
      <c r="I1781" t="s">
        <v>1108</v>
      </c>
      <c r="J1781" t="s">
        <v>16794</v>
      </c>
      <c r="K1781" t="s">
        <v>16795</v>
      </c>
      <c r="L1781" t="s">
        <v>21</v>
      </c>
      <c r="M1781" t="s">
        <v>19177</v>
      </c>
      <c r="N1781" t="s">
        <v>1024</v>
      </c>
      <c r="O1781" t="s">
        <v>1024</v>
      </c>
      <c r="P1781" t="s">
        <v>842</v>
      </c>
    </row>
    <row r="1782">
      <c r="A1782">
        <f>HYPERLINK("http://bombeiros.sp.gov.br/hidrantes/03individual/28017.html","28017")</f>
      </c>
      <c r="B1782" t="s">
        <v>842</v>
      </c>
      <c r="C1782" t="s">
        <v>1024</v>
      </c>
      <c r="D1782" t="s">
        <v>1025</v>
      </c>
      <c r="E1782" t="s">
        <v>64</v>
      </c>
      <c r="F1782" t="s">
        <v>18391</v>
      </c>
      <c r="G1782" t="s">
        <v>18062</v>
      </c>
      <c r="H1782" t="s">
        <v>1112</v>
      </c>
      <c r="I1782" t="s">
        <v>1108</v>
      </c>
      <c r="J1782" t="s">
        <v>18392</v>
      </c>
      <c r="K1782" t="s">
        <v>18393</v>
      </c>
      <c r="L1782" t="s">
        <v>21</v>
      </c>
      <c r="M1782" t="s">
        <v>19177</v>
      </c>
      <c r="N1782" t="s">
        <v>1024</v>
      </c>
      <c r="O1782" t="s">
        <v>1024</v>
      </c>
      <c r="P1782" t="s">
        <v>842</v>
      </c>
    </row>
    <row r="1783">
      <c r="A1783">
        <f>HYPERLINK("http://bombeiros.sp.gov.br/hidrantes/03individual/2356.html","2356")</f>
      </c>
      <c r="B1783" t="s">
        <v>842</v>
      </c>
      <c r="C1783" t="s">
        <v>1024</v>
      </c>
      <c r="D1783" t="s">
        <v>1025</v>
      </c>
      <c r="E1783" t="s">
        <v>15</v>
      </c>
      <c r="F1783" t="s">
        <v>14088</v>
      </c>
      <c r="G1783" t="s">
        <v>18209</v>
      </c>
      <c r="H1783" t="s">
        <v>1112</v>
      </c>
      <c r="I1783" t="s">
        <v>1108</v>
      </c>
      <c r="J1783" t="s">
        <v>14089</v>
      </c>
      <c r="K1783" t="s">
        <v>14090</v>
      </c>
      <c r="L1783" t="s">
        <v>21</v>
      </c>
      <c r="M1783" t="s">
        <v>19177</v>
      </c>
      <c r="N1783" t="s">
        <v>1024</v>
      </c>
      <c r="O1783" t="s">
        <v>1024</v>
      </c>
      <c r="P1783" t="s">
        <v>842</v>
      </c>
    </row>
    <row r="1784">
      <c r="A1784">
        <f>HYPERLINK("http://bombeiros.sp.gov.br/hidrantes/03individual/3853.html","3853")</f>
      </c>
      <c r="B1784" t="s">
        <v>842</v>
      </c>
      <c r="C1784" t="s">
        <v>1024</v>
      </c>
      <c r="D1784" t="s">
        <v>1025</v>
      </c>
      <c r="E1784" t="s">
        <v>15</v>
      </c>
      <c r="F1784" t="s">
        <v>14091</v>
      </c>
      <c r="G1784" t="s">
        <v>18178</v>
      </c>
      <c r="H1784" t="s">
        <v>1112</v>
      </c>
      <c r="I1784" t="s">
        <v>1108</v>
      </c>
      <c r="J1784" t="s">
        <v>14092</v>
      </c>
      <c r="K1784" t="s">
        <v>14093</v>
      </c>
      <c r="L1784" t="s">
        <v>21</v>
      </c>
      <c r="M1784" t="s">
        <v>19177</v>
      </c>
      <c r="N1784" t="s">
        <v>1024</v>
      </c>
      <c r="O1784" t="s">
        <v>1024</v>
      </c>
      <c r="P1784" t="s">
        <v>842</v>
      </c>
    </row>
    <row r="1785">
      <c r="A1785">
        <f>HYPERLINK("http://bombeiros.sp.gov.br/hidrantes/03individual/4059.html","4059")</f>
      </c>
      <c r="B1785" t="s">
        <v>842</v>
      </c>
      <c r="C1785" t="s">
        <v>1024</v>
      </c>
      <c r="D1785" t="s">
        <v>1025</v>
      </c>
      <c r="E1785" t="s">
        <v>15</v>
      </c>
      <c r="F1785" t="s">
        <v>14112</v>
      </c>
      <c r="G1785" t="s">
        <v>18099</v>
      </c>
      <c r="H1785" t="s">
        <v>1112</v>
      </c>
      <c r="I1785" t="s">
        <v>1108</v>
      </c>
      <c r="J1785" t="s">
        <v>14113</v>
      </c>
      <c r="K1785" t="s">
        <v>14114</v>
      </c>
      <c r="L1785" t="s">
        <v>21</v>
      </c>
      <c r="M1785" t="s">
        <v>19177</v>
      </c>
      <c r="N1785" t="s">
        <v>1024</v>
      </c>
      <c r="O1785" t="s">
        <v>1024</v>
      </c>
      <c r="P1785" t="s">
        <v>842</v>
      </c>
    </row>
    <row r="1786">
      <c r="A1786">
        <f>HYPERLINK("http://bombeiros.sp.gov.br/hidrantes/03individual/4374.html","4374")</f>
      </c>
      <c r="B1786" t="s">
        <v>842</v>
      </c>
      <c r="C1786" t="s">
        <v>1024</v>
      </c>
      <c r="D1786" t="s">
        <v>1025</v>
      </c>
      <c r="E1786" t="s">
        <v>15</v>
      </c>
      <c r="F1786" t="s">
        <v>14118</v>
      </c>
      <c r="G1786" t="s">
        <v>18150</v>
      </c>
      <c r="H1786" t="s">
        <v>1107</v>
      </c>
      <c r="I1786" t="s">
        <v>1108</v>
      </c>
      <c r="J1786" t="s">
        <v>14119</v>
      </c>
      <c r="K1786" t="s">
        <v>14120</v>
      </c>
      <c r="L1786" t="s">
        <v>21</v>
      </c>
      <c r="M1786" t="s">
        <v>19177</v>
      </c>
      <c r="N1786" t="s">
        <v>1024</v>
      </c>
      <c r="O1786" t="s">
        <v>1024</v>
      </c>
      <c r="P1786" t="s">
        <v>842</v>
      </c>
    </row>
    <row r="1787">
      <c r="A1787">
        <f>HYPERLINK("http://bombeiros.sp.gov.br/hidrantes/03individual/4391.html","4391")</f>
      </c>
      <c r="B1787" t="s">
        <v>842</v>
      </c>
      <c r="C1787" t="s">
        <v>1024</v>
      </c>
      <c r="D1787" t="s">
        <v>1025</v>
      </c>
      <c r="E1787" t="s">
        <v>15</v>
      </c>
      <c r="F1787" t="s">
        <v>14121</v>
      </c>
      <c r="G1787" t="s">
        <v>18183</v>
      </c>
      <c r="H1787" t="s">
        <v>1107</v>
      </c>
      <c r="I1787" t="s">
        <v>1108</v>
      </c>
      <c r="J1787" t="s">
        <v>14122</v>
      </c>
      <c r="K1787" t="s">
        <v>14123</v>
      </c>
      <c r="L1787" t="s">
        <v>21</v>
      </c>
      <c r="M1787" t="s">
        <v>19177</v>
      </c>
      <c r="N1787" t="s">
        <v>1024</v>
      </c>
      <c r="O1787" t="s">
        <v>1024</v>
      </c>
      <c r="P1787" t="s">
        <v>842</v>
      </c>
    </row>
    <row r="1788">
      <c r="A1788">
        <f>HYPERLINK("http://bombeiros.sp.gov.br/hidrantes/03individual/4394.html","4394")</f>
      </c>
      <c r="B1788" t="s">
        <v>842</v>
      </c>
      <c r="C1788" t="s">
        <v>1024</v>
      </c>
      <c r="D1788" t="s">
        <v>1025</v>
      </c>
      <c r="E1788" t="s">
        <v>15</v>
      </c>
      <c r="F1788" t="s">
        <v>14124</v>
      </c>
      <c r="G1788" t="s">
        <v>18150</v>
      </c>
      <c r="H1788" t="s">
        <v>1112</v>
      </c>
      <c r="I1788" t="s">
        <v>1108</v>
      </c>
      <c r="J1788" t="s">
        <v>14125</v>
      </c>
      <c r="K1788" t="s">
        <v>14126</v>
      </c>
      <c r="L1788" t="s">
        <v>36</v>
      </c>
      <c r="M1788" t="s">
        <v>19177</v>
      </c>
      <c r="N1788" t="s">
        <v>1024</v>
      </c>
      <c r="O1788" t="s">
        <v>1024</v>
      </c>
      <c r="P1788" t="s">
        <v>842</v>
      </c>
    </row>
    <row r="1789">
      <c r="A1789">
        <f>HYPERLINK("http://bombeiros.sp.gov.br/hidrantes/03individual/6706.html","6706")</f>
      </c>
      <c r="B1789" t="s">
        <v>842</v>
      </c>
      <c r="C1789" t="s">
        <v>1024</v>
      </c>
      <c r="D1789" t="s">
        <v>1025</v>
      </c>
      <c r="E1789" t="s">
        <v>15</v>
      </c>
      <c r="F1789" t="s">
        <v>14130</v>
      </c>
      <c r="G1789" t="s">
        <v>18062</v>
      </c>
      <c r="H1789" t="s">
        <v>1107</v>
      </c>
      <c r="I1789" t="s">
        <v>1117</v>
      </c>
      <c r="J1789" t="s">
        <v>14131</v>
      </c>
      <c r="K1789" t="s">
        <v>14132</v>
      </c>
      <c r="L1789" t="s">
        <v>21</v>
      </c>
      <c r="M1789" t="s">
        <v>19177</v>
      </c>
      <c r="N1789" t="s">
        <v>1024</v>
      </c>
      <c r="O1789" t="s">
        <v>1024</v>
      </c>
      <c r="P1789" t="s">
        <v>842</v>
      </c>
    </row>
    <row r="1790">
      <c r="A1790">
        <f>HYPERLINK("http://bombeiros.sp.gov.br/hidrantes/03individual/6723.html","6723")</f>
      </c>
      <c r="B1790" t="s">
        <v>842</v>
      </c>
      <c r="C1790" t="s">
        <v>1024</v>
      </c>
      <c r="D1790" t="s">
        <v>1025</v>
      </c>
      <c r="E1790" t="s">
        <v>15</v>
      </c>
      <c r="F1790" t="s">
        <v>14136</v>
      </c>
      <c r="G1790" t="s">
        <v>18089</v>
      </c>
      <c r="H1790" t="s">
        <v>1107</v>
      </c>
      <c r="I1790" t="s">
        <v>1108</v>
      </c>
      <c r="J1790" t="s">
        <v>14137</v>
      </c>
      <c r="K1790" t="s">
        <v>14138</v>
      </c>
      <c r="L1790" t="s">
        <v>21</v>
      </c>
      <c r="M1790" t="s">
        <v>19177</v>
      </c>
      <c r="N1790" t="s">
        <v>1024</v>
      </c>
      <c r="O1790" t="s">
        <v>1024</v>
      </c>
      <c r="P1790" t="s">
        <v>842</v>
      </c>
    </row>
    <row r="1791">
      <c r="A1791">
        <f>HYPERLINK("http://bombeiros.sp.gov.br/hidrantes/03individual/6725.html","6725")</f>
      </c>
      <c r="B1791" t="s">
        <v>842</v>
      </c>
      <c r="C1791" t="s">
        <v>1024</v>
      </c>
      <c r="D1791" t="s">
        <v>1025</v>
      </c>
      <c r="E1791" t="s">
        <v>15</v>
      </c>
      <c r="F1791" t="s">
        <v>14142</v>
      </c>
      <c r="G1791" t="s">
        <v>17615</v>
      </c>
      <c r="H1791" t="s">
        <v>1107</v>
      </c>
      <c r="I1791" t="s">
        <v>1117</v>
      </c>
      <c r="J1791" t="s">
        <v>14143</v>
      </c>
      <c r="K1791" t="s">
        <v>14144</v>
      </c>
      <c r="L1791" t="s">
        <v>21</v>
      </c>
      <c r="M1791" t="s">
        <v>19177</v>
      </c>
      <c r="N1791" t="s">
        <v>1024</v>
      </c>
      <c r="O1791" t="s">
        <v>1024</v>
      </c>
      <c r="P1791" t="s">
        <v>842</v>
      </c>
    </row>
    <row r="1792">
      <c r="A1792">
        <f>HYPERLINK("http://bombeiros.sp.gov.br/hidrantes/03individual/16535.html","16535")</f>
      </c>
      <c r="B1792" t="s">
        <v>842</v>
      </c>
      <c r="C1792" t="s">
        <v>1024</v>
      </c>
      <c r="D1792" t="s">
        <v>1025</v>
      </c>
      <c r="E1792" t="s">
        <v>15</v>
      </c>
      <c r="F1792" t="s">
        <v>14145</v>
      </c>
      <c r="G1792" t="s">
        <v>18152</v>
      </c>
      <c r="H1792" t="s">
        <v>1112</v>
      </c>
      <c r="I1792" t="s">
        <v>1108</v>
      </c>
      <c r="J1792" t="s">
        <v>14146</v>
      </c>
      <c r="K1792" t="s">
        <v>14147</v>
      </c>
      <c r="L1792" t="s">
        <v>21</v>
      </c>
      <c r="M1792" t="s">
        <v>19177</v>
      </c>
      <c r="N1792" t="s">
        <v>1024</v>
      </c>
      <c r="O1792" t="s">
        <v>1024</v>
      </c>
      <c r="P1792" t="s">
        <v>842</v>
      </c>
    </row>
    <row r="1793">
      <c r="A1793">
        <f>HYPERLINK("http://bombeiros.sp.gov.br/hidrantes/03individual/16609.html","16609")</f>
      </c>
      <c r="B1793" t="s">
        <v>842</v>
      </c>
      <c r="C1793" t="s">
        <v>1024</v>
      </c>
      <c r="D1793" t="s">
        <v>1025</v>
      </c>
      <c r="E1793" t="s">
        <v>15</v>
      </c>
      <c r="F1793" t="s">
        <v>1043</v>
      </c>
      <c r="G1793" t="s">
        <v>18150</v>
      </c>
      <c r="H1793" t="s">
        <v>1112</v>
      </c>
      <c r="I1793" t="s">
        <v>1108</v>
      </c>
      <c r="J1793" t="s">
        <v>1044</v>
      </c>
      <c r="K1793" t="s">
        <v>1045</v>
      </c>
      <c r="L1793" t="s">
        <v>21</v>
      </c>
      <c r="M1793" t="s">
        <v>19177</v>
      </c>
      <c r="N1793" t="s">
        <v>1024</v>
      </c>
      <c r="O1793" t="s">
        <v>1024</v>
      </c>
      <c r="P1793" t="s">
        <v>842</v>
      </c>
    </row>
    <row r="1794">
      <c r="A1794">
        <f>HYPERLINK("http://bombeiros.sp.gov.br/hidrantes/03individual/16611.html","16611")</f>
      </c>
      <c r="B1794" t="s">
        <v>842</v>
      </c>
      <c r="C1794" t="s">
        <v>1024</v>
      </c>
      <c r="D1794" t="s">
        <v>1025</v>
      </c>
      <c r="E1794" t="s">
        <v>15</v>
      </c>
      <c r="F1794" t="s">
        <v>14151</v>
      </c>
      <c r="G1794" t="s">
        <v>18089</v>
      </c>
      <c r="H1794" t="s">
        <v>1107</v>
      </c>
      <c r="I1794" t="s">
        <v>1108</v>
      </c>
      <c r="J1794" t="s">
        <v>14152</v>
      </c>
      <c r="K1794" t="s">
        <v>14153</v>
      </c>
      <c r="L1794" t="s">
        <v>21</v>
      </c>
      <c r="M1794" t="s">
        <v>19177</v>
      </c>
      <c r="N1794" t="s">
        <v>1024</v>
      </c>
      <c r="O1794" t="s">
        <v>1024</v>
      </c>
      <c r="P1794" t="s">
        <v>842</v>
      </c>
    </row>
    <row r="1795">
      <c r="A1795">
        <f>HYPERLINK("http://bombeiros.sp.gov.br/hidrantes/03individual/26816.html","26816")</f>
      </c>
      <c r="B1795" t="s">
        <v>842</v>
      </c>
      <c r="C1795" t="s">
        <v>1024</v>
      </c>
      <c r="D1795" t="s">
        <v>1025</v>
      </c>
      <c r="E1795" t="s">
        <v>15</v>
      </c>
      <c r="F1795" t="s">
        <v>16065</v>
      </c>
      <c r="G1795" t="s">
        <v>18099</v>
      </c>
      <c r="H1795" t="s">
        <v>1112</v>
      </c>
      <c r="I1795" t="s">
        <v>1117</v>
      </c>
      <c r="J1795" t="s">
        <v>16066</v>
      </c>
      <c r="K1795" t="s">
        <v>16067</v>
      </c>
      <c r="L1795" t="s">
        <v>21</v>
      </c>
      <c r="M1795" t="s">
        <v>19177</v>
      </c>
      <c r="N1795" t="s">
        <v>1024</v>
      </c>
      <c r="O1795" t="s">
        <v>1024</v>
      </c>
      <c r="P1795" t="s">
        <v>842</v>
      </c>
    </row>
    <row r="1796">
      <c r="A1796">
        <f>HYPERLINK("http://bombeiros.sp.gov.br/hidrantes/03individual/26821.html","26821")</f>
      </c>
      <c r="B1796" t="s">
        <v>842</v>
      </c>
      <c r="C1796" t="s">
        <v>1024</v>
      </c>
      <c r="D1796" t="s">
        <v>1025</v>
      </c>
      <c r="E1796" t="s">
        <v>15</v>
      </c>
      <c r="F1796" t="s">
        <v>16094</v>
      </c>
      <c r="G1796" t="s">
        <v>18118</v>
      </c>
      <c r="H1796" t="s">
        <v>1112</v>
      </c>
      <c r="I1796" t="s">
        <v>1108</v>
      </c>
      <c r="J1796" t="s">
        <v>16095</v>
      </c>
      <c r="K1796" t="s">
        <v>16096</v>
      </c>
      <c r="L1796" t="s">
        <v>21</v>
      </c>
      <c r="M1796" t="s">
        <v>19177</v>
      </c>
      <c r="N1796" t="s">
        <v>1024</v>
      </c>
      <c r="O1796" t="s">
        <v>1024</v>
      </c>
      <c r="P1796" t="s">
        <v>842</v>
      </c>
    </row>
    <row r="1797">
      <c r="A1797">
        <f>HYPERLINK("http://bombeiros.sp.gov.br/hidrantes/03individual/27665.html","27665")</f>
      </c>
      <c r="B1797" t="s">
        <v>842</v>
      </c>
      <c r="C1797" t="s">
        <v>1024</v>
      </c>
      <c r="D1797" t="s">
        <v>1025</v>
      </c>
      <c r="E1797" t="s">
        <v>15</v>
      </c>
      <c r="F1797" t="s">
        <v>17572</v>
      </c>
      <c r="G1797" t="s">
        <v>18072</v>
      </c>
      <c r="H1797" t="s">
        <v>1112</v>
      </c>
      <c r="I1797" t="s">
        <v>1108</v>
      </c>
      <c r="J1797" t="s">
        <v>17787</v>
      </c>
      <c r="K1797" t="s">
        <v>17788</v>
      </c>
      <c r="L1797" t="s">
        <v>21</v>
      </c>
      <c r="M1797" t="s">
        <v>19177</v>
      </c>
      <c r="N1797" t="s">
        <v>1024</v>
      </c>
      <c r="O1797" t="s">
        <v>1024</v>
      </c>
      <c r="P1797" t="s">
        <v>842</v>
      </c>
    </row>
    <row r="1798">
      <c r="A1798">
        <f>HYPERLINK("http://bombeiros.sp.gov.br/hidrantes/03individual/3856.html","3856")</f>
      </c>
      <c r="B1798" t="s">
        <v>842</v>
      </c>
      <c r="C1798" t="s">
        <v>1024</v>
      </c>
      <c r="D1798" t="s">
        <v>1024</v>
      </c>
      <c r="E1798" t="s">
        <v>64</v>
      </c>
      <c r="F1798" t="s">
        <v>14157</v>
      </c>
      <c r="G1798" t="s">
        <v>18147</v>
      </c>
      <c r="H1798" t="s">
        <v>1112</v>
      </c>
      <c r="I1798" t="s">
        <v>1108</v>
      </c>
      <c r="J1798" t="s">
        <v>14158</v>
      </c>
      <c r="K1798" t="s">
        <v>14159</v>
      </c>
      <c r="L1798" t="s">
        <v>36</v>
      </c>
      <c r="M1798" t="s">
        <v>19177</v>
      </c>
      <c r="N1798" t="s">
        <v>1024</v>
      </c>
      <c r="O1798" t="s">
        <v>1024</v>
      </c>
      <c r="P1798" t="s">
        <v>842</v>
      </c>
    </row>
    <row r="1799">
      <c r="A1799">
        <f>HYPERLINK("http://bombeiros.sp.gov.br/hidrantes/03individual/119.html","119")</f>
      </c>
      <c r="B1799" t="s">
        <v>842</v>
      </c>
      <c r="C1799" t="s">
        <v>1024</v>
      </c>
      <c r="D1799" t="s">
        <v>1024</v>
      </c>
      <c r="E1799" t="s">
        <v>15</v>
      </c>
      <c r="F1799" t="s">
        <v>14160</v>
      </c>
      <c r="G1799" t="s">
        <v>18164</v>
      </c>
      <c r="H1799" t="s">
        <v>1112</v>
      </c>
      <c r="I1799" t="s">
        <v>1108</v>
      </c>
      <c r="J1799" t="s">
        <v>14161</v>
      </c>
      <c r="K1799" t="s">
        <v>14162</v>
      </c>
      <c r="L1799" t="s">
        <v>21</v>
      </c>
      <c r="M1799" t="s">
        <v>19177</v>
      </c>
      <c r="N1799" t="s">
        <v>1024</v>
      </c>
      <c r="O1799" t="s">
        <v>1024</v>
      </c>
      <c r="P1799" t="s">
        <v>842</v>
      </c>
    </row>
    <row r="1800">
      <c r="A1800">
        <f>HYPERLINK("http://bombeiros.sp.gov.br/hidrantes/03individual/3836.html","3836")</f>
      </c>
      <c r="B1800" t="s">
        <v>842</v>
      </c>
      <c r="C1800" t="s">
        <v>1024</v>
      </c>
      <c r="D1800" t="s">
        <v>1024</v>
      </c>
      <c r="E1800" t="s">
        <v>15</v>
      </c>
      <c r="F1800" t="s">
        <v>14169</v>
      </c>
      <c r="G1800" t="s">
        <v>18089</v>
      </c>
      <c r="H1800" t="s">
        <v>1112</v>
      </c>
      <c r="I1800" t="s">
        <v>1108</v>
      </c>
      <c r="J1800" t="s">
        <v>14170</v>
      </c>
      <c r="K1800" t="s">
        <v>14171</v>
      </c>
      <c r="L1800" t="s">
        <v>21</v>
      </c>
      <c r="M1800" t="s">
        <v>19177</v>
      </c>
      <c r="N1800" t="s">
        <v>1024</v>
      </c>
      <c r="O1800" t="s">
        <v>1024</v>
      </c>
      <c r="P1800" t="s">
        <v>842</v>
      </c>
    </row>
    <row r="1801">
      <c r="A1801">
        <f>HYPERLINK("http://bombeiros.sp.gov.br/hidrantes/03individual/4052.html","4052")</f>
      </c>
      <c r="B1801" t="s">
        <v>842</v>
      </c>
      <c r="C1801" t="s">
        <v>1024</v>
      </c>
      <c r="D1801" t="s">
        <v>1024</v>
      </c>
      <c r="E1801" t="s">
        <v>15</v>
      </c>
      <c r="F1801" t="s">
        <v>14175</v>
      </c>
      <c r="G1801" t="s">
        <v>18150</v>
      </c>
      <c r="H1801" t="s">
        <v>1112</v>
      </c>
      <c r="I1801" t="s">
        <v>1108</v>
      </c>
      <c r="J1801" t="s">
        <v>14176</v>
      </c>
      <c r="K1801" t="s">
        <v>14177</v>
      </c>
      <c r="L1801" t="s">
        <v>21</v>
      </c>
      <c r="M1801" t="s">
        <v>19177</v>
      </c>
      <c r="N1801" t="s">
        <v>1024</v>
      </c>
      <c r="O1801" t="s">
        <v>1024</v>
      </c>
      <c r="P1801" t="s">
        <v>842</v>
      </c>
    </row>
    <row r="1802">
      <c r="A1802">
        <f>HYPERLINK("http://bombeiros.sp.gov.br/hidrantes/03individual/4107.html","4107")</f>
      </c>
      <c r="B1802" t="s">
        <v>842</v>
      </c>
      <c r="C1802" t="s">
        <v>1024</v>
      </c>
      <c r="D1802" t="s">
        <v>1024</v>
      </c>
      <c r="E1802" t="s">
        <v>15</v>
      </c>
      <c r="F1802" t="s">
        <v>14190</v>
      </c>
      <c r="G1802" t="s">
        <v>18154</v>
      </c>
      <c r="H1802" t="s">
        <v>1112</v>
      </c>
      <c r="I1802" t="s">
        <v>1108</v>
      </c>
      <c r="J1802" t="s">
        <v>14191</v>
      </c>
      <c r="K1802" t="s">
        <v>14192</v>
      </c>
      <c r="L1802" t="s">
        <v>21</v>
      </c>
      <c r="M1802" t="s">
        <v>19177</v>
      </c>
      <c r="N1802" t="s">
        <v>1024</v>
      </c>
      <c r="O1802" t="s">
        <v>1024</v>
      </c>
      <c r="P1802" t="s">
        <v>842</v>
      </c>
    </row>
    <row r="1803">
      <c r="A1803">
        <f>HYPERLINK("http://bombeiros.sp.gov.br/hidrantes/03individual/16602.html","16602")</f>
      </c>
      <c r="B1803" t="s">
        <v>842</v>
      </c>
      <c r="C1803" t="s">
        <v>1024</v>
      </c>
      <c r="D1803" t="s">
        <v>1024</v>
      </c>
      <c r="E1803" t="s">
        <v>15</v>
      </c>
      <c r="F1803" t="s">
        <v>14199</v>
      </c>
      <c r="G1803" t="s">
        <v>18196</v>
      </c>
      <c r="H1803" t="s">
        <v>1107</v>
      </c>
      <c r="I1803" t="s">
        <v>1108</v>
      </c>
      <c r="J1803" t="s">
        <v>14200</v>
      </c>
      <c r="K1803" t="s">
        <v>14201</v>
      </c>
      <c r="L1803" t="s">
        <v>21</v>
      </c>
      <c r="M1803" t="s">
        <v>19177</v>
      </c>
      <c r="N1803" t="s">
        <v>1024</v>
      </c>
      <c r="O1803" t="s">
        <v>1024</v>
      </c>
      <c r="P1803" t="s">
        <v>842</v>
      </c>
    </row>
    <row r="1804">
      <c r="A1804">
        <f>HYPERLINK("http://bombeiros.sp.gov.br/hidrantes/03individual/16624.html","16624")</f>
      </c>
      <c r="B1804" t="s">
        <v>842</v>
      </c>
      <c r="C1804" t="s">
        <v>1024</v>
      </c>
      <c r="D1804" t="s">
        <v>1024</v>
      </c>
      <c r="E1804" t="s">
        <v>15</v>
      </c>
      <c r="F1804" t="s">
        <v>14202</v>
      </c>
      <c r="G1804" t="s">
        <v>18150</v>
      </c>
      <c r="H1804" t="s">
        <v>1112</v>
      </c>
      <c r="I1804" t="s">
        <v>1108</v>
      </c>
      <c r="J1804" t="s">
        <v>14203</v>
      </c>
      <c r="K1804" t="s">
        <v>14204</v>
      </c>
      <c r="L1804" t="s">
        <v>21</v>
      </c>
      <c r="M1804" t="s">
        <v>19177</v>
      </c>
      <c r="N1804" t="s">
        <v>1024</v>
      </c>
      <c r="O1804" t="s">
        <v>1024</v>
      </c>
      <c r="P1804" t="s">
        <v>842</v>
      </c>
    </row>
    <row r="1805">
      <c r="A1805">
        <f>HYPERLINK("http://bombeiros.sp.gov.br/hidrantes/03individual/16625.html","16625")</f>
      </c>
      <c r="B1805" t="s">
        <v>842</v>
      </c>
      <c r="C1805" t="s">
        <v>1024</v>
      </c>
      <c r="D1805" t="s">
        <v>1024</v>
      </c>
      <c r="E1805" t="s">
        <v>15</v>
      </c>
      <c r="F1805" t="s">
        <v>14205</v>
      </c>
      <c r="G1805" t="s">
        <v>18147</v>
      </c>
      <c r="H1805" t="s">
        <v>1107</v>
      </c>
      <c r="I1805" t="s">
        <v>1108</v>
      </c>
      <c r="J1805" t="s">
        <v>14206</v>
      </c>
      <c r="K1805" t="s">
        <v>14207</v>
      </c>
      <c r="L1805" t="s">
        <v>21</v>
      </c>
      <c r="M1805" t="s">
        <v>19177</v>
      </c>
      <c r="N1805" t="s">
        <v>1024</v>
      </c>
      <c r="O1805" t="s">
        <v>1024</v>
      </c>
      <c r="P1805" t="s">
        <v>842</v>
      </c>
    </row>
    <row r="1806">
      <c r="A1806">
        <f>HYPERLINK("http://bombeiros.sp.gov.br/hidrantes/03individual/4016.html","4016")</f>
      </c>
      <c r="B1806" t="s">
        <v>842</v>
      </c>
      <c r="C1806" t="s">
        <v>1024</v>
      </c>
      <c r="D1806" t="s">
        <v>1055</v>
      </c>
      <c r="E1806" t="s">
        <v>64</v>
      </c>
      <c r="F1806" t="s">
        <v>14214</v>
      </c>
      <c r="G1806" t="s">
        <v>18072</v>
      </c>
      <c r="H1806" t="s">
        <v>1112</v>
      </c>
      <c r="I1806" t="s">
        <v>1108</v>
      </c>
      <c r="J1806" t="s">
        <v>14215</v>
      </c>
      <c r="K1806" t="s">
        <v>14216</v>
      </c>
      <c r="L1806" t="s">
        <v>36</v>
      </c>
      <c r="M1806" t="s">
        <v>19177</v>
      </c>
      <c r="N1806" t="s">
        <v>1024</v>
      </c>
      <c r="O1806" t="s">
        <v>1024</v>
      </c>
      <c r="P1806" t="s">
        <v>842</v>
      </c>
    </row>
    <row r="1807">
      <c r="A1807">
        <f>HYPERLINK("http://bombeiros.sp.gov.br/hidrantes/03individual/4108.html","4108")</f>
      </c>
      <c r="B1807" t="s">
        <v>842</v>
      </c>
      <c r="C1807" t="s">
        <v>1024</v>
      </c>
      <c r="D1807" t="s">
        <v>1055</v>
      </c>
      <c r="E1807" t="s">
        <v>64</v>
      </c>
      <c r="F1807" t="s">
        <v>14217</v>
      </c>
      <c r="G1807" t="s">
        <v>18216</v>
      </c>
      <c r="H1807" t="s">
        <v>1112</v>
      </c>
      <c r="I1807" t="s">
        <v>1108</v>
      </c>
      <c r="J1807" t="s">
        <v>14218</v>
      </c>
      <c r="K1807" t="s">
        <v>14219</v>
      </c>
      <c r="L1807" t="s">
        <v>21</v>
      </c>
      <c r="M1807" t="s">
        <v>19177</v>
      </c>
      <c r="N1807" t="s">
        <v>1024</v>
      </c>
      <c r="O1807" t="s">
        <v>1024</v>
      </c>
      <c r="P1807" t="s">
        <v>842</v>
      </c>
    </row>
    <row r="1808">
      <c r="A1808">
        <f>HYPERLINK("http://bombeiros.sp.gov.br/hidrantes/03individual/10071.html","10071")</f>
      </c>
      <c r="B1808" t="s">
        <v>842</v>
      </c>
      <c r="C1808" t="s">
        <v>1024</v>
      </c>
      <c r="D1808" t="s">
        <v>1055</v>
      </c>
      <c r="E1808" t="s">
        <v>64</v>
      </c>
      <c r="F1808" t="s">
        <v>14220</v>
      </c>
      <c r="G1808" t="s">
        <v>18091</v>
      </c>
      <c r="H1808" t="s">
        <v>1112</v>
      </c>
      <c r="I1808" t="s">
        <v>1108</v>
      </c>
      <c r="J1808" t="s">
        <v>14221</v>
      </c>
      <c r="K1808" t="s">
        <v>14222</v>
      </c>
      <c r="L1808" t="s">
        <v>21</v>
      </c>
      <c r="M1808" t="s">
        <v>19177</v>
      </c>
      <c r="N1808" t="s">
        <v>1024</v>
      </c>
      <c r="O1808" t="s">
        <v>1024</v>
      </c>
      <c r="P1808" t="s">
        <v>842</v>
      </c>
    </row>
    <row r="1809">
      <c r="A1809">
        <f>HYPERLINK("http://bombeiros.sp.gov.br/hidrantes/03individual/26338.html","26338")</f>
      </c>
      <c r="B1809" t="s">
        <v>842</v>
      </c>
      <c r="C1809" t="s">
        <v>1024</v>
      </c>
      <c r="D1809" t="s">
        <v>1055</v>
      </c>
      <c r="E1809" t="s">
        <v>64</v>
      </c>
      <c r="F1809" t="s">
        <v>14223</v>
      </c>
      <c r="G1809" t="s">
        <v>18062</v>
      </c>
      <c r="H1809" t="s">
        <v>1112</v>
      </c>
      <c r="I1809" t="s">
        <v>1108</v>
      </c>
      <c r="J1809" t="s">
        <v>14224</v>
      </c>
      <c r="K1809" t="s">
        <v>14225</v>
      </c>
      <c r="L1809" t="s">
        <v>21</v>
      </c>
      <c r="M1809" t="s">
        <v>19177</v>
      </c>
      <c r="N1809" t="s">
        <v>1024</v>
      </c>
      <c r="O1809" t="s">
        <v>1024</v>
      </c>
      <c r="P1809" t="s">
        <v>842</v>
      </c>
    </row>
    <row r="1810">
      <c r="A1810">
        <f>HYPERLINK("http://bombeiros.sp.gov.br/hidrantes/03individual/4101.html","4101")</f>
      </c>
      <c r="B1810" t="s">
        <v>842</v>
      </c>
      <c r="C1810" t="s">
        <v>1024</v>
      </c>
      <c r="D1810" t="s">
        <v>1055</v>
      </c>
      <c r="E1810" t="s">
        <v>15</v>
      </c>
      <c r="F1810" t="s">
        <v>14238</v>
      </c>
      <c r="G1810" t="s">
        <v>18091</v>
      </c>
      <c r="H1810" t="s">
        <v>1107</v>
      </c>
      <c r="I1810" t="s">
        <v>1108</v>
      </c>
      <c r="J1810" t="s">
        <v>14239</v>
      </c>
      <c r="K1810" t="s">
        <v>14240</v>
      </c>
      <c r="L1810" t="s">
        <v>21</v>
      </c>
      <c r="M1810" t="s">
        <v>19177</v>
      </c>
      <c r="N1810" t="s">
        <v>1024</v>
      </c>
      <c r="O1810" t="s">
        <v>1024</v>
      </c>
      <c r="P1810" t="s">
        <v>842</v>
      </c>
    </row>
    <row r="1811">
      <c r="A1811">
        <f>HYPERLINK("http://bombeiros.sp.gov.br/hidrantes/03individual/10044.html","10044")</f>
      </c>
      <c r="B1811" t="s">
        <v>842</v>
      </c>
      <c r="C1811" t="s">
        <v>1024</v>
      </c>
      <c r="D1811" t="s">
        <v>1055</v>
      </c>
      <c r="E1811" t="s">
        <v>15</v>
      </c>
      <c r="F1811" t="s">
        <v>14244</v>
      </c>
      <c r="G1811" t="s">
        <v>18072</v>
      </c>
      <c r="H1811" t="s">
        <v>1107</v>
      </c>
      <c r="I1811" t="s">
        <v>1108</v>
      </c>
      <c r="J1811" t="s">
        <v>14245</v>
      </c>
      <c r="K1811" t="s">
        <v>14246</v>
      </c>
      <c r="L1811" t="s">
        <v>21</v>
      </c>
      <c r="M1811" t="s">
        <v>19177</v>
      </c>
      <c r="N1811" t="s">
        <v>1024</v>
      </c>
      <c r="O1811" t="s">
        <v>1024</v>
      </c>
      <c r="P1811" t="s">
        <v>842</v>
      </c>
    </row>
    <row r="1812">
      <c r="A1812">
        <f>HYPERLINK("http://bombeiros.sp.gov.br/hidrantes/03individual/3609.html","3609")</f>
      </c>
      <c r="B1812" t="s">
        <v>842</v>
      </c>
      <c r="C1812" t="s">
        <v>1065</v>
      </c>
      <c r="D1812" t="s">
        <v>1066</v>
      </c>
      <c r="E1812" t="s">
        <v>64</v>
      </c>
      <c r="F1812" t="s">
        <v>14247</v>
      </c>
      <c r="G1812" t="s">
        <v>18551</v>
      </c>
      <c r="H1812" t="s">
        <v>1112</v>
      </c>
      <c r="I1812" t="s">
        <v>1108</v>
      </c>
      <c r="J1812" t="s">
        <v>14248</v>
      </c>
      <c r="K1812" t="s">
        <v>14249</v>
      </c>
      <c r="L1812" t="s">
        <v>36</v>
      </c>
      <c r="M1812" t="s">
        <v>19177</v>
      </c>
      <c r="N1812" t="s">
        <v>714</v>
      </c>
      <c r="O1812" t="s">
        <v>10263</v>
      </c>
      <c r="P1812" t="s">
        <v>12</v>
      </c>
    </row>
    <row r="1813">
      <c r="A1813">
        <f>HYPERLINK("http://bombeiros.sp.gov.br/hidrantes/03individual/3611.html","3611")</f>
      </c>
      <c r="B1813" t="s">
        <v>842</v>
      </c>
      <c r="C1813" t="s">
        <v>1065</v>
      </c>
      <c r="D1813" t="s">
        <v>1066</v>
      </c>
      <c r="E1813" t="s">
        <v>64</v>
      </c>
      <c r="F1813" t="s">
        <v>14250</v>
      </c>
      <c r="G1813" t="s">
        <v>18551</v>
      </c>
      <c r="H1813" t="s">
        <v>1112</v>
      </c>
      <c r="I1813" t="s">
        <v>1108</v>
      </c>
      <c r="J1813" t="s">
        <v>14251</v>
      </c>
      <c r="K1813" t="s">
        <v>14252</v>
      </c>
      <c r="L1813" t="s">
        <v>36</v>
      </c>
      <c r="M1813" t="s">
        <v>19177</v>
      </c>
      <c r="N1813" t="s">
        <v>714</v>
      </c>
      <c r="O1813" t="s">
        <v>10263</v>
      </c>
      <c r="P1813" t="s">
        <v>12</v>
      </c>
    </row>
    <row r="1814">
      <c r="A1814">
        <f>HYPERLINK("http://bombeiros.sp.gov.br/hidrantes/03individual/373.html","373")</f>
      </c>
      <c r="B1814" t="s">
        <v>842</v>
      </c>
      <c r="C1814" t="s">
        <v>1065</v>
      </c>
      <c r="D1814" t="s">
        <v>1066</v>
      </c>
      <c r="E1814" t="s">
        <v>15</v>
      </c>
      <c r="F1814" t="s">
        <v>14259</v>
      </c>
      <c r="G1814" t="s">
        <v>18051</v>
      </c>
      <c r="H1814" t="s">
        <v>1112</v>
      </c>
      <c r="I1814" t="s">
        <v>1108</v>
      </c>
      <c r="J1814" t="s">
        <v>14260</v>
      </c>
      <c r="K1814" t="s">
        <v>14261</v>
      </c>
      <c r="L1814" t="s">
        <v>21</v>
      </c>
      <c r="M1814" t="s">
        <v>19177</v>
      </c>
      <c r="N1814" t="s">
        <v>714</v>
      </c>
      <c r="O1814" t="s">
        <v>10263</v>
      </c>
      <c r="P1814" t="s">
        <v>12</v>
      </c>
    </row>
    <row r="1815">
      <c r="A1815">
        <f>HYPERLINK("http://bombeiros.sp.gov.br/hidrantes/03individual/374.html","374")</f>
      </c>
      <c r="B1815" t="s">
        <v>842</v>
      </c>
      <c r="C1815" t="s">
        <v>1065</v>
      </c>
      <c r="D1815" t="s">
        <v>1066</v>
      </c>
      <c r="E1815" t="s">
        <v>15</v>
      </c>
      <c r="F1815" t="s">
        <v>14262</v>
      </c>
      <c r="G1815" t="s">
        <v>18051</v>
      </c>
      <c r="H1815" t="s">
        <v>1112</v>
      </c>
      <c r="I1815" t="s">
        <v>1108</v>
      </c>
      <c r="J1815" t="s">
        <v>14263</v>
      </c>
      <c r="K1815" t="s">
        <v>14264</v>
      </c>
      <c r="L1815" t="s">
        <v>21</v>
      </c>
      <c r="M1815" t="s">
        <v>19177</v>
      </c>
      <c r="N1815" t="s">
        <v>714</v>
      </c>
      <c r="O1815" t="s">
        <v>10263</v>
      </c>
      <c r="P1815" t="s">
        <v>12</v>
      </c>
    </row>
    <row r="1816">
      <c r="A1816">
        <f>HYPERLINK("http://bombeiros.sp.gov.br/hidrantes/03individual/398.html","398")</f>
      </c>
      <c r="B1816" t="s">
        <v>842</v>
      </c>
      <c r="C1816" t="s">
        <v>1065</v>
      </c>
      <c r="D1816" t="s">
        <v>1066</v>
      </c>
      <c r="E1816" t="s">
        <v>15</v>
      </c>
      <c r="F1816" t="s">
        <v>14268</v>
      </c>
      <c r="G1816" t="s">
        <v>18398</v>
      </c>
      <c r="H1816" t="s">
        <v>1112</v>
      </c>
      <c r="I1816" t="s">
        <v>1108</v>
      </c>
      <c r="J1816" t="s">
        <v>14269</v>
      </c>
      <c r="K1816" t="s">
        <v>14270</v>
      </c>
      <c r="L1816" t="s">
        <v>21</v>
      </c>
      <c r="M1816" t="s">
        <v>19177</v>
      </c>
      <c r="N1816" t="s">
        <v>714</v>
      </c>
      <c r="O1816" t="s">
        <v>10263</v>
      </c>
      <c r="P1816" t="s">
        <v>12</v>
      </c>
    </row>
    <row r="1817">
      <c r="A1817">
        <f>HYPERLINK("http://bombeiros.sp.gov.br/hidrantes/03individual/418.html","418")</f>
      </c>
      <c r="B1817" t="s">
        <v>842</v>
      </c>
      <c r="C1817" t="s">
        <v>1065</v>
      </c>
      <c r="D1817" t="s">
        <v>1066</v>
      </c>
      <c r="E1817" t="s">
        <v>15</v>
      </c>
      <c r="F1817" t="s">
        <v>14271</v>
      </c>
      <c r="G1817" t="s">
        <v>18053</v>
      </c>
      <c r="H1817"/>
      <c r="I1817" t="s">
        <v>18</v>
      </c>
      <c r="J1817" t="s">
        <v>14272</v>
      </c>
      <c r="K1817" t="s">
        <v>14273</v>
      </c>
      <c r="L1817" t="s">
        <v>21</v>
      </c>
      <c r="M1817" t="s">
        <v>19177</v>
      </c>
      <c r="N1817" t="s">
        <v>714</v>
      </c>
      <c r="O1817" t="s">
        <v>10263</v>
      </c>
      <c r="P1817" t="s">
        <v>12</v>
      </c>
    </row>
    <row r="1818">
      <c r="A1818">
        <f>HYPERLINK("http://bombeiros.sp.gov.br/hidrantes/03individual/3948.html","3948")</f>
      </c>
      <c r="B1818" t="s">
        <v>842</v>
      </c>
      <c r="C1818" t="s">
        <v>1065</v>
      </c>
      <c r="D1818" t="s">
        <v>1066</v>
      </c>
      <c r="E1818" t="s">
        <v>15</v>
      </c>
      <c r="F1818" t="s">
        <v>14280</v>
      </c>
      <c r="G1818" t="s">
        <v>18118</v>
      </c>
      <c r="H1818" t="s">
        <v>1107</v>
      </c>
      <c r="I1818" t="s">
        <v>1108</v>
      </c>
      <c r="J1818" t="s">
        <v>14281</v>
      </c>
      <c r="K1818" t="s">
        <v>14282</v>
      </c>
      <c r="L1818" t="s">
        <v>21</v>
      </c>
      <c r="M1818" t="s">
        <v>19177</v>
      </c>
      <c r="N1818" t="s">
        <v>714</v>
      </c>
      <c r="O1818" t="s">
        <v>10263</v>
      </c>
      <c r="P1818" t="s">
        <v>12</v>
      </c>
    </row>
    <row r="1819">
      <c r="A1819">
        <f>HYPERLINK("http://bombeiros.sp.gov.br/hidrantes/03individual/3952.html","3952")</f>
      </c>
      <c r="B1819" t="s">
        <v>842</v>
      </c>
      <c r="C1819" t="s">
        <v>1065</v>
      </c>
      <c r="D1819" t="s">
        <v>1066</v>
      </c>
      <c r="E1819" t="s">
        <v>15</v>
      </c>
      <c r="F1819" t="s">
        <v>14283</v>
      </c>
      <c r="G1819" t="s">
        <v>18149</v>
      </c>
      <c r="H1819" t="s">
        <v>1112</v>
      </c>
      <c r="I1819" t="s">
        <v>1108</v>
      </c>
      <c r="J1819" t="s">
        <v>14284</v>
      </c>
      <c r="K1819" t="s">
        <v>14285</v>
      </c>
      <c r="L1819" t="s">
        <v>21</v>
      </c>
      <c r="M1819" t="s">
        <v>19177</v>
      </c>
      <c r="N1819" t="s">
        <v>714</v>
      </c>
      <c r="O1819" t="s">
        <v>10263</v>
      </c>
      <c r="P1819" t="s">
        <v>12</v>
      </c>
    </row>
    <row r="1820">
      <c r="A1820">
        <f>HYPERLINK("http://bombeiros.sp.gov.br/hidrantes/03individual/4011.html","4011")</f>
      </c>
      <c r="B1820" t="s">
        <v>842</v>
      </c>
      <c r="C1820" t="s">
        <v>1065</v>
      </c>
      <c r="D1820" t="s">
        <v>1066</v>
      </c>
      <c r="E1820" t="s">
        <v>15</v>
      </c>
      <c r="F1820" t="s">
        <v>14286</v>
      </c>
      <c r="G1820" t="s">
        <v>18398</v>
      </c>
      <c r="H1820" t="s">
        <v>1112</v>
      </c>
      <c r="I1820" t="s">
        <v>1108</v>
      </c>
      <c r="J1820" t="s">
        <v>14287</v>
      </c>
      <c r="K1820" t="s">
        <v>14288</v>
      </c>
      <c r="L1820" t="s">
        <v>21</v>
      </c>
      <c r="M1820" t="s">
        <v>19177</v>
      </c>
      <c r="N1820" t="s">
        <v>714</v>
      </c>
      <c r="O1820" t="s">
        <v>10263</v>
      </c>
      <c r="P1820" t="s">
        <v>12</v>
      </c>
    </row>
    <row r="1821">
      <c r="A1821">
        <f>HYPERLINK("http://bombeiros.sp.gov.br/hidrantes/03individual/316.html","316")</f>
      </c>
      <c r="B1821" t="s">
        <v>842</v>
      </c>
      <c r="C1821" t="s">
        <v>1065</v>
      </c>
      <c r="D1821" t="s">
        <v>14295</v>
      </c>
      <c r="E1821" t="s">
        <v>64</v>
      </c>
      <c r="F1821" t="s">
        <v>14299</v>
      </c>
      <c r="G1821" t="s">
        <v>18551</v>
      </c>
      <c r="H1821" t="s">
        <v>1112</v>
      </c>
      <c r="I1821" t="s">
        <v>1108</v>
      </c>
      <c r="J1821" t="s">
        <v>14300</v>
      </c>
      <c r="K1821" t="s">
        <v>14301</v>
      </c>
      <c r="L1821" t="s">
        <v>36</v>
      </c>
      <c r="M1821" t="s">
        <v>19177</v>
      </c>
      <c r="N1821" t="s">
        <v>714</v>
      </c>
      <c r="O1821" t="s">
        <v>10263</v>
      </c>
      <c r="P1821" t="s">
        <v>12</v>
      </c>
    </row>
    <row r="1822">
      <c r="A1822">
        <f>HYPERLINK("http://bombeiros.sp.gov.br/hidrantes/03individual/347.html","347")</f>
      </c>
      <c r="B1822" t="s">
        <v>842</v>
      </c>
      <c r="C1822" t="s">
        <v>1065</v>
      </c>
      <c r="D1822" t="s">
        <v>14295</v>
      </c>
      <c r="E1822" t="s">
        <v>64</v>
      </c>
      <c r="F1822" t="s">
        <v>14302</v>
      </c>
      <c r="G1822" t="s">
        <v>18181</v>
      </c>
      <c r="H1822" t="s">
        <v>1112</v>
      </c>
      <c r="I1822" t="s">
        <v>1108</v>
      </c>
      <c r="J1822" t="s">
        <v>14303</v>
      </c>
      <c r="K1822" t="s">
        <v>14304</v>
      </c>
      <c r="L1822" t="s">
        <v>36</v>
      </c>
      <c r="M1822" t="s">
        <v>19177</v>
      </c>
      <c r="N1822" t="s">
        <v>714</v>
      </c>
      <c r="O1822" t="s">
        <v>10263</v>
      </c>
      <c r="P1822" t="s">
        <v>12</v>
      </c>
    </row>
    <row r="1823">
      <c r="A1823">
        <f>HYPERLINK("http://bombeiros.sp.gov.br/hidrantes/03individual/3608.html","3608")</f>
      </c>
      <c r="B1823" t="s">
        <v>842</v>
      </c>
      <c r="C1823" t="s">
        <v>1065</v>
      </c>
      <c r="D1823" t="s">
        <v>14295</v>
      </c>
      <c r="E1823" t="s">
        <v>64</v>
      </c>
      <c r="F1823" t="s">
        <v>14305</v>
      </c>
      <c r="G1823" t="s">
        <v>18114</v>
      </c>
      <c r="H1823" t="s">
        <v>1112</v>
      </c>
      <c r="I1823" t="s">
        <v>1108</v>
      </c>
      <c r="J1823" t="s">
        <v>14306</v>
      </c>
      <c r="K1823" t="s">
        <v>14307</v>
      </c>
      <c r="L1823" t="s">
        <v>36</v>
      </c>
      <c r="M1823" t="s">
        <v>19177</v>
      </c>
      <c r="N1823" t="s">
        <v>714</v>
      </c>
      <c r="O1823" t="s">
        <v>10263</v>
      </c>
      <c r="P1823" t="s">
        <v>12</v>
      </c>
    </row>
    <row r="1824">
      <c r="A1824">
        <f>HYPERLINK("http://bombeiros.sp.gov.br/hidrantes/03individual/414.html","414")</f>
      </c>
      <c r="B1824" t="s">
        <v>842</v>
      </c>
      <c r="C1824" t="s">
        <v>1065</v>
      </c>
      <c r="D1824" t="s">
        <v>14295</v>
      </c>
      <c r="E1824" t="s">
        <v>15</v>
      </c>
      <c r="F1824" t="s">
        <v>14316</v>
      </c>
      <c r="G1824" t="s">
        <v>18155</v>
      </c>
      <c r="H1824" t="s">
        <v>1112</v>
      </c>
      <c r="I1824" t="s">
        <v>1108</v>
      </c>
      <c r="J1824" t="s">
        <v>14317</v>
      </c>
      <c r="K1824" t="s">
        <v>14318</v>
      </c>
      <c r="L1824" t="s">
        <v>21</v>
      </c>
      <c r="M1824" t="s">
        <v>19177</v>
      </c>
      <c r="N1824" t="s">
        <v>714</v>
      </c>
      <c r="O1824" t="s">
        <v>10263</v>
      </c>
      <c r="P1824" t="s">
        <v>12</v>
      </c>
    </row>
    <row r="1825">
      <c r="A1825">
        <f>HYPERLINK("http://bombeiros.sp.gov.br/hidrantes/03individual/492.html","492")</f>
      </c>
      <c r="B1825" t="s">
        <v>842</v>
      </c>
      <c r="C1825" t="s">
        <v>1065</v>
      </c>
      <c r="D1825" t="s">
        <v>14295</v>
      </c>
      <c r="E1825" t="s">
        <v>15</v>
      </c>
      <c r="F1825" t="s">
        <v>14322</v>
      </c>
      <c r="G1825" t="s">
        <v>18167</v>
      </c>
      <c r="H1825" t="s">
        <v>1112</v>
      </c>
      <c r="I1825" t="s">
        <v>1108</v>
      </c>
      <c r="J1825" t="s">
        <v>14323</v>
      </c>
      <c r="K1825" t="s">
        <v>14324</v>
      </c>
      <c r="L1825" t="s">
        <v>21</v>
      </c>
      <c r="M1825" t="s">
        <v>19177</v>
      </c>
      <c r="N1825" t="s">
        <v>714</v>
      </c>
      <c r="O1825" t="s">
        <v>10263</v>
      </c>
      <c r="P1825" t="s">
        <v>12</v>
      </c>
    </row>
    <row r="1826">
      <c r="A1826">
        <f>HYPERLINK("http://bombeiros.sp.gov.br/hidrantes/03individual/2835.html","2835")</f>
      </c>
      <c r="B1826" t="s">
        <v>842</v>
      </c>
      <c r="C1826" t="s">
        <v>1065</v>
      </c>
      <c r="D1826" t="s">
        <v>14295</v>
      </c>
      <c r="E1826" t="s">
        <v>15</v>
      </c>
      <c r="F1826" t="s">
        <v>14328</v>
      </c>
      <c r="G1826" t="s">
        <v>18052</v>
      </c>
      <c r="H1826" t="s">
        <v>1112</v>
      </c>
      <c r="I1826" t="s">
        <v>1108</v>
      </c>
      <c r="J1826" t="s">
        <v>14329</v>
      </c>
      <c r="K1826" t="s">
        <v>14330</v>
      </c>
      <c r="L1826" t="s">
        <v>36</v>
      </c>
      <c r="M1826" t="s">
        <v>19177</v>
      </c>
      <c r="N1826" t="s">
        <v>714</v>
      </c>
      <c r="O1826" t="s">
        <v>10263</v>
      </c>
      <c r="P1826" t="s">
        <v>12</v>
      </c>
    </row>
    <row r="1827">
      <c r="A1827">
        <f>HYPERLINK("http://bombeiros.sp.gov.br/hidrantes/03individual/3613.html","3613")</f>
      </c>
      <c r="B1827" t="s">
        <v>842</v>
      </c>
      <c r="C1827" t="s">
        <v>1065</v>
      </c>
      <c r="D1827" t="s">
        <v>14295</v>
      </c>
      <c r="E1827" t="s">
        <v>15</v>
      </c>
      <c r="F1827" t="s">
        <v>14299</v>
      </c>
      <c r="G1827" t="s">
        <v>18049</v>
      </c>
      <c r="H1827" t="s">
        <v>1107</v>
      </c>
      <c r="I1827" t="s">
        <v>1108</v>
      </c>
      <c r="J1827" t="s">
        <v>14331</v>
      </c>
      <c r="K1827" t="s">
        <v>14332</v>
      </c>
      <c r="L1827" t="s">
        <v>21</v>
      </c>
      <c r="M1827" t="s">
        <v>19177</v>
      </c>
      <c r="N1827" t="s">
        <v>714</v>
      </c>
      <c r="O1827" t="s">
        <v>10263</v>
      </c>
      <c r="P1827" t="s">
        <v>12</v>
      </c>
    </row>
    <row r="1828">
      <c r="A1828">
        <f>HYPERLINK("http://bombeiros.sp.gov.br/hidrantes/03individual/3615.html","3615")</f>
      </c>
      <c r="B1828" t="s">
        <v>842</v>
      </c>
      <c r="C1828" t="s">
        <v>1065</v>
      </c>
      <c r="D1828" t="s">
        <v>14295</v>
      </c>
      <c r="E1828" t="s">
        <v>15</v>
      </c>
      <c r="F1828" t="s">
        <v>14296</v>
      </c>
      <c r="G1828" t="s">
        <v>18181</v>
      </c>
      <c r="H1828" t="s">
        <v>1112</v>
      </c>
      <c r="I1828" t="s">
        <v>1108</v>
      </c>
      <c r="J1828" t="s">
        <v>17246</v>
      </c>
      <c r="K1828" t="s">
        <v>17247</v>
      </c>
      <c r="L1828" t="s">
        <v>21</v>
      </c>
      <c r="M1828" t="s">
        <v>19177</v>
      </c>
      <c r="N1828" t="s">
        <v>714</v>
      </c>
      <c r="O1828" t="s">
        <v>10263</v>
      </c>
      <c r="P1828" t="s">
        <v>12</v>
      </c>
    </row>
    <row r="1829">
      <c r="A1829">
        <f>HYPERLINK("http://bombeiros.sp.gov.br/hidrantes/03individual/3618.html","3618")</f>
      </c>
      <c r="B1829" t="s">
        <v>842</v>
      </c>
      <c r="C1829" t="s">
        <v>1065</v>
      </c>
      <c r="D1829" t="s">
        <v>14295</v>
      </c>
      <c r="E1829" t="s">
        <v>15</v>
      </c>
      <c r="F1829" t="s">
        <v>14302</v>
      </c>
      <c r="G1829" t="s">
        <v>18181</v>
      </c>
      <c r="H1829" t="s">
        <v>1112</v>
      </c>
      <c r="I1829" t="s">
        <v>1108</v>
      </c>
      <c r="J1829" t="s">
        <v>14338</v>
      </c>
      <c r="K1829" t="s">
        <v>14339</v>
      </c>
      <c r="L1829" t="s">
        <v>21</v>
      </c>
      <c r="M1829" t="s">
        <v>19177</v>
      </c>
      <c r="N1829" t="s">
        <v>714</v>
      </c>
      <c r="O1829" t="s">
        <v>10263</v>
      </c>
      <c r="P1829" t="s">
        <v>12</v>
      </c>
    </row>
    <row r="1830">
      <c r="A1830">
        <f>HYPERLINK("http://bombeiros.sp.gov.br/hidrantes/03individual/3957.html","3957")</f>
      </c>
      <c r="B1830" t="s">
        <v>842</v>
      </c>
      <c r="C1830" t="s">
        <v>1065</v>
      </c>
      <c r="D1830" t="s">
        <v>14295</v>
      </c>
      <c r="E1830" t="s">
        <v>15</v>
      </c>
      <c r="F1830" t="s">
        <v>14340</v>
      </c>
      <c r="G1830" t="s">
        <v>18114</v>
      </c>
      <c r="H1830" t="s">
        <v>1112</v>
      </c>
      <c r="I1830" t="s">
        <v>1108</v>
      </c>
      <c r="J1830" t="s">
        <v>14341</v>
      </c>
      <c r="K1830" t="s">
        <v>14342</v>
      </c>
      <c r="L1830" t="s">
        <v>21</v>
      </c>
      <c r="M1830" t="s">
        <v>19177</v>
      </c>
      <c r="N1830" t="s">
        <v>714</v>
      </c>
      <c r="O1830" t="s">
        <v>10263</v>
      </c>
      <c r="P1830" t="s">
        <v>12</v>
      </c>
    </row>
    <row r="1831">
      <c r="A1831">
        <f>HYPERLINK("http://bombeiros.sp.gov.br/hidrantes/03individual/3960.html","3960")</f>
      </c>
      <c r="B1831" t="s">
        <v>842</v>
      </c>
      <c r="C1831" t="s">
        <v>1065</v>
      </c>
      <c r="D1831" t="s">
        <v>14295</v>
      </c>
      <c r="E1831" t="s">
        <v>15</v>
      </c>
      <c r="F1831" t="s">
        <v>14343</v>
      </c>
      <c r="G1831" t="s">
        <v>18063</v>
      </c>
      <c r="H1831" t="s">
        <v>1107</v>
      </c>
      <c r="I1831" t="s">
        <v>1108</v>
      </c>
      <c r="J1831" t="s">
        <v>14344</v>
      </c>
      <c r="K1831" t="s">
        <v>14345</v>
      </c>
      <c r="L1831" t="s">
        <v>21</v>
      </c>
      <c r="M1831" t="s">
        <v>19177</v>
      </c>
      <c r="N1831" t="s">
        <v>714</v>
      </c>
      <c r="O1831" t="s">
        <v>10263</v>
      </c>
      <c r="P1831" t="s">
        <v>12</v>
      </c>
    </row>
    <row r="1832">
      <c r="A1832">
        <f>HYPERLINK("http://bombeiros.sp.gov.br/hidrantes/03individual/3964.html","3964")</f>
      </c>
      <c r="B1832" t="s">
        <v>842</v>
      </c>
      <c r="C1832" t="s">
        <v>1065</v>
      </c>
      <c r="D1832" t="s">
        <v>14295</v>
      </c>
      <c r="E1832" t="s">
        <v>15</v>
      </c>
      <c r="F1832" t="s">
        <v>14349</v>
      </c>
      <c r="G1832" t="s">
        <v>18063</v>
      </c>
      <c r="H1832" t="s">
        <v>1107</v>
      </c>
      <c r="I1832" t="s">
        <v>1108</v>
      </c>
      <c r="J1832" t="s">
        <v>14350</v>
      </c>
      <c r="K1832" t="s">
        <v>14351</v>
      </c>
      <c r="L1832" t="s">
        <v>21</v>
      </c>
      <c r="M1832" t="s">
        <v>19177</v>
      </c>
      <c r="N1832" t="s">
        <v>714</v>
      </c>
      <c r="O1832" t="s">
        <v>10263</v>
      </c>
      <c r="P1832" t="s">
        <v>12</v>
      </c>
    </row>
    <row r="1833">
      <c r="A1833">
        <f>HYPERLINK("http://bombeiros.sp.gov.br/hidrantes/03individual/3967.html","3967")</f>
      </c>
      <c r="B1833" t="s">
        <v>842</v>
      </c>
      <c r="C1833" t="s">
        <v>1065</v>
      </c>
      <c r="D1833" t="s">
        <v>14295</v>
      </c>
      <c r="E1833" t="s">
        <v>15</v>
      </c>
      <c r="F1833" t="s">
        <v>14352</v>
      </c>
      <c r="G1833" t="s">
        <v>18272</v>
      </c>
      <c r="H1833" t="s">
        <v>1112</v>
      </c>
      <c r="I1833" t="s">
        <v>1108</v>
      </c>
      <c r="J1833" t="s">
        <v>14353</v>
      </c>
      <c r="K1833" t="s">
        <v>14354</v>
      </c>
      <c r="L1833" t="s">
        <v>21</v>
      </c>
      <c r="M1833" t="s">
        <v>19177</v>
      </c>
      <c r="N1833" t="s">
        <v>714</v>
      </c>
      <c r="O1833" t="s">
        <v>10263</v>
      </c>
      <c r="P1833" t="s">
        <v>12</v>
      </c>
    </row>
    <row r="1834">
      <c r="A1834">
        <f>HYPERLINK("http://bombeiros.sp.gov.br/hidrantes/03individual/3998.html","3998")</f>
      </c>
      <c r="B1834" t="s">
        <v>842</v>
      </c>
      <c r="C1834" t="s">
        <v>1065</v>
      </c>
      <c r="D1834" t="s">
        <v>14295</v>
      </c>
      <c r="E1834" t="s">
        <v>15</v>
      </c>
      <c r="F1834" t="s">
        <v>14355</v>
      </c>
      <c r="G1834" t="s">
        <v>18150</v>
      </c>
      <c r="H1834" t="s">
        <v>1107</v>
      </c>
      <c r="I1834" t="s">
        <v>1108</v>
      </c>
      <c r="J1834" t="s">
        <v>14356</v>
      </c>
      <c r="K1834" t="s">
        <v>14357</v>
      </c>
      <c r="L1834" t="s">
        <v>21</v>
      </c>
      <c r="M1834" t="s">
        <v>19177</v>
      </c>
      <c r="N1834" t="s">
        <v>714</v>
      </c>
      <c r="O1834" t="s">
        <v>10263</v>
      </c>
      <c r="P1834" t="s">
        <v>12</v>
      </c>
    </row>
    <row r="1835">
      <c r="A1835">
        <f>HYPERLINK("http://bombeiros.sp.gov.br/hidrantes/03individual/4008.html","4008")</f>
      </c>
      <c r="B1835" t="s">
        <v>842</v>
      </c>
      <c r="C1835" t="s">
        <v>1065</v>
      </c>
      <c r="D1835" t="s">
        <v>14295</v>
      </c>
      <c r="E1835" t="s">
        <v>15</v>
      </c>
      <c r="F1835" t="s">
        <v>14358</v>
      </c>
      <c r="G1835" t="s">
        <v>18167</v>
      </c>
      <c r="H1835" t="s">
        <v>1112</v>
      </c>
      <c r="I1835" t="s">
        <v>1108</v>
      </c>
      <c r="J1835" t="s">
        <v>14359</v>
      </c>
      <c r="K1835" t="s">
        <v>14360</v>
      </c>
      <c r="L1835" t="s">
        <v>21</v>
      </c>
      <c r="M1835" t="s">
        <v>19177</v>
      </c>
      <c r="N1835" t="s">
        <v>714</v>
      </c>
      <c r="O1835" t="s">
        <v>10263</v>
      </c>
      <c r="P1835" t="s">
        <v>12</v>
      </c>
    </row>
    <row r="1836">
      <c r="A1836">
        <f>HYPERLINK("http://bombeiros.sp.gov.br/hidrantes/03individual/4009.html","4009")</f>
      </c>
      <c r="B1836" t="s">
        <v>842</v>
      </c>
      <c r="C1836" t="s">
        <v>1065</v>
      </c>
      <c r="D1836" t="s">
        <v>14295</v>
      </c>
      <c r="E1836" t="s">
        <v>15</v>
      </c>
      <c r="F1836" t="s">
        <v>14361</v>
      </c>
      <c r="G1836" t="s">
        <v>18210</v>
      </c>
      <c r="H1836" t="s">
        <v>1112</v>
      </c>
      <c r="I1836" t="s">
        <v>1108</v>
      </c>
      <c r="J1836" t="s">
        <v>14362</v>
      </c>
      <c r="K1836" t="s">
        <v>14363</v>
      </c>
      <c r="L1836" t="s">
        <v>21</v>
      </c>
      <c r="M1836" t="s">
        <v>19177</v>
      </c>
      <c r="N1836" t="s">
        <v>714</v>
      </c>
      <c r="O1836" t="s">
        <v>10263</v>
      </c>
      <c r="P1836" t="s">
        <v>12</v>
      </c>
    </row>
    <row r="1837">
      <c r="A1837">
        <f>HYPERLINK("http://bombeiros.sp.gov.br/hidrantes/03individual/4010.html","4010")</f>
      </c>
      <c r="B1837" t="s">
        <v>842</v>
      </c>
      <c r="C1837" t="s">
        <v>1065</v>
      </c>
      <c r="D1837" t="s">
        <v>14295</v>
      </c>
      <c r="E1837" t="s">
        <v>15</v>
      </c>
      <c r="F1837" t="s">
        <v>14364</v>
      </c>
      <c r="G1837" t="s">
        <v>18210</v>
      </c>
      <c r="H1837" t="s">
        <v>1112</v>
      </c>
      <c r="I1837" t="s">
        <v>1108</v>
      </c>
      <c r="J1837" t="s">
        <v>14365</v>
      </c>
      <c r="K1837" t="s">
        <v>14366</v>
      </c>
      <c r="L1837" t="s">
        <v>36</v>
      </c>
      <c r="M1837" t="s">
        <v>19177</v>
      </c>
      <c r="N1837" t="s">
        <v>714</v>
      </c>
      <c r="O1837" t="s">
        <v>10263</v>
      </c>
      <c r="P1837" t="s">
        <v>12</v>
      </c>
    </row>
    <row r="1838">
      <c r="A1838">
        <f>HYPERLINK("http://bombeiros.sp.gov.br/hidrantes/03individual/4178.html","4178")</f>
      </c>
      <c r="B1838" t="s">
        <v>842</v>
      </c>
      <c r="C1838" t="s">
        <v>1065</v>
      </c>
      <c r="D1838" t="s">
        <v>14295</v>
      </c>
      <c r="E1838" t="s">
        <v>15</v>
      </c>
      <c r="F1838" t="s">
        <v>14367</v>
      </c>
      <c r="G1838" t="s">
        <v>18114</v>
      </c>
      <c r="H1838" t="s">
        <v>1112</v>
      </c>
      <c r="I1838" t="s">
        <v>1108</v>
      </c>
      <c r="J1838" t="s">
        <v>14368</v>
      </c>
      <c r="K1838" t="s">
        <v>14369</v>
      </c>
      <c r="L1838" t="s">
        <v>21</v>
      </c>
      <c r="M1838" t="s">
        <v>19177</v>
      </c>
      <c r="N1838" t="s">
        <v>714</v>
      </c>
      <c r="O1838" t="s">
        <v>10263</v>
      </c>
      <c r="P1838" t="s">
        <v>12</v>
      </c>
    </row>
    <row r="1839">
      <c r="A1839">
        <f>HYPERLINK("http://bombeiros.sp.gov.br/hidrantes/03individual/4438.html","4438")</f>
      </c>
      <c r="B1839" t="s">
        <v>842</v>
      </c>
      <c r="C1839" t="s">
        <v>1065</v>
      </c>
      <c r="D1839" t="s">
        <v>14295</v>
      </c>
      <c r="E1839" t="s">
        <v>15</v>
      </c>
      <c r="F1839" t="s">
        <v>14373</v>
      </c>
      <c r="G1839" t="s">
        <v>18210</v>
      </c>
      <c r="H1839" t="s">
        <v>1112</v>
      </c>
      <c r="I1839" t="s">
        <v>1108</v>
      </c>
      <c r="J1839" t="s">
        <v>14374</v>
      </c>
      <c r="K1839" t="s">
        <v>14375</v>
      </c>
      <c r="L1839" t="s">
        <v>21</v>
      </c>
      <c r="M1839" t="s">
        <v>19177</v>
      </c>
      <c r="N1839" t="s">
        <v>714</v>
      </c>
      <c r="O1839" t="s">
        <v>10263</v>
      </c>
      <c r="P1839" t="s">
        <v>12</v>
      </c>
    </row>
    <row r="1840">
      <c r="A1840">
        <f>HYPERLINK("http://bombeiros.sp.gov.br/hidrantes/03individual/16528.html","16528")</f>
      </c>
      <c r="B1840" t="s">
        <v>842</v>
      </c>
      <c r="C1840" t="s">
        <v>1065</v>
      </c>
      <c r="D1840" t="s">
        <v>14295</v>
      </c>
      <c r="E1840" t="s">
        <v>15</v>
      </c>
      <c r="F1840" t="s">
        <v>14379</v>
      </c>
      <c r="G1840" t="s">
        <v>18181</v>
      </c>
      <c r="H1840" t="s">
        <v>1112</v>
      </c>
      <c r="I1840" t="s">
        <v>1108</v>
      </c>
      <c r="J1840" t="s">
        <v>14380</v>
      </c>
      <c r="K1840" t="s">
        <v>14381</v>
      </c>
      <c r="L1840" t="s">
        <v>21</v>
      </c>
      <c r="M1840" t="s">
        <v>19177</v>
      </c>
      <c r="N1840" t="s">
        <v>714</v>
      </c>
      <c r="O1840" t="s">
        <v>10263</v>
      </c>
      <c r="P1840" t="s">
        <v>12</v>
      </c>
    </row>
    <row r="1841">
      <c r="A1841">
        <f>HYPERLINK("http://bombeiros.sp.gov.br/hidrantes/03individual/3940.html","3940")</f>
      </c>
      <c r="B1841" t="s">
        <v>842</v>
      </c>
      <c r="C1841" t="s">
        <v>1065</v>
      </c>
      <c r="D1841" t="s">
        <v>14385</v>
      </c>
      <c r="E1841" t="s">
        <v>64</v>
      </c>
      <c r="F1841" t="s">
        <v>14389</v>
      </c>
      <c r="G1841" t="s">
        <v>18563</v>
      </c>
      <c r="H1841" t="s">
        <v>1121</v>
      </c>
      <c r="I1841" t="s">
        <v>1117</v>
      </c>
      <c r="J1841" t="s">
        <v>14390</v>
      </c>
      <c r="K1841" t="s">
        <v>14391</v>
      </c>
      <c r="L1841" t="s">
        <v>36</v>
      </c>
      <c r="M1841" t="s">
        <v>19177</v>
      </c>
      <c r="N1841" t="s">
        <v>714</v>
      </c>
      <c r="O1841" t="s">
        <v>10263</v>
      </c>
      <c r="P1841" t="s">
        <v>12</v>
      </c>
    </row>
    <row r="1842">
      <c r="A1842">
        <f>HYPERLINK("http://bombeiros.sp.gov.br/hidrantes/03individual/3949.html","3949")</f>
      </c>
      <c r="B1842" t="s">
        <v>842</v>
      </c>
      <c r="C1842" t="s">
        <v>1065</v>
      </c>
      <c r="D1842" t="s">
        <v>14385</v>
      </c>
      <c r="E1842" t="s">
        <v>64</v>
      </c>
      <c r="F1842" t="s">
        <v>14392</v>
      </c>
      <c r="G1842" t="s">
        <v>18041</v>
      </c>
      <c r="H1842" t="s">
        <v>1112</v>
      </c>
      <c r="I1842" t="s">
        <v>1108</v>
      </c>
      <c r="J1842" t="s">
        <v>14393</v>
      </c>
      <c r="K1842" t="s">
        <v>14394</v>
      </c>
      <c r="L1842" t="s">
        <v>36</v>
      </c>
      <c r="M1842" t="s">
        <v>19177</v>
      </c>
      <c r="N1842" t="s">
        <v>1024</v>
      </c>
      <c r="O1842" t="s">
        <v>1024</v>
      </c>
      <c r="P1842" t="s">
        <v>842</v>
      </c>
    </row>
    <row r="1843">
      <c r="A1843">
        <f>HYPERLINK("http://bombeiros.sp.gov.br/hidrantes/03individual/3984.html","3984")</f>
      </c>
      <c r="B1843" t="s">
        <v>842</v>
      </c>
      <c r="C1843" t="s">
        <v>1065</v>
      </c>
      <c r="D1843" t="s">
        <v>14385</v>
      </c>
      <c r="E1843" t="s">
        <v>64</v>
      </c>
      <c r="F1843" t="s">
        <v>14395</v>
      </c>
      <c r="G1843" t="s">
        <v>18563</v>
      </c>
      <c r="H1843" t="s">
        <v>1112</v>
      </c>
      <c r="I1843" t="s">
        <v>1108</v>
      </c>
      <c r="J1843" t="s">
        <v>14396</v>
      </c>
      <c r="K1843" t="s">
        <v>14397</v>
      </c>
      <c r="L1843" t="s">
        <v>36</v>
      </c>
      <c r="M1843" t="s">
        <v>19177</v>
      </c>
      <c r="N1843" t="s">
        <v>714</v>
      </c>
      <c r="O1843" t="s">
        <v>10263</v>
      </c>
      <c r="P1843" t="s">
        <v>12</v>
      </c>
    </row>
    <row r="1844">
      <c r="A1844">
        <f>HYPERLINK("http://bombeiros.sp.gov.br/hidrantes/03individual/4003.html","4003")</f>
      </c>
      <c r="B1844" t="s">
        <v>842</v>
      </c>
      <c r="C1844" t="s">
        <v>1065</v>
      </c>
      <c r="D1844" t="s">
        <v>14385</v>
      </c>
      <c r="E1844" t="s">
        <v>64</v>
      </c>
      <c r="F1844" t="s">
        <v>14398</v>
      </c>
      <c r="G1844" t="s">
        <v>18563</v>
      </c>
      <c r="H1844" t="s">
        <v>1112</v>
      </c>
      <c r="I1844" t="s">
        <v>1108</v>
      </c>
      <c r="J1844" t="s">
        <v>14399</v>
      </c>
      <c r="K1844" t="s">
        <v>14400</v>
      </c>
      <c r="L1844" t="s">
        <v>36</v>
      </c>
      <c r="M1844" t="s">
        <v>19177</v>
      </c>
      <c r="N1844" t="s">
        <v>714</v>
      </c>
      <c r="O1844" t="s">
        <v>10263</v>
      </c>
      <c r="P1844" t="s">
        <v>12</v>
      </c>
    </row>
    <row r="1845">
      <c r="A1845">
        <f>HYPERLINK("http://bombeiros.sp.gov.br/hidrantes/03individual/309.html","309")</f>
      </c>
      <c r="B1845" t="s">
        <v>842</v>
      </c>
      <c r="C1845" t="s">
        <v>1065</v>
      </c>
      <c r="D1845" t="s">
        <v>14385</v>
      </c>
      <c r="E1845" t="s">
        <v>15</v>
      </c>
      <c r="F1845" t="s">
        <v>14401</v>
      </c>
      <c r="G1845" t="s">
        <v>18150</v>
      </c>
      <c r="H1845" t="s">
        <v>1107</v>
      </c>
      <c r="I1845" t="s">
        <v>1108</v>
      </c>
      <c r="J1845" t="s">
        <v>14402</v>
      </c>
      <c r="K1845" t="s">
        <v>14403</v>
      </c>
      <c r="L1845" t="s">
        <v>21</v>
      </c>
      <c r="M1845" t="s">
        <v>19177</v>
      </c>
      <c r="N1845" t="s">
        <v>714</v>
      </c>
      <c r="O1845" t="s">
        <v>10263</v>
      </c>
      <c r="P1845" t="s">
        <v>12</v>
      </c>
    </row>
    <row r="1846">
      <c r="A1846">
        <f>HYPERLINK("http://bombeiros.sp.gov.br/hidrantes/03individual/355.html","355")</f>
      </c>
      <c r="B1846" t="s">
        <v>842</v>
      </c>
      <c r="C1846" t="s">
        <v>1065</v>
      </c>
      <c r="D1846" t="s">
        <v>14385</v>
      </c>
      <c r="E1846" t="s">
        <v>15</v>
      </c>
      <c r="F1846" t="s">
        <v>14407</v>
      </c>
      <c r="G1846" t="s">
        <v>18150</v>
      </c>
      <c r="H1846" t="s">
        <v>1107</v>
      </c>
      <c r="I1846" t="s">
        <v>1108</v>
      </c>
      <c r="J1846" t="s">
        <v>14408</v>
      </c>
      <c r="K1846" t="s">
        <v>14409</v>
      </c>
      <c r="L1846" t="s">
        <v>21</v>
      </c>
      <c r="M1846" t="s">
        <v>19177</v>
      </c>
      <c r="N1846" t="s">
        <v>714</v>
      </c>
      <c r="O1846" t="s">
        <v>10263</v>
      </c>
      <c r="P1846" t="s">
        <v>12</v>
      </c>
    </row>
    <row r="1847">
      <c r="A1847">
        <f>HYPERLINK("http://bombeiros.sp.gov.br/hidrantes/03individual/382.html","382")</f>
      </c>
      <c r="B1847" t="s">
        <v>842</v>
      </c>
      <c r="C1847" t="s">
        <v>1065</v>
      </c>
      <c r="D1847" t="s">
        <v>14385</v>
      </c>
      <c r="E1847" t="s">
        <v>15</v>
      </c>
      <c r="F1847" t="s">
        <v>14410</v>
      </c>
      <c r="G1847" t="s">
        <v>18083</v>
      </c>
      <c r="H1847" t="s">
        <v>1107</v>
      </c>
      <c r="I1847" t="s">
        <v>1108</v>
      </c>
      <c r="J1847" t="s">
        <v>14411</v>
      </c>
      <c r="K1847" t="s">
        <v>14412</v>
      </c>
      <c r="L1847" t="s">
        <v>21</v>
      </c>
      <c r="M1847" t="s">
        <v>19177</v>
      </c>
      <c r="N1847" t="s">
        <v>714</v>
      </c>
      <c r="O1847" t="s">
        <v>10263</v>
      </c>
      <c r="P1847" t="s">
        <v>12</v>
      </c>
    </row>
    <row r="1848">
      <c r="A1848">
        <f>HYPERLINK("http://bombeiros.sp.gov.br/hidrantes/03individual/386.html","386")</f>
      </c>
      <c r="B1848" t="s">
        <v>842</v>
      </c>
      <c r="C1848" t="s">
        <v>1065</v>
      </c>
      <c r="D1848" t="s">
        <v>14385</v>
      </c>
      <c r="E1848" t="s">
        <v>15</v>
      </c>
      <c r="F1848" t="s">
        <v>14416</v>
      </c>
      <c r="G1848" t="s">
        <v>18063</v>
      </c>
      <c r="H1848" t="s">
        <v>1107</v>
      </c>
      <c r="I1848" t="s">
        <v>1108</v>
      </c>
      <c r="J1848" t="s">
        <v>14417</v>
      </c>
      <c r="K1848" t="s">
        <v>14418</v>
      </c>
      <c r="L1848" t="s">
        <v>21</v>
      </c>
      <c r="M1848" t="s">
        <v>19177</v>
      </c>
      <c r="N1848" t="s">
        <v>714</v>
      </c>
      <c r="O1848" t="s">
        <v>10263</v>
      </c>
      <c r="P1848" t="s">
        <v>12</v>
      </c>
    </row>
    <row r="1849">
      <c r="A1849">
        <f>HYPERLINK("http://bombeiros.sp.gov.br/hidrantes/03individual/3937.html","3937")</f>
      </c>
      <c r="B1849" t="s">
        <v>842</v>
      </c>
      <c r="C1849" t="s">
        <v>1065</v>
      </c>
      <c r="D1849" t="s">
        <v>14385</v>
      </c>
      <c r="E1849" t="s">
        <v>15</v>
      </c>
      <c r="F1849" t="s">
        <v>14433</v>
      </c>
      <c r="G1849" t="s">
        <v>18145</v>
      </c>
      <c r="H1849" t="s">
        <v>1107</v>
      </c>
      <c r="I1849" t="s">
        <v>1108</v>
      </c>
      <c r="J1849" t="s">
        <v>14434</v>
      </c>
      <c r="K1849" t="s">
        <v>14435</v>
      </c>
      <c r="L1849" t="s">
        <v>36</v>
      </c>
      <c r="M1849" t="s">
        <v>19177</v>
      </c>
      <c r="N1849" t="s">
        <v>714</v>
      </c>
      <c r="O1849" t="s">
        <v>10263</v>
      </c>
      <c r="P1849" t="s">
        <v>12</v>
      </c>
    </row>
    <row r="1850">
      <c r="A1850">
        <f>HYPERLINK("http://bombeiros.sp.gov.br/hidrantes/03individual/3951.html","3951")</f>
      </c>
      <c r="B1850" t="s">
        <v>842</v>
      </c>
      <c r="C1850" t="s">
        <v>1065</v>
      </c>
      <c r="D1850" t="s">
        <v>14385</v>
      </c>
      <c r="E1850" t="s">
        <v>15</v>
      </c>
      <c r="F1850" t="s">
        <v>14436</v>
      </c>
      <c r="G1850" t="s">
        <v>18041</v>
      </c>
      <c r="H1850" t="s">
        <v>1112</v>
      </c>
      <c r="I1850" t="s">
        <v>1108</v>
      </c>
      <c r="J1850" t="s">
        <v>14437</v>
      </c>
      <c r="K1850" t="s">
        <v>14438</v>
      </c>
      <c r="L1850" t="s">
        <v>36</v>
      </c>
      <c r="M1850" t="s">
        <v>19177</v>
      </c>
      <c r="N1850" t="s">
        <v>1024</v>
      </c>
      <c r="O1850" t="s">
        <v>1024</v>
      </c>
      <c r="P1850" t="s">
        <v>842</v>
      </c>
    </row>
    <row r="1851">
      <c r="A1851">
        <f>HYPERLINK("http://bombeiros.sp.gov.br/hidrantes/03individual/3986.html","3986")</f>
      </c>
      <c r="B1851" t="s">
        <v>842</v>
      </c>
      <c r="C1851" t="s">
        <v>1065</v>
      </c>
      <c r="D1851" t="s">
        <v>14385</v>
      </c>
      <c r="E1851" t="s">
        <v>15</v>
      </c>
      <c r="F1851" t="s">
        <v>14445</v>
      </c>
      <c r="G1851" t="s">
        <v>18563</v>
      </c>
      <c r="H1851" t="s">
        <v>1112</v>
      </c>
      <c r="I1851" t="s">
        <v>1108</v>
      </c>
      <c r="J1851" t="s">
        <v>14446</v>
      </c>
      <c r="K1851" t="s">
        <v>14447</v>
      </c>
      <c r="L1851" t="s">
        <v>21</v>
      </c>
      <c r="M1851" t="s">
        <v>19177</v>
      </c>
      <c r="N1851" t="s">
        <v>714</v>
      </c>
      <c r="O1851" t="s">
        <v>10263</v>
      </c>
      <c r="P1851" t="s">
        <v>12</v>
      </c>
    </row>
    <row r="1852">
      <c r="A1852">
        <f>HYPERLINK("http://bombeiros.sp.gov.br/hidrantes/03individual/3987.html","3987")</f>
      </c>
      <c r="B1852" t="s">
        <v>842</v>
      </c>
      <c r="C1852" t="s">
        <v>1065</v>
      </c>
      <c r="D1852" t="s">
        <v>14385</v>
      </c>
      <c r="E1852" t="s">
        <v>15</v>
      </c>
      <c r="F1852" t="s">
        <v>14448</v>
      </c>
      <c r="G1852" t="s">
        <v>18145</v>
      </c>
      <c r="H1852" t="s">
        <v>1107</v>
      </c>
      <c r="I1852" t="s">
        <v>1108</v>
      </c>
      <c r="J1852" t="s">
        <v>14449</v>
      </c>
      <c r="K1852" t="s">
        <v>14450</v>
      </c>
      <c r="L1852" t="s">
        <v>21</v>
      </c>
      <c r="M1852" t="s">
        <v>19177</v>
      </c>
      <c r="N1852" t="s">
        <v>714</v>
      </c>
      <c r="O1852" t="s">
        <v>10263</v>
      </c>
      <c r="P1852" t="s">
        <v>12</v>
      </c>
    </row>
    <row r="1853">
      <c r="A1853">
        <f>HYPERLINK("http://bombeiros.sp.gov.br/hidrantes/03individual/4000.html","4000")</f>
      </c>
      <c r="B1853" t="s">
        <v>842</v>
      </c>
      <c r="C1853" t="s">
        <v>1065</v>
      </c>
      <c r="D1853" t="s">
        <v>14385</v>
      </c>
      <c r="E1853" t="s">
        <v>15</v>
      </c>
      <c r="F1853" t="s">
        <v>14454</v>
      </c>
      <c r="G1853" t="s">
        <v>18063</v>
      </c>
      <c r="H1853" t="s">
        <v>1107</v>
      </c>
      <c r="I1853" t="s">
        <v>1108</v>
      </c>
      <c r="J1853" t="s">
        <v>14455</v>
      </c>
      <c r="K1853" t="s">
        <v>14456</v>
      </c>
      <c r="L1853" t="s">
        <v>21</v>
      </c>
      <c r="M1853" t="s">
        <v>19177</v>
      </c>
      <c r="N1853" t="s">
        <v>714</v>
      </c>
      <c r="O1853" t="s">
        <v>10263</v>
      </c>
      <c r="P1853" t="s">
        <v>12</v>
      </c>
    </row>
    <row r="1854">
      <c r="A1854">
        <f>HYPERLINK("http://bombeiros.sp.gov.br/hidrantes/03individual/4002.html","4002")</f>
      </c>
      <c r="B1854" t="s">
        <v>842</v>
      </c>
      <c r="C1854" t="s">
        <v>1065</v>
      </c>
      <c r="D1854" t="s">
        <v>14385</v>
      </c>
      <c r="E1854" t="s">
        <v>15</v>
      </c>
      <c r="F1854" t="s">
        <v>14460</v>
      </c>
      <c r="G1854" t="s">
        <v>18563</v>
      </c>
      <c r="H1854" t="s">
        <v>1112</v>
      </c>
      <c r="I1854" t="s">
        <v>1108</v>
      </c>
      <c r="J1854" t="s">
        <v>14461</v>
      </c>
      <c r="K1854" t="s">
        <v>14462</v>
      </c>
      <c r="L1854" t="s">
        <v>21</v>
      </c>
      <c r="M1854" t="s">
        <v>19177</v>
      </c>
      <c r="N1854" t="s">
        <v>714</v>
      </c>
      <c r="O1854" t="s">
        <v>10263</v>
      </c>
      <c r="P1854" t="s">
        <v>12</v>
      </c>
    </row>
    <row r="1855">
      <c r="A1855">
        <f>HYPERLINK("http://bombeiros.sp.gov.br/hidrantes/03individual/4004.html","4004")</f>
      </c>
      <c r="B1855" t="s">
        <v>842</v>
      </c>
      <c r="C1855" t="s">
        <v>1065</v>
      </c>
      <c r="D1855" t="s">
        <v>14385</v>
      </c>
      <c r="E1855" t="s">
        <v>15</v>
      </c>
      <c r="F1855" t="s">
        <v>14463</v>
      </c>
      <c r="G1855" t="s">
        <v>18063</v>
      </c>
      <c r="H1855" t="s">
        <v>1107</v>
      </c>
      <c r="I1855" t="s">
        <v>1108</v>
      </c>
      <c r="J1855" t="s">
        <v>14464</v>
      </c>
      <c r="K1855" t="s">
        <v>14465</v>
      </c>
      <c r="L1855" t="s">
        <v>21</v>
      </c>
      <c r="M1855" t="s">
        <v>19177</v>
      </c>
      <c r="N1855" t="s">
        <v>714</v>
      </c>
      <c r="O1855" t="s">
        <v>10263</v>
      </c>
      <c r="P1855" t="s">
        <v>12</v>
      </c>
    </row>
    <row r="1856">
      <c r="A1856">
        <f>HYPERLINK("http://bombeiros.sp.gov.br/hidrantes/03individual/4007.html","4007")</f>
      </c>
      <c r="B1856" t="s">
        <v>842</v>
      </c>
      <c r="C1856" t="s">
        <v>1065</v>
      </c>
      <c r="D1856" t="s">
        <v>14385</v>
      </c>
      <c r="E1856" t="s">
        <v>15</v>
      </c>
      <c r="F1856" t="s">
        <v>14466</v>
      </c>
      <c r="G1856" t="s">
        <v>18063</v>
      </c>
      <c r="H1856" t="s">
        <v>1107</v>
      </c>
      <c r="I1856" t="s">
        <v>1108</v>
      </c>
      <c r="J1856" t="s">
        <v>14467</v>
      </c>
      <c r="K1856" t="s">
        <v>14468</v>
      </c>
      <c r="L1856" t="s">
        <v>21</v>
      </c>
      <c r="M1856" t="s">
        <v>19177</v>
      </c>
      <c r="N1856" t="s">
        <v>714</v>
      </c>
      <c r="O1856" t="s">
        <v>10263</v>
      </c>
      <c r="P1856" t="s">
        <v>12</v>
      </c>
    </row>
    <row r="1857">
      <c r="A1857">
        <f>HYPERLINK("http://bombeiros.sp.gov.br/hidrantes/03individual/4382.html","4382")</f>
      </c>
      <c r="B1857" t="s">
        <v>842</v>
      </c>
      <c r="C1857" t="s">
        <v>1065</v>
      </c>
      <c r="D1857" t="s">
        <v>14385</v>
      </c>
      <c r="E1857" t="s">
        <v>15</v>
      </c>
      <c r="F1857" t="s">
        <v>14472</v>
      </c>
      <c r="G1857" t="s">
        <v>18041</v>
      </c>
      <c r="H1857" t="s">
        <v>1112</v>
      </c>
      <c r="I1857" t="s">
        <v>1108</v>
      </c>
      <c r="J1857" t="s">
        <v>14473</v>
      </c>
      <c r="K1857" t="s">
        <v>14474</v>
      </c>
      <c r="L1857" t="s">
        <v>21</v>
      </c>
      <c r="M1857" t="s">
        <v>19177</v>
      </c>
      <c r="N1857" t="s">
        <v>1024</v>
      </c>
      <c r="O1857" t="s">
        <v>1024</v>
      </c>
      <c r="P1857" t="s">
        <v>842</v>
      </c>
    </row>
    <row r="1858">
      <c r="A1858">
        <f>HYPERLINK("http://bombeiros.sp.gov.br/hidrantes/03individual/16606.html","16606")</f>
      </c>
      <c r="B1858" t="s">
        <v>842</v>
      </c>
      <c r="C1858" t="s">
        <v>1065</v>
      </c>
      <c r="D1858" t="s">
        <v>14385</v>
      </c>
      <c r="E1858" t="s">
        <v>15</v>
      </c>
      <c r="F1858" t="s">
        <v>14445</v>
      </c>
      <c r="G1858" t="s">
        <v>18563</v>
      </c>
      <c r="H1858" t="s">
        <v>1121</v>
      </c>
      <c r="I1858" t="s">
        <v>1117</v>
      </c>
      <c r="J1858" t="s">
        <v>14481</v>
      </c>
      <c r="K1858" t="s">
        <v>14482</v>
      </c>
      <c r="L1858" t="s">
        <v>21</v>
      </c>
      <c r="M1858" t="s">
        <v>19177</v>
      </c>
      <c r="N1858" t="s">
        <v>714</v>
      </c>
      <c r="O1858" t="s">
        <v>10263</v>
      </c>
      <c r="P1858" t="s">
        <v>12</v>
      </c>
    </row>
    <row r="1859">
      <c r="A1859">
        <f>HYPERLINK("http://bombeiros.sp.gov.br/hidrantes/03individual/26694.html","26694")</f>
      </c>
      <c r="B1859" t="s">
        <v>842</v>
      </c>
      <c r="C1859" t="s">
        <v>1065</v>
      </c>
      <c r="D1859" t="s">
        <v>14385</v>
      </c>
      <c r="E1859" t="s">
        <v>15</v>
      </c>
      <c r="F1859" t="s">
        <v>14489</v>
      </c>
      <c r="G1859" t="s">
        <v>18063</v>
      </c>
      <c r="H1859" t="s">
        <v>1107</v>
      </c>
      <c r="I1859" t="s">
        <v>1108</v>
      </c>
      <c r="J1859" t="s">
        <v>14490</v>
      </c>
      <c r="K1859" t="s">
        <v>14491</v>
      </c>
      <c r="L1859" t="s">
        <v>21</v>
      </c>
      <c r="M1859" t="s">
        <v>19177</v>
      </c>
      <c r="N1859" t="s">
        <v>714</v>
      </c>
      <c r="O1859" t="s">
        <v>10263</v>
      </c>
      <c r="P1859" t="s">
        <v>12</v>
      </c>
    </row>
    <row r="1860">
      <c r="A1860">
        <f>HYPERLINK("http://bombeiros.sp.gov.br/hidrantes/03individual/26822.html","26822")</f>
      </c>
      <c r="B1860" t="s">
        <v>842</v>
      </c>
      <c r="C1860" t="s">
        <v>1065</v>
      </c>
      <c r="D1860" t="s">
        <v>14385</v>
      </c>
      <c r="E1860" t="s">
        <v>15</v>
      </c>
      <c r="F1860" t="s">
        <v>16097</v>
      </c>
      <c r="G1860" t="s">
        <v>18063</v>
      </c>
      <c r="H1860" t="s">
        <v>1107</v>
      </c>
      <c r="I1860" t="s">
        <v>1108</v>
      </c>
      <c r="J1860" t="s">
        <v>16098</v>
      </c>
      <c r="K1860" t="s">
        <v>16099</v>
      </c>
      <c r="L1860" t="s">
        <v>21</v>
      </c>
      <c r="M1860" t="s">
        <v>19177</v>
      </c>
      <c r="N1860" t="s">
        <v>714</v>
      </c>
      <c r="O1860" t="s">
        <v>10263</v>
      </c>
      <c r="P1860" t="s">
        <v>12</v>
      </c>
    </row>
    <row r="1861">
      <c r="A1861">
        <f>HYPERLINK("http://bombeiros.sp.gov.br/hidrantes/03individual/3605.html","3605")</f>
      </c>
      <c r="B1861" t="s">
        <v>842</v>
      </c>
      <c r="C1861" t="s">
        <v>1065</v>
      </c>
      <c r="D1861" t="s">
        <v>1065</v>
      </c>
      <c r="E1861" t="s">
        <v>64</v>
      </c>
      <c r="F1861" t="s">
        <v>14492</v>
      </c>
      <c r="G1861" t="s">
        <v>18049</v>
      </c>
      <c r="H1861" t="s">
        <v>1107</v>
      </c>
      <c r="I1861" t="s">
        <v>1108</v>
      </c>
      <c r="J1861" t="s">
        <v>14493</v>
      </c>
      <c r="K1861" t="s">
        <v>14494</v>
      </c>
      <c r="L1861" t="s">
        <v>36</v>
      </c>
      <c r="M1861" t="s">
        <v>19177</v>
      </c>
      <c r="N1861" t="s">
        <v>714</v>
      </c>
      <c r="O1861" t="s">
        <v>10263</v>
      </c>
      <c r="P1861" t="s">
        <v>12</v>
      </c>
    </row>
    <row r="1862">
      <c r="A1862">
        <f>HYPERLINK("http://bombeiros.sp.gov.br/hidrantes/03individual/3606.html","3606")</f>
      </c>
      <c r="B1862" t="s">
        <v>842</v>
      </c>
      <c r="C1862" t="s">
        <v>1065</v>
      </c>
      <c r="D1862" t="s">
        <v>1065</v>
      </c>
      <c r="E1862" t="s">
        <v>64</v>
      </c>
      <c r="F1862" t="s">
        <v>14495</v>
      </c>
      <c r="G1862" t="s">
        <v>18049</v>
      </c>
      <c r="H1862" t="s">
        <v>1107</v>
      </c>
      <c r="I1862" t="s">
        <v>1108</v>
      </c>
      <c r="J1862" t="s">
        <v>14496</v>
      </c>
      <c r="K1862" t="s">
        <v>14497</v>
      </c>
      <c r="L1862" t="s">
        <v>36</v>
      </c>
      <c r="M1862" t="s">
        <v>19177</v>
      </c>
      <c r="N1862" t="s">
        <v>714</v>
      </c>
      <c r="O1862" t="s">
        <v>10263</v>
      </c>
      <c r="P1862" t="s">
        <v>12</v>
      </c>
    </row>
    <row r="1863">
      <c r="A1863">
        <f>HYPERLINK("http://bombeiros.sp.gov.br/hidrantes/03individual/3865.html","3865")</f>
      </c>
      <c r="B1863" t="s">
        <v>842</v>
      </c>
      <c r="C1863" t="s">
        <v>1065</v>
      </c>
      <c r="D1863" t="s">
        <v>1065</v>
      </c>
      <c r="E1863" t="s">
        <v>64</v>
      </c>
      <c r="F1863" t="s">
        <v>14498</v>
      </c>
      <c r="G1863" t="s">
        <v>18049</v>
      </c>
      <c r="H1863" t="s">
        <v>1112</v>
      </c>
      <c r="I1863" t="s">
        <v>1108</v>
      </c>
      <c r="J1863" t="s">
        <v>18219</v>
      </c>
      <c r="K1863" t="s">
        <v>18220</v>
      </c>
      <c r="L1863" t="s">
        <v>36</v>
      </c>
      <c r="M1863" t="s">
        <v>19177</v>
      </c>
      <c r="N1863" t="s">
        <v>714</v>
      </c>
      <c r="O1863" t="s">
        <v>10263</v>
      </c>
      <c r="P1863" t="s">
        <v>12</v>
      </c>
    </row>
    <row r="1864">
      <c r="A1864">
        <f>HYPERLINK("http://bombeiros.sp.gov.br/hidrantes/03individual/23055.html","23055")</f>
      </c>
      <c r="B1864" t="s">
        <v>842</v>
      </c>
      <c r="C1864" t="s">
        <v>1065</v>
      </c>
      <c r="D1864" t="s">
        <v>1065</v>
      </c>
      <c r="E1864" t="s">
        <v>64</v>
      </c>
      <c r="F1864" t="s">
        <v>14504</v>
      </c>
      <c r="G1864" t="s">
        <v>18551</v>
      </c>
      <c r="H1864" t="s">
        <v>1112</v>
      </c>
      <c r="I1864" t="s">
        <v>1108</v>
      </c>
      <c r="J1864" t="s">
        <v>14505</v>
      </c>
      <c r="K1864" t="s">
        <v>14506</v>
      </c>
      <c r="L1864" t="s">
        <v>21</v>
      </c>
      <c r="M1864" t="s">
        <v>19177</v>
      </c>
      <c r="N1864" t="s">
        <v>714</v>
      </c>
      <c r="O1864" t="s">
        <v>10263</v>
      </c>
      <c r="P1864" t="s">
        <v>12</v>
      </c>
    </row>
    <row r="1865">
      <c r="A1865">
        <f>HYPERLINK("http://bombeiros.sp.gov.br/hidrantes/03individual/322.html","322")</f>
      </c>
      <c r="B1865" t="s">
        <v>842</v>
      </c>
      <c r="C1865" t="s">
        <v>1065</v>
      </c>
      <c r="D1865" t="s">
        <v>1065</v>
      </c>
      <c r="E1865" t="s">
        <v>15</v>
      </c>
      <c r="F1865" t="s">
        <v>14507</v>
      </c>
      <c r="G1865" t="s">
        <v>18269</v>
      </c>
      <c r="H1865" t="s">
        <v>1112</v>
      </c>
      <c r="I1865" t="s">
        <v>1108</v>
      </c>
      <c r="J1865" t="s">
        <v>14508</v>
      </c>
      <c r="K1865" t="s">
        <v>14509</v>
      </c>
      <c r="L1865" t="s">
        <v>21</v>
      </c>
      <c r="M1865" t="s">
        <v>19177</v>
      </c>
      <c r="N1865" t="s">
        <v>714</v>
      </c>
      <c r="O1865" t="s">
        <v>10263</v>
      </c>
      <c r="P1865" t="s">
        <v>12</v>
      </c>
    </row>
    <row r="1866">
      <c r="A1866">
        <f>HYPERLINK("http://bombeiros.sp.gov.br/hidrantes/03individual/344.html","344")</f>
      </c>
      <c r="B1866" t="s">
        <v>842</v>
      </c>
      <c r="C1866" t="s">
        <v>1065</v>
      </c>
      <c r="D1866" t="s">
        <v>1065</v>
      </c>
      <c r="E1866" t="s">
        <v>15</v>
      </c>
      <c r="F1866" t="s">
        <v>14510</v>
      </c>
      <c r="G1866" t="s">
        <v>18118</v>
      </c>
      <c r="H1866" t="s">
        <v>1107</v>
      </c>
      <c r="I1866" t="s">
        <v>1108</v>
      </c>
      <c r="J1866" t="s">
        <v>14511</v>
      </c>
      <c r="K1866" t="s">
        <v>14512</v>
      </c>
      <c r="L1866" t="s">
        <v>21</v>
      </c>
      <c r="M1866" t="s">
        <v>19177</v>
      </c>
      <c r="N1866" t="s">
        <v>714</v>
      </c>
      <c r="O1866" t="s">
        <v>10263</v>
      </c>
      <c r="P1866" t="s">
        <v>12</v>
      </c>
    </row>
    <row r="1867">
      <c r="A1867">
        <f>HYPERLINK("http://bombeiros.sp.gov.br/hidrantes/03individual/379.html","379")</f>
      </c>
      <c r="B1867" t="s">
        <v>842</v>
      </c>
      <c r="C1867" t="s">
        <v>1065</v>
      </c>
      <c r="D1867" t="s">
        <v>1065</v>
      </c>
      <c r="E1867" t="s">
        <v>15</v>
      </c>
      <c r="F1867" t="s">
        <v>14519</v>
      </c>
      <c r="G1867" t="s">
        <v>18118</v>
      </c>
      <c r="H1867" t="s">
        <v>1107</v>
      </c>
      <c r="I1867" t="s">
        <v>1108</v>
      </c>
      <c r="J1867" t="s">
        <v>14521</v>
      </c>
      <c r="K1867" t="s">
        <v>14522</v>
      </c>
      <c r="L1867" t="s">
        <v>21</v>
      </c>
      <c r="M1867" t="s">
        <v>19177</v>
      </c>
      <c r="N1867" t="s">
        <v>714</v>
      </c>
      <c r="O1867" t="s">
        <v>10263</v>
      </c>
      <c r="P1867" t="s">
        <v>12</v>
      </c>
    </row>
    <row r="1868">
      <c r="A1868">
        <f>HYPERLINK("http://bombeiros.sp.gov.br/hidrantes/03individual/3864.html","3864")</f>
      </c>
      <c r="B1868" t="s">
        <v>842</v>
      </c>
      <c r="C1868" t="s">
        <v>1065</v>
      </c>
      <c r="D1868" t="s">
        <v>1065</v>
      </c>
      <c r="E1868" t="s">
        <v>15</v>
      </c>
      <c r="F1868" t="s">
        <v>14529</v>
      </c>
      <c r="G1868" t="s">
        <v>18149</v>
      </c>
      <c r="H1868" t="s">
        <v>1112</v>
      </c>
      <c r="I1868" t="s">
        <v>1108</v>
      </c>
      <c r="J1868" t="s">
        <v>14530</v>
      </c>
      <c r="K1868" t="s">
        <v>14531</v>
      </c>
      <c r="L1868" t="s">
        <v>21</v>
      </c>
      <c r="M1868" t="s">
        <v>19177</v>
      </c>
      <c r="N1868" t="s">
        <v>714</v>
      </c>
      <c r="O1868" t="s">
        <v>10263</v>
      </c>
      <c r="P1868" t="s">
        <v>12</v>
      </c>
    </row>
    <row r="1869">
      <c r="A1869">
        <f>HYPERLINK("http://bombeiros.sp.gov.br/hidrantes/03individual/3943.html","3943")</f>
      </c>
      <c r="B1869" t="s">
        <v>842</v>
      </c>
      <c r="C1869" t="s">
        <v>1065</v>
      </c>
      <c r="D1869" t="s">
        <v>1065</v>
      </c>
      <c r="E1869" t="s">
        <v>15</v>
      </c>
      <c r="F1869" t="s">
        <v>14532</v>
      </c>
      <c r="G1869" t="s">
        <v>18218</v>
      </c>
      <c r="H1869" t="s">
        <v>1112</v>
      </c>
      <c r="I1869" t="s">
        <v>1108</v>
      </c>
      <c r="J1869" t="s">
        <v>14533</v>
      </c>
      <c r="K1869" t="s">
        <v>14534</v>
      </c>
      <c r="L1869" t="s">
        <v>21</v>
      </c>
      <c r="M1869" t="s">
        <v>19177</v>
      </c>
      <c r="N1869" t="s">
        <v>714</v>
      </c>
      <c r="O1869" t="s">
        <v>10263</v>
      </c>
      <c r="P1869" t="s">
        <v>12</v>
      </c>
    </row>
    <row r="1870">
      <c r="A1870">
        <f>HYPERLINK("http://bombeiros.sp.gov.br/hidrantes/03individual/3959.html","3959")</f>
      </c>
      <c r="B1870" t="s">
        <v>842</v>
      </c>
      <c r="C1870" t="s">
        <v>1065</v>
      </c>
      <c r="D1870" t="s">
        <v>1065</v>
      </c>
      <c r="E1870" t="s">
        <v>15</v>
      </c>
      <c r="F1870" t="s">
        <v>14538</v>
      </c>
      <c r="G1870" t="s">
        <v>18272</v>
      </c>
      <c r="H1870" t="s">
        <v>1112</v>
      </c>
      <c r="I1870" t="s">
        <v>1108</v>
      </c>
      <c r="J1870" t="s">
        <v>14539</v>
      </c>
      <c r="K1870" t="s">
        <v>14540</v>
      </c>
      <c r="L1870" t="s">
        <v>21</v>
      </c>
      <c r="M1870" t="s">
        <v>19177</v>
      </c>
      <c r="N1870" t="s">
        <v>714</v>
      </c>
      <c r="O1870" t="s">
        <v>10263</v>
      </c>
      <c r="P1870" t="s">
        <v>12</v>
      </c>
    </row>
    <row r="1871">
      <c r="A1871">
        <f>HYPERLINK("http://bombeiros.sp.gov.br/hidrantes/03individual/3961.html","3961")</f>
      </c>
      <c r="B1871" t="s">
        <v>842</v>
      </c>
      <c r="C1871" t="s">
        <v>1065</v>
      </c>
      <c r="D1871" t="s">
        <v>1065</v>
      </c>
      <c r="E1871" t="s">
        <v>15</v>
      </c>
      <c r="F1871" t="s">
        <v>14541</v>
      </c>
      <c r="G1871" t="s">
        <v>18149</v>
      </c>
      <c r="H1871" t="s">
        <v>1112</v>
      </c>
      <c r="I1871" t="s">
        <v>1108</v>
      </c>
      <c r="J1871" t="s">
        <v>14542</v>
      </c>
      <c r="K1871" t="s">
        <v>14543</v>
      </c>
      <c r="L1871" t="s">
        <v>21</v>
      </c>
      <c r="M1871" t="s">
        <v>19177</v>
      </c>
      <c r="N1871" t="s">
        <v>714</v>
      </c>
      <c r="O1871" t="s">
        <v>10263</v>
      </c>
      <c r="P1871" t="s">
        <v>12</v>
      </c>
    </row>
    <row r="1872">
      <c r="A1872">
        <f>HYPERLINK("http://bombeiros.sp.gov.br/hidrantes/03individual/3965.html","3965")</f>
      </c>
      <c r="B1872" t="s">
        <v>842</v>
      </c>
      <c r="C1872" t="s">
        <v>1065</v>
      </c>
      <c r="D1872" t="s">
        <v>1065</v>
      </c>
      <c r="E1872" t="s">
        <v>15</v>
      </c>
      <c r="F1872" t="s">
        <v>14544</v>
      </c>
      <c r="G1872" t="s">
        <v>18167</v>
      </c>
      <c r="H1872" t="s">
        <v>1112</v>
      </c>
      <c r="I1872" t="s">
        <v>1108</v>
      </c>
      <c r="J1872" t="s">
        <v>14545</v>
      </c>
      <c r="K1872" t="s">
        <v>14546</v>
      </c>
      <c r="L1872" t="s">
        <v>21</v>
      </c>
      <c r="M1872" t="s">
        <v>19177</v>
      </c>
      <c r="N1872" t="s">
        <v>714</v>
      </c>
      <c r="O1872" t="s">
        <v>10263</v>
      </c>
      <c r="P1872" t="s">
        <v>12</v>
      </c>
    </row>
    <row r="1873">
      <c r="A1873">
        <f>HYPERLINK("http://bombeiros.sp.gov.br/hidrantes/03individual/3969.html","3969")</f>
      </c>
      <c r="B1873" t="s">
        <v>842</v>
      </c>
      <c r="C1873" t="s">
        <v>1065</v>
      </c>
      <c r="D1873" t="s">
        <v>1065</v>
      </c>
      <c r="E1873" t="s">
        <v>15</v>
      </c>
      <c r="F1873" t="s">
        <v>14547</v>
      </c>
      <c r="G1873" t="s">
        <v>18149</v>
      </c>
      <c r="H1873" t="s">
        <v>1112</v>
      </c>
      <c r="I1873" t="s">
        <v>1108</v>
      </c>
      <c r="J1873" t="s">
        <v>14548</v>
      </c>
      <c r="K1873" t="s">
        <v>14549</v>
      </c>
      <c r="L1873" t="s">
        <v>21</v>
      </c>
      <c r="M1873" t="s">
        <v>19177</v>
      </c>
      <c r="N1873" t="s">
        <v>714</v>
      </c>
      <c r="O1873" t="s">
        <v>10263</v>
      </c>
      <c r="P1873" t="s">
        <v>12</v>
      </c>
    </row>
    <row r="1874">
      <c r="A1874">
        <f>HYPERLINK("http://bombeiros.sp.gov.br/hidrantes/03individual/4413.html","4413")</f>
      </c>
      <c r="B1874" t="s">
        <v>842</v>
      </c>
      <c r="C1874" t="s">
        <v>1065</v>
      </c>
      <c r="D1874" t="s">
        <v>1065</v>
      </c>
      <c r="E1874" t="s">
        <v>15</v>
      </c>
      <c r="F1874" t="s">
        <v>14553</v>
      </c>
      <c r="G1874" t="s">
        <v>18149</v>
      </c>
      <c r="H1874" t="s">
        <v>1112</v>
      </c>
      <c r="I1874" t="s">
        <v>1108</v>
      </c>
      <c r="J1874" t="s">
        <v>14554</v>
      </c>
      <c r="K1874" t="s">
        <v>14555</v>
      </c>
      <c r="L1874" t="s">
        <v>21</v>
      </c>
      <c r="M1874" t="s">
        <v>19177</v>
      </c>
      <c r="N1874" t="s">
        <v>714</v>
      </c>
      <c r="O1874" t="s">
        <v>10263</v>
      </c>
      <c r="P1874" t="s">
        <v>12</v>
      </c>
    </row>
    <row r="1875">
      <c r="A1875">
        <f>HYPERLINK("http://bombeiros.sp.gov.br/hidrantes/03individual/26823.html","26823")</f>
      </c>
      <c r="B1875" t="s">
        <v>842</v>
      </c>
      <c r="C1875" t="s">
        <v>1065</v>
      </c>
      <c r="D1875" t="s">
        <v>1065</v>
      </c>
      <c r="E1875" t="s">
        <v>15</v>
      </c>
      <c r="F1875" t="s">
        <v>16100</v>
      </c>
      <c r="G1875" t="s">
        <v>18174</v>
      </c>
      <c r="H1875" t="s">
        <v>1107</v>
      </c>
      <c r="I1875" t="s">
        <v>1108</v>
      </c>
      <c r="J1875" t="s">
        <v>16101</v>
      </c>
      <c r="K1875" t="s">
        <v>16102</v>
      </c>
      <c r="L1875" t="s">
        <v>21</v>
      </c>
      <c r="M1875" t="s">
        <v>19177</v>
      </c>
      <c r="N1875" t="s">
        <v>714</v>
      </c>
      <c r="O1875" t="s">
        <v>10263</v>
      </c>
      <c r="P1875" t="s">
        <v>12</v>
      </c>
    </row>
    <row r="1876">
      <c r="A1876">
        <f>HYPERLINK("http://bombeiros.sp.gov.br/hidrantes/03individual/4080.html","4080")</f>
      </c>
      <c r="B1876" t="s">
        <v>842</v>
      </c>
      <c r="C1876" t="s">
        <v>1071</v>
      </c>
      <c r="D1876" t="s">
        <v>1072</v>
      </c>
      <c r="E1876" t="s">
        <v>64</v>
      </c>
      <c r="F1876" t="s">
        <v>14563</v>
      </c>
      <c r="G1876" t="s">
        <v>18124</v>
      </c>
      <c r="H1876" t="s">
        <v>1112</v>
      </c>
      <c r="I1876" t="s">
        <v>1108</v>
      </c>
      <c r="J1876" t="s">
        <v>14564</v>
      </c>
      <c r="K1876" t="s">
        <v>14565</v>
      </c>
      <c r="L1876" t="s">
        <v>21</v>
      </c>
      <c r="M1876" t="s">
        <v>19177</v>
      </c>
      <c r="N1876" t="s">
        <v>16376</v>
      </c>
      <c r="O1876" t="s">
        <v>16376</v>
      </c>
      <c r="P1876" t="s">
        <v>842</v>
      </c>
    </row>
    <row r="1877">
      <c r="A1877">
        <f>HYPERLINK("http://bombeiros.sp.gov.br/hidrantes/03individual/4082.html","4082")</f>
      </c>
      <c r="B1877" t="s">
        <v>842</v>
      </c>
      <c r="C1877" t="s">
        <v>1071</v>
      </c>
      <c r="D1877" t="s">
        <v>1072</v>
      </c>
      <c r="E1877" t="s">
        <v>64</v>
      </c>
      <c r="F1877" t="s">
        <v>14566</v>
      </c>
      <c r="G1877" t="s">
        <v>18052</v>
      </c>
      <c r="H1877" t="s">
        <v>1107</v>
      </c>
      <c r="I1877" t="s">
        <v>1108</v>
      </c>
      <c r="J1877" t="s">
        <v>14567</v>
      </c>
      <c r="K1877" t="s">
        <v>14568</v>
      </c>
      <c r="L1877" t="s">
        <v>21</v>
      </c>
      <c r="M1877" t="s">
        <v>19177</v>
      </c>
      <c r="N1877" t="s">
        <v>16376</v>
      </c>
      <c r="O1877" t="s">
        <v>16376</v>
      </c>
      <c r="P1877" t="s">
        <v>842</v>
      </c>
    </row>
    <row r="1878">
      <c r="A1878">
        <f>HYPERLINK("http://bombeiros.sp.gov.br/hidrantes/03individual/4131.html","4131")</f>
      </c>
      <c r="B1878" t="s">
        <v>842</v>
      </c>
      <c r="C1878" t="s">
        <v>1071</v>
      </c>
      <c r="D1878" t="s">
        <v>1072</v>
      </c>
      <c r="E1878" t="s">
        <v>64</v>
      </c>
      <c r="F1878" t="s">
        <v>14569</v>
      </c>
      <c r="G1878" t="s">
        <v>18124</v>
      </c>
      <c r="H1878" t="s">
        <v>1112</v>
      </c>
      <c r="I1878" t="s">
        <v>1108</v>
      </c>
      <c r="J1878" t="s">
        <v>14570</v>
      </c>
      <c r="K1878" t="s">
        <v>14571</v>
      </c>
      <c r="L1878" t="s">
        <v>21</v>
      </c>
      <c r="M1878" t="s">
        <v>19177</v>
      </c>
      <c r="N1878" t="s">
        <v>16376</v>
      </c>
      <c r="O1878" t="s">
        <v>16376</v>
      </c>
      <c r="P1878" t="s">
        <v>842</v>
      </c>
    </row>
    <row r="1879">
      <c r="A1879">
        <f>HYPERLINK("http://bombeiros.sp.gov.br/hidrantes/03individual/26921.html","26921")</f>
      </c>
      <c r="B1879" t="s">
        <v>842</v>
      </c>
      <c r="C1879" t="s">
        <v>1071</v>
      </c>
      <c r="D1879" t="s">
        <v>1072</v>
      </c>
      <c r="E1879" t="s">
        <v>64</v>
      </c>
      <c r="F1879" t="s">
        <v>16404</v>
      </c>
      <c r="G1879" t="s">
        <v>18187</v>
      </c>
      <c r="H1879" t="s">
        <v>1112</v>
      </c>
      <c r="I1879" t="s">
        <v>1108</v>
      </c>
      <c r="J1879" t="s">
        <v>16405</v>
      </c>
      <c r="K1879" t="s">
        <v>16406</v>
      </c>
      <c r="L1879" t="s">
        <v>21</v>
      </c>
      <c r="M1879" t="s">
        <v>19177</v>
      </c>
      <c r="N1879" t="s">
        <v>16376</v>
      </c>
      <c r="O1879" t="s">
        <v>16376</v>
      </c>
      <c r="P1879" t="s">
        <v>842</v>
      </c>
    </row>
    <row r="1880">
      <c r="A1880">
        <f>HYPERLINK("http://bombeiros.sp.gov.br/hidrantes/03individual/2364.html","2364")</f>
      </c>
      <c r="B1880" t="s">
        <v>842</v>
      </c>
      <c r="C1880" t="s">
        <v>1071</v>
      </c>
      <c r="D1880" t="s">
        <v>1072</v>
      </c>
      <c r="E1880" t="s">
        <v>15</v>
      </c>
      <c r="F1880" t="s">
        <v>14572</v>
      </c>
      <c r="G1880" t="s">
        <v>18159</v>
      </c>
      <c r="H1880" t="s">
        <v>1112</v>
      </c>
      <c r="I1880" t="s">
        <v>1108</v>
      </c>
      <c r="J1880" t="s">
        <v>14573</v>
      </c>
      <c r="K1880" t="s">
        <v>14574</v>
      </c>
      <c r="L1880" t="s">
        <v>21</v>
      </c>
      <c r="M1880" t="s">
        <v>19177</v>
      </c>
      <c r="N1880" t="s">
        <v>16376</v>
      </c>
      <c r="O1880" t="s">
        <v>16376</v>
      </c>
      <c r="P1880" t="s">
        <v>842</v>
      </c>
    </row>
    <row r="1881">
      <c r="A1881">
        <f>HYPERLINK("http://bombeiros.sp.gov.br/hidrantes/03individual/4078.html","4078")</f>
      </c>
      <c r="B1881" t="s">
        <v>842</v>
      </c>
      <c r="C1881" t="s">
        <v>1071</v>
      </c>
      <c r="D1881" t="s">
        <v>1072</v>
      </c>
      <c r="E1881" t="s">
        <v>15</v>
      </c>
      <c r="F1881" t="s">
        <v>14575</v>
      </c>
      <c r="G1881" t="s">
        <v>18159</v>
      </c>
      <c r="H1881" t="s">
        <v>1112</v>
      </c>
      <c r="I1881" t="s">
        <v>1108</v>
      </c>
      <c r="J1881" t="s">
        <v>14576</v>
      </c>
      <c r="K1881" t="s">
        <v>14577</v>
      </c>
      <c r="L1881" t="s">
        <v>21</v>
      </c>
      <c r="M1881" t="s">
        <v>19177</v>
      </c>
      <c r="N1881" t="s">
        <v>16376</v>
      </c>
      <c r="O1881" t="s">
        <v>16376</v>
      </c>
      <c r="P1881" t="s">
        <v>842</v>
      </c>
    </row>
    <row r="1882">
      <c r="A1882">
        <f>HYPERLINK("http://bombeiros.sp.gov.br/hidrantes/03individual/4079.html","4079")</f>
      </c>
      <c r="B1882" t="s">
        <v>842</v>
      </c>
      <c r="C1882" t="s">
        <v>1071</v>
      </c>
      <c r="D1882" t="s">
        <v>1072</v>
      </c>
      <c r="E1882" t="s">
        <v>15</v>
      </c>
      <c r="F1882" t="s">
        <v>14578</v>
      </c>
      <c r="G1882" t="s">
        <v>18159</v>
      </c>
      <c r="H1882" t="s">
        <v>1112</v>
      </c>
      <c r="I1882" t="s">
        <v>1108</v>
      </c>
      <c r="J1882" t="s">
        <v>14579</v>
      </c>
      <c r="K1882" t="s">
        <v>14580</v>
      </c>
      <c r="L1882" t="s">
        <v>21</v>
      </c>
      <c r="M1882" t="s">
        <v>19177</v>
      </c>
      <c r="N1882" t="s">
        <v>16376</v>
      </c>
      <c r="O1882" t="s">
        <v>16376</v>
      </c>
      <c r="P1882" t="s">
        <v>842</v>
      </c>
    </row>
    <row r="1883">
      <c r="A1883">
        <f>HYPERLINK("http://bombeiros.sp.gov.br/hidrantes/03individual/4085.html","4085")</f>
      </c>
      <c r="B1883" t="s">
        <v>842</v>
      </c>
      <c r="C1883" t="s">
        <v>1071</v>
      </c>
      <c r="D1883" t="s">
        <v>1072</v>
      </c>
      <c r="E1883" t="s">
        <v>15</v>
      </c>
      <c r="F1883" t="s">
        <v>14584</v>
      </c>
      <c r="G1883" t="s">
        <v>18052</v>
      </c>
      <c r="H1883" t="s">
        <v>1112</v>
      </c>
      <c r="I1883" t="s">
        <v>1108</v>
      </c>
      <c r="J1883" t="s">
        <v>14585</v>
      </c>
      <c r="K1883" t="s">
        <v>14586</v>
      </c>
      <c r="L1883" t="s">
        <v>21</v>
      </c>
      <c r="M1883" t="s">
        <v>19177</v>
      </c>
      <c r="N1883" t="s">
        <v>16376</v>
      </c>
      <c r="O1883" t="s">
        <v>16376</v>
      </c>
      <c r="P1883" t="s">
        <v>842</v>
      </c>
    </row>
    <row r="1884">
      <c r="A1884">
        <f>HYPERLINK("http://bombeiros.sp.gov.br/hidrantes/03individual/4086.html","4086")</f>
      </c>
      <c r="B1884" t="s">
        <v>842</v>
      </c>
      <c r="C1884" t="s">
        <v>1071</v>
      </c>
      <c r="D1884" t="s">
        <v>1072</v>
      </c>
      <c r="E1884" t="s">
        <v>15</v>
      </c>
      <c r="F1884" t="s">
        <v>14587</v>
      </c>
      <c r="G1884" t="s">
        <v>18052</v>
      </c>
      <c r="H1884" t="s">
        <v>1112</v>
      </c>
      <c r="I1884" t="s">
        <v>1108</v>
      </c>
      <c r="J1884" t="s">
        <v>14588</v>
      </c>
      <c r="K1884" t="s">
        <v>14589</v>
      </c>
      <c r="L1884" t="s">
        <v>21</v>
      </c>
      <c r="M1884" t="s">
        <v>19177</v>
      </c>
      <c r="N1884" t="s">
        <v>16376</v>
      </c>
      <c r="O1884" t="s">
        <v>16376</v>
      </c>
      <c r="P1884" t="s">
        <v>842</v>
      </c>
    </row>
    <row r="1885">
      <c r="A1885">
        <f>HYPERLINK("http://bombeiros.sp.gov.br/hidrantes/03individual/4088.html","4088")</f>
      </c>
      <c r="B1885" t="s">
        <v>842</v>
      </c>
      <c r="C1885" t="s">
        <v>1071</v>
      </c>
      <c r="D1885" t="s">
        <v>1072</v>
      </c>
      <c r="E1885" t="s">
        <v>15</v>
      </c>
      <c r="F1885" t="s">
        <v>14590</v>
      </c>
      <c r="G1885" t="s">
        <v>18060</v>
      </c>
      <c r="H1885" t="s">
        <v>1107</v>
      </c>
      <c r="I1885" t="s">
        <v>1108</v>
      </c>
      <c r="J1885" t="s">
        <v>14591</v>
      </c>
      <c r="K1885" t="s">
        <v>14592</v>
      </c>
      <c r="L1885" t="s">
        <v>21</v>
      </c>
      <c r="M1885" t="s">
        <v>19177</v>
      </c>
      <c r="N1885" t="s">
        <v>16376</v>
      </c>
      <c r="O1885" t="s">
        <v>16376</v>
      </c>
      <c r="P1885" t="s">
        <v>842</v>
      </c>
    </row>
    <row r="1886">
      <c r="A1886">
        <f>HYPERLINK("http://bombeiros.sp.gov.br/hidrantes/03individual/4089.html","4089")</f>
      </c>
      <c r="B1886" t="s">
        <v>842</v>
      </c>
      <c r="C1886" t="s">
        <v>1071</v>
      </c>
      <c r="D1886" t="s">
        <v>1083</v>
      </c>
      <c r="E1886" t="s">
        <v>15</v>
      </c>
      <c r="F1886" t="s">
        <v>14593</v>
      </c>
      <c r="G1886" t="s">
        <v>18060</v>
      </c>
      <c r="H1886" t="s">
        <v>1112</v>
      </c>
      <c r="I1886" t="s">
        <v>1108</v>
      </c>
      <c r="J1886" t="s">
        <v>14594</v>
      </c>
      <c r="K1886" t="s">
        <v>14595</v>
      </c>
      <c r="L1886" t="s">
        <v>21</v>
      </c>
      <c r="M1886" t="s">
        <v>19177</v>
      </c>
      <c r="N1886" t="s">
        <v>16376</v>
      </c>
      <c r="O1886" t="s">
        <v>16376</v>
      </c>
      <c r="P1886" t="s">
        <v>842</v>
      </c>
    </row>
    <row r="1887">
      <c r="A1887">
        <f>HYPERLINK("http://bombeiros.sp.gov.br/hidrantes/03individual/4094.html","4094")</f>
      </c>
      <c r="B1887" t="s">
        <v>842</v>
      </c>
      <c r="C1887" t="s">
        <v>1071</v>
      </c>
      <c r="D1887" t="s">
        <v>1083</v>
      </c>
      <c r="E1887" t="s">
        <v>15</v>
      </c>
      <c r="F1887" t="s">
        <v>14596</v>
      </c>
      <c r="G1887" t="s">
        <v>18052</v>
      </c>
      <c r="H1887" t="s">
        <v>1112</v>
      </c>
      <c r="I1887" t="s">
        <v>1108</v>
      </c>
      <c r="J1887" t="s">
        <v>14597</v>
      </c>
      <c r="K1887" t="s">
        <v>14598</v>
      </c>
      <c r="L1887" t="s">
        <v>21</v>
      </c>
      <c r="M1887" t="s">
        <v>19177</v>
      </c>
      <c r="N1887" t="s">
        <v>16376</v>
      </c>
      <c r="O1887" t="s">
        <v>16376</v>
      </c>
      <c r="P1887" t="s">
        <v>842</v>
      </c>
    </row>
    <row r="1888">
      <c r="A1888">
        <f>HYPERLINK("http://bombeiros.sp.gov.br/hidrantes/03individual/4096.html","4096")</f>
      </c>
      <c r="B1888" t="s">
        <v>842</v>
      </c>
      <c r="C1888" t="s">
        <v>1071</v>
      </c>
      <c r="D1888" t="s">
        <v>1083</v>
      </c>
      <c r="E1888" t="s">
        <v>15</v>
      </c>
      <c r="F1888" t="s">
        <v>14599</v>
      </c>
      <c r="G1888" t="s">
        <v>18052</v>
      </c>
      <c r="H1888" t="s">
        <v>1112</v>
      </c>
      <c r="I1888" t="s">
        <v>1108</v>
      </c>
      <c r="J1888" t="s">
        <v>14600</v>
      </c>
      <c r="K1888" t="s">
        <v>14601</v>
      </c>
      <c r="L1888" t="s">
        <v>21</v>
      </c>
      <c r="M1888" t="s">
        <v>19177</v>
      </c>
      <c r="N1888" t="s">
        <v>16376</v>
      </c>
      <c r="O1888" t="s">
        <v>16376</v>
      </c>
      <c r="P1888" t="s">
        <v>842</v>
      </c>
    </row>
    <row r="1889">
      <c r="A1889">
        <f>HYPERLINK("http://bombeiros.sp.gov.br/hidrantes/03individual/26852.html","26852")</f>
      </c>
      <c r="B1889" t="s">
        <v>842</v>
      </c>
      <c r="C1889" t="s">
        <v>1071</v>
      </c>
      <c r="D1889" t="s">
        <v>1083</v>
      </c>
      <c r="E1889" t="s">
        <v>15</v>
      </c>
      <c r="F1889" t="s">
        <v>16209</v>
      </c>
      <c r="G1889" t="s">
        <v>18170</v>
      </c>
      <c r="H1889" t="s">
        <v>1112</v>
      </c>
      <c r="I1889" t="s">
        <v>1108</v>
      </c>
      <c r="J1889" t="s">
        <v>16210</v>
      </c>
      <c r="K1889" t="s">
        <v>16211</v>
      </c>
      <c r="L1889" t="s">
        <v>21</v>
      </c>
      <c r="M1889" t="s">
        <v>19177</v>
      </c>
      <c r="N1889" t="s">
        <v>16376</v>
      </c>
      <c r="O1889" t="s">
        <v>16376</v>
      </c>
      <c r="P1889" t="s">
        <v>842</v>
      </c>
    </row>
    <row r="1890">
      <c r="A1890">
        <f>HYPERLINK("http://bombeiros.sp.gov.br/hidrantes/03individual/4013.html","4013")</f>
      </c>
      <c r="B1890" t="s">
        <v>842</v>
      </c>
      <c r="C1890" t="s">
        <v>1097</v>
      </c>
      <c r="D1890" t="s">
        <v>14608</v>
      </c>
      <c r="E1890" t="s">
        <v>64</v>
      </c>
      <c r="F1890" t="s">
        <v>14609</v>
      </c>
      <c r="G1890" t="s">
        <v>18117</v>
      </c>
      <c r="H1890" t="s">
        <v>1112</v>
      </c>
      <c r="I1890" t="s">
        <v>1108</v>
      </c>
      <c r="J1890" t="s">
        <v>14610</v>
      </c>
      <c r="K1890" t="s">
        <v>14611</v>
      </c>
      <c r="L1890" t="s">
        <v>36</v>
      </c>
      <c r="M1890" t="s">
        <v>19177</v>
      </c>
      <c r="N1890" t="s">
        <v>848</v>
      </c>
      <c r="O1890" t="s">
        <v>640</v>
      </c>
      <c r="P1890" t="s">
        <v>623</v>
      </c>
    </row>
    <row r="1891">
      <c r="A1891">
        <f>HYPERLINK("http://bombeiros.sp.gov.br/hidrantes/03individual/4017.html","4017")</f>
      </c>
      <c r="B1891" t="s">
        <v>842</v>
      </c>
      <c r="C1891" t="s">
        <v>1097</v>
      </c>
      <c r="D1891" t="s">
        <v>14608</v>
      </c>
      <c r="E1891" t="s">
        <v>64</v>
      </c>
      <c r="F1891" t="s">
        <v>14612</v>
      </c>
      <c r="G1891" t="s">
        <v>18057</v>
      </c>
      <c r="H1891" t="s">
        <v>1121</v>
      </c>
      <c r="I1891" t="s">
        <v>1117</v>
      </c>
      <c r="J1891" t="s">
        <v>14613</v>
      </c>
      <c r="K1891" t="s">
        <v>14614</v>
      </c>
      <c r="L1891" t="s">
        <v>36</v>
      </c>
      <c r="M1891" t="s">
        <v>19177</v>
      </c>
      <c r="N1891" t="s">
        <v>848</v>
      </c>
      <c r="O1891" t="s">
        <v>640</v>
      </c>
      <c r="P1891" t="s">
        <v>623</v>
      </c>
    </row>
    <row r="1892">
      <c r="A1892">
        <f>HYPERLINK("http://bombeiros.sp.gov.br/hidrantes/03individual/4027.html","4027")</f>
      </c>
      <c r="B1892" t="s">
        <v>842</v>
      </c>
      <c r="C1892" t="s">
        <v>1097</v>
      </c>
      <c r="D1892" t="s">
        <v>14608</v>
      </c>
      <c r="E1892" t="s">
        <v>64</v>
      </c>
      <c r="F1892" t="s">
        <v>14615</v>
      </c>
      <c r="G1892" t="s">
        <v>18076</v>
      </c>
      <c r="H1892" t="s">
        <v>1107</v>
      </c>
      <c r="I1892" t="s">
        <v>1108</v>
      </c>
      <c r="J1892" t="s">
        <v>18221</v>
      </c>
      <c r="K1892" t="s">
        <v>17158</v>
      </c>
      <c r="L1892" t="s">
        <v>36</v>
      </c>
      <c r="M1892" t="s">
        <v>19177</v>
      </c>
      <c r="N1892" t="s">
        <v>848</v>
      </c>
      <c r="O1892" t="s">
        <v>640</v>
      </c>
      <c r="P1892" t="s">
        <v>623</v>
      </c>
    </row>
    <row r="1893">
      <c r="A1893">
        <f>HYPERLINK("http://bombeiros.sp.gov.br/hidrantes/03individual/23054.html","23054")</f>
      </c>
      <c r="B1893" t="s">
        <v>842</v>
      </c>
      <c r="C1893" t="s">
        <v>1097</v>
      </c>
      <c r="D1893" t="s">
        <v>14608</v>
      </c>
      <c r="E1893" t="s">
        <v>64</v>
      </c>
      <c r="F1893" t="s">
        <v>14618</v>
      </c>
      <c r="G1893" t="s">
        <v>18076</v>
      </c>
      <c r="H1893" t="s">
        <v>1112</v>
      </c>
      <c r="I1893" t="s">
        <v>1108</v>
      </c>
      <c r="J1893" t="s">
        <v>14619</v>
      </c>
      <c r="K1893" t="s">
        <v>14620</v>
      </c>
      <c r="L1893" t="s">
        <v>21</v>
      </c>
      <c r="M1893" t="s">
        <v>19177</v>
      </c>
      <c r="N1893" t="s">
        <v>848</v>
      </c>
      <c r="O1893" t="s">
        <v>640</v>
      </c>
      <c r="P1893" t="s">
        <v>623</v>
      </c>
    </row>
    <row r="1894">
      <c r="A1894">
        <f>HYPERLINK("http://bombeiros.sp.gov.br/hidrantes/03individual/26337.html","26337")</f>
      </c>
      <c r="B1894" t="s">
        <v>842</v>
      </c>
      <c r="C1894" t="s">
        <v>1097</v>
      </c>
      <c r="D1894" t="s">
        <v>1098</v>
      </c>
      <c r="E1894" t="s">
        <v>64</v>
      </c>
      <c r="F1894" t="s">
        <v>14624</v>
      </c>
      <c r="G1894" t="s">
        <v>18155</v>
      </c>
      <c r="H1894" t="s">
        <v>1121</v>
      </c>
      <c r="I1894" t="s">
        <v>1117</v>
      </c>
      <c r="J1894" t="s">
        <v>14625</v>
      </c>
      <c r="K1894" t="s">
        <v>14626</v>
      </c>
      <c r="L1894" t="s">
        <v>21</v>
      </c>
      <c r="M1894" t="s">
        <v>19177</v>
      </c>
      <c r="N1894" t="s">
        <v>848</v>
      </c>
      <c r="O1894" t="s">
        <v>640</v>
      </c>
      <c r="P1894" t="s">
        <v>623</v>
      </c>
    </row>
    <row r="1895">
      <c r="A1895">
        <f>HYPERLINK("http://bombeiros.sp.gov.br/hidrantes/03individual/27028.html","27028")</f>
      </c>
      <c r="B1895" t="s">
        <v>842</v>
      </c>
      <c r="C1895" t="s">
        <v>1097</v>
      </c>
      <c r="D1895" t="s">
        <v>1098</v>
      </c>
      <c r="E1895" t="s">
        <v>64</v>
      </c>
      <c r="F1895" t="s">
        <v>16636</v>
      </c>
      <c r="G1895" t="s">
        <v>18076</v>
      </c>
      <c r="H1895" t="s">
        <v>1112</v>
      </c>
      <c r="I1895" t="s">
        <v>1108</v>
      </c>
      <c r="J1895" t="s">
        <v>16637</v>
      </c>
      <c r="K1895" t="s">
        <v>16638</v>
      </c>
      <c r="L1895" t="s">
        <v>21</v>
      </c>
      <c r="M1895" t="s">
        <v>19177</v>
      </c>
      <c r="N1895" t="s">
        <v>848</v>
      </c>
      <c r="O1895" t="s">
        <v>640</v>
      </c>
      <c r="P1895" t="s">
        <v>623</v>
      </c>
    </row>
    <row r="1896">
      <c r="A1896">
        <f>HYPERLINK("http://bombeiros.sp.gov.br/hidrantes/03individual/4018.html","4018")</f>
      </c>
      <c r="B1896" t="s">
        <v>842</v>
      </c>
      <c r="C1896" t="s">
        <v>1097</v>
      </c>
      <c r="D1896" t="s">
        <v>1102</v>
      </c>
      <c r="E1896" t="s">
        <v>64</v>
      </c>
      <c r="F1896" t="s">
        <v>14636</v>
      </c>
      <c r="G1896" t="s">
        <v>17921</v>
      </c>
      <c r="H1896" t="s">
        <v>1112</v>
      </c>
      <c r="I1896" t="s">
        <v>1108</v>
      </c>
      <c r="J1896" t="s">
        <v>14637</v>
      </c>
      <c r="K1896" t="s">
        <v>14638</v>
      </c>
      <c r="L1896" t="s">
        <v>36</v>
      </c>
      <c r="M1896" t="s">
        <v>19177</v>
      </c>
      <c r="N1896" t="s">
        <v>848</v>
      </c>
      <c r="O1896" t="s">
        <v>640</v>
      </c>
      <c r="P1896" t="s">
        <v>623</v>
      </c>
    </row>
    <row r="1897">
      <c r="A1897">
        <f>HYPERLINK("http://bombeiros.sp.gov.br/hidrantes/03individual/4026.html","4026")</f>
      </c>
      <c r="B1897" t="s">
        <v>842</v>
      </c>
      <c r="C1897" t="s">
        <v>1097</v>
      </c>
      <c r="D1897" t="s">
        <v>1102</v>
      </c>
      <c r="E1897" t="s">
        <v>64</v>
      </c>
      <c r="F1897" t="s">
        <v>14639</v>
      </c>
      <c r="G1897" t="s">
        <v>18205</v>
      </c>
      <c r="H1897" t="s">
        <v>1112</v>
      </c>
      <c r="I1897" t="s">
        <v>1108</v>
      </c>
      <c r="J1897" t="s">
        <v>14640</v>
      </c>
      <c r="K1897" t="s">
        <v>14641</v>
      </c>
      <c r="L1897" t="s">
        <v>21</v>
      </c>
      <c r="M1897" t="s">
        <v>19177</v>
      </c>
      <c r="N1897" t="s">
        <v>848</v>
      </c>
      <c r="O1897" t="s">
        <v>640</v>
      </c>
      <c r="P1897" t="s">
        <v>623</v>
      </c>
    </row>
    <row r="1898">
      <c r="A1898">
        <f>HYPERLINK("http://bombeiros.sp.gov.br/hidrantes/03individual/27024.html","27024")</f>
      </c>
      <c r="B1898" t="s">
        <v>842</v>
      </c>
      <c r="C1898" t="s">
        <v>1097</v>
      </c>
      <c r="D1898" t="s">
        <v>1102</v>
      </c>
      <c r="E1898" t="s">
        <v>64</v>
      </c>
      <c r="F1898" t="s">
        <v>16639</v>
      </c>
      <c r="G1898" t="s">
        <v>18205</v>
      </c>
      <c r="H1898" t="s">
        <v>1112</v>
      </c>
      <c r="I1898" t="s">
        <v>1108</v>
      </c>
      <c r="J1898" t="s">
        <v>16640</v>
      </c>
      <c r="K1898" t="s">
        <v>16641</v>
      </c>
      <c r="L1898" t="s">
        <v>21</v>
      </c>
      <c r="M1898" t="s">
        <v>19177</v>
      </c>
      <c r="N1898" t="s">
        <v>848</v>
      </c>
      <c r="O1898" t="s">
        <v>640</v>
      </c>
      <c r="P1898" t="s">
        <v>623</v>
      </c>
    </row>
    <row r="1899">
      <c r="A1899">
        <f>HYPERLINK("http://bombeiros.sp.gov.br/hidrantes/03individual/27121.html","27121")</f>
      </c>
      <c r="B1899" t="s">
        <v>842</v>
      </c>
      <c r="C1899" t="s">
        <v>1097</v>
      </c>
      <c r="D1899" t="s">
        <v>1102</v>
      </c>
      <c r="E1899" t="s">
        <v>64</v>
      </c>
      <c r="F1899" t="s">
        <v>16796</v>
      </c>
      <c r="G1899" t="s">
        <v>18051</v>
      </c>
      <c r="H1899" t="s">
        <v>1112</v>
      </c>
      <c r="I1899" t="s">
        <v>1108</v>
      </c>
      <c r="J1899" t="s">
        <v>16797</v>
      </c>
      <c r="K1899" t="s">
        <v>16798</v>
      </c>
      <c r="L1899" t="s">
        <v>21</v>
      </c>
      <c r="M1899" t="s">
        <v>19177</v>
      </c>
      <c r="N1899" t="s">
        <v>848</v>
      </c>
      <c r="O1899" t="s">
        <v>640</v>
      </c>
      <c r="P1899" t="s">
        <v>623</v>
      </c>
    </row>
    <row r="1900">
      <c r="A1900">
        <f>HYPERLINK("http://bombeiros.sp.gov.br/hidrantes/03individual/27316.html","27316")</f>
      </c>
      <c r="B1900" t="s">
        <v>842</v>
      </c>
      <c r="C1900" t="s">
        <v>1097</v>
      </c>
      <c r="D1900" t="s">
        <v>1102</v>
      </c>
      <c r="E1900" t="s">
        <v>64</v>
      </c>
      <c r="F1900" t="s">
        <v>17115</v>
      </c>
      <c r="G1900" t="s">
        <v>18057</v>
      </c>
      <c r="H1900" t="s">
        <v>1112</v>
      </c>
      <c r="I1900" t="s">
        <v>1108</v>
      </c>
      <c r="J1900" t="s">
        <v>17116</v>
      </c>
      <c r="K1900" t="s">
        <v>17117</v>
      </c>
      <c r="L1900" t="s">
        <v>21</v>
      </c>
      <c r="M1900" t="s">
        <v>19177</v>
      </c>
      <c r="N1900" t="s">
        <v>848</v>
      </c>
      <c r="O1900" t="s">
        <v>640</v>
      </c>
      <c r="P1900" t="s">
        <v>623</v>
      </c>
    </row>
    <row r="1901">
      <c r="A1901">
        <f>HYPERLINK("http://bombeiros.sp.gov.br/hidrantes/03individual/26817.html","26817")</f>
      </c>
      <c r="B1901" t="s">
        <v>842</v>
      </c>
      <c r="C1901" t="s">
        <v>1097</v>
      </c>
      <c r="D1901" t="s">
        <v>1102</v>
      </c>
      <c r="E1901" t="s">
        <v>15</v>
      </c>
      <c r="F1901" t="s">
        <v>16068</v>
      </c>
      <c r="G1901" t="s">
        <v>18057</v>
      </c>
      <c r="H1901" t="s">
        <v>1112</v>
      </c>
      <c r="I1901" t="s">
        <v>1108</v>
      </c>
      <c r="J1901" t="s">
        <v>16069</v>
      </c>
      <c r="K1901" t="s">
        <v>16070</v>
      </c>
      <c r="L1901" t="s">
        <v>21</v>
      </c>
      <c r="M1901" t="s">
        <v>19177</v>
      </c>
      <c r="N1901" t="s">
        <v>848</v>
      </c>
      <c r="O1901" t="s">
        <v>640</v>
      </c>
      <c r="P1901" t="s">
        <v>623</v>
      </c>
    </row>
    <row r="1902">
      <c r="A1902">
        <f>HYPERLINK("http://bombeiros.sp.gov.br/hidrantes/03individual/27569.html","27569")</f>
      </c>
      <c r="B1902" t="s">
        <v>842</v>
      </c>
      <c r="C1902" t="s">
        <v>14642</v>
      </c>
      <c r="D1902" t="s">
        <v>14643</v>
      </c>
      <c r="E1902" t="s">
        <v>64</v>
      </c>
      <c r="F1902" t="s">
        <v>17441</v>
      </c>
      <c r="G1902" t="s">
        <v>18099</v>
      </c>
      <c r="H1902" t="s">
        <v>1107</v>
      </c>
      <c r="I1902" t="s">
        <v>1108</v>
      </c>
      <c r="J1902" t="s">
        <v>17442</v>
      </c>
      <c r="K1902" t="s">
        <v>17443</v>
      </c>
      <c r="L1902" t="s">
        <v>21</v>
      </c>
      <c r="M1902" t="s">
        <v>19177</v>
      </c>
      <c r="N1902" t="s">
        <v>714</v>
      </c>
      <c r="O1902" t="s">
        <v>10263</v>
      </c>
      <c r="P1902" t="s">
        <v>12</v>
      </c>
    </row>
    <row r="1903">
      <c r="A1903">
        <f>HYPERLINK("http://bombeiros.sp.gov.br/hidrantes/03individual/27664.html","27664")</f>
      </c>
      <c r="B1903" t="s">
        <v>842</v>
      </c>
      <c r="C1903" t="s">
        <v>14642</v>
      </c>
      <c r="D1903" t="s">
        <v>14643</v>
      </c>
      <c r="E1903" t="s">
        <v>64</v>
      </c>
      <c r="F1903" t="s">
        <v>17575</v>
      </c>
      <c r="G1903" t="s">
        <v>18099</v>
      </c>
      <c r="H1903" t="s">
        <v>1107</v>
      </c>
      <c r="I1903" t="s">
        <v>1108</v>
      </c>
      <c r="J1903" t="s">
        <v>17576</v>
      </c>
      <c r="K1903" t="s">
        <v>17577</v>
      </c>
      <c r="L1903" t="s">
        <v>21</v>
      </c>
      <c r="M1903" t="s">
        <v>19177</v>
      </c>
      <c r="N1903" t="s">
        <v>714</v>
      </c>
      <c r="O1903" t="s">
        <v>10263</v>
      </c>
      <c r="P1903" t="s">
        <v>12</v>
      </c>
    </row>
    <row r="1904">
      <c r="A1904">
        <f>HYPERLINK("http://bombeiros.sp.gov.br/hidrantes/03individual/290.html","290")</f>
      </c>
      <c r="B1904" t="s">
        <v>842</v>
      </c>
      <c r="C1904" t="s">
        <v>14642</v>
      </c>
      <c r="D1904" t="s">
        <v>14643</v>
      </c>
      <c r="E1904" t="s">
        <v>15</v>
      </c>
      <c r="F1904" t="s">
        <v>14644</v>
      </c>
      <c r="G1904" t="s">
        <v>18430</v>
      </c>
      <c r="H1904" t="s">
        <v>1112</v>
      </c>
      <c r="I1904" t="s">
        <v>1108</v>
      </c>
      <c r="J1904" t="s">
        <v>16044</v>
      </c>
      <c r="K1904" t="s">
        <v>16045</v>
      </c>
      <c r="L1904" t="s">
        <v>21</v>
      </c>
      <c r="M1904" t="s">
        <v>19177</v>
      </c>
      <c r="N1904" t="s">
        <v>714</v>
      </c>
      <c r="O1904" t="s">
        <v>10263</v>
      </c>
      <c r="P1904" t="s">
        <v>12</v>
      </c>
    </row>
    <row r="1905">
      <c r="A1905">
        <f>HYPERLINK("http://bombeiros.sp.gov.br/hidrantes/03individual/320.html","320")</f>
      </c>
      <c r="B1905" t="s">
        <v>842</v>
      </c>
      <c r="C1905" t="s">
        <v>14642</v>
      </c>
      <c r="D1905" t="s">
        <v>14643</v>
      </c>
      <c r="E1905" t="s">
        <v>15</v>
      </c>
      <c r="F1905" t="s">
        <v>14650</v>
      </c>
      <c r="G1905" t="s">
        <v>18173</v>
      </c>
      <c r="H1905" t="s">
        <v>1107</v>
      </c>
      <c r="I1905" t="s">
        <v>1108</v>
      </c>
      <c r="J1905" t="s">
        <v>14651</v>
      </c>
      <c r="K1905" t="s">
        <v>14652</v>
      </c>
      <c r="L1905" t="s">
        <v>21</v>
      </c>
      <c r="M1905" t="s">
        <v>19177</v>
      </c>
      <c r="N1905" t="s">
        <v>714</v>
      </c>
      <c r="O1905" t="s">
        <v>10263</v>
      </c>
      <c r="P1905" t="s">
        <v>12</v>
      </c>
    </row>
    <row r="1906">
      <c r="A1906">
        <f>HYPERLINK("http://bombeiros.sp.gov.br/hidrantes/03individual/397.html","397")</f>
      </c>
      <c r="B1906" t="s">
        <v>842</v>
      </c>
      <c r="C1906" t="s">
        <v>14642</v>
      </c>
      <c r="D1906" t="s">
        <v>14643</v>
      </c>
      <c r="E1906" t="s">
        <v>15</v>
      </c>
      <c r="F1906" t="s">
        <v>14656</v>
      </c>
      <c r="G1906" t="s">
        <v>18052</v>
      </c>
      <c r="H1906" t="s">
        <v>1112</v>
      </c>
      <c r="I1906" t="s">
        <v>1108</v>
      </c>
      <c r="J1906" t="s">
        <v>14657</v>
      </c>
      <c r="K1906" t="s">
        <v>14658</v>
      </c>
      <c r="L1906" t="s">
        <v>21</v>
      </c>
      <c r="M1906" t="s">
        <v>19177</v>
      </c>
      <c r="N1906" t="s">
        <v>714</v>
      </c>
      <c r="O1906" t="s">
        <v>10263</v>
      </c>
      <c r="P1906" t="s">
        <v>12</v>
      </c>
    </row>
    <row r="1907">
      <c r="A1907">
        <f>HYPERLINK("http://bombeiros.sp.gov.br/hidrantes/03individual/27209.html","27209")</f>
      </c>
      <c r="B1907" t="s">
        <v>842</v>
      </c>
      <c r="C1907" t="s">
        <v>14642</v>
      </c>
      <c r="D1907" t="s">
        <v>14643</v>
      </c>
      <c r="E1907" t="s">
        <v>15</v>
      </c>
      <c r="F1907" t="s">
        <v>16985</v>
      </c>
      <c r="G1907" t="s">
        <v>18052</v>
      </c>
      <c r="H1907" t="s">
        <v>1112</v>
      </c>
      <c r="I1907" t="s">
        <v>1108</v>
      </c>
      <c r="J1907" t="s">
        <v>16986</v>
      </c>
      <c r="K1907" t="s">
        <v>16987</v>
      </c>
      <c r="L1907" t="s">
        <v>21</v>
      </c>
      <c r="M1907" t="s">
        <v>19177</v>
      </c>
      <c r="N1907" t="s">
        <v>714</v>
      </c>
      <c r="O1907" t="s">
        <v>10263</v>
      </c>
      <c r="P1907" t="s">
        <v>12</v>
      </c>
    </row>
    <row r="1908">
      <c r="A1908">
        <f>HYPERLINK("http://bombeiros.sp.gov.br/hidrantes/03individual/60.html","60")</f>
      </c>
      <c r="B1908" t="s">
        <v>842</v>
      </c>
      <c r="C1908" t="s">
        <v>14642</v>
      </c>
      <c r="D1908" t="s">
        <v>14665</v>
      </c>
      <c r="E1908" t="s">
        <v>15</v>
      </c>
      <c r="F1908" t="s">
        <v>14666</v>
      </c>
      <c r="G1908" t="s">
        <v>18053</v>
      </c>
      <c r="H1908" t="s">
        <v>1112</v>
      </c>
      <c r="I1908" t="s">
        <v>1108</v>
      </c>
      <c r="J1908" t="s">
        <v>14667</v>
      </c>
      <c r="K1908" t="s">
        <v>14668</v>
      </c>
      <c r="L1908" t="s">
        <v>21</v>
      </c>
      <c r="M1908" t="s">
        <v>19177</v>
      </c>
      <c r="N1908" t="s">
        <v>714</v>
      </c>
      <c r="O1908" t="s">
        <v>10263</v>
      </c>
      <c r="P1908" t="s">
        <v>12</v>
      </c>
    </row>
    <row r="1909">
      <c r="A1909">
        <f>HYPERLINK("http://bombeiros.sp.gov.br/hidrantes/03individual/419.html","419")</f>
      </c>
      <c r="B1909" t="s">
        <v>842</v>
      </c>
      <c r="C1909" t="s">
        <v>14642</v>
      </c>
      <c r="D1909" t="s">
        <v>14665</v>
      </c>
      <c r="E1909" t="s">
        <v>15</v>
      </c>
      <c r="F1909" t="s">
        <v>14672</v>
      </c>
      <c r="G1909" t="s">
        <v>18174</v>
      </c>
      <c r="H1909" t="s">
        <v>1107</v>
      </c>
      <c r="I1909" t="s">
        <v>1108</v>
      </c>
      <c r="J1909" t="s">
        <v>14673</v>
      </c>
      <c r="K1909" t="s">
        <v>14674</v>
      </c>
      <c r="L1909" t="s">
        <v>21</v>
      </c>
      <c r="M1909" t="s">
        <v>19177</v>
      </c>
      <c r="N1909" t="s">
        <v>714</v>
      </c>
      <c r="O1909" t="s">
        <v>10263</v>
      </c>
      <c r="P1909" t="s">
        <v>12</v>
      </c>
    </row>
    <row r="1910">
      <c r="A1910">
        <f>HYPERLINK("http://bombeiros.sp.gov.br/hidrantes/03individual/421.html","421")</f>
      </c>
      <c r="B1910" t="s">
        <v>842</v>
      </c>
      <c r="C1910" t="s">
        <v>14642</v>
      </c>
      <c r="D1910" t="s">
        <v>14665</v>
      </c>
      <c r="E1910" t="s">
        <v>15</v>
      </c>
      <c r="F1910" t="s">
        <v>14675</v>
      </c>
      <c r="G1910" t="s">
        <v>18384</v>
      </c>
      <c r="H1910" t="s">
        <v>1107</v>
      </c>
      <c r="I1910" t="s">
        <v>1108</v>
      </c>
      <c r="J1910" t="s">
        <v>14676</v>
      </c>
      <c r="K1910" t="s">
        <v>14677</v>
      </c>
      <c r="L1910" t="s">
        <v>21</v>
      </c>
      <c r="M1910" t="s">
        <v>19177</v>
      </c>
      <c r="N1910" t="s">
        <v>97</v>
      </c>
      <c r="O1910" t="s">
        <v>937</v>
      </c>
      <c r="P1910" t="s">
        <v>12</v>
      </c>
    </row>
    <row r="1911">
      <c r="A1911">
        <f>HYPERLINK("http://bombeiros.sp.gov.br/hidrantes/03individual/2272.html","2272")</f>
      </c>
      <c r="B1911" t="s">
        <v>842</v>
      </c>
      <c r="C1911" t="s">
        <v>14642</v>
      </c>
      <c r="D1911" t="s">
        <v>14665</v>
      </c>
      <c r="E1911" t="s">
        <v>15</v>
      </c>
      <c r="F1911" t="s">
        <v>14681</v>
      </c>
      <c r="G1911" t="s">
        <v>18174</v>
      </c>
      <c r="H1911" t="s">
        <v>1107</v>
      </c>
      <c r="I1911" t="s">
        <v>1108</v>
      </c>
      <c r="J1911" t="s">
        <v>16046</v>
      </c>
      <c r="K1911" t="s">
        <v>16047</v>
      </c>
      <c r="L1911" t="s">
        <v>21</v>
      </c>
      <c r="M1911" t="s">
        <v>19177</v>
      </c>
      <c r="N1911" t="s">
        <v>97</v>
      </c>
      <c r="O1911" t="s">
        <v>937</v>
      </c>
      <c r="P1911" t="s">
        <v>12</v>
      </c>
    </row>
    <row r="1912">
      <c r="A1912">
        <f>HYPERLINK("http://bombeiros.sp.gov.br/hidrantes/03individual/17779.html","17779")</f>
      </c>
      <c r="B1912" t="s">
        <v>842</v>
      </c>
      <c r="C1912" t="s">
        <v>14642</v>
      </c>
      <c r="D1912" t="s">
        <v>14665</v>
      </c>
      <c r="E1912" t="s">
        <v>15</v>
      </c>
      <c r="F1912" t="s">
        <v>14684</v>
      </c>
      <c r="G1912" t="s">
        <v>18130</v>
      </c>
      <c r="H1912" t="s">
        <v>1112</v>
      </c>
      <c r="I1912" t="s">
        <v>1108</v>
      </c>
      <c r="J1912" t="s">
        <v>14685</v>
      </c>
      <c r="K1912" t="s">
        <v>14686</v>
      </c>
      <c r="L1912" t="s">
        <v>21</v>
      </c>
      <c r="M1912" t="s">
        <v>19177</v>
      </c>
      <c r="N1912" t="s">
        <v>714</v>
      </c>
      <c r="O1912" t="s">
        <v>10263</v>
      </c>
      <c r="P1912" t="s">
        <v>12</v>
      </c>
    </row>
    <row r="1913">
      <c r="A1913">
        <f>HYPERLINK("http://bombeiros.sp.gov.br/hidrantes/03individual/26891.html","26891")</f>
      </c>
      <c r="B1913" t="s">
        <v>842</v>
      </c>
      <c r="C1913" t="s">
        <v>14642</v>
      </c>
      <c r="D1913" t="s">
        <v>14665</v>
      </c>
      <c r="E1913" t="s">
        <v>15</v>
      </c>
      <c r="F1913" t="s">
        <v>16315</v>
      </c>
      <c r="G1913" t="s">
        <v>18173</v>
      </c>
      <c r="H1913" t="s">
        <v>1121</v>
      </c>
      <c r="I1913" t="s">
        <v>1117</v>
      </c>
      <c r="J1913" t="s">
        <v>16316</v>
      </c>
      <c r="K1913" t="s">
        <v>16317</v>
      </c>
      <c r="L1913" t="s">
        <v>21</v>
      </c>
      <c r="M1913" t="s">
        <v>19177</v>
      </c>
      <c r="N1913" t="s">
        <v>714</v>
      </c>
      <c r="O1913" t="s">
        <v>10263</v>
      </c>
      <c r="P1913" t="s">
        <v>12</v>
      </c>
    </row>
    <row r="1914">
      <c r="A1914">
        <f>HYPERLINK("http://bombeiros.sp.gov.br/hidrantes/03individual/2353.html","2353")</f>
      </c>
      <c r="B1914" t="s">
        <v>842</v>
      </c>
      <c r="C1914" t="s">
        <v>14642</v>
      </c>
      <c r="D1914" t="s">
        <v>14687</v>
      </c>
      <c r="E1914" t="s">
        <v>64</v>
      </c>
      <c r="F1914" t="s">
        <v>14688</v>
      </c>
      <c r="G1914" t="s">
        <v>18178</v>
      </c>
      <c r="H1914" t="s">
        <v>1112</v>
      </c>
      <c r="I1914" t="s">
        <v>1108</v>
      </c>
      <c r="J1914" t="s">
        <v>14689</v>
      </c>
      <c r="K1914" t="s">
        <v>14690</v>
      </c>
      <c r="L1914" t="s">
        <v>21</v>
      </c>
      <c r="M1914" t="s">
        <v>19177</v>
      </c>
      <c r="N1914" t="s">
        <v>714</v>
      </c>
      <c r="O1914" t="s">
        <v>10263</v>
      </c>
      <c r="P1914" t="s">
        <v>12</v>
      </c>
    </row>
    <row r="1915">
      <c r="A1915">
        <f>HYPERLINK("http://bombeiros.sp.gov.br/hidrantes/03individual/287.html","287")</f>
      </c>
      <c r="B1915" t="s">
        <v>842</v>
      </c>
      <c r="C1915" t="s">
        <v>14642</v>
      </c>
      <c r="D1915" t="s">
        <v>14687</v>
      </c>
      <c r="E1915" t="s">
        <v>15</v>
      </c>
      <c r="F1915" t="s">
        <v>14697</v>
      </c>
      <c r="G1915" t="s">
        <v>18062</v>
      </c>
      <c r="H1915" t="s">
        <v>1107</v>
      </c>
      <c r="I1915" t="s">
        <v>1108</v>
      </c>
      <c r="J1915" t="s">
        <v>16333</v>
      </c>
      <c r="K1915" t="s">
        <v>16334</v>
      </c>
      <c r="L1915" t="s">
        <v>21</v>
      </c>
      <c r="M1915" t="s">
        <v>19177</v>
      </c>
      <c r="N1915" t="s">
        <v>714</v>
      </c>
      <c r="O1915" t="s">
        <v>10263</v>
      </c>
      <c r="P1915" t="s">
        <v>12</v>
      </c>
    </row>
    <row r="1916">
      <c r="A1916">
        <f>HYPERLINK("http://bombeiros.sp.gov.br/hidrantes/03individual/2357.html","2357")</f>
      </c>
      <c r="B1916" t="s">
        <v>842</v>
      </c>
      <c r="C1916" t="s">
        <v>14642</v>
      </c>
      <c r="D1916" t="s">
        <v>14687</v>
      </c>
      <c r="E1916" t="s">
        <v>15</v>
      </c>
      <c r="F1916" t="s">
        <v>14736</v>
      </c>
      <c r="G1916" t="s">
        <v>18062</v>
      </c>
      <c r="H1916" t="s">
        <v>1107</v>
      </c>
      <c r="I1916" t="s">
        <v>1108</v>
      </c>
      <c r="J1916" t="s">
        <v>14737</v>
      </c>
      <c r="K1916" t="s">
        <v>14738</v>
      </c>
      <c r="L1916" t="s">
        <v>21</v>
      </c>
      <c r="M1916" t="s">
        <v>19177</v>
      </c>
      <c r="N1916" t="s">
        <v>714</v>
      </c>
      <c r="O1916" t="s">
        <v>10263</v>
      </c>
      <c r="P1916" t="s">
        <v>12</v>
      </c>
    </row>
    <row r="1917">
      <c r="A1917">
        <f>HYPERLINK("http://bombeiros.sp.gov.br/hidrantes/03individual/2369.html","2369")</f>
      </c>
      <c r="B1917" t="s">
        <v>842</v>
      </c>
      <c r="C1917" t="s">
        <v>14642</v>
      </c>
      <c r="D1917" t="s">
        <v>14687</v>
      </c>
      <c r="E1917" t="s">
        <v>15</v>
      </c>
      <c r="F1917" t="s">
        <v>14742</v>
      </c>
      <c r="G1917" t="s">
        <v>18062</v>
      </c>
      <c r="H1917" t="s">
        <v>1107</v>
      </c>
      <c r="I1917" t="s">
        <v>1108</v>
      </c>
      <c r="J1917" t="s">
        <v>14743</v>
      </c>
      <c r="K1917" t="s">
        <v>14744</v>
      </c>
      <c r="L1917" t="s">
        <v>21</v>
      </c>
      <c r="M1917" t="s">
        <v>19177</v>
      </c>
      <c r="N1917" t="s">
        <v>714</v>
      </c>
      <c r="O1917" t="s">
        <v>10263</v>
      </c>
      <c r="P1917" t="s">
        <v>12</v>
      </c>
    </row>
    <row r="1918">
      <c r="A1918">
        <f>HYPERLINK("http://bombeiros.sp.gov.br/hidrantes/03individual/10014.html","10014")</f>
      </c>
      <c r="B1918" t="s">
        <v>842</v>
      </c>
      <c r="C1918" t="s">
        <v>14642</v>
      </c>
      <c r="D1918" t="s">
        <v>14687</v>
      </c>
      <c r="E1918" t="s">
        <v>15</v>
      </c>
      <c r="F1918" t="s">
        <v>14751</v>
      </c>
      <c r="G1918" t="s">
        <v>18167</v>
      </c>
      <c r="H1918" t="s">
        <v>1112</v>
      </c>
      <c r="I1918" t="s">
        <v>1108</v>
      </c>
      <c r="J1918" t="s">
        <v>14752</v>
      </c>
      <c r="K1918" t="s">
        <v>14753</v>
      </c>
      <c r="L1918" t="s">
        <v>21</v>
      </c>
      <c r="M1918" t="s">
        <v>19177</v>
      </c>
      <c r="N1918" t="s">
        <v>714</v>
      </c>
      <c r="O1918" t="s">
        <v>10263</v>
      </c>
      <c r="P1918" t="s">
        <v>12</v>
      </c>
    </row>
    <row r="1919">
      <c r="A1919">
        <f>HYPERLINK("http://bombeiros.sp.gov.br/hidrantes/03individual/67.html","67")</f>
      </c>
      <c r="B1919" t="s">
        <v>842</v>
      </c>
      <c r="C1919" t="s">
        <v>14642</v>
      </c>
      <c r="D1919" t="s">
        <v>14763</v>
      </c>
      <c r="E1919" t="s">
        <v>15</v>
      </c>
      <c r="F1919" t="s">
        <v>14764</v>
      </c>
      <c r="G1919" t="s">
        <v>18053</v>
      </c>
      <c r="H1919" t="s">
        <v>1112</v>
      </c>
      <c r="I1919" t="s">
        <v>1108</v>
      </c>
      <c r="J1919" t="s">
        <v>16117</v>
      </c>
      <c r="K1919" t="s">
        <v>16118</v>
      </c>
      <c r="L1919" t="s">
        <v>21</v>
      </c>
      <c r="M1919" t="s">
        <v>19177</v>
      </c>
      <c r="N1919" t="s">
        <v>97</v>
      </c>
      <c r="O1919" t="s">
        <v>937</v>
      </c>
      <c r="P1919" t="s">
        <v>12</v>
      </c>
    </row>
    <row r="1920">
      <c r="A1920">
        <f>HYPERLINK("http://bombeiros.sp.gov.br/hidrantes/03individual/115.html","115")</f>
      </c>
      <c r="B1920" t="s">
        <v>842</v>
      </c>
      <c r="C1920" t="s">
        <v>14642</v>
      </c>
      <c r="D1920" t="s">
        <v>14763</v>
      </c>
      <c r="E1920" t="s">
        <v>15</v>
      </c>
      <c r="F1920" t="s">
        <v>14767</v>
      </c>
      <c r="G1920" t="s">
        <v>18046</v>
      </c>
      <c r="H1920" t="s">
        <v>1112</v>
      </c>
      <c r="I1920" t="s">
        <v>1108</v>
      </c>
      <c r="J1920" t="s">
        <v>14768</v>
      </c>
      <c r="K1920" t="s">
        <v>14769</v>
      </c>
      <c r="L1920" t="s">
        <v>21</v>
      </c>
      <c r="M1920" t="s">
        <v>19177</v>
      </c>
      <c r="N1920" t="s">
        <v>97</v>
      </c>
      <c r="O1920" t="s">
        <v>937</v>
      </c>
      <c r="P1920" t="s">
        <v>12</v>
      </c>
    </row>
    <row r="1921">
      <c r="A1921">
        <f>HYPERLINK("http://bombeiros.sp.gov.br/hidrantes/03individual/4269.html","4269")</f>
      </c>
      <c r="B1921" t="s">
        <v>842</v>
      </c>
      <c r="C1921" t="s">
        <v>14642</v>
      </c>
      <c r="D1921" t="s">
        <v>14763</v>
      </c>
      <c r="E1921" t="s">
        <v>15</v>
      </c>
      <c r="F1921" t="s">
        <v>14773</v>
      </c>
      <c r="G1921" t="s">
        <v>18106</v>
      </c>
      <c r="H1921" t="s">
        <v>1107</v>
      </c>
      <c r="I1921" t="s">
        <v>1108</v>
      </c>
      <c r="J1921" t="s">
        <v>14774</v>
      </c>
      <c r="K1921" t="s">
        <v>14775</v>
      </c>
      <c r="L1921" t="s">
        <v>21</v>
      </c>
      <c r="M1921" t="s">
        <v>19177</v>
      </c>
      <c r="N1921" t="s">
        <v>97</v>
      </c>
      <c r="O1921" t="s">
        <v>937</v>
      </c>
      <c r="P1921" t="s">
        <v>12</v>
      </c>
    </row>
    <row r="1922">
      <c r="A1922">
        <f>HYPERLINK("http://bombeiros.sp.gov.br/hidrantes/03individual/2600.html","2600")</f>
      </c>
      <c r="B1922" t="s">
        <v>842</v>
      </c>
      <c r="C1922" t="s">
        <v>14642</v>
      </c>
      <c r="D1922" t="s">
        <v>14776</v>
      </c>
      <c r="E1922" t="s">
        <v>64</v>
      </c>
      <c r="F1922" t="s">
        <v>14777</v>
      </c>
      <c r="G1922" t="s">
        <v>18048</v>
      </c>
      <c r="H1922" t="s">
        <v>1107</v>
      </c>
      <c r="I1922" t="s">
        <v>1108</v>
      </c>
      <c r="J1922" t="s">
        <v>14778</v>
      </c>
      <c r="K1922" t="s">
        <v>14779</v>
      </c>
      <c r="L1922" t="s">
        <v>36</v>
      </c>
      <c r="M1922" t="s">
        <v>19177</v>
      </c>
      <c r="N1922" t="s">
        <v>714</v>
      </c>
      <c r="O1922" t="s">
        <v>10263</v>
      </c>
      <c r="P1922" t="s">
        <v>12</v>
      </c>
    </row>
    <row r="1923">
      <c r="A1923">
        <f>HYPERLINK("http://bombeiros.sp.gov.br/hidrantes/03individual/2604.html","2604")</f>
      </c>
      <c r="B1923" t="s">
        <v>842</v>
      </c>
      <c r="C1923" t="s">
        <v>14642</v>
      </c>
      <c r="D1923" t="s">
        <v>14776</v>
      </c>
      <c r="E1923" t="s">
        <v>64</v>
      </c>
      <c r="F1923" t="s">
        <v>14780</v>
      </c>
      <c r="G1923" t="s">
        <v>18167</v>
      </c>
      <c r="H1923" t="s">
        <v>1107</v>
      </c>
      <c r="I1923" t="s">
        <v>1108</v>
      </c>
      <c r="J1923" t="s">
        <v>14781</v>
      </c>
      <c r="K1923" t="s">
        <v>14782</v>
      </c>
      <c r="L1923" t="s">
        <v>21</v>
      </c>
      <c r="M1923" t="s">
        <v>19177</v>
      </c>
      <c r="N1923" t="s">
        <v>714</v>
      </c>
      <c r="O1923" t="s">
        <v>10263</v>
      </c>
      <c r="P1923" t="s">
        <v>12</v>
      </c>
    </row>
    <row r="1924">
      <c r="A1924">
        <f>HYPERLINK("http://bombeiros.sp.gov.br/hidrantes/03individual/2615.html","2615")</f>
      </c>
      <c r="B1924" t="s">
        <v>842</v>
      </c>
      <c r="C1924" t="s">
        <v>14642</v>
      </c>
      <c r="D1924" t="s">
        <v>14776</v>
      </c>
      <c r="E1924" t="s">
        <v>64</v>
      </c>
      <c r="F1924" t="s">
        <v>14783</v>
      </c>
      <c r="G1924" t="s">
        <v>18048</v>
      </c>
      <c r="H1924" t="s">
        <v>1107</v>
      </c>
      <c r="I1924" t="s">
        <v>1108</v>
      </c>
      <c r="J1924" t="s">
        <v>14784</v>
      </c>
      <c r="K1924" t="s">
        <v>14785</v>
      </c>
      <c r="L1924" t="s">
        <v>21</v>
      </c>
      <c r="M1924" t="s">
        <v>19177</v>
      </c>
      <c r="N1924" t="s">
        <v>714</v>
      </c>
      <c r="O1924" t="s">
        <v>10263</v>
      </c>
      <c r="P1924" t="s">
        <v>12</v>
      </c>
    </row>
    <row r="1925">
      <c r="A1925">
        <f>HYPERLINK("http://bombeiros.sp.gov.br/hidrantes/03individual/2720.html","2720")</f>
      </c>
      <c r="B1925" t="s">
        <v>842</v>
      </c>
      <c r="C1925" t="s">
        <v>14642</v>
      </c>
      <c r="D1925" t="s">
        <v>14776</v>
      </c>
      <c r="E1925" t="s">
        <v>64</v>
      </c>
      <c r="F1925" t="s">
        <v>1115</v>
      </c>
      <c r="G1925" t="s">
        <v>18048</v>
      </c>
      <c r="H1925" t="s">
        <v>1107</v>
      </c>
      <c r="I1925" t="s">
        <v>1108</v>
      </c>
      <c r="J1925" t="s">
        <v>14786</v>
      </c>
      <c r="K1925" t="s">
        <v>14787</v>
      </c>
      <c r="L1925" t="s">
        <v>36</v>
      </c>
      <c r="M1925" t="s">
        <v>19177</v>
      </c>
      <c r="N1925" t="s">
        <v>714</v>
      </c>
      <c r="O1925" t="s">
        <v>10263</v>
      </c>
      <c r="P1925" t="s">
        <v>12</v>
      </c>
    </row>
    <row r="1926">
      <c r="A1926">
        <f>HYPERLINK("http://bombeiros.sp.gov.br/hidrantes/03individual/41.html","41")</f>
      </c>
      <c r="B1926" t="s">
        <v>842</v>
      </c>
      <c r="C1926" t="s">
        <v>14642</v>
      </c>
      <c r="D1926" t="s">
        <v>14776</v>
      </c>
      <c r="E1926" t="s">
        <v>15</v>
      </c>
      <c r="F1926" t="s">
        <v>14788</v>
      </c>
      <c r="G1926" t="s">
        <v>18394</v>
      </c>
      <c r="H1926" t="s">
        <v>1107</v>
      </c>
      <c r="I1926" t="s">
        <v>1108</v>
      </c>
      <c r="J1926" t="s">
        <v>14789</v>
      </c>
      <c r="K1926" t="s">
        <v>14790</v>
      </c>
      <c r="L1926" t="s">
        <v>21</v>
      </c>
      <c r="M1926" t="s">
        <v>19177</v>
      </c>
      <c r="N1926" t="s">
        <v>714</v>
      </c>
      <c r="O1926" t="s">
        <v>10263</v>
      </c>
      <c r="P1926" t="s">
        <v>12</v>
      </c>
    </row>
    <row r="1927">
      <c r="A1927">
        <f>HYPERLINK("http://bombeiros.sp.gov.br/hidrantes/03individual/490.html","490")</f>
      </c>
      <c r="B1927" t="s">
        <v>842</v>
      </c>
      <c r="C1927" t="s">
        <v>14642</v>
      </c>
      <c r="D1927" t="s">
        <v>14776</v>
      </c>
      <c r="E1927" t="s">
        <v>15</v>
      </c>
      <c r="F1927" t="s">
        <v>14809</v>
      </c>
      <c r="G1927" t="s">
        <v>18077</v>
      </c>
      <c r="H1927" t="s">
        <v>1112</v>
      </c>
      <c r="I1927" t="s">
        <v>1108</v>
      </c>
      <c r="J1927" t="s">
        <v>14810</v>
      </c>
      <c r="K1927" t="s">
        <v>14811</v>
      </c>
      <c r="L1927" t="s">
        <v>21</v>
      </c>
      <c r="M1927" t="s">
        <v>19177</v>
      </c>
      <c r="N1927" t="s">
        <v>714</v>
      </c>
      <c r="O1927" t="s">
        <v>10263</v>
      </c>
      <c r="P1927" t="s">
        <v>12</v>
      </c>
    </row>
    <row r="1928">
      <c r="A1928">
        <f>HYPERLINK("http://bombeiros.sp.gov.br/hidrantes/03individual/2576.html","2576")</f>
      </c>
      <c r="B1928" t="s">
        <v>842</v>
      </c>
      <c r="C1928" t="s">
        <v>14642</v>
      </c>
      <c r="D1928" t="s">
        <v>14776</v>
      </c>
      <c r="E1928" t="s">
        <v>15</v>
      </c>
      <c r="F1928" t="s">
        <v>14824</v>
      </c>
      <c r="G1928" t="s">
        <v>18048</v>
      </c>
      <c r="H1928" t="s">
        <v>1107</v>
      </c>
      <c r="I1928" t="s">
        <v>1108</v>
      </c>
      <c r="J1928" t="s">
        <v>14825</v>
      </c>
      <c r="K1928" t="s">
        <v>14826</v>
      </c>
      <c r="L1928" t="s">
        <v>21</v>
      </c>
      <c r="M1928" t="s">
        <v>19177</v>
      </c>
      <c r="N1928" t="s">
        <v>714</v>
      </c>
      <c r="O1928" t="s">
        <v>10263</v>
      </c>
      <c r="P1928" t="s">
        <v>12</v>
      </c>
    </row>
    <row r="1929">
      <c r="A1929">
        <f>HYPERLINK("http://bombeiros.sp.gov.br/hidrantes/03individual/2330.html","2330")</f>
      </c>
      <c r="B1929" t="s">
        <v>842</v>
      </c>
      <c r="C1929" t="s">
        <v>14642</v>
      </c>
      <c r="D1929" t="s">
        <v>14833</v>
      </c>
      <c r="E1929" t="s">
        <v>64</v>
      </c>
      <c r="F1929" t="s">
        <v>14837</v>
      </c>
      <c r="G1929" t="s">
        <v>18099</v>
      </c>
      <c r="H1929" t="s">
        <v>1107</v>
      </c>
      <c r="I1929" t="s">
        <v>1108</v>
      </c>
      <c r="J1929" t="s">
        <v>14838</v>
      </c>
      <c r="K1929" t="s">
        <v>14839</v>
      </c>
      <c r="L1929" t="s">
        <v>21</v>
      </c>
      <c r="M1929" t="s">
        <v>19177</v>
      </c>
      <c r="N1929" t="s">
        <v>714</v>
      </c>
      <c r="O1929" t="s">
        <v>10263</v>
      </c>
      <c r="P1929" t="s">
        <v>12</v>
      </c>
    </row>
    <row r="1930">
      <c r="A1930">
        <f>HYPERLINK("http://bombeiros.sp.gov.br/hidrantes/03individual/295.html","295")</f>
      </c>
      <c r="B1930" t="s">
        <v>842</v>
      </c>
      <c r="C1930" t="s">
        <v>14642</v>
      </c>
      <c r="D1930" t="s">
        <v>14833</v>
      </c>
      <c r="E1930" t="s">
        <v>15</v>
      </c>
      <c r="F1930" t="s">
        <v>14846</v>
      </c>
      <c r="G1930" t="s">
        <v>18062</v>
      </c>
      <c r="H1930" t="s">
        <v>1107</v>
      </c>
      <c r="I1930" t="s">
        <v>1108</v>
      </c>
      <c r="J1930" t="s">
        <v>14847</v>
      </c>
      <c r="K1930" t="s">
        <v>14848</v>
      </c>
      <c r="L1930" t="s">
        <v>21</v>
      </c>
      <c r="M1930" t="s">
        <v>19177</v>
      </c>
      <c r="N1930" t="s">
        <v>714</v>
      </c>
      <c r="O1930" t="s">
        <v>10263</v>
      </c>
      <c r="P1930" t="s">
        <v>12</v>
      </c>
    </row>
    <row r="1931">
      <c r="A1931">
        <f>HYPERLINK("http://bombeiros.sp.gov.br/hidrantes/03individual/315.html","315")</f>
      </c>
      <c r="B1931" t="s">
        <v>842</v>
      </c>
      <c r="C1931" t="s">
        <v>14642</v>
      </c>
      <c r="D1931" t="s">
        <v>14833</v>
      </c>
      <c r="E1931" t="s">
        <v>15</v>
      </c>
      <c r="F1931" t="s">
        <v>14852</v>
      </c>
      <c r="G1931" t="s">
        <v>18099</v>
      </c>
      <c r="H1931" t="s">
        <v>1121</v>
      </c>
      <c r="I1931" t="s">
        <v>1117</v>
      </c>
      <c r="J1931" t="s">
        <v>14853</v>
      </c>
      <c r="K1931" t="s">
        <v>14854</v>
      </c>
      <c r="L1931" t="s">
        <v>21</v>
      </c>
      <c r="M1931" t="s">
        <v>19177</v>
      </c>
      <c r="N1931" t="s">
        <v>714</v>
      </c>
      <c r="O1931" t="s">
        <v>10263</v>
      </c>
      <c r="P1931" t="s">
        <v>12</v>
      </c>
    </row>
    <row r="1932">
      <c r="A1932">
        <f>HYPERLINK("http://bombeiros.sp.gov.br/hidrantes/03individual/324.html","324")</f>
      </c>
      <c r="B1932" t="s">
        <v>842</v>
      </c>
      <c r="C1932" t="s">
        <v>14642</v>
      </c>
      <c r="D1932" t="s">
        <v>14833</v>
      </c>
      <c r="E1932" t="s">
        <v>15</v>
      </c>
      <c r="F1932" t="s">
        <v>14855</v>
      </c>
      <c r="G1932" t="s">
        <v>18063</v>
      </c>
      <c r="H1932" t="s">
        <v>1107</v>
      </c>
      <c r="I1932" t="s">
        <v>1108</v>
      </c>
      <c r="J1932" t="s">
        <v>14856</v>
      </c>
      <c r="K1932" t="s">
        <v>14857</v>
      </c>
      <c r="L1932" t="s">
        <v>21</v>
      </c>
      <c r="M1932" t="s">
        <v>19177</v>
      </c>
      <c r="N1932" t="s">
        <v>714</v>
      </c>
      <c r="O1932" t="s">
        <v>10263</v>
      </c>
      <c r="P1932" t="s">
        <v>12</v>
      </c>
    </row>
    <row r="1933">
      <c r="A1933">
        <f>HYPERLINK("http://bombeiros.sp.gov.br/hidrantes/03individual/371.html","371")</f>
      </c>
      <c r="B1933" t="s">
        <v>842</v>
      </c>
      <c r="C1933" t="s">
        <v>14642</v>
      </c>
      <c r="D1933" t="s">
        <v>14833</v>
      </c>
      <c r="E1933" t="s">
        <v>15</v>
      </c>
      <c r="F1933" t="s">
        <v>14858</v>
      </c>
      <c r="G1933" t="s">
        <v>18062</v>
      </c>
      <c r="H1933" t="s">
        <v>1107</v>
      </c>
      <c r="I1933" t="s">
        <v>1108</v>
      </c>
      <c r="J1933" t="s">
        <v>14859</v>
      </c>
      <c r="K1933" t="s">
        <v>14860</v>
      </c>
      <c r="L1933" t="s">
        <v>21</v>
      </c>
      <c r="M1933" t="s">
        <v>19177</v>
      </c>
      <c r="N1933" t="s">
        <v>714</v>
      </c>
      <c r="O1933" t="s">
        <v>10263</v>
      </c>
      <c r="P1933" t="s">
        <v>12</v>
      </c>
    </row>
    <row r="1934">
      <c r="A1934">
        <f>HYPERLINK("http://bombeiros.sp.gov.br/hidrantes/03individual/417.html","417")</f>
      </c>
      <c r="B1934" t="s">
        <v>842</v>
      </c>
      <c r="C1934" t="s">
        <v>14642</v>
      </c>
      <c r="D1934" t="s">
        <v>14833</v>
      </c>
      <c r="E1934" t="s">
        <v>15</v>
      </c>
      <c r="F1934" t="s">
        <v>14861</v>
      </c>
      <c r="G1934" t="s">
        <v>18269</v>
      </c>
      <c r="H1934" t="s">
        <v>1112</v>
      </c>
      <c r="I1934" t="s">
        <v>1108</v>
      </c>
      <c r="J1934" t="s">
        <v>16897</v>
      </c>
      <c r="K1934" t="s">
        <v>16898</v>
      </c>
      <c r="L1934" t="s">
        <v>21</v>
      </c>
      <c r="M1934" t="s">
        <v>19177</v>
      </c>
      <c r="N1934" t="s">
        <v>714</v>
      </c>
      <c r="O1934" t="s">
        <v>10263</v>
      </c>
      <c r="P1934" t="s">
        <v>12</v>
      </c>
    </row>
    <row r="1935">
      <c r="A1935">
        <f>HYPERLINK("http://bombeiros.sp.gov.br/hidrantes/03individual/450.html","450")</f>
      </c>
      <c r="B1935" t="s">
        <v>842</v>
      </c>
      <c r="C1935" t="s">
        <v>14642</v>
      </c>
      <c r="D1935" t="s">
        <v>14833</v>
      </c>
      <c r="E1935" t="s">
        <v>15</v>
      </c>
      <c r="F1935" t="s">
        <v>14864</v>
      </c>
      <c r="G1935" t="s">
        <v>18174</v>
      </c>
      <c r="H1935" t="s">
        <v>1107</v>
      </c>
      <c r="I1935" t="s">
        <v>1108</v>
      </c>
      <c r="J1935" t="s">
        <v>14865</v>
      </c>
      <c r="K1935" t="s">
        <v>14866</v>
      </c>
      <c r="L1935" t="s">
        <v>21</v>
      </c>
      <c r="M1935" t="s">
        <v>19177</v>
      </c>
      <c r="N1935" t="s">
        <v>714</v>
      </c>
      <c r="O1935" t="s">
        <v>10263</v>
      </c>
      <c r="P1935" t="s">
        <v>12</v>
      </c>
    </row>
    <row r="1936">
      <c r="A1936">
        <f>HYPERLINK("http://bombeiros.sp.gov.br/hidrantes/03individual/451.html","451")</f>
      </c>
      <c r="B1936" t="s">
        <v>842</v>
      </c>
      <c r="C1936" t="s">
        <v>14642</v>
      </c>
      <c r="D1936" t="s">
        <v>14833</v>
      </c>
      <c r="E1936" t="s">
        <v>15</v>
      </c>
      <c r="F1936" t="s">
        <v>14867</v>
      </c>
      <c r="G1936" t="s">
        <v>18114</v>
      </c>
      <c r="H1936" t="s">
        <v>1107</v>
      </c>
      <c r="I1936" t="s">
        <v>1108</v>
      </c>
      <c r="J1936" t="s">
        <v>15858</v>
      </c>
      <c r="K1936" t="s">
        <v>15859</v>
      </c>
      <c r="L1936" t="s">
        <v>21</v>
      </c>
      <c r="M1936" t="s">
        <v>19177</v>
      </c>
      <c r="N1936" t="s">
        <v>714</v>
      </c>
      <c r="O1936" t="s">
        <v>10263</v>
      </c>
      <c r="P1936" t="s">
        <v>12</v>
      </c>
    </row>
    <row r="1937">
      <c r="A1937">
        <f>HYPERLINK("http://bombeiros.sp.gov.br/hidrantes/03individual/473.html","473")</f>
      </c>
      <c r="B1937" t="s">
        <v>842</v>
      </c>
      <c r="C1937" t="s">
        <v>14642</v>
      </c>
      <c r="D1937" t="s">
        <v>14833</v>
      </c>
      <c r="E1937" t="s">
        <v>15</v>
      </c>
      <c r="F1937" t="s">
        <v>14870</v>
      </c>
      <c r="G1937" t="s">
        <v>18114</v>
      </c>
      <c r="H1937" t="s">
        <v>1107</v>
      </c>
      <c r="I1937" t="s">
        <v>1108</v>
      </c>
      <c r="J1937" t="s">
        <v>14871</v>
      </c>
      <c r="K1937" t="s">
        <v>14872</v>
      </c>
      <c r="L1937" t="s">
        <v>21</v>
      </c>
      <c r="M1937" t="s">
        <v>19177</v>
      </c>
      <c r="N1937" t="s">
        <v>714</v>
      </c>
      <c r="O1937" t="s">
        <v>10263</v>
      </c>
      <c r="P1937" t="s">
        <v>12</v>
      </c>
    </row>
    <row r="1938">
      <c r="A1938">
        <f>HYPERLINK("http://bombeiros.sp.gov.br/hidrantes/03individual/2318.html","2318")</f>
      </c>
      <c r="B1938" t="s">
        <v>842</v>
      </c>
      <c r="C1938" t="s">
        <v>14642</v>
      </c>
      <c r="D1938" t="s">
        <v>14833</v>
      </c>
      <c r="E1938" t="s">
        <v>15</v>
      </c>
      <c r="F1938" t="s">
        <v>14873</v>
      </c>
      <c r="G1938" t="s">
        <v>18062</v>
      </c>
      <c r="H1938" t="s">
        <v>1107</v>
      </c>
      <c r="I1938" t="s">
        <v>1108</v>
      </c>
      <c r="J1938" t="s">
        <v>14874</v>
      </c>
      <c r="K1938" t="s">
        <v>14875</v>
      </c>
      <c r="L1938" t="s">
        <v>21</v>
      </c>
      <c r="M1938" t="s">
        <v>19177</v>
      </c>
      <c r="N1938" t="s">
        <v>714</v>
      </c>
      <c r="O1938" t="s">
        <v>10263</v>
      </c>
      <c r="P1938" t="s">
        <v>12</v>
      </c>
    </row>
    <row r="1939">
      <c r="A1939">
        <f>HYPERLINK("http://bombeiros.sp.gov.br/hidrantes/03individual/2339.html","2339")</f>
      </c>
      <c r="B1939" t="s">
        <v>842</v>
      </c>
      <c r="C1939" t="s">
        <v>14642</v>
      </c>
      <c r="D1939" t="s">
        <v>14833</v>
      </c>
      <c r="E1939" t="s">
        <v>15</v>
      </c>
      <c r="F1939" t="s">
        <v>14882</v>
      </c>
      <c r="G1939" t="s">
        <v>18063</v>
      </c>
      <c r="H1939" t="s">
        <v>1107</v>
      </c>
      <c r="I1939" t="s">
        <v>1108</v>
      </c>
      <c r="J1939" t="s">
        <v>14883</v>
      </c>
      <c r="K1939" t="s">
        <v>14884</v>
      </c>
      <c r="L1939" t="s">
        <v>21</v>
      </c>
      <c r="M1939" t="s">
        <v>19177</v>
      </c>
      <c r="N1939" t="s">
        <v>714</v>
      </c>
      <c r="O1939" t="s">
        <v>10263</v>
      </c>
      <c r="P1939" t="s">
        <v>12</v>
      </c>
    </row>
    <row r="1940">
      <c r="A1940">
        <f>HYPERLINK("http://bombeiros.sp.gov.br/hidrantes/03individual/1988.html","1988")</f>
      </c>
      <c r="B1940" t="s">
        <v>842</v>
      </c>
      <c r="C1940" t="s">
        <v>14642</v>
      </c>
      <c r="D1940" t="s">
        <v>14888</v>
      </c>
      <c r="E1940" t="s">
        <v>64</v>
      </c>
      <c r="F1940" t="s">
        <v>14889</v>
      </c>
      <c r="G1940" t="s">
        <v>18130</v>
      </c>
      <c r="H1940" t="s">
        <v>1112</v>
      </c>
      <c r="I1940" t="s">
        <v>1108</v>
      </c>
      <c r="J1940" t="s">
        <v>14890</v>
      </c>
      <c r="K1940" t="s">
        <v>14891</v>
      </c>
      <c r="L1940" t="s">
        <v>36</v>
      </c>
      <c r="M1940" t="s">
        <v>19177</v>
      </c>
      <c r="N1940" t="s">
        <v>714</v>
      </c>
      <c r="O1940" t="s">
        <v>10263</v>
      </c>
      <c r="P1940" t="s">
        <v>12</v>
      </c>
    </row>
    <row r="1941">
      <c r="A1941">
        <f>HYPERLINK("http://bombeiros.sp.gov.br/hidrantes/03individual/2383.html","2383")</f>
      </c>
      <c r="B1941" t="s">
        <v>842</v>
      </c>
      <c r="C1941" t="s">
        <v>14642</v>
      </c>
      <c r="D1941" t="s">
        <v>14888</v>
      </c>
      <c r="E1941" t="s">
        <v>64</v>
      </c>
      <c r="F1941" t="s">
        <v>14895</v>
      </c>
      <c r="G1941" t="s">
        <v>18099</v>
      </c>
      <c r="H1941" t="s">
        <v>1107</v>
      </c>
      <c r="I1941" t="s">
        <v>1108</v>
      </c>
      <c r="J1941" t="s">
        <v>14896</v>
      </c>
      <c r="K1941" t="s">
        <v>14897</v>
      </c>
      <c r="L1941" t="s">
        <v>21</v>
      </c>
      <c r="M1941" t="s">
        <v>19177</v>
      </c>
      <c r="N1941" t="s">
        <v>714</v>
      </c>
      <c r="O1941" t="s">
        <v>10263</v>
      </c>
      <c r="P1941" t="s">
        <v>12</v>
      </c>
    </row>
    <row r="1942">
      <c r="A1942">
        <f>HYPERLINK("http://bombeiros.sp.gov.br/hidrantes/03individual/26487.html","26487")</f>
      </c>
      <c r="B1942" t="s">
        <v>842</v>
      </c>
      <c r="C1942" t="s">
        <v>14642</v>
      </c>
      <c r="D1942" t="s">
        <v>14888</v>
      </c>
      <c r="E1942" t="s">
        <v>64</v>
      </c>
      <c r="F1942" t="s">
        <v>14898</v>
      </c>
      <c r="G1942" t="s">
        <v>18398</v>
      </c>
      <c r="H1942" t="s">
        <v>1112</v>
      </c>
      <c r="I1942" t="s">
        <v>1108</v>
      </c>
      <c r="J1942" t="s">
        <v>14899</v>
      </c>
      <c r="K1942" t="s">
        <v>14900</v>
      </c>
      <c r="L1942" t="s">
        <v>21</v>
      </c>
      <c r="M1942" t="s">
        <v>19177</v>
      </c>
      <c r="N1942" t="s">
        <v>714</v>
      </c>
      <c r="O1942" t="s">
        <v>10263</v>
      </c>
      <c r="P1942" t="s">
        <v>12</v>
      </c>
    </row>
    <row r="1943">
      <c r="A1943">
        <f>HYPERLINK("http://bombeiros.sp.gov.br/hidrantes/03individual/2010.html","2010")</f>
      </c>
      <c r="B1943" t="s">
        <v>842</v>
      </c>
      <c r="C1943" t="s">
        <v>14642</v>
      </c>
      <c r="D1943" t="s">
        <v>14888</v>
      </c>
      <c r="E1943" t="s">
        <v>15</v>
      </c>
      <c r="F1943" t="s">
        <v>14904</v>
      </c>
      <c r="G1943" t="s">
        <v>18545</v>
      </c>
      <c r="H1943" t="s">
        <v>1107</v>
      </c>
      <c r="I1943" t="s">
        <v>1108</v>
      </c>
      <c r="J1943" t="s">
        <v>14905</v>
      </c>
      <c r="K1943" t="s">
        <v>14906</v>
      </c>
      <c r="L1943" t="s">
        <v>21</v>
      </c>
      <c r="M1943" t="s">
        <v>19177</v>
      </c>
      <c r="N1943" t="s">
        <v>714</v>
      </c>
      <c r="O1943" t="s">
        <v>10263</v>
      </c>
      <c r="P1943" t="s">
        <v>12</v>
      </c>
    </row>
    <row r="1944">
      <c r="A1944">
        <f>HYPERLINK("http://bombeiros.sp.gov.br/hidrantes/03individual/2012.html","2012")</f>
      </c>
      <c r="B1944" t="s">
        <v>842</v>
      </c>
      <c r="C1944" t="s">
        <v>14642</v>
      </c>
      <c r="D1944" t="s">
        <v>14888</v>
      </c>
      <c r="E1944" t="s">
        <v>15</v>
      </c>
      <c r="F1944" t="s">
        <v>14907</v>
      </c>
      <c r="G1944" t="s">
        <v>18545</v>
      </c>
      <c r="H1944" t="s">
        <v>1107</v>
      </c>
      <c r="I1944" t="s">
        <v>1108</v>
      </c>
      <c r="J1944" t="s">
        <v>14908</v>
      </c>
      <c r="K1944" t="s">
        <v>14909</v>
      </c>
      <c r="L1944" t="s">
        <v>21</v>
      </c>
      <c r="M1944" t="s">
        <v>19177</v>
      </c>
      <c r="N1944" t="s">
        <v>714</v>
      </c>
      <c r="O1944" t="s">
        <v>10263</v>
      </c>
      <c r="P1944" t="s">
        <v>12</v>
      </c>
    </row>
    <row r="1945">
      <c r="A1945">
        <f>HYPERLINK("http://bombeiros.sp.gov.br/hidrantes/03individual/289.html","289")</f>
      </c>
      <c r="B1945" t="s">
        <v>842</v>
      </c>
      <c r="C1945" t="s">
        <v>14642</v>
      </c>
      <c r="D1945" t="s">
        <v>14916</v>
      </c>
      <c r="E1945" t="s">
        <v>64</v>
      </c>
      <c r="F1945" t="s">
        <v>14917</v>
      </c>
      <c r="G1945" t="s">
        <v>18147</v>
      </c>
      <c r="H1945" t="s">
        <v>1112</v>
      </c>
      <c r="I1945" t="s">
        <v>1108</v>
      </c>
      <c r="J1945" t="s">
        <v>16336</v>
      </c>
      <c r="K1945" t="s">
        <v>16337</v>
      </c>
      <c r="L1945" t="s">
        <v>21</v>
      </c>
      <c r="M1945" t="s">
        <v>19177</v>
      </c>
      <c r="N1945" t="s">
        <v>714</v>
      </c>
      <c r="O1945" t="s">
        <v>10263</v>
      </c>
      <c r="P1945" t="s">
        <v>12</v>
      </c>
    </row>
    <row r="1946">
      <c r="A1946">
        <f>HYPERLINK("http://bombeiros.sp.gov.br/hidrantes/03individual/2409.html","2409")</f>
      </c>
      <c r="B1946" t="s">
        <v>842</v>
      </c>
      <c r="C1946" t="s">
        <v>14642</v>
      </c>
      <c r="D1946" t="s">
        <v>14916</v>
      </c>
      <c r="E1946" t="s">
        <v>64</v>
      </c>
      <c r="F1946" t="s">
        <v>14920</v>
      </c>
      <c r="G1946" t="s">
        <v>18112</v>
      </c>
      <c r="H1946" t="s">
        <v>1112</v>
      </c>
      <c r="I1946" t="s">
        <v>1108</v>
      </c>
      <c r="J1946" t="s">
        <v>14921</v>
      </c>
      <c r="K1946" t="s">
        <v>14922</v>
      </c>
      <c r="L1946" t="s">
        <v>36</v>
      </c>
      <c r="M1946" t="s">
        <v>19177</v>
      </c>
      <c r="N1946" t="s">
        <v>714</v>
      </c>
      <c r="O1946" t="s">
        <v>10263</v>
      </c>
      <c r="P1946" t="s">
        <v>12</v>
      </c>
    </row>
    <row r="1947">
      <c r="A1947">
        <f>HYPERLINK("http://bombeiros.sp.gov.br/hidrantes/03individual/27669.html","27669")</f>
      </c>
      <c r="B1947" t="s">
        <v>842</v>
      </c>
      <c r="C1947" t="s">
        <v>14642</v>
      </c>
      <c r="D1947" t="s">
        <v>14916</v>
      </c>
      <c r="E1947" t="s">
        <v>64</v>
      </c>
      <c r="F1947" t="s">
        <v>17601</v>
      </c>
      <c r="G1947" t="s">
        <v>18147</v>
      </c>
      <c r="H1947" t="s">
        <v>1112</v>
      </c>
      <c r="I1947" t="s">
        <v>1108</v>
      </c>
      <c r="J1947" t="s">
        <v>17602</v>
      </c>
      <c r="K1947" t="s">
        <v>17603</v>
      </c>
      <c r="L1947" t="s">
        <v>21</v>
      </c>
      <c r="M1947" t="s">
        <v>19177</v>
      </c>
      <c r="N1947" t="s">
        <v>714</v>
      </c>
      <c r="O1947" t="s">
        <v>10263</v>
      </c>
      <c r="P1947" t="s">
        <v>12</v>
      </c>
    </row>
    <row r="1948">
      <c r="A1948">
        <f>HYPERLINK("http://bombeiros.sp.gov.br/hidrantes/03individual/303.html","303")</f>
      </c>
      <c r="B1948" t="s">
        <v>842</v>
      </c>
      <c r="C1948" t="s">
        <v>14642</v>
      </c>
      <c r="D1948" t="s">
        <v>14916</v>
      </c>
      <c r="E1948" t="s">
        <v>15</v>
      </c>
      <c r="F1948" t="s">
        <v>14926</v>
      </c>
      <c r="G1948" t="s">
        <v>18052</v>
      </c>
      <c r="H1948" t="s">
        <v>1112</v>
      </c>
      <c r="I1948" t="s">
        <v>1108</v>
      </c>
      <c r="J1948" t="s">
        <v>14927</v>
      </c>
      <c r="K1948" t="s">
        <v>14928</v>
      </c>
      <c r="L1948" t="s">
        <v>36</v>
      </c>
      <c r="M1948" t="s">
        <v>19177</v>
      </c>
      <c r="N1948" t="s">
        <v>714</v>
      </c>
      <c r="O1948" t="s">
        <v>10263</v>
      </c>
      <c r="P1948" t="s">
        <v>12</v>
      </c>
    </row>
    <row r="1949">
      <c r="A1949">
        <f>HYPERLINK("http://bombeiros.sp.gov.br/hidrantes/03individual/376.html","376")</f>
      </c>
      <c r="B1949" t="s">
        <v>842</v>
      </c>
      <c r="C1949" t="s">
        <v>14642</v>
      </c>
      <c r="D1949" t="s">
        <v>14916</v>
      </c>
      <c r="E1949" t="s">
        <v>15</v>
      </c>
      <c r="F1949" t="s">
        <v>14932</v>
      </c>
      <c r="G1949" t="s">
        <v>18052</v>
      </c>
      <c r="H1949" t="s">
        <v>1112</v>
      </c>
      <c r="I1949" t="s">
        <v>1108</v>
      </c>
      <c r="J1949" t="s">
        <v>14933</v>
      </c>
      <c r="K1949" t="s">
        <v>14934</v>
      </c>
      <c r="L1949" t="s">
        <v>36</v>
      </c>
      <c r="M1949" t="s">
        <v>19177</v>
      </c>
      <c r="N1949" t="s">
        <v>714</v>
      </c>
      <c r="O1949" t="s">
        <v>10263</v>
      </c>
      <c r="P1949" t="s">
        <v>12</v>
      </c>
    </row>
    <row r="1950">
      <c r="A1950">
        <f>HYPERLINK("http://bombeiros.sp.gov.br/hidrantes/03individual/416.html","416")</f>
      </c>
      <c r="B1950" t="s">
        <v>842</v>
      </c>
      <c r="C1950" t="s">
        <v>14642</v>
      </c>
      <c r="D1950" t="s">
        <v>14916</v>
      </c>
      <c r="E1950" t="s">
        <v>15</v>
      </c>
      <c r="F1950" t="s">
        <v>14935</v>
      </c>
      <c r="G1950" t="s">
        <v>18112</v>
      </c>
      <c r="H1950" t="s">
        <v>1112</v>
      </c>
      <c r="I1950" t="s">
        <v>1108</v>
      </c>
      <c r="J1950" t="s">
        <v>14937</v>
      </c>
      <c r="K1950" t="s">
        <v>14938</v>
      </c>
      <c r="L1950" t="s">
        <v>21</v>
      </c>
      <c r="M1950" t="s">
        <v>19177</v>
      </c>
      <c r="N1950" t="s">
        <v>714</v>
      </c>
      <c r="O1950" t="s">
        <v>10263</v>
      </c>
      <c r="P1950" t="s">
        <v>12</v>
      </c>
    </row>
    <row r="1951">
      <c r="A1951">
        <f>HYPERLINK("http://bombeiros.sp.gov.br/hidrantes/03individual/2307.html","2307")</f>
      </c>
      <c r="B1951" t="s">
        <v>842</v>
      </c>
      <c r="C1951" t="s">
        <v>14642</v>
      </c>
      <c r="D1951" t="s">
        <v>14916</v>
      </c>
      <c r="E1951" t="s">
        <v>15</v>
      </c>
      <c r="F1951" t="s">
        <v>14939</v>
      </c>
      <c r="G1951" t="s">
        <v>18062</v>
      </c>
      <c r="H1951" t="s">
        <v>1107</v>
      </c>
      <c r="I1951" t="s">
        <v>1108</v>
      </c>
      <c r="J1951" t="s">
        <v>14940</v>
      </c>
      <c r="K1951" t="s">
        <v>14941</v>
      </c>
      <c r="L1951" t="s">
        <v>36</v>
      </c>
      <c r="M1951" t="s">
        <v>19177</v>
      </c>
      <c r="N1951" t="s">
        <v>714</v>
      </c>
      <c r="O1951" t="s">
        <v>10263</v>
      </c>
      <c r="P1951" t="s">
        <v>12</v>
      </c>
    </row>
    <row r="1952">
      <c r="A1952">
        <f>HYPERLINK("http://bombeiros.sp.gov.br/hidrantes/03individual/2379.html","2379")</f>
      </c>
      <c r="B1952" t="s">
        <v>842</v>
      </c>
      <c r="C1952" t="s">
        <v>14642</v>
      </c>
      <c r="D1952" t="s">
        <v>14916</v>
      </c>
      <c r="E1952" t="s">
        <v>15</v>
      </c>
      <c r="F1952" t="s">
        <v>14945</v>
      </c>
      <c r="G1952" t="s">
        <v>18147</v>
      </c>
      <c r="H1952" t="s">
        <v>1107</v>
      </c>
      <c r="I1952" t="s">
        <v>1108</v>
      </c>
      <c r="J1952" t="s">
        <v>14946</v>
      </c>
      <c r="K1952" t="s">
        <v>14947</v>
      </c>
      <c r="L1952" t="s">
        <v>21</v>
      </c>
      <c r="M1952" t="s">
        <v>19177</v>
      </c>
      <c r="N1952" t="s">
        <v>714</v>
      </c>
      <c r="O1952" t="s">
        <v>10263</v>
      </c>
      <c r="P1952" t="s">
        <v>12</v>
      </c>
    </row>
    <row r="1953">
      <c r="A1953">
        <f>HYPERLINK("http://bombeiros.sp.gov.br/hidrantes/03individual/2517.html","2517")</f>
      </c>
      <c r="B1953" t="s">
        <v>842</v>
      </c>
      <c r="C1953" t="s">
        <v>14642</v>
      </c>
      <c r="D1953" t="s">
        <v>14916</v>
      </c>
      <c r="E1953" t="s">
        <v>15</v>
      </c>
      <c r="F1953" t="s">
        <v>14948</v>
      </c>
      <c r="G1953" t="s">
        <v>18147</v>
      </c>
      <c r="H1953" t="s">
        <v>1107</v>
      </c>
      <c r="I1953" t="s">
        <v>1108</v>
      </c>
      <c r="J1953" t="s">
        <v>14949</v>
      </c>
      <c r="K1953" t="s">
        <v>14950</v>
      </c>
      <c r="L1953" t="s">
        <v>21</v>
      </c>
      <c r="M1953" t="s">
        <v>19177</v>
      </c>
      <c r="N1953" t="s">
        <v>714</v>
      </c>
      <c r="O1953" t="s">
        <v>10263</v>
      </c>
      <c r="P1953" t="s">
        <v>12</v>
      </c>
    </row>
    <row r="1954">
      <c r="A1954">
        <f>HYPERLINK("http://bombeiros.sp.gov.br/hidrantes/03individual/2258.html","2258")</f>
      </c>
      <c r="B1954" t="s">
        <v>842</v>
      </c>
      <c r="C1954" t="s">
        <v>14642</v>
      </c>
      <c r="D1954" t="s">
        <v>14642</v>
      </c>
      <c r="E1954" t="s">
        <v>64</v>
      </c>
      <c r="F1954" t="s">
        <v>14951</v>
      </c>
      <c r="G1954" t="s">
        <v>18173</v>
      </c>
      <c r="H1954" t="s">
        <v>1107</v>
      </c>
      <c r="I1954" t="s">
        <v>1108</v>
      </c>
      <c r="J1954" t="s">
        <v>14952</v>
      </c>
      <c r="K1954" t="s">
        <v>14953</v>
      </c>
      <c r="L1954" t="s">
        <v>21</v>
      </c>
      <c r="M1954" t="s">
        <v>19177</v>
      </c>
      <c r="N1954" t="s">
        <v>714</v>
      </c>
      <c r="O1954" t="s">
        <v>10263</v>
      </c>
      <c r="P1954" t="s">
        <v>12</v>
      </c>
    </row>
    <row r="1955">
      <c r="A1955">
        <f>HYPERLINK("http://bombeiros.sp.gov.br/hidrantes/03individual/5604.html","5604")</f>
      </c>
      <c r="B1955" t="s">
        <v>842</v>
      </c>
      <c r="C1955" t="s">
        <v>14642</v>
      </c>
      <c r="D1955" t="s">
        <v>14642</v>
      </c>
      <c r="E1955" t="s">
        <v>64</v>
      </c>
      <c r="F1955" t="s">
        <v>14960</v>
      </c>
      <c r="G1955" t="s">
        <v>18099</v>
      </c>
      <c r="H1955" t="s">
        <v>1107</v>
      </c>
      <c r="I1955" t="s">
        <v>1108</v>
      </c>
      <c r="J1955" t="s">
        <v>14961</v>
      </c>
      <c r="K1955" t="s">
        <v>14962</v>
      </c>
      <c r="L1955" t="s">
        <v>21</v>
      </c>
      <c r="M1955" t="s">
        <v>19177</v>
      </c>
      <c r="N1955" t="s">
        <v>714</v>
      </c>
      <c r="O1955" t="s">
        <v>10263</v>
      </c>
      <c r="P1955" t="s">
        <v>12</v>
      </c>
    </row>
    <row r="1956">
      <c r="A1956">
        <f>HYPERLINK("http://bombeiros.sp.gov.br/hidrantes/03individual/27527.html","27527")</f>
      </c>
      <c r="B1956" t="s">
        <v>842</v>
      </c>
      <c r="C1956" t="s">
        <v>14642</v>
      </c>
      <c r="D1956" t="s">
        <v>14642</v>
      </c>
      <c r="E1956" t="s">
        <v>64</v>
      </c>
      <c r="F1956" t="s">
        <v>17397</v>
      </c>
      <c r="G1956" t="s">
        <v>18099</v>
      </c>
      <c r="H1956" t="s">
        <v>1107</v>
      </c>
      <c r="I1956" t="s">
        <v>1108</v>
      </c>
      <c r="J1956" t="s">
        <v>17398</v>
      </c>
      <c r="K1956" t="s">
        <v>17399</v>
      </c>
      <c r="L1956" t="s">
        <v>21</v>
      </c>
      <c r="M1956" t="s">
        <v>19177</v>
      </c>
      <c r="N1956" t="s">
        <v>714</v>
      </c>
      <c r="O1956" t="s">
        <v>10263</v>
      </c>
      <c r="P1956" t="s">
        <v>12</v>
      </c>
    </row>
    <row r="1957">
      <c r="A1957">
        <f>HYPERLINK("http://bombeiros.sp.gov.br/hidrantes/03individual/377.html","377")</f>
      </c>
      <c r="B1957" t="s">
        <v>842</v>
      </c>
      <c r="C1957" t="s">
        <v>14642</v>
      </c>
      <c r="D1957" t="s">
        <v>14642</v>
      </c>
      <c r="E1957" t="s">
        <v>15</v>
      </c>
      <c r="F1957" t="s">
        <v>14966</v>
      </c>
      <c r="G1957" t="s">
        <v>18173</v>
      </c>
      <c r="H1957" t="s">
        <v>1107</v>
      </c>
      <c r="I1957" t="s">
        <v>1108</v>
      </c>
      <c r="J1957" t="s">
        <v>14967</v>
      </c>
      <c r="K1957" t="s">
        <v>14968</v>
      </c>
      <c r="L1957" t="s">
        <v>21</v>
      </c>
      <c r="M1957" t="s">
        <v>19177</v>
      </c>
      <c r="N1957" t="s">
        <v>714</v>
      </c>
      <c r="O1957" t="s">
        <v>10263</v>
      </c>
      <c r="P1957" t="s">
        <v>12</v>
      </c>
    </row>
  </sheetData>
</worksheet>
</file>

<file path=xl/worksheets/sheet52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000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5.7109375" customWidth="true"/>
    <col min="4" max="4" width="20.7109375" customWidth="true"/>
    <col min="5" max="5" width="20.7109375" customWidth="true"/>
    <col min="6" max="6" width="100.7109375" customWidth="true"/>
    <col min="7" max="7" width="12.7109375" customWidth="true"/>
    <col min="8" max="8" width="15.7109375" customWidth="true"/>
    <col min="9" max="9" width="20.7109375" customWidth="true"/>
    <col min="10" max="10" width="20.7109375" customWidth="true"/>
    <col min="11" max="11" width="20.7109375" customWidth="true"/>
    <col min="12" max="12" width="12.7109375" customWidth="true"/>
    <col min="13" max="13" width="12.7109375" customWidth="true"/>
    <col min="14" max="14" width="30.7109375" customWidth="true"/>
    <col min="15" max="15" width="30.7109375" customWidth="true"/>
    <col min="16" max="16" width="3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14981</v>
      </c>
      <c r="N1" t="s">
        <v>16370</v>
      </c>
      <c r="O1" t="s">
        <v>16371</v>
      </c>
      <c r="P1" t="s">
        <v>16372</v>
      </c>
    </row>
    <row r="2">
      <c r="A2">
        <f>HYPERLINK("http://bombeiros.sp.gov.br/hidrantes/03individual/2592.html","2592")</f>
      </c>
      <c r="B2" t="s">
        <v>12</v>
      </c>
      <c r="C2" t="s">
        <v>13</v>
      </c>
      <c r="D2" t="s">
        <v>13</v>
      </c>
      <c r="E2" t="s">
        <v>64</v>
      </c>
      <c r="F2" t="s">
        <v>1106</v>
      </c>
      <c r="G2" t="s">
        <v>18048</v>
      </c>
      <c r="H2" t="s">
        <v>1174</v>
      </c>
      <c r="I2" t="s">
        <v>1108</v>
      </c>
      <c r="J2" t="s">
        <v>1109</v>
      </c>
      <c r="K2" t="s">
        <v>1110</v>
      </c>
      <c r="L2" t="s">
        <v>36</v>
      </c>
      <c r="M2" t="s">
        <v>19177</v>
      </c>
      <c r="N2" t="s">
        <v>714</v>
      </c>
      <c r="O2" t="s">
        <v>10263</v>
      </c>
      <c r="P2" t="s">
        <v>12</v>
      </c>
    </row>
    <row r="3">
      <c r="A3">
        <f>HYPERLINK("http://bombeiros.sp.gov.br/hidrantes/03individual/2595.html","2595")</f>
      </c>
      <c r="B3" t="s">
        <v>12</v>
      </c>
      <c r="C3" t="s">
        <v>13</v>
      </c>
      <c r="D3" t="s">
        <v>13</v>
      </c>
      <c r="E3" t="s">
        <v>64</v>
      </c>
      <c r="F3" t="s">
        <v>1111</v>
      </c>
      <c r="G3" t="s">
        <v>18048</v>
      </c>
      <c r="H3" t="s">
        <v>1107</v>
      </c>
      <c r="I3" t="s">
        <v>1108</v>
      </c>
      <c r="J3" t="s">
        <v>1113</v>
      </c>
      <c r="K3" t="s">
        <v>1114</v>
      </c>
      <c r="L3" t="s">
        <v>21</v>
      </c>
      <c r="M3" t="s">
        <v>19177</v>
      </c>
      <c r="N3" t="s">
        <v>714</v>
      </c>
      <c r="O3" t="s">
        <v>10263</v>
      </c>
      <c r="P3" t="s">
        <v>12</v>
      </c>
    </row>
    <row r="4">
      <c r="A4">
        <f>HYPERLINK("http://bombeiros.sp.gov.br/hidrantes/03individual/2718.html","2718")</f>
      </c>
      <c r="B4" t="s">
        <v>12</v>
      </c>
      <c r="C4" t="s">
        <v>13</v>
      </c>
      <c r="D4" t="s">
        <v>13</v>
      </c>
      <c r="E4" t="s">
        <v>64</v>
      </c>
      <c r="F4" t="s">
        <v>1115</v>
      </c>
      <c r="G4" t="s">
        <v>18124</v>
      </c>
      <c r="H4" t="s">
        <v>1107</v>
      </c>
      <c r="I4" t="s">
        <v>1108</v>
      </c>
      <c r="J4" t="s">
        <v>1118</v>
      </c>
      <c r="K4" t="s">
        <v>1119</v>
      </c>
      <c r="L4" t="s">
        <v>36</v>
      </c>
      <c r="M4" t="s">
        <v>19177</v>
      </c>
      <c r="N4" t="s">
        <v>714</v>
      </c>
      <c r="O4" t="s">
        <v>10263</v>
      </c>
      <c r="P4" t="s">
        <v>12</v>
      </c>
    </row>
    <row r="5">
      <c r="A5">
        <f>HYPERLINK("http://bombeiros.sp.gov.br/hidrantes/03individual/146.html","146")</f>
      </c>
      <c r="B5" t="s">
        <v>12</v>
      </c>
      <c r="C5" t="s">
        <v>13</v>
      </c>
      <c r="D5" t="s">
        <v>13</v>
      </c>
      <c r="E5" t="s">
        <v>15</v>
      </c>
      <c r="F5" t="s">
        <v>1120</v>
      </c>
      <c r="G5" t="s">
        <v>18048</v>
      </c>
      <c r="H5" t="s">
        <v>1121</v>
      </c>
      <c r="I5" t="s">
        <v>1117</v>
      </c>
      <c r="J5" t="s">
        <v>1122</v>
      </c>
      <c r="K5" t="s">
        <v>1123</v>
      </c>
      <c r="L5" t="s">
        <v>21</v>
      </c>
      <c r="M5" t="s">
        <v>19177</v>
      </c>
      <c r="N5" t="s">
        <v>714</v>
      </c>
      <c r="O5" t="s">
        <v>10263</v>
      </c>
      <c r="P5" t="s">
        <v>12</v>
      </c>
    </row>
    <row r="6">
      <c r="A6">
        <f>HYPERLINK("http://bombeiros.sp.gov.br/hidrantes/03individual/191.html","191")</f>
      </c>
      <c r="B6" t="s">
        <v>12</v>
      </c>
      <c r="C6" t="s">
        <v>13</v>
      </c>
      <c r="D6" t="s">
        <v>13</v>
      </c>
      <c r="E6" t="s">
        <v>15</v>
      </c>
      <c r="F6" t="s">
        <v>1124</v>
      </c>
      <c r="G6" t="s">
        <v>18240</v>
      </c>
      <c r="H6" t="s">
        <v>1112</v>
      </c>
      <c r="I6" t="s">
        <v>1108</v>
      </c>
      <c r="J6" t="s">
        <v>1125</v>
      </c>
      <c r="K6" t="s">
        <v>1126</v>
      </c>
      <c r="L6" t="s">
        <v>21</v>
      </c>
      <c r="M6" t="s">
        <v>19177</v>
      </c>
      <c r="N6" t="s">
        <v>714</v>
      </c>
      <c r="O6" t="s">
        <v>10263</v>
      </c>
      <c r="P6" t="s">
        <v>12</v>
      </c>
    </row>
    <row r="7">
      <c r="A7">
        <f>HYPERLINK("http://bombeiros.sp.gov.br/hidrantes/03individual/275.html","275")</f>
      </c>
      <c r="B7" t="s">
        <v>12</v>
      </c>
      <c r="C7" t="s">
        <v>13</v>
      </c>
      <c r="D7" t="s">
        <v>13</v>
      </c>
      <c r="E7" t="s">
        <v>15</v>
      </c>
      <c r="F7" t="s">
        <v>1127</v>
      </c>
      <c r="G7" t="s">
        <v>17964</v>
      </c>
      <c r="H7" t="s">
        <v>1174</v>
      </c>
      <c r="I7" t="s">
        <v>1108</v>
      </c>
      <c r="J7" t="s">
        <v>1128</v>
      </c>
      <c r="K7" t="s">
        <v>1129</v>
      </c>
      <c r="L7" t="s">
        <v>21</v>
      </c>
      <c r="M7" t="s">
        <v>19177</v>
      </c>
      <c r="N7" t="s">
        <v>714</v>
      </c>
      <c r="O7" t="s">
        <v>10263</v>
      </c>
      <c r="P7" t="s">
        <v>12</v>
      </c>
    </row>
    <row r="8">
      <c r="A8">
        <f>HYPERLINK("http://bombeiros.sp.gov.br/hidrantes/03individual/276.html","276")</f>
      </c>
      <c r="B8" t="s">
        <v>12</v>
      </c>
      <c r="C8" t="s">
        <v>13</v>
      </c>
      <c r="D8" t="s">
        <v>13</v>
      </c>
      <c r="E8" t="s">
        <v>15</v>
      </c>
      <c r="F8" t="s">
        <v>1130</v>
      </c>
      <c r="G8" t="s">
        <v>17964</v>
      </c>
      <c r="H8" t="s">
        <v>1112</v>
      </c>
      <c r="I8" t="s">
        <v>1108</v>
      </c>
      <c r="J8" t="s">
        <v>1131</v>
      </c>
      <c r="K8" t="s">
        <v>1132</v>
      </c>
      <c r="L8" t="s">
        <v>21</v>
      </c>
      <c r="M8" t="s">
        <v>19177</v>
      </c>
      <c r="N8" t="s">
        <v>714</v>
      </c>
      <c r="O8" t="s">
        <v>10263</v>
      </c>
      <c r="P8" t="s">
        <v>12</v>
      </c>
    </row>
    <row r="9">
      <c r="A9">
        <f>HYPERLINK("http://bombeiros.sp.gov.br/hidrantes/03individual/2597.html","2597")</f>
      </c>
      <c r="B9" t="s">
        <v>12</v>
      </c>
      <c r="C9" t="s">
        <v>13</v>
      </c>
      <c r="D9" t="s">
        <v>13</v>
      </c>
      <c r="E9" t="s">
        <v>15</v>
      </c>
      <c r="F9" t="s">
        <v>1133</v>
      </c>
      <c r="G9" t="s">
        <v>18048</v>
      </c>
      <c r="H9" t="s">
        <v>1121</v>
      </c>
      <c r="I9" t="s">
        <v>1117</v>
      </c>
      <c r="J9" t="s">
        <v>1135</v>
      </c>
      <c r="K9" t="s">
        <v>1136</v>
      </c>
      <c r="L9" t="s">
        <v>21</v>
      </c>
      <c r="M9" t="s">
        <v>19177</v>
      </c>
      <c r="N9" t="s">
        <v>714</v>
      </c>
      <c r="O9" t="s">
        <v>10263</v>
      </c>
      <c r="P9" t="s">
        <v>12</v>
      </c>
    </row>
    <row r="10">
      <c r="A10">
        <f>HYPERLINK("http://bombeiros.sp.gov.br/hidrantes/03individual/2669.html","2669")</f>
      </c>
      <c r="B10" t="s">
        <v>12</v>
      </c>
      <c r="C10" t="s">
        <v>13</v>
      </c>
      <c r="D10" t="s">
        <v>13</v>
      </c>
      <c r="E10" t="s">
        <v>15</v>
      </c>
      <c r="F10" t="s">
        <v>1137</v>
      </c>
      <c r="G10" t="s">
        <v>18023</v>
      </c>
      <c r="H10" t="s">
        <v>1121</v>
      </c>
      <c r="I10" t="s">
        <v>1117</v>
      </c>
      <c r="J10" t="s">
        <v>1139</v>
      </c>
      <c r="K10" t="s">
        <v>1140</v>
      </c>
      <c r="L10" t="s">
        <v>21</v>
      </c>
      <c r="M10" t="s">
        <v>19177</v>
      </c>
      <c r="N10" t="s">
        <v>714</v>
      </c>
      <c r="O10" t="s">
        <v>10263</v>
      </c>
      <c r="P10" t="s">
        <v>12</v>
      </c>
    </row>
    <row r="11">
      <c r="A11">
        <f>HYPERLINK("http://bombeiros.sp.gov.br/hidrantes/03individual/2716.html","2716")</f>
      </c>
      <c r="B11" t="s">
        <v>12</v>
      </c>
      <c r="C11" t="s">
        <v>13</v>
      </c>
      <c r="D11" t="s">
        <v>13</v>
      </c>
      <c r="E11" t="s">
        <v>15</v>
      </c>
      <c r="F11" t="s">
        <v>18880</v>
      </c>
      <c r="G11" t="s">
        <v>18160</v>
      </c>
      <c r="H11" t="s">
        <v>1112</v>
      </c>
      <c r="I11" t="s">
        <v>1108</v>
      </c>
      <c r="J11" t="s">
        <v>1142</v>
      </c>
      <c r="K11" t="s">
        <v>1143</v>
      </c>
      <c r="L11" t="s">
        <v>21</v>
      </c>
      <c r="M11" t="s">
        <v>19177</v>
      </c>
      <c r="N11" t="s">
        <v>714</v>
      </c>
      <c r="O11" t="s">
        <v>10263</v>
      </c>
      <c r="P11" t="s">
        <v>12</v>
      </c>
    </row>
    <row r="12">
      <c r="A12">
        <f>HYPERLINK("http://bombeiros.sp.gov.br/hidrantes/03individual/2722.html","2722")</f>
      </c>
      <c r="B12" t="s">
        <v>12</v>
      </c>
      <c r="C12" t="s">
        <v>13</v>
      </c>
      <c r="D12" t="s">
        <v>13</v>
      </c>
      <c r="E12" t="s">
        <v>15</v>
      </c>
      <c r="F12" t="s">
        <v>1144</v>
      </c>
      <c r="G12" t="s">
        <v>17943</v>
      </c>
      <c r="H12" t="s">
        <v>1174</v>
      </c>
      <c r="I12" t="s">
        <v>1108</v>
      </c>
      <c r="J12" t="s">
        <v>1145</v>
      </c>
      <c r="K12" t="s">
        <v>1146</v>
      </c>
      <c r="L12" t="s">
        <v>21</v>
      </c>
      <c r="M12" t="s">
        <v>19177</v>
      </c>
      <c r="N12" t="s">
        <v>714</v>
      </c>
      <c r="O12" t="s">
        <v>10263</v>
      </c>
      <c r="P12" t="s">
        <v>12</v>
      </c>
    </row>
    <row r="13">
      <c r="A13">
        <f>HYPERLINK("http://bombeiros.sp.gov.br/hidrantes/03individual/2724.html","2724")</f>
      </c>
      <c r="B13" t="s">
        <v>12</v>
      </c>
      <c r="C13" t="s">
        <v>13</v>
      </c>
      <c r="D13" t="s">
        <v>13</v>
      </c>
      <c r="E13" t="s">
        <v>15</v>
      </c>
      <c r="F13" t="s">
        <v>1147</v>
      </c>
      <c r="G13" t="s">
        <v>18040</v>
      </c>
      <c r="H13" t="s">
        <v>1112</v>
      </c>
      <c r="I13" t="s">
        <v>1108</v>
      </c>
      <c r="J13" t="s">
        <v>1148</v>
      </c>
      <c r="K13" t="s">
        <v>1149</v>
      </c>
      <c r="L13" t="s">
        <v>36</v>
      </c>
      <c r="M13" t="s">
        <v>19177</v>
      </c>
      <c r="N13" t="s">
        <v>714</v>
      </c>
      <c r="O13" t="s">
        <v>10263</v>
      </c>
      <c r="P13" t="s">
        <v>12</v>
      </c>
    </row>
    <row r="14">
      <c r="A14">
        <f>HYPERLINK("http://bombeiros.sp.gov.br/hidrantes/03individual/2739.html","2739")</f>
      </c>
      <c r="B14" t="s">
        <v>12</v>
      </c>
      <c r="C14" t="s">
        <v>13</v>
      </c>
      <c r="D14" t="s">
        <v>13</v>
      </c>
      <c r="E14" t="s">
        <v>15</v>
      </c>
      <c r="F14" t="s">
        <v>1150</v>
      </c>
      <c r="G14" t="s">
        <v>18182</v>
      </c>
      <c r="H14" t="s">
        <v>1107</v>
      </c>
      <c r="I14" t="s">
        <v>1108</v>
      </c>
      <c r="J14" t="s">
        <v>1151</v>
      </c>
      <c r="K14" t="s">
        <v>1152</v>
      </c>
      <c r="L14" t="s">
        <v>36</v>
      </c>
      <c r="M14" t="s">
        <v>19177</v>
      </c>
      <c r="N14" t="s">
        <v>714</v>
      </c>
      <c r="O14" t="s">
        <v>10263</v>
      </c>
      <c r="P14" t="s">
        <v>12</v>
      </c>
    </row>
    <row r="15">
      <c r="A15">
        <f>HYPERLINK("http://bombeiros.sp.gov.br/hidrantes/03individual/2758.html","2758")</f>
      </c>
      <c r="B15" t="s">
        <v>12</v>
      </c>
      <c r="C15" t="s">
        <v>13</v>
      </c>
      <c r="D15" t="s">
        <v>13</v>
      </c>
      <c r="E15" t="s">
        <v>15</v>
      </c>
      <c r="F15" t="s">
        <v>1153</v>
      </c>
      <c r="G15" t="s">
        <v>18023</v>
      </c>
      <c r="H15" t="s">
        <v>1112</v>
      </c>
      <c r="I15" t="s">
        <v>1108</v>
      </c>
      <c r="J15" t="s">
        <v>1154</v>
      </c>
      <c r="K15" t="s">
        <v>1155</v>
      </c>
      <c r="L15" t="s">
        <v>21</v>
      </c>
      <c r="M15" t="s">
        <v>19177</v>
      </c>
      <c r="N15" t="s">
        <v>714</v>
      </c>
      <c r="O15" t="s">
        <v>10263</v>
      </c>
      <c r="P15" t="s">
        <v>12</v>
      </c>
    </row>
    <row r="16">
      <c r="A16">
        <f>HYPERLINK("http://bombeiros.sp.gov.br/hidrantes/03individual/17917.html","17917")</f>
      </c>
      <c r="B16" t="s">
        <v>12</v>
      </c>
      <c r="C16" t="s">
        <v>13</v>
      </c>
      <c r="D16" t="s">
        <v>13</v>
      </c>
      <c r="E16" t="s">
        <v>15</v>
      </c>
      <c r="F16" t="s">
        <v>1156</v>
      </c>
      <c r="G16" t="s">
        <v>18066</v>
      </c>
      <c r="H16" t="s">
        <v>1121</v>
      </c>
      <c r="I16" t="s">
        <v>1117</v>
      </c>
      <c r="J16" t="s">
        <v>1158</v>
      </c>
      <c r="K16" t="s">
        <v>1159</v>
      </c>
      <c r="L16" t="s">
        <v>21</v>
      </c>
      <c r="M16" t="s">
        <v>19177</v>
      </c>
      <c r="N16" t="s">
        <v>714</v>
      </c>
      <c r="O16" t="s">
        <v>10263</v>
      </c>
      <c r="P16" t="s">
        <v>12</v>
      </c>
    </row>
    <row r="17">
      <c r="A17">
        <f>HYPERLINK("http://bombeiros.sp.gov.br/hidrantes/03individual/127.html","127")</f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18043</v>
      </c>
      <c r="H17" t="s">
        <v>1112</v>
      </c>
      <c r="I17" t="s">
        <v>1108</v>
      </c>
      <c r="J17" t="s">
        <v>19</v>
      </c>
      <c r="K17" t="s">
        <v>20</v>
      </c>
      <c r="L17" t="s">
        <v>21</v>
      </c>
      <c r="M17" t="s">
        <v>19177</v>
      </c>
      <c r="N17" t="s">
        <v>714</v>
      </c>
      <c r="O17" t="s">
        <v>10263</v>
      </c>
      <c r="P17" t="s">
        <v>12</v>
      </c>
    </row>
    <row r="18">
      <c r="A18">
        <f>HYPERLINK("http://bombeiros.sp.gov.br/hidrantes/03individual/204.html","204")</f>
      </c>
      <c r="B18" t="s">
        <v>12</v>
      </c>
      <c r="C18" t="s">
        <v>13</v>
      </c>
      <c r="D18" t="s">
        <v>14</v>
      </c>
      <c r="E18" t="s">
        <v>15</v>
      </c>
      <c r="F18" t="s">
        <v>1160</v>
      </c>
      <c r="G18" t="s">
        <v>18063</v>
      </c>
      <c r="H18" t="s">
        <v>1121</v>
      </c>
      <c r="I18" t="s">
        <v>1117</v>
      </c>
      <c r="J18" t="s">
        <v>1161</v>
      </c>
      <c r="K18" t="s">
        <v>1162</v>
      </c>
      <c r="L18" t="s">
        <v>21</v>
      </c>
      <c r="M18" t="s">
        <v>19177</v>
      </c>
      <c r="N18" t="s">
        <v>714</v>
      </c>
      <c r="O18" t="s">
        <v>10263</v>
      </c>
      <c r="P18" t="s">
        <v>12</v>
      </c>
    </row>
    <row r="19">
      <c r="A19">
        <f>HYPERLINK("http://bombeiros.sp.gov.br/hidrantes/03individual/216.html","216")</f>
      </c>
      <c r="B19" t="s">
        <v>12</v>
      </c>
      <c r="C19" t="s">
        <v>13</v>
      </c>
      <c r="D19" t="s">
        <v>14</v>
      </c>
      <c r="E19" t="s">
        <v>15</v>
      </c>
      <c r="F19" t="s">
        <v>1163</v>
      </c>
      <c r="G19" t="s">
        <v>18182</v>
      </c>
      <c r="H19" t="s">
        <v>1107</v>
      </c>
      <c r="I19" t="s">
        <v>1108</v>
      </c>
      <c r="J19" t="s">
        <v>1164</v>
      </c>
      <c r="K19" t="s">
        <v>1165</v>
      </c>
      <c r="L19" t="s">
        <v>21</v>
      </c>
      <c r="M19" t="s">
        <v>19177</v>
      </c>
      <c r="N19" t="s">
        <v>714</v>
      </c>
      <c r="O19" t="s">
        <v>10263</v>
      </c>
      <c r="P19" t="s">
        <v>12</v>
      </c>
    </row>
    <row r="20">
      <c r="A20">
        <f>HYPERLINK("http://bombeiros.sp.gov.br/hidrantes/03individual/2606.html","2606")</f>
      </c>
      <c r="B20" t="s">
        <v>12</v>
      </c>
      <c r="C20" t="s">
        <v>13</v>
      </c>
      <c r="D20" t="s">
        <v>14</v>
      </c>
      <c r="E20" t="s">
        <v>15</v>
      </c>
      <c r="F20" t="s">
        <v>1166</v>
      </c>
      <c r="G20" t="s">
        <v>18207</v>
      </c>
      <c r="H20" t="s">
        <v>1107</v>
      </c>
      <c r="I20" t="s">
        <v>1108</v>
      </c>
      <c r="J20" t="s">
        <v>1167</v>
      </c>
      <c r="K20" t="s">
        <v>1168</v>
      </c>
      <c r="L20" t="s">
        <v>21</v>
      </c>
      <c r="M20" t="s">
        <v>19177</v>
      </c>
      <c r="N20" t="s">
        <v>714</v>
      </c>
      <c r="O20" t="s">
        <v>10263</v>
      </c>
      <c r="P20" t="s">
        <v>12</v>
      </c>
    </row>
    <row r="21">
      <c r="A21">
        <f>HYPERLINK("http://bombeiros.sp.gov.br/hidrantes/03individual/2613.html","2613")</f>
      </c>
      <c r="B21" t="s">
        <v>12</v>
      </c>
      <c r="C21" t="s">
        <v>13</v>
      </c>
      <c r="D21" t="s">
        <v>14</v>
      </c>
      <c r="E21" t="s">
        <v>15</v>
      </c>
      <c r="F21" t="s">
        <v>1169</v>
      </c>
      <c r="G21" t="s">
        <v>18043</v>
      </c>
      <c r="H21" t="s">
        <v>1107</v>
      </c>
      <c r="I21" t="s">
        <v>1108</v>
      </c>
      <c r="J21" t="s">
        <v>1170</v>
      </c>
      <c r="K21" t="s">
        <v>1171</v>
      </c>
      <c r="L21" t="s">
        <v>21</v>
      </c>
      <c r="M21" t="s">
        <v>19177</v>
      </c>
      <c r="N21" t="s">
        <v>714</v>
      </c>
      <c r="O21" t="s">
        <v>10263</v>
      </c>
      <c r="P21" t="s">
        <v>12</v>
      </c>
    </row>
    <row r="22">
      <c r="A22">
        <f>HYPERLINK("http://bombeiros.sp.gov.br/hidrantes/03individual/26.html","26")</f>
      </c>
      <c r="B22" t="s">
        <v>12</v>
      </c>
      <c r="C22" t="s">
        <v>13</v>
      </c>
      <c r="D22" t="s">
        <v>1172</v>
      </c>
      <c r="E22" t="s">
        <v>64</v>
      </c>
      <c r="F22" t="s">
        <v>1173</v>
      </c>
      <c r="G22" t="s">
        <v>18135</v>
      </c>
      <c r="H22" t="s">
        <v>1174</v>
      </c>
      <c r="I22" t="s">
        <v>1117</v>
      </c>
      <c r="J22" t="s">
        <v>15887</v>
      </c>
      <c r="K22" t="s">
        <v>15888</v>
      </c>
      <c r="L22" t="s">
        <v>21</v>
      </c>
      <c r="M22" t="s">
        <v>19177</v>
      </c>
      <c r="N22" t="s">
        <v>714</v>
      </c>
      <c r="O22" t="s">
        <v>10263</v>
      </c>
      <c r="P22" t="s">
        <v>12</v>
      </c>
    </row>
    <row r="23">
      <c r="A23">
        <f>HYPERLINK("http://bombeiros.sp.gov.br/hidrantes/03individual/2485.html","2485")</f>
      </c>
      <c r="B23" t="s">
        <v>12</v>
      </c>
      <c r="C23" t="s">
        <v>13</v>
      </c>
      <c r="D23" t="s">
        <v>1172</v>
      </c>
      <c r="E23" t="s">
        <v>64</v>
      </c>
      <c r="F23" t="s">
        <v>1177</v>
      </c>
      <c r="G23" t="s">
        <v>18124</v>
      </c>
      <c r="H23" t="s">
        <v>1121</v>
      </c>
      <c r="I23" t="s">
        <v>1117</v>
      </c>
      <c r="J23" t="s">
        <v>1179</v>
      </c>
      <c r="K23" t="s">
        <v>1180</v>
      </c>
      <c r="L23" t="s">
        <v>21</v>
      </c>
      <c r="M23" t="s">
        <v>19177</v>
      </c>
      <c r="N23" t="s">
        <v>714</v>
      </c>
      <c r="O23" t="s">
        <v>10263</v>
      </c>
      <c r="P23" t="s">
        <v>12</v>
      </c>
    </row>
    <row r="24">
      <c r="A24">
        <f>HYPERLINK("http://bombeiros.sp.gov.br/hidrantes/03individual/2555.html","2555")</f>
      </c>
      <c r="B24" t="s">
        <v>12</v>
      </c>
      <c r="C24" t="s">
        <v>13</v>
      </c>
      <c r="D24" t="s">
        <v>1172</v>
      </c>
      <c r="E24" t="s">
        <v>64</v>
      </c>
      <c r="F24" t="s">
        <v>1181</v>
      </c>
      <c r="G24" t="s">
        <v>18133</v>
      </c>
      <c r="H24" t="s">
        <v>1112</v>
      </c>
      <c r="I24" t="s">
        <v>1108</v>
      </c>
      <c r="J24" t="s">
        <v>1182</v>
      </c>
      <c r="K24" t="s">
        <v>1183</v>
      </c>
      <c r="L24" t="s">
        <v>36</v>
      </c>
      <c r="M24" t="s">
        <v>19177</v>
      </c>
      <c r="N24" t="s">
        <v>714</v>
      </c>
      <c r="O24" t="s">
        <v>10263</v>
      </c>
      <c r="P24" t="s">
        <v>12</v>
      </c>
    </row>
    <row r="25">
      <c r="A25">
        <f>HYPERLINK("http://bombeiros.sp.gov.br/hidrantes/03individual/2568.html","2568")</f>
      </c>
      <c r="B25" t="s">
        <v>12</v>
      </c>
      <c r="C25" t="s">
        <v>13</v>
      </c>
      <c r="D25" t="s">
        <v>1172</v>
      </c>
      <c r="E25" t="s">
        <v>64</v>
      </c>
      <c r="F25" t="s">
        <v>1184</v>
      </c>
      <c r="G25" t="s">
        <v>18124</v>
      </c>
      <c r="H25" t="s">
        <v>1107</v>
      </c>
      <c r="I25" t="s">
        <v>1108</v>
      </c>
      <c r="J25" t="s">
        <v>1185</v>
      </c>
      <c r="K25" t="s">
        <v>1186</v>
      </c>
      <c r="L25" t="s">
        <v>36</v>
      </c>
      <c r="M25" t="s">
        <v>19177</v>
      </c>
      <c r="N25" t="s">
        <v>714</v>
      </c>
      <c r="O25" t="s">
        <v>10263</v>
      </c>
      <c r="P25" t="s">
        <v>12</v>
      </c>
    </row>
    <row r="26">
      <c r="A26">
        <f>HYPERLINK("http://bombeiros.sp.gov.br/hidrantes/03individual/2747.html","2747")</f>
      </c>
      <c r="B26" t="s">
        <v>12</v>
      </c>
      <c r="C26" t="s">
        <v>13</v>
      </c>
      <c r="D26" t="s">
        <v>1172</v>
      </c>
      <c r="E26" t="s">
        <v>64</v>
      </c>
      <c r="F26" t="s">
        <v>1187</v>
      </c>
      <c r="G26" t="s">
        <v>18124</v>
      </c>
      <c r="H26" t="s">
        <v>1121</v>
      </c>
      <c r="I26" t="s">
        <v>1117</v>
      </c>
      <c r="J26" t="s">
        <v>1188</v>
      </c>
      <c r="K26" t="s">
        <v>1189</v>
      </c>
      <c r="L26" t="s">
        <v>36</v>
      </c>
      <c r="M26" t="s">
        <v>19177</v>
      </c>
      <c r="N26" t="s">
        <v>714</v>
      </c>
      <c r="O26" t="s">
        <v>10263</v>
      </c>
      <c r="P26" t="s">
        <v>12</v>
      </c>
    </row>
    <row r="27">
      <c r="A27">
        <f>HYPERLINK("http://bombeiros.sp.gov.br/hidrantes/03individual/2748.html","2748")</f>
      </c>
      <c r="B27" t="s">
        <v>12</v>
      </c>
      <c r="C27" t="s">
        <v>13</v>
      </c>
      <c r="D27" t="s">
        <v>1172</v>
      </c>
      <c r="E27" t="s">
        <v>64</v>
      </c>
      <c r="F27" t="s">
        <v>1190</v>
      </c>
      <c r="G27" t="s">
        <v>18179</v>
      </c>
      <c r="H27" t="s">
        <v>1107</v>
      </c>
      <c r="I27" t="s">
        <v>1108</v>
      </c>
      <c r="J27" t="s">
        <v>1191</v>
      </c>
      <c r="K27" t="s">
        <v>1192</v>
      </c>
      <c r="L27" t="s">
        <v>36</v>
      </c>
      <c r="M27" t="s">
        <v>19177</v>
      </c>
      <c r="N27" t="s">
        <v>714</v>
      </c>
      <c r="O27" t="s">
        <v>10263</v>
      </c>
      <c r="P27" t="s">
        <v>12</v>
      </c>
    </row>
    <row r="28">
      <c r="A28">
        <f>HYPERLINK("http://bombeiros.sp.gov.br/hidrantes/03individual/2766.html","2766")</f>
      </c>
      <c r="B28" t="s">
        <v>12</v>
      </c>
      <c r="C28" t="s">
        <v>13</v>
      </c>
      <c r="D28" t="s">
        <v>1172</v>
      </c>
      <c r="E28" t="s">
        <v>64</v>
      </c>
      <c r="F28" t="s">
        <v>1193</v>
      </c>
      <c r="G28" t="s">
        <v>18066</v>
      </c>
      <c r="H28" t="s">
        <v>1121</v>
      </c>
      <c r="I28" t="s">
        <v>1117</v>
      </c>
      <c r="J28" t="s">
        <v>16643</v>
      </c>
      <c r="K28" t="s">
        <v>16644</v>
      </c>
      <c r="L28" t="s">
        <v>36</v>
      </c>
      <c r="M28" t="s">
        <v>19177</v>
      </c>
      <c r="N28" t="s">
        <v>714</v>
      </c>
      <c r="O28" t="s">
        <v>10263</v>
      </c>
      <c r="P28" t="s">
        <v>12</v>
      </c>
    </row>
    <row r="29">
      <c r="A29">
        <f>HYPERLINK("http://bombeiros.sp.gov.br/hidrantes/03individual/4284.html","4284")</f>
      </c>
      <c r="B29" t="s">
        <v>12</v>
      </c>
      <c r="C29" t="s">
        <v>13</v>
      </c>
      <c r="D29" t="s">
        <v>1172</v>
      </c>
      <c r="E29" t="s">
        <v>64</v>
      </c>
      <c r="F29" t="s">
        <v>1196</v>
      </c>
      <c r="G29" t="s">
        <v>18135</v>
      </c>
      <c r="H29" t="s">
        <v>1121</v>
      </c>
      <c r="I29" t="s">
        <v>1117</v>
      </c>
      <c r="J29" t="s">
        <v>1197</v>
      </c>
      <c r="K29" t="s">
        <v>1198</v>
      </c>
      <c r="L29" t="s">
        <v>36</v>
      </c>
      <c r="M29" t="s">
        <v>19177</v>
      </c>
      <c r="N29" t="s">
        <v>714</v>
      </c>
      <c r="O29" t="s">
        <v>10263</v>
      </c>
      <c r="P29" t="s">
        <v>12</v>
      </c>
    </row>
    <row r="30">
      <c r="A30">
        <f>HYPERLINK("http://bombeiros.sp.gov.br/hidrantes/03individual/96.html","96")</f>
      </c>
      <c r="B30" t="s">
        <v>12</v>
      </c>
      <c r="C30" t="s">
        <v>13</v>
      </c>
      <c r="D30" t="s">
        <v>1172</v>
      </c>
      <c r="E30" t="s">
        <v>15</v>
      </c>
      <c r="F30" t="s">
        <v>1199</v>
      </c>
      <c r="G30" t="s">
        <v>18042</v>
      </c>
      <c r="H30" t="s">
        <v>1121</v>
      </c>
      <c r="I30" t="s">
        <v>1117</v>
      </c>
      <c r="J30" t="s">
        <v>1200</v>
      </c>
      <c r="K30" t="s">
        <v>1201</v>
      </c>
      <c r="L30" t="s">
        <v>21</v>
      </c>
      <c r="M30" t="s">
        <v>19177</v>
      </c>
      <c r="N30" t="s">
        <v>714</v>
      </c>
      <c r="O30" t="s">
        <v>10263</v>
      </c>
      <c r="P30" t="s">
        <v>12</v>
      </c>
    </row>
    <row r="31">
      <c r="A31">
        <f>HYPERLINK("http://bombeiros.sp.gov.br/hidrantes/03individual/2520.html","2520")</f>
      </c>
      <c r="B31" t="s">
        <v>12</v>
      </c>
      <c r="C31" t="s">
        <v>13</v>
      </c>
      <c r="D31" t="s">
        <v>1172</v>
      </c>
      <c r="E31" t="s">
        <v>15</v>
      </c>
      <c r="F31" t="s">
        <v>1202</v>
      </c>
      <c r="G31" t="s">
        <v>18060</v>
      </c>
      <c r="H31" t="s">
        <v>1107</v>
      </c>
      <c r="I31" t="s">
        <v>1108</v>
      </c>
      <c r="J31" t="s">
        <v>1204</v>
      </c>
      <c r="K31" t="s">
        <v>1205</v>
      </c>
      <c r="L31" t="s">
        <v>21</v>
      </c>
      <c r="M31" t="s">
        <v>19177</v>
      </c>
      <c r="N31" t="s">
        <v>714</v>
      </c>
      <c r="O31" t="s">
        <v>10263</v>
      </c>
      <c r="P31" t="s">
        <v>12</v>
      </c>
    </row>
    <row r="32">
      <c r="A32">
        <f>HYPERLINK("http://bombeiros.sp.gov.br/hidrantes/03individual/2760.html","2760")</f>
      </c>
      <c r="B32" t="s">
        <v>12</v>
      </c>
      <c r="C32" t="s">
        <v>13</v>
      </c>
      <c r="D32" t="s">
        <v>1172</v>
      </c>
      <c r="E32" t="s">
        <v>15</v>
      </c>
      <c r="F32" t="s">
        <v>1206</v>
      </c>
      <c r="G32" t="s">
        <v>17918</v>
      </c>
      <c r="H32" t="s">
        <v>1112</v>
      </c>
      <c r="I32" t="s">
        <v>1108</v>
      </c>
      <c r="J32" t="s">
        <v>1207</v>
      </c>
      <c r="K32" t="s">
        <v>1208</v>
      </c>
      <c r="L32" t="s">
        <v>36</v>
      </c>
      <c r="M32" t="s">
        <v>19177</v>
      </c>
      <c r="N32" t="s">
        <v>714</v>
      </c>
      <c r="O32" t="s">
        <v>10263</v>
      </c>
      <c r="P32" t="s">
        <v>12</v>
      </c>
    </row>
    <row r="33">
      <c r="A33">
        <f>HYPERLINK("http://bombeiros.sp.gov.br/hidrantes/03individual/2926.html","2926")</f>
      </c>
      <c r="B33" t="s">
        <v>12</v>
      </c>
      <c r="C33" t="s">
        <v>13</v>
      </c>
      <c r="D33" t="s">
        <v>1172</v>
      </c>
      <c r="E33" t="s">
        <v>15</v>
      </c>
      <c r="F33" t="s">
        <v>1209</v>
      </c>
      <c r="G33" t="s">
        <v>18060</v>
      </c>
      <c r="H33" t="s">
        <v>1107</v>
      </c>
      <c r="I33" t="s">
        <v>1108</v>
      </c>
      <c r="J33" t="s">
        <v>1210</v>
      </c>
      <c r="K33" t="s">
        <v>1211</v>
      </c>
      <c r="L33" t="s">
        <v>21</v>
      </c>
      <c r="M33" t="s">
        <v>19177</v>
      </c>
      <c r="N33" t="s">
        <v>714</v>
      </c>
      <c r="O33" t="s">
        <v>10263</v>
      </c>
      <c r="P33" t="s">
        <v>12</v>
      </c>
    </row>
    <row r="34">
      <c r="A34">
        <f>HYPERLINK("http://bombeiros.sp.gov.br/hidrantes/03individual/2927.html","2927")</f>
      </c>
      <c r="B34" t="s">
        <v>12</v>
      </c>
      <c r="C34" t="s">
        <v>13</v>
      </c>
      <c r="D34" t="s">
        <v>1172</v>
      </c>
      <c r="E34" t="s">
        <v>15</v>
      </c>
      <c r="F34" t="s">
        <v>1212</v>
      </c>
      <c r="G34" t="s">
        <v>18060</v>
      </c>
      <c r="H34" t="s">
        <v>1107</v>
      </c>
      <c r="I34" t="s">
        <v>1108</v>
      </c>
      <c r="J34" t="s">
        <v>1213</v>
      </c>
      <c r="K34" t="s">
        <v>1214</v>
      </c>
      <c r="L34" t="s">
        <v>21</v>
      </c>
      <c r="M34" t="s">
        <v>19177</v>
      </c>
      <c r="N34" t="s">
        <v>714</v>
      </c>
      <c r="O34" t="s">
        <v>10263</v>
      </c>
      <c r="P34" t="s">
        <v>12</v>
      </c>
    </row>
    <row r="35">
      <c r="A35">
        <f>HYPERLINK("http://bombeiros.sp.gov.br/hidrantes/03individual/4279.html","4279")</f>
      </c>
      <c r="B35" t="s">
        <v>12</v>
      </c>
      <c r="C35" t="s">
        <v>13</v>
      </c>
      <c r="D35" t="s">
        <v>1172</v>
      </c>
      <c r="E35" t="s">
        <v>15</v>
      </c>
      <c r="F35" t="s">
        <v>1215</v>
      </c>
      <c r="G35" t="s">
        <v>18263</v>
      </c>
      <c r="H35" t="s">
        <v>1112</v>
      </c>
      <c r="I35" t="s">
        <v>1108</v>
      </c>
      <c r="J35" t="s">
        <v>1216</v>
      </c>
      <c r="K35" t="s">
        <v>1217</v>
      </c>
      <c r="L35" t="s">
        <v>21</v>
      </c>
      <c r="M35" t="s">
        <v>19177</v>
      </c>
      <c r="N35" t="s">
        <v>714</v>
      </c>
      <c r="O35" t="s">
        <v>10263</v>
      </c>
      <c r="P35" t="s">
        <v>12</v>
      </c>
    </row>
    <row r="36">
      <c r="A36">
        <f>HYPERLINK("http://bombeiros.sp.gov.br/hidrantes/03individual/4280.html","4280")</f>
      </c>
      <c r="B36" t="s">
        <v>12</v>
      </c>
      <c r="C36" t="s">
        <v>13</v>
      </c>
      <c r="D36" t="s">
        <v>1172</v>
      </c>
      <c r="E36" t="s">
        <v>15</v>
      </c>
      <c r="F36" t="s">
        <v>1218</v>
      </c>
      <c r="G36" t="s">
        <v>18130</v>
      </c>
      <c r="H36" t="s">
        <v>1121</v>
      </c>
      <c r="I36" t="s">
        <v>1117</v>
      </c>
      <c r="J36" t="s">
        <v>1219</v>
      </c>
      <c r="K36" t="s">
        <v>1220</v>
      </c>
      <c r="L36" t="s">
        <v>21</v>
      </c>
      <c r="M36" t="s">
        <v>19177</v>
      </c>
      <c r="N36" t="s">
        <v>714</v>
      </c>
      <c r="O36" t="s">
        <v>10263</v>
      </c>
      <c r="P36" t="s">
        <v>12</v>
      </c>
    </row>
    <row r="37">
      <c r="A37">
        <f>HYPERLINK("http://bombeiros.sp.gov.br/hidrantes/03individual/17702.html","17702")</f>
      </c>
      <c r="B37" t="s">
        <v>12</v>
      </c>
      <c r="C37" t="s">
        <v>13</v>
      </c>
      <c r="D37" t="s">
        <v>1172</v>
      </c>
      <c r="E37" t="s">
        <v>15</v>
      </c>
      <c r="F37" t="s">
        <v>1221</v>
      </c>
      <c r="G37" t="s">
        <v>18152</v>
      </c>
      <c r="H37" t="s">
        <v>1121</v>
      </c>
      <c r="I37" t="s">
        <v>1117</v>
      </c>
      <c r="J37" t="s">
        <v>15934</v>
      </c>
      <c r="K37" t="s">
        <v>15935</v>
      </c>
      <c r="L37" t="s">
        <v>21</v>
      </c>
      <c r="M37" t="s">
        <v>19177</v>
      </c>
      <c r="N37" t="s">
        <v>714</v>
      </c>
      <c r="O37" t="s">
        <v>10263</v>
      </c>
      <c r="P37" t="s">
        <v>12</v>
      </c>
    </row>
    <row r="38">
      <c r="A38">
        <f>HYPERLINK("http://bombeiros.sp.gov.br/hidrantes/03individual/25214.html","25214")</f>
      </c>
      <c r="B38" t="s">
        <v>12</v>
      </c>
      <c r="C38" t="s">
        <v>13</v>
      </c>
      <c r="D38" t="s">
        <v>1172</v>
      </c>
      <c r="E38" t="s">
        <v>15</v>
      </c>
      <c r="F38" t="s">
        <v>1224</v>
      </c>
      <c r="G38" t="s">
        <v>18135</v>
      </c>
      <c r="H38" t="s">
        <v>1121</v>
      </c>
      <c r="I38" t="s">
        <v>1117</v>
      </c>
      <c r="J38" t="s">
        <v>1225</v>
      </c>
      <c r="K38" t="s">
        <v>1226</v>
      </c>
      <c r="L38" t="s">
        <v>21</v>
      </c>
      <c r="M38" t="s">
        <v>19177</v>
      </c>
      <c r="N38" t="s">
        <v>714</v>
      </c>
      <c r="O38" t="s">
        <v>10263</v>
      </c>
      <c r="P38" t="s">
        <v>12</v>
      </c>
    </row>
    <row r="39">
      <c r="A39">
        <f>HYPERLINK("http://bombeiros.sp.gov.br/hidrantes/03individual/25215.html","25215")</f>
      </c>
      <c r="B39" t="s">
        <v>12</v>
      </c>
      <c r="C39" t="s">
        <v>13</v>
      </c>
      <c r="D39" t="s">
        <v>1172</v>
      </c>
      <c r="E39" t="s">
        <v>15</v>
      </c>
      <c r="F39" t="s">
        <v>1227</v>
      </c>
      <c r="G39" t="s">
        <v>18010</v>
      </c>
      <c r="H39" t="s">
        <v>1107</v>
      </c>
      <c r="I39" t="s">
        <v>1108</v>
      </c>
      <c r="J39" t="s">
        <v>1228</v>
      </c>
      <c r="K39" t="s">
        <v>1229</v>
      </c>
      <c r="L39" t="s">
        <v>21</v>
      </c>
      <c r="M39" t="s">
        <v>19177</v>
      </c>
      <c r="N39" t="s">
        <v>714</v>
      </c>
      <c r="O39" t="s">
        <v>10263</v>
      </c>
      <c r="P39" t="s">
        <v>12</v>
      </c>
    </row>
    <row r="40">
      <c r="A40">
        <f>HYPERLINK("http://bombeiros.sp.gov.br/hidrantes/03individual/26806.html","26806")</f>
      </c>
      <c r="B40" t="s">
        <v>12</v>
      </c>
      <c r="C40" t="s">
        <v>13</v>
      </c>
      <c r="D40" t="s">
        <v>1172</v>
      </c>
      <c r="E40" t="s">
        <v>15</v>
      </c>
      <c r="F40" t="s">
        <v>1212</v>
      </c>
      <c r="G40" t="s">
        <v>18130</v>
      </c>
      <c r="H40" t="s">
        <v>1107</v>
      </c>
      <c r="I40" t="s">
        <v>1108</v>
      </c>
      <c r="J40" t="s">
        <v>15923</v>
      </c>
      <c r="K40" t="s">
        <v>15924</v>
      </c>
      <c r="L40" t="s">
        <v>21</v>
      </c>
      <c r="M40" t="s">
        <v>19177</v>
      </c>
      <c r="N40" t="s">
        <v>714</v>
      </c>
      <c r="O40" t="s">
        <v>10263</v>
      </c>
      <c r="P40" t="s">
        <v>12</v>
      </c>
    </row>
    <row r="41">
      <c r="A41">
        <f>HYPERLINK("http://bombeiros.sp.gov.br/hidrantes/03individual/158.html","158")</f>
      </c>
      <c r="B41" t="s">
        <v>12</v>
      </c>
      <c r="C41" t="s">
        <v>13</v>
      </c>
      <c r="D41" t="s">
        <v>25</v>
      </c>
      <c r="E41" t="s">
        <v>64</v>
      </c>
      <c r="F41" t="s">
        <v>1230</v>
      </c>
      <c r="G41" t="s">
        <v>18150</v>
      </c>
      <c r="H41" t="s">
        <v>1112</v>
      </c>
      <c r="I41" t="s">
        <v>1108</v>
      </c>
      <c r="J41" t="s">
        <v>1231</v>
      </c>
      <c r="K41" t="s">
        <v>1232</v>
      </c>
      <c r="L41" t="s">
        <v>21</v>
      </c>
      <c r="M41" t="s">
        <v>19177</v>
      </c>
      <c r="N41" t="s">
        <v>714</v>
      </c>
      <c r="O41" t="s">
        <v>10263</v>
      </c>
      <c r="P41" t="s">
        <v>12</v>
      </c>
    </row>
    <row r="42">
      <c r="A42">
        <f>HYPERLINK("http://bombeiros.sp.gov.br/hidrantes/03individual/2487.html","2487")</f>
      </c>
      <c r="B42" t="s">
        <v>12</v>
      </c>
      <c r="C42" t="s">
        <v>13</v>
      </c>
      <c r="D42" t="s">
        <v>25</v>
      </c>
      <c r="E42" t="s">
        <v>64</v>
      </c>
      <c r="F42" t="s">
        <v>1177</v>
      </c>
      <c r="G42" t="s">
        <v>18050</v>
      </c>
      <c r="H42" t="s">
        <v>1121</v>
      </c>
      <c r="I42" t="s">
        <v>1117</v>
      </c>
      <c r="J42" t="s">
        <v>1233</v>
      </c>
      <c r="K42" t="s">
        <v>1234</v>
      </c>
      <c r="L42" t="s">
        <v>36</v>
      </c>
      <c r="M42" t="s">
        <v>19177</v>
      </c>
      <c r="N42" t="s">
        <v>714</v>
      </c>
      <c r="O42" t="s">
        <v>10263</v>
      </c>
      <c r="P42" t="s">
        <v>12</v>
      </c>
    </row>
    <row r="43">
      <c r="A43">
        <f>HYPERLINK("http://bombeiros.sp.gov.br/hidrantes/03individual/2648.html","2648")</f>
      </c>
      <c r="B43" t="s">
        <v>12</v>
      </c>
      <c r="C43" t="s">
        <v>13</v>
      </c>
      <c r="D43" t="s">
        <v>25</v>
      </c>
      <c r="E43" t="s">
        <v>64</v>
      </c>
      <c r="F43" t="s">
        <v>1235</v>
      </c>
      <c r="G43" t="s">
        <v>18179</v>
      </c>
      <c r="H43" t="s">
        <v>1121</v>
      </c>
      <c r="I43" t="s">
        <v>1117</v>
      </c>
      <c r="J43" t="s">
        <v>1236</v>
      </c>
      <c r="K43" t="s">
        <v>1237</v>
      </c>
      <c r="L43" t="s">
        <v>36</v>
      </c>
      <c r="M43" t="s">
        <v>19177</v>
      </c>
      <c r="N43" t="s">
        <v>714</v>
      </c>
      <c r="O43" t="s">
        <v>10263</v>
      </c>
      <c r="P43" t="s">
        <v>12</v>
      </c>
    </row>
    <row r="44">
      <c r="A44">
        <f>HYPERLINK("http://bombeiros.sp.gov.br/hidrantes/03individual/4277.html","4277")</f>
      </c>
      <c r="B44" t="s">
        <v>12</v>
      </c>
      <c r="C44" t="s">
        <v>13</v>
      </c>
      <c r="D44" t="s">
        <v>25</v>
      </c>
      <c r="E44" t="s">
        <v>64</v>
      </c>
      <c r="F44" t="s">
        <v>1238</v>
      </c>
      <c r="G44" t="s">
        <v>18179</v>
      </c>
      <c r="H44" t="s">
        <v>1121</v>
      </c>
      <c r="I44" t="s">
        <v>1117</v>
      </c>
      <c r="J44" t="s">
        <v>1239</v>
      </c>
      <c r="K44" t="s">
        <v>1240</v>
      </c>
      <c r="L44" t="s">
        <v>36</v>
      </c>
      <c r="M44" t="s">
        <v>19177</v>
      </c>
      <c r="N44" t="s">
        <v>714</v>
      </c>
      <c r="O44" t="s">
        <v>10263</v>
      </c>
      <c r="P44" t="s">
        <v>12</v>
      </c>
    </row>
    <row r="45">
      <c r="A45">
        <f>HYPERLINK("http://bombeiros.sp.gov.br/hidrantes/03individual/206.html","206")</f>
      </c>
      <c r="B45" t="s">
        <v>12</v>
      </c>
      <c r="C45" t="s">
        <v>13</v>
      </c>
      <c r="D45" t="s">
        <v>25</v>
      </c>
      <c r="E45" t="s">
        <v>15</v>
      </c>
      <c r="F45" t="s">
        <v>1241</v>
      </c>
      <c r="G45" t="s">
        <v>17964</v>
      </c>
      <c r="H45" t="s">
        <v>1174</v>
      </c>
      <c r="I45" t="s">
        <v>1108</v>
      </c>
      <c r="J45" t="s">
        <v>1242</v>
      </c>
      <c r="K45" t="s">
        <v>1243</v>
      </c>
      <c r="L45" t="s">
        <v>21</v>
      </c>
      <c r="M45" t="s">
        <v>19177</v>
      </c>
      <c r="N45" t="s">
        <v>714</v>
      </c>
      <c r="O45" t="s">
        <v>10263</v>
      </c>
      <c r="P45" t="s">
        <v>12</v>
      </c>
    </row>
    <row r="46">
      <c r="A46">
        <f>HYPERLINK("http://bombeiros.sp.gov.br/hidrantes/03individual/225.html","225")</f>
      </c>
      <c r="B46" t="s">
        <v>12</v>
      </c>
      <c r="C46" t="s">
        <v>13</v>
      </c>
      <c r="D46" t="s">
        <v>25</v>
      </c>
      <c r="E46" t="s">
        <v>15</v>
      </c>
      <c r="F46" t="s">
        <v>1244</v>
      </c>
      <c r="G46" t="s">
        <v>17955</v>
      </c>
      <c r="H46" t="s">
        <v>1174</v>
      </c>
      <c r="I46" t="s">
        <v>1108</v>
      </c>
      <c r="J46" t="s">
        <v>1246</v>
      </c>
      <c r="K46" t="s">
        <v>1247</v>
      </c>
      <c r="L46" t="s">
        <v>21</v>
      </c>
      <c r="M46" t="s">
        <v>19177</v>
      </c>
      <c r="N46" t="s">
        <v>714</v>
      </c>
      <c r="O46" t="s">
        <v>10263</v>
      </c>
      <c r="P46" t="s">
        <v>12</v>
      </c>
    </row>
    <row r="47">
      <c r="A47">
        <f>HYPERLINK("http://bombeiros.sp.gov.br/hidrantes/03individual/2338.html","2338")</f>
      </c>
      <c r="B47" t="s">
        <v>12</v>
      </c>
      <c r="C47" t="s">
        <v>13</v>
      </c>
      <c r="D47" t="s">
        <v>25</v>
      </c>
      <c r="E47" t="s">
        <v>15</v>
      </c>
      <c r="F47" t="s">
        <v>1248</v>
      </c>
      <c r="G47" t="s">
        <v>18013</v>
      </c>
      <c r="H47" t="s">
        <v>1107</v>
      </c>
      <c r="I47" t="s">
        <v>1108</v>
      </c>
      <c r="J47" t="s">
        <v>1249</v>
      </c>
      <c r="K47" t="s">
        <v>1250</v>
      </c>
      <c r="L47" t="s">
        <v>36</v>
      </c>
      <c r="M47" t="s">
        <v>19177</v>
      </c>
      <c r="N47" t="s">
        <v>714</v>
      </c>
      <c r="O47" t="s">
        <v>10263</v>
      </c>
      <c r="P47" t="s">
        <v>12</v>
      </c>
    </row>
    <row r="48">
      <c r="A48">
        <f>HYPERLINK("http://bombeiros.sp.gov.br/hidrantes/03individual/52.html","52")</f>
      </c>
      <c r="B48" t="s">
        <v>12</v>
      </c>
      <c r="C48" t="s">
        <v>13</v>
      </c>
      <c r="D48" t="s">
        <v>1251</v>
      </c>
      <c r="E48" t="s">
        <v>15</v>
      </c>
      <c r="F48" t="s">
        <v>1252</v>
      </c>
      <c r="G48" t="s">
        <v>18135</v>
      </c>
      <c r="H48" t="s">
        <v>1174</v>
      </c>
      <c r="I48" t="s">
        <v>1117</v>
      </c>
      <c r="J48" t="s">
        <v>1253</v>
      </c>
      <c r="K48" t="s">
        <v>1254</v>
      </c>
      <c r="L48" t="s">
        <v>21</v>
      </c>
      <c r="M48" t="s">
        <v>19177</v>
      </c>
      <c r="N48" t="s">
        <v>714</v>
      </c>
      <c r="O48" t="s">
        <v>10263</v>
      </c>
      <c r="P48" t="s">
        <v>12</v>
      </c>
    </row>
    <row r="49">
      <c r="A49">
        <f>HYPERLINK("http://bombeiros.sp.gov.br/hidrantes/03individual/192.html","192")</f>
      </c>
      <c r="B49" t="s">
        <v>12</v>
      </c>
      <c r="C49" t="s">
        <v>13</v>
      </c>
      <c r="D49" t="s">
        <v>1251</v>
      </c>
      <c r="E49" t="s">
        <v>15</v>
      </c>
      <c r="F49" t="s">
        <v>1255</v>
      </c>
      <c r="G49" t="s">
        <v>18043</v>
      </c>
      <c r="H49" t="s">
        <v>1107</v>
      </c>
      <c r="I49" t="s">
        <v>1108</v>
      </c>
      <c r="J49" t="s">
        <v>1256</v>
      </c>
      <c r="K49" t="s">
        <v>1257</v>
      </c>
      <c r="L49" t="s">
        <v>21</v>
      </c>
      <c r="M49" t="s">
        <v>19177</v>
      </c>
      <c r="N49" t="s">
        <v>714</v>
      </c>
      <c r="O49" t="s">
        <v>10263</v>
      </c>
      <c r="P49" t="s">
        <v>12</v>
      </c>
    </row>
    <row r="50">
      <c r="A50">
        <f>HYPERLINK("http://bombeiros.sp.gov.br/hidrantes/03individual/194.html","194")</f>
      </c>
      <c r="B50" t="s">
        <v>12</v>
      </c>
      <c r="C50" t="s">
        <v>13</v>
      </c>
      <c r="D50" t="s">
        <v>1251</v>
      </c>
      <c r="E50" t="s">
        <v>15</v>
      </c>
      <c r="F50" t="s">
        <v>1258</v>
      </c>
      <c r="G50" t="s">
        <v>18060</v>
      </c>
      <c r="H50" t="s">
        <v>1107</v>
      </c>
      <c r="I50" t="s">
        <v>1108</v>
      </c>
      <c r="J50" t="s">
        <v>1260</v>
      </c>
      <c r="K50" t="s">
        <v>1261</v>
      </c>
      <c r="L50" t="s">
        <v>21</v>
      </c>
      <c r="M50" t="s">
        <v>19177</v>
      </c>
      <c r="N50" t="s">
        <v>714</v>
      </c>
      <c r="O50" t="s">
        <v>10263</v>
      </c>
      <c r="P50" t="s">
        <v>12</v>
      </c>
    </row>
    <row r="51">
      <c r="A51">
        <f>HYPERLINK("http://bombeiros.sp.gov.br/hidrantes/03individual/227.html","227")</f>
      </c>
      <c r="B51" t="s">
        <v>12</v>
      </c>
      <c r="C51" t="s">
        <v>13</v>
      </c>
      <c r="D51" t="s">
        <v>1251</v>
      </c>
      <c r="E51" t="s">
        <v>15</v>
      </c>
      <c r="F51" t="s">
        <v>1262</v>
      </c>
      <c r="G51" t="s">
        <v>18066</v>
      </c>
      <c r="H51" t="s">
        <v>1107</v>
      </c>
      <c r="I51" t="s">
        <v>1108</v>
      </c>
      <c r="J51" t="s">
        <v>16457</v>
      </c>
      <c r="K51" t="s">
        <v>16458</v>
      </c>
      <c r="L51" t="s">
        <v>21</v>
      </c>
      <c r="M51" t="s">
        <v>19177</v>
      </c>
      <c r="N51" t="s">
        <v>714</v>
      </c>
      <c r="O51" t="s">
        <v>10263</v>
      </c>
      <c r="P51" t="s">
        <v>12</v>
      </c>
    </row>
    <row r="52">
      <c r="A52">
        <f>HYPERLINK("http://bombeiros.sp.gov.br/hidrantes/03individual/250.html","250")</f>
      </c>
      <c r="B52" t="s">
        <v>12</v>
      </c>
      <c r="C52" t="s">
        <v>13</v>
      </c>
      <c r="D52" t="s">
        <v>1251</v>
      </c>
      <c r="E52" t="s">
        <v>15</v>
      </c>
      <c r="F52" t="s">
        <v>18879</v>
      </c>
      <c r="G52" t="s">
        <v>18043</v>
      </c>
      <c r="H52" t="s">
        <v>1107</v>
      </c>
      <c r="I52" t="s">
        <v>1108</v>
      </c>
      <c r="J52" t="s">
        <v>1266</v>
      </c>
      <c r="K52" t="s">
        <v>1267</v>
      </c>
      <c r="L52" t="s">
        <v>21</v>
      </c>
      <c r="M52" t="s">
        <v>19177</v>
      </c>
      <c r="N52" t="s">
        <v>714</v>
      </c>
      <c r="O52" t="s">
        <v>10263</v>
      </c>
      <c r="P52" t="s">
        <v>12</v>
      </c>
    </row>
    <row r="53">
      <c r="A53">
        <f>HYPERLINK("http://bombeiros.sp.gov.br/hidrantes/03individual/2656.html","2656")</f>
      </c>
      <c r="B53" t="s">
        <v>12</v>
      </c>
      <c r="C53" t="s">
        <v>13</v>
      </c>
      <c r="D53" t="s">
        <v>1251</v>
      </c>
      <c r="E53" t="s">
        <v>15</v>
      </c>
      <c r="F53" t="s">
        <v>1268</v>
      </c>
      <c r="G53" t="s">
        <v>18066</v>
      </c>
      <c r="H53" t="s">
        <v>1112</v>
      </c>
      <c r="I53" t="s">
        <v>1108</v>
      </c>
      <c r="J53" t="s">
        <v>15943</v>
      </c>
      <c r="K53" t="s">
        <v>15944</v>
      </c>
      <c r="L53" t="s">
        <v>21</v>
      </c>
      <c r="M53" t="s">
        <v>19177</v>
      </c>
      <c r="N53" t="s">
        <v>714</v>
      </c>
      <c r="O53" t="s">
        <v>10263</v>
      </c>
      <c r="P53" t="s">
        <v>12</v>
      </c>
    </row>
    <row r="54">
      <c r="A54">
        <f>HYPERLINK("http://bombeiros.sp.gov.br/hidrantes/03individual/2751.html","2751")</f>
      </c>
      <c r="B54" t="s">
        <v>12</v>
      </c>
      <c r="C54" t="s">
        <v>13</v>
      </c>
      <c r="D54" t="s">
        <v>1251</v>
      </c>
      <c r="E54" t="s">
        <v>15</v>
      </c>
      <c r="F54" t="s">
        <v>1271</v>
      </c>
      <c r="G54" t="s">
        <v>18023</v>
      </c>
      <c r="H54" t="s">
        <v>1112</v>
      </c>
      <c r="I54" t="s">
        <v>1108</v>
      </c>
      <c r="J54" t="s">
        <v>1272</v>
      </c>
      <c r="K54" t="s">
        <v>1273</v>
      </c>
      <c r="L54" t="s">
        <v>21</v>
      </c>
      <c r="M54" t="s">
        <v>19177</v>
      </c>
      <c r="N54" t="s">
        <v>714</v>
      </c>
      <c r="O54" t="s">
        <v>10263</v>
      </c>
      <c r="P54" t="s">
        <v>12</v>
      </c>
    </row>
    <row r="55">
      <c r="A55">
        <f>HYPERLINK("http://bombeiros.sp.gov.br/hidrantes/03individual/2752.html","2752")</f>
      </c>
      <c r="B55" t="s">
        <v>12</v>
      </c>
      <c r="C55" t="s">
        <v>13</v>
      </c>
      <c r="D55" t="s">
        <v>1251</v>
      </c>
      <c r="E55" t="s">
        <v>15</v>
      </c>
      <c r="F55" t="s">
        <v>1274</v>
      </c>
      <c r="G55" t="s">
        <v>18023</v>
      </c>
      <c r="H55" t="s">
        <v>1112</v>
      </c>
      <c r="I55" t="s">
        <v>1108</v>
      </c>
      <c r="J55" t="s">
        <v>1275</v>
      </c>
      <c r="K55" t="s">
        <v>1276</v>
      </c>
      <c r="L55" t="s">
        <v>21</v>
      </c>
      <c r="M55" t="s">
        <v>19177</v>
      </c>
      <c r="N55" t="s">
        <v>714</v>
      </c>
      <c r="O55" t="s">
        <v>10263</v>
      </c>
      <c r="P55" t="s">
        <v>12</v>
      </c>
    </row>
    <row r="56">
      <c r="A56">
        <f>HYPERLINK("http://bombeiros.sp.gov.br/hidrantes/03individual/2753.html","2753")</f>
      </c>
      <c r="B56" t="s">
        <v>12</v>
      </c>
      <c r="C56" t="s">
        <v>13</v>
      </c>
      <c r="D56" t="s">
        <v>1251</v>
      </c>
      <c r="E56" t="s">
        <v>15</v>
      </c>
      <c r="F56" t="s">
        <v>1277</v>
      </c>
      <c r="G56" t="s">
        <v>18066</v>
      </c>
      <c r="H56" t="s">
        <v>1121</v>
      </c>
      <c r="I56" t="s">
        <v>1117</v>
      </c>
      <c r="J56" t="s">
        <v>1278</v>
      </c>
      <c r="K56" t="s">
        <v>1279</v>
      </c>
      <c r="L56" t="s">
        <v>21</v>
      </c>
      <c r="M56" t="s">
        <v>19177</v>
      </c>
      <c r="N56" t="s">
        <v>714</v>
      </c>
      <c r="O56" t="s">
        <v>10263</v>
      </c>
      <c r="P56" t="s">
        <v>12</v>
      </c>
    </row>
    <row r="57">
      <c r="A57">
        <f>HYPERLINK("http://bombeiros.sp.gov.br/hidrantes/03individual/810.html","810")</f>
      </c>
      <c r="B57" t="s">
        <v>12</v>
      </c>
      <c r="C57" t="s">
        <v>30</v>
      </c>
      <c r="D57" t="s">
        <v>30</v>
      </c>
      <c r="E57" t="s">
        <v>64</v>
      </c>
      <c r="F57" t="s">
        <v>1286</v>
      </c>
      <c r="G57" t="s">
        <v>18083</v>
      </c>
      <c r="H57" t="s">
        <v>1112</v>
      </c>
      <c r="I57" t="s">
        <v>1117</v>
      </c>
      <c r="J57" t="s">
        <v>1288</v>
      </c>
      <c r="K57" t="s">
        <v>1289</v>
      </c>
      <c r="L57" t="s">
        <v>21</v>
      </c>
      <c r="M57" t="s">
        <v>19177</v>
      </c>
      <c r="N57" t="s">
        <v>97</v>
      </c>
      <c r="O57" t="s">
        <v>937</v>
      </c>
      <c r="P57" t="s">
        <v>12</v>
      </c>
    </row>
    <row r="58">
      <c r="A58">
        <f>HYPERLINK("http://bombeiros.sp.gov.br/hidrantes/03individual/2800.html","2800")</f>
      </c>
      <c r="B58" t="s">
        <v>12</v>
      </c>
      <c r="C58" t="s">
        <v>30</v>
      </c>
      <c r="D58" t="s">
        <v>30</v>
      </c>
      <c r="E58" t="s">
        <v>64</v>
      </c>
      <c r="F58" t="s">
        <v>1290</v>
      </c>
      <c r="G58" t="s">
        <v>18183</v>
      </c>
      <c r="H58" t="s">
        <v>1107</v>
      </c>
      <c r="I58" t="s">
        <v>1108</v>
      </c>
      <c r="J58" t="s">
        <v>1292</v>
      </c>
      <c r="K58" t="s">
        <v>1293</v>
      </c>
      <c r="L58" t="s">
        <v>21</v>
      </c>
      <c r="M58" t="s">
        <v>19177</v>
      </c>
      <c r="N58" t="s">
        <v>97</v>
      </c>
      <c r="O58" t="s">
        <v>937</v>
      </c>
      <c r="P58" t="s">
        <v>12</v>
      </c>
    </row>
    <row r="59">
      <c r="A59">
        <f>HYPERLINK("http://bombeiros.sp.gov.br/hidrantes/03individual/2815.html","2815")</f>
      </c>
      <c r="B59" t="s">
        <v>12</v>
      </c>
      <c r="C59" t="s">
        <v>30</v>
      </c>
      <c r="D59" t="s">
        <v>30</v>
      </c>
      <c r="E59" t="s">
        <v>64</v>
      </c>
      <c r="F59" t="s">
        <v>1294</v>
      </c>
      <c r="G59" t="s">
        <v>18083</v>
      </c>
      <c r="H59" t="s">
        <v>1121</v>
      </c>
      <c r="I59" t="s">
        <v>1117</v>
      </c>
      <c r="J59" t="s">
        <v>1296</v>
      </c>
      <c r="K59" t="s">
        <v>1297</v>
      </c>
      <c r="L59" t="s">
        <v>36</v>
      </c>
      <c r="M59" t="s">
        <v>19177</v>
      </c>
      <c r="N59" t="s">
        <v>97</v>
      </c>
      <c r="O59" t="s">
        <v>937</v>
      </c>
      <c r="P59" t="s">
        <v>12</v>
      </c>
    </row>
    <row r="60">
      <c r="A60">
        <f>HYPERLINK("http://bombeiros.sp.gov.br/hidrantes/03individual/5501.html","5501")</f>
      </c>
      <c r="B60" t="s">
        <v>12</v>
      </c>
      <c r="C60" t="s">
        <v>30</v>
      </c>
      <c r="D60" t="s">
        <v>30</v>
      </c>
      <c r="E60" t="s">
        <v>64</v>
      </c>
      <c r="F60" t="s">
        <v>1298</v>
      </c>
      <c r="G60" t="s">
        <v>18066</v>
      </c>
      <c r="H60" t="s">
        <v>1107</v>
      </c>
      <c r="I60" t="s">
        <v>1108</v>
      </c>
      <c r="J60" t="s">
        <v>1300</v>
      </c>
      <c r="K60" t="s">
        <v>1301</v>
      </c>
      <c r="L60" t="s">
        <v>21</v>
      </c>
      <c r="M60" t="s">
        <v>19177</v>
      </c>
      <c r="N60" t="s">
        <v>97</v>
      </c>
      <c r="O60" t="s">
        <v>937</v>
      </c>
      <c r="P60" t="s">
        <v>12</v>
      </c>
    </row>
    <row r="61">
      <c r="A61">
        <f>HYPERLINK("http://bombeiros.sp.gov.br/hidrantes/03individual/586.html","586")</f>
      </c>
      <c r="B61" t="s">
        <v>12</v>
      </c>
      <c r="C61" t="s">
        <v>30</v>
      </c>
      <c r="D61" t="s">
        <v>30</v>
      </c>
      <c r="E61" t="s">
        <v>15</v>
      </c>
      <c r="F61" t="s">
        <v>1302</v>
      </c>
      <c r="G61" t="s">
        <v>18125</v>
      </c>
      <c r="H61" t="s">
        <v>1174</v>
      </c>
      <c r="I61" t="s">
        <v>1117</v>
      </c>
      <c r="J61" t="s">
        <v>1303</v>
      </c>
      <c r="K61" t="s">
        <v>1304</v>
      </c>
      <c r="L61" t="s">
        <v>21</v>
      </c>
      <c r="M61" t="s">
        <v>19177</v>
      </c>
      <c r="N61" t="s">
        <v>97</v>
      </c>
      <c r="O61" t="s">
        <v>937</v>
      </c>
      <c r="P61" t="s">
        <v>12</v>
      </c>
    </row>
    <row r="62">
      <c r="A62">
        <f>HYPERLINK("http://bombeiros.sp.gov.br/hidrantes/03individual/588.html","588")</f>
      </c>
      <c r="B62" t="s">
        <v>12</v>
      </c>
      <c r="C62" t="s">
        <v>30</v>
      </c>
      <c r="D62" t="s">
        <v>30</v>
      </c>
      <c r="E62" t="s">
        <v>15</v>
      </c>
      <c r="F62" t="s">
        <v>1305</v>
      </c>
      <c r="G62" t="s">
        <v>18125</v>
      </c>
      <c r="H62" t="s">
        <v>1112</v>
      </c>
      <c r="I62" t="s">
        <v>1108</v>
      </c>
      <c r="J62" t="s">
        <v>1307</v>
      </c>
      <c r="K62" t="s">
        <v>1308</v>
      </c>
      <c r="L62" t="s">
        <v>21</v>
      </c>
      <c r="M62" t="s">
        <v>19177</v>
      </c>
      <c r="N62" t="s">
        <v>97</v>
      </c>
      <c r="O62" t="s">
        <v>937</v>
      </c>
      <c r="P62" t="s">
        <v>12</v>
      </c>
    </row>
    <row r="63">
      <c r="A63">
        <f>HYPERLINK("http://bombeiros.sp.gov.br/hidrantes/03individual/653.html","653")</f>
      </c>
      <c r="B63" t="s">
        <v>12</v>
      </c>
      <c r="C63" t="s">
        <v>30</v>
      </c>
      <c r="D63" t="s">
        <v>30</v>
      </c>
      <c r="E63" t="s">
        <v>15</v>
      </c>
      <c r="F63" t="s">
        <v>1309</v>
      </c>
      <c r="G63" t="s">
        <v>18125</v>
      </c>
      <c r="H63" t="s">
        <v>1112</v>
      </c>
      <c r="I63" t="s">
        <v>1108</v>
      </c>
      <c r="J63" t="s">
        <v>1310</v>
      </c>
      <c r="K63" t="s">
        <v>1311</v>
      </c>
      <c r="L63" t="s">
        <v>21</v>
      </c>
      <c r="M63" t="s">
        <v>19177</v>
      </c>
      <c r="N63" t="s">
        <v>97</v>
      </c>
      <c r="O63" t="s">
        <v>937</v>
      </c>
      <c r="P63" t="s">
        <v>12</v>
      </c>
    </row>
    <row r="64">
      <c r="A64">
        <f>HYPERLINK("http://bombeiros.sp.gov.br/hidrantes/03individual/683.html","683")</f>
      </c>
      <c r="B64" t="s">
        <v>12</v>
      </c>
      <c r="C64" t="s">
        <v>30</v>
      </c>
      <c r="D64" t="s">
        <v>30</v>
      </c>
      <c r="E64" t="s">
        <v>15</v>
      </c>
      <c r="F64" t="s">
        <v>1312</v>
      </c>
      <c r="G64" t="s">
        <v>18125</v>
      </c>
      <c r="H64"/>
      <c r="I64" t="s">
        <v>18</v>
      </c>
      <c r="J64" t="s">
        <v>1313</v>
      </c>
      <c r="K64" t="s">
        <v>1314</v>
      </c>
      <c r="L64" t="s">
        <v>21</v>
      </c>
      <c r="M64" t="s">
        <v>19177</v>
      </c>
      <c r="N64" t="s">
        <v>97</v>
      </c>
      <c r="O64" t="s">
        <v>937</v>
      </c>
      <c r="P64" t="s">
        <v>12</v>
      </c>
    </row>
    <row r="65">
      <c r="A65">
        <f>HYPERLINK("http://bombeiros.sp.gov.br/hidrantes/03individual/692.html","692")</f>
      </c>
      <c r="B65" t="s">
        <v>12</v>
      </c>
      <c r="C65" t="s">
        <v>30</v>
      </c>
      <c r="D65" t="s">
        <v>30</v>
      </c>
      <c r="E65" t="s">
        <v>15</v>
      </c>
      <c r="F65" t="s">
        <v>1315</v>
      </c>
      <c r="G65" t="s">
        <v>18125</v>
      </c>
      <c r="H65" t="s">
        <v>1112</v>
      </c>
      <c r="I65" t="s">
        <v>1108</v>
      </c>
      <c r="J65" t="s">
        <v>1316</v>
      </c>
      <c r="K65" t="s">
        <v>1317</v>
      </c>
      <c r="L65" t="s">
        <v>21</v>
      </c>
      <c r="M65" t="s">
        <v>19177</v>
      </c>
      <c r="N65" t="s">
        <v>97</v>
      </c>
      <c r="O65" t="s">
        <v>937</v>
      </c>
      <c r="P65" t="s">
        <v>12</v>
      </c>
    </row>
    <row r="66">
      <c r="A66">
        <f>HYPERLINK("http://bombeiros.sp.gov.br/hidrantes/03individual/792.html","792")</f>
      </c>
      <c r="B66" t="s">
        <v>12</v>
      </c>
      <c r="C66" t="s">
        <v>30</v>
      </c>
      <c r="D66" t="s">
        <v>30</v>
      </c>
      <c r="E66" t="s">
        <v>15</v>
      </c>
      <c r="F66" t="s">
        <v>1318</v>
      </c>
      <c r="G66" t="s">
        <v>18183</v>
      </c>
      <c r="H66" t="s">
        <v>1107</v>
      </c>
      <c r="I66" t="s">
        <v>1108</v>
      </c>
      <c r="J66" t="s">
        <v>1319</v>
      </c>
      <c r="K66" t="s">
        <v>1320</v>
      </c>
      <c r="L66" t="s">
        <v>21</v>
      </c>
      <c r="M66" t="s">
        <v>19177</v>
      </c>
      <c r="N66" t="s">
        <v>97</v>
      </c>
      <c r="O66" t="s">
        <v>937</v>
      </c>
      <c r="P66" t="s">
        <v>12</v>
      </c>
    </row>
    <row r="67">
      <c r="A67">
        <f>HYPERLINK("http://bombeiros.sp.gov.br/hidrantes/03individual/796.html","796")</f>
      </c>
      <c r="B67" t="s">
        <v>12</v>
      </c>
      <c r="C67" t="s">
        <v>30</v>
      </c>
      <c r="D67" t="s">
        <v>30</v>
      </c>
      <c r="E67" t="s">
        <v>15</v>
      </c>
      <c r="F67" t="s">
        <v>1321</v>
      </c>
      <c r="G67" t="s">
        <v>18183</v>
      </c>
      <c r="H67" t="s">
        <v>1107</v>
      </c>
      <c r="I67" t="s">
        <v>1108</v>
      </c>
      <c r="J67" t="s">
        <v>1323</v>
      </c>
      <c r="K67" t="s">
        <v>1324</v>
      </c>
      <c r="L67" t="s">
        <v>21</v>
      </c>
      <c r="M67" t="s">
        <v>19177</v>
      </c>
      <c r="N67" t="s">
        <v>97</v>
      </c>
      <c r="O67" t="s">
        <v>937</v>
      </c>
      <c r="P67" t="s">
        <v>12</v>
      </c>
    </row>
    <row r="68">
      <c r="A68">
        <f>HYPERLINK("http://bombeiros.sp.gov.br/hidrantes/03individual/2794.html","2794")</f>
      </c>
      <c r="B68" t="s">
        <v>12</v>
      </c>
      <c r="C68" t="s">
        <v>30</v>
      </c>
      <c r="D68" t="s">
        <v>30</v>
      </c>
      <c r="E68" t="s">
        <v>15</v>
      </c>
      <c r="F68" t="s">
        <v>1325</v>
      </c>
      <c r="G68" t="s">
        <v>18055</v>
      </c>
      <c r="H68" t="s">
        <v>1112</v>
      </c>
      <c r="I68" t="s">
        <v>1108</v>
      </c>
      <c r="J68" t="s">
        <v>1327</v>
      </c>
      <c r="K68" t="s">
        <v>1328</v>
      </c>
      <c r="L68" t="s">
        <v>36</v>
      </c>
      <c r="M68" t="s">
        <v>19177</v>
      </c>
      <c r="N68" t="s">
        <v>97</v>
      </c>
      <c r="O68" t="s">
        <v>937</v>
      </c>
      <c r="P68" t="s">
        <v>12</v>
      </c>
    </row>
    <row r="69">
      <c r="A69">
        <f>HYPERLINK("http://bombeiros.sp.gov.br/hidrantes/03individual/2801.html","2801")</f>
      </c>
      <c r="B69" t="s">
        <v>12</v>
      </c>
      <c r="C69" t="s">
        <v>30</v>
      </c>
      <c r="D69" t="s">
        <v>30</v>
      </c>
      <c r="E69" t="s">
        <v>15</v>
      </c>
      <c r="F69" t="s">
        <v>1329</v>
      </c>
      <c r="G69" t="s">
        <v>18183</v>
      </c>
      <c r="H69" t="s">
        <v>1107</v>
      </c>
      <c r="I69" t="s">
        <v>1108</v>
      </c>
      <c r="J69" t="s">
        <v>1330</v>
      </c>
      <c r="K69" t="s">
        <v>1331</v>
      </c>
      <c r="L69" t="s">
        <v>21</v>
      </c>
      <c r="M69" t="s">
        <v>19177</v>
      </c>
      <c r="N69" t="s">
        <v>97</v>
      </c>
      <c r="O69" t="s">
        <v>937</v>
      </c>
      <c r="P69" t="s">
        <v>12</v>
      </c>
    </row>
    <row r="70">
      <c r="A70">
        <f>HYPERLINK("http://bombeiros.sp.gov.br/hidrantes/03individual/2802.html","2802")</f>
      </c>
      <c r="B70" t="s">
        <v>12</v>
      </c>
      <c r="C70" t="s">
        <v>30</v>
      </c>
      <c r="D70" t="s">
        <v>30</v>
      </c>
      <c r="E70" t="s">
        <v>15</v>
      </c>
      <c r="F70" t="s">
        <v>1332</v>
      </c>
      <c r="G70" t="s">
        <v>18183</v>
      </c>
      <c r="H70" t="s">
        <v>1112</v>
      </c>
      <c r="I70" t="s">
        <v>1108</v>
      </c>
      <c r="J70" t="s">
        <v>1333</v>
      </c>
      <c r="K70" t="s">
        <v>1334</v>
      </c>
      <c r="L70" t="s">
        <v>21</v>
      </c>
      <c r="M70" t="s">
        <v>19177</v>
      </c>
      <c r="N70" t="s">
        <v>97</v>
      </c>
      <c r="O70" t="s">
        <v>937</v>
      </c>
      <c r="P70" t="s">
        <v>12</v>
      </c>
    </row>
    <row r="71">
      <c r="A71">
        <f>HYPERLINK("http://bombeiros.sp.gov.br/hidrantes/03individual/2803.html","2803")</f>
      </c>
      <c r="B71" t="s">
        <v>12</v>
      </c>
      <c r="C71" t="s">
        <v>30</v>
      </c>
      <c r="D71" t="s">
        <v>30</v>
      </c>
      <c r="E71" t="s">
        <v>15</v>
      </c>
      <c r="F71" t="s">
        <v>1335</v>
      </c>
      <c r="G71" t="s">
        <v>18183</v>
      </c>
      <c r="H71" t="s">
        <v>1107</v>
      </c>
      <c r="I71" t="s">
        <v>1108</v>
      </c>
      <c r="J71" t="s">
        <v>1336</v>
      </c>
      <c r="K71" t="s">
        <v>1337</v>
      </c>
      <c r="L71" t="s">
        <v>21</v>
      </c>
      <c r="M71" t="s">
        <v>19177</v>
      </c>
      <c r="N71" t="s">
        <v>97</v>
      </c>
      <c r="O71" t="s">
        <v>937</v>
      </c>
      <c r="P71" t="s">
        <v>12</v>
      </c>
    </row>
    <row r="72">
      <c r="A72">
        <f>HYPERLINK("http://bombeiros.sp.gov.br/hidrantes/03individual/2806.html","2806")</f>
      </c>
      <c r="B72" t="s">
        <v>12</v>
      </c>
      <c r="C72" t="s">
        <v>30</v>
      </c>
      <c r="D72" t="s">
        <v>30</v>
      </c>
      <c r="E72" t="s">
        <v>15</v>
      </c>
      <c r="F72" t="s">
        <v>1338</v>
      </c>
      <c r="G72" t="s">
        <v>18183</v>
      </c>
      <c r="H72" t="s">
        <v>1112</v>
      </c>
      <c r="I72" t="s">
        <v>1108</v>
      </c>
      <c r="J72" t="s">
        <v>1339</v>
      </c>
      <c r="K72" t="s">
        <v>1340</v>
      </c>
      <c r="L72" t="s">
        <v>36</v>
      </c>
      <c r="M72" t="s">
        <v>19177</v>
      </c>
      <c r="N72" t="s">
        <v>97</v>
      </c>
      <c r="O72" t="s">
        <v>937</v>
      </c>
      <c r="P72" t="s">
        <v>12</v>
      </c>
    </row>
    <row r="73">
      <c r="A73">
        <f>HYPERLINK("http://bombeiros.sp.gov.br/hidrantes/03individual/2808.html","2808")</f>
      </c>
      <c r="B73" t="s">
        <v>12</v>
      </c>
      <c r="C73" t="s">
        <v>30</v>
      </c>
      <c r="D73" t="s">
        <v>30</v>
      </c>
      <c r="E73" t="s">
        <v>15</v>
      </c>
      <c r="F73" t="s">
        <v>1341</v>
      </c>
      <c r="G73" t="s">
        <v>18044</v>
      </c>
      <c r="H73" t="s">
        <v>1107</v>
      </c>
      <c r="I73" t="s">
        <v>1108</v>
      </c>
      <c r="J73" t="s">
        <v>1342</v>
      </c>
      <c r="K73" t="s">
        <v>1343</v>
      </c>
      <c r="L73" t="s">
        <v>21</v>
      </c>
      <c r="M73" t="s">
        <v>19177</v>
      </c>
      <c r="N73" t="s">
        <v>97</v>
      </c>
      <c r="O73" t="s">
        <v>937</v>
      </c>
      <c r="P73" t="s">
        <v>12</v>
      </c>
    </row>
    <row r="74">
      <c r="A74">
        <f>HYPERLINK("http://bombeiros.sp.gov.br/hidrantes/03individual/2811.html","2811")</f>
      </c>
      <c r="B74" t="s">
        <v>12</v>
      </c>
      <c r="C74" t="s">
        <v>30</v>
      </c>
      <c r="D74" t="s">
        <v>30</v>
      </c>
      <c r="E74" t="s">
        <v>15</v>
      </c>
      <c r="F74" t="s">
        <v>1344</v>
      </c>
      <c r="G74" t="s">
        <v>18044</v>
      </c>
      <c r="H74" t="s">
        <v>1107</v>
      </c>
      <c r="I74" t="s">
        <v>1108</v>
      </c>
      <c r="J74" t="s">
        <v>1345</v>
      </c>
      <c r="K74" t="s">
        <v>1346</v>
      </c>
      <c r="L74" t="s">
        <v>21</v>
      </c>
      <c r="M74" t="s">
        <v>19177</v>
      </c>
      <c r="N74" t="s">
        <v>97</v>
      </c>
      <c r="O74" t="s">
        <v>937</v>
      </c>
      <c r="P74" t="s">
        <v>12</v>
      </c>
    </row>
    <row r="75">
      <c r="A75">
        <f>HYPERLINK("http://bombeiros.sp.gov.br/hidrantes/03individual/2814.html","2814")</f>
      </c>
      <c r="B75" t="s">
        <v>12</v>
      </c>
      <c r="C75" t="s">
        <v>30</v>
      </c>
      <c r="D75" t="s">
        <v>30</v>
      </c>
      <c r="E75" t="s">
        <v>15</v>
      </c>
      <c r="F75" t="s">
        <v>1347</v>
      </c>
      <c r="G75" t="s">
        <v>18183</v>
      </c>
      <c r="H75" t="s">
        <v>1107</v>
      </c>
      <c r="I75" t="s">
        <v>1108</v>
      </c>
      <c r="J75" t="s">
        <v>1348</v>
      </c>
      <c r="K75" t="s">
        <v>1349</v>
      </c>
      <c r="L75" t="s">
        <v>21</v>
      </c>
      <c r="M75" t="s">
        <v>19177</v>
      </c>
      <c r="N75" t="s">
        <v>97</v>
      </c>
      <c r="O75" t="s">
        <v>937</v>
      </c>
      <c r="P75" t="s">
        <v>12</v>
      </c>
    </row>
    <row r="76">
      <c r="A76">
        <f>HYPERLINK("http://bombeiros.sp.gov.br/hidrantes/03individual/2930.html","2930")</f>
      </c>
      <c r="B76" t="s">
        <v>12</v>
      </c>
      <c r="C76" t="s">
        <v>30</v>
      </c>
      <c r="D76" t="s">
        <v>30</v>
      </c>
      <c r="E76" t="s">
        <v>15</v>
      </c>
      <c r="F76" t="s">
        <v>1350</v>
      </c>
      <c r="G76" t="s">
        <v>18046</v>
      </c>
      <c r="H76" t="s">
        <v>1112</v>
      </c>
      <c r="I76" t="s">
        <v>1108</v>
      </c>
      <c r="J76" t="s">
        <v>1351</v>
      </c>
      <c r="K76" t="s">
        <v>1352</v>
      </c>
      <c r="L76" t="s">
        <v>36</v>
      </c>
      <c r="M76" t="s">
        <v>19177</v>
      </c>
      <c r="N76" t="s">
        <v>97</v>
      </c>
      <c r="O76" t="s">
        <v>937</v>
      </c>
      <c r="P76" t="s">
        <v>12</v>
      </c>
    </row>
    <row r="77">
      <c r="A77">
        <f>HYPERLINK("http://bombeiros.sp.gov.br/hidrantes/03individual/16633.html","16633")</f>
      </c>
      <c r="B77" t="s">
        <v>12</v>
      </c>
      <c r="C77" t="s">
        <v>30</v>
      </c>
      <c r="D77" t="s">
        <v>30</v>
      </c>
      <c r="E77" t="s">
        <v>15</v>
      </c>
      <c r="F77" t="s">
        <v>1353</v>
      </c>
      <c r="G77" t="s">
        <v>18046</v>
      </c>
      <c r="H77" t="s">
        <v>1107</v>
      </c>
      <c r="I77" t="s">
        <v>1108</v>
      </c>
      <c r="J77" t="s">
        <v>1355</v>
      </c>
      <c r="K77" t="s">
        <v>1356</v>
      </c>
      <c r="L77" t="s">
        <v>21</v>
      </c>
      <c r="M77" t="s">
        <v>19177</v>
      </c>
      <c r="N77" t="s">
        <v>97</v>
      </c>
      <c r="O77" t="s">
        <v>937</v>
      </c>
      <c r="P77" t="s">
        <v>12</v>
      </c>
    </row>
    <row r="78">
      <c r="A78">
        <f>HYPERLINK("http://bombeiros.sp.gov.br/hidrantes/03individual/627.html","627")</f>
      </c>
      <c r="B78" t="s">
        <v>12</v>
      </c>
      <c r="C78" t="s">
        <v>30</v>
      </c>
      <c r="D78" t="s">
        <v>31</v>
      </c>
      <c r="E78" t="s">
        <v>64</v>
      </c>
      <c r="F78" t="s">
        <v>1357</v>
      </c>
      <c r="G78" t="s">
        <v>18045</v>
      </c>
      <c r="H78" t="s">
        <v>1174</v>
      </c>
      <c r="I78" t="s">
        <v>1108</v>
      </c>
      <c r="J78" t="s">
        <v>1359</v>
      </c>
      <c r="K78" t="s">
        <v>1360</v>
      </c>
      <c r="L78" t="s">
        <v>21</v>
      </c>
      <c r="M78" t="s">
        <v>19177</v>
      </c>
      <c r="N78" t="s">
        <v>97</v>
      </c>
      <c r="O78" t="s">
        <v>937</v>
      </c>
      <c r="P78" t="s">
        <v>12</v>
      </c>
    </row>
    <row r="79">
      <c r="A79">
        <f>HYPERLINK("http://bombeiros.sp.gov.br/hidrantes/03individual/795.html","795")</f>
      </c>
      <c r="B79" t="s">
        <v>12</v>
      </c>
      <c r="C79" t="s">
        <v>30</v>
      </c>
      <c r="D79" t="s">
        <v>31</v>
      </c>
      <c r="E79" t="s">
        <v>64</v>
      </c>
      <c r="F79" t="s">
        <v>1361</v>
      </c>
      <c r="G79" t="s">
        <v>18089</v>
      </c>
      <c r="H79" t="s">
        <v>1121</v>
      </c>
      <c r="I79" t="s">
        <v>1117</v>
      </c>
      <c r="J79" t="s">
        <v>1362</v>
      </c>
      <c r="K79" t="s">
        <v>1363</v>
      </c>
      <c r="L79" t="s">
        <v>21</v>
      </c>
      <c r="M79" t="s">
        <v>19177</v>
      </c>
      <c r="N79" t="s">
        <v>97</v>
      </c>
      <c r="O79" t="s">
        <v>937</v>
      </c>
      <c r="P79" t="s">
        <v>12</v>
      </c>
    </row>
    <row r="80">
      <c r="A80">
        <f>HYPERLINK("http://bombeiros.sp.gov.br/hidrantes/03individual/802.html","802")</f>
      </c>
      <c r="B80" t="s">
        <v>12</v>
      </c>
      <c r="C80" t="s">
        <v>30</v>
      </c>
      <c r="D80" t="s">
        <v>31</v>
      </c>
      <c r="E80" t="s">
        <v>64</v>
      </c>
      <c r="F80" t="s">
        <v>1364</v>
      </c>
      <c r="G80" t="s">
        <v>18044</v>
      </c>
      <c r="H80" t="s">
        <v>1174</v>
      </c>
      <c r="I80" t="s">
        <v>1108</v>
      </c>
      <c r="J80" t="s">
        <v>1365</v>
      </c>
      <c r="K80" t="s">
        <v>1366</v>
      </c>
      <c r="L80" t="s">
        <v>36</v>
      </c>
      <c r="M80" t="s">
        <v>19177</v>
      </c>
      <c r="N80" t="s">
        <v>97</v>
      </c>
      <c r="O80" t="s">
        <v>937</v>
      </c>
      <c r="P80" t="s">
        <v>12</v>
      </c>
    </row>
    <row r="81">
      <c r="A81">
        <f>HYPERLINK("http://bombeiros.sp.gov.br/hidrantes/03individual/2051.html","2051")</f>
      </c>
      <c r="B81" t="s">
        <v>12</v>
      </c>
      <c r="C81" t="s">
        <v>30</v>
      </c>
      <c r="D81" t="s">
        <v>31</v>
      </c>
      <c r="E81" t="s">
        <v>64</v>
      </c>
      <c r="F81" t="s">
        <v>1367</v>
      </c>
      <c r="G81" t="s">
        <v>18183</v>
      </c>
      <c r="H81" t="s">
        <v>1112</v>
      </c>
      <c r="I81" t="s">
        <v>1108</v>
      </c>
      <c r="J81" t="s">
        <v>1369</v>
      </c>
      <c r="K81" t="s">
        <v>1370</v>
      </c>
      <c r="L81" t="s">
        <v>36</v>
      </c>
      <c r="M81" t="s">
        <v>19177</v>
      </c>
      <c r="N81" t="s">
        <v>97</v>
      </c>
      <c r="O81" t="s">
        <v>937</v>
      </c>
      <c r="P81" t="s">
        <v>12</v>
      </c>
    </row>
    <row r="82">
      <c r="A82">
        <f>HYPERLINK("http://bombeiros.sp.gov.br/hidrantes/03individual/2053.html","2053")</f>
      </c>
      <c r="B82" t="s">
        <v>12</v>
      </c>
      <c r="C82" t="s">
        <v>30</v>
      </c>
      <c r="D82" t="s">
        <v>31</v>
      </c>
      <c r="E82" t="s">
        <v>64</v>
      </c>
      <c r="F82" t="s">
        <v>1371</v>
      </c>
      <c r="G82" t="s">
        <v>18183</v>
      </c>
      <c r="H82" t="s">
        <v>1112</v>
      </c>
      <c r="I82" t="s">
        <v>1108</v>
      </c>
      <c r="J82" t="s">
        <v>1372</v>
      </c>
      <c r="K82" t="s">
        <v>1373</v>
      </c>
      <c r="L82" t="s">
        <v>21</v>
      </c>
      <c r="M82" t="s">
        <v>19177</v>
      </c>
      <c r="N82" t="s">
        <v>97</v>
      </c>
      <c r="O82" t="s">
        <v>937</v>
      </c>
      <c r="P82" t="s">
        <v>12</v>
      </c>
    </row>
    <row r="83">
      <c r="A83">
        <f>HYPERLINK("http://bombeiros.sp.gov.br/hidrantes/03individual/2414.html","2414")</f>
      </c>
      <c r="B83" t="s">
        <v>12</v>
      </c>
      <c r="C83" t="s">
        <v>30</v>
      </c>
      <c r="D83" t="s">
        <v>31</v>
      </c>
      <c r="E83" t="s">
        <v>64</v>
      </c>
      <c r="F83" t="s">
        <v>1374</v>
      </c>
      <c r="G83" t="s">
        <v>18044</v>
      </c>
      <c r="H83" t="s">
        <v>1107</v>
      </c>
      <c r="I83" t="s">
        <v>1108</v>
      </c>
      <c r="J83" t="s">
        <v>1375</v>
      </c>
      <c r="K83" t="s">
        <v>1376</v>
      </c>
      <c r="L83" t="s">
        <v>36</v>
      </c>
      <c r="M83" t="s">
        <v>19177</v>
      </c>
      <c r="N83" t="s">
        <v>97</v>
      </c>
      <c r="O83" t="s">
        <v>937</v>
      </c>
      <c r="P83" t="s">
        <v>12</v>
      </c>
    </row>
    <row r="84">
      <c r="A84">
        <f>HYPERLINK("http://bombeiros.sp.gov.br/hidrantes/03individual/2416.html","2416")</f>
      </c>
      <c r="B84" t="s">
        <v>12</v>
      </c>
      <c r="C84" t="s">
        <v>30</v>
      </c>
      <c r="D84" t="s">
        <v>31</v>
      </c>
      <c r="E84" t="s">
        <v>64</v>
      </c>
      <c r="F84" t="s">
        <v>1377</v>
      </c>
      <c r="G84" t="s">
        <v>18044</v>
      </c>
      <c r="H84" t="s">
        <v>1107</v>
      </c>
      <c r="I84" t="s">
        <v>1108</v>
      </c>
      <c r="J84" t="s">
        <v>1378</v>
      </c>
      <c r="K84" t="s">
        <v>1379</v>
      </c>
      <c r="L84" t="s">
        <v>21</v>
      </c>
      <c r="M84" t="s">
        <v>19177</v>
      </c>
      <c r="N84" t="s">
        <v>97</v>
      </c>
      <c r="O84" t="s">
        <v>937</v>
      </c>
      <c r="P84" t="s">
        <v>12</v>
      </c>
    </row>
    <row r="85">
      <c r="A85">
        <f>HYPERLINK("http://bombeiros.sp.gov.br/hidrantes/03individual/2421.html","2421")</f>
      </c>
      <c r="B85" t="s">
        <v>12</v>
      </c>
      <c r="C85" t="s">
        <v>30</v>
      </c>
      <c r="D85" t="s">
        <v>31</v>
      </c>
      <c r="E85" t="s">
        <v>64</v>
      </c>
      <c r="F85" t="s">
        <v>1380</v>
      </c>
      <c r="G85" t="s">
        <v>18044</v>
      </c>
      <c r="H85" t="s">
        <v>1107</v>
      </c>
      <c r="I85" t="s">
        <v>1108</v>
      </c>
      <c r="J85" t="s">
        <v>1381</v>
      </c>
      <c r="K85" t="s">
        <v>1382</v>
      </c>
      <c r="L85" t="s">
        <v>36</v>
      </c>
      <c r="M85" t="s">
        <v>19177</v>
      </c>
      <c r="N85" t="s">
        <v>97</v>
      </c>
      <c r="O85" t="s">
        <v>937</v>
      </c>
      <c r="P85" t="s">
        <v>12</v>
      </c>
    </row>
    <row r="86">
      <c r="A86">
        <f>HYPERLINK("http://bombeiros.sp.gov.br/hidrantes/03individual/2423.html","2423")</f>
      </c>
      <c r="B86" t="s">
        <v>12</v>
      </c>
      <c r="C86" t="s">
        <v>30</v>
      </c>
      <c r="D86" t="s">
        <v>31</v>
      </c>
      <c r="E86" t="s">
        <v>64</v>
      </c>
      <c r="F86" t="s">
        <v>1383</v>
      </c>
      <c r="G86" t="s">
        <v>18048</v>
      </c>
      <c r="H86" t="s">
        <v>1107</v>
      </c>
      <c r="I86" t="s">
        <v>1108</v>
      </c>
      <c r="J86" t="s">
        <v>1385</v>
      </c>
      <c r="K86" t="s">
        <v>1386</v>
      </c>
      <c r="L86" t="s">
        <v>21</v>
      </c>
      <c r="M86" t="s">
        <v>19177</v>
      </c>
      <c r="N86" t="s">
        <v>97</v>
      </c>
      <c r="O86" t="s">
        <v>937</v>
      </c>
      <c r="P86" t="s">
        <v>12</v>
      </c>
    </row>
    <row r="87">
      <c r="A87">
        <f>HYPERLINK("http://bombeiros.sp.gov.br/hidrantes/03individual/2433.html","2433")</f>
      </c>
      <c r="B87" t="s">
        <v>12</v>
      </c>
      <c r="C87" t="s">
        <v>30</v>
      </c>
      <c r="D87" t="s">
        <v>31</v>
      </c>
      <c r="E87" t="s">
        <v>64</v>
      </c>
      <c r="F87" t="s">
        <v>1387</v>
      </c>
      <c r="G87" t="s">
        <v>18044</v>
      </c>
      <c r="H87" t="s">
        <v>1107</v>
      </c>
      <c r="I87" t="s">
        <v>1108</v>
      </c>
      <c r="J87" t="s">
        <v>1388</v>
      </c>
      <c r="K87" t="s">
        <v>1389</v>
      </c>
      <c r="L87" t="s">
        <v>36</v>
      </c>
      <c r="M87" t="s">
        <v>19177</v>
      </c>
      <c r="N87" t="s">
        <v>97</v>
      </c>
      <c r="O87" t="s">
        <v>937</v>
      </c>
      <c r="P87" t="s">
        <v>12</v>
      </c>
    </row>
    <row r="88">
      <c r="A88">
        <f>HYPERLINK("http://bombeiros.sp.gov.br/hidrantes/03individual/2439.html","2439")</f>
      </c>
      <c r="B88" t="s">
        <v>12</v>
      </c>
      <c r="C88" t="s">
        <v>30</v>
      </c>
      <c r="D88" t="s">
        <v>31</v>
      </c>
      <c r="E88" t="s">
        <v>64</v>
      </c>
      <c r="F88" t="s">
        <v>1390</v>
      </c>
      <c r="G88" t="s">
        <v>18044</v>
      </c>
      <c r="H88" t="s">
        <v>1107</v>
      </c>
      <c r="I88" t="s">
        <v>1108</v>
      </c>
      <c r="J88" t="s">
        <v>1391</v>
      </c>
      <c r="K88" t="s">
        <v>1392</v>
      </c>
      <c r="L88" t="s">
        <v>21</v>
      </c>
      <c r="M88" t="s">
        <v>19177</v>
      </c>
      <c r="N88" t="s">
        <v>97</v>
      </c>
      <c r="O88" t="s">
        <v>937</v>
      </c>
      <c r="P88" t="s">
        <v>12</v>
      </c>
    </row>
    <row r="89">
      <c r="A89">
        <f>HYPERLINK("http://bombeiros.sp.gov.br/hidrantes/03individual/2817.html","2817")</f>
      </c>
      <c r="B89" t="s">
        <v>12</v>
      </c>
      <c r="C89" t="s">
        <v>30</v>
      </c>
      <c r="D89" t="s">
        <v>31</v>
      </c>
      <c r="E89" t="s">
        <v>64</v>
      </c>
      <c r="F89" t="s">
        <v>1393</v>
      </c>
      <c r="G89" t="s">
        <v>18044</v>
      </c>
      <c r="H89" t="s">
        <v>1107</v>
      </c>
      <c r="I89" t="s">
        <v>1117</v>
      </c>
      <c r="J89" t="s">
        <v>1394</v>
      </c>
      <c r="K89" t="s">
        <v>1395</v>
      </c>
      <c r="L89" t="s">
        <v>36</v>
      </c>
      <c r="M89" t="s">
        <v>19177</v>
      </c>
      <c r="N89" t="s">
        <v>97</v>
      </c>
      <c r="O89" t="s">
        <v>937</v>
      </c>
      <c r="P89" t="s">
        <v>12</v>
      </c>
    </row>
    <row r="90">
      <c r="A90">
        <f>HYPERLINK("http://bombeiros.sp.gov.br/hidrantes/03individual/556.html","556")</f>
      </c>
      <c r="B90" t="s">
        <v>12</v>
      </c>
      <c r="C90" t="s">
        <v>30</v>
      </c>
      <c r="D90" t="s">
        <v>31</v>
      </c>
      <c r="E90" t="s">
        <v>15</v>
      </c>
      <c r="F90" t="s">
        <v>1396</v>
      </c>
      <c r="G90" t="s">
        <v>18047</v>
      </c>
      <c r="H90" t="s">
        <v>1107</v>
      </c>
      <c r="I90" t="s">
        <v>1108</v>
      </c>
      <c r="J90" t="s">
        <v>1397</v>
      </c>
      <c r="K90" t="s">
        <v>1398</v>
      </c>
      <c r="L90" t="s">
        <v>21</v>
      </c>
      <c r="M90" t="s">
        <v>19177</v>
      </c>
      <c r="N90" t="s">
        <v>97</v>
      </c>
      <c r="O90" t="s">
        <v>937</v>
      </c>
      <c r="P90" t="s">
        <v>12</v>
      </c>
    </row>
    <row r="91">
      <c r="A91">
        <f>HYPERLINK("http://bombeiros.sp.gov.br/hidrantes/03individual/611.html","611")</f>
      </c>
      <c r="B91" t="s">
        <v>12</v>
      </c>
      <c r="C91" t="s">
        <v>30</v>
      </c>
      <c r="D91" t="s">
        <v>31</v>
      </c>
      <c r="E91" t="s">
        <v>15</v>
      </c>
      <c r="F91" t="s">
        <v>1399</v>
      </c>
      <c r="G91" t="s">
        <v>18097</v>
      </c>
      <c r="H91" t="s">
        <v>1107</v>
      </c>
      <c r="I91" t="s">
        <v>1108</v>
      </c>
      <c r="J91" t="s">
        <v>1400</v>
      </c>
      <c r="K91" t="s">
        <v>1401</v>
      </c>
      <c r="L91" t="s">
        <v>21</v>
      </c>
      <c r="M91" t="s">
        <v>19177</v>
      </c>
      <c r="N91" t="s">
        <v>97</v>
      </c>
      <c r="O91" t="s">
        <v>937</v>
      </c>
      <c r="P91" t="s">
        <v>12</v>
      </c>
    </row>
    <row r="92">
      <c r="A92">
        <f>HYPERLINK("http://bombeiros.sp.gov.br/hidrantes/03individual/628.html","628")</f>
      </c>
      <c r="B92" t="s">
        <v>12</v>
      </c>
      <c r="C92" t="s">
        <v>30</v>
      </c>
      <c r="D92" t="s">
        <v>31</v>
      </c>
      <c r="E92" t="s">
        <v>15</v>
      </c>
      <c r="F92" t="s">
        <v>1402</v>
      </c>
      <c r="G92" t="s">
        <v>18047</v>
      </c>
      <c r="H92" t="s">
        <v>1107</v>
      </c>
      <c r="I92" t="s">
        <v>1108</v>
      </c>
      <c r="J92" t="s">
        <v>1403</v>
      </c>
      <c r="K92" t="s">
        <v>1404</v>
      </c>
      <c r="L92" t="s">
        <v>21</v>
      </c>
      <c r="M92" t="s">
        <v>19177</v>
      </c>
      <c r="N92" t="s">
        <v>97</v>
      </c>
      <c r="O92" t="s">
        <v>937</v>
      </c>
      <c r="P92" t="s">
        <v>12</v>
      </c>
    </row>
    <row r="93">
      <c r="A93">
        <f>HYPERLINK("http://bombeiros.sp.gov.br/hidrantes/03individual/638.html","638")</f>
      </c>
      <c r="B93" t="s">
        <v>12</v>
      </c>
      <c r="C93" t="s">
        <v>30</v>
      </c>
      <c r="D93" t="s">
        <v>31</v>
      </c>
      <c r="E93" t="s">
        <v>15</v>
      </c>
      <c r="F93" t="s">
        <v>1405</v>
      </c>
      <c r="G93" t="s">
        <v>18097</v>
      </c>
      <c r="H93" t="s">
        <v>1107</v>
      </c>
      <c r="I93" t="s">
        <v>1108</v>
      </c>
      <c r="J93" t="s">
        <v>1406</v>
      </c>
      <c r="K93" t="s">
        <v>1407</v>
      </c>
      <c r="L93" t="s">
        <v>21</v>
      </c>
      <c r="M93" t="s">
        <v>19177</v>
      </c>
      <c r="N93" t="s">
        <v>97</v>
      </c>
      <c r="O93" t="s">
        <v>937</v>
      </c>
      <c r="P93" t="s">
        <v>12</v>
      </c>
    </row>
    <row r="94">
      <c r="A94">
        <f>HYPERLINK("http://bombeiros.sp.gov.br/hidrantes/03individual/647.html","647")</f>
      </c>
      <c r="B94" t="s">
        <v>12</v>
      </c>
      <c r="C94" t="s">
        <v>30</v>
      </c>
      <c r="D94" t="s">
        <v>31</v>
      </c>
      <c r="E94" t="s">
        <v>15</v>
      </c>
      <c r="F94" t="s">
        <v>1408</v>
      </c>
      <c r="G94" t="s">
        <v>18047</v>
      </c>
      <c r="H94" t="s">
        <v>1107</v>
      </c>
      <c r="I94" t="s">
        <v>1108</v>
      </c>
      <c r="J94" t="s">
        <v>1409</v>
      </c>
      <c r="K94" t="s">
        <v>1410</v>
      </c>
      <c r="L94" t="s">
        <v>21</v>
      </c>
      <c r="M94" t="s">
        <v>19177</v>
      </c>
      <c r="N94" t="s">
        <v>97</v>
      </c>
      <c r="O94" t="s">
        <v>937</v>
      </c>
      <c r="P94" t="s">
        <v>12</v>
      </c>
    </row>
    <row r="95">
      <c r="A95">
        <f>HYPERLINK("http://bombeiros.sp.gov.br/hidrantes/03individual/693.html","693")</f>
      </c>
      <c r="B95" t="s">
        <v>12</v>
      </c>
      <c r="C95" t="s">
        <v>30</v>
      </c>
      <c r="D95" t="s">
        <v>31</v>
      </c>
      <c r="E95" t="s">
        <v>15</v>
      </c>
      <c r="F95" t="s">
        <v>1411</v>
      </c>
      <c r="G95" t="s">
        <v>18047</v>
      </c>
      <c r="H95" t="s">
        <v>1107</v>
      </c>
      <c r="I95" t="s">
        <v>1108</v>
      </c>
      <c r="J95" t="s">
        <v>17482</v>
      </c>
      <c r="K95" t="s">
        <v>17483</v>
      </c>
      <c r="L95" t="s">
        <v>21</v>
      </c>
      <c r="M95" t="s">
        <v>19177</v>
      </c>
      <c r="N95" t="s">
        <v>97</v>
      </c>
      <c r="O95" t="s">
        <v>937</v>
      </c>
      <c r="P95" t="s">
        <v>12</v>
      </c>
    </row>
    <row r="96">
      <c r="A96">
        <f>HYPERLINK("http://bombeiros.sp.gov.br/hidrantes/03individual/696.html","696")</f>
      </c>
      <c r="B96" t="s">
        <v>12</v>
      </c>
      <c r="C96" t="s">
        <v>30</v>
      </c>
      <c r="D96" t="s">
        <v>31</v>
      </c>
      <c r="E96" t="s">
        <v>15</v>
      </c>
      <c r="F96" t="s">
        <v>1414</v>
      </c>
      <c r="G96" t="s">
        <v>18047</v>
      </c>
      <c r="H96" t="s">
        <v>1107</v>
      </c>
      <c r="I96" t="s">
        <v>1108</v>
      </c>
      <c r="J96" t="s">
        <v>15869</v>
      </c>
      <c r="K96" t="s">
        <v>15870</v>
      </c>
      <c r="L96" t="s">
        <v>21</v>
      </c>
      <c r="M96" t="s">
        <v>19177</v>
      </c>
      <c r="N96" t="s">
        <v>97</v>
      </c>
      <c r="O96" t="s">
        <v>937</v>
      </c>
      <c r="P96" t="s">
        <v>12</v>
      </c>
    </row>
    <row r="97">
      <c r="A97">
        <f>HYPERLINK("http://bombeiros.sp.gov.br/hidrantes/03individual/697.html","697")</f>
      </c>
      <c r="B97" t="s">
        <v>12</v>
      </c>
      <c r="C97" t="s">
        <v>30</v>
      </c>
      <c r="D97" t="s">
        <v>31</v>
      </c>
      <c r="E97" t="s">
        <v>15</v>
      </c>
      <c r="F97" t="s">
        <v>1417</v>
      </c>
      <c r="G97" t="s">
        <v>18047</v>
      </c>
      <c r="H97" t="s">
        <v>1107</v>
      </c>
      <c r="I97" t="s">
        <v>1108</v>
      </c>
      <c r="J97" t="s">
        <v>1419</v>
      </c>
      <c r="K97" t="s">
        <v>1420</v>
      </c>
      <c r="L97" t="s">
        <v>21</v>
      </c>
      <c r="M97" t="s">
        <v>19177</v>
      </c>
      <c r="N97" t="s">
        <v>97</v>
      </c>
      <c r="O97" t="s">
        <v>937</v>
      </c>
      <c r="P97" t="s">
        <v>12</v>
      </c>
    </row>
    <row r="98">
      <c r="A98">
        <f>HYPERLINK("http://bombeiros.sp.gov.br/hidrantes/03individual/707.html","707")</f>
      </c>
      <c r="B98" t="s">
        <v>12</v>
      </c>
      <c r="C98" t="s">
        <v>30</v>
      </c>
      <c r="D98" t="s">
        <v>31</v>
      </c>
      <c r="E98" t="s">
        <v>15</v>
      </c>
      <c r="F98" t="s">
        <v>1424</v>
      </c>
      <c r="G98" t="s">
        <v>18047</v>
      </c>
      <c r="H98" t="s">
        <v>1107</v>
      </c>
      <c r="I98" t="s">
        <v>1108</v>
      </c>
      <c r="J98" t="s">
        <v>1425</v>
      </c>
      <c r="K98" t="s">
        <v>1426</v>
      </c>
      <c r="L98" t="s">
        <v>21</v>
      </c>
      <c r="M98" t="s">
        <v>19177</v>
      </c>
      <c r="N98" t="s">
        <v>97</v>
      </c>
      <c r="O98" t="s">
        <v>937</v>
      </c>
      <c r="P98" t="s">
        <v>12</v>
      </c>
    </row>
    <row r="99">
      <c r="A99">
        <f>HYPERLINK("http://bombeiros.sp.gov.br/hidrantes/03individual/738.html","738")</f>
      </c>
      <c r="B99" t="s">
        <v>12</v>
      </c>
      <c r="C99" t="s">
        <v>30</v>
      </c>
      <c r="D99" t="s">
        <v>31</v>
      </c>
      <c r="E99" t="s">
        <v>15</v>
      </c>
      <c r="F99" t="s">
        <v>1427</v>
      </c>
      <c r="G99" t="s">
        <v>18047</v>
      </c>
      <c r="H99" t="s">
        <v>1107</v>
      </c>
      <c r="I99" t="s">
        <v>1108</v>
      </c>
      <c r="J99" t="s">
        <v>1428</v>
      </c>
      <c r="K99" t="s">
        <v>1429</v>
      </c>
      <c r="L99" t="s">
        <v>21</v>
      </c>
      <c r="M99" t="s">
        <v>19177</v>
      </c>
      <c r="N99" t="s">
        <v>97</v>
      </c>
      <c r="O99" t="s">
        <v>937</v>
      </c>
      <c r="P99" t="s">
        <v>12</v>
      </c>
    </row>
    <row r="100">
      <c r="A100">
        <f>HYPERLINK("http://bombeiros.sp.gov.br/hidrantes/03individual/776.html","776")</f>
      </c>
      <c r="B100" t="s">
        <v>12</v>
      </c>
      <c r="C100" t="s">
        <v>30</v>
      </c>
      <c r="D100" t="s">
        <v>31</v>
      </c>
      <c r="E100" t="s">
        <v>15</v>
      </c>
      <c r="F100" t="s">
        <v>1430</v>
      </c>
      <c r="G100" t="s">
        <v>18045</v>
      </c>
      <c r="H100" t="s">
        <v>1107</v>
      </c>
      <c r="I100" t="s">
        <v>1108</v>
      </c>
      <c r="J100" t="s">
        <v>1431</v>
      </c>
      <c r="K100" t="s">
        <v>1432</v>
      </c>
      <c r="L100" t="s">
        <v>36</v>
      </c>
      <c r="M100" t="s">
        <v>19177</v>
      </c>
      <c r="N100" t="s">
        <v>97</v>
      </c>
      <c r="O100" t="s">
        <v>937</v>
      </c>
      <c r="P100" t="s">
        <v>12</v>
      </c>
    </row>
    <row r="101">
      <c r="A101">
        <f>HYPERLINK("http://bombeiros.sp.gov.br/hidrantes/03individual/782.html","782")</f>
      </c>
      <c r="B101" t="s">
        <v>12</v>
      </c>
      <c r="C101" t="s">
        <v>30</v>
      </c>
      <c r="D101" t="s">
        <v>31</v>
      </c>
      <c r="E101" t="s">
        <v>15</v>
      </c>
      <c r="F101" t="s">
        <v>1433</v>
      </c>
      <c r="G101" t="s">
        <v>18044</v>
      </c>
      <c r="H101" t="s">
        <v>1174</v>
      </c>
      <c r="I101" t="s">
        <v>1108</v>
      </c>
      <c r="J101" t="s">
        <v>1434</v>
      </c>
      <c r="K101" t="s">
        <v>1435</v>
      </c>
      <c r="L101" t="s">
        <v>21</v>
      </c>
      <c r="M101" t="s">
        <v>19177</v>
      </c>
      <c r="N101" t="s">
        <v>97</v>
      </c>
      <c r="O101" t="s">
        <v>937</v>
      </c>
      <c r="P101" t="s">
        <v>12</v>
      </c>
    </row>
    <row r="102">
      <c r="A102">
        <f>HYPERLINK("http://bombeiros.sp.gov.br/hidrantes/03individual/785.html","785")</f>
      </c>
      <c r="B102" t="s">
        <v>12</v>
      </c>
      <c r="C102" t="s">
        <v>30</v>
      </c>
      <c r="D102" t="s">
        <v>31</v>
      </c>
      <c r="E102" t="s">
        <v>15</v>
      </c>
      <c r="F102" t="s">
        <v>1436</v>
      </c>
      <c r="G102" t="s">
        <v>18089</v>
      </c>
      <c r="H102" t="s">
        <v>1121</v>
      </c>
      <c r="I102" t="s">
        <v>1117</v>
      </c>
      <c r="J102" t="s">
        <v>1437</v>
      </c>
      <c r="K102" t="s">
        <v>1438</v>
      </c>
      <c r="L102" t="s">
        <v>21</v>
      </c>
      <c r="M102" t="s">
        <v>19177</v>
      </c>
      <c r="N102" t="s">
        <v>97</v>
      </c>
      <c r="O102" t="s">
        <v>937</v>
      </c>
      <c r="P102" t="s">
        <v>12</v>
      </c>
    </row>
    <row r="103">
      <c r="A103">
        <f>HYPERLINK("http://bombeiros.sp.gov.br/hidrantes/03individual/800.html","800")</f>
      </c>
      <c r="B103" t="s">
        <v>12</v>
      </c>
      <c r="C103" t="s">
        <v>30</v>
      </c>
      <c r="D103" t="s">
        <v>31</v>
      </c>
      <c r="E103" t="s">
        <v>15</v>
      </c>
      <c r="F103" t="s">
        <v>1439</v>
      </c>
      <c r="G103" t="s">
        <v>18044</v>
      </c>
      <c r="H103" t="s">
        <v>1174</v>
      </c>
      <c r="I103" t="s">
        <v>1117</v>
      </c>
      <c r="J103" t="s">
        <v>1440</v>
      </c>
      <c r="K103" t="s">
        <v>1441</v>
      </c>
      <c r="L103" t="s">
        <v>21</v>
      </c>
      <c r="M103" t="s">
        <v>19177</v>
      </c>
      <c r="N103" t="s">
        <v>97</v>
      </c>
      <c r="O103" t="s">
        <v>937</v>
      </c>
      <c r="P103" t="s">
        <v>12</v>
      </c>
    </row>
    <row r="104">
      <c r="A104">
        <f>HYPERLINK("http://bombeiros.sp.gov.br/hidrantes/03individual/801.html","801")</f>
      </c>
      <c r="B104" t="s">
        <v>12</v>
      </c>
      <c r="C104" t="s">
        <v>30</v>
      </c>
      <c r="D104" t="s">
        <v>31</v>
      </c>
      <c r="E104" t="s">
        <v>15</v>
      </c>
      <c r="F104" t="s">
        <v>1442</v>
      </c>
      <c r="G104" t="s">
        <v>18044</v>
      </c>
      <c r="H104" t="s">
        <v>1107</v>
      </c>
      <c r="I104" t="s">
        <v>1108</v>
      </c>
      <c r="J104" t="s">
        <v>1443</v>
      </c>
      <c r="K104" t="s">
        <v>1444</v>
      </c>
      <c r="L104" t="s">
        <v>21</v>
      </c>
      <c r="M104" t="s">
        <v>19177</v>
      </c>
      <c r="N104" t="s">
        <v>97</v>
      </c>
      <c r="O104" t="s">
        <v>937</v>
      </c>
      <c r="P104" t="s">
        <v>12</v>
      </c>
    </row>
    <row r="105">
      <c r="A105">
        <f>HYPERLINK("http://bombeiros.sp.gov.br/hidrantes/03individual/888.html","888")</f>
      </c>
      <c r="B105" t="s">
        <v>12</v>
      </c>
      <c r="C105" t="s">
        <v>30</v>
      </c>
      <c r="D105" t="s">
        <v>31</v>
      </c>
      <c r="E105" t="s">
        <v>15</v>
      </c>
      <c r="F105" t="s">
        <v>1445</v>
      </c>
      <c r="G105" t="s">
        <v>18044</v>
      </c>
      <c r="H105" t="s">
        <v>1121</v>
      </c>
      <c r="I105" t="s">
        <v>1117</v>
      </c>
      <c r="J105" t="s">
        <v>1446</v>
      </c>
      <c r="K105" t="s">
        <v>1447</v>
      </c>
      <c r="L105" t="s">
        <v>21</v>
      </c>
      <c r="M105" t="s">
        <v>19177</v>
      </c>
      <c r="N105" t="s">
        <v>97</v>
      </c>
      <c r="O105" t="s">
        <v>937</v>
      </c>
      <c r="P105" t="s">
        <v>12</v>
      </c>
    </row>
    <row r="106">
      <c r="A106">
        <f>HYPERLINK("http://bombeiros.sp.gov.br/hidrantes/03individual/2039.html","2039")</f>
      </c>
      <c r="B106" t="s">
        <v>12</v>
      </c>
      <c r="C106" t="s">
        <v>30</v>
      </c>
      <c r="D106" t="s">
        <v>31</v>
      </c>
      <c r="E106" t="s">
        <v>15</v>
      </c>
      <c r="F106" t="s">
        <v>1448</v>
      </c>
      <c r="G106" t="s">
        <v>18048</v>
      </c>
      <c r="H106" t="s">
        <v>1107</v>
      </c>
      <c r="I106" t="s">
        <v>1108</v>
      </c>
      <c r="J106" t="s">
        <v>1449</v>
      </c>
      <c r="K106" t="s">
        <v>1450</v>
      </c>
      <c r="L106" t="s">
        <v>21</v>
      </c>
      <c r="M106" t="s">
        <v>19177</v>
      </c>
      <c r="N106" t="s">
        <v>97</v>
      </c>
      <c r="O106" t="s">
        <v>937</v>
      </c>
      <c r="P106" t="s">
        <v>12</v>
      </c>
    </row>
    <row r="107">
      <c r="A107">
        <f>HYPERLINK("http://bombeiros.sp.gov.br/hidrantes/03individual/2046.html","2046")</f>
      </c>
      <c r="B107" t="s">
        <v>12</v>
      </c>
      <c r="C107" t="s">
        <v>30</v>
      </c>
      <c r="D107" t="s">
        <v>31</v>
      </c>
      <c r="E107" t="s">
        <v>15</v>
      </c>
      <c r="F107" t="s">
        <v>1451</v>
      </c>
      <c r="G107" t="s">
        <v>18183</v>
      </c>
      <c r="H107" t="s">
        <v>1112</v>
      </c>
      <c r="I107" t="s">
        <v>1108</v>
      </c>
      <c r="J107" t="s">
        <v>1452</v>
      </c>
      <c r="K107" t="s">
        <v>1453</v>
      </c>
      <c r="L107" t="s">
        <v>21</v>
      </c>
      <c r="M107" t="s">
        <v>19177</v>
      </c>
      <c r="N107" t="s">
        <v>97</v>
      </c>
      <c r="O107" t="s">
        <v>937</v>
      </c>
      <c r="P107" t="s">
        <v>12</v>
      </c>
    </row>
    <row r="108">
      <c r="A108">
        <f>HYPERLINK("http://bombeiros.sp.gov.br/hidrantes/03individual/2048.html","2048")</f>
      </c>
      <c r="B108" t="s">
        <v>12</v>
      </c>
      <c r="C108" t="s">
        <v>30</v>
      </c>
      <c r="D108" t="s">
        <v>31</v>
      </c>
      <c r="E108" t="s">
        <v>15</v>
      </c>
      <c r="F108" t="s">
        <v>32</v>
      </c>
      <c r="G108" t="s">
        <v>18183</v>
      </c>
      <c r="H108" t="s">
        <v>1107</v>
      </c>
      <c r="I108" t="s">
        <v>1108</v>
      </c>
      <c r="J108" t="s">
        <v>34</v>
      </c>
      <c r="K108" t="s">
        <v>35</v>
      </c>
      <c r="L108" t="s">
        <v>36</v>
      </c>
      <c r="M108" t="s">
        <v>19177</v>
      </c>
      <c r="N108" t="s">
        <v>97</v>
      </c>
      <c r="O108" t="s">
        <v>937</v>
      </c>
      <c r="P108" t="s">
        <v>12</v>
      </c>
    </row>
    <row r="109">
      <c r="A109">
        <f>HYPERLINK("http://bombeiros.sp.gov.br/hidrantes/03individual/2054.html","2054")</f>
      </c>
      <c r="B109" t="s">
        <v>12</v>
      </c>
      <c r="C109" t="s">
        <v>30</v>
      </c>
      <c r="D109" t="s">
        <v>31</v>
      </c>
      <c r="E109" t="s">
        <v>15</v>
      </c>
      <c r="F109" t="s">
        <v>1454</v>
      </c>
      <c r="G109" t="s">
        <v>18072</v>
      </c>
      <c r="H109" t="s">
        <v>1121</v>
      </c>
      <c r="I109" t="s">
        <v>1117</v>
      </c>
      <c r="J109" t="s">
        <v>1455</v>
      </c>
      <c r="K109" t="s">
        <v>1456</v>
      </c>
      <c r="L109" t="s">
        <v>21</v>
      </c>
      <c r="M109" t="s">
        <v>19177</v>
      </c>
      <c r="N109" t="s">
        <v>97</v>
      </c>
      <c r="O109" t="s">
        <v>937</v>
      </c>
      <c r="P109" t="s">
        <v>12</v>
      </c>
    </row>
    <row r="110">
      <c r="A110">
        <f>HYPERLINK("http://bombeiros.sp.gov.br/hidrantes/03individual/2413.html","2413")</f>
      </c>
      <c r="B110" t="s">
        <v>12</v>
      </c>
      <c r="C110" t="s">
        <v>30</v>
      </c>
      <c r="D110" t="s">
        <v>31</v>
      </c>
      <c r="E110" t="s">
        <v>15</v>
      </c>
      <c r="F110" t="s">
        <v>1457</v>
      </c>
      <c r="G110" t="s">
        <v>18044</v>
      </c>
      <c r="H110" t="s">
        <v>1174</v>
      </c>
      <c r="I110" t="s">
        <v>1108</v>
      </c>
      <c r="J110" t="s">
        <v>1458</v>
      </c>
      <c r="K110" t="s">
        <v>1459</v>
      </c>
      <c r="L110" t="s">
        <v>21</v>
      </c>
      <c r="M110" t="s">
        <v>19177</v>
      </c>
      <c r="N110" t="s">
        <v>97</v>
      </c>
      <c r="O110" t="s">
        <v>937</v>
      </c>
      <c r="P110" t="s">
        <v>12</v>
      </c>
    </row>
    <row r="111">
      <c r="A111">
        <f>HYPERLINK("http://bombeiros.sp.gov.br/hidrantes/03individual/2417.html","2417")</f>
      </c>
      <c r="B111" t="s">
        <v>12</v>
      </c>
      <c r="C111" t="s">
        <v>30</v>
      </c>
      <c r="D111" t="s">
        <v>31</v>
      </c>
      <c r="E111" t="s">
        <v>15</v>
      </c>
      <c r="F111" t="s">
        <v>1460</v>
      </c>
      <c r="G111" t="s">
        <v>18183</v>
      </c>
      <c r="H111" t="s">
        <v>1107</v>
      </c>
      <c r="I111" t="s">
        <v>1108</v>
      </c>
      <c r="J111" t="s">
        <v>1461</v>
      </c>
      <c r="K111" t="s">
        <v>1462</v>
      </c>
      <c r="L111" t="s">
        <v>21</v>
      </c>
      <c r="M111" t="s">
        <v>19177</v>
      </c>
      <c r="N111" t="s">
        <v>97</v>
      </c>
      <c r="O111" t="s">
        <v>937</v>
      </c>
      <c r="P111" t="s">
        <v>12</v>
      </c>
    </row>
    <row r="112">
      <c r="A112">
        <f>HYPERLINK("http://bombeiros.sp.gov.br/hidrantes/03individual/2422.html","2422")</f>
      </c>
      <c r="B112" t="s">
        <v>12</v>
      </c>
      <c r="C112" t="s">
        <v>30</v>
      </c>
      <c r="D112" t="s">
        <v>31</v>
      </c>
      <c r="E112" t="s">
        <v>15</v>
      </c>
      <c r="F112" t="s">
        <v>1466</v>
      </c>
      <c r="G112" t="s">
        <v>18044</v>
      </c>
      <c r="H112" t="s">
        <v>1107</v>
      </c>
      <c r="I112" t="s">
        <v>1108</v>
      </c>
      <c r="J112" t="s">
        <v>1467</v>
      </c>
      <c r="K112" t="s">
        <v>1468</v>
      </c>
      <c r="L112" t="s">
        <v>21</v>
      </c>
      <c r="M112" t="s">
        <v>19177</v>
      </c>
      <c r="N112" t="s">
        <v>97</v>
      </c>
      <c r="O112" t="s">
        <v>937</v>
      </c>
      <c r="P112" t="s">
        <v>12</v>
      </c>
    </row>
    <row r="113">
      <c r="A113">
        <f>HYPERLINK("http://bombeiros.sp.gov.br/hidrantes/03individual/2427.html","2427")</f>
      </c>
      <c r="B113" t="s">
        <v>12</v>
      </c>
      <c r="C113" t="s">
        <v>30</v>
      </c>
      <c r="D113" t="s">
        <v>31</v>
      </c>
      <c r="E113" t="s">
        <v>15</v>
      </c>
      <c r="F113" t="s">
        <v>1469</v>
      </c>
      <c r="G113" t="s">
        <v>18044</v>
      </c>
      <c r="H113" t="s">
        <v>1121</v>
      </c>
      <c r="I113" t="s">
        <v>1117</v>
      </c>
      <c r="J113" t="s">
        <v>1470</v>
      </c>
      <c r="K113" t="s">
        <v>1471</v>
      </c>
      <c r="L113" t="s">
        <v>21</v>
      </c>
      <c r="M113" t="s">
        <v>19177</v>
      </c>
      <c r="N113" t="s">
        <v>97</v>
      </c>
      <c r="O113" t="s">
        <v>937</v>
      </c>
      <c r="P113" t="s">
        <v>12</v>
      </c>
    </row>
    <row r="114">
      <c r="A114">
        <f>HYPERLINK("http://bombeiros.sp.gov.br/hidrantes/03individual/2428.html","2428")</f>
      </c>
      <c r="B114" t="s">
        <v>12</v>
      </c>
      <c r="C114" t="s">
        <v>30</v>
      </c>
      <c r="D114" t="s">
        <v>31</v>
      </c>
      <c r="E114" t="s">
        <v>15</v>
      </c>
      <c r="F114" t="s">
        <v>1472</v>
      </c>
      <c r="G114" t="s">
        <v>18044</v>
      </c>
      <c r="H114" t="s">
        <v>1174</v>
      </c>
      <c r="I114" t="s">
        <v>1108</v>
      </c>
      <c r="J114" t="s">
        <v>1473</v>
      </c>
      <c r="K114" t="s">
        <v>1474</v>
      </c>
      <c r="L114" t="s">
        <v>21</v>
      </c>
      <c r="M114" t="s">
        <v>19177</v>
      </c>
      <c r="N114" t="s">
        <v>97</v>
      </c>
      <c r="O114" t="s">
        <v>937</v>
      </c>
      <c r="P114" t="s">
        <v>12</v>
      </c>
    </row>
    <row r="115">
      <c r="A115">
        <f>HYPERLINK("http://bombeiros.sp.gov.br/hidrantes/03individual/2431.html","2431")</f>
      </c>
      <c r="B115" t="s">
        <v>12</v>
      </c>
      <c r="C115" t="s">
        <v>30</v>
      </c>
      <c r="D115" t="s">
        <v>31</v>
      </c>
      <c r="E115" t="s">
        <v>15</v>
      </c>
      <c r="F115" t="s">
        <v>1475</v>
      </c>
      <c r="G115" t="s">
        <v>18183</v>
      </c>
      <c r="H115" t="s">
        <v>1107</v>
      </c>
      <c r="I115" t="s">
        <v>1108</v>
      </c>
      <c r="J115" t="s">
        <v>1476</v>
      </c>
      <c r="K115" t="s">
        <v>1477</v>
      </c>
      <c r="L115" t="s">
        <v>36</v>
      </c>
      <c r="M115" t="s">
        <v>19177</v>
      </c>
      <c r="N115" t="s">
        <v>97</v>
      </c>
      <c r="O115" t="s">
        <v>937</v>
      </c>
      <c r="P115" t="s">
        <v>12</v>
      </c>
    </row>
    <row r="116">
      <c r="A116">
        <f>HYPERLINK("http://bombeiros.sp.gov.br/hidrantes/03individual/2434.html","2434")</f>
      </c>
      <c r="B116" t="s">
        <v>12</v>
      </c>
      <c r="C116" t="s">
        <v>30</v>
      </c>
      <c r="D116" t="s">
        <v>31</v>
      </c>
      <c r="E116" t="s">
        <v>15</v>
      </c>
      <c r="F116" t="s">
        <v>1478</v>
      </c>
      <c r="G116" t="s">
        <v>18057</v>
      </c>
      <c r="H116" t="s">
        <v>1107</v>
      </c>
      <c r="I116" t="s">
        <v>1108</v>
      </c>
      <c r="J116" t="s">
        <v>1479</v>
      </c>
      <c r="K116" t="s">
        <v>1480</v>
      </c>
      <c r="L116" t="s">
        <v>36</v>
      </c>
      <c r="M116" t="s">
        <v>19177</v>
      </c>
      <c r="N116" t="s">
        <v>97</v>
      </c>
      <c r="O116" t="s">
        <v>937</v>
      </c>
      <c r="P116" t="s">
        <v>12</v>
      </c>
    </row>
    <row r="117">
      <c r="A117">
        <f>HYPERLINK("http://bombeiros.sp.gov.br/hidrantes/03individual/2437.html","2437")</f>
      </c>
      <c r="B117" t="s">
        <v>12</v>
      </c>
      <c r="C117" t="s">
        <v>30</v>
      </c>
      <c r="D117" t="s">
        <v>31</v>
      </c>
      <c r="E117" t="s">
        <v>15</v>
      </c>
      <c r="F117" t="s">
        <v>1481</v>
      </c>
      <c r="G117" t="s">
        <v>18089</v>
      </c>
      <c r="H117" t="s">
        <v>1174</v>
      </c>
      <c r="I117" t="s">
        <v>1108</v>
      </c>
      <c r="J117" t="s">
        <v>1482</v>
      </c>
      <c r="K117" t="s">
        <v>1483</v>
      </c>
      <c r="L117" t="s">
        <v>21</v>
      </c>
      <c r="M117" t="s">
        <v>19177</v>
      </c>
      <c r="N117" t="s">
        <v>97</v>
      </c>
      <c r="O117" t="s">
        <v>937</v>
      </c>
      <c r="P117" t="s">
        <v>12</v>
      </c>
    </row>
    <row r="118">
      <c r="A118">
        <f>HYPERLINK("http://bombeiros.sp.gov.br/hidrantes/03individual/2440.html","2440")</f>
      </c>
      <c r="B118" t="s">
        <v>12</v>
      </c>
      <c r="C118" t="s">
        <v>30</v>
      </c>
      <c r="D118" t="s">
        <v>31</v>
      </c>
      <c r="E118" t="s">
        <v>15</v>
      </c>
      <c r="F118" t="s">
        <v>1390</v>
      </c>
      <c r="G118" t="s">
        <v>18044</v>
      </c>
      <c r="H118" t="s">
        <v>1107</v>
      </c>
      <c r="I118" t="s">
        <v>1108</v>
      </c>
      <c r="J118" t="s">
        <v>1484</v>
      </c>
      <c r="K118" t="s">
        <v>1485</v>
      </c>
      <c r="L118" t="s">
        <v>21</v>
      </c>
      <c r="M118" t="s">
        <v>19177</v>
      </c>
      <c r="N118" t="s">
        <v>97</v>
      </c>
      <c r="O118" t="s">
        <v>937</v>
      </c>
      <c r="P118" t="s">
        <v>12</v>
      </c>
    </row>
    <row r="119">
      <c r="A119">
        <f>HYPERLINK("http://bombeiros.sp.gov.br/hidrantes/03individual/2442.html","2442")</f>
      </c>
      <c r="B119" t="s">
        <v>12</v>
      </c>
      <c r="C119" t="s">
        <v>30</v>
      </c>
      <c r="D119" t="s">
        <v>31</v>
      </c>
      <c r="E119" t="s">
        <v>15</v>
      </c>
      <c r="F119" t="s">
        <v>1486</v>
      </c>
      <c r="G119" t="s">
        <v>18044</v>
      </c>
      <c r="H119" t="s">
        <v>1174</v>
      </c>
      <c r="I119" t="s">
        <v>1108</v>
      </c>
      <c r="J119" t="s">
        <v>1487</v>
      </c>
      <c r="K119" t="s">
        <v>1488</v>
      </c>
      <c r="L119" t="s">
        <v>21</v>
      </c>
      <c r="M119" t="s">
        <v>19177</v>
      </c>
      <c r="N119" t="s">
        <v>97</v>
      </c>
      <c r="O119" t="s">
        <v>937</v>
      </c>
      <c r="P119" t="s">
        <v>12</v>
      </c>
    </row>
    <row r="120">
      <c r="A120">
        <f>HYPERLINK("http://bombeiros.sp.gov.br/hidrantes/03individual/2943.html","2943")</f>
      </c>
      <c r="B120" t="s">
        <v>12</v>
      </c>
      <c r="C120" t="s">
        <v>30</v>
      </c>
      <c r="D120" t="s">
        <v>31</v>
      </c>
      <c r="E120" t="s">
        <v>15</v>
      </c>
      <c r="F120" t="s">
        <v>1489</v>
      </c>
      <c r="G120" t="s">
        <v>18057</v>
      </c>
      <c r="H120" t="s">
        <v>1107</v>
      </c>
      <c r="I120" t="s">
        <v>1108</v>
      </c>
      <c r="J120" t="s">
        <v>1490</v>
      </c>
      <c r="K120" t="s">
        <v>1491</v>
      </c>
      <c r="L120" t="s">
        <v>21</v>
      </c>
      <c r="M120" t="s">
        <v>19177</v>
      </c>
      <c r="N120" t="s">
        <v>97</v>
      </c>
      <c r="O120" t="s">
        <v>937</v>
      </c>
      <c r="P120" t="s">
        <v>12</v>
      </c>
    </row>
    <row r="121">
      <c r="A121">
        <f>HYPERLINK("http://bombeiros.sp.gov.br/hidrantes/03individual/23062.html","23062")</f>
      </c>
      <c r="B121" t="s">
        <v>12</v>
      </c>
      <c r="C121" t="s">
        <v>30</v>
      </c>
      <c r="D121" t="s">
        <v>31</v>
      </c>
      <c r="E121" t="s">
        <v>15</v>
      </c>
      <c r="F121" t="s">
        <v>1492</v>
      </c>
      <c r="G121" t="s">
        <v>18046</v>
      </c>
      <c r="H121" t="s">
        <v>1112</v>
      </c>
      <c r="I121" t="s">
        <v>1108</v>
      </c>
      <c r="J121" t="s">
        <v>1494</v>
      </c>
      <c r="K121" t="s">
        <v>1495</v>
      </c>
      <c r="L121" t="s">
        <v>21</v>
      </c>
      <c r="M121" t="s">
        <v>19177</v>
      </c>
      <c r="N121" t="s">
        <v>97</v>
      </c>
      <c r="O121" t="s">
        <v>937</v>
      </c>
      <c r="P121" t="s">
        <v>12</v>
      </c>
    </row>
    <row r="122">
      <c r="A122">
        <f>HYPERLINK("http://bombeiros.sp.gov.br/hidrantes/03individual/26712.html","26712")</f>
      </c>
      <c r="B122" t="s">
        <v>12</v>
      </c>
      <c r="C122" t="s">
        <v>30</v>
      </c>
      <c r="D122" t="s">
        <v>31</v>
      </c>
      <c r="E122" t="s">
        <v>15</v>
      </c>
      <c r="F122" t="s">
        <v>1496</v>
      </c>
      <c r="G122" t="s">
        <v>18043</v>
      </c>
      <c r="H122" t="s">
        <v>1107</v>
      </c>
      <c r="I122" t="s">
        <v>1108</v>
      </c>
      <c r="J122" t="s">
        <v>1497</v>
      </c>
      <c r="K122" t="s">
        <v>1498</v>
      </c>
      <c r="L122" t="s">
        <v>21</v>
      </c>
      <c r="M122" t="s">
        <v>19177</v>
      </c>
      <c r="N122" t="s">
        <v>97</v>
      </c>
      <c r="O122" t="s">
        <v>937</v>
      </c>
      <c r="P122" t="s">
        <v>12</v>
      </c>
    </row>
    <row r="123">
      <c r="A123">
        <f>HYPERLINK("http://bombeiros.sp.gov.br/hidrantes/03individual/26753.html","26753")</f>
      </c>
      <c r="B123" t="s">
        <v>12</v>
      </c>
      <c r="C123" t="s">
        <v>30</v>
      </c>
      <c r="D123" t="s">
        <v>31</v>
      </c>
      <c r="E123" t="s">
        <v>15</v>
      </c>
      <c r="F123" t="s">
        <v>1502</v>
      </c>
      <c r="G123" t="s">
        <v>18057</v>
      </c>
      <c r="H123" t="s">
        <v>1121</v>
      </c>
      <c r="I123" t="s">
        <v>1117</v>
      </c>
      <c r="J123" t="s">
        <v>1504</v>
      </c>
      <c r="K123" t="s">
        <v>1505</v>
      </c>
      <c r="L123" t="s">
        <v>21</v>
      </c>
      <c r="M123" t="s">
        <v>19177</v>
      </c>
      <c r="N123" t="s">
        <v>97</v>
      </c>
      <c r="O123" t="s">
        <v>937</v>
      </c>
      <c r="P123" t="s">
        <v>12</v>
      </c>
    </row>
    <row r="124">
      <c r="A124">
        <f>HYPERLINK("http://bombeiros.sp.gov.br/hidrantes/03individual/701.html","701")</f>
      </c>
      <c r="B124" t="s">
        <v>12</v>
      </c>
      <c r="C124" t="s">
        <v>30</v>
      </c>
      <c r="D124" t="s">
        <v>1506</v>
      </c>
      <c r="E124" t="s">
        <v>64</v>
      </c>
      <c r="F124" t="s">
        <v>1512</v>
      </c>
      <c r="G124" t="s">
        <v>18069</v>
      </c>
      <c r="H124" t="s">
        <v>1107</v>
      </c>
      <c r="I124" t="s">
        <v>1108</v>
      </c>
      <c r="J124" t="s">
        <v>1513</v>
      </c>
      <c r="K124" t="s">
        <v>1514</v>
      </c>
      <c r="L124" t="s">
        <v>36</v>
      </c>
      <c r="M124" t="s">
        <v>19177</v>
      </c>
      <c r="N124" t="s">
        <v>97</v>
      </c>
      <c r="O124" t="s">
        <v>937</v>
      </c>
      <c r="P124" t="s">
        <v>12</v>
      </c>
    </row>
    <row r="125">
      <c r="A125">
        <f>HYPERLINK("http://bombeiros.sp.gov.br/hidrantes/03individual/1748.html","1748")</f>
      </c>
      <c r="B125" t="s">
        <v>12</v>
      </c>
      <c r="C125" t="s">
        <v>30</v>
      </c>
      <c r="D125" t="s">
        <v>1506</v>
      </c>
      <c r="E125" t="s">
        <v>64</v>
      </c>
      <c r="F125" t="s">
        <v>1515</v>
      </c>
      <c r="G125" t="s">
        <v>18048</v>
      </c>
      <c r="H125" t="s">
        <v>1174</v>
      </c>
      <c r="I125" t="s">
        <v>1108</v>
      </c>
      <c r="J125" t="s">
        <v>1516</v>
      </c>
      <c r="K125" t="s">
        <v>1517</v>
      </c>
      <c r="L125" t="s">
        <v>36</v>
      </c>
      <c r="M125" t="s">
        <v>19177</v>
      </c>
      <c r="N125" t="s">
        <v>97</v>
      </c>
      <c r="O125" t="s">
        <v>937</v>
      </c>
      <c r="P125" t="s">
        <v>12</v>
      </c>
    </row>
    <row r="126">
      <c r="A126">
        <f>HYPERLINK("http://bombeiros.sp.gov.br/hidrantes/03individual/5504.html","5504")</f>
      </c>
      <c r="B126" t="s">
        <v>12</v>
      </c>
      <c r="C126" t="s">
        <v>30</v>
      </c>
      <c r="D126" t="s">
        <v>1506</v>
      </c>
      <c r="E126" t="s">
        <v>64</v>
      </c>
      <c r="F126" t="s">
        <v>1518</v>
      </c>
      <c r="G126" t="s">
        <v>18067</v>
      </c>
      <c r="H126" t="s">
        <v>1112</v>
      </c>
      <c r="I126" t="s">
        <v>1108</v>
      </c>
      <c r="J126" t="s">
        <v>1519</v>
      </c>
      <c r="K126" t="s">
        <v>1520</v>
      </c>
      <c r="L126" t="s">
        <v>21</v>
      </c>
      <c r="M126" t="s">
        <v>19177</v>
      </c>
      <c r="N126" t="s">
        <v>97</v>
      </c>
      <c r="O126" t="s">
        <v>937</v>
      </c>
      <c r="P126" t="s">
        <v>12</v>
      </c>
    </row>
    <row r="127">
      <c r="A127">
        <f>HYPERLINK("http://bombeiros.sp.gov.br/hidrantes/03individual/16443.html","16443")</f>
      </c>
      <c r="B127" t="s">
        <v>12</v>
      </c>
      <c r="C127" t="s">
        <v>30</v>
      </c>
      <c r="D127" t="s">
        <v>1506</v>
      </c>
      <c r="E127" t="s">
        <v>64</v>
      </c>
      <c r="F127" t="s">
        <v>1521</v>
      </c>
      <c r="G127" t="s">
        <v>18084</v>
      </c>
      <c r="H127" t="s">
        <v>1107</v>
      </c>
      <c r="I127" t="s">
        <v>1108</v>
      </c>
      <c r="J127" t="s">
        <v>1522</v>
      </c>
      <c r="K127" t="s">
        <v>1523</v>
      </c>
      <c r="L127" t="s">
        <v>21</v>
      </c>
      <c r="M127" t="s">
        <v>19177</v>
      </c>
      <c r="N127" t="s">
        <v>97</v>
      </c>
      <c r="O127" t="s">
        <v>937</v>
      </c>
      <c r="P127" t="s">
        <v>12</v>
      </c>
    </row>
    <row r="128">
      <c r="A128">
        <f>HYPERLINK("http://bombeiros.sp.gov.br/hidrantes/03individual/27066.html","27066")</f>
      </c>
      <c r="B128" t="s">
        <v>12</v>
      </c>
      <c r="C128" t="s">
        <v>30</v>
      </c>
      <c r="D128" t="s">
        <v>1506</v>
      </c>
      <c r="E128" t="s">
        <v>64</v>
      </c>
      <c r="F128" t="s">
        <v>16707</v>
      </c>
      <c r="G128" t="s">
        <v>18046</v>
      </c>
      <c r="H128" t="s">
        <v>1107</v>
      </c>
      <c r="I128" t="s">
        <v>1108</v>
      </c>
      <c r="J128" t="s">
        <v>16708</v>
      </c>
      <c r="K128" t="s">
        <v>16709</v>
      </c>
      <c r="L128" t="s">
        <v>21</v>
      </c>
      <c r="M128" t="s">
        <v>19177</v>
      </c>
      <c r="N128" t="s">
        <v>97</v>
      </c>
      <c r="O128" t="s">
        <v>937</v>
      </c>
      <c r="P128" t="s">
        <v>12</v>
      </c>
    </row>
    <row r="129">
      <c r="A129">
        <f>HYPERLINK("http://bombeiros.sp.gov.br/hidrantes/03individual/27126.html","27126")</f>
      </c>
      <c r="B129" t="s">
        <v>12</v>
      </c>
      <c r="C129" t="s">
        <v>30</v>
      </c>
      <c r="D129" t="s">
        <v>1506</v>
      </c>
      <c r="E129" t="s">
        <v>64</v>
      </c>
      <c r="F129" t="s">
        <v>16804</v>
      </c>
      <c r="G129" t="s">
        <v>18067</v>
      </c>
      <c r="H129" t="s">
        <v>1112</v>
      </c>
      <c r="I129" t="s">
        <v>1108</v>
      </c>
      <c r="J129" t="s">
        <v>16805</v>
      </c>
      <c r="K129" t="s">
        <v>16806</v>
      </c>
      <c r="L129" t="s">
        <v>21</v>
      </c>
      <c r="M129" t="s">
        <v>19177</v>
      </c>
      <c r="N129" t="s">
        <v>97</v>
      </c>
      <c r="O129" t="s">
        <v>937</v>
      </c>
      <c r="P129" t="s">
        <v>12</v>
      </c>
    </row>
    <row r="130">
      <c r="A130">
        <f>HYPERLINK("http://bombeiros.sp.gov.br/hidrantes/03individual/504.html","504")</f>
      </c>
      <c r="B130" t="s">
        <v>12</v>
      </c>
      <c r="C130" t="s">
        <v>30</v>
      </c>
      <c r="D130" t="s">
        <v>1506</v>
      </c>
      <c r="E130" t="s">
        <v>15</v>
      </c>
      <c r="F130" t="s">
        <v>1524</v>
      </c>
      <c r="G130" t="s">
        <v>18047</v>
      </c>
      <c r="H130" t="s">
        <v>1174</v>
      </c>
      <c r="I130" t="s">
        <v>1117</v>
      </c>
      <c r="J130" t="s">
        <v>1525</v>
      </c>
      <c r="K130" t="s">
        <v>1526</v>
      </c>
      <c r="L130" t="s">
        <v>36</v>
      </c>
      <c r="M130" t="s">
        <v>19177</v>
      </c>
      <c r="N130" t="s">
        <v>97</v>
      </c>
      <c r="O130" t="s">
        <v>937</v>
      </c>
      <c r="P130" t="s">
        <v>12</v>
      </c>
    </row>
    <row r="131">
      <c r="A131">
        <f>HYPERLINK("http://bombeiros.sp.gov.br/hidrantes/03individual/526.html","526")</f>
      </c>
      <c r="B131" t="s">
        <v>12</v>
      </c>
      <c r="C131" t="s">
        <v>30</v>
      </c>
      <c r="D131" t="s">
        <v>1506</v>
      </c>
      <c r="E131" t="s">
        <v>15</v>
      </c>
      <c r="F131" t="s">
        <v>1527</v>
      </c>
      <c r="G131" t="s">
        <v>18069</v>
      </c>
      <c r="H131" t="s">
        <v>1107</v>
      </c>
      <c r="I131" t="s">
        <v>1108</v>
      </c>
      <c r="J131" t="s">
        <v>1528</v>
      </c>
      <c r="K131" t="s">
        <v>1529</v>
      </c>
      <c r="L131" t="s">
        <v>21</v>
      </c>
      <c r="M131" t="s">
        <v>19177</v>
      </c>
      <c r="N131" t="s">
        <v>97</v>
      </c>
      <c r="O131" t="s">
        <v>937</v>
      </c>
      <c r="P131" t="s">
        <v>12</v>
      </c>
    </row>
    <row r="132">
      <c r="A132">
        <f>HYPERLINK("http://bombeiros.sp.gov.br/hidrantes/03individual/687.html","687")</f>
      </c>
      <c r="B132" t="s">
        <v>12</v>
      </c>
      <c r="C132" t="s">
        <v>30</v>
      </c>
      <c r="D132" t="s">
        <v>1506</v>
      </c>
      <c r="E132" t="s">
        <v>15</v>
      </c>
      <c r="F132" t="s">
        <v>1530</v>
      </c>
      <c r="G132" t="s">
        <v>18069</v>
      </c>
      <c r="H132" t="s">
        <v>1107</v>
      </c>
      <c r="I132" t="s">
        <v>1108</v>
      </c>
      <c r="J132" t="s">
        <v>1531</v>
      </c>
      <c r="K132" t="s">
        <v>1532</v>
      </c>
      <c r="L132" t="s">
        <v>21</v>
      </c>
      <c r="M132" t="s">
        <v>19177</v>
      </c>
      <c r="N132" t="s">
        <v>97</v>
      </c>
      <c r="O132" t="s">
        <v>937</v>
      </c>
      <c r="P132" t="s">
        <v>12</v>
      </c>
    </row>
    <row r="133">
      <c r="A133">
        <f>HYPERLINK("http://bombeiros.sp.gov.br/hidrantes/03individual/901.html","901")</f>
      </c>
      <c r="B133" t="s">
        <v>12</v>
      </c>
      <c r="C133" t="s">
        <v>30</v>
      </c>
      <c r="D133" t="s">
        <v>1506</v>
      </c>
      <c r="E133" t="s">
        <v>15</v>
      </c>
      <c r="F133" t="s">
        <v>1533</v>
      </c>
      <c r="G133" t="s">
        <v>18048</v>
      </c>
      <c r="H133" t="s">
        <v>1112</v>
      </c>
      <c r="I133" t="s">
        <v>1108</v>
      </c>
      <c r="J133" t="s">
        <v>1535</v>
      </c>
      <c r="K133" t="s">
        <v>1536</v>
      </c>
      <c r="L133" t="s">
        <v>21</v>
      </c>
      <c r="M133" t="s">
        <v>19177</v>
      </c>
      <c r="N133" t="s">
        <v>97</v>
      </c>
      <c r="O133" t="s">
        <v>937</v>
      </c>
      <c r="P133" t="s">
        <v>12</v>
      </c>
    </row>
    <row r="134">
      <c r="A134">
        <f>HYPERLINK("http://bombeiros.sp.gov.br/hidrantes/03individual/1806.html","1806")</f>
      </c>
      <c r="B134" t="s">
        <v>12</v>
      </c>
      <c r="C134" t="s">
        <v>30</v>
      </c>
      <c r="D134" t="s">
        <v>1506</v>
      </c>
      <c r="E134" t="s">
        <v>15</v>
      </c>
      <c r="F134" t="s">
        <v>1537</v>
      </c>
      <c r="G134" t="s">
        <v>18048</v>
      </c>
      <c r="H134" t="s">
        <v>1174</v>
      </c>
      <c r="I134" t="s">
        <v>1108</v>
      </c>
      <c r="J134" t="s">
        <v>1538</v>
      </c>
      <c r="K134" t="s">
        <v>1539</v>
      </c>
      <c r="L134" t="s">
        <v>21</v>
      </c>
      <c r="M134" t="s">
        <v>19177</v>
      </c>
      <c r="N134" t="s">
        <v>97</v>
      </c>
      <c r="O134" t="s">
        <v>937</v>
      </c>
      <c r="P134" t="s">
        <v>12</v>
      </c>
    </row>
    <row r="135">
      <c r="A135">
        <f>HYPERLINK("http://bombeiros.sp.gov.br/hidrantes/03individual/2889.html","2889")</f>
      </c>
      <c r="B135" t="s">
        <v>12</v>
      </c>
      <c r="C135" t="s">
        <v>30</v>
      </c>
      <c r="D135" t="s">
        <v>1506</v>
      </c>
      <c r="E135" t="s">
        <v>15</v>
      </c>
      <c r="F135" t="s">
        <v>1543</v>
      </c>
      <c r="G135" t="s">
        <v>18075</v>
      </c>
      <c r="H135" t="s">
        <v>1107</v>
      </c>
      <c r="I135" t="s">
        <v>1108</v>
      </c>
      <c r="J135" t="s">
        <v>1544</v>
      </c>
      <c r="K135" t="s">
        <v>1545</v>
      </c>
      <c r="L135" t="s">
        <v>21</v>
      </c>
      <c r="M135" t="s">
        <v>19177</v>
      </c>
      <c r="N135" t="s">
        <v>97</v>
      </c>
      <c r="O135" t="s">
        <v>937</v>
      </c>
      <c r="P135" t="s">
        <v>12</v>
      </c>
    </row>
    <row r="136">
      <c r="A136">
        <f>HYPERLINK("http://bombeiros.sp.gov.br/hidrantes/03individual/5505.html","5505")</f>
      </c>
      <c r="B136" t="s">
        <v>12</v>
      </c>
      <c r="C136" t="s">
        <v>30</v>
      </c>
      <c r="D136" t="s">
        <v>1506</v>
      </c>
      <c r="E136" t="s">
        <v>15</v>
      </c>
      <c r="F136" t="s">
        <v>1546</v>
      </c>
      <c r="G136" t="s">
        <v>18084</v>
      </c>
      <c r="H136" t="s">
        <v>1107</v>
      </c>
      <c r="I136" t="s">
        <v>1108</v>
      </c>
      <c r="J136" t="s">
        <v>1547</v>
      </c>
      <c r="K136" t="s">
        <v>1548</v>
      </c>
      <c r="L136" t="s">
        <v>21</v>
      </c>
      <c r="M136" t="s">
        <v>19177</v>
      </c>
      <c r="N136" t="s">
        <v>97</v>
      </c>
      <c r="O136" t="s">
        <v>937</v>
      </c>
      <c r="P136" t="s">
        <v>12</v>
      </c>
    </row>
    <row r="137">
      <c r="A137">
        <f>HYPERLINK("http://bombeiros.sp.gov.br/hidrantes/03individual/17662.html","17662")</f>
      </c>
      <c r="B137" t="s">
        <v>12</v>
      </c>
      <c r="C137" t="s">
        <v>30</v>
      </c>
      <c r="D137" t="s">
        <v>1506</v>
      </c>
      <c r="E137" t="s">
        <v>15</v>
      </c>
      <c r="F137" t="s">
        <v>1549</v>
      </c>
      <c r="G137" t="s">
        <v>18046</v>
      </c>
      <c r="H137" t="s">
        <v>1112</v>
      </c>
      <c r="I137" t="s">
        <v>1108</v>
      </c>
      <c r="J137" t="s">
        <v>1551</v>
      </c>
      <c r="K137" t="s">
        <v>1552</v>
      </c>
      <c r="L137" t="s">
        <v>21</v>
      </c>
      <c r="M137" t="s">
        <v>19177</v>
      </c>
      <c r="N137" t="s">
        <v>97</v>
      </c>
      <c r="O137" t="s">
        <v>937</v>
      </c>
      <c r="P137" t="s">
        <v>12</v>
      </c>
    </row>
    <row r="138">
      <c r="A138">
        <f>HYPERLINK("http://bombeiros.sp.gov.br/hidrantes/03individual/27299.html","27299")</f>
      </c>
      <c r="B138" t="s">
        <v>12</v>
      </c>
      <c r="C138" t="s">
        <v>30</v>
      </c>
      <c r="D138" t="s">
        <v>1506</v>
      </c>
      <c r="E138" t="s">
        <v>15</v>
      </c>
      <c r="F138" t="s">
        <v>17063</v>
      </c>
      <c r="G138" t="s">
        <v>18082</v>
      </c>
      <c r="H138" t="s">
        <v>1112</v>
      </c>
      <c r="I138" t="s">
        <v>1108</v>
      </c>
      <c r="J138" t="s">
        <v>17064</v>
      </c>
      <c r="K138" t="s">
        <v>17065</v>
      </c>
      <c r="L138" t="s">
        <v>21</v>
      </c>
      <c r="M138" t="s">
        <v>19177</v>
      </c>
      <c r="N138" t="s">
        <v>97</v>
      </c>
      <c r="O138" t="s">
        <v>937</v>
      </c>
      <c r="P138" t="s">
        <v>12</v>
      </c>
    </row>
    <row r="139">
      <c r="A139">
        <f>HYPERLINK("http://bombeiros.sp.gov.br/hidrantes/03individual/5610.html","5610")</f>
      </c>
      <c r="B139" t="s">
        <v>12</v>
      </c>
      <c r="C139" t="s">
        <v>37</v>
      </c>
      <c r="D139" t="s">
        <v>37</v>
      </c>
      <c r="E139" t="s">
        <v>64</v>
      </c>
      <c r="F139" t="s">
        <v>1553</v>
      </c>
      <c r="G139" t="s">
        <v>18106</v>
      </c>
      <c r="H139" t="s">
        <v>1112</v>
      </c>
      <c r="I139" t="s">
        <v>1108</v>
      </c>
      <c r="J139" t="s">
        <v>1555</v>
      </c>
      <c r="K139" t="s">
        <v>1556</v>
      </c>
      <c r="L139" t="s">
        <v>21</v>
      </c>
      <c r="M139" t="s">
        <v>19177</v>
      </c>
      <c r="N139" t="s">
        <v>97</v>
      </c>
      <c r="O139" t="s">
        <v>937</v>
      </c>
      <c r="P139" t="s">
        <v>12</v>
      </c>
    </row>
    <row r="140">
      <c r="A140">
        <f>HYPERLINK("http://bombeiros.sp.gov.br/hidrantes/03individual/5646.html","5646")</f>
      </c>
      <c r="B140" t="s">
        <v>12</v>
      </c>
      <c r="C140" t="s">
        <v>37</v>
      </c>
      <c r="D140" t="s">
        <v>37</v>
      </c>
      <c r="E140" t="s">
        <v>64</v>
      </c>
      <c r="F140" t="s">
        <v>1557</v>
      </c>
      <c r="G140" t="s">
        <v>18106</v>
      </c>
      <c r="H140" t="s">
        <v>1112</v>
      </c>
      <c r="I140" t="s">
        <v>1108</v>
      </c>
      <c r="J140" t="s">
        <v>1558</v>
      </c>
      <c r="K140" t="s">
        <v>1559</v>
      </c>
      <c r="L140" t="s">
        <v>21</v>
      </c>
      <c r="M140" t="s">
        <v>19177</v>
      </c>
      <c r="N140" t="s">
        <v>97</v>
      </c>
      <c r="O140" t="s">
        <v>937</v>
      </c>
      <c r="P140" t="s">
        <v>12</v>
      </c>
    </row>
    <row r="141">
      <c r="A141">
        <f>HYPERLINK("http://bombeiros.sp.gov.br/hidrantes/03individual/5647.html","5647")</f>
      </c>
      <c r="B141" t="s">
        <v>12</v>
      </c>
      <c r="C141" t="s">
        <v>37</v>
      </c>
      <c r="D141" t="s">
        <v>37</v>
      </c>
      <c r="E141" t="s">
        <v>64</v>
      </c>
      <c r="F141" t="s">
        <v>1560</v>
      </c>
      <c r="G141" t="s">
        <v>18106</v>
      </c>
      <c r="H141" t="s">
        <v>1112</v>
      </c>
      <c r="I141" t="s">
        <v>1108</v>
      </c>
      <c r="J141" t="s">
        <v>1561</v>
      </c>
      <c r="K141" t="s">
        <v>1562</v>
      </c>
      <c r="L141" t="s">
        <v>21</v>
      </c>
      <c r="M141" t="s">
        <v>19177</v>
      </c>
      <c r="N141" t="s">
        <v>97</v>
      </c>
      <c r="O141" t="s">
        <v>937</v>
      </c>
      <c r="P141" t="s">
        <v>12</v>
      </c>
    </row>
    <row r="142">
      <c r="A142">
        <f>HYPERLINK("http://bombeiros.sp.gov.br/hidrantes/03individual/8.html","8")</f>
      </c>
      <c r="B142" t="s">
        <v>12</v>
      </c>
      <c r="C142" t="s">
        <v>37</v>
      </c>
      <c r="D142" t="s">
        <v>37</v>
      </c>
      <c r="E142" t="s">
        <v>15</v>
      </c>
      <c r="F142" t="s">
        <v>1563</v>
      </c>
      <c r="G142" t="s">
        <v>18152</v>
      </c>
      <c r="H142" t="s">
        <v>1112</v>
      </c>
      <c r="I142" t="s">
        <v>1108</v>
      </c>
      <c r="J142" t="s">
        <v>1564</v>
      </c>
      <c r="K142" t="s">
        <v>1565</v>
      </c>
      <c r="L142" t="s">
        <v>21</v>
      </c>
      <c r="M142" t="s">
        <v>19177</v>
      </c>
      <c r="N142" t="s">
        <v>97</v>
      </c>
      <c r="O142" t="s">
        <v>937</v>
      </c>
      <c r="P142" t="s">
        <v>12</v>
      </c>
    </row>
    <row r="143">
      <c r="A143">
        <f>HYPERLINK("http://bombeiros.sp.gov.br/hidrantes/03individual/9.html","9")</f>
      </c>
      <c r="B143" t="s">
        <v>12</v>
      </c>
      <c r="C143" t="s">
        <v>37</v>
      </c>
      <c r="D143" t="s">
        <v>37</v>
      </c>
      <c r="E143" t="s">
        <v>15</v>
      </c>
      <c r="F143" t="s">
        <v>1566</v>
      </c>
      <c r="G143" t="s">
        <v>18072</v>
      </c>
      <c r="H143" t="s">
        <v>1107</v>
      </c>
      <c r="I143" t="s">
        <v>1108</v>
      </c>
      <c r="J143" t="s">
        <v>1567</v>
      </c>
      <c r="K143" t="s">
        <v>1568</v>
      </c>
      <c r="L143" t="s">
        <v>21</v>
      </c>
      <c r="M143" t="s">
        <v>19177</v>
      </c>
      <c r="N143" t="s">
        <v>97</v>
      </c>
      <c r="O143" t="s">
        <v>937</v>
      </c>
      <c r="P143" t="s">
        <v>12</v>
      </c>
    </row>
    <row r="144">
      <c r="A144">
        <f>HYPERLINK("http://bombeiros.sp.gov.br/hidrantes/03individual/10.html","10")</f>
      </c>
      <c r="B144" t="s">
        <v>12</v>
      </c>
      <c r="C144" t="s">
        <v>37</v>
      </c>
      <c r="D144" t="s">
        <v>37</v>
      </c>
      <c r="E144" t="s">
        <v>15</v>
      </c>
      <c r="F144" t="s">
        <v>1569</v>
      </c>
      <c r="G144" t="s">
        <v>18072</v>
      </c>
      <c r="H144" t="s">
        <v>1107</v>
      </c>
      <c r="I144" t="s">
        <v>1108</v>
      </c>
      <c r="J144" t="s">
        <v>1570</v>
      </c>
      <c r="K144" t="s">
        <v>1571</v>
      </c>
      <c r="L144" t="s">
        <v>21</v>
      </c>
      <c r="M144" t="s">
        <v>19177</v>
      </c>
      <c r="N144" t="s">
        <v>97</v>
      </c>
      <c r="O144" t="s">
        <v>937</v>
      </c>
      <c r="P144" t="s">
        <v>12</v>
      </c>
    </row>
    <row r="145">
      <c r="A145">
        <f>HYPERLINK("http://bombeiros.sp.gov.br/hidrantes/03individual/66.html","66")</f>
      </c>
      <c r="B145" t="s">
        <v>12</v>
      </c>
      <c r="C145" t="s">
        <v>37</v>
      </c>
      <c r="D145" t="s">
        <v>37</v>
      </c>
      <c r="E145" t="s">
        <v>15</v>
      </c>
      <c r="F145" t="s">
        <v>1572</v>
      </c>
      <c r="G145" t="s">
        <v>18072</v>
      </c>
      <c r="H145" t="s">
        <v>1112</v>
      </c>
      <c r="I145" t="s">
        <v>1108</v>
      </c>
      <c r="J145" t="s">
        <v>1573</v>
      </c>
      <c r="K145" t="s">
        <v>1574</v>
      </c>
      <c r="L145" t="s">
        <v>21</v>
      </c>
      <c r="M145" t="s">
        <v>19177</v>
      </c>
      <c r="N145" t="s">
        <v>97</v>
      </c>
      <c r="O145" t="s">
        <v>937</v>
      </c>
      <c r="P145" t="s">
        <v>12</v>
      </c>
    </row>
    <row r="146">
      <c r="A146">
        <f>HYPERLINK("http://bombeiros.sp.gov.br/hidrantes/03individual/68.html","68")</f>
      </c>
      <c r="B146" t="s">
        <v>12</v>
      </c>
      <c r="C146" t="s">
        <v>37</v>
      </c>
      <c r="D146" t="s">
        <v>37</v>
      </c>
      <c r="E146" t="s">
        <v>15</v>
      </c>
      <c r="F146" t="s">
        <v>1575</v>
      </c>
      <c r="G146" t="s">
        <v>18106</v>
      </c>
      <c r="H146" t="s">
        <v>1112</v>
      </c>
      <c r="I146" t="s">
        <v>1108</v>
      </c>
      <c r="J146" t="s">
        <v>1576</v>
      </c>
      <c r="K146" t="s">
        <v>1577</v>
      </c>
      <c r="L146" t="s">
        <v>21</v>
      </c>
      <c r="M146" t="s">
        <v>19177</v>
      </c>
      <c r="N146" t="s">
        <v>97</v>
      </c>
      <c r="O146" t="s">
        <v>937</v>
      </c>
      <c r="P146" t="s">
        <v>12</v>
      </c>
    </row>
    <row r="147">
      <c r="A147">
        <f>HYPERLINK("http://bombeiros.sp.gov.br/hidrantes/03individual/70.html","70")</f>
      </c>
      <c r="B147" t="s">
        <v>12</v>
      </c>
      <c r="C147" t="s">
        <v>37</v>
      </c>
      <c r="D147" t="s">
        <v>37</v>
      </c>
      <c r="E147" t="s">
        <v>15</v>
      </c>
      <c r="F147" t="s">
        <v>1578</v>
      </c>
      <c r="G147" t="s">
        <v>18106</v>
      </c>
      <c r="H147" t="s">
        <v>1121</v>
      </c>
      <c r="I147" t="s">
        <v>1117</v>
      </c>
      <c r="J147" t="s">
        <v>1579</v>
      </c>
      <c r="K147" t="s">
        <v>1580</v>
      </c>
      <c r="L147" t="s">
        <v>21</v>
      </c>
      <c r="M147" t="s">
        <v>19177</v>
      </c>
      <c r="N147" t="s">
        <v>97</v>
      </c>
      <c r="O147" t="s">
        <v>937</v>
      </c>
      <c r="P147" t="s">
        <v>12</v>
      </c>
    </row>
    <row r="148">
      <c r="A148">
        <f>HYPERLINK("http://bombeiros.sp.gov.br/hidrantes/03individual/71.html","71")</f>
      </c>
      <c r="B148" t="s">
        <v>12</v>
      </c>
      <c r="C148" t="s">
        <v>37</v>
      </c>
      <c r="D148" t="s">
        <v>37</v>
      </c>
      <c r="E148" t="s">
        <v>15</v>
      </c>
      <c r="F148" t="s">
        <v>1581</v>
      </c>
      <c r="G148" t="s">
        <v>18106</v>
      </c>
      <c r="H148" t="s">
        <v>1112</v>
      </c>
      <c r="I148" t="s">
        <v>1108</v>
      </c>
      <c r="J148" t="s">
        <v>1582</v>
      </c>
      <c r="K148" t="s">
        <v>1583</v>
      </c>
      <c r="L148" t="s">
        <v>21</v>
      </c>
      <c r="M148" t="s">
        <v>19177</v>
      </c>
      <c r="N148" t="s">
        <v>97</v>
      </c>
      <c r="O148" t="s">
        <v>937</v>
      </c>
      <c r="P148" t="s">
        <v>12</v>
      </c>
    </row>
    <row r="149">
      <c r="A149">
        <f>HYPERLINK("http://bombeiros.sp.gov.br/hidrantes/03individual/109.html","109")</f>
      </c>
      <c r="B149" t="s">
        <v>12</v>
      </c>
      <c r="C149" t="s">
        <v>37</v>
      </c>
      <c r="D149" t="s">
        <v>37</v>
      </c>
      <c r="E149" t="s">
        <v>15</v>
      </c>
      <c r="F149" t="s">
        <v>1584</v>
      </c>
      <c r="G149" t="s">
        <v>18106</v>
      </c>
      <c r="H149" t="s">
        <v>1121</v>
      </c>
      <c r="I149" t="s">
        <v>1117</v>
      </c>
      <c r="J149" t="s">
        <v>1585</v>
      </c>
      <c r="K149" t="s">
        <v>1586</v>
      </c>
      <c r="L149" t="s">
        <v>21</v>
      </c>
      <c r="M149" t="s">
        <v>19177</v>
      </c>
      <c r="N149" t="s">
        <v>97</v>
      </c>
      <c r="O149" t="s">
        <v>937</v>
      </c>
      <c r="P149" t="s">
        <v>12</v>
      </c>
    </row>
    <row r="150">
      <c r="A150">
        <f>HYPERLINK("http://bombeiros.sp.gov.br/hidrantes/03individual/2074.html","2074")</f>
      </c>
      <c r="B150" t="s">
        <v>12</v>
      </c>
      <c r="C150" t="s">
        <v>37</v>
      </c>
      <c r="D150" t="s">
        <v>37</v>
      </c>
      <c r="E150" t="s">
        <v>15</v>
      </c>
      <c r="F150" t="s">
        <v>1587</v>
      </c>
      <c r="G150" t="s">
        <v>18046</v>
      </c>
      <c r="H150" t="s">
        <v>1112</v>
      </c>
      <c r="I150" t="s">
        <v>1108</v>
      </c>
      <c r="J150" t="s">
        <v>1588</v>
      </c>
      <c r="K150" t="s">
        <v>1589</v>
      </c>
      <c r="L150" t="s">
        <v>21</v>
      </c>
      <c r="M150" t="s">
        <v>19177</v>
      </c>
      <c r="N150" t="s">
        <v>97</v>
      </c>
      <c r="O150" t="s">
        <v>937</v>
      </c>
      <c r="P150" t="s">
        <v>12</v>
      </c>
    </row>
    <row r="151">
      <c r="A151">
        <f>HYPERLINK("http://bombeiros.sp.gov.br/hidrantes/03individual/2075.html","2075")</f>
      </c>
      <c r="B151" t="s">
        <v>12</v>
      </c>
      <c r="C151" t="s">
        <v>37</v>
      </c>
      <c r="D151" t="s">
        <v>37</v>
      </c>
      <c r="E151" t="s">
        <v>15</v>
      </c>
      <c r="F151" t="s">
        <v>1590</v>
      </c>
      <c r="G151" t="s">
        <v>18152</v>
      </c>
      <c r="H151" t="s">
        <v>1112</v>
      </c>
      <c r="I151" t="s">
        <v>1108</v>
      </c>
      <c r="J151" t="s">
        <v>1591</v>
      </c>
      <c r="K151" t="s">
        <v>1592</v>
      </c>
      <c r="L151" t="s">
        <v>21</v>
      </c>
      <c r="M151" t="s">
        <v>19177</v>
      </c>
      <c r="N151" t="s">
        <v>97</v>
      </c>
      <c r="O151" t="s">
        <v>937</v>
      </c>
      <c r="P151" t="s">
        <v>12</v>
      </c>
    </row>
    <row r="152">
      <c r="A152">
        <f>HYPERLINK("http://bombeiros.sp.gov.br/hidrantes/03individual/2126.html","2126")</f>
      </c>
      <c r="B152" t="s">
        <v>12</v>
      </c>
      <c r="C152" t="s">
        <v>37</v>
      </c>
      <c r="D152" t="s">
        <v>37</v>
      </c>
      <c r="E152" t="s">
        <v>15</v>
      </c>
      <c r="F152" t="s">
        <v>1593</v>
      </c>
      <c r="G152" t="s">
        <v>18072</v>
      </c>
      <c r="H152" t="s">
        <v>1121</v>
      </c>
      <c r="I152" t="s">
        <v>1117</v>
      </c>
      <c r="J152" t="s">
        <v>1594</v>
      </c>
      <c r="K152" t="s">
        <v>1595</v>
      </c>
      <c r="L152" t="s">
        <v>21</v>
      </c>
      <c r="M152" t="s">
        <v>19177</v>
      </c>
      <c r="N152" t="s">
        <v>97</v>
      </c>
      <c r="O152" t="s">
        <v>937</v>
      </c>
      <c r="P152" t="s">
        <v>12</v>
      </c>
    </row>
    <row r="153">
      <c r="A153">
        <f>HYPERLINK("http://bombeiros.sp.gov.br/hidrantes/03individual/2332.html","2332")</f>
      </c>
      <c r="B153" t="s">
        <v>12</v>
      </c>
      <c r="C153" t="s">
        <v>37</v>
      </c>
      <c r="D153" t="s">
        <v>37</v>
      </c>
      <c r="E153" t="s">
        <v>15</v>
      </c>
      <c r="F153" t="s">
        <v>1596</v>
      </c>
      <c r="G153" t="s">
        <v>18046</v>
      </c>
      <c r="H153" t="s">
        <v>1174</v>
      </c>
      <c r="I153" t="s">
        <v>1117</v>
      </c>
      <c r="J153" t="s">
        <v>1597</v>
      </c>
      <c r="K153" t="s">
        <v>1598</v>
      </c>
      <c r="L153" t="s">
        <v>21</v>
      </c>
      <c r="M153" t="s">
        <v>19177</v>
      </c>
      <c r="N153" t="s">
        <v>97</v>
      </c>
      <c r="O153" t="s">
        <v>937</v>
      </c>
      <c r="P153" t="s">
        <v>12</v>
      </c>
    </row>
    <row r="154">
      <c r="A154">
        <f>HYPERLINK("http://bombeiros.sp.gov.br/hidrantes/03individual/2344.html","2344")</f>
      </c>
      <c r="B154" t="s">
        <v>12</v>
      </c>
      <c r="C154" t="s">
        <v>37</v>
      </c>
      <c r="D154" t="s">
        <v>37</v>
      </c>
      <c r="E154" t="s">
        <v>15</v>
      </c>
      <c r="F154" t="s">
        <v>1599</v>
      </c>
      <c r="G154" t="s">
        <v>18046</v>
      </c>
      <c r="H154" t="s">
        <v>1112</v>
      </c>
      <c r="I154" t="s">
        <v>1108</v>
      </c>
      <c r="J154" t="s">
        <v>1600</v>
      </c>
      <c r="K154" t="s">
        <v>1601</v>
      </c>
      <c r="L154" t="s">
        <v>21</v>
      </c>
      <c r="M154" t="s">
        <v>19177</v>
      </c>
      <c r="N154" t="s">
        <v>97</v>
      </c>
      <c r="O154" t="s">
        <v>937</v>
      </c>
      <c r="P154" t="s">
        <v>12</v>
      </c>
    </row>
    <row r="155">
      <c r="A155">
        <f>HYPERLINK("http://bombeiros.sp.gov.br/hidrantes/03individual/2387.html","2387")</f>
      </c>
      <c r="B155" t="s">
        <v>12</v>
      </c>
      <c r="C155" t="s">
        <v>37</v>
      </c>
      <c r="D155" t="s">
        <v>37</v>
      </c>
      <c r="E155" t="s">
        <v>15</v>
      </c>
      <c r="F155" t="s">
        <v>1602</v>
      </c>
      <c r="G155" t="s">
        <v>18076</v>
      </c>
      <c r="H155" t="s">
        <v>1112</v>
      </c>
      <c r="I155" t="s">
        <v>1108</v>
      </c>
      <c r="J155" t="s">
        <v>1603</v>
      </c>
      <c r="K155" t="s">
        <v>1604</v>
      </c>
      <c r="L155" t="s">
        <v>21</v>
      </c>
      <c r="M155" t="s">
        <v>19177</v>
      </c>
      <c r="N155" t="s">
        <v>97</v>
      </c>
      <c r="O155" t="s">
        <v>937</v>
      </c>
      <c r="P155" t="s">
        <v>12</v>
      </c>
    </row>
    <row r="156">
      <c r="A156">
        <f>HYPERLINK("http://bombeiros.sp.gov.br/hidrantes/03individual/2390.html","2390")</f>
      </c>
      <c r="B156" t="s">
        <v>12</v>
      </c>
      <c r="C156" t="s">
        <v>37</v>
      </c>
      <c r="D156" t="s">
        <v>37</v>
      </c>
      <c r="E156" t="s">
        <v>15</v>
      </c>
      <c r="F156" t="s">
        <v>1605</v>
      </c>
      <c r="G156" t="s">
        <v>18076</v>
      </c>
      <c r="H156" t="s">
        <v>1112</v>
      </c>
      <c r="I156" t="s">
        <v>1108</v>
      </c>
      <c r="J156" t="s">
        <v>1606</v>
      </c>
      <c r="K156" t="s">
        <v>1607</v>
      </c>
      <c r="L156" t="s">
        <v>21</v>
      </c>
      <c r="M156" t="s">
        <v>19177</v>
      </c>
      <c r="N156" t="s">
        <v>97</v>
      </c>
      <c r="O156" t="s">
        <v>937</v>
      </c>
      <c r="P156" t="s">
        <v>12</v>
      </c>
    </row>
    <row r="157">
      <c r="A157">
        <f>HYPERLINK("http://bombeiros.sp.gov.br/hidrantes/03individual/25277.html","25277")</f>
      </c>
      <c r="B157" t="s">
        <v>12</v>
      </c>
      <c r="C157" t="s">
        <v>37</v>
      </c>
      <c r="D157" t="s">
        <v>37</v>
      </c>
      <c r="E157" t="s">
        <v>15</v>
      </c>
      <c r="F157" t="s">
        <v>1608</v>
      </c>
      <c r="G157" t="s">
        <v>18152</v>
      </c>
      <c r="H157" t="s">
        <v>1174</v>
      </c>
      <c r="I157" t="s">
        <v>1108</v>
      </c>
      <c r="J157" t="s">
        <v>1609</v>
      </c>
      <c r="K157" t="s">
        <v>1610</v>
      </c>
      <c r="L157" t="s">
        <v>21</v>
      </c>
      <c r="M157" t="s">
        <v>19177</v>
      </c>
      <c r="N157" t="s">
        <v>97</v>
      </c>
      <c r="O157" t="s">
        <v>937</v>
      </c>
      <c r="P157" t="s">
        <v>12</v>
      </c>
    </row>
    <row r="158">
      <c r="A158">
        <f>HYPERLINK("http://bombeiros.sp.gov.br/hidrantes/03individual/28073.html","28073")</f>
      </c>
      <c r="B158" t="s">
        <v>12</v>
      </c>
      <c r="C158" t="s">
        <v>37</v>
      </c>
      <c r="D158" t="s">
        <v>37</v>
      </c>
      <c r="E158" t="s">
        <v>15</v>
      </c>
      <c r="F158" t="s">
        <v>18222</v>
      </c>
      <c r="G158" t="s">
        <v>18050</v>
      </c>
      <c r="H158"/>
      <c r="I158" t="s">
        <v>18</v>
      </c>
      <c r="J158" t="s">
        <v>18223</v>
      </c>
      <c r="K158" t="s">
        <v>18224</v>
      </c>
      <c r="L158" t="s">
        <v>21</v>
      </c>
      <c r="M158" t="s">
        <v>19177</v>
      </c>
      <c r="N158" t="s">
        <v>97</v>
      </c>
      <c r="O158" t="s">
        <v>937</v>
      </c>
      <c r="P158" t="s">
        <v>12</v>
      </c>
    </row>
    <row r="159">
      <c r="A159">
        <f>HYPERLINK("http://bombeiros.sp.gov.br/hidrantes/03individual/40.html","40")</f>
      </c>
      <c r="B159" t="s">
        <v>12</v>
      </c>
      <c r="C159" t="s">
        <v>37</v>
      </c>
      <c r="D159" t="s">
        <v>38</v>
      </c>
      <c r="E159" t="s">
        <v>64</v>
      </c>
      <c r="F159" t="s">
        <v>1611</v>
      </c>
      <c r="G159" t="s">
        <v>18076</v>
      </c>
      <c r="H159" t="s">
        <v>1121</v>
      </c>
      <c r="I159" t="s">
        <v>1117</v>
      </c>
      <c r="J159" t="s">
        <v>1612</v>
      </c>
      <c r="K159" t="s">
        <v>1613</v>
      </c>
      <c r="L159" t="s">
        <v>21</v>
      </c>
      <c r="M159" t="s">
        <v>19177</v>
      </c>
      <c r="N159" t="s">
        <v>97</v>
      </c>
      <c r="O159" t="s">
        <v>937</v>
      </c>
      <c r="P159" t="s">
        <v>12</v>
      </c>
    </row>
    <row r="160">
      <c r="A160">
        <f>HYPERLINK("http://bombeiros.sp.gov.br/hidrantes/03individual/139.html","139")</f>
      </c>
      <c r="B160" t="s">
        <v>12</v>
      </c>
      <c r="C160" t="s">
        <v>37</v>
      </c>
      <c r="D160" t="s">
        <v>38</v>
      </c>
      <c r="E160" t="s">
        <v>64</v>
      </c>
      <c r="F160" t="s">
        <v>1614</v>
      </c>
      <c r="G160" t="s">
        <v>18077</v>
      </c>
      <c r="H160" t="s">
        <v>1121</v>
      </c>
      <c r="I160" t="s">
        <v>1117</v>
      </c>
      <c r="J160" t="s">
        <v>15885</v>
      </c>
      <c r="K160" t="s">
        <v>15886</v>
      </c>
      <c r="L160" t="s">
        <v>36</v>
      </c>
      <c r="M160" t="s">
        <v>19177</v>
      </c>
      <c r="N160" t="s">
        <v>97</v>
      </c>
      <c r="O160" t="s">
        <v>937</v>
      </c>
      <c r="P160" t="s">
        <v>12</v>
      </c>
    </row>
    <row r="161">
      <c r="A161">
        <f>HYPERLINK("http://bombeiros.sp.gov.br/hidrantes/03individual/1659.html","1659")</f>
      </c>
      <c r="B161" t="s">
        <v>12</v>
      </c>
      <c r="C161" t="s">
        <v>37</v>
      </c>
      <c r="D161" t="s">
        <v>38</v>
      </c>
      <c r="E161" t="s">
        <v>64</v>
      </c>
      <c r="F161" t="s">
        <v>1617</v>
      </c>
      <c r="G161" t="s">
        <v>18049</v>
      </c>
      <c r="H161" t="s">
        <v>1121</v>
      </c>
      <c r="I161" t="s">
        <v>1117</v>
      </c>
      <c r="J161" t="s">
        <v>1618</v>
      </c>
      <c r="K161" t="s">
        <v>1619</v>
      </c>
      <c r="L161" t="s">
        <v>21</v>
      </c>
      <c r="M161" t="s">
        <v>19177</v>
      </c>
      <c r="N161" t="s">
        <v>97</v>
      </c>
      <c r="O161" t="s">
        <v>937</v>
      </c>
      <c r="P161" t="s">
        <v>12</v>
      </c>
    </row>
    <row r="162">
      <c r="A162">
        <f>HYPERLINK("http://bombeiros.sp.gov.br/hidrantes/03individual/1778.html","1778")</f>
      </c>
      <c r="B162" t="s">
        <v>12</v>
      </c>
      <c r="C162" t="s">
        <v>37</v>
      </c>
      <c r="D162" t="s">
        <v>38</v>
      </c>
      <c r="E162" t="s">
        <v>64</v>
      </c>
      <c r="F162" t="s">
        <v>1620</v>
      </c>
      <c r="G162" t="s">
        <v>18049</v>
      </c>
      <c r="H162" t="s">
        <v>1112</v>
      </c>
      <c r="I162" t="s">
        <v>1108</v>
      </c>
      <c r="J162" t="s">
        <v>1621</v>
      </c>
      <c r="K162" t="s">
        <v>1622</v>
      </c>
      <c r="L162" t="s">
        <v>21</v>
      </c>
      <c r="M162" t="s">
        <v>19177</v>
      </c>
      <c r="N162" t="s">
        <v>97</v>
      </c>
      <c r="O162" t="s">
        <v>937</v>
      </c>
      <c r="P162" t="s">
        <v>12</v>
      </c>
    </row>
    <row r="163">
      <c r="A163">
        <f>HYPERLINK("http://bombeiros.sp.gov.br/hidrantes/03individual/1816.html","1816")</f>
      </c>
      <c r="B163" t="s">
        <v>12</v>
      </c>
      <c r="C163" t="s">
        <v>37</v>
      </c>
      <c r="D163" t="s">
        <v>38</v>
      </c>
      <c r="E163" t="s">
        <v>64</v>
      </c>
      <c r="F163" t="s">
        <v>1623</v>
      </c>
      <c r="G163" t="s">
        <v>18077</v>
      </c>
      <c r="H163" t="s">
        <v>1112</v>
      </c>
      <c r="I163" t="s">
        <v>1108</v>
      </c>
      <c r="J163" t="s">
        <v>1624</v>
      </c>
      <c r="K163" t="s">
        <v>1625</v>
      </c>
      <c r="L163" t="s">
        <v>36</v>
      </c>
      <c r="M163" t="s">
        <v>19177</v>
      </c>
      <c r="N163" t="s">
        <v>97</v>
      </c>
      <c r="O163" t="s">
        <v>937</v>
      </c>
      <c r="P163" t="s">
        <v>12</v>
      </c>
    </row>
    <row r="164">
      <c r="A164">
        <f>HYPERLINK("http://bombeiros.sp.gov.br/hidrantes/03individual/1820.html","1820")</f>
      </c>
      <c r="B164" t="s">
        <v>12</v>
      </c>
      <c r="C164" t="s">
        <v>37</v>
      </c>
      <c r="D164" t="s">
        <v>38</v>
      </c>
      <c r="E164" t="s">
        <v>64</v>
      </c>
      <c r="F164" t="s">
        <v>1626</v>
      </c>
      <c r="G164" t="s">
        <v>18077</v>
      </c>
      <c r="H164" t="s">
        <v>1121</v>
      </c>
      <c r="I164" t="s">
        <v>1117</v>
      </c>
      <c r="J164" t="s">
        <v>1627</v>
      </c>
      <c r="K164" t="s">
        <v>1628</v>
      </c>
      <c r="L164" t="s">
        <v>21</v>
      </c>
      <c r="M164" t="s">
        <v>19177</v>
      </c>
      <c r="N164" t="s">
        <v>97</v>
      </c>
      <c r="O164" t="s">
        <v>937</v>
      </c>
      <c r="P164" t="s">
        <v>12</v>
      </c>
    </row>
    <row r="165">
      <c r="A165">
        <f>HYPERLINK("http://bombeiros.sp.gov.br/hidrantes/03individual/1878.html","1878")</f>
      </c>
      <c r="B165" t="s">
        <v>12</v>
      </c>
      <c r="C165" t="s">
        <v>37</v>
      </c>
      <c r="D165" t="s">
        <v>38</v>
      </c>
      <c r="E165" t="s">
        <v>64</v>
      </c>
      <c r="F165" t="s">
        <v>1629</v>
      </c>
      <c r="G165" t="s">
        <v>18050</v>
      </c>
      <c r="H165" t="s">
        <v>1112</v>
      </c>
      <c r="I165" t="s">
        <v>1108</v>
      </c>
      <c r="J165" t="s">
        <v>1630</v>
      </c>
      <c r="K165" t="s">
        <v>1631</v>
      </c>
      <c r="L165" t="s">
        <v>36</v>
      </c>
      <c r="M165" t="s">
        <v>19177</v>
      </c>
      <c r="N165" t="s">
        <v>97</v>
      </c>
      <c r="O165" t="s">
        <v>937</v>
      </c>
      <c r="P165" t="s">
        <v>12</v>
      </c>
    </row>
    <row r="166">
      <c r="A166">
        <f>HYPERLINK("http://bombeiros.sp.gov.br/hidrantes/03individual/2119.html","2119")</f>
      </c>
      <c r="B166" t="s">
        <v>12</v>
      </c>
      <c r="C166" t="s">
        <v>37</v>
      </c>
      <c r="D166" t="s">
        <v>38</v>
      </c>
      <c r="E166" t="s">
        <v>64</v>
      </c>
      <c r="F166" t="s">
        <v>1632</v>
      </c>
      <c r="G166" t="s">
        <v>18073</v>
      </c>
      <c r="H166" t="s">
        <v>1121</v>
      </c>
      <c r="I166" t="s">
        <v>1117</v>
      </c>
      <c r="J166" t="s">
        <v>1633</v>
      </c>
      <c r="K166" t="s">
        <v>1634</v>
      </c>
      <c r="L166" t="s">
        <v>36</v>
      </c>
      <c r="M166" t="s">
        <v>19177</v>
      </c>
      <c r="N166" t="s">
        <v>97</v>
      </c>
      <c r="O166" t="s">
        <v>937</v>
      </c>
      <c r="P166" t="s">
        <v>12</v>
      </c>
    </row>
    <row r="167">
      <c r="A167">
        <f>HYPERLINK("http://bombeiros.sp.gov.br/hidrantes/03individual/2130.html","2130")</f>
      </c>
      <c r="B167" t="s">
        <v>12</v>
      </c>
      <c r="C167" t="s">
        <v>37</v>
      </c>
      <c r="D167" t="s">
        <v>38</v>
      </c>
      <c r="E167" t="s">
        <v>64</v>
      </c>
      <c r="F167" t="s">
        <v>1635</v>
      </c>
      <c r="G167" t="s">
        <v>18070</v>
      </c>
      <c r="H167" t="s">
        <v>1121</v>
      </c>
      <c r="I167" t="s">
        <v>1117</v>
      </c>
      <c r="J167" t="s">
        <v>1636</v>
      </c>
      <c r="K167" t="s">
        <v>1637</v>
      </c>
      <c r="L167" t="s">
        <v>36</v>
      </c>
      <c r="M167" t="s">
        <v>19177</v>
      </c>
      <c r="N167" t="s">
        <v>97</v>
      </c>
      <c r="O167" t="s">
        <v>937</v>
      </c>
      <c r="P167" t="s">
        <v>12</v>
      </c>
    </row>
    <row r="168">
      <c r="A168">
        <f>HYPERLINK("http://bombeiros.sp.gov.br/hidrantes/03individual/28271.html","28271")</f>
      </c>
      <c r="B168" t="s">
        <v>12</v>
      </c>
      <c r="C168" t="s">
        <v>37</v>
      </c>
      <c r="D168" t="s">
        <v>38</v>
      </c>
      <c r="E168" t="s">
        <v>64</v>
      </c>
      <c r="F168" t="s">
        <v>18460</v>
      </c>
      <c r="G168"/>
      <c r="H168"/>
      <c r="I168" t="s">
        <v>1503</v>
      </c>
      <c r="J168" t="s">
        <v>18461</v>
      </c>
      <c r="K168" t="s">
        <v>18462</v>
      </c>
      <c r="L168" t="s">
        <v>21</v>
      </c>
      <c r="M168" t="s">
        <v>19177</v>
      </c>
      <c r="N168" t="s">
        <v>97</v>
      </c>
      <c r="O168" t="s">
        <v>937</v>
      </c>
      <c r="P168" t="s">
        <v>12</v>
      </c>
    </row>
    <row r="169">
      <c r="A169">
        <f>HYPERLINK("http://bombeiros.sp.gov.br/hidrantes/03individual/140.html","140")</f>
      </c>
      <c r="B169" t="s">
        <v>12</v>
      </c>
      <c r="C169" t="s">
        <v>37</v>
      </c>
      <c r="D169" t="s">
        <v>38</v>
      </c>
      <c r="E169" t="s">
        <v>15</v>
      </c>
      <c r="F169" t="s">
        <v>1638</v>
      </c>
      <c r="G169" t="s">
        <v>18050</v>
      </c>
      <c r="H169" t="s">
        <v>1112</v>
      </c>
      <c r="I169" t="s">
        <v>1108</v>
      </c>
      <c r="J169" t="s">
        <v>1639</v>
      </c>
      <c r="K169" t="s">
        <v>1640</v>
      </c>
      <c r="L169" t="s">
        <v>21</v>
      </c>
      <c r="M169" t="s">
        <v>19177</v>
      </c>
      <c r="N169" t="s">
        <v>97</v>
      </c>
      <c r="O169" t="s">
        <v>937</v>
      </c>
      <c r="P169" t="s">
        <v>12</v>
      </c>
    </row>
    <row r="170">
      <c r="A170">
        <f>HYPERLINK("http://bombeiros.sp.gov.br/hidrantes/03individual/141.html","141")</f>
      </c>
      <c r="B170" t="s">
        <v>12</v>
      </c>
      <c r="C170" t="s">
        <v>37</v>
      </c>
      <c r="D170" t="s">
        <v>38</v>
      </c>
      <c r="E170" t="s">
        <v>15</v>
      </c>
      <c r="F170" t="s">
        <v>1641</v>
      </c>
      <c r="G170" t="s">
        <v>18072</v>
      </c>
      <c r="H170" t="s">
        <v>1107</v>
      </c>
      <c r="I170" t="s">
        <v>1108</v>
      </c>
      <c r="J170" t="s">
        <v>1642</v>
      </c>
      <c r="K170" t="s">
        <v>1643</v>
      </c>
      <c r="L170" t="s">
        <v>21</v>
      </c>
      <c r="M170" t="s">
        <v>19177</v>
      </c>
      <c r="N170" t="s">
        <v>97</v>
      </c>
      <c r="O170" t="s">
        <v>937</v>
      </c>
      <c r="P170" t="s">
        <v>12</v>
      </c>
    </row>
    <row r="171">
      <c r="A171">
        <f>HYPERLINK("http://bombeiros.sp.gov.br/hidrantes/03individual/266.html","266")</f>
      </c>
      <c r="B171" t="s">
        <v>12</v>
      </c>
      <c r="C171" t="s">
        <v>37</v>
      </c>
      <c r="D171" t="s">
        <v>38</v>
      </c>
      <c r="E171" t="s">
        <v>15</v>
      </c>
      <c r="F171" t="s">
        <v>1644</v>
      </c>
      <c r="G171" t="s">
        <v>18050</v>
      </c>
      <c r="H171" t="s">
        <v>1112</v>
      </c>
      <c r="I171" t="s">
        <v>1108</v>
      </c>
      <c r="J171" t="s">
        <v>1645</v>
      </c>
      <c r="K171" t="s">
        <v>1646</v>
      </c>
      <c r="L171" t="s">
        <v>21</v>
      </c>
      <c r="M171" t="s">
        <v>19177</v>
      </c>
      <c r="N171" t="s">
        <v>97</v>
      </c>
      <c r="O171" t="s">
        <v>937</v>
      </c>
      <c r="P171" t="s">
        <v>12</v>
      </c>
    </row>
    <row r="172">
      <c r="A172">
        <f>HYPERLINK("http://bombeiros.sp.gov.br/hidrantes/03individual/1655.html","1655")</f>
      </c>
      <c r="B172" t="s">
        <v>12</v>
      </c>
      <c r="C172" t="s">
        <v>37</v>
      </c>
      <c r="D172" t="s">
        <v>38</v>
      </c>
      <c r="E172" t="s">
        <v>15</v>
      </c>
      <c r="F172" t="s">
        <v>1647</v>
      </c>
      <c r="G172" t="s">
        <v>18049</v>
      </c>
      <c r="H172" t="s">
        <v>1121</v>
      </c>
      <c r="I172" t="s">
        <v>1117</v>
      </c>
      <c r="J172" t="s">
        <v>1648</v>
      </c>
      <c r="K172" t="s">
        <v>1649</v>
      </c>
      <c r="L172" t="s">
        <v>36</v>
      </c>
      <c r="M172" t="s">
        <v>19177</v>
      </c>
      <c r="N172" t="s">
        <v>97</v>
      </c>
      <c r="O172" t="s">
        <v>937</v>
      </c>
      <c r="P172" t="s">
        <v>12</v>
      </c>
    </row>
    <row r="173">
      <c r="A173">
        <f>HYPERLINK("http://bombeiros.sp.gov.br/hidrantes/03individual/1657.html","1657")</f>
      </c>
      <c r="B173" t="s">
        <v>12</v>
      </c>
      <c r="C173" t="s">
        <v>37</v>
      </c>
      <c r="D173" t="s">
        <v>38</v>
      </c>
      <c r="E173" t="s">
        <v>15</v>
      </c>
      <c r="F173" t="s">
        <v>1650</v>
      </c>
      <c r="G173" t="s">
        <v>18049</v>
      </c>
      <c r="H173" t="s">
        <v>1112</v>
      </c>
      <c r="I173" t="s">
        <v>1108</v>
      </c>
      <c r="J173" t="s">
        <v>1651</v>
      </c>
      <c r="K173" t="s">
        <v>1652</v>
      </c>
      <c r="L173" t="s">
        <v>21</v>
      </c>
      <c r="M173" t="s">
        <v>19177</v>
      </c>
      <c r="N173" t="s">
        <v>97</v>
      </c>
      <c r="O173" t="s">
        <v>937</v>
      </c>
      <c r="P173" t="s">
        <v>12</v>
      </c>
    </row>
    <row r="174">
      <c r="A174">
        <f>HYPERLINK("http://bombeiros.sp.gov.br/hidrantes/03individual/1754.html","1754")</f>
      </c>
      <c r="B174" t="s">
        <v>12</v>
      </c>
      <c r="C174" t="s">
        <v>37</v>
      </c>
      <c r="D174" t="s">
        <v>38</v>
      </c>
      <c r="E174" t="s">
        <v>15</v>
      </c>
      <c r="F174" t="s">
        <v>1653</v>
      </c>
      <c r="G174" t="s">
        <v>18049</v>
      </c>
      <c r="H174" t="s">
        <v>1112</v>
      </c>
      <c r="I174" t="s">
        <v>1108</v>
      </c>
      <c r="J174" t="s">
        <v>1654</v>
      </c>
      <c r="K174" t="s">
        <v>1655</v>
      </c>
      <c r="L174" t="s">
        <v>21</v>
      </c>
      <c r="M174" t="s">
        <v>19177</v>
      </c>
      <c r="N174" t="s">
        <v>97</v>
      </c>
      <c r="O174" t="s">
        <v>937</v>
      </c>
      <c r="P174" t="s">
        <v>12</v>
      </c>
    </row>
    <row r="175">
      <c r="A175">
        <f>HYPERLINK("http://bombeiros.sp.gov.br/hidrantes/03individual/1779.html","1779")</f>
      </c>
      <c r="B175" t="s">
        <v>12</v>
      </c>
      <c r="C175" t="s">
        <v>37</v>
      </c>
      <c r="D175" t="s">
        <v>38</v>
      </c>
      <c r="E175" t="s">
        <v>15</v>
      </c>
      <c r="F175" t="s">
        <v>1656</v>
      </c>
      <c r="G175" t="s">
        <v>18049</v>
      </c>
      <c r="H175" t="s">
        <v>1112</v>
      </c>
      <c r="I175" t="s">
        <v>1108</v>
      </c>
      <c r="J175" t="s">
        <v>1657</v>
      </c>
      <c r="K175" t="s">
        <v>1658</v>
      </c>
      <c r="L175" t="s">
        <v>21</v>
      </c>
      <c r="M175" t="s">
        <v>19177</v>
      </c>
      <c r="N175" t="s">
        <v>97</v>
      </c>
      <c r="O175" t="s">
        <v>937</v>
      </c>
      <c r="P175" t="s">
        <v>12</v>
      </c>
    </row>
    <row r="176">
      <c r="A176">
        <f>HYPERLINK("http://bombeiros.sp.gov.br/hidrantes/03individual/1818.html","1818")</f>
      </c>
      <c r="B176" t="s">
        <v>12</v>
      </c>
      <c r="C176" t="s">
        <v>37</v>
      </c>
      <c r="D176" t="s">
        <v>38</v>
      </c>
      <c r="E176" t="s">
        <v>15</v>
      </c>
      <c r="F176" t="s">
        <v>1659</v>
      </c>
      <c r="G176" t="s">
        <v>18077</v>
      </c>
      <c r="H176" t="s">
        <v>1112</v>
      </c>
      <c r="I176" t="s">
        <v>1108</v>
      </c>
      <c r="J176" t="s">
        <v>1660</v>
      </c>
      <c r="K176" t="s">
        <v>1661</v>
      </c>
      <c r="L176" t="s">
        <v>21</v>
      </c>
      <c r="M176" t="s">
        <v>19177</v>
      </c>
      <c r="N176" t="s">
        <v>97</v>
      </c>
      <c r="O176" t="s">
        <v>937</v>
      </c>
      <c r="P176" t="s">
        <v>12</v>
      </c>
    </row>
    <row r="177">
      <c r="A177">
        <f>HYPERLINK("http://bombeiros.sp.gov.br/hidrantes/03individual/1822.html","1822")</f>
      </c>
      <c r="B177" t="s">
        <v>12</v>
      </c>
      <c r="C177" t="s">
        <v>37</v>
      </c>
      <c r="D177" t="s">
        <v>38</v>
      </c>
      <c r="E177" t="s">
        <v>15</v>
      </c>
      <c r="F177" t="s">
        <v>1662</v>
      </c>
      <c r="G177" t="s">
        <v>18051</v>
      </c>
      <c r="H177" t="s">
        <v>1174</v>
      </c>
      <c r="I177" t="s">
        <v>1108</v>
      </c>
      <c r="J177" t="s">
        <v>1663</v>
      </c>
      <c r="K177" t="s">
        <v>1664</v>
      </c>
      <c r="L177" t="s">
        <v>21</v>
      </c>
      <c r="M177" t="s">
        <v>19177</v>
      </c>
      <c r="N177" t="s">
        <v>97</v>
      </c>
      <c r="O177" t="s">
        <v>937</v>
      </c>
      <c r="P177" t="s">
        <v>12</v>
      </c>
    </row>
    <row r="178">
      <c r="A178">
        <f>HYPERLINK("http://bombeiros.sp.gov.br/hidrantes/03individual/1824.html","1824")</f>
      </c>
      <c r="B178" t="s">
        <v>12</v>
      </c>
      <c r="C178" t="s">
        <v>37</v>
      </c>
      <c r="D178" t="s">
        <v>38</v>
      </c>
      <c r="E178" t="s">
        <v>15</v>
      </c>
      <c r="F178" t="s">
        <v>39</v>
      </c>
      <c r="G178" t="s">
        <v>18050</v>
      </c>
      <c r="H178" t="s">
        <v>1121</v>
      </c>
      <c r="I178" t="s">
        <v>1117</v>
      </c>
      <c r="J178" t="s">
        <v>41</v>
      </c>
      <c r="K178" t="s">
        <v>42</v>
      </c>
      <c r="L178" t="s">
        <v>21</v>
      </c>
      <c r="M178" t="s">
        <v>19177</v>
      </c>
      <c r="N178" t="s">
        <v>97</v>
      </c>
      <c r="O178" t="s">
        <v>937</v>
      </c>
      <c r="P178" t="s">
        <v>12</v>
      </c>
    </row>
    <row r="179">
      <c r="A179">
        <f>HYPERLINK("http://bombeiros.sp.gov.br/hidrantes/03individual/1848.html","1848")</f>
      </c>
      <c r="B179" t="s">
        <v>12</v>
      </c>
      <c r="C179" t="s">
        <v>37</v>
      </c>
      <c r="D179" t="s">
        <v>38</v>
      </c>
      <c r="E179" t="s">
        <v>15</v>
      </c>
      <c r="F179" t="s">
        <v>1665</v>
      </c>
      <c r="G179" t="s">
        <v>18050</v>
      </c>
      <c r="H179" t="s">
        <v>1121</v>
      </c>
      <c r="I179" t="s">
        <v>1117</v>
      </c>
      <c r="J179" t="s">
        <v>1666</v>
      </c>
      <c r="K179" t="s">
        <v>1667</v>
      </c>
      <c r="L179" t="s">
        <v>21</v>
      </c>
      <c r="M179" t="s">
        <v>19177</v>
      </c>
      <c r="N179" t="s">
        <v>97</v>
      </c>
      <c r="O179" t="s">
        <v>937</v>
      </c>
      <c r="P179" t="s">
        <v>12</v>
      </c>
    </row>
    <row r="180">
      <c r="A180">
        <f>HYPERLINK("http://bombeiros.sp.gov.br/hidrantes/03individual/1850.html","1850")</f>
      </c>
      <c r="B180" t="s">
        <v>12</v>
      </c>
      <c r="C180" t="s">
        <v>37</v>
      </c>
      <c r="D180" t="s">
        <v>38</v>
      </c>
      <c r="E180" t="s">
        <v>15</v>
      </c>
      <c r="F180" t="s">
        <v>1668</v>
      </c>
      <c r="G180" t="s">
        <v>18070</v>
      </c>
      <c r="H180" t="s">
        <v>1174</v>
      </c>
      <c r="I180" t="s">
        <v>1117</v>
      </c>
      <c r="J180" t="s">
        <v>1669</v>
      </c>
      <c r="K180" t="s">
        <v>1670</v>
      </c>
      <c r="L180" t="s">
        <v>36</v>
      </c>
      <c r="M180" t="s">
        <v>19177</v>
      </c>
      <c r="N180" t="s">
        <v>97</v>
      </c>
      <c r="O180" t="s">
        <v>937</v>
      </c>
      <c r="P180" t="s">
        <v>12</v>
      </c>
    </row>
    <row r="181">
      <c r="A181">
        <f>HYPERLINK("http://bombeiros.sp.gov.br/hidrantes/03individual/1867.html","1867")</f>
      </c>
      <c r="B181" t="s">
        <v>12</v>
      </c>
      <c r="C181" t="s">
        <v>37</v>
      </c>
      <c r="D181" t="s">
        <v>38</v>
      </c>
      <c r="E181" t="s">
        <v>15</v>
      </c>
      <c r="F181" t="s">
        <v>1671</v>
      </c>
      <c r="G181" t="s">
        <v>18070</v>
      </c>
      <c r="H181" t="s">
        <v>1112</v>
      </c>
      <c r="I181" t="s">
        <v>1108</v>
      </c>
      <c r="J181" t="s">
        <v>1672</v>
      </c>
      <c r="K181" t="s">
        <v>1673</v>
      </c>
      <c r="L181" t="s">
        <v>21</v>
      </c>
      <c r="M181" t="s">
        <v>19177</v>
      </c>
      <c r="N181" t="s">
        <v>97</v>
      </c>
      <c r="O181" t="s">
        <v>937</v>
      </c>
      <c r="P181" t="s">
        <v>12</v>
      </c>
    </row>
    <row r="182">
      <c r="A182">
        <f>HYPERLINK("http://bombeiros.sp.gov.br/hidrantes/03individual/1880.html","1880")</f>
      </c>
      <c r="B182" t="s">
        <v>12</v>
      </c>
      <c r="C182" t="s">
        <v>37</v>
      </c>
      <c r="D182" t="s">
        <v>38</v>
      </c>
      <c r="E182" t="s">
        <v>15</v>
      </c>
      <c r="F182" t="s">
        <v>1674</v>
      </c>
      <c r="G182" t="s">
        <v>18051</v>
      </c>
      <c r="H182" t="s">
        <v>1121</v>
      </c>
      <c r="I182" t="s">
        <v>1108</v>
      </c>
      <c r="J182" t="s">
        <v>1675</v>
      </c>
      <c r="K182" t="s">
        <v>1676</v>
      </c>
      <c r="L182" t="s">
        <v>21</v>
      </c>
      <c r="M182" t="s">
        <v>19177</v>
      </c>
      <c r="N182" t="s">
        <v>97</v>
      </c>
      <c r="O182" t="s">
        <v>937</v>
      </c>
      <c r="P182" t="s">
        <v>12</v>
      </c>
    </row>
    <row r="183">
      <c r="A183">
        <f>HYPERLINK("http://bombeiros.sp.gov.br/hidrantes/03individual/2069.html","2069")</f>
      </c>
      <c r="B183" t="s">
        <v>12</v>
      </c>
      <c r="C183" t="s">
        <v>37</v>
      </c>
      <c r="D183" t="s">
        <v>38</v>
      </c>
      <c r="E183" t="s">
        <v>15</v>
      </c>
      <c r="F183" t="s">
        <v>1677</v>
      </c>
      <c r="G183" t="s">
        <v>18072</v>
      </c>
      <c r="H183" t="s">
        <v>1107</v>
      </c>
      <c r="I183" t="s">
        <v>1108</v>
      </c>
      <c r="J183" t="s">
        <v>1678</v>
      </c>
      <c r="K183" t="s">
        <v>1679</v>
      </c>
      <c r="L183" t="s">
        <v>21</v>
      </c>
      <c r="M183" t="s">
        <v>19177</v>
      </c>
      <c r="N183" t="s">
        <v>97</v>
      </c>
      <c r="O183" t="s">
        <v>937</v>
      </c>
      <c r="P183" t="s">
        <v>12</v>
      </c>
    </row>
    <row r="184">
      <c r="A184">
        <f>HYPERLINK("http://bombeiros.sp.gov.br/hidrantes/03individual/2071.html","2071")</f>
      </c>
      <c r="B184" t="s">
        <v>12</v>
      </c>
      <c r="C184" t="s">
        <v>37</v>
      </c>
      <c r="D184" t="s">
        <v>38</v>
      </c>
      <c r="E184" t="s">
        <v>15</v>
      </c>
      <c r="F184" t="s">
        <v>1680</v>
      </c>
      <c r="G184" t="s">
        <v>18073</v>
      </c>
      <c r="H184" t="s">
        <v>1107</v>
      </c>
      <c r="I184" t="s">
        <v>1108</v>
      </c>
      <c r="J184" t="s">
        <v>1681</v>
      </c>
      <c r="K184" t="s">
        <v>1682</v>
      </c>
      <c r="L184" t="s">
        <v>21</v>
      </c>
      <c r="M184" t="s">
        <v>19177</v>
      </c>
      <c r="N184" t="s">
        <v>97</v>
      </c>
      <c r="O184" t="s">
        <v>937</v>
      </c>
      <c r="P184" t="s">
        <v>12</v>
      </c>
    </row>
    <row r="185">
      <c r="A185">
        <f>HYPERLINK("http://bombeiros.sp.gov.br/hidrantes/03individual/2122.html","2122")</f>
      </c>
      <c r="B185" t="s">
        <v>12</v>
      </c>
      <c r="C185" t="s">
        <v>37</v>
      </c>
      <c r="D185" t="s">
        <v>38</v>
      </c>
      <c r="E185" t="s">
        <v>15</v>
      </c>
      <c r="F185" t="s">
        <v>1683</v>
      </c>
      <c r="G185" t="s">
        <v>18152</v>
      </c>
      <c r="H185" t="s">
        <v>1107</v>
      </c>
      <c r="I185" t="s">
        <v>1108</v>
      </c>
      <c r="J185" t="s">
        <v>1684</v>
      </c>
      <c r="K185" t="s">
        <v>1685</v>
      </c>
      <c r="L185" t="s">
        <v>21</v>
      </c>
      <c r="M185" t="s">
        <v>19177</v>
      </c>
      <c r="N185" t="s">
        <v>97</v>
      </c>
      <c r="O185" t="s">
        <v>937</v>
      </c>
      <c r="P185" t="s">
        <v>12</v>
      </c>
    </row>
    <row r="186">
      <c r="A186">
        <f>HYPERLINK("http://bombeiros.sp.gov.br/hidrantes/03individual/2123.html","2123")</f>
      </c>
      <c r="B186" t="s">
        <v>12</v>
      </c>
      <c r="C186" t="s">
        <v>37</v>
      </c>
      <c r="D186" t="s">
        <v>38</v>
      </c>
      <c r="E186" t="s">
        <v>15</v>
      </c>
      <c r="F186" t="s">
        <v>43</v>
      </c>
      <c r="G186" t="s">
        <v>18077</v>
      </c>
      <c r="H186" t="s">
        <v>1112</v>
      </c>
      <c r="I186" t="s">
        <v>1108</v>
      </c>
      <c r="J186" t="s">
        <v>45</v>
      </c>
      <c r="K186" t="s">
        <v>46</v>
      </c>
      <c r="L186" t="s">
        <v>21</v>
      </c>
      <c r="M186" t="s">
        <v>19177</v>
      </c>
      <c r="N186" t="s">
        <v>97</v>
      </c>
      <c r="O186" t="s">
        <v>937</v>
      </c>
      <c r="P186" t="s">
        <v>12</v>
      </c>
    </row>
    <row r="187">
      <c r="A187">
        <f>HYPERLINK("http://bombeiros.sp.gov.br/hidrantes/03individual/2124.html","2124")</f>
      </c>
      <c r="B187" t="s">
        <v>12</v>
      </c>
      <c r="C187" t="s">
        <v>37</v>
      </c>
      <c r="D187" t="s">
        <v>38</v>
      </c>
      <c r="E187" t="s">
        <v>15</v>
      </c>
      <c r="F187" t="s">
        <v>1686</v>
      </c>
      <c r="G187" t="s">
        <v>18077</v>
      </c>
      <c r="H187" t="s">
        <v>1112</v>
      </c>
      <c r="I187" t="s">
        <v>1108</v>
      </c>
      <c r="J187" t="s">
        <v>1687</v>
      </c>
      <c r="K187" t="s">
        <v>1688</v>
      </c>
      <c r="L187" t="s">
        <v>21</v>
      </c>
      <c r="M187" t="s">
        <v>19177</v>
      </c>
      <c r="N187" t="s">
        <v>97</v>
      </c>
      <c r="O187" t="s">
        <v>937</v>
      </c>
      <c r="P187" t="s">
        <v>12</v>
      </c>
    </row>
    <row r="188">
      <c r="A188">
        <f>HYPERLINK("http://bombeiros.sp.gov.br/hidrantes/03individual/2134.html","2134")</f>
      </c>
      <c r="B188" t="s">
        <v>12</v>
      </c>
      <c r="C188" t="s">
        <v>37</v>
      </c>
      <c r="D188" t="s">
        <v>38</v>
      </c>
      <c r="E188" t="s">
        <v>15</v>
      </c>
      <c r="F188" t="s">
        <v>1689</v>
      </c>
      <c r="G188" t="s">
        <v>18050</v>
      </c>
      <c r="H188" t="s">
        <v>1112</v>
      </c>
      <c r="I188" t="s">
        <v>1108</v>
      </c>
      <c r="J188" t="s">
        <v>1690</v>
      </c>
      <c r="K188" t="s">
        <v>1691</v>
      </c>
      <c r="L188" t="s">
        <v>21</v>
      </c>
      <c r="M188" t="s">
        <v>19177</v>
      </c>
      <c r="N188" t="s">
        <v>97</v>
      </c>
      <c r="O188" t="s">
        <v>937</v>
      </c>
      <c r="P188" t="s">
        <v>12</v>
      </c>
    </row>
    <row r="189">
      <c r="A189">
        <f>HYPERLINK("http://bombeiros.sp.gov.br/hidrantes/03individual/2956.html","2956")</f>
      </c>
      <c r="B189" t="s">
        <v>12</v>
      </c>
      <c r="C189" t="s">
        <v>37</v>
      </c>
      <c r="D189" t="s">
        <v>38</v>
      </c>
      <c r="E189" t="s">
        <v>15</v>
      </c>
      <c r="F189" t="s">
        <v>1692</v>
      </c>
      <c r="G189" t="s">
        <v>18072</v>
      </c>
      <c r="H189" t="s">
        <v>1107</v>
      </c>
      <c r="I189" t="s">
        <v>1108</v>
      </c>
      <c r="J189" t="s">
        <v>1693</v>
      </c>
      <c r="K189" t="s">
        <v>1694</v>
      </c>
      <c r="L189" t="s">
        <v>21</v>
      </c>
      <c r="M189" t="s">
        <v>19177</v>
      </c>
      <c r="N189" t="s">
        <v>97</v>
      </c>
      <c r="O189" t="s">
        <v>937</v>
      </c>
      <c r="P189" t="s">
        <v>12</v>
      </c>
    </row>
    <row r="190">
      <c r="A190">
        <f>HYPERLINK("http://bombeiros.sp.gov.br/hidrantes/03individual/16645.html","16645")</f>
      </c>
      <c r="B190" t="s">
        <v>12</v>
      </c>
      <c r="C190" t="s">
        <v>37</v>
      </c>
      <c r="D190" t="s">
        <v>38</v>
      </c>
      <c r="E190" t="s">
        <v>15</v>
      </c>
      <c r="F190" t="s">
        <v>1695</v>
      </c>
      <c r="G190" t="s">
        <v>18050</v>
      </c>
      <c r="H190" t="s">
        <v>1112</v>
      </c>
      <c r="I190" t="s">
        <v>1108</v>
      </c>
      <c r="J190" t="s">
        <v>1696</v>
      </c>
      <c r="K190" t="s">
        <v>1697</v>
      </c>
      <c r="L190" t="s">
        <v>21</v>
      </c>
      <c r="M190" t="s">
        <v>19177</v>
      </c>
      <c r="N190" t="s">
        <v>97</v>
      </c>
      <c r="O190" t="s">
        <v>937</v>
      </c>
      <c r="P190" t="s">
        <v>12</v>
      </c>
    </row>
    <row r="191">
      <c r="A191">
        <f>HYPERLINK("http://bombeiros.sp.gov.br/hidrantes/03individual/17661.html","17661")</f>
      </c>
      <c r="B191" t="s">
        <v>12</v>
      </c>
      <c r="C191" t="s">
        <v>37</v>
      </c>
      <c r="D191" t="s">
        <v>38</v>
      </c>
      <c r="E191" t="s">
        <v>15</v>
      </c>
      <c r="F191" t="s">
        <v>1698</v>
      </c>
      <c r="G191" t="s">
        <v>18051</v>
      </c>
      <c r="H191" t="s">
        <v>1121</v>
      </c>
      <c r="I191" t="s">
        <v>1117</v>
      </c>
      <c r="J191" t="s">
        <v>1699</v>
      </c>
      <c r="K191" t="s">
        <v>1700</v>
      </c>
      <c r="L191" t="s">
        <v>21</v>
      </c>
      <c r="M191" t="s">
        <v>19177</v>
      </c>
      <c r="N191" t="s">
        <v>97</v>
      </c>
      <c r="O191" t="s">
        <v>937</v>
      </c>
      <c r="P191" t="s">
        <v>12</v>
      </c>
    </row>
    <row r="192">
      <c r="A192">
        <f>HYPERLINK("http://bombeiros.sp.gov.br/hidrantes/03individual/26657.html","26657")</f>
      </c>
      <c r="B192" t="s">
        <v>12</v>
      </c>
      <c r="C192" t="s">
        <v>37</v>
      </c>
      <c r="D192" t="s">
        <v>38</v>
      </c>
      <c r="E192" t="s">
        <v>15</v>
      </c>
      <c r="F192" t="s">
        <v>1701</v>
      </c>
      <c r="G192" t="s">
        <v>18050</v>
      </c>
      <c r="H192" t="s">
        <v>1121</v>
      </c>
      <c r="I192" t="s">
        <v>1117</v>
      </c>
      <c r="J192" t="s">
        <v>1702</v>
      </c>
      <c r="K192" t="s">
        <v>1703</v>
      </c>
      <c r="L192" t="s">
        <v>21</v>
      </c>
      <c r="M192" t="s">
        <v>19177</v>
      </c>
      <c r="N192" t="s">
        <v>97</v>
      </c>
      <c r="O192" t="s">
        <v>937</v>
      </c>
      <c r="P192" t="s">
        <v>12</v>
      </c>
    </row>
    <row r="193">
      <c r="A193">
        <f>HYPERLINK("http://bombeiros.sp.gov.br/hidrantes/03individual/27210.html","27210")</f>
      </c>
      <c r="B193" t="s">
        <v>12</v>
      </c>
      <c r="C193" t="s">
        <v>37</v>
      </c>
      <c r="D193" t="s">
        <v>38</v>
      </c>
      <c r="E193" t="s">
        <v>15</v>
      </c>
      <c r="F193" t="s">
        <v>16927</v>
      </c>
      <c r="G193" t="s">
        <v>18050</v>
      </c>
      <c r="H193" t="s">
        <v>1121</v>
      </c>
      <c r="I193" t="s">
        <v>1117</v>
      </c>
      <c r="J193" t="s">
        <v>16928</v>
      </c>
      <c r="K193" t="s">
        <v>16929</v>
      </c>
      <c r="L193" t="s">
        <v>21</v>
      </c>
      <c r="M193" t="s">
        <v>19177</v>
      </c>
      <c r="N193" t="s">
        <v>97</v>
      </c>
      <c r="O193" t="s">
        <v>937</v>
      </c>
      <c r="P193" t="s">
        <v>12</v>
      </c>
    </row>
    <row r="194">
      <c r="A194">
        <f>HYPERLINK("http://bombeiros.sp.gov.br/hidrantes/03individual/842.html","842")</f>
      </c>
      <c r="B194" t="s">
        <v>12</v>
      </c>
      <c r="C194" t="s">
        <v>47</v>
      </c>
      <c r="D194" t="s">
        <v>47</v>
      </c>
      <c r="E194" t="s">
        <v>64</v>
      </c>
      <c r="F194" t="s">
        <v>1704</v>
      </c>
      <c r="G194" t="s">
        <v>18179</v>
      </c>
      <c r="H194" t="s">
        <v>1121</v>
      </c>
      <c r="I194" t="s">
        <v>1117</v>
      </c>
      <c r="J194" t="s">
        <v>1705</v>
      </c>
      <c r="K194" t="s">
        <v>1706</v>
      </c>
      <c r="L194" t="s">
        <v>36</v>
      </c>
      <c r="M194" t="s">
        <v>19177</v>
      </c>
      <c r="N194" t="s">
        <v>714</v>
      </c>
      <c r="O194" t="s">
        <v>10263</v>
      </c>
      <c r="P194" t="s">
        <v>12</v>
      </c>
    </row>
    <row r="195">
      <c r="A195">
        <f>HYPERLINK("http://bombeiros.sp.gov.br/hidrantes/03individual/844.html","844")</f>
      </c>
      <c r="B195" t="s">
        <v>12</v>
      </c>
      <c r="C195" t="s">
        <v>47</v>
      </c>
      <c r="D195" t="s">
        <v>47</v>
      </c>
      <c r="E195" t="s">
        <v>64</v>
      </c>
      <c r="F195" t="s">
        <v>1707</v>
      </c>
      <c r="G195" t="s">
        <v>18179</v>
      </c>
      <c r="H195" t="s">
        <v>1121</v>
      </c>
      <c r="I195" t="s">
        <v>1117</v>
      </c>
      <c r="J195" t="s">
        <v>1708</v>
      </c>
      <c r="K195" t="s">
        <v>1709</v>
      </c>
      <c r="L195" t="s">
        <v>36</v>
      </c>
      <c r="M195" t="s">
        <v>19177</v>
      </c>
      <c r="N195" t="s">
        <v>714</v>
      </c>
      <c r="O195" t="s">
        <v>10263</v>
      </c>
      <c r="P195" t="s">
        <v>12</v>
      </c>
    </row>
    <row r="196">
      <c r="A196">
        <f>HYPERLINK("http://bombeiros.sp.gov.br/hidrantes/03individual/846.html","846")</f>
      </c>
      <c r="B196" t="s">
        <v>12</v>
      </c>
      <c r="C196" t="s">
        <v>47</v>
      </c>
      <c r="D196" t="s">
        <v>47</v>
      </c>
      <c r="E196" t="s">
        <v>64</v>
      </c>
      <c r="F196" t="s">
        <v>1710</v>
      </c>
      <c r="G196" t="s">
        <v>18179</v>
      </c>
      <c r="H196" t="s">
        <v>1107</v>
      </c>
      <c r="I196" t="s">
        <v>1108</v>
      </c>
      <c r="J196" t="s">
        <v>1712</v>
      </c>
      <c r="K196" t="s">
        <v>1713</v>
      </c>
      <c r="L196" t="s">
        <v>36</v>
      </c>
      <c r="M196" t="s">
        <v>19177</v>
      </c>
      <c r="N196" t="s">
        <v>714</v>
      </c>
      <c r="O196" t="s">
        <v>10263</v>
      </c>
      <c r="P196" t="s">
        <v>12</v>
      </c>
    </row>
    <row r="197">
      <c r="A197">
        <f>HYPERLINK("http://bombeiros.sp.gov.br/hidrantes/03individual/2309.html","2309")</f>
      </c>
      <c r="B197" t="s">
        <v>12</v>
      </c>
      <c r="C197" t="s">
        <v>47</v>
      </c>
      <c r="D197" t="s">
        <v>47</v>
      </c>
      <c r="E197" t="s">
        <v>64</v>
      </c>
      <c r="F197" t="s">
        <v>1714</v>
      </c>
      <c r="G197" t="s">
        <v>18052</v>
      </c>
      <c r="H197" t="s">
        <v>1112</v>
      </c>
      <c r="I197" t="s">
        <v>1108</v>
      </c>
      <c r="J197" t="s">
        <v>17401</v>
      </c>
      <c r="K197" t="s">
        <v>17402</v>
      </c>
      <c r="L197" t="s">
        <v>36</v>
      </c>
      <c r="M197" t="s">
        <v>19177</v>
      </c>
      <c r="N197" t="s">
        <v>714</v>
      </c>
      <c r="O197" t="s">
        <v>10263</v>
      </c>
      <c r="P197" t="s">
        <v>12</v>
      </c>
    </row>
    <row r="198">
      <c r="A198">
        <f>HYPERLINK("http://bombeiros.sp.gov.br/hidrantes/03individual/2399.html","2399")</f>
      </c>
      <c r="B198" t="s">
        <v>12</v>
      </c>
      <c r="C198" t="s">
        <v>47</v>
      </c>
      <c r="D198" t="s">
        <v>47</v>
      </c>
      <c r="E198" t="s">
        <v>64</v>
      </c>
      <c r="F198" t="s">
        <v>1717</v>
      </c>
      <c r="G198" t="s">
        <v>18179</v>
      </c>
      <c r="H198" t="s">
        <v>1107</v>
      </c>
      <c r="I198" t="s">
        <v>1108</v>
      </c>
      <c r="J198" t="s">
        <v>1718</v>
      </c>
      <c r="K198" t="s">
        <v>1719</v>
      </c>
      <c r="L198" t="s">
        <v>36</v>
      </c>
      <c r="M198" t="s">
        <v>19177</v>
      </c>
      <c r="N198" t="s">
        <v>714</v>
      </c>
      <c r="O198" t="s">
        <v>10263</v>
      </c>
      <c r="P198" t="s">
        <v>12</v>
      </c>
    </row>
    <row r="199">
      <c r="A199">
        <f>HYPERLINK("http://bombeiros.sp.gov.br/hidrantes/03individual/2762.html","2762")</f>
      </c>
      <c r="B199" t="s">
        <v>12</v>
      </c>
      <c r="C199" t="s">
        <v>47</v>
      </c>
      <c r="D199" t="s">
        <v>47</v>
      </c>
      <c r="E199" t="s">
        <v>64</v>
      </c>
      <c r="F199" t="s">
        <v>1720</v>
      </c>
      <c r="G199" t="s">
        <v>18054</v>
      </c>
      <c r="H199" t="s">
        <v>1107</v>
      </c>
      <c r="I199" t="s">
        <v>1108</v>
      </c>
      <c r="J199" t="s">
        <v>1721</v>
      </c>
      <c r="K199" t="s">
        <v>1722</v>
      </c>
      <c r="L199" t="s">
        <v>36</v>
      </c>
      <c r="M199" t="s">
        <v>19177</v>
      </c>
      <c r="N199" t="s">
        <v>714</v>
      </c>
      <c r="O199" t="s">
        <v>10263</v>
      </c>
      <c r="P199" t="s">
        <v>12</v>
      </c>
    </row>
    <row r="200">
      <c r="A200">
        <f>HYPERLINK("http://bombeiros.sp.gov.br/hidrantes/03individual/92.html","92")</f>
      </c>
      <c r="B200" t="s">
        <v>12</v>
      </c>
      <c r="C200" t="s">
        <v>47</v>
      </c>
      <c r="D200" t="s">
        <v>47</v>
      </c>
      <c r="E200" t="s">
        <v>15</v>
      </c>
      <c r="F200" t="s">
        <v>1723</v>
      </c>
      <c r="G200" t="s">
        <v>18196</v>
      </c>
      <c r="H200" t="s">
        <v>1112</v>
      </c>
      <c r="I200" t="s">
        <v>1108</v>
      </c>
      <c r="J200" t="s">
        <v>1725</v>
      </c>
      <c r="K200" t="s">
        <v>1726</v>
      </c>
      <c r="L200" t="s">
        <v>21</v>
      </c>
      <c r="M200" t="s">
        <v>19177</v>
      </c>
      <c r="N200" t="s">
        <v>714</v>
      </c>
      <c r="O200" t="s">
        <v>10263</v>
      </c>
      <c r="P200" t="s">
        <v>12</v>
      </c>
    </row>
    <row r="201">
      <c r="A201">
        <f>HYPERLINK("http://bombeiros.sp.gov.br/hidrantes/03individual/95.html","95")</f>
      </c>
      <c r="B201" t="s">
        <v>12</v>
      </c>
      <c r="C201" t="s">
        <v>47</v>
      </c>
      <c r="D201" t="s">
        <v>47</v>
      </c>
      <c r="E201" t="s">
        <v>15</v>
      </c>
      <c r="F201" t="s">
        <v>1727</v>
      </c>
      <c r="G201" t="s">
        <v>18152</v>
      </c>
      <c r="H201" t="s">
        <v>1107</v>
      </c>
      <c r="I201" t="s">
        <v>1108</v>
      </c>
      <c r="J201" t="s">
        <v>1729</v>
      </c>
      <c r="K201" t="s">
        <v>1730</v>
      </c>
      <c r="L201" t="s">
        <v>21</v>
      </c>
      <c r="M201" t="s">
        <v>19177</v>
      </c>
      <c r="N201" t="s">
        <v>714</v>
      </c>
      <c r="O201" t="s">
        <v>10263</v>
      </c>
      <c r="P201" t="s">
        <v>12</v>
      </c>
    </row>
    <row r="202">
      <c r="A202">
        <f>HYPERLINK("http://bombeiros.sp.gov.br/hidrantes/03individual/2191.html","2191")</f>
      </c>
      <c r="B202" t="s">
        <v>12</v>
      </c>
      <c r="C202" t="s">
        <v>47</v>
      </c>
      <c r="D202" t="s">
        <v>47</v>
      </c>
      <c r="E202" t="s">
        <v>15</v>
      </c>
      <c r="F202" t="s">
        <v>1731</v>
      </c>
      <c r="G202" t="s">
        <v>18054</v>
      </c>
      <c r="H202" t="s">
        <v>1107</v>
      </c>
      <c r="I202" t="s">
        <v>1108</v>
      </c>
      <c r="J202" t="s">
        <v>1732</v>
      </c>
      <c r="K202" t="s">
        <v>1733</v>
      </c>
      <c r="L202" t="s">
        <v>21</v>
      </c>
      <c r="M202" t="s">
        <v>19177</v>
      </c>
      <c r="N202" t="s">
        <v>714</v>
      </c>
      <c r="O202" t="s">
        <v>10263</v>
      </c>
      <c r="P202" t="s">
        <v>12</v>
      </c>
    </row>
    <row r="203">
      <c r="A203">
        <f>HYPERLINK("http://bombeiros.sp.gov.br/hidrantes/03individual/2283.html","2283")</f>
      </c>
      <c r="B203" t="s">
        <v>12</v>
      </c>
      <c r="C203" t="s">
        <v>47</v>
      </c>
      <c r="D203" t="s">
        <v>47</v>
      </c>
      <c r="E203" t="s">
        <v>15</v>
      </c>
      <c r="F203" t="s">
        <v>1734</v>
      </c>
      <c r="G203" t="s">
        <v>18052</v>
      </c>
      <c r="H203" t="s">
        <v>1112</v>
      </c>
      <c r="I203" t="s">
        <v>1108</v>
      </c>
      <c r="J203" t="s">
        <v>1735</v>
      </c>
      <c r="K203" t="s">
        <v>1736</v>
      </c>
      <c r="L203" t="s">
        <v>21</v>
      </c>
      <c r="M203" t="s">
        <v>19177</v>
      </c>
      <c r="N203" t="s">
        <v>714</v>
      </c>
      <c r="O203" t="s">
        <v>10263</v>
      </c>
      <c r="P203" t="s">
        <v>12</v>
      </c>
    </row>
    <row r="204">
      <c r="A204">
        <f>HYPERLINK("http://bombeiros.sp.gov.br/hidrantes/03individual/2298.html","2298")</f>
      </c>
      <c r="B204" t="s">
        <v>12</v>
      </c>
      <c r="C204" t="s">
        <v>47</v>
      </c>
      <c r="D204" t="s">
        <v>47</v>
      </c>
      <c r="E204" t="s">
        <v>15</v>
      </c>
      <c r="F204" t="s">
        <v>1737</v>
      </c>
      <c r="G204" t="s">
        <v>18052</v>
      </c>
      <c r="H204" t="s">
        <v>1112</v>
      </c>
      <c r="I204" t="s">
        <v>1108</v>
      </c>
      <c r="J204" t="s">
        <v>1738</v>
      </c>
      <c r="K204" t="s">
        <v>1739</v>
      </c>
      <c r="L204" t="s">
        <v>21</v>
      </c>
      <c r="M204" t="s">
        <v>19177</v>
      </c>
      <c r="N204" t="s">
        <v>714</v>
      </c>
      <c r="O204" t="s">
        <v>10263</v>
      </c>
      <c r="P204" t="s">
        <v>12</v>
      </c>
    </row>
    <row r="205">
      <c r="A205">
        <f>HYPERLINK("http://bombeiros.sp.gov.br/hidrantes/03individual/2299.html","2299")</f>
      </c>
      <c r="B205" t="s">
        <v>12</v>
      </c>
      <c r="C205" t="s">
        <v>47</v>
      </c>
      <c r="D205" t="s">
        <v>47</v>
      </c>
      <c r="E205" t="s">
        <v>15</v>
      </c>
      <c r="F205" t="s">
        <v>1737</v>
      </c>
      <c r="G205" t="s">
        <v>18130</v>
      </c>
      <c r="H205" t="s">
        <v>1121</v>
      </c>
      <c r="I205" t="s">
        <v>1117</v>
      </c>
      <c r="J205" t="s">
        <v>1740</v>
      </c>
      <c r="K205" t="s">
        <v>1741</v>
      </c>
      <c r="L205" t="s">
        <v>21</v>
      </c>
      <c r="M205" t="s">
        <v>19177</v>
      </c>
      <c r="N205" t="s">
        <v>714</v>
      </c>
      <c r="O205" t="s">
        <v>10263</v>
      </c>
      <c r="P205" t="s">
        <v>12</v>
      </c>
    </row>
    <row r="206">
      <c r="A206">
        <f>HYPERLINK("http://bombeiros.sp.gov.br/hidrantes/03individual/2320.html","2320")</f>
      </c>
      <c r="B206" t="s">
        <v>12</v>
      </c>
      <c r="C206" t="s">
        <v>47</v>
      </c>
      <c r="D206" t="s">
        <v>47</v>
      </c>
      <c r="E206" t="s">
        <v>15</v>
      </c>
      <c r="F206" t="s">
        <v>1742</v>
      </c>
      <c r="G206" t="s">
        <v>18052</v>
      </c>
      <c r="H206" t="s">
        <v>1112</v>
      </c>
      <c r="I206" t="s">
        <v>1108</v>
      </c>
      <c r="J206" t="s">
        <v>1743</v>
      </c>
      <c r="K206" t="s">
        <v>1744</v>
      </c>
      <c r="L206" t="s">
        <v>21</v>
      </c>
      <c r="M206" t="s">
        <v>19177</v>
      </c>
      <c r="N206" t="s">
        <v>714</v>
      </c>
      <c r="O206" t="s">
        <v>10263</v>
      </c>
      <c r="P206" t="s">
        <v>12</v>
      </c>
    </row>
    <row r="207">
      <c r="A207">
        <f>HYPERLINK("http://bombeiros.sp.gov.br/hidrantes/03individual/2355.html","2355")</f>
      </c>
      <c r="B207" t="s">
        <v>12</v>
      </c>
      <c r="C207" t="s">
        <v>47</v>
      </c>
      <c r="D207" t="s">
        <v>47</v>
      </c>
      <c r="E207" t="s">
        <v>15</v>
      </c>
      <c r="F207" t="s">
        <v>1745</v>
      </c>
      <c r="G207" t="s">
        <v>18043</v>
      </c>
      <c r="H207" t="s">
        <v>1107</v>
      </c>
      <c r="I207" t="s">
        <v>1108</v>
      </c>
      <c r="J207" t="s">
        <v>1746</v>
      </c>
      <c r="K207" t="s">
        <v>1747</v>
      </c>
      <c r="L207" t="s">
        <v>21</v>
      </c>
      <c r="M207" t="s">
        <v>19177</v>
      </c>
      <c r="N207" t="s">
        <v>714</v>
      </c>
      <c r="O207" t="s">
        <v>10263</v>
      </c>
      <c r="P207" t="s">
        <v>12</v>
      </c>
    </row>
    <row r="208">
      <c r="A208">
        <f>HYPERLINK("http://bombeiros.sp.gov.br/hidrantes/03individual/2512.html","2512")</f>
      </c>
      <c r="B208" t="s">
        <v>12</v>
      </c>
      <c r="C208" t="s">
        <v>47</v>
      </c>
      <c r="D208" t="s">
        <v>47</v>
      </c>
      <c r="E208" t="s">
        <v>15</v>
      </c>
      <c r="F208" t="s">
        <v>1748</v>
      </c>
      <c r="G208" t="s">
        <v>18042</v>
      </c>
      <c r="H208" t="s">
        <v>1107</v>
      </c>
      <c r="I208" t="s">
        <v>1108</v>
      </c>
      <c r="J208" t="s">
        <v>1749</v>
      </c>
      <c r="K208" t="s">
        <v>1750</v>
      </c>
      <c r="L208" t="s">
        <v>21</v>
      </c>
      <c r="M208" t="s">
        <v>19177</v>
      </c>
      <c r="N208" t="s">
        <v>714</v>
      </c>
      <c r="O208" t="s">
        <v>10263</v>
      </c>
      <c r="P208" t="s">
        <v>12</v>
      </c>
    </row>
    <row r="209">
      <c r="A209">
        <f>HYPERLINK("http://bombeiros.sp.gov.br/hidrantes/03individual/2543.html","2543")</f>
      </c>
      <c r="B209" t="s">
        <v>12</v>
      </c>
      <c r="C209" t="s">
        <v>47</v>
      </c>
      <c r="D209" t="s">
        <v>47</v>
      </c>
      <c r="E209" t="s">
        <v>15</v>
      </c>
      <c r="F209" t="s">
        <v>1754</v>
      </c>
      <c r="G209" t="s">
        <v>18042</v>
      </c>
      <c r="H209" t="s">
        <v>1107</v>
      </c>
      <c r="I209" t="s">
        <v>1108</v>
      </c>
      <c r="J209" t="s">
        <v>16268</v>
      </c>
      <c r="K209" t="s">
        <v>16269</v>
      </c>
      <c r="L209" t="s">
        <v>21</v>
      </c>
      <c r="M209" t="s">
        <v>19177</v>
      </c>
      <c r="N209" t="s">
        <v>714</v>
      </c>
      <c r="O209" t="s">
        <v>10263</v>
      </c>
      <c r="P209" t="s">
        <v>12</v>
      </c>
    </row>
    <row r="210">
      <c r="A210">
        <f>HYPERLINK("http://bombeiros.sp.gov.br/hidrantes/03individual/2545.html","2545")</f>
      </c>
      <c r="B210" t="s">
        <v>12</v>
      </c>
      <c r="C210" t="s">
        <v>47</v>
      </c>
      <c r="D210" t="s">
        <v>47</v>
      </c>
      <c r="E210" t="s">
        <v>15</v>
      </c>
      <c r="F210" t="s">
        <v>1757</v>
      </c>
      <c r="G210" t="s">
        <v>18042</v>
      </c>
      <c r="H210" t="s">
        <v>1107</v>
      </c>
      <c r="I210" t="s">
        <v>1108</v>
      </c>
      <c r="J210" t="s">
        <v>1758</v>
      </c>
      <c r="K210" t="s">
        <v>1759</v>
      </c>
      <c r="L210" t="s">
        <v>21</v>
      </c>
      <c r="M210" t="s">
        <v>19177</v>
      </c>
      <c r="N210" t="s">
        <v>714</v>
      </c>
      <c r="O210" t="s">
        <v>10263</v>
      </c>
      <c r="P210" t="s">
        <v>12</v>
      </c>
    </row>
    <row r="211">
      <c r="A211">
        <f>HYPERLINK("http://bombeiros.sp.gov.br/hidrantes/03individual/16581.html","16581")</f>
      </c>
      <c r="B211" t="s">
        <v>12</v>
      </c>
      <c r="C211" t="s">
        <v>47</v>
      </c>
      <c r="D211" t="s">
        <v>47</v>
      </c>
      <c r="E211" t="s">
        <v>15</v>
      </c>
      <c r="F211" t="s">
        <v>1760</v>
      </c>
      <c r="G211" t="s">
        <v>18053</v>
      </c>
      <c r="H211" t="s">
        <v>1121</v>
      </c>
      <c r="I211" t="s">
        <v>1117</v>
      </c>
      <c r="J211" t="s">
        <v>1761</v>
      </c>
      <c r="K211" t="s">
        <v>1762</v>
      </c>
      <c r="L211" t="s">
        <v>21</v>
      </c>
      <c r="M211" t="s">
        <v>19177</v>
      </c>
      <c r="N211" t="s">
        <v>714</v>
      </c>
      <c r="O211" t="s">
        <v>10263</v>
      </c>
      <c r="P211" t="s">
        <v>12</v>
      </c>
    </row>
    <row r="212">
      <c r="A212">
        <f>HYPERLINK("http://bombeiros.sp.gov.br/hidrantes/03individual/24.html","24")</f>
      </c>
      <c r="B212" t="s">
        <v>12</v>
      </c>
      <c r="C212" t="s">
        <v>47</v>
      </c>
      <c r="D212" t="s">
        <v>52</v>
      </c>
      <c r="E212" t="s">
        <v>64</v>
      </c>
      <c r="F212" t="s">
        <v>1763</v>
      </c>
      <c r="G212" t="s">
        <v>18054</v>
      </c>
      <c r="H212" t="s">
        <v>1112</v>
      </c>
      <c r="I212" t="s">
        <v>1108</v>
      </c>
      <c r="J212" t="s">
        <v>1764</v>
      </c>
      <c r="K212" t="s">
        <v>1765</v>
      </c>
      <c r="L212" t="s">
        <v>36</v>
      </c>
      <c r="M212" t="s">
        <v>19177</v>
      </c>
      <c r="N212" t="s">
        <v>714</v>
      </c>
      <c r="O212" t="s">
        <v>10263</v>
      </c>
      <c r="P212" t="s">
        <v>12</v>
      </c>
    </row>
    <row r="213">
      <c r="A213">
        <f>HYPERLINK("http://bombeiros.sp.gov.br/hidrantes/03individual/25.html","25")</f>
      </c>
      <c r="B213" t="s">
        <v>12</v>
      </c>
      <c r="C213" t="s">
        <v>47</v>
      </c>
      <c r="D213" t="s">
        <v>52</v>
      </c>
      <c r="E213" t="s">
        <v>15</v>
      </c>
      <c r="F213" t="s">
        <v>1766</v>
      </c>
      <c r="G213" t="s">
        <v>18056</v>
      </c>
      <c r="H213" t="s">
        <v>1107</v>
      </c>
      <c r="I213" t="s">
        <v>1108</v>
      </c>
      <c r="J213" t="s">
        <v>1767</v>
      </c>
      <c r="K213" t="s">
        <v>1768</v>
      </c>
      <c r="L213" t="s">
        <v>21</v>
      </c>
      <c r="M213" t="s">
        <v>19177</v>
      </c>
      <c r="N213" t="s">
        <v>714</v>
      </c>
      <c r="O213" t="s">
        <v>10263</v>
      </c>
      <c r="P213" t="s">
        <v>12</v>
      </c>
    </row>
    <row r="214">
      <c r="A214">
        <f>HYPERLINK("http://bombeiros.sp.gov.br/hidrantes/03individual/1406.html","1406")</f>
      </c>
      <c r="B214" t="s">
        <v>12</v>
      </c>
      <c r="C214" t="s">
        <v>47</v>
      </c>
      <c r="D214" t="s">
        <v>52</v>
      </c>
      <c r="E214" t="s">
        <v>15</v>
      </c>
      <c r="F214" t="s">
        <v>1769</v>
      </c>
      <c r="G214" t="s">
        <v>18056</v>
      </c>
      <c r="H214" t="s">
        <v>1107</v>
      </c>
      <c r="I214" t="s">
        <v>1108</v>
      </c>
      <c r="J214" t="s">
        <v>1770</v>
      </c>
      <c r="K214" t="s">
        <v>1771</v>
      </c>
      <c r="L214" t="s">
        <v>21</v>
      </c>
      <c r="M214" t="s">
        <v>19177</v>
      </c>
      <c r="N214" t="s">
        <v>714</v>
      </c>
      <c r="O214" t="s">
        <v>10263</v>
      </c>
      <c r="P214" t="s">
        <v>12</v>
      </c>
    </row>
    <row r="215">
      <c r="A215">
        <f>HYPERLINK("http://bombeiros.sp.gov.br/hidrantes/03individual/1411.html","1411")</f>
      </c>
      <c r="B215" t="s">
        <v>12</v>
      </c>
      <c r="C215" t="s">
        <v>47</v>
      </c>
      <c r="D215" t="s">
        <v>52</v>
      </c>
      <c r="E215" t="s">
        <v>15</v>
      </c>
      <c r="F215" t="s">
        <v>1772</v>
      </c>
      <c r="G215" t="s">
        <v>18159</v>
      </c>
      <c r="H215" t="s">
        <v>1107</v>
      </c>
      <c r="I215" t="s">
        <v>1108</v>
      </c>
      <c r="J215" t="s">
        <v>1773</v>
      </c>
      <c r="K215" t="s">
        <v>1774</v>
      </c>
      <c r="L215" t="s">
        <v>21</v>
      </c>
      <c r="M215" t="s">
        <v>19177</v>
      </c>
      <c r="N215" t="s">
        <v>714</v>
      </c>
      <c r="O215" t="s">
        <v>10263</v>
      </c>
      <c r="P215" t="s">
        <v>12</v>
      </c>
    </row>
    <row r="216">
      <c r="A216">
        <f>HYPERLINK("http://bombeiros.sp.gov.br/hidrantes/03individual/1450.html","1450")</f>
      </c>
      <c r="B216" t="s">
        <v>12</v>
      </c>
      <c r="C216" t="s">
        <v>47</v>
      </c>
      <c r="D216" t="s">
        <v>52</v>
      </c>
      <c r="E216" t="s">
        <v>15</v>
      </c>
      <c r="F216" t="s">
        <v>1775</v>
      </c>
      <c r="G216" t="s">
        <v>18196</v>
      </c>
      <c r="H216" t="s">
        <v>1112</v>
      </c>
      <c r="I216" t="s">
        <v>1108</v>
      </c>
      <c r="J216" t="s">
        <v>1776</v>
      </c>
      <c r="K216" t="s">
        <v>1777</v>
      </c>
      <c r="L216" t="s">
        <v>21</v>
      </c>
      <c r="M216" t="s">
        <v>19177</v>
      </c>
      <c r="N216" t="s">
        <v>714</v>
      </c>
      <c r="O216" t="s">
        <v>10263</v>
      </c>
      <c r="P216" t="s">
        <v>12</v>
      </c>
    </row>
    <row r="217">
      <c r="A217">
        <f>HYPERLINK("http://bombeiros.sp.gov.br/hidrantes/03individual/1626.html","1626")</f>
      </c>
      <c r="B217" t="s">
        <v>12</v>
      </c>
      <c r="C217" t="s">
        <v>47</v>
      </c>
      <c r="D217" t="s">
        <v>52</v>
      </c>
      <c r="E217" t="s">
        <v>15</v>
      </c>
      <c r="F217" t="s">
        <v>1778</v>
      </c>
      <c r="G217" t="s">
        <v>18054</v>
      </c>
      <c r="H217" t="s">
        <v>1107</v>
      </c>
      <c r="I217" t="s">
        <v>1108</v>
      </c>
      <c r="J217" t="s">
        <v>1779</v>
      </c>
      <c r="K217" t="s">
        <v>1780</v>
      </c>
      <c r="L217" t="s">
        <v>21</v>
      </c>
      <c r="M217" t="s">
        <v>19177</v>
      </c>
      <c r="N217" t="s">
        <v>714</v>
      </c>
      <c r="O217" t="s">
        <v>10263</v>
      </c>
      <c r="P217" t="s">
        <v>12</v>
      </c>
    </row>
    <row r="218">
      <c r="A218">
        <f>HYPERLINK("http://bombeiros.sp.gov.br/hidrantes/03individual/2765.html","2765")</f>
      </c>
      <c r="B218" t="s">
        <v>12</v>
      </c>
      <c r="C218" t="s">
        <v>47</v>
      </c>
      <c r="D218" t="s">
        <v>52</v>
      </c>
      <c r="E218" t="s">
        <v>15</v>
      </c>
      <c r="F218" t="s">
        <v>1781</v>
      </c>
      <c r="G218" t="s">
        <v>18055</v>
      </c>
      <c r="H218" t="s">
        <v>1107</v>
      </c>
      <c r="I218" t="s">
        <v>1108</v>
      </c>
      <c r="J218" t="s">
        <v>1783</v>
      </c>
      <c r="K218" t="s">
        <v>1784</v>
      </c>
      <c r="L218" t="s">
        <v>21</v>
      </c>
      <c r="M218" t="s">
        <v>19177</v>
      </c>
      <c r="N218" t="s">
        <v>714</v>
      </c>
      <c r="O218" t="s">
        <v>10263</v>
      </c>
      <c r="P218" t="s">
        <v>12</v>
      </c>
    </row>
    <row r="219">
      <c r="A219">
        <f>HYPERLINK("http://bombeiros.sp.gov.br/hidrantes/03individual/25222.html","25222")</f>
      </c>
      <c r="B219" t="s">
        <v>12</v>
      </c>
      <c r="C219" t="s">
        <v>47</v>
      </c>
      <c r="D219" t="s">
        <v>52</v>
      </c>
      <c r="E219" t="s">
        <v>15</v>
      </c>
      <c r="F219" t="s">
        <v>1785</v>
      </c>
      <c r="G219" t="s">
        <v>18054</v>
      </c>
      <c r="H219" t="s">
        <v>1121</v>
      </c>
      <c r="I219" t="s">
        <v>1117</v>
      </c>
      <c r="J219" t="s">
        <v>1786</v>
      </c>
      <c r="K219" t="s">
        <v>1787</v>
      </c>
      <c r="L219" t="s">
        <v>21</v>
      </c>
      <c r="M219" t="s">
        <v>19177</v>
      </c>
      <c r="N219" t="s">
        <v>714</v>
      </c>
      <c r="O219" t="s">
        <v>10263</v>
      </c>
      <c r="P219" t="s">
        <v>12</v>
      </c>
    </row>
    <row r="220">
      <c r="A220">
        <f>HYPERLINK("http://bombeiros.sp.gov.br/hidrantes/03individual/1936.html","1936")</f>
      </c>
      <c r="B220" t="s">
        <v>12</v>
      </c>
      <c r="C220" t="s">
        <v>47</v>
      </c>
      <c r="D220" t="s">
        <v>1788</v>
      </c>
      <c r="E220" t="s">
        <v>64</v>
      </c>
      <c r="F220" t="s">
        <v>1789</v>
      </c>
      <c r="G220" t="s">
        <v>18054</v>
      </c>
      <c r="H220" t="s">
        <v>1121</v>
      </c>
      <c r="I220" t="s">
        <v>1117</v>
      </c>
      <c r="J220" t="s">
        <v>1790</v>
      </c>
      <c r="K220" t="s">
        <v>1791</v>
      </c>
      <c r="L220" t="s">
        <v>21</v>
      </c>
      <c r="M220" t="s">
        <v>19177</v>
      </c>
      <c r="N220" t="s">
        <v>714</v>
      </c>
      <c r="O220" t="s">
        <v>10263</v>
      </c>
      <c r="P220" t="s">
        <v>12</v>
      </c>
    </row>
    <row r="221">
      <c r="A221">
        <f>HYPERLINK("http://bombeiros.sp.gov.br/hidrantes/03individual/163.html","163")</f>
      </c>
      <c r="B221" t="s">
        <v>12</v>
      </c>
      <c r="C221" t="s">
        <v>47</v>
      </c>
      <c r="D221" t="s">
        <v>1788</v>
      </c>
      <c r="E221" t="s">
        <v>15</v>
      </c>
      <c r="F221" t="s">
        <v>1792</v>
      </c>
      <c r="G221" t="s">
        <v>18054</v>
      </c>
      <c r="H221" t="s">
        <v>1107</v>
      </c>
      <c r="I221" t="s">
        <v>1108</v>
      </c>
      <c r="J221" t="s">
        <v>1793</v>
      </c>
      <c r="K221" t="s">
        <v>1794</v>
      </c>
      <c r="L221" t="s">
        <v>21</v>
      </c>
      <c r="M221" t="s">
        <v>19177</v>
      </c>
      <c r="N221" t="s">
        <v>714</v>
      </c>
      <c r="O221" t="s">
        <v>10263</v>
      </c>
      <c r="P221" t="s">
        <v>12</v>
      </c>
    </row>
    <row r="222">
      <c r="A222">
        <f>HYPERLINK("http://bombeiros.sp.gov.br/hidrantes/03individual/164.html","164")</f>
      </c>
      <c r="B222" t="s">
        <v>12</v>
      </c>
      <c r="C222" t="s">
        <v>47</v>
      </c>
      <c r="D222" t="s">
        <v>1788</v>
      </c>
      <c r="E222" t="s">
        <v>15</v>
      </c>
      <c r="F222" t="s">
        <v>1795</v>
      </c>
      <c r="G222" t="s">
        <v>18054</v>
      </c>
      <c r="H222" t="s">
        <v>1107</v>
      </c>
      <c r="I222" t="s">
        <v>1108</v>
      </c>
      <c r="J222" t="s">
        <v>1796</v>
      </c>
      <c r="K222" t="s">
        <v>1797</v>
      </c>
      <c r="L222" t="s">
        <v>21</v>
      </c>
      <c r="M222" t="s">
        <v>19177</v>
      </c>
      <c r="N222" t="s">
        <v>714</v>
      </c>
      <c r="O222" t="s">
        <v>10263</v>
      </c>
      <c r="P222" t="s">
        <v>12</v>
      </c>
    </row>
    <row r="223">
      <c r="A223">
        <f>HYPERLINK("http://bombeiros.sp.gov.br/hidrantes/03individual/226.html","226")</f>
      </c>
      <c r="B223" t="s">
        <v>12</v>
      </c>
      <c r="C223" t="s">
        <v>47</v>
      </c>
      <c r="D223" t="s">
        <v>1788</v>
      </c>
      <c r="E223" t="s">
        <v>15</v>
      </c>
      <c r="F223" t="s">
        <v>1798</v>
      </c>
      <c r="G223" t="s">
        <v>18054</v>
      </c>
      <c r="H223" t="s">
        <v>1107</v>
      </c>
      <c r="I223" t="s">
        <v>1108</v>
      </c>
      <c r="J223" t="s">
        <v>1799</v>
      </c>
      <c r="K223" t="s">
        <v>1800</v>
      </c>
      <c r="L223" t="s">
        <v>21</v>
      </c>
      <c r="M223" t="s">
        <v>19177</v>
      </c>
      <c r="N223" t="s">
        <v>714</v>
      </c>
      <c r="O223" t="s">
        <v>10263</v>
      </c>
      <c r="P223" t="s">
        <v>12</v>
      </c>
    </row>
    <row r="224">
      <c r="A224">
        <f>HYPERLINK("http://bombeiros.sp.gov.br/hidrantes/03individual/1606.html","1606")</f>
      </c>
      <c r="B224" t="s">
        <v>12</v>
      </c>
      <c r="C224" t="s">
        <v>47</v>
      </c>
      <c r="D224" t="s">
        <v>1788</v>
      </c>
      <c r="E224" t="s">
        <v>15</v>
      </c>
      <c r="F224" t="s">
        <v>1801</v>
      </c>
      <c r="G224" t="s">
        <v>18055</v>
      </c>
      <c r="H224" t="s">
        <v>1112</v>
      </c>
      <c r="I224" t="s">
        <v>1108</v>
      </c>
      <c r="J224" t="s">
        <v>1802</v>
      </c>
      <c r="K224" t="s">
        <v>1803</v>
      </c>
      <c r="L224" t="s">
        <v>21</v>
      </c>
      <c r="M224" t="s">
        <v>19177</v>
      </c>
      <c r="N224" t="s">
        <v>714</v>
      </c>
      <c r="O224" t="s">
        <v>10263</v>
      </c>
      <c r="P224" t="s">
        <v>12</v>
      </c>
    </row>
    <row r="225">
      <c r="A225">
        <f>HYPERLINK("http://bombeiros.sp.gov.br/hidrantes/03individual/1833.html","1833")</f>
      </c>
      <c r="B225" t="s">
        <v>12</v>
      </c>
      <c r="C225" t="s">
        <v>47</v>
      </c>
      <c r="D225" t="s">
        <v>1788</v>
      </c>
      <c r="E225" t="s">
        <v>15</v>
      </c>
      <c r="F225" t="s">
        <v>1804</v>
      </c>
      <c r="G225" t="s">
        <v>18056</v>
      </c>
      <c r="H225" t="s">
        <v>1121</v>
      </c>
      <c r="I225" t="s">
        <v>1117</v>
      </c>
      <c r="J225" t="s">
        <v>1805</v>
      </c>
      <c r="K225" t="s">
        <v>1806</v>
      </c>
      <c r="L225" t="s">
        <v>21</v>
      </c>
      <c r="M225" t="s">
        <v>19177</v>
      </c>
      <c r="N225" t="s">
        <v>714</v>
      </c>
      <c r="O225" t="s">
        <v>10263</v>
      </c>
      <c r="P225" t="s">
        <v>12</v>
      </c>
    </row>
    <row r="226">
      <c r="A226">
        <f>HYPERLINK("http://bombeiros.sp.gov.br/hidrantes/03individual/1857.html","1857")</f>
      </c>
      <c r="B226" t="s">
        <v>12</v>
      </c>
      <c r="C226" t="s">
        <v>47</v>
      </c>
      <c r="D226" t="s">
        <v>1788</v>
      </c>
      <c r="E226" t="s">
        <v>15</v>
      </c>
      <c r="F226" t="s">
        <v>1807</v>
      </c>
      <c r="G226" t="s">
        <v>18054</v>
      </c>
      <c r="H226" t="s">
        <v>1112</v>
      </c>
      <c r="I226" t="s">
        <v>1108</v>
      </c>
      <c r="J226" t="s">
        <v>1808</v>
      </c>
      <c r="K226" t="s">
        <v>1809</v>
      </c>
      <c r="L226" t="s">
        <v>21</v>
      </c>
      <c r="M226" t="s">
        <v>19177</v>
      </c>
      <c r="N226" t="s">
        <v>714</v>
      </c>
      <c r="O226" t="s">
        <v>10263</v>
      </c>
      <c r="P226" t="s">
        <v>12</v>
      </c>
    </row>
    <row r="227">
      <c r="A227">
        <f>HYPERLINK("http://bombeiros.sp.gov.br/hidrantes/03individual/1863.html","1863")</f>
      </c>
      <c r="B227" t="s">
        <v>12</v>
      </c>
      <c r="C227" t="s">
        <v>47</v>
      </c>
      <c r="D227" t="s">
        <v>1788</v>
      </c>
      <c r="E227" t="s">
        <v>15</v>
      </c>
      <c r="F227" t="s">
        <v>1810</v>
      </c>
      <c r="G227" t="s">
        <v>18054</v>
      </c>
      <c r="H227" t="s">
        <v>1107</v>
      </c>
      <c r="I227" t="s">
        <v>1108</v>
      </c>
      <c r="J227" t="s">
        <v>1811</v>
      </c>
      <c r="K227" t="s">
        <v>1812</v>
      </c>
      <c r="L227" t="s">
        <v>21</v>
      </c>
      <c r="M227" t="s">
        <v>19177</v>
      </c>
      <c r="N227" t="s">
        <v>714</v>
      </c>
      <c r="O227" t="s">
        <v>10263</v>
      </c>
      <c r="P227" t="s">
        <v>12</v>
      </c>
    </row>
    <row r="228">
      <c r="A228">
        <f>HYPERLINK("http://bombeiros.sp.gov.br/hidrantes/03individual/1891.html","1891")</f>
      </c>
      <c r="B228" t="s">
        <v>12</v>
      </c>
      <c r="C228" t="s">
        <v>47</v>
      </c>
      <c r="D228" t="s">
        <v>1788</v>
      </c>
      <c r="E228" t="s">
        <v>15</v>
      </c>
      <c r="F228" t="s">
        <v>1813</v>
      </c>
      <c r="G228" t="s">
        <v>18054</v>
      </c>
      <c r="H228" t="s">
        <v>1121</v>
      </c>
      <c r="I228" t="s">
        <v>1117</v>
      </c>
      <c r="J228" t="s">
        <v>1814</v>
      </c>
      <c r="K228" t="s">
        <v>1815</v>
      </c>
      <c r="L228" t="s">
        <v>21</v>
      </c>
      <c r="M228" t="s">
        <v>19177</v>
      </c>
      <c r="N228" t="s">
        <v>714</v>
      </c>
      <c r="O228" t="s">
        <v>10263</v>
      </c>
      <c r="P228" t="s">
        <v>12</v>
      </c>
    </row>
    <row r="229">
      <c r="A229">
        <f>HYPERLINK("http://bombeiros.sp.gov.br/hidrantes/03individual/1897.html","1897")</f>
      </c>
      <c r="B229" t="s">
        <v>12</v>
      </c>
      <c r="C229" t="s">
        <v>47</v>
      </c>
      <c r="D229" t="s">
        <v>1788</v>
      </c>
      <c r="E229" t="s">
        <v>15</v>
      </c>
      <c r="F229" t="s">
        <v>1816</v>
      </c>
      <c r="G229" t="s">
        <v>18054</v>
      </c>
      <c r="H229" t="s">
        <v>1107</v>
      </c>
      <c r="I229" t="s">
        <v>1108</v>
      </c>
      <c r="J229" t="s">
        <v>1817</v>
      </c>
      <c r="K229" t="s">
        <v>1818</v>
      </c>
      <c r="L229" t="s">
        <v>21</v>
      </c>
      <c r="M229" t="s">
        <v>19177</v>
      </c>
      <c r="N229" t="s">
        <v>714</v>
      </c>
      <c r="O229" t="s">
        <v>10263</v>
      </c>
      <c r="P229" t="s">
        <v>12</v>
      </c>
    </row>
    <row r="230">
      <c r="A230">
        <f>HYPERLINK("http://bombeiros.sp.gov.br/hidrantes/03individual/1922.html","1922")</f>
      </c>
      <c r="B230" t="s">
        <v>12</v>
      </c>
      <c r="C230" t="s">
        <v>47</v>
      </c>
      <c r="D230" t="s">
        <v>1788</v>
      </c>
      <c r="E230" t="s">
        <v>15</v>
      </c>
      <c r="F230" t="s">
        <v>1819</v>
      </c>
      <c r="G230" t="s">
        <v>18054</v>
      </c>
      <c r="H230" t="s">
        <v>1112</v>
      </c>
      <c r="I230" t="s">
        <v>1108</v>
      </c>
      <c r="J230" t="s">
        <v>1820</v>
      </c>
      <c r="K230" t="s">
        <v>1821</v>
      </c>
      <c r="L230" t="s">
        <v>21</v>
      </c>
      <c r="M230" t="s">
        <v>19177</v>
      </c>
      <c r="N230" t="s">
        <v>714</v>
      </c>
      <c r="O230" t="s">
        <v>10263</v>
      </c>
      <c r="P230" t="s">
        <v>12</v>
      </c>
    </row>
    <row r="231">
      <c r="A231">
        <f>HYPERLINK("http://bombeiros.sp.gov.br/hidrantes/03individual/1929.html","1929")</f>
      </c>
      <c r="B231" t="s">
        <v>12</v>
      </c>
      <c r="C231" t="s">
        <v>47</v>
      </c>
      <c r="D231" t="s">
        <v>1788</v>
      </c>
      <c r="E231" t="s">
        <v>15</v>
      </c>
      <c r="F231" t="s">
        <v>1822</v>
      </c>
      <c r="G231" t="s">
        <v>18054</v>
      </c>
      <c r="H231" t="s">
        <v>1107</v>
      </c>
      <c r="I231" t="s">
        <v>1108</v>
      </c>
      <c r="J231" t="s">
        <v>1823</v>
      </c>
      <c r="K231" t="s">
        <v>1824</v>
      </c>
      <c r="L231" t="s">
        <v>21</v>
      </c>
      <c r="M231" t="s">
        <v>19177</v>
      </c>
      <c r="N231" t="s">
        <v>714</v>
      </c>
      <c r="O231" t="s">
        <v>10263</v>
      </c>
      <c r="P231" t="s">
        <v>12</v>
      </c>
    </row>
    <row r="232">
      <c r="A232">
        <f>HYPERLINK("http://bombeiros.sp.gov.br/hidrantes/03individual/1934.html","1934")</f>
      </c>
      <c r="B232" t="s">
        <v>12</v>
      </c>
      <c r="C232" t="s">
        <v>47</v>
      </c>
      <c r="D232" t="s">
        <v>1788</v>
      </c>
      <c r="E232" t="s">
        <v>15</v>
      </c>
      <c r="F232" t="s">
        <v>1789</v>
      </c>
      <c r="G232" t="s">
        <v>18054</v>
      </c>
      <c r="H232" t="s">
        <v>1107</v>
      </c>
      <c r="I232" t="s">
        <v>1108</v>
      </c>
      <c r="J232" t="s">
        <v>1825</v>
      </c>
      <c r="K232" t="s">
        <v>1826</v>
      </c>
      <c r="L232" t="s">
        <v>21</v>
      </c>
      <c r="M232" t="s">
        <v>19177</v>
      </c>
      <c r="N232" t="s">
        <v>714</v>
      </c>
      <c r="O232" t="s">
        <v>10263</v>
      </c>
      <c r="P232" t="s">
        <v>12</v>
      </c>
    </row>
    <row r="233">
      <c r="A233">
        <f>HYPERLINK("http://bombeiros.sp.gov.br/hidrantes/03individual/1941.html","1941")</f>
      </c>
      <c r="B233" t="s">
        <v>12</v>
      </c>
      <c r="C233" t="s">
        <v>47</v>
      </c>
      <c r="D233" t="s">
        <v>1788</v>
      </c>
      <c r="E233" t="s">
        <v>15</v>
      </c>
      <c r="F233" t="s">
        <v>1827</v>
      </c>
      <c r="G233" t="s">
        <v>18054</v>
      </c>
      <c r="H233" t="s">
        <v>1121</v>
      </c>
      <c r="I233" t="s">
        <v>1117</v>
      </c>
      <c r="J233" t="s">
        <v>1828</v>
      </c>
      <c r="K233" t="s">
        <v>1829</v>
      </c>
      <c r="L233" t="s">
        <v>21</v>
      </c>
      <c r="M233" t="s">
        <v>19177</v>
      </c>
      <c r="N233" t="s">
        <v>714</v>
      </c>
      <c r="O233" t="s">
        <v>10263</v>
      </c>
      <c r="P233" t="s">
        <v>12</v>
      </c>
    </row>
    <row r="234">
      <c r="A234">
        <f>HYPERLINK("http://bombeiros.sp.gov.br/hidrantes/03individual/2676.html","2676")</f>
      </c>
      <c r="B234" t="s">
        <v>12</v>
      </c>
      <c r="C234" t="s">
        <v>47</v>
      </c>
      <c r="D234" t="s">
        <v>1788</v>
      </c>
      <c r="E234" t="s">
        <v>15</v>
      </c>
      <c r="F234" t="s">
        <v>1830</v>
      </c>
      <c r="G234" t="s">
        <v>18089</v>
      </c>
      <c r="H234" t="s">
        <v>1121</v>
      </c>
      <c r="I234" t="s">
        <v>1117</v>
      </c>
      <c r="J234" t="s">
        <v>1832</v>
      </c>
      <c r="K234" t="s">
        <v>1833</v>
      </c>
      <c r="L234" t="s">
        <v>21</v>
      </c>
      <c r="M234" t="s">
        <v>19177</v>
      </c>
      <c r="N234" t="s">
        <v>714</v>
      </c>
      <c r="O234" t="s">
        <v>10263</v>
      </c>
      <c r="P234" t="s">
        <v>12</v>
      </c>
    </row>
    <row r="235">
      <c r="A235">
        <f>HYPERLINK("http://bombeiros.sp.gov.br/hidrantes/03individual/2844.html","2844")</f>
      </c>
      <c r="B235" t="s">
        <v>12</v>
      </c>
      <c r="C235" t="s">
        <v>47</v>
      </c>
      <c r="D235" t="s">
        <v>1788</v>
      </c>
      <c r="E235" t="s">
        <v>15</v>
      </c>
      <c r="F235" t="s">
        <v>1834</v>
      </c>
      <c r="G235" t="s">
        <v>18057</v>
      </c>
      <c r="H235" t="s">
        <v>1112</v>
      </c>
      <c r="I235" t="s">
        <v>1108</v>
      </c>
      <c r="J235" t="s">
        <v>16054</v>
      </c>
      <c r="K235" t="s">
        <v>16055</v>
      </c>
      <c r="L235" t="s">
        <v>21</v>
      </c>
      <c r="M235" t="s">
        <v>19177</v>
      </c>
      <c r="N235" t="s">
        <v>97</v>
      </c>
      <c r="O235" t="s">
        <v>937</v>
      </c>
      <c r="P235" t="s">
        <v>12</v>
      </c>
    </row>
    <row r="236">
      <c r="A236">
        <f>HYPERLINK("http://bombeiros.sp.gov.br/hidrantes/03individual/26811.html","26811")</f>
      </c>
      <c r="B236" t="s">
        <v>12</v>
      </c>
      <c r="C236" t="s">
        <v>47</v>
      </c>
      <c r="D236" t="s">
        <v>1788</v>
      </c>
      <c r="E236" t="s">
        <v>15</v>
      </c>
      <c r="F236" t="s">
        <v>15945</v>
      </c>
      <c r="G236" t="s">
        <v>18054</v>
      </c>
      <c r="H236" t="s">
        <v>1121</v>
      </c>
      <c r="I236" t="s">
        <v>1117</v>
      </c>
      <c r="J236" t="s">
        <v>15946</v>
      </c>
      <c r="K236" t="s">
        <v>15947</v>
      </c>
      <c r="L236" t="s">
        <v>21</v>
      </c>
      <c r="M236" t="s">
        <v>19177</v>
      </c>
      <c r="N236" t="s">
        <v>714</v>
      </c>
      <c r="O236" t="s">
        <v>10263</v>
      </c>
      <c r="P236" t="s">
        <v>12</v>
      </c>
    </row>
    <row r="237">
      <c r="A237">
        <f>HYPERLINK("http://bombeiros.sp.gov.br/hidrantes/03individual/27224.html","27224")</f>
      </c>
      <c r="B237" t="s">
        <v>12</v>
      </c>
      <c r="C237" t="s">
        <v>47</v>
      </c>
      <c r="D237" t="s">
        <v>1788</v>
      </c>
      <c r="E237" t="s">
        <v>15</v>
      </c>
      <c r="F237" t="s">
        <v>16930</v>
      </c>
      <c r="G237" t="s">
        <v>18057</v>
      </c>
      <c r="H237" t="s">
        <v>1107</v>
      </c>
      <c r="I237" t="s">
        <v>1108</v>
      </c>
      <c r="J237" t="s">
        <v>16931</v>
      </c>
      <c r="K237" t="s">
        <v>18058</v>
      </c>
      <c r="L237" t="s">
        <v>21</v>
      </c>
      <c r="M237" t="s">
        <v>19177</v>
      </c>
      <c r="N237" t="s">
        <v>714</v>
      </c>
      <c r="O237" t="s">
        <v>10263</v>
      </c>
      <c r="P237" t="s">
        <v>12</v>
      </c>
    </row>
    <row r="238">
      <c r="A238">
        <f>HYPERLINK("http://bombeiros.sp.gov.br/hidrantes/03individual/27225.html","27225")</f>
      </c>
      <c r="B238" t="s">
        <v>12</v>
      </c>
      <c r="C238" t="s">
        <v>47</v>
      </c>
      <c r="D238" t="s">
        <v>1788</v>
      </c>
      <c r="E238" t="s">
        <v>15</v>
      </c>
      <c r="F238" t="s">
        <v>16933</v>
      </c>
      <c r="G238" t="s">
        <v>18057</v>
      </c>
      <c r="H238" t="s">
        <v>1107</v>
      </c>
      <c r="I238" t="s">
        <v>1108</v>
      </c>
      <c r="J238" t="s">
        <v>16934</v>
      </c>
      <c r="K238" t="s">
        <v>16935</v>
      </c>
      <c r="L238" t="s">
        <v>21</v>
      </c>
      <c r="M238" t="s">
        <v>19177</v>
      </c>
      <c r="N238" t="s">
        <v>714</v>
      </c>
      <c r="O238" t="s">
        <v>10263</v>
      </c>
      <c r="P238" t="s">
        <v>12</v>
      </c>
    </row>
    <row r="239">
      <c r="A239">
        <f>HYPERLINK("http://bombeiros.sp.gov.br/hidrantes/03individual/16569.html","16569")</f>
      </c>
      <c r="B239" t="s">
        <v>12</v>
      </c>
      <c r="C239" t="s">
        <v>47</v>
      </c>
      <c r="D239" t="s">
        <v>1840</v>
      </c>
      <c r="E239" t="s">
        <v>64</v>
      </c>
      <c r="F239" t="s">
        <v>1841</v>
      </c>
      <c r="G239" t="s">
        <v>18050</v>
      </c>
      <c r="H239" t="s">
        <v>1112</v>
      </c>
      <c r="I239" t="s">
        <v>1108</v>
      </c>
      <c r="J239" t="s">
        <v>1842</v>
      </c>
      <c r="K239" t="s">
        <v>1843</v>
      </c>
      <c r="L239" t="s">
        <v>21</v>
      </c>
      <c r="M239" t="s">
        <v>19177</v>
      </c>
      <c r="N239" t="s">
        <v>714</v>
      </c>
      <c r="O239" t="s">
        <v>10263</v>
      </c>
      <c r="P239" t="s">
        <v>12</v>
      </c>
    </row>
    <row r="240">
      <c r="A240">
        <f>HYPERLINK("http://bombeiros.sp.gov.br/hidrantes/03individual/2083.html","2083")</f>
      </c>
      <c r="B240" t="s">
        <v>12</v>
      </c>
      <c r="C240" t="s">
        <v>47</v>
      </c>
      <c r="D240" t="s">
        <v>1840</v>
      </c>
      <c r="E240" t="s">
        <v>15</v>
      </c>
      <c r="F240" t="s">
        <v>1844</v>
      </c>
      <c r="G240" t="s">
        <v>18036</v>
      </c>
      <c r="H240" t="s">
        <v>1107</v>
      </c>
      <c r="I240" t="s">
        <v>1108</v>
      </c>
      <c r="J240" t="s">
        <v>1845</v>
      </c>
      <c r="K240" t="s">
        <v>1846</v>
      </c>
      <c r="L240" t="s">
        <v>21</v>
      </c>
      <c r="M240" t="s">
        <v>19177</v>
      </c>
      <c r="N240" t="s">
        <v>714</v>
      </c>
      <c r="O240" t="s">
        <v>10263</v>
      </c>
      <c r="P240" t="s">
        <v>12</v>
      </c>
    </row>
    <row r="241">
      <c r="A241">
        <f>HYPERLINK("http://bombeiros.sp.gov.br/hidrantes/03individual/2101.html","2101")</f>
      </c>
      <c r="B241" t="s">
        <v>12</v>
      </c>
      <c r="C241" t="s">
        <v>47</v>
      </c>
      <c r="D241" t="s">
        <v>1840</v>
      </c>
      <c r="E241" t="s">
        <v>15</v>
      </c>
      <c r="F241" t="s">
        <v>1847</v>
      </c>
      <c r="G241" t="s">
        <v>18159</v>
      </c>
      <c r="H241" t="s">
        <v>1112</v>
      </c>
      <c r="I241" t="s">
        <v>1108</v>
      </c>
      <c r="J241" t="s">
        <v>1848</v>
      </c>
      <c r="K241" t="s">
        <v>1849</v>
      </c>
      <c r="L241" t="s">
        <v>21</v>
      </c>
      <c r="M241" t="s">
        <v>19177</v>
      </c>
      <c r="N241" t="s">
        <v>714</v>
      </c>
      <c r="O241" t="s">
        <v>10263</v>
      </c>
      <c r="P241" t="s">
        <v>12</v>
      </c>
    </row>
    <row r="242">
      <c r="A242">
        <f>HYPERLINK("http://bombeiros.sp.gov.br/hidrantes/03individual/4270.html","4270")</f>
      </c>
      <c r="B242" t="s">
        <v>12</v>
      </c>
      <c r="C242" t="s">
        <v>47</v>
      </c>
      <c r="D242" t="s">
        <v>1840</v>
      </c>
      <c r="E242" t="s">
        <v>15</v>
      </c>
      <c r="F242" t="s">
        <v>1850</v>
      </c>
      <c r="G242" t="s">
        <v>18036</v>
      </c>
      <c r="H242" t="s">
        <v>1107</v>
      </c>
      <c r="I242" t="s">
        <v>1108</v>
      </c>
      <c r="J242" t="s">
        <v>1851</v>
      </c>
      <c r="K242" t="s">
        <v>1852</v>
      </c>
      <c r="L242" t="s">
        <v>21</v>
      </c>
      <c r="M242" t="s">
        <v>19177</v>
      </c>
      <c r="N242" t="s">
        <v>714</v>
      </c>
      <c r="O242" t="s">
        <v>10263</v>
      </c>
      <c r="P242" t="s">
        <v>12</v>
      </c>
    </row>
    <row r="243">
      <c r="A243">
        <f>HYPERLINK("http://bombeiros.sp.gov.br/hidrantes/03individual/5598.html","5598")</f>
      </c>
      <c r="B243" t="s">
        <v>12</v>
      </c>
      <c r="C243" t="s">
        <v>47</v>
      </c>
      <c r="D243" t="s">
        <v>1840</v>
      </c>
      <c r="E243" t="s">
        <v>15</v>
      </c>
      <c r="F243" t="s">
        <v>1853</v>
      </c>
      <c r="G243" t="s">
        <v>18196</v>
      </c>
      <c r="H243" t="s">
        <v>1107</v>
      </c>
      <c r="I243" t="s">
        <v>1108</v>
      </c>
      <c r="J243" t="s">
        <v>1855</v>
      </c>
      <c r="K243" t="s">
        <v>1856</v>
      </c>
      <c r="L243" t="s">
        <v>21</v>
      </c>
      <c r="M243" t="s">
        <v>19177</v>
      </c>
      <c r="N243" t="s">
        <v>714</v>
      </c>
      <c r="O243" t="s">
        <v>10263</v>
      </c>
      <c r="P243" t="s">
        <v>12</v>
      </c>
    </row>
    <row r="244">
      <c r="A244">
        <f>HYPERLINK("http://bombeiros.sp.gov.br/hidrantes/03individual/17703.html","17703")</f>
      </c>
      <c r="B244" t="s">
        <v>12</v>
      </c>
      <c r="C244" t="s">
        <v>47</v>
      </c>
      <c r="D244" t="s">
        <v>1840</v>
      </c>
      <c r="E244" t="s">
        <v>15</v>
      </c>
      <c r="F244" t="s">
        <v>1857</v>
      </c>
      <c r="G244" t="s">
        <v>18160</v>
      </c>
      <c r="H244" t="s">
        <v>1112</v>
      </c>
      <c r="I244" t="s">
        <v>1108</v>
      </c>
      <c r="J244" t="s">
        <v>1858</v>
      </c>
      <c r="K244" t="s">
        <v>1859</v>
      </c>
      <c r="L244" t="s">
        <v>21</v>
      </c>
      <c r="M244" t="s">
        <v>19177</v>
      </c>
      <c r="N244" t="s">
        <v>714</v>
      </c>
      <c r="O244" t="s">
        <v>10263</v>
      </c>
      <c r="P244" t="s">
        <v>12</v>
      </c>
    </row>
    <row r="245">
      <c r="A245">
        <f>HYPERLINK("http://bombeiros.sp.gov.br/hidrantes/03individual/196.html","196")</f>
      </c>
      <c r="B245" t="s">
        <v>12</v>
      </c>
      <c r="C245" t="s">
        <v>47</v>
      </c>
      <c r="D245" t="s">
        <v>1860</v>
      </c>
      <c r="E245" t="s">
        <v>64</v>
      </c>
      <c r="F245" t="s">
        <v>1861</v>
      </c>
      <c r="G245" t="s">
        <v>18051</v>
      </c>
      <c r="H245" t="s">
        <v>1121</v>
      </c>
      <c r="I245" t="s">
        <v>1117</v>
      </c>
      <c r="J245" t="s">
        <v>1862</v>
      </c>
      <c r="K245" t="s">
        <v>1863</v>
      </c>
      <c r="L245" t="s">
        <v>36</v>
      </c>
      <c r="M245" t="s">
        <v>19177</v>
      </c>
      <c r="N245" t="s">
        <v>714</v>
      </c>
      <c r="O245" t="s">
        <v>10263</v>
      </c>
      <c r="P245" t="s">
        <v>12</v>
      </c>
    </row>
    <row r="246">
      <c r="A246">
        <f>HYPERLINK("http://bombeiros.sp.gov.br/hidrantes/03individual/207.html","207")</f>
      </c>
      <c r="B246" t="s">
        <v>12</v>
      </c>
      <c r="C246" t="s">
        <v>47</v>
      </c>
      <c r="D246" t="s">
        <v>1860</v>
      </c>
      <c r="E246" t="s">
        <v>64</v>
      </c>
      <c r="F246" t="s">
        <v>1864</v>
      </c>
      <c r="G246" t="s">
        <v>18043</v>
      </c>
      <c r="H246" t="s">
        <v>1107</v>
      </c>
      <c r="I246" t="s">
        <v>1108</v>
      </c>
      <c r="J246" t="s">
        <v>1865</v>
      </c>
      <c r="K246" t="s">
        <v>1866</v>
      </c>
      <c r="L246" t="s">
        <v>36</v>
      </c>
      <c r="M246" t="s">
        <v>19177</v>
      </c>
      <c r="N246" t="s">
        <v>97</v>
      </c>
      <c r="O246" t="s">
        <v>937</v>
      </c>
      <c r="P246" t="s">
        <v>12</v>
      </c>
    </row>
    <row r="247">
      <c r="A247">
        <f>HYPERLINK("http://bombeiros.sp.gov.br/hidrantes/03individual/691.html","691")</f>
      </c>
      <c r="B247" t="s">
        <v>12</v>
      </c>
      <c r="C247" t="s">
        <v>47</v>
      </c>
      <c r="D247" t="s">
        <v>1860</v>
      </c>
      <c r="E247" t="s">
        <v>64</v>
      </c>
      <c r="F247" t="s">
        <v>1867</v>
      </c>
      <c r="G247" t="s">
        <v>18050</v>
      </c>
      <c r="H247" t="s">
        <v>1112</v>
      </c>
      <c r="I247" t="s">
        <v>1108</v>
      </c>
      <c r="J247" t="s">
        <v>1869</v>
      </c>
      <c r="K247" t="s">
        <v>1870</v>
      </c>
      <c r="L247" t="s">
        <v>21</v>
      </c>
      <c r="M247" t="s">
        <v>19177</v>
      </c>
      <c r="N247" t="s">
        <v>97</v>
      </c>
      <c r="O247" t="s">
        <v>937</v>
      </c>
      <c r="P247" t="s">
        <v>12</v>
      </c>
    </row>
    <row r="248">
      <c r="A248">
        <f>HYPERLINK("http://bombeiros.sp.gov.br/hidrantes/03individual/1901.html","1901")</f>
      </c>
      <c r="B248" t="s">
        <v>12</v>
      </c>
      <c r="C248" t="s">
        <v>47</v>
      </c>
      <c r="D248" t="s">
        <v>1860</v>
      </c>
      <c r="E248" t="s">
        <v>64</v>
      </c>
      <c r="F248" t="s">
        <v>1871</v>
      </c>
      <c r="G248" t="s">
        <v>18054</v>
      </c>
      <c r="H248" t="s">
        <v>1107</v>
      </c>
      <c r="I248" t="s">
        <v>1108</v>
      </c>
      <c r="J248" t="s">
        <v>1872</v>
      </c>
      <c r="K248" t="s">
        <v>1873</v>
      </c>
      <c r="L248" t="s">
        <v>36</v>
      </c>
      <c r="M248" t="s">
        <v>19177</v>
      </c>
      <c r="N248" t="s">
        <v>714</v>
      </c>
      <c r="O248" t="s">
        <v>10263</v>
      </c>
      <c r="P248" t="s">
        <v>12</v>
      </c>
    </row>
    <row r="249">
      <c r="A249">
        <f>HYPERLINK("http://bombeiros.sp.gov.br/hidrantes/03individual/2483.html","2483")</f>
      </c>
      <c r="B249" t="s">
        <v>12</v>
      </c>
      <c r="C249" t="s">
        <v>47</v>
      </c>
      <c r="D249" t="s">
        <v>1860</v>
      </c>
      <c r="E249" t="s">
        <v>64</v>
      </c>
      <c r="F249" t="s">
        <v>1874</v>
      </c>
      <c r="G249" t="s">
        <v>18054</v>
      </c>
      <c r="H249" t="s">
        <v>1112</v>
      </c>
      <c r="I249" t="s">
        <v>1108</v>
      </c>
      <c r="J249" t="s">
        <v>1875</v>
      </c>
      <c r="K249" t="s">
        <v>1876</v>
      </c>
      <c r="L249" t="s">
        <v>36</v>
      </c>
      <c r="M249" t="s">
        <v>19177</v>
      </c>
      <c r="N249" t="s">
        <v>714</v>
      </c>
      <c r="O249" t="s">
        <v>10263</v>
      </c>
      <c r="P249" t="s">
        <v>12</v>
      </c>
    </row>
    <row r="250">
      <c r="A250">
        <f>HYPERLINK("http://bombeiros.sp.gov.br/hidrantes/03individual/2687.html","2687")</f>
      </c>
      <c r="B250" t="s">
        <v>12</v>
      </c>
      <c r="C250" t="s">
        <v>47</v>
      </c>
      <c r="D250" t="s">
        <v>1860</v>
      </c>
      <c r="E250" t="s">
        <v>64</v>
      </c>
      <c r="F250" t="s">
        <v>1877</v>
      </c>
      <c r="G250" t="s">
        <v>18054</v>
      </c>
      <c r="H250" t="s">
        <v>1112</v>
      </c>
      <c r="I250" t="s">
        <v>1108</v>
      </c>
      <c r="J250" t="s">
        <v>1878</v>
      </c>
      <c r="K250" t="s">
        <v>1879</v>
      </c>
      <c r="L250" t="s">
        <v>21</v>
      </c>
      <c r="M250" t="s">
        <v>19177</v>
      </c>
      <c r="N250" t="s">
        <v>714</v>
      </c>
      <c r="O250" t="s">
        <v>10263</v>
      </c>
      <c r="P250" t="s">
        <v>12</v>
      </c>
    </row>
    <row r="251">
      <c r="A251">
        <f>HYPERLINK("http://bombeiros.sp.gov.br/hidrantes/03individual/5602.html","5602")</f>
      </c>
      <c r="B251" t="s">
        <v>12</v>
      </c>
      <c r="C251" t="s">
        <v>47</v>
      </c>
      <c r="D251" t="s">
        <v>1860</v>
      </c>
      <c r="E251" t="s">
        <v>64</v>
      </c>
      <c r="F251" t="s">
        <v>1880</v>
      </c>
      <c r="G251" t="s">
        <v>18054</v>
      </c>
      <c r="H251" t="s">
        <v>1112</v>
      </c>
      <c r="I251" t="s">
        <v>1108</v>
      </c>
      <c r="J251" t="s">
        <v>1881</v>
      </c>
      <c r="K251" t="s">
        <v>1882</v>
      </c>
      <c r="L251" t="s">
        <v>21</v>
      </c>
      <c r="M251" t="s">
        <v>19177</v>
      </c>
      <c r="N251" t="s">
        <v>714</v>
      </c>
      <c r="O251" t="s">
        <v>10263</v>
      </c>
      <c r="P251" t="s">
        <v>12</v>
      </c>
    </row>
    <row r="252">
      <c r="A252">
        <f>HYPERLINK("http://bombeiros.sp.gov.br/hidrantes/03individual/27133.html","27133")</f>
      </c>
      <c r="B252" t="s">
        <v>12</v>
      </c>
      <c r="C252" t="s">
        <v>47</v>
      </c>
      <c r="D252" t="s">
        <v>1860</v>
      </c>
      <c r="E252" t="s">
        <v>64</v>
      </c>
      <c r="F252" t="s">
        <v>16811</v>
      </c>
      <c r="G252" t="s">
        <v>18054</v>
      </c>
      <c r="H252" t="s">
        <v>1121</v>
      </c>
      <c r="I252" t="s">
        <v>1117</v>
      </c>
      <c r="J252" t="s">
        <v>16812</v>
      </c>
      <c r="K252" t="s">
        <v>16813</v>
      </c>
      <c r="L252" t="s">
        <v>21</v>
      </c>
      <c r="M252" t="s">
        <v>19177</v>
      </c>
      <c r="N252" t="s">
        <v>714</v>
      </c>
      <c r="O252" t="s">
        <v>10263</v>
      </c>
      <c r="P252" t="s">
        <v>12</v>
      </c>
    </row>
    <row r="253">
      <c r="A253">
        <f>HYPERLINK("http://bombeiros.sp.gov.br/hidrantes/03individual/31.html","31")</f>
      </c>
      <c r="B253" t="s">
        <v>12</v>
      </c>
      <c r="C253" t="s">
        <v>47</v>
      </c>
      <c r="D253" t="s">
        <v>1860</v>
      </c>
      <c r="E253" t="s">
        <v>15</v>
      </c>
      <c r="F253" t="s">
        <v>1883</v>
      </c>
      <c r="G253" t="s">
        <v>18066</v>
      </c>
      <c r="H253" t="s">
        <v>1112</v>
      </c>
      <c r="I253" t="s">
        <v>1108</v>
      </c>
      <c r="J253" t="s">
        <v>1884</v>
      </c>
      <c r="K253" t="s">
        <v>1885</v>
      </c>
      <c r="L253" t="s">
        <v>21</v>
      </c>
      <c r="M253" t="s">
        <v>19177</v>
      </c>
      <c r="N253" t="s">
        <v>97</v>
      </c>
      <c r="O253" t="s">
        <v>937</v>
      </c>
      <c r="P253" t="s">
        <v>12</v>
      </c>
    </row>
    <row r="254">
      <c r="A254">
        <f>HYPERLINK("http://bombeiros.sp.gov.br/hidrantes/03individual/232.html","232")</f>
      </c>
      <c r="B254" t="s">
        <v>12</v>
      </c>
      <c r="C254" t="s">
        <v>47</v>
      </c>
      <c r="D254" t="s">
        <v>1860</v>
      </c>
      <c r="E254" t="s">
        <v>15</v>
      </c>
      <c r="F254" t="s">
        <v>1886</v>
      </c>
      <c r="G254" t="s">
        <v>18043</v>
      </c>
      <c r="H254" t="s">
        <v>1107</v>
      </c>
      <c r="I254" t="s">
        <v>1108</v>
      </c>
      <c r="J254" t="s">
        <v>1887</v>
      </c>
      <c r="K254" t="s">
        <v>1888</v>
      </c>
      <c r="L254" t="s">
        <v>21</v>
      </c>
      <c r="M254" t="s">
        <v>19177</v>
      </c>
      <c r="N254" t="s">
        <v>97</v>
      </c>
      <c r="O254" t="s">
        <v>937</v>
      </c>
      <c r="P254" t="s">
        <v>12</v>
      </c>
    </row>
    <row r="255">
      <c r="A255">
        <f>HYPERLINK("http://bombeiros.sp.gov.br/hidrantes/03individual/234.html","234")</f>
      </c>
      <c r="B255" t="s">
        <v>12</v>
      </c>
      <c r="C255" t="s">
        <v>47</v>
      </c>
      <c r="D255" t="s">
        <v>1860</v>
      </c>
      <c r="E255" t="s">
        <v>15</v>
      </c>
      <c r="F255" t="s">
        <v>1886</v>
      </c>
      <c r="G255" t="s">
        <v>18043</v>
      </c>
      <c r="H255" t="s">
        <v>1107</v>
      </c>
      <c r="I255" t="s">
        <v>1108</v>
      </c>
      <c r="J255" t="s">
        <v>1889</v>
      </c>
      <c r="K255" t="s">
        <v>1890</v>
      </c>
      <c r="L255" t="s">
        <v>21</v>
      </c>
      <c r="M255" t="s">
        <v>19177</v>
      </c>
      <c r="N255" t="s">
        <v>97</v>
      </c>
      <c r="O255" t="s">
        <v>937</v>
      </c>
      <c r="P255" t="s">
        <v>12</v>
      </c>
    </row>
    <row r="256">
      <c r="A256">
        <f>HYPERLINK("http://bombeiros.sp.gov.br/hidrantes/03individual/741.html","741")</f>
      </c>
      <c r="B256" t="s">
        <v>12</v>
      </c>
      <c r="C256" t="s">
        <v>47</v>
      </c>
      <c r="D256" t="s">
        <v>1860</v>
      </c>
      <c r="E256" t="s">
        <v>15</v>
      </c>
      <c r="F256" t="s">
        <v>1891</v>
      </c>
      <c r="G256" t="s">
        <v>18050</v>
      </c>
      <c r="H256" t="s">
        <v>1112</v>
      </c>
      <c r="I256" t="s">
        <v>1108</v>
      </c>
      <c r="J256" t="s">
        <v>1893</v>
      </c>
      <c r="K256" t="s">
        <v>1894</v>
      </c>
      <c r="L256" t="s">
        <v>21</v>
      </c>
      <c r="M256" t="s">
        <v>19177</v>
      </c>
      <c r="N256" t="s">
        <v>97</v>
      </c>
      <c r="O256" t="s">
        <v>937</v>
      </c>
      <c r="P256" t="s">
        <v>12</v>
      </c>
    </row>
    <row r="257">
      <c r="A257">
        <f>HYPERLINK("http://bombeiros.sp.gov.br/hidrantes/03individual/2281.html","2281")</f>
      </c>
      <c r="B257" t="s">
        <v>12</v>
      </c>
      <c r="C257" t="s">
        <v>47</v>
      </c>
      <c r="D257" t="s">
        <v>1860</v>
      </c>
      <c r="E257" t="s">
        <v>15</v>
      </c>
      <c r="F257" t="s">
        <v>1895</v>
      </c>
      <c r="G257" t="s">
        <v>18052</v>
      </c>
      <c r="H257" t="s">
        <v>1112</v>
      </c>
      <c r="I257" t="s">
        <v>1108</v>
      </c>
      <c r="J257" t="s">
        <v>1896</v>
      </c>
      <c r="K257" t="s">
        <v>1897</v>
      </c>
      <c r="L257" t="s">
        <v>21</v>
      </c>
      <c r="M257" t="s">
        <v>19177</v>
      </c>
      <c r="N257" t="s">
        <v>714</v>
      </c>
      <c r="O257" t="s">
        <v>10263</v>
      </c>
      <c r="P257" t="s">
        <v>12</v>
      </c>
    </row>
    <row r="258">
      <c r="A258">
        <f>HYPERLINK("http://bombeiros.sp.gov.br/hidrantes/03individual/2460.html","2460")</f>
      </c>
      <c r="B258" t="s">
        <v>12</v>
      </c>
      <c r="C258" t="s">
        <v>47</v>
      </c>
      <c r="D258" t="s">
        <v>1860</v>
      </c>
      <c r="E258" t="s">
        <v>15</v>
      </c>
      <c r="F258" t="s">
        <v>1898</v>
      </c>
      <c r="G258" t="s">
        <v>18043</v>
      </c>
      <c r="H258" t="s">
        <v>1107</v>
      </c>
      <c r="I258" t="s">
        <v>1108</v>
      </c>
      <c r="J258" t="s">
        <v>1899</v>
      </c>
      <c r="K258" t="s">
        <v>1900</v>
      </c>
      <c r="L258" t="s">
        <v>21</v>
      </c>
      <c r="M258" t="s">
        <v>19177</v>
      </c>
      <c r="N258" t="s">
        <v>714</v>
      </c>
      <c r="O258" t="s">
        <v>10263</v>
      </c>
      <c r="P258" t="s">
        <v>12</v>
      </c>
    </row>
    <row r="259">
      <c r="A259">
        <f>HYPERLINK("http://bombeiros.sp.gov.br/hidrantes/03individual/2674.html","2674")</f>
      </c>
      <c r="B259" t="s">
        <v>12</v>
      </c>
      <c r="C259" t="s">
        <v>47</v>
      </c>
      <c r="D259" t="s">
        <v>1860</v>
      </c>
      <c r="E259" t="s">
        <v>15</v>
      </c>
      <c r="F259" t="s">
        <v>1901</v>
      </c>
      <c r="G259" t="s">
        <v>18066</v>
      </c>
      <c r="H259" t="s">
        <v>1107</v>
      </c>
      <c r="I259" t="s">
        <v>1108</v>
      </c>
      <c r="J259" t="s">
        <v>1902</v>
      </c>
      <c r="K259" t="s">
        <v>1903</v>
      </c>
      <c r="L259" t="s">
        <v>21</v>
      </c>
      <c r="M259" t="s">
        <v>19177</v>
      </c>
      <c r="N259" t="s">
        <v>714</v>
      </c>
      <c r="O259" t="s">
        <v>10263</v>
      </c>
      <c r="P259" t="s">
        <v>12</v>
      </c>
    </row>
    <row r="260">
      <c r="A260">
        <f>HYPERLINK("http://bombeiros.sp.gov.br/hidrantes/03individual/2775.html","2775")</f>
      </c>
      <c r="B260" t="s">
        <v>12</v>
      </c>
      <c r="C260" t="s">
        <v>47</v>
      </c>
      <c r="D260" t="s">
        <v>1860</v>
      </c>
      <c r="E260" t="s">
        <v>15</v>
      </c>
      <c r="F260" t="s">
        <v>1904</v>
      </c>
      <c r="G260" t="s">
        <v>18043</v>
      </c>
      <c r="H260" t="s">
        <v>1107</v>
      </c>
      <c r="I260" t="s">
        <v>1108</v>
      </c>
      <c r="J260" t="s">
        <v>1905</v>
      </c>
      <c r="K260" t="s">
        <v>1906</v>
      </c>
      <c r="L260" t="s">
        <v>21</v>
      </c>
      <c r="M260" t="s">
        <v>19177</v>
      </c>
      <c r="N260" t="s">
        <v>714</v>
      </c>
      <c r="O260" t="s">
        <v>10263</v>
      </c>
      <c r="P260" t="s">
        <v>12</v>
      </c>
    </row>
    <row r="261">
      <c r="A261">
        <f>HYPERLINK("http://bombeiros.sp.gov.br/hidrantes/03individual/2776.html","2776")</f>
      </c>
      <c r="B261" t="s">
        <v>12</v>
      </c>
      <c r="C261" t="s">
        <v>47</v>
      </c>
      <c r="D261" t="s">
        <v>1860</v>
      </c>
      <c r="E261" t="s">
        <v>15</v>
      </c>
      <c r="F261" t="s">
        <v>1907</v>
      </c>
      <c r="G261" t="s">
        <v>18059</v>
      </c>
      <c r="H261" t="s">
        <v>1121</v>
      </c>
      <c r="I261" t="s">
        <v>1117</v>
      </c>
      <c r="J261" t="s">
        <v>1908</v>
      </c>
      <c r="K261" t="s">
        <v>1909</v>
      </c>
      <c r="L261" t="s">
        <v>21</v>
      </c>
      <c r="M261" t="s">
        <v>19177</v>
      </c>
      <c r="N261" t="s">
        <v>714</v>
      </c>
      <c r="O261" t="s">
        <v>10263</v>
      </c>
      <c r="P261" t="s">
        <v>12</v>
      </c>
    </row>
    <row r="262">
      <c r="A262">
        <f>HYPERLINK("http://bombeiros.sp.gov.br/hidrantes/03individual/2853.html","2853")</f>
      </c>
      <c r="B262" t="s">
        <v>12</v>
      </c>
      <c r="C262" t="s">
        <v>47</v>
      </c>
      <c r="D262" t="s">
        <v>1860</v>
      </c>
      <c r="E262" t="s">
        <v>15</v>
      </c>
      <c r="F262" t="s">
        <v>1910</v>
      </c>
      <c r="G262" t="s">
        <v>18046</v>
      </c>
      <c r="H262" t="s">
        <v>1112</v>
      </c>
      <c r="I262" t="s">
        <v>1108</v>
      </c>
      <c r="J262" t="s">
        <v>1912</v>
      </c>
      <c r="K262" t="s">
        <v>1913</v>
      </c>
      <c r="L262" t="s">
        <v>21</v>
      </c>
      <c r="M262" t="s">
        <v>19177</v>
      </c>
      <c r="N262" t="s">
        <v>714</v>
      </c>
      <c r="O262" t="s">
        <v>10263</v>
      </c>
      <c r="P262" t="s">
        <v>12</v>
      </c>
    </row>
    <row r="263">
      <c r="A263">
        <f>HYPERLINK("http://bombeiros.sp.gov.br/hidrantes/03individual/5600.html","5600")</f>
      </c>
      <c r="B263" t="s">
        <v>12</v>
      </c>
      <c r="C263" t="s">
        <v>47</v>
      </c>
      <c r="D263" t="s">
        <v>1860</v>
      </c>
      <c r="E263" t="s">
        <v>15</v>
      </c>
      <c r="F263" t="s">
        <v>1914</v>
      </c>
      <c r="G263" t="s">
        <v>18169</v>
      </c>
      <c r="H263" t="s">
        <v>1121</v>
      </c>
      <c r="I263" t="s">
        <v>1117</v>
      </c>
      <c r="J263" t="s">
        <v>1915</v>
      </c>
      <c r="K263" t="s">
        <v>1916</v>
      </c>
      <c r="L263" t="s">
        <v>21</v>
      </c>
      <c r="M263" t="s">
        <v>19177</v>
      </c>
      <c r="N263" t="s">
        <v>714</v>
      </c>
      <c r="O263" t="s">
        <v>10263</v>
      </c>
      <c r="P263" t="s">
        <v>12</v>
      </c>
    </row>
    <row r="264">
      <c r="A264">
        <f>HYPERLINK("http://bombeiros.sp.gov.br/hidrantes/03individual/16636.html","16636")</f>
      </c>
      <c r="B264" t="s">
        <v>12</v>
      </c>
      <c r="C264" t="s">
        <v>47</v>
      </c>
      <c r="D264" t="s">
        <v>1860</v>
      </c>
      <c r="E264" t="s">
        <v>15</v>
      </c>
      <c r="F264" t="s">
        <v>1917</v>
      </c>
      <c r="G264" t="s">
        <v>18052</v>
      </c>
      <c r="H264" t="s">
        <v>1112</v>
      </c>
      <c r="I264" t="s">
        <v>1108</v>
      </c>
      <c r="J264" t="s">
        <v>1918</v>
      </c>
      <c r="K264" t="s">
        <v>1919</v>
      </c>
      <c r="L264" t="s">
        <v>21</v>
      </c>
      <c r="M264" t="s">
        <v>19177</v>
      </c>
      <c r="N264" t="s">
        <v>714</v>
      </c>
      <c r="O264" t="s">
        <v>10263</v>
      </c>
      <c r="P264" t="s">
        <v>12</v>
      </c>
    </row>
    <row r="265">
      <c r="A265">
        <f>HYPERLINK("http://bombeiros.sp.gov.br/hidrantes/03individual/26810.html","26810")</f>
      </c>
      <c r="B265" t="s">
        <v>12</v>
      </c>
      <c r="C265" t="s">
        <v>47</v>
      </c>
      <c r="D265" t="s">
        <v>1860</v>
      </c>
      <c r="E265" t="s">
        <v>15</v>
      </c>
      <c r="F265" t="s">
        <v>15948</v>
      </c>
      <c r="G265" t="s">
        <v>18043</v>
      </c>
      <c r="H265" t="s">
        <v>1112</v>
      </c>
      <c r="I265" t="s">
        <v>1108</v>
      </c>
      <c r="J265" t="s">
        <v>15949</v>
      </c>
      <c r="K265" t="s">
        <v>15950</v>
      </c>
      <c r="L265" t="s">
        <v>21</v>
      </c>
      <c r="M265" t="s">
        <v>19177</v>
      </c>
      <c r="N265" t="s">
        <v>97</v>
      </c>
      <c r="O265" t="s">
        <v>937</v>
      </c>
      <c r="P265" t="s">
        <v>12</v>
      </c>
    </row>
    <row r="266">
      <c r="A266">
        <f>HYPERLINK("http://bombeiros.sp.gov.br/hidrantes/03individual/27226.html","27226")</f>
      </c>
      <c r="B266" t="s">
        <v>12</v>
      </c>
      <c r="C266" t="s">
        <v>47</v>
      </c>
      <c r="D266" t="s">
        <v>1860</v>
      </c>
      <c r="E266" t="s">
        <v>15</v>
      </c>
      <c r="F266" t="s">
        <v>16936</v>
      </c>
      <c r="G266" t="s">
        <v>18060</v>
      </c>
      <c r="H266" t="s">
        <v>1121</v>
      </c>
      <c r="I266" t="s">
        <v>1117</v>
      </c>
      <c r="J266" t="s">
        <v>16937</v>
      </c>
      <c r="K266" t="s">
        <v>16938</v>
      </c>
      <c r="L266" t="s">
        <v>21</v>
      </c>
      <c r="M266" t="s">
        <v>19177</v>
      </c>
      <c r="N266" t="s">
        <v>714</v>
      </c>
      <c r="O266" t="s">
        <v>10263</v>
      </c>
      <c r="P266" t="s">
        <v>12</v>
      </c>
    </row>
    <row r="267">
      <c r="A267">
        <f>HYPERLINK("http://bombeiros.sp.gov.br/hidrantes/03individual/69.html","69")</f>
      </c>
      <c r="B267" t="s">
        <v>12</v>
      </c>
      <c r="C267" t="s">
        <v>57</v>
      </c>
      <c r="D267" t="s">
        <v>1923</v>
      </c>
      <c r="E267" t="s">
        <v>15</v>
      </c>
      <c r="F267" t="s">
        <v>1924</v>
      </c>
      <c r="G267" t="s">
        <v>18052</v>
      </c>
      <c r="H267" t="s">
        <v>1112</v>
      </c>
      <c r="I267" t="s">
        <v>1108</v>
      </c>
      <c r="J267" t="s">
        <v>1925</v>
      </c>
      <c r="K267" t="s">
        <v>1926</v>
      </c>
      <c r="L267" t="s">
        <v>21</v>
      </c>
      <c r="M267" t="s">
        <v>19177</v>
      </c>
      <c r="N267" t="s">
        <v>714</v>
      </c>
      <c r="O267" t="s">
        <v>10263</v>
      </c>
      <c r="P267" t="s">
        <v>12</v>
      </c>
    </row>
    <row r="268">
      <c r="A268">
        <f>HYPERLINK("http://bombeiros.sp.gov.br/hidrantes/03individual/143.html","143")</f>
      </c>
      <c r="B268" t="s">
        <v>12</v>
      </c>
      <c r="C268" t="s">
        <v>57</v>
      </c>
      <c r="D268" t="s">
        <v>1923</v>
      </c>
      <c r="E268" t="s">
        <v>15</v>
      </c>
      <c r="F268" t="s">
        <v>1927</v>
      </c>
      <c r="G268" t="s">
        <v>18052</v>
      </c>
      <c r="H268" t="s">
        <v>1112</v>
      </c>
      <c r="I268" t="s">
        <v>1108</v>
      </c>
      <c r="J268" t="s">
        <v>1928</v>
      </c>
      <c r="K268" t="s">
        <v>1929</v>
      </c>
      <c r="L268" t="s">
        <v>21</v>
      </c>
      <c r="M268" t="s">
        <v>19177</v>
      </c>
      <c r="N268" t="s">
        <v>714</v>
      </c>
      <c r="O268" t="s">
        <v>10263</v>
      </c>
      <c r="P268" t="s">
        <v>12</v>
      </c>
    </row>
    <row r="269">
      <c r="A269">
        <f>HYPERLINK("http://bombeiros.sp.gov.br/hidrantes/03individual/144.html","144")</f>
      </c>
      <c r="B269" t="s">
        <v>12</v>
      </c>
      <c r="C269" t="s">
        <v>57</v>
      </c>
      <c r="D269" t="s">
        <v>1923</v>
      </c>
      <c r="E269" t="s">
        <v>15</v>
      </c>
      <c r="F269" t="s">
        <v>1930</v>
      </c>
      <c r="G269" t="s">
        <v>18052</v>
      </c>
      <c r="H269" t="s">
        <v>1112</v>
      </c>
      <c r="I269" t="s">
        <v>1108</v>
      </c>
      <c r="J269" t="s">
        <v>1931</v>
      </c>
      <c r="K269" t="s">
        <v>1932</v>
      </c>
      <c r="L269" t="s">
        <v>21</v>
      </c>
      <c r="M269" t="s">
        <v>19177</v>
      </c>
      <c r="N269" t="s">
        <v>714</v>
      </c>
      <c r="O269" t="s">
        <v>10263</v>
      </c>
      <c r="P269" t="s">
        <v>12</v>
      </c>
    </row>
    <row r="270">
      <c r="A270">
        <f>HYPERLINK("http://bombeiros.sp.gov.br/hidrantes/03individual/208.html","208")</f>
      </c>
      <c r="B270" t="s">
        <v>12</v>
      </c>
      <c r="C270" t="s">
        <v>57</v>
      </c>
      <c r="D270" t="s">
        <v>1923</v>
      </c>
      <c r="E270" t="s">
        <v>15</v>
      </c>
      <c r="F270" t="s">
        <v>1933</v>
      </c>
      <c r="G270" t="s">
        <v>18061</v>
      </c>
      <c r="H270" t="s">
        <v>1121</v>
      </c>
      <c r="I270" t="s">
        <v>1117</v>
      </c>
      <c r="J270" t="s">
        <v>1934</v>
      </c>
      <c r="K270" t="s">
        <v>1935</v>
      </c>
      <c r="L270" t="s">
        <v>21</v>
      </c>
      <c r="M270" t="s">
        <v>19177</v>
      </c>
      <c r="N270" t="s">
        <v>714</v>
      </c>
      <c r="O270" t="s">
        <v>10263</v>
      </c>
      <c r="P270" t="s">
        <v>12</v>
      </c>
    </row>
    <row r="271">
      <c r="A271">
        <f>HYPERLINK("http://bombeiros.sp.gov.br/hidrantes/03individual/209.html","209")</f>
      </c>
      <c r="B271" t="s">
        <v>12</v>
      </c>
      <c r="C271" t="s">
        <v>57</v>
      </c>
      <c r="D271" t="s">
        <v>1923</v>
      </c>
      <c r="E271" t="s">
        <v>15</v>
      </c>
      <c r="F271" t="s">
        <v>1936</v>
      </c>
      <c r="G271" t="s">
        <v>18052</v>
      </c>
      <c r="H271"/>
      <c r="I271" t="s">
        <v>18</v>
      </c>
      <c r="J271" t="s">
        <v>15990</v>
      </c>
      <c r="K271" t="s">
        <v>15991</v>
      </c>
      <c r="L271" t="s">
        <v>21</v>
      </c>
      <c r="M271" t="s">
        <v>19177</v>
      </c>
      <c r="N271" t="s">
        <v>97</v>
      </c>
      <c r="O271" t="s">
        <v>937</v>
      </c>
      <c r="P271" t="s">
        <v>12</v>
      </c>
    </row>
    <row r="272">
      <c r="A272">
        <f>HYPERLINK("http://bombeiros.sp.gov.br/hidrantes/03individual/210.html","210")</f>
      </c>
      <c r="B272" t="s">
        <v>12</v>
      </c>
      <c r="C272" t="s">
        <v>57</v>
      </c>
      <c r="D272" t="s">
        <v>1923</v>
      </c>
      <c r="E272" t="s">
        <v>15</v>
      </c>
      <c r="F272" t="s">
        <v>1939</v>
      </c>
      <c r="G272" t="s">
        <v>18061</v>
      </c>
      <c r="H272" t="s">
        <v>1112</v>
      </c>
      <c r="I272" t="s">
        <v>1108</v>
      </c>
      <c r="J272" t="s">
        <v>1940</v>
      </c>
      <c r="K272" t="s">
        <v>1941</v>
      </c>
      <c r="L272" t="s">
        <v>21</v>
      </c>
      <c r="M272" t="s">
        <v>19177</v>
      </c>
      <c r="N272" t="s">
        <v>714</v>
      </c>
      <c r="O272" t="s">
        <v>10263</v>
      </c>
      <c r="P272" t="s">
        <v>12</v>
      </c>
    </row>
    <row r="273">
      <c r="A273">
        <f>HYPERLINK("http://bombeiros.sp.gov.br/hidrantes/03individual/212.html","212")</f>
      </c>
      <c r="B273" t="s">
        <v>12</v>
      </c>
      <c r="C273" t="s">
        <v>57</v>
      </c>
      <c r="D273" t="s">
        <v>1923</v>
      </c>
      <c r="E273" t="s">
        <v>15</v>
      </c>
      <c r="F273" t="s">
        <v>1942</v>
      </c>
      <c r="G273" t="s">
        <v>18052</v>
      </c>
      <c r="H273" t="s">
        <v>1112</v>
      </c>
      <c r="I273" t="s">
        <v>1108</v>
      </c>
      <c r="J273" t="s">
        <v>1943</v>
      </c>
      <c r="K273" t="s">
        <v>1944</v>
      </c>
      <c r="L273" t="s">
        <v>21</v>
      </c>
      <c r="M273" t="s">
        <v>19177</v>
      </c>
      <c r="N273" t="s">
        <v>714</v>
      </c>
      <c r="O273" t="s">
        <v>10263</v>
      </c>
      <c r="P273" t="s">
        <v>12</v>
      </c>
    </row>
    <row r="274">
      <c r="A274">
        <f>HYPERLINK("http://bombeiros.sp.gov.br/hidrantes/03individual/2397.html","2397")</f>
      </c>
      <c r="B274" t="s">
        <v>12</v>
      </c>
      <c r="C274" t="s">
        <v>57</v>
      </c>
      <c r="D274" t="s">
        <v>1923</v>
      </c>
      <c r="E274" t="s">
        <v>15</v>
      </c>
      <c r="F274" t="s">
        <v>1945</v>
      </c>
      <c r="G274" t="s">
        <v>18061</v>
      </c>
      <c r="H274" t="s">
        <v>1121</v>
      </c>
      <c r="I274" t="s">
        <v>1108</v>
      </c>
      <c r="J274" t="s">
        <v>1946</v>
      </c>
      <c r="K274" t="s">
        <v>1947</v>
      </c>
      <c r="L274" t="s">
        <v>21</v>
      </c>
      <c r="M274" t="s">
        <v>19177</v>
      </c>
      <c r="N274" t="s">
        <v>714</v>
      </c>
      <c r="O274" t="s">
        <v>10263</v>
      </c>
      <c r="P274" t="s">
        <v>12</v>
      </c>
    </row>
    <row r="275">
      <c r="A275">
        <f>HYPERLINK("http://bombeiros.sp.gov.br/hidrantes/03individual/26624.html","26624")</f>
      </c>
      <c r="B275" t="s">
        <v>12</v>
      </c>
      <c r="C275" t="s">
        <v>57</v>
      </c>
      <c r="D275" t="s">
        <v>1923</v>
      </c>
      <c r="E275" t="s">
        <v>15</v>
      </c>
      <c r="F275" t="s">
        <v>1948</v>
      </c>
      <c r="G275" t="s">
        <v>18052</v>
      </c>
      <c r="H275" t="s">
        <v>1112</v>
      </c>
      <c r="I275" t="s">
        <v>1108</v>
      </c>
      <c r="J275" t="s">
        <v>1949</v>
      </c>
      <c r="K275" t="s">
        <v>1950</v>
      </c>
      <c r="L275" t="s">
        <v>21</v>
      </c>
      <c r="M275" t="s">
        <v>19177</v>
      </c>
      <c r="N275" t="s">
        <v>714</v>
      </c>
      <c r="O275" t="s">
        <v>10263</v>
      </c>
      <c r="P275" t="s">
        <v>12</v>
      </c>
    </row>
    <row r="276">
      <c r="A276">
        <f>HYPERLINK("http://bombeiros.sp.gov.br/hidrantes/03individual/26776.html","26776")</f>
      </c>
      <c r="B276" t="s">
        <v>12</v>
      </c>
      <c r="C276" t="s">
        <v>57</v>
      </c>
      <c r="D276" t="s">
        <v>1923</v>
      </c>
      <c r="E276" t="s">
        <v>15</v>
      </c>
      <c r="F276" t="s">
        <v>1951</v>
      </c>
      <c r="G276" t="s">
        <v>18061</v>
      </c>
      <c r="H276" t="s">
        <v>1121</v>
      </c>
      <c r="I276" t="s">
        <v>1117</v>
      </c>
      <c r="J276" t="s">
        <v>1952</v>
      </c>
      <c r="K276" t="s">
        <v>1953</v>
      </c>
      <c r="L276" t="s">
        <v>21</v>
      </c>
      <c r="M276" t="s">
        <v>19177</v>
      </c>
      <c r="N276" t="s">
        <v>714</v>
      </c>
      <c r="O276" t="s">
        <v>10263</v>
      </c>
      <c r="P276" t="s">
        <v>12</v>
      </c>
    </row>
    <row r="277">
      <c r="A277">
        <f>HYPERLINK("http://bombeiros.sp.gov.br/hidrantes/03individual/27208.html","27208")</f>
      </c>
      <c r="B277" t="s">
        <v>12</v>
      </c>
      <c r="C277" t="s">
        <v>57</v>
      </c>
      <c r="D277" t="s">
        <v>1923</v>
      </c>
      <c r="E277" t="s">
        <v>15</v>
      </c>
      <c r="F277" t="s">
        <v>16939</v>
      </c>
      <c r="G277" t="s">
        <v>18052</v>
      </c>
      <c r="H277" t="s">
        <v>1112</v>
      </c>
      <c r="I277" t="s">
        <v>1108</v>
      </c>
      <c r="J277" t="s">
        <v>16940</v>
      </c>
      <c r="K277" t="s">
        <v>16941</v>
      </c>
      <c r="L277" t="s">
        <v>21</v>
      </c>
      <c r="M277" t="s">
        <v>19177</v>
      </c>
      <c r="N277" t="s">
        <v>714</v>
      </c>
      <c r="O277" t="s">
        <v>10263</v>
      </c>
      <c r="P277" t="s">
        <v>12</v>
      </c>
    </row>
    <row r="278">
      <c r="A278">
        <f>HYPERLINK("http://bombeiros.sp.gov.br/hidrantes/03individual/27243.html","27243")</f>
      </c>
      <c r="B278" t="s">
        <v>12</v>
      </c>
      <c r="C278" t="s">
        <v>57</v>
      </c>
      <c r="D278" t="s">
        <v>1923</v>
      </c>
      <c r="E278" t="s">
        <v>15</v>
      </c>
      <c r="F278" t="s">
        <v>16996</v>
      </c>
      <c r="G278" t="s">
        <v>18050</v>
      </c>
      <c r="H278" t="s">
        <v>1112</v>
      </c>
      <c r="I278" t="s">
        <v>1108</v>
      </c>
      <c r="J278" t="s">
        <v>16997</v>
      </c>
      <c r="K278" t="s">
        <v>16998</v>
      </c>
      <c r="L278" t="s">
        <v>21</v>
      </c>
      <c r="M278" t="s">
        <v>19177</v>
      </c>
      <c r="N278" t="s">
        <v>714</v>
      </c>
      <c r="O278" t="s">
        <v>10263</v>
      </c>
      <c r="P278" t="s">
        <v>12</v>
      </c>
    </row>
    <row r="279">
      <c r="A279">
        <f>HYPERLINK("http://bombeiros.sp.gov.br/hidrantes/03individual/380.html","380")</f>
      </c>
      <c r="B279" t="s">
        <v>12</v>
      </c>
      <c r="C279" t="s">
        <v>57</v>
      </c>
      <c r="D279" t="s">
        <v>1954</v>
      </c>
      <c r="E279" t="s">
        <v>64</v>
      </c>
      <c r="F279" t="s">
        <v>1955</v>
      </c>
      <c r="G279" t="s">
        <v>18184</v>
      </c>
      <c r="H279" t="s">
        <v>1112</v>
      </c>
      <c r="I279" t="s">
        <v>1108</v>
      </c>
      <c r="J279" t="s">
        <v>1956</v>
      </c>
      <c r="K279" t="s">
        <v>1957</v>
      </c>
      <c r="L279" t="s">
        <v>21</v>
      </c>
      <c r="M279" t="s">
        <v>19177</v>
      </c>
      <c r="N279" t="s">
        <v>714</v>
      </c>
      <c r="O279" t="s">
        <v>10263</v>
      </c>
      <c r="P279" t="s">
        <v>12</v>
      </c>
    </row>
    <row r="280">
      <c r="A280">
        <f>HYPERLINK("http://bombeiros.sp.gov.br/hidrantes/03individual/381.html","381")</f>
      </c>
      <c r="B280" t="s">
        <v>12</v>
      </c>
      <c r="C280" t="s">
        <v>57</v>
      </c>
      <c r="D280" t="s">
        <v>1954</v>
      </c>
      <c r="E280" t="s">
        <v>64</v>
      </c>
      <c r="F280" t="s">
        <v>1958</v>
      </c>
      <c r="G280" t="s">
        <v>18184</v>
      </c>
      <c r="H280" t="s">
        <v>1112</v>
      </c>
      <c r="I280" t="s">
        <v>1108</v>
      </c>
      <c r="J280" t="s">
        <v>1959</v>
      </c>
      <c r="K280" t="s">
        <v>1960</v>
      </c>
      <c r="L280" t="s">
        <v>36</v>
      </c>
      <c r="M280" t="s">
        <v>19177</v>
      </c>
      <c r="N280" t="s">
        <v>714</v>
      </c>
      <c r="O280" t="s">
        <v>10263</v>
      </c>
      <c r="P280" t="s">
        <v>12</v>
      </c>
    </row>
    <row r="281">
      <c r="A281">
        <f>HYPERLINK("http://bombeiros.sp.gov.br/hidrantes/03individual/2683.html","2683")</f>
      </c>
      <c r="B281" t="s">
        <v>12</v>
      </c>
      <c r="C281" t="s">
        <v>57</v>
      </c>
      <c r="D281" t="s">
        <v>1954</v>
      </c>
      <c r="E281" t="s">
        <v>64</v>
      </c>
      <c r="F281" t="s">
        <v>1961</v>
      </c>
      <c r="G281" t="s">
        <v>18184</v>
      </c>
      <c r="H281" t="s">
        <v>1121</v>
      </c>
      <c r="I281" t="s">
        <v>1117</v>
      </c>
      <c r="J281" t="s">
        <v>1962</v>
      </c>
      <c r="K281" t="s">
        <v>1963</v>
      </c>
      <c r="L281" t="s">
        <v>21</v>
      </c>
      <c r="M281" t="s">
        <v>19177</v>
      </c>
      <c r="N281" t="s">
        <v>714</v>
      </c>
      <c r="O281" t="s">
        <v>10263</v>
      </c>
      <c r="P281" t="s">
        <v>12</v>
      </c>
    </row>
    <row r="282">
      <c r="A282">
        <f>HYPERLINK("http://bombeiros.sp.gov.br/hidrantes/03individual/26917.html","26917")</f>
      </c>
      <c r="B282" t="s">
        <v>12</v>
      </c>
      <c r="C282" t="s">
        <v>57</v>
      </c>
      <c r="D282" t="s">
        <v>1954</v>
      </c>
      <c r="E282" t="s">
        <v>64</v>
      </c>
      <c r="F282" t="s">
        <v>16397</v>
      </c>
      <c r="G282" t="s">
        <v>18184</v>
      </c>
      <c r="H282" t="s">
        <v>1121</v>
      </c>
      <c r="I282" t="s">
        <v>1117</v>
      </c>
      <c r="J282" t="s">
        <v>16398</v>
      </c>
      <c r="K282" t="s">
        <v>16399</v>
      </c>
      <c r="L282" t="s">
        <v>21</v>
      </c>
      <c r="M282" t="s">
        <v>19177</v>
      </c>
      <c r="N282" t="s">
        <v>714</v>
      </c>
      <c r="O282" t="s">
        <v>10263</v>
      </c>
      <c r="P282" t="s">
        <v>12</v>
      </c>
    </row>
    <row r="283">
      <c r="A283">
        <f>HYPERLINK("http://bombeiros.sp.gov.br/hidrantes/03individual/267.html","267")</f>
      </c>
      <c r="B283" t="s">
        <v>12</v>
      </c>
      <c r="C283" t="s">
        <v>57</v>
      </c>
      <c r="D283" t="s">
        <v>1954</v>
      </c>
      <c r="E283" t="s">
        <v>15</v>
      </c>
      <c r="F283" t="s">
        <v>1964</v>
      </c>
      <c r="G283" t="s">
        <v>18062</v>
      </c>
      <c r="H283" t="s">
        <v>1107</v>
      </c>
      <c r="I283" t="s">
        <v>1108</v>
      </c>
      <c r="J283" t="s">
        <v>1965</v>
      </c>
      <c r="K283" t="s">
        <v>1966</v>
      </c>
      <c r="L283" t="s">
        <v>36</v>
      </c>
      <c r="M283" t="s">
        <v>19177</v>
      </c>
      <c r="N283" t="s">
        <v>714</v>
      </c>
      <c r="O283" t="s">
        <v>10263</v>
      </c>
      <c r="P283" t="s">
        <v>12</v>
      </c>
    </row>
    <row r="284">
      <c r="A284">
        <f>HYPERLINK("http://bombeiros.sp.gov.br/hidrantes/03individual/2574.html","2574")</f>
      </c>
      <c r="B284" t="s">
        <v>12</v>
      </c>
      <c r="C284" t="s">
        <v>57</v>
      </c>
      <c r="D284" t="s">
        <v>1954</v>
      </c>
      <c r="E284" t="s">
        <v>15</v>
      </c>
      <c r="F284" t="s">
        <v>1967</v>
      </c>
      <c r="G284" t="s">
        <v>18063</v>
      </c>
      <c r="H284" t="s">
        <v>1121</v>
      </c>
      <c r="I284" t="s">
        <v>1117</v>
      </c>
      <c r="J284" t="s">
        <v>1968</v>
      </c>
      <c r="K284" t="s">
        <v>1969</v>
      </c>
      <c r="L284" t="s">
        <v>21</v>
      </c>
      <c r="M284" t="s">
        <v>19177</v>
      </c>
      <c r="N284" t="s">
        <v>714</v>
      </c>
      <c r="O284" t="s">
        <v>10263</v>
      </c>
      <c r="P284" t="s">
        <v>12</v>
      </c>
    </row>
    <row r="285">
      <c r="A285">
        <f>HYPERLINK("http://bombeiros.sp.gov.br/hidrantes/03individual/2590.html","2590")</f>
      </c>
      <c r="B285" t="s">
        <v>12</v>
      </c>
      <c r="C285" t="s">
        <v>57</v>
      </c>
      <c r="D285" t="s">
        <v>1954</v>
      </c>
      <c r="E285" t="s">
        <v>15</v>
      </c>
      <c r="F285" t="s">
        <v>1970</v>
      </c>
      <c r="G285" t="s">
        <v>18184</v>
      </c>
      <c r="H285" t="s">
        <v>1112</v>
      </c>
      <c r="I285" t="s">
        <v>1108</v>
      </c>
      <c r="J285" t="s">
        <v>1971</v>
      </c>
      <c r="K285" t="s">
        <v>1972</v>
      </c>
      <c r="L285" t="s">
        <v>21</v>
      </c>
      <c r="M285" t="s">
        <v>19177</v>
      </c>
      <c r="N285" t="s">
        <v>714</v>
      </c>
      <c r="O285" t="s">
        <v>10263</v>
      </c>
      <c r="P285" t="s">
        <v>12</v>
      </c>
    </row>
    <row r="286">
      <c r="A286">
        <f>HYPERLINK("http://bombeiros.sp.gov.br/hidrantes/03individual/11.html","11")</f>
      </c>
      <c r="B286" t="s">
        <v>12</v>
      </c>
      <c r="C286" t="s">
        <v>57</v>
      </c>
      <c r="D286" t="s">
        <v>58</v>
      </c>
      <c r="E286" t="s">
        <v>64</v>
      </c>
      <c r="F286" t="s">
        <v>1973</v>
      </c>
      <c r="G286" t="s">
        <v>18106</v>
      </c>
      <c r="H286" t="s">
        <v>1112</v>
      </c>
      <c r="I286" t="s">
        <v>1108</v>
      </c>
      <c r="J286" t="s">
        <v>1974</v>
      </c>
      <c r="K286" t="s">
        <v>1975</v>
      </c>
      <c r="L286" t="s">
        <v>21</v>
      </c>
      <c r="M286" t="s">
        <v>19177</v>
      </c>
      <c r="N286" t="s">
        <v>97</v>
      </c>
      <c r="O286" t="s">
        <v>937</v>
      </c>
      <c r="P286" t="s">
        <v>12</v>
      </c>
    </row>
    <row r="287">
      <c r="A287">
        <f>HYPERLINK("http://bombeiros.sp.gov.br/hidrantes/03individual/4174.html","4174")</f>
      </c>
      <c r="B287" t="s">
        <v>12</v>
      </c>
      <c r="C287" t="s">
        <v>57</v>
      </c>
      <c r="D287" t="s">
        <v>58</v>
      </c>
      <c r="E287" t="s">
        <v>64</v>
      </c>
      <c r="F287" t="s">
        <v>1976</v>
      </c>
      <c r="G287" t="s">
        <v>18072</v>
      </c>
      <c r="H287" t="s">
        <v>1112</v>
      </c>
      <c r="I287" t="s">
        <v>1108</v>
      </c>
      <c r="J287" t="s">
        <v>1977</v>
      </c>
      <c r="K287" t="s">
        <v>1978</v>
      </c>
      <c r="L287" t="s">
        <v>21</v>
      </c>
      <c r="M287" t="s">
        <v>19177</v>
      </c>
      <c r="N287" t="s">
        <v>714</v>
      </c>
      <c r="O287" t="s">
        <v>10263</v>
      </c>
      <c r="P287" t="s">
        <v>12</v>
      </c>
    </row>
    <row r="288">
      <c r="A288">
        <f>HYPERLINK("http://bombeiros.sp.gov.br/hidrantes/03individual/26357.html","26357")</f>
      </c>
      <c r="B288" t="s">
        <v>12</v>
      </c>
      <c r="C288" t="s">
        <v>57</v>
      </c>
      <c r="D288" t="s">
        <v>58</v>
      </c>
      <c r="E288" t="s">
        <v>64</v>
      </c>
      <c r="F288" t="s">
        <v>1979</v>
      </c>
      <c r="G288" t="s">
        <v>18189</v>
      </c>
      <c r="H288" t="s">
        <v>1112</v>
      </c>
      <c r="I288" t="s">
        <v>1108</v>
      </c>
      <c r="J288" t="s">
        <v>1980</v>
      </c>
      <c r="K288" t="s">
        <v>1981</v>
      </c>
      <c r="L288" t="s">
        <v>21</v>
      </c>
      <c r="M288" t="s">
        <v>19177</v>
      </c>
      <c r="N288" t="s">
        <v>97</v>
      </c>
      <c r="O288" t="s">
        <v>937</v>
      </c>
      <c r="P288" t="s">
        <v>12</v>
      </c>
    </row>
    <row r="289">
      <c r="A289">
        <f>HYPERLINK("http://bombeiros.sp.gov.br/hidrantes/03individual/26665.html","26665")</f>
      </c>
      <c r="B289" t="s">
        <v>12</v>
      </c>
      <c r="C289" t="s">
        <v>57</v>
      </c>
      <c r="D289" t="s">
        <v>58</v>
      </c>
      <c r="E289" t="s">
        <v>64</v>
      </c>
      <c r="F289" t="s">
        <v>1982</v>
      </c>
      <c r="G289" t="s">
        <v>18073</v>
      </c>
      <c r="H289" t="s">
        <v>1107</v>
      </c>
      <c r="I289" t="s">
        <v>1108</v>
      </c>
      <c r="J289" t="s">
        <v>1983</v>
      </c>
      <c r="K289" t="s">
        <v>1984</v>
      </c>
      <c r="L289" t="s">
        <v>21</v>
      </c>
      <c r="M289" t="s">
        <v>19177</v>
      </c>
      <c r="N289" t="s">
        <v>97</v>
      </c>
      <c r="O289" t="s">
        <v>937</v>
      </c>
      <c r="P289" t="s">
        <v>12</v>
      </c>
    </row>
    <row r="290">
      <c r="A290">
        <f>HYPERLINK("http://bombeiros.sp.gov.br/hidrantes/03individual/27134.html","27134")</f>
      </c>
      <c r="B290" t="s">
        <v>12</v>
      </c>
      <c r="C290" t="s">
        <v>57</v>
      </c>
      <c r="D290" t="s">
        <v>58</v>
      </c>
      <c r="E290" t="s">
        <v>64</v>
      </c>
      <c r="F290" t="s">
        <v>16814</v>
      </c>
      <c r="G290" t="s">
        <v>18050</v>
      </c>
      <c r="H290" t="s">
        <v>1121</v>
      </c>
      <c r="I290" t="s">
        <v>1117</v>
      </c>
      <c r="J290" t="s">
        <v>16815</v>
      </c>
      <c r="K290" t="s">
        <v>16816</v>
      </c>
      <c r="L290" t="s">
        <v>21</v>
      </c>
      <c r="M290" t="s">
        <v>19177</v>
      </c>
      <c r="N290" t="s">
        <v>97</v>
      </c>
      <c r="O290" t="s">
        <v>937</v>
      </c>
      <c r="P290" t="s">
        <v>12</v>
      </c>
    </row>
    <row r="291">
      <c r="A291">
        <f>HYPERLINK("http://bombeiros.sp.gov.br/hidrantes/03individual/7.html","7")</f>
      </c>
      <c r="B291" t="s">
        <v>12</v>
      </c>
      <c r="C291" t="s">
        <v>57</v>
      </c>
      <c r="D291" t="s">
        <v>58</v>
      </c>
      <c r="E291" t="s">
        <v>15</v>
      </c>
      <c r="F291" t="s">
        <v>59</v>
      </c>
      <c r="G291" t="s">
        <v>18061</v>
      </c>
      <c r="H291"/>
      <c r="I291" t="s">
        <v>18</v>
      </c>
      <c r="J291" t="s">
        <v>61</v>
      </c>
      <c r="K291" t="s">
        <v>62</v>
      </c>
      <c r="L291" t="s">
        <v>21</v>
      </c>
      <c r="M291" t="s">
        <v>19177</v>
      </c>
      <c r="N291" t="s">
        <v>97</v>
      </c>
      <c r="O291" t="s">
        <v>937</v>
      </c>
      <c r="P291" t="s">
        <v>12</v>
      </c>
    </row>
    <row r="292">
      <c r="A292">
        <f>HYPERLINK("http://bombeiros.sp.gov.br/hidrantes/03individual/38.html","38")</f>
      </c>
      <c r="B292" t="s">
        <v>12</v>
      </c>
      <c r="C292" t="s">
        <v>57</v>
      </c>
      <c r="D292" t="s">
        <v>58</v>
      </c>
      <c r="E292" t="s">
        <v>15</v>
      </c>
      <c r="F292" t="s">
        <v>1985</v>
      </c>
      <c r="G292" t="s">
        <v>18073</v>
      </c>
      <c r="H292" t="s">
        <v>1174</v>
      </c>
      <c r="I292" t="s">
        <v>1117</v>
      </c>
      <c r="J292" t="s">
        <v>1986</v>
      </c>
      <c r="K292" t="s">
        <v>1987</v>
      </c>
      <c r="L292" t="s">
        <v>21</v>
      </c>
      <c r="M292" t="s">
        <v>19177</v>
      </c>
      <c r="N292" t="s">
        <v>97</v>
      </c>
      <c r="O292" t="s">
        <v>937</v>
      </c>
      <c r="P292" t="s">
        <v>12</v>
      </c>
    </row>
    <row r="293">
      <c r="A293">
        <f>HYPERLINK("http://bombeiros.sp.gov.br/hidrantes/03individual/39.html","39")</f>
      </c>
      <c r="B293" t="s">
        <v>12</v>
      </c>
      <c r="C293" t="s">
        <v>57</v>
      </c>
      <c r="D293" t="s">
        <v>58</v>
      </c>
      <c r="E293" t="s">
        <v>15</v>
      </c>
      <c r="F293" t="s">
        <v>1988</v>
      </c>
      <c r="G293" t="s">
        <v>18074</v>
      </c>
      <c r="H293" t="s">
        <v>1112</v>
      </c>
      <c r="I293" t="s">
        <v>1108</v>
      </c>
      <c r="J293" t="s">
        <v>1989</v>
      </c>
      <c r="K293" t="s">
        <v>1990</v>
      </c>
      <c r="L293" t="s">
        <v>21</v>
      </c>
      <c r="M293" t="s">
        <v>19177</v>
      </c>
      <c r="N293" t="s">
        <v>714</v>
      </c>
      <c r="O293" t="s">
        <v>10263</v>
      </c>
      <c r="P293" t="s">
        <v>12</v>
      </c>
    </row>
    <row r="294">
      <c r="A294">
        <f>HYPERLINK("http://bombeiros.sp.gov.br/hidrantes/03individual/64.html","64")</f>
      </c>
      <c r="B294" t="s">
        <v>12</v>
      </c>
      <c r="C294" t="s">
        <v>57</v>
      </c>
      <c r="D294" t="s">
        <v>58</v>
      </c>
      <c r="E294" t="s">
        <v>15</v>
      </c>
      <c r="F294" t="s">
        <v>1991</v>
      </c>
      <c r="G294" t="s">
        <v>18073</v>
      </c>
      <c r="H294" t="s">
        <v>1107</v>
      </c>
      <c r="I294" t="s">
        <v>1108</v>
      </c>
      <c r="J294" t="s">
        <v>1992</v>
      </c>
      <c r="K294" t="s">
        <v>1993</v>
      </c>
      <c r="L294" t="s">
        <v>21</v>
      </c>
      <c r="M294" t="s">
        <v>19177</v>
      </c>
      <c r="N294" t="s">
        <v>714</v>
      </c>
      <c r="O294" t="s">
        <v>10263</v>
      </c>
      <c r="P294" t="s">
        <v>12</v>
      </c>
    </row>
    <row r="295">
      <c r="A295">
        <f>HYPERLINK("http://bombeiros.sp.gov.br/hidrantes/03individual/110.html","110")</f>
      </c>
      <c r="B295" t="s">
        <v>12</v>
      </c>
      <c r="C295" t="s">
        <v>57</v>
      </c>
      <c r="D295" t="s">
        <v>58</v>
      </c>
      <c r="E295" t="s">
        <v>15</v>
      </c>
      <c r="F295" t="s">
        <v>1994</v>
      </c>
      <c r="G295" t="s">
        <v>18072</v>
      </c>
      <c r="H295" t="s">
        <v>1174</v>
      </c>
      <c r="I295" t="s">
        <v>1117</v>
      </c>
      <c r="J295" t="s">
        <v>1995</v>
      </c>
      <c r="K295" t="s">
        <v>1996</v>
      </c>
      <c r="L295" t="s">
        <v>21</v>
      </c>
      <c r="M295" t="s">
        <v>19177</v>
      </c>
      <c r="N295" t="s">
        <v>97</v>
      </c>
      <c r="O295" t="s">
        <v>937</v>
      </c>
      <c r="P295" t="s">
        <v>12</v>
      </c>
    </row>
    <row r="296">
      <c r="A296">
        <f>HYPERLINK("http://bombeiros.sp.gov.br/hidrantes/03individual/2184.html","2184")</f>
      </c>
      <c r="B296" t="s">
        <v>12</v>
      </c>
      <c r="C296" t="s">
        <v>57</v>
      </c>
      <c r="D296" t="s">
        <v>58</v>
      </c>
      <c r="E296" t="s">
        <v>15</v>
      </c>
      <c r="F296" t="s">
        <v>1997</v>
      </c>
      <c r="G296" t="s">
        <v>18076</v>
      </c>
      <c r="H296" t="s">
        <v>1112</v>
      </c>
      <c r="I296" t="s">
        <v>1108</v>
      </c>
      <c r="J296" t="s">
        <v>1998</v>
      </c>
      <c r="K296" t="s">
        <v>1999</v>
      </c>
      <c r="L296" t="s">
        <v>21</v>
      </c>
      <c r="M296" t="s">
        <v>19177</v>
      </c>
      <c r="N296" t="s">
        <v>714</v>
      </c>
      <c r="O296" t="s">
        <v>10263</v>
      </c>
      <c r="P296" t="s">
        <v>12</v>
      </c>
    </row>
    <row r="297">
      <c r="A297">
        <f>HYPERLINK("http://bombeiros.sp.gov.br/hidrantes/03individual/27309.html","27309")</f>
      </c>
      <c r="B297" t="s">
        <v>12</v>
      </c>
      <c r="C297" t="s">
        <v>57</v>
      </c>
      <c r="D297" t="s">
        <v>58</v>
      </c>
      <c r="E297" t="s">
        <v>15</v>
      </c>
      <c r="F297" t="s">
        <v>17066</v>
      </c>
      <c r="G297" t="s">
        <v>18050</v>
      </c>
      <c r="H297"/>
      <c r="I297" t="s">
        <v>18</v>
      </c>
      <c r="J297" t="s">
        <v>17067</v>
      </c>
      <c r="K297" t="s">
        <v>17068</v>
      </c>
      <c r="L297" t="s">
        <v>21</v>
      </c>
      <c r="M297" t="s">
        <v>19177</v>
      </c>
      <c r="N297" t="s">
        <v>97</v>
      </c>
      <c r="O297" t="s">
        <v>937</v>
      </c>
      <c r="P297" t="s">
        <v>12</v>
      </c>
    </row>
    <row r="298">
      <c r="A298">
        <f>HYPERLINK("http://bombeiros.sp.gov.br/hidrantes/03individual/2476.html","2476")</f>
      </c>
      <c r="B298" t="s">
        <v>12</v>
      </c>
      <c r="C298" t="s">
        <v>57</v>
      </c>
      <c r="D298" t="s">
        <v>57</v>
      </c>
      <c r="E298" t="s">
        <v>64</v>
      </c>
      <c r="F298" t="s">
        <v>2000</v>
      </c>
      <c r="G298" t="s">
        <v>18063</v>
      </c>
      <c r="H298" t="s">
        <v>1121</v>
      </c>
      <c r="I298" t="s">
        <v>1117</v>
      </c>
      <c r="J298" t="s">
        <v>2001</v>
      </c>
      <c r="K298" t="s">
        <v>2002</v>
      </c>
      <c r="L298" t="s">
        <v>36</v>
      </c>
      <c r="M298" t="s">
        <v>19177</v>
      </c>
      <c r="N298" t="s">
        <v>714</v>
      </c>
      <c r="O298" t="s">
        <v>10263</v>
      </c>
      <c r="P298" t="s">
        <v>12</v>
      </c>
    </row>
    <row r="299">
      <c r="A299">
        <f>HYPERLINK("http://bombeiros.sp.gov.br/hidrantes/03individual/2488.html","2488")</f>
      </c>
      <c r="B299" t="s">
        <v>12</v>
      </c>
      <c r="C299" t="s">
        <v>57</v>
      </c>
      <c r="D299" t="s">
        <v>57</v>
      </c>
      <c r="E299" t="s">
        <v>64</v>
      </c>
      <c r="F299" t="s">
        <v>2003</v>
      </c>
      <c r="G299" t="s">
        <v>18184</v>
      </c>
      <c r="H299" t="s">
        <v>1121</v>
      </c>
      <c r="I299" t="s">
        <v>1117</v>
      </c>
      <c r="J299" t="s">
        <v>2004</v>
      </c>
      <c r="K299" t="s">
        <v>2005</v>
      </c>
      <c r="L299" t="s">
        <v>21</v>
      </c>
      <c r="M299" t="s">
        <v>19177</v>
      </c>
      <c r="N299" t="s">
        <v>97</v>
      </c>
      <c r="O299" t="s">
        <v>937</v>
      </c>
      <c r="P299" t="s">
        <v>12</v>
      </c>
    </row>
    <row r="300">
      <c r="A300">
        <f>HYPERLINK("http://bombeiros.sp.gov.br/hidrantes/03individual/2491.html","2491")</f>
      </c>
      <c r="B300" t="s">
        <v>12</v>
      </c>
      <c r="C300" t="s">
        <v>57</v>
      </c>
      <c r="D300" t="s">
        <v>57</v>
      </c>
      <c r="E300" t="s">
        <v>64</v>
      </c>
      <c r="F300" t="s">
        <v>2006</v>
      </c>
      <c r="G300" t="s">
        <v>18184</v>
      </c>
      <c r="H300" t="s">
        <v>1121</v>
      </c>
      <c r="I300" t="s">
        <v>1117</v>
      </c>
      <c r="J300" t="s">
        <v>2007</v>
      </c>
      <c r="K300" t="s">
        <v>2008</v>
      </c>
      <c r="L300" t="s">
        <v>36</v>
      </c>
      <c r="M300" t="s">
        <v>19177</v>
      </c>
      <c r="N300" t="s">
        <v>97</v>
      </c>
      <c r="O300" t="s">
        <v>937</v>
      </c>
      <c r="P300" t="s">
        <v>12</v>
      </c>
    </row>
    <row r="301">
      <c r="A301">
        <f>HYPERLINK("http://bombeiros.sp.gov.br/hidrantes/03individual/2522.html","2522")</f>
      </c>
      <c r="B301" t="s">
        <v>12</v>
      </c>
      <c r="C301" t="s">
        <v>57</v>
      </c>
      <c r="D301" t="s">
        <v>57</v>
      </c>
      <c r="E301" t="s">
        <v>64</v>
      </c>
      <c r="F301" t="s">
        <v>2009</v>
      </c>
      <c r="G301" t="s">
        <v>18184</v>
      </c>
      <c r="H301" t="s">
        <v>1112</v>
      </c>
      <c r="I301" t="s">
        <v>1108</v>
      </c>
      <c r="J301" t="s">
        <v>2010</v>
      </c>
      <c r="K301" t="s">
        <v>2011</v>
      </c>
      <c r="L301" t="s">
        <v>36</v>
      </c>
      <c r="M301" t="s">
        <v>19177</v>
      </c>
      <c r="N301" t="s">
        <v>714</v>
      </c>
      <c r="O301" t="s">
        <v>10263</v>
      </c>
      <c r="P301" t="s">
        <v>12</v>
      </c>
    </row>
    <row r="302">
      <c r="A302">
        <f>HYPERLINK("http://bombeiros.sp.gov.br/hidrantes/03individual/16381.html","16381")</f>
      </c>
      <c r="B302" t="s">
        <v>12</v>
      </c>
      <c r="C302" t="s">
        <v>57</v>
      </c>
      <c r="D302" t="s">
        <v>57</v>
      </c>
      <c r="E302" t="s">
        <v>64</v>
      </c>
      <c r="F302" t="s">
        <v>2012</v>
      </c>
      <c r="G302" t="s">
        <v>18053</v>
      </c>
      <c r="H302" t="s">
        <v>1107</v>
      </c>
      <c r="I302" t="s">
        <v>1108</v>
      </c>
      <c r="J302" t="s">
        <v>2013</v>
      </c>
      <c r="K302" t="s">
        <v>2014</v>
      </c>
      <c r="L302" t="s">
        <v>21</v>
      </c>
      <c r="M302" t="s">
        <v>19177</v>
      </c>
      <c r="N302" t="s">
        <v>714</v>
      </c>
      <c r="O302" t="s">
        <v>10263</v>
      </c>
      <c r="P302" t="s">
        <v>12</v>
      </c>
    </row>
    <row r="303">
      <c r="A303">
        <f>HYPERLINK("http://bombeiros.sp.gov.br/hidrantes/03individual/19.html","19")</f>
      </c>
      <c r="B303" t="s">
        <v>12</v>
      </c>
      <c r="C303" t="s">
        <v>57</v>
      </c>
      <c r="D303" t="s">
        <v>57</v>
      </c>
      <c r="E303" t="s">
        <v>15</v>
      </c>
      <c r="F303" t="s">
        <v>2015</v>
      </c>
      <c r="G303" t="s">
        <v>18053</v>
      </c>
      <c r="H303" t="s">
        <v>1107</v>
      </c>
      <c r="I303" t="s">
        <v>1108</v>
      </c>
      <c r="J303" t="s">
        <v>2016</v>
      </c>
      <c r="K303" t="s">
        <v>2017</v>
      </c>
      <c r="L303" t="s">
        <v>21</v>
      </c>
      <c r="M303" t="s">
        <v>19177</v>
      </c>
      <c r="N303" t="s">
        <v>97</v>
      </c>
      <c r="O303" t="s">
        <v>937</v>
      </c>
      <c r="P303" t="s">
        <v>12</v>
      </c>
    </row>
    <row r="304">
      <c r="A304">
        <f>HYPERLINK("http://bombeiros.sp.gov.br/hidrantes/03individual/49.html","49")</f>
      </c>
      <c r="B304" t="s">
        <v>12</v>
      </c>
      <c r="C304" t="s">
        <v>57</v>
      </c>
      <c r="D304" t="s">
        <v>57</v>
      </c>
      <c r="E304" t="s">
        <v>15</v>
      </c>
      <c r="F304" t="s">
        <v>2018</v>
      </c>
      <c r="G304" t="s">
        <v>18063</v>
      </c>
      <c r="H304" t="s">
        <v>1121</v>
      </c>
      <c r="I304" t="s">
        <v>1117</v>
      </c>
      <c r="J304" t="s">
        <v>2019</v>
      </c>
      <c r="K304" t="s">
        <v>2020</v>
      </c>
      <c r="L304" t="s">
        <v>21</v>
      </c>
      <c r="M304" t="s">
        <v>19177</v>
      </c>
      <c r="N304" t="s">
        <v>714</v>
      </c>
      <c r="O304" t="s">
        <v>10263</v>
      </c>
      <c r="P304" t="s">
        <v>12</v>
      </c>
    </row>
    <row r="305">
      <c r="A305">
        <f>HYPERLINK("http://bombeiros.sp.gov.br/hidrantes/03individual/50.html","50")</f>
      </c>
      <c r="B305" t="s">
        <v>12</v>
      </c>
      <c r="C305" t="s">
        <v>57</v>
      </c>
      <c r="D305" t="s">
        <v>57</v>
      </c>
      <c r="E305" t="s">
        <v>15</v>
      </c>
      <c r="F305" t="s">
        <v>2021</v>
      </c>
      <c r="G305" t="s">
        <v>18063</v>
      </c>
      <c r="H305" t="s">
        <v>1121</v>
      </c>
      <c r="I305" t="s">
        <v>1117</v>
      </c>
      <c r="J305" t="s">
        <v>2022</v>
      </c>
      <c r="K305" t="s">
        <v>2023</v>
      </c>
      <c r="L305" t="s">
        <v>21</v>
      </c>
      <c r="M305" t="s">
        <v>19177</v>
      </c>
      <c r="N305" t="s">
        <v>97</v>
      </c>
      <c r="O305" t="s">
        <v>937</v>
      </c>
      <c r="P305" t="s">
        <v>12</v>
      </c>
    </row>
    <row r="306">
      <c r="A306">
        <f>HYPERLINK("http://bombeiros.sp.gov.br/hidrantes/03individual/2549.html","2549")</f>
      </c>
      <c r="B306" t="s">
        <v>12</v>
      </c>
      <c r="C306" t="s">
        <v>57</v>
      </c>
      <c r="D306" t="s">
        <v>57</v>
      </c>
      <c r="E306" t="s">
        <v>15</v>
      </c>
      <c r="F306" t="s">
        <v>2024</v>
      </c>
      <c r="G306" t="s">
        <v>18053</v>
      </c>
      <c r="H306" t="s">
        <v>1107</v>
      </c>
      <c r="I306" t="s">
        <v>1108</v>
      </c>
      <c r="J306" t="s">
        <v>2028</v>
      </c>
      <c r="K306" t="s">
        <v>2029</v>
      </c>
      <c r="L306" t="s">
        <v>21</v>
      </c>
      <c r="M306" t="s">
        <v>19177</v>
      </c>
      <c r="N306" t="s">
        <v>97</v>
      </c>
      <c r="O306" t="s">
        <v>937</v>
      </c>
      <c r="P306" t="s">
        <v>12</v>
      </c>
    </row>
    <row r="307">
      <c r="A307">
        <f>HYPERLINK("http://bombeiros.sp.gov.br/hidrantes/03individual/2936.html","2936")</f>
      </c>
      <c r="B307" t="s">
        <v>12</v>
      </c>
      <c r="C307" t="s">
        <v>57</v>
      </c>
      <c r="D307" t="s">
        <v>57</v>
      </c>
      <c r="E307" t="s">
        <v>15</v>
      </c>
      <c r="F307" t="s">
        <v>2030</v>
      </c>
      <c r="G307" t="s">
        <v>18053</v>
      </c>
      <c r="H307" t="s">
        <v>1107</v>
      </c>
      <c r="I307" t="s">
        <v>1108</v>
      </c>
      <c r="J307" t="s">
        <v>15936</v>
      </c>
      <c r="K307" t="s">
        <v>15937</v>
      </c>
      <c r="L307" t="s">
        <v>21</v>
      </c>
      <c r="M307" t="s">
        <v>19177</v>
      </c>
      <c r="N307" t="s">
        <v>97</v>
      </c>
      <c r="O307" t="s">
        <v>937</v>
      </c>
      <c r="P307" t="s">
        <v>12</v>
      </c>
    </row>
    <row r="308">
      <c r="A308">
        <f>HYPERLINK("http://bombeiros.sp.gov.br/hidrantes/03individual/2937.html","2937")</f>
      </c>
      <c r="B308" t="s">
        <v>12</v>
      </c>
      <c r="C308" t="s">
        <v>57</v>
      </c>
      <c r="D308" t="s">
        <v>57</v>
      </c>
      <c r="E308" t="s">
        <v>15</v>
      </c>
      <c r="F308" t="s">
        <v>2033</v>
      </c>
      <c r="G308" t="s">
        <v>18053</v>
      </c>
      <c r="H308" t="s">
        <v>1107</v>
      </c>
      <c r="I308" t="s">
        <v>1108</v>
      </c>
      <c r="J308" t="s">
        <v>2034</v>
      </c>
      <c r="K308" t="s">
        <v>2035</v>
      </c>
      <c r="L308" t="s">
        <v>36</v>
      </c>
      <c r="M308" t="s">
        <v>19177</v>
      </c>
      <c r="N308" t="s">
        <v>714</v>
      </c>
      <c r="O308" t="s">
        <v>10263</v>
      </c>
      <c r="P308" t="s">
        <v>12</v>
      </c>
    </row>
    <row r="309">
      <c r="A309">
        <f>HYPERLINK("http://bombeiros.sp.gov.br/hidrantes/03individual/12.html","12")</f>
      </c>
      <c r="B309" t="s">
        <v>12</v>
      </c>
      <c r="C309" t="s">
        <v>57</v>
      </c>
      <c r="D309" t="s">
        <v>2036</v>
      </c>
      <c r="E309" t="s">
        <v>15</v>
      </c>
      <c r="F309" t="s">
        <v>2037</v>
      </c>
      <c r="G309" t="s">
        <v>18046</v>
      </c>
      <c r="H309"/>
      <c r="I309" t="s">
        <v>18</v>
      </c>
      <c r="J309" t="s">
        <v>2038</v>
      </c>
      <c r="K309" t="s">
        <v>2039</v>
      </c>
      <c r="L309" t="s">
        <v>21</v>
      </c>
      <c r="M309" t="s">
        <v>19177</v>
      </c>
      <c r="N309" t="s">
        <v>714</v>
      </c>
      <c r="O309" t="s">
        <v>10263</v>
      </c>
      <c r="P309" t="s">
        <v>12</v>
      </c>
    </row>
    <row r="310">
      <c r="A310">
        <f>HYPERLINK("http://bombeiros.sp.gov.br/hidrantes/03individual/54.html","54")</f>
      </c>
      <c r="B310" t="s">
        <v>12</v>
      </c>
      <c r="C310" t="s">
        <v>57</v>
      </c>
      <c r="D310" t="s">
        <v>2036</v>
      </c>
      <c r="E310" t="s">
        <v>15</v>
      </c>
      <c r="F310" t="s">
        <v>2040</v>
      </c>
      <c r="G310" t="s">
        <v>18051</v>
      </c>
      <c r="H310" t="s">
        <v>1112</v>
      </c>
      <c r="I310" t="s">
        <v>1108</v>
      </c>
      <c r="J310" t="s">
        <v>2041</v>
      </c>
      <c r="K310" t="s">
        <v>2042</v>
      </c>
      <c r="L310" t="s">
        <v>21</v>
      </c>
      <c r="M310" t="s">
        <v>19177</v>
      </c>
      <c r="N310" t="s">
        <v>714</v>
      </c>
      <c r="O310" t="s">
        <v>10263</v>
      </c>
      <c r="P310" t="s">
        <v>12</v>
      </c>
    </row>
    <row r="311">
      <c r="A311">
        <f>HYPERLINK("http://bombeiros.sp.gov.br/hidrantes/03individual/55.html","55")</f>
      </c>
      <c r="B311" t="s">
        <v>12</v>
      </c>
      <c r="C311" t="s">
        <v>57</v>
      </c>
      <c r="D311" t="s">
        <v>2036</v>
      </c>
      <c r="E311" t="s">
        <v>15</v>
      </c>
      <c r="F311" t="s">
        <v>2043</v>
      </c>
      <c r="G311" t="s">
        <v>18074</v>
      </c>
      <c r="H311" t="s">
        <v>1121</v>
      </c>
      <c r="I311" t="s">
        <v>1117</v>
      </c>
      <c r="J311" t="s">
        <v>2044</v>
      </c>
      <c r="K311" t="s">
        <v>2045</v>
      </c>
      <c r="L311" t="s">
        <v>21</v>
      </c>
      <c r="M311" t="s">
        <v>19177</v>
      </c>
      <c r="N311" t="s">
        <v>714</v>
      </c>
      <c r="O311" t="s">
        <v>10263</v>
      </c>
      <c r="P311" t="s">
        <v>12</v>
      </c>
    </row>
    <row r="312">
      <c r="A312">
        <f>HYPERLINK("http://bombeiros.sp.gov.br/hidrantes/03individual/56.html","56")</f>
      </c>
      <c r="B312" t="s">
        <v>12</v>
      </c>
      <c r="C312" t="s">
        <v>57</v>
      </c>
      <c r="D312" t="s">
        <v>2036</v>
      </c>
      <c r="E312" t="s">
        <v>15</v>
      </c>
      <c r="F312" t="s">
        <v>2046</v>
      </c>
      <c r="G312" t="s">
        <v>18099</v>
      </c>
      <c r="H312" t="s">
        <v>1107</v>
      </c>
      <c r="I312" t="s">
        <v>1108</v>
      </c>
      <c r="J312" t="s">
        <v>2047</v>
      </c>
      <c r="K312" t="s">
        <v>2048</v>
      </c>
      <c r="L312" t="s">
        <v>36</v>
      </c>
      <c r="M312" t="s">
        <v>19177</v>
      </c>
      <c r="N312" t="s">
        <v>714</v>
      </c>
      <c r="O312" t="s">
        <v>10263</v>
      </c>
      <c r="P312" t="s">
        <v>12</v>
      </c>
    </row>
    <row r="313">
      <c r="A313">
        <f>HYPERLINK("http://bombeiros.sp.gov.br/hidrantes/03individual/108.html","108")</f>
      </c>
      <c r="B313" t="s">
        <v>12</v>
      </c>
      <c r="C313" t="s">
        <v>57</v>
      </c>
      <c r="D313" t="s">
        <v>2036</v>
      </c>
      <c r="E313" t="s">
        <v>15</v>
      </c>
      <c r="F313" t="s">
        <v>2049</v>
      </c>
      <c r="G313" t="s">
        <v>18074</v>
      </c>
      <c r="H313" t="s">
        <v>1121</v>
      </c>
      <c r="I313" t="s">
        <v>1117</v>
      </c>
      <c r="J313" t="s">
        <v>2050</v>
      </c>
      <c r="K313" t="s">
        <v>2051</v>
      </c>
      <c r="L313" t="s">
        <v>21</v>
      </c>
      <c r="M313" t="s">
        <v>19177</v>
      </c>
      <c r="N313" t="s">
        <v>714</v>
      </c>
      <c r="O313" t="s">
        <v>10263</v>
      </c>
      <c r="P313" t="s">
        <v>12</v>
      </c>
    </row>
    <row r="314">
      <c r="A314">
        <f>HYPERLINK("http://bombeiros.sp.gov.br/hidrantes/03individual/126.html","126")</f>
      </c>
      <c r="B314" t="s">
        <v>12</v>
      </c>
      <c r="C314" t="s">
        <v>57</v>
      </c>
      <c r="D314" t="s">
        <v>2036</v>
      </c>
      <c r="E314" t="s">
        <v>15</v>
      </c>
      <c r="F314" t="s">
        <v>2052</v>
      </c>
      <c r="G314" t="s">
        <v>18099</v>
      </c>
      <c r="H314" t="s">
        <v>1107</v>
      </c>
      <c r="I314" t="s">
        <v>1108</v>
      </c>
      <c r="J314" t="s">
        <v>2053</v>
      </c>
      <c r="K314" t="s">
        <v>2054</v>
      </c>
      <c r="L314" t="s">
        <v>21</v>
      </c>
      <c r="M314" t="s">
        <v>19177</v>
      </c>
      <c r="N314" t="s">
        <v>714</v>
      </c>
      <c r="O314" t="s">
        <v>10263</v>
      </c>
      <c r="P314" t="s">
        <v>12</v>
      </c>
    </row>
    <row r="315">
      <c r="A315">
        <f>HYPERLINK("http://bombeiros.sp.gov.br/hidrantes/03individual/2395.html","2395")</f>
      </c>
      <c r="B315" t="s">
        <v>12</v>
      </c>
      <c r="C315" t="s">
        <v>57</v>
      </c>
      <c r="D315" t="s">
        <v>2036</v>
      </c>
      <c r="E315" t="s">
        <v>15</v>
      </c>
      <c r="F315" t="s">
        <v>2055</v>
      </c>
      <c r="G315" t="s">
        <v>18074</v>
      </c>
      <c r="H315" t="s">
        <v>1121</v>
      </c>
      <c r="I315" t="s">
        <v>1117</v>
      </c>
      <c r="J315" t="s">
        <v>2056</v>
      </c>
      <c r="K315" t="s">
        <v>2057</v>
      </c>
      <c r="L315" t="s">
        <v>36</v>
      </c>
      <c r="M315" t="s">
        <v>19177</v>
      </c>
      <c r="N315" t="s">
        <v>714</v>
      </c>
      <c r="O315" t="s">
        <v>10263</v>
      </c>
      <c r="P315" t="s">
        <v>12</v>
      </c>
    </row>
    <row r="316">
      <c r="A316">
        <f>HYPERLINK("http://bombeiros.sp.gov.br/hidrantes/03individual/2455.html","2455")</f>
      </c>
      <c r="B316" t="s">
        <v>12</v>
      </c>
      <c r="C316" t="s">
        <v>57</v>
      </c>
      <c r="D316" t="s">
        <v>2036</v>
      </c>
      <c r="E316" t="s">
        <v>15</v>
      </c>
      <c r="F316" t="s">
        <v>2058</v>
      </c>
      <c r="G316" t="s">
        <v>18099</v>
      </c>
      <c r="H316" t="s">
        <v>1107</v>
      </c>
      <c r="I316" t="s">
        <v>1108</v>
      </c>
      <c r="J316" t="s">
        <v>17669</v>
      </c>
      <c r="K316" t="s">
        <v>17670</v>
      </c>
      <c r="L316" t="s">
        <v>21</v>
      </c>
      <c r="M316" t="s">
        <v>19177</v>
      </c>
      <c r="N316" t="s">
        <v>714</v>
      </c>
      <c r="O316" t="s">
        <v>10263</v>
      </c>
      <c r="P316" t="s">
        <v>12</v>
      </c>
    </row>
    <row r="317">
      <c r="A317">
        <f>HYPERLINK("http://bombeiros.sp.gov.br/hidrantes/03individual/2456.html","2456")</f>
      </c>
      <c r="B317" t="s">
        <v>12</v>
      </c>
      <c r="C317" t="s">
        <v>57</v>
      </c>
      <c r="D317" t="s">
        <v>2036</v>
      </c>
      <c r="E317" t="s">
        <v>15</v>
      </c>
      <c r="F317" t="s">
        <v>2061</v>
      </c>
      <c r="G317" t="s">
        <v>18099</v>
      </c>
      <c r="H317" t="s">
        <v>1174</v>
      </c>
      <c r="I317" t="s">
        <v>1108</v>
      </c>
      <c r="J317" t="s">
        <v>2062</v>
      </c>
      <c r="K317" t="s">
        <v>2063</v>
      </c>
      <c r="L317" t="s">
        <v>21</v>
      </c>
      <c r="M317" t="s">
        <v>19177</v>
      </c>
      <c r="N317" t="s">
        <v>714</v>
      </c>
      <c r="O317" t="s">
        <v>10263</v>
      </c>
      <c r="P317" t="s">
        <v>12</v>
      </c>
    </row>
    <row r="318">
      <c r="A318">
        <f>HYPERLINK("http://bombeiros.sp.gov.br/hidrantes/03individual/2777.html","2777")</f>
      </c>
      <c r="B318" t="s">
        <v>12</v>
      </c>
      <c r="C318" t="s">
        <v>63</v>
      </c>
      <c r="D318" t="s">
        <v>2064</v>
      </c>
      <c r="E318" t="s">
        <v>64</v>
      </c>
      <c r="F318" t="s">
        <v>2065</v>
      </c>
      <c r="G318" t="s">
        <v>18051</v>
      </c>
      <c r="H318" t="s">
        <v>1121</v>
      </c>
      <c r="I318" t="s">
        <v>1117</v>
      </c>
      <c r="J318" t="s">
        <v>2066</v>
      </c>
      <c r="K318" t="s">
        <v>2067</v>
      </c>
      <c r="L318" t="s">
        <v>36</v>
      </c>
      <c r="M318" t="s">
        <v>19177</v>
      </c>
      <c r="N318" t="s">
        <v>97</v>
      </c>
      <c r="O318" t="s">
        <v>937</v>
      </c>
      <c r="P318" t="s">
        <v>12</v>
      </c>
    </row>
    <row r="319">
      <c r="A319">
        <f>HYPERLINK("http://bombeiros.sp.gov.br/hidrantes/03individual/2789.html","2789")</f>
      </c>
      <c r="B319" t="s">
        <v>12</v>
      </c>
      <c r="C319" t="s">
        <v>63</v>
      </c>
      <c r="D319" t="s">
        <v>2064</v>
      </c>
      <c r="E319" t="s">
        <v>64</v>
      </c>
      <c r="F319" t="s">
        <v>2068</v>
      </c>
      <c r="G319" t="s">
        <v>18043</v>
      </c>
      <c r="H319" t="s">
        <v>1121</v>
      </c>
      <c r="I319" t="s">
        <v>1117</v>
      </c>
      <c r="J319" t="s">
        <v>2069</v>
      </c>
      <c r="K319" t="s">
        <v>2070</v>
      </c>
      <c r="L319" t="s">
        <v>36</v>
      </c>
      <c r="M319" t="s">
        <v>19177</v>
      </c>
      <c r="N319" t="s">
        <v>97</v>
      </c>
      <c r="O319" t="s">
        <v>937</v>
      </c>
      <c r="P319" t="s">
        <v>12</v>
      </c>
    </row>
    <row r="320">
      <c r="A320">
        <f>HYPERLINK("http://bombeiros.sp.gov.br/hidrantes/03individual/4175.html","4175")</f>
      </c>
      <c r="B320" t="s">
        <v>12</v>
      </c>
      <c r="C320" t="s">
        <v>63</v>
      </c>
      <c r="D320" t="s">
        <v>2064</v>
      </c>
      <c r="E320" t="s">
        <v>64</v>
      </c>
      <c r="F320" t="s">
        <v>2071</v>
      </c>
      <c r="G320" t="s">
        <v>18150</v>
      </c>
      <c r="H320" t="s">
        <v>1121</v>
      </c>
      <c r="I320" t="s">
        <v>1117</v>
      </c>
      <c r="J320" t="s">
        <v>2072</v>
      </c>
      <c r="K320" t="s">
        <v>2073</v>
      </c>
      <c r="L320" t="s">
        <v>21</v>
      </c>
      <c r="M320" t="s">
        <v>19177</v>
      </c>
      <c r="N320" t="s">
        <v>97</v>
      </c>
      <c r="O320" t="s">
        <v>937</v>
      </c>
      <c r="P320" t="s">
        <v>12</v>
      </c>
    </row>
    <row r="321">
      <c r="A321">
        <f>HYPERLINK("http://bombeiros.sp.gov.br/hidrantes/03individual/4282.html","4282")</f>
      </c>
      <c r="B321" t="s">
        <v>12</v>
      </c>
      <c r="C321" t="s">
        <v>63</v>
      </c>
      <c r="D321" t="s">
        <v>2064</v>
      </c>
      <c r="E321" t="s">
        <v>64</v>
      </c>
      <c r="F321" t="s">
        <v>2074</v>
      </c>
      <c r="G321" t="s">
        <v>18066</v>
      </c>
      <c r="H321" t="s">
        <v>1112</v>
      </c>
      <c r="I321" t="s">
        <v>1108</v>
      </c>
      <c r="J321" t="s">
        <v>2075</v>
      </c>
      <c r="K321" t="s">
        <v>2076</v>
      </c>
      <c r="L321" t="s">
        <v>36</v>
      </c>
      <c r="M321" t="s">
        <v>19177</v>
      </c>
      <c r="N321" t="s">
        <v>97</v>
      </c>
      <c r="O321" t="s">
        <v>937</v>
      </c>
      <c r="P321" t="s">
        <v>12</v>
      </c>
    </row>
    <row r="322">
      <c r="A322">
        <f>HYPERLINK("http://bombeiros.sp.gov.br/hidrantes/03individual/48.html","48")</f>
      </c>
      <c r="B322" t="s">
        <v>12</v>
      </c>
      <c r="C322" t="s">
        <v>63</v>
      </c>
      <c r="D322" t="s">
        <v>2064</v>
      </c>
      <c r="E322" t="s">
        <v>15</v>
      </c>
      <c r="F322" t="s">
        <v>2077</v>
      </c>
      <c r="G322" t="s">
        <v>18207</v>
      </c>
      <c r="H322" t="s">
        <v>1107</v>
      </c>
      <c r="I322" t="s">
        <v>1108</v>
      </c>
      <c r="J322" t="s">
        <v>2078</v>
      </c>
      <c r="K322" t="s">
        <v>2079</v>
      </c>
      <c r="L322" t="s">
        <v>21</v>
      </c>
      <c r="M322" t="s">
        <v>19177</v>
      </c>
      <c r="N322" t="s">
        <v>97</v>
      </c>
      <c r="O322" t="s">
        <v>937</v>
      </c>
      <c r="P322" t="s">
        <v>12</v>
      </c>
    </row>
    <row r="323">
      <c r="A323">
        <f>HYPERLINK("http://bombeiros.sp.gov.br/hidrantes/03individual/187.html","187")</f>
      </c>
      <c r="B323" t="s">
        <v>12</v>
      </c>
      <c r="C323" t="s">
        <v>63</v>
      </c>
      <c r="D323" t="s">
        <v>2064</v>
      </c>
      <c r="E323" t="s">
        <v>15</v>
      </c>
      <c r="F323" t="s">
        <v>2080</v>
      </c>
      <c r="G323" t="s">
        <v>18064</v>
      </c>
      <c r="H323" t="s">
        <v>1107</v>
      </c>
      <c r="I323" t="s">
        <v>1108</v>
      </c>
      <c r="J323" t="s">
        <v>2081</v>
      </c>
      <c r="K323" t="s">
        <v>2082</v>
      </c>
      <c r="L323" t="s">
        <v>21</v>
      </c>
      <c r="M323" t="s">
        <v>19177</v>
      </c>
      <c r="N323" t="s">
        <v>97</v>
      </c>
      <c r="O323" t="s">
        <v>937</v>
      </c>
      <c r="P323" t="s">
        <v>12</v>
      </c>
    </row>
    <row r="324">
      <c r="A324">
        <f>HYPERLINK("http://bombeiros.sp.gov.br/hidrantes/03individual/247.html","247")</f>
      </c>
      <c r="B324" t="s">
        <v>12</v>
      </c>
      <c r="C324" t="s">
        <v>63</v>
      </c>
      <c r="D324" t="s">
        <v>2064</v>
      </c>
      <c r="E324" t="s">
        <v>15</v>
      </c>
      <c r="F324" t="s">
        <v>2083</v>
      </c>
      <c r="G324" t="s">
        <v>18043</v>
      </c>
      <c r="H324" t="s">
        <v>1107</v>
      </c>
      <c r="I324" t="s">
        <v>1108</v>
      </c>
      <c r="J324" t="s">
        <v>2084</v>
      </c>
      <c r="K324" t="s">
        <v>2085</v>
      </c>
      <c r="L324" t="s">
        <v>21</v>
      </c>
      <c r="M324" t="s">
        <v>19177</v>
      </c>
      <c r="N324" t="s">
        <v>97</v>
      </c>
      <c r="O324" t="s">
        <v>937</v>
      </c>
      <c r="P324" t="s">
        <v>12</v>
      </c>
    </row>
    <row r="325">
      <c r="A325">
        <f>HYPERLINK("http://bombeiros.sp.gov.br/hidrantes/03individual/262.html","262")</f>
      </c>
      <c r="B325" t="s">
        <v>12</v>
      </c>
      <c r="C325" t="s">
        <v>63</v>
      </c>
      <c r="D325" t="s">
        <v>2064</v>
      </c>
      <c r="E325" t="s">
        <v>15</v>
      </c>
      <c r="F325" t="s">
        <v>2086</v>
      </c>
      <c r="G325" t="s">
        <v>18059</v>
      </c>
      <c r="H325" t="s">
        <v>1107</v>
      </c>
      <c r="I325" t="s">
        <v>1108</v>
      </c>
      <c r="J325" t="s">
        <v>2087</v>
      </c>
      <c r="K325" t="s">
        <v>2088</v>
      </c>
      <c r="L325" t="s">
        <v>21</v>
      </c>
      <c r="M325" t="s">
        <v>19177</v>
      </c>
      <c r="N325" t="s">
        <v>97</v>
      </c>
      <c r="O325" t="s">
        <v>937</v>
      </c>
      <c r="P325" t="s">
        <v>12</v>
      </c>
    </row>
    <row r="326">
      <c r="A326">
        <f>HYPERLINK("http://bombeiros.sp.gov.br/hidrantes/03individual/2627.html","2627")</f>
      </c>
      <c r="B326" t="s">
        <v>12</v>
      </c>
      <c r="C326" t="s">
        <v>63</v>
      </c>
      <c r="D326" t="s">
        <v>2064</v>
      </c>
      <c r="E326" t="s">
        <v>15</v>
      </c>
      <c r="F326" t="s">
        <v>2089</v>
      </c>
      <c r="G326" t="s">
        <v>18182</v>
      </c>
      <c r="H326" t="s">
        <v>1107</v>
      </c>
      <c r="I326" t="s">
        <v>1108</v>
      </c>
      <c r="J326" t="s">
        <v>2090</v>
      </c>
      <c r="K326" t="s">
        <v>2091</v>
      </c>
      <c r="L326" t="s">
        <v>21</v>
      </c>
      <c r="M326" t="s">
        <v>19177</v>
      </c>
      <c r="N326" t="s">
        <v>97</v>
      </c>
      <c r="O326" t="s">
        <v>937</v>
      </c>
      <c r="P326" t="s">
        <v>12</v>
      </c>
    </row>
    <row r="327">
      <c r="A327">
        <f>HYPERLINK("http://bombeiros.sp.gov.br/hidrantes/03individual/2629.html","2629")</f>
      </c>
      <c r="B327" t="s">
        <v>12</v>
      </c>
      <c r="C327" t="s">
        <v>63</v>
      </c>
      <c r="D327" t="s">
        <v>2064</v>
      </c>
      <c r="E327" t="s">
        <v>15</v>
      </c>
      <c r="F327" t="s">
        <v>2092</v>
      </c>
      <c r="G327" t="s">
        <v>18182</v>
      </c>
      <c r="H327" t="s">
        <v>1107</v>
      </c>
      <c r="I327" t="s">
        <v>1108</v>
      </c>
      <c r="J327" t="s">
        <v>2093</v>
      </c>
      <c r="K327" t="s">
        <v>2094</v>
      </c>
      <c r="L327" t="s">
        <v>21</v>
      </c>
      <c r="M327" t="s">
        <v>19177</v>
      </c>
      <c r="N327" t="s">
        <v>97</v>
      </c>
      <c r="O327" t="s">
        <v>937</v>
      </c>
      <c r="P327" t="s">
        <v>12</v>
      </c>
    </row>
    <row r="328">
      <c r="A328">
        <f>HYPERLINK("http://bombeiros.sp.gov.br/hidrantes/03individual/2632.html","2632")</f>
      </c>
      <c r="B328" t="s">
        <v>12</v>
      </c>
      <c r="C328" t="s">
        <v>63</v>
      </c>
      <c r="D328" t="s">
        <v>2064</v>
      </c>
      <c r="E328" t="s">
        <v>15</v>
      </c>
      <c r="F328" t="s">
        <v>2095</v>
      </c>
      <c r="G328" t="s">
        <v>18063</v>
      </c>
      <c r="H328" t="s">
        <v>1121</v>
      </c>
      <c r="I328" t="s">
        <v>1117</v>
      </c>
      <c r="J328" t="s">
        <v>16354</v>
      </c>
      <c r="K328" t="s">
        <v>16355</v>
      </c>
      <c r="L328" t="s">
        <v>36</v>
      </c>
      <c r="M328" t="s">
        <v>19177</v>
      </c>
      <c r="N328" t="s">
        <v>97</v>
      </c>
      <c r="O328" t="s">
        <v>937</v>
      </c>
      <c r="P328" t="s">
        <v>12</v>
      </c>
    </row>
    <row r="329">
      <c r="A329">
        <f>HYPERLINK("http://bombeiros.sp.gov.br/hidrantes/03individual/2770.html","2770")</f>
      </c>
      <c r="B329" t="s">
        <v>12</v>
      </c>
      <c r="C329" t="s">
        <v>63</v>
      </c>
      <c r="D329" t="s">
        <v>2064</v>
      </c>
      <c r="E329" t="s">
        <v>15</v>
      </c>
      <c r="F329" t="s">
        <v>2098</v>
      </c>
      <c r="G329" t="s">
        <v>18064</v>
      </c>
      <c r="H329" t="s">
        <v>1121</v>
      </c>
      <c r="I329" t="s">
        <v>1117</v>
      </c>
      <c r="J329" t="s">
        <v>2099</v>
      </c>
      <c r="K329" t="s">
        <v>2100</v>
      </c>
      <c r="L329" t="s">
        <v>21</v>
      </c>
      <c r="M329" t="s">
        <v>19177</v>
      </c>
      <c r="N329" t="s">
        <v>97</v>
      </c>
      <c r="O329" t="s">
        <v>937</v>
      </c>
      <c r="P329" t="s">
        <v>12</v>
      </c>
    </row>
    <row r="330">
      <c r="A330">
        <f>HYPERLINK("http://bombeiros.sp.gov.br/hidrantes/03individual/2790.html","2790")</f>
      </c>
      <c r="B330" t="s">
        <v>12</v>
      </c>
      <c r="C330" t="s">
        <v>63</v>
      </c>
      <c r="D330" t="s">
        <v>2064</v>
      </c>
      <c r="E330" t="s">
        <v>15</v>
      </c>
      <c r="F330" t="s">
        <v>2101</v>
      </c>
      <c r="G330" t="s">
        <v>18063</v>
      </c>
      <c r="H330" t="s">
        <v>1121</v>
      </c>
      <c r="I330" t="s">
        <v>1117</v>
      </c>
      <c r="J330" t="s">
        <v>2102</v>
      </c>
      <c r="K330" t="s">
        <v>2103</v>
      </c>
      <c r="L330" t="s">
        <v>36</v>
      </c>
      <c r="M330" t="s">
        <v>19177</v>
      </c>
      <c r="N330" t="s">
        <v>97</v>
      </c>
      <c r="O330" t="s">
        <v>937</v>
      </c>
      <c r="P330" t="s">
        <v>12</v>
      </c>
    </row>
    <row r="331">
      <c r="A331">
        <f>HYPERLINK("http://bombeiros.sp.gov.br/hidrantes/03individual/17708.html","17708")</f>
      </c>
      <c r="B331" t="s">
        <v>12</v>
      </c>
      <c r="C331" t="s">
        <v>63</v>
      </c>
      <c r="D331" t="s">
        <v>2064</v>
      </c>
      <c r="E331" t="s">
        <v>15</v>
      </c>
      <c r="F331" t="s">
        <v>2104</v>
      </c>
      <c r="G331" t="s">
        <v>18043</v>
      </c>
      <c r="H331" t="s">
        <v>1107</v>
      </c>
      <c r="I331" t="s">
        <v>1108</v>
      </c>
      <c r="J331" t="s">
        <v>2105</v>
      </c>
      <c r="K331" t="s">
        <v>2106</v>
      </c>
      <c r="L331" t="s">
        <v>21</v>
      </c>
      <c r="M331" t="s">
        <v>19177</v>
      </c>
      <c r="N331" t="s">
        <v>97</v>
      </c>
      <c r="O331" t="s">
        <v>937</v>
      </c>
      <c r="P331" t="s">
        <v>12</v>
      </c>
    </row>
    <row r="332">
      <c r="A332">
        <f>HYPERLINK("http://bombeiros.sp.gov.br/hidrantes/03individual/508.html","508")</f>
      </c>
      <c r="B332" t="s">
        <v>12</v>
      </c>
      <c r="C332" t="s">
        <v>63</v>
      </c>
      <c r="D332" t="s">
        <v>63</v>
      </c>
      <c r="E332" t="s">
        <v>64</v>
      </c>
      <c r="F332" t="s">
        <v>2107</v>
      </c>
      <c r="G332" t="s">
        <v>18151</v>
      </c>
      <c r="H332" t="s">
        <v>1174</v>
      </c>
      <c r="I332" t="s">
        <v>1108</v>
      </c>
      <c r="J332" t="s">
        <v>2108</v>
      </c>
      <c r="K332" t="s">
        <v>2109</v>
      </c>
      <c r="L332" t="s">
        <v>21</v>
      </c>
      <c r="M332" t="s">
        <v>19177</v>
      </c>
      <c r="N332" t="s">
        <v>97</v>
      </c>
      <c r="O332" t="s">
        <v>937</v>
      </c>
      <c r="P332" t="s">
        <v>12</v>
      </c>
    </row>
    <row r="333">
      <c r="A333">
        <f>HYPERLINK("http://bombeiros.sp.gov.br/hidrantes/03individual/646.html","646")</f>
      </c>
      <c r="B333" t="s">
        <v>12</v>
      </c>
      <c r="C333" t="s">
        <v>63</v>
      </c>
      <c r="D333" t="s">
        <v>63</v>
      </c>
      <c r="E333" t="s">
        <v>64</v>
      </c>
      <c r="F333" t="s">
        <v>2110</v>
      </c>
      <c r="G333" t="s">
        <v>18065</v>
      </c>
      <c r="H333" t="s">
        <v>1107</v>
      </c>
      <c r="I333" t="s">
        <v>1108</v>
      </c>
      <c r="J333" t="s">
        <v>2111</v>
      </c>
      <c r="K333" t="s">
        <v>2112</v>
      </c>
      <c r="L333" t="s">
        <v>21</v>
      </c>
      <c r="M333" t="s">
        <v>19177</v>
      </c>
      <c r="N333" t="s">
        <v>97</v>
      </c>
      <c r="O333" t="s">
        <v>937</v>
      </c>
      <c r="P333" t="s">
        <v>12</v>
      </c>
    </row>
    <row r="334">
      <c r="A334">
        <f>HYPERLINK("http://bombeiros.sp.gov.br/hidrantes/03individual/777.html","777")</f>
      </c>
      <c r="B334" t="s">
        <v>12</v>
      </c>
      <c r="C334" t="s">
        <v>63</v>
      </c>
      <c r="D334" t="s">
        <v>63</v>
      </c>
      <c r="E334" t="s">
        <v>64</v>
      </c>
      <c r="F334" t="s">
        <v>2113</v>
      </c>
      <c r="G334" t="s">
        <v>18064</v>
      </c>
      <c r="H334" t="s">
        <v>1121</v>
      </c>
      <c r="I334" t="s">
        <v>1117</v>
      </c>
      <c r="J334" t="s">
        <v>2114</v>
      </c>
      <c r="K334" t="s">
        <v>2115</v>
      </c>
      <c r="L334" t="s">
        <v>36</v>
      </c>
      <c r="M334" t="s">
        <v>19177</v>
      </c>
      <c r="N334" t="s">
        <v>97</v>
      </c>
      <c r="O334" t="s">
        <v>937</v>
      </c>
      <c r="P334" t="s">
        <v>12</v>
      </c>
    </row>
    <row r="335">
      <c r="A335">
        <f>HYPERLINK("http://bombeiros.sp.gov.br/hidrantes/03individual/2828.html","2828")</f>
      </c>
      <c r="B335" t="s">
        <v>12</v>
      </c>
      <c r="C335" t="s">
        <v>63</v>
      </c>
      <c r="D335" t="s">
        <v>63</v>
      </c>
      <c r="E335" t="s">
        <v>64</v>
      </c>
      <c r="F335" t="s">
        <v>2116</v>
      </c>
      <c r="G335" t="s">
        <v>18089</v>
      </c>
      <c r="H335" t="s">
        <v>1112</v>
      </c>
      <c r="I335" t="s">
        <v>1108</v>
      </c>
      <c r="J335" t="s">
        <v>2117</v>
      </c>
      <c r="K335" t="s">
        <v>2118</v>
      </c>
      <c r="L335" t="s">
        <v>36</v>
      </c>
      <c r="M335" t="s">
        <v>19177</v>
      </c>
      <c r="N335" t="s">
        <v>97</v>
      </c>
      <c r="O335" t="s">
        <v>937</v>
      </c>
      <c r="P335" t="s">
        <v>12</v>
      </c>
    </row>
    <row r="336">
      <c r="A336">
        <f>HYPERLINK("http://bombeiros.sp.gov.br/hidrantes/03individual/2861.html","2861")</f>
      </c>
      <c r="B336" t="s">
        <v>12</v>
      </c>
      <c r="C336" t="s">
        <v>63</v>
      </c>
      <c r="D336" t="s">
        <v>63</v>
      </c>
      <c r="E336" t="s">
        <v>64</v>
      </c>
      <c r="F336" t="s">
        <v>2119</v>
      </c>
      <c r="G336" t="s">
        <v>18064</v>
      </c>
      <c r="H336" t="s">
        <v>1121</v>
      </c>
      <c r="I336" t="s">
        <v>1117</v>
      </c>
      <c r="J336" t="s">
        <v>2120</v>
      </c>
      <c r="K336" t="s">
        <v>2121</v>
      </c>
      <c r="L336" t="s">
        <v>36</v>
      </c>
      <c r="M336" t="s">
        <v>19177</v>
      </c>
      <c r="N336" t="s">
        <v>97</v>
      </c>
      <c r="O336" t="s">
        <v>937</v>
      </c>
      <c r="P336" t="s">
        <v>12</v>
      </c>
    </row>
    <row r="337">
      <c r="A337">
        <f>HYPERLINK("http://bombeiros.sp.gov.br/hidrantes/03individual/2938.html","2938")</f>
      </c>
      <c r="B337" t="s">
        <v>12</v>
      </c>
      <c r="C337" t="s">
        <v>63</v>
      </c>
      <c r="D337" t="s">
        <v>63</v>
      </c>
      <c r="E337" t="s">
        <v>64</v>
      </c>
      <c r="F337" t="s">
        <v>2122</v>
      </c>
      <c r="G337" t="s">
        <v>18484</v>
      </c>
      <c r="H337" t="s">
        <v>1121</v>
      </c>
      <c r="I337" t="s">
        <v>1117</v>
      </c>
      <c r="J337" t="s">
        <v>2123</v>
      </c>
      <c r="K337" t="s">
        <v>2124</v>
      </c>
      <c r="L337" t="s">
        <v>21</v>
      </c>
      <c r="M337" t="s">
        <v>19177</v>
      </c>
      <c r="N337" t="s">
        <v>97</v>
      </c>
      <c r="O337" t="s">
        <v>937</v>
      </c>
      <c r="P337" t="s">
        <v>12</v>
      </c>
    </row>
    <row r="338">
      <c r="A338">
        <f>HYPERLINK("http://bombeiros.sp.gov.br/hidrantes/03individual/4281.html","4281")</f>
      </c>
      <c r="B338" t="s">
        <v>12</v>
      </c>
      <c r="C338" t="s">
        <v>63</v>
      </c>
      <c r="D338" t="s">
        <v>63</v>
      </c>
      <c r="E338" t="s">
        <v>64</v>
      </c>
      <c r="F338" t="s">
        <v>2125</v>
      </c>
      <c r="G338" t="s">
        <v>18064</v>
      </c>
      <c r="H338" t="s">
        <v>1121</v>
      </c>
      <c r="I338" t="s">
        <v>1117</v>
      </c>
      <c r="J338" t="s">
        <v>16151</v>
      </c>
      <c r="K338" t="s">
        <v>16152</v>
      </c>
      <c r="L338" t="s">
        <v>36</v>
      </c>
      <c r="M338" t="s">
        <v>19177</v>
      </c>
      <c r="N338" t="s">
        <v>97</v>
      </c>
      <c r="O338" t="s">
        <v>937</v>
      </c>
      <c r="P338" t="s">
        <v>12</v>
      </c>
    </row>
    <row r="339">
      <c r="A339">
        <f>HYPERLINK("http://bombeiros.sp.gov.br/hidrantes/03individual/27555.html","27555")</f>
      </c>
      <c r="B339" t="s">
        <v>12</v>
      </c>
      <c r="C339" t="s">
        <v>63</v>
      </c>
      <c r="D339" t="s">
        <v>63</v>
      </c>
      <c r="E339" t="s">
        <v>64</v>
      </c>
      <c r="F339" t="s">
        <v>17427</v>
      </c>
      <c r="G339" t="s">
        <v>18057</v>
      </c>
      <c r="H339" t="s">
        <v>1107</v>
      </c>
      <c r="I339" t="s">
        <v>1108</v>
      </c>
      <c r="J339" t="s">
        <v>17428</v>
      </c>
      <c r="K339" t="s">
        <v>17429</v>
      </c>
      <c r="L339" t="s">
        <v>21</v>
      </c>
      <c r="M339" t="s">
        <v>19177</v>
      </c>
      <c r="N339" t="s">
        <v>97</v>
      </c>
      <c r="O339" t="s">
        <v>937</v>
      </c>
      <c r="P339" t="s">
        <v>12</v>
      </c>
    </row>
    <row r="340">
      <c r="A340">
        <f>HYPERLINK("http://bombeiros.sp.gov.br/hidrantes/03individual/197.html","197")</f>
      </c>
      <c r="B340" t="s">
        <v>12</v>
      </c>
      <c r="C340" t="s">
        <v>63</v>
      </c>
      <c r="D340" t="s">
        <v>63</v>
      </c>
      <c r="E340" t="s">
        <v>15</v>
      </c>
      <c r="F340" t="s">
        <v>2128</v>
      </c>
      <c r="G340" t="s">
        <v>18151</v>
      </c>
      <c r="H340" t="s">
        <v>1107</v>
      </c>
      <c r="I340" t="s">
        <v>1108</v>
      </c>
      <c r="J340" t="s">
        <v>2129</v>
      </c>
      <c r="K340" t="s">
        <v>2130</v>
      </c>
      <c r="L340" t="s">
        <v>36</v>
      </c>
      <c r="M340" t="s">
        <v>19177</v>
      </c>
      <c r="N340" t="s">
        <v>97</v>
      </c>
      <c r="O340" t="s">
        <v>937</v>
      </c>
      <c r="P340" t="s">
        <v>12</v>
      </c>
    </row>
    <row r="341">
      <c r="A341">
        <f>HYPERLINK("http://bombeiros.sp.gov.br/hidrantes/03individual/233.html","233")</f>
      </c>
      <c r="B341" t="s">
        <v>12</v>
      </c>
      <c r="C341" t="s">
        <v>63</v>
      </c>
      <c r="D341" t="s">
        <v>63</v>
      </c>
      <c r="E341" t="s">
        <v>15</v>
      </c>
      <c r="F341" t="s">
        <v>69</v>
      </c>
      <c r="G341" t="s">
        <v>18065</v>
      </c>
      <c r="H341"/>
      <c r="I341" t="s">
        <v>18</v>
      </c>
      <c r="J341" t="s">
        <v>16012</v>
      </c>
      <c r="K341" t="s">
        <v>16013</v>
      </c>
      <c r="L341" t="s">
        <v>21</v>
      </c>
      <c r="M341" t="s">
        <v>19177</v>
      </c>
      <c r="N341" t="s">
        <v>97</v>
      </c>
      <c r="O341" t="s">
        <v>937</v>
      </c>
      <c r="P341" t="s">
        <v>12</v>
      </c>
    </row>
    <row r="342">
      <c r="A342">
        <f>HYPERLINK("http://bombeiros.sp.gov.br/hidrantes/03individual/278.html","278")</f>
      </c>
      <c r="B342" t="s">
        <v>12</v>
      </c>
      <c r="C342" t="s">
        <v>63</v>
      </c>
      <c r="D342" t="s">
        <v>63</v>
      </c>
      <c r="E342" t="s">
        <v>15</v>
      </c>
      <c r="F342" t="s">
        <v>2134</v>
      </c>
      <c r="G342" t="s">
        <v>18065</v>
      </c>
      <c r="H342" t="s">
        <v>1107</v>
      </c>
      <c r="I342" t="s">
        <v>1108</v>
      </c>
      <c r="J342" t="s">
        <v>16022</v>
      </c>
      <c r="K342" t="s">
        <v>16023</v>
      </c>
      <c r="L342" t="s">
        <v>21</v>
      </c>
      <c r="M342" t="s">
        <v>19177</v>
      </c>
      <c r="N342" t="s">
        <v>97</v>
      </c>
      <c r="O342" t="s">
        <v>937</v>
      </c>
      <c r="P342" t="s">
        <v>12</v>
      </c>
    </row>
    <row r="343">
      <c r="A343">
        <f>HYPERLINK("http://bombeiros.sp.gov.br/hidrantes/03individual/279.html","279")</f>
      </c>
      <c r="B343" t="s">
        <v>12</v>
      </c>
      <c r="C343" t="s">
        <v>63</v>
      </c>
      <c r="D343" t="s">
        <v>63</v>
      </c>
      <c r="E343" t="s">
        <v>15</v>
      </c>
      <c r="F343" t="s">
        <v>2137</v>
      </c>
      <c r="G343" t="s">
        <v>18065</v>
      </c>
      <c r="H343" t="s">
        <v>1174</v>
      </c>
      <c r="I343" t="s">
        <v>1117</v>
      </c>
      <c r="J343" t="s">
        <v>2138</v>
      </c>
      <c r="K343" t="s">
        <v>2139</v>
      </c>
      <c r="L343" t="s">
        <v>21</v>
      </c>
      <c r="M343" t="s">
        <v>19177</v>
      </c>
      <c r="N343" t="s">
        <v>97</v>
      </c>
      <c r="O343" t="s">
        <v>937</v>
      </c>
      <c r="P343" t="s">
        <v>12</v>
      </c>
    </row>
    <row r="344">
      <c r="A344">
        <f>HYPERLINK("http://bombeiros.sp.gov.br/hidrantes/03individual/505.html","505")</f>
      </c>
      <c r="B344" t="s">
        <v>12</v>
      </c>
      <c r="C344" t="s">
        <v>63</v>
      </c>
      <c r="D344" t="s">
        <v>63</v>
      </c>
      <c r="E344" t="s">
        <v>15</v>
      </c>
      <c r="F344" t="s">
        <v>2140</v>
      </c>
      <c r="G344" t="s">
        <v>18151</v>
      </c>
      <c r="H344" t="s">
        <v>1107</v>
      </c>
      <c r="I344" t="s">
        <v>1108</v>
      </c>
      <c r="J344" t="s">
        <v>16440</v>
      </c>
      <c r="K344" t="s">
        <v>16441</v>
      </c>
      <c r="L344" t="s">
        <v>21</v>
      </c>
      <c r="M344" t="s">
        <v>19177</v>
      </c>
      <c r="N344" t="s">
        <v>97</v>
      </c>
      <c r="O344" t="s">
        <v>937</v>
      </c>
      <c r="P344" t="s">
        <v>12</v>
      </c>
    </row>
    <row r="345">
      <c r="A345">
        <f>HYPERLINK("http://bombeiros.sp.gov.br/hidrantes/03individual/641.html","641")</f>
      </c>
      <c r="B345" t="s">
        <v>12</v>
      </c>
      <c r="C345" t="s">
        <v>63</v>
      </c>
      <c r="D345" t="s">
        <v>63</v>
      </c>
      <c r="E345" t="s">
        <v>15</v>
      </c>
      <c r="F345" t="s">
        <v>2146</v>
      </c>
      <c r="G345" t="s">
        <v>18065</v>
      </c>
      <c r="H345"/>
      <c r="I345" t="s">
        <v>18</v>
      </c>
      <c r="J345" t="s">
        <v>2147</v>
      </c>
      <c r="K345" t="s">
        <v>2148</v>
      </c>
      <c r="L345" t="s">
        <v>36</v>
      </c>
      <c r="M345" t="s">
        <v>19177</v>
      </c>
      <c r="N345" t="s">
        <v>97</v>
      </c>
      <c r="O345" t="s">
        <v>937</v>
      </c>
      <c r="P345" t="s">
        <v>12</v>
      </c>
    </row>
    <row r="346">
      <c r="A346">
        <f>HYPERLINK("http://bombeiros.sp.gov.br/hidrantes/03individual/656.html","656")</f>
      </c>
      <c r="B346" t="s">
        <v>12</v>
      </c>
      <c r="C346" t="s">
        <v>63</v>
      </c>
      <c r="D346" t="s">
        <v>63</v>
      </c>
      <c r="E346" t="s">
        <v>15</v>
      </c>
      <c r="F346" t="s">
        <v>2149</v>
      </c>
      <c r="G346" t="s">
        <v>18065</v>
      </c>
      <c r="H346" t="s">
        <v>1107</v>
      </c>
      <c r="I346" t="s">
        <v>1108</v>
      </c>
      <c r="J346" t="s">
        <v>16000</v>
      </c>
      <c r="K346" t="s">
        <v>16001</v>
      </c>
      <c r="L346" t="s">
        <v>36</v>
      </c>
      <c r="M346" t="s">
        <v>19177</v>
      </c>
      <c r="N346" t="s">
        <v>97</v>
      </c>
      <c r="O346" t="s">
        <v>937</v>
      </c>
      <c r="P346" t="s">
        <v>12</v>
      </c>
    </row>
    <row r="347">
      <c r="A347">
        <f>HYPERLINK("http://bombeiros.sp.gov.br/hidrantes/03individual/794.html","794")</f>
      </c>
      <c r="B347" t="s">
        <v>12</v>
      </c>
      <c r="C347" t="s">
        <v>63</v>
      </c>
      <c r="D347" t="s">
        <v>63</v>
      </c>
      <c r="E347" t="s">
        <v>15</v>
      </c>
      <c r="F347" t="s">
        <v>2152</v>
      </c>
      <c r="G347" t="s">
        <v>18089</v>
      </c>
      <c r="H347" t="s">
        <v>1174</v>
      </c>
      <c r="I347" t="s">
        <v>1117</v>
      </c>
      <c r="J347" t="s">
        <v>2153</v>
      </c>
      <c r="K347" t="s">
        <v>2154</v>
      </c>
      <c r="L347" t="s">
        <v>21</v>
      </c>
      <c r="M347" t="s">
        <v>19177</v>
      </c>
      <c r="N347" t="s">
        <v>97</v>
      </c>
      <c r="O347" t="s">
        <v>937</v>
      </c>
      <c r="P347" t="s">
        <v>12</v>
      </c>
    </row>
    <row r="348">
      <c r="A348">
        <f>HYPERLINK("http://bombeiros.sp.gov.br/hidrantes/03individual/2858.html","2858")</f>
      </c>
      <c r="B348" t="s">
        <v>12</v>
      </c>
      <c r="C348" t="s">
        <v>63</v>
      </c>
      <c r="D348" t="s">
        <v>63</v>
      </c>
      <c r="E348" t="s">
        <v>15</v>
      </c>
      <c r="F348" t="s">
        <v>2155</v>
      </c>
      <c r="G348" t="s">
        <v>18484</v>
      </c>
      <c r="H348" t="s">
        <v>1107</v>
      </c>
      <c r="I348" t="s">
        <v>1108</v>
      </c>
      <c r="J348" t="s">
        <v>15992</v>
      </c>
      <c r="K348" t="s">
        <v>15993</v>
      </c>
      <c r="L348" t="s">
        <v>21</v>
      </c>
      <c r="M348" t="s">
        <v>19177</v>
      </c>
      <c r="N348" t="s">
        <v>97</v>
      </c>
      <c r="O348" t="s">
        <v>937</v>
      </c>
      <c r="P348" t="s">
        <v>12</v>
      </c>
    </row>
    <row r="349">
      <c r="A349">
        <f>HYPERLINK("http://bombeiros.sp.gov.br/hidrantes/03individual/2866.html","2866")</f>
      </c>
      <c r="B349" t="s">
        <v>12</v>
      </c>
      <c r="C349" t="s">
        <v>63</v>
      </c>
      <c r="D349" t="s">
        <v>63</v>
      </c>
      <c r="E349" t="s">
        <v>15</v>
      </c>
      <c r="F349" t="s">
        <v>2158</v>
      </c>
      <c r="G349" t="s">
        <v>18484</v>
      </c>
      <c r="H349" t="s">
        <v>1174</v>
      </c>
      <c r="I349" t="s">
        <v>1108</v>
      </c>
      <c r="J349" t="s">
        <v>16024</v>
      </c>
      <c r="K349" t="s">
        <v>16025</v>
      </c>
      <c r="L349" t="s">
        <v>21</v>
      </c>
      <c r="M349" t="s">
        <v>19177</v>
      </c>
      <c r="N349" t="s">
        <v>97</v>
      </c>
      <c r="O349" t="s">
        <v>937</v>
      </c>
      <c r="P349" t="s">
        <v>12</v>
      </c>
    </row>
    <row r="350">
      <c r="A350">
        <f>HYPERLINK("http://bombeiros.sp.gov.br/hidrantes/03individual/2869.html","2869")</f>
      </c>
      <c r="B350" t="s">
        <v>12</v>
      </c>
      <c r="C350" t="s">
        <v>63</v>
      </c>
      <c r="D350" t="s">
        <v>63</v>
      </c>
      <c r="E350" t="s">
        <v>15</v>
      </c>
      <c r="F350" t="s">
        <v>2161</v>
      </c>
      <c r="G350" t="s">
        <v>18484</v>
      </c>
      <c r="H350" t="s">
        <v>1174</v>
      </c>
      <c r="I350" t="s">
        <v>1117</v>
      </c>
      <c r="J350" t="s">
        <v>2162</v>
      </c>
      <c r="K350" t="s">
        <v>2163</v>
      </c>
      <c r="L350" t="s">
        <v>21</v>
      </c>
      <c r="M350" t="s">
        <v>19177</v>
      </c>
      <c r="N350" t="s">
        <v>97</v>
      </c>
      <c r="O350" t="s">
        <v>937</v>
      </c>
      <c r="P350" t="s">
        <v>12</v>
      </c>
    </row>
    <row r="351">
      <c r="A351">
        <f>HYPERLINK("http://bombeiros.sp.gov.br/hidrantes/03individual/2876.html","2876")</f>
      </c>
      <c r="B351" t="s">
        <v>12</v>
      </c>
      <c r="C351" t="s">
        <v>63</v>
      </c>
      <c r="D351" t="s">
        <v>63</v>
      </c>
      <c r="E351" t="s">
        <v>15</v>
      </c>
      <c r="F351" t="s">
        <v>2164</v>
      </c>
      <c r="G351" t="s">
        <v>18484</v>
      </c>
      <c r="H351" t="s">
        <v>1174</v>
      </c>
      <c r="I351" t="s">
        <v>1108</v>
      </c>
      <c r="J351" t="s">
        <v>16002</v>
      </c>
      <c r="K351" t="s">
        <v>16003</v>
      </c>
      <c r="L351" t="s">
        <v>36</v>
      </c>
      <c r="M351" t="s">
        <v>19177</v>
      </c>
      <c r="N351" t="s">
        <v>97</v>
      </c>
      <c r="O351" t="s">
        <v>937</v>
      </c>
      <c r="P351" t="s">
        <v>12</v>
      </c>
    </row>
    <row r="352">
      <c r="A352">
        <f>HYPERLINK("http://bombeiros.sp.gov.br/hidrantes/03individual/2881.html","2881")</f>
      </c>
      <c r="B352" t="s">
        <v>12</v>
      </c>
      <c r="C352" t="s">
        <v>63</v>
      </c>
      <c r="D352" t="s">
        <v>63</v>
      </c>
      <c r="E352" t="s">
        <v>15</v>
      </c>
      <c r="F352" t="s">
        <v>2167</v>
      </c>
      <c r="G352" t="s">
        <v>18484</v>
      </c>
      <c r="H352" t="s">
        <v>1107</v>
      </c>
      <c r="I352" t="s">
        <v>1108</v>
      </c>
      <c r="J352" t="s">
        <v>16026</v>
      </c>
      <c r="K352" t="s">
        <v>16027</v>
      </c>
      <c r="L352" t="s">
        <v>21</v>
      </c>
      <c r="M352" t="s">
        <v>19177</v>
      </c>
      <c r="N352" t="s">
        <v>97</v>
      </c>
      <c r="O352" t="s">
        <v>937</v>
      </c>
      <c r="P352" t="s">
        <v>12</v>
      </c>
    </row>
    <row r="353">
      <c r="A353">
        <f>HYPERLINK("http://bombeiros.sp.gov.br/hidrantes/03individual/2883.html","2883")</f>
      </c>
      <c r="B353" t="s">
        <v>12</v>
      </c>
      <c r="C353" t="s">
        <v>63</v>
      </c>
      <c r="D353" t="s">
        <v>63</v>
      </c>
      <c r="E353" t="s">
        <v>15</v>
      </c>
      <c r="F353" t="s">
        <v>2170</v>
      </c>
      <c r="G353" t="s">
        <v>18484</v>
      </c>
      <c r="H353" t="s">
        <v>1121</v>
      </c>
      <c r="I353" t="s">
        <v>1117</v>
      </c>
      <c r="J353" t="s">
        <v>2171</v>
      </c>
      <c r="K353" t="s">
        <v>2172</v>
      </c>
      <c r="L353" t="s">
        <v>21</v>
      </c>
      <c r="M353" t="s">
        <v>19177</v>
      </c>
      <c r="N353" t="s">
        <v>97</v>
      </c>
      <c r="O353" t="s">
        <v>937</v>
      </c>
      <c r="P353" t="s">
        <v>12</v>
      </c>
    </row>
    <row r="354">
      <c r="A354">
        <f>HYPERLINK("http://bombeiros.sp.gov.br/hidrantes/03individual/2900.html","2900")</f>
      </c>
      <c r="B354" t="s">
        <v>12</v>
      </c>
      <c r="C354" t="s">
        <v>63</v>
      </c>
      <c r="D354" t="s">
        <v>63</v>
      </c>
      <c r="E354" t="s">
        <v>15</v>
      </c>
      <c r="F354" t="s">
        <v>2173</v>
      </c>
      <c r="G354" t="s">
        <v>18067</v>
      </c>
      <c r="H354" t="s">
        <v>1174</v>
      </c>
      <c r="I354" t="s">
        <v>1108</v>
      </c>
      <c r="J354" t="s">
        <v>2174</v>
      </c>
      <c r="K354" t="s">
        <v>2175</v>
      </c>
      <c r="L354" t="s">
        <v>21</v>
      </c>
      <c r="M354" t="s">
        <v>19177</v>
      </c>
      <c r="N354" t="s">
        <v>97</v>
      </c>
      <c r="O354" t="s">
        <v>937</v>
      </c>
      <c r="P354" t="s">
        <v>12</v>
      </c>
    </row>
    <row r="355">
      <c r="A355">
        <f>HYPERLINK("http://bombeiros.sp.gov.br/hidrantes/03individual/2916.html","2916")</f>
      </c>
      <c r="B355" t="s">
        <v>12</v>
      </c>
      <c r="C355" t="s">
        <v>63</v>
      </c>
      <c r="D355" t="s">
        <v>63</v>
      </c>
      <c r="E355" t="s">
        <v>15</v>
      </c>
      <c r="F355" t="s">
        <v>2176</v>
      </c>
      <c r="G355" t="s">
        <v>18043</v>
      </c>
      <c r="H355" t="s">
        <v>1107</v>
      </c>
      <c r="I355" t="s">
        <v>1108</v>
      </c>
      <c r="J355" t="s">
        <v>15982</v>
      </c>
      <c r="K355" t="s">
        <v>15983</v>
      </c>
      <c r="L355" t="s">
        <v>36</v>
      </c>
      <c r="M355" t="s">
        <v>19177</v>
      </c>
      <c r="N355" t="s">
        <v>97</v>
      </c>
      <c r="O355" t="s">
        <v>937</v>
      </c>
      <c r="P355" t="s">
        <v>12</v>
      </c>
    </row>
    <row r="356">
      <c r="A356">
        <f>HYPERLINK("http://bombeiros.sp.gov.br/hidrantes/03individual/2940.html","2940")</f>
      </c>
      <c r="B356" t="s">
        <v>12</v>
      </c>
      <c r="C356" t="s">
        <v>63</v>
      </c>
      <c r="D356" t="s">
        <v>63</v>
      </c>
      <c r="E356" t="s">
        <v>15</v>
      </c>
      <c r="F356" t="s">
        <v>2183</v>
      </c>
      <c r="G356" t="s">
        <v>18484</v>
      </c>
      <c r="H356" t="s">
        <v>1107</v>
      </c>
      <c r="I356" t="s">
        <v>1108</v>
      </c>
      <c r="J356" t="s">
        <v>2184</v>
      </c>
      <c r="K356" t="s">
        <v>2185</v>
      </c>
      <c r="L356" t="s">
        <v>21</v>
      </c>
      <c r="M356" t="s">
        <v>19177</v>
      </c>
      <c r="N356" t="s">
        <v>97</v>
      </c>
      <c r="O356" t="s">
        <v>937</v>
      </c>
      <c r="P356" t="s">
        <v>12</v>
      </c>
    </row>
    <row r="357">
      <c r="A357">
        <f>HYPERLINK("http://bombeiros.sp.gov.br/hidrantes/03individual/2944.html","2944")</f>
      </c>
      <c r="B357" t="s">
        <v>12</v>
      </c>
      <c r="C357" t="s">
        <v>63</v>
      </c>
      <c r="D357" t="s">
        <v>63</v>
      </c>
      <c r="E357" t="s">
        <v>15</v>
      </c>
      <c r="F357" t="s">
        <v>2186</v>
      </c>
      <c r="G357" t="s">
        <v>18484</v>
      </c>
      <c r="H357" t="s">
        <v>1174</v>
      </c>
      <c r="I357" t="s">
        <v>1108</v>
      </c>
      <c r="J357" t="s">
        <v>2187</v>
      </c>
      <c r="K357" t="s">
        <v>2188</v>
      </c>
      <c r="L357" t="s">
        <v>21</v>
      </c>
      <c r="M357" t="s">
        <v>19177</v>
      </c>
      <c r="N357" t="s">
        <v>97</v>
      </c>
      <c r="O357" t="s">
        <v>937</v>
      </c>
      <c r="P357" t="s">
        <v>12</v>
      </c>
    </row>
    <row r="358">
      <c r="A358">
        <f>HYPERLINK("http://bombeiros.sp.gov.br/hidrantes/03individual/5498.html","5498")</f>
      </c>
      <c r="B358" t="s">
        <v>12</v>
      </c>
      <c r="C358" t="s">
        <v>63</v>
      </c>
      <c r="D358" t="s">
        <v>63</v>
      </c>
      <c r="E358" t="s">
        <v>15</v>
      </c>
      <c r="F358" t="s">
        <v>2189</v>
      </c>
      <c r="G358" t="s">
        <v>18057</v>
      </c>
      <c r="H358" t="s">
        <v>1121</v>
      </c>
      <c r="I358" t="s">
        <v>1117</v>
      </c>
      <c r="J358" t="s">
        <v>2190</v>
      </c>
      <c r="K358" t="s">
        <v>2191</v>
      </c>
      <c r="L358" t="s">
        <v>36</v>
      </c>
      <c r="M358" t="s">
        <v>19177</v>
      </c>
      <c r="N358" t="s">
        <v>97</v>
      </c>
      <c r="O358" t="s">
        <v>937</v>
      </c>
      <c r="P358" t="s">
        <v>12</v>
      </c>
    </row>
    <row r="359">
      <c r="A359">
        <f>HYPERLINK("http://bombeiros.sp.gov.br/hidrantes/03individual/5635.html","5635")</f>
      </c>
      <c r="B359" t="s">
        <v>12</v>
      </c>
      <c r="C359" t="s">
        <v>63</v>
      </c>
      <c r="D359" t="s">
        <v>63</v>
      </c>
      <c r="E359" t="s">
        <v>15</v>
      </c>
      <c r="F359" t="s">
        <v>2192</v>
      </c>
      <c r="G359" t="s">
        <v>18066</v>
      </c>
      <c r="H359" t="s">
        <v>1121</v>
      </c>
      <c r="I359" t="s">
        <v>1117</v>
      </c>
      <c r="J359" t="s">
        <v>2193</v>
      </c>
      <c r="K359" t="s">
        <v>2194</v>
      </c>
      <c r="L359" t="s">
        <v>36</v>
      </c>
      <c r="M359" t="s">
        <v>19177</v>
      </c>
      <c r="N359" t="s">
        <v>97</v>
      </c>
      <c r="O359" t="s">
        <v>937</v>
      </c>
      <c r="P359" t="s">
        <v>12</v>
      </c>
    </row>
    <row r="360">
      <c r="A360">
        <f>HYPERLINK("http://bombeiros.sp.gov.br/hidrantes/03individual/6786.html","6786")</f>
      </c>
      <c r="B360" t="s">
        <v>12</v>
      </c>
      <c r="C360" t="s">
        <v>63</v>
      </c>
      <c r="D360" t="s">
        <v>63</v>
      </c>
      <c r="E360" t="s">
        <v>15</v>
      </c>
      <c r="F360" t="s">
        <v>2195</v>
      </c>
      <c r="G360" t="s">
        <v>18057</v>
      </c>
      <c r="H360" t="s">
        <v>1107</v>
      </c>
      <c r="I360" t="s">
        <v>1108</v>
      </c>
      <c r="J360" t="s">
        <v>2197</v>
      </c>
      <c r="K360" t="s">
        <v>2198</v>
      </c>
      <c r="L360" t="s">
        <v>36</v>
      </c>
      <c r="M360" t="s">
        <v>19177</v>
      </c>
      <c r="N360" t="s">
        <v>97</v>
      </c>
      <c r="O360" t="s">
        <v>937</v>
      </c>
      <c r="P360" t="s">
        <v>12</v>
      </c>
    </row>
    <row r="361">
      <c r="A361">
        <f>HYPERLINK("http://bombeiros.sp.gov.br/hidrantes/03individual/17718.html","17718")</f>
      </c>
      <c r="B361" t="s">
        <v>12</v>
      </c>
      <c r="C361" t="s">
        <v>63</v>
      </c>
      <c r="D361" t="s">
        <v>63</v>
      </c>
      <c r="E361" t="s">
        <v>15</v>
      </c>
      <c r="F361" t="s">
        <v>2203</v>
      </c>
      <c r="G361" t="s">
        <v>18484</v>
      </c>
      <c r="H361" t="s">
        <v>1174</v>
      </c>
      <c r="I361" t="s">
        <v>1108</v>
      </c>
      <c r="J361" t="s">
        <v>2204</v>
      </c>
      <c r="K361" t="s">
        <v>2205</v>
      </c>
      <c r="L361" t="s">
        <v>21</v>
      </c>
      <c r="M361" t="s">
        <v>19177</v>
      </c>
      <c r="N361" t="s">
        <v>97</v>
      </c>
      <c r="O361" t="s">
        <v>937</v>
      </c>
      <c r="P361" t="s">
        <v>12</v>
      </c>
    </row>
    <row r="362">
      <c r="A362">
        <f>HYPERLINK("http://bombeiros.sp.gov.br/hidrantes/03individual/17771.html","17771")</f>
      </c>
      <c r="B362" t="s">
        <v>12</v>
      </c>
      <c r="C362" t="s">
        <v>63</v>
      </c>
      <c r="D362" t="s">
        <v>63</v>
      </c>
      <c r="E362" t="s">
        <v>15</v>
      </c>
      <c r="F362" t="s">
        <v>2206</v>
      </c>
      <c r="G362" t="s">
        <v>18057</v>
      </c>
      <c r="H362" t="s">
        <v>1107</v>
      </c>
      <c r="I362" t="s">
        <v>1108</v>
      </c>
      <c r="J362" t="s">
        <v>2207</v>
      </c>
      <c r="K362" t="s">
        <v>2208</v>
      </c>
      <c r="L362" t="s">
        <v>21</v>
      </c>
      <c r="M362" t="s">
        <v>19177</v>
      </c>
      <c r="N362" t="s">
        <v>97</v>
      </c>
      <c r="O362" t="s">
        <v>937</v>
      </c>
      <c r="P362" t="s">
        <v>12</v>
      </c>
    </row>
    <row r="363">
      <c r="A363">
        <f>HYPERLINK("http://bombeiros.sp.gov.br/hidrantes/03individual/23061.html","23061")</f>
      </c>
      <c r="B363" t="s">
        <v>12</v>
      </c>
      <c r="C363" t="s">
        <v>63</v>
      </c>
      <c r="D363" t="s">
        <v>63</v>
      </c>
      <c r="E363" t="s">
        <v>15</v>
      </c>
      <c r="F363" t="s">
        <v>2209</v>
      </c>
      <c r="G363" t="s">
        <v>18057</v>
      </c>
      <c r="H363" t="s">
        <v>1107</v>
      </c>
      <c r="I363" t="s">
        <v>1108</v>
      </c>
      <c r="J363" t="s">
        <v>2210</v>
      </c>
      <c r="K363" t="s">
        <v>2211</v>
      </c>
      <c r="L363" t="s">
        <v>21</v>
      </c>
      <c r="M363" t="s">
        <v>19177</v>
      </c>
      <c r="N363" t="s">
        <v>97</v>
      </c>
      <c r="O363" t="s">
        <v>937</v>
      </c>
      <c r="P363" t="s">
        <v>12</v>
      </c>
    </row>
    <row r="364">
      <c r="A364">
        <f>HYPERLINK("http://bombeiros.sp.gov.br/hidrantes/03individual/26618.html","26618")</f>
      </c>
      <c r="B364" t="s">
        <v>12</v>
      </c>
      <c r="C364" t="s">
        <v>63</v>
      </c>
      <c r="D364" t="s">
        <v>63</v>
      </c>
      <c r="E364" t="s">
        <v>15</v>
      </c>
      <c r="F364" t="s">
        <v>2212</v>
      </c>
      <c r="G364" t="s">
        <v>18067</v>
      </c>
      <c r="H364" t="s">
        <v>1107</v>
      </c>
      <c r="I364" t="s">
        <v>1108</v>
      </c>
      <c r="J364" t="s">
        <v>2213</v>
      </c>
      <c r="K364" t="s">
        <v>2214</v>
      </c>
      <c r="L364" t="s">
        <v>21</v>
      </c>
      <c r="M364" t="s">
        <v>19177</v>
      </c>
      <c r="N364" t="s">
        <v>97</v>
      </c>
      <c r="O364" t="s">
        <v>937</v>
      </c>
      <c r="P364" t="s">
        <v>12</v>
      </c>
    </row>
    <row r="365">
      <c r="A365">
        <f>HYPERLINK("http://bombeiros.sp.gov.br/hidrantes/03individual/26622.html","26622")</f>
      </c>
      <c r="B365" t="s">
        <v>12</v>
      </c>
      <c r="C365" t="s">
        <v>63</v>
      </c>
      <c r="D365" t="s">
        <v>63</v>
      </c>
      <c r="E365" t="s">
        <v>15</v>
      </c>
      <c r="F365" t="s">
        <v>2215</v>
      </c>
      <c r="G365" t="s">
        <v>18057</v>
      </c>
      <c r="H365" t="s">
        <v>1107</v>
      </c>
      <c r="I365" t="s">
        <v>1108</v>
      </c>
      <c r="J365" t="s">
        <v>2216</v>
      </c>
      <c r="K365" t="s">
        <v>2217</v>
      </c>
      <c r="L365" t="s">
        <v>21</v>
      </c>
      <c r="M365" t="s">
        <v>19177</v>
      </c>
      <c r="N365" t="s">
        <v>97</v>
      </c>
      <c r="O365" t="s">
        <v>937</v>
      </c>
      <c r="P365" t="s">
        <v>12</v>
      </c>
    </row>
    <row r="366">
      <c r="A366">
        <f>HYPERLINK("http://bombeiros.sp.gov.br/hidrantes/03individual/26631.html","26631")</f>
      </c>
      <c r="B366" t="s">
        <v>12</v>
      </c>
      <c r="C366" t="s">
        <v>63</v>
      </c>
      <c r="D366" t="s">
        <v>63</v>
      </c>
      <c r="E366" t="s">
        <v>15</v>
      </c>
      <c r="F366" t="s">
        <v>2218</v>
      </c>
      <c r="G366" t="s">
        <v>18060</v>
      </c>
      <c r="H366" t="s">
        <v>1121</v>
      </c>
      <c r="I366" t="s">
        <v>1117</v>
      </c>
      <c r="J366" t="s">
        <v>2219</v>
      </c>
      <c r="K366" t="s">
        <v>2220</v>
      </c>
      <c r="L366" t="s">
        <v>21</v>
      </c>
      <c r="M366" t="s">
        <v>19177</v>
      </c>
      <c r="N366" t="s">
        <v>97</v>
      </c>
      <c r="O366" t="s">
        <v>937</v>
      </c>
      <c r="P366" t="s">
        <v>12</v>
      </c>
    </row>
    <row r="367">
      <c r="A367">
        <f>HYPERLINK("http://bombeiros.sp.gov.br/hidrantes/03individual/26632.html","26632")</f>
      </c>
      <c r="B367" t="s">
        <v>12</v>
      </c>
      <c r="C367" t="s">
        <v>63</v>
      </c>
      <c r="D367" t="s">
        <v>63</v>
      </c>
      <c r="E367" t="s">
        <v>15</v>
      </c>
      <c r="F367" t="s">
        <v>2221</v>
      </c>
      <c r="G367" t="s">
        <v>18484</v>
      </c>
      <c r="H367" t="s">
        <v>1107</v>
      </c>
      <c r="I367" t="s">
        <v>1108</v>
      </c>
      <c r="J367" t="s">
        <v>2222</v>
      </c>
      <c r="K367" t="s">
        <v>2223</v>
      </c>
      <c r="L367" t="s">
        <v>21</v>
      </c>
      <c r="M367" t="s">
        <v>19177</v>
      </c>
      <c r="N367" t="s">
        <v>97</v>
      </c>
      <c r="O367" t="s">
        <v>937</v>
      </c>
      <c r="P367" t="s">
        <v>12</v>
      </c>
    </row>
    <row r="368">
      <c r="A368">
        <f>HYPERLINK("http://bombeiros.sp.gov.br/hidrantes/03individual/26633.html","26633")</f>
      </c>
      <c r="B368" t="s">
        <v>12</v>
      </c>
      <c r="C368" t="s">
        <v>63</v>
      </c>
      <c r="D368" t="s">
        <v>63</v>
      </c>
      <c r="E368" t="s">
        <v>15</v>
      </c>
      <c r="F368" t="s">
        <v>18747</v>
      </c>
      <c r="G368" t="s">
        <v>18484</v>
      </c>
      <c r="H368"/>
      <c r="I368" t="s">
        <v>18</v>
      </c>
      <c r="J368" t="s">
        <v>2225</v>
      </c>
      <c r="K368" t="s">
        <v>2226</v>
      </c>
      <c r="L368" t="s">
        <v>21</v>
      </c>
      <c r="M368" t="s">
        <v>19177</v>
      </c>
      <c r="N368" t="s">
        <v>97</v>
      </c>
      <c r="O368" t="s">
        <v>937</v>
      </c>
      <c r="P368" t="s">
        <v>12</v>
      </c>
    </row>
    <row r="369">
      <c r="A369">
        <f>HYPERLINK("http://bombeiros.sp.gov.br/hidrantes/03individual/506.html","506")</f>
      </c>
      <c r="B369" t="s">
        <v>12</v>
      </c>
      <c r="C369" t="s">
        <v>63</v>
      </c>
      <c r="D369" t="s">
        <v>77</v>
      </c>
      <c r="E369" t="s">
        <v>64</v>
      </c>
      <c r="F369" t="s">
        <v>2227</v>
      </c>
      <c r="G369" t="s">
        <v>18068</v>
      </c>
      <c r="H369" t="s">
        <v>1112</v>
      </c>
      <c r="I369" t="s">
        <v>1108</v>
      </c>
      <c r="J369" t="s">
        <v>2228</v>
      </c>
      <c r="K369" t="s">
        <v>2229</v>
      </c>
      <c r="L369" t="s">
        <v>21</v>
      </c>
      <c r="M369" t="s">
        <v>19177</v>
      </c>
      <c r="N369" t="s">
        <v>97</v>
      </c>
      <c r="O369" t="s">
        <v>937</v>
      </c>
      <c r="P369" t="s">
        <v>12</v>
      </c>
    </row>
    <row r="370">
      <c r="A370">
        <f>HYPERLINK("http://bombeiros.sp.gov.br/hidrantes/03individual/604.html","604")</f>
      </c>
      <c r="B370" t="s">
        <v>12</v>
      </c>
      <c r="C370" t="s">
        <v>63</v>
      </c>
      <c r="D370" t="s">
        <v>77</v>
      </c>
      <c r="E370" t="s">
        <v>64</v>
      </c>
      <c r="F370" t="s">
        <v>2230</v>
      </c>
      <c r="G370" t="s">
        <v>18068</v>
      </c>
      <c r="H370" t="s">
        <v>1107</v>
      </c>
      <c r="I370" t="s">
        <v>1108</v>
      </c>
      <c r="J370" t="s">
        <v>2231</v>
      </c>
      <c r="K370" t="s">
        <v>2232</v>
      </c>
      <c r="L370" t="s">
        <v>36</v>
      </c>
      <c r="M370" t="s">
        <v>19177</v>
      </c>
      <c r="N370" t="s">
        <v>97</v>
      </c>
      <c r="O370" t="s">
        <v>937</v>
      </c>
      <c r="P370" t="s">
        <v>12</v>
      </c>
    </row>
    <row r="371">
      <c r="A371">
        <f>HYPERLINK("http://bombeiros.sp.gov.br/hidrantes/03individual/812.html","812")</f>
      </c>
      <c r="B371" t="s">
        <v>12</v>
      </c>
      <c r="C371" t="s">
        <v>63</v>
      </c>
      <c r="D371" t="s">
        <v>77</v>
      </c>
      <c r="E371" t="s">
        <v>64</v>
      </c>
      <c r="F371" t="s">
        <v>2233</v>
      </c>
      <c r="G371" t="s">
        <v>18072</v>
      </c>
      <c r="H371" t="s">
        <v>1107</v>
      </c>
      <c r="I371" t="s">
        <v>1108</v>
      </c>
      <c r="J371" t="s">
        <v>2234</v>
      </c>
      <c r="K371" t="s">
        <v>2235</v>
      </c>
      <c r="L371" t="s">
        <v>36</v>
      </c>
      <c r="M371" t="s">
        <v>19177</v>
      </c>
      <c r="N371" t="s">
        <v>97</v>
      </c>
      <c r="O371" t="s">
        <v>937</v>
      </c>
      <c r="P371" t="s">
        <v>12</v>
      </c>
    </row>
    <row r="372">
      <c r="A372">
        <f>HYPERLINK("http://bombeiros.sp.gov.br/hidrantes/03individual/2829.html","2829")</f>
      </c>
      <c r="B372" t="s">
        <v>12</v>
      </c>
      <c r="C372" t="s">
        <v>63</v>
      </c>
      <c r="D372" t="s">
        <v>77</v>
      </c>
      <c r="E372" t="s">
        <v>64</v>
      </c>
      <c r="F372" t="s">
        <v>2236</v>
      </c>
      <c r="G372" t="s">
        <v>18072</v>
      </c>
      <c r="H372" t="s">
        <v>1121</v>
      </c>
      <c r="I372" t="s">
        <v>1117</v>
      </c>
      <c r="J372" t="s">
        <v>2237</v>
      </c>
      <c r="K372" t="s">
        <v>2238</v>
      </c>
      <c r="L372" t="s">
        <v>36</v>
      </c>
      <c r="M372" t="s">
        <v>19177</v>
      </c>
      <c r="N372" t="s">
        <v>97</v>
      </c>
      <c r="O372" t="s">
        <v>937</v>
      </c>
      <c r="P372" t="s">
        <v>12</v>
      </c>
    </row>
    <row r="373">
      <c r="A373">
        <f>HYPERLINK("http://bombeiros.sp.gov.br/hidrantes/03individual/2830.html","2830")</f>
      </c>
      <c r="B373" t="s">
        <v>12</v>
      </c>
      <c r="C373" t="s">
        <v>63</v>
      </c>
      <c r="D373" t="s">
        <v>77</v>
      </c>
      <c r="E373" t="s">
        <v>64</v>
      </c>
      <c r="F373" t="s">
        <v>2239</v>
      </c>
      <c r="G373" t="s">
        <v>18072</v>
      </c>
      <c r="H373" t="s">
        <v>1107</v>
      </c>
      <c r="I373" t="s">
        <v>1108</v>
      </c>
      <c r="J373" t="s">
        <v>17009</v>
      </c>
      <c r="K373" t="s">
        <v>17010</v>
      </c>
      <c r="L373" t="s">
        <v>21</v>
      </c>
      <c r="M373" t="s">
        <v>19177</v>
      </c>
      <c r="N373" t="s">
        <v>97</v>
      </c>
      <c r="O373" t="s">
        <v>937</v>
      </c>
      <c r="P373" t="s">
        <v>12</v>
      </c>
    </row>
    <row r="374">
      <c r="A374">
        <f>HYPERLINK("http://bombeiros.sp.gov.br/hidrantes/03individual/2847.html","2847")</f>
      </c>
      <c r="B374" t="s">
        <v>12</v>
      </c>
      <c r="C374" t="s">
        <v>63</v>
      </c>
      <c r="D374" t="s">
        <v>77</v>
      </c>
      <c r="E374" t="s">
        <v>64</v>
      </c>
      <c r="F374" t="s">
        <v>2242</v>
      </c>
      <c r="G374" t="s">
        <v>18057</v>
      </c>
      <c r="H374" t="s">
        <v>1121</v>
      </c>
      <c r="I374" t="s">
        <v>1117</v>
      </c>
      <c r="J374" t="s">
        <v>2243</v>
      </c>
      <c r="K374" t="s">
        <v>2244</v>
      </c>
      <c r="L374" t="s">
        <v>36</v>
      </c>
      <c r="M374" t="s">
        <v>19177</v>
      </c>
      <c r="N374" t="s">
        <v>97</v>
      </c>
      <c r="O374" t="s">
        <v>937</v>
      </c>
      <c r="P374" t="s">
        <v>12</v>
      </c>
    </row>
    <row r="375">
      <c r="A375">
        <f>HYPERLINK("http://bombeiros.sp.gov.br/hidrantes/03individual/2848.html","2848")</f>
      </c>
      <c r="B375" t="s">
        <v>12</v>
      </c>
      <c r="C375" t="s">
        <v>63</v>
      </c>
      <c r="D375" t="s">
        <v>77</v>
      </c>
      <c r="E375" t="s">
        <v>64</v>
      </c>
      <c r="F375" t="s">
        <v>2245</v>
      </c>
      <c r="G375" t="s">
        <v>18057</v>
      </c>
      <c r="H375" t="s">
        <v>1121</v>
      </c>
      <c r="I375" t="s">
        <v>1117</v>
      </c>
      <c r="J375" t="s">
        <v>2246</v>
      </c>
      <c r="K375" t="s">
        <v>2247</v>
      </c>
      <c r="L375" t="s">
        <v>36</v>
      </c>
      <c r="M375" t="s">
        <v>19177</v>
      </c>
      <c r="N375" t="s">
        <v>97</v>
      </c>
      <c r="O375" t="s">
        <v>937</v>
      </c>
      <c r="P375" t="s">
        <v>12</v>
      </c>
    </row>
    <row r="376">
      <c r="A376">
        <f>HYPERLINK("http://bombeiros.sp.gov.br/hidrantes/03individual/2901.html","2901")</f>
      </c>
      <c r="B376" t="s">
        <v>12</v>
      </c>
      <c r="C376" t="s">
        <v>63</v>
      </c>
      <c r="D376" t="s">
        <v>77</v>
      </c>
      <c r="E376" t="s">
        <v>64</v>
      </c>
      <c r="F376" t="s">
        <v>2248</v>
      </c>
      <c r="G376" t="s">
        <v>18068</v>
      </c>
      <c r="H376" t="s">
        <v>1107</v>
      </c>
      <c r="I376" t="s">
        <v>1108</v>
      </c>
      <c r="J376" t="s">
        <v>18185</v>
      </c>
      <c r="K376" t="s">
        <v>18186</v>
      </c>
      <c r="L376" t="s">
        <v>36</v>
      </c>
      <c r="M376" t="s">
        <v>19177</v>
      </c>
      <c r="N376" t="s">
        <v>97</v>
      </c>
      <c r="O376" t="s">
        <v>937</v>
      </c>
      <c r="P376" t="s">
        <v>12</v>
      </c>
    </row>
    <row r="377">
      <c r="A377">
        <f>HYPERLINK("http://bombeiros.sp.gov.br/hidrantes/03individual/2939.html","2939")</f>
      </c>
      <c r="B377" t="s">
        <v>12</v>
      </c>
      <c r="C377" t="s">
        <v>63</v>
      </c>
      <c r="D377" t="s">
        <v>77</v>
      </c>
      <c r="E377" t="s">
        <v>64</v>
      </c>
      <c r="F377" t="s">
        <v>2252</v>
      </c>
      <c r="G377" t="s">
        <v>18043</v>
      </c>
      <c r="H377" t="s">
        <v>1121</v>
      </c>
      <c r="I377" t="s">
        <v>1117</v>
      </c>
      <c r="J377" t="s">
        <v>16004</v>
      </c>
      <c r="K377" t="s">
        <v>16005</v>
      </c>
      <c r="L377" t="s">
        <v>36</v>
      </c>
      <c r="M377" t="s">
        <v>19177</v>
      </c>
      <c r="N377" t="s">
        <v>97</v>
      </c>
      <c r="O377" t="s">
        <v>937</v>
      </c>
      <c r="P377" t="s">
        <v>12</v>
      </c>
    </row>
    <row r="378">
      <c r="A378">
        <f>HYPERLINK("http://bombeiros.sp.gov.br/hidrantes/03individual/2941.html","2941")</f>
      </c>
      <c r="B378" t="s">
        <v>12</v>
      </c>
      <c r="C378" t="s">
        <v>63</v>
      </c>
      <c r="D378" t="s">
        <v>77</v>
      </c>
      <c r="E378" t="s">
        <v>64</v>
      </c>
      <c r="F378" t="s">
        <v>2255</v>
      </c>
      <c r="G378" t="s">
        <v>18067</v>
      </c>
      <c r="H378" t="s">
        <v>1121</v>
      </c>
      <c r="I378" t="s">
        <v>1117</v>
      </c>
      <c r="J378" t="s">
        <v>2256</v>
      </c>
      <c r="K378" t="s">
        <v>2257</v>
      </c>
      <c r="L378" t="s">
        <v>21</v>
      </c>
      <c r="M378" t="s">
        <v>19177</v>
      </c>
      <c r="N378" t="s">
        <v>97</v>
      </c>
      <c r="O378" t="s">
        <v>937</v>
      </c>
      <c r="P378" t="s">
        <v>12</v>
      </c>
    </row>
    <row r="379">
      <c r="A379">
        <f>HYPERLINK("http://bombeiros.sp.gov.br/hidrantes/03individual/2942.html","2942")</f>
      </c>
      <c r="B379" t="s">
        <v>12</v>
      </c>
      <c r="C379" t="s">
        <v>63</v>
      </c>
      <c r="D379" t="s">
        <v>77</v>
      </c>
      <c r="E379" t="s">
        <v>64</v>
      </c>
      <c r="F379" t="s">
        <v>2258</v>
      </c>
      <c r="G379" t="s">
        <v>18067</v>
      </c>
      <c r="H379" t="s">
        <v>1112</v>
      </c>
      <c r="I379" t="s">
        <v>1108</v>
      </c>
      <c r="J379" t="s">
        <v>2259</v>
      </c>
      <c r="K379" t="s">
        <v>2260</v>
      </c>
      <c r="L379" t="s">
        <v>36</v>
      </c>
      <c r="M379" t="s">
        <v>19177</v>
      </c>
      <c r="N379" t="s">
        <v>97</v>
      </c>
      <c r="O379" t="s">
        <v>937</v>
      </c>
      <c r="P379" t="s">
        <v>12</v>
      </c>
    </row>
    <row r="380">
      <c r="A380">
        <f>HYPERLINK("http://bombeiros.sp.gov.br/hidrantes/03individual/2949.html","2949")</f>
      </c>
      <c r="B380" t="s">
        <v>12</v>
      </c>
      <c r="C380" t="s">
        <v>63</v>
      </c>
      <c r="D380" t="s">
        <v>77</v>
      </c>
      <c r="E380" t="s">
        <v>64</v>
      </c>
      <c r="F380" t="s">
        <v>2261</v>
      </c>
      <c r="G380" t="s">
        <v>18143</v>
      </c>
      <c r="H380" t="s">
        <v>1121</v>
      </c>
      <c r="I380" t="s">
        <v>1117</v>
      </c>
      <c r="J380" t="s">
        <v>15980</v>
      </c>
      <c r="K380" t="s">
        <v>15981</v>
      </c>
      <c r="L380" t="s">
        <v>36</v>
      </c>
      <c r="M380" t="s">
        <v>19177</v>
      </c>
      <c r="N380" t="s">
        <v>97</v>
      </c>
      <c r="O380" t="s">
        <v>937</v>
      </c>
      <c r="P380" t="s">
        <v>12</v>
      </c>
    </row>
    <row r="381">
      <c r="A381">
        <f>HYPERLINK("http://bombeiros.sp.gov.br/hidrantes/03individual/14991.html","14991")</f>
      </c>
      <c r="B381" t="s">
        <v>12</v>
      </c>
      <c r="C381" t="s">
        <v>63</v>
      </c>
      <c r="D381" t="s">
        <v>77</v>
      </c>
      <c r="E381" t="s">
        <v>64</v>
      </c>
      <c r="F381" t="s">
        <v>2265</v>
      </c>
      <c r="G381" t="s">
        <v>18057</v>
      </c>
      <c r="H381" t="s">
        <v>1121</v>
      </c>
      <c r="I381" t="s">
        <v>1117</v>
      </c>
      <c r="J381" t="s">
        <v>2266</v>
      </c>
      <c r="K381" t="s">
        <v>2267</v>
      </c>
      <c r="L381" t="s">
        <v>21</v>
      </c>
      <c r="M381" t="s">
        <v>19177</v>
      </c>
      <c r="N381" t="s">
        <v>97</v>
      </c>
      <c r="O381" t="s">
        <v>937</v>
      </c>
      <c r="P381" t="s">
        <v>12</v>
      </c>
    </row>
    <row r="382">
      <c r="A382">
        <f>HYPERLINK("http://bombeiros.sp.gov.br/hidrantes/03individual/26676.html","26676")</f>
      </c>
      <c r="B382" t="s">
        <v>12</v>
      </c>
      <c r="C382" t="s">
        <v>63</v>
      </c>
      <c r="D382" t="s">
        <v>77</v>
      </c>
      <c r="E382" t="s">
        <v>64</v>
      </c>
      <c r="F382" t="s">
        <v>2268</v>
      </c>
      <c r="G382" t="s">
        <v>18187</v>
      </c>
      <c r="H382" t="s">
        <v>1121</v>
      </c>
      <c r="I382" t="s">
        <v>1117</v>
      </c>
      <c r="J382" t="s">
        <v>2269</v>
      </c>
      <c r="K382" t="s">
        <v>2270</v>
      </c>
      <c r="L382" t="s">
        <v>21</v>
      </c>
      <c r="M382" t="s">
        <v>19177</v>
      </c>
      <c r="N382" t="s">
        <v>97</v>
      </c>
      <c r="O382" t="s">
        <v>937</v>
      </c>
      <c r="P382" t="s">
        <v>12</v>
      </c>
    </row>
    <row r="383">
      <c r="A383">
        <f>HYPERLINK("http://bombeiros.sp.gov.br/hidrantes/03individual/27144.html","27144")</f>
      </c>
      <c r="B383" t="s">
        <v>12</v>
      </c>
      <c r="C383" t="s">
        <v>63</v>
      </c>
      <c r="D383" t="s">
        <v>77</v>
      </c>
      <c r="E383" t="s">
        <v>64</v>
      </c>
      <c r="F383" t="s">
        <v>16834</v>
      </c>
      <c r="G383" t="s">
        <v>18187</v>
      </c>
      <c r="H383" t="s">
        <v>1112</v>
      </c>
      <c r="I383" t="s">
        <v>1108</v>
      </c>
      <c r="J383" t="s">
        <v>16835</v>
      </c>
      <c r="K383" t="s">
        <v>16836</v>
      </c>
      <c r="L383" t="s">
        <v>21</v>
      </c>
      <c r="M383" t="s">
        <v>19177</v>
      </c>
      <c r="N383" t="s">
        <v>97</v>
      </c>
      <c r="O383" t="s">
        <v>937</v>
      </c>
      <c r="P383" t="s">
        <v>12</v>
      </c>
    </row>
    <row r="384">
      <c r="A384">
        <f>HYPERLINK("http://bombeiros.sp.gov.br/hidrantes/03individual/527.html","527")</f>
      </c>
      <c r="B384" t="s">
        <v>12</v>
      </c>
      <c r="C384" t="s">
        <v>63</v>
      </c>
      <c r="D384" t="s">
        <v>77</v>
      </c>
      <c r="E384" t="s">
        <v>15</v>
      </c>
      <c r="F384" t="s">
        <v>2271</v>
      </c>
      <c r="G384" t="s">
        <v>18068</v>
      </c>
      <c r="H384" t="s">
        <v>1121</v>
      </c>
      <c r="I384" t="s">
        <v>1117</v>
      </c>
      <c r="J384" t="s">
        <v>2273</v>
      </c>
      <c r="K384" t="s">
        <v>2274</v>
      </c>
      <c r="L384" t="s">
        <v>21</v>
      </c>
      <c r="M384" t="s">
        <v>19177</v>
      </c>
      <c r="N384" t="s">
        <v>97</v>
      </c>
      <c r="O384" t="s">
        <v>937</v>
      </c>
      <c r="P384" t="s">
        <v>12</v>
      </c>
    </row>
    <row r="385">
      <c r="A385">
        <f>HYPERLINK("http://bombeiros.sp.gov.br/hidrantes/03individual/528.html","528")</f>
      </c>
      <c r="B385" t="s">
        <v>12</v>
      </c>
      <c r="C385" t="s">
        <v>63</v>
      </c>
      <c r="D385" t="s">
        <v>77</v>
      </c>
      <c r="E385" t="s">
        <v>15</v>
      </c>
      <c r="F385" t="s">
        <v>2275</v>
      </c>
      <c r="G385" t="s">
        <v>18068</v>
      </c>
      <c r="H385"/>
      <c r="I385" t="s">
        <v>18</v>
      </c>
      <c r="J385" t="s">
        <v>2276</v>
      </c>
      <c r="K385" t="s">
        <v>2277</v>
      </c>
      <c r="L385" t="s">
        <v>21</v>
      </c>
      <c r="M385" t="s">
        <v>19177</v>
      </c>
      <c r="N385" t="s">
        <v>97</v>
      </c>
      <c r="O385" t="s">
        <v>937</v>
      </c>
      <c r="P385" t="s">
        <v>12</v>
      </c>
    </row>
    <row r="386">
      <c r="A386">
        <f>HYPERLINK("http://bombeiros.sp.gov.br/hidrantes/03individual/557.html","557")</f>
      </c>
      <c r="B386" t="s">
        <v>12</v>
      </c>
      <c r="C386" t="s">
        <v>63</v>
      </c>
      <c r="D386" t="s">
        <v>77</v>
      </c>
      <c r="E386" t="s">
        <v>15</v>
      </c>
      <c r="F386" t="s">
        <v>2278</v>
      </c>
      <c r="G386" t="s">
        <v>18068</v>
      </c>
      <c r="H386" t="s">
        <v>1107</v>
      </c>
      <c r="I386" t="s">
        <v>1108</v>
      </c>
      <c r="J386" t="s">
        <v>2279</v>
      </c>
      <c r="K386" t="s">
        <v>2280</v>
      </c>
      <c r="L386" t="s">
        <v>21</v>
      </c>
      <c r="M386" t="s">
        <v>19177</v>
      </c>
      <c r="N386" t="s">
        <v>97</v>
      </c>
      <c r="O386" t="s">
        <v>937</v>
      </c>
      <c r="P386" t="s">
        <v>12</v>
      </c>
    </row>
    <row r="387">
      <c r="A387">
        <f>HYPERLINK("http://bombeiros.sp.gov.br/hidrantes/03individual/587.html","587")</f>
      </c>
      <c r="B387" t="s">
        <v>12</v>
      </c>
      <c r="C387" t="s">
        <v>63</v>
      </c>
      <c r="D387" t="s">
        <v>77</v>
      </c>
      <c r="E387" t="s">
        <v>15</v>
      </c>
      <c r="F387" t="s">
        <v>2281</v>
      </c>
      <c r="G387" t="s">
        <v>18068</v>
      </c>
      <c r="H387" t="s">
        <v>1107</v>
      </c>
      <c r="I387" t="s">
        <v>1108</v>
      </c>
      <c r="J387" t="s">
        <v>2282</v>
      </c>
      <c r="K387" t="s">
        <v>2283</v>
      </c>
      <c r="L387" t="s">
        <v>36</v>
      </c>
      <c r="M387" t="s">
        <v>19177</v>
      </c>
      <c r="N387" t="s">
        <v>97</v>
      </c>
      <c r="O387" t="s">
        <v>937</v>
      </c>
      <c r="P387" t="s">
        <v>12</v>
      </c>
    </row>
    <row r="388">
      <c r="A388">
        <f>HYPERLINK("http://bombeiros.sp.gov.br/hidrantes/03individual/682.html","682")</f>
      </c>
      <c r="B388" t="s">
        <v>12</v>
      </c>
      <c r="C388" t="s">
        <v>63</v>
      </c>
      <c r="D388" t="s">
        <v>77</v>
      </c>
      <c r="E388" t="s">
        <v>15</v>
      </c>
      <c r="F388" t="s">
        <v>2284</v>
      </c>
      <c r="G388" t="s">
        <v>18068</v>
      </c>
      <c r="H388" t="s">
        <v>1174</v>
      </c>
      <c r="I388" t="s">
        <v>1108</v>
      </c>
      <c r="J388" t="s">
        <v>2285</v>
      </c>
      <c r="K388" t="s">
        <v>2286</v>
      </c>
      <c r="L388" t="s">
        <v>21</v>
      </c>
      <c r="M388" t="s">
        <v>19177</v>
      </c>
      <c r="N388" t="s">
        <v>97</v>
      </c>
      <c r="O388" t="s">
        <v>937</v>
      </c>
      <c r="P388" t="s">
        <v>12</v>
      </c>
    </row>
    <row r="389">
      <c r="A389">
        <f>HYPERLINK("http://bombeiros.sp.gov.br/hidrantes/03individual/733.html","733")</f>
      </c>
      <c r="B389" t="s">
        <v>12</v>
      </c>
      <c r="C389" t="s">
        <v>63</v>
      </c>
      <c r="D389" t="s">
        <v>77</v>
      </c>
      <c r="E389" t="s">
        <v>15</v>
      </c>
      <c r="F389" t="s">
        <v>2287</v>
      </c>
      <c r="G389" t="s">
        <v>18068</v>
      </c>
      <c r="H389" t="s">
        <v>1174</v>
      </c>
      <c r="I389" t="s">
        <v>1117</v>
      </c>
      <c r="J389" t="s">
        <v>2288</v>
      </c>
      <c r="K389" t="s">
        <v>2289</v>
      </c>
      <c r="L389" t="s">
        <v>21</v>
      </c>
      <c r="M389" t="s">
        <v>19177</v>
      </c>
      <c r="N389" t="s">
        <v>97</v>
      </c>
      <c r="O389" t="s">
        <v>937</v>
      </c>
      <c r="P389" t="s">
        <v>12</v>
      </c>
    </row>
    <row r="390">
      <c r="A390">
        <f>HYPERLINK("http://bombeiros.sp.gov.br/hidrantes/03individual/734.html","734")</f>
      </c>
      <c r="B390" t="s">
        <v>12</v>
      </c>
      <c r="C390" t="s">
        <v>63</v>
      </c>
      <c r="D390" t="s">
        <v>77</v>
      </c>
      <c r="E390" t="s">
        <v>15</v>
      </c>
      <c r="F390" t="s">
        <v>2290</v>
      </c>
      <c r="G390" t="s">
        <v>18068</v>
      </c>
      <c r="H390" t="s">
        <v>1107</v>
      </c>
      <c r="I390" t="s">
        <v>1108</v>
      </c>
      <c r="J390" t="s">
        <v>2291</v>
      </c>
      <c r="K390" t="s">
        <v>2292</v>
      </c>
      <c r="L390" t="s">
        <v>21</v>
      </c>
      <c r="M390" t="s">
        <v>19177</v>
      </c>
      <c r="N390" t="s">
        <v>97</v>
      </c>
      <c r="O390" t="s">
        <v>937</v>
      </c>
      <c r="P390" t="s">
        <v>12</v>
      </c>
    </row>
    <row r="391">
      <c r="A391">
        <f>HYPERLINK("http://bombeiros.sp.gov.br/hidrantes/03individual/737.html","737")</f>
      </c>
      <c r="B391" t="s">
        <v>12</v>
      </c>
      <c r="C391" t="s">
        <v>63</v>
      </c>
      <c r="D391" t="s">
        <v>77</v>
      </c>
      <c r="E391" t="s">
        <v>15</v>
      </c>
      <c r="F391" t="s">
        <v>2293</v>
      </c>
      <c r="G391" t="s">
        <v>18068</v>
      </c>
      <c r="H391" t="s">
        <v>1107</v>
      </c>
      <c r="I391" t="s">
        <v>1108</v>
      </c>
      <c r="J391" t="s">
        <v>2294</v>
      </c>
      <c r="K391" t="s">
        <v>2295</v>
      </c>
      <c r="L391" t="s">
        <v>21</v>
      </c>
      <c r="M391" t="s">
        <v>19177</v>
      </c>
      <c r="N391" t="s">
        <v>97</v>
      </c>
      <c r="O391" t="s">
        <v>937</v>
      </c>
      <c r="P391" t="s">
        <v>12</v>
      </c>
    </row>
    <row r="392">
      <c r="A392">
        <f>HYPERLINK("http://bombeiros.sp.gov.br/hidrantes/03individual/890.html","890")</f>
      </c>
      <c r="B392" t="s">
        <v>12</v>
      </c>
      <c r="C392" t="s">
        <v>63</v>
      </c>
      <c r="D392" t="s">
        <v>77</v>
      </c>
      <c r="E392" t="s">
        <v>15</v>
      </c>
      <c r="F392" t="s">
        <v>78</v>
      </c>
      <c r="G392" t="s">
        <v>18089</v>
      </c>
      <c r="H392"/>
      <c r="I392" t="s">
        <v>18</v>
      </c>
      <c r="J392" t="s">
        <v>80</v>
      </c>
      <c r="K392" t="s">
        <v>81</v>
      </c>
      <c r="L392" t="s">
        <v>21</v>
      </c>
      <c r="M392" t="s">
        <v>19177</v>
      </c>
      <c r="N392" t="s">
        <v>97</v>
      </c>
      <c r="O392" t="s">
        <v>937</v>
      </c>
      <c r="P392" t="s">
        <v>12</v>
      </c>
    </row>
    <row r="393">
      <c r="A393">
        <f>HYPERLINK("http://bombeiros.sp.gov.br/hidrantes/03individual/2658.html","2658")</f>
      </c>
      <c r="B393" t="s">
        <v>12</v>
      </c>
      <c r="C393" t="s">
        <v>63</v>
      </c>
      <c r="D393" t="s">
        <v>77</v>
      </c>
      <c r="E393" t="s">
        <v>15</v>
      </c>
      <c r="F393" t="s">
        <v>2296</v>
      </c>
      <c r="G393" t="s">
        <v>18072</v>
      </c>
      <c r="H393" t="s">
        <v>1107</v>
      </c>
      <c r="I393" t="s">
        <v>1108</v>
      </c>
      <c r="J393" t="s">
        <v>2297</v>
      </c>
      <c r="K393" t="s">
        <v>2298</v>
      </c>
      <c r="L393" t="s">
        <v>36</v>
      </c>
      <c r="M393" t="s">
        <v>19177</v>
      </c>
      <c r="N393" t="s">
        <v>97</v>
      </c>
      <c r="O393" t="s">
        <v>937</v>
      </c>
      <c r="P393" t="s">
        <v>12</v>
      </c>
    </row>
    <row r="394">
      <c r="A394">
        <f>HYPERLINK("http://bombeiros.sp.gov.br/hidrantes/03individual/2831.html","2831")</f>
      </c>
      <c r="B394" t="s">
        <v>12</v>
      </c>
      <c r="C394" t="s">
        <v>63</v>
      </c>
      <c r="D394" t="s">
        <v>77</v>
      </c>
      <c r="E394" t="s">
        <v>15</v>
      </c>
      <c r="F394" t="s">
        <v>2299</v>
      </c>
      <c r="G394" t="s">
        <v>18072</v>
      </c>
      <c r="H394" t="s">
        <v>1174</v>
      </c>
      <c r="I394" t="s">
        <v>1108</v>
      </c>
      <c r="J394" t="s">
        <v>2300</v>
      </c>
      <c r="K394" t="s">
        <v>2301</v>
      </c>
      <c r="L394" t="s">
        <v>36</v>
      </c>
      <c r="M394" t="s">
        <v>19177</v>
      </c>
      <c r="N394" t="s">
        <v>97</v>
      </c>
      <c r="O394" t="s">
        <v>937</v>
      </c>
      <c r="P394" t="s">
        <v>12</v>
      </c>
    </row>
    <row r="395">
      <c r="A395">
        <f>HYPERLINK("http://bombeiros.sp.gov.br/hidrantes/03individual/2837.html","2837")</f>
      </c>
      <c r="B395" t="s">
        <v>12</v>
      </c>
      <c r="C395" t="s">
        <v>63</v>
      </c>
      <c r="D395" t="s">
        <v>77</v>
      </c>
      <c r="E395" t="s">
        <v>15</v>
      </c>
      <c r="F395" t="s">
        <v>2302</v>
      </c>
      <c r="G395" t="s">
        <v>18057</v>
      </c>
      <c r="H395" t="s">
        <v>1107</v>
      </c>
      <c r="I395" t="s">
        <v>1108</v>
      </c>
      <c r="J395" t="s">
        <v>16028</v>
      </c>
      <c r="K395" t="s">
        <v>16029</v>
      </c>
      <c r="L395" t="s">
        <v>21</v>
      </c>
      <c r="M395" t="s">
        <v>19177</v>
      </c>
      <c r="N395" t="s">
        <v>97</v>
      </c>
      <c r="O395" t="s">
        <v>937</v>
      </c>
      <c r="P395" t="s">
        <v>12</v>
      </c>
    </row>
    <row r="396">
      <c r="A396">
        <f>HYPERLINK("http://bombeiros.sp.gov.br/hidrantes/03individual/2839.html","2839")</f>
      </c>
      <c r="B396" t="s">
        <v>12</v>
      </c>
      <c r="C396" t="s">
        <v>63</v>
      </c>
      <c r="D396" t="s">
        <v>77</v>
      </c>
      <c r="E396" t="s">
        <v>15</v>
      </c>
      <c r="F396" t="s">
        <v>82</v>
      </c>
      <c r="G396" t="s">
        <v>18187</v>
      </c>
      <c r="H396" t="s">
        <v>1107</v>
      </c>
      <c r="I396" t="s">
        <v>1108</v>
      </c>
      <c r="J396" t="s">
        <v>16006</v>
      </c>
      <c r="K396" t="s">
        <v>16007</v>
      </c>
      <c r="L396" t="s">
        <v>36</v>
      </c>
      <c r="M396" t="s">
        <v>19177</v>
      </c>
      <c r="N396" t="s">
        <v>97</v>
      </c>
      <c r="O396" t="s">
        <v>937</v>
      </c>
      <c r="P396" t="s">
        <v>12</v>
      </c>
    </row>
    <row r="397">
      <c r="A397">
        <f>HYPERLINK("http://bombeiros.sp.gov.br/hidrantes/03individual/2903.html","2903")</f>
      </c>
      <c r="B397" t="s">
        <v>12</v>
      </c>
      <c r="C397" t="s">
        <v>63</v>
      </c>
      <c r="D397" t="s">
        <v>77</v>
      </c>
      <c r="E397" t="s">
        <v>15</v>
      </c>
      <c r="F397" t="s">
        <v>2311</v>
      </c>
      <c r="G397" t="s">
        <v>18143</v>
      </c>
      <c r="H397" t="s">
        <v>1174</v>
      </c>
      <c r="I397" t="s">
        <v>1108</v>
      </c>
      <c r="J397" t="s">
        <v>2312</v>
      </c>
      <c r="K397" t="s">
        <v>2313</v>
      </c>
      <c r="L397" t="s">
        <v>21</v>
      </c>
      <c r="M397" t="s">
        <v>19177</v>
      </c>
      <c r="N397" t="s">
        <v>97</v>
      </c>
      <c r="O397" t="s">
        <v>937</v>
      </c>
      <c r="P397" t="s">
        <v>12</v>
      </c>
    </row>
    <row r="398">
      <c r="A398">
        <f>HYPERLINK("http://bombeiros.sp.gov.br/hidrantes/03individual/2931.html","2931")</f>
      </c>
      <c r="B398" t="s">
        <v>12</v>
      </c>
      <c r="C398" t="s">
        <v>63</v>
      </c>
      <c r="D398" t="s">
        <v>77</v>
      </c>
      <c r="E398" t="s">
        <v>15</v>
      </c>
      <c r="F398" t="s">
        <v>2314</v>
      </c>
      <c r="G398" t="s">
        <v>18046</v>
      </c>
      <c r="H398" t="s">
        <v>1112</v>
      </c>
      <c r="I398" t="s">
        <v>1108</v>
      </c>
      <c r="J398" t="s">
        <v>2315</v>
      </c>
      <c r="K398" t="s">
        <v>2316</v>
      </c>
      <c r="L398" t="s">
        <v>21</v>
      </c>
      <c r="M398" t="s">
        <v>19177</v>
      </c>
      <c r="N398" t="s">
        <v>97</v>
      </c>
      <c r="O398" t="s">
        <v>937</v>
      </c>
      <c r="P398" t="s">
        <v>12</v>
      </c>
    </row>
    <row r="399">
      <c r="A399">
        <f>HYPERLINK("http://bombeiros.sp.gov.br/hidrantes/03individual/2947.html","2947")</f>
      </c>
      <c r="B399" t="s">
        <v>12</v>
      </c>
      <c r="C399" t="s">
        <v>63</v>
      </c>
      <c r="D399" t="s">
        <v>77</v>
      </c>
      <c r="E399" t="s">
        <v>15</v>
      </c>
      <c r="F399" t="s">
        <v>2317</v>
      </c>
      <c r="G399" t="s">
        <v>18043</v>
      </c>
      <c r="H399" t="s">
        <v>1107</v>
      </c>
      <c r="I399" t="s">
        <v>1108</v>
      </c>
      <c r="J399" t="s">
        <v>2318</v>
      </c>
      <c r="K399" t="s">
        <v>2319</v>
      </c>
      <c r="L399" t="s">
        <v>21</v>
      </c>
      <c r="M399" t="s">
        <v>19177</v>
      </c>
      <c r="N399" t="s">
        <v>97</v>
      </c>
      <c r="O399" t="s">
        <v>937</v>
      </c>
      <c r="P399" t="s">
        <v>12</v>
      </c>
    </row>
    <row r="400">
      <c r="A400">
        <f>HYPERLINK("http://bombeiros.sp.gov.br/hidrantes/03individual/16634.html","16634")</f>
      </c>
      <c r="B400" t="s">
        <v>12</v>
      </c>
      <c r="C400" t="s">
        <v>63</v>
      </c>
      <c r="D400" t="s">
        <v>77</v>
      </c>
      <c r="E400" t="s">
        <v>15</v>
      </c>
      <c r="F400" t="s">
        <v>2320</v>
      </c>
      <c r="G400" t="s">
        <v>18046</v>
      </c>
      <c r="H400" t="s">
        <v>1112</v>
      </c>
      <c r="I400" t="s">
        <v>1108</v>
      </c>
      <c r="J400" t="s">
        <v>2321</v>
      </c>
      <c r="K400" t="s">
        <v>2322</v>
      </c>
      <c r="L400" t="s">
        <v>21</v>
      </c>
      <c r="M400" t="s">
        <v>19177</v>
      </c>
      <c r="N400" t="s">
        <v>97</v>
      </c>
      <c r="O400" t="s">
        <v>937</v>
      </c>
      <c r="P400" t="s">
        <v>12</v>
      </c>
    </row>
    <row r="401">
      <c r="A401">
        <f>HYPERLINK("http://bombeiros.sp.gov.br/hidrantes/03individual/16635.html","16635")</f>
      </c>
      <c r="B401" t="s">
        <v>12</v>
      </c>
      <c r="C401" t="s">
        <v>63</v>
      </c>
      <c r="D401" t="s">
        <v>77</v>
      </c>
      <c r="E401" t="s">
        <v>15</v>
      </c>
      <c r="F401" t="s">
        <v>2323</v>
      </c>
      <c r="G401" t="s">
        <v>18068</v>
      </c>
      <c r="H401" t="s">
        <v>1107</v>
      </c>
      <c r="I401" t="s">
        <v>1108</v>
      </c>
      <c r="J401" t="s">
        <v>2324</v>
      </c>
      <c r="K401" t="s">
        <v>2325</v>
      </c>
      <c r="L401" t="s">
        <v>21</v>
      </c>
      <c r="M401" t="s">
        <v>19177</v>
      </c>
      <c r="N401" t="s">
        <v>97</v>
      </c>
      <c r="O401" t="s">
        <v>937</v>
      </c>
      <c r="P401" t="s">
        <v>12</v>
      </c>
    </row>
    <row r="402">
      <c r="A402">
        <f>HYPERLINK("http://bombeiros.sp.gov.br/hidrantes/03individual/17717.html","17717")</f>
      </c>
      <c r="B402" t="s">
        <v>12</v>
      </c>
      <c r="C402" t="s">
        <v>63</v>
      </c>
      <c r="D402" t="s">
        <v>77</v>
      </c>
      <c r="E402" t="s">
        <v>15</v>
      </c>
      <c r="F402" t="s">
        <v>2326</v>
      </c>
      <c r="G402" t="s">
        <v>18068</v>
      </c>
      <c r="H402" t="s">
        <v>1174</v>
      </c>
      <c r="I402" t="s">
        <v>1108</v>
      </c>
      <c r="J402" t="s">
        <v>2327</v>
      </c>
      <c r="K402" t="s">
        <v>2328</v>
      </c>
      <c r="L402" t="s">
        <v>21</v>
      </c>
      <c r="M402" t="s">
        <v>19177</v>
      </c>
      <c r="N402" t="s">
        <v>97</v>
      </c>
      <c r="O402" t="s">
        <v>937</v>
      </c>
      <c r="P402" t="s">
        <v>12</v>
      </c>
    </row>
    <row r="403">
      <c r="A403">
        <f>HYPERLINK("http://bombeiros.sp.gov.br/hidrantes/03individual/23060.html","23060")</f>
      </c>
      <c r="B403" t="s">
        <v>12</v>
      </c>
      <c r="C403" t="s">
        <v>63</v>
      </c>
      <c r="D403" t="s">
        <v>77</v>
      </c>
      <c r="E403" t="s">
        <v>15</v>
      </c>
      <c r="F403" t="s">
        <v>2329</v>
      </c>
      <c r="G403" t="s">
        <v>18043</v>
      </c>
      <c r="H403" t="s">
        <v>1107</v>
      </c>
      <c r="I403" t="s">
        <v>1108</v>
      </c>
      <c r="J403" t="s">
        <v>2330</v>
      </c>
      <c r="K403" t="s">
        <v>2331</v>
      </c>
      <c r="L403" t="s">
        <v>21</v>
      </c>
      <c r="M403" t="s">
        <v>19177</v>
      </c>
      <c r="N403" t="s">
        <v>97</v>
      </c>
      <c r="O403" t="s">
        <v>937</v>
      </c>
      <c r="P403" t="s">
        <v>12</v>
      </c>
    </row>
    <row r="404">
      <c r="A404">
        <f>HYPERLINK("http://bombeiros.sp.gov.br/hidrantes/03individual/793.html","793")</f>
      </c>
      <c r="B404" t="s">
        <v>12</v>
      </c>
      <c r="C404" t="s">
        <v>92</v>
      </c>
      <c r="D404" t="s">
        <v>2332</v>
      </c>
      <c r="E404" t="s">
        <v>64</v>
      </c>
      <c r="F404" t="s">
        <v>2333</v>
      </c>
      <c r="G404" t="s">
        <v>18050</v>
      </c>
      <c r="H404" t="s">
        <v>1107</v>
      </c>
      <c r="I404" t="s">
        <v>1108</v>
      </c>
      <c r="J404" t="s">
        <v>2334</v>
      </c>
      <c r="K404" t="s">
        <v>2335</v>
      </c>
      <c r="L404" t="s">
        <v>36</v>
      </c>
      <c r="M404" t="s">
        <v>19177</v>
      </c>
      <c r="N404" t="s">
        <v>97</v>
      </c>
      <c r="O404" t="s">
        <v>937</v>
      </c>
      <c r="P404" t="s">
        <v>12</v>
      </c>
    </row>
    <row r="405">
      <c r="A405">
        <f>HYPERLINK("http://bombeiros.sp.gov.br/hidrantes/03individual/2885.html","2885")</f>
      </c>
      <c r="B405" t="s">
        <v>12</v>
      </c>
      <c r="C405" t="s">
        <v>92</v>
      </c>
      <c r="D405" t="s">
        <v>2332</v>
      </c>
      <c r="E405" t="s">
        <v>64</v>
      </c>
      <c r="F405" t="s">
        <v>2336</v>
      </c>
      <c r="G405" t="s">
        <v>18182</v>
      </c>
      <c r="H405" t="s">
        <v>1107</v>
      </c>
      <c r="I405" t="s">
        <v>1108</v>
      </c>
      <c r="J405" t="s">
        <v>2337</v>
      </c>
      <c r="K405" t="s">
        <v>2338</v>
      </c>
      <c r="L405" t="s">
        <v>21</v>
      </c>
      <c r="M405" t="s">
        <v>19177</v>
      </c>
      <c r="N405" t="s">
        <v>97</v>
      </c>
      <c r="O405" t="s">
        <v>937</v>
      </c>
      <c r="P405" t="s">
        <v>12</v>
      </c>
    </row>
    <row r="406">
      <c r="A406">
        <f>HYPERLINK("http://bombeiros.sp.gov.br/hidrantes/03individual/2919.html","2919")</f>
      </c>
      <c r="B406" t="s">
        <v>12</v>
      </c>
      <c r="C406" t="s">
        <v>92</v>
      </c>
      <c r="D406" t="s">
        <v>2332</v>
      </c>
      <c r="E406" t="s">
        <v>64</v>
      </c>
      <c r="F406" t="s">
        <v>2339</v>
      </c>
      <c r="G406" t="s">
        <v>18057</v>
      </c>
      <c r="H406" t="s">
        <v>1121</v>
      </c>
      <c r="I406" t="s">
        <v>1117</v>
      </c>
      <c r="J406" t="s">
        <v>2341</v>
      </c>
      <c r="K406" t="s">
        <v>2342</v>
      </c>
      <c r="L406" t="s">
        <v>36</v>
      </c>
      <c r="M406" t="s">
        <v>19177</v>
      </c>
      <c r="N406" t="s">
        <v>97</v>
      </c>
      <c r="O406" t="s">
        <v>937</v>
      </c>
      <c r="P406" t="s">
        <v>12</v>
      </c>
    </row>
    <row r="407">
      <c r="A407">
        <f>HYPERLINK("http://bombeiros.sp.gov.br/hidrantes/03individual/2920.html","2920")</f>
      </c>
      <c r="B407" t="s">
        <v>12</v>
      </c>
      <c r="C407" t="s">
        <v>92</v>
      </c>
      <c r="D407" t="s">
        <v>2332</v>
      </c>
      <c r="E407" t="s">
        <v>64</v>
      </c>
      <c r="F407" t="s">
        <v>2343</v>
      </c>
      <c r="G407" t="s">
        <v>18182</v>
      </c>
      <c r="H407" t="s">
        <v>1174</v>
      </c>
      <c r="I407" t="s">
        <v>1117</v>
      </c>
      <c r="J407" t="s">
        <v>2344</v>
      </c>
      <c r="K407" t="s">
        <v>2345</v>
      </c>
      <c r="L407" t="s">
        <v>21</v>
      </c>
      <c r="M407" t="s">
        <v>19177</v>
      </c>
      <c r="N407" t="s">
        <v>97</v>
      </c>
      <c r="O407" t="s">
        <v>937</v>
      </c>
      <c r="P407" t="s">
        <v>12</v>
      </c>
    </row>
    <row r="408">
      <c r="A408">
        <f>HYPERLINK("http://bombeiros.sp.gov.br/hidrantes/03individual/2921.html","2921")</f>
      </c>
      <c r="B408" t="s">
        <v>12</v>
      </c>
      <c r="C408" t="s">
        <v>92</v>
      </c>
      <c r="D408" t="s">
        <v>2332</v>
      </c>
      <c r="E408" t="s">
        <v>64</v>
      </c>
      <c r="F408" t="s">
        <v>2346</v>
      </c>
      <c r="G408" t="s">
        <v>18182</v>
      </c>
      <c r="H408" t="s">
        <v>1107</v>
      </c>
      <c r="I408" t="s">
        <v>1108</v>
      </c>
      <c r="J408" t="s">
        <v>2347</v>
      </c>
      <c r="K408" t="s">
        <v>2348</v>
      </c>
      <c r="L408" t="s">
        <v>21</v>
      </c>
      <c r="M408" t="s">
        <v>19177</v>
      </c>
      <c r="N408" t="s">
        <v>97</v>
      </c>
      <c r="O408" t="s">
        <v>937</v>
      </c>
      <c r="P408" t="s">
        <v>12</v>
      </c>
    </row>
    <row r="409">
      <c r="A409">
        <f>HYPERLINK("http://bombeiros.sp.gov.br/hidrantes/03individual/251.html","251")</f>
      </c>
      <c r="B409" t="s">
        <v>12</v>
      </c>
      <c r="C409" t="s">
        <v>92</v>
      </c>
      <c r="D409" t="s">
        <v>2332</v>
      </c>
      <c r="E409" t="s">
        <v>15</v>
      </c>
      <c r="F409" t="s">
        <v>2349</v>
      </c>
      <c r="G409" t="s">
        <v>18050</v>
      </c>
      <c r="H409" t="s">
        <v>1107</v>
      </c>
      <c r="I409" t="s">
        <v>1108</v>
      </c>
      <c r="J409" t="s">
        <v>2350</v>
      </c>
      <c r="K409" t="s">
        <v>2351</v>
      </c>
      <c r="L409" t="s">
        <v>21</v>
      </c>
      <c r="M409" t="s">
        <v>19177</v>
      </c>
      <c r="N409" t="s">
        <v>714</v>
      </c>
      <c r="O409" t="s">
        <v>10263</v>
      </c>
      <c r="P409" t="s">
        <v>12</v>
      </c>
    </row>
    <row r="410">
      <c r="A410">
        <f>HYPERLINK("http://bombeiros.sp.gov.br/hidrantes/03individual/521.html","521")</f>
      </c>
      <c r="B410" t="s">
        <v>12</v>
      </c>
      <c r="C410" t="s">
        <v>92</v>
      </c>
      <c r="D410" t="s">
        <v>2332</v>
      </c>
      <c r="E410" t="s">
        <v>15</v>
      </c>
      <c r="F410" t="s">
        <v>19055</v>
      </c>
      <c r="G410" t="s">
        <v>18050</v>
      </c>
      <c r="H410" t="s">
        <v>1107</v>
      </c>
      <c r="I410" t="s">
        <v>1108</v>
      </c>
      <c r="J410" t="s">
        <v>19056</v>
      </c>
      <c r="K410" t="s">
        <v>19057</v>
      </c>
      <c r="L410" t="s">
        <v>21</v>
      </c>
      <c r="M410" t="s">
        <v>19177</v>
      </c>
      <c r="N410" t="s">
        <v>714</v>
      </c>
      <c r="O410" t="s">
        <v>10263</v>
      </c>
      <c r="P410" t="s">
        <v>12</v>
      </c>
    </row>
    <row r="411">
      <c r="A411">
        <f>HYPERLINK("http://bombeiros.sp.gov.br/hidrantes/03individual/530.html","530")</f>
      </c>
      <c r="B411" t="s">
        <v>12</v>
      </c>
      <c r="C411" t="s">
        <v>92</v>
      </c>
      <c r="D411" t="s">
        <v>2332</v>
      </c>
      <c r="E411" t="s">
        <v>15</v>
      </c>
      <c r="F411" t="s">
        <v>2355</v>
      </c>
      <c r="G411" t="s">
        <v>18050</v>
      </c>
      <c r="H411" t="s">
        <v>1107</v>
      </c>
      <c r="I411" t="s">
        <v>1108</v>
      </c>
      <c r="J411" t="s">
        <v>2356</v>
      </c>
      <c r="K411" t="s">
        <v>2357</v>
      </c>
      <c r="L411" t="s">
        <v>21</v>
      </c>
      <c r="M411" t="s">
        <v>19177</v>
      </c>
      <c r="N411" t="s">
        <v>714</v>
      </c>
      <c r="O411" t="s">
        <v>10263</v>
      </c>
      <c r="P411" t="s">
        <v>12</v>
      </c>
    </row>
    <row r="412">
      <c r="A412">
        <f>HYPERLINK("http://bombeiros.sp.gov.br/hidrantes/03individual/559.html","559")</f>
      </c>
      <c r="B412" t="s">
        <v>12</v>
      </c>
      <c r="C412" t="s">
        <v>92</v>
      </c>
      <c r="D412" t="s">
        <v>2332</v>
      </c>
      <c r="E412" t="s">
        <v>15</v>
      </c>
      <c r="F412" t="s">
        <v>2358</v>
      </c>
      <c r="G412" t="s">
        <v>18050</v>
      </c>
      <c r="H412" t="s">
        <v>1107</v>
      </c>
      <c r="I412" t="s">
        <v>1108</v>
      </c>
      <c r="J412" t="s">
        <v>2359</v>
      </c>
      <c r="K412" t="s">
        <v>2360</v>
      </c>
      <c r="L412" t="s">
        <v>36</v>
      </c>
      <c r="M412" t="s">
        <v>19177</v>
      </c>
      <c r="N412" t="s">
        <v>97</v>
      </c>
      <c r="O412" t="s">
        <v>937</v>
      </c>
      <c r="P412" t="s">
        <v>12</v>
      </c>
    </row>
    <row r="413">
      <c r="A413">
        <f>HYPERLINK("http://bombeiros.sp.gov.br/hidrantes/03individual/600.html","600")</f>
      </c>
      <c r="B413" t="s">
        <v>12</v>
      </c>
      <c r="C413" t="s">
        <v>92</v>
      </c>
      <c r="D413" t="s">
        <v>2332</v>
      </c>
      <c r="E413" t="s">
        <v>15</v>
      </c>
      <c r="F413" t="s">
        <v>2361</v>
      </c>
      <c r="G413" t="s">
        <v>18050</v>
      </c>
      <c r="H413" t="s">
        <v>1107</v>
      </c>
      <c r="I413" t="s">
        <v>1108</v>
      </c>
      <c r="J413" t="s">
        <v>2363</v>
      </c>
      <c r="K413" t="s">
        <v>2364</v>
      </c>
      <c r="L413" t="s">
        <v>21</v>
      </c>
      <c r="M413" t="s">
        <v>19177</v>
      </c>
      <c r="N413" t="s">
        <v>97</v>
      </c>
      <c r="O413" t="s">
        <v>937</v>
      </c>
      <c r="P413" t="s">
        <v>12</v>
      </c>
    </row>
    <row r="414">
      <c r="A414">
        <f>HYPERLINK("http://bombeiros.sp.gov.br/hidrantes/03individual/601.html","601")</f>
      </c>
      <c r="B414" t="s">
        <v>12</v>
      </c>
      <c r="C414" t="s">
        <v>92</v>
      </c>
      <c r="D414" t="s">
        <v>2332</v>
      </c>
      <c r="E414" t="s">
        <v>15</v>
      </c>
      <c r="F414" t="s">
        <v>2365</v>
      </c>
      <c r="G414" t="s">
        <v>18050</v>
      </c>
      <c r="H414" t="s">
        <v>1107</v>
      </c>
      <c r="I414" t="s">
        <v>1108</v>
      </c>
      <c r="J414" t="s">
        <v>2366</v>
      </c>
      <c r="K414" t="s">
        <v>2367</v>
      </c>
      <c r="L414" t="s">
        <v>21</v>
      </c>
      <c r="M414" t="s">
        <v>19177</v>
      </c>
      <c r="N414" t="s">
        <v>97</v>
      </c>
      <c r="O414" t="s">
        <v>937</v>
      </c>
      <c r="P414" t="s">
        <v>12</v>
      </c>
    </row>
    <row r="415">
      <c r="A415">
        <f>HYPERLINK("http://bombeiros.sp.gov.br/hidrantes/03individual/602.html","602")</f>
      </c>
      <c r="B415" t="s">
        <v>12</v>
      </c>
      <c r="C415" t="s">
        <v>92</v>
      </c>
      <c r="D415" t="s">
        <v>2332</v>
      </c>
      <c r="E415" t="s">
        <v>15</v>
      </c>
      <c r="F415" t="s">
        <v>2368</v>
      </c>
      <c r="G415" t="s">
        <v>18050</v>
      </c>
      <c r="H415" t="s">
        <v>1107</v>
      </c>
      <c r="I415" t="s">
        <v>1108</v>
      </c>
      <c r="J415" t="s">
        <v>2369</v>
      </c>
      <c r="K415" t="s">
        <v>2370</v>
      </c>
      <c r="L415" t="s">
        <v>36</v>
      </c>
      <c r="M415" t="s">
        <v>19177</v>
      </c>
      <c r="N415" t="s">
        <v>97</v>
      </c>
      <c r="O415" t="s">
        <v>937</v>
      </c>
      <c r="P415" t="s">
        <v>12</v>
      </c>
    </row>
    <row r="416">
      <c r="A416">
        <f>HYPERLINK("http://bombeiros.sp.gov.br/hidrantes/03individual/603.html","603")</f>
      </c>
      <c r="B416" t="s">
        <v>12</v>
      </c>
      <c r="C416" t="s">
        <v>92</v>
      </c>
      <c r="D416" t="s">
        <v>2332</v>
      </c>
      <c r="E416" t="s">
        <v>15</v>
      </c>
      <c r="F416" t="s">
        <v>2371</v>
      </c>
      <c r="G416" t="s">
        <v>18050</v>
      </c>
      <c r="H416" t="s">
        <v>1107</v>
      </c>
      <c r="I416" t="s">
        <v>1108</v>
      </c>
      <c r="J416" t="s">
        <v>2372</v>
      </c>
      <c r="K416" t="s">
        <v>2373</v>
      </c>
      <c r="L416" t="s">
        <v>21</v>
      </c>
      <c r="M416" t="s">
        <v>19177</v>
      </c>
      <c r="N416" t="s">
        <v>97</v>
      </c>
      <c r="O416" t="s">
        <v>937</v>
      </c>
      <c r="P416" t="s">
        <v>12</v>
      </c>
    </row>
    <row r="417">
      <c r="A417">
        <f>HYPERLINK("http://bombeiros.sp.gov.br/hidrantes/03individual/605.html","605")</f>
      </c>
      <c r="B417" t="s">
        <v>12</v>
      </c>
      <c r="C417" t="s">
        <v>92</v>
      </c>
      <c r="D417" t="s">
        <v>2332</v>
      </c>
      <c r="E417" t="s">
        <v>15</v>
      </c>
      <c r="F417" t="s">
        <v>2374</v>
      </c>
      <c r="G417" t="s">
        <v>18050</v>
      </c>
      <c r="H417" t="s">
        <v>1112</v>
      </c>
      <c r="I417" t="s">
        <v>1108</v>
      </c>
      <c r="J417" t="s">
        <v>2376</v>
      </c>
      <c r="K417" t="s">
        <v>2377</v>
      </c>
      <c r="L417" t="s">
        <v>21</v>
      </c>
      <c r="M417" t="s">
        <v>19177</v>
      </c>
      <c r="N417" t="s">
        <v>97</v>
      </c>
      <c r="O417" t="s">
        <v>937</v>
      </c>
      <c r="P417" t="s">
        <v>12</v>
      </c>
    </row>
    <row r="418">
      <c r="A418">
        <f>HYPERLINK("http://bombeiros.sp.gov.br/hidrantes/03individual/606.html","606")</f>
      </c>
      <c r="B418" t="s">
        <v>12</v>
      </c>
      <c r="C418" t="s">
        <v>92</v>
      </c>
      <c r="D418" t="s">
        <v>2332</v>
      </c>
      <c r="E418" t="s">
        <v>15</v>
      </c>
      <c r="F418" t="s">
        <v>2378</v>
      </c>
      <c r="G418" t="s">
        <v>18050</v>
      </c>
      <c r="H418" t="s">
        <v>1174</v>
      </c>
      <c r="I418" t="s">
        <v>1108</v>
      </c>
      <c r="J418" t="s">
        <v>2379</v>
      </c>
      <c r="K418" t="s">
        <v>2380</v>
      </c>
      <c r="L418" t="s">
        <v>21</v>
      </c>
      <c r="M418" t="s">
        <v>19177</v>
      </c>
      <c r="N418" t="s">
        <v>97</v>
      </c>
      <c r="O418" t="s">
        <v>937</v>
      </c>
      <c r="P418" t="s">
        <v>12</v>
      </c>
    </row>
    <row r="419">
      <c r="A419">
        <f>HYPERLINK("http://bombeiros.sp.gov.br/hidrantes/03individual/610.html","610")</f>
      </c>
      <c r="B419" t="s">
        <v>12</v>
      </c>
      <c r="C419" t="s">
        <v>92</v>
      </c>
      <c r="D419" t="s">
        <v>2332</v>
      </c>
      <c r="E419" t="s">
        <v>15</v>
      </c>
      <c r="F419" t="s">
        <v>2381</v>
      </c>
      <c r="G419" t="s">
        <v>18050</v>
      </c>
      <c r="H419" t="s">
        <v>1112</v>
      </c>
      <c r="I419" t="s">
        <v>1108</v>
      </c>
      <c r="J419" t="s">
        <v>2382</v>
      </c>
      <c r="K419" t="s">
        <v>2383</v>
      </c>
      <c r="L419" t="s">
        <v>21</v>
      </c>
      <c r="M419" t="s">
        <v>19177</v>
      </c>
      <c r="N419" t="s">
        <v>97</v>
      </c>
      <c r="O419" t="s">
        <v>937</v>
      </c>
      <c r="P419" t="s">
        <v>12</v>
      </c>
    </row>
    <row r="420">
      <c r="A420">
        <f>HYPERLINK("http://bombeiros.sp.gov.br/hidrantes/03individual/654.html","654")</f>
      </c>
      <c r="B420" t="s">
        <v>12</v>
      </c>
      <c r="C420" t="s">
        <v>92</v>
      </c>
      <c r="D420" t="s">
        <v>2332</v>
      </c>
      <c r="E420" t="s">
        <v>15</v>
      </c>
      <c r="F420" t="s">
        <v>2384</v>
      </c>
      <c r="G420" t="s">
        <v>18050</v>
      </c>
      <c r="H420" t="s">
        <v>1112</v>
      </c>
      <c r="I420" t="s">
        <v>1108</v>
      </c>
      <c r="J420" t="s">
        <v>2385</v>
      </c>
      <c r="K420" t="s">
        <v>2386</v>
      </c>
      <c r="L420" t="s">
        <v>21</v>
      </c>
      <c r="M420" t="s">
        <v>19177</v>
      </c>
      <c r="N420" t="s">
        <v>97</v>
      </c>
      <c r="O420" t="s">
        <v>937</v>
      </c>
      <c r="P420" t="s">
        <v>12</v>
      </c>
    </row>
    <row r="421">
      <c r="A421">
        <f>HYPERLINK("http://bombeiros.sp.gov.br/hidrantes/03individual/686.html","686")</f>
      </c>
      <c r="B421" t="s">
        <v>12</v>
      </c>
      <c r="C421" t="s">
        <v>92</v>
      </c>
      <c r="D421" t="s">
        <v>2332</v>
      </c>
      <c r="E421" t="s">
        <v>15</v>
      </c>
      <c r="F421" t="s">
        <v>2387</v>
      </c>
      <c r="G421" t="s">
        <v>18050</v>
      </c>
      <c r="H421" t="s">
        <v>1107</v>
      </c>
      <c r="I421" t="s">
        <v>1108</v>
      </c>
      <c r="J421" t="s">
        <v>2388</v>
      </c>
      <c r="K421" t="s">
        <v>2389</v>
      </c>
      <c r="L421" t="s">
        <v>21</v>
      </c>
      <c r="M421" t="s">
        <v>19177</v>
      </c>
      <c r="N421" t="s">
        <v>714</v>
      </c>
      <c r="O421" t="s">
        <v>10263</v>
      </c>
      <c r="P421" t="s">
        <v>12</v>
      </c>
    </row>
    <row r="422">
      <c r="A422">
        <f>HYPERLINK("http://bombeiros.sp.gov.br/hidrantes/03individual/699.html","699")</f>
      </c>
      <c r="B422" t="s">
        <v>12</v>
      </c>
      <c r="C422" t="s">
        <v>92</v>
      </c>
      <c r="D422" t="s">
        <v>2332</v>
      </c>
      <c r="E422" t="s">
        <v>15</v>
      </c>
      <c r="F422" t="s">
        <v>2390</v>
      </c>
      <c r="G422" t="s">
        <v>18050</v>
      </c>
      <c r="H422" t="s">
        <v>1107</v>
      </c>
      <c r="I422" t="s">
        <v>1108</v>
      </c>
      <c r="J422" t="s">
        <v>2391</v>
      </c>
      <c r="K422" t="s">
        <v>2392</v>
      </c>
      <c r="L422" t="s">
        <v>21</v>
      </c>
      <c r="M422" t="s">
        <v>19177</v>
      </c>
      <c r="N422" t="s">
        <v>97</v>
      </c>
      <c r="O422" t="s">
        <v>937</v>
      </c>
      <c r="P422" t="s">
        <v>12</v>
      </c>
    </row>
    <row r="423">
      <c r="A423">
        <f>HYPERLINK("http://bombeiros.sp.gov.br/hidrantes/03individual/740.html","740")</f>
      </c>
      <c r="B423" t="s">
        <v>12</v>
      </c>
      <c r="C423" t="s">
        <v>92</v>
      </c>
      <c r="D423" t="s">
        <v>2332</v>
      </c>
      <c r="E423" t="s">
        <v>15</v>
      </c>
      <c r="F423" t="s">
        <v>2393</v>
      </c>
      <c r="G423" t="s">
        <v>18050</v>
      </c>
      <c r="H423" t="s">
        <v>1107</v>
      </c>
      <c r="I423" t="s">
        <v>1108</v>
      </c>
      <c r="J423" t="s">
        <v>2394</v>
      </c>
      <c r="K423" t="s">
        <v>2395</v>
      </c>
      <c r="L423" t="s">
        <v>21</v>
      </c>
      <c r="M423" t="s">
        <v>19177</v>
      </c>
      <c r="N423" t="s">
        <v>714</v>
      </c>
      <c r="O423" t="s">
        <v>10263</v>
      </c>
      <c r="P423" t="s">
        <v>12</v>
      </c>
    </row>
    <row r="424">
      <c r="A424">
        <f>HYPERLINK("http://bombeiros.sp.gov.br/hidrantes/03individual/809.html","809")</f>
      </c>
      <c r="B424" t="s">
        <v>12</v>
      </c>
      <c r="C424" t="s">
        <v>92</v>
      </c>
      <c r="D424" t="s">
        <v>2332</v>
      </c>
      <c r="E424" t="s">
        <v>15</v>
      </c>
      <c r="F424" t="s">
        <v>2396</v>
      </c>
      <c r="G424" t="s">
        <v>18055</v>
      </c>
      <c r="H424" t="s">
        <v>1107</v>
      </c>
      <c r="I424" t="s">
        <v>1108</v>
      </c>
      <c r="J424" t="s">
        <v>2397</v>
      </c>
      <c r="K424" t="s">
        <v>2398</v>
      </c>
      <c r="L424" t="s">
        <v>36</v>
      </c>
      <c r="M424" t="s">
        <v>19177</v>
      </c>
      <c r="N424" t="s">
        <v>97</v>
      </c>
      <c r="O424" t="s">
        <v>937</v>
      </c>
      <c r="P424" t="s">
        <v>12</v>
      </c>
    </row>
    <row r="425">
      <c r="A425">
        <f>HYPERLINK("http://bombeiros.sp.gov.br/hidrantes/03individual/1596.html","1596")</f>
      </c>
      <c r="B425" t="s">
        <v>12</v>
      </c>
      <c r="C425" t="s">
        <v>92</v>
      </c>
      <c r="D425" t="s">
        <v>2332</v>
      </c>
      <c r="E425" t="s">
        <v>15</v>
      </c>
      <c r="F425" t="s">
        <v>2399</v>
      </c>
      <c r="G425" t="s">
        <v>18055</v>
      </c>
      <c r="H425" t="s">
        <v>1107</v>
      </c>
      <c r="I425" t="s">
        <v>1108</v>
      </c>
      <c r="J425" t="s">
        <v>2400</v>
      </c>
      <c r="K425" t="s">
        <v>2401</v>
      </c>
      <c r="L425" t="s">
        <v>21</v>
      </c>
      <c r="M425" t="s">
        <v>19177</v>
      </c>
      <c r="N425" t="s">
        <v>714</v>
      </c>
      <c r="O425" t="s">
        <v>10263</v>
      </c>
      <c r="P425" t="s">
        <v>12</v>
      </c>
    </row>
    <row r="426">
      <c r="A426">
        <f>HYPERLINK("http://bombeiros.sp.gov.br/hidrantes/03individual/2698.html","2698")</f>
      </c>
      <c r="B426" t="s">
        <v>12</v>
      </c>
      <c r="C426" t="s">
        <v>92</v>
      </c>
      <c r="D426" t="s">
        <v>2332</v>
      </c>
      <c r="E426" t="s">
        <v>15</v>
      </c>
      <c r="F426" t="s">
        <v>2402</v>
      </c>
      <c r="G426" t="s">
        <v>18055</v>
      </c>
      <c r="H426" t="s">
        <v>1174</v>
      </c>
      <c r="I426" t="s">
        <v>1108</v>
      </c>
      <c r="J426" t="s">
        <v>2403</v>
      </c>
      <c r="K426" t="s">
        <v>2404</v>
      </c>
      <c r="L426" t="s">
        <v>36</v>
      </c>
      <c r="M426" t="s">
        <v>19177</v>
      </c>
      <c r="N426" t="s">
        <v>714</v>
      </c>
      <c r="O426" t="s">
        <v>10263</v>
      </c>
      <c r="P426" t="s">
        <v>12</v>
      </c>
    </row>
    <row r="427">
      <c r="A427">
        <f>HYPERLINK("http://bombeiros.sp.gov.br/hidrantes/03individual/2701.html","2701")</f>
      </c>
      <c r="B427" t="s">
        <v>12</v>
      </c>
      <c r="C427" t="s">
        <v>92</v>
      </c>
      <c r="D427" t="s">
        <v>2332</v>
      </c>
      <c r="E427" t="s">
        <v>15</v>
      </c>
      <c r="F427" t="s">
        <v>2405</v>
      </c>
      <c r="G427" t="s">
        <v>18055</v>
      </c>
      <c r="H427" t="s">
        <v>1174</v>
      </c>
      <c r="I427" t="s">
        <v>1108</v>
      </c>
      <c r="J427" t="s">
        <v>2406</v>
      </c>
      <c r="K427" t="s">
        <v>2407</v>
      </c>
      <c r="L427" t="s">
        <v>21</v>
      </c>
      <c r="M427" t="s">
        <v>19177</v>
      </c>
      <c r="N427" t="s">
        <v>714</v>
      </c>
      <c r="O427" t="s">
        <v>10263</v>
      </c>
      <c r="P427" t="s">
        <v>12</v>
      </c>
    </row>
    <row r="428">
      <c r="A428">
        <f>HYPERLINK("http://bombeiros.sp.gov.br/hidrantes/03individual/2741.html","2741")</f>
      </c>
      <c r="B428" t="s">
        <v>12</v>
      </c>
      <c r="C428" t="s">
        <v>92</v>
      </c>
      <c r="D428" t="s">
        <v>2332</v>
      </c>
      <c r="E428" t="s">
        <v>15</v>
      </c>
      <c r="F428" t="s">
        <v>2408</v>
      </c>
      <c r="G428" t="s">
        <v>18055</v>
      </c>
      <c r="H428" t="s">
        <v>1112</v>
      </c>
      <c r="I428" t="s">
        <v>1108</v>
      </c>
      <c r="J428" t="s">
        <v>2409</v>
      </c>
      <c r="K428" t="s">
        <v>2410</v>
      </c>
      <c r="L428" t="s">
        <v>21</v>
      </c>
      <c r="M428" t="s">
        <v>19177</v>
      </c>
      <c r="N428" t="s">
        <v>714</v>
      </c>
      <c r="O428" t="s">
        <v>10263</v>
      </c>
      <c r="P428" t="s">
        <v>12</v>
      </c>
    </row>
    <row r="429">
      <c r="A429">
        <f>HYPERLINK("http://bombeiros.sp.gov.br/hidrantes/03individual/2742.html","2742")</f>
      </c>
      <c r="B429" t="s">
        <v>12</v>
      </c>
      <c r="C429" t="s">
        <v>92</v>
      </c>
      <c r="D429" t="s">
        <v>2332</v>
      </c>
      <c r="E429" t="s">
        <v>15</v>
      </c>
      <c r="F429" t="s">
        <v>2411</v>
      </c>
      <c r="G429" t="s">
        <v>18055</v>
      </c>
      <c r="H429" t="s">
        <v>1107</v>
      </c>
      <c r="I429" t="s">
        <v>1108</v>
      </c>
      <c r="J429" t="s">
        <v>2412</v>
      </c>
      <c r="K429" t="s">
        <v>2413</v>
      </c>
      <c r="L429" t="s">
        <v>21</v>
      </c>
      <c r="M429" t="s">
        <v>19177</v>
      </c>
      <c r="N429" t="s">
        <v>714</v>
      </c>
      <c r="O429" t="s">
        <v>10263</v>
      </c>
      <c r="P429" t="s">
        <v>12</v>
      </c>
    </row>
    <row r="430">
      <c r="A430">
        <f>HYPERLINK("http://bombeiros.sp.gov.br/hidrantes/03individual/2767.html","2767")</f>
      </c>
      <c r="B430" t="s">
        <v>12</v>
      </c>
      <c r="C430" t="s">
        <v>92</v>
      </c>
      <c r="D430" t="s">
        <v>2332</v>
      </c>
      <c r="E430" t="s">
        <v>15</v>
      </c>
      <c r="F430" t="s">
        <v>2414</v>
      </c>
      <c r="G430" t="s">
        <v>18055</v>
      </c>
      <c r="H430" t="s">
        <v>1107</v>
      </c>
      <c r="I430" t="s">
        <v>1108</v>
      </c>
      <c r="J430" t="s">
        <v>2415</v>
      </c>
      <c r="K430" t="s">
        <v>2416</v>
      </c>
      <c r="L430" t="s">
        <v>21</v>
      </c>
      <c r="M430" t="s">
        <v>19177</v>
      </c>
      <c r="N430" t="s">
        <v>714</v>
      </c>
      <c r="O430" t="s">
        <v>10263</v>
      </c>
      <c r="P430" t="s">
        <v>12</v>
      </c>
    </row>
    <row r="431">
      <c r="A431">
        <f>HYPERLINK("http://bombeiros.sp.gov.br/hidrantes/03individual/2769.html","2769")</f>
      </c>
      <c r="B431" t="s">
        <v>12</v>
      </c>
      <c r="C431" t="s">
        <v>92</v>
      </c>
      <c r="D431" t="s">
        <v>2332</v>
      </c>
      <c r="E431" t="s">
        <v>15</v>
      </c>
      <c r="F431" t="s">
        <v>2417</v>
      </c>
      <c r="G431" t="s">
        <v>18055</v>
      </c>
      <c r="H431" t="s">
        <v>1112</v>
      </c>
      <c r="I431" t="s">
        <v>1108</v>
      </c>
      <c r="J431" t="s">
        <v>2418</v>
      </c>
      <c r="K431" t="s">
        <v>2419</v>
      </c>
      <c r="L431" t="s">
        <v>21</v>
      </c>
      <c r="M431" t="s">
        <v>19177</v>
      </c>
      <c r="N431" t="s">
        <v>714</v>
      </c>
      <c r="O431" t="s">
        <v>10263</v>
      </c>
      <c r="P431" t="s">
        <v>12</v>
      </c>
    </row>
    <row r="432">
      <c r="A432">
        <f>HYPERLINK("http://bombeiros.sp.gov.br/hidrantes/03individual/2780.html","2780")</f>
      </c>
      <c r="B432" t="s">
        <v>12</v>
      </c>
      <c r="C432" t="s">
        <v>92</v>
      </c>
      <c r="D432" t="s">
        <v>2332</v>
      </c>
      <c r="E432" t="s">
        <v>15</v>
      </c>
      <c r="F432" t="s">
        <v>2420</v>
      </c>
      <c r="G432" t="s">
        <v>18055</v>
      </c>
      <c r="H432" t="s">
        <v>1107</v>
      </c>
      <c r="I432" t="s">
        <v>1108</v>
      </c>
      <c r="J432" t="s">
        <v>2421</v>
      </c>
      <c r="K432" t="s">
        <v>2422</v>
      </c>
      <c r="L432" t="s">
        <v>21</v>
      </c>
      <c r="M432" t="s">
        <v>19177</v>
      </c>
      <c r="N432" t="s">
        <v>714</v>
      </c>
      <c r="O432" t="s">
        <v>10263</v>
      </c>
      <c r="P432" t="s">
        <v>12</v>
      </c>
    </row>
    <row r="433">
      <c r="A433">
        <f>HYPERLINK("http://bombeiros.sp.gov.br/hidrantes/03individual/2819.html","2819")</f>
      </c>
      <c r="B433" t="s">
        <v>12</v>
      </c>
      <c r="C433" t="s">
        <v>92</v>
      </c>
      <c r="D433" t="s">
        <v>2332</v>
      </c>
      <c r="E433" t="s">
        <v>15</v>
      </c>
      <c r="F433" t="s">
        <v>2423</v>
      </c>
      <c r="G433" t="s">
        <v>18055</v>
      </c>
      <c r="H433" t="s">
        <v>1121</v>
      </c>
      <c r="I433" t="s">
        <v>1117</v>
      </c>
      <c r="J433" t="s">
        <v>2424</v>
      </c>
      <c r="K433" t="s">
        <v>2425</v>
      </c>
      <c r="L433" t="s">
        <v>21</v>
      </c>
      <c r="M433" t="s">
        <v>19177</v>
      </c>
      <c r="N433" t="s">
        <v>97</v>
      </c>
      <c r="O433" t="s">
        <v>937</v>
      </c>
      <c r="P433" t="s">
        <v>12</v>
      </c>
    </row>
    <row r="434">
      <c r="A434">
        <f>HYPERLINK("http://bombeiros.sp.gov.br/hidrantes/03individual/2820.html","2820")</f>
      </c>
      <c r="B434" t="s">
        <v>12</v>
      </c>
      <c r="C434" t="s">
        <v>92</v>
      </c>
      <c r="D434" t="s">
        <v>2332</v>
      </c>
      <c r="E434" t="s">
        <v>15</v>
      </c>
      <c r="F434" t="s">
        <v>2426</v>
      </c>
      <c r="G434" t="s">
        <v>18089</v>
      </c>
      <c r="H434" t="s">
        <v>1107</v>
      </c>
      <c r="I434" t="s">
        <v>1108</v>
      </c>
      <c r="J434" t="s">
        <v>2427</v>
      </c>
      <c r="K434" t="s">
        <v>2428</v>
      </c>
      <c r="L434" t="s">
        <v>21</v>
      </c>
      <c r="M434" t="s">
        <v>19177</v>
      </c>
      <c r="N434" t="s">
        <v>97</v>
      </c>
      <c r="O434" t="s">
        <v>937</v>
      </c>
      <c r="P434" t="s">
        <v>12</v>
      </c>
    </row>
    <row r="435">
      <c r="A435">
        <f>HYPERLINK("http://bombeiros.sp.gov.br/hidrantes/03individual/2822.html","2822")</f>
      </c>
      <c r="B435" t="s">
        <v>12</v>
      </c>
      <c r="C435" t="s">
        <v>92</v>
      </c>
      <c r="D435" t="s">
        <v>2332</v>
      </c>
      <c r="E435" t="s">
        <v>15</v>
      </c>
      <c r="F435" t="s">
        <v>2429</v>
      </c>
      <c r="G435" t="s">
        <v>18089</v>
      </c>
      <c r="H435" t="s">
        <v>1174</v>
      </c>
      <c r="I435" t="s">
        <v>1108</v>
      </c>
      <c r="J435" t="s">
        <v>2430</v>
      </c>
      <c r="K435" t="s">
        <v>2431</v>
      </c>
      <c r="L435" t="s">
        <v>21</v>
      </c>
      <c r="M435" t="s">
        <v>19177</v>
      </c>
      <c r="N435" t="s">
        <v>97</v>
      </c>
      <c r="O435" t="s">
        <v>937</v>
      </c>
      <c r="P435" t="s">
        <v>12</v>
      </c>
    </row>
    <row r="436">
      <c r="A436">
        <f>HYPERLINK("http://bombeiros.sp.gov.br/hidrantes/03individual/2833.html","2833")</f>
      </c>
      <c r="B436" t="s">
        <v>12</v>
      </c>
      <c r="C436" t="s">
        <v>92</v>
      </c>
      <c r="D436" t="s">
        <v>2332</v>
      </c>
      <c r="E436" t="s">
        <v>15</v>
      </c>
      <c r="F436" t="s">
        <v>2432</v>
      </c>
      <c r="G436" t="s">
        <v>18057</v>
      </c>
      <c r="H436" t="s">
        <v>1107</v>
      </c>
      <c r="I436" t="s">
        <v>1108</v>
      </c>
      <c r="J436" t="s">
        <v>2433</v>
      </c>
      <c r="K436" t="s">
        <v>2434</v>
      </c>
      <c r="L436" t="s">
        <v>21</v>
      </c>
      <c r="M436" t="s">
        <v>19177</v>
      </c>
      <c r="N436" t="s">
        <v>97</v>
      </c>
      <c r="O436" t="s">
        <v>937</v>
      </c>
      <c r="P436" t="s">
        <v>12</v>
      </c>
    </row>
    <row r="437">
      <c r="A437">
        <f>HYPERLINK("http://bombeiros.sp.gov.br/hidrantes/03individual/2834.html","2834")</f>
      </c>
      <c r="B437" t="s">
        <v>12</v>
      </c>
      <c r="C437" t="s">
        <v>92</v>
      </c>
      <c r="D437" t="s">
        <v>2332</v>
      </c>
      <c r="E437" t="s">
        <v>15</v>
      </c>
      <c r="F437" t="s">
        <v>2435</v>
      </c>
      <c r="G437" t="s">
        <v>18057</v>
      </c>
      <c r="H437" t="s">
        <v>1107</v>
      </c>
      <c r="I437" t="s">
        <v>1108</v>
      </c>
      <c r="J437" t="s">
        <v>2436</v>
      </c>
      <c r="K437" t="s">
        <v>2437</v>
      </c>
      <c r="L437" t="s">
        <v>21</v>
      </c>
      <c r="M437" t="s">
        <v>19177</v>
      </c>
      <c r="N437" t="s">
        <v>97</v>
      </c>
      <c r="O437" t="s">
        <v>937</v>
      </c>
      <c r="P437" t="s">
        <v>12</v>
      </c>
    </row>
    <row r="438">
      <c r="A438">
        <f>HYPERLINK("http://bombeiros.sp.gov.br/hidrantes/03individual/2846.html","2846")</f>
      </c>
      <c r="B438" t="s">
        <v>12</v>
      </c>
      <c r="C438" t="s">
        <v>92</v>
      </c>
      <c r="D438" t="s">
        <v>2332</v>
      </c>
      <c r="E438" t="s">
        <v>15</v>
      </c>
      <c r="F438" t="s">
        <v>2438</v>
      </c>
      <c r="G438" t="s">
        <v>18057</v>
      </c>
      <c r="H438" t="s">
        <v>1112</v>
      </c>
      <c r="I438" t="s">
        <v>1108</v>
      </c>
      <c r="J438" t="s">
        <v>2439</v>
      </c>
      <c r="K438" t="s">
        <v>2440</v>
      </c>
      <c r="L438" t="s">
        <v>21</v>
      </c>
      <c r="M438" t="s">
        <v>19177</v>
      </c>
      <c r="N438" t="s">
        <v>97</v>
      </c>
      <c r="O438" t="s">
        <v>937</v>
      </c>
      <c r="P438" t="s">
        <v>12</v>
      </c>
    </row>
    <row r="439">
      <c r="A439">
        <f>HYPERLINK("http://bombeiros.sp.gov.br/hidrantes/03individual/2857.html","2857")</f>
      </c>
      <c r="B439" t="s">
        <v>12</v>
      </c>
      <c r="C439" t="s">
        <v>92</v>
      </c>
      <c r="D439" t="s">
        <v>2332</v>
      </c>
      <c r="E439" t="s">
        <v>15</v>
      </c>
      <c r="F439" t="s">
        <v>2441</v>
      </c>
      <c r="G439" t="s">
        <v>18182</v>
      </c>
      <c r="H439" t="s">
        <v>1107</v>
      </c>
      <c r="I439" t="s">
        <v>1108</v>
      </c>
      <c r="J439" t="s">
        <v>15854</v>
      </c>
      <c r="K439" t="s">
        <v>15855</v>
      </c>
      <c r="L439" t="s">
        <v>21</v>
      </c>
      <c r="M439" t="s">
        <v>19177</v>
      </c>
      <c r="N439" t="s">
        <v>714</v>
      </c>
      <c r="O439" t="s">
        <v>10263</v>
      </c>
      <c r="P439" t="s">
        <v>12</v>
      </c>
    </row>
    <row r="440">
      <c r="A440">
        <f>HYPERLINK("http://bombeiros.sp.gov.br/hidrantes/03individual/2892.html","2892")</f>
      </c>
      <c r="B440" t="s">
        <v>12</v>
      </c>
      <c r="C440" t="s">
        <v>92</v>
      </c>
      <c r="D440" t="s">
        <v>2332</v>
      </c>
      <c r="E440" t="s">
        <v>15</v>
      </c>
      <c r="F440" t="s">
        <v>2444</v>
      </c>
      <c r="G440" t="s">
        <v>18182</v>
      </c>
      <c r="H440" t="s">
        <v>1107</v>
      </c>
      <c r="I440" t="s">
        <v>1108</v>
      </c>
      <c r="J440" t="s">
        <v>2445</v>
      </c>
      <c r="K440" t="s">
        <v>2446</v>
      </c>
      <c r="L440" t="s">
        <v>21</v>
      </c>
      <c r="M440" t="s">
        <v>19177</v>
      </c>
      <c r="N440" t="s">
        <v>97</v>
      </c>
      <c r="O440" t="s">
        <v>937</v>
      </c>
      <c r="P440" t="s">
        <v>12</v>
      </c>
    </row>
    <row r="441">
      <c r="A441">
        <f>HYPERLINK("http://bombeiros.sp.gov.br/hidrantes/03individual/2893.html","2893")</f>
      </c>
      <c r="B441" t="s">
        <v>12</v>
      </c>
      <c r="C441" t="s">
        <v>92</v>
      </c>
      <c r="D441" t="s">
        <v>2332</v>
      </c>
      <c r="E441" t="s">
        <v>15</v>
      </c>
      <c r="F441" t="s">
        <v>2447</v>
      </c>
      <c r="G441" t="s">
        <v>18046</v>
      </c>
      <c r="H441" t="s">
        <v>1112</v>
      </c>
      <c r="I441" t="s">
        <v>1108</v>
      </c>
      <c r="J441" t="s">
        <v>2448</v>
      </c>
      <c r="K441" t="s">
        <v>2449</v>
      </c>
      <c r="L441" t="s">
        <v>21</v>
      </c>
      <c r="M441" t="s">
        <v>19177</v>
      </c>
      <c r="N441" t="s">
        <v>714</v>
      </c>
      <c r="O441" t="s">
        <v>10263</v>
      </c>
      <c r="P441" t="s">
        <v>12</v>
      </c>
    </row>
    <row r="442">
      <c r="A442">
        <f>HYPERLINK("http://bombeiros.sp.gov.br/hidrantes/03individual/2896.html","2896")</f>
      </c>
      <c r="B442" t="s">
        <v>12</v>
      </c>
      <c r="C442" t="s">
        <v>92</v>
      </c>
      <c r="D442" t="s">
        <v>2332</v>
      </c>
      <c r="E442" t="s">
        <v>15</v>
      </c>
      <c r="F442" t="s">
        <v>2450</v>
      </c>
      <c r="G442" t="s">
        <v>18143</v>
      </c>
      <c r="H442" t="s">
        <v>1107</v>
      </c>
      <c r="I442" t="s">
        <v>1108</v>
      </c>
      <c r="J442" t="s">
        <v>2451</v>
      </c>
      <c r="K442" t="s">
        <v>2452</v>
      </c>
      <c r="L442" t="s">
        <v>21</v>
      </c>
      <c r="M442" t="s">
        <v>19177</v>
      </c>
      <c r="N442" t="s">
        <v>97</v>
      </c>
      <c r="O442" t="s">
        <v>937</v>
      </c>
      <c r="P442" t="s">
        <v>12</v>
      </c>
    </row>
    <row r="443">
      <c r="A443">
        <f>HYPERLINK("http://bombeiros.sp.gov.br/hidrantes/03individual/2897.html","2897")</f>
      </c>
      <c r="B443" t="s">
        <v>12</v>
      </c>
      <c r="C443" t="s">
        <v>92</v>
      </c>
      <c r="D443" t="s">
        <v>2332</v>
      </c>
      <c r="E443" t="s">
        <v>15</v>
      </c>
      <c r="F443" t="s">
        <v>2453</v>
      </c>
      <c r="G443" t="s">
        <v>18182</v>
      </c>
      <c r="H443" t="s">
        <v>1107</v>
      </c>
      <c r="I443" t="s">
        <v>1108</v>
      </c>
      <c r="J443" t="s">
        <v>2454</v>
      </c>
      <c r="K443" t="s">
        <v>2455</v>
      </c>
      <c r="L443" t="s">
        <v>21</v>
      </c>
      <c r="M443" t="s">
        <v>19177</v>
      </c>
      <c r="N443" t="s">
        <v>97</v>
      </c>
      <c r="O443" t="s">
        <v>937</v>
      </c>
      <c r="P443" t="s">
        <v>12</v>
      </c>
    </row>
    <row r="444">
      <c r="A444">
        <f>HYPERLINK("http://bombeiros.sp.gov.br/hidrantes/03individual/2898.html","2898")</f>
      </c>
      <c r="B444" t="s">
        <v>12</v>
      </c>
      <c r="C444" t="s">
        <v>92</v>
      </c>
      <c r="D444" t="s">
        <v>2332</v>
      </c>
      <c r="E444" t="s">
        <v>15</v>
      </c>
      <c r="F444" t="s">
        <v>2456</v>
      </c>
      <c r="G444" t="s">
        <v>18046</v>
      </c>
      <c r="H444" t="s">
        <v>1112</v>
      </c>
      <c r="I444" t="s">
        <v>1108</v>
      </c>
      <c r="J444" t="s">
        <v>2457</v>
      </c>
      <c r="K444" t="s">
        <v>2458</v>
      </c>
      <c r="L444" t="s">
        <v>21</v>
      </c>
      <c r="M444" t="s">
        <v>19177</v>
      </c>
      <c r="N444" t="s">
        <v>97</v>
      </c>
      <c r="O444" t="s">
        <v>937</v>
      </c>
      <c r="P444" t="s">
        <v>12</v>
      </c>
    </row>
    <row r="445">
      <c r="A445">
        <f>HYPERLINK("http://bombeiros.sp.gov.br/hidrantes/03individual/2908.html","2908")</f>
      </c>
      <c r="B445" t="s">
        <v>12</v>
      </c>
      <c r="C445" t="s">
        <v>92</v>
      </c>
      <c r="D445" t="s">
        <v>2332</v>
      </c>
      <c r="E445" t="s">
        <v>15</v>
      </c>
      <c r="F445" t="s">
        <v>2459</v>
      </c>
      <c r="G445" t="s">
        <v>18046</v>
      </c>
      <c r="H445" t="s">
        <v>1107</v>
      </c>
      <c r="I445" t="s">
        <v>1108</v>
      </c>
      <c r="J445" t="s">
        <v>2460</v>
      </c>
      <c r="K445" t="s">
        <v>2461</v>
      </c>
      <c r="L445" t="s">
        <v>21</v>
      </c>
      <c r="M445" t="s">
        <v>19177</v>
      </c>
      <c r="N445" t="s">
        <v>97</v>
      </c>
      <c r="O445" t="s">
        <v>937</v>
      </c>
      <c r="P445" t="s">
        <v>12</v>
      </c>
    </row>
    <row r="446">
      <c r="A446">
        <f>HYPERLINK("http://bombeiros.sp.gov.br/hidrantes/03individual/2910.html","2910")</f>
      </c>
      <c r="B446" t="s">
        <v>12</v>
      </c>
      <c r="C446" t="s">
        <v>92</v>
      </c>
      <c r="D446" t="s">
        <v>2332</v>
      </c>
      <c r="E446" t="s">
        <v>15</v>
      </c>
      <c r="F446" t="s">
        <v>2462</v>
      </c>
      <c r="G446" t="s">
        <v>18182</v>
      </c>
      <c r="H446" t="s">
        <v>1107</v>
      </c>
      <c r="I446" t="s">
        <v>1108</v>
      </c>
      <c r="J446" t="s">
        <v>16278</v>
      </c>
      <c r="K446" t="s">
        <v>16279</v>
      </c>
      <c r="L446" t="s">
        <v>21</v>
      </c>
      <c r="M446" t="s">
        <v>19177</v>
      </c>
      <c r="N446" t="s">
        <v>97</v>
      </c>
      <c r="O446" t="s">
        <v>937</v>
      </c>
      <c r="P446" t="s">
        <v>12</v>
      </c>
    </row>
    <row r="447">
      <c r="A447">
        <f>HYPERLINK("http://bombeiros.sp.gov.br/hidrantes/03individual/2911.html","2911")</f>
      </c>
      <c r="B447" t="s">
        <v>12</v>
      </c>
      <c r="C447" t="s">
        <v>92</v>
      </c>
      <c r="D447" t="s">
        <v>2332</v>
      </c>
      <c r="E447" t="s">
        <v>15</v>
      </c>
      <c r="F447" t="s">
        <v>2465</v>
      </c>
      <c r="G447" t="s">
        <v>18057</v>
      </c>
      <c r="H447" t="s">
        <v>1107</v>
      </c>
      <c r="I447" t="s">
        <v>1108</v>
      </c>
      <c r="J447" t="s">
        <v>2466</v>
      </c>
      <c r="K447" t="s">
        <v>2467</v>
      </c>
      <c r="L447" t="s">
        <v>21</v>
      </c>
      <c r="M447" t="s">
        <v>19177</v>
      </c>
      <c r="N447" t="s">
        <v>97</v>
      </c>
      <c r="O447" t="s">
        <v>937</v>
      </c>
      <c r="P447" t="s">
        <v>12</v>
      </c>
    </row>
    <row r="448">
      <c r="A448">
        <f>HYPERLINK("http://bombeiros.sp.gov.br/hidrantes/03individual/2914.html","2914")</f>
      </c>
      <c r="B448" t="s">
        <v>12</v>
      </c>
      <c r="C448" t="s">
        <v>92</v>
      </c>
      <c r="D448" t="s">
        <v>2332</v>
      </c>
      <c r="E448" t="s">
        <v>15</v>
      </c>
      <c r="F448" t="s">
        <v>2470</v>
      </c>
      <c r="G448" t="s">
        <v>18182</v>
      </c>
      <c r="H448" t="s">
        <v>1107</v>
      </c>
      <c r="I448" t="s">
        <v>1108</v>
      </c>
      <c r="J448" t="s">
        <v>2471</v>
      </c>
      <c r="K448" t="s">
        <v>2472</v>
      </c>
      <c r="L448" t="s">
        <v>21</v>
      </c>
      <c r="M448" t="s">
        <v>19177</v>
      </c>
      <c r="N448" t="s">
        <v>97</v>
      </c>
      <c r="O448" t="s">
        <v>937</v>
      </c>
      <c r="P448" t="s">
        <v>12</v>
      </c>
    </row>
    <row r="449">
      <c r="A449">
        <f>HYPERLINK("http://bombeiros.sp.gov.br/hidrantes/03individual/2922.html","2922")</f>
      </c>
      <c r="B449" t="s">
        <v>12</v>
      </c>
      <c r="C449" t="s">
        <v>92</v>
      </c>
      <c r="D449" t="s">
        <v>2332</v>
      </c>
      <c r="E449" t="s">
        <v>15</v>
      </c>
      <c r="F449" t="s">
        <v>2473</v>
      </c>
      <c r="G449" t="s">
        <v>18057</v>
      </c>
      <c r="H449" t="s">
        <v>1107</v>
      </c>
      <c r="I449" t="s">
        <v>1108</v>
      </c>
      <c r="J449" t="s">
        <v>2474</v>
      </c>
      <c r="K449" t="s">
        <v>2475</v>
      </c>
      <c r="L449" t="s">
        <v>21</v>
      </c>
      <c r="M449" t="s">
        <v>19177</v>
      </c>
      <c r="N449" t="s">
        <v>97</v>
      </c>
      <c r="O449" t="s">
        <v>937</v>
      </c>
      <c r="P449" t="s">
        <v>12</v>
      </c>
    </row>
    <row r="450">
      <c r="A450">
        <f>HYPERLINK("http://bombeiros.sp.gov.br/hidrantes/03individual/5500.html","5500")</f>
      </c>
      <c r="B450" t="s">
        <v>12</v>
      </c>
      <c r="C450" t="s">
        <v>92</v>
      </c>
      <c r="D450" t="s">
        <v>2332</v>
      </c>
      <c r="E450" t="s">
        <v>15</v>
      </c>
      <c r="F450" t="s">
        <v>2476</v>
      </c>
      <c r="G450" t="s">
        <v>18066</v>
      </c>
      <c r="H450" t="s">
        <v>1107</v>
      </c>
      <c r="I450" t="s">
        <v>1108</v>
      </c>
      <c r="J450" t="s">
        <v>2477</v>
      </c>
      <c r="K450" t="s">
        <v>2478</v>
      </c>
      <c r="L450" t="s">
        <v>21</v>
      </c>
      <c r="M450" t="s">
        <v>19177</v>
      </c>
      <c r="N450" t="s">
        <v>97</v>
      </c>
      <c r="O450" t="s">
        <v>937</v>
      </c>
      <c r="P450" t="s">
        <v>12</v>
      </c>
    </row>
    <row r="451">
      <c r="A451">
        <f>HYPERLINK("http://bombeiros.sp.gov.br/hidrantes/03individual/16583.html","16583")</f>
      </c>
      <c r="B451" t="s">
        <v>12</v>
      </c>
      <c r="C451" t="s">
        <v>92</v>
      </c>
      <c r="D451" t="s">
        <v>2332</v>
      </c>
      <c r="E451" t="s">
        <v>15</v>
      </c>
      <c r="F451" t="s">
        <v>2479</v>
      </c>
      <c r="G451" t="s">
        <v>18057</v>
      </c>
      <c r="H451" t="s">
        <v>1107</v>
      </c>
      <c r="I451" t="s">
        <v>1108</v>
      </c>
      <c r="J451" t="s">
        <v>2480</v>
      </c>
      <c r="K451" t="s">
        <v>2481</v>
      </c>
      <c r="L451" t="s">
        <v>21</v>
      </c>
      <c r="M451" t="s">
        <v>19177</v>
      </c>
      <c r="N451" t="s">
        <v>714</v>
      </c>
      <c r="O451" t="s">
        <v>10263</v>
      </c>
      <c r="P451" t="s">
        <v>12</v>
      </c>
    </row>
    <row r="452">
      <c r="A452">
        <f>HYPERLINK("http://bombeiros.sp.gov.br/hidrantes/03individual/16584.html","16584")</f>
      </c>
      <c r="B452" t="s">
        <v>12</v>
      </c>
      <c r="C452" t="s">
        <v>92</v>
      </c>
      <c r="D452" t="s">
        <v>2332</v>
      </c>
      <c r="E452" t="s">
        <v>15</v>
      </c>
      <c r="F452" t="s">
        <v>2482</v>
      </c>
      <c r="G452" t="s">
        <v>18057</v>
      </c>
      <c r="H452" t="s">
        <v>1107</v>
      </c>
      <c r="I452" t="s">
        <v>1108</v>
      </c>
      <c r="J452" t="s">
        <v>2483</v>
      </c>
      <c r="K452" t="s">
        <v>2484</v>
      </c>
      <c r="L452" t="s">
        <v>21</v>
      </c>
      <c r="M452" t="s">
        <v>19177</v>
      </c>
      <c r="N452" t="s">
        <v>714</v>
      </c>
      <c r="O452" t="s">
        <v>10263</v>
      </c>
      <c r="P452" t="s">
        <v>12</v>
      </c>
    </row>
    <row r="453">
      <c r="A453">
        <f>HYPERLINK("http://bombeiros.sp.gov.br/hidrantes/03individual/2783.html","2783")</f>
      </c>
      <c r="B453" t="s">
        <v>12</v>
      </c>
      <c r="C453" t="s">
        <v>92</v>
      </c>
      <c r="D453" t="s">
        <v>2485</v>
      </c>
      <c r="E453" t="s">
        <v>64</v>
      </c>
      <c r="F453" t="s">
        <v>2486</v>
      </c>
      <c r="G453" t="s">
        <v>18048</v>
      </c>
      <c r="H453" t="s">
        <v>1121</v>
      </c>
      <c r="I453" t="s">
        <v>1117</v>
      </c>
      <c r="J453" t="s">
        <v>2487</v>
      </c>
      <c r="K453" t="s">
        <v>2488</v>
      </c>
      <c r="L453" t="s">
        <v>36</v>
      </c>
      <c r="M453" t="s">
        <v>19177</v>
      </c>
      <c r="N453" t="s">
        <v>97</v>
      </c>
      <c r="O453" t="s">
        <v>937</v>
      </c>
      <c r="P453" t="s">
        <v>12</v>
      </c>
    </row>
    <row r="454">
      <c r="A454">
        <f>HYPERLINK("http://bombeiros.sp.gov.br/hidrantes/03individual/2793.html","2793")</f>
      </c>
      <c r="B454" t="s">
        <v>12</v>
      </c>
      <c r="C454" t="s">
        <v>92</v>
      </c>
      <c r="D454" t="s">
        <v>2485</v>
      </c>
      <c r="E454" t="s">
        <v>64</v>
      </c>
      <c r="F454" t="s">
        <v>2489</v>
      </c>
      <c r="G454" t="s">
        <v>18171</v>
      </c>
      <c r="H454" t="s">
        <v>1174</v>
      </c>
      <c r="I454" t="s">
        <v>1117</v>
      </c>
      <c r="J454" t="s">
        <v>2490</v>
      </c>
      <c r="K454" t="s">
        <v>2491</v>
      </c>
      <c r="L454" t="s">
        <v>36</v>
      </c>
      <c r="M454" t="s">
        <v>19177</v>
      </c>
      <c r="N454" t="s">
        <v>97</v>
      </c>
      <c r="O454" t="s">
        <v>937</v>
      </c>
      <c r="P454" t="s">
        <v>12</v>
      </c>
    </row>
    <row r="455">
      <c r="A455">
        <f>HYPERLINK("http://bombeiros.sp.gov.br/hidrantes/03individual/2924.html","2924")</f>
      </c>
      <c r="B455" t="s">
        <v>12</v>
      </c>
      <c r="C455" t="s">
        <v>92</v>
      </c>
      <c r="D455" t="s">
        <v>2485</v>
      </c>
      <c r="E455" t="s">
        <v>64</v>
      </c>
      <c r="F455" t="s">
        <v>2492</v>
      </c>
      <c r="G455" t="s">
        <v>18046</v>
      </c>
      <c r="H455" t="s">
        <v>1112</v>
      </c>
      <c r="I455" t="s">
        <v>1108</v>
      </c>
      <c r="J455" t="s">
        <v>2493</v>
      </c>
      <c r="K455" t="s">
        <v>2494</v>
      </c>
      <c r="L455" t="s">
        <v>21</v>
      </c>
      <c r="M455" t="s">
        <v>19177</v>
      </c>
      <c r="N455" t="s">
        <v>97</v>
      </c>
      <c r="O455" t="s">
        <v>937</v>
      </c>
      <c r="P455" t="s">
        <v>12</v>
      </c>
    </row>
    <row r="456">
      <c r="A456">
        <f>HYPERLINK("http://bombeiros.sp.gov.br/hidrantes/03individual/624.html","624")</f>
      </c>
      <c r="B456" t="s">
        <v>12</v>
      </c>
      <c r="C456" t="s">
        <v>92</v>
      </c>
      <c r="D456" t="s">
        <v>2485</v>
      </c>
      <c r="E456" t="s">
        <v>15</v>
      </c>
      <c r="F456" t="s">
        <v>2495</v>
      </c>
      <c r="G456" t="s">
        <v>18068</v>
      </c>
      <c r="H456" t="s">
        <v>1107</v>
      </c>
      <c r="I456" t="s">
        <v>1108</v>
      </c>
      <c r="J456" t="s">
        <v>2496</v>
      </c>
      <c r="K456" t="s">
        <v>2497</v>
      </c>
      <c r="L456" t="s">
        <v>21</v>
      </c>
      <c r="M456" t="s">
        <v>19177</v>
      </c>
      <c r="N456" t="s">
        <v>97</v>
      </c>
      <c r="O456" t="s">
        <v>937</v>
      </c>
      <c r="P456" t="s">
        <v>12</v>
      </c>
    </row>
    <row r="457">
      <c r="A457">
        <f>HYPERLINK("http://bombeiros.sp.gov.br/hidrantes/03individual/625.html","625")</f>
      </c>
      <c r="B457" t="s">
        <v>12</v>
      </c>
      <c r="C457" t="s">
        <v>92</v>
      </c>
      <c r="D457" t="s">
        <v>2485</v>
      </c>
      <c r="E457" t="s">
        <v>15</v>
      </c>
      <c r="F457" t="s">
        <v>2498</v>
      </c>
      <c r="G457" t="s">
        <v>18068</v>
      </c>
      <c r="H457" t="s">
        <v>1121</v>
      </c>
      <c r="I457" t="s">
        <v>1117</v>
      </c>
      <c r="J457" t="s">
        <v>2499</v>
      </c>
      <c r="K457" t="s">
        <v>2500</v>
      </c>
      <c r="L457" t="s">
        <v>21</v>
      </c>
      <c r="M457" t="s">
        <v>19177</v>
      </c>
      <c r="N457" t="s">
        <v>97</v>
      </c>
      <c r="O457" t="s">
        <v>937</v>
      </c>
      <c r="P457" t="s">
        <v>12</v>
      </c>
    </row>
    <row r="458">
      <c r="A458">
        <f>HYPERLINK("http://bombeiros.sp.gov.br/hidrantes/03individual/626.html","626")</f>
      </c>
      <c r="B458" t="s">
        <v>12</v>
      </c>
      <c r="C458" t="s">
        <v>92</v>
      </c>
      <c r="D458" t="s">
        <v>2485</v>
      </c>
      <c r="E458" t="s">
        <v>15</v>
      </c>
      <c r="F458" t="s">
        <v>2501</v>
      </c>
      <c r="G458" t="s">
        <v>18050</v>
      </c>
      <c r="H458" t="s">
        <v>1121</v>
      </c>
      <c r="I458" t="s">
        <v>1117</v>
      </c>
      <c r="J458" t="s">
        <v>2502</v>
      </c>
      <c r="K458" t="s">
        <v>2503</v>
      </c>
      <c r="L458" t="s">
        <v>21</v>
      </c>
      <c r="M458" t="s">
        <v>19177</v>
      </c>
      <c r="N458" t="s">
        <v>97</v>
      </c>
      <c r="O458" t="s">
        <v>937</v>
      </c>
      <c r="P458" t="s">
        <v>12</v>
      </c>
    </row>
    <row r="459">
      <c r="A459">
        <f>HYPERLINK("http://bombeiros.sp.gov.br/hidrantes/03individual/629.html","629")</f>
      </c>
      <c r="B459" t="s">
        <v>12</v>
      </c>
      <c r="C459" t="s">
        <v>92</v>
      </c>
      <c r="D459" t="s">
        <v>2485</v>
      </c>
      <c r="E459" t="s">
        <v>15</v>
      </c>
      <c r="F459" t="s">
        <v>2504</v>
      </c>
      <c r="G459" t="s">
        <v>18050</v>
      </c>
      <c r="H459" t="s">
        <v>1112</v>
      </c>
      <c r="I459" t="s">
        <v>1108</v>
      </c>
      <c r="J459" t="s">
        <v>2505</v>
      </c>
      <c r="K459" t="s">
        <v>2506</v>
      </c>
      <c r="L459" t="s">
        <v>21</v>
      </c>
      <c r="M459" t="s">
        <v>19177</v>
      </c>
      <c r="N459" t="s">
        <v>97</v>
      </c>
      <c r="O459" t="s">
        <v>937</v>
      </c>
      <c r="P459" t="s">
        <v>12</v>
      </c>
    </row>
    <row r="460">
      <c r="A460">
        <f>HYPERLINK("http://bombeiros.sp.gov.br/hidrantes/03individual/631.html","631")</f>
      </c>
      <c r="B460" t="s">
        <v>12</v>
      </c>
      <c r="C460" t="s">
        <v>92</v>
      </c>
      <c r="D460" t="s">
        <v>2485</v>
      </c>
      <c r="E460" t="s">
        <v>15</v>
      </c>
      <c r="F460" t="s">
        <v>2507</v>
      </c>
      <c r="G460" t="s">
        <v>18050</v>
      </c>
      <c r="H460" t="s">
        <v>1174</v>
      </c>
      <c r="I460" t="s">
        <v>1117</v>
      </c>
      <c r="J460" t="s">
        <v>2508</v>
      </c>
      <c r="K460" t="s">
        <v>2509</v>
      </c>
      <c r="L460" t="s">
        <v>21</v>
      </c>
      <c r="M460" t="s">
        <v>19177</v>
      </c>
      <c r="N460" t="s">
        <v>97</v>
      </c>
      <c r="O460" t="s">
        <v>937</v>
      </c>
      <c r="P460" t="s">
        <v>12</v>
      </c>
    </row>
    <row r="461">
      <c r="A461">
        <f>HYPERLINK("http://bombeiros.sp.gov.br/hidrantes/03individual/657.html","657")</f>
      </c>
      <c r="B461" t="s">
        <v>12</v>
      </c>
      <c r="C461" t="s">
        <v>92</v>
      </c>
      <c r="D461" t="s">
        <v>2485</v>
      </c>
      <c r="E461" t="s">
        <v>15</v>
      </c>
      <c r="F461" t="s">
        <v>2510</v>
      </c>
      <c r="G461" t="s">
        <v>18050</v>
      </c>
      <c r="H461" t="s">
        <v>1112</v>
      </c>
      <c r="I461" t="s">
        <v>1108</v>
      </c>
      <c r="J461" t="s">
        <v>2511</v>
      </c>
      <c r="K461" t="s">
        <v>2512</v>
      </c>
      <c r="L461" t="s">
        <v>21</v>
      </c>
      <c r="M461" t="s">
        <v>19177</v>
      </c>
      <c r="N461" t="s">
        <v>97</v>
      </c>
      <c r="O461" t="s">
        <v>937</v>
      </c>
      <c r="P461" t="s">
        <v>12</v>
      </c>
    </row>
    <row r="462">
      <c r="A462">
        <f>HYPERLINK("http://bombeiros.sp.gov.br/hidrantes/03individual/658.html","658")</f>
      </c>
      <c r="B462" t="s">
        <v>12</v>
      </c>
      <c r="C462" t="s">
        <v>92</v>
      </c>
      <c r="D462" t="s">
        <v>2485</v>
      </c>
      <c r="E462" t="s">
        <v>15</v>
      </c>
      <c r="F462" t="s">
        <v>2513</v>
      </c>
      <c r="G462" t="s">
        <v>18050</v>
      </c>
      <c r="H462" t="s">
        <v>1112</v>
      </c>
      <c r="I462" t="s">
        <v>1108</v>
      </c>
      <c r="J462" t="s">
        <v>2514</v>
      </c>
      <c r="K462" t="s">
        <v>2515</v>
      </c>
      <c r="L462" t="s">
        <v>36</v>
      </c>
      <c r="M462" t="s">
        <v>19177</v>
      </c>
      <c r="N462" t="s">
        <v>97</v>
      </c>
      <c r="O462" t="s">
        <v>937</v>
      </c>
      <c r="P462" t="s">
        <v>12</v>
      </c>
    </row>
    <row r="463">
      <c r="A463">
        <f>HYPERLINK("http://bombeiros.sp.gov.br/hidrantes/03individual/2782.html","2782")</f>
      </c>
      <c r="B463" t="s">
        <v>12</v>
      </c>
      <c r="C463" t="s">
        <v>92</v>
      </c>
      <c r="D463" t="s">
        <v>2485</v>
      </c>
      <c r="E463" t="s">
        <v>15</v>
      </c>
      <c r="F463" t="s">
        <v>2516</v>
      </c>
      <c r="G463" t="s">
        <v>18068</v>
      </c>
      <c r="H463" t="s">
        <v>1112</v>
      </c>
      <c r="I463" t="s">
        <v>1108</v>
      </c>
      <c r="J463" t="s">
        <v>2517</v>
      </c>
      <c r="K463" t="s">
        <v>2518</v>
      </c>
      <c r="L463" t="s">
        <v>21</v>
      </c>
      <c r="M463" t="s">
        <v>19177</v>
      </c>
      <c r="N463" t="s">
        <v>97</v>
      </c>
      <c r="O463" t="s">
        <v>937</v>
      </c>
      <c r="P463" t="s">
        <v>12</v>
      </c>
    </row>
    <row r="464">
      <c r="A464">
        <f>HYPERLINK("http://bombeiros.sp.gov.br/hidrantes/03individual/2784.html","2784")</f>
      </c>
      <c r="B464" t="s">
        <v>12</v>
      </c>
      <c r="C464" t="s">
        <v>92</v>
      </c>
      <c r="D464" t="s">
        <v>2485</v>
      </c>
      <c r="E464" t="s">
        <v>15</v>
      </c>
      <c r="F464" t="s">
        <v>2519</v>
      </c>
      <c r="G464" t="s">
        <v>18048</v>
      </c>
      <c r="H464" t="s">
        <v>1174</v>
      </c>
      <c r="I464" t="s">
        <v>1108</v>
      </c>
      <c r="J464" t="s">
        <v>2520</v>
      </c>
      <c r="K464" t="s">
        <v>2521</v>
      </c>
      <c r="L464" t="s">
        <v>21</v>
      </c>
      <c r="M464" t="s">
        <v>19177</v>
      </c>
      <c r="N464" t="s">
        <v>97</v>
      </c>
      <c r="O464" t="s">
        <v>937</v>
      </c>
      <c r="P464" t="s">
        <v>12</v>
      </c>
    </row>
    <row r="465">
      <c r="A465">
        <f>HYPERLINK("http://bombeiros.sp.gov.br/hidrantes/03individual/2785.html","2785")</f>
      </c>
      <c r="B465" t="s">
        <v>12</v>
      </c>
      <c r="C465" t="s">
        <v>92</v>
      </c>
      <c r="D465" t="s">
        <v>2485</v>
      </c>
      <c r="E465" t="s">
        <v>15</v>
      </c>
      <c r="F465" t="s">
        <v>2522</v>
      </c>
      <c r="G465" t="s">
        <v>18048</v>
      </c>
      <c r="H465" t="s">
        <v>1112</v>
      </c>
      <c r="I465" t="s">
        <v>1108</v>
      </c>
      <c r="J465" t="s">
        <v>2523</v>
      </c>
      <c r="K465" t="s">
        <v>2524</v>
      </c>
      <c r="L465" t="s">
        <v>21</v>
      </c>
      <c r="M465" t="s">
        <v>19177</v>
      </c>
      <c r="N465" t="s">
        <v>97</v>
      </c>
      <c r="O465" t="s">
        <v>937</v>
      </c>
      <c r="P465" t="s">
        <v>12</v>
      </c>
    </row>
    <row r="466">
      <c r="A466">
        <f>HYPERLINK("http://bombeiros.sp.gov.br/hidrantes/03individual/2786.html","2786")</f>
      </c>
      <c r="B466" t="s">
        <v>12</v>
      </c>
      <c r="C466" t="s">
        <v>92</v>
      </c>
      <c r="D466" t="s">
        <v>2485</v>
      </c>
      <c r="E466" t="s">
        <v>15</v>
      </c>
      <c r="F466" t="s">
        <v>2525</v>
      </c>
      <c r="G466" t="s">
        <v>18048</v>
      </c>
      <c r="H466" t="s">
        <v>1107</v>
      </c>
      <c r="I466" t="s">
        <v>1108</v>
      </c>
      <c r="J466" t="s">
        <v>2526</v>
      </c>
      <c r="K466" t="s">
        <v>2527</v>
      </c>
      <c r="L466" t="s">
        <v>21</v>
      </c>
      <c r="M466" t="s">
        <v>19177</v>
      </c>
      <c r="N466" t="s">
        <v>97</v>
      </c>
      <c r="O466" t="s">
        <v>937</v>
      </c>
      <c r="P466" t="s">
        <v>12</v>
      </c>
    </row>
    <row r="467">
      <c r="A467">
        <f>HYPERLINK("http://bombeiros.sp.gov.br/hidrantes/03individual/2788.html","2788")</f>
      </c>
      <c r="B467" t="s">
        <v>12</v>
      </c>
      <c r="C467" t="s">
        <v>92</v>
      </c>
      <c r="D467" t="s">
        <v>2485</v>
      </c>
      <c r="E467" t="s">
        <v>15</v>
      </c>
      <c r="F467" t="s">
        <v>2528</v>
      </c>
      <c r="G467" t="s">
        <v>18048</v>
      </c>
      <c r="H467" t="s">
        <v>1174</v>
      </c>
      <c r="I467" t="s">
        <v>1108</v>
      </c>
      <c r="J467" t="s">
        <v>2529</v>
      </c>
      <c r="K467" t="s">
        <v>2530</v>
      </c>
      <c r="L467" t="s">
        <v>36</v>
      </c>
      <c r="M467" t="s">
        <v>19177</v>
      </c>
      <c r="N467" t="s">
        <v>97</v>
      </c>
      <c r="O467" t="s">
        <v>937</v>
      </c>
      <c r="P467" t="s">
        <v>12</v>
      </c>
    </row>
    <row r="468">
      <c r="A468">
        <f>HYPERLINK("http://bombeiros.sp.gov.br/hidrantes/03individual/27385.html","27385")</f>
      </c>
      <c r="B468" t="s">
        <v>12</v>
      </c>
      <c r="C468" t="s">
        <v>92</v>
      </c>
      <c r="D468" t="s">
        <v>2485</v>
      </c>
      <c r="E468" t="s">
        <v>15</v>
      </c>
      <c r="F468" t="s">
        <v>17217</v>
      </c>
      <c r="G468" t="s">
        <v>17956</v>
      </c>
      <c r="H468" t="s">
        <v>1174</v>
      </c>
      <c r="I468" t="s">
        <v>1117</v>
      </c>
      <c r="J468" t="s">
        <v>17218</v>
      </c>
      <c r="K468" t="s">
        <v>17219</v>
      </c>
      <c r="L468" t="s">
        <v>21</v>
      </c>
      <c r="M468" t="s">
        <v>19177</v>
      </c>
      <c r="N468" t="s">
        <v>97</v>
      </c>
      <c r="O468" t="s">
        <v>937</v>
      </c>
      <c r="P468" t="s">
        <v>12</v>
      </c>
    </row>
    <row r="469">
      <c r="A469">
        <f>HYPERLINK("http://bombeiros.sp.gov.br/hidrantes/03individual/501.html","501")</f>
      </c>
      <c r="B469" t="s">
        <v>12</v>
      </c>
      <c r="C469" t="s">
        <v>92</v>
      </c>
      <c r="D469" t="s">
        <v>92</v>
      </c>
      <c r="E469" t="s">
        <v>64</v>
      </c>
      <c r="F469" t="s">
        <v>2531</v>
      </c>
      <c r="G469" t="s">
        <v>18069</v>
      </c>
      <c r="H469" t="s">
        <v>1107</v>
      </c>
      <c r="I469" t="s">
        <v>1108</v>
      </c>
      <c r="J469" t="s">
        <v>2532</v>
      </c>
      <c r="K469" t="s">
        <v>2533</v>
      </c>
      <c r="L469" t="s">
        <v>36</v>
      </c>
      <c r="M469" t="s">
        <v>19177</v>
      </c>
      <c r="N469" t="s">
        <v>97</v>
      </c>
      <c r="O469" t="s">
        <v>937</v>
      </c>
      <c r="P469" t="s">
        <v>12</v>
      </c>
    </row>
    <row r="470">
      <c r="A470">
        <f>HYPERLINK("http://bombeiros.sp.gov.br/hidrantes/03individual/522.html","522")</f>
      </c>
      <c r="B470" t="s">
        <v>12</v>
      </c>
      <c r="C470" t="s">
        <v>92</v>
      </c>
      <c r="D470" t="s">
        <v>92</v>
      </c>
      <c r="E470" t="s">
        <v>64</v>
      </c>
      <c r="F470" t="s">
        <v>2534</v>
      </c>
      <c r="G470" t="s">
        <v>18069</v>
      </c>
      <c r="H470" t="s">
        <v>1174</v>
      </c>
      <c r="I470" t="s">
        <v>1108</v>
      </c>
      <c r="J470" t="s">
        <v>2535</v>
      </c>
      <c r="K470" t="s">
        <v>2536</v>
      </c>
      <c r="L470" t="s">
        <v>36</v>
      </c>
      <c r="M470" t="s">
        <v>19177</v>
      </c>
      <c r="N470" t="s">
        <v>97</v>
      </c>
      <c r="O470" t="s">
        <v>937</v>
      </c>
      <c r="P470" t="s">
        <v>12</v>
      </c>
    </row>
    <row r="471">
      <c r="A471">
        <f>HYPERLINK("http://bombeiros.sp.gov.br/hidrantes/03individual/560.html","560")</f>
      </c>
      <c r="B471" t="s">
        <v>12</v>
      </c>
      <c r="C471" t="s">
        <v>92</v>
      </c>
      <c r="D471" t="s">
        <v>92</v>
      </c>
      <c r="E471" t="s">
        <v>64</v>
      </c>
      <c r="F471" t="s">
        <v>2537</v>
      </c>
      <c r="G471" t="s">
        <v>18069</v>
      </c>
      <c r="H471" t="s">
        <v>1107</v>
      </c>
      <c r="I471" t="s">
        <v>1108</v>
      </c>
      <c r="J471" t="s">
        <v>2538</v>
      </c>
      <c r="K471" t="s">
        <v>2539</v>
      </c>
      <c r="L471" t="s">
        <v>21</v>
      </c>
      <c r="M471" t="s">
        <v>19177</v>
      </c>
      <c r="N471" t="s">
        <v>97</v>
      </c>
      <c r="O471" t="s">
        <v>937</v>
      </c>
      <c r="P471" t="s">
        <v>12</v>
      </c>
    </row>
    <row r="472">
      <c r="A472">
        <f>HYPERLINK("http://bombeiros.sp.gov.br/hidrantes/03individual/690.html","690")</f>
      </c>
      <c r="B472" t="s">
        <v>12</v>
      </c>
      <c r="C472" t="s">
        <v>92</v>
      </c>
      <c r="D472" t="s">
        <v>92</v>
      </c>
      <c r="E472" t="s">
        <v>64</v>
      </c>
      <c r="F472" t="s">
        <v>2540</v>
      </c>
      <c r="G472" t="s">
        <v>18069</v>
      </c>
      <c r="H472" t="s">
        <v>1174</v>
      </c>
      <c r="I472" t="s">
        <v>1108</v>
      </c>
      <c r="J472" t="s">
        <v>2542</v>
      </c>
      <c r="K472" t="s">
        <v>2543</v>
      </c>
      <c r="L472" t="s">
        <v>36</v>
      </c>
      <c r="M472" t="s">
        <v>19177</v>
      </c>
      <c r="N472" t="s">
        <v>97</v>
      </c>
      <c r="O472" t="s">
        <v>937</v>
      </c>
      <c r="P472" t="s">
        <v>12</v>
      </c>
    </row>
    <row r="473">
      <c r="A473">
        <f>HYPERLINK("http://bombeiros.sp.gov.br/hidrantes/03individual/2805.html","2805")</f>
      </c>
      <c r="B473" t="s">
        <v>12</v>
      </c>
      <c r="C473" t="s">
        <v>92</v>
      </c>
      <c r="D473" t="s">
        <v>92</v>
      </c>
      <c r="E473" t="s">
        <v>64</v>
      </c>
      <c r="F473" t="s">
        <v>2544</v>
      </c>
      <c r="G473" t="s">
        <v>18055</v>
      </c>
      <c r="H473" t="s">
        <v>1121</v>
      </c>
      <c r="I473" t="s">
        <v>1117</v>
      </c>
      <c r="J473" t="s">
        <v>2545</v>
      </c>
      <c r="K473" t="s">
        <v>2546</v>
      </c>
      <c r="L473" t="s">
        <v>36</v>
      </c>
      <c r="M473" t="s">
        <v>19177</v>
      </c>
      <c r="N473" t="s">
        <v>97</v>
      </c>
      <c r="O473" t="s">
        <v>937</v>
      </c>
      <c r="P473" t="s">
        <v>12</v>
      </c>
    </row>
    <row r="474">
      <c r="A474">
        <f>HYPERLINK("http://bombeiros.sp.gov.br/hidrantes/03individual/2810.html","2810")</f>
      </c>
      <c r="B474" t="s">
        <v>12</v>
      </c>
      <c r="C474" t="s">
        <v>92</v>
      </c>
      <c r="D474" t="s">
        <v>92</v>
      </c>
      <c r="E474" t="s">
        <v>64</v>
      </c>
      <c r="F474" t="s">
        <v>2547</v>
      </c>
      <c r="G474" t="s">
        <v>18055</v>
      </c>
      <c r="H474" t="s">
        <v>1121</v>
      </c>
      <c r="I474" t="s">
        <v>1117</v>
      </c>
      <c r="J474" t="s">
        <v>2548</v>
      </c>
      <c r="K474" t="s">
        <v>2549</v>
      </c>
      <c r="L474" t="s">
        <v>36</v>
      </c>
      <c r="M474" t="s">
        <v>19177</v>
      </c>
      <c r="N474" t="s">
        <v>97</v>
      </c>
      <c r="O474" t="s">
        <v>937</v>
      </c>
      <c r="P474" t="s">
        <v>12</v>
      </c>
    </row>
    <row r="475">
      <c r="A475">
        <f>HYPERLINK("http://bombeiros.sp.gov.br/hidrantes/03individual/2824.html","2824")</f>
      </c>
      <c r="B475" t="s">
        <v>12</v>
      </c>
      <c r="C475" t="s">
        <v>92</v>
      </c>
      <c r="D475" t="s">
        <v>92</v>
      </c>
      <c r="E475" t="s">
        <v>64</v>
      </c>
      <c r="F475" t="s">
        <v>2550</v>
      </c>
      <c r="G475" t="s">
        <v>18055</v>
      </c>
      <c r="H475" t="s">
        <v>1121</v>
      </c>
      <c r="I475" t="s">
        <v>1117</v>
      </c>
      <c r="J475" t="s">
        <v>2551</v>
      </c>
      <c r="K475" t="s">
        <v>2552</v>
      </c>
      <c r="L475" t="s">
        <v>36</v>
      </c>
      <c r="M475" t="s">
        <v>19177</v>
      </c>
      <c r="N475" t="s">
        <v>97</v>
      </c>
      <c r="O475" t="s">
        <v>937</v>
      </c>
      <c r="P475" t="s">
        <v>12</v>
      </c>
    </row>
    <row r="476">
      <c r="A476">
        <f>HYPERLINK("http://bombeiros.sp.gov.br/hidrantes/03individual/2867.html","2867")</f>
      </c>
      <c r="B476" t="s">
        <v>12</v>
      </c>
      <c r="C476" t="s">
        <v>92</v>
      </c>
      <c r="D476" t="s">
        <v>92</v>
      </c>
      <c r="E476" t="s">
        <v>64</v>
      </c>
      <c r="F476" t="s">
        <v>2553</v>
      </c>
      <c r="G476" t="s">
        <v>18082</v>
      </c>
      <c r="H476" t="s">
        <v>1112</v>
      </c>
      <c r="I476" t="s">
        <v>1108</v>
      </c>
      <c r="J476" t="s">
        <v>2554</v>
      </c>
      <c r="K476" t="s">
        <v>2555</v>
      </c>
      <c r="L476" t="s">
        <v>36</v>
      </c>
      <c r="M476" t="s">
        <v>19177</v>
      </c>
      <c r="N476" t="s">
        <v>97</v>
      </c>
      <c r="O476" t="s">
        <v>937</v>
      </c>
      <c r="P476" t="s">
        <v>12</v>
      </c>
    </row>
    <row r="477">
      <c r="A477">
        <f>HYPERLINK("http://bombeiros.sp.gov.br/hidrantes/03individual/2895.html","2895")</f>
      </c>
      <c r="B477" t="s">
        <v>12</v>
      </c>
      <c r="C477" t="s">
        <v>92</v>
      </c>
      <c r="D477" t="s">
        <v>92</v>
      </c>
      <c r="E477" t="s">
        <v>64</v>
      </c>
      <c r="F477" t="s">
        <v>2556</v>
      </c>
      <c r="G477" t="s">
        <v>18180</v>
      </c>
      <c r="H477" t="s">
        <v>1121</v>
      </c>
      <c r="I477" t="s">
        <v>1117</v>
      </c>
      <c r="J477" t="s">
        <v>2557</v>
      </c>
      <c r="K477" t="s">
        <v>2558</v>
      </c>
      <c r="L477" t="s">
        <v>36</v>
      </c>
      <c r="M477" t="s">
        <v>19177</v>
      </c>
      <c r="N477" t="s">
        <v>97</v>
      </c>
      <c r="O477" t="s">
        <v>937</v>
      </c>
      <c r="P477" t="s">
        <v>12</v>
      </c>
    </row>
    <row r="478">
      <c r="A478">
        <f>HYPERLINK("http://bombeiros.sp.gov.br/hidrantes/03individual/2905.html","2905")</f>
      </c>
      <c r="B478" t="s">
        <v>12</v>
      </c>
      <c r="C478" t="s">
        <v>92</v>
      </c>
      <c r="D478" t="s">
        <v>92</v>
      </c>
      <c r="E478" t="s">
        <v>64</v>
      </c>
      <c r="F478" t="s">
        <v>2559</v>
      </c>
      <c r="G478" t="s">
        <v>18070</v>
      </c>
      <c r="H478" t="s">
        <v>1121</v>
      </c>
      <c r="I478" t="s">
        <v>1108</v>
      </c>
      <c r="J478" t="s">
        <v>2560</v>
      </c>
      <c r="K478" t="s">
        <v>2561</v>
      </c>
      <c r="L478" t="s">
        <v>36</v>
      </c>
      <c r="M478" t="s">
        <v>19177</v>
      </c>
      <c r="N478" t="s">
        <v>97</v>
      </c>
      <c r="O478" t="s">
        <v>937</v>
      </c>
      <c r="P478" t="s">
        <v>12</v>
      </c>
    </row>
    <row r="479">
      <c r="A479">
        <f>HYPERLINK("http://bombeiros.sp.gov.br/hidrantes/03individual/2912.html","2912")</f>
      </c>
      <c r="B479" t="s">
        <v>12</v>
      </c>
      <c r="C479" t="s">
        <v>92</v>
      </c>
      <c r="D479" t="s">
        <v>92</v>
      </c>
      <c r="E479" t="s">
        <v>64</v>
      </c>
      <c r="F479" t="s">
        <v>2562</v>
      </c>
      <c r="G479" t="s">
        <v>18070</v>
      </c>
      <c r="H479" t="s">
        <v>1121</v>
      </c>
      <c r="I479" t="s">
        <v>1117</v>
      </c>
      <c r="J479" t="s">
        <v>2563</v>
      </c>
      <c r="K479" t="s">
        <v>2564</v>
      </c>
      <c r="L479" t="s">
        <v>21</v>
      </c>
      <c r="M479" t="s">
        <v>19177</v>
      </c>
      <c r="N479" t="s">
        <v>97</v>
      </c>
      <c r="O479" t="s">
        <v>937</v>
      </c>
      <c r="P479" t="s">
        <v>12</v>
      </c>
    </row>
    <row r="480">
      <c r="A480">
        <f>HYPERLINK("http://bombeiros.sp.gov.br/hidrantes/03individual/2950.html","2950")</f>
      </c>
      <c r="B480" t="s">
        <v>12</v>
      </c>
      <c r="C480" t="s">
        <v>92</v>
      </c>
      <c r="D480" t="s">
        <v>92</v>
      </c>
      <c r="E480" t="s">
        <v>64</v>
      </c>
      <c r="F480" t="s">
        <v>2565</v>
      </c>
      <c r="G480" t="s">
        <v>18070</v>
      </c>
      <c r="H480" t="s">
        <v>1121</v>
      </c>
      <c r="I480" t="s">
        <v>1117</v>
      </c>
      <c r="J480" t="s">
        <v>2566</v>
      </c>
      <c r="K480" t="s">
        <v>2567</v>
      </c>
      <c r="L480" t="s">
        <v>36</v>
      </c>
      <c r="M480" t="s">
        <v>19177</v>
      </c>
      <c r="N480" t="s">
        <v>97</v>
      </c>
      <c r="O480" t="s">
        <v>937</v>
      </c>
      <c r="P480" t="s">
        <v>12</v>
      </c>
    </row>
    <row r="481">
      <c r="A481">
        <f>HYPERLINK("http://bombeiros.sp.gov.br/hidrantes/03individual/5614.html","5614")</f>
      </c>
      <c r="B481" t="s">
        <v>12</v>
      </c>
      <c r="C481" t="s">
        <v>92</v>
      </c>
      <c r="D481" t="s">
        <v>92</v>
      </c>
      <c r="E481" t="s">
        <v>64</v>
      </c>
      <c r="F481" t="s">
        <v>2568</v>
      </c>
      <c r="G481" t="s">
        <v>18067</v>
      </c>
      <c r="H481" t="s">
        <v>1112</v>
      </c>
      <c r="I481" t="s">
        <v>1108</v>
      </c>
      <c r="J481" t="s">
        <v>2570</v>
      </c>
      <c r="K481" t="s">
        <v>2571</v>
      </c>
      <c r="L481" t="s">
        <v>21</v>
      </c>
      <c r="M481" t="s">
        <v>19177</v>
      </c>
      <c r="N481" t="s">
        <v>97</v>
      </c>
      <c r="O481" t="s">
        <v>937</v>
      </c>
      <c r="P481" t="s">
        <v>12</v>
      </c>
    </row>
    <row r="482">
      <c r="A482">
        <f>HYPERLINK("http://bombeiros.sp.gov.br/hidrantes/03individual/27420.html","27420")</f>
      </c>
      <c r="B482" t="s">
        <v>12</v>
      </c>
      <c r="C482" t="s">
        <v>92</v>
      </c>
      <c r="D482" t="s">
        <v>92</v>
      </c>
      <c r="E482" t="s">
        <v>64</v>
      </c>
      <c r="F482" t="s">
        <v>17310</v>
      </c>
      <c r="G482" t="s">
        <v>18070</v>
      </c>
      <c r="H482" t="s">
        <v>1121</v>
      </c>
      <c r="I482" t="s">
        <v>1108</v>
      </c>
      <c r="J482" t="s">
        <v>17311</v>
      </c>
      <c r="K482" t="s">
        <v>17312</v>
      </c>
      <c r="L482" t="s">
        <v>21</v>
      </c>
      <c r="M482" t="s">
        <v>19177</v>
      </c>
      <c r="N482" t="s">
        <v>97</v>
      </c>
      <c r="O482" t="s">
        <v>937</v>
      </c>
      <c r="P482" t="s">
        <v>12</v>
      </c>
    </row>
    <row r="483">
      <c r="A483">
        <f>HYPERLINK("http://bombeiros.sp.gov.br/hidrantes/03individual/500.html","500")</f>
      </c>
      <c r="B483" t="s">
        <v>12</v>
      </c>
      <c r="C483" t="s">
        <v>92</v>
      </c>
      <c r="D483" t="s">
        <v>92</v>
      </c>
      <c r="E483" t="s">
        <v>15</v>
      </c>
      <c r="F483" t="s">
        <v>2572</v>
      </c>
      <c r="G483" t="s">
        <v>18069</v>
      </c>
      <c r="H483" t="s">
        <v>1107</v>
      </c>
      <c r="I483" t="s">
        <v>1108</v>
      </c>
      <c r="J483" t="s">
        <v>2573</v>
      </c>
      <c r="K483" t="s">
        <v>2574</v>
      </c>
      <c r="L483" t="s">
        <v>36</v>
      </c>
      <c r="M483" t="s">
        <v>19177</v>
      </c>
      <c r="N483" t="s">
        <v>97</v>
      </c>
      <c r="O483" t="s">
        <v>937</v>
      </c>
      <c r="P483" t="s">
        <v>12</v>
      </c>
    </row>
    <row r="484">
      <c r="A484">
        <f>HYPERLINK("http://bombeiros.sp.gov.br/hidrantes/03individual/502.html","502")</f>
      </c>
      <c r="B484" t="s">
        <v>12</v>
      </c>
      <c r="C484" t="s">
        <v>92</v>
      </c>
      <c r="D484" t="s">
        <v>92</v>
      </c>
      <c r="E484" t="s">
        <v>15</v>
      </c>
      <c r="F484" t="s">
        <v>2575</v>
      </c>
      <c r="G484" t="s">
        <v>18069</v>
      </c>
      <c r="H484" t="s">
        <v>1107</v>
      </c>
      <c r="I484" t="s">
        <v>1108</v>
      </c>
      <c r="J484" t="s">
        <v>2576</v>
      </c>
      <c r="K484" t="s">
        <v>2577</v>
      </c>
      <c r="L484" t="s">
        <v>21</v>
      </c>
      <c r="M484" t="s">
        <v>19177</v>
      </c>
      <c r="N484" t="s">
        <v>97</v>
      </c>
      <c r="O484" t="s">
        <v>937</v>
      </c>
      <c r="P484" t="s">
        <v>12</v>
      </c>
    </row>
    <row r="485">
      <c r="A485">
        <f>HYPERLINK("http://bombeiros.sp.gov.br/hidrantes/03individual/509.html","509")</f>
      </c>
      <c r="B485" t="s">
        <v>12</v>
      </c>
      <c r="C485" t="s">
        <v>92</v>
      </c>
      <c r="D485" t="s">
        <v>92</v>
      </c>
      <c r="E485" t="s">
        <v>15</v>
      </c>
      <c r="F485" t="s">
        <v>2578</v>
      </c>
      <c r="G485" t="s">
        <v>18069</v>
      </c>
      <c r="H485" t="s">
        <v>1107</v>
      </c>
      <c r="I485" t="s">
        <v>1108</v>
      </c>
      <c r="J485" t="s">
        <v>2579</v>
      </c>
      <c r="K485" t="s">
        <v>2580</v>
      </c>
      <c r="L485" t="s">
        <v>21</v>
      </c>
      <c r="M485" t="s">
        <v>19177</v>
      </c>
      <c r="N485" t="s">
        <v>97</v>
      </c>
      <c r="O485" t="s">
        <v>937</v>
      </c>
      <c r="P485" t="s">
        <v>12</v>
      </c>
    </row>
    <row r="486">
      <c r="A486">
        <f>HYPERLINK("http://bombeiros.sp.gov.br/hidrantes/03individual/523.html","523")</f>
      </c>
      <c r="B486" t="s">
        <v>12</v>
      </c>
      <c r="C486" t="s">
        <v>92</v>
      </c>
      <c r="D486" t="s">
        <v>92</v>
      </c>
      <c r="E486" t="s">
        <v>15</v>
      </c>
      <c r="F486" t="s">
        <v>2581</v>
      </c>
      <c r="G486" t="s">
        <v>18069</v>
      </c>
      <c r="H486" t="s">
        <v>1107</v>
      </c>
      <c r="I486" t="s">
        <v>1108</v>
      </c>
      <c r="J486" t="s">
        <v>2582</v>
      </c>
      <c r="K486" t="s">
        <v>2583</v>
      </c>
      <c r="L486" t="s">
        <v>21</v>
      </c>
      <c r="M486" t="s">
        <v>19177</v>
      </c>
      <c r="N486" t="s">
        <v>97</v>
      </c>
      <c r="O486" t="s">
        <v>937</v>
      </c>
      <c r="P486" t="s">
        <v>12</v>
      </c>
    </row>
    <row r="487">
      <c r="A487">
        <f>HYPERLINK("http://bombeiros.sp.gov.br/hidrantes/03individual/524.html","524")</f>
      </c>
      <c r="B487" t="s">
        <v>12</v>
      </c>
      <c r="C487" t="s">
        <v>92</v>
      </c>
      <c r="D487" t="s">
        <v>92</v>
      </c>
      <c r="E487" t="s">
        <v>15</v>
      </c>
      <c r="F487" t="s">
        <v>2584</v>
      </c>
      <c r="G487" t="s">
        <v>18069</v>
      </c>
      <c r="H487" t="s">
        <v>1107</v>
      </c>
      <c r="I487" t="s">
        <v>1108</v>
      </c>
      <c r="J487" t="s">
        <v>2585</v>
      </c>
      <c r="K487" t="s">
        <v>2586</v>
      </c>
      <c r="L487" t="s">
        <v>21</v>
      </c>
      <c r="M487" t="s">
        <v>19177</v>
      </c>
      <c r="N487" t="s">
        <v>97</v>
      </c>
      <c r="O487" t="s">
        <v>937</v>
      </c>
      <c r="P487" t="s">
        <v>12</v>
      </c>
    </row>
    <row r="488">
      <c r="A488">
        <f>HYPERLINK("http://bombeiros.sp.gov.br/hidrantes/03individual/525.html","525")</f>
      </c>
      <c r="B488" t="s">
        <v>12</v>
      </c>
      <c r="C488" t="s">
        <v>92</v>
      </c>
      <c r="D488" t="s">
        <v>92</v>
      </c>
      <c r="E488" t="s">
        <v>15</v>
      </c>
      <c r="F488" t="s">
        <v>2587</v>
      </c>
      <c r="G488" t="s">
        <v>18069</v>
      </c>
      <c r="H488" t="s">
        <v>1107</v>
      </c>
      <c r="I488" t="s">
        <v>1108</v>
      </c>
      <c r="J488" t="s">
        <v>2588</v>
      </c>
      <c r="K488" t="s">
        <v>2589</v>
      </c>
      <c r="L488" t="s">
        <v>21</v>
      </c>
      <c r="M488" t="s">
        <v>19177</v>
      </c>
      <c r="N488" t="s">
        <v>97</v>
      </c>
      <c r="O488" t="s">
        <v>937</v>
      </c>
      <c r="P488" t="s">
        <v>12</v>
      </c>
    </row>
    <row r="489">
      <c r="A489">
        <f>HYPERLINK("http://bombeiros.sp.gov.br/hidrantes/03individual/552.html","552")</f>
      </c>
      <c r="B489" t="s">
        <v>12</v>
      </c>
      <c r="C489" t="s">
        <v>92</v>
      </c>
      <c r="D489" t="s">
        <v>92</v>
      </c>
      <c r="E489" t="s">
        <v>15</v>
      </c>
      <c r="F489" t="s">
        <v>2590</v>
      </c>
      <c r="G489" t="s">
        <v>18069</v>
      </c>
      <c r="H489" t="s">
        <v>1107</v>
      </c>
      <c r="I489" t="s">
        <v>1108</v>
      </c>
      <c r="J489" t="s">
        <v>2591</v>
      </c>
      <c r="K489" t="s">
        <v>2592</v>
      </c>
      <c r="L489" t="s">
        <v>21</v>
      </c>
      <c r="M489" t="s">
        <v>19177</v>
      </c>
      <c r="N489" t="s">
        <v>97</v>
      </c>
      <c r="O489" t="s">
        <v>937</v>
      </c>
      <c r="P489" t="s">
        <v>12</v>
      </c>
    </row>
    <row r="490">
      <c r="A490">
        <f>HYPERLINK("http://bombeiros.sp.gov.br/hidrantes/03individual/553.html","553")</f>
      </c>
      <c r="B490" t="s">
        <v>12</v>
      </c>
      <c r="C490" t="s">
        <v>92</v>
      </c>
      <c r="D490" t="s">
        <v>92</v>
      </c>
      <c r="E490" t="s">
        <v>15</v>
      </c>
      <c r="F490" t="s">
        <v>2593</v>
      </c>
      <c r="G490" t="s">
        <v>18069</v>
      </c>
      <c r="H490" t="s">
        <v>1107</v>
      </c>
      <c r="I490" t="s">
        <v>1108</v>
      </c>
      <c r="J490" t="s">
        <v>16030</v>
      </c>
      <c r="K490" t="s">
        <v>16031</v>
      </c>
      <c r="L490" t="s">
        <v>21</v>
      </c>
      <c r="M490" t="s">
        <v>19177</v>
      </c>
      <c r="N490" t="s">
        <v>97</v>
      </c>
      <c r="O490" t="s">
        <v>937</v>
      </c>
      <c r="P490" t="s">
        <v>12</v>
      </c>
    </row>
    <row r="491">
      <c r="A491">
        <f>HYPERLINK("http://bombeiros.sp.gov.br/hidrantes/03individual/555.html","555")</f>
      </c>
      <c r="B491" t="s">
        <v>12</v>
      </c>
      <c r="C491" t="s">
        <v>92</v>
      </c>
      <c r="D491" t="s">
        <v>92</v>
      </c>
      <c r="E491" t="s">
        <v>15</v>
      </c>
      <c r="F491" t="s">
        <v>2596</v>
      </c>
      <c r="G491" t="s">
        <v>18069</v>
      </c>
      <c r="H491" t="s">
        <v>1107</v>
      </c>
      <c r="I491" t="s">
        <v>1108</v>
      </c>
      <c r="J491" t="s">
        <v>2597</v>
      </c>
      <c r="K491" t="s">
        <v>16923</v>
      </c>
      <c r="L491" t="s">
        <v>21</v>
      </c>
      <c r="M491" t="s">
        <v>19177</v>
      </c>
      <c r="N491" t="s">
        <v>97</v>
      </c>
      <c r="O491" t="s">
        <v>937</v>
      </c>
      <c r="P491" t="s">
        <v>12</v>
      </c>
    </row>
    <row r="492">
      <c r="A492">
        <f>HYPERLINK("http://bombeiros.sp.gov.br/hidrantes/03individual/590.html","590")</f>
      </c>
      <c r="B492" t="s">
        <v>12</v>
      </c>
      <c r="C492" t="s">
        <v>92</v>
      </c>
      <c r="D492" t="s">
        <v>92</v>
      </c>
      <c r="E492" t="s">
        <v>15</v>
      </c>
      <c r="F492" t="s">
        <v>2599</v>
      </c>
      <c r="G492" t="s">
        <v>18069</v>
      </c>
      <c r="H492" t="s">
        <v>1107</v>
      </c>
      <c r="I492" t="s">
        <v>1108</v>
      </c>
      <c r="J492" t="s">
        <v>2600</v>
      </c>
      <c r="K492" t="s">
        <v>2601</v>
      </c>
      <c r="L492" t="s">
        <v>21</v>
      </c>
      <c r="M492" t="s">
        <v>19177</v>
      </c>
      <c r="N492" t="s">
        <v>97</v>
      </c>
      <c r="O492" t="s">
        <v>937</v>
      </c>
      <c r="P492" t="s">
        <v>12</v>
      </c>
    </row>
    <row r="493">
      <c r="A493">
        <f>HYPERLINK("http://bombeiros.sp.gov.br/hidrantes/03individual/609.html","609")</f>
      </c>
      <c r="B493" t="s">
        <v>12</v>
      </c>
      <c r="C493" t="s">
        <v>92</v>
      </c>
      <c r="D493" t="s">
        <v>92</v>
      </c>
      <c r="E493" t="s">
        <v>15</v>
      </c>
      <c r="F493" t="s">
        <v>2602</v>
      </c>
      <c r="G493" t="s">
        <v>18069</v>
      </c>
      <c r="H493" t="s">
        <v>1107</v>
      </c>
      <c r="I493" t="s">
        <v>1108</v>
      </c>
      <c r="J493" t="s">
        <v>2603</v>
      </c>
      <c r="K493" t="s">
        <v>2604</v>
      </c>
      <c r="L493" t="s">
        <v>21</v>
      </c>
      <c r="M493" t="s">
        <v>19177</v>
      </c>
      <c r="N493" t="s">
        <v>97</v>
      </c>
      <c r="O493" t="s">
        <v>937</v>
      </c>
      <c r="P493" t="s">
        <v>12</v>
      </c>
    </row>
    <row r="494">
      <c r="A494">
        <f>HYPERLINK("http://bombeiros.sp.gov.br/hidrantes/03individual/655.html","655")</f>
      </c>
      <c r="B494" t="s">
        <v>12</v>
      </c>
      <c r="C494" t="s">
        <v>92</v>
      </c>
      <c r="D494" t="s">
        <v>92</v>
      </c>
      <c r="E494" t="s">
        <v>15</v>
      </c>
      <c r="F494" t="s">
        <v>2605</v>
      </c>
      <c r="G494" t="s">
        <v>18069</v>
      </c>
      <c r="H494" t="s">
        <v>1107</v>
      </c>
      <c r="I494" t="s">
        <v>1108</v>
      </c>
      <c r="J494" t="s">
        <v>2606</v>
      </c>
      <c r="K494" t="s">
        <v>2607</v>
      </c>
      <c r="L494" t="s">
        <v>21</v>
      </c>
      <c r="M494" t="s">
        <v>19177</v>
      </c>
      <c r="N494" t="s">
        <v>97</v>
      </c>
      <c r="O494" t="s">
        <v>937</v>
      </c>
      <c r="P494" t="s">
        <v>12</v>
      </c>
    </row>
    <row r="495">
      <c r="A495">
        <f>HYPERLINK("http://bombeiros.sp.gov.br/hidrantes/03individual/684.html","684")</f>
      </c>
      <c r="B495" t="s">
        <v>12</v>
      </c>
      <c r="C495" t="s">
        <v>92</v>
      </c>
      <c r="D495" t="s">
        <v>92</v>
      </c>
      <c r="E495" t="s">
        <v>15</v>
      </c>
      <c r="F495" t="s">
        <v>2608</v>
      </c>
      <c r="G495" t="s">
        <v>18069</v>
      </c>
      <c r="H495" t="s">
        <v>1174</v>
      </c>
      <c r="I495" t="s">
        <v>1108</v>
      </c>
      <c r="J495" t="s">
        <v>2609</v>
      </c>
      <c r="K495" t="s">
        <v>2610</v>
      </c>
      <c r="L495" t="s">
        <v>21</v>
      </c>
      <c r="M495" t="s">
        <v>19177</v>
      </c>
      <c r="N495" t="s">
        <v>97</v>
      </c>
      <c r="O495" t="s">
        <v>937</v>
      </c>
      <c r="P495" t="s">
        <v>12</v>
      </c>
    </row>
    <row r="496">
      <c r="A496">
        <f>HYPERLINK("http://bombeiros.sp.gov.br/hidrantes/03individual/685.html","685")</f>
      </c>
      <c r="B496" t="s">
        <v>12</v>
      </c>
      <c r="C496" t="s">
        <v>92</v>
      </c>
      <c r="D496" t="s">
        <v>92</v>
      </c>
      <c r="E496" t="s">
        <v>15</v>
      </c>
      <c r="F496" t="s">
        <v>2611</v>
      </c>
      <c r="G496" t="s">
        <v>18069</v>
      </c>
      <c r="H496" t="s">
        <v>1107</v>
      </c>
      <c r="I496" t="s">
        <v>1108</v>
      </c>
      <c r="J496" t="s">
        <v>2612</v>
      </c>
      <c r="K496" t="s">
        <v>2613</v>
      </c>
      <c r="L496" t="s">
        <v>21</v>
      </c>
      <c r="M496" t="s">
        <v>19177</v>
      </c>
      <c r="N496" t="s">
        <v>97</v>
      </c>
      <c r="O496" t="s">
        <v>937</v>
      </c>
      <c r="P496" t="s">
        <v>12</v>
      </c>
    </row>
    <row r="497">
      <c r="A497">
        <f>HYPERLINK("http://bombeiros.sp.gov.br/hidrantes/03individual/688.html","688")</f>
      </c>
      <c r="B497" t="s">
        <v>12</v>
      </c>
      <c r="C497" t="s">
        <v>92</v>
      </c>
      <c r="D497" t="s">
        <v>92</v>
      </c>
      <c r="E497" t="s">
        <v>15</v>
      </c>
      <c r="F497" t="s">
        <v>2614</v>
      </c>
      <c r="G497" t="s">
        <v>18069</v>
      </c>
      <c r="H497" t="s">
        <v>1121</v>
      </c>
      <c r="I497" t="s">
        <v>1117</v>
      </c>
      <c r="J497" t="s">
        <v>2615</v>
      </c>
      <c r="K497" t="s">
        <v>2616</v>
      </c>
      <c r="L497" t="s">
        <v>21</v>
      </c>
      <c r="M497" t="s">
        <v>19177</v>
      </c>
      <c r="N497" t="s">
        <v>97</v>
      </c>
      <c r="O497" t="s">
        <v>937</v>
      </c>
      <c r="P497" t="s">
        <v>12</v>
      </c>
    </row>
    <row r="498">
      <c r="A498">
        <f>HYPERLINK("http://bombeiros.sp.gov.br/hidrantes/03individual/689.html","689")</f>
      </c>
      <c r="B498" t="s">
        <v>12</v>
      </c>
      <c r="C498" t="s">
        <v>92</v>
      </c>
      <c r="D498" t="s">
        <v>92</v>
      </c>
      <c r="E498" t="s">
        <v>15</v>
      </c>
      <c r="F498" t="s">
        <v>2617</v>
      </c>
      <c r="G498" t="s">
        <v>18069</v>
      </c>
      <c r="H498" t="s">
        <v>1174</v>
      </c>
      <c r="I498" t="s">
        <v>1108</v>
      </c>
      <c r="J498" t="s">
        <v>2618</v>
      </c>
      <c r="K498" t="s">
        <v>2619</v>
      </c>
      <c r="L498" t="s">
        <v>21</v>
      </c>
      <c r="M498" t="s">
        <v>19177</v>
      </c>
      <c r="N498" t="s">
        <v>97</v>
      </c>
      <c r="O498" t="s">
        <v>937</v>
      </c>
      <c r="P498" t="s">
        <v>12</v>
      </c>
    </row>
    <row r="499">
      <c r="A499">
        <f>HYPERLINK("http://bombeiros.sp.gov.br/hidrantes/03individual/784.html","784")</f>
      </c>
      <c r="B499" t="s">
        <v>12</v>
      </c>
      <c r="C499" t="s">
        <v>92</v>
      </c>
      <c r="D499" t="s">
        <v>92</v>
      </c>
      <c r="E499" t="s">
        <v>15</v>
      </c>
      <c r="F499" t="s">
        <v>2620</v>
      </c>
      <c r="G499" t="s">
        <v>18089</v>
      </c>
      <c r="H499"/>
      <c r="I499" t="s">
        <v>18</v>
      </c>
      <c r="J499" t="s">
        <v>2621</v>
      </c>
      <c r="K499" t="s">
        <v>2622</v>
      </c>
      <c r="L499" t="s">
        <v>21</v>
      </c>
      <c r="M499" t="s">
        <v>19177</v>
      </c>
      <c r="N499" t="s">
        <v>97</v>
      </c>
      <c r="O499" t="s">
        <v>937</v>
      </c>
      <c r="P499" t="s">
        <v>12</v>
      </c>
    </row>
    <row r="500">
      <c r="A500">
        <f>HYPERLINK("http://bombeiros.sp.gov.br/hidrantes/03individual/807.html","807")</f>
      </c>
      <c r="B500" t="s">
        <v>12</v>
      </c>
      <c r="C500" t="s">
        <v>92</v>
      </c>
      <c r="D500" t="s">
        <v>92</v>
      </c>
      <c r="E500" t="s">
        <v>15</v>
      </c>
      <c r="F500" t="s">
        <v>2623</v>
      </c>
      <c r="G500" t="s">
        <v>18055</v>
      </c>
      <c r="H500" t="s">
        <v>1107</v>
      </c>
      <c r="I500" t="s">
        <v>1108</v>
      </c>
      <c r="J500" t="s">
        <v>2624</v>
      </c>
      <c r="K500" t="s">
        <v>2625</v>
      </c>
      <c r="L500" t="s">
        <v>21</v>
      </c>
      <c r="M500" t="s">
        <v>19177</v>
      </c>
      <c r="N500" t="s">
        <v>97</v>
      </c>
      <c r="O500" t="s">
        <v>937</v>
      </c>
      <c r="P500" t="s">
        <v>12</v>
      </c>
    </row>
    <row r="501">
      <c r="A501">
        <f>HYPERLINK("http://bombeiros.sp.gov.br/hidrantes/03individual/1578.html","1578")</f>
      </c>
      <c r="B501" t="s">
        <v>12</v>
      </c>
      <c r="C501" t="s">
        <v>92</v>
      </c>
      <c r="D501" t="s">
        <v>92</v>
      </c>
      <c r="E501" t="s">
        <v>15</v>
      </c>
      <c r="F501" t="s">
        <v>2626</v>
      </c>
      <c r="G501" t="s">
        <v>18089</v>
      </c>
      <c r="H501" t="s">
        <v>1121</v>
      </c>
      <c r="I501" t="s">
        <v>1117</v>
      </c>
      <c r="J501" t="s">
        <v>2627</v>
      </c>
      <c r="K501" t="s">
        <v>2628</v>
      </c>
      <c r="L501" t="s">
        <v>21</v>
      </c>
      <c r="M501" t="s">
        <v>19177</v>
      </c>
      <c r="N501" t="s">
        <v>97</v>
      </c>
      <c r="O501" t="s">
        <v>937</v>
      </c>
      <c r="P501" t="s">
        <v>12</v>
      </c>
    </row>
    <row r="502">
      <c r="A502">
        <f>HYPERLINK("http://bombeiros.sp.gov.br/hidrantes/03individual/2797.html","2797")</f>
      </c>
      <c r="B502" t="s">
        <v>12</v>
      </c>
      <c r="C502" t="s">
        <v>92</v>
      </c>
      <c r="D502" t="s">
        <v>92</v>
      </c>
      <c r="E502" t="s">
        <v>15</v>
      </c>
      <c r="F502" t="s">
        <v>2629</v>
      </c>
      <c r="G502" t="s">
        <v>18055</v>
      </c>
      <c r="H502"/>
      <c r="I502" t="s">
        <v>18</v>
      </c>
      <c r="J502" t="s">
        <v>2630</v>
      </c>
      <c r="K502" t="s">
        <v>2631</v>
      </c>
      <c r="L502" t="s">
        <v>21</v>
      </c>
      <c r="M502" t="s">
        <v>19177</v>
      </c>
      <c r="N502" t="s">
        <v>97</v>
      </c>
      <c r="O502" t="s">
        <v>937</v>
      </c>
      <c r="P502" t="s">
        <v>12</v>
      </c>
    </row>
    <row r="503">
      <c r="A503">
        <f>HYPERLINK("http://bombeiros.sp.gov.br/hidrantes/03individual/2812.html","2812")</f>
      </c>
      <c r="B503" t="s">
        <v>12</v>
      </c>
      <c r="C503" t="s">
        <v>92</v>
      </c>
      <c r="D503" t="s">
        <v>92</v>
      </c>
      <c r="E503" t="s">
        <v>15</v>
      </c>
      <c r="F503" t="s">
        <v>2632</v>
      </c>
      <c r="G503" t="s">
        <v>18055</v>
      </c>
      <c r="H503" t="s">
        <v>1107</v>
      </c>
      <c r="I503" t="s">
        <v>1108</v>
      </c>
      <c r="J503" t="s">
        <v>2633</v>
      </c>
      <c r="K503" t="s">
        <v>2634</v>
      </c>
      <c r="L503" t="s">
        <v>36</v>
      </c>
      <c r="M503" t="s">
        <v>19177</v>
      </c>
      <c r="N503" t="s">
        <v>97</v>
      </c>
      <c r="O503" t="s">
        <v>937</v>
      </c>
      <c r="P503" t="s">
        <v>12</v>
      </c>
    </row>
    <row r="504">
      <c r="A504">
        <f>HYPERLINK("http://bombeiros.sp.gov.br/hidrantes/03individual/2821.html","2821")</f>
      </c>
      <c r="B504" t="s">
        <v>12</v>
      </c>
      <c r="C504" t="s">
        <v>92</v>
      </c>
      <c r="D504" t="s">
        <v>92</v>
      </c>
      <c r="E504" t="s">
        <v>15</v>
      </c>
      <c r="F504" t="s">
        <v>2635</v>
      </c>
      <c r="G504" t="s">
        <v>18089</v>
      </c>
      <c r="H504" t="s">
        <v>1107</v>
      </c>
      <c r="I504" t="s">
        <v>1108</v>
      </c>
      <c r="J504" t="s">
        <v>2636</v>
      </c>
      <c r="K504" t="s">
        <v>2637</v>
      </c>
      <c r="L504" t="s">
        <v>21</v>
      </c>
      <c r="M504" t="s">
        <v>19177</v>
      </c>
      <c r="N504" t="s">
        <v>97</v>
      </c>
      <c r="O504" t="s">
        <v>937</v>
      </c>
      <c r="P504" t="s">
        <v>12</v>
      </c>
    </row>
    <row r="505">
      <c r="A505">
        <f>HYPERLINK("http://bombeiros.sp.gov.br/hidrantes/03individual/2836.html","2836")</f>
      </c>
      <c r="B505" t="s">
        <v>12</v>
      </c>
      <c r="C505" t="s">
        <v>92</v>
      </c>
      <c r="D505" t="s">
        <v>92</v>
      </c>
      <c r="E505" t="s">
        <v>15</v>
      </c>
      <c r="F505" t="s">
        <v>2638</v>
      </c>
      <c r="G505" t="s">
        <v>18071</v>
      </c>
      <c r="H505" t="s">
        <v>1107</v>
      </c>
      <c r="I505" t="s">
        <v>1108</v>
      </c>
      <c r="J505" t="s">
        <v>16050</v>
      </c>
      <c r="K505" t="s">
        <v>16051</v>
      </c>
      <c r="L505" t="s">
        <v>21</v>
      </c>
      <c r="M505" t="s">
        <v>19177</v>
      </c>
      <c r="N505" t="s">
        <v>97</v>
      </c>
      <c r="O505" t="s">
        <v>937</v>
      </c>
      <c r="P505" t="s">
        <v>12</v>
      </c>
    </row>
    <row r="506">
      <c r="A506">
        <f>HYPERLINK("http://bombeiros.sp.gov.br/hidrantes/03individual/2849.html","2849")</f>
      </c>
      <c r="B506" t="s">
        <v>12</v>
      </c>
      <c r="C506" t="s">
        <v>92</v>
      </c>
      <c r="D506" t="s">
        <v>92</v>
      </c>
      <c r="E506" t="s">
        <v>15</v>
      </c>
      <c r="F506" t="s">
        <v>2641</v>
      </c>
      <c r="G506" t="s">
        <v>18187</v>
      </c>
      <c r="H506" t="s">
        <v>1107</v>
      </c>
      <c r="I506" t="s">
        <v>1108</v>
      </c>
      <c r="J506" t="s">
        <v>2642</v>
      </c>
      <c r="K506" t="s">
        <v>2643</v>
      </c>
      <c r="L506" t="s">
        <v>36</v>
      </c>
      <c r="M506" t="s">
        <v>19177</v>
      </c>
      <c r="N506" t="s">
        <v>97</v>
      </c>
      <c r="O506" t="s">
        <v>937</v>
      </c>
      <c r="P506" t="s">
        <v>12</v>
      </c>
    </row>
    <row r="507">
      <c r="A507">
        <f>HYPERLINK("http://bombeiros.sp.gov.br/hidrantes/03individual/2851.html","2851")</f>
      </c>
      <c r="B507" t="s">
        <v>12</v>
      </c>
      <c r="C507" t="s">
        <v>92</v>
      </c>
      <c r="D507" t="s">
        <v>92</v>
      </c>
      <c r="E507" t="s">
        <v>15</v>
      </c>
      <c r="F507" t="s">
        <v>2644</v>
      </c>
      <c r="G507" t="s">
        <v>18071</v>
      </c>
      <c r="H507" t="s">
        <v>1107</v>
      </c>
      <c r="I507" t="s">
        <v>1108</v>
      </c>
      <c r="J507" t="s">
        <v>2645</v>
      </c>
      <c r="K507" t="s">
        <v>2646</v>
      </c>
      <c r="L507" t="s">
        <v>36</v>
      </c>
      <c r="M507" t="s">
        <v>19177</v>
      </c>
      <c r="N507" t="s">
        <v>97</v>
      </c>
      <c r="O507" t="s">
        <v>937</v>
      </c>
      <c r="P507" t="s">
        <v>12</v>
      </c>
    </row>
    <row r="508">
      <c r="A508">
        <f>HYPERLINK("http://bombeiros.sp.gov.br/hidrantes/03individual/2854.html","2854")</f>
      </c>
      <c r="B508" t="s">
        <v>12</v>
      </c>
      <c r="C508" t="s">
        <v>92</v>
      </c>
      <c r="D508" t="s">
        <v>92</v>
      </c>
      <c r="E508" t="s">
        <v>15</v>
      </c>
      <c r="F508" t="s">
        <v>2647</v>
      </c>
      <c r="G508" t="s">
        <v>18082</v>
      </c>
      <c r="H508" t="s">
        <v>1112</v>
      </c>
      <c r="I508" t="s">
        <v>1108</v>
      </c>
      <c r="J508" t="s">
        <v>2648</v>
      </c>
      <c r="K508" t="s">
        <v>2649</v>
      </c>
      <c r="L508" t="s">
        <v>21</v>
      </c>
      <c r="M508" t="s">
        <v>19177</v>
      </c>
      <c r="N508" t="s">
        <v>97</v>
      </c>
      <c r="O508" t="s">
        <v>937</v>
      </c>
      <c r="P508" t="s">
        <v>12</v>
      </c>
    </row>
    <row r="509">
      <c r="A509">
        <f>HYPERLINK("http://bombeiros.sp.gov.br/hidrantes/03individual/2862.html","2862")</f>
      </c>
      <c r="B509" t="s">
        <v>12</v>
      </c>
      <c r="C509" t="s">
        <v>92</v>
      </c>
      <c r="D509" t="s">
        <v>92</v>
      </c>
      <c r="E509" t="s">
        <v>15</v>
      </c>
      <c r="F509" t="s">
        <v>2650</v>
      </c>
      <c r="G509" t="s">
        <v>18070</v>
      </c>
      <c r="H509" t="s">
        <v>1107</v>
      </c>
      <c r="I509" t="s">
        <v>1108</v>
      </c>
      <c r="J509" t="s">
        <v>2651</v>
      </c>
      <c r="K509" t="s">
        <v>2652</v>
      </c>
      <c r="L509" t="s">
        <v>21</v>
      </c>
      <c r="M509" t="s">
        <v>19177</v>
      </c>
      <c r="N509" t="s">
        <v>97</v>
      </c>
      <c r="O509" t="s">
        <v>937</v>
      </c>
      <c r="P509" t="s">
        <v>12</v>
      </c>
    </row>
    <row r="510">
      <c r="A510">
        <f>HYPERLINK("http://bombeiros.sp.gov.br/hidrantes/03individual/2878.html","2878")</f>
      </c>
      <c r="B510" t="s">
        <v>12</v>
      </c>
      <c r="C510" t="s">
        <v>92</v>
      </c>
      <c r="D510" t="s">
        <v>92</v>
      </c>
      <c r="E510" t="s">
        <v>15</v>
      </c>
      <c r="F510" t="s">
        <v>2653</v>
      </c>
      <c r="G510" t="s">
        <v>18180</v>
      </c>
      <c r="H510" t="s">
        <v>1174</v>
      </c>
      <c r="I510" t="s">
        <v>1108</v>
      </c>
      <c r="J510" t="s">
        <v>2654</v>
      </c>
      <c r="K510" t="s">
        <v>2655</v>
      </c>
      <c r="L510" t="s">
        <v>21</v>
      </c>
      <c r="M510" t="s">
        <v>19177</v>
      </c>
      <c r="N510" t="s">
        <v>97</v>
      </c>
      <c r="O510" t="s">
        <v>937</v>
      </c>
      <c r="P510" t="s">
        <v>12</v>
      </c>
    </row>
    <row r="511">
      <c r="A511">
        <f>HYPERLINK("http://bombeiros.sp.gov.br/hidrantes/03individual/2899.html","2899")</f>
      </c>
      <c r="B511" t="s">
        <v>12</v>
      </c>
      <c r="C511" t="s">
        <v>92</v>
      </c>
      <c r="D511" t="s">
        <v>92</v>
      </c>
      <c r="E511" t="s">
        <v>15</v>
      </c>
      <c r="F511" t="s">
        <v>2656</v>
      </c>
      <c r="G511" t="s">
        <v>18070</v>
      </c>
      <c r="H511" t="s">
        <v>1121</v>
      </c>
      <c r="I511" t="s">
        <v>1117</v>
      </c>
      <c r="J511" t="s">
        <v>2657</v>
      </c>
      <c r="K511" t="s">
        <v>2658</v>
      </c>
      <c r="L511" t="s">
        <v>21</v>
      </c>
      <c r="M511" t="s">
        <v>19177</v>
      </c>
      <c r="N511" t="s">
        <v>97</v>
      </c>
      <c r="O511" t="s">
        <v>937</v>
      </c>
      <c r="P511" t="s">
        <v>12</v>
      </c>
    </row>
    <row r="512">
      <c r="A512">
        <f>HYPERLINK("http://bombeiros.sp.gov.br/hidrantes/03individual/2907.html","2907")</f>
      </c>
      <c r="B512" t="s">
        <v>12</v>
      </c>
      <c r="C512" t="s">
        <v>92</v>
      </c>
      <c r="D512" t="s">
        <v>92</v>
      </c>
      <c r="E512" t="s">
        <v>15</v>
      </c>
      <c r="F512" t="s">
        <v>2659</v>
      </c>
      <c r="G512" t="s">
        <v>18180</v>
      </c>
      <c r="H512" t="s">
        <v>1107</v>
      </c>
      <c r="I512" t="s">
        <v>1108</v>
      </c>
      <c r="J512" t="s">
        <v>2660</v>
      </c>
      <c r="K512" t="s">
        <v>2661</v>
      </c>
      <c r="L512" t="s">
        <v>36</v>
      </c>
      <c r="M512" t="s">
        <v>19177</v>
      </c>
      <c r="N512" t="s">
        <v>97</v>
      </c>
      <c r="O512" t="s">
        <v>937</v>
      </c>
      <c r="P512" t="s">
        <v>12</v>
      </c>
    </row>
    <row r="513">
      <c r="A513">
        <f>HYPERLINK("http://bombeiros.sp.gov.br/hidrantes/03individual/2917.html","2917")</f>
      </c>
      <c r="B513" t="s">
        <v>12</v>
      </c>
      <c r="C513" t="s">
        <v>92</v>
      </c>
      <c r="D513" t="s">
        <v>92</v>
      </c>
      <c r="E513" t="s">
        <v>15</v>
      </c>
      <c r="F513" t="s">
        <v>2662</v>
      </c>
      <c r="G513" t="s">
        <v>18070</v>
      </c>
      <c r="H513" t="s">
        <v>1107</v>
      </c>
      <c r="I513" t="s">
        <v>1108</v>
      </c>
      <c r="J513" t="s">
        <v>2663</v>
      </c>
      <c r="K513" t="s">
        <v>2664</v>
      </c>
      <c r="L513" t="s">
        <v>21</v>
      </c>
      <c r="M513" t="s">
        <v>19177</v>
      </c>
      <c r="N513" t="s">
        <v>97</v>
      </c>
      <c r="O513" t="s">
        <v>937</v>
      </c>
      <c r="P513" t="s">
        <v>12</v>
      </c>
    </row>
    <row r="514">
      <c r="A514">
        <f>HYPERLINK("http://bombeiros.sp.gov.br/hidrantes/03individual/2918.html","2918")</f>
      </c>
      <c r="B514" t="s">
        <v>12</v>
      </c>
      <c r="C514" t="s">
        <v>92</v>
      </c>
      <c r="D514" t="s">
        <v>92</v>
      </c>
      <c r="E514" t="s">
        <v>15</v>
      </c>
      <c r="F514" t="s">
        <v>2665</v>
      </c>
      <c r="G514" t="s">
        <v>18070</v>
      </c>
      <c r="H514" t="s">
        <v>1107</v>
      </c>
      <c r="I514" t="s">
        <v>1108</v>
      </c>
      <c r="J514" t="s">
        <v>2666</v>
      </c>
      <c r="K514" t="s">
        <v>2667</v>
      </c>
      <c r="L514" t="s">
        <v>21</v>
      </c>
      <c r="M514" t="s">
        <v>19177</v>
      </c>
      <c r="N514" t="s">
        <v>97</v>
      </c>
      <c r="O514" t="s">
        <v>937</v>
      </c>
      <c r="P514" t="s">
        <v>12</v>
      </c>
    </row>
    <row r="515">
      <c r="A515">
        <f>HYPERLINK("http://bombeiros.sp.gov.br/hidrantes/03individual/2150.html","2150")</f>
      </c>
      <c r="B515" t="s">
        <v>12</v>
      </c>
      <c r="C515" t="s">
        <v>97</v>
      </c>
      <c r="D515" t="s">
        <v>98</v>
      </c>
      <c r="E515" t="s">
        <v>64</v>
      </c>
      <c r="F515" t="s">
        <v>2675</v>
      </c>
      <c r="G515" t="s">
        <v>18173</v>
      </c>
      <c r="H515" t="s">
        <v>1112</v>
      </c>
      <c r="I515" t="s">
        <v>1108</v>
      </c>
      <c r="J515" t="s">
        <v>2676</v>
      </c>
      <c r="K515" t="s">
        <v>2677</v>
      </c>
      <c r="L515" t="s">
        <v>36</v>
      </c>
      <c r="M515" t="s">
        <v>19177</v>
      </c>
      <c r="N515" t="s">
        <v>97</v>
      </c>
      <c r="O515" t="s">
        <v>937</v>
      </c>
      <c r="P515" t="s">
        <v>12</v>
      </c>
    </row>
    <row r="516">
      <c r="A516">
        <f>HYPERLINK("http://bombeiros.sp.gov.br/hidrantes/03individual/2164.html","2164")</f>
      </c>
      <c r="B516" t="s">
        <v>12</v>
      </c>
      <c r="C516" t="s">
        <v>97</v>
      </c>
      <c r="D516" t="s">
        <v>98</v>
      </c>
      <c r="E516" t="s">
        <v>64</v>
      </c>
      <c r="F516" t="s">
        <v>2678</v>
      </c>
      <c r="G516" t="s">
        <v>18068</v>
      </c>
      <c r="H516" t="s">
        <v>1112</v>
      </c>
      <c r="I516" t="s">
        <v>1108</v>
      </c>
      <c r="J516" t="s">
        <v>2679</v>
      </c>
      <c r="K516" t="s">
        <v>2680</v>
      </c>
      <c r="L516" t="s">
        <v>36</v>
      </c>
      <c r="M516" t="s">
        <v>19177</v>
      </c>
      <c r="N516" t="s">
        <v>97</v>
      </c>
      <c r="O516" t="s">
        <v>937</v>
      </c>
      <c r="P516" t="s">
        <v>12</v>
      </c>
    </row>
    <row r="517">
      <c r="A517">
        <f>HYPERLINK("http://bombeiros.sp.gov.br/hidrantes/03individual/2588.html","2588")</f>
      </c>
      <c r="B517" t="s">
        <v>12</v>
      </c>
      <c r="C517" t="s">
        <v>97</v>
      </c>
      <c r="D517" t="s">
        <v>98</v>
      </c>
      <c r="E517" t="s">
        <v>64</v>
      </c>
      <c r="F517" t="s">
        <v>2681</v>
      </c>
      <c r="G517" t="s">
        <v>18050</v>
      </c>
      <c r="H517" t="s">
        <v>1121</v>
      </c>
      <c r="I517" t="s">
        <v>1117</v>
      </c>
      <c r="J517" t="s">
        <v>2682</v>
      </c>
      <c r="K517" t="s">
        <v>2683</v>
      </c>
      <c r="L517" t="s">
        <v>36</v>
      </c>
      <c r="M517" t="s">
        <v>19177</v>
      </c>
      <c r="N517" t="s">
        <v>97</v>
      </c>
      <c r="O517" t="s">
        <v>937</v>
      </c>
      <c r="P517" t="s">
        <v>12</v>
      </c>
    </row>
    <row r="518">
      <c r="A518">
        <f>HYPERLINK("http://bombeiros.sp.gov.br/hidrantes/03individual/2634.html","2634")</f>
      </c>
      <c r="B518" t="s">
        <v>12</v>
      </c>
      <c r="C518" t="s">
        <v>97</v>
      </c>
      <c r="D518" t="s">
        <v>98</v>
      </c>
      <c r="E518" t="s">
        <v>64</v>
      </c>
      <c r="F518" t="s">
        <v>2684</v>
      </c>
      <c r="G518" t="s">
        <v>18072</v>
      </c>
      <c r="H518" t="s">
        <v>1121</v>
      </c>
      <c r="I518" t="s">
        <v>1117</v>
      </c>
      <c r="J518" t="s">
        <v>16305</v>
      </c>
      <c r="K518" t="s">
        <v>16306</v>
      </c>
      <c r="L518" t="s">
        <v>36</v>
      </c>
      <c r="M518" t="s">
        <v>19177</v>
      </c>
      <c r="N518" t="s">
        <v>97</v>
      </c>
      <c r="O518" t="s">
        <v>937</v>
      </c>
      <c r="P518" t="s">
        <v>12</v>
      </c>
    </row>
    <row r="519">
      <c r="A519">
        <f>HYPERLINK("http://bombeiros.sp.gov.br/hidrantes/03individual/2818.html","2818")</f>
      </c>
      <c r="B519" t="s">
        <v>12</v>
      </c>
      <c r="C519" t="s">
        <v>97</v>
      </c>
      <c r="D519" t="s">
        <v>98</v>
      </c>
      <c r="E519" t="s">
        <v>64</v>
      </c>
      <c r="F519" t="s">
        <v>2687</v>
      </c>
      <c r="G519" t="s">
        <v>18073</v>
      </c>
      <c r="H519"/>
      <c r="I519" t="s">
        <v>18</v>
      </c>
      <c r="J519" t="s">
        <v>2688</v>
      </c>
      <c r="K519" t="s">
        <v>2689</v>
      </c>
      <c r="L519" t="s">
        <v>21</v>
      </c>
      <c r="M519" t="s">
        <v>19177</v>
      </c>
      <c r="N519" t="s">
        <v>97</v>
      </c>
      <c r="O519" t="s">
        <v>937</v>
      </c>
      <c r="P519" t="s">
        <v>12</v>
      </c>
    </row>
    <row r="520">
      <c r="A520">
        <f>HYPERLINK("http://bombeiros.sp.gov.br/hidrantes/03individual/2948.html","2948")</f>
      </c>
      <c r="B520" t="s">
        <v>12</v>
      </c>
      <c r="C520" t="s">
        <v>97</v>
      </c>
      <c r="D520" t="s">
        <v>98</v>
      </c>
      <c r="E520" t="s">
        <v>64</v>
      </c>
      <c r="F520" t="s">
        <v>2690</v>
      </c>
      <c r="G520" t="s">
        <v>18043</v>
      </c>
      <c r="H520" t="s">
        <v>1121</v>
      </c>
      <c r="I520" t="s">
        <v>1117</v>
      </c>
      <c r="J520" t="s">
        <v>2691</v>
      </c>
      <c r="K520" t="s">
        <v>2692</v>
      </c>
      <c r="L520" t="s">
        <v>21</v>
      </c>
      <c r="M520" t="s">
        <v>19177</v>
      </c>
      <c r="N520" t="s">
        <v>97</v>
      </c>
      <c r="O520" t="s">
        <v>937</v>
      </c>
      <c r="P520" t="s">
        <v>12</v>
      </c>
    </row>
    <row r="521">
      <c r="A521">
        <f>HYPERLINK("http://bombeiros.sp.gov.br/hidrantes/03individual/15.html","15")</f>
      </c>
      <c r="B521" t="s">
        <v>12</v>
      </c>
      <c r="C521" t="s">
        <v>97</v>
      </c>
      <c r="D521" t="s">
        <v>98</v>
      </c>
      <c r="E521" t="s">
        <v>15</v>
      </c>
      <c r="F521" t="s">
        <v>2696</v>
      </c>
      <c r="G521" t="s">
        <v>18188</v>
      </c>
      <c r="H521" t="s">
        <v>1107</v>
      </c>
      <c r="I521" t="s">
        <v>1108</v>
      </c>
      <c r="J521" t="s">
        <v>2697</v>
      </c>
      <c r="K521" t="s">
        <v>2698</v>
      </c>
      <c r="L521" t="s">
        <v>21</v>
      </c>
      <c r="M521" t="s">
        <v>19177</v>
      </c>
      <c r="N521" t="s">
        <v>97</v>
      </c>
      <c r="O521" t="s">
        <v>937</v>
      </c>
      <c r="P521" t="s">
        <v>12</v>
      </c>
    </row>
    <row r="522">
      <c r="A522">
        <f>HYPERLINK("http://bombeiros.sp.gov.br/hidrantes/03individual/17.html","17")</f>
      </c>
      <c r="B522" t="s">
        <v>12</v>
      </c>
      <c r="C522" t="s">
        <v>97</v>
      </c>
      <c r="D522" t="s">
        <v>98</v>
      </c>
      <c r="E522" t="s">
        <v>15</v>
      </c>
      <c r="F522" t="s">
        <v>2699</v>
      </c>
      <c r="G522" t="s">
        <v>18188</v>
      </c>
      <c r="H522" t="s">
        <v>1112</v>
      </c>
      <c r="I522" t="s">
        <v>1108</v>
      </c>
      <c r="J522" t="s">
        <v>2700</v>
      </c>
      <c r="K522" t="s">
        <v>2701</v>
      </c>
      <c r="L522" t="s">
        <v>21</v>
      </c>
      <c r="M522" t="s">
        <v>19177</v>
      </c>
      <c r="N522" t="s">
        <v>97</v>
      </c>
      <c r="O522" t="s">
        <v>937</v>
      </c>
      <c r="P522" t="s">
        <v>12</v>
      </c>
    </row>
    <row r="523">
      <c r="A523">
        <f>HYPERLINK("http://bombeiros.sp.gov.br/hidrantes/03individual/47.html","47")</f>
      </c>
      <c r="B523" t="s">
        <v>12</v>
      </c>
      <c r="C523" t="s">
        <v>97</v>
      </c>
      <c r="D523" t="s">
        <v>98</v>
      </c>
      <c r="E523" t="s">
        <v>15</v>
      </c>
      <c r="F523" t="s">
        <v>2702</v>
      </c>
      <c r="G523" t="s">
        <v>18188</v>
      </c>
      <c r="H523" t="s">
        <v>1107</v>
      </c>
      <c r="I523" t="s">
        <v>1108</v>
      </c>
      <c r="J523" t="s">
        <v>2703</v>
      </c>
      <c r="K523" t="s">
        <v>2704</v>
      </c>
      <c r="L523" t="s">
        <v>21</v>
      </c>
      <c r="M523" t="s">
        <v>19177</v>
      </c>
      <c r="N523" t="s">
        <v>97</v>
      </c>
      <c r="O523" t="s">
        <v>937</v>
      </c>
      <c r="P523" t="s">
        <v>12</v>
      </c>
    </row>
    <row r="524">
      <c r="A524">
        <f>HYPERLINK("http://bombeiros.sp.gov.br/hidrantes/03individual/184.html","184")</f>
      </c>
      <c r="B524" t="s">
        <v>12</v>
      </c>
      <c r="C524" t="s">
        <v>97</v>
      </c>
      <c r="D524" t="s">
        <v>98</v>
      </c>
      <c r="E524" t="s">
        <v>15</v>
      </c>
      <c r="F524" t="s">
        <v>2705</v>
      </c>
      <c r="G524" t="s">
        <v>18068</v>
      </c>
      <c r="H524" t="s">
        <v>1112</v>
      </c>
      <c r="I524" t="s">
        <v>1108</v>
      </c>
      <c r="J524" t="s">
        <v>2706</v>
      </c>
      <c r="K524" t="s">
        <v>2707</v>
      </c>
      <c r="L524" t="s">
        <v>21</v>
      </c>
      <c r="M524" t="s">
        <v>19177</v>
      </c>
      <c r="N524" t="s">
        <v>97</v>
      </c>
      <c r="O524" t="s">
        <v>937</v>
      </c>
      <c r="P524" t="s">
        <v>12</v>
      </c>
    </row>
    <row r="525">
      <c r="A525">
        <f>HYPERLINK("http://bombeiros.sp.gov.br/hidrantes/03individual/640.html","640")</f>
      </c>
      <c r="B525" t="s">
        <v>12</v>
      </c>
      <c r="C525" t="s">
        <v>97</v>
      </c>
      <c r="D525" t="s">
        <v>98</v>
      </c>
      <c r="E525" t="s">
        <v>15</v>
      </c>
      <c r="F525" t="s">
        <v>2708</v>
      </c>
      <c r="G525" t="s">
        <v>18069</v>
      </c>
      <c r="H525"/>
      <c r="I525" t="s">
        <v>18</v>
      </c>
      <c r="J525" t="s">
        <v>2709</v>
      </c>
      <c r="K525" t="s">
        <v>2710</v>
      </c>
      <c r="L525" t="s">
        <v>21</v>
      </c>
      <c r="M525" t="s">
        <v>19177</v>
      </c>
      <c r="N525" t="s">
        <v>97</v>
      </c>
      <c r="O525" t="s">
        <v>937</v>
      </c>
      <c r="P525" t="s">
        <v>12</v>
      </c>
    </row>
    <row r="526">
      <c r="A526">
        <f>HYPERLINK("http://bombeiros.sp.gov.br/hidrantes/03individual/703.html","703")</f>
      </c>
      <c r="B526" t="s">
        <v>12</v>
      </c>
      <c r="C526" t="s">
        <v>97</v>
      </c>
      <c r="D526" t="s">
        <v>98</v>
      </c>
      <c r="E526" t="s">
        <v>15</v>
      </c>
      <c r="F526" t="s">
        <v>2711</v>
      </c>
      <c r="G526" t="s">
        <v>18047</v>
      </c>
      <c r="H526" t="s">
        <v>1174</v>
      </c>
      <c r="I526" t="s">
        <v>1108</v>
      </c>
      <c r="J526" t="s">
        <v>2712</v>
      </c>
      <c r="K526" t="s">
        <v>2713</v>
      </c>
      <c r="L526" t="s">
        <v>21</v>
      </c>
      <c r="M526" t="s">
        <v>19177</v>
      </c>
      <c r="N526" t="s">
        <v>97</v>
      </c>
      <c r="O526" t="s">
        <v>937</v>
      </c>
      <c r="P526" t="s">
        <v>12</v>
      </c>
    </row>
    <row r="527">
      <c r="A527">
        <f>HYPERLINK("http://bombeiros.sp.gov.br/hidrantes/03individual/2087.html","2087")</f>
      </c>
      <c r="B527" t="s">
        <v>12</v>
      </c>
      <c r="C527" t="s">
        <v>97</v>
      </c>
      <c r="D527" t="s">
        <v>98</v>
      </c>
      <c r="E527" t="s">
        <v>15</v>
      </c>
      <c r="F527" t="s">
        <v>2714</v>
      </c>
      <c r="G527" t="s">
        <v>18072</v>
      </c>
      <c r="H527" t="s">
        <v>1107</v>
      </c>
      <c r="I527" t="s">
        <v>1108</v>
      </c>
      <c r="J527" t="s">
        <v>2715</v>
      </c>
      <c r="K527" t="s">
        <v>2716</v>
      </c>
      <c r="L527" t="s">
        <v>21</v>
      </c>
      <c r="M527" t="s">
        <v>19177</v>
      </c>
      <c r="N527" t="s">
        <v>97</v>
      </c>
      <c r="O527" t="s">
        <v>937</v>
      </c>
      <c r="P527" t="s">
        <v>12</v>
      </c>
    </row>
    <row r="528">
      <c r="A528">
        <f>HYPERLINK("http://bombeiros.sp.gov.br/hidrantes/03individual/2090.html","2090")</f>
      </c>
      <c r="B528" t="s">
        <v>12</v>
      </c>
      <c r="C528" t="s">
        <v>97</v>
      </c>
      <c r="D528" t="s">
        <v>98</v>
      </c>
      <c r="E528" t="s">
        <v>15</v>
      </c>
      <c r="F528" t="s">
        <v>2717</v>
      </c>
      <c r="G528" t="s">
        <v>18072</v>
      </c>
      <c r="H528" t="s">
        <v>1107</v>
      </c>
      <c r="I528" t="s">
        <v>1108</v>
      </c>
      <c r="J528" t="s">
        <v>2718</v>
      </c>
      <c r="K528" t="s">
        <v>2719</v>
      </c>
      <c r="L528" t="s">
        <v>21</v>
      </c>
      <c r="M528" t="s">
        <v>19177</v>
      </c>
      <c r="N528" t="s">
        <v>97</v>
      </c>
      <c r="O528" t="s">
        <v>937</v>
      </c>
      <c r="P528" t="s">
        <v>12</v>
      </c>
    </row>
    <row r="529">
      <c r="A529">
        <f>HYPERLINK("http://bombeiros.sp.gov.br/hidrantes/03individual/2099.html","2099")</f>
      </c>
      <c r="B529" t="s">
        <v>12</v>
      </c>
      <c r="C529" t="s">
        <v>97</v>
      </c>
      <c r="D529" t="s">
        <v>98</v>
      </c>
      <c r="E529" t="s">
        <v>15</v>
      </c>
      <c r="F529" t="s">
        <v>2720</v>
      </c>
      <c r="G529" t="s">
        <v>18072</v>
      </c>
      <c r="H529" t="s">
        <v>1121</v>
      </c>
      <c r="I529" t="s">
        <v>1117</v>
      </c>
      <c r="J529" t="s">
        <v>2721</v>
      </c>
      <c r="K529" t="s">
        <v>2722</v>
      </c>
      <c r="L529" t="s">
        <v>21</v>
      </c>
      <c r="M529" t="s">
        <v>19177</v>
      </c>
      <c r="N529" t="s">
        <v>97</v>
      </c>
      <c r="O529" t="s">
        <v>937</v>
      </c>
      <c r="P529" t="s">
        <v>12</v>
      </c>
    </row>
    <row r="530">
      <c r="A530">
        <f>HYPERLINK("http://bombeiros.sp.gov.br/hidrantes/03individual/2558.html","2558")</f>
      </c>
      <c r="B530" t="s">
        <v>12</v>
      </c>
      <c r="C530" t="s">
        <v>97</v>
      </c>
      <c r="D530" t="s">
        <v>98</v>
      </c>
      <c r="E530" t="s">
        <v>15</v>
      </c>
      <c r="F530" t="s">
        <v>2723</v>
      </c>
      <c r="G530" t="s">
        <v>18050</v>
      </c>
      <c r="H530" t="s">
        <v>1107</v>
      </c>
      <c r="I530" t="s">
        <v>1108</v>
      </c>
      <c r="J530" t="s">
        <v>2724</v>
      </c>
      <c r="K530" t="s">
        <v>2725</v>
      </c>
      <c r="L530" t="s">
        <v>21</v>
      </c>
      <c r="M530" t="s">
        <v>19177</v>
      </c>
      <c r="N530" t="s">
        <v>97</v>
      </c>
      <c r="O530" t="s">
        <v>937</v>
      </c>
      <c r="P530" t="s">
        <v>12</v>
      </c>
    </row>
    <row r="531">
      <c r="A531">
        <f>HYPERLINK("http://bombeiros.sp.gov.br/hidrantes/03individual/2580.html","2580")</f>
      </c>
      <c r="B531" t="s">
        <v>12</v>
      </c>
      <c r="C531" t="s">
        <v>97</v>
      </c>
      <c r="D531" t="s">
        <v>98</v>
      </c>
      <c r="E531" t="s">
        <v>15</v>
      </c>
      <c r="F531" t="s">
        <v>2726</v>
      </c>
      <c r="G531" t="s">
        <v>18050</v>
      </c>
      <c r="H531" t="s">
        <v>1121</v>
      </c>
      <c r="I531" t="s">
        <v>1117</v>
      </c>
      <c r="J531" t="s">
        <v>2727</v>
      </c>
      <c r="K531" t="s">
        <v>2728</v>
      </c>
      <c r="L531" t="s">
        <v>21</v>
      </c>
      <c r="M531" t="s">
        <v>19177</v>
      </c>
      <c r="N531" t="s">
        <v>97</v>
      </c>
      <c r="O531" t="s">
        <v>937</v>
      </c>
      <c r="P531" t="s">
        <v>12</v>
      </c>
    </row>
    <row r="532">
      <c r="A532">
        <f>HYPERLINK("http://bombeiros.sp.gov.br/hidrantes/03individual/2583.html","2583")</f>
      </c>
      <c r="B532" t="s">
        <v>12</v>
      </c>
      <c r="C532" t="s">
        <v>97</v>
      </c>
      <c r="D532" t="s">
        <v>98</v>
      </c>
      <c r="E532" t="s">
        <v>15</v>
      </c>
      <c r="F532" t="s">
        <v>2729</v>
      </c>
      <c r="G532" t="s">
        <v>18050</v>
      </c>
      <c r="H532" t="s">
        <v>1112</v>
      </c>
      <c r="I532" t="s">
        <v>1108</v>
      </c>
      <c r="J532" t="s">
        <v>2730</v>
      </c>
      <c r="K532" t="s">
        <v>2731</v>
      </c>
      <c r="L532" t="s">
        <v>21</v>
      </c>
      <c r="M532" t="s">
        <v>19177</v>
      </c>
      <c r="N532" t="s">
        <v>97</v>
      </c>
      <c r="O532" t="s">
        <v>937</v>
      </c>
      <c r="P532" t="s">
        <v>12</v>
      </c>
    </row>
    <row r="533">
      <c r="A533">
        <f>HYPERLINK("http://bombeiros.sp.gov.br/hidrantes/03individual/2679.html","2679")</f>
      </c>
      <c r="B533" t="s">
        <v>12</v>
      </c>
      <c r="C533" t="s">
        <v>97</v>
      </c>
      <c r="D533" t="s">
        <v>98</v>
      </c>
      <c r="E533" t="s">
        <v>15</v>
      </c>
      <c r="F533" t="s">
        <v>2732</v>
      </c>
      <c r="G533" t="s">
        <v>18083</v>
      </c>
      <c r="H533" t="s">
        <v>1174</v>
      </c>
      <c r="I533" t="s">
        <v>1117</v>
      </c>
      <c r="J533" t="s">
        <v>2733</v>
      </c>
      <c r="K533" t="s">
        <v>2734</v>
      </c>
      <c r="L533" t="s">
        <v>21</v>
      </c>
      <c r="M533" t="s">
        <v>19177</v>
      </c>
      <c r="N533" t="s">
        <v>97</v>
      </c>
      <c r="O533" t="s">
        <v>937</v>
      </c>
      <c r="P533" t="s">
        <v>12</v>
      </c>
    </row>
    <row r="534">
      <c r="A534">
        <f>HYPERLINK("http://bombeiros.sp.gov.br/hidrantes/03individual/2928.html","2928")</f>
      </c>
      <c r="B534" t="s">
        <v>12</v>
      </c>
      <c r="C534" t="s">
        <v>97</v>
      </c>
      <c r="D534" t="s">
        <v>98</v>
      </c>
      <c r="E534" t="s">
        <v>15</v>
      </c>
      <c r="F534" t="s">
        <v>2735</v>
      </c>
      <c r="G534" t="s">
        <v>18050</v>
      </c>
      <c r="H534" t="s">
        <v>1112</v>
      </c>
      <c r="I534" t="s">
        <v>1108</v>
      </c>
      <c r="J534" t="s">
        <v>2736</v>
      </c>
      <c r="K534" t="s">
        <v>2737</v>
      </c>
      <c r="L534" t="s">
        <v>36</v>
      </c>
      <c r="M534" t="s">
        <v>19177</v>
      </c>
      <c r="N534" t="s">
        <v>97</v>
      </c>
      <c r="O534" t="s">
        <v>937</v>
      </c>
      <c r="P534" t="s">
        <v>12</v>
      </c>
    </row>
    <row r="535">
      <c r="A535">
        <f>HYPERLINK("http://bombeiros.sp.gov.br/hidrantes/03individual/16527.html","16527")</f>
      </c>
      <c r="B535" t="s">
        <v>12</v>
      </c>
      <c r="C535" t="s">
        <v>97</v>
      </c>
      <c r="D535" t="s">
        <v>98</v>
      </c>
      <c r="E535" t="s">
        <v>15</v>
      </c>
      <c r="F535" t="s">
        <v>2738</v>
      </c>
      <c r="G535" t="s">
        <v>18073</v>
      </c>
      <c r="H535" t="s">
        <v>1112</v>
      </c>
      <c r="I535" t="s">
        <v>1108</v>
      </c>
      <c r="J535" t="s">
        <v>2739</v>
      </c>
      <c r="K535" t="s">
        <v>2740</v>
      </c>
      <c r="L535" t="s">
        <v>21</v>
      </c>
      <c r="M535" t="s">
        <v>19177</v>
      </c>
      <c r="N535" t="s">
        <v>97</v>
      </c>
      <c r="O535" t="s">
        <v>937</v>
      </c>
      <c r="P535" t="s">
        <v>12</v>
      </c>
    </row>
    <row r="536">
      <c r="A536">
        <f>HYPERLINK("http://bombeiros.sp.gov.br/hidrantes/03individual/17719.html","17719")</f>
      </c>
      <c r="B536" t="s">
        <v>12</v>
      </c>
      <c r="C536" t="s">
        <v>97</v>
      </c>
      <c r="D536" t="s">
        <v>98</v>
      </c>
      <c r="E536" t="s">
        <v>15</v>
      </c>
      <c r="F536" t="s">
        <v>2741</v>
      </c>
      <c r="G536" t="s">
        <v>18165</v>
      </c>
      <c r="H536"/>
      <c r="I536" t="s">
        <v>18</v>
      </c>
      <c r="J536" t="s">
        <v>2742</v>
      </c>
      <c r="K536" t="s">
        <v>2743</v>
      </c>
      <c r="L536" t="s">
        <v>21</v>
      </c>
      <c r="M536" t="s">
        <v>19177</v>
      </c>
      <c r="N536" t="s">
        <v>97</v>
      </c>
      <c r="O536" t="s">
        <v>937</v>
      </c>
      <c r="P536" t="s">
        <v>12</v>
      </c>
    </row>
    <row r="537">
      <c r="A537">
        <f>HYPERLINK("http://bombeiros.sp.gov.br/hidrantes/03individual/28057.html","28057")</f>
      </c>
      <c r="B537" t="s">
        <v>12</v>
      </c>
      <c r="C537" t="s">
        <v>97</v>
      </c>
      <c r="D537" t="s">
        <v>98</v>
      </c>
      <c r="E537" t="s">
        <v>15</v>
      </c>
      <c r="F537" t="s">
        <v>18241</v>
      </c>
      <c r="G537" t="s">
        <v>18063</v>
      </c>
      <c r="H537" t="s">
        <v>1121</v>
      </c>
      <c r="I537" t="s">
        <v>1117</v>
      </c>
      <c r="J537" t="s">
        <v>18242</v>
      </c>
      <c r="K537" t="s">
        <v>18243</v>
      </c>
      <c r="L537" t="s">
        <v>21</v>
      </c>
      <c r="M537" t="s">
        <v>19177</v>
      </c>
      <c r="N537" t="s">
        <v>97</v>
      </c>
      <c r="O537" t="s">
        <v>937</v>
      </c>
      <c r="P537" t="s">
        <v>12</v>
      </c>
    </row>
    <row r="538">
      <c r="A538">
        <f>HYPERLINK("http://bombeiros.sp.gov.br/hidrantes/03individual/214.html","214")</f>
      </c>
      <c r="B538" t="s">
        <v>12</v>
      </c>
      <c r="C538" t="s">
        <v>97</v>
      </c>
      <c r="D538" t="s">
        <v>102</v>
      </c>
      <c r="E538" t="s">
        <v>64</v>
      </c>
      <c r="F538" t="s">
        <v>2744</v>
      </c>
      <c r="G538" t="s">
        <v>18184</v>
      </c>
      <c r="H538" t="s">
        <v>1112</v>
      </c>
      <c r="I538" t="s">
        <v>1108</v>
      </c>
      <c r="J538" t="s">
        <v>2745</v>
      </c>
      <c r="K538" t="s">
        <v>2746</v>
      </c>
      <c r="L538" t="s">
        <v>36</v>
      </c>
      <c r="M538" t="s">
        <v>19177</v>
      </c>
      <c r="N538" t="s">
        <v>97</v>
      </c>
      <c r="O538" t="s">
        <v>937</v>
      </c>
      <c r="P538" t="s">
        <v>12</v>
      </c>
    </row>
    <row r="539">
      <c r="A539">
        <f>HYPERLINK("http://bombeiros.sp.gov.br/hidrantes/03individual/2493.html","2493")</f>
      </c>
      <c r="B539" t="s">
        <v>12</v>
      </c>
      <c r="C539" t="s">
        <v>97</v>
      </c>
      <c r="D539" t="s">
        <v>102</v>
      </c>
      <c r="E539" t="s">
        <v>64</v>
      </c>
      <c r="F539" t="s">
        <v>2747</v>
      </c>
      <c r="G539" t="s">
        <v>18099</v>
      </c>
      <c r="H539" t="s">
        <v>1107</v>
      </c>
      <c r="I539" t="s">
        <v>1108</v>
      </c>
      <c r="J539" t="s">
        <v>2748</v>
      </c>
      <c r="K539" t="s">
        <v>2749</v>
      </c>
      <c r="L539" t="s">
        <v>36</v>
      </c>
      <c r="M539" t="s">
        <v>19177</v>
      </c>
      <c r="N539" t="s">
        <v>97</v>
      </c>
      <c r="O539" t="s">
        <v>937</v>
      </c>
      <c r="P539" t="s">
        <v>12</v>
      </c>
    </row>
    <row r="540">
      <c r="A540">
        <f>HYPERLINK("http://bombeiros.sp.gov.br/hidrantes/03individual/2813.html","2813")</f>
      </c>
      <c r="B540" t="s">
        <v>12</v>
      </c>
      <c r="C540" t="s">
        <v>97</v>
      </c>
      <c r="D540" t="s">
        <v>102</v>
      </c>
      <c r="E540" t="s">
        <v>64</v>
      </c>
      <c r="F540" t="s">
        <v>2750</v>
      </c>
      <c r="G540" t="s">
        <v>18188</v>
      </c>
      <c r="H540" t="s">
        <v>1112</v>
      </c>
      <c r="I540" t="s">
        <v>1108</v>
      </c>
      <c r="J540" t="s">
        <v>2751</v>
      </c>
      <c r="K540" t="s">
        <v>2752</v>
      </c>
      <c r="L540" t="s">
        <v>36</v>
      </c>
      <c r="M540" t="s">
        <v>19177</v>
      </c>
      <c r="N540" t="s">
        <v>97</v>
      </c>
      <c r="O540" t="s">
        <v>937</v>
      </c>
      <c r="P540" t="s">
        <v>12</v>
      </c>
    </row>
    <row r="541">
      <c r="A541">
        <f>HYPERLINK("http://bombeiros.sp.gov.br/hidrantes/03individual/4432.html","4432")</f>
      </c>
      <c r="B541" t="s">
        <v>12</v>
      </c>
      <c r="C541" t="s">
        <v>97</v>
      </c>
      <c r="D541" t="s">
        <v>102</v>
      </c>
      <c r="E541" t="s">
        <v>64</v>
      </c>
      <c r="F541" t="s">
        <v>2753</v>
      </c>
      <c r="G541" t="s">
        <v>18184</v>
      </c>
      <c r="H541" t="s">
        <v>1112</v>
      </c>
      <c r="I541" t="s">
        <v>1108</v>
      </c>
      <c r="J541" t="s">
        <v>2754</v>
      </c>
      <c r="K541" t="s">
        <v>2755</v>
      </c>
      <c r="L541" t="s">
        <v>36</v>
      </c>
      <c r="M541" t="s">
        <v>19177</v>
      </c>
      <c r="N541" t="s">
        <v>97</v>
      </c>
      <c r="O541" t="s">
        <v>937</v>
      </c>
      <c r="P541" t="s">
        <v>12</v>
      </c>
    </row>
    <row r="542">
      <c r="A542">
        <f>HYPERLINK("http://bombeiros.sp.gov.br/hidrantes/03individual/16.html","16")</f>
      </c>
      <c r="B542" t="s">
        <v>12</v>
      </c>
      <c r="C542" t="s">
        <v>97</v>
      </c>
      <c r="D542" t="s">
        <v>102</v>
      </c>
      <c r="E542" t="s">
        <v>15</v>
      </c>
      <c r="F542" t="s">
        <v>2756</v>
      </c>
      <c r="G542" t="s">
        <v>18053</v>
      </c>
      <c r="H542" t="s">
        <v>1121</v>
      </c>
      <c r="I542" t="s">
        <v>1117</v>
      </c>
      <c r="J542" t="s">
        <v>2757</v>
      </c>
      <c r="K542" t="s">
        <v>2758</v>
      </c>
      <c r="L542" t="s">
        <v>21</v>
      </c>
      <c r="M542" t="s">
        <v>19177</v>
      </c>
      <c r="N542" t="s">
        <v>97</v>
      </c>
      <c r="O542" t="s">
        <v>937</v>
      </c>
      <c r="P542" t="s">
        <v>12</v>
      </c>
    </row>
    <row r="543">
      <c r="A543">
        <f>HYPERLINK("http://bombeiros.sp.gov.br/hidrantes/03individual/18.html","18")</f>
      </c>
      <c r="B543" t="s">
        <v>12</v>
      </c>
      <c r="C543" t="s">
        <v>97</v>
      </c>
      <c r="D543" t="s">
        <v>102</v>
      </c>
      <c r="E543" t="s">
        <v>15</v>
      </c>
      <c r="F543" t="s">
        <v>2759</v>
      </c>
      <c r="G543" t="s">
        <v>18053</v>
      </c>
      <c r="H543" t="s">
        <v>1121</v>
      </c>
      <c r="I543" t="s">
        <v>1108</v>
      </c>
      <c r="J543" t="s">
        <v>2760</v>
      </c>
      <c r="K543" t="s">
        <v>2761</v>
      </c>
      <c r="L543" t="s">
        <v>21</v>
      </c>
      <c r="M543" t="s">
        <v>19177</v>
      </c>
      <c r="N543" t="s">
        <v>97</v>
      </c>
      <c r="O543" t="s">
        <v>937</v>
      </c>
      <c r="P543" t="s">
        <v>12</v>
      </c>
    </row>
    <row r="544">
      <c r="A544">
        <f>HYPERLINK("http://bombeiros.sp.gov.br/hidrantes/03individual/272.html","272")</f>
      </c>
      <c r="B544" t="s">
        <v>12</v>
      </c>
      <c r="C544" t="s">
        <v>97</v>
      </c>
      <c r="D544" t="s">
        <v>102</v>
      </c>
      <c r="E544" t="s">
        <v>15</v>
      </c>
      <c r="F544" t="s">
        <v>2765</v>
      </c>
      <c r="G544" t="s">
        <v>18189</v>
      </c>
      <c r="H544" t="s">
        <v>1121</v>
      </c>
      <c r="I544" t="s">
        <v>1108</v>
      </c>
      <c r="J544" t="s">
        <v>2766</v>
      </c>
      <c r="K544" t="s">
        <v>2767</v>
      </c>
      <c r="L544" t="s">
        <v>21</v>
      </c>
      <c r="M544" t="s">
        <v>19177</v>
      </c>
      <c r="N544" t="s">
        <v>97</v>
      </c>
      <c r="O544" t="s">
        <v>937</v>
      </c>
      <c r="P544" t="s">
        <v>12</v>
      </c>
    </row>
    <row r="545">
      <c r="A545">
        <f>HYPERLINK("http://bombeiros.sp.gov.br/hidrantes/03individual/2807.html","2807")</f>
      </c>
      <c r="B545" t="s">
        <v>12</v>
      </c>
      <c r="C545" t="s">
        <v>97</v>
      </c>
      <c r="D545" t="s">
        <v>102</v>
      </c>
      <c r="E545" t="s">
        <v>15</v>
      </c>
      <c r="F545" t="s">
        <v>2768</v>
      </c>
      <c r="G545" t="s">
        <v>18073</v>
      </c>
      <c r="H545" t="s">
        <v>1121</v>
      </c>
      <c r="I545" t="s">
        <v>1117</v>
      </c>
      <c r="J545" t="s">
        <v>2769</v>
      </c>
      <c r="K545" t="s">
        <v>2770</v>
      </c>
      <c r="L545" t="s">
        <v>21</v>
      </c>
      <c r="M545" t="s">
        <v>19177</v>
      </c>
      <c r="N545" t="s">
        <v>97</v>
      </c>
      <c r="O545" t="s">
        <v>937</v>
      </c>
      <c r="P545" t="s">
        <v>12</v>
      </c>
    </row>
    <row r="546">
      <c r="A546">
        <f>HYPERLINK("http://bombeiros.sp.gov.br/hidrantes/03individual/2935.html","2935")</f>
      </c>
      <c r="B546" t="s">
        <v>12</v>
      </c>
      <c r="C546" t="s">
        <v>97</v>
      </c>
      <c r="D546" t="s">
        <v>102</v>
      </c>
      <c r="E546" t="s">
        <v>15</v>
      </c>
      <c r="F546" t="s">
        <v>2771</v>
      </c>
      <c r="G546" t="s">
        <v>18053</v>
      </c>
      <c r="H546" t="s">
        <v>1121</v>
      </c>
      <c r="I546" t="s">
        <v>1117</v>
      </c>
      <c r="J546" t="s">
        <v>2772</v>
      </c>
      <c r="K546" t="s">
        <v>2773</v>
      </c>
      <c r="L546" t="s">
        <v>21</v>
      </c>
      <c r="M546" t="s">
        <v>19177</v>
      </c>
      <c r="N546" t="s">
        <v>97</v>
      </c>
      <c r="O546" t="s">
        <v>937</v>
      </c>
      <c r="P546" t="s">
        <v>12</v>
      </c>
    </row>
    <row r="547">
      <c r="A547">
        <f>HYPERLINK("http://bombeiros.sp.gov.br/hidrantes/03individual/6784.html","6784")</f>
      </c>
      <c r="B547" t="s">
        <v>12</v>
      </c>
      <c r="C547" t="s">
        <v>97</v>
      </c>
      <c r="D547" t="s">
        <v>102</v>
      </c>
      <c r="E547" t="s">
        <v>15</v>
      </c>
      <c r="F547" t="s">
        <v>2774</v>
      </c>
      <c r="G547" t="s">
        <v>18076</v>
      </c>
      <c r="H547" t="s">
        <v>1121</v>
      </c>
      <c r="I547" t="s">
        <v>1117</v>
      </c>
      <c r="J547" t="s">
        <v>2775</v>
      </c>
      <c r="K547" t="s">
        <v>2776</v>
      </c>
      <c r="L547" t="s">
        <v>36</v>
      </c>
      <c r="M547" t="s">
        <v>19177</v>
      </c>
      <c r="N547" t="s">
        <v>97</v>
      </c>
      <c r="O547" t="s">
        <v>937</v>
      </c>
      <c r="P547" t="s">
        <v>12</v>
      </c>
    </row>
    <row r="548">
      <c r="A548">
        <f>HYPERLINK("http://bombeiros.sp.gov.br/hidrantes/03individual/25204.html","25204")</f>
      </c>
      <c r="B548" t="s">
        <v>12</v>
      </c>
      <c r="C548" t="s">
        <v>97</v>
      </c>
      <c r="D548" t="s">
        <v>102</v>
      </c>
      <c r="E548" t="s">
        <v>15</v>
      </c>
      <c r="F548" t="s">
        <v>2777</v>
      </c>
      <c r="G548" t="s">
        <v>18063</v>
      </c>
      <c r="H548" t="s">
        <v>1112</v>
      </c>
      <c r="I548" t="s">
        <v>1108</v>
      </c>
      <c r="J548" t="s">
        <v>2778</v>
      </c>
      <c r="K548" t="s">
        <v>2779</v>
      </c>
      <c r="L548" t="s">
        <v>21</v>
      </c>
      <c r="M548" t="s">
        <v>19177</v>
      </c>
      <c r="N548" t="s">
        <v>97</v>
      </c>
      <c r="O548" t="s">
        <v>937</v>
      </c>
      <c r="P548" t="s">
        <v>12</v>
      </c>
    </row>
    <row r="549">
      <c r="A549">
        <f>HYPERLINK("http://bombeiros.sp.gov.br/hidrantes/03individual/26658.html","26658")</f>
      </c>
      <c r="B549" t="s">
        <v>12</v>
      </c>
      <c r="C549" t="s">
        <v>97</v>
      </c>
      <c r="D549" t="s">
        <v>102</v>
      </c>
      <c r="E549" t="s">
        <v>15</v>
      </c>
      <c r="F549" t="s">
        <v>103</v>
      </c>
      <c r="G549" t="s">
        <v>18188</v>
      </c>
      <c r="H549"/>
      <c r="I549" t="s">
        <v>18</v>
      </c>
      <c r="J549" t="s">
        <v>104</v>
      </c>
      <c r="K549" t="s">
        <v>105</v>
      </c>
      <c r="L549" t="s">
        <v>21</v>
      </c>
      <c r="M549" t="s">
        <v>19177</v>
      </c>
      <c r="N549" t="s">
        <v>97</v>
      </c>
      <c r="O549" t="s">
        <v>937</v>
      </c>
      <c r="P549" t="s">
        <v>12</v>
      </c>
    </row>
    <row r="550">
      <c r="A550">
        <f>HYPERLINK("http://bombeiros.sp.gov.br/hidrantes/03individual/2.html","2")</f>
      </c>
      <c r="B550" t="s">
        <v>12</v>
      </c>
      <c r="C550" t="s">
        <v>97</v>
      </c>
      <c r="D550" t="s">
        <v>97</v>
      </c>
      <c r="E550" t="s">
        <v>64</v>
      </c>
      <c r="F550" t="s">
        <v>2780</v>
      </c>
      <c r="G550" t="s">
        <v>18188</v>
      </c>
      <c r="H550" t="s">
        <v>1112</v>
      </c>
      <c r="I550" t="s">
        <v>1108</v>
      </c>
      <c r="J550" t="s">
        <v>2781</v>
      </c>
      <c r="K550" t="s">
        <v>2782</v>
      </c>
      <c r="L550" t="s">
        <v>36</v>
      </c>
      <c r="M550" t="s">
        <v>19177</v>
      </c>
      <c r="N550" t="s">
        <v>97</v>
      </c>
      <c r="O550" t="s">
        <v>937</v>
      </c>
      <c r="P550" t="s">
        <v>12</v>
      </c>
    </row>
    <row r="551">
      <c r="A551">
        <f>HYPERLINK("http://bombeiros.sp.gov.br/hidrantes/03individual/13.html","13")</f>
      </c>
      <c r="B551" t="s">
        <v>12</v>
      </c>
      <c r="C551" t="s">
        <v>97</v>
      </c>
      <c r="D551" t="s">
        <v>97</v>
      </c>
      <c r="E551" t="s">
        <v>64</v>
      </c>
      <c r="F551" t="s">
        <v>2783</v>
      </c>
      <c r="G551" t="s">
        <v>18159</v>
      </c>
      <c r="H551" t="s">
        <v>1112</v>
      </c>
      <c r="I551" t="s">
        <v>1108</v>
      </c>
      <c r="J551" t="s">
        <v>2784</v>
      </c>
      <c r="K551" t="s">
        <v>2785</v>
      </c>
      <c r="L551" t="s">
        <v>36</v>
      </c>
      <c r="M551" t="s">
        <v>19177</v>
      </c>
      <c r="N551" t="s">
        <v>97</v>
      </c>
      <c r="O551" t="s">
        <v>937</v>
      </c>
      <c r="P551" t="s">
        <v>12</v>
      </c>
    </row>
    <row r="552">
      <c r="A552">
        <f>HYPERLINK("http://bombeiros.sp.gov.br/hidrantes/03individual/111.html","111")</f>
      </c>
      <c r="B552" t="s">
        <v>12</v>
      </c>
      <c r="C552" t="s">
        <v>97</v>
      </c>
      <c r="D552" t="s">
        <v>97</v>
      </c>
      <c r="E552" t="s">
        <v>64</v>
      </c>
      <c r="F552" t="s">
        <v>2786</v>
      </c>
      <c r="G552" t="s">
        <v>18068</v>
      </c>
      <c r="H552" t="s">
        <v>1107</v>
      </c>
      <c r="I552" t="s">
        <v>1108</v>
      </c>
      <c r="J552" t="s">
        <v>2787</v>
      </c>
      <c r="K552" t="s">
        <v>2788</v>
      </c>
      <c r="L552" t="s">
        <v>36</v>
      </c>
      <c r="M552" t="s">
        <v>19177</v>
      </c>
      <c r="N552" t="s">
        <v>97</v>
      </c>
      <c r="O552" t="s">
        <v>937</v>
      </c>
      <c r="P552" t="s">
        <v>12</v>
      </c>
    </row>
    <row r="553">
      <c r="A553">
        <f>HYPERLINK("http://bombeiros.sp.gov.br/hidrantes/03individual/808.html","808")</f>
      </c>
      <c r="B553" t="s">
        <v>12</v>
      </c>
      <c r="C553" t="s">
        <v>97</v>
      </c>
      <c r="D553" t="s">
        <v>97</v>
      </c>
      <c r="E553" t="s">
        <v>64</v>
      </c>
      <c r="F553" t="s">
        <v>2789</v>
      </c>
      <c r="G553" t="s">
        <v>18189</v>
      </c>
      <c r="H553" t="s">
        <v>1112</v>
      </c>
      <c r="I553" t="s">
        <v>1108</v>
      </c>
      <c r="J553" t="s">
        <v>2790</v>
      </c>
      <c r="K553" t="s">
        <v>2791</v>
      </c>
      <c r="L553" t="s">
        <v>36</v>
      </c>
      <c r="M553" t="s">
        <v>19177</v>
      </c>
      <c r="N553" t="s">
        <v>97</v>
      </c>
      <c r="O553" t="s">
        <v>937</v>
      </c>
      <c r="P553" t="s">
        <v>12</v>
      </c>
    </row>
    <row r="554">
      <c r="A554">
        <f>HYPERLINK("http://bombeiros.sp.gov.br/hidrantes/03individual/2166.html","2166")</f>
      </c>
      <c r="B554" t="s">
        <v>12</v>
      </c>
      <c r="C554" t="s">
        <v>97</v>
      </c>
      <c r="D554" t="s">
        <v>97</v>
      </c>
      <c r="E554" t="s">
        <v>64</v>
      </c>
      <c r="F554" t="s">
        <v>2792</v>
      </c>
      <c r="G554" t="s">
        <v>18068</v>
      </c>
      <c r="H554" t="s">
        <v>1112</v>
      </c>
      <c r="I554" t="s">
        <v>1108</v>
      </c>
      <c r="J554" t="s">
        <v>2793</v>
      </c>
      <c r="K554" t="s">
        <v>2794</v>
      </c>
      <c r="L554" t="s">
        <v>21</v>
      </c>
      <c r="M554" t="s">
        <v>19177</v>
      </c>
      <c r="N554" t="s">
        <v>97</v>
      </c>
      <c r="O554" t="s">
        <v>937</v>
      </c>
      <c r="P554" t="s">
        <v>12</v>
      </c>
    </row>
    <row r="555">
      <c r="A555">
        <f>HYPERLINK("http://bombeiros.sp.gov.br/hidrantes/03individual/2445.html","2445")</f>
      </c>
      <c r="B555" t="s">
        <v>12</v>
      </c>
      <c r="C555" t="s">
        <v>97</v>
      </c>
      <c r="D555" t="s">
        <v>97</v>
      </c>
      <c r="E555" t="s">
        <v>64</v>
      </c>
      <c r="F555" t="s">
        <v>2795</v>
      </c>
      <c r="G555" t="s">
        <v>18189</v>
      </c>
      <c r="H555" t="s">
        <v>1107</v>
      </c>
      <c r="I555" t="s">
        <v>1108</v>
      </c>
      <c r="J555" t="s">
        <v>2796</v>
      </c>
      <c r="K555" t="s">
        <v>2797</v>
      </c>
      <c r="L555" t="s">
        <v>21</v>
      </c>
      <c r="M555" t="s">
        <v>19177</v>
      </c>
      <c r="N555" t="s">
        <v>97</v>
      </c>
      <c r="O555" t="s">
        <v>937</v>
      </c>
      <c r="P555" t="s">
        <v>12</v>
      </c>
    </row>
    <row r="556">
      <c r="A556">
        <f>HYPERLINK("http://bombeiros.sp.gov.br/hidrantes/03individual/2453.html","2453")</f>
      </c>
      <c r="B556" t="s">
        <v>12</v>
      </c>
      <c r="C556" t="s">
        <v>97</v>
      </c>
      <c r="D556" t="s">
        <v>97</v>
      </c>
      <c r="E556" t="s">
        <v>64</v>
      </c>
      <c r="F556" t="s">
        <v>2798</v>
      </c>
      <c r="G556" t="s">
        <v>18043</v>
      </c>
      <c r="H556" t="s">
        <v>1107</v>
      </c>
      <c r="I556" t="s">
        <v>1108</v>
      </c>
      <c r="J556" t="s">
        <v>2799</v>
      </c>
      <c r="K556" t="s">
        <v>2800</v>
      </c>
      <c r="L556" t="s">
        <v>21</v>
      </c>
      <c r="M556" t="s">
        <v>19177</v>
      </c>
      <c r="N556" t="s">
        <v>97</v>
      </c>
      <c r="O556" t="s">
        <v>937</v>
      </c>
      <c r="P556" t="s">
        <v>12</v>
      </c>
    </row>
    <row r="557">
      <c r="A557">
        <f>HYPERLINK("http://bombeiros.sp.gov.br/hidrantes/03individual/2470.html","2470")</f>
      </c>
      <c r="B557" t="s">
        <v>12</v>
      </c>
      <c r="C557" t="s">
        <v>97</v>
      </c>
      <c r="D557" t="s">
        <v>97</v>
      </c>
      <c r="E557" t="s">
        <v>64</v>
      </c>
      <c r="F557" t="s">
        <v>2801</v>
      </c>
      <c r="G557" t="s">
        <v>18068</v>
      </c>
      <c r="H557" t="s">
        <v>1112</v>
      </c>
      <c r="I557" t="s">
        <v>1108</v>
      </c>
      <c r="J557" t="s">
        <v>2802</v>
      </c>
      <c r="K557" t="s">
        <v>2803</v>
      </c>
      <c r="L557" t="s">
        <v>36</v>
      </c>
      <c r="M557" t="s">
        <v>19177</v>
      </c>
      <c r="N557" t="s">
        <v>97</v>
      </c>
      <c r="O557" t="s">
        <v>937</v>
      </c>
      <c r="P557" t="s">
        <v>12</v>
      </c>
    </row>
    <row r="558">
      <c r="A558">
        <f>HYPERLINK("http://bombeiros.sp.gov.br/hidrantes/03individual/2475.html","2475")</f>
      </c>
      <c r="B558" t="s">
        <v>12</v>
      </c>
      <c r="C558" t="s">
        <v>97</v>
      </c>
      <c r="D558" t="s">
        <v>97</v>
      </c>
      <c r="E558" t="s">
        <v>64</v>
      </c>
      <c r="F558" t="s">
        <v>2804</v>
      </c>
      <c r="G558" t="s">
        <v>18050</v>
      </c>
      <c r="H558" t="s">
        <v>1121</v>
      </c>
      <c r="I558" t="s">
        <v>1117</v>
      </c>
      <c r="J558" t="s">
        <v>2805</v>
      </c>
      <c r="K558" t="s">
        <v>2806</v>
      </c>
      <c r="L558" t="s">
        <v>36</v>
      </c>
      <c r="M558" t="s">
        <v>19177</v>
      </c>
      <c r="N558" t="s">
        <v>97</v>
      </c>
      <c r="O558" t="s">
        <v>937</v>
      </c>
      <c r="P558" t="s">
        <v>12</v>
      </c>
    </row>
    <row r="559">
      <c r="A559">
        <f>HYPERLINK("http://bombeiros.sp.gov.br/hidrantes/03individual/2781.html","2781")</f>
      </c>
      <c r="B559" t="s">
        <v>12</v>
      </c>
      <c r="C559" t="s">
        <v>97</v>
      </c>
      <c r="D559" t="s">
        <v>97</v>
      </c>
      <c r="E559" t="s">
        <v>64</v>
      </c>
      <c r="F559" t="s">
        <v>2807</v>
      </c>
      <c r="G559" t="s">
        <v>18068</v>
      </c>
      <c r="H559" t="s">
        <v>1112</v>
      </c>
      <c r="I559" t="s">
        <v>1108</v>
      </c>
      <c r="J559" t="s">
        <v>2808</v>
      </c>
      <c r="K559" t="s">
        <v>2809</v>
      </c>
      <c r="L559" t="s">
        <v>21</v>
      </c>
      <c r="M559" t="s">
        <v>19177</v>
      </c>
      <c r="N559" t="s">
        <v>97</v>
      </c>
      <c r="O559" t="s">
        <v>937</v>
      </c>
      <c r="P559" t="s">
        <v>12</v>
      </c>
    </row>
    <row r="560">
      <c r="A560">
        <f>HYPERLINK("http://bombeiros.sp.gov.br/hidrantes/03individual/2792.html","2792")</f>
      </c>
      <c r="B560" t="s">
        <v>12</v>
      </c>
      <c r="C560" t="s">
        <v>97</v>
      </c>
      <c r="D560" t="s">
        <v>97</v>
      </c>
      <c r="E560" t="s">
        <v>64</v>
      </c>
      <c r="F560" t="s">
        <v>2810</v>
      </c>
      <c r="G560" t="s">
        <v>18076</v>
      </c>
      <c r="H560" t="s">
        <v>1121</v>
      </c>
      <c r="I560" t="s">
        <v>1117</v>
      </c>
      <c r="J560" t="s">
        <v>2811</v>
      </c>
      <c r="K560" t="s">
        <v>2812</v>
      </c>
      <c r="L560" t="s">
        <v>21</v>
      </c>
      <c r="M560" t="s">
        <v>19177</v>
      </c>
      <c r="N560" t="s">
        <v>97</v>
      </c>
      <c r="O560" t="s">
        <v>937</v>
      </c>
      <c r="P560" t="s">
        <v>12</v>
      </c>
    </row>
    <row r="561">
      <c r="A561">
        <f>HYPERLINK("http://bombeiros.sp.gov.br/hidrantes/03individual/2957.html","2957")</f>
      </c>
      <c r="B561" t="s">
        <v>12</v>
      </c>
      <c r="C561" t="s">
        <v>97</v>
      </c>
      <c r="D561" t="s">
        <v>97</v>
      </c>
      <c r="E561" t="s">
        <v>64</v>
      </c>
      <c r="F561" t="s">
        <v>2813</v>
      </c>
      <c r="G561" t="s">
        <v>18043</v>
      </c>
      <c r="H561" t="s">
        <v>1121</v>
      </c>
      <c r="I561" t="s">
        <v>1117</v>
      </c>
      <c r="J561" t="s">
        <v>2814</v>
      </c>
      <c r="K561" t="s">
        <v>2815</v>
      </c>
      <c r="L561" t="s">
        <v>36</v>
      </c>
      <c r="M561" t="s">
        <v>19177</v>
      </c>
      <c r="N561" t="s">
        <v>97</v>
      </c>
      <c r="O561" t="s">
        <v>937</v>
      </c>
      <c r="P561" t="s">
        <v>12</v>
      </c>
    </row>
    <row r="562">
      <c r="A562">
        <f>HYPERLINK("http://bombeiros.sp.gov.br/hidrantes/03individual/3.html","3")</f>
      </c>
      <c r="B562" t="s">
        <v>12</v>
      </c>
      <c r="C562" t="s">
        <v>97</v>
      </c>
      <c r="D562" t="s">
        <v>97</v>
      </c>
      <c r="E562" t="s">
        <v>15</v>
      </c>
      <c r="F562" t="s">
        <v>2816</v>
      </c>
      <c r="G562" t="s">
        <v>18093</v>
      </c>
      <c r="H562" t="s">
        <v>1174</v>
      </c>
      <c r="I562" t="s">
        <v>1108</v>
      </c>
      <c r="J562" t="s">
        <v>2817</v>
      </c>
      <c r="K562" t="s">
        <v>2818</v>
      </c>
      <c r="L562" t="s">
        <v>21</v>
      </c>
      <c r="M562" t="s">
        <v>19177</v>
      </c>
      <c r="N562" t="s">
        <v>97</v>
      </c>
      <c r="O562" t="s">
        <v>937</v>
      </c>
      <c r="P562" t="s">
        <v>12</v>
      </c>
    </row>
    <row r="563">
      <c r="A563">
        <f>HYPERLINK("http://bombeiros.sp.gov.br/hidrantes/03individual/14.html","14")</f>
      </c>
      <c r="B563" t="s">
        <v>12</v>
      </c>
      <c r="C563" t="s">
        <v>97</v>
      </c>
      <c r="D563" t="s">
        <v>97</v>
      </c>
      <c r="E563" t="s">
        <v>15</v>
      </c>
      <c r="F563" t="s">
        <v>2819</v>
      </c>
      <c r="G563" t="s">
        <v>18073</v>
      </c>
      <c r="H563" t="s">
        <v>1112</v>
      </c>
      <c r="I563" t="s">
        <v>1108</v>
      </c>
      <c r="J563" t="s">
        <v>2820</v>
      </c>
      <c r="K563" t="s">
        <v>2821</v>
      </c>
      <c r="L563" t="s">
        <v>21</v>
      </c>
      <c r="M563" t="s">
        <v>19177</v>
      </c>
      <c r="N563" t="s">
        <v>97</v>
      </c>
      <c r="O563" t="s">
        <v>937</v>
      </c>
      <c r="P563" t="s">
        <v>12</v>
      </c>
    </row>
    <row r="564">
      <c r="A564">
        <f>HYPERLINK("http://bombeiros.sp.gov.br/hidrantes/03individual/20.html","20")</f>
      </c>
      <c r="B564" t="s">
        <v>12</v>
      </c>
      <c r="C564" t="s">
        <v>97</v>
      </c>
      <c r="D564" t="s">
        <v>97</v>
      </c>
      <c r="E564" t="s">
        <v>15</v>
      </c>
      <c r="F564" t="s">
        <v>2822</v>
      </c>
      <c r="G564" t="s">
        <v>18188</v>
      </c>
      <c r="H564" t="s">
        <v>1112</v>
      </c>
      <c r="I564" t="s">
        <v>1108</v>
      </c>
      <c r="J564" t="s">
        <v>2823</v>
      </c>
      <c r="K564" t="s">
        <v>2824</v>
      </c>
      <c r="L564" t="s">
        <v>21</v>
      </c>
      <c r="M564" t="s">
        <v>19177</v>
      </c>
      <c r="N564" t="s">
        <v>97</v>
      </c>
      <c r="O564" t="s">
        <v>937</v>
      </c>
      <c r="P564" t="s">
        <v>12</v>
      </c>
    </row>
    <row r="565">
      <c r="A565">
        <f>HYPERLINK("http://bombeiros.sp.gov.br/hidrantes/03individual/74.html","74")</f>
      </c>
      <c r="B565" t="s">
        <v>12</v>
      </c>
      <c r="C565" t="s">
        <v>97</v>
      </c>
      <c r="D565" t="s">
        <v>97</v>
      </c>
      <c r="E565" t="s">
        <v>15</v>
      </c>
      <c r="F565" t="s">
        <v>106</v>
      </c>
      <c r="G565" t="s">
        <v>18073</v>
      </c>
      <c r="H565" t="s">
        <v>1112</v>
      </c>
      <c r="I565" t="s">
        <v>1108</v>
      </c>
      <c r="J565" t="s">
        <v>108</v>
      </c>
      <c r="K565" t="s">
        <v>109</v>
      </c>
      <c r="L565" t="s">
        <v>21</v>
      </c>
      <c r="M565" t="s">
        <v>19177</v>
      </c>
      <c r="N565" t="s">
        <v>97</v>
      </c>
      <c r="O565" t="s">
        <v>937</v>
      </c>
      <c r="P565" t="s">
        <v>12</v>
      </c>
    </row>
    <row r="566">
      <c r="A566">
        <f>HYPERLINK("http://bombeiros.sp.gov.br/hidrantes/03individual/114.html","114")</f>
      </c>
      <c r="B566" t="s">
        <v>12</v>
      </c>
      <c r="C566" t="s">
        <v>97</v>
      </c>
      <c r="D566" t="s">
        <v>97</v>
      </c>
      <c r="E566" t="s">
        <v>15</v>
      </c>
      <c r="F566" t="s">
        <v>2825</v>
      </c>
      <c r="G566" t="s">
        <v>18068</v>
      </c>
      <c r="H566" t="s">
        <v>1174</v>
      </c>
      <c r="I566" t="s">
        <v>1117</v>
      </c>
      <c r="J566" t="s">
        <v>2826</v>
      </c>
      <c r="K566" t="s">
        <v>2827</v>
      </c>
      <c r="L566" t="s">
        <v>36</v>
      </c>
      <c r="M566" t="s">
        <v>19177</v>
      </c>
      <c r="N566" t="s">
        <v>97</v>
      </c>
      <c r="O566" t="s">
        <v>937</v>
      </c>
      <c r="P566" t="s">
        <v>12</v>
      </c>
    </row>
    <row r="567">
      <c r="A567">
        <f>HYPERLINK("http://bombeiros.sp.gov.br/hidrantes/03individual/129.html","129")</f>
      </c>
      <c r="B567" t="s">
        <v>12</v>
      </c>
      <c r="C567" t="s">
        <v>97</v>
      </c>
      <c r="D567" t="s">
        <v>97</v>
      </c>
      <c r="E567" t="s">
        <v>15</v>
      </c>
      <c r="F567" t="s">
        <v>2828</v>
      </c>
      <c r="G567" t="s">
        <v>18032</v>
      </c>
      <c r="H567" t="s">
        <v>1121</v>
      </c>
      <c r="I567" t="s">
        <v>1117</v>
      </c>
      <c r="J567" t="s">
        <v>2829</v>
      </c>
      <c r="K567" t="s">
        <v>2830</v>
      </c>
      <c r="L567" t="s">
        <v>21</v>
      </c>
      <c r="M567" t="s">
        <v>19177</v>
      </c>
      <c r="N567" t="s">
        <v>97</v>
      </c>
      <c r="O567" t="s">
        <v>937</v>
      </c>
      <c r="P567" t="s">
        <v>12</v>
      </c>
    </row>
    <row r="568">
      <c r="A568">
        <f>HYPERLINK("http://bombeiros.sp.gov.br/hidrantes/03individual/131.html","131")</f>
      </c>
      <c r="B568" t="s">
        <v>12</v>
      </c>
      <c r="C568" t="s">
        <v>97</v>
      </c>
      <c r="D568" t="s">
        <v>97</v>
      </c>
      <c r="E568" t="s">
        <v>15</v>
      </c>
      <c r="F568" t="s">
        <v>2831</v>
      </c>
      <c r="G568" t="s">
        <v>18031</v>
      </c>
      <c r="H568" t="s">
        <v>1107</v>
      </c>
      <c r="I568" t="s">
        <v>1108</v>
      </c>
      <c r="J568" t="s">
        <v>2832</v>
      </c>
      <c r="K568" t="s">
        <v>2833</v>
      </c>
      <c r="L568" t="s">
        <v>21</v>
      </c>
      <c r="M568" t="s">
        <v>19177</v>
      </c>
      <c r="N568" t="s">
        <v>97</v>
      </c>
      <c r="O568" t="s">
        <v>937</v>
      </c>
      <c r="P568" t="s">
        <v>12</v>
      </c>
    </row>
    <row r="569">
      <c r="A569">
        <f>HYPERLINK("http://bombeiros.sp.gov.br/hidrantes/03individual/183.html","183")</f>
      </c>
      <c r="B569" t="s">
        <v>12</v>
      </c>
      <c r="C569" t="s">
        <v>97</v>
      </c>
      <c r="D569" t="s">
        <v>97</v>
      </c>
      <c r="E569" t="s">
        <v>15</v>
      </c>
      <c r="F569" t="s">
        <v>2834</v>
      </c>
      <c r="G569" t="s">
        <v>17966</v>
      </c>
      <c r="H569" t="s">
        <v>1112</v>
      </c>
      <c r="I569" t="s">
        <v>1108</v>
      </c>
      <c r="J569" t="s">
        <v>2835</v>
      </c>
      <c r="K569" t="s">
        <v>2836</v>
      </c>
      <c r="L569" t="s">
        <v>21</v>
      </c>
      <c r="M569" t="s">
        <v>19177</v>
      </c>
      <c r="N569" t="s">
        <v>97</v>
      </c>
      <c r="O569" t="s">
        <v>937</v>
      </c>
      <c r="P569" t="s">
        <v>12</v>
      </c>
    </row>
    <row r="570">
      <c r="A570">
        <f>HYPERLINK("http://bombeiros.sp.gov.br/hidrantes/03individual/200.html","200")</f>
      </c>
      <c r="B570" t="s">
        <v>12</v>
      </c>
      <c r="C570" t="s">
        <v>97</v>
      </c>
      <c r="D570" t="s">
        <v>97</v>
      </c>
      <c r="E570" t="s">
        <v>15</v>
      </c>
      <c r="F570" t="s">
        <v>2837</v>
      </c>
      <c r="G570" t="s">
        <v>18032</v>
      </c>
      <c r="H570" t="s">
        <v>1107</v>
      </c>
      <c r="I570" t="s">
        <v>1108</v>
      </c>
      <c r="J570" t="s">
        <v>2838</v>
      </c>
      <c r="K570" t="s">
        <v>2839</v>
      </c>
      <c r="L570" t="s">
        <v>21</v>
      </c>
      <c r="M570" t="s">
        <v>19177</v>
      </c>
      <c r="N570" t="s">
        <v>97</v>
      </c>
      <c r="O570" t="s">
        <v>937</v>
      </c>
      <c r="P570" t="s">
        <v>12</v>
      </c>
    </row>
    <row r="571">
      <c r="A571">
        <f>HYPERLINK("http://bombeiros.sp.gov.br/hidrantes/03individual/213.html","213")</f>
      </c>
      <c r="B571" t="s">
        <v>12</v>
      </c>
      <c r="C571" t="s">
        <v>97</v>
      </c>
      <c r="D571" t="s">
        <v>97</v>
      </c>
      <c r="E571" t="s">
        <v>15</v>
      </c>
      <c r="F571" t="s">
        <v>2840</v>
      </c>
      <c r="G571" t="s">
        <v>18043</v>
      </c>
      <c r="H571" t="s">
        <v>1121</v>
      </c>
      <c r="I571" t="s">
        <v>1117</v>
      </c>
      <c r="J571" t="s">
        <v>2841</v>
      </c>
      <c r="K571" t="s">
        <v>2842</v>
      </c>
      <c r="L571" t="s">
        <v>21</v>
      </c>
      <c r="M571" t="s">
        <v>19177</v>
      </c>
      <c r="N571" t="s">
        <v>97</v>
      </c>
      <c r="O571" t="s">
        <v>937</v>
      </c>
      <c r="P571" t="s">
        <v>12</v>
      </c>
    </row>
    <row r="572">
      <c r="A572">
        <f>HYPERLINK("http://bombeiros.sp.gov.br/hidrantes/03individual/2452.html","2452")</f>
      </c>
      <c r="B572" t="s">
        <v>12</v>
      </c>
      <c r="C572" t="s">
        <v>97</v>
      </c>
      <c r="D572" t="s">
        <v>97</v>
      </c>
      <c r="E572" t="s">
        <v>15</v>
      </c>
      <c r="F572" t="s">
        <v>2843</v>
      </c>
      <c r="G572" t="s">
        <v>18093</v>
      </c>
      <c r="H572" t="s">
        <v>1107</v>
      </c>
      <c r="I572" t="s">
        <v>1108</v>
      </c>
      <c r="J572" t="s">
        <v>2844</v>
      </c>
      <c r="K572" t="s">
        <v>2845</v>
      </c>
      <c r="L572" t="s">
        <v>21</v>
      </c>
      <c r="M572" t="s">
        <v>19177</v>
      </c>
      <c r="N572" t="s">
        <v>97</v>
      </c>
      <c r="O572" t="s">
        <v>937</v>
      </c>
      <c r="P572" t="s">
        <v>12</v>
      </c>
    </row>
    <row r="573">
      <c r="A573">
        <f>HYPERLINK("http://bombeiros.sp.gov.br/hidrantes/03individual/2458.html","2458")</f>
      </c>
      <c r="B573" t="s">
        <v>12</v>
      </c>
      <c r="C573" t="s">
        <v>97</v>
      </c>
      <c r="D573" t="s">
        <v>97</v>
      </c>
      <c r="E573" t="s">
        <v>15</v>
      </c>
      <c r="F573" t="s">
        <v>2846</v>
      </c>
      <c r="G573" t="s">
        <v>18050</v>
      </c>
      <c r="H573" t="s">
        <v>1112</v>
      </c>
      <c r="I573" t="s">
        <v>1108</v>
      </c>
      <c r="J573" t="s">
        <v>18924</v>
      </c>
      <c r="K573" t="s">
        <v>18925</v>
      </c>
      <c r="L573" t="s">
        <v>21</v>
      </c>
      <c r="M573" t="s">
        <v>19177</v>
      </c>
      <c r="N573" t="s">
        <v>97</v>
      </c>
      <c r="O573" t="s">
        <v>937</v>
      </c>
      <c r="P573" t="s">
        <v>12</v>
      </c>
    </row>
    <row r="574">
      <c r="A574">
        <f>HYPERLINK("http://bombeiros.sp.gov.br/hidrantes/03individual/2464.html","2464")</f>
      </c>
      <c r="B574" t="s">
        <v>12</v>
      </c>
      <c r="C574" t="s">
        <v>97</v>
      </c>
      <c r="D574" t="s">
        <v>97</v>
      </c>
      <c r="E574" t="s">
        <v>15</v>
      </c>
      <c r="F574" t="s">
        <v>15138</v>
      </c>
      <c r="G574" t="s">
        <v>18050</v>
      </c>
      <c r="H574" t="s">
        <v>1112</v>
      </c>
      <c r="I574" t="s">
        <v>1108</v>
      </c>
      <c r="J574" t="s">
        <v>15139</v>
      </c>
      <c r="K574" t="s">
        <v>15140</v>
      </c>
      <c r="L574" t="s">
        <v>21</v>
      </c>
      <c r="M574" t="s">
        <v>19177</v>
      </c>
      <c r="N574" t="s">
        <v>97</v>
      </c>
      <c r="O574" t="s">
        <v>937</v>
      </c>
      <c r="P574" t="s">
        <v>12</v>
      </c>
    </row>
    <row r="575">
      <c r="A575">
        <f>HYPERLINK("http://bombeiros.sp.gov.br/hidrantes/03individual/2508.html","2508")</f>
      </c>
      <c r="B575" t="s">
        <v>12</v>
      </c>
      <c r="C575" t="s">
        <v>97</v>
      </c>
      <c r="D575" t="s">
        <v>97</v>
      </c>
      <c r="E575" t="s">
        <v>15</v>
      </c>
      <c r="F575" t="s">
        <v>2849</v>
      </c>
      <c r="G575" t="s">
        <v>18032</v>
      </c>
      <c r="H575" t="s">
        <v>1121</v>
      </c>
      <c r="I575" t="s">
        <v>1117</v>
      </c>
      <c r="J575" t="s">
        <v>2850</v>
      </c>
      <c r="K575" t="s">
        <v>2851</v>
      </c>
      <c r="L575" t="s">
        <v>21</v>
      </c>
      <c r="M575" t="s">
        <v>19177</v>
      </c>
      <c r="N575" t="s">
        <v>97</v>
      </c>
      <c r="O575" t="s">
        <v>937</v>
      </c>
      <c r="P575" t="s">
        <v>12</v>
      </c>
    </row>
    <row r="576">
      <c r="A576">
        <f>HYPERLINK("http://bombeiros.sp.gov.br/hidrantes/03individual/2532.html","2532")</f>
      </c>
      <c r="B576" t="s">
        <v>12</v>
      </c>
      <c r="C576" t="s">
        <v>97</v>
      </c>
      <c r="D576" t="s">
        <v>97</v>
      </c>
      <c r="E576" t="s">
        <v>15</v>
      </c>
      <c r="F576" t="s">
        <v>2852</v>
      </c>
      <c r="G576" t="s">
        <v>18228</v>
      </c>
      <c r="H576"/>
      <c r="I576" t="s">
        <v>18</v>
      </c>
      <c r="J576" t="s">
        <v>2853</v>
      </c>
      <c r="K576" t="s">
        <v>2854</v>
      </c>
      <c r="L576" t="s">
        <v>21</v>
      </c>
      <c r="M576" t="s">
        <v>19177</v>
      </c>
      <c r="N576" t="s">
        <v>97</v>
      </c>
      <c r="O576" t="s">
        <v>937</v>
      </c>
      <c r="P576" t="s">
        <v>12</v>
      </c>
    </row>
    <row r="577">
      <c r="A577">
        <f>HYPERLINK("http://bombeiros.sp.gov.br/hidrantes/03individual/2536.html","2536")</f>
      </c>
      <c r="B577" t="s">
        <v>12</v>
      </c>
      <c r="C577" t="s">
        <v>97</v>
      </c>
      <c r="D577" t="s">
        <v>97</v>
      </c>
      <c r="E577" t="s">
        <v>15</v>
      </c>
      <c r="F577" t="s">
        <v>2855</v>
      </c>
      <c r="G577" t="s">
        <v>18182</v>
      </c>
      <c r="H577" t="s">
        <v>1112</v>
      </c>
      <c r="I577" t="s">
        <v>1108</v>
      </c>
      <c r="J577" t="s">
        <v>2857</v>
      </c>
      <c r="K577" t="s">
        <v>2858</v>
      </c>
      <c r="L577" t="s">
        <v>36</v>
      </c>
      <c r="M577" t="s">
        <v>19177</v>
      </c>
      <c r="N577" t="s">
        <v>97</v>
      </c>
      <c r="O577" t="s">
        <v>937</v>
      </c>
      <c r="P577" t="s">
        <v>12</v>
      </c>
    </row>
    <row r="578">
      <c r="A578">
        <f>HYPERLINK("http://bombeiros.sp.gov.br/hidrantes/03individual/2791.html","2791")</f>
      </c>
      <c r="B578" t="s">
        <v>12</v>
      </c>
      <c r="C578" t="s">
        <v>97</v>
      </c>
      <c r="D578" t="s">
        <v>97</v>
      </c>
      <c r="E578" t="s">
        <v>15</v>
      </c>
      <c r="F578" t="s">
        <v>2859</v>
      </c>
      <c r="G578" t="s">
        <v>18076</v>
      </c>
      <c r="H578" t="s">
        <v>1121</v>
      </c>
      <c r="I578" t="s">
        <v>1117</v>
      </c>
      <c r="J578" t="s">
        <v>2860</v>
      </c>
      <c r="K578" t="s">
        <v>2861</v>
      </c>
      <c r="L578" t="s">
        <v>36</v>
      </c>
      <c r="M578" t="s">
        <v>19177</v>
      </c>
      <c r="N578" t="s">
        <v>97</v>
      </c>
      <c r="O578" t="s">
        <v>937</v>
      </c>
      <c r="P578" t="s">
        <v>12</v>
      </c>
    </row>
    <row r="579">
      <c r="A579">
        <f>HYPERLINK("http://bombeiros.sp.gov.br/hidrantes/03individual/5382.html","5382")</f>
      </c>
      <c r="B579" t="s">
        <v>12</v>
      </c>
      <c r="C579" t="s">
        <v>97</v>
      </c>
      <c r="D579" t="s">
        <v>97</v>
      </c>
      <c r="E579" t="s">
        <v>15</v>
      </c>
      <c r="F579" t="s">
        <v>2862</v>
      </c>
      <c r="G579" t="s">
        <v>18073</v>
      </c>
      <c r="H579" t="s">
        <v>1121</v>
      </c>
      <c r="I579" t="s">
        <v>1117</v>
      </c>
      <c r="J579" t="s">
        <v>2863</v>
      </c>
      <c r="K579" t="s">
        <v>2864</v>
      </c>
      <c r="L579" t="s">
        <v>21</v>
      </c>
      <c r="M579" t="s">
        <v>19177</v>
      </c>
      <c r="N579" t="s">
        <v>97</v>
      </c>
      <c r="O579" t="s">
        <v>937</v>
      </c>
      <c r="P579" t="s">
        <v>12</v>
      </c>
    </row>
    <row r="580">
      <c r="A580">
        <f>HYPERLINK("http://bombeiros.sp.gov.br/hidrantes/03individual/25203.html","25203")</f>
      </c>
      <c r="B580" t="s">
        <v>12</v>
      </c>
      <c r="C580" t="s">
        <v>97</v>
      </c>
      <c r="D580" t="s">
        <v>97</v>
      </c>
      <c r="E580" t="s">
        <v>15</v>
      </c>
      <c r="F580" t="s">
        <v>2865</v>
      </c>
      <c r="G580" t="s">
        <v>18032</v>
      </c>
      <c r="H580" t="s">
        <v>1121</v>
      </c>
      <c r="I580" t="s">
        <v>1117</v>
      </c>
      <c r="J580" t="s">
        <v>2866</v>
      </c>
      <c r="K580" t="s">
        <v>2867</v>
      </c>
      <c r="L580" t="s">
        <v>21</v>
      </c>
      <c r="M580" t="s">
        <v>19177</v>
      </c>
      <c r="N580" t="s">
        <v>97</v>
      </c>
      <c r="O580" t="s">
        <v>937</v>
      </c>
      <c r="P580" t="s">
        <v>12</v>
      </c>
    </row>
    <row r="581">
      <c r="A581">
        <f>HYPERLINK("http://bombeiros.sp.gov.br/hidrantes/03individual/26623.html","26623")</f>
      </c>
      <c r="B581" t="s">
        <v>12</v>
      </c>
      <c r="C581" t="s">
        <v>97</v>
      </c>
      <c r="D581" t="s">
        <v>97</v>
      </c>
      <c r="E581" t="s">
        <v>15</v>
      </c>
      <c r="F581" t="s">
        <v>2868</v>
      </c>
      <c r="G581" t="s">
        <v>18184</v>
      </c>
      <c r="H581" t="s">
        <v>1112</v>
      </c>
      <c r="I581" t="s">
        <v>1108</v>
      </c>
      <c r="J581" t="s">
        <v>2869</v>
      </c>
      <c r="K581" t="s">
        <v>2870</v>
      </c>
      <c r="L581" t="s">
        <v>21</v>
      </c>
      <c r="M581" t="s">
        <v>19177</v>
      </c>
      <c r="N581" t="s">
        <v>97</v>
      </c>
      <c r="O581" t="s">
        <v>937</v>
      </c>
      <c r="P581" t="s">
        <v>12</v>
      </c>
    </row>
    <row r="582">
      <c r="A582">
        <f>HYPERLINK("http://bombeiros.sp.gov.br/hidrantes/03individual/1724.html","1724")</f>
      </c>
      <c r="B582" t="s">
        <v>114</v>
      </c>
      <c r="C582" t="s">
        <v>115</v>
      </c>
      <c r="D582" t="s">
        <v>115</v>
      </c>
      <c r="E582" t="s">
        <v>64</v>
      </c>
      <c r="F582" t="s">
        <v>2871</v>
      </c>
      <c r="G582" t="s">
        <v>18051</v>
      </c>
      <c r="H582" t="s">
        <v>1121</v>
      </c>
      <c r="I582" t="s">
        <v>1117</v>
      </c>
      <c r="J582" t="s">
        <v>2872</v>
      </c>
      <c r="K582" t="s">
        <v>2873</v>
      </c>
      <c r="L582" t="s">
        <v>21</v>
      </c>
      <c r="M582" t="s">
        <v>19177</v>
      </c>
      <c r="N582" t="s">
        <v>300</v>
      </c>
      <c r="O582" t="s">
        <v>16373</v>
      </c>
      <c r="P582" t="s">
        <v>12</v>
      </c>
    </row>
    <row r="583">
      <c r="A583">
        <f>HYPERLINK("http://bombeiros.sp.gov.br/hidrantes/03individual/3181.html","3181")</f>
      </c>
      <c r="B583" t="s">
        <v>114</v>
      </c>
      <c r="C583" t="s">
        <v>115</v>
      </c>
      <c r="D583" t="s">
        <v>115</v>
      </c>
      <c r="E583" t="s">
        <v>64</v>
      </c>
      <c r="F583" t="s">
        <v>2874</v>
      </c>
      <c r="G583" t="s">
        <v>18045</v>
      </c>
      <c r="H583" t="s">
        <v>1112</v>
      </c>
      <c r="I583" t="s">
        <v>1117</v>
      </c>
      <c r="J583" t="s">
        <v>2875</v>
      </c>
      <c r="K583" t="s">
        <v>2876</v>
      </c>
      <c r="L583" t="s">
        <v>36</v>
      </c>
      <c r="M583" t="s">
        <v>19177</v>
      </c>
      <c r="N583" t="s">
        <v>300</v>
      </c>
      <c r="O583" t="s">
        <v>16373</v>
      </c>
      <c r="P583" t="s">
        <v>12</v>
      </c>
    </row>
    <row r="584">
      <c r="A584">
        <f>HYPERLINK("http://bombeiros.sp.gov.br/hidrantes/03individual/3251.html","3251")</f>
      </c>
      <c r="B584" t="s">
        <v>114</v>
      </c>
      <c r="C584" t="s">
        <v>115</v>
      </c>
      <c r="D584" t="s">
        <v>115</v>
      </c>
      <c r="E584" t="s">
        <v>64</v>
      </c>
      <c r="F584" t="s">
        <v>2877</v>
      </c>
      <c r="G584" t="s">
        <v>18097</v>
      </c>
      <c r="H584" t="s">
        <v>1112</v>
      </c>
      <c r="I584" t="s">
        <v>1108</v>
      </c>
      <c r="J584" t="s">
        <v>2878</v>
      </c>
      <c r="K584" t="s">
        <v>2879</v>
      </c>
      <c r="L584" t="s">
        <v>36</v>
      </c>
      <c r="M584" t="s">
        <v>19177</v>
      </c>
      <c r="N584" t="s">
        <v>300</v>
      </c>
      <c r="O584" t="s">
        <v>16373</v>
      </c>
      <c r="P584" t="s">
        <v>12</v>
      </c>
    </row>
    <row r="585">
      <c r="A585">
        <f>HYPERLINK("http://bombeiros.sp.gov.br/hidrantes/03individual/16558.html","16558")</f>
      </c>
      <c r="B585" t="s">
        <v>114</v>
      </c>
      <c r="C585" t="s">
        <v>115</v>
      </c>
      <c r="D585" t="s">
        <v>115</v>
      </c>
      <c r="E585" t="s">
        <v>64</v>
      </c>
      <c r="F585" t="s">
        <v>2880</v>
      </c>
      <c r="G585" t="s">
        <v>18076</v>
      </c>
      <c r="H585" t="s">
        <v>1112</v>
      </c>
      <c r="I585" t="s">
        <v>1108</v>
      </c>
      <c r="J585" t="s">
        <v>2881</v>
      </c>
      <c r="K585" t="s">
        <v>2882</v>
      </c>
      <c r="L585" t="s">
        <v>21</v>
      </c>
      <c r="M585" t="s">
        <v>19177</v>
      </c>
      <c r="N585" t="s">
        <v>300</v>
      </c>
      <c r="O585" t="s">
        <v>16373</v>
      </c>
      <c r="P585" t="s">
        <v>12</v>
      </c>
    </row>
    <row r="586">
      <c r="A586">
        <f>HYPERLINK("http://bombeiros.sp.gov.br/hidrantes/03individual/1632.html","1632")</f>
      </c>
      <c r="B586" t="s">
        <v>114</v>
      </c>
      <c r="C586" t="s">
        <v>115</v>
      </c>
      <c r="D586" t="s">
        <v>115</v>
      </c>
      <c r="E586" t="s">
        <v>15</v>
      </c>
      <c r="F586" t="s">
        <v>2883</v>
      </c>
      <c r="G586" t="s">
        <v>18097</v>
      </c>
      <c r="H586" t="s">
        <v>1107</v>
      </c>
      <c r="I586" t="s">
        <v>1108</v>
      </c>
      <c r="J586" t="s">
        <v>2884</v>
      </c>
      <c r="K586" t="s">
        <v>2885</v>
      </c>
      <c r="L586" t="s">
        <v>21</v>
      </c>
      <c r="M586" t="s">
        <v>19177</v>
      </c>
      <c r="N586" t="s">
        <v>300</v>
      </c>
      <c r="O586" t="s">
        <v>16373</v>
      </c>
      <c r="P586" t="s">
        <v>12</v>
      </c>
    </row>
    <row r="587">
      <c r="A587">
        <f>HYPERLINK("http://bombeiros.sp.gov.br/hidrantes/03individual/1697.html","1697")</f>
      </c>
      <c r="B587" t="s">
        <v>114</v>
      </c>
      <c r="C587" t="s">
        <v>115</v>
      </c>
      <c r="D587" t="s">
        <v>115</v>
      </c>
      <c r="E587" t="s">
        <v>15</v>
      </c>
      <c r="F587" t="s">
        <v>116</v>
      </c>
      <c r="G587" t="s">
        <v>18076</v>
      </c>
      <c r="H587"/>
      <c r="I587" t="s">
        <v>18</v>
      </c>
      <c r="J587" t="s">
        <v>118</v>
      </c>
      <c r="K587" t="s">
        <v>119</v>
      </c>
      <c r="L587" t="s">
        <v>21</v>
      </c>
      <c r="M587" t="s">
        <v>19177</v>
      </c>
      <c r="N587" t="s">
        <v>300</v>
      </c>
      <c r="O587" t="s">
        <v>16373</v>
      </c>
      <c r="P587" t="s">
        <v>12</v>
      </c>
    </row>
    <row r="588">
      <c r="A588">
        <f>HYPERLINK("http://bombeiros.sp.gov.br/hidrantes/03individual/1699.html","1699")</f>
      </c>
      <c r="B588" t="s">
        <v>114</v>
      </c>
      <c r="C588" t="s">
        <v>115</v>
      </c>
      <c r="D588" t="s">
        <v>115</v>
      </c>
      <c r="E588" t="s">
        <v>15</v>
      </c>
      <c r="F588" t="s">
        <v>2886</v>
      </c>
      <c r="G588" t="s">
        <v>18076</v>
      </c>
      <c r="H588" t="s">
        <v>1112</v>
      </c>
      <c r="I588" t="s">
        <v>1108</v>
      </c>
      <c r="J588" t="s">
        <v>2887</v>
      </c>
      <c r="K588" t="s">
        <v>2888</v>
      </c>
      <c r="L588" t="s">
        <v>21</v>
      </c>
      <c r="M588" t="s">
        <v>19177</v>
      </c>
      <c r="N588" t="s">
        <v>300</v>
      </c>
      <c r="O588" t="s">
        <v>16373</v>
      </c>
      <c r="P588" t="s">
        <v>12</v>
      </c>
    </row>
    <row r="589">
      <c r="A589">
        <f>HYPERLINK("http://bombeiros.sp.gov.br/hidrantes/03individual/1738.html","1738")</f>
      </c>
      <c r="B589" t="s">
        <v>114</v>
      </c>
      <c r="C589" t="s">
        <v>115</v>
      </c>
      <c r="D589" t="s">
        <v>115</v>
      </c>
      <c r="E589" t="s">
        <v>15</v>
      </c>
      <c r="F589" t="s">
        <v>2889</v>
      </c>
      <c r="G589" t="s">
        <v>18097</v>
      </c>
      <c r="H589" t="s">
        <v>1107</v>
      </c>
      <c r="I589" t="s">
        <v>1108</v>
      </c>
      <c r="J589" t="s">
        <v>2890</v>
      </c>
      <c r="K589" t="s">
        <v>2891</v>
      </c>
      <c r="L589" t="s">
        <v>21</v>
      </c>
      <c r="M589" t="s">
        <v>19177</v>
      </c>
      <c r="N589" t="s">
        <v>300</v>
      </c>
      <c r="O589" t="s">
        <v>16373</v>
      </c>
      <c r="P589" t="s">
        <v>12</v>
      </c>
    </row>
    <row r="590">
      <c r="A590">
        <f>HYPERLINK("http://bombeiros.sp.gov.br/hidrantes/03individual/1741.html","1741")</f>
      </c>
      <c r="B590" t="s">
        <v>114</v>
      </c>
      <c r="C590" t="s">
        <v>115</v>
      </c>
      <c r="D590" t="s">
        <v>115</v>
      </c>
      <c r="E590" t="s">
        <v>15</v>
      </c>
      <c r="F590" t="s">
        <v>2892</v>
      </c>
      <c r="G590" t="s">
        <v>18050</v>
      </c>
      <c r="H590" t="s">
        <v>1107</v>
      </c>
      <c r="I590" t="s">
        <v>1108</v>
      </c>
      <c r="J590" t="s">
        <v>2893</v>
      </c>
      <c r="K590" t="s">
        <v>2894</v>
      </c>
      <c r="L590" t="s">
        <v>21</v>
      </c>
      <c r="M590" t="s">
        <v>19177</v>
      </c>
      <c r="N590" t="s">
        <v>300</v>
      </c>
      <c r="O590" t="s">
        <v>16373</v>
      </c>
      <c r="P590" t="s">
        <v>12</v>
      </c>
    </row>
    <row r="591">
      <c r="A591">
        <f>HYPERLINK("http://bombeiros.sp.gov.br/hidrantes/03individual/1742.html","1742")</f>
      </c>
      <c r="B591" t="s">
        <v>114</v>
      </c>
      <c r="C591" t="s">
        <v>115</v>
      </c>
      <c r="D591" t="s">
        <v>115</v>
      </c>
      <c r="E591" t="s">
        <v>15</v>
      </c>
      <c r="F591" t="s">
        <v>2895</v>
      </c>
      <c r="G591" t="s">
        <v>18097</v>
      </c>
      <c r="H591" t="s">
        <v>1107</v>
      </c>
      <c r="I591" t="s">
        <v>1108</v>
      </c>
      <c r="J591" t="s">
        <v>2896</v>
      </c>
      <c r="K591" t="s">
        <v>2897</v>
      </c>
      <c r="L591" t="s">
        <v>21</v>
      </c>
      <c r="M591" t="s">
        <v>19177</v>
      </c>
      <c r="N591" t="s">
        <v>300</v>
      </c>
      <c r="O591" t="s">
        <v>16373</v>
      </c>
      <c r="P591" t="s">
        <v>12</v>
      </c>
    </row>
    <row r="592">
      <c r="A592">
        <f>HYPERLINK("http://bombeiros.sp.gov.br/hidrantes/03individual/1744.html","1744")</f>
      </c>
      <c r="B592" t="s">
        <v>114</v>
      </c>
      <c r="C592" t="s">
        <v>115</v>
      </c>
      <c r="D592" t="s">
        <v>115</v>
      </c>
      <c r="E592" t="s">
        <v>15</v>
      </c>
      <c r="F592" t="s">
        <v>2898</v>
      </c>
      <c r="G592" t="s">
        <v>18076</v>
      </c>
      <c r="H592" t="s">
        <v>1112</v>
      </c>
      <c r="I592" t="s">
        <v>1108</v>
      </c>
      <c r="J592" t="s">
        <v>2899</v>
      </c>
      <c r="K592" t="s">
        <v>2900</v>
      </c>
      <c r="L592" t="s">
        <v>21</v>
      </c>
      <c r="M592" t="s">
        <v>19177</v>
      </c>
      <c r="N592" t="s">
        <v>300</v>
      </c>
      <c r="O592" t="s">
        <v>16373</v>
      </c>
      <c r="P592" t="s">
        <v>12</v>
      </c>
    </row>
    <row r="593">
      <c r="A593">
        <f>HYPERLINK("http://bombeiros.sp.gov.br/hidrantes/03individual/3123.html","3123")</f>
      </c>
      <c r="B593" t="s">
        <v>114</v>
      </c>
      <c r="C593" t="s">
        <v>115</v>
      </c>
      <c r="D593" t="s">
        <v>115</v>
      </c>
      <c r="E593" t="s">
        <v>15</v>
      </c>
      <c r="F593" t="s">
        <v>2901</v>
      </c>
      <c r="G593" t="s">
        <v>18076</v>
      </c>
      <c r="H593" t="s">
        <v>1112</v>
      </c>
      <c r="I593" t="s">
        <v>1108</v>
      </c>
      <c r="J593" t="s">
        <v>2902</v>
      </c>
      <c r="K593" t="s">
        <v>2903</v>
      </c>
      <c r="L593" t="s">
        <v>21</v>
      </c>
      <c r="M593" t="s">
        <v>19177</v>
      </c>
      <c r="N593" t="s">
        <v>300</v>
      </c>
      <c r="O593" t="s">
        <v>16373</v>
      </c>
      <c r="P593" t="s">
        <v>12</v>
      </c>
    </row>
    <row r="594">
      <c r="A594">
        <f>HYPERLINK("http://bombeiros.sp.gov.br/hidrantes/03individual/3129.html","3129")</f>
      </c>
      <c r="B594" t="s">
        <v>114</v>
      </c>
      <c r="C594" t="s">
        <v>115</v>
      </c>
      <c r="D594" t="s">
        <v>115</v>
      </c>
      <c r="E594" t="s">
        <v>15</v>
      </c>
      <c r="F594" t="s">
        <v>2904</v>
      </c>
      <c r="G594" t="s">
        <v>18045</v>
      </c>
      <c r="H594" t="s">
        <v>1112</v>
      </c>
      <c r="I594" t="s">
        <v>1108</v>
      </c>
      <c r="J594" t="s">
        <v>2905</v>
      </c>
      <c r="K594" t="s">
        <v>2906</v>
      </c>
      <c r="L594" t="s">
        <v>21</v>
      </c>
      <c r="M594" t="s">
        <v>19177</v>
      </c>
      <c r="N594" t="s">
        <v>300</v>
      </c>
      <c r="O594" t="s">
        <v>16373</v>
      </c>
      <c r="P594" t="s">
        <v>12</v>
      </c>
    </row>
    <row r="595">
      <c r="A595">
        <f>HYPERLINK("http://bombeiros.sp.gov.br/hidrantes/03individual/3130.html","3130")</f>
      </c>
      <c r="B595" t="s">
        <v>114</v>
      </c>
      <c r="C595" t="s">
        <v>115</v>
      </c>
      <c r="D595" t="s">
        <v>115</v>
      </c>
      <c r="E595" t="s">
        <v>15</v>
      </c>
      <c r="F595" t="s">
        <v>2907</v>
      </c>
      <c r="G595" t="s">
        <v>18076</v>
      </c>
      <c r="H595" t="s">
        <v>1112</v>
      </c>
      <c r="I595" t="s">
        <v>1108</v>
      </c>
      <c r="J595" t="s">
        <v>2908</v>
      </c>
      <c r="K595" t="s">
        <v>2909</v>
      </c>
      <c r="L595" t="s">
        <v>21</v>
      </c>
      <c r="M595" t="s">
        <v>19177</v>
      </c>
      <c r="N595" t="s">
        <v>300</v>
      </c>
      <c r="O595" t="s">
        <v>16373</v>
      </c>
      <c r="P595" t="s">
        <v>12</v>
      </c>
    </row>
    <row r="596">
      <c r="A596">
        <f>HYPERLINK("http://bombeiros.sp.gov.br/hidrantes/03individual/3131.html","3131")</f>
      </c>
      <c r="B596" t="s">
        <v>114</v>
      </c>
      <c r="C596" t="s">
        <v>115</v>
      </c>
      <c r="D596" t="s">
        <v>115</v>
      </c>
      <c r="E596" t="s">
        <v>15</v>
      </c>
      <c r="F596" t="s">
        <v>2910</v>
      </c>
      <c r="G596" t="s">
        <v>18076</v>
      </c>
      <c r="H596" t="s">
        <v>1112</v>
      </c>
      <c r="I596" t="s">
        <v>1108</v>
      </c>
      <c r="J596" t="s">
        <v>2911</v>
      </c>
      <c r="K596" t="s">
        <v>2912</v>
      </c>
      <c r="L596" t="s">
        <v>36</v>
      </c>
      <c r="M596" t="s">
        <v>19177</v>
      </c>
      <c r="N596" t="s">
        <v>300</v>
      </c>
      <c r="O596" t="s">
        <v>16373</v>
      </c>
      <c r="P596" t="s">
        <v>12</v>
      </c>
    </row>
    <row r="597">
      <c r="A597">
        <f>HYPERLINK("http://bombeiros.sp.gov.br/hidrantes/03individual/3132.html","3132")</f>
      </c>
      <c r="B597" t="s">
        <v>114</v>
      </c>
      <c r="C597" t="s">
        <v>115</v>
      </c>
      <c r="D597" t="s">
        <v>115</v>
      </c>
      <c r="E597" t="s">
        <v>15</v>
      </c>
      <c r="F597" t="s">
        <v>2913</v>
      </c>
      <c r="G597" t="s">
        <v>18051</v>
      </c>
      <c r="H597" t="s">
        <v>1107</v>
      </c>
      <c r="I597" t="s">
        <v>1108</v>
      </c>
      <c r="J597" t="s">
        <v>16032</v>
      </c>
      <c r="K597" t="s">
        <v>16033</v>
      </c>
      <c r="L597" t="s">
        <v>21</v>
      </c>
      <c r="M597" t="s">
        <v>19177</v>
      </c>
      <c r="N597" t="s">
        <v>300</v>
      </c>
      <c r="O597" t="s">
        <v>16373</v>
      </c>
      <c r="P597" t="s">
        <v>12</v>
      </c>
    </row>
    <row r="598">
      <c r="A598">
        <f>HYPERLINK("http://bombeiros.sp.gov.br/hidrantes/03individual/3143.html","3143")</f>
      </c>
      <c r="B598" t="s">
        <v>114</v>
      </c>
      <c r="C598" t="s">
        <v>115</v>
      </c>
      <c r="D598" t="s">
        <v>115</v>
      </c>
      <c r="E598" t="s">
        <v>15</v>
      </c>
      <c r="F598" t="s">
        <v>2916</v>
      </c>
      <c r="G598" t="s">
        <v>18045</v>
      </c>
      <c r="H598" t="s">
        <v>1107</v>
      </c>
      <c r="I598" t="s">
        <v>1108</v>
      </c>
      <c r="J598" t="s">
        <v>2917</v>
      </c>
      <c r="K598" t="s">
        <v>2918</v>
      </c>
      <c r="L598" t="s">
        <v>21</v>
      </c>
      <c r="M598" t="s">
        <v>19177</v>
      </c>
      <c r="N598" t="s">
        <v>300</v>
      </c>
      <c r="O598" t="s">
        <v>16373</v>
      </c>
      <c r="P598" t="s">
        <v>12</v>
      </c>
    </row>
    <row r="599">
      <c r="A599">
        <f>HYPERLINK("http://bombeiros.sp.gov.br/hidrantes/03individual/3144.html","3144")</f>
      </c>
      <c r="B599" t="s">
        <v>114</v>
      </c>
      <c r="C599" t="s">
        <v>115</v>
      </c>
      <c r="D599" t="s">
        <v>115</v>
      </c>
      <c r="E599" t="s">
        <v>15</v>
      </c>
      <c r="F599" t="s">
        <v>2919</v>
      </c>
      <c r="G599" t="s">
        <v>18050</v>
      </c>
      <c r="H599" t="s">
        <v>1107</v>
      </c>
      <c r="I599" t="s">
        <v>1108</v>
      </c>
      <c r="J599" t="s">
        <v>2920</v>
      </c>
      <c r="K599" t="s">
        <v>2921</v>
      </c>
      <c r="L599" t="s">
        <v>21</v>
      </c>
      <c r="M599" t="s">
        <v>19177</v>
      </c>
      <c r="N599" t="s">
        <v>300</v>
      </c>
      <c r="O599" t="s">
        <v>16373</v>
      </c>
      <c r="P599" t="s">
        <v>12</v>
      </c>
    </row>
    <row r="600">
      <c r="A600">
        <f>HYPERLINK("http://bombeiros.sp.gov.br/hidrantes/03individual/3183.html","3183")</f>
      </c>
      <c r="B600" t="s">
        <v>114</v>
      </c>
      <c r="C600" t="s">
        <v>115</v>
      </c>
      <c r="D600" t="s">
        <v>115</v>
      </c>
      <c r="E600" t="s">
        <v>15</v>
      </c>
      <c r="F600" t="s">
        <v>2922</v>
      </c>
      <c r="G600" t="s">
        <v>18050</v>
      </c>
      <c r="H600" t="s">
        <v>1107</v>
      </c>
      <c r="I600" t="s">
        <v>1108</v>
      </c>
      <c r="J600" t="s">
        <v>2923</v>
      </c>
      <c r="K600" t="s">
        <v>2924</v>
      </c>
      <c r="L600" t="s">
        <v>21</v>
      </c>
      <c r="M600" t="s">
        <v>19177</v>
      </c>
      <c r="N600" t="s">
        <v>300</v>
      </c>
      <c r="O600" t="s">
        <v>16373</v>
      </c>
      <c r="P600" t="s">
        <v>12</v>
      </c>
    </row>
    <row r="601">
      <c r="A601">
        <f>HYPERLINK("http://bombeiros.sp.gov.br/hidrantes/03individual/3187.html","3187")</f>
      </c>
      <c r="B601" t="s">
        <v>114</v>
      </c>
      <c r="C601" t="s">
        <v>115</v>
      </c>
      <c r="D601" t="s">
        <v>115</v>
      </c>
      <c r="E601" t="s">
        <v>15</v>
      </c>
      <c r="F601" t="s">
        <v>2925</v>
      </c>
      <c r="G601" t="s">
        <v>18050</v>
      </c>
      <c r="H601" t="s">
        <v>1107</v>
      </c>
      <c r="I601" t="s">
        <v>1108</v>
      </c>
      <c r="J601" t="s">
        <v>2926</v>
      </c>
      <c r="K601" t="s">
        <v>2927</v>
      </c>
      <c r="L601" t="s">
        <v>21</v>
      </c>
      <c r="M601" t="s">
        <v>19177</v>
      </c>
      <c r="N601" t="s">
        <v>300</v>
      </c>
      <c r="O601" t="s">
        <v>16373</v>
      </c>
      <c r="P601" t="s">
        <v>12</v>
      </c>
    </row>
    <row r="602">
      <c r="A602">
        <f>HYPERLINK("http://bombeiros.sp.gov.br/hidrantes/03individual/3190.html","3190")</f>
      </c>
      <c r="B602" t="s">
        <v>114</v>
      </c>
      <c r="C602" t="s">
        <v>115</v>
      </c>
      <c r="D602" t="s">
        <v>115</v>
      </c>
      <c r="E602" t="s">
        <v>15</v>
      </c>
      <c r="F602" t="s">
        <v>2928</v>
      </c>
      <c r="G602" t="s">
        <v>18050</v>
      </c>
      <c r="H602" t="s">
        <v>1174</v>
      </c>
      <c r="I602" t="s">
        <v>1108</v>
      </c>
      <c r="J602" t="s">
        <v>2929</v>
      </c>
      <c r="K602" t="s">
        <v>2930</v>
      </c>
      <c r="L602" t="s">
        <v>21</v>
      </c>
      <c r="M602" t="s">
        <v>19177</v>
      </c>
      <c r="N602" t="s">
        <v>300</v>
      </c>
      <c r="O602" t="s">
        <v>16373</v>
      </c>
      <c r="P602" t="s">
        <v>12</v>
      </c>
    </row>
    <row r="603">
      <c r="A603">
        <f>HYPERLINK("http://bombeiros.sp.gov.br/hidrantes/03individual/3194.html","3194")</f>
      </c>
      <c r="B603" t="s">
        <v>114</v>
      </c>
      <c r="C603" t="s">
        <v>115</v>
      </c>
      <c r="D603" t="s">
        <v>115</v>
      </c>
      <c r="E603" t="s">
        <v>15</v>
      </c>
      <c r="F603" t="s">
        <v>2931</v>
      </c>
      <c r="G603" t="s">
        <v>18050</v>
      </c>
      <c r="H603" t="s">
        <v>1174</v>
      </c>
      <c r="I603" t="s">
        <v>1117</v>
      </c>
      <c r="J603" t="s">
        <v>2932</v>
      </c>
      <c r="K603" t="s">
        <v>2933</v>
      </c>
      <c r="L603" t="s">
        <v>21</v>
      </c>
      <c r="M603" t="s">
        <v>19177</v>
      </c>
      <c r="N603" t="s">
        <v>300</v>
      </c>
      <c r="O603" t="s">
        <v>16373</v>
      </c>
      <c r="P603" t="s">
        <v>12</v>
      </c>
    </row>
    <row r="604">
      <c r="A604">
        <f>HYPERLINK("http://bombeiros.sp.gov.br/hidrantes/03individual/3196.html","3196")</f>
      </c>
      <c r="B604" t="s">
        <v>114</v>
      </c>
      <c r="C604" t="s">
        <v>115</v>
      </c>
      <c r="D604" t="s">
        <v>115</v>
      </c>
      <c r="E604" t="s">
        <v>15</v>
      </c>
      <c r="F604" t="s">
        <v>2934</v>
      </c>
      <c r="G604" t="s">
        <v>18097</v>
      </c>
      <c r="H604" t="s">
        <v>1121</v>
      </c>
      <c r="I604" t="s">
        <v>1117</v>
      </c>
      <c r="J604" t="s">
        <v>2935</v>
      </c>
      <c r="K604" t="s">
        <v>2936</v>
      </c>
      <c r="L604" t="s">
        <v>21</v>
      </c>
      <c r="M604" t="s">
        <v>19177</v>
      </c>
      <c r="N604" t="s">
        <v>300</v>
      </c>
      <c r="O604" t="s">
        <v>16373</v>
      </c>
      <c r="P604" t="s">
        <v>12</v>
      </c>
    </row>
    <row r="605">
      <c r="A605">
        <f>HYPERLINK("http://bombeiros.sp.gov.br/hidrantes/03individual/3215.html","3215")</f>
      </c>
      <c r="B605" t="s">
        <v>114</v>
      </c>
      <c r="C605" t="s">
        <v>115</v>
      </c>
      <c r="D605" t="s">
        <v>115</v>
      </c>
      <c r="E605" t="s">
        <v>15</v>
      </c>
      <c r="F605" t="s">
        <v>2937</v>
      </c>
      <c r="G605" t="s">
        <v>18076</v>
      </c>
      <c r="H605" t="s">
        <v>1112</v>
      </c>
      <c r="I605" t="s">
        <v>1108</v>
      </c>
      <c r="J605" t="s">
        <v>2938</v>
      </c>
      <c r="K605" t="s">
        <v>2939</v>
      </c>
      <c r="L605" t="s">
        <v>21</v>
      </c>
      <c r="M605" t="s">
        <v>19177</v>
      </c>
      <c r="N605" t="s">
        <v>300</v>
      </c>
      <c r="O605" t="s">
        <v>16373</v>
      </c>
      <c r="P605" t="s">
        <v>12</v>
      </c>
    </row>
    <row r="606">
      <c r="A606">
        <f>HYPERLINK("http://bombeiros.sp.gov.br/hidrantes/03individual/3249.html","3249")</f>
      </c>
      <c r="B606" t="s">
        <v>114</v>
      </c>
      <c r="C606" t="s">
        <v>115</v>
      </c>
      <c r="D606" t="s">
        <v>115</v>
      </c>
      <c r="E606" t="s">
        <v>15</v>
      </c>
      <c r="F606" t="s">
        <v>2940</v>
      </c>
      <c r="G606" t="s">
        <v>18050</v>
      </c>
      <c r="H606" t="s">
        <v>1174</v>
      </c>
      <c r="I606" t="s">
        <v>1108</v>
      </c>
      <c r="J606" t="s">
        <v>2941</v>
      </c>
      <c r="K606" t="s">
        <v>2942</v>
      </c>
      <c r="L606" t="s">
        <v>21</v>
      </c>
      <c r="M606" t="s">
        <v>19177</v>
      </c>
      <c r="N606" t="s">
        <v>300</v>
      </c>
      <c r="O606" t="s">
        <v>16373</v>
      </c>
      <c r="P606" t="s">
        <v>12</v>
      </c>
    </row>
    <row r="607">
      <c r="A607">
        <f>HYPERLINK("http://bombeiros.sp.gov.br/hidrantes/03individual/3255.html","3255")</f>
      </c>
      <c r="B607" t="s">
        <v>114</v>
      </c>
      <c r="C607" t="s">
        <v>115</v>
      </c>
      <c r="D607" t="s">
        <v>115</v>
      </c>
      <c r="E607" t="s">
        <v>15</v>
      </c>
      <c r="F607" t="s">
        <v>2943</v>
      </c>
      <c r="G607" t="s">
        <v>18050</v>
      </c>
      <c r="H607" t="s">
        <v>1121</v>
      </c>
      <c r="I607" t="s">
        <v>1117</v>
      </c>
      <c r="J607" t="s">
        <v>15898</v>
      </c>
      <c r="K607" t="s">
        <v>15899</v>
      </c>
      <c r="L607" t="s">
        <v>21</v>
      </c>
      <c r="M607" t="s">
        <v>19177</v>
      </c>
      <c r="N607" t="s">
        <v>300</v>
      </c>
      <c r="O607" t="s">
        <v>16373</v>
      </c>
      <c r="P607" t="s">
        <v>12</v>
      </c>
    </row>
    <row r="608">
      <c r="A608">
        <f>HYPERLINK("http://bombeiros.sp.gov.br/hidrantes/03individual/3258.html","3258")</f>
      </c>
      <c r="B608" t="s">
        <v>114</v>
      </c>
      <c r="C608" t="s">
        <v>115</v>
      </c>
      <c r="D608" t="s">
        <v>115</v>
      </c>
      <c r="E608" t="s">
        <v>15</v>
      </c>
      <c r="F608" t="s">
        <v>2946</v>
      </c>
      <c r="G608" t="s">
        <v>18045</v>
      </c>
      <c r="H608" t="s">
        <v>1112</v>
      </c>
      <c r="I608" t="s">
        <v>1108</v>
      </c>
      <c r="J608" t="s">
        <v>2947</v>
      </c>
      <c r="K608" t="s">
        <v>2948</v>
      </c>
      <c r="L608" t="s">
        <v>21</v>
      </c>
      <c r="M608" t="s">
        <v>19177</v>
      </c>
      <c r="N608" t="s">
        <v>300</v>
      </c>
      <c r="O608" t="s">
        <v>16373</v>
      </c>
      <c r="P608" t="s">
        <v>12</v>
      </c>
    </row>
    <row r="609">
      <c r="A609">
        <f>HYPERLINK("http://bombeiros.sp.gov.br/hidrantes/03individual/3333.html","3333")</f>
      </c>
      <c r="B609" t="s">
        <v>114</v>
      </c>
      <c r="C609" t="s">
        <v>115</v>
      </c>
      <c r="D609" t="s">
        <v>115</v>
      </c>
      <c r="E609" t="s">
        <v>15</v>
      </c>
      <c r="F609" t="s">
        <v>2949</v>
      </c>
      <c r="G609" t="s">
        <v>18051</v>
      </c>
      <c r="H609" t="s">
        <v>1112</v>
      </c>
      <c r="I609" t="s">
        <v>1108</v>
      </c>
      <c r="J609" t="s">
        <v>2950</v>
      </c>
      <c r="K609" t="s">
        <v>2951</v>
      </c>
      <c r="L609" t="s">
        <v>21</v>
      </c>
      <c r="M609" t="s">
        <v>19177</v>
      </c>
      <c r="N609" t="s">
        <v>300</v>
      </c>
      <c r="O609" t="s">
        <v>16373</v>
      </c>
      <c r="P609" t="s">
        <v>12</v>
      </c>
    </row>
    <row r="610">
      <c r="A610">
        <f>HYPERLINK("http://bombeiros.sp.gov.br/hidrantes/03individual/26869.html","26869")</f>
      </c>
      <c r="B610" t="s">
        <v>114</v>
      </c>
      <c r="C610" t="s">
        <v>115</v>
      </c>
      <c r="D610" t="s">
        <v>115</v>
      </c>
      <c r="E610" t="s">
        <v>15</v>
      </c>
      <c r="F610" t="s">
        <v>16248</v>
      </c>
      <c r="G610" t="s">
        <v>18050</v>
      </c>
      <c r="H610" t="s">
        <v>1107</v>
      </c>
      <c r="I610" t="s">
        <v>1108</v>
      </c>
      <c r="J610" t="s">
        <v>16249</v>
      </c>
      <c r="K610" t="s">
        <v>16250</v>
      </c>
      <c r="L610" t="s">
        <v>21</v>
      </c>
      <c r="M610" t="s">
        <v>19177</v>
      </c>
      <c r="N610" t="s">
        <v>300</v>
      </c>
      <c r="O610" t="s">
        <v>16373</v>
      </c>
      <c r="P610" t="s">
        <v>12</v>
      </c>
    </row>
    <row r="611">
      <c r="A611">
        <f>HYPERLINK("http://bombeiros.sp.gov.br/hidrantes/03individual/26882.html","26882")</f>
      </c>
      <c r="B611" t="s">
        <v>114</v>
      </c>
      <c r="C611" t="s">
        <v>115</v>
      </c>
      <c r="D611" t="s">
        <v>115</v>
      </c>
      <c r="E611" t="s">
        <v>15</v>
      </c>
      <c r="F611" t="s">
        <v>16281</v>
      </c>
      <c r="G611" t="s">
        <v>18045</v>
      </c>
      <c r="H611" t="s">
        <v>1112</v>
      </c>
      <c r="I611" t="s">
        <v>1108</v>
      </c>
      <c r="J611" t="s">
        <v>16282</v>
      </c>
      <c r="K611" t="s">
        <v>16283</v>
      </c>
      <c r="L611" t="s">
        <v>21</v>
      </c>
      <c r="M611" t="s">
        <v>19177</v>
      </c>
      <c r="N611" t="s">
        <v>300</v>
      </c>
      <c r="O611" t="s">
        <v>16373</v>
      </c>
      <c r="P611" t="s">
        <v>12</v>
      </c>
    </row>
    <row r="612">
      <c r="A612">
        <f>HYPERLINK("http://bombeiros.sp.gov.br/hidrantes/03individual/1026.html","1026")</f>
      </c>
      <c r="B612" t="s">
        <v>114</v>
      </c>
      <c r="C612" t="s">
        <v>115</v>
      </c>
      <c r="D612" t="s">
        <v>120</v>
      </c>
      <c r="E612" t="s">
        <v>64</v>
      </c>
      <c r="F612" t="s">
        <v>2952</v>
      </c>
      <c r="G612" t="s">
        <v>18045</v>
      </c>
      <c r="H612" t="s">
        <v>1112</v>
      </c>
      <c r="I612" t="s">
        <v>1108</v>
      </c>
      <c r="J612" t="s">
        <v>2953</v>
      </c>
      <c r="K612" t="s">
        <v>2954</v>
      </c>
      <c r="L612" t="s">
        <v>36</v>
      </c>
      <c r="M612" t="s">
        <v>19177</v>
      </c>
      <c r="N612" t="s">
        <v>300</v>
      </c>
      <c r="O612" t="s">
        <v>16373</v>
      </c>
      <c r="P612" t="s">
        <v>12</v>
      </c>
    </row>
    <row r="613">
      <c r="A613">
        <f>HYPERLINK("http://bombeiros.sp.gov.br/hidrantes/03individual/1028.html","1028")</f>
      </c>
      <c r="B613" t="s">
        <v>114</v>
      </c>
      <c r="C613" t="s">
        <v>115</v>
      </c>
      <c r="D613" t="s">
        <v>120</v>
      </c>
      <c r="E613" t="s">
        <v>64</v>
      </c>
      <c r="F613" t="s">
        <v>2955</v>
      </c>
      <c r="G613" t="s">
        <v>18051</v>
      </c>
      <c r="H613" t="s">
        <v>1107</v>
      </c>
      <c r="I613" t="s">
        <v>1108</v>
      </c>
      <c r="J613" t="s">
        <v>2956</v>
      </c>
      <c r="K613" t="s">
        <v>2957</v>
      </c>
      <c r="L613" t="s">
        <v>36</v>
      </c>
      <c r="M613" t="s">
        <v>19177</v>
      </c>
      <c r="N613" t="s">
        <v>300</v>
      </c>
      <c r="O613" t="s">
        <v>16373</v>
      </c>
      <c r="P613" t="s">
        <v>12</v>
      </c>
    </row>
    <row r="614">
      <c r="A614">
        <f>HYPERLINK("http://bombeiros.sp.gov.br/hidrantes/03individual/1595.html","1595")</f>
      </c>
      <c r="B614" t="s">
        <v>114</v>
      </c>
      <c r="C614" t="s">
        <v>115</v>
      </c>
      <c r="D614" t="s">
        <v>120</v>
      </c>
      <c r="E614" t="s">
        <v>64</v>
      </c>
      <c r="F614" t="s">
        <v>2958</v>
      </c>
      <c r="G614" t="s">
        <v>18143</v>
      </c>
      <c r="H614" t="s">
        <v>1112</v>
      </c>
      <c r="I614" t="s">
        <v>1108</v>
      </c>
      <c r="J614" t="s">
        <v>16153</v>
      </c>
      <c r="K614" t="s">
        <v>16154</v>
      </c>
      <c r="L614" t="s">
        <v>21</v>
      </c>
      <c r="M614" t="s">
        <v>19177</v>
      </c>
      <c r="N614" t="s">
        <v>300</v>
      </c>
      <c r="O614" t="s">
        <v>16373</v>
      </c>
      <c r="P614" t="s">
        <v>12</v>
      </c>
    </row>
    <row r="615">
      <c r="A615">
        <f>HYPERLINK("http://bombeiros.sp.gov.br/hidrantes/03individual/3213.html","3213")</f>
      </c>
      <c r="B615" t="s">
        <v>114</v>
      </c>
      <c r="C615" t="s">
        <v>115</v>
      </c>
      <c r="D615" t="s">
        <v>120</v>
      </c>
      <c r="E615" t="s">
        <v>64</v>
      </c>
      <c r="F615" t="s">
        <v>2961</v>
      </c>
      <c r="G615" t="s">
        <v>18143</v>
      </c>
      <c r="H615" t="s">
        <v>1112</v>
      </c>
      <c r="I615" t="s">
        <v>1108</v>
      </c>
      <c r="J615" t="s">
        <v>2962</v>
      </c>
      <c r="K615" t="s">
        <v>2963</v>
      </c>
      <c r="L615" t="s">
        <v>36</v>
      </c>
      <c r="M615" t="s">
        <v>19177</v>
      </c>
      <c r="N615" t="s">
        <v>300</v>
      </c>
      <c r="O615" t="s">
        <v>16373</v>
      </c>
      <c r="P615" t="s">
        <v>12</v>
      </c>
    </row>
    <row r="616">
      <c r="A616">
        <f>HYPERLINK("http://bombeiros.sp.gov.br/hidrantes/03individual/1342.html","1342")</f>
      </c>
      <c r="B616" t="s">
        <v>114</v>
      </c>
      <c r="C616" t="s">
        <v>115</v>
      </c>
      <c r="D616" t="s">
        <v>120</v>
      </c>
      <c r="E616" t="s">
        <v>15</v>
      </c>
      <c r="F616" t="s">
        <v>2964</v>
      </c>
      <c r="G616" t="s">
        <v>18107</v>
      </c>
      <c r="H616" t="s">
        <v>1112</v>
      </c>
      <c r="I616" t="s">
        <v>1108</v>
      </c>
      <c r="J616" t="s">
        <v>2965</v>
      </c>
      <c r="K616" t="s">
        <v>2966</v>
      </c>
      <c r="L616" t="s">
        <v>21</v>
      </c>
      <c r="M616" t="s">
        <v>19177</v>
      </c>
      <c r="N616" t="s">
        <v>300</v>
      </c>
      <c r="O616" t="s">
        <v>16373</v>
      </c>
      <c r="P616" t="s">
        <v>12</v>
      </c>
    </row>
    <row r="617">
      <c r="A617">
        <f>HYPERLINK("http://bombeiros.sp.gov.br/hidrantes/03individual/1597.html","1597")</f>
      </c>
      <c r="B617" t="s">
        <v>114</v>
      </c>
      <c r="C617" t="s">
        <v>115</v>
      </c>
      <c r="D617" t="s">
        <v>120</v>
      </c>
      <c r="E617" t="s">
        <v>15</v>
      </c>
      <c r="F617" t="s">
        <v>2967</v>
      </c>
      <c r="G617" t="s">
        <v>18107</v>
      </c>
      <c r="H617" t="s">
        <v>1112</v>
      </c>
      <c r="I617" t="s">
        <v>1108</v>
      </c>
      <c r="J617" t="s">
        <v>2968</v>
      </c>
      <c r="K617" t="s">
        <v>2969</v>
      </c>
      <c r="L617" t="s">
        <v>21</v>
      </c>
      <c r="M617" t="s">
        <v>19177</v>
      </c>
      <c r="N617" t="s">
        <v>300</v>
      </c>
      <c r="O617" t="s">
        <v>16373</v>
      </c>
      <c r="P617" t="s">
        <v>12</v>
      </c>
    </row>
    <row r="618">
      <c r="A618">
        <f>HYPERLINK("http://bombeiros.sp.gov.br/hidrantes/03individual/1598.html","1598")</f>
      </c>
      <c r="B618" t="s">
        <v>114</v>
      </c>
      <c r="C618" t="s">
        <v>115</v>
      </c>
      <c r="D618" t="s">
        <v>120</v>
      </c>
      <c r="E618" t="s">
        <v>15</v>
      </c>
      <c r="F618" t="s">
        <v>121</v>
      </c>
      <c r="G618" t="s">
        <v>18042</v>
      </c>
      <c r="H618"/>
      <c r="I618" t="s">
        <v>18</v>
      </c>
      <c r="J618" t="s">
        <v>122</v>
      </c>
      <c r="K618" t="s">
        <v>123</v>
      </c>
      <c r="L618" t="s">
        <v>21</v>
      </c>
      <c r="M618" t="s">
        <v>19177</v>
      </c>
      <c r="N618" t="s">
        <v>300</v>
      </c>
      <c r="O618" t="s">
        <v>16373</v>
      </c>
      <c r="P618" t="s">
        <v>12</v>
      </c>
    </row>
    <row r="619">
      <c r="A619">
        <f>HYPERLINK("http://bombeiros.sp.gov.br/hidrantes/03individual/1653.html","1653")</f>
      </c>
      <c r="B619" t="s">
        <v>114</v>
      </c>
      <c r="C619" t="s">
        <v>115</v>
      </c>
      <c r="D619" t="s">
        <v>120</v>
      </c>
      <c r="E619" t="s">
        <v>15</v>
      </c>
      <c r="F619" t="s">
        <v>2970</v>
      </c>
      <c r="G619" t="s">
        <v>18143</v>
      </c>
      <c r="H619" t="s">
        <v>1174</v>
      </c>
      <c r="I619" t="s">
        <v>1117</v>
      </c>
      <c r="J619" t="s">
        <v>2971</v>
      </c>
      <c r="K619" t="s">
        <v>2972</v>
      </c>
      <c r="L619" t="s">
        <v>21</v>
      </c>
      <c r="M619" t="s">
        <v>19177</v>
      </c>
      <c r="N619" t="s">
        <v>300</v>
      </c>
      <c r="O619" t="s">
        <v>16373</v>
      </c>
      <c r="P619" t="s">
        <v>12</v>
      </c>
    </row>
    <row r="620">
      <c r="A620">
        <f>HYPERLINK("http://bombeiros.sp.gov.br/hidrantes/03individual/1660.html","1660")</f>
      </c>
      <c r="B620" t="s">
        <v>114</v>
      </c>
      <c r="C620" t="s">
        <v>115</v>
      </c>
      <c r="D620" t="s">
        <v>120</v>
      </c>
      <c r="E620" t="s">
        <v>15</v>
      </c>
      <c r="F620" t="s">
        <v>2973</v>
      </c>
      <c r="G620" t="s">
        <v>18076</v>
      </c>
      <c r="H620" t="s">
        <v>1112</v>
      </c>
      <c r="I620" t="s">
        <v>1108</v>
      </c>
      <c r="J620" t="s">
        <v>2974</v>
      </c>
      <c r="K620" t="s">
        <v>2975</v>
      </c>
      <c r="L620" t="s">
        <v>21</v>
      </c>
      <c r="M620" t="s">
        <v>19177</v>
      </c>
      <c r="N620" t="s">
        <v>300</v>
      </c>
      <c r="O620" t="s">
        <v>16373</v>
      </c>
      <c r="P620" t="s">
        <v>12</v>
      </c>
    </row>
    <row r="621">
      <c r="A621">
        <f>HYPERLINK("http://bombeiros.sp.gov.br/hidrantes/03individual/2335.html","2335")</f>
      </c>
      <c r="B621" t="s">
        <v>114</v>
      </c>
      <c r="C621" t="s">
        <v>115</v>
      </c>
      <c r="D621" t="s">
        <v>120</v>
      </c>
      <c r="E621" t="s">
        <v>15</v>
      </c>
      <c r="F621" t="s">
        <v>2976</v>
      </c>
      <c r="G621" t="s">
        <v>18107</v>
      </c>
      <c r="H621" t="s">
        <v>1112</v>
      </c>
      <c r="I621" t="s">
        <v>1108</v>
      </c>
      <c r="J621" t="s">
        <v>2977</v>
      </c>
      <c r="K621" t="s">
        <v>2978</v>
      </c>
      <c r="L621" t="s">
        <v>36</v>
      </c>
      <c r="M621" t="s">
        <v>19177</v>
      </c>
      <c r="N621" t="s">
        <v>300</v>
      </c>
      <c r="O621" t="s">
        <v>16373</v>
      </c>
      <c r="P621" t="s">
        <v>12</v>
      </c>
    </row>
    <row r="622">
      <c r="A622">
        <f>HYPERLINK("http://bombeiros.sp.gov.br/hidrantes/03individual/3108.html","3108")</f>
      </c>
      <c r="B622" t="s">
        <v>114</v>
      </c>
      <c r="C622" t="s">
        <v>115</v>
      </c>
      <c r="D622" t="s">
        <v>120</v>
      </c>
      <c r="E622" t="s">
        <v>15</v>
      </c>
      <c r="F622" t="s">
        <v>2979</v>
      </c>
      <c r="G622" t="s">
        <v>18143</v>
      </c>
      <c r="H622" t="s">
        <v>1107</v>
      </c>
      <c r="I622" t="s">
        <v>1108</v>
      </c>
      <c r="J622" t="s">
        <v>2980</v>
      </c>
      <c r="K622" t="s">
        <v>2981</v>
      </c>
      <c r="L622" t="s">
        <v>21</v>
      </c>
      <c r="M622" t="s">
        <v>19177</v>
      </c>
      <c r="N622" t="s">
        <v>300</v>
      </c>
      <c r="O622" t="s">
        <v>16373</v>
      </c>
      <c r="P622" t="s">
        <v>12</v>
      </c>
    </row>
    <row r="623">
      <c r="A623">
        <f>HYPERLINK("http://bombeiros.sp.gov.br/hidrantes/03individual/3207.html","3207")</f>
      </c>
      <c r="B623" t="s">
        <v>114</v>
      </c>
      <c r="C623" t="s">
        <v>115</v>
      </c>
      <c r="D623" t="s">
        <v>120</v>
      </c>
      <c r="E623" t="s">
        <v>15</v>
      </c>
      <c r="F623" t="s">
        <v>2982</v>
      </c>
      <c r="G623" t="s">
        <v>18107</v>
      </c>
      <c r="H623" t="s">
        <v>1112</v>
      </c>
      <c r="I623" t="s">
        <v>1108</v>
      </c>
      <c r="J623" t="s">
        <v>16162</v>
      </c>
      <c r="K623" t="s">
        <v>16163</v>
      </c>
      <c r="L623" t="s">
        <v>21</v>
      </c>
      <c r="M623" t="s">
        <v>19177</v>
      </c>
      <c r="N623" t="s">
        <v>300</v>
      </c>
      <c r="O623" t="s">
        <v>16373</v>
      </c>
      <c r="P623" t="s">
        <v>12</v>
      </c>
    </row>
    <row r="624">
      <c r="A624">
        <f>HYPERLINK("http://bombeiros.sp.gov.br/hidrantes/03individual/3216.html","3216")</f>
      </c>
      <c r="B624" t="s">
        <v>114</v>
      </c>
      <c r="C624" t="s">
        <v>115</v>
      </c>
      <c r="D624" t="s">
        <v>120</v>
      </c>
      <c r="E624" t="s">
        <v>15</v>
      </c>
      <c r="F624" t="s">
        <v>2985</v>
      </c>
      <c r="G624" t="s">
        <v>18042</v>
      </c>
      <c r="H624" t="s">
        <v>1174</v>
      </c>
      <c r="I624" t="s">
        <v>1117</v>
      </c>
      <c r="J624" t="s">
        <v>2986</v>
      </c>
      <c r="K624" t="s">
        <v>2987</v>
      </c>
      <c r="L624" t="s">
        <v>21</v>
      </c>
      <c r="M624" t="s">
        <v>19177</v>
      </c>
      <c r="N624" t="s">
        <v>300</v>
      </c>
      <c r="O624" t="s">
        <v>16373</v>
      </c>
      <c r="P624" t="s">
        <v>12</v>
      </c>
    </row>
    <row r="625">
      <c r="A625">
        <f>HYPERLINK("http://bombeiros.sp.gov.br/hidrantes/03individual/4305.html","4305")</f>
      </c>
      <c r="B625" t="s">
        <v>114</v>
      </c>
      <c r="C625" t="s">
        <v>115</v>
      </c>
      <c r="D625" t="s">
        <v>120</v>
      </c>
      <c r="E625" t="s">
        <v>15</v>
      </c>
      <c r="F625" t="s">
        <v>2988</v>
      </c>
      <c r="G625" t="s">
        <v>18042</v>
      </c>
      <c r="H625" t="s">
        <v>1174</v>
      </c>
      <c r="I625" t="s">
        <v>1117</v>
      </c>
      <c r="J625" t="s">
        <v>2989</v>
      </c>
      <c r="K625" t="s">
        <v>2990</v>
      </c>
      <c r="L625" t="s">
        <v>21</v>
      </c>
      <c r="M625" t="s">
        <v>19177</v>
      </c>
      <c r="N625" t="s">
        <v>300</v>
      </c>
      <c r="O625" t="s">
        <v>16373</v>
      </c>
      <c r="P625" t="s">
        <v>12</v>
      </c>
    </row>
    <row r="626">
      <c r="A626">
        <f>HYPERLINK("http://bombeiros.sp.gov.br/hidrantes/03individual/4420.html","4420")</f>
      </c>
      <c r="B626" t="s">
        <v>114</v>
      </c>
      <c r="C626" t="s">
        <v>115</v>
      </c>
      <c r="D626" t="s">
        <v>120</v>
      </c>
      <c r="E626" t="s">
        <v>15</v>
      </c>
      <c r="F626" t="s">
        <v>2991</v>
      </c>
      <c r="G626" t="s">
        <v>18107</v>
      </c>
      <c r="H626" t="s">
        <v>1112</v>
      </c>
      <c r="I626" t="s">
        <v>1108</v>
      </c>
      <c r="J626" t="s">
        <v>2992</v>
      </c>
      <c r="K626" t="s">
        <v>2993</v>
      </c>
      <c r="L626" t="s">
        <v>21</v>
      </c>
      <c r="M626" t="s">
        <v>19177</v>
      </c>
      <c r="N626" t="s">
        <v>300</v>
      </c>
      <c r="O626" t="s">
        <v>16373</v>
      </c>
      <c r="P626" t="s">
        <v>12</v>
      </c>
    </row>
    <row r="627">
      <c r="A627">
        <f>HYPERLINK("http://bombeiros.sp.gov.br/hidrantes/03individual/25219.html","25219")</f>
      </c>
      <c r="B627" t="s">
        <v>114</v>
      </c>
      <c r="C627" t="s">
        <v>115</v>
      </c>
      <c r="D627" t="s">
        <v>120</v>
      </c>
      <c r="E627" t="s">
        <v>15</v>
      </c>
      <c r="F627" t="s">
        <v>2994</v>
      </c>
      <c r="G627" t="s">
        <v>18076</v>
      </c>
      <c r="H627" t="s">
        <v>1112</v>
      </c>
      <c r="I627" t="s">
        <v>1108</v>
      </c>
      <c r="J627" t="s">
        <v>2995</v>
      </c>
      <c r="K627" t="s">
        <v>2996</v>
      </c>
      <c r="L627" t="s">
        <v>21</v>
      </c>
      <c r="M627" t="s">
        <v>19177</v>
      </c>
      <c r="N627" t="s">
        <v>300</v>
      </c>
      <c r="O627" t="s">
        <v>16373</v>
      </c>
      <c r="P627" t="s">
        <v>12</v>
      </c>
    </row>
    <row r="628">
      <c r="A628">
        <f>HYPERLINK("http://bombeiros.sp.gov.br/hidrantes/03individual/1029.html","1029")</f>
      </c>
      <c r="B628" t="s">
        <v>114</v>
      </c>
      <c r="C628" t="s">
        <v>115</v>
      </c>
      <c r="D628" t="s">
        <v>2997</v>
      </c>
      <c r="E628" t="s">
        <v>64</v>
      </c>
      <c r="F628" t="s">
        <v>2998</v>
      </c>
      <c r="G628" t="s">
        <v>18051</v>
      </c>
      <c r="H628" t="s">
        <v>1107</v>
      </c>
      <c r="I628" t="s">
        <v>1108</v>
      </c>
      <c r="J628" t="s">
        <v>2999</v>
      </c>
      <c r="K628" t="s">
        <v>3000</v>
      </c>
      <c r="L628" t="s">
        <v>36</v>
      </c>
      <c r="M628" t="s">
        <v>19177</v>
      </c>
      <c r="N628" t="s">
        <v>300</v>
      </c>
      <c r="O628" t="s">
        <v>16373</v>
      </c>
      <c r="P628" t="s">
        <v>12</v>
      </c>
    </row>
    <row r="629">
      <c r="A629">
        <f>HYPERLINK("http://bombeiros.sp.gov.br/hidrantes/03individual/1593.html","1593")</f>
      </c>
      <c r="B629" t="s">
        <v>114</v>
      </c>
      <c r="C629" t="s">
        <v>115</v>
      </c>
      <c r="D629" t="s">
        <v>2997</v>
      </c>
      <c r="E629" t="s">
        <v>64</v>
      </c>
      <c r="F629" t="s">
        <v>3001</v>
      </c>
      <c r="G629" t="s">
        <v>18107</v>
      </c>
      <c r="H629" t="s">
        <v>1112</v>
      </c>
      <c r="I629" t="s">
        <v>1108</v>
      </c>
      <c r="J629" t="s">
        <v>3002</v>
      </c>
      <c r="K629" t="s">
        <v>3003</v>
      </c>
      <c r="L629" t="s">
        <v>36</v>
      </c>
      <c r="M629" t="s">
        <v>19177</v>
      </c>
      <c r="N629" t="s">
        <v>300</v>
      </c>
      <c r="O629" t="s">
        <v>16373</v>
      </c>
      <c r="P629" t="s">
        <v>12</v>
      </c>
    </row>
    <row r="630">
      <c r="A630">
        <f>HYPERLINK("http://bombeiros.sp.gov.br/hidrantes/03individual/3212.html","3212")</f>
      </c>
      <c r="B630" t="s">
        <v>114</v>
      </c>
      <c r="C630" t="s">
        <v>115</v>
      </c>
      <c r="D630" t="s">
        <v>2997</v>
      </c>
      <c r="E630" t="s">
        <v>64</v>
      </c>
      <c r="F630" t="s">
        <v>3004</v>
      </c>
      <c r="G630" t="s">
        <v>18133</v>
      </c>
      <c r="H630" t="s">
        <v>1107</v>
      </c>
      <c r="I630" t="s">
        <v>1108</v>
      </c>
      <c r="J630" t="s">
        <v>3005</v>
      </c>
      <c r="K630" t="s">
        <v>3006</v>
      </c>
      <c r="L630" t="s">
        <v>36</v>
      </c>
      <c r="M630" t="s">
        <v>19177</v>
      </c>
      <c r="N630" t="s">
        <v>300</v>
      </c>
      <c r="O630" t="s">
        <v>16373</v>
      </c>
      <c r="P630" t="s">
        <v>12</v>
      </c>
    </row>
    <row r="631">
      <c r="A631">
        <f>HYPERLINK("http://bombeiros.sp.gov.br/hidrantes/03individual/3240.html","3240")</f>
      </c>
      <c r="B631" t="s">
        <v>114</v>
      </c>
      <c r="C631" t="s">
        <v>115</v>
      </c>
      <c r="D631" t="s">
        <v>2997</v>
      </c>
      <c r="E631" t="s">
        <v>64</v>
      </c>
      <c r="F631" t="s">
        <v>3007</v>
      </c>
      <c r="G631" t="s">
        <v>18090</v>
      </c>
      <c r="H631" t="s">
        <v>1112</v>
      </c>
      <c r="I631" t="s">
        <v>1108</v>
      </c>
      <c r="J631" t="s">
        <v>3008</v>
      </c>
      <c r="K631" t="s">
        <v>3009</v>
      </c>
      <c r="L631" t="s">
        <v>21</v>
      </c>
      <c r="M631" t="s">
        <v>19177</v>
      </c>
      <c r="N631" t="s">
        <v>300</v>
      </c>
      <c r="O631" t="s">
        <v>16373</v>
      </c>
      <c r="P631" t="s">
        <v>12</v>
      </c>
    </row>
    <row r="632">
      <c r="A632">
        <f>HYPERLINK("http://bombeiros.sp.gov.br/hidrantes/03individual/1631.html","1631")</f>
      </c>
      <c r="B632" t="s">
        <v>114</v>
      </c>
      <c r="C632" t="s">
        <v>115</v>
      </c>
      <c r="D632" t="s">
        <v>2997</v>
      </c>
      <c r="E632" t="s">
        <v>15</v>
      </c>
      <c r="F632" t="s">
        <v>3010</v>
      </c>
      <c r="G632" t="s">
        <v>18143</v>
      </c>
      <c r="H632" t="s">
        <v>1121</v>
      </c>
      <c r="I632" t="s">
        <v>1117</v>
      </c>
      <c r="J632" t="s">
        <v>17453</v>
      </c>
      <c r="K632" t="s">
        <v>17454</v>
      </c>
      <c r="L632" t="s">
        <v>21</v>
      </c>
      <c r="M632" t="s">
        <v>19177</v>
      </c>
      <c r="N632" t="s">
        <v>300</v>
      </c>
      <c r="O632" t="s">
        <v>16373</v>
      </c>
      <c r="P632" t="s">
        <v>12</v>
      </c>
    </row>
    <row r="633">
      <c r="A633">
        <f>HYPERLINK("http://bombeiros.sp.gov.br/hidrantes/03individual/1656.html","1656")</f>
      </c>
      <c r="B633" t="s">
        <v>114</v>
      </c>
      <c r="C633" t="s">
        <v>115</v>
      </c>
      <c r="D633" t="s">
        <v>2997</v>
      </c>
      <c r="E633" t="s">
        <v>15</v>
      </c>
      <c r="F633" t="s">
        <v>3013</v>
      </c>
      <c r="G633" t="s">
        <v>18143</v>
      </c>
      <c r="H633" t="s">
        <v>1174</v>
      </c>
      <c r="I633" t="s">
        <v>1117</v>
      </c>
      <c r="J633" t="s">
        <v>3014</v>
      </c>
      <c r="K633" t="s">
        <v>3015</v>
      </c>
      <c r="L633" t="s">
        <v>21</v>
      </c>
      <c r="M633" t="s">
        <v>19177</v>
      </c>
      <c r="N633" t="s">
        <v>300</v>
      </c>
      <c r="O633" t="s">
        <v>16373</v>
      </c>
      <c r="P633" t="s">
        <v>12</v>
      </c>
    </row>
    <row r="634">
      <c r="A634">
        <f>HYPERLINK("http://bombeiros.sp.gov.br/hidrantes/03individual/1658.html","1658")</f>
      </c>
      <c r="B634" t="s">
        <v>114</v>
      </c>
      <c r="C634" t="s">
        <v>115</v>
      </c>
      <c r="D634" t="s">
        <v>2997</v>
      </c>
      <c r="E634" t="s">
        <v>15</v>
      </c>
      <c r="F634" t="s">
        <v>3016</v>
      </c>
      <c r="G634" t="s">
        <v>18096</v>
      </c>
      <c r="H634" t="s">
        <v>1112</v>
      </c>
      <c r="I634" t="s">
        <v>1108</v>
      </c>
      <c r="J634" t="s">
        <v>3017</v>
      </c>
      <c r="K634" t="s">
        <v>3018</v>
      </c>
      <c r="L634" t="s">
        <v>21</v>
      </c>
      <c r="M634" t="s">
        <v>19177</v>
      </c>
      <c r="N634" t="s">
        <v>300</v>
      </c>
      <c r="O634" t="s">
        <v>16373</v>
      </c>
      <c r="P634" t="s">
        <v>12</v>
      </c>
    </row>
    <row r="635">
      <c r="A635">
        <f>HYPERLINK("http://bombeiros.sp.gov.br/hidrantes/03individual/3102.html","3102")</f>
      </c>
      <c r="B635" t="s">
        <v>114</v>
      </c>
      <c r="C635" t="s">
        <v>115</v>
      </c>
      <c r="D635" t="s">
        <v>2997</v>
      </c>
      <c r="E635" t="s">
        <v>15</v>
      </c>
      <c r="F635" t="s">
        <v>3019</v>
      </c>
      <c r="G635" t="s">
        <v>18046</v>
      </c>
      <c r="H635" t="s">
        <v>1112</v>
      </c>
      <c r="I635" t="s">
        <v>1108</v>
      </c>
      <c r="J635" t="s">
        <v>3020</v>
      </c>
      <c r="K635" t="s">
        <v>3021</v>
      </c>
      <c r="L635" t="s">
        <v>21</v>
      </c>
      <c r="M635" t="s">
        <v>19177</v>
      </c>
      <c r="N635" t="s">
        <v>300</v>
      </c>
      <c r="O635" t="s">
        <v>16373</v>
      </c>
      <c r="P635" t="s">
        <v>12</v>
      </c>
    </row>
    <row r="636">
      <c r="A636">
        <f>HYPERLINK("http://bombeiros.sp.gov.br/hidrantes/03individual/3103.html","3103")</f>
      </c>
      <c r="B636" t="s">
        <v>114</v>
      </c>
      <c r="C636" t="s">
        <v>115</v>
      </c>
      <c r="D636" t="s">
        <v>2997</v>
      </c>
      <c r="E636" t="s">
        <v>15</v>
      </c>
      <c r="F636" t="s">
        <v>3022</v>
      </c>
      <c r="G636" t="s">
        <v>18046</v>
      </c>
      <c r="H636" t="s">
        <v>1121</v>
      </c>
      <c r="I636" t="s">
        <v>1117</v>
      </c>
      <c r="J636" t="s">
        <v>3023</v>
      </c>
      <c r="K636" t="s">
        <v>3024</v>
      </c>
      <c r="L636" t="s">
        <v>21</v>
      </c>
      <c r="M636" t="s">
        <v>19177</v>
      </c>
      <c r="N636" t="s">
        <v>300</v>
      </c>
      <c r="O636" t="s">
        <v>16373</v>
      </c>
      <c r="P636" t="s">
        <v>12</v>
      </c>
    </row>
    <row r="637">
      <c r="A637">
        <f>HYPERLINK("http://bombeiros.sp.gov.br/hidrantes/03individual/3104.html","3104")</f>
      </c>
      <c r="B637" t="s">
        <v>114</v>
      </c>
      <c r="C637" t="s">
        <v>115</v>
      </c>
      <c r="D637" t="s">
        <v>2997</v>
      </c>
      <c r="E637" t="s">
        <v>15</v>
      </c>
      <c r="F637" t="s">
        <v>3025</v>
      </c>
      <c r="G637" t="s">
        <v>18046</v>
      </c>
      <c r="H637" t="s">
        <v>1112</v>
      </c>
      <c r="I637" t="s">
        <v>1108</v>
      </c>
      <c r="J637" t="s">
        <v>3026</v>
      </c>
      <c r="K637" t="s">
        <v>3027</v>
      </c>
      <c r="L637" t="s">
        <v>21</v>
      </c>
      <c r="M637" t="s">
        <v>19177</v>
      </c>
      <c r="N637" t="s">
        <v>300</v>
      </c>
      <c r="O637" t="s">
        <v>16373</v>
      </c>
      <c r="P637" t="s">
        <v>12</v>
      </c>
    </row>
    <row r="638">
      <c r="A638">
        <f>HYPERLINK("http://bombeiros.sp.gov.br/hidrantes/03individual/3105.html","3105")</f>
      </c>
      <c r="B638" t="s">
        <v>114</v>
      </c>
      <c r="C638" t="s">
        <v>115</v>
      </c>
      <c r="D638" t="s">
        <v>2997</v>
      </c>
      <c r="E638" t="s">
        <v>15</v>
      </c>
      <c r="F638" t="s">
        <v>3028</v>
      </c>
      <c r="G638" t="s">
        <v>18046</v>
      </c>
      <c r="H638" t="s">
        <v>1112</v>
      </c>
      <c r="I638" t="s">
        <v>1108</v>
      </c>
      <c r="J638" t="s">
        <v>3029</v>
      </c>
      <c r="K638" t="s">
        <v>3030</v>
      </c>
      <c r="L638" t="s">
        <v>21</v>
      </c>
      <c r="M638" t="s">
        <v>19177</v>
      </c>
      <c r="N638" t="s">
        <v>300</v>
      </c>
      <c r="O638" t="s">
        <v>16373</v>
      </c>
      <c r="P638" t="s">
        <v>12</v>
      </c>
    </row>
    <row r="639">
      <c r="A639">
        <f>HYPERLINK("http://bombeiros.sp.gov.br/hidrantes/03individual/3134.html","3134")</f>
      </c>
      <c r="B639" t="s">
        <v>114</v>
      </c>
      <c r="C639" t="s">
        <v>115</v>
      </c>
      <c r="D639" t="s">
        <v>2997</v>
      </c>
      <c r="E639" t="s">
        <v>15</v>
      </c>
      <c r="F639" t="s">
        <v>3031</v>
      </c>
      <c r="G639" t="s">
        <v>18076</v>
      </c>
      <c r="H639" t="s">
        <v>1112</v>
      </c>
      <c r="I639" t="s">
        <v>1108</v>
      </c>
      <c r="J639" t="s">
        <v>3032</v>
      </c>
      <c r="K639" t="s">
        <v>3033</v>
      </c>
      <c r="L639" t="s">
        <v>21</v>
      </c>
      <c r="M639" t="s">
        <v>19177</v>
      </c>
      <c r="N639" t="s">
        <v>300</v>
      </c>
      <c r="O639" t="s">
        <v>16373</v>
      </c>
      <c r="P639" t="s">
        <v>12</v>
      </c>
    </row>
    <row r="640">
      <c r="A640">
        <f>HYPERLINK("http://bombeiros.sp.gov.br/hidrantes/03individual/3176.html","3176")</f>
      </c>
      <c r="B640" t="s">
        <v>114</v>
      </c>
      <c r="C640" t="s">
        <v>115</v>
      </c>
      <c r="D640" t="s">
        <v>2997</v>
      </c>
      <c r="E640" t="s">
        <v>15</v>
      </c>
      <c r="F640" t="s">
        <v>3034</v>
      </c>
      <c r="G640" t="s">
        <v>18090</v>
      </c>
      <c r="H640" t="s">
        <v>1112</v>
      </c>
      <c r="I640" t="s">
        <v>1108</v>
      </c>
      <c r="J640" t="s">
        <v>3035</v>
      </c>
      <c r="K640" t="s">
        <v>3036</v>
      </c>
      <c r="L640" t="s">
        <v>21</v>
      </c>
      <c r="M640" t="s">
        <v>19177</v>
      </c>
      <c r="N640" t="s">
        <v>300</v>
      </c>
      <c r="O640" t="s">
        <v>16373</v>
      </c>
      <c r="P640" t="s">
        <v>12</v>
      </c>
    </row>
    <row r="641">
      <c r="A641">
        <f>HYPERLINK("http://bombeiros.sp.gov.br/hidrantes/03individual/3239.html","3239")</f>
      </c>
      <c r="B641" t="s">
        <v>114</v>
      </c>
      <c r="C641" t="s">
        <v>115</v>
      </c>
      <c r="D641" t="s">
        <v>2997</v>
      </c>
      <c r="E641" t="s">
        <v>15</v>
      </c>
      <c r="F641" t="s">
        <v>3037</v>
      </c>
      <c r="G641" t="s">
        <v>18143</v>
      </c>
      <c r="H641" t="s">
        <v>1107</v>
      </c>
      <c r="I641" t="s">
        <v>1108</v>
      </c>
      <c r="J641" t="s">
        <v>17448</v>
      </c>
      <c r="K641" t="s">
        <v>17449</v>
      </c>
      <c r="L641" t="s">
        <v>21</v>
      </c>
      <c r="M641" t="s">
        <v>19177</v>
      </c>
      <c r="N641" t="s">
        <v>300</v>
      </c>
      <c r="O641" t="s">
        <v>16373</v>
      </c>
      <c r="P641" t="s">
        <v>12</v>
      </c>
    </row>
    <row r="642">
      <c r="A642">
        <f>HYPERLINK("http://bombeiros.sp.gov.br/hidrantes/03individual/17908.html","17908")</f>
      </c>
      <c r="B642" t="s">
        <v>114</v>
      </c>
      <c r="C642" t="s">
        <v>115</v>
      </c>
      <c r="D642" t="s">
        <v>2997</v>
      </c>
      <c r="E642" t="s">
        <v>15</v>
      </c>
      <c r="F642" t="s">
        <v>3040</v>
      </c>
      <c r="G642" t="s">
        <v>18096</v>
      </c>
      <c r="H642" t="s">
        <v>1107</v>
      </c>
      <c r="I642" t="s">
        <v>1108</v>
      </c>
      <c r="J642" t="s">
        <v>3041</v>
      </c>
      <c r="K642" t="s">
        <v>3042</v>
      </c>
      <c r="L642" t="s">
        <v>21</v>
      </c>
      <c r="M642" t="s">
        <v>19177</v>
      </c>
      <c r="N642" t="s">
        <v>300</v>
      </c>
      <c r="O642" t="s">
        <v>16373</v>
      </c>
      <c r="P642" t="s">
        <v>12</v>
      </c>
    </row>
    <row r="643">
      <c r="A643">
        <f>HYPERLINK("http://bombeiros.sp.gov.br/hidrantes/03individual/2970.html","2970")</f>
      </c>
      <c r="B643" t="s">
        <v>114</v>
      </c>
      <c r="C643" t="s">
        <v>124</v>
      </c>
      <c r="D643" t="s">
        <v>124</v>
      </c>
      <c r="E643" t="s">
        <v>64</v>
      </c>
      <c r="F643" t="s">
        <v>3043</v>
      </c>
      <c r="G643" t="s">
        <v>18129</v>
      </c>
      <c r="H643" t="s">
        <v>1112</v>
      </c>
      <c r="I643" t="s">
        <v>1108</v>
      </c>
      <c r="J643" t="s">
        <v>3044</v>
      </c>
      <c r="K643" t="s">
        <v>3045</v>
      </c>
      <c r="L643" t="s">
        <v>36</v>
      </c>
      <c r="M643" t="s">
        <v>19177</v>
      </c>
      <c r="N643" t="s">
        <v>300</v>
      </c>
      <c r="O643" t="s">
        <v>16373</v>
      </c>
      <c r="P643" t="s">
        <v>12</v>
      </c>
    </row>
    <row r="644">
      <c r="A644">
        <f>HYPERLINK("http://bombeiros.sp.gov.br/hidrantes/03individual/2971.html","2971")</f>
      </c>
      <c r="B644" t="s">
        <v>114</v>
      </c>
      <c r="C644" t="s">
        <v>124</v>
      </c>
      <c r="D644" t="s">
        <v>124</v>
      </c>
      <c r="E644" t="s">
        <v>64</v>
      </c>
      <c r="F644" t="s">
        <v>3046</v>
      </c>
      <c r="G644" t="s">
        <v>18240</v>
      </c>
      <c r="H644" t="s">
        <v>1112</v>
      </c>
      <c r="I644" t="s">
        <v>1108</v>
      </c>
      <c r="J644" t="s">
        <v>3047</v>
      </c>
      <c r="K644" t="s">
        <v>3048</v>
      </c>
      <c r="L644" t="s">
        <v>21</v>
      </c>
      <c r="M644" t="s">
        <v>19177</v>
      </c>
      <c r="N644" t="s">
        <v>300</v>
      </c>
      <c r="O644" t="s">
        <v>16373</v>
      </c>
      <c r="P644" t="s">
        <v>12</v>
      </c>
    </row>
    <row r="645">
      <c r="A645">
        <f>HYPERLINK("http://bombeiros.sp.gov.br/hidrantes/03individual/2979.html","2979")</f>
      </c>
      <c r="B645" t="s">
        <v>114</v>
      </c>
      <c r="C645" t="s">
        <v>124</v>
      </c>
      <c r="D645" t="s">
        <v>124</v>
      </c>
      <c r="E645" t="s">
        <v>64</v>
      </c>
      <c r="F645" t="s">
        <v>3049</v>
      </c>
      <c r="G645" t="s">
        <v>18195</v>
      </c>
      <c r="H645" t="s">
        <v>1112</v>
      </c>
      <c r="I645" t="s">
        <v>1108</v>
      </c>
      <c r="J645" t="s">
        <v>3050</v>
      </c>
      <c r="K645" t="s">
        <v>3051</v>
      </c>
      <c r="L645" t="s">
        <v>21</v>
      </c>
      <c r="M645" t="s">
        <v>19177</v>
      </c>
      <c r="N645" t="s">
        <v>300</v>
      </c>
      <c r="O645" t="s">
        <v>16373</v>
      </c>
      <c r="P645" t="s">
        <v>12</v>
      </c>
    </row>
    <row r="646">
      <c r="A646">
        <f>HYPERLINK("http://bombeiros.sp.gov.br/hidrantes/03individual/3005.html","3005")</f>
      </c>
      <c r="B646" t="s">
        <v>114</v>
      </c>
      <c r="C646" t="s">
        <v>124</v>
      </c>
      <c r="D646" t="s">
        <v>124</v>
      </c>
      <c r="E646" t="s">
        <v>64</v>
      </c>
      <c r="F646" t="s">
        <v>3052</v>
      </c>
      <c r="G646" t="s">
        <v>18085</v>
      </c>
      <c r="H646" t="s">
        <v>1121</v>
      </c>
      <c r="I646" t="s">
        <v>1117</v>
      </c>
      <c r="J646" t="s">
        <v>3054</v>
      </c>
      <c r="K646" t="s">
        <v>3055</v>
      </c>
      <c r="L646" t="s">
        <v>36</v>
      </c>
      <c r="M646" t="s">
        <v>19177</v>
      </c>
      <c r="N646" t="s">
        <v>300</v>
      </c>
      <c r="O646" t="s">
        <v>16373</v>
      </c>
      <c r="P646" t="s">
        <v>12</v>
      </c>
    </row>
    <row r="647">
      <c r="A647">
        <f>HYPERLINK("http://bombeiros.sp.gov.br/hidrantes/03individual/3006.html","3006")</f>
      </c>
      <c r="B647" t="s">
        <v>114</v>
      </c>
      <c r="C647" t="s">
        <v>124</v>
      </c>
      <c r="D647" t="s">
        <v>124</v>
      </c>
      <c r="E647" t="s">
        <v>64</v>
      </c>
      <c r="F647" t="s">
        <v>3056</v>
      </c>
      <c r="G647" t="s">
        <v>18085</v>
      </c>
      <c r="H647" t="s">
        <v>1112</v>
      </c>
      <c r="I647" t="s">
        <v>1108</v>
      </c>
      <c r="J647" t="s">
        <v>3057</v>
      </c>
      <c r="K647" t="s">
        <v>3058</v>
      </c>
      <c r="L647" t="s">
        <v>36</v>
      </c>
      <c r="M647" t="s">
        <v>19177</v>
      </c>
      <c r="N647" t="s">
        <v>300</v>
      </c>
      <c r="O647" t="s">
        <v>16373</v>
      </c>
      <c r="P647" t="s">
        <v>12</v>
      </c>
    </row>
    <row r="648">
      <c r="A648">
        <f>HYPERLINK("http://bombeiros.sp.gov.br/hidrantes/03individual/4168.html","4168")</f>
      </c>
      <c r="B648" t="s">
        <v>114</v>
      </c>
      <c r="C648" t="s">
        <v>124</v>
      </c>
      <c r="D648" t="s">
        <v>124</v>
      </c>
      <c r="E648" t="s">
        <v>64</v>
      </c>
      <c r="F648" t="s">
        <v>3059</v>
      </c>
      <c r="G648" t="s">
        <v>18129</v>
      </c>
      <c r="H648" t="s">
        <v>1174</v>
      </c>
      <c r="I648" t="s">
        <v>1108</v>
      </c>
      <c r="J648" t="s">
        <v>3060</v>
      </c>
      <c r="K648" t="s">
        <v>3061</v>
      </c>
      <c r="L648" t="s">
        <v>36</v>
      </c>
      <c r="M648" t="s">
        <v>19177</v>
      </c>
      <c r="N648" t="s">
        <v>300</v>
      </c>
      <c r="O648" t="s">
        <v>16373</v>
      </c>
      <c r="P648" t="s">
        <v>12</v>
      </c>
    </row>
    <row r="649">
      <c r="A649">
        <f>HYPERLINK("http://bombeiros.sp.gov.br/hidrantes/03individual/4289.html","4289")</f>
      </c>
      <c r="B649" t="s">
        <v>114</v>
      </c>
      <c r="C649" t="s">
        <v>124</v>
      </c>
      <c r="D649" t="s">
        <v>124</v>
      </c>
      <c r="E649" t="s">
        <v>64</v>
      </c>
      <c r="F649" t="s">
        <v>3062</v>
      </c>
      <c r="G649" t="s">
        <v>18085</v>
      </c>
      <c r="H649" t="s">
        <v>1112</v>
      </c>
      <c r="I649" t="s">
        <v>1108</v>
      </c>
      <c r="J649" t="s">
        <v>3063</v>
      </c>
      <c r="K649" t="s">
        <v>3064</v>
      </c>
      <c r="L649" t="s">
        <v>36</v>
      </c>
      <c r="M649" t="s">
        <v>19177</v>
      </c>
      <c r="N649" t="s">
        <v>300</v>
      </c>
      <c r="O649" t="s">
        <v>16373</v>
      </c>
      <c r="P649" t="s">
        <v>12</v>
      </c>
    </row>
    <row r="650">
      <c r="A650">
        <f>HYPERLINK("http://bombeiros.sp.gov.br/hidrantes/03individual/15220.html","15220")</f>
      </c>
      <c r="B650" t="s">
        <v>114</v>
      </c>
      <c r="C650" t="s">
        <v>124</v>
      </c>
      <c r="D650" t="s">
        <v>124</v>
      </c>
      <c r="E650" t="s">
        <v>64</v>
      </c>
      <c r="F650" t="s">
        <v>3065</v>
      </c>
      <c r="G650" t="s">
        <v>18067</v>
      </c>
      <c r="H650" t="s">
        <v>1112</v>
      </c>
      <c r="I650" t="s">
        <v>1108</v>
      </c>
      <c r="J650" t="s">
        <v>3066</v>
      </c>
      <c r="K650" t="s">
        <v>3067</v>
      </c>
      <c r="L650" t="s">
        <v>21</v>
      </c>
      <c r="M650" t="s">
        <v>19177</v>
      </c>
      <c r="N650" t="s">
        <v>300</v>
      </c>
      <c r="O650" t="s">
        <v>16373</v>
      </c>
      <c r="P650" t="s">
        <v>12</v>
      </c>
    </row>
    <row r="651">
      <c r="A651">
        <f>HYPERLINK("http://bombeiros.sp.gov.br/hidrantes/03individual/27817.html","27817")</f>
      </c>
      <c r="B651" t="s">
        <v>114</v>
      </c>
      <c r="C651" t="s">
        <v>124</v>
      </c>
      <c r="D651" t="s">
        <v>124</v>
      </c>
      <c r="E651" t="s">
        <v>64</v>
      </c>
      <c r="F651" t="s">
        <v>17816</v>
      </c>
      <c r="G651" t="s">
        <v>18129</v>
      </c>
      <c r="H651" t="s">
        <v>1121</v>
      </c>
      <c r="I651" t="s">
        <v>1117</v>
      </c>
      <c r="J651" t="s">
        <v>17817</v>
      </c>
      <c r="K651" t="s">
        <v>17818</v>
      </c>
      <c r="L651" t="s">
        <v>21</v>
      </c>
      <c r="M651" t="s">
        <v>19177</v>
      </c>
      <c r="N651" t="s">
        <v>300</v>
      </c>
      <c r="O651" t="s">
        <v>16373</v>
      </c>
      <c r="P651" t="s">
        <v>12</v>
      </c>
    </row>
    <row r="652">
      <c r="A652">
        <f>HYPERLINK("http://bombeiros.sp.gov.br/hidrantes/03individual/1788.html","1788")</f>
      </c>
      <c r="B652" t="s">
        <v>114</v>
      </c>
      <c r="C652" t="s">
        <v>124</v>
      </c>
      <c r="D652" t="s">
        <v>124</v>
      </c>
      <c r="E652" t="s">
        <v>15</v>
      </c>
      <c r="F652" t="s">
        <v>3068</v>
      </c>
      <c r="G652" t="s">
        <v>18074</v>
      </c>
      <c r="H652"/>
      <c r="I652" t="s">
        <v>18</v>
      </c>
      <c r="J652" t="s">
        <v>3069</v>
      </c>
      <c r="K652" t="s">
        <v>3070</v>
      </c>
      <c r="L652" t="s">
        <v>21</v>
      </c>
      <c r="M652" t="s">
        <v>19177</v>
      </c>
      <c r="N652" t="s">
        <v>300</v>
      </c>
      <c r="O652" t="s">
        <v>16373</v>
      </c>
      <c r="P652" t="s">
        <v>12</v>
      </c>
    </row>
    <row r="653">
      <c r="A653">
        <f>HYPERLINK("http://bombeiros.sp.gov.br/hidrantes/03individual/1809.html","1809")</f>
      </c>
      <c r="B653" t="s">
        <v>114</v>
      </c>
      <c r="C653" t="s">
        <v>124</v>
      </c>
      <c r="D653" t="s">
        <v>124</v>
      </c>
      <c r="E653" t="s">
        <v>15</v>
      </c>
      <c r="F653" t="s">
        <v>3071</v>
      </c>
      <c r="G653" t="s">
        <v>18046</v>
      </c>
      <c r="H653" t="s">
        <v>1121</v>
      </c>
      <c r="I653" t="s">
        <v>1117</v>
      </c>
      <c r="J653" t="s">
        <v>3072</v>
      </c>
      <c r="K653" t="s">
        <v>3073</v>
      </c>
      <c r="L653" t="s">
        <v>21</v>
      </c>
      <c r="M653" t="s">
        <v>19177</v>
      </c>
      <c r="N653" t="s">
        <v>300</v>
      </c>
      <c r="O653" t="s">
        <v>16373</v>
      </c>
      <c r="P653" t="s">
        <v>12</v>
      </c>
    </row>
    <row r="654">
      <c r="A654">
        <f>HYPERLINK("http://bombeiros.sp.gov.br/hidrantes/03individual/1810.html","1810")</f>
      </c>
      <c r="B654" t="s">
        <v>114</v>
      </c>
      <c r="C654" t="s">
        <v>124</v>
      </c>
      <c r="D654" t="s">
        <v>124</v>
      </c>
      <c r="E654" t="s">
        <v>15</v>
      </c>
      <c r="F654" t="s">
        <v>3074</v>
      </c>
      <c r="G654" t="s">
        <v>18074</v>
      </c>
      <c r="H654" t="s">
        <v>1174</v>
      </c>
      <c r="I654" t="s">
        <v>1108</v>
      </c>
      <c r="J654" t="s">
        <v>3075</v>
      </c>
      <c r="K654" t="s">
        <v>3076</v>
      </c>
      <c r="L654" t="s">
        <v>21</v>
      </c>
      <c r="M654" t="s">
        <v>19177</v>
      </c>
      <c r="N654" t="s">
        <v>300</v>
      </c>
      <c r="O654" t="s">
        <v>16373</v>
      </c>
      <c r="P654" t="s">
        <v>12</v>
      </c>
    </row>
    <row r="655">
      <c r="A655">
        <f>HYPERLINK("http://bombeiros.sp.gov.br/hidrantes/03individual/1832.html","1832")</f>
      </c>
      <c r="B655" t="s">
        <v>114</v>
      </c>
      <c r="C655" t="s">
        <v>124</v>
      </c>
      <c r="D655" t="s">
        <v>124</v>
      </c>
      <c r="E655" t="s">
        <v>15</v>
      </c>
      <c r="F655" t="s">
        <v>3077</v>
      </c>
      <c r="G655" t="s">
        <v>18240</v>
      </c>
      <c r="H655" t="s">
        <v>1121</v>
      </c>
      <c r="I655" t="s">
        <v>1117</v>
      </c>
      <c r="J655" t="s">
        <v>3078</v>
      </c>
      <c r="K655" t="s">
        <v>3079</v>
      </c>
      <c r="L655" t="s">
        <v>21</v>
      </c>
      <c r="M655" t="s">
        <v>19177</v>
      </c>
      <c r="N655" t="s">
        <v>300</v>
      </c>
      <c r="O655" t="s">
        <v>16373</v>
      </c>
      <c r="P655" t="s">
        <v>12</v>
      </c>
    </row>
    <row r="656">
      <c r="A656">
        <f>HYPERLINK("http://bombeiros.sp.gov.br/hidrantes/03individual/1834.html","1834")</f>
      </c>
      <c r="B656" t="s">
        <v>114</v>
      </c>
      <c r="C656" t="s">
        <v>124</v>
      </c>
      <c r="D656" t="s">
        <v>124</v>
      </c>
      <c r="E656" t="s">
        <v>15</v>
      </c>
      <c r="F656" t="s">
        <v>3080</v>
      </c>
      <c r="G656" t="s">
        <v>18240</v>
      </c>
      <c r="H656" t="s">
        <v>1174</v>
      </c>
      <c r="I656" t="s">
        <v>1108</v>
      </c>
      <c r="J656" t="s">
        <v>3081</v>
      </c>
      <c r="K656" t="s">
        <v>3082</v>
      </c>
      <c r="L656" t="s">
        <v>21</v>
      </c>
      <c r="M656" t="s">
        <v>19177</v>
      </c>
      <c r="N656" t="s">
        <v>300</v>
      </c>
      <c r="O656" t="s">
        <v>16373</v>
      </c>
      <c r="P656" t="s">
        <v>12</v>
      </c>
    </row>
    <row r="657">
      <c r="A657">
        <f>HYPERLINK("http://bombeiros.sp.gov.br/hidrantes/03individual/1836.html","1836")</f>
      </c>
      <c r="B657" t="s">
        <v>114</v>
      </c>
      <c r="C657" t="s">
        <v>124</v>
      </c>
      <c r="D657" t="s">
        <v>124</v>
      </c>
      <c r="E657" t="s">
        <v>15</v>
      </c>
      <c r="F657" t="s">
        <v>3083</v>
      </c>
      <c r="G657" t="s">
        <v>18129</v>
      </c>
      <c r="H657" t="s">
        <v>1174</v>
      </c>
      <c r="I657" t="s">
        <v>1108</v>
      </c>
      <c r="J657" t="s">
        <v>3084</v>
      </c>
      <c r="K657" t="s">
        <v>3085</v>
      </c>
      <c r="L657" t="s">
        <v>21</v>
      </c>
      <c r="M657" t="s">
        <v>19177</v>
      </c>
      <c r="N657" t="s">
        <v>300</v>
      </c>
      <c r="O657" t="s">
        <v>16373</v>
      </c>
      <c r="P657" t="s">
        <v>12</v>
      </c>
    </row>
    <row r="658">
      <c r="A658">
        <f>HYPERLINK("http://bombeiros.sp.gov.br/hidrantes/03individual/2972.html","2972")</f>
      </c>
      <c r="B658" t="s">
        <v>114</v>
      </c>
      <c r="C658" t="s">
        <v>124</v>
      </c>
      <c r="D658" t="s">
        <v>124</v>
      </c>
      <c r="E658" t="s">
        <v>15</v>
      </c>
      <c r="F658" t="s">
        <v>3086</v>
      </c>
      <c r="G658" t="s">
        <v>18074</v>
      </c>
      <c r="H658" t="s">
        <v>1121</v>
      </c>
      <c r="I658" t="s">
        <v>1117</v>
      </c>
      <c r="J658" t="s">
        <v>3087</v>
      </c>
      <c r="K658" t="s">
        <v>3088</v>
      </c>
      <c r="L658" t="s">
        <v>21</v>
      </c>
      <c r="M658" t="s">
        <v>19177</v>
      </c>
      <c r="N658" t="s">
        <v>300</v>
      </c>
      <c r="O658" t="s">
        <v>16373</v>
      </c>
      <c r="P658" t="s">
        <v>12</v>
      </c>
    </row>
    <row r="659">
      <c r="A659">
        <f>HYPERLINK("http://bombeiros.sp.gov.br/hidrantes/03individual/3003.html","3003")</f>
      </c>
      <c r="B659" t="s">
        <v>114</v>
      </c>
      <c r="C659" t="s">
        <v>124</v>
      </c>
      <c r="D659" t="s">
        <v>124</v>
      </c>
      <c r="E659" t="s">
        <v>15</v>
      </c>
      <c r="F659" t="s">
        <v>3089</v>
      </c>
      <c r="G659" t="s">
        <v>18075</v>
      </c>
      <c r="H659" t="s">
        <v>1112</v>
      </c>
      <c r="I659" t="s">
        <v>1108</v>
      </c>
      <c r="J659" t="s">
        <v>3090</v>
      </c>
      <c r="K659" t="s">
        <v>3091</v>
      </c>
      <c r="L659" t="s">
        <v>21</v>
      </c>
      <c r="M659" t="s">
        <v>19177</v>
      </c>
      <c r="N659" t="s">
        <v>300</v>
      </c>
      <c r="O659" t="s">
        <v>16373</v>
      </c>
      <c r="P659" t="s">
        <v>12</v>
      </c>
    </row>
    <row r="660">
      <c r="A660">
        <f>HYPERLINK("http://bombeiros.sp.gov.br/hidrantes/03individual/3004.html","3004")</f>
      </c>
      <c r="B660" t="s">
        <v>114</v>
      </c>
      <c r="C660" t="s">
        <v>124</v>
      </c>
      <c r="D660" t="s">
        <v>124</v>
      </c>
      <c r="E660" t="s">
        <v>15</v>
      </c>
      <c r="F660" t="s">
        <v>3092</v>
      </c>
      <c r="G660" t="s">
        <v>18067</v>
      </c>
      <c r="H660" t="s">
        <v>1121</v>
      </c>
      <c r="I660" t="s">
        <v>1117</v>
      </c>
      <c r="J660" t="s">
        <v>3093</v>
      </c>
      <c r="K660" t="s">
        <v>3094</v>
      </c>
      <c r="L660" t="s">
        <v>21</v>
      </c>
      <c r="M660" t="s">
        <v>19177</v>
      </c>
      <c r="N660" t="s">
        <v>300</v>
      </c>
      <c r="O660" t="s">
        <v>16373</v>
      </c>
      <c r="P660" t="s">
        <v>12</v>
      </c>
    </row>
    <row r="661">
      <c r="A661">
        <f>HYPERLINK("http://bombeiros.sp.gov.br/hidrantes/03individual/3007.html","3007")</f>
      </c>
      <c r="B661" t="s">
        <v>114</v>
      </c>
      <c r="C661" t="s">
        <v>124</v>
      </c>
      <c r="D661" t="s">
        <v>124</v>
      </c>
      <c r="E661" t="s">
        <v>15</v>
      </c>
      <c r="F661" t="s">
        <v>3095</v>
      </c>
      <c r="G661" t="s">
        <v>18067</v>
      </c>
      <c r="H661" t="s">
        <v>1112</v>
      </c>
      <c r="I661" t="s">
        <v>1108</v>
      </c>
      <c r="J661" t="s">
        <v>16522</v>
      </c>
      <c r="K661" t="s">
        <v>16523</v>
      </c>
      <c r="L661" t="s">
        <v>21</v>
      </c>
      <c r="M661" t="s">
        <v>19177</v>
      </c>
      <c r="N661" t="s">
        <v>300</v>
      </c>
      <c r="O661" t="s">
        <v>16373</v>
      </c>
      <c r="P661" t="s">
        <v>12</v>
      </c>
    </row>
    <row r="662">
      <c r="A662">
        <f>HYPERLINK("http://bombeiros.sp.gov.br/hidrantes/03individual/3008.html","3008")</f>
      </c>
      <c r="B662" t="s">
        <v>114</v>
      </c>
      <c r="C662" t="s">
        <v>124</v>
      </c>
      <c r="D662" t="s">
        <v>124</v>
      </c>
      <c r="E662" t="s">
        <v>15</v>
      </c>
      <c r="F662" t="s">
        <v>3098</v>
      </c>
      <c r="G662" t="s">
        <v>18074</v>
      </c>
      <c r="H662" t="s">
        <v>1112</v>
      </c>
      <c r="I662" t="s">
        <v>1108</v>
      </c>
      <c r="J662" t="s">
        <v>3099</v>
      </c>
      <c r="K662" t="s">
        <v>3100</v>
      </c>
      <c r="L662" t="s">
        <v>21</v>
      </c>
      <c r="M662" t="s">
        <v>19177</v>
      </c>
      <c r="N662" t="s">
        <v>300</v>
      </c>
      <c r="O662" t="s">
        <v>16373</v>
      </c>
      <c r="P662" t="s">
        <v>12</v>
      </c>
    </row>
    <row r="663">
      <c r="A663">
        <f>HYPERLINK("http://bombeiros.sp.gov.br/hidrantes/03individual/3210.html","3210")</f>
      </c>
      <c r="B663" t="s">
        <v>114</v>
      </c>
      <c r="C663" t="s">
        <v>124</v>
      </c>
      <c r="D663" t="s">
        <v>124</v>
      </c>
      <c r="E663" t="s">
        <v>15</v>
      </c>
      <c r="F663" t="s">
        <v>125</v>
      </c>
      <c r="G663" t="s">
        <v>18549</v>
      </c>
      <c r="H663" t="s">
        <v>1121</v>
      </c>
      <c r="I663" t="s">
        <v>1117</v>
      </c>
      <c r="J663" t="s">
        <v>127</v>
      </c>
      <c r="K663" t="s">
        <v>128</v>
      </c>
      <c r="L663" t="s">
        <v>21</v>
      </c>
      <c r="M663" t="s">
        <v>19177</v>
      </c>
      <c r="N663" t="s">
        <v>300</v>
      </c>
      <c r="O663" t="s">
        <v>16373</v>
      </c>
      <c r="P663" t="s">
        <v>12</v>
      </c>
    </row>
    <row r="664">
      <c r="A664">
        <f>HYPERLINK("http://bombeiros.sp.gov.br/hidrantes/03individual/3244.html","3244")</f>
      </c>
      <c r="B664" t="s">
        <v>114</v>
      </c>
      <c r="C664" t="s">
        <v>124</v>
      </c>
      <c r="D664" t="s">
        <v>124</v>
      </c>
      <c r="E664" t="s">
        <v>15</v>
      </c>
      <c r="F664" t="s">
        <v>3101</v>
      </c>
      <c r="G664" t="s">
        <v>18099</v>
      </c>
      <c r="H664" t="s">
        <v>1112</v>
      </c>
      <c r="I664" t="s">
        <v>1108</v>
      </c>
      <c r="J664" t="s">
        <v>3102</v>
      </c>
      <c r="K664" t="s">
        <v>3103</v>
      </c>
      <c r="L664" t="s">
        <v>36</v>
      </c>
      <c r="M664" t="s">
        <v>19177</v>
      </c>
      <c r="N664" t="s">
        <v>300</v>
      </c>
      <c r="O664" t="s">
        <v>16373</v>
      </c>
      <c r="P664" t="s">
        <v>12</v>
      </c>
    </row>
    <row r="665">
      <c r="A665">
        <f>HYPERLINK("http://bombeiros.sp.gov.br/hidrantes/03individual/26911.html","26911")</f>
      </c>
      <c r="B665" t="s">
        <v>114</v>
      </c>
      <c r="C665" t="s">
        <v>124</v>
      </c>
      <c r="D665" t="s">
        <v>124</v>
      </c>
      <c r="E665" t="s">
        <v>15</v>
      </c>
      <c r="F665" t="s">
        <v>16378</v>
      </c>
      <c r="G665" t="s">
        <v>18046</v>
      </c>
      <c r="H665" t="s">
        <v>1174</v>
      </c>
      <c r="I665" t="s">
        <v>1117</v>
      </c>
      <c r="J665" t="s">
        <v>16379</v>
      </c>
      <c r="K665" t="s">
        <v>16380</v>
      </c>
      <c r="L665" t="s">
        <v>21</v>
      </c>
      <c r="M665" t="s">
        <v>19177</v>
      </c>
      <c r="N665" t="s">
        <v>300</v>
      </c>
      <c r="O665" t="s">
        <v>16373</v>
      </c>
      <c r="P665" t="s">
        <v>12</v>
      </c>
    </row>
    <row r="666">
      <c r="A666">
        <f>HYPERLINK("http://bombeiros.sp.gov.br/hidrantes/03individual/45.html","45")</f>
      </c>
      <c r="B666" t="s">
        <v>114</v>
      </c>
      <c r="C666" t="s">
        <v>124</v>
      </c>
      <c r="D666" t="s">
        <v>3107</v>
      </c>
      <c r="E666" t="s">
        <v>64</v>
      </c>
      <c r="F666" t="s">
        <v>3108</v>
      </c>
      <c r="G666" t="s">
        <v>18042</v>
      </c>
      <c r="H666" t="s">
        <v>1174</v>
      </c>
      <c r="I666" t="s">
        <v>1108</v>
      </c>
      <c r="J666" t="s">
        <v>17408</v>
      </c>
      <c r="K666" t="s">
        <v>17409</v>
      </c>
      <c r="L666" t="s">
        <v>36</v>
      </c>
      <c r="M666" t="s">
        <v>19177</v>
      </c>
      <c r="N666" t="s">
        <v>337</v>
      </c>
      <c r="O666" t="s">
        <v>337</v>
      </c>
      <c r="P666" t="s">
        <v>12</v>
      </c>
    </row>
    <row r="667">
      <c r="A667">
        <f>HYPERLINK("http://bombeiros.sp.gov.br/hidrantes/03individual/46.html","46")</f>
      </c>
      <c r="B667" t="s">
        <v>114</v>
      </c>
      <c r="C667" t="s">
        <v>124</v>
      </c>
      <c r="D667" t="s">
        <v>3107</v>
      </c>
      <c r="E667" t="s">
        <v>64</v>
      </c>
      <c r="F667" t="s">
        <v>3111</v>
      </c>
      <c r="G667" t="s">
        <v>18042</v>
      </c>
      <c r="H667" t="s">
        <v>1107</v>
      </c>
      <c r="I667" t="s">
        <v>1108</v>
      </c>
      <c r="J667" t="s">
        <v>3112</v>
      </c>
      <c r="K667" t="s">
        <v>3113</v>
      </c>
      <c r="L667" t="s">
        <v>36</v>
      </c>
      <c r="M667" t="s">
        <v>19177</v>
      </c>
      <c r="N667" t="s">
        <v>337</v>
      </c>
      <c r="O667" t="s">
        <v>337</v>
      </c>
      <c r="P667" t="s">
        <v>12</v>
      </c>
    </row>
    <row r="668">
      <c r="A668">
        <f>HYPERLINK("http://bombeiros.sp.gov.br/hidrantes/03individual/817.html","817")</f>
      </c>
      <c r="B668" t="s">
        <v>114</v>
      </c>
      <c r="C668" t="s">
        <v>124</v>
      </c>
      <c r="D668" t="s">
        <v>3107</v>
      </c>
      <c r="E668" t="s">
        <v>64</v>
      </c>
      <c r="F668" t="s">
        <v>3114</v>
      </c>
      <c r="G668" t="s">
        <v>18042</v>
      </c>
      <c r="H668" t="s">
        <v>1107</v>
      </c>
      <c r="I668" t="s">
        <v>1108</v>
      </c>
      <c r="J668" t="s">
        <v>3115</v>
      </c>
      <c r="K668" t="s">
        <v>3116</v>
      </c>
      <c r="L668" t="s">
        <v>21</v>
      </c>
      <c r="M668" t="s">
        <v>19177</v>
      </c>
      <c r="N668" t="s">
        <v>337</v>
      </c>
      <c r="O668" t="s">
        <v>337</v>
      </c>
      <c r="P668" t="s">
        <v>12</v>
      </c>
    </row>
    <row r="669">
      <c r="A669">
        <f>HYPERLINK("http://bombeiros.sp.gov.br/hidrantes/03individual/829.html","829")</f>
      </c>
      <c r="B669" t="s">
        <v>114</v>
      </c>
      <c r="C669" t="s">
        <v>124</v>
      </c>
      <c r="D669" t="s">
        <v>3107</v>
      </c>
      <c r="E669" t="s">
        <v>64</v>
      </c>
      <c r="F669" t="s">
        <v>3117</v>
      </c>
      <c r="G669" t="s">
        <v>18042</v>
      </c>
      <c r="H669" t="s">
        <v>1174</v>
      </c>
      <c r="I669" t="s">
        <v>1108</v>
      </c>
      <c r="J669" t="s">
        <v>3118</v>
      </c>
      <c r="K669" t="s">
        <v>3119</v>
      </c>
      <c r="L669" t="s">
        <v>36</v>
      </c>
      <c r="M669" t="s">
        <v>19177</v>
      </c>
      <c r="N669" t="s">
        <v>337</v>
      </c>
      <c r="O669" t="s">
        <v>337</v>
      </c>
      <c r="P669" t="s">
        <v>12</v>
      </c>
    </row>
    <row r="670">
      <c r="A670">
        <f>HYPERLINK("http://bombeiros.sp.gov.br/hidrantes/03individual/835.html","835")</f>
      </c>
      <c r="B670" t="s">
        <v>114</v>
      </c>
      <c r="C670" t="s">
        <v>124</v>
      </c>
      <c r="D670" t="s">
        <v>3107</v>
      </c>
      <c r="E670" t="s">
        <v>64</v>
      </c>
      <c r="F670" t="s">
        <v>3120</v>
      </c>
      <c r="G670" t="s">
        <v>18042</v>
      </c>
      <c r="H670" t="s">
        <v>1107</v>
      </c>
      <c r="I670" t="s">
        <v>1108</v>
      </c>
      <c r="J670" t="s">
        <v>3121</v>
      </c>
      <c r="K670" t="s">
        <v>3122</v>
      </c>
      <c r="L670" t="s">
        <v>36</v>
      </c>
      <c r="M670" t="s">
        <v>19177</v>
      </c>
      <c r="N670" t="s">
        <v>337</v>
      </c>
      <c r="O670" t="s">
        <v>337</v>
      </c>
      <c r="P670" t="s">
        <v>12</v>
      </c>
    </row>
    <row r="671">
      <c r="A671">
        <f>HYPERLINK("http://bombeiros.sp.gov.br/hidrantes/03individual/993.html","993")</f>
      </c>
      <c r="B671" t="s">
        <v>114</v>
      </c>
      <c r="C671" t="s">
        <v>124</v>
      </c>
      <c r="D671" t="s">
        <v>3107</v>
      </c>
      <c r="E671" t="s">
        <v>64</v>
      </c>
      <c r="F671" t="s">
        <v>3123</v>
      </c>
      <c r="G671" t="s">
        <v>18075</v>
      </c>
      <c r="H671" t="s">
        <v>1112</v>
      </c>
      <c r="I671" t="s">
        <v>1108</v>
      </c>
      <c r="J671" t="s">
        <v>3124</v>
      </c>
      <c r="K671" t="s">
        <v>3125</v>
      </c>
      <c r="L671" t="s">
        <v>21</v>
      </c>
      <c r="M671" t="s">
        <v>19177</v>
      </c>
      <c r="N671" t="s">
        <v>300</v>
      </c>
      <c r="O671" t="s">
        <v>16373</v>
      </c>
      <c r="P671" t="s">
        <v>12</v>
      </c>
    </row>
    <row r="672">
      <c r="A672">
        <f>HYPERLINK("http://bombeiros.sp.gov.br/hidrantes/03individual/1882.html","1882")</f>
      </c>
      <c r="B672" t="s">
        <v>114</v>
      </c>
      <c r="C672" t="s">
        <v>124</v>
      </c>
      <c r="D672" t="s">
        <v>3107</v>
      </c>
      <c r="E672" t="s">
        <v>64</v>
      </c>
      <c r="F672" t="s">
        <v>3126</v>
      </c>
      <c r="G672" t="s">
        <v>18066</v>
      </c>
      <c r="H672" t="s">
        <v>1121</v>
      </c>
      <c r="I672" t="s">
        <v>1117</v>
      </c>
      <c r="J672" t="s">
        <v>3127</v>
      </c>
      <c r="K672" t="s">
        <v>3128</v>
      </c>
      <c r="L672" t="s">
        <v>36</v>
      </c>
      <c r="M672" t="s">
        <v>19177</v>
      </c>
      <c r="N672" t="s">
        <v>300</v>
      </c>
      <c r="O672" t="s">
        <v>16373</v>
      </c>
      <c r="P672" t="s">
        <v>12</v>
      </c>
    </row>
    <row r="673">
      <c r="A673">
        <f>HYPERLINK("http://bombeiros.sp.gov.br/hidrantes/03individual/2980.html","2980")</f>
      </c>
      <c r="B673" t="s">
        <v>114</v>
      </c>
      <c r="C673" t="s">
        <v>124</v>
      </c>
      <c r="D673" t="s">
        <v>3107</v>
      </c>
      <c r="E673" t="s">
        <v>64</v>
      </c>
      <c r="F673" t="s">
        <v>3129</v>
      </c>
      <c r="G673" t="s">
        <v>18195</v>
      </c>
      <c r="H673" t="s">
        <v>1121</v>
      </c>
      <c r="I673" t="s">
        <v>1117</v>
      </c>
      <c r="J673" t="s">
        <v>3130</v>
      </c>
      <c r="K673" t="s">
        <v>3131</v>
      </c>
      <c r="L673" t="s">
        <v>21</v>
      </c>
      <c r="M673" t="s">
        <v>19177</v>
      </c>
      <c r="N673" t="s">
        <v>300</v>
      </c>
      <c r="O673" t="s">
        <v>16373</v>
      </c>
      <c r="P673" t="s">
        <v>12</v>
      </c>
    </row>
    <row r="674">
      <c r="A674">
        <f>HYPERLINK("http://bombeiros.sp.gov.br/hidrantes/03individual/2999.html","2999")</f>
      </c>
      <c r="B674" t="s">
        <v>114</v>
      </c>
      <c r="C674" t="s">
        <v>124</v>
      </c>
      <c r="D674" t="s">
        <v>3107</v>
      </c>
      <c r="E674" t="s">
        <v>64</v>
      </c>
      <c r="F674" t="s">
        <v>3132</v>
      </c>
      <c r="G674" t="s">
        <v>18195</v>
      </c>
      <c r="H674" t="s">
        <v>1112</v>
      </c>
      <c r="I674" t="s">
        <v>1108</v>
      </c>
      <c r="J674" t="s">
        <v>3133</v>
      </c>
      <c r="K674" t="s">
        <v>3134</v>
      </c>
      <c r="L674" t="s">
        <v>21</v>
      </c>
      <c r="M674" t="s">
        <v>19177</v>
      </c>
      <c r="N674" t="s">
        <v>300</v>
      </c>
      <c r="O674" t="s">
        <v>16373</v>
      </c>
      <c r="P674" t="s">
        <v>12</v>
      </c>
    </row>
    <row r="675">
      <c r="A675">
        <f>HYPERLINK("http://bombeiros.sp.gov.br/hidrantes/03individual/3242.html","3242")</f>
      </c>
      <c r="B675" t="s">
        <v>114</v>
      </c>
      <c r="C675" t="s">
        <v>124</v>
      </c>
      <c r="D675" t="s">
        <v>3107</v>
      </c>
      <c r="E675" t="s">
        <v>64</v>
      </c>
      <c r="F675" t="s">
        <v>3135</v>
      </c>
      <c r="G675" t="s">
        <v>18066</v>
      </c>
      <c r="H675" t="s">
        <v>1174</v>
      </c>
      <c r="I675" t="s">
        <v>1108</v>
      </c>
      <c r="J675" t="s">
        <v>3136</v>
      </c>
      <c r="K675" t="s">
        <v>3137</v>
      </c>
      <c r="L675" t="s">
        <v>36</v>
      </c>
      <c r="M675" t="s">
        <v>19177</v>
      </c>
      <c r="N675" t="s">
        <v>300</v>
      </c>
      <c r="O675" t="s">
        <v>16373</v>
      </c>
      <c r="P675" t="s">
        <v>12</v>
      </c>
    </row>
    <row r="676">
      <c r="A676">
        <f>HYPERLINK("http://bombeiros.sp.gov.br/hidrantes/03individual/5612.html","5612")</f>
      </c>
      <c r="B676" t="s">
        <v>114</v>
      </c>
      <c r="C676" t="s">
        <v>124</v>
      </c>
      <c r="D676" t="s">
        <v>3107</v>
      </c>
      <c r="E676" t="s">
        <v>64</v>
      </c>
      <c r="F676" t="s">
        <v>3138</v>
      </c>
      <c r="G676" t="s">
        <v>18548</v>
      </c>
      <c r="H676" t="s">
        <v>1112</v>
      </c>
      <c r="I676" t="s">
        <v>1108</v>
      </c>
      <c r="J676" t="s">
        <v>3139</v>
      </c>
      <c r="K676" t="s">
        <v>3140</v>
      </c>
      <c r="L676" t="s">
        <v>21</v>
      </c>
      <c r="M676" t="s">
        <v>19177</v>
      </c>
      <c r="N676" t="s">
        <v>300</v>
      </c>
      <c r="O676" t="s">
        <v>16373</v>
      </c>
      <c r="P676" t="s">
        <v>12</v>
      </c>
    </row>
    <row r="677">
      <c r="A677">
        <f>HYPERLINK("http://bombeiros.sp.gov.br/hidrantes/03individual/1883.html","1883")</f>
      </c>
      <c r="B677" t="s">
        <v>114</v>
      </c>
      <c r="C677" t="s">
        <v>124</v>
      </c>
      <c r="D677" t="s">
        <v>3107</v>
      </c>
      <c r="E677" t="s">
        <v>15</v>
      </c>
      <c r="F677" t="s">
        <v>3141</v>
      </c>
      <c r="G677" t="s">
        <v>18042</v>
      </c>
      <c r="H677" t="s">
        <v>1112</v>
      </c>
      <c r="I677" t="s">
        <v>1108</v>
      </c>
      <c r="J677" t="s">
        <v>3142</v>
      </c>
      <c r="K677" t="s">
        <v>3143</v>
      </c>
      <c r="L677" t="s">
        <v>21</v>
      </c>
      <c r="M677" t="s">
        <v>19177</v>
      </c>
      <c r="N677" t="s">
        <v>337</v>
      </c>
      <c r="O677" t="s">
        <v>337</v>
      </c>
      <c r="P677" t="s">
        <v>12</v>
      </c>
    </row>
    <row r="678">
      <c r="A678">
        <f>HYPERLINK("http://bombeiros.sp.gov.br/hidrantes/03individual/1976.html","1976")</f>
      </c>
      <c r="B678" t="s">
        <v>114</v>
      </c>
      <c r="C678" t="s">
        <v>124</v>
      </c>
      <c r="D678" t="s">
        <v>3107</v>
      </c>
      <c r="E678" t="s">
        <v>15</v>
      </c>
      <c r="F678" t="s">
        <v>3144</v>
      </c>
      <c r="G678" t="s">
        <v>18046</v>
      </c>
      <c r="H678" t="s">
        <v>1174</v>
      </c>
      <c r="I678" t="s">
        <v>1108</v>
      </c>
      <c r="J678" t="s">
        <v>3145</v>
      </c>
      <c r="K678" t="s">
        <v>3146</v>
      </c>
      <c r="L678" t="s">
        <v>21</v>
      </c>
      <c r="M678" t="s">
        <v>19177</v>
      </c>
      <c r="N678" t="s">
        <v>337</v>
      </c>
      <c r="O678" t="s">
        <v>337</v>
      </c>
      <c r="P678" t="s">
        <v>12</v>
      </c>
    </row>
    <row r="679">
      <c r="A679">
        <f>HYPERLINK("http://bombeiros.sp.gov.br/hidrantes/03individual/1980.html","1980")</f>
      </c>
      <c r="B679" t="s">
        <v>114</v>
      </c>
      <c r="C679" t="s">
        <v>124</v>
      </c>
      <c r="D679" t="s">
        <v>3107</v>
      </c>
      <c r="E679" t="s">
        <v>15</v>
      </c>
      <c r="F679" t="s">
        <v>3147</v>
      </c>
      <c r="G679" t="s">
        <v>18240</v>
      </c>
      <c r="H679" t="s">
        <v>1112</v>
      </c>
      <c r="I679" t="s">
        <v>1108</v>
      </c>
      <c r="J679" t="s">
        <v>3148</v>
      </c>
      <c r="K679" t="s">
        <v>3149</v>
      </c>
      <c r="L679" t="s">
        <v>21</v>
      </c>
      <c r="M679" t="s">
        <v>19177</v>
      </c>
      <c r="N679" t="s">
        <v>337</v>
      </c>
      <c r="O679" t="s">
        <v>337</v>
      </c>
      <c r="P679" t="s">
        <v>12</v>
      </c>
    </row>
    <row r="680">
      <c r="A680">
        <f>HYPERLINK("http://bombeiros.sp.gov.br/hidrantes/03individual/3001.html","3001")</f>
      </c>
      <c r="B680" t="s">
        <v>114</v>
      </c>
      <c r="C680" t="s">
        <v>124</v>
      </c>
      <c r="D680" t="s">
        <v>3107</v>
      </c>
      <c r="E680" t="s">
        <v>15</v>
      </c>
      <c r="F680" t="s">
        <v>3150</v>
      </c>
      <c r="G680" t="s">
        <v>18083</v>
      </c>
      <c r="H680" t="s">
        <v>1112</v>
      </c>
      <c r="I680" t="s">
        <v>1108</v>
      </c>
      <c r="J680" t="s">
        <v>3151</v>
      </c>
      <c r="K680" t="s">
        <v>3152</v>
      </c>
      <c r="L680" t="s">
        <v>21</v>
      </c>
      <c r="M680" t="s">
        <v>19177</v>
      </c>
      <c r="N680" t="s">
        <v>300</v>
      </c>
      <c r="O680" t="s">
        <v>16373</v>
      </c>
      <c r="P680" t="s">
        <v>12</v>
      </c>
    </row>
    <row r="681">
      <c r="A681">
        <f>HYPERLINK("http://bombeiros.sp.gov.br/hidrantes/03individual/1036.html","1036")</f>
      </c>
      <c r="B681" t="s">
        <v>114</v>
      </c>
      <c r="C681" t="s">
        <v>129</v>
      </c>
      <c r="D681" t="s">
        <v>129</v>
      </c>
      <c r="E681" t="s">
        <v>64</v>
      </c>
      <c r="F681" t="s">
        <v>130</v>
      </c>
      <c r="G681" t="s">
        <v>18076</v>
      </c>
      <c r="H681" t="s">
        <v>1121</v>
      </c>
      <c r="I681" t="s">
        <v>1117</v>
      </c>
      <c r="J681" t="s">
        <v>132</v>
      </c>
      <c r="K681" t="s">
        <v>133</v>
      </c>
      <c r="L681" t="s">
        <v>21</v>
      </c>
      <c r="M681" t="s">
        <v>19177</v>
      </c>
      <c r="N681" t="s">
        <v>16374</v>
      </c>
      <c r="O681" t="s">
        <v>272</v>
      </c>
      <c r="P681" t="s">
        <v>114</v>
      </c>
    </row>
    <row r="682">
      <c r="A682">
        <f>HYPERLINK("http://bombeiros.sp.gov.br/hidrantes/03individual/4323.html","4323")</f>
      </c>
      <c r="B682" t="s">
        <v>114</v>
      </c>
      <c r="C682" t="s">
        <v>129</v>
      </c>
      <c r="D682" t="s">
        <v>129</v>
      </c>
      <c r="E682" t="s">
        <v>64</v>
      </c>
      <c r="F682" t="s">
        <v>3153</v>
      </c>
      <c r="G682" t="s">
        <v>18134</v>
      </c>
      <c r="H682" t="s">
        <v>1107</v>
      </c>
      <c r="I682" t="s">
        <v>1108</v>
      </c>
      <c r="J682" t="s">
        <v>3154</v>
      </c>
      <c r="K682" t="s">
        <v>3155</v>
      </c>
      <c r="L682" t="s">
        <v>21</v>
      </c>
      <c r="M682" t="s">
        <v>19177</v>
      </c>
      <c r="N682" t="s">
        <v>16374</v>
      </c>
      <c r="O682" t="s">
        <v>272</v>
      </c>
      <c r="P682" t="s">
        <v>114</v>
      </c>
    </row>
    <row r="683">
      <c r="A683">
        <f>HYPERLINK("http://bombeiros.sp.gov.br/hidrantes/03individual/4324.html","4324")</f>
      </c>
      <c r="B683" t="s">
        <v>114</v>
      </c>
      <c r="C683" t="s">
        <v>129</v>
      </c>
      <c r="D683" t="s">
        <v>129</v>
      </c>
      <c r="E683" t="s">
        <v>64</v>
      </c>
      <c r="F683" t="s">
        <v>3156</v>
      </c>
      <c r="G683" t="s">
        <v>18051</v>
      </c>
      <c r="H683" t="s">
        <v>1112</v>
      </c>
      <c r="I683" t="s">
        <v>1108</v>
      </c>
      <c r="J683" t="s">
        <v>3157</v>
      </c>
      <c r="K683" t="s">
        <v>3158</v>
      </c>
      <c r="L683" t="s">
        <v>21</v>
      </c>
      <c r="M683" t="s">
        <v>19177</v>
      </c>
      <c r="N683" t="s">
        <v>16374</v>
      </c>
      <c r="O683" t="s">
        <v>272</v>
      </c>
      <c r="P683" t="s">
        <v>114</v>
      </c>
    </row>
    <row r="684">
      <c r="A684">
        <f>HYPERLINK("http://bombeiros.sp.gov.br/hidrantes/03individual/4331.html","4331")</f>
      </c>
      <c r="B684" t="s">
        <v>114</v>
      </c>
      <c r="C684" t="s">
        <v>129</v>
      </c>
      <c r="D684" t="s">
        <v>129</v>
      </c>
      <c r="E684" t="s">
        <v>64</v>
      </c>
      <c r="F684" t="s">
        <v>3159</v>
      </c>
      <c r="G684" t="s">
        <v>18085</v>
      </c>
      <c r="H684" t="s">
        <v>1121</v>
      </c>
      <c r="I684" t="s">
        <v>1117</v>
      </c>
      <c r="J684" t="s">
        <v>3160</v>
      </c>
      <c r="K684" t="s">
        <v>3161</v>
      </c>
      <c r="L684" t="s">
        <v>21</v>
      </c>
      <c r="M684" t="s">
        <v>19177</v>
      </c>
      <c r="N684" t="s">
        <v>16374</v>
      </c>
      <c r="O684" t="s">
        <v>272</v>
      </c>
      <c r="P684" t="s">
        <v>114</v>
      </c>
    </row>
    <row r="685">
      <c r="A685">
        <f>HYPERLINK("http://bombeiros.sp.gov.br/hidrantes/03individual/25199.html","25199")</f>
      </c>
      <c r="B685" t="s">
        <v>114</v>
      </c>
      <c r="C685" t="s">
        <v>129</v>
      </c>
      <c r="D685" t="s">
        <v>129</v>
      </c>
      <c r="E685" t="s">
        <v>64</v>
      </c>
      <c r="F685" t="s">
        <v>3162</v>
      </c>
      <c r="G685" t="s">
        <v>18076</v>
      </c>
      <c r="H685" t="s">
        <v>1112</v>
      </c>
      <c r="I685" t="s">
        <v>1108</v>
      </c>
      <c r="J685" t="s">
        <v>3163</v>
      </c>
      <c r="K685" t="s">
        <v>3164</v>
      </c>
      <c r="L685" t="s">
        <v>21</v>
      </c>
      <c r="M685" t="s">
        <v>19177</v>
      </c>
      <c r="N685" t="s">
        <v>16374</v>
      </c>
      <c r="O685" t="s">
        <v>272</v>
      </c>
      <c r="P685" t="s">
        <v>114</v>
      </c>
    </row>
    <row r="686">
      <c r="A686">
        <f>HYPERLINK("http://bombeiros.sp.gov.br/hidrantes/03individual/27072.html","27072")</f>
      </c>
      <c r="B686" t="s">
        <v>114</v>
      </c>
      <c r="C686" t="s">
        <v>129</v>
      </c>
      <c r="D686" t="s">
        <v>129</v>
      </c>
      <c r="E686" t="s">
        <v>64</v>
      </c>
      <c r="F686" t="s">
        <v>16710</v>
      </c>
      <c r="G686" t="s">
        <v>18518</v>
      </c>
      <c r="H686" t="s">
        <v>1112</v>
      </c>
      <c r="I686" t="s">
        <v>1108</v>
      </c>
      <c r="J686" t="s">
        <v>16711</v>
      </c>
      <c r="K686" t="s">
        <v>16712</v>
      </c>
      <c r="L686" t="s">
        <v>21</v>
      </c>
      <c r="M686" t="s">
        <v>19177</v>
      </c>
      <c r="N686" t="s">
        <v>16374</v>
      </c>
      <c r="O686" t="s">
        <v>272</v>
      </c>
      <c r="P686" t="s">
        <v>114</v>
      </c>
    </row>
    <row r="687">
      <c r="A687">
        <f>HYPERLINK("http://bombeiros.sp.gov.br/hidrantes/03individual/27073.html","27073")</f>
      </c>
      <c r="B687" t="s">
        <v>114</v>
      </c>
      <c r="C687" t="s">
        <v>129</v>
      </c>
      <c r="D687" t="s">
        <v>129</v>
      </c>
      <c r="E687" t="s">
        <v>64</v>
      </c>
      <c r="F687" t="s">
        <v>16713</v>
      </c>
      <c r="G687" t="s">
        <v>18555</v>
      </c>
      <c r="H687" t="s">
        <v>1112</v>
      </c>
      <c r="I687" t="s">
        <v>1108</v>
      </c>
      <c r="J687" t="s">
        <v>16714</v>
      </c>
      <c r="K687" t="s">
        <v>16715</v>
      </c>
      <c r="L687" t="s">
        <v>21</v>
      </c>
      <c r="M687" t="s">
        <v>19177</v>
      </c>
      <c r="N687" t="s">
        <v>16374</v>
      </c>
      <c r="O687" t="s">
        <v>272</v>
      </c>
      <c r="P687" t="s">
        <v>114</v>
      </c>
    </row>
    <row r="688">
      <c r="A688">
        <f>HYPERLINK("http://bombeiros.sp.gov.br/hidrantes/03individual/27074.html","27074")</f>
      </c>
      <c r="B688" t="s">
        <v>114</v>
      </c>
      <c r="C688" t="s">
        <v>129</v>
      </c>
      <c r="D688" t="s">
        <v>129</v>
      </c>
      <c r="E688" t="s">
        <v>64</v>
      </c>
      <c r="F688" t="s">
        <v>16716</v>
      </c>
      <c r="G688" t="s">
        <v>18192</v>
      </c>
      <c r="H688" t="s">
        <v>1112</v>
      </c>
      <c r="I688" t="s">
        <v>1108</v>
      </c>
      <c r="J688" t="s">
        <v>16717</v>
      </c>
      <c r="K688" t="s">
        <v>16718</v>
      </c>
      <c r="L688" t="s">
        <v>21</v>
      </c>
      <c r="M688" t="s">
        <v>19177</v>
      </c>
      <c r="N688" t="s">
        <v>16374</v>
      </c>
      <c r="O688" t="s">
        <v>272</v>
      </c>
      <c r="P688" t="s">
        <v>114</v>
      </c>
    </row>
    <row r="689">
      <c r="A689">
        <f>HYPERLINK("http://bombeiros.sp.gov.br/hidrantes/03individual/27075.html","27075")</f>
      </c>
      <c r="B689" t="s">
        <v>114</v>
      </c>
      <c r="C689" t="s">
        <v>129</v>
      </c>
      <c r="D689" t="s">
        <v>129</v>
      </c>
      <c r="E689" t="s">
        <v>64</v>
      </c>
      <c r="F689" t="s">
        <v>16719</v>
      </c>
      <c r="G689" t="s">
        <v>18076</v>
      </c>
      <c r="H689" t="s">
        <v>1112</v>
      </c>
      <c r="I689" t="s">
        <v>1108</v>
      </c>
      <c r="J689" t="s">
        <v>16720</v>
      </c>
      <c r="K689" t="s">
        <v>16721</v>
      </c>
      <c r="L689" t="s">
        <v>21</v>
      </c>
      <c r="M689" t="s">
        <v>19177</v>
      </c>
      <c r="N689" t="s">
        <v>16374</v>
      </c>
      <c r="O689" t="s">
        <v>272</v>
      </c>
      <c r="P689" t="s">
        <v>114</v>
      </c>
    </row>
    <row r="690">
      <c r="A690">
        <f>HYPERLINK("http://bombeiros.sp.gov.br/hidrantes/03individual/27290.html","27290")</f>
      </c>
      <c r="B690" t="s">
        <v>114</v>
      </c>
      <c r="C690" t="s">
        <v>129</v>
      </c>
      <c r="D690" t="s">
        <v>129</v>
      </c>
      <c r="E690" t="s">
        <v>64</v>
      </c>
      <c r="F690" t="s">
        <v>17039</v>
      </c>
      <c r="G690" t="s">
        <v>18072</v>
      </c>
      <c r="H690" t="s">
        <v>1107</v>
      </c>
      <c r="I690" t="s">
        <v>1108</v>
      </c>
      <c r="J690" t="s">
        <v>17040</v>
      </c>
      <c r="K690" t="s">
        <v>17041</v>
      </c>
      <c r="L690" t="s">
        <v>21</v>
      </c>
      <c r="M690" t="s">
        <v>19177</v>
      </c>
      <c r="N690" t="s">
        <v>16374</v>
      </c>
      <c r="O690" t="s">
        <v>272</v>
      </c>
      <c r="P690" t="s">
        <v>114</v>
      </c>
    </row>
    <row r="691">
      <c r="A691">
        <f>HYPERLINK("http://bombeiros.sp.gov.br/hidrantes/03individual/27292.html","27292")</f>
      </c>
      <c r="B691" t="s">
        <v>114</v>
      </c>
      <c r="C691" t="s">
        <v>129</v>
      </c>
      <c r="D691" t="s">
        <v>129</v>
      </c>
      <c r="E691" t="s">
        <v>64</v>
      </c>
      <c r="F691" t="s">
        <v>17042</v>
      </c>
      <c r="G691" t="s">
        <v>18192</v>
      </c>
      <c r="H691" t="s">
        <v>1112</v>
      </c>
      <c r="I691" t="s">
        <v>1108</v>
      </c>
      <c r="J691" t="s">
        <v>17043</v>
      </c>
      <c r="K691" t="s">
        <v>17044</v>
      </c>
      <c r="L691" t="s">
        <v>21</v>
      </c>
      <c r="M691" t="s">
        <v>19177</v>
      </c>
      <c r="N691" t="s">
        <v>16374</v>
      </c>
      <c r="O691" t="s">
        <v>272</v>
      </c>
      <c r="P691" t="s">
        <v>114</v>
      </c>
    </row>
    <row r="692">
      <c r="A692">
        <f>HYPERLINK("http://bombeiros.sp.gov.br/hidrantes/03individual/1801.html","1801")</f>
      </c>
      <c r="B692" t="s">
        <v>114</v>
      </c>
      <c r="C692" t="s">
        <v>129</v>
      </c>
      <c r="D692" t="s">
        <v>129</v>
      </c>
      <c r="E692" t="s">
        <v>15</v>
      </c>
      <c r="F692" t="s">
        <v>3165</v>
      </c>
      <c r="G692" t="s">
        <v>18192</v>
      </c>
      <c r="H692" t="s">
        <v>1107</v>
      </c>
      <c r="I692" t="s">
        <v>1108</v>
      </c>
      <c r="J692" t="s">
        <v>3166</v>
      </c>
      <c r="K692" t="s">
        <v>3167</v>
      </c>
      <c r="L692" t="s">
        <v>21</v>
      </c>
      <c r="M692" t="s">
        <v>19177</v>
      </c>
      <c r="N692" t="s">
        <v>16374</v>
      </c>
      <c r="O692" t="s">
        <v>272</v>
      </c>
      <c r="P692" t="s">
        <v>114</v>
      </c>
    </row>
    <row r="693">
      <c r="A693">
        <f>HYPERLINK("http://bombeiros.sp.gov.br/hidrantes/03individual/1870.html","1870")</f>
      </c>
      <c r="B693" t="s">
        <v>114</v>
      </c>
      <c r="C693" t="s">
        <v>129</v>
      </c>
      <c r="D693" t="s">
        <v>129</v>
      </c>
      <c r="E693" t="s">
        <v>15</v>
      </c>
      <c r="F693" t="s">
        <v>3168</v>
      </c>
      <c r="G693" t="s">
        <v>18055</v>
      </c>
      <c r="H693" t="s">
        <v>1121</v>
      </c>
      <c r="I693" t="s">
        <v>1117</v>
      </c>
      <c r="J693" t="s">
        <v>3169</v>
      </c>
      <c r="K693" t="s">
        <v>3170</v>
      </c>
      <c r="L693" t="s">
        <v>21</v>
      </c>
      <c r="M693" t="s">
        <v>19177</v>
      </c>
      <c r="N693" t="s">
        <v>16374</v>
      </c>
      <c r="O693" t="s">
        <v>272</v>
      </c>
      <c r="P693" t="s">
        <v>114</v>
      </c>
    </row>
    <row r="694">
      <c r="A694">
        <f>HYPERLINK("http://bombeiros.sp.gov.br/hidrantes/03individual/1871.html","1871")</f>
      </c>
      <c r="B694" t="s">
        <v>114</v>
      </c>
      <c r="C694" t="s">
        <v>129</v>
      </c>
      <c r="D694" t="s">
        <v>129</v>
      </c>
      <c r="E694" t="s">
        <v>15</v>
      </c>
      <c r="F694" t="s">
        <v>3171</v>
      </c>
      <c r="G694" t="s">
        <v>18055</v>
      </c>
      <c r="H694" t="s">
        <v>1107</v>
      </c>
      <c r="I694" t="s">
        <v>1108</v>
      </c>
      <c r="J694" t="s">
        <v>3172</v>
      </c>
      <c r="K694" t="s">
        <v>3173</v>
      </c>
      <c r="L694" t="s">
        <v>21</v>
      </c>
      <c r="M694" t="s">
        <v>19177</v>
      </c>
      <c r="N694" t="s">
        <v>16374</v>
      </c>
      <c r="O694" t="s">
        <v>272</v>
      </c>
      <c r="P694" t="s">
        <v>114</v>
      </c>
    </row>
    <row r="695">
      <c r="A695">
        <f>HYPERLINK("http://bombeiros.sp.gov.br/hidrantes/03individual/1914.html","1914")</f>
      </c>
      <c r="B695" t="s">
        <v>114</v>
      </c>
      <c r="C695" t="s">
        <v>129</v>
      </c>
      <c r="D695" t="s">
        <v>129</v>
      </c>
      <c r="E695" t="s">
        <v>15</v>
      </c>
      <c r="F695" t="s">
        <v>3174</v>
      </c>
      <c r="G695" t="s">
        <v>18051</v>
      </c>
      <c r="H695" t="s">
        <v>1112</v>
      </c>
      <c r="I695" t="s">
        <v>1108</v>
      </c>
      <c r="J695" t="s">
        <v>3175</v>
      </c>
      <c r="K695" t="s">
        <v>3176</v>
      </c>
      <c r="L695" t="s">
        <v>21</v>
      </c>
      <c r="M695" t="s">
        <v>19177</v>
      </c>
      <c r="N695" t="s">
        <v>16374</v>
      </c>
      <c r="O695" t="s">
        <v>272</v>
      </c>
      <c r="P695" t="s">
        <v>114</v>
      </c>
    </row>
    <row r="696">
      <c r="A696">
        <f>HYPERLINK("http://bombeiros.sp.gov.br/hidrantes/03individual/1937.html","1937")</f>
      </c>
      <c r="B696" t="s">
        <v>114</v>
      </c>
      <c r="C696" t="s">
        <v>129</v>
      </c>
      <c r="D696" t="s">
        <v>129</v>
      </c>
      <c r="E696" t="s">
        <v>15</v>
      </c>
      <c r="F696" t="s">
        <v>3177</v>
      </c>
      <c r="G696" t="s">
        <v>18555</v>
      </c>
      <c r="H696"/>
      <c r="I696" t="s">
        <v>18</v>
      </c>
      <c r="J696" t="s">
        <v>3178</v>
      </c>
      <c r="K696" t="s">
        <v>3179</v>
      </c>
      <c r="L696" t="s">
        <v>21</v>
      </c>
      <c r="M696" t="s">
        <v>19177</v>
      </c>
      <c r="N696" t="s">
        <v>16374</v>
      </c>
      <c r="O696" t="s">
        <v>272</v>
      </c>
      <c r="P696" t="s">
        <v>114</v>
      </c>
    </row>
    <row r="697">
      <c r="A697">
        <f>HYPERLINK("http://bombeiros.sp.gov.br/hidrantes/03individual/1959.html","1959")</f>
      </c>
      <c r="B697" t="s">
        <v>114</v>
      </c>
      <c r="C697" t="s">
        <v>129</v>
      </c>
      <c r="D697" t="s">
        <v>129</v>
      </c>
      <c r="E697" t="s">
        <v>15</v>
      </c>
      <c r="F697" t="s">
        <v>3180</v>
      </c>
      <c r="G697" t="s">
        <v>18555</v>
      </c>
      <c r="H697" t="s">
        <v>1112</v>
      </c>
      <c r="I697" t="s">
        <v>1108</v>
      </c>
      <c r="J697" t="s">
        <v>3181</v>
      </c>
      <c r="K697" t="s">
        <v>3182</v>
      </c>
      <c r="L697" t="s">
        <v>21</v>
      </c>
      <c r="M697" t="s">
        <v>19177</v>
      </c>
      <c r="N697" t="s">
        <v>16374</v>
      </c>
      <c r="O697" t="s">
        <v>272</v>
      </c>
      <c r="P697" t="s">
        <v>114</v>
      </c>
    </row>
    <row r="698">
      <c r="A698">
        <f>HYPERLINK("http://bombeiros.sp.gov.br/hidrantes/03individual/3390.html","3390")</f>
      </c>
      <c r="B698" t="s">
        <v>114</v>
      </c>
      <c r="C698" t="s">
        <v>129</v>
      </c>
      <c r="D698" t="s">
        <v>129</v>
      </c>
      <c r="E698" t="s">
        <v>15</v>
      </c>
      <c r="F698" t="s">
        <v>3168</v>
      </c>
      <c r="G698" t="s">
        <v>18075</v>
      </c>
      <c r="H698" t="s">
        <v>1174</v>
      </c>
      <c r="I698" t="s">
        <v>1117</v>
      </c>
      <c r="J698" t="s">
        <v>3183</v>
      </c>
      <c r="K698" t="s">
        <v>3184</v>
      </c>
      <c r="L698" t="s">
        <v>21</v>
      </c>
      <c r="M698" t="s">
        <v>19177</v>
      </c>
      <c r="N698" t="s">
        <v>16374</v>
      </c>
      <c r="O698" t="s">
        <v>272</v>
      </c>
      <c r="P698" t="s">
        <v>114</v>
      </c>
    </row>
    <row r="699">
      <c r="A699">
        <f>HYPERLINK("http://bombeiros.sp.gov.br/hidrantes/03individual/3392.html","3392")</f>
      </c>
      <c r="B699" t="s">
        <v>114</v>
      </c>
      <c r="C699" t="s">
        <v>129</v>
      </c>
      <c r="D699" t="s">
        <v>129</v>
      </c>
      <c r="E699" t="s">
        <v>15</v>
      </c>
      <c r="F699" t="s">
        <v>3185</v>
      </c>
      <c r="G699" t="s">
        <v>18051</v>
      </c>
      <c r="H699" t="s">
        <v>1107</v>
      </c>
      <c r="I699" t="s">
        <v>1108</v>
      </c>
      <c r="J699" t="s">
        <v>3186</v>
      </c>
      <c r="K699" t="s">
        <v>3187</v>
      </c>
      <c r="L699" t="s">
        <v>21</v>
      </c>
      <c r="M699" t="s">
        <v>19177</v>
      </c>
      <c r="N699" t="s">
        <v>16374</v>
      </c>
      <c r="O699" t="s">
        <v>272</v>
      </c>
      <c r="P699" t="s">
        <v>114</v>
      </c>
    </row>
    <row r="700">
      <c r="A700">
        <f>HYPERLINK("http://bombeiros.sp.gov.br/hidrantes/03individual/3417.html","3417")</f>
      </c>
      <c r="B700" t="s">
        <v>114</v>
      </c>
      <c r="C700" t="s">
        <v>129</v>
      </c>
      <c r="D700" t="s">
        <v>129</v>
      </c>
      <c r="E700" t="s">
        <v>15</v>
      </c>
      <c r="F700" t="s">
        <v>3188</v>
      </c>
      <c r="G700" t="s">
        <v>18051</v>
      </c>
      <c r="H700" t="s">
        <v>1112</v>
      </c>
      <c r="I700" t="s">
        <v>1108</v>
      </c>
      <c r="J700" t="s">
        <v>3189</v>
      </c>
      <c r="K700" t="s">
        <v>3190</v>
      </c>
      <c r="L700" t="s">
        <v>21</v>
      </c>
      <c r="M700" t="s">
        <v>19177</v>
      </c>
      <c r="N700" t="s">
        <v>16374</v>
      </c>
      <c r="O700" t="s">
        <v>272</v>
      </c>
      <c r="P700" t="s">
        <v>114</v>
      </c>
    </row>
    <row r="701">
      <c r="A701">
        <f>HYPERLINK("http://bombeiros.sp.gov.br/hidrantes/03individual/3418.html","3418")</f>
      </c>
      <c r="B701" t="s">
        <v>114</v>
      </c>
      <c r="C701" t="s">
        <v>129</v>
      </c>
      <c r="D701" t="s">
        <v>129</v>
      </c>
      <c r="E701" t="s">
        <v>15</v>
      </c>
      <c r="F701" t="s">
        <v>3191</v>
      </c>
      <c r="G701" t="s">
        <v>18555</v>
      </c>
      <c r="H701" t="s">
        <v>1112</v>
      </c>
      <c r="I701" t="s">
        <v>1108</v>
      </c>
      <c r="J701" t="s">
        <v>3192</v>
      </c>
      <c r="K701" t="s">
        <v>3193</v>
      </c>
      <c r="L701" t="s">
        <v>21</v>
      </c>
      <c r="M701" t="s">
        <v>19177</v>
      </c>
      <c r="N701" t="s">
        <v>16374</v>
      </c>
      <c r="O701" t="s">
        <v>272</v>
      </c>
      <c r="P701" t="s">
        <v>114</v>
      </c>
    </row>
    <row r="702">
      <c r="A702">
        <f>HYPERLINK("http://bombeiros.sp.gov.br/hidrantes/03individual/3419.html","3419")</f>
      </c>
      <c r="B702" t="s">
        <v>114</v>
      </c>
      <c r="C702" t="s">
        <v>129</v>
      </c>
      <c r="D702" t="s">
        <v>129</v>
      </c>
      <c r="E702" t="s">
        <v>15</v>
      </c>
      <c r="F702" t="s">
        <v>3194</v>
      </c>
      <c r="G702" t="s">
        <v>18192</v>
      </c>
      <c r="H702" t="s">
        <v>1121</v>
      </c>
      <c r="I702" t="s">
        <v>1117</v>
      </c>
      <c r="J702" t="s">
        <v>3195</v>
      </c>
      <c r="K702" t="s">
        <v>3196</v>
      </c>
      <c r="L702" t="s">
        <v>21</v>
      </c>
      <c r="M702" t="s">
        <v>19177</v>
      </c>
      <c r="N702" t="s">
        <v>16374</v>
      </c>
      <c r="O702" t="s">
        <v>272</v>
      </c>
      <c r="P702" t="s">
        <v>114</v>
      </c>
    </row>
    <row r="703">
      <c r="A703">
        <f>HYPERLINK("http://bombeiros.sp.gov.br/hidrantes/03individual/3420.html","3420")</f>
      </c>
      <c r="B703" t="s">
        <v>114</v>
      </c>
      <c r="C703" t="s">
        <v>129</v>
      </c>
      <c r="D703" t="s">
        <v>129</v>
      </c>
      <c r="E703" t="s">
        <v>15</v>
      </c>
      <c r="F703" t="s">
        <v>3197</v>
      </c>
      <c r="G703" t="s">
        <v>18055</v>
      </c>
      <c r="H703" t="s">
        <v>1112</v>
      </c>
      <c r="I703" t="s">
        <v>1108</v>
      </c>
      <c r="J703" t="s">
        <v>3198</v>
      </c>
      <c r="K703" t="s">
        <v>3199</v>
      </c>
      <c r="L703" t="s">
        <v>21</v>
      </c>
      <c r="M703" t="s">
        <v>19177</v>
      </c>
      <c r="N703" t="s">
        <v>16374</v>
      </c>
      <c r="O703" t="s">
        <v>272</v>
      </c>
      <c r="P703" t="s">
        <v>114</v>
      </c>
    </row>
    <row r="704">
      <c r="A704">
        <f>HYPERLINK("http://bombeiros.sp.gov.br/hidrantes/03individual/4160.html","4160")</f>
      </c>
      <c r="B704" t="s">
        <v>114</v>
      </c>
      <c r="C704" t="s">
        <v>129</v>
      </c>
      <c r="D704" t="s">
        <v>129</v>
      </c>
      <c r="E704" t="s">
        <v>15</v>
      </c>
      <c r="F704" t="s">
        <v>3200</v>
      </c>
      <c r="G704" t="s">
        <v>18077</v>
      </c>
      <c r="H704" t="s">
        <v>1112</v>
      </c>
      <c r="I704" t="s">
        <v>1108</v>
      </c>
      <c r="J704" t="s">
        <v>3202</v>
      </c>
      <c r="K704" t="s">
        <v>3203</v>
      </c>
      <c r="L704" t="s">
        <v>21</v>
      </c>
      <c r="M704" t="s">
        <v>19177</v>
      </c>
      <c r="N704" t="s">
        <v>16374</v>
      </c>
      <c r="O704" t="s">
        <v>272</v>
      </c>
      <c r="P704" t="s">
        <v>114</v>
      </c>
    </row>
    <row r="705">
      <c r="A705">
        <f>HYPERLINK("http://bombeiros.sp.gov.br/hidrantes/03individual/4169.html","4169")</f>
      </c>
      <c r="B705" t="s">
        <v>114</v>
      </c>
      <c r="C705" t="s">
        <v>129</v>
      </c>
      <c r="D705" t="s">
        <v>129</v>
      </c>
      <c r="E705" t="s">
        <v>15</v>
      </c>
      <c r="F705" t="s">
        <v>3204</v>
      </c>
      <c r="G705" t="s">
        <v>18488</v>
      </c>
      <c r="H705"/>
      <c r="I705" t="s">
        <v>18</v>
      </c>
      <c r="J705" t="s">
        <v>3205</v>
      </c>
      <c r="K705" t="s">
        <v>3206</v>
      </c>
      <c r="L705" t="s">
        <v>21</v>
      </c>
      <c r="M705" t="s">
        <v>19177</v>
      </c>
      <c r="N705" t="s">
        <v>16374</v>
      </c>
      <c r="O705" t="s">
        <v>272</v>
      </c>
      <c r="P705" t="s">
        <v>114</v>
      </c>
    </row>
    <row r="706">
      <c r="A706">
        <f>HYPERLINK("http://bombeiros.sp.gov.br/hidrantes/03individual/4170.html","4170")</f>
      </c>
      <c r="B706" t="s">
        <v>114</v>
      </c>
      <c r="C706" t="s">
        <v>129</v>
      </c>
      <c r="D706" t="s">
        <v>129</v>
      </c>
      <c r="E706" t="s">
        <v>15</v>
      </c>
      <c r="F706" t="s">
        <v>3207</v>
      </c>
      <c r="G706" t="s">
        <v>18488</v>
      </c>
      <c r="H706" t="s">
        <v>1112</v>
      </c>
      <c r="I706" t="s">
        <v>1108</v>
      </c>
      <c r="J706" t="s">
        <v>3208</v>
      </c>
      <c r="K706" t="s">
        <v>3209</v>
      </c>
      <c r="L706" t="s">
        <v>21</v>
      </c>
      <c r="M706" t="s">
        <v>19177</v>
      </c>
      <c r="N706" t="s">
        <v>16374</v>
      </c>
      <c r="O706" t="s">
        <v>272</v>
      </c>
      <c r="P706" t="s">
        <v>114</v>
      </c>
    </row>
    <row r="707">
      <c r="A707">
        <f>HYPERLINK("http://bombeiros.sp.gov.br/hidrantes/03individual/4171.html","4171")</f>
      </c>
      <c r="B707" t="s">
        <v>114</v>
      </c>
      <c r="C707" t="s">
        <v>129</v>
      </c>
      <c r="D707" t="s">
        <v>129</v>
      </c>
      <c r="E707" t="s">
        <v>15</v>
      </c>
      <c r="F707" t="s">
        <v>3210</v>
      </c>
      <c r="G707" t="s">
        <v>18488</v>
      </c>
      <c r="H707" t="s">
        <v>1107</v>
      </c>
      <c r="I707" t="s">
        <v>1108</v>
      </c>
      <c r="J707" t="s">
        <v>3211</v>
      </c>
      <c r="K707" t="s">
        <v>3212</v>
      </c>
      <c r="L707" t="s">
        <v>21</v>
      </c>
      <c r="M707" t="s">
        <v>19177</v>
      </c>
      <c r="N707" t="s">
        <v>16374</v>
      </c>
      <c r="O707" t="s">
        <v>272</v>
      </c>
      <c r="P707" t="s">
        <v>114</v>
      </c>
    </row>
    <row r="708">
      <c r="A708">
        <f>HYPERLINK("http://bombeiros.sp.gov.br/hidrantes/03individual/17773.html","17773")</f>
      </c>
      <c r="B708" t="s">
        <v>114</v>
      </c>
      <c r="C708" t="s">
        <v>129</v>
      </c>
      <c r="D708" t="s">
        <v>129</v>
      </c>
      <c r="E708" t="s">
        <v>15</v>
      </c>
      <c r="F708" t="s">
        <v>3213</v>
      </c>
      <c r="G708" t="s">
        <v>18488</v>
      </c>
      <c r="H708" t="s">
        <v>1112</v>
      </c>
      <c r="I708" t="s">
        <v>1108</v>
      </c>
      <c r="J708" t="s">
        <v>3214</v>
      </c>
      <c r="K708" t="s">
        <v>3215</v>
      </c>
      <c r="L708" t="s">
        <v>21</v>
      </c>
      <c r="M708" t="s">
        <v>19177</v>
      </c>
      <c r="N708" t="s">
        <v>16374</v>
      </c>
      <c r="O708" t="s">
        <v>272</v>
      </c>
      <c r="P708" t="s">
        <v>114</v>
      </c>
    </row>
    <row r="709">
      <c r="A709">
        <f>HYPERLINK("http://bombeiros.sp.gov.br/hidrantes/03individual/17799.html","17799")</f>
      </c>
      <c r="B709" t="s">
        <v>114</v>
      </c>
      <c r="C709" t="s">
        <v>129</v>
      </c>
      <c r="D709" t="s">
        <v>129</v>
      </c>
      <c r="E709" t="s">
        <v>15</v>
      </c>
      <c r="F709" t="s">
        <v>3216</v>
      </c>
      <c r="G709" t="s">
        <v>18042</v>
      </c>
      <c r="H709" t="s">
        <v>1112</v>
      </c>
      <c r="I709" t="s">
        <v>1108</v>
      </c>
      <c r="J709" t="s">
        <v>3217</v>
      </c>
      <c r="K709" t="s">
        <v>3218</v>
      </c>
      <c r="L709" t="s">
        <v>21</v>
      </c>
      <c r="M709" t="s">
        <v>19177</v>
      </c>
      <c r="N709" t="s">
        <v>16374</v>
      </c>
      <c r="O709" t="s">
        <v>272</v>
      </c>
      <c r="P709" t="s">
        <v>114</v>
      </c>
    </row>
    <row r="710">
      <c r="A710">
        <f>HYPERLINK("http://bombeiros.sp.gov.br/hidrantes/03individual/17800.html","17800")</f>
      </c>
      <c r="B710" t="s">
        <v>114</v>
      </c>
      <c r="C710" t="s">
        <v>129</v>
      </c>
      <c r="D710" t="s">
        <v>129</v>
      </c>
      <c r="E710" t="s">
        <v>15</v>
      </c>
      <c r="F710" t="s">
        <v>3219</v>
      </c>
      <c r="G710" t="s">
        <v>18518</v>
      </c>
      <c r="H710" t="s">
        <v>1112</v>
      </c>
      <c r="I710" t="s">
        <v>1108</v>
      </c>
      <c r="J710" t="s">
        <v>3220</v>
      </c>
      <c r="K710" t="s">
        <v>3221</v>
      </c>
      <c r="L710" t="s">
        <v>21</v>
      </c>
      <c r="M710" t="s">
        <v>19177</v>
      </c>
      <c r="N710" t="s">
        <v>16374</v>
      </c>
      <c r="O710" t="s">
        <v>272</v>
      </c>
      <c r="P710" t="s">
        <v>114</v>
      </c>
    </row>
    <row r="711">
      <c r="A711">
        <f>HYPERLINK("http://bombeiros.sp.gov.br/hidrantes/03individual/26890.html","26890")</f>
      </c>
      <c r="B711" t="s">
        <v>114</v>
      </c>
      <c r="C711" t="s">
        <v>129</v>
      </c>
      <c r="D711" t="s">
        <v>129</v>
      </c>
      <c r="E711" t="s">
        <v>15</v>
      </c>
      <c r="F711" t="s">
        <v>16308</v>
      </c>
      <c r="G711" t="s">
        <v>18555</v>
      </c>
      <c r="H711" t="s">
        <v>1121</v>
      </c>
      <c r="I711" t="s">
        <v>1117</v>
      </c>
      <c r="J711" t="s">
        <v>16309</v>
      </c>
      <c r="K711" t="s">
        <v>16310</v>
      </c>
      <c r="L711" t="s">
        <v>21</v>
      </c>
      <c r="M711" t="s">
        <v>19177</v>
      </c>
      <c r="N711" t="s">
        <v>16374</v>
      </c>
      <c r="O711" t="s">
        <v>272</v>
      </c>
      <c r="P711" t="s">
        <v>114</v>
      </c>
    </row>
    <row r="712">
      <c r="A712">
        <f>HYPERLINK("http://bombeiros.sp.gov.br/hidrantes/03individual/1362.html","1362")</f>
      </c>
      <c r="B712" t="s">
        <v>114</v>
      </c>
      <c r="C712" t="s">
        <v>129</v>
      </c>
      <c r="D712" t="s">
        <v>3222</v>
      </c>
      <c r="E712" t="s">
        <v>64</v>
      </c>
      <c r="F712" t="s">
        <v>3223</v>
      </c>
      <c r="G712" t="s">
        <v>18085</v>
      </c>
      <c r="H712" t="s">
        <v>1112</v>
      </c>
      <c r="I712" t="s">
        <v>1108</v>
      </c>
      <c r="J712" t="s">
        <v>3224</v>
      </c>
      <c r="K712" t="s">
        <v>3225</v>
      </c>
      <c r="L712" t="s">
        <v>21</v>
      </c>
      <c r="M712" t="s">
        <v>19177</v>
      </c>
      <c r="N712" t="s">
        <v>309</v>
      </c>
      <c r="O712" t="s">
        <v>6029</v>
      </c>
      <c r="P712" t="s">
        <v>114</v>
      </c>
    </row>
    <row r="713">
      <c r="A713">
        <f>HYPERLINK("http://bombeiros.sp.gov.br/hidrantes/03individual/3393.html","3393")</f>
      </c>
      <c r="B713" t="s">
        <v>114</v>
      </c>
      <c r="C713" t="s">
        <v>129</v>
      </c>
      <c r="D713" t="s">
        <v>3222</v>
      </c>
      <c r="E713" t="s">
        <v>64</v>
      </c>
      <c r="F713" t="s">
        <v>3226</v>
      </c>
      <c r="G713" t="s">
        <v>18085</v>
      </c>
      <c r="H713" t="s">
        <v>1112</v>
      </c>
      <c r="I713" t="s">
        <v>1108</v>
      </c>
      <c r="J713" t="s">
        <v>3227</v>
      </c>
      <c r="K713" t="s">
        <v>3228</v>
      </c>
      <c r="L713" t="s">
        <v>36</v>
      </c>
      <c r="M713" t="s">
        <v>19177</v>
      </c>
      <c r="N713" t="s">
        <v>309</v>
      </c>
      <c r="O713" t="s">
        <v>6029</v>
      </c>
      <c r="P713" t="s">
        <v>114</v>
      </c>
    </row>
    <row r="714">
      <c r="A714">
        <f>HYPERLINK("http://bombeiros.sp.gov.br/hidrantes/03individual/3421.html","3421")</f>
      </c>
      <c r="B714" t="s">
        <v>114</v>
      </c>
      <c r="C714" t="s">
        <v>129</v>
      </c>
      <c r="D714" t="s">
        <v>3222</v>
      </c>
      <c r="E714" t="s">
        <v>64</v>
      </c>
      <c r="F714" t="s">
        <v>3229</v>
      </c>
      <c r="G714" t="s">
        <v>18065</v>
      </c>
      <c r="H714" t="s">
        <v>1121</v>
      </c>
      <c r="I714" t="s">
        <v>1117</v>
      </c>
      <c r="J714" t="s">
        <v>3230</v>
      </c>
      <c r="K714" t="s">
        <v>3231</v>
      </c>
      <c r="L714" t="s">
        <v>21</v>
      </c>
      <c r="M714" t="s">
        <v>19177</v>
      </c>
      <c r="N714" t="s">
        <v>16374</v>
      </c>
      <c r="O714" t="s">
        <v>272</v>
      </c>
      <c r="P714" t="s">
        <v>114</v>
      </c>
    </row>
    <row r="715">
      <c r="A715">
        <f>HYPERLINK("http://bombeiros.sp.gov.br/hidrantes/03individual/3429.html","3429")</f>
      </c>
      <c r="B715" t="s">
        <v>114</v>
      </c>
      <c r="C715" t="s">
        <v>129</v>
      </c>
      <c r="D715" t="s">
        <v>3222</v>
      </c>
      <c r="E715" t="s">
        <v>64</v>
      </c>
      <c r="F715" t="s">
        <v>3232</v>
      </c>
      <c r="G715" t="s">
        <v>18085</v>
      </c>
      <c r="H715" t="s">
        <v>1112</v>
      </c>
      <c r="I715" t="s">
        <v>1108</v>
      </c>
      <c r="J715" t="s">
        <v>3233</v>
      </c>
      <c r="K715" t="s">
        <v>3234</v>
      </c>
      <c r="L715" t="s">
        <v>36</v>
      </c>
      <c r="M715" t="s">
        <v>19177</v>
      </c>
      <c r="N715" t="s">
        <v>16374</v>
      </c>
      <c r="O715" t="s">
        <v>272</v>
      </c>
      <c r="P715" t="s">
        <v>114</v>
      </c>
    </row>
    <row r="716">
      <c r="A716">
        <f>HYPERLINK("http://bombeiros.sp.gov.br/hidrantes/03individual/3433.html","3433")</f>
      </c>
      <c r="B716" t="s">
        <v>114</v>
      </c>
      <c r="C716" t="s">
        <v>129</v>
      </c>
      <c r="D716" t="s">
        <v>3222</v>
      </c>
      <c r="E716" t="s">
        <v>64</v>
      </c>
      <c r="F716" t="s">
        <v>3235</v>
      </c>
      <c r="G716" t="s">
        <v>18085</v>
      </c>
      <c r="H716" t="s">
        <v>1107</v>
      </c>
      <c r="I716" t="s">
        <v>1108</v>
      </c>
      <c r="J716" t="s">
        <v>3236</v>
      </c>
      <c r="K716" t="s">
        <v>3237</v>
      </c>
      <c r="L716" t="s">
        <v>21</v>
      </c>
      <c r="M716" t="s">
        <v>19177</v>
      </c>
      <c r="N716" t="s">
        <v>309</v>
      </c>
      <c r="O716" t="s">
        <v>6029</v>
      </c>
      <c r="P716" t="s">
        <v>114</v>
      </c>
    </row>
    <row r="717">
      <c r="A717">
        <f>HYPERLINK("http://bombeiros.sp.gov.br/hidrantes/03individual/3436.html","3436")</f>
      </c>
      <c r="B717" t="s">
        <v>114</v>
      </c>
      <c r="C717" t="s">
        <v>129</v>
      </c>
      <c r="D717" t="s">
        <v>3222</v>
      </c>
      <c r="E717" t="s">
        <v>64</v>
      </c>
      <c r="F717" t="s">
        <v>3238</v>
      </c>
      <c r="G717" t="s">
        <v>18085</v>
      </c>
      <c r="H717" t="s">
        <v>1112</v>
      </c>
      <c r="I717" t="s">
        <v>1108</v>
      </c>
      <c r="J717" t="s">
        <v>3239</v>
      </c>
      <c r="K717" t="s">
        <v>3240</v>
      </c>
      <c r="L717" t="s">
        <v>36</v>
      </c>
      <c r="M717" t="s">
        <v>19177</v>
      </c>
      <c r="N717" t="s">
        <v>309</v>
      </c>
      <c r="O717" t="s">
        <v>6029</v>
      </c>
      <c r="P717" t="s">
        <v>114</v>
      </c>
    </row>
    <row r="718">
      <c r="A718">
        <f>HYPERLINK("http://bombeiros.sp.gov.br/hidrantes/03individual/3464.html","3464")</f>
      </c>
      <c r="B718" t="s">
        <v>114</v>
      </c>
      <c r="C718" t="s">
        <v>129</v>
      </c>
      <c r="D718" t="s">
        <v>3222</v>
      </c>
      <c r="E718" t="s">
        <v>64</v>
      </c>
      <c r="F718" t="s">
        <v>3241</v>
      </c>
      <c r="G718" t="s">
        <v>18085</v>
      </c>
      <c r="H718" t="s">
        <v>1112</v>
      </c>
      <c r="I718" t="s">
        <v>1108</v>
      </c>
      <c r="J718" t="s">
        <v>3242</v>
      </c>
      <c r="K718" t="s">
        <v>3243</v>
      </c>
      <c r="L718" t="s">
        <v>36</v>
      </c>
      <c r="M718" t="s">
        <v>19177</v>
      </c>
      <c r="N718" t="s">
        <v>309</v>
      </c>
      <c r="O718" t="s">
        <v>6029</v>
      </c>
      <c r="P718" t="s">
        <v>114</v>
      </c>
    </row>
    <row r="719">
      <c r="A719">
        <f>HYPERLINK("http://bombeiros.sp.gov.br/hidrantes/03individual/1843.html","1843")</f>
      </c>
      <c r="B719" t="s">
        <v>114</v>
      </c>
      <c r="C719" t="s">
        <v>129</v>
      </c>
      <c r="D719" t="s">
        <v>3222</v>
      </c>
      <c r="E719" t="s">
        <v>15</v>
      </c>
      <c r="F719" t="s">
        <v>3244</v>
      </c>
      <c r="G719" t="s">
        <v>18093</v>
      </c>
      <c r="H719" t="s">
        <v>1107</v>
      </c>
      <c r="I719" t="s">
        <v>1108</v>
      </c>
      <c r="J719" t="s">
        <v>3245</v>
      </c>
      <c r="K719" t="s">
        <v>3246</v>
      </c>
      <c r="L719" t="s">
        <v>21</v>
      </c>
      <c r="M719" t="s">
        <v>19177</v>
      </c>
      <c r="N719" t="s">
        <v>309</v>
      </c>
      <c r="O719" t="s">
        <v>6029</v>
      </c>
      <c r="P719" t="s">
        <v>114</v>
      </c>
    </row>
    <row r="720">
      <c r="A720">
        <f>HYPERLINK("http://bombeiros.sp.gov.br/hidrantes/03individual/1851.html","1851")</f>
      </c>
      <c r="B720" t="s">
        <v>114</v>
      </c>
      <c r="C720" t="s">
        <v>129</v>
      </c>
      <c r="D720" t="s">
        <v>3222</v>
      </c>
      <c r="E720" t="s">
        <v>15</v>
      </c>
      <c r="F720" t="s">
        <v>3247</v>
      </c>
      <c r="G720" t="s">
        <v>18104</v>
      </c>
      <c r="H720" t="s">
        <v>1112</v>
      </c>
      <c r="I720" t="s">
        <v>1108</v>
      </c>
      <c r="J720" t="s">
        <v>16545</v>
      </c>
      <c r="K720" t="s">
        <v>16546</v>
      </c>
      <c r="L720" t="s">
        <v>21</v>
      </c>
      <c r="M720" t="s">
        <v>19177</v>
      </c>
      <c r="N720" t="s">
        <v>16374</v>
      </c>
      <c r="O720" t="s">
        <v>272</v>
      </c>
      <c r="P720" t="s">
        <v>114</v>
      </c>
    </row>
    <row r="721">
      <c r="A721">
        <f>HYPERLINK("http://bombeiros.sp.gov.br/hidrantes/03individual/1856.html","1856")</f>
      </c>
      <c r="B721" t="s">
        <v>114</v>
      </c>
      <c r="C721" t="s">
        <v>129</v>
      </c>
      <c r="D721" t="s">
        <v>3222</v>
      </c>
      <c r="E721" t="s">
        <v>15</v>
      </c>
      <c r="F721" t="s">
        <v>3250</v>
      </c>
      <c r="G721" t="s">
        <v>18057</v>
      </c>
      <c r="H721" t="s">
        <v>1107</v>
      </c>
      <c r="I721" t="s">
        <v>1108</v>
      </c>
      <c r="J721" t="s">
        <v>3251</v>
      </c>
      <c r="K721" t="s">
        <v>3252</v>
      </c>
      <c r="L721" t="s">
        <v>21</v>
      </c>
      <c r="M721" t="s">
        <v>19177</v>
      </c>
      <c r="N721" t="s">
        <v>16374</v>
      </c>
      <c r="O721" t="s">
        <v>272</v>
      </c>
      <c r="P721" t="s">
        <v>114</v>
      </c>
    </row>
    <row r="722">
      <c r="A722">
        <f>HYPERLINK("http://bombeiros.sp.gov.br/hidrantes/03individual/1858.html","1858")</f>
      </c>
      <c r="B722" t="s">
        <v>114</v>
      </c>
      <c r="C722" t="s">
        <v>129</v>
      </c>
      <c r="D722" t="s">
        <v>3222</v>
      </c>
      <c r="E722" t="s">
        <v>15</v>
      </c>
      <c r="F722" t="s">
        <v>3253</v>
      </c>
      <c r="G722" t="s">
        <v>18057</v>
      </c>
      <c r="H722" t="s">
        <v>1112</v>
      </c>
      <c r="I722" t="s">
        <v>1108</v>
      </c>
      <c r="J722" t="s">
        <v>3254</v>
      </c>
      <c r="K722" t="s">
        <v>3255</v>
      </c>
      <c r="L722" t="s">
        <v>21</v>
      </c>
      <c r="M722" t="s">
        <v>19177</v>
      </c>
      <c r="N722" t="s">
        <v>16374</v>
      </c>
      <c r="O722" t="s">
        <v>272</v>
      </c>
      <c r="P722" t="s">
        <v>114</v>
      </c>
    </row>
    <row r="723">
      <c r="A723">
        <f>HYPERLINK("http://bombeiros.sp.gov.br/hidrantes/03individual/1923.html","1923")</f>
      </c>
      <c r="B723" t="s">
        <v>114</v>
      </c>
      <c r="C723" t="s">
        <v>129</v>
      </c>
      <c r="D723" t="s">
        <v>3222</v>
      </c>
      <c r="E723" t="s">
        <v>15</v>
      </c>
      <c r="F723" t="s">
        <v>3256</v>
      </c>
      <c r="G723" t="s">
        <v>18065</v>
      </c>
      <c r="H723" t="s">
        <v>1107</v>
      </c>
      <c r="I723" t="s">
        <v>1108</v>
      </c>
      <c r="J723" t="s">
        <v>3257</v>
      </c>
      <c r="K723" t="s">
        <v>3258</v>
      </c>
      <c r="L723" t="s">
        <v>21</v>
      </c>
      <c r="M723" t="s">
        <v>19177</v>
      </c>
      <c r="N723" t="s">
        <v>16374</v>
      </c>
      <c r="O723" t="s">
        <v>272</v>
      </c>
      <c r="P723" t="s">
        <v>114</v>
      </c>
    </row>
    <row r="724">
      <c r="A724">
        <f>HYPERLINK("http://bombeiros.sp.gov.br/hidrantes/03individual/3434.html","3434")</f>
      </c>
      <c r="B724" t="s">
        <v>114</v>
      </c>
      <c r="C724" t="s">
        <v>129</v>
      </c>
      <c r="D724" t="s">
        <v>3222</v>
      </c>
      <c r="E724" t="s">
        <v>15</v>
      </c>
      <c r="F724" t="s">
        <v>3259</v>
      </c>
      <c r="G724" t="s">
        <v>18085</v>
      </c>
      <c r="H724" t="s">
        <v>1112</v>
      </c>
      <c r="I724" t="s">
        <v>1108</v>
      </c>
      <c r="J724" t="s">
        <v>3260</v>
      </c>
      <c r="K724" t="s">
        <v>3261</v>
      </c>
      <c r="L724" t="s">
        <v>36</v>
      </c>
      <c r="M724" t="s">
        <v>19177</v>
      </c>
      <c r="N724" t="s">
        <v>309</v>
      </c>
      <c r="O724" t="s">
        <v>6029</v>
      </c>
      <c r="P724" t="s">
        <v>114</v>
      </c>
    </row>
    <row r="725">
      <c r="A725">
        <f>HYPERLINK("http://bombeiros.sp.gov.br/hidrantes/03individual/3439.html","3439")</f>
      </c>
      <c r="B725" t="s">
        <v>114</v>
      </c>
      <c r="C725" t="s">
        <v>129</v>
      </c>
      <c r="D725" t="s">
        <v>3222</v>
      </c>
      <c r="E725" t="s">
        <v>15</v>
      </c>
      <c r="F725" t="s">
        <v>3262</v>
      </c>
      <c r="G725" t="s">
        <v>18057</v>
      </c>
      <c r="H725" t="s">
        <v>1112</v>
      </c>
      <c r="I725" t="s">
        <v>1108</v>
      </c>
      <c r="J725" t="s">
        <v>3263</v>
      </c>
      <c r="K725" t="s">
        <v>3264</v>
      </c>
      <c r="L725" t="s">
        <v>21</v>
      </c>
      <c r="M725" t="s">
        <v>19177</v>
      </c>
      <c r="N725" t="s">
        <v>16374</v>
      </c>
      <c r="O725" t="s">
        <v>272</v>
      </c>
      <c r="P725" t="s">
        <v>114</v>
      </c>
    </row>
    <row r="726">
      <c r="A726">
        <f>HYPERLINK("http://bombeiros.sp.gov.br/hidrantes/03individual/3457.html","3457")</f>
      </c>
      <c r="B726" t="s">
        <v>114</v>
      </c>
      <c r="C726" t="s">
        <v>129</v>
      </c>
      <c r="D726" t="s">
        <v>3222</v>
      </c>
      <c r="E726" t="s">
        <v>15</v>
      </c>
      <c r="F726" t="s">
        <v>3265</v>
      </c>
      <c r="G726" t="s">
        <v>18104</v>
      </c>
      <c r="H726" t="s">
        <v>1112</v>
      </c>
      <c r="I726" t="s">
        <v>1108</v>
      </c>
      <c r="J726" t="s">
        <v>3266</v>
      </c>
      <c r="K726" t="s">
        <v>3267</v>
      </c>
      <c r="L726" t="s">
        <v>21</v>
      </c>
      <c r="M726" t="s">
        <v>19177</v>
      </c>
      <c r="N726" t="s">
        <v>16374</v>
      </c>
      <c r="O726" t="s">
        <v>272</v>
      </c>
      <c r="P726" t="s">
        <v>114</v>
      </c>
    </row>
    <row r="727">
      <c r="A727">
        <f>HYPERLINK("http://bombeiros.sp.gov.br/hidrantes/03individual/3462.html","3462")</f>
      </c>
      <c r="B727" t="s">
        <v>114</v>
      </c>
      <c r="C727" t="s">
        <v>129</v>
      </c>
      <c r="D727" t="s">
        <v>3222</v>
      </c>
      <c r="E727" t="s">
        <v>15</v>
      </c>
      <c r="F727" t="s">
        <v>3268</v>
      </c>
      <c r="G727" t="s">
        <v>18104</v>
      </c>
      <c r="H727" t="s">
        <v>1121</v>
      </c>
      <c r="I727" t="s">
        <v>1117</v>
      </c>
      <c r="J727" t="s">
        <v>3269</v>
      </c>
      <c r="K727" t="s">
        <v>3270</v>
      </c>
      <c r="L727" t="s">
        <v>21</v>
      </c>
      <c r="M727" t="s">
        <v>19177</v>
      </c>
      <c r="N727" t="s">
        <v>16374</v>
      </c>
      <c r="O727" t="s">
        <v>272</v>
      </c>
      <c r="P727" t="s">
        <v>114</v>
      </c>
    </row>
    <row r="728">
      <c r="A728">
        <f>HYPERLINK("http://bombeiros.sp.gov.br/hidrantes/03individual/4189.html","4189")</f>
      </c>
      <c r="B728" t="s">
        <v>114</v>
      </c>
      <c r="C728" t="s">
        <v>129</v>
      </c>
      <c r="D728" t="s">
        <v>3222</v>
      </c>
      <c r="E728" t="s">
        <v>15</v>
      </c>
      <c r="F728" t="s">
        <v>3271</v>
      </c>
      <c r="G728" t="s">
        <v>18124</v>
      </c>
      <c r="H728" t="s">
        <v>1107</v>
      </c>
      <c r="I728" t="s">
        <v>1108</v>
      </c>
      <c r="J728" t="s">
        <v>3272</v>
      </c>
      <c r="K728" t="s">
        <v>3273</v>
      </c>
      <c r="L728" t="s">
        <v>21</v>
      </c>
      <c r="M728" t="s">
        <v>19177</v>
      </c>
      <c r="N728" t="s">
        <v>309</v>
      </c>
      <c r="O728" t="s">
        <v>6029</v>
      </c>
      <c r="P728" t="s">
        <v>114</v>
      </c>
    </row>
    <row r="729">
      <c r="A729">
        <f>HYPERLINK("http://bombeiros.sp.gov.br/hidrantes/03individual/4190.html","4190")</f>
      </c>
      <c r="B729" t="s">
        <v>114</v>
      </c>
      <c r="C729" t="s">
        <v>129</v>
      </c>
      <c r="D729" t="s">
        <v>3222</v>
      </c>
      <c r="E729" t="s">
        <v>15</v>
      </c>
      <c r="F729" t="s">
        <v>3274</v>
      </c>
      <c r="G729" t="s">
        <v>18093</v>
      </c>
      <c r="H729" t="s">
        <v>1112</v>
      </c>
      <c r="I729" t="s">
        <v>1108</v>
      </c>
      <c r="J729" t="s">
        <v>3275</v>
      </c>
      <c r="K729" t="s">
        <v>3276</v>
      </c>
      <c r="L729" t="s">
        <v>21</v>
      </c>
      <c r="M729" t="s">
        <v>19177</v>
      </c>
      <c r="N729" t="s">
        <v>16374</v>
      </c>
      <c r="O729" t="s">
        <v>272</v>
      </c>
      <c r="P729" t="s">
        <v>114</v>
      </c>
    </row>
    <row r="730">
      <c r="A730">
        <f>HYPERLINK("http://bombeiros.sp.gov.br/hidrantes/03individual/4332.html","4332")</f>
      </c>
      <c r="B730" t="s">
        <v>114</v>
      </c>
      <c r="C730" t="s">
        <v>129</v>
      </c>
      <c r="D730" t="s">
        <v>3222</v>
      </c>
      <c r="E730" t="s">
        <v>15</v>
      </c>
      <c r="F730" t="s">
        <v>3277</v>
      </c>
      <c r="G730" t="s">
        <v>18065</v>
      </c>
      <c r="H730" t="s">
        <v>1174</v>
      </c>
      <c r="I730" t="s">
        <v>1108</v>
      </c>
      <c r="J730" t="s">
        <v>3278</v>
      </c>
      <c r="K730" t="s">
        <v>3279</v>
      </c>
      <c r="L730" t="s">
        <v>21</v>
      </c>
      <c r="M730" t="s">
        <v>19177</v>
      </c>
      <c r="N730" t="s">
        <v>16374</v>
      </c>
      <c r="O730" t="s">
        <v>272</v>
      </c>
      <c r="P730" t="s">
        <v>114</v>
      </c>
    </row>
    <row r="731">
      <c r="A731">
        <f>HYPERLINK("http://bombeiros.sp.gov.br/hidrantes/03individual/4434.html","4434")</f>
      </c>
      <c r="B731" t="s">
        <v>114</v>
      </c>
      <c r="C731" t="s">
        <v>129</v>
      </c>
      <c r="D731" t="s">
        <v>3222</v>
      </c>
      <c r="E731" t="s">
        <v>15</v>
      </c>
      <c r="F731" t="s">
        <v>3280</v>
      </c>
      <c r="G731" t="s">
        <v>18085</v>
      </c>
      <c r="H731" t="s">
        <v>1107</v>
      </c>
      <c r="I731" t="s">
        <v>1108</v>
      </c>
      <c r="J731" t="s">
        <v>3281</v>
      </c>
      <c r="K731" t="s">
        <v>3282</v>
      </c>
      <c r="L731" t="s">
        <v>21</v>
      </c>
      <c r="M731" t="s">
        <v>19177</v>
      </c>
      <c r="N731" t="s">
        <v>309</v>
      </c>
      <c r="O731" t="s">
        <v>6029</v>
      </c>
      <c r="P731" t="s">
        <v>114</v>
      </c>
    </row>
    <row r="732">
      <c r="A732">
        <f>HYPERLINK("http://bombeiros.sp.gov.br/hidrantes/03individual/17774.html","17774")</f>
      </c>
      <c r="B732" t="s">
        <v>114</v>
      </c>
      <c r="C732" t="s">
        <v>129</v>
      </c>
      <c r="D732" t="s">
        <v>3222</v>
      </c>
      <c r="E732" t="s">
        <v>15</v>
      </c>
      <c r="F732" t="s">
        <v>16942</v>
      </c>
      <c r="G732" t="s">
        <v>18085</v>
      </c>
      <c r="H732" t="s">
        <v>1174</v>
      </c>
      <c r="I732" t="s">
        <v>1117</v>
      </c>
      <c r="J732" t="s">
        <v>3284</v>
      </c>
      <c r="K732" t="s">
        <v>3285</v>
      </c>
      <c r="L732" t="s">
        <v>21</v>
      </c>
      <c r="M732" t="s">
        <v>19177</v>
      </c>
      <c r="N732" t="s">
        <v>309</v>
      </c>
      <c r="O732" t="s">
        <v>6029</v>
      </c>
      <c r="P732" t="s">
        <v>114</v>
      </c>
    </row>
    <row r="733">
      <c r="A733">
        <f>HYPERLINK("http://bombeiros.sp.gov.br/hidrantes/03individual/999.html","999")</f>
      </c>
      <c r="B733" t="s">
        <v>114</v>
      </c>
      <c r="C733" t="s">
        <v>144</v>
      </c>
      <c r="D733" t="s">
        <v>144</v>
      </c>
      <c r="E733" t="s">
        <v>64</v>
      </c>
      <c r="F733" t="s">
        <v>3286</v>
      </c>
      <c r="G733" t="s">
        <v>18098</v>
      </c>
      <c r="H733" t="s">
        <v>1112</v>
      </c>
      <c r="I733" t="s">
        <v>1108</v>
      </c>
      <c r="J733" t="s">
        <v>3287</v>
      </c>
      <c r="K733" t="s">
        <v>3288</v>
      </c>
      <c r="L733" t="s">
        <v>36</v>
      </c>
      <c r="M733" t="s">
        <v>19177</v>
      </c>
      <c r="N733" t="s">
        <v>300</v>
      </c>
      <c r="O733" t="s">
        <v>16373</v>
      </c>
      <c r="P733" t="s">
        <v>12</v>
      </c>
    </row>
    <row r="734">
      <c r="A734">
        <f>HYPERLINK("http://bombeiros.sp.gov.br/hidrantes/03individual/1573.html","1573")</f>
      </c>
      <c r="B734" t="s">
        <v>114</v>
      </c>
      <c r="C734" t="s">
        <v>144</v>
      </c>
      <c r="D734" t="s">
        <v>144</v>
      </c>
      <c r="E734" t="s">
        <v>64</v>
      </c>
      <c r="F734" t="s">
        <v>3289</v>
      </c>
      <c r="G734" t="s">
        <v>18098</v>
      </c>
      <c r="H734" t="s">
        <v>1112</v>
      </c>
      <c r="I734" t="s">
        <v>1108</v>
      </c>
      <c r="J734" t="s">
        <v>3290</v>
      </c>
      <c r="K734" t="s">
        <v>3291</v>
      </c>
      <c r="L734" t="s">
        <v>21</v>
      </c>
      <c r="M734" t="s">
        <v>19177</v>
      </c>
      <c r="N734" t="s">
        <v>300</v>
      </c>
      <c r="O734" t="s">
        <v>16373</v>
      </c>
      <c r="P734" t="s">
        <v>12</v>
      </c>
    </row>
    <row r="735">
      <c r="A735">
        <f>HYPERLINK("http://bombeiros.sp.gov.br/hidrantes/03individual/1577.html","1577")</f>
      </c>
      <c r="B735" t="s">
        <v>114</v>
      </c>
      <c r="C735" t="s">
        <v>144</v>
      </c>
      <c r="D735" t="s">
        <v>144</v>
      </c>
      <c r="E735" t="s">
        <v>64</v>
      </c>
      <c r="F735" t="s">
        <v>3292</v>
      </c>
      <c r="G735" t="s">
        <v>18066</v>
      </c>
      <c r="H735" t="s">
        <v>1112</v>
      </c>
      <c r="I735" t="s">
        <v>1108</v>
      </c>
      <c r="J735" t="s">
        <v>3293</v>
      </c>
      <c r="K735" t="s">
        <v>3294</v>
      </c>
      <c r="L735" t="s">
        <v>36</v>
      </c>
      <c r="M735" t="s">
        <v>19177</v>
      </c>
      <c r="N735" t="s">
        <v>300</v>
      </c>
      <c r="O735" t="s">
        <v>16373</v>
      </c>
      <c r="P735" t="s">
        <v>12</v>
      </c>
    </row>
    <row r="736">
      <c r="A736">
        <f>HYPERLINK("http://bombeiros.sp.gov.br/hidrantes/03individual/3331.html","3331")</f>
      </c>
      <c r="B736" t="s">
        <v>114</v>
      </c>
      <c r="C736" t="s">
        <v>144</v>
      </c>
      <c r="D736" t="s">
        <v>144</v>
      </c>
      <c r="E736" t="s">
        <v>64</v>
      </c>
      <c r="F736" t="s">
        <v>3295</v>
      </c>
      <c r="G736" t="s">
        <v>18046</v>
      </c>
      <c r="H736" t="s">
        <v>1112</v>
      </c>
      <c r="I736" t="s">
        <v>1108</v>
      </c>
      <c r="J736" t="s">
        <v>3296</v>
      </c>
      <c r="K736" t="s">
        <v>3297</v>
      </c>
      <c r="L736" t="s">
        <v>21</v>
      </c>
      <c r="M736" t="s">
        <v>19177</v>
      </c>
      <c r="N736" t="s">
        <v>300</v>
      </c>
      <c r="O736" t="s">
        <v>16373</v>
      </c>
      <c r="P736" t="s">
        <v>12</v>
      </c>
    </row>
    <row r="737">
      <c r="A737">
        <f>HYPERLINK("http://bombeiros.sp.gov.br/hidrantes/03individual/27169.html","27169")</f>
      </c>
      <c r="B737" t="s">
        <v>114</v>
      </c>
      <c r="C737" t="s">
        <v>144</v>
      </c>
      <c r="D737" t="s">
        <v>144</v>
      </c>
      <c r="E737" t="s">
        <v>64</v>
      </c>
      <c r="F737" t="s">
        <v>16866</v>
      </c>
      <c r="G737" t="s">
        <v>18046</v>
      </c>
      <c r="H737"/>
      <c r="I737" t="s">
        <v>18</v>
      </c>
      <c r="J737" t="s">
        <v>16867</v>
      </c>
      <c r="K737" t="s">
        <v>16868</v>
      </c>
      <c r="L737" t="s">
        <v>21</v>
      </c>
      <c r="M737" t="s">
        <v>19177</v>
      </c>
      <c r="N737" t="s">
        <v>300</v>
      </c>
      <c r="O737" t="s">
        <v>16373</v>
      </c>
      <c r="P737" t="s">
        <v>12</v>
      </c>
    </row>
    <row r="738">
      <c r="A738">
        <f>HYPERLINK("http://bombeiros.sp.gov.br/hidrantes/03individual/1399.html","1399")</f>
      </c>
      <c r="B738" t="s">
        <v>114</v>
      </c>
      <c r="C738" t="s">
        <v>144</v>
      </c>
      <c r="D738" t="s">
        <v>144</v>
      </c>
      <c r="E738" t="s">
        <v>15</v>
      </c>
      <c r="F738" t="s">
        <v>3298</v>
      </c>
      <c r="G738" t="s">
        <v>18078</v>
      </c>
      <c r="H738" t="s">
        <v>1174</v>
      </c>
      <c r="I738" t="s">
        <v>1117</v>
      </c>
      <c r="J738" t="s">
        <v>3299</v>
      </c>
      <c r="K738" t="s">
        <v>3300</v>
      </c>
      <c r="L738" t="s">
        <v>21</v>
      </c>
      <c r="M738" t="s">
        <v>19177</v>
      </c>
      <c r="N738" t="s">
        <v>300</v>
      </c>
      <c r="O738" t="s">
        <v>16373</v>
      </c>
      <c r="P738" t="s">
        <v>12</v>
      </c>
    </row>
    <row r="739">
      <c r="A739">
        <f>HYPERLINK("http://bombeiros.sp.gov.br/hidrantes/03individual/1404.html","1404")</f>
      </c>
      <c r="B739" t="s">
        <v>114</v>
      </c>
      <c r="C739" t="s">
        <v>144</v>
      </c>
      <c r="D739" t="s">
        <v>144</v>
      </c>
      <c r="E739" t="s">
        <v>15</v>
      </c>
      <c r="F739" t="s">
        <v>3301</v>
      </c>
      <c r="G739" t="s">
        <v>18062</v>
      </c>
      <c r="H739" t="s">
        <v>1112</v>
      </c>
      <c r="I739" t="s">
        <v>1108</v>
      </c>
      <c r="J739" t="s">
        <v>3302</v>
      </c>
      <c r="K739" t="s">
        <v>3303</v>
      </c>
      <c r="L739" t="s">
        <v>21</v>
      </c>
      <c r="M739" t="s">
        <v>19177</v>
      </c>
      <c r="N739" t="s">
        <v>300</v>
      </c>
      <c r="O739" t="s">
        <v>16373</v>
      </c>
      <c r="P739" t="s">
        <v>12</v>
      </c>
    </row>
    <row r="740">
      <c r="A740">
        <f>HYPERLINK("http://bombeiros.sp.gov.br/hidrantes/03individual/3303.html","3303")</f>
      </c>
      <c r="B740" t="s">
        <v>114</v>
      </c>
      <c r="C740" t="s">
        <v>144</v>
      </c>
      <c r="D740" t="s">
        <v>144</v>
      </c>
      <c r="E740" t="s">
        <v>15</v>
      </c>
      <c r="F740" t="s">
        <v>3304</v>
      </c>
      <c r="G740" t="s">
        <v>18066</v>
      </c>
      <c r="H740" t="s">
        <v>1112</v>
      </c>
      <c r="I740" t="s">
        <v>1108</v>
      </c>
      <c r="J740" t="s">
        <v>3305</v>
      </c>
      <c r="K740" t="s">
        <v>3306</v>
      </c>
      <c r="L740" t="s">
        <v>21</v>
      </c>
      <c r="M740" t="s">
        <v>19177</v>
      </c>
      <c r="N740" t="s">
        <v>300</v>
      </c>
      <c r="O740" t="s">
        <v>16373</v>
      </c>
      <c r="P740" t="s">
        <v>12</v>
      </c>
    </row>
    <row r="741">
      <c r="A741">
        <f>HYPERLINK("http://bombeiros.sp.gov.br/hidrantes/03individual/1514.html","1514")</f>
      </c>
      <c r="B741" t="s">
        <v>114</v>
      </c>
      <c r="C741" t="s">
        <v>144</v>
      </c>
      <c r="D741" t="s">
        <v>149</v>
      </c>
      <c r="E741" t="s">
        <v>64</v>
      </c>
      <c r="F741" t="s">
        <v>3307</v>
      </c>
      <c r="G741" t="s">
        <v>18067</v>
      </c>
      <c r="H741" t="s">
        <v>1121</v>
      </c>
      <c r="I741" t="s">
        <v>1117</v>
      </c>
      <c r="J741" t="s">
        <v>3308</v>
      </c>
      <c r="K741" t="s">
        <v>3309</v>
      </c>
      <c r="L741" t="s">
        <v>36</v>
      </c>
      <c r="M741" t="s">
        <v>19177</v>
      </c>
      <c r="N741" t="s">
        <v>300</v>
      </c>
      <c r="O741" t="s">
        <v>16373</v>
      </c>
      <c r="P741" t="s">
        <v>12</v>
      </c>
    </row>
    <row r="742">
      <c r="A742">
        <f>HYPERLINK("http://bombeiros.sp.gov.br/hidrantes/03individual/1517.html","1517")</f>
      </c>
      <c r="B742" t="s">
        <v>114</v>
      </c>
      <c r="C742" t="s">
        <v>144</v>
      </c>
      <c r="D742" t="s">
        <v>149</v>
      </c>
      <c r="E742" t="s">
        <v>64</v>
      </c>
      <c r="F742" t="s">
        <v>3310</v>
      </c>
      <c r="G742" t="s">
        <v>18098</v>
      </c>
      <c r="H742" t="s">
        <v>1112</v>
      </c>
      <c r="I742" t="s">
        <v>1108</v>
      </c>
      <c r="J742" t="s">
        <v>3311</v>
      </c>
      <c r="K742" t="s">
        <v>3312</v>
      </c>
      <c r="L742" t="s">
        <v>36</v>
      </c>
      <c r="M742" t="s">
        <v>19177</v>
      </c>
      <c r="N742" t="s">
        <v>300</v>
      </c>
      <c r="O742" t="s">
        <v>16373</v>
      </c>
      <c r="P742" t="s">
        <v>12</v>
      </c>
    </row>
    <row r="743">
      <c r="A743">
        <f>HYPERLINK("http://bombeiros.sp.gov.br/hidrantes/03individual/1559.html","1559")</f>
      </c>
      <c r="B743" t="s">
        <v>114</v>
      </c>
      <c r="C743" t="s">
        <v>144</v>
      </c>
      <c r="D743" t="s">
        <v>149</v>
      </c>
      <c r="E743" t="s">
        <v>64</v>
      </c>
      <c r="F743" t="s">
        <v>3313</v>
      </c>
      <c r="G743" t="s">
        <v>18098</v>
      </c>
      <c r="H743" t="s">
        <v>1112</v>
      </c>
      <c r="I743" t="s">
        <v>1108</v>
      </c>
      <c r="J743" t="s">
        <v>3314</v>
      </c>
      <c r="K743" t="s">
        <v>3315</v>
      </c>
      <c r="L743" t="s">
        <v>36</v>
      </c>
      <c r="M743" t="s">
        <v>19177</v>
      </c>
      <c r="N743" t="s">
        <v>97</v>
      </c>
      <c r="O743" t="s">
        <v>937</v>
      </c>
      <c r="P743" t="s">
        <v>12</v>
      </c>
    </row>
    <row r="744">
      <c r="A744">
        <f>HYPERLINK("http://bombeiros.sp.gov.br/hidrantes/03individual/2997.html","2997")</f>
      </c>
      <c r="B744" t="s">
        <v>114</v>
      </c>
      <c r="C744" t="s">
        <v>144</v>
      </c>
      <c r="D744" t="s">
        <v>149</v>
      </c>
      <c r="E744" t="s">
        <v>64</v>
      </c>
      <c r="F744" t="s">
        <v>3316</v>
      </c>
      <c r="G744" t="s">
        <v>18046</v>
      </c>
      <c r="H744" t="s">
        <v>1112</v>
      </c>
      <c r="I744" t="s">
        <v>1108</v>
      </c>
      <c r="J744" t="s">
        <v>3317</v>
      </c>
      <c r="K744" t="s">
        <v>3318</v>
      </c>
      <c r="L744" t="s">
        <v>36</v>
      </c>
      <c r="M744" t="s">
        <v>19177</v>
      </c>
      <c r="N744" t="s">
        <v>300</v>
      </c>
      <c r="O744" t="s">
        <v>16373</v>
      </c>
      <c r="P744" t="s">
        <v>12</v>
      </c>
    </row>
    <row r="745">
      <c r="A745">
        <f>HYPERLINK("http://bombeiros.sp.gov.br/hidrantes/03individual/1322.html","1322")</f>
      </c>
      <c r="B745" t="s">
        <v>114</v>
      </c>
      <c r="C745" t="s">
        <v>144</v>
      </c>
      <c r="D745" t="s">
        <v>149</v>
      </c>
      <c r="E745" t="s">
        <v>15</v>
      </c>
      <c r="F745" t="s">
        <v>3319</v>
      </c>
      <c r="G745" t="s">
        <v>18098</v>
      </c>
      <c r="H745" t="s">
        <v>1174</v>
      </c>
      <c r="I745" t="s">
        <v>1117</v>
      </c>
      <c r="J745" t="s">
        <v>3320</v>
      </c>
      <c r="K745" t="s">
        <v>3321</v>
      </c>
      <c r="L745" t="s">
        <v>21</v>
      </c>
      <c r="M745" t="s">
        <v>19177</v>
      </c>
      <c r="N745" t="s">
        <v>97</v>
      </c>
      <c r="O745" t="s">
        <v>937</v>
      </c>
      <c r="P745" t="s">
        <v>12</v>
      </c>
    </row>
    <row r="746">
      <c r="A746">
        <f>HYPERLINK("http://bombeiros.sp.gov.br/hidrantes/03individual/1352.html","1352")</f>
      </c>
      <c r="B746" t="s">
        <v>114</v>
      </c>
      <c r="C746" t="s">
        <v>144</v>
      </c>
      <c r="D746" t="s">
        <v>149</v>
      </c>
      <c r="E746" t="s">
        <v>15</v>
      </c>
      <c r="F746" t="s">
        <v>3322</v>
      </c>
      <c r="G746" t="s">
        <v>18098</v>
      </c>
      <c r="H746" t="s">
        <v>1112</v>
      </c>
      <c r="I746" t="s">
        <v>1108</v>
      </c>
      <c r="J746" t="s">
        <v>3323</v>
      </c>
      <c r="K746" t="s">
        <v>3324</v>
      </c>
      <c r="L746" t="s">
        <v>21</v>
      </c>
      <c r="M746" t="s">
        <v>19177</v>
      </c>
      <c r="N746" t="s">
        <v>97</v>
      </c>
      <c r="O746" t="s">
        <v>937</v>
      </c>
      <c r="P746" t="s">
        <v>12</v>
      </c>
    </row>
    <row r="747">
      <c r="A747">
        <f>HYPERLINK("http://bombeiros.sp.gov.br/hidrantes/03individual/1442.html","1442")</f>
      </c>
      <c r="B747" t="s">
        <v>114</v>
      </c>
      <c r="C747" t="s">
        <v>144</v>
      </c>
      <c r="D747" t="s">
        <v>149</v>
      </c>
      <c r="E747" t="s">
        <v>15</v>
      </c>
      <c r="F747" t="s">
        <v>150</v>
      </c>
      <c r="G747" t="s">
        <v>18062</v>
      </c>
      <c r="H747"/>
      <c r="I747" t="s">
        <v>18</v>
      </c>
      <c r="J747" t="s">
        <v>152</v>
      </c>
      <c r="K747" t="s">
        <v>153</v>
      </c>
      <c r="L747" t="s">
        <v>21</v>
      </c>
      <c r="M747" t="s">
        <v>19177</v>
      </c>
      <c r="N747" t="s">
        <v>97</v>
      </c>
      <c r="O747" t="s">
        <v>937</v>
      </c>
      <c r="P747" t="s">
        <v>12</v>
      </c>
    </row>
    <row r="748">
      <c r="A748">
        <f>HYPERLINK("http://bombeiros.sp.gov.br/hidrantes/03individual/1444.html","1444")</f>
      </c>
      <c r="B748" t="s">
        <v>114</v>
      </c>
      <c r="C748" t="s">
        <v>144</v>
      </c>
      <c r="D748" t="s">
        <v>149</v>
      </c>
      <c r="E748" t="s">
        <v>15</v>
      </c>
      <c r="F748" t="s">
        <v>3325</v>
      </c>
      <c r="G748" t="s">
        <v>18098</v>
      </c>
      <c r="H748" t="s">
        <v>1107</v>
      </c>
      <c r="I748" t="s">
        <v>1108</v>
      </c>
      <c r="J748" t="s">
        <v>3326</v>
      </c>
      <c r="K748" t="s">
        <v>3327</v>
      </c>
      <c r="L748" t="s">
        <v>21</v>
      </c>
      <c r="M748" t="s">
        <v>19177</v>
      </c>
      <c r="N748" t="s">
        <v>97</v>
      </c>
      <c r="O748" t="s">
        <v>937</v>
      </c>
      <c r="P748" t="s">
        <v>12</v>
      </c>
    </row>
    <row r="749">
      <c r="A749">
        <f>HYPERLINK("http://bombeiros.sp.gov.br/hidrantes/03individual/1447.html","1447")</f>
      </c>
      <c r="B749" t="s">
        <v>114</v>
      </c>
      <c r="C749" t="s">
        <v>144</v>
      </c>
      <c r="D749" t="s">
        <v>149</v>
      </c>
      <c r="E749" t="s">
        <v>15</v>
      </c>
      <c r="F749" t="s">
        <v>154</v>
      </c>
      <c r="G749" t="s">
        <v>18062</v>
      </c>
      <c r="H749"/>
      <c r="I749" t="s">
        <v>18</v>
      </c>
      <c r="J749" t="s">
        <v>156</v>
      </c>
      <c r="K749" t="s">
        <v>157</v>
      </c>
      <c r="L749" t="s">
        <v>21</v>
      </c>
      <c r="M749" t="s">
        <v>19177</v>
      </c>
      <c r="N749" t="s">
        <v>97</v>
      </c>
      <c r="O749" t="s">
        <v>937</v>
      </c>
      <c r="P749" t="s">
        <v>12</v>
      </c>
    </row>
    <row r="750">
      <c r="A750">
        <f>HYPERLINK("http://bombeiros.sp.gov.br/hidrantes/03individual/1465.html","1465")</f>
      </c>
      <c r="B750" t="s">
        <v>114</v>
      </c>
      <c r="C750" t="s">
        <v>144</v>
      </c>
      <c r="D750" t="s">
        <v>149</v>
      </c>
      <c r="E750" t="s">
        <v>15</v>
      </c>
      <c r="F750" t="s">
        <v>3328</v>
      </c>
      <c r="G750" t="s">
        <v>18098</v>
      </c>
      <c r="H750" t="s">
        <v>1174</v>
      </c>
      <c r="I750" t="s">
        <v>1117</v>
      </c>
      <c r="J750" t="s">
        <v>3329</v>
      </c>
      <c r="K750" t="s">
        <v>3330</v>
      </c>
      <c r="L750" t="s">
        <v>21</v>
      </c>
      <c r="M750" t="s">
        <v>19177</v>
      </c>
      <c r="N750" t="s">
        <v>97</v>
      </c>
      <c r="O750" t="s">
        <v>937</v>
      </c>
      <c r="P750" t="s">
        <v>12</v>
      </c>
    </row>
    <row r="751">
      <c r="A751">
        <f>HYPERLINK("http://bombeiros.sp.gov.br/hidrantes/03individual/1492.html","1492")</f>
      </c>
      <c r="B751" t="s">
        <v>114</v>
      </c>
      <c r="C751" t="s">
        <v>144</v>
      </c>
      <c r="D751" t="s">
        <v>149</v>
      </c>
      <c r="E751" t="s">
        <v>15</v>
      </c>
      <c r="F751" t="s">
        <v>158</v>
      </c>
      <c r="G751" t="s">
        <v>18078</v>
      </c>
      <c r="H751" t="s">
        <v>1107</v>
      </c>
      <c r="I751" t="s">
        <v>1108</v>
      </c>
      <c r="J751" t="s">
        <v>159</v>
      </c>
      <c r="K751" t="s">
        <v>160</v>
      </c>
      <c r="L751" t="s">
        <v>21</v>
      </c>
      <c r="M751" t="s">
        <v>19177</v>
      </c>
      <c r="N751" t="s">
        <v>300</v>
      </c>
      <c r="O751" t="s">
        <v>16373</v>
      </c>
      <c r="P751" t="s">
        <v>12</v>
      </c>
    </row>
    <row r="752">
      <c r="A752">
        <f>HYPERLINK("http://bombeiros.sp.gov.br/hidrantes/03individual/1557.html","1557")</f>
      </c>
      <c r="B752" t="s">
        <v>114</v>
      </c>
      <c r="C752" t="s">
        <v>144</v>
      </c>
      <c r="D752" t="s">
        <v>149</v>
      </c>
      <c r="E752" t="s">
        <v>15</v>
      </c>
      <c r="F752" t="s">
        <v>3331</v>
      </c>
      <c r="G752" t="s">
        <v>18062</v>
      </c>
      <c r="H752" t="s">
        <v>1174</v>
      </c>
      <c r="I752" t="s">
        <v>1117</v>
      </c>
      <c r="J752" t="s">
        <v>3332</v>
      </c>
      <c r="K752" t="s">
        <v>3333</v>
      </c>
      <c r="L752" t="s">
        <v>21</v>
      </c>
      <c r="M752" t="s">
        <v>19177</v>
      </c>
      <c r="N752" t="s">
        <v>300</v>
      </c>
      <c r="O752" t="s">
        <v>16373</v>
      </c>
      <c r="P752" t="s">
        <v>12</v>
      </c>
    </row>
    <row r="753">
      <c r="A753">
        <f>HYPERLINK("http://bombeiros.sp.gov.br/hidrantes/03individual/1566.html","1566")</f>
      </c>
      <c r="B753" t="s">
        <v>114</v>
      </c>
      <c r="C753" t="s">
        <v>144</v>
      </c>
      <c r="D753" t="s">
        <v>149</v>
      </c>
      <c r="E753" t="s">
        <v>15</v>
      </c>
      <c r="F753" t="s">
        <v>3334</v>
      </c>
      <c r="G753" t="s">
        <v>18098</v>
      </c>
      <c r="H753" t="s">
        <v>1107</v>
      </c>
      <c r="I753" t="s">
        <v>1108</v>
      </c>
      <c r="J753" t="s">
        <v>3335</v>
      </c>
      <c r="K753" t="s">
        <v>3336</v>
      </c>
      <c r="L753" t="s">
        <v>21</v>
      </c>
      <c r="M753" t="s">
        <v>19177</v>
      </c>
      <c r="N753" t="s">
        <v>97</v>
      </c>
      <c r="O753" t="s">
        <v>937</v>
      </c>
      <c r="P753" t="s">
        <v>12</v>
      </c>
    </row>
    <row r="754">
      <c r="A754">
        <f>HYPERLINK("http://bombeiros.sp.gov.br/hidrantes/03individual/1569.html","1569")</f>
      </c>
      <c r="B754" t="s">
        <v>114</v>
      </c>
      <c r="C754" t="s">
        <v>144</v>
      </c>
      <c r="D754" t="s">
        <v>149</v>
      </c>
      <c r="E754" t="s">
        <v>15</v>
      </c>
      <c r="F754" t="s">
        <v>3337</v>
      </c>
      <c r="G754" t="s">
        <v>18067</v>
      </c>
      <c r="H754" t="s">
        <v>1174</v>
      </c>
      <c r="I754" t="s">
        <v>1117</v>
      </c>
      <c r="J754" t="s">
        <v>3338</v>
      </c>
      <c r="K754" t="s">
        <v>3339</v>
      </c>
      <c r="L754" t="s">
        <v>21</v>
      </c>
      <c r="M754" t="s">
        <v>19177</v>
      </c>
      <c r="N754" t="s">
        <v>300</v>
      </c>
      <c r="O754" t="s">
        <v>16373</v>
      </c>
      <c r="P754" t="s">
        <v>12</v>
      </c>
    </row>
    <row r="755">
      <c r="A755">
        <f>HYPERLINK("http://bombeiros.sp.gov.br/hidrantes/03individual/1571.html","1571")</f>
      </c>
      <c r="B755" t="s">
        <v>114</v>
      </c>
      <c r="C755" t="s">
        <v>144</v>
      </c>
      <c r="D755" t="s">
        <v>149</v>
      </c>
      <c r="E755" t="s">
        <v>15</v>
      </c>
      <c r="F755" t="s">
        <v>3340</v>
      </c>
      <c r="G755" t="s">
        <v>18062</v>
      </c>
      <c r="H755" t="s">
        <v>1121</v>
      </c>
      <c r="I755" t="s">
        <v>1117</v>
      </c>
      <c r="J755" t="s">
        <v>3341</v>
      </c>
      <c r="K755" t="s">
        <v>3342</v>
      </c>
      <c r="L755" t="s">
        <v>21</v>
      </c>
      <c r="M755" t="s">
        <v>19177</v>
      </c>
      <c r="N755" t="s">
        <v>97</v>
      </c>
      <c r="O755" t="s">
        <v>937</v>
      </c>
      <c r="P755" t="s">
        <v>12</v>
      </c>
    </row>
    <row r="756">
      <c r="A756">
        <f>HYPERLINK("http://bombeiros.sp.gov.br/hidrantes/03individual/1575.html","1575")</f>
      </c>
      <c r="B756" t="s">
        <v>114</v>
      </c>
      <c r="C756" t="s">
        <v>144</v>
      </c>
      <c r="D756" t="s">
        <v>149</v>
      </c>
      <c r="E756" t="s">
        <v>15</v>
      </c>
      <c r="F756" t="s">
        <v>3343</v>
      </c>
      <c r="G756" t="s">
        <v>18078</v>
      </c>
      <c r="H756" t="s">
        <v>1112</v>
      </c>
      <c r="I756" t="s">
        <v>1108</v>
      </c>
      <c r="J756" t="s">
        <v>3344</v>
      </c>
      <c r="K756" t="s">
        <v>3345</v>
      </c>
      <c r="L756" t="s">
        <v>21</v>
      </c>
      <c r="M756" t="s">
        <v>19177</v>
      </c>
      <c r="N756" t="s">
        <v>300</v>
      </c>
      <c r="O756" t="s">
        <v>16373</v>
      </c>
      <c r="P756" t="s">
        <v>12</v>
      </c>
    </row>
    <row r="757">
      <c r="A757">
        <f>HYPERLINK("http://bombeiros.sp.gov.br/hidrantes/03individual/1581.html","1581")</f>
      </c>
      <c r="B757" t="s">
        <v>114</v>
      </c>
      <c r="C757" t="s">
        <v>144</v>
      </c>
      <c r="D757" t="s">
        <v>149</v>
      </c>
      <c r="E757" t="s">
        <v>15</v>
      </c>
      <c r="F757" t="s">
        <v>3346</v>
      </c>
      <c r="G757" t="s">
        <v>18078</v>
      </c>
      <c r="H757" t="s">
        <v>1112</v>
      </c>
      <c r="I757" t="s">
        <v>1108</v>
      </c>
      <c r="J757" t="s">
        <v>3347</v>
      </c>
      <c r="K757" t="s">
        <v>3348</v>
      </c>
      <c r="L757" t="s">
        <v>21</v>
      </c>
      <c r="M757" t="s">
        <v>19177</v>
      </c>
      <c r="N757" t="s">
        <v>300</v>
      </c>
      <c r="O757" t="s">
        <v>16373</v>
      </c>
      <c r="P757" t="s">
        <v>12</v>
      </c>
    </row>
    <row r="758">
      <c r="A758">
        <f>HYPERLINK("http://bombeiros.sp.gov.br/hidrantes/03individual/1582.html","1582")</f>
      </c>
      <c r="B758" t="s">
        <v>114</v>
      </c>
      <c r="C758" t="s">
        <v>144</v>
      </c>
      <c r="D758" t="s">
        <v>149</v>
      </c>
      <c r="E758" t="s">
        <v>15</v>
      </c>
      <c r="F758" t="s">
        <v>3349</v>
      </c>
      <c r="G758" t="s">
        <v>18078</v>
      </c>
      <c r="H758" t="s">
        <v>1112</v>
      </c>
      <c r="I758" t="s">
        <v>1108</v>
      </c>
      <c r="J758" t="s">
        <v>3350</v>
      </c>
      <c r="K758" t="s">
        <v>3351</v>
      </c>
      <c r="L758" t="s">
        <v>21</v>
      </c>
      <c r="M758" t="s">
        <v>19177</v>
      </c>
      <c r="N758" t="s">
        <v>300</v>
      </c>
      <c r="O758" t="s">
        <v>16373</v>
      </c>
      <c r="P758" t="s">
        <v>12</v>
      </c>
    </row>
    <row r="759">
      <c r="A759">
        <f>HYPERLINK("http://bombeiros.sp.gov.br/hidrantes/03individual/1584.html","1584")</f>
      </c>
      <c r="B759" t="s">
        <v>114</v>
      </c>
      <c r="C759" t="s">
        <v>144</v>
      </c>
      <c r="D759" t="s">
        <v>149</v>
      </c>
      <c r="E759" t="s">
        <v>15</v>
      </c>
      <c r="F759" t="s">
        <v>3352</v>
      </c>
      <c r="G759" t="s">
        <v>18066</v>
      </c>
      <c r="H759" t="s">
        <v>1174</v>
      </c>
      <c r="I759" t="s">
        <v>1117</v>
      </c>
      <c r="J759" t="s">
        <v>3353</v>
      </c>
      <c r="K759" t="s">
        <v>3354</v>
      </c>
      <c r="L759" t="s">
        <v>21</v>
      </c>
      <c r="M759" t="s">
        <v>19177</v>
      </c>
      <c r="N759" t="s">
        <v>300</v>
      </c>
      <c r="O759" t="s">
        <v>16373</v>
      </c>
      <c r="P759" t="s">
        <v>12</v>
      </c>
    </row>
    <row r="760">
      <c r="A760">
        <f>HYPERLINK("http://bombeiros.sp.gov.br/hidrantes/03individual/1586.html","1586")</f>
      </c>
      <c r="B760" t="s">
        <v>114</v>
      </c>
      <c r="C760" t="s">
        <v>144</v>
      </c>
      <c r="D760" t="s">
        <v>149</v>
      </c>
      <c r="E760" t="s">
        <v>15</v>
      </c>
      <c r="F760" t="s">
        <v>3355</v>
      </c>
      <c r="G760" t="s">
        <v>18133</v>
      </c>
      <c r="H760" t="s">
        <v>1107</v>
      </c>
      <c r="I760" t="s">
        <v>1108</v>
      </c>
      <c r="J760" t="s">
        <v>3356</v>
      </c>
      <c r="K760" t="s">
        <v>3357</v>
      </c>
      <c r="L760" t="s">
        <v>21</v>
      </c>
      <c r="M760" t="s">
        <v>19177</v>
      </c>
      <c r="N760" t="s">
        <v>300</v>
      </c>
      <c r="O760" t="s">
        <v>16373</v>
      </c>
      <c r="P760" t="s">
        <v>12</v>
      </c>
    </row>
    <row r="761">
      <c r="A761">
        <f>HYPERLINK("http://bombeiros.sp.gov.br/hidrantes/03individual/1588.html","1588")</f>
      </c>
      <c r="B761" t="s">
        <v>114</v>
      </c>
      <c r="C761" t="s">
        <v>144</v>
      </c>
      <c r="D761" t="s">
        <v>149</v>
      </c>
      <c r="E761" t="s">
        <v>15</v>
      </c>
      <c r="F761" t="s">
        <v>3358</v>
      </c>
      <c r="G761" t="s">
        <v>18046</v>
      </c>
      <c r="H761" t="s">
        <v>1112</v>
      </c>
      <c r="I761" t="s">
        <v>1108</v>
      </c>
      <c r="J761" t="s">
        <v>3359</v>
      </c>
      <c r="K761" t="s">
        <v>3360</v>
      </c>
      <c r="L761" t="s">
        <v>21</v>
      </c>
      <c r="M761" t="s">
        <v>19177</v>
      </c>
      <c r="N761" t="s">
        <v>300</v>
      </c>
      <c r="O761" t="s">
        <v>16373</v>
      </c>
      <c r="P761" t="s">
        <v>12</v>
      </c>
    </row>
    <row r="762">
      <c r="A762">
        <f>HYPERLINK("http://bombeiros.sp.gov.br/hidrantes/03individual/1644.html","1644")</f>
      </c>
      <c r="B762" t="s">
        <v>114</v>
      </c>
      <c r="C762" t="s">
        <v>144</v>
      </c>
      <c r="D762" t="s">
        <v>149</v>
      </c>
      <c r="E762" t="s">
        <v>15</v>
      </c>
      <c r="F762" t="s">
        <v>3361</v>
      </c>
      <c r="G762" t="s">
        <v>18133</v>
      </c>
      <c r="H762" t="s">
        <v>1107</v>
      </c>
      <c r="I762" t="s">
        <v>1108</v>
      </c>
      <c r="J762" t="s">
        <v>3362</v>
      </c>
      <c r="K762" t="s">
        <v>3363</v>
      </c>
      <c r="L762" t="s">
        <v>21</v>
      </c>
      <c r="M762" t="s">
        <v>19177</v>
      </c>
      <c r="N762" t="s">
        <v>300</v>
      </c>
      <c r="O762" t="s">
        <v>16373</v>
      </c>
      <c r="P762" t="s">
        <v>12</v>
      </c>
    </row>
    <row r="763">
      <c r="A763">
        <f>HYPERLINK("http://bombeiros.sp.gov.br/hidrantes/03individual/1646.html","1646")</f>
      </c>
      <c r="B763" t="s">
        <v>114</v>
      </c>
      <c r="C763" t="s">
        <v>144</v>
      </c>
      <c r="D763" t="s">
        <v>149</v>
      </c>
      <c r="E763" t="s">
        <v>15</v>
      </c>
      <c r="F763" t="s">
        <v>3364</v>
      </c>
      <c r="G763" t="s">
        <v>18133</v>
      </c>
      <c r="H763" t="s">
        <v>1107</v>
      </c>
      <c r="I763" t="s">
        <v>1108</v>
      </c>
      <c r="J763" t="s">
        <v>3365</v>
      </c>
      <c r="K763" t="s">
        <v>3366</v>
      </c>
      <c r="L763" t="s">
        <v>21</v>
      </c>
      <c r="M763" t="s">
        <v>19177</v>
      </c>
      <c r="N763" t="s">
        <v>300</v>
      </c>
      <c r="O763" t="s">
        <v>16373</v>
      </c>
      <c r="P763" t="s">
        <v>12</v>
      </c>
    </row>
    <row r="764">
      <c r="A764">
        <f>HYPERLINK("http://bombeiros.sp.gov.br/hidrantes/03individual/1648.html","1648")</f>
      </c>
      <c r="B764" t="s">
        <v>114</v>
      </c>
      <c r="C764" t="s">
        <v>144</v>
      </c>
      <c r="D764" t="s">
        <v>149</v>
      </c>
      <c r="E764" t="s">
        <v>15</v>
      </c>
      <c r="F764" t="s">
        <v>3367</v>
      </c>
      <c r="G764" t="s">
        <v>18067</v>
      </c>
      <c r="H764" t="s">
        <v>1174</v>
      </c>
      <c r="I764" t="s">
        <v>1117</v>
      </c>
      <c r="J764" t="s">
        <v>3368</v>
      </c>
      <c r="K764" t="s">
        <v>3369</v>
      </c>
      <c r="L764" t="s">
        <v>21</v>
      </c>
      <c r="M764" t="s">
        <v>19177</v>
      </c>
      <c r="N764" t="s">
        <v>300</v>
      </c>
      <c r="O764" t="s">
        <v>16373</v>
      </c>
      <c r="P764" t="s">
        <v>12</v>
      </c>
    </row>
    <row r="765">
      <c r="A765">
        <f>HYPERLINK("http://bombeiros.sp.gov.br/hidrantes/03individual/2962.html","2962")</f>
      </c>
      <c r="B765" t="s">
        <v>114</v>
      </c>
      <c r="C765" t="s">
        <v>144</v>
      </c>
      <c r="D765" t="s">
        <v>149</v>
      </c>
      <c r="E765" t="s">
        <v>15</v>
      </c>
      <c r="F765" t="s">
        <v>161</v>
      </c>
      <c r="G765" t="s">
        <v>18046</v>
      </c>
      <c r="H765" t="s">
        <v>1107</v>
      </c>
      <c r="I765" t="s">
        <v>1108</v>
      </c>
      <c r="J765" t="s">
        <v>163</v>
      </c>
      <c r="K765" t="s">
        <v>164</v>
      </c>
      <c r="L765" t="s">
        <v>36</v>
      </c>
      <c r="M765" t="s">
        <v>19177</v>
      </c>
      <c r="N765" t="s">
        <v>300</v>
      </c>
      <c r="O765" t="s">
        <v>16373</v>
      </c>
      <c r="P765" t="s">
        <v>12</v>
      </c>
    </row>
    <row r="766">
      <c r="A766">
        <f>HYPERLINK("http://bombeiros.sp.gov.br/hidrantes/03individual/2974.html","2974")</f>
      </c>
      <c r="B766" t="s">
        <v>114</v>
      </c>
      <c r="C766" t="s">
        <v>144</v>
      </c>
      <c r="D766" t="s">
        <v>149</v>
      </c>
      <c r="E766" t="s">
        <v>15</v>
      </c>
      <c r="F766" t="s">
        <v>3370</v>
      </c>
      <c r="G766" t="s">
        <v>18062</v>
      </c>
      <c r="H766" t="s">
        <v>1112</v>
      </c>
      <c r="I766" t="s">
        <v>1108</v>
      </c>
      <c r="J766" t="s">
        <v>3371</v>
      </c>
      <c r="K766" t="s">
        <v>3372</v>
      </c>
      <c r="L766" t="s">
        <v>21</v>
      </c>
      <c r="M766" t="s">
        <v>19177</v>
      </c>
      <c r="N766" t="s">
        <v>300</v>
      </c>
      <c r="O766" t="s">
        <v>16373</v>
      </c>
      <c r="P766" t="s">
        <v>12</v>
      </c>
    </row>
    <row r="767">
      <c r="A767">
        <f>HYPERLINK("http://bombeiros.sp.gov.br/hidrantes/03individual/2976.html","2976")</f>
      </c>
      <c r="B767" t="s">
        <v>114</v>
      </c>
      <c r="C767" t="s">
        <v>144</v>
      </c>
      <c r="D767" t="s">
        <v>149</v>
      </c>
      <c r="E767" t="s">
        <v>15</v>
      </c>
      <c r="F767" t="s">
        <v>3373</v>
      </c>
      <c r="G767" t="s">
        <v>18062</v>
      </c>
      <c r="H767" t="s">
        <v>1121</v>
      </c>
      <c r="I767" t="s">
        <v>1117</v>
      </c>
      <c r="J767" t="s">
        <v>3374</v>
      </c>
      <c r="K767" t="s">
        <v>3375</v>
      </c>
      <c r="L767" t="s">
        <v>21</v>
      </c>
      <c r="M767" t="s">
        <v>19177</v>
      </c>
      <c r="N767" t="s">
        <v>300</v>
      </c>
      <c r="O767" t="s">
        <v>16373</v>
      </c>
      <c r="P767" t="s">
        <v>12</v>
      </c>
    </row>
    <row r="768">
      <c r="A768">
        <f>HYPERLINK("http://bombeiros.sp.gov.br/hidrantes/03individual/2998.html","2998")</f>
      </c>
      <c r="B768" t="s">
        <v>114</v>
      </c>
      <c r="C768" t="s">
        <v>144</v>
      </c>
      <c r="D768" t="s">
        <v>149</v>
      </c>
      <c r="E768" t="s">
        <v>15</v>
      </c>
      <c r="F768" t="s">
        <v>3376</v>
      </c>
      <c r="G768" t="s">
        <v>18046</v>
      </c>
      <c r="H768" t="s">
        <v>1107</v>
      </c>
      <c r="I768" t="s">
        <v>1108</v>
      </c>
      <c r="J768" t="s">
        <v>3377</v>
      </c>
      <c r="K768" t="s">
        <v>3378</v>
      </c>
      <c r="L768" t="s">
        <v>21</v>
      </c>
      <c r="M768" t="s">
        <v>19177</v>
      </c>
      <c r="N768" t="s">
        <v>300</v>
      </c>
      <c r="O768" t="s">
        <v>16373</v>
      </c>
      <c r="P768" t="s">
        <v>12</v>
      </c>
    </row>
    <row r="769">
      <c r="A769">
        <f>HYPERLINK("http://bombeiros.sp.gov.br/hidrantes/03individual/3133.html","3133")</f>
      </c>
      <c r="B769" t="s">
        <v>114</v>
      </c>
      <c r="C769" t="s">
        <v>144</v>
      </c>
      <c r="D769" t="s">
        <v>149</v>
      </c>
      <c r="E769" t="s">
        <v>15</v>
      </c>
      <c r="F769" t="s">
        <v>3379</v>
      </c>
      <c r="G769" t="s">
        <v>18133</v>
      </c>
      <c r="H769" t="s">
        <v>1107</v>
      </c>
      <c r="I769" t="s">
        <v>1108</v>
      </c>
      <c r="J769" t="s">
        <v>3380</v>
      </c>
      <c r="K769" t="s">
        <v>3381</v>
      </c>
      <c r="L769" t="s">
        <v>21</v>
      </c>
      <c r="M769" t="s">
        <v>19177</v>
      </c>
      <c r="N769" t="s">
        <v>300</v>
      </c>
      <c r="O769" t="s">
        <v>16373</v>
      </c>
      <c r="P769" t="s">
        <v>12</v>
      </c>
    </row>
    <row r="770">
      <c r="A770">
        <f>HYPERLINK("http://bombeiros.sp.gov.br/hidrantes/03individual/3313.html","3313")</f>
      </c>
      <c r="B770" t="s">
        <v>114</v>
      </c>
      <c r="C770" t="s">
        <v>144</v>
      </c>
      <c r="D770" t="s">
        <v>149</v>
      </c>
      <c r="E770" t="s">
        <v>15</v>
      </c>
      <c r="F770" t="s">
        <v>3382</v>
      </c>
      <c r="G770" t="s">
        <v>18067</v>
      </c>
      <c r="H770" t="s">
        <v>1174</v>
      </c>
      <c r="I770" t="s">
        <v>1117</v>
      </c>
      <c r="J770" t="s">
        <v>3383</v>
      </c>
      <c r="K770" t="s">
        <v>3384</v>
      </c>
      <c r="L770" t="s">
        <v>36</v>
      </c>
      <c r="M770" t="s">
        <v>19177</v>
      </c>
      <c r="N770" t="s">
        <v>300</v>
      </c>
      <c r="O770" t="s">
        <v>16373</v>
      </c>
      <c r="P770" t="s">
        <v>12</v>
      </c>
    </row>
    <row r="771">
      <c r="A771">
        <f>HYPERLINK("http://bombeiros.sp.gov.br/hidrantes/03individual/3315.html","3315")</f>
      </c>
      <c r="B771" t="s">
        <v>114</v>
      </c>
      <c r="C771" t="s">
        <v>144</v>
      </c>
      <c r="D771" t="s">
        <v>149</v>
      </c>
      <c r="E771" t="s">
        <v>15</v>
      </c>
      <c r="F771" t="s">
        <v>3385</v>
      </c>
      <c r="G771" t="s">
        <v>18067</v>
      </c>
      <c r="H771" t="s">
        <v>1174</v>
      </c>
      <c r="I771" t="s">
        <v>1117</v>
      </c>
      <c r="J771" t="s">
        <v>3386</v>
      </c>
      <c r="K771" t="s">
        <v>3387</v>
      </c>
      <c r="L771" t="s">
        <v>21</v>
      </c>
      <c r="M771" t="s">
        <v>19177</v>
      </c>
      <c r="N771" t="s">
        <v>300</v>
      </c>
      <c r="O771" t="s">
        <v>16373</v>
      </c>
      <c r="P771" t="s">
        <v>12</v>
      </c>
    </row>
    <row r="772">
      <c r="A772">
        <f>HYPERLINK("http://bombeiros.sp.gov.br/hidrantes/03individual/3593.html","3593")</f>
      </c>
      <c r="B772" t="s">
        <v>114</v>
      </c>
      <c r="C772" t="s">
        <v>144</v>
      </c>
      <c r="D772" t="s">
        <v>149</v>
      </c>
      <c r="E772" t="s">
        <v>15</v>
      </c>
      <c r="F772" t="s">
        <v>3388</v>
      </c>
      <c r="G772" t="s">
        <v>18133</v>
      </c>
      <c r="H772" t="s">
        <v>1107</v>
      </c>
      <c r="I772" t="s">
        <v>1108</v>
      </c>
      <c r="J772" t="s">
        <v>3389</v>
      </c>
      <c r="K772" t="s">
        <v>3390</v>
      </c>
      <c r="L772" t="s">
        <v>21</v>
      </c>
      <c r="M772" t="s">
        <v>19177</v>
      </c>
      <c r="N772" t="s">
        <v>300</v>
      </c>
      <c r="O772" t="s">
        <v>16373</v>
      </c>
      <c r="P772" t="s">
        <v>12</v>
      </c>
    </row>
    <row r="773">
      <c r="A773">
        <f>HYPERLINK("http://bombeiros.sp.gov.br/hidrantes/03individual/17691.html","17691")</f>
      </c>
      <c r="B773" t="s">
        <v>114</v>
      </c>
      <c r="C773" t="s">
        <v>144</v>
      </c>
      <c r="D773" t="s">
        <v>149</v>
      </c>
      <c r="E773" t="s">
        <v>15</v>
      </c>
      <c r="F773" t="s">
        <v>3391</v>
      </c>
      <c r="G773" t="s">
        <v>18067</v>
      </c>
      <c r="H773" t="s">
        <v>1174</v>
      </c>
      <c r="I773" t="s">
        <v>1117</v>
      </c>
      <c r="J773" t="s">
        <v>3392</v>
      </c>
      <c r="K773" t="s">
        <v>3393</v>
      </c>
      <c r="L773" t="s">
        <v>21</v>
      </c>
      <c r="M773" t="s">
        <v>19177</v>
      </c>
      <c r="N773" t="s">
        <v>300</v>
      </c>
      <c r="O773" t="s">
        <v>16373</v>
      </c>
      <c r="P773" t="s">
        <v>12</v>
      </c>
    </row>
    <row r="774">
      <c r="A774">
        <f>HYPERLINK("http://bombeiros.sp.gov.br/hidrantes/03individual/27314.html","27314")</f>
      </c>
      <c r="B774" t="s">
        <v>114</v>
      </c>
      <c r="C774" t="s">
        <v>144</v>
      </c>
      <c r="D774" t="s">
        <v>149</v>
      </c>
      <c r="E774" t="s">
        <v>15</v>
      </c>
      <c r="F774" t="s">
        <v>17109</v>
      </c>
      <c r="G774" t="s">
        <v>18046</v>
      </c>
      <c r="H774" t="s">
        <v>1174</v>
      </c>
      <c r="I774" t="s">
        <v>1108</v>
      </c>
      <c r="J774" t="s">
        <v>17110</v>
      </c>
      <c r="K774" t="s">
        <v>17111</v>
      </c>
      <c r="L774" t="s">
        <v>21</v>
      </c>
      <c r="M774" t="s">
        <v>19177</v>
      </c>
      <c r="N774" t="s">
        <v>300</v>
      </c>
      <c r="O774" t="s">
        <v>16373</v>
      </c>
      <c r="P774" t="s">
        <v>12</v>
      </c>
    </row>
    <row r="775">
      <c r="A775">
        <f>HYPERLINK("http://bombeiros.sp.gov.br/hidrantes/03individual/28222.html","28222")</f>
      </c>
      <c r="B775" t="s">
        <v>114</v>
      </c>
      <c r="C775" t="s">
        <v>144</v>
      </c>
      <c r="D775" t="s">
        <v>149</v>
      </c>
      <c r="E775" t="s">
        <v>15</v>
      </c>
      <c r="F775" t="s">
        <v>18244</v>
      </c>
      <c r="G775" t="s">
        <v>18067</v>
      </c>
      <c r="H775" t="s">
        <v>1121</v>
      </c>
      <c r="I775" t="s">
        <v>1117</v>
      </c>
      <c r="J775" t="s">
        <v>18245</v>
      </c>
      <c r="K775" t="s">
        <v>18246</v>
      </c>
      <c r="L775" t="s">
        <v>21</v>
      </c>
      <c r="M775" t="s">
        <v>19177</v>
      </c>
      <c r="N775" t="s">
        <v>300</v>
      </c>
      <c r="O775" t="s">
        <v>16373</v>
      </c>
      <c r="P775" t="s">
        <v>12</v>
      </c>
    </row>
    <row r="776">
      <c r="A776">
        <f>HYPERLINK("http://bombeiros.sp.gov.br/hidrantes/03individual/1567.html","1567")</f>
      </c>
      <c r="B776" t="s">
        <v>114</v>
      </c>
      <c r="C776" t="s">
        <v>144</v>
      </c>
      <c r="D776" t="s">
        <v>3394</v>
      </c>
      <c r="E776" t="s">
        <v>15</v>
      </c>
      <c r="F776" t="s">
        <v>3395</v>
      </c>
      <c r="G776" t="s">
        <v>18062</v>
      </c>
      <c r="H776" t="s">
        <v>1107</v>
      </c>
      <c r="I776" t="s">
        <v>1108</v>
      </c>
      <c r="J776" t="s">
        <v>3396</v>
      </c>
      <c r="K776" t="s">
        <v>3397</v>
      </c>
      <c r="L776" t="s">
        <v>21</v>
      </c>
      <c r="M776" t="s">
        <v>19177</v>
      </c>
      <c r="N776" t="s">
        <v>97</v>
      </c>
      <c r="O776" t="s">
        <v>937</v>
      </c>
      <c r="P776" t="s">
        <v>12</v>
      </c>
    </row>
    <row r="777">
      <c r="A777">
        <f>HYPERLINK("http://bombeiros.sp.gov.br/hidrantes/03individual/1564.html","1564")</f>
      </c>
      <c r="B777" t="s">
        <v>114</v>
      </c>
      <c r="C777" t="s">
        <v>144</v>
      </c>
      <c r="D777" t="s">
        <v>165</v>
      </c>
      <c r="E777" t="s">
        <v>64</v>
      </c>
      <c r="F777" t="s">
        <v>3398</v>
      </c>
      <c r="G777" t="s">
        <v>18055</v>
      </c>
      <c r="H777" t="s">
        <v>1112</v>
      </c>
      <c r="I777" t="s">
        <v>1108</v>
      </c>
      <c r="J777" t="s">
        <v>3399</v>
      </c>
      <c r="K777" t="s">
        <v>3400</v>
      </c>
      <c r="L777" t="s">
        <v>21</v>
      </c>
      <c r="M777" t="s">
        <v>19177</v>
      </c>
      <c r="N777" t="s">
        <v>97</v>
      </c>
      <c r="O777" t="s">
        <v>937</v>
      </c>
      <c r="P777" t="s">
        <v>12</v>
      </c>
    </row>
    <row r="778">
      <c r="A778">
        <f>HYPERLINK("http://bombeiros.sp.gov.br/hidrantes/03individual/1587.html","1587")</f>
      </c>
      <c r="B778" t="s">
        <v>114</v>
      </c>
      <c r="C778" t="s">
        <v>144</v>
      </c>
      <c r="D778" t="s">
        <v>165</v>
      </c>
      <c r="E778" t="s">
        <v>64</v>
      </c>
      <c r="F778" t="s">
        <v>3401</v>
      </c>
      <c r="G778" t="s">
        <v>18098</v>
      </c>
      <c r="H778" t="s">
        <v>1112</v>
      </c>
      <c r="I778" t="s">
        <v>1108</v>
      </c>
      <c r="J778" t="s">
        <v>3402</v>
      </c>
      <c r="K778" t="s">
        <v>3403</v>
      </c>
      <c r="L778" t="s">
        <v>21</v>
      </c>
      <c r="M778" t="s">
        <v>19177</v>
      </c>
      <c r="N778" t="s">
        <v>97</v>
      </c>
      <c r="O778" t="s">
        <v>937</v>
      </c>
      <c r="P778" t="s">
        <v>12</v>
      </c>
    </row>
    <row r="779">
      <c r="A779">
        <f>HYPERLINK("http://bombeiros.sp.gov.br/hidrantes/03individual/778.html","778")</f>
      </c>
      <c r="B779" t="s">
        <v>114</v>
      </c>
      <c r="C779" t="s">
        <v>144</v>
      </c>
      <c r="D779" t="s">
        <v>165</v>
      </c>
      <c r="E779" t="s">
        <v>15</v>
      </c>
      <c r="F779" t="s">
        <v>3404</v>
      </c>
      <c r="G779" t="s">
        <v>18062</v>
      </c>
      <c r="H779" t="s">
        <v>1121</v>
      </c>
      <c r="I779" t="s">
        <v>1117</v>
      </c>
      <c r="J779" t="s">
        <v>3405</v>
      </c>
      <c r="K779" t="s">
        <v>3406</v>
      </c>
      <c r="L779" t="s">
        <v>21</v>
      </c>
      <c r="M779" t="s">
        <v>19177</v>
      </c>
      <c r="N779" t="s">
        <v>97</v>
      </c>
      <c r="O779" t="s">
        <v>937</v>
      </c>
      <c r="P779" t="s">
        <v>12</v>
      </c>
    </row>
    <row r="780">
      <c r="A780">
        <f>HYPERLINK("http://bombeiros.sp.gov.br/hidrantes/03individual/779.html","779")</f>
      </c>
      <c r="B780" t="s">
        <v>114</v>
      </c>
      <c r="C780" t="s">
        <v>144</v>
      </c>
      <c r="D780" t="s">
        <v>165</v>
      </c>
      <c r="E780" t="s">
        <v>15</v>
      </c>
      <c r="F780" t="s">
        <v>3407</v>
      </c>
      <c r="G780" t="s">
        <v>18062</v>
      </c>
      <c r="H780" t="s">
        <v>1112</v>
      </c>
      <c r="I780" t="s">
        <v>1108</v>
      </c>
      <c r="J780" t="s">
        <v>3408</v>
      </c>
      <c r="K780" t="s">
        <v>3409</v>
      </c>
      <c r="L780" t="s">
        <v>21</v>
      </c>
      <c r="M780" t="s">
        <v>19177</v>
      </c>
      <c r="N780" t="s">
        <v>97</v>
      </c>
      <c r="O780" t="s">
        <v>937</v>
      </c>
      <c r="P780" t="s">
        <v>12</v>
      </c>
    </row>
    <row r="781">
      <c r="A781">
        <f>HYPERLINK("http://bombeiros.sp.gov.br/hidrantes/03individual/780.html","780")</f>
      </c>
      <c r="B781" t="s">
        <v>114</v>
      </c>
      <c r="C781" t="s">
        <v>144</v>
      </c>
      <c r="D781" t="s">
        <v>165</v>
      </c>
      <c r="E781" t="s">
        <v>15</v>
      </c>
      <c r="F781" t="s">
        <v>3410</v>
      </c>
      <c r="G781" t="s">
        <v>18062</v>
      </c>
      <c r="H781" t="s">
        <v>1112</v>
      </c>
      <c r="I781" t="s">
        <v>1108</v>
      </c>
      <c r="J781" t="s">
        <v>3411</v>
      </c>
      <c r="K781" t="s">
        <v>3412</v>
      </c>
      <c r="L781" t="s">
        <v>21</v>
      </c>
      <c r="M781" t="s">
        <v>19177</v>
      </c>
      <c r="N781" t="s">
        <v>97</v>
      </c>
      <c r="O781" t="s">
        <v>937</v>
      </c>
      <c r="P781" t="s">
        <v>12</v>
      </c>
    </row>
    <row r="782">
      <c r="A782">
        <f>HYPERLINK("http://bombeiros.sp.gov.br/hidrantes/03individual/998.html","998")</f>
      </c>
      <c r="B782" t="s">
        <v>114</v>
      </c>
      <c r="C782" t="s">
        <v>144</v>
      </c>
      <c r="D782" t="s">
        <v>165</v>
      </c>
      <c r="E782" t="s">
        <v>15</v>
      </c>
      <c r="F782" t="s">
        <v>3413</v>
      </c>
      <c r="G782" t="s">
        <v>18092</v>
      </c>
      <c r="H782" t="s">
        <v>1121</v>
      </c>
      <c r="I782" t="s">
        <v>1117</v>
      </c>
      <c r="J782" t="s">
        <v>3414</v>
      </c>
      <c r="K782" t="s">
        <v>3415</v>
      </c>
      <c r="L782" t="s">
        <v>21</v>
      </c>
      <c r="M782" t="s">
        <v>19177</v>
      </c>
      <c r="N782" t="s">
        <v>97</v>
      </c>
      <c r="O782" t="s">
        <v>937</v>
      </c>
      <c r="P782" t="s">
        <v>12</v>
      </c>
    </row>
    <row r="783">
      <c r="A783">
        <f>HYPERLINK("http://bombeiros.sp.gov.br/hidrantes/03individual/1348.html","1348")</f>
      </c>
      <c r="B783" t="s">
        <v>114</v>
      </c>
      <c r="C783" t="s">
        <v>144</v>
      </c>
      <c r="D783" t="s">
        <v>165</v>
      </c>
      <c r="E783" t="s">
        <v>15</v>
      </c>
      <c r="F783" t="s">
        <v>3416</v>
      </c>
      <c r="G783" t="s">
        <v>18055</v>
      </c>
      <c r="H783" t="s">
        <v>1107</v>
      </c>
      <c r="I783" t="s">
        <v>1108</v>
      </c>
      <c r="J783" t="s">
        <v>3417</v>
      </c>
      <c r="K783" t="s">
        <v>3418</v>
      </c>
      <c r="L783" t="s">
        <v>21</v>
      </c>
      <c r="M783" t="s">
        <v>19177</v>
      </c>
      <c r="N783" t="s">
        <v>97</v>
      </c>
      <c r="O783" t="s">
        <v>937</v>
      </c>
      <c r="P783" t="s">
        <v>12</v>
      </c>
    </row>
    <row r="784">
      <c r="A784">
        <f>HYPERLINK("http://bombeiros.sp.gov.br/hidrantes/03individual/1351.html","1351")</f>
      </c>
      <c r="B784" t="s">
        <v>114</v>
      </c>
      <c r="C784" t="s">
        <v>144</v>
      </c>
      <c r="D784" t="s">
        <v>165</v>
      </c>
      <c r="E784" t="s">
        <v>15</v>
      </c>
      <c r="F784" t="s">
        <v>3419</v>
      </c>
      <c r="G784" t="s">
        <v>18078</v>
      </c>
      <c r="H784" t="s">
        <v>1107</v>
      </c>
      <c r="I784" t="s">
        <v>1108</v>
      </c>
      <c r="J784" t="s">
        <v>3420</v>
      </c>
      <c r="K784" t="s">
        <v>3421</v>
      </c>
      <c r="L784" t="s">
        <v>21</v>
      </c>
      <c r="M784" t="s">
        <v>19177</v>
      </c>
      <c r="N784" t="s">
        <v>97</v>
      </c>
      <c r="O784" t="s">
        <v>937</v>
      </c>
      <c r="P784" t="s">
        <v>12</v>
      </c>
    </row>
    <row r="785">
      <c r="A785">
        <f>HYPERLINK("http://bombeiros.sp.gov.br/hidrantes/03individual/1353.html","1353")</f>
      </c>
      <c r="B785" t="s">
        <v>114</v>
      </c>
      <c r="C785" t="s">
        <v>144</v>
      </c>
      <c r="D785" t="s">
        <v>165</v>
      </c>
      <c r="E785" t="s">
        <v>15</v>
      </c>
      <c r="F785" t="s">
        <v>3422</v>
      </c>
      <c r="G785" t="s">
        <v>18055</v>
      </c>
      <c r="H785" t="s">
        <v>1112</v>
      </c>
      <c r="I785" t="s">
        <v>1108</v>
      </c>
      <c r="J785" t="s">
        <v>3423</v>
      </c>
      <c r="K785" t="s">
        <v>3424</v>
      </c>
      <c r="L785" t="s">
        <v>21</v>
      </c>
      <c r="M785" t="s">
        <v>19177</v>
      </c>
      <c r="N785" t="s">
        <v>97</v>
      </c>
      <c r="O785" t="s">
        <v>937</v>
      </c>
      <c r="P785" t="s">
        <v>12</v>
      </c>
    </row>
    <row r="786">
      <c r="A786">
        <f>HYPERLINK("http://bombeiros.sp.gov.br/hidrantes/03individual/1355.html","1355")</f>
      </c>
      <c r="B786" t="s">
        <v>114</v>
      </c>
      <c r="C786" t="s">
        <v>144</v>
      </c>
      <c r="D786" t="s">
        <v>165</v>
      </c>
      <c r="E786" t="s">
        <v>15</v>
      </c>
      <c r="F786" t="s">
        <v>3425</v>
      </c>
      <c r="G786" t="s">
        <v>18078</v>
      </c>
      <c r="H786" t="s">
        <v>1121</v>
      </c>
      <c r="I786" t="s">
        <v>1117</v>
      </c>
      <c r="J786" t="s">
        <v>3426</v>
      </c>
      <c r="K786" t="s">
        <v>3427</v>
      </c>
      <c r="L786" t="s">
        <v>21</v>
      </c>
      <c r="M786" t="s">
        <v>19177</v>
      </c>
      <c r="N786" t="s">
        <v>97</v>
      </c>
      <c r="O786" t="s">
        <v>937</v>
      </c>
      <c r="P786" t="s">
        <v>12</v>
      </c>
    </row>
    <row r="787">
      <c r="A787">
        <f>HYPERLINK("http://bombeiros.sp.gov.br/hidrantes/03individual/1415.html","1415")</f>
      </c>
      <c r="B787" t="s">
        <v>114</v>
      </c>
      <c r="C787" t="s">
        <v>144</v>
      </c>
      <c r="D787" t="s">
        <v>165</v>
      </c>
      <c r="E787" t="s">
        <v>15</v>
      </c>
      <c r="F787" t="s">
        <v>3428</v>
      </c>
      <c r="G787" t="s">
        <v>18078</v>
      </c>
      <c r="H787" t="s">
        <v>1121</v>
      </c>
      <c r="I787" t="s">
        <v>1117</v>
      </c>
      <c r="J787" t="s">
        <v>3429</v>
      </c>
      <c r="K787" t="s">
        <v>3430</v>
      </c>
      <c r="L787" t="s">
        <v>21</v>
      </c>
      <c r="M787" t="s">
        <v>19177</v>
      </c>
      <c r="N787" t="s">
        <v>300</v>
      </c>
      <c r="O787" t="s">
        <v>16373</v>
      </c>
      <c r="P787" t="s">
        <v>12</v>
      </c>
    </row>
    <row r="788">
      <c r="A788">
        <f>HYPERLINK("http://bombeiros.sp.gov.br/hidrantes/03individual/1421.html","1421")</f>
      </c>
      <c r="B788" t="s">
        <v>114</v>
      </c>
      <c r="C788" t="s">
        <v>144</v>
      </c>
      <c r="D788" t="s">
        <v>165</v>
      </c>
      <c r="E788" t="s">
        <v>15</v>
      </c>
      <c r="F788" t="s">
        <v>3431</v>
      </c>
      <c r="G788" t="s">
        <v>18062</v>
      </c>
      <c r="H788" t="s">
        <v>1112</v>
      </c>
      <c r="I788" t="s">
        <v>1108</v>
      </c>
      <c r="J788" t="s">
        <v>3432</v>
      </c>
      <c r="K788" t="s">
        <v>3433</v>
      </c>
      <c r="L788" t="s">
        <v>21</v>
      </c>
      <c r="M788" t="s">
        <v>19177</v>
      </c>
      <c r="N788" t="s">
        <v>300</v>
      </c>
      <c r="O788" t="s">
        <v>16373</v>
      </c>
      <c r="P788" t="s">
        <v>12</v>
      </c>
    </row>
    <row r="789">
      <c r="A789">
        <f>HYPERLINK("http://bombeiros.sp.gov.br/hidrantes/03individual/1423.html","1423")</f>
      </c>
      <c r="B789" t="s">
        <v>114</v>
      </c>
      <c r="C789" t="s">
        <v>144</v>
      </c>
      <c r="D789" t="s">
        <v>165</v>
      </c>
      <c r="E789" t="s">
        <v>15</v>
      </c>
      <c r="F789" t="s">
        <v>3434</v>
      </c>
      <c r="G789" t="s">
        <v>18098</v>
      </c>
      <c r="H789" t="s">
        <v>1174</v>
      </c>
      <c r="I789" t="s">
        <v>1117</v>
      </c>
      <c r="J789" t="s">
        <v>3435</v>
      </c>
      <c r="K789" t="s">
        <v>3436</v>
      </c>
      <c r="L789" t="s">
        <v>21</v>
      </c>
      <c r="M789" t="s">
        <v>19177</v>
      </c>
      <c r="N789" t="s">
        <v>300</v>
      </c>
      <c r="O789" t="s">
        <v>16373</v>
      </c>
      <c r="P789" t="s">
        <v>12</v>
      </c>
    </row>
    <row r="790">
      <c r="A790">
        <f>HYPERLINK("http://bombeiros.sp.gov.br/hidrantes/03individual/1529.html","1529")</f>
      </c>
      <c r="B790" t="s">
        <v>114</v>
      </c>
      <c r="C790" t="s">
        <v>144</v>
      </c>
      <c r="D790" t="s">
        <v>165</v>
      </c>
      <c r="E790" t="s">
        <v>15</v>
      </c>
      <c r="F790" t="s">
        <v>3437</v>
      </c>
      <c r="G790" t="s">
        <v>18098</v>
      </c>
      <c r="H790" t="s">
        <v>1112</v>
      </c>
      <c r="I790" t="s">
        <v>1108</v>
      </c>
      <c r="J790" t="s">
        <v>18274</v>
      </c>
      <c r="K790" t="s">
        <v>18275</v>
      </c>
      <c r="L790" t="s">
        <v>21</v>
      </c>
      <c r="M790" t="s">
        <v>19177</v>
      </c>
      <c r="N790" t="s">
        <v>97</v>
      </c>
      <c r="O790" t="s">
        <v>937</v>
      </c>
      <c r="P790" t="s">
        <v>12</v>
      </c>
    </row>
    <row r="791">
      <c r="A791">
        <f>HYPERLINK("http://bombeiros.sp.gov.br/hidrantes/03individual/1565.html","1565")</f>
      </c>
      <c r="B791" t="s">
        <v>114</v>
      </c>
      <c r="C791" t="s">
        <v>144</v>
      </c>
      <c r="D791" t="s">
        <v>165</v>
      </c>
      <c r="E791" t="s">
        <v>15</v>
      </c>
      <c r="F791" t="s">
        <v>3440</v>
      </c>
      <c r="G791" t="s">
        <v>18078</v>
      </c>
      <c r="H791" t="s">
        <v>1121</v>
      </c>
      <c r="I791" t="s">
        <v>1117</v>
      </c>
      <c r="J791" t="s">
        <v>3441</v>
      </c>
      <c r="K791" t="s">
        <v>3442</v>
      </c>
      <c r="L791" t="s">
        <v>21</v>
      </c>
      <c r="M791" t="s">
        <v>19177</v>
      </c>
      <c r="N791" t="s">
        <v>97</v>
      </c>
      <c r="O791" t="s">
        <v>937</v>
      </c>
      <c r="P791" t="s">
        <v>12</v>
      </c>
    </row>
    <row r="792">
      <c r="A792">
        <f>HYPERLINK("http://bombeiros.sp.gov.br/hidrantes/03individual/1576.html","1576")</f>
      </c>
      <c r="B792" t="s">
        <v>114</v>
      </c>
      <c r="C792" t="s">
        <v>144</v>
      </c>
      <c r="D792" t="s">
        <v>165</v>
      </c>
      <c r="E792" t="s">
        <v>15</v>
      </c>
      <c r="F792" t="s">
        <v>3443</v>
      </c>
      <c r="G792" t="s">
        <v>18098</v>
      </c>
      <c r="H792" t="s">
        <v>1112</v>
      </c>
      <c r="I792" t="s">
        <v>1108</v>
      </c>
      <c r="J792" t="s">
        <v>3444</v>
      </c>
      <c r="K792" t="s">
        <v>3445</v>
      </c>
      <c r="L792" t="s">
        <v>21</v>
      </c>
      <c r="M792" t="s">
        <v>19177</v>
      </c>
      <c r="N792" t="s">
        <v>97</v>
      </c>
      <c r="O792" t="s">
        <v>937</v>
      </c>
      <c r="P792" t="s">
        <v>12</v>
      </c>
    </row>
    <row r="793">
      <c r="A793">
        <f>HYPERLINK("http://bombeiros.sp.gov.br/hidrantes/03individual/1579.html","1579")</f>
      </c>
      <c r="B793" t="s">
        <v>114</v>
      </c>
      <c r="C793" t="s">
        <v>144</v>
      </c>
      <c r="D793" t="s">
        <v>165</v>
      </c>
      <c r="E793" t="s">
        <v>15</v>
      </c>
      <c r="F793" t="s">
        <v>3446</v>
      </c>
      <c r="G793" t="s">
        <v>18098</v>
      </c>
      <c r="H793" t="s">
        <v>1107</v>
      </c>
      <c r="I793" t="s">
        <v>1108</v>
      </c>
      <c r="J793" t="s">
        <v>3447</v>
      </c>
      <c r="K793" t="s">
        <v>3448</v>
      </c>
      <c r="L793" t="s">
        <v>21</v>
      </c>
      <c r="M793" t="s">
        <v>19177</v>
      </c>
      <c r="N793" t="s">
        <v>97</v>
      </c>
      <c r="O793" t="s">
        <v>937</v>
      </c>
      <c r="P793" t="s">
        <v>12</v>
      </c>
    </row>
    <row r="794">
      <c r="A794">
        <f>HYPERLINK("http://bombeiros.sp.gov.br/hidrantes/03individual/1583.html","1583")</f>
      </c>
      <c r="B794" t="s">
        <v>114</v>
      </c>
      <c r="C794" t="s">
        <v>144</v>
      </c>
      <c r="D794" t="s">
        <v>165</v>
      </c>
      <c r="E794" t="s">
        <v>15</v>
      </c>
      <c r="F794" t="s">
        <v>3449</v>
      </c>
      <c r="G794" t="s">
        <v>18055</v>
      </c>
      <c r="H794" t="s">
        <v>1107</v>
      </c>
      <c r="I794" t="s">
        <v>1108</v>
      </c>
      <c r="J794" t="s">
        <v>3450</v>
      </c>
      <c r="K794" t="s">
        <v>3451</v>
      </c>
      <c r="L794" t="s">
        <v>21</v>
      </c>
      <c r="M794" t="s">
        <v>19177</v>
      </c>
      <c r="N794" t="s">
        <v>97</v>
      </c>
      <c r="O794" t="s">
        <v>937</v>
      </c>
      <c r="P794" t="s">
        <v>12</v>
      </c>
    </row>
    <row r="795">
      <c r="A795">
        <f>HYPERLINK("http://bombeiros.sp.gov.br/hidrantes/03individual/1594.html","1594")</f>
      </c>
      <c r="B795" t="s">
        <v>114</v>
      </c>
      <c r="C795" t="s">
        <v>144</v>
      </c>
      <c r="D795" t="s">
        <v>165</v>
      </c>
      <c r="E795" t="s">
        <v>15</v>
      </c>
      <c r="F795" t="s">
        <v>169</v>
      </c>
      <c r="G795" t="s">
        <v>18098</v>
      </c>
      <c r="H795"/>
      <c r="I795" t="s">
        <v>18</v>
      </c>
      <c r="J795" t="s">
        <v>170</v>
      </c>
      <c r="K795" t="s">
        <v>171</v>
      </c>
      <c r="L795" t="s">
        <v>21</v>
      </c>
      <c r="M795" t="s">
        <v>19177</v>
      </c>
      <c r="N795" t="s">
        <v>97</v>
      </c>
      <c r="O795" t="s">
        <v>937</v>
      </c>
      <c r="P795" t="s">
        <v>12</v>
      </c>
    </row>
    <row r="796">
      <c r="A796">
        <f>HYPERLINK("http://bombeiros.sp.gov.br/hidrantes/03individual/1973.html","1973")</f>
      </c>
      <c r="B796" t="s">
        <v>114</v>
      </c>
      <c r="C796" t="s">
        <v>144</v>
      </c>
      <c r="D796" t="s">
        <v>165</v>
      </c>
      <c r="E796" t="s">
        <v>15</v>
      </c>
      <c r="F796" t="s">
        <v>3455</v>
      </c>
      <c r="G796" t="s">
        <v>18078</v>
      </c>
      <c r="H796" t="s">
        <v>1107</v>
      </c>
      <c r="I796" t="s">
        <v>1108</v>
      </c>
      <c r="J796" t="s">
        <v>3456</v>
      </c>
      <c r="K796" t="s">
        <v>3457</v>
      </c>
      <c r="L796" t="s">
        <v>21</v>
      </c>
      <c r="M796" t="s">
        <v>19177</v>
      </c>
      <c r="N796" t="s">
        <v>97</v>
      </c>
      <c r="O796" t="s">
        <v>937</v>
      </c>
      <c r="P796" t="s">
        <v>12</v>
      </c>
    </row>
    <row r="797">
      <c r="A797">
        <f>HYPERLINK("http://bombeiros.sp.gov.br/hidrantes/03individual/1974.html","1974")</f>
      </c>
      <c r="B797" t="s">
        <v>114</v>
      </c>
      <c r="C797" t="s">
        <v>144</v>
      </c>
      <c r="D797" t="s">
        <v>165</v>
      </c>
      <c r="E797" t="s">
        <v>15</v>
      </c>
      <c r="F797" t="s">
        <v>3458</v>
      </c>
      <c r="G797" t="s">
        <v>18062</v>
      </c>
      <c r="H797" t="s">
        <v>1107</v>
      </c>
      <c r="I797" t="s">
        <v>1108</v>
      </c>
      <c r="J797" t="s">
        <v>3459</v>
      </c>
      <c r="K797" t="s">
        <v>3460</v>
      </c>
      <c r="L797" t="s">
        <v>21</v>
      </c>
      <c r="M797" t="s">
        <v>19177</v>
      </c>
      <c r="N797" t="s">
        <v>97</v>
      </c>
      <c r="O797" t="s">
        <v>937</v>
      </c>
      <c r="P797" t="s">
        <v>12</v>
      </c>
    </row>
    <row r="798">
      <c r="A798">
        <f>HYPERLINK("http://bombeiros.sp.gov.br/hidrantes/03individual/1984.html","1984")</f>
      </c>
      <c r="B798" t="s">
        <v>114</v>
      </c>
      <c r="C798" t="s">
        <v>144</v>
      </c>
      <c r="D798" t="s">
        <v>165</v>
      </c>
      <c r="E798" t="s">
        <v>15</v>
      </c>
      <c r="F798" t="s">
        <v>3461</v>
      </c>
      <c r="G798" t="s">
        <v>18055</v>
      </c>
      <c r="H798" t="s">
        <v>1107</v>
      </c>
      <c r="I798" t="s">
        <v>1108</v>
      </c>
      <c r="J798" t="s">
        <v>3462</v>
      </c>
      <c r="K798" t="s">
        <v>3463</v>
      </c>
      <c r="L798" t="s">
        <v>21</v>
      </c>
      <c r="M798" t="s">
        <v>19177</v>
      </c>
      <c r="N798" t="s">
        <v>97</v>
      </c>
      <c r="O798" t="s">
        <v>937</v>
      </c>
      <c r="P798" t="s">
        <v>12</v>
      </c>
    </row>
    <row r="799">
      <c r="A799">
        <f>HYPERLINK("http://bombeiros.sp.gov.br/hidrantes/03individual/1985.html","1985")</f>
      </c>
      <c r="B799" t="s">
        <v>114</v>
      </c>
      <c r="C799" t="s">
        <v>144</v>
      </c>
      <c r="D799" t="s">
        <v>165</v>
      </c>
      <c r="E799" t="s">
        <v>15</v>
      </c>
      <c r="F799" t="s">
        <v>3464</v>
      </c>
      <c r="G799" t="s">
        <v>18055</v>
      </c>
      <c r="H799" t="s">
        <v>1112</v>
      </c>
      <c r="I799" t="s">
        <v>1108</v>
      </c>
      <c r="J799" t="s">
        <v>3465</v>
      </c>
      <c r="K799" t="s">
        <v>3466</v>
      </c>
      <c r="L799" t="s">
        <v>21</v>
      </c>
      <c r="M799" t="s">
        <v>19177</v>
      </c>
      <c r="N799" t="s">
        <v>97</v>
      </c>
      <c r="O799" t="s">
        <v>937</v>
      </c>
      <c r="P799" t="s">
        <v>12</v>
      </c>
    </row>
    <row r="800">
      <c r="A800">
        <f>HYPERLINK("http://bombeiros.sp.gov.br/hidrantes/03individual/1335.html","1335")</f>
      </c>
      <c r="B800" t="s">
        <v>114</v>
      </c>
      <c r="C800" t="s">
        <v>144</v>
      </c>
      <c r="D800" t="s">
        <v>3467</v>
      </c>
      <c r="E800" t="s">
        <v>64</v>
      </c>
      <c r="F800" t="s">
        <v>3468</v>
      </c>
      <c r="G800" t="s">
        <v>18046</v>
      </c>
      <c r="H800" t="s">
        <v>1107</v>
      </c>
      <c r="I800" t="s">
        <v>1108</v>
      </c>
      <c r="J800" t="s">
        <v>3469</v>
      </c>
      <c r="K800" t="s">
        <v>3470</v>
      </c>
      <c r="L800" t="s">
        <v>36</v>
      </c>
      <c r="M800" t="s">
        <v>19177</v>
      </c>
      <c r="N800" t="s">
        <v>300</v>
      </c>
      <c r="O800" t="s">
        <v>16373</v>
      </c>
      <c r="P800" t="s">
        <v>12</v>
      </c>
    </row>
    <row r="801">
      <c r="A801">
        <f>HYPERLINK("http://bombeiros.sp.gov.br/hidrantes/03individual/3308.html","3308")</f>
      </c>
      <c r="B801" t="s">
        <v>114</v>
      </c>
      <c r="C801" t="s">
        <v>144</v>
      </c>
      <c r="D801" t="s">
        <v>3467</v>
      </c>
      <c r="E801" t="s">
        <v>64</v>
      </c>
      <c r="F801" t="s">
        <v>3471</v>
      </c>
      <c r="G801" t="s">
        <v>18067</v>
      </c>
      <c r="H801" t="s">
        <v>1121</v>
      </c>
      <c r="I801" t="s">
        <v>1117</v>
      </c>
      <c r="J801" t="s">
        <v>3472</v>
      </c>
      <c r="K801" t="s">
        <v>3473</v>
      </c>
      <c r="L801" t="s">
        <v>36</v>
      </c>
      <c r="M801" t="s">
        <v>19177</v>
      </c>
      <c r="N801" t="s">
        <v>300</v>
      </c>
      <c r="O801" t="s">
        <v>16373</v>
      </c>
      <c r="P801" t="s">
        <v>12</v>
      </c>
    </row>
    <row r="802">
      <c r="A802">
        <f>HYPERLINK("http://bombeiros.sp.gov.br/hidrantes/03individual/1654.html","1654")</f>
      </c>
      <c r="B802" t="s">
        <v>114</v>
      </c>
      <c r="C802" t="s">
        <v>144</v>
      </c>
      <c r="D802" t="s">
        <v>3467</v>
      </c>
      <c r="E802" t="s">
        <v>15</v>
      </c>
      <c r="F802" t="s">
        <v>3474</v>
      </c>
      <c r="G802" t="s">
        <v>18042</v>
      </c>
      <c r="H802" t="s">
        <v>1112</v>
      </c>
      <c r="I802" t="s">
        <v>1108</v>
      </c>
      <c r="J802" t="s">
        <v>3475</v>
      </c>
      <c r="K802" t="s">
        <v>3476</v>
      </c>
      <c r="L802" t="s">
        <v>21</v>
      </c>
      <c r="M802" t="s">
        <v>19177</v>
      </c>
      <c r="N802" t="s">
        <v>300</v>
      </c>
      <c r="O802" t="s">
        <v>16373</v>
      </c>
      <c r="P802" t="s">
        <v>12</v>
      </c>
    </row>
    <row r="803">
      <c r="A803">
        <f>HYPERLINK("http://bombeiros.sp.gov.br/hidrantes/03individual/3050.html","3050")</f>
      </c>
      <c r="B803" t="s">
        <v>114</v>
      </c>
      <c r="C803" t="s">
        <v>144</v>
      </c>
      <c r="D803" t="s">
        <v>3467</v>
      </c>
      <c r="E803" t="s">
        <v>15</v>
      </c>
      <c r="F803" t="s">
        <v>3477</v>
      </c>
      <c r="G803" t="s">
        <v>18067</v>
      </c>
      <c r="H803" t="s">
        <v>1121</v>
      </c>
      <c r="I803" t="s">
        <v>1117</v>
      </c>
      <c r="J803" t="s">
        <v>3478</v>
      </c>
      <c r="K803" t="s">
        <v>3479</v>
      </c>
      <c r="L803" t="s">
        <v>21</v>
      </c>
      <c r="M803" t="s">
        <v>19177</v>
      </c>
      <c r="N803" t="s">
        <v>300</v>
      </c>
      <c r="O803" t="s">
        <v>16373</v>
      </c>
      <c r="P803" t="s">
        <v>12</v>
      </c>
    </row>
    <row r="804">
      <c r="A804">
        <f>HYPERLINK("http://bombeiros.sp.gov.br/hidrantes/03individual/3299.html","3299")</f>
      </c>
      <c r="B804" t="s">
        <v>114</v>
      </c>
      <c r="C804" t="s">
        <v>144</v>
      </c>
      <c r="D804" t="s">
        <v>3467</v>
      </c>
      <c r="E804" t="s">
        <v>15</v>
      </c>
      <c r="F804" t="s">
        <v>3480</v>
      </c>
      <c r="G804" t="s">
        <v>18042</v>
      </c>
      <c r="H804" t="s">
        <v>1112</v>
      </c>
      <c r="I804" t="s">
        <v>1108</v>
      </c>
      <c r="J804" t="s">
        <v>3481</v>
      </c>
      <c r="K804" t="s">
        <v>3482</v>
      </c>
      <c r="L804" t="s">
        <v>21</v>
      </c>
      <c r="M804" t="s">
        <v>19177</v>
      </c>
      <c r="N804" t="s">
        <v>300</v>
      </c>
      <c r="O804" t="s">
        <v>16373</v>
      </c>
      <c r="P804" t="s">
        <v>12</v>
      </c>
    </row>
    <row r="805">
      <c r="A805">
        <f>HYPERLINK("http://bombeiros.sp.gov.br/hidrantes/03individual/3305.html","3305")</f>
      </c>
      <c r="B805" t="s">
        <v>114</v>
      </c>
      <c r="C805" t="s">
        <v>144</v>
      </c>
      <c r="D805" t="s">
        <v>3467</v>
      </c>
      <c r="E805" t="s">
        <v>15</v>
      </c>
      <c r="F805" t="s">
        <v>3483</v>
      </c>
      <c r="G805" t="s">
        <v>18042</v>
      </c>
      <c r="H805" t="s">
        <v>1107</v>
      </c>
      <c r="I805" t="s">
        <v>1117</v>
      </c>
      <c r="J805" t="s">
        <v>3484</v>
      </c>
      <c r="K805" t="s">
        <v>3485</v>
      </c>
      <c r="L805" t="s">
        <v>36</v>
      </c>
      <c r="M805" t="s">
        <v>19177</v>
      </c>
      <c r="N805" t="s">
        <v>300</v>
      </c>
      <c r="O805" t="s">
        <v>16373</v>
      </c>
      <c r="P805" t="s">
        <v>12</v>
      </c>
    </row>
    <row r="806">
      <c r="A806">
        <f>HYPERLINK("http://bombeiros.sp.gov.br/hidrantes/03individual/128.html","128")</f>
      </c>
      <c r="B806" t="s">
        <v>114</v>
      </c>
      <c r="C806" t="s">
        <v>172</v>
      </c>
      <c r="D806" t="s">
        <v>172</v>
      </c>
      <c r="E806" t="s">
        <v>64</v>
      </c>
      <c r="F806" t="s">
        <v>3486</v>
      </c>
      <c r="G806" t="s">
        <v>18157</v>
      </c>
      <c r="H806" t="s">
        <v>1121</v>
      </c>
      <c r="I806" t="s">
        <v>1117</v>
      </c>
      <c r="J806" t="s">
        <v>3488</v>
      </c>
      <c r="K806" t="s">
        <v>3489</v>
      </c>
      <c r="L806" t="s">
        <v>36</v>
      </c>
      <c r="M806" t="s">
        <v>19177</v>
      </c>
      <c r="N806" t="s">
        <v>97</v>
      </c>
      <c r="O806" t="s">
        <v>937</v>
      </c>
      <c r="P806" t="s">
        <v>12</v>
      </c>
    </row>
    <row r="807">
      <c r="A807">
        <f>HYPERLINK("http://bombeiros.sp.gov.br/hidrantes/03individual/177.html","177")</f>
      </c>
      <c r="B807" t="s">
        <v>114</v>
      </c>
      <c r="C807" t="s">
        <v>172</v>
      </c>
      <c r="D807" t="s">
        <v>172</v>
      </c>
      <c r="E807" t="s">
        <v>64</v>
      </c>
      <c r="F807" t="s">
        <v>3490</v>
      </c>
      <c r="G807" t="s">
        <v>18145</v>
      </c>
      <c r="H807"/>
      <c r="I807" t="s">
        <v>18</v>
      </c>
      <c r="J807" t="s">
        <v>3491</v>
      </c>
      <c r="K807" t="s">
        <v>3492</v>
      </c>
      <c r="L807" t="s">
        <v>36</v>
      </c>
      <c r="M807" t="s">
        <v>19177</v>
      </c>
      <c r="N807" t="s">
        <v>97</v>
      </c>
      <c r="O807" t="s">
        <v>937</v>
      </c>
      <c r="P807" t="s">
        <v>12</v>
      </c>
    </row>
    <row r="808">
      <c r="A808">
        <f>HYPERLINK("http://bombeiros.sp.gov.br/hidrantes/03individual/1920.html","1920")</f>
      </c>
      <c r="B808" t="s">
        <v>114</v>
      </c>
      <c r="C808" t="s">
        <v>172</v>
      </c>
      <c r="D808" t="s">
        <v>172</v>
      </c>
      <c r="E808" t="s">
        <v>64</v>
      </c>
      <c r="F808" t="s">
        <v>3493</v>
      </c>
      <c r="G808" t="s">
        <v>18145</v>
      </c>
      <c r="H808" t="s">
        <v>1121</v>
      </c>
      <c r="I808" t="s">
        <v>1117</v>
      </c>
      <c r="J808" t="s">
        <v>3494</v>
      </c>
      <c r="K808" t="s">
        <v>3495</v>
      </c>
      <c r="L808" t="s">
        <v>21</v>
      </c>
      <c r="M808" t="s">
        <v>19177</v>
      </c>
      <c r="N808" t="s">
        <v>97</v>
      </c>
      <c r="O808" t="s">
        <v>937</v>
      </c>
      <c r="P808" t="s">
        <v>12</v>
      </c>
    </row>
    <row r="809">
      <c r="A809">
        <f>HYPERLINK("http://bombeiros.sp.gov.br/hidrantes/03individual/1948.html","1948")</f>
      </c>
      <c r="B809" t="s">
        <v>114</v>
      </c>
      <c r="C809" t="s">
        <v>172</v>
      </c>
      <c r="D809" t="s">
        <v>172</v>
      </c>
      <c r="E809" t="s">
        <v>64</v>
      </c>
      <c r="F809" t="s">
        <v>3496</v>
      </c>
      <c r="G809" t="s">
        <v>18145</v>
      </c>
      <c r="H809" t="s">
        <v>1121</v>
      </c>
      <c r="I809" t="s">
        <v>1117</v>
      </c>
      <c r="J809" t="s">
        <v>3497</v>
      </c>
      <c r="K809" t="s">
        <v>3498</v>
      </c>
      <c r="L809" t="s">
        <v>21</v>
      </c>
      <c r="M809" t="s">
        <v>19177</v>
      </c>
      <c r="N809" t="s">
        <v>97</v>
      </c>
      <c r="O809" t="s">
        <v>937</v>
      </c>
      <c r="P809" t="s">
        <v>12</v>
      </c>
    </row>
    <row r="810">
      <c r="A810">
        <f>HYPERLINK("http://bombeiros.sp.gov.br/hidrantes/03individual/2832.html","2832")</f>
      </c>
      <c r="B810" t="s">
        <v>114</v>
      </c>
      <c r="C810" t="s">
        <v>172</v>
      </c>
      <c r="D810" t="s">
        <v>172</v>
      </c>
      <c r="E810" t="s">
        <v>64</v>
      </c>
      <c r="F810" t="s">
        <v>3499</v>
      </c>
      <c r="G810" t="s">
        <v>18081</v>
      </c>
      <c r="H810" t="s">
        <v>1121</v>
      </c>
      <c r="I810" t="s">
        <v>1117</v>
      </c>
      <c r="J810" t="s">
        <v>3500</v>
      </c>
      <c r="K810" t="s">
        <v>3501</v>
      </c>
      <c r="L810" t="s">
        <v>21</v>
      </c>
      <c r="M810" t="s">
        <v>19177</v>
      </c>
      <c r="N810" t="s">
        <v>97</v>
      </c>
      <c r="O810" t="s">
        <v>937</v>
      </c>
      <c r="P810" t="s">
        <v>12</v>
      </c>
    </row>
    <row r="811">
      <c r="A811">
        <f>HYPERLINK("http://bombeiros.sp.gov.br/hidrantes/03individual/27308.html","27308")</f>
      </c>
      <c r="B811" t="s">
        <v>114</v>
      </c>
      <c r="C811" t="s">
        <v>172</v>
      </c>
      <c r="D811" t="s">
        <v>172</v>
      </c>
      <c r="E811" t="s">
        <v>64</v>
      </c>
      <c r="F811" t="s">
        <v>17069</v>
      </c>
      <c r="G811" t="s">
        <v>18145</v>
      </c>
      <c r="H811" t="s">
        <v>1121</v>
      </c>
      <c r="I811" t="s">
        <v>1117</v>
      </c>
      <c r="J811" t="s">
        <v>17070</v>
      </c>
      <c r="K811" t="s">
        <v>17071</v>
      </c>
      <c r="L811" t="s">
        <v>21</v>
      </c>
      <c r="M811" t="s">
        <v>19177</v>
      </c>
      <c r="N811" t="s">
        <v>97</v>
      </c>
      <c r="O811" t="s">
        <v>937</v>
      </c>
      <c r="P811" t="s">
        <v>12</v>
      </c>
    </row>
    <row r="812">
      <c r="A812">
        <f>HYPERLINK("http://bombeiros.sp.gov.br/hidrantes/03individual/65.html","65")</f>
      </c>
      <c r="B812" t="s">
        <v>114</v>
      </c>
      <c r="C812" t="s">
        <v>172</v>
      </c>
      <c r="D812" t="s">
        <v>172</v>
      </c>
      <c r="E812" t="s">
        <v>15</v>
      </c>
      <c r="F812" t="s">
        <v>3502</v>
      </c>
      <c r="G812" t="s">
        <v>18157</v>
      </c>
      <c r="H812" t="s">
        <v>1121</v>
      </c>
      <c r="I812" t="s">
        <v>1117</v>
      </c>
      <c r="J812" t="s">
        <v>3503</v>
      </c>
      <c r="K812" t="s">
        <v>3504</v>
      </c>
      <c r="L812" t="s">
        <v>21</v>
      </c>
      <c r="M812" t="s">
        <v>19177</v>
      </c>
      <c r="N812" t="s">
        <v>97</v>
      </c>
      <c r="O812" t="s">
        <v>937</v>
      </c>
      <c r="P812" t="s">
        <v>12</v>
      </c>
    </row>
    <row r="813">
      <c r="A813">
        <f>HYPERLINK("http://bombeiros.sp.gov.br/hidrantes/03individual/175.html","175")</f>
      </c>
      <c r="B813" t="s">
        <v>114</v>
      </c>
      <c r="C813" t="s">
        <v>172</v>
      </c>
      <c r="D813" t="s">
        <v>172</v>
      </c>
      <c r="E813" t="s">
        <v>15</v>
      </c>
      <c r="F813" t="s">
        <v>3508</v>
      </c>
      <c r="G813" t="s">
        <v>18050</v>
      </c>
      <c r="H813" t="s">
        <v>1112</v>
      </c>
      <c r="I813" t="s">
        <v>1108</v>
      </c>
      <c r="J813" t="s">
        <v>3509</v>
      </c>
      <c r="K813" t="s">
        <v>3510</v>
      </c>
      <c r="L813" t="s">
        <v>21</v>
      </c>
      <c r="M813" t="s">
        <v>19177</v>
      </c>
      <c r="N813" t="s">
        <v>97</v>
      </c>
      <c r="O813" t="s">
        <v>937</v>
      </c>
      <c r="P813" t="s">
        <v>12</v>
      </c>
    </row>
    <row r="814">
      <c r="A814">
        <f>HYPERLINK("http://bombeiros.sp.gov.br/hidrantes/03individual/199.html","199")</f>
      </c>
      <c r="B814" t="s">
        <v>114</v>
      </c>
      <c r="C814" t="s">
        <v>172</v>
      </c>
      <c r="D814" t="s">
        <v>172</v>
      </c>
      <c r="E814" t="s">
        <v>15</v>
      </c>
      <c r="F814" t="s">
        <v>3511</v>
      </c>
      <c r="G814" t="s">
        <v>18145</v>
      </c>
      <c r="H814" t="s">
        <v>1107</v>
      </c>
      <c r="I814" t="s">
        <v>1108</v>
      </c>
      <c r="J814" t="s">
        <v>3512</v>
      </c>
      <c r="K814" t="s">
        <v>3513</v>
      </c>
      <c r="L814" t="s">
        <v>21</v>
      </c>
      <c r="M814" t="s">
        <v>19177</v>
      </c>
      <c r="N814" t="s">
        <v>97</v>
      </c>
      <c r="O814" t="s">
        <v>937</v>
      </c>
      <c r="P814" t="s">
        <v>12</v>
      </c>
    </row>
    <row r="815">
      <c r="A815">
        <f>HYPERLINK("http://bombeiros.sp.gov.br/hidrantes/03individual/202.html","202")</f>
      </c>
      <c r="B815" t="s">
        <v>114</v>
      </c>
      <c r="C815" t="s">
        <v>172</v>
      </c>
      <c r="D815" t="s">
        <v>172</v>
      </c>
      <c r="E815" t="s">
        <v>15</v>
      </c>
      <c r="F815" t="s">
        <v>3514</v>
      </c>
      <c r="G815" t="s">
        <v>18079</v>
      </c>
      <c r="H815" t="s">
        <v>1121</v>
      </c>
      <c r="I815" t="s">
        <v>1117</v>
      </c>
      <c r="J815" t="s">
        <v>3515</v>
      </c>
      <c r="K815" t="s">
        <v>3516</v>
      </c>
      <c r="L815" t="s">
        <v>21</v>
      </c>
      <c r="M815" t="s">
        <v>19177</v>
      </c>
      <c r="N815" t="s">
        <v>97</v>
      </c>
      <c r="O815" t="s">
        <v>937</v>
      </c>
      <c r="P815" t="s">
        <v>12</v>
      </c>
    </row>
    <row r="816">
      <c r="A816">
        <f>HYPERLINK("http://bombeiros.sp.gov.br/hidrantes/03individual/1853.html","1853")</f>
      </c>
      <c r="B816" t="s">
        <v>114</v>
      </c>
      <c r="C816" t="s">
        <v>172</v>
      </c>
      <c r="D816" t="s">
        <v>172</v>
      </c>
      <c r="E816" t="s">
        <v>15</v>
      </c>
      <c r="F816" t="s">
        <v>3517</v>
      </c>
      <c r="G816" t="s">
        <v>18070</v>
      </c>
      <c r="H816" t="s">
        <v>1121</v>
      </c>
      <c r="I816" t="s">
        <v>1117</v>
      </c>
      <c r="J816" t="s">
        <v>3518</v>
      </c>
      <c r="K816" t="s">
        <v>3519</v>
      </c>
      <c r="L816" t="s">
        <v>21</v>
      </c>
      <c r="M816" t="s">
        <v>19177</v>
      </c>
      <c r="N816" t="s">
        <v>97</v>
      </c>
      <c r="O816" t="s">
        <v>937</v>
      </c>
      <c r="P816" t="s">
        <v>12</v>
      </c>
    </row>
    <row r="817">
      <c r="A817">
        <f>HYPERLINK("http://bombeiros.sp.gov.br/hidrantes/03individual/1869.html","1869")</f>
      </c>
      <c r="B817" t="s">
        <v>114</v>
      </c>
      <c r="C817" t="s">
        <v>172</v>
      </c>
      <c r="D817" t="s">
        <v>172</v>
      </c>
      <c r="E817" t="s">
        <v>15</v>
      </c>
      <c r="F817" t="s">
        <v>3520</v>
      </c>
      <c r="G817" t="s">
        <v>18070</v>
      </c>
      <c r="H817" t="s">
        <v>1121</v>
      </c>
      <c r="I817" t="s">
        <v>1117</v>
      </c>
      <c r="J817" t="s">
        <v>3521</v>
      </c>
      <c r="K817" t="s">
        <v>3522</v>
      </c>
      <c r="L817" t="s">
        <v>21</v>
      </c>
      <c r="M817" t="s">
        <v>19177</v>
      </c>
      <c r="N817" t="s">
        <v>97</v>
      </c>
      <c r="O817" t="s">
        <v>937</v>
      </c>
      <c r="P817" t="s">
        <v>12</v>
      </c>
    </row>
    <row r="818">
      <c r="A818">
        <f>HYPERLINK("http://bombeiros.sp.gov.br/hidrantes/03individual/1925.html","1925")</f>
      </c>
      <c r="B818" t="s">
        <v>114</v>
      </c>
      <c r="C818" t="s">
        <v>172</v>
      </c>
      <c r="D818" t="s">
        <v>172</v>
      </c>
      <c r="E818" t="s">
        <v>15</v>
      </c>
      <c r="F818" t="s">
        <v>3523</v>
      </c>
      <c r="G818" t="s">
        <v>18081</v>
      </c>
      <c r="H818" t="s">
        <v>1107</v>
      </c>
      <c r="I818" t="s">
        <v>1108</v>
      </c>
      <c r="J818" t="s">
        <v>3524</v>
      </c>
      <c r="K818" t="s">
        <v>3525</v>
      </c>
      <c r="L818" t="s">
        <v>21</v>
      </c>
      <c r="M818" t="s">
        <v>19177</v>
      </c>
      <c r="N818" t="s">
        <v>97</v>
      </c>
      <c r="O818" t="s">
        <v>937</v>
      </c>
      <c r="P818" t="s">
        <v>12</v>
      </c>
    </row>
    <row r="819">
      <c r="A819">
        <f>HYPERLINK("http://bombeiros.sp.gov.br/hidrantes/03individual/1977.html","1977")</f>
      </c>
      <c r="B819" t="s">
        <v>114</v>
      </c>
      <c r="C819" t="s">
        <v>172</v>
      </c>
      <c r="D819" t="s">
        <v>172</v>
      </c>
      <c r="E819" t="s">
        <v>15</v>
      </c>
      <c r="F819" t="s">
        <v>3526</v>
      </c>
      <c r="G819" t="s">
        <v>18145</v>
      </c>
      <c r="H819" t="s">
        <v>1121</v>
      </c>
      <c r="I819" t="s">
        <v>1117</v>
      </c>
      <c r="J819" t="s">
        <v>3527</v>
      </c>
      <c r="K819" t="s">
        <v>3528</v>
      </c>
      <c r="L819" t="s">
        <v>21</v>
      </c>
      <c r="M819" t="s">
        <v>19177</v>
      </c>
      <c r="N819" t="s">
        <v>97</v>
      </c>
      <c r="O819" t="s">
        <v>937</v>
      </c>
      <c r="P819" t="s">
        <v>12</v>
      </c>
    </row>
    <row r="820">
      <c r="A820">
        <f>HYPERLINK("http://bombeiros.sp.gov.br/hidrantes/03individual/1979.html","1979")</f>
      </c>
      <c r="B820" t="s">
        <v>114</v>
      </c>
      <c r="C820" t="s">
        <v>172</v>
      </c>
      <c r="D820" t="s">
        <v>172</v>
      </c>
      <c r="E820" t="s">
        <v>15</v>
      </c>
      <c r="F820" t="s">
        <v>3529</v>
      </c>
      <c r="G820" t="s">
        <v>18145</v>
      </c>
      <c r="H820" t="s">
        <v>1174</v>
      </c>
      <c r="I820" t="s">
        <v>1117</v>
      </c>
      <c r="J820" t="s">
        <v>3530</v>
      </c>
      <c r="K820" t="s">
        <v>3531</v>
      </c>
      <c r="L820" t="s">
        <v>21</v>
      </c>
      <c r="M820" t="s">
        <v>19177</v>
      </c>
      <c r="N820" t="s">
        <v>97</v>
      </c>
      <c r="O820" t="s">
        <v>937</v>
      </c>
      <c r="P820" t="s">
        <v>12</v>
      </c>
    </row>
    <row r="821">
      <c r="A821">
        <f>HYPERLINK("http://bombeiros.sp.gov.br/hidrantes/03individual/2128.html","2128")</f>
      </c>
      <c r="B821" t="s">
        <v>114</v>
      </c>
      <c r="C821" t="s">
        <v>172</v>
      </c>
      <c r="D821" t="s">
        <v>172</v>
      </c>
      <c r="E821" t="s">
        <v>15</v>
      </c>
      <c r="F821" t="s">
        <v>3532</v>
      </c>
      <c r="G821" t="s">
        <v>18050</v>
      </c>
      <c r="H821" t="s">
        <v>1112</v>
      </c>
      <c r="I821" t="s">
        <v>1108</v>
      </c>
      <c r="J821" t="s">
        <v>3533</v>
      </c>
      <c r="K821" t="s">
        <v>3534</v>
      </c>
      <c r="L821" t="s">
        <v>21</v>
      </c>
      <c r="M821" t="s">
        <v>19177</v>
      </c>
      <c r="N821" t="s">
        <v>97</v>
      </c>
      <c r="O821" t="s">
        <v>937</v>
      </c>
      <c r="P821" t="s">
        <v>12</v>
      </c>
    </row>
    <row r="822">
      <c r="A822">
        <f>HYPERLINK("http://bombeiros.sp.gov.br/hidrantes/03individual/2137.html","2137")</f>
      </c>
      <c r="B822" t="s">
        <v>114</v>
      </c>
      <c r="C822" t="s">
        <v>172</v>
      </c>
      <c r="D822" t="s">
        <v>172</v>
      </c>
      <c r="E822" t="s">
        <v>15</v>
      </c>
      <c r="F822" t="s">
        <v>3535</v>
      </c>
      <c r="G822" t="s">
        <v>18079</v>
      </c>
      <c r="H822" t="s">
        <v>1121</v>
      </c>
      <c r="I822" t="s">
        <v>1117</v>
      </c>
      <c r="J822" t="s">
        <v>3536</v>
      </c>
      <c r="K822" t="s">
        <v>3537</v>
      </c>
      <c r="L822" t="s">
        <v>21</v>
      </c>
      <c r="M822" t="s">
        <v>19177</v>
      </c>
      <c r="N822" t="s">
        <v>97</v>
      </c>
      <c r="O822" t="s">
        <v>937</v>
      </c>
      <c r="P822" t="s">
        <v>12</v>
      </c>
    </row>
    <row r="823">
      <c r="A823">
        <f>HYPERLINK("http://bombeiros.sp.gov.br/hidrantes/03individual/2139.html","2139")</f>
      </c>
      <c r="B823" t="s">
        <v>114</v>
      </c>
      <c r="C823" t="s">
        <v>172</v>
      </c>
      <c r="D823" t="s">
        <v>172</v>
      </c>
      <c r="E823" t="s">
        <v>15</v>
      </c>
      <c r="F823" t="s">
        <v>3538</v>
      </c>
      <c r="G823" t="s">
        <v>18079</v>
      </c>
      <c r="H823" t="s">
        <v>1121</v>
      </c>
      <c r="I823" t="s">
        <v>1117</v>
      </c>
      <c r="J823" t="s">
        <v>3539</v>
      </c>
      <c r="K823" t="s">
        <v>3540</v>
      </c>
      <c r="L823" t="s">
        <v>21</v>
      </c>
      <c r="M823" t="s">
        <v>19177</v>
      </c>
      <c r="N823" t="s">
        <v>97</v>
      </c>
      <c r="O823" t="s">
        <v>937</v>
      </c>
      <c r="P823" t="s">
        <v>12</v>
      </c>
    </row>
    <row r="824">
      <c r="A824">
        <f>HYPERLINK("http://bombeiros.sp.gov.br/hidrantes/03individual/2823.html","2823")</f>
      </c>
      <c r="B824" t="s">
        <v>114</v>
      </c>
      <c r="C824" t="s">
        <v>172</v>
      </c>
      <c r="D824" t="s">
        <v>172</v>
      </c>
      <c r="E824" t="s">
        <v>15</v>
      </c>
      <c r="F824" t="s">
        <v>3541</v>
      </c>
      <c r="G824" t="s">
        <v>18173</v>
      </c>
      <c r="H824" t="s">
        <v>1121</v>
      </c>
      <c r="I824" t="s">
        <v>1117</v>
      </c>
      <c r="J824" t="s">
        <v>17622</v>
      </c>
      <c r="K824" t="s">
        <v>17623</v>
      </c>
      <c r="L824" t="s">
        <v>21</v>
      </c>
      <c r="M824" t="s">
        <v>19177</v>
      </c>
      <c r="N824" t="s">
        <v>97</v>
      </c>
      <c r="O824" t="s">
        <v>937</v>
      </c>
      <c r="P824" t="s">
        <v>12</v>
      </c>
    </row>
    <row r="825">
      <c r="A825">
        <f>HYPERLINK("http://bombeiros.sp.gov.br/hidrantes/03individual/2826.html","2826")</f>
      </c>
      <c r="B825" t="s">
        <v>114</v>
      </c>
      <c r="C825" t="s">
        <v>172</v>
      </c>
      <c r="D825" t="s">
        <v>172</v>
      </c>
      <c r="E825" t="s">
        <v>15</v>
      </c>
      <c r="F825" t="s">
        <v>3544</v>
      </c>
      <c r="G825" t="s">
        <v>18173</v>
      </c>
      <c r="H825" t="s">
        <v>1121</v>
      </c>
      <c r="I825" t="s">
        <v>1117</v>
      </c>
      <c r="J825" t="s">
        <v>3545</v>
      </c>
      <c r="K825" t="s">
        <v>3546</v>
      </c>
      <c r="L825" t="s">
        <v>21</v>
      </c>
      <c r="M825" t="s">
        <v>19177</v>
      </c>
      <c r="N825" t="s">
        <v>97</v>
      </c>
      <c r="O825" t="s">
        <v>937</v>
      </c>
      <c r="P825" t="s">
        <v>12</v>
      </c>
    </row>
    <row r="826">
      <c r="A826">
        <f>HYPERLINK("http://bombeiros.sp.gov.br/hidrantes/03individual/2841.html","2841")</f>
      </c>
      <c r="B826" t="s">
        <v>114</v>
      </c>
      <c r="C826" t="s">
        <v>172</v>
      </c>
      <c r="D826" t="s">
        <v>172</v>
      </c>
      <c r="E826" t="s">
        <v>15</v>
      </c>
      <c r="F826" t="s">
        <v>3547</v>
      </c>
      <c r="G826" t="s">
        <v>18081</v>
      </c>
      <c r="H826" t="s">
        <v>1107</v>
      </c>
      <c r="I826" t="s">
        <v>1108</v>
      </c>
      <c r="J826" t="s">
        <v>3548</v>
      </c>
      <c r="K826" t="s">
        <v>3549</v>
      </c>
      <c r="L826" t="s">
        <v>21</v>
      </c>
      <c r="M826" t="s">
        <v>19177</v>
      </c>
      <c r="N826" t="s">
        <v>97</v>
      </c>
      <c r="O826" t="s">
        <v>937</v>
      </c>
      <c r="P826" t="s">
        <v>12</v>
      </c>
    </row>
    <row r="827">
      <c r="A827">
        <f>HYPERLINK("http://bombeiros.sp.gov.br/hidrantes/03individual/6783.html","6783")</f>
      </c>
      <c r="B827" t="s">
        <v>114</v>
      </c>
      <c r="C827" t="s">
        <v>172</v>
      </c>
      <c r="D827" t="s">
        <v>172</v>
      </c>
      <c r="E827" t="s">
        <v>15</v>
      </c>
      <c r="F827" t="s">
        <v>3550</v>
      </c>
      <c r="G827" t="s">
        <v>18081</v>
      </c>
      <c r="H827" t="s">
        <v>1121</v>
      </c>
      <c r="I827" t="s">
        <v>1117</v>
      </c>
      <c r="J827" t="s">
        <v>3551</v>
      </c>
      <c r="K827" t="s">
        <v>3552</v>
      </c>
      <c r="L827" t="s">
        <v>36</v>
      </c>
      <c r="M827" t="s">
        <v>19177</v>
      </c>
      <c r="N827" t="s">
        <v>97</v>
      </c>
      <c r="O827" t="s">
        <v>937</v>
      </c>
      <c r="P827" t="s">
        <v>12</v>
      </c>
    </row>
    <row r="828">
      <c r="A828">
        <f>HYPERLINK("http://bombeiros.sp.gov.br/hidrantes/03individual/16646.html","16646")</f>
      </c>
      <c r="B828" t="s">
        <v>114</v>
      </c>
      <c r="C828" t="s">
        <v>172</v>
      </c>
      <c r="D828" t="s">
        <v>172</v>
      </c>
      <c r="E828" t="s">
        <v>15</v>
      </c>
      <c r="F828" t="s">
        <v>3553</v>
      </c>
      <c r="G828" t="s">
        <v>18081</v>
      </c>
      <c r="H828" t="s">
        <v>1107</v>
      </c>
      <c r="I828" t="s">
        <v>1108</v>
      </c>
      <c r="J828" t="s">
        <v>3554</v>
      </c>
      <c r="K828" t="s">
        <v>3555</v>
      </c>
      <c r="L828" t="s">
        <v>21</v>
      </c>
      <c r="M828" t="s">
        <v>19177</v>
      </c>
      <c r="N828" t="s">
        <v>97</v>
      </c>
      <c r="O828" t="s">
        <v>937</v>
      </c>
      <c r="P828" t="s">
        <v>12</v>
      </c>
    </row>
    <row r="829">
      <c r="A829">
        <f>HYPERLINK("http://bombeiros.sp.gov.br/hidrantes/03individual/17907.html","17907")</f>
      </c>
      <c r="B829" t="s">
        <v>114</v>
      </c>
      <c r="C829" t="s">
        <v>172</v>
      </c>
      <c r="D829" t="s">
        <v>172</v>
      </c>
      <c r="E829" t="s">
        <v>15</v>
      </c>
      <c r="F829" t="s">
        <v>3556</v>
      </c>
      <c r="G829" t="s">
        <v>18165</v>
      </c>
      <c r="H829" t="s">
        <v>1121</v>
      </c>
      <c r="I829" t="s">
        <v>1117</v>
      </c>
      <c r="J829" t="s">
        <v>3557</v>
      </c>
      <c r="K829" t="s">
        <v>3558</v>
      </c>
      <c r="L829" t="s">
        <v>21</v>
      </c>
      <c r="M829" t="s">
        <v>19177</v>
      </c>
      <c r="N829" t="s">
        <v>97</v>
      </c>
      <c r="O829" t="s">
        <v>937</v>
      </c>
      <c r="P829" t="s">
        <v>12</v>
      </c>
    </row>
    <row r="830">
      <c r="A830">
        <f>HYPERLINK("http://bombeiros.sp.gov.br/hidrantes/03individual/26838.html","26838")</f>
      </c>
      <c r="B830" t="s">
        <v>114</v>
      </c>
      <c r="C830" t="s">
        <v>172</v>
      </c>
      <c r="D830" t="s">
        <v>172</v>
      </c>
      <c r="E830" t="s">
        <v>15</v>
      </c>
      <c r="F830" t="s">
        <v>16123</v>
      </c>
      <c r="G830" t="s">
        <v>18145</v>
      </c>
      <c r="H830" t="s">
        <v>1121</v>
      </c>
      <c r="I830" t="s">
        <v>1117</v>
      </c>
      <c r="J830" t="s">
        <v>16124</v>
      </c>
      <c r="K830" t="s">
        <v>16125</v>
      </c>
      <c r="L830" t="s">
        <v>21</v>
      </c>
      <c r="M830" t="s">
        <v>19177</v>
      </c>
      <c r="N830" t="s">
        <v>97</v>
      </c>
      <c r="O830" t="s">
        <v>937</v>
      </c>
      <c r="P830" t="s">
        <v>12</v>
      </c>
    </row>
    <row r="831">
      <c r="A831">
        <f>HYPERLINK("http://bombeiros.sp.gov.br/hidrantes/03individual/27307.html","27307")</f>
      </c>
      <c r="B831" t="s">
        <v>114</v>
      </c>
      <c r="C831" t="s">
        <v>172</v>
      </c>
      <c r="D831" t="s">
        <v>172</v>
      </c>
      <c r="E831" t="s">
        <v>15</v>
      </c>
      <c r="F831" t="s">
        <v>17072</v>
      </c>
      <c r="G831" t="s">
        <v>18081</v>
      </c>
      <c r="H831" t="s">
        <v>1121</v>
      </c>
      <c r="I831" t="s">
        <v>1117</v>
      </c>
      <c r="J831" t="s">
        <v>17073</v>
      </c>
      <c r="K831" t="s">
        <v>17074</v>
      </c>
      <c r="L831" t="s">
        <v>21</v>
      </c>
      <c r="M831" t="s">
        <v>19177</v>
      </c>
      <c r="N831" t="s">
        <v>97</v>
      </c>
      <c r="O831" t="s">
        <v>937</v>
      </c>
      <c r="P831" t="s">
        <v>12</v>
      </c>
    </row>
    <row r="832">
      <c r="A832">
        <f>HYPERLINK("http://bombeiros.sp.gov.br/hidrantes/03individual/27869.html","27869")</f>
      </c>
      <c r="B832" t="s">
        <v>114</v>
      </c>
      <c r="C832" t="s">
        <v>172</v>
      </c>
      <c r="D832" t="s">
        <v>172</v>
      </c>
      <c r="E832" t="s">
        <v>15</v>
      </c>
      <c r="F832" t="s">
        <v>17862</v>
      </c>
      <c r="G832" t="s">
        <v>18145</v>
      </c>
      <c r="H832" t="s">
        <v>1107</v>
      </c>
      <c r="I832" t="s">
        <v>1108</v>
      </c>
      <c r="J832" t="s">
        <v>17863</v>
      </c>
      <c r="K832" t="s">
        <v>17864</v>
      </c>
      <c r="L832" t="s">
        <v>21</v>
      </c>
      <c r="M832" t="s">
        <v>19177</v>
      </c>
      <c r="N832" t="s">
        <v>97</v>
      </c>
      <c r="O832" t="s">
        <v>937</v>
      </c>
      <c r="P832" t="s">
        <v>12</v>
      </c>
    </row>
    <row r="833">
      <c r="A833">
        <f>HYPERLINK("http://bombeiros.sp.gov.br/hidrantes/03individual/201.html","201")</f>
      </c>
      <c r="B833" t="s">
        <v>114</v>
      </c>
      <c r="C833" t="s">
        <v>172</v>
      </c>
      <c r="D833" t="s">
        <v>173</v>
      </c>
      <c r="E833" t="s">
        <v>64</v>
      </c>
      <c r="F833" t="s">
        <v>3559</v>
      </c>
      <c r="G833" t="s">
        <v>18151</v>
      </c>
      <c r="H833" t="s">
        <v>1121</v>
      </c>
      <c r="I833" t="s">
        <v>1117</v>
      </c>
      <c r="J833" t="s">
        <v>3560</v>
      </c>
      <c r="K833" t="s">
        <v>3561</v>
      </c>
      <c r="L833" t="s">
        <v>36</v>
      </c>
      <c r="M833" t="s">
        <v>19177</v>
      </c>
      <c r="N833" t="s">
        <v>97</v>
      </c>
      <c r="O833" t="s">
        <v>937</v>
      </c>
      <c r="P833" t="s">
        <v>12</v>
      </c>
    </row>
    <row r="834">
      <c r="A834">
        <f>HYPERLINK("http://bombeiros.sp.gov.br/hidrantes/03individual/1543.html","1543")</f>
      </c>
      <c r="B834" t="s">
        <v>114</v>
      </c>
      <c r="C834" t="s">
        <v>172</v>
      </c>
      <c r="D834" t="s">
        <v>173</v>
      </c>
      <c r="E834" t="s">
        <v>64</v>
      </c>
      <c r="F834" t="s">
        <v>3562</v>
      </c>
      <c r="G834" t="s">
        <v>18151</v>
      </c>
      <c r="H834" t="s">
        <v>1112</v>
      </c>
      <c r="I834" t="s">
        <v>1108</v>
      </c>
      <c r="J834" t="s">
        <v>3563</v>
      </c>
      <c r="K834" t="s">
        <v>3564</v>
      </c>
      <c r="L834" t="s">
        <v>21</v>
      </c>
      <c r="M834" t="s">
        <v>19177</v>
      </c>
      <c r="N834" t="s">
        <v>97</v>
      </c>
      <c r="O834" t="s">
        <v>937</v>
      </c>
      <c r="P834" t="s">
        <v>12</v>
      </c>
    </row>
    <row r="835">
      <c r="A835">
        <f>HYPERLINK("http://bombeiros.sp.gov.br/hidrantes/03individual/1547.html","1547")</f>
      </c>
      <c r="B835" t="s">
        <v>114</v>
      </c>
      <c r="C835" t="s">
        <v>172</v>
      </c>
      <c r="D835" t="s">
        <v>173</v>
      </c>
      <c r="E835" t="s">
        <v>64</v>
      </c>
      <c r="F835" t="s">
        <v>3565</v>
      </c>
      <c r="G835" t="s">
        <v>18183</v>
      </c>
      <c r="H835" t="s">
        <v>1112</v>
      </c>
      <c r="I835" t="s">
        <v>1108</v>
      </c>
      <c r="J835" t="s">
        <v>3566</v>
      </c>
      <c r="K835" t="s">
        <v>3567</v>
      </c>
      <c r="L835" t="s">
        <v>21</v>
      </c>
      <c r="M835" t="s">
        <v>19177</v>
      </c>
      <c r="N835" t="s">
        <v>97</v>
      </c>
      <c r="O835" t="s">
        <v>937</v>
      </c>
      <c r="P835" t="s">
        <v>12</v>
      </c>
    </row>
    <row r="836">
      <c r="A836">
        <f>HYPERLINK("http://bombeiros.sp.gov.br/hidrantes/03individual/1956.html","1956")</f>
      </c>
      <c r="B836" t="s">
        <v>114</v>
      </c>
      <c r="C836" t="s">
        <v>172</v>
      </c>
      <c r="D836" t="s">
        <v>173</v>
      </c>
      <c r="E836" t="s">
        <v>64</v>
      </c>
      <c r="F836" t="s">
        <v>3568</v>
      </c>
      <c r="G836" t="s">
        <v>18165</v>
      </c>
      <c r="H836" t="s">
        <v>1112</v>
      </c>
      <c r="I836" t="s">
        <v>1108</v>
      </c>
      <c r="J836" t="s">
        <v>3570</v>
      </c>
      <c r="K836" t="s">
        <v>3571</v>
      </c>
      <c r="L836" t="s">
        <v>21</v>
      </c>
      <c r="M836" t="s">
        <v>19177</v>
      </c>
      <c r="N836" t="s">
        <v>97</v>
      </c>
      <c r="O836" t="s">
        <v>937</v>
      </c>
      <c r="P836" t="s">
        <v>12</v>
      </c>
    </row>
    <row r="837">
      <c r="A837">
        <f>HYPERLINK("http://bombeiros.sp.gov.br/hidrantes/03individual/185.html","185")</f>
      </c>
      <c r="B837" t="s">
        <v>114</v>
      </c>
      <c r="C837" t="s">
        <v>172</v>
      </c>
      <c r="D837" t="s">
        <v>173</v>
      </c>
      <c r="E837" t="s">
        <v>15</v>
      </c>
      <c r="F837" t="s">
        <v>3572</v>
      </c>
      <c r="G837" t="s">
        <v>18151</v>
      </c>
      <c r="H837" t="s">
        <v>1112</v>
      </c>
      <c r="I837" t="s">
        <v>1108</v>
      </c>
      <c r="J837" t="s">
        <v>3573</v>
      </c>
      <c r="K837" t="s">
        <v>3574</v>
      </c>
      <c r="L837" t="s">
        <v>21</v>
      </c>
      <c r="M837" t="s">
        <v>19177</v>
      </c>
      <c r="N837" t="s">
        <v>97</v>
      </c>
      <c r="O837" t="s">
        <v>937</v>
      </c>
      <c r="P837" t="s">
        <v>12</v>
      </c>
    </row>
    <row r="838">
      <c r="A838">
        <f>HYPERLINK("http://bombeiros.sp.gov.br/hidrantes/03individual/255.html","255")</f>
      </c>
      <c r="B838" t="s">
        <v>114</v>
      </c>
      <c r="C838" t="s">
        <v>172</v>
      </c>
      <c r="D838" t="s">
        <v>173</v>
      </c>
      <c r="E838" t="s">
        <v>15</v>
      </c>
      <c r="F838" t="s">
        <v>3575</v>
      </c>
      <c r="G838" t="s">
        <v>18183</v>
      </c>
      <c r="H838"/>
      <c r="I838" t="s">
        <v>18</v>
      </c>
      <c r="J838" t="s">
        <v>3576</v>
      </c>
      <c r="K838" t="s">
        <v>3577</v>
      </c>
      <c r="L838" t="s">
        <v>21</v>
      </c>
      <c r="M838" t="s">
        <v>19177</v>
      </c>
      <c r="N838" t="s">
        <v>97</v>
      </c>
      <c r="O838" t="s">
        <v>937</v>
      </c>
      <c r="P838" t="s">
        <v>12</v>
      </c>
    </row>
    <row r="839">
      <c r="A839">
        <f>HYPERLINK("http://bombeiros.sp.gov.br/hidrantes/03individual/256.html","256")</f>
      </c>
      <c r="B839" t="s">
        <v>114</v>
      </c>
      <c r="C839" t="s">
        <v>172</v>
      </c>
      <c r="D839" t="s">
        <v>173</v>
      </c>
      <c r="E839" t="s">
        <v>15</v>
      </c>
      <c r="F839" t="s">
        <v>3578</v>
      </c>
      <c r="G839" t="s">
        <v>18183</v>
      </c>
      <c r="H839"/>
      <c r="I839" t="s">
        <v>18</v>
      </c>
      <c r="J839" t="s">
        <v>3579</v>
      </c>
      <c r="K839" t="s">
        <v>3580</v>
      </c>
      <c r="L839" t="s">
        <v>36</v>
      </c>
      <c r="M839" t="s">
        <v>19177</v>
      </c>
      <c r="N839" t="s">
        <v>97</v>
      </c>
      <c r="O839" t="s">
        <v>937</v>
      </c>
      <c r="P839" t="s">
        <v>12</v>
      </c>
    </row>
    <row r="840">
      <c r="A840">
        <f>HYPERLINK("http://bombeiros.sp.gov.br/hidrantes/03individual/269.html","269")</f>
      </c>
      <c r="B840" t="s">
        <v>114</v>
      </c>
      <c r="C840" t="s">
        <v>172</v>
      </c>
      <c r="D840" t="s">
        <v>173</v>
      </c>
      <c r="E840" t="s">
        <v>15</v>
      </c>
      <c r="F840" t="s">
        <v>178</v>
      </c>
      <c r="G840" t="s">
        <v>18165</v>
      </c>
      <c r="H840" t="s">
        <v>1121</v>
      </c>
      <c r="I840" t="s">
        <v>1117</v>
      </c>
      <c r="J840" t="s">
        <v>180</v>
      </c>
      <c r="K840" t="s">
        <v>181</v>
      </c>
      <c r="L840" t="s">
        <v>21</v>
      </c>
      <c r="M840" t="s">
        <v>19177</v>
      </c>
      <c r="N840" t="s">
        <v>97</v>
      </c>
      <c r="O840" t="s">
        <v>937</v>
      </c>
      <c r="P840" t="s">
        <v>12</v>
      </c>
    </row>
    <row r="841">
      <c r="A841">
        <f>HYPERLINK("http://bombeiros.sp.gov.br/hidrantes/03individual/1545.html","1545")</f>
      </c>
      <c r="B841" t="s">
        <v>114</v>
      </c>
      <c r="C841" t="s">
        <v>172</v>
      </c>
      <c r="D841" t="s">
        <v>173</v>
      </c>
      <c r="E841" t="s">
        <v>15</v>
      </c>
      <c r="F841" t="s">
        <v>3581</v>
      </c>
      <c r="G841" t="s">
        <v>17813</v>
      </c>
      <c r="H841" t="s">
        <v>1121</v>
      </c>
      <c r="I841" t="s">
        <v>1117</v>
      </c>
      <c r="J841" t="s">
        <v>3582</v>
      </c>
      <c r="K841" t="s">
        <v>3583</v>
      </c>
      <c r="L841" t="s">
        <v>21</v>
      </c>
      <c r="M841" t="s">
        <v>19177</v>
      </c>
      <c r="N841" t="s">
        <v>97</v>
      </c>
      <c r="O841" t="s">
        <v>937</v>
      </c>
      <c r="P841" t="s">
        <v>12</v>
      </c>
    </row>
    <row r="842">
      <c r="A842">
        <f>HYPERLINK("http://bombeiros.sp.gov.br/hidrantes/03individual/1550.html","1550")</f>
      </c>
      <c r="B842" t="s">
        <v>114</v>
      </c>
      <c r="C842" t="s">
        <v>172</v>
      </c>
      <c r="D842" t="s">
        <v>173</v>
      </c>
      <c r="E842" t="s">
        <v>15</v>
      </c>
      <c r="F842" t="s">
        <v>3584</v>
      </c>
      <c r="G842" t="s">
        <v>18183</v>
      </c>
      <c r="H842" t="s">
        <v>1121</v>
      </c>
      <c r="I842" t="s">
        <v>1117</v>
      </c>
      <c r="J842" t="s">
        <v>3585</v>
      </c>
      <c r="K842" t="s">
        <v>3586</v>
      </c>
      <c r="L842" t="s">
        <v>21</v>
      </c>
      <c r="M842" t="s">
        <v>19177</v>
      </c>
      <c r="N842" t="s">
        <v>97</v>
      </c>
      <c r="O842" t="s">
        <v>937</v>
      </c>
      <c r="P842" t="s">
        <v>12</v>
      </c>
    </row>
    <row r="843">
      <c r="A843">
        <f>HYPERLINK("http://bombeiros.sp.gov.br/hidrantes/03individual/1960.html","1960")</f>
      </c>
      <c r="B843" t="s">
        <v>114</v>
      </c>
      <c r="C843" t="s">
        <v>172</v>
      </c>
      <c r="D843" t="s">
        <v>173</v>
      </c>
      <c r="E843" t="s">
        <v>15</v>
      </c>
      <c r="F843" t="s">
        <v>15212</v>
      </c>
      <c r="G843" t="s">
        <v>18151</v>
      </c>
      <c r="H843" t="s">
        <v>1121</v>
      </c>
      <c r="I843" t="s">
        <v>1117</v>
      </c>
      <c r="J843" t="s">
        <v>15213</v>
      </c>
      <c r="K843" t="s">
        <v>15214</v>
      </c>
      <c r="L843" t="s">
        <v>21</v>
      </c>
      <c r="M843" t="s">
        <v>19177</v>
      </c>
      <c r="N843" t="s">
        <v>97</v>
      </c>
      <c r="O843" t="s">
        <v>937</v>
      </c>
      <c r="P843" t="s">
        <v>12</v>
      </c>
    </row>
    <row r="844">
      <c r="A844">
        <f>HYPERLINK("http://bombeiros.sp.gov.br/hidrantes/03individual/1964.html","1964")</f>
      </c>
      <c r="B844" t="s">
        <v>114</v>
      </c>
      <c r="C844" t="s">
        <v>172</v>
      </c>
      <c r="D844" t="s">
        <v>173</v>
      </c>
      <c r="E844" t="s">
        <v>15</v>
      </c>
      <c r="F844" t="s">
        <v>3587</v>
      </c>
      <c r="G844" t="s">
        <v>18151</v>
      </c>
      <c r="H844" t="s">
        <v>1112</v>
      </c>
      <c r="I844" t="s">
        <v>1108</v>
      </c>
      <c r="J844" t="s">
        <v>3588</v>
      </c>
      <c r="K844" t="s">
        <v>3589</v>
      </c>
      <c r="L844" t="s">
        <v>21</v>
      </c>
      <c r="M844" t="s">
        <v>19177</v>
      </c>
      <c r="N844" t="s">
        <v>97</v>
      </c>
      <c r="O844" t="s">
        <v>937</v>
      </c>
      <c r="P844" t="s">
        <v>12</v>
      </c>
    </row>
    <row r="845">
      <c r="A845">
        <f>HYPERLINK("http://bombeiros.sp.gov.br/hidrantes/03individual/905.html","905")</f>
      </c>
      <c r="B845" t="s">
        <v>114</v>
      </c>
      <c r="C845" t="s">
        <v>172</v>
      </c>
      <c r="D845" t="s">
        <v>182</v>
      </c>
      <c r="E845" t="s">
        <v>64</v>
      </c>
      <c r="F845" t="s">
        <v>3590</v>
      </c>
      <c r="G845" t="s">
        <v>17943</v>
      </c>
      <c r="H845" t="s">
        <v>1112</v>
      </c>
      <c r="I845" t="s">
        <v>1108</v>
      </c>
      <c r="J845" t="s">
        <v>3591</v>
      </c>
      <c r="K845" t="s">
        <v>3592</v>
      </c>
      <c r="L845" t="s">
        <v>21</v>
      </c>
      <c r="M845" t="s">
        <v>19177</v>
      </c>
      <c r="N845" t="s">
        <v>97</v>
      </c>
      <c r="O845" t="s">
        <v>937</v>
      </c>
      <c r="P845" t="s">
        <v>12</v>
      </c>
    </row>
    <row r="846">
      <c r="A846">
        <f>HYPERLINK("http://bombeiros.sp.gov.br/hidrantes/03individual/2085.html","2085")</f>
      </c>
      <c r="B846" t="s">
        <v>114</v>
      </c>
      <c r="C846" t="s">
        <v>172</v>
      </c>
      <c r="D846" t="s">
        <v>182</v>
      </c>
      <c r="E846" t="s">
        <v>64</v>
      </c>
      <c r="F846" t="s">
        <v>3593</v>
      </c>
      <c r="G846" t="s">
        <v>18063</v>
      </c>
      <c r="H846" t="s">
        <v>1121</v>
      </c>
      <c r="I846" t="s">
        <v>1117</v>
      </c>
      <c r="J846" t="s">
        <v>3594</v>
      </c>
      <c r="K846" t="s">
        <v>3595</v>
      </c>
      <c r="L846" t="s">
        <v>36</v>
      </c>
      <c r="M846" t="s">
        <v>19177</v>
      </c>
      <c r="N846" t="s">
        <v>97</v>
      </c>
      <c r="O846" t="s">
        <v>937</v>
      </c>
      <c r="P846" t="s">
        <v>12</v>
      </c>
    </row>
    <row r="847">
      <c r="A847">
        <f>HYPERLINK("http://bombeiros.sp.gov.br/hidrantes/03individual/2154.html","2154")</f>
      </c>
      <c r="B847" t="s">
        <v>114</v>
      </c>
      <c r="C847" t="s">
        <v>172</v>
      </c>
      <c r="D847" t="s">
        <v>182</v>
      </c>
      <c r="E847" t="s">
        <v>64</v>
      </c>
      <c r="F847" t="s">
        <v>3596</v>
      </c>
      <c r="G847" t="s">
        <v>17925</v>
      </c>
      <c r="H847" t="s">
        <v>1121</v>
      </c>
      <c r="I847" t="s">
        <v>1117</v>
      </c>
      <c r="J847" t="s">
        <v>3597</v>
      </c>
      <c r="K847" t="s">
        <v>3598</v>
      </c>
      <c r="L847" t="s">
        <v>36</v>
      </c>
      <c r="M847" t="s">
        <v>19177</v>
      </c>
      <c r="N847" t="s">
        <v>97</v>
      </c>
      <c r="O847" t="s">
        <v>937</v>
      </c>
      <c r="P847" t="s">
        <v>12</v>
      </c>
    </row>
    <row r="848">
      <c r="A848">
        <f>HYPERLINK("http://bombeiros.sp.gov.br/hidrantes/03individual/57.html","57")</f>
      </c>
      <c r="B848" t="s">
        <v>114</v>
      </c>
      <c r="C848" t="s">
        <v>172</v>
      </c>
      <c r="D848" t="s">
        <v>182</v>
      </c>
      <c r="E848" t="s">
        <v>15</v>
      </c>
      <c r="F848" t="s">
        <v>3599</v>
      </c>
      <c r="G848" t="s">
        <v>18080</v>
      </c>
      <c r="H848" t="s">
        <v>1121</v>
      </c>
      <c r="I848" t="s">
        <v>1117</v>
      </c>
      <c r="J848" t="s">
        <v>3600</v>
      </c>
      <c r="K848" t="s">
        <v>3601</v>
      </c>
      <c r="L848" t="s">
        <v>21</v>
      </c>
      <c r="M848" t="s">
        <v>19177</v>
      </c>
      <c r="N848" t="s">
        <v>97</v>
      </c>
      <c r="O848" t="s">
        <v>937</v>
      </c>
      <c r="P848" t="s">
        <v>12</v>
      </c>
    </row>
    <row r="849">
      <c r="A849">
        <f>HYPERLINK("http://bombeiros.sp.gov.br/hidrantes/03individual/72.html","72")</f>
      </c>
      <c r="B849" t="s">
        <v>114</v>
      </c>
      <c r="C849" t="s">
        <v>172</v>
      </c>
      <c r="D849" t="s">
        <v>182</v>
      </c>
      <c r="E849" t="s">
        <v>15</v>
      </c>
      <c r="F849" t="s">
        <v>3602</v>
      </c>
      <c r="G849" t="s">
        <v>18045</v>
      </c>
      <c r="H849" t="s">
        <v>1107</v>
      </c>
      <c r="I849" t="s">
        <v>1108</v>
      </c>
      <c r="J849" t="s">
        <v>3603</v>
      </c>
      <c r="K849" t="s">
        <v>3604</v>
      </c>
      <c r="L849" t="s">
        <v>21</v>
      </c>
      <c r="M849" t="s">
        <v>19177</v>
      </c>
      <c r="N849" t="s">
        <v>97</v>
      </c>
      <c r="O849" t="s">
        <v>937</v>
      </c>
      <c r="P849" t="s">
        <v>12</v>
      </c>
    </row>
    <row r="850">
      <c r="A850">
        <f>HYPERLINK("http://bombeiros.sp.gov.br/hidrantes/03individual/77.html","77")</f>
      </c>
      <c r="B850" t="s">
        <v>114</v>
      </c>
      <c r="C850" t="s">
        <v>172</v>
      </c>
      <c r="D850" t="s">
        <v>182</v>
      </c>
      <c r="E850" t="s">
        <v>15</v>
      </c>
      <c r="F850" t="s">
        <v>3605</v>
      </c>
      <c r="G850" t="s">
        <v>18145</v>
      </c>
      <c r="H850" t="s">
        <v>1107</v>
      </c>
      <c r="I850" t="s">
        <v>1108</v>
      </c>
      <c r="J850" t="s">
        <v>15938</v>
      </c>
      <c r="K850" t="s">
        <v>15939</v>
      </c>
      <c r="L850" t="s">
        <v>21</v>
      </c>
      <c r="M850" t="s">
        <v>19177</v>
      </c>
      <c r="N850" t="s">
        <v>97</v>
      </c>
      <c r="O850" t="s">
        <v>937</v>
      </c>
      <c r="P850" t="s">
        <v>12</v>
      </c>
    </row>
    <row r="851">
      <c r="A851">
        <f>HYPERLINK("http://bombeiros.sp.gov.br/hidrantes/03individual/112.html","112")</f>
      </c>
      <c r="B851" t="s">
        <v>114</v>
      </c>
      <c r="C851" t="s">
        <v>172</v>
      </c>
      <c r="D851" t="s">
        <v>182</v>
      </c>
      <c r="E851" t="s">
        <v>15</v>
      </c>
      <c r="F851" t="s">
        <v>3608</v>
      </c>
      <c r="G851" t="s">
        <v>18173</v>
      </c>
      <c r="H851" t="s">
        <v>1121</v>
      </c>
      <c r="I851" t="s">
        <v>1117</v>
      </c>
      <c r="J851" t="s">
        <v>3609</v>
      </c>
      <c r="K851" t="s">
        <v>3610</v>
      </c>
      <c r="L851" t="s">
        <v>21</v>
      </c>
      <c r="M851" t="s">
        <v>19177</v>
      </c>
      <c r="N851" t="s">
        <v>97</v>
      </c>
      <c r="O851" t="s">
        <v>937</v>
      </c>
      <c r="P851" t="s">
        <v>12</v>
      </c>
    </row>
    <row r="852">
      <c r="A852">
        <f>HYPERLINK("http://bombeiros.sp.gov.br/hidrantes/03individual/124.html","124")</f>
      </c>
      <c r="B852" t="s">
        <v>114</v>
      </c>
      <c r="C852" t="s">
        <v>172</v>
      </c>
      <c r="D852" t="s">
        <v>182</v>
      </c>
      <c r="E852" t="s">
        <v>15</v>
      </c>
      <c r="F852" t="s">
        <v>3611</v>
      </c>
      <c r="G852" t="s">
        <v>18045</v>
      </c>
      <c r="H852" t="s">
        <v>1121</v>
      </c>
      <c r="I852" t="s">
        <v>1117</v>
      </c>
      <c r="J852" t="s">
        <v>3612</v>
      </c>
      <c r="K852" t="s">
        <v>3613</v>
      </c>
      <c r="L852" t="s">
        <v>36</v>
      </c>
      <c r="M852" t="s">
        <v>19177</v>
      </c>
      <c r="N852" t="s">
        <v>97</v>
      </c>
      <c r="O852" t="s">
        <v>937</v>
      </c>
      <c r="P852" t="s">
        <v>12</v>
      </c>
    </row>
    <row r="853">
      <c r="A853">
        <f>HYPERLINK("http://bombeiros.sp.gov.br/hidrantes/03individual/132.html","132")</f>
      </c>
      <c r="B853" t="s">
        <v>114</v>
      </c>
      <c r="C853" t="s">
        <v>172</v>
      </c>
      <c r="D853" t="s">
        <v>182</v>
      </c>
      <c r="E853" t="s">
        <v>15</v>
      </c>
      <c r="F853" t="s">
        <v>3614</v>
      </c>
      <c r="G853" t="s">
        <v>18081</v>
      </c>
      <c r="H853" t="s">
        <v>1121</v>
      </c>
      <c r="I853" t="s">
        <v>1117</v>
      </c>
      <c r="J853" t="s">
        <v>3615</v>
      </c>
      <c r="K853" t="s">
        <v>3616</v>
      </c>
      <c r="L853" t="s">
        <v>21</v>
      </c>
      <c r="M853" t="s">
        <v>19177</v>
      </c>
      <c r="N853" t="s">
        <v>97</v>
      </c>
      <c r="O853" t="s">
        <v>937</v>
      </c>
      <c r="P853" t="s">
        <v>12</v>
      </c>
    </row>
    <row r="854">
      <c r="A854">
        <f>HYPERLINK("http://bombeiros.sp.gov.br/hidrantes/03individual/145.html","145")</f>
      </c>
      <c r="B854" t="s">
        <v>114</v>
      </c>
      <c r="C854" t="s">
        <v>172</v>
      </c>
      <c r="D854" t="s">
        <v>182</v>
      </c>
      <c r="E854" t="s">
        <v>15</v>
      </c>
      <c r="F854" t="s">
        <v>183</v>
      </c>
      <c r="G854" t="s">
        <v>18080</v>
      </c>
      <c r="H854" t="s">
        <v>1121</v>
      </c>
      <c r="I854" t="s">
        <v>1117</v>
      </c>
      <c r="J854" t="s">
        <v>184</v>
      </c>
      <c r="K854" t="s">
        <v>185</v>
      </c>
      <c r="L854" t="s">
        <v>21</v>
      </c>
      <c r="M854" t="s">
        <v>19177</v>
      </c>
      <c r="N854" t="s">
        <v>97</v>
      </c>
      <c r="O854" t="s">
        <v>937</v>
      </c>
      <c r="P854" t="s">
        <v>12</v>
      </c>
    </row>
    <row r="855">
      <c r="A855">
        <f>HYPERLINK("http://bombeiros.sp.gov.br/hidrantes/03individual/2061.html","2061")</f>
      </c>
      <c r="B855" t="s">
        <v>114</v>
      </c>
      <c r="C855" t="s">
        <v>172</v>
      </c>
      <c r="D855" t="s">
        <v>182</v>
      </c>
      <c r="E855" t="s">
        <v>15</v>
      </c>
      <c r="F855" t="s">
        <v>3617</v>
      </c>
      <c r="G855" t="s">
        <v>18047</v>
      </c>
      <c r="H855" t="s">
        <v>1107</v>
      </c>
      <c r="I855" t="s">
        <v>1108</v>
      </c>
      <c r="J855" t="s">
        <v>3618</v>
      </c>
      <c r="K855" t="s">
        <v>3619</v>
      </c>
      <c r="L855" t="s">
        <v>21</v>
      </c>
      <c r="M855" t="s">
        <v>19177</v>
      </c>
      <c r="N855" t="s">
        <v>97</v>
      </c>
      <c r="O855" t="s">
        <v>937</v>
      </c>
      <c r="P855" t="s">
        <v>12</v>
      </c>
    </row>
    <row r="856">
      <c r="A856">
        <f>HYPERLINK("http://bombeiros.sp.gov.br/hidrantes/03individual/2063.html","2063")</f>
      </c>
      <c r="B856" t="s">
        <v>114</v>
      </c>
      <c r="C856" t="s">
        <v>172</v>
      </c>
      <c r="D856" t="s">
        <v>182</v>
      </c>
      <c r="E856" t="s">
        <v>15</v>
      </c>
      <c r="F856" t="s">
        <v>3620</v>
      </c>
      <c r="G856" t="s">
        <v>18081</v>
      </c>
      <c r="H856" t="s">
        <v>1174</v>
      </c>
      <c r="I856" t="s">
        <v>1117</v>
      </c>
      <c r="J856" t="s">
        <v>3621</v>
      </c>
      <c r="K856" t="s">
        <v>3622</v>
      </c>
      <c r="L856" t="s">
        <v>21</v>
      </c>
      <c r="M856" t="s">
        <v>19177</v>
      </c>
      <c r="N856" t="s">
        <v>97</v>
      </c>
      <c r="O856" t="s">
        <v>937</v>
      </c>
      <c r="P856" t="s">
        <v>12</v>
      </c>
    </row>
    <row r="857">
      <c r="A857">
        <f>HYPERLINK("http://bombeiros.sp.gov.br/hidrantes/03individual/2065.html","2065")</f>
      </c>
      <c r="B857" t="s">
        <v>114</v>
      </c>
      <c r="C857" t="s">
        <v>172</v>
      </c>
      <c r="D857" t="s">
        <v>182</v>
      </c>
      <c r="E857" t="s">
        <v>15</v>
      </c>
      <c r="F857" t="s">
        <v>3623</v>
      </c>
      <c r="G857" t="s">
        <v>18080</v>
      </c>
      <c r="H857" t="s">
        <v>1121</v>
      </c>
      <c r="I857" t="s">
        <v>1117</v>
      </c>
      <c r="J857" t="s">
        <v>3624</v>
      </c>
      <c r="K857" t="s">
        <v>3625</v>
      </c>
      <c r="L857" t="s">
        <v>21</v>
      </c>
      <c r="M857" t="s">
        <v>19177</v>
      </c>
      <c r="N857" t="s">
        <v>97</v>
      </c>
      <c r="O857" t="s">
        <v>937</v>
      </c>
      <c r="P857" t="s">
        <v>12</v>
      </c>
    </row>
    <row r="858">
      <c r="A858">
        <f>HYPERLINK("http://bombeiros.sp.gov.br/hidrantes/03individual/2146.html","2146")</f>
      </c>
      <c r="B858" t="s">
        <v>114</v>
      </c>
      <c r="C858" t="s">
        <v>172</v>
      </c>
      <c r="D858" t="s">
        <v>182</v>
      </c>
      <c r="E858" t="s">
        <v>15</v>
      </c>
      <c r="F858" t="s">
        <v>3626</v>
      </c>
      <c r="G858" t="s">
        <v>18081</v>
      </c>
      <c r="H858" t="s">
        <v>1112</v>
      </c>
      <c r="I858" t="s">
        <v>1108</v>
      </c>
      <c r="J858" t="s">
        <v>3627</v>
      </c>
      <c r="K858" t="s">
        <v>3628</v>
      </c>
      <c r="L858" t="s">
        <v>21</v>
      </c>
      <c r="M858" t="s">
        <v>19177</v>
      </c>
      <c r="N858" t="s">
        <v>97</v>
      </c>
      <c r="O858" t="s">
        <v>937</v>
      </c>
      <c r="P858" t="s">
        <v>12</v>
      </c>
    </row>
    <row r="859">
      <c r="A859">
        <f>HYPERLINK("http://bombeiros.sp.gov.br/hidrantes/03individual/2852.html","2852")</f>
      </c>
      <c r="B859" t="s">
        <v>114</v>
      </c>
      <c r="C859" t="s">
        <v>172</v>
      </c>
      <c r="D859" t="s">
        <v>182</v>
      </c>
      <c r="E859" t="s">
        <v>15</v>
      </c>
      <c r="F859" t="s">
        <v>3629</v>
      </c>
      <c r="G859" t="s">
        <v>18082</v>
      </c>
      <c r="H859" t="s">
        <v>1112</v>
      </c>
      <c r="I859" t="s">
        <v>1108</v>
      </c>
      <c r="J859" t="s">
        <v>3631</v>
      </c>
      <c r="K859" t="s">
        <v>3632</v>
      </c>
      <c r="L859" t="s">
        <v>21</v>
      </c>
      <c r="M859" t="s">
        <v>19177</v>
      </c>
      <c r="N859" t="s">
        <v>97</v>
      </c>
      <c r="O859" t="s">
        <v>937</v>
      </c>
      <c r="P859" t="s">
        <v>12</v>
      </c>
    </row>
    <row r="860">
      <c r="A860">
        <f>HYPERLINK("http://bombeiros.sp.gov.br/hidrantes/03individual/705.html","705")</f>
      </c>
      <c r="B860" t="s">
        <v>114</v>
      </c>
      <c r="C860" t="s">
        <v>172</v>
      </c>
      <c r="D860" t="s">
        <v>186</v>
      </c>
      <c r="E860" t="s">
        <v>64</v>
      </c>
      <c r="F860" t="s">
        <v>3633</v>
      </c>
      <c r="G860" t="s">
        <v>18097</v>
      </c>
      <c r="H860" t="s">
        <v>1107</v>
      </c>
      <c r="I860" t="s">
        <v>1108</v>
      </c>
      <c r="J860" t="s">
        <v>3634</v>
      </c>
      <c r="K860" t="s">
        <v>3635</v>
      </c>
      <c r="L860" t="s">
        <v>36</v>
      </c>
      <c r="M860" t="s">
        <v>19177</v>
      </c>
      <c r="N860" t="s">
        <v>97</v>
      </c>
      <c r="O860" t="s">
        <v>937</v>
      </c>
      <c r="P860" t="s">
        <v>12</v>
      </c>
    </row>
    <row r="861">
      <c r="A861">
        <f>HYPERLINK("http://bombeiros.sp.gov.br/hidrantes/03individual/2021.html","2021")</f>
      </c>
      <c r="B861" t="s">
        <v>114</v>
      </c>
      <c r="C861" t="s">
        <v>172</v>
      </c>
      <c r="D861" t="s">
        <v>186</v>
      </c>
      <c r="E861" t="s">
        <v>64</v>
      </c>
      <c r="F861" t="s">
        <v>3636</v>
      </c>
      <c r="G861" t="s">
        <v>18048</v>
      </c>
      <c r="H861" t="s">
        <v>1174</v>
      </c>
      <c r="I861" t="s">
        <v>1108</v>
      </c>
      <c r="J861" t="s">
        <v>3637</v>
      </c>
      <c r="K861" t="s">
        <v>3638</v>
      </c>
      <c r="L861" t="s">
        <v>21</v>
      </c>
      <c r="M861" t="s">
        <v>19177</v>
      </c>
      <c r="N861" t="s">
        <v>97</v>
      </c>
      <c r="O861" t="s">
        <v>937</v>
      </c>
      <c r="P861" t="s">
        <v>12</v>
      </c>
    </row>
    <row r="862">
      <c r="A862">
        <f>HYPERLINK("http://bombeiros.sp.gov.br/hidrantes/03individual/148.html","148")</f>
      </c>
      <c r="B862" t="s">
        <v>114</v>
      </c>
      <c r="C862" t="s">
        <v>172</v>
      </c>
      <c r="D862" t="s">
        <v>186</v>
      </c>
      <c r="E862" t="s">
        <v>15</v>
      </c>
      <c r="F862" t="s">
        <v>3639</v>
      </c>
      <c r="G862" t="s">
        <v>18045</v>
      </c>
      <c r="H862" t="s">
        <v>1174</v>
      </c>
      <c r="I862" t="s">
        <v>1108</v>
      </c>
      <c r="J862" t="s">
        <v>3640</v>
      </c>
      <c r="K862" t="s">
        <v>3641</v>
      </c>
      <c r="L862" t="s">
        <v>21</v>
      </c>
      <c r="M862" t="s">
        <v>19177</v>
      </c>
      <c r="N862" t="s">
        <v>97</v>
      </c>
      <c r="O862" t="s">
        <v>937</v>
      </c>
      <c r="P862" t="s">
        <v>12</v>
      </c>
    </row>
    <row r="863">
      <c r="A863">
        <f>HYPERLINK("http://bombeiros.sp.gov.br/hidrantes/03individual/589.html","589")</f>
      </c>
      <c r="B863" t="s">
        <v>114</v>
      </c>
      <c r="C863" t="s">
        <v>172</v>
      </c>
      <c r="D863" t="s">
        <v>186</v>
      </c>
      <c r="E863" t="s">
        <v>15</v>
      </c>
      <c r="F863" t="s">
        <v>3642</v>
      </c>
      <c r="G863" t="s">
        <v>17934</v>
      </c>
      <c r="H863" t="s">
        <v>1107</v>
      </c>
      <c r="I863" t="s">
        <v>1108</v>
      </c>
      <c r="J863" t="s">
        <v>3643</v>
      </c>
      <c r="K863" t="s">
        <v>3644</v>
      </c>
      <c r="L863" t="s">
        <v>21</v>
      </c>
      <c r="M863" t="s">
        <v>19177</v>
      </c>
      <c r="N863" t="s">
        <v>97</v>
      </c>
      <c r="O863" t="s">
        <v>937</v>
      </c>
      <c r="P863" t="s">
        <v>12</v>
      </c>
    </row>
    <row r="864">
      <c r="A864">
        <f>HYPERLINK("http://bombeiros.sp.gov.br/hidrantes/03individual/706.html","706")</f>
      </c>
      <c r="B864" t="s">
        <v>114</v>
      </c>
      <c r="C864" t="s">
        <v>172</v>
      </c>
      <c r="D864" t="s">
        <v>186</v>
      </c>
      <c r="E864" t="s">
        <v>15</v>
      </c>
      <c r="F864" t="s">
        <v>3645</v>
      </c>
      <c r="G864" t="s">
        <v>18097</v>
      </c>
      <c r="H864" t="s">
        <v>1107</v>
      </c>
      <c r="I864" t="s">
        <v>1108</v>
      </c>
      <c r="J864" t="s">
        <v>3646</v>
      </c>
      <c r="K864" t="s">
        <v>3647</v>
      </c>
      <c r="L864" t="s">
        <v>36</v>
      </c>
      <c r="M864" t="s">
        <v>19177</v>
      </c>
      <c r="N864" t="s">
        <v>97</v>
      </c>
      <c r="O864" t="s">
        <v>937</v>
      </c>
      <c r="P864" t="s">
        <v>12</v>
      </c>
    </row>
    <row r="865">
      <c r="A865">
        <f>HYPERLINK("http://bombeiros.sp.gov.br/hidrantes/03individual/898.html","898")</f>
      </c>
      <c r="B865" t="s">
        <v>114</v>
      </c>
      <c r="C865" t="s">
        <v>172</v>
      </c>
      <c r="D865" t="s">
        <v>186</v>
      </c>
      <c r="E865" t="s">
        <v>15</v>
      </c>
      <c r="F865" t="s">
        <v>3648</v>
      </c>
      <c r="G865" t="s">
        <v>18048</v>
      </c>
      <c r="H865" t="s">
        <v>1174</v>
      </c>
      <c r="I865" t="s">
        <v>1108</v>
      </c>
      <c r="J865" t="s">
        <v>3649</v>
      </c>
      <c r="K865" t="s">
        <v>3650</v>
      </c>
      <c r="L865" t="s">
        <v>36</v>
      </c>
      <c r="M865" t="s">
        <v>19177</v>
      </c>
      <c r="N865" t="s">
        <v>97</v>
      </c>
      <c r="O865" t="s">
        <v>937</v>
      </c>
      <c r="P865" t="s">
        <v>12</v>
      </c>
    </row>
    <row r="866">
      <c r="A866">
        <f>HYPERLINK("http://bombeiros.sp.gov.br/hidrantes/03individual/2005.html","2005")</f>
      </c>
      <c r="B866" t="s">
        <v>114</v>
      </c>
      <c r="C866" t="s">
        <v>172</v>
      </c>
      <c r="D866" t="s">
        <v>186</v>
      </c>
      <c r="E866" t="s">
        <v>15</v>
      </c>
      <c r="F866" t="s">
        <v>187</v>
      </c>
      <c r="G866" t="s">
        <v>18048</v>
      </c>
      <c r="H866"/>
      <c r="I866" t="s">
        <v>18</v>
      </c>
      <c r="J866" t="s">
        <v>189</v>
      </c>
      <c r="K866" t="s">
        <v>190</v>
      </c>
      <c r="L866" t="s">
        <v>21</v>
      </c>
      <c r="M866" t="s">
        <v>19177</v>
      </c>
      <c r="N866" t="s">
        <v>97</v>
      </c>
      <c r="O866" t="s">
        <v>937</v>
      </c>
      <c r="P866" t="s">
        <v>12</v>
      </c>
    </row>
    <row r="867">
      <c r="A867">
        <f>HYPERLINK("http://bombeiros.sp.gov.br/hidrantes/03individual/2023.html","2023")</f>
      </c>
      <c r="B867" t="s">
        <v>114</v>
      </c>
      <c r="C867" t="s">
        <v>172</v>
      </c>
      <c r="D867" t="s">
        <v>186</v>
      </c>
      <c r="E867" t="s">
        <v>15</v>
      </c>
      <c r="F867" t="s">
        <v>3651</v>
      </c>
      <c r="G867" t="s">
        <v>18048</v>
      </c>
      <c r="H867" t="s">
        <v>1107</v>
      </c>
      <c r="I867" t="s">
        <v>1108</v>
      </c>
      <c r="J867" t="s">
        <v>3652</v>
      </c>
      <c r="K867" t="s">
        <v>3653</v>
      </c>
      <c r="L867" t="s">
        <v>21</v>
      </c>
      <c r="M867" t="s">
        <v>19177</v>
      </c>
      <c r="N867" t="s">
        <v>97</v>
      </c>
      <c r="O867" t="s">
        <v>937</v>
      </c>
      <c r="P867" t="s">
        <v>12</v>
      </c>
    </row>
    <row r="868">
      <c r="A868">
        <f>HYPERLINK("http://bombeiros.sp.gov.br/hidrantes/03individual/27423.html","27423")</f>
      </c>
      <c r="B868" t="s">
        <v>114</v>
      </c>
      <c r="C868" t="s">
        <v>172</v>
      </c>
      <c r="D868" t="s">
        <v>186</v>
      </c>
      <c r="E868" t="s">
        <v>15</v>
      </c>
      <c r="F868" t="s">
        <v>17313</v>
      </c>
      <c r="G868" t="s">
        <v>18082</v>
      </c>
      <c r="H868" t="s">
        <v>1112</v>
      </c>
      <c r="I868" t="s">
        <v>1108</v>
      </c>
      <c r="J868" t="s">
        <v>18276</v>
      </c>
      <c r="K868" t="s">
        <v>17315</v>
      </c>
      <c r="L868" t="s">
        <v>21</v>
      </c>
      <c r="M868" t="s">
        <v>19177</v>
      </c>
      <c r="N868" t="s">
        <v>97</v>
      </c>
      <c r="O868" t="s">
        <v>937</v>
      </c>
      <c r="P868" t="s">
        <v>12</v>
      </c>
    </row>
    <row r="869">
      <c r="A869">
        <f>HYPERLINK("http://bombeiros.sp.gov.br/hidrantes/03individual/1990.html","1990")</f>
      </c>
      <c r="B869" t="s">
        <v>114</v>
      </c>
      <c r="C869" t="s">
        <v>172</v>
      </c>
      <c r="D869" t="s">
        <v>191</v>
      </c>
      <c r="E869" t="s">
        <v>64</v>
      </c>
      <c r="F869" t="s">
        <v>3657</v>
      </c>
      <c r="G869" t="s">
        <v>18247</v>
      </c>
      <c r="H869" t="s">
        <v>1121</v>
      </c>
      <c r="I869" t="s">
        <v>1117</v>
      </c>
      <c r="J869" t="s">
        <v>3658</v>
      </c>
      <c r="K869" t="s">
        <v>3659</v>
      </c>
      <c r="L869" t="s">
        <v>21</v>
      </c>
      <c r="M869" t="s">
        <v>19177</v>
      </c>
      <c r="N869" t="s">
        <v>97</v>
      </c>
      <c r="O869" t="s">
        <v>937</v>
      </c>
      <c r="P869" t="s">
        <v>12</v>
      </c>
    </row>
    <row r="870">
      <c r="A870">
        <f>HYPERLINK("http://bombeiros.sp.gov.br/hidrantes/03individual/179.html","179")</f>
      </c>
      <c r="B870" t="s">
        <v>114</v>
      </c>
      <c r="C870" t="s">
        <v>172</v>
      </c>
      <c r="D870" t="s">
        <v>191</v>
      </c>
      <c r="E870" t="s">
        <v>15</v>
      </c>
      <c r="F870" t="s">
        <v>3660</v>
      </c>
      <c r="G870" t="s">
        <v>18151</v>
      </c>
      <c r="H870" t="s">
        <v>1174</v>
      </c>
      <c r="I870" t="s">
        <v>1117</v>
      </c>
      <c r="J870" t="s">
        <v>3661</v>
      </c>
      <c r="K870" t="s">
        <v>3662</v>
      </c>
      <c r="L870" t="s">
        <v>21</v>
      </c>
      <c r="M870" t="s">
        <v>19177</v>
      </c>
      <c r="N870" t="s">
        <v>97</v>
      </c>
      <c r="O870" t="s">
        <v>937</v>
      </c>
      <c r="P870" t="s">
        <v>12</v>
      </c>
    </row>
    <row r="871">
      <c r="A871">
        <f>HYPERLINK("http://bombeiros.sp.gov.br/hidrantes/03individual/180.html","180")</f>
      </c>
      <c r="B871" t="s">
        <v>114</v>
      </c>
      <c r="C871" t="s">
        <v>172</v>
      </c>
      <c r="D871" t="s">
        <v>191</v>
      </c>
      <c r="E871" t="s">
        <v>15</v>
      </c>
      <c r="F871" t="s">
        <v>3663</v>
      </c>
      <c r="G871" t="s">
        <v>18151</v>
      </c>
      <c r="H871" t="s">
        <v>1112</v>
      </c>
      <c r="I871" t="s">
        <v>1108</v>
      </c>
      <c r="J871" t="s">
        <v>3664</v>
      </c>
      <c r="K871" t="s">
        <v>3665</v>
      </c>
      <c r="L871" t="s">
        <v>21</v>
      </c>
      <c r="M871" t="s">
        <v>19177</v>
      </c>
      <c r="N871" t="s">
        <v>97</v>
      </c>
      <c r="O871" t="s">
        <v>937</v>
      </c>
      <c r="P871" t="s">
        <v>12</v>
      </c>
    </row>
    <row r="872">
      <c r="A872">
        <f>HYPERLINK("http://bombeiros.sp.gov.br/hidrantes/03individual/186.html","186")</f>
      </c>
      <c r="B872" t="s">
        <v>114</v>
      </c>
      <c r="C872" t="s">
        <v>172</v>
      </c>
      <c r="D872" t="s">
        <v>191</v>
      </c>
      <c r="E872" t="s">
        <v>15</v>
      </c>
      <c r="F872" t="s">
        <v>3666</v>
      </c>
      <c r="G872" t="s">
        <v>18151</v>
      </c>
      <c r="H872" t="s">
        <v>1112</v>
      </c>
      <c r="I872" t="s">
        <v>1108</v>
      </c>
      <c r="J872" t="s">
        <v>3667</v>
      </c>
      <c r="K872" t="s">
        <v>3668</v>
      </c>
      <c r="L872" t="s">
        <v>21</v>
      </c>
      <c r="M872" t="s">
        <v>19177</v>
      </c>
      <c r="N872" t="s">
        <v>97</v>
      </c>
      <c r="O872" t="s">
        <v>937</v>
      </c>
      <c r="P872" t="s">
        <v>12</v>
      </c>
    </row>
    <row r="873">
      <c r="A873">
        <f>HYPERLINK("http://bombeiros.sp.gov.br/hidrantes/03individual/215.html","215")</f>
      </c>
      <c r="B873" t="s">
        <v>114</v>
      </c>
      <c r="C873" t="s">
        <v>172</v>
      </c>
      <c r="D873" t="s">
        <v>191</v>
      </c>
      <c r="E873" t="s">
        <v>15</v>
      </c>
      <c r="F873" t="s">
        <v>3669</v>
      </c>
      <c r="G873" t="s">
        <v>18229</v>
      </c>
      <c r="H873"/>
      <c r="I873" t="s">
        <v>18</v>
      </c>
      <c r="J873" t="s">
        <v>3670</v>
      </c>
      <c r="K873" t="s">
        <v>3671</v>
      </c>
      <c r="L873" t="s">
        <v>21</v>
      </c>
      <c r="M873" t="s">
        <v>19177</v>
      </c>
      <c r="N873" t="s">
        <v>97</v>
      </c>
      <c r="O873" t="s">
        <v>937</v>
      </c>
      <c r="P873" t="s">
        <v>12</v>
      </c>
    </row>
    <row r="874">
      <c r="A874">
        <f>HYPERLINK("http://bombeiros.sp.gov.br/hidrantes/03individual/245.html","245")</f>
      </c>
      <c r="B874" t="s">
        <v>114</v>
      </c>
      <c r="C874" t="s">
        <v>172</v>
      </c>
      <c r="D874" t="s">
        <v>191</v>
      </c>
      <c r="E874" t="s">
        <v>15</v>
      </c>
      <c r="F874" t="s">
        <v>3672</v>
      </c>
      <c r="G874" t="s">
        <v>18277</v>
      </c>
      <c r="H874" t="s">
        <v>1112</v>
      </c>
      <c r="I874" t="s">
        <v>1108</v>
      </c>
      <c r="J874" t="s">
        <v>3673</v>
      </c>
      <c r="K874" t="s">
        <v>3674</v>
      </c>
      <c r="L874" t="s">
        <v>21</v>
      </c>
      <c r="M874" t="s">
        <v>19177</v>
      </c>
      <c r="N874" t="s">
        <v>97</v>
      </c>
      <c r="O874" t="s">
        <v>937</v>
      </c>
      <c r="P874" t="s">
        <v>12</v>
      </c>
    </row>
    <row r="875">
      <c r="A875">
        <f>HYPERLINK("http://bombeiros.sp.gov.br/hidrantes/03individual/270.html","270")</f>
      </c>
      <c r="B875" t="s">
        <v>114</v>
      </c>
      <c r="C875" t="s">
        <v>172</v>
      </c>
      <c r="D875" t="s">
        <v>191</v>
      </c>
      <c r="E875" t="s">
        <v>15</v>
      </c>
      <c r="F875" t="s">
        <v>3675</v>
      </c>
      <c r="G875" t="s">
        <v>18277</v>
      </c>
      <c r="H875" t="s">
        <v>1107</v>
      </c>
      <c r="I875" t="s">
        <v>1108</v>
      </c>
      <c r="J875" t="s">
        <v>3676</v>
      </c>
      <c r="K875" t="s">
        <v>3677</v>
      </c>
      <c r="L875" t="s">
        <v>21</v>
      </c>
      <c r="M875" t="s">
        <v>19177</v>
      </c>
      <c r="N875" t="s">
        <v>97</v>
      </c>
      <c r="O875" t="s">
        <v>937</v>
      </c>
      <c r="P875" t="s">
        <v>12</v>
      </c>
    </row>
    <row r="876">
      <c r="A876">
        <f>HYPERLINK("http://bombeiros.sp.gov.br/hidrantes/03individual/271.html","271")</f>
      </c>
      <c r="B876" t="s">
        <v>114</v>
      </c>
      <c r="C876" t="s">
        <v>172</v>
      </c>
      <c r="D876" t="s">
        <v>191</v>
      </c>
      <c r="E876" t="s">
        <v>15</v>
      </c>
      <c r="F876" t="s">
        <v>3678</v>
      </c>
      <c r="G876" t="s">
        <v>18247</v>
      </c>
      <c r="H876" t="s">
        <v>1107</v>
      </c>
      <c r="I876" t="s">
        <v>1108</v>
      </c>
      <c r="J876" t="s">
        <v>3679</v>
      </c>
      <c r="K876" t="s">
        <v>3680</v>
      </c>
      <c r="L876" t="s">
        <v>21</v>
      </c>
      <c r="M876" t="s">
        <v>19177</v>
      </c>
      <c r="N876" t="s">
        <v>97</v>
      </c>
      <c r="O876" t="s">
        <v>937</v>
      </c>
      <c r="P876" t="s">
        <v>12</v>
      </c>
    </row>
    <row r="877">
      <c r="A877">
        <f>HYPERLINK("http://bombeiros.sp.gov.br/hidrantes/03individual/773.html","773")</f>
      </c>
      <c r="B877" t="s">
        <v>114</v>
      </c>
      <c r="C877" t="s">
        <v>172</v>
      </c>
      <c r="D877" t="s">
        <v>191</v>
      </c>
      <c r="E877" t="s">
        <v>15</v>
      </c>
      <c r="F877" t="s">
        <v>3684</v>
      </c>
      <c r="G877" t="s">
        <v>18050</v>
      </c>
      <c r="H877"/>
      <c r="I877" t="s">
        <v>18</v>
      </c>
      <c r="J877" t="s">
        <v>3685</v>
      </c>
      <c r="K877" t="s">
        <v>3686</v>
      </c>
      <c r="L877" t="s">
        <v>21</v>
      </c>
      <c r="M877" t="s">
        <v>19177</v>
      </c>
      <c r="N877" t="s">
        <v>97</v>
      </c>
      <c r="O877" t="s">
        <v>937</v>
      </c>
      <c r="P877" t="s">
        <v>12</v>
      </c>
    </row>
    <row r="878">
      <c r="A878">
        <f>HYPERLINK("http://bombeiros.sp.gov.br/hidrantes/03individual/786.html","786")</f>
      </c>
      <c r="B878" t="s">
        <v>114</v>
      </c>
      <c r="C878" t="s">
        <v>172</v>
      </c>
      <c r="D878" t="s">
        <v>191</v>
      </c>
      <c r="E878" t="s">
        <v>15</v>
      </c>
      <c r="F878" t="s">
        <v>3687</v>
      </c>
      <c r="G878" t="s">
        <v>18072</v>
      </c>
      <c r="H878" t="s">
        <v>1107</v>
      </c>
      <c r="I878" t="s">
        <v>1108</v>
      </c>
      <c r="J878" t="s">
        <v>3688</v>
      </c>
      <c r="K878" t="s">
        <v>3689</v>
      </c>
      <c r="L878" t="s">
        <v>21</v>
      </c>
      <c r="M878" t="s">
        <v>19177</v>
      </c>
      <c r="N878" t="s">
        <v>97</v>
      </c>
      <c r="O878" t="s">
        <v>937</v>
      </c>
      <c r="P878" t="s">
        <v>12</v>
      </c>
    </row>
    <row r="879">
      <c r="A879">
        <f>HYPERLINK("http://bombeiros.sp.gov.br/hidrantes/03individual/814.html","814")</f>
      </c>
      <c r="B879" t="s">
        <v>114</v>
      </c>
      <c r="C879" t="s">
        <v>172</v>
      </c>
      <c r="D879" t="s">
        <v>191</v>
      </c>
      <c r="E879" t="s">
        <v>15</v>
      </c>
      <c r="F879" t="s">
        <v>3690</v>
      </c>
      <c r="G879" t="s">
        <v>18048</v>
      </c>
      <c r="H879" t="s">
        <v>1107</v>
      </c>
      <c r="I879" t="s">
        <v>1108</v>
      </c>
      <c r="J879" t="s">
        <v>3691</v>
      </c>
      <c r="K879" t="s">
        <v>3692</v>
      </c>
      <c r="L879" t="s">
        <v>21</v>
      </c>
      <c r="M879" t="s">
        <v>19177</v>
      </c>
      <c r="N879" t="s">
        <v>97</v>
      </c>
      <c r="O879" t="s">
        <v>937</v>
      </c>
      <c r="P879" t="s">
        <v>12</v>
      </c>
    </row>
    <row r="880">
      <c r="A880">
        <f>HYPERLINK("http://bombeiros.sp.gov.br/hidrantes/03individual/816.html","816")</f>
      </c>
      <c r="B880" t="s">
        <v>114</v>
      </c>
      <c r="C880" t="s">
        <v>172</v>
      </c>
      <c r="D880" t="s">
        <v>191</v>
      </c>
      <c r="E880" t="s">
        <v>15</v>
      </c>
      <c r="F880" t="s">
        <v>3693</v>
      </c>
      <c r="G880" t="s">
        <v>18183</v>
      </c>
      <c r="H880" t="s">
        <v>1174</v>
      </c>
      <c r="I880" t="s">
        <v>1108</v>
      </c>
      <c r="J880" t="s">
        <v>3694</v>
      </c>
      <c r="K880" t="s">
        <v>3695</v>
      </c>
      <c r="L880" t="s">
        <v>36</v>
      </c>
      <c r="M880" t="s">
        <v>19177</v>
      </c>
      <c r="N880" t="s">
        <v>97</v>
      </c>
      <c r="O880" t="s">
        <v>937</v>
      </c>
      <c r="P880" t="s">
        <v>12</v>
      </c>
    </row>
    <row r="881">
      <c r="A881">
        <f>HYPERLINK("http://bombeiros.sp.gov.br/hidrantes/03individual/1601.html","1601")</f>
      </c>
      <c r="B881" t="s">
        <v>114</v>
      </c>
      <c r="C881" t="s">
        <v>172</v>
      </c>
      <c r="D881" t="s">
        <v>191</v>
      </c>
      <c r="E881" t="s">
        <v>15</v>
      </c>
      <c r="F881" t="s">
        <v>3696</v>
      </c>
      <c r="G881" t="s">
        <v>18092</v>
      </c>
      <c r="H881" t="s">
        <v>1107</v>
      </c>
      <c r="I881" t="s">
        <v>1108</v>
      </c>
      <c r="J881" t="s">
        <v>3697</v>
      </c>
      <c r="K881" t="s">
        <v>3698</v>
      </c>
      <c r="L881" t="s">
        <v>21</v>
      </c>
      <c r="M881" t="s">
        <v>19177</v>
      </c>
      <c r="N881" t="s">
        <v>97</v>
      </c>
      <c r="O881" t="s">
        <v>937</v>
      </c>
      <c r="P881" t="s">
        <v>12</v>
      </c>
    </row>
    <row r="882">
      <c r="A882">
        <f>HYPERLINK("http://bombeiros.sp.gov.br/hidrantes/03individual/1958.html","1958")</f>
      </c>
      <c r="B882" t="s">
        <v>114</v>
      </c>
      <c r="C882" t="s">
        <v>172</v>
      </c>
      <c r="D882" t="s">
        <v>191</v>
      </c>
      <c r="E882" t="s">
        <v>15</v>
      </c>
      <c r="F882" t="s">
        <v>3699</v>
      </c>
      <c r="G882" t="s">
        <v>18083</v>
      </c>
      <c r="H882" t="s">
        <v>1121</v>
      </c>
      <c r="I882" t="s">
        <v>1117</v>
      </c>
      <c r="J882" t="s">
        <v>3700</v>
      </c>
      <c r="K882" t="s">
        <v>3701</v>
      </c>
      <c r="L882" t="s">
        <v>21</v>
      </c>
      <c r="M882" t="s">
        <v>19177</v>
      </c>
      <c r="N882" t="s">
        <v>97</v>
      </c>
      <c r="O882" t="s">
        <v>937</v>
      </c>
      <c r="P882" t="s">
        <v>12</v>
      </c>
    </row>
    <row r="883">
      <c r="A883">
        <f>HYPERLINK("http://bombeiros.sp.gov.br/hidrantes/03individual/1999.html","1999")</f>
      </c>
      <c r="B883" t="s">
        <v>114</v>
      </c>
      <c r="C883" t="s">
        <v>172</v>
      </c>
      <c r="D883" t="s">
        <v>191</v>
      </c>
      <c r="E883" t="s">
        <v>15</v>
      </c>
      <c r="F883" t="s">
        <v>3702</v>
      </c>
      <c r="G883" t="s">
        <v>18048</v>
      </c>
      <c r="H883" t="s">
        <v>1174</v>
      </c>
      <c r="I883" t="s">
        <v>1108</v>
      </c>
      <c r="J883" t="s">
        <v>3703</v>
      </c>
      <c r="K883" t="s">
        <v>3704</v>
      </c>
      <c r="L883" t="s">
        <v>21</v>
      </c>
      <c r="M883" t="s">
        <v>19177</v>
      </c>
      <c r="N883" t="s">
        <v>97</v>
      </c>
      <c r="O883" t="s">
        <v>937</v>
      </c>
      <c r="P883" t="s">
        <v>12</v>
      </c>
    </row>
    <row r="884">
      <c r="A884">
        <f>HYPERLINK("http://bombeiros.sp.gov.br/hidrantes/03individual/2027.html","2027")</f>
      </c>
      <c r="B884" t="s">
        <v>114</v>
      </c>
      <c r="C884" t="s">
        <v>172</v>
      </c>
      <c r="D884" t="s">
        <v>191</v>
      </c>
      <c r="E884" t="s">
        <v>15</v>
      </c>
      <c r="F884" t="s">
        <v>3705</v>
      </c>
      <c r="G884" t="s">
        <v>18171</v>
      </c>
      <c r="H884" t="s">
        <v>1121</v>
      </c>
      <c r="I884" t="s">
        <v>1117</v>
      </c>
      <c r="J884" t="s">
        <v>3706</v>
      </c>
      <c r="K884" t="s">
        <v>3707</v>
      </c>
      <c r="L884" t="s">
        <v>21</v>
      </c>
      <c r="M884" t="s">
        <v>19177</v>
      </c>
      <c r="N884" t="s">
        <v>97</v>
      </c>
      <c r="O884" t="s">
        <v>937</v>
      </c>
      <c r="P884" t="s">
        <v>12</v>
      </c>
    </row>
    <row r="885">
      <c r="A885">
        <f>HYPERLINK("http://bombeiros.sp.gov.br/hidrantes/03individual/2029.html","2029")</f>
      </c>
      <c r="B885" t="s">
        <v>114</v>
      </c>
      <c r="C885" t="s">
        <v>172</v>
      </c>
      <c r="D885" t="s">
        <v>191</v>
      </c>
      <c r="E885" t="s">
        <v>15</v>
      </c>
      <c r="F885" t="s">
        <v>3708</v>
      </c>
      <c r="G885" t="s">
        <v>18048</v>
      </c>
      <c r="H885" t="s">
        <v>1107</v>
      </c>
      <c r="I885" t="s">
        <v>1108</v>
      </c>
      <c r="J885" t="s">
        <v>3709</v>
      </c>
      <c r="K885" t="s">
        <v>3710</v>
      </c>
      <c r="L885" t="s">
        <v>21</v>
      </c>
      <c r="M885" t="s">
        <v>19177</v>
      </c>
      <c r="N885" t="s">
        <v>97</v>
      </c>
      <c r="O885" t="s">
        <v>937</v>
      </c>
      <c r="P885" t="s">
        <v>12</v>
      </c>
    </row>
    <row r="886">
      <c r="A886">
        <f>HYPERLINK("http://bombeiros.sp.gov.br/hidrantes/03individual/2031.html","2031")</f>
      </c>
      <c r="B886" t="s">
        <v>114</v>
      </c>
      <c r="C886" t="s">
        <v>172</v>
      </c>
      <c r="D886" t="s">
        <v>191</v>
      </c>
      <c r="E886" t="s">
        <v>15</v>
      </c>
      <c r="F886" t="s">
        <v>3711</v>
      </c>
      <c r="G886" t="s">
        <v>18048</v>
      </c>
      <c r="H886" t="s">
        <v>1174</v>
      </c>
      <c r="I886" t="s">
        <v>1108</v>
      </c>
      <c r="J886" t="s">
        <v>3712</v>
      </c>
      <c r="K886" t="s">
        <v>3713</v>
      </c>
      <c r="L886" t="s">
        <v>21</v>
      </c>
      <c r="M886" t="s">
        <v>19177</v>
      </c>
      <c r="N886" t="s">
        <v>97</v>
      </c>
      <c r="O886" t="s">
        <v>937</v>
      </c>
      <c r="P886" t="s">
        <v>12</v>
      </c>
    </row>
    <row r="887">
      <c r="A887">
        <f>HYPERLINK("http://bombeiros.sp.gov.br/hidrantes/03individual/26656.html","26656")</f>
      </c>
      <c r="B887" t="s">
        <v>114</v>
      </c>
      <c r="C887" t="s">
        <v>172</v>
      </c>
      <c r="D887" t="s">
        <v>191</v>
      </c>
      <c r="E887" t="s">
        <v>15</v>
      </c>
      <c r="F887" t="s">
        <v>192</v>
      </c>
      <c r="G887" t="s">
        <v>17934</v>
      </c>
      <c r="H887"/>
      <c r="I887" t="s">
        <v>18</v>
      </c>
      <c r="J887" t="s">
        <v>193</v>
      </c>
      <c r="K887" t="s">
        <v>194</v>
      </c>
      <c r="L887" t="s">
        <v>21</v>
      </c>
      <c r="M887" t="s">
        <v>19177</v>
      </c>
      <c r="N887" t="s">
        <v>97</v>
      </c>
      <c r="O887" t="s">
        <v>937</v>
      </c>
      <c r="P887" t="s">
        <v>12</v>
      </c>
    </row>
    <row r="888">
      <c r="A888">
        <f>HYPERLINK("http://bombeiros.sp.gov.br/hidrantes/03individual/919.html","919")</f>
      </c>
      <c r="B888" t="s">
        <v>114</v>
      </c>
      <c r="C888" t="s">
        <v>195</v>
      </c>
      <c r="D888" t="s">
        <v>196</v>
      </c>
      <c r="E888" t="s">
        <v>64</v>
      </c>
      <c r="F888" t="s">
        <v>3714</v>
      </c>
      <c r="G888" t="s">
        <v>18084</v>
      </c>
      <c r="H888" t="s">
        <v>1112</v>
      </c>
      <c r="I888" t="s">
        <v>1108</v>
      </c>
      <c r="J888" t="s">
        <v>3715</v>
      </c>
      <c r="K888" t="s">
        <v>3716</v>
      </c>
      <c r="L888" t="s">
        <v>36</v>
      </c>
      <c r="M888" t="s">
        <v>19177</v>
      </c>
      <c r="N888" t="s">
        <v>309</v>
      </c>
      <c r="O888" t="s">
        <v>6029</v>
      </c>
      <c r="P888" t="s">
        <v>114</v>
      </c>
    </row>
    <row r="889">
      <c r="A889">
        <f>HYPERLINK("http://bombeiros.sp.gov.br/hidrantes/03individual/935.html","935")</f>
      </c>
      <c r="B889" t="s">
        <v>114</v>
      </c>
      <c r="C889" t="s">
        <v>195</v>
      </c>
      <c r="D889" t="s">
        <v>196</v>
      </c>
      <c r="E889" t="s">
        <v>64</v>
      </c>
      <c r="F889" t="s">
        <v>3717</v>
      </c>
      <c r="G889" t="s">
        <v>18084</v>
      </c>
      <c r="H889" t="s">
        <v>1121</v>
      </c>
      <c r="I889" t="s">
        <v>1117</v>
      </c>
      <c r="J889" t="s">
        <v>3718</v>
      </c>
      <c r="K889" t="s">
        <v>3719</v>
      </c>
      <c r="L889" t="s">
        <v>36</v>
      </c>
      <c r="M889" t="s">
        <v>19177</v>
      </c>
      <c r="N889" t="s">
        <v>309</v>
      </c>
      <c r="O889" t="s">
        <v>6029</v>
      </c>
      <c r="P889" t="s">
        <v>114</v>
      </c>
    </row>
    <row r="890">
      <c r="A890">
        <f>HYPERLINK("http://bombeiros.sp.gov.br/hidrantes/03individual/945.html","945")</f>
      </c>
      <c r="B890" t="s">
        <v>114</v>
      </c>
      <c r="C890" t="s">
        <v>195</v>
      </c>
      <c r="D890" t="s">
        <v>196</v>
      </c>
      <c r="E890" t="s">
        <v>64</v>
      </c>
      <c r="F890" t="s">
        <v>3720</v>
      </c>
      <c r="G890" t="s">
        <v>18084</v>
      </c>
      <c r="H890" t="s">
        <v>1112</v>
      </c>
      <c r="I890" t="s">
        <v>1108</v>
      </c>
      <c r="J890" t="s">
        <v>3721</v>
      </c>
      <c r="K890" t="s">
        <v>3722</v>
      </c>
      <c r="L890" t="s">
        <v>36</v>
      </c>
      <c r="M890" t="s">
        <v>19177</v>
      </c>
      <c r="N890" t="s">
        <v>309</v>
      </c>
      <c r="O890" t="s">
        <v>6029</v>
      </c>
      <c r="P890" t="s">
        <v>114</v>
      </c>
    </row>
    <row r="891">
      <c r="A891">
        <f>HYPERLINK("http://bombeiros.sp.gov.br/hidrantes/03individual/946.html","946")</f>
      </c>
      <c r="B891" t="s">
        <v>114</v>
      </c>
      <c r="C891" t="s">
        <v>195</v>
      </c>
      <c r="D891" t="s">
        <v>196</v>
      </c>
      <c r="E891" t="s">
        <v>64</v>
      </c>
      <c r="F891" t="s">
        <v>3723</v>
      </c>
      <c r="G891" t="s">
        <v>18067</v>
      </c>
      <c r="H891" t="s">
        <v>1112</v>
      </c>
      <c r="I891" t="s">
        <v>1108</v>
      </c>
      <c r="J891" t="s">
        <v>3724</v>
      </c>
      <c r="K891" t="s">
        <v>3725</v>
      </c>
      <c r="L891" t="s">
        <v>36</v>
      </c>
      <c r="M891" t="s">
        <v>19177</v>
      </c>
      <c r="N891" t="s">
        <v>309</v>
      </c>
      <c r="O891" t="s">
        <v>6029</v>
      </c>
      <c r="P891" t="s">
        <v>114</v>
      </c>
    </row>
    <row r="892">
      <c r="A892">
        <f>HYPERLINK("http://bombeiros.sp.gov.br/hidrantes/03individual/1381.html","1381")</f>
      </c>
      <c r="B892" t="s">
        <v>114</v>
      </c>
      <c r="C892" t="s">
        <v>195</v>
      </c>
      <c r="D892" t="s">
        <v>196</v>
      </c>
      <c r="E892" t="s">
        <v>64</v>
      </c>
      <c r="F892" t="s">
        <v>3726</v>
      </c>
      <c r="G892" t="s">
        <v>18065</v>
      </c>
      <c r="H892" t="s">
        <v>1107</v>
      </c>
      <c r="I892" t="s">
        <v>1108</v>
      </c>
      <c r="J892" t="s">
        <v>3727</v>
      </c>
      <c r="K892" t="s">
        <v>3728</v>
      </c>
      <c r="L892" t="s">
        <v>36</v>
      </c>
      <c r="M892" t="s">
        <v>19177</v>
      </c>
      <c r="N892" t="s">
        <v>309</v>
      </c>
      <c r="O892" t="s">
        <v>6029</v>
      </c>
      <c r="P892" t="s">
        <v>114</v>
      </c>
    </row>
    <row r="893">
      <c r="A893">
        <f>HYPERLINK("http://bombeiros.sp.gov.br/hidrantes/03individual/929.html","929")</f>
      </c>
      <c r="B893" t="s">
        <v>114</v>
      </c>
      <c r="C893" t="s">
        <v>195</v>
      </c>
      <c r="D893" t="s">
        <v>196</v>
      </c>
      <c r="E893" t="s">
        <v>15</v>
      </c>
      <c r="F893" t="s">
        <v>3729</v>
      </c>
      <c r="G893" t="s">
        <v>18084</v>
      </c>
      <c r="H893" t="s">
        <v>1107</v>
      </c>
      <c r="I893" t="s">
        <v>1108</v>
      </c>
      <c r="J893" t="s">
        <v>3730</v>
      </c>
      <c r="K893" t="s">
        <v>3731</v>
      </c>
      <c r="L893" t="s">
        <v>21</v>
      </c>
      <c r="M893" t="s">
        <v>19177</v>
      </c>
      <c r="N893" t="s">
        <v>309</v>
      </c>
      <c r="O893" t="s">
        <v>6029</v>
      </c>
      <c r="P893" t="s">
        <v>114</v>
      </c>
    </row>
    <row r="894">
      <c r="A894">
        <f>HYPERLINK("http://bombeiros.sp.gov.br/hidrantes/03individual/1044.html","1044")</f>
      </c>
      <c r="B894" t="s">
        <v>114</v>
      </c>
      <c r="C894" t="s">
        <v>195</v>
      </c>
      <c r="D894" t="s">
        <v>196</v>
      </c>
      <c r="E894" t="s">
        <v>15</v>
      </c>
      <c r="F894" t="s">
        <v>3732</v>
      </c>
      <c r="G894" t="s">
        <v>18084</v>
      </c>
      <c r="H894" t="s">
        <v>1107</v>
      </c>
      <c r="I894" t="s">
        <v>1108</v>
      </c>
      <c r="J894" t="s">
        <v>3733</v>
      </c>
      <c r="K894" t="s">
        <v>3734</v>
      </c>
      <c r="L894" t="s">
        <v>21</v>
      </c>
      <c r="M894" t="s">
        <v>19177</v>
      </c>
      <c r="N894" t="s">
        <v>309</v>
      </c>
      <c r="O894" t="s">
        <v>6029</v>
      </c>
      <c r="P894" t="s">
        <v>114</v>
      </c>
    </row>
    <row r="895">
      <c r="A895">
        <f>HYPERLINK("http://bombeiros.sp.gov.br/hidrantes/03individual/1045.html","1045")</f>
      </c>
      <c r="B895" t="s">
        <v>114</v>
      </c>
      <c r="C895" t="s">
        <v>195</v>
      </c>
      <c r="D895" t="s">
        <v>196</v>
      </c>
      <c r="E895" t="s">
        <v>15</v>
      </c>
      <c r="F895" t="s">
        <v>3735</v>
      </c>
      <c r="G895" t="s">
        <v>18084</v>
      </c>
      <c r="H895" t="s">
        <v>1107</v>
      </c>
      <c r="I895" t="s">
        <v>1108</v>
      </c>
      <c r="J895" t="s">
        <v>3736</v>
      </c>
      <c r="K895" t="s">
        <v>3737</v>
      </c>
      <c r="L895" t="s">
        <v>21</v>
      </c>
      <c r="M895" t="s">
        <v>19177</v>
      </c>
      <c r="N895" t="s">
        <v>309</v>
      </c>
      <c r="O895" t="s">
        <v>6029</v>
      </c>
      <c r="P895" t="s">
        <v>114</v>
      </c>
    </row>
    <row r="896">
      <c r="A896">
        <f>HYPERLINK("http://bombeiros.sp.gov.br/hidrantes/03individual/1383.html","1383")</f>
      </c>
      <c r="B896" t="s">
        <v>114</v>
      </c>
      <c r="C896" t="s">
        <v>195</v>
      </c>
      <c r="D896" t="s">
        <v>196</v>
      </c>
      <c r="E896" t="s">
        <v>15</v>
      </c>
      <c r="F896" t="s">
        <v>3738</v>
      </c>
      <c r="G896" t="s">
        <v>18067</v>
      </c>
      <c r="H896" t="s">
        <v>1121</v>
      </c>
      <c r="I896" t="s">
        <v>1117</v>
      </c>
      <c r="J896" t="s">
        <v>3739</v>
      </c>
      <c r="K896" t="s">
        <v>3740</v>
      </c>
      <c r="L896" t="s">
        <v>21</v>
      </c>
      <c r="M896" t="s">
        <v>19177</v>
      </c>
      <c r="N896" t="s">
        <v>309</v>
      </c>
      <c r="O896" t="s">
        <v>6029</v>
      </c>
      <c r="P896" t="s">
        <v>114</v>
      </c>
    </row>
    <row r="897">
      <c r="A897">
        <f>HYPERLINK("http://bombeiros.sp.gov.br/hidrantes/03individual/1384.html","1384")</f>
      </c>
      <c r="B897" t="s">
        <v>114</v>
      </c>
      <c r="C897" t="s">
        <v>195</v>
      </c>
      <c r="D897" t="s">
        <v>196</v>
      </c>
      <c r="E897" t="s">
        <v>15</v>
      </c>
      <c r="F897" t="s">
        <v>197</v>
      </c>
      <c r="G897" t="s">
        <v>18084</v>
      </c>
      <c r="H897" t="s">
        <v>1107</v>
      </c>
      <c r="I897" t="s">
        <v>1108</v>
      </c>
      <c r="J897" t="s">
        <v>16904</v>
      </c>
      <c r="K897" t="s">
        <v>16905</v>
      </c>
      <c r="L897" t="s">
        <v>21</v>
      </c>
      <c r="M897" t="s">
        <v>19177</v>
      </c>
      <c r="N897" t="s">
        <v>309</v>
      </c>
      <c r="O897" t="s">
        <v>6029</v>
      </c>
      <c r="P897" t="s">
        <v>114</v>
      </c>
    </row>
    <row r="898">
      <c r="A898">
        <f>HYPERLINK("http://bombeiros.sp.gov.br/hidrantes/03individual/1424.html","1424")</f>
      </c>
      <c r="B898" t="s">
        <v>114</v>
      </c>
      <c r="C898" t="s">
        <v>195</v>
      </c>
      <c r="D898" t="s">
        <v>196</v>
      </c>
      <c r="E898" t="s">
        <v>15</v>
      </c>
      <c r="F898" t="s">
        <v>3741</v>
      </c>
      <c r="G898" t="s">
        <v>18097</v>
      </c>
      <c r="H898" t="s">
        <v>1174</v>
      </c>
      <c r="I898" t="s">
        <v>1108</v>
      </c>
      <c r="J898" t="s">
        <v>3742</v>
      </c>
      <c r="K898" t="s">
        <v>3743</v>
      </c>
      <c r="L898" t="s">
        <v>21</v>
      </c>
      <c r="M898" t="s">
        <v>19177</v>
      </c>
      <c r="N898" t="s">
        <v>309</v>
      </c>
      <c r="O898" t="s">
        <v>6029</v>
      </c>
      <c r="P898" t="s">
        <v>114</v>
      </c>
    </row>
    <row r="899">
      <c r="A899">
        <f>HYPERLINK("http://bombeiros.sp.gov.br/hidrantes/03individual/1426.html","1426")</f>
      </c>
      <c r="B899" t="s">
        <v>114</v>
      </c>
      <c r="C899" t="s">
        <v>195</v>
      </c>
      <c r="D899" t="s">
        <v>196</v>
      </c>
      <c r="E899" t="s">
        <v>15</v>
      </c>
      <c r="F899" t="s">
        <v>3744</v>
      </c>
      <c r="G899" t="s">
        <v>18074</v>
      </c>
      <c r="H899" t="s">
        <v>1112</v>
      </c>
      <c r="I899" t="s">
        <v>1108</v>
      </c>
      <c r="J899" t="s">
        <v>3745</v>
      </c>
      <c r="K899" t="s">
        <v>3746</v>
      </c>
      <c r="L899" t="s">
        <v>21</v>
      </c>
      <c r="M899" t="s">
        <v>19177</v>
      </c>
      <c r="N899" t="s">
        <v>309</v>
      </c>
      <c r="O899" t="s">
        <v>6029</v>
      </c>
      <c r="P899" t="s">
        <v>114</v>
      </c>
    </row>
    <row r="900">
      <c r="A900">
        <f>HYPERLINK("http://bombeiros.sp.gov.br/hidrantes/03individual/1427.html","1427")</f>
      </c>
      <c r="B900" t="s">
        <v>114</v>
      </c>
      <c r="C900" t="s">
        <v>195</v>
      </c>
      <c r="D900" t="s">
        <v>196</v>
      </c>
      <c r="E900" t="s">
        <v>15</v>
      </c>
      <c r="F900" t="s">
        <v>3747</v>
      </c>
      <c r="G900" t="s">
        <v>18074</v>
      </c>
      <c r="H900" t="s">
        <v>1112</v>
      </c>
      <c r="I900" t="s">
        <v>1108</v>
      </c>
      <c r="J900" t="s">
        <v>3748</v>
      </c>
      <c r="K900" t="s">
        <v>3749</v>
      </c>
      <c r="L900" t="s">
        <v>21</v>
      </c>
      <c r="M900" t="s">
        <v>19177</v>
      </c>
      <c r="N900" t="s">
        <v>309</v>
      </c>
      <c r="O900" t="s">
        <v>6029</v>
      </c>
      <c r="P900" t="s">
        <v>114</v>
      </c>
    </row>
    <row r="901">
      <c r="A901">
        <f>HYPERLINK("http://bombeiros.sp.gov.br/hidrantes/03individual/1429.html","1429")</f>
      </c>
      <c r="B901" t="s">
        <v>114</v>
      </c>
      <c r="C901" t="s">
        <v>195</v>
      </c>
      <c r="D901" t="s">
        <v>196</v>
      </c>
      <c r="E901" t="s">
        <v>15</v>
      </c>
      <c r="F901" t="s">
        <v>3750</v>
      </c>
      <c r="G901" t="s">
        <v>18074</v>
      </c>
      <c r="H901" t="s">
        <v>1112</v>
      </c>
      <c r="I901" t="s">
        <v>1108</v>
      </c>
      <c r="J901" t="s">
        <v>3751</v>
      </c>
      <c r="K901" t="s">
        <v>3752</v>
      </c>
      <c r="L901" t="s">
        <v>21</v>
      </c>
      <c r="M901" t="s">
        <v>19177</v>
      </c>
      <c r="N901" t="s">
        <v>309</v>
      </c>
      <c r="O901" t="s">
        <v>6029</v>
      </c>
      <c r="P901" t="s">
        <v>114</v>
      </c>
    </row>
    <row r="902">
      <c r="A902">
        <f>HYPERLINK("http://bombeiros.sp.gov.br/hidrantes/03individual/1431.html","1431")</f>
      </c>
      <c r="B902" t="s">
        <v>114</v>
      </c>
      <c r="C902" t="s">
        <v>195</v>
      </c>
      <c r="D902" t="s">
        <v>196</v>
      </c>
      <c r="E902" t="s">
        <v>15</v>
      </c>
      <c r="F902" t="s">
        <v>3753</v>
      </c>
      <c r="G902" t="s">
        <v>18066</v>
      </c>
      <c r="H902" t="s">
        <v>1112</v>
      </c>
      <c r="I902" t="s">
        <v>1108</v>
      </c>
      <c r="J902" t="s">
        <v>3754</v>
      </c>
      <c r="K902" t="s">
        <v>3755</v>
      </c>
      <c r="L902" t="s">
        <v>21</v>
      </c>
      <c r="M902" t="s">
        <v>19177</v>
      </c>
      <c r="N902" t="s">
        <v>309</v>
      </c>
      <c r="O902" t="s">
        <v>6029</v>
      </c>
      <c r="P902" t="s">
        <v>114</v>
      </c>
    </row>
    <row r="903">
      <c r="A903">
        <f>HYPERLINK("http://bombeiros.sp.gov.br/hidrantes/03individual/1433.html","1433")</f>
      </c>
      <c r="B903" t="s">
        <v>114</v>
      </c>
      <c r="C903" t="s">
        <v>195</v>
      </c>
      <c r="D903" t="s">
        <v>196</v>
      </c>
      <c r="E903" t="s">
        <v>15</v>
      </c>
      <c r="F903" t="s">
        <v>3756</v>
      </c>
      <c r="G903" t="s">
        <v>18084</v>
      </c>
      <c r="H903" t="s">
        <v>1112</v>
      </c>
      <c r="I903" t="s">
        <v>1108</v>
      </c>
      <c r="J903" t="s">
        <v>3757</v>
      </c>
      <c r="K903" t="s">
        <v>3758</v>
      </c>
      <c r="L903" t="s">
        <v>21</v>
      </c>
      <c r="M903" t="s">
        <v>19177</v>
      </c>
      <c r="N903" t="s">
        <v>309</v>
      </c>
      <c r="O903" t="s">
        <v>6029</v>
      </c>
      <c r="P903" t="s">
        <v>114</v>
      </c>
    </row>
    <row r="904">
      <c r="A904">
        <f>HYPERLINK("http://bombeiros.sp.gov.br/hidrantes/03individual/3011.html","3011")</f>
      </c>
      <c r="B904" t="s">
        <v>114</v>
      </c>
      <c r="C904" t="s">
        <v>195</v>
      </c>
      <c r="D904" t="s">
        <v>196</v>
      </c>
      <c r="E904" t="s">
        <v>15</v>
      </c>
      <c r="F904" t="s">
        <v>200</v>
      </c>
      <c r="G904" t="s">
        <v>18065</v>
      </c>
      <c r="H904" t="s">
        <v>1112</v>
      </c>
      <c r="I904" t="s">
        <v>1108</v>
      </c>
      <c r="J904" t="s">
        <v>201</v>
      </c>
      <c r="K904" t="s">
        <v>202</v>
      </c>
      <c r="L904" t="s">
        <v>21</v>
      </c>
      <c r="M904" t="s">
        <v>19177</v>
      </c>
      <c r="N904" t="s">
        <v>309</v>
      </c>
      <c r="O904" t="s">
        <v>6029</v>
      </c>
      <c r="P904" t="s">
        <v>114</v>
      </c>
    </row>
    <row r="905">
      <c r="A905">
        <f>HYPERLINK("http://bombeiros.sp.gov.br/hidrantes/03individual/3335.html","3335")</f>
      </c>
      <c r="B905" t="s">
        <v>114</v>
      </c>
      <c r="C905" t="s">
        <v>195</v>
      </c>
      <c r="D905" t="s">
        <v>196</v>
      </c>
      <c r="E905" t="s">
        <v>15</v>
      </c>
      <c r="F905" t="s">
        <v>203</v>
      </c>
      <c r="G905" t="s">
        <v>18065</v>
      </c>
      <c r="H905" t="s">
        <v>1107</v>
      </c>
      <c r="I905" t="s">
        <v>1108</v>
      </c>
      <c r="J905" t="s">
        <v>204</v>
      </c>
      <c r="K905" t="s">
        <v>205</v>
      </c>
      <c r="L905" t="s">
        <v>21</v>
      </c>
      <c r="M905" t="s">
        <v>19177</v>
      </c>
      <c r="N905" t="s">
        <v>309</v>
      </c>
      <c r="O905" t="s">
        <v>6029</v>
      </c>
      <c r="P905" t="s">
        <v>114</v>
      </c>
    </row>
    <row r="906">
      <c r="A906">
        <f>HYPERLINK("http://bombeiros.sp.gov.br/hidrantes/03individual/4419.html","4419")</f>
      </c>
      <c r="B906" t="s">
        <v>114</v>
      </c>
      <c r="C906" t="s">
        <v>195</v>
      </c>
      <c r="D906" t="s">
        <v>196</v>
      </c>
      <c r="E906" t="s">
        <v>15</v>
      </c>
      <c r="F906" t="s">
        <v>3759</v>
      </c>
      <c r="G906" t="s">
        <v>18084</v>
      </c>
      <c r="H906" t="s">
        <v>1107</v>
      </c>
      <c r="I906" t="s">
        <v>1108</v>
      </c>
      <c r="J906" t="s">
        <v>3760</v>
      </c>
      <c r="K906" t="s">
        <v>3761</v>
      </c>
      <c r="L906" t="s">
        <v>21</v>
      </c>
      <c r="M906" t="s">
        <v>19177</v>
      </c>
      <c r="N906" t="s">
        <v>309</v>
      </c>
      <c r="O906" t="s">
        <v>6029</v>
      </c>
      <c r="P906" t="s">
        <v>114</v>
      </c>
    </row>
    <row r="907">
      <c r="A907">
        <f>HYPERLINK("http://bombeiros.sp.gov.br/hidrantes/03individual/17798.html","17798")</f>
      </c>
      <c r="B907" t="s">
        <v>114</v>
      </c>
      <c r="C907" t="s">
        <v>195</v>
      </c>
      <c r="D907" t="s">
        <v>196</v>
      </c>
      <c r="E907" t="s">
        <v>15</v>
      </c>
      <c r="F907" t="s">
        <v>3762</v>
      </c>
      <c r="G907" t="s">
        <v>18084</v>
      </c>
      <c r="H907" t="s">
        <v>1174</v>
      </c>
      <c r="I907" t="s">
        <v>1108</v>
      </c>
      <c r="J907" t="s">
        <v>3763</v>
      </c>
      <c r="K907" t="s">
        <v>3764</v>
      </c>
      <c r="L907" t="s">
        <v>21</v>
      </c>
      <c r="M907" t="s">
        <v>19177</v>
      </c>
      <c r="N907" t="s">
        <v>309</v>
      </c>
      <c r="O907" t="s">
        <v>6029</v>
      </c>
      <c r="P907" t="s">
        <v>114</v>
      </c>
    </row>
    <row r="908">
      <c r="A908">
        <f>HYPERLINK("http://bombeiros.sp.gov.br/hidrantes/03individual/10055.html","10055")</f>
      </c>
      <c r="B908" t="s">
        <v>114</v>
      </c>
      <c r="C908" t="s">
        <v>195</v>
      </c>
      <c r="D908" t="s">
        <v>206</v>
      </c>
      <c r="E908" t="s">
        <v>1507</v>
      </c>
      <c r="F908" t="s">
        <v>3765</v>
      </c>
      <c r="G908" t="s">
        <v>18143</v>
      </c>
      <c r="H908"/>
      <c r="I908" t="s">
        <v>18</v>
      </c>
      <c r="J908" t="s">
        <v>3766</v>
      </c>
      <c r="K908" t="s">
        <v>3767</v>
      </c>
      <c r="L908" t="s">
        <v>21</v>
      </c>
      <c r="M908" t="s">
        <v>19177</v>
      </c>
      <c r="N908" t="s">
        <v>309</v>
      </c>
      <c r="O908" t="s">
        <v>6029</v>
      </c>
      <c r="P908" t="s">
        <v>114</v>
      </c>
    </row>
    <row r="909">
      <c r="A909">
        <f>HYPERLINK("http://bombeiros.sp.gov.br/hidrantes/03individual/921.html","921")</f>
      </c>
      <c r="B909" t="s">
        <v>114</v>
      </c>
      <c r="C909" t="s">
        <v>195</v>
      </c>
      <c r="D909" t="s">
        <v>206</v>
      </c>
      <c r="E909" t="s">
        <v>64</v>
      </c>
      <c r="F909" t="s">
        <v>3768</v>
      </c>
      <c r="G909" t="s">
        <v>18143</v>
      </c>
      <c r="H909" t="s">
        <v>1107</v>
      </c>
      <c r="I909" t="s">
        <v>1108</v>
      </c>
      <c r="J909" t="s">
        <v>3769</v>
      </c>
      <c r="K909" t="s">
        <v>3770</v>
      </c>
      <c r="L909" t="s">
        <v>36</v>
      </c>
      <c r="M909" t="s">
        <v>19177</v>
      </c>
      <c r="N909" t="s">
        <v>309</v>
      </c>
      <c r="O909" t="s">
        <v>6029</v>
      </c>
      <c r="P909" t="s">
        <v>114</v>
      </c>
    </row>
    <row r="910">
      <c r="A910">
        <f>HYPERLINK("http://bombeiros.sp.gov.br/hidrantes/03individual/925.html","925")</f>
      </c>
      <c r="B910" t="s">
        <v>114</v>
      </c>
      <c r="C910" t="s">
        <v>195</v>
      </c>
      <c r="D910" t="s">
        <v>206</v>
      </c>
      <c r="E910" t="s">
        <v>64</v>
      </c>
      <c r="F910" t="s">
        <v>3771</v>
      </c>
      <c r="G910" t="s">
        <v>18143</v>
      </c>
      <c r="H910" t="s">
        <v>1112</v>
      </c>
      <c r="I910" t="s">
        <v>1108</v>
      </c>
      <c r="J910" t="s">
        <v>3772</v>
      </c>
      <c r="K910" t="s">
        <v>3773</v>
      </c>
      <c r="L910" t="s">
        <v>36</v>
      </c>
      <c r="M910" t="s">
        <v>19177</v>
      </c>
      <c r="N910" t="s">
        <v>309</v>
      </c>
      <c r="O910" t="s">
        <v>6029</v>
      </c>
      <c r="P910" t="s">
        <v>114</v>
      </c>
    </row>
    <row r="911">
      <c r="A911">
        <f>HYPERLINK("http://bombeiros.sp.gov.br/hidrantes/03individual/950.html","950")</f>
      </c>
      <c r="B911" t="s">
        <v>114</v>
      </c>
      <c r="C911" t="s">
        <v>195</v>
      </c>
      <c r="D911" t="s">
        <v>206</v>
      </c>
      <c r="E911" t="s">
        <v>64</v>
      </c>
      <c r="F911" t="s">
        <v>3774</v>
      </c>
      <c r="G911" t="s">
        <v>18143</v>
      </c>
      <c r="H911" t="s">
        <v>1112</v>
      </c>
      <c r="I911" t="s">
        <v>1108</v>
      </c>
      <c r="J911" t="s">
        <v>3775</v>
      </c>
      <c r="K911" t="s">
        <v>3776</v>
      </c>
      <c r="L911" t="s">
        <v>36</v>
      </c>
      <c r="M911" t="s">
        <v>19177</v>
      </c>
      <c r="N911" t="s">
        <v>309</v>
      </c>
      <c r="O911" t="s">
        <v>6029</v>
      </c>
      <c r="P911" t="s">
        <v>114</v>
      </c>
    </row>
    <row r="912">
      <c r="A912">
        <f>HYPERLINK("http://bombeiros.sp.gov.br/hidrantes/03individual/27823.html","27823")</f>
      </c>
      <c r="B912" t="s">
        <v>114</v>
      </c>
      <c r="C912" t="s">
        <v>195</v>
      </c>
      <c r="D912" t="s">
        <v>206</v>
      </c>
      <c r="E912" t="s">
        <v>64</v>
      </c>
      <c r="F912" t="s">
        <v>17830</v>
      </c>
      <c r="G912" t="s">
        <v>18143</v>
      </c>
      <c r="H912" t="s">
        <v>1112</v>
      </c>
      <c r="I912" t="s">
        <v>1108</v>
      </c>
      <c r="J912" t="s">
        <v>17831</v>
      </c>
      <c r="K912" t="s">
        <v>17832</v>
      </c>
      <c r="L912" t="s">
        <v>21</v>
      </c>
      <c r="M912" t="s">
        <v>19177</v>
      </c>
      <c r="N912" t="s">
        <v>309</v>
      </c>
      <c r="O912" t="s">
        <v>6029</v>
      </c>
      <c r="P912" t="s">
        <v>114</v>
      </c>
    </row>
    <row r="913">
      <c r="A913">
        <f>HYPERLINK("http://bombeiros.sp.gov.br/hidrantes/03individual/1385.html","1385")</f>
      </c>
      <c r="B913" t="s">
        <v>114</v>
      </c>
      <c r="C913" t="s">
        <v>195</v>
      </c>
      <c r="D913" t="s">
        <v>206</v>
      </c>
      <c r="E913" t="s">
        <v>15</v>
      </c>
      <c r="F913" t="s">
        <v>3777</v>
      </c>
      <c r="G913" t="s">
        <v>18082</v>
      </c>
      <c r="H913" t="s">
        <v>1112</v>
      </c>
      <c r="I913" t="s">
        <v>1108</v>
      </c>
      <c r="J913" t="s">
        <v>3778</v>
      </c>
      <c r="K913" t="s">
        <v>3779</v>
      </c>
      <c r="L913" t="s">
        <v>21</v>
      </c>
      <c r="M913" t="s">
        <v>19177</v>
      </c>
      <c r="N913" t="s">
        <v>309</v>
      </c>
      <c r="O913" t="s">
        <v>6029</v>
      </c>
      <c r="P913" t="s">
        <v>114</v>
      </c>
    </row>
    <row r="914">
      <c r="A914">
        <f>HYPERLINK("http://bombeiros.sp.gov.br/hidrantes/03individual/2965.html","2965")</f>
      </c>
      <c r="B914" t="s">
        <v>114</v>
      </c>
      <c r="C914" t="s">
        <v>195</v>
      </c>
      <c r="D914" t="s">
        <v>206</v>
      </c>
      <c r="E914" t="s">
        <v>15</v>
      </c>
      <c r="F914" t="s">
        <v>207</v>
      </c>
      <c r="G914" t="s">
        <v>18143</v>
      </c>
      <c r="H914"/>
      <c r="I914" t="s">
        <v>18</v>
      </c>
      <c r="J914" t="s">
        <v>208</v>
      </c>
      <c r="K914" t="s">
        <v>209</v>
      </c>
      <c r="L914" t="s">
        <v>21</v>
      </c>
      <c r="M914" t="s">
        <v>19177</v>
      </c>
      <c r="N914" t="s">
        <v>309</v>
      </c>
      <c r="O914" t="s">
        <v>6029</v>
      </c>
      <c r="P914" t="s">
        <v>114</v>
      </c>
    </row>
    <row r="915">
      <c r="A915">
        <f>HYPERLINK("http://bombeiros.sp.gov.br/hidrantes/03individual/811.html","811")</f>
      </c>
      <c r="B915" t="s">
        <v>114</v>
      </c>
      <c r="C915" t="s">
        <v>195</v>
      </c>
      <c r="D915" t="s">
        <v>3780</v>
      </c>
      <c r="E915" t="s">
        <v>64</v>
      </c>
      <c r="F915" t="s">
        <v>3781</v>
      </c>
      <c r="G915" t="s">
        <v>18394</v>
      </c>
      <c r="H915" t="s">
        <v>1107</v>
      </c>
      <c r="I915" t="s">
        <v>1108</v>
      </c>
      <c r="J915" t="s">
        <v>3782</v>
      </c>
      <c r="K915" t="s">
        <v>3783</v>
      </c>
      <c r="L915" t="s">
        <v>21</v>
      </c>
      <c r="M915" t="s">
        <v>19177</v>
      </c>
      <c r="N915" t="s">
        <v>309</v>
      </c>
      <c r="O915" t="s">
        <v>6029</v>
      </c>
      <c r="P915" t="s">
        <v>114</v>
      </c>
    </row>
    <row r="916">
      <c r="A916">
        <f>HYPERLINK("http://bombeiros.sp.gov.br/hidrantes/03individual/4458.html","4458")</f>
      </c>
      <c r="B916" t="s">
        <v>114</v>
      </c>
      <c r="C916" t="s">
        <v>195</v>
      </c>
      <c r="D916" t="s">
        <v>3780</v>
      </c>
      <c r="E916" t="s">
        <v>64</v>
      </c>
      <c r="F916" t="s">
        <v>3784</v>
      </c>
      <c r="G916" t="s">
        <v>18143</v>
      </c>
      <c r="H916" t="s">
        <v>1112</v>
      </c>
      <c r="I916" t="s">
        <v>1108</v>
      </c>
      <c r="J916" t="s">
        <v>3785</v>
      </c>
      <c r="K916" t="s">
        <v>3786</v>
      </c>
      <c r="L916" t="s">
        <v>21</v>
      </c>
      <c r="M916" t="s">
        <v>19177</v>
      </c>
      <c r="N916" t="s">
        <v>309</v>
      </c>
      <c r="O916" t="s">
        <v>6029</v>
      </c>
      <c r="P916" t="s">
        <v>114</v>
      </c>
    </row>
    <row r="917">
      <c r="A917">
        <f>HYPERLINK("http://bombeiros.sp.gov.br/hidrantes/03individual/27626.html","27626")</f>
      </c>
      <c r="B917" t="s">
        <v>114</v>
      </c>
      <c r="C917" t="s">
        <v>195</v>
      </c>
      <c r="D917" t="s">
        <v>3780</v>
      </c>
      <c r="E917" t="s">
        <v>64</v>
      </c>
      <c r="F917" t="s">
        <v>17515</v>
      </c>
      <c r="G917" t="s">
        <v>18066</v>
      </c>
      <c r="H917" t="s">
        <v>1112</v>
      </c>
      <c r="I917" t="s">
        <v>1108</v>
      </c>
      <c r="J917" t="s">
        <v>17516</v>
      </c>
      <c r="K917" t="s">
        <v>17517</v>
      </c>
      <c r="L917" t="s">
        <v>21</v>
      </c>
      <c r="M917" t="s">
        <v>19177</v>
      </c>
      <c r="N917" t="s">
        <v>309</v>
      </c>
      <c r="O917" t="s">
        <v>6029</v>
      </c>
      <c r="P917" t="s">
        <v>114</v>
      </c>
    </row>
    <row r="918">
      <c r="A918">
        <f>HYPERLINK("http://bombeiros.sp.gov.br/hidrantes/03individual/913.html","913")</f>
      </c>
      <c r="B918" t="s">
        <v>114</v>
      </c>
      <c r="C918" t="s">
        <v>195</v>
      </c>
      <c r="D918" t="s">
        <v>3787</v>
      </c>
      <c r="E918" t="s">
        <v>64</v>
      </c>
      <c r="F918" t="s">
        <v>3788</v>
      </c>
      <c r="G918" t="s">
        <v>18143</v>
      </c>
      <c r="H918" t="s">
        <v>1112</v>
      </c>
      <c r="I918" t="s">
        <v>1108</v>
      </c>
      <c r="J918" t="s">
        <v>3789</v>
      </c>
      <c r="K918" t="s">
        <v>3790</v>
      </c>
      <c r="L918" t="s">
        <v>21</v>
      </c>
      <c r="M918" t="s">
        <v>19177</v>
      </c>
      <c r="N918" t="s">
        <v>309</v>
      </c>
      <c r="O918" t="s">
        <v>6029</v>
      </c>
      <c r="P918" t="s">
        <v>114</v>
      </c>
    </row>
    <row r="919">
      <c r="A919">
        <f>HYPERLINK("http://bombeiros.sp.gov.br/hidrantes/03individual/915.html","915")</f>
      </c>
      <c r="B919" t="s">
        <v>114</v>
      </c>
      <c r="C919" t="s">
        <v>195</v>
      </c>
      <c r="D919" t="s">
        <v>3787</v>
      </c>
      <c r="E919" t="s">
        <v>64</v>
      </c>
      <c r="F919" t="s">
        <v>3791</v>
      </c>
      <c r="G919" t="s">
        <v>18055</v>
      </c>
      <c r="H919" t="s">
        <v>1174</v>
      </c>
      <c r="I919" t="s">
        <v>1108</v>
      </c>
      <c r="J919" t="s">
        <v>3792</v>
      </c>
      <c r="K919" t="s">
        <v>3793</v>
      </c>
      <c r="L919" t="s">
        <v>36</v>
      </c>
      <c r="M919" t="s">
        <v>19177</v>
      </c>
      <c r="N919" t="s">
        <v>309</v>
      </c>
      <c r="O919" t="s">
        <v>6029</v>
      </c>
      <c r="P919" t="s">
        <v>114</v>
      </c>
    </row>
    <row r="920">
      <c r="A920">
        <f>HYPERLINK("http://bombeiros.sp.gov.br/hidrantes/03individual/1053.html","1053")</f>
      </c>
      <c r="B920" t="s">
        <v>114</v>
      </c>
      <c r="C920" t="s">
        <v>195</v>
      </c>
      <c r="D920" t="s">
        <v>3787</v>
      </c>
      <c r="E920" t="s">
        <v>15</v>
      </c>
      <c r="F920" t="s">
        <v>3794</v>
      </c>
      <c r="G920" t="s">
        <v>18055</v>
      </c>
      <c r="H920" t="s">
        <v>1107</v>
      </c>
      <c r="I920" t="s">
        <v>1108</v>
      </c>
      <c r="J920" t="s">
        <v>3795</v>
      </c>
      <c r="K920" t="s">
        <v>3796</v>
      </c>
      <c r="L920" t="s">
        <v>21</v>
      </c>
      <c r="M920" t="s">
        <v>19177</v>
      </c>
      <c r="N920" t="s">
        <v>309</v>
      </c>
      <c r="O920" t="s">
        <v>6029</v>
      </c>
      <c r="P920" t="s">
        <v>114</v>
      </c>
    </row>
    <row r="921">
      <c r="A921">
        <f>HYPERLINK("http://bombeiros.sp.gov.br/hidrantes/03individual/1387.html","1387")</f>
      </c>
      <c r="B921" t="s">
        <v>114</v>
      </c>
      <c r="C921" t="s">
        <v>195</v>
      </c>
      <c r="D921" t="s">
        <v>3787</v>
      </c>
      <c r="E921" t="s">
        <v>15</v>
      </c>
      <c r="F921" t="s">
        <v>3797</v>
      </c>
      <c r="G921" t="s">
        <v>18055</v>
      </c>
      <c r="H921" t="s">
        <v>1107</v>
      </c>
      <c r="I921" t="s">
        <v>1108</v>
      </c>
      <c r="J921" t="s">
        <v>3798</v>
      </c>
      <c r="K921" t="s">
        <v>3799</v>
      </c>
      <c r="L921" t="s">
        <v>21</v>
      </c>
      <c r="M921" t="s">
        <v>19177</v>
      </c>
      <c r="N921" t="s">
        <v>309</v>
      </c>
      <c r="O921" t="s">
        <v>6029</v>
      </c>
      <c r="P921" t="s">
        <v>114</v>
      </c>
    </row>
    <row r="922">
      <c r="A922">
        <f>HYPERLINK("http://bombeiros.sp.gov.br/hidrantes/03individual/1389.html","1389")</f>
      </c>
      <c r="B922" t="s">
        <v>114</v>
      </c>
      <c r="C922" t="s">
        <v>195</v>
      </c>
      <c r="D922" t="s">
        <v>3787</v>
      </c>
      <c r="E922" t="s">
        <v>15</v>
      </c>
      <c r="F922" t="s">
        <v>3800</v>
      </c>
      <c r="G922" t="s">
        <v>18143</v>
      </c>
      <c r="H922" t="s">
        <v>1107</v>
      </c>
      <c r="I922" t="s">
        <v>1108</v>
      </c>
      <c r="J922" t="s">
        <v>3801</v>
      </c>
      <c r="K922" t="s">
        <v>3802</v>
      </c>
      <c r="L922" t="s">
        <v>21</v>
      </c>
      <c r="M922" t="s">
        <v>19177</v>
      </c>
      <c r="N922" t="s">
        <v>309</v>
      </c>
      <c r="O922" t="s">
        <v>6029</v>
      </c>
      <c r="P922" t="s">
        <v>114</v>
      </c>
    </row>
    <row r="923">
      <c r="A923">
        <f>HYPERLINK("http://bombeiros.sp.gov.br/hidrantes/03individual/1434.html","1434")</f>
      </c>
      <c r="B923" t="s">
        <v>114</v>
      </c>
      <c r="C923" t="s">
        <v>195</v>
      </c>
      <c r="D923" t="s">
        <v>3787</v>
      </c>
      <c r="E923" t="s">
        <v>15</v>
      </c>
      <c r="F923" t="s">
        <v>3803</v>
      </c>
      <c r="G923" t="s">
        <v>18143</v>
      </c>
      <c r="H923" t="s">
        <v>1107</v>
      </c>
      <c r="I923" t="s">
        <v>1108</v>
      </c>
      <c r="J923" t="s">
        <v>3804</v>
      </c>
      <c r="K923" t="s">
        <v>3805</v>
      </c>
      <c r="L923" t="s">
        <v>21</v>
      </c>
      <c r="M923" t="s">
        <v>19177</v>
      </c>
      <c r="N923" t="s">
        <v>309</v>
      </c>
      <c r="O923" t="s">
        <v>6029</v>
      </c>
      <c r="P923" t="s">
        <v>114</v>
      </c>
    </row>
    <row r="924">
      <c r="A924">
        <f>HYPERLINK("http://bombeiros.sp.gov.br/hidrantes/03individual/1467.html","1467")</f>
      </c>
      <c r="B924" t="s">
        <v>114</v>
      </c>
      <c r="C924" t="s">
        <v>195</v>
      </c>
      <c r="D924" t="s">
        <v>3787</v>
      </c>
      <c r="E924" t="s">
        <v>15</v>
      </c>
      <c r="F924" t="s">
        <v>3806</v>
      </c>
      <c r="G924" t="s">
        <v>18046</v>
      </c>
      <c r="H924" t="s">
        <v>1112</v>
      </c>
      <c r="I924" t="s">
        <v>1108</v>
      </c>
      <c r="J924" t="s">
        <v>3807</v>
      </c>
      <c r="K924" t="s">
        <v>3808</v>
      </c>
      <c r="L924" t="s">
        <v>21</v>
      </c>
      <c r="M924" t="s">
        <v>19177</v>
      </c>
      <c r="N924" t="s">
        <v>309</v>
      </c>
      <c r="O924" t="s">
        <v>6029</v>
      </c>
      <c r="P924" t="s">
        <v>114</v>
      </c>
    </row>
    <row r="925">
      <c r="A925">
        <f>HYPERLINK("http://bombeiros.sp.gov.br/hidrantes/03individual/1470.html","1470")</f>
      </c>
      <c r="B925" t="s">
        <v>114</v>
      </c>
      <c r="C925" t="s">
        <v>195</v>
      </c>
      <c r="D925" t="s">
        <v>3787</v>
      </c>
      <c r="E925" t="s">
        <v>15</v>
      </c>
      <c r="F925" t="s">
        <v>3809</v>
      </c>
      <c r="G925" t="s">
        <v>18055</v>
      </c>
      <c r="H925" t="s">
        <v>1174</v>
      </c>
      <c r="I925" t="s">
        <v>1108</v>
      </c>
      <c r="J925" t="s">
        <v>3810</v>
      </c>
      <c r="K925" t="s">
        <v>3811</v>
      </c>
      <c r="L925" t="s">
        <v>21</v>
      </c>
      <c r="M925" t="s">
        <v>19177</v>
      </c>
      <c r="N925" t="s">
        <v>309</v>
      </c>
      <c r="O925" t="s">
        <v>6029</v>
      </c>
      <c r="P925" t="s">
        <v>114</v>
      </c>
    </row>
    <row r="926">
      <c r="A926">
        <f>HYPERLINK("http://bombeiros.sp.gov.br/hidrantes/03individual/1472.html","1472")</f>
      </c>
      <c r="B926" t="s">
        <v>114</v>
      </c>
      <c r="C926" t="s">
        <v>195</v>
      </c>
      <c r="D926" t="s">
        <v>3787</v>
      </c>
      <c r="E926" t="s">
        <v>15</v>
      </c>
      <c r="F926" t="s">
        <v>3812</v>
      </c>
      <c r="G926" t="s">
        <v>18055</v>
      </c>
      <c r="H926" t="s">
        <v>1107</v>
      </c>
      <c r="I926" t="s">
        <v>1108</v>
      </c>
      <c r="J926" t="s">
        <v>3813</v>
      </c>
      <c r="K926" t="s">
        <v>3814</v>
      </c>
      <c r="L926" t="s">
        <v>21</v>
      </c>
      <c r="M926" t="s">
        <v>19177</v>
      </c>
      <c r="N926" t="s">
        <v>309</v>
      </c>
      <c r="O926" t="s">
        <v>6029</v>
      </c>
      <c r="P926" t="s">
        <v>114</v>
      </c>
    </row>
    <row r="927">
      <c r="A927">
        <f>HYPERLINK("http://bombeiros.sp.gov.br/hidrantes/03individual/1502.html","1502")</f>
      </c>
      <c r="B927" t="s">
        <v>114</v>
      </c>
      <c r="C927" t="s">
        <v>195</v>
      </c>
      <c r="D927" t="s">
        <v>3787</v>
      </c>
      <c r="E927" t="s">
        <v>15</v>
      </c>
      <c r="F927" t="s">
        <v>3815</v>
      </c>
      <c r="G927" t="s">
        <v>18046</v>
      </c>
      <c r="H927" t="s">
        <v>1112</v>
      </c>
      <c r="I927" t="s">
        <v>1108</v>
      </c>
      <c r="J927" t="s">
        <v>3816</v>
      </c>
      <c r="K927" t="s">
        <v>3817</v>
      </c>
      <c r="L927" t="s">
        <v>21</v>
      </c>
      <c r="M927" t="s">
        <v>19177</v>
      </c>
      <c r="N927" t="s">
        <v>309</v>
      </c>
      <c r="O927" t="s">
        <v>6029</v>
      </c>
      <c r="P927" t="s">
        <v>114</v>
      </c>
    </row>
    <row r="928">
      <c r="A928">
        <f>HYPERLINK("http://bombeiros.sp.gov.br/hidrantes/03individual/1535.html","1535")</f>
      </c>
      <c r="B928" t="s">
        <v>114</v>
      </c>
      <c r="C928" t="s">
        <v>195</v>
      </c>
      <c r="D928" t="s">
        <v>3787</v>
      </c>
      <c r="E928" t="s">
        <v>15</v>
      </c>
      <c r="F928" t="s">
        <v>3818</v>
      </c>
      <c r="G928" t="s">
        <v>18046</v>
      </c>
      <c r="H928" t="s">
        <v>1121</v>
      </c>
      <c r="I928" t="s">
        <v>1117</v>
      </c>
      <c r="J928" t="s">
        <v>3819</v>
      </c>
      <c r="K928" t="s">
        <v>3820</v>
      </c>
      <c r="L928" t="s">
        <v>21</v>
      </c>
      <c r="M928" t="s">
        <v>19177</v>
      </c>
      <c r="N928" t="s">
        <v>309</v>
      </c>
      <c r="O928" t="s">
        <v>6029</v>
      </c>
      <c r="P928" t="s">
        <v>114</v>
      </c>
    </row>
    <row r="929">
      <c r="A929">
        <f>HYPERLINK("http://bombeiros.sp.gov.br/hidrantes/03individual/2963.html","2963")</f>
      </c>
      <c r="B929" t="s">
        <v>114</v>
      </c>
      <c r="C929" t="s">
        <v>195</v>
      </c>
      <c r="D929" t="s">
        <v>3787</v>
      </c>
      <c r="E929" t="s">
        <v>15</v>
      </c>
      <c r="F929" t="s">
        <v>3821</v>
      </c>
      <c r="G929" t="s">
        <v>18055</v>
      </c>
      <c r="H929" t="s">
        <v>1174</v>
      </c>
      <c r="I929" t="s">
        <v>1108</v>
      </c>
      <c r="J929" t="s">
        <v>3822</v>
      </c>
      <c r="K929" t="s">
        <v>3823</v>
      </c>
      <c r="L929" t="s">
        <v>21</v>
      </c>
      <c r="M929" t="s">
        <v>19177</v>
      </c>
      <c r="N929" t="s">
        <v>309</v>
      </c>
      <c r="O929" t="s">
        <v>6029</v>
      </c>
      <c r="P929" t="s">
        <v>114</v>
      </c>
    </row>
    <row r="930">
      <c r="A930">
        <f>HYPERLINK("http://bombeiros.sp.gov.br/hidrantes/03individual/3017.html","3017")</f>
      </c>
      <c r="B930" t="s">
        <v>114</v>
      </c>
      <c r="C930" t="s">
        <v>210</v>
      </c>
      <c r="D930" t="s">
        <v>124</v>
      </c>
      <c r="E930" t="s">
        <v>64</v>
      </c>
      <c r="F930" t="s">
        <v>3824</v>
      </c>
      <c r="G930" t="s">
        <v>18129</v>
      </c>
      <c r="H930" t="s">
        <v>1107</v>
      </c>
      <c r="I930" t="s">
        <v>1108</v>
      </c>
      <c r="J930" t="s">
        <v>3825</v>
      </c>
      <c r="K930" t="s">
        <v>3826</v>
      </c>
      <c r="L930" t="s">
        <v>36</v>
      </c>
      <c r="M930" t="s">
        <v>19177</v>
      </c>
      <c r="N930" t="s">
        <v>300</v>
      </c>
      <c r="O930" t="s">
        <v>16373</v>
      </c>
      <c r="P930" t="s">
        <v>12</v>
      </c>
    </row>
    <row r="931">
      <c r="A931">
        <f>HYPERLINK("http://bombeiros.sp.gov.br/hidrantes/03individual/1030.html","1030")</f>
      </c>
      <c r="B931" t="s">
        <v>114</v>
      </c>
      <c r="C931" t="s">
        <v>210</v>
      </c>
      <c r="D931" t="s">
        <v>211</v>
      </c>
      <c r="E931" t="s">
        <v>64</v>
      </c>
      <c r="F931" t="s">
        <v>3827</v>
      </c>
      <c r="G931" t="s">
        <v>18047</v>
      </c>
      <c r="H931" t="s">
        <v>1112</v>
      </c>
      <c r="I931" t="s">
        <v>1108</v>
      </c>
      <c r="J931" t="s">
        <v>3828</v>
      </c>
      <c r="K931" t="s">
        <v>3829</v>
      </c>
      <c r="L931" t="s">
        <v>36</v>
      </c>
      <c r="M931" t="s">
        <v>19177</v>
      </c>
      <c r="N931" t="s">
        <v>300</v>
      </c>
      <c r="O931" t="s">
        <v>16373</v>
      </c>
      <c r="P931" t="s">
        <v>12</v>
      </c>
    </row>
    <row r="932">
      <c r="A932">
        <f>HYPERLINK("http://bombeiros.sp.gov.br/hidrantes/03individual/1032.html","1032")</f>
      </c>
      <c r="B932" t="s">
        <v>114</v>
      </c>
      <c r="C932" t="s">
        <v>210</v>
      </c>
      <c r="D932" t="s">
        <v>211</v>
      </c>
      <c r="E932" t="s">
        <v>64</v>
      </c>
      <c r="F932" t="s">
        <v>3830</v>
      </c>
      <c r="G932" t="s">
        <v>18047</v>
      </c>
      <c r="H932" t="s">
        <v>1112</v>
      </c>
      <c r="I932" t="s">
        <v>1108</v>
      </c>
      <c r="J932" t="s">
        <v>3831</v>
      </c>
      <c r="K932" t="s">
        <v>3832</v>
      </c>
      <c r="L932" t="s">
        <v>36</v>
      </c>
      <c r="M932" t="s">
        <v>19177</v>
      </c>
      <c r="N932" t="s">
        <v>300</v>
      </c>
      <c r="O932" t="s">
        <v>16373</v>
      </c>
      <c r="P932" t="s">
        <v>12</v>
      </c>
    </row>
    <row r="933">
      <c r="A933">
        <f>HYPERLINK("http://bombeiros.sp.gov.br/hidrantes/03individual/3030.html","3030")</f>
      </c>
      <c r="B933" t="s">
        <v>114</v>
      </c>
      <c r="C933" t="s">
        <v>210</v>
      </c>
      <c r="D933" t="s">
        <v>211</v>
      </c>
      <c r="E933" t="s">
        <v>64</v>
      </c>
      <c r="F933" t="s">
        <v>3833</v>
      </c>
      <c r="G933" t="s">
        <v>18076</v>
      </c>
      <c r="H933" t="s">
        <v>1121</v>
      </c>
      <c r="I933" t="s">
        <v>1117</v>
      </c>
      <c r="J933" t="s">
        <v>3834</v>
      </c>
      <c r="K933" t="s">
        <v>3835</v>
      </c>
      <c r="L933" t="s">
        <v>36</v>
      </c>
      <c r="M933" t="s">
        <v>19177</v>
      </c>
      <c r="N933" t="s">
        <v>300</v>
      </c>
      <c r="O933" t="s">
        <v>16373</v>
      </c>
      <c r="P933" t="s">
        <v>12</v>
      </c>
    </row>
    <row r="934">
      <c r="A934">
        <f>HYPERLINK("http://bombeiros.sp.gov.br/hidrantes/03individual/27046.html","27046")</f>
      </c>
      <c r="B934" t="s">
        <v>114</v>
      </c>
      <c r="C934" t="s">
        <v>210</v>
      </c>
      <c r="D934" t="s">
        <v>211</v>
      </c>
      <c r="E934" t="s">
        <v>64</v>
      </c>
      <c r="F934" t="s">
        <v>16649</v>
      </c>
      <c r="G934" t="s">
        <v>18194</v>
      </c>
      <c r="H934" t="s">
        <v>1112</v>
      </c>
      <c r="I934" t="s">
        <v>1108</v>
      </c>
      <c r="J934" t="s">
        <v>16650</v>
      </c>
      <c r="K934" t="s">
        <v>16651</v>
      </c>
      <c r="L934" t="s">
        <v>21</v>
      </c>
      <c r="M934" t="s">
        <v>19177</v>
      </c>
      <c r="N934" t="s">
        <v>300</v>
      </c>
      <c r="O934" t="s">
        <v>16373</v>
      </c>
      <c r="P934" t="s">
        <v>12</v>
      </c>
    </row>
    <row r="935">
      <c r="A935">
        <f>HYPERLINK("http://bombeiros.sp.gov.br/hidrantes/03individual/1458.html","1458")</f>
      </c>
      <c r="B935" t="s">
        <v>114</v>
      </c>
      <c r="C935" t="s">
        <v>210</v>
      </c>
      <c r="D935" t="s">
        <v>211</v>
      </c>
      <c r="E935" t="s">
        <v>15</v>
      </c>
      <c r="F935" t="s">
        <v>3836</v>
      </c>
      <c r="G935" t="s">
        <v>18061</v>
      </c>
      <c r="H935" t="s">
        <v>1112</v>
      </c>
      <c r="I935" t="s">
        <v>1108</v>
      </c>
      <c r="J935" t="s">
        <v>3837</v>
      </c>
      <c r="K935" t="s">
        <v>3838</v>
      </c>
      <c r="L935" t="s">
        <v>21</v>
      </c>
      <c r="M935" t="s">
        <v>19177</v>
      </c>
      <c r="N935" t="s">
        <v>300</v>
      </c>
      <c r="O935" t="s">
        <v>16373</v>
      </c>
      <c r="P935" t="s">
        <v>12</v>
      </c>
    </row>
    <row r="936">
      <c r="A936">
        <f>HYPERLINK("http://bombeiros.sp.gov.br/hidrantes/03individual/1496.html","1496")</f>
      </c>
      <c r="B936" t="s">
        <v>114</v>
      </c>
      <c r="C936" t="s">
        <v>210</v>
      </c>
      <c r="D936" t="s">
        <v>211</v>
      </c>
      <c r="E936" t="s">
        <v>15</v>
      </c>
      <c r="F936" t="s">
        <v>3839</v>
      </c>
      <c r="G936" t="s">
        <v>18042</v>
      </c>
      <c r="H936" t="s">
        <v>1107</v>
      </c>
      <c r="I936" t="s">
        <v>1108</v>
      </c>
      <c r="J936" t="s">
        <v>3840</v>
      </c>
      <c r="K936" t="s">
        <v>3841</v>
      </c>
      <c r="L936" t="s">
        <v>21</v>
      </c>
      <c r="M936" t="s">
        <v>19177</v>
      </c>
      <c r="N936" t="s">
        <v>300</v>
      </c>
      <c r="O936" t="s">
        <v>16373</v>
      </c>
      <c r="P936" t="s">
        <v>12</v>
      </c>
    </row>
    <row r="937">
      <c r="A937">
        <f>HYPERLINK("http://bombeiros.sp.gov.br/hidrantes/03individual/1522.html","1522")</f>
      </c>
      <c r="B937" t="s">
        <v>114</v>
      </c>
      <c r="C937" t="s">
        <v>210</v>
      </c>
      <c r="D937" t="s">
        <v>211</v>
      </c>
      <c r="E937" t="s">
        <v>15</v>
      </c>
      <c r="F937" t="s">
        <v>3842</v>
      </c>
      <c r="G937" t="s">
        <v>18061</v>
      </c>
      <c r="H937" t="s">
        <v>1112</v>
      </c>
      <c r="I937" t="s">
        <v>1108</v>
      </c>
      <c r="J937" t="s">
        <v>3843</v>
      </c>
      <c r="K937" t="s">
        <v>3844</v>
      </c>
      <c r="L937" t="s">
        <v>21</v>
      </c>
      <c r="M937" t="s">
        <v>19177</v>
      </c>
      <c r="N937" t="s">
        <v>300</v>
      </c>
      <c r="O937" t="s">
        <v>16373</v>
      </c>
      <c r="P937" t="s">
        <v>12</v>
      </c>
    </row>
    <row r="938">
      <c r="A938">
        <f>HYPERLINK("http://bombeiros.sp.gov.br/hidrantes/03individual/1523.html","1523")</f>
      </c>
      <c r="B938" t="s">
        <v>114</v>
      </c>
      <c r="C938" t="s">
        <v>210</v>
      </c>
      <c r="D938" t="s">
        <v>211</v>
      </c>
      <c r="E938" t="s">
        <v>15</v>
      </c>
      <c r="F938" t="s">
        <v>3845</v>
      </c>
      <c r="G938" t="s">
        <v>18061</v>
      </c>
      <c r="H938" t="s">
        <v>1107</v>
      </c>
      <c r="I938" t="s">
        <v>1117</v>
      </c>
      <c r="J938" t="s">
        <v>3846</v>
      </c>
      <c r="K938" t="s">
        <v>3847</v>
      </c>
      <c r="L938" t="s">
        <v>21</v>
      </c>
      <c r="M938" t="s">
        <v>19177</v>
      </c>
      <c r="N938" t="s">
        <v>300</v>
      </c>
      <c r="O938" t="s">
        <v>16373</v>
      </c>
      <c r="P938" t="s">
        <v>12</v>
      </c>
    </row>
    <row r="939">
      <c r="A939">
        <f>HYPERLINK("http://bombeiros.sp.gov.br/hidrantes/03individual/1524.html","1524")</f>
      </c>
      <c r="B939" t="s">
        <v>114</v>
      </c>
      <c r="C939" t="s">
        <v>210</v>
      </c>
      <c r="D939" t="s">
        <v>211</v>
      </c>
      <c r="E939" t="s">
        <v>15</v>
      </c>
      <c r="F939" t="s">
        <v>3848</v>
      </c>
      <c r="G939" t="s">
        <v>18061</v>
      </c>
      <c r="H939" t="s">
        <v>1112</v>
      </c>
      <c r="I939" t="s">
        <v>1108</v>
      </c>
      <c r="J939" t="s">
        <v>3849</v>
      </c>
      <c r="K939" t="s">
        <v>3850</v>
      </c>
      <c r="L939" t="s">
        <v>21</v>
      </c>
      <c r="M939" t="s">
        <v>19177</v>
      </c>
      <c r="N939" t="s">
        <v>300</v>
      </c>
      <c r="O939" t="s">
        <v>16373</v>
      </c>
      <c r="P939" t="s">
        <v>12</v>
      </c>
    </row>
    <row r="940">
      <c r="A940">
        <f>HYPERLINK("http://bombeiros.sp.gov.br/hidrantes/03individual/1600.html","1600")</f>
      </c>
      <c r="B940" t="s">
        <v>114</v>
      </c>
      <c r="C940" t="s">
        <v>210</v>
      </c>
      <c r="D940" t="s">
        <v>211</v>
      </c>
      <c r="E940" t="s">
        <v>15</v>
      </c>
      <c r="F940" t="s">
        <v>3851</v>
      </c>
      <c r="G940" t="s">
        <v>18095</v>
      </c>
      <c r="H940" t="s">
        <v>1121</v>
      </c>
      <c r="I940" t="s">
        <v>1117</v>
      </c>
      <c r="J940" t="s">
        <v>3852</v>
      </c>
      <c r="K940" t="s">
        <v>3853</v>
      </c>
      <c r="L940" t="s">
        <v>21</v>
      </c>
      <c r="M940" t="s">
        <v>19177</v>
      </c>
      <c r="N940" t="s">
        <v>300</v>
      </c>
      <c r="O940" t="s">
        <v>16373</v>
      </c>
      <c r="P940" t="s">
        <v>12</v>
      </c>
    </row>
    <row r="941">
      <c r="A941">
        <f>HYPERLINK("http://bombeiros.sp.gov.br/hidrantes/03individual/1634.html","1634")</f>
      </c>
      <c r="B941" t="s">
        <v>114</v>
      </c>
      <c r="C941" t="s">
        <v>210</v>
      </c>
      <c r="D941" t="s">
        <v>211</v>
      </c>
      <c r="E941" t="s">
        <v>15</v>
      </c>
      <c r="F941" t="s">
        <v>3854</v>
      </c>
      <c r="G941" t="s">
        <v>18042</v>
      </c>
      <c r="H941" t="s">
        <v>1121</v>
      </c>
      <c r="I941" t="s">
        <v>1117</v>
      </c>
      <c r="J941" t="s">
        <v>3855</v>
      </c>
      <c r="K941" t="s">
        <v>3856</v>
      </c>
      <c r="L941" t="s">
        <v>21</v>
      </c>
      <c r="M941" t="s">
        <v>19177</v>
      </c>
      <c r="N941" t="s">
        <v>300</v>
      </c>
      <c r="O941" t="s">
        <v>16373</v>
      </c>
      <c r="P941" t="s">
        <v>12</v>
      </c>
    </row>
    <row r="942">
      <c r="A942">
        <f>HYPERLINK("http://bombeiros.sp.gov.br/hidrantes/03individual/1636.html","1636")</f>
      </c>
      <c r="B942" t="s">
        <v>114</v>
      </c>
      <c r="C942" t="s">
        <v>210</v>
      </c>
      <c r="D942" t="s">
        <v>211</v>
      </c>
      <c r="E942" t="s">
        <v>15</v>
      </c>
      <c r="F942" t="s">
        <v>3857</v>
      </c>
      <c r="G942" t="s">
        <v>18061</v>
      </c>
      <c r="H942" t="s">
        <v>1112</v>
      </c>
      <c r="I942" t="s">
        <v>1108</v>
      </c>
      <c r="J942" t="s">
        <v>3858</v>
      </c>
      <c r="K942" t="s">
        <v>3859</v>
      </c>
      <c r="L942" t="s">
        <v>21</v>
      </c>
      <c r="M942" t="s">
        <v>19177</v>
      </c>
      <c r="N942" t="s">
        <v>300</v>
      </c>
      <c r="O942" t="s">
        <v>16373</v>
      </c>
      <c r="P942" t="s">
        <v>12</v>
      </c>
    </row>
    <row r="943">
      <c r="A943">
        <f>HYPERLINK("http://bombeiros.sp.gov.br/hidrantes/03individual/1638.html","1638")</f>
      </c>
      <c r="B943" t="s">
        <v>114</v>
      </c>
      <c r="C943" t="s">
        <v>210</v>
      </c>
      <c r="D943" t="s">
        <v>211</v>
      </c>
      <c r="E943" t="s">
        <v>15</v>
      </c>
      <c r="F943" t="s">
        <v>212</v>
      </c>
      <c r="G943" t="s">
        <v>18061</v>
      </c>
      <c r="H943" t="s">
        <v>1174</v>
      </c>
      <c r="I943" t="s">
        <v>1108</v>
      </c>
      <c r="J943" t="s">
        <v>213</v>
      </c>
      <c r="K943" t="s">
        <v>214</v>
      </c>
      <c r="L943" t="s">
        <v>21</v>
      </c>
      <c r="M943" t="s">
        <v>19177</v>
      </c>
      <c r="N943" t="s">
        <v>300</v>
      </c>
      <c r="O943" t="s">
        <v>16373</v>
      </c>
      <c r="P943" t="s">
        <v>12</v>
      </c>
    </row>
    <row r="944">
      <c r="A944">
        <f>HYPERLINK("http://bombeiros.sp.gov.br/hidrantes/03individual/1663.html","1663")</f>
      </c>
      <c r="B944" t="s">
        <v>114</v>
      </c>
      <c r="C944" t="s">
        <v>210</v>
      </c>
      <c r="D944" t="s">
        <v>211</v>
      </c>
      <c r="E944" t="s">
        <v>15</v>
      </c>
      <c r="F944" t="s">
        <v>3860</v>
      </c>
      <c r="G944" t="s">
        <v>18042</v>
      </c>
      <c r="H944" t="s">
        <v>1107</v>
      </c>
      <c r="I944" t="s">
        <v>1108</v>
      </c>
      <c r="J944" t="s">
        <v>3861</v>
      </c>
      <c r="K944" t="s">
        <v>3862</v>
      </c>
      <c r="L944" t="s">
        <v>21</v>
      </c>
      <c r="M944" t="s">
        <v>19177</v>
      </c>
      <c r="N944" t="s">
        <v>300</v>
      </c>
      <c r="O944" t="s">
        <v>16373</v>
      </c>
      <c r="P944" t="s">
        <v>12</v>
      </c>
    </row>
    <row r="945">
      <c r="A945">
        <f>HYPERLINK("http://bombeiros.sp.gov.br/hidrantes/03individual/1664.html","1664")</f>
      </c>
      <c r="B945" t="s">
        <v>114</v>
      </c>
      <c r="C945" t="s">
        <v>210</v>
      </c>
      <c r="D945" t="s">
        <v>211</v>
      </c>
      <c r="E945" t="s">
        <v>15</v>
      </c>
      <c r="F945" t="s">
        <v>3863</v>
      </c>
      <c r="G945" t="s">
        <v>18042</v>
      </c>
      <c r="H945" t="s">
        <v>1112</v>
      </c>
      <c r="I945" t="s">
        <v>1108</v>
      </c>
      <c r="J945" t="s">
        <v>3864</v>
      </c>
      <c r="K945" t="s">
        <v>3865</v>
      </c>
      <c r="L945" t="s">
        <v>21</v>
      </c>
      <c r="M945" t="s">
        <v>19177</v>
      </c>
      <c r="N945" t="s">
        <v>300</v>
      </c>
      <c r="O945" t="s">
        <v>16373</v>
      </c>
      <c r="P945" t="s">
        <v>12</v>
      </c>
    </row>
    <row r="946">
      <c r="A946">
        <f>HYPERLINK("http://bombeiros.sp.gov.br/hidrantes/03individual/1665.html","1665")</f>
      </c>
      <c r="B946" t="s">
        <v>114</v>
      </c>
      <c r="C946" t="s">
        <v>210</v>
      </c>
      <c r="D946" t="s">
        <v>211</v>
      </c>
      <c r="E946" t="s">
        <v>15</v>
      </c>
      <c r="F946" t="s">
        <v>3866</v>
      </c>
      <c r="G946" t="s">
        <v>18134</v>
      </c>
      <c r="H946" t="s">
        <v>1174</v>
      </c>
      <c r="I946" t="s">
        <v>1117</v>
      </c>
      <c r="J946" t="s">
        <v>3867</v>
      </c>
      <c r="K946" t="s">
        <v>3868</v>
      </c>
      <c r="L946" t="s">
        <v>21</v>
      </c>
      <c r="M946" t="s">
        <v>19177</v>
      </c>
      <c r="N946" t="s">
        <v>300</v>
      </c>
      <c r="O946" t="s">
        <v>16373</v>
      </c>
      <c r="P946" t="s">
        <v>12</v>
      </c>
    </row>
    <row r="947">
      <c r="A947">
        <f>HYPERLINK("http://bombeiros.sp.gov.br/hidrantes/03individual/1666.html","1666")</f>
      </c>
      <c r="B947" t="s">
        <v>114</v>
      </c>
      <c r="C947" t="s">
        <v>210</v>
      </c>
      <c r="D947" t="s">
        <v>211</v>
      </c>
      <c r="E947" t="s">
        <v>15</v>
      </c>
      <c r="F947" t="s">
        <v>215</v>
      </c>
      <c r="G947" t="s">
        <v>18061</v>
      </c>
      <c r="H947"/>
      <c r="I947" t="s">
        <v>18</v>
      </c>
      <c r="J947" t="s">
        <v>216</v>
      </c>
      <c r="K947" t="s">
        <v>217</v>
      </c>
      <c r="L947" t="s">
        <v>21</v>
      </c>
      <c r="M947" t="s">
        <v>19177</v>
      </c>
      <c r="N947" t="s">
        <v>300</v>
      </c>
      <c r="O947" t="s">
        <v>16373</v>
      </c>
      <c r="P947" t="s">
        <v>12</v>
      </c>
    </row>
    <row r="948">
      <c r="A948">
        <f>HYPERLINK("http://bombeiros.sp.gov.br/hidrantes/03individual/1732.html","1732")</f>
      </c>
      <c r="B948" t="s">
        <v>114</v>
      </c>
      <c r="C948" t="s">
        <v>210</v>
      </c>
      <c r="D948" t="s">
        <v>211</v>
      </c>
      <c r="E948" t="s">
        <v>15</v>
      </c>
      <c r="F948" t="s">
        <v>3869</v>
      </c>
      <c r="G948" t="s">
        <v>18085</v>
      </c>
      <c r="H948" t="s">
        <v>1107</v>
      </c>
      <c r="I948" t="s">
        <v>1108</v>
      </c>
      <c r="J948" t="s">
        <v>3870</v>
      </c>
      <c r="K948" t="s">
        <v>3871</v>
      </c>
      <c r="L948" t="s">
        <v>21</v>
      </c>
      <c r="M948" t="s">
        <v>19177</v>
      </c>
      <c r="N948" t="s">
        <v>300</v>
      </c>
      <c r="O948" t="s">
        <v>16373</v>
      </c>
      <c r="P948" t="s">
        <v>12</v>
      </c>
    </row>
    <row r="949">
      <c r="A949">
        <f>HYPERLINK("http://bombeiros.sp.gov.br/hidrantes/03individual/1759.html","1759")</f>
      </c>
      <c r="B949" t="s">
        <v>114</v>
      </c>
      <c r="C949" t="s">
        <v>210</v>
      </c>
      <c r="D949" t="s">
        <v>211</v>
      </c>
      <c r="E949" t="s">
        <v>15</v>
      </c>
      <c r="F949" t="s">
        <v>3872</v>
      </c>
      <c r="G949" t="s">
        <v>18047</v>
      </c>
      <c r="H949" t="s">
        <v>1107</v>
      </c>
      <c r="I949" t="s">
        <v>1108</v>
      </c>
      <c r="J949" t="s">
        <v>3873</v>
      </c>
      <c r="K949" t="s">
        <v>3874</v>
      </c>
      <c r="L949" t="s">
        <v>21</v>
      </c>
      <c r="M949" t="s">
        <v>19177</v>
      </c>
      <c r="N949" t="s">
        <v>300</v>
      </c>
      <c r="O949" t="s">
        <v>16373</v>
      </c>
      <c r="P949" t="s">
        <v>12</v>
      </c>
    </row>
    <row r="950">
      <c r="A950">
        <f>HYPERLINK("http://bombeiros.sp.gov.br/hidrantes/03individual/1781.html","1781")</f>
      </c>
      <c r="B950" t="s">
        <v>114</v>
      </c>
      <c r="C950" t="s">
        <v>210</v>
      </c>
      <c r="D950" t="s">
        <v>211</v>
      </c>
      <c r="E950" t="s">
        <v>15</v>
      </c>
      <c r="F950" t="s">
        <v>3875</v>
      </c>
      <c r="G950" t="s">
        <v>18094</v>
      </c>
      <c r="H950" t="s">
        <v>1121</v>
      </c>
      <c r="I950" t="s">
        <v>1117</v>
      </c>
      <c r="J950" t="s">
        <v>3876</v>
      </c>
      <c r="K950" t="s">
        <v>3877</v>
      </c>
      <c r="L950" t="s">
        <v>21</v>
      </c>
      <c r="M950" t="s">
        <v>19177</v>
      </c>
      <c r="N950" t="s">
        <v>300</v>
      </c>
      <c r="O950" t="s">
        <v>16373</v>
      </c>
      <c r="P950" t="s">
        <v>12</v>
      </c>
    </row>
    <row r="951">
      <c r="A951">
        <f>HYPERLINK("http://bombeiros.sp.gov.br/hidrantes/03individual/1819.html","1819")</f>
      </c>
      <c r="B951" t="s">
        <v>114</v>
      </c>
      <c r="C951" t="s">
        <v>210</v>
      </c>
      <c r="D951" t="s">
        <v>211</v>
      </c>
      <c r="E951" t="s">
        <v>15</v>
      </c>
      <c r="F951" t="s">
        <v>3878</v>
      </c>
      <c r="G951" t="s">
        <v>18085</v>
      </c>
      <c r="H951" t="s">
        <v>1107</v>
      </c>
      <c r="I951" t="s">
        <v>1108</v>
      </c>
      <c r="J951" t="s">
        <v>3879</v>
      </c>
      <c r="K951" t="s">
        <v>3880</v>
      </c>
      <c r="L951" t="s">
        <v>21</v>
      </c>
      <c r="M951" t="s">
        <v>19177</v>
      </c>
      <c r="N951" t="s">
        <v>300</v>
      </c>
      <c r="O951" t="s">
        <v>16373</v>
      </c>
      <c r="P951" t="s">
        <v>12</v>
      </c>
    </row>
    <row r="952">
      <c r="A952">
        <f>HYPERLINK("http://bombeiros.sp.gov.br/hidrantes/03individual/3031.html","3031")</f>
      </c>
      <c r="B952" t="s">
        <v>114</v>
      </c>
      <c r="C952" t="s">
        <v>210</v>
      </c>
      <c r="D952" t="s">
        <v>211</v>
      </c>
      <c r="E952" t="s">
        <v>15</v>
      </c>
      <c r="F952" t="s">
        <v>3881</v>
      </c>
      <c r="G952" t="s">
        <v>18076</v>
      </c>
      <c r="H952" t="s">
        <v>1107</v>
      </c>
      <c r="I952" t="s">
        <v>1108</v>
      </c>
      <c r="J952" t="s">
        <v>3882</v>
      </c>
      <c r="K952" t="s">
        <v>3883</v>
      </c>
      <c r="L952" t="s">
        <v>21</v>
      </c>
      <c r="M952" t="s">
        <v>19177</v>
      </c>
      <c r="N952" t="s">
        <v>300</v>
      </c>
      <c r="O952" t="s">
        <v>16373</v>
      </c>
      <c r="P952" t="s">
        <v>12</v>
      </c>
    </row>
    <row r="953">
      <c r="A953">
        <f>HYPERLINK("http://bombeiros.sp.gov.br/hidrantes/03individual/3034.html","3034")</f>
      </c>
      <c r="B953" t="s">
        <v>114</v>
      </c>
      <c r="C953" t="s">
        <v>210</v>
      </c>
      <c r="D953" t="s">
        <v>211</v>
      </c>
      <c r="E953" t="s">
        <v>15</v>
      </c>
      <c r="F953" t="s">
        <v>3884</v>
      </c>
      <c r="G953" t="s">
        <v>18085</v>
      </c>
      <c r="H953" t="s">
        <v>1107</v>
      </c>
      <c r="I953" t="s">
        <v>1108</v>
      </c>
      <c r="J953" t="s">
        <v>3885</v>
      </c>
      <c r="K953" t="s">
        <v>3886</v>
      </c>
      <c r="L953" t="s">
        <v>21</v>
      </c>
      <c r="M953" t="s">
        <v>19177</v>
      </c>
      <c r="N953" t="s">
        <v>300</v>
      </c>
      <c r="O953" t="s">
        <v>16373</v>
      </c>
      <c r="P953" t="s">
        <v>12</v>
      </c>
    </row>
    <row r="954">
      <c r="A954">
        <f>HYPERLINK("http://bombeiros.sp.gov.br/hidrantes/03individual/3035.html","3035")</f>
      </c>
      <c r="B954" t="s">
        <v>114</v>
      </c>
      <c r="C954" t="s">
        <v>210</v>
      </c>
      <c r="D954" t="s">
        <v>211</v>
      </c>
      <c r="E954" t="s">
        <v>15</v>
      </c>
      <c r="F954" t="s">
        <v>3887</v>
      </c>
      <c r="G954" t="s">
        <v>18095</v>
      </c>
      <c r="H954" t="s">
        <v>1112</v>
      </c>
      <c r="I954" t="s">
        <v>1108</v>
      </c>
      <c r="J954" t="s">
        <v>3888</v>
      </c>
      <c r="K954" t="s">
        <v>3889</v>
      </c>
      <c r="L954" t="s">
        <v>21</v>
      </c>
      <c r="M954" t="s">
        <v>19177</v>
      </c>
      <c r="N954" t="s">
        <v>300</v>
      </c>
      <c r="O954" t="s">
        <v>16373</v>
      </c>
      <c r="P954" t="s">
        <v>12</v>
      </c>
    </row>
    <row r="955">
      <c r="A955">
        <f>HYPERLINK("http://bombeiros.sp.gov.br/hidrantes/03individual/3217.html","3217")</f>
      </c>
      <c r="B955" t="s">
        <v>114</v>
      </c>
      <c r="C955" t="s">
        <v>210</v>
      </c>
      <c r="D955" t="s">
        <v>211</v>
      </c>
      <c r="E955" t="s">
        <v>15</v>
      </c>
      <c r="F955" t="s">
        <v>3890</v>
      </c>
      <c r="G955" t="s">
        <v>18194</v>
      </c>
      <c r="H955" t="s">
        <v>1107</v>
      </c>
      <c r="I955" t="s">
        <v>1108</v>
      </c>
      <c r="J955" t="s">
        <v>3891</v>
      </c>
      <c r="K955" t="s">
        <v>3892</v>
      </c>
      <c r="L955" t="s">
        <v>21</v>
      </c>
      <c r="M955" t="s">
        <v>19177</v>
      </c>
      <c r="N955" t="s">
        <v>300</v>
      </c>
      <c r="O955" t="s">
        <v>16373</v>
      </c>
      <c r="P955" t="s">
        <v>12</v>
      </c>
    </row>
    <row r="956">
      <c r="A956">
        <f>HYPERLINK("http://bombeiros.sp.gov.br/hidrantes/03individual/3275.html","3275")</f>
      </c>
      <c r="B956" t="s">
        <v>114</v>
      </c>
      <c r="C956" t="s">
        <v>210</v>
      </c>
      <c r="D956" t="s">
        <v>211</v>
      </c>
      <c r="E956" t="s">
        <v>15</v>
      </c>
      <c r="F956" t="s">
        <v>218</v>
      </c>
      <c r="G956" t="s">
        <v>18094</v>
      </c>
      <c r="H956"/>
      <c r="I956" t="s">
        <v>18</v>
      </c>
      <c r="J956" t="s">
        <v>220</v>
      </c>
      <c r="K956" t="s">
        <v>221</v>
      </c>
      <c r="L956" t="s">
        <v>21</v>
      </c>
      <c r="M956" t="s">
        <v>19177</v>
      </c>
      <c r="N956" t="s">
        <v>300</v>
      </c>
      <c r="O956" t="s">
        <v>16373</v>
      </c>
      <c r="P956" t="s">
        <v>12</v>
      </c>
    </row>
    <row r="957">
      <c r="A957">
        <f>HYPERLINK("http://bombeiros.sp.gov.br/hidrantes/03individual/3294.html","3294")</f>
      </c>
      <c r="B957" t="s">
        <v>114</v>
      </c>
      <c r="C957" t="s">
        <v>210</v>
      </c>
      <c r="D957" t="s">
        <v>211</v>
      </c>
      <c r="E957" t="s">
        <v>15</v>
      </c>
      <c r="F957" t="s">
        <v>3893</v>
      </c>
      <c r="G957" t="s">
        <v>18061</v>
      </c>
      <c r="H957" t="s">
        <v>1112</v>
      </c>
      <c r="I957" t="s">
        <v>1108</v>
      </c>
      <c r="J957" t="s">
        <v>3894</v>
      </c>
      <c r="K957" t="s">
        <v>3895</v>
      </c>
      <c r="L957" t="s">
        <v>21</v>
      </c>
      <c r="M957" t="s">
        <v>19177</v>
      </c>
      <c r="N957" t="s">
        <v>300</v>
      </c>
      <c r="O957" t="s">
        <v>16373</v>
      </c>
      <c r="P957" t="s">
        <v>12</v>
      </c>
    </row>
    <row r="958">
      <c r="A958">
        <f>HYPERLINK("http://bombeiros.sp.gov.br/hidrantes/03individual/3297.html","3297")</f>
      </c>
      <c r="B958" t="s">
        <v>114</v>
      </c>
      <c r="C958" t="s">
        <v>210</v>
      </c>
      <c r="D958" t="s">
        <v>211</v>
      </c>
      <c r="E958" t="s">
        <v>15</v>
      </c>
      <c r="F958" t="s">
        <v>3896</v>
      </c>
      <c r="G958" t="s">
        <v>18042</v>
      </c>
      <c r="H958" t="s">
        <v>1112</v>
      </c>
      <c r="I958" t="s">
        <v>1108</v>
      </c>
      <c r="J958" t="s">
        <v>3897</v>
      </c>
      <c r="K958" t="s">
        <v>3898</v>
      </c>
      <c r="L958" t="s">
        <v>21</v>
      </c>
      <c r="M958" t="s">
        <v>19177</v>
      </c>
      <c r="N958" t="s">
        <v>300</v>
      </c>
      <c r="O958" t="s">
        <v>16373</v>
      </c>
      <c r="P958" t="s">
        <v>12</v>
      </c>
    </row>
    <row r="959">
      <c r="A959">
        <f>HYPERLINK("http://bombeiros.sp.gov.br/hidrantes/03individual/3298.html","3298")</f>
      </c>
      <c r="B959" t="s">
        <v>114</v>
      </c>
      <c r="C959" t="s">
        <v>210</v>
      </c>
      <c r="D959" t="s">
        <v>211</v>
      </c>
      <c r="E959" t="s">
        <v>15</v>
      </c>
      <c r="F959" t="s">
        <v>3899</v>
      </c>
      <c r="G959" t="s">
        <v>18061</v>
      </c>
      <c r="H959" t="s">
        <v>1112</v>
      </c>
      <c r="I959" t="s">
        <v>1108</v>
      </c>
      <c r="J959" t="s">
        <v>3900</v>
      </c>
      <c r="K959" t="s">
        <v>3901</v>
      </c>
      <c r="L959" t="s">
        <v>21</v>
      </c>
      <c r="M959" t="s">
        <v>19177</v>
      </c>
      <c r="N959" t="s">
        <v>300</v>
      </c>
      <c r="O959" t="s">
        <v>16373</v>
      </c>
      <c r="P959" t="s">
        <v>12</v>
      </c>
    </row>
    <row r="960">
      <c r="A960">
        <f>HYPERLINK("http://bombeiros.sp.gov.br/hidrantes/03individual/3316.html","3316")</f>
      </c>
      <c r="B960" t="s">
        <v>114</v>
      </c>
      <c r="C960" t="s">
        <v>210</v>
      </c>
      <c r="D960" t="s">
        <v>211</v>
      </c>
      <c r="E960" t="s">
        <v>15</v>
      </c>
      <c r="F960" t="s">
        <v>3902</v>
      </c>
      <c r="G960" t="s">
        <v>18042</v>
      </c>
      <c r="H960" t="s">
        <v>1112</v>
      </c>
      <c r="I960" t="s">
        <v>1108</v>
      </c>
      <c r="J960" t="s">
        <v>3903</v>
      </c>
      <c r="K960" t="s">
        <v>3904</v>
      </c>
      <c r="L960" t="s">
        <v>21</v>
      </c>
      <c r="M960" t="s">
        <v>19177</v>
      </c>
      <c r="N960" t="s">
        <v>300</v>
      </c>
      <c r="O960" t="s">
        <v>16373</v>
      </c>
      <c r="P960" t="s">
        <v>12</v>
      </c>
    </row>
    <row r="961">
      <c r="A961">
        <f>HYPERLINK("http://bombeiros.sp.gov.br/hidrantes/03individual/3317.html","3317")</f>
      </c>
      <c r="B961" t="s">
        <v>114</v>
      </c>
      <c r="C961" t="s">
        <v>210</v>
      </c>
      <c r="D961" t="s">
        <v>211</v>
      </c>
      <c r="E961" t="s">
        <v>15</v>
      </c>
      <c r="F961" t="s">
        <v>3905</v>
      </c>
      <c r="G961" t="s">
        <v>18042</v>
      </c>
      <c r="H961" t="s">
        <v>1174</v>
      </c>
      <c r="I961" t="s">
        <v>1117</v>
      </c>
      <c r="J961" t="s">
        <v>3906</v>
      </c>
      <c r="K961" t="s">
        <v>3907</v>
      </c>
      <c r="L961" t="s">
        <v>21</v>
      </c>
      <c r="M961" t="s">
        <v>19177</v>
      </c>
      <c r="N961" t="s">
        <v>300</v>
      </c>
      <c r="O961" t="s">
        <v>16373</v>
      </c>
      <c r="P961" t="s">
        <v>12</v>
      </c>
    </row>
    <row r="962">
      <c r="A962">
        <f>HYPERLINK("http://bombeiros.sp.gov.br/hidrantes/03individual/3323.html","3323")</f>
      </c>
      <c r="B962" t="s">
        <v>114</v>
      </c>
      <c r="C962" t="s">
        <v>210</v>
      </c>
      <c r="D962" t="s">
        <v>211</v>
      </c>
      <c r="E962" t="s">
        <v>15</v>
      </c>
      <c r="F962" t="s">
        <v>3908</v>
      </c>
      <c r="G962" t="s">
        <v>18042</v>
      </c>
      <c r="H962" t="s">
        <v>1112</v>
      </c>
      <c r="I962" t="s">
        <v>1108</v>
      </c>
      <c r="J962" t="s">
        <v>3909</v>
      </c>
      <c r="K962" t="s">
        <v>3910</v>
      </c>
      <c r="L962" t="s">
        <v>21</v>
      </c>
      <c r="M962" t="s">
        <v>19177</v>
      </c>
      <c r="N962" t="s">
        <v>300</v>
      </c>
      <c r="O962" t="s">
        <v>16373</v>
      </c>
      <c r="P962" t="s">
        <v>12</v>
      </c>
    </row>
    <row r="963">
      <c r="A963">
        <f>HYPERLINK("http://bombeiros.sp.gov.br/hidrantes/03individual/3350.html","3350")</f>
      </c>
      <c r="B963" t="s">
        <v>114</v>
      </c>
      <c r="C963" t="s">
        <v>210</v>
      </c>
      <c r="D963" t="s">
        <v>211</v>
      </c>
      <c r="E963" t="s">
        <v>15</v>
      </c>
      <c r="F963" t="s">
        <v>3911</v>
      </c>
      <c r="G963" t="s">
        <v>18042</v>
      </c>
      <c r="H963" t="s">
        <v>1107</v>
      </c>
      <c r="I963" t="s">
        <v>1108</v>
      </c>
      <c r="J963" t="s">
        <v>3912</v>
      </c>
      <c r="K963" t="s">
        <v>3913</v>
      </c>
      <c r="L963" t="s">
        <v>21</v>
      </c>
      <c r="M963" t="s">
        <v>19177</v>
      </c>
      <c r="N963" t="s">
        <v>300</v>
      </c>
      <c r="O963" t="s">
        <v>16373</v>
      </c>
      <c r="P963" t="s">
        <v>12</v>
      </c>
    </row>
    <row r="964">
      <c r="A964">
        <f>HYPERLINK("http://bombeiros.sp.gov.br/hidrantes/03individual/3555.html","3555")</f>
      </c>
      <c r="B964" t="s">
        <v>114</v>
      </c>
      <c r="C964" t="s">
        <v>210</v>
      </c>
      <c r="D964" t="s">
        <v>211</v>
      </c>
      <c r="E964" t="s">
        <v>15</v>
      </c>
      <c r="F964" t="s">
        <v>3914</v>
      </c>
      <c r="G964" t="s">
        <v>18061</v>
      </c>
      <c r="H964" t="s">
        <v>1112</v>
      </c>
      <c r="I964" t="s">
        <v>1108</v>
      </c>
      <c r="J964" t="s">
        <v>3915</v>
      </c>
      <c r="K964" t="s">
        <v>3916</v>
      </c>
      <c r="L964" t="s">
        <v>21</v>
      </c>
      <c r="M964" t="s">
        <v>19177</v>
      </c>
      <c r="N964" t="s">
        <v>300</v>
      </c>
      <c r="O964" t="s">
        <v>16373</v>
      </c>
      <c r="P964" t="s">
        <v>12</v>
      </c>
    </row>
    <row r="965">
      <c r="A965">
        <f>HYPERLINK("http://bombeiros.sp.gov.br/hidrantes/03individual/28054.html","28054")</f>
      </c>
      <c r="B965" t="s">
        <v>114</v>
      </c>
      <c r="C965" t="s">
        <v>210</v>
      </c>
      <c r="D965" t="s">
        <v>211</v>
      </c>
      <c r="E965" t="s">
        <v>15</v>
      </c>
      <c r="F965" t="s">
        <v>18086</v>
      </c>
      <c r="G965" t="s">
        <v>18082</v>
      </c>
      <c r="H965" t="s">
        <v>1107</v>
      </c>
      <c r="I965" t="s">
        <v>1108</v>
      </c>
      <c r="J965" t="s">
        <v>18087</v>
      </c>
      <c r="K965" t="s">
        <v>18088</v>
      </c>
      <c r="L965" t="s">
        <v>21</v>
      </c>
      <c r="M965" t="s">
        <v>19177</v>
      </c>
      <c r="N965" t="s">
        <v>300</v>
      </c>
      <c r="O965" t="s">
        <v>16373</v>
      </c>
      <c r="P965" t="s">
        <v>12</v>
      </c>
    </row>
    <row r="966">
      <c r="A966">
        <f>HYPERLINK("http://bombeiros.sp.gov.br/hidrantes/03individual/1033.html","1033")</f>
      </c>
      <c r="B966" t="s">
        <v>114</v>
      </c>
      <c r="C966" t="s">
        <v>210</v>
      </c>
      <c r="D966" t="s">
        <v>3917</v>
      </c>
      <c r="E966" t="s">
        <v>64</v>
      </c>
      <c r="F966" t="s">
        <v>3918</v>
      </c>
      <c r="G966" t="s">
        <v>18051</v>
      </c>
      <c r="H966" t="s">
        <v>1112</v>
      </c>
      <c r="I966" t="s">
        <v>1108</v>
      </c>
      <c r="J966" t="s">
        <v>3919</v>
      </c>
      <c r="K966" t="s">
        <v>3920</v>
      </c>
      <c r="L966" t="s">
        <v>21</v>
      </c>
      <c r="M966" t="s">
        <v>19177</v>
      </c>
      <c r="N966" t="s">
        <v>300</v>
      </c>
      <c r="O966" t="s">
        <v>16373</v>
      </c>
      <c r="P966" t="s">
        <v>12</v>
      </c>
    </row>
    <row r="967">
      <c r="A967">
        <f>HYPERLINK("http://bombeiros.sp.gov.br/hidrantes/03individual/1034.html","1034")</f>
      </c>
      <c r="B967" t="s">
        <v>114</v>
      </c>
      <c r="C967" t="s">
        <v>210</v>
      </c>
      <c r="D967" t="s">
        <v>3917</v>
      </c>
      <c r="E967" t="s">
        <v>64</v>
      </c>
      <c r="F967" t="s">
        <v>3921</v>
      </c>
      <c r="G967" t="s">
        <v>18051</v>
      </c>
      <c r="H967" t="s">
        <v>1112</v>
      </c>
      <c r="I967" t="s">
        <v>1108</v>
      </c>
      <c r="J967" t="s">
        <v>3922</v>
      </c>
      <c r="K967" t="s">
        <v>3923</v>
      </c>
      <c r="L967" t="s">
        <v>21</v>
      </c>
      <c r="M967" t="s">
        <v>19177</v>
      </c>
      <c r="N967" t="s">
        <v>300</v>
      </c>
      <c r="O967" t="s">
        <v>16373</v>
      </c>
      <c r="P967" t="s">
        <v>12</v>
      </c>
    </row>
    <row r="968">
      <c r="A968">
        <f>HYPERLINK("http://bombeiros.sp.gov.br/hidrantes/03individual/1358.html","1358")</f>
      </c>
      <c r="B968" t="s">
        <v>114</v>
      </c>
      <c r="C968" t="s">
        <v>210</v>
      </c>
      <c r="D968" t="s">
        <v>3917</v>
      </c>
      <c r="E968" t="s">
        <v>15</v>
      </c>
      <c r="F968" t="s">
        <v>3924</v>
      </c>
      <c r="G968" t="s">
        <v>18130</v>
      </c>
      <c r="H968" t="s">
        <v>1112</v>
      </c>
      <c r="I968" t="s">
        <v>1108</v>
      </c>
      <c r="J968" t="s">
        <v>3925</v>
      </c>
      <c r="K968" t="s">
        <v>3926</v>
      </c>
      <c r="L968" t="s">
        <v>21</v>
      </c>
      <c r="M968" t="s">
        <v>19177</v>
      </c>
      <c r="N968" t="s">
        <v>300</v>
      </c>
      <c r="O968" t="s">
        <v>16373</v>
      </c>
      <c r="P968" t="s">
        <v>12</v>
      </c>
    </row>
    <row r="969">
      <c r="A969">
        <f>HYPERLINK("http://bombeiros.sp.gov.br/hidrantes/03individual/1359.html","1359")</f>
      </c>
      <c r="B969" t="s">
        <v>114</v>
      </c>
      <c r="C969" t="s">
        <v>210</v>
      </c>
      <c r="D969" t="s">
        <v>3917</v>
      </c>
      <c r="E969" t="s">
        <v>15</v>
      </c>
      <c r="F969" t="s">
        <v>3927</v>
      </c>
      <c r="G969" t="s">
        <v>18149</v>
      </c>
      <c r="H969" t="s">
        <v>1112</v>
      </c>
      <c r="I969" t="s">
        <v>1108</v>
      </c>
      <c r="J969" t="s">
        <v>3928</v>
      </c>
      <c r="K969" t="s">
        <v>3929</v>
      </c>
      <c r="L969" t="s">
        <v>21</v>
      </c>
      <c r="M969" t="s">
        <v>19177</v>
      </c>
      <c r="N969" t="s">
        <v>300</v>
      </c>
      <c r="O969" t="s">
        <v>16373</v>
      </c>
      <c r="P969" t="s">
        <v>12</v>
      </c>
    </row>
    <row r="970">
      <c r="A970">
        <f>HYPERLINK("http://bombeiros.sp.gov.br/hidrantes/03individual/1487.html","1487")</f>
      </c>
      <c r="B970" t="s">
        <v>114</v>
      </c>
      <c r="C970" t="s">
        <v>210</v>
      </c>
      <c r="D970" t="s">
        <v>3917</v>
      </c>
      <c r="E970" t="s">
        <v>15</v>
      </c>
      <c r="F970" t="s">
        <v>3930</v>
      </c>
      <c r="G970" t="s">
        <v>18117</v>
      </c>
      <c r="H970" t="s">
        <v>1174</v>
      </c>
      <c r="I970" t="s">
        <v>1108</v>
      </c>
      <c r="J970" t="s">
        <v>16800</v>
      </c>
      <c r="K970" t="s">
        <v>16801</v>
      </c>
      <c r="L970" t="s">
        <v>21</v>
      </c>
      <c r="M970" t="s">
        <v>19177</v>
      </c>
      <c r="N970" t="s">
        <v>300</v>
      </c>
      <c r="O970" t="s">
        <v>16373</v>
      </c>
      <c r="P970" t="s">
        <v>12</v>
      </c>
    </row>
    <row r="971">
      <c r="A971">
        <f>HYPERLINK("http://bombeiros.sp.gov.br/hidrantes/03individual/1556.html","1556")</f>
      </c>
      <c r="B971" t="s">
        <v>114</v>
      </c>
      <c r="C971" t="s">
        <v>210</v>
      </c>
      <c r="D971" t="s">
        <v>3917</v>
      </c>
      <c r="E971" t="s">
        <v>15</v>
      </c>
      <c r="F971" t="s">
        <v>3933</v>
      </c>
      <c r="G971" t="s">
        <v>18117</v>
      </c>
      <c r="H971" t="s">
        <v>1112</v>
      </c>
      <c r="I971" t="s">
        <v>1108</v>
      </c>
      <c r="J971" t="s">
        <v>3934</v>
      </c>
      <c r="K971" t="s">
        <v>3935</v>
      </c>
      <c r="L971" t="s">
        <v>21</v>
      </c>
      <c r="M971" t="s">
        <v>19177</v>
      </c>
      <c r="N971" t="s">
        <v>300</v>
      </c>
      <c r="O971" t="s">
        <v>16373</v>
      </c>
      <c r="P971" t="s">
        <v>12</v>
      </c>
    </row>
    <row r="972">
      <c r="A972">
        <f>HYPERLINK("http://bombeiros.sp.gov.br/hidrantes/03individual/1558.html","1558")</f>
      </c>
      <c r="B972" t="s">
        <v>114</v>
      </c>
      <c r="C972" t="s">
        <v>210</v>
      </c>
      <c r="D972" t="s">
        <v>3917</v>
      </c>
      <c r="E972" t="s">
        <v>15</v>
      </c>
      <c r="F972" t="s">
        <v>3936</v>
      </c>
      <c r="G972" t="s">
        <v>18139</v>
      </c>
      <c r="H972" t="s">
        <v>1112</v>
      </c>
      <c r="I972" t="s">
        <v>1108</v>
      </c>
      <c r="J972" t="s">
        <v>3937</v>
      </c>
      <c r="K972" t="s">
        <v>3938</v>
      </c>
      <c r="L972" t="s">
        <v>21</v>
      </c>
      <c r="M972" t="s">
        <v>19177</v>
      </c>
      <c r="N972" t="s">
        <v>300</v>
      </c>
      <c r="O972" t="s">
        <v>16373</v>
      </c>
      <c r="P972" t="s">
        <v>12</v>
      </c>
    </row>
    <row r="973">
      <c r="A973">
        <f>HYPERLINK("http://bombeiros.sp.gov.br/hidrantes/03individual/1620.html","1620")</f>
      </c>
      <c r="B973" t="s">
        <v>114</v>
      </c>
      <c r="C973" t="s">
        <v>210</v>
      </c>
      <c r="D973" t="s">
        <v>3917</v>
      </c>
      <c r="E973" t="s">
        <v>15</v>
      </c>
      <c r="F973" t="s">
        <v>3939</v>
      </c>
      <c r="G973" t="s">
        <v>18117</v>
      </c>
      <c r="H973" t="s">
        <v>1112</v>
      </c>
      <c r="I973" t="s">
        <v>1108</v>
      </c>
      <c r="J973" t="s">
        <v>3940</v>
      </c>
      <c r="K973" t="s">
        <v>3941</v>
      </c>
      <c r="L973" t="s">
        <v>21</v>
      </c>
      <c r="M973" t="s">
        <v>19177</v>
      </c>
      <c r="N973" t="s">
        <v>300</v>
      </c>
      <c r="O973" t="s">
        <v>16373</v>
      </c>
      <c r="P973" t="s">
        <v>12</v>
      </c>
    </row>
    <row r="974">
      <c r="A974">
        <f>HYPERLINK("http://bombeiros.sp.gov.br/hidrantes/03individual/1685.html","1685")</f>
      </c>
      <c r="B974" t="s">
        <v>114</v>
      </c>
      <c r="C974" t="s">
        <v>210</v>
      </c>
      <c r="D974" t="s">
        <v>3917</v>
      </c>
      <c r="E974" t="s">
        <v>15</v>
      </c>
      <c r="F974" t="s">
        <v>3942</v>
      </c>
      <c r="G974" t="s">
        <v>18117</v>
      </c>
      <c r="H974" t="s">
        <v>1112</v>
      </c>
      <c r="I974" t="s">
        <v>1108</v>
      </c>
      <c r="J974" t="s">
        <v>3943</v>
      </c>
      <c r="K974" t="s">
        <v>3944</v>
      </c>
      <c r="L974" t="s">
        <v>21</v>
      </c>
      <c r="M974" t="s">
        <v>19177</v>
      </c>
      <c r="N974" t="s">
        <v>300</v>
      </c>
      <c r="O974" t="s">
        <v>16373</v>
      </c>
      <c r="P974" t="s">
        <v>12</v>
      </c>
    </row>
    <row r="975">
      <c r="A975">
        <f>HYPERLINK("http://bombeiros.sp.gov.br/hidrantes/03individual/1691.html","1691")</f>
      </c>
      <c r="B975" t="s">
        <v>114</v>
      </c>
      <c r="C975" t="s">
        <v>210</v>
      </c>
      <c r="D975" t="s">
        <v>3917</v>
      </c>
      <c r="E975" t="s">
        <v>15</v>
      </c>
      <c r="F975" t="s">
        <v>3945</v>
      </c>
      <c r="G975" t="s">
        <v>18149</v>
      </c>
      <c r="H975" t="s">
        <v>1121</v>
      </c>
      <c r="I975" t="s">
        <v>1117</v>
      </c>
      <c r="J975" t="s">
        <v>3946</v>
      </c>
      <c r="K975" t="s">
        <v>3947</v>
      </c>
      <c r="L975" t="s">
        <v>21</v>
      </c>
      <c r="M975" t="s">
        <v>19177</v>
      </c>
      <c r="N975" t="s">
        <v>300</v>
      </c>
      <c r="O975" t="s">
        <v>16373</v>
      </c>
      <c r="P975" t="s">
        <v>12</v>
      </c>
    </row>
    <row r="976">
      <c r="A976">
        <f>HYPERLINK("http://bombeiros.sp.gov.br/hidrantes/03individual/1693.html","1693")</f>
      </c>
      <c r="B976" t="s">
        <v>114</v>
      </c>
      <c r="C976" t="s">
        <v>210</v>
      </c>
      <c r="D976" t="s">
        <v>3917</v>
      </c>
      <c r="E976" t="s">
        <v>15</v>
      </c>
      <c r="F976" t="s">
        <v>3948</v>
      </c>
      <c r="G976" t="s">
        <v>18139</v>
      </c>
      <c r="H976" t="s">
        <v>1112</v>
      </c>
      <c r="I976" t="s">
        <v>1108</v>
      </c>
      <c r="J976" t="s">
        <v>3949</v>
      </c>
      <c r="K976" t="s">
        <v>3950</v>
      </c>
      <c r="L976" t="s">
        <v>21</v>
      </c>
      <c r="M976" t="s">
        <v>19177</v>
      </c>
      <c r="N976" t="s">
        <v>300</v>
      </c>
      <c r="O976" t="s">
        <v>16373</v>
      </c>
      <c r="P976" t="s">
        <v>12</v>
      </c>
    </row>
    <row r="977">
      <c r="A977">
        <f>HYPERLINK("http://bombeiros.sp.gov.br/hidrantes/03individual/1731.html","1731")</f>
      </c>
      <c r="B977" t="s">
        <v>114</v>
      </c>
      <c r="C977" t="s">
        <v>210</v>
      </c>
      <c r="D977" t="s">
        <v>3917</v>
      </c>
      <c r="E977" t="s">
        <v>15</v>
      </c>
      <c r="F977" t="s">
        <v>3951</v>
      </c>
      <c r="G977" t="s">
        <v>18149</v>
      </c>
      <c r="H977" t="s">
        <v>1112</v>
      </c>
      <c r="I977" t="s">
        <v>1108</v>
      </c>
      <c r="J977" t="s">
        <v>3952</v>
      </c>
      <c r="K977" t="s">
        <v>3953</v>
      </c>
      <c r="L977" t="s">
        <v>21</v>
      </c>
      <c r="M977" t="s">
        <v>19177</v>
      </c>
      <c r="N977" t="s">
        <v>300</v>
      </c>
      <c r="O977" t="s">
        <v>16373</v>
      </c>
      <c r="P977" t="s">
        <v>12</v>
      </c>
    </row>
    <row r="978">
      <c r="A978">
        <f>HYPERLINK("http://bombeiros.sp.gov.br/hidrantes/03individual/1737.html","1737")</f>
      </c>
      <c r="B978" t="s">
        <v>114</v>
      </c>
      <c r="C978" t="s">
        <v>210</v>
      </c>
      <c r="D978" t="s">
        <v>3917</v>
      </c>
      <c r="E978" t="s">
        <v>15</v>
      </c>
      <c r="F978" t="s">
        <v>3954</v>
      </c>
      <c r="G978" t="s">
        <v>18149</v>
      </c>
      <c r="H978" t="s">
        <v>1121</v>
      </c>
      <c r="I978" t="s">
        <v>1117</v>
      </c>
      <c r="J978" t="s">
        <v>3955</v>
      </c>
      <c r="K978" t="s">
        <v>3956</v>
      </c>
      <c r="L978" t="s">
        <v>21</v>
      </c>
      <c r="M978" t="s">
        <v>19177</v>
      </c>
      <c r="N978" t="s">
        <v>300</v>
      </c>
      <c r="O978" t="s">
        <v>16373</v>
      </c>
      <c r="P978" t="s">
        <v>12</v>
      </c>
    </row>
    <row r="979">
      <c r="A979">
        <f>HYPERLINK("http://bombeiros.sp.gov.br/hidrantes/03individual/1780.html","1780")</f>
      </c>
      <c r="B979" t="s">
        <v>114</v>
      </c>
      <c r="C979" t="s">
        <v>210</v>
      </c>
      <c r="D979" t="s">
        <v>3917</v>
      </c>
      <c r="E979" t="s">
        <v>15</v>
      </c>
      <c r="F979" t="s">
        <v>3957</v>
      </c>
      <c r="G979" t="s">
        <v>18047</v>
      </c>
      <c r="H979" t="s">
        <v>1107</v>
      </c>
      <c r="I979" t="s">
        <v>1108</v>
      </c>
      <c r="J979" t="s">
        <v>3958</v>
      </c>
      <c r="K979" t="s">
        <v>3959</v>
      </c>
      <c r="L979" t="s">
        <v>21</v>
      </c>
      <c r="M979" t="s">
        <v>19177</v>
      </c>
      <c r="N979" t="s">
        <v>300</v>
      </c>
      <c r="O979" t="s">
        <v>16373</v>
      </c>
      <c r="P979" t="s">
        <v>12</v>
      </c>
    </row>
    <row r="980">
      <c r="A980">
        <f>HYPERLINK("http://bombeiros.sp.gov.br/hidrantes/03individual/3010.html","3010")</f>
      </c>
      <c r="B980" t="s">
        <v>114</v>
      </c>
      <c r="C980" t="s">
        <v>210</v>
      </c>
      <c r="D980" t="s">
        <v>3917</v>
      </c>
      <c r="E980" t="s">
        <v>15</v>
      </c>
      <c r="F980" t="s">
        <v>3960</v>
      </c>
      <c r="G980" t="s">
        <v>18076</v>
      </c>
      <c r="H980" t="s">
        <v>1174</v>
      </c>
      <c r="I980" t="s">
        <v>1117</v>
      </c>
      <c r="J980" t="s">
        <v>16034</v>
      </c>
      <c r="K980" t="s">
        <v>16035</v>
      </c>
      <c r="L980" t="s">
        <v>21</v>
      </c>
      <c r="M980" t="s">
        <v>19177</v>
      </c>
      <c r="N980" t="s">
        <v>300</v>
      </c>
      <c r="O980" t="s">
        <v>16373</v>
      </c>
      <c r="P980" t="s">
        <v>12</v>
      </c>
    </row>
    <row r="981">
      <c r="A981">
        <f>HYPERLINK("http://bombeiros.sp.gov.br/hidrantes/03individual/3012.html","3012")</f>
      </c>
      <c r="B981" t="s">
        <v>114</v>
      </c>
      <c r="C981" t="s">
        <v>210</v>
      </c>
      <c r="D981" t="s">
        <v>3917</v>
      </c>
      <c r="E981" t="s">
        <v>15</v>
      </c>
      <c r="F981" t="s">
        <v>3963</v>
      </c>
      <c r="G981" t="s">
        <v>18076</v>
      </c>
      <c r="H981" t="s">
        <v>1174</v>
      </c>
      <c r="I981" t="s">
        <v>1117</v>
      </c>
      <c r="J981" t="s">
        <v>3964</v>
      </c>
      <c r="K981" t="s">
        <v>3965</v>
      </c>
      <c r="L981" t="s">
        <v>21</v>
      </c>
      <c r="M981" t="s">
        <v>19177</v>
      </c>
      <c r="N981" t="s">
        <v>300</v>
      </c>
      <c r="O981" t="s">
        <v>16373</v>
      </c>
      <c r="P981" t="s">
        <v>12</v>
      </c>
    </row>
    <row r="982">
      <c r="A982">
        <f>HYPERLINK("http://bombeiros.sp.gov.br/hidrantes/03individual/3015.html","3015")</f>
      </c>
      <c r="B982" t="s">
        <v>114</v>
      </c>
      <c r="C982" t="s">
        <v>210</v>
      </c>
      <c r="D982" t="s">
        <v>3917</v>
      </c>
      <c r="E982" t="s">
        <v>15</v>
      </c>
      <c r="F982" t="s">
        <v>3966</v>
      </c>
      <c r="G982" t="s">
        <v>18076</v>
      </c>
      <c r="H982" t="s">
        <v>1107</v>
      </c>
      <c r="I982" t="s">
        <v>1108</v>
      </c>
      <c r="J982" t="s">
        <v>3967</v>
      </c>
      <c r="K982" t="s">
        <v>3968</v>
      </c>
      <c r="L982" t="s">
        <v>21</v>
      </c>
      <c r="M982" t="s">
        <v>19177</v>
      </c>
      <c r="N982" t="s">
        <v>300</v>
      </c>
      <c r="O982" t="s">
        <v>16373</v>
      </c>
      <c r="P982" t="s">
        <v>12</v>
      </c>
    </row>
    <row r="983">
      <c r="A983">
        <f>HYPERLINK("http://bombeiros.sp.gov.br/hidrantes/03individual/3018.html","3018")</f>
      </c>
      <c r="B983" t="s">
        <v>114</v>
      </c>
      <c r="C983" t="s">
        <v>210</v>
      </c>
      <c r="D983" t="s">
        <v>3917</v>
      </c>
      <c r="E983" t="s">
        <v>15</v>
      </c>
      <c r="F983" t="s">
        <v>3969</v>
      </c>
      <c r="G983" t="s">
        <v>18075</v>
      </c>
      <c r="H983" t="s">
        <v>1121</v>
      </c>
      <c r="I983" t="s">
        <v>1117</v>
      </c>
      <c r="J983" t="s">
        <v>3970</v>
      </c>
      <c r="K983" t="s">
        <v>3971</v>
      </c>
      <c r="L983" t="s">
        <v>21</v>
      </c>
      <c r="M983" t="s">
        <v>19177</v>
      </c>
      <c r="N983" t="s">
        <v>300</v>
      </c>
      <c r="O983" t="s">
        <v>16373</v>
      </c>
      <c r="P983" t="s">
        <v>12</v>
      </c>
    </row>
    <row r="984">
      <c r="A984">
        <f>HYPERLINK("http://bombeiros.sp.gov.br/hidrantes/03individual/3022.html","3022")</f>
      </c>
      <c r="B984" t="s">
        <v>114</v>
      </c>
      <c r="C984" t="s">
        <v>210</v>
      </c>
      <c r="D984" t="s">
        <v>3917</v>
      </c>
      <c r="E984" t="s">
        <v>15</v>
      </c>
      <c r="F984" t="s">
        <v>3972</v>
      </c>
      <c r="G984" t="s">
        <v>18075</v>
      </c>
      <c r="H984" t="s">
        <v>1121</v>
      </c>
      <c r="I984" t="s">
        <v>1117</v>
      </c>
      <c r="J984" t="s">
        <v>3973</v>
      </c>
      <c r="K984" t="s">
        <v>3974</v>
      </c>
      <c r="L984" t="s">
        <v>21</v>
      </c>
      <c r="M984" t="s">
        <v>19177</v>
      </c>
      <c r="N984" t="s">
        <v>300</v>
      </c>
      <c r="O984" t="s">
        <v>16373</v>
      </c>
      <c r="P984" t="s">
        <v>12</v>
      </c>
    </row>
    <row r="985">
      <c r="A985">
        <f>HYPERLINK("http://bombeiros.sp.gov.br/hidrantes/03individual/3023.html","3023")</f>
      </c>
      <c r="B985" t="s">
        <v>114</v>
      </c>
      <c r="C985" t="s">
        <v>210</v>
      </c>
      <c r="D985" t="s">
        <v>3917</v>
      </c>
      <c r="E985" t="s">
        <v>15</v>
      </c>
      <c r="F985" t="s">
        <v>3975</v>
      </c>
      <c r="G985" t="s">
        <v>18075</v>
      </c>
      <c r="H985" t="s">
        <v>1107</v>
      </c>
      <c r="I985" t="s">
        <v>1108</v>
      </c>
      <c r="J985" t="s">
        <v>3976</v>
      </c>
      <c r="K985" t="s">
        <v>3977</v>
      </c>
      <c r="L985" t="s">
        <v>21</v>
      </c>
      <c r="M985" t="s">
        <v>19177</v>
      </c>
      <c r="N985" t="s">
        <v>300</v>
      </c>
      <c r="O985" t="s">
        <v>16373</v>
      </c>
      <c r="P985" t="s">
        <v>12</v>
      </c>
    </row>
    <row r="986">
      <c r="A986">
        <f>HYPERLINK("http://bombeiros.sp.gov.br/hidrantes/03individual/3028.html","3028")</f>
      </c>
      <c r="B986" t="s">
        <v>114</v>
      </c>
      <c r="C986" t="s">
        <v>210</v>
      </c>
      <c r="D986" t="s">
        <v>3917</v>
      </c>
      <c r="E986" t="s">
        <v>15</v>
      </c>
      <c r="F986" t="s">
        <v>3978</v>
      </c>
      <c r="G986" t="s">
        <v>18139</v>
      </c>
      <c r="H986" t="s">
        <v>1112</v>
      </c>
      <c r="I986" t="s">
        <v>1108</v>
      </c>
      <c r="J986" t="s">
        <v>3979</v>
      </c>
      <c r="K986" t="s">
        <v>3980</v>
      </c>
      <c r="L986" t="s">
        <v>21</v>
      </c>
      <c r="M986" t="s">
        <v>19177</v>
      </c>
      <c r="N986" t="s">
        <v>300</v>
      </c>
      <c r="O986" t="s">
        <v>16373</v>
      </c>
      <c r="P986" t="s">
        <v>12</v>
      </c>
    </row>
    <row r="987">
      <c r="A987">
        <f>HYPERLINK("http://bombeiros.sp.gov.br/hidrantes/03individual/3038.html","3038")</f>
      </c>
      <c r="B987" t="s">
        <v>114</v>
      </c>
      <c r="C987" t="s">
        <v>210</v>
      </c>
      <c r="D987" t="s">
        <v>3917</v>
      </c>
      <c r="E987" t="s">
        <v>15</v>
      </c>
      <c r="F987" t="s">
        <v>3981</v>
      </c>
      <c r="G987" t="s">
        <v>18076</v>
      </c>
      <c r="H987" t="s">
        <v>1174</v>
      </c>
      <c r="I987" t="s">
        <v>1117</v>
      </c>
      <c r="J987" t="s">
        <v>3982</v>
      </c>
      <c r="K987" t="s">
        <v>3983</v>
      </c>
      <c r="L987" t="s">
        <v>21</v>
      </c>
      <c r="M987" t="s">
        <v>19177</v>
      </c>
      <c r="N987" t="s">
        <v>300</v>
      </c>
      <c r="O987" t="s">
        <v>16373</v>
      </c>
      <c r="P987" t="s">
        <v>12</v>
      </c>
    </row>
    <row r="988">
      <c r="A988">
        <f>HYPERLINK("http://bombeiros.sp.gov.br/hidrantes/03individual/3040.html","3040")</f>
      </c>
      <c r="B988" t="s">
        <v>114</v>
      </c>
      <c r="C988" t="s">
        <v>210</v>
      </c>
      <c r="D988" t="s">
        <v>3917</v>
      </c>
      <c r="E988" t="s">
        <v>15</v>
      </c>
      <c r="F988" t="s">
        <v>3984</v>
      </c>
      <c r="G988" t="s">
        <v>18051</v>
      </c>
      <c r="H988" t="s">
        <v>1107</v>
      </c>
      <c r="I988" t="s">
        <v>1108</v>
      </c>
      <c r="J988" t="s">
        <v>3985</v>
      </c>
      <c r="K988" t="s">
        <v>3986</v>
      </c>
      <c r="L988" t="s">
        <v>36</v>
      </c>
      <c r="M988" t="s">
        <v>19177</v>
      </c>
      <c r="N988" t="s">
        <v>300</v>
      </c>
      <c r="O988" t="s">
        <v>16373</v>
      </c>
      <c r="P988" t="s">
        <v>12</v>
      </c>
    </row>
    <row r="989">
      <c r="A989">
        <f>HYPERLINK("http://bombeiros.sp.gov.br/hidrantes/03individual/3223.html","3223")</f>
      </c>
      <c r="B989" t="s">
        <v>114</v>
      </c>
      <c r="C989" t="s">
        <v>210</v>
      </c>
      <c r="D989" t="s">
        <v>3917</v>
      </c>
      <c r="E989" t="s">
        <v>15</v>
      </c>
      <c r="F989" t="s">
        <v>3987</v>
      </c>
      <c r="G989" t="s">
        <v>18076</v>
      </c>
      <c r="H989" t="s">
        <v>1121</v>
      </c>
      <c r="I989" t="s">
        <v>1117</v>
      </c>
      <c r="J989" t="s">
        <v>3988</v>
      </c>
      <c r="K989" t="s">
        <v>3989</v>
      </c>
      <c r="L989" t="s">
        <v>21</v>
      </c>
      <c r="M989" t="s">
        <v>19177</v>
      </c>
      <c r="N989" t="s">
        <v>300</v>
      </c>
      <c r="O989" t="s">
        <v>16373</v>
      </c>
      <c r="P989" t="s">
        <v>12</v>
      </c>
    </row>
    <row r="990">
      <c r="A990">
        <f>HYPERLINK("http://bombeiros.sp.gov.br/hidrantes/03individual/3288.html","3288")</f>
      </c>
      <c r="B990" t="s">
        <v>114</v>
      </c>
      <c r="C990" t="s">
        <v>210</v>
      </c>
      <c r="D990" t="s">
        <v>3917</v>
      </c>
      <c r="E990" t="s">
        <v>15</v>
      </c>
      <c r="F990" t="s">
        <v>3990</v>
      </c>
      <c r="G990" t="s">
        <v>18076</v>
      </c>
      <c r="H990" t="s">
        <v>1121</v>
      </c>
      <c r="I990" t="s">
        <v>1117</v>
      </c>
      <c r="J990" t="s">
        <v>3991</v>
      </c>
      <c r="K990" t="s">
        <v>3992</v>
      </c>
      <c r="L990" t="s">
        <v>21</v>
      </c>
      <c r="M990" t="s">
        <v>19177</v>
      </c>
      <c r="N990" t="s">
        <v>300</v>
      </c>
      <c r="O990" t="s">
        <v>16373</v>
      </c>
      <c r="P990" t="s">
        <v>12</v>
      </c>
    </row>
    <row r="991">
      <c r="A991">
        <f>HYPERLINK("http://bombeiros.sp.gov.br/hidrantes/03individual/3300.html","3300")</f>
      </c>
      <c r="B991" t="s">
        <v>114</v>
      </c>
      <c r="C991" t="s">
        <v>210</v>
      </c>
      <c r="D991" t="s">
        <v>3917</v>
      </c>
      <c r="E991" t="s">
        <v>15</v>
      </c>
      <c r="F991" t="s">
        <v>3993</v>
      </c>
      <c r="G991" t="s">
        <v>18117</v>
      </c>
      <c r="H991" t="s">
        <v>1121</v>
      </c>
      <c r="I991" t="s">
        <v>1117</v>
      </c>
      <c r="J991" t="s">
        <v>16802</v>
      </c>
      <c r="K991" t="s">
        <v>16803</v>
      </c>
      <c r="L991" t="s">
        <v>21</v>
      </c>
      <c r="M991" t="s">
        <v>19177</v>
      </c>
      <c r="N991" t="s">
        <v>300</v>
      </c>
      <c r="O991" t="s">
        <v>16373</v>
      </c>
      <c r="P991" t="s">
        <v>12</v>
      </c>
    </row>
    <row r="992">
      <c r="A992">
        <f>HYPERLINK("http://bombeiros.sp.gov.br/hidrantes/03individual/3301.html","3301")</f>
      </c>
      <c r="B992" t="s">
        <v>114</v>
      </c>
      <c r="C992" t="s">
        <v>210</v>
      </c>
      <c r="D992" t="s">
        <v>3917</v>
      </c>
      <c r="E992" t="s">
        <v>15</v>
      </c>
      <c r="F992" t="s">
        <v>3996</v>
      </c>
      <c r="G992" t="s">
        <v>18139</v>
      </c>
      <c r="H992" t="s">
        <v>1112</v>
      </c>
      <c r="I992" t="s">
        <v>1108</v>
      </c>
      <c r="J992" t="s">
        <v>3997</v>
      </c>
      <c r="K992" t="s">
        <v>3998</v>
      </c>
      <c r="L992" t="s">
        <v>21</v>
      </c>
      <c r="M992" t="s">
        <v>19177</v>
      </c>
      <c r="N992" t="s">
        <v>300</v>
      </c>
      <c r="O992" t="s">
        <v>16373</v>
      </c>
      <c r="P992" t="s">
        <v>12</v>
      </c>
    </row>
    <row r="993">
      <c r="A993">
        <f>HYPERLINK("http://bombeiros.sp.gov.br/hidrantes/03individual/3325.html","3325")</f>
      </c>
      <c r="B993" t="s">
        <v>114</v>
      </c>
      <c r="C993" t="s">
        <v>210</v>
      </c>
      <c r="D993" t="s">
        <v>3917</v>
      </c>
      <c r="E993" t="s">
        <v>15</v>
      </c>
      <c r="F993" t="s">
        <v>3999</v>
      </c>
      <c r="G993" t="s">
        <v>18095</v>
      </c>
      <c r="H993" t="s">
        <v>1107</v>
      </c>
      <c r="I993" t="s">
        <v>1108</v>
      </c>
      <c r="J993" t="s">
        <v>4000</v>
      </c>
      <c r="K993" t="s">
        <v>4001</v>
      </c>
      <c r="L993" t="s">
        <v>21</v>
      </c>
      <c r="M993" t="s">
        <v>19177</v>
      </c>
      <c r="N993" t="s">
        <v>300</v>
      </c>
      <c r="O993" t="s">
        <v>16373</v>
      </c>
      <c r="P993" t="s">
        <v>12</v>
      </c>
    </row>
    <row r="994">
      <c r="A994">
        <f>HYPERLINK("http://bombeiros.sp.gov.br/hidrantes/03individual/4156.html","4156")</f>
      </c>
      <c r="B994" t="s">
        <v>114</v>
      </c>
      <c r="C994" t="s">
        <v>210</v>
      </c>
      <c r="D994" t="s">
        <v>3917</v>
      </c>
      <c r="E994" t="s">
        <v>15</v>
      </c>
      <c r="F994" t="s">
        <v>4002</v>
      </c>
      <c r="G994" t="s">
        <v>18149</v>
      </c>
      <c r="H994" t="s">
        <v>1174</v>
      </c>
      <c r="I994" t="s">
        <v>1108</v>
      </c>
      <c r="J994" t="s">
        <v>4003</v>
      </c>
      <c r="K994" t="s">
        <v>4004</v>
      </c>
      <c r="L994" t="s">
        <v>21</v>
      </c>
      <c r="M994" t="s">
        <v>19177</v>
      </c>
      <c r="N994" t="s">
        <v>300</v>
      </c>
      <c r="O994" t="s">
        <v>16373</v>
      </c>
      <c r="P994" t="s">
        <v>12</v>
      </c>
    </row>
    <row r="995">
      <c r="A995">
        <f>HYPERLINK("http://bombeiros.sp.gov.br/hidrantes/03individual/4291.html","4291")</f>
      </c>
      <c r="B995" t="s">
        <v>114</v>
      </c>
      <c r="C995" t="s">
        <v>210</v>
      </c>
      <c r="D995" t="s">
        <v>3917</v>
      </c>
      <c r="E995" t="s">
        <v>15</v>
      </c>
      <c r="F995" t="s">
        <v>4005</v>
      </c>
      <c r="G995" t="s">
        <v>18067</v>
      </c>
      <c r="H995" t="s">
        <v>1107</v>
      </c>
      <c r="I995" t="s">
        <v>1108</v>
      </c>
      <c r="J995" t="s">
        <v>16842</v>
      </c>
      <c r="K995" t="s">
        <v>16843</v>
      </c>
      <c r="L995" t="s">
        <v>21</v>
      </c>
      <c r="M995" t="s">
        <v>19177</v>
      </c>
      <c r="N995" t="s">
        <v>300</v>
      </c>
      <c r="O995" t="s">
        <v>16373</v>
      </c>
      <c r="P995" t="s">
        <v>12</v>
      </c>
    </row>
    <row r="996">
      <c r="A996">
        <f>HYPERLINK("http://bombeiros.sp.gov.br/hidrantes/03individual/4292.html","4292")</f>
      </c>
      <c r="B996" t="s">
        <v>114</v>
      </c>
      <c r="C996" t="s">
        <v>210</v>
      </c>
      <c r="D996" t="s">
        <v>3917</v>
      </c>
      <c r="E996" t="s">
        <v>15</v>
      </c>
      <c r="F996" t="s">
        <v>4008</v>
      </c>
      <c r="G996" t="s">
        <v>18130</v>
      </c>
      <c r="H996" t="s">
        <v>1107</v>
      </c>
      <c r="I996" t="s">
        <v>1108</v>
      </c>
      <c r="J996" t="s">
        <v>4009</v>
      </c>
      <c r="K996" t="s">
        <v>4010</v>
      </c>
      <c r="L996" t="s">
        <v>21</v>
      </c>
      <c r="M996" t="s">
        <v>19177</v>
      </c>
      <c r="N996" t="s">
        <v>300</v>
      </c>
      <c r="O996" t="s">
        <v>16373</v>
      </c>
      <c r="P996" t="s">
        <v>12</v>
      </c>
    </row>
    <row r="997">
      <c r="A997">
        <f>HYPERLINK("http://bombeiros.sp.gov.br/hidrantes/03individual/4306.html","4306")</f>
      </c>
      <c r="B997" t="s">
        <v>114</v>
      </c>
      <c r="C997" t="s">
        <v>210</v>
      </c>
      <c r="D997" t="s">
        <v>3917</v>
      </c>
      <c r="E997" t="s">
        <v>15</v>
      </c>
      <c r="F997" t="s">
        <v>4011</v>
      </c>
      <c r="G997" t="s">
        <v>18047</v>
      </c>
      <c r="H997" t="s">
        <v>1107</v>
      </c>
      <c r="I997" t="s">
        <v>1108</v>
      </c>
      <c r="J997" t="s">
        <v>4012</v>
      </c>
      <c r="K997" t="s">
        <v>4013</v>
      </c>
      <c r="L997" t="s">
        <v>21</v>
      </c>
      <c r="M997" t="s">
        <v>19177</v>
      </c>
      <c r="N997" t="s">
        <v>300</v>
      </c>
      <c r="O997" t="s">
        <v>16373</v>
      </c>
      <c r="P997" t="s">
        <v>12</v>
      </c>
    </row>
    <row r="998">
      <c r="A998">
        <f>HYPERLINK("http://bombeiros.sp.gov.br/hidrantes/03individual/27260.html","27260")</f>
      </c>
      <c r="B998" t="s">
        <v>114</v>
      </c>
      <c r="C998" t="s">
        <v>210</v>
      </c>
      <c r="D998" t="s">
        <v>3917</v>
      </c>
      <c r="E998" t="s">
        <v>15</v>
      </c>
      <c r="F998" t="s">
        <v>17013</v>
      </c>
      <c r="G998" t="s">
        <v>18051</v>
      </c>
      <c r="H998" t="s">
        <v>1121</v>
      </c>
      <c r="I998" t="s">
        <v>1117</v>
      </c>
      <c r="J998" t="s">
        <v>17014</v>
      </c>
      <c r="K998" t="s">
        <v>17015</v>
      </c>
      <c r="L998" t="s">
        <v>21</v>
      </c>
      <c r="M998" t="s">
        <v>19177</v>
      </c>
      <c r="N998" t="s">
        <v>300</v>
      </c>
      <c r="O998" t="s">
        <v>16373</v>
      </c>
      <c r="P998" t="s">
        <v>12</v>
      </c>
    </row>
    <row r="999">
      <c r="A999">
        <f>HYPERLINK("http://bombeiros.sp.gov.br/hidrantes/03individual/27261.html","27261")</f>
      </c>
      <c r="B999" t="s">
        <v>114</v>
      </c>
      <c r="C999" t="s">
        <v>210</v>
      </c>
      <c r="D999" t="s">
        <v>3917</v>
      </c>
      <c r="E999" t="s">
        <v>15</v>
      </c>
      <c r="F999" t="s">
        <v>17016</v>
      </c>
      <c r="G999" t="s">
        <v>18051</v>
      </c>
      <c r="H999" t="s">
        <v>1174</v>
      </c>
      <c r="I999" t="s">
        <v>1108</v>
      </c>
      <c r="J999" t="s">
        <v>17017</v>
      </c>
      <c r="K999" t="s">
        <v>17018</v>
      </c>
      <c r="L999" t="s">
        <v>21</v>
      </c>
      <c r="M999" t="s">
        <v>19177</v>
      </c>
      <c r="N999" t="s">
        <v>300</v>
      </c>
      <c r="O999" t="s">
        <v>16373</v>
      </c>
      <c r="P999" t="s">
        <v>12</v>
      </c>
    </row>
    <row r="1000">
      <c r="A1000">
        <f>HYPERLINK("http://bombeiros.sp.gov.br/hidrantes/03individual/2975.html","2975")</f>
      </c>
      <c r="B1000" t="s">
        <v>114</v>
      </c>
      <c r="C1000" t="s">
        <v>222</v>
      </c>
      <c r="D1000" t="s">
        <v>223</v>
      </c>
      <c r="E1000" t="s">
        <v>64</v>
      </c>
      <c r="F1000" t="s">
        <v>4014</v>
      </c>
      <c r="G1000" t="s">
        <v>18533</v>
      </c>
      <c r="H1000" t="s">
        <v>1112</v>
      </c>
      <c r="I1000" t="s">
        <v>1108</v>
      </c>
      <c r="J1000" t="s">
        <v>4015</v>
      </c>
      <c r="K1000" t="s">
        <v>4016</v>
      </c>
      <c r="L1000" t="s">
        <v>21</v>
      </c>
      <c r="M1000" t="s">
        <v>19177</v>
      </c>
      <c r="N1000" t="s">
        <v>16374</v>
      </c>
      <c r="O1000" t="s">
        <v>272</v>
      </c>
      <c r="P1000" t="s">
        <v>114</v>
      </c>
    </row>
    <row r="1001">
      <c r="A1001">
        <f>HYPERLINK("http://bombeiros.sp.gov.br/hidrantes/03individual/3041.html","3041")</f>
      </c>
      <c r="B1001" t="s">
        <v>114</v>
      </c>
      <c r="C1001" t="s">
        <v>222</v>
      </c>
      <c r="D1001" t="s">
        <v>223</v>
      </c>
      <c r="E1001" t="s">
        <v>64</v>
      </c>
      <c r="F1001" t="s">
        <v>224</v>
      </c>
      <c r="G1001" t="s">
        <v>18533</v>
      </c>
      <c r="H1001"/>
      <c r="I1001" t="s">
        <v>18</v>
      </c>
      <c r="J1001" t="s">
        <v>226</v>
      </c>
      <c r="K1001" t="s">
        <v>227</v>
      </c>
      <c r="L1001" t="s">
        <v>36</v>
      </c>
      <c r="M1001" t="s">
        <v>19177</v>
      </c>
      <c r="N1001" t="s">
        <v>16374</v>
      </c>
      <c r="O1001" t="s">
        <v>272</v>
      </c>
      <c r="P1001" t="s">
        <v>114</v>
      </c>
    </row>
    <row r="1002">
      <c r="A1002">
        <f>HYPERLINK("http://bombeiros.sp.gov.br/hidrantes/03individual/5650.html","5650")</f>
      </c>
      <c r="B1002" t="s">
        <v>114</v>
      </c>
      <c r="C1002" t="s">
        <v>222</v>
      </c>
      <c r="D1002" t="s">
        <v>223</v>
      </c>
      <c r="E1002" t="s">
        <v>64</v>
      </c>
      <c r="F1002" t="s">
        <v>16993</v>
      </c>
      <c r="G1002" t="s">
        <v>18488</v>
      </c>
      <c r="H1002" t="s">
        <v>1112</v>
      </c>
      <c r="I1002" t="s">
        <v>1108</v>
      </c>
      <c r="J1002" t="s">
        <v>16994</v>
      </c>
      <c r="K1002" t="s">
        <v>16995</v>
      </c>
      <c r="L1002" t="s">
        <v>21</v>
      </c>
      <c r="M1002" t="s">
        <v>19177</v>
      </c>
      <c r="N1002" t="s">
        <v>16374</v>
      </c>
      <c r="O1002" t="s">
        <v>272</v>
      </c>
      <c r="P1002" t="s">
        <v>114</v>
      </c>
    </row>
    <row r="1003">
      <c r="A1003">
        <f>HYPERLINK("http://bombeiros.sp.gov.br/hidrantes/03individual/27044.html","27044")</f>
      </c>
      <c r="B1003" t="s">
        <v>114</v>
      </c>
      <c r="C1003" t="s">
        <v>222</v>
      </c>
      <c r="D1003" t="s">
        <v>223</v>
      </c>
      <c r="E1003" t="s">
        <v>64</v>
      </c>
      <c r="F1003" t="s">
        <v>16652</v>
      </c>
      <c r="G1003" t="s">
        <v>18533</v>
      </c>
      <c r="H1003" t="s">
        <v>1121</v>
      </c>
      <c r="I1003" t="s">
        <v>1117</v>
      </c>
      <c r="J1003" t="s">
        <v>16653</v>
      </c>
      <c r="K1003" t="s">
        <v>16654</v>
      </c>
      <c r="L1003" t="s">
        <v>21</v>
      </c>
      <c r="M1003" t="s">
        <v>19177</v>
      </c>
      <c r="N1003" t="s">
        <v>16374</v>
      </c>
      <c r="O1003" t="s">
        <v>272</v>
      </c>
      <c r="P1003" t="s">
        <v>114</v>
      </c>
    </row>
    <row r="1004">
      <c r="A1004">
        <f>HYPERLINK("http://bombeiros.sp.gov.br/hidrantes/03individual/1873.html","1873")</f>
      </c>
      <c r="B1004" t="s">
        <v>114</v>
      </c>
      <c r="C1004" t="s">
        <v>222</v>
      </c>
      <c r="D1004" t="s">
        <v>223</v>
      </c>
      <c r="E1004" t="s">
        <v>15</v>
      </c>
      <c r="F1004" t="s">
        <v>228</v>
      </c>
      <c r="G1004" t="s">
        <v>18564</v>
      </c>
      <c r="H1004"/>
      <c r="I1004" t="s">
        <v>18</v>
      </c>
      <c r="J1004" t="s">
        <v>229</v>
      </c>
      <c r="K1004" t="s">
        <v>230</v>
      </c>
      <c r="L1004" t="s">
        <v>21</v>
      </c>
      <c r="M1004" t="s">
        <v>19177</v>
      </c>
      <c r="N1004" t="s">
        <v>16374</v>
      </c>
      <c r="O1004" t="s">
        <v>272</v>
      </c>
      <c r="P1004" t="s">
        <v>114</v>
      </c>
    </row>
    <row r="1005">
      <c r="A1005">
        <f>HYPERLINK("http://bombeiros.sp.gov.br/hidrantes/03individual/1888.html","1888")</f>
      </c>
      <c r="B1005" t="s">
        <v>114</v>
      </c>
      <c r="C1005" t="s">
        <v>222</v>
      </c>
      <c r="D1005" t="s">
        <v>223</v>
      </c>
      <c r="E1005" t="s">
        <v>15</v>
      </c>
      <c r="F1005" t="s">
        <v>4020</v>
      </c>
      <c r="G1005" t="s">
        <v>18533</v>
      </c>
      <c r="H1005" t="s">
        <v>1107</v>
      </c>
      <c r="I1005" t="s">
        <v>1108</v>
      </c>
      <c r="J1005" t="s">
        <v>4021</v>
      </c>
      <c r="K1005" t="s">
        <v>4022</v>
      </c>
      <c r="L1005" t="s">
        <v>21</v>
      </c>
      <c r="M1005" t="s">
        <v>19177</v>
      </c>
      <c r="N1005" t="s">
        <v>16374</v>
      </c>
      <c r="O1005" t="s">
        <v>272</v>
      </c>
      <c r="P1005" t="s">
        <v>114</v>
      </c>
    </row>
    <row r="1006">
      <c r="A1006">
        <f>HYPERLINK("http://bombeiros.sp.gov.br/hidrantes/03individual/1890.html","1890")</f>
      </c>
      <c r="B1006" t="s">
        <v>114</v>
      </c>
      <c r="C1006" t="s">
        <v>222</v>
      </c>
      <c r="D1006" t="s">
        <v>223</v>
      </c>
      <c r="E1006" t="s">
        <v>15</v>
      </c>
      <c r="F1006" t="s">
        <v>4023</v>
      </c>
      <c r="G1006" t="s">
        <v>18564</v>
      </c>
      <c r="H1006" t="s">
        <v>1121</v>
      </c>
      <c r="I1006" t="s">
        <v>1117</v>
      </c>
      <c r="J1006" t="s">
        <v>4024</v>
      </c>
      <c r="K1006" t="s">
        <v>4025</v>
      </c>
      <c r="L1006" t="s">
        <v>21</v>
      </c>
      <c r="M1006" t="s">
        <v>19177</v>
      </c>
      <c r="N1006" t="s">
        <v>16374</v>
      </c>
      <c r="O1006" t="s">
        <v>272</v>
      </c>
      <c r="P1006" t="s">
        <v>114</v>
      </c>
    </row>
    <row r="1007">
      <c r="A1007">
        <f>HYPERLINK("http://bombeiros.sp.gov.br/hidrantes/03individual/1892.html","1892")</f>
      </c>
      <c r="B1007" t="s">
        <v>114</v>
      </c>
      <c r="C1007" t="s">
        <v>222</v>
      </c>
      <c r="D1007" t="s">
        <v>223</v>
      </c>
      <c r="E1007" t="s">
        <v>15</v>
      </c>
      <c r="F1007" t="s">
        <v>4026</v>
      </c>
      <c r="G1007" t="s">
        <v>18072</v>
      </c>
      <c r="H1007" t="s">
        <v>1174</v>
      </c>
      <c r="I1007" t="s">
        <v>1117</v>
      </c>
      <c r="J1007" t="s">
        <v>4027</v>
      </c>
      <c r="K1007" t="s">
        <v>4028</v>
      </c>
      <c r="L1007" t="s">
        <v>21</v>
      </c>
      <c r="M1007" t="s">
        <v>19177</v>
      </c>
      <c r="N1007" t="s">
        <v>16374</v>
      </c>
      <c r="O1007" t="s">
        <v>272</v>
      </c>
      <c r="P1007" t="s">
        <v>114</v>
      </c>
    </row>
    <row r="1008">
      <c r="A1008">
        <f>HYPERLINK("http://bombeiros.sp.gov.br/hidrantes/03individual/1913.html","1913")</f>
      </c>
      <c r="B1008" t="s">
        <v>114</v>
      </c>
      <c r="C1008" t="s">
        <v>222</v>
      </c>
      <c r="D1008" t="s">
        <v>223</v>
      </c>
      <c r="E1008" t="s">
        <v>15</v>
      </c>
      <c r="F1008" t="s">
        <v>4029</v>
      </c>
      <c r="G1008" t="s">
        <v>18098</v>
      </c>
      <c r="H1008" t="s">
        <v>1107</v>
      </c>
      <c r="I1008" t="s">
        <v>1108</v>
      </c>
      <c r="J1008" t="s">
        <v>4030</v>
      </c>
      <c r="K1008" t="s">
        <v>4031</v>
      </c>
      <c r="L1008" t="s">
        <v>21</v>
      </c>
      <c r="M1008" t="s">
        <v>19177</v>
      </c>
      <c r="N1008" t="s">
        <v>16374</v>
      </c>
      <c r="O1008" t="s">
        <v>272</v>
      </c>
      <c r="P1008" t="s">
        <v>114</v>
      </c>
    </row>
    <row r="1009">
      <c r="A1009">
        <f>HYPERLINK("http://bombeiros.sp.gov.br/hidrantes/03individual/1935.html","1935")</f>
      </c>
      <c r="B1009" t="s">
        <v>114</v>
      </c>
      <c r="C1009" t="s">
        <v>222</v>
      </c>
      <c r="D1009" t="s">
        <v>223</v>
      </c>
      <c r="E1009" t="s">
        <v>15</v>
      </c>
      <c r="F1009" t="s">
        <v>4032</v>
      </c>
      <c r="G1009" t="s">
        <v>18042</v>
      </c>
      <c r="H1009" t="s">
        <v>1112</v>
      </c>
      <c r="I1009" t="s">
        <v>1108</v>
      </c>
      <c r="J1009" t="s">
        <v>4033</v>
      </c>
      <c r="K1009" t="s">
        <v>4034</v>
      </c>
      <c r="L1009" t="s">
        <v>21</v>
      </c>
      <c r="M1009" t="s">
        <v>19177</v>
      </c>
      <c r="N1009" t="s">
        <v>16374</v>
      </c>
      <c r="O1009" t="s">
        <v>272</v>
      </c>
      <c r="P1009" t="s">
        <v>114</v>
      </c>
    </row>
    <row r="1010">
      <c r="A1010">
        <f>HYPERLINK("http://bombeiros.sp.gov.br/hidrantes/03individual/1949.html","1949")</f>
      </c>
      <c r="B1010" t="s">
        <v>114</v>
      </c>
      <c r="C1010" t="s">
        <v>222</v>
      </c>
      <c r="D1010" t="s">
        <v>223</v>
      </c>
      <c r="E1010" t="s">
        <v>15</v>
      </c>
      <c r="F1010" t="s">
        <v>231</v>
      </c>
      <c r="G1010" t="s">
        <v>18042</v>
      </c>
      <c r="H1010" t="s">
        <v>1121</v>
      </c>
      <c r="I1010" t="s">
        <v>1117</v>
      </c>
      <c r="J1010" t="s">
        <v>16840</v>
      </c>
      <c r="K1010" t="s">
        <v>16841</v>
      </c>
      <c r="L1010" t="s">
        <v>21</v>
      </c>
      <c r="M1010" t="s">
        <v>19177</v>
      </c>
      <c r="N1010" t="s">
        <v>16374</v>
      </c>
      <c r="O1010" t="s">
        <v>272</v>
      </c>
      <c r="P1010" t="s">
        <v>114</v>
      </c>
    </row>
    <row r="1011">
      <c r="A1011">
        <f>HYPERLINK("http://bombeiros.sp.gov.br/hidrantes/03individual/4164.html","4164")</f>
      </c>
      <c r="B1011" t="s">
        <v>114</v>
      </c>
      <c r="C1011" t="s">
        <v>222</v>
      </c>
      <c r="D1011" t="s">
        <v>223</v>
      </c>
      <c r="E1011" t="s">
        <v>15</v>
      </c>
      <c r="F1011" t="s">
        <v>4035</v>
      </c>
      <c r="G1011" t="s">
        <v>18098</v>
      </c>
      <c r="H1011"/>
      <c r="I1011" t="s">
        <v>18</v>
      </c>
      <c r="J1011" t="s">
        <v>4036</v>
      </c>
      <c r="K1011" t="s">
        <v>4037</v>
      </c>
      <c r="L1011" t="s">
        <v>21</v>
      </c>
      <c r="M1011" t="s">
        <v>19177</v>
      </c>
      <c r="N1011" t="s">
        <v>16374</v>
      </c>
      <c r="O1011" t="s">
        <v>272</v>
      </c>
      <c r="P1011" t="s">
        <v>114</v>
      </c>
    </row>
    <row r="1012">
      <c r="A1012">
        <f>HYPERLINK("http://bombeiros.sp.gov.br/hidrantes/03individual/4165.html","4165")</f>
      </c>
      <c r="B1012" t="s">
        <v>114</v>
      </c>
      <c r="C1012" t="s">
        <v>222</v>
      </c>
      <c r="D1012" t="s">
        <v>223</v>
      </c>
      <c r="E1012" t="s">
        <v>15</v>
      </c>
      <c r="F1012" t="s">
        <v>4038</v>
      </c>
      <c r="G1012" t="s">
        <v>18098</v>
      </c>
      <c r="H1012" t="s">
        <v>1107</v>
      </c>
      <c r="I1012" t="s">
        <v>1108</v>
      </c>
      <c r="J1012" t="s">
        <v>4039</v>
      </c>
      <c r="K1012" t="s">
        <v>4040</v>
      </c>
      <c r="L1012" t="s">
        <v>21</v>
      </c>
      <c r="M1012" t="s">
        <v>19177</v>
      </c>
      <c r="N1012" t="s">
        <v>16374</v>
      </c>
      <c r="O1012" t="s">
        <v>272</v>
      </c>
      <c r="P1012" t="s">
        <v>114</v>
      </c>
    </row>
    <row r="1013">
      <c r="A1013">
        <f>HYPERLINK("http://bombeiros.sp.gov.br/hidrantes/03individual/17746.html","17746")</f>
      </c>
      <c r="B1013" t="s">
        <v>114</v>
      </c>
      <c r="C1013" t="s">
        <v>222</v>
      </c>
      <c r="D1013" t="s">
        <v>223</v>
      </c>
      <c r="E1013" t="s">
        <v>15</v>
      </c>
      <c r="F1013" t="s">
        <v>4041</v>
      </c>
      <c r="G1013" t="s">
        <v>18098</v>
      </c>
      <c r="H1013" t="s">
        <v>1107</v>
      </c>
      <c r="I1013" t="s">
        <v>1108</v>
      </c>
      <c r="J1013" t="s">
        <v>4042</v>
      </c>
      <c r="K1013" t="s">
        <v>4043</v>
      </c>
      <c r="L1013" t="s">
        <v>21</v>
      </c>
      <c r="M1013" t="s">
        <v>19177</v>
      </c>
      <c r="N1013" t="s">
        <v>16374</v>
      </c>
      <c r="O1013" t="s">
        <v>272</v>
      </c>
      <c r="P1013" t="s">
        <v>114</v>
      </c>
    </row>
    <row r="1014">
      <c r="A1014">
        <f>HYPERLINK("http://bombeiros.sp.gov.br/hidrantes/03individual/17877.html","17877")</f>
      </c>
      <c r="B1014" t="s">
        <v>114</v>
      </c>
      <c r="C1014" t="s">
        <v>222</v>
      </c>
      <c r="D1014" t="s">
        <v>223</v>
      </c>
      <c r="E1014" t="s">
        <v>15</v>
      </c>
      <c r="F1014" t="s">
        <v>4044</v>
      </c>
      <c r="G1014" t="s">
        <v>18564</v>
      </c>
      <c r="H1014" t="s">
        <v>1112</v>
      </c>
      <c r="I1014" t="s">
        <v>1108</v>
      </c>
      <c r="J1014" t="s">
        <v>4045</v>
      </c>
      <c r="K1014" t="s">
        <v>4046</v>
      </c>
      <c r="L1014" t="s">
        <v>21</v>
      </c>
      <c r="M1014" t="s">
        <v>19177</v>
      </c>
      <c r="N1014" t="s">
        <v>16374</v>
      </c>
      <c r="O1014" t="s">
        <v>272</v>
      </c>
      <c r="P1014" t="s">
        <v>114</v>
      </c>
    </row>
    <row r="1015">
      <c r="A1015">
        <f>HYPERLINK("http://bombeiros.sp.gov.br/hidrantes/03individual/2969.html","2969")</f>
      </c>
      <c r="B1015" t="s">
        <v>114</v>
      </c>
      <c r="C1015" t="s">
        <v>222</v>
      </c>
      <c r="D1015" t="s">
        <v>234</v>
      </c>
      <c r="E1015" t="s">
        <v>64</v>
      </c>
      <c r="F1015" t="s">
        <v>4047</v>
      </c>
      <c r="G1015" t="s">
        <v>18524</v>
      </c>
      <c r="H1015" t="s">
        <v>1112</v>
      </c>
      <c r="I1015" t="s">
        <v>1108</v>
      </c>
      <c r="J1015" t="s">
        <v>4048</v>
      </c>
      <c r="K1015" t="s">
        <v>4049</v>
      </c>
      <c r="L1015" t="s">
        <v>21</v>
      </c>
      <c r="M1015" t="s">
        <v>19177</v>
      </c>
      <c r="N1015" t="s">
        <v>16374</v>
      </c>
      <c r="O1015" t="s">
        <v>272</v>
      </c>
      <c r="P1015" t="s">
        <v>114</v>
      </c>
    </row>
    <row r="1016">
      <c r="A1016">
        <f>HYPERLINK("http://bombeiros.sp.gov.br/hidrantes/03individual/4418.html","4418")</f>
      </c>
      <c r="B1016" t="s">
        <v>114</v>
      </c>
      <c r="C1016" t="s">
        <v>222</v>
      </c>
      <c r="D1016" t="s">
        <v>234</v>
      </c>
      <c r="E1016" t="s">
        <v>64</v>
      </c>
      <c r="F1016" t="s">
        <v>4050</v>
      </c>
      <c r="G1016" t="s">
        <v>18533</v>
      </c>
      <c r="H1016" t="s">
        <v>1112</v>
      </c>
      <c r="I1016" t="s">
        <v>1108</v>
      </c>
      <c r="J1016" t="s">
        <v>4051</v>
      </c>
      <c r="K1016" t="s">
        <v>4052</v>
      </c>
      <c r="L1016" t="s">
        <v>21</v>
      </c>
      <c r="M1016" t="s">
        <v>19177</v>
      </c>
      <c r="N1016" t="s">
        <v>16374</v>
      </c>
      <c r="O1016" t="s">
        <v>272</v>
      </c>
      <c r="P1016" t="s">
        <v>114</v>
      </c>
    </row>
    <row r="1017">
      <c r="A1017">
        <f>HYPERLINK("http://bombeiros.sp.gov.br/hidrantes/03individual/5525.html","5525")</f>
      </c>
      <c r="B1017" t="s">
        <v>114</v>
      </c>
      <c r="C1017" t="s">
        <v>222</v>
      </c>
      <c r="D1017" t="s">
        <v>234</v>
      </c>
      <c r="E1017" t="s">
        <v>64</v>
      </c>
      <c r="F1017" t="s">
        <v>4053</v>
      </c>
      <c r="G1017" t="s">
        <v>18134</v>
      </c>
      <c r="H1017" t="s">
        <v>1107</v>
      </c>
      <c r="I1017" t="s">
        <v>1108</v>
      </c>
      <c r="J1017" t="s">
        <v>16459</v>
      </c>
      <c r="K1017" t="s">
        <v>16460</v>
      </c>
      <c r="L1017" t="s">
        <v>21</v>
      </c>
      <c r="M1017" t="s">
        <v>19177</v>
      </c>
      <c r="N1017" t="s">
        <v>16374</v>
      </c>
      <c r="O1017" t="s">
        <v>272</v>
      </c>
      <c r="P1017" t="s">
        <v>114</v>
      </c>
    </row>
    <row r="1018">
      <c r="A1018">
        <f>HYPERLINK("http://bombeiros.sp.gov.br/hidrantes/03individual/5609.html","5609")</f>
      </c>
      <c r="B1018" t="s">
        <v>114</v>
      </c>
      <c r="C1018" t="s">
        <v>222</v>
      </c>
      <c r="D1018" t="s">
        <v>234</v>
      </c>
      <c r="E1018" t="s">
        <v>64</v>
      </c>
      <c r="F1018" t="s">
        <v>4056</v>
      </c>
      <c r="G1018" t="s">
        <v>18477</v>
      </c>
      <c r="H1018" t="s">
        <v>1112</v>
      </c>
      <c r="I1018" t="s">
        <v>1108</v>
      </c>
      <c r="J1018" t="s">
        <v>4057</v>
      </c>
      <c r="K1018" t="s">
        <v>4058</v>
      </c>
      <c r="L1018" t="s">
        <v>21</v>
      </c>
      <c r="M1018" t="s">
        <v>19177</v>
      </c>
      <c r="N1018" t="s">
        <v>16374</v>
      </c>
      <c r="O1018" t="s">
        <v>272</v>
      </c>
      <c r="P1018" t="s">
        <v>114</v>
      </c>
    </row>
    <row r="1019">
      <c r="A1019">
        <f>HYPERLINK("http://bombeiros.sp.gov.br/hidrantes/03individual/1046.html","1046")</f>
      </c>
      <c r="B1019" t="s">
        <v>114</v>
      </c>
      <c r="C1019" t="s">
        <v>222</v>
      </c>
      <c r="D1019" t="s">
        <v>234</v>
      </c>
      <c r="E1019" t="s">
        <v>15</v>
      </c>
      <c r="F1019" t="s">
        <v>4059</v>
      </c>
      <c r="G1019" t="s">
        <v>18564</v>
      </c>
      <c r="H1019" t="s">
        <v>1112</v>
      </c>
      <c r="I1019" t="s">
        <v>1108</v>
      </c>
      <c r="J1019" t="s">
        <v>4060</v>
      </c>
      <c r="K1019" t="s">
        <v>4061</v>
      </c>
      <c r="L1019" t="s">
        <v>21</v>
      </c>
      <c r="M1019" t="s">
        <v>19177</v>
      </c>
      <c r="N1019" t="s">
        <v>16374</v>
      </c>
      <c r="O1019" t="s">
        <v>272</v>
      </c>
      <c r="P1019" t="s">
        <v>114</v>
      </c>
    </row>
    <row r="1020">
      <c r="A1020">
        <f>HYPERLINK("http://bombeiros.sp.gov.br/hidrantes/03individual/1874.html","1874")</f>
      </c>
      <c r="B1020" t="s">
        <v>114</v>
      </c>
      <c r="C1020" t="s">
        <v>222</v>
      </c>
      <c r="D1020" t="s">
        <v>234</v>
      </c>
      <c r="E1020" t="s">
        <v>15</v>
      </c>
      <c r="F1020" t="s">
        <v>4062</v>
      </c>
      <c r="G1020" t="s">
        <v>18046</v>
      </c>
      <c r="H1020" t="s">
        <v>1112</v>
      </c>
      <c r="I1020" t="s">
        <v>1108</v>
      </c>
      <c r="J1020" t="s">
        <v>4063</v>
      </c>
      <c r="K1020" t="s">
        <v>4064</v>
      </c>
      <c r="L1020" t="s">
        <v>21</v>
      </c>
      <c r="M1020" t="s">
        <v>19177</v>
      </c>
      <c r="N1020" t="s">
        <v>16374</v>
      </c>
      <c r="O1020" t="s">
        <v>272</v>
      </c>
      <c r="P1020" t="s">
        <v>114</v>
      </c>
    </row>
    <row r="1021">
      <c r="A1021">
        <f>HYPERLINK("http://bombeiros.sp.gov.br/hidrantes/03individual/1955.html","1955")</f>
      </c>
      <c r="B1021" t="s">
        <v>114</v>
      </c>
      <c r="C1021" t="s">
        <v>222</v>
      </c>
      <c r="D1021" t="s">
        <v>234</v>
      </c>
      <c r="E1021" t="s">
        <v>15</v>
      </c>
      <c r="F1021" t="s">
        <v>4065</v>
      </c>
      <c r="G1021" t="s">
        <v>18134</v>
      </c>
      <c r="H1021" t="s">
        <v>1107</v>
      </c>
      <c r="I1021" t="s">
        <v>1108</v>
      </c>
      <c r="J1021" t="s">
        <v>4066</v>
      </c>
      <c r="K1021" t="s">
        <v>4067</v>
      </c>
      <c r="L1021" t="s">
        <v>21</v>
      </c>
      <c r="M1021" t="s">
        <v>19177</v>
      </c>
      <c r="N1021" t="s">
        <v>16374</v>
      </c>
      <c r="O1021" t="s">
        <v>272</v>
      </c>
      <c r="P1021" t="s">
        <v>114</v>
      </c>
    </row>
    <row r="1022">
      <c r="A1022">
        <f>HYPERLINK("http://bombeiros.sp.gov.br/hidrantes/03individual/1957.html","1957")</f>
      </c>
      <c r="B1022" t="s">
        <v>114</v>
      </c>
      <c r="C1022" t="s">
        <v>222</v>
      </c>
      <c r="D1022" t="s">
        <v>234</v>
      </c>
      <c r="E1022" t="s">
        <v>15</v>
      </c>
      <c r="F1022" t="s">
        <v>235</v>
      </c>
      <c r="G1022" t="s">
        <v>18089</v>
      </c>
      <c r="H1022" t="s">
        <v>1121</v>
      </c>
      <c r="I1022" t="s">
        <v>1117</v>
      </c>
      <c r="J1022" t="s">
        <v>236</v>
      </c>
      <c r="K1022" t="s">
        <v>237</v>
      </c>
      <c r="L1022" t="s">
        <v>21</v>
      </c>
      <c r="M1022" t="s">
        <v>19177</v>
      </c>
      <c r="N1022" t="s">
        <v>16374</v>
      </c>
      <c r="O1022" t="s">
        <v>272</v>
      </c>
      <c r="P1022" t="s">
        <v>114</v>
      </c>
    </row>
    <row r="1023">
      <c r="A1023">
        <f>HYPERLINK("http://bombeiros.sp.gov.br/hidrantes/03individual/17739.html","17739")</f>
      </c>
      <c r="B1023" t="s">
        <v>114</v>
      </c>
      <c r="C1023" t="s">
        <v>222</v>
      </c>
      <c r="D1023" t="s">
        <v>234</v>
      </c>
      <c r="E1023" t="s">
        <v>15</v>
      </c>
      <c r="F1023" t="s">
        <v>4068</v>
      </c>
      <c r="G1023" t="s">
        <v>18089</v>
      </c>
      <c r="H1023" t="s">
        <v>1112</v>
      </c>
      <c r="I1023" t="s">
        <v>1108</v>
      </c>
      <c r="J1023" t="s">
        <v>4069</v>
      </c>
      <c r="K1023" t="s">
        <v>4070</v>
      </c>
      <c r="L1023" t="s">
        <v>21</v>
      </c>
      <c r="M1023" t="s">
        <v>19177</v>
      </c>
      <c r="N1023" t="s">
        <v>16374</v>
      </c>
      <c r="O1023" t="s">
        <v>272</v>
      </c>
      <c r="P1023" t="s">
        <v>114</v>
      </c>
    </row>
    <row r="1024">
      <c r="A1024">
        <f>HYPERLINK("http://bombeiros.sp.gov.br/hidrantes/03individual/17740.html","17740")</f>
      </c>
      <c r="B1024" t="s">
        <v>114</v>
      </c>
      <c r="C1024" t="s">
        <v>222</v>
      </c>
      <c r="D1024" t="s">
        <v>234</v>
      </c>
      <c r="E1024" t="s">
        <v>15</v>
      </c>
      <c r="F1024" t="s">
        <v>4071</v>
      </c>
      <c r="G1024" t="s">
        <v>18046</v>
      </c>
      <c r="H1024" t="s">
        <v>1112</v>
      </c>
      <c r="I1024" t="s">
        <v>1108</v>
      </c>
      <c r="J1024" t="s">
        <v>4072</v>
      </c>
      <c r="K1024" t="s">
        <v>4073</v>
      </c>
      <c r="L1024" t="s">
        <v>21</v>
      </c>
      <c r="M1024" t="s">
        <v>19177</v>
      </c>
      <c r="N1024" t="s">
        <v>16374</v>
      </c>
      <c r="O1024" t="s">
        <v>272</v>
      </c>
      <c r="P1024" t="s">
        <v>114</v>
      </c>
    </row>
    <row r="1025">
      <c r="A1025">
        <f>HYPERLINK("http://bombeiros.sp.gov.br/hidrantes/03individual/968.html","968")</f>
      </c>
      <c r="B1025" t="s">
        <v>114</v>
      </c>
      <c r="C1025" t="s">
        <v>222</v>
      </c>
      <c r="D1025" t="s">
        <v>238</v>
      </c>
      <c r="E1025" t="s">
        <v>64</v>
      </c>
      <c r="F1025" t="s">
        <v>4074</v>
      </c>
      <c r="G1025" t="s">
        <v>18564</v>
      </c>
      <c r="H1025" t="s">
        <v>1112</v>
      </c>
      <c r="I1025" t="s">
        <v>1108</v>
      </c>
      <c r="J1025" t="s">
        <v>4075</v>
      </c>
      <c r="K1025" t="s">
        <v>4076</v>
      </c>
      <c r="L1025" t="s">
        <v>21</v>
      </c>
      <c r="M1025" t="s">
        <v>19177</v>
      </c>
      <c r="N1025" t="s">
        <v>16374</v>
      </c>
      <c r="O1025" t="s">
        <v>272</v>
      </c>
      <c r="P1025" t="s">
        <v>114</v>
      </c>
    </row>
    <row r="1026">
      <c r="A1026">
        <f>HYPERLINK("http://bombeiros.sp.gov.br/hidrantes/03individual/969.html","969")</f>
      </c>
      <c r="B1026" t="s">
        <v>114</v>
      </c>
      <c r="C1026" t="s">
        <v>222</v>
      </c>
      <c r="D1026" t="s">
        <v>238</v>
      </c>
      <c r="E1026" t="s">
        <v>64</v>
      </c>
      <c r="F1026" t="s">
        <v>4077</v>
      </c>
      <c r="G1026" t="s">
        <v>18084</v>
      </c>
      <c r="H1026" t="s">
        <v>1112</v>
      </c>
      <c r="I1026" t="s">
        <v>1108</v>
      </c>
      <c r="J1026" t="s">
        <v>4078</v>
      </c>
      <c r="K1026" t="s">
        <v>4079</v>
      </c>
      <c r="L1026" t="s">
        <v>21</v>
      </c>
      <c r="M1026" t="s">
        <v>19177</v>
      </c>
      <c r="N1026" t="s">
        <v>16374</v>
      </c>
      <c r="O1026" t="s">
        <v>272</v>
      </c>
      <c r="P1026" t="s">
        <v>114</v>
      </c>
    </row>
    <row r="1027">
      <c r="A1027">
        <f>HYPERLINK("http://bombeiros.sp.gov.br/hidrantes/03individual/2001.html","2001")</f>
      </c>
      <c r="B1027" t="s">
        <v>114</v>
      </c>
      <c r="C1027" t="s">
        <v>222</v>
      </c>
      <c r="D1027" t="s">
        <v>238</v>
      </c>
      <c r="E1027" t="s">
        <v>64</v>
      </c>
      <c r="F1027" t="s">
        <v>239</v>
      </c>
      <c r="G1027" t="s">
        <v>18539</v>
      </c>
      <c r="H1027"/>
      <c r="I1027" t="s">
        <v>18</v>
      </c>
      <c r="J1027" t="s">
        <v>240</v>
      </c>
      <c r="K1027" t="s">
        <v>241</v>
      </c>
      <c r="L1027" t="s">
        <v>21</v>
      </c>
      <c r="M1027" t="s">
        <v>19177</v>
      </c>
      <c r="N1027" t="s">
        <v>272</v>
      </c>
      <c r="O1027" t="s">
        <v>272</v>
      </c>
      <c r="P1027" t="s">
        <v>114</v>
      </c>
    </row>
    <row r="1028">
      <c r="A1028">
        <f>HYPERLINK("http://bombeiros.sp.gov.br/hidrantes/03individual/3359.html","3359")</f>
      </c>
      <c r="B1028" t="s">
        <v>114</v>
      </c>
      <c r="C1028" t="s">
        <v>222</v>
      </c>
      <c r="D1028" t="s">
        <v>238</v>
      </c>
      <c r="E1028" t="s">
        <v>64</v>
      </c>
      <c r="F1028" t="s">
        <v>4080</v>
      </c>
      <c r="G1028" t="s">
        <v>18558</v>
      </c>
      <c r="H1028" t="s">
        <v>1121</v>
      </c>
      <c r="I1028" t="s">
        <v>1117</v>
      </c>
      <c r="J1028" t="s">
        <v>4081</v>
      </c>
      <c r="K1028" t="s">
        <v>4082</v>
      </c>
      <c r="L1028" t="s">
        <v>36</v>
      </c>
      <c r="M1028" t="s">
        <v>19177</v>
      </c>
      <c r="N1028" t="s">
        <v>16374</v>
      </c>
      <c r="O1028" t="s">
        <v>272</v>
      </c>
      <c r="P1028" t="s">
        <v>114</v>
      </c>
    </row>
    <row r="1029">
      <c r="A1029">
        <f>HYPERLINK("http://bombeiros.sp.gov.br/hidrantes/03individual/3398.html","3398")</f>
      </c>
      <c r="B1029" t="s">
        <v>114</v>
      </c>
      <c r="C1029" t="s">
        <v>222</v>
      </c>
      <c r="D1029" t="s">
        <v>238</v>
      </c>
      <c r="E1029" t="s">
        <v>64</v>
      </c>
      <c r="F1029" t="s">
        <v>4083</v>
      </c>
      <c r="G1029" t="s">
        <v>18539</v>
      </c>
      <c r="H1029" t="s">
        <v>1112</v>
      </c>
      <c r="I1029" t="s">
        <v>1108</v>
      </c>
      <c r="J1029" t="s">
        <v>4084</v>
      </c>
      <c r="K1029" t="s">
        <v>4085</v>
      </c>
      <c r="L1029" t="s">
        <v>21</v>
      </c>
      <c r="M1029" t="s">
        <v>19177</v>
      </c>
      <c r="N1029" t="s">
        <v>272</v>
      </c>
      <c r="O1029" t="s">
        <v>272</v>
      </c>
      <c r="P1029" t="s">
        <v>114</v>
      </c>
    </row>
    <row r="1030">
      <c r="A1030">
        <f>HYPERLINK("http://bombeiros.sp.gov.br/hidrantes/03individual/3400.html","3400")</f>
      </c>
      <c r="B1030" t="s">
        <v>114</v>
      </c>
      <c r="C1030" t="s">
        <v>222</v>
      </c>
      <c r="D1030" t="s">
        <v>238</v>
      </c>
      <c r="E1030" t="s">
        <v>64</v>
      </c>
      <c r="F1030" t="s">
        <v>4086</v>
      </c>
      <c r="G1030" t="s">
        <v>18494</v>
      </c>
      <c r="H1030" t="s">
        <v>1107</v>
      </c>
      <c r="I1030" t="s">
        <v>1108</v>
      </c>
      <c r="J1030" t="s">
        <v>4087</v>
      </c>
      <c r="K1030" t="s">
        <v>4088</v>
      </c>
      <c r="L1030" t="s">
        <v>21</v>
      </c>
      <c r="M1030" t="s">
        <v>19177</v>
      </c>
      <c r="N1030" t="s">
        <v>272</v>
      </c>
      <c r="O1030" t="s">
        <v>272</v>
      </c>
      <c r="P1030" t="s">
        <v>114</v>
      </c>
    </row>
    <row r="1031">
      <c r="A1031">
        <f>HYPERLINK("http://bombeiros.sp.gov.br/hidrantes/03individual/27083.html","27083")</f>
      </c>
      <c r="B1031" t="s">
        <v>114</v>
      </c>
      <c r="C1031" t="s">
        <v>222</v>
      </c>
      <c r="D1031" t="s">
        <v>238</v>
      </c>
      <c r="E1031" t="s">
        <v>64</v>
      </c>
      <c r="F1031" t="s">
        <v>16722</v>
      </c>
      <c r="G1031" t="s">
        <v>18050</v>
      </c>
      <c r="H1031" t="s">
        <v>1112</v>
      </c>
      <c r="I1031" t="s">
        <v>1108</v>
      </c>
      <c r="J1031" t="s">
        <v>16723</v>
      </c>
      <c r="K1031" t="s">
        <v>16724</v>
      </c>
      <c r="L1031" t="s">
        <v>21</v>
      </c>
      <c r="M1031" t="s">
        <v>19177</v>
      </c>
      <c r="N1031" t="s">
        <v>16374</v>
      </c>
      <c r="O1031" t="s">
        <v>272</v>
      </c>
      <c r="P1031" t="s">
        <v>114</v>
      </c>
    </row>
    <row r="1032">
      <c r="A1032">
        <f>HYPERLINK("http://bombeiros.sp.gov.br/hidrantes/03individual/27902.html","27902")</f>
      </c>
      <c r="B1032" t="s">
        <v>114</v>
      </c>
      <c r="C1032" t="s">
        <v>222</v>
      </c>
      <c r="D1032" t="s">
        <v>238</v>
      </c>
      <c r="E1032" t="s">
        <v>64</v>
      </c>
      <c r="F1032" t="s">
        <v>17930</v>
      </c>
      <c r="G1032" t="s">
        <v>18494</v>
      </c>
      <c r="H1032" t="s">
        <v>1112</v>
      </c>
      <c r="I1032" t="s">
        <v>1108</v>
      </c>
      <c r="J1032" t="s">
        <v>17931</v>
      </c>
      <c r="K1032" t="s">
        <v>18278</v>
      </c>
      <c r="L1032" t="s">
        <v>21</v>
      </c>
      <c r="M1032" t="s">
        <v>19177</v>
      </c>
      <c r="N1032" t="s">
        <v>272</v>
      </c>
      <c r="O1032" t="s">
        <v>272</v>
      </c>
      <c r="P1032" t="s">
        <v>114</v>
      </c>
    </row>
    <row r="1033">
      <c r="A1033">
        <f>HYPERLINK("http://bombeiros.sp.gov.br/hidrantes/03individual/28325.html","28325")</f>
      </c>
      <c r="B1033" t="s">
        <v>114</v>
      </c>
      <c r="C1033" t="s">
        <v>222</v>
      </c>
      <c r="D1033" t="s">
        <v>238</v>
      </c>
      <c r="E1033" t="s">
        <v>64</v>
      </c>
      <c r="F1033" t="s">
        <v>18575</v>
      </c>
      <c r="G1033"/>
      <c r="H1033"/>
      <c r="I1033" t="s">
        <v>1503</v>
      </c>
      <c r="J1033" t="s">
        <v>18576</v>
      </c>
      <c r="K1033" t="s">
        <v>18577</v>
      </c>
      <c r="L1033" t="s">
        <v>21</v>
      </c>
      <c r="M1033" t="s">
        <v>19177</v>
      </c>
      <c r="N1033" t="s">
        <v>272</v>
      </c>
      <c r="O1033" t="s">
        <v>272</v>
      </c>
      <c r="P1033" t="s">
        <v>114</v>
      </c>
    </row>
    <row r="1034">
      <c r="A1034">
        <f>HYPERLINK("http://bombeiros.sp.gov.br/hidrantes/03individual/2003.html","2003")</f>
      </c>
      <c r="B1034" t="s">
        <v>114</v>
      </c>
      <c r="C1034" t="s">
        <v>222</v>
      </c>
      <c r="D1034" t="s">
        <v>238</v>
      </c>
      <c r="E1034" t="s">
        <v>15</v>
      </c>
      <c r="F1034" t="s">
        <v>4089</v>
      </c>
      <c r="G1034" t="s">
        <v>18082</v>
      </c>
      <c r="H1034" t="s">
        <v>1112</v>
      </c>
      <c r="I1034" t="s">
        <v>1108</v>
      </c>
      <c r="J1034" t="s">
        <v>4090</v>
      </c>
      <c r="K1034" t="s">
        <v>4091</v>
      </c>
      <c r="L1034" t="s">
        <v>21</v>
      </c>
      <c r="M1034" t="s">
        <v>19177</v>
      </c>
      <c r="N1034" t="s">
        <v>16374</v>
      </c>
      <c r="O1034" t="s">
        <v>272</v>
      </c>
      <c r="P1034" t="s">
        <v>114</v>
      </c>
    </row>
    <row r="1035">
      <c r="A1035">
        <f>HYPERLINK("http://bombeiros.sp.gov.br/hidrantes/03individual/2017.html","2017")</f>
      </c>
      <c r="B1035" t="s">
        <v>114</v>
      </c>
      <c r="C1035" t="s">
        <v>222</v>
      </c>
      <c r="D1035" t="s">
        <v>238</v>
      </c>
      <c r="E1035" t="s">
        <v>15</v>
      </c>
      <c r="F1035" t="s">
        <v>4092</v>
      </c>
      <c r="G1035" t="s">
        <v>18098</v>
      </c>
      <c r="H1035" t="s">
        <v>1107</v>
      </c>
      <c r="I1035" t="s">
        <v>1108</v>
      </c>
      <c r="J1035" t="s">
        <v>4093</v>
      </c>
      <c r="K1035" t="s">
        <v>4094</v>
      </c>
      <c r="L1035" t="s">
        <v>21</v>
      </c>
      <c r="M1035" t="s">
        <v>19177</v>
      </c>
      <c r="N1035" t="s">
        <v>272</v>
      </c>
      <c r="O1035" t="s">
        <v>272</v>
      </c>
      <c r="P1035" t="s">
        <v>114</v>
      </c>
    </row>
    <row r="1036">
      <c r="A1036">
        <f>HYPERLINK("http://bombeiros.sp.gov.br/hidrantes/03individual/3355.html","3355")</f>
      </c>
      <c r="B1036" t="s">
        <v>114</v>
      </c>
      <c r="C1036" t="s">
        <v>222</v>
      </c>
      <c r="D1036" t="s">
        <v>238</v>
      </c>
      <c r="E1036" t="s">
        <v>15</v>
      </c>
      <c r="F1036" t="s">
        <v>4095</v>
      </c>
      <c r="G1036" t="s">
        <v>18558</v>
      </c>
      <c r="H1036" t="s">
        <v>1112</v>
      </c>
      <c r="I1036" t="s">
        <v>1108</v>
      </c>
      <c r="J1036" t="s">
        <v>4096</v>
      </c>
      <c r="K1036" t="s">
        <v>4097</v>
      </c>
      <c r="L1036" t="s">
        <v>21</v>
      </c>
      <c r="M1036" t="s">
        <v>19177</v>
      </c>
      <c r="N1036" t="s">
        <v>16374</v>
      </c>
      <c r="O1036" t="s">
        <v>272</v>
      </c>
      <c r="P1036" t="s">
        <v>114</v>
      </c>
    </row>
    <row r="1037">
      <c r="A1037">
        <f>HYPERLINK("http://bombeiros.sp.gov.br/hidrantes/03individual/3360.html","3360")</f>
      </c>
      <c r="B1037" t="s">
        <v>114</v>
      </c>
      <c r="C1037" t="s">
        <v>222</v>
      </c>
      <c r="D1037" t="s">
        <v>238</v>
      </c>
      <c r="E1037" t="s">
        <v>15</v>
      </c>
      <c r="F1037" t="s">
        <v>4098</v>
      </c>
      <c r="G1037" t="s">
        <v>18062</v>
      </c>
      <c r="H1037" t="s">
        <v>1121</v>
      </c>
      <c r="I1037" t="s">
        <v>1117</v>
      </c>
      <c r="J1037" t="s">
        <v>4099</v>
      </c>
      <c r="K1037" t="s">
        <v>4100</v>
      </c>
      <c r="L1037" t="s">
        <v>21</v>
      </c>
      <c r="M1037" t="s">
        <v>19177</v>
      </c>
      <c r="N1037" t="s">
        <v>16374</v>
      </c>
      <c r="O1037" t="s">
        <v>272</v>
      </c>
      <c r="P1037" t="s">
        <v>114</v>
      </c>
    </row>
    <row r="1038">
      <c r="A1038">
        <f>HYPERLINK("http://bombeiros.sp.gov.br/hidrantes/03individual/850.html","850")</f>
      </c>
      <c r="B1038" t="s">
        <v>114</v>
      </c>
      <c r="C1038" t="s">
        <v>242</v>
      </c>
      <c r="D1038" t="s">
        <v>242</v>
      </c>
      <c r="E1038" t="s">
        <v>64</v>
      </c>
      <c r="F1038" t="s">
        <v>4101</v>
      </c>
      <c r="G1038" t="s">
        <v>18091</v>
      </c>
      <c r="H1038" t="s">
        <v>1121</v>
      </c>
      <c r="I1038" t="s">
        <v>1117</v>
      </c>
      <c r="J1038" t="s">
        <v>4102</v>
      </c>
      <c r="K1038" t="s">
        <v>4103</v>
      </c>
      <c r="L1038" t="s">
        <v>21</v>
      </c>
      <c r="M1038" t="s">
        <v>19177</v>
      </c>
      <c r="N1038" t="s">
        <v>272</v>
      </c>
      <c r="O1038" t="s">
        <v>272</v>
      </c>
      <c r="P1038" t="s">
        <v>114</v>
      </c>
    </row>
    <row r="1039">
      <c r="A1039">
        <f>HYPERLINK("http://bombeiros.sp.gov.br/hidrantes/03individual/852.html","852")</f>
      </c>
      <c r="B1039" t="s">
        <v>114</v>
      </c>
      <c r="C1039" t="s">
        <v>242</v>
      </c>
      <c r="D1039" t="s">
        <v>242</v>
      </c>
      <c r="E1039" t="s">
        <v>64</v>
      </c>
      <c r="F1039" t="s">
        <v>243</v>
      </c>
      <c r="G1039" t="s">
        <v>18043</v>
      </c>
      <c r="H1039"/>
      <c r="I1039" t="s">
        <v>18</v>
      </c>
      <c r="J1039" t="s">
        <v>245</v>
      </c>
      <c r="K1039" t="s">
        <v>246</v>
      </c>
      <c r="L1039" t="s">
        <v>36</v>
      </c>
      <c r="M1039" t="s">
        <v>19177</v>
      </c>
      <c r="N1039" t="s">
        <v>272</v>
      </c>
      <c r="O1039" t="s">
        <v>272</v>
      </c>
      <c r="P1039" t="s">
        <v>114</v>
      </c>
    </row>
    <row r="1040">
      <c r="A1040">
        <f>HYPERLINK("http://bombeiros.sp.gov.br/hidrantes/03individual/853.html","853")</f>
      </c>
      <c r="B1040" t="s">
        <v>114</v>
      </c>
      <c r="C1040" t="s">
        <v>242</v>
      </c>
      <c r="D1040" t="s">
        <v>242</v>
      </c>
      <c r="E1040" t="s">
        <v>64</v>
      </c>
      <c r="F1040" t="s">
        <v>4104</v>
      </c>
      <c r="G1040" t="s">
        <v>18043</v>
      </c>
      <c r="H1040" t="s">
        <v>1112</v>
      </c>
      <c r="I1040" t="s">
        <v>1108</v>
      </c>
      <c r="J1040" t="s">
        <v>4105</v>
      </c>
      <c r="K1040" t="s">
        <v>4106</v>
      </c>
      <c r="L1040" t="s">
        <v>36</v>
      </c>
      <c r="M1040" t="s">
        <v>19177</v>
      </c>
      <c r="N1040" t="s">
        <v>272</v>
      </c>
      <c r="O1040" t="s">
        <v>272</v>
      </c>
      <c r="P1040" t="s">
        <v>114</v>
      </c>
    </row>
    <row r="1041">
      <c r="A1041">
        <f>HYPERLINK("http://bombeiros.sp.gov.br/hidrantes/03individual/859.html","859")</f>
      </c>
      <c r="B1041" t="s">
        <v>114</v>
      </c>
      <c r="C1041" t="s">
        <v>242</v>
      </c>
      <c r="D1041" t="s">
        <v>242</v>
      </c>
      <c r="E1041" t="s">
        <v>64</v>
      </c>
      <c r="F1041" t="s">
        <v>4107</v>
      </c>
      <c r="G1041" t="s">
        <v>18190</v>
      </c>
      <c r="H1041" t="s">
        <v>1112</v>
      </c>
      <c r="I1041" t="s">
        <v>1108</v>
      </c>
      <c r="J1041" t="s">
        <v>4108</v>
      </c>
      <c r="K1041" t="s">
        <v>4109</v>
      </c>
      <c r="L1041" t="s">
        <v>21</v>
      </c>
      <c r="M1041" t="s">
        <v>19177</v>
      </c>
      <c r="N1041" t="s">
        <v>272</v>
      </c>
      <c r="O1041" t="s">
        <v>272</v>
      </c>
      <c r="P1041" t="s">
        <v>114</v>
      </c>
    </row>
    <row r="1042">
      <c r="A1042">
        <f>HYPERLINK("http://bombeiros.sp.gov.br/hidrantes/03individual/860.html","860")</f>
      </c>
      <c r="B1042" t="s">
        <v>114</v>
      </c>
      <c r="C1042" t="s">
        <v>242</v>
      </c>
      <c r="D1042" t="s">
        <v>242</v>
      </c>
      <c r="E1042" t="s">
        <v>64</v>
      </c>
      <c r="F1042" t="s">
        <v>4110</v>
      </c>
      <c r="G1042" t="s">
        <v>18055</v>
      </c>
      <c r="H1042" t="s">
        <v>1112</v>
      </c>
      <c r="I1042" t="s">
        <v>1108</v>
      </c>
      <c r="J1042" t="s">
        <v>4111</v>
      </c>
      <c r="K1042" t="s">
        <v>4112</v>
      </c>
      <c r="L1042" t="s">
        <v>36</v>
      </c>
      <c r="M1042" t="s">
        <v>19177</v>
      </c>
      <c r="N1042" t="s">
        <v>272</v>
      </c>
      <c r="O1042" t="s">
        <v>272</v>
      </c>
      <c r="P1042" t="s">
        <v>114</v>
      </c>
    </row>
    <row r="1043">
      <c r="A1043">
        <f>HYPERLINK("http://bombeiros.sp.gov.br/hidrantes/03individual/861.html","861")</f>
      </c>
      <c r="B1043" t="s">
        <v>114</v>
      </c>
      <c r="C1043" t="s">
        <v>242</v>
      </c>
      <c r="D1043" t="s">
        <v>242</v>
      </c>
      <c r="E1043" t="s">
        <v>64</v>
      </c>
      <c r="F1043" t="s">
        <v>4113</v>
      </c>
      <c r="G1043" t="s">
        <v>18091</v>
      </c>
      <c r="H1043" t="s">
        <v>1112</v>
      </c>
      <c r="I1043" t="s">
        <v>1108</v>
      </c>
      <c r="J1043" t="s">
        <v>4114</v>
      </c>
      <c r="K1043" t="s">
        <v>4115</v>
      </c>
      <c r="L1043" t="s">
        <v>36</v>
      </c>
      <c r="M1043" t="s">
        <v>19177</v>
      </c>
      <c r="N1043" t="s">
        <v>272</v>
      </c>
      <c r="O1043" t="s">
        <v>272</v>
      </c>
      <c r="P1043" t="s">
        <v>114</v>
      </c>
    </row>
    <row r="1044">
      <c r="A1044">
        <f>HYPERLINK("http://bombeiros.sp.gov.br/hidrantes/03individual/862.html","862")</f>
      </c>
      <c r="B1044" t="s">
        <v>114</v>
      </c>
      <c r="C1044" t="s">
        <v>242</v>
      </c>
      <c r="D1044" t="s">
        <v>242</v>
      </c>
      <c r="E1044" t="s">
        <v>64</v>
      </c>
      <c r="F1044" t="s">
        <v>4116</v>
      </c>
      <c r="G1044" t="s">
        <v>18055</v>
      </c>
      <c r="H1044" t="s">
        <v>1112</v>
      </c>
      <c r="I1044" t="s">
        <v>1108</v>
      </c>
      <c r="J1044" t="s">
        <v>4117</v>
      </c>
      <c r="K1044" t="s">
        <v>4118</v>
      </c>
      <c r="L1044" t="s">
        <v>36</v>
      </c>
      <c r="M1044" t="s">
        <v>19177</v>
      </c>
      <c r="N1044" t="s">
        <v>272</v>
      </c>
      <c r="O1044" t="s">
        <v>272</v>
      </c>
      <c r="P1044" t="s">
        <v>114</v>
      </c>
    </row>
    <row r="1045">
      <c r="A1045">
        <f>HYPERLINK("http://bombeiros.sp.gov.br/hidrantes/03individual/864.html","864")</f>
      </c>
      <c r="B1045" t="s">
        <v>114</v>
      </c>
      <c r="C1045" t="s">
        <v>242</v>
      </c>
      <c r="D1045" t="s">
        <v>242</v>
      </c>
      <c r="E1045" t="s">
        <v>64</v>
      </c>
      <c r="F1045" t="s">
        <v>4119</v>
      </c>
      <c r="G1045" t="s">
        <v>18043</v>
      </c>
      <c r="H1045" t="s">
        <v>1121</v>
      </c>
      <c r="I1045" t="s">
        <v>1117</v>
      </c>
      <c r="J1045" t="s">
        <v>4120</v>
      </c>
      <c r="K1045" t="s">
        <v>4121</v>
      </c>
      <c r="L1045" t="s">
        <v>21</v>
      </c>
      <c r="M1045" t="s">
        <v>19177</v>
      </c>
      <c r="N1045" t="s">
        <v>272</v>
      </c>
      <c r="O1045" t="s">
        <v>272</v>
      </c>
      <c r="P1045" t="s">
        <v>114</v>
      </c>
    </row>
    <row r="1046">
      <c r="A1046">
        <f>HYPERLINK("http://bombeiros.sp.gov.br/hidrantes/03individual/893.html","893")</f>
      </c>
      <c r="B1046" t="s">
        <v>114</v>
      </c>
      <c r="C1046" t="s">
        <v>242</v>
      </c>
      <c r="D1046" t="s">
        <v>242</v>
      </c>
      <c r="E1046" t="s">
        <v>64</v>
      </c>
      <c r="F1046" t="s">
        <v>4122</v>
      </c>
      <c r="G1046" t="s">
        <v>18050</v>
      </c>
      <c r="H1046" t="s">
        <v>1112</v>
      </c>
      <c r="I1046" t="s">
        <v>1108</v>
      </c>
      <c r="J1046" t="s">
        <v>4123</v>
      </c>
      <c r="K1046" t="s">
        <v>4124</v>
      </c>
      <c r="L1046" t="s">
        <v>21</v>
      </c>
      <c r="M1046" t="s">
        <v>19177</v>
      </c>
      <c r="N1046" t="s">
        <v>272</v>
      </c>
      <c r="O1046" t="s">
        <v>272</v>
      </c>
      <c r="P1046" t="s">
        <v>114</v>
      </c>
    </row>
    <row r="1047">
      <c r="A1047">
        <f>HYPERLINK("http://bombeiros.sp.gov.br/hidrantes/03individual/897.html","897")</f>
      </c>
      <c r="B1047" t="s">
        <v>114</v>
      </c>
      <c r="C1047" t="s">
        <v>242</v>
      </c>
      <c r="D1047" t="s">
        <v>242</v>
      </c>
      <c r="E1047" t="s">
        <v>64</v>
      </c>
      <c r="F1047" t="s">
        <v>4125</v>
      </c>
      <c r="G1047" t="s">
        <v>18055</v>
      </c>
      <c r="H1047" t="s">
        <v>1121</v>
      </c>
      <c r="I1047" t="s">
        <v>1117</v>
      </c>
      <c r="J1047" t="s">
        <v>4126</v>
      </c>
      <c r="K1047" t="s">
        <v>4127</v>
      </c>
      <c r="L1047" t="s">
        <v>21</v>
      </c>
      <c r="M1047" t="s">
        <v>19177</v>
      </c>
      <c r="N1047" t="s">
        <v>272</v>
      </c>
      <c r="O1047" t="s">
        <v>272</v>
      </c>
      <c r="P1047" t="s">
        <v>114</v>
      </c>
    </row>
    <row r="1048">
      <c r="A1048">
        <f>HYPERLINK("http://bombeiros.sp.gov.br/hidrantes/03individual/899.html","899")</f>
      </c>
      <c r="B1048" t="s">
        <v>114</v>
      </c>
      <c r="C1048" t="s">
        <v>242</v>
      </c>
      <c r="D1048" t="s">
        <v>242</v>
      </c>
      <c r="E1048" t="s">
        <v>64</v>
      </c>
      <c r="F1048" t="s">
        <v>4128</v>
      </c>
      <c r="G1048" t="s">
        <v>18105</v>
      </c>
      <c r="H1048" t="s">
        <v>1121</v>
      </c>
      <c r="I1048" t="s">
        <v>1117</v>
      </c>
      <c r="J1048" t="s">
        <v>4129</v>
      </c>
      <c r="K1048" t="s">
        <v>4130</v>
      </c>
      <c r="L1048" t="s">
        <v>21</v>
      </c>
      <c r="M1048" t="s">
        <v>19177</v>
      </c>
      <c r="N1048" t="s">
        <v>272</v>
      </c>
      <c r="O1048" t="s">
        <v>272</v>
      </c>
      <c r="P1048" t="s">
        <v>114</v>
      </c>
    </row>
    <row r="1049">
      <c r="A1049">
        <f>HYPERLINK("http://bombeiros.sp.gov.br/hidrantes/03individual/909.html","909")</f>
      </c>
      <c r="B1049" t="s">
        <v>114</v>
      </c>
      <c r="C1049" t="s">
        <v>242</v>
      </c>
      <c r="D1049" t="s">
        <v>242</v>
      </c>
      <c r="E1049" t="s">
        <v>64</v>
      </c>
      <c r="F1049" t="s">
        <v>4131</v>
      </c>
      <c r="G1049" t="s">
        <v>18091</v>
      </c>
      <c r="H1049" t="s">
        <v>1112</v>
      </c>
      <c r="I1049" t="s">
        <v>1108</v>
      </c>
      <c r="J1049" t="s">
        <v>4132</v>
      </c>
      <c r="K1049" t="s">
        <v>4133</v>
      </c>
      <c r="L1049" t="s">
        <v>36</v>
      </c>
      <c r="M1049" t="s">
        <v>19177</v>
      </c>
      <c r="N1049" t="s">
        <v>272</v>
      </c>
      <c r="O1049" t="s">
        <v>272</v>
      </c>
      <c r="P1049" t="s">
        <v>114</v>
      </c>
    </row>
    <row r="1050">
      <c r="A1050">
        <f>HYPERLINK("http://bombeiros.sp.gov.br/hidrantes/03individual/923.html","923")</f>
      </c>
      <c r="B1050" t="s">
        <v>114</v>
      </c>
      <c r="C1050" t="s">
        <v>242</v>
      </c>
      <c r="D1050" t="s">
        <v>242</v>
      </c>
      <c r="E1050" t="s">
        <v>64</v>
      </c>
      <c r="F1050" t="s">
        <v>4134</v>
      </c>
      <c r="G1050" t="s">
        <v>18190</v>
      </c>
      <c r="H1050" t="s">
        <v>1112</v>
      </c>
      <c r="I1050" t="s">
        <v>1108</v>
      </c>
      <c r="J1050" t="s">
        <v>4135</v>
      </c>
      <c r="K1050" t="s">
        <v>4136</v>
      </c>
      <c r="L1050" t="s">
        <v>21</v>
      </c>
      <c r="M1050" t="s">
        <v>19177</v>
      </c>
      <c r="N1050" t="s">
        <v>272</v>
      </c>
      <c r="O1050" t="s">
        <v>272</v>
      </c>
      <c r="P1050" t="s">
        <v>114</v>
      </c>
    </row>
    <row r="1051">
      <c r="A1051">
        <f>HYPERLINK("http://bombeiros.sp.gov.br/hidrantes/03individual/927.html","927")</f>
      </c>
      <c r="B1051" t="s">
        <v>114</v>
      </c>
      <c r="C1051" t="s">
        <v>242</v>
      </c>
      <c r="D1051" t="s">
        <v>242</v>
      </c>
      <c r="E1051" t="s">
        <v>64</v>
      </c>
      <c r="F1051" t="s">
        <v>4137</v>
      </c>
      <c r="G1051" t="s">
        <v>18105</v>
      </c>
      <c r="H1051" t="s">
        <v>1121</v>
      </c>
      <c r="I1051" t="s">
        <v>1117</v>
      </c>
      <c r="J1051" t="s">
        <v>4138</v>
      </c>
      <c r="K1051" t="s">
        <v>4139</v>
      </c>
      <c r="L1051" t="s">
        <v>36</v>
      </c>
      <c r="M1051" t="s">
        <v>19177</v>
      </c>
      <c r="N1051" t="s">
        <v>272</v>
      </c>
      <c r="O1051" t="s">
        <v>272</v>
      </c>
      <c r="P1051" t="s">
        <v>114</v>
      </c>
    </row>
    <row r="1052">
      <c r="A1052">
        <f>HYPERLINK("http://bombeiros.sp.gov.br/hidrantes/03individual/931.html","931")</f>
      </c>
      <c r="B1052" t="s">
        <v>114</v>
      </c>
      <c r="C1052" t="s">
        <v>242</v>
      </c>
      <c r="D1052" t="s">
        <v>242</v>
      </c>
      <c r="E1052" t="s">
        <v>64</v>
      </c>
      <c r="F1052" t="s">
        <v>4140</v>
      </c>
      <c r="G1052" t="s">
        <v>18105</v>
      </c>
      <c r="H1052" t="s">
        <v>1121</v>
      </c>
      <c r="I1052" t="s">
        <v>1117</v>
      </c>
      <c r="J1052" t="s">
        <v>4141</v>
      </c>
      <c r="K1052" t="s">
        <v>4142</v>
      </c>
      <c r="L1052" t="s">
        <v>21</v>
      </c>
      <c r="M1052" t="s">
        <v>19177</v>
      </c>
      <c r="N1052" t="s">
        <v>272</v>
      </c>
      <c r="O1052" t="s">
        <v>272</v>
      </c>
      <c r="P1052" t="s">
        <v>114</v>
      </c>
    </row>
    <row r="1053">
      <c r="A1053">
        <f>HYPERLINK("http://bombeiros.sp.gov.br/hidrantes/03individual/933.html","933")</f>
      </c>
      <c r="B1053" t="s">
        <v>114</v>
      </c>
      <c r="C1053" t="s">
        <v>242</v>
      </c>
      <c r="D1053" t="s">
        <v>242</v>
      </c>
      <c r="E1053" t="s">
        <v>64</v>
      </c>
      <c r="F1053" t="s">
        <v>4143</v>
      </c>
      <c r="G1053" t="s">
        <v>18094</v>
      </c>
      <c r="H1053" t="s">
        <v>1121</v>
      </c>
      <c r="I1053" t="s">
        <v>1117</v>
      </c>
      <c r="J1053" t="s">
        <v>4144</v>
      </c>
      <c r="K1053" t="s">
        <v>4145</v>
      </c>
      <c r="L1053" t="s">
        <v>36</v>
      </c>
      <c r="M1053" t="s">
        <v>19177</v>
      </c>
      <c r="N1053" t="s">
        <v>272</v>
      </c>
      <c r="O1053" t="s">
        <v>272</v>
      </c>
      <c r="P1053" t="s">
        <v>114</v>
      </c>
    </row>
    <row r="1054">
      <c r="A1054">
        <f>HYPERLINK("http://bombeiros.sp.gov.br/hidrantes/03individual/941.html","941")</f>
      </c>
      <c r="B1054" t="s">
        <v>114</v>
      </c>
      <c r="C1054" t="s">
        <v>242</v>
      </c>
      <c r="D1054" t="s">
        <v>242</v>
      </c>
      <c r="E1054" t="s">
        <v>64</v>
      </c>
      <c r="F1054" t="s">
        <v>4146</v>
      </c>
      <c r="G1054" t="s">
        <v>18094</v>
      </c>
      <c r="H1054" t="s">
        <v>1112</v>
      </c>
      <c r="I1054" t="s">
        <v>1108</v>
      </c>
      <c r="J1054" t="s">
        <v>4147</v>
      </c>
      <c r="K1054" t="s">
        <v>4148</v>
      </c>
      <c r="L1054" t="s">
        <v>36</v>
      </c>
      <c r="M1054" t="s">
        <v>19177</v>
      </c>
      <c r="N1054" t="s">
        <v>272</v>
      </c>
      <c r="O1054" t="s">
        <v>272</v>
      </c>
      <c r="P1054" t="s">
        <v>114</v>
      </c>
    </row>
    <row r="1055">
      <c r="A1055">
        <f>HYPERLINK("http://bombeiros.sp.gov.br/hidrantes/03individual/966.html","966")</f>
      </c>
      <c r="B1055" t="s">
        <v>114</v>
      </c>
      <c r="C1055" t="s">
        <v>242</v>
      </c>
      <c r="D1055" t="s">
        <v>242</v>
      </c>
      <c r="E1055" t="s">
        <v>64</v>
      </c>
      <c r="F1055" t="s">
        <v>4149</v>
      </c>
      <c r="G1055" t="s">
        <v>18099</v>
      </c>
      <c r="H1055" t="s">
        <v>1121</v>
      </c>
      <c r="I1055" t="s">
        <v>1117</v>
      </c>
      <c r="J1055" t="s">
        <v>4150</v>
      </c>
      <c r="K1055" t="s">
        <v>4151</v>
      </c>
      <c r="L1055" t="s">
        <v>36</v>
      </c>
      <c r="M1055" t="s">
        <v>19177</v>
      </c>
      <c r="N1055" t="s">
        <v>272</v>
      </c>
      <c r="O1055" t="s">
        <v>272</v>
      </c>
      <c r="P1055" t="s">
        <v>114</v>
      </c>
    </row>
    <row r="1056">
      <c r="A1056">
        <f>HYPERLINK("http://bombeiros.sp.gov.br/hidrantes/03individual/992.html","992")</f>
      </c>
      <c r="B1056" t="s">
        <v>114</v>
      </c>
      <c r="C1056" t="s">
        <v>242</v>
      </c>
      <c r="D1056" t="s">
        <v>242</v>
      </c>
      <c r="E1056" t="s">
        <v>64</v>
      </c>
      <c r="F1056" t="s">
        <v>4152</v>
      </c>
      <c r="G1056" t="s">
        <v>18069</v>
      </c>
      <c r="H1056" t="s">
        <v>1121</v>
      </c>
      <c r="I1056" t="s">
        <v>1117</v>
      </c>
      <c r="J1056" t="s">
        <v>4153</v>
      </c>
      <c r="K1056" t="s">
        <v>4154</v>
      </c>
      <c r="L1056" t="s">
        <v>21</v>
      </c>
      <c r="M1056" t="s">
        <v>19177</v>
      </c>
      <c r="N1056" t="s">
        <v>272</v>
      </c>
      <c r="O1056" t="s">
        <v>272</v>
      </c>
      <c r="P1056" t="s">
        <v>114</v>
      </c>
    </row>
    <row r="1057">
      <c r="A1057">
        <f>HYPERLINK("http://bombeiros.sp.gov.br/hidrantes/03individual/995.html","995")</f>
      </c>
      <c r="B1057" t="s">
        <v>114</v>
      </c>
      <c r="C1057" t="s">
        <v>242</v>
      </c>
      <c r="D1057" t="s">
        <v>242</v>
      </c>
      <c r="E1057" t="s">
        <v>64</v>
      </c>
      <c r="F1057" t="s">
        <v>4155</v>
      </c>
      <c r="G1057" t="s">
        <v>18090</v>
      </c>
      <c r="H1057" t="s">
        <v>1121</v>
      </c>
      <c r="I1057" t="s">
        <v>1117</v>
      </c>
      <c r="J1057" t="s">
        <v>4156</v>
      </c>
      <c r="K1057" t="s">
        <v>4157</v>
      </c>
      <c r="L1057" t="s">
        <v>21</v>
      </c>
      <c r="M1057" t="s">
        <v>19177</v>
      </c>
      <c r="N1057" t="s">
        <v>272</v>
      </c>
      <c r="O1057" t="s">
        <v>272</v>
      </c>
      <c r="P1057" t="s">
        <v>114</v>
      </c>
    </row>
    <row r="1058">
      <c r="A1058">
        <f>HYPERLINK("http://bombeiros.sp.gov.br/hidrantes/03individual/1003.html","1003")</f>
      </c>
      <c r="B1058" t="s">
        <v>114</v>
      </c>
      <c r="C1058" t="s">
        <v>242</v>
      </c>
      <c r="D1058" t="s">
        <v>242</v>
      </c>
      <c r="E1058" t="s">
        <v>64</v>
      </c>
      <c r="F1058" t="s">
        <v>4158</v>
      </c>
      <c r="G1058" t="s">
        <v>18099</v>
      </c>
      <c r="H1058" t="s">
        <v>1121</v>
      </c>
      <c r="I1058" t="s">
        <v>1117</v>
      </c>
      <c r="J1058" t="s">
        <v>4159</v>
      </c>
      <c r="K1058" t="s">
        <v>4160</v>
      </c>
      <c r="L1058" t="s">
        <v>21</v>
      </c>
      <c r="M1058" t="s">
        <v>19177</v>
      </c>
      <c r="N1058" t="s">
        <v>272</v>
      </c>
      <c r="O1058" t="s">
        <v>272</v>
      </c>
      <c r="P1058" t="s">
        <v>114</v>
      </c>
    </row>
    <row r="1059">
      <c r="A1059">
        <f>HYPERLINK("http://bombeiros.sp.gov.br/hidrantes/03individual/2011.html","2011")</f>
      </c>
      <c r="B1059" t="s">
        <v>114</v>
      </c>
      <c r="C1059" t="s">
        <v>242</v>
      </c>
      <c r="D1059" t="s">
        <v>242</v>
      </c>
      <c r="E1059" t="s">
        <v>64</v>
      </c>
      <c r="F1059" t="s">
        <v>4161</v>
      </c>
      <c r="G1059" t="s">
        <v>18069</v>
      </c>
      <c r="H1059" t="s">
        <v>1121</v>
      </c>
      <c r="I1059" t="s">
        <v>1117</v>
      </c>
      <c r="J1059" t="s">
        <v>4162</v>
      </c>
      <c r="K1059" t="s">
        <v>4163</v>
      </c>
      <c r="L1059" t="s">
        <v>21</v>
      </c>
      <c r="M1059" t="s">
        <v>19177</v>
      </c>
      <c r="N1059" t="s">
        <v>272</v>
      </c>
      <c r="O1059" t="s">
        <v>272</v>
      </c>
      <c r="P1059" t="s">
        <v>114</v>
      </c>
    </row>
    <row r="1060">
      <c r="A1060">
        <f>HYPERLINK("http://bombeiros.sp.gov.br/hidrantes/03individual/3446.html","3446")</f>
      </c>
      <c r="B1060" t="s">
        <v>114</v>
      </c>
      <c r="C1060" t="s">
        <v>242</v>
      </c>
      <c r="D1060" t="s">
        <v>242</v>
      </c>
      <c r="E1060" t="s">
        <v>64</v>
      </c>
      <c r="F1060" t="s">
        <v>4164</v>
      </c>
      <c r="G1060" t="s">
        <v>18099</v>
      </c>
      <c r="H1060"/>
      <c r="I1060" t="s">
        <v>18</v>
      </c>
      <c r="J1060" t="s">
        <v>4165</v>
      </c>
      <c r="K1060" t="s">
        <v>4166</v>
      </c>
      <c r="L1060" t="s">
        <v>21</v>
      </c>
      <c r="M1060" t="s">
        <v>19177</v>
      </c>
      <c r="N1060" t="s">
        <v>272</v>
      </c>
      <c r="O1060" t="s">
        <v>272</v>
      </c>
      <c r="P1060" t="s">
        <v>114</v>
      </c>
    </row>
    <row r="1061">
      <c r="A1061">
        <f>HYPERLINK("http://bombeiros.sp.gov.br/hidrantes/03individual/3451.html","3451")</f>
      </c>
      <c r="B1061" t="s">
        <v>114</v>
      </c>
      <c r="C1061" t="s">
        <v>242</v>
      </c>
      <c r="D1061" t="s">
        <v>242</v>
      </c>
      <c r="E1061" t="s">
        <v>64</v>
      </c>
      <c r="F1061" t="s">
        <v>4167</v>
      </c>
      <c r="G1061" t="s">
        <v>18107</v>
      </c>
      <c r="H1061" t="s">
        <v>1121</v>
      </c>
      <c r="I1061" t="s">
        <v>1117</v>
      </c>
      <c r="J1061" t="s">
        <v>4168</v>
      </c>
      <c r="K1061" t="s">
        <v>4169</v>
      </c>
      <c r="L1061" t="s">
        <v>21</v>
      </c>
      <c r="M1061" t="s">
        <v>19177</v>
      </c>
      <c r="N1061" t="s">
        <v>272</v>
      </c>
      <c r="O1061" t="s">
        <v>272</v>
      </c>
      <c r="P1061" t="s">
        <v>114</v>
      </c>
    </row>
    <row r="1062">
      <c r="A1062">
        <f>HYPERLINK("http://bombeiros.sp.gov.br/hidrantes/03individual/3466.html","3466")</f>
      </c>
      <c r="B1062" t="s">
        <v>114</v>
      </c>
      <c r="C1062" t="s">
        <v>242</v>
      </c>
      <c r="D1062" t="s">
        <v>242</v>
      </c>
      <c r="E1062" t="s">
        <v>64</v>
      </c>
      <c r="F1062" t="s">
        <v>4170</v>
      </c>
      <c r="G1062" t="s">
        <v>18105</v>
      </c>
      <c r="H1062" t="s">
        <v>1121</v>
      </c>
      <c r="I1062" t="s">
        <v>1117</v>
      </c>
      <c r="J1062" t="s">
        <v>4171</v>
      </c>
      <c r="K1062" t="s">
        <v>4172</v>
      </c>
      <c r="L1062" t="s">
        <v>21</v>
      </c>
      <c r="M1062" t="s">
        <v>19177</v>
      </c>
      <c r="N1062" t="s">
        <v>272</v>
      </c>
      <c r="O1062" t="s">
        <v>272</v>
      </c>
      <c r="P1062" t="s">
        <v>114</v>
      </c>
    </row>
    <row r="1063">
      <c r="A1063">
        <f>HYPERLINK("http://bombeiros.sp.gov.br/hidrantes/03individual/3467.html","3467")</f>
      </c>
      <c r="B1063" t="s">
        <v>114</v>
      </c>
      <c r="C1063" t="s">
        <v>242</v>
      </c>
      <c r="D1063" t="s">
        <v>242</v>
      </c>
      <c r="E1063" t="s">
        <v>64</v>
      </c>
      <c r="F1063" t="s">
        <v>4173</v>
      </c>
      <c r="G1063" t="s">
        <v>18069</v>
      </c>
      <c r="H1063" t="s">
        <v>1121</v>
      </c>
      <c r="I1063" t="s">
        <v>1117</v>
      </c>
      <c r="J1063" t="s">
        <v>4174</v>
      </c>
      <c r="K1063" t="s">
        <v>4175</v>
      </c>
      <c r="L1063" t="s">
        <v>36</v>
      </c>
      <c r="M1063" t="s">
        <v>19177</v>
      </c>
      <c r="N1063" t="s">
        <v>272</v>
      </c>
      <c r="O1063" t="s">
        <v>272</v>
      </c>
      <c r="P1063" t="s">
        <v>114</v>
      </c>
    </row>
    <row r="1064">
      <c r="A1064">
        <f>HYPERLINK("http://bombeiros.sp.gov.br/hidrantes/03individual/3839.html","3839")</f>
      </c>
      <c r="B1064" t="s">
        <v>114</v>
      </c>
      <c r="C1064" t="s">
        <v>242</v>
      </c>
      <c r="D1064" t="s">
        <v>242</v>
      </c>
      <c r="E1064" t="s">
        <v>64</v>
      </c>
      <c r="F1064" t="s">
        <v>4176</v>
      </c>
      <c r="G1064" t="s">
        <v>18069</v>
      </c>
      <c r="H1064" t="s">
        <v>1107</v>
      </c>
      <c r="I1064" t="s">
        <v>1108</v>
      </c>
      <c r="J1064" t="s">
        <v>4177</v>
      </c>
      <c r="K1064" t="s">
        <v>4178</v>
      </c>
      <c r="L1064" t="s">
        <v>21</v>
      </c>
      <c r="M1064" t="s">
        <v>19177</v>
      </c>
      <c r="N1064" t="s">
        <v>272</v>
      </c>
      <c r="O1064" t="s">
        <v>272</v>
      </c>
      <c r="P1064" t="s">
        <v>114</v>
      </c>
    </row>
    <row r="1065">
      <c r="A1065">
        <f>HYPERLINK("http://bombeiros.sp.gov.br/hidrantes/03individual/4223.html","4223")</f>
      </c>
      <c r="B1065" t="s">
        <v>114</v>
      </c>
      <c r="C1065" t="s">
        <v>242</v>
      </c>
      <c r="D1065" t="s">
        <v>242</v>
      </c>
      <c r="E1065" t="s">
        <v>64</v>
      </c>
      <c r="F1065" t="s">
        <v>4179</v>
      </c>
      <c r="G1065" t="s">
        <v>18099</v>
      </c>
      <c r="H1065" t="s">
        <v>1121</v>
      </c>
      <c r="I1065" t="s">
        <v>1117</v>
      </c>
      <c r="J1065" t="s">
        <v>4180</v>
      </c>
      <c r="K1065" t="s">
        <v>4181</v>
      </c>
      <c r="L1065" t="s">
        <v>21</v>
      </c>
      <c r="M1065" t="s">
        <v>19177</v>
      </c>
      <c r="N1065" t="s">
        <v>272</v>
      </c>
      <c r="O1065" t="s">
        <v>272</v>
      </c>
      <c r="P1065" t="s">
        <v>114</v>
      </c>
    </row>
    <row r="1066">
      <c r="A1066">
        <f>HYPERLINK("http://bombeiros.sp.gov.br/hidrantes/03individual/4312.html","4312")</f>
      </c>
      <c r="B1066" t="s">
        <v>114</v>
      </c>
      <c r="C1066" t="s">
        <v>242</v>
      </c>
      <c r="D1066" t="s">
        <v>242</v>
      </c>
      <c r="E1066" t="s">
        <v>64</v>
      </c>
      <c r="F1066" t="s">
        <v>4182</v>
      </c>
      <c r="G1066" t="s">
        <v>18105</v>
      </c>
      <c r="H1066"/>
      <c r="I1066" t="s">
        <v>18</v>
      </c>
      <c r="J1066" t="s">
        <v>4183</v>
      </c>
      <c r="K1066" t="s">
        <v>4184</v>
      </c>
      <c r="L1066" t="s">
        <v>36</v>
      </c>
      <c r="M1066" t="s">
        <v>19177</v>
      </c>
      <c r="N1066" t="s">
        <v>272</v>
      </c>
      <c r="O1066" t="s">
        <v>272</v>
      </c>
      <c r="P1066" t="s">
        <v>114</v>
      </c>
    </row>
    <row r="1067">
      <c r="A1067">
        <f>HYPERLINK("http://bombeiros.sp.gov.br/hidrantes/03individual/4317.html","4317")</f>
      </c>
      <c r="B1067" t="s">
        <v>114</v>
      </c>
      <c r="C1067" t="s">
        <v>242</v>
      </c>
      <c r="D1067" t="s">
        <v>242</v>
      </c>
      <c r="E1067" t="s">
        <v>64</v>
      </c>
      <c r="F1067" t="s">
        <v>4185</v>
      </c>
      <c r="G1067" t="s">
        <v>18066</v>
      </c>
      <c r="H1067" t="s">
        <v>1121</v>
      </c>
      <c r="I1067" t="s">
        <v>1117</v>
      </c>
      <c r="J1067" t="s">
        <v>4186</v>
      </c>
      <c r="K1067" t="s">
        <v>4187</v>
      </c>
      <c r="L1067" t="s">
        <v>21</v>
      </c>
      <c r="M1067" t="s">
        <v>19177</v>
      </c>
      <c r="N1067" t="s">
        <v>272</v>
      </c>
      <c r="O1067" t="s">
        <v>272</v>
      </c>
      <c r="P1067" t="s">
        <v>114</v>
      </c>
    </row>
    <row r="1068">
      <c r="A1068">
        <f>HYPERLINK("http://bombeiros.sp.gov.br/hidrantes/03individual/4431.html","4431")</f>
      </c>
      <c r="B1068" t="s">
        <v>114</v>
      </c>
      <c r="C1068" t="s">
        <v>242</v>
      </c>
      <c r="D1068" t="s">
        <v>242</v>
      </c>
      <c r="E1068" t="s">
        <v>64</v>
      </c>
      <c r="F1068" t="s">
        <v>4188</v>
      </c>
      <c r="G1068" t="s">
        <v>18043</v>
      </c>
      <c r="H1068" t="s">
        <v>1121</v>
      </c>
      <c r="I1068" t="s">
        <v>1117</v>
      </c>
      <c r="J1068" t="s">
        <v>4189</v>
      </c>
      <c r="K1068" t="s">
        <v>4190</v>
      </c>
      <c r="L1068" t="s">
        <v>21</v>
      </c>
      <c r="M1068" t="s">
        <v>19177</v>
      </c>
      <c r="N1068" t="s">
        <v>272</v>
      </c>
      <c r="O1068" t="s">
        <v>272</v>
      </c>
      <c r="P1068" t="s">
        <v>114</v>
      </c>
    </row>
    <row r="1069">
      <c r="A1069">
        <f>HYPERLINK("http://bombeiros.sp.gov.br/hidrantes/03individual/4437.html","4437")</f>
      </c>
      <c r="B1069" t="s">
        <v>114</v>
      </c>
      <c r="C1069" t="s">
        <v>242</v>
      </c>
      <c r="D1069" t="s">
        <v>242</v>
      </c>
      <c r="E1069" t="s">
        <v>64</v>
      </c>
      <c r="F1069" t="s">
        <v>4191</v>
      </c>
      <c r="G1069" t="s">
        <v>18065</v>
      </c>
      <c r="H1069" t="s">
        <v>1121</v>
      </c>
      <c r="I1069" t="s">
        <v>1117</v>
      </c>
      <c r="J1069" t="s">
        <v>4192</v>
      </c>
      <c r="K1069" t="s">
        <v>4193</v>
      </c>
      <c r="L1069" t="s">
        <v>21</v>
      </c>
      <c r="M1069" t="s">
        <v>19177</v>
      </c>
      <c r="N1069" t="s">
        <v>272</v>
      </c>
      <c r="O1069" t="s">
        <v>272</v>
      </c>
      <c r="P1069" t="s">
        <v>114</v>
      </c>
    </row>
    <row r="1070">
      <c r="A1070">
        <f>HYPERLINK("http://bombeiros.sp.gov.br/hidrantes/03individual/6779.html","6779")</f>
      </c>
      <c r="B1070" t="s">
        <v>114</v>
      </c>
      <c r="C1070" t="s">
        <v>242</v>
      </c>
      <c r="D1070" t="s">
        <v>242</v>
      </c>
      <c r="E1070" t="s">
        <v>64</v>
      </c>
      <c r="F1070" t="s">
        <v>4194</v>
      </c>
      <c r="G1070" t="s">
        <v>18099</v>
      </c>
      <c r="H1070" t="s">
        <v>1121</v>
      </c>
      <c r="I1070" t="s">
        <v>1117</v>
      </c>
      <c r="J1070" t="s">
        <v>4195</v>
      </c>
      <c r="K1070" t="s">
        <v>4196</v>
      </c>
      <c r="L1070" t="s">
        <v>36</v>
      </c>
      <c r="M1070" t="s">
        <v>19177</v>
      </c>
      <c r="N1070" t="s">
        <v>272</v>
      </c>
      <c r="O1070" t="s">
        <v>272</v>
      </c>
      <c r="P1070" t="s">
        <v>114</v>
      </c>
    </row>
    <row r="1071">
      <c r="A1071">
        <f>HYPERLINK("http://bombeiros.sp.gov.br/hidrantes/03individual/6780.html","6780")</f>
      </c>
      <c r="B1071" t="s">
        <v>114</v>
      </c>
      <c r="C1071" t="s">
        <v>242</v>
      </c>
      <c r="D1071" t="s">
        <v>242</v>
      </c>
      <c r="E1071" t="s">
        <v>64</v>
      </c>
      <c r="F1071" t="s">
        <v>4197</v>
      </c>
      <c r="G1071" t="s">
        <v>18107</v>
      </c>
      <c r="H1071" t="s">
        <v>1112</v>
      </c>
      <c r="I1071" t="s">
        <v>1108</v>
      </c>
      <c r="J1071" t="s">
        <v>4198</v>
      </c>
      <c r="K1071" t="s">
        <v>4199</v>
      </c>
      <c r="L1071" t="s">
        <v>36</v>
      </c>
      <c r="M1071" t="s">
        <v>19177</v>
      </c>
      <c r="N1071" t="s">
        <v>272</v>
      </c>
      <c r="O1071" t="s">
        <v>272</v>
      </c>
      <c r="P1071" t="s">
        <v>114</v>
      </c>
    </row>
    <row r="1072">
      <c r="A1072">
        <f>HYPERLINK("http://bombeiros.sp.gov.br/hidrantes/03individual/14929.html","14929")</f>
      </c>
      <c r="B1072" t="s">
        <v>114</v>
      </c>
      <c r="C1072" t="s">
        <v>242</v>
      </c>
      <c r="D1072" t="s">
        <v>242</v>
      </c>
      <c r="E1072" t="s">
        <v>64</v>
      </c>
      <c r="F1072" t="s">
        <v>4200</v>
      </c>
      <c r="G1072" t="s">
        <v>18094</v>
      </c>
      <c r="H1072" t="s">
        <v>1174</v>
      </c>
      <c r="I1072" t="s">
        <v>1117</v>
      </c>
      <c r="J1072" t="s">
        <v>4201</v>
      </c>
      <c r="K1072" t="s">
        <v>4202</v>
      </c>
      <c r="L1072" t="s">
        <v>21</v>
      </c>
      <c r="M1072" t="s">
        <v>19177</v>
      </c>
      <c r="N1072" t="s">
        <v>272</v>
      </c>
      <c r="O1072" t="s">
        <v>272</v>
      </c>
      <c r="P1072" t="s">
        <v>114</v>
      </c>
    </row>
    <row r="1073">
      <c r="A1073">
        <f>HYPERLINK("http://bombeiros.sp.gov.br/hidrantes/03individual/17787.html","17787")</f>
      </c>
      <c r="B1073" t="s">
        <v>114</v>
      </c>
      <c r="C1073" t="s">
        <v>242</v>
      </c>
      <c r="D1073" t="s">
        <v>242</v>
      </c>
      <c r="E1073" t="s">
        <v>64</v>
      </c>
      <c r="F1073" t="s">
        <v>4203</v>
      </c>
      <c r="G1073" t="s">
        <v>18090</v>
      </c>
      <c r="H1073" t="s">
        <v>1121</v>
      </c>
      <c r="I1073" t="s">
        <v>1117</v>
      </c>
      <c r="J1073" t="s">
        <v>4204</v>
      </c>
      <c r="K1073" t="s">
        <v>4205</v>
      </c>
      <c r="L1073" t="s">
        <v>21</v>
      </c>
      <c r="M1073" t="s">
        <v>19177</v>
      </c>
      <c r="N1073" t="s">
        <v>272</v>
      </c>
      <c r="O1073" t="s">
        <v>272</v>
      </c>
      <c r="P1073" t="s">
        <v>114</v>
      </c>
    </row>
    <row r="1074">
      <c r="A1074">
        <f>HYPERLINK("http://bombeiros.sp.gov.br/hidrantes/03individual/26872.html","26872")</f>
      </c>
      <c r="B1074" t="s">
        <v>114</v>
      </c>
      <c r="C1074" t="s">
        <v>242</v>
      </c>
      <c r="D1074" t="s">
        <v>242</v>
      </c>
      <c r="E1074" t="s">
        <v>64</v>
      </c>
      <c r="F1074" t="s">
        <v>16275</v>
      </c>
      <c r="G1074" t="s">
        <v>18099</v>
      </c>
      <c r="H1074" t="s">
        <v>1121</v>
      </c>
      <c r="I1074" t="s">
        <v>1117</v>
      </c>
      <c r="J1074" t="s">
        <v>16276</v>
      </c>
      <c r="K1074" t="s">
        <v>16277</v>
      </c>
      <c r="L1074" t="s">
        <v>21</v>
      </c>
      <c r="M1074" t="s">
        <v>19177</v>
      </c>
      <c r="N1074" t="s">
        <v>272</v>
      </c>
      <c r="O1074" t="s">
        <v>272</v>
      </c>
      <c r="P1074" t="s">
        <v>114</v>
      </c>
    </row>
    <row r="1075">
      <c r="A1075">
        <f>HYPERLINK("http://bombeiros.sp.gov.br/hidrantes/03individual/27080.html","27080")</f>
      </c>
      <c r="B1075" t="s">
        <v>114</v>
      </c>
      <c r="C1075" t="s">
        <v>242</v>
      </c>
      <c r="D1075" t="s">
        <v>242</v>
      </c>
      <c r="E1075" t="s">
        <v>64</v>
      </c>
      <c r="F1075" t="s">
        <v>16725</v>
      </c>
      <c r="G1075" t="s">
        <v>18129</v>
      </c>
      <c r="H1075" t="s">
        <v>1121</v>
      </c>
      <c r="I1075" t="s">
        <v>1117</v>
      </c>
      <c r="J1075" t="s">
        <v>16726</v>
      </c>
      <c r="K1075" t="s">
        <v>16727</v>
      </c>
      <c r="L1075" t="s">
        <v>21</v>
      </c>
      <c r="M1075" t="s">
        <v>19177</v>
      </c>
      <c r="N1075" t="s">
        <v>272</v>
      </c>
      <c r="O1075" t="s">
        <v>272</v>
      </c>
      <c r="P1075" t="s">
        <v>114</v>
      </c>
    </row>
    <row r="1076">
      <c r="A1076">
        <f>HYPERLINK("http://bombeiros.sp.gov.br/hidrantes/03individual/2050.html","2050")</f>
      </c>
      <c r="B1076" t="s">
        <v>114</v>
      </c>
      <c r="C1076" t="s">
        <v>242</v>
      </c>
      <c r="D1076" t="s">
        <v>242</v>
      </c>
      <c r="E1076" t="s">
        <v>15</v>
      </c>
      <c r="F1076" t="s">
        <v>4206</v>
      </c>
      <c r="G1076" t="s">
        <v>18090</v>
      </c>
      <c r="H1076" t="s">
        <v>1112</v>
      </c>
      <c r="I1076" t="s">
        <v>1108</v>
      </c>
      <c r="J1076" t="s">
        <v>4207</v>
      </c>
      <c r="K1076" t="s">
        <v>4208</v>
      </c>
      <c r="L1076" t="s">
        <v>36</v>
      </c>
      <c r="M1076" t="s">
        <v>19177</v>
      </c>
      <c r="N1076" t="s">
        <v>272</v>
      </c>
      <c r="O1076" t="s">
        <v>272</v>
      </c>
      <c r="P1076" t="s">
        <v>114</v>
      </c>
    </row>
    <row r="1077">
      <c r="A1077">
        <f>HYPERLINK("http://bombeiros.sp.gov.br/hidrantes/03individual/2068.html","2068")</f>
      </c>
      <c r="B1077" t="s">
        <v>114</v>
      </c>
      <c r="C1077" t="s">
        <v>242</v>
      </c>
      <c r="D1077" t="s">
        <v>242</v>
      </c>
      <c r="E1077" t="s">
        <v>15</v>
      </c>
      <c r="F1077" t="s">
        <v>4209</v>
      </c>
      <c r="G1077" t="s">
        <v>18129</v>
      </c>
      <c r="H1077" t="s">
        <v>1112</v>
      </c>
      <c r="I1077" t="s">
        <v>1108</v>
      </c>
      <c r="J1077" t="s">
        <v>4210</v>
      </c>
      <c r="K1077" t="s">
        <v>4211</v>
      </c>
      <c r="L1077" t="s">
        <v>36</v>
      </c>
      <c r="M1077" t="s">
        <v>19177</v>
      </c>
      <c r="N1077" t="s">
        <v>272</v>
      </c>
      <c r="O1077" t="s">
        <v>272</v>
      </c>
      <c r="P1077" t="s">
        <v>114</v>
      </c>
    </row>
    <row r="1078">
      <c r="A1078">
        <f>HYPERLINK("http://bombeiros.sp.gov.br/hidrantes/03individual/5595.html","5595")</f>
      </c>
      <c r="B1078" t="s">
        <v>114</v>
      </c>
      <c r="C1078" t="s">
        <v>242</v>
      </c>
      <c r="D1078" t="s">
        <v>242</v>
      </c>
      <c r="E1078" t="s">
        <v>15</v>
      </c>
      <c r="F1078" t="s">
        <v>4212</v>
      </c>
      <c r="G1078" t="s">
        <v>18094</v>
      </c>
      <c r="H1078" t="s">
        <v>1112</v>
      </c>
      <c r="I1078" t="s">
        <v>1108</v>
      </c>
      <c r="J1078" t="s">
        <v>4213</v>
      </c>
      <c r="K1078" t="s">
        <v>4214</v>
      </c>
      <c r="L1078" t="s">
        <v>21</v>
      </c>
      <c r="M1078" t="s">
        <v>19177</v>
      </c>
      <c r="N1078" t="s">
        <v>272</v>
      </c>
      <c r="O1078" t="s">
        <v>272</v>
      </c>
      <c r="P1078" t="s">
        <v>114</v>
      </c>
    </row>
    <row r="1079">
      <c r="A1079">
        <f>HYPERLINK("http://bombeiros.sp.gov.br/hidrantes/03individual/17786.html","17786")</f>
      </c>
      <c r="B1079" t="s">
        <v>114</v>
      </c>
      <c r="C1079" t="s">
        <v>242</v>
      </c>
      <c r="D1079" t="s">
        <v>242</v>
      </c>
      <c r="E1079" t="s">
        <v>15</v>
      </c>
      <c r="F1079" t="s">
        <v>4215</v>
      </c>
      <c r="G1079" t="s">
        <v>18099</v>
      </c>
      <c r="H1079"/>
      <c r="I1079" t="s">
        <v>18</v>
      </c>
      <c r="J1079" t="s">
        <v>4216</v>
      </c>
      <c r="K1079" t="s">
        <v>4217</v>
      </c>
      <c r="L1079" t="s">
        <v>21</v>
      </c>
      <c r="M1079" t="s">
        <v>19177</v>
      </c>
      <c r="N1079" t="s">
        <v>272</v>
      </c>
      <c r="O1079" t="s">
        <v>272</v>
      </c>
      <c r="P1079" t="s">
        <v>114</v>
      </c>
    </row>
    <row r="1080">
      <c r="A1080">
        <f>HYPERLINK("http://bombeiros.sp.gov.br/hidrantes/03individual/17873.html","17873")</f>
      </c>
      <c r="B1080" t="s">
        <v>114</v>
      </c>
      <c r="C1080" t="s">
        <v>242</v>
      </c>
      <c r="D1080" t="s">
        <v>242</v>
      </c>
      <c r="E1080" t="s">
        <v>15</v>
      </c>
      <c r="F1080" t="s">
        <v>4218</v>
      </c>
      <c r="G1080" t="s">
        <v>18055</v>
      </c>
      <c r="H1080"/>
      <c r="I1080" t="s">
        <v>18</v>
      </c>
      <c r="J1080" t="s">
        <v>4219</v>
      </c>
      <c r="K1080" t="s">
        <v>4220</v>
      </c>
      <c r="L1080" t="s">
        <v>21</v>
      </c>
      <c r="M1080" t="s">
        <v>19177</v>
      </c>
      <c r="N1080" t="s">
        <v>272</v>
      </c>
      <c r="O1080" t="s">
        <v>272</v>
      </c>
      <c r="P1080" t="s">
        <v>114</v>
      </c>
    </row>
    <row r="1081">
      <c r="A1081">
        <f>HYPERLINK("http://bombeiros.sp.gov.br/hidrantes/03individual/28027.html","28027")</f>
      </c>
      <c r="B1081" t="s">
        <v>114</v>
      </c>
      <c r="C1081" t="s">
        <v>242</v>
      </c>
      <c r="D1081" t="s">
        <v>242</v>
      </c>
      <c r="E1081" t="s">
        <v>15</v>
      </c>
      <c r="F1081" t="s">
        <v>18230</v>
      </c>
      <c r="G1081" t="s">
        <v>18055</v>
      </c>
      <c r="H1081"/>
      <c r="I1081" t="s">
        <v>18</v>
      </c>
      <c r="J1081" t="s">
        <v>18231</v>
      </c>
      <c r="K1081" t="s">
        <v>18232</v>
      </c>
      <c r="L1081" t="s">
        <v>21</v>
      </c>
      <c r="M1081" t="s">
        <v>19177</v>
      </c>
      <c r="N1081" t="s">
        <v>272</v>
      </c>
      <c r="O1081" t="s">
        <v>272</v>
      </c>
      <c r="P1081" t="s">
        <v>114</v>
      </c>
    </row>
    <row r="1082">
      <c r="A1082">
        <f>HYPERLINK("http://bombeiros.sp.gov.br/hidrantes/03individual/17785.html","17785")</f>
      </c>
      <c r="B1082" t="s">
        <v>114</v>
      </c>
      <c r="C1082" t="s">
        <v>242</v>
      </c>
      <c r="D1082" t="s">
        <v>4221</v>
      </c>
      <c r="E1082" t="s">
        <v>64</v>
      </c>
      <c r="F1082" t="s">
        <v>4222</v>
      </c>
      <c r="G1082" t="s">
        <v>18051</v>
      </c>
      <c r="H1082" t="s">
        <v>1112</v>
      </c>
      <c r="I1082" t="s">
        <v>1108</v>
      </c>
      <c r="J1082" t="s">
        <v>4223</v>
      </c>
      <c r="K1082" t="s">
        <v>4224</v>
      </c>
      <c r="L1082" t="s">
        <v>21</v>
      </c>
      <c r="M1082" t="s">
        <v>19177</v>
      </c>
      <c r="N1082" t="s">
        <v>272</v>
      </c>
      <c r="O1082" t="s">
        <v>272</v>
      </c>
      <c r="P1082" t="s">
        <v>114</v>
      </c>
    </row>
    <row r="1083">
      <c r="A1083">
        <f>HYPERLINK("http://bombeiros.sp.gov.br/hidrantes/03individual/805.html","805")</f>
      </c>
      <c r="B1083" t="s">
        <v>114</v>
      </c>
      <c r="C1083" t="s">
        <v>242</v>
      </c>
      <c r="D1083" t="s">
        <v>4225</v>
      </c>
      <c r="E1083" t="s">
        <v>64</v>
      </c>
      <c r="F1083" t="s">
        <v>4226</v>
      </c>
      <c r="G1083" t="s">
        <v>18107</v>
      </c>
      <c r="H1083" t="s">
        <v>1121</v>
      </c>
      <c r="I1083" t="s">
        <v>1117</v>
      </c>
      <c r="J1083" t="s">
        <v>4227</v>
      </c>
      <c r="K1083" t="s">
        <v>4228</v>
      </c>
      <c r="L1083" t="s">
        <v>36</v>
      </c>
      <c r="M1083" t="s">
        <v>19177</v>
      </c>
      <c r="N1083" t="s">
        <v>272</v>
      </c>
      <c r="O1083" t="s">
        <v>272</v>
      </c>
      <c r="P1083" t="s">
        <v>114</v>
      </c>
    </row>
    <row r="1084">
      <c r="A1084">
        <f>HYPERLINK("http://bombeiros.sp.gov.br/hidrantes/03individual/815.html","815")</f>
      </c>
      <c r="B1084" t="s">
        <v>114</v>
      </c>
      <c r="C1084" t="s">
        <v>242</v>
      </c>
      <c r="D1084" t="s">
        <v>4225</v>
      </c>
      <c r="E1084" t="s">
        <v>64</v>
      </c>
      <c r="F1084" t="s">
        <v>4229</v>
      </c>
      <c r="G1084" t="s">
        <v>18099</v>
      </c>
      <c r="H1084" t="s">
        <v>1121</v>
      </c>
      <c r="I1084" t="s">
        <v>1117</v>
      </c>
      <c r="J1084" t="s">
        <v>4230</v>
      </c>
      <c r="K1084" t="s">
        <v>4231</v>
      </c>
      <c r="L1084" t="s">
        <v>36</v>
      </c>
      <c r="M1084" t="s">
        <v>19177</v>
      </c>
      <c r="N1084" t="s">
        <v>272</v>
      </c>
      <c r="O1084" t="s">
        <v>272</v>
      </c>
      <c r="P1084" t="s">
        <v>114</v>
      </c>
    </row>
    <row r="1085">
      <c r="A1085">
        <f>HYPERLINK("http://bombeiros.sp.gov.br/hidrantes/03individual/834.html","834")</f>
      </c>
      <c r="B1085" t="s">
        <v>114</v>
      </c>
      <c r="C1085" t="s">
        <v>242</v>
      </c>
      <c r="D1085" t="s">
        <v>4225</v>
      </c>
      <c r="E1085" t="s">
        <v>64</v>
      </c>
      <c r="F1085" t="s">
        <v>4232</v>
      </c>
      <c r="G1085" t="s">
        <v>18099</v>
      </c>
      <c r="H1085" t="s">
        <v>1121</v>
      </c>
      <c r="I1085" t="s">
        <v>1117</v>
      </c>
      <c r="J1085" t="s">
        <v>4233</v>
      </c>
      <c r="K1085" t="s">
        <v>4234</v>
      </c>
      <c r="L1085" t="s">
        <v>21</v>
      </c>
      <c r="M1085" t="s">
        <v>19177</v>
      </c>
      <c r="N1085" t="s">
        <v>272</v>
      </c>
      <c r="O1085" t="s">
        <v>272</v>
      </c>
      <c r="P1085" t="s">
        <v>114</v>
      </c>
    </row>
    <row r="1086">
      <c r="A1086">
        <f>HYPERLINK("http://bombeiros.sp.gov.br/hidrantes/03individual/836.html","836")</f>
      </c>
      <c r="B1086" t="s">
        <v>114</v>
      </c>
      <c r="C1086" t="s">
        <v>242</v>
      </c>
      <c r="D1086" t="s">
        <v>4225</v>
      </c>
      <c r="E1086" t="s">
        <v>64</v>
      </c>
      <c r="F1086" t="s">
        <v>4235</v>
      </c>
      <c r="G1086" t="s">
        <v>18099</v>
      </c>
      <c r="H1086" t="s">
        <v>1121</v>
      </c>
      <c r="I1086" t="s">
        <v>1117</v>
      </c>
      <c r="J1086" t="s">
        <v>4236</v>
      </c>
      <c r="K1086" t="s">
        <v>4237</v>
      </c>
      <c r="L1086" t="s">
        <v>36</v>
      </c>
      <c r="M1086" t="s">
        <v>19177</v>
      </c>
      <c r="N1086" t="s">
        <v>272</v>
      </c>
      <c r="O1086" t="s">
        <v>272</v>
      </c>
      <c r="P1086" t="s">
        <v>114</v>
      </c>
    </row>
    <row r="1087">
      <c r="A1087">
        <f>HYPERLINK("http://bombeiros.sp.gov.br/hidrantes/03individual/855.html","855")</f>
      </c>
      <c r="B1087" t="s">
        <v>114</v>
      </c>
      <c r="C1087" t="s">
        <v>242</v>
      </c>
      <c r="D1087" t="s">
        <v>4225</v>
      </c>
      <c r="E1087" t="s">
        <v>64</v>
      </c>
      <c r="F1087" t="s">
        <v>4238</v>
      </c>
      <c r="G1087" t="s">
        <v>18117</v>
      </c>
      <c r="H1087" t="s">
        <v>1121</v>
      </c>
      <c r="I1087" t="s">
        <v>1117</v>
      </c>
      <c r="J1087" t="s">
        <v>4239</v>
      </c>
      <c r="K1087" t="s">
        <v>4240</v>
      </c>
      <c r="L1087" t="s">
        <v>21</v>
      </c>
      <c r="M1087" t="s">
        <v>19177</v>
      </c>
      <c r="N1087" t="s">
        <v>272</v>
      </c>
      <c r="O1087" t="s">
        <v>272</v>
      </c>
      <c r="P1087" t="s">
        <v>114</v>
      </c>
    </row>
    <row r="1088">
      <c r="A1088">
        <f>HYPERLINK("http://bombeiros.sp.gov.br/hidrantes/03individual/856.html","856")</f>
      </c>
      <c r="B1088" t="s">
        <v>114</v>
      </c>
      <c r="C1088" t="s">
        <v>242</v>
      </c>
      <c r="D1088" t="s">
        <v>4225</v>
      </c>
      <c r="E1088" t="s">
        <v>64</v>
      </c>
      <c r="F1088" t="s">
        <v>4241</v>
      </c>
      <c r="G1088" t="s">
        <v>18147</v>
      </c>
      <c r="H1088" t="s">
        <v>1121</v>
      </c>
      <c r="I1088" t="s">
        <v>1117</v>
      </c>
      <c r="J1088" t="s">
        <v>4242</v>
      </c>
      <c r="K1088" t="s">
        <v>4243</v>
      </c>
      <c r="L1088" t="s">
        <v>21</v>
      </c>
      <c r="M1088" t="s">
        <v>19177</v>
      </c>
      <c r="N1088" t="s">
        <v>272</v>
      </c>
      <c r="O1088" t="s">
        <v>272</v>
      </c>
      <c r="P1088" t="s">
        <v>114</v>
      </c>
    </row>
    <row r="1089">
      <c r="A1089">
        <f>HYPERLINK("http://bombeiros.sp.gov.br/hidrantes/03individual/904.html","904")</f>
      </c>
      <c r="B1089" t="s">
        <v>114</v>
      </c>
      <c r="C1089" t="s">
        <v>242</v>
      </c>
      <c r="D1089" t="s">
        <v>4225</v>
      </c>
      <c r="E1089" t="s">
        <v>64</v>
      </c>
      <c r="F1089" t="s">
        <v>4244</v>
      </c>
      <c r="G1089" t="s">
        <v>18043</v>
      </c>
      <c r="H1089" t="s">
        <v>1112</v>
      </c>
      <c r="I1089" t="s">
        <v>1108</v>
      </c>
      <c r="J1089" t="s">
        <v>4245</v>
      </c>
      <c r="K1089" t="s">
        <v>4246</v>
      </c>
      <c r="L1089" t="s">
        <v>21</v>
      </c>
      <c r="M1089" t="s">
        <v>19177</v>
      </c>
      <c r="N1089" t="s">
        <v>272</v>
      </c>
      <c r="O1089" t="s">
        <v>272</v>
      </c>
      <c r="P1089" t="s">
        <v>114</v>
      </c>
    </row>
    <row r="1090">
      <c r="A1090">
        <f>HYPERLINK("http://bombeiros.sp.gov.br/hidrantes/03individual/907.html","907")</f>
      </c>
      <c r="B1090" t="s">
        <v>114</v>
      </c>
      <c r="C1090" t="s">
        <v>242</v>
      </c>
      <c r="D1090" t="s">
        <v>4225</v>
      </c>
      <c r="E1090" t="s">
        <v>64</v>
      </c>
      <c r="F1090" t="s">
        <v>4247</v>
      </c>
      <c r="G1090" t="s">
        <v>18147</v>
      </c>
      <c r="H1090" t="s">
        <v>1121</v>
      </c>
      <c r="I1090" t="s">
        <v>1117</v>
      </c>
      <c r="J1090" t="s">
        <v>4248</v>
      </c>
      <c r="K1090" t="s">
        <v>4249</v>
      </c>
      <c r="L1090" t="s">
        <v>36</v>
      </c>
      <c r="M1090" t="s">
        <v>19177</v>
      </c>
      <c r="N1090" t="s">
        <v>272</v>
      </c>
      <c r="O1090" t="s">
        <v>272</v>
      </c>
      <c r="P1090" t="s">
        <v>114</v>
      </c>
    </row>
    <row r="1091">
      <c r="A1091">
        <f>HYPERLINK("http://bombeiros.sp.gov.br/hidrantes/03individual/948.html","948")</f>
      </c>
      <c r="B1091" t="s">
        <v>114</v>
      </c>
      <c r="C1091" t="s">
        <v>242</v>
      </c>
      <c r="D1091" t="s">
        <v>4225</v>
      </c>
      <c r="E1091" t="s">
        <v>64</v>
      </c>
      <c r="F1091" t="s">
        <v>4250</v>
      </c>
      <c r="G1091" t="s">
        <v>18147</v>
      </c>
      <c r="H1091" t="s">
        <v>1121</v>
      </c>
      <c r="I1091" t="s">
        <v>1117</v>
      </c>
      <c r="J1091" t="s">
        <v>4251</v>
      </c>
      <c r="K1091" t="s">
        <v>4252</v>
      </c>
      <c r="L1091" t="s">
        <v>36</v>
      </c>
      <c r="M1091" t="s">
        <v>19177</v>
      </c>
      <c r="N1091" t="s">
        <v>272</v>
      </c>
      <c r="O1091" t="s">
        <v>272</v>
      </c>
      <c r="P1091" t="s">
        <v>114</v>
      </c>
    </row>
    <row r="1092">
      <c r="A1092">
        <f>HYPERLINK("http://bombeiros.sp.gov.br/hidrantes/03individual/957.html","957")</f>
      </c>
      <c r="B1092" t="s">
        <v>114</v>
      </c>
      <c r="C1092" t="s">
        <v>242</v>
      </c>
      <c r="D1092" t="s">
        <v>4225</v>
      </c>
      <c r="E1092" t="s">
        <v>64</v>
      </c>
      <c r="F1092" t="s">
        <v>4253</v>
      </c>
      <c r="G1092" t="s">
        <v>18190</v>
      </c>
      <c r="H1092" t="s">
        <v>1121</v>
      </c>
      <c r="I1092" t="s">
        <v>1117</v>
      </c>
      <c r="J1092" t="s">
        <v>4254</v>
      </c>
      <c r="K1092" t="s">
        <v>4255</v>
      </c>
      <c r="L1092" t="s">
        <v>36</v>
      </c>
      <c r="M1092" t="s">
        <v>19177</v>
      </c>
      <c r="N1092" t="s">
        <v>272</v>
      </c>
      <c r="O1092" t="s">
        <v>272</v>
      </c>
      <c r="P1092" t="s">
        <v>114</v>
      </c>
    </row>
    <row r="1093">
      <c r="A1093">
        <f>HYPERLINK("http://bombeiros.sp.gov.br/hidrantes/03individual/3843.html","3843")</f>
      </c>
      <c r="B1093" t="s">
        <v>114</v>
      </c>
      <c r="C1093" t="s">
        <v>242</v>
      </c>
      <c r="D1093" t="s">
        <v>4225</v>
      </c>
      <c r="E1093" t="s">
        <v>15</v>
      </c>
      <c r="F1093" t="s">
        <v>4256</v>
      </c>
      <c r="G1093" t="s">
        <v>18190</v>
      </c>
      <c r="H1093" t="s">
        <v>1121</v>
      </c>
      <c r="I1093" t="s">
        <v>1117</v>
      </c>
      <c r="J1093" t="s">
        <v>4257</v>
      </c>
      <c r="K1093" t="s">
        <v>4258</v>
      </c>
      <c r="L1093" t="s">
        <v>21</v>
      </c>
      <c r="M1093" t="s">
        <v>19177</v>
      </c>
      <c r="N1093" t="s">
        <v>272</v>
      </c>
      <c r="O1093" t="s">
        <v>272</v>
      </c>
      <c r="P1093" t="s">
        <v>114</v>
      </c>
    </row>
    <row r="1094">
      <c r="A1094">
        <f>HYPERLINK("http://bombeiros.sp.gov.br/hidrantes/03individual/5596.html","5596")</f>
      </c>
      <c r="B1094" t="s">
        <v>114</v>
      </c>
      <c r="C1094" t="s">
        <v>242</v>
      </c>
      <c r="D1094" t="s">
        <v>4225</v>
      </c>
      <c r="E1094" t="s">
        <v>15</v>
      </c>
      <c r="F1094" t="s">
        <v>4259</v>
      </c>
      <c r="G1094" t="s">
        <v>18094</v>
      </c>
      <c r="H1094" t="s">
        <v>1174</v>
      </c>
      <c r="I1094" t="s">
        <v>1117</v>
      </c>
      <c r="J1094" t="s">
        <v>4260</v>
      </c>
      <c r="K1094" t="s">
        <v>4261</v>
      </c>
      <c r="L1094" t="s">
        <v>36</v>
      </c>
      <c r="M1094" t="s">
        <v>19177</v>
      </c>
      <c r="N1094" t="s">
        <v>272</v>
      </c>
      <c r="O1094" t="s">
        <v>272</v>
      </c>
      <c r="P1094" t="s">
        <v>114</v>
      </c>
    </row>
    <row r="1095">
      <c r="A1095">
        <f>HYPERLINK("http://bombeiros.sp.gov.br/hidrantes/03individual/813.html","813")</f>
      </c>
      <c r="B1095" t="s">
        <v>114</v>
      </c>
      <c r="C1095" t="s">
        <v>251</v>
      </c>
      <c r="D1095" t="s">
        <v>251</v>
      </c>
      <c r="E1095" t="s">
        <v>64</v>
      </c>
      <c r="F1095" t="s">
        <v>4262</v>
      </c>
      <c r="G1095" t="s">
        <v>18143</v>
      </c>
      <c r="H1095" t="s">
        <v>1112</v>
      </c>
      <c r="I1095" t="s">
        <v>1108</v>
      </c>
      <c r="J1095" t="s">
        <v>4263</v>
      </c>
      <c r="K1095" t="s">
        <v>4264</v>
      </c>
      <c r="L1095" t="s">
        <v>21</v>
      </c>
      <c r="M1095" t="s">
        <v>19177</v>
      </c>
      <c r="N1095" t="s">
        <v>309</v>
      </c>
      <c r="O1095" t="s">
        <v>6029</v>
      </c>
      <c r="P1095" t="s">
        <v>114</v>
      </c>
    </row>
    <row r="1096">
      <c r="A1096">
        <f>HYPERLINK("http://bombeiros.sp.gov.br/hidrantes/03individual/818.html","818")</f>
      </c>
      <c r="B1096" t="s">
        <v>114</v>
      </c>
      <c r="C1096" t="s">
        <v>251</v>
      </c>
      <c r="D1096" t="s">
        <v>251</v>
      </c>
      <c r="E1096" t="s">
        <v>64</v>
      </c>
      <c r="F1096" t="s">
        <v>252</v>
      </c>
      <c r="G1096" t="s">
        <v>18143</v>
      </c>
      <c r="H1096" t="s">
        <v>1121</v>
      </c>
      <c r="I1096" t="s">
        <v>1117</v>
      </c>
      <c r="J1096" t="s">
        <v>253</v>
      </c>
      <c r="K1096" t="s">
        <v>254</v>
      </c>
      <c r="L1096" t="s">
        <v>21</v>
      </c>
      <c r="M1096" t="s">
        <v>19177</v>
      </c>
      <c r="N1096" t="s">
        <v>309</v>
      </c>
      <c r="O1096" t="s">
        <v>6029</v>
      </c>
      <c r="P1096" t="s">
        <v>114</v>
      </c>
    </row>
    <row r="1097">
      <c r="A1097">
        <f>HYPERLINK("http://bombeiros.sp.gov.br/hidrantes/03individual/917.html","917")</f>
      </c>
      <c r="B1097" t="s">
        <v>114</v>
      </c>
      <c r="C1097" t="s">
        <v>251</v>
      </c>
      <c r="D1097" t="s">
        <v>251</v>
      </c>
      <c r="E1097" t="s">
        <v>64</v>
      </c>
      <c r="F1097" t="s">
        <v>4265</v>
      </c>
      <c r="G1097" t="s">
        <v>18091</v>
      </c>
      <c r="H1097" t="s">
        <v>1107</v>
      </c>
      <c r="I1097" t="s">
        <v>1108</v>
      </c>
      <c r="J1097" t="s">
        <v>4266</v>
      </c>
      <c r="K1097" t="s">
        <v>4267</v>
      </c>
      <c r="L1097" t="s">
        <v>36</v>
      </c>
      <c r="M1097" t="s">
        <v>19177</v>
      </c>
      <c r="N1097" t="s">
        <v>309</v>
      </c>
      <c r="O1097" t="s">
        <v>6029</v>
      </c>
      <c r="P1097" t="s">
        <v>114</v>
      </c>
    </row>
    <row r="1098">
      <c r="A1098">
        <f>HYPERLINK("http://bombeiros.sp.gov.br/hidrantes/03individual/952.html","952")</f>
      </c>
      <c r="B1098" t="s">
        <v>114</v>
      </c>
      <c r="C1098" t="s">
        <v>251</v>
      </c>
      <c r="D1098" t="s">
        <v>251</v>
      </c>
      <c r="E1098" t="s">
        <v>64</v>
      </c>
      <c r="F1098" t="s">
        <v>4268</v>
      </c>
      <c r="G1098" t="s">
        <v>18091</v>
      </c>
      <c r="H1098" t="s">
        <v>1112</v>
      </c>
      <c r="I1098" t="s">
        <v>1108</v>
      </c>
      <c r="J1098" t="s">
        <v>4269</v>
      </c>
      <c r="K1098" t="s">
        <v>4270</v>
      </c>
      <c r="L1098" t="s">
        <v>21</v>
      </c>
      <c r="M1098" t="s">
        <v>19177</v>
      </c>
      <c r="N1098" t="s">
        <v>6029</v>
      </c>
      <c r="O1098" t="s">
        <v>6029</v>
      </c>
      <c r="P1098" t="s">
        <v>114</v>
      </c>
    </row>
    <row r="1099">
      <c r="A1099">
        <f>HYPERLINK("http://bombeiros.sp.gov.br/hidrantes/03individual/1503.html","1503")</f>
      </c>
      <c r="B1099" t="s">
        <v>114</v>
      </c>
      <c r="C1099" t="s">
        <v>251</v>
      </c>
      <c r="D1099" t="s">
        <v>251</v>
      </c>
      <c r="E1099" t="s">
        <v>64</v>
      </c>
      <c r="F1099" t="s">
        <v>4271</v>
      </c>
      <c r="G1099" t="s">
        <v>18091</v>
      </c>
      <c r="H1099" t="s">
        <v>1107</v>
      </c>
      <c r="I1099" t="s">
        <v>1108</v>
      </c>
      <c r="J1099" t="s">
        <v>4272</v>
      </c>
      <c r="K1099" t="s">
        <v>4273</v>
      </c>
      <c r="L1099" t="s">
        <v>21</v>
      </c>
      <c r="M1099" t="s">
        <v>19177</v>
      </c>
      <c r="N1099" t="s">
        <v>309</v>
      </c>
      <c r="O1099" t="s">
        <v>6029</v>
      </c>
      <c r="P1099" t="s">
        <v>114</v>
      </c>
    </row>
    <row r="1100">
      <c r="A1100">
        <f>HYPERLINK("http://bombeiros.sp.gov.br/hidrantes/03individual/5637.html","5637")</f>
      </c>
      <c r="B1100" t="s">
        <v>114</v>
      </c>
      <c r="C1100" t="s">
        <v>251</v>
      </c>
      <c r="D1100" t="s">
        <v>251</v>
      </c>
      <c r="E1100" t="s">
        <v>64</v>
      </c>
      <c r="F1100" t="s">
        <v>4274</v>
      </c>
      <c r="G1100" t="s">
        <v>18143</v>
      </c>
      <c r="H1100" t="s">
        <v>1121</v>
      </c>
      <c r="I1100" t="s">
        <v>1117</v>
      </c>
      <c r="J1100" t="s">
        <v>4275</v>
      </c>
      <c r="K1100" t="s">
        <v>4276</v>
      </c>
      <c r="L1100" t="s">
        <v>21</v>
      </c>
      <c r="M1100" t="s">
        <v>19177</v>
      </c>
      <c r="N1100" t="s">
        <v>309</v>
      </c>
      <c r="O1100" t="s">
        <v>6029</v>
      </c>
      <c r="P1100" t="s">
        <v>114</v>
      </c>
    </row>
    <row r="1101">
      <c r="A1101">
        <f>HYPERLINK("http://bombeiros.sp.gov.br/hidrantes/03individual/1468.html","1468")</f>
      </c>
      <c r="B1101" t="s">
        <v>114</v>
      </c>
      <c r="C1101" t="s">
        <v>251</v>
      </c>
      <c r="D1101" t="s">
        <v>251</v>
      </c>
      <c r="E1101" t="s">
        <v>15</v>
      </c>
      <c r="F1101" t="s">
        <v>4277</v>
      </c>
      <c r="G1101" t="s">
        <v>18091</v>
      </c>
      <c r="H1101" t="s">
        <v>1112</v>
      </c>
      <c r="I1101" t="s">
        <v>1108</v>
      </c>
      <c r="J1101" t="s">
        <v>4278</v>
      </c>
      <c r="K1101" t="s">
        <v>4279</v>
      </c>
      <c r="L1101" t="s">
        <v>21</v>
      </c>
      <c r="M1101" t="s">
        <v>19177</v>
      </c>
      <c r="N1101" t="s">
        <v>309</v>
      </c>
      <c r="O1101" t="s">
        <v>6029</v>
      </c>
      <c r="P1101" t="s">
        <v>114</v>
      </c>
    </row>
    <row r="1102">
      <c r="A1102">
        <f>HYPERLINK("http://bombeiros.sp.gov.br/hidrantes/03individual/1505.html","1505")</f>
      </c>
      <c r="B1102" t="s">
        <v>114</v>
      </c>
      <c r="C1102" t="s">
        <v>251</v>
      </c>
      <c r="D1102" t="s">
        <v>251</v>
      </c>
      <c r="E1102" t="s">
        <v>15</v>
      </c>
      <c r="F1102" t="s">
        <v>4280</v>
      </c>
      <c r="G1102" t="s">
        <v>18099</v>
      </c>
      <c r="H1102" t="s">
        <v>1107</v>
      </c>
      <c r="I1102" t="s">
        <v>1108</v>
      </c>
      <c r="J1102" t="s">
        <v>4281</v>
      </c>
      <c r="K1102" t="s">
        <v>4282</v>
      </c>
      <c r="L1102" t="s">
        <v>21</v>
      </c>
      <c r="M1102" t="s">
        <v>19177</v>
      </c>
      <c r="N1102" t="s">
        <v>309</v>
      </c>
      <c r="O1102" t="s">
        <v>6029</v>
      </c>
      <c r="P1102" t="s">
        <v>114</v>
      </c>
    </row>
    <row r="1103">
      <c r="A1103">
        <f>HYPERLINK("http://bombeiros.sp.gov.br/hidrantes/03individual/1534.html","1534")</f>
      </c>
      <c r="B1103" t="s">
        <v>114</v>
      </c>
      <c r="C1103" t="s">
        <v>251</v>
      </c>
      <c r="D1103" t="s">
        <v>251</v>
      </c>
      <c r="E1103" t="s">
        <v>15</v>
      </c>
      <c r="F1103" t="s">
        <v>4283</v>
      </c>
      <c r="G1103" t="s">
        <v>18091</v>
      </c>
      <c r="H1103" t="s">
        <v>1112</v>
      </c>
      <c r="I1103" t="s">
        <v>1108</v>
      </c>
      <c r="J1103" t="s">
        <v>4284</v>
      </c>
      <c r="K1103" t="s">
        <v>4285</v>
      </c>
      <c r="L1103" t="s">
        <v>21</v>
      </c>
      <c r="M1103" t="s">
        <v>19177</v>
      </c>
      <c r="N1103" t="s">
        <v>309</v>
      </c>
      <c r="O1103" t="s">
        <v>6029</v>
      </c>
      <c r="P1103" t="s">
        <v>114</v>
      </c>
    </row>
    <row r="1104">
      <c r="A1104">
        <f>HYPERLINK("http://bombeiros.sp.gov.br/hidrantes/03individual/1622.html","1622")</f>
      </c>
      <c r="B1104" t="s">
        <v>114</v>
      </c>
      <c r="C1104" t="s">
        <v>251</v>
      </c>
      <c r="D1104" t="s">
        <v>251</v>
      </c>
      <c r="E1104" t="s">
        <v>15</v>
      </c>
      <c r="F1104" t="s">
        <v>4286</v>
      </c>
      <c r="G1104" t="s">
        <v>18099</v>
      </c>
      <c r="H1104" t="s">
        <v>1107</v>
      </c>
      <c r="I1104" t="s">
        <v>1108</v>
      </c>
      <c r="J1104" t="s">
        <v>4287</v>
      </c>
      <c r="K1104" t="s">
        <v>4288</v>
      </c>
      <c r="L1104" t="s">
        <v>21</v>
      </c>
      <c r="M1104" t="s">
        <v>19177</v>
      </c>
      <c r="N1104" t="s">
        <v>309</v>
      </c>
      <c r="O1104" t="s">
        <v>6029</v>
      </c>
      <c r="P1104" t="s">
        <v>114</v>
      </c>
    </row>
    <row r="1105">
      <c r="A1105">
        <f>HYPERLINK("http://bombeiros.sp.gov.br/hidrantes/03individual/1624.html","1624")</f>
      </c>
      <c r="B1105" t="s">
        <v>114</v>
      </c>
      <c r="C1105" t="s">
        <v>251</v>
      </c>
      <c r="D1105" t="s">
        <v>251</v>
      </c>
      <c r="E1105" t="s">
        <v>15</v>
      </c>
      <c r="F1105" t="s">
        <v>4289</v>
      </c>
      <c r="G1105" t="s">
        <v>18091</v>
      </c>
      <c r="H1105" t="s">
        <v>1107</v>
      </c>
      <c r="I1105" t="s">
        <v>1108</v>
      </c>
      <c r="J1105" t="s">
        <v>4290</v>
      </c>
      <c r="K1105" t="s">
        <v>4291</v>
      </c>
      <c r="L1105" t="s">
        <v>21</v>
      </c>
      <c r="M1105" t="s">
        <v>19177</v>
      </c>
      <c r="N1105" t="s">
        <v>309</v>
      </c>
      <c r="O1105" t="s">
        <v>6029</v>
      </c>
      <c r="P1105" t="s">
        <v>114</v>
      </c>
    </row>
    <row r="1106">
      <c r="A1106">
        <f>HYPERLINK("http://bombeiros.sp.gov.br/hidrantes/03individual/1695.html","1695")</f>
      </c>
      <c r="B1106" t="s">
        <v>114</v>
      </c>
      <c r="C1106" t="s">
        <v>251</v>
      </c>
      <c r="D1106" t="s">
        <v>251</v>
      </c>
      <c r="E1106" t="s">
        <v>15</v>
      </c>
      <c r="F1106" t="s">
        <v>4292</v>
      </c>
      <c r="G1106" t="s">
        <v>18099</v>
      </c>
      <c r="H1106" t="s">
        <v>1112</v>
      </c>
      <c r="I1106" t="s">
        <v>1108</v>
      </c>
      <c r="J1106" t="s">
        <v>4293</v>
      </c>
      <c r="K1106" t="s">
        <v>4294</v>
      </c>
      <c r="L1106" t="s">
        <v>21</v>
      </c>
      <c r="M1106" t="s">
        <v>19177</v>
      </c>
      <c r="N1106" t="s">
        <v>309</v>
      </c>
      <c r="O1106" t="s">
        <v>6029</v>
      </c>
      <c r="P1106" t="s">
        <v>114</v>
      </c>
    </row>
    <row r="1107">
      <c r="A1107">
        <f>HYPERLINK("http://bombeiros.sp.gov.br/hidrantes/03individual/1721.html","1721")</f>
      </c>
      <c r="B1107" t="s">
        <v>114</v>
      </c>
      <c r="C1107" t="s">
        <v>251</v>
      </c>
      <c r="D1107" t="s">
        <v>251</v>
      </c>
      <c r="E1107" t="s">
        <v>15</v>
      </c>
      <c r="F1107" t="s">
        <v>4295</v>
      </c>
      <c r="G1107" t="s">
        <v>18042</v>
      </c>
      <c r="H1107" t="s">
        <v>1107</v>
      </c>
      <c r="I1107" t="s">
        <v>1108</v>
      </c>
      <c r="J1107" t="s">
        <v>4296</v>
      </c>
      <c r="K1107" t="s">
        <v>4297</v>
      </c>
      <c r="L1107" t="s">
        <v>21</v>
      </c>
      <c r="M1107" t="s">
        <v>19177</v>
      </c>
      <c r="N1107" t="s">
        <v>6029</v>
      </c>
      <c r="O1107" t="s">
        <v>6029</v>
      </c>
      <c r="P1107" t="s">
        <v>114</v>
      </c>
    </row>
    <row r="1108">
      <c r="A1108">
        <f>HYPERLINK("http://bombeiros.sp.gov.br/hidrantes/03individual/3470.html","3470")</f>
      </c>
      <c r="B1108" t="s">
        <v>114</v>
      </c>
      <c r="C1108" t="s">
        <v>251</v>
      </c>
      <c r="D1108" t="s">
        <v>251</v>
      </c>
      <c r="E1108" t="s">
        <v>15</v>
      </c>
      <c r="F1108" t="s">
        <v>4298</v>
      </c>
      <c r="G1108" t="s">
        <v>18091</v>
      </c>
      <c r="H1108" t="s">
        <v>1112</v>
      </c>
      <c r="I1108" t="s">
        <v>1108</v>
      </c>
      <c r="J1108" t="s">
        <v>4299</v>
      </c>
      <c r="K1108" t="s">
        <v>4300</v>
      </c>
      <c r="L1108" t="s">
        <v>21</v>
      </c>
      <c r="M1108" t="s">
        <v>19177</v>
      </c>
      <c r="N1108" t="s">
        <v>309</v>
      </c>
      <c r="O1108" t="s">
        <v>6029</v>
      </c>
      <c r="P1108" t="s">
        <v>114</v>
      </c>
    </row>
    <row r="1109">
      <c r="A1109">
        <f>HYPERLINK("http://bombeiros.sp.gov.br/hidrantes/03individual/3557.html","3557")</f>
      </c>
      <c r="B1109" t="s">
        <v>114</v>
      </c>
      <c r="C1109" t="s">
        <v>251</v>
      </c>
      <c r="D1109" t="s">
        <v>251</v>
      </c>
      <c r="E1109" t="s">
        <v>15</v>
      </c>
      <c r="F1109" t="s">
        <v>4301</v>
      </c>
      <c r="G1109" t="s">
        <v>18091</v>
      </c>
      <c r="H1109" t="s">
        <v>1107</v>
      </c>
      <c r="I1109" t="s">
        <v>1108</v>
      </c>
      <c r="J1109" t="s">
        <v>15962</v>
      </c>
      <c r="K1109" t="s">
        <v>15963</v>
      </c>
      <c r="L1109" t="s">
        <v>21</v>
      </c>
      <c r="M1109" t="s">
        <v>19177</v>
      </c>
      <c r="N1109" t="s">
        <v>6029</v>
      </c>
      <c r="O1109" t="s">
        <v>6029</v>
      </c>
      <c r="P1109" t="s">
        <v>114</v>
      </c>
    </row>
    <row r="1110">
      <c r="A1110">
        <f>HYPERLINK("http://bombeiros.sp.gov.br/hidrantes/03individual/4339.html","4339")</f>
      </c>
      <c r="B1110" t="s">
        <v>114</v>
      </c>
      <c r="C1110" t="s">
        <v>251</v>
      </c>
      <c r="D1110" t="s">
        <v>251</v>
      </c>
      <c r="E1110" t="s">
        <v>15</v>
      </c>
      <c r="F1110" t="s">
        <v>4304</v>
      </c>
      <c r="G1110" t="s">
        <v>18042</v>
      </c>
      <c r="H1110" t="s">
        <v>1112</v>
      </c>
      <c r="I1110" t="s">
        <v>1108</v>
      </c>
      <c r="J1110" t="s">
        <v>15964</v>
      </c>
      <c r="K1110" t="s">
        <v>15965</v>
      </c>
      <c r="L1110" t="s">
        <v>21</v>
      </c>
      <c r="M1110" t="s">
        <v>19177</v>
      </c>
      <c r="N1110" t="s">
        <v>6029</v>
      </c>
      <c r="O1110" t="s">
        <v>6029</v>
      </c>
      <c r="P1110" t="s">
        <v>114</v>
      </c>
    </row>
    <row r="1111">
      <c r="A1111">
        <f>HYPERLINK("http://bombeiros.sp.gov.br/hidrantes/03individual/5638.html","5638")</f>
      </c>
      <c r="B1111" t="s">
        <v>114</v>
      </c>
      <c r="C1111" t="s">
        <v>251</v>
      </c>
      <c r="D1111" t="s">
        <v>251</v>
      </c>
      <c r="E1111" t="s">
        <v>15</v>
      </c>
      <c r="F1111" t="s">
        <v>4307</v>
      </c>
      <c r="G1111" t="s">
        <v>18099</v>
      </c>
      <c r="H1111" t="s">
        <v>1107</v>
      </c>
      <c r="I1111" t="s">
        <v>1108</v>
      </c>
      <c r="J1111" t="s">
        <v>4308</v>
      </c>
      <c r="K1111" t="s">
        <v>4309</v>
      </c>
      <c r="L1111" t="s">
        <v>21</v>
      </c>
      <c r="M1111" t="s">
        <v>19177</v>
      </c>
      <c r="N1111" t="s">
        <v>309</v>
      </c>
      <c r="O1111" t="s">
        <v>6029</v>
      </c>
      <c r="P1111" t="s">
        <v>114</v>
      </c>
    </row>
    <row r="1112">
      <c r="A1112">
        <f>HYPERLINK("http://bombeiros.sp.gov.br/hidrantes/03individual/3556.html","3556")</f>
      </c>
      <c r="B1112" t="s">
        <v>114</v>
      </c>
      <c r="C1112" t="s">
        <v>251</v>
      </c>
      <c r="D1112" t="s">
        <v>4310</v>
      </c>
      <c r="E1112" t="s">
        <v>64</v>
      </c>
      <c r="F1112" t="s">
        <v>4311</v>
      </c>
      <c r="G1112" t="s">
        <v>18084</v>
      </c>
      <c r="H1112" t="s">
        <v>1112</v>
      </c>
      <c r="I1112" t="s">
        <v>1108</v>
      </c>
      <c r="J1112" t="s">
        <v>4312</v>
      </c>
      <c r="K1112" t="s">
        <v>4313</v>
      </c>
      <c r="L1112" t="s">
        <v>21</v>
      </c>
      <c r="M1112" t="s">
        <v>19177</v>
      </c>
      <c r="N1112" t="s">
        <v>6029</v>
      </c>
      <c r="O1112" t="s">
        <v>6029</v>
      </c>
      <c r="P1112" t="s">
        <v>114</v>
      </c>
    </row>
    <row r="1113">
      <c r="A1113">
        <f>HYPERLINK("http://bombeiros.sp.gov.br/hidrantes/03individual/1723.html","1723")</f>
      </c>
      <c r="B1113" t="s">
        <v>114</v>
      </c>
      <c r="C1113" t="s">
        <v>251</v>
      </c>
      <c r="D1113" t="s">
        <v>4310</v>
      </c>
      <c r="E1113" t="s">
        <v>15</v>
      </c>
      <c r="F1113" t="s">
        <v>4314</v>
      </c>
      <c r="G1113" t="s">
        <v>18046</v>
      </c>
      <c r="H1113" t="s">
        <v>1107</v>
      </c>
      <c r="I1113" t="s">
        <v>1108</v>
      </c>
      <c r="J1113" t="s">
        <v>4315</v>
      </c>
      <c r="K1113" t="s">
        <v>4316</v>
      </c>
      <c r="L1113" t="s">
        <v>21</v>
      </c>
      <c r="M1113" t="s">
        <v>19177</v>
      </c>
      <c r="N1113" t="s">
        <v>6029</v>
      </c>
      <c r="O1113" t="s">
        <v>6029</v>
      </c>
      <c r="P1113" t="s">
        <v>114</v>
      </c>
    </row>
    <row r="1114">
      <c r="A1114">
        <f>HYPERLINK("http://bombeiros.sp.gov.br/hidrantes/03individual/1776.html","1776")</f>
      </c>
      <c r="B1114" t="s">
        <v>114</v>
      </c>
      <c r="C1114" t="s">
        <v>251</v>
      </c>
      <c r="D1114" t="s">
        <v>4310</v>
      </c>
      <c r="E1114" t="s">
        <v>15</v>
      </c>
      <c r="F1114" t="s">
        <v>4317</v>
      </c>
      <c r="G1114" t="s">
        <v>18042</v>
      </c>
      <c r="H1114" t="s">
        <v>1112</v>
      </c>
      <c r="I1114" t="s">
        <v>1108</v>
      </c>
      <c r="J1114" t="s">
        <v>4318</v>
      </c>
      <c r="K1114" t="s">
        <v>4319</v>
      </c>
      <c r="L1114" t="s">
        <v>21</v>
      </c>
      <c r="M1114" t="s">
        <v>19177</v>
      </c>
      <c r="N1114" t="s">
        <v>309</v>
      </c>
      <c r="O1114" t="s">
        <v>6029</v>
      </c>
      <c r="P1114" t="s">
        <v>114</v>
      </c>
    </row>
    <row r="1115">
      <c r="A1115">
        <f>HYPERLINK("http://bombeiros.sp.gov.br/hidrantes/03individual/1777.html","1777")</f>
      </c>
      <c r="B1115" t="s">
        <v>114</v>
      </c>
      <c r="C1115" t="s">
        <v>251</v>
      </c>
      <c r="D1115" t="s">
        <v>4310</v>
      </c>
      <c r="E1115" t="s">
        <v>15</v>
      </c>
      <c r="F1115" t="s">
        <v>4320</v>
      </c>
      <c r="G1115" t="s">
        <v>18042</v>
      </c>
      <c r="H1115" t="s">
        <v>1107</v>
      </c>
      <c r="I1115" t="s">
        <v>1108</v>
      </c>
      <c r="J1115" t="s">
        <v>4321</v>
      </c>
      <c r="K1115" t="s">
        <v>4322</v>
      </c>
      <c r="L1115" t="s">
        <v>21</v>
      </c>
      <c r="M1115" t="s">
        <v>19177</v>
      </c>
      <c r="N1115" t="s">
        <v>6029</v>
      </c>
      <c r="O1115" t="s">
        <v>6029</v>
      </c>
      <c r="P1115" t="s">
        <v>114</v>
      </c>
    </row>
    <row r="1116">
      <c r="A1116">
        <f>HYPERLINK("http://bombeiros.sp.gov.br/hidrantes/03individual/1840.html","1840")</f>
      </c>
      <c r="B1116" t="s">
        <v>114</v>
      </c>
      <c r="C1116" t="s">
        <v>251</v>
      </c>
      <c r="D1116" t="s">
        <v>4310</v>
      </c>
      <c r="E1116" t="s">
        <v>15</v>
      </c>
      <c r="F1116" t="s">
        <v>4323</v>
      </c>
      <c r="G1116" t="s">
        <v>18042</v>
      </c>
      <c r="H1116" t="s">
        <v>1121</v>
      </c>
      <c r="I1116" t="s">
        <v>1117</v>
      </c>
      <c r="J1116" t="s">
        <v>4324</v>
      </c>
      <c r="K1116" t="s">
        <v>4325</v>
      </c>
      <c r="L1116" t="s">
        <v>21</v>
      </c>
      <c r="M1116" t="s">
        <v>19177</v>
      </c>
      <c r="N1116" t="s">
        <v>6029</v>
      </c>
      <c r="O1116" t="s">
        <v>6029</v>
      </c>
      <c r="P1116" t="s">
        <v>114</v>
      </c>
    </row>
    <row r="1117">
      <c r="A1117">
        <f>HYPERLINK("http://bombeiros.sp.gov.br/hidrantes/03individual/1841.html","1841")</f>
      </c>
      <c r="B1117" t="s">
        <v>114</v>
      </c>
      <c r="C1117" t="s">
        <v>251</v>
      </c>
      <c r="D1117" t="s">
        <v>4310</v>
      </c>
      <c r="E1117" t="s">
        <v>15</v>
      </c>
      <c r="F1117" t="s">
        <v>4326</v>
      </c>
      <c r="G1117" t="s">
        <v>18042</v>
      </c>
      <c r="H1117" t="s">
        <v>1107</v>
      </c>
      <c r="I1117" t="s">
        <v>1108</v>
      </c>
      <c r="J1117" t="s">
        <v>4327</v>
      </c>
      <c r="K1117" t="s">
        <v>4328</v>
      </c>
      <c r="L1117" t="s">
        <v>21</v>
      </c>
      <c r="M1117" t="s">
        <v>19177</v>
      </c>
      <c r="N1117" t="s">
        <v>6029</v>
      </c>
      <c r="O1117" t="s">
        <v>6029</v>
      </c>
      <c r="P1117" t="s">
        <v>114</v>
      </c>
    </row>
    <row r="1118">
      <c r="A1118">
        <f>HYPERLINK("http://bombeiros.sp.gov.br/hidrantes/03individual/1894.html","1894")</f>
      </c>
      <c r="B1118" t="s">
        <v>114</v>
      </c>
      <c r="C1118" t="s">
        <v>251</v>
      </c>
      <c r="D1118" t="s">
        <v>4310</v>
      </c>
      <c r="E1118" t="s">
        <v>15</v>
      </c>
      <c r="F1118" t="s">
        <v>4329</v>
      </c>
      <c r="G1118" t="s">
        <v>18067</v>
      </c>
      <c r="H1118" t="s">
        <v>1107</v>
      </c>
      <c r="I1118" t="s">
        <v>1108</v>
      </c>
      <c r="J1118" t="s">
        <v>4330</v>
      </c>
      <c r="K1118" t="s">
        <v>4331</v>
      </c>
      <c r="L1118" t="s">
        <v>21</v>
      </c>
      <c r="M1118" t="s">
        <v>19177</v>
      </c>
      <c r="N1118" t="s">
        <v>6029</v>
      </c>
      <c r="O1118" t="s">
        <v>6029</v>
      </c>
      <c r="P1118" t="s">
        <v>114</v>
      </c>
    </row>
    <row r="1119">
      <c r="A1119">
        <f>HYPERLINK("http://bombeiros.sp.gov.br/hidrantes/03individual/1898.html","1898")</f>
      </c>
      <c r="B1119" t="s">
        <v>114</v>
      </c>
      <c r="C1119" t="s">
        <v>251</v>
      </c>
      <c r="D1119" t="s">
        <v>4310</v>
      </c>
      <c r="E1119" t="s">
        <v>15</v>
      </c>
      <c r="F1119" t="s">
        <v>4332</v>
      </c>
      <c r="G1119" t="s">
        <v>18084</v>
      </c>
      <c r="H1119" t="s">
        <v>1107</v>
      </c>
      <c r="I1119" t="s">
        <v>1108</v>
      </c>
      <c r="J1119" t="s">
        <v>4333</v>
      </c>
      <c r="K1119" t="s">
        <v>4334</v>
      </c>
      <c r="L1119" t="s">
        <v>21</v>
      </c>
      <c r="M1119" t="s">
        <v>19177</v>
      </c>
      <c r="N1119" t="s">
        <v>6029</v>
      </c>
      <c r="O1119" t="s">
        <v>6029</v>
      </c>
      <c r="P1119" t="s">
        <v>114</v>
      </c>
    </row>
    <row r="1120">
      <c r="A1120">
        <f>HYPERLINK("http://bombeiros.sp.gov.br/hidrantes/03individual/3362.html","3362")</f>
      </c>
      <c r="B1120" t="s">
        <v>114</v>
      </c>
      <c r="C1120" t="s">
        <v>251</v>
      </c>
      <c r="D1120" t="s">
        <v>4310</v>
      </c>
      <c r="E1120" t="s">
        <v>15</v>
      </c>
      <c r="F1120" t="s">
        <v>4335</v>
      </c>
      <c r="G1120" t="s">
        <v>18042</v>
      </c>
      <c r="H1120" t="s">
        <v>1107</v>
      </c>
      <c r="I1120" t="s">
        <v>1108</v>
      </c>
      <c r="J1120" t="s">
        <v>4336</v>
      </c>
      <c r="K1120" t="s">
        <v>4337</v>
      </c>
      <c r="L1120" t="s">
        <v>21</v>
      </c>
      <c r="M1120" t="s">
        <v>19177</v>
      </c>
      <c r="N1120" t="s">
        <v>6029</v>
      </c>
      <c r="O1120" t="s">
        <v>6029</v>
      </c>
      <c r="P1120" t="s">
        <v>114</v>
      </c>
    </row>
    <row r="1121">
      <c r="A1121">
        <f>HYPERLINK("http://bombeiros.sp.gov.br/hidrantes/03individual/3366.html","3366")</f>
      </c>
      <c r="B1121" t="s">
        <v>114</v>
      </c>
      <c r="C1121" t="s">
        <v>251</v>
      </c>
      <c r="D1121" t="s">
        <v>4310</v>
      </c>
      <c r="E1121" t="s">
        <v>15</v>
      </c>
      <c r="F1121" t="s">
        <v>4338</v>
      </c>
      <c r="G1121" t="s">
        <v>18124</v>
      </c>
      <c r="H1121" t="s">
        <v>1107</v>
      </c>
      <c r="I1121" t="s">
        <v>1108</v>
      </c>
      <c r="J1121" t="s">
        <v>4339</v>
      </c>
      <c r="K1121" t="s">
        <v>4340</v>
      </c>
      <c r="L1121" t="s">
        <v>21</v>
      </c>
      <c r="M1121" t="s">
        <v>19177</v>
      </c>
      <c r="N1121" t="s">
        <v>6029</v>
      </c>
      <c r="O1121" t="s">
        <v>6029</v>
      </c>
      <c r="P1121" t="s">
        <v>114</v>
      </c>
    </row>
    <row r="1122">
      <c r="A1122">
        <f>HYPERLINK("http://bombeiros.sp.gov.br/hidrantes/03individual/3516.html","3516")</f>
      </c>
      <c r="B1122" t="s">
        <v>114</v>
      </c>
      <c r="C1122" t="s">
        <v>251</v>
      </c>
      <c r="D1122" t="s">
        <v>4310</v>
      </c>
      <c r="E1122" t="s">
        <v>15</v>
      </c>
      <c r="F1122" t="s">
        <v>4341</v>
      </c>
      <c r="G1122" t="s">
        <v>18124</v>
      </c>
      <c r="H1122" t="s">
        <v>1107</v>
      </c>
      <c r="I1122" t="s">
        <v>1108</v>
      </c>
      <c r="J1122" t="s">
        <v>4342</v>
      </c>
      <c r="K1122" t="s">
        <v>4343</v>
      </c>
      <c r="L1122" t="s">
        <v>21</v>
      </c>
      <c r="M1122" t="s">
        <v>19177</v>
      </c>
      <c r="N1122" t="s">
        <v>6029</v>
      </c>
      <c r="O1122" t="s">
        <v>6029</v>
      </c>
      <c r="P1122" t="s">
        <v>114</v>
      </c>
    </row>
    <row r="1123">
      <c r="A1123">
        <f>HYPERLINK("http://bombeiros.sp.gov.br/hidrantes/03individual/3547.html","3547")</f>
      </c>
      <c r="B1123" t="s">
        <v>114</v>
      </c>
      <c r="C1123" t="s">
        <v>251</v>
      </c>
      <c r="D1123" t="s">
        <v>4310</v>
      </c>
      <c r="E1123" t="s">
        <v>15</v>
      </c>
      <c r="F1123" t="s">
        <v>4344</v>
      </c>
      <c r="G1123" t="s">
        <v>18084</v>
      </c>
      <c r="H1123" t="s">
        <v>1112</v>
      </c>
      <c r="I1123" t="s">
        <v>1108</v>
      </c>
      <c r="J1123" t="s">
        <v>4345</v>
      </c>
      <c r="K1123" t="s">
        <v>4346</v>
      </c>
      <c r="L1123" t="s">
        <v>21</v>
      </c>
      <c r="M1123" t="s">
        <v>19177</v>
      </c>
      <c r="N1123" t="s">
        <v>6029</v>
      </c>
      <c r="O1123" t="s">
        <v>6029</v>
      </c>
      <c r="P1123" t="s">
        <v>114</v>
      </c>
    </row>
    <row r="1124">
      <c r="A1124">
        <f>HYPERLINK("http://bombeiros.sp.gov.br/hidrantes/03individual/4341.html","4341")</f>
      </c>
      <c r="B1124" t="s">
        <v>114</v>
      </c>
      <c r="C1124" t="s">
        <v>251</v>
      </c>
      <c r="D1124" t="s">
        <v>4310</v>
      </c>
      <c r="E1124" t="s">
        <v>15</v>
      </c>
      <c r="F1124" t="s">
        <v>4347</v>
      </c>
      <c r="G1124" t="s">
        <v>18124</v>
      </c>
      <c r="H1124" t="s">
        <v>1107</v>
      </c>
      <c r="I1124" t="s">
        <v>1108</v>
      </c>
      <c r="J1124" t="s">
        <v>4348</v>
      </c>
      <c r="K1124" t="s">
        <v>4349</v>
      </c>
      <c r="L1124" t="s">
        <v>21</v>
      </c>
      <c r="M1124" t="s">
        <v>19177</v>
      </c>
      <c r="N1124" t="s">
        <v>6029</v>
      </c>
      <c r="O1124" t="s">
        <v>6029</v>
      </c>
      <c r="P1124" t="s">
        <v>114</v>
      </c>
    </row>
    <row r="1125">
      <c r="A1125">
        <f>HYPERLINK("http://bombeiros.sp.gov.br/hidrantes/03individual/4342.html","4342")</f>
      </c>
      <c r="B1125" t="s">
        <v>114</v>
      </c>
      <c r="C1125" t="s">
        <v>251</v>
      </c>
      <c r="D1125" t="s">
        <v>4310</v>
      </c>
      <c r="E1125" t="s">
        <v>15</v>
      </c>
      <c r="F1125" t="s">
        <v>4350</v>
      </c>
      <c r="G1125" t="s">
        <v>18084</v>
      </c>
      <c r="H1125" t="s">
        <v>1112</v>
      </c>
      <c r="I1125" t="s">
        <v>1108</v>
      </c>
      <c r="J1125" t="s">
        <v>4351</v>
      </c>
      <c r="K1125" t="s">
        <v>4352</v>
      </c>
      <c r="L1125" t="s">
        <v>21</v>
      </c>
      <c r="M1125" t="s">
        <v>19177</v>
      </c>
      <c r="N1125" t="s">
        <v>6029</v>
      </c>
      <c r="O1125" t="s">
        <v>6029</v>
      </c>
      <c r="P1125" t="s">
        <v>114</v>
      </c>
    </row>
    <row r="1126">
      <c r="A1126">
        <f>HYPERLINK("http://bombeiros.sp.gov.br/hidrantes/03individual/4416.html","4416")</f>
      </c>
      <c r="B1126" t="s">
        <v>114</v>
      </c>
      <c r="C1126" t="s">
        <v>251</v>
      </c>
      <c r="D1126" t="s">
        <v>4310</v>
      </c>
      <c r="E1126" t="s">
        <v>15</v>
      </c>
      <c r="F1126" t="s">
        <v>4353</v>
      </c>
      <c r="G1126" t="s">
        <v>18084</v>
      </c>
      <c r="H1126" t="s">
        <v>1174</v>
      </c>
      <c r="I1126" t="s">
        <v>1108</v>
      </c>
      <c r="J1126" t="s">
        <v>4354</v>
      </c>
      <c r="K1126" t="s">
        <v>4355</v>
      </c>
      <c r="L1126" t="s">
        <v>21</v>
      </c>
      <c r="M1126" t="s">
        <v>19177</v>
      </c>
      <c r="N1126" t="s">
        <v>6029</v>
      </c>
      <c r="O1126" t="s">
        <v>6029</v>
      </c>
      <c r="P1126" t="s">
        <v>114</v>
      </c>
    </row>
    <row r="1127">
      <c r="A1127">
        <f>HYPERLINK("http://bombeiros.sp.gov.br/hidrantes/03individual/27591.html","27591")</f>
      </c>
      <c r="B1127" t="s">
        <v>114</v>
      </c>
      <c r="C1127" t="s">
        <v>251</v>
      </c>
      <c r="D1127" t="s">
        <v>4310</v>
      </c>
      <c r="E1127" t="s">
        <v>15</v>
      </c>
      <c r="F1127" t="s">
        <v>17476</v>
      </c>
      <c r="G1127" t="s">
        <v>18084</v>
      </c>
      <c r="H1127" t="s">
        <v>1121</v>
      </c>
      <c r="I1127" t="s">
        <v>1117</v>
      </c>
      <c r="J1127" t="s">
        <v>17477</v>
      </c>
      <c r="K1127" t="s">
        <v>17478</v>
      </c>
      <c r="L1127" t="s">
        <v>21</v>
      </c>
      <c r="M1127" t="s">
        <v>19177</v>
      </c>
      <c r="N1127" t="s">
        <v>6029</v>
      </c>
      <c r="O1127" t="s">
        <v>6029</v>
      </c>
      <c r="P1127" t="s">
        <v>114</v>
      </c>
    </row>
    <row r="1128">
      <c r="A1128">
        <f>HYPERLINK("http://bombeiros.sp.gov.br/hidrantes/03individual/3416.html","3416")</f>
      </c>
      <c r="B1128" t="s">
        <v>114</v>
      </c>
      <c r="C1128" t="s">
        <v>4356</v>
      </c>
      <c r="D1128" t="s">
        <v>4356</v>
      </c>
      <c r="E1128" t="s">
        <v>64</v>
      </c>
      <c r="F1128" t="s">
        <v>4357</v>
      </c>
      <c r="G1128" t="s">
        <v>18065</v>
      </c>
      <c r="H1128" t="s">
        <v>1121</v>
      </c>
      <c r="I1128" t="s">
        <v>1117</v>
      </c>
      <c r="J1128" t="s">
        <v>4358</v>
      </c>
      <c r="K1128" t="s">
        <v>4359</v>
      </c>
      <c r="L1128" t="s">
        <v>21</v>
      </c>
      <c r="M1128" t="s">
        <v>19177</v>
      </c>
      <c r="N1128" t="s">
        <v>272</v>
      </c>
      <c r="O1128" t="s">
        <v>272</v>
      </c>
      <c r="P1128" t="s">
        <v>114</v>
      </c>
    </row>
    <row r="1129">
      <c r="A1129">
        <f>HYPERLINK("http://bombeiros.sp.gov.br/hidrantes/03individual/3432.html","3432")</f>
      </c>
      <c r="B1129" t="s">
        <v>114</v>
      </c>
      <c r="C1129" t="s">
        <v>4356</v>
      </c>
      <c r="D1129" t="s">
        <v>4356</v>
      </c>
      <c r="E1129" t="s">
        <v>64</v>
      </c>
      <c r="F1129" t="s">
        <v>4360</v>
      </c>
      <c r="G1129" t="s">
        <v>18062</v>
      </c>
      <c r="H1129" t="s">
        <v>1112</v>
      </c>
      <c r="I1129" t="s">
        <v>1108</v>
      </c>
      <c r="J1129" t="s">
        <v>4362</v>
      </c>
      <c r="K1129" t="s">
        <v>4363</v>
      </c>
      <c r="L1129" t="s">
        <v>36</v>
      </c>
      <c r="M1129" t="s">
        <v>19177</v>
      </c>
      <c r="N1129" t="s">
        <v>272</v>
      </c>
      <c r="O1129" t="s">
        <v>272</v>
      </c>
      <c r="P1129" t="s">
        <v>114</v>
      </c>
    </row>
    <row r="1130">
      <c r="A1130">
        <f>HYPERLINK("http://bombeiros.sp.gov.br/hidrantes/03individual/15040.html","15040")</f>
      </c>
      <c r="B1130" t="s">
        <v>114</v>
      </c>
      <c r="C1130" t="s">
        <v>4356</v>
      </c>
      <c r="D1130" t="s">
        <v>4356</v>
      </c>
      <c r="E1130" t="s">
        <v>64</v>
      </c>
      <c r="F1130" t="s">
        <v>4364</v>
      </c>
      <c r="G1130" t="s">
        <v>18065</v>
      </c>
      <c r="H1130" t="s">
        <v>1112</v>
      </c>
      <c r="I1130" t="s">
        <v>1108</v>
      </c>
      <c r="J1130" t="s">
        <v>18905</v>
      </c>
      <c r="K1130" t="s">
        <v>18906</v>
      </c>
      <c r="L1130" t="s">
        <v>21</v>
      </c>
      <c r="M1130" t="s">
        <v>19177</v>
      </c>
      <c r="N1130" t="s">
        <v>272</v>
      </c>
      <c r="O1130" t="s">
        <v>272</v>
      </c>
      <c r="P1130" t="s">
        <v>114</v>
      </c>
    </row>
    <row r="1131">
      <c r="A1131">
        <f>HYPERLINK("http://bombeiros.sp.gov.br/hidrantes/03individual/17789.html","17789")</f>
      </c>
      <c r="B1131" t="s">
        <v>114</v>
      </c>
      <c r="C1131" t="s">
        <v>4356</v>
      </c>
      <c r="D1131" t="s">
        <v>4356</v>
      </c>
      <c r="E1131" t="s">
        <v>64</v>
      </c>
      <c r="F1131" t="s">
        <v>4367</v>
      </c>
      <c r="G1131" t="s">
        <v>18097</v>
      </c>
      <c r="H1131" t="s">
        <v>1107</v>
      </c>
      <c r="I1131" t="s">
        <v>1108</v>
      </c>
      <c r="J1131" t="s">
        <v>4368</v>
      </c>
      <c r="K1131" t="s">
        <v>4369</v>
      </c>
      <c r="L1131" t="s">
        <v>21</v>
      </c>
      <c r="M1131" t="s">
        <v>19177</v>
      </c>
      <c r="N1131" t="s">
        <v>272</v>
      </c>
      <c r="O1131" t="s">
        <v>272</v>
      </c>
      <c r="P1131" t="s">
        <v>114</v>
      </c>
    </row>
    <row r="1132">
      <c r="A1132">
        <f>HYPERLINK("http://bombeiros.sp.gov.br/hidrantes/03individual/26814.html","26814")</f>
      </c>
      <c r="B1132" t="s">
        <v>114</v>
      </c>
      <c r="C1132" t="s">
        <v>4356</v>
      </c>
      <c r="D1132" t="s">
        <v>4356</v>
      </c>
      <c r="E1132" t="s">
        <v>64</v>
      </c>
      <c r="F1132" t="s">
        <v>16056</v>
      </c>
      <c r="G1132" t="s">
        <v>18065</v>
      </c>
      <c r="H1132" t="s">
        <v>1121</v>
      </c>
      <c r="I1132" t="s">
        <v>1117</v>
      </c>
      <c r="J1132" t="s">
        <v>16057</v>
      </c>
      <c r="K1132" t="s">
        <v>16058</v>
      </c>
      <c r="L1132" t="s">
        <v>21</v>
      </c>
      <c r="M1132" t="s">
        <v>19177</v>
      </c>
      <c r="N1132" t="s">
        <v>272</v>
      </c>
      <c r="O1132" t="s">
        <v>272</v>
      </c>
      <c r="P1132" t="s">
        <v>114</v>
      </c>
    </row>
    <row r="1133">
      <c r="A1133">
        <f>HYPERLINK("http://bombeiros.sp.gov.br/hidrantes/03individual/28184.html","28184")</f>
      </c>
      <c r="B1133" t="s">
        <v>114</v>
      </c>
      <c r="C1133" t="s">
        <v>4356</v>
      </c>
      <c r="D1133" t="s">
        <v>4356</v>
      </c>
      <c r="E1133" t="s">
        <v>64</v>
      </c>
      <c r="F1133" t="s">
        <v>18279</v>
      </c>
      <c r="G1133" t="s">
        <v>18048</v>
      </c>
      <c r="H1133" t="s">
        <v>1112</v>
      </c>
      <c r="I1133" t="s">
        <v>1108</v>
      </c>
      <c r="J1133" t="s">
        <v>18280</v>
      </c>
      <c r="K1133" t="s">
        <v>18281</v>
      </c>
      <c r="L1133" t="s">
        <v>21</v>
      </c>
      <c r="M1133" t="s">
        <v>19177</v>
      </c>
      <c r="N1133" t="s">
        <v>272</v>
      </c>
      <c r="O1133" t="s">
        <v>272</v>
      </c>
      <c r="P1133" t="s">
        <v>114</v>
      </c>
    </row>
    <row r="1134">
      <c r="A1134">
        <f>HYPERLINK("http://bombeiros.sp.gov.br/hidrantes/03individual/28326.html","28326")</f>
      </c>
      <c r="B1134" t="s">
        <v>114</v>
      </c>
      <c r="C1134" t="s">
        <v>4356</v>
      </c>
      <c r="D1134" t="s">
        <v>4356</v>
      </c>
      <c r="E1134" t="s">
        <v>64</v>
      </c>
      <c r="F1134" t="s">
        <v>18578</v>
      </c>
      <c r="G1134"/>
      <c r="H1134"/>
      <c r="I1134" t="s">
        <v>1503</v>
      </c>
      <c r="J1134" t="s">
        <v>18579</v>
      </c>
      <c r="K1134" t="s">
        <v>18580</v>
      </c>
      <c r="L1134" t="s">
        <v>21</v>
      </c>
      <c r="M1134" t="s">
        <v>19177</v>
      </c>
      <c r="N1134" t="s">
        <v>272</v>
      </c>
      <c r="O1134" t="s">
        <v>272</v>
      </c>
      <c r="P1134" t="s">
        <v>114</v>
      </c>
    </row>
    <row r="1135">
      <c r="A1135">
        <f>HYPERLINK("http://bombeiros.sp.gov.br/hidrantes/03individual/1994.html","1994")</f>
      </c>
      <c r="B1135" t="s">
        <v>114</v>
      </c>
      <c r="C1135" t="s">
        <v>4356</v>
      </c>
      <c r="D1135" t="s">
        <v>4356</v>
      </c>
      <c r="E1135" t="s">
        <v>15</v>
      </c>
      <c r="F1135" t="s">
        <v>4370</v>
      </c>
      <c r="G1135" t="s">
        <v>18085</v>
      </c>
      <c r="H1135" t="s">
        <v>1107</v>
      </c>
      <c r="I1135" t="s">
        <v>1108</v>
      </c>
      <c r="J1135" t="s">
        <v>4371</v>
      </c>
      <c r="K1135" t="s">
        <v>4372</v>
      </c>
      <c r="L1135" t="s">
        <v>21</v>
      </c>
      <c r="M1135" t="s">
        <v>19177</v>
      </c>
      <c r="N1135" t="s">
        <v>272</v>
      </c>
      <c r="O1135" t="s">
        <v>272</v>
      </c>
      <c r="P1135" t="s">
        <v>114</v>
      </c>
    </row>
    <row r="1136">
      <c r="A1136">
        <f>HYPERLINK("http://bombeiros.sp.gov.br/hidrantes/03individual/2028.html","2028")</f>
      </c>
      <c r="B1136" t="s">
        <v>114</v>
      </c>
      <c r="C1136" t="s">
        <v>4356</v>
      </c>
      <c r="D1136" t="s">
        <v>4356</v>
      </c>
      <c r="E1136" t="s">
        <v>15</v>
      </c>
      <c r="F1136" t="s">
        <v>4373</v>
      </c>
      <c r="G1136" t="s">
        <v>18105</v>
      </c>
      <c r="H1136" t="s">
        <v>1112</v>
      </c>
      <c r="I1136" t="s">
        <v>1108</v>
      </c>
      <c r="J1136" t="s">
        <v>4374</v>
      </c>
      <c r="K1136" t="s">
        <v>4375</v>
      </c>
      <c r="L1136" t="s">
        <v>21</v>
      </c>
      <c r="M1136" t="s">
        <v>19177</v>
      </c>
      <c r="N1136" t="s">
        <v>272</v>
      </c>
      <c r="O1136" t="s">
        <v>272</v>
      </c>
      <c r="P1136" t="s">
        <v>114</v>
      </c>
    </row>
    <row r="1137">
      <c r="A1137">
        <f>HYPERLINK("http://bombeiros.sp.gov.br/hidrantes/03individual/3364.html","3364")</f>
      </c>
      <c r="B1137" t="s">
        <v>114</v>
      </c>
      <c r="C1137" t="s">
        <v>4356</v>
      </c>
      <c r="D1137" t="s">
        <v>4356</v>
      </c>
      <c r="E1137" t="s">
        <v>15</v>
      </c>
      <c r="F1137" t="s">
        <v>4376</v>
      </c>
      <c r="G1137" t="s">
        <v>18062</v>
      </c>
      <c r="H1137" t="s">
        <v>1112</v>
      </c>
      <c r="I1137" t="s">
        <v>1108</v>
      </c>
      <c r="J1137" t="s">
        <v>4377</v>
      </c>
      <c r="K1137" t="s">
        <v>4378</v>
      </c>
      <c r="L1137" t="s">
        <v>21</v>
      </c>
      <c r="M1137" t="s">
        <v>19177</v>
      </c>
      <c r="N1137" t="s">
        <v>272</v>
      </c>
      <c r="O1137" t="s">
        <v>272</v>
      </c>
      <c r="P1137" t="s">
        <v>114</v>
      </c>
    </row>
    <row r="1138">
      <c r="A1138">
        <f>HYPERLINK("http://bombeiros.sp.gov.br/hidrantes/03individual/4319.html","4319")</f>
      </c>
      <c r="B1138" t="s">
        <v>114</v>
      </c>
      <c r="C1138" t="s">
        <v>4356</v>
      </c>
      <c r="D1138" t="s">
        <v>4356</v>
      </c>
      <c r="E1138" t="s">
        <v>15</v>
      </c>
      <c r="F1138" t="s">
        <v>4379</v>
      </c>
      <c r="G1138" t="s">
        <v>18048</v>
      </c>
      <c r="H1138" t="s">
        <v>1107</v>
      </c>
      <c r="I1138" t="s">
        <v>1108</v>
      </c>
      <c r="J1138" t="s">
        <v>4380</v>
      </c>
      <c r="K1138" t="s">
        <v>4381</v>
      </c>
      <c r="L1138" t="s">
        <v>36</v>
      </c>
      <c r="M1138" t="s">
        <v>19177</v>
      </c>
      <c r="N1138" t="s">
        <v>272</v>
      </c>
      <c r="O1138" t="s">
        <v>272</v>
      </c>
      <c r="P1138" t="s">
        <v>114</v>
      </c>
    </row>
    <row r="1139">
      <c r="A1139">
        <f>HYPERLINK("http://bombeiros.sp.gov.br/hidrantes/03individual/4333.html","4333")</f>
      </c>
      <c r="B1139" t="s">
        <v>114</v>
      </c>
      <c r="C1139" t="s">
        <v>4356</v>
      </c>
      <c r="D1139" t="s">
        <v>4356</v>
      </c>
      <c r="E1139" t="s">
        <v>15</v>
      </c>
      <c r="F1139" t="s">
        <v>4382</v>
      </c>
      <c r="G1139" t="s">
        <v>18048</v>
      </c>
      <c r="H1139" t="s">
        <v>1112</v>
      </c>
      <c r="I1139" t="s">
        <v>1108</v>
      </c>
      <c r="J1139" t="s">
        <v>4383</v>
      </c>
      <c r="K1139" t="s">
        <v>4384</v>
      </c>
      <c r="L1139" t="s">
        <v>21</v>
      </c>
      <c r="M1139" t="s">
        <v>19177</v>
      </c>
      <c r="N1139" t="s">
        <v>272</v>
      </c>
      <c r="O1139" t="s">
        <v>272</v>
      </c>
      <c r="P1139" t="s">
        <v>114</v>
      </c>
    </row>
    <row r="1140">
      <c r="A1140">
        <f>HYPERLINK("http://bombeiros.sp.gov.br/hidrantes/03individual/858.html","858")</f>
      </c>
      <c r="B1140" t="s">
        <v>114</v>
      </c>
      <c r="C1140" t="s">
        <v>4356</v>
      </c>
      <c r="D1140" t="s">
        <v>4385</v>
      </c>
      <c r="E1140" t="s">
        <v>64</v>
      </c>
      <c r="F1140" t="s">
        <v>4386</v>
      </c>
      <c r="G1140" t="s">
        <v>18065</v>
      </c>
      <c r="H1140" t="s">
        <v>1121</v>
      </c>
      <c r="I1140" t="s">
        <v>1117</v>
      </c>
      <c r="J1140" t="s">
        <v>4387</v>
      </c>
      <c r="K1140" t="s">
        <v>4388</v>
      </c>
      <c r="L1140" t="s">
        <v>36</v>
      </c>
      <c r="M1140" t="s">
        <v>19177</v>
      </c>
      <c r="N1140" t="s">
        <v>272</v>
      </c>
      <c r="O1140" t="s">
        <v>272</v>
      </c>
      <c r="P1140" t="s">
        <v>114</v>
      </c>
    </row>
    <row r="1141">
      <c r="A1141">
        <f>HYPERLINK("http://bombeiros.sp.gov.br/hidrantes/03individual/3456.html","3456")</f>
      </c>
      <c r="B1141" t="s">
        <v>114</v>
      </c>
      <c r="C1141" t="s">
        <v>4356</v>
      </c>
      <c r="D1141" t="s">
        <v>4385</v>
      </c>
      <c r="E1141" t="s">
        <v>64</v>
      </c>
      <c r="F1141" t="s">
        <v>4389</v>
      </c>
      <c r="G1141" t="s">
        <v>18048</v>
      </c>
      <c r="H1141" t="s">
        <v>1121</v>
      </c>
      <c r="I1141" t="s">
        <v>1117</v>
      </c>
      <c r="J1141" t="s">
        <v>4390</v>
      </c>
      <c r="K1141" t="s">
        <v>4391</v>
      </c>
      <c r="L1141" t="s">
        <v>36</v>
      </c>
      <c r="M1141" t="s">
        <v>19177</v>
      </c>
      <c r="N1141" t="s">
        <v>272</v>
      </c>
      <c r="O1141" t="s">
        <v>272</v>
      </c>
      <c r="P1141" t="s">
        <v>114</v>
      </c>
    </row>
    <row r="1142">
      <c r="A1142">
        <f>HYPERLINK("http://bombeiros.sp.gov.br/hidrantes/03individual/15041.html","15041")</f>
      </c>
      <c r="B1142" t="s">
        <v>114</v>
      </c>
      <c r="C1142" t="s">
        <v>4356</v>
      </c>
      <c r="D1142" t="s">
        <v>4385</v>
      </c>
      <c r="E1142" t="s">
        <v>64</v>
      </c>
      <c r="F1142" t="s">
        <v>4392</v>
      </c>
      <c r="G1142" t="s">
        <v>18048</v>
      </c>
      <c r="H1142" t="s">
        <v>1121</v>
      </c>
      <c r="I1142" t="s">
        <v>1117</v>
      </c>
      <c r="J1142" t="s">
        <v>4393</v>
      </c>
      <c r="K1142" t="s">
        <v>4394</v>
      </c>
      <c r="L1142" t="s">
        <v>21</v>
      </c>
      <c r="M1142" t="s">
        <v>19177</v>
      </c>
      <c r="N1142" t="s">
        <v>272</v>
      </c>
      <c r="O1142" t="s">
        <v>272</v>
      </c>
      <c r="P1142" t="s">
        <v>114</v>
      </c>
    </row>
    <row r="1143">
      <c r="A1143">
        <f>HYPERLINK("http://bombeiros.sp.gov.br/hidrantes/03individual/17788.html","17788")</f>
      </c>
      <c r="B1143" t="s">
        <v>114</v>
      </c>
      <c r="C1143" t="s">
        <v>4356</v>
      </c>
      <c r="D1143" t="s">
        <v>4385</v>
      </c>
      <c r="E1143" t="s">
        <v>64</v>
      </c>
      <c r="F1143" t="s">
        <v>4395</v>
      </c>
      <c r="G1143" t="s">
        <v>18046</v>
      </c>
      <c r="H1143" t="s">
        <v>1112</v>
      </c>
      <c r="I1143" t="s">
        <v>1108</v>
      </c>
      <c r="J1143" t="s">
        <v>4396</v>
      </c>
      <c r="K1143" t="s">
        <v>4397</v>
      </c>
      <c r="L1143" t="s">
        <v>21</v>
      </c>
      <c r="M1143" t="s">
        <v>19177</v>
      </c>
      <c r="N1143" t="s">
        <v>272</v>
      </c>
      <c r="O1143" t="s">
        <v>272</v>
      </c>
      <c r="P1143" t="s">
        <v>114</v>
      </c>
    </row>
    <row r="1144">
      <c r="A1144">
        <f>HYPERLINK("http://bombeiros.sp.gov.br/hidrantes/03individual/27078.html","27078")</f>
      </c>
      <c r="B1144" t="s">
        <v>114</v>
      </c>
      <c r="C1144" t="s">
        <v>4356</v>
      </c>
      <c r="D1144" t="s">
        <v>4385</v>
      </c>
      <c r="E1144" t="s">
        <v>64</v>
      </c>
      <c r="F1144" t="s">
        <v>16728</v>
      </c>
      <c r="G1144" t="s">
        <v>18065</v>
      </c>
      <c r="H1144" t="s">
        <v>1121</v>
      </c>
      <c r="I1144" t="s">
        <v>1108</v>
      </c>
      <c r="J1144" t="s">
        <v>16729</v>
      </c>
      <c r="K1144" t="s">
        <v>16730</v>
      </c>
      <c r="L1144" t="s">
        <v>21</v>
      </c>
      <c r="M1144" t="s">
        <v>19177</v>
      </c>
      <c r="N1144" t="s">
        <v>272</v>
      </c>
      <c r="O1144" t="s">
        <v>272</v>
      </c>
      <c r="P1144" t="s">
        <v>114</v>
      </c>
    </row>
    <row r="1145">
      <c r="A1145">
        <f>HYPERLINK("http://bombeiros.sp.gov.br/hidrantes/03individual/27179.html","27179")</f>
      </c>
      <c r="B1145" t="s">
        <v>114</v>
      </c>
      <c r="C1145" t="s">
        <v>4356</v>
      </c>
      <c r="D1145" t="s">
        <v>4385</v>
      </c>
      <c r="E1145" t="s">
        <v>64</v>
      </c>
      <c r="F1145" t="s">
        <v>16913</v>
      </c>
      <c r="G1145" t="s">
        <v>18065</v>
      </c>
      <c r="H1145" t="s">
        <v>1121</v>
      </c>
      <c r="I1145" t="s">
        <v>1117</v>
      </c>
      <c r="J1145" t="s">
        <v>16914</v>
      </c>
      <c r="K1145" t="s">
        <v>16915</v>
      </c>
      <c r="L1145" t="s">
        <v>21</v>
      </c>
      <c r="M1145" t="s">
        <v>19177</v>
      </c>
      <c r="N1145" t="s">
        <v>272</v>
      </c>
      <c r="O1145" t="s">
        <v>272</v>
      </c>
      <c r="P1145" t="s">
        <v>114</v>
      </c>
    </row>
    <row r="1146">
      <c r="A1146">
        <f>HYPERLINK("http://bombeiros.sp.gov.br/hidrantes/03individual/27180.html","27180")</f>
      </c>
      <c r="B1146" t="s">
        <v>114</v>
      </c>
      <c r="C1146" t="s">
        <v>4356</v>
      </c>
      <c r="D1146" t="s">
        <v>4385</v>
      </c>
      <c r="E1146" t="s">
        <v>64</v>
      </c>
      <c r="F1146" t="s">
        <v>16916</v>
      </c>
      <c r="G1146" t="s">
        <v>18065</v>
      </c>
      <c r="H1146" t="s">
        <v>1112</v>
      </c>
      <c r="I1146" t="s">
        <v>1108</v>
      </c>
      <c r="J1146" t="s">
        <v>16917</v>
      </c>
      <c r="K1146" t="s">
        <v>16918</v>
      </c>
      <c r="L1146" t="s">
        <v>21</v>
      </c>
      <c r="M1146" t="s">
        <v>19177</v>
      </c>
      <c r="N1146" t="s">
        <v>272</v>
      </c>
      <c r="O1146" t="s">
        <v>272</v>
      </c>
      <c r="P1146" t="s">
        <v>114</v>
      </c>
    </row>
    <row r="1147">
      <c r="A1147">
        <f>HYPERLINK("http://bombeiros.sp.gov.br/hidrantes/03individual/3858.html","3858")</f>
      </c>
      <c r="B1147" t="s">
        <v>114</v>
      </c>
      <c r="C1147" t="s">
        <v>255</v>
      </c>
      <c r="D1147" t="s">
        <v>255</v>
      </c>
      <c r="E1147" t="s">
        <v>64</v>
      </c>
      <c r="F1147" t="s">
        <v>4398</v>
      </c>
      <c r="G1147" t="s">
        <v>18042</v>
      </c>
      <c r="H1147" t="s">
        <v>1112</v>
      </c>
      <c r="I1147" t="s">
        <v>1108</v>
      </c>
      <c r="J1147" t="s">
        <v>4399</v>
      </c>
      <c r="K1147" t="s">
        <v>4400</v>
      </c>
      <c r="L1147" t="s">
        <v>36</v>
      </c>
      <c r="M1147" t="s">
        <v>19177</v>
      </c>
      <c r="N1147" t="s">
        <v>337</v>
      </c>
      <c r="O1147" t="s">
        <v>337</v>
      </c>
      <c r="P1147" t="s">
        <v>12</v>
      </c>
    </row>
    <row r="1148">
      <c r="A1148">
        <f>HYPERLINK("http://bombeiros.sp.gov.br/hidrantes/03individual/3908.html","3908")</f>
      </c>
      <c r="B1148" t="s">
        <v>114</v>
      </c>
      <c r="C1148" t="s">
        <v>255</v>
      </c>
      <c r="D1148" t="s">
        <v>255</v>
      </c>
      <c r="E1148" t="s">
        <v>64</v>
      </c>
      <c r="F1148" t="s">
        <v>4401</v>
      </c>
      <c r="G1148" t="s">
        <v>18051</v>
      </c>
      <c r="H1148" t="s">
        <v>1112</v>
      </c>
      <c r="I1148" t="s">
        <v>1108</v>
      </c>
      <c r="J1148" t="s">
        <v>4402</v>
      </c>
      <c r="K1148" t="s">
        <v>4403</v>
      </c>
      <c r="L1148" t="s">
        <v>21</v>
      </c>
      <c r="M1148" t="s">
        <v>19177</v>
      </c>
      <c r="N1148" t="s">
        <v>337</v>
      </c>
      <c r="O1148" t="s">
        <v>337</v>
      </c>
      <c r="P1148" t="s">
        <v>12</v>
      </c>
    </row>
    <row r="1149">
      <c r="A1149">
        <f>HYPERLINK("http://bombeiros.sp.gov.br/hidrantes/03individual/28406.html","28406")</f>
      </c>
      <c r="B1149" t="s">
        <v>114</v>
      </c>
      <c r="C1149" t="s">
        <v>255</v>
      </c>
      <c r="D1149" t="s">
        <v>255</v>
      </c>
      <c r="E1149" t="s">
        <v>64</v>
      </c>
      <c r="F1149" t="s">
        <v>18737</v>
      </c>
      <c r="G1149"/>
      <c r="H1149"/>
      <c r="I1149" t="s">
        <v>1503</v>
      </c>
      <c r="J1149" t="s">
        <v>18738</v>
      </c>
      <c r="K1149" t="s">
        <v>18739</v>
      </c>
      <c r="L1149" t="s">
        <v>21</v>
      </c>
      <c r="M1149" t="s">
        <v>19177</v>
      </c>
      <c r="N1149" t="s">
        <v>337</v>
      </c>
      <c r="O1149" t="s">
        <v>337</v>
      </c>
      <c r="P1149" t="s">
        <v>12</v>
      </c>
    </row>
    <row r="1150">
      <c r="A1150">
        <f>HYPERLINK("http://bombeiros.sp.gov.br/hidrantes/03individual/2110.html","2110")</f>
      </c>
      <c r="B1150" t="s">
        <v>114</v>
      </c>
      <c r="C1150" t="s">
        <v>255</v>
      </c>
      <c r="D1150" t="s">
        <v>255</v>
      </c>
      <c r="E1150" t="s">
        <v>15</v>
      </c>
      <c r="F1150" t="s">
        <v>4404</v>
      </c>
      <c r="G1150" t="s">
        <v>18051</v>
      </c>
      <c r="H1150" t="s">
        <v>1112</v>
      </c>
      <c r="I1150" t="s">
        <v>1108</v>
      </c>
      <c r="J1150" t="s">
        <v>4405</v>
      </c>
      <c r="K1150" t="s">
        <v>4406</v>
      </c>
      <c r="L1150" t="s">
        <v>21</v>
      </c>
      <c r="M1150" t="s">
        <v>19177</v>
      </c>
      <c r="N1150" t="s">
        <v>337</v>
      </c>
      <c r="O1150" t="s">
        <v>337</v>
      </c>
      <c r="P1150" t="s">
        <v>12</v>
      </c>
    </row>
    <row r="1151">
      <c r="A1151">
        <f>HYPERLINK("http://bombeiros.sp.gov.br/hidrantes/03individual/4377.html","4377")</f>
      </c>
      <c r="B1151" t="s">
        <v>114</v>
      </c>
      <c r="C1151" t="s">
        <v>255</v>
      </c>
      <c r="D1151" t="s">
        <v>255</v>
      </c>
      <c r="E1151" t="s">
        <v>15</v>
      </c>
      <c r="F1151" t="s">
        <v>4407</v>
      </c>
      <c r="G1151" t="s">
        <v>18042</v>
      </c>
      <c r="H1151" t="s">
        <v>1112</v>
      </c>
      <c r="I1151" t="s">
        <v>1108</v>
      </c>
      <c r="J1151" t="s">
        <v>4408</v>
      </c>
      <c r="K1151" t="s">
        <v>4409</v>
      </c>
      <c r="L1151" t="s">
        <v>36</v>
      </c>
      <c r="M1151" t="s">
        <v>19177</v>
      </c>
      <c r="N1151" t="s">
        <v>337</v>
      </c>
      <c r="O1151" t="s">
        <v>337</v>
      </c>
      <c r="P1151" t="s">
        <v>12</v>
      </c>
    </row>
    <row r="1152">
      <c r="A1152">
        <f>HYPERLINK("http://bombeiros.sp.gov.br/hidrantes/03individual/17729.html","17729")</f>
      </c>
      <c r="B1152" t="s">
        <v>114</v>
      </c>
      <c r="C1152" t="s">
        <v>255</v>
      </c>
      <c r="D1152" t="s">
        <v>255</v>
      </c>
      <c r="E1152" t="s">
        <v>15</v>
      </c>
      <c r="F1152" t="s">
        <v>4410</v>
      </c>
      <c r="G1152" t="s">
        <v>18046</v>
      </c>
      <c r="H1152" t="s">
        <v>1112</v>
      </c>
      <c r="I1152" t="s">
        <v>1108</v>
      </c>
      <c r="J1152" t="s">
        <v>4411</v>
      </c>
      <c r="K1152" t="s">
        <v>4412</v>
      </c>
      <c r="L1152" t="s">
        <v>21</v>
      </c>
      <c r="M1152" t="s">
        <v>19177</v>
      </c>
      <c r="N1152" t="s">
        <v>337</v>
      </c>
      <c r="O1152" t="s">
        <v>337</v>
      </c>
      <c r="P1152" t="s">
        <v>12</v>
      </c>
    </row>
    <row r="1153">
      <c r="A1153">
        <f>HYPERLINK("http://bombeiros.sp.gov.br/hidrantes/03individual/26849.html","26849")</f>
      </c>
      <c r="B1153" t="s">
        <v>114</v>
      </c>
      <c r="C1153" t="s">
        <v>255</v>
      </c>
      <c r="D1153" t="s">
        <v>255</v>
      </c>
      <c r="E1153" t="s">
        <v>15</v>
      </c>
      <c r="F1153" t="s">
        <v>16186</v>
      </c>
      <c r="G1153" t="s">
        <v>18074</v>
      </c>
      <c r="H1153" t="s">
        <v>1112</v>
      </c>
      <c r="I1153" t="s">
        <v>1108</v>
      </c>
      <c r="J1153" t="s">
        <v>16187</v>
      </c>
      <c r="K1153" t="s">
        <v>16188</v>
      </c>
      <c r="L1153" t="s">
        <v>21</v>
      </c>
      <c r="M1153" t="s">
        <v>19177</v>
      </c>
      <c r="N1153" t="s">
        <v>337</v>
      </c>
      <c r="O1153" t="s">
        <v>337</v>
      </c>
      <c r="P1153" t="s">
        <v>12</v>
      </c>
    </row>
    <row r="1154">
      <c r="A1154">
        <f>HYPERLINK("http://bombeiros.sp.gov.br/hidrantes/03individual/2109.html","2109")</f>
      </c>
      <c r="B1154" t="s">
        <v>114</v>
      </c>
      <c r="C1154" t="s">
        <v>255</v>
      </c>
      <c r="D1154" t="s">
        <v>4413</v>
      </c>
      <c r="E1154" t="s">
        <v>64</v>
      </c>
      <c r="F1154" t="s">
        <v>4414</v>
      </c>
      <c r="G1154" t="s">
        <v>18048</v>
      </c>
      <c r="H1154" t="s">
        <v>1112</v>
      </c>
      <c r="I1154" t="s">
        <v>1108</v>
      </c>
      <c r="J1154" t="s">
        <v>4415</v>
      </c>
      <c r="K1154" t="s">
        <v>4416</v>
      </c>
      <c r="L1154" t="s">
        <v>21</v>
      </c>
      <c r="M1154" t="s">
        <v>19177</v>
      </c>
      <c r="N1154" t="s">
        <v>337</v>
      </c>
      <c r="O1154" t="s">
        <v>337</v>
      </c>
      <c r="P1154" t="s">
        <v>12</v>
      </c>
    </row>
    <row r="1155">
      <c r="A1155">
        <f>HYPERLINK("http://bombeiros.sp.gov.br/hidrantes/03individual/3819.html","3819")</f>
      </c>
      <c r="B1155" t="s">
        <v>114</v>
      </c>
      <c r="C1155" t="s">
        <v>255</v>
      </c>
      <c r="D1155" t="s">
        <v>4413</v>
      </c>
      <c r="E1155" t="s">
        <v>64</v>
      </c>
      <c r="F1155" t="s">
        <v>4417</v>
      </c>
      <c r="G1155" t="s">
        <v>18062</v>
      </c>
      <c r="H1155" t="s">
        <v>1121</v>
      </c>
      <c r="I1155" t="s">
        <v>1117</v>
      </c>
      <c r="J1155" t="s">
        <v>4418</v>
      </c>
      <c r="K1155" t="s">
        <v>4419</v>
      </c>
      <c r="L1155" t="s">
        <v>36</v>
      </c>
      <c r="M1155" t="s">
        <v>19177</v>
      </c>
      <c r="N1155" t="s">
        <v>337</v>
      </c>
      <c r="O1155" t="s">
        <v>337</v>
      </c>
      <c r="P1155" t="s">
        <v>12</v>
      </c>
    </row>
    <row r="1156">
      <c r="A1156">
        <f>HYPERLINK("http://bombeiros.sp.gov.br/hidrantes/03individual/3820.html","3820")</f>
      </c>
      <c r="B1156" t="s">
        <v>114</v>
      </c>
      <c r="C1156" t="s">
        <v>255</v>
      </c>
      <c r="D1156" t="s">
        <v>4413</v>
      </c>
      <c r="E1156" t="s">
        <v>64</v>
      </c>
      <c r="F1156" t="s">
        <v>4420</v>
      </c>
      <c r="G1156" t="s">
        <v>18050</v>
      </c>
      <c r="H1156" t="s">
        <v>1121</v>
      </c>
      <c r="I1156" t="s">
        <v>1117</v>
      </c>
      <c r="J1156" t="s">
        <v>4421</v>
      </c>
      <c r="K1156" t="s">
        <v>4422</v>
      </c>
      <c r="L1156" t="s">
        <v>36</v>
      </c>
      <c r="M1156" t="s">
        <v>19177</v>
      </c>
      <c r="N1156" t="s">
        <v>337</v>
      </c>
      <c r="O1156" t="s">
        <v>337</v>
      </c>
      <c r="P1156" t="s">
        <v>12</v>
      </c>
    </row>
    <row r="1157">
      <c r="A1157">
        <f>HYPERLINK("http://bombeiros.sp.gov.br/hidrantes/03individual/17728.html","17728")</f>
      </c>
      <c r="B1157" t="s">
        <v>114</v>
      </c>
      <c r="C1157" t="s">
        <v>255</v>
      </c>
      <c r="D1157" t="s">
        <v>4413</v>
      </c>
      <c r="E1157" t="s">
        <v>64</v>
      </c>
      <c r="F1157" t="s">
        <v>4423</v>
      </c>
      <c r="G1157" t="s">
        <v>18062</v>
      </c>
      <c r="H1157" t="s">
        <v>1174</v>
      </c>
      <c r="I1157" t="s">
        <v>1108</v>
      </c>
      <c r="J1157" t="s">
        <v>4424</v>
      </c>
      <c r="K1157" t="s">
        <v>4425</v>
      </c>
      <c r="L1157" t="s">
        <v>21</v>
      </c>
      <c r="M1157" t="s">
        <v>19177</v>
      </c>
      <c r="N1157" t="s">
        <v>337</v>
      </c>
      <c r="O1157" t="s">
        <v>337</v>
      </c>
      <c r="P1157" t="s">
        <v>12</v>
      </c>
    </row>
    <row r="1158">
      <c r="A1158">
        <f>HYPERLINK("http://bombeiros.sp.gov.br/hidrantes/03individual/27081.html","27081")</f>
      </c>
      <c r="B1158" t="s">
        <v>114</v>
      </c>
      <c r="C1158" t="s">
        <v>255</v>
      </c>
      <c r="D1158" t="s">
        <v>4413</v>
      </c>
      <c r="E1158" t="s">
        <v>64</v>
      </c>
      <c r="F1158" t="s">
        <v>16731</v>
      </c>
      <c r="G1158" t="s">
        <v>18048</v>
      </c>
      <c r="H1158" t="s">
        <v>1112</v>
      </c>
      <c r="I1158" t="s">
        <v>1108</v>
      </c>
      <c r="J1158" t="s">
        <v>16732</v>
      </c>
      <c r="K1158" t="s">
        <v>16733</v>
      </c>
      <c r="L1158" t="s">
        <v>21</v>
      </c>
      <c r="M1158" t="s">
        <v>19177</v>
      </c>
      <c r="N1158" t="s">
        <v>337</v>
      </c>
      <c r="O1158" t="s">
        <v>337</v>
      </c>
      <c r="P1158" t="s">
        <v>12</v>
      </c>
    </row>
    <row r="1159">
      <c r="A1159">
        <f>HYPERLINK("http://bombeiros.sp.gov.br/hidrantes/03individual/27082.html","27082")</f>
      </c>
      <c r="B1159" t="s">
        <v>114</v>
      </c>
      <c r="C1159" t="s">
        <v>255</v>
      </c>
      <c r="D1159" t="s">
        <v>4413</v>
      </c>
      <c r="E1159" t="s">
        <v>64</v>
      </c>
      <c r="F1159" t="s">
        <v>16734</v>
      </c>
      <c r="G1159" t="s">
        <v>18048</v>
      </c>
      <c r="H1159" t="s">
        <v>1112</v>
      </c>
      <c r="I1159" t="s">
        <v>1108</v>
      </c>
      <c r="J1159" t="s">
        <v>16735</v>
      </c>
      <c r="K1159" t="s">
        <v>16736</v>
      </c>
      <c r="L1159" t="s">
        <v>21</v>
      </c>
      <c r="M1159" t="s">
        <v>19177</v>
      </c>
      <c r="N1159" t="s">
        <v>337</v>
      </c>
      <c r="O1159" t="s">
        <v>337</v>
      </c>
      <c r="P1159" t="s">
        <v>12</v>
      </c>
    </row>
    <row r="1160">
      <c r="A1160">
        <f>HYPERLINK("http://bombeiros.sp.gov.br/hidrantes/03individual/3336.html","3336")</f>
      </c>
      <c r="B1160" t="s">
        <v>114</v>
      </c>
      <c r="C1160" t="s">
        <v>255</v>
      </c>
      <c r="D1160" t="s">
        <v>4413</v>
      </c>
      <c r="E1160" t="s">
        <v>15</v>
      </c>
      <c r="F1160" t="s">
        <v>4426</v>
      </c>
      <c r="G1160" t="s">
        <v>18062</v>
      </c>
      <c r="H1160" t="s">
        <v>1174</v>
      </c>
      <c r="I1160" t="s">
        <v>1108</v>
      </c>
      <c r="J1160" t="s">
        <v>4427</v>
      </c>
      <c r="K1160" t="s">
        <v>4428</v>
      </c>
      <c r="L1160" t="s">
        <v>21</v>
      </c>
      <c r="M1160" t="s">
        <v>19177</v>
      </c>
      <c r="N1160" t="s">
        <v>337</v>
      </c>
      <c r="O1160" t="s">
        <v>337</v>
      </c>
      <c r="P1160" t="s">
        <v>12</v>
      </c>
    </row>
    <row r="1161">
      <c r="A1161">
        <f>HYPERLINK("http://bombeiros.sp.gov.br/hidrantes/03individual/2081.html","2081")</f>
      </c>
      <c r="B1161" t="s">
        <v>114</v>
      </c>
      <c r="C1161" t="s">
        <v>255</v>
      </c>
      <c r="D1161" t="s">
        <v>256</v>
      </c>
      <c r="E1161" t="s">
        <v>64</v>
      </c>
      <c r="F1161" t="s">
        <v>4429</v>
      </c>
      <c r="G1161" t="s">
        <v>18042</v>
      </c>
      <c r="H1161" t="s">
        <v>1112</v>
      </c>
      <c r="I1161" t="s">
        <v>1108</v>
      </c>
      <c r="J1161" t="s">
        <v>4430</v>
      </c>
      <c r="K1161" t="s">
        <v>4431</v>
      </c>
      <c r="L1161" t="s">
        <v>21</v>
      </c>
      <c r="M1161" t="s">
        <v>19177</v>
      </c>
      <c r="N1161" t="s">
        <v>337</v>
      </c>
      <c r="O1161" t="s">
        <v>337</v>
      </c>
      <c r="P1161" t="s">
        <v>12</v>
      </c>
    </row>
    <row r="1162">
      <c r="A1162">
        <f>HYPERLINK("http://bombeiros.sp.gov.br/hidrantes/03individual/3854.html","3854")</f>
      </c>
      <c r="B1162" t="s">
        <v>114</v>
      </c>
      <c r="C1162" t="s">
        <v>255</v>
      </c>
      <c r="D1162" t="s">
        <v>256</v>
      </c>
      <c r="E1162" t="s">
        <v>64</v>
      </c>
      <c r="F1162" t="s">
        <v>4432</v>
      </c>
      <c r="G1162" t="s">
        <v>18042</v>
      </c>
      <c r="H1162" t="s">
        <v>1107</v>
      </c>
      <c r="I1162" t="s">
        <v>1117</v>
      </c>
      <c r="J1162" t="s">
        <v>4433</v>
      </c>
      <c r="K1162" t="s">
        <v>4434</v>
      </c>
      <c r="L1162" t="s">
        <v>21</v>
      </c>
      <c r="M1162" t="s">
        <v>19177</v>
      </c>
      <c r="N1162" t="s">
        <v>337</v>
      </c>
      <c r="O1162" t="s">
        <v>337</v>
      </c>
      <c r="P1162" t="s">
        <v>12</v>
      </c>
    </row>
    <row r="1163">
      <c r="A1163">
        <f>HYPERLINK("http://bombeiros.sp.gov.br/hidrantes/03individual/3907.html","3907")</f>
      </c>
      <c r="B1163" t="s">
        <v>114</v>
      </c>
      <c r="C1163" t="s">
        <v>255</v>
      </c>
      <c r="D1163" t="s">
        <v>256</v>
      </c>
      <c r="E1163" t="s">
        <v>64</v>
      </c>
      <c r="F1163" t="s">
        <v>4435</v>
      </c>
      <c r="G1163" t="s">
        <v>18097</v>
      </c>
      <c r="H1163"/>
      <c r="I1163" t="s">
        <v>18</v>
      </c>
      <c r="J1163" t="s">
        <v>4436</v>
      </c>
      <c r="K1163" t="s">
        <v>4437</v>
      </c>
      <c r="L1163" t="s">
        <v>21</v>
      </c>
      <c r="M1163" t="s">
        <v>19177</v>
      </c>
      <c r="N1163" t="s">
        <v>337</v>
      </c>
      <c r="O1163" t="s">
        <v>337</v>
      </c>
      <c r="P1163" t="s">
        <v>12</v>
      </c>
    </row>
    <row r="1164">
      <c r="A1164">
        <f>HYPERLINK("http://bombeiros.sp.gov.br/hidrantes/03individual/16561.html","16561")</f>
      </c>
      <c r="B1164" t="s">
        <v>114</v>
      </c>
      <c r="C1164" t="s">
        <v>255</v>
      </c>
      <c r="D1164" t="s">
        <v>256</v>
      </c>
      <c r="E1164" t="s">
        <v>64</v>
      </c>
      <c r="F1164" t="s">
        <v>4438</v>
      </c>
      <c r="G1164" t="s">
        <v>18050</v>
      </c>
      <c r="H1164" t="s">
        <v>1121</v>
      </c>
      <c r="I1164" t="s">
        <v>1117</v>
      </c>
      <c r="J1164" t="s">
        <v>4439</v>
      </c>
      <c r="K1164" t="s">
        <v>4440</v>
      </c>
      <c r="L1164" t="s">
        <v>21</v>
      </c>
      <c r="M1164" t="s">
        <v>19177</v>
      </c>
      <c r="N1164" t="s">
        <v>337</v>
      </c>
      <c r="O1164" t="s">
        <v>337</v>
      </c>
      <c r="P1164" t="s">
        <v>12</v>
      </c>
    </row>
    <row r="1165">
      <c r="A1165">
        <f>HYPERLINK("http://bombeiros.sp.gov.br/hidrantes/03individual/4196.html","4196")</f>
      </c>
      <c r="B1165" t="s">
        <v>114</v>
      </c>
      <c r="C1165" t="s">
        <v>255</v>
      </c>
      <c r="D1165" t="s">
        <v>256</v>
      </c>
      <c r="E1165" t="s">
        <v>15</v>
      </c>
      <c r="F1165" t="s">
        <v>4441</v>
      </c>
      <c r="G1165" t="s">
        <v>18074</v>
      </c>
      <c r="H1165" t="s">
        <v>1112</v>
      </c>
      <c r="I1165" t="s">
        <v>1108</v>
      </c>
      <c r="J1165" t="s">
        <v>4442</v>
      </c>
      <c r="K1165" t="s">
        <v>4443</v>
      </c>
      <c r="L1165" t="s">
        <v>36</v>
      </c>
      <c r="M1165" t="s">
        <v>19177</v>
      </c>
      <c r="N1165" t="s">
        <v>337</v>
      </c>
      <c r="O1165" t="s">
        <v>337</v>
      </c>
      <c r="P1165" t="s">
        <v>12</v>
      </c>
    </row>
    <row r="1166">
      <c r="A1166">
        <f>HYPERLINK("http://bombeiros.sp.gov.br/hidrantes/03individual/4421.html","4421")</f>
      </c>
      <c r="B1166" t="s">
        <v>114</v>
      </c>
      <c r="C1166" t="s">
        <v>255</v>
      </c>
      <c r="D1166" t="s">
        <v>256</v>
      </c>
      <c r="E1166" t="s">
        <v>15</v>
      </c>
      <c r="F1166" t="s">
        <v>4444</v>
      </c>
      <c r="G1166" t="s">
        <v>18074</v>
      </c>
      <c r="H1166" t="s">
        <v>1112</v>
      </c>
      <c r="I1166" t="s">
        <v>1108</v>
      </c>
      <c r="J1166" t="s">
        <v>4445</v>
      </c>
      <c r="K1166" t="s">
        <v>4446</v>
      </c>
      <c r="L1166" t="s">
        <v>21</v>
      </c>
      <c r="M1166" t="s">
        <v>19177</v>
      </c>
      <c r="N1166" t="s">
        <v>337</v>
      </c>
      <c r="O1166" t="s">
        <v>337</v>
      </c>
      <c r="P1166" t="s">
        <v>12</v>
      </c>
    </row>
    <row r="1167">
      <c r="A1167">
        <f>HYPERLINK("http://bombeiros.sp.gov.br/hidrantes/03individual/3771.html","3771")</f>
      </c>
      <c r="B1167" t="s">
        <v>114</v>
      </c>
      <c r="C1167" t="s">
        <v>260</v>
      </c>
      <c r="D1167" t="s">
        <v>261</v>
      </c>
      <c r="E1167" t="s">
        <v>64</v>
      </c>
      <c r="F1167" t="s">
        <v>4447</v>
      </c>
      <c r="G1167" t="s">
        <v>18553</v>
      </c>
      <c r="H1167" t="s">
        <v>1112</v>
      </c>
      <c r="I1167" t="s">
        <v>1108</v>
      </c>
      <c r="J1167" t="s">
        <v>4448</v>
      </c>
      <c r="K1167" t="s">
        <v>4449</v>
      </c>
      <c r="L1167" t="s">
        <v>36</v>
      </c>
      <c r="M1167" t="s">
        <v>19177</v>
      </c>
      <c r="N1167" t="s">
        <v>6029</v>
      </c>
      <c r="O1167" t="s">
        <v>6029</v>
      </c>
      <c r="P1167" t="s">
        <v>114</v>
      </c>
    </row>
    <row r="1168">
      <c r="A1168">
        <f>HYPERLINK("http://bombeiros.sp.gov.br/hidrantes/03individual/3822.html","3822")</f>
      </c>
      <c r="B1168" t="s">
        <v>114</v>
      </c>
      <c r="C1168" t="s">
        <v>260</v>
      </c>
      <c r="D1168" t="s">
        <v>261</v>
      </c>
      <c r="E1168" t="s">
        <v>64</v>
      </c>
      <c r="F1168" t="s">
        <v>4450</v>
      </c>
      <c r="G1168" t="s">
        <v>18553</v>
      </c>
      <c r="H1168" t="s">
        <v>1121</v>
      </c>
      <c r="I1168" t="s">
        <v>1117</v>
      </c>
      <c r="J1168" t="s">
        <v>4451</v>
      </c>
      <c r="K1168" t="s">
        <v>4452</v>
      </c>
      <c r="L1168" t="s">
        <v>36</v>
      </c>
      <c r="M1168" t="s">
        <v>19177</v>
      </c>
      <c r="N1168" t="s">
        <v>6029</v>
      </c>
      <c r="O1168" t="s">
        <v>6029</v>
      </c>
      <c r="P1168" t="s">
        <v>114</v>
      </c>
    </row>
    <row r="1169">
      <c r="A1169">
        <f>HYPERLINK("http://bombeiros.sp.gov.br/hidrantes/03individual/3900.html","3900")</f>
      </c>
      <c r="B1169" t="s">
        <v>114</v>
      </c>
      <c r="C1169" t="s">
        <v>260</v>
      </c>
      <c r="D1169" t="s">
        <v>261</v>
      </c>
      <c r="E1169" t="s">
        <v>64</v>
      </c>
      <c r="F1169" t="s">
        <v>4453</v>
      </c>
      <c r="G1169" t="s">
        <v>18553</v>
      </c>
      <c r="H1169" t="s">
        <v>1112</v>
      </c>
      <c r="I1169" t="s">
        <v>1108</v>
      </c>
      <c r="J1169" t="s">
        <v>4454</v>
      </c>
      <c r="K1169" t="s">
        <v>4455</v>
      </c>
      <c r="L1169" t="s">
        <v>21</v>
      </c>
      <c r="M1169" t="s">
        <v>19177</v>
      </c>
      <c r="N1169" t="s">
        <v>6029</v>
      </c>
      <c r="O1169" t="s">
        <v>6029</v>
      </c>
      <c r="P1169" t="s">
        <v>114</v>
      </c>
    </row>
    <row r="1170">
      <c r="A1170">
        <f>HYPERLINK("http://bombeiros.sp.gov.br/hidrantes/03individual/4369.html","4369")</f>
      </c>
      <c r="B1170" t="s">
        <v>114</v>
      </c>
      <c r="C1170" t="s">
        <v>260</v>
      </c>
      <c r="D1170" t="s">
        <v>261</v>
      </c>
      <c r="E1170" t="s">
        <v>64</v>
      </c>
      <c r="F1170" t="s">
        <v>4456</v>
      </c>
      <c r="G1170" t="s">
        <v>18099</v>
      </c>
      <c r="H1170" t="s">
        <v>1112</v>
      </c>
      <c r="I1170" t="s">
        <v>1108</v>
      </c>
      <c r="J1170" t="s">
        <v>4457</v>
      </c>
      <c r="K1170" t="s">
        <v>4458</v>
      </c>
      <c r="L1170" t="s">
        <v>36</v>
      </c>
      <c r="M1170" t="s">
        <v>19177</v>
      </c>
      <c r="N1170" t="s">
        <v>6029</v>
      </c>
      <c r="O1170" t="s">
        <v>6029</v>
      </c>
      <c r="P1170" t="s">
        <v>114</v>
      </c>
    </row>
    <row r="1171">
      <c r="A1171">
        <f>HYPERLINK("http://bombeiros.sp.gov.br/hidrantes/03individual/17874.html","17874")</f>
      </c>
      <c r="B1171" t="s">
        <v>114</v>
      </c>
      <c r="C1171" t="s">
        <v>260</v>
      </c>
      <c r="D1171" t="s">
        <v>261</v>
      </c>
      <c r="E1171" t="s">
        <v>64</v>
      </c>
      <c r="F1171" t="s">
        <v>4459</v>
      </c>
      <c r="G1171" t="s">
        <v>18553</v>
      </c>
      <c r="H1171" t="s">
        <v>1112</v>
      </c>
      <c r="I1171" t="s">
        <v>1108</v>
      </c>
      <c r="J1171" t="s">
        <v>4460</v>
      </c>
      <c r="K1171" t="s">
        <v>4461</v>
      </c>
      <c r="L1171" t="s">
        <v>21</v>
      </c>
      <c r="M1171" t="s">
        <v>19177</v>
      </c>
      <c r="N1171" t="s">
        <v>6029</v>
      </c>
      <c r="O1171" t="s">
        <v>6029</v>
      </c>
      <c r="P1171" t="s">
        <v>114</v>
      </c>
    </row>
    <row r="1172">
      <c r="A1172">
        <f>HYPERLINK("http://bombeiros.sp.gov.br/hidrantes/03individual/26975.html","26975")</f>
      </c>
      <c r="B1172" t="s">
        <v>114</v>
      </c>
      <c r="C1172" t="s">
        <v>260</v>
      </c>
      <c r="D1172" t="s">
        <v>261</v>
      </c>
      <c r="E1172" t="s">
        <v>64</v>
      </c>
      <c r="F1172" t="s">
        <v>16529</v>
      </c>
      <c r="G1172" t="s">
        <v>18134</v>
      </c>
      <c r="H1172" t="s">
        <v>1107</v>
      </c>
      <c r="I1172" t="s">
        <v>1108</v>
      </c>
      <c r="J1172" t="s">
        <v>16530</v>
      </c>
      <c r="K1172" t="s">
        <v>16531</v>
      </c>
      <c r="L1172" t="s">
        <v>21</v>
      </c>
      <c r="M1172" t="s">
        <v>19177</v>
      </c>
      <c r="N1172" t="s">
        <v>6029</v>
      </c>
      <c r="O1172" t="s">
        <v>6029</v>
      </c>
      <c r="P1172" t="s">
        <v>114</v>
      </c>
    </row>
    <row r="1173">
      <c r="A1173">
        <f>HYPERLINK("http://bombeiros.sp.gov.br/hidrantes/03individual/27090.html","27090")</f>
      </c>
      <c r="B1173" t="s">
        <v>114</v>
      </c>
      <c r="C1173" t="s">
        <v>260</v>
      </c>
      <c r="D1173" t="s">
        <v>261</v>
      </c>
      <c r="E1173" t="s">
        <v>64</v>
      </c>
      <c r="F1173" t="s">
        <v>16761</v>
      </c>
      <c r="G1173" t="s">
        <v>18134</v>
      </c>
      <c r="H1173" t="s">
        <v>1107</v>
      </c>
      <c r="I1173" t="s">
        <v>1108</v>
      </c>
      <c r="J1173" t="s">
        <v>16762</v>
      </c>
      <c r="K1173" t="s">
        <v>16763</v>
      </c>
      <c r="L1173" t="s">
        <v>21</v>
      </c>
      <c r="M1173" t="s">
        <v>19177</v>
      </c>
      <c r="N1173" t="s">
        <v>6029</v>
      </c>
      <c r="O1173" t="s">
        <v>6029</v>
      </c>
      <c r="P1173" t="s">
        <v>114</v>
      </c>
    </row>
    <row r="1174">
      <c r="A1174">
        <f>HYPERLINK("http://bombeiros.sp.gov.br/hidrantes/03individual/27149.html","27149")</f>
      </c>
      <c r="B1174" t="s">
        <v>114</v>
      </c>
      <c r="C1174" t="s">
        <v>260</v>
      </c>
      <c r="D1174" t="s">
        <v>261</v>
      </c>
      <c r="E1174" t="s">
        <v>64</v>
      </c>
      <c r="F1174" t="s">
        <v>16845</v>
      </c>
      <c r="G1174" t="s">
        <v>18134</v>
      </c>
      <c r="H1174" t="s">
        <v>1121</v>
      </c>
      <c r="I1174" t="s">
        <v>1117</v>
      </c>
      <c r="J1174" t="s">
        <v>17730</v>
      </c>
      <c r="K1174" t="s">
        <v>17731</v>
      </c>
      <c r="L1174" t="s">
        <v>21</v>
      </c>
      <c r="M1174" t="s">
        <v>19177</v>
      </c>
      <c r="N1174" t="s">
        <v>6029</v>
      </c>
      <c r="O1174" t="s">
        <v>6029</v>
      </c>
      <c r="P1174" t="s">
        <v>114</v>
      </c>
    </row>
    <row r="1175">
      <c r="A1175">
        <f>HYPERLINK("http://bombeiros.sp.gov.br/hidrantes/03individual/27330.html","27330")</f>
      </c>
      <c r="B1175" t="s">
        <v>114</v>
      </c>
      <c r="C1175" t="s">
        <v>260</v>
      </c>
      <c r="D1175" t="s">
        <v>261</v>
      </c>
      <c r="E1175" t="s">
        <v>64</v>
      </c>
      <c r="F1175" t="s">
        <v>17164</v>
      </c>
      <c r="G1175" t="s">
        <v>18547</v>
      </c>
      <c r="H1175" t="s">
        <v>1112</v>
      </c>
      <c r="I1175" t="s">
        <v>1108</v>
      </c>
      <c r="J1175" t="s">
        <v>17165</v>
      </c>
      <c r="K1175" t="s">
        <v>17166</v>
      </c>
      <c r="L1175" t="s">
        <v>21</v>
      </c>
      <c r="M1175" t="s">
        <v>19177</v>
      </c>
      <c r="N1175" t="s">
        <v>6029</v>
      </c>
      <c r="O1175" t="s">
        <v>6029</v>
      </c>
      <c r="P1175" t="s">
        <v>114</v>
      </c>
    </row>
    <row r="1176">
      <c r="A1176">
        <f>HYPERLINK("http://bombeiros.sp.gov.br/hidrantes/03individual/27609.html","27609")</f>
      </c>
      <c r="B1176" t="s">
        <v>114</v>
      </c>
      <c r="C1176" t="s">
        <v>260</v>
      </c>
      <c r="D1176" t="s">
        <v>261</v>
      </c>
      <c r="E1176" t="s">
        <v>64</v>
      </c>
      <c r="F1176" t="s">
        <v>17492</v>
      </c>
      <c r="G1176" t="s">
        <v>18547</v>
      </c>
      <c r="H1176" t="s">
        <v>1112</v>
      </c>
      <c r="I1176" t="s">
        <v>1108</v>
      </c>
      <c r="J1176" t="s">
        <v>17493</v>
      </c>
      <c r="K1176" t="s">
        <v>17494</v>
      </c>
      <c r="L1176" t="s">
        <v>21</v>
      </c>
      <c r="M1176" t="s">
        <v>19177</v>
      </c>
      <c r="N1176" t="s">
        <v>6029</v>
      </c>
      <c r="O1176" t="s">
        <v>6029</v>
      </c>
      <c r="P1176" t="s">
        <v>114</v>
      </c>
    </row>
    <row r="1177">
      <c r="A1177">
        <f>HYPERLINK("http://bombeiros.sp.gov.br/hidrantes/03individual/27650.html","27650")</f>
      </c>
      <c r="B1177" t="s">
        <v>114</v>
      </c>
      <c r="C1177" t="s">
        <v>260</v>
      </c>
      <c r="D1177" t="s">
        <v>261</v>
      </c>
      <c r="E1177" t="s">
        <v>64</v>
      </c>
      <c r="F1177" t="s">
        <v>17547</v>
      </c>
      <c r="G1177" t="s">
        <v>18092</v>
      </c>
      <c r="H1177" t="s">
        <v>1121</v>
      </c>
      <c r="I1177" t="s">
        <v>1117</v>
      </c>
      <c r="J1177" t="s">
        <v>17548</v>
      </c>
      <c r="K1177" t="s">
        <v>17549</v>
      </c>
      <c r="L1177" t="s">
        <v>21</v>
      </c>
      <c r="M1177" t="s">
        <v>19177</v>
      </c>
      <c r="N1177" t="s">
        <v>6029</v>
      </c>
      <c r="O1177" t="s">
        <v>6029</v>
      </c>
      <c r="P1177" t="s">
        <v>114</v>
      </c>
    </row>
    <row r="1178">
      <c r="A1178">
        <f>HYPERLINK("http://bombeiros.sp.gov.br/hidrantes/03individual/27682.html","27682")</f>
      </c>
      <c r="B1178" t="s">
        <v>114</v>
      </c>
      <c r="C1178" t="s">
        <v>260</v>
      </c>
      <c r="D1178" t="s">
        <v>261</v>
      </c>
      <c r="E1178" t="s">
        <v>64</v>
      </c>
      <c r="F1178" t="s">
        <v>17642</v>
      </c>
      <c r="G1178" t="s">
        <v>18553</v>
      </c>
      <c r="H1178" t="s">
        <v>1112</v>
      </c>
      <c r="I1178" t="s">
        <v>1108</v>
      </c>
      <c r="J1178" t="s">
        <v>17643</v>
      </c>
      <c r="K1178" t="s">
        <v>17644</v>
      </c>
      <c r="L1178" t="s">
        <v>21</v>
      </c>
      <c r="M1178" t="s">
        <v>19177</v>
      </c>
      <c r="N1178" t="s">
        <v>6029</v>
      </c>
      <c r="O1178" t="s">
        <v>6029</v>
      </c>
      <c r="P1178" t="s">
        <v>114</v>
      </c>
    </row>
    <row r="1179">
      <c r="A1179">
        <f>HYPERLINK("http://bombeiros.sp.gov.br/hidrantes/03individual/28308.html","28308")</f>
      </c>
      <c r="B1179" t="s">
        <v>114</v>
      </c>
      <c r="C1179" t="s">
        <v>260</v>
      </c>
      <c r="D1179" t="s">
        <v>261</v>
      </c>
      <c r="E1179" t="s">
        <v>64</v>
      </c>
      <c r="F1179" t="s">
        <v>18560</v>
      </c>
      <c r="G1179"/>
      <c r="H1179"/>
      <c r="I1179" t="s">
        <v>1503</v>
      </c>
      <c r="J1179" t="s">
        <v>18561</v>
      </c>
      <c r="K1179" t="s">
        <v>18562</v>
      </c>
      <c r="L1179" t="s">
        <v>21</v>
      </c>
      <c r="M1179" t="s">
        <v>19177</v>
      </c>
      <c r="N1179" t="s">
        <v>6029</v>
      </c>
      <c r="O1179" t="s">
        <v>6029</v>
      </c>
      <c r="P1179" t="s">
        <v>114</v>
      </c>
    </row>
    <row r="1180">
      <c r="A1180">
        <f>HYPERLINK("http://bombeiros.sp.gov.br/hidrantes/03individual/1969.html","1969")</f>
      </c>
      <c r="B1180" t="s">
        <v>114</v>
      </c>
      <c r="C1180" t="s">
        <v>260</v>
      </c>
      <c r="D1180" t="s">
        <v>261</v>
      </c>
      <c r="E1180" t="s">
        <v>15</v>
      </c>
      <c r="F1180" t="s">
        <v>4462</v>
      </c>
      <c r="G1180" t="s">
        <v>18092</v>
      </c>
      <c r="H1180" t="s">
        <v>1107</v>
      </c>
      <c r="I1180" t="s">
        <v>1117</v>
      </c>
      <c r="J1180" t="s">
        <v>4463</v>
      </c>
      <c r="K1180" t="s">
        <v>4464</v>
      </c>
      <c r="L1180" t="s">
        <v>21</v>
      </c>
      <c r="M1180" t="s">
        <v>19177</v>
      </c>
      <c r="N1180" t="s">
        <v>6029</v>
      </c>
      <c r="O1180" t="s">
        <v>6029</v>
      </c>
      <c r="P1180" t="s">
        <v>114</v>
      </c>
    </row>
    <row r="1181">
      <c r="A1181">
        <f>HYPERLINK("http://bombeiros.sp.gov.br/hidrantes/03individual/2059.html","2059")</f>
      </c>
      <c r="B1181" t="s">
        <v>114</v>
      </c>
      <c r="C1181" t="s">
        <v>260</v>
      </c>
      <c r="D1181" t="s">
        <v>261</v>
      </c>
      <c r="E1181" t="s">
        <v>15</v>
      </c>
      <c r="F1181" t="s">
        <v>262</v>
      </c>
      <c r="G1181" t="s">
        <v>18553</v>
      </c>
      <c r="H1181"/>
      <c r="I1181" t="s">
        <v>18</v>
      </c>
      <c r="J1181" t="s">
        <v>263</v>
      </c>
      <c r="K1181" t="s">
        <v>264</v>
      </c>
      <c r="L1181" t="s">
        <v>21</v>
      </c>
      <c r="M1181" t="s">
        <v>19177</v>
      </c>
      <c r="N1181" t="s">
        <v>6029</v>
      </c>
      <c r="O1181" t="s">
        <v>6029</v>
      </c>
      <c r="P1181" t="s">
        <v>114</v>
      </c>
    </row>
    <row r="1182">
      <c r="A1182">
        <f>HYPERLINK("http://bombeiros.sp.gov.br/hidrantes/03individual/2077.html","2077")</f>
      </c>
      <c r="B1182" t="s">
        <v>114</v>
      </c>
      <c r="C1182" t="s">
        <v>260</v>
      </c>
      <c r="D1182" t="s">
        <v>261</v>
      </c>
      <c r="E1182" t="s">
        <v>15</v>
      </c>
      <c r="F1182" t="s">
        <v>4465</v>
      </c>
      <c r="G1182" t="s">
        <v>18134</v>
      </c>
      <c r="H1182" t="s">
        <v>1107</v>
      </c>
      <c r="I1182" t="s">
        <v>1108</v>
      </c>
      <c r="J1182" t="s">
        <v>4466</v>
      </c>
      <c r="K1182" t="s">
        <v>4467</v>
      </c>
      <c r="L1182" t="s">
        <v>21</v>
      </c>
      <c r="M1182" t="s">
        <v>19177</v>
      </c>
      <c r="N1182" t="s">
        <v>6029</v>
      </c>
      <c r="O1182" t="s">
        <v>6029</v>
      </c>
      <c r="P1182" t="s">
        <v>114</v>
      </c>
    </row>
    <row r="1183">
      <c r="A1183">
        <f>HYPERLINK("http://bombeiros.sp.gov.br/hidrantes/03individual/3764.html","3764")</f>
      </c>
      <c r="B1183" t="s">
        <v>114</v>
      </c>
      <c r="C1183" t="s">
        <v>260</v>
      </c>
      <c r="D1183" t="s">
        <v>261</v>
      </c>
      <c r="E1183" t="s">
        <v>15</v>
      </c>
      <c r="F1183" t="s">
        <v>4468</v>
      </c>
      <c r="G1183" t="s">
        <v>18092</v>
      </c>
      <c r="H1183" t="s">
        <v>1107</v>
      </c>
      <c r="I1183" t="s">
        <v>1108</v>
      </c>
      <c r="J1183" t="s">
        <v>17126</v>
      </c>
      <c r="K1183" t="s">
        <v>17127</v>
      </c>
      <c r="L1183" t="s">
        <v>21</v>
      </c>
      <c r="M1183" t="s">
        <v>19177</v>
      </c>
      <c r="N1183" t="s">
        <v>6029</v>
      </c>
      <c r="O1183" t="s">
        <v>6029</v>
      </c>
      <c r="P1183" t="s">
        <v>114</v>
      </c>
    </row>
    <row r="1184">
      <c r="A1184">
        <f>HYPERLINK("http://bombeiros.sp.gov.br/hidrantes/03individual/4414.html","4414")</f>
      </c>
      <c r="B1184" t="s">
        <v>114</v>
      </c>
      <c r="C1184" t="s">
        <v>260</v>
      </c>
      <c r="D1184" t="s">
        <v>261</v>
      </c>
      <c r="E1184" t="s">
        <v>15</v>
      </c>
      <c r="F1184" t="s">
        <v>4471</v>
      </c>
      <c r="G1184" t="s">
        <v>18548</v>
      </c>
      <c r="H1184" t="s">
        <v>1107</v>
      </c>
      <c r="I1184" t="s">
        <v>1108</v>
      </c>
      <c r="J1184" t="s">
        <v>4472</v>
      </c>
      <c r="K1184" t="s">
        <v>4473</v>
      </c>
      <c r="L1184" t="s">
        <v>21</v>
      </c>
      <c r="M1184" t="s">
        <v>19177</v>
      </c>
      <c r="N1184" t="s">
        <v>6029</v>
      </c>
      <c r="O1184" t="s">
        <v>6029</v>
      </c>
      <c r="P1184" t="s">
        <v>114</v>
      </c>
    </row>
    <row r="1185">
      <c r="A1185">
        <f>HYPERLINK("http://bombeiros.sp.gov.br/hidrantes/03individual/3747.html","3747")</f>
      </c>
      <c r="B1185" t="s">
        <v>114</v>
      </c>
      <c r="C1185" t="s">
        <v>260</v>
      </c>
      <c r="D1185" t="s">
        <v>260</v>
      </c>
      <c r="E1185" t="s">
        <v>64</v>
      </c>
      <c r="F1185" t="s">
        <v>4474</v>
      </c>
      <c r="G1185" t="s">
        <v>18191</v>
      </c>
      <c r="H1185" t="s">
        <v>1112</v>
      </c>
      <c r="I1185" t="s">
        <v>1108</v>
      </c>
      <c r="J1185" t="s">
        <v>4475</v>
      </c>
      <c r="K1185" t="s">
        <v>4476</v>
      </c>
      <c r="L1185" t="s">
        <v>36</v>
      </c>
      <c r="M1185" t="s">
        <v>19177</v>
      </c>
      <c r="N1185" t="s">
        <v>6029</v>
      </c>
      <c r="O1185" t="s">
        <v>6029</v>
      </c>
      <c r="P1185" t="s">
        <v>114</v>
      </c>
    </row>
    <row r="1186">
      <c r="A1186">
        <f>HYPERLINK("http://bombeiros.sp.gov.br/hidrantes/03individual/26279.html","26279")</f>
      </c>
      <c r="B1186" t="s">
        <v>114</v>
      </c>
      <c r="C1186" t="s">
        <v>260</v>
      </c>
      <c r="D1186" t="s">
        <v>260</v>
      </c>
      <c r="E1186" t="s">
        <v>64</v>
      </c>
      <c r="F1186" t="s">
        <v>4477</v>
      </c>
      <c r="G1186" t="s">
        <v>18545</v>
      </c>
      <c r="H1186" t="s">
        <v>1112</v>
      </c>
      <c r="I1186" t="s">
        <v>1108</v>
      </c>
      <c r="J1186" t="s">
        <v>4478</v>
      </c>
      <c r="K1186" t="s">
        <v>4479</v>
      </c>
      <c r="L1186" t="s">
        <v>21</v>
      </c>
      <c r="M1186" t="s">
        <v>19177</v>
      </c>
      <c r="N1186" t="s">
        <v>6029</v>
      </c>
      <c r="O1186" t="s">
        <v>6029</v>
      </c>
      <c r="P1186" t="s">
        <v>114</v>
      </c>
    </row>
    <row r="1187">
      <c r="A1187">
        <f>HYPERLINK("http://bombeiros.sp.gov.br/hidrantes/03individual/27389.html","27389")</f>
      </c>
      <c r="B1187" t="s">
        <v>114</v>
      </c>
      <c r="C1187" t="s">
        <v>260</v>
      </c>
      <c r="D1187" t="s">
        <v>260</v>
      </c>
      <c r="E1187" t="s">
        <v>64</v>
      </c>
      <c r="F1187" t="s">
        <v>17235</v>
      </c>
      <c r="G1187" t="s">
        <v>18545</v>
      </c>
      <c r="H1187" t="s">
        <v>1112</v>
      </c>
      <c r="I1187" t="s">
        <v>1108</v>
      </c>
      <c r="J1187" t="s">
        <v>17236</v>
      </c>
      <c r="K1187" t="s">
        <v>17237</v>
      </c>
      <c r="L1187" t="s">
        <v>21</v>
      </c>
      <c r="M1187" t="s">
        <v>19177</v>
      </c>
      <c r="N1187" t="s">
        <v>6029</v>
      </c>
      <c r="O1187" t="s">
        <v>6029</v>
      </c>
      <c r="P1187" t="s">
        <v>114</v>
      </c>
    </row>
    <row r="1188">
      <c r="A1188">
        <f>HYPERLINK("http://bombeiros.sp.gov.br/hidrantes/03individual/27614.html","27614")</f>
      </c>
      <c r="B1188" t="s">
        <v>114</v>
      </c>
      <c r="C1188" t="s">
        <v>260</v>
      </c>
      <c r="D1188" t="s">
        <v>260</v>
      </c>
      <c r="E1188" t="s">
        <v>64</v>
      </c>
      <c r="F1188" t="s">
        <v>17497</v>
      </c>
      <c r="G1188" t="s">
        <v>18548</v>
      </c>
      <c r="H1188" t="s">
        <v>1112</v>
      </c>
      <c r="I1188" t="s">
        <v>1108</v>
      </c>
      <c r="J1188" t="s">
        <v>17498</v>
      </c>
      <c r="K1188" t="s">
        <v>17499</v>
      </c>
      <c r="L1188" t="s">
        <v>21</v>
      </c>
      <c r="M1188" t="s">
        <v>19177</v>
      </c>
      <c r="N1188" t="s">
        <v>6029</v>
      </c>
      <c r="O1188" t="s">
        <v>6029</v>
      </c>
      <c r="P1188" t="s">
        <v>114</v>
      </c>
    </row>
    <row r="1189">
      <c r="A1189">
        <f>HYPERLINK("http://bombeiros.sp.gov.br/hidrantes/03individual/27648.html","27648")</f>
      </c>
      <c r="B1189" t="s">
        <v>114</v>
      </c>
      <c r="C1189" t="s">
        <v>260</v>
      </c>
      <c r="D1189" t="s">
        <v>260</v>
      </c>
      <c r="E1189" t="s">
        <v>64</v>
      </c>
      <c r="F1189" t="s">
        <v>17543</v>
      </c>
      <c r="G1189" t="s">
        <v>18548</v>
      </c>
      <c r="H1189" t="s">
        <v>1112</v>
      </c>
      <c r="I1189" t="s">
        <v>1108</v>
      </c>
      <c r="J1189" t="s">
        <v>17544</v>
      </c>
      <c r="K1189" t="s">
        <v>17545</v>
      </c>
      <c r="L1189" t="s">
        <v>21</v>
      </c>
      <c r="M1189" t="s">
        <v>19177</v>
      </c>
      <c r="N1189" t="s">
        <v>6029</v>
      </c>
      <c r="O1189" t="s">
        <v>6029</v>
      </c>
      <c r="P1189" t="s">
        <v>114</v>
      </c>
    </row>
    <row r="1190">
      <c r="A1190">
        <f>HYPERLINK("http://bombeiros.sp.gov.br/hidrantes/03individual/1939.html","1939")</f>
      </c>
      <c r="B1190" t="s">
        <v>114</v>
      </c>
      <c r="C1190" t="s">
        <v>260</v>
      </c>
      <c r="D1190" t="s">
        <v>260</v>
      </c>
      <c r="E1190" t="s">
        <v>15</v>
      </c>
      <c r="F1190" t="s">
        <v>4480</v>
      </c>
      <c r="G1190" t="s">
        <v>18547</v>
      </c>
      <c r="H1190" t="s">
        <v>1112</v>
      </c>
      <c r="I1190" t="s">
        <v>1108</v>
      </c>
      <c r="J1190" t="s">
        <v>4481</v>
      </c>
      <c r="K1190" t="s">
        <v>4482</v>
      </c>
      <c r="L1190" t="s">
        <v>21</v>
      </c>
      <c r="M1190" t="s">
        <v>19177</v>
      </c>
      <c r="N1190" t="s">
        <v>6029</v>
      </c>
      <c r="O1190" t="s">
        <v>6029</v>
      </c>
      <c r="P1190" t="s">
        <v>114</v>
      </c>
    </row>
    <row r="1191">
      <c r="A1191">
        <f>HYPERLINK("http://bombeiros.sp.gov.br/hidrantes/03individual/1966.html","1966")</f>
      </c>
      <c r="B1191" t="s">
        <v>114</v>
      </c>
      <c r="C1191" t="s">
        <v>260</v>
      </c>
      <c r="D1191" t="s">
        <v>260</v>
      </c>
      <c r="E1191" t="s">
        <v>15</v>
      </c>
      <c r="F1191" t="s">
        <v>4483</v>
      </c>
      <c r="G1191" t="s">
        <v>18094</v>
      </c>
      <c r="H1191" t="s">
        <v>1112</v>
      </c>
      <c r="I1191" t="s">
        <v>1108</v>
      </c>
      <c r="J1191" t="s">
        <v>4484</v>
      </c>
      <c r="K1191" t="s">
        <v>4485</v>
      </c>
      <c r="L1191" t="s">
        <v>21</v>
      </c>
      <c r="M1191" t="s">
        <v>19177</v>
      </c>
      <c r="N1191" t="s">
        <v>6029</v>
      </c>
      <c r="O1191" t="s">
        <v>6029</v>
      </c>
      <c r="P1191" t="s">
        <v>114</v>
      </c>
    </row>
    <row r="1192">
      <c r="A1192">
        <f>HYPERLINK("http://bombeiros.sp.gov.br/hidrantes/03individual/1967.html","1967")</f>
      </c>
      <c r="B1192" t="s">
        <v>114</v>
      </c>
      <c r="C1192" t="s">
        <v>260</v>
      </c>
      <c r="D1192" t="s">
        <v>260</v>
      </c>
      <c r="E1192" t="s">
        <v>15</v>
      </c>
      <c r="F1192" t="s">
        <v>4486</v>
      </c>
      <c r="G1192" t="s">
        <v>18547</v>
      </c>
      <c r="H1192" t="s">
        <v>1112</v>
      </c>
      <c r="I1192" t="s">
        <v>1108</v>
      </c>
      <c r="J1192" t="s">
        <v>4487</v>
      </c>
      <c r="K1192" t="s">
        <v>4488</v>
      </c>
      <c r="L1192" t="s">
        <v>21</v>
      </c>
      <c r="M1192" t="s">
        <v>19177</v>
      </c>
      <c r="N1192" t="s">
        <v>6029</v>
      </c>
      <c r="O1192" t="s">
        <v>6029</v>
      </c>
      <c r="P1192" t="s">
        <v>114</v>
      </c>
    </row>
    <row r="1193">
      <c r="A1193">
        <f>HYPERLINK("http://bombeiros.sp.gov.br/hidrantes/03individual/1968.html","1968")</f>
      </c>
      <c r="B1193" t="s">
        <v>114</v>
      </c>
      <c r="C1193" t="s">
        <v>260</v>
      </c>
      <c r="D1193" t="s">
        <v>260</v>
      </c>
      <c r="E1193" t="s">
        <v>15</v>
      </c>
      <c r="F1193" t="s">
        <v>4489</v>
      </c>
      <c r="G1193" t="s">
        <v>18043</v>
      </c>
      <c r="H1193" t="s">
        <v>1112</v>
      </c>
      <c r="I1193" t="s">
        <v>1108</v>
      </c>
      <c r="J1193" t="s">
        <v>4490</v>
      </c>
      <c r="K1193" t="s">
        <v>4491</v>
      </c>
      <c r="L1193" t="s">
        <v>21</v>
      </c>
      <c r="M1193" t="s">
        <v>19177</v>
      </c>
      <c r="N1193" t="s">
        <v>6029</v>
      </c>
      <c r="O1193" t="s">
        <v>6029</v>
      </c>
      <c r="P1193" t="s">
        <v>114</v>
      </c>
    </row>
    <row r="1194">
      <c r="A1194">
        <f>HYPERLINK("http://bombeiros.sp.gov.br/hidrantes/03individual/1971.html","1971")</f>
      </c>
      <c r="B1194" t="s">
        <v>114</v>
      </c>
      <c r="C1194" t="s">
        <v>260</v>
      </c>
      <c r="D1194" t="s">
        <v>260</v>
      </c>
      <c r="E1194" t="s">
        <v>15</v>
      </c>
      <c r="F1194" t="s">
        <v>4492</v>
      </c>
      <c r="G1194" t="s">
        <v>18094</v>
      </c>
      <c r="H1194" t="s">
        <v>1112</v>
      </c>
      <c r="I1194" t="s">
        <v>1108</v>
      </c>
      <c r="J1194" t="s">
        <v>4493</v>
      </c>
      <c r="K1194" t="s">
        <v>4494</v>
      </c>
      <c r="L1194" t="s">
        <v>21</v>
      </c>
      <c r="M1194" t="s">
        <v>19177</v>
      </c>
      <c r="N1194" t="s">
        <v>6029</v>
      </c>
      <c r="O1194" t="s">
        <v>6029</v>
      </c>
      <c r="P1194" t="s">
        <v>114</v>
      </c>
    </row>
    <row r="1195">
      <c r="A1195">
        <f>HYPERLINK("http://bombeiros.sp.gov.br/hidrantes/03individual/1972.html","1972")</f>
      </c>
      <c r="B1195" t="s">
        <v>114</v>
      </c>
      <c r="C1195" t="s">
        <v>260</v>
      </c>
      <c r="D1195" t="s">
        <v>260</v>
      </c>
      <c r="E1195" t="s">
        <v>15</v>
      </c>
      <c r="F1195" t="s">
        <v>4495</v>
      </c>
      <c r="G1195" t="s">
        <v>18134</v>
      </c>
      <c r="H1195" t="s">
        <v>1107</v>
      </c>
      <c r="I1195" t="s">
        <v>1108</v>
      </c>
      <c r="J1195" t="s">
        <v>4496</v>
      </c>
      <c r="K1195" t="s">
        <v>4497</v>
      </c>
      <c r="L1195" t="s">
        <v>21</v>
      </c>
      <c r="M1195" t="s">
        <v>19177</v>
      </c>
      <c r="N1195" t="s">
        <v>6029</v>
      </c>
      <c r="O1195" t="s">
        <v>6029</v>
      </c>
      <c r="P1195" t="s">
        <v>114</v>
      </c>
    </row>
    <row r="1196">
      <c r="A1196">
        <f>HYPERLINK("http://bombeiros.sp.gov.br/hidrantes/03individual/1975.html","1975")</f>
      </c>
      <c r="B1196" t="s">
        <v>114</v>
      </c>
      <c r="C1196" t="s">
        <v>260</v>
      </c>
      <c r="D1196" t="s">
        <v>260</v>
      </c>
      <c r="E1196" t="s">
        <v>15</v>
      </c>
      <c r="F1196" t="s">
        <v>4498</v>
      </c>
      <c r="G1196" t="s">
        <v>18545</v>
      </c>
      <c r="H1196" t="s">
        <v>1121</v>
      </c>
      <c r="I1196" t="s">
        <v>1117</v>
      </c>
      <c r="J1196" t="s">
        <v>4499</v>
      </c>
      <c r="K1196" t="s">
        <v>4500</v>
      </c>
      <c r="L1196" t="s">
        <v>21</v>
      </c>
      <c r="M1196" t="s">
        <v>19177</v>
      </c>
      <c r="N1196" t="s">
        <v>6029</v>
      </c>
      <c r="O1196" t="s">
        <v>6029</v>
      </c>
      <c r="P1196" t="s">
        <v>114</v>
      </c>
    </row>
    <row r="1197">
      <c r="A1197">
        <f>HYPERLINK("http://bombeiros.sp.gov.br/hidrantes/03individual/3471.html","3471")</f>
      </c>
      <c r="B1197" t="s">
        <v>114</v>
      </c>
      <c r="C1197" t="s">
        <v>260</v>
      </c>
      <c r="D1197" t="s">
        <v>260</v>
      </c>
      <c r="E1197" t="s">
        <v>15</v>
      </c>
      <c r="F1197" t="s">
        <v>4501</v>
      </c>
      <c r="G1197" t="s">
        <v>18094</v>
      </c>
      <c r="H1197" t="s">
        <v>1112</v>
      </c>
      <c r="I1197" t="s">
        <v>1108</v>
      </c>
      <c r="J1197" t="s">
        <v>4502</v>
      </c>
      <c r="K1197" t="s">
        <v>4503</v>
      </c>
      <c r="L1197" t="s">
        <v>21</v>
      </c>
      <c r="M1197" t="s">
        <v>19177</v>
      </c>
      <c r="N1197" t="s">
        <v>6029</v>
      </c>
      <c r="O1197" t="s">
        <v>6029</v>
      </c>
      <c r="P1197" t="s">
        <v>114</v>
      </c>
    </row>
    <row r="1198">
      <c r="A1198">
        <f>HYPERLINK("http://bombeiros.sp.gov.br/hidrantes/03individual/4202.html","4202")</f>
      </c>
      <c r="B1198" t="s">
        <v>114</v>
      </c>
      <c r="C1198" t="s">
        <v>260</v>
      </c>
      <c r="D1198" t="s">
        <v>260</v>
      </c>
      <c r="E1198" t="s">
        <v>15</v>
      </c>
      <c r="F1198" t="s">
        <v>4504</v>
      </c>
      <c r="G1198" t="s">
        <v>18548</v>
      </c>
      <c r="H1198" t="s">
        <v>1174</v>
      </c>
      <c r="I1198" t="s">
        <v>1108</v>
      </c>
      <c r="J1198" t="s">
        <v>4505</v>
      </c>
      <c r="K1198" t="s">
        <v>4506</v>
      </c>
      <c r="L1198" t="s">
        <v>21</v>
      </c>
      <c r="M1198" t="s">
        <v>19177</v>
      </c>
      <c r="N1198" t="s">
        <v>6029</v>
      </c>
      <c r="O1198" t="s">
        <v>6029</v>
      </c>
      <c r="P1198" t="s">
        <v>114</v>
      </c>
    </row>
    <row r="1199">
      <c r="A1199">
        <f>HYPERLINK("http://bombeiros.sp.gov.br/hidrantes/03individual/17853.html","17853")</f>
      </c>
      <c r="B1199" t="s">
        <v>114</v>
      </c>
      <c r="C1199" t="s">
        <v>260</v>
      </c>
      <c r="D1199" t="s">
        <v>260</v>
      </c>
      <c r="E1199" t="s">
        <v>15</v>
      </c>
      <c r="F1199" t="s">
        <v>4507</v>
      </c>
      <c r="G1199" t="s">
        <v>18134</v>
      </c>
      <c r="H1199" t="s">
        <v>1107</v>
      </c>
      <c r="I1199" t="s">
        <v>1108</v>
      </c>
      <c r="J1199" t="s">
        <v>4508</v>
      </c>
      <c r="K1199" t="s">
        <v>4509</v>
      </c>
      <c r="L1199" t="s">
        <v>21</v>
      </c>
      <c r="M1199" t="s">
        <v>19177</v>
      </c>
      <c r="N1199" t="s">
        <v>6029</v>
      </c>
      <c r="O1199" t="s">
        <v>6029</v>
      </c>
      <c r="P1199" t="s">
        <v>114</v>
      </c>
    </row>
    <row r="1200">
      <c r="A1200">
        <f>HYPERLINK("http://bombeiros.sp.gov.br/hidrantes/03individual/27879.html","27879")</f>
      </c>
      <c r="B1200" t="s">
        <v>114</v>
      </c>
      <c r="C1200" t="s">
        <v>260</v>
      </c>
      <c r="D1200" t="s">
        <v>260</v>
      </c>
      <c r="E1200" t="s">
        <v>15</v>
      </c>
      <c r="F1200" t="s">
        <v>17883</v>
      </c>
      <c r="G1200" t="s">
        <v>18181</v>
      </c>
      <c r="H1200" t="s">
        <v>1174</v>
      </c>
      <c r="I1200" t="s">
        <v>1117</v>
      </c>
      <c r="J1200" t="s">
        <v>17884</v>
      </c>
      <c r="K1200" t="s">
        <v>17885</v>
      </c>
      <c r="L1200" t="s">
        <v>21</v>
      </c>
      <c r="M1200" t="s">
        <v>19177</v>
      </c>
      <c r="N1200" t="s">
        <v>6029</v>
      </c>
      <c r="O1200" t="s">
        <v>6029</v>
      </c>
      <c r="P1200" t="s">
        <v>114</v>
      </c>
    </row>
    <row r="1201">
      <c r="A1201">
        <f>HYPERLINK("http://bombeiros.sp.gov.br/hidrantes/03individual/911.html","911")</f>
      </c>
      <c r="B1201" t="s">
        <v>114</v>
      </c>
      <c r="C1201" t="s">
        <v>260</v>
      </c>
      <c r="D1201" t="s">
        <v>265</v>
      </c>
      <c r="E1201" t="s">
        <v>64</v>
      </c>
      <c r="F1201" t="s">
        <v>4510</v>
      </c>
      <c r="G1201" t="s">
        <v>18134</v>
      </c>
      <c r="H1201" t="s">
        <v>1107</v>
      </c>
      <c r="I1201" t="s">
        <v>1108</v>
      </c>
      <c r="J1201" t="s">
        <v>4511</v>
      </c>
      <c r="K1201" t="s">
        <v>4512</v>
      </c>
      <c r="L1201" t="s">
        <v>21</v>
      </c>
      <c r="M1201" t="s">
        <v>19177</v>
      </c>
      <c r="N1201" t="s">
        <v>6029</v>
      </c>
      <c r="O1201" t="s">
        <v>6029</v>
      </c>
      <c r="P1201" t="s">
        <v>114</v>
      </c>
    </row>
    <row r="1202">
      <c r="A1202">
        <f>HYPERLINK("http://bombeiros.sp.gov.br/hidrantes/03individual/2038.html","2038")</f>
      </c>
      <c r="B1202" t="s">
        <v>114</v>
      </c>
      <c r="C1202" t="s">
        <v>260</v>
      </c>
      <c r="D1202" t="s">
        <v>265</v>
      </c>
      <c r="E1202" t="s">
        <v>64</v>
      </c>
      <c r="F1202" t="s">
        <v>4513</v>
      </c>
      <c r="G1202" t="s">
        <v>18099</v>
      </c>
      <c r="H1202" t="s">
        <v>1121</v>
      </c>
      <c r="I1202" t="s">
        <v>1117</v>
      </c>
      <c r="J1202" t="s">
        <v>4514</v>
      </c>
      <c r="K1202" t="s">
        <v>4515</v>
      </c>
      <c r="L1202" t="s">
        <v>36</v>
      </c>
      <c r="M1202" t="s">
        <v>19177</v>
      </c>
      <c r="N1202" t="s">
        <v>6029</v>
      </c>
      <c r="O1202" t="s">
        <v>6029</v>
      </c>
      <c r="P1202" t="s">
        <v>114</v>
      </c>
    </row>
    <row r="1203">
      <c r="A1203">
        <f>HYPERLINK("http://bombeiros.sp.gov.br/hidrantes/03individual/3715.html","3715")</f>
      </c>
      <c r="B1203" t="s">
        <v>114</v>
      </c>
      <c r="C1203" t="s">
        <v>260</v>
      </c>
      <c r="D1203" t="s">
        <v>265</v>
      </c>
      <c r="E1203" t="s">
        <v>64</v>
      </c>
      <c r="F1203" t="s">
        <v>4516</v>
      </c>
      <c r="G1203" t="s">
        <v>18181</v>
      </c>
      <c r="H1203" t="s">
        <v>1112</v>
      </c>
      <c r="I1203" t="s">
        <v>1108</v>
      </c>
      <c r="J1203" t="s">
        <v>4517</v>
      </c>
      <c r="K1203" t="s">
        <v>4518</v>
      </c>
      <c r="L1203" t="s">
        <v>21</v>
      </c>
      <c r="M1203" t="s">
        <v>19177</v>
      </c>
      <c r="N1203" t="s">
        <v>6029</v>
      </c>
      <c r="O1203" t="s">
        <v>6029</v>
      </c>
      <c r="P1203" t="s">
        <v>114</v>
      </c>
    </row>
    <row r="1204">
      <c r="A1204">
        <f>HYPERLINK("http://bombeiros.sp.gov.br/hidrantes/03individual/4349.html","4349")</f>
      </c>
      <c r="B1204" t="s">
        <v>114</v>
      </c>
      <c r="C1204" t="s">
        <v>260</v>
      </c>
      <c r="D1204" t="s">
        <v>265</v>
      </c>
      <c r="E1204" t="s">
        <v>64</v>
      </c>
      <c r="F1204" t="s">
        <v>4519</v>
      </c>
      <c r="G1204" t="s">
        <v>18085</v>
      </c>
      <c r="H1204" t="s">
        <v>1112</v>
      </c>
      <c r="I1204" t="s">
        <v>1108</v>
      </c>
      <c r="J1204" t="s">
        <v>4520</v>
      </c>
      <c r="K1204" t="s">
        <v>4521</v>
      </c>
      <c r="L1204" t="s">
        <v>21</v>
      </c>
      <c r="M1204" t="s">
        <v>19177</v>
      </c>
      <c r="N1204" t="s">
        <v>6029</v>
      </c>
      <c r="O1204" t="s">
        <v>6029</v>
      </c>
      <c r="P1204" t="s">
        <v>114</v>
      </c>
    </row>
    <row r="1205">
      <c r="A1205">
        <f>HYPERLINK("http://bombeiros.sp.gov.br/hidrantes/03individual/27575.html","27575")</f>
      </c>
      <c r="B1205" t="s">
        <v>114</v>
      </c>
      <c r="C1205" t="s">
        <v>260</v>
      </c>
      <c r="D1205" t="s">
        <v>265</v>
      </c>
      <c r="E1205" t="s">
        <v>64</v>
      </c>
      <c r="F1205" t="s">
        <v>17463</v>
      </c>
      <c r="G1205" t="s">
        <v>18194</v>
      </c>
      <c r="H1205" t="s">
        <v>1107</v>
      </c>
      <c r="I1205" t="s">
        <v>1108</v>
      </c>
      <c r="J1205" t="s">
        <v>17464</v>
      </c>
      <c r="K1205" t="s">
        <v>17465</v>
      </c>
      <c r="L1205" t="s">
        <v>21</v>
      </c>
      <c r="M1205" t="s">
        <v>19177</v>
      </c>
      <c r="N1205" t="s">
        <v>6029</v>
      </c>
      <c r="O1205" t="s">
        <v>6029</v>
      </c>
      <c r="P1205" t="s">
        <v>114</v>
      </c>
    </row>
    <row r="1206">
      <c r="A1206">
        <f>HYPERLINK("http://bombeiros.sp.gov.br/hidrantes/03individual/1991.html","1991")</f>
      </c>
      <c r="B1206" t="s">
        <v>114</v>
      </c>
      <c r="C1206" t="s">
        <v>260</v>
      </c>
      <c r="D1206" t="s">
        <v>265</v>
      </c>
      <c r="E1206" t="s">
        <v>15</v>
      </c>
      <c r="F1206" t="s">
        <v>4522</v>
      </c>
      <c r="G1206" t="s">
        <v>18134</v>
      </c>
      <c r="H1206" t="s">
        <v>1107</v>
      </c>
      <c r="I1206" t="s">
        <v>1108</v>
      </c>
      <c r="J1206" t="s">
        <v>4523</v>
      </c>
      <c r="K1206" t="s">
        <v>4524</v>
      </c>
      <c r="L1206" t="s">
        <v>21</v>
      </c>
      <c r="M1206" t="s">
        <v>19177</v>
      </c>
      <c r="N1206" t="s">
        <v>6029</v>
      </c>
      <c r="O1206" t="s">
        <v>6029</v>
      </c>
      <c r="P1206" t="s">
        <v>114</v>
      </c>
    </row>
    <row r="1207">
      <c r="A1207">
        <f>HYPERLINK("http://bombeiros.sp.gov.br/hidrantes/03individual/2047.html","2047")</f>
      </c>
      <c r="B1207" t="s">
        <v>114</v>
      </c>
      <c r="C1207" t="s">
        <v>260</v>
      </c>
      <c r="D1207" t="s">
        <v>265</v>
      </c>
      <c r="E1207" t="s">
        <v>15</v>
      </c>
      <c r="F1207" t="s">
        <v>4525</v>
      </c>
      <c r="G1207" t="s">
        <v>18084</v>
      </c>
      <c r="H1207" t="s">
        <v>1112</v>
      </c>
      <c r="I1207" t="s">
        <v>1108</v>
      </c>
      <c r="J1207" t="s">
        <v>4526</v>
      </c>
      <c r="K1207" t="s">
        <v>4527</v>
      </c>
      <c r="L1207" t="s">
        <v>21</v>
      </c>
      <c r="M1207" t="s">
        <v>19177</v>
      </c>
      <c r="N1207" t="s">
        <v>6029</v>
      </c>
      <c r="O1207" t="s">
        <v>6029</v>
      </c>
      <c r="P1207" t="s">
        <v>114</v>
      </c>
    </row>
    <row r="1208">
      <c r="A1208">
        <f>HYPERLINK("http://bombeiros.sp.gov.br/hidrantes/03individual/2049.html","2049")</f>
      </c>
      <c r="B1208" t="s">
        <v>114</v>
      </c>
      <c r="C1208" t="s">
        <v>260</v>
      </c>
      <c r="D1208" t="s">
        <v>265</v>
      </c>
      <c r="E1208" t="s">
        <v>15</v>
      </c>
      <c r="F1208" t="s">
        <v>4528</v>
      </c>
      <c r="G1208" t="s">
        <v>18084</v>
      </c>
      <c r="H1208" t="s">
        <v>1107</v>
      </c>
      <c r="I1208" t="s">
        <v>1117</v>
      </c>
      <c r="J1208" t="s">
        <v>4529</v>
      </c>
      <c r="K1208" t="s">
        <v>4530</v>
      </c>
      <c r="L1208" t="s">
        <v>21</v>
      </c>
      <c r="M1208" t="s">
        <v>19177</v>
      </c>
      <c r="N1208" t="s">
        <v>6029</v>
      </c>
      <c r="O1208" t="s">
        <v>6029</v>
      </c>
      <c r="P1208" t="s">
        <v>114</v>
      </c>
    </row>
    <row r="1209">
      <c r="A1209">
        <f>HYPERLINK("http://bombeiros.sp.gov.br/hidrantes/03individual/2076.html","2076")</f>
      </c>
      <c r="B1209" t="s">
        <v>114</v>
      </c>
      <c r="C1209" t="s">
        <v>260</v>
      </c>
      <c r="D1209" t="s">
        <v>265</v>
      </c>
      <c r="E1209" t="s">
        <v>15</v>
      </c>
      <c r="F1209" t="s">
        <v>4531</v>
      </c>
      <c r="G1209" t="s">
        <v>18134</v>
      </c>
      <c r="H1209" t="s">
        <v>1174</v>
      </c>
      <c r="I1209" t="s">
        <v>1117</v>
      </c>
      <c r="J1209" t="s">
        <v>4532</v>
      </c>
      <c r="K1209" t="s">
        <v>4533</v>
      </c>
      <c r="L1209" t="s">
        <v>21</v>
      </c>
      <c r="M1209" t="s">
        <v>19177</v>
      </c>
      <c r="N1209" t="s">
        <v>6029</v>
      </c>
      <c r="O1209" t="s">
        <v>6029</v>
      </c>
      <c r="P1209" t="s">
        <v>114</v>
      </c>
    </row>
    <row r="1210">
      <c r="A1210">
        <f>HYPERLINK("http://bombeiros.sp.gov.br/hidrantes/03individual/2094.html","2094")</f>
      </c>
      <c r="B1210" t="s">
        <v>114</v>
      </c>
      <c r="C1210" t="s">
        <v>260</v>
      </c>
      <c r="D1210" t="s">
        <v>265</v>
      </c>
      <c r="E1210" t="s">
        <v>15</v>
      </c>
      <c r="F1210" t="s">
        <v>4534</v>
      </c>
      <c r="G1210" t="s">
        <v>18115</v>
      </c>
      <c r="H1210" t="s">
        <v>1121</v>
      </c>
      <c r="I1210" t="s">
        <v>1117</v>
      </c>
      <c r="J1210" t="s">
        <v>4535</v>
      </c>
      <c r="K1210" t="s">
        <v>4536</v>
      </c>
      <c r="L1210" t="s">
        <v>21</v>
      </c>
      <c r="M1210" t="s">
        <v>19177</v>
      </c>
      <c r="N1210" t="s">
        <v>6029</v>
      </c>
      <c r="O1210" t="s">
        <v>6029</v>
      </c>
      <c r="P1210" t="s">
        <v>114</v>
      </c>
    </row>
    <row r="1211">
      <c r="A1211">
        <f>HYPERLINK("http://bombeiros.sp.gov.br/hidrantes/03individual/3713.html","3713")</f>
      </c>
      <c r="B1211" t="s">
        <v>114</v>
      </c>
      <c r="C1211" t="s">
        <v>260</v>
      </c>
      <c r="D1211" t="s">
        <v>265</v>
      </c>
      <c r="E1211" t="s">
        <v>15</v>
      </c>
      <c r="F1211" t="s">
        <v>4537</v>
      </c>
      <c r="G1211" t="s">
        <v>18085</v>
      </c>
      <c r="H1211" t="s">
        <v>1112</v>
      </c>
      <c r="I1211" t="s">
        <v>1108</v>
      </c>
      <c r="J1211" t="s">
        <v>4538</v>
      </c>
      <c r="K1211" t="s">
        <v>4539</v>
      </c>
      <c r="L1211" t="s">
        <v>21</v>
      </c>
      <c r="M1211" t="s">
        <v>19177</v>
      </c>
      <c r="N1211" t="s">
        <v>6029</v>
      </c>
      <c r="O1211" t="s">
        <v>6029</v>
      </c>
      <c r="P1211" t="s">
        <v>114</v>
      </c>
    </row>
    <row r="1212">
      <c r="A1212">
        <f>HYPERLINK("http://bombeiros.sp.gov.br/hidrantes/03individual/3714.html","3714")</f>
      </c>
      <c r="B1212" t="s">
        <v>114</v>
      </c>
      <c r="C1212" t="s">
        <v>260</v>
      </c>
      <c r="D1212" t="s">
        <v>265</v>
      </c>
      <c r="E1212" t="s">
        <v>15</v>
      </c>
      <c r="F1212" t="s">
        <v>4540</v>
      </c>
      <c r="G1212" t="s">
        <v>18085</v>
      </c>
      <c r="H1212" t="s">
        <v>1112</v>
      </c>
      <c r="I1212" t="s">
        <v>1108</v>
      </c>
      <c r="J1212" t="s">
        <v>4541</v>
      </c>
      <c r="K1212" t="s">
        <v>4542</v>
      </c>
      <c r="L1212" t="s">
        <v>21</v>
      </c>
      <c r="M1212" t="s">
        <v>19177</v>
      </c>
      <c r="N1212" t="s">
        <v>6029</v>
      </c>
      <c r="O1212" t="s">
        <v>6029</v>
      </c>
      <c r="P1212" t="s">
        <v>114</v>
      </c>
    </row>
    <row r="1213">
      <c r="A1213">
        <f>HYPERLINK("http://bombeiros.sp.gov.br/hidrantes/03individual/4201.html","4201")</f>
      </c>
      <c r="B1213" t="s">
        <v>114</v>
      </c>
      <c r="C1213" t="s">
        <v>260</v>
      </c>
      <c r="D1213" t="s">
        <v>265</v>
      </c>
      <c r="E1213" t="s">
        <v>15</v>
      </c>
      <c r="F1213" t="s">
        <v>269</v>
      </c>
      <c r="G1213" t="s">
        <v>18084</v>
      </c>
      <c r="H1213" t="s">
        <v>1107</v>
      </c>
      <c r="I1213" t="s">
        <v>1108</v>
      </c>
      <c r="J1213" t="s">
        <v>17480</v>
      </c>
      <c r="K1213" t="s">
        <v>17481</v>
      </c>
      <c r="L1213" t="s">
        <v>21</v>
      </c>
      <c r="M1213" t="s">
        <v>19177</v>
      </c>
      <c r="N1213" t="s">
        <v>6029</v>
      </c>
      <c r="O1213" t="s">
        <v>6029</v>
      </c>
      <c r="P1213" t="s">
        <v>114</v>
      </c>
    </row>
    <row r="1214">
      <c r="A1214">
        <f>HYPERLINK("http://bombeiros.sp.gov.br/hidrantes/03individual/4350.html","4350")</f>
      </c>
      <c r="B1214" t="s">
        <v>114</v>
      </c>
      <c r="C1214" t="s">
        <v>260</v>
      </c>
      <c r="D1214" t="s">
        <v>265</v>
      </c>
      <c r="E1214" t="s">
        <v>15</v>
      </c>
      <c r="F1214" t="s">
        <v>4543</v>
      </c>
      <c r="G1214" t="s">
        <v>18218</v>
      </c>
      <c r="H1214" t="s">
        <v>1112</v>
      </c>
      <c r="I1214" t="s">
        <v>1108</v>
      </c>
      <c r="J1214" t="s">
        <v>4544</v>
      </c>
      <c r="K1214" t="s">
        <v>4545</v>
      </c>
      <c r="L1214" t="s">
        <v>21</v>
      </c>
      <c r="M1214" t="s">
        <v>19177</v>
      </c>
      <c r="N1214" t="s">
        <v>6029</v>
      </c>
      <c r="O1214" t="s">
        <v>6029</v>
      </c>
      <c r="P1214" t="s">
        <v>114</v>
      </c>
    </row>
    <row r="1215">
      <c r="A1215">
        <f>HYPERLINK("http://bombeiros.sp.gov.br/hidrantes/03individual/6785.html","6785")</f>
      </c>
      <c r="B1215" t="s">
        <v>114</v>
      </c>
      <c r="C1215" t="s">
        <v>260</v>
      </c>
      <c r="D1215" t="s">
        <v>265</v>
      </c>
      <c r="E1215" t="s">
        <v>15</v>
      </c>
      <c r="F1215" t="s">
        <v>4546</v>
      </c>
      <c r="G1215" t="s">
        <v>18092</v>
      </c>
      <c r="H1215" t="s">
        <v>1174</v>
      </c>
      <c r="I1215" t="s">
        <v>1108</v>
      </c>
      <c r="J1215" t="s">
        <v>4547</v>
      </c>
      <c r="K1215" t="s">
        <v>4548</v>
      </c>
      <c r="L1215" t="s">
        <v>36</v>
      </c>
      <c r="M1215" t="s">
        <v>19177</v>
      </c>
      <c r="N1215" t="s">
        <v>6029</v>
      </c>
      <c r="O1215" t="s">
        <v>6029</v>
      </c>
      <c r="P1215" t="s">
        <v>114</v>
      </c>
    </row>
    <row r="1216">
      <c r="A1216">
        <f>HYPERLINK("http://bombeiros.sp.gov.br/hidrantes/03individual/14922.html","14922")</f>
      </c>
      <c r="B1216" t="s">
        <v>114</v>
      </c>
      <c r="C1216" t="s">
        <v>260</v>
      </c>
      <c r="D1216" t="s">
        <v>265</v>
      </c>
      <c r="E1216" t="s">
        <v>15</v>
      </c>
      <c r="F1216" t="s">
        <v>4549</v>
      </c>
      <c r="G1216" t="s">
        <v>18134</v>
      </c>
      <c r="H1216" t="s">
        <v>1107</v>
      </c>
      <c r="I1216" t="s">
        <v>1108</v>
      </c>
      <c r="J1216" t="s">
        <v>4550</v>
      </c>
      <c r="K1216" t="s">
        <v>4551</v>
      </c>
      <c r="L1216" t="s">
        <v>21</v>
      </c>
      <c r="M1216" t="s">
        <v>19177</v>
      </c>
      <c r="N1216" t="s">
        <v>6029</v>
      </c>
      <c r="O1216" t="s">
        <v>6029</v>
      </c>
      <c r="P1216" t="s">
        <v>114</v>
      </c>
    </row>
    <row r="1217">
      <c r="A1217">
        <f>HYPERLINK("http://bombeiros.sp.gov.br/hidrantes/03individual/17897.html","17897")</f>
      </c>
      <c r="B1217" t="s">
        <v>114</v>
      </c>
      <c r="C1217" t="s">
        <v>260</v>
      </c>
      <c r="D1217" t="s">
        <v>265</v>
      </c>
      <c r="E1217" t="s">
        <v>15</v>
      </c>
      <c r="F1217" t="s">
        <v>4552</v>
      </c>
      <c r="G1217" t="s">
        <v>18134</v>
      </c>
      <c r="H1217" t="s">
        <v>1107</v>
      </c>
      <c r="I1217" t="s">
        <v>1108</v>
      </c>
      <c r="J1217" t="s">
        <v>4553</v>
      </c>
      <c r="K1217" t="s">
        <v>4554</v>
      </c>
      <c r="L1217" t="s">
        <v>21</v>
      </c>
      <c r="M1217" t="s">
        <v>19177</v>
      </c>
      <c r="N1217" t="s">
        <v>6029</v>
      </c>
      <c r="O1217" t="s">
        <v>6029</v>
      </c>
      <c r="P1217" t="s">
        <v>114</v>
      </c>
    </row>
    <row r="1218">
      <c r="A1218">
        <f>HYPERLINK("http://bombeiros.sp.gov.br/hidrantes/03individual/28024.html","28024")</f>
      </c>
      <c r="B1218" t="s">
        <v>114</v>
      </c>
      <c r="C1218" t="s">
        <v>260</v>
      </c>
      <c r="D1218" t="s">
        <v>265</v>
      </c>
      <c r="E1218" t="s">
        <v>15</v>
      </c>
      <c r="F1218" t="s">
        <v>18282</v>
      </c>
      <c r="G1218" t="s">
        <v>18043</v>
      </c>
      <c r="H1218" t="s">
        <v>1112</v>
      </c>
      <c r="I1218" t="s">
        <v>1108</v>
      </c>
      <c r="J1218" t="s">
        <v>18283</v>
      </c>
      <c r="K1218" t="s">
        <v>18284</v>
      </c>
      <c r="L1218" t="s">
        <v>21</v>
      </c>
      <c r="M1218" t="s">
        <v>19177</v>
      </c>
      <c r="N1218" t="s">
        <v>6029</v>
      </c>
      <c r="O1218" t="s">
        <v>6029</v>
      </c>
      <c r="P1218" t="s">
        <v>114</v>
      </c>
    </row>
    <row r="1219">
      <c r="A1219">
        <f>HYPERLINK("http://bombeiros.sp.gov.br/hidrantes/03individual/3411.html","3411")</f>
      </c>
      <c r="B1219" t="s">
        <v>114</v>
      </c>
      <c r="C1219" t="s">
        <v>272</v>
      </c>
      <c r="D1219" t="s">
        <v>4555</v>
      </c>
      <c r="E1219" t="s">
        <v>64</v>
      </c>
      <c r="F1219" t="s">
        <v>4556</v>
      </c>
      <c r="G1219" t="s">
        <v>18124</v>
      </c>
      <c r="H1219" t="s">
        <v>1107</v>
      </c>
      <c r="I1219" t="s">
        <v>1108</v>
      </c>
      <c r="J1219" t="s">
        <v>4557</v>
      </c>
      <c r="K1219" t="s">
        <v>4558</v>
      </c>
      <c r="L1219" t="s">
        <v>36</v>
      </c>
      <c r="M1219" t="s">
        <v>19177</v>
      </c>
      <c r="N1219" t="s">
        <v>272</v>
      </c>
      <c r="O1219" t="s">
        <v>272</v>
      </c>
      <c r="P1219" t="s">
        <v>114</v>
      </c>
    </row>
    <row r="1220">
      <c r="A1220">
        <f>HYPERLINK("http://bombeiros.sp.gov.br/hidrantes/03individual/3449.html","3449")</f>
      </c>
      <c r="B1220" t="s">
        <v>114</v>
      </c>
      <c r="C1220" t="s">
        <v>272</v>
      </c>
      <c r="D1220" t="s">
        <v>4555</v>
      </c>
      <c r="E1220" t="s">
        <v>64</v>
      </c>
      <c r="F1220" t="s">
        <v>4559</v>
      </c>
      <c r="G1220" t="s">
        <v>18067</v>
      </c>
      <c r="H1220" t="s">
        <v>1112</v>
      </c>
      <c r="I1220" t="s">
        <v>1108</v>
      </c>
      <c r="J1220" t="s">
        <v>4560</v>
      </c>
      <c r="K1220" t="s">
        <v>4561</v>
      </c>
      <c r="L1220" t="s">
        <v>21</v>
      </c>
      <c r="M1220" t="s">
        <v>19177</v>
      </c>
      <c r="N1220" t="s">
        <v>272</v>
      </c>
      <c r="O1220" t="s">
        <v>272</v>
      </c>
      <c r="P1220" t="s">
        <v>114</v>
      </c>
    </row>
    <row r="1221">
      <c r="A1221">
        <f>HYPERLINK("http://bombeiros.sp.gov.br/hidrantes/03individual/1918.html","1918")</f>
      </c>
      <c r="B1221" t="s">
        <v>114</v>
      </c>
      <c r="C1221" t="s">
        <v>272</v>
      </c>
      <c r="D1221" t="s">
        <v>4555</v>
      </c>
      <c r="E1221" t="s">
        <v>15</v>
      </c>
      <c r="F1221" t="s">
        <v>4562</v>
      </c>
      <c r="G1221" t="s">
        <v>18097</v>
      </c>
      <c r="H1221" t="s">
        <v>1107</v>
      </c>
      <c r="I1221" t="s">
        <v>1108</v>
      </c>
      <c r="J1221" t="s">
        <v>4563</v>
      </c>
      <c r="K1221" t="s">
        <v>4564</v>
      </c>
      <c r="L1221" t="s">
        <v>21</v>
      </c>
      <c r="M1221" t="s">
        <v>19177</v>
      </c>
      <c r="N1221" t="s">
        <v>309</v>
      </c>
      <c r="O1221" t="s">
        <v>6029</v>
      </c>
      <c r="P1221" t="s">
        <v>114</v>
      </c>
    </row>
    <row r="1222">
      <c r="A1222">
        <f>HYPERLINK("http://bombeiros.sp.gov.br/hidrantes/03individual/3460.html","3460")</f>
      </c>
      <c r="B1222" t="s">
        <v>114</v>
      </c>
      <c r="C1222" t="s">
        <v>272</v>
      </c>
      <c r="D1222" t="s">
        <v>4555</v>
      </c>
      <c r="E1222" t="s">
        <v>15</v>
      </c>
      <c r="F1222" t="s">
        <v>4565</v>
      </c>
      <c r="G1222" t="s">
        <v>18117</v>
      </c>
      <c r="H1222" t="s">
        <v>1112</v>
      </c>
      <c r="I1222" t="s">
        <v>1108</v>
      </c>
      <c r="J1222" t="s">
        <v>4566</v>
      </c>
      <c r="K1222" t="s">
        <v>4567</v>
      </c>
      <c r="L1222" t="s">
        <v>36</v>
      </c>
      <c r="M1222" t="s">
        <v>19177</v>
      </c>
      <c r="N1222" t="s">
        <v>309</v>
      </c>
      <c r="O1222" t="s">
        <v>6029</v>
      </c>
      <c r="P1222" t="s">
        <v>114</v>
      </c>
    </row>
    <row r="1223">
      <c r="A1223">
        <f>HYPERLINK("http://bombeiros.sp.gov.br/hidrantes/03individual/5634.html","5634")</f>
      </c>
      <c r="B1223" t="s">
        <v>114</v>
      </c>
      <c r="C1223" t="s">
        <v>272</v>
      </c>
      <c r="D1223" t="s">
        <v>4555</v>
      </c>
      <c r="E1223" t="s">
        <v>15</v>
      </c>
      <c r="F1223" t="s">
        <v>4568</v>
      </c>
      <c r="G1223" t="s">
        <v>18085</v>
      </c>
      <c r="H1223" t="s">
        <v>1121</v>
      </c>
      <c r="I1223" t="s">
        <v>1117</v>
      </c>
      <c r="J1223" t="s">
        <v>4569</v>
      </c>
      <c r="K1223" t="s">
        <v>4570</v>
      </c>
      <c r="L1223" t="s">
        <v>21</v>
      </c>
      <c r="M1223" t="s">
        <v>19177</v>
      </c>
      <c r="N1223" t="s">
        <v>309</v>
      </c>
      <c r="O1223" t="s">
        <v>6029</v>
      </c>
      <c r="P1223" t="s">
        <v>114</v>
      </c>
    </row>
    <row r="1224">
      <c r="A1224">
        <f>HYPERLINK("http://bombeiros.sp.gov.br/hidrantes/03individual/3402.html","3402")</f>
      </c>
      <c r="B1224" t="s">
        <v>114</v>
      </c>
      <c r="C1224" t="s">
        <v>272</v>
      </c>
      <c r="D1224" t="s">
        <v>4571</v>
      </c>
      <c r="E1224" t="s">
        <v>64</v>
      </c>
      <c r="F1224" t="s">
        <v>4572</v>
      </c>
      <c r="G1224" t="s">
        <v>18515</v>
      </c>
      <c r="H1224" t="s">
        <v>1107</v>
      </c>
      <c r="I1224" t="s">
        <v>1108</v>
      </c>
      <c r="J1224" t="s">
        <v>4573</v>
      </c>
      <c r="K1224" t="s">
        <v>4574</v>
      </c>
      <c r="L1224" t="s">
        <v>21</v>
      </c>
      <c r="M1224" t="s">
        <v>19177</v>
      </c>
      <c r="N1224" t="s">
        <v>272</v>
      </c>
      <c r="O1224" t="s">
        <v>272</v>
      </c>
      <c r="P1224" t="s">
        <v>114</v>
      </c>
    </row>
    <row r="1225">
      <c r="A1225">
        <f>HYPERLINK("http://bombeiros.sp.gov.br/hidrantes/03individual/3407.html","3407")</f>
      </c>
      <c r="B1225" t="s">
        <v>114</v>
      </c>
      <c r="C1225" t="s">
        <v>272</v>
      </c>
      <c r="D1225" t="s">
        <v>4571</v>
      </c>
      <c r="E1225" t="s">
        <v>64</v>
      </c>
      <c r="F1225" t="s">
        <v>4575</v>
      </c>
      <c r="G1225" t="s">
        <v>18515</v>
      </c>
      <c r="H1225" t="s">
        <v>1112</v>
      </c>
      <c r="I1225" t="s">
        <v>1108</v>
      </c>
      <c r="J1225" t="s">
        <v>4576</v>
      </c>
      <c r="K1225" t="s">
        <v>4577</v>
      </c>
      <c r="L1225" t="s">
        <v>21</v>
      </c>
      <c r="M1225" t="s">
        <v>19177</v>
      </c>
      <c r="N1225" t="s">
        <v>272</v>
      </c>
      <c r="O1225" t="s">
        <v>272</v>
      </c>
      <c r="P1225" t="s">
        <v>114</v>
      </c>
    </row>
    <row r="1226">
      <c r="A1226">
        <f>HYPERLINK("http://bombeiros.sp.gov.br/hidrantes/03individual/5524.html","5524")</f>
      </c>
      <c r="B1226" t="s">
        <v>114</v>
      </c>
      <c r="C1226" t="s">
        <v>272</v>
      </c>
      <c r="D1226" t="s">
        <v>4571</v>
      </c>
      <c r="E1226" t="s">
        <v>64</v>
      </c>
      <c r="F1226" t="s">
        <v>4578</v>
      </c>
      <c r="G1226" t="s">
        <v>18515</v>
      </c>
      <c r="H1226" t="s">
        <v>1112</v>
      </c>
      <c r="I1226" t="s">
        <v>1108</v>
      </c>
      <c r="J1226" t="s">
        <v>4579</v>
      </c>
      <c r="K1226" t="s">
        <v>4580</v>
      </c>
      <c r="L1226" t="s">
        <v>21</v>
      </c>
      <c r="M1226" t="s">
        <v>19177</v>
      </c>
      <c r="N1226" t="s">
        <v>272</v>
      </c>
      <c r="O1226" t="s">
        <v>272</v>
      </c>
      <c r="P1226" t="s">
        <v>114</v>
      </c>
    </row>
    <row r="1227">
      <c r="A1227">
        <f>HYPERLINK("http://bombeiros.sp.gov.br/hidrantes/03individual/27158.html","27158")</f>
      </c>
      <c r="B1227" t="s">
        <v>114</v>
      </c>
      <c r="C1227" t="s">
        <v>272</v>
      </c>
      <c r="D1227" t="s">
        <v>4571</v>
      </c>
      <c r="E1227" t="s">
        <v>64</v>
      </c>
      <c r="F1227" t="s">
        <v>16849</v>
      </c>
      <c r="G1227" t="s">
        <v>18515</v>
      </c>
      <c r="H1227" t="s">
        <v>1112</v>
      </c>
      <c r="I1227" t="s">
        <v>1108</v>
      </c>
      <c r="J1227" t="s">
        <v>16850</v>
      </c>
      <c r="K1227" t="s">
        <v>16851</v>
      </c>
      <c r="L1227" t="s">
        <v>21</v>
      </c>
      <c r="M1227" t="s">
        <v>19177</v>
      </c>
      <c r="N1227" t="s">
        <v>272</v>
      </c>
      <c r="O1227" t="s">
        <v>272</v>
      </c>
      <c r="P1227" t="s">
        <v>114</v>
      </c>
    </row>
    <row r="1228">
      <c r="A1228">
        <f>HYPERLINK("http://bombeiros.sp.gov.br/hidrantes/03individual/3376.html","3376")</f>
      </c>
      <c r="B1228" t="s">
        <v>114</v>
      </c>
      <c r="C1228" t="s">
        <v>272</v>
      </c>
      <c r="D1228" t="s">
        <v>272</v>
      </c>
      <c r="E1228" t="s">
        <v>64</v>
      </c>
      <c r="F1228" t="s">
        <v>4581</v>
      </c>
      <c r="G1228" t="s">
        <v>18483</v>
      </c>
      <c r="H1228" t="s">
        <v>1112</v>
      </c>
      <c r="I1228" t="s">
        <v>1108</v>
      </c>
      <c r="J1228" t="s">
        <v>4582</v>
      </c>
      <c r="K1228" t="s">
        <v>4583</v>
      </c>
      <c r="L1228" t="s">
        <v>36</v>
      </c>
      <c r="M1228" t="s">
        <v>19177</v>
      </c>
      <c r="N1228" t="s">
        <v>272</v>
      </c>
      <c r="O1228" t="s">
        <v>272</v>
      </c>
      <c r="P1228" t="s">
        <v>114</v>
      </c>
    </row>
    <row r="1229">
      <c r="A1229">
        <f>HYPERLINK("http://bombeiros.sp.gov.br/hidrantes/03individual/3381.html","3381")</f>
      </c>
      <c r="B1229" t="s">
        <v>114</v>
      </c>
      <c r="C1229" t="s">
        <v>272</v>
      </c>
      <c r="D1229" t="s">
        <v>272</v>
      </c>
      <c r="E1229" t="s">
        <v>64</v>
      </c>
      <c r="F1229" t="s">
        <v>4584</v>
      </c>
      <c r="G1229" t="s">
        <v>18483</v>
      </c>
      <c r="H1229" t="s">
        <v>1121</v>
      </c>
      <c r="I1229" t="s">
        <v>1117</v>
      </c>
      <c r="J1229" t="s">
        <v>4586</v>
      </c>
      <c r="K1229" t="s">
        <v>4587</v>
      </c>
      <c r="L1229" t="s">
        <v>21</v>
      </c>
      <c r="M1229" t="s">
        <v>19177</v>
      </c>
      <c r="N1229" t="s">
        <v>272</v>
      </c>
      <c r="O1229" t="s">
        <v>272</v>
      </c>
      <c r="P1229" t="s">
        <v>114</v>
      </c>
    </row>
    <row r="1230">
      <c r="A1230">
        <f>HYPERLINK("http://bombeiros.sp.gov.br/hidrantes/03individual/2052.html","2052")</f>
      </c>
      <c r="B1230" t="s">
        <v>114</v>
      </c>
      <c r="C1230" t="s">
        <v>272</v>
      </c>
      <c r="D1230" t="s">
        <v>272</v>
      </c>
      <c r="E1230" t="s">
        <v>15</v>
      </c>
      <c r="F1230" t="s">
        <v>4588</v>
      </c>
      <c r="G1230" t="s">
        <v>18483</v>
      </c>
      <c r="H1230" t="s">
        <v>1107</v>
      </c>
      <c r="I1230" t="s">
        <v>1117</v>
      </c>
      <c r="J1230" t="s">
        <v>4589</v>
      </c>
      <c r="K1230" t="s">
        <v>4590</v>
      </c>
      <c r="L1230" t="s">
        <v>21</v>
      </c>
      <c r="M1230" t="s">
        <v>19177</v>
      </c>
      <c r="N1230" t="s">
        <v>272</v>
      </c>
      <c r="O1230" t="s">
        <v>272</v>
      </c>
      <c r="P1230" t="s">
        <v>114</v>
      </c>
    </row>
    <row r="1231">
      <c r="A1231">
        <f>HYPERLINK("http://bombeiros.sp.gov.br/hidrantes/03individual/2056.html","2056")</f>
      </c>
      <c r="B1231" t="s">
        <v>114</v>
      </c>
      <c r="C1231" t="s">
        <v>272</v>
      </c>
      <c r="D1231" t="s">
        <v>272</v>
      </c>
      <c r="E1231" t="s">
        <v>15</v>
      </c>
      <c r="F1231" t="s">
        <v>273</v>
      </c>
      <c r="G1231" t="s">
        <v>18483</v>
      </c>
      <c r="H1231"/>
      <c r="I1231" t="s">
        <v>18</v>
      </c>
      <c r="J1231" t="s">
        <v>274</v>
      </c>
      <c r="K1231" t="s">
        <v>275</v>
      </c>
      <c r="L1231" t="s">
        <v>21</v>
      </c>
      <c r="M1231" t="s">
        <v>19177</v>
      </c>
      <c r="N1231" t="s">
        <v>272</v>
      </c>
      <c r="O1231" t="s">
        <v>272</v>
      </c>
      <c r="P1231" t="s">
        <v>114</v>
      </c>
    </row>
    <row r="1232">
      <c r="A1232">
        <f>HYPERLINK("http://bombeiros.sp.gov.br/hidrantes/03individual/2089.html","2089")</f>
      </c>
      <c r="B1232" t="s">
        <v>114</v>
      </c>
      <c r="C1232" t="s">
        <v>272</v>
      </c>
      <c r="D1232" t="s">
        <v>272</v>
      </c>
      <c r="E1232" t="s">
        <v>15</v>
      </c>
      <c r="F1232" t="s">
        <v>4591</v>
      </c>
      <c r="G1232" t="s">
        <v>18483</v>
      </c>
      <c r="H1232" t="s">
        <v>1121</v>
      </c>
      <c r="I1232" t="s">
        <v>1117</v>
      </c>
      <c r="J1232" t="s">
        <v>4592</v>
      </c>
      <c r="K1232" t="s">
        <v>4593</v>
      </c>
      <c r="L1232" t="s">
        <v>21</v>
      </c>
      <c r="M1232" t="s">
        <v>19177</v>
      </c>
      <c r="N1232" t="s">
        <v>272</v>
      </c>
      <c r="O1232" t="s">
        <v>272</v>
      </c>
      <c r="P1232" t="s">
        <v>114</v>
      </c>
    </row>
    <row r="1233">
      <c r="A1233">
        <f>HYPERLINK("http://bombeiros.sp.gov.br/hidrantes/03individual/2091.html","2091")</f>
      </c>
      <c r="B1233" t="s">
        <v>114</v>
      </c>
      <c r="C1233" t="s">
        <v>272</v>
      </c>
      <c r="D1233" t="s">
        <v>272</v>
      </c>
      <c r="E1233" t="s">
        <v>15</v>
      </c>
      <c r="F1233" t="s">
        <v>4594</v>
      </c>
      <c r="G1233" t="s">
        <v>18521</v>
      </c>
      <c r="H1233"/>
      <c r="I1233" t="s">
        <v>18</v>
      </c>
      <c r="J1233" t="s">
        <v>4595</v>
      </c>
      <c r="K1233" t="s">
        <v>4596</v>
      </c>
      <c r="L1233" t="s">
        <v>21</v>
      </c>
      <c r="M1233" t="s">
        <v>19177</v>
      </c>
      <c r="N1233" t="s">
        <v>272</v>
      </c>
      <c r="O1233" t="s">
        <v>272</v>
      </c>
      <c r="P1233" t="s">
        <v>114</v>
      </c>
    </row>
    <row r="1234">
      <c r="A1234">
        <f>HYPERLINK("http://bombeiros.sp.gov.br/hidrantes/03individual/3372.html","3372")</f>
      </c>
      <c r="B1234" t="s">
        <v>114</v>
      </c>
      <c r="C1234" t="s">
        <v>272</v>
      </c>
      <c r="D1234" t="s">
        <v>272</v>
      </c>
      <c r="E1234" t="s">
        <v>15</v>
      </c>
      <c r="F1234" t="s">
        <v>4597</v>
      </c>
      <c r="G1234" t="s">
        <v>18483</v>
      </c>
      <c r="H1234" t="s">
        <v>1112</v>
      </c>
      <c r="I1234" t="s">
        <v>1108</v>
      </c>
      <c r="J1234" t="s">
        <v>4598</v>
      </c>
      <c r="K1234" t="s">
        <v>4599</v>
      </c>
      <c r="L1234" t="s">
        <v>21</v>
      </c>
      <c r="M1234" t="s">
        <v>19177</v>
      </c>
      <c r="N1234" t="s">
        <v>272</v>
      </c>
      <c r="O1234" t="s">
        <v>272</v>
      </c>
      <c r="P1234" t="s">
        <v>114</v>
      </c>
    </row>
    <row r="1235">
      <c r="A1235">
        <f>HYPERLINK("http://bombeiros.sp.gov.br/hidrantes/03individual/3373.html","3373")</f>
      </c>
      <c r="B1235" t="s">
        <v>114</v>
      </c>
      <c r="C1235" t="s">
        <v>272</v>
      </c>
      <c r="D1235" t="s">
        <v>272</v>
      </c>
      <c r="E1235" t="s">
        <v>15</v>
      </c>
      <c r="F1235" t="s">
        <v>4600</v>
      </c>
      <c r="G1235" t="s">
        <v>18483</v>
      </c>
      <c r="H1235" t="s">
        <v>1121</v>
      </c>
      <c r="I1235" t="s">
        <v>1117</v>
      </c>
      <c r="J1235" t="s">
        <v>4601</v>
      </c>
      <c r="K1235" t="s">
        <v>4602</v>
      </c>
      <c r="L1235" t="s">
        <v>21</v>
      </c>
      <c r="M1235" t="s">
        <v>19177</v>
      </c>
      <c r="N1235" t="s">
        <v>272</v>
      </c>
      <c r="O1235" t="s">
        <v>272</v>
      </c>
      <c r="P1235" t="s">
        <v>114</v>
      </c>
    </row>
    <row r="1236">
      <c r="A1236">
        <f>HYPERLINK("http://bombeiros.sp.gov.br/hidrantes/03individual/3379.html","3379")</f>
      </c>
      <c r="B1236" t="s">
        <v>114</v>
      </c>
      <c r="C1236" t="s">
        <v>272</v>
      </c>
      <c r="D1236" t="s">
        <v>272</v>
      </c>
      <c r="E1236" t="s">
        <v>15</v>
      </c>
      <c r="F1236" t="s">
        <v>4603</v>
      </c>
      <c r="G1236" t="s">
        <v>18521</v>
      </c>
      <c r="H1236" t="s">
        <v>1112</v>
      </c>
      <c r="I1236" t="s">
        <v>1108</v>
      </c>
      <c r="J1236" t="s">
        <v>4604</v>
      </c>
      <c r="K1236" t="s">
        <v>4605</v>
      </c>
      <c r="L1236" t="s">
        <v>21</v>
      </c>
      <c r="M1236" t="s">
        <v>19177</v>
      </c>
      <c r="N1236" t="s">
        <v>272</v>
      </c>
      <c r="O1236" t="s">
        <v>272</v>
      </c>
      <c r="P1236" t="s">
        <v>114</v>
      </c>
    </row>
    <row r="1237">
      <c r="A1237">
        <f>HYPERLINK("http://bombeiros.sp.gov.br/hidrantes/03individual/4320.html","4320")</f>
      </c>
      <c r="B1237" t="s">
        <v>114</v>
      </c>
      <c r="C1237" t="s">
        <v>272</v>
      </c>
      <c r="D1237" t="s">
        <v>272</v>
      </c>
      <c r="E1237" t="s">
        <v>15</v>
      </c>
      <c r="F1237" t="s">
        <v>276</v>
      </c>
      <c r="G1237" t="s">
        <v>18483</v>
      </c>
      <c r="H1237" t="s">
        <v>1112</v>
      </c>
      <c r="I1237" t="s">
        <v>1108</v>
      </c>
      <c r="J1237" t="s">
        <v>277</v>
      </c>
      <c r="K1237" t="s">
        <v>278</v>
      </c>
      <c r="L1237" t="s">
        <v>21</v>
      </c>
      <c r="M1237" t="s">
        <v>19177</v>
      </c>
      <c r="N1237" t="s">
        <v>272</v>
      </c>
      <c r="O1237" t="s">
        <v>272</v>
      </c>
      <c r="P1237" t="s">
        <v>114</v>
      </c>
    </row>
    <row r="1238">
      <c r="A1238">
        <f>HYPERLINK("http://bombeiros.sp.gov.br/hidrantes/03individual/27291.html","27291")</f>
      </c>
      <c r="B1238" t="s">
        <v>114</v>
      </c>
      <c r="C1238" t="s">
        <v>272</v>
      </c>
      <c r="D1238" t="s">
        <v>272</v>
      </c>
      <c r="E1238" t="s">
        <v>15</v>
      </c>
      <c r="F1238" t="s">
        <v>17045</v>
      </c>
      <c r="G1238" t="s">
        <v>18521</v>
      </c>
      <c r="H1238" t="s">
        <v>1107</v>
      </c>
      <c r="I1238" t="s">
        <v>1108</v>
      </c>
      <c r="J1238" t="s">
        <v>17046</v>
      </c>
      <c r="K1238" t="s">
        <v>17047</v>
      </c>
      <c r="L1238" t="s">
        <v>21</v>
      </c>
      <c r="M1238" t="s">
        <v>19177</v>
      </c>
      <c r="N1238" t="s">
        <v>272</v>
      </c>
      <c r="O1238" t="s">
        <v>272</v>
      </c>
      <c r="P1238" t="s">
        <v>114</v>
      </c>
    </row>
    <row r="1239">
      <c r="A1239">
        <f>HYPERLINK("http://bombeiros.sp.gov.br/hidrantes/03individual/27581.html","27581")</f>
      </c>
      <c r="B1239" t="s">
        <v>114</v>
      </c>
      <c r="C1239" t="s">
        <v>272</v>
      </c>
      <c r="D1239" t="s">
        <v>272</v>
      </c>
      <c r="E1239" t="s">
        <v>15</v>
      </c>
      <c r="F1239" t="s">
        <v>17466</v>
      </c>
      <c r="G1239" t="s">
        <v>18483</v>
      </c>
      <c r="H1239" t="s">
        <v>1112</v>
      </c>
      <c r="I1239" t="s">
        <v>1108</v>
      </c>
      <c r="J1239" t="s">
        <v>17467</v>
      </c>
      <c r="K1239" t="s">
        <v>17468</v>
      </c>
      <c r="L1239" t="s">
        <v>21</v>
      </c>
      <c r="M1239" t="s">
        <v>19177</v>
      </c>
      <c r="N1239" t="s">
        <v>272</v>
      </c>
      <c r="O1239" t="s">
        <v>272</v>
      </c>
      <c r="P1239" t="s">
        <v>114</v>
      </c>
    </row>
    <row r="1240">
      <c r="A1240">
        <f>HYPERLINK("http://bombeiros.sp.gov.br/hidrantes/03individual/3342.html","3342")</f>
      </c>
      <c r="B1240" t="s">
        <v>114</v>
      </c>
      <c r="C1240" t="s">
        <v>272</v>
      </c>
      <c r="D1240" t="s">
        <v>279</v>
      </c>
      <c r="E1240" t="s">
        <v>64</v>
      </c>
      <c r="F1240" t="s">
        <v>4606</v>
      </c>
      <c r="G1240" t="s">
        <v>18066</v>
      </c>
      <c r="H1240" t="s">
        <v>1112</v>
      </c>
      <c r="I1240" t="s">
        <v>1108</v>
      </c>
      <c r="J1240" t="s">
        <v>4607</v>
      </c>
      <c r="K1240" t="s">
        <v>4608</v>
      </c>
      <c r="L1240" t="s">
        <v>36</v>
      </c>
      <c r="M1240" t="s">
        <v>19177</v>
      </c>
      <c r="N1240" t="s">
        <v>272</v>
      </c>
      <c r="O1240" t="s">
        <v>272</v>
      </c>
      <c r="P1240" t="s">
        <v>114</v>
      </c>
    </row>
    <row r="1241">
      <c r="A1241">
        <f>HYPERLINK("http://bombeiros.sp.gov.br/hidrantes/03individual/3343.html","3343")</f>
      </c>
      <c r="B1241" t="s">
        <v>114</v>
      </c>
      <c r="C1241" t="s">
        <v>272</v>
      </c>
      <c r="D1241" t="s">
        <v>279</v>
      </c>
      <c r="E1241" t="s">
        <v>64</v>
      </c>
      <c r="F1241" t="s">
        <v>4609</v>
      </c>
      <c r="G1241" t="s">
        <v>18132</v>
      </c>
      <c r="H1241" t="s">
        <v>1121</v>
      </c>
      <c r="I1241" t="s">
        <v>1117</v>
      </c>
      <c r="J1241" t="s">
        <v>4610</v>
      </c>
      <c r="K1241" t="s">
        <v>4611</v>
      </c>
      <c r="L1241" t="s">
        <v>21</v>
      </c>
      <c r="M1241" t="s">
        <v>19177</v>
      </c>
      <c r="N1241" t="s">
        <v>272</v>
      </c>
      <c r="O1241" t="s">
        <v>272</v>
      </c>
      <c r="P1241" t="s">
        <v>114</v>
      </c>
    </row>
    <row r="1242">
      <c r="A1242">
        <f>HYPERLINK("http://bombeiros.sp.gov.br/hidrantes/03individual/3347.html","3347")</f>
      </c>
      <c r="B1242" t="s">
        <v>114</v>
      </c>
      <c r="C1242" t="s">
        <v>272</v>
      </c>
      <c r="D1242" t="s">
        <v>279</v>
      </c>
      <c r="E1242" t="s">
        <v>64</v>
      </c>
      <c r="F1242" t="s">
        <v>4612</v>
      </c>
      <c r="G1242" t="s">
        <v>18051</v>
      </c>
      <c r="H1242" t="s">
        <v>1121</v>
      </c>
      <c r="I1242" t="s">
        <v>1117</v>
      </c>
      <c r="J1242" t="s">
        <v>4613</v>
      </c>
      <c r="K1242" t="s">
        <v>4614</v>
      </c>
      <c r="L1242" t="s">
        <v>36</v>
      </c>
      <c r="M1242" t="s">
        <v>19177</v>
      </c>
      <c r="N1242" t="s">
        <v>272</v>
      </c>
      <c r="O1242" t="s">
        <v>272</v>
      </c>
      <c r="P1242" t="s">
        <v>114</v>
      </c>
    </row>
    <row r="1243">
      <c r="A1243">
        <f>HYPERLINK("http://bombeiros.sp.gov.br/hidrantes/03individual/3348.html","3348")</f>
      </c>
      <c r="B1243" t="s">
        <v>114</v>
      </c>
      <c r="C1243" t="s">
        <v>272</v>
      </c>
      <c r="D1243" t="s">
        <v>279</v>
      </c>
      <c r="E1243" t="s">
        <v>64</v>
      </c>
      <c r="F1243" t="s">
        <v>4615</v>
      </c>
      <c r="G1243" t="s">
        <v>18145</v>
      </c>
      <c r="H1243" t="s">
        <v>1112</v>
      </c>
      <c r="I1243" t="s">
        <v>1108</v>
      </c>
      <c r="J1243" t="s">
        <v>4616</v>
      </c>
      <c r="K1243" t="s">
        <v>4617</v>
      </c>
      <c r="L1243" t="s">
        <v>36</v>
      </c>
      <c r="M1243" t="s">
        <v>19177</v>
      </c>
      <c r="N1243" t="s">
        <v>272</v>
      </c>
      <c r="O1243" t="s">
        <v>272</v>
      </c>
      <c r="P1243" t="s">
        <v>114</v>
      </c>
    </row>
    <row r="1244">
      <c r="A1244">
        <f>HYPERLINK("http://bombeiros.sp.gov.br/hidrantes/03individual/3368.html","3368")</f>
      </c>
      <c r="B1244" t="s">
        <v>114</v>
      </c>
      <c r="C1244" t="s">
        <v>272</v>
      </c>
      <c r="D1244" t="s">
        <v>279</v>
      </c>
      <c r="E1244" t="s">
        <v>64</v>
      </c>
      <c r="F1244" t="s">
        <v>4618</v>
      </c>
      <c r="G1244" t="s">
        <v>18132</v>
      </c>
      <c r="H1244" t="s">
        <v>1121</v>
      </c>
      <c r="I1244" t="s">
        <v>1117</v>
      </c>
      <c r="J1244" t="s">
        <v>4619</v>
      </c>
      <c r="K1244" t="s">
        <v>4620</v>
      </c>
      <c r="L1244" t="s">
        <v>36</v>
      </c>
      <c r="M1244" t="s">
        <v>19177</v>
      </c>
      <c r="N1244" t="s">
        <v>272</v>
      </c>
      <c r="O1244" t="s">
        <v>272</v>
      </c>
      <c r="P1244" t="s">
        <v>114</v>
      </c>
    </row>
    <row r="1245">
      <c r="A1245">
        <f>HYPERLINK("http://bombeiros.sp.gov.br/hidrantes/03individual/3424.html","3424")</f>
      </c>
      <c r="B1245" t="s">
        <v>114</v>
      </c>
      <c r="C1245" t="s">
        <v>272</v>
      </c>
      <c r="D1245" t="s">
        <v>279</v>
      </c>
      <c r="E1245" t="s">
        <v>64</v>
      </c>
      <c r="F1245" t="s">
        <v>4621</v>
      </c>
      <c r="G1245" t="s">
        <v>18145</v>
      </c>
      <c r="H1245" t="s">
        <v>1107</v>
      </c>
      <c r="I1245" t="s">
        <v>1108</v>
      </c>
      <c r="J1245" t="s">
        <v>4622</v>
      </c>
      <c r="K1245" t="s">
        <v>4623</v>
      </c>
      <c r="L1245" t="s">
        <v>36</v>
      </c>
      <c r="M1245" t="s">
        <v>19177</v>
      </c>
      <c r="N1245" t="s">
        <v>272</v>
      </c>
      <c r="O1245" t="s">
        <v>272</v>
      </c>
      <c r="P1245" t="s">
        <v>114</v>
      </c>
    </row>
    <row r="1246">
      <c r="A1246">
        <f>HYPERLINK("http://bombeiros.sp.gov.br/hidrantes/03individual/1951.html","1951")</f>
      </c>
      <c r="B1246" t="s">
        <v>114</v>
      </c>
      <c r="C1246" t="s">
        <v>272</v>
      </c>
      <c r="D1246" t="s">
        <v>279</v>
      </c>
      <c r="E1246" t="s">
        <v>15</v>
      </c>
      <c r="F1246" t="s">
        <v>4624</v>
      </c>
      <c r="G1246" t="s">
        <v>18072</v>
      </c>
      <c r="H1246" t="s">
        <v>1174</v>
      </c>
      <c r="I1246" t="s">
        <v>1117</v>
      </c>
      <c r="J1246" t="s">
        <v>4625</v>
      </c>
      <c r="K1246" t="s">
        <v>4626</v>
      </c>
      <c r="L1246" t="s">
        <v>21</v>
      </c>
      <c r="M1246" t="s">
        <v>19177</v>
      </c>
      <c r="N1246" t="s">
        <v>272</v>
      </c>
      <c r="O1246" t="s">
        <v>272</v>
      </c>
      <c r="P1246" t="s">
        <v>114</v>
      </c>
    </row>
    <row r="1247">
      <c r="A1247">
        <f>HYPERLINK("http://bombeiros.sp.gov.br/hidrantes/03individual/3344.html","3344")</f>
      </c>
      <c r="B1247" t="s">
        <v>114</v>
      </c>
      <c r="C1247" t="s">
        <v>272</v>
      </c>
      <c r="D1247" t="s">
        <v>279</v>
      </c>
      <c r="E1247" t="s">
        <v>15</v>
      </c>
      <c r="F1247" t="s">
        <v>4627</v>
      </c>
      <c r="G1247" t="s">
        <v>18051</v>
      </c>
      <c r="H1247" t="s">
        <v>1121</v>
      </c>
      <c r="I1247" t="s">
        <v>1117</v>
      </c>
      <c r="J1247" t="s">
        <v>4628</v>
      </c>
      <c r="K1247" t="s">
        <v>4629</v>
      </c>
      <c r="L1247" t="s">
        <v>36</v>
      </c>
      <c r="M1247" t="s">
        <v>19177</v>
      </c>
      <c r="N1247" t="s">
        <v>272</v>
      </c>
      <c r="O1247" t="s">
        <v>272</v>
      </c>
      <c r="P1247" t="s">
        <v>114</v>
      </c>
    </row>
    <row r="1248">
      <c r="A1248">
        <f>HYPERLINK("http://bombeiros.sp.gov.br/hidrantes/03individual/4192.html","4192")</f>
      </c>
      <c r="B1248" t="s">
        <v>114</v>
      </c>
      <c r="C1248" t="s">
        <v>272</v>
      </c>
      <c r="D1248" t="s">
        <v>279</v>
      </c>
      <c r="E1248" t="s">
        <v>15</v>
      </c>
      <c r="F1248" t="s">
        <v>4630</v>
      </c>
      <c r="G1248" t="s">
        <v>18117</v>
      </c>
      <c r="H1248" t="s">
        <v>1112</v>
      </c>
      <c r="I1248" t="s">
        <v>1108</v>
      </c>
      <c r="J1248" t="s">
        <v>4631</v>
      </c>
      <c r="K1248" t="s">
        <v>4632</v>
      </c>
      <c r="L1248" t="s">
        <v>21</v>
      </c>
      <c r="M1248" t="s">
        <v>19177</v>
      </c>
      <c r="N1248" t="s">
        <v>272</v>
      </c>
      <c r="O1248" t="s">
        <v>272</v>
      </c>
      <c r="P1248" t="s">
        <v>114</v>
      </c>
    </row>
    <row r="1249">
      <c r="A1249">
        <f>HYPERLINK("http://bombeiros.sp.gov.br/hidrantes/03individual/4195.html","4195")</f>
      </c>
      <c r="B1249" t="s">
        <v>114</v>
      </c>
      <c r="C1249" t="s">
        <v>272</v>
      </c>
      <c r="D1249" t="s">
        <v>279</v>
      </c>
      <c r="E1249" t="s">
        <v>15</v>
      </c>
      <c r="F1249" t="s">
        <v>4633</v>
      </c>
      <c r="G1249" t="s">
        <v>18072</v>
      </c>
      <c r="H1249" t="s">
        <v>1174</v>
      </c>
      <c r="I1249" t="s">
        <v>1117</v>
      </c>
      <c r="J1249" t="s">
        <v>4634</v>
      </c>
      <c r="K1249" t="s">
        <v>4635</v>
      </c>
      <c r="L1249" t="s">
        <v>21</v>
      </c>
      <c r="M1249" t="s">
        <v>19177</v>
      </c>
      <c r="N1249" t="s">
        <v>272</v>
      </c>
      <c r="O1249" t="s">
        <v>272</v>
      </c>
      <c r="P1249" t="s">
        <v>114</v>
      </c>
    </row>
    <row r="1250">
      <c r="A1250">
        <f>HYPERLINK("http://bombeiros.sp.gov.br/hidrantes/03individual/4313.html","4313")</f>
      </c>
      <c r="B1250" t="s">
        <v>114</v>
      </c>
      <c r="C1250" t="s">
        <v>272</v>
      </c>
      <c r="D1250" t="s">
        <v>279</v>
      </c>
      <c r="E1250" t="s">
        <v>15</v>
      </c>
      <c r="F1250" t="s">
        <v>4636</v>
      </c>
      <c r="G1250" t="s">
        <v>18051</v>
      </c>
      <c r="H1250" t="s">
        <v>1121</v>
      </c>
      <c r="I1250" t="s">
        <v>1117</v>
      </c>
      <c r="J1250" t="s">
        <v>4637</v>
      </c>
      <c r="K1250" t="s">
        <v>4638</v>
      </c>
      <c r="L1250" t="s">
        <v>21</v>
      </c>
      <c r="M1250" t="s">
        <v>19177</v>
      </c>
      <c r="N1250" t="s">
        <v>272</v>
      </c>
      <c r="O1250" t="s">
        <v>272</v>
      </c>
      <c r="P1250" t="s">
        <v>114</v>
      </c>
    </row>
    <row r="1251">
      <c r="A1251">
        <f>HYPERLINK("http://bombeiros.sp.gov.br/hidrantes/03individual/4314.html","4314")</f>
      </c>
      <c r="B1251" t="s">
        <v>114</v>
      </c>
      <c r="C1251" t="s">
        <v>272</v>
      </c>
      <c r="D1251" t="s">
        <v>279</v>
      </c>
      <c r="E1251" t="s">
        <v>15</v>
      </c>
      <c r="F1251" t="s">
        <v>4639</v>
      </c>
      <c r="G1251" t="s">
        <v>17949</v>
      </c>
      <c r="H1251" t="s">
        <v>1121</v>
      </c>
      <c r="I1251" t="s">
        <v>1117</v>
      </c>
      <c r="J1251" t="s">
        <v>4640</v>
      </c>
      <c r="K1251" t="s">
        <v>4641</v>
      </c>
      <c r="L1251" t="s">
        <v>21</v>
      </c>
      <c r="M1251" t="s">
        <v>19177</v>
      </c>
      <c r="N1251" t="s">
        <v>272</v>
      </c>
      <c r="O1251" t="s">
        <v>272</v>
      </c>
      <c r="P1251" t="s">
        <v>114</v>
      </c>
    </row>
    <row r="1252">
      <c r="A1252">
        <f>HYPERLINK("http://bombeiros.sp.gov.br/hidrantes/03individual/4315.html","4315")</f>
      </c>
      <c r="B1252" t="s">
        <v>114</v>
      </c>
      <c r="C1252" t="s">
        <v>272</v>
      </c>
      <c r="D1252" t="s">
        <v>279</v>
      </c>
      <c r="E1252" t="s">
        <v>15</v>
      </c>
      <c r="F1252" t="s">
        <v>4642</v>
      </c>
      <c r="G1252" t="s">
        <v>18082</v>
      </c>
      <c r="H1252" t="s">
        <v>1112</v>
      </c>
      <c r="I1252" t="s">
        <v>1108</v>
      </c>
      <c r="J1252" t="s">
        <v>4643</v>
      </c>
      <c r="K1252" t="s">
        <v>4644</v>
      </c>
      <c r="L1252" t="s">
        <v>21</v>
      </c>
      <c r="M1252" t="s">
        <v>19177</v>
      </c>
      <c r="N1252" t="s">
        <v>272</v>
      </c>
      <c r="O1252" t="s">
        <v>272</v>
      </c>
      <c r="P1252" t="s">
        <v>114</v>
      </c>
    </row>
    <row r="1253">
      <c r="A1253">
        <f>HYPERLINK("http://bombeiros.sp.gov.br/hidrantes/03individual/5250.html","5250")</f>
      </c>
      <c r="B1253" t="s">
        <v>114</v>
      </c>
      <c r="C1253" t="s">
        <v>272</v>
      </c>
      <c r="D1253" t="s">
        <v>279</v>
      </c>
      <c r="E1253" t="s">
        <v>15</v>
      </c>
      <c r="F1253" t="s">
        <v>4645</v>
      </c>
      <c r="G1253" t="s">
        <v>18132</v>
      </c>
      <c r="H1253" t="s">
        <v>1121</v>
      </c>
      <c r="I1253" t="s">
        <v>1117</v>
      </c>
      <c r="J1253" t="s">
        <v>4646</v>
      </c>
      <c r="K1253" t="s">
        <v>4647</v>
      </c>
      <c r="L1253" t="s">
        <v>21</v>
      </c>
      <c r="M1253" t="s">
        <v>19177</v>
      </c>
      <c r="N1253" t="s">
        <v>272</v>
      </c>
      <c r="O1253" t="s">
        <v>272</v>
      </c>
      <c r="P1253" t="s">
        <v>114</v>
      </c>
    </row>
    <row r="1254">
      <c r="A1254">
        <f>HYPERLINK("http://bombeiros.sp.gov.br/hidrantes/03individual/28030.html","28030")</f>
      </c>
      <c r="B1254" t="s">
        <v>114</v>
      </c>
      <c r="C1254" t="s">
        <v>272</v>
      </c>
      <c r="D1254" t="s">
        <v>279</v>
      </c>
      <c r="E1254" t="s">
        <v>15</v>
      </c>
      <c r="F1254" t="s">
        <v>18285</v>
      </c>
      <c r="G1254" t="s">
        <v>18145</v>
      </c>
      <c r="H1254" t="s">
        <v>1107</v>
      </c>
      <c r="I1254" t="s">
        <v>1108</v>
      </c>
      <c r="J1254" t="s">
        <v>18286</v>
      </c>
      <c r="K1254" t="s">
        <v>18287</v>
      </c>
      <c r="L1254" t="s">
        <v>21</v>
      </c>
      <c r="M1254" t="s">
        <v>19177</v>
      </c>
      <c r="N1254" t="s">
        <v>272</v>
      </c>
      <c r="O1254" t="s">
        <v>272</v>
      </c>
      <c r="P1254" t="s">
        <v>114</v>
      </c>
    </row>
    <row r="1255">
      <c r="A1255">
        <f>HYPERLINK("http://bombeiros.sp.gov.br/hidrantes/03individual/3382.html","3382")</f>
      </c>
      <c r="B1255" t="s">
        <v>114</v>
      </c>
      <c r="C1255" t="s">
        <v>272</v>
      </c>
      <c r="D1255" t="s">
        <v>4648</v>
      </c>
      <c r="E1255" t="s">
        <v>64</v>
      </c>
      <c r="F1255" t="s">
        <v>4649</v>
      </c>
      <c r="G1255" t="s">
        <v>18067</v>
      </c>
      <c r="H1255" t="s">
        <v>1107</v>
      </c>
      <c r="I1255" t="s">
        <v>1108</v>
      </c>
      <c r="J1255" t="s">
        <v>4650</v>
      </c>
      <c r="K1255" t="s">
        <v>4651</v>
      </c>
      <c r="L1255" t="s">
        <v>21</v>
      </c>
      <c r="M1255" t="s">
        <v>19177</v>
      </c>
      <c r="N1255" t="s">
        <v>272</v>
      </c>
      <c r="O1255" t="s">
        <v>272</v>
      </c>
      <c r="P1255" t="s">
        <v>114</v>
      </c>
    </row>
    <row r="1256">
      <c r="A1256">
        <f>HYPERLINK("http://bombeiros.sp.gov.br/hidrantes/03individual/3406.html","3406")</f>
      </c>
      <c r="B1256" t="s">
        <v>114</v>
      </c>
      <c r="C1256" t="s">
        <v>272</v>
      </c>
      <c r="D1256" t="s">
        <v>4648</v>
      </c>
      <c r="E1256" t="s">
        <v>64</v>
      </c>
      <c r="F1256" t="s">
        <v>4652</v>
      </c>
      <c r="G1256" t="s">
        <v>18067</v>
      </c>
      <c r="H1256" t="s">
        <v>1107</v>
      </c>
      <c r="I1256" t="s">
        <v>1108</v>
      </c>
      <c r="J1256" t="s">
        <v>4653</v>
      </c>
      <c r="K1256" t="s">
        <v>4654</v>
      </c>
      <c r="L1256" t="s">
        <v>36</v>
      </c>
      <c r="M1256" t="s">
        <v>19177</v>
      </c>
      <c r="N1256" t="s">
        <v>272</v>
      </c>
      <c r="O1256" t="s">
        <v>272</v>
      </c>
      <c r="P1256" t="s">
        <v>114</v>
      </c>
    </row>
    <row r="1257">
      <c r="A1257">
        <f>HYPERLINK("http://bombeiros.sp.gov.br/hidrantes/03individual/4412.html","4412")</f>
      </c>
      <c r="B1257" t="s">
        <v>114</v>
      </c>
      <c r="C1257" t="s">
        <v>272</v>
      </c>
      <c r="D1257" t="s">
        <v>4648</v>
      </c>
      <c r="E1257" t="s">
        <v>64</v>
      </c>
      <c r="F1257" t="s">
        <v>4655</v>
      </c>
      <c r="G1257" t="s">
        <v>18067</v>
      </c>
      <c r="H1257" t="s">
        <v>1107</v>
      </c>
      <c r="I1257" t="s">
        <v>1108</v>
      </c>
      <c r="J1257" t="s">
        <v>4656</v>
      </c>
      <c r="K1257" t="s">
        <v>4657</v>
      </c>
      <c r="L1257" t="s">
        <v>36</v>
      </c>
      <c r="M1257" t="s">
        <v>19177</v>
      </c>
      <c r="N1257" t="s">
        <v>272</v>
      </c>
      <c r="O1257" t="s">
        <v>272</v>
      </c>
      <c r="P1257" t="s">
        <v>114</v>
      </c>
    </row>
    <row r="1258">
      <c r="A1258">
        <f>HYPERLINK("http://bombeiros.sp.gov.br/hidrantes/03individual/2006.html","2006")</f>
      </c>
      <c r="B1258" t="s">
        <v>114</v>
      </c>
      <c r="C1258" t="s">
        <v>272</v>
      </c>
      <c r="D1258" t="s">
        <v>4658</v>
      </c>
      <c r="E1258" t="s">
        <v>64</v>
      </c>
      <c r="F1258" t="s">
        <v>4659</v>
      </c>
      <c r="G1258" t="s">
        <v>18077</v>
      </c>
      <c r="H1258" t="s">
        <v>1121</v>
      </c>
      <c r="I1258" t="s">
        <v>1117</v>
      </c>
      <c r="J1258" t="s">
        <v>4660</v>
      </c>
      <c r="K1258" t="s">
        <v>4661</v>
      </c>
      <c r="L1258" t="s">
        <v>36</v>
      </c>
      <c r="M1258" t="s">
        <v>19177</v>
      </c>
      <c r="N1258" t="s">
        <v>272</v>
      </c>
      <c r="O1258" t="s">
        <v>272</v>
      </c>
      <c r="P1258" t="s">
        <v>114</v>
      </c>
    </row>
    <row r="1259">
      <c r="A1259">
        <f>HYPERLINK("http://bombeiros.sp.gov.br/hidrantes/03individual/3369.html","3369")</f>
      </c>
      <c r="B1259" t="s">
        <v>114</v>
      </c>
      <c r="C1259" t="s">
        <v>272</v>
      </c>
      <c r="D1259" t="s">
        <v>4658</v>
      </c>
      <c r="E1259" t="s">
        <v>64</v>
      </c>
      <c r="F1259" t="s">
        <v>4662</v>
      </c>
      <c r="G1259" t="s">
        <v>18077</v>
      </c>
      <c r="H1259" t="s">
        <v>1112</v>
      </c>
      <c r="I1259" t="s">
        <v>1108</v>
      </c>
      <c r="J1259" t="s">
        <v>4663</v>
      </c>
      <c r="K1259" t="s">
        <v>4664</v>
      </c>
      <c r="L1259" t="s">
        <v>21</v>
      </c>
      <c r="M1259" t="s">
        <v>19177</v>
      </c>
      <c r="N1259" t="s">
        <v>272</v>
      </c>
      <c r="O1259" t="s">
        <v>272</v>
      </c>
      <c r="P1259" t="s">
        <v>114</v>
      </c>
    </row>
    <row r="1260">
      <c r="A1260">
        <f>HYPERLINK("http://bombeiros.sp.gov.br/hidrantes/03individual/1953.html","1953")</f>
      </c>
      <c r="B1260" t="s">
        <v>114</v>
      </c>
      <c r="C1260" t="s">
        <v>272</v>
      </c>
      <c r="D1260" t="s">
        <v>4658</v>
      </c>
      <c r="E1260" t="s">
        <v>15</v>
      </c>
      <c r="F1260" t="s">
        <v>4665</v>
      </c>
      <c r="G1260" t="s">
        <v>18210</v>
      </c>
      <c r="H1260" t="s">
        <v>1121</v>
      </c>
      <c r="I1260" t="s">
        <v>1117</v>
      </c>
      <c r="J1260" t="s">
        <v>4666</v>
      </c>
      <c r="K1260" t="s">
        <v>4667</v>
      </c>
      <c r="L1260" t="s">
        <v>21</v>
      </c>
      <c r="M1260" t="s">
        <v>19177</v>
      </c>
      <c r="N1260" t="s">
        <v>272</v>
      </c>
      <c r="O1260" t="s">
        <v>272</v>
      </c>
      <c r="P1260" t="s">
        <v>114</v>
      </c>
    </row>
    <row r="1261">
      <c r="A1261">
        <f>HYPERLINK("http://bombeiros.sp.gov.br/hidrantes/03individual/2022.html","2022")</f>
      </c>
      <c r="B1261" t="s">
        <v>114</v>
      </c>
      <c r="C1261" t="s">
        <v>272</v>
      </c>
      <c r="D1261" t="s">
        <v>4658</v>
      </c>
      <c r="E1261" t="s">
        <v>15</v>
      </c>
      <c r="F1261" t="s">
        <v>4668</v>
      </c>
      <c r="G1261" t="s">
        <v>18069</v>
      </c>
      <c r="H1261" t="s">
        <v>1112</v>
      </c>
      <c r="I1261" t="s">
        <v>1108</v>
      </c>
      <c r="J1261" t="s">
        <v>4669</v>
      </c>
      <c r="K1261" t="s">
        <v>4670</v>
      </c>
      <c r="L1261" t="s">
        <v>21</v>
      </c>
      <c r="M1261" t="s">
        <v>19177</v>
      </c>
      <c r="N1261" t="s">
        <v>272</v>
      </c>
      <c r="O1261" t="s">
        <v>272</v>
      </c>
      <c r="P1261" t="s">
        <v>114</v>
      </c>
    </row>
    <row r="1262">
      <c r="A1262">
        <f>HYPERLINK("http://bombeiros.sp.gov.br/hidrantes/03individual/2026.html","2026")</f>
      </c>
      <c r="B1262" t="s">
        <v>114</v>
      </c>
      <c r="C1262" t="s">
        <v>272</v>
      </c>
      <c r="D1262" t="s">
        <v>4658</v>
      </c>
      <c r="E1262" t="s">
        <v>15</v>
      </c>
      <c r="F1262" t="s">
        <v>4671</v>
      </c>
      <c r="G1262" t="s">
        <v>18210</v>
      </c>
      <c r="H1262" t="s">
        <v>1121</v>
      </c>
      <c r="I1262" t="s">
        <v>1117</v>
      </c>
      <c r="J1262" t="s">
        <v>17458</v>
      </c>
      <c r="K1262" t="s">
        <v>17459</v>
      </c>
      <c r="L1262" t="s">
        <v>21</v>
      </c>
      <c r="M1262" t="s">
        <v>19177</v>
      </c>
      <c r="N1262" t="s">
        <v>272</v>
      </c>
      <c r="O1262" t="s">
        <v>272</v>
      </c>
      <c r="P1262" t="s">
        <v>114</v>
      </c>
    </row>
    <row r="1263">
      <c r="A1263">
        <f>HYPERLINK("http://bombeiros.sp.gov.br/hidrantes/03individual/3380.html","3380")</f>
      </c>
      <c r="B1263" t="s">
        <v>114</v>
      </c>
      <c r="C1263" t="s">
        <v>272</v>
      </c>
      <c r="D1263" t="s">
        <v>4658</v>
      </c>
      <c r="E1263" t="s">
        <v>15</v>
      </c>
      <c r="F1263" t="s">
        <v>4674</v>
      </c>
      <c r="G1263" t="s">
        <v>18210</v>
      </c>
      <c r="H1263" t="s">
        <v>1121</v>
      </c>
      <c r="I1263" t="s">
        <v>1117</v>
      </c>
      <c r="J1263" t="s">
        <v>4675</v>
      </c>
      <c r="K1263" t="s">
        <v>4676</v>
      </c>
      <c r="L1263" t="s">
        <v>21</v>
      </c>
      <c r="M1263" t="s">
        <v>19177</v>
      </c>
      <c r="N1263" t="s">
        <v>272</v>
      </c>
      <c r="O1263" t="s">
        <v>272</v>
      </c>
      <c r="P1263" t="s">
        <v>114</v>
      </c>
    </row>
    <row r="1264">
      <c r="A1264">
        <f>HYPERLINK("http://bombeiros.sp.gov.br/hidrantes/03individual/3384.html","3384")</f>
      </c>
      <c r="B1264" t="s">
        <v>114</v>
      </c>
      <c r="C1264" t="s">
        <v>272</v>
      </c>
      <c r="D1264" t="s">
        <v>4658</v>
      </c>
      <c r="E1264" t="s">
        <v>15</v>
      </c>
      <c r="F1264" t="s">
        <v>4677</v>
      </c>
      <c r="G1264" t="s">
        <v>18210</v>
      </c>
      <c r="H1264" t="s">
        <v>1121</v>
      </c>
      <c r="I1264" t="s">
        <v>1117</v>
      </c>
      <c r="J1264" t="s">
        <v>4678</v>
      </c>
      <c r="K1264" t="s">
        <v>4679</v>
      </c>
      <c r="L1264" t="s">
        <v>21</v>
      </c>
      <c r="M1264" t="s">
        <v>19177</v>
      </c>
      <c r="N1264" t="s">
        <v>272</v>
      </c>
      <c r="O1264" t="s">
        <v>272</v>
      </c>
      <c r="P1264" t="s">
        <v>114</v>
      </c>
    </row>
    <row r="1265">
      <c r="A1265">
        <f>HYPERLINK("http://bombeiros.sp.gov.br/hidrantes/03individual/3388.html","3388")</f>
      </c>
      <c r="B1265" t="s">
        <v>114</v>
      </c>
      <c r="C1265" t="s">
        <v>272</v>
      </c>
      <c r="D1265" t="s">
        <v>4658</v>
      </c>
      <c r="E1265" t="s">
        <v>15</v>
      </c>
      <c r="F1265" t="s">
        <v>4680</v>
      </c>
      <c r="G1265" t="s">
        <v>18069</v>
      </c>
      <c r="H1265" t="s">
        <v>1107</v>
      </c>
      <c r="I1265" t="s">
        <v>1117</v>
      </c>
      <c r="J1265" t="s">
        <v>4681</v>
      </c>
      <c r="K1265" t="s">
        <v>4682</v>
      </c>
      <c r="L1265" t="s">
        <v>21</v>
      </c>
      <c r="M1265" t="s">
        <v>19177</v>
      </c>
      <c r="N1265" t="s">
        <v>272</v>
      </c>
      <c r="O1265" t="s">
        <v>272</v>
      </c>
      <c r="P1265" t="s">
        <v>114</v>
      </c>
    </row>
    <row r="1266">
      <c r="A1266">
        <f>HYPERLINK("http://bombeiros.sp.gov.br/hidrantes/03individual/3389.html","3389")</f>
      </c>
      <c r="B1266" t="s">
        <v>114</v>
      </c>
      <c r="C1266" t="s">
        <v>272</v>
      </c>
      <c r="D1266" t="s">
        <v>4658</v>
      </c>
      <c r="E1266" t="s">
        <v>15</v>
      </c>
      <c r="F1266" t="s">
        <v>4683</v>
      </c>
      <c r="G1266" t="s">
        <v>18095</v>
      </c>
      <c r="H1266" t="s">
        <v>1112</v>
      </c>
      <c r="I1266" t="s">
        <v>1108</v>
      </c>
      <c r="J1266" t="s">
        <v>4684</v>
      </c>
      <c r="K1266" t="s">
        <v>4685</v>
      </c>
      <c r="L1266" t="s">
        <v>21</v>
      </c>
      <c r="M1266" t="s">
        <v>19177</v>
      </c>
      <c r="N1266" t="s">
        <v>272</v>
      </c>
      <c r="O1266" t="s">
        <v>272</v>
      </c>
      <c r="P1266" t="s">
        <v>114</v>
      </c>
    </row>
    <row r="1267">
      <c r="A1267">
        <f>HYPERLINK("http://bombeiros.sp.gov.br/hidrantes/03individual/4321.html","4321")</f>
      </c>
      <c r="B1267" t="s">
        <v>114</v>
      </c>
      <c r="C1267" t="s">
        <v>272</v>
      </c>
      <c r="D1267" t="s">
        <v>4658</v>
      </c>
      <c r="E1267" t="s">
        <v>15</v>
      </c>
      <c r="F1267" t="s">
        <v>4686</v>
      </c>
      <c r="G1267" t="s">
        <v>18210</v>
      </c>
      <c r="H1267" t="s">
        <v>1121</v>
      </c>
      <c r="I1267" t="s">
        <v>1117</v>
      </c>
      <c r="J1267" t="s">
        <v>4687</v>
      </c>
      <c r="K1267" t="s">
        <v>4688</v>
      </c>
      <c r="L1267" t="s">
        <v>21</v>
      </c>
      <c r="M1267" t="s">
        <v>19177</v>
      </c>
      <c r="N1267" t="s">
        <v>272</v>
      </c>
      <c r="O1267" t="s">
        <v>272</v>
      </c>
      <c r="P1267" t="s">
        <v>114</v>
      </c>
    </row>
    <row r="1268">
      <c r="A1268">
        <f>HYPERLINK("http://bombeiros.sp.gov.br/hidrantes/03individual/3422.html","3422")</f>
      </c>
      <c r="B1268" t="s">
        <v>114</v>
      </c>
      <c r="C1268" t="s">
        <v>272</v>
      </c>
      <c r="D1268" t="s">
        <v>284</v>
      </c>
      <c r="E1268" t="s">
        <v>64</v>
      </c>
      <c r="F1268" t="s">
        <v>4689</v>
      </c>
      <c r="G1268" t="s">
        <v>18093</v>
      </c>
      <c r="H1268" t="s">
        <v>1121</v>
      </c>
      <c r="I1268" t="s">
        <v>1117</v>
      </c>
      <c r="J1268" t="s">
        <v>4690</v>
      </c>
      <c r="K1268" t="s">
        <v>4691</v>
      </c>
      <c r="L1268" t="s">
        <v>21</v>
      </c>
      <c r="M1268" t="s">
        <v>19177</v>
      </c>
      <c r="N1268" t="s">
        <v>272</v>
      </c>
      <c r="O1268" t="s">
        <v>272</v>
      </c>
      <c r="P1268" t="s">
        <v>114</v>
      </c>
    </row>
    <row r="1269">
      <c r="A1269">
        <f>HYPERLINK("http://bombeiros.sp.gov.br/hidrantes/03individual/3427.html","3427")</f>
      </c>
      <c r="B1269" t="s">
        <v>114</v>
      </c>
      <c r="C1269" t="s">
        <v>272</v>
      </c>
      <c r="D1269" t="s">
        <v>284</v>
      </c>
      <c r="E1269" t="s">
        <v>64</v>
      </c>
      <c r="F1269" t="s">
        <v>4692</v>
      </c>
      <c r="G1269" t="s">
        <v>18093</v>
      </c>
      <c r="H1269" t="s">
        <v>1112</v>
      </c>
      <c r="I1269" t="s">
        <v>1108</v>
      </c>
      <c r="J1269" t="s">
        <v>4693</v>
      </c>
      <c r="K1269" t="s">
        <v>4694</v>
      </c>
      <c r="L1269" t="s">
        <v>21</v>
      </c>
      <c r="M1269" t="s">
        <v>19177</v>
      </c>
      <c r="N1269" t="s">
        <v>272</v>
      </c>
      <c r="O1269" t="s">
        <v>272</v>
      </c>
      <c r="P1269" t="s">
        <v>114</v>
      </c>
    </row>
    <row r="1270">
      <c r="A1270">
        <f>HYPERLINK("http://bombeiros.sp.gov.br/hidrantes/03individual/3463.html","3463")</f>
      </c>
      <c r="B1270" t="s">
        <v>114</v>
      </c>
      <c r="C1270" t="s">
        <v>272</v>
      </c>
      <c r="D1270" t="s">
        <v>284</v>
      </c>
      <c r="E1270" t="s">
        <v>64</v>
      </c>
      <c r="F1270" t="s">
        <v>4695</v>
      </c>
      <c r="G1270" t="s">
        <v>18093</v>
      </c>
      <c r="H1270" t="s">
        <v>1107</v>
      </c>
      <c r="I1270" t="s">
        <v>1108</v>
      </c>
      <c r="J1270" t="s">
        <v>4696</v>
      </c>
      <c r="K1270" t="s">
        <v>4697</v>
      </c>
      <c r="L1270" t="s">
        <v>21</v>
      </c>
      <c r="M1270" t="s">
        <v>19177</v>
      </c>
      <c r="N1270" t="s">
        <v>272</v>
      </c>
      <c r="O1270" t="s">
        <v>272</v>
      </c>
      <c r="P1270" t="s">
        <v>114</v>
      </c>
    </row>
    <row r="1271">
      <c r="A1271">
        <f>HYPERLINK("http://bombeiros.sp.gov.br/hidrantes/03individual/3465.html","3465")</f>
      </c>
      <c r="B1271" t="s">
        <v>114</v>
      </c>
      <c r="C1271" t="s">
        <v>272</v>
      </c>
      <c r="D1271" t="s">
        <v>284</v>
      </c>
      <c r="E1271" t="s">
        <v>64</v>
      </c>
      <c r="F1271" t="s">
        <v>4698</v>
      </c>
      <c r="G1271" t="s">
        <v>18093</v>
      </c>
      <c r="H1271" t="s">
        <v>1121</v>
      </c>
      <c r="I1271" t="s">
        <v>1117</v>
      </c>
      <c r="J1271" t="s">
        <v>4699</v>
      </c>
      <c r="K1271" t="s">
        <v>4700</v>
      </c>
      <c r="L1271" t="s">
        <v>21</v>
      </c>
      <c r="M1271" t="s">
        <v>19177</v>
      </c>
      <c r="N1271" t="s">
        <v>272</v>
      </c>
      <c r="O1271" t="s">
        <v>272</v>
      </c>
      <c r="P1271" t="s">
        <v>114</v>
      </c>
    </row>
    <row r="1272">
      <c r="A1272">
        <f>HYPERLINK("http://bombeiros.sp.gov.br/hidrantes/03individual/1879.html","1879")</f>
      </c>
      <c r="B1272" t="s">
        <v>114</v>
      </c>
      <c r="C1272" t="s">
        <v>272</v>
      </c>
      <c r="D1272" t="s">
        <v>284</v>
      </c>
      <c r="E1272" t="s">
        <v>15</v>
      </c>
      <c r="F1272" t="s">
        <v>4701</v>
      </c>
      <c r="G1272" t="s">
        <v>18065</v>
      </c>
      <c r="H1272" t="s">
        <v>1121</v>
      </c>
      <c r="I1272" t="s">
        <v>1117</v>
      </c>
      <c r="J1272" t="s">
        <v>4702</v>
      </c>
      <c r="K1272" t="s">
        <v>4703</v>
      </c>
      <c r="L1272" t="s">
        <v>21</v>
      </c>
      <c r="M1272" t="s">
        <v>19177</v>
      </c>
      <c r="N1272" t="s">
        <v>309</v>
      </c>
      <c r="O1272" t="s">
        <v>6029</v>
      </c>
      <c r="P1272" t="s">
        <v>114</v>
      </c>
    </row>
    <row r="1273">
      <c r="A1273">
        <f>HYPERLINK("http://bombeiros.sp.gov.br/hidrantes/03individual/3425.html","3425")</f>
      </c>
      <c r="B1273" t="s">
        <v>114</v>
      </c>
      <c r="C1273" t="s">
        <v>272</v>
      </c>
      <c r="D1273" t="s">
        <v>284</v>
      </c>
      <c r="E1273" t="s">
        <v>15</v>
      </c>
      <c r="F1273" t="s">
        <v>4704</v>
      </c>
      <c r="G1273" t="s">
        <v>18093</v>
      </c>
      <c r="H1273" t="s">
        <v>1174</v>
      </c>
      <c r="I1273" t="s">
        <v>1117</v>
      </c>
      <c r="J1273" t="s">
        <v>4705</v>
      </c>
      <c r="K1273" t="s">
        <v>4706</v>
      </c>
      <c r="L1273" t="s">
        <v>21</v>
      </c>
      <c r="M1273" t="s">
        <v>19177</v>
      </c>
      <c r="N1273" t="s">
        <v>272</v>
      </c>
      <c r="O1273" t="s">
        <v>272</v>
      </c>
      <c r="P1273" t="s">
        <v>114</v>
      </c>
    </row>
    <row r="1274">
      <c r="A1274">
        <f>HYPERLINK("http://bombeiros.sp.gov.br/hidrantes/03individual/3444.html","3444")</f>
      </c>
      <c r="B1274" t="s">
        <v>114</v>
      </c>
      <c r="C1274" t="s">
        <v>272</v>
      </c>
      <c r="D1274" t="s">
        <v>284</v>
      </c>
      <c r="E1274" t="s">
        <v>15</v>
      </c>
      <c r="F1274" t="s">
        <v>4707</v>
      </c>
      <c r="G1274" t="s">
        <v>18093</v>
      </c>
      <c r="H1274" t="s">
        <v>1121</v>
      </c>
      <c r="I1274" t="s">
        <v>1117</v>
      </c>
      <c r="J1274" t="s">
        <v>4708</v>
      </c>
      <c r="K1274" t="s">
        <v>4709</v>
      </c>
      <c r="L1274" t="s">
        <v>21</v>
      </c>
      <c r="M1274" t="s">
        <v>19177</v>
      </c>
      <c r="N1274" t="s">
        <v>272</v>
      </c>
      <c r="O1274" t="s">
        <v>272</v>
      </c>
      <c r="P1274" t="s">
        <v>114</v>
      </c>
    </row>
    <row r="1275">
      <c r="A1275">
        <f>HYPERLINK("http://bombeiros.sp.gov.br/hidrantes/03individual/2044.html","2044")</f>
      </c>
      <c r="B1275" t="s">
        <v>114</v>
      </c>
      <c r="C1275" t="s">
        <v>289</v>
      </c>
      <c r="D1275" t="s">
        <v>289</v>
      </c>
      <c r="E1275" t="s">
        <v>64</v>
      </c>
      <c r="F1275" t="s">
        <v>4710</v>
      </c>
      <c r="G1275" t="s">
        <v>18094</v>
      </c>
      <c r="H1275" t="s">
        <v>1174</v>
      </c>
      <c r="I1275" t="s">
        <v>1117</v>
      </c>
      <c r="J1275" t="s">
        <v>4711</v>
      </c>
      <c r="K1275" t="s">
        <v>4712</v>
      </c>
      <c r="L1275" t="s">
        <v>21</v>
      </c>
      <c r="M1275" t="s">
        <v>19177</v>
      </c>
      <c r="N1275" t="s">
        <v>6029</v>
      </c>
      <c r="O1275" t="s">
        <v>6029</v>
      </c>
      <c r="P1275" t="s">
        <v>114</v>
      </c>
    </row>
    <row r="1276">
      <c r="A1276">
        <f>HYPERLINK("http://bombeiros.sp.gov.br/hidrantes/03individual/2092.html","2092")</f>
      </c>
      <c r="B1276" t="s">
        <v>114</v>
      </c>
      <c r="C1276" t="s">
        <v>289</v>
      </c>
      <c r="D1276" t="s">
        <v>289</v>
      </c>
      <c r="E1276" t="s">
        <v>64</v>
      </c>
      <c r="F1276" t="s">
        <v>4713</v>
      </c>
      <c r="G1276" t="s">
        <v>18095</v>
      </c>
      <c r="H1276" t="s">
        <v>1121</v>
      </c>
      <c r="I1276" t="s">
        <v>1117</v>
      </c>
      <c r="J1276" t="s">
        <v>4714</v>
      </c>
      <c r="K1276" t="s">
        <v>4715</v>
      </c>
      <c r="L1276" t="s">
        <v>21</v>
      </c>
      <c r="M1276" t="s">
        <v>19177</v>
      </c>
      <c r="N1276" t="s">
        <v>6029</v>
      </c>
      <c r="O1276" t="s">
        <v>6029</v>
      </c>
      <c r="P1276" t="s">
        <v>114</v>
      </c>
    </row>
    <row r="1277">
      <c r="A1277">
        <f>HYPERLINK("http://bombeiros.sp.gov.br/hidrantes/03individual/2100.html","2100")</f>
      </c>
      <c r="B1277" t="s">
        <v>114</v>
      </c>
      <c r="C1277" t="s">
        <v>289</v>
      </c>
      <c r="D1277" t="s">
        <v>289</v>
      </c>
      <c r="E1277" t="s">
        <v>64</v>
      </c>
      <c r="F1277" t="s">
        <v>4716</v>
      </c>
      <c r="G1277" t="s">
        <v>18042</v>
      </c>
      <c r="H1277" t="s">
        <v>1107</v>
      </c>
      <c r="I1277" t="s">
        <v>1108</v>
      </c>
      <c r="J1277" t="s">
        <v>4717</v>
      </c>
      <c r="K1277" t="s">
        <v>4718</v>
      </c>
      <c r="L1277" t="s">
        <v>21</v>
      </c>
      <c r="M1277" t="s">
        <v>19177</v>
      </c>
      <c r="N1277" t="s">
        <v>6029</v>
      </c>
      <c r="O1277" t="s">
        <v>6029</v>
      </c>
      <c r="P1277" t="s">
        <v>114</v>
      </c>
    </row>
    <row r="1278">
      <c r="A1278">
        <f>HYPERLINK("http://bombeiros.sp.gov.br/hidrantes/03individual/2070.html","2070")</f>
      </c>
      <c r="B1278" t="s">
        <v>114</v>
      </c>
      <c r="C1278" t="s">
        <v>289</v>
      </c>
      <c r="D1278" t="s">
        <v>289</v>
      </c>
      <c r="E1278" t="s">
        <v>15</v>
      </c>
      <c r="F1278" t="s">
        <v>4719</v>
      </c>
      <c r="G1278" t="s">
        <v>18117</v>
      </c>
      <c r="H1278" t="s">
        <v>1107</v>
      </c>
      <c r="I1278" t="s">
        <v>1108</v>
      </c>
      <c r="J1278" t="s">
        <v>4720</v>
      </c>
      <c r="K1278" t="s">
        <v>4721</v>
      </c>
      <c r="L1278" t="s">
        <v>21</v>
      </c>
      <c r="M1278" t="s">
        <v>19177</v>
      </c>
      <c r="N1278" t="s">
        <v>6029</v>
      </c>
      <c r="O1278" t="s">
        <v>6029</v>
      </c>
      <c r="P1278" t="s">
        <v>114</v>
      </c>
    </row>
    <row r="1279">
      <c r="A1279">
        <f>HYPERLINK("http://bombeiros.sp.gov.br/hidrantes/03individual/2073.html","2073")</f>
      </c>
      <c r="B1279" t="s">
        <v>114</v>
      </c>
      <c r="C1279" t="s">
        <v>289</v>
      </c>
      <c r="D1279" t="s">
        <v>289</v>
      </c>
      <c r="E1279" t="s">
        <v>15</v>
      </c>
      <c r="F1279" t="s">
        <v>4722</v>
      </c>
      <c r="G1279" t="s">
        <v>18075</v>
      </c>
      <c r="H1279" t="s">
        <v>1112</v>
      </c>
      <c r="I1279" t="s">
        <v>1108</v>
      </c>
      <c r="J1279" t="s">
        <v>4723</v>
      </c>
      <c r="K1279" t="s">
        <v>4724</v>
      </c>
      <c r="L1279" t="s">
        <v>21</v>
      </c>
      <c r="M1279" t="s">
        <v>19177</v>
      </c>
      <c r="N1279" t="s">
        <v>6029</v>
      </c>
      <c r="O1279" t="s">
        <v>6029</v>
      </c>
      <c r="P1279" t="s">
        <v>114</v>
      </c>
    </row>
    <row r="1280">
      <c r="A1280">
        <f>HYPERLINK("http://bombeiros.sp.gov.br/hidrantes/03individual/3502.html","3502")</f>
      </c>
      <c r="B1280" t="s">
        <v>114</v>
      </c>
      <c r="C1280" t="s">
        <v>289</v>
      </c>
      <c r="D1280" t="s">
        <v>289</v>
      </c>
      <c r="E1280" t="s">
        <v>15</v>
      </c>
      <c r="F1280" t="s">
        <v>4725</v>
      </c>
      <c r="G1280" t="s">
        <v>18094</v>
      </c>
      <c r="H1280" t="s">
        <v>1174</v>
      </c>
      <c r="I1280" t="s">
        <v>1108</v>
      </c>
      <c r="J1280" t="s">
        <v>4726</v>
      </c>
      <c r="K1280" t="s">
        <v>4727</v>
      </c>
      <c r="L1280" t="s">
        <v>21</v>
      </c>
      <c r="M1280" t="s">
        <v>19177</v>
      </c>
      <c r="N1280" t="s">
        <v>6029</v>
      </c>
      <c r="O1280" t="s">
        <v>6029</v>
      </c>
      <c r="P1280" t="s">
        <v>114</v>
      </c>
    </row>
    <row r="1281">
      <c r="A1281">
        <f>HYPERLINK("http://bombeiros.sp.gov.br/hidrantes/03individual/3508.html","3508")</f>
      </c>
      <c r="B1281" t="s">
        <v>114</v>
      </c>
      <c r="C1281" t="s">
        <v>289</v>
      </c>
      <c r="D1281" t="s">
        <v>289</v>
      </c>
      <c r="E1281" t="s">
        <v>15</v>
      </c>
      <c r="F1281" t="s">
        <v>4728</v>
      </c>
      <c r="G1281" t="s">
        <v>18117</v>
      </c>
      <c r="H1281" t="s">
        <v>1107</v>
      </c>
      <c r="I1281" t="s">
        <v>1108</v>
      </c>
      <c r="J1281" t="s">
        <v>4729</v>
      </c>
      <c r="K1281" t="s">
        <v>4730</v>
      </c>
      <c r="L1281" t="s">
        <v>21</v>
      </c>
      <c r="M1281" t="s">
        <v>19177</v>
      </c>
      <c r="N1281" t="s">
        <v>6029</v>
      </c>
      <c r="O1281" t="s">
        <v>6029</v>
      </c>
      <c r="P1281" t="s">
        <v>114</v>
      </c>
    </row>
    <row r="1282">
      <c r="A1282">
        <f>HYPERLINK("http://bombeiros.sp.gov.br/hidrantes/03individual/3550.html","3550")</f>
      </c>
      <c r="B1282" t="s">
        <v>114</v>
      </c>
      <c r="C1282" t="s">
        <v>289</v>
      </c>
      <c r="D1282" t="s">
        <v>289</v>
      </c>
      <c r="E1282" t="s">
        <v>15</v>
      </c>
      <c r="F1282" t="s">
        <v>4731</v>
      </c>
      <c r="G1282" t="s">
        <v>18117</v>
      </c>
      <c r="H1282" t="s">
        <v>1107</v>
      </c>
      <c r="I1282" t="s">
        <v>1117</v>
      </c>
      <c r="J1282" t="s">
        <v>4732</v>
      </c>
      <c r="K1282" t="s">
        <v>4733</v>
      </c>
      <c r="L1282" t="s">
        <v>21</v>
      </c>
      <c r="M1282" t="s">
        <v>19177</v>
      </c>
      <c r="N1282" t="s">
        <v>6029</v>
      </c>
      <c r="O1282" t="s">
        <v>6029</v>
      </c>
      <c r="P1282" t="s">
        <v>114</v>
      </c>
    </row>
    <row r="1283">
      <c r="A1283">
        <f>HYPERLINK("http://bombeiros.sp.gov.br/hidrantes/03individual/3552.html","3552")</f>
      </c>
      <c r="B1283" t="s">
        <v>114</v>
      </c>
      <c r="C1283" t="s">
        <v>289</v>
      </c>
      <c r="D1283" t="s">
        <v>289</v>
      </c>
      <c r="E1283" t="s">
        <v>15</v>
      </c>
      <c r="F1283" t="s">
        <v>4734</v>
      </c>
      <c r="G1283" t="s">
        <v>18094</v>
      </c>
      <c r="H1283" t="s">
        <v>1121</v>
      </c>
      <c r="I1283" t="s">
        <v>1117</v>
      </c>
      <c r="J1283" t="s">
        <v>4735</v>
      </c>
      <c r="K1283" t="s">
        <v>4736</v>
      </c>
      <c r="L1283" t="s">
        <v>21</v>
      </c>
      <c r="M1283" t="s">
        <v>19177</v>
      </c>
      <c r="N1283" t="s">
        <v>6029</v>
      </c>
      <c r="O1283" t="s">
        <v>6029</v>
      </c>
      <c r="P1283" t="s">
        <v>114</v>
      </c>
    </row>
    <row r="1284">
      <c r="A1284">
        <f>HYPERLINK("http://bombeiros.sp.gov.br/hidrantes/03individual/4205.html","4205")</f>
      </c>
      <c r="B1284" t="s">
        <v>114</v>
      </c>
      <c r="C1284" t="s">
        <v>289</v>
      </c>
      <c r="D1284" t="s">
        <v>289</v>
      </c>
      <c r="E1284" t="s">
        <v>15</v>
      </c>
      <c r="F1284" t="s">
        <v>4737</v>
      </c>
      <c r="G1284" t="s">
        <v>18094</v>
      </c>
      <c r="H1284" t="s">
        <v>1121</v>
      </c>
      <c r="I1284" t="s">
        <v>1117</v>
      </c>
      <c r="J1284" t="s">
        <v>4738</v>
      </c>
      <c r="K1284" t="s">
        <v>4739</v>
      </c>
      <c r="L1284" t="s">
        <v>21</v>
      </c>
      <c r="M1284" t="s">
        <v>19177</v>
      </c>
      <c r="N1284" t="s">
        <v>6029</v>
      </c>
      <c r="O1284" t="s">
        <v>6029</v>
      </c>
      <c r="P1284" t="s">
        <v>114</v>
      </c>
    </row>
    <row r="1285">
      <c r="A1285">
        <f>HYPERLINK("http://bombeiros.sp.gov.br/hidrantes/03individual/4207.html","4207")</f>
      </c>
      <c r="B1285" t="s">
        <v>114</v>
      </c>
      <c r="C1285" t="s">
        <v>289</v>
      </c>
      <c r="D1285" t="s">
        <v>289</v>
      </c>
      <c r="E1285" t="s">
        <v>15</v>
      </c>
      <c r="F1285" t="s">
        <v>4740</v>
      </c>
      <c r="G1285" t="s">
        <v>18094</v>
      </c>
      <c r="H1285" t="s">
        <v>1121</v>
      </c>
      <c r="I1285" t="s">
        <v>1117</v>
      </c>
      <c r="J1285" t="s">
        <v>4741</v>
      </c>
      <c r="K1285" t="s">
        <v>4742</v>
      </c>
      <c r="L1285" t="s">
        <v>21</v>
      </c>
      <c r="M1285" t="s">
        <v>19177</v>
      </c>
      <c r="N1285" t="s">
        <v>6029</v>
      </c>
      <c r="O1285" t="s">
        <v>6029</v>
      </c>
      <c r="P1285" t="s">
        <v>114</v>
      </c>
    </row>
    <row r="1286">
      <c r="A1286">
        <f>HYPERLINK("http://bombeiros.sp.gov.br/hidrantes/03individual/17861.html","17861")</f>
      </c>
      <c r="B1286" t="s">
        <v>114</v>
      </c>
      <c r="C1286" t="s">
        <v>289</v>
      </c>
      <c r="D1286" t="s">
        <v>289</v>
      </c>
      <c r="E1286" t="s">
        <v>15</v>
      </c>
      <c r="F1286" t="s">
        <v>4743</v>
      </c>
      <c r="G1286" t="s">
        <v>18094</v>
      </c>
      <c r="H1286" t="s">
        <v>1121</v>
      </c>
      <c r="I1286" t="s">
        <v>1117</v>
      </c>
      <c r="J1286" t="s">
        <v>4744</v>
      </c>
      <c r="K1286" t="s">
        <v>4745</v>
      </c>
      <c r="L1286" t="s">
        <v>21</v>
      </c>
      <c r="M1286" t="s">
        <v>19177</v>
      </c>
      <c r="N1286" t="s">
        <v>6029</v>
      </c>
      <c r="O1286" t="s">
        <v>6029</v>
      </c>
      <c r="P1286" t="s">
        <v>114</v>
      </c>
    </row>
    <row r="1287">
      <c r="A1287">
        <f>HYPERLINK("http://bombeiros.sp.gov.br/hidrantes/03individual/17862.html","17862")</f>
      </c>
      <c r="B1287" t="s">
        <v>114</v>
      </c>
      <c r="C1287" t="s">
        <v>289</v>
      </c>
      <c r="D1287" t="s">
        <v>289</v>
      </c>
      <c r="E1287" t="s">
        <v>15</v>
      </c>
      <c r="F1287" t="s">
        <v>4746</v>
      </c>
      <c r="G1287" t="s">
        <v>18094</v>
      </c>
      <c r="H1287" t="s">
        <v>1121</v>
      </c>
      <c r="I1287" t="s">
        <v>1117</v>
      </c>
      <c r="J1287" t="s">
        <v>4747</v>
      </c>
      <c r="K1287" t="s">
        <v>4748</v>
      </c>
      <c r="L1287" t="s">
        <v>21</v>
      </c>
      <c r="M1287" t="s">
        <v>19177</v>
      </c>
      <c r="N1287" t="s">
        <v>6029</v>
      </c>
      <c r="O1287" t="s">
        <v>6029</v>
      </c>
      <c r="P1287" t="s">
        <v>114</v>
      </c>
    </row>
    <row r="1288">
      <c r="A1288">
        <f>HYPERLINK("http://bombeiros.sp.gov.br/hidrantes/03individual/27443.html","27443")</f>
      </c>
      <c r="B1288" t="s">
        <v>114</v>
      </c>
      <c r="C1288" t="s">
        <v>289</v>
      </c>
      <c r="D1288" t="s">
        <v>289</v>
      </c>
      <c r="E1288" t="s">
        <v>15</v>
      </c>
      <c r="F1288" t="s">
        <v>17316</v>
      </c>
      <c r="G1288" t="s">
        <v>18094</v>
      </c>
      <c r="H1288" t="s">
        <v>1112</v>
      </c>
      <c r="I1288" t="s">
        <v>1108</v>
      </c>
      <c r="J1288" t="s">
        <v>17317</v>
      </c>
      <c r="K1288" t="s">
        <v>17318</v>
      </c>
      <c r="L1288" t="s">
        <v>21</v>
      </c>
      <c r="M1288" t="s">
        <v>19177</v>
      </c>
      <c r="N1288" t="s">
        <v>6029</v>
      </c>
      <c r="O1288" t="s">
        <v>6029</v>
      </c>
      <c r="P1288" t="s">
        <v>114</v>
      </c>
    </row>
    <row r="1289">
      <c r="A1289">
        <f>HYPERLINK("http://bombeiros.sp.gov.br/hidrantes/03individual/17864.html","17864")</f>
      </c>
      <c r="B1289" t="s">
        <v>114</v>
      </c>
      <c r="C1289" t="s">
        <v>289</v>
      </c>
      <c r="D1289" t="s">
        <v>290</v>
      </c>
      <c r="E1289" t="s">
        <v>15</v>
      </c>
      <c r="F1289" t="s">
        <v>294</v>
      </c>
      <c r="G1289" t="s">
        <v>18134</v>
      </c>
      <c r="H1289" t="s">
        <v>1174</v>
      </c>
      <c r="I1289" t="s">
        <v>1117</v>
      </c>
      <c r="J1289" t="s">
        <v>295</v>
      </c>
      <c r="K1289" t="s">
        <v>296</v>
      </c>
      <c r="L1289" t="s">
        <v>21</v>
      </c>
      <c r="M1289" t="s">
        <v>19177</v>
      </c>
      <c r="N1289" t="s">
        <v>6029</v>
      </c>
      <c r="O1289" t="s">
        <v>6029</v>
      </c>
      <c r="P1289" t="s">
        <v>114</v>
      </c>
    </row>
    <row r="1290">
      <c r="A1290">
        <f>HYPERLINK("http://bombeiros.sp.gov.br/hidrantes/03individual/27170.html","27170")</f>
      </c>
      <c r="B1290" t="s">
        <v>114</v>
      </c>
      <c r="C1290" t="s">
        <v>289</v>
      </c>
      <c r="D1290" t="s">
        <v>290</v>
      </c>
      <c r="E1290" t="s">
        <v>15</v>
      </c>
      <c r="F1290" t="s">
        <v>291</v>
      </c>
      <c r="G1290" t="s">
        <v>18095</v>
      </c>
      <c r="H1290" t="s">
        <v>1121</v>
      </c>
      <c r="I1290" t="s">
        <v>1117</v>
      </c>
      <c r="J1290" t="s">
        <v>16889</v>
      </c>
      <c r="K1290" t="s">
        <v>16890</v>
      </c>
      <c r="L1290" t="s">
        <v>21</v>
      </c>
      <c r="M1290" t="s">
        <v>19177</v>
      </c>
      <c r="N1290" t="s">
        <v>6029</v>
      </c>
      <c r="O1290" t="s">
        <v>6029</v>
      </c>
      <c r="P1290" t="s">
        <v>114</v>
      </c>
    </row>
    <row r="1291">
      <c r="A1291">
        <f>HYPERLINK("http://bombeiros.sp.gov.br/hidrantes/03individual/27878.html","27878")</f>
      </c>
      <c r="B1291" t="s">
        <v>114</v>
      </c>
      <c r="C1291" t="s">
        <v>289</v>
      </c>
      <c r="D1291" t="s">
        <v>290</v>
      </c>
      <c r="E1291" t="s">
        <v>15</v>
      </c>
      <c r="F1291" t="s">
        <v>17886</v>
      </c>
      <c r="G1291" t="s">
        <v>18194</v>
      </c>
      <c r="H1291" t="s">
        <v>1121</v>
      </c>
      <c r="I1291" t="s">
        <v>1117</v>
      </c>
      <c r="J1291" t="s">
        <v>17887</v>
      </c>
      <c r="K1291" t="s">
        <v>17888</v>
      </c>
      <c r="L1291" t="s">
        <v>21</v>
      </c>
      <c r="M1291" t="s">
        <v>19177</v>
      </c>
      <c r="N1291" t="s">
        <v>6029</v>
      </c>
      <c r="O1291" t="s">
        <v>6029</v>
      </c>
      <c r="P1291" t="s">
        <v>114</v>
      </c>
    </row>
    <row r="1292">
      <c r="A1292">
        <f>HYPERLINK("http://bombeiros.sp.gov.br/hidrantes/03individual/1015.html","1015")</f>
      </c>
      <c r="B1292" t="s">
        <v>114</v>
      </c>
      <c r="C1292" t="s">
        <v>4749</v>
      </c>
      <c r="D1292" t="s">
        <v>4750</v>
      </c>
      <c r="E1292" t="s">
        <v>64</v>
      </c>
      <c r="F1292" t="s">
        <v>4751</v>
      </c>
      <c r="G1292" t="s">
        <v>18050</v>
      </c>
      <c r="H1292" t="s">
        <v>1112</v>
      </c>
      <c r="I1292" t="s">
        <v>1117</v>
      </c>
      <c r="J1292" t="s">
        <v>4752</v>
      </c>
      <c r="K1292" t="s">
        <v>4753</v>
      </c>
      <c r="L1292" t="s">
        <v>21</v>
      </c>
      <c r="M1292" t="s">
        <v>19177</v>
      </c>
      <c r="N1292" t="s">
        <v>272</v>
      </c>
      <c r="O1292" t="s">
        <v>272</v>
      </c>
      <c r="P1292" t="s">
        <v>114</v>
      </c>
    </row>
    <row r="1293">
      <c r="A1293">
        <f>HYPERLINK("http://bombeiros.sp.gov.br/hidrantes/03individual/3397.html","3397")</f>
      </c>
      <c r="B1293" t="s">
        <v>114</v>
      </c>
      <c r="C1293" t="s">
        <v>4749</v>
      </c>
      <c r="D1293" t="s">
        <v>4750</v>
      </c>
      <c r="E1293" t="s">
        <v>64</v>
      </c>
      <c r="F1293" t="s">
        <v>4754</v>
      </c>
      <c r="G1293" t="s">
        <v>18066</v>
      </c>
      <c r="H1293" t="s">
        <v>1112</v>
      </c>
      <c r="I1293" t="s">
        <v>1108</v>
      </c>
      <c r="J1293" t="s">
        <v>4755</v>
      </c>
      <c r="K1293" t="s">
        <v>4756</v>
      </c>
      <c r="L1293" t="s">
        <v>21</v>
      </c>
      <c r="M1293" t="s">
        <v>19177</v>
      </c>
      <c r="N1293" t="s">
        <v>272</v>
      </c>
      <c r="O1293" t="s">
        <v>272</v>
      </c>
      <c r="P1293" t="s">
        <v>114</v>
      </c>
    </row>
    <row r="1294">
      <c r="A1294">
        <f>HYPERLINK("http://bombeiros.sp.gov.br/hidrantes/03individual/6781.html","6781")</f>
      </c>
      <c r="B1294" t="s">
        <v>114</v>
      </c>
      <c r="C1294" t="s">
        <v>4749</v>
      </c>
      <c r="D1294" t="s">
        <v>4750</v>
      </c>
      <c r="E1294" t="s">
        <v>64</v>
      </c>
      <c r="F1294" t="s">
        <v>4757</v>
      </c>
      <c r="G1294" t="s">
        <v>18050</v>
      </c>
      <c r="H1294" t="s">
        <v>1121</v>
      </c>
      <c r="I1294" t="s">
        <v>1117</v>
      </c>
      <c r="J1294" t="s">
        <v>4758</v>
      </c>
      <c r="K1294" t="s">
        <v>4759</v>
      </c>
      <c r="L1294" t="s">
        <v>36</v>
      </c>
      <c r="M1294" t="s">
        <v>19177</v>
      </c>
      <c r="N1294" t="s">
        <v>272</v>
      </c>
      <c r="O1294" t="s">
        <v>272</v>
      </c>
      <c r="P1294" t="s">
        <v>114</v>
      </c>
    </row>
    <row r="1295">
      <c r="A1295">
        <f>HYPERLINK("http://bombeiros.sp.gov.br/hidrantes/03individual/26991.html","26991")</f>
      </c>
      <c r="B1295" t="s">
        <v>114</v>
      </c>
      <c r="C1295" t="s">
        <v>4749</v>
      </c>
      <c r="D1295" t="s">
        <v>4750</v>
      </c>
      <c r="E1295" t="s">
        <v>64</v>
      </c>
      <c r="F1295" t="s">
        <v>16574</v>
      </c>
      <c r="G1295" t="s">
        <v>18074</v>
      </c>
      <c r="H1295" t="s">
        <v>1112</v>
      </c>
      <c r="I1295" t="s">
        <v>1108</v>
      </c>
      <c r="J1295" t="s">
        <v>16575</v>
      </c>
      <c r="K1295" t="s">
        <v>16576</v>
      </c>
      <c r="L1295" t="s">
        <v>21</v>
      </c>
      <c r="M1295" t="s">
        <v>19177</v>
      </c>
      <c r="N1295" t="s">
        <v>272</v>
      </c>
      <c r="O1295" t="s">
        <v>272</v>
      </c>
      <c r="P1295" t="s">
        <v>114</v>
      </c>
    </row>
    <row r="1296">
      <c r="A1296">
        <f>HYPERLINK("http://bombeiros.sp.gov.br/hidrantes/03individual/27079.html","27079")</f>
      </c>
      <c r="B1296" t="s">
        <v>114</v>
      </c>
      <c r="C1296" t="s">
        <v>4749</v>
      </c>
      <c r="D1296" t="s">
        <v>4750</v>
      </c>
      <c r="E1296" t="s">
        <v>64</v>
      </c>
      <c r="F1296" t="s">
        <v>16737</v>
      </c>
      <c r="G1296" t="s">
        <v>18074</v>
      </c>
      <c r="H1296" t="s">
        <v>1121</v>
      </c>
      <c r="I1296" t="s">
        <v>1117</v>
      </c>
      <c r="J1296" t="s">
        <v>16738</v>
      </c>
      <c r="K1296" t="s">
        <v>16739</v>
      </c>
      <c r="L1296" t="s">
        <v>21</v>
      </c>
      <c r="M1296" t="s">
        <v>19177</v>
      </c>
      <c r="N1296" t="s">
        <v>272</v>
      </c>
      <c r="O1296" t="s">
        <v>272</v>
      </c>
      <c r="P1296" t="s">
        <v>114</v>
      </c>
    </row>
    <row r="1297">
      <c r="A1297">
        <f>HYPERLINK("http://bombeiros.sp.gov.br/hidrantes/03individual/27156.html","27156")</f>
      </c>
      <c r="B1297" t="s">
        <v>114</v>
      </c>
      <c r="C1297" t="s">
        <v>4749</v>
      </c>
      <c r="D1297" t="s">
        <v>4750</v>
      </c>
      <c r="E1297" t="s">
        <v>64</v>
      </c>
      <c r="F1297" t="s">
        <v>16852</v>
      </c>
      <c r="G1297" t="s">
        <v>18074</v>
      </c>
      <c r="H1297" t="s">
        <v>1121</v>
      </c>
      <c r="I1297" t="s">
        <v>1117</v>
      </c>
      <c r="J1297" t="s">
        <v>16853</v>
      </c>
      <c r="K1297" t="s">
        <v>16854</v>
      </c>
      <c r="L1297" t="s">
        <v>21</v>
      </c>
      <c r="M1297" t="s">
        <v>19177</v>
      </c>
      <c r="N1297" t="s">
        <v>272</v>
      </c>
      <c r="O1297" t="s">
        <v>272</v>
      </c>
      <c r="P1297" t="s">
        <v>114</v>
      </c>
    </row>
    <row r="1298">
      <c r="A1298">
        <f>HYPERLINK("http://bombeiros.sp.gov.br/hidrantes/03individual/27197.html","27197")</f>
      </c>
      <c r="B1298" t="s">
        <v>114</v>
      </c>
      <c r="C1298" t="s">
        <v>4749</v>
      </c>
      <c r="D1298" t="s">
        <v>4750</v>
      </c>
      <c r="E1298" t="s">
        <v>64</v>
      </c>
      <c r="F1298" t="s">
        <v>16943</v>
      </c>
      <c r="G1298" t="s">
        <v>18501</v>
      </c>
      <c r="H1298" t="s">
        <v>1121</v>
      </c>
      <c r="I1298" t="s">
        <v>1117</v>
      </c>
      <c r="J1298" t="s">
        <v>16944</v>
      </c>
      <c r="K1298" t="s">
        <v>16945</v>
      </c>
      <c r="L1298" t="s">
        <v>21</v>
      </c>
      <c r="M1298" t="s">
        <v>19177</v>
      </c>
      <c r="N1298" t="s">
        <v>272</v>
      </c>
      <c r="O1298" t="s">
        <v>272</v>
      </c>
      <c r="P1298" t="s">
        <v>114</v>
      </c>
    </row>
    <row r="1299">
      <c r="A1299">
        <f>HYPERLINK("http://bombeiros.sp.gov.br/hidrantes/03individual/28336.html","28336")</f>
      </c>
      <c r="B1299" t="s">
        <v>114</v>
      </c>
      <c r="C1299" t="s">
        <v>4749</v>
      </c>
      <c r="D1299" t="s">
        <v>4750</v>
      </c>
      <c r="E1299" t="s">
        <v>64</v>
      </c>
      <c r="F1299" t="s">
        <v>18595</v>
      </c>
      <c r="G1299"/>
      <c r="H1299"/>
      <c r="I1299" t="s">
        <v>1503</v>
      </c>
      <c r="J1299" t="s">
        <v>18596</v>
      </c>
      <c r="K1299" t="s">
        <v>18597</v>
      </c>
      <c r="L1299" t="s">
        <v>21</v>
      </c>
      <c r="M1299" t="s">
        <v>19177</v>
      </c>
      <c r="N1299" t="s">
        <v>272</v>
      </c>
      <c r="O1299" t="s">
        <v>272</v>
      </c>
      <c r="P1299" t="s">
        <v>114</v>
      </c>
    </row>
    <row r="1300">
      <c r="A1300">
        <f>HYPERLINK("http://bombeiros.sp.gov.br/hidrantes/03individual/10056.html","10056")</f>
      </c>
      <c r="B1300" t="s">
        <v>114</v>
      </c>
      <c r="C1300" t="s">
        <v>4749</v>
      </c>
      <c r="D1300" t="s">
        <v>4749</v>
      </c>
      <c r="E1300" t="s">
        <v>1507</v>
      </c>
      <c r="F1300" t="s">
        <v>4760</v>
      </c>
      <c r="G1300" t="s">
        <v>18105</v>
      </c>
      <c r="H1300"/>
      <c r="I1300" t="s">
        <v>18</v>
      </c>
      <c r="J1300" t="s">
        <v>19088</v>
      </c>
      <c r="K1300" t="s">
        <v>19089</v>
      </c>
      <c r="L1300" t="s">
        <v>21</v>
      </c>
      <c r="M1300" t="s">
        <v>19177</v>
      </c>
      <c r="N1300" t="s">
        <v>272</v>
      </c>
      <c r="O1300" t="s">
        <v>272</v>
      </c>
      <c r="P1300" t="s">
        <v>114</v>
      </c>
    </row>
    <row r="1301">
      <c r="A1301">
        <f>HYPERLINK("http://bombeiros.sp.gov.br/hidrantes/03individual/3357.html","3357")</f>
      </c>
      <c r="B1301" t="s">
        <v>114</v>
      </c>
      <c r="C1301" t="s">
        <v>4749</v>
      </c>
      <c r="D1301" t="s">
        <v>4749</v>
      </c>
      <c r="E1301" t="s">
        <v>64</v>
      </c>
      <c r="F1301" t="s">
        <v>4763</v>
      </c>
      <c r="G1301" t="s">
        <v>18085</v>
      </c>
      <c r="H1301" t="s">
        <v>1121</v>
      </c>
      <c r="I1301" t="s">
        <v>1117</v>
      </c>
      <c r="J1301" t="s">
        <v>4764</v>
      </c>
      <c r="K1301" t="s">
        <v>4765</v>
      </c>
      <c r="L1301" t="s">
        <v>36</v>
      </c>
      <c r="M1301" t="s">
        <v>19177</v>
      </c>
      <c r="N1301" t="s">
        <v>272</v>
      </c>
      <c r="O1301" t="s">
        <v>272</v>
      </c>
      <c r="P1301" t="s">
        <v>114</v>
      </c>
    </row>
    <row r="1302">
      <c r="A1302">
        <f>HYPERLINK("http://bombeiros.sp.gov.br/hidrantes/03individual/3383.html","3383")</f>
      </c>
      <c r="B1302" t="s">
        <v>114</v>
      </c>
      <c r="C1302" t="s">
        <v>4749</v>
      </c>
      <c r="D1302" t="s">
        <v>4749</v>
      </c>
      <c r="E1302" t="s">
        <v>64</v>
      </c>
      <c r="F1302" t="s">
        <v>4766</v>
      </c>
      <c r="G1302" t="s">
        <v>18084</v>
      </c>
      <c r="H1302" t="s">
        <v>1121</v>
      </c>
      <c r="I1302" t="s">
        <v>1117</v>
      </c>
      <c r="J1302" t="s">
        <v>4767</v>
      </c>
      <c r="K1302" t="s">
        <v>4768</v>
      </c>
      <c r="L1302" t="s">
        <v>36</v>
      </c>
      <c r="M1302" t="s">
        <v>19177</v>
      </c>
      <c r="N1302" t="s">
        <v>272</v>
      </c>
      <c r="O1302" t="s">
        <v>272</v>
      </c>
      <c r="P1302" t="s">
        <v>114</v>
      </c>
    </row>
    <row r="1303">
      <c r="A1303">
        <f>HYPERLINK("http://bombeiros.sp.gov.br/hidrantes/03individual/3385.html","3385")</f>
      </c>
      <c r="B1303" t="s">
        <v>114</v>
      </c>
      <c r="C1303" t="s">
        <v>4749</v>
      </c>
      <c r="D1303" t="s">
        <v>4749</v>
      </c>
      <c r="E1303" t="s">
        <v>64</v>
      </c>
      <c r="F1303" t="s">
        <v>4769</v>
      </c>
      <c r="G1303" t="s">
        <v>18105</v>
      </c>
      <c r="H1303" t="s">
        <v>1121</v>
      </c>
      <c r="I1303" t="s">
        <v>1117</v>
      </c>
      <c r="J1303" t="s">
        <v>4770</v>
      </c>
      <c r="K1303" t="s">
        <v>4771</v>
      </c>
      <c r="L1303" t="s">
        <v>36</v>
      </c>
      <c r="M1303" t="s">
        <v>19177</v>
      </c>
      <c r="N1303" t="s">
        <v>272</v>
      </c>
      <c r="O1303" t="s">
        <v>272</v>
      </c>
      <c r="P1303" t="s">
        <v>114</v>
      </c>
    </row>
    <row r="1304">
      <c r="A1304">
        <f>HYPERLINK("http://bombeiros.sp.gov.br/hidrantes/03individual/3412.html","3412")</f>
      </c>
      <c r="B1304" t="s">
        <v>114</v>
      </c>
      <c r="C1304" t="s">
        <v>4749</v>
      </c>
      <c r="D1304" t="s">
        <v>4749</v>
      </c>
      <c r="E1304" t="s">
        <v>64</v>
      </c>
      <c r="F1304" t="s">
        <v>4772</v>
      </c>
      <c r="G1304" t="s">
        <v>18046</v>
      </c>
      <c r="H1304" t="s">
        <v>1121</v>
      </c>
      <c r="I1304" t="s">
        <v>1117</v>
      </c>
      <c r="J1304" t="s">
        <v>4773</v>
      </c>
      <c r="K1304" t="s">
        <v>4774</v>
      </c>
      <c r="L1304" t="s">
        <v>36</v>
      </c>
      <c r="M1304" t="s">
        <v>19177</v>
      </c>
      <c r="N1304" t="s">
        <v>272</v>
      </c>
      <c r="O1304" t="s">
        <v>272</v>
      </c>
      <c r="P1304" t="s">
        <v>114</v>
      </c>
    </row>
    <row r="1305">
      <c r="A1305">
        <f>HYPERLINK("http://bombeiros.sp.gov.br/hidrantes/03individual/3413.html","3413")</f>
      </c>
      <c r="B1305" t="s">
        <v>114</v>
      </c>
      <c r="C1305" t="s">
        <v>4749</v>
      </c>
      <c r="D1305" t="s">
        <v>4749</v>
      </c>
      <c r="E1305" t="s">
        <v>64</v>
      </c>
      <c r="F1305" t="s">
        <v>4775</v>
      </c>
      <c r="G1305" t="s">
        <v>18145</v>
      </c>
      <c r="H1305" t="s">
        <v>1112</v>
      </c>
      <c r="I1305" t="s">
        <v>1108</v>
      </c>
      <c r="J1305" t="s">
        <v>4776</v>
      </c>
      <c r="K1305" t="s">
        <v>4777</v>
      </c>
      <c r="L1305" t="s">
        <v>36</v>
      </c>
      <c r="M1305" t="s">
        <v>19177</v>
      </c>
      <c r="N1305" t="s">
        <v>272</v>
      </c>
      <c r="O1305" t="s">
        <v>272</v>
      </c>
      <c r="P1305" t="s">
        <v>114</v>
      </c>
    </row>
    <row r="1306">
      <c r="A1306">
        <f>HYPERLINK("http://bombeiros.sp.gov.br/hidrantes/03individual/3414.html","3414")</f>
      </c>
      <c r="B1306" t="s">
        <v>114</v>
      </c>
      <c r="C1306" t="s">
        <v>4749</v>
      </c>
      <c r="D1306" t="s">
        <v>4749</v>
      </c>
      <c r="E1306" t="s">
        <v>64</v>
      </c>
      <c r="F1306" t="s">
        <v>4778</v>
      </c>
      <c r="G1306" t="s">
        <v>18084</v>
      </c>
      <c r="H1306" t="s">
        <v>1112</v>
      </c>
      <c r="I1306" t="s">
        <v>1108</v>
      </c>
      <c r="J1306" t="s">
        <v>4779</v>
      </c>
      <c r="K1306" t="s">
        <v>4780</v>
      </c>
      <c r="L1306" t="s">
        <v>36</v>
      </c>
      <c r="M1306" t="s">
        <v>19177</v>
      </c>
      <c r="N1306" t="s">
        <v>272</v>
      </c>
      <c r="O1306" t="s">
        <v>272</v>
      </c>
      <c r="P1306" t="s">
        <v>114</v>
      </c>
    </row>
    <row r="1307">
      <c r="A1307">
        <f>HYPERLINK("http://bombeiros.sp.gov.br/hidrantes/03individual/3423.html","3423")</f>
      </c>
      <c r="B1307" t="s">
        <v>114</v>
      </c>
      <c r="C1307" t="s">
        <v>4749</v>
      </c>
      <c r="D1307" t="s">
        <v>4749</v>
      </c>
      <c r="E1307" t="s">
        <v>64</v>
      </c>
      <c r="F1307" t="s">
        <v>4781</v>
      </c>
      <c r="G1307" t="s">
        <v>18085</v>
      </c>
      <c r="H1307" t="s">
        <v>1107</v>
      </c>
      <c r="I1307" t="s">
        <v>1108</v>
      </c>
      <c r="J1307" t="s">
        <v>4782</v>
      </c>
      <c r="K1307" t="s">
        <v>4783</v>
      </c>
      <c r="L1307" t="s">
        <v>36</v>
      </c>
      <c r="M1307" t="s">
        <v>19177</v>
      </c>
      <c r="N1307" t="s">
        <v>272</v>
      </c>
      <c r="O1307" t="s">
        <v>272</v>
      </c>
      <c r="P1307" t="s">
        <v>114</v>
      </c>
    </row>
    <row r="1308">
      <c r="A1308">
        <f>HYPERLINK("http://bombeiros.sp.gov.br/hidrantes/03individual/4316.html","4316")</f>
      </c>
      <c r="B1308" t="s">
        <v>114</v>
      </c>
      <c r="C1308" t="s">
        <v>4749</v>
      </c>
      <c r="D1308" t="s">
        <v>4749</v>
      </c>
      <c r="E1308" t="s">
        <v>64</v>
      </c>
      <c r="F1308" t="s">
        <v>4784</v>
      </c>
      <c r="G1308" t="s">
        <v>18085</v>
      </c>
      <c r="H1308" t="s">
        <v>1121</v>
      </c>
      <c r="I1308" t="s">
        <v>1117</v>
      </c>
      <c r="J1308" t="s">
        <v>4785</v>
      </c>
      <c r="K1308" t="s">
        <v>4786</v>
      </c>
      <c r="L1308" t="s">
        <v>36</v>
      </c>
      <c r="M1308" t="s">
        <v>19177</v>
      </c>
      <c r="N1308" t="s">
        <v>272</v>
      </c>
      <c r="O1308" t="s">
        <v>272</v>
      </c>
      <c r="P1308" t="s">
        <v>114</v>
      </c>
    </row>
    <row r="1309">
      <c r="A1309">
        <f>HYPERLINK("http://bombeiros.sp.gov.br/hidrantes/03individual/4330.html","4330")</f>
      </c>
      <c r="B1309" t="s">
        <v>114</v>
      </c>
      <c r="C1309" t="s">
        <v>4749</v>
      </c>
      <c r="D1309" t="s">
        <v>4749</v>
      </c>
      <c r="E1309" t="s">
        <v>64</v>
      </c>
      <c r="F1309" t="s">
        <v>4787</v>
      </c>
      <c r="G1309" t="s">
        <v>18105</v>
      </c>
      <c r="H1309" t="s">
        <v>1121</v>
      </c>
      <c r="I1309" t="s">
        <v>1117</v>
      </c>
      <c r="J1309" t="s">
        <v>4788</v>
      </c>
      <c r="K1309" t="s">
        <v>4789</v>
      </c>
      <c r="L1309" t="s">
        <v>21</v>
      </c>
      <c r="M1309" t="s">
        <v>19177</v>
      </c>
      <c r="N1309" t="s">
        <v>272</v>
      </c>
      <c r="O1309" t="s">
        <v>272</v>
      </c>
      <c r="P1309" t="s">
        <v>114</v>
      </c>
    </row>
    <row r="1310">
      <c r="A1310">
        <f>HYPERLINK("http://bombeiros.sp.gov.br/hidrantes/03individual/14977.html","14977")</f>
      </c>
      <c r="B1310" t="s">
        <v>114</v>
      </c>
      <c r="C1310" t="s">
        <v>4749</v>
      </c>
      <c r="D1310" t="s">
        <v>4749</v>
      </c>
      <c r="E1310" t="s">
        <v>64</v>
      </c>
      <c r="F1310" t="s">
        <v>4790</v>
      </c>
      <c r="G1310" t="s">
        <v>18105</v>
      </c>
      <c r="H1310" t="s">
        <v>1112</v>
      </c>
      <c r="I1310" t="s">
        <v>1108</v>
      </c>
      <c r="J1310" t="s">
        <v>4791</v>
      </c>
      <c r="K1310" t="s">
        <v>4792</v>
      </c>
      <c r="L1310" t="s">
        <v>21</v>
      </c>
      <c r="M1310" t="s">
        <v>19177</v>
      </c>
      <c r="N1310" t="s">
        <v>272</v>
      </c>
      <c r="O1310" t="s">
        <v>272</v>
      </c>
      <c r="P1310" t="s">
        <v>114</v>
      </c>
    </row>
    <row r="1311">
      <c r="A1311">
        <f>HYPERLINK("http://bombeiros.sp.gov.br/hidrantes/03individual/28327.html","28327")</f>
      </c>
      <c r="B1311" t="s">
        <v>114</v>
      </c>
      <c r="C1311" t="s">
        <v>4749</v>
      </c>
      <c r="D1311" t="s">
        <v>4749</v>
      </c>
      <c r="E1311" t="s">
        <v>64</v>
      </c>
      <c r="F1311" t="s">
        <v>18581</v>
      </c>
      <c r="G1311"/>
      <c r="H1311"/>
      <c r="I1311" t="s">
        <v>1503</v>
      </c>
      <c r="J1311" t="s">
        <v>18582</v>
      </c>
      <c r="K1311" t="s">
        <v>18583</v>
      </c>
      <c r="L1311" t="s">
        <v>21</v>
      </c>
      <c r="M1311" t="s">
        <v>19177</v>
      </c>
      <c r="N1311" t="s">
        <v>272</v>
      </c>
      <c r="O1311" t="s">
        <v>272</v>
      </c>
      <c r="P1311" t="s">
        <v>114</v>
      </c>
    </row>
    <row r="1312">
      <c r="A1312">
        <f>HYPERLINK("http://bombeiros.sp.gov.br/hidrantes/03individual/1906.html","1906")</f>
      </c>
      <c r="B1312" t="s">
        <v>114</v>
      </c>
      <c r="C1312" t="s">
        <v>4749</v>
      </c>
      <c r="D1312" t="s">
        <v>4749</v>
      </c>
      <c r="E1312" t="s">
        <v>15</v>
      </c>
      <c r="F1312" t="s">
        <v>4793</v>
      </c>
      <c r="G1312" t="s">
        <v>18072</v>
      </c>
      <c r="H1312" t="s">
        <v>1112</v>
      </c>
      <c r="I1312" t="s">
        <v>1108</v>
      </c>
      <c r="J1312" t="s">
        <v>4794</v>
      </c>
      <c r="K1312" t="s">
        <v>4795</v>
      </c>
      <c r="L1312" t="s">
        <v>21</v>
      </c>
      <c r="M1312" t="s">
        <v>19177</v>
      </c>
      <c r="N1312" t="s">
        <v>272</v>
      </c>
      <c r="O1312" t="s">
        <v>272</v>
      </c>
      <c r="P1312" t="s">
        <v>114</v>
      </c>
    </row>
    <row r="1313">
      <c r="A1313">
        <f>HYPERLINK("http://bombeiros.sp.gov.br/hidrantes/03individual/1961.html","1961")</f>
      </c>
      <c r="B1313" t="s">
        <v>114</v>
      </c>
      <c r="C1313" t="s">
        <v>4749</v>
      </c>
      <c r="D1313" t="s">
        <v>4749</v>
      </c>
      <c r="E1313" t="s">
        <v>15</v>
      </c>
      <c r="F1313" t="s">
        <v>4796</v>
      </c>
      <c r="G1313" t="s">
        <v>18145</v>
      </c>
      <c r="H1313" t="s">
        <v>1107</v>
      </c>
      <c r="I1313" t="s">
        <v>1108</v>
      </c>
      <c r="J1313" t="s">
        <v>4798</v>
      </c>
      <c r="K1313" t="s">
        <v>4799</v>
      </c>
      <c r="L1313" t="s">
        <v>21</v>
      </c>
      <c r="M1313" t="s">
        <v>19177</v>
      </c>
      <c r="N1313" t="s">
        <v>272</v>
      </c>
      <c r="O1313" t="s">
        <v>272</v>
      </c>
      <c r="P1313" t="s">
        <v>114</v>
      </c>
    </row>
    <row r="1314">
      <c r="A1314">
        <f>HYPERLINK("http://bombeiros.sp.gov.br/hidrantes/03individual/1963.html","1963")</f>
      </c>
      <c r="B1314" t="s">
        <v>114</v>
      </c>
      <c r="C1314" t="s">
        <v>4749</v>
      </c>
      <c r="D1314" t="s">
        <v>4749</v>
      </c>
      <c r="E1314" t="s">
        <v>15</v>
      </c>
      <c r="F1314" t="s">
        <v>4800</v>
      </c>
      <c r="G1314" t="s">
        <v>18072</v>
      </c>
      <c r="H1314" t="s">
        <v>1112</v>
      </c>
      <c r="I1314" t="s">
        <v>1108</v>
      </c>
      <c r="J1314" t="s">
        <v>4801</v>
      </c>
      <c r="K1314" t="s">
        <v>4802</v>
      </c>
      <c r="L1314" t="s">
        <v>21</v>
      </c>
      <c r="M1314" t="s">
        <v>19177</v>
      </c>
      <c r="N1314" t="s">
        <v>272</v>
      </c>
      <c r="O1314" t="s">
        <v>272</v>
      </c>
      <c r="P1314" t="s">
        <v>114</v>
      </c>
    </row>
    <row r="1315">
      <c r="A1315">
        <f>HYPERLINK("http://bombeiros.sp.gov.br/hidrantes/03individual/1965.html","1965")</f>
      </c>
      <c r="B1315" t="s">
        <v>114</v>
      </c>
      <c r="C1315" t="s">
        <v>4749</v>
      </c>
      <c r="D1315" t="s">
        <v>4749</v>
      </c>
      <c r="E1315" t="s">
        <v>15</v>
      </c>
      <c r="F1315" t="s">
        <v>4803</v>
      </c>
      <c r="G1315" t="s">
        <v>18094</v>
      </c>
      <c r="H1315" t="s">
        <v>1174</v>
      </c>
      <c r="I1315" t="s">
        <v>1108</v>
      </c>
      <c r="J1315" t="s">
        <v>4804</v>
      </c>
      <c r="K1315" t="s">
        <v>4805</v>
      </c>
      <c r="L1315" t="s">
        <v>21</v>
      </c>
      <c r="M1315" t="s">
        <v>19177</v>
      </c>
      <c r="N1315" t="s">
        <v>272</v>
      </c>
      <c r="O1315" t="s">
        <v>272</v>
      </c>
      <c r="P1315" t="s">
        <v>114</v>
      </c>
    </row>
    <row r="1316">
      <c r="A1316">
        <f>HYPERLINK("http://bombeiros.sp.gov.br/hidrantes/03individual/4193.html","4193")</f>
      </c>
      <c r="B1316" t="s">
        <v>114</v>
      </c>
      <c r="C1316" t="s">
        <v>4749</v>
      </c>
      <c r="D1316" t="s">
        <v>4749</v>
      </c>
      <c r="E1316" t="s">
        <v>15</v>
      </c>
      <c r="F1316" t="s">
        <v>4806</v>
      </c>
      <c r="G1316" t="s">
        <v>18085</v>
      </c>
      <c r="H1316" t="s">
        <v>1107</v>
      </c>
      <c r="I1316" t="s">
        <v>1108</v>
      </c>
      <c r="J1316" t="s">
        <v>4807</v>
      </c>
      <c r="K1316" t="s">
        <v>4808</v>
      </c>
      <c r="L1316" t="s">
        <v>21</v>
      </c>
      <c r="M1316" t="s">
        <v>19177</v>
      </c>
      <c r="N1316" t="s">
        <v>272</v>
      </c>
      <c r="O1316" t="s">
        <v>272</v>
      </c>
      <c r="P1316" t="s">
        <v>114</v>
      </c>
    </row>
    <row r="1317">
      <c r="A1317">
        <f>HYPERLINK("http://bombeiros.sp.gov.br/hidrantes/03individual/4198.html","4198")</f>
      </c>
      <c r="B1317" t="s">
        <v>114</v>
      </c>
      <c r="C1317" t="s">
        <v>4749</v>
      </c>
      <c r="D1317" t="s">
        <v>4749</v>
      </c>
      <c r="E1317" t="s">
        <v>15</v>
      </c>
      <c r="F1317" t="s">
        <v>4809</v>
      </c>
      <c r="G1317" t="s">
        <v>18084</v>
      </c>
      <c r="H1317" t="s">
        <v>1121</v>
      </c>
      <c r="I1317" t="s">
        <v>1117</v>
      </c>
      <c r="J1317" t="s">
        <v>4810</v>
      </c>
      <c r="K1317" t="s">
        <v>4811</v>
      </c>
      <c r="L1317" t="s">
        <v>21</v>
      </c>
      <c r="M1317" t="s">
        <v>19177</v>
      </c>
      <c r="N1317" t="s">
        <v>272</v>
      </c>
      <c r="O1317" t="s">
        <v>272</v>
      </c>
      <c r="P1317" t="s">
        <v>114</v>
      </c>
    </row>
    <row r="1318">
      <c r="A1318">
        <f>HYPERLINK("http://bombeiros.sp.gov.br/hidrantes/03individual/4199.html","4199")</f>
      </c>
      <c r="B1318" t="s">
        <v>114</v>
      </c>
      <c r="C1318" t="s">
        <v>4749</v>
      </c>
      <c r="D1318" t="s">
        <v>4749</v>
      </c>
      <c r="E1318" t="s">
        <v>15</v>
      </c>
      <c r="F1318" t="s">
        <v>4812</v>
      </c>
      <c r="G1318" t="s">
        <v>18072</v>
      </c>
      <c r="H1318" t="s">
        <v>1107</v>
      </c>
      <c r="I1318" t="s">
        <v>1108</v>
      </c>
      <c r="J1318" t="s">
        <v>4813</v>
      </c>
      <c r="K1318" t="s">
        <v>4814</v>
      </c>
      <c r="L1318" t="s">
        <v>21</v>
      </c>
      <c r="M1318" t="s">
        <v>19177</v>
      </c>
      <c r="N1318" t="s">
        <v>272</v>
      </c>
      <c r="O1318" t="s">
        <v>272</v>
      </c>
      <c r="P1318" t="s">
        <v>114</v>
      </c>
    </row>
    <row r="1319">
      <c r="A1319">
        <f>HYPERLINK("http://bombeiros.sp.gov.br/hidrantes/03individual/4204.html","4204")</f>
      </c>
      <c r="B1319" t="s">
        <v>114</v>
      </c>
      <c r="C1319" t="s">
        <v>4749</v>
      </c>
      <c r="D1319" t="s">
        <v>4749</v>
      </c>
      <c r="E1319" t="s">
        <v>15</v>
      </c>
      <c r="F1319" t="s">
        <v>4815</v>
      </c>
      <c r="G1319" t="s">
        <v>18084</v>
      </c>
      <c r="H1319" t="s">
        <v>1121</v>
      </c>
      <c r="I1319" t="s">
        <v>1117</v>
      </c>
      <c r="J1319" t="s">
        <v>4816</v>
      </c>
      <c r="K1319" t="s">
        <v>4817</v>
      </c>
      <c r="L1319" t="s">
        <v>21</v>
      </c>
      <c r="M1319" t="s">
        <v>19177</v>
      </c>
      <c r="N1319" t="s">
        <v>272</v>
      </c>
      <c r="O1319" t="s">
        <v>272</v>
      </c>
      <c r="P1319" t="s">
        <v>114</v>
      </c>
    </row>
    <row r="1320">
      <c r="A1320">
        <f>HYPERLINK("http://bombeiros.sp.gov.br/hidrantes/03individual/4322.html","4322")</f>
      </c>
      <c r="B1320" t="s">
        <v>114</v>
      </c>
      <c r="C1320" t="s">
        <v>4749</v>
      </c>
      <c r="D1320" t="s">
        <v>4749</v>
      </c>
      <c r="E1320" t="s">
        <v>15</v>
      </c>
      <c r="F1320" t="s">
        <v>4818</v>
      </c>
      <c r="G1320" t="s">
        <v>18084</v>
      </c>
      <c r="H1320" t="s">
        <v>1121</v>
      </c>
      <c r="I1320" t="s">
        <v>1117</v>
      </c>
      <c r="J1320" t="s">
        <v>4819</v>
      </c>
      <c r="K1320" t="s">
        <v>4820</v>
      </c>
      <c r="L1320" t="s">
        <v>21</v>
      </c>
      <c r="M1320" t="s">
        <v>19177</v>
      </c>
      <c r="N1320" t="s">
        <v>272</v>
      </c>
      <c r="O1320" t="s">
        <v>272</v>
      </c>
      <c r="P1320" t="s">
        <v>114</v>
      </c>
    </row>
    <row r="1321">
      <c r="A1321">
        <f>HYPERLINK("http://bombeiros.sp.gov.br/hidrantes/03individual/17790.html","17790")</f>
      </c>
      <c r="B1321" t="s">
        <v>114</v>
      </c>
      <c r="C1321" t="s">
        <v>4749</v>
      </c>
      <c r="D1321" t="s">
        <v>4749</v>
      </c>
      <c r="E1321" t="s">
        <v>15</v>
      </c>
      <c r="F1321" t="s">
        <v>4821</v>
      </c>
      <c r="G1321" t="s">
        <v>18105</v>
      </c>
      <c r="H1321" t="s">
        <v>1107</v>
      </c>
      <c r="I1321" t="s">
        <v>1108</v>
      </c>
      <c r="J1321" t="s">
        <v>4822</v>
      </c>
      <c r="K1321" t="s">
        <v>4823</v>
      </c>
      <c r="L1321" t="s">
        <v>21</v>
      </c>
      <c r="M1321" t="s">
        <v>19177</v>
      </c>
      <c r="N1321" t="s">
        <v>272</v>
      </c>
      <c r="O1321" t="s">
        <v>272</v>
      </c>
      <c r="P1321" t="s">
        <v>114</v>
      </c>
    </row>
    <row r="1322">
      <c r="A1322">
        <f>HYPERLINK("http://bombeiros.sp.gov.br/hidrantes/03individual/28028.html","28028")</f>
      </c>
      <c r="B1322" t="s">
        <v>114</v>
      </c>
      <c r="C1322" t="s">
        <v>4749</v>
      </c>
      <c r="D1322" t="s">
        <v>4749</v>
      </c>
      <c r="E1322" t="s">
        <v>15</v>
      </c>
      <c r="F1322" t="s">
        <v>18233</v>
      </c>
      <c r="G1322" t="s">
        <v>18094</v>
      </c>
      <c r="H1322"/>
      <c r="I1322" t="s">
        <v>18</v>
      </c>
      <c r="J1322" t="s">
        <v>18234</v>
      </c>
      <c r="K1322" t="s">
        <v>18235</v>
      </c>
      <c r="L1322" t="s">
        <v>21</v>
      </c>
      <c r="M1322" t="s">
        <v>19177</v>
      </c>
      <c r="N1322" t="s">
        <v>272</v>
      </c>
      <c r="O1322" t="s">
        <v>272</v>
      </c>
      <c r="P1322" t="s">
        <v>114</v>
      </c>
    </row>
    <row r="1323">
      <c r="A1323">
        <f>HYPERLINK("http://bombeiros.sp.gov.br/hidrantes/03individual/26959.html","26959")</f>
      </c>
      <c r="B1323" t="s">
        <v>114</v>
      </c>
      <c r="C1323" t="s">
        <v>4824</v>
      </c>
      <c r="D1323" t="s">
        <v>261</v>
      </c>
      <c r="E1323" t="s">
        <v>64</v>
      </c>
      <c r="F1323" t="s">
        <v>16473</v>
      </c>
      <c r="G1323" t="s">
        <v>18547</v>
      </c>
      <c r="H1323" t="s">
        <v>1112</v>
      </c>
      <c r="I1323" t="s">
        <v>1108</v>
      </c>
      <c r="J1323" t="s">
        <v>16474</v>
      </c>
      <c r="K1323" t="s">
        <v>16475</v>
      </c>
      <c r="L1323" t="s">
        <v>21</v>
      </c>
      <c r="M1323" t="s">
        <v>19177</v>
      </c>
      <c r="N1323" t="s">
        <v>6029</v>
      </c>
      <c r="O1323" t="s">
        <v>6029</v>
      </c>
      <c r="P1323" t="s">
        <v>114</v>
      </c>
    </row>
    <row r="1324">
      <c r="A1324">
        <f>HYPERLINK("http://bombeiros.sp.gov.br/hidrantes/03individual/3399.html","3399")</f>
      </c>
      <c r="B1324" t="s">
        <v>114</v>
      </c>
      <c r="C1324" t="s">
        <v>4824</v>
      </c>
      <c r="D1324" t="s">
        <v>4824</v>
      </c>
      <c r="E1324" t="s">
        <v>64</v>
      </c>
      <c r="F1324" t="s">
        <v>4825</v>
      </c>
      <c r="G1324" t="s">
        <v>18092</v>
      </c>
      <c r="H1324" t="s">
        <v>1107</v>
      </c>
      <c r="I1324" t="s">
        <v>1108</v>
      </c>
      <c r="J1324" t="s">
        <v>4826</v>
      </c>
      <c r="K1324" t="s">
        <v>4827</v>
      </c>
      <c r="L1324" t="s">
        <v>21</v>
      </c>
      <c r="M1324" t="s">
        <v>19177</v>
      </c>
      <c r="N1324" t="s">
        <v>272</v>
      </c>
      <c r="O1324" t="s">
        <v>272</v>
      </c>
      <c r="P1324" t="s">
        <v>114</v>
      </c>
    </row>
    <row r="1325">
      <c r="A1325">
        <f>HYPERLINK("http://bombeiros.sp.gov.br/hidrantes/03individual/3408.html","3408")</f>
      </c>
      <c r="B1325" t="s">
        <v>114</v>
      </c>
      <c r="C1325" t="s">
        <v>4824</v>
      </c>
      <c r="D1325" t="s">
        <v>4824</v>
      </c>
      <c r="E1325" t="s">
        <v>64</v>
      </c>
      <c r="F1325" t="s">
        <v>4828</v>
      </c>
      <c r="G1325" t="s">
        <v>18092</v>
      </c>
      <c r="H1325" t="s">
        <v>1112</v>
      </c>
      <c r="I1325" t="s">
        <v>1108</v>
      </c>
      <c r="J1325" t="s">
        <v>4829</v>
      </c>
      <c r="K1325" t="s">
        <v>4830</v>
      </c>
      <c r="L1325" t="s">
        <v>21</v>
      </c>
      <c r="M1325" t="s">
        <v>19177</v>
      </c>
      <c r="N1325" t="s">
        <v>272</v>
      </c>
      <c r="O1325" t="s">
        <v>272</v>
      </c>
      <c r="P1325" t="s">
        <v>114</v>
      </c>
    </row>
    <row r="1326">
      <c r="A1326">
        <f>HYPERLINK("http://bombeiros.sp.gov.br/hidrantes/03individual/3415.html","3415")</f>
      </c>
      <c r="B1326" t="s">
        <v>114</v>
      </c>
      <c r="C1326" t="s">
        <v>4824</v>
      </c>
      <c r="D1326" t="s">
        <v>4824</v>
      </c>
      <c r="E1326" t="s">
        <v>64</v>
      </c>
      <c r="F1326" t="s">
        <v>4831</v>
      </c>
      <c r="G1326" t="s">
        <v>18099</v>
      </c>
      <c r="H1326" t="s">
        <v>1121</v>
      </c>
      <c r="I1326" t="s">
        <v>1117</v>
      </c>
      <c r="J1326" t="s">
        <v>4832</v>
      </c>
      <c r="K1326" t="s">
        <v>4833</v>
      </c>
      <c r="L1326" t="s">
        <v>21</v>
      </c>
      <c r="M1326" t="s">
        <v>19177</v>
      </c>
      <c r="N1326" t="s">
        <v>272</v>
      </c>
      <c r="O1326" t="s">
        <v>272</v>
      </c>
      <c r="P1326" t="s">
        <v>114</v>
      </c>
    </row>
    <row r="1327">
      <c r="A1327">
        <f>HYPERLINK("http://bombeiros.sp.gov.br/hidrantes/03individual/4327.html","4327")</f>
      </c>
      <c r="B1327" t="s">
        <v>114</v>
      </c>
      <c r="C1327" t="s">
        <v>4824</v>
      </c>
      <c r="D1327" t="s">
        <v>4824</v>
      </c>
      <c r="E1327" t="s">
        <v>64</v>
      </c>
      <c r="F1327" t="s">
        <v>4834</v>
      </c>
      <c r="G1327" t="s">
        <v>18099</v>
      </c>
      <c r="H1327" t="s">
        <v>1112</v>
      </c>
      <c r="I1327" t="s">
        <v>1108</v>
      </c>
      <c r="J1327" t="s">
        <v>4835</v>
      </c>
      <c r="K1327" t="s">
        <v>4836</v>
      </c>
      <c r="L1327" t="s">
        <v>36</v>
      </c>
      <c r="M1327" t="s">
        <v>19177</v>
      </c>
      <c r="N1327" t="s">
        <v>272</v>
      </c>
      <c r="O1327" t="s">
        <v>272</v>
      </c>
      <c r="P1327" t="s">
        <v>114</v>
      </c>
    </row>
    <row r="1328">
      <c r="A1328">
        <f>HYPERLINK("http://bombeiros.sp.gov.br/hidrantes/03individual/15082.html","15082")</f>
      </c>
      <c r="B1328" t="s">
        <v>114</v>
      </c>
      <c r="C1328" t="s">
        <v>4824</v>
      </c>
      <c r="D1328" t="s">
        <v>4824</v>
      </c>
      <c r="E1328" t="s">
        <v>64</v>
      </c>
      <c r="F1328" t="s">
        <v>4837</v>
      </c>
      <c r="G1328" t="s">
        <v>18099</v>
      </c>
      <c r="H1328" t="s">
        <v>1121</v>
      </c>
      <c r="I1328" t="s">
        <v>1117</v>
      </c>
      <c r="J1328" t="s">
        <v>4838</v>
      </c>
      <c r="K1328" t="s">
        <v>4839</v>
      </c>
      <c r="L1328" t="s">
        <v>21</v>
      </c>
      <c r="M1328" t="s">
        <v>19177</v>
      </c>
      <c r="N1328" t="s">
        <v>272</v>
      </c>
      <c r="O1328" t="s">
        <v>272</v>
      </c>
      <c r="P1328" t="s">
        <v>114</v>
      </c>
    </row>
    <row r="1329">
      <c r="A1329">
        <f>HYPERLINK("http://bombeiros.sp.gov.br/hidrantes/03individual/17875.html","17875")</f>
      </c>
      <c r="B1329" t="s">
        <v>114</v>
      </c>
      <c r="C1329" t="s">
        <v>4824</v>
      </c>
      <c r="D1329" t="s">
        <v>4824</v>
      </c>
      <c r="E1329" t="s">
        <v>64</v>
      </c>
      <c r="F1329" t="s">
        <v>4840</v>
      </c>
      <c r="G1329" t="s">
        <v>18092</v>
      </c>
      <c r="H1329" t="s">
        <v>1174</v>
      </c>
      <c r="I1329" t="s">
        <v>1108</v>
      </c>
      <c r="J1329" t="s">
        <v>4841</v>
      </c>
      <c r="K1329" t="s">
        <v>4842</v>
      </c>
      <c r="L1329" t="s">
        <v>21</v>
      </c>
      <c r="M1329" t="s">
        <v>19177</v>
      </c>
      <c r="N1329" t="s">
        <v>272</v>
      </c>
      <c r="O1329" t="s">
        <v>272</v>
      </c>
      <c r="P1329" t="s">
        <v>114</v>
      </c>
    </row>
    <row r="1330">
      <c r="A1330">
        <f>HYPERLINK("http://bombeiros.sp.gov.br/hidrantes/03individual/2037.html","2037")</f>
      </c>
      <c r="B1330" t="s">
        <v>114</v>
      </c>
      <c r="C1330" t="s">
        <v>4824</v>
      </c>
      <c r="D1330" t="s">
        <v>4824</v>
      </c>
      <c r="E1330" t="s">
        <v>15</v>
      </c>
      <c r="F1330" t="s">
        <v>4843</v>
      </c>
      <c r="G1330" t="s">
        <v>18066</v>
      </c>
      <c r="H1330" t="s">
        <v>1174</v>
      </c>
      <c r="I1330" t="s">
        <v>1108</v>
      </c>
      <c r="J1330" t="s">
        <v>4844</v>
      </c>
      <c r="K1330" t="s">
        <v>4845</v>
      </c>
      <c r="L1330" t="s">
        <v>21</v>
      </c>
      <c r="M1330" t="s">
        <v>19177</v>
      </c>
      <c r="N1330" t="s">
        <v>272</v>
      </c>
      <c r="O1330" t="s">
        <v>272</v>
      </c>
      <c r="P1330" t="s">
        <v>114</v>
      </c>
    </row>
    <row r="1331">
      <c r="A1331">
        <f>HYPERLINK("http://bombeiros.sp.gov.br/hidrantes/03individual/3450.html","3450")</f>
      </c>
      <c r="B1331" t="s">
        <v>114</v>
      </c>
      <c r="C1331" t="s">
        <v>4824</v>
      </c>
      <c r="D1331" t="s">
        <v>4824</v>
      </c>
      <c r="E1331" t="s">
        <v>15</v>
      </c>
      <c r="F1331" t="s">
        <v>4846</v>
      </c>
      <c r="G1331" t="s">
        <v>18092</v>
      </c>
      <c r="H1331" t="s">
        <v>1174</v>
      </c>
      <c r="I1331" t="s">
        <v>1108</v>
      </c>
      <c r="J1331" t="s">
        <v>4847</v>
      </c>
      <c r="K1331" t="s">
        <v>4848</v>
      </c>
      <c r="L1331" t="s">
        <v>21</v>
      </c>
      <c r="M1331" t="s">
        <v>19177</v>
      </c>
      <c r="N1331" t="s">
        <v>272</v>
      </c>
      <c r="O1331" t="s">
        <v>272</v>
      </c>
      <c r="P1331" t="s">
        <v>114</v>
      </c>
    </row>
    <row r="1332">
      <c r="A1332">
        <f>HYPERLINK("http://bombeiros.sp.gov.br/hidrantes/03individual/4328.html","4328")</f>
      </c>
      <c r="B1332" t="s">
        <v>114</v>
      </c>
      <c r="C1332" t="s">
        <v>4824</v>
      </c>
      <c r="D1332" t="s">
        <v>4824</v>
      </c>
      <c r="E1332" t="s">
        <v>15</v>
      </c>
      <c r="F1332" t="s">
        <v>4849</v>
      </c>
      <c r="G1332" t="s">
        <v>18092</v>
      </c>
      <c r="H1332" t="s">
        <v>1121</v>
      </c>
      <c r="I1332" t="s">
        <v>1117</v>
      </c>
      <c r="J1332" t="s">
        <v>4850</v>
      </c>
      <c r="K1332" t="s">
        <v>4851</v>
      </c>
      <c r="L1332" t="s">
        <v>21</v>
      </c>
      <c r="M1332" t="s">
        <v>19177</v>
      </c>
      <c r="N1332" t="s">
        <v>272</v>
      </c>
      <c r="O1332" t="s">
        <v>272</v>
      </c>
      <c r="P1332" t="s">
        <v>114</v>
      </c>
    </row>
    <row r="1333">
      <c r="A1333">
        <f>HYPERLINK("http://bombeiros.sp.gov.br/hidrantes/03individual/1591.html","1591")</f>
      </c>
      <c r="B1333" t="s">
        <v>114</v>
      </c>
      <c r="C1333" t="s">
        <v>300</v>
      </c>
      <c r="D1333" t="s">
        <v>4852</v>
      </c>
      <c r="E1333" t="s">
        <v>64</v>
      </c>
      <c r="F1333" t="s">
        <v>4853</v>
      </c>
      <c r="G1333" t="s">
        <v>18090</v>
      </c>
      <c r="H1333" t="s">
        <v>1107</v>
      </c>
      <c r="I1333" t="s">
        <v>1108</v>
      </c>
      <c r="J1333" t="s">
        <v>4854</v>
      </c>
      <c r="K1333" t="s">
        <v>4855</v>
      </c>
      <c r="L1333" t="s">
        <v>21</v>
      </c>
      <c r="M1333" t="s">
        <v>19177</v>
      </c>
      <c r="N1333" t="s">
        <v>300</v>
      </c>
      <c r="O1333" t="s">
        <v>16373</v>
      </c>
      <c r="P1333" t="s">
        <v>12</v>
      </c>
    </row>
    <row r="1334">
      <c r="A1334">
        <f>HYPERLINK("http://bombeiros.sp.gov.br/hidrantes/03individual/1629.html","1629")</f>
      </c>
      <c r="B1334" t="s">
        <v>114</v>
      </c>
      <c r="C1334" t="s">
        <v>300</v>
      </c>
      <c r="D1334" t="s">
        <v>4852</v>
      </c>
      <c r="E1334" t="s">
        <v>64</v>
      </c>
      <c r="F1334" t="s">
        <v>4856</v>
      </c>
      <c r="G1334" t="s">
        <v>18090</v>
      </c>
      <c r="H1334" t="s">
        <v>1112</v>
      </c>
      <c r="I1334" t="s">
        <v>1108</v>
      </c>
      <c r="J1334" t="s">
        <v>4857</v>
      </c>
      <c r="K1334" t="s">
        <v>4858</v>
      </c>
      <c r="L1334" t="s">
        <v>21</v>
      </c>
      <c r="M1334" t="s">
        <v>19177</v>
      </c>
      <c r="N1334" t="s">
        <v>300</v>
      </c>
      <c r="O1334" t="s">
        <v>16373</v>
      </c>
      <c r="P1334" t="s">
        <v>12</v>
      </c>
    </row>
    <row r="1335">
      <c r="A1335">
        <f>HYPERLINK("http://bombeiros.sp.gov.br/hidrantes/03individual/3189.html","3189")</f>
      </c>
      <c r="B1335" t="s">
        <v>114</v>
      </c>
      <c r="C1335" t="s">
        <v>300</v>
      </c>
      <c r="D1335" t="s">
        <v>4852</v>
      </c>
      <c r="E1335" t="s">
        <v>64</v>
      </c>
      <c r="F1335" t="s">
        <v>4859</v>
      </c>
      <c r="G1335" t="s">
        <v>18133</v>
      </c>
      <c r="H1335" t="s">
        <v>1112</v>
      </c>
      <c r="I1335" t="s">
        <v>1108</v>
      </c>
      <c r="J1335" t="s">
        <v>4860</v>
      </c>
      <c r="K1335" t="s">
        <v>4861</v>
      </c>
      <c r="L1335" t="s">
        <v>36</v>
      </c>
      <c r="M1335" t="s">
        <v>19177</v>
      </c>
      <c r="N1335" t="s">
        <v>300</v>
      </c>
      <c r="O1335" t="s">
        <v>16373</v>
      </c>
      <c r="P1335" t="s">
        <v>12</v>
      </c>
    </row>
    <row r="1336">
      <c r="A1336">
        <f>HYPERLINK("http://bombeiros.sp.gov.br/hidrantes/03individual/3195.html","3195")</f>
      </c>
      <c r="B1336" t="s">
        <v>114</v>
      </c>
      <c r="C1336" t="s">
        <v>300</v>
      </c>
      <c r="D1336" t="s">
        <v>4852</v>
      </c>
      <c r="E1336" t="s">
        <v>64</v>
      </c>
      <c r="F1336" t="s">
        <v>4862</v>
      </c>
      <c r="G1336" t="s">
        <v>18066</v>
      </c>
      <c r="H1336" t="s">
        <v>1112</v>
      </c>
      <c r="I1336" t="s">
        <v>1108</v>
      </c>
      <c r="J1336" t="s">
        <v>4863</v>
      </c>
      <c r="K1336" t="s">
        <v>4864</v>
      </c>
      <c r="L1336" t="s">
        <v>36</v>
      </c>
      <c r="M1336" t="s">
        <v>19177</v>
      </c>
      <c r="N1336" t="s">
        <v>300</v>
      </c>
      <c r="O1336" t="s">
        <v>16373</v>
      </c>
      <c r="P1336" t="s">
        <v>12</v>
      </c>
    </row>
    <row r="1337">
      <c r="A1337">
        <f>HYPERLINK("http://bombeiros.sp.gov.br/hidrantes/03individual/1462.html","1462")</f>
      </c>
      <c r="B1337" t="s">
        <v>114</v>
      </c>
      <c r="C1337" t="s">
        <v>300</v>
      </c>
      <c r="D1337" t="s">
        <v>4852</v>
      </c>
      <c r="E1337" t="s">
        <v>15</v>
      </c>
      <c r="F1337" t="s">
        <v>4865</v>
      </c>
      <c r="G1337" t="s">
        <v>18133</v>
      </c>
      <c r="H1337" t="s">
        <v>1107</v>
      </c>
      <c r="I1337" t="s">
        <v>1108</v>
      </c>
      <c r="J1337" t="s">
        <v>4866</v>
      </c>
      <c r="K1337" t="s">
        <v>4867</v>
      </c>
      <c r="L1337" t="s">
        <v>21</v>
      </c>
      <c r="M1337" t="s">
        <v>19177</v>
      </c>
      <c r="N1337" t="s">
        <v>300</v>
      </c>
      <c r="O1337" t="s">
        <v>16373</v>
      </c>
      <c r="P1337" t="s">
        <v>12</v>
      </c>
    </row>
    <row r="1338">
      <c r="A1338">
        <f>HYPERLINK("http://bombeiros.sp.gov.br/hidrantes/03individual/1464.html","1464")</f>
      </c>
      <c r="B1338" t="s">
        <v>114</v>
      </c>
      <c r="C1338" t="s">
        <v>300</v>
      </c>
      <c r="D1338" t="s">
        <v>4852</v>
      </c>
      <c r="E1338" t="s">
        <v>15</v>
      </c>
      <c r="F1338" t="s">
        <v>4868</v>
      </c>
      <c r="G1338" t="s">
        <v>18090</v>
      </c>
      <c r="H1338" t="s">
        <v>1112</v>
      </c>
      <c r="I1338" t="s">
        <v>1108</v>
      </c>
      <c r="J1338" t="s">
        <v>4869</v>
      </c>
      <c r="K1338" t="s">
        <v>4870</v>
      </c>
      <c r="L1338" t="s">
        <v>21</v>
      </c>
      <c r="M1338" t="s">
        <v>19177</v>
      </c>
      <c r="N1338" t="s">
        <v>300</v>
      </c>
      <c r="O1338" t="s">
        <v>16373</v>
      </c>
      <c r="P1338" t="s">
        <v>12</v>
      </c>
    </row>
    <row r="1339">
      <c r="A1339">
        <f>HYPERLINK("http://bombeiros.sp.gov.br/hidrantes/03individual/3172.html","3172")</f>
      </c>
      <c r="B1339" t="s">
        <v>114</v>
      </c>
      <c r="C1339" t="s">
        <v>300</v>
      </c>
      <c r="D1339" t="s">
        <v>4852</v>
      </c>
      <c r="E1339" t="s">
        <v>15</v>
      </c>
      <c r="F1339" t="s">
        <v>4871</v>
      </c>
      <c r="G1339" t="s">
        <v>18046</v>
      </c>
      <c r="H1339" t="s">
        <v>1174</v>
      </c>
      <c r="I1339" t="s">
        <v>1117</v>
      </c>
      <c r="J1339" t="s">
        <v>4872</v>
      </c>
      <c r="K1339" t="s">
        <v>4873</v>
      </c>
      <c r="L1339" t="s">
        <v>21</v>
      </c>
      <c r="M1339" t="s">
        <v>19177</v>
      </c>
      <c r="N1339" t="s">
        <v>300</v>
      </c>
      <c r="O1339" t="s">
        <v>16373</v>
      </c>
      <c r="P1339" t="s">
        <v>12</v>
      </c>
    </row>
    <row r="1340">
      <c r="A1340">
        <f>HYPERLINK("http://bombeiros.sp.gov.br/hidrantes/03individual/3178.html","3178")</f>
      </c>
      <c r="B1340" t="s">
        <v>114</v>
      </c>
      <c r="C1340" t="s">
        <v>300</v>
      </c>
      <c r="D1340" t="s">
        <v>4852</v>
      </c>
      <c r="E1340" t="s">
        <v>15</v>
      </c>
      <c r="F1340" t="s">
        <v>4874</v>
      </c>
      <c r="G1340" t="s">
        <v>18066</v>
      </c>
      <c r="H1340" t="s">
        <v>1112</v>
      </c>
      <c r="I1340" t="s">
        <v>1108</v>
      </c>
      <c r="J1340" t="s">
        <v>4875</v>
      </c>
      <c r="K1340" t="s">
        <v>4876</v>
      </c>
      <c r="L1340" t="s">
        <v>21</v>
      </c>
      <c r="M1340" t="s">
        <v>19177</v>
      </c>
      <c r="N1340" t="s">
        <v>300</v>
      </c>
      <c r="O1340" t="s">
        <v>16373</v>
      </c>
      <c r="P1340" t="s">
        <v>12</v>
      </c>
    </row>
    <row r="1341">
      <c r="A1341">
        <f>HYPERLINK("http://bombeiros.sp.gov.br/hidrantes/03individual/3185.html","3185")</f>
      </c>
      <c r="B1341" t="s">
        <v>114</v>
      </c>
      <c r="C1341" t="s">
        <v>300</v>
      </c>
      <c r="D1341" t="s">
        <v>4852</v>
      </c>
      <c r="E1341" t="s">
        <v>15</v>
      </c>
      <c r="F1341" t="s">
        <v>4877</v>
      </c>
      <c r="G1341" t="s">
        <v>18066</v>
      </c>
      <c r="H1341" t="s">
        <v>1107</v>
      </c>
      <c r="I1341" t="s">
        <v>1108</v>
      </c>
      <c r="J1341" t="s">
        <v>4878</v>
      </c>
      <c r="K1341" t="s">
        <v>4879</v>
      </c>
      <c r="L1341" t="s">
        <v>21</v>
      </c>
      <c r="M1341" t="s">
        <v>19177</v>
      </c>
      <c r="N1341" t="s">
        <v>300</v>
      </c>
      <c r="O1341" t="s">
        <v>16373</v>
      </c>
      <c r="P1341" t="s">
        <v>12</v>
      </c>
    </row>
    <row r="1342">
      <c r="A1342">
        <f>HYPERLINK("http://bombeiros.sp.gov.br/hidrantes/03individual/3191.html","3191")</f>
      </c>
      <c r="B1342" t="s">
        <v>114</v>
      </c>
      <c r="C1342" t="s">
        <v>300</v>
      </c>
      <c r="D1342" t="s">
        <v>4852</v>
      </c>
      <c r="E1342" t="s">
        <v>15</v>
      </c>
      <c r="F1342" t="s">
        <v>4880</v>
      </c>
      <c r="G1342" t="s">
        <v>18066</v>
      </c>
      <c r="H1342" t="s">
        <v>1112</v>
      </c>
      <c r="I1342" t="s">
        <v>1108</v>
      </c>
      <c r="J1342" t="s">
        <v>4881</v>
      </c>
      <c r="K1342" t="s">
        <v>4882</v>
      </c>
      <c r="L1342" t="s">
        <v>21</v>
      </c>
      <c r="M1342" t="s">
        <v>19177</v>
      </c>
      <c r="N1342" t="s">
        <v>300</v>
      </c>
      <c r="O1342" t="s">
        <v>16373</v>
      </c>
      <c r="P1342" t="s">
        <v>12</v>
      </c>
    </row>
    <row r="1343">
      <c r="A1343">
        <f>HYPERLINK("http://bombeiros.sp.gov.br/hidrantes/03individual/3192.html","3192")</f>
      </c>
      <c r="B1343" t="s">
        <v>114</v>
      </c>
      <c r="C1343" t="s">
        <v>300</v>
      </c>
      <c r="D1343" t="s">
        <v>4852</v>
      </c>
      <c r="E1343" t="s">
        <v>15</v>
      </c>
      <c r="F1343" t="s">
        <v>4883</v>
      </c>
      <c r="G1343" t="s">
        <v>18066</v>
      </c>
      <c r="H1343" t="s">
        <v>1112</v>
      </c>
      <c r="I1343" t="s">
        <v>1108</v>
      </c>
      <c r="J1343" t="s">
        <v>4884</v>
      </c>
      <c r="K1343" t="s">
        <v>4885</v>
      </c>
      <c r="L1343" t="s">
        <v>21</v>
      </c>
      <c r="M1343" t="s">
        <v>19177</v>
      </c>
      <c r="N1343" t="s">
        <v>300</v>
      </c>
      <c r="O1343" t="s">
        <v>16373</v>
      </c>
      <c r="P1343" t="s">
        <v>12</v>
      </c>
    </row>
    <row r="1344">
      <c r="A1344">
        <f>HYPERLINK("http://bombeiros.sp.gov.br/hidrantes/03individual/3204.html","3204")</f>
      </c>
      <c r="B1344" t="s">
        <v>114</v>
      </c>
      <c r="C1344" t="s">
        <v>300</v>
      </c>
      <c r="D1344" t="s">
        <v>4852</v>
      </c>
      <c r="E1344" t="s">
        <v>15</v>
      </c>
      <c r="F1344" t="s">
        <v>4886</v>
      </c>
      <c r="G1344" t="s">
        <v>18046</v>
      </c>
      <c r="H1344" t="s">
        <v>1112</v>
      </c>
      <c r="I1344" t="s">
        <v>1108</v>
      </c>
      <c r="J1344" t="s">
        <v>4887</v>
      </c>
      <c r="K1344" t="s">
        <v>4888</v>
      </c>
      <c r="L1344" t="s">
        <v>21</v>
      </c>
      <c r="M1344" t="s">
        <v>19177</v>
      </c>
      <c r="N1344" t="s">
        <v>300</v>
      </c>
      <c r="O1344" t="s">
        <v>16373</v>
      </c>
      <c r="P1344" t="s">
        <v>12</v>
      </c>
    </row>
    <row r="1345">
      <c r="A1345">
        <f>HYPERLINK("http://bombeiros.sp.gov.br/hidrantes/03individual/3598.html","3598")</f>
      </c>
      <c r="B1345" t="s">
        <v>114</v>
      </c>
      <c r="C1345" t="s">
        <v>300</v>
      </c>
      <c r="D1345" t="s">
        <v>4852</v>
      </c>
      <c r="E1345" t="s">
        <v>15</v>
      </c>
      <c r="F1345" t="s">
        <v>4889</v>
      </c>
      <c r="G1345" t="s">
        <v>18066</v>
      </c>
      <c r="H1345" t="s">
        <v>1112</v>
      </c>
      <c r="I1345" t="s">
        <v>1108</v>
      </c>
      <c r="J1345" t="s">
        <v>4890</v>
      </c>
      <c r="K1345" t="s">
        <v>4891</v>
      </c>
      <c r="L1345" t="s">
        <v>21</v>
      </c>
      <c r="M1345" t="s">
        <v>19177</v>
      </c>
      <c r="N1345" t="s">
        <v>300</v>
      </c>
      <c r="O1345" t="s">
        <v>16373</v>
      </c>
      <c r="P1345" t="s">
        <v>12</v>
      </c>
    </row>
    <row r="1346">
      <c r="A1346">
        <f>HYPERLINK("http://bombeiros.sp.gov.br/hidrantes/03individual/1509.html","1509")</f>
      </c>
      <c r="B1346" t="s">
        <v>114</v>
      </c>
      <c r="C1346" t="s">
        <v>300</v>
      </c>
      <c r="D1346" t="s">
        <v>300</v>
      </c>
      <c r="E1346" t="s">
        <v>64</v>
      </c>
      <c r="F1346" t="s">
        <v>4892</v>
      </c>
      <c r="G1346" t="s">
        <v>18089</v>
      </c>
      <c r="H1346" t="s">
        <v>1112</v>
      </c>
      <c r="I1346" t="s">
        <v>1108</v>
      </c>
      <c r="J1346" t="s">
        <v>4893</v>
      </c>
      <c r="K1346" t="s">
        <v>4894</v>
      </c>
      <c r="L1346" t="s">
        <v>36</v>
      </c>
      <c r="M1346" t="s">
        <v>19177</v>
      </c>
      <c r="N1346" t="s">
        <v>300</v>
      </c>
      <c r="O1346" t="s">
        <v>16373</v>
      </c>
      <c r="P1346" t="s">
        <v>12</v>
      </c>
    </row>
    <row r="1347">
      <c r="A1347">
        <f>HYPERLINK("http://bombeiros.sp.gov.br/hidrantes/03individual/1530.html","1530")</f>
      </c>
      <c r="B1347" t="s">
        <v>114</v>
      </c>
      <c r="C1347" t="s">
        <v>300</v>
      </c>
      <c r="D1347" t="s">
        <v>300</v>
      </c>
      <c r="E1347" t="s">
        <v>64</v>
      </c>
      <c r="F1347" t="s">
        <v>4895</v>
      </c>
      <c r="G1347" t="s">
        <v>18067</v>
      </c>
      <c r="H1347" t="s">
        <v>1112</v>
      </c>
      <c r="I1347" t="s">
        <v>1108</v>
      </c>
      <c r="J1347" t="s">
        <v>4896</v>
      </c>
      <c r="K1347" t="s">
        <v>4897</v>
      </c>
      <c r="L1347" t="s">
        <v>21</v>
      </c>
      <c r="M1347" t="s">
        <v>19177</v>
      </c>
      <c r="N1347" t="s">
        <v>300</v>
      </c>
      <c r="O1347" t="s">
        <v>16373</v>
      </c>
      <c r="P1347" t="s">
        <v>12</v>
      </c>
    </row>
    <row r="1348">
      <c r="A1348">
        <f>HYPERLINK("http://bombeiros.sp.gov.br/hidrantes/03individual/1954.html","1954")</f>
      </c>
      <c r="B1348" t="s">
        <v>114</v>
      </c>
      <c r="C1348" t="s">
        <v>300</v>
      </c>
      <c r="D1348" t="s">
        <v>300</v>
      </c>
      <c r="E1348" t="s">
        <v>64</v>
      </c>
      <c r="F1348" t="s">
        <v>4898</v>
      </c>
      <c r="G1348" t="s">
        <v>18098</v>
      </c>
      <c r="H1348" t="s">
        <v>1112</v>
      </c>
      <c r="I1348" t="s">
        <v>1108</v>
      </c>
      <c r="J1348" t="s">
        <v>4899</v>
      </c>
      <c r="K1348" t="s">
        <v>4900</v>
      </c>
      <c r="L1348" t="s">
        <v>21</v>
      </c>
      <c r="M1348" t="s">
        <v>19177</v>
      </c>
      <c r="N1348" t="s">
        <v>300</v>
      </c>
      <c r="O1348" t="s">
        <v>16373</v>
      </c>
      <c r="P1348" t="s">
        <v>12</v>
      </c>
    </row>
    <row r="1349">
      <c r="A1349">
        <f>HYPERLINK("http://bombeiros.sp.gov.br/hidrantes/03individual/3044.html","3044")</f>
      </c>
      <c r="B1349" t="s">
        <v>114</v>
      </c>
      <c r="C1349" t="s">
        <v>300</v>
      </c>
      <c r="D1349" t="s">
        <v>300</v>
      </c>
      <c r="E1349" t="s">
        <v>64</v>
      </c>
      <c r="F1349" t="s">
        <v>4901</v>
      </c>
      <c r="G1349" t="s">
        <v>18066</v>
      </c>
      <c r="H1349" t="s">
        <v>1112</v>
      </c>
      <c r="I1349" t="s">
        <v>1108</v>
      </c>
      <c r="J1349" t="s">
        <v>16509</v>
      </c>
      <c r="K1349" t="s">
        <v>16510</v>
      </c>
      <c r="L1349" t="s">
        <v>36</v>
      </c>
      <c r="M1349" t="s">
        <v>19177</v>
      </c>
      <c r="N1349" t="s">
        <v>300</v>
      </c>
      <c r="O1349" t="s">
        <v>16373</v>
      </c>
      <c r="P1349" t="s">
        <v>12</v>
      </c>
    </row>
    <row r="1350">
      <c r="A1350">
        <f>HYPERLINK("http://bombeiros.sp.gov.br/hidrantes/03individual/3125.html","3125")</f>
      </c>
      <c r="B1350" t="s">
        <v>114</v>
      </c>
      <c r="C1350" t="s">
        <v>300</v>
      </c>
      <c r="D1350" t="s">
        <v>300</v>
      </c>
      <c r="E1350" t="s">
        <v>64</v>
      </c>
      <c r="F1350" t="s">
        <v>4904</v>
      </c>
      <c r="G1350" t="s">
        <v>18133</v>
      </c>
      <c r="H1350" t="s">
        <v>1112</v>
      </c>
      <c r="I1350" t="s">
        <v>1108</v>
      </c>
      <c r="J1350" t="s">
        <v>16481</v>
      </c>
      <c r="K1350" t="s">
        <v>16482</v>
      </c>
      <c r="L1350" t="s">
        <v>21</v>
      </c>
      <c r="M1350" t="s">
        <v>19177</v>
      </c>
      <c r="N1350" t="s">
        <v>300</v>
      </c>
      <c r="O1350" t="s">
        <v>16373</v>
      </c>
      <c r="P1350" t="s">
        <v>12</v>
      </c>
    </row>
    <row r="1351">
      <c r="A1351">
        <f>HYPERLINK("http://bombeiros.sp.gov.br/hidrantes/03individual/3127.html","3127")</f>
      </c>
      <c r="B1351" t="s">
        <v>114</v>
      </c>
      <c r="C1351" t="s">
        <v>300</v>
      </c>
      <c r="D1351" t="s">
        <v>300</v>
      </c>
      <c r="E1351" t="s">
        <v>64</v>
      </c>
      <c r="F1351" t="s">
        <v>4907</v>
      </c>
      <c r="G1351" t="s">
        <v>18082</v>
      </c>
      <c r="H1351" t="s">
        <v>1112</v>
      </c>
      <c r="I1351" t="s">
        <v>1108</v>
      </c>
      <c r="J1351" t="s">
        <v>17745</v>
      </c>
      <c r="K1351" t="s">
        <v>17746</v>
      </c>
      <c r="L1351" t="s">
        <v>36</v>
      </c>
      <c r="M1351" t="s">
        <v>19177</v>
      </c>
      <c r="N1351" t="s">
        <v>300</v>
      </c>
      <c r="O1351" t="s">
        <v>16373</v>
      </c>
      <c r="P1351" t="s">
        <v>12</v>
      </c>
    </row>
    <row r="1352">
      <c r="A1352">
        <f>HYPERLINK("http://bombeiros.sp.gov.br/hidrantes/03individual/3201.html","3201")</f>
      </c>
      <c r="B1352" t="s">
        <v>114</v>
      </c>
      <c r="C1352" t="s">
        <v>300</v>
      </c>
      <c r="D1352" t="s">
        <v>300</v>
      </c>
      <c r="E1352" t="s">
        <v>64</v>
      </c>
      <c r="F1352" t="s">
        <v>4910</v>
      </c>
      <c r="G1352" t="s">
        <v>18133</v>
      </c>
      <c r="H1352" t="s">
        <v>1112</v>
      </c>
      <c r="I1352" t="s">
        <v>1108</v>
      </c>
      <c r="J1352" t="s">
        <v>4911</v>
      </c>
      <c r="K1352" t="s">
        <v>4912</v>
      </c>
      <c r="L1352" t="s">
        <v>21</v>
      </c>
      <c r="M1352" t="s">
        <v>19177</v>
      </c>
      <c r="N1352" t="s">
        <v>300</v>
      </c>
      <c r="O1352" t="s">
        <v>16373</v>
      </c>
      <c r="P1352" t="s">
        <v>12</v>
      </c>
    </row>
    <row r="1353">
      <c r="A1353">
        <f>HYPERLINK("http://bombeiros.sp.gov.br/hidrantes/03individual/5608.html","5608")</f>
      </c>
      <c r="B1353" t="s">
        <v>114</v>
      </c>
      <c r="C1353" t="s">
        <v>300</v>
      </c>
      <c r="D1353" t="s">
        <v>300</v>
      </c>
      <c r="E1353" t="s">
        <v>64</v>
      </c>
      <c r="F1353" t="s">
        <v>4913</v>
      </c>
      <c r="G1353" t="s">
        <v>18098</v>
      </c>
      <c r="H1353" t="s">
        <v>1112</v>
      </c>
      <c r="I1353" t="s">
        <v>1108</v>
      </c>
      <c r="J1353" t="s">
        <v>4914</v>
      </c>
      <c r="K1353" t="s">
        <v>4915</v>
      </c>
      <c r="L1353" t="s">
        <v>21</v>
      </c>
      <c r="M1353" t="s">
        <v>19177</v>
      </c>
      <c r="N1353" t="s">
        <v>300</v>
      </c>
      <c r="O1353" t="s">
        <v>16373</v>
      </c>
      <c r="P1353" t="s">
        <v>12</v>
      </c>
    </row>
    <row r="1354">
      <c r="A1354">
        <f>HYPERLINK("http://bombeiros.sp.gov.br/hidrantes/03individual/1466.html","1466")</f>
      </c>
      <c r="B1354" t="s">
        <v>114</v>
      </c>
      <c r="C1354" t="s">
        <v>300</v>
      </c>
      <c r="D1354" t="s">
        <v>300</v>
      </c>
      <c r="E1354" t="s">
        <v>15</v>
      </c>
      <c r="F1354" t="s">
        <v>4916</v>
      </c>
      <c r="G1354" t="s">
        <v>18078</v>
      </c>
      <c r="H1354"/>
      <c r="I1354" t="s">
        <v>18</v>
      </c>
      <c r="J1354" t="s">
        <v>4917</v>
      </c>
      <c r="K1354" t="s">
        <v>4918</v>
      </c>
      <c r="L1354" t="s">
        <v>21</v>
      </c>
      <c r="M1354" t="s">
        <v>19177</v>
      </c>
      <c r="N1354" t="s">
        <v>300</v>
      </c>
      <c r="O1354" t="s">
        <v>16373</v>
      </c>
      <c r="P1354" t="s">
        <v>12</v>
      </c>
    </row>
    <row r="1355">
      <c r="A1355">
        <f>HYPERLINK("http://bombeiros.sp.gov.br/hidrantes/03individual/1489.html","1489")</f>
      </c>
      <c r="B1355" t="s">
        <v>114</v>
      </c>
      <c r="C1355" t="s">
        <v>300</v>
      </c>
      <c r="D1355" t="s">
        <v>300</v>
      </c>
      <c r="E1355" t="s">
        <v>15</v>
      </c>
      <c r="F1355" t="s">
        <v>4919</v>
      </c>
      <c r="G1355" t="s">
        <v>18098</v>
      </c>
      <c r="H1355" t="s">
        <v>1107</v>
      </c>
      <c r="I1355" t="s">
        <v>1108</v>
      </c>
      <c r="J1355" t="s">
        <v>4920</v>
      </c>
      <c r="K1355" t="s">
        <v>4921</v>
      </c>
      <c r="L1355" t="s">
        <v>21</v>
      </c>
      <c r="M1355" t="s">
        <v>19177</v>
      </c>
      <c r="N1355" t="s">
        <v>300</v>
      </c>
      <c r="O1355" t="s">
        <v>16373</v>
      </c>
      <c r="P1355" t="s">
        <v>12</v>
      </c>
    </row>
    <row r="1356">
      <c r="A1356">
        <f>HYPERLINK("http://bombeiros.sp.gov.br/hidrantes/03individual/1504.html","1504")</f>
      </c>
      <c r="B1356" t="s">
        <v>114</v>
      </c>
      <c r="C1356" t="s">
        <v>300</v>
      </c>
      <c r="D1356" t="s">
        <v>300</v>
      </c>
      <c r="E1356" t="s">
        <v>15</v>
      </c>
      <c r="F1356" t="s">
        <v>301</v>
      </c>
      <c r="G1356" t="s">
        <v>18089</v>
      </c>
      <c r="H1356" t="s">
        <v>1112</v>
      </c>
      <c r="I1356" t="s">
        <v>1108</v>
      </c>
      <c r="J1356" t="s">
        <v>302</v>
      </c>
      <c r="K1356" t="s">
        <v>303</v>
      </c>
      <c r="L1356" t="s">
        <v>21</v>
      </c>
      <c r="M1356" t="s">
        <v>19177</v>
      </c>
      <c r="N1356" t="s">
        <v>300</v>
      </c>
      <c r="O1356" t="s">
        <v>16373</v>
      </c>
      <c r="P1356" t="s">
        <v>12</v>
      </c>
    </row>
    <row r="1357">
      <c r="A1357">
        <f>HYPERLINK("http://bombeiros.sp.gov.br/hidrantes/03individual/1507.html","1507")</f>
      </c>
      <c r="B1357" t="s">
        <v>114</v>
      </c>
      <c r="C1357" t="s">
        <v>300</v>
      </c>
      <c r="D1357" t="s">
        <v>300</v>
      </c>
      <c r="E1357" t="s">
        <v>15</v>
      </c>
      <c r="F1357" t="s">
        <v>4922</v>
      </c>
      <c r="G1357" t="s">
        <v>18089</v>
      </c>
      <c r="H1357" t="s">
        <v>1112</v>
      </c>
      <c r="I1357" t="s">
        <v>1108</v>
      </c>
      <c r="J1357" t="s">
        <v>4923</v>
      </c>
      <c r="K1357" t="s">
        <v>4924</v>
      </c>
      <c r="L1357" t="s">
        <v>21</v>
      </c>
      <c r="M1357" t="s">
        <v>19177</v>
      </c>
      <c r="N1357" t="s">
        <v>300</v>
      </c>
      <c r="O1357" t="s">
        <v>16373</v>
      </c>
      <c r="P1357" t="s">
        <v>12</v>
      </c>
    </row>
    <row r="1358">
      <c r="A1358">
        <f>HYPERLINK("http://bombeiros.sp.gov.br/hidrantes/03individual/1511.html","1511")</f>
      </c>
      <c r="B1358" t="s">
        <v>114</v>
      </c>
      <c r="C1358" t="s">
        <v>300</v>
      </c>
      <c r="D1358" t="s">
        <v>300</v>
      </c>
      <c r="E1358" t="s">
        <v>15</v>
      </c>
      <c r="F1358" t="s">
        <v>4925</v>
      </c>
      <c r="G1358" t="s">
        <v>18098</v>
      </c>
      <c r="H1358" t="s">
        <v>1112</v>
      </c>
      <c r="I1358" t="s">
        <v>1108</v>
      </c>
      <c r="J1358" t="s">
        <v>17413</v>
      </c>
      <c r="K1358" t="s">
        <v>18288</v>
      </c>
      <c r="L1358" t="s">
        <v>21</v>
      </c>
      <c r="M1358" t="s">
        <v>19177</v>
      </c>
      <c r="N1358" t="s">
        <v>300</v>
      </c>
      <c r="O1358" t="s">
        <v>16373</v>
      </c>
      <c r="P1358" t="s">
        <v>12</v>
      </c>
    </row>
    <row r="1359">
      <c r="A1359">
        <f>HYPERLINK("http://bombeiros.sp.gov.br/hidrantes/03individual/1515.html","1515")</f>
      </c>
      <c r="B1359" t="s">
        <v>114</v>
      </c>
      <c r="C1359" t="s">
        <v>300</v>
      </c>
      <c r="D1359" t="s">
        <v>300</v>
      </c>
      <c r="E1359" t="s">
        <v>15</v>
      </c>
      <c r="F1359" t="s">
        <v>4928</v>
      </c>
      <c r="G1359" t="s">
        <v>18098</v>
      </c>
      <c r="H1359" t="s">
        <v>1174</v>
      </c>
      <c r="I1359" t="s">
        <v>1117</v>
      </c>
      <c r="J1359" t="s">
        <v>4929</v>
      </c>
      <c r="K1359" t="s">
        <v>4930</v>
      </c>
      <c r="L1359" t="s">
        <v>21</v>
      </c>
      <c r="M1359" t="s">
        <v>19177</v>
      </c>
      <c r="N1359" t="s">
        <v>300</v>
      </c>
      <c r="O1359" t="s">
        <v>16373</v>
      </c>
      <c r="P1359" t="s">
        <v>12</v>
      </c>
    </row>
    <row r="1360">
      <c r="A1360">
        <f>HYPERLINK("http://bombeiros.sp.gov.br/hidrantes/03individual/1521.html","1521")</f>
      </c>
      <c r="B1360" t="s">
        <v>114</v>
      </c>
      <c r="C1360" t="s">
        <v>300</v>
      </c>
      <c r="D1360" t="s">
        <v>300</v>
      </c>
      <c r="E1360" t="s">
        <v>15</v>
      </c>
      <c r="F1360" t="s">
        <v>4931</v>
      </c>
      <c r="G1360" t="s">
        <v>18098</v>
      </c>
      <c r="H1360" t="s">
        <v>1174</v>
      </c>
      <c r="I1360" t="s">
        <v>1117</v>
      </c>
      <c r="J1360" t="s">
        <v>4932</v>
      </c>
      <c r="K1360" t="s">
        <v>4933</v>
      </c>
      <c r="L1360" t="s">
        <v>21</v>
      </c>
      <c r="M1360" t="s">
        <v>19177</v>
      </c>
      <c r="N1360" t="s">
        <v>300</v>
      </c>
      <c r="O1360" t="s">
        <v>16373</v>
      </c>
      <c r="P1360" t="s">
        <v>12</v>
      </c>
    </row>
    <row r="1361">
      <c r="A1361">
        <f>HYPERLINK("http://bombeiros.sp.gov.br/hidrantes/03individual/1589.html","1589")</f>
      </c>
      <c r="B1361" t="s">
        <v>114</v>
      </c>
      <c r="C1361" t="s">
        <v>300</v>
      </c>
      <c r="D1361" t="s">
        <v>300</v>
      </c>
      <c r="E1361" t="s">
        <v>15</v>
      </c>
      <c r="F1361" t="s">
        <v>4934</v>
      </c>
      <c r="G1361" t="s">
        <v>18082</v>
      </c>
      <c r="H1361" t="s">
        <v>1112</v>
      </c>
      <c r="I1361" t="s">
        <v>1108</v>
      </c>
      <c r="J1361" t="s">
        <v>4935</v>
      </c>
      <c r="K1361" t="s">
        <v>4936</v>
      </c>
      <c r="L1361" t="s">
        <v>21</v>
      </c>
      <c r="M1361" t="s">
        <v>19177</v>
      </c>
      <c r="N1361" t="s">
        <v>300</v>
      </c>
      <c r="O1361" t="s">
        <v>16373</v>
      </c>
      <c r="P1361" t="s">
        <v>12</v>
      </c>
    </row>
    <row r="1362">
      <c r="A1362">
        <f>HYPERLINK("http://bombeiros.sp.gov.br/hidrantes/03individual/1608.html","1608")</f>
      </c>
      <c r="B1362" t="s">
        <v>114</v>
      </c>
      <c r="C1362" t="s">
        <v>300</v>
      </c>
      <c r="D1362" t="s">
        <v>300</v>
      </c>
      <c r="E1362" t="s">
        <v>15</v>
      </c>
      <c r="F1362" t="s">
        <v>4937</v>
      </c>
      <c r="G1362" t="s">
        <v>18089</v>
      </c>
      <c r="H1362" t="s">
        <v>1107</v>
      </c>
      <c r="I1362" t="s">
        <v>1108</v>
      </c>
      <c r="J1362" t="s">
        <v>4938</v>
      </c>
      <c r="K1362" t="s">
        <v>4939</v>
      </c>
      <c r="L1362" t="s">
        <v>21</v>
      </c>
      <c r="M1362" t="s">
        <v>19177</v>
      </c>
      <c r="N1362" t="s">
        <v>300</v>
      </c>
      <c r="O1362" t="s">
        <v>16373</v>
      </c>
      <c r="P1362" t="s">
        <v>12</v>
      </c>
    </row>
    <row r="1363">
      <c r="A1363">
        <f>HYPERLINK("http://bombeiros.sp.gov.br/hidrantes/03individual/1617.html","1617")</f>
      </c>
      <c r="B1363" t="s">
        <v>114</v>
      </c>
      <c r="C1363" t="s">
        <v>300</v>
      </c>
      <c r="D1363" t="s">
        <v>300</v>
      </c>
      <c r="E1363" t="s">
        <v>15</v>
      </c>
      <c r="F1363" t="s">
        <v>4940</v>
      </c>
      <c r="G1363" t="s">
        <v>18089</v>
      </c>
      <c r="H1363" t="s">
        <v>1174</v>
      </c>
      <c r="I1363" t="s">
        <v>1117</v>
      </c>
      <c r="J1363" t="s">
        <v>4941</v>
      </c>
      <c r="K1363" t="s">
        <v>4942</v>
      </c>
      <c r="L1363" t="s">
        <v>21</v>
      </c>
      <c r="M1363" t="s">
        <v>19177</v>
      </c>
      <c r="N1363" t="s">
        <v>300</v>
      </c>
      <c r="O1363" t="s">
        <v>16373</v>
      </c>
      <c r="P1363" t="s">
        <v>12</v>
      </c>
    </row>
    <row r="1364">
      <c r="A1364">
        <f>HYPERLINK("http://bombeiros.sp.gov.br/hidrantes/03individual/1627.html","1627")</f>
      </c>
      <c r="B1364" t="s">
        <v>114</v>
      </c>
      <c r="C1364" t="s">
        <v>300</v>
      </c>
      <c r="D1364" t="s">
        <v>300</v>
      </c>
      <c r="E1364" t="s">
        <v>15</v>
      </c>
      <c r="F1364" t="s">
        <v>4943</v>
      </c>
      <c r="G1364" t="s">
        <v>18172</v>
      </c>
      <c r="H1364" t="s">
        <v>1174</v>
      </c>
      <c r="I1364" t="s">
        <v>1117</v>
      </c>
      <c r="J1364" t="s">
        <v>4944</v>
      </c>
      <c r="K1364" t="s">
        <v>4945</v>
      </c>
      <c r="L1364" t="s">
        <v>21</v>
      </c>
      <c r="M1364" t="s">
        <v>19177</v>
      </c>
      <c r="N1364" t="s">
        <v>300</v>
      </c>
      <c r="O1364" t="s">
        <v>16373</v>
      </c>
      <c r="P1364" t="s">
        <v>12</v>
      </c>
    </row>
    <row r="1365">
      <c r="A1365">
        <f>HYPERLINK("http://bombeiros.sp.gov.br/hidrantes/03individual/1650.html","1650")</f>
      </c>
      <c r="B1365" t="s">
        <v>114</v>
      </c>
      <c r="C1365" t="s">
        <v>300</v>
      </c>
      <c r="D1365" t="s">
        <v>300</v>
      </c>
      <c r="E1365" t="s">
        <v>15</v>
      </c>
      <c r="F1365" t="s">
        <v>4946</v>
      </c>
      <c r="G1365" t="s">
        <v>18082</v>
      </c>
      <c r="H1365" t="s">
        <v>1174</v>
      </c>
      <c r="I1365" t="s">
        <v>1117</v>
      </c>
      <c r="J1365" t="s">
        <v>4947</v>
      </c>
      <c r="K1365" t="s">
        <v>4948</v>
      </c>
      <c r="L1365" t="s">
        <v>21</v>
      </c>
      <c r="M1365" t="s">
        <v>19177</v>
      </c>
      <c r="N1365" t="s">
        <v>300</v>
      </c>
      <c r="O1365" t="s">
        <v>16373</v>
      </c>
      <c r="P1365" t="s">
        <v>12</v>
      </c>
    </row>
    <row r="1366">
      <c r="A1366">
        <f>HYPERLINK("http://bombeiros.sp.gov.br/hidrantes/03individual/1652.html","1652")</f>
      </c>
      <c r="B1366" t="s">
        <v>114</v>
      </c>
      <c r="C1366" t="s">
        <v>300</v>
      </c>
      <c r="D1366" t="s">
        <v>300</v>
      </c>
      <c r="E1366" t="s">
        <v>15</v>
      </c>
      <c r="F1366" t="s">
        <v>4949</v>
      </c>
      <c r="G1366" t="s">
        <v>18172</v>
      </c>
      <c r="H1366" t="s">
        <v>1174</v>
      </c>
      <c r="I1366" t="s">
        <v>1117</v>
      </c>
      <c r="J1366" t="s">
        <v>16488</v>
      </c>
      <c r="K1366" t="s">
        <v>16489</v>
      </c>
      <c r="L1366" t="s">
        <v>21</v>
      </c>
      <c r="M1366" t="s">
        <v>19177</v>
      </c>
      <c r="N1366" t="s">
        <v>300</v>
      </c>
      <c r="O1366" t="s">
        <v>16373</v>
      </c>
      <c r="P1366" t="s">
        <v>12</v>
      </c>
    </row>
    <row r="1367">
      <c r="A1367">
        <f>HYPERLINK("http://bombeiros.sp.gov.br/hidrantes/03individual/3109.html","3109")</f>
      </c>
      <c r="B1367" t="s">
        <v>114</v>
      </c>
      <c r="C1367" t="s">
        <v>300</v>
      </c>
      <c r="D1367" t="s">
        <v>300</v>
      </c>
      <c r="E1367" t="s">
        <v>15</v>
      </c>
      <c r="F1367" t="s">
        <v>4952</v>
      </c>
      <c r="G1367" t="s">
        <v>18090</v>
      </c>
      <c r="H1367" t="s">
        <v>1112</v>
      </c>
      <c r="I1367" t="s">
        <v>1108</v>
      </c>
      <c r="J1367" t="s">
        <v>4953</v>
      </c>
      <c r="K1367" t="s">
        <v>4954</v>
      </c>
      <c r="L1367" t="s">
        <v>21</v>
      </c>
      <c r="M1367" t="s">
        <v>19177</v>
      </c>
      <c r="N1367" t="s">
        <v>300</v>
      </c>
      <c r="O1367" t="s">
        <v>16373</v>
      </c>
      <c r="P1367" t="s">
        <v>12</v>
      </c>
    </row>
    <row r="1368">
      <c r="A1368">
        <f>HYPERLINK("http://bombeiros.sp.gov.br/hidrantes/03individual/3114.html","3114")</f>
      </c>
      <c r="B1368" t="s">
        <v>114</v>
      </c>
      <c r="C1368" t="s">
        <v>300</v>
      </c>
      <c r="D1368" t="s">
        <v>300</v>
      </c>
      <c r="E1368" t="s">
        <v>15</v>
      </c>
      <c r="F1368" t="s">
        <v>4955</v>
      </c>
      <c r="G1368" t="s">
        <v>18133</v>
      </c>
      <c r="H1368" t="s">
        <v>1112</v>
      </c>
      <c r="I1368" t="s">
        <v>1108</v>
      </c>
      <c r="J1368" t="s">
        <v>4956</v>
      </c>
      <c r="K1368" t="s">
        <v>4957</v>
      </c>
      <c r="L1368" t="s">
        <v>21</v>
      </c>
      <c r="M1368" t="s">
        <v>19177</v>
      </c>
      <c r="N1368" t="s">
        <v>300</v>
      </c>
      <c r="O1368" t="s">
        <v>16373</v>
      </c>
      <c r="P1368" t="s">
        <v>12</v>
      </c>
    </row>
    <row r="1369">
      <c r="A1369">
        <f>HYPERLINK("http://bombeiros.sp.gov.br/hidrantes/03individual/3115.html","3115")</f>
      </c>
      <c r="B1369" t="s">
        <v>114</v>
      </c>
      <c r="C1369" t="s">
        <v>300</v>
      </c>
      <c r="D1369" t="s">
        <v>300</v>
      </c>
      <c r="E1369" t="s">
        <v>15</v>
      </c>
      <c r="F1369" t="s">
        <v>4958</v>
      </c>
      <c r="G1369" t="s">
        <v>18133</v>
      </c>
      <c r="H1369" t="s">
        <v>1107</v>
      </c>
      <c r="I1369" t="s">
        <v>1108</v>
      </c>
      <c r="J1369" t="s">
        <v>4959</v>
      </c>
      <c r="K1369" t="s">
        <v>4960</v>
      </c>
      <c r="L1369" t="s">
        <v>21</v>
      </c>
      <c r="M1369" t="s">
        <v>19177</v>
      </c>
      <c r="N1369" t="s">
        <v>300</v>
      </c>
      <c r="O1369" t="s">
        <v>16373</v>
      </c>
      <c r="P1369" t="s">
        <v>12</v>
      </c>
    </row>
    <row r="1370">
      <c r="A1370">
        <f>HYPERLINK("http://bombeiros.sp.gov.br/hidrantes/03individual/3118.html","3118")</f>
      </c>
      <c r="B1370" t="s">
        <v>114</v>
      </c>
      <c r="C1370" t="s">
        <v>300</v>
      </c>
      <c r="D1370" t="s">
        <v>300</v>
      </c>
      <c r="E1370" t="s">
        <v>15</v>
      </c>
      <c r="F1370" t="s">
        <v>4961</v>
      </c>
      <c r="G1370" t="s">
        <v>18133</v>
      </c>
      <c r="H1370" t="s">
        <v>1112</v>
      </c>
      <c r="I1370" t="s">
        <v>1108</v>
      </c>
      <c r="J1370" t="s">
        <v>4962</v>
      </c>
      <c r="K1370" t="s">
        <v>4963</v>
      </c>
      <c r="L1370" t="s">
        <v>21</v>
      </c>
      <c r="M1370" t="s">
        <v>19177</v>
      </c>
      <c r="N1370" t="s">
        <v>300</v>
      </c>
      <c r="O1370" t="s">
        <v>16373</v>
      </c>
      <c r="P1370" t="s">
        <v>12</v>
      </c>
    </row>
    <row r="1371">
      <c r="A1371">
        <f>HYPERLINK("http://bombeiros.sp.gov.br/hidrantes/03individual/3126.html","3126")</f>
      </c>
      <c r="B1371" t="s">
        <v>114</v>
      </c>
      <c r="C1371" t="s">
        <v>300</v>
      </c>
      <c r="D1371" t="s">
        <v>300</v>
      </c>
      <c r="E1371" t="s">
        <v>15</v>
      </c>
      <c r="F1371" t="s">
        <v>4964</v>
      </c>
      <c r="G1371" t="s">
        <v>18082</v>
      </c>
      <c r="H1371" t="s">
        <v>1112</v>
      </c>
      <c r="I1371" t="s">
        <v>1108</v>
      </c>
      <c r="J1371" t="s">
        <v>4965</v>
      </c>
      <c r="K1371" t="s">
        <v>4966</v>
      </c>
      <c r="L1371" t="s">
        <v>21</v>
      </c>
      <c r="M1371" t="s">
        <v>19177</v>
      </c>
      <c r="N1371" t="s">
        <v>300</v>
      </c>
      <c r="O1371" t="s">
        <v>16373</v>
      </c>
      <c r="P1371" t="s">
        <v>12</v>
      </c>
    </row>
    <row r="1372">
      <c r="A1372">
        <f>HYPERLINK("http://bombeiros.sp.gov.br/hidrantes/03individual/3128.html","3128")</f>
      </c>
      <c r="B1372" t="s">
        <v>114</v>
      </c>
      <c r="C1372" t="s">
        <v>300</v>
      </c>
      <c r="D1372" t="s">
        <v>300</v>
      </c>
      <c r="E1372" t="s">
        <v>15</v>
      </c>
      <c r="F1372" t="s">
        <v>4967</v>
      </c>
      <c r="G1372" t="s">
        <v>18133</v>
      </c>
      <c r="H1372" t="s">
        <v>1107</v>
      </c>
      <c r="I1372" t="s">
        <v>1108</v>
      </c>
      <c r="J1372" t="s">
        <v>4968</v>
      </c>
      <c r="K1372" t="s">
        <v>4969</v>
      </c>
      <c r="L1372" t="s">
        <v>21</v>
      </c>
      <c r="M1372" t="s">
        <v>19177</v>
      </c>
      <c r="N1372" t="s">
        <v>300</v>
      </c>
      <c r="O1372" t="s">
        <v>16373</v>
      </c>
      <c r="P1372" t="s">
        <v>12</v>
      </c>
    </row>
    <row r="1373">
      <c r="A1373">
        <f>HYPERLINK("http://bombeiros.sp.gov.br/hidrantes/03individual/3202.html","3202")</f>
      </c>
      <c r="B1373" t="s">
        <v>114</v>
      </c>
      <c r="C1373" t="s">
        <v>300</v>
      </c>
      <c r="D1373" t="s">
        <v>300</v>
      </c>
      <c r="E1373" t="s">
        <v>15</v>
      </c>
      <c r="F1373" t="s">
        <v>4970</v>
      </c>
      <c r="G1373" t="s">
        <v>18143</v>
      </c>
      <c r="H1373" t="s">
        <v>1121</v>
      </c>
      <c r="I1373" t="s">
        <v>1117</v>
      </c>
      <c r="J1373" t="s">
        <v>4971</v>
      </c>
      <c r="K1373" t="s">
        <v>4972</v>
      </c>
      <c r="L1373" t="s">
        <v>21</v>
      </c>
      <c r="M1373" t="s">
        <v>19177</v>
      </c>
      <c r="N1373" t="s">
        <v>300</v>
      </c>
      <c r="O1373" t="s">
        <v>16373</v>
      </c>
      <c r="P1373" t="s">
        <v>12</v>
      </c>
    </row>
    <row r="1374">
      <c r="A1374">
        <f>HYPERLINK("http://bombeiros.sp.gov.br/hidrantes/03individual/17900.html","17900")</f>
      </c>
      <c r="B1374" t="s">
        <v>114</v>
      </c>
      <c r="C1374" t="s">
        <v>300</v>
      </c>
      <c r="D1374" t="s">
        <v>300</v>
      </c>
      <c r="E1374" t="s">
        <v>15</v>
      </c>
      <c r="F1374" t="s">
        <v>4973</v>
      </c>
      <c r="G1374" t="s">
        <v>18082</v>
      </c>
      <c r="H1374" t="s">
        <v>1107</v>
      </c>
      <c r="I1374" t="s">
        <v>1108</v>
      </c>
      <c r="J1374" t="s">
        <v>4974</v>
      </c>
      <c r="K1374" t="s">
        <v>4975</v>
      </c>
      <c r="L1374" t="s">
        <v>21</v>
      </c>
      <c r="M1374" t="s">
        <v>19177</v>
      </c>
      <c r="N1374" t="s">
        <v>300</v>
      </c>
      <c r="O1374" t="s">
        <v>16373</v>
      </c>
      <c r="P1374" t="s">
        <v>12</v>
      </c>
    </row>
    <row r="1375">
      <c r="A1375">
        <f>HYPERLINK("http://bombeiros.sp.gov.br/hidrantes/03individual/26740.html","26740")</f>
      </c>
      <c r="B1375" t="s">
        <v>114</v>
      </c>
      <c r="C1375" t="s">
        <v>300</v>
      </c>
      <c r="D1375" t="s">
        <v>300</v>
      </c>
      <c r="E1375" t="s">
        <v>15</v>
      </c>
      <c r="F1375" t="s">
        <v>4976</v>
      </c>
      <c r="G1375" t="s">
        <v>18042</v>
      </c>
      <c r="H1375" t="s">
        <v>1112</v>
      </c>
      <c r="I1375" t="s">
        <v>1108</v>
      </c>
      <c r="J1375" t="s">
        <v>4977</v>
      </c>
      <c r="K1375" t="s">
        <v>4978</v>
      </c>
      <c r="L1375" t="s">
        <v>21</v>
      </c>
      <c r="M1375" t="s">
        <v>19177</v>
      </c>
      <c r="N1375" t="s">
        <v>300</v>
      </c>
      <c r="O1375" t="s">
        <v>16373</v>
      </c>
      <c r="P1375" t="s">
        <v>12</v>
      </c>
    </row>
    <row r="1376">
      <c r="A1376">
        <f>HYPERLINK("http://bombeiros.sp.gov.br/hidrantes/03individual/27212.html","27212")</f>
      </c>
      <c r="B1376" t="s">
        <v>114</v>
      </c>
      <c r="C1376" t="s">
        <v>300</v>
      </c>
      <c r="D1376" t="s">
        <v>300</v>
      </c>
      <c r="E1376" t="s">
        <v>15</v>
      </c>
      <c r="F1376" t="s">
        <v>16946</v>
      </c>
      <c r="G1376" t="s">
        <v>18089</v>
      </c>
      <c r="H1376" t="s">
        <v>1121</v>
      </c>
      <c r="I1376" t="s">
        <v>1117</v>
      </c>
      <c r="J1376" t="s">
        <v>16947</v>
      </c>
      <c r="K1376" t="s">
        <v>16948</v>
      </c>
      <c r="L1376" t="s">
        <v>21</v>
      </c>
      <c r="M1376" t="s">
        <v>19177</v>
      </c>
      <c r="N1376" t="s">
        <v>300</v>
      </c>
      <c r="O1376" t="s">
        <v>16373</v>
      </c>
      <c r="P1376" t="s">
        <v>12</v>
      </c>
    </row>
    <row r="1377">
      <c r="A1377">
        <f>HYPERLINK("http://bombeiros.sp.gov.br/hidrantes/03individual/27413.html","27413")</f>
      </c>
      <c r="B1377" t="s">
        <v>114</v>
      </c>
      <c r="C1377" t="s">
        <v>300</v>
      </c>
      <c r="D1377" t="s">
        <v>300</v>
      </c>
      <c r="E1377" t="s">
        <v>15</v>
      </c>
      <c r="F1377" t="s">
        <v>17319</v>
      </c>
      <c r="G1377" t="s">
        <v>18055</v>
      </c>
      <c r="H1377" t="s">
        <v>1121</v>
      </c>
      <c r="I1377" t="s">
        <v>1117</v>
      </c>
      <c r="J1377" t="s">
        <v>17320</v>
      </c>
      <c r="K1377" t="s">
        <v>17321</v>
      </c>
      <c r="L1377" t="s">
        <v>21</v>
      </c>
      <c r="M1377" t="s">
        <v>19177</v>
      </c>
      <c r="N1377" t="s">
        <v>300</v>
      </c>
      <c r="O1377" t="s">
        <v>16373</v>
      </c>
      <c r="P1377" t="s">
        <v>12</v>
      </c>
    </row>
    <row r="1378">
      <c r="A1378">
        <f>HYPERLINK("http://bombeiros.sp.gov.br/hidrantes/03individual/2958.html","2958")</f>
      </c>
      <c r="B1378" t="s">
        <v>114</v>
      </c>
      <c r="C1378" t="s">
        <v>300</v>
      </c>
      <c r="D1378" t="s">
        <v>441</v>
      </c>
      <c r="E1378" t="s">
        <v>15</v>
      </c>
      <c r="F1378" t="s">
        <v>4979</v>
      </c>
      <c r="G1378" t="s">
        <v>18074</v>
      </c>
      <c r="H1378" t="s">
        <v>1112</v>
      </c>
      <c r="I1378" t="s">
        <v>1108</v>
      </c>
      <c r="J1378" t="s">
        <v>4980</v>
      </c>
      <c r="K1378" t="s">
        <v>4981</v>
      </c>
      <c r="L1378" t="s">
        <v>21</v>
      </c>
      <c r="M1378" t="s">
        <v>19177</v>
      </c>
      <c r="N1378" t="s">
        <v>300</v>
      </c>
      <c r="O1378" t="s">
        <v>16373</v>
      </c>
      <c r="P1378" t="s">
        <v>12</v>
      </c>
    </row>
    <row r="1379">
      <c r="A1379">
        <f>HYPERLINK("http://bombeiros.sp.gov.br/hidrantes/03individual/1675.html","1675")</f>
      </c>
      <c r="B1379" t="s">
        <v>114</v>
      </c>
      <c r="C1379" t="s">
        <v>300</v>
      </c>
      <c r="D1379" t="s">
        <v>4982</v>
      </c>
      <c r="E1379" t="s">
        <v>64</v>
      </c>
      <c r="F1379" t="s">
        <v>4983</v>
      </c>
      <c r="G1379" t="s">
        <v>18172</v>
      </c>
      <c r="H1379" t="s">
        <v>1107</v>
      </c>
      <c r="I1379" t="s">
        <v>1108</v>
      </c>
      <c r="J1379" t="s">
        <v>4984</v>
      </c>
      <c r="K1379" t="s">
        <v>4985</v>
      </c>
      <c r="L1379" t="s">
        <v>21</v>
      </c>
      <c r="M1379" t="s">
        <v>19177</v>
      </c>
      <c r="N1379" t="s">
        <v>300</v>
      </c>
      <c r="O1379" t="s">
        <v>16373</v>
      </c>
      <c r="P1379" t="s">
        <v>12</v>
      </c>
    </row>
    <row r="1380">
      <c r="A1380">
        <f>HYPERLINK("http://bombeiros.sp.gov.br/hidrantes/03individual/1950.html","1950")</f>
      </c>
      <c r="B1380" t="s">
        <v>114</v>
      </c>
      <c r="C1380" t="s">
        <v>300</v>
      </c>
      <c r="D1380" t="s">
        <v>4982</v>
      </c>
      <c r="E1380" t="s">
        <v>64</v>
      </c>
      <c r="F1380" t="s">
        <v>4986</v>
      </c>
      <c r="G1380" t="s">
        <v>18133</v>
      </c>
      <c r="H1380" t="s">
        <v>1112</v>
      </c>
      <c r="I1380" t="s">
        <v>1108</v>
      </c>
      <c r="J1380" t="s">
        <v>4987</v>
      </c>
      <c r="K1380" t="s">
        <v>4988</v>
      </c>
      <c r="L1380" t="s">
        <v>36</v>
      </c>
      <c r="M1380" t="s">
        <v>19177</v>
      </c>
      <c r="N1380" t="s">
        <v>300</v>
      </c>
      <c r="O1380" t="s">
        <v>16373</v>
      </c>
      <c r="P1380" t="s">
        <v>12</v>
      </c>
    </row>
    <row r="1381">
      <c r="A1381">
        <f>HYPERLINK("http://bombeiros.sp.gov.br/hidrantes/03individual/3206.html","3206")</f>
      </c>
      <c r="B1381" t="s">
        <v>114</v>
      </c>
      <c r="C1381" t="s">
        <v>300</v>
      </c>
      <c r="D1381" t="s">
        <v>4982</v>
      </c>
      <c r="E1381" t="s">
        <v>64</v>
      </c>
      <c r="F1381" t="s">
        <v>4989</v>
      </c>
      <c r="G1381" t="s">
        <v>18133</v>
      </c>
      <c r="H1381" t="s">
        <v>1112</v>
      </c>
      <c r="I1381" t="s">
        <v>1108</v>
      </c>
      <c r="J1381" t="s">
        <v>4990</v>
      </c>
      <c r="K1381" t="s">
        <v>4991</v>
      </c>
      <c r="L1381" t="s">
        <v>36</v>
      </c>
      <c r="M1381" t="s">
        <v>19177</v>
      </c>
      <c r="N1381" t="s">
        <v>300</v>
      </c>
      <c r="O1381" t="s">
        <v>16373</v>
      </c>
      <c r="P1381" t="s">
        <v>12</v>
      </c>
    </row>
    <row r="1382">
      <c r="A1382">
        <f>HYPERLINK("http://bombeiros.sp.gov.br/hidrantes/03individual/27014.html","27014")</f>
      </c>
      <c r="B1382" t="s">
        <v>114</v>
      </c>
      <c r="C1382" t="s">
        <v>300</v>
      </c>
      <c r="D1382" t="s">
        <v>4982</v>
      </c>
      <c r="E1382" t="s">
        <v>64</v>
      </c>
      <c r="F1382" t="s">
        <v>16582</v>
      </c>
      <c r="G1382" t="s">
        <v>18251</v>
      </c>
      <c r="H1382" t="s">
        <v>1112</v>
      </c>
      <c r="I1382" t="s">
        <v>1108</v>
      </c>
      <c r="J1382" t="s">
        <v>16583</v>
      </c>
      <c r="K1382" t="s">
        <v>16584</v>
      </c>
      <c r="L1382" t="s">
        <v>21</v>
      </c>
      <c r="M1382" t="s">
        <v>19177</v>
      </c>
      <c r="N1382" t="s">
        <v>300</v>
      </c>
      <c r="O1382" t="s">
        <v>16373</v>
      </c>
      <c r="P1382" t="s">
        <v>12</v>
      </c>
    </row>
    <row r="1383">
      <c r="A1383">
        <f>HYPERLINK("http://bombeiros.sp.gov.br/hidrantes/03individual/27412.html","27412")</f>
      </c>
      <c r="B1383" t="s">
        <v>114</v>
      </c>
      <c r="C1383" t="s">
        <v>300</v>
      </c>
      <c r="D1383" t="s">
        <v>4982</v>
      </c>
      <c r="E1383" t="s">
        <v>64</v>
      </c>
      <c r="F1383" t="s">
        <v>17322</v>
      </c>
      <c r="G1383" t="s">
        <v>18133</v>
      </c>
      <c r="H1383" t="s">
        <v>1107</v>
      </c>
      <c r="I1383" t="s">
        <v>1108</v>
      </c>
      <c r="J1383" t="s">
        <v>17323</v>
      </c>
      <c r="K1383" t="s">
        <v>17324</v>
      </c>
      <c r="L1383" t="s">
        <v>21</v>
      </c>
      <c r="M1383" t="s">
        <v>19177</v>
      </c>
      <c r="N1383" t="s">
        <v>300</v>
      </c>
      <c r="O1383" t="s">
        <v>16373</v>
      </c>
      <c r="P1383" t="s">
        <v>12</v>
      </c>
    </row>
    <row r="1384">
      <c r="A1384">
        <f>HYPERLINK("http://bombeiros.sp.gov.br/hidrantes/03individual/1337.html","1337")</f>
      </c>
      <c r="B1384" t="s">
        <v>114</v>
      </c>
      <c r="C1384" t="s">
        <v>300</v>
      </c>
      <c r="D1384" t="s">
        <v>4982</v>
      </c>
      <c r="E1384" t="s">
        <v>15</v>
      </c>
      <c r="F1384" t="s">
        <v>4992</v>
      </c>
      <c r="G1384" t="s">
        <v>18055</v>
      </c>
      <c r="H1384" t="s">
        <v>1174</v>
      </c>
      <c r="I1384" t="s">
        <v>1117</v>
      </c>
      <c r="J1384" t="s">
        <v>4993</v>
      </c>
      <c r="K1384" t="s">
        <v>4994</v>
      </c>
      <c r="L1384" t="s">
        <v>21</v>
      </c>
      <c r="M1384" t="s">
        <v>19177</v>
      </c>
      <c r="N1384" t="s">
        <v>300</v>
      </c>
      <c r="O1384" t="s">
        <v>16373</v>
      </c>
      <c r="P1384" t="s">
        <v>12</v>
      </c>
    </row>
    <row r="1385">
      <c r="A1385">
        <f>HYPERLINK("http://bombeiros.sp.gov.br/hidrantes/03individual/1338.html","1338")</f>
      </c>
      <c r="B1385" t="s">
        <v>114</v>
      </c>
      <c r="C1385" t="s">
        <v>300</v>
      </c>
      <c r="D1385" t="s">
        <v>4982</v>
      </c>
      <c r="E1385" t="s">
        <v>15</v>
      </c>
      <c r="F1385" t="s">
        <v>4995</v>
      </c>
      <c r="G1385" t="s">
        <v>18062</v>
      </c>
      <c r="H1385" t="s">
        <v>1174</v>
      </c>
      <c r="I1385" t="s">
        <v>1117</v>
      </c>
      <c r="J1385" t="s">
        <v>4996</v>
      </c>
      <c r="K1385" t="s">
        <v>4997</v>
      </c>
      <c r="L1385" t="s">
        <v>21</v>
      </c>
      <c r="M1385" t="s">
        <v>19177</v>
      </c>
      <c r="N1385" t="s">
        <v>300</v>
      </c>
      <c r="O1385" t="s">
        <v>16373</v>
      </c>
      <c r="P1385" t="s">
        <v>12</v>
      </c>
    </row>
    <row r="1386">
      <c r="A1386">
        <f>HYPERLINK("http://bombeiros.sp.gov.br/hidrantes/03individual/1344.html","1344")</f>
      </c>
      <c r="B1386" t="s">
        <v>114</v>
      </c>
      <c r="C1386" t="s">
        <v>300</v>
      </c>
      <c r="D1386" t="s">
        <v>4982</v>
      </c>
      <c r="E1386" t="s">
        <v>15</v>
      </c>
      <c r="F1386" t="s">
        <v>4998</v>
      </c>
      <c r="G1386" t="s">
        <v>18251</v>
      </c>
      <c r="H1386" t="s">
        <v>1107</v>
      </c>
      <c r="I1386" t="s">
        <v>1108</v>
      </c>
      <c r="J1386" t="s">
        <v>4999</v>
      </c>
      <c r="K1386" t="s">
        <v>5000</v>
      </c>
      <c r="L1386" t="s">
        <v>21</v>
      </c>
      <c r="M1386" t="s">
        <v>19177</v>
      </c>
      <c r="N1386" t="s">
        <v>300</v>
      </c>
      <c r="O1386" t="s">
        <v>16373</v>
      </c>
      <c r="P1386" t="s">
        <v>12</v>
      </c>
    </row>
    <row r="1387">
      <c r="A1387">
        <f>HYPERLINK("http://bombeiros.sp.gov.br/hidrantes/03individual/1460.html","1460")</f>
      </c>
      <c r="B1387" t="s">
        <v>114</v>
      </c>
      <c r="C1387" t="s">
        <v>300</v>
      </c>
      <c r="D1387" t="s">
        <v>4982</v>
      </c>
      <c r="E1387" t="s">
        <v>15</v>
      </c>
      <c r="F1387" t="s">
        <v>5001</v>
      </c>
      <c r="G1387" t="s">
        <v>18251</v>
      </c>
      <c r="H1387" t="s">
        <v>1107</v>
      </c>
      <c r="I1387" t="s">
        <v>1108</v>
      </c>
      <c r="J1387" t="s">
        <v>5002</v>
      </c>
      <c r="K1387" t="s">
        <v>5003</v>
      </c>
      <c r="L1387" t="s">
        <v>21</v>
      </c>
      <c r="M1387" t="s">
        <v>19177</v>
      </c>
      <c r="N1387" t="s">
        <v>300</v>
      </c>
      <c r="O1387" t="s">
        <v>16373</v>
      </c>
      <c r="P1387" t="s">
        <v>12</v>
      </c>
    </row>
    <row r="1388">
      <c r="A1388">
        <f>HYPERLINK("http://bombeiros.sp.gov.br/hidrantes/03individual/1526.html","1526")</f>
      </c>
      <c r="B1388" t="s">
        <v>114</v>
      </c>
      <c r="C1388" t="s">
        <v>300</v>
      </c>
      <c r="D1388" t="s">
        <v>4982</v>
      </c>
      <c r="E1388" t="s">
        <v>15</v>
      </c>
      <c r="F1388" t="s">
        <v>5004</v>
      </c>
      <c r="G1388" t="s">
        <v>18089</v>
      </c>
      <c r="H1388" t="s">
        <v>1121</v>
      </c>
      <c r="I1388" t="s">
        <v>1117</v>
      </c>
      <c r="J1388" t="s">
        <v>5005</v>
      </c>
      <c r="K1388" t="s">
        <v>5006</v>
      </c>
      <c r="L1388" t="s">
        <v>21</v>
      </c>
      <c r="M1388" t="s">
        <v>19177</v>
      </c>
      <c r="N1388" t="s">
        <v>300</v>
      </c>
      <c r="O1388" t="s">
        <v>16373</v>
      </c>
      <c r="P1388" t="s">
        <v>12</v>
      </c>
    </row>
    <row r="1389">
      <c r="A1389">
        <f>HYPERLINK("http://bombeiros.sp.gov.br/hidrantes/03individual/1532.html","1532")</f>
      </c>
      <c r="B1389" t="s">
        <v>114</v>
      </c>
      <c r="C1389" t="s">
        <v>300</v>
      </c>
      <c r="D1389" t="s">
        <v>4982</v>
      </c>
      <c r="E1389" t="s">
        <v>15</v>
      </c>
      <c r="F1389" t="s">
        <v>5007</v>
      </c>
      <c r="G1389" t="s">
        <v>18074</v>
      </c>
      <c r="H1389" t="s">
        <v>1112</v>
      </c>
      <c r="I1389" t="s">
        <v>1108</v>
      </c>
      <c r="J1389" t="s">
        <v>5008</v>
      </c>
      <c r="K1389" t="s">
        <v>5009</v>
      </c>
      <c r="L1389" t="s">
        <v>21</v>
      </c>
      <c r="M1389" t="s">
        <v>19177</v>
      </c>
      <c r="N1389" t="s">
        <v>300</v>
      </c>
      <c r="O1389" t="s">
        <v>16373</v>
      </c>
      <c r="P1389" t="s">
        <v>12</v>
      </c>
    </row>
    <row r="1390">
      <c r="A1390">
        <f>HYPERLINK("http://bombeiros.sp.gov.br/hidrantes/03individual/1633.html","1633")</f>
      </c>
      <c r="B1390" t="s">
        <v>114</v>
      </c>
      <c r="C1390" t="s">
        <v>300</v>
      </c>
      <c r="D1390" t="s">
        <v>4982</v>
      </c>
      <c r="E1390" t="s">
        <v>15</v>
      </c>
      <c r="F1390" t="s">
        <v>5010</v>
      </c>
      <c r="G1390" t="s">
        <v>18133</v>
      </c>
      <c r="H1390" t="s">
        <v>1112</v>
      </c>
      <c r="I1390" t="s">
        <v>1108</v>
      </c>
      <c r="J1390" t="s">
        <v>5011</v>
      </c>
      <c r="K1390" t="s">
        <v>5012</v>
      </c>
      <c r="L1390" t="s">
        <v>21</v>
      </c>
      <c r="M1390" t="s">
        <v>19177</v>
      </c>
      <c r="N1390" t="s">
        <v>300</v>
      </c>
      <c r="O1390" t="s">
        <v>16373</v>
      </c>
      <c r="P1390" t="s">
        <v>12</v>
      </c>
    </row>
    <row r="1391">
      <c r="A1391">
        <f>HYPERLINK("http://bombeiros.sp.gov.br/hidrantes/03individual/1635.html","1635")</f>
      </c>
      <c r="B1391" t="s">
        <v>114</v>
      </c>
      <c r="C1391" t="s">
        <v>300</v>
      </c>
      <c r="D1391" t="s">
        <v>4982</v>
      </c>
      <c r="E1391" t="s">
        <v>15</v>
      </c>
      <c r="F1391" t="s">
        <v>5013</v>
      </c>
      <c r="G1391" t="s">
        <v>18133</v>
      </c>
      <c r="H1391" t="s">
        <v>1107</v>
      </c>
      <c r="I1391" t="s">
        <v>1108</v>
      </c>
      <c r="J1391" t="s">
        <v>5014</v>
      </c>
      <c r="K1391" t="s">
        <v>5015</v>
      </c>
      <c r="L1391" t="s">
        <v>21</v>
      </c>
      <c r="M1391" t="s">
        <v>19177</v>
      </c>
      <c r="N1391" t="s">
        <v>300</v>
      </c>
      <c r="O1391" t="s">
        <v>16373</v>
      </c>
      <c r="P1391" t="s">
        <v>12</v>
      </c>
    </row>
    <row r="1392">
      <c r="A1392">
        <f>HYPERLINK("http://bombeiros.sp.gov.br/hidrantes/03individual/1649.html","1649")</f>
      </c>
      <c r="B1392" t="s">
        <v>114</v>
      </c>
      <c r="C1392" t="s">
        <v>300</v>
      </c>
      <c r="D1392" t="s">
        <v>4982</v>
      </c>
      <c r="E1392" t="s">
        <v>15</v>
      </c>
      <c r="F1392" t="s">
        <v>5016</v>
      </c>
      <c r="G1392" t="s">
        <v>18074</v>
      </c>
      <c r="H1392" t="s">
        <v>1112</v>
      </c>
      <c r="I1392" t="s">
        <v>1108</v>
      </c>
      <c r="J1392" t="s">
        <v>5017</v>
      </c>
      <c r="K1392" t="s">
        <v>5018</v>
      </c>
      <c r="L1392" t="s">
        <v>21</v>
      </c>
      <c r="M1392" t="s">
        <v>19177</v>
      </c>
      <c r="N1392" t="s">
        <v>300</v>
      </c>
      <c r="O1392" t="s">
        <v>16373</v>
      </c>
      <c r="P1392" t="s">
        <v>12</v>
      </c>
    </row>
    <row r="1393">
      <c r="A1393">
        <f>HYPERLINK("http://bombeiros.sp.gov.br/hidrantes/03individual/1673.html","1673")</f>
      </c>
      <c r="B1393" t="s">
        <v>114</v>
      </c>
      <c r="C1393" t="s">
        <v>300</v>
      </c>
      <c r="D1393" t="s">
        <v>4982</v>
      </c>
      <c r="E1393" t="s">
        <v>15</v>
      </c>
      <c r="F1393" t="s">
        <v>5019</v>
      </c>
      <c r="G1393" t="s">
        <v>18062</v>
      </c>
      <c r="H1393" t="s">
        <v>1174</v>
      </c>
      <c r="I1393" t="s">
        <v>1117</v>
      </c>
      <c r="J1393" t="s">
        <v>5020</v>
      </c>
      <c r="K1393" t="s">
        <v>5021</v>
      </c>
      <c r="L1393" t="s">
        <v>21</v>
      </c>
      <c r="M1393" t="s">
        <v>19177</v>
      </c>
      <c r="N1393" t="s">
        <v>300</v>
      </c>
      <c r="O1393" t="s">
        <v>16373</v>
      </c>
      <c r="P1393" t="s">
        <v>12</v>
      </c>
    </row>
    <row r="1394">
      <c r="A1394">
        <f>HYPERLINK("http://bombeiros.sp.gov.br/hidrantes/03individual/1690.html","1690")</f>
      </c>
      <c r="B1394" t="s">
        <v>114</v>
      </c>
      <c r="C1394" t="s">
        <v>300</v>
      </c>
      <c r="D1394" t="s">
        <v>4982</v>
      </c>
      <c r="E1394" t="s">
        <v>15</v>
      </c>
      <c r="F1394" t="s">
        <v>5022</v>
      </c>
      <c r="G1394" t="s">
        <v>18251</v>
      </c>
      <c r="H1394" t="s">
        <v>1112</v>
      </c>
      <c r="I1394" t="s">
        <v>1108</v>
      </c>
      <c r="J1394" t="s">
        <v>5023</v>
      </c>
      <c r="K1394" t="s">
        <v>5024</v>
      </c>
      <c r="L1394" t="s">
        <v>21</v>
      </c>
      <c r="M1394" t="s">
        <v>19177</v>
      </c>
      <c r="N1394" t="s">
        <v>300</v>
      </c>
      <c r="O1394" t="s">
        <v>16373</v>
      </c>
      <c r="P1394" t="s">
        <v>12</v>
      </c>
    </row>
    <row r="1395">
      <c r="A1395">
        <f>HYPERLINK("http://bombeiros.sp.gov.br/hidrantes/03individual/1696.html","1696")</f>
      </c>
      <c r="B1395" t="s">
        <v>114</v>
      </c>
      <c r="C1395" t="s">
        <v>300</v>
      </c>
      <c r="D1395" t="s">
        <v>4982</v>
      </c>
      <c r="E1395" t="s">
        <v>15</v>
      </c>
      <c r="F1395" t="s">
        <v>5025</v>
      </c>
      <c r="G1395" t="s">
        <v>18172</v>
      </c>
      <c r="H1395" t="s">
        <v>1112</v>
      </c>
      <c r="I1395" t="s">
        <v>1108</v>
      </c>
      <c r="J1395" t="s">
        <v>5026</v>
      </c>
      <c r="K1395" t="s">
        <v>5027</v>
      </c>
      <c r="L1395" t="s">
        <v>36</v>
      </c>
      <c r="M1395" t="s">
        <v>19177</v>
      </c>
      <c r="N1395" t="s">
        <v>300</v>
      </c>
      <c r="O1395" t="s">
        <v>16373</v>
      </c>
      <c r="P1395" t="s">
        <v>12</v>
      </c>
    </row>
    <row r="1396">
      <c r="A1396">
        <f>HYPERLINK("http://bombeiros.sp.gov.br/hidrantes/03individual/1715.html","1715")</f>
      </c>
      <c r="B1396" t="s">
        <v>114</v>
      </c>
      <c r="C1396" t="s">
        <v>300</v>
      </c>
      <c r="D1396" t="s">
        <v>4982</v>
      </c>
      <c r="E1396" t="s">
        <v>15</v>
      </c>
      <c r="F1396" t="s">
        <v>5028</v>
      </c>
      <c r="G1396" t="s">
        <v>18133</v>
      </c>
      <c r="H1396" t="s">
        <v>1107</v>
      </c>
      <c r="I1396" t="s">
        <v>1108</v>
      </c>
      <c r="J1396" t="s">
        <v>5029</v>
      </c>
      <c r="K1396" t="s">
        <v>5030</v>
      </c>
      <c r="L1396" t="s">
        <v>21</v>
      </c>
      <c r="M1396" t="s">
        <v>19177</v>
      </c>
      <c r="N1396" t="s">
        <v>300</v>
      </c>
      <c r="O1396" t="s">
        <v>16373</v>
      </c>
      <c r="P1396" t="s">
        <v>12</v>
      </c>
    </row>
    <row r="1397">
      <c r="A1397">
        <f>HYPERLINK("http://bombeiros.sp.gov.br/hidrantes/03individual/1728.html","1728")</f>
      </c>
      <c r="B1397" t="s">
        <v>114</v>
      </c>
      <c r="C1397" t="s">
        <v>300</v>
      </c>
      <c r="D1397" t="s">
        <v>4982</v>
      </c>
      <c r="E1397" t="s">
        <v>15</v>
      </c>
      <c r="F1397" t="s">
        <v>5031</v>
      </c>
      <c r="G1397" t="s">
        <v>18133</v>
      </c>
      <c r="H1397" t="s">
        <v>1107</v>
      </c>
      <c r="I1397" t="s">
        <v>1108</v>
      </c>
      <c r="J1397" t="s">
        <v>5032</v>
      </c>
      <c r="K1397" t="s">
        <v>5033</v>
      </c>
      <c r="L1397" t="s">
        <v>21</v>
      </c>
      <c r="M1397" t="s">
        <v>19177</v>
      </c>
      <c r="N1397" t="s">
        <v>300</v>
      </c>
      <c r="O1397" t="s">
        <v>16373</v>
      </c>
      <c r="P1397" t="s">
        <v>12</v>
      </c>
    </row>
    <row r="1398">
      <c r="A1398">
        <f>HYPERLINK("http://bombeiros.sp.gov.br/hidrantes/03individual/1730.html","1730")</f>
      </c>
      <c r="B1398" t="s">
        <v>114</v>
      </c>
      <c r="C1398" t="s">
        <v>300</v>
      </c>
      <c r="D1398" t="s">
        <v>4982</v>
      </c>
      <c r="E1398" t="s">
        <v>15</v>
      </c>
      <c r="F1398" t="s">
        <v>5034</v>
      </c>
      <c r="G1398" t="s">
        <v>18251</v>
      </c>
      <c r="H1398" t="s">
        <v>1107</v>
      </c>
      <c r="I1398" t="s">
        <v>1108</v>
      </c>
      <c r="J1398" t="s">
        <v>5035</v>
      </c>
      <c r="K1398" t="s">
        <v>5036</v>
      </c>
      <c r="L1398" t="s">
        <v>21</v>
      </c>
      <c r="M1398" t="s">
        <v>19177</v>
      </c>
      <c r="N1398" t="s">
        <v>300</v>
      </c>
      <c r="O1398" t="s">
        <v>16373</v>
      </c>
      <c r="P1398" t="s">
        <v>12</v>
      </c>
    </row>
    <row r="1399">
      <c r="A1399">
        <f>HYPERLINK("http://bombeiros.sp.gov.br/hidrantes/03individual/3119.html","3119")</f>
      </c>
      <c r="B1399" t="s">
        <v>114</v>
      </c>
      <c r="C1399" t="s">
        <v>300</v>
      </c>
      <c r="D1399" t="s">
        <v>4982</v>
      </c>
      <c r="E1399" t="s">
        <v>15</v>
      </c>
      <c r="F1399" t="s">
        <v>5037</v>
      </c>
      <c r="G1399" t="s">
        <v>18089</v>
      </c>
      <c r="H1399" t="s">
        <v>1174</v>
      </c>
      <c r="I1399" t="s">
        <v>1117</v>
      </c>
      <c r="J1399" t="s">
        <v>5038</v>
      </c>
      <c r="K1399" t="s">
        <v>5039</v>
      </c>
      <c r="L1399" t="s">
        <v>21</v>
      </c>
      <c r="M1399" t="s">
        <v>19177</v>
      </c>
      <c r="N1399" t="s">
        <v>300</v>
      </c>
      <c r="O1399" t="s">
        <v>16373</v>
      </c>
      <c r="P1399" t="s">
        <v>12</v>
      </c>
    </row>
    <row r="1400">
      <c r="A1400">
        <f>HYPERLINK("http://bombeiros.sp.gov.br/hidrantes/03individual/3124.html","3124")</f>
      </c>
      <c r="B1400" t="s">
        <v>114</v>
      </c>
      <c r="C1400" t="s">
        <v>300</v>
      </c>
      <c r="D1400" t="s">
        <v>4982</v>
      </c>
      <c r="E1400" t="s">
        <v>15</v>
      </c>
      <c r="F1400" t="s">
        <v>5040</v>
      </c>
      <c r="G1400" t="s">
        <v>18133</v>
      </c>
      <c r="H1400" t="s">
        <v>1112</v>
      </c>
      <c r="I1400" t="s">
        <v>1108</v>
      </c>
      <c r="J1400" t="s">
        <v>5041</v>
      </c>
      <c r="K1400" t="s">
        <v>5042</v>
      </c>
      <c r="L1400" t="s">
        <v>21</v>
      </c>
      <c r="M1400" t="s">
        <v>19177</v>
      </c>
      <c r="N1400" t="s">
        <v>300</v>
      </c>
      <c r="O1400" t="s">
        <v>16373</v>
      </c>
      <c r="P1400" t="s">
        <v>12</v>
      </c>
    </row>
    <row r="1401">
      <c r="A1401">
        <f>HYPERLINK("http://bombeiros.sp.gov.br/hidrantes/03individual/3166.html","3166")</f>
      </c>
      <c r="B1401" t="s">
        <v>114</v>
      </c>
      <c r="C1401" t="s">
        <v>300</v>
      </c>
      <c r="D1401" t="s">
        <v>4982</v>
      </c>
      <c r="E1401" t="s">
        <v>15</v>
      </c>
      <c r="F1401" t="s">
        <v>5043</v>
      </c>
      <c r="G1401" t="s">
        <v>18074</v>
      </c>
      <c r="H1401" t="s">
        <v>1112</v>
      </c>
      <c r="I1401" t="s">
        <v>1108</v>
      </c>
      <c r="J1401" t="s">
        <v>5044</v>
      </c>
      <c r="K1401" t="s">
        <v>5045</v>
      </c>
      <c r="L1401" t="s">
        <v>21</v>
      </c>
      <c r="M1401" t="s">
        <v>19177</v>
      </c>
      <c r="N1401" t="s">
        <v>300</v>
      </c>
      <c r="O1401" t="s">
        <v>16373</v>
      </c>
      <c r="P1401" t="s">
        <v>12</v>
      </c>
    </row>
    <row r="1402">
      <c r="A1402">
        <f>HYPERLINK("http://bombeiros.sp.gov.br/hidrantes/03individual/5633.html","5633")</f>
      </c>
      <c r="B1402" t="s">
        <v>114</v>
      </c>
      <c r="C1402" t="s">
        <v>300</v>
      </c>
      <c r="D1402" t="s">
        <v>4982</v>
      </c>
      <c r="E1402" t="s">
        <v>15</v>
      </c>
      <c r="F1402" t="s">
        <v>5046</v>
      </c>
      <c r="G1402" t="s">
        <v>18251</v>
      </c>
      <c r="H1402" t="s">
        <v>1107</v>
      </c>
      <c r="I1402" t="s">
        <v>1108</v>
      </c>
      <c r="J1402" t="s">
        <v>5047</v>
      </c>
      <c r="K1402" t="s">
        <v>5048</v>
      </c>
      <c r="L1402" t="s">
        <v>21</v>
      </c>
      <c r="M1402" t="s">
        <v>19177</v>
      </c>
      <c r="N1402" t="s">
        <v>300</v>
      </c>
      <c r="O1402" t="s">
        <v>16373</v>
      </c>
      <c r="P1402" t="s">
        <v>12</v>
      </c>
    </row>
    <row r="1403">
      <c r="A1403">
        <f>HYPERLINK("http://bombeiros.sp.gov.br/hidrantes/03individual/5636.html","5636")</f>
      </c>
      <c r="B1403" t="s">
        <v>114</v>
      </c>
      <c r="C1403" t="s">
        <v>300</v>
      </c>
      <c r="D1403" t="s">
        <v>4982</v>
      </c>
      <c r="E1403" t="s">
        <v>15</v>
      </c>
      <c r="F1403" t="s">
        <v>5049</v>
      </c>
      <c r="G1403" t="s">
        <v>18251</v>
      </c>
      <c r="H1403" t="s">
        <v>1174</v>
      </c>
      <c r="I1403" t="s">
        <v>1117</v>
      </c>
      <c r="J1403" t="s">
        <v>5050</v>
      </c>
      <c r="K1403" t="s">
        <v>5051</v>
      </c>
      <c r="L1403" t="s">
        <v>21</v>
      </c>
      <c r="M1403" t="s">
        <v>19177</v>
      </c>
      <c r="N1403" t="s">
        <v>300</v>
      </c>
      <c r="O1403" t="s">
        <v>16373</v>
      </c>
      <c r="P1403" t="s">
        <v>12</v>
      </c>
    </row>
    <row r="1404">
      <c r="A1404">
        <f>HYPERLINK("http://bombeiros.sp.gov.br/hidrantes/03individual/16591.html","16591")</f>
      </c>
      <c r="B1404" t="s">
        <v>114</v>
      </c>
      <c r="C1404" t="s">
        <v>300</v>
      </c>
      <c r="D1404" t="s">
        <v>4982</v>
      </c>
      <c r="E1404" t="s">
        <v>15</v>
      </c>
      <c r="F1404" t="s">
        <v>5052</v>
      </c>
      <c r="G1404" t="s">
        <v>18172</v>
      </c>
      <c r="H1404" t="s">
        <v>1112</v>
      </c>
      <c r="I1404" t="s">
        <v>1117</v>
      </c>
      <c r="J1404" t="s">
        <v>5053</v>
      </c>
      <c r="K1404" t="s">
        <v>5054</v>
      </c>
      <c r="L1404" t="s">
        <v>21</v>
      </c>
      <c r="M1404" t="s">
        <v>19177</v>
      </c>
      <c r="N1404" t="s">
        <v>300</v>
      </c>
      <c r="O1404" t="s">
        <v>16373</v>
      </c>
      <c r="P1404" t="s">
        <v>12</v>
      </c>
    </row>
    <row r="1405">
      <c r="A1405">
        <f>HYPERLINK("http://bombeiros.sp.gov.br/hidrantes/03individual/17690.html","17690")</f>
      </c>
      <c r="B1405" t="s">
        <v>114</v>
      </c>
      <c r="C1405" t="s">
        <v>300</v>
      </c>
      <c r="D1405" t="s">
        <v>4982</v>
      </c>
      <c r="E1405" t="s">
        <v>15</v>
      </c>
      <c r="F1405" t="s">
        <v>5055</v>
      </c>
      <c r="G1405" t="s">
        <v>18089</v>
      </c>
      <c r="H1405" t="s">
        <v>1112</v>
      </c>
      <c r="I1405" t="s">
        <v>1108</v>
      </c>
      <c r="J1405" t="s">
        <v>5056</v>
      </c>
      <c r="K1405" t="s">
        <v>5057</v>
      </c>
      <c r="L1405" t="s">
        <v>21</v>
      </c>
      <c r="M1405" t="s">
        <v>19177</v>
      </c>
      <c r="N1405" t="s">
        <v>300</v>
      </c>
      <c r="O1405" t="s">
        <v>16373</v>
      </c>
      <c r="P1405" t="s">
        <v>12</v>
      </c>
    </row>
    <row r="1406">
      <c r="A1406">
        <f>HYPERLINK("http://bombeiros.sp.gov.br/hidrantes/03individual/17720.html","17720")</f>
      </c>
      <c r="B1406" t="s">
        <v>114</v>
      </c>
      <c r="C1406" t="s">
        <v>300</v>
      </c>
      <c r="D1406" t="s">
        <v>4982</v>
      </c>
      <c r="E1406" t="s">
        <v>15</v>
      </c>
      <c r="F1406" t="s">
        <v>5058</v>
      </c>
      <c r="G1406" t="s">
        <v>18133</v>
      </c>
      <c r="H1406" t="s">
        <v>1107</v>
      </c>
      <c r="I1406" t="s">
        <v>1108</v>
      </c>
      <c r="J1406" t="s">
        <v>5059</v>
      </c>
      <c r="K1406" t="s">
        <v>5060</v>
      </c>
      <c r="L1406" t="s">
        <v>21</v>
      </c>
      <c r="M1406" t="s">
        <v>19177</v>
      </c>
      <c r="N1406" t="s">
        <v>300</v>
      </c>
      <c r="O1406" t="s">
        <v>16373</v>
      </c>
      <c r="P1406" t="s">
        <v>12</v>
      </c>
    </row>
    <row r="1407">
      <c r="A1407">
        <f>HYPERLINK("http://bombeiros.sp.gov.br/hidrantes/03individual/27297.html","27297")</f>
      </c>
      <c r="B1407" t="s">
        <v>114</v>
      </c>
      <c r="C1407" t="s">
        <v>300</v>
      </c>
      <c r="D1407" t="s">
        <v>4982</v>
      </c>
      <c r="E1407" t="s">
        <v>15</v>
      </c>
      <c r="F1407" t="s">
        <v>17075</v>
      </c>
      <c r="G1407" t="s">
        <v>18133</v>
      </c>
      <c r="H1407"/>
      <c r="I1407" t="s">
        <v>18</v>
      </c>
      <c r="J1407" t="s">
        <v>17076</v>
      </c>
      <c r="K1407" t="s">
        <v>17077</v>
      </c>
      <c r="L1407" t="s">
        <v>21</v>
      </c>
      <c r="M1407" t="s">
        <v>19177</v>
      </c>
      <c r="N1407" t="s">
        <v>300</v>
      </c>
      <c r="O1407" t="s">
        <v>16373</v>
      </c>
      <c r="P1407" t="s">
        <v>12</v>
      </c>
    </row>
    <row r="1408">
      <c r="A1408">
        <f>HYPERLINK("http://bombeiros.sp.gov.br/hidrantes/03individual/27298.html","27298")</f>
      </c>
      <c r="B1408" t="s">
        <v>114</v>
      </c>
      <c r="C1408" t="s">
        <v>300</v>
      </c>
      <c r="D1408" t="s">
        <v>4982</v>
      </c>
      <c r="E1408" t="s">
        <v>15</v>
      </c>
      <c r="F1408" t="s">
        <v>17078</v>
      </c>
      <c r="G1408" t="s">
        <v>18251</v>
      </c>
      <c r="H1408" t="s">
        <v>1121</v>
      </c>
      <c r="I1408" t="s">
        <v>1117</v>
      </c>
      <c r="J1408" t="s">
        <v>17079</v>
      </c>
      <c r="K1408" t="s">
        <v>17080</v>
      </c>
      <c r="L1408" t="s">
        <v>21</v>
      </c>
      <c r="M1408" t="s">
        <v>19177</v>
      </c>
      <c r="N1408" t="s">
        <v>300</v>
      </c>
      <c r="O1408" t="s">
        <v>16373</v>
      </c>
      <c r="P1408" t="s">
        <v>12</v>
      </c>
    </row>
    <row r="1409">
      <c r="A1409">
        <f>HYPERLINK("http://bombeiros.sp.gov.br/hidrantes/03individual/3047.html","3047")</f>
      </c>
      <c r="B1409" t="s">
        <v>114</v>
      </c>
      <c r="C1409" t="s">
        <v>300</v>
      </c>
      <c r="D1409" t="s">
        <v>3467</v>
      </c>
      <c r="E1409" t="s">
        <v>15</v>
      </c>
      <c r="F1409" t="s">
        <v>5061</v>
      </c>
      <c r="G1409" t="s">
        <v>18133</v>
      </c>
      <c r="H1409" t="s">
        <v>1107</v>
      </c>
      <c r="I1409" t="s">
        <v>1108</v>
      </c>
      <c r="J1409" t="s">
        <v>16507</v>
      </c>
      <c r="K1409" t="s">
        <v>16508</v>
      </c>
      <c r="L1409" t="s">
        <v>21</v>
      </c>
      <c r="M1409" t="s">
        <v>19177</v>
      </c>
      <c r="N1409" t="s">
        <v>300</v>
      </c>
      <c r="O1409" t="s">
        <v>16373</v>
      </c>
      <c r="P1409" t="s">
        <v>12</v>
      </c>
    </row>
    <row r="1410">
      <c r="A1410">
        <f>HYPERLINK("http://bombeiros.sp.gov.br/hidrantes/03individual/996.html","996")</f>
      </c>
      <c r="B1410" t="s">
        <v>114</v>
      </c>
      <c r="C1410" t="s">
        <v>304</v>
      </c>
      <c r="D1410" t="s">
        <v>5064</v>
      </c>
      <c r="E1410" t="s">
        <v>64</v>
      </c>
      <c r="F1410" t="s">
        <v>5065</v>
      </c>
      <c r="G1410" t="s">
        <v>18098</v>
      </c>
      <c r="H1410" t="s">
        <v>1112</v>
      </c>
      <c r="I1410" t="s">
        <v>1108</v>
      </c>
      <c r="J1410" t="s">
        <v>5066</v>
      </c>
      <c r="K1410" t="s">
        <v>5067</v>
      </c>
      <c r="L1410" t="s">
        <v>21</v>
      </c>
      <c r="M1410" t="s">
        <v>19177</v>
      </c>
      <c r="N1410" t="s">
        <v>97</v>
      </c>
      <c r="O1410" t="s">
        <v>937</v>
      </c>
      <c r="P1410" t="s">
        <v>12</v>
      </c>
    </row>
    <row r="1411">
      <c r="A1411">
        <f>HYPERLINK("http://bombeiros.sp.gov.br/hidrantes/03individual/1002.html","1002")</f>
      </c>
      <c r="B1411" t="s">
        <v>114</v>
      </c>
      <c r="C1411" t="s">
        <v>304</v>
      </c>
      <c r="D1411" t="s">
        <v>5064</v>
      </c>
      <c r="E1411" t="s">
        <v>64</v>
      </c>
      <c r="F1411" t="s">
        <v>5068</v>
      </c>
      <c r="G1411" t="s">
        <v>18098</v>
      </c>
      <c r="H1411" t="s">
        <v>1112</v>
      </c>
      <c r="I1411" t="s">
        <v>1108</v>
      </c>
      <c r="J1411" t="s">
        <v>5069</v>
      </c>
      <c r="K1411" t="s">
        <v>5070</v>
      </c>
      <c r="L1411" t="s">
        <v>36</v>
      </c>
      <c r="M1411" t="s">
        <v>19177</v>
      </c>
      <c r="N1411" t="s">
        <v>97</v>
      </c>
      <c r="O1411" t="s">
        <v>937</v>
      </c>
      <c r="P1411" t="s">
        <v>12</v>
      </c>
    </row>
    <row r="1412">
      <c r="A1412">
        <f>HYPERLINK("http://bombeiros.sp.gov.br/hidrantes/03individual/695.html","695")</f>
      </c>
      <c r="B1412" t="s">
        <v>114</v>
      </c>
      <c r="C1412" t="s">
        <v>304</v>
      </c>
      <c r="D1412" t="s">
        <v>5064</v>
      </c>
      <c r="E1412" t="s">
        <v>15</v>
      </c>
      <c r="F1412" t="s">
        <v>5071</v>
      </c>
      <c r="G1412" t="s">
        <v>18050</v>
      </c>
      <c r="H1412" t="s">
        <v>1107</v>
      </c>
      <c r="I1412" t="s">
        <v>1108</v>
      </c>
      <c r="J1412" t="s">
        <v>5073</v>
      </c>
      <c r="K1412" t="s">
        <v>5074</v>
      </c>
      <c r="L1412" t="s">
        <v>21</v>
      </c>
      <c r="M1412" t="s">
        <v>19177</v>
      </c>
      <c r="N1412" t="s">
        <v>97</v>
      </c>
      <c r="O1412" t="s">
        <v>937</v>
      </c>
      <c r="P1412" t="s">
        <v>12</v>
      </c>
    </row>
    <row r="1413">
      <c r="A1413">
        <f>HYPERLINK("http://bombeiros.sp.gov.br/hidrantes/03individual/791.html","791")</f>
      </c>
      <c r="B1413" t="s">
        <v>114</v>
      </c>
      <c r="C1413" t="s">
        <v>304</v>
      </c>
      <c r="D1413" t="s">
        <v>5064</v>
      </c>
      <c r="E1413" t="s">
        <v>15</v>
      </c>
      <c r="F1413" t="s">
        <v>5075</v>
      </c>
      <c r="G1413" t="s">
        <v>18072</v>
      </c>
      <c r="H1413" t="s">
        <v>1107</v>
      </c>
      <c r="I1413" t="s">
        <v>1108</v>
      </c>
      <c r="J1413" t="s">
        <v>5076</v>
      </c>
      <c r="K1413" t="s">
        <v>5077</v>
      </c>
      <c r="L1413" t="s">
        <v>21</v>
      </c>
      <c r="M1413" t="s">
        <v>19177</v>
      </c>
      <c r="N1413" t="s">
        <v>97</v>
      </c>
      <c r="O1413" t="s">
        <v>937</v>
      </c>
      <c r="P1413" t="s">
        <v>12</v>
      </c>
    </row>
    <row r="1414">
      <c r="A1414">
        <f>HYPERLINK("http://bombeiros.sp.gov.br/hidrantes/03individual/1349.html","1349")</f>
      </c>
      <c r="B1414" t="s">
        <v>114</v>
      </c>
      <c r="C1414" t="s">
        <v>304</v>
      </c>
      <c r="D1414" t="s">
        <v>5064</v>
      </c>
      <c r="E1414" t="s">
        <v>15</v>
      </c>
      <c r="F1414" t="s">
        <v>5078</v>
      </c>
      <c r="G1414" t="s">
        <v>18078</v>
      </c>
      <c r="H1414" t="s">
        <v>1174</v>
      </c>
      <c r="I1414" t="s">
        <v>1117</v>
      </c>
      <c r="J1414" t="s">
        <v>5079</v>
      </c>
      <c r="K1414" t="s">
        <v>5080</v>
      </c>
      <c r="L1414" t="s">
        <v>21</v>
      </c>
      <c r="M1414" t="s">
        <v>19177</v>
      </c>
      <c r="N1414" t="s">
        <v>97</v>
      </c>
      <c r="O1414" t="s">
        <v>937</v>
      </c>
      <c r="P1414" t="s">
        <v>12</v>
      </c>
    </row>
    <row r="1415">
      <c r="A1415">
        <f>HYPERLINK("http://bombeiros.sp.gov.br/hidrantes/03individual/16632.html","16632")</f>
      </c>
      <c r="B1415" t="s">
        <v>114</v>
      </c>
      <c r="C1415" t="s">
        <v>304</v>
      </c>
      <c r="D1415" t="s">
        <v>5064</v>
      </c>
      <c r="E1415" t="s">
        <v>15</v>
      </c>
      <c r="F1415" t="s">
        <v>5081</v>
      </c>
      <c r="G1415" t="s">
        <v>18082</v>
      </c>
      <c r="H1415" t="s">
        <v>1112</v>
      </c>
      <c r="I1415" t="s">
        <v>1108</v>
      </c>
      <c r="J1415" t="s">
        <v>5082</v>
      </c>
      <c r="K1415" t="s">
        <v>5083</v>
      </c>
      <c r="L1415" t="s">
        <v>21</v>
      </c>
      <c r="M1415" t="s">
        <v>19177</v>
      </c>
      <c r="N1415" t="s">
        <v>97</v>
      </c>
      <c r="O1415" t="s">
        <v>937</v>
      </c>
      <c r="P1415" t="s">
        <v>12</v>
      </c>
    </row>
    <row r="1416">
      <c r="A1416">
        <f>HYPERLINK("http://bombeiros.sp.gov.br/hidrantes/03individual/17775.html","17775")</f>
      </c>
      <c r="B1416" t="s">
        <v>114</v>
      </c>
      <c r="C1416" t="s">
        <v>304</v>
      </c>
      <c r="D1416" t="s">
        <v>5064</v>
      </c>
      <c r="E1416" t="s">
        <v>15</v>
      </c>
      <c r="F1416" t="s">
        <v>5084</v>
      </c>
      <c r="G1416" t="s">
        <v>18082</v>
      </c>
      <c r="H1416" t="s">
        <v>1112</v>
      </c>
      <c r="I1416" t="s">
        <v>1108</v>
      </c>
      <c r="J1416" t="s">
        <v>5085</v>
      </c>
      <c r="K1416" t="s">
        <v>5086</v>
      </c>
      <c r="L1416" t="s">
        <v>21</v>
      </c>
      <c r="M1416" t="s">
        <v>19177</v>
      </c>
      <c r="N1416" t="s">
        <v>97</v>
      </c>
      <c r="O1416" t="s">
        <v>937</v>
      </c>
      <c r="P1416" t="s">
        <v>12</v>
      </c>
    </row>
    <row r="1417">
      <c r="A1417">
        <f>HYPERLINK("http://bombeiros.sp.gov.br/hidrantes/03individual/27167.html","27167")</f>
      </c>
      <c r="B1417" t="s">
        <v>114</v>
      </c>
      <c r="C1417" t="s">
        <v>304</v>
      </c>
      <c r="D1417" t="s">
        <v>5064</v>
      </c>
      <c r="E1417" t="s">
        <v>15</v>
      </c>
      <c r="F1417" t="s">
        <v>16869</v>
      </c>
      <c r="G1417" t="s">
        <v>18082</v>
      </c>
      <c r="H1417" t="s">
        <v>1112</v>
      </c>
      <c r="I1417" t="s">
        <v>1108</v>
      </c>
      <c r="J1417" t="s">
        <v>16870</v>
      </c>
      <c r="K1417" t="s">
        <v>16871</v>
      </c>
      <c r="L1417" t="s">
        <v>21</v>
      </c>
      <c r="M1417" t="s">
        <v>19177</v>
      </c>
      <c r="N1417" t="s">
        <v>97</v>
      </c>
      <c r="O1417" t="s">
        <v>937</v>
      </c>
      <c r="P1417" t="s">
        <v>12</v>
      </c>
    </row>
    <row r="1418">
      <c r="A1418">
        <f>HYPERLINK("http://bombeiros.sp.gov.br/hidrantes/03individual/1000.html","1000")</f>
      </c>
      <c r="B1418" t="s">
        <v>114</v>
      </c>
      <c r="C1418" t="s">
        <v>304</v>
      </c>
      <c r="D1418" t="s">
        <v>5087</v>
      </c>
      <c r="E1418" t="s">
        <v>64</v>
      </c>
      <c r="F1418" t="s">
        <v>5088</v>
      </c>
      <c r="G1418" t="s">
        <v>18048</v>
      </c>
      <c r="H1418" t="s">
        <v>1107</v>
      </c>
      <c r="I1418" t="s">
        <v>1108</v>
      </c>
      <c r="J1418" t="s">
        <v>5089</v>
      </c>
      <c r="K1418" t="s">
        <v>5090</v>
      </c>
      <c r="L1418" t="s">
        <v>21</v>
      </c>
      <c r="M1418" t="s">
        <v>19177</v>
      </c>
      <c r="N1418" t="s">
        <v>97</v>
      </c>
      <c r="O1418" t="s">
        <v>937</v>
      </c>
      <c r="P1418" t="s">
        <v>12</v>
      </c>
    </row>
    <row r="1419">
      <c r="A1419">
        <f>HYPERLINK("http://bombeiros.sp.gov.br/hidrantes/03individual/1001.html","1001")</f>
      </c>
      <c r="B1419" t="s">
        <v>114</v>
      </c>
      <c r="C1419" t="s">
        <v>304</v>
      </c>
      <c r="D1419" t="s">
        <v>5087</v>
      </c>
      <c r="E1419" t="s">
        <v>64</v>
      </c>
      <c r="F1419" t="s">
        <v>5091</v>
      </c>
      <c r="G1419" t="s">
        <v>18048</v>
      </c>
      <c r="H1419" t="s">
        <v>1112</v>
      </c>
      <c r="I1419" t="s">
        <v>1108</v>
      </c>
      <c r="J1419" t="s">
        <v>5092</v>
      </c>
      <c r="K1419" t="s">
        <v>5093</v>
      </c>
      <c r="L1419" t="s">
        <v>36</v>
      </c>
      <c r="M1419" t="s">
        <v>19177</v>
      </c>
      <c r="N1419" t="s">
        <v>97</v>
      </c>
      <c r="O1419" t="s">
        <v>937</v>
      </c>
      <c r="P1419" t="s">
        <v>12</v>
      </c>
    </row>
    <row r="1420">
      <c r="A1420">
        <f>HYPERLINK("http://bombeiros.sp.gov.br/hidrantes/03individual/1743.html","1743")</f>
      </c>
      <c r="B1420" t="s">
        <v>114</v>
      </c>
      <c r="C1420" t="s">
        <v>304</v>
      </c>
      <c r="D1420" t="s">
        <v>5087</v>
      </c>
      <c r="E1420" t="s">
        <v>64</v>
      </c>
      <c r="F1420" t="s">
        <v>5094</v>
      </c>
      <c r="G1420" t="s">
        <v>18048</v>
      </c>
      <c r="H1420" t="s">
        <v>1174</v>
      </c>
      <c r="I1420" t="s">
        <v>1108</v>
      </c>
      <c r="J1420" t="s">
        <v>5095</v>
      </c>
      <c r="K1420" t="s">
        <v>5096</v>
      </c>
      <c r="L1420" t="s">
        <v>36</v>
      </c>
      <c r="M1420" t="s">
        <v>19177</v>
      </c>
      <c r="N1420" t="s">
        <v>97</v>
      </c>
      <c r="O1420" t="s">
        <v>937</v>
      </c>
      <c r="P1420" t="s">
        <v>12</v>
      </c>
    </row>
    <row r="1421">
      <c r="A1421">
        <f>HYPERLINK("http://bombeiros.sp.gov.br/hidrantes/03individual/529.html","529")</f>
      </c>
      <c r="B1421" t="s">
        <v>114</v>
      </c>
      <c r="C1421" t="s">
        <v>304</v>
      </c>
      <c r="D1421" t="s">
        <v>5087</v>
      </c>
      <c r="E1421" t="s">
        <v>15</v>
      </c>
      <c r="F1421" t="s">
        <v>5097</v>
      </c>
      <c r="G1421" t="s">
        <v>18050</v>
      </c>
      <c r="H1421"/>
      <c r="I1421" t="s">
        <v>18</v>
      </c>
      <c r="J1421" t="s">
        <v>5098</v>
      </c>
      <c r="K1421" t="s">
        <v>5099</v>
      </c>
      <c r="L1421" t="s">
        <v>21</v>
      </c>
      <c r="M1421" t="s">
        <v>19177</v>
      </c>
      <c r="N1421" t="s">
        <v>97</v>
      </c>
      <c r="O1421" t="s">
        <v>937</v>
      </c>
      <c r="P1421" t="s">
        <v>12</v>
      </c>
    </row>
    <row r="1422">
      <c r="A1422">
        <f>HYPERLINK("http://bombeiros.sp.gov.br/hidrantes/03individual/512.html","512")</f>
      </c>
      <c r="B1422" t="s">
        <v>114</v>
      </c>
      <c r="C1422" t="s">
        <v>304</v>
      </c>
      <c r="D1422" t="s">
        <v>304</v>
      </c>
      <c r="E1422" t="s">
        <v>64</v>
      </c>
      <c r="F1422" t="s">
        <v>5100</v>
      </c>
      <c r="G1422" t="s">
        <v>18069</v>
      </c>
      <c r="H1422" t="s">
        <v>1107</v>
      </c>
      <c r="I1422" t="s">
        <v>1108</v>
      </c>
      <c r="J1422" t="s">
        <v>5101</v>
      </c>
      <c r="K1422" t="s">
        <v>5102</v>
      </c>
      <c r="L1422" t="s">
        <v>21</v>
      </c>
      <c r="M1422" t="s">
        <v>19177</v>
      </c>
      <c r="N1422" t="s">
        <v>97</v>
      </c>
      <c r="O1422" t="s">
        <v>937</v>
      </c>
      <c r="P1422" t="s">
        <v>12</v>
      </c>
    </row>
    <row r="1423">
      <c r="A1423">
        <f>HYPERLINK("http://bombeiros.sp.gov.br/hidrantes/03individual/1356.html","1356")</f>
      </c>
      <c r="B1423" t="s">
        <v>114</v>
      </c>
      <c r="C1423" t="s">
        <v>304</v>
      </c>
      <c r="D1423" t="s">
        <v>304</v>
      </c>
      <c r="E1423" t="s">
        <v>64</v>
      </c>
      <c r="F1423" t="s">
        <v>5103</v>
      </c>
      <c r="G1423" t="s">
        <v>18078</v>
      </c>
      <c r="H1423" t="s">
        <v>1121</v>
      </c>
      <c r="I1423" t="s">
        <v>1117</v>
      </c>
      <c r="J1423" t="s">
        <v>5104</v>
      </c>
      <c r="K1423" t="s">
        <v>5105</v>
      </c>
      <c r="L1423" t="s">
        <v>21</v>
      </c>
      <c r="M1423" t="s">
        <v>19177</v>
      </c>
      <c r="N1423" t="s">
        <v>97</v>
      </c>
      <c r="O1423" t="s">
        <v>937</v>
      </c>
      <c r="P1423" t="s">
        <v>12</v>
      </c>
    </row>
    <row r="1424">
      <c r="A1424">
        <f>HYPERLINK("http://bombeiros.sp.gov.br/hidrantes/03individual/2041.html","2041")</f>
      </c>
      <c r="B1424" t="s">
        <v>114</v>
      </c>
      <c r="C1424" t="s">
        <v>304</v>
      </c>
      <c r="D1424" t="s">
        <v>304</v>
      </c>
      <c r="E1424" t="s">
        <v>64</v>
      </c>
      <c r="F1424" t="s">
        <v>5106</v>
      </c>
      <c r="G1424" t="s">
        <v>18048</v>
      </c>
      <c r="H1424" t="s">
        <v>1121</v>
      </c>
      <c r="I1424" t="s">
        <v>1117</v>
      </c>
      <c r="J1424" t="s">
        <v>5107</v>
      </c>
      <c r="K1424" t="s">
        <v>5108</v>
      </c>
      <c r="L1424" t="s">
        <v>21</v>
      </c>
      <c r="M1424" t="s">
        <v>19177</v>
      </c>
      <c r="N1424" t="s">
        <v>97</v>
      </c>
      <c r="O1424" t="s">
        <v>937</v>
      </c>
      <c r="P1424" t="s">
        <v>12</v>
      </c>
    </row>
    <row r="1425">
      <c r="A1425">
        <f>HYPERLINK("http://bombeiros.sp.gov.br/hidrantes/03individual/268.html","268")</f>
      </c>
      <c r="B1425" t="s">
        <v>114</v>
      </c>
      <c r="C1425" t="s">
        <v>304</v>
      </c>
      <c r="D1425" t="s">
        <v>304</v>
      </c>
      <c r="E1425" t="s">
        <v>15</v>
      </c>
      <c r="F1425" t="s">
        <v>5109</v>
      </c>
      <c r="G1425" t="s">
        <v>18069</v>
      </c>
      <c r="H1425" t="s">
        <v>1107</v>
      </c>
      <c r="I1425" t="s">
        <v>1108</v>
      </c>
      <c r="J1425" t="s">
        <v>5110</v>
      </c>
      <c r="K1425" t="s">
        <v>5111</v>
      </c>
      <c r="L1425" t="s">
        <v>21</v>
      </c>
      <c r="M1425" t="s">
        <v>19177</v>
      </c>
      <c r="N1425" t="s">
        <v>97</v>
      </c>
      <c r="O1425" t="s">
        <v>937</v>
      </c>
      <c r="P1425" t="s">
        <v>12</v>
      </c>
    </row>
    <row r="1426">
      <c r="A1426">
        <f>HYPERLINK("http://bombeiros.sp.gov.br/hidrantes/03individual/507.html","507")</f>
      </c>
      <c r="B1426" t="s">
        <v>114</v>
      </c>
      <c r="C1426" t="s">
        <v>304</v>
      </c>
      <c r="D1426" t="s">
        <v>304</v>
      </c>
      <c r="E1426" t="s">
        <v>15</v>
      </c>
      <c r="F1426" t="s">
        <v>5112</v>
      </c>
      <c r="G1426" t="s">
        <v>18069</v>
      </c>
      <c r="H1426" t="s">
        <v>1107</v>
      </c>
      <c r="I1426" t="s">
        <v>1108</v>
      </c>
      <c r="J1426" t="s">
        <v>5114</v>
      </c>
      <c r="K1426" t="s">
        <v>5115</v>
      </c>
      <c r="L1426" t="s">
        <v>21</v>
      </c>
      <c r="M1426" t="s">
        <v>19177</v>
      </c>
      <c r="N1426" t="s">
        <v>97</v>
      </c>
      <c r="O1426" t="s">
        <v>937</v>
      </c>
      <c r="P1426" t="s">
        <v>12</v>
      </c>
    </row>
    <row r="1427">
      <c r="A1427">
        <f>HYPERLINK("http://bombeiros.sp.gov.br/hidrantes/03individual/558.html","558")</f>
      </c>
      <c r="B1427" t="s">
        <v>114</v>
      </c>
      <c r="C1427" t="s">
        <v>304</v>
      </c>
      <c r="D1427" t="s">
        <v>304</v>
      </c>
      <c r="E1427" t="s">
        <v>15</v>
      </c>
      <c r="F1427" t="s">
        <v>5116</v>
      </c>
      <c r="G1427" t="s">
        <v>18069</v>
      </c>
      <c r="H1427" t="s">
        <v>1107</v>
      </c>
      <c r="I1427" t="s">
        <v>1108</v>
      </c>
      <c r="J1427" t="s">
        <v>5117</v>
      </c>
      <c r="K1427" t="s">
        <v>5118</v>
      </c>
      <c r="L1427" t="s">
        <v>21</v>
      </c>
      <c r="M1427" t="s">
        <v>19177</v>
      </c>
      <c r="N1427" t="s">
        <v>97</v>
      </c>
      <c r="O1427" t="s">
        <v>937</v>
      </c>
      <c r="P1427" t="s">
        <v>12</v>
      </c>
    </row>
    <row r="1428">
      <c r="A1428">
        <f>HYPERLINK("http://bombeiros.sp.gov.br/hidrantes/03individual/561.html","561")</f>
      </c>
      <c r="B1428" t="s">
        <v>114</v>
      </c>
      <c r="C1428" t="s">
        <v>304</v>
      </c>
      <c r="D1428" t="s">
        <v>304</v>
      </c>
      <c r="E1428" t="s">
        <v>15</v>
      </c>
      <c r="F1428" t="s">
        <v>5119</v>
      </c>
      <c r="G1428" t="s">
        <v>18069</v>
      </c>
      <c r="H1428" t="s">
        <v>1107</v>
      </c>
      <c r="I1428" t="s">
        <v>1108</v>
      </c>
      <c r="J1428" t="s">
        <v>5120</v>
      </c>
      <c r="K1428" t="s">
        <v>5121</v>
      </c>
      <c r="L1428" t="s">
        <v>21</v>
      </c>
      <c r="M1428" t="s">
        <v>19177</v>
      </c>
      <c r="N1428" t="s">
        <v>97</v>
      </c>
      <c r="O1428" t="s">
        <v>937</v>
      </c>
      <c r="P1428" t="s">
        <v>12</v>
      </c>
    </row>
    <row r="1429">
      <c r="A1429">
        <f>HYPERLINK("http://bombeiros.sp.gov.br/hidrantes/03individual/608.html","608")</f>
      </c>
      <c r="B1429" t="s">
        <v>114</v>
      </c>
      <c r="C1429" t="s">
        <v>304</v>
      </c>
      <c r="D1429" t="s">
        <v>304</v>
      </c>
      <c r="E1429" t="s">
        <v>15</v>
      </c>
      <c r="F1429" t="s">
        <v>5122</v>
      </c>
      <c r="G1429" t="s">
        <v>18069</v>
      </c>
      <c r="H1429" t="s">
        <v>1107</v>
      </c>
      <c r="I1429" t="s">
        <v>1108</v>
      </c>
      <c r="J1429" t="s">
        <v>5123</v>
      </c>
      <c r="K1429" t="s">
        <v>5124</v>
      </c>
      <c r="L1429" t="s">
        <v>21</v>
      </c>
      <c r="M1429" t="s">
        <v>19177</v>
      </c>
      <c r="N1429" t="s">
        <v>97</v>
      </c>
      <c r="O1429" t="s">
        <v>937</v>
      </c>
      <c r="P1429" t="s">
        <v>12</v>
      </c>
    </row>
    <row r="1430">
      <c r="A1430">
        <f>HYPERLINK("http://bombeiros.sp.gov.br/hidrantes/03individual/622.html","622")</f>
      </c>
      <c r="B1430" t="s">
        <v>114</v>
      </c>
      <c r="C1430" t="s">
        <v>304</v>
      </c>
      <c r="D1430" t="s">
        <v>304</v>
      </c>
      <c r="E1430" t="s">
        <v>15</v>
      </c>
      <c r="F1430" t="s">
        <v>5128</v>
      </c>
      <c r="G1430" t="s">
        <v>18069</v>
      </c>
      <c r="H1430" t="s">
        <v>1174</v>
      </c>
      <c r="I1430" t="s">
        <v>1117</v>
      </c>
      <c r="J1430" t="s">
        <v>17706</v>
      </c>
      <c r="K1430" t="s">
        <v>17707</v>
      </c>
      <c r="L1430" t="s">
        <v>21</v>
      </c>
      <c r="M1430" t="s">
        <v>19177</v>
      </c>
      <c r="N1430" t="s">
        <v>97</v>
      </c>
      <c r="O1430" t="s">
        <v>937</v>
      </c>
      <c r="P1430" t="s">
        <v>12</v>
      </c>
    </row>
    <row r="1431">
      <c r="A1431">
        <f>HYPERLINK("http://bombeiros.sp.gov.br/hidrantes/03individual/623.html","623")</f>
      </c>
      <c r="B1431" t="s">
        <v>114</v>
      </c>
      <c r="C1431" t="s">
        <v>304</v>
      </c>
      <c r="D1431" t="s">
        <v>304</v>
      </c>
      <c r="E1431" t="s">
        <v>15</v>
      </c>
      <c r="F1431" t="s">
        <v>5131</v>
      </c>
      <c r="G1431" t="s">
        <v>18069</v>
      </c>
      <c r="H1431" t="s">
        <v>1107</v>
      </c>
      <c r="I1431" t="s">
        <v>1108</v>
      </c>
      <c r="J1431" t="s">
        <v>5132</v>
      </c>
      <c r="K1431" t="s">
        <v>5133</v>
      </c>
      <c r="L1431" t="s">
        <v>21</v>
      </c>
      <c r="M1431" t="s">
        <v>19177</v>
      </c>
      <c r="N1431" t="s">
        <v>97</v>
      </c>
      <c r="O1431" t="s">
        <v>937</v>
      </c>
      <c r="P1431" t="s">
        <v>12</v>
      </c>
    </row>
    <row r="1432">
      <c r="A1432">
        <f>HYPERLINK("http://bombeiros.sp.gov.br/hidrantes/03individual/630.html","630")</f>
      </c>
      <c r="B1432" t="s">
        <v>114</v>
      </c>
      <c r="C1432" t="s">
        <v>304</v>
      </c>
      <c r="D1432" t="s">
        <v>304</v>
      </c>
      <c r="E1432" t="s">
        <v>15</v>
      </c>
      <c r="F1432" t="s">
        <v>5134</v>
      </c>
      <c r="G1432" t="s">
        <v>18069</v>
      </c>
      <c r="H1432" t="s">
        <v>1107</v>
      </c>
      <c r="I1432" t="s">
        <v>1108</v>
      </c>
      <c r="J1432" t="s">
        <v>5135</v>
      </c>
      <c r="K1432" t="s">
        <v>5136</v>
      </c>
      <c r="L1432" t="s">
        <v>21</v>
      </c>
      <c r="M1432" t="s">
        <v>19177</v>
      </c>
      <c r="N1432" t="s">
        <v>97</v>
      </c>
      <c r="O1432" t="s">
        <v>937</v>
      </c>
      <c r="P1432" t="s">
        <v>12</v>
      </c>
    </row>
    <row r="1433">
      <c r="A1433">
        <f>HYPERLINK("http://bombeiros.sp.gov.br/hidrantes/03individual/639.html","639")</f>
      </c>
      <c r="B1433" t="s">
        <v>114</v>
      </c>
      <c r="C1433" t="s">
        <v>304</v>
      </c>
      <c r="D1433" t="s">
        <v>304</v>
      </c>
      <c r="E1433" t="s">
        <v>15</v>
      </c>
      <c r="F1433" t="s">
        <v>5137</v>
      </c>
      <c r="G1433" t="s">
        <v>18069</v>
      </c>
      <c r="H1433" t="s">
        <v>1107</v>
      </c>
      <c r="I1433" t="s">
        <v>1108</v>
      </c>
      <c r="J1433" t="s">
        <v>5138</v>
      </c>
      <c r="K1433" t="s">
        <v>5139</v>
      </c>
      <c r="L1433" t="s">
        <v>21</v>
      </c>
      <c r="M1433" t="s">
        <v>19177</v>
      </c>
      <c r="N1433" t="s">
        <v>97</v>
      </c>
      <c r="O1433" t="s">
        <v>937</v>
      </c>
      <c r="P1433" t="s">
        <v>12</v>
      </c>
    </row>
    <row r="1434">
      <c r="A1434">
        <f>HYPERLINK("http://bombeiros.sp.gov.br/hidrantes/03individual/673.html","673")</f>
      </c>
      <c r="B1434" t="s">
        <v>114</v>
      </c>
      <c r="C1434" t="s">
        <v>304</v>
      </c>
      <c r="D1434" t="s">
        <v>304</v>
      </c>
      <c r="E1434" t="s">
        <v>15</v>
      </c>
      <c r="F1434" t="s">
        <v>5140</v>
      </c>
      <c r="G1434" t="s">
        <v>18069</v>
      </c>
      <c r="H1434" t="s">
        <v>1107</v>
      </c>
      <c r="I1434" t="s">
        <v>1108</v>
      </c>
      <c r="J1434" t="s">
        <v>5141</v>
      </c>
      <c r="K1434" t="s">
        <v>5142</v>
      </c>
      <c r="L1434" t="s">
        <v>21</v>
      </c>
      <c r="M1434" t="s">
        <v>19177</v>
      </c>
      <c r="N1434" t="s">
        <v>97</v>
      </c>
      <c r="O1434" t="s">
        <v>937</v>
      </c>
      <c r="P1434" t="s">
        <v>12</v>
      </c>
    </row>
    <row r="1435">
      <c r="A1435">
        <f>HYPERLINK("http://bombeiros.sp.gov.br/hidrantes/03individual/674.html","674")</f>
      </c>
      <c r="B1435" t="s">
        <v>114</v>
      </c>
      <c r="C1435" t="s">
        <v>304</v>
      </c>
      <c r="D1435" t="s">
        <v>304</v>
      </c>
      <c r="E1435" t="s">
        <v>15</v>
      </c>
      <c r="F1435" t="s">
        <v>5143</v>
      </c>
      <c r="G1435" t="s">
        <v>18069</v>
      </c>
      <c r="H1435" t="s">
        <v>1107</v>
      </c>
      <c r="I1435" t="s">
        <v>1108</v>
      </c>
      <c r="J1435" t="s">
        <v>5144</v>
      </c>
      <c r="K1435" t="s">
        <v>5145</v>
      </c>
      <c r="L1435" t="s">
        <v>21</v>
      </c>
      <c r="M1435" t="s">
        <v>19177</v>
      </c>
      <c r="N1435" t="s">
        <v>97</v>
      </c>
      <c r="O1435" t="s">
        <v>937</v>
      </c>
      <c r="P1435" t="s">
        <v>12</v>
      </c>
    </row>
    <row r="1436">
      <c r="A1436">
        <f>HYPERLINK("http://bombeiros.sp.gov.br/hidrantes/03individual/702.html","702")</f>
      </c>
      <c r="B1436" t="s">
        <v>114</v>
      </c>
      <c r="C1436" t="s">
        <v>304</v>
      </c>
      <c r="D1436" t="s">
        <v>304</v>
      </c>
      <c r="E1436" t="s">
        <v>15</v>
      </c>
      <c r="F1436" t="s">
        <v>5146</v>
      </c>
      <c r="G1436" t="s">
        <v>18069</v>
      </c>
      <c r="H1436" t="s">
        <v>1107</v>
      </c>
      <c r="I1436" t="s">
        <v>1108</v>
      </c>
      <c r="J1436" t="s">
        <v>5147</v>
      </c>
      <c r="K1436" t="s">
        <v>5148</v>
      </c>
      <c r="L1436" t="s">
        <v>21</v>
      </c>
      <c r="M1436" t="s">
        <v>19177</v>
      </c>
      <c r="N1436" t="s">
        <v>97</v>
      </c>
      <c r="O1436" t="s">
        <v>937</v>
      </c>
      <c r="P1436" t="s">
        <v>12</v>
      </c>
    </row>
    <row r="1437">
      <c r="A1437">
        <f>HYPERLINK("http://bombeiros.sp.gov.br/hidrantes/03individual/704.html","704")</f>
      </c>
      <c r="B1437" t="s">
        <v>114</v>
      </c>
      <c r="C1437" t="s">
        <v>304</v>
      </c>
      <c r="D1437" t="s">
        <v>304</v>
      </c>
      <c r="E1437" t="s">
        <v>15</v>
      </c>
      <c r="F1437" t="s">
        <v>3705</v>
      </c>
      <c r="G1437" t="s">
        <v>18069</v>
      </c>
      <c r="H1437" t="s">
        <v>1107</v>
      </c>
      <c r="I1437" t="s">
        <v>1108</v>
      </c>
      <c r="J1437" t="s">
        <v>5149</v>
      </c>
      <c r="K1437" t="s">
        <v>5150</v>
      </c>
      <c r="L1437" t="s">
        <v>21</v>
      </c>
      <c r="M1437" t="s">
        <v>19177</v>
      </c>
      <c r="N1437" t="s">
        <v>97</v>
      </c>
      <c r="O1437" t="s">
        <v>937</v>
      </c>
      <c r="P1437" t="s">
        <v>12</v>
      </c>
    </row>
    <row r="1438">
      <c r="A1438">
        <f>HYPERLINK("http://bombeiros.sp.gov.br/hidrantes/03individual/739.html","739")</f>
      </c>
      <c r="B1438" t="s">
        <v>114</v>
      </c>
      <c r="C1438" t="s">
        <v>304</v>
      </c>
      <c r="D1438" t="s">
        <v>304</v>
      </c>
      <c r="E1438" t="s">
        <v>15</v>
      </c>
      <c r="F1438" t="s">
        <v>5151</v>
      </c>
      <c r="G1438" t="s">
        <v>18069</v>
      </c>
      <c r="H1438" t="s">
        <v>1107</v>
      </c>
      <c r="I1438" t="s">
        <v>1108</v>
      </c>
      <c r="J1438" t="s">
        <v>5152</v>
      </c>
      <c r="K1438" t="s">
        <v>5153</v>
      </c>
      <c r="L1438" t="s">
        <v>21</v>
      </c>
      <c r="M1438" t="s">
        <v>19177</v>
      </c>
      <c r="N1438" t="s">
        <v>97</v>
      </c>
      <c r="O1438" t="s">
        <v>937</v>
      </c>
      <c r="P1438" t="s">
        <v>12</v>
      </c>
    </row>
    <row r="1439">
      <c r="A1439">
        <f>HYPERLINK("http://bombeiros.sp.gov.br/hidrantes/03individual/774.html","774")</f>
      </c>
      <c r="B1439" t="s">
        <v>114</v>
      </c>
      <c r="C1439" t="s">
        <v>304</v>
      </c>
      <c r="D1439" t="s">
        <v>304</v>
      </c>
      <c r="E1439" t="s">
        <v>15</v>
      </c>
      <c r="F1439" t="s">
        <v>5157</v>
      </c>
      <c r="G1439" t="s">
        <v>18069</v>
      </c>
      <c r="H1439" t="s">
        <v>1107</v>
      </c>
      <c r="I1439" t="s">
        <v>1108</v>
      </c>
      <c r="J1439" t="s">
        <v>5158</v>
      </c>
      <c r="K1439" t="s">
        <v>5159</v>
      </c>
      <c r="L1439" t="s">
        <v>21</v>
      </c>
      <c r="M1439" t="s">
        <v>19177</v>
      </c>
      <c r="N1439" t="s">
        <v>97</v>
      </c>
      <c r="O1439" t="s">
        <v>937</v>
      </c>
      <c r="P1439" t="s">
        <v>12</v>
      </c>
    </row>
    <row r="1440">
      <c r="A1440">
        <f>HYPERLINK("http://bombeiros.sp.gov.br/hidrantes/03individual/787.html","787")</f>
      </c>
      <c r="B1440" t="s">
        <v>114</v>
      </c>
      <c r="C1440" t="s">
        <v>304</v>
      </c>
      <c r="D1440" t="s">
        <v>304</v>
      </c>
      <c r="E1440" t="s">
        <v>15</v>
      </c>
      <c r="F1440" t="s">
        <v>5160</v>
      </c>
      <c r="G1440" t="s">
        <v>18072</v>
      </c>
      <c r="H1440" t="s">
        <v>1107</v>
      </c>
      <c r="I1440" t="s">
        <v>1108</v>
      </c>
      <c r="J1440" t="s">
        <v>5161</v>
      </c>
      <c r="K1440" t="s">
        <v>5162</v>
      </c>
      <c r="L1440" t="s">
        <v>21</v>
      </c>
      <c r="M1440" t="s">
        <v>19177</v>
      </c>
      <c r="N1440" t="s">
        <v>97</v>
      </c>
      <c r="O1440" t="s">
        <v>937</v>
      </c>
      <c r="P1440" t="s">
        <v>12</v>
      </c>
    </row>
    <row r="1441">
      <c r="A1441">
        <f>HYPERLINK("http://bombeiros.sp.gov.br/hidrantes/03individual/788.html","788")</f>
      </c>
      <c r="B1441" t="s">
        <v>114</v>
      </c>
      <c r="C1441" t="s">
        <v>304</v>
      </c>
      <c r="D1441" t="s">
        <v>304</v>
      </c>
      <c r="E1441" t="s">
        <v>15</v>
      </c>
      <c r="F1441" t="s">
        <v>5163</v>
      </c>
      <c r="G1441" t="s">
        <v>18072</v>
      </c>
      <c r="H1441" t="s">
        <v>1107</v>
      </c>
      <c r="I1441" t="s">
        <v>1108</v>
      </c>
      <c r="J1441" t="s">
        <v>5164</v>
      </c>
      <c r="K1441" t="s">
        <v>5165</v>
      </c>
      <c r="L1441" t="s">
        <v>21</v>
      </c>
      <c r="M1441" t="s">
        <v>19177</v>
      </c>
      <c r="N1441" t="s">
        <v>97</v>
      </c>
      <c r="O1441" t="s">
        <v>937</v>
      </c>
      <c r="P1441" t="s">
        <v>12</v>
      </c>
    </row>
    <row r="1442">
      <c r="A1442">
        <f>HYPERLINK("http://bombeiros.sp.gov.br/hidrantes/03individual/789.html","789")</f>
      </c>
      <c r="B1442" t="s">
        <v>114</v>
      </c>
      <c r="C1442" t="s">
        <v>304</v>
      </c>
      <c r="D1442" t="s">
        <v>304</v>
      </c>
      <c r="E1442" t="s">
        <v>15</v>
      </c>
      <c r="F1442" t="s">
        <v>5166</v>
      </c>
      <c r="G1442" t="s">
        <v>18072</v>
      </c>
      <c r="H1442" t="s">
        <v>1107</v>
      </c>
      <c r="I1442" t="s">
        <v>1108</v>
      </c>
      <c r="J1442" t="s">
        <v>5167</v>
      </c>
      <c r="K1442" t="s">
        <v>5168</v>
      </c>
      <c r="L1442" t="s">
        <v>36</v>
      </c>
      <c r="M1442" t="s">
        <v>19177</v>
      </c>
      <c r="N1442" t="s">
        <v>97</v>
      </c>
      <c r="O1442" t="s">
        <v>937</v>
      </c>
      <c r="P1442" t="s">
        <v>12</v>
      </c>
    </row>
    <row r="1443">
      <c r="A1443">
        <f>HYPERLINK("http://bombeiros.sp.gov.br/hidrantes/03individual/790.html","790")</f>
      </c>
      <c r="B1443" t="s">
        <v>114</v>
      </c>
      <c r="C1443" t="s">
        <v>304</v>
      </c>
      <c r="D1443" t="s">
        <v>304</v>
      </c>
      <c r="E1443" t="s">
        <v>15</v>
      </c>
      <c r="F1443" t="s">
        <v>5169</v>
      </c>
      <c r="G1443" t="s">
        <v>18072</v>
      </c>
      <c r="H1443" t="s">
        <v>1107</v>
      </c>
      <c r="I1443" t="s">
        <v>1108</v>
      </c>
      <c r="J1443" t="s">
        <v>5170</v>
      </c>
      <c r="K1443" t="s">
        <v>5171</v>
      </c>
      <c r="L1443" t="s">
        <v>21</v>
      </c>
      <c r="M1443" t="s">
        <v>19177</v>
      </c>
      <c r="N1443" t="s">
        <v>97</v>
      </c>
      <c r="O1443" t="s">
        <v>937</v>
      </c>
      <c r="P1443" t="s">
        <v>12</v>
      </c>
    </row>
    <row r="1444">
      <c r="A1444">
        <f>HYPERLINK("http://bombeiros.sp.gov.br/hidrantes/03individual/797.html","797")</f>
      </c>
      <c r="B1444" t="s">
        <v>114</v>
      </c>
      <c r="C1444" t="s">
        <v>304</v>
      </c>
      <c r="D1444" t="s">
        <v>304</v>
      </c>
      <c r="E1444" t="s">
        <v>15</v>
      </c>
      <c r="F1444" t="s">
        <v>5172</v>
      </c>
      <c r="G1444" t="s">
        <v>18048</v>
      </c>
      <c r="H1444" t="s">
        <v>1121</v>
      </c>
      <c r="I1444" t="s">
        <v>1117</v>
      </c>
      <c r="J1444" t="s">
        <v>5173</v>
      </c>
      <c r="K1444" t="s">
        <v>5174</v>
      </c>
      <c r="L1444" t="s">
        <v>21</v>
      </c>
      <c r="M1444" t="s">
        <v>19177</v>
      </c>
      <c r="N1444" t="s">
        <v>97</v>
      </c>
      <c r="O1444" t="s">
        <v>937</v>
      </c>
      <c r="P1444" t="s">
        <v>12</v>
      </c>
    </row>
    <row r="1445">
      <c r="A1445">
        <f>HYPERLINK("http://bombeiros.sp.gov.br/hidrantes/03individual/798.html","798")</f>
      </c>
      <c r="B1445" t="s">
        <v>114</v>
      </c>
      <c r="C1445" t="s">
        <v>304</v>
      </c>
      <c r="D1445" t="s">
        <v>304</v>
      </c>
      <c r="E1445" t="s">
        <v>15</v>
      </c>
      <c r="F1445" t="s">
        <v>5175</v>
      </c>
      <c r="G1445" t="s">
        <v>18048</v>
      </c>
      <c r="H1445" t="s">
        <v>1107</v>
      </c>
      <c r="I1445" t="s">
        <v>1108</v>
      </c>
      <c r="J1445" t="s">
        <v>5176</v>
      </c>
      <c r="K1445" t="s">
        <v>5177</v>
      </c>
      <c r="L1445" t="s">
        <v>21</v>
      </c>
      <c r="M1445" t="s">
        <v>19177</v>
      </c>
      <c r="N1445" t="s">
        <v>97</v>
      </c>
      <c r="O1445" t="s">
        <v>937</v>
      </c>
      <c r="P1445" t="s">
        <v>12</v>
      </c>
    </row>
    <row r="1446">
      <c r="A1446">
        <f>HYPERLINK("http://bombeiros.sp.gov.br/hidrantes/03individual/799.html","799")</f>
      </c>
      <c r="B1446" t="s">
        <v>114</v>
      </c>
      <c r="C1446" t="s">
        <v>304</v>
      </c>
      <c r="D1446" t="s">
        <v>304</v>
      </c>
      <c r="E1446" t="s">
        <v>15</v>
      </c>
      <c r="F1446" t="s">
        <v>5178</v>
      </c>
      <c r="G1446" t="s">
        <v>18048</v>
      </c>
      <c r="H1446" t="s">
        <v>1112</v>
      </c>
      <c r="I1446" t="s">
        <v>1108</v>
      </c>
      <c r="J1446" t="s">
        <v>5179</v>
      </c>
      <c r="K1446" t="s">
        <v>5180</v>
      </c>
      <c r="L1446" t="s">
        <v>21</v>
      </c>
      <c r="M1446" t="s">
        <v>19177</v>
      </c>
      <c r="N1446" t="s">
        <v>97</v>
      </c>
      <c r="O1446" t="s">
        <v>937</v>
      </c>
      <c r="P1446" t="s">
        <v>12</v>
      </c>
    </row>
    <row r="1447">
      <c r="A1447">
        <f>HYPERLINK("http://bombeiros.sp.gov.br/hidrantes/03individual/804.html","804")</f>
      </c>
      <c r="B1447" t="s">
        <v>114</v>
      </c>
      <c r="C1447" t="s">
        <v>304</v>
      </c>
      <c r="D1447" t="s">
        <v>304</v>
      </c>
      <c r="E1447" t="s">
        <v>15</v>
      </c>
      <c r="F1447" t="s">
        <v>5181</v>
      </c>
      <c r="G1447" t="s">
        <v>18048</v>
      </c>
      <c r="H1447" t="s">
        <v>1174</v>
      </c>
      <c r="I1447" t="s">
        <v>1108</v>
      </c>
      <c r="J1447" t="s">
        <v>5182</v>
      </c>
      <c r="K1447" t="s">
        <v>5183</v>
      </c>
      <c r="L1447" t="s">
        <v>21</v>
      </c>
      <c r="M1447" t="s">
        <v>19177</v>
      </c>
      <c r="N1447" t="s">
        <v>97</v>
      </c>
      <c r="O1447" t="s">
        <v>937</v>
      </c>
      <c r="P1447" t="s">
        <v>12</v>
      </c>
    </row>
    <row r="1448">
      <c r="A1448">
        <f>HYPERLINK("http://bombeiros.sp.gov.br/hidrantes/03individual/1324.html","1324")</f>
      </c>
      <c r="B1448" t="s">
        <v>114</v>
      </c>
      <c r="C1448" t="s">
        <v>304</v>
      </c>
      <c r="D1448" t="s">
        <v>304</v>
      </c>
      <c r="E1448" t="s">
        <v>15</v>
      </c>
      <c r="F1448" t="s">
        <v>5184</v>
      </c>
      <c r="G1448" t="s">
        <v>18078</v>
      </c>
      <c r="H1448" t="s">
        <v>1174</v>
      </c>
      <c r="I1448" t="s">
        <v>1117</v>
      </c>
      <c r="J1448" t="s">
        <v>5185</v>
      </c>
      <c r="K1448" t="s">
        <v>5186</v>
      </c>
      <c r="L1448" t="s">
        <v>21</v>
      </c>
      <c r="M1448" t="s">
        <v>19177</v>
      </c>
      <c r="N1448" t="s">
        <v>97</v>
      </c>
      <c r="O1448" t="s">
        <v>937</v>
      </c>
      <c r="P1448" t="s">
        <v>12</v>
      </c>
    </row>
    <row r="1449">
      <c r="A1449">
        <f>HYPERLINK("http://bombeiros.sp.gov.br/hidrantes/03individual/1354.html","1354")</f>
      </c>
      <c r="B1449" t="s">
        <v>114</v>
      </c>
      <c r="C1449" t="s">
        <v>304</v>
      </c>
      <c r="D1449" t="s">
        <v>304</v>
      </c>
      <c r="E1449" t="s">
        <v>15</v>
      </c>
      <c r="F1449" t="s">
        <v>5187</v>
      </c>
      <c r="G1449" t="s">
        <v>18055</v>
      </c>
      <c r="H1449" t="s">
        <v>1107</v>
      </c>
      <c r="I1449" t="s">
        <v>1108</v>
      </c>
      <c r="J1449" t="s">
        <v>5188</v>
      </c>
      <c r="K1449" t="s">
        <v>5189</v>
      </c>
      <c r="L1449" t="s">
        <v>21</v>
      </c>
      <c r="M1449" t="s">
        <v>19177</v>
      </c>
      <c r="N1449" t="s">
        <v>97</v>
      </c>
      <c r="O1449" t="s">
        <v>937</v>
      </c>
      <c r="P1449" t="s">
        <v>12</v>
      </c>
    </row>
    <row r="1450">
      <c r="A1450">
        <f>HYPERLINK("http://bombeiros.sp.gov.br/hidrantes/03individual/1745.html","1745")</f>
      </c>
      <c r="B1450" t="s">
        <v>114</v>
      </c>
      <c r="C1450" t="s">
        <v>304</v>
      </c>
      <c r="D1450" t="s">
        <v>304</v>
      </c>
      <c r="E1450" t="s">
        <v>15</v>
      </c>
      <c r="F1450" t="s">
        <v>5190</v>
      </c>
      <c r="G1450" t="s">
        <v>18048</v>
      </c>
      <c r="H1450" t="s">
        <v>1107</v>
      </c>
      <c r="I1450" t="s">
        <v>1108</v>
      </c>
      <c r="J1450" t="s">
        <v>5191</v>
      </c>
      <c r="K1450" t="s">
        <v>5192</v>
      </c>
      <c r="L1450" t="s">
        <v>36</v>
      </c>
      <c r="M1450" t="s">
        <v>19177</v>
      </c>
      <c r="N1450" t="s">
        <v>97</v>
      </c>
      <c r="O1450" t="s">
        <v>937</v>
      </c>
      <c r="P1450" t="s">
        <v>12</v>
      </c>
    </row>
    <row r="1451">
      <c r="A1451">
        <f>HYPERLINK("http://bombeiros.sp.gov.br/hidrantes/03individual/1992.html","1992")</f>
      </c>
      <c r="B1451" t="s">
        <v>114</v>
      </c>
      <c r="C1451" t="s">
        <v>304</v>
      </c>
      <c r="D1451" t="s">
        <v>304</v>
      </c>
      <c r="E1451" t="s">
        <v>15</v>
      </c>
      <c r="F1451" t="s">
        <v>5193</v>
      </c>
      <c r="G1451" t="s">
        <v>18098</v>
      </c>
      <c r="H1451" t="s">
        <v>1174</v>
      </c>
      <c r="I1451" t="s">
        <v>1117</v>
      </c>
      <c r="J1451" t="s">
        <v>5194</v>
      </c>
      <c r="K1451" t="s">
        <v>5195</v>
      </c>
      <c r="L1451" t="s">
        <v>21</v>
      </c>
      <c r="M1451" t="s">
        <v>19177</v>
      </c>
      <c r="N1451" t="s">
        <v>97</v>
      </c>
      <c r="O1451" t="s">
        <v>937</v>
      </c>
      <c r="P1451" t="s">
        <v>12</v>
      </c>
    </row>
    <row r="1452">
      <c r="A1452">
        <f>HYPERLINK("http://bombeiros.sp.gov.br/hidrantes/03individual/1993.html","1993")</f>
      </c>
      <c r="B1452" t="s">
        <v>114</v>
      </c>
      <c r="C1452" t="s">
        <v>304</v>
      </c>
      <c r="D1452" t="s">
        <v>304</v>
      </c>
      <c r="E1452" t="s">
        <v>15</v>
      </c>
      <c r="F1452" t="s">
        <v>5196</v>
      </c>
      <c r="G1452" t="s">
        <v>18055</v>
      </c>
      <c r="H1452" t="s">
        <v>1107</v>
      </c>
      <c r="I1452" t="s">
        <v>1108</v>
      </c>
      <c r="J1452" t="s">
        <v>5197</v>
      </c>
      <c r="K1452" t="s">
        <v>5198</v>
      </c>
      <c r="L1452" t="s">
        <v>21</v>
      </c>
      <c r="M1452" t="s">
        <v>19177</v>
      </c>
      <c r="N1452" t="s">
        <v>97</v>
      </c>
      <c r="O1452" t="s">
        <v>937</v>
      </c>
      <c r="P1452" t="s">
        <v>12</v>
      </c>
    </row>
    <row r="1453">
      <c r="A1453">
        <f>HYPERLINK("http://bombeiros.sp.gov.br/hidrantes/03individual/1995.html","1995")</f>
      </c>
      <c r="B1453" t="s">
        <v>114</v>
      </c>
      <c r="C1453" t="s">
        <v>304</v>
      </c>
      <c r="D1453" t="s">
        <v>304</v>
      </c>
      <c r="E1453" t="s">
        <v>15</v>
      </c>
      <c r="F1453" t="s">
        <v>5196</v>
      </c>
      <c r="G1453" t="s">
        <v>18078</v>
      </c>
      <c r="H1453" t="s">
        <v>1174</v>
      </c>
      <c r="I1453" t="s">
        <v>1117</v>
      </c>
      <c r="J1453" t="s">
        <v>5199</v>
      </c>
      <c r="K1453" t="s">
        <v>5200</v>
      </c>
      <c r="L1453" t="s">
        <v>21</v>
      </c>
      <c r="M1453" t="s">
        <v>19177</v>
      </c>
      <c r="N1453" t="s">
        <v>97</v>
      </c>
      <c r="O1453" t="s">
        <v>937</v>
      </c>
      <c r="P1453" t="s">
        <v>12</v>
      </c>
    </row>
    <row r="1454">
      <c r="A1454">
        <f>HYPERLINK("http://bombeiros.sp.gov.br/hidrantes/03individual/1997.html","1997")</f>
      </c>
      <c r="B1454" t="s">
        <v>114</v>
      </c>
      <c r="C1454" t="s">
        <v>304</v>
      </c>
      <c r="D1454" t="s">
        <v>304</v>
      </c>
      <c r="E1454" t="s">
        <v>15</v>
      </c>
      <c r="F1454" t="s">
        <v>5201</v>
      </c>
      <c r="G1454" t="s">
        <v>18062</v>
      </c>
      <c r="H1454" t="s">
        <v>1112</v>
      </c>
      <c r="I1454" t="s">
        <v>1108</v>
      </c>
      <c r="J1454" t="s">
        <v>5202</v>
      </c>
      <c r="K1454" t="s">
        <v>5203</v>
      </c>
      <c r="L1454" t="s">
        <v>21</v>
      </c>
      <c r="M1454" t="s">
        <v>19177</v>
      </c>
      <c r="N1454" t="s">
        <v>97</v>
      </c>
      <c r="O1454" t="s">
        <v>937</v>
      </c>
      <c r="P1454" t="s">
        <v>12</v>
      </c>
    </row>
    <row r="1455">
      <c r="A1455">
        <f>HYPERLINK("http://bombeiros.sp.gov.br/hidrantes/03individual/2004.html","2004")</f>
      </c>
      <c r="B1455" t="s">
        <v>114</v>
      </c>
      <c r="C1455" t="s">
        <v>304</v>
      </c>
      <c r="D1455" t="s">
        <v>304</v>
      </c>
      <c r="E1455" t="s">
        <v>15</v>
      </c>
      <c r="F1455" t="s">
        <v>5204</v>
      </c>
      <c r="G1455" t="s">
        <v>18078</v>
      </c>
      <c r="H1455" t="s">
        <v>1112</v>
      </c>
      <c r="I1455" t="s">
        <v>1108</v>
      </c>
      <c r="J1455" t="s">
        <v>5205</v>
      </c>
      <c r="K1455" t="s">
        <v>5206</v>
      </c>
      <c r="L1455" t="s">
        <v>21</v>
      </c>
      <c r="M1455" t="s">
        <v>19177</v>
      </c>
      <c r="N1455" t="s">
        <v>97</v>
      </c>
      <c r="O1455" t="s">
        <v>937</v>
      </c>
      <c r="P1455" t="s">
        <v>12</v>
      </c>
    </row>
    <row r="1456">
      <c r="A1456">
        <f>HYPERLINK("http://bombeiros.sp.gov.br/hidrantes/03individual/2008.html","2008")</f>
      </c>
      <c r="B1456" t="s">
        <v>114</v>
      </c>
      <c r="C1456" t="s">
        <v>304</v>
      </c>
      <c r="D1456" t="s">
        <v>304</v>
      </c>
      <c r="E1456" t="s">
        <v>15</v>
      </c>
      <c r="F1456" t="s">
        <v>5207</v>
      </c>
      <c r="G1456" t="s">
        <v>18083</v>
      </c>
      <c r="H1456" t="s">
        <v>1121</v>
      </c>
      <c r="I1456" t="s">
        <v>1117</v>
      </c>
      <c r="J1456" t="s">
        <v>5208</v>
      </c>
      <c r="K1456" t="s">
        <v>5209</v>
      </c>
      <c r="L1456" t="s">
        <v>36</v>
      </c>
      <c r="M1456" t="s">
        <v>19177</v>
      </c>
      <c r="N1456" t="s">
        <v>97</v>
      </c>
      <c r="O1456" t="s">
        <v>937</v>
      </c>
      <c r="P1456" t="s">
        <v>12</v>
      </c>
    </row>
    <row r="1457">
      <c r="A1457">
        <f>HYPERLINK("http://bombeiros.sp.gov.br/hidrantes/03individual/3367.html","3367")</f>
      </c>
      <c r="B1457" t="s">
        <v>114</v>
      </c>
      <c r="C1457" t="s">
        <v>5210</v>
      </c>
      <c r="D1457" t="s">
        <v>5211</v>
      </c>
      <c r="E1457" t="s">
        <v>64</v>
      </c>
      <c r="F1457" t="s">
        <v>5212</v>
      </c>
      <c r="G1457" t="s">
        <v>18521</v>
      </c>
      <c r="H1457" t="s">
        <v>1107</v>
      </c>
      <c r="I1457" t="s">
        <v>1108</v>
      </c>
      <c r="J1457" t="s">
        <v>5213</v>
      </c>
      <c r="K1457" t="s">
        <v>5214</v>
      </c>
      <c r="L1457" t="s">
        <v>21</v>
      </c>
      <c r="M1457" t="s">
        <v>19177</v>
      </c>
      <c r="N1457" t="s">
        <v>272</v>
      </c>
      <c r="O1457" t="s">
        <v>272</v>
      </c>
      <c r="P1457" t="s">
        <v>114</v>
      </c>
    </row>
    <row r="1458">
      <c r="A1458">
        <f>HYPERLINK("http://bombeiros.sp.gov.br/hidrantes/03individual/3371.html","3371")</f>
      </c>
      <c r="B1458" t="s">
        <v>114</v>
      </c>
      <c r="C1458" t="s">
        <v>5210</v>
      </c>
      <c r="D1458" t="s">
        <v>5211</v>
      </c>
      <c r="E1458" t="s">
        <v>64</v>
      </c>
      <c r="F1458" t="s">
        <v>5215</v>
      </c>
      <c r="G1458" t="s">
        <v>18085</v>
      </c>
      <c r="H1458" t="s">
        <v>1107</v>
      </c>
      <c r="I1458" t="s">
        <v>1108</v>
      </c>
      <c r="J1458" t="s">
        <v>5216</v>
      </c>
      <c r="K1458" t="s">
        <v>5217</v>
      </c>
      <c r="L1458" t="s">
        <v>21</v>
      </c>
      <c r="M1458" t="s">
        <v>19177</v>
      </c>
      <c r="N1458" t="s">
        <v>272</v>
      </c>
      <c r="O1458" t="s">
        <v>272</v>
      </c>
      <c r="P1458" t="s">
        <v>114</v>
      </c>
    </row>
    <row r="1459">
      <c r="A1459">
        <f>HYPERLINK("http://bombeiros.sp.gov.br/hidrantes/03individual/4318.html","4318")</f>
      </c>
      <c r="B1459" t="s">
        <v>114</v>
      </c>
      <c r="C1459" t="s">
        <v>5210</v>
      </c>
      <c r="D1459" t="s">
        <v>5211</v>
      </c>
      <c r="E1459" t="s">
        <v>64</v>
      </c>
      <c r="F1459" t="s">
        <v>5218</v>
      </c>
      <c r="G1459" t="s">
        <v>18084</v>
      </c>
      <c r="H1459" t="s">
        <v>1112</v>
      </c>
      <c r="I1459" t="s">
        <v>1108</v>
      </c>
      <c r="J1459" t="s">
        <v>5219</v>
      </c>
      <c r="K1459" t="s">
        <v>5220</v>
      </c>
      <c r="L1459" t="s">
        <v>21</v>
      </c>
      <c r="M1459" t="s">
        <v>19177</v>
      </c>
      <c r="N1459" t="s">
        <v>272</v>
      </c>
      <c r="O1459" t="s">
        <v>272</v>
      </c>
      <c r="P1459" t="s">
        <v>114</v>
      </c>
    </row>
    <row r="1460">
      <c r="A1460">
        <f>HYPERLINK("http://bombeiros.sp.gov.br/hidrantes/03individual/27198.html","27198")</f>
      </c>
      <c r="B1460" t="s">
        <v>114</v>
      </c>
      <c r="C1460" t="s">
        <v>5210</v>
      </c>
      <c r="D1460" t="s">
        <v>5211</v>
      </c>
      <c r="E1460" t="s">
        <v>64</v>
      </c>
      <c r="F1460" t="s">
        <v>16949</v>
      </c>
      <c r="G1460" t="s">
        <v>18548</v>
      </c>
      <c r="H1460" t="s">
        <v>1112</v>
      </c>
      <c r="I1460" t="s">
        <v>1108</v>
      </c>
      <c r="J1460" t="s">
        <v>16950</v>
      </c>
      <c r="K1460" t="s">
        <v>16951</v>
      </c>
      <c r="L1460" t="s">
        <v>21</v>
      </c>
      <c r="M1460" t="s">
        <v>19177</v>
      </c>
      <c r="N1460" t="s">
        <v>272</v>
      </c>
      <c r="O1460" t="s">
        <v>272</v>
      </c>
      <c r="P1460" t="s">
        <v>114</v>
      </c>
    </row>
    <row r="1461">
      <c r="A1461">
        <f>HYPERLINK("http://bombeiros.sp.gov.br/hidrantes/03individual/27703.html","27703")</f>
      </c>
      <c r="B1461" t="s">
        <v>114</v>
      </c>
      <c r="C1461" t="s">
        <v>5210</v>
      </c>
      <c r="D1461" t="s">
        <v>5211</v>
      </c>
      <c r="E1461" t="s">
        <v>64</v>
      </c>
      <c r="F1461" t="s">
        <v>17679</v>
      </c>
      <c r="G1461" t="s">
        <v>18521</v>
      </c>
      <c r="H1461" t="s">
        <v>1112</v>
      </c>
      <c r="I1461" t="s">
        <v>1108</v>
      </c>
      <c r="J1461" t="s">
        <v>17680</v>
      </c>
      <c r="K1461" t="s">
        <v>17681</v>
      </c>
      <c r="L1461" t="s">
        <v>21</v>
      </c>
      <c r="M1461" t="s">
        <v>19177</v>
      </c>
      <c r="N1461" t="s">
        <v>16374</v>
      </c>
      <c r="O1461" t="s">
        <v>272</v>
      </c>
      <c r="P1461" t="s">
        <v>114</v>
      </c>
    </row>
    <row r="1462">
      <c r="A1462">
        <f>HYPERLINK("http://bombeiros.sp.gov.br/hidrantes/03individual/17802.html","17802")</f>
      </c>
      <c r="B1462" t="s">
        <v>114</v>
      </c>
      <c r="C1462" t="s">
        <v>5210</v>
      </c>
      <c r="D1462" t="s">
        <v>5211</v>
      </c>
      <c r="E1462" t="s">
        <v>15</v>
      </c>
      <c r="F1462" t="s">
        <v>5221</v>
      </c>
      <c r="G1462" t="s">
        <v>18050</v>
      </c>
      <c r="H1462" t="s">
        <v>1112</v>
      </c>
      <c r="I1462" t="s">
        <v>1108</v>
      </c>
      <c r="J1462" t="s">
        <v>5222</v>
      </c>
      <c r="K1462" t="s">
        <v>5223</v>
      </c>
      <c r="L1462" t="s">
        <v>21</v>
      </c>
      <c r="M1462" t="s">
        <v>19177</v>
      </c>
      <c r="N1462" t="s">
        <v>272</v>
      </c>
      <c r="O1462" t="s">
        <v>272</v>
      </c>
      <c r="P1462" t="s">
        <v>114</v>
      </c>
    </row>
    <row r="1463">
      <c r="A1463">
        <f>HYPERLINK("http://bombeiros.sp.gov.br/hidrantes/03individual/2013.html","2013")</f>
      </c>
      <c r="B1463" t="s">
        <v>114</v>
      </c>
      <c r="C1463" t="s">
        <v>5210</v>
      </c>
      <c r="D1463" t="s">
        <v>5210</v>
      </c>
      <c r="E1463" t="s">
        <v>64</v>
      </c>
      <c r="F1463" t="s">
        <v>5224</v>
      </c>
      <c r="G1463" t="s">
        <v>18471</v>
      </c>
      <c r="H1463" t="s">
        <v>1112</v>
      </c>
      <c r="I1463" t="s">
        <v>1108</v>
      </c>
      <c r="J1463" t="s">
        <v>5225</v>
      </c>
      <c r="K1463" t="s">
        <v>5226</v>
      </c>
      <c r="L1463" t="s">
        <v>21</v>
      </c>
      <c r="M1463" t="s">
        <v>19177</v>
      </c>
      <c r="N1463" t="s">
        <v>16374</v>
      </c>
      <c r="O1463" t="s">
        <v>272</v>
      </c>
      <c r="P1463" t="s">
        <v>114</v>
      </c>
    </row>
    <row r="1464">
      <c r="A1464">
        <f>HYPERLINK("http://bombeiros.sp.gov.br/hidrantes/03individual/971.html","971")</f>
      </c>
      <c r="B1464" t="s">
        <v>114</v>
      </c>
      <c r="C1464" t="s">
        <v>5210</v>
      </c>
      <c r="D1464" t="s">
        <v>5227</v>
      </c>
      <c r="E1464" t="s">
        <v>64</v>
      </c>
      <c r="F1464" t="s">
        <v>5228</v>
      </c>
      <c r="G1464" t="s">
        <v>18488</v>
      </c>
      <c r="H1464" t="s">
        <v>1112</v>
      </c>
      <c r="I1464" t="s">
        <v>1108</v>
      </c>
      <c r="J1464" t="s">
        <v>5229</v>
      </c>
      <c r="K1464" t="s">
        <v>5230</v>
      </c>
      <c r="L1464" t="s">
        <v>21</v>
      </c>
      <c r="M1464" t="s">
        <v>19177</v>
      </c>
      <c r="N1464" t="s">
        <v>16374</v>
      </c>
      <c r="O1464" t="s">
        <v>272</v>
      </c>
      <c r="P1464" t="s">
        <v>114</v>
      </c>
    </row>
    <row r="1465">
      <c r="A1465">
        <f>HYPERLINK("http://bombeiros.sp.gov.br/hidrantes/03individual/3345.html","3345")</f>
      </c>
      <c r="B1465" t="s">
        <v>114</v>
      </c>
      <c r="C1465" t="s">
        <v>5210</v>
      </c>
      <c r="D1465" t="s">
        <v>5227</v>
      </c>
      <c r="E1465" t="s">
        <v>64</v>
      </c>
      <c r="F1465" t="s">
        <v>5231</v>
      </c>
      <c r="G1465" t="s">
        <v>18478</v>
      </c>
      <c r="H1465" t="s">
        <v>1112</v>
      </c>
      <c r="I1465" t="s">
        <v>1108</v>
      </c>
      <c r="J1465" t="s">
        <v>5232</v>
      </c>
      <c r="K1465" t="s">
        <v>5233</v>
      </c>
      <c r="L1465" t="s">
        <v>21</v>
      </c>
      <c r="M1465" t="s">
        <v>19177</v>
      </c>
      <c r="N1465" t="s">
        <v>16374</v>
      </c>
      <c r="O1465" t="s">
        <v>272</v>
      </c>
      <c r="P1465" t="s">
        <v>114</v>
      </c>
    </row>
    <row r="1466">
      <c r="A1466">
        <f>HYPERLINK("http://bombeiros.sp.gov.br/hidrantes/03individual/3356.html","3356")</f>
      </c>
      <c r="B1466" t="s">
        <v>114</v>
      </c>
      <c r="C1466" t="s">
        <v>5210</v>
      </c>
      <c r="D1466" t="s">
        <v>5227</v>
      </c>
      <c r="E1466" t="s">
        <v>64</v>
      </c>
      <c r="F1466" t="s">
        <v>5234</v>
      </c>
      <c r="G1466" t="s">
        <v>18539</v>
      </c>
      <c r="H1466" t="s">
        <v>1112</v>
      </c>
      <c r="I1466" t="s">
        <v>1108</v>
      </c>
      <c r="J1466" t="s">
        <v>5235</v>
      </c>
      <c r="K1466" t="s">
        <v>5236</v>
      </c>
      <c r="L1466" t="s">
        <v>21</v>
      </c>
      <c r="M1466" t="s">
        <v>19177</v>
      </c>
      <c r="N1466" t="s">
        <v>16374</v>
      </c>
      <c r="O1466" t="s">
        <v>272</v>
      </c>
      <c r="P1466" t="s">
        <v>114</v>
      </c>
    </row>
    <row r="1467">
      <c r="A1467">
        <f>HYPERLINK("http://bombeiros.sp.gov.br/hidrantes/03individual/27077.html","27077")</f>
      </c>
      <c r="B1467" t="s">
        <v>114</v>
      </c>
      <c r="C1467" t="s">
        <v>5210</v>
      </c>
      <c r="D1467" t="s">
        <v>5227</v>
      </c>
      <c r="E1467" t="s">
        <v>64</v>
      </c>
      <c r="F1467" t="s">
        <v>16740</v>
      </c>
      <c r="G1467" t="s">
        <v>18089</v>
      </c>
      <c r="H1467" t="s">
        <v>1107</v>
      </c>
      <c r="I1467" t="s">
        <v>1117</v>
      </c>
      <c r="J1467" t="s">
        <v>16741</v>
      </c>
      <c r="K1467" t="s">
        <v>16742</v>
      </c>
      <c r="L1467" t="s">
        <v>21</v>
      </c>
      <c r="M1467" t="s">
        <v>19177</v>
      </c>
      <c r="N1467" t="s">
        <v>272</v>
      </c>
      <c r="O1467" t="s">
        <v>272</v>
      </c>
      <c r="P1467" t="s">
        <v>114</v>
      </c>
    </row>
    <row r="1468">
      <c r="A1468">
        <f>HYPERLINK("http://bombeiros.sp.gov.br/hidrantes/03individual/27139.html","27139")</f>
      </c>
      <c r="B1468" t="s">
        <v>114</v>
      </c>
      <c r="C1468" t="s">
        <v>5210</v>
      </c>
      <c r="D1468" t="s">
        <v>5227</v>
      </c>
      <c r="E1468" t="s">
        <v>64</v>
      </c>
      <c r="F1468" t="s">
        <v>16826</v>
      </c>
      <c r="G1468" t="s">
        <v>18477</v>
      </c>
      <c r="H1468" t="s">
        <v>1112</v>
      </c>
      <c r="I1468" t="s">
        <v>1108</v>
      </c>
      <c r="J1468" t="s">
        <v>16827</v>
      </c>
      <c r="K1468" t="s">
        <v>16828</v>
      </c>
      <c r="L1468" t="s">
        <v>21</v>
      </c>
      <c r="M1468" t="s">
        <v>19177</v>
      </c>
      <c r="N1468" t="s">
        <v>16374</v>
      </c>
      <c r="O1468" t="s">
        <v>272</v>
      </c>
      <c r="P1468" t="s">
        <v>114</v>
      </c>
    </row>
    <row r="1469">
      <c r="A1469">
        <f>HYPERLINK("http://bombeiros.sp.gov.br/hidrantes/03individual/27157.html","27157")</f>
      </c>
      <c r="B1469" t="s">
        <v>114</v>
      </c>
      <c r="C1469" t="s">
        <v>5210</v>
      </c>
      <c r="D1469" t="s">
        <v>5227</v>
      </c>
      <c r="E1469" t="s">
        <v>64</v>
      </c>
      <c r="F1469" t="s">
        <v>16855</v>
      </c>
      <c r="G1469" t="s">
        <v>18515</v>
      </c>
      <c r="H1469" t="s">
        <v>1112</v>
      </c>
      <c r="I1469" t="s">
        <v>1108</v>
      </c>
      <c r="J1469" t="s">
        <v>16856</v>
      </c>
      <c r="K1469" t="s">
        <v>16857</v>
      </c>
      <c r="L1469" t="s">
        <v>21</v>
      </c>
      <c r="M1469" t="s">
        <v>19177</v>
      </c>
      <c r="N1469" t="s">
        <v>16374</v>
      </c>
      <c r="O1469" t="s">
        <v>272</v>
      </c>
      <c r="P1469" t="s">
        <v>114</v>
      </c>
    </row>
    <row r="1470">
      <c r="A1470">
        <f>HYPERLINK("http://bombeiros.sp.gov.br/hidrantes/03individual/2055.html","2055")</f>
      </c>
      <c r="B1470" t="s">
        <v>114</v>
      </c>
      <c r="C1470" t="s">
        <v>5210</v>
      </c>
      <c r="D1470" t="s">
        <v>5227</v>
      </c>
      <c r="E1470" t="s">
        <v>15</v>
      </c>
      <c r="F1470" t="s">
        <v>5237</v>
      </c>
      <c r="G1470" t="s">
        <v>18542</v>
      </c>
      <c r="H1470" t="s">
        <v>1112</v>
      </c>
      <c r="I1470" t="s">
        <v>1108</v>
      </c>
      <c r="J1470" t="s">
        <v>5238</v>
      </c>
      <c r="K1470" t="s">
        <v>5239</v>
      </c>
      <c r="L1470" t="s">
        <v>21</v>
      </c>
      <c r="M1470" t="s">
        <v>19177</v>
      </c>
      <c r="N1470" t="s">
        <v>272</v>
      </c>
      <c r="O1470" t="s">
        <v>272</v>
      </c>
      <c r="P1470" t="s">
        <v>114</v>
      </c>
    </row>
    <row r="1471">
      <c r="A1471">
        <f>HYPERLINK("http://bombeiros.sp.gov.br/hidrantes/03individual/3358.html","3358")</f>
      </c>
      <c r="B1471" t="s">
        <v>114</v>
      </c>
      <c r="C1471" t="s">
        <v>5210</v>
      </c>
      <c r="D1471" t="s">
        <v>5227</v>
      </c>
      <c r="E1471" t="s">
        <v>15</v>
      </c>
      <c r="F1471" t="s">
        <v>5240</v>
      </c>
      <c r="G1471" t="s">
        <v>18539</v>
      </c>
      <c r="H1471" t="s">
        <v>1112</v>
      </c>
      <c r="I1471" t="s">
        <v>1108</v>
      </c>
      <c r="J1471" t="s">
        <v>5241</v>
      </c>
      <c r="K1471" t="s">
        <v>5242</v>
      </c>
      <c r="L1471" t="s">
        <v>21</v>
      </c>
      <c r="M1471" t="s">
        <v>19177</v>
      </c>
      <c r="N1471" t="s">
        <v>16374</v>
      </c>
      <c r="O1471" t="s">
        <v>272</v>
      </c>
      <c r="P1471" t="s">
        <v>114</v>
      </c>
    </row>
    <row r="1472">
      <c r="A1472">
        <f>HYPERLINK("http://bombeiros.sp.gov.br/hidrantes/03individual/4410.html","4410")</f>
      </c>
      <c r="B1472" t="s">
        <v>114</v>
      </c>
      <c r="C1472" t="s">
        <v>5210</v>
      </c>
      <c r="D1472" t="s">
        <v>5227</v>
      </c>
      <c r="E1472" t="s">
        <v>15</v>
      </c>
      <c r="F1472" t="s">
        <v>5243</v>
      </c>
      <c r="G1472" t="s">
        <v>18518</v>
      </c>
      <c r="H1472" t="s">
        <v>1121</v>
      </c>
      <c r="I1472" t="s">
        <v>1117</v>
      </c>
      <c r="J1472" t="s">
        <v>5244</v>
      </c>
      <c r="K1472" t="s">
        <v>5245</v>
      </c>
      <c r="L1472" t="s">
        <v>21</v>
      </c>
      <c r="M1472" t="s">
        <v>19177</v>
      </c>
      <c r="N1472" t="s">
        <v>16374</v>
      </c>
      <c r="O1472" t="s">
        <v>272</v>
      </c>
      <c r="P1472" t="s">
        <v>114</v>
      </c>
    </row>
    <row r="1473">
      <c r="A1473">
        <f>HYPERLINK("http://bombeiros.sp.gov.br/hidrantes/03individual/43.html","43")</f>
      </c>
      <c r="B1473" t="s">
        <v>114</v>
      </c>
      <c r="C1473" t="s">
        <v>309</v>
      </c>
      <c r="D1473" t="s">
        <v>309</v>
      </c>
      <c r="E1473" t="s">
        <v>64</v>
      </c>
      <c r="F1473" t="s">
        <v>5246</v>
      </c>
      <c r="G1473" t="s">
        <v>18065</v>
      </c>
      <c r="H1473" t="s">
        <v>1107</v>
      </c>
      <c r="I1473" t="s">
        <v>1108</v>
      </c>
      <c r="J1473" t="s">
        <v>5247</v>
      </c>
      <c r="K1473" t="s">
        <v>5248</v>
      </c>
      <c r="L1473" t="s">
        <v>36</v>
      </c>
      <c r="M1473" t="s">
        <v>19177</v>
      </c>
      <c r="N1473" t="s">
        <v>309</v>
      </c>
      <c r="O1473" t="s">
        <v>6029</v>
      </c>
      <c r="P1473" t="s">
        <v>114</v>
      </c>
    </row>
    <row r="1474">
      <c r="A1474">
        <f>HYPERLINK("http://bombeiros.sp.gov.br/hidrantes/03individual/832.html","832")</f>
      </c>
      <c r="B1474" t="s">
        <v>114</v>
      </c>
      <c r="C1474" t="s">
        <v>309</v>
      </c>
      <c r="D1474" t="s">
        <v>309</v>
      </c>
      <c r="E1474" t="s">
        <v>64</v>
      </c>
      <c r="F1474" t="s">
        <v>5249</v>
      </c>
      <c r="G1474" t="s">
        <v>18082</v>
      </c>
      <c r="H1474" t="s">
        <v>1121</v>
      </c>
      <c r="I1474" t="s">
        <v>1117</v>
      </c>
      <c r="J1474" t="s">
        <v>5250</v>
      </c>
      <c r="K1474" t="s">
        <v>5251</v>
      </c>
      <c r="L1474" t="s">
        <v>36</v>
      </c>
      <c r="M1474" t="s">
        <v>19177</v>
      </c>
      <c r="N1474" t="s">
        <v>309</v>
      </c>
      <c r="O1474" t="s">
        <v>6029</v>
      </c>
      <c r="P1474" t="s">
        <v>114</v>
      </c>
    </row>
    <row r="1475">
      <c r="A1475">
        <f>HYPERLINK("http://bombeiros.sp.gov.br/hidrantes/03individual/833.html","833")</f>
      </c>
      <c r="B1475" t="s">
        <v>114</v>
      </c>
      <c r="C1475" t="s">
        <v>309</v>
      </c>
      <c r="D1475" t="s">
        <v>309</v>
      </c>
      <c r="E1475" t="s">
        <v>64</v>
      </c>
      <c r="F1475" t="s">
        <v>5252</v>
      </c>
      <c r="G1475" t="s">
        <v>18194</v>
      </c>
      <c r="H1475" t="s">
        <v>1112</v>
      </c>
      <c r="I1475" t="s">
        <v>1108</v>
      </c>
      <c r="J1475" t="s">
        <v>5253</v>
      </c>
      <c r="K1475" t="s">
        <v>5254</v>
      </c>
      <c r="L1475" t="s">
        <v>21</v>
      </c>
      <c r="M1475" t="s">
        <v>19177</v>
      </c>
      <c r="N1475" t="s">
        <v>309</v>
      </c>
      <c r="O1475" t="s">
        <v>6029</v>
      </c>
      <c r="P1475" t="s">
        <v>114</v>
      </c>
    </row>
    <row r="1476">
      <c r="A1476">
        <f>HYPERLINK("http://bombeiros.sp.gov.br/hidrantes/03individual/936.html","936")</f>
      </c>
      <c r="B1476" t="s">
        <v>114</v>
      </c>
      <c r="C1476" t="s">
        <v>309</v>
      </c>
      <c r="D1476" t="s">
        <v>309</v>
      </c>
      <c r="E1476" t="s">
        <v>64</v>
      </c>
      <c r="F1476" t="s">
        <v>5255</v>
      </c>
      <c r="G1476" t="s">
        <v>18082</v>
      </c>
      <c r="H1476" t="s">
        <v>1112</v>
      </c>
      <c r="I1476" t="s">
        <v>1108</v>
      </c>
      <c r="J1476" t="s">
        <v>5256</v>
      </c>
      <c r="K1476" t="s">
        <v>5257</v>
      </c>
      <c r="L1476" t="s">
        <v>21</v>
      </c>
      <c r="M1476" t="s">
        <v>19177</v>
      </c>
      <c r="N1476" t="s">
        <v>309</v>
      </c>
      <c r="O1476" t="s">
        <v>6029</v>
      </c>
      <c r="P1476" t="s">
        <v>114</v>
      </c>
    </row>
    <row r="1477">
      <c r="A1477">
        <f>HYPERLINK("http://bombeiros.sp.gov.br/hidrantes/03individual/938.html","938")</f>
      </c>
      <c r="B1477" t="s">
        <v>114</v>
      </c>
      <c r="C1477" t="s">
        <v>309</v>
      </c>
      <c r="D1477" t="s">
        <v>309</v>
      </c>
      <c r="E1477" t="s">
        <v>64</v>
      </c>
      <c r="F1477" t="s">
        <v>5258</v>
      </c>
      <c r="G1477" t="s">
        <v>18193</v>
      </c>
      <c r="H1477" t="s">
        <v>1112</v>
      </c>
      <c r="I1477" t="s">
        <v>1108</v>
      </c>
      <c r="J1477" t="s">
        <v>5259</v>
      </c>
      <c r="K1477" t="s">
        <v>5260</v>
      </c>
      <c r="L1477" t="s">
        <v>21</v>
      </c>
      <c r="M1477" t="s">
        <v>19177</v>
      </c>
      <c r="N1477" t="s">
        <v>309</v>
      </c>
      <c r="O1477" t="s">
        <v>6029</v>
      </c>
      <c r="P1477" t="s">
        <v>114</v>
      </c>
    </row>
    <row r="1478">
      <c r="A1478">
        <f>HYPERLINK("http://bombeiros.sp.gov.br/hidrantes/03individual/939.html","939")</f>
      </c>
      <c r="B1478" t="s">
        <v>114</v>
      </c>
      <c r="C1478" t="s">
        <v>309</v>
      </c>
      <c r="D1478" t="s">
        <v>309</v>
      </c>
      <c r="E1478" t="s">
        <v>64</v>
      </c>
      <c r="F1478" t="s">
        <v>5261</v>
      </c>
      <c r="G1478" t="s">
        <v>18193</v>
      </c>
      <c r="H1478" t="s">
        <v>1107</v>
      </c>
      <c r="I1478" t="s">
        <v>1108</v>
      </c>
      <c r="J1478" t="s">
        <v>5262</v>
      </c>
      <c r="K1478" t="s">
        <v>5263</v>
      </c>
      <c r="L1478" t="s">
        <v>21</v>
      </c>
      <c r="M1478" t="s">
        <v>19177</v>
      </c>
      <c r="N1478" t="s">
        <v>309</v>
      </c>
      <c r="O1478" t="s">
        <v>6029</v>
      </c>
      <c r="P1478" t="s">
        <v>114</v>
      </c>
    </row>
    <row r="1479">
      <c r="A1479">
        <f>HYPERLINK("http://bombeiros.sp.gov.br/hidrantes/03individual/1331.html","1331")</f>
      </c>
      <c r="B1479" t="s">
        <v>114</v>
      </c>
      <c r="C1479" t="s">
        <v>309</v>
      </c>
      <c r="D1479" t="s">
        <v>309</v>
      </c>
      <c r="E1479" t="s">
        <v>64</v>
      </c>
      <c r="F1479" t="s">
        <v>310</v>
      </c>
      <c r="G1479" t="s">
        <v>18192</v>
      </c>
      <c r="H1479"/>
      <c r="I1479" t="s">
        <v>18</v>
      </c>
      <c r="J1479" t="s">
        <v>312</v>
      </c>
      <c r="K1479" t="s">
        <v>313</v>
      </c>
      <c r="L1479" t="s">
        <v>36</v>
      </c>
      <c r="M1479" t="s">
        <v>19177</v>
      </c>
      <c r="N1479" t="s">
        <v>309</v>
      </c>
      <c r="O1479" t="s">
        <v>6029</v>
      </c>
      <c r="P1479" t="s">
        <v>114</v>
      </c>
    </row>
    <row r="1480">
      <c r="A1480">
        <f>HYPERLINK("http://bombeiros.sp.gov.br/hidrantes/03individual/1364.html","1364")</f>
      </c>
      <c r="B1480" t="s">
        <v>114</v>
      </c>
      <c r="C1480" t="s">
        <v>309</v>
      </c>
      <c r="D1480" t="s">
        <v>309</v>
      </c>
      <c r="E1480" t="s">
        <v>64</v>
      </c>
      <c r="F1480" t="s">
        <v>5264</v>
      </c>
      <c r="G1480" t="s">
        <v>18193</v>
      </c>
      <c r="H1480" t="s">
        <v>1112</v>
      </c>
      <c r="I1480" t="s">
        <v>1108</v>
      </c>
      <c r="J1480" t="s">
        <v>5265</v>
      </c>
      <c r="K1480" t="s">
        <v>5266</v>
      </c>
      <c r="L1480" t="s">
        <v>36</v>
      </c>
      <c r="M1480" t="s">
        <v>19177</v>
      </c>
      <c r="N1480" t="s">
        <v>309</v>
      </c>
      <c r="O1480" t="s">
        <v>6029</v>
      </c>
      <c r="P1480" t="s">
        <v>114</v>
      </c>
    </row>
    <row r="1481">
      <c r="A1481">
        <f>HYPERLINK("http://bombeiros.sp.gov.br/hidrantes/03individual/1365.html","1365")</f>
      </c>
      <c r="B1481" t="s">
        <v>114</v>
      </c>
      <c r="C1481" t="s">
        <v>309</v>
      </c>
      <c r="D1481" t="s">
        <v>309</v>
      </c>
      <c r="E1481" t="s">
        <v>64</v>
      </c>
      <c r="F1481" t="s">
        <v>5267</v>
      </c>
      <c r="G1481" t="s">
        <v>18097</v>
      </c>
      <c r="H1481" t="s">
        <v>1121</v>
      </c>
      <c r="I1481" t="s">
        <v>1117</v>
      </c>
      <c r="J1481" t="s">
        <v>16515</v>
      </c>
      <c r="K1481" t="s">
        <v>16516</v>
      </c>
      <c r="L1481" t="s">
        <v>36</v>
      </c>
      <c r="M1481" t="s">
        <v>19177</v>
      </c>
      <c r="N1481" t="s">
        <v>309</v>
      </c>
      <c r="O1481" t="s">
        <v>6029</v>
      </c>
      <c r="P1481" t="s">
        <v>114</v>
      </c>
    </row>
    <row r="1482">
      <c r="A1482">
        <f>HYPERLINK("http://bombeiros.sp.gov.br/hidrantes/03individual/16358.html","16358")</f>
      </c>
      <c r="B1482" t="s">
        <v>114</v>
      </c>
      <c r="C1482" t="s">
        <v>309</v>
      </c>
      <c r="D1482" t="s">
        <v>309</v>
      </c>
      <c r="E1482" t="s">
        <v>64</v>
      </c>
      <c r="F1482" t="s">
        <v>5270</v>
      </c>
      <c r="G1482" t="s">
        <v>18192</v>
      </c>
      <c r="H1482" t="s">
        <v>1112</v>
      </c>
      <c r="I1482" t="s">
        <v>1108</v>
      </c>
      <c r="J1482" t="s">
        <v>15960</v>
      </c>
      <c r="K1482" t="s">
        <v>15961</v>
      </c>
      <c r="L1482" t="s">
        <v>21</v>
      </c>
      <c r="M1482" t="s">
        <v>19177</v>
      </c>
      <c r="N1482" t="s">
        <v>309</v>
      </c>
      <c r="O1482" t="s">
        <v>6029</v>
      </c>
      <c r="P1482" t="s">
        <v>114</v>
      </c>
    </row>
    <row r="1483">
      <c r="A1483">
        <f>HYPERLINK("http://bombeiros.sp.gov.br/hidrantes/03individual/1054.html","1054")</f>
      </c>
      <c r="B1483" t="s">
        <v>114</v>
      </c>
      <c r="C1483" t="s">
        <v>309</v>
      </c>
      <c r="D1483" t="s">
        <v>309</v>
      </c>
      <c r="E1483" t="s">
        <v>15</v>
      </c>
      <c r="F1483" t="s">
        <v>5273</v>
      </c>
      <c r="G1483" t="s">
        <v>18096</v>
      </c>
      <c r="H1483" t="s">
        <v>1121</v>
      </c>
      <c r="I1483" t="s">
        <v>1117</v>
      </c>
      <c r="J1483" t="s">
        <v>5274</v>
      </c>
      <c r="K1483" t="s">
        <v>5275</v>
      </c>
      <c r="L1483" t="s">
        <v>21</v>
      </c>
      <c r="M1483" t="s">
        <v>19177</v>
      </c>
      <c r="N1483" t="s">
        <v>309</v>
      </c>
      <c r="O1483" t="s">
        <v>6029</v>
      </c>
      <c r="P1483" t="s">
        <v>114</v>
      </c>
    </row>
    <row r="1484">
      <c r="A1484">
        <f>HYPERLINK("http://bombeiros.sp.gov.br/hidrantes/03individual/1333.html","1333")</f>
      </c>
      <c r="B1484" t="s">
        <v>114</v>
      </c>
      <c r="C1484" t="s">
        <v>309</v>
      </c>
      <c r="D1484" t="s">
        <v>309</v>
      </c>
      <c r="E1484" t="s">
        <v>15</v>
      </c>
      <c r="F1484" t="s">
        <v>5276</v>
      </c>
      <c r="G1484" t="s">
        <v>18193</v>
      </c>
      <c r="H1484" t="s">
        <v>1112</v>
      </c>
      <c r="I1484" t="s">
        <v>1108</v>
      </c>
      <c r="J1484" t="s">
        <v>5277</v>
      </c>
      <c r="K1484" t="s">
        <v>5278</v>
      </c>
      <c r="L1484" t="s">
        <v>36</v>
      </c>
      <c r="M1484" t="s">
        <v>19177</v>
      </c>
      <c r="N1484" t="s">
        <v>309</v>
      </c>
      <c r="O1484" t="s">
        <v>6029</v>
      </c>
      <c r="P1484" t="s">
        <v>114</v>
      </c>
    </row>
    <row r="1485">
      <c r="A1485">
        <f>HYPERLINK("http://bombeiros.sp.gov.br/hidrantes/03individual/1334.html","1334")</f>
      </c>
      <c r="B1485" t="s">
        <v>114</v>
      </c>
      <c r="C1485" t="s">
        <v>309</v>
      </c>
      <c r="D1485" t="s">
        <v>309</v>
      </c>
      <c r="E1485" t="s">
        <v>15</v>
      </c>
      <c r="F1485" t="s">
        <v>5279</v>
      </c>
      <c r="G1485" t="s">
        <v>18097</v>
      </c>
      <c r="H1485" t="s">
        <v>1107</v>
      </c>
      <c r="I1485" t="s">
        <v>1108</v>
      </c>
      <c r="J1485" t="s">
        <v>5280</v>
      </c>
      <c r="K1485" t="s">
        <v>5281</v>
      </c>
      <c r="L1485" t="s">
        <v>21</v>
      </c>
      <c r="M1485" t="s">
        <v>19177</v>
      </c>
      <c r="N1485" t="s">
        <v>309</v>
      </c>
      <c r="O1485" t="s">
        <v>6029</v>
      </c>
      <c r="P1485" t="s">
        <v>114</v>
      </c>
    </row>
    <row r="1486">
      <c r="A1486">
        <f>HYPERLINK("http://bombeiros.sp.gov.br/hidrantes/03individual/1363.html","1363")</f>
      </c>
      <c r="B1486" t="s">
        <v>114</v>
      </c>
      <c r="C1486" t="s">
        <v>309</v>
      </c>
      <c r="D1486" t="s">
        <v>309</v>
      </c>
      <c r="E1486" t="s">
        <v>15</v>
      </c>
      <c r="F1486" t="s">
        <v>5282</v>
      </c>
      <c r="G1486" t="s">
        <v>18096</v>
      </c>
      <c r="H1486" t="s">
        <v>1107</v>
      </c>
      <c r="I1486" t="s">
        <v>1108</v>
      </c>
      <c r="J1486" t="s">
        <v>5283</v>
      </c>
      <c r="K1486" t="s">
        <v>5284</v>
      </c>
      <c r="L1486" t="s">
        <v>36</v>
      </c>
      <c r="M1486" t="s">
        <v>19177</v>
      </c>
      <c r="N1486" t="s">
        <v>309</v>
      </c>
      <c r="O1486" t="s">
        <v>6029</v>
      </c>
      <c r="P1486" t="s">
        <v>114</v>
      </c>
    </row>
    <row r="1487">
      <c r="A1487">
        <f>HYPERLINK("http://bombeiros.sp.gov.br/hidrantes/03individual/1367.html","1367")</f>
      </c>
      <c r="B1487" t="s">
        <v>114</v>
      </c>
      <c r="C1487" t="s">
        <v>309</v>
      </c>
      <c r="D1487" t="s">
        <v>309</v>
      </c>
      <c r="E1487" t="s">
        <v>15</v>
      </c>
      <c r="F1487" t="s">
        <v>5285</v>
      </c>
      <c r="G1487" t="s">
        <v>18097</v>
      </c>
      <c r="H1487" t="s">
        <v>1174</v>
      </c>
      <c r="I1487" t="s">
        <v>1108</v>
      </c>
      <c r="J1487" t="s">
        <v>15871</v>
      </c>
      <c r="K1487" t="s">
        <v>15872</v>
      </c>
      <c r="L1487" t="s">
        <v>21</v>
      </c>
      <c r="M1487" t="s">
        <v>19177</v>
      </c>
      <c r="N1487" t="s">
        <v>309</v>
      </c>
      <c r="O1487" t="s">
        <v>6029</v>
      </c>
      <c r="P1487" t="s">
        <v>114</v>
      </c>
    </row>
    <row r="1488">
      <c r="A1488">
        <f>HYPERLINK("http://bombeiros.sp.gov.br/hidrantes/03individual/1369.html","1369")</f>
      </c>
      <c r="B1488" t="s">
        <v>114</v>
      </c>
      <c r="C1488" t="s">
        <v>309</v>
      </c>
      <c r="D1488" t="s">
        <v>309</v>
      </c>
      <c r="E1488" t="s">
        <v>15</v>
      </c>
      <c r="F1488" t="s">
        <v>5288</v>
      </c>
      <c r="G1488" t="s">
        <v>18192</v>
      </c>
      <c r="H1488" t="s">
        <v>1112</v>
      </c>
      <c r="I1488" t="s">
        <v>1108</v>
      </c>
      <c r="J1488" t="s">
        <v>5289</v>
      </c>
      <c r="K1488" t="s">
        <v>5290</v>
      </c>
      <c r="L1488" t="s">
        <v>21</v>
      </c>
      <c r="M1488" t="s">
        <v>19177</v>
      </c>
      <c r="N1488" t="s">
        <v>309</v>
      </c>
      <c r="O1488" t="s">
        <v>6029</v>
      </c>
      <c r="P1488" t="s">
        <v>114</v>
      </c>
    </row>
    <row r="1489">
      <c r="A1489">
        <f>HYPERLINK("http://bombeiros.sp.gov.br/hidrantes/03individual/1398.html","1398")</f>
      </c>
      <c r="B1489" t="s">
        <v>114</v>
      </c>
      <c r="C1489" t="s">
        <v>309</v>
      </c>
      <c r="D1489" t="s">
        <v>309</v>
      </c>
      <c r="E1489" t="s">
        <v>15</v>
      </c>
      <c r="F1489" t="s">
        <v>5291</v>
      </c>
      <c r="G1489" t="s">
        <v>18194</v>
      </c>
      <c r="H1489" t="s">
        <v>1121</v>
      </c>
      <c r="I1489" t="s">
        <v>1117</v>
      </c>
      <c r="J1489" t="s">
        <v>5292</v>
      </c>
      <c r="K1489" t="s">
        <v>5293</v>
      </c>
      <c r="L1489" t="s">
        <v>36</v>
      </c>
      <c r="M1489" t="s">
        <v>19177</v>
      </c>
      <c r="N1489" t="s">
        <v>309</v>
      </c>
      <c r="O1489" t="s">
        <v>6029</v>
      </c>
      <c r="P1489" t="s">
        <v>114</v>
      </c>
    </row>
    <row r="1490">
      <c r="A1490">
        <f>HYPERLINK("http://bombeiros.sp.gov.br/hidrantes/03individual/1400.html","1400")</f>
      </c>
      <c r="B1490" t="s">
        <v>114</v>
      </c>
      <c r="C1490" t="s">
        <v>309</v>
      </c>
      <c r="D1490" t="s">
        <v>309</v>
      </c>
      <c r="E1490" t="s">
        <v>15</v>
      </c>
      <c r="F1490" t="s">
        <v>5294</v>
      </c>
      <c r="G1490" t="s">
        <v>18192</v>
      </c>
      <c r="H1490" t="s">
        <v>1112</v>
      </c>
      <c r="I1490" t="s">
        <v>1108</v>
      </c>
      <c r="J1490" t="s">
        <v>5295</v>
      </c>
      <c r="K1490" t="s">
        <v>5296</v>
      </c>
      <c r="L1490" t="s">
        <v>21</v>
      </c>
      <c r="M1490" t="s">
        <v>19177</v>
      </c>
      <c r="N1490" t="s">
        <v>309</v>
      </c>
      <c r="O1490" t="s">
        <v>6029</v>
      </c>
      <c r="P1490" t="s">
        <v>114</v>
      </c>
    </row>
    <row r="1491">
      <c r="A1491">
        <f>HYPERLINK("http://bombeiros.sp.gov.br/hidrantes/03individual/1403.html","1403")</f>
      </c>
      <c r="B1491" t="s">
        <v>114</v>
      </c>
      <c r="C1491" t="s">
        <v>309</v>
      </c>
      <c r="D1491" t="s">
        <v>309</v>
      </c>
      <c r="E1491" t="s">
        <v>15</v>
      </c>
      <c r="F1491" t="s">
        <v>5297</v>
      </c>
      <c r="G1491" t="s">
        <v>18082</v>
      </c>
      <c r="H1491" t="s">
        <v>1112</v>
      </c>
      <c r="I1491" t="s">
        <v>1108</v>
      </c>
      <c r="J1491" t="s">
        <v>5298</v>
      </c>
      <c r="K1491" t="s">
        <v>5299</v>
      </c>
      <c r="L1491" t="s">
        <v>21</v>
      </c>
      <c r="M1491" t="s">
        <v>19177</v>
      </c>
      <c r="N1491" t="s">
        <v>309</v>
      </c>
      <c r="O1491" t="s">
        <v>6029</v>
      </c>
      <c r="P1491" t="s">
        <v>114</v>
      </c>
    </row>
    <row r="1492">
      <c r="A1492">
        <f>HYPERLINK("http://bombeiros.sp.gov.br/hidrantes/03individual/1405.html","1405")</f>
      </c>
      <c r="B1492" t="s">
        <v>114</v>
      </c>
      <c r="C1492" t="s">
        <v>309</v>
      </c>
      <c r="D1492" t="s">
        <v>309</v>
      </c>
      <c r="E1492" t="s">
        <v>15</v>
      </c>
      <c r="F1492" t="s">
        <v>5300</v>
      </c>
      <c r="G1492" t="s">
        <v>18096</v>
      </c>
      <c r="H1492" t="s">
        <v>1107</v>
      </c>
      <c r="I1492" t="s">
        <v>1108</v>
      </c>
      <c r="J1492" t="s">
        <v>5301</v>
      </c>
      <c r="K1492" t="s">
        <v>5302</v>
      </c>
      <c r="L1492" t="s">
        <v>21</v>
      </c>
      <c r="M1492" t="s">
        <v>19177</v>
      </c>
      <c r="N1492" t="s">
        <v>309</v>
      </c>
      <c r="O1492" t="s">
        <v>6029</v>
      </c>
      <c r="P1492" t="s">
        <v>114</v>
      </c>
    </row>
    <row r="1493">
      <c r="A1493">
        <f>HYPERLINK("http://bombeiros.sp.gov.br/hidrantes/03individual/1414.html","1414")</f>
      </c>
      <c r="B1493" t="s">
        <v>114</v>
      </c>
      <c r="C1493" t="s">
        <v>309</v>
      </c>
      <c r="D1493" t="s">
        <v>309</v>
      </c>
      <c r="E1493" t="s">
        <v>15</v>
      </c>
      <c r="F1493" t="s">
        <v>5303</v>
      </c>
      <c r="G1493" t="s">
        <v>18097</v>
      </c>
      <c r="H1493" t="s">
        <v>1174</v>
      </c>
      <c r="I1493" t="s">
        <v>1117</v>
      </c>
      <c r="J1493" t="s">
        <v>5304</v>
      </c>
      <c r="K1493" t="s">
        <v>5305</v>
      </c>
      <c r="L1493" t="s">
        <v>21</v>
      </c>
      <c r="M1493" t="s">
        <v>19177</v>
      </c>
      <c r="N1493" t="s">
        <v>309</v>
      </c>
      <c r="O1493" t="s">
        <v>6029</v>
      </c>
      <c r="P1493" t="s">
        <v>114</v>
      </c>
    </row>
    <row r="1494">
      <c r="A1494">
        <f>HYPERLINK("http://bombeiros.sp.gov.br/hidrantes/03individual/1416.html","1416")</f>
      </c>
      <c r="B1494" t="s">
        <v>114</v>
      </c>
      <c r="C1494" t="s">
        <v>309</v>
      </c>
      <c r="D1494" t="s">
        <v>309</v>
      </c>
      <c r="E1494" t="s">
        <v>15</v>
      </c>
      <c r="F1494" t="s">
        <v>5306</v>
      </c>
      <c r="G1494" t="s">
        <v>18193</v>
      </c>
      <c r="H1494" t="s">
        <v>1121</v>
      </c>
      <c r="I1494" t="s">
        <v>1117</v>
      </c>
      <c r="J1494" t="s">
        <v>5307</v>
      </c>
      <c r="K1494" t="s">
        <v>5308</v>
      </c>
      <c r="L1494" t="s">
        <v>21</v>
      </c>
      <c r="M1494" t="s">
        <v>19177</v>
      </c>
      <c r="N1494" t="s">
        <v>309</v>
      </c>
      <c r="O1494" t="s">
        <v>6029</v>
      </c>
      <c r="P1494" t="s">
        <v>114</v>
      </c>
    </row>
    <row r="1495">
      <c r="A1495">
        <f>HYPERLINK("http://bombeiros.sp.gov.br/hidrantes/03individual/1418.html","1418")</f>
      </c>
      <c r="B1495" t="s">
        <v>114</v>
      </c>
      <c r="C1495" t="s">
        <v>309</v>
      </c>
      <c r="D1495" t="s">
        <v>309</v>
      </c>
      <c r="E1495" t="s">
        <v>15</v>
      </c>
      <c r="F1495" t="s">
        <v>5309</v>
      </c>
      <c r="G1495" t="s">
        <v>18193</v>
      </c>
      <c r="H1495" t="s">
        <v>1174</v>
      </c>
      <c r="I1495" t="s">
        <v>1108</v>
      </c>
      <c r="J1495" t="s">
        <v>5310</v>
      </c>
      <c r="K1495" t="s">
        <v>5311</v>
      </c>
      <c r="L1495" t="s">
        <v>21</v>
      </c>
      <c r="M1495" t="s">
        <v>19177</v>
      </c>
      <c r="N1495" t="s">
        <v>309</v>
      </c>
      <c r="O1495" t="s">
        <v>6029</v>
      </c>
      <c r="P1495" t="s">
        <v>114</v>
      </c>
    </row>
    <row r="1496">
      <c r="A1496">
        <f>HYPERLINK("http://bombeiros.sp.gov.br/hidrantes/03individual/3019.html","3019")</f>
      </c>
      <c r="B1496" t="s">
        <v>114</v>
      </c>
      <c r="C1496" t="s">
        <v>309</v>
      </c>
      <c r="D1496" t="s">
        <v>309</v>
      </c>
      <c r="E1496" t="s">
        <v>15</v>
      </c>
      <c r="F1496" t="s">
        <v>5312</v>
      </c>
      <c r="G1496" t="s">
        <v>18096</v>
      </c>
      <c r="H1496" t="s">
        <v>1121</v>
      </c>
      <c r="I1496" t="s">
        <v>1117</v>
      </c>
      <c r="J1496" t="s">
        <v>5313</v>
      </c>
      <c r="K1496" t="s">
        <v>5314</v>
      </c>
      <c r="L1496" t="s">
        <v>21</v>
      </c>
      <c r="M1496" t="s">
        <v>19177</v>
      </c>
      <c r="N1496" t="s">
        <v>309</v>
      </c>
      <c r="O1496" t="s">
        <v>6029</v>
      </c>
      <c r="P1496" t="s">
        <v>114</v>
      </c>
    </row>
    <row r="1497">
      <c r="A1497">
        <f>HYPERLINK("http://bombeiros.sp.gov.br/hidrantes/03individual/3021.html","3021")</f>
      </c>
      <c r="B1497" t="s">
        <v>114</v>
      </c>
      <c r="C1497" t="s">
        <v>309</v>
      </c>
      <c r="D1497" t="s">
        <v>309</v>
      </c>
      <c r="E1497" t="s">
        <v>15</v>
      </c>
      <c r="F1497" t="s">
        <v>5315</v>
      </c>
      <c r="G1497" t="s">
        <v>18065</v>
      </c>
      <c r="H1497" t="s">
        <v>1174</v>
      </c>
      <c r="I1497" t="s">
        <v>1108</v>
      </c>
      <c r="J1497" t="s">
        <v>5316</v>
      </c>
      <c r="K1497" t="s">
        <v>5317</v>
      </c>
      <c r="L1497" t="s">
        <v>21</v>
      </c>
      <c r="M1497" t="s">
        <v>19177</v>
      </c>
      <c r="N1497" t="s">
        <v>309</v>
      </c>
      <c r="O1497" t="s">
        <v>6029</v>
      </c>
      <c r="P1497" t="s">
        <v>114</v>
      </c>
    </row>
    <row r="1498">
      <c r="A1498">
        <f>HYPERLINK("http://bombeiros.sp.gov.br/hidrantes/03individual/3032.html","3032")</f>
      </c>
      <c r="B1498" t="s">
        <v>114</v>
      </c>
      <c r="C1498" t="s">
        <v>309</v>
      </c>
      <c r="D1498" t="s">
        <v>309</v>
      </c>
      <c r="E1498" t="s">
        <v>15</v>
      </c>
      <c r="F1498" t="s">
        <v>5318</v>
      </c>
      <c r="G1498" t="s">
        <v>18096</v>
      </c>
      <c r="H1498" t="s">
        <v>1174</v>
      </c>
      <c r="I1498" t="s">
        <v>1117</v>
      </c>
      <c r="J1498" t="s">
        <v>5319</v>
      </c>
      <c r="K1498" t="s">
        <v>5320</v>
      </c>
      <c r="L1498" t="s">
        <v>21</v>
      </c>
      <c r="M1498" t="s">
        <v>19177</v>
      </c>
      <c r="N1498" t="s">
        <v>309</v>
      </c>
      <c r="O1498" t="s">
        <v>6029</v>
      </c>
      <c r="P1498" t="s">
        <v>114</v>
      </c>
    </row>
    <row r="1499">
      <c r="A1499">
        <f>HYPERLINK("http://bombeiros.sp.gov.br/hidrantes/03individual/3071.html","3071")</f>
      </c>
      <c r="B1499" t="s">
        <v>114</v>
      </c>
      <c r="C1499" t="s">
        <v>309</v>
      </c>
      <c r="D1499" t="s">
        <v>309</v>
      </c>
      <c r="E1499" t="s">
        <v>15</v>
      </c>
      <c r="F1499" t="s">
        <v>5321</v>
      </c>
      <c r="G1499" t="s">
        <v>18097</v>
      </c>
      <c r="H1499" t="s">
        <v>1174</v>
      </c>
      <c r="I1499" t="s">
        <v>1108</v>
      </c>
      <c r="J1499" t="s">
        <v>5322</v>
      </c>
      <c r="K1499" t="s">
        <v>5323</v>
      </c>
      <c r="L1499" t="s">
        <v>21</v>
      </c>
      <c r="M1499" t="s">
        <v>19177</v>
      </c>
      <c r="N1499" t="s">
        <v>309</v>
      </c>
      <c r="O1499" t="s">
        <v>6029</v>
      </c>
      <c r="P1499" t="s">
        <v>114</v>
      </c>
    </row>
    <row r="1500">
      <c r="A1500">
        <f>HYPERLINK("http://bombeiros.sp.gov.br/hidrantes/03individual/3287.html","3287")</f>
      </c>
      <c r="B1500" t="s">
        <v>114</v>
      </c>
      <c r="C1500" t="s">
        <v>309</v>
      </c>
      <c r="D1500" t="s">
        <v>309</v>
      </c>
      <c r="E1500" t="s">
        <v>15</v>
      </c>
      <c r="F1500" t="s">
        <v>5324</v>
      </c>
      <c r="G1500" t="s">
        <v>18097</v>
      </c>
      <c r="H1500" t="s">
        <v>1174</v>
      </c>
      <c r="I1500" t="s">
        <v>1108</v>
      </c>
      <c r="J1500" t="s">
        <v>5325</v>
      </c>
      <c r="K1500" t="s">
        <v>5326</v>
      </c>
      <c r="L1500" t="s">
        <v>21</v>
      </c>
      <c r="M1500" t="s">
        <v>19177</v>
      </c>
      <c r="N1500" t="s">
        <v>309</v>
      </c>
      <c r="O1500" t="s">
        <v>6029</v>
      </c>
      <c r="P1500" t="s">
        <v>114</v>
      </c>
    </row>
    <row r="1501">
      <c r="A1501">
        <f>HYPERLINK("http://bombeiros.sp.gov.br/hidrantes/03individual/3289.html","3289")</f>
      </c>
      <c r="B1501" t="s">
        <v>114</v>
      </c>
      <c r="C1501" t="s">
        <v>309</v>
      </c>
      <c r="D1501" t="s">
        <v>309</v>
      </c>
      <c r="E1501" t="s">
        <v>15</v>
      </c>
      <c r="F1501" t="s">
        <v>5327</v>
      </c>
      <c r="G1501" t="s">
        <v>18096</v>
      </c>
      <c r="H1501" t="s">
        <v>1107</v>
      </c>
      <c r="I1501" t="s">
        <v>1108</v>
      </c>
      <c r="J1501" t="s">
        <v>16394</v>
      </c>
      <c r="K1501" t="s">
        <v>16395</v>
      </c>
      <c r="L1501" t="s">
        <v>21</v>
      </c>
      <c r="M1501" t="s">
        <v>19177</v>
      </c>
      <c r="N1501" t="s">
        <v>309</v>
      </c>
      <c r="O1501" t="s">
        <v>6029</v>
      </c>
      <c r="P1501" t="s">
        <v>114</v>
      </c>
    </row>
    <row r="1502">
      <c r="A1502">
        <f>HYPERLINK("http://bombeiros.sp.gov.br/hidrantes/03individual/3290.html","3290")</f>
      </c>
      <c r="B1502" t="s">
        <v>114</v>
      </c>
      <c r="C1502" t="s">
        <v>309</v>
      </c>
      <c r="D1502" t="s">
        <v>309</v>
      </c>
      <c r="E1502" t="s">
        <v>15</v>
      </c>
      <c r="F1502" t="s">
        <v>5330</v>
      </c>
      <c r="G1502" t="s">
        <v>18194</v>
      </c>
      <c r="H1502" t="s">
        <v>1174</v>
      </c>
      <c r="I1502" t="s">
        <v>1117</v>
      </c>
      <c r="J1502" t="s">
        <v>5331</v>
      </c>
      <c r="K1502" t="s">
        <v>5332</v>
      </c>
      <c r="L1502" t="s">
        <v>21</v>
      </c>
      <c r="M1502" t="s">
        <v>19177</v>
      </c>
      <c r="N1502" t="s">
        <v>309</v>
      </c>
      <c r="O1502" t="s">
        <v>6029</v>
      </c>
      <c r="P1502" t="s">
        <v>114</v>
      </c>
    </row>
    <row r="1503">
      <c r="A1503">
        <f>HYPERLINK("http://bombeiros.sp.gov.br/hidrantes/03individual/3304.html","3304")</f>
      </c>
      <c r="B1503" t="s">
        <v>114</v>
      </c>
      <c r="C1503" t="s">
        <v>309</v>
      </c>
      <c r="D1503" t="s">
        <v>309</v>
      </c>
      <c r="E1503" t="s">
        <v>15</v>
      </c>
      <c r="F1503" t="s">
        <v>5333</v>
      </c>
      <c r="G1503" t="s">
        <v>18192</v>
      </c>
      <c r="H1503" t="s">
        <v>1107</v>
      </c>
      <c r="I1503" t="s">
        <v>1108</v>
      </c>
      <c r="J1503" t="s">
        <v>5334</v>
      </c>
      <c r="K1503" t="s">
        <v>5335</v>
      </c>
      <c r="L1503" t="s">
        <v>21</v>
      </c>
      <c r="M1503" t="s">
        <v>19177</v>
      </c>
      <c r="N1503" t="s">
        <v>309</v>
      </c>
      <c r="O1503" t="s">
        <v>6029</v>
      </c>
      <c r="P1503" t="s">
        <v>114</v>
      </c>
    </row>
    <row r="1504">
      <c r="A1504">
        <f>HYPERLINK("http://bombeiros.sp.gov.br/hidrantes/03individual/5640.html","5640")</f>
      </c>
      <c r="B1504" t="s">
        <v>114</v>
      </c>
      <c r="C1504" t="s">
        <v>309</v>
      </c>
      <c r="D1504" t="s">
        <v>309</v>
      </c>
      <c r="E1504" t="s">
        <v>15</v>
      </c>
      <c r="F1504" t="s">
        <v>5336</v>
      </c>
      <c r="G1504" t="s">
        <v>18097</v>
      </c>
      <c r="H1504" t="s">
        <v>1112</v>
      </c>
      <c r="I1504" t="s">
        <v>1108</v>
      </c>
      <c r="J1504" t="s">
        <v>5337</v>
      </c>
      <c r="K1504" t="s">
        <v>5338</v>
      </c>
      <c r="L1504" t="s">
        <v>21</v>
      </c>
      <c r="M1504" t="s">
        <v>19177</v>
      </c>
      <c r="N1504" t="s">
        <v>309</v>
      </c>
      <c r="O1504" t="s">
        <v>6029</v>
      </c>
      <c r="P1504" t="s">
        <v>114</v>
      </c>
    </row>
    <row r="1505">
      <c r="A1505">
        <f>HYPERLINK("http://bombeiros.sp.gov.br/hidrantes/03individual/25212.html","25212")</f>
      </c>
      <c r="B1505" t="s">
        <v>114</v>
      </c>
      <c r="C1505" t="s">
        <v>309</v>
      </c>
      <c r="D1505" t="s">
        <v>309</v>
      </c>
      <c r="E1505" t="s">
        <v>15</v>
      </c>
      <c r="F1505" t="s">
        <v>5339</v>
      </c>
      <c r="G1505" t="s">
        <v>18193</v>
      </c>
      <c r="H1505" t="s">
        <v>1107</v>
      </c>
      <c r="I1505" t="s">
        <v>1108</v>
      </c>
      <c r="J1505" t="s">
        <v>5340</v>
      </c>
      <c r="K1505" t="s">
        <v>5341</v>
      </c>
      <c r="L1505" t="s">
        <v>21</v>
      </c>
      <c r="M1505" t="s">
        <v>19177</v>
      </c>
      <c r="N1505" t="s">
        <v>309</v>
      </c>
      <c r="O1505" t="s">
        <v>6029</v>
      </c>
      <c r="P1505" t="s">
        <v>114</v>
      </c>
    </row>
    <row r="1506">
      <c r="A1506">
        <f>HYPERLINK("http://bombeiros.sp.gov.br/hidrantes/03individual/27305.html","27305")</f>
      </c>
      <c r="B1506" t="s">
        <v>114</v>
      </c>
      <c r="C1506" t="s">
        <v>309</v>
      </c>
      <c r="D1506" t="s">
        <v>309</v>
      </c>
      <c r="E1506" t="s">
        <v>15</v>
      </c>
      <c r="F1506" t="s">
        <v>17081</v>
      </c>
      <c r="G1506" t="s">
        <v>18096</v>
      </c>
      <c r="H1506" t="s">
        <v>1107</v>
      </c>
      <c r="I1506" t="s">
        <v>1108</v>
      </c>
      <c r="J1506" t="s">
        <v>17082</v>
      </c>
      <c r="K1506" t="s">
        <v>17083</v>
      </c>
      <c r="L1506" t="s">
        <v>21</v>
      </c>
      <c r="M1506" t="s">
        <v>19177</v>
      </c>
      <c r="N1506" t="s">
        <v>309</v>
      </c>
      <c r="O1506" t="s">
        <v>6029</v>
      </c>
      <c r="P1506" t="s">
        <v>114</v>
      </c>
    </row>
    <row r="1507">
      <c r="A1507">
        <f>HYPERLINK("http://bombeiros.sp.gov.br/hidrantes/03individual/27572.html","27572")</f>
      </c>
      <c r="B1507" t="s">
        <v>114</v>
      </c>
      <c r="C1507" t="s">
        <v>309</v>
      </c>
      <c r="D1507" t="s">
        <v>309</v>
      </c>
      <c r="E1507" t="s">
        <v>15</v>
      </c>
      <c r="F1507" t="s">
        <v>17445</v>
      </c>
      <c r="G1507" t="s">
        <v>18096</v>
      </c>
      <c r="H1507" t="s">
        <v>1121</v>
      </c>
      <c r="I1507" t="s">
        <v>1117</v>
      </c>
      <c r="J1507" t="s">
        <v>17446</v>
      </c>
      <c r="K1507" t="s">
        <v>17447</v>
      </c>
      <c r="L1507" t="s">
        <v>21</v>
      </c>
      <c r="M1507" t="s">
        <v>19177</v>
      </c>
      <c r="N1507" t="s">
        <v>309</v>
      </c>
      <c r="O1507" t="s">
        <v>6029</v>
      </c>
      <c r="P1507" t="s">
        <v>114</v>
      </c>
    </row>
    <row r="1508">
      <c r="A1508">
        <f>HYPERLINK("http://bombeiros.sp.gov.br/hidrantes/03individual/822.html","822")</f>
      </c>
      <c r="B1508" t="s">
        <v>114</v>
      </c>
      <c r="C1508" t="s">
        <v>309</v>
      </c>
      <c r="D1508" t="s">
        <v>5342</v>
      </c>
      <c r="E1508" t="s">
        <v>64</v>
      </c>
      <c r="F1508" t="s">
        <v>5343</v>
      </c>
      <c r="G1508" t="s">
        <v>18085</v>
      </c>
      <c r="H1508" t="s">
        <v>1112</v>
      </c>
      <c r="I1508" t="s">
        <v>1108</v>
      </c>
      <c r="J1508" t="s">
        <v>5344</v>
      </c>
      <c r="K1508" t="s">
        <v>5345</v>
      </c>
      <c r="L1508" t="s">
        <v>36</v>
      </c>
      <c r="M1508" t="s">
        <v>19177</v>
      </c>
      <c r="N1508" t="s">
        <v>309</v>
      </c>
      <c r="O1508" t="s">
        <v>6029</v>
      </c>
      <c r="P1508" t="s">
        <v>114</v>
      </c>
    </row>
    <row r="1509">
      <c r="A1509">
        <f>HYPERLINK("http://bombeiros.sp.gov.br/hidrantes/03individual/943.html","943")</f>
      </c>
      <c r="B1509" t="s">
        <v>114</v>
      </c>
      <c r="C1509" t="s">
        <v>309</v>
      </c>
      <c r="D1509" t="s">
        <v>5342</v>
      </c>
      <c r="E1509" t="s">
        <v>64</v>
      </c>
      <c r="F1509" t="s">
        <v>5346</v>
      </c>
      <c r="G1509" t="s">
        <v>18076</v>
      </c>
      <c r="H1509" t="s">
        <v>1112</v>
      </c>
      <c r="I1509" t="s">
        <v>1108</v>
      </c>
      <c r="J1509" t="s">
        <v>5347</v>
      </c>
      <c r="K1509" t="s">
        <v>5348</v>
      </c>
      <c r="L1509" t="s">
        <v>36</v>
      </c>
      <c r="M1509" t="s">
        <v>19177</v>
      </c>
      <c r="N1509" t="s">
        <v>309</v>
      </c>
      <c r="O1509" t="s">
        <v>6029</v>
      </c>
      <c r="P1509" t="s">
        <v>114</v>
      </c>
    </row>
    <row r="1510">
      <c r="A1510">
        <f>HYPERLINK("http://bombeiros.sp.gov.br/hidrantes/03individual/959.html","959")</f>
      </c>
      <c r="B1510" t="s">
        <v>114</v>
      </c>
      <c r="C1510" t="s">
        <v>309</v>
      </c>
      <c r="D1510" t="s">
        <v>5342</v>
      </c>
      <c r="E1510" t="s">
        <v>64</v>
      </c>
      <c r="F1510" t="s">
        <v>5349</v>
      </c>
      <c r="G1510" t="s">
        <v>18099</v>
      </c>
      <c r="H1510" t="s">
        <v>1112</v>
      </c>
      <c r="I1510" t="s">
        <v>1108</v>
      </c>
      <c r="J1510" t="s">
        <v>5350</v>
      </c>
      <c r="K1510" t="s">
        <v>5351</v>
      </c>
      <c r="L1510" t="s">
        <v>21</v>
      </c>
      <c r="M1510" t="s">
        <v>19177</v>
      </c>
      <c r="N1510" t="s">
        <v>309</v>
      </c>
      <c r="O1510" t="s">
        <v>6029</v>
      </c>
      <c r="P1510" t="s">
        <v>114</v>
      </c>
    </row>
    <row r="1511">
      <c r="A1511">
        <f>HYPERLINK("http://bombeiros.sp.gov.br/hidrantes/03individual/961.html","961")</f>
      </c>
      <c r="B1511" t="s">
        <v>114</v>
      </c>
      <c r="C1511" t="s">
        <v>309</v>
      </c>
      <c r="D1511" t="s">
        <v>5342</v>
      </c>
      <c r="E1511" t="s">
        <v>64</v>
      </c>
      <c r="F1511" t="s">
        <v>5352</v>
      </c>
      <c r="G1511" t="s">
        <v>18099</v>
      </c>
      <c r="H1511" t="s">
        <v>1107</v>
      </c>
      <c r="I1511" t="s">
        <v>1108</v>
      </c>
      <c r="J1511" t="s">
        <v>5353</v>
      </c>
      <c r="K1511" t="s">
        <v>5354</v>
      </c>
      <c r="L1511" t="s">
        <v>36</v>
      </c>
      <c r="M1511" t="s">
        <v>19177</v>
      </c>
      <c r="N1511" t="s">
        <v>309</v>
      </c>
      <c r="O1511" t="s">
        <v>6029</v>
      </c>
      <c r="P1511" t="s">
        <v>114</v>
      </c>
    </row>
    <row r="1512">
      <c r="A1512">
        <f>HYPERLINK("http://bombeiros.sp.gov.br/hidrantes/03individual/2986.html","2986")</f>
      </c>
      <c r="B1512" t="s">
        <v>114</v>
      </c>
      <c r="C1512" t="s">
        <v>309</v>
      </c>
      <c r="D1512" t="s">
        <v>5342</v>
      </c>
      <c r="E1512" t="s">
        <v>64</v>
      </c>
      <c r="F1512" t="s">
        <v>5355</v>
      </c>
      <c r="G1512" t="s">
        <v>18099</v>
      </c>
      <c r="H1512" t="s">
        <v>1107</v>
      </c>
      <c r="I1512" t="s">
        <v>1108</v>
      </c>
      <c r="J1512" t="s">
        <v>5356</v>
      </c>
      <c r="K1512" t="s">
        <v>5357</v>
      </c>
      <c r="L1512" t="s">
        <v>36</v>
      </c>
      <c r="M1512" t="s">
        <v>19177</v>
      </c>
      <c r="N1512" t="s">
        <v>309</v>
      </c>
      <c r="O1512" t="s">
        <v>6029</v>
      </c>
      <c r="P1512" t="s">
        <v>114</v>
      </c>
    </row>
    <row r="1513">
      <c r="A1513">
        <f>HYPERLINK("http://bombeiros.sp.gov.br/hidrantes/03individual/3157.html","3157")</f>
      </c>
      <c r="B1513" t="s">
        <v>114</v>
      </c>
      <c r="C1513" t="s">
        <v>309</v>
      </c>
      <c r="D1513" t="s">
        <v>5342</v>
      </c>
      <c r="E1513" t="s">
        <v>64</v>
      </c>
      <c r="F1513" t="s">
        <v>5358</v>
      </c>
      <c r="G1513" t="s">
        <v>18067</v>
      </c>
      <c r="H1513" t="s">
        <v>1121</v>
      </c>
      <c r="I1513" t="s">
        <v>1117</v>
      </c>
      <c r="J1513" t="s">
        <v>5359</v>
      </c>
      <c r="K1513" t="s">
        <v>5360</v>
      </c>
      <c r="L1513" t="s">
        <v>36</v>
      </c>
      <c r="M1513" t="s">
        <v>19177</v>
      </c>
      <c r="N1513" t="s">
        <v>309</v>
      </c>
      <c r="O1513" t="s">
        <v>6029</v>
      </c>
      <c r="P1513" t="s">
        <v>114</v>
      </c>
    </row>
    <row r="1514">
      <c r="A1514">
        <f>HYPERLINK("http://bombeiros.sp.gov.br/hidrantes/03individual/27293.html","27293")</f>
      </c>
      <c r="B1514" t="s">
        <v>114</v>
      </c>
      <c r="C1514" t="s">
        <v>309</v>
      </c>
      <c r="D1514" t="s">
        <v>5342</v>
      </c>
      <c r="E1514" t="s">
        <v>64</v>
      </c>
      <c r="F1514" t="s">
        <v>17048</v>
      </c>
      <c r="G1514" t="s">
        <v>18099</v>
      </c>
      <c r="H1514" t="s">
        <v>1112</v>
      </c>
      <c r="I1514" t="s">
        <v>1108</v>
      </c>
      <c r="J1514" t="s">
        <v>17049</v>
      </c>
      <c r="K1514" t="s">
        <v>17050</v>
      </c>
      <c r="L1514" t="s">
        <v>21</v>
      </c>
      <c r="M1514" t="s">
        <v>19177</v>
      </c>
      <c r="N1514" t="s">
        <v>309</v>
      </c>
      <c r="O1514" t="s">
        <v>6029</v>
      </c>
      <c r="P1514" t="s">
        <v>114</v>
      </c>
    </row>
    <row r="1515">
      <c r="A1515">
        <f>HYPERLINK("http://bombeiros.sp.gov.br/hidrantes/03individual/1371.html","1371")</f>
      </c>
      <c r="B1515" t="s">
        <v>114</v>
      </c>
      <c r="C1515" t="s">
        <v>309</v>
      </c>
      <c r="D1515" t="s">
        <v>5342</v>
      </c>
      <c r="E1515" t="s">
        <v>15</v>
      </c>
      <c r="F1515" t="s">
        <v>5361</v>
      </c>
      <c r="G1515" t="s">
        <v>18193</v>
      </c>
      <c r="H1515" t="s">
        <v>1112</v>
      </c>
      <c r="I1515" t="s">
        <v>1108</v>
      </c>
      <c r="J1515" t="s">
        <v>5362</v>
      </c>
      <c r="K1515" t="s">
        <v>5363</v>
      </c>
      <c r="L1515" t="s">
        <v>21</v>
      </c>
      <c r="M1515" t="s">
        <v>19177</v>
      </c>
      <c r="N1515" t="s">
        <v>309</v>
      </c>
      <c r="O1515" t="s">
        <v>6029</v>
      </c>
      <c r="P1515" t="s">
        <v>114</v>
      </c>
    </row>
    <row r="1516">
      <c r="A1516">
        <f>HYPERLINK("http://bombeiros.sp.gov.br/hidrantes/03individual/1374.html","1374")</f>
      </c>
      <c r="B1516" t="s">
        <v>114</v>
      </c>
      <c r="C1516" t="s">
        <v>309</v>
      </c>
      <c r="D1516" t="s">
        <v>5342</v>
      </c>
      <c r="E1516" t="s">
        <v>15</v>
      </c>
      <c r="F1516" t="s">
        <v>5364</v>
      </c>
      <c r="G1516" t="s">
        <v>18098</v>
      </c>
      <c r="H1516" t="s">
        <v>1107</v>
      </c>
      <c r="I1516" t="s">
        <v>1108</v>
      </c>
      <c r="J1516" t="s">
        <v>5365</v>
      </c>
      <c r="K1516" t="s">
        <v>5366</v>
      </c>
      <c r="L1516" t="s">
        <v>21</v>
      </c>
      <c r="M1516" t="s">
        <v>19177</v>
      </c>
      <c r="N1516" t="s">
        <v>309</v>
      </c>
      <c r="O1516" t="s">
        <v>6029</v>
      </c>
      <c r="P1516" t="s">
        <v>114</v>
      </c>
    </row>
    <row r="1517">
      <c r="A1517">
        <f>HYPERLINK("http://bombeiros.sp.gov.br/hidrantes/03individual/1408.html","1408")</f>
      </c>
      <c r="B1517" t="s">
        <v>114</v>
      </c>
      <c r="C1517" t="s">
        <v>309</v>
      </c>
      <c r="D1517" t="s">
        <v>5342</v>
      </c>
      <c r="E1517" t="s">
        <v>15</v>
      </c>
      <c r="F1517" t="s">
        <v>5367</v>
      </c>
      <c r="G1517" t="s">
        <v>18097</v>
      </c>
      <c r="H1517" t="s">
        <v>1121</v>
      </c>
      <c r="I1517" t="s">
        <v>1117</v>
      </c>
      <c r="J1517" t="s">
        <v>5368</v>
      </c>
      <c r="K1517" t="s">
        <v>5369</v>
      </c>
      <c r="L1517" t="s">
        <v>21</v>
      </c>
      <c r="M1517" t="s">
        <v>19177</v>
      </c>
      <c r="N1517" t="s">
        <v>309</v>
      </c>
      <c r="O1517" t="s">
        <v>6029</v>
      </c>
      <c r="P1517" t="s">
        <v>114</v>
      </c>
    </row>
    <row r="1518">
      <c r="A1518">
        <f>HYPERLINK("http://bombeiros.sp.gov.br/hidrantes/03individual/1410.html","1410")</f>
      </c>
      <c r="B1518" t="s">
        <v>114</v>
      </c>
      <c r="C1518" t="s">
        <v>309</v>
      </c>
      <c r="D1518" t="s">
        <v>5342</v>
      </c>
      <c r="E1518" t="s">
        <v>15</v>
      </c>
      <c r="F1518" t="s">
        <v>5370</v>
      </c>
      <c r="G1518" t="s">
        <v>18097</v>
      </c>
      <c r="H1518" t="s">
        <v>1107</v>
      </c>
      <c r="I1518" t="s">
        <v>1108</v>
      </c>
      <c r="J1518" t="s">
        <v>5371</v>
      </c>
      <c r="K1518" t="s">
        <v>5372</v>
      </c>
      <c r="L1518" t="s">
        <v>21</v>
      </c>
      <c r="M1518" t="s">
        <v>19177</v>
      </c>
      <c r="N1518" t="s">
        <v>309</v>
      </c>
      <c r="O1518" t="s">
        <v>6029</v>
      </c>
      <c r="P1518" t="s">
        <v>114</v>
      </c>
    </row>
    <row r="1519">
      <c r="A1519">
        <f>HYPERLINK("http://bombeiros.sp.gov.br/hidrantes/03individual/1412.html","1412")</f>
      </c>
      <c r="B1519" t="s">
        <v>114</v>
      </c>
      <c r="C1519" t="s">
        <v>309</v>
      </c>
      <c r="D1519" t="s">
        <v>5342</v>
      </c>
      <c r="E1519" t="s">
        <v>15</v>
      </c>
      <c r="F1519" t="s">
        <v>5373</v>
      </c>
      <c r="G1519" t="s">
        <v>18193</v>
      </c>
      <c r="H1519" t="s">
        <v>1174</v>
      </c>
      <c r="I1519" t="s">
        <v>1108</v>
      </c>
      <c r="J1519" t="s">
        <v>5374</v>
      </c>
      <c r="K1519" t="s">
        <v>5375</v>
      </c>
      <c r="L1519" t="s">
        <v>21</v>
      </c>
      <c r="M1519" t="s">
        <v>19177</v>
      </c>
      <c r="N1519" t="s">
        <v>309</v>
      </c>
      <c r="O1519" t="s">
        <v>6029</v>
      </c>
      <c r="P1519" t="s">
        <v>114</v>
      </c>
    </row>
    <row r="1520">
      <c r="A1520">
        <f>HYPERLINK("http://bombeiros.sp.gov.br/hidrantes/03individual/1478.html","1478")</f>
      </c>
      <c r="B1520" t="s">
        <v>114</v>
      </c>
      <c r="C1520" t="s">
        <v>309</v>
      </c>
      <c r="D1520" t="s">
        <v>5342</v>
      </c>
      <c r="E1520" t="s">
        <v>15</v>
      </c>
      <c r="F1520" t="s">
        <v>5376</v>
      </c>
      <c r="G1520" t="s">
        <v>18089</v>
      </c>
      <c r="H1520" t="s">
        <v>1112</v>
      </c>
      <c r="I1520" t="s">
        <v>1108</v>
      </c>
      <c r="J1520" t="s">
        <v>5377</v>
      </c>
      <c r="K1520" t="s">
        <v>5378</v>
      </c>
      <c r="L1520" t="s">
        <v>21</v>
      </c>
      <c r="M1520" t="s">
        <v>19177</v>
      </c>
      <c r="N1520" t="s">
        <v>309</v>
      </c>
      <c r="O1520" t="s">
        <v>6029</v>
      </c>
      <c r="P1520" t="s">
        <v>114</v>
      </c>
    </row>
    <row r="1521">
      <c r="A1521">
        <f>HYPERLINK("http://bombeiros.sp.gov.br/hidrantes/03individual/1485.html","1485")</f>
      </c>
      <c r="B1521" t="s">
        <v>114</v>
      </c>
      <c r="C1521" t="s">
        <v>309</v>
      </c>
      <c r="D1521" t="s">
        <v>5342</v>
      </c>
      <c r="E1521" t="s">
        <v>15</v>
      </c>
      <c r="F1521" t="s">
        <v>5379</v>
      </c>
      <c r="G1521" t="s">
        <v>18055</v>
      </c>
      <c r="H1521" t="s">
        <v>1112</v>
      </c>
      <c r="I1521" t="s">
        <v>1108</v>
      </c>
      <c r="J1521" t="s">
        <v>5380</v>
      </c>
      <c r="K1521" t="s">
        <v>5381</v>
      </c>
      <c r="L1521" t="s">
        <v>21</v>
      </c>
      <c r="M1521" t="s">
        <v>19177</v>
      </c>
      <c r="N1521" t="s">
        <v>309</v>
      </c>
      <c r="O1521" t="s">
        <v>6029</v>
      </c>
      <c r="P1521" t="s">
        <v>114</v>
      </c>
    </row>
    <row r="1522">
      <c r="A1522">
        <f>HYPERLINK("http://bombeiros.sp.gov.br/hidrantes/03individual/1540.html","1540")</f>
      </c>
      <c r="B1522" t="s">
        <v>114</v>
      </c>
      <c r="C1522" t="s">
        <v>309</v>
      </c>
      <c r="D1522" t="s">
        <v>5342</v>
      </c>
      <c r="E1522" t="s">
        <v>15</v>
      </c>
      <c r="F1522" t="s">
        <v>5382</v>
      </c>
      <c r="G1522" t="s">
        <v>18055</v>
      </c>
      <c r="H1522" t="s">
        <v>1112</v>
      </c>
      <c r="I1522" t="s">
        <v>1108</v>
      </c>
      <c r="J1522" t="s">
        <v>5383</v>
      </c>
      <c r="K1522" t="s">
        <v>5384</v>
      </c>
      <c r="L1522" t="s">
        <v>21</v>
      </c>
      <c r="M1522" t="s">
        <v>19177</v>
      </c>
      <c r="N1522" t="s">
        <v>309</v>
      </c>
      <c r="O1522" t="s">
        <v>6029</v>
      </c>
      <c r="P1522" t="s">
        <v>114</v>
      </c>
    </row>
    <row r="1523">
      <c r="A1523">
        <f>HYPERLINK("http://bombeiros.sp.gov.br/hidrantes/03individual/1542.html","1542")</f>
      </c>
      <c r="B1523" t="s">
        <v>114</v>
      </c>
      <c r="C1523" t="s">
        <v>309</v>
      </c>
      <c r="D1523" t="s">
        <v>5342</v>
      </c>
      <c r="E1523" t="s">
        <v>15</v>
      </c>
      <c r="F1523" t="s">
        <v>5385</v>
      </c>
      <c r="G1523" t="s">
        <v>18055</v>
      </c>
      <c r="H1523" t="s">
        <v>1107</v>
      </c>
      <c r="I1523" t="s">
        <v>1108</v>
      </c>
      <c r="J1523" t="s">
        <v>5386</v>
      </c>
      <c r="K1523" t="s">
        <v>5387</v>
      </c>
      <c r="L1523" t="s">
        <v>21</v>
      </c>
      <c r="M1523" t="s">
        <v>19177</v>
      </c>
      <c r="N1523" t="s">
        <v>309</v>
      </c>
      <c r="O1523" t="s">
        <v>6029</v>
      </c>
      <c r="P1523" t="s">
        <v>114</v>
      </c>
    </row>
    <row r="1524">
      <c r="A1524">
        <f>HYPERLINK("http://bombeiros.sp.gov.br/hidrantes/03individual/1546.html","1546")</f>
      </c>
      <c r="B1524" t="s">
        <v>114</v>
      </c>
      <c r="C1524" t="s">
        <v>309</v>
      </c>
      <c r="D1524" t="s">
        <v>5342</v>
      </c>
      <c r="E1524" t="s">
        <v>15</v>
      </c>
      <c r="F1524" t="s">
        <v>5388</v>
      </c>
      <c r="G1524" t="s">
        <v>18055</v>
      </c>
      <c r="H1524" t="s">
        <v>1112</v>
      </c>
      <c r="I1524" t="s">
        <v>1108</v>
      </c>
      <c r="J1524" t="s">
        <v>5389</v>
      </c>
      <c r="K1524" t="s">
        <v>5390</v>
      </c>
      <c r="L1524" t="s">
        <v>21</v>
      </c>
      <c r="M1524" t="s">
        <v>19177</v>
      </c>
      <c r="N1524" t="s">
        <v>309</v>
      </c>
      <c r="O1524" t="s">
        <v>6029</v>
      </c>
      <c r="P1524" t="s">
        <v>114</v>
      </c>
    </row>
    <row r="1525">
      <c r="A1525">
        <f>HYPERLINK("http://bombeiros.sp.gov.br/hidrantes/03individual/2985.html","2985")</f>
      </c>
      <c r="B1525" t="s">
        <v>114</v>
      </c>
      <c r="C1525" t="s">
        <v>309</v>
      </c>
      <c r="D1525" t="s">
        <v>5342</v>
      </c>
      <c r="E1525" t="s">
        <v>15</v>
      </c>
      <c r="F1525" t="s">
        <v>5391</v>
      </c>
      <c r="G1525" t="s">
        <v>18055</v>
      </c>
      <c r="H1525" t="s">
        <v>1107</v>
      </c>
      <c r="I1525" t="s">
        <v>1108</v>
      </c>
      <c r="J1525" t="s">
        <v>5392</v>
      </c>
      <c r="K1525" t="s">
        <v>5393</v>
      </c>
      <c r="L1525" t="s">
        <v>21</v>
      </c>
      <c r="M1525" t="s">
        <v>19177</v>
      </c>
      <c r="N1525" t="s">
        <v>309</v>
      </c>
      <c r="O1525" t="s">
        <v>6029</v>
      </c>
      <c r="P1525" t="s">
        <v>114</v>
      </c>
    </row>
    <row r="1526">
      <c r="A1526">
        <f>HYPERLINK("http://bombeiros.sp.gov.br/hidrantes/03individual/2995.html","2995")</f>
      </c>
      <c r="B1526" t="s">
        <v>114</v>
      </c>
      <c r="C1526" t="s">
        <v>309</v>
      </c>
      <c r="D1526" t="s">
        <v>5342</v>
      </c>
      <c r="E1526" t="s">
        <v>15</v>
      </c>
      <c r="F1526" t="s">
        <v>5394</v>
      </c>
      <c r="G1526" t="s">
        <v>18067</v>
      </c>
      <c r="H1526" t="s">
        <v>1112</v>
      </c>
      <c r="I1526" t="s">
        <v>1108</v>
      </c>
      <c r="J1526" t="s">
        <v>5395</v>
      </c>
      <c r="K1526" t="s">
        <v>5396</v>
      </c>
      <c r="L1526" t="s">
        <v>21</v>
      </c>
      <c r="M1526" t="s">
        <v>19177</v>
      </c>
      <c r="N1526" t="s">
        <v>309</v>
      </c>
      <c r="O1526" t="s">
        <v>6029</v>
      </c>
      <c r="P1526" t="s">
        <v>114</v>
      </c>
    </row>
    <row r="1527">
      <c r="A1527">
        <f>HYPERLINK("http://bombeiros.sp.gov.br/hidrantes/03individual/3036.html","3036")</f>
      </c>
      <c r="B1527" t="s">
        <v>114</v>
      </c>
      <c r="C1527" t="s">
        <v>309</v>
      </c>
      <c r="D1527" t="s">
        <v>5342</v>
      </c>
      <c r="E1527" t="s">
        <v>15</v>
      </c>
      <c r="F1527" t="s">
        <v>5397</v>
      </c>
      <c r="G1527" t="s">
        <v>18099</v>
      </c>
      <c r="H1527" t="s">
        <v>1174</v>
      </c>
      <c r="I1527" t="s">
        <v>1108</v>
      </c>
      <c r="J1527" t="s">
        <v>5398</v>
      </c>
      <c r="K1527" t="s">
        <v>5399</v>
      </c>
      <c r="L1527" t="s">
        <v>21</v>
      </c>
      <c r="M1527" t="s">
        <v>19177</v>
      </c>
      <c r="N1527" t="s">
        <v>309</v>
      </c>
      <c r="O1527" t="s">
        <v>6029</v>
      </c>
      <c r="P1527" t="s">
        <v>114</v>
      </c>
    </row>
    <row r="1528">
      <c r="A1528">
        <f>HYPERLINK("http://bombeiros.sp.gov.br/hidrantes/03individual/3037.html","3037")</f>
      </c>
      <c r="B1528" t="s">
        <v>114</v>
      </c>
      <c r="C1528" t="s">
        <v>309</v>
      </c>
      <c r="D1528" t="s">
        <v>5342</v>
      </c>
      <c r="E1528" t="s">
        <v>15</v>
      </c>
      <c r="F1528" t="s">
        <v>5400</v>
      </c>
      <c r="G1528" t="s">
        <v>18099</v>
      </c>
      <c r="H1528" t="s">
        <v>1112</v>
      </c>
      <c r="I1528" t="s">
        <v>1108</v>
      </c>
      <c r="J1528" t="s">
        <v>5401</v>
      </c>
      <c r="K1528" t="s">
        <v>5402</v>
      </c>
      <c r="L1528" t="s">
        <v>21</v>
      </c>
      <c r="M1528" t="s">
        <v>19177</v>
      </c>
      <c r="N1528" t="s">
        <v>309</v>
      </c>
      <c r="O1528" t="s">
        <v>6029</v>
      </c>
      <c r="P1528" t="s">
        <v>114</v>
      </c>
    </row>
    <row r="1529">
      <c r="A1529">
        <f>HYPERLINK("http://bombeiros.sp.gov.br/hidrantes/03individual/3039.html","3039")</f>
      </c>
      <c r="B1529" t="s">
        <v>114</v>
      </c>
      <c r="C1529" t="s">
        <v>309</v>
      </c>
      <c r="D1529" t="s">
        <v>5342</v>
      </c>
      <c r="E1529" t="s">
        <v>15</v>
      </c>
      <c r="F1529" t="s">
        <v>5403</v>
      </c>
      <c r="G1529" t="s">
        <v>18099</v>
      </c>
      <c r="H1529" t="s">
        <v>1107</v>
      </c>
      <c r="I1529" t="s">
        <v>1108</v>
      </c>
      <c r="J1529" t="s">
        <v>5404</v>
      </c>
      <c r="K1529" t="s">
        <v>5405</v>
      </c>
      <c r="L1529" t="s">
        <v>21</v>
      </c>
      <c r="M1529" t="s">
        <v>19177</v>
      </c>
      <c r="N1529" t="s">
        <v>309</v>
      </c>
      <c r="O1529" t="s">
        <v>6029</v>
      </c>
      <c r="P1529" t="s">
        <v>114</v>
      </c>
    </row>
    <row r="1530">
      <c r="A1530">
        <f>HYPERLINK("http://bombeiros.sp.gov.br/hidrantes/03individual/3046.html","3046")</f>
      </c>
      <c r="B1530" t="s">
        <v>114</v>
      </c>
      <c r="C1530" t="s">
        <v>309</v>
      </c>
      <c r="D1530" t="s">
        <v>5342</v>
      </c>
      <c r="E1530" t="s">
        <v>15</v>
      </c>
      <c r="F1530" t="s">
        <v>5406</v>
      </c>
      <c r="G1530" t="s">
        <v>18055</v>
      </c>
      <c r="H1530" t="s">
        <v>1174</v>
      </c>
      <c r="I1530" t="s">
        <v>1117</v>
      </c>
      <c r="J1530" t="s">
        <v>5407</v>
      </c>
      <c r="K1530" t="s">
        <v>5408</v>
      </c>
      <c r="L1530" t="s">
        <v>21</v>
      </c>
      <c r="M1530" t="s">
        <v>19177</v>
      </c>
      <c r="N1530" t="s">
        <v>309</v>
      </c>
      <c r="O1530" t="s">
        <v>6029</v>
      </c>
      <c r="P1530" t="s">
        <v>114</v>
      </c>
    </row>
    <row r="1531">
      <c r="A1531">
        <f>HYPERLINK("http://bombeiros.sp.gov.br/hidrantes/03individual/3065.html","3065")</f>
      </c>
      <c r="B1531" t="s">
        <v>114</v>
      </c>
      <c r="C1531" t="s">
        <v>309</v>
      </c>
      <c r="D1531" t="s">
        <v>5342</v>
      </c>
      <c r="E1531" t="s">
        <v>15</v>
      </c>
      <c r="F1531" t="s">
        <v>5409</v>
      </c>
      <c r="G1531" t="s">
        <v>18099</v>
      </c>
      <c r="H1531" t="s">
        <v>1107</v>
      </c>
      <c r="I1531" t="s">
        <v>1108</v>
      </c>
      <c r="J1531" t="s">
        <v>5410</v>
      </c>
      <c r="K1531" t="s">
        <v>5411</v>
      </c>
      <c r="L1531" t="s">
        <v>21</v>
      </c>
      <c r="M1531" t="s">
        <v>19177</v>
      </c>
      <c r="N1531" t="s">
        <v>309</v>
      </c>
      <c r="O1531" t="s">
        <v>6029</v>
      </c>
      <c r="P1531" t="s">
        <v>114</v>
      </c>
    </row>
    <row r="1532">
      <c r="A1532">
        <f>HYPERLINK("http://bombeiros.sp.gov.br/hidrantes/03individual/3067.html","3067")</f>
      </c>
      <c r="B1532" t="s">
        <v>114</v>
      </c>
      <c r="C1532" t="s">
        <v>309</v>
      </c>
      <c r="D1532" t="s">
        <v>5342</v>
      </c>
      <c r="E1532" t="s">
        <v>15</v>
      </c>
      <c r="F1532" t="s">
        <v>5412</v>
      </c>
      <c r="G1532" t="s">
        <v>18078</v>
      </c>
      <c r="H1532" t="s">
        <v>1107</v>
      </c>
      <c r="I1532" t="s">
        <v>1108</v>
      </c>
      <c r="J1532" t="s">
        <v>5413</v>
      </c>
      <c r="K1532" t="s">
        <v>5414</v>
      </c>
      <c r="L1532" t="s">
        <v>21</v>
      </c>
      <c r="M1532" t="s">
        <v>19177</v>
      </c>
      <c r="N1532" t="s">
        <v>309</v>
      </c>
      <c r="O1532" t="s">
        <v>6029</v>
      </c>
      <c r="P1532" t="s">
        <v>114</v>
      </c>
    </row>
    <row r="1533">
      <c r="A1533">
        <f>HYPERLINK("http://bombeiros.sp.gov.br/hidrantes/03individual/3135.html","3135")</f>
      </c>
      <c r="B1533" t="s">
        <v>114</v>
      </c>
      <c r="C1533" t="s">
        <v>309</v>
      </c>
      <c r="D1533" t="s">
        <v>5342</v>
      </c>
      <c r="E1533" t="s">
        <v>15</v>
      </c>
      <c r="F1533" t="s">
        <v>5415</v>
      </c>
      <c r="G1533" t="s">
        <v>18098</v>
      </c>
      <c r="H1533" t="s">
        <v>1107</v>
      </c>
      <c r="I1533" t="s">
        <v>1108</v>
      </c>
      <c r="J1533" t="s">
        <v>5416</v>
      </c>
      <c r="K1533" t="s">
        <v>5417</v>
      </c>
      <c r="L1533" t="s">
        <v>21</v>
      </c>
      <c r="M1533" t="s">
        <v>19177</v>
      </c>
      <c r="N1533" t="s">
        <v>309</v>
      </c>
      <c r="O1533" t="s">
        <v>6029</v>
      </c>
      <c r="P1533" t="s">
        <v>114</v>
      </c>
    </row>
    <row r="1534">
      <c r="A1534">
        <f>HYPERLINK("http://bombeiros.sp.gov.br/hidrantes/03individual/3167.html","3167")</f>
      </c>
      <c r="B1534" t="s">
        <v>114</v>
      </c>
      <c r="C1534" t="s">
        <v>309</v>
      </c>
      <c r="D1534" t="s">
        <v>5342</v>
      </c>
      <c r="E1534" t="s">
        <v>15</v>
      </c>
      <c r="F1534" t="s">
        <v>5418</v>
      </c>
      <c r="G1534" t="s">
        <v>18078</v>
      </c>
      <c r="H1534" t="s">
        <v>1107</v>
      </c>
      <c r="I1534" t="s">
        <v>1108</v>
      </c>
      <c r="J1534" t="s">
        <v>5419</v>
      </c>
      <c r="K1534" t="s">
        <v>5420</v>
      </c>
      <c r="L1534" t="s">
        <v>21</v>
      </c>
      <c r="M1534" t="s">
        <v>19177</v>
      </c>
      <c r="N1534" t="s">
        <v>309</v>
      </c>
      <c r="O1534" t="s">
        <v>6029</v>
      </c>
      <c r="P1534" t="s">
        <v>114</v>
      </c>
    </row>
    <row r="1535">
      <c r="A1535">
        <f>HYPERLINK("http://bombeiros.sp.gov.br/hidrantes/03individual/3273.html","3273")</f>
      </c>
      <c r="B1535" t="s">
        <v>114</v>
      </c>
      <c r="C1535" t="s">
        <v>309</v>
      </c>
      <c r="D1535" t="s">
        <v>5342</v>
      </c>
      <c r="E1535" t="s">
        <v>15</v>
      </c>
      <c r="F1535" t="s">
        <v>5421</v>
      </c>
      <c r="G1535" t="s">
        <v>18055</v>
      </c>
      <c r="H1535" t="s">
        <v>1107</v>
      </c>
      <c r="I1535" t="s">
        <v>1108</v>
      </c>
      <c r="J1535" t="s">
        <v>5422</v>
      </c>
      <c r="K1535" t="s">
        <v>5423</v>
      </c>
      <c r="L1535" t="s">
        <v>21</v>
      </c>
      <c r="M1535" t="s">
        <v>19177</v>
      </c>
      <c r="N1535" t="s">
        <v>309</v>
      </c>
      <c r="O1535" t="s">
        <v>6029</v>
      </c>
      <c r="P1535" t="s">
        <v>114</v>
      </c>
    </row>
    <row r="1536">
      <c r="A1536">
        <f>HYPERLINK("http://bombeiros.sp.gov.br/hidrantes/03individual/17736.html","17736")</f>
      </c>
      <c r="B1536" t="s">
        <v>114</v>
      </c>
      <c r="C1536" t="s">
        <v>309</v>
      </c>
      <c r="D1536" t="s">
        <v>5342</v>
      </c>
      <c r="E1536" t="s">
        <v>15</v>
      </c>
      <c r="F1536" t="s">
        <v>5424</v>
      </c>
      <c r="G1536" t="s">
        <v>18099</v>
      </c>
      <c r="H1536" t="s">
        <v>1174</v>
      </c>
      <c r="I1536" t="s">
        <v>1108</v>
      </c>
      <c r="J1536" t="s">
        <v>5425</v>
      </c>
      <c r="K1536" t="s">
        <v>5426</v>
      </c>
      <c r="L1536" t="s">
        <v>21</v>
      </c>
      <c r="M1536" t="s">
        <v>19177</v>
      </c>
      <c r="N1536" t="s">
        <v>309</v>
      </c>
      <c r="O1536" t="s">
        <v>6029</v>
      </c>
      <c r="P1536" t="s">
        <v>114</v>
      </c>
    </row>
    <row r="1537">
      <c r="A1537">
        <f>HYPERLINK("http://bombeiros.sp.gov.br/hidrantes/03individual/28122.html","28122")</f>
      </c>
      <c r="B1537" t="s">
        <v>114</v>
      </c>
      <c r="C1537" t="s">
        <v>309</v>
      </c>
      <c r="D1537" t="s">
        <v>5342</v>
      </c>
      <c r="E1537" t="s">
        <v>15</v>
      </c>
      <c r="F1537" t="s">
        <v>18100</v>
      </c>
      <c r="G1537" t="s">
        <v>18078</v>
      </c>
      <c r="H1537" t="s">
        <v>1121</v>
      </c>
      <c r="I1537" t="s">
        <v>1117</v>
      </c>
      <c r="J1537" t="s">
        <v>18101</v>
      </c>
      <c r="K1537" t="s">
        <v>18102</v>
      </c>
      <c r="L1537" t="s">
        <v>21</v>
      </c>
      <c r="M1537" t="s">
        <v>19177</v>
      </c>
      <c r="N1537" t="s">
        <v>309</v>
      </c>
      <c r="O1537" t="s">
        <v>6029</v>
      </c>
      <c r="P1537" t="s">
        <v>114</v>
      </c>
    </row>
    <row r="1538">
      <c r="A1538">
        <f>HYPERLINK("http://bombeiros.sp.gov.br/hidrantes/03individual/963.html","963")</f>
      </c>
      <c r="B1538" t="s">
        <v>114</v>
      </c>
      <c r="C1538" t="s">
        <v>309</v>
      </c>
      <c r="D1538" t="s">
        <v>314</v>
      </c>
      <c r="E1538" t="s">
        <v>64</v>
      </c>
      <c r="F1538" t="s">
        <v>5427</v>
      </c>
      <c r="G1538" t="s">
        <v>18099</v>
      </c>
      <c r="H1538" t="s">
        <v>1112</v>
      </c>
      <c r="I1538" t="s">
        <v>1108</v>
      </c>
      <c r="J1538" t="s">
        <v>5428</v>
      </c>
      <c r="K1538" t="s">
        <v>5429</v>
      </c>
      <c r="L1538" t="s">
        <v>36</v>
      </c>
      <c r="M1538" t="s">
        <v>19177</v>
      </c>
      <c r="N1538"/>
      <c r="O1538" t="s">
        <v>272</v>
      </c>
      <c r="P1538" t="s">
        <v>114</v>
      </c>
    </row>
    <row r="1539">
      <c r="A1539">
        <f>HYPERLINK("http://bombeiros.sp.gov.br/hidrantes/03individual/964.html","964")</f>
      </c>
      <c r="B1539" t="s">
        <v>114</v>
      </c>
      <c r="C1539" t="s">
        <v>309</v>
      </c>
      <c r="D1539" t="s">
        <v>314</v>
      </c>
      <c r="E1539" t="s">
        <v>64</v>
      </c>
      <c r="F1539" t="s">
        <v>5430</v>
      </c>
      <c r="G1539" t="s">
        <v>18103</v>
      </c>
      <c r="H1539" t="s">
        <v>1107</v>
      </c>
      <c r="I1539" t="s">
        <v>1108</v>
      </c>
      <c r="J1539" t="s">
        <v>5431</v>
      </c>
      <c r="K1539" t="s">
        <v>5432</v>
      </c>
      <c r="L1539" t="s">
        <v>36</v>
      </c>
      <c r="M1539" t="s">
        <v>19177</v>
      </c>
      <c r="N1539" t="s">
        <v>309</v>
      </c>
      <c r="O1539" t="s">
        <v>6029</v>
      </c>
      <c r="P1539" t="s">
        <v>114</v>
      </c>
    </row>
    <row r="1540">
      <c r="A1540">
        <f>HYPERLINK("http://bombeiros.sp.gov.br/hidrantes/03individual/1610.html","1610")</f>
      </c>
      <c r="B1540" t="s">
        <v>114</v>
      </c>
      <c r="C1540" t="s">
        <v>309</v>
      </c>
      <c r="D1540" t="s">
        <v>314</v>
      </c>
      <c r="E1540" t="s">
        <v>64</v>
      </c>
      <c r="F1540" t="s">
        <v>5433</v>
      </c>
      <c r="G1540" t="s">
        <v>18099</v>
      </c>
      <c r="H1540" t="s">
        <v>1112</v>
      </c>
      <c r="I1540" t="s">
        <v>1108</v>
      </c>
      <c r="J1540" t="s">
        <v>5434</v>
      </c>
      <c r="K1540" t="s">
        <v>5435</v>
      </c>
      <c r="L1540" t="s">
        <v>21</v>
      </c>
      <c r="M1540" t="s">
        <v>19177</v>
      </c>
      <c r="N1540" t="s">
        <v>16374</v>
      </c>
      <c r="O1540" t="s">
        <v>272</v>
      </c>
      <c r="P1540" t="s">
        <v>114</v>
      </c>
    </row>
    <row r="1541">
      <c r="A1541">
        <f>HYPERLINK("http://bombeiros.sp.gov.br/hidrantes/03individual/27143.html","27143")</f>
      </c>
      <c r="B1541" t="s">
        <v>114</v>
      </c>
      <c r="C1541" t="s">
        <v>309</v>
      </c>
      <c r="D1541" t="s">
        <v>314</v>
      </c>
      <c r="E1541" t="s">
        <v>64</v>
      </c>
      <c r="F1541" t="s">
        <v>16830</v>
      </c>
      <c r="G1541" t="s">
        <v>18252</v>
      </c>
      <c r="H1541" t="s">
        <v>1112</v>
      </c>
      <c r="I1541" t="s">
        <v>1108</v>
      </c>
      <c r="J1541" t="s">
        <v>16831</v>
      </c>
      <c r="K1541" t="s">
        <v>16832</v>
      </c>
      <c r="L1541" t="s">
        <v>21</v>
      </c>
      <c r="M1541" t="s">
        <v>19177</v>
      </c>
      <c r="N1541" t="s">
        <v>16374</v>
      </c>
      <c r="O1541" t="s">
        <v>272</v>
      </c>
      <c r="P1541" t="s">
        <v>114</v>
      </c>
    </row>
    <row r="1542">
      <c r="A1542">
        <f>HYPERLINK("http://bombeiros.sp.gov.br/hidrantes/03individual/27816.html","27816")</f>
      </c>
      <c r="B1542" t="s">
        <v>114</v>
      </c>
      <c r="C1542" t="s">
        <v>309</v>
      </c>
      <c r="D1542" t="s">
        <v>314</v>
      </c>
      <c r="E1542" t="s">
        <v>64</v>
      </c>
      <c r="F1542" t="s">
        <v>17819</v>
      </c>
      <c r="G1542" t="s">
        <v>18062</v>
      </c>
      <c r="H1542" t="s">
        <v>1112</v>
      </c>
      <c r="I1542" t="s">
        <v>1108</v>
      </c>
      <c r="J1542" t="s">
        <v>17820</v>
      </c>
      <c r="K1542" t="s">
        <v>17821</v>
      </c>
      <c r="L1542" t="s">
        <v>21</v>
      </c>
      <c r="M1542" t="s">
        <v>19177</v>
      </c>
      <c r="N1542" t="s">
        <v>309</v>
      </c>
      <c r="O1542" t="s">
        <v>6029</v>
      </c>
      <c r="P1542" t="s">
        <v>114</v>
      </c>
    </row>
    <row r="1543">
      <c r="A1543">
        <f>HYPERLINK("http://bombeiros.sp.gov.br/hidrantes/03individual/28038.html","28038")</f>
      </c>
      <c r="B1543" t="s">
        <v>114</v>
      </c>
      <c r="C1543" t="s">
        <v>309</v>
      </c>
      <c r="D1543" t="s">
        <v>314</v>
      </c>
      <c r="E1543" t="s">
        <v>64</v>
      </c>
      <c r="F1543" t="s">
        <v>18292</v>
      </c>
      <c r="G1543" t="s">
        <v>18099</v>
      </c>
      <c r="H1543" t="s">
        <v>1112</v>
      </c>
      <c r="I1543" t="s">
        <v>1108</v>
      </c>
      <c r="J1543" t="s">
        <v>18293</v>
      </c>
      <c r="K1543" t="s">
        <v>18294</v>
      </c>
      <c r="L1543" t="s">
        <v>21</v>
      </c>
      <c r="M1543" t="s">
        <v>19177</v>
      </c>
      <c r="N1543" t="s">
        <v>16374</v>
      </c>
      <c r="O1543" t="s">
        <v>272</v>
      </c>
      <c r="P1543" t="s">
        <v>114</v>
      </c>
    </row>
    <row r="1544">
      <c r="A1544">
        <f>HYPERLINK("http://bombeiros.sp.gov.br/hidrantes/03individual/1538.html","1538")</f>
      </c>
      <c r="B1544" t="s">
        <v>114</v>
      </c>
      <c r="C1544" t="s">
        <v>309</v>
      </c>
      <c r="D1544" t="s">
        <v>314</v>
      </c>
      <c r="E1544" t="s">
        <v>15</v>
      </c>
      <c r="F1544" t="s">
        <v>5436</v>
      </c>
      <c r="G1544" t="s">
        <v>18055</v>
      </c>
      <c r="H1544" t="s">
        <v>1112</v>
      </c>
      <c r="I1544" t="s">
        <v>1108</v>
      </c>
      <c r="J1544" t="s">
        <v>5437</v>
      </c>
      <c r="K1544" t="s">
        <v>5438</v>
      </c>
      <c r="L1544" t="s">
        <v>21</v>
      </c>
      <c r="M1544" t="s">
        <v>19177</v>
      </c>
      <c r="N1544" t="s">
        <v>16374</v>
      </c>
      <c r="O1544" t="s">
        <v>272</v>
      </c>
      <c r="P1544" t="s">
        <v>114</v>
      </c>
    </row>
    <row r="1545">
      <c r="A1545">
        <f>HYPERLINK("http://bombeiros.sp.gov.br/hidrantes/03individual/1544.html","1544")</f>
      </c>
      <c r="B1545" t="s">
        <v>114</v>
      </c>
      <c r="C1545" t="s">
        <v>309</v>
      </c>
      <c r="D1545" t="s">
        <v>314</v>
      </c>
      <c r="E1545" t="s">
        <v>15</v>
      </c>
      <c r="F1545" t="s">
        <v>5439</v>
      </c>
      <c r="G1545" t="s">
        <v>18099</v>
      </c>
      <c r="H1545" t="s">
        <v>1107</v>
      </c>
      <c r="I1545" t="s">
        <v>1108</v>
      </c>
      <c r="J1545" t="s">
        <v>5440</v>
      </c>
      <c r="K1545" t="s">
        <v>5441</v>
      </c>
      <c r="L1545" t="s">
        <v>21</v>
      </c>
      <c r="M1545" t="s">
        <v>19177</v>
      </c>
      <c r="N1545" t="s">
        <v>16374</v>
      </c>
      <c r="O1545" t="s">
        <v>272</v>
      </c>
      <c r="P1545" t="s">
        <v>114</v>
      </c>
    </row>
    <row r="1546">
      <c r="A1546">
        <f>HYPERLINK("http://bombeiros.sp.gov.br/hidrantes/03individual/1609.html","1609")</f>
      </c>
      <c r="B1546" t="s">
        <v>114</v>
      </c>
      <c r="C1546" t="s">
        <v>309</v>
      </c>
      <c r="D1546" t="s">
        <v>314</v>
      </c>
      <c r="E1546" t="s">
        <v>15</v>
      </c>
      <c r="F1546" t="s">
        <v>5442</v>
      </c>
      <c r="G1546" t="s">
        <v>18078</v>
      </c>
      <c r="H1546" t="s">
        <v>1121</v>
      </c>
      <c r="I1546" t="s">
        <v>1117</v>
      </c>
      <c r="J1546" t="s">
        <v>5443</v>
      </c>
      <c r="K1546" t="s">
        <v>5444</v>
      </c>
      <c r="L1546" t="s">
        <v>21</v>
      </c>
      <c r="M1546" t="s">
        <v>19177</v>
      </c>
      <c r="N1546" t="s">
        <v>16374</v>
      </c>
      <c r="O1546" t="s">
        <v>272</v>
      </c>
      <c r="P1546" t="s">
        <v>114</v>
      </c>
    </row>
    <row r="1547">
      <c r="A1547">
        <f>HYPERLINK("http://bombeiros.sp.gov.br/hidrantes/03individual/1612.html","1612")</f>
      </c>
      <c r="B1547" t="s">
        <v>114</v>
      </c>
      <c r="C1547" t="s">
        <v>309</v>
      </c>
      <c r="D1547" t="s">
        <v>314</v>
      </c>
      <c r="E1547" t="s">
        <v>15</v>
      </c>
      <c r="F1547" t="s">
        <v>5445</v>
      </c>
      <c r="G1547" t="s">
        <v>18103</v>
      </c>
      <c r="H1547" t="s">
        <v>1112</v>
      </c>
      <c r="I1547" t="s">
        <v>1108</v>
      </c>
      <c r="J1547" t="s">
        <v>5446</v>
      </c>
      <c r="K1547" t="s">
        <v>5447</v>
      </c>
      <c r="L1547" t="s">
        <v>21</v>
      </c>
      <c r="M1547" t="s">
        <v>19177</v>
      </c>
      <c r="N1547" t="s">
        <v>309</v>
      </c>
      <c r="O1547" t="s">
        <v>6029</v>
      </c>
      <c r="P1547" t="s">
        <v>114</v>
      </c>
    </row>
    <row r="1548">
      <c r="A1548">
        <f>HYPERLINK("http://bombeiros.sp.gov.br/hidrantes/03individual/1713.html","1713")</f>
      </c>
      <c r="B1548" t="s">
        <v>114</v>
      </c>
      <c r="C1548" t="s">
        <v>309</v>
      </c>
      <c r="D1548" t="s">
        <v>314</v>
      </c>
      <c r="E1548" t="s">
        <v>15</v>
      </c>
      <c r="F1548" t="s">
        <v>5451</v>
      </c>
      <c r="G1548" t="s">
        <v>18103</v>
      </c>
      <c r="H1548" t="s">
        <v>1121</v>
      </c>
      <c r="I1548" t="s">
        <v>1117</v>
      </c>
      <c r="J1548" t="s">
        <v>5452</v>
      </c>
      <c r="K1548" t="s">
        <v>5453</v>
      </c>
      <c r="L1548" t="s">
        <v>21</v>
      </c>
      <c r="M1548" t="s">
        <v>19177</v>
      </c>
      <c r="N1548" t="s">
        <v>16374</v>
      </c>
      <c r="O1548" t="s">
        <v>272</v>
      </c>
      <c r="P1548" t="s">
        <v>114</v>
      </c>
    </row>
    <row r="1549">
      <c r="A1549">
        <f>HYPERLINK("http://bombeiros.sp.gov.br/hidrantes/03individual/1720.html","1720")</f>
      </c>
      <c r="B1549" t="s">
        <v>114</v>
      </c>
      <c r="C1549" t="s">
        <v>309</v>
      </c>
      <c r="D1549" t="s">
        <v>314</v>
      </c>
      <c r="E1549" t="s">
        <v>15</v>
      </c>
      <c r="F1549" t="s">
        <v>5454</v>
      </c>
      <c r="G1549" t="s">
        <v>18103</v>
      </c>
      <c r="H1549" t="s">
        <v>1121</v>
      </c>
      <c r="I1549" t="s">
        <v>1117</v>
      </c>
      <c r="J1549" t="s">
        <v>5455</v>
      </c>
      <c r="K1549" t="s">
        <v>5456</v>
      </c>
      <c r="L1549" t="s">
        <v>21</v>
      </c>
      <c r="M1549" t="s">
        <v>19177</v>
      </c>
      <c r="N1549" t="s">
        <v>16374</v>
      </c>
      <c r="O1549" t="s">
        <v>272</v>
      </c>
      <c r="P1549" t="s">
        <v>114</v>
      </c>
    </row>
    <row r="1550">
      <c r="A1550">
        <f>HYPERLINK("http://bombeiros.sp.gov.br/hidrantes/03individual/3043.html","3043")</f>
      </c>
      <c r="B1550" t="s">
        <v>114</v>
      </c>
      <c r="C1550" t="s">
        <v>309</v>
      </c>
      <c r="D1550" t="s">
        <v>314</v>
      </c>
      <c r="E1550" t="s">
        <v>15</v>
      </c>
      <c r="F1550" t="s">
        <v>5457</v>
      </c>
      <c r="G1550" t="s">
        <v>18055</v>
      </c>
      <c r="H1550"/>
      <c r="I1550" t="s">
        <v>18</v>
      </c>
      <c r="J1550" t="s">
        <v>5458</v>
      </c>
      <c r="K1550" t="s">
        <v>5459</v>
      </c>
      <c r="L1550" t="s">
        <v>21</v>
      </c>
      <c r="M1550" t="s">
        <v>19177</v>
      </c>
      <c r="N1550" t="s">
        <v>309</v>
      </c>
      <c r="O1550" t="s">
        <v>6029</v>
      </c>
      <c r="P1550" t="s">
        <v>114</v>
      </c>
    </row>
    <row r="1551">
      <c r="A1551">
        <f>HYPERLINK("http://bombeiros.sp.gov.br/hidrantes/03individual/3045.html","3045")</f>
      </c>
      <c r="B1551" t="s">
        <v>114</v>
      </c>
      <c r="C1551" t="s">
        <v>309</v>
      </c>
      <c r="D1551" t="s">
        <v>314</v>
      </c>
      <c r="E1551" t="s">
        <v>15</v>
      </c>
      <c r="F1551" t="s">
        <v>5460</v>
      </c>
      <c r="G1551" t="s">
        <v>18055</v>
      </c>
      <c r="H1551" t="s">
        <v>1174</v>
      </c>
      <c r="I1551" t="s">
        <v>1108</v>
      </c>
      <c r="J1551" t="s">
        <v>5461</v>
      </c>
      <c r="K1551" t="s">
        <v>5462</v>
      </c>
      <c r="L1551" t="s">
        <v>21</v>
      </c>
      <c r="M1551" t="s">
        <v>19177</v>
      </c>
      <c r="N1551" t="s">
        <v>309</v>
      </c>
      <c r="O1551" t="s">
        <v>6029</v>
      </c>
      <c r="P1551" t="s">
        <v>114</v>
      </c>
    </row>
    <row r="1552">
      <c r="A1552">
        <f>HYPERLINK("http://bombeiros.sp.gov.br/hidrantes/03individual/3048.html","3048")</f>
      </c>
      <c r="B1552" t="s">
        <v>114</v>
      </c>
      <c r="C1552" t="s">
        <v>309</v>
      </c>
      <c r="D1552" t="s">
        <v>314</v>
      </c>
      <c r="E1552" t="s">
        <v>15</v>
      </c>
      <c r="F1552" t="s">
        <v>5463</v>
      </c>
      <c r="G1552" t="s">
        <v>18055</v>
      </c>
      <c r="H1552" t="s">
        <v>1121</v>
      </c>
      <c r="I1552" t="s">
        <v>1117</v>
      </c>
      <c r="J1552" t="s">
        <v>5464</v>
      </c>
      <c r="K1552" t="s">
        <v>5465</v>
      </c>
      <c r="L1552" t="s">
        <v>21</v>
      </c>
      <c r="M1552" t="s">
        <v>19177</v>
      </c>
      <c r="N1552" t="s">
        <v>309</v>
      </c>
      <c r="O1552" t="s">
        <v>6029</v>
      </c>
      <c r="P1552" t="s">
        <v>114</v>
      </c>
    </row>
    <row r="1553">
      <c r="A1553">
        <f>HYPERLINK("http://bombeiros.sp.gov.br/hidrantes/03individual/3063.html","3063")</f>
      </c>
      <c r="B1553" t="s">
        <v>114</v>
      </c>
      <c r="C1553" t="s">
        <v>309</v>
      </c>
      <c r="D1553" t="s">
        <v>314</v>
      </c>
      <c r="E1553" t="s">
        <v>15</v>
      </c>
      <c r="F1553" t="s">
        <v>5466</v>
      </c>
      <c r="G1553" t="s">
        <v>18103</v>
      </c>
      <c r="H1553" t="s">
        <v>1174</v>
      </c>
      <c r="I1553" t="s">
        <v>1117</v>
      </c>
      <c r="J1553" t="s">
        <v>5467</v>
      </c>
      <c r="K1553" t="s">
        <v>5468</v>
      </c>
      <c r="L1553" t="s">
        <v>21</v>
      </c>
      <c r="M1553" t="s">
        <v>19177</v>
      </c>
      <c r="N1553" t="s">
        <v>16374</v>
      </c>
      <c r="O1553" t="s">
        <v>272</v>
      </c>
      <c r="P1553" t="s">
        <v>114</v>
      </c>
    </row>
    <row r="1554">
      <c r="A1554">
        <f>HYPERLINK("http://bombeiros.sp.gov.br/hidrantes/03individual/3168.html","3168")</f>
      </c>
      <c r="B1554" t="s">
        <v>114</v>
      </c>
      <c r="C1554" t="s">
        <v>309</v>
      </c>
      <c r="D1554" t="s">
        <v>314</v>
      </c>
      <c r="E1554" t="s">
        <v>15</v>
      </c>
      <c r="F1554" t="s">
        <v>5469</v>
      </c>
      <c r="G1554" t="s">
        <v>18252</v>
      </c>
      <c r="H1554" t="s">
        <v>1121</v>
      </c>
      <c r="I1554" t="s">
        <v>1117</v>
      </c>
      <c r="J1554" t="s">
        <v>5470</v>
      </c>
      <c r="K1554" t="s">
        <v>5471</v>
      </c>
      <c r="L1554" t="s">
        <v>21</v>
      </c>
      <c r="M1554" t="s">
        <v>19177</v>
      </c>
      <c r="N1554" t="s">
        <v>16374</v>
      </c>
      <c r="O1554" t="s">
        <v>272</v>
      </c>
      <c r="P1554" t="s">
        <v>114</v>
      </c>
    </row>
    <row r="1555">
      <c r="A1555">
        <f>HYPERLINK("http://bombeiros.sp.gov.br/hidrantes/03individual/3170.html","3170")</f>
      </c>
      <c r="B1555" t="s">
        <v>114</v>
      </c>
      <c r="C1555" t="s">
        <v>309</v>
      </c>
      <c r="D1555" t="s">
        <v>314</v>
      </c>
      <c r="E1555" t="s">
        <v>15</v>
      </c>
      <c r="F1555" t="s">
        <v>5472</v>
      </c>
      <c r="G1555" t="s">
        <v>18252</v>
      </c>
      <c r="H1555" t="s">
        <v>1121</v>
      </c>
      <c r="I1555" t="s">
        <v>1117</v>
      </c>
      <c r="J1555" t="s">
        <v>5473</v>
      </c>
      <c r="K1555" t="s">
        <v>5474</v>
      </c>
      <c r="L1555" t="s">
        <v>21</v>
      </c>
      <c r="M1555" t="s">
        <v>19177</v>
      </c>
      <c r="N1555" t="s">
        <v>16374</v>
      </c>
      <c r="O1555" t="s">
        <v>272</v>
      </c>
      <c r="P1555" t="s">
        <v>114</v>
      </c>
    </row>
    <row r="1556">
      <c r="A1556">
        <f>HYPERLINK("http://bombeiros.sp.gov.br/hidrantes/03individual/3175.html","3175")</f>
      </c>
      <c r="B1556" t="s">
        <v>114</v>
      </c>
      <c r="C1556" t="s">
        <v>309</v>
      </c>
      <c r="D1556" t="s">
        <v>314</v>
      </c>
      <c r="E1556" t="s">
        <v>15</v>
      </c>
      <c r="F1556" t="s">
        <v>5475</v>
      </c>
      <c r="G1556" t="s">
        <v>18252</v>
      </c>
      <c r="H1556" t="s">
        <v>1112</v>
      </c>
      <c r="I1556" t="s">
        <v>1108</v>
      </c>
      <c r="J1556" t="s">
        <v>5476</v>
      </c>
      <c r="K1556" t="s">
        <v>5477</v>
      </c>
      <c r="L1556" t="s">
        <v>21</v>
      </c>
      <c r="M1556" t="s">
        <v>19177</v>
      </c>
      <c r="N1556" t="s">
        <v>309</v>
      </c>
      <c r="O1556" t="s">
        <v>6029</v>
      </c>
      <c r="P1556" t="s">
        <v>114</v>
      </c>
    </row>
    <row r="1557">
      <c r="A1557">
        <f>HYPERLINK("http://bombeiros.sp.gov.br/hidrantes/03individual/26704.html","26704")</f>
      </c>
      <c r="B1557" t="s">
        <v>114</v>
      </c>
      <c r="C1557" t="s">
        <v>309</v>
      </c>
      <c r="D1557" t="s">
        <v>314</v>
      </c>
      <c r="E1557" t="s">
        <v>15</v>
      </c>
      <c r="F1557" t="s">
        <v>5481</v>
      </c>
      <c r="G1557" t="s">
        <v>18055</v>
      </c>
      <c r="H1557" t="s">
        <v>1121</v>
      </c>
      <c r="I1557" t="s">
        <v>1117</v>
      </c>
      <c r="J1557" t="s">
        <v>5482</v>
      </c>
      <c r="K1557" t="s">
        <v>5483</v>
      </c>
      <c r="L1557" t="s">
        <v>21</v>
      </c>
      <c r="M1557" t="s">
        <v>19177</v>
      </c>
      <c r="N1557" t="s">
        <v>16374</v>
      </c>
      <c r="O1557" t="s">
        <v>272</v>
      </c>
      <c r="P1557" t="s">
        <v>114</v>
      </c>
    </row>
    <row r="1558">
      <c r="A1558">
        <f>HYPERLINK("http://bombeiros.sp.gov.br/hidrantes/03individual/27515.html","27515")</f>
      </c>
      <c r="B1558" t="s">
        <v>114</v>
      </c>
      <c r="C1558" t="s">
        <v>309</v>
      </c>
      <c r="D1558" t="s">
        <v>314</v>
      </c>
      <c r="E1558" t="s">
        <v>15</v>
      </c>
      <c r="F1558" t="s">
        <v>17325</v>
      </c>
      <c r="G1558" t="s">
        <v>18103</v>
      </c>
      <c r="H1558" t="s">
        <v>1112</v>
      </c>
      <c r="I1558" t="s">
        <v>1108</v>
      </c>
      <c r="J1558" t="s">
        <v>17326</v>
      </c>
      <c r="K1558" t="s">
        <v>17327</v>
      </c>
      <c r="L1558" t="s">
        <v>21</v>
      </c>
      <c r="M1558" t="s">
        <v>19177</v>
      </c>
      <c r="N1558" t="s">
        <v>16374</v>
      </c>
      <c r="O1558" t="s">
        <v>272</v>
      </c>
      <c r="P1558" t="s">
        <v>114</v>
      </c>
    </row>
    <row r="1559">
      <c r="A1559">
        <f>HYPERLINK("http://bombeiros.sp.gov.br/hidrantes/03individual/1717.html","1717")</f>
      </c>
      <c r="B1559" t="s">
        <v>114</v>
      </c>
      <c r="C1559" t="s">
        <v>309</v>
      </c>
      <c r="D1559" t="s">
        <v>5484</v>
      </c>
      <c r="E1559" t="s">
        <v>64</v>
      </c>
      <c r="F1559" t="s">
        <v>5500</v>
      </c>
      <c r="G1559" t="s">
        <v>18103</v>
      </c>
      <c r="H1559" t="s">
        <v>1112</v>
      </c>
      <c r="I1559" t="s">
        <v>1108</v>
      </c>
      <c r="J1559" t="s">
        <v>5501</v>
      </c>
      <c r="K1559" t="s">
        <v>5502</v>
      </c>
      <c r="L1559" t="s">
        <v>21</v>
      </c>
      <c r="M1559" t="s">
        <v>19177</v>
      </c>
      <c r="N1559" t="s">
        <v>16374</v>
      </c>
      <c r="O1559" t="s">
        <v>272</v>
      </c>
      <c r="P1559" t="s">
        <v>114</v>
      </c>
    </row>
    <row r="1560">
      <c r="A1560">
        <f>HYPERLINK("http://bombeiros.sp.gov.br/hidrantes/03individual/26671.html","26671")</f>
      </c>
      <c r="B1560" t="s">
        <v>114</v>
      </c>
      <c r="C1560" t="s">
        <v>309</v>
      </c>
      <c r="D1560" t="s">
        <v>5484</v>
      </c>
      <c r="E1560" t="s">
        <v>64</v>
      </c>
      <c r="F1560" t="s">
        <v>5485</v>
      </c>
      <c r="G1560" t="s">
        <v>18095</v>
      </c>
      <c r="H1560" t="s">
        <v>1112</v>
      </c>
      <c r="I1560" t="s">
        <v>1108</v>
      </c>
      <c r="J1560" t="s">
        <v>5486</v>
      </c>
      <c r="K1560" t="s">
        <v>5487</v>
      </c>
      <c r="L1560" t="s">
        <v>21</v>
      </c>
      <c r="M1560" t="s">
        <v>19177</v>
      </c>
      <c r="N1560" t="s">
        <v>16374</v>
      </c>
      <c r="O1560" t="s">
        <v>272</v>
      </c>
      <c r="P1560" t="s">
        <v>114</v>
      </c>
    </row>
    <row r="1561">
      <c r="A1561">
        <f>HYPERLINK("http://bombeiros.sp.gov.br/hidrantes/03individual/26672.html","26672")</f>
      </c>
      <c r="B1561" t="s">
        <v>114</v>
      </c>
      <c r="C1561" t="s">
        <v>309</v>
      </c>
      <c r="D1561" t="s">
        <v>5484</v>
      </c>
      <c r="E1561" t="s">
        <v>64</v>
      </c>
      <c r="F1561" t="s">
        <v>5488</v>
      </c>
      <c r="G1561" t="s">
        <v>18095</v>
      </c>
      <c r="H1561" t="s">
        <v>1112</v>
      </c>
      <c r="I1561" t="s">
        <v>1108</v>
      </c>
      <c r="J1561" t="s">
        <v>5489</v>
      </c>
      <c r="K1561" t="s">
        <v>5490</v>
      </c>
      <c r="L1561" t="s">
        <v>21</v>
      </c>
      <c r="M1561" t="s">
        <v>19177</v>
      </c>
      <c r="N1561" t="s">
        <v>16374</v>
      </c>
      <c r="O1561" t="s">
        <v>272</v>
      </c>
      <c r="P1561" t="s">
        <v>114</v>
      </c>
    </row>
    <row r="1562">
      <c r="A1562">
        <f>HYPERLINK("http://bombeiros.sp.gov.br/hidrantes/03individual/28135.html","28135")</f>
      </c>
      <c r="B1562" t="s">
        <v>114</v>
      </c>
      <c r="C1562" t="s">
        <v>309</v>
      </c>
      <c r="D1562" t="s">
        <v>5484</v>
      </c>
      <c r="E1562" t="s">
        <v>64</v>
      </c>
      <c r="F1562" t="s">
        <v>18253</v>
      </c>
      <c r="G1562" t="s">
        <v>18103</v>
      </c>
      <c r="H1562" t="s">
        <v>1121</v>
      </c>
      <c r="I1562" t="s">
        <v>1117</v>
      </c>
      <c r="J1562" t="s">
        <v>18254</v>
      </c>
      <c r="K1562" t="s">
        <v>18255</v>
      </c>
      <c r="L1562" t="s">
        <v>21</v>
      </c>
      <c r="M1562" t="s">
        <v>19177</v>
      </c>
      <c r="N1562" t="s">
        <v>16374</v>
      </c>
      <c r="O1562" t="s">
        <v>272</v>
      </c>
      <c r="P1562" t="s">
        <v>114</v>
      </c>
    </row>
    <row r="1563">
      <c r="A1563">
        <f>HYPERLINK("http://bombeiros.sp.gov.br/hidrantes/03individual/1703.html","1703")</f>
      </c>
      <c r="B1563" t="s">
        <v>114</v>
      </c>
      <c r="C1563" t="s">
        <v>309</v>
      </c>
      <c r="D1563" t="s">
        <v>5484</v>
      </c>
      <c r="E1563" t="s">
        <v>15</v>
      </c>
      <c r="F1563" t="s">
        <v>5491</v>
      </c>
      <c r="G1563" t="s">
        <v>18095</v>
      </c>
      <c r="H1563" t="s">
        <v>1121</v>
      </c>
      <c r="I1563" t="s">
        <v>1117</v>
      </c>
      <c r="J1563" t="s">
        <v>5492</v>
      </c>
      <c r="K1563" t="s">
        <v>5493</v>
      </c>
      <c r="L1563" t="s">
        <v>21</v>
      </c>
      <c r="M1563" t="s">
        <v>19177</v>
      </c>
      <c r="N1563" t="s">
        <v>16374</v>
      </c>
      <c r="O1563" t="s">
        <v>272</v>
      </c>
      <c r="P1563" t="s">
        <v>114</v>
      </c>
    </row>
    <row r="1564">
      <c r="A1564">
        <f>HYPERLINK("http://bombeiros.sp.gov.br/hidrantes/03individual/1706.html","1706")</f>
      </c>
      <c r="B1564" t="s">
        <v>114</v>
      </c>
      <c r="C1564" t="s">
        <v>309</v>
      </c>
      <c r="D1564" t="s">
        <v>5484</v>
      </c>
      <c r="E1564" t="s">
        <v>15</v>
      </c>
      <c r="F1564" t="s">
        <v>5494</v>
      </c>
      <c r="G1564" t="s">
        <v>18095</v>
      </c>
      <c r="H1564" t="s">
        <v>1107</v>
      </c>
      <c r="I1564" t="s">
        <v>1108</v>
      </c>
      <c r="J1564" t="s">
        <v>5495</v>
      </c>
      <c r="K1564" t="s">
        <v>5496</v>
      </c>
      <c r="L1564" t="s">
        <v>21</v>
      </c>
      <c r="M1564" t="s">
        <v>19177</v>
      </c>
      <c r="N1564" t="s">
        <v>16374</v>
      </c>
      <c r="O1564" t="s">
        <v>272</v>
      </c>
      <c r="P1564" t="s">
        <v>114</v>
      </c>
    </row>
    <row r="1565">
      <c r="A1565">
        <f>HYPERLINK("http://bombeiros.sp.gov.br/hidrantes/03individual/1716.html","1716")</f>
      </c>
      <c r="B1565" t="s">
        <v>114</v>
      </c>
      <c r="C1565" t="s">
        <v>309</v>
      </c>
      <c r="D1565" t="s">
        <v>5484</v>
      </c>
      <c r="E1565" t="s">
        <v>15</v>
      </c>
      <c r="F1565" t="s">
        <v>5497</v>
      </c>
      <c r="G1565" t="s">
        <v>18103</v>
      </c>
      <c r="H1565" t="s">
        <v>1174</v>
      </c>
      <c r="I1565" t="s">
        <v>1117</v>
      </c>
      <c r="J1565" t="s">
        <v>5498</v>
      </c>
      <c r="K1565" t="s">
        <v>5499</v>
      </c>
      <c r="L1565" t="s">
        <v>21</v>
      </c>
      <c r="M1565" t="s">
        <v>19177</v>
      </c>
      <c r="N1565" t="s">
        <v>16374</v>
      </c>
      <c r="O1565" t="s">
        <v>272</v>
      </c>
      <c r="P1565" t="s">
        <v>114</v>
      </c>
    </row>
    <row r="1566">
      <c r="A1566">
        <f>HYPERLINK("http://bombeiros.sp.gov.br/hidrantes/03individual/1719.html","1719")</f>
      </c>
      <c r="B1566" t="s">
        <v>114</v>
      </c>
      <c r="C1566" t="s">
        <v>309</v>
      </c>
      <c r="D1566" t="s">
        <v>5484</v>
      </c>
      <c r="E1566" t="s">
        <v>15</v>
      </c>
      <c r="F1566" t="s">
        <v>5503</v>
      </c>
      <c r="G1566" t="s">
        <v>18103</v>
      </c>
      <c r="H1566" t="s">
        <v>1107</v>
      </c>
      <c r="I1566" t="s">
        <v>1108</v>
      </c>
      <c r="J1566" t="s">
        <v>5504</v>
      </c>
      <c r="K1566" t="s">
        <v>5505</v>
      </c>
      <c r="L1566" t="s">
        <v>21</v>
      </c>
      <c r="M1566" t="s">
        <v>19177</v>
      </c>
      <c r="N1566" t="s">
        <v>309</v>
      </c>
      <c r="O1566" t="s">
        <v>6029</v>
      </c>
      <c r="P1566" t="s">
        <v>114</v>
      </c>
    </row>
    <row r="1567">
      <c r="A1567">
        <f>HYPERLINK("http://bombeiros.sp.gov.br/hidrantes/03individual/1761.html","1761")</f>
      </c>
      <c r="B1567" t="s">
        <v>114</v>
      </c>
      <c r="C1567" t="s">
        <v>309</v>
      </c>
      <c r="D1567" t="s">
        <v>5484</v>
      </c>
      <c r="E1567" t="s">
        <v>15</v>
      </c>
      <c r="F1567" t="s">
        <v>5506</v>
      </c>
      <c r="G1567" t="s">
        <v>18095</v>
      </c>
      <c r="H1567" t="s">
        <v>1112</v>
      </c>
      <c r="I1567" t="s">
        <v>1108</v>
      </c>
      <c r="J1567" t="s">
        <v>5507</v>
      </c>
      <c r="K1567" t="s">
        <v>5508</v>
      </c>
      <c r="L1567" t="s">
        <v>21</v>
      </c>
      <c r="M1567" t="s">
        <v>19177</v>
      </c>
      <c r="N1567" t="s">
        <v>309</v>
      </c>
      <c r="O1567" t="s">
        <v>6029</v>
      </c>
      <c r="P1567" t="s">
        <v>114</v>
      </c>
    </row>
    <row r="1568">
      <c r="A1568">
        <f>HYPERLINK("http://bombeiros.sp.gov.br/hidrantes/03individual/1762.html","1762")</f>
      </c>
      <c r="B1568" t="s">
        <v>114</v>
      </c>
      <c r="C1568" t="s">
        <v>309</v>
      </c>
      <c r="D1568" t="s">
        <v>5484</v>
      </c>
      <c r="E1568" t="s">
        <v>15</v>
      </c>
      <c r="F1568" t="s">
        <v>5509</v>
      </c>
      <c r="G1568" t="s">
        <v>18095</v>
      </c>
      <c r="H1568" t="s">
        <v>1112</v>
      </c>
      <c r="I1568" t="s">
        <v>1108</v>
      </c>
      <c r="J1568" t="s">
        <v>5510</v>
      </c>
      <c r="K1568" t="s">
        <v>5511</v>
      </c>
      <c r="L1568" t="s">
        <v>21</v>
      </c>
      <c r="M1568" t="s">
        <v>19177</v>
      </c>
      <c r="N1568" t="s">
        <v>309</v>
      </c>
      <c r="O1568" t="s">
        <v>6029</v>
      </c>
      <c r="P1568" t="s">
        <v>114</v>
      </c>
    </row>
    <row r="1569">
      <c r="A1569">
        <f>HYPERLINK("http://bombeiros.sp.gov.br/hidrantes/03individual/1764.html","1764")</f>
      </c>
      <c r="B1569" t="s">
        <v>114</v>
      </c>
      <c r="C1569" t="s">
        <v>309</v>
      </c>
      <c r="D1569" t="s">
        <v>5484</v>
      </c>
      <c r="E1569" t="s">
        <v>15</v>
      </c>
      <c r="F1569" t="s">
        <v>5512</v>
      </c>
      <c r="G1569" t="s">
        <v>18103</v>
      </c>
      <c r="H1569" t="s">
        <v>1174</v>
      </c>
      <c r="I1569" t="s">
        <v>1117</v>
      </c>
      <c r="J1569" t="s">
        <v>5513</v>
      </c>
      <c r="K1569" t="s">
        <v>5514</v>
      </c>
      <c r="L1569" t="s">
        <v>21</v>
      </c>
      <c r="M1569" t="s">
        <v>19177</v>
      </c>
      <c r="N1569" t="s">
        <v>309</v>
      </c>
      <c r="O1569" t="s">
        <v>6029</v>
      </c>
      <c r="P1569" t="s">
        <v>114</v>
      </c>
    </row>
    <row r="1570">
      <c r="A1570">
        <f>HYPERLINK("http://bombeiros.sp.gov.br/hidrantes/03individual/1793.html","1793")</f>
      </c>
      <c r="B1570" t="s">
        <v>114</v>
      </c>
      <c r="C1570" t="s">
        <v>309</v>
      </c>
      <c r="D1570" t="s">
        <v>5484</v>
      </c>
      <c r="E1570" t="s">
        <v>15</v>
      </c>
      <c r="F1570" t="s">
        <v>5515</v>
      </c>
      <c r="G1570" t="s">
        <v>18057</v>
      </c>
      <c r="H1570" t="s">
        <v>1121</v>
      </c>
      <c r="I1570" t="s">
        <v>1117</v>
      </c>
      <c r="J1570" t="s">
        <v>16167</v>
      </c>
      <c r="K1570" t="s">
        <v>16168</v>
      </c>
      <c r="L1570" t="s">
        <v>21</v>
      </c>
      <c r="M1570" t="s">
        <v>19177</v>
      </c>
      <c r="N1570" t="s">
        <v>16374</v>
      </c>
      <c r="O1570" t="s">
        <v>272</v>
      </c>
      <c r="P1570" t="s">
        <v>114</v>
      </c>
    </row>
    <row r="1571">
      <c r="A1571">
        <f>HYPERLINK("http://bombeiros.sp.gov.br/hidrantes/03individual/1852.html","1852")</f>
      </c>
      <c r="B1571" t="s">
        <v>114</v>
      </c>
      <c r="C1571" t="s">
        <v>309</v>
      </c>
      <c r="D1571" t="s">
        <v>5484</v>
      </c>
      <c r="E1571" t="s">
        <v>15</v>
      </c>
      <c r="F1571" t="s">
        <v>5518</v>
      </c>
      <c r="G1571" t="s">
        <v>18057</v>
      </c>
      <c r="H1571" t="s">
        <v>1121</v>
      </c>
      <c r="I1571" t="s">
        <v>1117</v>
      </c>
      <c r="J1571" t="s">
        <v>5519</v>
      </c>
      <c r="K1571" t="s">
        <v>5520</v>
      </c>
      <c r="L1571" t="s">
        <v>21</v>
      </c>
      <c r="M1571" t="s">
        <v>19177</v>
      </c>
      <c r="N1571" t="s">
        <v>16374</v>
      </c>
      <c r="O1571" t="s">
        <v>272</v>
      </c>
      <c r="P1571" t="s">
        <v>114</v>
      </c>
    </row>
    <row r="1572">
      <c r="A1572">
        <f>HYPERLINK("http://bombeiros.sp.gov.br/hidrantes/03individual/1854.html","1854")</f>
      </c>
      <c r="B1572" t="s">
        <v>114</v>
      </c>
      <c r="C1572" t="s">
        <v>309</v>
      </c>
      <c r="D1572" t="s">
        <v>5484</v>
      </c>
      <c r="E1572" t="s">
        <v>15</v>
      </c>
      <c r="F1572" t="s">
        <v>5521</v>
      </c>
      <c r="G1572" t="s">
        <v>18057</v>
      </c>
      <c r="H1572"/>
      <c r="I1572" t="s">
        <v>18</v>
      </c>
      <c r="J1572" t="s">
        <v>5522</v>
      </c>
      <c r="K1572" t="s">
        <v>5523</v>
      </c>
      <c r="L1572" t="s">
        <v>21</v>
      </c>
      <c r="M1572" t="s">
        <v>19177</v>
      </c>
      <c r="N1572" t="s">
        <v>16374</v>
      </c>
      <c r="O1572" t="s">
        <v>272</v>
      </c>
      <c r="P1572" t="s">
        <v>114</v>
      </c>
    </row>
    <row r="1573">
      <c r="A1573">
        <f>HYPERLINK("http://bombeiros.sp.gov.br/hidrantes/03individual/1862.html","1862")</f>
      </c>
      <c r="B1573" t="s">
        <v>114</v>
      </c>
      <c r="C1573" t="s">
        <v>309</v>
      </c>
      <c r="D1573" t="s">
        <v>5484</v>
      </c>
      <c r="E1573" t="s">
        <v>15</v>
      </c>
      <c r="F1573" t="s">
        <v>5524</v>
      </c>
      <c r="G1573" t="s">
        <v>18057</v>
      </c>
      <c r="H1573" t="s">
        <v>1121</v>
      </c>
      <c r="I1573" t="s">
        <v>1117</v>
      </c>
      <c r="J1573" t="s">
        <v>5525</v>
      </c>
      <c r="K1573" t="s">
        <v>5526</v>
      </c>
      <c r="L1573" t="s">
        <v>21</v>
      </c>
      <c r="M1573" t="s">
        <v>19177</v>
      </c>
      <c r="N1573" t="s">
        <v>16374</v>
      </c>
      <c r="O1573" t="s">
        <v>272</v>
      </c>
      <c r="P1573" t="s">
        <v>114</v>
      </c>
    </row>
    <row r="1574">
      <c r="A1574">
        <f>HYPERLINK("http://bombeiros.sp.gov.br/hidrantes/03individual/1864.html","1864")</f>
      </c>
      <c r="B1574" t="s">
        <v>114</v>
      </c>
      <c r="C1574" t="s">
        <v>309</v>
      </c>
      <c r="D1574" t="s">
        <v>5484</v>
      </c>
      <c r="E1574" t="s">
        <v>15</v>
      </c>
      <c r="F1574" t="s">
        <v>5527</v>
      </c>
      <c r="G1574" t="s">
        <v>18103</v>
      </c>
      <c r="H1574" t="s">
        <v>1112</v>
      </c>
      <c r="I1574" t="s">
        <v>1108</v>
      </c>
      <c r="J1574" t="s">
        <v>5528</v>
      </c>
      <c r="K1574" t="s">
        <v>5529</v>
      </c>
      <c r="L1574" t="s">
        <v>21</v>
      </c>
      <c r="M1574" t="s">
        <v>19177</v>
      </c>
      <c r="N1574" t="s">
        <v>309</v>
      </c>
      <c r="O1574" t="s">
        <v>6029</v>
      </c>
      <c r="P1574" t="s">
        <v>114</v>
      </c>
    </row>
    <row r="1575">
      <c r="A1575">
        <f>HYPERLINK("http://bombeiros.sp.gov.br/hidrantes/03individual/1865.html","1865")</f>
      </c>
      <c r="B1575" t="s">
        <v>114</v>
      </c>
      <c r="C1575" t="s">
        <v>309</v>
      </c>
      <c r="D1575" t="s">
        <v>5484</v>
      </c>
      <c r="E1575" t="s">
        <v>15</v>
      </c>
      <c r="F1575" t="s">
        <v>5530</v>
      </c>
      <c r="G1575" t="s">
        <v>18057</v>
      </c>
      <c r="H1575" t="s">
        <v>1174</v>
      </c>
      <c r="I1575" t="s">
        <v>1117</v>
      </c>
      <c r="J1575" t="s">
        <v>5531</v>
      </c>
      <c r="K1575" t="s">
        <v>5532</v>
      </c>
      <c r="L1575" t="s">
        <v>21</v>
      </c>
      <c r="M1575" t="s">
        <v>19177</v>
      </c>
      <c r="N1575" t="s">
        <v>16374</v>
      </c>
      <c r="O1575" t="s">
        <v>272</v>
      </c>
      <c r="P1575" t="s">
        <v>114</v>
      </c>
    </row>
    <row r="1576">
      <c r="A1576">
        <f>HYPERLINK("http://bombeiros.sp.gov.br/hidrantes/03individual/3442.html","3442")</f>
      </c>
      <c r="B1576" t="s">
        <v>114</v>
      </c>
      <c r="C1576" t="s">
        <v>309</v>
      </c>
      <c r="D1576" t="s">
        <v>5484</v>
      </c>
      <c r="E1576" t="s">
        <v>15</v>
      </c>
      <c r="F1576" t="s">
        <v>5533</v>
      </c>
      <c r="G1576" t="s">
        <v>18095</v>
      </c>
      <c r="H1576" t="s">
        <v>1107</v>
      </c>
      <c r="I1576" t="s">
        <v>1108</v>
      </c>
      <c r="J1576" t="s">
        <v>16319</v>
      </c>
      <c r="K1576" t="s">
        <v>16320</v>
      </c>
      <c r="L1576" t="s">
        <v>21</v>
      </c>
      <c r="M1576" t="s">
        <v>19177</v>
      </c>
      <c r="N1576" t="s">
        <v>16374</v>
      </c>
      <c r="O1576" t="s">
        <v>272</v>
      </c>
      <c r="P1576" t="s">
        <v>114</v>
      </c>
    </row>
    <row r="1577">
      <c r="A1577">
        <f>HYPERLINK("http://bombeiros.sp.gov.br/hidrantes/03individual/4334.html","4334")</f>
      </c>
      <c r="B1577" t="s">
        <v>114</v>
      </c>
      <c r="C1577" t="s">
        <v>309</v>
      </c>
      <c r="D1577" t="s">
        <v>5484</v>
      </c>
      <c r="E1577" t="s">
        <v>15</v>
      </c>
      <c r="F1577" t="s">
        <v>5539</v>
      </c>
      <c r="G1577" t="s">
        <v>18057</v>
      </c>
      <c r="H1577" t="s">
        <v>1107</v>
      </c>
      <c r="I1577" t="s">
        <v>1108</v>
      </c>
      <c r="J1577" t="s">
        <v>5540</v>
      </c>
      <c r="K1577" t="s">
        <v>5541</v>
      </c>
      <c r="L1577" t="s">
        <v>21</v>
      </c>
      <c r="M1577" t="s">
        <v>19177</v>
      </c>
      <c r="N1577" t="s">
        <v>16374</v>
      </c>
      <c r="O1577" t="s">
        <v>272</v>
      </c>
      <c r="P1577" t="s">
        <v>114</v>
      </c>
    </row>
    <row r="1578">
      <c r="A1578">
        <f>HYPERLINK("http://bombeiros.sp.gov.br/hidrantes/03individual/3459.html","3459")</f>
      </c>
      <c r="B1578" t="s">
        <v>114</v>
      </c>
      <c r="C1578" t="s">
        <v>318</v>
      </c>
      <c r="D1578" t="s">
        <v>5542</v>
      </c>
      <c r="E1578" t="s">
        <v>64</v>
      </c>
      <c r="F1578" t="s">
        <v>5543</v>
      </c>
      <c r="G1578" t="s">
        <v>18067</v>
      </c>
      <c r="H1578" t="s">
        <v>1112</v>
      </c>
      <c r="I1578" t="s">
        <v>1108</v>
      </c>
      <c r="J1578" t="s">
        <v>5544</v>
      </c>
      <c r="K1578" t="s">
        <v>5545</v>
      </c>
      <c r="L1578" t="s">
        <v>21</v>
      </c>
      <c r="M1578" t="s">
        <v>19177</v>
      </c>
      <c r="N1578" t="s">
        <v>309</v>
      </c>
      <c r="O1578" t="s">
        <v>6029</v>
      </c>
      <c r="P1578" t="s">
        <v>114</v>
      </c>
    </row>
    <row r="1579">
      <c r="A1579">
        <f>HYPERLINK("http://bombeiros.sp.gov.br/hidrantes/03individual/5526.html","5526")</f>
      </c>
      <c r="B1579" t="s">
        <v>114</v>
      </c>
      <c r="C1579" t="s">
        <v>318</v>
      </c>
      <c r="D1579" t="s">
        <v>5542</v>
      </c>
      <c r="E1579" t="s">
        <v>64</v>
      </c>
      <c r="F1579" t="s">
        <v>5546</v>
      </c>
      <c r="G1579" t="s">
        <v>18124</v>
      </c>
      <c r="H1579" t="s">
        <v>1112</v>
      </c>
      <c r="I1579" t="s">
        <v>1108</v>
      </c>
      <c r="J1579" t="s">
        <v>5547</v>
      </c>
      <c r="K1579" t="s">
        <v>5548</v>
      </c>
      <c r="L1579" t="s">
        <v>21</v>
      </c>
      <c r="M1579" t="s">
        <v>19177</v>
      </c>
      <c r="N1579" t="s">
        <v>309</v>
      </c>
      <c r="O1579" t="s">
        <v>6029</v>
      </c>
      <c r="P1579" t="s">
        <v>114</v>
      </c>
    </row>
    <row r="1580">
      <c r="A1580">
        <f>HYPERLINK("http://bombeiros.sp.gov.br/hidrantes/03individual/17876.html","17876")</f>
      </c>
      <c r="B1580" t="s">
        <v>114</v>
      </c>
      <c r="C1580" t="s">
        <v>318</v>
      </c>
      <c r="D1580" t="s">
        <v>5542</v>
      </c>
      <c r="E1580" t="s">
        <v>64</v>
      </c>
      <c r="F1580" t="s">
        <v>5549</v>
      </c>
      <c r="G1580" t="s">
        <v>18099</v>
      </c>
      <c r="H1580" t="s">
        <v>1112</v>
      </c>
      <c r="I1580" t="s">
        <v>1108</v>
      </c>
      <c r="J1580" t="s">
        <v>5550</v>
      </c>
      <c r="K1580" t="s">
        <v>5551</v>
      </c>
      <c r="L1580" t="s">
        <v>21</v>
      </c>
      <c r="M1580" t="s">
        <v>19177</v>
      </c>
      <c r="N1580" t="s">
        <v>309</v>
      </c>
      <c r="O1580" t="s">
        <v>6029</v>
      </c>
      <c r="P1580" t="s">
        <v>114</v>
      </c>
    </row>
    <row r="1581">
      <c r="A1581">
        <f>HYPERLINK("http://bombeiros.sp.gov.br/hidrantes/03individual/1795.html","1795")</f>
      </c>
      <c r="B1581" t="s">
        <v>114</v>
      </c>
      <c r="C1581" t="s">
        <v>318</v>
      </c>
      <c r="D1581" t="s">
        <v>5542</v>
      </c>
      <c r="E1581" t="s">
        <v>15</v>
      </c>
      <c r="F1581" t="s">
        <v>5552</v>
      </c>
      <c r="G1581" t="s">
        <v>18065</v>
      </c>
      <c r="H1581" t="s">
        <v>1121</v>
      </c>
      <c r="I1581" t="s">
        <v>1117</v>
      </c>
      <c r="J1581" t="s">
        <v>5553</v>
      </c>
      <c r="K1581" t="s">
        <v>5554</v>
      </c>
      <c r="L1581" t="s">
        <v>21</v>
      </c>
      <c r="M1581" t="s">
        <v>19177</v>
      </c>
      <c r="N1581" t="s">
        <v>309</v>
      </c>
      <c r="O1581" t="s">
        <v>6029</v>
      </c>
      <c r="P1581" t="s">
        <v>114</v>
      </c>
    </row>
    <row r="1582">
      <c r="A1582">
        <f>HYPERLINK("http://bombeiros.sp.gov.br/hidrantes/03individual/1796.html","1796")</f>
      </c>
      <c r="B1582" t="s">
        <v>114</v>
      </c>
      <c r="C1582" t="s">
        <v>318</v>
      </c>
      <c r="D1582" t="s">
        <v>5542</v>
      </c>
      <c r="E1582" t="s">
        <v>15</v>
      </c>
      <c r="F1582" t="s">
        <v>5555</v>
      </c>
      <c r="G1582" t="s">
        <v>18065</v>
      </c>
      <c r="H1582" t="s">
        <v>1112</v>
      </c>
      <c r="I1582" t="s">
        <v>1108</v>
      </c>
      <c r="J1582" t="s">
        <v>5556</v>
      </c>
      <c r="K1582" t="s">
        <v>5557</v>
      </c>
      <c r="L1582" t="s">
        <v>21</v>
      </c>
      <c r="M1582" t="s">
        <v>19177</v>
      </c>
      <c r="N1582" t="s">
        <v>309</v>
      </c>
      <c r="O1582" t="s">
        <v>6029</v>
      </c>
      <c r="P1582" t="s">
        <v>114</v>
      </c>
    </row>
    <row r="1583">
      <c r="A1583">
        <f>HYPERLINK("http://bombeiros.sp.gov.br/hidrantes/03individual/1844.html","1844")</f>
      </c>
      <c r="B1583" t="s">
        <v>114</v>
      </c>
      <c r="C1583" t="s">
        <v>318</v>
      </c>
      <c r="D1583" t="s">
        <v>5542</v>
      </c>
      <c r="E1583" t="s">
        <v>15</v>
      </c>
      <c r="F1583" t="s">
        <v>5558</v>
      </c>
      <c r="G1583" t="s">
        <v>18104</v>
      </c>
      <c r="H1583" t="s">
        <v>1112</v>
      </c>
      <c r="I1583" t="s">
        <v>1108</v>
      </c>
      <c r="J1583" t="s">
        <v>5559</v>
      </c>
      <c r="K1583" t="s">
        <v>5560</v>
      </c>
      <c r="L1583" t="s">
        <v>21</v>
      </c>
      <c r="M1583" t="s">
        <v>19177</v>
      </c>
      <c r="N1583" t="s">
        <v>309</v>
      </c>
      <c r="O1583" t="s">
        <v>6029</v>
      </c>
      <c r="P1583" t="s">
        <v>114</v>
      </c>
    </row>
    <row r="1584">
      <c r="A1584">
        <f>HYPERLINK("http://bombeiros.sp.gov.br/hidrantes/03individual/1846.html","1846")</f>
      </c>
      <c r="B1584" t="s">
        <v>114</v>
      </c>
      <c r="C1584" t="s">
        <v>318</v>
      </c>
      <c r="D1584" t="s">
        <v>5542</v>
      </c>
      <c r="E1584" t="s">
        <v>15</v>
      </c>
      <c r="F1584" t="s">
        <v>5561</v>
      </c>
      <c r="G1584" t="s">
        <v>18124</v>
      </c>
      <c r="H1584" t="s">
        <v>1107</v>
      </c>
      <c r="I1584" t="s">
        <v>1108</v>
      </c>
      <c r="J1584" t="s">
        <v>5562</v>
      </c>
      <c r="K1584" t="s">
        <v>5563</v>
      </c>
      <c r="L1584" t="s">
        <v>21</v>
      </c>
      <c r="M1584" t="s">
        <v>19177</v>
      </c>
      <c r="N1584" t="s">
        <v>309</v>
      </c>
      <c r="O1584" t="s">
        <v>6029</v>
      </c>
      <c r="P1584" t="s">
        <v>114</v>
      </c>
    </row>
    <row r="1585">
      <c r="A1585">
        <f>HYPERLINK("http://bombeiros.sp.gov.br/hidrantes/03individual/1847.html","1847")</f>
      </c>
      <c r="B1585" t="s">
        <v>114</v>
      </c>
      <c r="C1585" t="s">
        <v>318</v>
      </c>
      <c r="D1585" t="s">
        <v>5542</v>
      </c>
      <c r="E1585" t="s">
        <v>15</v>
      </c>
      <c r="F1585" t="s">
        <v>5564</v>
      </c>
      <c r="G1585" t="s">
        <v>18084</v>
      </c>
      <c r="H1585" t="s">
        <v>1107</v>
      </c>
      <c r="I1585" t="s">
        <v>1108</v>
      </c>
      <c r="J1585" t="s">
        <v>5565</v>
      </c>
      <c r="K1585" t="s">
        <v>5566</v>
      </c>
      <c r="L1585" t="s">
        <v>21</v>
      </c>
      <c r="M1585" t="s">
        <v>19177</v>
      </c>
      <c r="N1585" t="s">
        <v>309</v>
      </c>
      <c r="O1585" t="s">
        <v>6029</v>
      </c>
      <c r="P1585" t="s">
        <v>114</v>
      </c>
    </row>
    <row r="1586">
      <c r="A1586">
        <f>HYPERLINK("http://bombeiros.sp.gov.br/hidrantes/03individual/1849.html","1849")</f>
      </c>
      <c r="B1586" t="s">
        <v>114</v>
      </c>
      <c r="C1586" t="s">
        <v>318</v>
      </c>
      <c r="D1586" t="s">
        <v>5542</v>
      </c>
      <c r="E1586" t="s">
        <v>15</v>
      </c>
      <c r="F1586" t="s">
        <v>5567</v>
      </c>
      <c r="G1586" t="s">
        <v>18124</v>
      </c>
      <c r="H1586" t="s">
        <v>1107</v>
      </c>
      <c r="I1586" t="s">
        <v>1108</v>
      </c>
      <c r="J1586" t="s">
        <v>5568</v>
      </c>
      <c r="K1586" t="s">
        <v>5569</v>
      </c>
      <c r="L1586" t="s">
        <v>21</v>
      </c>
      <c r="M1586" t="s">
        <v>19177</v>
      </c>
      <c r="N1586" t="s">
        <v>309</v>
      </c>
      <c r="O1586" t="s">
        <v>6029</v>
      </c>
      <c r="P1586" t="s">
        <v>114</v>
      </c>
    </row>
    <row r="1587">
      <c r="A1587">
        <f>HYPERLINK("http://bombeiros.sp.gov.br/hidrantes/03individual/4335.html","4335")</f>
      </c>
      <c r="B1587" t="s">
        <v>114</v>
      </c>
      <c r="C1587" t="s">
        <v>318</v>
      </c>
      <c r="D1587" t="s">
        <v>5542</v>
      </c>
      <c r="E1587" t="s">
        <v>15</v>
      </c>
      <c r="F1587" t="s">
        <v>5570</v>
      </c>
      <c r="G1587" t="s">
        <v>18124</v>
      </c>
      <c r="H1587" t="s">
        <v>1107</v>
      </c>
      <c r="I1587" t="s">
        <v>1108</v>
      </c>
      <c r="J1587" t="s">
        <v>5571</v>
      </c>
      <c r="K1587" t="s">
        <v>5572</v>
      </c>
      <c r="L1587" t="s">
        <v>21</v>
      </c>
      <c r="M1587" t="s">
        <v>19177</v>
      </c>
      <c r="N1587" t="s">
        <v>309</v>
      </c>
      <c r="O1587" t="s">
        <v>6029</v>
      </c>
      <c r="P1587" t="s">
        <v>114</v>
      </c>
    </row>
    <row r="1588">
      <c r="A1588">
        <f>HYPERLINK("http://bombeiros.sp.gov.br/hidrantes/03individual/1050.html","1050")</f>
      </c>
      <c r="B1588" t="s">
        <v>114</v>
      </c>
      <c r="C1588" t="s">
        <v>318</v>
      </c>
      <c r="D1588" t="s">
        <v>318</v>
      </c>
      <c r="E1588" t="s">
        <v>64</v>
      </c>
      <c r="F1588" t="s">
        <v>5573</v>
      </c>
      <c r="G1588" t="s">
        <v>18084</v>
      </c>
      <c r="H1588" t="s">
        <v>1107</v>
      </c>
      <c r="I1588" t="s">
        <v>1108</v>
      </c>
      <c r="J1588" t="s">
        <v>16893</v>
      </c>
      <c r="K1588" t="s">
        <v>16894</v>
      </c>
      <c r="L1588" t="s">
        <v>36</v>
      </c>
      <c r="M1588" t="s">
        <v>19177</v>
      </c>
      <c r="N1588" t="s">
        <v>309</v>
      </c>
      <c r="O1588" t="s">
        <v>6029</v>
      </c>
      <c r="P1588" t="s">
        <v>114</v>
      </c>
    </row>
    <row r="1589">
      <c r="A1589">
        <f>HYPERLINK("http://bombeiros.sp.gov.br/hidrantes/03individual/1051.html","1051")</f>
      </c>
      <c r="B1589" t="s">
        <v>114</v>
      </c>
      <c r="C1589" t="s">
        <v>318</v>
      </c>
      <c r="D1589" t="s">
        <v>318</v>
      </c>
      <c r="E1589" t="s">
        <v>64</v>
      </c>
      <c r="F1589" t="s">
        <v>5576</v>
      </c>
      <c r="G1589" t="s">
        <v>18143</v>
      </c>
      <c r="H1589" t="s">
        <v>1112</v>
      </c>
      <c r="I1589" t="s">
        <v>1108</v>
      </c>
      <c r="J1589" t="s">
        <v>15860</v>
      </c>
      <c r="K1589" t="s">
        <v>15861</v>
      </c>
      <c r="L1589" t="s">
        <v>36</v>
      </c>
      <c r="M1589" t="s">
        <v>19177</v>
      </c>
      <c r="N1589" t="s">
        <v>309</v>
      </c>
      <c r="O1589" t="s">
        <v>6029</v>
      </c>
      <c r="P1589" t="s">
        <v>114</v>
      </c>
    </row>
    <row r="1590">
      <c r="A1590">
        <f>HYPERLINK("http://bombeiros.sp.gov.br/hidrantes/03individual/1916.html","1916")</f>
      </c>
      <c r="B1590" t="s">
        <v>114</v>
      </c>
      <c r="C1590" t="s">
        <v>318</v>
      </c>
      <c r="D1590" t="s">
        <v>318</v>
      </c>
      <c r="E1590" t="s">
        <v>64</v>
      </c>
      <c r="F1590" t="s">
        <v>5579</v>
      </c>
      <c r="G1590" t="s">
        <v>18099</v>
      </c>
      <c r="H1590" t="s">
        <v>1107</v>
      </c>
      <c r="I1590" t="s">
        <v>1108</v>
      </c>
      <c r="J1590" t="s">
        <v>5580</v>
      </c>
      <c r="K1590" t="s">
        <v>5581</v>
      </c>
      <c r="L1590" t="s">
        <v>36</v>
      </c>
      <c r="M1590" t="s">
        <v>19177</v>
      </c>
      <c r="N1590" t="s">
        <v>309</v>
      </c>
      <c r="O1590" t="s">
        <v>6029</v>
      </c>
      <c r="P1590" t="s">
        <v>114</v>
      </c>
    </row>
    <row r="1591">
      <c r="A1591">
        <f>HYPERLINK("http://bombeiros.sp.gov.br/hidrantes/03individual/1919.html","1919")</f>
      </c>
      <c r="B1591" t="s">
        <v>114</v>
      </c>
      <c r="C1591" t="s">
        <v>318</v>
      </c>
      <c r="D1591" t="s">
        <v>318</v>
      </c>
      <c r="E1591" t="s">
        <v>64</v>
      </c>
      <c r="F1591" t="s">
        <v>5582</v>
      </c>
      <c r="G1591" t="s">
        <v>18074</v>
      </c>
      <c r="H1591" t="s">
        <v>1121</v>
      </c>
      <c r="I1591" t="s">
        <v>1117</v>
      </c>
      <c r="J1591" t="s">
        <v>5583</v>
      </c>
      <c r="K1591" t="s">
        <v>5584</v>
      </c>
      <c r="L1591" t="s">
        <v>36</v>
      </c>
      <c r="M1591" t="s">
        <v>19177</v>
      </c>
      <c r="N1591" t="s">
        <v>309</v>
      </c>
      <c r="O1591" t="s">
        <v>6029</v>
      </c>
      <c r="P1591" t="s">
        <v>114</v>
      </c>
    </row>
    <row r="1592">
      <c r="A1592">
        <f>HYPERLINK("http://bombeiros.sp.gov.br/hidrantes/03individual/3387.html","3387")</f>
      </c>
      <c r="B1592" t="s">
        <v>114</v>
      </c>
      <c r="C1592" t="s">
        <v>318</v>
      </c>
      <c r="D1592" t="s">
        <v>318</v>
      </c>
      <c r="E1592" t="s">
        <v>64</v>
      </c>
      <c r="F1592" t="s">
        <v>5585</v>
      </c>
      <c r="G1592" t="s">
        <v>18099</v>
      </c>
      <c r="H1592" t="s">
        <v>1107</v>
      </c>
      <c r="I1592" t="s">
        <v>1108</v>
      </c>
      <c r="J1592" t="s">
        <v>5586</v>
      </c>
      <c r="K1592" t="s">
        <v>5587</v>
      </c>
      <c r="L1592" t="s">
        <v>36</v>
      </c>
      <c r="M1592" t="s">
        <v>19177</v>
      </c>
      <c r="N1592" t="s">
        <v>309</v>
      </c>
      <c r="O1592" t="s">
        <v>6029</v>
      </c>
      <c r="P1592" t="s">
        <v>114</v>
      </c>
    </row>
    <row r="1593">
      <c r="A1593">
        <f>HYPERLINK("http://bombeiros.sp.gov.br/hidrantes/03individual/1640.html","1640")</f>
      </c>
      <c r="B1593" t="s">
        <v>114</v>
      </c>
      <c r="C1593" t="s">
        <v>318</v>
      </c>
      <c r="D1593" t="s">
        <v>318</v>
      </c>
      <c r="E1593" t="s">
        <v>15</v>
      </c>
      <c r="F1593" t="s">
        <v>5588</v>
      </c>
      <c r="G1593" t="s">
        <v>18066</v>
      </c>
      <c r="H1593" t="s">
        <v>1107</v>
      </c>
      <c r="I1593" t="s">
        <v>1108</v>
      </c>
      <c r="J1593" t="s">
        <v>5589</v>
      </c>
      <c r="K1593" t="s">
        <v>5590</v>
      </c>
      <c r="L1593" t="s">
        <v>21</v>
      </c>
      <c r="M1593" t="s">
        <v>19177</v>
      </c>
      <c r="N1593" t="s">
        <v>309</v>
      </c>
      <c r="O1593" t="s">
        <v>6029</v>
      </c>
      <c r="P1593" t="s">
        <v>114</v>
      </c>
    </row>
    <row r="1594">
      <c r="A1594">
        <f>HYPERLINK("http://bombeiros.sp.gov.br/hidrantes/03individual/1714.html","1714")</f>
      </c>
      <c r="B1594" t="s">
        <v>114</v>
      </c>
      <c r="C1594" t="s">
        <v>318</v>
      </c>
      <c r="D1594" t="s">
        <v>318</v>
      </c>
      <c r="E1594" t="s">
        <v>15</v>
      </c>
      <c r="F1594" t="s">
        <v>5591</v>
      </c>
      <c r="G1594" t="s">
        <v>18082</v>
      </c>
      <c r="H1594" t="s">
        <v>1107</v>
      </c>
      <c r="I1594" t="s">
        <v>1108</v>
      </c>
      <c r="J1594" t="s">
        <v>5592</v>
      </c>
      <c r="K1594" t="s">
        <v>5593</v>
      </c>
      <c r="L1594" t="s">
        <v>21</v>
      </c>
      <c r="M1594" t="s">
        <v>19177</v>
      </c>
      <c r="N1594" t="s">
        <v>309</v>
      </c>
      <c r="O1594" t="s">
        <v>6029</v>
      </c>
      <c r="P1594" t="s">
        <v>114</v>
      </c>
    </row>
    <row r="1595">
      <c r="A1595">
        <f>HYPERLINK("http://bombeiros.sp.gov.br/hidrantes/03individual/1718.html","1718")</f>
      </c>
      <c r="B1595" t="s">
        <v>114</v>
      </c>
      <c r="C1595" t="s">
        <v>318</v>
      </c>
      <c r="D1595" t="s">
        <v>318</v>
      </c>
      <c r="E1595" t="s">
        <v>15</v>
      </c>
      <c r="F1595" t="s">
        <v>5594</v>
      </c>
      <c r="G1595" t="s">
        <v>18082</v>
      </c>
      <c r="H1595" t="s">
        <v>1112</v>
      </c>
      <c r="I1595" t="s">
        <v>1108</v>
      </c>
      <c r="J1595" t="s">
        <v>5595</v>
      </c>
      <c r="K1595" t="s">
        <v>5596</v>
      </c>
      <c r="L1595" t="s">
        <v>21</v>
      </c>
      <c r="M1595" t="s">
        <v>19177</v>
      </c>
      <c r="N1595" t="s">
        <v>309</v>
      </c>
      <c r="O1595" t="s">
        <v>6029</v>
      </c>
      <c r="P1595" t="s">
        <v>114</v>
      </c>
    </row>
    <row r="1596">
      <c r="A1596">
        <f>HYPERLINK("http://bombeiros.sp.gov.br/hidrantes/03individual/1803.html","1803")</f>
      </c>
      <c r="B1596" t="s">
        <v>114</v>
      </c>
      <c r="C1596" t="s">
        <v>318</v>
      </c>
      <c r="D1596" t="s">
        <v>318</v>
      </c>
      <c r="E1596" t="s">
        <v>15</v>
      </c>
      <c r="F1596" t="s">
        <v>5597</v>
      </c>
      <c r="G1596" t="s">
        <v>18065</v>
      </c>
      <c r="H1596" t="s">
        <v>1121</v>
      </c>
      <c r="I1596" t="s">
        <v>1117</v>
      </c>
      <c r="J1596" t="s">
        <v>5598</v>
      </c>
      <c r="K1596" t="s">
        <v>5599</v>
      </c>
      <c r="L1596" t="s">
        <v>21</v>
      </c>
      <c r="M1596" t="s">
        <v>19177</v>
      </c>
      <c r="N1596" t="s">
        <v>309</v>
      </c>
      <c r="O1596" t="s">
        <v>6029</v>
      </c>
      <c r="P1596" t="s">
        <v>114</v>
      </c>
    </row>
    <row r="1597">
      <c r="A1597">
        <f>HYPERLINK("http://bombeiros.sp.gov.br/hidrantes/03individual/1811.html","1811")</f>
      </c>
      <c r="B1597" t="s">
        <v>114</v>
      </c>
      <c r="C1597" t="s">
        <v>318</v>
      </c>
      <c r="D1597" t="s">
        <v>318</v>
      </c>
      <c r="E1597" t="s">
        <v>15</v>
      </c>
      <c r="F1597" t="s">
        <v>5600</v>
      </c>
      <c r="G1597" t="s">
        <v>18099</v>
      </c>
      <c r="H1597" t="s">
        <v>1107</v>
      </c>
      <c r="I1597" t="s">
        <v>1108</v>
      </c>
      <c r="J1597" t="s">
        <v>5601</v>
      </c>
      <c r="K1597" t="s">
        <v>5602</v>
      </c>
      <c r="L1597" t="s">
        <v>21</v>
      </c>
      <c r="M1597" t="s">
        <v>19177</v>
      </c>
      <c r="N1597" t="s">
        <v>309</v>
      </c>
      <c r="O1597" t="s">
        <v>6029</v>
      </c>
      <c r="P1597" t="s">
        <v>114</v>
      </c>
    </row>
    <row r="1598">
      <c r="A1598">
        <f>HYPERLINK("http://bombeiros.sp.gov.br/hidrantes/03individual/1812.html","1812")</f>
      </c>
      <c r="B1598" t="s">
        <v>114</v>
      </c>
      <c r="C1598" t="s">
        <v>318</v>
      </c>
      <c r="D1598" t="s">
        <v>318</v>
      </c>
      <c r="E1598" t="s">
        <v>15</v>
      </c>
      <c r="F1598" t="s">
        <v>5603</v>
      </c>
      <c r="G1598" t="s">
        <v>18099</v>
      </c>
      <c r="H1598" t="s">
        <v>1107</v>
      </c>
      <c r="I1598" t="s">
        <v>1108</v>
      </c>
      <c r="J1598" t="s">
        <v>5604</v>
      </c>
      <c r="K1598" t="s">
        <v>5605</v>
      </c>
      <c r="L1598" t="s">
        <v>21</v>
      </c>
      <c r="M1598" t="s">
        <v>19177</v>
      </c>
      <c r="N1598" t="s">
        <v>309</v>
      </c>
      <c r="O1598" t="s">
        <v>6029</v>
      </c>
      <c r="P1598" t="s">
        <v>114</v>
      </c>
    </row>
    <row r="1599">
      <c r="A1599">
        <f>HYPERLINK("http://bombeiros.sp.gov.br/hidrantes/03individual/1860.html","1860")</f>
      </c>
      <c r="B1599" t="s">
        <v>114</v>
      </c>
      <c r="C1599" t="s">
        <v>318</v>
      </c>
      <c r="D1599" t="s">
        <v>318</v>
      </c>
      <c r="E1599" t="s">
        <v>15</v>
      </c>
      <c r="F1599" t="s">
        <v>5606</v>
      </c>
      <c r="G1599" t="s">
        <v>18124</v>
      </c>
      <c r="H1599" t="s">
        <v>1107</v>
      </c>
      <c r="I1599" t="s">
        <v>1108</v>
      </c>
      <c r="J1599" t="s">
        <v>5607</v>
      </c>
      <c r="K1599" t="s">
        <v>5608</v>
      </c>
      <c r="L1599" t="s">
        <v>21</v>
      </c>
      <c r="M1599" t="s">
        <v>19177</v>
      </c>
      <c r="N1599" t="s">
        <v>309</v>
      </c>
      <c r="O1599" t="s">
        <v>6029</v>
      </c>
      <c r="P1599" t="s">
        <v>114</v>
      </c>
    </row>
    <row r="1600">
      <c r="A1600">
        <f>HYPERLINK("http://bombeiros.sp.gov.br/hidrantes/03individual/1921.html","1921")</f>
      </c>
      <c r="B1600" t="s">
        <v>114</v>
      </c>
      <c r="C1600" t="s">
        <v>318</v>
      </c>
      <c r="D1600" t="s">
        <v>318</v>
      </c>
      <c r="E1600" t="s">
        <v>15</v>
      </c>
      <c r="F1600" t="s">
        <v>319</v>
      </c>
      <c r="G1600" t="s">
        <v>18074</v>
      </c>
      <c r="H1600"/>
      <c r="I1600" t="s">
        <v>18</v>
      </c>
      <c r="J1600" t="s">
        <v>320</v>
      </c>
      <c r="K1600" t="s">
        <v>321</v>
      </c>
      <c r="L1600" t="s">
        <v>21</v>
      </c>
      <c r="M1600" t="s">
        <v>19177</v>
      </c>
      <c r="N1600" t="s">
        <v>309</v>
      </c>
      <c r="O1600" t="s">
        <v>6029</v>
      </c>
      <c r="P1600" t="s">
        <v>114</v>
      </c>
    </row>
    <row r="1601">
      <c r="A1601">
        <f>HYPERLINK("http://bombeiros.sp.gov.br/hidrantes/03individual/3378.html","3378")</f>
      </c>
      <c r="B1601" t="s">
        <v>114</v>
      </c>
      <c r="C1601" t="s">
        <v>318</v>
      </c>
      <c r="D1601" t="s">
        <v>318</v>
      </c>
      <c r="E1601" t="s">
        <v>15</v>
      </c>
      <c r="F1601" t="s">
        <v>5609</v>
      </c>
      <c r="G1601" t="s">
        <v>18099</v>
      </c>
      <c r="H1601" t="s">
        <v>1107</v>
      </c>
      <c r="I1601" t="s">
        <v>1108</v>
      </c>
      <c r="J1601" t="s">
        <v>5610</v>
      </c>
      <c r="K1601" t="s">
        <v>5611</v>
      </c>
      <c r="L1601" t="s">
        <v>21</v>
      </c>
      <c r="M1601" t="s">
        <v>19177</v>
      </c>
      <c r="N1601" t="s">
        <v>309</v>
      </c>
      <c r="O1601" t="s">
        <v>6029</v>
      </c>
      <c r="P1601" t="s">
        <v>114</v>
      </c>
    </row>
    <row r="1602">
      <c r="A1602">
        <f>HYPERLINK("http://bombeiros.sp.gov.br/hidrantes/03individual/3386.html","3386")</f>
      </c>
      <c r="B1602" t="s">
        <v>114</v>
      </c>
      <c r="C1602" t="s">
        <v>318</v>
      </c>
      <c r="D1602" t="s">
        <v>318</v>
      </c>
      <c r="E1602" t="s">
        <v>15</v>
      </c>
      <c r="F1602" t="s">
        <v>5612</v>
      </c>
      <c r="G1602" t="s">
        <v>18099</v>
      </c>
      <c r="H1602" t="s">
        <v>1107</v>
      </c>
      <c r="I1602" t="s">
        <v>1108</v>
      </c>
      <c r="J1602" t="s">
        <v>5613</v>
      </c>
      <c r="K1602" t="s">
        <v>5614</v>
      </c>
      <c r="L1602" t="s">
        <v>21</v>
      </c>
      <c r="M1602" t="s">
        <v>19177</v>
      </c>
      <c r="N1602" t="s">
        <v>309</v>
      </c>
      <c r="O1602" t="s">
        <v>6029</v>
      </c>
      <c r="P1602" t="s">
        <v>114</v>
      </c>
    </row>
    <row r="1603">
      <c r="A1603">
        <f>HYPERLINK("http://bombeiros.sp.gov.br/hidrantes/03individual/3441.html","3441")</f>
      </c>
      <c r="B1603" t="s">
        <v>114</v>
      </c>
      <c r="C1603" t="s">
        <v>318</v>
      </c>
      <c r="D1603" t="s">
        <v>318</v>
      </c>
      <c r="E1603" t="s">
        <v>15</v>
      </c>
      <c r="F1603" t="s">
        <v>5615</v>
      </c>
      <c r="G1603" t="s">
        <v>18065</v>
      </c>
      <c r="H1603" t="s">
        <v>1107</v>
      </c>
      <c r="I1603" t="s">
        <v>1108</v>
      </c>
      <c r="J1603" t="s">
        <v>5616</v>
      </c>
      <c r="K1603" t="s">
        <v>5617</v>
      </c>
      <c r="L1603" t="s">
        <v>21</v>
      </c>
      <c r="M1603" t="s">
        <v>19177</v>
      </c>
      <c r="N1603" t="s">
        <v>309</v>
      </c>
      <c r="O1603" t="s">
        <v>6029</v>
      </c>
      <c r="P1603" t="s">
        <v>114</v>
      </c>
    </row>
    <row r="1604">
      <c r="A1604">
        <f>HYPERLINK("http://bombeiros.sp.gov.br/hidrantes/03individual/26864.html","26864")</f>
      </c>
      <c r="B1604" t="s">
        <v>114</v>
      </c>
      <c r="C1604" t="s">
        <v>318</v>
      </c>
      <c r="D1604" t="s">
        <v>318</v>
      </c>
      <c r="E1604" t="s">
        <v>15</v>
      </c>
      <c r="F1604" t="s">
        <v>16242</v>
      </c>
      <c r="G1604" t="s">
        <v>18124</v>
      </c>
      <c r="H1604" t="s">
        <v>1121</v>
      </c>
      <c r="I1604" t="s">
        <v>1117</v>
      </c>
      <c r="J1604" t="s">
        <v>16243</v>
      </c>
      <c r="K1604" t="s">
        <v>16244</v>
      </c>
      <c r="L1604" t="s">
        <v>21</v>
      </c>
      <c r="M1604" t="s">
        <v>19177</v>
      </c>
      <c r="N1604" t="s">
        <v>309</v>
      </c>
      <c r="O1604" t="s">
        <v>6029</v>
      </c>
      <c r="P1604" t="s">
        <v>114</v>
      </c>
    </row>
    <row r="1605">
      <c r="A1605">
        <f>HYPERLINK("http://bombeiros.sp.gov.br/hidrantes/03individual/26865.html","26865")</f>
      </c>
      <c r="B1605" t="s">
        <v>114</v>
      </c>
      <c r="C1605" t="s">
        <v>318</v>
      </c>
      <c r="D1605" t="s">
        <v>318</v>
      </c>
      <c r="E1605" t="s">
        <v>15</v>
      </c>
      <c r="F1605" t="s">
        <v>16245</v>
      </c>
      <c r="G1605" t="s">
        <v>18050</v>
      </c>
      <c r="H1605" t="s">
        <v>1107</v>
      </c>
      <c r="I1605" t="s">
        <v>1108</v>
      </c>
      <c r="J1605" t="s">
        <v>16246</v>
      </c>
      <c r="K1605" t="s">
        <v>16247</v>
      </c>
      <c r="L1605" t="s">
        <v>21</v>
      </c>
      <c r="M1605" t="s">
        <v>19177</v>
      </c>
      <c r="N1605" t="s">
        <v>309</v>
      </c>
      <c r="O1605" t="s">
        <v>6029</v>
      </c>
      <c r="P1605" t="s">
        <v>114</v>
      </c>
    </row>
    <row r="1606">
      <c r="A1606">
        <f>HYPERLINK("http://bombeiros.sp.gov.br/hidrantes/03individual/881.html","881")</f>
      </c>
      <c r="B1606" t="s">
        <v>114</v>
      </c>
      <c r="C1606" t="s">
        <v>322</v>
      </c>
      <c r="D1606" t="s">
        <v>5618</v>
      </c>
      <c r="E1606" t="s">
        <v>64</v>
      </c>
      <c r="F1606" t="s">
        <v>5619</v>
      </c>
      <c r="G1606" t="s">
        <v>18119</v>
      </c>
      <c r="H1606" t="s">
        <v>1112</v>
      </c>
      <c r="I1606" t="s">
        <v>1108</v>
      </c>
      <c r="J1606" t="s">
        <v>5620</v>
      </c>
      <c r="K1606" t="s">
        <v>5621</v>
      </c>
      <c r="L1606" t="s">
        <v>36</v>
      </c>
      <c r="M1606" t="s">
        <v>19177</v>
      </c>
      <c r="N1606" t="s">
        <v>300</v>
      </c>
      <c r="O1606" t="s">
        <v>16373</v>
      </c>
      <c r="P1606" t="s">
        <v>12</v>
      </c>
    </row>
    <row r="1607">
      <c r="A1607">
        <f>HYPERLINK("http://bombeiros.sp.gov.br/hidrantes/03individual/883.html","883")</f>
      </c>
      <c r="B1607" t="s">
        <v>114</v>
      </c>
      <c r="C1607" t="s">
        <v>322</v>
      </c>
      <c r="D1607" t="s">
        <v>5618</v>
      </c>
      <c r="E1607" t="s">
        <v>64</v>
      </c>
      <c r="F1607" t="s">
        <v>5622</v>
      </c>
      <c r="G1607" t="s">
        <v>18050</v>
      </c>
      <c r="H1607" t="s">
        <v>1112</v>
      </c>
      <c r="I1607" t="s">
        <v>1108</v>
      </c>
      <c r="J1607" t="s">
        <v>5623</v>
      </c>
      <c r="K1607" t="s">
        <v>5624</v>
      </c>
      <c r="L1607" t="s">
        <v>36</v>
      </c>
      <c r="M1607" t="s">
        <v>19177</v>
      </c>
      <c r="N1607" t="s">
        <v>300</v>
      </c>
      <c r="O1607" t="s">
        <v>16373</v>
      </c>
      <c r="P1607" t="s">
        <v>12</v>
      </c>
    </row>
    <row r="1608">
      <c r="A1608">
        <f>HYPERLINK("http://bombeiros.sp.gov.br/hidrantes/03individual/3155.html","3155")</f>
      </c>
      <c r="B1608" t="s">
        <v>114</v>
      </c>
      <c r="C1608" t="s">
        <v>322</v>
      </c>
      <c r="D1608" t="s">
        <v>5618</v>
      </c>
      <c r="E1608" t="s">
        <v>64</v>
      </c>
      <c r="F1608" t="s">
        <v>5625</v>
      </c>
      <c r="G1608" t="s">
        <v>18050</v>
      </c>
      <c r="H1608" t="s">
        <v>1112</v>
      </c>
      <c r="I1608" t="s">
        <v>1108</v>
      </c>
      <c r="J1608" t="s">
        <v>5626</v>
      </c>
      <c r="K1608" t="s">
        <v>5627</v>
      </c>
      <c r="L1608" t="s">
        <v>36</v>
      </c>
      <c r="M1608" t="s">
        <v>19177</v>
      </c>
      <c r="N1608" t="s">
        <v>300</v>
      </c>
      <c r="O1608" t="s">
        <v>16373</v>
      </c>
      <c r="P1608" t="s">
        <v>12</v>
      </c>
    </row>
    <row r="1609">
      <c r="A1609">
        <f>HYPERLINK("http://bombeiros.sp.gov.br/hidrantes/03individual/3158.html","3158")</f>
      </c>
      <c r="B1609" t="s">
        <v>114</v>
      </c>
      <c r="C1609" t="s">
        <v>322</v>
      </c>
      <c r="D1609" t="s">
        <v>5618</v>
      </c>
      <c r="E1609" t="s">
        <v>64</v>
      </c>
      <c r="F1609" t="s">
        <v>5628</v>
      </c>
      <c r="G1609" t="s">
        <v>18050</v>
      </c>
      <c r="H1609" t="s">
        <v>1107</v>
      </c>
      <c r="I1609" t="s">
        <v>1108</v>
      </c>
      <c r="J1609" t="s">
        <v>5629</v>
      </c>
      <c r="K1609" t="s">
        <v>5630</v>
      </c>
      <c r="L1609" t="s">
        <v>36</v>
      </c>
      <c r="M1609" t="s">
        <v>19177</v>
      </c>
      <c r="N1609" t="s">
        <v>300</v>
      </c>
      <c r="O1609" t="s">
        <v>16373</v>
      </c>
      <c r="P1609" t="s">
        <v>12</v>
      </c>
    </row>
    <row r="1610">
      <c r="A1610">
        <f>HYPERLINK("http://bombeiros.sp.gov.br/hidrantes/03individual/3159.html","3159")</f>
      </c>
      <c r="B1610" t="s">
        <v>114</v>
      </c>
      <c r="C1610" t="s">
        <v>322</v>
      </c>
      <c r="D1610" t="s">
        <v>5618</v>
      </c>
      <c r="E1610" t="s">
        <v>64</v>
      </c>
      <c r="F1610" t="s">
        <v>5631</v>
      </c>
      <c r="G1610" t="s">
        <v>18050</v>
      </c>
      <c r="H1610" t="s">
        <v>1121</v>
      </c>
      <c r="I1610" t="s">
        <v>1117</v>
      </c>
      <c r="J1610" t="s">
        <v>5632</v>
      </c>
      <c r="K1610" t="s">
        <v>5633</v>
      </c>
      <c r="L1610" t="s">
        <v>36</v>
      </c>
      <c r="M1610" t="s">
        <v>19177</v>
      </c>
      <c r="N1610" t="s">
        <v>300</v>
      </c>
      <c r="O1610" t="s">
        <v>16373</v>
      </c>
      <c r="P1610" t="s">
        <v>12</v>
      </c>
    </row>
    <row r="1611">
      <c r="A1611">
        <f>HYPERLINK("http://bombeiros.sp.gov.br/hidrantes/03individual/3161.html","3161")</f>
      </c>
      <c r="B1611" t="s">
        <v>114</v>
      </c>
      <c r="C1611" t="s">
        <v>322</v>
      </c>
      <c r="D1611" t="s">
        <v>5618</v>
      </c>
      <c r="E1611" t="s">
        <v>64</v>
      </c>
      <c r="F1611" t="s">
        <v>5634</v>
      </c>
      <c r="G1611" t="s">
        <v>18045</v>
      </c>
      <c r="H1611" t="s">
        <v>1107</v>
      </c>
      <c r="I1611" t="s">
        <v>1108</v>
      </c>
      <c r="J1611" t="s">
        <v>5635</v>
      </c>
      <c r="K1611" t="s">
        <v>5636</v>
      </c>
      <c r="L1611" t="s">
        <v>36</v>
      </c>
      <c r="M1611" t="s">
        <v>19177</v>
      </c>
      <c r="N1611" t="s">
        <v>300</v>
      </c>
      <c r="O1611" t="s">
        <v>16373</v>
      </c>
      <c r="P1611" t="s">
        <v>12</v>
      </c>
    </row>
    <row r="1612">
      <c r="A1612">
        <f>HYPERLINK("http://bombeiros.sp.gov.br/hidrantes/03individual/1725.html","1725")</f>
      </c>
      <c r="B1612" t="s">
        <v>114</v>
      </c>
      <c r="C1612" t="s">
        <v>322</v>
      </c>
      <c r="D1612" t="s">
        <v>5618</v>
      </c>
      <c r="E1612" t="s">
        <v>15</v>
      </c>
      <c r="F1612" t="s">
        <v>5637</v>
      </c>
      <c r="G1612" t="s">
        <v>18050</v>
      </c>
      <c r="H1612" t="s">
        <v>1107</v>
      </c>
      <c r="I1612" t="s">
        <v>1108</v>
      </c>
      <c r="J1612" t="s">
        <v>5638</v>
      </c>
      <c r="K1612" t="s">
        <v>5639</v>
      </c>
      <c r="L1612" t="s">
        <v>21</v>
      </c>
      <c r="M1612" t="s">
        <v>19177</v>
      </c>
      <c r="N1612" t="s">
        <v>300</v>
      </c>
      <c r="O1612" t="s">
        <v>16373</v>
      </c>
      <c r="P1612" t="s">
        <v>12</v>
      </c>
    </row>
    <row r="1613">
      <c r="A1613">
        <f>HYPERLINK("http://bombeiros.sp.gov.br/hidrantes/03individual/1868.html","1868")</f>
      </c>
      <c r="B1613" t="s">
        <v>114</v>
      </c>
      <c r="C1613" t="s">
        <v>322</v>
      </c>
      <c r="D1613" t="s">
        <v>5618</v>
      </c>
      <c r="E1613" t="s">
        <v>15</v>
      </c>
      <c r="F1613" t="s">
        <v>5640</v>
      </c>
      <c r="G1613" t="s">
        <v>18050</v>
      </c>
      <c r="H1613" t="s">
        <v>1107</v>
      </c>
      <c r="I1613" t="s">
        <v>1108</v>
      </c>
      <c r="J1613" t="s">
        <v>5641</v>
      </c>
      <c r="K1613" t="s">
        <v>5642</v>
      </c>
      <c r="L1613" t="s">
        <v>21</v>
      </c>
      <c r="M1613" t="s">
        <v>19177</v>
      </c>
      <c r="N1613" t="s">
        <v>300</v>
      </c>
      <c r="O1613" t="s">
        <v>16373</v>
      </c>
      <c r="P1613" t="s">
        <v>12</v>
      </c>
    </row>
    <row r="1614">
      <c r="A1614">
        <f>HYPERLINK("http://bombeiros.sp.gov.br/hidrantes/03individual/3098.html","3098")</f>
      </c>
      <c r="B1614" t="s">
        <v>114</v>
      </c>
      <c r="C1614" t="s">
        <v>322</v>
      </c>
      <c r="D1614" t="s">
        <v>5618</v>
      </c>
      <c r="E1614" t="s">
        <v>15</v>
      </c>
      <c r="F1614" t="s">
        <v>5643</v>
      </c>
      <c r="G1614" t="s">
        <v>18050</v>
      </c>
      <c r="H1614" t="s">
        <v>1121</v>
      </c>
      <c r="I1614" t="s">
        <v>1117</v>
      </c>
      <c r="J1614" t="s">
        <v>5644</v>
      </c>
      <c r="K1614" t="s">
        <v>5645</v>
      </c>
      <c r="L1614" t="s">
        <v>21</v>
      </c>
      <c r="M1614" t="s">
        <v>19177</v>
      </c>
      <c r="N1614" t="s">
        <v>300</v>
      </c>
      <c r="O1614" t="s">
        <v>16373</v>
      </c>
      <c r="P1614" t="s">
        <v>12</v>
      </c>
    </row>
    <row r="1615">
      <c r="A1615">
        <f>HYPERLINK("http://bombeiros.sp.gov.br/hidrantes/03individual/3147.html","3147")</f>
      </c>
      <c r="B1615" t="s">
        <v>114</v>
      </c>
      <c r="C1615" t="s">
        <v>322</v>
      </c>
      <c r="D1615" t="s">
        <v>5618</v>
      </c>
      <c r="E1615" t="s">
        <v>15</v>
      </c>
      <c r="F1615" t="s">
        <v>5646</v>
      </c>
      <c r="G1615" t="s">
        <v>18050</v>
      </c>
      <c r="H1615" t="s">
        <v>1107</v>
      </c>
      <c r="I1615" t="s">
        <v>1108</v>
      </c>
      <c r="J1615" t="s">
        <v>5647</v>
      </c>
      <c r="K1615" t="s">
        <v>5648</v>
      </c>
      <c r="L1615" t="s">
        <v>21</v>
      </c>
      <c r="M1615" t="s">
        <v>19177</v>
      </c>
      <c r="N1615" t="s">
        <v>300</v>
      </c>
      <c r="O1615" t="s">
        <v>16373</v>
      </c>
      <c r="P1615" t="s">
        <v>12</v>
      </c>
    </row>
    <row r="1616">
      <c r="A1616">
        <f>HYPERLINK("http://bombeiros.sp.gov.br/hidrantes/03individual/3149.html","3149")</f>
      </c>
      <c r="B1616" t="s">
        <v>114</v>
      </c>
      <c r="C1616" t="s">
        <v>322</v>
      </c>
      <c r="D1616" t="s">
        <v>5618</v>
      </c>
      <c r="E1616" t="s">
        <v>15</v>
      </c>
      <c r="F1616" t="s">
        <v>5649</v>
      </c>
      <c r="G1616" t="s">
        <v>18050</v>
      </c>
      <c r="H1616" t="s">
        <v>1107</v>
      </c>
      <c r="I1616" t="s">
        <v>1108</v>
      </c>
      <c r="J1616" t="s">
        <v>5650</v>
      </c>
      <c r="K1616" t="s">
        <v>5651</v>
      </c>
      <c r="L1616" t="s">
        <v>21</v>
      </c>
      <c r="M1616" t="s">
        <v>19177</v>
      </c>
      <c r="N1616" t="s">
        <v>300</v>
      </c>
      <c r="O1616" t="s">
        <v>16373</v>
      </c>
      <c r="P1616" t="s">
        <v>12</v>
      </c>
    </row>
    <row r="1617">
      <c r="A1617">
        <f>HYPERLINK("http://bombeiros.sp.gov.br/hidrantes/03individual/3153.html","3153")</f>
      </c>
      <c r="B1617" t="s">
        <v>114</v>
      </c>
      <c r="C1617" t="s">
        <v>322</v>
      </c>
      <c r="D1617" t="s">
        <v>5618</v>
      </c>
      <c r="E1617" t="s">
        <v>15</v>
      </c>
      <c r="F1617" t="s">
        <v>5652</v>
      </c>
      <c r="G1617" t="s">
        <v>18050</v>
      </c>
      <c r="H1617" t="s">
        <v>1107</v>
      </c>
      <c r="I1617" t="s">
        <v>1108</v>
      </c>
      <c r="J1617" t="s">
        <v>5653</v>
      </c>
      <c r="K1617" t="s">
        <v>5654</v>
      </c>
      <c r="L1617" t="s">
        <v>21</v>
      </c>
      <c r="M1617" t="s">
        <v>19177</v>
      </c>
      <c r="N1617" t="s">
        <v>300</v>
      </c>
      <c r="O1617" t="s">
        <v>16373</v>
      </c>
      <c r="P1617" t="s">
        <v>12</v>
      </c>
    </row>
    <row r="1618">
      <c r="A1618">
        <f>HYPERLINK("http://bombeiros.sp.gov.br/hidrantes/03individual/3154.html","3154")</f>
      </c>
      <c r="B1618" t="s">
        <v>114</v>
      </c>
      <c r="C1618" t="s">
        <v>322</v>
      </c>
      <c r="D1618" t="s">
        <v>5618</v>
      </c>
      <c r="E1618" t="s">
        <v>15</v>
      </c>
      <c r="F1618" t="s">
        <v>5655</v>
      </c>
      <c r="G1618" t="s">
        <v>18050</v>
      </c>
      <c r="H1618" t="s">
        <v>1174</v>
      </c>
      <c r="I1618" t="s">
        <v>1108</v>
      </c>
      <c r="J1618" t="s">
        <v>5656</v>
      </c>
      <c r="K1618" t="s">
        <v>5657</v>
      </c>
      <c r="L1618" t="s">
        <v>21</v>
      </c>
      <c r="M1618" t="s">
        <v>19177</v>
      </c>
      <c r="N1618" t="s">
        <v>300</v>
      </c>
      <c r="O1618" t="s">
        <v>16373</v>
      </c>
      <c r="P1618" t="s">
        <v>12</v>
      </c>
    </row>
    <row r="1619">
      <c r="A1619">
        <f>HYPERLINK("http://bombeiros.sp.gov.br/hidrantes/03individual/3156.html","3156")</f>
      </c>
      <c r="B1619" t="s">
        <v>114</v>
      </c>
      <c r="C1619" t="s">
        <v>322</v>
      </c>
      <c r="D1619" t="s">
        <v>5618</v>
      </c>
      <c r="E1619" t="s">
        <v>15</v>
      </c>
      <c r="F1619" t="s">
        <v>5658</v>
      </c>
      <c r="G1619" t="s">
        <v>18050</v>
      </c>
      <c r="H1619" t="s">
        <v>1107</v>
      </c>
      <c r="I1619" t="s">
        <v>1108</v>
      </c>
      <c r="J1619" t="s">
        <v>5659</v>
      </c>
      <c r="K1619" t="s">
        <v>5660</v>
      </c>
      <c r="L1619" t="s">
        <v>21</v>
      </c>
      <c r="M1619" t="s">
        <v>19177</v>
      </c>
      <c r="N1619" t="s">
        <v>300</v>
      </c>
      <c r="O1619" t="s">
        <v>16373</v>
      </c>
      <c r="P1619" t="s">
        <v>12</v>
      </c>
    </row>
    <row r="1620">
      <c r="A1620">
        <f>HYPERLINK("http://bombeiros.sp.gov.br/hidrantes/03individual/3160.html","3160")</f>
      </c>
      <c r="B1620" t="s">
        <v>114</v>
      </c>
      <c r="C1620" t="s">
        <v>322</v>
      </c>
      <c r="D1620" t="s">
        <v>5618</v>
      </c>
      <c r="E1620" t="s">
        <v>15</v>
      </c>
      <c r="F1620" t="s">
        <v>5661</v>
      </c>
      <c r="G1620" t="s">
        <v>18050</v>
      </c>
      <c r="H1620" t="s">
        <v>1107</v>
      </c>
      <c r="I1620" t="s">
        <v>1108</v>
      </c>
      <c r="J1620" t="s">
        <v>5662</v>
      </c>
      <c r="K1620" t="s">
        <v>5663</v>
      </c>
      <c r="L1620" t="s">
        <v>21</v>
      </c>
      <c r="M1620" t="s">
        <v>19177</v>
      </c>
      <c r="N1620" t="s">
        <v>300</v>
      </c>
      <c r="O1620" t="s">
        <v>16373</v>
      </c>
      <c r="P1620" t="s">
        <v>12</v>
      </c>
    </row>
    <row r="1621">
      <c r="A1621">
        <f>HYPERLINK("http://bombeiros.sp.gov.br/hidrantes/03individual/3162.html","3162")</f>
      </c>
      <c r="B1621" t="s">
        <v>114</v>
      </c>
      <c r="C1621" t="s">
        <v>322</v>
      </c>
      <c r="D1621" t="s">
        <v>5618</v>
      </c>
      <c r="E1621" t="s">
        <v>15</v>
      </c>
      <c r="F1621" t="s">
        <v>5664</v>
      </c>
      <c r="G1621" t="s">
        <v>18050</v>
      </c>
      <c r="H1621" t="s">
        <v>1107</v>
      </c>
      <c r="I1621" t="s">
        <v>1108</v>
      </c>
      <c r="J1621" t="s">
        <v>5665</v>
      </c>
      <c r="K1621" t="s">
        <v>5666</v>
      </c>
      <c r="L1621" t="s">
        <v>21</v>
      </c>
      <c r="M1621" t="s">
        <v>19177</v>
      </c>
      <c r="N1621" t="s">
        <v>300</v>
      </c>
      <c r="O1621" t="s">
        <v>16373</v>
      </c>
      <c r="P1621" t="s">
        <v>12</v>
      </c>
    </row>
    <row r="1622">
      <c r="A1622">
        <f>HYPERLINK("http://bombeiros.sp.gov.br/hidrantes/03individual/17721.html","17721")</f>
      </c>
      <c r="B1622" t="s">
        <v>114</v>
      </c>
      <c r="C1622" t="s">
        <v>322</v>
      </c>
      <c r="D1622" t="s">
        <v>5618</v>
      </c>
      <c r="E1622" t="s">
        <v>15</v>
      </c>
      <c r="F1622" t="s">
        <v>5667</v>
      </c>
      <c r="G1622" t="s">
        <v>18050</v>
      </c>
      <c r="H1622" t="s">
        <v>1107</v>
      </c>
      <c r="I1622" t="s">
        <v>1108</v>
      </c>
      <c r="J1622" t="s">
        <v>5668</v>
      </c>
      <c r="K1622" t="s">
        <v>5669</v>
      </c>
      <c r="L1622" t="s">
        <v>21</v>
      </c>
      <c r="M1622" t="s">
        <v>19177</v>
      </c>
      <c r="N1622" t="s">
        <v>300</v>
      </c>
      <c r="O1622" t="s">
        <v>16373</v>
      </c>
      <c r="P1622" t="s">
        <v>12</v>
      </c>
    </row>
    <row r="1623">
      <c r="A1623">
        <f>HYPERLINK("http://bombeiros.sp.gov.br/hidrantes/03individual/1326.html","1326")</f>
      </c>
      <c r="B1623" t="s">
        <v>114</v>
      </c>
      <c r="C1623" t="s">
        <v>322</v>
      </c>
      <c r="D1623" t="s">
        <v>323</v>
      </c>
      <c r="E1623" t="s">
        <v>64</v>
      </c>
      <c r="F1623" t="s">
        <v>5670</v>
      </c>
      <c r="G1623" t="s">
        <v>18076</v>
      </c>
      <c r="H1623" t="s">
        <v>1112</v>
      </c>
      <c r="I1623" t="s">
        <v>1108</v>
      </c>
      <c r="J1623" t="s">
        <v>5671</v>
      </c>
      <c r="K1623" t="s">
        <v>5672</v>
      </c>
      <c r="L1623" t="s">
        <v>21</v>
      </c>
      <c r="M1623" t="s">
        <v>19177</v>
      </c>
      <c r="N1623" t="s">
        <v>300</v>
      </c>
      <c r="O1623" t="s">
        <v>16373</v>
      </c>
      <c r="P1623" t="s">
        <v>12</v>
      </c>
    </row>
    <row r="1624">
      <c r="A1624">
        <f>HYPERLINK("http://bombeiros.sp.gov.br/hidrantes/03individual/1395.html","1395")</f>
      </c>
      <c r="B1624" t="s">
        <v>114</v>
      </c>
      <c r="C1624" t="s">
        <v>322</v>
      </c>
      <c r="D1624" t="s">
        <v>323</v>
      </c>
      <c r="E1624" t="s">
        <v>64</v>
      </c>
      <c r="F1624" t="s">
        <v>5673</v>
      </c>
      <c r="G1624" t="s">
        <v>18050</v>
      </c>
      <c r="H1624" t="s">
        <v>1112</v>
      </c>
      <c r="I1624" t="s">
        <v>1108</v>
      </c>
      <c r="J1624" t="s">
        <v>5674</v>
      </c>
      <c r="K1624" t="s">
        <v>5675</v>
      </c>
      <c r="L1624" t="s">
        <v>36</v>
      </c>
      <c r="M1624" t="s">
        <v>19177</v>
      </c>
      <c r="N1624" t="s">
        <v>300</v>
      </c>
      <c r="O1624" t="s">
        <v>16373</v>
      </c>
      <c r="P1624" t="s">
        <v>12</v>
      </c>
    </row>
    <row r="1625">
      <c r="A1625">
        <f>HYPERLINK("http://bombeiros.sp.gov.br/hidrantes/03individual/3075.html","3075")</f>
      </c>
      <c r="B1625" t="s">
        <v>114</v>
      </c>
      <c r="C1625" t="s">
        <v>322</v>
      </c>
      <c r="D1625" t="s">
        <v>323</v>
      </c>
      <c r="E1625" t="s">
        <v>64</v>
      </c>
      <c r="F1625" t="s">
        <v>5676</v>
      </c>
      <c r="G1625" t="s">
        <v>18076</v>
      </c>
      <c r="H1625" t="s">
        <v>1112</v>
      </c>
      <c r="I1625" t="s">
        <v>1108</v>
      </c>
      <c r="J1625" t="s">
        <v>5677</v>
      </c>
      <c r="K1625" t="s">
        <v>5678</v>
      </c>
      <c r="L1625" t="s">
        <v>36</v>
      </c>
      <c r="M1625" t="s">
        <v>19177</v>
      </c>
      <c r="N1625" t="s">
        <v>300</v>
      </c>
      <c r="O1625" t="s">
        <v>16373</v>
      </c>
      <c r="P1625" t="s">
        <v>12</v>
      </c>
    </row>
    <row r="1626">
      <c r="A1626">
        <f>HYPERLINK("http://bombeiros.sp.gov.br/hidrantes/03individual/3084.html","3084")</f>
      </c>
      <c r="B1626" t="s">
        <v>114</v>
      </c>
      <c r="C1626" t="s">
        <v>322</v>
      </c>
      <c r="D1626" t="s">
        <v>323</v>
      </c>
      <c r="E1626" t="s">
        <v>64</v>
      </c>
      <c r="F1626" t="s">
        <v>5679</v>
      </c>
      <c r="G1626" t="s">
        <v>18076</v>
      </c>
      <c r="H1626" t="s">
        <v>1112</v>
      </c>
      <c r="I1626" t="s">
        <v>1108</v>
      </c>
      <c r="J1626" t="s">
        <v>5680</v>
      </c>
      <c r="K1626" t="s">
        <v>5681</v>
      </c>
      <c r="L1626" t="s">
        <v>21</v>
      </c>
      <c r="M1626" t="s">
        <v>19177</v>
      </c>
      <c r="N1626" t="s">
        <v>300</v>
      </c>
      <c r="O1626" t="s">
        <v>16373</v>
      </c>
      <c r="P1626" t="s">
        <v>12</v>
      </c>
    </row>
    <row r="1627">
      <c r="A1627">
        <f>HYPERLINK("http://bombeiros.sp.gov.br/hidrantes/03individual/3150.html","3150")</f>
      </c>
      <c r="B1627" t="s">
        <v>114</v>
      </c>
      <c r="C1627" t="s">
        <v>322</v>
      </c>
      <c r="D1627" t="s">
        <v>323</v>
      </c>
      <c r="E1627" t="s">
        <v>64</v>
      </c>
      <c r="F1627" t="s">
        <v>5682</v>
      </c>
      <c r="G1627" t="s">
        <v>18050</v>
      </c>
      <c r="H1627" t="s">
        <v>1112</v>
      </c>
      <c r="I1627" t="s">
        <v>1108</v>
      </c>
      <c r="J1627" t="s">
        <v>5683</v>
      </c>
      <c r="K1627" t="s">
        <v>5684</v>
      </c>
      <c r="L1627" t="s">
        <v>36</v>
      </c>
      <c r="M1627" t="s">
        <v>19177</v>
      </c>
      <c r="N1627" t="s">
        <v>300</v>
      </c>
      <c r="O1627" t="s">
        <v>16373</v>
      </c>
      <c r="P1627" t="s">
        <v>12</v>
      </c>
    </row>
    <row r="1628">
      <c r="A1628">
        <f>HYPERLINK("http://bombeiros.sp.gov.br/hidrantes/03individual/3658.html","3658")</f>
      </c>
      <c r="B1628" t="s">
        <v>114</v>
      </c>
      <c r="C1628" t="s">
        <v>322</v>
      </c>
      <c r="D1628" t="s">
        <v>323</v>
      </c>
      <c r="E1628" t="s">
        <v>64</v>
      </c>
      <c r="F1628" t="s">
        <v>5685</v>
      </c>
      <c r="G1628" t="s">
        <v>18089</v>
      </c>
      <c r="H1628" t="s">
        <v>1112</v>
      </c>
      <c r="I1628" t="s">
        <v>1108</v>
      </c>
      <c r="J1628" t="s">
        <v>5686</v>
      </c>
      <c r="K1628" t="s">
        <v>5687</v>
      </c>
      <c r="L1628" t="s">
        <v>21</v>
      </c>
      <c r="M1628" t="s">
        <v>19177</v>
      </c>
      <c r="N1628" t="s">
        <v>300</v>
      </c>
      <c r="O1628" t="s">
        <v>16373</v>
      </c>
      <c r="P1628" t="s">
        <v>12</v>
      </c>
    </row>
    <row r="1629">
      <c r="A1629">
        <f>HYPERLINK("http://bombeiros.sp.gov.br/hidrantes/03individual/10022.html","10022")</f>
      </c>
      <c r="B1629" t="s">
        <v>114</v>
      </c>
      <c r="C1629" t="s">
        <v>322</v>
      </c>
      <c r="D1629" t="s">
        <v>323</v>
      </c>
      <c r="E1629" t="s">
        <v>64</v>
      </c>
      <c r="F1629" t="s">
        <v>5688</v>
      </c>
      <c r="G1629" t="s">
        <v>18180</v>
      </c>
      <c r="H1629" t="s">
        <v>1112</v>
      </c>
      <c r="I1629" t="s">
        <v>1108</v>
      </c>
      <c r="J1629" t="s">
        <v>5689</v>
      </c>
      <c r="K1629" t="s">
        <v>5690</v>
      </c>
      <c r="L1629" t="s">
        <v>21</v>
      </c>
      <c r="M1629" t="s">
        <v>19177</v>
      </c>
      <c r="N1629" t="s">
        <v>300</v>
      </c>
      <c r="O1629" t="s">
        <v>16373</v>
      </c>
      <c r="P1629" t="s">
        <v>12</v>
      </c>
    </row>
    <row r="1630">
      <c r="A1630">
        <f>HYPERLINK("http://bombeiros.sp.gov.br/hidrantes/03individual/10023.html","10023")</f>
      </c>
      <c r="B1630" t="s">
        <v>114</v>
      </c>
      <c r="C1630" t="s">
        <v>322</v>
      </c>
      <c r="D1630" t="s">
        <v>323</v>
      </c>
      <c r="E1630" t="s">
        <v>64</v>
      </c>
      <c r="F1630" t="s">
        <v>5691</v>
      </c>
      <c r="G1630" t="s">
        <v>18119</v>
      </c>
      <c r="H1630" t="s">
        <v>1112</v>
      </c>
      <c r="I1630" t="s">
        <v>1108</v>
      </c>
      <c r="J1630" t="s">
        <v>5692</v>
      </c>
      <c r="K1630" t="s">
        <v>5693</v>
      </c>
      <c r="L1630" t="s">
        <v>21</v>
      </c>
      <c r="M1630" t="s">
        <v>19177</v>
      </c>
      <c r="N1630" t="s">
        <v>300</v>
      </c>
      <c r="O1630" t="s">
        <v>16373</v>
      </c>
      <c r="P1630" t="s">
        <v>12</v>
      </c>
    </row>
    <row r="1631">
      <c r="A1631">
        <f>HYPERLINK("http://bombeiros.sp.gov.br/hidrantes/03individual/1328.html","1328")</f>
      </c>
      <c r="B1631" t="s">
        <v>114</v>
      </c>
      <c r="C1631" t="s">
        <v>322</v>
      </c>
      <c r="D1631" t="s">
        <v>323</v>
      </c>
      <c r="E1631" t="s">
        <v>15</v>
      </c>
      <c r="F1631" t="s">
        <v>324</v>
      </c>
      <c r="G1631" t="s">
        <v>18050</v>
      </c>
      <c r="H1631" t="s">
        <v>1121</v>
      </c>
      <c r="I1631" t="s">
        <v>1117</v>
      </c>
      <c r="J1631" t="s">
        <v>325</v>
      </c>
      <c r="K1631" t="s">
        <v>326</v>
      </c>
      <c r="L1631" t="s">
        <v>21</v>
      </c>
      <c r="M1631" t="s">
        <v>19177</v>
      </c>
      <c r="N1631" t="s">
        <v>300</v>
      </c>
      <c r="O1631" t="s">
        <v>16373</v>
      </c>
      <c r="P1631" t="s">
        <v>12</v>
      </c>
    </row>
    <row r="1632">
      <c r="A1632">
        <f>HYPERLINK("http://bombeiros.sp.gov.br/hidrantes/03individual/1361.html","1361")</f>
      </c>
      <c r="B1632" t="s">
        <v>114</v>
      </c>
      <c r="C1632" t="s">
        <v>322</v>
      </c>
      <c r="D1632" t="s">
        <v>323</v>
      </c>
      <c r="E1632" t="s">
        <v>15</v>
      </c>
      <c r="F1632" t="s">
        <v>5694</v>
      </c>
      <c r="G1632" t="s">
        <v>18430</v>
      </c>
      <c r="H1632" t="s">
        <v>1174</v>
      </c>
      <c r="I1632" t="s">
        <v>1117</v>
      </c>
      <c r="J1632" t="s">
        <v>15986</v>
      </c>
      <c r="K1632" t="s">
        <v>15987</v>
      </c>
      <c r="L1632" t="s">
        <v>21</v>
      </c>
      <c r="M1632" t="s">
        <v>19177</v>
      </c>
      <c r="N1632" t="s">
        <v>300</v>
      </c>
      <c r="O1632" t="s">
        <v>16373</v>
      </c>
      <c r="P1632" t="s">
        <v>12</v>
      </c>
    </row>
    <row r="1633">
      <c r="A1633">
        <f>HYPERLINK("http://bombeiros.sp.gov.br/hidrantes/03individual/1396.html","1396")</f>
      </c>
      <c r="B1633" t="s">
        <v>114</v>
      </c>
      <c r="C1633" t="s">
        <v>322</v>
      </c>
      <c r="D1633" t="s">
        <v>323</v>
      </c>
      <c r="E1633" t="s">
        <v>15</v>
      </c>
      <c r="F1633" t="s">
        <v>5697</v>
      </c>
      <c r="G1633" t="s">
        <v>18076</v>
      </c>
      <c r="H1633" t="s">
        <v>1112</v>
      </c>
      <c r="I1633" t="s">
        <v>1108</v>
      </c>
      <c r="J1633" t="s">
        <v>5698</v>
      </c>
      <c r="K1633" t="s">
        <v>5699</v>
      </c>
      <c r="L1633" t="s">
        <v>21</v>
      </c>
      <c r="M1633" t="s">
        <v>19177</v>
      </c>
      <c r="N1633" t="s">
        <v>300</v>
      </c>
      <c r="O1633" t="s">
        <v>16373</v>
      </c>
      <c r="P1633" t="s">
        <v>12</v>
      </c>
    </row>
    <row r="1634">
      <c r="A1634">
        <f>HYPERLINK("http://bombeiros.sp.gov.br/hidrantes/03individual/1488.html","1488")</f>
      </c>
      <c r="B1634" t="s">
        <v>114</v>
      </c>
      <c r="C1634" t="s">
        <v>322</v>
      </c>
      <c r="D1634" t="s">
        <v>323</v>
      </c>
      <c r="E1634" t="s">
        <v>15</v>
      </c>
      <c r="F1634" t="s">
        <v>5700</v>
      </c>
      <c r="G1634" t="s">
        <v>18051</v>
      </c>
      <c r="H1634" t="s">
        <v>1107</v>
      </c>
      <c r="I1634" t="s">
        <v>1108</v>
      </c>
      <c r="J1634" t="s">
        <v>5701</v>
      </c>
      <c r="K1634" t="s">
        <v>5702</v>
      </c>
      <c r="L1634" t="s">
        <v>21</v>
      </c>
      <c r="M1634" t="s">
        <v>19177</v>
      </c>
      <c r="N1634" t="s">
        <v>300</v>
      </c>
      <c r="O1634" t="s">
        <v>16373</v>
      </c>
      <c r="P1634" t="s">
        <v>12</v>
      </c>
    </row>
    <row r="1635">
      <c r="A1635">
        <f>HYPERLINK("http://bombeiros.sp.gov.br/hidrantes/03individual/1490.html","1490")</f>
      </c>
      <c r="B1635" t="s">
        <v>114</v>
      </c>
      <c r="C1635" t="s">
        <v>322</v>
      </c>
      <c r="D1635" t="s">
        <v>323</v>
      </c>
      <c r="E1635" t="s">
        <v>15</v>
      </c>
      <c r="F1635" t="s">
        <v>5703</v>
      </c>
      <c r="G1635" t="s">
        <v>18089</v>
      </c>
      <c r="H1635" t="s">
        <v>1112</v>
      </c>
      <c r="I1635" t="s">
        <v>1108</v>
      </c>
      <c r="J1635" t="s">
        <v>5704</v>
      </c>
      <c r="K1635" t="s">
        <v>5705</v>
      </c>
      <c r="L1635" t="s">
        <v>21</v>
      </c>
      <c r="M1635" t="s">
        <v>19177</v>
      </c>
      <c r="N1635" t="s">
        <v>337</v>
      </c>
      <c r="O1635" t="s">
        <v>337</v>
      </c>
      <c r="P1635" t="s">
        <v>12</v>
      </c>
    </row>
    <row r="1636">
      <c r="A1636">
        <f>HYPERLINK("http://bombeiros.sp.gov.br/hidrantes/03individual/1510.html","1510")</f>
      </c>
      <c r="B1636" t="s">
        <v>114</v>
      </c>
      <c r="C1636" t="s">
        <v>322</v>
      </c>
      <c r="D1636" t="s">
        <v>323</v>
      </c>
      <c r="E1636" t="s">
        <v>15</v>
      </c>
      <c r="F1636" t="s">
        <v>5706</v>
      </c>
      <c r="G1636" t="s">
        <v>18051</v>
      </c>
      <c r="H1636" t="s">
        <v>1112</v>
      </c>
      <c r="I1636" t="s">
        <v>1108</v>
      </c>
      <c r="J1636" t="s">
        <v>5707</v>
      </c>
      <c r="K1636" t="s">
        <v>5708</v>
      </c>
      <c r="L1636" t="s">
        <v>21</v>
      </c>
      <c r="M1636" t="s">
        <v>19177</v>
      </c>
      <c r="N1636" t="s">
        <v>300</v>
      </c>
      <c r="O1636" t="s">
        <v>16373</v>
      </c>
      <c r="P1636" t="s">
        <v>12</v>
      </c>
    </row>
    <row r="1637">
      <c r="A1637">
        <f>HYPERLINK("http://bombeiros.sp.gov.br/hidrantes/03individual/1512.html","1512")</f>
      </c>
      <c r="B1637" t="s">
        <v>114</v>
      </c>
      <c r="C1637" t="s">
        <v>322</v>
      </c>
      <c r="D1637" t="s">
        <v>323</v>
      </c>
      <c r="E1637" t="s">
        <v>15</v>
      </c>
      <c r="F1637" t="s">
        <v>5709</v>
      </c>
      <c r="G1637" t="s">
        <v>18430</v>
      </c>
      <c r="H1637" t="s">
        <v>1112</v>
      </c>
      <c r="I1637" t="s">
        <v>1108</v>
      </c>
      <c r="J1637" t="s">
        <v>5710</v>
      </c>
      <c r="K1637" t="s">
        <v>5711</v>
      </c>
      <c r="L1637" t="s">
        <v>21</v>
      </c>
      <c r="M1637" t="s">
        <v>19177</v>
      </c>
      <c r="N1637" t="s">
        <v>337</v>
      </c>
      <c r="O1637" t="s">
        <v>337</v>
      </c>
      <c r="P1637" t="s">
        <v>12</v>
      </c>
    </row>
    <row r="1638">
      <c r="A1638">
        <f>HYPERLINK("http://bombeiros.sp.gov.br/hidrantes/03individual/1619.html","1619")</f>
      </c>
      <c r="B1638" t="s">
        <v>114</v>
      </c>
      <c r="C1638" t="s">
        <v>322</v>
      </c>
      <c r="D1638" t="s">
        <v>323</v>
      </c>
      <c r="E1638" t="s">
        <v>15</v>
      </c>
      <c r="F1638" t="s">
        <v>5712</v>
      </c>
      <c r="G1638" t="s">
        <v>18074</v>
      </c>
      <c r="H1638" t="s">
        <v>1107</v>
      </c>
      <c r="I1638" t="s">
        <v>1108</v>
      </c>
      <c r="J1638" t="s">
        <v>5713</v>
      </c>
      <c r="K1638" t="s">
        <v>5714</v>
      </c>
      <c r="L1638" t="s">
        <v>21</v>
      </c>
      <c r="M1638" t="s">
        <v>19177</v>
      </c>
      <c r="N1638" t="s">
        <v>300</v>
      </c>
      <c r="O1638" t="s">
        <v>16373</v>
      </c>
      <c r="P1638" t="s">
        <v>12</v>
      </c>
    </row>
    <row r="1639">
      <c r="A1639">
        <f>HYPERLINK("http://bombeiros.sp.gov.br/hidrantes/03individual/1931.html","1931")</f>
      </c>
      <c r="B1639" t="s">
        <v>114</v>
      </c>
      <c r="C1639" t="s">
        <v>322</v>
      </c>
      <c r="D1639" t="s">
        <v>323</v>
      </c>
      <c r="E1639" t="s">
        <v>15</v>
      </c>
      <c r="F1639" t="s">
        <v>5715</v>
      </c>
      <c r="G1639" t="s">
        <v>18074</v>
      </c>
      <c r="H1639" t="s">
        <v>1107</v>
      </c>
      <c r="I1639" t="s">
        <v>1108</v>
      </c>
      <c r="J1639" t="s">
        <v>5716</v>
      </c>
      <c r="K1639" t="s">
        <v>5717</v>
      </c>
      <c r="L1639" t="s">
        <v>21</v>
      </c>
      <c r="M1639" t="s">
        <v>19177</v>
      </c>
      <c r="N1639" t="s">
        <v>300</v>
      </c>
      <c r="O1639" t="s">
        <v>16373</v>
      </c>
      <c r="P1639" t="s">
        <v>12</v>
      </c>
    </row>
    <row r="1640">
      <c r="A1640">
        <f>HYPERLINK("http://bombeiros.sp.gov.br/hidrantes/03individual/3074.html","3074")</f>
      </c>
      <c r="B1640" t="s">
        <v>114</v>
      </c>
      <c r="C1640" t="s">
        <v>322</v>
      </c>
      <c r="D1640" t="s">
        <v>323</v>
      </c>
      <c r="E1640" t="s">
        <v>15</v>
      </c>
      <c r="F1640" t="s">
        <v>5718</v>
      </c>
      <c r="G1640" t="s">
        <v>18076</v>
      </c>
      <c r="H1640" t="s">
        <v>1112</v>
      </c>
      <c r="I1640" t="s">
        <v>1108</v>
      </c>
      <c r="J1640" t="s">
        <v>5719</v>
      </c>
      <c r="K1640" t="s">
        <v>5720</v>
      </c>
      <c r="L1640" t="s">
        <v>21</v>
      </c>
      <c r="M1640" t="s">
        <v>19177</v>
      </c>
      <c r="N1640" t="s">
        <v>300</v>
      </c>
      <c r="O1640" t="s">
        <v>16373</v>
      </c>
      <c r="P1640" t="s">
        <v>12</v>
      </c>
    </row>
    <row r="1641">
      <c r="A1641">
        <f>HYPERLINK("http://bombeiros.sp.gov.br/hidrantes/03individual/3085.html","3085")</f>
      </c>
      <c r="B1641" t="s">
        <v>114</v>
      </c>
      <c r="C1641" t="s">
        <v>322</v>
      </c>
      <c r="D1641" t="s">
        <v>323</v>
      </c>
      <c r="E1641" t="s">
        <v>15</v>
      </c>
      <c r="F1641" t="s">
        <v>5721</v>
      </c>
      <c r="G1641" t="s">
        <v>18076</v>
      </c>
      <c r="H1641" t="s">
        <v>1107</v>
      </c>
      <c r="I1641" t="s">
        <v>1108</v>
      </c>
      <c r="J1641" t="s">
        <v>5722</v>
      </c>
      <c r="K1641" t="s">
        <v>5723</v>
      </c>
      <c r="L1641" t="s">
        <v>21</v>
      </c>
      <c r="M1641" t="s">
        <v>19177</v>
      </c>
      <c r="N1641" t="s">
        <v>300</v>
      </c>
      <c r="O1641" t="s">
        <v>16373</v>
      </c>
      <c r="P1641" t="s">
        <v>12</v>
      </c>
    </row>
    <row r="1642">
      <c r="A1642">
        <f>HYPERLINK("http://bombeiros.sp.gov.br/hidrantes/03individual/3151.html","3151")</f>
      </c>
      <c r="B1642" t="s">
        <v>114</v>
      </c>
      <c r="C1642" t="s">
        <v>322</v>
      </c>
      <c r="D1642" t="s">
        <v>323</v>
      </c>
      <c r="E1642" t="s">
        <v>15</v>
      </c>
      <c r="F1642" t="s">
        <v>5724</v>
      </c>
      <c r="G1642" t="s">
        <v>18050</v>
      </c>
      <c r="H1642" t="s">
        <v>1107</v>
      </c>
      <c r="I1642" t="s">
        <v>1108</v>
      </c>
      <c r="J1642" t="s">
        <v>5725</v>
      </c>
      <c r="K1642" t="s">
        <v>5726</v>
      </c>
      <c r="L1642" t="s">
        <v>21</v>
      </c>
      <c r="M1642" t="s">
        <v>19177</v>
      </c>
      <c r="N1642" t="s">
        <v>300</v>
      </c>
      <c r="O1642" t="s">
        <v>16373</v>
      </c>
      <c r="P1642" t="s">
        <v>12</v>
      </c>
    </row>
    <row r="1643">
      <c r="A1643">
        <f>HYPERLINK("http://bombeiros.sp.gov.br/hidrantes/03individual/3152.html","3152")</f>
      </c>
      <c r="B1643" t="s">
        <v>114</v>
      </c>
      <c r="C1643" t="s">
        <v>322</v>
      </c>
      <c r="D1643" t="s">
        <v>323</v>
      </c>
      <c r="E1643" t="s">
        <v>15</v>
      </c>
      <c r="F1643" t="s">
        <v>5727</v>
      </c>
      <c r="G1643" t="s">
        <v>18050</v>
      </c>
      <c r="H1643" t="s">
        <v>1107</v>
      </c>
      <c r="I1643" t="s">
        <v>1108</v>
      </c>
      <c r="J1643" t="s">
        <v>5728</v>
      </c>
      <c r="K1643" t="s">
        <v>5729</v>
      </c>
      <c r="L1643" t="s">
        <v>21</v>
      </c>
      <c r="M1643" t="s">
        <v>19177</v>
      </c>
      <c r="N1643" t="s">
        <v>300</v>
      </c>
      <c r="O1643" t="s">
        <v>16373</v>
      </c>
      <c r="P1643" t="s">
        <v>12</v>
      </c>
    </row>
    <row r="1644">
      <c r="A1644">
        <f>HYPERLINK("http://bombeiros.sp.gov.br/hidrantes/03individual/3649.html","3649")</f>
      </c>
      <c r="B1644" t="s">
        <v>114</v>
      </c>
      <c r="C1644" t="s">
        <v>322</v>
      </c>
      <c r="D1644" t="s">
        <v>323</v>
      </c>
      <c r="E1644" t="s">
        <v>15</v>
      </c>
      <c r="F1644" t="s">
        <v>5730</v>
      </c>
      <c r="G1644" t="s">
        <v>18076</v>
      </c>
      <c r="H1644" t="s">
        <v>1112</v>
      </c>
      <c r="I1644" t="s">
        <v>1108</v>
      </c>
      <c r="J1644" t="s">
        <v>5731</v>
      </c>
      <c r="K1644" t="s">
        <v>5732</v>
      </c>
      <c r="L1644" t="s">
        <v>21</v>
      </c>
      <c r="M1644" t="s">
        <v>19177</v>
      </c>
      <c r="N1644" t="s">
        <v>300</v>
      </c>
      <c r="O1644" t="s">
        <v>16373</v>
      </c>
      <c r="P1644" t="s">
        <v>12</v>
      </c>
    </row>
    <row r="1645">
      <c r="A1645">
        <f>HYPERLINK("http://bombeiros.sp.gov.br/hidrantes/03individual/3651.html","3651")</f>
      </c>
      <c r="B1645" t="s">
        <v>114</v>
      </c>
      <c r="C1645" t="s">
        <v>322</v>
      </c>
      <c r="D1645" t="s">
        <v>323</v>
      </c>
      <c r="E1645" t="s">
        <v>15</v>
      </c>
      <c r="F1645" t="s">
        <v>5733</v>
      </c>
      <c r="G1645" t="s">
        <v>18076</v>
      </c>
      <c r="H1645" t="s">
        <v>1112</v>
      </c>
      <c r="I1645" t="s">
        <v>1108</v>
      </c>
      <c r="J1645" t="s">
        <v>5734</v>
      </c>
      <c r="K1645" t="s">
        <v>5735</v>
      </c>
      <c r="L1645" t="s">
        <v>21</v>
      </c>
      <c r="M1645" t="s">
        <v>19177</v>
      </c>
      <c r="N1645" t="s">
        <v>300</v>
      </c>
      <c r="O1645" t="s">
        <v>16373</v>
      </c>
      <c r="P1645" t="s">
        <v>12</v>
      </c>
    </row>
    <row r="1646">
      <c r="A1646">
        <f>HYPERLINK("http://bombeiros.sp.gov.br/hidrantes/03individual/3654.html","3654")</f>
      </c>
      <c r="B1646" t="s">
        <v>114</v>
      </c>
      <c r="C1646" t="s">
        <v>322</v>
      </c>
      <c r="D1646" t="s">
        <v>323</v>
      </c>
      <c r="E1646" t="s">
        <v>15</v>
      </c>
      <c r="F1646" t="s">
        <v>5736</v>
      </c>
      <c r="G1646" t="s">
        <v>18051</v>
      </c>
      <c r="H1646" t="s">
        <v>1107</v>
      </c>
      <c r="I1646" t="s">
        <v>1108</v>
      </c>
      <c r="J1646" t="s">
        <v>5737</v>
      </c>
      <c r="K1646" t="s">
        <v>5738</v>
      </c>
      <c r="L1646" t="s">
        <v>21</v>
      </c>
      <c r="M1646" t="s">
        <v>19177</v>
      </c>
      <c r="N1646" t="s">
        <v>300</v>
      </c>
      <c r="O1646" t="s">
        <v>16373</v>
      </c>
      <c r="P1646" t="s">
        <v>12</v>
      </c>
    </row>
    <row r="1647">
      <c r="A1647">
        <f>HYPERLINK("http://bombeiros.sp.gov.br/hidrantes/03individual/3660.html","3660")</f>
      </c>
      <c r="B1647" t="s">
        <v>114</v>
      </c>
      <c r="C1647" t="s">
        <v>322</v>
      </c>
      <c r="D1647" t="s">
        <v>323</v>
      </c>
      <c r="E1647" t="s">
        <v>15</v>
      </c>
      <c r="F1647" t="s">
        <v>330</v>
      </c>
      <c r="G1647" t="s">
        <v>18089</v>
      </c>
      <c r="H1647"/>
      <c r="I1647" t="s">
        <v>18</v>
      </c>
      <c r="J1647" t="s">
        <v>331</v>
      </c>
      <c r="K1647" t="s">
        <v>332</v>
      </c>
      <c r="L1647" t="s">
        <v>36</v>
      </c>
      <c r="M1647" t="s">
        <v>19177</v>
      </c>
      <c r="N1647" t="s">
        <v>300</v>
      </c>
      <c r="O1647" t="s">
        <v>16373</v>
      </c>
      <c r="P1647" t="s">
        <v>12</v>
      </c>
    </row>
    <row r="1648">
      <c r="A1648">
        <f>HYPERLINK("http://bombeiros.sp.gov.br/hidrantes/03individual/3668.html","3668")</f>
      </c>
      <c r="B1648" t="s">
        <v>114</v>
      </c>
      <c r="C1648" t="s">
        <v>322</v>
      </c>
      <c r="D1648" t="s">
        <v>323</v>
      </c>
      <c r="E1648" t="s">
        <v>15</v>
      </c>
      <c r="F1648" t="s">
        <v>5739</v>
      </c>
      <c r="G1648" t="s">
        <v>18051</v>
      </c>
      <c r="H1648" t="s">
        <v>1107</v>
      </c>
      <c r="I1648" t="s">
        <v>1108</v>
      </c>
      <c r="J1648" t="s">
        <v>5740</v>
      </c>
      <c r="K1648" t="s">
        <v>5741</v>
      </c>
      <c r="L1648" t="s">
        <v>21</v>
      </c>
      <c r="M1648" t="s">
        <v>19177</v>
      </c>
      <c r="N1648" t="s">
        <v>337</v>
      </c>
      <c r="O1648" t="s">
        <v>337</v>
      </c>
      <c r="P1648" t="s">
        <v>12</v>
      </c>
    </row>
    <row r="1649">
      <c r="A1649">
        <f>HYPERLINK("http://bombeiros.sp.gov.br/hidrantes/03individual/3677.html","3677")</f>
      </c>
      <c r="B1649" t="s">
        <v>114</v>
      </c>
      <c r="C1649" t="s">
        <v>322</v>
      </c>
      <c r="D1649" t="s">
        <v>323</v>
      </c>
      <c r="E1649" t="s">
        <v>15</v>
      </c>
      <c r="F1649" t="s">
        <v>5742</v>
      </c>
      <c r="G1649" t="s">
        <v>18066</v>
      </c>
      <c r="H1649" t="s">
        <v>1112</v>
      </c>
      <c r="I1649" t="s">
        <v>1108</v>
      </c>
      <c r="J1649" t="s">
        <v>5743</v>
      </c>
      <c r="K1649" t="s">
        <v>5744</v>
      </c>
      <c r="L1649" t="s">
        <v>21</v>
      </c>
      <c r="M1649" t="s">
        <v>19177</v>
      </c>
      <c r="N1649" t="s">
        <v>300</v>
      </c>
      <c r="O1649" t="s">
        <v>16373</v>
      </c>
      <c r="P1649" t="s">
        <v>12</v>
      </c>
    </row>
    <row r="1650">
      <c r="A1650">
        <f>HYPERLINK("http://bombeiros.sp.gov.br/hidrantes/03individual/3683.html","3683")</f>
      </c>
      <c r="B1650" t="s">
        <v>114</v>
      </c>
      <c r="C1650" t="s">
        <v>322</v>
      </c>
      <c r="D1650" t="s">
        <v>323</v>
      </c>
      <c r="E1650" t="s">
        <v>15</v>
      </c>
      <c r="F1650" t="s">
        <v>5745</v>
      </c>
      <c r="G1650" t="s">
        <v>18083</v>
      </c>
      <c r="H1650" t="s">
        <v>1112</v>
      </c>
      <c r="I1650" t="s">
        <v>1108</v>
      </c>
      <c r="J1650" t="s">
        <v>5746</v>
      </c>
      <c r="K1650" t="s">
        <v>5747</v>
      </c>
      <c r="L1650" t="s">
        <v>21</v>
      </c>
      <c r="M1650" t="s">
        <v>19177</v>
      </c>
      <c r="N1650" t="s">
        <v>337</v>
      </c>
      <c r="O1650" t="s">
        <v>337</v>
      </c>
      <c r="P1650" t="s">
        <v>12</v>
      </c>
    </row>
    <row r="1651">
      <c r="A1651">
        <f>HYPERLINK("http://bombeiros.sp.gov.br/hidrantes/03individual/4186.html","4186")</f>
      </c>
      <c r="B1651" t="s">
        <v>114</v>
      </c>
      <c r="C1651" t="s">
        <v>322</v>
      </c>
      <c r="D1651" t="s">
        <v>323</v>
      </c>
      <c r="E1651" t="s">
        <v>15</v>
      </c>
      <c r="F1651" t="s">
        <v>5748</v>
      </c>
      <c r="G1651" t="s">
        <v>18076</v>
      </c>
      <c r="H1651" t="s">
        <v>1112</v>
      </c>
      <c r="I1651" t="s">
        <v>1108</v>
      </c>
      <c r="J1651" t="s">
        <v>5749</v>
      </c>
      <c r="K1651" t="s">
        <v>5750</v>
      </c>
      <c r="L1651" t="s">
        <v>21</v>
      </c>
      <c r="M1651" t="s">
        <v>19177</v>
      </c>
      <c r="N1651" t="s">
        <v>300</v>
      </c>
      <c r="O1651" t="s">
        <v>16373</v>
      </c>
      <c r="P1651" t="s">
        <v>12</v>
      </c>
    </row>
    <row r="1652">
      <c r="A1652">
        <f>HYPERLINK("http://bombeiros.sp.gov.br/hidrantes/03individual/4188.html","4188")</f>
      </c>
      <c r="B1652" t="s">
        <v>114</v>
      </c>
      <c r="C1652" t="s">
        <v>322</v>
      </c>
      <c r="D1652" t="s">
        <v>323</v>
      </c>
      <c r="E1652" t="s">
        <v>15</v>
      </c>
      <c r="F1652" t="s">
        <v>5751</v>
      </c>
      <c r="G1652" t="s">
        <v>18051</v>
      </c>
      <c r="H1652" t="s">
        <v>1107</v>
      </c>
      <c r="I1652" t="s">
        <v>1108</v>
      </c>
      <c r="J1652" t="s">
        <v>5752</v>
      </c>
      <c r="K1652" t="s">
        <v>5753</v>
      </c>
      <c r="L1652" t="s">
        <v>21</v>
      </c>
      <c r="M1652" t="s">
        <v>19177</v>
      </c>
      <c r="N1652" t="s">
        <v>300</v>
      </c>
      <c r="O1652" t="s">
        <v>16373</v>
      </c>
      <c r="P1652" t="s">
        <v>12</v>
      </c>
    </row>
    <row r="1653">
      <c r="A1653">
        <f>HYPERLINK("http://bombeiros.sp.gov.br/hidrantes/03individual/4345.html","4345")</f>
      </c>
      <c r="B1653" t="s">
        <v>114</v>
      </c>
      <c r="C1653" t="s">
        <v>322</v>
      </c>
      <c r="D1653" t="s">
        <v>323</v>
      </c>
      <c r="E1653" t="s">
        <v>15</v>
      </c>
      <c r="F1653" t="s">
        <v>5754</v>
      </c>
      <c r="G1653" t="s">
        <v>18051</v>
      </c>
      <c r="H1653" t="s">
        <v>1112</v>
      </c>
      <c r="I1653" t="s">
        <v>1108</v>
      </c>
      <c r="J1653" t="s">
        <v>5755</v>
      </c>
      <c r="K1653" t="s">
        <v>5756</v>
      </c>
      <c r="L1653" t="s">
        <v>21</v>
      </c>
      <c r="M1653" t="s">
        <v>19177</v>
      </c>
      <c r="N1653" t="s">
        <v>300</v>
      </c>
      <c r="O1653" t="s">
        <v>16373</v>
      </c>
      <c r="P1653" t="s">
        <v>12</v>
      </c>
    </row>
    <row r="1654">
      <c r="A1654">
        <f>HYPERLINK("http://bombeiros.sp.gov.br/hidrantes/03individual/4346.html","4346")</f>
      </c>
      <c r="B1654" t="s">
        <v>114</v>
      </c>
      <c r="C1654" t="s">
        <v>322</v>
      </c>
      <c r="D1654" t="s">
        <v>323</v>
      </c>
      <c r="E1654" t="s">
        <v>15</v>
      </c>
      <c r="F1654" t="s">
        <v>5757</v>
      </c>
      <c r="G1654" t="s">
        <v>18051</v>
      </c>
      <c r="H1654" t="s">
        <v>1112</v>
      </c>
      <c r="I1654" t="s">
        <v>1108</v>
      </c>
      <c r="J1654" t="s">
        <v>5758</v>
      </c>
      <c r="K1654" t="s">
        <v>5759</v>
      </c>
      <c r="L1654" t="s">
        <v>21</v>
      </c>
      <c r="M1654" t="s">
        <v>19177</v>
      </c>
      <c r="N1654" t="s">
        <v>300</v>
      </c>
      <c r="O1654" t="s">
        <v>16373</v>
      </c>
      <c r="P1654" t="s">
        <v>12</v>
      </c>
    </row>
    <row r="1655">
      <c r="A1655">
        <f>HYPERLINK("http://bombeiros.sp.gov.br/hidrantes/03individual/5625.html","5625")</f>
      </c>
      <c r="B1655" t="s">
        <v>114</v>
      </c>
      <c r="C1655" t="s">
        <v>322</v>
      </c>
      <c r="D1655" t="s">
        <v>323</v>
      </c>
      <c r="E1655" t="s">
        <v>15</v>
      </c>
      <c r="F1655" t="s">
        <v>5760</v>
      </c>
      <c r="G1655" t="s">
        <v>18066</v>
      </c>
      <c r="H1655" t="s">
        <v>1112</v>
      </c>
      <c r="I1655" t="s">
        <v>1108</v>
      </c>
      <c r="J1655" t="s">
        <v>5761</v>
      </c>
      <c r="K1655" t="s">
        <v>5762</v>
      </c>
      <c r="L1655" t="s">
        <v>21</v>
      </c>
      <c r="M1655" t="s">
        <v>19177</v>
      </c>
      <c r="N1655" t="s">
        <v>337</v>
      </c>
      <c r="O1655" t="s">
        <v>337</v>
      </c>
      <c r="P1655" t="s">
        <v>12</v>
      </c>
    </row>
    <row r="1656">
      <c r="A1656">
        <f>HYPERLINK("http://bombeiros.sp.gov.br/hidrantes/03individual/5626.html","5626")</f>
      </c>
      <c r="B1656" t="s">
        <v>114</v>
      </c>
      <c r="C1656" t="s">
        <v>322</v>
      </c>
      <c r="D1656" t="s">
        <v>323</v>
      </c>
      <c r="E1656" t="s">
        <v>15</v>
      </c>
      <c r="F1656" t="s">
        <v>5763</v>
      </c>
      <c r="G1656" t="s">
        <v>18097</v>
      </c>
      <c r="H1656" t="s">
        <v>1174</v>
      </c>
      <c r="I1656" t="s">
        <v>1108</v>
      </c>
      <c r="J1656" t="s">
        <v>5764</v>
      </c>
      <c r="K1656" t="s">
        <v>5765</v>
      </c>
      <c r="L1656" t="s">
        <v>21</v>
      </c>
      <c r="M1656" t="s">
        <v>19177</v>
      </c>
      <c r="N1656" t="s">
        <v>337</v>
      </c>
      <c r="O1656" t="s">
        <v>337</v>
      </c>
      <c r="P1656" t="s">
        <v>12</v>
      </c>
    </row>
    <row r="1657">
      <c r="A1657">
        <f>HYPERLINK("http://bombeiros.sp.gov.br/hidrantes/03individual/10020.html","10020")</f>
      </c>
      <c r="B1657" t="s">
        <v>114</v>
      </c>
      <c r="C1657" t="s">
        <v>322</v>
      </c>
      <c r="D1657" t="s">
        <v>323</v>
      </c>
      <c r="E1657" t="s">
        <v>15</v>
      </c>
      <c r="F1657" t="s">
        <v>5766</v>
      </c>
      <c r="G1657" t="s">
        <v>18180</v>
      </c>
      <c r="H1657" t="s">
        <v>1112</v>
      </c>
      <c r="I1657" t="s">
        <v>1108</v>
      </c>
      <c r="J1657" t="s">
        <v>5767</v>
      </c>
      <c r="K1657" t="s">
        <v>5768</v>
      </c>
      <c r="L1657" t="s">
        <v>21</v>
      </c>
      <c r="M1657" t="s">
        <v>19177</v>
      </c>
      <c r="N1657" t="s">
        <v>300</v>
      </c>
      <c r="O1657" t="s">
        <v>16373</v>
      </c>
      <c r="P1657" t="s">
        <v>12</v>
      </c>
    </row>
    <row r="1658">
      <c r="A1658">
        <f>HYPERLINK("http://bombeiros.sp.gov.br/hidrantes/03individual/10021.html","10021")</f>
      </c>
      <c r="B1658" t="s">
        <v>114</v>
      </c>
      <c r="C1658" t="s">
        <v>322</v>
      </c>
      <c r="D1658" t="s">
        <v>323</v>
      </c>
      <c r="E1658" t="s">
        <v>15</v>
      </c>
      <c r="F1658" t="s">
        <v>5769</v>
      </c>
      <c r="G1658" t="s">
        <v>18180</v>
      </c>
      <c r="H1658" t="s">
        <v>1112</v>
      </c>
      <c r="I1658" t="s">
        <v>1108</v>
      </c>
      <c r="J1658" t="s">
        <v>5770</v>
      </c>
      <c r="K1658" t="s">
        <v>5771</v>
      </c>
      <c r="L1658" t="s">
        <v>21</v>
      </c>
      <c r="M1658" t="s">
        <v>19177</v>
      </c>
      <c r="N1658" t="s">
        <v>300</v>
      </c>
      <c r="O1658" t="s">
        <v>16373</v>
      </c>
      <c r="P1658" t="s">
        <v>12</v>
      </c>
    </row>
    <row r="1659">
      <c r="A1659">
        <f>HYPERLINK("http://bombeiros.sp.gov.br/hidrantes/03individual/15214.html","15214")</f>
      </c>
      <c r="B1659" t="s">
        <v>114</v>
      </c>
      <c r="C1659" t="s">
        <v>322</v>
      </c>
      <c r="D1659" t="s">
        <v>323</v>
      </c>
      <c r="E1659" t="s">
        <v>15</v>
      </c>
      <c r="F1659" t="s">
        <v>5772</v>
      </c>
      <c r="G1659" t="s">
        <v>18076</v>
      </c>
      <c r="H1659" t="s">
        <v>1107</v>
      </c>
      <c r="I1659" t="s">
        <v>1108</v>
      </c>
      <c r="J1659" t="s">
        <v>5773</v>
      </c>
      <c r="K1659" t="s">
        <v>5774</v>
      </c>
      <c r="L1659" t="s">
        <v>21</v>
      </c>
      <c r="M1659" t="s">
        <v>19177</v>
      </c>
      <c r="N1659" t="s">
        <v>300</v>
      </c>
      <c r="O1659" t="s">
        <v>16373</v>
      </c>
      <c r="P1659" t="s">
        <v>12</v>
      </c>
    </row>
    <row r="1660">
      <c r="A1660">
        <f>HYPERLINK("http://bombeiros.sp.gov.br/hidrantes/03individual/26847.html","26847")</f>
      </c>
      <c r="B1660" t="s">
        <v>114</v>
      </c>
      <c r="C1660" t="s">
        <v>322</v>
      </c>
      <c r="D1660" t="s">
        <v>323</v>
      </c>
      <c r="E1660" t="s">
        <v>15</v>
      </c>
      <c r="F1660" t="s">
        <v>16180</v>
      </c>
      <c r="G1660" t="s">
        <v>18085</v>
      </c>
      <c r="H1660" t="s">
        <v>1107</v>
      </c>
      <c r="I1660" t="s">
        <v>1108</v>
      </c>
      <c r="J1660" t="s">
        <v>16181</v>
      </c>
      <c r="K1660" t="s">
        <v>16182</v>
      </c>
      <c r="L1660" t="s">
        <v>21</v>
      </c>
      <c r="M1660" t="s">
        <v>19177</v>
      </c>
      <c r="N1660" t="s">
        <v>337</v>
      </c>
      <c r="O1660" t="s">
        <v>337</v>
      </c>
      <c r="P1660" t="s">
        <v>12</v>
      </c>
    </row>
    <row r="1661">
      <c r="A1661">
        <f>HYPERLINK("http://bombeiros.sp.gov.br/hidrantes/03individual/3265.html","3265")</f>
      </c>
      <c r="B1661" t="s">
        <v>114</v>
      </c>
      <c r="C1661" t="s">
        <v>322</v>
      </c>
      <c r="D1661" t="s">
        <v>5775</v>
      </c>
      <c r="E1661" t="s">
        <v>64</v>
      </c>
      <c r="F1661" t="s">
        <v>5776</v>
      </c>
      <c r="G1661" t="s">
        <v>18097</v>
      </c>
      <c r="H1661" t="s">
        <v>1112</v>
      </c>
      <c r="I1661" t="s">
        <v>1108</v>
      </c>
      <c r="J1661" t="s">
        <v>5777</v>
      </c>
      <c r="K1661" t="s">
        <v>5778</v>
      </c>
      <c r="L1661" t="s">
        <v>36</v>
      </c>
      <c r="M1661" t="s">
        <v>19177</v>
      </c>
      <c r="N1661" t="s">
        <v>300</v>
      </c>
      <c r="O1661" t="s">
        <v>16373</v>
      </c>
      <c r="P1661" t="s">
        <v>12</v>
      </c>
    </row>
    <row r="1662">
      <c r="A1662">
        <f>HYPERLINK("http://bombeiros.sp.gov.br/hidrantes/03individual/26692.html","26692")</f>
      </c>
      <c r="B1662" t="s">
        <v>114</v>
      </c>
      <c r="C1662" t="s">
        <v>322</v>
      </c>
      <c r="D1662" t="s">
        <v>5775</v>
      </c>
      <c r="E1662" t="s">
        <v>64</v>
      </c>
      <c r="F1662" t="s">
        <v>5779</v>
      </c>
      <c r="G1662" t="s">
        <v>18097</v>
      </c>
      <c r="H1662" t="s">
        <v>1112</v>
      </c>
      <c r="I1662" t="s">
        <v>1108</v>
      </c>
      <c r="J1662" t="s">
        <v>5780</v>
      </c>
      <c r="K1662" t="s">
        <v>5781</v>
      </c>
      <c r="L1662" t="s">
        <v>21</v>
      </c>
      <c r="M1662" t="s">
        <v>19177</v>
      </c>
      <c r="N1662" t="s">
        <v>300</v>
      </c>
      <c r="O1662" t="s">
        <v>16373</v>
      </c>
      <c r="P1662" t="s">
        <v>12</v>
      </c>
    </row>
    <row r="1663">
      <c r="A1663">
        <f>HYPERLINK("http://bombeiros.sp.gov.br/hidrantes/03individual/1340.html","1340")</f>
      </c>
      <c r="B1663" t="s">
        <v>114</v>
      </c>
      <c r="C1663" t="s">
        <v>322</v>
      </c>
      <c r="D1663" t="s">
        <v>5775</v>
      </c>
      <c r="E1663" t="s">
        <v>15</v>
      </c>
      <c r="F1663" t="s">
        <v>5782</v>
      </c>
      <c r="G1663" t="s">
        <v>18051</v>
      </c>
      <c r="H1663" t="s">
        <v>1107</v>
      </c>
      <c r="I1663" t="s">
        <v>1108</v>
      </c>
      <c r="J1663" t="s">
        <v>5783</v>
      </c>
      <c r="K1663" t="s">
        <v>5784</v>
      </c>
      <c r="L1663" t="s">
        <v>21</v>
      </c>
      <c r="M1663" t="s">
        <v>19177</v>
      </c>
      <c r="N1663" t="s">
        <v>300</v>
      </c>
      <c r="O1663" t="s">
        <v>16373</v>
      </c>
      <c r="P1663" t="s">
        <v>12</v>
      </c>
    </row>
    <row r="1664">
      <c r="A1664">
        <f>HYPERLINK("http://bombeiros.sp.gov.br/hidrantes/03individual/1357.html","1357")</f>
      </c>
      <c r="B1664" t="s">
        <v>114</v>
      </c>
      <c r="C1664" t="s">
        <v>322</v>
      </c>
      <c r="D1664" t="s">
        <v>5775</v>
      </c>
      <c r="E1664" t="s">
        <v>15</v>
      </c>
      <c r="F1664" t="s">
        <v>5785</v>
      </c>
      <c r="G1664" t="s">
        <v>18097</v>
      </c>
      <c r="H1664" t="s">
        <v>1107</v>
      </c>
      <c r="I1664" t="s">
        <v>1108</v>
      </c>
      <c r="J1664" t="s">
        <v>5786</v>
      </c>
      <c r="K1664" t="s">
        <v>5787</v>
      </c>
      <c r="L1664" t="s">
        <v>21</v>
      </c>
      <c r="M1664" t="s">
        <v>19177</v>
      </c>
      <c r="N1664" t="s">
        <v>300</v>
      </c>
      <c r="O1664" t="s">
        <v>16373</v>
      </c>
      <c r="P1664" t="s">
        <v>12</v>
      </c>
    </row>
    <row r="1665">
      <c r="A1665">
        <f>HYPERLINK("http://bombeiros.sp.gov.br/hidrantes/03individual/1562.html","1562")</f>
      </c>
      <c r="B1665" t="s">
        <v>114</v>
      </c>
      <c r="C1665" t="s">
        <v>322</v>
      </c>
      <c r="D1665" t="s">
        <v>5775</v>
      </c>
      <c r="E1665" t="s">
        <v>15</v>
      </c>
      <c r="F1665" t="s">
        <v>5788</v>
      </c>
      <c r="G1665" t="s">
        <v>18089</v>
      </c>
      <c r="H1665" t="s">
        <v>1112</v>
      </c>
      <c r="I1665" t="s">
        <v>1108</v>
      </c>
      <c r="J1665" t="s">
        <v>5789</v>
      </c>
      <c r="K1665" t="s">
        <v>5790</v>
      </c>
      <c r="L1665" t="s">
        <v>21</v>
      </c>
      <c r="M1665" t="s">
        <v>19177</v>
      </c>
      <c r="N1665" t="s">
        <v>300</v>
      </c>
      <c r="O1665" t="s">
        <v>16373</v>
      </c>
      <c r="P1665" t="s">
        <v>12</v>
      </c>
    </row>
    <row r="1666">
      <c r="A1666">
        <f>HYPERLINK("http://bombeiros.sp.gov.br/hidrantes/03individual/1563.html","1563")</f>
      </c>
      <c r="B1666" t="s">
        <v>114</v>
      </c>
      <c r="C1666" t="s">
        <v>322</v>
      </c>
      <c r="D1666" t="s">
        <v>5775</v>
      </c>
      <c r="E1666" t="s">
        <v>15</v>
      </c>
      <c r="F1666" t="s">
        <v>5791</v>
      </c>
      <c r="G1666" t="s">
        <v>18089</v>
      </c>
      <c r="H1666" t="s">
        <v>1112</v>
      </c>
      <c r="I1666" t="s">
        <v>1108</v>
      </c>
      <c r="J1666" t="s">
        <v>5792</v>
      </c>
      <c r="K1666" t="s">
        <v>5793</v>
      </c>
      <c r="L1666" t="s">
        <v>21</v>
      </c>
      <c r="M1666" t="s">
        <v>19177</v>
      </c>
      <c r="N1666" t="s">
        <v>300</v>
      </c>
      <c r="O1666" t="s">
        <v>16373</v>
      </c>
      <c r="P1666" t="s">
        <v>12</v>
      </c>
    </row>
    <row r="1667">
      <c r="A1667">
        <f>HYPERLINK("http://bombeiros.sp.gov.br/hidrantes/03individual/1746.html","1746")</f>
      </c>
      <c r="B1667" t="s">
        <v>114</v>
      </c>
      <c r="C1667" t="s">
        <v>322</v>
      </c>
      <c r="D1667" t="s">
        <v>5775</v>
      </c>
      <c r="E1667" t="s">
        <v>15</v>
      </c>
      <c r="F1667" t="s">
        <v>5794</v>
      </c>
      <c r="G1667" t="s">
        <v>18051</v>
      </c>
      <c r="H1667" t="s">
        <v>1107</v>
      </c>
      <c r="I1667" t="s">
        <v>1108</v>
      </c>
      <c r="J1667" t="s">
        <v>5795</v>
      </c>
      <c r="K1667" t="s">
        <v>5796</v>
      </c>
      <c r="L1667" t="s">
        <v>21</v>
      </c>
      <c r="M1667" t="s">
        <v>19177</v>
      </c>
      <c r="N1667" t="s">
        <v>300</v>
      </c>
      <c r="O1667" t="s">
        <v>16373</v>
      </c>
      <c r="P1667" t="s">
        <v>12</v>
      </c>
    </row>
    <row r="1668">
      <c r="A1668">
        <f>HYPERLINK("http://bombeiros.sp.gov.br/hidrantes/03individual/1747.html","1747")</f>
      </c>
      <c r="B1668" t="s">
        <v>114</v>
      </c>
      <c r="C1668" t="s">
        <v>322</v>
      </c>
      <c r="D1668" t="s">
        <v>5775</v>
      </c>
      <c r="E1668" t="s">
        <v>15</v>
      </c>
      <c r="F1668" t="s">
        <v>5797</v>
      </c>
      <c r="G1668" t="s">
        <v>18045</v>
      </c>
      <c r="H1668" t="s">
        <v>1112</v>
      </c>
      <c r="I1668" t="s">
        <v>1108</v>
      </c>
      <c r="J1668" t="s">
        <v>5798</v>
      </c>
      <c r="K1668" t="s">
        <v>5799</v>
      </c>
      <c r="L1668" t="s">
        <v>21</v>
      </c>
      <c r="M1668" t="s">
        <v>19177</v>
      </c>
      <c r="N1668" t="s">
        <v>300</v>
      </c>
      <c r="O1668" t="s">
        <v>16373</v>
      </c>
      <c r="P1668" t="s">
        <v>12</v>
      </c>
    </row>
    <row r="1669">
      <c r="A1669">
        <f>HYPERLINK("http://bombeiros.sp.gov.br/hidrantes/03individual/1814.html","1814")</f>
      </c>
      <c r="B1669" t="s">
        <v>114</v>
      </c>
      <c r="C1669" t="s">
        <v>322</v>
      </c>
      <c r="D1669" t="s">
        <v>5775</v>
      </c>
      <c r="E1669" t="s">
        <v>15</v>
      </c>
      <c r="F1669" t="s">
        <v>5800</v>
      </c>
      <c r="G1669" t="s">
        <v>18097</v>
      </c>
      <c r="H1669" t="s">
        <v>1107</v>
      </c>
      <c r="I1669" t="s">
        <v>1108</v>
      </c>
      <c r="J1669" t="s">
        <v>5801</v>
      </c>
      <c r="K1669" t="s">
        <v>5802</v>
      </c>
      <c r="L1669" t="s">
        <v>21</v>
      </c>
      <c r="M1669" t="s">
        <v>19177</v>
      </c>
      <c r="N1669" t="s">
        <v>300</v>
      </c>
      <c r="O1669" t="s">
        <v>16373</v>
      </c>
      <c r="P1669" t="s">
        <v>12</v>
      </c>
    </row>
    <row r="1670">
      <c r="A1670">
        <f>HYPERLINK("http://bombeiros.sp.gov.br/hidrantes/03individual/1815.html","1815")</f>
      </c>
      <c r="B1670" t="s">
        <v>114</v>
      </c>
      <c r="C1670" t="s">
        <v>322</v>
      </c>
      <c r="D1670" t="s">
        <v>5775</v>
      </c>
      <c r="E1670" t="s">
        <v>15</v>
      </c>
      <c r="F1670" t="s">
        <v>5803</v>
      </c>
      <c r="G1670" t="s">
        <v>18051</v>
      </c>
      <c r="H1670" t="s">
        <v>1112</v>
      </c>
      <c r="I1670" t="s">
        <v>1108</v>
      </c>
      <c r="J1670" t="s">
        <v>5804</v>
      </c>
      <c r="K1670" t="s">
        <v>5805</v>
      </c>
      <c r="L1670" t="s">
        <v>21</v>
      </c>
      <c r="M1670" t="s">
        <v>19177</v>
      </c>
      <c r="N1670" t="s">
        <v>300</v>
      </c>
      <c r="O1670" t="s">
        <v>16373</v>
      </c>
      <c r="P1670" t="s">
        <v>12</v>
      </c>
    </row>
    <row r="1671">
      <c r="A1671">
        <f>HYPERLINK("http://bombeiros.sp.gov.br/hidrantes/03individual/3064.html","3064")</f>
      </c>
      <c r="B1671" t="s">
        <v>114</v>
      </c>
      <c r="C1671" t="s">
        <v>322</v>
      </c>
      <c r="D1671" t="s">
        <v>5775</v>
      </c>
      <c r="E1671" t="s">
        <v>15</v>
      </c>
      <c r="F1671" t="s">
        <v>5806</v>
      </c>
      <c r="G1671" t="s">
        <v>18430</v>
      </c>
      <c r="H1671"/>
      <c r="I1671" t="s">
        <v>18</v>
      </c>
      <c r="J1671" t="s">
        <v>5807</v>
      </c>
      <c r="K1671" t="s">
        <v>5808</v>
      </c>
      <c r="L1671" t="s">
        <v>21</v>
      </c>
      <c r="M1671" t="s">
        <v>19177</v>
      </c>
      <c r="N1671" t="s">
        <v>300</v>
      </c>
      <c r="O1671" t="s">
        <v>16373</v>
      </c>
      <c r="P1671" t="s">
        <v>12</v>
      </c>
    </row>
    <row r="1672">
      <c r="A1672">
        <f>HYPERLINK("http://bombeiros.sp.gov.br/hidrantes/03individual/3069.html","3069")</f>
      </c>
      <c r="B1672" t="s">
        <v>114</v>
      </c>
      <c r="C1672" t="s">
        <v>322</v>
      </c>
      <c r="D1672" t="s">
        <v>5775</v>
      </c>
      <c r="E1672" t="s">
        <v>15</v>
      </c>
      <c r="F1672" t="s">
        <v>5809</v>
      </c>
      <c r="G1672" t="s">
        <v>18097</v>
      </c>
      <c r="H1672" t="s">
        <v>1112</v>
      </c>
      <c r="I1672" t="s">
        <v>1108</v>
      </c>
      <c r="J1672" t="s">
        <v>16036</v>
      </c>
      <c r="K1672" t="s">
        <v>16037</v>
      </c>
      <c r="L1672" t="s">
        <v>21</v>
      </c>
      <c r="M1672" t="s">
        <v>19177</v>
      </c>
      <c r="N1672" t="s">
        <v>300</v>
      </c>
      <c r="O1672" t="s">
        <v>16373</v>
      </c>
      <c r="P1672" t="s">
        <v>12</v>
      </c>
    </row>
    <row r="1673">
      <c r="A1673">
        <f>HYPERLINK("http://bombeiros.sp.gov.br/hidrantes/03individual/3070.html","3070")</f>
      </c>
      <c r="B1673" t="s">
        <v>114</v>
      </c>
      <c r="C1673" t="s">
        <v>322</v>
      </c>
      <c r="D1673" t="s">
        <v>5775</v>
      </c>
      <c r="E1673" t="s">
        <v>15</v>
      </c>
      <c r="F1673" t="s">
        <v>5812</v>
      </c>
      <c r="G1673" t="s">
        <v>18051</v>
      </c>
      <c r="H1673" t="s">
        <v>1107</v>
      </c>
      <c r="I1673" t="s">
        <v>1108</v>
      </c>
      <c r="J1673" t="s">
        <v>5813</v>
      </c>
      <c r="K1673" t="s">
        <v>5814</v>
      </c>
      <c r="L1673" t="s">
        <v>21</v>
      </c>
      <c r="M1673" t="s">
        <v>19177</v>
      </c>
      <c r="N1673" t="s">
        <v>300</v>
      </c>
      <c r="O1673" t="s">
        <v>16373</v>
      </c>
      <c r="P1673" t="s">
        <v>12</v>
      </c>
    </row>
    <row r="1674">
      <c r="A1674">
        <f>HYPERLINK("http://bombeiros.sp.gov.br/hidrantes/03individual/3073.html","3073")</f>
      </c>
      <c r="B1674" t="s">
        <v>114</v>
      </c>
      <c r="C1674" t="s">
        <v>322</v>
      </c>
      <c r="D1674" t="s">
        <v>5775</v>
      </c>
      <c r="E1674" t="s">
        <v>15</v>
      </c>
      <c r="F1674" t="s">
        <v>5815</v>
      </c>
      <c r="G1674" t="s">
        <v>18051</v>
      </c>
      <c r="H1674" t="s">
        <v>1107</v>
      </c>
      <c r="I1674" t="s">
        <v>1108</v>
      </c>
      <c r="J1674" t="s">
        <v>5816</v>
      </c>
      <c r="K1674" t="s">
        <v>5817</v>
      </c>
      <c r="L1674" t="s">
        <v>21</v>
      </c>
      <c r="M1674" t="s">
        <v>19177</v>
      </c>
      <c r="N1674" t="s">
        <v>300</v>
      </c>
      <c r="O1674" t="s">
        <v>16373</v>
      </c>
      <c r="P1674" t="s">
        <v>12</v>
      </c>
    </row>
    <row r="1675">
      <c r="A1675">
        <f>HYPERLINK("http://bombeiros.sp.gov.br/hidrantes/03individual/3145.html","3145")</f>
      </c>
      <c r="B1675" t="s">
        <v>114</v>
      </c>
      <c r="C1675" t="s">
        <v>322</v>
      </c>
      <c r="D1675" t="s">
        <v>5775</v>
      </c>
      <c r="E1675" t="s">
        <v>15</v>
      </c>
      <c r="F1675" t="s">
        <v>5818</v>
      </c>
      <c r="G1675" t="s">
        <v>18097</v>
      </c>
      <c r="H1675" t="s">
        <v>1107</v>
      </c>
      <c r="I1675" t="s">
        <v>1108</v>
      </c>
      <c r="J1675" t="s">
        <v>5819</v>
      </c>
      <c r="K1675" t="s">
        <v>5820</v>
      </c>
      <c r="L1675" t="s">
        <v>21</v>
      </c>
      <c r="M1675" t="s">
        <v>19177</v>
      </c>
      <c r="N1675" t="s">
        <v>300</v>
      </c>
      <c r="O1675" t="s">
        <v>16373</v>
      </c>
      <c r="P1675" t="s">
        <v>12</v>
      </c>
    </row>
    <row r="1676">
      <c r="A1676">
        <f>HYPERLINK("http://bombeiros.sp.gov.br/hidrantes/03individual/3163.html","3163")</f>
      </c>
      <c r="B1676" t="s">
        <v>114</v>
      </c>
      <c r="C1676" t="s">
        <v>322</v>
      </c>
      <c r="D1676" t="s">
        <v>5775</v>
      </c>
      <c r="E1676" t="s">
        <v>15</v>
      </c>
      <c r="F1676" t="s">
        <v>5821</v>
      </c>
      <c r="G1676" t="s">
        <v>18097</v>
      </c>
      <c r="H1676" t="s">
        <v>1112</v>
      </c>
      <c r="I1676" t="s">
        <v>1108</v>
      </c>
      <c r="J1676" t="s">
        <v>5822</v>
      </c>
      <c r="K1676" t="s">
        <v>5823</v>
      </c>
      <c r="L1676" t="s">
        <v>21</v>
      </c>
      <c r="M1676" t="s">
        <v>19177</v>
      </c>
      <c r="N1676" t="s">
        <v>300</v>
      </c>
      <c r="O1676" t="s">
        <v>16373</v>
      </c>
      <c r="P1676" t="s">
        <v>12</v>
      </c>
    </row>
    <row r="1677">
      <c r="A1677">
        <f>HYPERLINK("http://bombeiros.sp.gov.br/hidrantes/03individual/3260.html","3260")</f>
      </c>
      <c r="B1677" t="s">
        <v>114</v>
      </c>
      <c r="C1677" t="s">
        <v>322</v>
      </c>
      <c r="D1677" t="s">
        <v>5775</v>
      </c>
      <c r="E1677" t="s">
        <v>15</v>
      </c>
      <c r="F1677" t="s">
        <v>5824</v>
      </c>
      <c r="G1677" t="s">
        <v>18051</v>
      </c>
      <c r="H1677" t="s">
        <v>1107</v>
      </c>
      <c r="I1677" t="s">
        <v>1108</v>
      </c>
      <c r="J1677" t="s">
        <v>5825</v>
      </c>
      <c r="K1677" t="s">
        <v>5826</v>
      </c>
      <c r="L1677" t="s">
        <v>21</v>
      </c>
      <c r="M1677" t="s">
        <v>19177</v>
      </c>
      <c r="N1677" t="s">
        <v>300</v>
      </c>
      <c r="O1677" t="s">
        <v>16373</v>
      </c>
      <c r="P1677" t="s">
        <v>12</v>
      </c>
    </row>
    <row r="1678">
      <c r="A1678">
        <f>HYPERLINK("http://bombeiros.sp.gov.br/hidrantes/03individual/3270.html","3270")</f>
      </c>
      <c r="B1678" t="s">
        <v>114</v>
      </c>
      <c r="C1678" t="s">
        <v>322</v>
      </c>
      <c r="D1678" t="s">
        <v>5775</v>
      </c>
      <c r="E1678" t="s">
        <v>15</v>
      </c>
      <c r="F1678" t="s">
        <v>5827</v>
      </c>
      <c r="G1678" t="s">
        <v>18051</v>
      </c>
      <c r="H1678" t="s">
        <v>1112</v>
      </c>
      <c r="I1678" t="s">
        <v>1108</v>
      </c>
      <c r="J1678" t="s">
        <v>5828</v>
      </c>
      <c r="K1678" t="s">
        <v>5829</v>
      </c>
      <c r="L1678" t="s">
        <v>21</v>
      </c>
      <c r="M1678" t="s">
        <v>19177</v>
      </c>
      <c r="N1678" t="s">
        <v>300</v>
      </c>
      <c r="O1678" t="s">
        <v>16373</v>
      </c>
      <c r="P1678" t="s">
        <v>12</v>
      </c>
    </row>
    <row r="1679">
      <c r="A1679">
        <f>HYPERLINK("http://bombeiros.sp.gov.br/hidrantes/03individual/3272.html","3272")</f>
      </c>
      <c r="B1679" t="s">
        <v>114</v>
      </c>
      <c r="C1679" t="s">
        <v>322</v>
      </c>
      <c r="D1679" t="s">
        <v>5775</v>
      </c>
      <c r="E1679" t="s">
        <v>15</v>
      </c>
      <c r="F1679" t="s">
        <v>5830</v>
      </c>
      <c r="G1679" t="s">
        <v>18099</v>
      </c>
      <c r="H1679" t="s">
        <v>1112</v>
      </c>
      <c r="I1679" t="s">
        <v>1108</v>
      </c>
      <c r="J1679" t="s">
        <v>5831</v>
      </c>
      <c r="K1679" t="s">
        <v>5832</v>
      </c>
      <c r="L1679" t="s">
        <v>21</v>
      </c>
      <c r="M1679" t="s">
        <v>19177</v>
      </c>
      <c r="N1679" t="s">
        <v>300</v>
      </c>
      <c r="O1679" t="s">
        <v>16373</v>
      </c>
      <c r="P1679" t="s">
        <v>12</v>
      </c>
    </row>
    <row r="1680">
      <c r="A1680">
        <f>HYPERLINK("http://bombeiros.sp.gov.br/hidrantes/03individual/3469.html","3469")</f>
      </c>
      <c r="B1680" t="s">
        <v>114</v>
      </c>
      <c r="C1680" t="s">
        <v>322</v>
      </c>
      <c r="D1680" t="s">
        <v>5775</v>
      </c>
      <c r="E1680" t="s">
        <v>15</v>
      </c>
      <c r="F1680" t="s">
        <v>5833</v>
      </c>
      <c r="G1680" t="s">
        <v>18051</v>
      </c>
      <c r="H1680" t="s">
        <v>1112</v>
      </c>
      <c r="I1680" t="s">
        <v>1108</v>
      </c>
      <c r="J1680" t="s">
        <v>5834</v>
      </c>
      <c r="K1680" t="s">
        <v>5835</v>
      </c>
      <c r="L1680" t="s">
        <v>21</v>
      </c>
      <c r="M1680" t="s">
        <v>19177</v>
      </c>
      <c r="N1680" t="s">
        <v>300</v>
      </c>
      <c r="O1680" t="s">
        <v>16373</v>
      </c>
      <c r="P1680" t="s">
        <v>12</v>
      </c>
    </row>
    <row r="1681">
      <c r="A1681">
        <f>HYPERLINK("http://bombeiros.sp.gov.br/hidrantes/03individual/17735.html","17735")</f>
      </c>
      <c r="B1681" t="s">
        <v>114</v>
      </c>
      <c r="C1681" t="s">
        <v>322</v>
      </c>
      <c r="D1681" t="s">
        <v>5775</v>
      </c>
      <c r="E1681" t="s">
        <v>15</v>
      </c>
      <c r="F1681" t="s">
        <v>5836</v>
      </c>
      <c r="G1681" t="s">
        <v>18051</v>
      </c>
      <c r="H1681" t="s">
        <v>1174</v>
      </c>
      <c r="I1681" t="s">
        <v>1117</v>
      </c>
      <c r="J1681" t="s">
        <v>5837</v>
      </c>
      <c r="K1681" t="s">
        <v>5838</v>
      </c>
      <c r="L1681" t="s">
        <v>21</v>
      </c>
      <c r="M1681" t="s">
        <v>19177</v>
      </c>
      <c r="N1681" t="s">
        <v>300</v>
      </c>
      <c r="O1681" t="s">
        <v>16373</v>
      </c>
      <c r="P1681" t="s">
        <v>12</v>
      </c>
    </row>
    <row r="1682">
      <c r="A1682">
        <f>HYPERLINK("http://bombeiros.sp.gov.br/hidrantes/03individual/3062.html","3062")</f>
      </c>
      <c r="B1682" t="s">
        <v>114</v>
      </c>
      <c r="C1682" t="s">
        <v>322</v>
      </c>
      <c r="D1682" t="s">
        <v>333</v>
      </c>
      <c r="E1682" t="s">
        <v>15</v>
      </c>
      <c r="F1682" t="s">
        <v>334</v>
      </c>
      <c r="G1682" t="s">
        <v>18062</v>
      </c>
      <c r="H1682"/>
      <c r="I1682" t="s">
        <v>18</v>
      </c>
      <c r="J1682" t="s">
        <v>335</v>
      </c>
      <c r="K1682" t="s">
        <v>336</v>
      </c>
      <c r="L1682" t="s">
        <v>21</v>
      </c>
      <c r="M1682" t="s">
        <v>19177</v>
      </c>
      <c r="N1682" t="s">
        <v>300</v>
      </c>
      <c r="O1682" t="s">
        <v>16373</v>
      </c>
      <c r="P1682" t="s">
        <v>12</v>
      </c>
    </row>
    <row r="1683">
      <c r="A1683">
        <f>HYPERLINK("http://bombeiros.sp.gov.br/hidrantes/03individual/891.html","891")</f>
      </c>
      <c r="B1683" t="s">
        <v>114</v>
      </c>
      <c r="C1683" t="s">
        <v>337</v>
      </c>
      <c r="D1683" t="s">
        <v>5839</v>
      </c>
      <c r="E1683" t="s">
        <v>64</v>
      </c>
      <c r="F1683" t="s">
        <v>5840</v>
      </c>
      <c r="G1683" t="s">
        <v>18095</v>
      </c>
      <c r="H1683" t="s">
        <v>1112</v>
      </c>
      <c r="I1683" t="s">
        <v>1108</v>
      </c>
      <c r="J1683" t="s">
        <v>5841</v>
      </c>
      <c r="K1683" t="s">
        <v>5842</v>
      </c>
      <c r="L1683" t="s">
        <v>36</v>
      </c>
      <c r="M1683" t="s">
        <v>19177</v>
      </c>
      <c r="N1683" t="s">
        <v>337</v>
      </c>
      <c r="O1683" t="s">
        <v>337</v>
      </c>
      <c r="P1683" t="s">
        <v>12</v>
      </c>
    </row>
    <row r="1684">
      <c r="A1684">
        <f>HYPERLINK("http://bombeiros.sp.gov.br/hidrantes/03individual/994.html","994")</f>
      </c>
      <c r="B1684" t="s">
        <v>114</v>
      </c>
      <c r="C1684" t="s">
        <v>337</v>
      </c>
      <c r="D1684" t="s">
        <v>5839</v>
      </c>
      <c r="E1684" t="s">
        <v>64</v>
      </c>
      <c r="F1684" t="s">
        <v>5846</v>
      </c>
      <c r="G1684" t="s">
        <v>18195</v>
      </c>
      <c r="H1684" t="s">
        <v>1107</v>
      </c>
      <c r="I1684" t="s">
        <v>1108</v>
      </c>
      <c r="J1684" t="s">
        <v>5847</v>
      </c>
      <c r="K1684" t="s">
        <v>5848</v>
      </c>
      <c r="L1684" t="s">
        <v>36</v>
      </c>
      <c r="M1684" t="s">
        <v>19177</v>
      </c>
      <c r="N1684" t="s">
        <v>337</v>
      </c>
      <c r="O1684" t="s">
        <v>337</v>
      </c>
      <c r="P1684" t="s">
        <v>12</v>
      </c>
    </row>
    <row r="1685">
      <c r="A1685">
        <f>HYPERLINK("http://bombeiros.sp.gov.br/hidrantes/03individual/17733.html","17733")</f>
      </c>
      <c r="B1685" t="s">
        <v>114</v>
      </c>
      <c r="C1685" t="s">
        <v>337</v>
      </c>
      <c r="D1685" t="s">
        <v>5839</v>
      </c>
      <c r="E1685" t="s">
        <v>64</v>
      </c>
      <c r="F1685" t="s">
        <v>5849</v>
      </c>
      <c r="G1685" t="s">
        <v>18067</v>
      </c>
      <c r="H1685" t="s">
        <v>1112</v>
      </c>
      <c r="I1685" t="s">
        <v>1108</v>
      </c>
      <c r="J1685" t="s">
        <v>5850</v>
      </c>
      <c r="K1685" t="s">
        <v>5851</v>
      </c>
      <c r="L1685" t="s">
        <v>21</v>
      </c>
      <c r="M1685" t="s">
        <v>19177</v>
      </c>
      <c r="N1685" t="s">
        <v>337</v>
      </c>
      <c r="O1685" t="s">
        <v>337</v>
      </c>
      <c r="P1685" t="s">
        <v>12</v>
      </c>
    </row>
    <row r="1686">
      <c r="A1686">
        <f>HYPERLINK("http://bombeiros.sp.gov.br/hidrantes/03individual/26488.html","26488")</f>
      </c>
      <c r="B1686" t="s">
        <v>114</v>
      </c>
      <c r="C1686" t="s">
        <v>337</v>
      </c>
      <c r="D1686" t="s">
        <v>5839</v>
      </c>
      <c r="E1686" t="s">
        <v>64</v>
      </c>
      <c r="F1686" t="s">
        <v>5852</v>
      </c>
      <c r="G1686" t="s">
        <v>18055</v>
      </c>
      <c r="H1686" t="s">
        <v>1121</v>
      </c>
      <c r="I1686" t="s">
        <v>1117</v>
      </c>
      <c r="J1686" t="s">
        <v>5853</v>
      </c>
      <c r="K1686" t="s">
        <v>5854</v>
      </c>
      <c r="L1686" t="s">
        <v>21</v>
      </c>
      <c r="M1686" t="s">
        <v>19177</v>
      </c>
      <c r="N1686" t="s">
        <v>337</v>
      </c>
      <c r="O1686" t="s">
        <v>337</v>
      </c>
      <c r="P1686" t="s">
        <v>12</v>
      </c>
    </row>
    <row r="1687">
      <c r="A1687">
        <f>HYPERLINK("http://bombeiros.sp.gov.br/hidrantes/03individual/27283.html","27283")</f>
      </c>
      <c r="B1687" t="s">
        <v>114</v>
      </c>
      <c r="C1687" t="s">
        <v>337</v>
      </c>
      <c r="D1687" t="s">
        <v>5839</v>
      </c>
      <c r="E1687" t="s">
        <v>64</v>
      </c>
      <c r="F1687" t="s">
        <v>17032</v>
      </c>
      <c r="G1687" t="s">
        <v>18067</v>
      </c>
      <c r="H1687" t="s">
        <v>1107</v>
      </c>
      <c r="I1687" t="s">
        <v>1108</v>
      </c>
      <c r="J1687" t="s">
        <v>17033</v>
      </c>
      <c r="K1687" t="s">
        <v>17034</v>
      </c>
      <c r="L1687" t="s">
        <v>21</v>
      </c>
      <c r="M1687" t="s">
        <v>19177</v>
      </c>
      <c r="N1687" t="s">
        <v>337</v>
      </c>
      <c r="O1687" t="s">
        <v>337</v>
      </c>
      <c r="P1687" t="s">
        <v>12</v>
      </c>
    </row>
    <row r="1688">
      <c r="A1688">
        <f>HYPERLINK("http://bombeiros.sp.gov.br/hidrantes/03individual/1946.html","1946")</f>
      </c>
      <c r="B1688" t="s">
        <v>114</v>
      </c>
      <c r="C1688" t="s">
        <v>337</v>
      </c>
      <c r="D1688" t="s">
        <v>5839</v>
      </c>
      <c r="E1688" t="s">
        <v>15</v>
      </c>
      <c r="F1688" t="s">
        <v>5855</v>
      </c>
      <c r="G1688" t="s">
        <v>18195</v>
      </c>
      <c r="H1688" t="s">
        <v>1174</v>
      </c>
      <c r="I1688" t="s">
        <v>1117</v>
      </c>
      <c r="J1688" t="s">
        <v>5856</v>
      </c>
      <c r="K1688" t="s">
        <v>5857</v>
      </c>
      <c r="L1688" t="s">
        <v>21</v>
      </c>
      <c r="M1688" t="s">
        <v>19177</v>
      </c>
      <c r="N1688" t="s">
        <v>337</v>
      </c>
      <c r="O1688" t="s">
        <v>337</v>
      </c>
      <c r="P1688" t="s">
        <v>12</v>
      </c>
    </row>
    <row r="1689">
      <c r="A1689">
        <f>HYPERLINK("http://bombeiros.sp.gov.br/hidrantes/03individual/1982.html","1982")</f>
      </c>
      <c r="B1689" t="s">
        <v>114</v>
      </c>
      <c r="C1689" t="s">
        <v>337</v>
      </c>
      <c r="D1689" t="s">
        <v>5839</v>
      </c>
      <c r="E1689" t="s">
        <v>15</v>
      </c>
      <c r="F1689" t="s">
        <v>5858</v>
      </c>
      <c r="G1689" t="s">
        <v>18195</v>
      </c>
      <c r="H1689"/>
      <c r="I1689" t="s">
        <v>18</v>
      </c>
      <c r="J1689" t="s">
        <v>5859</v>
      </c>
      <c r="K1689" t="s">
        <v>5860</v>
      </c>
      <c r="L1689" t="s">
        <v>21</v>
      </c>
      <c r="M1689" t="s">
        <v>19177</v>
      </c>
      <c r="N1689" t="s">
        <v>337</v>
      </c>
      <c r="O1689" t="s">
        <v>337</v>
      </c>
      <c r="P1689" t="s">
        <v>12</v>
      </c>
    </row>
    <row r="1690">
      <c r="A1690">
        <f>HYPERLINK("http://bombeiros.sp.gov.br/hidrantes/03individual/2009.html","2009")</f>
      </c>
      <c r="B1690" t="s">
        <v>114</v>
      </c>
      <c r="C1690" t="s">
        <v>337</v>
      </c>
      <c r="D1690" t="s">
        <v>5839</v>
      </c>
      <c r="E1690" t="s">
        <v>15</v>
      </c>
      <c r="F1690" t="s">
        <v>5861</v>
      </c>
      <c r="G1690" t="s">
        <v>18195</v>
      </c>
      <c r="H1690" t="s">
        <v>1174</v>
      </c>
      <c r="I1690" t="s">
        <v>1117</v>
      </c>
      <c r="J1690" t="s">
        <v>5862</v>
      </c>
      <c r="K1690" t="s">
        <v>5863</v>
      </c>
      <c r="L1690" t="s">
        <v>21</v>
      </c>
      <c r="M1690" t="s">
        <v>19177</v>
      </c>
      <c r="N1690" t="s">
        <v>337</v>
      </c>
      <c r="O1690" t="s">
        <v>337</v>
      </c>
      <c r="P1690" t="s">
        <v>12</v>
      </c>
    </row>
    <row r="1691">
      <c r="A1691">
        <f>HYPERLINK("http://bombeiros.sp.gov.br/hidrantes/03individual/2030.html","2030")</f>
      </c>
      <c r="B1691" t="s">
        <v>114</v>
      </c>
      <c r="C1691" t="s">
        <v>337</v>
      </c>
      <c r="D1691" t="s">
        <v>5839</v>
      </c>
      <c r="E1691" t="s">
        <v>15</v>
      </c>
      <c r="F1691" t="s">
        <v>5864</v>
      </c>
      <c r="G1691" t="s">
        <v>18132</v>
      </c>
      <c r="H1691" t="s">
        <v>1174</v>
      </c>
      <c r="I1691" t="s">
        <v>1117</v>
      </c>
      <c r="J1691" t="s">
        <v>5865</v>
      </c>
      <c r="K1691" t="s">
        <v>5866</v>
      </c>
      <c r="L1691" t="s">
        <v>21</v>
      </c>
      <c r="M1691" t="s">
        <v>19177</v>
      </c>
      <c r="N1691" t="s">
        <v>337</v>
      </c>
      <c r="O1691" t="s">
        <v>337</v>
      </c>
      <c r="P1691" t="s">
        <v>12</v>
      </c>
    </row>
    <row r="1692">
      <c r="A1692">
        <f>HYPERLINK("http://bombeiros.sp.gov.br/hidrantes/03individual/3337.html","3337")</f>
      </c>
      <c r="B1692" t="s">
        <v>114</v>
      </c>
      <c r="C1692" t="s">
        <v>337</v>
      </c>
      <c r="D1692" t="s">
        <v>5839</v>
      </c>
      <c r="E1692" t="s">
        <v>15</v>
      </c>
      <c r="F1692" t="s">
        <v>5867</v>
      </c>
      <c r="G1692" t="s">
        <v>18074</v>
      </c>
      <c r="H1692" t="s">
        <v>1107</v>
      </c>
      <c r="I1692" t="s">
        <v>1108</v>
      </c>
      <c r="J1692" t="s">
        <v>5868</v>
      </c>
      <c r="K1692" t="s">
        <v>5869</v>
      </c>
      <c r="L1692" t="s">
        <v>21</v>
      </c>
      <c r="M1692" t="s">
        <v>19177</v>
      </c>
      <c r="N1692" t="s">
        <v>337</v>
      </c>
      <c r="O1692" t="s">
        <v>337</v>
      </c>
      <c r="P1692" t="s">
        <v>12</v>
      </c>
    </row>
    <row r="1693">
      <c r="A1693">
        <f>HYPERLINK("http://bombeiros.sp.gov.br/hidrantes/03individual/3338.html","3338")</f>
      </c>
      <c r="B1693" t="s">
        <v>114</v>
      </c>
      <c r="C1693" t="s">
        <v>337</v>
      </c>
      <c r="D1693" t="s">
        <v>5839</v>
      </c>
      <c r="E1693" t="s">
        <v>15</v>
      </c>
      <c r="F1693" t="s">
        <v>5870</v>
      </c>
      <c r="G1693" t="s">
        <v>18076</v>
      </c>
      <c r="H1693" t="s">
        <v>1174</v>
      </c>
      <c r="I1693" t="s">
        <v>1117</v>
      </c>
      <c r="J1693" t="s">
        <v>5871</v>
      </c>
      <c r="K1693" t="s">
        <v>5872</v>
      </c>
      <c r="L1693" t="s">
        <v>21</v>
      </c>
      <c r="M1693" t="s">
        <v>19177</v>
      </c>
      <c r="N1693" t="s">
        <v>337</v>
      </c>
      <c r="O1693" t="s">
        <v>337</v>
      </c>
      <c r="P1693" t="s">
        <v>12</v>
      </c>
    </row>
    <row r="1694">
      <c r="A1694">
        <f>HYPERLINK("http://bombeiros.sp.gov.br/hidrantes/03individual/3339.html","3339")</f>
      </c>
      <c r="B1694" t="s">
        <v>114</v>
      </c>
      <c r="C1694" t="s">
        <v>337</v>
      </c>
      <c r="D1694" t="s">
        <v>5839</v>
      </c>
      <c r="E1694" t="s">
        <v>15</v>
      </c>
      <c r="F1694" t="s">
        <v>5873</v>
      </c>
      <c r="G1694" t="s">
        <v>18195</v>
      </c>
      <c r="H1694" t="s">
        <v>1174</v>
      </c>
      <c r="I1694" t="s">
        <v>1117</v>
      </c>
      <c r="J1694" t="s">
        <v>5874</v>
      </c>
      <c r="K1694" t="s">
        <v>5875</v>
      </c>
      <c r="L1694" t="s">
        <v>21</v>
      </c>
      <c r="M1694" t="s">
        <v>19177</v>
      </c>
      <c r="N1694" t="s">
        <v>337</v>
      </c>
      <c r="O1694" t="s">
        <v>337</v>
      </c>
      <c r="P1694" t="s">
        <v>12</v>
      </c>
    </row>
    <row r="1695">
      <c r="A1695">
        <f>HYPERLINK("http://bombeiros.sp.gov.br/hidrantes/03individual/3787.html","3787")</f>
      </c>
      <c r="B1695" t="s">
        <v>114</v>
      </c>
      <c r="C1695" t="s">
        <v>337</v>
      </c>
      <c r="D1695" t="s">
        <v>5839</v>
      </c>
      <c r="E1695" t="s">
        <v>15</v>
      </c>
      <c r="F1695" t="s">
        <v>5876</v>
      </c>
      <c r="G1695" t="s">
        <v>18076</v>
      </c>
      <c r="H1695" t="s">
        <v>1174</v>
      </c>
      <c r="I1695" t="s">
        <v>1117</v>
      </c>
      <c r="J1695" t="s">
        <v>5877</v>
      </c>
      <c r="K1695" t="s">
        <v>5878</v>
      </c>
      <c r="L1695" t="s">
        <v>21</v>
      </c>
      <c r="M1695" t="s">
        <v>19177</v>
      </c>
      <c r="N1695" t="s">
        <v>337</v>
      </c>
      <c r="O1695" t="s">
        <v>337</v>
      </c>
      <c r="P1695" t="s">
        <v>12</v>
      </c>
    </row>
    <row r="1696">
      <c r="A1696">
        <f>HYPERLINK("http://bombeiros.sp.gov.br/hidrantes/03individual/16652.html","16652")</f>
      </c>
      <c r="B1696" t="s">
        <v>114</v>
      </c>
      <c r="C1696" t="s">
        <v>337</v>
      </c>
      <c r="D1696" t="s">
        <v>5839</v>
      </c>
      <c r="E1696" t="s">
        <v>15</v>
      </c>
      <c r="F1696" t="s">
        <v>5879</v>
      </c>
      <c r="G1696" t="s">
        <v>18048</v>
      </c>
      <c r="H1696" t="s">
        <v>1112</v>
      </c>
      <c r="I1696" t="s">
        <v>1108</v>
      </c>
      <c r="J1696" t="s">
        <v>5880</v>
      </c>
      <c r="K1696" t="s">
        <v>5881</v>
      </c>
      <c r="L1696" t="s">
        <v>21</v>
      </c>
      <c r="M1696" t="s">
        <v>19177</v>
      </c>
      <c r="N1696" t="s">
        <v>337</v>
      </c>
      <c r="O1696" t="s">
        <v>337</v>
      </c>
      <c r="P1696" t="s">
        <v>12</v>
      </c>
    </row>
    <row r="1697">
      <c r="A1697">
        <f>HYPERLINK("http://bombeiros.sp.gov.br/hidrantes/03individual/16653.html","16653")</f>
      </c>
      <c r="B1697" t="s">
        <v>114</v>
      </c>
      <c r="C1697" t="s">
        <v>337</v>
      </c>
      <c r="D1697" t="s">
        <v>5839</v>
      </c>
      <c r="E1697" t="s">
        <v>15</v>
      </c>
      <c r="F1697" t="s">
        <v>5882</v>
      </c>
      <c r="G1697" t="s">
        <v>18132</v>
      </c>
      <c r="H1697"/>
      <c r="I1697" t="s">
        <v>18</v>
      </c>
      <c r="J1697" t="s">
        <v>5883</v>
      </c>
      <c r="K1697" t="s">
        <v>5884</v>
      </c>
      <c r="L1697" t="s">
        <v>21</v>
      </c>
      <c r="M1697" t="s">
        <v>19177</v>
      </c>
      <c r="N1697" t="s">
        <v>337</v>
      </c>
      <c r="O1697" t="s">
        <v>337</v>
      </c>
      <c r="P1697" t="s">
        <v>12</v>
      </c>
    </row>
    <row r="1698">
      <c r="A1698">
        <f>HYPERLINK("http://bombeiros.sp.gov.br/hidrantes/03individual/17730.html","17730")</f>
      </c>
      <c r="B1698" t="s">
        <v>114</v>
      </c>
      <c r="C1698" t="s">
        <v>337</v>
      </c>
      <c r="D1698" t="s">
        <v>5839</v>
      </c>
      <c r="E1698" t="s">
        <v>15</v>
      </c>
      <c r="F1698" t="s">
        <v>5885</v>
      </c>
      <c r="G1698" t="s">
        <v>18067</v>
      </c>
      <c r="H1698" t="s">
        <v>1112</v>
      </c>
      <c r="I1698" t="s">
        <v>1108</v>
      </c>
      <c r="J1698" t="s">
        <v>5886</v>
      </c>
      <c r="K1698" t="s">
        <v>5887</v>
      </c>
      <c r="L1698" t="s">
        <v>21</v>
      </c>
      <c r="M1698" t="s">
        <v>19177</v>
      </c>
      <c r="N1698" t="s">
        <v>337</v>
      </c>
      <c r="O1698" t="s">
        <v>337</v>
      </c>
      <c r="P1698" t="s">
        <v>12</v>
      </c>
    </row>
    <row r="1699">
      <c r="A1699">
        <f>HYPERLINK("http://bombeiros.sp.gov.br/hidrantes/03individual/17731.html","17731")</f>
      </c>
      <c r="B1699" t="s">
        <v>114</v>
      </c>
      <c r="C1699" t="s">
        <v>337</v>
      </c>
      <c r="D1699" t="s">
        <v>5839</v>
      </c>
      <c r="E1699" t="s">
        <v>15</v>
      </c>
      <c r="F1699" t="s">
        <v>5888</v>
      </c>
      <c r="G1699" t="s">
        <v>18067</v>
      </c>
      <c r="H1699" t="s">
        <v>1121</v>
      </c>
      <c r="I1699" t="s">
        <v>1117</v>
      </c>
      <c r="J1699" t="s">
        <v>5889</v>
      </c>
      <c r="K1699" t="s">
        <v>5890</v>
      </c>
      <c r="L1699" t="s">
        <v>21</v>
      </c>
      <c r="M1699" t="s">
        <v>19177</v>
      </c>
      <c r="N1699" t="s">
        <v>337</v>
      </c>
      <c r="O1699" t="s">
        <v>337</v>
      </c>
      <c r="P1699" t="s">
        <v>12</v>
      </c>
    </row>
    <row r="1700">
      <c r="A1700">
        <f>HYPERLINK("http://bombeiros.sp.gov.br/hidrantes/03individual/2067.html","2067")</f>
      </c>
      <c r="B1700" t="s">
        <v>114</v>
      </c>
      <c r="C1700" t="s">
        <v>337</v>
      </c>
      <c r="D1700" t="s">
        <v>338</v>
      </c>
      <c r="E1700" t="s">
        <v>64</v>
      </c>
      <c r="F1700" t="s">
        <v>5891</v>
      </c>
      <c r="G1700" t="s">
        <v>18042</v>
      </c>
      <c r="H1700" t="s">
        <v>1107</v>
      </c>
      <c r="I1700" t="s">
        <v>1117</v>
      </c>
      <c r="J1700" t="s">
        <v>5892</v>
      </c>
      <c r="K1700" t="s">
        <v>5893</v>
      </c>
      <c r="L1700" t="s">
        <v>21</v>
      </c>
      <c r="M1700" t="s">
        <v>19177</v>
      </c>
      <c r="N1700" t="s">
        <v>337</v>
      </c>
      <c r="O1700" t="s">
        <v>337</v>
      </c>
      <c r="P1700" t="s">
        <v>12</v>
      </c>
    </row>
    <row r="1701">
      <c r="A1701">
        <f>HYPERLINK("http://bombeiros.sp.gov.br/hidrantes/03individual/2106.html","2106")</f>
      </c>
      <c r="B1701" t="s">
        <v>114</v>
      </c>
      <c r="C1701" t="s">
        <v>337</v>
      </c>
      <c r="D1701" t="s">
        <v>338</v>
      </c>
      <c r="E1701" t="s">
        <v>64</v>
      </c>
      <c r="F1701" t="s">
        <v>5894</v>
      </c>
      <c r="G1701" t="s">
        <v>18072</v>
      </c>
      <c r="H1701" t="s">
        <v>1121</v>
      </c>
      <c r="I1701" t="s">
        <v>1117</v>
      </c>
      <c r="J1701" t="s">
        <v>5895</v>
      </c>
      <c r="K1701" t="s">
        <v>5896</v>
      </c>
      <c r="L1701" t="s">
        <v>36</v>
      </c>
      <c r="M1701" t="s">
        <v>19177</v>
      </c>
      <c r="N1701" t="s">
        <v>337</v>
      </c>
      <c r="O1701" t="s">
        <v>337</v>
      </c>
      <c r="P1701" t="s">
        <v>12</v>
      </c>
    </row>
    <row r="1702">
      <c r="A1702">
        <f>HYPERLINK("http://bombeiros.sp.gov.br/hidrantes/03individual/3895.html","3895")</f>
      </c>
      <c r="B1702" t="s">
        <v>114</v>
      </c>
      <c r="C1702" t="s">
        <v>337</v>
      </c>
      <c r="D1702" t="s">
        <v>338</v>
      </c>
      <c r="E1702" t="s">
        <v>64</v>
      </c>
      <c r="F1702" t="s">
        <v>339</v>
      </c>
      <c r="G1702" t="s">
        <v>18067</v>
      </c>
      <c r="H1702" t="s">
        <v>1107</v>
      </c>
      <c r="I1702" t="s">
        <v>1108</v>
      </c>
      <c r="J1702" t="s">
        <v>341</v>
      </c>
      <c r="K1702" t="s">
        <v>342</v>
      </c>
      <c r="L1702" t="s">
        <v>36</v>
      </c>
      <c r="M1702" t="s">
        <v>19177</v>
      </c>
      <c r="N1702" t="s">
        <v>337</v>
      </c>
      <c r="O1702" t="s">
        <v>337</v>
      </c>
      <c r="P1702" t="s">
        <v>12</v>
      </c>
    </row>
    <row r="1703">
      <c r="A1703">
        <f>HYPERLINK("http://bombeiros.sp.gov.br/hidrantes/03individual/5629.html","5629")</f>
      </c>
      <c r="B1703" t="s">
        <v>114</v>
      </c>
      <c r="C1703" t="s">
        <v>337</v>
      </c>
      <c r="D1703" t="s">
        <v>338</v>
      </c>
      <c r="E1703" t="s">
        <v>64</v>
      </c>
      <c r="F1703" t="s">
        <v>5897</v>
      </c>
      <c r="G1703" t="s">
        <v>18072</v>
      </c>
      <c r="H1703" t="s">
        <v>1112</v>
      </c>
      <c r="I1703" t="s">
        <v>1108</v>
      </c>
      <c r="J1703" t="s">
        <v>5898</v>
      </c>
      <c r="K1703" t="s">
        <v>5899</v>
      </c>
      <c r="L1703" t="s">
        <v>21</v>
      </c>
      <c r="M1703" t="s">
        <v>19177</v>
      </c>
      <c r="N1703" t="s">
        <v>337</v>
      </c>
      <c r="O1703" t="s">
        <v>337</v>
      </c>
      <c r="P1703" t="s">
        <v>12</v>
      </c>
    </row>
    <row r="1704">
      <c r="A1704">
        <f>HYPERLINK("http://bombeiros.sp.gov.br/hidrantes/03individual/5630.html","5630")</f>
      </c>
      <c r="B1704" t="s">
        <v>114</v>
      </c>
      <c r="C1704" t="s">
        <v>337</v>
      </c>
      <c r="D1704" t="s">
        <v>338</v>
      </c>
      <c r="E1704" t="s">
        <v>64</v>
      </c>
      <c r="F1704" t="s">
        <v>5900</v>
      </c>
      <c r="G1704" t="s">
        <v>18072</v>
      </c>
      <c r="H1704" t="s">
        <v>1112</v>
      </c>
      <c r="I1704" t="s">
        <v>1108</v>
      </c>
      <c r="J1704" t="s">
        <v>5901</v>
      </c>
      <c r="K1704" t="s">
        <v>5902</v>
      </c>
      <c r="L1704" t="s">
        <v>21</v>
      </c>
      <c r="M1704" t="s">
        <v>19177</v>
      </c>
      <c r="N1704" t="s">
        <v>337</v>
      </c>
      <c r="O1704" t="s">
        <v>337</v>
      </c>
      <c r="P1704" t="s">
        <v>12</v>
      </c>
    </row>
    <row r="1705">
      <c r="A1705">
        <f>HYPERLINK("http://bombeiros.sp.gov.br/hidrantes/03individual/5631.html","5631")</f>
      </c>
      <c r="B1705" t="s">
        <v>114</v>
      </c>
      <c r="C1705" t="s">
        <v>337</v>
      </c>
      <c r="D1705" t="s">
        <v>338</v>
      </c>
      <c r="E1705" t="s">
        <v>64</v>
      </c>
      <c r="F1705" t="s">
        <v>5903</v>
      </c>
      <c r="G1705" t="s">
        <v>18072</v>
      </c>
      <c r="H1705" t="s">
        <v>1112</v>
      </c>
      <c r="I1705" t="s">
        <v>1108</v>
      </c>
      <c r="J1705" t="s">
        <v>5904</v>
      </c>
      <c r="K1705" t="s">
        <v>5905</v>
      </c>
      <c r="L1705" t="s">
        <v>21</v>
      </c>
      <c r="M1705" t="s">
        <v>19177</v>
      </c>
      <c r="N1705" t="s">
        <v>337</v>
      </c>
      <c r="O1705" t="s">
        <v>337</v>
      </c>
      <c r="P1705" t="s">
        <v>12</v>
      </c>
    </row>
    <row r="1706">
      <c r="A1706">
        <f>HYPERLINK("http://bombeiros.sp.gov.br/hidrantes/03individual/5632.html","5632")</f>
      </c>
      <c r="B1706" t="s">
        <v>114</v>
      </c>
      <c r="C1706" t="s">
        <v>337</v>
      </c>
      <c r="D1706" t="s">
        <v>338</v>
      </c>
      <c r="E1706" t="s">
        <v>64</v>
      </c>
      <c r="F1706" t="s">
        <v>5906</v>
      </c>
      <c r="G1706" t="s">
        <v>18105</v>
      </c>
      <c r="H1706" t="s">
        <v>1112</v>
      </c>
      <c r="I1706" t="s">
        <v>1108</v>
      </c>
      <c r="J1706" t="s">
        <v>5907</v>
      </c>
      <c r="K1706" t="s">
        <v>5908</v>
      </c>
      <c r="L1706" t="s">
        <v>21</v>
      </c>
      <c r="M1706" t="s">
        <v>19177</v>
      </c>
      <c r="N1706" t="s">
        <v>337</v>
      </c>
      <c r="O1706" t="s">
        <v>337</v>
      </c>
      <c r="P1706" t="s">
        <v>12</v>
      </c>
    </row>
    <row r="1707">
      <c r="A1707">
        <f>HYPERLINK("http://bombeiros.sp.gov.br/hidrantes/03individual/17727.html","17727")</f>
      </c>
      <c r="B1707" t="s">
        <v>114</v>
      </c>
      <c r="C1707" t="s">
        <v>337</v>
      </c>
      <c r="D1707" t="s">
        <v>338</v>
      </c>
      <c r="E1707" t="s">
        <v>64</v>
      </c>
      <c r="F1707" t="s">
        <v>5909</v>
      </c>
      <c r="G1707" t="s">
        <v>18105</v>
      </c>
      <c r="H1707" t="s">
        <v>1112</v>
      </c>
      <c r="I1707" t="s">
        <v>1108</v>
      </c>
      <c r="J1707" t="s">
        <v>5910</v>
      </c>
      <c r="K1707" t="s">
        <v>5911</v>
      </c>
      <c r="L1707" t="s">
        <v>21</v>
      </c>
      <c r="M1707" t="s">
        <v>19177</v>
      </c>
      <c r="N1707" t="s">
        <v>337</v>
      </c>
      <c r="O1707" t="s">
        <v>337</v>
      </c>
      <c r="P1707" t="s">
        <v>12</v>
      </c>
    </row>
    <row r="1708">
      <c r="A1708">
        <f>HYPERLINK("http://bombeiros.sp.gov.br/hidrantes/03individual/28600.html","28600")</f>
      </c>
      <c r="B1708" t="s">
        <v>114</v>
      </c>
      <c r="C1708" t="s">
        <v>337</v>
      </c>
      <c r="D1708" t="s">
        <v>338</v>
      </c>
      <c r="E1708" t="s">
        <v>64</v>
      </c>
      <c r="F1708" t="s">
        <v>19070</v>
      </c>
      <c r="G1708"/>
      <c r="H1708"/>
      <c r="I1708" t="s">
        <v>1503</v>
      </c>
      <c r="J1708" t="s">
        <v>19071</v>
      </c>
      <c r="K1708" t="s">
        <v>19072</v>
      </c>
      <c r="L1708" t="s">
        <v>21</v>
      </c>
      <c r="M1708" t="s">
        <v>19177</v>
      </c>
      <c r="N1708" t="s">
        <v>337</v>
      </c>
      <c r="O1708" t="s">
        <v>337</v>
      </c>
      <c r="P1708" t="s">
        <v>12</v>
      </c>
    </row>
    <row r="1709">
      <c r="A1709">
        <f>HYPERLINK("http://bombeiros.sp.gov.br/hidrantes/03individual/2084.html","2084")</f>
      </c>
      <c r="B1709" t="s">
        <v>114</v>
      </c>
      <c r="C1709" t="s">
        <v>337</v>
      </c>
      <c r="D1709" t="s">
        <v>338</v>
      </c>
      <c r="E1709" t="s">
        <v>15</v>
      </c>
      <c r="F1709" t="s">
        <v>5912</v>
      </c>
      <c r="G1709" t="s">
        <v>18124</v>
      </c>
      <c r="H1709" t="s">
        <v>1121</v>
      </c>
      <c r="I1709" t="s">
        <v>1117</v>
      </c>
      <c r="J1709" t="s">
        <v>5913</v>
      </c>
      <c r="K1709" t="s">
        <v>5914</v>
      </c>
      <c r="L1709" t="s">
        <v>21</v>
      </c>
      <c r="M1709" t="s">
        <v>19177</v>
      </c>
      <c r="N1709" t="s">
        <v>337</v>
      </c>
      <c r="O1709" t="s">
        <v>337</v>
      </c>
      <c r="P1709" t="s">
        <v>12</v>
      </c>
    </row>
    <row r="1710">
      <c r="A1710">
        <f>HYPERLINK("http://bombeiros.sp.gov.br/hidrantes/03individual/2086.html","2086")</f>
      </c>
      <c r="B1710" t="s">
        <v>114</v>
      </c>
      <c r="C1710" t="s">
        <v>337</v>
      </c>
      <c r="D1710" t="s">
        <v>338</v>
      </c>
      <c r="E1710" t="s">
        <v>15</v>
      </c>
      <c r="F1710" t="s">
        <v>5915</v>
      </c>
      <c r="G1710" t="s">
        <v>18105</v>
      </c>
      <c r="H1710" t="s">
        <v>1112</v>
      </c>
      <c r="I1710" t="s">
        <v>1108</v>
      </c>
      <c r="J1710" t="s">
        <v>5916</v>
      </c>
      <c r="K1710" t="s">
        <v>5917</v>
      </c>
      <c r="L1710" t="s">
        <v>21</v>
      </c>
      <c r="M1710" t="s">
        <v>19177</v>
      </c>
      <c r="N1710" t="s">
        <v>337</v>
      </c>
      <c r="O1710" t="s">
        <v>337</v>
      </c>
      <c r="P1710" t="s">
        <v>12</v>
      </c>
    </row>
    <row r="1711">
      <c r="A1711">
        <f>HYPERLINK("http://bombeiros.sp.gov.br/hidrantes/03individual/2096.html","2096")</f>
      </c>
      <c r="B1711" t="s">
        <v>114</v>
      </c>
      <c r="C1711" t="s">
        <v>337</v>
      </c>
      <c r="D1711" t="s">
        <v>338</v>
      </c>
      <c r="E1711" t="s">
        <v>15</v>
      </c>
      <c r="F1711" t="s">
        <v>5918</v>
      </c>
      <c r="G1711" t="s">
        <v>18072</v>
      </c>
      <c r="H1711" t="s">
        <v>1107</v>
      </c>
      <c r="I1711" t="s">
        <v>1108</v>
      </c>
      <c r="J1711" t="s">
        <v>5919</v>
      </c>
      <c r="K1711" t="s">
        <v>5920</v>
      </c>
      <c r="L1711" t="s">
        <v>21</v>
      </c>
      <c r="M1711" t="s">
        <v>19177</v>
      </c>
      <c r="N1711" t="s">
        <v>337</v>
      </c>
      <c r="O1711" t="s">
        <v>337</v>
      </c>
      <c r="P1711" t="s">
        <v>12</v>
      </c>
    </row>
    <row r="1712">
      <c r="A1712">
        <f>HYPERLINK("http://bombeiros.sp.gov.br/hidrantes/03individual/2107.html","2107")</f>
      </c>
      <c r="B1712" t="s">
        <v>114</v>
      </c>
      <c r="C1712" t="s">
        <v>337</v>
      </c>
      <c r="D1712" t="s">
        <v>338</v>
      </c>
      <c r="E1712" t="s">
        <v>15</v>
      </c>
      <c r="F1712" t="s">
        <v>5921</v>
      </c>
      <c r="G1712" t="s">
        <v>18048</v>
      </c>
      <c r="H1712" t="s">
        <v>1112</v>
      </c>
      <c r="I1712" t="s">
        <v>1108</v>
      </c>
      <c r="J1712" t="s">
        <v>5922</v>
      </c>
      <c r="K1712" t="s">
        <v>5923</v>
      </c>
      <c r="L1712" t="s">
        <v>21</v>
      </c>
      <c r="M1712" t="s">
        <v>19177</v>
      </c>
      <c r="N1712" t="s">
        <v>337</v>
      </c>
      <c r="O1712" t="s">
        <v>337</v>
      </c>
      <c r="P1712" t="s">
        <v>12</v>
      </c>
    </row>
    <row r="1713">
      <c r="A1713">
        <f>HYPERLINK("http://bombeiros.sp.gov.br/hidrantes/03individual/3818.html","3818")</f>
      </c>
      <c r="B1713" t="s">
        <v>114</v>
      </c>
      <c r="C1713" t="s">
        <v>337</v>
      </c>
      <c r="D1713" t="s">
        <v>338</v>
      </c>
      <c r="E1713" t="s">
        <v>15</v>
      </c>
      <c r="F1713" t="s">
        <v>5924</v>
      </c>
      <c r="G1713" t="s">
        <v>18098</v>
      </c>
      <c r="H1713" t="s">
        <v>1107</v>
      </c>
      <c r="I1713" t="s">
        <v>1108</v>
      </c>
      <c r="J1713" t="s">
        <v>5925</v>
      </c>
      <c r="K1713" t="s">
        <v>5926</v>
      </c>
      <c r="L1713" t="s">
        <v>21</v>
      </c>
      <c r="M1713" t="s">
        <v>19177</v>
      </c>
      <c r="N1713" t="s">
        <v>337</v>
      </c>
      <c r="O1713" t="s">
        <v>337</v>
      </c>
      <c r="P1713" t="s">
        <v>12</v>
      </c>
    </row>
    <row r="1714">
      <c r="A1714">
        <f>HYPERLINK("http://bombeiros.sp.gov.br/hidrantes/03individual/3980.html","3980")</f>
      </c>
      <c r="B1714" t="s">
        <v>114</v>
      </c>
      <c r="C1714" t="s">
        <v>337</v>
      </c>
      <c r="D1714" t="s">
        <v>338</v>
      </c>
      <c r="E1714" t="s">
        <v>15</v>
      </c>
      <c r="F1714" t="s">
        <v>5927</v>
      </c>
      <c r="G1714" t="s">
        <v>18124</v>
      </c>
      <c r="H1714" t="s">
        <v>1107</v>
      </c>
      <c r="I1714" t="s">
        <v>1108</v>
      </c>
      <c r="J1714" t="s">
        <v>5928</v>
      </c>
      <c r="K1714" t="s">
        <v>5929</v>
      </c>
      <c r="L1714" t="s">
        <v>21</v>
      </c>
      <c r="M1714" t="s">
        <v>19177</v>
      </c>
      <c r="N1714" t="s">
        <v>337</v>
      </c>
      <c r="O1714" t="s">
        <v>337</v>
      </c>
      <c r="P1714" t="s">
        <v>12</v>
      </c>
    </row>
    <row r="1715">
      <c r="A1715">
        <f>HYPERLINK("http://bombeiros.sp.gov.br/hidrantes/03individual/17726.html","17726")</f>
      </c>
      <c r="B1715" t="s">
        <v>114</v>
      </c>
      <c r="C1715" t="s">
        <v>337</v>
      </c>
      <c r="D1715" t="s">
        <v>338</v>
      </c>
      <c r="E1715" t="s">
        <v>15</v>
      </c>
      <c r="F1715" t="s">
        <v>5930</v>
      </c>
      <c r="G1715" t="s">
        <v>18105</v>
      </c>
      <c r="H1715" t="s">
        <v>1107</v>
      </c>
      <c r="I1715" t="s">
        <v>1108</v>
      </c>
      <c r="J1715" t="s">
        <v>5931</v>
      </c>
      <c r="K1715" t="s">
        <v>5932</v>
      </c>
      <c r="L1715" t="s">
        <v>21</v>
      </c>
      <c r="M1715" t="s">
        <v>19177</v>
      </c>
      <c r="N1715" t="s">
        <v>337</v>
      </c>
      <c r="O1715" t="s">
        <v>337</v>
      </c>
      <c r="P1715" t="s">
        <v>12</v>
      </c>
    </row>
    <row r="1716">
      <c r="A1716">
        <f>HYPERLINK("http://bombeiros.sp.gov.br/hidrantes/03individual/27135.html","27135")</f>
      </c>
      <c r="B1716" t="s">
        <v>114</v>
      </c>
      <c r="C1716" t="s">
        <v>337</v>
      </c>
      <c r="D1716" t="s">
        <v>5933</v>
      </c>
      <c r="E1716" t="s">
        <v>64</v>
      </c>
      <c r="F1716" t="s">
        <v>16817</v>
      </c>
      <c r="G1716" t="s">
        <v>18055</v>
      </c>
      <c r="H1716" t="s">
        <v>1121</v>
      </c>
      <c r="I1716" t="s">
        <v>1117</v>
      </c>
      <c r="J1716" t="s">
        <v>16818</v>
      </c>
      <c r="K1716" t="s">
        <v>16819</v>
      </c>
      <c r="L1716" t="s">
        <v>21</v>
      </c>
      <c r="M1716" t="s">
        <v>19177</v>
      </c>
      <c r="N1716" t="s">
        <v>337</v>
      </c>
      <c r="O1716" t="s">
        <v>337</v>
      </c>
      <c r="P1716" t="s">
        <v>12</v>
      </c>
    </row>
    <row r="1717">
      <c r="A1717">
        <f>HYPERLINK("http://bombeiros.sp.gov.br/hidrantes/03individual/27136.html","27136")</f>
      </c>
      <c r="B1717" t="s">
        <v>114</v>
      </c>
      <c r="C1717" t="s">
        <v>337</v>
      </c>
      <c r="D1717" t="s">
        <v>5933</v>
      </c>
      <c r="E1717" t="s">
        <v>64</v>
      </c>
      <c r="F1717" t="s">
        <v>16820</v>
      </c>
      <c r="G1717" t="s">
        <v>18055</v>
      </c>
      <c r="H1717" t="s">
        <v>1121</v>
      </c>
      <c r="I1717" t="s">
        <v>1117</v>
      </c>
      <c r="J1717" t="s">
        <v>16821</v>
      </c>
      <c r="K1717" t="s">
        <v>16822</v>
      </c>
      <c r="L1717" t="s">
        <v>21</v>
      </c>
      <c r="M1717" t="s">
        <v>19177</v>
      </c>
      <c r="N1717" t="s">
        <v>337</v>
      </c>
      <c r="O1717" t="s">
        <v>337</v>
      </c>
      <c r="P1717" t="s">
        <v>12</v>
      </c>
    </row>
    <row r="1718">
      <c r="A1718">
        <f>HYPERLINK("http://bombeiros.sp.gov.br/hidrantes/03individual/2060.html","2060")</f>
      </c>
      <c r="B1718" t="s">
        <v>114</v>
      </c>
      <c r="C1718" t="s">
        <v>337</v>
      </c>
      <c r="D1718" t="s">
        <v>5933</v>
      </c>
      <c r="E1718" t="s">
        <v>15</v>
      </c>
      <c r="F1718" t="s">
        <v>5934</v>
      </c>
      <c r="G1718" t="s">
        <v>18067</v>
      </c>
      <c r="H1718" t="s">
        <v>1112</v>
      </c>
      <c r="I1718" t="s">
        <v>1108</v>
      </c>
      <c r="J1718" t="s">
        <v>5935</v>
      </c>
      <c r="K1718" t="s">
        <v>5936</v>
      </c>
      <c r="L1718" t="s">
        <v>21</v>
      </c>
      <c r="M1718" t="s">
        <v>19177</v>
      </c>
      <c r="N1718" t="s">
        <v>337</v>
      </c>
      <c r="O1718" t="s">
        <v>337</v>
      </c>
      <c r="P1718" t="s">
        <v>12</v>
      </c>
    </row>
    <row r="1719">
      <c r="A1719">
        <f>HYPERLINK("http://bombeiros.sp.gov.br/hidrantes/03individual/3341.html","3341")</f>
      </c>
      <c r="B1719" t="s">
        <v>114</v>
      </c>
      <c r="C1719" t="s">
        <v>337</v>
      </c>
      <c r="D1719" t="s">
        <v>5933</v>
      </c>
      <c r="E1719" t="s">
        <v>15</v>
      </c>
      <c r="F1719" t="s">
        <v>5937</v>
      </c>
      <c r="G1719" t="s">
        <v>18046</v>
      </c>
      <c r="H1719" t="s">
        <v>1121</v>
      </c>
      <c r="I1719" t="s">
        <v>1117</v>
      </c>
      <c r="J1719" t="s">
        <v>5938</v>
      </c>
      <c r="K1719" t="s">
        <v>5939</v>
      </c>
      <c r="L1719" t="s">
        <v>21</v>
      </c>
      <c r="M1719" t="s">
        <v>19177</v>
      </c>
      <c r="N1719" t="s">
        <v>337</v>
      </c>
      <c r="O1719" t="s">
        <v>337</v>
      </c>
      <c r="P1719" t="s">
        <v>12</v>
      </c>
    </row>
    <row r="1720">
      <c r="A1720">
        <f>HYPERLINK("http://bombeiros.sp.gov.br/hidrantes/03individual/4311.html","4311")</f>
      </c>
      <c r="B1720" t="s">
        <v>114</v>
      </c>
      <c r="C1720" t="s">
        <v>337</v>
      </c>
      <c r="D1720" t="s">
        <v>5933</v>
      </c>
      <c r="E1720" t="s">
        <v>15</v>
      </c>
      <c r="F1720" t="s">
        <v>5940</v>
      </c>
      <c r="G1720" t="s">
        <v>18055</v>
      </c>
      <c r="H1720" t="s">
        <v>1121</v>
      </c>
      <c r="I1720" t="s">
        <v>1117</v>
      </c>
      <c r="J1720" t="s">
        <v>5941</v>
      </c>
      <c r="K1720" t="s">
        <v>5942</v>
      </c>
      <c r="L1720" t="s">
        <v>21</v>
      </c>
      <c r="M1720" t="s">
        <v>19177</v>
      </c>
      <c r="N1720" t="s">
        <v>337</v>
      </c>
      <c r="O1720" t="s">
        <v>337</v>
      </c>
      <c r="P1720" t="s">
        <v>12</v>
      </c>
    </row>
    <row r="1721">
      <c r="A1721">
        <f>HYPERLINK("http://bombeiros.sp.gov.br/hidrantes/03individual/976.html","976")</f>
      </c>
      <c r="B1721" t="s">
        <v>114</v>
      </c>
      <c r="C1721" t="s">
        <v>337</v>
      </c>
      <c r="D1721" t="s">
        <v>337</v>
      </c>
      <c r="E1721" t="s">
        <v>64</v>
      </c>
      <c r="F1721" t="s">
        <v>5943</v>
      </c>
      <c r="G1721" t="s">
        <v>18045</v>
      </c>
      <c r="H1721" t="s">
        <v>1112</v>
      </c>
      <c r="I1721" t="s">
        <v>1108</v>
      </c>
      <c r="J1721" t="s">
        <v>5945</v>
      </c>
      <c r="K1721" t="s">
        <v>5946</v>
      </c>
      <c r="L1721" t="s">
        <v>36</v>
      </c>
      <c r="M1721" t="s">
        <v>19177</v>
      </c>
      <c r="N1721" t="s">
        <v>337</v>
      </c>
      <c r="O1721" t="s">
        <v>337</v>
      </c>
      <c r="P1721" t="s">
        <v>12</v>
      </c>
    </row>
    <row r="1722">
      <c r="A1722">
        <f>HYPERLINK("http://bombeiros.sp.gov.br/hidrantes/03individual/983.html","983")</f>
      </c>
      <c r="B1722" t="s">
        <v>114</v>
      </c>
      <c r="C1722" t="s">
        <v>337</v>
      </c>
      <c r="D1722" t="s">
        <v>337</v>
      </c>
      <c r="E1722" t="s">
        <v>64</v>
      </c>
      <c r="F1722" t="s">
        <v>5947</v>
      </c>
      <c r="G1722" t="s">
        <v>18045</v>
      </c>
      <c r="H1722" t="s">
        <v>1112</v>
      </c>
      <c r="I1722" t="s">
        <v>1108</v>
      </c>
      <c r="J1722" t="s">
        <v>5948</v>
      </c>
      <c r="K1722" t="s">
        <v>5949</v>
      </c>
      <c r="L1722" t="s">
        <v>21</v>
      </c>
      <c r="M1722" t="s">
        <v>19177</v>
      </c>
      <c r="N1722" t="s">
        <v>337</v>
      </c>
      <c r="O1722" t="s">
        <v>337</v>
      </c>
      <c r="P1722" t="s">
        <v>12</v>
      </c>
    </row>
    <row r="1723">
      <c r="A1723">
        <f>HYPERLINK("http://bombeiros.sp.gov.br/hidrantes/03individual/985.html","985")</f>
      </c>
      <c r="B1723" t="s">
        <v>114</v>
      </c>
      <c r="C1723" t="s">
        <v>337</v>
      </c>
      <c r="D1723" t="s">
        <v>337</v>
      </c>
      <c r="E1723" t="s">
        <v>64</v>
      </c>
      <c r="F1723" t="s">
        <v>5950</v>
      </c>
      <c r="G1723" t="s">
        <v>18132</v>
      </c>
      <c r="H1723" t="s">
        <v>1107</v>
      </c>
      <c r="I1723" t="s">
        <v>1108</v>
      </c>
      <c r="J1723" t="s">
        <v>5951</v>
      </c>
      <c r="K1723" t="s">
        <v>5952</v>
      </c>
      <c r="L1723" t="s">
        <v>21</v>
      </c>
      <c r="M1723" t="s">
        <v>19177</v>
      </c>
      <c r="N1723" t="s">
        <v>337</v>
      </c>
      <c r="O1723" t="s">
        <v>337</v>
      </c>
      <c r="P1723" t="s">
        <v>12</v>
      </c>
    </row>
    <row r="1724">
      <c r="A1724">
        <f>HYPERLINK("http://bombeiros.sp.gov.br/hidrantes/03individual/1952.html","1952")</f>
      </c>
      <c r="B1724" t="s">
        <v>114</v>
      </c>
      <c r="C1724" t="s">
        <v>337</v>
      </c>
      <c r="D1724" t="s">
        <v>337</v>
      </c>
      <c r="E1724" t="s">
        <v>64</v>
      </c>
      <c r="F1724" t="s">
        <v>5953</v>
      </c>
      <c r="G1724" t="s">
        <v>18145</v>
      </c>
      <c r="H1724" t="s">
        <v>1121</v>
      </c>
      <c r="I1724" t="s">
        <v>1117</v>
      </c>
      <c r="J1724" t="s">
        <v>17302</v>
      </c>
      <c r="K1724" t="s">
        <v>17303</v>
      </c>
      <c r="L1724" t="s">
        <v>21</v>
      </c>
      <c r="M1724" t="s">
        <v>19177</v>
      </c>
      <c r="N1724" t="s">
        <v>337</v>
      </c>
      <c r="O1724" t="s">
        <v>337</v>
      </c>
      <c r="P1724" t="s">
        <v>12</v>
      </c>
    </row>
    <row r="1725">
      <c r="A1725">
        <f>HYPERLINK("http://bombeiros.sp.gov.br/hidrantes/03individual/4365.html","4365")</f>
      </c>
      <c r="B1725" t="s">
        <v>114</v>
      </c>
      <c r="C1725" t="s">
        <v>337</v>
      </c>
      <c r="D1725" t="s">
        <v>337</v>
      </c>
      <c r="E1725" t="s">
        <v>64</v>
      </c>
      <c r="F1725" t="s">
        <v>5956</v>
      </c>
      <c r="G1725" t="s">
        <v>18195</v>
      </c>
      <c r="H1725" t="s">
        <v>1107</v>
      </c>
      <c r="I1725" t="s">
        <v>1108</v>
      </c>
      <c r="J1725" t="s">
        <v>5957</v>
      </c>
      <c r="K1725" t="s">
        <v>5958</v>
      </c>
      <c r="L1725" t="s">
        <v>36</v>
      </c>
      <c r="M1725" t="s">
        <v>19177</v>
      </c>
      <c r="N1725" t="s">
        <v>337</v>
      </c>
      <c r="O1725" t="s">
        <v>337</v>
      </c>
      <c r="P1725" t="s">
        <v>12</v>
      </c>
    </row>
    <row r="1726">
      <c r="A1726">
        <f>HYPERLINK("http://bombeiros.sp.gov.br/hidrantes/03individual/982.html","982")</f>
      </c>
      <c r="B1726" t="s">
        <v>114</v>
      </c>
      <c r="C1726" t="s">
        <v>337</v>
      </c>
      <c r="D1726" t="s">
        <v>337</v>
      </c>
      <c r="E1726" t="s">
        <v>15</v>
      </c>
      <c r="F1726" t="s">
        <v>5959</v>
      </c>
      <c r="G1726" t="s">
        <v>18042</v>
      </c>
      <c r="H1726" t="s">
        <v>1107</v>
      </c>
      <c r="I1726" t="s">
        <v>1108</v>
      </c>
      <c r="J1726" t="s">
        <v>5960</v>
      </c>
      <c r="K1726" t="s">
        <v>5961</v>
      </c>
      <c r="L1726" t="s">
        <v>21</v>
      </c>
      <c r="M1726" t="s">
        <v>19177</v>
      </c>
      <c r="N1726" t="s">
        <v>337</v>
      </c>
      <c r="O1726" t="s">
        <v>337</v>
      </c>
      <c r="P1726" t="s">
        <v>12</v>
      </c>
    </row>
    <row r="1727">
      <c r="A1727">
        <f>HYPERLINK("http://bombeiros.sp.gov.br/hidrantes/03individual/986.html","986")</f>
      </c>
      <c r="B1727" t="s">
        <v>114</v>
      </c>
      <c r="C1727" t="s">
        <v>337</v>
      </c>
      <c r="D1727" t="s">
        <v>337</v>
      </c>
      <c r="E1727" t="s">
        <v>15</v>
      </c>
      <c r="F1727" t="s">
        <v>5962</v>
      </c>
      <c r="G1727" t="s">
        <v>18042</v>
      </c>
      <c r="H1727" t="s">
        <v>1121</v>
      </c>
      <c r="I1727" t="s">
        <v>1117</v>
      </c>
      <c r="J1727" t="s">
        <v>5963</v>
      </c>
      <c r="K1727" t="s">
        <v>5964</v>
      </c>
      <c r="L1727" t="s">
        <v>21</v>
      </c>
      <c r="M1727" t="s">
        <v>19177</v>
      </c>
      <c r="N1727" t="s">
        <v>337</v>
      </c>
      <c r="O1727" t="s">
        <v>337</v>
      </c>
      <c r="P1727" t="s">
        <v>12</v>
      </c>
    </row>
    <row r="1728">
      <c r="A1728">
        <f>HYPERLINK("http://bombeiros.sp.gov.br/hidrantes/03individual/2040.html","2040")</f>
      </c>
      <c r="B1728" t="s">
        <v>114</v>
      </c>
      <c r="C1728" t="s">
        <v>337</v>
      </c>
      <c r="D1728" t="s">
        <v>337</v>
      </c>
      <c r="E1728" t="s">
        <v>15</v>
      </c>
      <c r="F1728" t="s">
        <v>343</v>
      </c>
      <c r="G1728" t="s">
        <v>18132</v>
      </c>
      <c r="H1728"/>
      <c r="I1728" t="s">
        <v>18</v>
      </c>
      <c r="J1728" t="s">
        <v>345</v>
      </c>
      <c r="K1728" t="s">
        <v>346</v>
      </c>
      <c r="L1728" t="s">
        <v>21</v>
      </c>
      <c r="M1728" t="s">
        <v>19177</v>
      </c>
      <c r="N1728" t="s">
        <v>337</v>
      </c>
      <c r="O1728" t="s">
        <v>337</v>
      </c>
      <c r="P1728" t="s">
        <v>12</v>
      </c>
    </row>
    <row r="1729">
      <c r="A1729">
        <f>HYPERLINK("http://bombeiros.sp.gov.br/hidrantes/03individual/2042.html","2042")</f>
      </c>
      <c r="B1729" t="s">
        <v>114</v>
      </c>
      <c r="C1729" t="s">
        <v>337</v>
      </c>
      <c r="D1729" t="s">
        <v>337</v>
      </c>
      <c r="E1729" t="s">
        <v>15</v>
      </c>
      <c r="F1729" t="s">
        <v>5965</v>
      </c>
      <c r="G1729" t="s">
        <v>18132</v>
      </c>
      <c r="H1729" t="s">
        <v>1121</v>
      </c>
      <c r="I1729" t="s">
        <v>1117</v>
      </c>
      <c r="J1729" t="s">
        <v>5966</v>
      </c>
      <c r="K1729" t="s">
        <v>5967</v>
      </c>
      <c r="L1729" t="s">
        <v>21</v>
      </c>
      <c r="M1729" t="s">
        <v>19177</v>
      </c>
      <c r="N1729" t="s">
        <v>337</v>
      </c>
      <c r="O1729" t="s">
        <v>337</v>
      </c>
      <c r="P1729" t="s">
        <v>12</v>
      </c>
    </row>
    <row r="1730">
      <c r="A1730">
        <f>HYPERLINK("http://bombeiros.sp.gov.br/hidrantes/03individual/2064.html","2064")</f>
      </c>
      <c r="B1730" t="s">
        <v>114</v>
      </c>
      <c r="C1730" t="s">
        <v>337</v>
      </c>
      <c r="D1730" t="s">
        <v>337</v>
      </c>
      <c r="E1730" t="s">
        <v>15</v>
      </c>
      <c r="F1730" t="s">
        <v>5968</v>
      </c>
      <c r="G1730" t="s">
        <v>18042</v>
      </c>
      <c r="H1730" t="s">
        <v>1107</v>
      </c>
      <c r="I1730" t="s">
        <v>1108</v>
      </c>
      <c r="J1730" t="s">
        <v>5969</v>
      </c>
      <c r="K1730" t="s">
        <v>5970</v>
      </c>
      <c r="L1730" t="s">
        <v>21</v>
      </c>
      <c r="M1730" t="s">
        <v>19177</v>
      </c>
      <c r="N1730" t="s">
        <v>337</v>
      </c>
      <c r="O1730" t="s">
        <v>337</v>
      </c>
      <c r="P1730" t="s">
        <v>12</v>
      </c>
    </row>
    <row r="1731">
      <c r="A1731">
        <f>HYPERLINK("http://bombeiros.sp.gov.br/hidrantes/03individual/3785.html","3785")</f>
      </c>
      <c r="B1731" t="s">
        <v>114</v>
      </c>
      <c r="C1731" t="s">
        <v>337</v>
      </c>
      <c r="D1731" t="s">
        <v>337</v>
      </c>
      <c r="E1731" t="s">
        <v>15</v>
      </c>
      <c r="F1731" t="s">
        <v>5971</v>
      </c>
      <c r="G1731" t="s">
        <v>18097</v>
      </c>
      <c r="H1731" t="s">
        <v>1112</v>
      </c>
      <c r="I1731" t="s">
        <v>1108</v>
      </c>
      <c r="J1731" t="s">
        <v>5972</v>
      </c>
      <c r="K1731" t="s">
        <v>5973</v>
      </c>
      <c r="L1731" t="s">
        <v>21</v>
      </c>
      <c r="M1731" t="s">
        <v>19177</v>
      </c>
      <c r="N1731" t="s">
        <v>337</v>
      </c>
      <c r="O1731" t="s">
        <v>337</v>
      </c>
      <c r="P1731" t="s">
        <v>12</v>
      </c>
    </row>
    <row r="1732">
      <c r="A1732">
        <f>HYPERLINK("http://bombeiros.sp.gov.br/hidrantes/03individual/3862.html","3862")</f>
      </c>
      <c r="B1732" t="s">
        <v>114</v>
      </c>
      <c r="C1732" t="s">
        <v>337</v>
      </c>
      <c r="D1732" t="s">
        <v>337</v>
      </c>
      <c r="E1732" t="s">
        <v>15</v>
      </c>
      <c r="F1732" t="s">
        <v>5974</v>
      </c>
      <c r="G1732" t="s">
        <v>18074</v>
      </c>
      <c r="H1732" t="s">
        <v>1107</v>
      </c>
      <c r="I1732" t="s">
        <v>1108</v>
      </c>
      <c r="J1732" t="s">
        <v>5975</v>
      </c>
      <c r="K1732" t="s">
        <v>5976</v>
      </c>
      <c r="L1732" t="s">
        <v>21</v>
      </c>
      <c r="M1732" t="s">
        <v>19177</v>
      </c>
      <c r="N1732" t="s">
        <v>337</v>
      </c>
      <c r="O1732" t="s">
        <v>337</v>
      </c>
      <c r="P1732" t="s">
        <v>12</v>
      </c>
    </row>
    <row r="1733">
      <c r="A1733">
        <f>HYPERLINK("http://bombeiros.sp.gov.br/hidrantes/03individual/4206.html","4206")</f>
      </c>
      <c r="B1733" t="s">
        <v>114</v>
      </c>
      <c r="C1733" t="s">
        <v>337</v>
      </c>
      <c r="D1733" t="s">
        <v>337</v>
      </c>
      <c r="E1733" t="s">
        <v>15</v>
      </c>
      <c r="F1733" t="s">
        <v>5977</v>
      </c>
      <c r="G1733" t="s">
        <v>18051</v>
      </c>
      <c r="H1733" t="s">
        <v>1121</v>
      </c>
      <c r="I1733" t="s">
        <v>1117</v>
      </c>
      <c r="J1733" t="s">
        <v>5978</v>
      </c>
      <c r="K1733" t="s">
        <v>5979</v>
      </c>
      <c r="L1733" t="s">
        <v>36</v>
      </c>
      <c r="M1733" t="s">
        <v>19177</v>
      </c>
      <c r="N1733" t="s">
        <v>337</v>
      </c>
      <c r="O1733" t="s">
        <v>337</v>
      </c>
      <c r="P1733" t="s">
        <v>12</v>
      </c>
    </row>
    <row r="1734">
      <c r="A1734">
        <f>HYPERLINK("http://bombeiros.sp.gov.br/hidrantes/03individual/6787.html","6787")</f>
      </c>
      <c r="B1734" t="s">
        <v>114</v>
      </c>
      <c r="C1734" t="s">
        <v>337</v>
      </c>
      <c r="D1734" t="s">
        <v>337</v>
      </c>
      <c r="E1734" t="s">
        <v>15</v>
      </c>
      <c r="F1734" t="s">
        <v>5980</v>
      </c>
      <c r="G1734" t="s">
        <v>18055</v>
      </c>
      <c r="H1734" t="s">
        <v>1112</v>
      </c>
      <c r="I1734" t="s">
        <v>1108</v>
      </c>
      <c r="J1734" t="s">
        <v>5981</v>
      </c>
      <c r="K1734" t="s">
        <v>5982</v>
      </c>
      <c r="L1734" t="s">
        <v>36</v>
      </c>
      <c r="M1734" t="s">
        <v>19177</v>
      </c>
      <c r="N1734" t="s">
        <v>337</v>
      </c>
      <c r="O1734" t="s">
        <v>337</v>
      </c>
      <c r="P1734" t="s">
        <v>12</v>
      </c>
    </row>
    <row r="1735">
      <c r="A1735">
        <f>HYPERLINK("http://bombeiros.sp.gov.br/hidrantes/03individual/17732.html","17732")</f>
      </c>
      <c r="B1735" t="s">
        <v>114</v>
      </c>
      <c r="C1735" t="s">
        <v>337</v>
      </c>
      <c r="D1735" t="s">
        <v>337</v>
      </c>
      <c r="E1735" t="s">
        <v>15</v>
      </c>
      <c r="F1735" t="s">
        <v>5983</v>
      </c>
      <c r="G1735" t="s">
        <v>18067</v>
      </c>
      <c r="H1735" t="s">
        <v>1112</v>
      </c>
      <c r="I1735" t="s">
        <v>1108</v>
      </c>
      <c r="J1735" t="s">
        <v>5984</v>
      </c>
      <c r="K1735" t="s">
        <v>5985</v>
      </c>
      <c r="L1735" t="s">
        <v>21</v>
      </c>
      <c r="M1735" t="s">
        <v>19177</v>
      </c>
      <c r="N1735" t="s">
        <v>337</v>
      </c>
      <c r="O1735" t="s">
        <v>337</v>
      </c>
      <c r="P1735" t="s">
        <v>12</v>
      </c>
    </row>
    <row r="1736">
      <c r="A1736">
        <f>HYPERLINK("http://bombeiros.sp.gov.br/hidrantes/03individual/26813.html","26813")</f>
      </c>
      <c r="B1736" t="s">
        <v>114</v>
      </c>
      <c r="C1736" t="s">
        <v>337</v>
      </c>
      <c r="D1736" t="s">
        <v>337</v>
      </c>
      <c r="E1736" t="s">
        <v>15</v>
      </c>
      <c r="F1736" t="s">
        <v>16059</v>
      </c>
      <c r="G1736" t="s">
        <v>18067</v>
      </c>
      <c r="H1736" t="s">
        <v>1174</v>
      </c>
      <c r="I1736" t="s">
        <v>1108</v>
      </c>
      <c r="J1736" t="s">
        <v>16060</v>
      </c>
      <c r="K1736" t="s">
        <v>16061</v>
      </c>
      <c r="L1736" t="s">
        <v>21</v>
      </c>
      <c r="M1736" t="s">
        <v>19177</v>
      </c>
      <c r="N1736" t="s">
        <v>337</v>
      </c>
      <c r="O1736" t="s">
        <v>337</v>
      </c>
      <c r="P1736" t="s">
        <v>12</v>
      </c>
    </row>
    <row r="1737">
      <c r="A1737">
        <f>HYPERLINK("http://bombeiros.sp.gov.br/hidrantes/03individual/4340.html","4340")</f>
      </c>
      <c r="B1737" t="s">
        <v>114</v>
      </c>
      <c r="C1737" t="s">
        <v>347</v>
      </c>
      <c r="D1737" t="s">
        <v>348</v>
      </c>
      <c r="E1737" t="s">
        <v>64</v>
      </c>
      <c r="F1737" t="s">
        <v>5986</v>
      </c>
      <c r="G1737" t="s">
        <v>18092</v>
      </c>
      <c r="H1737" t="s">
        <v>1112</v>
      </c>
      <c r="I1737" t="s">
        <v>1108</v>
      </c>
      <c r="J1737" t="s">
        <v>5988</v>
      </c>
      <c r="K1737" t="s">
        <v>5989</v>
      </c>
      <c r="L1737" t="s">
        <v>21</v>
      </c>
      <c r="M1737" t="s">
        <v>19177</v>
      </c>
      <c r="N1737" t="s">
        <v>6029</v>
      </c>
      <c r="O1737" t="s">
        <v>6029</v>
      </c>
      <c r="P1737" t="s">
        <v>114</v>
      </c>
    </row>
    <row r="1738">
      <c r="A1738">
        <f>HYPERLINK("http://bombeiros.sp.gov.br/hidrantes/03individual/25235.html","25235")</f>
      </c>
      <c r="B1738" t="s">
        <v>114</v>
      </c>
      <c r="C1738" t="s">
        <v>347</v>
      </c>
      <c r="D1738" t="s">
        <v>348</v>
      </c>
      <c r="E1738" t="s">
        <v>64</v>
      </c>
      <c r="F1738" t="s">
        <v>5990</v>
      </c>
      <c r="G1738" t="s">
        <v>18105</v>
      </c>
      <c r="H1738" t="s">
        <v>1121</v>
      </c>
      <c r="I1738" t="s">
        <v>1117</v>
      </c>
      <c r="J1738" t="s">
        <v>5991</v>
      </c>
      <c r="K1738" t="s">
        <v>5992</v>
      </c>
      <c r="L1738" t="s">
        <v>21</v>
      </c>
      <c r="M1738" t="s">
        <v>19177</v>
      </c>
      <c r="N1738" t="s">
        <v>6029</v>
      </c>
      <c r="O1738" t="s">
        <v>6029</v>
      </c>
      <c r="P1738" t="s">
        <v>114</v>
      </c>
    </row>
    <row r="1739">
      <c r="A1739">
        <f>HYPERLINK("http://bombeiros.sp.gov.br/hidrantes/03individual/2019.html","2019")</f>
      </c>
      <c r="B1739" t="s">
        <v>114</v>
      </c>
      <c r="C1739" t="s">
        <v>347</v>
      </c>
      <c r="D1739" t="s">
        <v>348</v>
      </c>
      <c r="E1739" t="s">
        <v>15</v>
      </c>
      <c r="F1739" t="s">
        <v>5993</v>
      </c>
      <c r="G1739" t="s">
        <v>18105</v>
      </c>
      <c r="H1739" t="s">
        <v>1107</v>
      </c>
      <c r="I1739" t="s">
        <v>1108</v>
      </c>
      <c r="J1739" t="s">
        <v>5994</v>
      </c>
      <c r="K1739" t="s">
        <v>5995</v>
      </c>
      <c r="L1739" t="s">
        <v>36</v>
      </c>
      <c r="M1739" t="s">
        <v>19177</v>
      </c>
      <c r="N1739" t="s">
        <v>6029</v>
      </c>
      <c r="O1739" t="s">
        <v>6029</v>
      </c>
      <c r="P1739" t="s">
        <v>114</v>
      </c>
    </row>
    <row r="1740">
      <c r="A1740">
        <f>HYPERLINK("http://bombeiros.sp.gov.br/hidrantes/03individual/2034.html","2034")</f>
      </c>
      <c r="B1740" t="s">
        <v>114</v>
      </c>
      <c r="C1740" t="s">
        <v>347</v>
      </c>
      <c r="D1740" t="s">
        <v>348</v>
      </c>
      <c r="E1740" t="s">
        <v>15</v>
      </c>
      <c r="F1740" t="s">
        <v>349</v>
      </c>
      <c r="G1740" t="s">
        <v>18043</v>
      </c>
      <c r="H1740"/>
      <c r="I1740" t="s">
        <v>18</v>
      </c>
      <c r="J1740" t="s">
        <v>350</v>
      </c>
      <c r="K1740" t="s">
        <v>351</v>
      </c>
      <c r="L1740" t="s">
        <v>21</v>
      </c>
      <c r="M1740" t="s">
        <v>19177</v>
      </c>
      <c r="N1740" t="s">
        <v>6029</v>
      </c>
      <c r="O1740" t="s">
        <v>6029</v>
      </c>
      <c r="P1740" t="s">
        <v>114</v>
      </c>
    </row>
    <row r="1741">
      <c r="A1741">
        <f>HYPERLINK("http://bombeiros.sp.gov.br/hidrantes/03individual/2036.html","2036")</f>
      </c>
      <c r="B1741" t="s">
        <v>114</v>
      </c>
      <c r="C1741" t="s">
        <v>347</v>
      </c>
      <c r="D1741" t="s">
        <v>348</v>
      </c>
      <c r="E1741" t="s">
        <v>15</v>
      </c>
      <c r="F1741" t="s">
        <v>5996</v>
      </c>
      <c r="G1741" t="s">
        <v>18145</v>
      </c>
      <c r="H1741" t="s">
        <v>1107</v>
      </c>
      <c r="I1741" t="s">
        <v>1108</v>
      </c>
      <c r="J1741" t="s">
        <v>5997</v>
      </c>
      <c r="K1741" t="s">
        <v>5998</v>
      </c>
      <c r="L1741" t="s">
        <v>21</v>
      </c>
      <c r="M1741" t="s">
        <v>19177</v>
      </c>
      <c r="N1741" t="s">
        <v>6029</v>
      </c>
      <c r="O1741" t="s">
        <v>6029</v>
      </c>
      <c r="P1741" t="s">
        <v>114</v>
      </c>
    </row>
    <row r="1742">
      <c r="A1742">
        <f>HYPERLINK("http://bombeiros.sp.gov.br/hidrantes/03individual/2045.html","2045")</f>
      </c>
      <c r="B1742" t="s">
        <v>114</v>
      </c>
      <c r="C1742" t="s">
        <v>347</v>
      </c>
      <c r="D1742" t="s">
        <v>348</v>
      </c>
      <c r="E1742" t="s">
        <v>15</v>
      </c>
      <c r="F1742" t="s">
        <v>5999</v>
      </c>
      <c r="G1742" t="s">
        <v>18145</v>
      </c>
      <c r="H1742" t="s">
        <v>1112</v>
      </c>
      <c r="I1742" t="s">
        <v>1108</v>
      </c>
      <c r="J1742" t="s">
        <v>6000</v>
      </c>
      <c r="K1742" t="s">
        <v>6001</v>
      </c>
      <c r="L1742" t="s">
        <v>21</v>
      </c>
      <c r="M1742" t="s">
        <v>19177</v>
      </c>
      <c r="N1742" t="s">
        <v>6029</v>
      </c>
      <c r="O1742" t="s">
        <v>6029</v>
      </c>
      <c r="P1742" t="s">
        <v>114</v>
      </c>
    </row>
    <row r="1743">
      <c r="A1743">
        <f>HYPERLINK("http://bombeiros.sp.gov.br/hidrantes/03individual/2057.html","2057")</f>
      </c>
      <c r="B1743" t="s">
        <v>114</v>
      </c>
      <c r="C1743" t="s">
        <v>347</v>
      </c>
      <c r="D1743" t="s">
        <v>348</v>
      </c>
      <c r="E1743" t="s">
        <v>15</v>
      </c>
      <c r="F1743" t="s">
        <v>6002</v>
      </c>
      <c r="G1743" t="s">
        <v>18145</v>
      </c>
      <c r="H1743" t="s">
        <v>1112</v>
      </c>
      <c r="I1743" t="s">
        <v>1108</v>
      </c>
      <c r="J1743" t="s">
        <v>6003</v>
      </c>
      <c r="K1743" t="s">
        <v>6004</v>
      </c>
      <c r="L1743" t="s">
        <v>21</v>
      </c>
      <c r="M1743" t="s">
        <v>19177</v>
      </c>
      <c r="N1743" t="s">
        <v>6029</v>
      </c>
      <c r="O1743" t="s">
        <v>6029</v>
      </c>
      <c r="P1743" t="s">
        <v>114</v>
      </c>
    </row>
    <row r="1744">
      <c r="A1744">
        <f>HYPERLINK("http://bombeiros.sp.gov.br/hidrantes/03individual/3440.html","3440")</f>
      </c>
      <c r="B1744" t="s">
        <v>114</v>
      </c>
      <c r="C1744" t="s">
        <v>347</v>
      </c>
      <c r="D1744" t="s">
        <v>348</v>
      </c>
      <c r="E1744" t="s">
        <v>15</v>
      </c>
      <c r="F1744" t="s">
        <v>6005</v>
      </c>
      <c r="G1744" t="s">
        <v>18092</v>
      </c>
      <c r="H1744"/>
      <c r="I1744" t="s">
        <v>18</v>
      </c>
      <c r="J1744" t="s">
        <v>6006</v>
      </c>
      <c r="K1744" t="s">
        <v>6007</v>
      </c>
      <c r="L1744" t="s">
        <v>21</v>
      </c>
      <c r="M1744" t="s">
        <v>19177</v>
      </c>
      <c r="N1744" t="s">
        <v>6029</v>
      </c>
      <c r="O1744" t="s">
        <v>6029</v>
      </c>
      <c r="P1744" t="s">
        <v>114</v>
      </c>
    </row>
    <row r="1745">
      <c r="A1745">
        <f>HYPERLINK("http://bombeiros.sp.gov.br/hidrantes/03individual/3443.html","3443")</f>
      </c>
      <c r="B1745" t="s">
        <v>114</v>
      </c>
      <c r="C1745" t="s">
        <v>347</v>
      </c>
      <c r="D1745" t="s">
        <v>348</v>
      </c>
      <c r="E1745" t="s">
        <v>15</v>
      </c>
      <c r="F1745" t="s">
        <v>6008</v>
      </c>
      <c r="G1745" t="s">
        <v>18075</v>
      </c>
      <c r="H1745" t="s">
        <v>1112</v>
      </c>
      <c r="I1745" t="s">
        <v>1108</v>
      </c>
      <c r="J1745" t="s">
        <v>6009</v>
      </c>
      <c r="K1745" t="s">
        <v>6010</v>
      </c>
      <c r="L1745" t="s">
        <v>21</v>
      </c>
      <c r="M1745" t="s">
        <v>19177</v>
      </c>
      <c r="N1745" t="s">
        <v>272</v>
      </c>
      <c r="O1745" t="s">
        <v>272</v>
      </c>
      <c r="P1745" t="s">
        <v>114</v>
      </c>
    </row>
    <row r="1746">
      <c r="A1746">
        <f>HYPERLINK("http://bombeiros.sp.gov.br/hidrantes/03individual/3511.html","3511")</f>
      </c>
      <c r="B1746" t="s">
        <v>114</v>
      </c>
      <c r="C1746" t="s">
        <v>347</v>
      </c>
      <c r="D1746" t="s">
        <v>348</v>
      </c>
      <c r="E1746" t="s">
        <v>15</v>
      </c>
      <c r="F1746" t="s">
        <v>6011</v>
      </c>
      <c r="G1746" t="s">
        <v>18105</v>
      </c>
      <c r="H1746" t="s">
        <v>1112</v>
      </c>
      <c r="I1746" t="s">
        <v>1108</v>
      </c>
      <c r="J1746" t="s">
        <v>6012</v>
      </c>
      <c r="K1746" t="s">
        <v>6013</v>
      </c>
      <c r="L1746" t="s">
        <v>21</v>
      </c>
      <c r="M1746" t="s">
        <v>19177</v>
      </c>
      <c r="N1746" t="s">
        <v>6029</v>
      </c>
      <c r="O1746" t="s">
        <v>6029</v>
      </c>
      <c r="P1746" t="s">
        <v>114</v>
      </c>
    </row>
    <row r="1747">
      <c r="A1747">
        <f>HYPERLINK("http://bombeiros.sp.gov.br/hidrantes/03individual/3513.html","3513")</f>
      </c>
      <c r="B1747" t="s">
        <v>114</v>
      </c>
      <c r="C1747" t="s">
        <v>347</v>
      </c>
      <c r="D1747" t="s">
        <v>348</v>
      </c>
      <c r="E1747" t="s">
        <v>15</v>
      </c>
      <c r="F1747" t="s">
        <v>6014</v>
      </c>
      <c r="G1747" t="s">
        <v>18105</v>
      </c>
      <c r="H1747" t="s">
        <v>1107</v>
      </c>
      <c r="I1747" t="s">
        <v>1108</v>
      </c>
      <c r="J1747" t="s">
        <v>6015</v>
      </c>
      <c r="K1747" t="s">
        <v>6016</v>
      </c>
      <c r="L1747" t="s">
        <v>21</v>
      </c>
      <c r="M1747" t="s">
        <v>19177</v>
      </c>
      <c r="N1747" t="s">
        <v>6029</v>
      </c>
      <c r="O1747" t="s">
        <v>6029</v>
      </c>
      <c r="P1747" t="s">
        <v>114</v>
      </c>
    </row>
    <row r="1748">
      <c r="A1748">
        <f>HYPERLINK("http://bombeiros.sp.gov.br/hidrantes/03individual/3531.html","3531")</f>
      </c>
      <c r="B1748" t="s">
        <v>114</v>
      </c>
      <c r="C1748" t="s">
        <v>347</v>
      </c>
      <c r="D1748" t="s">
        <v>348</v>
      </c>
      <c r="E1748" t="s">
        <v>15</v>
      </c>
      <c r="F1748" t="s">
        <v>6017</v>
      </c>
      <c r="G1748" t="s">
        <v>18092</v>
      </c>
      <c r="H1748" t="s">
        <v>1112</v>
      </c>
      <c r="I1748" t="s">
        <v>1108</v>
      </c>
      <c r="J1748" t="s">
        <v>6018</v>
      </c>
      <c r="K1748" t="s">
        <v>6019</v>
      </c>
      <c r="L1748" t="s">
        <v>21</v>
      </c>
      <c r="M1748" t="s">
        <v>19177</v>
      </c>
      <c r="N1748" t="s">
        <v>6029</v>
      </c>
      <c r="O1748" t="s">
        <v>6029</v>
      </c>
      <c r="P1748" t="s">
        <v>114</v>
      </c>
    </row>
    <row r="1749">
      <c r="A1749">
        <f>HYPERLINK("http://bombeiros.sp.gov.br/hidrantes/03individual/3549.html","3549")</f>
      </c>
      <c r="B1749" t="s">
        <v>114</v>
      </c>
      <c r="C1749" t="s">
        <v>347</v>
      </c>
      <c r="D1749" t="s">
        <v>348</v>
      </c>
      <c r="E1749" t="s">
        <v>15</v>
      </c>
      <c r="F1749" t="s">
        <v>6020</v>
      </c>
      <c r="G1749" t="s">
        <v>18043</v>
      </c>
      <c r="H1749" t="s">
        <v>1112</v>
      </c>
      <c r="I1749" t="s">
        <v>1108</v>
      </c>
      <c r="J1749" t="s">
        <v>6021</v>
      </c>
      <c r="K1749" t="s">
        <v>6022</v>
      </c>
      <c r="L1749" t="s">
        <v>21</v>
      </c>
      <c r="M1749" t="s">
        <v>19177</v>
      </c>
      <c r="N1749" t="s">
        <v>6029</v>
      </c>
      <c r="O1749" t="s">
        <v>6029</v>
      </c>
      <c r="P1749" t="s">
        <v>114</v>
      </c>
    </row>
    <row r="1750">
      <c r="A1750">
        <f>HYPERLINK("http://bombeiros.sp.gov.br/hidrantes/03individual/17793.html","17793")</f>
      </c>
      <c r="B1750" t="s">
        <v>114</v>
      </c>
      <c r="C1750" t="s">
        <v>347</v>
      </c>
      <c r="D1750" t="s">
        <v>348</v>
      </c>
      <c r="E1750" t="s">
        <v>15</v>
      </c>
      <c r="F1750" t="s">
        <v>6023</v>
      </c>
      <c r="G1750" t="s">
        <v>18105</v>
      </c>
      <c r="H1750" t="s">
        <v>1174</v>
      </c>
      <c r="I1750" t="s">
        <v>1108</v>
      </c>
      <c r="J1750" t="s">
        <v>16358</v>
      </c>
      <c r="K1750" t="s">
        <v>16359</v>
      </c>
      <c r="L1750" t="s">
        <v>21</v>
      </c>
      <c r="M1750" t="s">
        <v>19177</v>
      </c>
      <c r="N1750" t="s">
        <v>6029</v>
      </c>
      <c r="O1750" t="s">
        <v>6029</v>
      </c>
      <c r="P1750" t="s">
        <v>114</v>
      </c>
    </row>
    <row r="1751">
      <c r="A1751">
        <f>HYPERLINK("http://bombeiros.sp.gov.br/hidrantes/03individual/17796.html","17796")</f>
      </c>
      <c r="B1751" t="s">
        <v>114</v>
      </c>
      <c r="C1751" t="s">
        <v>347</v>
      </c>
      <c r="D1751" t="s">
        <v>348</v>
      </c>
      <c r="E1751" t="s">
        <v>15</v>
      </c>
      <c r="F1751" t="s">
        <v>352</v>
      </c>
      <c r="G1751" t="s">
        <v>18105</v>
      </c>
      <c r="H1751" t="s">
        <v>1107</v>
      </c>
      <c r="I1751" t="s">
        <v>1108</v>
      </c>
      <c r="J1751" t="s">
        <v>354</v>
      </c>
      <c r="K1751" t="s">
        <v>355</v>
      </c>
      <c r="L1751" t="s">
        <v>21</v>
      </c>
      <c r="M1751" t="s">
        <v>19177</v>
      </c>
      <c r="N1751" t="s">
        <v>6029</v>
      </c>
      <c r="O1751" t="s">
        <v>6029</v>
      </c>
      <c r="P1751" t="s">
        <v>114</v>
      </c>
    </row>
    <row r="1752">
      <c r="A1752">
        <f>HYPERLINK("http://bombeiros.sp.gov.br/hidrantes/03individual/17863.html","17863")</f>
      </c>
      <c r="B1752" t="s">
        <v>114</v>
      </c>
      <c r="C1752" t="s">
        <v>347</v>
      </c>
      <c r="D1752" t="s">
        <v>348</v>
      </c>
      <c r="E1752" t="s">
        <v>15</v>
      </c>
      <c r="F1752" t="s">
        <v>6026</v>
      </c>
      <c r="G1752" t="s">
        <v>18094</v>
      </c>
      <c r="H1752" t="s">
        <v>1121</v>
      </c>
      <c r="I1752" t="s">
        <v>1117</v>
      </c>
      <c r="J1752" t="s">
        <v>6027</v>
      </c>
      <c r="K1752" t="s">
        <v>6028</v>
      </c>
      <c r="L1752" t="s">
        <v>21</v>
      </c>
      <c r="M1752" t="s">
        <v>19177</v>
      </c>
      <c r="N1752" t="s">
        <v>6029</v>
      </c>
      <c r="O1752" t="s">
        <v>6029</v>
      </c>
      <c r="P1752" t="s">
        <v>114</v>
      </c>
    </row>
    <row r="1753">
      <c r="A1753">
        <f>HYPERLINK("http://bombeiros.sp.gov.br/hidrantes/03individual/4423.html","4423")</f>
      </c>
      <c r="B1753" t="s">
        <v>114</v>
      </c>
      <c r="C1753" t="s">
        <v>347</v>
      </c>
      <c r="D1753" t="s">
        <v>6029</v>
      </c>
      <c r="E1753" t="s">
        <v>1507</v>
      </c>
      <c r="F1753" t="s">
        <v>6030</v>
      </c>
      <c r="G1753" t="s">
        <v>18095</v>
      </c>
      <c r="H1753" t="s">
        <v>1112</v>
      </c>
      <c r="I1753" t="s">
        <v>1108</v>
      </c>
      <c r="J1753" t="s">
        <v>6031</v>
      </c>
      <c r="K1753" t="s">
        <v>6032</v>
      </c>
      <c r="L1753" t="s">
        <v>21</v>
      </c>
      <c r="M1753" t="s">
        <v>19177</v>
      </c>
      <c r="N1753" t="s">
        <v>6029</v>
      </c>
      <c r="O1753" t="s">
        <v>6029</v>
      </c>
      <c r="P1753" t="s">
        <v>114</v>
      </c>
    </row>
    <row r="1754">
      <c r="A1754">
        <f>HYPERLINK("http://bombeiros.sp.gov.br/hidrantes/03individual/3486.html","3486")</f>
      </c>
      <c r="B1754" t="s">
        <v>114</v>
      </c>
      <c r="C1754" t="s">
        <v>347</v>
      </c>
      <c r="D1754" t="s">
        <v>6029</v>
      </c>
      <c r="E1754" t="s">
        <v>64</v>
      </c>
      <c r="F1754" t="s">
        <v>6033</v>
      </c>
      <c r="G1754" t="s">
        <v>18095</v>
      </c>
      <c r="H1754" t="s">
        <v>1112</v>
      </c>
      <c r="I1754" t="s">
        <v>1108</v>
      </c>
      <c r="J1754" t="s">
        <v>6034</v>
      </c>
      <c r="K1754" t="s">
        <v>6035</v>
      </c>
      <c r="L1754" t="s">
        <v>36</v>
      </c>
      <c r="M1754" t="s">
        <v>19177</v>
      </c>
      <c r="N1754" t="s">
        <v>6029</v>
      </c>
      <c r="O1754" t="s">
        <v>6029</v>
      </c>
      <c r="P1754" t="s">
        <v>114</v>
      </c>
    </row>
    <row r="1755">
      <c r="A1755">
        <f>HYPERLINK("http://bombeiros.sp.gov.br/hidrantes/03individual/1986.html","1986")</f>
      </c>
      <c r="B1755" t="s">
        <v>114</v>
      </c>
      <c r="C1755" t="s">
        <v>347</v>
      </c>
      <c r="D1755" t="s">
        <v>6029</v>
      </c>
      <c r="E1755" t="s">
        <v>15</v>
      </c>
      <c r="F1755" t="s">
        <v>6036</v>
      </c>
      <c r="G1755" t="s">
        <v>18077</v>
      </c>
      <c r="H1755" t="s">
        <v>1112</v>
      </c>
      <c r="I1755" t="s">
        <v>1108</v>
      </c>
      <c r="J1755" t="s">
        <v>6037</v>
      </c>
      <c r="K1755" t="s">
        <v>6038</v>
      </c>
      <c r="L1755" t="s">
        <v>21</v>
      </c>
      <c r="M1755" t="s">
        <v>19177</v>
      </c>
      <c r="N1755" t="s">
        <v>6029</v>
      </c>
      <c r="O1755" t="s">
        <v>6029</v>
      </c>
      <c r="P1755" t="s">
        <v>114</v>
      </c>
    </row>
    <row r="1756">
      <c r="A1756">
        <f>HYPERLINK("http://bombeiros.sp.gov.br/hidrantes/03individual/2024.html","2024")</f>
      </c>
      <c r="B1756" t="s">
        <v>114</v>
      </c>
      <c r="C1756" t="s">
        <v>347</v>
      </c>
      <c r="D1756" t="s">
        <v>6029</v>
      </c>
      <c r="E1756" t="s">
        <v>15</v>
      </c>
      <c r="F1756" t="s">
        <v>6039</v>
      </c>
      <c r="G1756" t="s">
        <v>18077</v>
      </c>
      <c r="H1756" t="s">
        <v>1107</v>
      </c>
      <c r="I1756" t="s">
        <v>1108</v>
      </c>
      <c r="J1756" t="s">
        <v>6040</v>
      </c>
      <c r="K1756" t="s">
        <v>6041</v>
      </c>
      <c r="L1756" t="s">
        <v>21</v>
      </c>
      <c r="M1756" t="s">
        <v>19177</v>
      </c>
      <c r="N1756" t="s">
        <v>6029</v>
      </c>
      <c r="O1756" t="s">
        <v>6029</v>
      </c>
      <c r="P1756" t="s">
        <v>114</v>
      </c>
    </row>
    <row r="1757">
      <c r="A1757">
        <f>HYPERLINK("http://bombeiros.sp.gov.br/hidrantes/03individual/3447.html","3447")</f>
      </c>
      <c r="B1757" t="s">
        <v>114</v>
      </c>
      <c r="C1757" t="s">
        <v>347</v>
      </c>
      <c r="D1757" t="s">
        <v>6029</v>
      </c>
      <c r="E1757" t="s">
        <v>15</v>
      </c>
      <c r="F1757" t="s">
        <v>6042</v>
      </c>
      <c r="G1757" t="s">
        <v>18095</v>
      </c>
      <c r="H1757" t="s">
        <v>1121</v>
      </c>
      <c r="I1757" t="s">
        <v>1117</v>
      </c>
      <c r="J1757" t="s">
        <v>6043</v>
      </c>
      <c r="K1757" t="s">
        <v>6044</v>
      </c>
      <c r="L1757" t="s">
        <v>21</v>
      </c>
      <c r="M1757" t="s">
        <v>19177</v>
      </c>
      <c r="N1757" t="s">
        <v>6029</v>
      </c>
      <c r="O1757" t="s">
        <v>6029</v>
      </c>
      <c r="P1757" t="s">
        <v>114</v>
      </c>
    </row>
    <row r="1758">
      <c r="A1758">
        <f>HYPERLINK("http://bombeiros.sp.gov.br/hidrantes/03individual/3448.html","3448")</f>
      </c>
      <c r="B1758" t="s">
        <v>114</v>
      </c>
      <c r="C1758" t="s">
        <v>347</v>
      </c>
      <c r="D1758" t="s">
        <v>6029</v>
      </c>
      <c r="E1758" t="s">
        <v>15</v>
      </c>
      <c r="F1758" t="s">
        <v>6045</v>
      </c>
      <c r="G1758" t="s">
        <v>18095</v>
      </c>
      <c r="H1758" t="s">
        <v>1112</v>
      </c>
      <c r="I1758" t="s">
        <v>1108</v>
      </c>
      <c r="J1758" t="s">
        <v>6046</v>
      </c>
      <c r="K1758" t="s">
        <v>6047</v>
      </c>
      <c r="L1758" t="s">
        <v>21</v>
      </c>
      <c r="M1758" t="s">
        <v>19177</v>
      </c>
      <c r="N1758" t="s">
        <v>6029</v>
      </c>
      <c r="O1758" t="s">
        <v>6029</v>
      </c>
      <c r="P1758" t="s">
        <v>114</v>
      </c>
    </row>
    <row r="1759">
      <c r="A1759">
        <f>HYPERLINK("http://bombeiros.sp.gov.br/hidrantes/03individual/3452.html","3452")</f>
      </c>
      <c r="B1759" t="s">
        <v>114</v>
      </c>
      <c r="C1759" t="s">
        <v>347</v>
      </c>
      <c r="D1759" t="s">
        <v>6029</v>
      </c>
      <c r="E1759" t="s">
        <v>15</v>
      </c>
      <c r="F1759" t="s">
        <v>6048</v>
      </c>
      <c r="G1759" t="s">
        <v>18043</v>
      </c>
      <c r="H1759" t="s">
        <v>1112</v>
      </c>
      <c r="I1759" t="s">
        <v>1108</v>
      </c>
      <c r="J1759" t="s">
        <v>6049</v>
      </c>
      <c r="K1759" t="s">
        <v>6050</v>
      </c>
      <c r="L1759" t="s">
        <v>21</v>
      </c>
      <c r="M1759" t="s">
        <v>19177</v>
      </c>
      <c r="N1759" t="s">
        <v>6029</v>
      </c>
      <c r="O1759" t="s">
        <v>6029</v>
      </c>
      <c r="P1759" t="s">
        <v>114</v>
      </c>
    </row>
    <row r="1760">
      <c r="A1760">
        <f>HYPERLINK("http://bombeiros.sp.gov.br/hidrantes/03individual/3473.html","3473")</f>
      </c>
      <c r="B1760" t="s">
        <v>114</v>
      </c>
      <c r="C1760" t="s">
        <v>347</v>
      </c>
      <c r="D1760" t="s">
        <v>6029</v>
      </c>
      <c r="E1760" t="s">
        <v>15</v>
      </c>
      <c r="F1760" t="s">
        <v>6051</v>
      </c>
      <c r="G1760" t="s">
        <v>18099</v>
      </c>
      <c r="H1760" t="s">
        <v>1112</v>
      </c>
      <c r="I1760" t="s">
        <v>1108</v>
      </c>
      <c r="J1760" t="s">
        <v>6052</v>
      </c>
      <c r="K1760" t="s">
        <v>6053</v>
      </c>
      <c r="L1760" t="s">
        <v>21</v>
      </c>
      <c r="M1760" t="s">
        <v>19177</v>
      </c>
      <c r="N1760" t="s">
        <v>6029</v>
      </c>
      <c r="O1760" t="s">
        <v>6029</v>
      </c>
      <c r="P1760" t="s">
        <v>114</v>
      </c>
    </row>
    <row r="1761">
      <c r="A1761">
        <f>HYPERLINK("http://bombeiros.sp.gov.br/hidrantes/03individual/3478.html","3478")</f>
      </c>
      <c r="B1761" t="s">
        <v>114</v>
      </c>
      <c r="C1761" t="s">
        <v>347</v>
      </c>
      <c r="D1761" t="s">
        <v>6029</v>
      </c>
      <c r="E1761" t="s">
        <v>15</v>
      </c>
      <c r="F1761" t="s">
        <v>6054</v>
      </c>
      <c r="G1761" t="s">
        <v>18043</v>
      </c>
      <c r="H1761" t="s">
        <v>1174</v>
      </c>
      <c r="I1761" t="s">
        <v>1117</v>
      </c>
      <c r="J1761" t="s">
        <v>6055</v>
      </c>
      <c r="K1761" t="s">
        <v>6056</v>
      </c>
      <c r="L1761" t="s">
        <v>21</v>
      </c>
      <c r="M1761" t="s">
        <v>19177</v>
      </c>
      <c r="N1761" t="s">
        <v>6029</v>
      </c>
      <c r="O1761" t="s">
        <v>6029</v>
      </c>
      <c r="P1761" t="s">
        <v>114</v>
      </c>
    </row>
    <row r="1762">
      <c r="A1762">
        <f>HYPERLINK("http://bombeiros.sp.gov.br/hidrantes/03individual/4200.html","4200")</f>
      </c>
      <c r="B1762" t="s">
        <v>114</v>
      </c>
      <c r="C1762" t="s">
        <v>347</v>
      </c>
      <c r="D1762" t="s">
        <v>6029</v>
      </c>
      <c r="E1762" t="s">
        <v>15</v>
      </c>
      <c r="F1762" t="s">
        <v>6057</v>
      </c>
      <c r="G1762" t="s">
        <v>18099</v>
      </c>
      <c r="H1762" t="s">
        <v>1112</v>
      </c>
      <c r="I1762" t="s">
        <v>1108</v>
      </c>
      <c r="J1762" t="s">
        <v>6058</v>
      </c>
      <c r="K1762" t="s">
        <v>6059</v>
      </c>
      <c r="L1762" t="s">
        <v>21</v>
      </c>
      <c r="M1762" t="s">
        <v>19177</v>
      </c>
      <c r="N1762" t="s">
        <v>6029</v>
      </c>
      <c r="O1762" t="s">
        <v>6029</v>
      </c>
      <c r="P1762" t="s">
        <v>114</v>
      </c>
    </row>
    <row r="1763">
      <c r="A1763">
        <f>HYPERLINK("http://bombeiros.sp.gov.br/hidrantes/03individual/4203.html","4203")</f>
      </c>
      <c r="B1763" t="s">
        <v>114</v>
      </c>
      <c r="C1763" t="s">
        <v>347</v>
      </c>
      <c r="D1763" t="s">
        <v>6029</v>
      </c>
      <c r="E1763" t="s">
        <v>15</v>
      </c>
      <c r="F1763" t="s">
        <v>6060</v>
      </c>
      <c r="G1763" t="s">
        <v>18117</v>
      </c>
      <c r="H1763" t="s">
        <v>1112</v>
      </c>
      <c r="I1763" t="s">
        <v>1108</v>
      </c>
      <c r="J1763" t="s">
        <v>6061</v>
      </c>
      <c r="K1763" t="s">
        <v>6062</v>
      </c>
      <c r="L1763" t="s">
        <v>21</v>
      </c>
      <c r="M1763" t="s">
        <v>19177</v>
      </c>
      <c r="N1763" t="s">
        <v>6029</v>
      </c>
      <c r="O1763" t="s">
        <v>6029</v>
      </c>
      <c r="P1763" t="s">
        <v>114</v>
      </c>
    </row>
    <row r="1764">
      <c r="A1764">
        <f>HYPERLINK("http://bombeiros.sp.gov.br/hidrantes/03individual/26815.html","26815")</f>
      </c>
      <c r="B1764" t="s">
        <v>114</v>
      </c>
      <c r="C1764" t="s">
        <v>347</v>
      </c>
      <c r="D1764" t="s">
        <v>6029</v>
      </c>
      <c r="E1764" t="s">
        <v>15</v>
      </c>
      <c r="F1764" t="s">
        <v>16062</v>
      </c>
      <c r="G1764" t="s">
        <v>18099</v>
      </c>
      <c r="H1764" t="s">
        <v>1112</v>
      </c>
      <c r="I1764" t="s">
        <v>1108</v>
      </c>
      <c r="J1764" t="s">
        <v>16063</v>
      </c>
      <c r="K1764" t="s">
        <v>16064</v>
      </c>
      <c r="L1764" t="s">
        <v>21</v>
      </c>
      <c r="M1764" t="s">
        <v>19177</v>
      </c>
      <c r="N1764" t="s">
        <v>6029</v>
      </c>
      <c r="O1764" t="s">
        <v>6029</v>
      </c>
      <c r="P1764" t="s">
        <v>114</v>
      </c>
    </row>
    <row r="1765">
      <c r="A1765">
        <f>HYPERLINK("http://bombeiros.sp.gov.br/hidrantes/03individual/28039.html","28039")</f>
      </c>
      <c r="B1765" t="s">
        <v>114</v>
      </c>
      <c r="C1765" t="s">
        <v>347</v>
      </c>
      <c r="D1765" t="s">
        <v>6029</v>
      </c>
      <c r="E1765" t="s">
        <v>15</v>
      </c>
      <c r="F1765" t="s">
        <v>18295</v>
      </c>
      <c r="G1765" t="s">
        <v>17919</v>
      </c>
      <c r="H1765" t="s">
        <v>1112</v>
      </c>
      <c r="I1765" t="s">
        <v>1108</v>
      </c>
      <c r="J1765" t="s">
        <v>18296</v>
      </c>
      <c r="K1765" t="s">
        <v>18297</v>
      </c>
      <c r="L1765" t="s">
        <v>21</v>
      </c>
      <c r="M1765" t="s">
        <v>19177</v>
      </c>
      <c r="N1765" t="s">
        <v>6029</v>
      </c>
      <c r="O1765" t="s">
        <v>6029</v>
      </c>
      <c r="P1765" t="s">
        <v>114</v>
      </c>
    </row>
    <row r="1766">
      <c r="A1766">
        <f>HYPERLINK("http://bombeiros.sp.gov.br/hidrantes/03individual/27876.html","27876")</f>
      </c>
      <c r="B1766" t="s">
        <v>114</v>
      </c>
      <c r="C1766" t="s">
        <v>347</v>
      </c>
      <c r="D1766" t="s">
        <v>6063</v>
      </c>
      <c r="E1766" t="s">
        <v>64</v>
      </c>
      <c r="F1766" t="s">
        <v>17889</v>
      </c>
      <c r="G1766" t="s">
        <v>18077</v>
      </c>
      <c r="H1766" t="s">
        <v>1107</v>
      </c>
      <c r="I1766" t="s">
        <v>1108</v>
      </c>
      <c r="J1766" t="s">
        <v>17890</v>
      </c>
      <c r="K1766" t="s">
        <v>17891</v>
      </c>
      <c r="L1766" t="s">
        <v>21</v>
      </c>
      <c r="M1766" t="s">
        <v>19177</v>
      </c>
      <c r="N1766" t="s">
        <v>272</v>
      </c>
      <c r="O1766" t="s">
        <v>272</v>
      </c>
      <c r="P1766" t="s">
        <v>114</v>
      </c>
    </row>
    <row r="1767">
      <c r="A1767">
        <f>HYPERLINK("http://bombeiros.sp.gov.br/hidrantes/03individual/27877.html","27877")</f>
      </c>
      <c r="B1767" t="s">
        <v>114</v>
      </c>
      <c r="C1767" t="s">
        <v>347</v>
      </c>
      <c r="D1767" t="s">
        <v>6063</v>
      </c>
      <c r="E1767" t="s">
        <v>64</v>
      </c>
      <c r="F1767" t="s">
        <v>17892</v>
      </c>
      <c r="G1767" t="s">
        <v>18085</v>
      </c>
      <c r="H1767" t="s">
        <v>1107</v>
      </c>
      <c r="I1767" t="s">
        <v>1108</v>
      </c>
      <c r="J1767" t="s">
        <v>17893</v>
      </c>
      <c r="K1767" t="s">
        <v>17894</v>
      </c>
      <c r="L1767" t="s">
        <v>21</v>
      </c>
      <c r="M1767" t="s">
        <v>19177</v>
      </c>
      <c r="N1767" t="s">
        <v>272</v>
      </c>
      <c r="O1767" t="s">
        <v>272</v>
      </c>
      <c r="P1767" t="s">
        <v>114</v>
      </c>
    </row>
    <row r="1768">
      <c r="A1768">
        <f>HYPERLINK("http://bombeiros.sp.gov.br/hidrantes/03individual/28432.html","28432")</f>
      </c>
      <c r="B1768" t="s">
        <v>114</v>
      </c>
      <c r="C1768" t="s">
        <v>347</v>
      </c>
      <c r="D1768" t="s">
        <v>6063</v>
      </c>
      <c r="E1768" t="s">
        <v>64</v>
      </c>
      <c r="F1768" t="s">
        <v>18806</v>
      </c>
      <c r="G1768"/>
      <c r="H1768"/>
      <c r="I1768" t="s">
        <v>1503</v>
      </c>
      <c r="J1768" t="s">
        <v>18807</v>
      </c>
      <c r="K1768" t="s">
        <v>18808</v>
      </c>
      <c r="L1768" t="s">
        <v>21</v>
      </c>
      <c r="M1768" t="s">
        <v>19177</v>
      </c>
      <c r="N1768" t="s">
        <v>272</v>
      </c>
      <c r="O1768" t="s">
        <v>272</v>
      </c>
      <c r="P1768" t="s">
        <v>114</v>
      </c>
    </row>
    <row r="1769">
      <c r="A1769">
        <f>HYPERLINK("http://bombeiros.sp.gov.br/hidrantes/03individual/2020.html","2020")</f>
      </c>
      <c r="B1769" t="s">
        <v>114</v>
      </c>
      <c r="C1769" t="s">
        <v>347</v>
      </c>
      <c r="D1769" t="s">
        <v>6063</v>
      </c>
      <c r="E1769" t="s">
        <v>15</v>
      </c>
      <c r="F1769" t="s">
        <v>6064</v>
      </c>
      <c r="G1769" t="s">
        <v>18095</v>
      </c>
      <c r="H1769" t="s">
        <v>1112</v>
      </c>
      <c r="I1769" t="s">
        <v>1108</v>
      </c>
      <c r="J1769" t="s">
        <v>6065</v>
      </c>
      <c r="K1769" t="s">
        <v>6066</v>
      </c>
      <c r="L1769" t="s">
        <v>21</v>
      </c>
      <c r="M1769" t="s">
        <v>19177</v>
      </c>
      <c r="N1769" t="s">
        <v>272</v>
      </c>
      <c r="O1769" t="s">
        <v>272</v>
      </c>
      <c r="P1769" t="s">
        <v>114</v>
      </c>
    </row>
    <row r="1770">
      <c r="A1770">
        <f>HYPERLINK("http://bombeiros.sp.gov.br/hidrantes/03individual/3401.html","3401")</f>
      </c>
      <c r="B1770" t="s">
        <v>114</v>
      </c>
      <c r="C1770" t="s">
        <v>347</v>
      </c>
      <c r="D1770" t="s">
        <v>6063</v>
      </c>
      <c r="E1770" t="s">
        <v>15</v>
      </c>
      <c r="F1770" t="s">
        <v>6067</v>
      </c>
      <c r="G1770" t="s">
        <v>18095</v>
      </c>
      <c r="H1770" t="s">
        <v>1112</v>
      </c>
      <c r="I1770" t="s">
        <v>1108</v>
      </c>
      <c r="J1770" t="s">
        <v>17154</v>
      </c>
      <c r="K1770" t="s">
        <v>17155</v>
      </c>
      <c r="L1770" t="s">
        <v>21</v>
      </c>
      <c r="M1770" t="s">
        <v>19177</v>
      </c>
      <c r="N1770" t="s">
        <v>272</v>
      </c>
      <c r="O1770" t="s">
        <v>272</v>
      </c>
      <c r="P1770" t="s">
        <v>114</v>
      </c>
    </row>
    <row r="1771">
      <c r="A1771">
        <f>HYPERLINK("http://bombeiros.sp.gov.br/hidrantes/03individual/4329.html","4329")</f>
      </c>
      <c r="B1771" t="s">
        <v>114</v>
      </c>
      <c r="C1771" t="s">
        <v>347</v>
      </c>
      <c r="D1771" t="s">
        <v>6063</v>
      </c>
      <c r="E1771" t="s">
        <v>15</v>
      </c>
      <c r="F1771" t="s">
        <v>6070</v>
      </c>
      <c r="G1771" t="s">
        <v>18075</v>
      </c>
      <c r="H1771" t="s">
        <v>1121</v>
      </c>
      <c r="I1771" t="s">
        <v>1117</v>
      </c>
      <c r="J1771" t="s">
        <v>6071</v>
      </c>
      <c r="K1771" t="s">
        <v>6072</v>
      </c>
      <c r="L1771" t="s">
        <v>21</v>
      </c>
      <c r="M1771" t="s">
        <v>19177</v>
      </c>
      <c r="N1771" t="s">
        <v>272</v>
      </c>
      <c r="O1771" t="s">
        <v>272</v>
      </c>
      <c r="P1771" t="s">
        <v>114</v>
      </c>
    </row>
    <row r="1772">
      <c r="A1772">
        <f>HYPERLINK("http://bombeiros.sp.gov.br/hidrantes/03individual/17795.html","17795")</f>
      </c>
      <c r="B1772" t="s">
        <v>114</v>
      </c>
      <c r="C1772" t="s">
        <v>347</v>
      </c>
      <c r="D1772" t="s">
        <v>6063</v>
      </c>
      <c r="E1772" t="s">
        <v>15</v>
      </c>
      <c r="F1772" t="s">
        <v>6073</v>
      </c>
      <c r="G1772" t="s">
        <v>18095</v>
      </c>
      <c r="H1772" t="s">
        <v>1112</v>
      </c>
      <c r="I1772" t="s">
        <v>1108</v>
      </c>
      <c r="J1772" t="s">
        <v>6074</v>
      </c>
      <c r="K1772" t="s">
        <v>6075</v>
      </c>
      <c r="L1772" t="s">
        <v>21</v>
      </c>
      <c r="M1772" t="s">
        <v>19177</v>
      </c>
      <c r="N1772" t="s">
        <v>272</v>
      </c>
      <c r="O1772" t="s">
        <v>272</v>
      </c>
      <c r="P1772" t="s">
        <v>114</v>
      </c>
    </row>
    <row r="1773">
      <c r="A1773">
        <f>HYPERLINK("http://bombeiros.sp.gov.br/hidrantes/03individual/2082.html","2082")</f>
      </c>
      <c r="B1773" t="s">
        <v>114</v>
      </c>
      <c r="C1773" t="s">
        <v>356</v>
      </c>
      <c r="D1773" t="s">
        <v>357</v>
      </c>
      <c r="E1773" t="s">
        <v>64</v>
      </c>
      <c r="F1773" t="s">
        <v>6076</v>
      </c>
      <c r="G1773" t="s">
        <v>18063</v>
      </c>
      <c r="H1773" t="s">
        <v>1112</v>
      </c>
      <c r="I1773" t="s">
        <v>1108</v>
      </c>
      <c r="J1773" t="s">
        <v>6077</v>
      </c>
      <c r="K1773" t="s">
        <v>6078</v>
      </c>
      <c r="L1773" t="s">
        <v>21</v>
      </c>
      <c r="M1773" t="s">
        <v>19177</v>
      </c>
      <c r="N1773" t="s">
        <v>337</v>
      </c>
      <c r="O1773" t="s">
        <v>337</v>
      </c>
      <c r="P1773" t="s">
        <v>12</v>
      </c>
    </row>
    <row r="1774">
      <c r="A1774">
        <f>HYPERLINK("http://bombeiros.sp.gov.br/hidrantes/03individual/3872.html","3872")</f>
      </c>
      <c r="B1774" t="s">
        <v>114</v>
      </c>
      <c r="C1774" t="s">
        <v>356</v>
      </c>
      <c r="D1774" t="s">
        <v>357</v>
      </c>
      <c r="E1774" t="s">
        <v>64</v>
      </c>
      <c r="F1774" t="s">
        <v>6079</v>
      </c>
      <c r="G1774" t="s">
        <v>18050</v>
      </c>
      <c r="H1774" t="s">
        <v>1107</v>
      </c>
      <c r="I1774" t="s">
        <v>1108</v>
      </c>
      <c r="J1774" t="s">
        <v>6080</v>
      </c>
      <c r="K1774" t="s">
        <v>6081</v>
      </c>
      <c r="L1774" t="s">
        <v>36</v>
      </c>
      <c r="M1774" t="s">
        <v>19177</v>
      </c>
      <c r="N1774" t="s">
        <v>337</v>
      </c>
      <c r="O1774" t="s">
        <v>337</v>
      </c>
      <c r="P1774" t="s">
        <v>12</v>
      </c>
    </row>
    <row r="1775">
      <c r="A1775">
        <f>HYPERLINK("http://bombeiros.sp.gov.br/hidrantes/03individual/3915.html","3915")</f>
      </c>
      <c r="B1775" t="s">
        <v>114</v>
      </c>
      <c r="C1775" t="s">
        <v>356</v>
      </c>
      <c r="D1775" t="s">
        <v>357</v>
      </c>
      <c r="E1775" t="s">
        <v>64</v>
      </c>
      <c r="F1775" t="s">
        <v>6082</v>
      </c>
      <c r="G1775" t="s">
        <v>18097</v>
      </c>
      <c r="H1775" t="s">
        <v>1174</v>
      </c>
      <c r="I1775" t="s">
        <v>1117</v>
      </c>
      <c r="J1775" t="s">
        <v>6083</v>
      </c>
      <c r="K1775" t="s">
        <v>6084</v>
      </c>
      <c r="L1775" t="s">
        <v>21</v>
      </c>
      <c r="M1775" t="s">
        <v>19177</v>
      </c>
      <c r="N1775" t="s">
        <v>337</v>
      </c>
      <c r="O1775" t="s">
        <v>337</v>
      </c>
      <c r="P1775" t="s">
        <v>12</v>
      </c>
    </row>
    <row r="1776">
      <c r="A1776">
        <f>HYPERLINK("http://bombeiros.sp.gov.br/hidrantes/03individual/5615.html","5615")</f>
      </c>
      <c r="B1776" t="s">
        <v>114</v>
      </c>
      <c r="C1776" t="s">
        <v>356</v>
      </c>
      <c r="D1776" t="s">
        <v>357</v>
      </c>
      <c r="E1776" t="s">
        <v>64</v>
      </c>
      <c r="F1776" t="s">
        <v>6085</v>
      </c>
      <c r="G1776" t="s">
        <v>18067</v>
      </c>
      <c r="H1776" t="s">
        <v>1112</v>
      </c>
      <c r="I1776" t="s">
        <v>1108</v>
      </c>
      <c r="J1776" t="s">
        <v>6086</v>
      </c>
      <c r="K1776" t="s">
        <v>6087</v>
      </c>
      <c r="L1776" t="s">
        <v>21</v>
      </c>
      <c r="M1776" t="s">
        <v>19177</v>
      </c>
      <c r="N1776" t="s">
        <v>337</v>
      </c>
      <c r="O1776" t="s">
        <v>337</v>
      </c>
      <c r="P1776" t="s">
        <v>12</v>
      </c>
    </row>
    <row r="1777">
      <c r="A1777">
        <f>HYPERLINK("http://bombeiros.sp.gov.br/hidrantes/03individual/5644.html","5644")</f>
      </c>
      <c r="B1777" t="s">
        <v>114</v>
      </c>
      <c r="C1777" t="s">
        <v>356</v>
      </c>
      <c r="D1777" t="s">
        <v>357</v>
      </c>
      <c r="E1777" t="s">
        <v>64</v>
      </c>
      <c r="F1777" t="s">
        <v>6088</v>
      </c>
      <c r="G1777" t="s">
        <v>18051</v>
      </c>
      <c r="H1777" t="s">
        <v>1107</v>
      </c>
      <c r="I1777" t="s">
        <v>1108</v>
      </c>
      <c r="J1777" t="s">
        <v>6089</v>
      </c>
      <c r="K1777" t="s">
        <v>6090</v>
      </c>
      <c r="L1777" t="s">
        <v>21</v>
      </c>
      <c r="M1777" t="s">
        <v>19177</v>
      </c>
      <c r="N1777" t="s">
        <v>337</v>
      </c>
      <c r="O1777" t="s">
        <v>337</v>
      </c>
      <c r="P1777" t="s">
        <v>12</v>
      </c>
    </row>
    <row r="1778">
      <c r="A1778">
        <f>HYPERLINK("http://bombeiros.sp.gov.br/hidrantes/03individual/10004.html","10004")</f>
      </c>
      <c r="B1778" t="s">
        <v>114</v>
      </c>
      <c r="C1778" t="s">
        <v>356</v>
      </c>
      <c r="D1778" t="s">
        <v>357</v>
      </c>
      <c r="E1778" t="s">
        <v>64</v>
      </c>
      <c r="F1778" t="s">
        <v>6091</v>
      </c>
      <c r="G1778" t="s">
        <v>18050</v>
      </c>
      <c r="H1778" t="s">
        <v>1112</v>
      </c>
      <c r="I1778" t="s">
        <v>1108</v>
      </c>
      <c r="J1778" t="s">
        <v>6092</v>
      </c>
      <c r="K1778" t="s">
        <v>6093</v>
      </c>
      <c r="L1778" t="s">
        <v>21</v>
      </c>
      <c r="M1778" t="s">
        <v>19177</v>
      </c>
      <c r="N1778" t="s">
        <v>337</v>
      </c>
      <c r="O1778" t="s">
        <v>337</v>
      </c>
      <c r="P1778" t="s">
        <v>12</v>
      </c>
    </row>
    <row r="1779">
      <c r="A1779">
        <f>HYPERLINK("http://bombeiros.sp.gov.br/hidrantes/03individual/10005.html","10005")</f>
      </c>
      <c r="B1779" t="s">
        <v>114</v>
      </c>
      <c r="C1779" t="s">
        <v>356</v>
      </c>
      <c r="D1779" t="s">
        <v>357</v>
      </c>
      <c r="E1779" t="s">
        <v>64</v>
      </c>
      <c r="F1779" t="s">
        <v>6094</v>
      </c>
      <c r="G1779" t="s">
        <v>18067</v>
      </c>
      <c r="H1779" t="s">
        <v>1112</v>
      </c>
      <c r="I1779" t="s">
        <v>1108</v>
      </c>
      <c r="J1779" t="s">
        <v>6095</v>
      </c>
      <c r="K1779" t="s">
        <v>6096</v>
      </c>
      <c r="L1779" t="s">
        <v>21</v>
      </c>
      <c r="M1779" t="s">
        <v>19177</v>
      </c>
      <c r="N1779" t="s">
        <v>337</v>
      </c>
      <c r="O1779" t="s">
        <v>337</v>
      </c>
      <c r="P1779" t="s">
        <v>12</v>
      </c>
    </row>
    <row r="1780">
      <c r="A1780">
        <f>HYPERLINK("http://bombeiros.sp.gov.br/hidrantes/03individual/2102.html","2102")</f>
      </c>
      <c r="B1780" t="s">
        <v>114</v>
      </c>
      <c r="C1780" t="s">
        <v>356</v>
      </c>
      <c r="D1780" t="s">
        <v>357</v>
      </c>
      <c r="E1780" t="s">
        <v>15</v>
      </c>
      <c r="F1780" t="s">
        <v>6097</v>
      </c>
      <c r="G1780" t="s">
        <v>18042</v>
      </c>
      <c r="H1780" t="s">
        <v>1107</v>
      </c>
      <c r="I1780" t="s">
        <v>1108</v>
      </c>
      <c r="J1780" t="s">
        <v>6098</v>
      </c>
      <c r="K1780" t="s">
        <v>6099</v>
      </c>
      <c r="L1780" t="s">
        <v>21</v>
      </c>
      <c r="M1780" t="s">
        <v>19177</v>
      </c>
      <c r="N1780" t="s">
        <v>337</v>
      </c>
      <c r="O1780" t="s">
        <v>337</v>
      </c>
      <c r="P1780" t="s">
        <v>12</v>
      </c>
    </row>
    <row r="1781">
      <c r="A1781">
        <f>HYPERLINK("http://bombeiros.sp.gov.br/hidrantes/03individual/2104.html","2104")</f>
      </c>
      <c r="B1781" t="s">
        <v>114</v>
      </c>
      <c r="C1781" t="s">
        <v>356</v>
      </c>
      <c r="D1781" t="s">
        <v>357</v>
      </c>
      <c r="E1781" t="s">
        <v>15</v>
      </c>
      <c r="F1781" t="s">
        <v>6100</v>
      </c>
      <c r="G1781" t="s">
        <v>18042</v>
      </c>
      <c r="H1781" t="s">
        <v>1107</v>
      </c>
      <c r="I1781" t="s">
        <v>1108</v>
      </c>
      <c r="J1781" t="s">
        <v>6101</v>
      </c>
      <c r="K1781" t="s">
        <v>6102</v>
      </c>
      <c r="L1781" t="s">
        <v>21</v>
      </c>
      <c r="M1781" t="s">
        <v>19177</v>
      </c>
      <c r="N1781" t="s">
        <v>337</v>
      </c>
      <c r="O1781" t="s">
        <v>337</v>
      </c>
      <c r="P1781" t="s">
        <v>12</v>
      </c>
    </row>
    <row r="1782">
      <c r="A1782">
        <f>HYPERLINK("http://bombeiros.sp.gov.br/hidrantes/03individual/4380.html","4380")</f>
      </c>
      <c r="B1782" t="s">
        <v>114</v>
      </c>
      <c r="C1782" t="s">
        <v>356</v>
      </c>
      <c r="D1782" t="s">
        <v>357</v>
      </c>
      <c r="E1782" t="s">
        <v>15</v>
      </c>
      <c r="F1782" t="s">
        <v>358</v>
      </c>
      <c r="G1782" t="s">
        <v>18074</v>
      </c>
      <c r="H1782"/>
      <c r="I1782" t="s">
        <v>18</v>
      </c>
      <c r="J1782" t="s">
        <v>359</v>
      </c>
      <c r="K1782" t="s">
        <v>360</v>
      </c>
      <c r="L1782" t="s">
        <v>21</v>
      </c>
      <c r="M1782" t="s">
        <v>19177</v>
      </c>
      <c r="N1782" t="s">
        <v>337</v>
      </c>
      <c r="O1782" t="s">
        <v>337</v>
      </c>
      <c r="P1782" t="s">
        <v>12</v>
      </c>
    </row>
    <row r="1783">
      <c r="A1783">
        <f>HYPERLINK("http://bombeiros.sp.gov.br/hidrantes/03individual/5642.html","5642")</f>
      </c>
      <c r="B1783" t="s">
        <v>114</v>
      </c>
      <c r="C1783" t="s">
        <v>356</v>
      </c>
      <c r="D1783" t="s">
        <v>357</v>
      </c>
      <c r="E1783" t="s">
        <v>15</v>
      </c>
      <c r="F1783" t="s">
        <v>6103</v>
      </c>
      <c r="G1783" t="s">
        <v>18074</v>
      </c>
      <c r="H1783" t="s">
        <v>1121</v>
      </c>
      <c r="I1783" t="s">
        <v>1117</v>
      </c>
      <c r="J1783" t="s">
        <v>6104</v>
      </c>
      <c r="K1783" t="s">
        <v>6105</v>
      </c>
      <c r="L1783" t="s">
        <v>21</v>
      </c>
      <c r="M1783" t="s">
        <v>19177</v>
      </c>
      <c r="N1783" t="s">
        <v>337</v>
      </c>
      <c r="O1783" t="s">
        <v>337</v>
      </c>
      <c r="P1783" t="s">
        <v>12</v>
      </c>
    </row>
    <row r="1784">
      <c r="A1784">
        <f>HYPERLINK("http://bombeiros.sp.gov.br/hidrantes/03individual/3917.html","3917")</f>
      </c>
      <c r="B1784" t="s">
        <v>114</v>
      </c>
      <c r="C1784" t="s">
        <v>356</v>
      </c>
      <c r="D1784" t="s">
        <v>361</v>
      </c>
      <c r="E1784" t="s">
        <v>64</v>
      </c>
      <c r="F1784" t="s">
        <v>6106</v>
      </c>
      <c r="G1784" t="s">
        <v>18067</v>
      </c>
      <c r="H1784" t="s">
        <v>1112</v>
      </c>
      <c r="I1784" t="s">
        <v>1108</v>
      </c>
      <c r="J1784" t="s">
        <v>6107</v>
      </c>
      <c r="K1784" t="s">
        <v>6108</v>
      </c>
      <c r="L1784" t="s">
        <v>21</v>
      </c>
      <c r="M1784" t="s">
        <v>19177</v>
      </c>
      <c r="N1784" t="s">
        <v>337</v>
      </c>
      <c r="O1784" t="s">
        <v>337</v>
      </c>
      <c r="P1784" t="s">
        <v>12</v>
      </c>
    </row>
    <row r="1785">
      <c r="A1785">
        <f>HYPERLINK("http://bombeiros.sp.gov.br/hidrantes/03individual/5651.html","5651")</f>
      </c>
      <c r="B1785" t="s">
        <v>114</v>
      </c>
      <c r="C1785" t="s">
        <v>356</v>
      </c>
      <c r="D1785" t="s">
        <v>361</v>
      </c>
      <c r="E1785" t="s">
        <v>64</v>
      </c>
      <c r="F1785" t="s">
        <v>6109</v>
      </c>
      <c r="G1785" t="s">
        <v>18067</v>
      </c>
      <c r="H1785" t="s">
        <v>1121</v>
      </c>
      <c r="I1785" t="s">
        <v>1117</v>
      </c>
      <c r="J1785" t="s">
        <v>6110</v>
      </c>
      <c r="K1785" t="s">
        <v>6111</v>
      </c>
      <c r="L1785" t="s">
        <v>21</v>
      </c>
      <c r="M1785" t="s">
        <v>19177</v>
      </c>
      <c r="N1785" t="s">
        <v>337</v>
      </c>
      <c r="O1785" t="s">
        <v>337</v>
      </c>
      <c r="P1785" t="s">
        <v>12</v>
      </c>
    </row>
    <row r="1786">
      <c r="A1786">
        <f>HYPERLINK("http://bombeiros.sp.gov.br/hidrantes/03individual/28507.html","28507")</f>
      </c>
      <c r="B1786" t="s">
        <v>114</v>
      </c>
      <c r="C1786" t="s">
        <v>356</v>
      </c>
      <c r="D1786" t="s">
        <v>361</v>
      </c>
      <c r="E1786" t="s">
        <v>64</v>
      </c>
      <c r="F1786" t="s">
        <v>18911</v>
      </c>
      <c r="G1786"/>
      <c r="H1786"/>
      <c r="I1786" t="s">
        <v>1503</v>
      </c>
      <c r="J1786" t="s">
        <v>18912</v>
      </c>
      <c r="K1786" t="s">
        <v>18913</v>
      </c>
      <c r="L1786" t="s">
        <v>21</v>
      </c>
      <c r="M1786" t="s">
        <v>19177</v>
      </c>
      <c r="N1786" t="s">
        <v>337</v>
      </c>
      <c r="O1786" t="s">
        <v>337</v>
      </c>
      <c r="P1786" t="s">
        <v>12</v>
      </c>
    </row>
    <row r="1787">
      <c r="A1787">
        <f>HYPERLINK("http://bombeiros.sp.gov.br/hidrantes/03individual/28508.html","28508")</f>
      </c>
      <c r="B1787" t="s">
        <v>114</v>
      </c>
      <c r="C1787" t="s">
        <v>356</v>
      </c>
      <c r="D1787" t="s">
        <v>361</v>
      </c>
      <c r="E1787" t="s">
        <v>64</v>
      </c>
      <c r="F1787" t="s">
        <v>18914</v>
      </c>
      <c r="G1787"/>
      <c r="H1787"/>
      <c r="I1787" t="s">
        <v>1503</v>
      </c>
      <c r="J1787" t="s">
        <v>18915</v>
      </c>
      <c r="K1787" t="s">
        <v>18916</v>
      </c>
      <c r="L1787" t="s">
        <v>21</v>
      </c>
      <c r="M1787" t="s">
        <v>19177</v>
      </c>
      <c r="N1787" t="s">
        <v>337</v>
      </c>
      <c r="O1787" t="s">
        <v>337</v>
      </c>
      <c r="P1787" t="s">
        <v>12</v>
      </c>
    </row>
    <row r="1788">
      <c r="A1788">
        <f>HYPERLINK("http://bombeiros.sp.gov.br/hidrantes/03individual/2062.html","2062")</f>
      </c>
      <c r="B1788" t="s">
        <v>114</v>
      </c>
      <c r="C1788" t="s">
        <v>356</v>
      </c>
      <c r="D1788" t="s">
        <v>361</v>
      </c>
      <c r="E1788" t="s">
        <v>15</v>
      </c>
      <c r="F1788" t="s">
        <v>6112</v>
      </c>
      <c r="G1788" t="s">
        <v>18098</v>
      </c>
      <c r="H1788" t="s">
        <v>1107</v>
      </c>
      <c r="I1788" t="s">
        <v>1108</v>
      </c>
      <c r="J1788" t="s">
        <v>6113</v>
      </c>
      <c r="K1788" t="s">
        <v>6114</v>
      </c>
      <c r="L1788" t="s">
        <v>21</v>
      </c>
      <c r="M1788" t="s">
        <v>19177</v>
      </c>
      <c r="N1788" t="s">
        <v>337</v>
      </c>
      <c r="O1788" t="s">
        <v>337</v>
      </c>
      <c r="P1788" t="s">
        <v>12</v>
      </c>
    </row>
    <row r="1789">
      <c r="A1789">
        <f>HYPERLINK("http://bombeiros.sp.gov.br/hidrantes/03individual/2066.html","2066")</f>
      </c>
      <c r="B1789" t="s">
        <v>114</v>
      </c>
      <c r="C1789" t="s">
        <v>356</v>
      </c>
      <c r="D1789" t="s">
        <v>361</v>
      </c>
      <c r="E1789" t="s">
        <v>15</v>
      </c>
      <c r="F1789" t="s">
        <v>6115</v>
      </c>
      <c r="G1789" t="s">
        <v>18042</v>
      </c>
      <c r="H1789" t="s">
        <v>1107</v>
      </c>
      <c r="I1789" t="s">
        <v>1108</v>
      </c>
      <c r="J1789" t="s">
        <v>6116</v>
      </c>
      <c r="K1789" t="s">
        <v>6117</v>
      </c>
      <c r="L1789" t="s">
        <v>21</v>
      </c>
      <c r="M1789" t="s">
        <v>19177</v>
      </c>
      <c r="N1789" t="s">
        <v>337</v>
      </c>
      <c r="O1789" t="s">
        <v>337</v>
      </c>
      <c r="P1789" t="s">
        <v>12</v>
      </c>
    </row>
    <row r="1790">
      <c r="A1790">
        <f>HYPERLINK("http://bombeiros.sp.gov.br/hidrantes/03individual/2078.html","2078")</f>
      </c>
      <c r="B1790" t="s">
        <v>114</v>
      </c>
      <c r="C1790" t="s">
        <v>356</v>
      </c>
      <c r="D1790" t="s">
        <v>361</v>
      </c>
      <c r="E1790" t="s">
        <v>15</v>
      </c>
      <c r="F1790" t="s">
        <v>6118</v>
      </c>
      <c r="G1790" t="s">
        <v>18042</v>
      </c>
      <c r="H1790" t="s">
        <v>1112</v>
      </c>
      <c r="I1790" t="s">
        <v>1108</v>
      </c>
      <c r="J1790" t="s">
        <v>6119</v>
      </c>
      <c r="K1790" t="s">
        <v>6120</v>
      </c>
      <c r="L1790" t="s">
        <v>21</v>
      </c>
      <c r="M1790" t="s">
        <v>19177</v>
      </c>
      <c r="N1790" t="s">
        <v>337</v>
      </c>
      <c r="O1790" t="s">
        <v>337</v>
      </c>
      <c r="P1790" t="s">
        <v>12</v>
      </c>
    </row>
    <row r="1791">
      <c r="A1791">
        <f>HYPERLINK("http://bombeiros.sp.gov.br/hidrantes/03individual/2080.html","2080")</f>
      </c>
      <c r="B1791" t="s">
        <v>114</v>
      </c>
      <c r="C1791" t="s">
        <v>356</v>
      </c>
      <c r="D1791" t="s">
        <v>361</v>
      </c>
      <c r="E1791" t="s">
        <v>15</v>
      </c>
      <c r="F1791" t="s">
        <v>6121</v>
      </c>
      <c r="G1791" t="s">
        <v>18097</v>
      </c>
      <c r="H1791" t="s">
        <v>1107</v>
      </c>
      <c r="I1791" t="s">
        <v>1108</v>
      </c>
      <c r="J1791" t="s">
        <v>6122</v>
      </c>
      <c r="K1791" t="s">
        <v>6123</v>
      </c>
      <c r="L1791" t="s">
        <v>21</v>
      </c>
      <c r="M1791" t="s">
        <v>19177</v>
      </c>
      <c r="N1791" t="s">
        <v>337</v>
      </c>
      <c r="O1791" t="s">
        <v>337</v>
      </c>
      <c r="P1791" t="s">
        <v>12</v>
      </c>
    </row>
    <row r="1792">
      <c r="A1792">
        <f>HYPERLINK("http://bombeiros.sp.gov.br/hidrantes/03individual/2088.html","2088")</f>
      </c>
      <c r="B1792" t="s">
        <v>114</v>
      </c>
      <c r="C1792" t="s">
        <v>356</v>
      </c>
      <c r="D1792" t="s">
        <v>361</v>
      </c>
      <c r="E1792" t="s">
        <v>15</v>
      </c>
      <c r="F1792" t="s">
        <v>6124</v>
      </c>
      <c r="G1792" t="s">
        <v>18076</v>
      </c>
      <c r="H1792" t="s">
        <v>1174</v>
      </c>
      <c r="I1792" t="s">
        <v>1108</v>
      </c>
      <c r="J1792" t="s">
        <v>6125</v>
      </c>
      <c r="K1792" t="s">
        <v>6126</v>
      </c>
      <c r="L1792" t="s">
        <v>21</v>
      </c>
      <c r="M1792" t="s">
        <v>19177</v>
      </c>
      <c r="N1792" t="s">
        <v>337</v>
      </c>
      <c r="O1792" t="s">
        <v>337</v>
      </c>
      <c r="P1792" t="s">
        <v>12</v>
      </c>
    </row>
    <row r="1793">
      <c r="A1793">
        <f>HYPERLINK("http://bombeiros.sp.gov.br/hidrantes/03individual/3871.html","3871")</f>
      </c>
      <c r="B1793" t="s">
        <v>114</v>
      </c>
      <c r="C1793" t="s">
        <v>356</v>
      </c>
      <c r="D1793" t="s">
        <v>361</v>
      </c>
      <c r="E1793" t="s">
        <v>15</v>
      </c>
      <c r="F1793" t="s">
        <v>6127</v>
      </c>
      <c r="G1793" t="s">
        <v>18045</v>
      </c>
      <c r="H1793" t="s">
        <v>1107</v>
      </c>
      <c r="I1793" t="s">
        <v>1108</v>
      </c>
      <c r="J1793" t="s">
        <v>6128</v>
      </c>
      <c r="K1793" t="s">
        <v>6129</v>
      </c>
      <c r="L1793" t="s">
        <v>36</v>
      </c>
      <c r="M1793" t="s">
        <v>19177</v>
      </c>
      <c r="N1793" t="s">
        <v>337</v>
      </c>
      <c r="O1793" t="s">
        <v>337</v>
      </c>
      <c r="P1793" t="s">
        <v>12</v>
      </c>
    </row>
    <row r="1794">
      <c r="A1794">
        <f>HYPERLINK("http://bombeiros.sp.gov.br/hidrantes/03individual/3922.html","3922")</f>
      </c>
      <c r="B1794" t="s">
        <v>114</v>
      </c>
      <c r="C1794" t="s">
        <v>356</v>
      </c>
      <c r="D1794" t="s">
        <v>361</v>
      </c>
      <c r="E1794" t="s">
        <v>15</v>
      </c>
      <c r="F1794" t="s">
        <v>362</v>
      </c>
      <c r="G1794" t="s">
        <v>18063</v>
      </c>
      <c r="H1794"/>
      <c r="I1794" t="s">
        <v>18</v>
      </c>
      <c r="J1794" t="s">
        <v>363</v>
      </c>
      <c r="K1794" t="s">
        <v>364</v>
      </c>
      <c r="L1794" t="s">
        <v>21</v>
      </c>
      <c r="M1794" t="s">
        <v>19177</v>
      </c>
      <c r="N1794" t="s">
        <v>337</v>
      </c>
      <c r="O1794" t="s">
        <v>337</v>
      </c>
      <c r="P1794" t="s">
        <v>12</v>
      </c>
    </row>
    <row r="1795">
      <c r="A1795">
        <f>HYPERLINK("http://bombeiros.sp.gov.br/hidrantes/03individual/5628.html","5628")</f>
      </c>
      <c r="B1795" t="s">
        <v>114</v>
      </c>
      <c r="C1795" t="s">
        <v>356</v>
      </c>
      <c r="D1795" t="s">
        <v>361</v>
      </c>
      <c r="E1795" t="s">
        <v>15</v>
      </c>
      <c r="F1795" t="s">
        <v>6130</v>
      </c>
      <c r="G1795" t="s">
        <v>18063</v>
      </c>
      <c r="H1795" t="s">
        <v>1112</v>
      </c>
      <c r="I1795" t="s">
        <v>1108</v>
      </c>
      <c r="J1795" t="s">
        <v>6131</v>
      </c>
      <c r="K1795" t="s">
        <v>6132</v>
      </c>
      <c r="L1795" t="s">
        <v>21</v>
      </c>
      <c r="M1795" t="s">
        <v>19177</v>
      </c>
      <c r="N1795" t="s">
        <v>337</v>
      </c>
      <c r="O1795" t="s">
        <v>337</v>
      </c>
      <c r="P1795" t="s">
        <v>12</v>
      </c>
    </row>
    <row r="1796">
      <c r="A1796">
        <f>HYPERLINK("http://bombeiros.sp.gov.br/hidrantes/03individual/17782.html","17782")</f>
      </c>
      <c r="B1796" t="s">
        <v>114</v>
      </c>
      <c r="C1796" t="s">
        <v>356</v>
      </c>
      <c r="D1796" t="s">
        <v>361</v>
      </c>
      <c r="E1796" t="s">
        <v>15</v>
      </c>
      <c r="F1796" t="s">
        <v>6133</v>
      </c>
      <c r="G1796" t="s">
        <v>18067</v>
      </c>
      <c r="H1796" t="s">
        <v>1121</v>
      </c>
      <c r="I1796" t="s">
        <v>1117</v>
      </c>
      <c r="J1796" t="s">
        <v>6134</v>
      </c>
      <c r="K1796" t="s">
        <v>6135</v>
      </c>
      <c r="L1796" t="s">
        <v>21</v>
      </c>
      <c r="M1796" t="s">
        <v>19177</v>
      </c>
      <c r="N1796" t="s">
        <v>337</v>
      </c>
      <c r="O1796" t="s">
        <v>337</v>
      </c>
      <c r="P1796" t="s">
        <v>12</v>
      </c>
    </row>
    <row r="1797">
      <c r="A1797">
        <f>HYPERLINK("http://bombeiros.sp.gov.br/hidrantes/03individual/17783.html","17783")</f>
      </c>
      <c r="B1797" t="s">
        <v>114</v>
      </c>
      <c r="C1797" t="s">
        <v>356</v>
      </c>
      <c r="D1797" t="s">
        <v>361</v>
      </c>
      <c r="E1797" t="s">
        <v>15</v>
      </c>
      <c r="F1797" t="s">
        <v>6136</v>
      </c>
      <c r="G1797" t="s">
        <v>18067</v>
      </c>
      <c r="H1797" t="s">
        <v>1112</v>
      </c>
      <c r="I1797" t="s">
        <v>1108</v>
      </c>
      <c r="J1797" t="s">
        <v>6137</v>
      </c>
      <c r="K1797" t="s">
        <v>6138</v>
      </c>
      <c r="L1797" t="s">
        <v>21</v>
      </c>
      <c r="M1797" t="s">
        <v>19177</v>
      </c>
      <c r="N1797" t="s">
        <v>337</v>
      </c>
      <c r="O1797" t="s">
        <v>337</v>
      </c>
      <c r="P1797" t="s">
        <v>12</v>
      </c>
    </row>
    <row r="1798">
      <c r="A1798">
        <f>HYPERLINK("http://bombeiros.sp.gov.br/hidrantes/03individual/26848.html","26848")</f>
      </c>
      <c r="B1798" t="s">
        <v>114</v>
      </c>
      <c r="C1798" t="s">
        <v>356</v>
      </c>
      <c r="D1798" t="s">
        <v>361</v>
      </c>
      <c r="E1798" t="s">
        <v>15</v>
      </c>
      <c r="F1798" t="s">
        <v>16189</v>
      </c>
      <c r="G1798" t="s">
        <v>18067</v>
      </c>
      <c r="H1798" t="s">
        <v>1112</v>
      </c>
      <c r="I1798" t="s">
        <v>1108</v>
      </c>
      <c r="J1798" t="s">
        <v>16190</v>
      </c>
      <c r="K1798" t="s">
        <v>16191</v>
      </c>
      <c r="L1798" t="s">
        <v>21</v>
      </c>
      <c r="M1798" t="s">
        <v>19177</v>
      </c>
      <c r="N1798" t="s">
        <v>337</v>
      </c>
      <c r="O1798" t="s">
        <v>337</v>
      </c>
      <c r="P1798" t="s">
        <v>12</v>
      </c>
    </row>
    <row r="1799">
      <c r="A1799">
        <f>HYPERLINK("http://bombeiros.sp.gov.br/hidrantes/03individual/3724.html","3724")</f>
      </c>
      <c r="B1799" t="s">
        <v>114</v>
      </c>
      <c r="C1799" t="s">
        <v>365</v>
      </c>
      <c r="D1799" t="s">
        <v>6139</v>
      </c>
      <c r="E1799" t="s">
        <v>64</v>
      </c>
      <c r="F1799" t="s">
        <v>6140</v>
      </c>
      <c r="G1799" t="s">
        <v>18050</v>
      </c>
      <c r="H1799" t="s">
        <v>1112</v>
      </c>
      <c r="I1799" t="s">
        <v>1108</v>
      </c>
      <c r="J1799" t="s">
        <v>6141</v>
      </c>
      <c r="K1799" t="s">
        <v>6142</v>
      </c>
      <c r="L1799" t="s">
        <v>21</v>
      </c>
      <c r="M1799" t="s">
        <v>19177</v>
      </c>
      <c r="N1799" t="s">
        <v>337</v>
      </c>
      <c r="O1799" t="s">
        <v>337</v>
      </c>
      <c r="P1799" t="s">
        <v>12</v>
      </c>
    </row>
    <row r="1800">
      <c r="A1800">
        <f>HYPERLINK("http://bombeiros.sp.gov.br/hidrantes/03individual/3869.html","3869")</f>
      </c>
      <c r="B1800" t="s">
        <v>114</v>
      </c>
      <c r="C1800" t="s">
        <v>365</v>
      </c>
      <c r="D1800" t="s">
        <v>6139</v>
      </c>
      <c r="E1800" t="s">
        <v>64</v>
      </c>
      <c r="F1800" t="s">
        <v>6143</v>
      </c>
      <c r="G1800" t="s">
        <v>18098</v>
      </c>
      <c r="H1800" t="s">
        <v>1121</v>
      </c>
      <c r="I1800" t="s">
        <v>1117</v>
      </c>
      <c r="J1800" t="s">
        <v>6144</v>
      </c>
      <c r="K1800" t="s">
        <v>6145</v>
      </c>
      <c r="L1800" t="s">
        <v>21</v>
      </c>
      <c r="M1800" t="s">
        <v>19177</v>
      </c>
      <c r="N1800" t="s">
        <v>337</v>
      </c>
      <c r="O1800" t="s">
        <v>337</v>
      </c>
      <c r="P1800" t="s">
        <v>12</v>
      </c>
    </row>
    <row r="1801">
      <c r="A1801">
        <f>HYPERLINK("http://bombeiros.sp.gov.br/hidrantes/03individual/3902.html","3902")</f>
      </c>
      <c r="B1801" t="s">
        <v>114</v>
      </c>
      <c r="C1801" t="s">
        <v>365</v>
      </c>
      <c r="D1801" t="s">
        <v>6139</v>
      </c>
      <c r="E1801" t="s">
        <v>64</v>
      </c>
      <c r="F1801" t="s">
        <v>6146</v>
      </c>
      <c r="G1801" t="s">
        <v>18051</v>
      </c>
      <c r="H1801" t="s">
        <v>1121</v>
      </c>
      <c r="I1801" t="s">
        <v>1117</v>
      </c>
      <c r="J1801" t="s">
        <v>6147</v>
      </c>
      <c r="K1801" t="s">
        <v>6148</v>
      </c>
      <c r="L1801" t="s">
        <v>21</v>
      </c>
      <c r="M1801" t="s">
        <v>19177</v>
      </c>
      <c r="N1801" t="s">
        <v>337</v>
      </c>
      <c r="O1801" t="s">
        <v>337</v>
      </c>
      <c r="P1801" t="s">
        <v>12</v>
      </c>
    </row>
    <row r="1802">
      <c r="A1802">
        <f>HYPERLINK("http://bombeiros.sp.gov.br/hidrantes/03individual/28397.html","28397")</f>
      </c>
      <c r="B1802" t="s">
        <v>114</v>
      </c>
      <c r="C1802" t="s">
        <v>365</v>
      </c>
      <c r="D1802" t="s">
        <v>6139</v>
      </c>
      <c r="E1802" t="s">
        <v>64</v>
      </c>
      <c r="F1802" t="s">
        <v>18680</v>
      </c>
      <c r="G1802"/>
      <c r="H1802"/>
      <c r="I1802" t="s">
        <v>1503</v>
      </c>
      <c r="J1802" t="s">
        <v>18681</v>
      </c>
      <c r="K1802" t="s">
        <v>18682</v>
      </c>
      <c r="L1802" t="s">
        <v>21</v>
      </c>
      <c r="M1802" t="s">
        <v>19177</v>
      </c>
      <c r="N1802" t="s">
        <v>337</v>
      </c>
      <c r="O1802" t="s">
        <v>337</v>
      </c>
      <c r="P1802" t="s">
        <v>12</v>
      </c>
    </row>
    <row r="1803">
      <c r="A1803">
        <f>HYPERLINK("http://bombeiros.sp.gov.br/hidrantes/03individual/1942.html","1942")</f>
      </c>
      <c r="B1803" t="s">
        <v>114</v>
      </c>
      <c r="C1803" t="s">
        <v>365</v>
      </c>
      <c r="D1803" t="s">
        <v>6139</v>
      </c>
      <c r="E1803" t="s">
        <v>15</v>
      </c>
      <c r="F1803" t="s">
        <v>6149</v>
      </c>
      <c r="G1803" t="s">
        <v>18042</v>
      </c>
      <c r="H1803" t="s">
        <v>1107</v>
      </c>
      <c r="I1803" t="s">
        <v>1108</v>
      </c>
      <c r="J1803" t="s">
        <v>6150</v>
      </c>
      <c r="K1803" t="s">
        <v>6151</v>
      </c>
      <c r="L1803" t="s">
        <v>21</v>
      </c>
      <c r="M1803" t="s">
        <v>19177</v>
      </c>
      <c r="N1803" t="s">
        <v>337</v>
      </c>
      <c r="O1803" t="s">
        <v>337</v>
      </c>
      <c r="P1803" t="s">
        <v>12</v>
      </c>
    </row>
    <row r="1804">
      <c r="A1804">
        <f>HYPERLINK("http://bombeiros.sp.gov.br/hidrantes/03individual/1978.html","1978")</f>
      </c>
      <c r="B1804" t="s">
        <v>114</v>
      </c>
      <c r="C1804" t="s">
        <v>365</v>
      </c>
      <c r="D1804" t="s">
        <v>6139</v>
      </c>
      <c r="E1804" t="s">
        <v>15</v>
      </c>
      <c r="F1804" t="s">
        <v>6152</v>
      </c>
      <c r="G1804" t="s">
        <v>18042</v>
      </c>
      <c r="H1804" t="s">
        <v>1174</v>
      </c>
      <c r="I1804" t="s">
        <v>1108</v>
      </c>
      <c r="J1804" t="s">
        <v>6153</v>
      </c>
      <c r="K1804" t="s">
        <v>6154</v>
      </c>
      <c r="L1804" t="s">
        <v>21</v>
      </c>
      <c r="M1804" t="s">
        <v>19177</v>
      </c>
      <c r="N1804" t="s">
        <v>337</v>
      </c>
      <c r="O1804" t="s">
        <v>337</v>
      </c>
      <c r="P1804" t="s">
        <v>12</v>
      </c>
    </row>
    <row r="1805">
      <c r="A1805">
        <f>HYPERLINK("http://bombeiros.sp.gov.br/hidrantes/03individual/1998.html","1998")</f>
      </c>
      <c r="B1805" t="s">
        <v>114</v>
      </c>
      <c r="C1805" t="s">
        <v>365</v>
      </c>
      <c r="D1805" t="s">
        <v>6139</v>
      </c>
      <c r="E1805" t="s">
        <v>15</v>
      </c>
      <c r="F1805" t="s">
        <v>6155</v>
      </c>
      <c r="G1805" t="s">
        <v>18042</v>
      </c>
      <c r="H1805" t="s">
        <v>1107</v>
      </c>
      <c r="I1805" t="s">
        <v>1108</v>
      </c>
      <c r="J1805" t="s">
        <v>6156</v>
      </c>
      <c r="K1805" t="s">
        <v>6157</v>
      </c>
      <c r="L1805" t="s">
        <v>21</v>
      </c>
      <c r="M1805" t="s">
        <v>19177</v>
      </c>
      <c r="N1805" t="s">
        <v>337</v>
      </c>
      <c r="O1805" t="s">
        <v>337</v>
      </c>
      <c r="P1805" t="s">
        <v>12</v>
      </c>
    </row>
    <row r="1806">
      <c r="A1806">
        <f>HYPERLINK("http://bombeiros.sp.gov.br/hidrantes/03individual/2000.html","2000")</f>
      </c>
      <c r="B1806" t="s">
        <v>114</v>
      </c>
      <c r="C1806" t="s">
        <v>365</v>
      </c>
      <c r="D1806" t="s">
        <v>6139</v>
      </c>
      <c r="E1806" t="s">
        <v>15</v>
      </c>
      <c r="F1806" t="s">
        <v>6158</v>
      </c>
      <c r="G1806" t="s">
        <v>18042</v>
      </c>
      <c r="H1806" t="s">
        <v>1107</v>
      </c>
      <c r="I1806" t="s">
        <v>1108</v>
      </c>
      <c r="J1806" t="s">
        <v>6159</v>
      </c>
      <c r="K1806" t="s">
        <v>6160</v>
      </c>
      <c r="L1806" t="s">
        <v>21</v>
      </c>
      <c r="M1806" t="s">
        <v>19177</v>
      </c>
      <c r="N1806" t="s">
        <v>337</v>
      </c>
      <c r="O1806" t="s">
        <v>337</v>
      </c>
      <c r="P1806" t="s">
        <v>12</v>
      </c>
    </row>
    <row r="1807">
      <c r="A1807">
        <f>HYPERLINK("http://bombeiros.sp.gov.br/hidrantes/03individual/2032.html","2032")</f>
      </c>
      <c r="B1807" t="s">
        <v>114</v>
      </c>
      <c r="C1807" t="s">
        <v>365</v>
      </c>
      <c r="D1807" t="s">
        <v>6139</v>
      </c>
      <c r="E1807" t="s">
        <v>15</v>
      </c>
      <c r="F1807" t="s">
        <v>6161</v>
      </c>
      <c r="G1807" t="s">
        <v>18042</v>
      </c>
      <c r="H1807" t="s">
        <v>1174</v>
      </c>
      <c r="I1807" t="s">
        <v>1108</v>
      </c>
      <c r="J1807" t="s">
        <v>6162</v>
      </c>
      <c r="K1807" t="s">
        <v>6163</v>
      </c>
      <c r="L1807" t="s">
        <v>21</v>
      </c>
      <c r="M1807" t="s">
        <v>19177</v>
      </c>
      <c r="N1807" t="s">
        <v>337</v>
      </c>
      <c r="O1807" t="s">
        <v>337</v>
      </c>
      <c r="P1807" t="s">
        <v>12</v>
      </c>
    </row>
    <row r="1808">
      <c r="A1808">
        <f>HYPERLINK("http://bombeiros.sp.gov.br/hidrantes/03individual/3868.html","3868")</f>
      </c>
      <c r="B1808" t="s">
        <v>114</v>
      </c>
      <c r="C1808" t="s">
        <v>365</v>
      </c>
      <c r="D1808" t="s">
        <v>6139</v>
      </c>
      <c r="E1808" t="s">
        <v>15</v>
      </c>
      <c r="F1808" t="s">
        <v>6164</v>
      </c>
      <c r="G1808" t="s">
        <v>18098</v>
      </c>
      <c r="H1808" t="s">
        <v>1174</v>
      </c>
      <c r="I1808" t="s">
        <v>1108</v>
      </c>
      <c r="J1808" t="s">
        <v>6165</v>
      </c>
      <c r="K1808" t="s">
        <v>6166</v>
      </c>
      <c r="L1808" t="s">
        <v>21</v>
      </c>
      <c r="M1808" t="s">
        <v>19177</v>
      </c>
      <c r="N1808" t="s">
        <v>337</v>
      </c>
      <c r="O1808" t="s">
        <v>337</v>
      </c>
      <c r="P1808" t="s">
        <v>12</v>
      </c>
    </row>
    <row r="1809">
      <c r="A1809">
        <f>HYPERLINK("http://bombeiros.sp.gov.br/hidrantes/03individual/4362.html","4362")</f>
      </c>
      <c r="B1809" t="s">
        <v>114</v>
      </c>
      <c r="C1809" t="s">
        <v>365</v>
      </c>
      <c r="D1809" t="s">
        <v>6139</v>
      </c>
      <c r="E1809" t="s">
        <v>15</v>
      </c>
      <c r="F1809" t="s">
        <v>6167</v>
      </c>
      <c r="G1809" t="s">
        <v>18097</v>
      </c>
      <c r="H1809" t="s">
        <v>1112</v>
      </c>
      <c r="I1809" t="s">
        <v>1108</v>
      </c>
      <c r="J1809" t="s">
        <v>6168</v>
      </c>
      <c r="K1809" t="s">
        <v>6169</v>
      </c>
      <c r="L1809" t="s">
        <v>21</v>
      </c>
      <c r="M1809" t="s">
        <v>19177</v>
      </c>
      <c r="N1809" t="s">
        <v>337</v>
      </c>
      <c r="O1809" t="s">
        <v>337</v>
      </c>
      <c r="P1809" t="s">
        <v>12</v>
      </c>
    </row>
    <row r="1810">
      <c r="A1810">
        <f>HYPERLINK("http://bombeiros.sp.gov.br/hidrantes/03individual/10006.html","10006")</f>
      </c>
      <c r="B1810" t="s">
        <v>114</v>
      </c>
      <c r="C1810" t="s">
        <v>365</v>
      </c>
      <c r="D1810" t="s">
        <v>6139</v>
      </c>
      <c r="E1810" t="s">
        <v>15</v>
      </c>
      <c r="F1810" t="s">
        <v>6170</v>
      </c>
      <c r="G1810" t="s">
        <v>18050</v>
      </c>
      <c r="H1810" t="s">
        <v>1121</v>
      </c>
      <c r="I1810" t="s">
        <v>1117</v>
      </c>
      <c r="J1810" t="s">
        <v>6171</v>
      </c>
      <c r="K1810" t="s">
        <v>6172</v>
      </c>
      <c r="L1810" t="s">
        <v>21</v>
      </c>
      <c r="M1810" t="s">
        <v>19177</v>
      </c>
      <c r="N1810" t="s">
        <v>337</v>
      </c>
      <c r="O1810" t="s">
        <v>337</v>
      </c>
      <c r="P1810" t="s">
        <v>12</v>
      </c>
    </row>
    <row r="1811">
      <c r="A1811">
        <f>HYPERLINK("http://bombeiros.sp.gov.br/hidrantes/03individual/17723.html","17723")</f>
      </c>
      <c r="B1811" t="s">
        <v>114</v>
      </c>
      <c r="C1811" t="s">
        <v>365</v>
      </c>
      <c r="D1811" t="s">
        <v>6139</v>
      </c>
      <c r="E1811" t="s">
        <v>15</v>
      </c>
      <c r="F1811" t="s">
        <v>6173</v>
      </c>
      <c r="G1811" t="s">
        <v>18097</v>
      </c>
      <c r="H1811" t="s">
        <v>1174</v>
      </c>
      <c r="I1811" t="s">
        <v>1108</v>
      </c>
      <c r="J1811" t="s">
        <v>6174</v>
      </c>
      <c r="K1811" t="s">
        <v>6175</v>
      </c>
      <c r="L1811" t="s">
        <v>21</v>
      </c>
      <c r="M1811" t="s">
        <v>19177</v>
      </c>
      <c r="N1811" t="s">
        <v>337</v>
      </c>
      <c r="O1811" t="s">
        <v>337</v>
      </c>
      <c r="P1811" t="s">
        <v>12</v>
      </c>
    </row>
    <row r="1812">
      <c r="A1812">
        <f>HYPERLINK("http://bombeiros.sp.gov.br/hidrantes/03individual/17724.html","17724")</f>
      </c>
      <c r="B1812" t="s">
        <v>114</v>
      </c>
      <c r="C1812" t="s">
        <v>365</v>
      </c>
      <c r="D1812" t="s">
        <v>6139</v>
      </c>
      <c r="E1812" t="s">
        <v>15</v>
      </c>
      <c r="F1812" t="s">
        <v>6176</v>
      </c>
      <c r="G1812" t="s">
        <v>18067</v>
      </c>
      <c r="H1812" t="s">
        <v>1112</v>
      </c>
      <c r="I1812" t="s">
        <v>1108</v>
      </c>
      <c r="J1812" t="s">
        <v>6177</v>
      </c>
      <c r="K1812" t="s">
        <v>6178</v>
      </c>
      <c r="L1812" t="s">
        <v>21</v>
      </c>
      <c r="M1812" t="s">
        <v>19177</v>
      </c>
      <c r="N1812" t="s">
        <v>337</v>
      </c>
      <c r="O1812" t="s">
        <v>337</v>
      </c>
      <c r="P1812" t="s">
        <v>12</v>
      </c>
    </row>
    <row r="1813">
      <c r="A1813">
        <f>HYPERLINK("http://bombeiros.sp.gov.br/hidrantes/03individual/973.html","973")</f>
      </c>
      <c r="B1813" t="s">
        <v>114</v>
      </c>
      <c r="C1813" t="s">
        <v>365</v>
      </c>
      <c r="D1813" t="s">
        <v>366</v>
      </c>
      <c r="E1813" t="s">
        <v>64</v>
      </c>
      <c r="F1813" t="s">
        <v>6179</v>
      </c>
      <c r="G1813" t="s">
        <v>18083</v>
      </c>
      <c r="H1813" t="s">
        <v>1112</v>
      </c>
      <c r="I1813" t="s">
        <v>1108</v>
      </c>
      <c r="J1813" t="s">
        <v>6180</v>
      </c>
      <c r="K1813" t="s">
        <v>6181</v>
      </c>
      <c r="L1813" t="s">
        <v>21</v>
      </c>
      <c r="M1813" t="s">
        <v>19177</v>
      </c>
      <c r="N1813" t="s">
        <v>337</v>
      </c>
      <c r="O1813" t="s">
        <v>337</v>
      </c>
      <c r="P1813" t="s">
        <v>12</v>
      </c>
    </row>
    <row r="1814">
      <c r="A1814">
        <f>HYPERLINK("http://bombeiros.sp.gov.br/hidrantes/03individual/2959.html","2959")</f>
      </c>
      <c r="B1814" t="s">
        <v>114</v>
      </c>
      <c r="C1814" t="s">
        <v>365</v>
      </c>
      <c r="D1814" t="s">
        <v>366</v>
      </c>
      <c r="E1814" t="s">
        <v>64</v>
      </c>
      <c r="F1814" t="s">
        <v>6185</v>
      </c>
      <c r="G1814" t="s">
        <v>18097</v>
      </c>
      <c r="H1814" t="s">
        <v>1107</v>
      </c>
      <c r="I1814" t="s">
        <v>1108</v>
      </c>
      <c r="J1814" t="s">
        <v>6186</v>
      </c>
      <c r="K1814" t="s">
        <v>6187</v>
      </c>
      <c r="L1814" t="s">
        <v>36</v>
      </c>
      <c r="M1814" t="s">
        <v>19177</v>
      </c>
      <c r="N1814" t="s">
        <v>337</v>
      </c>
      <c r="O1814" t="s">
        <v>337</v>
      </c>
      <c r="P1814" t="s">
        <v>12</v>
      </c>
    </row>
    <row r="1815">
      <c r="A1815">
        <f>HYPERLINK("http://bombeiros.sp.gov.br/hidrantes/03individual/3000.html","3000")</f>
      </c>
      <c r="B1815" t="s">
        <v>114</v>
      </c>
      <c r="C1815" t="s">
        <v>365</v>
      </c>
      <c r="D1815" t="s">
        <v>366</v>
      </c>
      <c r="E1815" t="s">
        <v>64</v>
      </c>
      <c r="F1815" t="s">
        <v>6188</v>
      </c>
      <c r="G1815" t="s">
        <v>18083</v>
      </c>
      <c r="H1815"/>
      <c r="I1815" t="s">
        <v>18</v>
      </c>
      <c r="J1815" t="s">
        <v>6189</v>
      </c>
      <c r="K1815" t="s">
        <v>6190</v>
      </c>
      <c r="L1815" t="s">
        <v>21</v>
      </c>
      <c r="M1815" t="s">
        <v>19177</v>
      </c>
      <c r="N1815" t="s">
        <v>337</v>
      </c>
      <c r="O1815" t="s">
        <v>337</v>
      </c>
      <c r="P1815" t="s">
        <v>12</v>
      </c>
    </row>
    <row r="1816">
      <c r="A1816">
        <f>HYPERLINK("http://bombeiros.sp.gov.br/hidrantes/03individual/27022.html","27022")</f>
      </c>
      <c r="B1816" t="s">
        <v>114</v>
      </c>
      <c r="C1816" t="s">
        <v>365</v>
      </c>
      <c r="D1816" t="s">
        <v>366</v>
      </c>
      <c r="E1816" t="s">
        <v>64</v>
      </c>
      <c r="F1816" t="s">
        <v>16588</v>
      </c>
      <c r="G1816" t="s">
        <v>18083</v>
      </c>
      <c r="H1816" t="s">
        <v>1112</v>
      </c>
      <c r="I1816" t="s">
        <v>1108</v>
      </c>
      <c r="J1816" t="s">
        <v>16589</v>
      </c>
      <c r="K1816" t="s">
        <v>16590</v>
      </c>
      <c r="L1816" t="s">
        <v>21</v>
      </c>
      <c r="M1816" t="s">
        <v>19177</v>
      </c>
      <c r="N1816" t="s">
        <v>300</v>
      </c>
      <c r="O1816" t="s">
        <v>16373</v>
      </c>
      <c r="P1816" t="s">
        <v>12</v>
      </c>
    </row>
    <row r="1817">
      <c r="A1817">
        <f>HYPERLINK("http://bombeiros.sp.gov.br/hidrantes/03individual/28398.html","28398")</f>
      </c>
      <c r="B1817" t="s">
        <v>114</v>
      </c>
      <c r="C1817" t="s">
        <v>365</v>
      </c>
      <c r="D1817" t="s">
        <v>366</v>
      </c>
      <c r="E1817" t="s">
        <v>64</v>
      </c>
      <c r="F1817" t="s">
        <v>18710</v>
      </c>
      <c r="G1817"/>
      <c r="H1817"/>
      <c r="I1817" t="s">
        <v>1503</v>
      </c>
      <c r="J1817" t="s">
        <v>18711</v>
      </c>
      <c r="K1817" t="s">
        <v>18712</v>
      </c>
      <c r="L1817" t="s">
        <v>21</v>
      </c>
      <c r="M1817" t="s">
        <v>19177</v>
      </c>
      <c r="N1817" t="s">
        <v>337</v>
      </c>
      <c r="O1817" t="s">
        <v>337</v>
      </c>
      <c r="P1817" t="s">
        <v>12</v>
      </c>
    </row>
    <row r="1818">
      <c r="A1818">
        <f>HYPERLINK("http://bombeiros.sp.gov.br/hidrantes/03individual/987.html","987")</f>
      </c>
      <c r="B1818" t="s">
        <v>114</v>
      </c>
      <c r="C1818" t="s">
        <v>365</v>
      </c>
      <c r="D1818" t="s">
        <v>366</v>
      </c>
      <c r="E1818" t="s">
        <v>15</v>
      </c>
      <c r="F1818" t="s">
        <v>6191</v>
      </c>
      <c r="G1818" t="s">
        <v>18066</v>
      </c>
      <c r="H1818" t="s">
        <v>1112</v>
      </c>
      <c r="I1818" t="s">
        <v>1108</v>
      </c>
      <c r="J1818" t="s">
        <v>6192</v>
      </c>
      <c r="K1818" t="s">
        <v>6193</v>
      </c>
      <c r="L1818" t="s">
        <v>21</v>
      </c>
      <c r="M1818" t="s">
        <v>19177</v>
      </c>
      <c r="N1818" t="s">
        <v>337</v>
      </c>
      <c r="O1818" t="s">
        <v>337</v>
      </c>
      <c r="P1818" t="s">
        <v>12</v>
      </c>
    </row>
    <row r="1819">
      <c r="A1819">
        <f>HYPERLINK("http://bombeiros.sp.gov.br/hidrantes/03individual/1642.html","1642")</f>
      </c>
      <c r="B1819" t="s">
        <v>114</v>
      </c>
      <c r="C1819" t="s">
        <v>365</v>
      </c>
      <c r="D1819" t="s">
        <v>366</v>
      </c>
      <c r="E1819" t="s">
        <v>15</v>
      </c>
      <c r="F1819" t="s">
        <v>6194</v>
      </c>
      <c r="G1819" t="s">
        <v>18083</v>
      </c>
      <c r="H1819" t="s">
        <v>1112</v>
      </c>
      <c r="I1819" t="s">
        <v>1108</v>
      </c>
      <c r="J1819" t="s">
        <v>6195</v>
      </c>
      <c r="K1819" t="s">
        <v>6196</v>
      </c>
      <c r="L1819" t="s">
        <v>21</v>
      </c>
      <c r="M1819" t="s">
        <v>19177</v>
      </c>
      <c r="N1819" t="s">
        <v>300</v>
      </c>
      <c r="O1819" t="s">
        <v>16373</v>
      </c>
      <c r="P1819" t="s">
        <v>12</v>
      </c>
    </row>
    <row r="1820">
      <c r="A1820">
        <f>HYPERLINK("http://bombeiros.sp.gov.br/hidrantes/03individual/1687.html","1687")</f>
      </c>
      <c r="B1820" t="s">
        <v>114</v>
      </c>
      <c r="C1820" t="s">
        <v>365</v>
      </c>
      <c r="D1820" t="s">
        <v>366</v>
      </c>
      <c r="E1820" t="s">
        <v>15</v>
      </c>
      <c r="F1820" t="s">
        <v>6197</v>
      </c>
      <c r="G1820" t="s">
        <v>18083</v>
      </c>
      <c r="H1820" t="s">
        <v>1112</v>
      </c>
      <c r="I1820" t="s">
        <v>1108</v>
      </c>
      <c r="J1820" t="s">
        <v>16205</v>
      </c>
      <c r="K1820" t="s">
        <v>16206</v>
      </c>
      <c r="L1820" t="s">
        <v>21</v>
      </c>
      <c r="M1820" t="s">
        <v>19177</v>
      </c>
      <c r="N1820" t="s">
        <v>300</v>
      </c>
      <c r="O1820" t="s">
        <v>16373</v>
      </c>
      <c r="P1820" t="s">
        <v>12</v>
      </c>
    </row>
    <row r="1821">
      <c r="A1821">
        <f>HYPERLINK("http://bombeiros.sp.gov.br/hidrantes/03individual/1689.html","1689")</f>
      </c>
      <c r="B1821" t="s">
        <v>114</v>
      </c>
      <c r="C1821" t="s">
        <v>365</v>
      </c>
      <c r="D1821" t="s">
        <v>366</v>
      </c>
      <c r="E1821" t="s">
        <v>15</v>
      </c>
      <c r="F1821" t="s">
        <v>6200</v>
      </c>
      <c r="G1821" t="s">
        <v>18083</v>
      </c>
      <c r="H1821" t="s">
        <v>1112</v>
      </c>
      <c r="I1821" t="s">
        <v>1108</v>
      </c>
      <c r="J1821" t="s">
        <v>6201</v>
      </c>
      <c r="K1821" t="s">
        <v>6202</v>
      </c>
      <c r="L1821" t="s">
        <v>21</v>
      </c>
      <c r="M1821" t="s">
        <v>19177</v>
      </c>
      <c r="N1821" t="s">
        <v>300</v>
      </c>
      <c r="O1821" t="s">
        <v>16373</v>
      </c>
      <c r="P1821" t="s">
        <v>12</v>
      </c>
    </row>
    <row r="1822">
      <c r="A1822">
        <f>HYPERLINK("http://bombeiros.sp.gov.br/hidrantes/03individual/1930.html","1930")</f>
      </c>
      <c r="B1822" t="s">
        <v>114</v>
      </c>
      <c r="C1822" t="s">
        <v>365</v>
      </c>
      <c r="D1822" t="s">
        <v>366</v>
      </c>
      <c r="E1822" t="s">
        <v>15</v>
      </c>
      <c r="F1822" t="s">
        <v>6203</v>
      </c>
      <c r="G1822" t="s">
        <v>18083</v>
      </c>
      <c r="H1822" t="s">
        <v>1112</v>
      </c>
      <c r="I1822" t="s">
        <v>1108</v>
      </c>
      <c r="J1822" t="s">
        <v>6204</v>
      </c>
      <c r="K1822" t="s">
        <v>6205</v>
      </c>
      <c r="L1822" t="s">
        <v>21</v>
      </c>
      <c r="M1822" t="s">
        <v>19177</v>
      </c>
      <c r="N1822" t="s">
        <v>337</v>
      </c>
      <c r="O1822" t="s">
        <v>337</v>
      </c>
      <c r="P1822" t="s">
        <v>12</v>
      </c>
    </row>
    <row r="1823">
      <c r="A1823">
        <f>HYPERLINK("http://bombeiros.sp.gov.br/hidrantes/03individual/1933.html","1933")</f>
      </c>
      <c r="B1823" t="s">
        <v>114</v>
      </c>
      <c r="C1823" t="s">
        <v>365</v>
      </c>
      <c r="D1823" t="s">
        <v>366</v>
      </c>
      <c r="E1823" t="s">
        <v>15</v>
      </c>
      <c r="F1823" t="s">
        <v>6206</v>
      </c>
      <c r="G1823" t="s">
        <v>18042</v>
      </c>
      <c r="H1823" t="s">
        <v>1112</v>
      </c>
      <c r="I1823" t="s">
        <v>1108</v>
      </c>
      <c r="J1823" t="s">
        <v>6207</v>
      </c>
      <c r="K1823" t="s">
        <v>6208</v>
      </c>
      <c r="L1823" t="s">
        <v>21</v>
      </c>
      <c r="M1823" t="s">
        <v>19177</v>
      </c>
      <c r="N1823" t="s">
        <v>337</v>
      </c>
      <c r="O1823" t="s">
        <v>337</v>
      </c>
      <c r="P1823" t="s">
        <v>12</v>
      </c>
    </row>
    <row r="1824">
      <c r="A1824">
        <f>HYPERLINK("http://bombeiros.sp.gov.br/hidrantes/03individual/3081.html","3081")</f>
      </c>
      <c r="B1824" t="s">
        <v>114</v>
      </c>
      <c r="C1824" t="s">
        <v>365</v>
      </c>
      <c r="D1824" t="s">
        <v>366</v>
      </c>
      <c r="E1824" t="s">
        <v>15</v>
      </c>
      <c r="F1824" t="s">
        <v>6209</v>
      </c>
      <c r="G1824" t="s">
        <v>18089</v>
      </c>
      <c r="H1824" t="s">
        <v>1112</v>
      </c>
      <c r="I1824" t="s">
        <v>1108</v>
      </c>
      <c r="J1824" t="s">
        <v>6210</v>
      </c>
      <c r="K1824" t="s">
        <v>6211</v>
      </c>
      <c r="L1824" t="s">
        <v>21</v>
      </c>
      <c r="M1824" t="s">
        <v>19177</v>
      </c>
      <c r="N1824" t="s">
        <v>300</v>
      </c>
      <c r="O1824" t="s">
        <v>16373</v>
      </c>
      <c r="P1824" t="s">
        <v>12</v>
      </c>
    </row>
    <row r="1825">
      <c r="A1825">
        <f>HYPERLINK("http://bombeiros.sp.gov.br/hidrantes/03individual/3688.html","3688")</f>
      </c>
      <c r="B1825" t="s">
        <v>114</v>
      </c>
      <c r="C1825" t="s">
        <v>365</v>
      </c>
      <c r="D1825" t="s">
        <v>366</v>
      </c>
      <c r="E1825" t="s">
        <v>15</v>
      </c>
      <c r="F1825" t="s">
        <v>6212</v>
      </c>
      <c r="G1825" t="s">
        <v>18051</v>
      </c>
      <c r="H1825" t="s">
        <v>1112</v>
      </c>
      <c r="I1825" t="s">
        <v>1108</v>
      </c>
      <c r="J1825" t="s">
        <v>6213</v>
      </c>
      <c r="K1825" t="s">
        <v>6214</v>
      </c>
      <c r="L1825" t="s">
        <v>21</v>
      </c>
      <c r="M1825" t="s">
        <v>19177</v>
      </c>
      <c r="N1825" t="s">
        <v>337</v>
      </c>
      <c r="O1825" t="s">
        <v>337</v>
      </c>
      <c r="P1825" t="s">
        <v>12</v>
      </c>
    </row>
    <row r="1826">
      <c r="A1826">
        <f>HYPERLINK("http://bombeiros.sp.gov.br/hidrantes/03individual/17734.html","17734")</f>
      </c>
      <c r="B1826" t="s">
        <v>114</v>
      </c>
      <c r="C1826" t="s">
        <v>365</v>
      </c>
      <c r="D1826" t="s">
        <v>366</v>
      </c>
      <c r="E1826" t="s">
        <v>15</v>
      </c>
      <c r="F1826" t="s">
        <v>6215</v>
      </c>
      <c r="G1826" t="s">
        <v>18089</v>
      </c>
      <c r="H1826" t="s">
        <v>1112</v>
      </c>
      <c r="I1826" t="s">
        <v>1108</v>
      </c>
      <c r="J1826" t="s">
        <v>6216</v>
      </c>
      <c r="K1826" t="s">
        <v>6217</v>
      </c>
      <c r="L1826" t="s">
        <v>21</v>
      </c>
      <c r="M1826" t="s">
        <v>19177</v>
      </c>
      <c r="N1826" t="s">
        <v>300</v>
      </c>
      <c r="O1826" t="s">
        <v>16373</v>
      </c>
      <c r="P1826" t="s">
        <v>12</v>
      </c>
    </row>
    <row r="1827">
      <c r="A1827">
        <f>HYPERLINK("http://bombeiros.sp.gov.br/hidrantes/03individual/28049.html","28049")</f>
      </c>
      <c r="B1827" t="s">
        <v>114</v>
      </c>
      <c r="C1827" t="s">
        <v>365</v>
      </c>
      <c r="D1827" t="s">
        <v>366</v>
      </c>
      <c r="E1827" t="s">
        <v>15</v>
      </c>
      <c r="F1827" t="s">
        <v>18298</v>
      </c>
      <c r="G1827" t="s">
        <v>18045</v>
      </c>
      <c r="H1827" t="s">
        <v>1174</v>
      </c>
      <c r="I1827" t="s">
        <v>1108</v>
      </c>
      <c r="J1827" t="s">
        <v>18299</v>
      </c>
      <c r="K1827" t="s">
        <v>18300</v>
      </c>
      <c r="L1827" t="s">
        <v>21</v>
      </c>
      <c r="M1827" t="s">
        <v>19177</v>
      </c>
      <c r="N1827" t="s">
        <v>337</v>
      </c>
      <c r="O1827" t="s">
        <v>337</v>
      </c>
      <c r="P1827" t="s">
        <v>12</v>
      </c>
    </row>
    <row r="1828">
      <c r="A1828">
        <f>HYPERLINK("http://bombeiros.sp.gov.br/hidrantes/03individual/1910.html","1910")</f>
      </c>
      <c r="B1828" t="s">
        <v>114</v>
      </c>
      <c r="C1828" t="s">
        <v>365</v>
      </c>
      <c r="D1828" t="s">
        <v>370</v>
      </c>
      <c r="E1828" t="s">
        <v>15</v>
      </c>
      <c r="F1828" t="s">
        <v>6218</v>
      </c>
      <c r="G1828" t="s">
        <v>18074</v>
      </c>
      <c r="H1828" t="s">
        <v>1107</v>
      </c>
      <c r="I1828" t="s">
        <v>1108</v>
      </c>
      <c r="J1828" t="s">
        <v>17450</v>
      </c>
      <c r="K1828" t="s">
        <v>17451</v>
      </c>
      <c r="L1828" t="s">
        <v>21</v>
      </c>
      <c r="M1828" t="s">
        <v>19177</v>
      </c>
      <c r="N1828" t="s">
        <v>337</v>
      </c>
      <c r="O1828" t="s">
        <v>337</v>
      </c>
      <c r="P1828" t="s">
        <v>12</v>
      </c>
    </row>
    <row r="1829">
      <c r="A1829">
        <f>HYPERLINK("http://bombeiros.sp.gov.br/hidrantes/03individual/3704.html","3704")</f>
      </c>
      <c r="B1829" t="s">
        <v>114</v>
      </c>
      <c r="C1829" t="s">
        <v>365</v>
      </c>
      <c r="D1829" t="s">
        <v>370</v>
      </c>
      <c r="E1829" t="s">
        <v>15</v>
      </c>
      <c r="F1829" t="s">
        <v>6221</v>
      </c>
      <c r="G1829" t="s">
        <v>18074</v>
      </c>
      <c r="H1829" t="s">
        <v>1174</v>
      </c>
      <c r="I1829" t="s">
        <v>1108</v>
      </c>
      <c r="J1829" t="s">
        <v>6222</v>
      </c>
      <c r="K1829" t="s">
        <v>6223</v>
      </c>
      <c r="L1829" t="s">
        <v>21</v>
      </c>
      <c r="M1829" t="s">
        <v>19177</v>
      </c>
      <c r="N1829" t="s">
        <v>337</v>
      </c>
      <c r="O1829" t="s">
        <v>337</v>
      </c>
      <c r="P1829" t="s">
        <v>12</v>
      </c>
    </row>
    <row r="1830">
      <c r="A1830">
        <f>HYPERLINK("http://bombeiros.sp.gov.br/hidrantes/03individual/3706.html","3706")</f>
      </c>
      <c r="B1830" t="s">
        <v>114</v>
      </c>
      <c r="C1830" t="s">
        <v>365</v>
      </c>
      <c r="D1830" t="s">
        <v>370</v>
      </c>
      <c r="E1830" t="s">
        <v>15</v>
      </c>
      <c r="F1830" t="s">
        <v>6224</v>
      </c>
      <c r="G1830" t="s">
        <v>18098</v>
      </c>
      <c r="H1830" t="s">
        <v>1112</v>
      </c>
      <c r="I1830" t="s">
        <v>1108</v>
      </c>
      <c r="J1830" t="s">
        <v>6225</v>
      </c>
      <c r="K1830" t="s">
        <v>6226</v>
      </c>
      <c r="L1830" t="s">
        <v>21</v>
      </c>
      <c r="M1830" t="s">
        <v>19177</v>
      </c>
      <c r="N1830" t="s">
        <v>337</v>
      </c>
      <c r="O1830" t="s">
        <v>337</v>
      </c>
      <c r="P1830" t="s">
        <v>12</v>
      </c>
    </row>
    <row r="1831">
      <c r="A1831">
        <f>HYPERLINK("http://bombeiros.sp.gov.br/hidrantes/03individual/3707.html","3707")</f>
      </c>
      <c r="B1831" t="s">
        <v>114</v>
      </c>
      <c r="C1831" t="s">
        <v>365</v>
      </c>
      <c r="D1831" t="s">
        <v>370</v>
      </c>
      <c r="E1831" t="s">
        <v>15</v>
      </c>
      <c r="F1831" t="s">
        <v>6227</v>
      </c>
      <c r="G1831" t="s">
        <v>18097</v>
      </c>
      <c r="H1831" t="s">
        <v>1174</v>
      </c>
      <c r="I1831" t="s">
        <v>1117</v>
      </c>
      <c r="J1831" t="s">
        <v>6228</v>
      </c>
      <c r="K1831" t="s">
        <v>6229</v>
      </c>
      <c r="L1831" t="s">
        <v>21</v>
      </c>
      <c r="M1831" t="s">
        <v>19177</v>
      </c>
      <c r="N1831" t="s">
        <v>337</v>
      </c>
      <c r="O1831" t="s">
        <v>337</v>
      </c>
      <c r="P1831" t="s">
        <v>12</v>
      </c>
    </row>
    <row r="1832">
      <c r="A1832">
        <f>HYPERLINK("http://bombeiros.sp.gov.br/hidrantes/03individual/4194.html","4194")</f>
      </c>
      <c r="B1832" t="s">
        <v>114</v>
      </c>
      <c r="C1832" t="s">
        <v>365</v>
      </c>
      <c r="D1832" t="s">
        <v>370</v>
      </c>
      <c r="E1832" t="s">
        <v>15</v>
      </c>
      <c r="F1832" t="s">
        <v>371</v>
      </c>
      <c r="G1832" t="s">
        <v>18074</v>
      </c>
      <c r="H1832" t="s">
        <v>1121</v>
      </c>
      <c r="I1832" t="s">
        <v>1117</v>
      </c>
      <c r="J1832" t="s">
        <v>372</v>
      </c>
      <c r="K1832" t="s">
        <v>373</v>
      </c>
      <c r="L1832" t="s">
        <v>21</v>
      </c>
      <c r="M1832" t="s">
        <v>19177</v>
      </c>
      <c r="N1832" t="s">
        <v>337</v>
      </c>
      <c r="O1832" t="s">
        <v>337</v>
      </c>
      <c r="P1832" t="s">
        <v>12</v>
      </c>
    </row>
    <row r="1833">
      <c r="A1833">
        <f>HYPERLINK("http://bombeiros.sp.gov.br/hidrantes/03individual/4347.html","4347")</f>
      </c>
      <c r="B1833" t="s">
        <v>114</v>
      </c>
      <c r="C1833" t="s">
        <v>365</v>
      </c>
      <c r="D1833" t="s">
        <v>370</v>
      </c>
      <c r="E1833" t="s">
        <v>15</v>
      </c>
      <c r="F1833" t="s">
        <v>6230</v>
      </c>
      <c r="G1833" t="s">
        <v>18074</v>
      </c>
      <c r="H1833" t="s">
        <v>1112</v>
      </c>
      <c r="I1833" t="s">
        <v>1108</v>
      </c>
      <c r="J1833" t="s">
        <v>16038</v>
      </c>
      <c r="K1833" t="s">
        <v>16039</v>
      </c>
      <c r="L1833" t="s">
        <v>21</v>
      </c>
      <c r="M1833" t="s">
        <v>19177</v>
      </c>
      <c r="N1833" t="s">
        <v>337</v>
      </c>
      <c r="O1833" t="s">
        <v>337</v>
      </c>
      <c r="P1833" t="s">
        <v>12</v>
      </c>
    </row>
    <row r="1834">
      <c r="A1834">
        <f>HYPERLINK("http://bombeiros.sp.gov.br/hidrantes/03individual/25201.html","25201")</f>
      </c>
      <c r="B1834" t="s">
        <v>114</v>
      </c>
      <c r="C1834" t="s">
        <v>365</v>
      </c>
      <c r="D1834" t="s">
        <v>370</v>
      </c>
      <c r="E1834" t="s">
        <v>15</v>
      </c>
      <c r="F1834" t="s">
        <v>6233</v>
      </c>
      <c r="G1834" t="s">
        <v>18097</v>
      </c>
      <c r="H1834" t="s">
        <v>1174</v>
      </c>
      <c r="I1834" t="s">
        <v>1108</v>
      </c>
      <c r="J1834" t="s">
        <v>6234</v>
      </c>
      <c r="K1834" t="s">
        <v>6235</v>
      </c>
      <c r="L1834" t="s">
        <v>21</v>
      </c>
      <c r="M1834" t="s">
        <v>19177</v>
      </c>
      <c r="N1834" t="s">
        <v>337</v>
      </c>
      <c r="O1834" t="s">
        <v>337</v>
      </c>
      <c r="P1834" t="s">
        <v>12</v>
      </c>
    </row>
    <row r="1835">
      <c r="A1835">
        <f>HYPERLINK("http://bombeiros.sp.gov.br/hidrantes/03individual/26769.html","26769")</f>
      </c>
      <c r="B1835" t="s">
        <v>114</v>
      </c>
      <c r="C1835" t="s">
        <v>365</v>
      </c>
      <c r="D1835" t="s">
        <v>370</v>
      </c>
      <c r="E1835" t="s">
        <v>15</v>
      </c>
      <c r="F1835" t="s">
        <v>6236</v>
      </c>
      <c r="G1835" t="s">
        <v>18074</v>
      </c>
      <c r="H1835" t="s">
        <v>1107</v>
      </c>
      <c r="I1835" t="s">
        <v>1108</v>
      </c>
      <c r="J1835" t="s">
        <v>6237</v>
      </c>
      <c r="K1835" t="s">
        <v>6238</v>
      </c>
      <c r="L1835" t="s">
        <v>21</v>
      </c>
      <c r="M1835" t="s">
        <v>19177</v>
      </c>
      <c r="N1835" t="s">
        <v>337</v>
      </c>
      <c r="O1835" t="s">
        <v>337</v>
      </c>
      <c r="P1835" t="s">
        <v>12</v>
      </c>
    </row>
    <row r="1836">
      <c r="A1836">
        <f>HYPERLINK("http://bombeiros.sp.gov.br/hidrantes/03individual/44.html","44")</f>
      </c>
      <c r="B1836" t="s">
        <v>114</v>
      </c>
      <c r="C1836" t="s">
        <v>365</v>
      </c>
      <c r="D1836" t="s">
        <v>6239</v>
      </c>
      <c r="E1836" t="s">
        <v>64</v>
      </c>
      <c r="F1836" t="s">
        <v>6240</v>
      </c>
      <c r="G1836" t="s">
        <v>18048</v>
      </c>
      <c r="H1836" t="s">
        <v>1112</v>
      </c>
      <c r="I1836" t="s">
        <v>1108</v>
      </c>
      <c r="J1836" t="s">
        <v>6241</v>
      </c>
      <c r="K1836" t="s">
        <v>6242</v>
      </c>
      <c r="L1836" t="s">
        <v>21</v>
      </c>
      <c r="M1836" t="s">
        <v>19177</v>
      </c>
      <c r="N1836" t="s">
        <v>337</v>
      </c>
      <c r="O1836" t="s">
        <v>337</v>
      </c>
      <c r="P1836" t="s">
        <v>12</v>
      </c>
    </row>
    <row r="1837">
      <c r="A1837">
        <f>HYPERLINK("http://bombeiros.sp.gov.br/hidrantes/03individual/806.html","806")</f>
      </c>
      <c r="B1837" t="s">
        <v>114</v>
      </c>
      <c r="C1837" t="s">
        <v>365</v>
      </c>
      <c r="D1837" t="s">
        <v>6239</v>
      </c>
      <c r="E1837" t="s">
        <v>64</v>
      </c>
      <c r="F1837" t="s">
        <v>6243</v>
      </c>
      <c r="G1837" t="s">
        <v>18075</v>
      </c>
      <c r="H1837" t="s">
        <v>1112</v>
      </c>
      <c r="I1837" t="s">
        <v>1117</v>
      </c>
      <c r="J1837" t="s">
        <v>6244</v>
      </c>
      <c r="K1837" t="s">
        <v>6245</v>
      </c>
      <c r="L1837" t="s">
        <v>21</v>
      </c>
      <c r="M1837" t="s">
        <v>19177</v>
      </c>
      <c r="N1837" t="s">
        <v>337</v>
      </c>
      <c r="O1837" t="s">
        <v>337</v>
      </c>
      <c r="P1837" t="s">
        <v>12</v>
      </c>
    </row>
    <row r="1838">
      <c r="A1838">
        <f>HYPERLINK("http://bombeiros.sp.gov.br/hidrantes/03individual/824.html","824")</f>
      </c>
      <c r="B1838" t="s">
        <v>114</v>
      </c>
      <c r="C1838" t="s">
        <v>365</v>
      </c>
      <c r="D1838" t="s">
        <v>6239</v>
      </c>
      <c r="E1838" t="s">
        <v>64</v>
      </c>
      <c r="F1838" t="s">
        <v>6246</v>
      </c>
      <c r="G1838" t="s">
        <v>18075</v>
      </c>
      <c r="H1838" t="s">
        <v>1112</v>
      </c>
      <c r="I1838" t="s">
        <v>1108</v>
      </c>
      <c r="J1838" t="s">
        <v>6247</v>
      </c>
      <c r="K1838" t="s">
        <v>6248</v>
      </c>
      <c r="L1838" t="s">
        <v>21</v>
      </c>
      <c r="M1838" t="s">
        <v>19177</v>
      </c>
      <c r="N1838" t="s">
        <v>337</v>
      </c>
      <c r="O1838" t="s">
        <v>337</v>
      </c>
      <c r="P1838" t="s">
        <v>12</v>
      </c>
    </row>
    <row r="1839">
      <c r="A1839">
        <f>HYPERLINK("http://bombeiros.sp.gov.br/hidrantes/03individual/826.html","826")</f>
      </c>
      <c r="B1839" t="s">
        <v>114</v>
      </c>
      <c r="C1839" t="s">
        <v>365</v>
      </c>
      <c r="D1839" t="s">
        <v>6239</v>
      </c>
      <c r="E1839" t="s">
        <v>64</v>
      </c>
      <c r="F1839" t="s">
        <v>6249</v>
      </c>
      <c r="G1839" t="s">
        <v>18069</v>
      </c>
      <c r="H1839" t="s">
        <v>1121</v>
      </c>
      <c r="I1839" t="s">
        <v>1117</v>
      </c>
      <c r="J1839" t="s">
        <v>6250</v>
      </c>
      <c r="K1839" t="s">
        <v>6251</v>
      </c>
      <c r="L1839" t="s">
        <v>21</v>
      </c>
      <c r="M1839" t="s">
        <v>19177</v>
      </c>
      <c r="N1839" t="s">
        <v>337</v>
      </c>
      <c r="O1839" t="s">
        <v>337</v>
      </c>
      <c r="P1839" t="s">
        <v>12</v>
      </c>
    </row>
    <row r="1840">
      <c r="A1840">
        <f>HYPERLINK("http://bombeiros.sp.gov.br/hidrantes/03individual/838.html","838")</f>
      </c>
      <c r="B1840" t="s">
        <v>114</v>
      </c>
      <c r="C1840" t="s">
        <v>365</v>
      </c>
      <c r="D1840" t="s">
        <v>6239</v>
      </c>
      <c r="E1840" t="s">
        <v>64</v>
      </c>
      <c r="F1840" t="s">
        <v>6252</v>
      </c>
      <c r="G1840" t="s">
        <v>18124</v>
      </c>
      <c r="H1840" t="s">
        <v>1121</v>
      </c>
      <c r="I1840" t="s">
        <v>1117</v>
      </c>
      <c r="J1840" t="s">
        <v>6253</v>
      </c>
      <c r="K1840" t="s">
        <v>6254</v>
      </c>
      <c r="L1840" t="s">
        <v>21</v>
      </c>
      <c r="M1840" t="s">
        <v>19177</v>
      </c>
      <c r="N1840" t="s">
        <v>337</v>
      </c>
      <c r="O1840" t="s">
        <v>337</v>
      </c>
      <c r="P1840" t="s">
        <v>12</v>
      </c>
    </row>
    <row r="1841">
      <c r="A1841">
        <f>HYPERLINK("http://bombeiros.sp.gov.br/hidrantes/03individual/884.html","884")</f>
      </c>
      <c r="B1841" t="s">
        <v>114</v>
      </c>
      <c r="C1841" t="s">
        <v>365</v>
      </c>
      <c r="D1841" t="s">
        <v>6239</v>
      </c>
      <c r="E1841" t="s">
        <v>64</v>
      </c>
      <c r="F1841" t="s">
        <v>6255</v>
      </c>
      <c r="G1841" t="s">
        <v>18047</v>
      </c>
      <c r="H1841" t="s">
        <v>1112</v>
      </c>
      <c r="I1841" t="s">
        <v>1108</v>
      </c>
      <c r="J1841" t="s">
        <v>6256</v>
      </c>
      <c r="K1841" t="s">
        <v>6257</v>
      </c>
      <c r="L1841" t="s">
        <v>21</v>
      </c>
      <c r="M1841" t="s">
        <v>19177</v>
      </c>
      <c r="N1841" t="s">
        <v>337</v>
      </c>
      <c r="O1841" t="s">
        <v>337</v>
      </c>
      <c r="P1841" t="s">
        <v>12</v>
      </c>
    </row>
    <row r="1842">
      <c r="A1842">
        <f>HYPERLINK("http://bombeiros.sp.gov.br/hidrantes/03individual/885.html","885")</f>
      </c>
      <c r="B1842" t="s">
        <v>114</v>
      </c>
      <c r="C1842" t="s">
        <v>365</v>
      </c>
      <c r="D1842" t="s">
        <v>6239</v>
      </c>
      <c r="E1842" t="s">
        <v>64</v>
      </c>
      <c r="F1842" t="s">
        <v>6258</v>
      </c>
      <c r="G1842" t="s">
        <v>18047</v>
      </c>
      <c r="H1842" t="s">
        <v>1112</v>
      </c>
      <c r="I1842" t="s">
        <v>1108</v>
      </c>
      <c r="J1842" t="s">
        <v>6259</v>
      </c>
      <c r="K1842" t="s">
        <v>6260</v>
      </c>
      <c r="L1842" t="s">
        <v>21</v>
      </c>
      <c r="M1842" t="s">
        <v>19177</v>
      </c>
      <c r="N1842" t="s">
        <v>337</v>
      </c>
      <c r="O1842" t="s">
        <v>337</v>
      </c>
      <c r="P1842" t="s">
        <v>12</v>
      </c>
    </row>
    <row r="1843">
      <c r="A1843">
        <f>HYPERLINK("http://bombeiros.sp.gov.br/hidrantes/03individual/887.html","887")</f>
      </c>
      <c r="B1843" t="s">
        <v>114</v>
      </c>
      <c r="C1843" t="s">
        <v>365</v>
      </c>
      <c r="D1843" t="s">
        <v>6239</v>
      </c>
      <c r="E1843" t="s">
        <v>64</v>
      </c>
      <c r="F1843" t="s">
        <v>6261</v>
      </c>
      <c r="G1843" t="s">
        <v>18047</v>
      </c>
      <c r="H1843" t="s">
        <v>1107</v>
      </c>
      <c r="I1843" t="s">
        <v>1108</v>
      </c>
      <c r="J1843" t="s">
        <v>6262</v>
      </c>
      <c r="K1843" t="s">
        <v>6263</v>
      </c>
      <c r="L1843" t="s">
        <v>21</v>
      </c>
      <c r="M1843" t="s">
        <v>19177</v>
      </c>
      <c r="N1843" t="s">
        <v>337</v>
      </c>
      <c r="O1843" t="s">
        <v>337</v>
      </c>
      <c r="P1843" t="s">
        <v>12</v>
      </c>
    </row>
    <row r="1844">
      <c r="A1844">
        <f>HYPERLINK("http://bombeiros.sp.gov.br/hidrantes/03individual/889.html","889")</f>
      </c>
      <c r="B1844" t="s">
        <v>114</v>
      </c>
      <c r="C1844" t="s">
        <v>365</v>
      </c>
      <c r="D1844" t="s">
        <v>6239</v>
      </c>
      <c r="E1844" t="s">
        <v>64</v>
      </c>
      <c r="F1844" t="s">
        <v>6264</v>
      </c>
      <c r="G1844" t="s">
        <v>18095</v>
      </c>
      <c r="H1844" t="s">
        <v>1112</v>
      </c>
      <c r="I1844" t="s">
        <v>1117</v>
      </c>
      <c r="J1844" t="s">
        <v>6265</v>
      </c>
      <c r="K1844" t="s">
        <v>6266</v>
      </c>
      <c r="L1844" t="s">
        <v>36</v>
      </c>
      <c r="M1844" t="s">
        <v>19177</v>
      </c>
      <c r="N1844" t="s">
        <v>337</v>
      </c>
      <c r="O1844" t="s">
        <v>337</v>
      </c>
      <c r="P1844" t="s">
        <v>12</v>
      </c>
    </row>
    <row r="1845">
      <c r="A1845">
        <f>HYPERLINK("http://bombeiros.sp.gov.br/hidrantes/03individual/988.html","988")</f>
      </c>
      <c r="B1845" t="s">
        <v>114</v>
      </c>
      <c r="C1845" t="s">
        <v>365</v>
      </c>
      <c r="D1845" t="s">
        <v>6239</v>
      </c>
      <c r="E1845" t="s">
        <v>64</v>
      </c>
      <c r="F1845" t="s">
        <v>6182</v>
      </c>
      <c r="G1845" t="s">
        <v>18430</v>
      </c>
      <c r="H1845" t="s">
        <v>1107</v>
      </c>
      <c r="I1845" t="s">
        <v>1108</v>
      </c>
      <c r="J1845" t="s">
        <v>16199</v>
      </c>
      <c r="K1845" t="s">
        <v>16200</v>
      </c>
      <c r="L1845" t="s">
        <v>36</v>
      </c>
      <c r="M1845" t="s">
        <v>19177</v>
      </c>
      <c r="N1845" t="s">
        <v>337</v>
      </c>
      <c r="O1845" t="s">
        <v>337</v>
      </c>
      <c r="P1845" t="s">
        <v>12</v>
      </c>
    </row>
    <row r="1846">
      <c r="A1846">
        <f>HYPERLINK("http://bombeiros.sp.gov.br/hidrantes/03individual/4309.html","4309")</f>
      </c>
      <c r="B1846" t="s">
        <v>114</v>
      </c>
      <c r="C1846" t="s">
        <v>365</v>
      </c>
      <c r="D1846" t="s">
        <v>6239</v>
      </c>
      <c r="E1846" t="s">
        <v>64</v>
      </c>
      <c r="F1846" t="s">
        <v>6267</v>
      </c>
      <c r="G1846" t="s">
        <v>18074</v>
      </c>
      <c r="H1846" t="s">
        <v>1112</v>
      </c>
      <c r="I1846" t="s">
        <v>1108</v>
      </c>
      <c r="J1846" t="s">
        <v>6268</v>
      </c>
      <c r="K1846" t="s">
        <v>6269</v>
      </c>
      <c r="L1846" t="s">
        <v>21</v>
      </c>
      <c r="M1846" t="s">
        <v>19177</v>
      </c>
      <c r="N1846" t="s">
        <v>337</v>
      </c>
      <c r="O1846" t="s">
        <v>337</v>
      </c>
      <c r="P1846" t="s">
        <v>12</v>
      </c>
    </row>
    <row r="1847">
      <c r="A1847">
        <f>HYPERLINK("http://bombeiros.sp.gov.br/hidrantes/03individual/4310.html","4310")</f>
      </c>
      <c r="B1847" t="s">
        <v>114</v>
      </c>
      <c r="C1847" t="s">
        <v>365</v>
      </c>
      <c r="D1847" t="s">
        <v>6239</v>
      </c>
      <c r="E1847" t="s">
        <v>64</v>
      </c>
      <c r="F1847" t="s">
        <v>6270</v>
      </c>
      <c r="G1847" t="s">
        <v>18074</v>
      </c>
      <c r="H1847" t="s">
        <v>1112</v>
      </c>
      <c r="I1847" t="s">
        <v>1108</v>
      </c>
      <c r="J1847" t="s">
        <v>6271</v>
      </c>
      <c r="K1847" t="s">
        <v>6272</v>
      </c>
      <c r="L1847" t="s">
        <v>21</v>
      </c>
      <c r="M1847" t="s">
        <v>19177</v>
      </c>
      <c r="N1847" t="s">
        <v>337</v>
      </c>
      <c r="O1847" t="s">
        <v>337</v>
      </c>
      <c r="P1847" t="s">
        <v>12</v>
      </c>
    </row>
    <row r="1848">
      <c r="A1848">
        <f>HYPERLINK("http://bombeiros.sp.gov.br/hidrantes/03individual/4351.html","4351")</f>
      </c>
      <c r="B1848" t="s">
        <v>114</v>
      </c>
      <c r="C1848" t="s">
        <v>365</v>
      </c>
      <c r="D1848" t="s">
        <v>6239</v>
      </c>
      <c r="E1848" t="s">
        <v>64</v>
      </c>
      <c r="F1848" t="s">
        <v>6273</v>
      </c>
      <c r="G1848" t="s">
        <v>18192</v>
      </c>
      <c r="H1848" t="s">
        <v>1107</v>
      </c>
      <c r="I1848" t="s">
        <v>1108</v>
      </c>
      <c r="J1848" t="s">
        <v>6274</v>
      </c>
      <c r="K1848" t="s">
        <v>6275</v>
      </c>
      <c r="L1848" t="s">
        <v>21</v>
      </c>
      <c r="M1848" t="s">
        <v>19177</v>
      </c>
      <c r="N1848" t="s">
        <v>337</v>
      </c>
      <c r="O1848" t="s">
        <v>337</v>
      </c>
      <c r="P1848" t="s">
        <v>12</v>
      </c>
    </row>
    <row r="1849">
      <c r="A1849">
        <f>HYPERLINK("http://bombeiros.sp.gov.br/hidrantes/03individual/14915.html","14915")</f>
      </c>
      <c r="B1849" t="s">
        <v>114</v>
      </c>
      <c r="C1849" t="s">
        <v>365</v>
      </c>
      <c r="D1849" t="s">
        <v>6239</v>
      </c>
      <c r="E1849" t="s">
        <v>64</v>
      </c>
      <c r="F1849" t="s">
        <v>6276</v>
      </c>
      <c r="G1849" t="s">
        <v>18145</v>
      </c>
      <c r="H1849" t="s">
        <v>1112</v>
      </c>
      <c r="I1849" t="s">
        <v>1108</v>
      </c>
      <c r="J1849" t="s">
        <v>6277</v>
      </c>
      <c r="K1849" t="s">
        <v>6278</v>
      </c>
      <c r="L1849" t="s">
        <v>21</v>
      </c>
      <c r="M1849" t="s">
        <v>19177</v>
      </c>
      <c r="N1849" t="s">
        <v>337</v>
      </c>
      <c r="O1849" t="s">
        <v>337</v>
      </c>
      <c r="P1849" t="s">
        <v>12</v>
      </c>
    </row>
    <row r="1850">
      <c r="A1850">
        <f>HYPERLINK("http://bombeiros.sp.gov.br/hidrantes/03individual/27020.html","27020")</f>
      </c>
      <c r="B1850" t="s">
        <v>114</v>
      </c>
      <c r="C1850" t="s">
        <v>365</v>
      </c>
      <c r="D1850" t="s">
        <v>6239</v>
      </c>
      <c r="E1850" t="s">
        <v>64</v>
      </c>
      <c r="F1850" t="s">
        <v>16591</v>
      </c>
      <c r="G1850" t="s">
        <v>18145</v>
      </c>
      <c r="H1850" t="s">
        <v>1112</v>
      </c>
      <c r="I1850" t="s">
        <v>1108</v>
      </c>
      <c r="J1850" t="s">
        <v>16592</v>
      </c>
      <c r="K1850" t="s">
        <v>16593</v>
      </c>
      <c r="L1850" t="s">
        <v>21</v>
      </c>
      <c r="M1850" t="s">
        <v>19177</v>
      </c>
      <c r="N1850" t="s">
        <v>337</v>
      </c>
      <c r="O1850" t="s">
        <v>337</v>
      </c>
      <c r="P1850" t="s">
        <v>12</v>
      </c>
    </row>
    <row r="1851">
      <c r="A1851">
        <f>HYPERLINK("http://bombeiros.sp.gov.br/hidrantes/03individual/28240.html","28240")</f>
      </c>
      <c r="B1851" t="s">
        <v>114</v>
      </c>
      <c r="C1851" t="s">
        <v>365</v>
      </c>
      <c r="D1851" t="s">
        <v>6239</v>
      </c>
      <c r="E1851" t="s">
        <v>64</v>
      </c>
      <c r="F1851" t="s">
        <v>18301</v>
      </c>
      <c r="G1851" t="s">
        <v>18074</v>
      </c>
      <c r="H1851" t="s">
        <v>1112</v>
      </c>
      <c r="I1851" t="s">
        <v>1108</v>
      </c>
      <c r="J1851" t="s">
        <v>18302</v>
      </c>
      <c r="K1851" t="s">
        <v>18303</v>
      </c>
      <c r="L1851" t="s">
        <v>21</v>
      </c>
      <c r="M1851" t="s">
        <v>19177</v>
      </c>
      <c r="N1851" t="s">
        <v>337</v>
      </c>
      <c r="O1851" t="s">
        <v>337</v>
      </c>
      <c r="P1851" t="s">
        <v>12</v>
      </c>
    </row>
    <row r="1852">
      <c r="A1852">
        <f>HYPERLINK("http://bombeiros.sp.gov.br/hidrantes/03individual/1928.html","1928")</f>
      </c>
      <c r="B1852" t="s">
        <v>114</v>
      </c>
      <c r="C1852" t="s">
        <v>365</v>
      </c>
      <c r="D1852" t="s">
        <v>6239</v>
      </c>
      <c r="E1852" t="s">
        <v>15</v>
      </c>
      <c r="F1852" t="s">
        <v>6279</v>
      </c>
      <c r="G1852" t="s">
        <v>18076</v>
      </c>
      <c r="H1852" t="s">
        <v>1107</v>
      </c>
      <c r="I1852" t="s">
        <v>1108</v>
      </c>
      <c r="J1852" t="s">
        <v>6280</v>
      </c>
      <c r="K1852" t="s">
        <v>6281</v>
      </c>
      <c r="L1852" t="s">
        <v>21</v>
      </c>
      <c r="M1852" t="s">
        <v>19177</v>
      </c>
      <c r="N1852" t="s">
        <v>337</v>
      </c>
      <c r="O1852" t="s">
        <v>337</v>
      </c>
      <c r="P1852" t="s">
        <v>12</v>
      </c>
    </row>
    <row r="1853">
      <c r="A1853">
        <f>HYPERLINK("http://bombeiros.sp.gov.br/hidrantes/03individual/1944.html","1944")</f>
      </c>
      <c r="B1853" t="s">
        <v>114</v>
      </c>
      <c r="C1853" t="s">
        <v>365</v>
      </c>
      <c r="D1853" t="s">
        <v>6239</v>
      </c>
      <c r="E1853" t="s">
        <v>15</v>
      </c>
      <c r="F1853" t="s">
        <v>6282</v>
      </c>
      <c r="G1853" t="s">
        <v>18146</v>
      </c>
      <c r="H1853" t="s">
        <v>1174</v>
      </c>
      <c r="I1853" t="s">
        <v>1108</v>
      </c>
      <c r="J1853" t="s">
        <v>6283</v>
      </c>
      <c r="K1853" t="s">
        <v>6284</v>
      </c>
      <c r="L1853" t="s">
        <v>21</v>
      </c>
      <c r="M1853" t="s">
        <v>19177</v>
      </c>
      <c r="N1853" t="s">
        <v>337</v>
      </c>
      <c r="O1853" t="s">
        <v>337</v>
      </c>
      <c r="P1853" t="s">
        <v>12</v>
      </c>
    </row>
    <row r="1854">
      <c r="A1854">
        <f>HYPERLINK("http://bombeiros.sp.gov.br/hidrantes/03individual/2984.html","2984")</f>
      </c>
      <c r="B1854" t="s">
        <v>114</v>
      </c>
      <c r="C1854" t="s">
        <v>365</v>
      </c>
      <c r="D1854" t="s">
        <v>6239</v>
      </c>
      <c r="E1854" t="s">
        <v>15</v>
      </c>
      <c r="F1854" t="s">
        <v>6285</v>
      </c>
      <c r="G1854" t="s">
        <v>18042</v>
      </c>
      <c r="H1854" t="s">
        <v>1112</v>
      </c>
      <c r="I1854" t="s">
        <v>1108</v>
      </c>
      <c r="J1854" t="s">
        <v>6286</v>
      </c>
      <c r="K1854" t="s">
        <v>6287</v>
      </c>
      <c r="L1854" t="s">
        <v>21</v>
      </c>
      <c r="M1854" t="s">
        <v>19177</v>
      </c>
      <c r="N1854" t="s">
        <v>300</v>
      </c>
      <c r="O1854" t="s">
        <v>16373</v>
      </c>
      <c r="P1854" t="s">
        <v>12</v>
      </c>
    </row>
    <row r="1855">
      <c r="A1855">
        <f>HYPERLINK("http://bombeiros.sp.gov.br/hidrantes/03individual/3095.html","3095")</f>
      </c>
      <c r="B1855" t="s">
        <v>114</v>
      </c>
      <c r="C1855" t="s">
        <v>365</v>
      </c>
      <c r="D1855" t="s">
        <v>6239</v>
      </c>
      <c r="E1855" t="s">
        <v>15</v>
      </c>
      <c r="F1855" t="s">
        <v>6288</v>
      </c>
      <c r="G1855" t="s">
        <v>18076</v>
      </c>
      <c r="H1855" t="s">
        <v>1174</v>
      </c>
      <c r="I1855" t="s">
        <v>1117</v>
      </c>
      <c r="J1855" t="s">
        <v>6289</v>
      </c>
      <c r="K1855" t="s">
        <v>6290</v>
      </c>
      <c r="L1855" t="s">
        <v>21</v>
      </c>
      <c r="M1855" t="s">
        <v>19177</v>
      </c>
      <c r="N1855" t="s">
        <v>337</v>
      </c>
      <c r="O1855" t="s">
        <v>337</v>
      </c>
      <c r="P1855" t="s">
        <v>12</v>
      </c>
    </row>
    <row r="1856">
      <c r="A1856">
        <f>HYPERLINK("http://bombeiros.sp.gov.br/hidrantes/03individual/17722.html","17722")</f>
      </c>
      <c r="B1856" t="s">
        <v>114</v>
      </c>
      <c r="C1856" t="s">
        <v>365</v>
      </c>
      <c r="D1856" t="s">
        <v>6239</v>
      </c>
      <c r="E1856" t="s">
        <v>15</v>
      </c>
      <c r="F1856" t="s">
        <v>6291</v>
      </c>
      <c r="G1856" t="s">
        <v>18074</v>
      </c>
      <c r="H1856" t="s">
        <v>1174</v>
      </c>
      <c r="I1856" t="s">
        <v>1117</v>
      </c>
      <c r="J1856" t="s">
        <v>6292</v>
      </c>
      <c r="K1856" t="s">
        <v>6293</v>
      </c>
      <c r="L1856" t="s">
        <v>21</v>
      </c>
      <c r="M1856" t="s">
        <v>19177</v>
      </c>
      <c r="N1856" t="s">
        <v>337</v>
      </c>
      <c r="O1856" t="s">
        <v>337</v>
      </c>
      <c r="P1856" t="s">
        <v>12</v>
      </c>
    </row>
    <row r="1857">
      <c r="A1857">
        <f>HYPERLINK("http://bombeiros.sp.gov.br/hidrantes/03individual/26675.html","26675")</f>
      </c>
      <c r="B1857" t="s">
        <v>114</v>
      </c>
      <c r="C1857" t="s">
        <v>365</v>
      </c>
      <c r="D1857" t="s">
        <v>6239</v>
      </c>
      <c r="E1857" t="s">
        <v>15</v>
      </c>
      <c r="F1857" t="s">
        <v>6294</v>
      </c>
      <c r="G1857" t="s">
        <v>18075</v>
      </c>
      <c r="H1857" t="s">
        <v>1121</v>
      </c>
      <c r="I1857" t="s">
        <v>1117</v>
      </c>
      <c r="J1857" t="s">
        <v>6295</v>
      </c>
      <c r="K1857" t="s">
        <v>6296</v>
      </c>
      <c r="L1857" t="s">
        <v>21</v>
      </c>
      <c r="M1857" t="s">
        <v>19177</v>
      </c>
      <c r="N1857" t="s">
        <v>337</v>
      </c>
      <c r="O1857" t="s">
        <v>337</v>
      </c>
      <c r="P1857" t="s">
        <v>12</v>
      </c>
    </row>
    <row r="1858">
      <c r="A1858">
        <f>HYPERLINK("http://bombeiros.sp.gov.br/hidrantes/03individual/27021.html","27021")</f>
      </c>
      <c r="B1858" t="s">
        <v>114</v>
      </c>
      <c r="C1858" t="s">
        <v>365</v>
      </c>
      <c r="D1858" t="s">
        <v>6239</v>
      </c>
      <c r="E1858" t="s">
        <v>15</v>
      </c>
      <c r="F1858" t="s">
        <v>16594</v>
      </c>
      <c r="G1858" t="s">
        <v>18045</v>
      </c>
      <c r="H1858" t="s">
        <v>1121</v>
      </c>
      <c r="I1858" t="s">
        <v>1117</v>
      </c>
      <c r="J1858" t="s">
        <v>16595</v>
      </c>
      <c r="K1858" t="s">
        <v>16596</v>
      </c>
      <c r="L1858" t="s">
        <v>21</v>
      </c>
      <c r="M1858" t="s">
        <v>19177</v>
      </c>
      <c r="N1858" t="s">
        <v>337</v>
      </c>
      <c r="O1858" t="s">
        <v>337</v>
      </c>
      <c r="P1858" t="s">
        <v>12</v>
      </c>
    </row>
    <row r="1859">
      <c r="A1859">
        <f>HYPERLINK("http://bombeiros.sp.gov.br/hidrantes/03individual/4197.html","4197")</f>
      </c>
      <c r="B1859" t="s">
        <v>114</v>
      </c>
      <c r="C1859" t="s">
        <v>365</v>
      </c>
      <c r="D1859" t="s">
        <v>6297</v>
      </c>
      <c r="E1859" t="s">
        <v>64</v>
      </c>
      <c r="F1859" t="s">
        <v>6298</v>
      </c>
      <c r="G1859" t="s">
        <v>18066</v>
      </c>
      <c r="H1859" t="s">
        <v>1121</v>
      </c>
      <c r="I1859" t="s">
        <v>1117</v>
      </c>
      <c r="J1859" t="s">
        <v>6299</v>
      </c>
      <c r="K1859" t="s">
        <v>6300</v>
      </c>
      <c r="L1859" t="s">
        <v>36</v>
      </c>
      <c r="M1859" t="s">
        <v>19177</v>
      </c>
      <c r="N1859" t="s">
        <v>337</v>
      </c>
      <c r="O1859" t="s">
        <v>337</v>
      </c>
      <c r="P1859" t="s">
        <v>12</v>
      </c>
    </row>
    <row r="1860">
      <c r="A1860">
        <f>HYPERLINK("http://bombeiros.sp.gov.br/hidrantes/03individual/1912.html","1912")</f>
      </c>
      <c r="B1860" t="s">
        <v>114</v>
      </c>
      <c r="C1860" t="s">
        <v>365</v>
      </c>
      <c r="D1860" t="s">
        <v>6297</v>
      </c>
      <c r="E1860" t="s">
        <v>15</v>
      </c>
      <c r="F1860" t="s">
        <v>6301</v>
      </c>
      <c r="G1860" t="s">
        <v>18045</v>
      </c>
      <c r="H1860" t="s">
        <v>1121</v>
      </c>
      <c r="I1860" t="s">
        <v>1117</v>
      </c>
      <c r="J1860" t="s">
        <v>6302</v>
      </c>
      <c r="K1860" t="s">
        <v>6303</v>
      </c>
      <c r="L1860" t="s">
        <v>21</v>
      </c>
      <c r="M1860" t="s">
        <v>19177</v>
      </c>
      <c r="N1860" t="s">
        <v>337</v>
      </c>
      <c r="O1860" t="s">
        <v>337</v>
      </c>
      <c r="P1860" t="s">
        <v>12</v>
      </c>
    </row>
    <row r="1861">
      <c r="A1861">
        <f>HYPERLINK("http://bombeiros.sp.gov.br/hidrantes/03individual/17725.html","17725")</f>
      </c>
      <c r="B1861" t="s">
        <v>114</v>
      </c>
      <c r="C1861" t="s">
        <v>365</v>
      </c>
      <c r="D1861" t="s">
        <v>6297</v>
      </c>
      <c r="E1861" t="s">
        <v>15</v>
      </c>
      <c r="F1861" t="s">
        <v>6304</v>
      </c>
      <c r="G1861" t="s">
        <v>18145</v>
      </c>
      <c r="H1861" t="s">
        <v>1112</v>
      </c>
      <c r="I1861" t="s">
        <v>1108</v>
      </c>
      <c r="J1861" t="s">
        <v>6305</v>
      </c>
      <c r="K1861" t="s">
        <v>6306</v>
      </c>
      <c r="L1861" t="s">
        <v>21</v>
      </c>
      <c r="M1861" t="s">
        <v>19177</v>
      </c>
      <c r="N1861" t="s">
        <v>337</v>
      </c>
      <c r="O1861" t="s">
        <v>337</v>
      </c>
      <c r="P1861" t="s">
        <v>12</v>
      </c>
    </row>
    <row r="1862">
      <c r="A1862">
        <f>HYPERLINK("http://bombeiros.sp.gov.br/hidrantes/03individual/17781.html","17781")</f>
      </c>
      <c r="B1862" t="s">
        <v>114</v>
      </c>
      <c r="C1862" t="s">
        <v>365</v>
      </c>
      <c r="D1862" t="s">
        <v>6297</v>
      </c>
      <c r="E1862" t="s">
        <v>15</v>
      </c>
      <c r="F1862" t="s">
        <v>6307</v>
      </c>
      <c r="G1862" t="s">
        <v>18145</v>
      </c>
      <c r="H1862" t="s">
        <v>1112</v>
      </c>
      <c r="I1862" t="s">
        <v>1108</v>
      </c>
      <c r="J1862" t="s">
        <v>6308</v>
      </c>
      <c r="K1862" t="s">
        <v>6309</v>
      </c>
      <c r="L1862" t="s">
        <v>21</v>
      </c>
      <c r="M1862" t="s">
        <v>19177</v>
      </c>
      <c r="N1862" t="s">
        <v>337</v>
      </c>
      <c r="O1862" t="s">
        <v>337</v>
      </c>
      <c r="P1862" t="s">
        <v>12</v>
      </c>
    </row>
    <row r="1863">
      <c r="A1863">
        <f>HYPERLINK("http://bombeiros.sp.gov.br/hidrantes/03individual/831.html","831")</f>
      </c>
      <c r="B1863" t="s">
        <v>114</v>
      </c>
      <c r="C1863" t="s">
        <v>374</v>
      </c>
      <c r="D1863" t="s">
        <v>375</v>
      </c>
      <c r="E1863" t="s">
        <v>64</v>
      </c>
      <c r="F1863" t="s">
        <v>6310</v>
      </c>
      <c r="G1863" t="s">
        <v>18089</v>
      </c>
      <c r="H1863" t="s">
        <v>1112</v>
      </c>
      <c r="I1863" t="s">
        <v>1108</v>
      </c>
      <c r="J1863" t="s">
        <v>6311</v>
      </c>
      <c r="K1863" t="s">
        <v>6312</v>
      </c>
      <c r="L1863" t="s">
        <v>21</v>
      </c>
      <c r="M1863" t="s">
        <v>19177</v>
      </c>
      <c r="N1863" t="s">
        <v>300</v>
      </c>
      <c r="O1863" t="s">
        <v>16373</v>
      </c>
      <c r="P1863" t="s">
        <v>12</v>
      </c>
    </row>
    <row r="1864">
      <c r="A1864">
        <f>HYPERLINK("http://bombeiros.sp.gov.br/hidrantes/03individual/3284.html","3284")</f>
      </c>
      <c r="B1864" t="s">
        <v>114</v>
      </c>
      <c r="C1864" t="s">
        <v>374</v>
      </c>
      <c r="D1864" t="s">
        <v>375</v>
      </c>
      <c r="E1864" t="s">
        <v>64</v>
      </c>
      <c r="F1864" t="s">
        <v>6313</v>
      </c>
      <c r="G1864" t="s">
        <v>18055</v>
      </c>
      <c r="H1864" t="s">
        <v>1112</v>
      </c>
      <c r="I1864" t="s">
        <v>1108</v>
      </c>
      <c r="J1864" t="s">
        <v>6314</v>
      </c>
      <c r="K1864" t="s">
        <v>6315</v>
      </c>
      <c r="L1864" t="s">
        <v>36</v>
      </c>
      <c r="M1864" t="s">
        <v>19177</v>
      </c>
      <c r="N1864" t="s">
        <v>300</v>
      </c>
      <c r="O1864" t="s">
        <v>16373</v>
      </c>
      <c r="P1864" t="s">
        <v>12</v>
      </c>
    </row>
    <row r="1865">
      <c r="A1865">
        <f>HYPERLINK("http://bombeiros.sp.gov.br/hidrantes/03individual/3293.html","3293")</f>
      </c>
      <c r="B1865" t="s">
        <v>114</v>
      </c>
      <c r="C1865" t="s">
        <v>374</v>
      </c>
      <c r="D1865" t="s">
        <v>375</v>
      </c>
      <c r="E1865" t="s">
        <v>64</v>
      </c>
      <c r="F1865" t="s">
        <v>6316</v>
      </c>
      <c r="G1865" t="s">
        <v>18093</v>
      </c>
      <c r="H1865" t="s">
        <v>1112</v>
      </c>
      <c r="I1865" t="s">
        <v>1108</v>
      </c>
      <c r="J1865" t="s">
        <v>6317</v>
      </c>
      <c r="K1865" t="s">
        <v>6318</v>
      </c>
      <c r="L1865" t="s">
        <v>36</v>
      </c>
      <c r="M1865" t="s">
        <v>19177</v>
      </c>
      <c r="N1865" t="s">
        <v>300</v>
      </c>
      <c r="O1865" t="s">
        <v>16373</v>
      </c>
      <c r="P1865" t="s">
        <v>12</v>
      </c>
    </row>
    <row r="1866">
      <c r="A1866">
        <f>HYPERLINK("http://bombeiros.sp.gov.br/hidrantes/03individual/4304.html","4304")</f>
      </c>
      <c r="B1866" t="s">
        <v>114</v>
      </c>
      <c r="C1866" t="s">
        <v>374</v>
      </c>
      <c r="D1866" t="s">
        <v>375</v>
      </c>
      <c r="E1866" t="s">
        <v>64</v>
      </c>
      <c r="F1866" t="s">
        <v>6319</v>
      </c>
      <c r="G1866" t="s">
        <v>18089</v>
      </c>
      <c r="H1866" t="s">
        <v>1112</v>
      </c>
      <c r="I1866" t="s">
        <v>1108</v>
      </c>
      <c r="J1866" t="s">
        <v>6320</v>
      </c>
      <c r="K1866" t="s">
        <v>6321</v>
      </c>
      <c r="L1866" t="s">
        <v>21</v>
      </c>
      <c r="M1866" t="s">
        <v>19177</v>
      </c>
      <c r="N1866" t="s">
        <v>300</v>
      </c>
      <c r="O1866" t="s">
        <v>16373</v>
      </c>
      <c r="P1866" t="s">
        <v>12</v>
      </c>
    </row>
    <row r="1867">
      <c r="A1867">
        <f>HYPERLINK("http://bombeiros.sp.gov.br/hidrantes/03individual/1701.html","1701")</f>
      </c>
      <c r="B1867" t="s">
        <v>114</v>
      </c>
      <c r="C1867" t="s">
        <v>374</v>
      </c>
      <c r="D1867" t="s">
        <v>375</v>
      </c>
      <c r="E1867" t="s">
        <v>15</v>
      </c>
      <c r="F1867" t="s">
        <v>6322</v>
      </c>
      <c r="G1867" t="s">
        <v>18072</v>
      </c>
      <c r="H1867" t="s">
        <v>1112</v>
      </c>
      <c r="I1867" t="s">
        <v>1108</v>
      </c>
      <c r="J1867" t="s">
        <v>6323</v>
      </c>
      <c r="K1867" t="s">
        <v>6324</v>
      </c>
      <c r="L1867" t="s">
        <v>21</v>
      </c>
      <c r="M1867" t="s">
        <v>19177</v>
      </c>
      <c r="N1867" t="s">
        <v>300</v>
      </c>
      <c r="O1867" t="s">
        <v>16373</v>
      </c>
      <c r="P1867" t="s">
        <v>12</v>
      </c>
    </row>
    <row r="1868">
      <c r="A1868">
        <f>HYPERLINK("http://bombeiros.sp.gov.br/hidrantes/03individual/1727.html","1727")</f>
      </c>
      <c r="B1868" t="s">
        <v>114</v>
      </c>
      <c r="C1868" t="s">
        <v>374</v>
      </c>
      <c r="D1868" t="s">
        <v>375</v>
      </c>
      <c r="E1868" t="s">
        <v>15</v>
      </c>
      <c r="F1868" t="s">
        <v>6325</v>
      </c>
      <c r="G1868" t="s">
        <v>18089</v>
      </c>
      <c r="H1868" t="s">
        <v>1112</v>
      </c>
      <c r="I1868" t="s">
        <v>1108</v>
      </c>
      <c r="J1868" t="s">
        <v>6326</v>
      </c>
      <c r="K1868" t="s">
        <v>6327</v>
      </c>
      <c r="L1868" t="s">
        <v>21</v>
      </c>
      <c r="M1868" t="s">
        <v>19177</v>
      </c>
      <c r="N1868" t="s">
        <v>300</v>
      </c>
      <c r="O1868" t="s">
        <v>16373</v>
      </c>
      <c r="P1868" t="s">
        <v>12</v>
      </c>
    </row>
    <row r="1869">
      <c r="A1869">
        <f>HYPERLINK("http://bombeiros.sp.gov.br/hidrantes/03individual/1752.html","1752")</f>
      </c>
      <c r="B1869" t="s">
        <v>114</v>
      </c>
      <c r="C1869" t="s">
        <v>374</v>
      </c>
      <c r="D1869" t="s">
        <v>375</v>
      </c>
      <c r="E1869" t="s">
        <v>15</v>
      </c>
      <c r="F1869" t="s">
        <v>6328</v>
      </c>
      <c r="G1869" t="s">
        <v>18093</v>
      </c>
      <c r="H1869" t="s">
        <v>1112</v>
      </c>
      <c r="I1869" t="s">
        <v>1108</v>
      </c>
      <c r="J1869" t="s">
        <v>6329</v>
      </c>
      <c r="K1869" t="s">
        <v>6330</v>
      </c>
      <c r="L1869" t="s">
        <v>21</v>
      </c>
      <c r="M1869" t="s">
        <v>19177</v>
      </c>
      <c r="N1869" t="s">
        <v>300</v>
      </c>
      <c r="O1869" t="s">
        <v>16373</v>
      </c>
      <c r="P1869" t="s">
        <v>12</v>
      </c>
    </row>
    <row r="1870">
      <c r="A1870">
        <f>HYPERLINK("http://bombeiros.sp.gov.br/hidrantes/03individual/1753.html","1753")</f>
      </c>
      <c r="B1870" t="s">
        <v>114</v>
      </c>
      <c r="C1870" t="s">
        <v>374</v>
      </c>
      <c r="D1870" t="s">
        <v>375</v>
      </c>
      <c r="E1870" t="s">
        <v>15</v>
      </c>
      <c r="F1870" t="s">
        <v>6331</v>
      </c>
      <c r="G1870" t="s">
        <v>18093</v>
      </c>
      <c r="H1870" t="s">
        <v>1112</v>
      </c>
      <c r="I1870" t="s">
        <v>1108</v>
      </c>
      <c r="J1870" t="s">
        <v>6332</v>
      </c>
      <c r="K1870" t="s">
        <v>6333</v>
      </c>
      <c r="L1870" t="s">
        <v>21</v>
      </c>
      <c r="M1870" t="s">
        <v>19177</v>
      </c>
      <c r="N1870" t="s">
        <v>300</v>
      </c>
      <c r="O1870" t="s">
        <v>16373</v>
      </c>
      <c r="P1870" t="s">
        <v>12</v>
      </c>
    </row>
    <row r="1871">
      <c r="A1871">
        <f>HYPERLINK("http://bombeiros.sp.gov.br/hidrantes/03individual/1755.html","1755")</f>
      </c>
      <c r="B1871" t="s">
        <v>114</v>
      </c>
      <c r="C1871" t="s">
        <v>374</v>
      </c>
      <c r="D1871" t="s">
        <v>375</v>
      </c>
      <c r="E1871" t="s">
        <v>15</v>
      </c>
      <c r="F1871" t="s">
        <v>6334</v>
      </c>
      <c r="G1871" t="s">
        <v>18089</v>
      </c>
      <c r="H1871" t="s">
        <v>1112</v>
      </c>
      <c r="I1871" t="s">
        <v>1108</v>
      </c>
      <c r="J1871" t="s">
        <v>6335</v>
      </c>
      <c r="K1871" t="s">
        <v>6336</v>
      </c>
      <c r="L1871" t="s">
        <v>21</v>
      </c>
      <c r="M1871" t="s">
        <v>19177</v>
      </c>
      <c r="N1871" t="s">
        <v>300</v>
      </c>
      <c r="O1871" t="s">
        <v>16373</v>
      </c>
      <c r="P1871" t="s">
        <v>12</v>
      </c>
    </row>
    <row r="1872">
      <c r="A1872">
        <f>HYPERLINK("http://bombeiros.sp.gov.br/hidrantes/03individual/1756.html","1756")</f>
      </c>
      <c r="B1872" t="s">
        <v>114</v>
      </c>
      <c r="C1872" t="s">
        <v>374</v>
      </c>
      <c r="D1872" t="s">
        <v>375</v>
      </c>
      <c r="E1872" t="s">
        <v>15</v>
      </c>
      <c r="F1872" t="s">
        <v>6337</v>
      </c>
      <c r="G1872" t="s">
        <v>18089</v>
      </c>
      <c r="H1872" t="s">
        <v>1112</v>
      </c>
      <c r="I1872" t="s">
        <v>1108</v>
      </c>
      <c r="J1872" t="s">
        <v>6338</v>
      </c>
      <c r="K1872" t="s">
        <v>6339</v>
      </c>
      <c r="L1872" t="s">
        <v>21</v>
      </c>
      <c r="M1872" t="s">
        <v>19177</v>
      </c>
      <c r="N1872" t="s">
        <v>300</v>
      </c>
      <c r="O1872" t="s">
        <v>16373</v>
      </c>
      <c r="P1872" t="s">
        <v>12</v>
      </c>
    </row>
    <row r="1873">
      <c r="A1873">
        <f>HYPERLINK("http://bombeiros.sp.gov.br/hidrantes/03individual/3146.html","3146")</f>
      </c>
      <c r="B1873" t="s">
        <v>114</v>
      </c>
      <c r="C1873" t="s">
        <v>374</v>
      </c>
      <c r="D1873" t="s">
        <v>375</v>
      </c>
      <c r="E1873" t="s">
        <v>15</v>
      </c>
      <c r="F1873" t="s">
        <v>6340</v>
      </c>
      <c r="G1873" t="s">
        <v>18089</v>
      </c>
      <c r="H1873" t="s">
        <v>1112</v>
      </c>
      <c r="I1873" t="s">
        <v>1108</v>
      </c>
      <c r="J1873" t="s">
        <v>6341</v>
      </c>
      <c r="K1873" t="s">
        <v>6342</v>
      </c>
      <c r="L1873" t="s">
        <v>21</v>
      </c>
      <c r="M1873" t="s">
        <v>19177</v>
      </c>
      <c r="N1873" t="s">
        <v>300</v>
      </c>
      <c r="O1873" t="s">
        <v>16373</v>
      </c>
      <c r="P1873" t="s">
        <v>12</v>
      </c>
    </row>
    <row r="1874">
      <c r="A1874">
        <f>HYPERLINK("http://bombeiros.sp.gov.br/hidrantes/03individual/3148.html","3148")</f>
      </c>
      <c r="B1874" t="s">
        <v>114</v>
      </c>
      <c r="C1874" t="s">
        <v>374</v>
      </c>
      <c r="D1874" t="s">
        <v>375</v>
      </c>
      <c r="E1874" t="s">
        <v>15</v>
      </c>
      <c r="F1874" t="s">
        <v>376</v>
      </c>
      <c r="G1874" t="s">
        <v>18089</v>
      </c>
      <c r="H1874"/>
      <c r="I1874" t="s">
        <v>18</v>
      </c>
      <c r="J1874" t="s">
        <v>378</v>
      </c>
      <c r="K1874" t="s">
        <v>379</v>
      </c>
      <c r="L1874" t="s">
        <v>21</v>
      </c>
      <c r="M1874" t="s">
        <v>19177</v>
      </c>
      <c r="N1874" t="s">
        <v>300</v>
      </c>
      <c r="O1874" t="s">
        <v>16373</v>
      </c>
      <c r="P1874" t="s">
        <v>12</v>
      </c>
    </row>
    <row r="1875">
      <c r="A1875">
        <f>HYPERLINK("http://bombeiros.sp.gov.br/hidrantes/03individual/3310.html","3310")</f>
      </c>
      <c r="B1875" t="s">
        <v>114</v>
      </c>
      <c r="C1875" t="s">
        <v>374</v>
      </c>
      <c r="D1875" t="s">
        <v>375</v>
      </c>
      <c r="E1875" t="s">
        <v>15</v>
      </c>
      <c r="F1875" t="s">
        <v>6343</v>
      </c>
      <c r="G1875" t="s">
        <v>18093</v>
      </c>
      <c r="H1875" t="s">
        <v>1112</v>
      </c>
      <c r="I1875" t="s">
        <v>1108</v>
      </c>
      <c r="J1875" t="s">
        <v>6344</v>
      </c>
      <c r="K1875" t="s">
        <v>6345</v>
      </c>
      <c r="L1875" t="s">
        <v>21</v>
      </c>
      <c r="M1875" t="s">
        <v>19177</v>
      </c>
      <c r="N1875" t="s">
        <v>300</v>
      </c>
      <c r="O1875" t="s">
        <v>16373</v>
      </c>
      <c r="P1875" t="s">
        <v>12</v>
      </c>
    </row>
    <row r="1876">
      <c r="A1876">
        <f>HYPERLINK("http://bombeiros.sp.gov.br/hidrantes/03individual/3324.html","3324")</f>
      </c>
      <c r="B1876" t="s">
        <v>114</v>
      </c>
      <c r="C1876" t="s">
        <v>374</v>
      </c>
      <c r="D1876" t="s">
        <v>375</v>
      </c>
      <c r="E1876" t="s">
        <v>15</v>
      </c>
      <c r="F1876" t="s">
        <v>6346</v>
      </c>
      <c r="G1876" t="s">
        <v>18093</v>
      </c>
      <c r="H1876" t="s">
        <v>1121</v>
      </c>
      <c r="I1876" t="s">
        <v>1117</v>
      </c>
      <c r="J1876" t="s">
        <v>6347</v>
      </c>
      <c r="K1876" t="s">
        <v>6348</v>
      </c>
      <c r="L1876" t="s">
        <v>21</v>
      </c>
      <c r="M1876" t="s">
        <v>19177</v>
      </c>
      <c r="N1876" t="s">
        <v>300</v>
      </c>
      <c r="O1876" t="s">
        <v>16373</v>
      </c>
      <c r="P1876" t="s">
        <v>12</v>
      </c>
    </row>
    <row r="1877">
      <c r="A1877">
        <f>HYPERLINK("http://bombeiros.sp.gov.br/hidrantes/03individual/3326.html","3326")</f>
      </c>
      <c r="B1877" t="s">
        <v>114</v>
      </c>
      <c r="C1877" t="s">
        <v>374</v>
      </c>
      <c r="D1877" t="s">
        <v>375</v>
      </c>
      <c r="E1877" t="s">
        <v>15</v>
      </c>
      <c r="F1877" t="s">
        <v>6349</v>
      </c>
      <c r="G1877" t="s">
        <v>18093</v>
      </c>
      <c r="H1877" t="s">
        <v>1112</v>
      </c>
      <c r="I1877" t="s">
        <v>1108</v>
      </c>
      <c r="J1877" t="s">
        <v>15896</v>
      </c>
      <c r="K1877" t="s">
        <v>15897</v>
      </c>
      <c r="L1877" t="s">
        <v>21</v>
      </c>
      <c r="M1877" t="s">
        <v>19177</v>
      </c>
      <c r="N1877" t="s">
        <v>300</v>
      </c>
      <c r="O1877" t="s">
        <v>16373</v>
      </c>
      <c r="P1877" t="s">
        <v>12</v>
      </c>
    </row>
    <row r="1878">
      <c r="A1878">
        <f>HYPERLINK("http://bombeiros.sp.gov.br/hidrantes/03individual/26803.html","26803")</f>
      </c>
      <c r="B1878" t="s">
        <v>114</v>
      </c>
      <c r="C1878" t="s">
        <v>374</v>
      </c>
      <c r="D1878" t="s">
        <v>375</v>
      </c>
      <c r="E1878" t="s">
        <v>15</v>
      </c>
      <c r="F1878" t="s">
        <v>15912</v>
      </c>
      <c r="G1878" t="s">
        <v>18093</v>
      </c>
      <c r="H1878" t="s">
        <v>1112</v>
      </c>
      <c r="I1878" t="s">
        <v>1108</v>
      </c>
      <c r="J1878" t="s">
        <v>15913</v>
      </c>
      <c r="K1878" t="s">
        <v>15914</v>
      </c>
      <c r="L1878" t="s">
        <v>21</v>
      </c>
      <c r="M1878" t="s">
        <v>19177</v>
      </c>
      <c r="N1878" t="s">
        <v>300</v>
      </c>
      <c r="O1878" t="s">
        <v>16373</v>
      </c>
      <c r="P1878" t="s">
        <v>12</v>
      </c>
    </row>
    <row r="1879">
      <c r="A1879">
        <f>HYPERLINK("http://bombeiros.sp.gov.br/hidrantes/03individual/27306.html","27306")</f>
      </c>
      <c r="B1879" t="s">
        <v>114</v>
      </c>
      <c r="C1879" t="s">
        <v>374</v>
      </c>
      <c r="D1879" t="s">
        <v>375</v>
      </c>
      <c r="E1879" t="s">
        <v>15</v>
      </c>
      <c r="F1879" t="s">
        <v>17084</v>
      </c>
      <c r="G1879" t="s">
        <v>18089</v>
      </c>
      <c r="H1879" t="s">
        <v>1107</v>
      </c>
      <c r="I1879" t="s">
        <v>1117</v>
      </c>
      <c r="J1879" t="s">
        <v>17085</v>
      </c>
      <c r="K1879" t="s">
        <v>17086</v>
      </c>
      <c r="L1879" t="s">
        <v>21</v>
      </c>
      <c r="M1879" t="s">
        <v>19177</v>
      </c>
      <c r="N1879" t="s">
        <v>300</v>
      </c>
      <c r="O1879" t="s">
        <v>16373</v>
      </c>
      <c r="P1879" t="s">
        <v>12</v>
      </c>
    </row>
    <row r="1880">
      <c r="A1880">
        <f>HYPERLINK("http://bombeiros.sp.gov.br/hidrantes/03individual/1017.html","1017")</f>
      </c>
      <c r="B1880" t="s">
        <v>114</v>
      </c>
      <c r="C1880" t="s">
        <v>374</v>
      </c>
      <c r="D1880" t="s">
        <v>380</v>
      </c>
      <c r="E1880" t="s">
        <v>64</v>
      </c>
      <c r="F1880" t="s">
        <v>6352</v>
      </c>
      <c r="G1880" t="s">
        <v>18089</v>
      </c>
      <c r="H1880" t="s">
        <v>1112</v>
      </c>
      <c r="I1880" t="s">
        <v>1108</v>
      </c>
      <c r="J1880" t="s">
        <v>6353</v>
      </c>
      <c r="K1880" t="s">
        <v>6354</v>
      </c>
      <c r="L1880" t="s">
        <v>36</v>
      </c>
      <c r="M1880" t="s">
        <v>19177</v>
      </c>
      <c r="N1880" t="s">
        <v>300</v>
      </c>
      <c r="O1880" t="s">
        <v>16373</v>
      </c>
      <c r="P1880" t="s">
        <v>12</v>
      </c>
    </row>
    <row r="1881">
      <c r="A1881">
        <f>HYPERLINK("http://bombeiros.sp.gov.br/hidrantes/03individual/28376.html","28376")</f>
      </c>
      <c r="B1881" t="s">
        <v>114</v>
      </c>
      <c r="C1881" t="s">
        <v>374</v>
      </c>
      <c r="D1881" t="s">
        <v>380</v>
      </c>
      <c r="E1881" t="s">
        <v>64</v>
      </c>
      <c r="F1881" t="s">
        <v>18644</v>
      </c>
      <c r="G1881"/>
      <c r="H1881"/>
      <c r="I1881" t="s">
        <v>1503</v>
      </c>
      <c r="J1881" t="s">
        <v>18645</v>
      </c>
      <c r="K1881" t="s">
        <v>18646</v>
      </c>
      <c r="L1881" t="s">
        <v>21</v>
      </c>
      <c r="M1881" t="s">
        <v>19177</v>
      </c>
      <c r="N1881" t="s">
        <v>300</v>
      </c>
      <c r="O1881" t="s">
        <v>16373</v>
      </c>
      <c r="P1881" t="s">
        <v>12</v>
      </c>
    </row>
    <row r="1882">
      <c r="A1882">
        <f>HYPERLINK("http://bombeiros.sp.gov.br/hidrantes/03individual/1436.html","1436")</f>
      </c>
      <c r="B1882" t="s">
        <v>114</v>
      </c>
      <c r="C1882" t="s">
        <v>374</v>
      </c>
      <c r="D1882" t="s">
        <v>380</v>
      </c>
      <c r="E1882" t="s">
        <v>15</v>
      </c>
      <c r="F1882" t="s">
        <v>6358</v>
      </c>
      <c r="G1882" t="s">
        <v>18093</v>
      </c>
      <c r="H1882" t="s">
        <v>1112</v>
      </c>
      <c r="I1882" t="s">
        <v>1108</v>
      </c>
      <c r="J1882" t="s">
        <v>6359</v>
      </c>
      <c r="K1882" t="s">
        <v>6360</v>
      </c>
      <c r="L1882" t="s">
        <v>21</v>
      </c>
      <c r="M1882" t="s">
        <v>19177</v>
      </c>
      <c r="N1882" t="s">
        <v>300</v>
      </c>
      <c r="O1882" t="s">
        <v>16373</v>
      </c>
      <c r="P1882" t="s">
        <v>12</v>
      </c>
    </row>
    <row r="1883">
      <c r="A1883">
        <f>HYPERLINK("http://bombeiros.sp.gov.br/hidrantes/03individual/1445.html","1445")</f>
      </c>
      <c r="B1883" t="s">
        <v>114</v>
      </c>
      <c r="C1883" t="s">
        <v>374</v>
      </c>
      <c r="D1883" t="s">
        <v>380</v>
      </c>
      <c r="E1883" t="s">
        <v>15</v>
      </c>
      <c r="F1883" t="s">
        <v>6361</v>
      </c>
      <c r="G1883" t="s">
        <v>18098</v>
      </c>
      <c r="H1883" t="s">
        <v>1112</v>
      </c>
      <c r="I1883" t="s">
        <v>1108</v>
      </c>
      <c r="J1883" t="s">
        <v>6362</v>
      </c>
      <c r="K1883" t="s">
        <v>6363</v>
      </c>
      <c r="L1883" t="s">
        <v>21</v>
      </c>
      <c r="M1883" t="s">
        <v>19177</v>
      </c>
      <c r="N1883" t="s">
        <v>300</v>
      </c>
      <c r="O1883" t="s">
        <v>16373</v>
      </c>
      <c r="P1883" t="s">
        <v>12</v>
      </c>
    </row>
    <row r="1884">
      <c r="A1884">
        <f>HYPERLINK("http://bombeiros.sp.gov.br/hidrantes/03individual/1446.html","1446")</f>
      </c>
      <c r="B1884" t="s">
        <v>114</v>
      </c>
      <c r="C1884" t="s">
        <v>374</v>
      </c>
      <c r="D1884" t="s">
        <v>380</v>
      </c>
      <c r="E1884" t="s">
        <v>15</v>
      </c>
      <c r="F1884" t="s">
        <v>6364</v>
      </c>
      <c r="G1884" t="s">
        <v>18098</v>
      </c>
      <c r="H1884" t="s">
        <v>1121</v>
      </c>
      <c r="I1884" t="s">
        <v>1117</v>
      </c>
      <c r="J1884" t="s">
        <v>6365</v>
      </c>
      <c r="K1884" t="s">
        <v>6366</v>
      </c>
      <c r="L1884" t="s">
        <v>21</v>
      </c>
      <c r="M1884" t="s">
        <v>19177</v>
      </c>
      <c r="N1884" t="s">
        <v>300</v>
      </c>
      <c r="O1884" t="s">
        <v>16373</v>
      </c>
      <c r="P1884" t="s">
        <v>12</v>
      </c>
    </row>
    <row r="1885">
      <c r="A1885">
        <f>HYPERLINK("http://bombeiros.sp.gov.br/hidrantes/03individual/1448.html","1448")</f>
      </c>
      <c r="B1885" t="s">
        <v>114</v>
      </c>
      <c r="C1885" t="s">
        <v>374</v>
      </c>
      <c r="D1885" t="s">
        <v>380</v>
      </c>
      <c r="E1885" t="s">
        <v>15</v>
      </c>
      <c r="F1885" t="s">
        <v>381</v>
      </c>
      <c r="G1885" t="s">
        <v>18098</v>
      </c>
      <c r="H1885"/>
      <c r="I1885" t="s">
        <v>18</v>
      </c>
      <c r="J1885" t="s">
        <v>382</v>
      </c>
      <c r="K1885" t="s">
        <v>383</v>
      </c>
      <c r="L1885" t="s">
        <v>21</v>
      </c>
      <c r="M1885" t="s">
        <v>19177</v>
      </c>
      <c r="N1885" t="s">
        <v>300</v>
      </c>
      <c r="O1885" t="s">
        <v>16373</v>
      </c>
      <c r="P1885" t="s">
        <v>12</v>
      </c>
    </row>
    <row r="1886">
      <c r="A1886">
        <f>HYPERLINK("http://bombeiros.sp.gov.br/hidrantes/03individual/1449.html","1449")</f>
      </c>
      <c r="B1886" t="s">
        <v>114</v>
      </c>
      <c r="C1886" t="s">
        <v>374</v>
      </c>
      <c r="D1886" t="s">
        <v>380</v>
      </c>
      <c r="E1886" t="s">
        <v>15</v>
      </c>
      <c r="F1886" t="s">
        <v>384</v>
      </c>
      <c r="G1886" t="s">
        <v>18098</v>
      </c>
      <c r="H1886"/>
      <c r="I1886" t="s">
        <v>18</v>
      </c>
      <c r="J1886" t="s">
        <v>386</v>
      </c>
      <c r="K1886" t="s">
        <v>387</v>
      </c>
      <c r="L1886" t="s">
        <v>21</v>
      </c>
      <c r="M1886" t="s">
        <v>19177</v>
      </c>
      <c r="N1886" t="s">
        <v>300</v>
      </c>
      <c r="O1886" t="s">
        <v>16373</v>
      </c>
      <c r="P1886" t="s">
        <v>12</v>
      </c>
    </row>
    <row r="1887">
      <c r="A1887">
        <f>HYPERLINK("http://bombeiros.sp.gov.br/hidrantes/03individual/1451.html","1451")</f>
      </c>
      <c r="B1887" t="s">
        <v>114</v>
      </c>
      <c r="C1887" t="s">
        <v>374</v>
      </c>
      <c r="D1887" t="s">
        <v>380</v>
      </c>
      <c r="E1887" t="s">
        <v>15</v>
      </c>
      <c r="F1887" t="s">
        <v>6367</v>
      </c>
      <c r="G1887" t="s">
        <v>18089</v>
      </c>
      <c r="H1887" t="s">
        <v>1112</v>
      </c>
      <c r="I1887" t="s">
        <v>1108</v>
      </c>
      <c r="J1887" t="s">
        <v>6368</v>
      </c>
      <c r="K1887" t="s">
        <v>6369</v>
      </c>
      <c r="L1887" t="s">
        <v>21</v>
      </c>
      <c r="M1887" t="s">
        <v>19177</v>
      </c>
      <c r="N1887" t="s">
        <v>300</v>
      </c>
      <c r="O1887" t="s">
        <v>16373</v>
      </c>
      <c r="P1887" t="s">
        <v>12</v>
      </c>
    </row>
    <row r="1888">
      <c r="A1888">
        <f>HYPERLINK("http://bombeiros.sp.gov.br/hidrantes/03individual/1452.html","1452")</f>
      </c>
      <c r="B1888" t="s">
        <v>114</v>
      </c>
      <c r="C1888" t="s">
        <v>374</v>
      </c>
      <c r="D1888" t="s">
        <v>380</v>
      </c>
      <c r="E1888" t="s">
        <v>15</v>
      </c>
      <c r="F1888" t="s">
        <v>6370</v>
      </c>
      <c r="G1888" t="s">
        <v>18089</v>
      </c>
      <c r="H1888" t="s">
        <v>1107</v>
      </c>
      <c r="I1888" t="s">
        <v>1108</v>
      </c>
      <c r="J1888" t="s">
        <v>6371</v>
      </c>
      <c r="K1888" t="s">
        <v>6372</v>
      </c>
      <c r="L1888" t="s">
        <v>21</v>
      </c>
      <c r="M1888" t="s">
        <v>19177</v>
      </c>
      <c r="N1888" t="s">
        <v>300</v>
      </c>
      <c r="O1888" t="s">
        <v>16373</v>
      </c>
      <c r="P1888" t="s">
        <v>12</v>
      </c>
    </row>
    <row r="1889">
      <c r="A1889">
        <f>HYPERLINK("http://bombeiros.sp.gov.br/hidrantes/03individual/1453.html","1453")</f>
      </c>
      <c r="B1889" t="s">
        <v>114</v>
      </c>
      <c r="C1889" t="s">
        <v>374</v>
      </c>
      <c r="D1889" t="s">
        <v>380</v>
      </c>
      <c r="E1889" t="s">
        <v>15</v>
      </c>
      <c r="F1889" t="s">
        <v>6373</v>
      </c>
      <c r="G1889" t="s">
        <v>18098</v>
      </c>
      <c r="H1889" t="s">
        <v>1112</v>
      </c>
      <c r="I1889" t="s">
        <v>1108</v>
      </c>
      <c r="J1889" t="s">
        <v>6374</v>
      </c>
      <c r="K1889" t="s">
        <v>6375</v>
      </c>
      <c r="L1889" t="s">
        <v>21</v>
      </c>
      <c r="M1889" t="s">
        <v>19177</v>
      </c>
      <c r="N1889" t="s">
        <v>300</v>
      </c>
      <c r="O1889" t="s">
        <v>16373</v>
      </c>
      <c r="P1889" t="s">
        <v>12</v>
      </c>
    </row>
    <row r="1890">
      <c r="A1890">
        <f>HYPERLINK("http://bombeiros.sp.gov.br/hidrantes/03individual/1454.html","1454")</f>
      </c>
      <c r="B1890" t="s">
        <v>114</v>
      </c>
      <c r="C1890" t="s">
        <v>374</v>
      </c>
      <c r="D1890" t="s">
        <v>380</v>
      </c>
      <c r="E1890" t="s">
        <v>15</v>
      </c>
      <c r="F1890" t="s">
        <v>6376</v>
      </c>
      <c r="G1890" t="s">
        <v>18098</v>
      </c>
      <c r="H1890" t="s">
        <v>1112</v>
      </c>
      <c r="I1890" t="s">
        <v>1108</v>
      </c>
      <c r="J1890" t="s">
        <v>6377</v>
      </c>
      <c r="K1890" t="s">
        <v>6378</v>
      </c>
      <c r="L1890" t="s">
        <v>21</v>
      </c>
      <c r="M1890" t="s">
        <v>19177</v>
      </c>
      <c r="N1890" t="s">
        <v>300</v>
      </c>
      <c r="O1890" t="s">
        <v>16373</v>
      </c>
      <c r="P1890" t="s">
        <v>12</v>
      </c>
    </row>
    <row r="1891">
      <c r="A1891">
        <f>HYPERLINK("http://bombeiros.sp.gov.br/hidrantes/03individual/1456.html","1456")</f>
      </c>
      <c r="B1891" t="s">
        <v>114</v>
      </c>
      <c r="C1891" t="s">
        <v>374</v>
      </c>
      <c r="D1891" t="s">
        <v>380</v>
      </c>
      <c r="E1891" t="s">
        <v>15</v>
      </c>
      <c r="F1891" t="s">
        <v>6379</v>
      </c>
      <c r="G1891" t="s">
        <v>18098</v>
      </c>
      <c r="H1891" t="s">
        <v>1112</v>
      </c>
      <c r="I1891" t="s">
        <v>1108</v>
      </c>
      <c r="J1891" t="s">
        <v>6380</v>
      </c>
      <c r="K1891" t="s">
        <v>6381</v>
      </c>
      <c r="L1891" t="s">
        <v>21</v>
      </c>
      <c r="M1891" t="s">
        <v>19177</v>
      </c>
      <c r="N1891" t="s">
        <v>300</v>
      </c>
      <c r="O1891" t="s">
        <v>16373</v>
      </c>
      <c r="P1891" t="s">
        <v>12</v>
      </c>
    </row>
    <row r="1892">
      <c r="A1892">
        <f>HYPERLINK("http://bombeiros.sp.gov.br/hidrantes/03individual/1497.html","1497")</f>
      </c>
      <c r="B1892" t="s">
        <v>114</v>
      </c>
      <c r="C1892" t="s">
        <v>374</v>
      </c>
      <c r="D1892" t="s">
        <v>380</v>
      </c>
      <c r="E1892" t="s">
        <v>15</v>
      </c>
      <c r="F1892" t="s">
        <v>388</v>
      </c>
      <c r="G1892" t="s">
        <v>18098</v>
      </c>
      <c r="H1892" t="s">
        <v>1112</v>
      </c>
      <c r="I1892" t="s">
        <v>1108</v>
      </c>
      <c r="J1892" t="s">
        <v>389</v>
      </c>
      <c r="K1892" t="s">
        <v>390</v>
      </c>
      <c r="L1892" t="s">
        <v>21</v>
      </c>
      <c r="M1892" t="s">
        <v>19177</v>
      </c>
      <c r="N1892" t="s">
        <v>300</v>
      </c>
      <c r="O1892" t="s">
        <v>16373</v>
      </c>
      <c r="P1892" t="s">
        <v>12</v>
      </c>
    </row>
    <row r="1893">
      <c r="A1893">
        <f>HYPERLINK("http://bombeiros.sp.gov.br/hidrantes/03individual/1500.html","1500")</f>
      </c>
      <c r="B1893" t="s">
        <v>114</v>
      </c>
      <c r="C1893" t="s">
        <v>374</v>
      </c>
      <c r="D1893" t="s">
        <v>380</v>
      </c>
      <c r="E1893" t="s">
        <v>15</v>
      </c>
      <c r="F1893" t="s">
        <v>17304</v>
      </c>
      <c r="G1893" t="s">
        <v>18042</v>
      </c>
      <c r="H1893" t="s">
        <v>1107</v>
      </c>
      <c r="I1893" t="s">
        <v>1108</v>
      </c>
      <c r="J1893" t="s">
        <v>6383</v>
      </c>
      <c r="K1893" t="s">
        <v>6384</v>
      </c>
      <c r="L1893" t="s">
        <v>21</v>
      </c>
      <c r="M1893" t="s">
        <v>19177</v>
      </c>
      <c r="N1893" t="s">
        <v>300</v>
      </c>
      <c r="O1893" t="s">
        <v>16373</v>
      </c>
      <c r="P1893" t="s">
        <v>12</v>
      </c>
    </row>
    <row r="1894">
      <c r="A1894">
        <f>HYPERLINK("http://bombeiros.sp.gov.br/hidrantes/03individual/3248.html","3248")</f>
      </c>
      <c r="B1894" t="s">
        <v>114</v>
      </c>
      <c r="C1894" t="s">
        <v>374</v>
      </c>
      <c r="D1894" t="s">
        <v>380</v>
      </c>
      <c r="E1894" t="s">
        <v>15</v>
      </c>
      <c r="F1894" t="s">
        <v>6385</v>
      </c>
      <c r="G1894" t="s">
        <v>18098</v>
      </c>
      <c r="H1894" t="s">
        <v>1112</v>
      </c>
      <c r="I1894" t="s">
        <v>1108</v>
      </c>
      <c r="J1894" t="s">
        <v>15889</v>
      </c>
      <c r="K1894" t="s">
        <v>15890</v>
      </c>
      <c r="L1894" t="s">
        <v>21</v>
      </c>
      <c r="M1894" t="s">
        <v>19177</v>
      </c>
      <c r="N1894" t="s">
        <v>300</v>
      </c>
      <c r="O1894" t="s">
        <v>16373</v>
      </c>
      <c r="P1894" t="s">
        <v>12</v>
      </c>
    </row>
    <row r="1895">
      <c r="A1895">
        <f>HYPERLINK("http://bombeiros.sp.gov.br/hidrantes/03individual/3278.html","3278")</f>
      </c>
      <c r="B1895" t="s">
        <v>114</v>
      </c>
      <c r="C1895" t="s">
        <v>374</v>
      </c>
      <c r="D1895" t="s">
        <v>380</v>
      </c>
      <c r="E1895" t="s">
        <v>15</v>
      </c>
      <c r="F1895" t="s">
        <v>391</v>
      </c>
      <c r="G1895" t="s">
        <v>18098</v>
      </c>
      <c r="H1895" t="s">
        <v>1107</v>
      </c>
      <c r="I1895" t="s">
        <v>1108</v>
      </c>
      <c r="J1895" t="s">
        <v>393</v>
      </c>
      <c r="K1895" t="s">
        <v>394</v>
      </c>
      <c r="L1895" t="s">
        <v>21</v>
      </c>
      <c r="M1895" t="s">
        <v>19177</v>
      </c>
      <c r="N1895" t="s">
        <v>300</v>
      </c>
      <c r="O1895" t="s">
        <v>16373</v>
      </c>
      <c r="P1895" t="s">
        <v>12</v>
      </c>
    </row>
    <row r="1896">
      <c r="A1896">
        <f>HYPERLINK("http://bombeiros.sp.gov.br/hidrantes/03individual/3280.html","3280")</f>
      </c>
      <c r="B1896" t="s">
        <v>114</v>
      </c>
      <c r="C1896" t="s">
        <v>374</v>
      </c>
      <c r="D1896" t="s">
        <v>380</v>
      </c>
      <c r="E1896" t="s">
        <v>15</v>
      </c>
      <c r="F1896" t="s">
        <v>6388</v>
      </c>
      <c r="G1896" t="s">
        <v>18062</v>
      </c>
      <c r="H1896" t="s">
        <v>1112</v>
      </c>
      <c r="I1896" t="s">
        <v>1117</v>
      </c>
      <c r="J1896" t="s">
        <v>6389</v>
      </c>
      <c r="K1896" t="s">
        <v>6390</v>
      </c>
      <c r="L1896" t="s">
        <v>21</v>
      </c>
      <c r="M1896" t="s">
        <v>19177</v>
      </c>
      <c r="N1896" t="s">
        <v>300</v>
      </c>
      <c r="O1896" t="s">
        <v>16373</v>
      </c>
      <c r="P1896" t="s">
        <v>12</v>
      </c>
    </row>
    <row r="1897">
      <c r="A1897">
        <f>HYPERLINK("http://bombeiros.sp.gov.br/hidrantes/03individual/3318.html","3318")</f>
      </c>
      <c r="B1897" t="s">
        <v>114</v>
      </c>
      <c r="C1897" t="s">
        <v>374</v>
      </c>
      <c r="D1897" t="s">
        <v>380</v>
      </c>
      <c r="E1897" t="s">
        <v>15</v>
      </c>
      <c r="F1897" t="s">
        <v>6391</v>
      </c>
      <c r="G1897" t="s">
        <v>18042</v>
      </c>
      <c r="H1897" t="s">
        <v>1107</v>
      </c>
      <c r="I1897" t="s">
        <v>1108</v>
      </c>
      <c r="J1897" t="s">
        <v>6392</v>
      </c>
      <c r="K1897" t="s">
        <v>6393</v>
      </c>
      <c r="L1897" t="s">
        <v>21</v>
      </c>
      <c r="M1897" t="s">
        <v>19177</v>
      </c>
      <c r="N1897" t="s">
        <v>300</v>
      </c>
      <c r="O1897" t="s">
        <v>16373</v>
      </c>
      <c r="P1897" t="s">
        <v>12</v>
      </c>
    </row>
    <row r="1898">
      <c r="A1898">
        <f>HYPERLINK("http://bombeiros.sp.gov.br/hidrantes/03individual/3319.html","3319")</f>
      </c>
      <c r="B1898" t="s">
        <v>114</v>
      </c>
      <c r="C1898" t="s">
        <v>374</v>
      </c>
      <c r="D1898" t="s">
        <v>380</v>
      </c>
      <c r="E1898" t="s">
        <v>15</v>
      </c>
      <c r="F1898" t="s">
        <v>6394</v>
      </c>
      <c r="G1898" t="s">
        <v>18089</v>
      </c>
      <c r="H1898" t="s">
        <v>1121</v>
      </c>
      <c r="I1898" t="s">
        <v>1117</v>
      </c>
      <c r="J1898" t="s">
        <v>6395</v>
      </c>
      <c r="K1898" t="s">
        <v>6396</v>
      </c>
      <c r="L1898" t="s">
        <v>21</v>
      </c>
      <c r="M1898" t="s">
        <v>19177</v>
      </c>
      <c r="N1898" t="s">
        <v>300</v>
      </c>
      <c r="O1898" t="s">
        <v>16373</v>
      </c>
      <c r="P1898" t="s">
        <v>12</v>
      </c>
    </row>
    <row r="1899">
      <c r="A1899">
        <f>HYPERLINK("http://bombeiros.sp.gov.br/hidrantes/03individual/3322.html","3322")</f>
      </c>
      <c r="B1899" t="s">
        <v>114</v>
      </c>
      <c r="C1899" t="s">
        <v>374</v>
      </c>
      <c r="D1899" t="s">
        <v>380</v>
      </c>
      <c r="E1899" t="s">
        <v>15</v>
      </c>
      <c r="F1899" t="s">
        <v>6397</v>
      </c>
      <c r="G1899" t="s">
        <v>18130</v>
      </c>
      <c r="H1899" t="s">
        <v>1112</v>
      </c>
      <c r="I1899" t="s">
        <v>1108</v>
      </c>
      <c r="J1899" t="s">
        <v>6398</v>
      </c>
      <c r="K1899" t="s">
        <v>6399</v>
      </c>
      <c r="L1899" t="s">
        <v>21</v>
      </c>
      <c r="M1899" t="s">
        <v>19177</v>
      </c>
      <c r="N1899" t="s">
        <v>300</v>
      </c>
      <c r="O1899" t="s">
        <v>16373</v>
      </c>
      <c r="P1899" t="s">
        <v>12</v>
      </c>
    </row>
    <row r="1900">
      <c r="A1900">
        <f>HYPERLINK("http://bombeiros.sp.gov.br/hidrantes/03individual/3351.html","3351")</f>
      </c>
      <c r="B1900" t="s">
        <v>114</v>
      </c>
      <c r="C1900" t="s">
        <v>374</v>
      </c>
      <c r="D1900" t="s">
        <v>380</v>
      </c>
      <c r="E1900" t="s">
        <v>15</v>
      </c>
      <c r="F1900" t="s">
        <v>6400</v>
      </c>
      <c r="G1900" t="s">
        <v>18042</v>
      </c>
      <c r="H1900"/>
      <c r="I1900" t="s">
        <v>18</v>
      </c>
      <c r="J1900" t="s">
        <v>6401</v>
      </c>
      <c r="K1900" t="s">
        <v>6402</v>
      </c>
      <c r="L1900" t="s">
        <v>21</v>
      </c>
      <c r="M1900" t="s">
        <v>19177</v>
      </c>
      <c r="N1900" t="s">
        <v>300</v>
      </c>
      <c r="O1900" t="s">
        <v>16373</v>
      </c>
      <c r="P1900" t="s">
        <v>12</v>
      </c>
    </row>
    <row r="1901">
      <c r="A1901">
        <f>HYPERLINK("http://bombeiros.sp.gov.br/hidrantes/03individual/3490.html","3490")</f>
      </c>
      <c r="B1901" t="s">
        <v>114</v>
      </c>
      <c r="C1901" t="s">
        <v>374</v>
      </c>
      <c r="D1901" t="s">
        <v>380</v>
      </c>
      <c r="E1901" t="s">
        <v>15</v>
      </c>
      <c r="F1901" t="s">
        <v>6403</v>
      </c>
      <c r="G1901" t="s">
        <v>18089</v>
      </c>
      <c r="H1901" t="s">
        <v>1112</v>
      </c>
      <c r="I1901" t="s">
        <v>1108</v>
      </c>
      <c r="J1901" t="s">
        <v>6404</v>
      </c>
      <c r="K1901" t="s">
        <v>6405</v>
      </c>
      <c r="L1901" t="s">
        <v>21</v>
      </c>
      <c r="M1901" t="s">
        <v>19177</v>
      </c>
      <c r="N1901" t="s">
        <v>300</v>
      </c>
      <c r="O1901" t="s">
        <v>16373</v>
      </c>
      <c r="P1901" t="s">
        <v>12</v>
      </c>
    </row>
    <row r="1902">
      <c r="A1902">
        <f>HYPERLINK("http://bombeiros.sp.gov.br/hidrantes/03individual/1784.html","1784")</f>
      </c>
      <c r="B1902" t="s">
        <v>114</v>
      </c>
      <c r="C1902" t="s">
        <v>374</v>
      </c>
      <c r="D1902" t="s">
        <v>395</v>
      </c>
      <c r="E1902" t="s">
        <v>64</v>
      </c>
      <c r="F1902" t="s">
        <v>6406</v>
      </c>
      <c r="G1902" t="s">
        <v>18082</v>
      </c>
      <c r="H1902" t="s">
        <v>1107</v>
      </c>
      <c r="I1902" t="s">
        <v>1108</v>
      </c>
      <c r="J1902" t="s">
        <v>6407</v>
      </c>
      <c r="K1902" t="s">
        <v>6408</v>
      </c>
      <c r="L1902" t="s">
        <v>36</v>
      </c>
      <c r="M1902" t="s">
        <v>19177</v>
      </c>
      <c r="N1902" t="s">
        <v>300</v>
      </c>
      <c r="O1902" t="s">
        <v>16373</v>
      </c>
      <c r="P1902" t="s">
        <v>12</v>
      </c>
    </row>
    <row r="1903">
      <c r="A1903">
        <f>HYPERLINK("http://bombeiros.sp.gov.br/hidrantes/03individual/3136.html","3136")</f>
      </c>
      <c r="B1903" t="s">
        <v>114</v>
      </c>
      <c r="C1903" t="s">
        <v>374</v>
      </c>
      <c r="D1903" t="s">
        <v>395</v>
      </c>
      <c r="E1903" t="s">
        <v>64</v>
      </c>
      <c r="F1903" t="s">
        <v>6409</v>
      </c>
      <c r="G1903" t="s">
        <v>18082</v>
      </c>
      <c r="H1903" t="s">
        <v>1107</v>
      </c>
      <c r="I1903" t="s">
        <v>1108</v>
      </c>
      <c r="J1903" t="s">
        <v>6410</v>
      </c>
      <c r="K1903" t="s">
        <v>6411</v>
      </c>
      <c r="L1903" t="s">
        <v>21</v>
      </c>
      <c r="M1903" t="s">
        <v>19177</v>
      </c>
      <c r="N1903" t="s">
        <v>300</v>
      </c>
      <c r="O1903" t="s">
        <v>16373</v>
      </c>
      <c r="P1903" t="s">
        <v>12</v>
      </c>
    </row>
    <row r="1904">
      <c r="A1904">
        <f>HYPERLINK("http://bombeiros.sp.gov.br/hidrantes/03individual/3140.html","3140")</f>
      </c>
      <c r="B1904" t="s">
        <v>114</v>
      </c>
      <c r="C1904" t="s">
        <v>374</v>
      </c>
      <c r="D1904" t="s">
        <v>395</v>
      </c>
      <c r="E1904" t="s">
        <v>64</v>
      </c>
      <c r="F1904" t="s">
        <v>6412</v>
      </c>
      <c r="G1904" t="s">
        <v>18082</v>
      </c>
      <c r="H1904" t="s">
        <v>1112</v>
      </c>
      <c r="I1904" t="s">
        <v>1108</v>
      </c>
      <c r="J1904" t="s">
        <v>6413</v>
      </c>
      <c r="K1904" t="s">
        <v>6414</v>
      </c>
      <c r="L1904" t="s">
        <v>36</v>
      </c>
      <c r="M1904" t="s">
        <v>19177</v>
      </c>
      <c r="N1904" t="s">
        <v>300</v>
      </c>
      <c r="O1904" t="s">
        <v>16373</v>
      </c>
      <c r="P1904" t="s">
        <v>12</v>
      </c>
    </row>
    <row r="1905">
      <c r="A1905">
        <f>HYPERLINK("http://bombeiros.sp.gov.br/hidrantes/03individual/3141.html","3141")</f>
      </c>
      <c r="B1905" t="s">
        <v>114</v>
      </c>
      <c r="C1905" t="s">
        <v>374</v>
      </c>
      <c r="D1905" t="s">
        <v>395</v>
      </c>
      <c r="E1905" t="s">
        <v>64</v>
      </c>
      <c r="F1905" t="s">
        <v>6415</v>
      </c>
      <c r="G1905" t="s">
        <v>18082</v>
      </c>
      <c r="H1905" t="s">
        <v>1112</v>
      </c>
      <c r="I1905" t="s">
        <v>1108</v>
      </c>
      <c r="J1905" t="s">
        <v>6416</v>
      </c>
      <c r="K1905" t="s">
        <v>6417</v>
      </c>
      <c r="L1905" t="s">
        <v>21</v>
      </c>
      <c r="M1905" t="s">
        <v>19177</v>
      </c>
      <c r="N1905" t="s">
        <v>300</v>
      </c>
      <c r="O1905" t="s">
        <v>16373</v>
      </c>
      <c r="P1905" t="s">
        <v>12</v>
      </c>
    </row>
    <row r="1906">
      <c r="A1906">
        <f>HYPERLINK("http://bombeiros.sp.gov.br/hidrantes/03individual/3295.html","3295")</f>
      </c>
      <c r="B1906" t="s">
        <v>114</v>
      </c>
      <c r="C1906" t="s">
        <v>374</v>
      </c>
      <c r="D1906" t="s">
        <v>395</v>
      </c>
      <c r="E1906" t="s">
        <v>64</v>
      </c>
      <c r="F1906" t="s">
        <v>6418</v>
      </c>
      <c r="G1906" t="s">
        <v>18082</v>
      </c>
      <c r="H1906" t="s">
        <v>1121</v>
      </c>
      <c r="I1906" t="s">
        <v>1117</v>
      </c>
      <c r="J1906" t="s">
        <v>17305</v>
      </c>
      <c r="K1906" t="s">
        <v>17306</v>
      </c>
      <c r="L1906" t="s">
        <v>21</v>
      </c>
      <c r="M1906" t="s">
        <v>19177</v>
      </c>
      <c r="N1906" t="s">
        <v>300</v>
      </c>
      <c r="O1906" t="s">
        <v>16373</v>
      </c>
      <c r="P1906" t="s">
        <v>12</v>
      </c>
    </row>
    <row r="1907">
      <c r="A1907">
        <f>HYPERLINK("http://bombeiros.sp.gov.br/hidrantes/03individual/3328.html","3328")</f>
      </c>
      <c r="B1907" t="s">
        <v>114</v>
      </c>
      <c r="C1907" t="s">
        <v>374</v>
      </c>
      <c r="D1907" t="s">
        <v>395</v>
      </c>
      <c r="E1907" t="s">
        <v>64</v>
      </c>
      <c r="F1907" t="s">
        <v>6421</v>
      </c>
      <c r="G1907" t="s">
        <v>18194</v>
      </c>
      <c r="H1907" t="s">
        <v>1112</v>
      </c>
      <c r="I1907" t="s">
        <v>1108</v>
      </c>
      <c r="J1907" t="s">
        <v>6422</v>
      </c>
      <c r="K1907" t="s">
        <v>6423</v>
      </c>
      <c r="L1907" t="s">
        <v>36</v>
      </c>
      <c r="M1907" t="s">
        <v>19177</v>
      </c>
      <c r="N1907" t="s">
        <v>300</v>
      </c>
      <c r="O1907" t="s">
        <v>16373</v>
      </c>
      <c r="P1907" t="s">
        <v>12</v>
      </c>
    </row>
    <row r="1908">
      <c r="A1908">
        <f>HYPERLINK("http://bombeiros.sp.gov.br/hidrantes/03individual/27351.html","27351")</f>
      </c>
      <c r="B1908" t="s">
        <v>114</v>
      </c>
      <c r="C1908" t="s">
        <v>374</v>
      </c>
      <c r="D1908" t="s">
        <v>395</v>
      </c>
      <c r="E1908" t="s">
        <v>64</v>
      </c>
      <c r="F1908" t="s">
        <v>6430</v>
      </c>
      <c r="G1908" t="s">
        <v>18205</v>
      </c>
      <c r="H1908" t="s">
        <v>1121</v>
      </c>
      <c r="I1908" t="s">
        <v>1117</v>
      </c>
      <c r="J1908" t="s">
        <v>17194</v>
      </c>
      <c r="K1908" t="s">
        <v>17195</v>
      </c>
      <c r="L1908" t="s">
        <v>21</v>
      </c>
      <c r="M1908" t="s">
        <v>19177</v>
      </c>
      <c r="N1908" t="s">
        <v>300</v>
      </c>
      <c r="O1908" t="s">
        <v>16373</v>
      </c>
      <c r="P1908" t="s">
        <v>12</v>
      </c>
    </row>
    <row r="1909">
      <c r="A1909">
        <f>HYPERLINK("http://bombeiros.sp.gov.br/hidrantes/03individual/1729.html","1729")</f>
      </c>
      <c r="B1909" t="s">
        <v>114</v>
      </c>
      <c r="C1909" t="s">
        <v>374</v>
      </c>
      <c r="D1909" t="s">
        <v>395</v>
      </c>
      <c r="E1909" t="s">
        <v>15</v>
      </c>
      <c r="F1909" t="s">
        <v>6424</v>
      </c>
      <c r="G1909" t="s">
        <v>18089</v>
      </c>
      <c r="H1909" t="s">
        <v>1174</v>
      </c>
      <c r="I1909" t="s">
        <v>1108</v>
      </c>
      <c r="J1909" t="s">
        <v>6425</v>
      </c>
      <c r="K1909" t="s">
        <v>6426</v>
      </c>
      <c r="L1909" t="s">
        <v>21</v>
      </c>
      <c r="M1909" t="s">
        <v>19177</v>
      </c>
      <c r="N1909" t="s">
        <v>300</v>
      </c>
      <c r="O1909" t="s">
        <v>16373</v>
      </c>
      <c r="P1909" t="s">
        <v>12</v>
      </c>
    </row>
    <row r="1910">
      <c r="A1910">
        <f>HYPERLINK("http://bombeiros.sp.gov.br/hidrantes/03individual/1783.html","1783")</f>
      </c>
      <c r="B1910" t="s">
        <v>114</v>
      </c>
      <c r="C1910" t="s">
        <v>374</v>
      </c>
      <c r="D1910" t="s">
        <v>395</v>
      </c>
      <c r="E1910" t="s">
        <v>15</v>
      </c>
      <c r="F1910" t="s">
        <v>6427</v>
      </c>
      <c r="G1910" t="s">
        <v>18205</v>
      </c>
      <c r="H1910" t="s">
        <v>1112</v>
      </c>
      <c r="I1910" t="s">
        <v>1108</v>
      </c>
      <c r="J1910" t="s">
        <v>6428</v>
      </c>
      <c r="K1910" t="s">
        <v>6429</v>
      </c>
      <c r="L1910" t="s">
        <v>21</v>
      </c>
      <c r="M1910" t="s">
        <v>19177</v>
      </c>
      <c r="N1910" t="s">
        <v>300</v>
      </c>
      <c r="O1910" t="s">
        <v>16373</v>
      </c>
      <c r="P1910" t="s">
        <v>12</v>
      </c>
    </row>
    <row r="1911">
      <c r="A1911">
        <f>HYPERLINK("http://bombeiros.sp.gov.br/hidrantes/03individual/1808.html","1808")</f>
      </c>
      <c r="B1911" t="s">
        <v>114</v>
      </c>
      <c r="C1911" t="s">
        <v>374</v>
      </c>
      <c r="D1911" t="s">
        <v>395</v>
      </c>
      <c r="E1911" t="s">
        <v>15</v>
      </c>
      <c r="F1911" t="s">
        <v>396</v>
      </c>
      <c r="G1911" t="s">
        <v>18082</v>
      </c>
      <c r="H1911" t="s">
        <v>1174</v>
      </c>
      <c r="I1911" t="s">
        <v>1108</v>
      </c>
      <c r="J1911" t="s">
        <v>397</v>
      </c>
      <c r="K1911" t="s">
        <v>398</v>
      </c>
      <c r="L1911" t="s">
        <v>21</v>
      </c>
      <c r="M1911" t="s">
        <v>19177</v>
      </c>
      <c r="N1911" t="s">
        <v>300</v>
      </c>
      <c r="O1911" t="s">
        <v>16373</v>
      </c>
      <c r="P1911" t="s">
        <v>12</v>
      </c>
    </row>
    <row r="1912">
      <c r="A1912">
        <f>HYPERLINK("http://bombeiros.sp.gov.br/hidrantes/03individual/1821.html","1821")</f>
      </c>
      <c r="B1912" t="s">
        <v>114</v>
      </c>
      <c r="C1912" t="s">
        <v>374</v>
      </c>
      <c r="D1912" t="s">
        <v>395</v>
      </c>
      <c r="E1912" t="s">
        <v>15</v>
      </c>
      <c r="F1912" t="s">
        <v>6430</v>
      </c>
      <c r="G1912" t="s">
        <v>18205</v>
      </c>
      <c r="H1912" t="s">
        <v>1121</v>
      </c>
      <c r="I1912" t="s">
        <v>1117</v>
      </c>
      <c r="J1912" t="s">
        <v>6431</v>
      </c>
      <c r="K1912" t="s">
        <v>6432</v>
      </c>
      <c r="L1912" t="s">
        <v>21</v>
      </c>
      <c r="M1912" t="s">
        <v>19177</v>
      </c>
      <c r="N1912" t="s">
        <v>300</v>
      </c>
      <c r="O1912" t="s">
        <v>16373</v>
      </c>
      <c r="P1912" t="s">
        <v>12</v>
      </c>
    </row>
    <row r="1913">
      <c r="A1913">
        <f>HYPERLINK("http://bombeiros.sp.gov.br/hidrantes/03individual/1823.html","1823")</f>
      </c>
      <c r="B1913" t="s">
        <v>114</v>
      </c>
      <c r="C1913" t="s">
        <v>374</v>
      </c>
      <c r="D1913" t="s">
        <v>395</v>
      </c>
      <c r="E1913" t="s">
        <v>15</v>
      </c>
      <c r="F1913" t="s">
        <v>6433</v>
      </c>
      <c r="G1913" t="s">
        <v>18205</v>
      </c>
      <c r="H1913" t="s">
        <v>1112</v>
      </c>
      <c r="I1913" t="s">
        <v>1108</v>
      </c>
      <c r="J1913" t="s">
        <v>6434</v>
      </c>
      <c r="K1913" t="s">
        <v>6435</v>
      </c>
      <c r="L1913" t="s">
        <v>21</v>
      </c>
      <c r="M1913" t="s">
        <v>19177</v>
      </c>
      <c r="N1913" t="s">
        <v>300</v>
      </c>
      <c r="O1913" t="s">
        <v>16373</v>
      </c>
      <c r="P1913" t="s">
        <v>12</v>
      </c>
    </row>
    <row r="1914">
      <c r="A1914">
        <f>HYPERLINK("http://bombeiros.sp.gov.br/hidrantes/03individual/1825.html","1825")</f>
      </c>
      <c r="B1914" t="s">
        <v>114</v>
      </c>
      <c r="C1914" t="s">
        <v>374</v>
      </c>
      <c r="D1914" t="s">
        <v>395</v>
      </c>
      <c r="E1914" t="s">
        <v>15</v>
      </c>
      <c r="F1914" t="s">
        <v>6436</v>
      </c>
      <c r="G1914" t="s">
        <v>18082</v>
      </c>
      <c r="H1914" t="s">
        <v>1121</v>
      </c>
      <c r="I1914" t="s">
        <v>1117</v>
      </c>
      <c r="J1914" t="s">
        <v>6437</v>
      </c>
      <c r="K1914" t="s">
        <v>6438</v>
      </c>
      <c r="L1914" t="s">
        <v>21</v>
      </c>
      <c r="M1914" t="s">
        <v>19177</v>
      </c>
      <c r="N1914" t="s">
        <v>300</v>
      </c>
      <c r="O1914" t="s">
        <v>16373</v>
      </c>
      <c r="P1914" t="s">
        <v>12</v>
      </c>
    </row>
    <row r="1915">
      <c r="A1915">
        <f>HYPERLINK("http://bombeiros.sp.gov.br/hidrantes/03individual/1826.html","1826")</f>
      </c>
      <c r="B1915" t="s">
        <v>114</v>
      </c>
      <c r="C1915" t="s">
        <v>374</v>
      </c>
      <c r="D1915" t="s">
        <v>395</v>
      </c>
      <c r="E1915" t="s">
        <v>15</v>
      </c>
      <c r="F1915" t="s">
        <v>6439</v>
      </c>
      <c r="G1915" t="s">
        <v>18082</v>
      </c>
      <c r="H1915" t="s">
        <v>1174</v>
      </c>
      <c r="I1915" t="s">
        <v>1108</v>
      </c>
      <c r="J1915" t="s">
        <v>6440</v>
      </c>
      <c r="K1915" t="s">
        <v>6441</v>
      </c>
      <c r="L1915" t="s">
        <v>21</v>
      </c>
      <c r="M1915" t="s">
        <v>19177</v>
      </c>
      <c r="N1915" t="s">
        <v>300</v>
      </c>
      <c r="O1915" t="s">
        <v>16373</v>
      </c>
      <c r="P1915" t="s">
        <v>12</v>
      </c>
    </row>
    <row r="1916">
      <c r="A1916">
        <f>HYPERLINK("http://bombeiros.sp.gov.br/hidrantes/03individual/1827.html","1827")</f>
      </c>
      <c r="B1916" t="s">
        <v>114</v>
      </c>
      <c r="C1916" t="s">
        <v>374</v>
      </c>
      <c r="D1916" t="s">
        <v>395</v>
      </c>
      <c r="E1916" t="s">
        <v>15</v>
      </c>
      <c r="F1916" t="s">
        <v>6442</v>
      </c>
      <c r="G1916" t="s">
        <v>18089</v>
      </c>
      <c r="H1916" t="s">
        <v>1107</v>
      </c>
      <c r="I1916" t="s">
        <v>1108</v>
      </c>
      <c r="J1916" t="s">
        <v>6443</v>
      </c>
      <c r="K1916" t="s">
        <v>6444</v>
      </c>
      <c r="L1916" t="s">
        <v>21</v>
      </c>
      <c r="M1916" t="s">
        <v>19177</v>
      </c>
      <c r="N1916" t="s">
        <v>300</v>
      </c>
      <c r="O1916" t="s">
        <v>16373</v>
      </c>
      <c r="P1916" t="s">
        <v>12</v>
      </c>
    </row>
    <row r="1917">
      <c r="A1917">
        <f>HYPERLINK("http://bombeiros.sp.gov.br/hidrantes/03individual/1828.html","1828")</f>
      </c>
      <c r="B1917" t="s">
        <v>114</v>
      </c>
      <c r="C1917" t="s">
        <v>374</v>
      </c>
      <c r="D1917" t="s">
        <v>395</v>
      </c>
      <c r="E1917" t="s">
        <v>15</v>
      </c>
      <c r="F1917" t="s">
        <v>6445</v>
      </c>
      <c r="G1917" t="s">
        <v>18205</v>
      </c>
      <c r="H1917" t="s">
        <v>1121</v>
      </c>
      <c r="I1917" t="s">
        <v>1117</v>
      </c>
      <c r="J1917" t="s">
        <v>6446</v>
      </c>
      <c r="K1917" t="s">
        <v>6447</v>
      </c>
      <c r="L1917" t="s">
        <v>21</v>
      </c>
      <c r="M1917" t="s">
        <v>19177</v>
      </c>
      <c r="N1917" t="s">
        <v>300</v>
      </c>
      <c r="O1917" t="s">
        <v>16373</v>
      </c>
      <c r="P1917" t="s">
        <v>12</v>
      </c>
    </row>
    <row r="1918">
      <c r="A1918">
        <f>HYPERLINK("http://bombeiros.sp.gov.br/hidrantes/03individual/1830.html","1830")</f>
      </c>
      <c r="B1918" t="s">
        <v>114</v>
      </c>
      <c r="C1918" t="s">
        <v>374</v>
      </c>
      <c r="D1918" t="s">
        <v>395</v>
      </c>
      <c r="E1918" t="s">
        <v>15</v>
      </c>
      <c r="F1918" t="s">
        <v>6448</v>
      </c>
      <c r="G1918" t="s">
        <v>18205</v>
      </c>
      <c r="H1918" t="s">
        <v>1112</v>
      </c>
      <c r="I1918" t="s">
        <v>1108</v>
      </c>
      <c r="J1918" t="s">
        <v>6450</v>
      </c>
      <c r="K1918" t="s">
        <v>6451</v>
      </c>
      <c r="L1918" t="s">
        <v>21</v>
      </c>
      <c r="M1918" t="s">
        <v>19177</v>
      </c>
      <c r="N1918" t="s">
        <v>300</v>
      </c>
      <c r="O1918" t="s">
        <v>16373</v>
      </c>
      <c r="P1918" t="s">
        <v>12</v>
      </c>
    </row>
    <row r="1919">
      <c r="A1919">
        <f>HYPERLINK("http://bombeiros.sp.gov.br/hidrantes/03individual/3137.html","3137")</f>
      </c>
      <c r="B1919" t="s">
        <v>114</v>
      </c>
      <c r="C1919" t="s">
        <v>374</v>
      </c>
      <c r="D1919" t="s">
        <v>395</v>
      </c>
      <c r="E1919" t="s">
        <v>15</v>
      </c>
      <c r="F1919" t="s">
        <v>6452</v>
      </c>
      <c r="G1919" t="s">
        <v>18205</v>
      </c>
      <c r="H1919" t="s">
        <v>1112</v>
      </c>
      <c r="I1919" t="s">
        <v>1108</v>
      </c>
      <c r="J1919" t="s">
        <v>6453</v>
      </c>
      <c r="K1919" t="s">
        <v>6454</v>
      </c>
      <c r="L1919" t="s">
        <v>21</v>
      </c>
      <c r="M1919" t="s">
        <v>19177</v>
      </c>
      <c r="N1919" t="s">
        <v>300</v>
      </c>
      <c r="O1919" t="s">
        <v>16373</v>
      </c>
      <c r="P1919" t="s">
        <v>12</v>
      </c>
    </row>
    <row r="1920">
      <c r="A1920">
        <f>HYPERLINK("http://bombeiros.sp.gov.br/hidrantes/03individual/3142.html","3142")</f>
      </c>
      <c r="B1920" t="s">
        <v>114</v>
      </c>
      <c r="C1920" t="s">
        <v>374</v>
      </c>
      <c r="D1920" t="s">
        <v>395</v>
      </c>
      <c r="E1920" t="s">
        <v>15</v>
      </c>
      <c r="F1920" t="s">
        <v>6455</v>
      </c>
      <c r="G1920" t="s">
        <v>18082</v>
      </c>
      <c r="H1920" t="s">
        <v>1174</v>
      </c>
      <c r="I1920" t="s">
        <v>1108</v>
      </c>
      <c r="J1920" t="s">
        <v>6456</v>
      </c>
      <c r="K1920" t="s">
        <v>6457</v>
      </c>
      <c r="L1920" t="s">
        <v>36</v>
      </c>
      <c r="M1920" t="s">
        <v>19177</v>
      </c>
      <c r="N1920" t="s">
        <v>300</v>
      </c>
      <c r="O1920" t="s">
        <v>16373</v>
      </c>
      <c r="P1920" t="s">
        <v>12</v>
      </c>
    </row>
    <row r="1921">
      <c r="A1921">
        <f>HYPERLINK("http://bombeiros.sp.gov.br/hidrantes/03individual/3285.html","3285")</f>
      </c>
      <c r="B1921" t="s">
        <v>114</v>
      </c>
      <c r="C1921" t="s">
        <v>374</v>
      </c>
      <c r="D1921" t="s">
        <v>395</v>
      </c>
      <c r="E1921" t="s">
        <v>15</v>
      </c>
      <c r="F1921" t="s">
        <v>6458</v>
      </c>
      <c r="G1921" t="s">
        <v>18205</v>
      </c>
      <c r="H1921" t="s">
        <v>1121</v>
      </c>
      <c r="I1921" t="s">
        <v>1117</v>
      </c>
      <c r="J1921" t="s">
        <v>6459</v>
      </c>
      <c r="K1921" t="s">
        <v>6460</v>
      </c>
      <c r="L1921" t="s">
        <v>21</v>
      </c>
      <c r="M1921" t="s">
        <v>19177</v>
      </c>
      <c r="N1921" t="s">
        <v>300</v>
      </c>
      <c r="O1921" t="s">
        <v>16373</v>
      </c>
      <c r="P1921" t="s">
        <v>12</v>
      </c>
    </row>
    <row r="1922">
      <c r="A1922">
        <f>HYPERLINK("http://bombeiros.sp.gov.br/hidrantes/03individual/3291.html","3291")</f>
      </c>
      <c r="B1922" t="s">
        <v>114</v>
      </c>
      <c r="C1922" t="s">
        <v>374</v>
      </c>
      <c r="D1922" t="s">
        <v>395</v>
      </c>
      <c r="E1922" t="s">
        <v>15</v>
      </c>
      <c r="F1922" t="s">
        <v>6461</v>
      </c>
      <c r="G1922" t="s">
        <v>18205</v>
      </c>
      <c r="H1922" t="s">
        <v>1112</v>
      </c>
      <c r="I1922" t="s">
        <v>1108</v>
      </c>
      <c r="J1922" t="s">
        <v>6462</v>
      </c>
      <c r="K1922" t="s">
        <v>6463</v>
      </c>
      <c r="L1922" t="s">
        <v>21</v>
      </c>
      <c r="M1922" t="s">
        <v>19177</v>
      </c>
      <c r="N1922" t="s">
        <v>300</v>
      </c>
      <c r="O1922" t="s">
        <v>16373</v>
      </c>
      <c r="P1922" t="s">
        <v>12</v>
      </c>
    </row>
    <row r="1923">
      <c r="A1923">
        <f>HYPERLINK("http://bombeiros.sp.gov.br/hidrantes/03individual/3227.html","3227")</f>
      </c>
      <c r="B1923" t="s">
        <v>114</v>
      </c>
      <c r="C1923" t="s">
        <v>374</v>
      </c>
      <c r="D1923" t="s">
        <v>374</v>
      </c>
      <c r="E1923" t="s">
        <v>64</v>
      </c>
      <c r="F1923" t="s">
        <v>6464</v>
      </c>
      <c r="G1923" t="s">
        <v>18072</v>
      </c>
      <c r="H1923" t="s">
        <v>1112</v>
      </c>
      <c r="I1923" t="s">
        <v>1108</v>
      </c>
      <c r="J1923" t="s">
        <v>6465</v>
      </c>
      <c r="K1923" t="s">
        <v>6466</v>
      </c>
      <c r="L1923" t="s">
        <v>36</v>
      </c>
      <c r="M1923" t="s">
        <v>19177</v>
      </c>
      <c r="N1923" t="s">
        <v>300</v>
      </c>
      <c r="O1923" t="s">
        <v>16373</v>
      </c>
      <c r="P1923" t="s">
        <v>12</v>
      </c>
    </row>
    <row r="1924">
      <c r="A1924">
        <f>HYPERLINK("http://bombeiros.sp.gov.br/hidrantes/03individual/1391.html","1391")</f>
      </c>
      <c r="B1924" t="s">
        <v>114</v>
      </c>
      <c r="C1924" t="s">
        <v>374</v>
      </c>
      <c r="D1924" t="s">
        <v>374</v>
      </c>
      <c r="E1924" t="s">
        <v>15</v>
      </c>
      <c r="F1924" t="s">
        <v>6467</v>
      </c>
      <c r="G1924" t="s">
        <v>18093</v>
      </c>
      <c r="H1924" t="s">
        <v>1112</v>
      </c>
      <c r="I1924" t="s">
        <v>1108</v>
      </c>
      <c r="J1924" t="s">
        <v>6468</v>
      </c>
      <c r="K1924" t="s">
        <v>6469</v>
      </c>
      <c r="L1924" t="s">
        <v>21</v>
      </c>
      <c r="M1924" t="s">
        <v>19177</v>
      </c>
      <c r="N1924" t="s">
        <v>300</v>
      </c>
      <c r="O1924" t="s">
        <v>16373</v>
      </c>
      <c r="P1924" t="s">
        <v>12</v>
      </c>
    </row>
    <row r="1925">
      <c r="A1925">
        <f>HYPERLINK("http://bombeiros.sp.gov.br/hidrantes/03individual/1437.html","1437")</f>
      </c>
      <c r="B1925" t="s">
        <v>114</v>
      </c>
      <c r="C1925" t="s">
        <v>374</v>
      </c>
      <c r="D1925" t="s">
        <v>374</v>
      </c>
      <c r="E1925" t="s">
        <v>15</v>
      </c>
      <c r="F1925" t="s">
        <v>6470</v>
      </c>
      <c r="G1925" t="s">
        <v>18055</v>
      </c>
      <c r="H1925" t="s">
        <v>1112</v>
      </c>
      <c r="I1925" t="s">
        <v>1108</v>
      </c>
      <c r="J1925" t="s">
        <v>6471</v>
      </c>
      <c r="K1925" t="s">
        <v>6472</v>
      </c>
      <c r="L1925" t="s">
        <v>21</v>
      </c>
      <c r="M1925" t="s">
        <v>19177</v>
      </c>
      <c r="N1925" t="s">
        <v>300</v>
      </c>
      <c r="O1925" t="s">
        <v>16373</v>
      </c>
      <c r="P1925" t="s">
        <v>12</v>
      </c>
    </row>
    <row r="1926">
      <c r="A1926">
        <f>HYPERLINK("http://bombeiros.sp.gov.br/hidrantes/03individual/1440.html","1440")</f>
      </c>
      <c r="B1926" t="s">
        <v>114</v>
      </c>
      <c r="C1926" t="s">
        <v>374</v>
      </c>
      <c r="D1926" t="s">
        <v>374</v>
      </c>
      <c r="E1926" t="s">
        <v>15</v>
      </c>
      <c r="F1926" t="s">
        <v>6473</v>
      </c>
      <c r="G1926" t="s">
        <v>18072</v>
      </c>
      <c r="H1926" t="s">
        <v>1107</v>
      </c>
      <c r="I1926" t="s">
        <v>1108</v>
      </c>
      <c r="J1926" t="s">
        <v>16325</v>
      </c>
      <c r="K1926" t="s">
        <v>16326</v>
      </c>
      <c r="L1926" t="s">
        <v>21</v>
      </c>
      <c r="M1926" t="s">
        <v>19177</v>
      </c>
      <c r="N1926" t="s">
        <v>300</v>
      </c>
      <c r="O1926" t="s">
        <v>16373</v>
      </c>
      <c r="P1926" t="s">
        <v>12</v>
      </c>
    </row>
    <row r="1927">
      <c r="A1927">
        <f>HYPERLINK("http://bombeiros.sp.gov.br/hidrantes/03individual/1441.html","1441")</f>
      </c>
      <c r="B1927" t="s">
        <v>114</v>
      </c>
      <c r="C1927" t="s">
        <v>374</v>
      </c>
      <c r="D1927" t="s">
        <v>374</v>
      </c>
      <c r="E1927" t="s">
        <v>15</v>
      </c>
      <c r="F1927" t="s">
        <v>6476</v>
      </c>
      <c r="G1927" t="s">
        <v>18072</v>
      </c>
      <c r="H1927" t="s">
        <v>1112</v>
      </c>
      <c r="I1927" t="s">
        <v>1108</v>
      </c>
      <c r="J1927" t="s">
        <v>6477</v>
      </c>
      <c r="K1927" t="s">
        <v>6478</v>
      </c>
      <c r="L1927" t="s">
        <v>21</v>
      </c>
      <c r="M1927" t="s">
        <v>19177</v>
      </c>
      <c r="N1927" t="s">
        <v>300</v>
      </c>
      <c r="O1927" t="s">
        <v>16373</v>
      </c>
      <c r="P1927" t="s">
        <v>12</v>
      </c>
    </row>
    <row r="1928">
      <c r="A1928">
        <f>HYPERLINK("http://bombeiros.sp.gov.br/hidrantes/03individual/1443.html","1443")</f>
      </c>
      <c r="B1928" t="s">
        <v>114</v>
      </c>
      <c r="C1928" t="s">
        <v>374</v>
      </c>
      <c r="D1928" t="s">
        <v>374</v>
      </c>
      <c r="E1928" t="s">
        <v>15</v>
      </c>
      <c r="F1928" t="s">
        <v>6479</v>
      </c>
      <c r="G1928" t="s">
        <v>18089</v>
      </c>
      <c r="H1928" t="s">
        <v>1121</v>
      </c>
      <c r="I1928" t="s">
        <v>1117</v>
      </c>
      <c r="J1928" t="s">
        <v>6480</v>
      </c>
      <c r="K1928" t="s">
        <v>6481</v>
      </c>
      <c r="L1928" t="s">
        <v>21</v>
      </c>
      <c r="M1928" t="s">
        <v>19177</v>
      </c>
      <c r="N1928" t="s">
        <v>300</v>
      </c>
      <c r="O1928" t="s">
        <v>16373</v>
      </c>
      <c r="P1928" t="s">
        <v>12</v>
      </c>
    </row>
    <row r="1929">
      <c r="A1929">
        <f>HYPERLINK("http://bombeiros.sp.gov.br/hidrantes/03individual/3211.html","3211")</f>
      </c>
      <c r="B1929" t="s">
        <v>114</v>
      </c>
      <c r="C1929" t="s">
        <v>374</v>
      </c>
      <c r="D1929" t="s">
        <v>374</v>
      </c>
      <c r="E1929" t="s">
        <v>15</v>
      </c>
      <c r="F1929" t="s">
        <v>6482</v>
      </c>
      <c r="G1929" t="s">
        <v>18072</v>
      </c>
      <c r="H1929" t="s">
        <v>1112</v>
      </c>
      <c r="I1929" t="s">
        <v>1108</v>
      </c>
      <c r="J1929" t="s">
        <v>6483</v>
      </c>
      <c r="K1929" t="s">
        <v>6484</v>
      </c>
      <c r="L1929" t="s">
        <v>21</v>
      </c>
      <c r="M1929" t="s">
        <v>19177</v>
      </c>
      <c r="N1929" t="s">
        <v>300</v>
      </c>
      <c r="O1929" t="s">
        <v>16373</v>
      </c>
      <c r="P1929" t="s">
        <v>12</v>
      </c>
    </row>
    <row r="1930">
      <c r="A1930">
        <f>HYPERLINK("http://bombeiros.sp.gov.br/hidrantes/03individual/3214.html","3214")</f>
      </c>
      <c r="B1930" t="s">
        <v>114</v>
      </c>
      <c r="C1930" t="s">
        <v>374</v>
      </c>
      <c r="D1930" t="s">
        <v>374</v>
      </c>
      <c r="E1930" t="s">
        <v>15</v>
      </c>
      <c r="F1930" t="s">
        <v>6485</v>
      </c>
      <c r="G1930" t="s">
        <v>18072</v>
      </c>
      <c r="H1930" t="s">
        <v>1107</v>
      </c>
      <c r="I1930" t="s">
        <v>1108</v>
      </c>
      <c r="J1930" t="s">
        <v>6486</v>
      </c>
      <c r="K1930" t="s">
        <v>6487</v>
      </c>
      <c r="L1930" t="s">
        <v>21</v>
      </c>
      <c r="M1930" t="s">
        <v>19177</v>
      </c>
      <c r="N1930" t="s">
        <v>300</v>
      </c>
      <c r="O1930" t="s">
        <v>16373</v>
      </c>
      <c r="P1930" t="s">
        <v>12</v>
      </c>
    </row>
    <row r="1931">
      <c r="A1931">
        <f>HYPERLINK("http://bombeiros.sp.gov.br/hidrantes/03individual/3218.html","3218")</f>
      </c>
      <c r="B1931" t="s">
        <v>114</v>
      </c>
      <c r="C1931" t="s">
        <v>374</v>
      </c>
      <c r="D1931" t="s">
        <v>374</v>
      </c>
      <c r="E1931" t="s">
        <v>15</v>
      </c>
      <c r="F1931" t="s">
        <v>6488</v>
      </c>
      <c r="G1931" t="s">
        <v>18055</v>
      </c>
      <c r="H1931" t="s">
        <v>1107</v>
      </c>
      <c r="I1931" t="s">
        <v>1108</v>
      </c>
      <c r="J1931" t="s">
        <v>6489</v>
      </c>
      <c r="K1931" t="s">
        <v>6490</v>
      </c>
      <c r="L1931" t="s">
        <v>21</v>
      </c>
      <c r="M1931" t="s">
        <v>19177</v>
      </c>
      <c r="N1931" t="s">
        <v>300</v>
      </c>
      <c r="O1931" t="s">
        <v>16373</v>
      </c>
      <c r="P1931" t="s">
        <v>12</v>
      </c>
    </row>
    <row r="1932">
      <c r="A1932">
        <f>HYPERLINK("http://bombeiros.sp.gov.br/hidrantes/03individual/3221.html","3221")</f>
      </c>
      <c r="B1932" t="s">
        <v>114</v>
      </c>
      <c r="C1932" t="s">
        <v>374</v>
      </c>
      <c r="D1932" t="s">
        <v>374</v>
      </c>
      <c r="E1932" t="s">
        <v>15</v>
      </c>
      <c r="F1932" t="s">
        <v>6491</v>
      </c>
      <c r="G1932" t="s">
        <v>18055</v>
      </c>
      <c r="H1932" t="s">
        <v>1112</v>
      </c>
      <c r="I1932" t="s">
        <v>1108</v>
      </c>
      <c r="J1932" t="s">
        <v>6492</v>
      </c>
      <c r="K1932" t="s">
        <v>6493</v>
      </c>
      <c r="L1932" t="s">
        <v>21</v>
      </c>
      <c r="M1932" t="s">
        <v>19177</v>
      </c>
      <c r="N1932" t="s">
        <v>300</v>
      </c>
      <c r="O1932" t="s">
        <v>16373</v>
      </c>
      <c r="P1932" t="s">
        <v>12</v>
      </c>
    </row>
    <row r="1933">
      <c r="A1933">
        <f>HYPERLINK("http://bombeiros.sp.gov.br/hidrantes/03individual/3230.html","3230")</f>
      </c>
      <c r="B1933" t="s">
        <v>114</v>
      </c>
      <c r="C1933" t="s">
        <v>374</v>
      </c>
      <c r="D1933" t="s">
        <v>374</v>
      </c>
      <c r="E1933" t="s">
        <v>15</v>
      </c>
      <c r="F1933" t="s">
        <v>6494</v>
      </c>
      <c r="G1933" t="s">
        <v>18072</v>
      </c>
      <c r="H1933" t="s">
        <v>1112</v>
      </c>
      <c r="I1933" t="s">
        <v>1108</v>
      </c>
      <c r="J1933" t="s">
        <v>6495</v>
      </c>
      <c r="K1933" t="s">
        <v>6496</v>
      </c>
      <c r="L1933" t="s">
        <v>21</v>
      </c>
      <c r="M1933" t="s">
        <v>19177</v>
      </c>
      <c r="N1933" t="s">
        <v>300</v>
      </c>
      <c r="O1933" t="s">
        <v>16373</v>
      </c>
      <c r="P1933" t="s">
        <v>12</v>
      </c>
    </row>
    <row r="1934">
      <c r="A1934">
        <f>HYPERLINK("http://bombeiros.sp.gov.br/hidrantes/03individual/3233.html","3233")</f>
      </c>
      <c r="B1934" t="s">
        <v>114</v>
      </c>
      <c r="C1934" t="s">
        <v>374</v>
      </c>
      <c r="D1934" t="s">
        <v>374</v>
      </c>
      <c r="E1934" t="s">
        <v>15</v>
      </c>
      <c r="F1934" t="s">
        <v>6497</v>
      </c>
      <c r="G1934" t="s">
        <v>18072</v>
      </c>
      <c r="H1934" t="s">
        <v>1112</v>
      </c>
      <c r="I1934" t="s">
        <v>1108</v>
      </c>
      <c r="J1934" t="s">
        <v>6498</v>
      </c>
      <c r="K1934" t="s">
        <v>6499</v>
      </c>
      <c r="L1934" t="s">
        <v>21</v>
      </c>
      <c r="M1934" t="s">
        <v>19177</v>
      </c>
      <c r="N1934" t="s">
        <v>300</v>
      </c>
      <c r="O1934" t="s">
        <v>16373</v>
      </c>
      <c r="P1934" t="s">
        <v>12</v>
      </c>
    </row>
    <row r="1935">
      <c r="A1935">
        <f>HYPERLINK("http://bombeiros.sp.gov.br/hidrantes/03individual/3311.html","3311")</f>
      </c>
      <c r="B1935" t="s">
        <v>114</v>
      </c>
      <c r="C1935" t="s">
        <v>374</v>
      </c>
      <c r="D1935" t="s">
        <v>374</v>
      </c>
      <c r="E1935" t="s">
        <v>15</v>
      </c>
      <c r="F1935" t="s">
        <v>6500</v>
      </c>
      <c r="G1935" t="s">
        <v>18055</v>
      </c>
      <c r="H1935" t="s">
        <v>1121</v>
      </c>
      <c r="I1935" t="s">
        <v>1117</v>
      </c>
      <c r="J1935" t="s">
        <v>6501</v>
      </c>
      <c r="K1935" t="s">
        <v>6502</v>
      </c>
      <c r="L1935" t="s">
        <v>21</v>
      </c>
      <c r="M1935" t="s">
        <v>19177</v>
      </c>
      <c r="N1935" t="s">
        <v>300</v>
      </c>
      <c r="O1935" t="s">
        <v>16373</v>
      </c>
      <c r="P1935" t="s">
        <v>12</v>
      </c>
    </row>
    <row r="1936">
      <c r="A1936">
        <f>HYPERLINK("http://bombeiros.sp.gov.br/hidrantes/03individual/3312.html","3312")</f>
      </c>
      <c r="B1936" t="s">
        <v>114</v>
      </c>
      <c r="C1936" t="s">
        <v>374</v>
      </c>
      <c r="D1936" t="s">
        <v>374</v>
      </c>
      <c r="E1936" t="s">
        <v>15</v>
      </c>
      <c r="F1936" t="s">
        <v>6503</v>
      </c>
      <c r="G1936" t="s">
        <v>18072</v>
      </c>
      <c r="H1936" t="s">
        <v>1112</v>
      </c>
      <c r="I1936" t="s">
        <v>1108</v>
      </c>
      <c r="J1936" t="s">
        <v>6504</v>
      </c>
      <c r="K1936" t="s">
        <v>6505</v>
      </c>
      <c r="L1936" t="s">
        <v>21</v>
      </c>
      <c r="M1936" t="s">
        <v>19177</v>
      </c>
      <c r="N1936" t="s">
        <v>300</v>
      </c>
      <c r="O1936" t="s">
        <v>16373</v>
      </c>
      <c r="P1936" t="s">
        <v>12</v>
      </c>
    </row>
    <row r="1937">
      <c r="A1937">
        <f>HYPERLINK("http://bombeiros.sp.gov.br/hidrantes/03individual/3314.html","3314")</f>
      </c>
      <c r="B1937" t="s">
        <v>114</v>
      </c>
      <c r="C1937" t="s">
        <v>374</v>
      </c>
      <c r="D1937" t="s">
        <v>374</v>
      </c>
      <c r="E1937" t="s">
        <v>15</v>
      </c>
      <c r="F1937" t="s">
        <v>6506</v>
      </c>
      <c r="G1937" t="s">
        <v>18093</v>
      </c>
      <c r="H1937" t="s">
        <v>1112</v>
      </c>
      <c r="I1937" t="s">
        <v>1108</v>
      </c>
      <c r="J1937" t="s">
        <v>6507</v>
      </c>
      <c r="K1937" t="s">
        <v>6508</v>
      </c>
      <c r="L1937" t="s">
        <v>21</v>
      </c>
      <c r="M1937" t="s">
        <v>19177</v>
      </c>
      <c r="N1937" t="s">
        <v>300</v>
      </c>
      <c r="O1937" t="s">
        <v>16373</v>
      </c>
      <c r="P1937" t="s">
        <v>12</v>
      </c>
    </row>
    <row r="1938">
      <c r="A1938">
        <f>HYPERLINK("http://bombeiros.sp.gov.br/hidrantes/03individual/4343.html","4343")</f>
      </c>
      <c r="B1938" t="s">
        <v>114</v>
      </c>
      <c r="C1938" t="s">
        <v>374</v>
      </c>
      <c r="D1938" t="s">
        <v>374</v>
      </c>
      <c r="E1938" t="s">
        <v>15</v>
      </c>
      <c r="F1938" t="s">
        <v>6509</v>
      </c>
      <c r="G1938" t="s">
        <v>18072</v>
      </c>
      <c r="H1938" t="s">
        <v>1107</v>
      </c>
      <c r="I1938" t="s">
        <v>1108</v>
      </c>
      <c r="J1938" t="s">
        <v>6510</v>
      </c>
      <c r="K1938" t="s">
        <v>6511</v>
      </c>
      <c r="L1938" t="s">
        <v>21</v>
      </c>
      <c r="M1938" t="s">
        <v>19177</v>
      </c>
      <c r="N1938" t="s">
        <v>300</v>
      </c>
      <c r="O1938" t="s">
        <v>16373</v>
      </c>
      <c r="P1938" t="s">
        <v>12</v>
      </c>
    </row>
    <row r="1939">
      <c r="A1939">
        <f>HYPERLINK("http://bombeiros.sp.gov.br/hidrantes/03individual/3404.html","3404")</f>
      </c>
      <c r="B1939" t="s">
        <v>114</v>
      </c>
      <c r="C1939" t="s">
        <v>399</v>
      </c>
      <c r="D1939" t="s">
        <v>400</v>
      </c>
      <c r="E1939" t="s">
        <v>64</v>
      </c>
      <c r="F1939" t="s">
        <v>6512</v>
      </c>
      <c r="G1939" t="s">
        <v>18548</v>
      </c>
      <c r="H1939" t="s">
        <v>1112</v>
      </c>
      <c r="I1939" t="s">
        <v>1108</v>
      </c>
      <c r="J1939" t="s">
        <v>6513</v>
      </c>
      <c r="K1939" t="s">
        <v>6514</v>
      </c>
      <c r="L1939" t="s">
        <v>36</v>
      </c>
      <c r="M1939" t="s">
        <v>19177</v>
      </c>
      <c r="N1939" t="s">
        <v>6029</v>
      </c>
      <c r="O1939" t="s">
        <v>6029</v>
      </c>
      <c r="P1939" t="s">
        <v>114</v>
      </c>
    </row>
    <row r="1940">
      <c r="A1940">
        <f>HYPERLINK("http://bombeiros.sp.gov.br/hidrantes/03individual/17869.html","17869")</f>
      </c>
      <c r="B1940" t="s">
        <v>114</v>
      </c>
      <c r="C1940" t="s">
        <v>399</v>
      </c>
      <c r="D1940" t="s">
        <v>400</v>
      </c>
      <c r="E1940" t="s">
        <v>64</v>
      </c>
      <c r="F1940" t="s">
        <v>6515</v>
      </c>
      <c r="G1940" t="s">
        <v>18077</v>
      </c>
      <c r="H1940" t="s">
        <v>1174</v>
      </c>
      <c r="I1940" t="s">
        <v>1117</v>
      </c>
      <c r="J1940" t="s">
        <v>6516</v>
      </c>
      <c r="K1940" t="s">
        <v>6517</v>
      </c>
      <c r="L1940" t="s">
        <v>21</v>
      </c>
      <c r="M1940" t="s">
        <v>19177</v>
      </c>
      <c r="N1940" t="s">
        <v>272</v>
      </c>
      <c r="O1940" t="s">
        <v>272</v>
      </c>
      <c r="P1940" t="s">
        <v>114</v>
      </c>
    </row>
    <row r="1941">
      <c r="A1941">
        <f>HYPERLINK("http://bombeiros.sp.gov.br/hidrantes/03individual/26930.html","26930")</f>
      </c>
      <c r="B1941" t="s">
        <v>114</v>
      </c>
      <c r="C1941" t="s">
        <v>399</v>
      </c>
      <c r="D1941" t="s">
        <v>400</v>
      </c>
      <c r="E1941" t="s">
        <v>64</v>
      </c>
      <c r="F1941" t="s">
        <v>16422</v>
      </c>
      <c r="G1941" t="s">
        <v>18085</v>
      </c>
      <c r="H1941" t="s">
        <v>1121</v>
      </c>
      <c r="I1941" t="s">
        <v>1117</v>
      </c>
      <c r="J1941" t="s">
        <v>16423</v>
      </c>
      <c r="K1941" t="s">
        <v>16424</v>
      </c>
      <c r="L1941" t="s">
        <v>21</v>
      </c>
      <c r="M1941" t="s">
        <v>19177</v>
      </c>
      <c r="N1941" t="s">
        <v>6029</v>
      </c>
      <c r="O1941" t="s">
        <v>6029</v>
      </c>
      <c r="P1941" t="s">
        <v>114</v>
      </c>
    </row>
    <row r="1942">
      <c r="A1942">
        <f>HYPERLINK("http://bombeiros.sp.gov.br/hidrantes/03individual/27525.html","27525")</f>
      </c>
      <c r="B1942" t="s">
        <v>114</v>
      </c>
      <c r="C1942" t="s">
        <v>399</v>
      </c>
      <c r="D1942" t="s">
        <v>400</v>
      </c>
      <c r="E1942" t="s">
        <v>64</v>
      </c>
      <c r="F1942" t="s">
        <v>17390</v>
      </c>
      <c r="G1942" t="s">
        <v>18085</v>
      </c>
      <c r="H1942" t="s">
        <v>1174</v>
      </c>
      <c r="I1942" t="s">
        <v>1108</v>
      </c>
      <c r="J1942" t="s">
        <v>17391</v>
      </c>
      <c r="K1942" t="s">
        <v>17392</v>
      </c>
      <c r="L1942" t="s">
        <v>21</v>
      </c>
      <c r="M1942" t="s">
        <v>19177</v>
      </c>
      <c r="N1942" t="s">
        <v>6029</v>
      </c>
      <c r="O1942" t="s">
        <v>6029</v>
      </c>
      <c r="P1942" t="s">
        <v>114</v>
      </c>
    </row>
    <row r="1943">
      <c r="A1943">
        <f>HYPERLINK("http://bombeiros.sp.gov.br/hidrantes/03individual/27656.html","27656")</f>
      </c>
      <c r="B1943" t="s">
        <v>114</v>
      </c>
      <c r="C1943" t="s">
        <v>399</v>
      </c>
      <c r="D1943" t="s">
        <v>400</v>
      </c>
      <c r="E1943" t="s">
        <v>64</v>
      </c>
      <c r="F1943" t="s">
        <v>17554</v>
      </c>
      <c r="G1943" t="s">
        <v>18564</v>
      </c>
      <c r="H1943" t="s">
        <v>1112</v>
      </c>
      <c r="I1943" t="s">
        <v>1108</v>
      </c>
      <c r="J1943" t="s">
        <v>17555</v>
      </c>
      <c r="K1943" t="s">
        <v>17556</v>
      </c>
      <c r="L1943" t="s">
        <v>21</v>
      </c>
      <c r="M1943" t="s">
        <v>19177</v>
      </c>
      <c r="N1943" t="s">
        <v>6029</v>
      </c>
      <c r="O1943" t="s">
        <v>6029</v>
      </c>
      <c r="P1943" t="s">
        <v>114</v>
      </c>
    </row>
    <row r="1944">
      <c r="A1944">
        <f>HYPERLINK("http://bombeiros.sp.gov.br/hidrantes/03individual/28569.html","28569")</f>
      </c>
      <c r="B1944" t="s">
        <v>114</v>
      </c>
      <c r="C1944" t="s">
        <v>399</v>
      </c>
      <c r="D1944" t="s">
        <v>400</v>
      </c>
      <c r="E1944" t="s">
        <v>64</v>
      </c>
      <c r="F1944" t="s">
        <v>19006</v>
      </c>
      <c r="G1944"/>
      <c r="H1944"/>
      <c r="I1944" t="s">
        <v>1503</v>
      </c>
      <c r="J1944" t="s">
        <v>19007</v>
      </c>
      <c r="K1944" t="s">
        <v>19008</v>
      </c>
      <c r="L1944" t="s">
        <v>21</v>
      </c>
      <c r="M1944" t="s">
        <v>19177</v>
      </c>
      <c r="N1944" t="s">
        <v>272</v>
      </c>
      <c r="O1944" t="s">
        <v>272</v>
      </c>
      <c r="P1944" t="s">
        <v>114</v>
      </c>
    </row>
    <row r="1945">
      <c r="A1945">
        <f>HYPERLINK("http://bombeiros.sp.gov.br/hidrantes/03individual/3365.html","3365")</f>
      </c>
      <c r="B1945" t="s">
        <v>114</v>
      </c>
      <c r="C1945" t="s">
        <v>399</v>
      </c>
      <c r="D1945" t="s">
        <v>400</v>
      </c>
      <c r="E1945" t="s">
        <v>15</v>
      </c>
      <c r="F1945" t="s">
        <v>6518</v>
      </c>
      <c r="G1945" t="s">
        <v>18069</v>
      </c>
      <c r="H1945" t="s">
        <v>1121</v>
      </c>
      <c r="I1945" t="s">
        <v>1117</v>
      </c>
      <c r="J1945" t="s">
        <v>6519</v>
      </c>
      <c r="K1945" t="s">
        <v>6520</v>
      </c>
      <c r="L1945" t="s">
        <v>36</v>
      </c>
      <c r="M1945" t="s">
        <v>19177</v>
      </c>
      <c r="N1945" t="s">
        <v>6029</v>
      </c>
      <c r="O1945" t="s">
        <v>6029</v>
      </c>
      <c r="P1945" t="s">
        <v>114</v>
      </c>
    </row>
    <row r="1946">
      <c r="A1946">
        <f>HYPERLINK("http://bombeiros.sp.gov.br/hidrantes/03individual/3428.html","3428")</f>
      </c>
      <c r="B1946" t="s">
        <v>114</v>
      </c>
      <c r="C1946" t="s">
        <v>399</v>
      </c>
      <c r="D1946" t="s">
        <v>400</v>
      </c>
      <c r="E1946" t="s">
        <v>15</v>
      </c>
      <c r="F1946" t="s">
        <v>6521</v>
      </c>
      <c r="G1946" t="s">
        <v>18092</v>
      </c>
      <c r="H1946" t="s">
        <v>1112</v>
      </c>
      <c r="I1946" t="s">
        <v>1108</v>
      </c>
      <c r="J1946" t="s">
        <v>6522</v>
      </c>
      <c r="K1946" t="s">
        <v>6523</v>
      </c>
      <c r="L1946" t="s">
        <v>21</v>
      </c>
      <c r="M1946" t="s">
        <v>19177</v>
      </c>
      <c r="N1946" t="s">
        <v>6029</v>
      </c>
      <c r="O1946" t="s">
        <v>6029</v>
      </c>
      <c r="P1946" t="s">
        <v>114</v>
      </c>
    </row>
    <row r="1947">
      <c r="A1947">
        <f>HYPERLINK("http://bombeiros.sp.gov.br/hidrantes/03individual/3431.html","3431")</f>
      </c>
      <c r="B1947" t="s">
        <v>114</v>
      </c>
      <c r="C1947" t="s">
        <v>399</v>
      </c>
      <c r="D1947" t="s">
        <v>400</v>
      </c>
      <c r="E1947" t="s">
        <v>15</v>
      </c>
      <c r="F1947" t="s">
        <v>401</v>
      </c>
      <c r="G1947" t="s">
        <v>18115</v>
      </c>
      <c r="H1947" t="s">
        <v>1121</v>
      </c>
      <c r="I1947" t="s">
        <v>1117</v>
      </c>
      <c r="J1947" t="s">
        <v>402</v>
      </c>
      <c r="K1947" t="s">
        <v>403</v>
      </c>
      <c r="L1947" t="s">
        <v>21</v>
      </c>
      <c r="M1947" t="s">
        <v>19177</v>
      </c>
      <c r="N1947" t="s">
        <v>272</v>
      </c>
      <c r="O1947" t="s">
        <v>272</v>
      </c>
      <c r="P1947" t="s">
        <v>114</v>
      </c>
    </row>
    <row r="1948">
      <c r="A1948">
        <f>HYPERLINK("http://bombeiros.sp.gov.br/hidrantes/03individual/3821.html","3821")</f>
      </c>
      <c r="B1948" t="s">
        <v>114</v>
      </c>
      <c r="C1948" t="s">
        <v>399</v>
      </c>
      <c r="D1948" t="s">
        <v>400</v>
      </c>
      <c r="E1948" t="s">
        <v>15</v>
      </c>
      <c r="F1948" t="s">
        <v>6524</v>
      </c>
      <c r="G1948" t="s">
        <v>18094</v>
      </c>
      <c r="H1948" t="s">
        <v>1112</v>
      </c>
      <c r="I1948" t="s">
        <v>1108</v>
      </c>
      <c r="J1948" t="s">
        <v>6525</v>
      </c>
      <c r="K1948" t="s">
        <v>6526</v>
      </c>
      <c r="L1948" t="s">
        <v>21</v>
      </c>
      <c r="M1948" t="s">
        <v>19177</v>
      </c>
      <c r="N1948" t="s">
        <v>6029</v>
      </c>
      <c r="O1948" t="s">
        <v>6029</v>
      </c>
      <c r="P1948" t="s">
        <v>114</v>
      </c>
    </row>
    <row r="1949">
      <c r="A1949">
        <f>HYPERLINK("http://bombeiros.sp.gov.br/hidrantes/03individual/28564.html","28564")</f>
      </c>
      <c r="B1949" t="s">
        <v>114</v>
      </c>
      <c r="C1949" t="s">
        <v>399</v>
      </c>
      <c r="D1949" t="s">
        <v>400</v>
      </c>
      <c r="E1949" t="s">
        <v>15</v>
      </c>
      <c r="F1949" t="s">
        <v>18990</v>
      </c>
      <c r="G1949"/>
      <c r="H1949"/>
      <c r="I1949" t="s">
        <v>1503</v>
      </c>
      <c r="J1949" t="s">
        <v>18991</v>
      </c>
      <c r="K1949" t="s">
        <v>18992</v>
      </c>
      <c r="L1949" t="s">
        <v>21</v>
      </c>
      <c r="M1949" t="s">
        <v>19177</v>
      </c>
      <c r="N1949" t="s">
        <v>6029</v>
      </c>
      <c r="O1949" t="s">
        <v>6029</v>
      </c>
      <c r="P1949" t="s">
        <v>114</v>
      </c>
    </row>
    <row r="1950">
      <c r="A1950">
        <f>HYPERLINK("http://bombeiros.sp.gov.br/hidrantes/03individual/1881.html","1881")</f>
      </c>
      <c r="B1950" t="s">
        <v>114</v>
      </c>
      <c r="C1950" t="s">
        <v>399</v>
      </c>
      <c r="D1950" t="s">
        <v>399</v>
      </c>
      <c r="E1950" t="s">
        <v>64</v>
      </c>
      <c r="F1950" t="s">
        <v>6527</v>
      </c>
      <c r="G1950" t="s">
        <v>18047</v>
      </c>
      <c r="H1950" t="s">
        <v>1174</v>
      </c>
      <c r="I1950" t="s">
        <v>1108</v>
      </c>
      <c r="J1950" t="s">
        <v>17651</v>
      </c>
      <c r="K1950" t="s">
        <v>17652</v>
      </c>
      <c r="L1950" t="s">
        <v>21</v>
      </c>
      <c r="M1950" t="s">
        <v>19177</v>
      </c>
      <c r="N1950" t="s">
        <v>6029</v>
      </c>
      <c r="O1950" t="s">
        <v>6029</v>
      </c>
      <c r="P1950" t="s">
        <v>114</v>
      </c>
    </row>
    <row r="1951">
      <c r="A1951">
        <f>HYPERLINK("http://bombeiros.sp.gov.br/hidrantes/03individual/3349.html","3349")</f>
      </c>
      <c r="B1951" t="s">
        <v>114</v>
      </c>
      <c r="C1951" t="s">
        <v>399</v>
      </c>
      <c r="D1951" t="s">
        <v>399</v>
      </c>
      <c r="E1951" t="s">
        <v>64</v>
      </c>
      <c r="F1951" t="s">
        <v>6530</v>
      </c>
      <c r="G1951" t="s">
        <v>18134</v>
      </c>
      <c r="H1951" t="s">
        <v>1107</v>
      </c>
      <c r="I1951" t="s">
        <v>1108</v>
      </c>
      <c r="J1951" t="s">
        <v>6531</v>
      </c>
      <c r="K1951" t="s">
        <v>6532</v>
      </c>
      <c r="L1951" t="s">
        <v>36</v>
      </c>
      <c r="M1951" t="s">
        <v>19177</v>
      </c>
      <c r="N1951" t="s">
        <v>6029</v>
      </c>
      <c r="O1951" t="s">
        <v>6029</v>
      </c>
      <c r="P1951" t="s">
        <v>114</v>
      </c>
    </row>
    <row r="1952">
      <c r="A1952">
        <f>HYPERLINK("http://bombeiros.sp.gov.br/hidrantes/03individual/3352.html","3352")</f>
      </c>
      <c r="B1952" t="s">
        <v>114</v>
      </c>
      <c r="C1952" t="s">
        <v>399</v>
      </c>
      <c r="D1952" t="s">
        <v>399</v>
      </c>
      <c r="E1952" t="s">
        <v>64</v>
      </c>
      <c r="F1952" t="s">
        <v>6533</v>
      </c>
      <c r="G1952" t="s">
        <v>18191</v>
      </c>
      <c r="H1952" t="s">
        <v>1112</v>
      </c>
      <c r="I1952" t="s">
        <v>1108</v>
      </c>
      <c r="J1952" t="s">
        <v>6534</v>
      </c>
      <c r="K1952" t="s">
        <v>6535</v>
      </c>
      <c r="L1952" t="s">
        <v>21</v>
      </c>
      <c r="M1952" t="s">
        <v>19177</v>
      </c>
      <c r="N1952" t="s">
        <v>6029</v>
      </c>
      <c r="O1952" t="s">
        <v>6029</v>
      </c>
      <c r="P1952" t="s">
        <v>114</v>
      </c>
    </row>
    <row r="1953">
      <c r="A1953">
        <f>HYPERLINK("http://bombeiros.sp.gov.br/hidrantes/03individual/3353.html","3353")</f>
      </c>
      <c r="B1953" t="s">
        <v>114</v>
      </c>
      <c r="C1953" t="s">
        <v>399</v>
      </c>
      <c r="D1953" t="s">
        <v>399</v>
      </c>
      <c r="E1953" t="s">
        <v>64</v>
      </c>
      <c r="F1953" t="s">
        <v>6536</v>
      </c>
      <c r="G1953" t="s">
        <v>18564</v>
      </c>
      <c r="H1953" t="s">
        <v>1107</v>
      </c>
      <c r="I1953" t="s">
        <v>1108</v>
      </c>
      <c r="J1953" t="s">
        <v>6537</v>
      </c>
      <c r="K1953" t="s">
        <v>6538</v>
      </c>
      <c r="L1953" t="s">
        <v>36</v>
      </c>
      <c r="M1953" t="s">
        <v>19177</v>
      </c>
      <c r="N1953" t="s">
        <v>6029</v>
      </c>
      <c r="O1953" t="s">
        <v>6029</v>
      </c>
      <c r="P1953" t="s">
        <v>114</v>
      </c>
    </row>
    <row r="1954">
      <c r="A1954">
        <f>HYPERLINK("http://bombeiros.sp.gov.br/hidrantes/03individual/3354.html","3354")</f>
      </c>
      <c r="B1954" t="s">
        <v>114</v>
      </c>
      <c r="C1954" t="s">
        <v>399</v>
      </c>
      <c r="D1954" t="s">
        <v>399</v>
      </c>
      <c r="E1954" t="s">
        <v>64</v>
      </c>
      <c r="F1954" t="s">
        <v>6539</v>
      </c>
      <c r="G1954" t="s">
        <v>18564</v>
      </c>
      <c r="H1954" t="s">
        <v>1121</v>
      </c>
      <c r="I1954" t="s">
        <v>1117</v>
      </c>
      <c r="J1954" t="s">
        <v>6540</v>
      </c>
      <c r="K1954" t="s">
        <v>6541</v>
      </c>
      <c r="L1954" t="s">
        <v>21</v>
      </c>
      <c r="M1954" t="s">
        <v>19177</v>
      </c>
      <c r="N1954" t="s">
        <v>6029</v>
      </c>
      <c r="O1954" t="s">
        <v>6029</v>
      </c>
      <c r="P1954" t="s">
        <v>114</v>
      </c>
    </row>
    <row r="1955">
      <c r="A1955">
        <f>HYPERLINK("http://bombeiros.sp.gov.br/hidrantes/03individual/3484.html","3484")</f>
      </c>
      <c r="B1955" t="s">
        <v>114</v>
      </c>
      <c r="C1955" t="s">
        <v>399</v>
      </c>
      <c r="D1955" t="s">
        <v>399</v>
      </c>
      <c r="E1955" t="s">
        <v>64</v>
      </c>
      <c r="F1955" t="s">
        <v>6542</v>
      </c>
      <c r="G1955" t="s">
        <v>18095</v>
      </c>
      <c r="H1955" t="s">
        <v>1112</v>
      </c>
      <c r="I1955" t="s">
        <v>1108</v>
      </c>
      <c r="J1955" t="s">
        <v>6543</v>
      </c>
      <c r="K1955" t="s">
        <v>6544</v>
      </c>
      <c r="L1955" t="s">
        <v>21</v>
      </c>
      <c r="M1955" t="s">
        <v>19177</v>
      </c>
      <c r="N1955" t="s">
        <v>6029</v>
      </c>
      <c r="O1955" t="s">
        <v>6029</v>
      </c>
      <c r="P1955" t="s">
        <v>114</v>
      </c>
    </row>
    <row r="1956">
      <c r="A1956">
        <f>HYPERLINK("http://bombeiros.sp.gov.br/hidrantes/03individual/4433.html","4433")</f>
      </c>
      <c r="B1956" t="s">
        <v>114</v>
      </c>
      <c r="C1956" t="s">
        <v>399</v>
      </c>
      <c r="D1956" t="s">
        <v>399</v>
      </c>
      <c r="E1956" t="s">
        <v>64</v>
      </c>
      <c r="F1956" t="s">
        <v>6545</v>
      </c>
      <c r="G1956" t="s">
        <v>18085</v>
      </c>
      <c r="H1956" t="s">
        <v>1107</v>
      </c>
      <c r="I1956" t="s">
        <v>1108</v>
      </c>
      <c r="J1956" t="s">
        <v>6546</v>
      </c>
      <c r="K1956" t="s">
        <v>6547</v>
      </c>
      <c r="L1956" t="s">
        <v>21</v>
      </c>
      <c r="M1956" t="s">
        <v>19177</v>
      </c>
      <c r="N1956" t="s">
        <v>6029</v>
      </c>
      <c r="O1956" t="s">
        <v>6029</v>
      </c>
      <c r="P1956" t="s">
        <v>114</v>
      </c>
    </row>
    <row r="1957">
      <c r="A1957">
        <f>HYPERLINK("http://bombeiros.sp.gov.br/hidrantes/03individual/27657.html","27657")</f>
      </c>
      <c r="B1957" t="s">
        <v>114</v>
      </c>
      <c r="C1957" t="s">
        <v>399</v>
      </c>
      <c r="D1957" t="s">
        <v>399</v>
      </c>
      <c r="E1957" t="s">
        <v>64</v>
      </c>
      <c r="F1957" t="s">
        <v>17557</v>
      </c>
      <c r="G1957" t="s">
        <v>18564</v>
      </c>
      <c r="H1957" t="s">
        <v>1112</v>
      </c>
      <c r="I1957" t="s">
        <v>1108</v>
      </c>
      <c r="J1957" t="s">
        <v>17558</v>
      </c>
      <c r="K1957" t="s">
        <v>17559</v>
      </c>
      <c r="L1957" t="s">
        <v>21</v>
      </c>
      <c r="M1957" t="s">
        <v>19177</v>
      </c>
      <c r="N1957" t="s">
        <v>6029</v>
      </c>
      <c r="O1957" t="s">
        <v>6029</v>
      </c>
      <c r="P1957" t="s">
        <v>114</v>
      </c>
    </row>
    <row r="1958">
      <c r="A1958">
        <f>HYPERLINK("http://bombeiros.sp.gov.br/hidrantes/03individual/1899.html","1899")</f>
      </c>
      <c r="B1958" t="s">
        <v>114</v>
      </c>
      <c r="C1958" t="s">
        <v>399</v>
      </c>
      <c r="D1958" t="s">
        <v>399</v>
      </c>
      <c r="E1958" t="s">
        <v>15</v>
      </c>
      <c r="F1958" t="s">
        <v>6548</v>
      </c>
      <c r="G1958" t="s">
        <v>18092</v>
      </c>
      <c r="H1958" t="s">
        <v>1107</v>
      </c>
      <c r="I1958" t="s">
        <v>1108</v>
      </c>
      <c r="J1958" t="s">
        <v>6549</v>
      </c>
      <c r="K1958" t="s">
        <v>6550</v>
      </c>
      <c r="L1958" t="s">
        <v>21</v>
      </c>
      <c r="M1958" t="s">
        <v>19177</v>
      </c>
      <c r="N1958" t="s">
        <v>6029</v>
      </c>
      <c r="O1958" t="s">
        <v>6029</v>
      </c>
      <c r="P1958" t="s">
        <v>114</v>
      </c>
    </row>
    <row r="1959">
      <c r="A1959">
        <f>HYPERLINK("http://bombeiros.sp.gov.br/hidrantes/03individual/1900.html","1900")</f>
      </c>
      <c r="B1959" t="s">
        <v>114</v>
      </c>
      <c r="C1959" t="s">
        <v>399</v>
      </c>
      <c r="D1959" t="s">
        <v>399</v>
      </c>
      <c r="E1959" t="s">
        <v>15</v>
      </c>
      <c r="F1959" t="s">
        <v>6551</v>
      </c>
      <c r="G1959" t="s">
        <v>18117</v>
      </c>
      <c r="H1959" t="s">
        <v>1107</v>
      </c>
      <c r="I1959" t="s">
        <v>1108</v>
      </c>
      <c r="J1959" t="s">
        <v>6552</v>
      </c>
      <c r="K1959" t="s">
        <v>6553</v>
      </c>
      <c r="L1959" t="s">
        <v>21</v>
      </c>
      <c r="M1959" t="s">
        <v>19177</v>
      </c>
      <c r="N1959" t="s">
        <v>6029</v>
      </c>
      <c r="O1959" t="s">
        <v>6029</v>
      </c>
      <c r="P1959" t="s">
        <v>114</v>
      </c>
    </row>
    <row r="1960">
      <c r="A1960">
        <f>HYPERLINK("http://bombeiros.sp.gov.br/hidrantes/03individual/1902.html","1902")</f>
      </c>
      <c r="B1960" t="s">
        <v>114</v>
      </c>
      <c r="C1960" t="s">
        <v>399</v>
      </c>
      <c r="D1960" t="s">
        <v>399</v>
      </c>
      <c r="E1960" t="s">
        <v>15</v>
      </c>
      <c r="F1960" t="s">
        <v>6554</v>
      </c>
      <c r="G1960" t="s">
        <v>18092</v>
      </c>
      <c r="H1960" t="s">
        <v>1107</v>
      </c>
      <c r="I1960" t="s">
        <v>1108</v>
      </c>
      <c r="J1960" t="s">
        <v>6555</v>
      </c>
      <c r="K1960" t="s">
        <v>6556</v>
      </c>
      <c r="L1960" t="s">
        <v>21</v>
      </c>
      <c r="M1960" t="s">
        <v>19177</v>
      </c>
      <c r="N1960" t="s">
        <v>6029</v>
      </c>
      <c r="O1960" t="s">
        <v>6029</v>
      </c>
      <c r="P1960" t="s">
        <v>114</v>
      </c>
    </row>
    <row r="1961">
      <c r="A1961">
        <f>HYPERLINK("http://bombeiros.sp.gov.br/hidrantes/03individual/1904.html","1904")</f>
      </c>
      <c r="B1961" t="s">
        <v>114</v>
      </c>
      <c r="C1961" t="s">
        <v>399</v>
      </c>
      <c r="D1961" t="s">
        <v>399</v>
      </c>
      <c r="E1961" t="s">
        <v>15</v>
      </c>
      <c r="F1961" t="s">
        <v>6557</v>
      </c>
      <c r="G1961" t="s">
        <v>18563</v>
      </c>
      <c r="H1961" t="s">
        <v>1112</v>
      </c>
      <c r="I1961" t="s">
        <v>1108</v>
      </c>
      <c r="J1961" t="s">
        <v>6558</v>
      </c>
      <c r="K1961" t="s">
        <v>6559</v>
      </c>
      <c r="L1961" t="s">
        <v>21</v>
      </c>
      <c r="M1961" t="s">
        <v>19177</v>
      </c>
      <c r="N1961" t="s">
        <v>6029</v>
      </c>
      <c r="O1961" t="s">
        <v>6029</v>
      </c>
      <c r="P1961" t="s">
        <v>114</v>
      </c>
    </row>
    <row r="1962">
      <c r="A1962">
        <f>HYPERLINK("http://bombeiros.sp.gov.br/hidrantes/03individual/1924.html","1924")</f>
      </c>
      <c r="B1962" t="s">
        <v>114</v>
      </c>
      <c r="C1962" t="s">
        <v>399</v>
      </c>
      <c r="D1962" t="s">
        <v>399</v>
      </c>
      <c r="E1962" t="s">
        <v>15</v>
      </c>
      <c r="F1962" t="s">
        <v>6560</v>
      </c>
      <c r="G1962" t="s">
        <v>18563</v>
      </c>
      <c r="H1962" t="s">
        <v>1107</v>
      </c>
      <c r="I1962" t="s">
        <v>1108</v>
      </c>
      <c r="J1962" t="s">
        <v>6561</v>
      </c>
      <c r="K1962" t="s">
        <v>6562</v>
      </c>
      <c r="L1962" t="s">
        <v>21</v>
      </c>
      <c r="M1962" t="s">
        <v>19177</v>
      </c>
      <c r="N1962" t="s">
        <v>6029</v>
      </c>
      <c r="O1962" t="s">
        <v>6029</v>
      </c>
      <c r="P1962" t="s">
        <v>114</v>
      </c>
    </row>
    <row r="1963">
      <c r="A1963">
        <f>HYPERLINK("http://bombeiros.sp.gov.br/hidrantes/03individual/2072.html","2072")</f>
      </c>
      <c r="B1963" t="s">
        <v>114</v>
      </c>
      <c r="C1963" t="s">
        <v>399</v>
      </c>
      <c r="D1963" t="s">
        <v>399</v>
      </c>
      <c r="E1963" t="s">
        <v>15</v>
      </c>
      <c r="F1963" t="s">
        <v>6563</v>
      </c>
      <c r="G1963" t="s">
        <v>18092</v>
      </c>
      <c r="H1963" t="s">
        <v>1107</v>
      </c>
      <c r="I1963" t="s">
        <v>1108</v>
      </c>
      <c r="J1963" t="s">
        <v>6564</v>
      </c>
      <c r="K1963" t="s">
        <v>6565</v>
      </c>
      <c r="L1963" t="s">
        <v>21</v>
      </c>
      <c r="M1963" t="s">
        <v>19177</v>
      </c>
      <c r="N1963" t="s">
        <v>6029</v>
      </c>
      <c r="O1963" t="s">
        <v>6029</v>
      </c>
      <c r="P1963" t="s">
        <v>114</v>
      </c>
    </row>
    <row r="1964">
      <c r="A1964">
        <f>HYPERLINK("http://bombeiros.sp.gov.br/hidrantes/03individual/3435.html","3435")</f>
      </c>
      <c r="B1964" t="s">
        <v>114</v>
      </c>
      <c r="C1964" t="s">
        <v>399</v>
      </c>
      <c r="D1964" t="s">
        <v>399</v>
      </c>
      <c r="E1964" t="s">
        <v>15</v>
      </c>
      <c r="F1964" t="s">
        <v>6566</v>
      </c>
      <c r="G1964" t="s">
        <v>18094</v>
      </c>
      <c r="H1964" t="s">
        <v>1112</v>
      </c>
      <c r="I1964" t="s">
        <v>1108</v>
      </c>
      <c r="J1964" t="s">
        <v>6567</v>
      </c>
      <c r="K1964" t="s">
        <v>6568</v>
      </c>
      <c r="L1964" t="s">
        <v>21</v>
      </c>
      <c r="M1964" t="s">
        <v>19177</v>
      </c>
      <c r="N1964" t="s">
        <v>6029</v>
      </c>
      <c r="O1964" t="s">
        <v>6029</v>
      </c>
      <c r="P1964" t="s">
        <v>114</v>
      </c>
    </row>
    <row r="1965">
      <c r="A1965">
        <f>HYPERLINK("http://bombeiros.sp.gov.br/hidrantes/03individual/4336.html","4336")</f>
      </c>
      <c r="B1965" t="s">
        <v>114</v>
      </c>
      <c r="C1965" t="s">
        <v>399</v>
      </c>
      <c r="D1965" t="s">
        <v>399</v>
      </c>
      <c r="E1965" t="s">
        <v>15</v>
      </c>
      <c r="F1965" t="s">
        <v>6569</v>
      </c>
      <c r="G1965" t="s">
        <v>18134</v>
      </c>
      <c r="H1965" t="s">
        <v>1112</v>
      </c>
      <c r="I1965" t="s">
        <v>1108</v>
      </c>
      <c r="J1965" t="s">
        <v>6570</v>
      </c>
      <c r="K1965" t="s">
        <v>6571</v>
      </c>
      <c r="L1965" t="s">
        <v>21</v>
      </c>
      <c r="M1965" t="s">
        <v>19177</v>
      </c>
      <c r="N1965" t="s">
        <v>6029</v>
      </c>
      <c r="O1965" t="s">
        <v>6029</v>
      </c>
      <c r="P1965" t="s">
        <v>114</v>
      </c>
    </row>
    <row r="1966">
      <c r="A1966">
        <f>HYPERLINK("http://bombeiros.sp.gov.br/hidrantes/03individual/4337.html","4337")</f>
      </c>
      <c r="B1966" t="s">
        <v>114</v>
      </c>
      <c r="C1966" t="s">
        <v>399</v>
      </c>
      <c r="D1966" t="s">
        <v>399</v>
      </c>
      <c r="E1966" t="s">
        <v>15</v>
      </c>
      <c r="F1966" t="s">
        <v>6572</v>
      </c>
      <c r="G1966" t="s">
        <v>18117</v>
      </c>
      <c r="H1966" t="s">
        <v>1107</v>
      </c>
      <c r="I1966" t="s">
        <v>1117</v>
      </c>
      <c r="J1966" t="s">
        <v>6573</v>
      </c>
      <c r="K1966" t="s">
        <v>6574</v>
      </c>
      <c r="L1966" t="s">
        <v>21</v>
      </c>
      <c r="M1966" t="s">
        <v>19177</v>
      </c>
      <c r="N1966" t="s">
        <v>6029</v>
      </c>
      <c r="O1966" t="s">
        <v>6029</v>
      </c>
      <c r="P1966" t="s">
        <v>114</v>
      </c>
    </row>
    <row r="1967">
      <c r="A1967">
        <f>HYPERLINK("http://bombeiros.sp.gov.br/hidrantes/03individual/17794.html","17794")</f>
      </c>
      <c r="B1967" t="s">
        <v>114</v>
      </c>
      <c r="C1967" t="s">
        <v>399</v>
      </c>
      <c r="D1967" t="s">
        <v>399</v>
      </c>
      <c r="E1967" t="s">
        <v>15</v>
      </c>
      <c r="F1967" t="s">
        <v>6575</v>
      </c>
      <c r="G1967" t="s">
        <v>18092</v>
      </c>
      <c r="H1967" t="s">
        <v>1121</v>
      </c>
      <c r="I1967" t="s">
        <v>1117</v>
      </c>
      <c r="J1967" t="s">
        <v>6576</v>
      </c>
      <c r="K1967" t="s">
        <v>6577</v>
      </c>
      <c r="L1967" t="s">
        <v>21</v>
      </c>
      <c r="M1967" t="s">
        <v>19177</v>
      </c>
      <c r="N1967" t="s">
        <v>6029</v>
      </c>
      <c r="O1967" t="s">
        <v>6029</v>
      </c>
      <c r="P1967" t="s">
        <v>114</v>
      </c>
    </row>
    <row r="1968">
      <c r="A1968">
        <f>HYPERLINK("http://bombeiros.sp.gov.br/hidrantes/03individual/17854.html","17854")</f>
      </c>
      <c r="B1968" t="s">
        <v>114</v>
      </c>
      <c r="C1968" t="s">
        <v>399</v>
      </c>
      <c r="D1968" t="s">
        <v>399</v>
      </c>
      <c r="E1968" t="s">
        <v>15</v>
      </c>
      <c r="F1968" t="s">
        <v>6578</v>
      </c>
      <c r="G1968" t="s">
        <v>18117</v>
      </c>
      <c r="H1968" t="s">
        <v>1112</v>
      </c>
      <c r="I1968" t="s">
        <v>1108</v>
      </c>
      <c r="J1968" t="s">
        <v>6579</v>
      </c>
      <c r="K1968" t="s">
        <v>6580</v>
      </c>
      <c r="L1968" t="s">
        <v>21</v>
      </c>
      <c r="M1968" t="s">
        <v>19177</v>
      </c>
      <c r="N1968" t="s">
        <v>6029</v>
      </c>
      <c r="O1968" t="s">
        <v>6029</v>
      </c>
      <c r="P1968" t="s">
        <v>114</v>
      </c>
    </row>
    <row r="1969">
      <c r="A1969">
        <f>HYPERLINK("http://bombeiros.sp.gov.br/hidrantes/03individual/26860.html","26860")</f>
      </c>
      <c r="B1969" t="s">
        <v>114</v>
      </c>
      <c r="C1969" t="s">
        <v>399</v>
      </c>
      <c r="D1969" t="s">
        <v>399</v>
      </c>
      <c r="E1969" t="s">
        <v>15</v>
      </c>
      <c r="F1969" t="s">
        <v>16223</v>
      </c>
      <c r="G1969" t="s">
        <v>18117</v>
      </c>
      <c r="H1969" t="s">
        <v>1174</v>
      </c>
      <c r="I1969" t="s">
        <v>1117</v>
      </c>
      <c r="J1969" t="s">
        <v>16224</v>
      </c>
      <c r="K1969" t="s">
        <v>16225</v>
      </c>
      <c r="L1969" t="s">
        <v>21</v>
      </c>
      <c r="M1969" t="s">
        <v>19177</v>
      </c>
      <c r="N1969" t="s">
        <v>6029</v>
      </c>
      <c r="O1969" t="s">
        <v>6029</v>
      </c>
      <c r="P1969" t="s">
        <v>114</v>
      </c>
    </row>
    <row r="1970">
      <c r="A1970">
        <f>HYPERLINK("http://bombeiros.sp.gov.br/hidrantes/03individual/26861.html","26861")</f>
      </c>
      <c r="B1970" t="s">
        <v>114</v>
      </c>
      <c r="C1970" t="s">
        <v>399</v>
      </c>
      <c r="D1970" t="s">
        <v>399</v>
      </c>
      <c r="E1970" t="s">
        <v>15</v>
      </c>
      <c r="F1970" t="s">
        <v>16226</v>
      </c>
      <c r="G1970" t="s">
        <v>18092</v>
      </c>
      <c r="H1970" t="s">
        <v>1107</v>
      </c>
      <c r="I1970" t="s">
        <v>1108</v>
      </c>
      <c r="J1970" t="s">
        <v>16227</v>
      </c>
      <c r="K1970" t="s">
        <v>16228</v>
      </c>
      <c r="L1970" t="s">
        <v>21</v>
      </c>
      <c r="M1970" t="s">
        <v>19177</v>
      </c>
      <c r="N1970" t="s">
        <v>6029</v>
      </c>
      <c r="O1970" t="s">
        <v>6029</v>
      </c>
      <c r="P1970" t="s">
        <v>114</v>
      </c>
    </row>
    <row r="1971">
      <c r="A1971">
        <f>HYPERLINK("http://bombeiros.sp.gov.br/hidrantes/03individual/26862.html","26862")</f>
      </c>
      <c r="B1971" t="s">
        <v>114</v>
      </c>
      <c r="C1971" t="s">
        <v>399</v>
      </c>
      <c r="D1971" t="s">
        <v>399</v>
      </c>
      <c r="E1971" t="s">
        <v>15</v>
      </c>
      <c r="F1971" t="s">
        <v>16229</v>
      </c>
      <c r="G1971" t="s">
        <v>18092</v>
      </c>
      <c r="H1971" t="s">
        <v>1121</v>
      </c>
      <c r="I1971" t="s">
        <v>1117</v>
      </c>
      <c r="J1971" t="s">
        <v>16230</v>
      </c>
      <c r="K1971" t="s">
        <v>16231</v>
      </c>
      <c r="L1971" t="s">
        <v>21</v>
      </c>
      <c r="M1971" t="s">
        <v>19177</v>
      </c>
      <c r="N1971" t="s">
        <v>6029</v>
      </c>
      <c r="O1971" t="s">
        <v>6029</v>
      </c>
      <c r="P1971" t="s">
        <v>114</v>
      </c>
    </row>
    <row r="1972">
      <c r="A1972">
        <f>HYPERLINK("http://bombeiros.sp.gov.br/hidrantes/03individual/1018.html","1018")</f>
      </c>
      <c r="B1972" t="s">
        <v>114</v>
      </c>
      <c r="C1972" t="s">
        <v>333</v>
      </c>
      <c r="D1972" t="s">
        <v>407</v>
      </c>
      <c r="E1972" t="s">
        <v>64</v>
      </c>
      <c r="F1972" t="s">
        <v>6581</v>
      </c>
      <c r="G1972" t="s">
        <v>18089</v>
      </c>
      <c r="H1972" t="s">
        <v>1107</v>
      </c>
      <c r="I1972" t="s">
        <v>1108</v>
      </c>
      <c r="J1972" t="s">
        <v>6582</v>
      </c>
      <c r="K1972" t="s">
        <v>6583</v>
      </c>
      <c r="L1972" t="s">
        <v>36</v>
      </c>
      <c r="M1972" t="s">
        <v>19177</v>
      </c>
      <c r="N1972" t="s">
        <v>300</v>
      </c>
      <c r="O1972" t="s">
        <v>16373</v>
      </c>
      <c r="P1972" t="s">
        <v>12</v>
      </c>
    </row>
    <row r="1973">
      <c r="A1973">
        <f>HYPERLINK("http://bombeiros.sp.gov.br/hidrantes/03individual/1019.html","1019")</f>
      </c>
      <c r="B1973" t="s">
        <v>114</v>
      </c>
      <c r="C1973" t="s">
        <v>333</v>
      </c>
      <c r="D1973" t="s">
        <v>407</v>
      </c>
      <c r="E1973" t="s">
        <v>64</v>
      </c>
      <c r="F1973" t="s">
        <v>6584</v>
      </c>
      <c r="G1973" t="s">
        <v>18089</v>
      </c>
      <c r="H1973"/>
      <c r="I1973" t="s">
        <v>18</v>
      </c>
      <c r="J1973" t="s">
        <v>16169</v>
      </c>
      <c r="K1973" t="s">
        <v>16170</v>
      </c>
      <c r="L1973" t="s">
        <v>21</v>
      </c>
      <c r="M1973" t="s">
        <v>19177</v>
      </c>
      <c r="N1973" t="s">
        <v>300</v>
      </c>
      <c r="O1973" t="s">
        <v>16373</v>
      </c>
      <c r="P1973" t="s">
        <v>12</v>
      </c>
    </row>
    <row r="1974">
      <c r="A1974">
        <f>HYPERLINK("http://bombeiros.sp.gov.br/hidrantes/03individual/1021.html","1021")</f>
      </c>
      <c r="B1974" t="s">
        <v>114</v>
      </c>
      <c r="C1974" t="s">
        <v>333</v>
      </c>
      <c r="D1974" t="s">
        <v>407</v>
      </c>
      <c r="E1974" t="s">
        <v>64</v>
      </c>
      <c r="F1974" t="s">
        <v>6587</v>
      </c>
      <c r="G1974" t="s">
        <v>18089</v>
      </c>
      <c r="H1974" t="s">
        <v>1121</v>
      </c>
      <c r="I1974" t="s">
        <v>1117</v>
      </c>
      <c r="J1974" t="s">
        <v>6588</v>
      </c>
      <c r="K1974" t="s">
        <v>6589</v>
      </c>
      <c r="L1974" t="s">
        <v>36</v>
      </c>
      <c r="M1974" t="s">
        <v>19177</v>
      </c>
      <c r="N1974" t="s">
        <v>300</v>
      </c>
      <c r="O1974" t="s">
        <v>16373</v>
      </c>
      <c r="P1974" t="s">
        <v>12</v>
      </c>
    </row>
    <row r="1975">
      <c r="A1975">
        <f>HYPERLINK("http://bombeiros.sp.gov.br/hidrantes/03individual/1022.html","1022")</f>
      </c>
      <c r="B1975" t="s">
        <v>114</v>
      </c>
      <c r="C1975" t="s">
        <v>333</v>
      </c>
      <c r="D1975" t="s">
        <v>407</v>
      </c>
      <c r="E1975" t="s">
        <v>64</v>
      </c>
      <c r="F1975" t="s">
        <v>6590</v>
      </c>
      <c r="G1975" t="s">
        <v>18075</v>
      </c>
      <c r="H1975" t="s">
        <v>1107</v>
      </c>
      <c r="I1975" t="s">
        <v>1108</v>
      </c>
      <c r="J1975" t="s">
        <v>6591</v>
      </c>
      <c r="K1975" t="s">
        <v>6592</v>
      </c>
      <c r="L1975" t="s">
        <v>36</v>
      </c>
      <c r="M1975" t="s">
        <v>19177</v>
      </c>
      <c r="N1975" t="s">
        <v>300</v>
      </c>
      <c r="O1975" t="s">
        <v>16373</v>
      </c>
      <c r="P1975" t="s">
        <v>12</v>
      </c>
    </row>
    <row r="1976">
      <c r="A1976">
        <f>HYPERLINK("http://bombeiros.sp.gov.br/hidrantes/03individual/1023.html","1023")</f>
      </c>
      <c r="B1976" t="s">
        <v>114</v>
      </c>
      <c r="C1976" t="s">
        <v>333</v>
      </c>
      <c r="D1976" t="s">
        <v>407</v>
      </c>
      <c r="E1976" t="s">
        <v>64</v>
      </c>
      <c r="F1976" t="s">
        <v>6593</v>
      </c>
      <c r="G1976" t="s">
        <v>18089</v>
      </c>
      <c r="H1976" t="s">
        <v>1112</v>
      </c>
      <c r="I1976" t="s">
        <v>1108</v>
      </c>
      <c r="J1976" t="s">
        <v>6594</v>
      </c>
      <c r="K1976" t="s">
        <v>6595</v>
      </c>
      <c r="L1976" t="s">
        <v>21</v>
      </c>
      <c r="M1976" t="s">
        <v>19177</v>
      </c>
      <c r="N1976" t="s">
        <v>300</v>
      </c>
      <c r="O1976" t="s">
        <v>16373</v>
      </c>
      <c r="P1976" t="s">
        <v>12</v>
      </c>
    </row>
    <row r="1977">
      <c r="A1977">
        <f>HYPERLINK("http://bombeiros.sp.gov.br/hidrantes/03individual/1024.html","1024")</f>
      </c>
      <c r="B1977" t="s">
        <v>114</v>
      </c>
      <c r="C1977" t="s">
        <v>333</v>
      </c>
      <c r="D1977" t="s">
        <v>407</v>
      </c>
      <c r="E1977" t="s">
        <v>64</v>
      </c>
      <c r="F1977" t="s">
        <v>6596</v>
      </c>
      <c r="G1977" t="s">
        <v>18082</v>
      </c>
      <c r="H1977" t="s">
        <v>1174</v>
      </c>
      <c r="I1977" t="s">
        <v>1108</v>
      </c>
      <c r="J1977" t="s">
        <v>6597</v>
      </c>
      <c r="K1977" t="s">
        <v>6598</v>
      </c>
      <c r="L1977" t="s">
        <v>36</v>
      </c>
      <c r="M1977" t="s">
        <v>19177</v>
      </c>
      <c r="N1977" t="s">
        <v>300</v>
      </c>
      <c r="O1977" t="s">
        <v>16373</v>
      </c>
      <c r="P1977" t="s">
        <v>12</v>
      </c>
    </row>
    <row r="1978">
      <c r="A1978">
        <f>HYPERLINK("http://bombeiros.sp.gov.br/hidrantes/03individual/3321.html","3321")</f>
      </c>
      <c r="B1978" t="s">
        <v>114</v>
      </c>
      <c r="C1978" t="s">
        <v>333</v>
      </c>
      <c r="D1978" t="s">
        <v>407</v>
      </c>
      <c r="E1978" t="s">
        <v>64</v>
      </c>
      <c r="F1978" t="s">
        <v>6599</v>
      </c>
      <c r="G1978" t="s">
        <v>18089</v>
      </c>
      <c r="H1978" t="s">
        <v>1112</v>
      </c>
      <c r="I1978" t="s">
        <v>1108</v>
      </c>
      <c r="J1978" t="s">
        <v>6600</v>
      </c>
      <c r="K1978" t="s">
        <v>6601</v>
      </c>
      <c r="L1978" t="s">
        <v>36</v>
      </c>
      <c r="M1978" t="s">
        <v>19177</v>
      </c>
      <c r="N1978" t="s">
        <v>300</v>
      </c>
      <c r="O1978" t="s">
        <v>16373</v>
      </c>
      <c r="P1978" t="s">
        <v>12</v>
      </c>
    </row>
    <row r="1979">
      <c r="A1979">
        <f>HYPERLINK("http://bombeiros.sp.gov.br/hidrantes/03individual/3327.html","3327")</f>
      </c>
      <c r="B1979" t="s">
        <v>114</v>
      </c>
      <c r="C1979" t="s">
        <v>333</v>
      </c>
      <c r="D1979" t="s">
        <v>407</v>
      </c>
      <c r="E1979" t="s">
        <v>64</v>
      </c>
      <c r="F1979" t="s">
        <v>6602</v>
      </c>
      <c r="G1979" t="s">
        <v>18130</v>
      </c>
      <c r="H1979" t="s">
        <v>1121</v>
      </c>
      <c r="I1979" t="s">
        <v>1117</v>
      </c>
      <c r="J1979" t="s">
        <v>6603</v>
      </c>
      <c r="K1979" t="s">
        <v>6604</v>
      </c>
      <c r="L1979" t="s">
        <v>36</v>
      </c>
      <c r="M1979" t="s">
        <v>19177</v>
      </c>
      <c r="N1979" t="s">
        <v>300</v>
      </c>
      <c r="O1979" t="s">
        <v>16373</v>
      </c>
      <c r="P1979" t="s">
        <v>12</v>
      </c>
    </row>
    <row r="1980">
      <c r="A1980">
        <f>HYPERLINK("http://bombeiros.sp.gov.br/hidrantes/03individual/3330.html","3330")</f>
      </c>
      <c r="B1980" t="s">
        <v>114</v>
      </c>
      <c r="C1980" t="s">
        <v>333</v>
      </c>
      <c r="D1980" t="s">
        <v>407</v>
      </c>
      <c r="E1980" t="s">
        <v>64</v>
      </c>
      <c r="F1980" t="s">
        <v>6605</v>
      </c>
      <c r="G1980" t="s">
        <v>18089</v>
      </c>
      <c r="H1980" t="s">
        <v>1112</v>
      </c>
      <c r="I1980" t="s">
        <v>1108</v>
      </c>
      <c r="J1980" t="s">
        <v>6607</v>
      </c>
      <c r="K1980" t="s">
        <v>6608</v>
      </c>
      <c r="L1980" t="s">
        <v>21</v>
      </c>
      <c r="M1980" t="s">
        <v>19177</v>
      </c>
      <c r="N1980" t="s">
        <v>300</v>
      </c>
      <c r="O1980" t="s">
        <v>16373</v>
      </c>
      <c r="P1980" t="s">
        <v>12</v>
      </c>
    </row>
    <row r="1981">
      <c r="A1981">
        <f>HYPERLINK("http://bombeiros.sp.gov.br/hidrantes/03individual/5643.html","5643")</f>
      </c>
      <c r="B1981" t="s">
        <v>114</v>
      </c>
      <c r="C1981" t="s">
        <v>333</v>
      </c>
      <c r="D1981" t="s">
        <v>407</v>
      </c>
      <c r="E1981" t="s">
        <v>64</v>
      </c>
      <c r="F1981" t="s">
        <v>6609</v>
      </c>
      <c r="G1981" t="s">
        <v>18130</v>
      </c>
      <c r="H1981" t="s">
        <v>1107</v>
      </c>
      <c r="I1981" t="s">
        <v>1117</v>
      </c>
      <c r="J1981" t="s">
        <v>6610</v>
      </c>
      <c r="K1981" t="s">
        <v>6611</v>
      </c>
      <c r="L1981" t="s">
        <v>21</v>
      </c>
      <c r="M1981" t="s">
        <v>19177</v>
      </c>
      <c r="N1981" t="s">
        <v>300</v>
      </c>
      <c r="O1981" t="s">
        <v>16373</v>
      </c>
      <c r="P1981" t="s">
        <v>12</v>
      </c>
    </row>
    <row r="1982">
      <c r="A1982">
        <f>HYPERLINK("http://bombeiros.sp.gov.br/hidrantes/03individual/16475.html","16475")</f>
      </c>
      <c r="B1982" t="s">
        <v>114</v>
      </c>
      <c r="C1982" t="s">
        <v>333</v>
      </c>
      <c r="D1982" t="s">
        <v>407</v>
      </c>
      <c r="E1982" t="s">
        <v>64</v>
      </c>
      <c r="F1982" t="s">
        <v>6612</v>
      </c>
      <c r="G1982" t="s">
        <v>18074</v>
      </c>
      <c r="H1982" t="s">
        <v>1112</v>
      </c>
      <c r="I1982" t="s">
        <v>1108</v>
      </c>
      <c r="J1982" t="s">
        <v>6613</v>
      </c>
      <c r="K1982" t="s">
        <v>6614</v>
      </c>
      <c r="L1982" t="s">
        <v>21</v>
      </c>
      <c r="M1982" t="s">
        <v>19177</v>
      </c>
      <c r="N1982" t="s">
        <v>300</v>
      </c>
      <c r="O1982" t="s">
        <v>16373</v>
      </c>
      <c r="P1982" t="s">
        <v>12</v>
      </c>
    </row>
    <row r="1983">
      <c r="A1983">
        <f>HYPERLINK("http://bombeiros.sp.gov.br/hidrantes/03individual/26432.html","26432")</f>
      </c>
      <c r="B1983" t="s">
        <v>114</v>
      </c>
      <c r="C1983" t="s">
        <v>333</v>
      </c>
      <c r="D1983" t="s">
        <v>407</v>
      </c>
      <c r="E1983" t="s">
        <v>64</v>
      </c>
      <c r="F1983" t="s">
        <v>6615</v>
      </c>
      <c r="G1983" t="s">
        <v>18074</v>
      </c>
      <c r="H1983" t="s">
        <v>1107</v>
      </c>
      <c r="I1983" t="s">
        <v>1108</v>
      </c>
      <c r="J1983" t="s">
        <v>6616</v>
      </c>
      <c r="K1983" t="s">
        <v>6617</v>
      </c>
      <c r="L1983" t="s">
        <v>21</v>
      </c>
      <c r="M1983" t="s">
        <v>19177</v>
      </c>
      <c r="N1983" t="s">
        <v>300</v>
      </c>
      <c r="O1983" t="s">
        <v>16373</v>
      </c>
      <c r="P1983" t="s">
        <v>12</v>
      </c>
    </row>
    <row r="1984">
      <c r="A1984">
        <f>HYPERLINK("http://bombeiros.sp.gov.br/hidrantes/03individual/26433.html","26433")</f>
      </c>
      <c r="B1984" t="s">
        <v>114</v>
      </c>
      <c r="C1984" t="s">
        <v>333</v>
      </c>
      <c r="D1984" t="s">
        <v>407</v>
      </c>
      <c r="E1984" t="s">
        <v>64</v>
      </c>
      <c r="F1984" t="s">
        <v>6615</v>
      </c>
      <c r="G1984" t="s">
        <v>18074</v>
      </c>
      <c r="H1984" t="s">
        <v>1121</v>
      </c>
      <c r="I1984" t="s">
        <v>1117</v>
      </c>
      <c r="J1984" t="s">
        <v>6618</v>
      </c>
      <c r="K1984" t="s">
        <v>6619</v>
      </c>
      <c r="L1984" t="s">
        <v>21</v>
      </c>
      <c r="M1984" t="s">
        <v>19177</v>
      </c>
      <c r="N1984" t="s">
        <v>300</v>
      </c>
      <c r="O1984" t="s">
        <v>16373</v>
      </c>
      <c r="P1984" t="s">
        <v>12</v>
      </c>
    </row>
    <row r="1985">
      <c r="A1985">
        <f>HYPERLINK("http://bombeiros.sp.gov.br/hidrantes/03individual/26434.html","26434")</f>
      </c>
      <c r="B1985" t="s">
        <v>114</v>
      </c>
      <c r="C1985" t="s">
        <v>333</v>
      </c>
      <c r="D1985" t="s">
        <v>407</v>
      </c>
      <c r="E1985" t="s">
        <v>64</v>
      </c>
      <c r="F1985" t="s">
        <v>6615</v>
      </c>
      <c r="G1985" t="s">
        <v>18074</v>
      </c>
      <c r="H1985" t="s">
        <v>1107</v>
      </c>
      <c r="I1985" t="s">
        <v>1108</v>
      </c>
      <c r="J1985" t="s">
        <v>6620</v>
      </c>
      <c r="K1985" t="s">
        <v>6621</v>
      </c>
      <c r="L1985" t="s">
        <v>21</v>
      </c>
      <c r="M1985" t="s">
        <v>19177</v>
      </c>
      <c r="N1985" t="s">
        <v>300</v>
      </c>
      <c r="O1985" t="s">
        <v>16373</v>
      </c>
      <c r="P1985" t="s">
        <v>12</v>
      </c>
    </row>
    <row r="1986">
      <c r="A1986">
        <f>HYPERLINK("http://bombeiros.sp.gov.br/hidrantes/03individual/26435.html","26435")</f>
      </c>
      <c r="B1986" t="s">
        <v>114</v>
      </c>
      <c r="C1986" t="s">
        <v>333</v>
      </c>
      <c r="D1986" t="s">
        <v>407</v>
      </c>
      <c r="E1986" t="s">
        <v>64</v>
      </c>
      <c r="F1986" t="s">
        <v>6615</v>
      </c>
      <c r="G1986" t="s">
        <v>18074</v>
      </c>
      <c r="H1986" t="s">
        <v>1174</v>
      </c>
      <c r="I1986" t="s">
        <v>1117</v>
      </c>
      <c r="J1986" t="s">
        <v>6622</v>
      </c>
      <c r="K1986" t="s">
        <v>6623</v>
      </c>
      <c r="L1986" t="s">
        <v>21</v>
      </c>
      <c r="M1986" t="s">
        <v>19177</v>
      </c>
      <c r="N1986" t="s">
        <v>300</v>
      </c>
      <c r="O1986" t="s">
        <v>16373</v>
      </c>
      <c r="P1986" t="s">
        <v>12</v>
      </c>
    </row>
    <row r="1987">
      <c r="A1987">
        <f>HYPERLINK("http://bombeiros.sp.gov.br/hidrantes/03individual/26436.html","26436")</f>
      </c>
      <c r="B1987" t="s">
        <v>114</v>
      </c>
      <c r="C1987" t="s">
        <v>333</v>
      </c>
      <c r="D1987" t="s">
        <v>407</v>
      </c>
      <c r="E1987" t="s">
        <v>64</v>
      </c>
      <c r="F1987" t="s">
        <v>6624</v>
      </c>
      <c r="G1987" t="s">
        <v>18074</v>
      </c>
      <c r="H1987" t="s">
        <v>1121</v>
      </c>
      <c r="I1987" t="s">
        <v>1117</v>
      </c>
      <c r="J1987" t="s">
        <v>6625</v>
      </c>
      <c r="K1987" t="s">
        <v>6626</v>
      </c>
      <c r="L1987" t="s">
        <v>21</v>
      </c>
      <c r="M1987" t="s">
        <v>19177</v>
      </c>
      <c r="N1987" t="s">
        <v>300</v>
      </c>
      <c r="O1987" t="s">
        <v>16373</v>
      </c>
      <c r="P1987" t="s">
        <v>12</v>
      </c>
    </row>
    <row r="1988">
      <c r="A1988">
        <f>HYPERLINK("http://bombeiros.sp.gov.br/hidrantes/03individual/26781.html","26781")</f>
      </c>
      <c r="B1988" t="s">
        <v>114</v>
      </c>
      <c r="C1988" t="s">
        <v>333</v>
      </c>
      <c r="D1988" t="s">
        <v>407</v>
      </c>
      <c r="E1988" t="s">
        <v>64</v>
      </c>
      <c r="F1988" t="s">
        <v>6627</v>
      </c>
      <c r="G1988" t="s">
        <v>18075</v>
      </c>
      <c r="H1988" t="s">
        <v>1112</v>
      </c>
      <c r="I1988" t="s">
        <v>1108</v>
      </c>
      <c r="J1988" t="s">
        <v>6628</v>
      </c>
      <c r="K1988" t="s">
        <v>6629</v>
      </c>
      <c r="L1988" t="s">
        <v>21</v>
      </c>
      <c r="M1988" t="s">
        <v>19177</v>
      </c>
      <c r="N1988" t="s">
        <v>300</v>
      </c>
      <c r="O1988" t="s">
        <v>16373</v>
      </c>
      <c r="P1988" t="s">
        <v>12</v>
      </c>
    </row>
    <row r="1989">
      <c r="A1989">
        <f>HYPERLINK("http://bombeiros.sp.gov.br/hidrantes/03individual/28571.html","28571")</f>
      </c>
      <c r="B1989" t="s">
        <v>114</v>
      </c>
      <c r="C1989" t="s">
        <v>333</v>
      </c>
      <c r="D1989" t="s">
        <v>407</v>
      </c>
      <c r="E1989" t="s">
        <v>64</v>
      </c>
      <c r="F1989" t="s">
        <v>19019</v>
      </c>
      <c r="G1989"/>
      <c r="H1989"/>
      <c r="I1989" t="s">
        <v>1503</v>
      </c>
      <c r="J1989" t="s">
        <v>19020</v>
      </c>
      <c r="K1989" t="s">
        <v>19021</v>
      </c>
      <c r="L1989" t="s">
        <v>21</v>
      </c>
      <c r="M1989" t="s">
        <v>19177</v>
      </c>
      <c r="N1989" t="s">
        <v>300</v>
      </c>
      <c r="O1989" t="s">
        <v>16373</v>
      </c>
      <c r="P1989" t="s">
        <v>12</v>
      </c>
    </row>
    <row r="1990">
      <c r="A1990">
        <f>HYPERLINK("http://bombeiros.sp.gov.br/hidrantes/03individual/28572.html","28572")</f>
      </c>
      <c r="B1990" t="s">
        <v>114</v>
      </c>
      <c r="C1990" t="s">
        <v>333</v>
      </c>
      <c r="D1990" t="s">
        <v>407</v>
      </c>
      <c r="E1990" t="s">
        <v>64</v>
      </c>
      <c r="F1990" t="s">
        <v>19022</v>
      </c>
      <c r="G1990"/>
      <c r="H1990"/>
      <c r="I1990" t="s">
        <v>1503</v>
      </c>
      <c r="J1990" t="s">
        <v>19023</v>
      </c>
      <c r="K1990" t="s">
        <v>19024</v>
      </c>
      <c r="L1990" t="s">
        <v>21</v>
      </c>
      <c r="M1990" t="s">
        <v>19177</v>
      </c>
      <c r="N1990" t="s">
        <v>300</v>
      </c>
      <c r="O1990" t="s">
        <v>16373</v>
      </c>
      <c r="P1990" t="s">
        <v>12</v>
      </c>
    </row>
    <row r="1991">
      <c r="A1991">
        <f>HYPERLINK("http://bombeiros.sp.gov.br/hidrantes/03individual/28599.html","28599")</f>
      </c>
      <c r="B1991" t="s">
        <v>114</v>
      </c>
      <c r="C1991" t="s">
        <v>333</v>
      </c>
      <c r="D1991" t="s">
        <v>407</v>
      </c>
      <c r="E1991" t="s">
        <v>64</v>
      </c>
      <c r="F1991" t="s">
        <v>19073</v>
      </c>
      <c r="G1991"/>
      <c r="H1991"/>
      <c r="I1991" t="s">
        <v>1503</v>
      </c>
      <c r="J1991" t="s">
        <v>19074</v>
      </c>
      <c r="K1991" t="s">
        <v>19075</v>
      </c>
      <c r="L1991" t="s">
        <v>21</v>
      </c>
      <c r="M1991" t="s">
        <v>19177</v>
      </c>
      <c r="N1991" t="s">
        <v>300</v>
      </c>
      <c r="O1991" t="s">
        <v>16373</v>
      </c>
      <c r="P1991" t="s">
        <v>12</v>
      </c>
    </row>
    <row r="1992">
      <c r="A1992">
        <f>HYPERLINK("http://bombeiros.sp.gov.br/hidrantes/03individual/1520.html","1520")</f>
      </c>
      <c r="B1992" t="s">
        <v>114</v>
      </c>
      <c r="C1992" t="s">
        <v>333</v>
      </c>
      <c r="D1992" t="s">
        <v>407</v>
      </c>
      <c r="E1992" t="s">
        <v>15</v>
      </c>
      <c r="F1992" t="s">
        <v>6630</v>
      </c>
      <c r="G1992" t="s">
        <v>18075</v>
      </c>
      <c r="H1992" t="s">
        <v>1112</v>
      </c>
      <c r="I1992" t="s">
        <v>1108</v>
      </c>
      <c r="J1992" t="s">
        <v>6631</v>
      </c>
      <c r="K1992" t="s">
        <v>6632</v>
      </c>
      <c r="L1992" t="s">
        <v>21</v>
      </c>
      <c r="M1992" t="s">
        <v>19177</v>
      </c>
      <c r="N1992" t="s">
        <v>300</v>
      </c>
      <c r="O1992" t="s">
        <v>16373</v>
      </c>
      <c r="P1992" t="s">
        <v>12</v>
      </c>
    </row>
    <row r="1993">
      <c r="A1993">
        <f>HYPERLINK("http://bombeiros.sp.gov.br/hidrantes/03individual/1661.html","1661")</f>
      </c>
      <c r="B1993" t="s">
        <v>114</v>
      </c>
      <c r="C1993" t="s">
        <v>333</v>
      </c>
      <c r="D1993" t="s">
        <v>407</v>
      </c>
      <c r="E1993" t="s">
        <v>15</v>
      </c>
      <c r="F1993" t="s">
        <v>408</v>
      </c>
      <c r="G1993" t="s">
        <v>18076</v>
      </c>
      <c r="H1993" t="s">
        <v>1107</v>
      </c>
      <c r="I1993" t="s">
        <v>1108</v>
      </c>
      <c r="J1993" t="s">
        <v>409</v>
      </c>
      <c r="K1993" t="s">
        <v>410</v>
      </c>
      <c r="L1993" t="s">
        <v>21</v>
      </c>
      <c r="M1993" t="s">
        <v>19177</v>
      </c>
      <c r="N1993" t="s">
        <v>300</v>
      </c>
      <c r="O1993" t="s">
        <v>16373</v>
      </c>
      <c r="P1993" t="s">
        <v>12</v>
      </c>
    </row>
    <row r="1994">
      <c r="A1994">
        <f>HYPERLINK("http://bombeiros.sp.gov.br/hidrantes/03individual/1750.html","1750")</f>
      </c>
      <c r="B1994" t="s">
        <v>114</v>
      </c>
      <c r="C1994" t="s">
        <v>333</v>
      </c>
      <c r="D1994" t="s">
        <v>407</v>
      </c>
      <c r="E1994" t="s">
        <v>15</v>
      </c>
      <c r="F1994" t="s">
        <v>6633</v>
      </c>
      <c r="G1994" t="s">
        <v>18076</v>
      </c>
      <c r="H1994" t="s">
        <v>1112</v>
      </c>
      <c r="I1994" t="s">
        <v>1108</v>
      </c>
      <c r="J1994" t="s">
        <v>6634</v>
      </c>
      <c r="K1994" t="s">
        <v>6635</v>
      </c>
      <c r="L1994" t="s">
        <v>21</v>
      </c>
      <c r="M1994" t="s">
        <v>19177</v>
      </c>
      <c r="N1994" t="s">
        <v>300</v>
      </c>
      <c r="O1994" t="s">
        <v>16373</v>
      </c>
      <c r="P1994" t="s">
        <v>12</v>
      </c>
    </row>
    <row r="1995">
      <c r="A1995">
        <f>HYPERLINK("http://bombeiros.sp.gov.br/hidrantes/03individual/3106.html","3106")</f>
      </c>
      <c r="B1995" t="s">
        <v>114</v>
      </c>
      <c r="C1995" t="s">
        <v>333</v>
      </c>
      <c r="D1995" t="s">
        <v>407</v>
      </c>
      <c r="E1995" t="s">
        <v>15</v>
      </c>
      <c r="F1995" t="s">
        <v>6636</v>
      </c>
      <c r="G1995" t="s">
        <v>18082</v>
      </c>
      <c r="H1995" t="s">
        <v>1112</v>
      </c>
      <c r="I1995" t="s">
        <v>1108</v>
      </c>
      <c r="J1995" t="s">
        <v>6637</v>
      </c>
      <c r="K1995" t="s">
        <v>6638</v>
      </c>
      <c r="L1995" t="s">
        <v>21</v>
      </c>
      <c r="M1995" t="s">
        <v>19177</v>
      </c>
      <c r="N1995" t="s">
        <v>300</v>
      </c>
      <c r="O1995" t="s">
        <v>16373</v>
      </c>
      <c r="P1995" t="s">
        <v>12</v>
      </c>
    </row>
    <row r="1996">
      <c r="A1996">
        <f>HYPERLINK("http://bombeiros.sp.gov.br/hidrantes/03individual/3107.html","3107")</f>
      </c>
      <c r="B1996" t="s">
        <v>114</v>
      </c>
      <c r="C1996" t="s">
        <v>333</v>
      </c>
      <c r="D1996" t="s">
        <v>407</v>
      </c>
      <c r="E1996" t="s">
        <v>15</v>
      </c>
      <c r="F1996" t="s">
        <v>411</v>
      </c>
      <c r="G1996" t="s">
        <v>18076</v>
      </c>
      <c r="H1996" t="s">
        <v>1121</v>
      </c>
      <c r="I1996" t="s">
        <v>1117</v>
      </c>
      <c r="J1996" t="s">
        <v>412</v>
      </c>
      <c r="K1996" t="s">
        <v>413</v>
      </c>
      <c r="L1996" t="s">
        <v>21</v>
      </c>
      <c r="M1996" t="s">
        <v>19177</v>
      </c>
      <c r="N1996" t="s">
        <v>300</v>
      </c>
      <c r="O1996" t="s">
        <v>16373</v>
      </c>
      <c r="P1996" t="s">
        <v>12</v>
      </c>
    </row>
    <row r="1997">
      <c r="A1997">
        <f>HYPERLINK("http://bombeiros.sp.gov.br/hidrantes/03individual/3110.html","3110")</f>
      </c>
      <c r="B1997" t="s">
        <v>114</v>
      </c>
      <c r="C1997" t="s">
        <v>333</v>
      </c>
      <c r="D1997" t="s">
        <v>407</v>
      </c>
      <c r="E1997" t="s">
        <v>15</v>
      </c>
      <c r="F1997" t="s">
        <v>6639</v>
      </c>
      <c r="G1997" t="s">
        <v>18076</v>
      </c>
      <c r="H1997" t="s">
        <v>1112</v>
      </c>
      <c r="I1997" t="s">
        <v>1108</v>
      </c>
      <c r="J1997" t="s">
        <v>6640</v>
      </c>
      <c r="K1997" t="s">
        <v>6641</v>
      </c>
      <c r="L1997" t="s">
        <v>21</v>
      </c>
      <c r="M1997" t="s">
        <v>19177</v>
      </c>
      <c r="N1997" t="s">
        <v>300</v>
      </c>
      <c r="O1997" t="s">
        <v>16373</v>
      </c>
      <c r="P1997" t="s">
        <v>12</v>
      </c>
    </row>
    <row r="1998">
      <c r="A1998">
        <f>HYPERLINK("http://bombeiros.sp.gov.br/hidrantes/03individual/3111.html","3111")</f>
      </c>
      <c r="B1998" t="s">
        <v>114</v>
      </c>
      <c r="C1998" t="s">
        <v>333</v>
      </c>
      <c r="D1998" t="s">
        <v>407</v>
      </c>
      <c r="E1998" t="s">
        <v>15</v>
      </c>
      <c r="F1998" t="s">
        <v>6642</v>
      </c>
      <c r="G1998" t="s">
        <v>18076</v>
      </c>
      <c r="H1998" t="s">
        <v>1112</v>
      </c>
      <c r="I1998" t="s">
        <v>1108</v>
      </c>
      <c r="J1998" t="s">
        <v>6643</v>
      </c>
      <c r="K1998" t="s">
        <v>6644</v>
      </c>
      <c r="L1998" t="s">
        <v>21</v>
      </c>
      <c r="M1998" t="s">
        <v>19177</v>
      </c>
      <c r="N1998" t="s">
        <v>300</v>
      </c>
      <c r="O1998" t="s">
        <v>16373</v>
      </c>
      <c r="P1998" t="s">
        <v>12</v>
      </c>
    </row>
    <row r="1999">
      <c r="A1999">
        <f>HYPERLINK("http://bombeiros.sp.gov.br/hidrantes/03individual/3112.html","3112")</f>
      </c>
      <c r="B1999" t="s">
        <v>114</v>
      </c>
      <c r="C1999" t="s">
        <v>333</v>
      </c>
      <c r="D1999" t="s">
        <v>407</v>
      </c>
      <c r="E1999" t="s">
        <v>15</v>
      </c>
      <c r="F1999" t="s">
        <v>6645</v>
      </c>
      <c r="G1999" t="s">
        <v>18082</v>
      </c>
      <c r="H1999" t="s">
        <v>1107</v>
      </c>
      <c r="I1999" t="s">
        <v>1108</v>
      </c>
      <c r="J1999" t="s">
        <v>6646</v>
      </c>
      <c r="K1999" t="s">
        <v>6647</v>
      </c>
      <c r="L1999" t="s">
        <v>21</v>
      </c>
      <c r="M1999" t="s">
        <v>19177</v>
      </c>
      <c r="N1999" t="s">
        <v>300</v>
      </c>
      <c r="O1999" t="s">
        <v>16373</v>
      </c>
      <c r="P1999" t="s">
        <v>12</v>
      </c>
    </row>
    <row r="2000">
      <c r="A2000">
        <f>HYPERLINK("http://bombeiros.sp.gov.br/hidrantes/03individual/3113.html","3113")</f>
      </c>
      <c r="B2000" t="s">
        <v>114</v>
      </c>
      <c r="C2000" t="s">
        <v>333</v>
      </c>
      <c r="D2000" t="s">
        <v>407</v>
      </c>
      <c r="E2000" t="s">
        <v>15</v>
      </c>
      <c r="F2000" t="s">
        <v>6648</v>
      </c>
      <c r="G2000" t="s">
        <v>18130</v>
      </c>
      <c r="H2000" t="s">
        <v>1112</v>
      </c>
      <c r="I2000" t="s">
        <v>1108</v>
      </c>
      <c r="J2000" t="s">
        <v>6649</v>
      </c>
      <c r="K2000" t="s">
        <v>6650</v>
      </c>
      <c r="L2000" t="s">
        <v>21</v>
      </c>
      <c r="M2000" t="s">
        <v>19177</v>
      </c>
      <c r="N2000" t="s">
        <v>300</v>
      </c>
      <c r="O2000" t="s">
        <v>16373</v>
      </c>
      <c r="P2000" t="s">
        <v>12</v>
      </c>
    </row>
    <row r="2001">
      <c r="A2001">
        <f>HYPERLINK("http://bombeiros.sp.gov.br/hidrantes/03individual/3116.html","3116")</f>
      </c>
      <c r="B2001" t="s">
        <v>114</v>
      </c>
      <c r="C2001" t="s">
        <v>333</v>
      </c>
      <c r="D2001" t="s">
        <v>407</v>
      </c>
      <c r="E2001" t="s">
        <v>15</v>
      </c>
      <c r="F2001" t="s">
        <v>6651</v>
      </c>
      <c r="G2001" t="s">
        <v>18076</v>
      </c>
      <c r="H2001" t="s">
        <v>1107</v>
      </c>
      <c r="I2001" t="s">
        <v>1108</v>
      </c>
      <c r="J2001" t="s">
        <v>6652</v>
      </c>
      <c r="K2001" t="s">
        <v>6653</v>
      </c>
      <c r="L2001" t="s">
        <v>21</v>
      </c>
      <c r="M2001" t="s">
        <v>19177</v>
      </c>
      <c r="N2001" t="s">
        <v>300</v>
      </c>
      <c r="O2001" t="s">
        <v>16373</v>
      </c>
      <c r="P2001" t="s">
        <v>12</v>
      </c>
    </row>
    <row r="2002">
      <c r="A2002">
        <f>HYPERLINK("http://bombeiros.sp.gov.br/hidrantes/03individual/3117.html","3117")</f>
      </c>
      <c r="B2002" t="s">
        <v>114</v>
      </c>
      <c r="C2002" t="s">
        <v>333</v>
      </c>
      <c r="D2002" t="s">
        <v>407</v>
      </c>
      <c r="E2002" t="s">
        <v>15</v>
      </c>
      <c r="F2002" t="s">
        <v>6654</v>
      </c>
      <c r="G2002" t="s">
        <v>18076</v>
      </c>
      <c r="H2002" t="s">
        <v>1112</v>
      </c>
      <c r="I2002" t="s">
        <v>1108</v>
      </c>
      <c r="J2002" t="s">
        <v>6655</v>
      </c>
      <c r="K2002" t="s">
        <v>6656</v>
      </c>
      <c r="L2002" t="s">
        <v>21</v>
      </c>
      <c r="M2002" t="s">
        <v>19177</v>
      </c>
      <c r="N2002" t="s">
        <v>300</v>
      </c>
      <c r="O2002" t="s">
        <v>16373</v>
      </c>
      <c r="P2002" t="s">
        <v>12</v>
      </c>
    </row>
    <row r="2003">
      <c r="A2003">
        <f>HYPERLINK("http://bombeiros.sp.gov.br/hidrantes/03individual/3120.html","3120")</f>
      </c>
      <c r="B2003" t="s">
        <v>114</v>
      </c>
      <c r="C2003" t="s">
        <v>333</v>
      </c>
      <c r="D2003" t="s">
        <v>407</v>
      </c>
      <c r="E2003" t="s">
        <v>15</v>
      </c>
      <c r="F2003" t="s">
        <v>6657</v>
      </c>
      <c r="G2003" t="s">
        <v>18045</v>
      </c>
      <c r="H2003" t="s">
        <v>1112</v>
      </c>
      <c r="I2003" t="s">
        <v>1108</v>
      </c>
      <c r="J2003" t="s">
        <v>6658</v>
      </c>
      <c r="K2003" t="s">
        <v>6659</v>
      </c>
      <c r="L2003" t="s">
        <v>21</v>
      </c>
      <c r="M2003" t="s">
        <v>19177</v>
      </c>
      <c r="N2003" t="s">
        <v>300</v>
      </c>
      <c r="O2003" t="s">
        <v>16373</v>
      </c>
      <c r="P2003" t="s">
        <v>12</v>
      </c>
    </row>
    <row r="2004">
      <c r="A2004">
        <f>HYPERLINK("http://bombeiros.sp.gov.br/hidrantes/03individual/3121.html","3121")</f>
      </c>
      <c r="B2004" t="s">
        <v>114</v>
      </c>
      <c r="C2004" t="s">
        <v>333</v>
      </c>
      <c r="D2004" t="s">
        <v>407</v>
      </c>
      <c r="E2004" t="s">
        <v>15</v>
      </c>
      <c r="F2004" t="s">
        <v>6660</v>
      </c>
      <c r="G2004" t="s">
        <v>18076</v>
      </c>
      <c r="H2004" t="s">
        <v>1112</v>
      </c>
      <c r="I2004" t="s">
        <v>1108</v>
      </c>
      <c r="J2004" t="s">
        <v>6661</v>
      </c>
      <c r="K2004" t="s">
        <v>6662</v>
      </c>
      <c r="L2004" t="s">
        <v>21</v>
      </c>
      <c r="M2004" t="s">
        <v>19177</v>
      </c>
      <c r="N2004" t="s">
        <v>300</v>
      </c>
      <c r="O2004" t="s">
        <v>16373</v>
      </c>
      <c r="P2004" t="s">
        <v>12</v>
      </c>
    </row>
    <row r="2005">
      <c r="A2005">
        <f>HYPERLINK("http://bombeiros.sp.gov.br/hidrantes/03individual/3309.html","3309")</f>
      </c>
      <c r="B2005" t="s">
        <v>114</v>
      </c>
      <c r="C2005" t="s">
        <v>333</v>
      </c>
      <c r="D2005" t="s">
        <v>407</v>
      </c>
      <c r="E2005" t="s">
        <v>15</v>
      </c>
      <c r="F2005" t="s">
        <v>6663</v>
      </c>
      <c r="G2005" t="s">
        <v>18076</v>
      </c>
      <c r="H2005" t="s">
        <v>1112</v>
      </c>
      <c r="I2005" t="s">
        <v>1108</v>
      </c>
      <c r="J2005" t="s">
        <v>6664</v>
      </c>
      <c r="K2005" t="s">
        <v>6665</v>
      </c>
      <c r="L2005" t="s">
        <v>21</v>
      </c>
      <c r="M2005" t="s">
        <v>19177</v>
      </c>
      <c r="N2005" t="s">
        <v>300</v>
      </c>
      <c r="O2005" t="s">
        <v>16373</v>
      </c>
      <c r="P2005" t="s">
        <v>12</v>
      </c>
    </row>
    <row r="2006">
      <c r="A2006">
        <f>HYPERLINK("http://bombeiros.sp.gov.br/hidrantes/03individual/3329.html","3329")</f>
      </c>
      <c r="B2006" t="s">
        <v>114</v>
      </c>
      <c r="C2006" t="s">
        <v>333</v>
      </c>
      <c r="D2006" t="s">
        <v>407</v>
      </c>
      <c r="E2006" t="s">
        <v>15</v>
      </c>
      <c r="F2006" t="s">
        <v>414</v>
      </c>
      <c r="G2006" t="s">
        <v>18075</v>
      </c>
      <c r="H2006"/>
      <c r="I2006" t="s">
        <v>18</v>
      </c>
      <c r="J2006" t="s">
        <v>415</v>
      </c>
      <c r="K2006" t="s">
        <v>416</v>
      </c>
      <c r="L2006" t="s">
        <v>21</v>
      </c>
      <c r="M2006" t="s">
        <v>19177</v>
      </c>
      <c r="N2006" t="s">
        <v>300</v>
      </c>
      <c r="O2006" t="s">
        <v>16373</v>
      </c>
      <c r="P2006" t="s">
        <v>12</v>
      </c>
    </row>
    <row r="2007">
      <c r="A2007">
        <f>HYPERLINK("http://bombeiros.sp.gov.br/hidrantes/03individual/4302.html","4302")</f>
      </c>
      <c r="B2007" t="s">
        <v>114</v>
      </c>
      <c r="C2007" t="s">
        <v>333</v>
      </c>
      <c r="D2007" t="s">
        <v>407</v>
      </c>
      <c r="E2007" t="s">
        <v>15</v>
      </c>
      <c r="F2007" t="s">
        <v>6666</v>
      </c>
      <c r="G2007" t="s">
        <v>18130</v>
      </c>
      <c r="H2007" t="s">
        <v>1121</v>
      </c>
      <c r="I2007" t="s">
        <v>1117</v>
      </c>
      <c r="J2007" t="s">
        <v>6667</v>
      </c>
      <c r="K2007" t="s">
        <v>6668</v>
      </c>
      <c r="L2007" t="s">
        <v>21</v>
      </c>
      <c r="M2007" t="s">
        <v>19177</v>
      </c>
      <c r="N2007" t="s">
        <v>300</v>
      </c>
      <c r="O2007" t="s">
        <v>16373</v>
      </c>
      <c r="P2007" t="s">
        <v>12</v>
      </c>
    </row>
    <row r="2008">
      <c r="A2008">
        <f>HYPERLINK("http://bombeiros.sp.gov.br/hidrantes/03individual/4303.html","4303")</f>
      </c>
      <c r="B2008" t="s">
        <v>114</v>
      </c>
      <c r="C2008" t="s">
        <v>333</v>
      </c>
      <c r="D2008" t="s">
        <v>407</v>
      </c>
      <c r="E2008" t="s">
        <v>15</v>
      </c>
      <c r="F2008" t="s">
        <v>6669</v>
      </c>
      <c r="G2008" t="s">
        <v>18075</v>
      </c>
      <c r="H2008" t="s">
        <v>1107</v>
      </c>
      <c r="I2008" t="s">
        <v>1108</v>
      </c>
      <c r="J2008" t="s">
        <v>6670</v>
      </c>
      <c r="K2008" t="s">
        <v>6671</v>
      </c>
      <c r="L2008" t="s">
        <v>21</v>
      </c>
      <c r="M2008" t="s">
        <v>19177</v>
      </c>
      <c r="N2008" t="s">
        <v>300</v>
      </c>
      <c r="O2008" t="s">
        <v>16373</v>
      </c>
      <c r="P2008" t="s">
        <v>12</v>
      </c>
    </row>
    <row r="2009">
      <c r="A2009">
        <f>HYPERLINK("http://bombeiros.sp.gov.br/hidrantes/03individual/16654.html","16654")</f>
      </c>
      <c r="B2009" t="s">
        <v>114</v>
      </c>
      <c r="C2009" t="s">
        <v>333</v>
      </c>
      <c r="D2009" t="s">
        <v>407</v>
      </c>
      <c r="E2009" t="s">
        <v>15</v>
      </c>
      <c r="F2009" t="s">
        <v>6672</v>
      </c>
      <c r="G2009" t="s">
        <v>18095</v>
      </c>
      <c r="H2009" t="s">
        <v>1107</v>
      </c>
      <c r="I2009" t="s">
        <v>1108</v>
      </c>
      <c r="J2009" t="s">
        <v>15873</v>
      </c>
      <c r="K2009" t="s">
        <v>15874</v>
      </c>
      <c r="L2009" t="s">
        <v>21</v>
      </c>
      <c r="M2009" t="s">
        <v>19177</v>
      </c>
      <c r="N2009" t="s">
        <v>300</v>
      </c>
      <c r="O2009" t="s">
        <v>16373</v>
      </c>
      <c r="P2009" t="s">
        <v>12</v>
      </c>
    </row>
    <row r="2010">
      <c r="A2010">
        <f>HYPERLINK("http://bombeiros.sp.gov.br/hidrantes/03individual/989.html","989")</f>
      </c>
      <c r="B2010" t="s">
        <v>114</v>
      </c>
      <c r="C2010" t="s">
        <v>333</v>
      </c>
      <c r="D2010" t="s">
        <v>333</v>
      </c>
      <c r="E2010" t="s">
        <v>64</v>
      </c>
      <c r="F2010" t="s">
        <v>6675</v>
      </c>
      <c r="G2010" t="s">
        <v>18192</v>
      </c>
      <c r="H2010" t="s">
        <v>1112</v>
      </c>
      <c r="I2010" t="s">
        <v>1108</v>
      </c>
      <c r="J2010" t="s">
        <v>6676</v>
      </c>
      <c r="K2010" t="s">
        <v>6677</v>
      </c>
      <c r="L2010" t="s">
        <v>36</v>
      </c>
      <c r="M2010" t="s">
        <v>19177</v>
      </c>
      <c r="N2010" t="s">
        <v>300</v>
      </c>
      <c r="O2010" t="s">
        <v>16373</v>
      </c>
      <c r="P2010" t="s">
        <v>12</v>
      </c>
    </row>
    <row r="2011">
      <c r="A2011">
        <f>HYPERLINK("http://bombeiros.sp.gov.br/hidrantes/03individual/3269.html","3269")</f>
      </c>
      <c r="B2011" t="s">
        <v>114</v>
      </c>
      <c r="C2011" t="s">
        <v>333</v>
      </c>
      <c r="D2011" t="s">
        <v>333</v>
      </c>
      <c r="E2011" t="s">
        <v>64</v>
      </c>
      <c r="F2011" t="s">
        <v>6678</v>
      </c>
      <c r="G2011" t="s">
        <v>18192</v>
      </c>
      <c r="H2011" t="s">
        <v>1107</v>
      </c>
      <c r="I2011" t="s">
        <v>1108</v>
      </c>
      <c r="J2011" t="s">
        <v>6679</v>
      </c>
      <c r="K2011" t="s">
        <v>6680</v>
      </c>
      <c r="L2011" t="s">
        <v>36</v>
      </c>
      <c r="M2011" t="s">
        <v>19177</v>
      </c>
      <c r="N2011" t="s">
        <v>300</v>
      </c>
      <c r="O2011" t="s">
        <v>16373</v>
      </c>
      <c r="P2011" t="s">
        <v>12</v>
      </c>
    </row>
    <row r="2012">
      <c r="A2012">
        <f>HYPERLINK("http://bombeiros.sp.gov.br/hidrantes/03individual/26681.html","26681")</f>
      </c>
      <c r="B2012" t="s">
        <v>114</v>
      </c>
      <c r="C2012" t="s">
        <v>333</v>
      </c>
      <c r="D2012" t="s">
        <v>333</v>
      </c>
      <c r="E2012" t="s">
        <v>64</v>
      </c>
      <c r="F2012" t="s">
        <v>6681</v>
      </c>
      <c r="G2012" t="s">
        <v>18062</v>
      </c>
      <c r="H2012" t="s">
        <v>1112</v>
      </c>
      <c r="I2012" t="s">
        <v>1108</v>
      </c>
      <c r="J2012" t="s">
        <v>6682</v>
      </c>
      <c r="K2012" t="s">
        <v>6683</v>
      </c>
      <c r="L2012" t="s">
        <v>21</v>
      </c>
      <c r="M2012" t="s">
        <v>19177</v>
      </c>
      <c r="N2012" t="s">
        <v>300</v>
      </c>
      <c r="O2012" t="s">
        <v>16373</v>
      </c>
      <c r="P2012" t="s">
        <v>12</v>
      </c>
    </row>
    <row r="2013">
      <c r="A2013">
        <f>HYPERLINK("http://bombeiros.sp.gov.br/hidrantes/03individual/990.html","990")</f>
      </c>
      <c r="B2013" t="s">
        <v>114</v>
      </c>
      <c r="C2013" t="s">
        <v>333</v>
      </c>
      <c r="D2013" t="s">
        <v>333</v>
      </c>
      <c r="E2013" t="s">
        <v>15</v>
      </c>
      <c r="F2013" t="s">
        <v>6684</v>
      </c>
      <c r="G2013" t="s">
        <v>18192</v>
      </c>
      <c r="H2013" t="s">
        <v>1107</v>
      </c>
      <c r="I2013" t="s">
        <v>1108</v>
      </c>
      <c r="J2013" t="s">
        <v>6685</v>
      </c>
      <c r="K2013" t="s">
        <v>6686</v>
      </c>
      <c r="L2013" t="s">
        <v>21</v>
      </c>
      <c r="M2013" t="s">
        <v>19177</v>
      </c>
      <c r="N2013" t="s">
        <v>300</v>
      </c>
      <c r="O2013" t="s">
        <v>16373</v>
      </c>
      <c r="P2013" t="s">
        <v>12</v>
      </c>
    </row>
    <row r="2014">
      <c r="A2014">
        <f>HYPERLINK("http://bombeiros.sp.gov.br/hidrantes/03individual/1360.html","1360")</f>
      </c>
      <c r="B2014" t="s">
        <v>114</v>
      </c>
      <c r="C2014" t="s">
        <v>333</v>
      </c>
      <c r="D2014" t="s">
        <v>333</v>
      </c>
      <c r="E2014" t="s">
        <v>15</v>
      </c>
      <c r="F2014" t="s">
        <v>6687</v>
      </c>
      <c r="G2014" t="s">
        <v>18192</v>
      </c>
      <c r="H2014" t="s">
        <v>1174</v>
      </c>
      <c r="I2014" t="s">
        <v>1108</v>
      </c>
      <c r="J2014" t="s">
        <v>6688</v>
      </c>
      <c r="K2014" t="s">
        <v>6689</v>
      </c>
      <c r="L2014" t="s">
        <v>21</v>
      </c>
      <c r="M2014" t="s">
        <v>19177</v>
      </c>
      <c r="N2014" t="s">
        <v>300</v>
      </c>
      <c r="O2014" t="s">
        <v>16373</v>
      </c>
      <c r="P2014" t="s">
        <v>12</v>
      </c>
    </row>
    <row r="2015">
      <c r="A2015">
        <f>HYPERLINK("http://bombeiros.sp.gov.br/hidrantes/03individual/1508.html","1508")</f>
      </c>
      <c r="B2015" t="s">
        <v>114</v>
      </c>
      <c r="C2015" t="s">
        <v>333</v>
      </c>
      <c r="D2015" t="s">
        <v>333</v>
      </c>
      <c r="E2015" t="s">
        <v>15</v>
      </c>
      <c r="F2015" t="s">
        <v>6690</v>
      </c>
      <c r="G2015" t="s">
        <v>18083</v>
      </c>
      <c r="H2015" t="s">
        <v>1112</v>
      </c>
      <c r="I2015" t="s">
        <v>1108</v>
      </c>
      <c r="J2015" t="s">
        <v>6691</v>
      </c>
      <c r="K2015" t="s">
        <v>6692</v>
      </c>
      <c r="L2015" t="s">
        <v>21</v>
      </c>
      <c r="M2015" t="s">
        <v>19177</v>
      </c>
      <c r="N2015" t="s">
        <v>300</v>
      </c>
      <c r="O2015" t="s">
        <v>16373</v>
      </c>
      <c r="P2015" t="s">
        <v>12</v>
      </c>
    </row>
    <row r="2016">
      <c r="A2016">
        <f>HYPERLINK("http://bombeiros.sp.gov.br/hidrantes/03individual/1749.html","1749")</f>
      </c>
      <c r="B2016" t="s">
        <v>114</v>
      </c>
      <c r="C2016" t="s">
        <v>333</v>
      </c>
      <c r="D2016" t="s">
        <v>333</v>
      </c>
      <c r="E2016" t="s">
        <v>15</v>
      </c>
      <c r="F2016" t="s">
        <v>6693</v>
      </c>
      <c r="G2016" t="s">
        <v>18051</v>
      </c>
      <c r="H2016" t="s">
        <v>1112</v>
      </c>
      <c r="I2016" t="s">
        <v>1108</v>
      </c>
      <c r="J2016" t="s">
        <v>6694</v>
      </c>
      <c r="K2016" t="s">
        <v>6695</v>
      </c>
      <c r="L2016" t="s">
        <v>21</v>
      </c>
      <c r="M2016" t="s">
        <v>19177</v>
      </c>
      <c r="N2016" t="s">
        <v>300</v>
      </c>
      <c r="O2016" t="s">
        <v>16373</v>
      </c>
      <c r="P2016" t="s">
        <v>12</v>
      </c>
    </row>
    <row r="2017">
      <c r="A2017">
        <f>HYPERLINK("http://bombeiros.sp.gov.br/hidrantes/03individual/3002.html","3002")</f>
      </c>
      <c r="B2017" t="s">
        <v>114</v>
      </c>
      <c r="C2017" t="s">
        <v>333</v>
      </c>
      <c r="D2017" t="s">
        <v>333</v>
      </c>
      <c r="E2017" t="s">
        <v>15</v>
      </c>
      <c r="F2017" t="s">
        <v>6696</v>
      </c>
      <c r="G2017" t="s">
        <v>18083</v>
      </c>
      <c r="H2017" t="s">
        <v>1112</v>
      </c>
      <c r="I2017" t="s">
        <v>1108</v>
      </c>
      <c r="J2017" t="s">
        <v>6697</v>
      </c>
      <c r="K2017" t="s">
        <v>6698</v>
      </c>
      <c r="L2017" t="s">
        <v>36</v>
      </c>
      <c r="M2017" t="s">
        <v>19177</v>
      </c>
      <c r="N2017" t="s">
        <v>300</v>
      </c>
      <c r="O2017" t="s">
        <v>16373</v>
      </c>
      <c r="P2017" t="s">
        <v>12</v>
      </c>
    </row>
    <row r="2018">
      <c r="A2018">
        <f>HYPERLINK("http://bombeiros.sp.gov.br/hidrantes/03individual/3054.html","3054")</f>
      </c>
      <c r="B2018" t="s">
        <v>114</v>
      </c>
      <c r="C2018" t="s">
        <v>333</v>
      </c>
      <c r="D2018" t="s">
        <v>333</v>
      </c>
      <c r="E2018" t="s">
        <v>15</v>
      </c>
      <c r="F2018" t="s">
        <v>6699</v>
      </c>
      <c r="G2018" t="s">
        <v>18062</v>
      </c>
      <c r="H2018" t="s">
        <v>1112</v>
      </c>
      <c r="I2018" t="s">
        <v>1108</v>
      </c>
      <c r="J2018" t="s">
        <v>6700</v>
      </c>
      <c r="K2018" t="s">
        <v>6701</v>
      </c>
      <c r="L2018" t="s">
        <v>21</v>
      </c>
      <c r="M2018" t="s">
        <v>19177</v>
      </c>
      <c r="N2018" t="s">
        <v>300</v>
      </c>
      <c r="O2018" t="s">
        <v>16373</v>
      </c>
      <c r="P2018" t="s">
        <v>12</v>
      </c>
    </row>
    <row r="2019">
      <c r="A2019">
        <f>HYPERLINK("http://bombeiros.sp.gov.br/hidrantes/03individual/3059.html","3059")</f>
      </c>
      <c r="B2019" t="s">
        <v>114</v>
      </c>
      <c r="C2019" t="s">
        <v>333</v>
      </c>
      <c r="D2019" t="s">
        <v>333</v>
      </c>
      <c r="E2019" t="s">
        <v>15</v>
      </c>
      <c r="F2019" t="s">
        <v>6702</v>
      </c>
      <c r="G2019" t="s">
        <v>18062</v>
      </c>
      <c r="H2019" t="s">
        <v>1112</v>
      </c>
      <c r="I2019" t="s">
        <v>1108</v>
      </c>
      <c r="J2019" t="s">
        <v>6703</v>
      </c>
      <c r="K2019" t="s">
        <v>6704</v>
      </c>
      <c r="L2019" t="s">
        <v>21</v>
      </c>
      <c r="M2019" t="s">
        <v>19177</v>
      </c>
      <c r="N2019" t="s">
        <v>300</v>
      </c>
      <c r="O2019" t="s">
        <v>16373</v>
      </c>
      <c r="P2019" t="s">
        <v>12</v>
      </c>
    </row>
    <row r="2020">
      <c r="A2020">
        <f>HYPERLINK("http://bombeiros.sp.gov.br/hidrantes/03individual/3100.html","3100")</f>
      </c>
      <c r="B2020" t="s">
        <v>114</v>
      </c>
      <c r="C2020" t="s">
        <v>333</v>
      </c>
      <c r="D2020" t="s">
        <v>333</v>
      </c>
      <c r="E2020" t="s">
        <v>15</v>
      </c>
      <c r="F2020" t="s">
        <v>6705</v>
      </c>
      <c r="G2020" t="s">
        <v>18062</v>
      </c>
      <c r="H2020" t="s">
        <v>1121</v>
      </c>
      <c r="I2020" t="s">
        <v>1117</v>
      </c>
      <c r="J2020" t="s">
        <v>6706</v>
      </c>
      <c r="K2020" t="s">
        <v>6707</v>
      </c>
      <c r="L2020" t="s">
        <v>21</v>
      </c>
      <c r="M2020" t="s">
        <v>19177</v>
      </c>
      <c r="N2020" t="s">
        <v>300</v>
      </c>
      <c r="O2020" t="s">
        <v>16373</v>
      </c>
      <c r="P2020" t="s">
        <v>12</v>
      </c>
    </row>
    <row r="2021">
      <c r="A2021">
        <f>HYPERLINK("http://bombeiros.sp.gov.br/hidrantes/03individual/3122.html","3122")</f>
      </c>
      <c r="B2021" t="s">
        <v>114</v>
      </c>
      <c r="C2021" t="s">
        <v>333</v>
      </c>
      <c r="D2021" t="s">
        <v>333</v>
      </c>
      <c r="E2021" t="s">
        <v>15</v>
      </c>
      <c r="F2021" t="s">
        <v>6708</v>
      </c>
      <c r="G2021" t="s">
        <v>18051</v>
      </c>
      <c r="H2021" t="s">
        <v>1112</v>
      </c>
      <c r="I2021" t="s">
        <v>1108</v>
      </c>
      <c r="J2021" t="s">
        <v>6709</v>
      </c>
      <c r="K2021" t="s">
        <v>6710</v>
      </c>
      <c r="L2021" t="s">
        <v>21</v>
      </c>
      <c r="M2021" t="s">
        <v>19177</v>
      </c>
      <c r="N2021" t="s">
        <v>300</v>
      </c>
      <c r="O2021" t="s">
        <v>16373</v>
      </c>
      <c r="P2021" t="s">
        <v>12</v>
      </c>
    </row>
    <row r="2022">
      <c r="A2022">
        <f>HYPERLINK("http://bombeiros.sp.gov.br/hidrantes/03individual/3264.html","3264")</f>
      </c>
      <c r="B2022" t="s">
        <v>114</v>
      </c>
      <c r="C2022" t="s">
        <v>333</v>
      </c>
      <c r="D2022" t="s">
        <v>333</v>
      </c>
      <c r="E2022" t="s">
        <v>15</v>
      </c>
      <c r="F2022" t="s">
        <v>6711</v>
      </c>
      <c r="G2022" t="s">
        <v>18051</v>
      </c>
      <c r="H2022" t="s">
        <v>1107</v>
      </c>
      <c r="I2022" t="s">
        <v>1108</v>
      </c>
      <c r="J2022" t="s">
        <v>6712</v>
      </c>
      <c r="K2022" t="s">
        <v>6713</v>
      </c>
      <c r="L2022" t="s">
        <v>21</v>
      </c>
      <c r="M2022" t="s">
        <v>19177</v>
      </c>
      <c r="N2022" t="s">
        <v>300</v>
      </c>
      <c r="O2022" t="s">
        <v>16373</v>
      </c>
      <c r="P2022" t="s">
        <v>12</v>
      </c>
    </row>
    <row r="2023">
      <c r="A2023">
        <f>HYPERLINK("http://bombeiros.sp.gov.br/hidrantes/03individual/3268.html","3268")</f>
      </c>
      <c r="B2023" t="s">
        <v>114</v>
      </c>
      <c r="C2023" t="s">
        <v>333</v>
      </c>
      <c r="D2023" t="s">
        <v>333</v>
      </c>
      <c r="E2023" t="s">
        <v>15</v>
      </c>
      <c r="F2023" t="s">
        <v>6714</v>
      </c>
      <c r="G2023" t="s">
        <v>18192</v>
      </c>
      <c r="H2023" t="s">
        <v>1112</v>
      </c>
      <c r="I2023" t="s">
        <v>1108</v>
      </c>
      <c r="J2023" t="s">
        <v>6715</v>
      </c>
      <c r="K2023" t="s">
        <v>6716</v>
      </c>
      <c r="L2023" t="s">
        <v>21</v>
      </c>
      <c r="M2023" t="s">
        <v>19177</v>
      </c>
      <c r="N2023" t="s">
        <v>300</v>
      </c>
      <c r="O2023" t="s">
        <v>16373</v>
      </c>
      <c r="P2023" t="s">
        <v>12</v>
      </c>
    </row>
    <row r="2024">
      <c r="A2024">
        <f>HYPERLINK("http://bombeiros.sp.gov.br/hidrantes/03individual/3292.html","3292")</f>
      </c>
      <c r="B2024" t="s">
        <v>114</v>
      </c>
      <c r="C2024" t="s">
        <v>333</v>
      </c>
      <c r="D2024" t="s">
        <v>333</v>
      </c>
      <c r="E2024" t="s">
        <v>15</v>
      </c>
      <c r="F2024" t="s">
        <v>6717</v>
      </c>
      <c r="G2024" t="s">
        <v>18065</v>
      </c>
      <c r="H2024" t="s">
        <v>1107</v>
      </c>
      <c r="I2024" t="s">
        <v>1108</v>
      </c>
      <c r="J2024" t="s">
        <v>6718</v>
      </c>
      <c r="K2024" t="s">
        <v>6719</v>
      </c>
      <c r="L2024" t="s">
        <v>21</v>
      </c>
      <c r="M2024" t="s">
        <v>19177</v>
      </c>
      <c r="N2024" t="s">
        <v>300</v>
      </c>
      <c r="O2024" t="s">
        <v>16373</v>
      </c>
      <c r="P2024" t="s">
        <v>12</v>
      </c>
    </row>
    <row r="2025">
      <c r="A2025">
        <f>HYPERLINK("http://bombeiros.sp.gov.br/hidrantes/03individual/3302.html","3302")</f>
      </c>
      <c r="B2025" t="s">
        <v>114</v>
      </c>
      <c r="C2025" t="s">
        <v>333</v>
      </c>
      <c r="D2025" t="s">
        <v>333</v>
      </c>
      <c r="E2025" t="s">
        <v>15</v>
      </c>
      <c r="F2025" t="s">
        <v>6720</v>
      </c>
      <c r="G2025" t="s">
        <v>18076</v>
      </c>
      <c r="H2025" t="s">
        <v>1107</v>
      </c>
      <c r="I2025" t="s">
        <v>1108</v>
      </c>
      <c r="J2025" t="s">
        <v>6721</v>
      </c>
      <c r="K2025" t="s">
        <v>6722</v>
      </c>
      <c r="L2025" t="s">
        <v>21</v>
      </c>
      <c r="M2025" t="s">
        <v>19177</v>
      </c>
      <c r="N2025" t="s">
        <v>300</v>
      </c>
      <c r="O2025" t="s">
        <v>16373</v>
      </c>
      <c r="P2025" t="s">
        <v>12</v>
      </c>
    </row>
    <row r="2026">
      <c r="A2026">
        <f>HYPERLINK("http://bombeiros.sp.gov.br/hidrantes/03individual/3306.html","3306")</f>
      </c>
      <c r="B2026" t="s">
        <v>114</v>
      </c>
      <c r="C2026" t="s">
        <v>333</v>
      </c>
      <c r="D2026" t="s">
        <v>333</v>
      </c>
      <c r="E2026" t="s">
        <v>15</v>
      </c>
      <c r="F2026" t="s">
        <v>6723</v>
      </c>
      <c r="G2026" t="s">
        <v>18192</v>
      </c>
      <c r="H2026" t="s">
        <v>1121</v>
      </c>
      <c r="I2026" t="s">
        <v>1117</v>
      </c>
      <c r="J2026" t="s">
        <v>6724</v>
      </c>
      <c r="K2026" t="s">
        <v>6725</v>
      </c>
      <c r="L2026" t="s">
        <v>21</v>
      </c>
      <c r="M2026" t="s">
        <v>19177</v>
      </c>
      <c r="N2026" t="s">
        <v>300</v>
      </c>
      <c r="O2026" t="s">
        <v>16373</v>
      </c>
      <c r="P2026" t="s">
        <v>12</v>
      </c>
    </row>
    <row r="2027">
      <c r="A2027">
        <f>HYPERLINK("http://bombeiros.sp.gov.br/hidrantes/03individual/3307.html","3307")</f>
      </c>
      <c r="B2027" t="s">
        <v>114</v>
      </c>
      <c r="C2027" t="s">
        <v>333</v>
      </c>
      <c r="D2027" t="s">
        <v>333</v>
      </c>
      <c r="E2027" t="s">
        <v>15</v>
      </c>
      <c r="F2027" t="s">
        <v>6726</v>
      </c>
      <c r="G2027" t="s">
        <v>18192</v>
      </c>
      <c r="H2027" t="s">
        <v>1112</v>
      </c>
      <c r="I2027" t="s">
        <v>1108</v>
      </c>
      <c r="J2027" t="s">
        <v>6727</v>
      </c>
      <c r="K2027" t="s">
        <v>6728</v>
      </c>
      <c r="L2027" t="s">
        <v>21</v>
      </c>
      <c r="M2027" t="s">
        <v>19177</v>
      </c>
      <c r="N2027" t="s">
        <v>300</v>
      </c>
      <c r="O2027" t="s">
        <v>16373</v>
      </c>
      <c r="P2027" t="s">
        <v>12</v>
      </c>
    </row>
    <row r="2028">
      <c r="A2028">
        <f>HYPERLINK("http://bombeiros.sp.gov.br/hidrantes/03individual/3332.html","3332")</f>
      </c>
      <c r="B2028" t="s">
        <v>114</v>
      </c>
      <c r="C2028" t="s">
        <v>333</v>
      </c>
      <c r="D2028" t="s">
        <v>333</v>
      </c>
      <c r="E2028" t="s">
        <v>15</v>
      </c>
      <c r="F2028" t="s">
        <v>6729</v>
      </c>
      <c r="G2028" t="s">
        <v>18083</v>
      </c>
      <c r="H2028" t="s">
        <v>1112</v>
      </c>
      <c r="I2028" t="s">
        <v>1108</v>
      </c>
      <c r="J2028" t="s">
        <v>6730</v>
      </c>
      <c r="K2028" t="s">
        <v>6731</v>
      </c>
      <c r="L2028" t="s">
        <v>21</v>
      </c>
      <c r="M2028" t="s">
        <v>19177</v>
      </c>
      <c r="N2028" t="s">
        <v>300</v>
      </c>
      <c r="O2028" t="s">
        <v>16373</v>
      </c>
      <c r="P2028" t="s">
        <v>12</v>
      </c>
    </row>
    <row r="2029">
      <c r="A2029">
        <f>HYPERLINK("http://bombeiros.sp.gov.br/hidrantes/03individual/4185.html","4185")</f>
      </c>
      <c r="B2029" t="s">
        <v>114</v>
      </c>
      <c r="C2029" t="s">
        <v>333</v>
      </c>
      <c r="D2029" t="s">
        <v>333</v>
      </c>
      <c r="E2029" t="s">
        <v>15</v>
      </c>
      <c r="F2029" t="s">
        <v>6732</v>
      </c>
      <c r="G2029" t="s">
        <v>18192</v>
      </c>
      <c r="H2029" t="s">
        <v>1107</v>
      </c>
      <c r="I2029" t="s">
        <v>1108</v>
      </c>
      <c r="J2029" t="s">
        <v>6733</v>
      </c>
      <c r="K2029" t="s">
        <v>6734</v>
      </c>
      <c r="L2029" t="s">
        <v>21</v>
      </c>
      <c r="M2029" t="s">
        <v>19177</v>
      </c>
      <c r="N2029" t="s">
        <v>300</v>
      </c>
      <c r="O2029" t="s">
        <v>16373</v>
      </c>
      <c r="P2029" t="s">
        <v>12</v>
      </c>
    </row>
    <row r="2030">
      <c r="A2030">
        <f>HYPERLINK("http://bombeiros.sp.gov.br/hidrantes/03individual/4187.html","4187")</f>
      </c>
      <c r="B2030" t="s">
        <v>114</v>
      </c>
      <c r="C2030" t="s">
        <v>333</v>
      </c>
      <c r="D2030" t="s">
        <v>333</v>
      </c>
      <c r="E2030" t="s">
        <v>15</v>
      </c>
      <c r="F2030" t="s">
        <v>6735</v>
      </c>
      <c r="G2030" t="s">
        <v>18083</v>
      </c>
      <c r="H2030" t="s">
        <v>1112</v>
      </c>
      <c r="I2030" t="s">
        <v>1108</v>
      </c>
      <c r="J2030" t="s">
        <v>6736</v>
      </c>
      <c r="K2030" t="s">
        <v>6737</v>
      </c>
      <c r="L2030" t="s">
        <v>21</v>
      </c>
      <c r="M2030" t="s">
        <v>19177</v>
      </c>
      <c r="N2030" t="s">
        <v>300</v>
      </c>
      <c r="O2030" t="s">
        <v>16373</v>
      </c>
      <c r="P2030" t="s">
        <v>12</v>
      </c>
    </row>
    <row r="2031">
      <c r="A2031">
        <f>HYPERLINK("http://bombeiros.sp.gov.br/hidrantes/03individual/4293.html","4293")</f>
      </c>
      <c r="B2031" t="s">
        <v>114</v>
      </c>
      <c r="C2031" t="s">
        <v>333</v>
      </c>
      <c r="D2031" t="s">
        <v>333</v>
      </c>
      <c r="E2031" t="s">
        <v>15</v>
      </c>
      <c r="F2031" t="s">
        <v>6738</v>
      </c>
      <c r="G2031" t="s">
        <v>18062</v>
      </c>
      <c r="H2031" t="s">
        <v>1112</v>
      </c>
      <c r="I2031" t="s">
        <v>1108</v>
      </c>
      <c r="J2031" t="s">
        <v>6739</v>
      </c>
      <c r="K2031" t="s">
        <v>6740</v>
      </c>
      <c r="L2031" t="s">
        <v>21</v>
      </c>
      <c r="M2031" t="s">
        <v>19177</v>
      </c>
      <c r="N2031" t="s">
        <v>300</v>
      </c>
      <c r="O2031" t="s">
        <v>16373</v>
      </c>
      <c r="P2031" t="s">
        <v>12</v>
      </c>
    </row>
    <row r="2032">
      <c r="A2032">
        <f>HYPERLINK("http://bombeiros.sp.gov.br/hidrantes/03individual/4294.html","4294")</f>
      </c>
      <c r="B2032" t="s">
        <v>114</v>
      </c>
      <c r="C2032" t="s">
        <v>333</v>
      </c>
      <c r="D2032" t="s">
        <v>333</v>
      </c>
      <c r="E2032" t="s">
        <v>15</v>
      </c>
      <c r="F2032" t="s">
        <v>6741</v>
      </c>
      <c r="G2032" t="s">
        <v>18062</v>
      </c>
      <c r="H2032" t="s">
        <v>1112</v>
      </c>
      <c r="I2032" t="s">
        <v>1108</v>
      </c>
      <c r="J2032" t="s">
        <v>6742</v>
      </c>
      <c r="K2032" t="s">
        <v>6743</v>
      </c>
      <c r="L2032" t="s">
        <v>21</v>
      </c>
      <c r="M2032" t="s">
        <v>19177</v>
      </c>
      <c r="N2032" t="s">
        <v>300</v>
      </c>
      <c r="O2032" t="s">
        <v>16373</v>
      </c>
      <c r="P2032" t="s">
        <v>12</v>
      </c>
    </row>
    <row r="2033">
      <c r="A2033">
        <f>HYPERLINK("http://bombeiros.sp.gov.br/hidrantes/03individual/4295.html","4295")</f>
      </c>
      <c r="B2033" t="s">
        <v>114</v>
      </c>
      <c r="C2033" t="s">
        <v>333</v>
      </c>
      <c r="D2033" t="s">
        <v>333</v>
      </c>
      <c r="E2033" t="s">
        <v>15</v>
      </c>
      <c r="F2033" t="s">
        <v>6744</v>
      </c>
      <c r="G2033" t="s">
        <v>18083</v>
      </c>
      <c r="H2033" t="s">
        <v>1112</v>
      </c>
      <c r="I2033" t="s">
        <v>1108</v>
      </c>
      <c r="J2033" t="s">
        <v>6745</v>
      </c>
      <c r="K2033" t="s">
        <v>6746</v>
      </c>
      <c r="L2033" t="s">
        <v>21</v>
      </c>
      <c r="M2033" t="s">
        <v>19177</v>
      </c>
      <c r="N2033" t="s">
        <v>300</v>
      </c>
      <c r="O2033" t="s">
        <v>16373</v>
      </c>
      <c r="P2033" t="s">
        <v>12</v>
      </c>
    </row>
    <row r="2034">
      <c r="A2034">
        <f>HYPERLINK("http://bombeiros.sp.gov.br/hidrantes/03individual/4297.html","4297")</f>
      </c>
      <c r="B2034" t="s">
        <v>114</v>
      </c>
      <c r="C2034" t="s">
        <v>333</v>
      </c>
      <c r="D2034" t="s">
        <v>333</v>
      </c>
      <c r="E2034" t="s">
        <v>15</v>
      </c>
      <c r="F2034" t="s">
        <v>6747</v>
      </c>
      <c r="G2034" t="s">
        <v>18083</v>
      </c>
      <c r="H2034" t="s">
        <v>1112</v>
      </c>
      <c r="I2034" t="s">
        <v>1108</v>
      </c>
      <c r="J2034" t="s">
        <v>6748</v>
      </c>
      <c r="K2034" t="s">
        <v>6749</v>
      </c>
      <c r="L2034" t="s">
        <v>21</v>
      </c>
      <c r="M2034" t="s">
        <v>19177</v>
      </c>
      <c r="N2034" t="s">
        <v>300</v>
      </c>
      <c r="O2034" t="s">
        <v>16373</v>
      </c>
      <c r="P2034" t="s">
        <v>12</v>
      </c>
    </row>
    <row r="2035">
      <c r="A2035">
        <f>HYPERLINK("http://bombeiros.sp.gov.br/hidrantes/03individual/4298.html","4298")</f>
      </c>
      <c r="B2035" t="s">
        <v>114</v>
      </c>
      <c r="C2035" t="s">
        <v>333</v>
      </c>
      <c r="D2035" t="s">
        <v>333</v>
      </c>
      <c r="E2035" t="s">
        <v>15</v>
      </c>
      <c r="F2035" t="s">
        <v>6750</v>
      </c>
      <c r="G2035" t="s">
        <v>18192</v>
      </c>
      <c r="H2035" t="s">
        <v>1174</v>
      </c>
      <c r="I2035" t="s">
        <v>1108</v>
      </c>
      <c r="J2035" t="s">
        <v>6751</v>
      </c>
      <c r="K2035" t="s">
        <v>6752</v>
      </c>
      <c r="L2035" t="s">
        <v>21</v>
      </c>
      <c r="M2035" t="s">
        <v>19177</v>
      </c>
      <c r="N2035" t="s">
        <v>300</v>
      </c>
      <c r="O2035" t="s">
        <v>16373</v>
      </c>
      <c r="P2035" t="s">
        <v>12</v>
      </c>
    </row>
    <row r="2036">
      <c r="A2036">
        <f>HYPERLINK("http://bombeiros.sp.gov.br/hidrantes/03individual/4299.html","4299")</f>
      </c>
      <c r="B2036" t="s">
        <v>114</v>
      </c>
      <c r="C2036" t="s">
        <v>333</v>
      </c>
      <c r="D2036" t="s">
        <v>333</v>
      </c>
      <c r="E2036" t="s">
        <v>15</v>
      </c>
      <c r="F2036" t="s">
        <v>6753</v>
      </c>
      <c r="G2036" t="s">
        <v>18065</v>
      </c>
      <c r="H2036" t="s">
        <v>1107</v>
      </c>
      <c r="I2036" t="s">
        <v>1108</v>
      </c>
      <c r="J2036" t="s">
        <v>6754</v>
      </c>
      <c r="K2036" t="s">
        <v>6755</v>
      </c>
      <c r="L2036" t="s">
        <v>21</v>
      </c>
      <c r="M2036" t="s">
        <v>19177</v>
      </c>
      <c r="N2036" t="s">
        <v>300</v>
      </c>
      <c r="O2036" t="s">
        <v>16373</v>
      </c>
      <c r="P2036" t="s">
        <v>12</v>
      </c>
    </row>
    <row r="2037">
      <c r="A2037">
        <f>HYPERLINK("http://bombeiros.sp.gov.br/hidrantes/03individual/4300.html","4300")</f>
      </c>
      <c r="B2037" t="s">
        <v>114</v>
      </c>
      <c r="C2037" t="s">
        <v>333</v>
      </c>
      <c r="D2037" t="s">
        <v>333</v>
      </c>
      <c r="E2037" t="s">
        <v>15</v>
      </c>
      <c r="F2037" t="s">
        <v>6756</v>
      </c>
      <c r="G2037" t="s">
        <v>18065</v>
      </c>
      <c r="H2037" t="s">
        <v>1107</v>
      </c>
      <c r="I2037" t="s">
        <v>1108</v>
      </c>
      <c r="J2037" t="s">
        <v>6757</v>
      </c>
      <c r="K2037" t="s">
        <v>6758</v>
      </c>
      <c r="L2037" t="s">
        <v>21</v>
      </c>
      <c r="M2037" t="s">
        <v>19177</v>
      </c>
      <c r="N2037" t="s">
        <v>300</v>
      </c>
      <c r="O2037" t="s">
        <v>16373</v>
      </c>
      <c r="P2037" t="s">
        <v>12</v>
      </c>
    </row>
    <row r="2038">
      <c r="A2038">
        <f>HYPERLINK("http://bombeiros.sp.gov.br/hidrantes/03individual/4301.html","4301")</f>
      </c>
      <c r="B2038" t="s">
        <v>114</v>
      </c>
      <c r="C2038" t="s">
        <v>333</v>
      </c>
      <c r="D2038" t="s">
        <v>333</v>
      </c>
      <c r="E2038" t="s">
        <v>15</v>
      </c>
      <c r="F2038" t="s">
        <v>6759</v>
      </c>
      <c r="G2038" t="s">
        <v>18065</v>
      </c>
      <c r="H2038" t="s">
        <v>1107</v>
      </c>
      <c r="I2038" t="s">
        <v>1108</v>
      </c>
      <c r="J2038" t="s">
        <v>6760</v>
      </c>
      <c r="K2038" t="s">
        <v>6761</v>
      </c>
      <c r="L2038" t="s">
        <v>21</v>
      </c>
      <c r="M2038" t="s">
        <v>19177</v>
      </c>
      <c r="N2038" t="s">
        <v>300</v>
      </c>
      <c r="O2038" t="s">
        <v>16373</v>
      </c>
      <c r="P2038" t="s">
        <v>12</v>
      </c>
    </row>
    <row r="2039">
      <c r="A2039">
        <f>HYPERLINK("http://bombeiros.sp.gov.br/hidrantes/03individual/4307.html","4307")</f>
      </c>
      <c r="B2039" t="s">
        <v>114</v>
      </c>
      <c r="C2039" t="s">
        <v>333</v>
      </c>
      <c r="D2039" t="s">
        <v>333</v>
      </c>
      <c r="E2039" t="s">
        <v>15</v>
      </c>
      <c r="F2039" t="s">
        <v>417</v>
      </c>
      <c r="G2039" t="s">
        <v>18430</v>
      </c>
      <c r="H2039"/>
      <c r="I2039" t="s">
        <v>18</v>
      </c>
      <c r="J2039" t="s">
        <v>419</v>
      </c>
      <c r="K2039" t="s">
        <v>420</v>
      </c>
      <c r="L2039" t="s">
        <v>21</v>
      </c>
      <c r="M2039" t="s">
        <v>19177</v>
      </c>
      <c r="N2039" t="s">
        <v>300</v>
      </c>
      <c r="O2039" t="s">
        <v>16373</v>
      </c>
      <c r="P2039" t="s">
        <v>12</v>
      </c>
    </row>
    <row r="2040">
      <c r="A2040">
        <f>HYPERLINK("http://bombeiros.sp.gov.br/hidrantes/03individual/4308.html","4308")</f>
      </c>
      <c r="B2040" t="s">
        <v>114</v>
      </c>
      <c r="C2040" t="s">
        <v>333</v>
      </c>
      <c r="D2040" t="s">
        <v>333</v>
      </c>
      <c r="E2040" t="s">
        <v>15</v>
      </c>
      <c r="F2040" t="s">
        <v>6762</v>
      </c>
      <c r="G2040" t="s">
        <v>18192</v>
      </c>
      <c r="H2040" t="s">
        <v>1112</v>
      </c>
      <c r="I2040" t="s">
        <v>1108</v>
      </c>
      <c r="J2040" t="s">
        <v>6763</v>
      </c>
      <c r="K2040" t="s">
        <v>6764</v>
      </c>
      <c r="L2040" t="s">
        <v>21</v>
      </c>
      <c r="M2040" t="s">
        <v>19177</v>
      </c>
      <c r="N2040" t="s">
        <v>300</v>
      </c>
      <c r="O2040" t="s">
        <v>16373</v>
      </c>
      <c r="P2040" t="s">
        <v>12</v>
      </c>
    </row>
    <row r="2041">
      <c r="A2041">
        <f>HYPERLINK("http://bombeiros.sp.gov.br/hidrantes/03individual/17738.html","17738")</f>
      </c>
      <c r="B2041" t="s">
        <v>114</v>
      </c>
      <c r="C2041" t="s">
        <v>333</v>
      </c>
      <c r="D2041" t="s">
        <v>333</v>
      </c>
      <c r="E2041" t="s">
        <v>15</v>
      </c>
      <c r="F2041" t="s">
        <v>6765</v>
      </c>
      <c r="G2041" t="s">
        <v>18083</v>
      </c>
      <c r="H2041" t="s">
        <v>1112</v>
      </c>
      <c r="I2041" t="s">
        <v>1108</v>
      </c>
      <c r="J2041" t="s">
        <v>6766</v>
      </c>
      <c r="K2041" t="s">
        <v>6767</v>
      </c>
      <c r="L2041" t="s">
        <v>21</v>
      </c>
      <c r="M2041" t="s">
        <v>19177</v>
      </c>
      <c r="N2041" t="s">
        <v>300</v>
      </c>
      <c r="O2041" t="s">
        <v>16373</v>
      </c>
      <c r="P2041" t="s">
        <v>12</v>
      </c>
    </row>
    <row r="2042">
      <c r="A2042">
        <f>HYPERLINK("http://bombeiros.sp.gov.br/hidrantes/03individual/3458.html","3458")</f>
      </c>
      <c r="B2042" t="s">
        <v>114</v>
      </c>
      <c r="C2042" t="s">
        <v>421</v>
      </c>
      <c r="D2042" t="s">
        <v>6768</v>
      </c>
      <c r="E2042" t="s">
        <v>64</v>
      </c>
      <c r="F2042" t="s">
        <v>6769</v>
      </c>
      <c r="G2042" t="s">
        <v>18097</v>
      </c>
      <c r="H2042" t="s">
        <v>1121</v>
      </c>
      <c r="I2042" t="s">
        <v>1117</v>
      </c>
      <c r="J2042" t="s">
        <v>6770</v>
      </c>
      <c r="K2042" t="s">
        <v>6771</v>
      </c>
      <c r="L2042" t="s">
        <v>36</v>
      </c>
      <c r="M2042" t="s">
        <v>19177</v>
      </c>
      <c r="N2042" t="s">
        <v>272</v>
      </c>
      <c r="O2042" t="s">
        <v>272</v>
      </c>
      <c r="P2042" t="s">
        <v>114</v>
      </c>
    </row>
    <row r="2043">
      <c r="A2043">
        <f>HYPERLINK("http://bombeiros.sp.gov.br/hidrantes/03individual/17860.html","17860")</f>
      </c>
      <c r="B2043" t="s">
        <v>114</v>
      </c>
      <c r="C2043" t="s">
        <v>421</v>
      </c>
      <c r="D2043" t="s">
        <v>6768</v>
      </c>
      <c r="E2043" t="s">
        <v>64</v>
      </c>
      <c r="F2043" t="s">
        <v>6772</v>
      </c>
      <c r="G2043" t="s">
        <v>18097</v>
      </c>
      <c r="H2043" t="s">
        <v>1121</v>
      </c>
      <c r="I2043" t="s">
        <v>1117</v>
      </c>
      <c r="J2043" t="s">
        <v>6773</v>
      </c>
      <c r="K2043" t="s">
        <v>6774</v>
      </c>
      <c r="L2043" t="s">
        <v>21</v>
      </c>
      <c r="M2043" t="s">
        <v>19177</v>
      </c>
      <c r="N2043" t="s">
        <v>6029</v>
      </c>
      <c r="O2043" t="s">
        <v>6029</v>
      </c>
      <c r="P2043" t="s">
        <v>114</v>
      </c>
    </row>
    <row r="2044">
      <c r="A2044">
        <f>HYPERLINK("http://bombeiros.sp.gov.br/hidrantes/03individual/1798.html","1798")</f>
      </c>
      <c r="B2044" t="s">
        <v>114</v>
      </c>
      <c r="C2044" t="s">
        <v>421</v>
      </c>
      <c r="D2044" t="s">
        <v>6775</v>
      </c>
      <c r="E2044" t="s">
        <v>64</v>
      </c>
      <c r="F2044" t="s">
        <v>6776</v>
      </c>
      <c r="G2044" t="s">
        <v>18085</v>
      </c>
      <c r="H2044" t="s">
        <v>1112</v>
      </c>
      <c r="I2044" t="s">
        <v>1108</v>
      </c>
      <c r="J2044" t="s">
        <v>15966</v>
      </c>
      <c r="K2044" t="s">
        <v>15967</v>
      </c>
      <c r="L2044" t="s">
        <v>21</v>
      </c>
      <c r="M2044" t="s">
        <v>19177</v>
      </c>
      <c r="N2044" t="s">
        <v>309</v>
      </c>
      <c r="O2044" t="s">
        <v>6029</v>
      </c>
      <c r="P2044" t="s">
        <v>114</v>
      </c>
    </row>
    <row r="2045">
      <c r="A2045">
        <f>HYPERLINK("http://bombeiros.sp.gov.br/hidrantes/03individual/3395.html","3395")</f>
      </c>
      <c r="B2045" t="s">
        <v>114</v>
      </c>
      <c r="C2045" t="s">
        <v>421</v>
      </c>
      <c r="D2045" t="s">
        <v>6775</v>
      </c>
      <c r="E2045" t="s">
        <v>64</v>
      </c>
      <c r="F2045" t="s">
        <v>6779</v>
      </c>
      <c r="G2045" t="s">
        <v>18117</v>
      </c>
      <c r="H2045" t="s">
        <v>1107</v>
      </c>
      <c r="I2045" t="s">
        <v>1108</v>
      </c>
      <c r="J2045" t="s">
        <v>16165</v>
      </c>
      <c r="K2045" t="s">
        <v>16166</v>
      </c>
      <c r="L2045" t="s">
        <v>36</v>
      </c>
      <c r="M2045" t="s">
        <v>19177</v>
      </c>
      <c r="N2045" t="s">
        <v>309</v>
      </c>
      <c r="O2045" t="s">
        <v>6029</v>
      </c>
      <c r="P2045" t="s">
        <v>114</v>
      </c>
    </row>
    <row r="2046">
      <c r="A2046">
        <f>HYPERLINK("http://bombeiros.sp.gov.br/hidrantes/03individual/4326.html","4326")</f>
      </c>
      <c r="B2046" t="s">
        <v>114</v>
      </c>
      <c r="C2046" t="s">
        <v>421</v>
      </c>
      <c r="D2046" t="s">
        <v>6775</v>
      </c>
      <c r="E2046" t="s">
        <v>64</v>
      </c>
      <c r="F2046" t="s">
        <v>6782</v>
      </c>
      <c r="G2046" t="s">
        <v>18117</v>
      </c>
      <c r="H2046" t="s">
        <v>1121</v>
      </c>
      <c r="I2046" t="s">
        <v>1117</v>
      </c>
      <c r="J2046" t="s">
        <v>6783</v>
      </c>
      <c r="K2046" t="s">
        <v>6784</v>
      </c>
      <c r="L2046" t="s">
        <v>36</v>
      </c>
      <c r="M2046" t="s">
        <v>19177</v>
      </c>
      <c r="N2046" t="s">
        <v>309</v>
      </c>
      <c r="O2046" t="s">
        <v>6029</v>
      </c>
      <c r="P2046" t="s">
        <v>114</v>
      </c>
    </row>
    <row r="2047">
      <c r="A2047">
        <f>HYPERLINK("http://bombeiros.sp.gov.br/hidrantes/03individual/14893.html","14893")</f>
      </c>
      <c r="B2047" t="s">
        <v>114</v>
      </c>
      <c r="C2047" t="s">
        <v>421</v>
      </c>
      <c r="D2047" t="s">
        <v>6775</v>
      </c>
      <c r="E2047" t="s">
        <v>64</v>
      </c>
      <c r="F2047" t="s">
        <v>6785</v>
      </c>
      <c r="G2047" t="s">
        <v>18099</v>
      </c>
      <c r="H2047" t="s">
        <v>1112</v>
      </c>
      <c r="I2047" t="s">
        <v>1108</v>
      </c>
      <c r="J2047" t="s">
        <v>6786</v>
      </c>
      <c r="K2047" t="s">
        <v>6787</v>
      </c>
      <c r="L2047" t="s">
        <v>21</v>
      </c>
      <c r="M2047" t="s">
        <v>19177</v>
      </c>
      <c r="N2047" t="s">
        <v>309</v>
      </c>
      <c r="O2047" t="s">
        <v>6029</v>
      </c>
      <c r="P2047" t="s">
        <v>114</v>
      </c>
    </row>
    <row r="2048">
      <c r="A2048">
        <f>HYPERLINK("http://bombeiros.sp.gov.br/hidrantes/03individual/1877.html","1877")</f>
      </c>
      <c r="B2048" t="s">
        <v>114</v>
      </c>
      <c r="C2048" t="s">
        <v>421</v>
      </c>
      <c r="D2048" t="s">
        <v>6775</v>
      </c>
      <c r="E2048" t="s">
        <v>15</v>
      </c>
      <c r="F2048" t="s">
        <v>6788</v>
      </c>
      <c r="G2048" t="s">
        <v>18117</v>
      </c>
      <c r="H2048" t="s">
        <v>1112</v>
      </c>
      <c r="I2048" t="s">
        <v>1108</v>
      </c>
      <c r="J2048" t="s">
        <v>6789</v>
      </c>
      <c r="K2048" t="s">
        <v>6790</v>
      </c>
      <c r="L2048" t="s">
        <v>21</v>
      </c>
      <c r="M2048" t="s">
        <v>19177</v>
      </c>
      <c r="N2048" t="s">
        <v>309</v>
      </c>
      <c r="O2048" t="s">
        <v>6029</v>
      </c>
      <c r="P2048" t="s">
        <v>114</v>
      </c>
    </row>
    <row r="2049">
      <c r="A2049">
        <f>HYPERLINK("http://bombeiros.sp.gov.br/hidrantes/03individual/1896.html","1896")</f>
      </c>
      <c r="B2049" t="s">
        <v>114</v>
      </c>
      <c r="C2049" t="s">
        <v>421</v>
      </c>
      <c r="D2049" t="s">
        <v>6775</v>
      </c>
      <c r="E2049" t="s">
        <v>15</v>
      </c>
      <c r="F2049" t="s">
        <v>6791</v>
      </c>
      <c r="G2049" t="s">
        <v>18117</v>
      </c>
      <c r="H2049" t="s">
        <v>1121</v>
      </c>
      <c r="I2049" t="s">
        <v>1117</v>
      </c>
      <c r="J2049" t="s">
        <v>6792</v>
      </c>
      <c r="K2049" t="s">
        <v>6793</v>
      </c>
      <c r="L2049" t="s">
        <v>21</v>
      </c>
      <c r="M2049" t="s">
        <v>19177</v>
      </c>
      <c r="N2049" t="s">
        <v>309</v>
      </c>
      <c r="O2049" t="s">
        <v>6029</v>
      </c>
      <c r="P2049" t="s">
        <v>114</v>
      </c>
    </row>
    <row r="2050">
      <c r="A2050">
        <f>HYPERLINK("http://bombeiros.sp.gov.br/hidrantes/03individual/3396.html","3396")</f>
      </c>
      <c r="B2050" t="s">
        <v>114</v>
      </c>
      <c r="C2050" t="s">
        <v>421</v>
      </c>
      <c r="D2050" t="s">
        <v>6775</v>
      </c>
      <c r="E2050" t="s">
        <v>15</v>
      </c>
      <c r="F2050" t="s">
        <v>6794</v>
      </c>
      <c r="G2050" t="s">
        <v>18099</v>
      </c>
      <c r="H2050" t="s">
        <v>1107</v>
      </c>
      <c r="I2050" t="s">
        <v>1108</v>
      </c>
      <c r="J2050" t="s">
        <v>6795</v>
      </c>
      <c r="K2050" t="s">
        <v>6796</v>
      </c>
      <c r="L2050" t="s">
        <v>36</v>
      </c>
      <c r="M2050" t="s">
        <v>19177</v>
      </c>
      <c r="N2050" t="s">
        <v>6029</v>
      </c>
      <c r="O2050" t="s">
        <v>6029</v>
      </c>
      <c r="P2050" t="s">
        <v>114</v>
      </c>
    </row>
    <row r="2051">
      <c r="A2051">
        <f>HYPERLINK("http://bombeiros.sp.gov.br/hidrantes/03individual/3409.html","3409")</f>
      </c>
      <c r="B2051" t="s">
        <v>114</v>
      </c>
      <c r="C2051" t="s">
        <v>421</v>
      </c>
      <c r="D2051" t="s">
        <v>6775</v>
      </c>
      <c r="E2051" t="s">
        <v>15</v>
      </c>
      <c r="F2051" t="s">
        <v>6797</v>
      </c>
      <c r="G2051" t="s">
        <v>18067</v>
      </c>
      <c r="H2051" t="s">
        <v>1107</v>
      </c>
      <c r="I2051" t="s">
        <v>1108</v>
      </c>
      <c r="J2051" t="s">
        <v>6798</v>
      </c>
      <c r="K2051" t="s">
        <v>6799</v>
      </c>
      <c r="L2051" t="s">
        <v>21</v>
      </c>
      <c r="M2051" t="s">
        <v>19177</v>
      </c>
      <c r="N2051" t="s">
        <v>309</v>
      </c>
      <c r="O2051" t="s">
        <v>6029</v>
      </c>
      <c r="P2051" t="s">
        <v>114</v>
      </c>
    </row>
    <row r="2052">
      <c r="A2052">
        <f>HYPERLINK("http://bombeiros.sp.gov.br/hidrantes/03individual/26850.html","26850")</f>
      </c>
      <c r="B2052" t="s">
        <v>114</v>
      </c>
      <c r="C2052" t="s">
        <v>421</v>
      </c>
      <c r="D2052" t="s">
        <v>6775</v>
      </c>
      <c r="E2052" t="s">
        <v>15</v>
      </c>
      <c r="F2052" t="s">
        <v>16192</v>
      </c>
      <c r="G2052" t="s">
        <v>18099</v>
      </c>
      <c r="H2052" t="s">
        <v>1107</v>
      </c>
      <c r="I2052" t="s">
        <v>1108</v>
      </c>
      <c r="J2052" t="s">
        <v>16193</v>
      </c>
      <c r="K2052" t="s">
        <v>16194</v>
      </c>
      <c r="L2052" t="s">
        <v>21</v>
      </c>
      <c r="M2052" t="s">
        <v>19177</v>
      </c>
      <c r="N2052" t="s">
        <v>6029</v>
      </c>
      <c r="O2052" t="s">
        <v>6029</v>
      </c>
      <c r="P2052" t="s">
        <v>114</v>
      </c>
    </row>
    <row r="2053">
      <c r="A2053">
        <f>HYPERLINK("http://bombeiros.sp.gov.br/hidrantes/03individual/820.html","820")</f>
      </c>
      <c r="B2053" t="s">
        <v>114</v>
      </c>
      <c r="C2053" t="s">
        <v>421</v>
      </c>
      <c r="D2053" t="s">
        <v>422</v>
      </c>
      <c r="E2053" t="s">
        <v>64</v>
      </c>
      <c r="F2053" t="s">
        <v>6800</v>
      </c>
      <c r="G2053" t="s">
        <v>18069</v>
      </c>
      <c r="H2053" t="s">
        <v>1121</v>
      </c>
      <c r="I2053" t="s">
        <v>1117</v>
      </c>
      <c r="J2053" t="s">
        <v>6801</v>
      </c>
      <c r="K2053" t="s">
        <v>6802</v>
      </c>
      <c r="L2053" t="s">
        <v>21</v>
      </c>
      <c r="M2053" t="s">
        <v>19177</v>
      </c>
      <c r="N2053" t="s">
        <v>6029</v>
      </c>
      <c r="O2053" t="s">
        <v>6029</v>
      </c>
      <c r="P2053" t="s">
        <v>114</v>
      </c>
    </row>
    <row r="2054">
      <c r="A2054">
        <f>HYPERLINK("http://bombeiros.sp.gov.br/hidrantes/03individual/1983.html","1983")</f>
      </c>
      <c r="B2054" t="s">
        <v>114</v>
      </c>
      <c r="C2054" t="s">
        <v>421</v>
      </c>
      <c r="D2054" t="s">
        <v>422</v>
      </c>
      <c r="E2054" t="s">
        <v>15</v>
      </c>
      <c r="F2054" t="s">
        <v>6803</v>
      </c>
      <c r="G2054" t="s">
        <v>18072</v>
      </c>
      <c r="H2054" t="s">
        <v>1112</v>
      </c>
      <c r="I2054" t="s">
        <v>1108</v>
      </c>
      <c r="J2054" t="s">
        <v>6804</v>
      </c>
      <c r="K2054" t="s">
        <v>6805</v>
      </c>
      <c r="L2054" t="s">
        <v>21</v>
      </c>
      <c r="M2054" t="s">
        <v>19177</v>
      </c>
      <c r="N2054" t="s">
        <v>6029</v>
      </c>
      <c r="O2054" t="s">
        <v>6029</v>
      </c>
      <c r="P2054" t="s">
        <v>114</v>
      </c>
    </row>
    <row r="2055">
      <c r="A2055">
        <f>HYPERLINK("http://bombeiros.sp.gov.br/hidrantes/03individual/3489.html","3489")</f>
      </c>
      <c r="B2055" t="s">
        <v>114</v>
      </c>
      <c r="C2055" t="s">
        <v>421</v>
      </c>
      <c r="D2055" t="s">
        <v>422</v>
      </c>
      <c r="E2055" t="s">
        <v>15</v>
      </c>
      <c r="F2055" t="s">
        <v>6806</v>
      </c>
      <c r="G2055" t="s">
        <v>18117</v>
      </c>
      <c r="H2055" t="s">
        <v>1107</v>
      </c>
      <c r="I2055" t="s">
        <v>1108</v>
      </c>
      <c r="J2055" t="s">
        <v>6807</v>
      </c>
      <c r="K2055" t="s">
        <v>6808</v>
      </c>
      <c r="L2055" t="s">
        <v>21</v>
      </c>
      <c r="M2055" t="s">
        <v>19177</v>
      </c>
      <c r="N2055" t="s">
        <v>6029</v>
      </c>
      <c r="O2055" t="s">
        <v>6029</v>
      </c>
      <c r="P2055" t="s">
        <v>114</v>
      </c>
    </row>
    <row r="2056">
      <c r="A2056">
        <f>HYPERLINK("http://bombeiros.sp.gov.br/hidrantes/03individual/3523.html","3523")</f>
      </c>
      <c r="B2056" t="s">
        <v>114</v>
      </c>
      <c r="C2056" t="s">
        <v>421</v>
      </c>
      <c r="D2056" t="s">
        <v>422</v>
      </c>
      <c r="E2056" t="s">
        <v>15</v>
      </c>
      <c r="F2056" t="s">
        <v>6809</v>
      </c>
      <c r="G2056" t="s">
        <v>18099</v>
      </c>
      <c r="H2056" t="s">
        <v>1121</v>
      </c>
      <c r="I2056" t="s">
        <v>1117</v>
      </c>
      <c r="J2056" t="s">
        <v>6810</v>
      </c>
      <c r="K2056" t="s">
        <v>6811</v>
      </c>
      <c r="L2056" t="s">
        <v>21</v>
      </c>
      <c r="M2056" t="s">
        <v>19177</v>
      </c>
      <c r="N2056" t="s">
        <v>6029</v>
      </c>
      <c r="O2056" t="s">
        <v>6029</v>
      </c>
      <c r="P2056" t="s">
        <v>114</v>
      </c>
    </row>
    <row r="2057">
      <c r="A2057">
        <f>HYPERLINK("http://bombeiros.sp.gov.br/hidrantes/03individual/3527.html","3527")</f>
      </c>
      <c r="B2057" t="s">
        <v>114</v>
      </c>
      <c r="C2057" t="s">
        <v>421</v>
      </c>
      <c r="D2057" t="s">
        <v>422</v>
      </c>
      <c r="E2057" t="s">
        <v>15</v>
      </c>
      <c r="F2057" t="s">
        <v>6812</v>
      </c>
      <c r="G2057" t="s">
        <v>18117</v>
      </c>
      <c r="H2057" t="s">
        <v>1121</v>
      </c>
      <c r="I2057" t="s">
        <v>1117</v>
      </c>
      <c r="J2057" t="s">
        <v>6813</v>
      </c>
      <c r="K2057" t="s">
        <v>6814</v>
      </c>
      <c r="L2057" t="s">
        <v>21</v>
      </c>
      <c r="M2057" t="s">
        <v>19177</v>
      </c>
      <c r="N2057" t="s">
        <v>6029</v>
      </c>
      <c r="O2057" t="s">
        <v>6029</v>
      </c>
      <c r="P2057" t="s">
        <v>114</v>
      </c>
    </row>
    <row r="2058">
      <c r="A2058">
        <f>HYPERLINK("http://bombeiros.sp.gov.br/hidrantes/03individual/3538.html","3538")</f>
      </c>
      <c r="B2058" t="s">
        <v>114</v>
      </c>
      <c r="C2058" t="s">
        <v>421</v>
      </c>
      <c r="D2058" t="s">
        <v>422</v>
      </c>
      <c r="E2058" t="s">
        <v>15</v>
      </c>
      <c r="F2058" t="s">
        <v>6815</v>
      </c>
      <c r="G2058" t="s">
        <v>18099</v>
      </c>
      <c r="H2058" t="s">
        <v>1107</v>
      </c>
      <c r="I2058" t="s">
        <v>1108</v>
      </c>
      <c r="J2058" t="s">
        <v>6816</v>
      </c>
      <c r="K2058" t="s">
        <v>6817</v>
      </c>
      <c r="L2058" t="s">
        <v>21</v>
      </c>
      <c r="M2058" t="s">
        <v>19177</v>
      </c>
      <c r="N2058" t="s">
        <v>6029</v>
      </c>
      <c r="O2058" t="s">
        <v>6029</v>
      </c>
      <c r="P2058" t="s">
        <v>114</v>
      </c>
    </row>
    <row r="2059">
      <c r="A2059">
        <f>HYPERLINK("http://bombeiros.sp.gov.br/hidrantes/03individual/4338.html","4338")</f>
      </c>
      <c r="B2059" t="s">
        <v>114</v>
      </c>
      <c r="C2059" t="s">
        <v>421</v>
      </c>
      <c r="D2059" t="s">
        <v>422</v>
      </c>
      <c r="E2059" t="s">
        <v>15</v>
      </c>
      <c r="F2059" t="s">
        <v>6818</v>
      </c>
      <c r="G2059" t="s">
        <v>18099</v>
      </c>
      <c r="H2059" t="s">
        <v>1107</v>
      </c>
      <c r="I2059" t="s">
        <v>1108</v>
      </c>
      <c r="J2059" t="s">
        <v>6819</v>
      </c>
      <c r="K2059" t="s">
        <v>6820</v>
      </c>
      <c r="L2059" t="s">
        <v>21</v>
      </c>
      <c r="M2059" t="s">
        <v>19177</v>
      </c>
      <c r="N2059" t="s">
        <v>6029</v>
      </c>
      <c r="O2059" t="s">
        <v>6029</v>
      </c>
      <c r="P2059" t="s">
        <v>114</v>
      </c>
    </row>
    <row r="2060">
      <c r="A2060">
        <f>HYPERLINK("http://bombeiros.sp.gov.br/hidrantes/03individual/17791.html","17791")</f>
      </c>
      <c r="B2060" t="s">
        <v>114</v>
      </c>
      <c r="C2060" t="s">
        <v>421</v>
      </c>
      <c r="D2060" t="s">
        <v>422</v>
      </c>
      <c r="E2060" t="s">
        <v>15</v>
      </c>
      <c r="F2060" t="s">
        <v>6821</v>
      </c>
      <c r="G2060" t="s">
        <v>18099</v>
      </c>
      <c r="H2060" t="s">
        <v>1174</v>
      </c>
      <c r="I2060" t="s">
        <v>1108</v>
      </c>
      <c r="J2060" t="s">
        <v>6822</v>
      </c>
      <c r="K2060" t="s">
        <v>6823</v>
      </c>
      <c r="L2060" t="s">
        <v>21</v>
      </c>
      <c r="M2060" t="s">
        <v>19177</v>
      </c>
      <c r="N2060" t="s">
        <v>6029</v>
      </c>
      <c r="O2060" t="s">
        <v>6029</v>
      </c>
      <c r="P2060" t="s">
        <v>114</v>
      </c>
    </row>
    <row r="2061">
      <c r="A2061">
        <f>HYPERLINK("http://bombeiros.sp.gov.br/hidrantes/03individual/28183.html","28183")</f>
      </c>
      <c r="B2061" t="s">
        <v>114</v>
      </c>
      <c r="C2061" t="s">
        <v>421</v>
      </c>
      <c r="D2061" t="s">
        <v>6824</v>
      </c>
      <c r="E2061" t="s">
        <v>64</v>
      </c>
      <c r="F2061" t="s">
        <v>18304</v>
      </c>
      <c r="G2061" t="s">
        <v>18072</v>
      </c>
      <c r="H2061" t="s">
        <v>1112</v>
      </c>
      <c r="I2061" t="s">
        <v>1108</v>
      </c>
      <c r="J2061" t="s">
        <v>18305</v>
      </c>
      <c r="K2061" t="s">
        <v>18306</v>
      </c>
      <c r="L2061" t="s">
        <v>21</v>
      </c>
      <c r="M2061" t="s">
        <v>19177</v>
      </c>
      <c r="N2061" t="s">
        <v>6029</v>
      </c>
      <c r="O2061" t="s">
        <v>6029</v>
      </c>
      <c r="P2061" t="s">
        <v>114</v>
      </c>
    </row>
    <row r="2062">
      <c r="A2062">
        <f>HYPERLINK("http://bombeiros.sp.gov.br/hidrantes/03individual/1947.html","1947")</f>
      </c>
      <c r="B2062" t="s">
        <v>114</v>
      </c>
      <c r="C2062" t="s">
        <v>421</v>
      </c>
      <c r="D2062" t="s">
        <v>6824</v>
      </c>
      <c r="E2062" t="s">
        <v>15</v>
      </c>
      <c r="F2062" t="s">
        <v>6825</v>
      </c>
      <c r="G2062" t="s">
        <v>18097</v>
      </c>
      <c r="H2062" t="s">
        <v>1107</v>
      </c>
      <c r="I2062" t="s">
        <v>1108</v>
      </c>
      <c r="J2062" t="s">
        <v>6826</v>
      </c>
      <c r="K2062" t="s">
        <v>6827</v>
      </c>
      <c r="L2062" t="s">
        <v>21</v>
      </c>
      <c r="M2062" t="s">
        <v>19177</v>
      </c>
      <c r="N2062" t="s">
        <v>6029</v>
      </c>
      <c r="O2062" t="s">
        <v>6029</v>
      </c>
      <c r="P2062" t="s">
        <v>114</v>
      </c>
    </row>
    <row r="2063">
      <c r="A2063">
        <f>HYPERLINK("http://bombeiros.sp.gov.br/hidrantes/03individual/25225.html","25225")</f>
      </c>
      <c r="B2063" t="s">
        <v>114</v>
      </c>
      <c r="C2063" t="s">
        <v>421</v>
      </c>
      <c r="D2063" t="s">
        <v>6824</v>
      </c>
      <c r="E2063" t="s">
        <v>15</v>
      </c>
      <c r="F2063" t="s">
        <v>6828</v>
      </c>
      <c r="G2063" t="s">
        <v>18067</v>
      </c>
      <c r="H2063" t="s">
        <v>1112</v>
      </c>
      <c r="I2063" t="s">
        <v>1108</v>
      </c>
      <c r="J2063" t="s">
        <v>6829</v>
      </c>
      <c r="K2063" t="s">
        <v>6830</v>
      </c>
      <c r="L2063" t="s">
        <v>21</v>
      </c>
      <c r="M2063" t="s">
        <v>19177</v>
      </c>
      <c r="N2063" t="s">
        <v>6029</v>
      </c>
      <c r="O2063" t="s">
        <v>6029</v>
      </c>
      <c r="P2063" t="s">
        <v>114</v>
      </c>
    </row>
    <row r="2064">
      <c r="A2064">
        <f>HYPERLINK("http://bombeiros.sp.gov.br/hidrantes/03individual/3346.html","3346")</f>
      </c>
      <c r="B2064" t="s">
        <v>114</v>
      </c>
      <c r="C2064" t="s">
        <v>421</v>
      </c>
      <c r="D2064" t="s">
        <v>6063</v>
      </c>
      <c r="E2064" t="s">
        <v>64</v>
      </c>
      <c r="F2064" t="s">
        <v>6831</v>
      </c>
      <c r="G2064" t="s">
        <v>18095</v>
      </c>
      <c r="H2064" t="s">
        <v>1112</v>
      </c>
      <c r="I2064" t="s">
        <v>1108</v>
      </c>
      <c r="J2064" t="s">
        <v>6832</v>
      </c>
      <c r="K2064" t="s">
        <v>6833</v>
      </c>
      <c r="L2064" t="s">
        <v>21</v>
      </c>
      <c r="M2064" t="s">
        <v>19177</v>
      </c>
      <c r="N2064" t="s">
        <v>272</v>
      </c>
      <c r="O2064" t="s">
        <v>272</v>
      </c>
      <c r="P2064" t="s">
        <v>114</v>
      </c>
    </row>
    <row r="2065">
      <c r="A2065">
        <f>HYPERLINK("http://bombeiros.sp.gov.br/hidrantes/03individual/3515.html","3515")</f>
      </c>
      <c r="B2065" t="s">
        <v>114</v>
      </c>
      <c r="C2065" t="s">
        <v>421</v>
      </c>
      <c r="D2065" t="s">
        <v>421</v>
      </c>
      <c r="E2065" t="s">
        <v>64</v>
      </c>
      <c r="F2065" t="s">
        <v>6834</v>
      </c>
      <c r="G2065" t="s">
        <v>18085</v>
      </c>
      <c r="H2065" t="s">
        <v>1121</v>
      </c>
      <c r="I2065" t="s">
        <v>1117</v>
      </c>
      <c r="J2065" t="s">
        <v>6835</v>
      </c>
      <c r="K2065" t="s">
        <v>6836</v>
      </c>
      <c r="L2065" t="s">
        <v>21</v>
      </c>
      <c r="M2065" t="s">
        <v>19177</v>
      </c>
      <c r="N2065" t="s">
        <v>6029</v>
      </c>
      <c r="O2065" t="s">
        <v>6029</v>
      </c>
      <c r="P2065" t="s">
        <v>114</v>
      </c>
    </row>
    <row r="2066">
      <c r="A2066">
        <f>HYPERLINK("http://bombeiros.sp.gov.br/hidrantes/03individual/1987.html","1987")</f>
      </c>
      <c r="B2066" t="s">
        <v>114</v>
      </c>
      <c r="C2066" t="s">
        <v>421</v>
      </c>
      <c r="D2066" t="s">
        <v>421</v>
      </c>
      <c r="E2066" t="s">
        <v>15</v>
      </c>
      <c r="F2066" t="s">
        <v>429</v>
      </c>
      <c r="G2066" t="s">
        <v>18069</v>
      </c>
      <c r="H2066"/>
      <c r="I2066" t="s">
        <v>18</v>
      </c>
      <c r="J2066" t="s">
        <v>430</v>
      </c>
      <c r="K2066" t="s">
        <v>431</v>
      </c>
      <c r="L2066" t="s">
        <v>21</v>
      </c>
      <c r="M2066" t="s">
        <v>19177</v>
      </c>
      <c r="N2066" t="s">
        <v>6029</v>
      </c>
      <c r="O2066" t="s">
        <v>6029</v>
      </c>
      <c r="P2066" t="s">
        <v>114</v>
      </c>
    </row>
    <row r="2067">
      <c r="A2067">
        <f>HYPERLINK("http://bombeiros.sp.gov.br/hidrantes/03individual/1989.html","1989")</f>
      </c>
      <c r="B2067" t="s">
        <v>114</v>
      </c>
      <c r="C2067" t="s">
        <v>421</v>
      </c>
      <c r="D2067" t="s">
        <v>421</v>
      </c>
      <c r="E2067" t="s">
        <v>15</v>
      </c>
      <c r="F2067" t="s">
        <v>6837</v>
      </c>
      <c r="G2067" t="s">
        <v>18043</v>
      </c>
      <c r="H2067" t="s">
        <v>1121</v>
      </c>
      <c r="I2067" t="s">
        <v>1117</v>
      </c>
      <c r="J2067" t="s">
        <v>6838</v>
      </c>
      <c r="K2067" t="s">
        <v>6839</v>
      </c>
      <c r="L2067" t="s">
        <v>21</v>
      </c>
      <c r="M2067" t="s">
        <v>19177</v>
      </c>
      <c r="N2067" t="s">
        <v>6029</v>
      </c>
      <c r="O2067" t="s">
        <v>6029</v>
      </c>
      <c r="P2067" t="s">
        <v>114</v>
      </c>
    </row>
    <row r="2068">
      <c r="A2068">
        <f>HYPERLINK("http://bombeiros.sp.gov.br/hidrantes/03individual/3403.html","3403")</f>
      </c>
      <c r="B2068" t="s">
        <v>114</v>
      </c>
      <c r="C2068" t="s">
        <v>421</v>
      </c>
      <c r="D2068" t="s">
        <v>421</v>
      </c>
      <c r="E2068" t="s">
        <v>15</v>
      </c>
      <c r="F2068" t="s">
        <v>6840</v>
      </c>
      <c r="G2068" t="s">
        <v>18095</v>
      </c>
      <c r="H2068" t="s">
        <v>1112</v>
      </c>
      <c r="I2068" t="s">
        <v>1108</v>
      </c>
      <c r="J2068" t="s">
        <v>6841</v>
      </c>
      <c r="K2068" t="s">
        <v>6842</v>
      </c>
      <c r="L2068" t="s">
        <v>21</v>
      </c>
      <c r="M2068" t="s">
        <v>19177</v>
      </c>
      <c r="N2068" t="s">
        <v>272</v>
      </c>
      <c r="O2068" t="s">
        <v>272</v>
      </c>
      <c r="P2068" t="s">
        <v>114</v>
      </c>
    </row>
    <row r="2069">
      <c r="A2069">
        <f>HYPERLINK("http://bombeiros.sp.gov.br/hidrantes/03individual/3453.html","3453")</f>
      </c>
      <c r="B2069" t="s">
        <v>114</v>
      </c>
      <c r="C2069" t="s">
        <v>421</v>
      </c>
      <c r="D2069" t="s">
        <v>421</v>
      </c>
      <c r="E2069" t="s">
        <v>15</v>
      </c>
      <c r="F2069" t="s">
        <v>6843</v>
      </c>
      <c r="G2069" t="s">
        <v>18099</v>
      </c>
      <c r="H2069" t="s">
        <v>1107</v>
      </c>
      <c r="I2069" t="s">
        <v>1108</v>
      </c>
      <c r="J2069" t="s">
        <v>6844</v>
      </c>
      <c r="K2069" t="s">
        <v>6845</v>
      </c>
      <c r="L2069" t="s">
        <v>21</v>
      </c>
      <c r="M2069" t="s">
        <v>19177</v>
      </c>
      <c r="N2069" t="s">
        <v>6029</v>
      </c>
      <c r="O2069" t="s">
        <v>6029</v>
      </c>
      <c r="P2069" t="s">
        <v>114</v>
      </c>
    </row>
    <row r="2070">
      <c r="A2070">
        <f>HYPERLINK("http://bombeiros.sp.gov.br/hidrantes/03individual/4415.html","4415")</f>
      </c>
      <c r="B2070" t="s">
        <v>114</v>
      </c>
      <c r="C2070" t="s">
        <v>421</v>
      </c>
      <c r="D2070" t="s">
        <v>421</v>
      </c>
      <c r="E2070" t="s">
        <v>15</v>
      </c>
      <c r="F2070" t="s">
        <v>432</v>
      </c>
      <c r="G2070" t="s">
        <v>18099</v>
      </c>
      <c r="H2070"/>
      <c r="I2070" t="s">
        <v>18</v>
      </c>
      <c r="J2070" t="s">
        <v>433</v>
      </c>
      <c r="K2070" t="s">
        <v>434</v>
      </c>
      <c r="L2070" t="s">
        <v>21</v>
      </c>
      <c r="M2070" t="s">
        <v>19177</v>
      </c>
      <c r="N2070" t="s">
        <v>6029</v>
      </c>
      <c r="O2070" t="s">
        <v>6029</v>
      </c>
      <c r="P2070" t="s">
        <v>114</v>
      </c>
    </row>
    <row r="2071">
      <c r="A2071">
        <f>HYPERLINK("http://bombeiros.sp.gov.br/hidrantes/03individual/1035.html","1035")</f>
      </c>
      <c r="B2071" t="s">
        <v>114</v>
      </c>
      <c r="C2071" t="s">
        <v>435</v>
      </c>
      <c r="D2071" t="s">
        <v>6846</v>
      </c>
      <c r="E2071" t="s">
        <v>64</v>
      </c>
      <c r="F2071" t="s">
        <v>6847</v>
      </c>
      <c r="G2071" t="s">
        <v>18217</v>
      </c>
      <c r="H2071" t="s">
        <v>1112</v>
      </c>
      <c r="I2071" t="s">
        <v>1108</v>
      </c>
      <c r="J2071" t="s">
        <v>6848</v>
      </c>
      <c r="K2071" t="s">
        <v>6849</v>
      </c>
      <c r="L2071" t="s">
        <v>21</v>
      </c>
      <c r="M2071" t="s">
        <v>19177</v>
      </c>
      <c r="N2071" t="s">
        <v>309</v>
      </c>
      <c r="O2071" t="s">
        <v>6029</v>
      </c>
      <c r="P2071" t="s">
        <v>114</v>
      </c>
    </row>
    <row r="2072">
      <c r="A2072">
        <f>HYPERLINK("http://bombeiros.sp.gov.br/hidrantes/03individual/1680.html","1680")</f>
      </c>
      <c r="B2072" t="s">
        <v>114</v>
      </c>
      <c r="C2072" t="s">
        <v>435</v>
      </c>
      <c r="D2072" t="s">
        <v>6846</v>
      </c>
      <c r="E2072" t="s">
        <v>64</v>
      </c>
      <c r="F2072" t="s">
        <v>6850</v>
      </c>
      <c r="G2072" t="s">
        <v>18076</v>
      </c>
      <c r="H2072" t="s">
        <v>1112</v>
      </c>
      <c r="I2072" t="s">
        <v>1108</v>
      </c>
      <c r="J2072" t="s">
        <v>6851</v>
      </c>
      <c r="K2072" t="s">
        <v>6852</v>
      </c>
      <c r="L2072" t="s">
        <v>36</v>
      </c>
      <c r="M2072" t="s">
        <v>19177</v>
      </c>
      <c r="N2072" t="s">
        <v>16374</v>
      </c>
      <c r="O2072" t="s">
        <v>272</v>
      </c>
      <c r="P2072" t="s">
        <v>114</v>
      </c>
    </row>
    <row r="2073">
      <c r="A2073">
        <f>HYPERLINK("http://bombeiros.sp.gov.br/hidrantes/03individual/27076.html","27076")</f>
      </c>
      <c r="B2073" t="s">
        <v>114</v>
      </c>
      <c r="C2073" t="s">
        <v>435</v>
      </c>
      <c r="D2073" t="s">
        <v>6846</v>
      </c>
      <c r="E2073" t="s">
        <v>64</v>
      </c>
      <c r="F2073" t="s">
        <v>16743</v>
      </c>
      <c r="G2073" t="s">
        <v>18097</v>
      </c>
      <c r="H2073" t="s">
        <v>1121</v>
      </c>
      <c r="I2073" t="s">
        <v>1117</v>
      </c>
      <c r="J2073" t="s">
        <v>16744</v>
      </c>
      <c r="K2073" t="s">
        <v>16745</v>
      </c>
      <c r="L2073" t="s">
        <v>21</v>
      </c>
      <c r="M2073" t="s">
        <v>19177</v>
      </c>
      <c r="N2073" t="s">
        <v>309</v>
      </c>
      <c r="O2073" t="s">
        <v>6029</v>
      </c>
      <c r="P2073" t="s">
        <v>114</v>
      </c>
    </row>
    <row r="2074">
      <c r="A2074">
        <f>HYPERLINK("http://bombeiros.sp.gov.br/hidrantes/03individual/1048.html","1048")</f>
      </c>
      <c r="B2074" t="s">
        <v>114</v>
      </c>
      <c r="C2074" t="s">
        <v>435</v>
      </c>
      <c r="D2074" t="s">
        <v>6846</v>
      </c>
      <c r="E2074" t="s">
        <v>15</v>
      </c>
      <c r="F2074" t="s">
        <v>6853</v>
      </c>
      <c r="G2074" t="s">
        <v>18076</v>
      </c>
      <c r="H2074" t="s">
        <v>1107</v>
      </c>
      <c r="I2074" t="s">
        <v>1108</v>
      </c>
      <c r="J2074" t="s">
        <v>6854</v>
      </c>
      <c r="K2074" t="s">
        <v>6855</v>
      </c>
      <c r="L2074" t="s">
        <v>21</v>
      </c>
      <c r="M2074" t="s">
        <v>19177</v>
      </c>
      <c r="N2074" t="s">
        <v>16374</v>
      </c>
      <c r="O2074" t="s">
        <v>272</v>
      </c>
      <c r="P2074" t="s">
        <v>114</v>
      </c>
    </row>
    <row r="2075">
      <c r="A2075">
        <f>HYPERLINK("http://bombeiros.sp.gov.br/hidrantes/03individual/1603.html","1603")</f>
      </c>
      <c r="B2075" t="s">
        <v>114</v>
      </c>
      <c r="C2075" t="s">
        <v>435</v>
      </c>
      <c r="D2075" t="s">
        <v>6846</v>
      </c>
      <c r="E2075" t="s">
        <v>15</v>
      </c>
      <c r="F2075" t="s">
        <v>6856</v>
      </c>
      <c r="G2075" t="s">
        <v>18051</v>
      </c>
      <c r="H2075" t="s">
        <v>1107</v>
      </c>
      <c r="I2075" t="s">
        <v>1108</v>
      </c>
      <c r="J2075" t="s">
        <v>6857</v>
      </c>
      <c r="K2075" t="s">
        <v>6858</v>
      </c>
      <c r="L2075" t="s">
        <v>21</v>
      </c>
      <c r="M2075" t="s">
        <v>19177</v>
      </c>
      <c r="N2075" t="s">
        <v>16374</v>
      </c>
      <c r="O2075" t="s">
        <v>272</v>
      </c>
      <c r="P2075" t="s">
        <v>114</v>
      </c>
    </row>
    <row r="2076">
      <c r="A2076">
        <f>HYPERLINK("http://bombeiros.sp.gov.br/hidrantes/03individual/1605.html","1605")</f>
      </c>
      <c r="B2076" t="s">
        <v>114</v>
      </c>
      <c r="C2076" t="s">
        <v>435</v>
      </c>
      <c r="D2076" t="s">
        <v>6846</v>
      </c>
      <c r="E2076" t="s">
        <v>15</v>
      </c>
      <c r="F2076" t="s">
        <v>6859</v>
      </c>
      <c r="G2076" t="s">
        <v>18050</v>
      </c>
      <c r="H2076" t="s">
        <v>1107</v>
      </c>
      <c r="I2076" t="s">
        <v>1108</v>
      </c>
      <c r="J2076" t="s">
        <v>6860</v>
      </c>
      <c r="K2076" t="s">
        <v>6861</v>
      </c>
      <c r="L2076" t="s">
        <v>21</v>
      </c>
      <c r="M2076" t="s">
        <v>19177</v>
      </c>
      <c r="N2076" t="s">
        <v>16374</v>
      </c>
      <c r="O2076" t="s">
        <v>272</v>
      </c>
      <c r="P2076" t="s">
        <v>114</v>
      </c>
    </row>
    <row r="2077">
      <c r="A2077">
        <f>HYPERLINK("http://bombeiros.sp.gov.br/hidrantes/03individual/1614.html","1614")</f>
      </c>
      <c r="B2077" t="s">
        <v>114</v>
      </c>
      <c r="C2077" t="s">
        <v>435</v>
      </c>
      <c r="D2077" t="s">
        <v>6846</v>
      </c>
      <c r="E2077" t="s">
        <v>15</v>
      </c>
      <c r="F2077" t="s">
        <v>6862</v>
      </c>
      <c r="G2077" t="s">
        <v>18097</v>
      </c>
      <c r="H2077" t="s">
        <v>1174</v>
      </c>
      <c r="I2077" t="s">
        <v>1117</v>
      </c>
      <c r="J2077" t="s">
        <v>6863</v>
      </c>
      <c r="K2077" t="s">
        <v>6864</v>
      </c>
      <c r="L2077" t="s">
        <v>21</v>
      </c>
      <c r="M2077" t="s">
        <v>19177</v>
      </c>
      <c r="N2077" t="s">
        <v>309</v>
      </c>
      <c r="O2077" t="s">
        <v>6029</v>
      </c>
      <c r="P2077" t="s">
        <v>114</v>
      </c>
    </row>
    <row r="2078">
      <c r="A2078">
        <f>HYPERLINK("http://bombeiros.sp.gov.br/hidrantes/03individual/1615.html","1615")</f>
      </c>
      <c r="B2078" t="s">
        <v>114</v>
      </c>
      <c r="C2078" t="s">
        <v>435</v>
      </c>
      <c r="D2078" t="s">
        <v>6846</v>
      </c>
      <c r="E2078" t="s">
        <v>15</v>
      </c>
      <c r="F2078" t="s">
        <v>6865</v>
      </c>
      <c r="G2078" t="s">
        <v>18051</v>
      </c>
      <c r="H2078" t="s">
        <v>1107</v>
      </c>
      <c r="I2078" t="s">
        <v>1108</v>
      </c>
      <c r="J2078" t="s">
        <v>6866</v>
      </c>
      <c r="K2078" t="s">
        <v>6867</v>
      </c>
      <c r="L2078" t="s">
        <v>21</v>
      </c>
      <c r="M2078" t="s">
        <v>19177</v>
      </c>
      <c r="N2078" t="s">
        <v>309</v>
      </c>
      <c r="O2078" t="s">
        <v>6029</v>
      </c>
      <c r="P2078" t="s">
        <v>114</v>
      </c>
    </row>
    <row r="2079">
      <c r="A2079">
        <f>HYPERLINK("http://bombeiros.sp.gov.br/hidrantes/03individual/1668.html","1668")</f>
      </c>
      <c r="B2079" t="s">
        <v>114</v>
      </c>
      <c r="C2079" t="s">
        <v>435</v>
      </c>
      <c r="D2079" t="s">
        <v>6846</v>
      </c>
      <c r="E2079" t="s">
        <v>15</v>
      </c>
      <c r="F2079" t="s">
        <v>6868</v>
      </c>
      <c r="G2079" t="s">
        <v>18097</v>
      </c>
      <c r="H2079" t="s">
        <v>1112</v>
      </c>
      <c r="I2079" t="s">
        <v>1108</v>
      </c>
      <c r="J2079" t="s">
        <v>6869</v>
      </c>
      <c r="K2079" t="s">
        <v>6870</v>
      </c>
      <c r="L2079" t="s">
        <v>21</v>
      </c>
      <c r="M2079" t="s">
        <v>19177</v>
      </c>
      <c r="N2079" t="s">
        <v>16374</v>
      </c>
      <c r="O2079" t="s">
        <v>272</v>
      </c>
      <c r="P2079" t="s">
        <v>114</v>
      </c>
    </row>
    <row r="2080">
      <c r="A2080">
        <f>HYPERLINK("http://bombeiros.sp.gov.br/hidrantes/03individual/1670.html","1670")</f>
      </c>
      <c r="B2080" t="s">
        <v>114</v>
      </c>
      <c r="C2080" t="s">
        <v>435</v>
      </c>
      <c r="D2080" t="s">
        <v>6846</v>
      </c>
      <c r="E2080" t="s">
        <v>15</v>
      </c>
      <c r="F2080" t="s">
        <v>6871</v>
      </c>
      <c r="G2080" t="s">
        <v>18051</v>
      </c>
      <c r="H2080" t="s">
        <v>1107</v>
      </c>
      <c r="I2080" t="s">
        <v>1108</v>
      </c>
      <c r="J2080" t="s">
        <v>6872</v>
      </c>
      <c r="K2080" t="s">
        <v>6873</v>
      </c>
      <c r="L2080" t="s">
        <v>21</v>
      </c>
      <c r="M2080" t="s">
        <v>19177</v>
      </c>
      <c r="N2080" t="s">
        <v>16374</v>
      </c>
      <c r="O2080" t="s">
        <v>272</v>
      </c>
      <c r="P2080" t="s">
        <v>114</v>
      </c>
    </row>
    <row r="2081">
      <c r="A2081">
        <f>HYPERLINK("http://bombeiros.sp.gov.br/hidrantes/03individual/1679.html","1679")</f>
      </c>
      <c r="B2081" t="s">
        <v>114</v>
      </c>
      <c r="C2081" t="s">
        <v>435</v>
      </c>
      <c r="D2081" t="s">
        <v>6846</v>
      </c>
      <c r="E2081" t="s">
        <v>15</v>
      </c>
      <c r="F2081" t="s">
        <v>6874</v>
      </c>
      <c r="G2081" t="s">
        <v>18050</v>
      </c>
      <c r="H2081" t="s">
        <v>1107</v>
      </c>
      <c r="I2081" t="s">
        <v>1108</v>
      </c>
      <c r="J2081" t="s">
        <v>6875</v>
      </c>
      <c r="K2081" t="s">
        <v>6876</v>
      </c>
      <c r="L2081" t="s">
        <v>21</v>
      </c>
      <c r="M2081" t="s">
        <v>19177</v>
      </c>
      <c r="N2081" t="s">
        <v>16374</v>
      </c>
      <c r="O2081" t="s">
        <v>272</v>
      </c>
      <c r="P2081" t="s">
        <v>114</v>
      </c>
    </row>
    <row r="2082">
      <c r="A2082">
        <f>HYPERLINK("http://bombeiros.sp.gov.br/hidrantes/03individual/1707.html","1707")</f>
      </c>
      <c r="B2082" t="s">
        <v>114</v>
      </c>
      <c r="C2082" t="s">
        <v>435</v>
      </c>
      <c r="D2082" t="s">
        <v>6846</v>
      </c>
      <c r="E2082" t="s">
        <v>15</v>
      </c>
      <c r="F2082" t="s">
        <v>6877</v>
      </c>
      <c r="G2082" t="s">
        <v>18192</v>
      </c>
      <c r="H2082" t="s">
        <v>1107</v>
      </c>
      <c r="I2082" t="s">
        <v>1108</v>
      </c>
      <c r="J2082" t="s">
        <v>6878</v>
      </c>
      <c r="K2082" t="s">
        <v>6879</v>
      </c>
      <c r="L2082" t="s">
        <v>21</v>
      </c>
      <c r="M2082" t="s">
        <v>19177</v>
      </c>
      <c r="N2082" t="s">
        <v>16374</v>
      </c>
      <c r="O2082" t="s">
        <v>272</v>
      </c>
      <c r="P2082" t="s">
        <v>114</v>
      </c>
    </row>
    <row r="2083">
      <c r="A2083">
        <f>HYPERLINK("http://bombeiros.sp.gov.br/hidrantes/03individual/1709.html","1709")</f>
      </c>
      <c r="B2083" t="s">
        <v>114</v>
      </c>
      <c r="C2083" t="s">
        <v>435</v>
      </c>
      <c r="D2083" t="s">
        <v>6846</v>
      </c>
      <c r="E2083" t="s">
        <v>15</v>
      </c>
      <c r="F2083" t="s">
        <v>6880</v>
      </c>
      <c r="G2083" t="s">
        <v>18192</v>
      </c>
      <c r="H2083" t="s">
        <v>1107</v>
      </c>
      <c r="I2083" t="s">
        <v>1108</v>
      </c>
      <c r="J2083" t="s">
        <v>6881</v>
      </c>
      <c r="K2083" t="s">
        <v>6882</v>
      </c>
      <c r="L2083" t="s">
        <v>21</v>
      </c>
      <c r="M2083" t="s">
        <v>19177</v>
      </c>
      <c r="N2083" t="s">
        <v>16374</v>
      </c>
      <c r="O2083" t="s">
        <v>272</v>
      </c>
      <c r="P2083" t="s">
        <v>114</v>
      </c>
    </row>
    <row r="2084">
      <c r="A2084">
        <f>HYPERLINK("http://bombeiros.sp.gov.br/hidrantes/03individual/1712.html","1712")</f>
      </c>
      <c r="B2084" t="s">
        <v>114</v>
      </c>
      <c r="C2084" t="s">
        <v>435</v>
      </c>
      <c r="D2084" t="s">
        <v>6846</v>
      </c>
      <c r="E2084" t="s">
        <v>15</v>
      </c>
      <c r="F2084" t="s">
        <v>6883</v>
      </c>
      <c r="G2084" t="s">
        <v>18217</v>
      </c>
      <c r="H2084" t="s">
        <v>1107</v>
      </c>
      <c r="I2084" t="s">
        <v>1108</v>
      </c>
      <c r="J2084" t="s">
        <v>6884</v>
      </c>
      <c r="K2084" t="s">
        <v>6885</v>
      </c>
      <c r="L2084" t="s">
        <v>21</v>
      </c>
      <c r="M2084" t="s">
        <v>19177</v>
      </c>
      <c r="N2084" t="s">
        <v>16374</v>
      </c>
      <c r="O2084" t="s">
        <v>272</v>
      </c>
      <c r="P2084" t="s">
        <v>114</v>
      </c>
    </row>
    <row r="2085">
      <c r="A2085">
        <f>HYPERLINK("http://bombeiros.sp.gov.br/hidrantes/03individual/1733.html","1733")</f>
      </c>
      <c r="B2085" t="s">
        <v>114</v>
      </c>
      <c r="C2085" t="s">
        <v>435</v>
      </c>
      <c r="D2085" t="s">
        <v>6846</v>
      </c>
      <c r="E2085" t="s">
        <v>15</v>
      </c>
      <c r="F2085" t="s">
        <v>6886</v>
      </c>
      <c r="G2085" t="s">
        <v>18051</v>
      </c>
      <c r="H2085" t="s">
        <v>1107</v>
      </c>
      <c r="I2085" t="s">
        <v>1108</v>
      </c>
      <c r="J2085" t="s">
        <v>6887</v>
      </c>
      <c r="K2085" t="s">
        <v>6888</v>
      </c>
      <c r="L2085" t="s">
        <v>21</v>
      </c>
      <c r="M2085" t="s">
        <v>19177</v>
      </c>
      <c r="N2085" t="s">
        <v>16374</v>
      </c>
      <c r="O2085" t="s">
        <v>272</v>
      </c>
      <c r="P2085" t="s">
        <v>114</v>
      </c>
    </row>
    <row r="2086">
      <c r="A2086">
        <f>HYPERLINK("http://bombeiros.sp.gov.br/hidrantes/03individual/1735.html","1735")</f>
      </c>
      <c r="B2086" t="s">
        <v>114</v>
      </c>
      <c r="C2086" t="s">
        <v>435</v>
      </c>
      <c r="D2086" t="s">
        <v>6846</v>
      </c>
      <c r="E2086" t="s">
        <v>15</v>
      </c>
      <c r="F2086" t="s">
        <v>6889</v>
      </c>
      <c r="G2086" t="s">
        <v>18051</v>
      </c>
      <c r="H2086" t="s">
        <v>1107</v>
      </c>
      <c r="I2086" t="s">
        <v>1108</v>
      </c>
      <c r="J2086" t="s">
        <v>6890</v>
      </c>
      <c r="K2086" t="s">
        <v>6891</v>
      </c>
      <c r="L2086" t="s">
        <v>21</v>
      </c>
      <c r="M2086" t="s">
        <v>19177</v>
      </c>
      <c r="N2086" t="s">
        <v>16374</v>
      </c>
      <c r="O2086" t="s">
        <v>272</v>
      </c>
      <c r="P2086" t="s">
        <v>114</v>
      </c>
    </row>
    <row r="2087">
      <c r="A2087">
        <f>HYPERLINK("http://bombeiros.sp.gov.br/hidrantes/03individual/1765.html","1765")</f>
      </c>
      <c r="B2087" t="s">
        <v>114</v>
      </c>
      <c r="C2087" t="s">
        <v>435</v>
      </c>
      <c r="D2087" t="s">
        <v>6846</v>
      </c>
      <c r="E2087" t="s">
        <v>15</v>
      </c>
      <c r="F2087" t="s">
        <v>6892</v>
      </c>
      <c r="G2087" t="s">
        <v>18050</v>
      </c>
      <c r="H2087" t="s">
        <v>1121</v>
      </c>
      <c r="I2087" t="s">
        <v>1117</v>
      </c>
      <c r="J2087" t="s">
        <v>6893</v>
      </c>
      <c r="K2087" t="s">
        <v>6894</v>
      </c>
      <c r="L2087" t="s">
        <v>21</v>
      </c>
      <c r="M2087" t="s">
        <v>19177</v>
      </c>
      <c r="N2087" t="s">
        <v>16374</v>
      </c>
      <c r="O2087" t="s">
        <v>272</v>
      </c>
      <c r="P2087" t="s">
        <v>114</v>
      </c>
    </row>
    <row r="2088">
      <c r="A2088">
        <f>HYPERLINK("http://bombeiros.sp.gov.br/hidrantes/03individual/1766.html","1766")</f>
      </c>
      <c r="B2088" t="s">
        <v>114</v>
      </c>
      <c r="C2088" t="s">
        <v>435</v>
      </c>
      <c r="D2088" t="s">
        <v>6846</v>
      </c>
      <c r="E2088" t="s">
        <v>15</v>
      </c>
      <c r="F2088" t="s">
        <v>6895</v>
      </c>
      <c r="G2088" t="s">
        <v>18192</v>
      </c>
      <c r="H2088" t="s">
        <v>1107</v>
      </c>
      <c r="I2088" t="s">
        <v>1108</v>
      </c>
      <c r="J2088" t="s">
        <v>6896</v>
      </c>
      <c r="K2088" t="s">
        <v>6897</v>
      </c>
      <c r="L2088" t="s">
        <v>21</v>
      </c>
      <c r="M2088" t="s">
        <v>19177</v>
      </c>
      <c r="N2088" t="s">
        <v>16374</v>
      </c>
      <c r="O2088" t="s">
        <v>272</v>
      </c>
      <c r="P2088" t="s">
        <v>114</v>
      </c>
    </row>
    <row r="2089">
      <c r="A2089">
        <f>HYPERLINK("http://bombeiros.sp.gov.br/hidrantes/03individual/1799.html","1799")</f>
      </c>
      <c r="B2089" t="s">
        <v>114</v>
      </c>
      <c r="C2089" t="s">
        <v>435</v>
      </c>
      <c r="D2089" t="s">
        <v>6846</v>
      </c>
      <c r="E2089" t="s">
        <v>15</v>
      </c>
      <c r="F2089" t="s">
        <v>6898</v>
      </c>
      <c r="G2089" t="s">
        <v>18192</v>
      </c>
      <c r="H2089" t="s">
        <v>1107</v>
      </c>
      <c r="I2089" t="s">
        <v>1108</v>
      </c>
      <c r="J2089" t="s">
        <v>6899</v>
      </c>
      <c r="K2089" t="s">
        <v>6900</v>
      </c>
      <c r="L2089" t="s">
        <v>21</v>
      </c>
      <c r="M2089" t="s">
        <v>19177</v>
      </c>
      <c r="N2089" t="s">
        <v>16374</v>
      </c>
      <c r="O2089" t="s">
        <v>272</v>
      </c>
      <c r="P2089" t="s">
        <v>114</v>
      </c>
    </row>
    <row r="2090">
      <c r="A2090">
        <f>HYPERLINK("http://bombeiros.sp.gov.br/hidrantes/03individual/3056.html","3056")</f>
      </c>
      <c r="B2090" t="s">
        <v>114</v>
      </c>
      <c r="C2090" t="s">
        <v>435</v>
      </c>
      <c r="D2090" t="s">
        <v>6846</v>
      </c>
      <c r="E2090" t="s">
        <v>15</v>
      </c>
      <c r="F2090" t="s">
        <v>6901</v>
      </c>
      <c r="G2090" t="s">
        <v>18050</v>
      </c>
      <c r="H2090" t="s">
        <v>1107</v>
      </c>
      <c r="I2090" t="s">
        <v>1108</v>
      </c>
      <c r="J2090" t="s">
        <v>6902</v>
      </c>
      <c r="K2090" t="s">
        <v>6903</v>
      </c>
      <c r="L2090" t="s">
        <v>21</v>
      </c>
      <c r="M2090" t="s">
        <v>19177</v>
      </c>
      <c r="N2090" t="s">
        <v>16374</v>
      </c>
      <c r="O2090" t="s">
        <v>272</v>
      </c>
      <c r="P2090" t="s">
        <v>114</v>
      </c>
    </row>
    <row r="2091">
      <c r="A2091">
        <f>HYPERLINK("http://bombeiros.sp.gov.br/hidrantes/03individual/3061.html","3061")</f>
      </c>
      <c r="B2091" t="s">
        <v>114</v>
      </c>
      <c r="C2091" t="s">
        <v>435</v>
      </c>
      <c r="D2091" t="s">
        <v>6846</v>
      </c>
      <c r="E2091" t="s">
        <v>15</v>
      </c>
      <c r="F2091" t="s">
        <v>6904</v>
      </c>
      <c r="G2091" t="s">
        <v>18078</v>
      </c>
      <c r="H2091" t="s">
        <v>1121</v>
      </c>
      <c r="I2091" t="s">
        <v>1117</v>
      </c>
      <c r="J2091" t="s">
        <v>6905</v>
      </c>
      <c r="K2091" t="s">
        <v>6906</v>
      </c>
      <c r="L2091" t="s">
        <v>21</v>
      </c>
      <c r="M2091" t="s">
        <v>19177</v>
      </c>
      <c r="N2091" t="s">
        <v>16374</v>
      </c>
      <c r="O2091" t="s">
        <v>272</v>
      </c>
      <c r="P2091" t="s">
        <v>114</v>
      </c>
    </row>
    <row r="2092">
      <c r="A2092">
        <f>HYPERLINK("http://bombeiros.sp.gov.br/hidrantes/03individual/3219.html","3219")</f>
      </c>
      <c r="B2092" t="s">
        <v>114</v>
      </c>
      <c r="C2092" t="s">
        <v>435</v>
      </c>
      <c r="D2092" t="s">
        <v>6846</v>
      </c>
      <c r="E2092" t="s">
        <v>15</v>
      </c>
      <c r="F2092" t="s">
        <v>6907</v>
      </c>
      <c r="G2092" t="s">
        <v>18217</v>
      </c>
      <c r="H2092"/>
      <c r="I2092" t="s">
        <v>18</v>
      </c>
      <c r="J2092" t="s">
        <v>6908</v>
      </c>
      <c r="K2092" t="s">
        <v>6909</v>
      </c>
      <c r="L2092" t="s">
        <v>21</v>
      </c>
      <c r="M2092" t="s">
        <v>19177</v>
      </c>
      <c r="N2092" t="s">
        <v>16374</v>
      </c>
      <c r="O2092" t="s">
        <v>272</v>
      </c>
      <c r="P2092" t="s">
        <v>114</v>
      </c>
    </row>
    <row r="2093">
      <c r="A2093">
        <f>HYPERLINK("http://bombeiros.sp.gov.br/hidrantes/03individual/3220.html","3220")</f>
      </c>
      <c r="B2093" t="s">
        <v>114</v>
      </c>
      <c r="C2093" t="s">
        <v>435</v>
      </c>
      <c r="D2093" t="s">
        <v>6846</v>
      </c>
      <c r="E2093" t="s">
        <v>15</v>
      </c>
      <c r="F2093" t="s">
        <v>6910</v>
      </c>
      <c r="G2093" t="s">
        <v>18051</v>
      </c>
      <c r="H2093" t="s">
        <v>1107</v>
      </c>
      <c r="I2093" t="s">
        <v>1108</v>
      </c>
      <c r="J2093" t="s">
        <v>6911</v>
      </c>
      <c r="K2093" t="s">
        <v>6912</v>
      </c>
      <c r="L2093" t="s">
        <v>21</v>
      </c>
      <c r="M2093" t="s">
        <v>19177</v>
      </c>
      <c r="N2093" t="s">
        <v>16374</v>
      </c>
      <c r="O2093" t="s">
        <v>272</v>
      </c>
      <c r="P2093" t="s">
        <v>114</v>
      </c>
    </row>
    <row r="2094">
      <c r="A2094">
        <f>HYPERLINK("http://bombeiros.sp.gov.br/hidrantes/03individual/3222.html","3222")</f>
      </c>
      <c r="B2094" t="s">
        <v>114</v>
      </c>
      <c r="C2094" t="s">
        <v>435</v>
      </c>
      <c r="D2094" t="s">
        <v>6846</v>
      </c>
      <c r="E2094" t="s">
        <v>15</v>
      </c>
      <c r="F2094" t="s">
        <v>6913</v>
      </c>
      <c r="G2094" t="s">
        <v>18076</v>
      </c>
      <c r="H2094" t="s">
        <v>1107</v>
      </c>
      <c r="I2094" t="s">
        <v>1108</v>
      </c>
      <c r="J2094" t="s">
        <v>6914</v>
      </c>
      <c r="K2094" t="s">
        <v>6915</v>
      </c>
      <c r="L2094" t="s">
        <v>21</v>
      </c>
      <c r="M2094" t="s">
        <v>19177</v>
      </c>
      <c r="N2094" t="s">
        <v>16374</v>
      </c>
      <c r="O2094" t="s">
        <v>272</v>
      </c>
      <c r="P2094" t="s">
        <v>114</v>
      </c>
    </row>
    <row r="2095">
      <c r="A2095">
        <f>HYPERLINK("http://bombeiros.sp.gov.br/hidrantes/03individual/3237.html","3237")</f>
      </c>
      <c r="B2095" t="s">
        <v>114</v>
      </c>
      <c r="C2095" t="s">
        <v>435</v>
      </c>
      <c r="D2095" t="s">
        <v>6846</v>
      </c>
      <c r="E2095" t="s">
        <v>15</v>
      </c>
      <c r="F2095" t="s">
        <v>6916</v>
      </c>
      <c r="G2095" t="s">
        <v>18076</v>
      </c>
      <c r="H2095" t="s">
        <v>1107</v>
      </c>
      <c r="I2095" t="s">
        <v>1108</v>
      </c>
      <c r="J2095" t="s">
        <v>6917</v>
      </c>
      <c r="K2095" t="s">
        <v>6918</v>
      </c>
      <c r="L2095" t="s">
        <v>21</v>
      </c>
      <c r="M2095" t="s">
        <v>19177</v>
      </c>
      <c r="N2095" t="s">
        <v>16374</v>
      </c>
      <c r="O2095" t="s">
        <v>272</v>
      </c>
      <c r="P2095" t="s">
        <v>114</v>
      </c>
    </row>
    <row r="2096">
      <c r="A2096">
        <f>HYPERLINK("http://bombeiros.sp.gov.br/hidrantes/03individual/3246.html","3246")</f>
      </c>
      <c r="B2096" t="s">
        <v>114</v>
      </c>
      <c r="C2096" t="s">
        <v>435</v>
      </c>
      <c r="D2096" t="s">
        <v>6846</v>
      </c>
      <c r="E2096" t="s">
        <v>15</v>
      </c>
      <c r="F2096" t="s">
        <v>6919</v>
      </c>
      <c r="G2096" t="s">
        <v>18076</v>
      </c>
      <c r="H2096" t="s">
        <v>1107</v>
      </c>
      <c r="I2096" t="s">
        <v>1108</v>
      </c>
      <c r="J2096" t="s">
        <v>6920</v>
      </c>
      <c r="K2096" t="s">
        <v>6921</v>
      </c>
      <c r="L2096" t="s">
        <v>21</v>
      </c>
      <c r="M2096" t="s">
        <v>19177</v>
      </c>
      <c r="N2096" t="s">
        <v>16374</v>
      </c>
      <c r="O2096" t="s">
        <v>272</v>
      </c>
      <c r="P2096" t="s">
        <v>114</v>
      </c>
    </row>
    <row r="2097">
      <c r="A2097">
        <f>HYPERLINK("http://bombeiros.sp.gov.br/hidrantes/03individual/3247.html","3247")</f>
      </c>
      <c r="B2097" t="s">
        <v>114</v>
      </c>
      <c r="C2097" t="s">
        <v>435</v>
      </c>
      <c r="D2097" t="s">
        <v>6846</v>
      </c>
      <c r="E2097" t="s">
        <v>15</v>
      </c>
      <c r="F2097" t="s">
        <v>6922</v>
      </c>
      <c r="G2097" t="s">
        <v>18076</v>
      </c>
      <c r="H2097" t="s">
        <v>1107</v>
      </c>
      <c r="I2097" t="s">
        <v>1108</v>
      </c>
      <c r="J2097" t="s">
        <v>6923</v>
      </c>
      <c r="K2097" t="s">
        <v>6924</v>
      </c>
      <c r="L2097" t="s">
        <v>21</v>
      </c>
      <c r="M2097" t="s">
        <v>19177</v>
      </c>
      <c r="N2097" t="s">
        <v>16374</v>
      </c>
      <c r="O2097" t="s">
        <v>272</v>
      </c>
      <c r="P2097" t="s">
        <v>114</v>
      </c>
    </row>
    <row r="2098">
      <c r="A2098">
        <f>HYPERLINK("http://bombeiros.sp.gov.br/hidrantes/03individual/3257.html","3257")</f>
      </c>
      <c r="B2098" t="s">
        <v>114</v>
      </c>
      <c r="C2098" t="s">
        <v>435</v>
      </c>
      <c r="D2098" t="s">
        <v>6846</v>
      </c>
      <c r="E2098" t="s">
        <v>15</v>
      </c>
      <c r="F2098" t="s">
        <v>6925</v>
      </c>
      <c r="G2098" t="s">
        <v>18097</v>
      </c>
      <c r="H2098" t="s">
        <v>1174</v>
      </c>
      <c r="I2098" t="s">
        <v>1117</v>
      </c>
      <c r="J2098" t="s">
        <v>6926</v>
      </c>
      <c r="K2098" t="s">
        <v>6927</v>
      </c>
      <c r="L2098" t="s">
        <v>21</v>
      </c>
      <c r="M2098" t="s">
        <v>19177</v>
      </c>
      <c r="N2098" t="s">
        <v>16374</v>
      </c>
      <c r="O2098" t="s">
        <v>272</v>
      </c>
      <c r="P2098" t="s">
        <v>114</v>
      </c>
    </row>
    <row r="2099">
      <c r="A2099">
        <f>HYPERLINK("http://bombeiros.sp.gov.br/hidrantes/03individual/3279.html","3279")</f>
      </c>
      <c r="B2099" t="s">
        <v>114</v>
      </c>
      <c r="C2099" t="s">
        <v>435</v>
      </c>
      <c r="D2099" t="s">
        <v>6846</v>
      </c>
      <c r="E2099" t="s">
        <v>15</v>
      </c>
      <c r="F2099" t="s">
        <v>6928</v>
      </c>
      <c r="G2099" t="s">
        <v>18192</v>
      </c>
      <c r="H2099" t="s">
        <v>1107</v>
      </c>
      <c r="I2099" t="s">
        <v>1108</v>
      </c>
      <c r="J2099" t="s">
        <v>6929</v>
      </c>
      <c r="K2099" t="s">
        <v>6930</v>
      </c>
      <c r="L2099" t="s">
        <v>21</v>
      </c>
      <c r="M2099" t="s">
        <v>19177</v>
      </c>
      <c r="N2099" t="s">
        <v>16374</v>
      </c>
      <c r="O2099" t="s">
        <v>272</v>
      </c>
      <c r="P2099" t="s">
        <v>114</v>
      </c>
    </row>
    <row r="2100">
      <c r="A2100">
        <f>HYPERLINK("http://bombeiros.sp.gov.br/hidrantes/03individual/3282.html","3282")</f>
      </c>
      <c r="B2100" t="s">
        <v>114</v>
      </c>
      <c r="C2100" t="s">
        <v>435</v>
      </c>
      <c r="D2100" t="s">
        <v>6846</v>
      </c>
      <c r="E2100" t="s">
        <v>15</v>
      </c>
      <c r="F2100" t="s">
        <v>6931</v>
      </c>
      <c r="G2100" t="s">
        <v>18192</v>
      </c>
      <c r="H2100" t="s">
        <v>1121</v>
      </c>
      <c r="I2100" t="s">
        <v>1117</v>
      </c>
      <c r="J2100" t="s">
        <v>6932</v>
      </c>
      <c r="K2100" t="s">
        <v>6933</v>
      </c>
      <c r="L2100" t="s">
        <v>21</v>
      </c>
      <c r="M2100" t="s">
        <v>19177</v>
      </c>
      <c r="N2100" t="s">
        <v>16374</v>
      </c>
      <c r="O2100" t="s">
        <v>272</v>
      </c>
      <c r="P2100" t="s">
        <v>114</v>
      </c>
    </row>
    <row r="2101">
      <c r="A2101">
        <f>HYPERLINK("http://bombeiros.sp.gov.br/hidrantes/03individual/3391.html","3391")</f>
      </c>
      <c r="B2101" t="s">
        <v>114</v>
      </c>
      <c r="C2101" t="s">
        <v>435</v>
      </c>
      <c r="D2101" t="s">
        <v>6846</v>
      </c>
      <c r="E2101" t="s">
        <v>15</v>
      </c>
      <c r="F2101" t="s">
        <v>6934</v>
      </c>
      <c r="G2101" t="s">
        <v>18192</v>
      </c>
      <c r="H2101" t="s">
        <v>1107</v>
      </c>
      <c r="I2101" t="s">
        <v>1108</v>
      </c>
      <c r="J2101" t="s">
        <v>6935</v>
      </c>
      <c r="K2101" t="s">
        <v>6936</v>
      </c>
      <c r="L2101" t="s">
        <v>21</v>
      </c>
      <c r="M2101" t="s">
        <v>19177</v>
      </c>
      <c r="N2101" t="s">
        <v>16374</v>
      </c>
      <c r="O2101" t="s">
        <v>272</v>
      </c>
      <c r="P2101" t="s">
        <v>114</v>
      </c>
    </row>
    <row r="2102">
      <c r="A2102">
        <f>HYPERLINK("http://bombeiros.sp.gov.br/hidrantes/03individual/17689.html","17689")</f>
      </c>
      <c r="B2102" t="s">
        <v>114</v>
      </c>
      <c r="C2102" t="s">
        <v>435</v>
      </c>
      <c r="D2102" t="s">
        <v>6846</v>
      </c>
      <c r="E2102" t="s">
        <v>15</v>
      </c>
      <c r="F2102" t="s">
        <v>6937</v>
      </c>
      <c r="G2102" t="s">
        <v>18076</v>
      </c>
      <c r="H2102" t="s">
        <v>1112</v>
      </c>
      <c r="I2102" t="s">
        <v>1108</v>
      </c>
      <c r="J2102" t="s">
        <v>6938</v>
      </c>
      <c r="K2102" t="s">
        <v>6939</v>
      </c>
      <c r="L2102" t="s">
        <v>21</v>
      </c>
      <c r="M2102" t="s">
        <v>19177</v>
      </c>
      <c r="N2102" t="s">
        <v>16374</v>
      </c>
      <c r="O2102" t="s">
        <v>272</v>
      </c>
      <c r="P2102" t="s">
        <v>114</v>
      </c>
    </row>
    <row r="2103">
      <c r="A2103">
        <f>HYPERLINK("http://bombeiros.sp.gov.br/hidrantes/03individual/27655.html","27655")</f>
      </c>
      <c r="B2103" t="s">
        <v>114</v>
      </c>
      <c r="C2103" t="s">
        <v>435</v>
      </c>
      <c r="D2103" t="s">
        <v>16145</v>
      </c>
      <c r="E2103" t="s">
        <v>64</v>
      </c>
      <c r="F2103" t="s">
        <v>17560</v>
      </c>
      <c r="G2103" t="s">
        <v>18076</v>
      </c>
      <c r="H2103" t="s">
        <v>1121</v>
      </c>
      <c r="I2103" t="s">
        <v>1117</v>
      </c>
      <c r="J2103" t="s">
        <v>17561</v>
      </c>
      <c r="K2103" t="s">
        <v>17562</v>
      </c>
      <c r="L2103" t="s">
        <v>21</v>
      </c>
      <c r="M2103" t="s">
        <v>19177</v>
      </c>
      <c r="N2103" t="s">
        <v>16374</v>
      </c>
      <c r="O2103" t="s">
        <v>272</v>
      </c>
      <c r="P2103" t="s">
        <v>114</v>
      </c>
    </row>
    <row r="2104">
      <c r="A2104">
        <f>HYPERLINK("http://bombeiros.sp.gov.br/hidrantes/03individual/1372.html","1372")</f>
      </c>
      <c r="B2104" t="s">
        <v>114</v>
      </c>
      <c r="C2104" t="s">
        <v>435</v>
      </c>
      <c r="D2104" t="s">
        <v>16145</v>
      </c>
      <c r="E2104" t="s">
        <v>15</v>
      </c>
      <c r="F2104" t="s">
        <v>6940</v>
      </c>
      <c r="G2104" t="s">
        <v>18076</v>
      </c>
      <c r="H2104" t="s">
        <v>1121</v>
      </c>
      <c r="I2104" t="s">
        <v>1117</v>
      </c>
      <c r="J2104" t="s">
        <v>16052</v>
      </c>
      <c r="K2104" t="s">
        <v>16053</v>
      </c>
      <c r="L2104" t="s">
        <v>21</v>
      </c>
      <c r="M2104" t="s">
        <v>19177</v>
      </c>
      <c r="N2104" t="s">
        <v>309</v>
      </c>
      <c r="O2104" t="s">
        <v>6029</v>
      </c>
      <c r="P2104" t="s">
        <v>114</v>
      </c>
    </row>
    <row r="2105">
      <c r="A2105">
        <f>HYPERLINK("http://bombeiros.sp.gov.br/hidrantes/03individual/1375.html","1375")</f>
      </c>
      <c r="B2105" t="s">
        <v>114</v>
      </c>
      <c r="C2105" t="s">
        <v>435</v>
      </c>
      <c r="D2105" t="s">
        <v>16145</v>
      </c>
      <c r="E2105" t="s">
        <v>15</v>
      </c>
      <c r="F2105" t="s">
        <v>6943</v>
      </c>
      <c r="G2105" t="s">
        <v>18076</v>
      </c>
      <c r="H2105" t="s">
        <v>1174</v>
      </c>
      <c r="I2105" t="s">
        <v>1108</v>
      </c>
      <c r="J2105" t="s">
        <v>6944</v>
      </c>
      <c r="K2105" t="s">
        <v>6945</v>
      </c>
      <c r="L2105" t="s">
        <v>21</v>
      </c>
      <c r="M2105" t="s">
        <v>19177</v>
      </c>
      <c r="N2105" t="s">
        <v>16374</v>
      </c>
      <c r="O2105" t="s">
        <v>272</v>
      </c>
      <c r="P2105" t="s">
        <v>114</v>
      </c>
    </row>
    <row r="2106">
      <c r="A2106">
        <f>HYPERLINK("http://bombeiros.sp.gov.br/hidrantes/03individual/1380.html","1380")</f>
      </c>
      <c r="B2106" t="s">
        <v>114</v>
      </c>
      <c r="C2106" t="s">
        <v>435</v>
      </c>
      <c r="D2106" t="s">
        <v>16145</v>
      </c>
      <c r="E2106" t="s">
        <v>15</v>
      </c>
      <c r="F2106" t="s">
        <v>6946</v>
      </c>
      <c r="G2106" t="s">
        <v>18076</v>
      </c>
      <c r="H2106" t="s">
        <v>1107</v>
      </c>
      <c r="I2106" t="s">
        <v>1108</v>
      </c>
      <c r="J2106" t="s">
        <v>6947</v>
      </c>
      <c r="K2106" t="s">
        <v>6948</v>
      </c>
      <c r="L2106" t="s">
        <v>21</v>
      </c>
      <c r="M2106" t="s">
        <v>19177</v>
      </c>
      <c r="N2106" t="s">
        <v>16374</v>
      </c>
      <c r="O2106" t="s">
        <v>272</v>
      </c>
      <c r="P2106" t="s">
        <v>114</v>
      </c>
    </row>
    <row r="2107">
      <c r="A2107">
        <f>HYPERLINK("http://bombeiros.sp.gov.br/hidrantes/03individual/1420.html","1420")</f>
      </c>
      <c r="B2107" t="s">
        <v>114</v>
      </c>
      <c r="C2107" t="s">
        <v>435</v>
      </c>
      <c r="D2107" t="s">
        <v>16145</v>
      </c>
      <c r="E2107" t="s">
        <v>15</v>
      </c>
      <c r="F2107" t="s">
        <v>6949</v>
      </c>
      <c r="G2107" t="s">
        <v>18050</v>
      </c>
      <c r="H2107" t="s">
        <v>1107</v>
      </c>
      <c r="I2107" t="s">
        <v>1108</v>
      </c>
      <c r="J2107" t="s">
        <v>6950</v>
      </c>
      <c r="K2107" t="s">
        <v>6951</v>
      </c>
      <c r="L2107" t="s">
        <v>21</v>
      </c>
      <c r="M2107" t="s">
        <v>19177</v>
      </c>
      <c r="N2107" t="s">
        <v>16374</v>
      </c>
      <c r="O2107" t="s">
        <v>272</v>
      </c>
      <c r="P2107" t="s">
        <v>114</v>
      </c>
    </row>
    <row r="2108">
      <c r="A2108">
        <f>HYPERLINK("http://bombeiros.sp.gov.br/hidrantes/03individual/1484.html","1484")</f>
      </c>
      <c r="B2108" t="s">
        <v>114</v>
      </c>
      <c r="C2108" t="s">
        <v>435</v>
      </c>
      <c r="D2108" t="s">
        <v>16145</v>
      </c>
      <c r="E2108" t="s">
        <v>15</v>
      </c>
      <c r="F2108" t="s">
        <v>6952</v>
      </c>
      <c r="G2108" t="s">
        <v>18076</v>
      </c>
      <c r="H2108" t="s">
        <v>1121</v>
      </c>
      <c r="I2108" t="s">
        <v>1117</v>
      </c>
      <c r="J2108" t="s">
        <v>15867</v>
      </c>
      <c r="K2108" t="s">
        <v>15868</v>
      </c>
      <c r="L2108" t="s">
        <v>21</v>
      </c>
      <c r="M2108" t="s">
        <v>19177</v>
      </c>
      <c r="N2108" t="s">
        <v>16374</v>
      </c>
      <c r="O2108" t="s">
        <v>272</v>
      </c>
      <c r="P2108" t="s">
        <v>114</v>
      </c>
    </row>
    <row r="2109">
      <c r="A2109">
        <f>HYPERLINK("http://bombeiros.sp.gov.br/hidrantes/03individual/1548.html","1548")</f>
      </c>
      <c r="B2109" t="s">
        <v>114</v>
      </c>
      <c r="C2109" t="s">
        <v>435</v>
      </c>
      <c r="D2109" t="s">
        <v>16145</v>
      </c>
      <c r="E2109" t="s">
        <v>15</v>
      </c>
      <c r="F2109" t="s">
        <v>6955</v>
      </c>
      <c r="G2109" t="s">
        <v>18076</v>
      </c>
      <c r="H2109" t="s">
        <v>1107</v>
      </c>
      <c r="I2109" t="s">
        <v>1108</v>
      </c>
      <c r="J2109" t="s">
        <v>15875</v>
      </c>
      <c r="K2109" t="s">
        <v>15876</v>
      </c>
      <c r="L2109" t="s">
        <v>21</v>
      </c>
      <c r="M2109" t="s">
        <v>19177</v>
      </c>
      <c r="N2109" t="s">
        <v>16374</v>
      </c>
      <c r="O2109" t="s">
        <v>272</v>
      </c>
      <c r="P2109" t="s">
        <v>114</v>
      </c>
    </row>
    <row r="2110">
      <c r="A2110">
        <f>HYPERLINK("http://bombeiros.sp.gov.br/hidrantes/03individual/1758.html","1758")</f>
      </c>
      <c r="B2110" t="s">
        <v>114</v>
      </c>
      <c r="C2110" t="s">
        <v>435</v>
      </c>
      <c r="D2110" t="s">
        <v>16145</v>
      </c>
      <c r="E2110" t="s">
        <v>15</v>
      </c>
      <c r="F2110" t="s">
        <v>6958</v>
      </c>
      <c r="G2110" t="s">
        <v>18094</v>
      </c>
      <c r="H2110" t="s">
        <v>1112</v>
      </c>
      <c r="I2110" t="s">
        <v>1108</v>
      </c>
      <c r="J2110" t="s">
        <v>6959</v>
      </c>
      <c r="K2110" t="s">
        <v>6960</v>
      </c>
      <c r="L2110" t="s">
        <v>21</v>
      </c>
      <c r="M2110" t="s">
        <v>19177</v>
      </c>
      <c r="N2110" t="s">
        <v>309</v>
      </c>
      <c r="O2110" t="s">
        <v>6029</v>
      </c>
      <c r="P2110" t="s">
        <v>114</v>
      </c>
    </row>
    <row r="2111">
      <c r="A2111">
        <f>HYPERLINK("http://bombeiros.sp.gov.br/hidrantes/03individual/1805.html","1805")</f>
      </c>
      <c r="B2111" t="s">
        <v>114</v>
      </c>
      <c r="C2111" t="s">
        <v>435</v>
      </c>
      <c r="D2111" t="s">
        <v>16145</v>
      </c>
      <c r="E2111" t="s">
        <v>15</v>
      </c>
      <c r="F2111" t="s">
        <v>6961</v>
      </c>
      <c r="G2111" t="s">
        <v>18149</v>
      </c>
      <c r="H2111" t="s">
        <v>1107</v>
      </c>
      <c r="I2111" t="s">
        <v>1108</v>
      </c>
      <c r="J2111" t="s">
        <v>6962</v>
      </c>
      <c r="K2111" t="s">
        <v>6963</v>
      </c>
      <c r="L2111" t="s">
        <v>21</v>
      </c>
      <c r="M2111" t="s">
        <v>19177</v>
      </c>
      <c r="N2111" t="s">
        <v>309</v>
      </c>
      <c r="O2111" t="s">
        <v>6029</v>
      </c>
      <c r="P2111" t="s">
        <v>114</v>
      </c>
    </row>
    <row r="2112">
      <c r="A2112">
        <f>HYPERLINK("http://bombeiros.sp.gov.br/hidrantes/03individual/1807.html","1807")</f>
      </c>
      <c r="B2112" t="s">
        <v>114</v>
      </c>
      <c r="C2112" t="s">
        <v>435</v>
      </c>
      <c r="D2112" t="s">
        <v>16145</v>
      </c>
      <c r="E2112" t="s">
        <v>15</v>
      </c>
      <c r="F2112" t="s">
        <v>437</v>
      </c>
      <c r="G2112" t="s">
        <v>18149</v>
      </c>
      <c r="H2112" t="s">
        <v>1121</v>
      </c>
      <c r="I2112" t="s">
        <v>1117</v>
      </c>
      <c r="J2112" t="s">
        <v>438</v>
      </c>
      <c r="K2112" t="s">
        <v>439</v>
      </c>
      <c r="L2112" t="s">
        <v>21</v>
      </c>
      <c r="M2112" t="s">
        <v>19177</v>
      </c>
      <c r="N2112" t="s">
        <v>309</v>
      </c>
      <c r="O2112" t="s">
        <v>6029</v>
      </c>
      <c r="P2112" t="s">
        <v>114</v>
      </c>
    </row>
    <row r="2113">
      <c r="A2113">
        <f>HYPERLINK("http://bombeiros.sp.gov.br/hidrantes/03individual/1817.html","1817")</f>
      </c>
      <c r="B2113" t="s">
        <v>114</v>
      </c>
      <c r="C2113" t="s">
        <v>435</v>
      </c>
      <c r="D2113" t="s">
        <v>16145</v>
      </c>
      <c r="E2113" t="s">
        <v>15</v>
      </c>
      <c r="F2113" t="s">
        <v>6964</v>
      </c>
      <c r="G2113" t="s">
        <v>18097</v>
      </c>
      <c r="H2113" t="s">
        <v>1112</v>
      </c>
      <c r="I2113" t="s">
        <v>1108</v>
      </c>
      <c r="J2113" t="s">
        <v>6965</v>
      </c>
      <c r="K2113" t="s">
        <v>6966</v>
      </c>
      <c r="L2113" t="s">
        <v>21</v>
      </c>
      <c r="M2113" t="s">
        <v>19177</v>
      </c>
      <c r="N2113" t="s">
        <v>309</v>
      </c>
      <c r="O2113" t="s">
        <v>6029</v>
      </c>
      <c r="P2113" t="s">
        <v>114</v>
      </c>
    </row>
    <row r="2114">
      <c r="A2114">
        <f>HYPERLINK("http://bombeiros.sp.gov.br/hidrantes/03individual/3179.html","3179")</f>
      </c>
      <c r="B2114" t="s">
        <v>114</v>
      </c>
      <c r="C2114" t="s">
        <v>435</v>
      </c>
      <c r="D2114" t="s">
        <v>16145</v>
      </c>
      <c r="E2114" t="s">
        <v>15</v>
      </c>
      <c r="F2114" t="s">
        <v>6967</v>
      </c>
      <c r="G2114" t="s">
        <v>18076</v>
      </c>
      <c r="H2114" t="s">
        <v>1112</v>
      </c>
      <c r="I2114" t="s">
        <v>1108</v>
      </c>
      <c r="J2114" t="s">
        <v>6968</v>
      </c>
      <c r="K2114" t="s">
        <v>6969</v>
      </c>
      <c r="L2114" t="s">
        <v>36</v>
      </c>
      <c r="M2114" t="s">
        <v>19177</v>
      </c>
      <c r="N2114" t="s">
        <v>309</v>
      </c>
      <c r="O2114" t="s">
        <v>6029</v>
      </c>
      <c r="P2114" t="s">
        <v>114</v>
      </c>
    </row>
    <row r="2115">
      <c r="A2115">
        <f>HYPERLINK("http://bombeiros.sp.gov.br/hidrantes/03individual/3180.html","3180")</f>
      </c>
      <c r="B2115" t="s">
        <v>114</v>
      </c>
      <c r="C2115" t="s">
        <v>435</v>
      </c>
      <c r="D2115" t="s">
        <v>16145</v>
      </c>
      <c r="E2115" t="s">
        <v>15</v>
      </c>
      <c r="F2115" t="s">
        <v>6970</v>
      </c>
      <c r="G2115" t="s">
        <v>18076</v>
      </c>
      <c r="H2115" t="s">
        <v>1107</v>
      </c>
      <c r="I2115" t="s">
        <v>1108</v>
      </c>
      <c r="J2115" t="s">
        <v>6971</v>
      </c>
      <c r="K2115" t="s">
        <v>6972</v>
      </c>
      <c r="L2115" t="s">
        <v>21</v>
      </c>
      <c r="M2115" t="s">
        <v>19177</v>
      </c>
      <c r="N2115" t="s">
        <v>309</v>
      </c>
      <c r="O2115" t="s">
        <v>6029</v>
      </c>
      <c r="P2115" t="s">
        <v>114</v>
      </c>
    </row>
    <row r="2116">
      <c r="A2116">
        <f>HYPERLINK("http://bombeiros.sp.gov.br/hidrantes/03individual/3182.html","3182")</f>
      </c>
      <c r="B2116" t="s">
        <v>114</v>
      </c>
      <c r="C2116" t="s">
        <v>435</v>
      </c>
      <c r="D2116" t="s">
        <v>16145</v>
      </c>
      <c r="E2116" t="s">
        <v>15</v>
      </c>
      <c r="F2116" t="s">
        <v>6973</v>
      </c>
      <c r="G2116" t="s">
        <v>18076</v>
      </c>
      <c r="H2116" t="s">
        <v>1107</v>
      </c>
      <c r="I2116" t="s">
        <v>1108</v>
      </c>
      <c r="J2116" t="s">
        <v>6974</v>
      </c>
      <c r="K2116" t="s">
        <v>6975</v>
      </c>
      <c r="L2116" t="s">
        <v>21</v>
      </c>
      <c r="M2116" t="s">
        <v>19177</v>
      </c>
      <c r="N2116" t="s">
        <v>309</v>
      </c>
      <c r="O2116" t="s">
        <v>6029</v>
      </c>
      <c r="P2116" t="s">
        <v>114</v>
      </c>
    </row>
    <row r="2117">
      <c r="A2117">
        <f>HYPERLINK("http://bombeiros.sp.gov.br/hidrantes/03individual/3188.html","3188")</f>
      </c>
      <c r="B2117" t="s">
        <v>114</v>
      </c>
      <c r="C2117" t="s">
        <v>435</v>
      </c>
      <c r="D2117" t="s">
        <v>16145</v>
      </c>
      <c r="E2117" t="s">
        <v>15</v>
      </c>
      <c r="F2117" t="s">
        <v>6976</v>
      </c>
      <c r="G2117" t="s">
        <v>18097</v>
      </c>
      <c r="H2117" t="s">
        <v>1107</v>
      </c>
      <c r="I2117" t="s">
        <v>1108</v>
      </c>
      <c r="J2117" t="s">
        <v>6977</v>
      </c>
      <c r="K2117" t="s">
        <v>6978</v>
      </c>
      <c r="L2117" t="s">
        <v>21</v>
      </c>
      <c r="M2117" t="s">
        <v>19177</v>
      </c>
      <c r="N2117" t="s">
        <v>309</v>
      </c>
      <c r="O2117" t="s">
        <v>6029</v>
      </c>
      <c r="P2117" t="s">
        <v>114</v>
      </c>
    </row>
    <row r="2118">
      <c r="A2118">
        <f>HYPERLINK("http://bombeiros.sp.gov.br/hidrantes/03individual/3193.html","3193")</f>
      </c>
      <c r="B2118" t="s">
        <v>114</v>
      </c>
      <c r="C2118" t="s">
        <v>435</v>
      </c>
      <c r="D2118" t="s">
        <v>16145</v>
      </c>
      <c r="E2118" t="s">
        <v>15</v>
      </c>
      <c r="F2118" t="s">
        <v>6979</v>
      </c>
      <c r="G2118" t="s">
        <v>18094</v>
      </c>
      <c r="H2118" t="s">
        <v>1121</v>
      </c>
      <c r="I2118" t="s">
        <v>1117</v>
      </c>
      <c r="J2118" t="s">
        <v>6980</v>
      </c>
      <c r="K2118" t="s">
        <v>6981</v>
      </c>
      <c r="L2118" t="s">
        <v>21</v>
      </c>
      <c r="M2118" t="s">
        <v>19177</v>
      </c>
      <c r="N2118" t="s">
        <v>309</v>
      </c>
      <c r="O2118" t="s">
        <v>6029</v>
      </c>
      <c r="P2118" t="s">
        <v>114</v>
      </c>
    </row>
    <row r="2119">
      <c r="A2119">
        <f>HYPERLINK("http://bombeiros.sp.gov.br/hidrantes/03individual/3197.html","3197")</f>
      </c>
      <c r="B2119" t="s">
        <v>114</v>
      </c>
      <c r="C2119" t="s">
        <v>435</v>
      </c>
      <c r="D2119" t="s">
        <v>16145</v>
      </c>
      <c r="E2119" t="s">
        <v>15</v>
      </c>
      <c r="F2119" t="s">
        <v>6982</v>
      </c>
      <c r="G2119" t="s">
        <v>18085</v>
      </c>
      <c r="H2119" t="s">
        <v>1121</v>
      </c>
      <c r="I2119" t="s">
        <v>1117</v>
      </c>
      <c r="J2119" t="s">
        <v>6983</v>
      </c>
      <c r="K2119" t="s">
        <v>6984</v>
      </c>
      <c r="L2119" t="s">
        <v>21</v>
      </c>
      <c r="M2119" t="s">
        <v>19177</v>
      </c>
      <c r="N2119" t="s">
        <v>309</v>
      </c>
      <c r="O2119" t="s">
        <v>6029</v>
      </c>
      <c r="P2119" t="s">
        <v>114</v>
      </c>
    </row>
    <row r="2120">
      <c r="A2120">
        <f>HYPERLINK("http://bombeiros.sp.gov.br/hidrantes/03individual/3208.html","3208")</f>
      </c>
      <c r="B2120" t="s">
        <v>114</v>
      </c>
      <c r="C2120" t="s">
        <v>435</v>
      </c>
      <c r="D2120" t="s">
        <v>16145</v>
      </c>
      <c r="E2120" t="s">
        <v>15</v>
      </c>
      <c r="F2120" t="s">
        <v>6985</v>
      </c>
      <c r="G2120" t="s">
        <v>18076</v>
      </c>
      <c r="H2120" t="s">
        <v>1107</v>
      </c>
      <c r="I2120" t="s">
        <v>1108</v>
      </c>
      <c r="J2120" t="s">
        <v>6986</v>
      </c>
      <c r="K2120" t="s">
        <v>6987</v>
      </c>
      <c r="L2120" t="s">
        <v>21</v>
      </c>
      <c r="M2120" t="s">
        <v>19177</v>
      </c>
      <c r="N2120" t="s">
        <v>16374</v>
      </c>
      <c r="O2120" t="s">
        <v>272</v>
      </c>
      <c r="P2120" t="s">
        <v>114</v>
      </c>
    </row>
    <row r="2121">
      <c r="A2121">
        <f>HYPERLINK("http://bombeiros.sp.gov.br/hidrantes/03individual/3209.html","3209")</f>
      </c>
      <c r="B2121" t="s">
        <v>114</v>
      </c>
      <c r="C2121" t="s">
        <v>435</v>
      </c>
      <c r="D2121" t="s">
        <v>16145</v>
      </c>
      <c r="E2121" t="s">
        <v>15</v>
      </c>
      <c r="F2121" t="s">
        <v>6988</v>
      </c>
      <c r="G2121" t="s">
        <v>18076</v>
      </c>
      <c r="H2121" t="s">
        <v>1107</v>
      </c>
      <c r="I2121" t="s">
        <v>1108</v>
      </c>
      <c r="J2121" t="s">
        <v>6989</v>
      </c>
      <c r="K2121" t="s">
        <v>6990</v>
      </c>
      <c r="L2121" t="s">
        <v>21</v>
      </c>
      <c r="M2121" t="s">
        <v>19177</v>
      </c>
      <c r="N2121" t="s">
        <v>16374</v>
      </c>
      <c r="O2121" t="s">
        <v>272</v>
      </c>
      <c r="P2121" t="s">
        <v>114</v>
      </c>
    </row>
    <row r="2122">
      <c r="A2122">
        <f>HYPERLINK("http://bombeiros.sp.gov.br/hidrantes/03individual/3225.html","3225")</f>
      </c>
      <c r="B2122" t="s">
        <v>114</v>
      </c>
      <c r="C2122" t="s">
        <v>435</v>
      </c>
      <c r="D2122" t="s">
        <v>16145</v>
      </c>
      <c r="E2122" t="s">
        <v>15</v>
      </c>
      <c r="F2122" t="s">
        <v>6991</v>
      </c>
      <c r="G2122" t="s">
        <v>18076</v>
      </c>
      <c r="H2122" t="s">
        <v>1174</v>
      </c>
      <c r="I2122" t="s">
        <v>1117</v>
      </c>
      <c r="J2122" t="s">
        <v>6992</v>
      </c>
      <c r="K2122" t="s">
        <v>6993</v>
      </c>
      <c r="L2122" t="s">
        <v>21</v>
      </c>
      <c r="M2122" t="s">
        <v>19177</v>
      </c>
      <c r="N2122" t="s">
        <v>16374</v>
      </c>
      <c r="O2122" t="s">
        <v>272</v>
      </c>
      <c r="P2122" t="s">
        <v>114</v>
      </c>
    </row>
    <row r="2123">
      <c r="A2123">
        <f>HYPERLINK("http://bombeiros.sp.gov.br/hidrantes/03individual/3228.html","3228")</f>
      </c>
      <c r="B2123" t="s">
        <v>114</v>
      </c>
      <c r="C2123" t="s">
        <v>435</v>
      </c>
      <c r="D2123" t="s">
        <v>16145</v>
      </c>
      <c r="E2123" t="s">
        <v>15</v>
      </c>
      <c r="F2123" t="s">
        <v>6994</v>
      </c>
      <c r="G2123" t="s">
        <v>18149</v>
      </c>
      <c r="H2123" t="s">
        <v>1121</v>
      </c>
      <c r="I2123" t="s">
        <v>1117</v>
      </c>
      <c r="J2123" t="s">
        <v>6995</v>
      </c>
      <c r="K2123" t="s">
        <v>6996</v>
      </c>
      <c r="L2123" t="s">
        <v>21</v>
      </c>
      <c r="M2123" t="s">
        <v>19177</v>
      </c>
      <c r="N2123" t="s">
        <v>16374</v>
      </c>
      <c r="O2123" t="s">
        <v>272</v>
      </c>
      <c r="P2123" t="s">
        <v>114</v>
      </c>
    </row>
    <row r="2124">
      <c r="A2124">
        <f>HYPERLINK("http://bombeiros.sp.gov.br/hidrantes/03individual/3286.html","3286")</f>
      </c>
      <c r="B2124" t="s">
        <v>114</v>
      </c>
      <c r="C2124" t="s">
        <v>435</v>
      </c>
      <c r="D2124" t="s">
        <v>16145</v>
      </c>
      <c r="E2124" t="s">
        <v>15</v>
      </c>
      <c r="F2124" t="s">
        <v>6997</v>
      </c>
      <c r="G2124" t="s">
        <v>18094</v>
      </c>
      <c r="H2124" t="s">
        <v>1107</v>
      </c>
      <c r="I2124" t="s">
        <v>1108</v>
      </c>
      <c r="J2124" t="s">
        <v>6998</v>
      </c>
      <c r="K2124" t="s">
        <v>6999</v>
      </c>
      <c r="L2124" t="s">
        <v>21</v>
      </c>
      <c r="M2124" t="s">
        <v>19177</v>
      </c>
      <c r="N2124" t="s">
        <v>309</v>
      </c>
      <c r="O2124" t="s">
        <v>6029</v>
      </c>
      <c r="P2124" t="s">
        <v>114</v>
      </c>
    </row>
    <row r="2125">
      <c r="A2125">
        <f>HYPERLINK("http://bombeiros.sp.gov.br/hidrantes/03individual/27045.html","27045")</f>
      </c>
      <c r="B2125" t="s">
        <v>114</v>
      </c>
      <c r="C2125" t="s">
        <v>435</v>
      </c>
      <c r="D2125" t="s">
        <v>16145</v>
      </c>
      <c r="E2125" t="s">
        <v>15</v>
      </c>
      <c r="F2125" t="s">
        <v>16655</v>
      </c>
      <c r="G2125" t="s">
        <v>18085</v>
      </c>
      <c r="H2125" t="s">
        <v>1121</v>
      </c>
      <c r="I2125" t="s">
        <v>1117</v>
      </c>
      <c r="J2125" t="s">
        <v>16656</v>
      </c>
      <c r="K2125" t="s">
        <v>16657</v>
      </c>
      <c r="L2125" t="s">
        <v>21</v>
      </c>
      <c r="M2125" t="s">
        <v>19177</v>
      </c>
      <c r="N2125" t="s">
        <v>309</v>
      </c>
      <c r="O2125" t="s">
        <v>6029</v>
      </c>
      <c r="P2125" t="s">
        <v>114</v>
      </c>
    </row>
    <row r="2126">
      <c r="A2126">
        <f>HYPERLINK("http://bombeiros.sp.gov.br/hidrantes/03individual/3199.html","3199")</f>
      </c>
      <c r="B2126" t="s">
        <v>114</v>
      </c>
      <c r="C2126" t="s">
        <v>435</v>
      </c>
      <c r="D2126" t="s">
        <v>435</v>
      </c>
      <c r="E2126" t="s">
        <v>64</v>
      </c>
      <c r="F2126" t="s">
        <v>7000</v>
      </c>
      <c r="G2126" t="s">
        <v>18065</v>
      </c>
      <c r="H2126" t="s">
        <v>1174</v>
      </c>
      <c r="I2126" t="s">
        <v>1117</v>
      </c>
      <c r="J2126" t="s">
        <v>7001</v>
      </c>
      <c r="K2126" t="s">
        <v>7002</v>
      </c>
      <c r="L2126" t="s">
        <v>36</v>
      </c>
      <c r="M2126" t="s">
        <v>19177</v>
      </c>
      <c r="N2126" t="s">
        <v>16374</v>
      </c>
      <c r="O2126" t="s">
        <v>272</v>
      </c>
      <c r="P2126" t="s">
        <v>114</v>
      </c>
    </row>
    <row r="2127">
      <c r="A2127">
        <f>HYPERLINK("http://bombeiros.sp.gov.br/hidrantes/03individual/3274.html","3274")</f>
      </c>
      <c r="B2127" t="s">
        <v>114</v>
      </c>
      <c r="C2127" t="s">
        <v>435</v>
      </c>
      <c r="D2127" t="s">
        <v>435</v>
      </c>
      <c r="E2127" t="s">
        <v>64</v>
      </c>
      <c r="F2127" t="s">
        <v>7003</v>
      </c>
      <c r="G2127" t="s">
        <v>18050</v>
      </c>
      <c r="H2127" t="s">
        <v>1107</v>
      </c>
      <c r="I2127" t="s">
        <v>1108</v>
      </c>
      <c r="J2127" t="s">
        <v>7004</v>
      </c>
      <c r="K2127" t="s">
        <v>7005</v>
      </c>
      <c r="L2127" t="s">
        <v>21</v>
      </c>
      <c r="M2127" t="s">
        <v>19177</v>
      </c>
      <c r="N2127" t="s">
        <v>309</v>
      </c>
      <c r="O2127" t="s">
        <v>6029</v>
      </c>
      <c r="P2127" t="s">
        <v>114</v>
      </c>
    </row>
    <row r="2128">
      <c r="A2128">
        <f>HYPERLINK("http://bombeiros.sp.gov.br/hidrantes/03individual/28324.html","28324")</f>
      </c>
      <c r="B2128" t="s">
        <v>114</v>
      </c>
      <c r="C2128" t="s">
        <v>435</v>
      </c>
      <c r="D2128" t="s">
        <v>435</v>
      </c>
      <c r="E2128" t="s">
        <v>64</v>
      </c>
      <c r="F2128" t="s">
        <v>18584</v>
      </c>
      <c r="G2128"/>
      <c r="H2128"/>
      <c r="I2128" t="s">
        <v>1503</v>
      </c>
      <c r="J2128" t="s">
        <v>18585</v>
      </c>
      <c r="K2128" t="s">
        <v>18586</v>
      </c>
      <c r="L2128" t="s">
        <v>21</v>
      </c>
      <c r="M2128" t="s">
        <v>19177</v>
      </c>
      <c r="N2128" t="s">
        <v>16374</v>
      </c>
      <c r="O2128" t="s">
        <v>272</v>
      </c>
      <c r="P2128" t="s">
        <v>114</v>
      </c>
    </row>
    <row r="2129">
      <c r="A2129">
        <f>HYPERLINK("http://bombeiros.sp.gov.br/hidrantes/03individual/1047.html","1047")</f>
      </c>
      <c r="B2129" t="s">
        <v>114</v>
      </c>
      <c r="C2129" t="s">
        <v>435</v>
      </c>
      <c r="D2129" t="s">
        <v>435</v>
      </c>
      <c r="E2129" t="s">
        <v>15</v>
      </c>
      <c r="F2129" t="s">
        <v>7006</v>
      </c>
      <c r="G2129" t="s">
        <v>18078</v>
      </c>
      <c r="H2129" t="s">
        <v>1121</v>
      </c>
      <c r="I2129" t="s">
        <v>1117</v>
      </c>
      <c r="J2129" t="s">
        <v>7007</v>
      </c>
      <c r="K2129" t="s">
        <v>7008</v>
      </c>
      <c r="L2129" t="s">
        <v>21</v>
      </c>
      <c r="M2129" t="s">
        <v>19177</v>
      </c>
      <c r="N2129" t="s">
        <v>16374</v>
      </c>
      <c r="O2129" t="s">
        <v>272</v>
      </c>
      <c r="P2129" t="s">
        <v>114</v>
      </c>
    </row>
    <row r="2130">
      <c r="A2130">
        <f>HYPERLINK("http://bombeiros.sp.gov.br/hidrantes/03individual/1378.html","1378")</f>
      </c>
      <c r="B2130" t="s">
        <v>114</v>
      </c>
      <c r="C2130" t="s">
        <v>435</v>
      </c>
      <c r="D2130" t="s">
        <v>435</v>
      </c>
      <c r="E2130" t="s">
        <v>15</v>
      </c>
      <c r="F2130" t="s">
        <v>7009</v>
      </c>
      <c r="G2130" t="s">
        <v>18078</v>
      </c>
      <c r="H2130" t="s">
        <v>1107</v>
      </c>
      <c r="I2130" t="s">
        <v>1108</v>
      </c>
      <c r="J2130" t="s">
        <v>7010</v>
      </c>
      <c r="K2130" t="s">
        <v>7011</v>
      </c>
      <c r="L2130" t="s">
        <v>21</v>
      </c>
      <c r="M2130" t="s">
        <v>19177</v>
      </c>
      <c r="N2130" t="s">
        <v>16374</v>
      </c>
      <c r="O2130" t="s">
        <v>272</v>
      </c>
      <c r="P2130" t="s">
        <v>114</v>
      </c>
    </row>
    <row r="2131">
      <c r="A2131">
        <f>HYPERLINK("http://bombeiros.sp.gov.br/hidrantes/03individual/1480.html","1480")</f>
      </c>
      <c r="B2131" t="s">
        <v>114</v>
      </c>
      <c r="C2131" t="s">
        <v>435</v>
      </c>
      <c r="D2131" t="s">
        <v>435</v>
      </c>
      <c r="E2131" t="s">
        <v>15</v>
      </c>
      <c r="F2131" t="s">
        <v>7012</v>
      </c>
      <c r="G2131" t="s">
        <v>18097</v>
      </c>
      <c r="H2131" t="s">
        <v>1121</v>
      </c>
      <c r="I2131" t="s">
        <v>1117</v>
      </c>
      <c r="J2131" t="s">
        <v>7013</v>
      </c>
      <c r="K2131" t="s">
        <v>7014</v>
      </c>
      <c r="L2131" t="s">
        <v>21</v>
      </c>
      <c r="M2131" t="s">
        <v>19177</v>
      </c>
      <c r="N2131" t="s">
        <v>16374</v>
      </c>
      <c r="O2131" t="s">
        <v>272</v>
      </c>
      <c r="P2131" t="s">
        <v>114</v>
      </c>
    </row>
    <row r="2132">
      <c r="A2132">
        <f>HYPERLINK("http://bombeiros.sp.gov.br/hidrantes/03individual/1483.html","1483")</f>
      </c>
      <c r="B2132" t="s">
        <v>114</v>
      </c>
      <c r="C2132" t="s">
        <v>435</v>
      </c>
      <c r="D2132" t="s">
        <v>435</v>
      </c>
      <c r="E2132" t="s">
        <v>15</v>
      </c>
      <c r="F2132" t="s">
        <v>7015</v>
      </c>
      <c r="G2132" t="s">
        <v>18065</v>
      </c>
      <c r="H2132" t="s">
        <v>1112</v>
      </c>
      <c r="I2132" t="s">
        <v>1108</v>
      </c>
      <c r="J2132" t="s">
        <v>7016</v>
      </c>
      <c r="K2132" t="s">
        <v>7017</v>
      </c>
      <c r="L2132" t="s">
        <v>21</v>
      </c>
      <c r="M2132" t="s">
        <v>19177</v>
      </c>
      <c r="N2132" t="s">
        <v>16374</v>
      </c>
      <c r="O2132" t="s">
        <v>272</v>
      </c>
      <c r="P2132" t="s">
        <v>114</v>
      </c>
    </row>
    <row r="2133">
      <c r="A2133">
        <f>HYPERLINK("http://bombeiros.sp.gov.br/hidrantes/03individual/1506.html","1506")</f>
      </c>
      <c r="B2133" t="s">
        <v>114</v>
      </c>
      <c r="C2133" t="s">
        <v>435</v>
      </c>
      <c r="D2133" t="s">
        <v>435</v>
      </c>
      <c r="E2133" t="s">
        <v>15</v>
      </c>
      <c r="F2133" t="s">
        <v>7018</v>
      </c>
      <c r="G2133" t="s">
        <v>18065</v>
      </c>
      <c r="H2133" t="s">
        <v>1121</v>
      </c>
      <c r="I2133" t="s">
        <v>1117</v>
      </c>
      <c r="J2133" t="s">
        <v>7019</v>
      </c>
      <c r="K2133" t="s">
        <v>7020</v>
      </c>
      <c r="L2133" t="s">
        <v>21</v>
      </c>
      <c r="M2133" t="s">
        <v>19177</v>
      </c>
      <c r="N2133" t="s">
        <v>16374</v>
      </c>
      <c r="O2133" t="s">
        <v>272</v>
      </c>
      <c r="P2133" t="s">
        <v>114</v>
      </c>
    </row>
    <row r="2134">
      <c r="A2134">
        <f>HYPERLINK("http://bombeiros.sp.gov.br/hidrantes/03individual/1549.html","1549")</f>
      </c>
      <c r="B2134" t="s">
        <v>114</v>
      </c>
      <c r="C2134" t="s">
        <v>435</v>
      </c>
      <c r="D2134" t="s">
        <v>435</v>
      </c>
      <c r="E2134" t="s">
        <v>15</v>
      </c>
      <c r="F2134" t="s">
        <v>7021</v>
      </c>
      <c r="G2134" t="s">
        <v>18076</v>
      </c>
      <c r="H2134" t="s">
        <v>1107</v>
      </c>
      <c r="I2134" t="s">
        <v>1108</v>
      </c>
      <c r="J2134" t="s">
        <v>7022</v>
      </c>
      <c r="K2134" t="s">
        <v>7023</v>
      </c>
      <c r="L2134" t="s">
        <v>21</v>
      </c>
      <c r="M2134" t="s">
        <v>19177</v>
      </c>
      <c r="N2134" t="s">
        <v>16374</v>
      </c>
      <c r="O2134" t="s">
        <v>272</v>
      </c>
      <c r="P2134" t="s">
        <v>114</v>
      </c>
    </row>
    <row r="2135">
      <c r="A2135">
        <f>HYPERLINK("http://bombeiros.sp.gov.br/hidrantes/03individual/1551.html","1551")</f>
      </c>
      <c r="B2135" t="s">
        <v>114</v>
      </c>
      <c r="C2135" t="s">
        <v>435</v>
      </c>
      <c r="D2135" t="s">
        <v>435</v>
      </c>
      <c r="E2135" t="s">
        <v>15</v>
      </c>
      <c r="F2135" t="s">
        <v>7024</v>
      </c>
      <c r="G2135" t="s">
        <v>18078</v>
      </c>
      <c r="H2135" t="s">
        <v>1107</v>
      </c>
      <c r="I2135" t="s">
        <v>1108</v>
      </c>
      <c r="J2135" t="s">
        <v>7025</v>
      </c>
      <c r="K2135" t="s">
        <v>7026</v>
      </c>
      <c r="L2135" t="s">
        <v>21</v>
      </c>
      <c r="M2135" t="s">
        <v>19177</v>
      </c>
      <c r="N2135" t="s">
        <v>16374</v>
      </c>
      <c r="O2135" t="s">
        <v>272</v>
      </c>
      <c r="P2135" t="s">
        <v>114</v>
      </c>
    </row>
    <row r="2136">
      <c r="A2136">
        <f>HYPERLINK("http://bombeiros.sp.gov.br/hidrantes/03individual/1553.html","1553")</f>
      </c>
      <c r="B2136" t="s">
        <v>114</v>
      </c>
      <c r="C2136" t="s">
        <v>435</v>
      </c>
      <c r="D2136" t="s">
        <v>435</v>
      </c>
      <c r="E2136" t="s">
        <v>15</v>
      </c>
      <c r="F2136" t="s">
        <v>7027</v>
      </c>
      <c r="G2136" t="s">
        <v>18065</v>
      </c>
      <c r="H2136" t="s">
        <v>1121</v>
      </c>
      <c r="I2136" t="s">
        <v>1117</v>
      </c>
      <c r="J2136" t="s">
        <v>7028</v>
      </c>
      <c r="K2136" t="s">
        <v>7029</v>
      </c>
      <c r="L2136" t="s">
        <v>21</v>
      </c>
      <c r="M2136" t="s">
        <v>19177</v>
      </c>
      <c r="N2136" t="s">
        <v>16374</v>
      </c>
      <c r="O2136" t="s">
        <v>272</v>
      </c>
      <c r="P2136" t="s">
        <v>114</v>
      </c>
    </row>
    <row r="2137">
      <c r="A2137">
        <f>HYPERLINK("http://bombeiros.sp.gov.br/hidrantes/03individual/1555.html","1555")</f>
      </c>
      <c r="B2137" t="s">
        <v>114</v>
      </c>
      <c r="C2137" t="s">
        <v>435</v>
      </c>
      <c r="D2137" t="s">
        <v>435</v>
      </c>
      <c r="E2137" t="s">
        <v>15</v>
      </c>
      <c r="F2137" t="s">
        <v>7030</v>
      </c>
      <c r="G2137" t="s">
        <v>18065</v>
      </c>
      <c r="H2137" t="s">
        <v>1107</v>
      </c>
      <c r="I2137" t="s">
        <v>1108</v>
      </c>
      <c r="J2137" t="s">
        <v>7031</v>
      </c>
      <c r="K2137" t="s">
        <v>7032</v>
      </c>
      <c r="L2137" t="s">
        <v>21</v>
      </c>
      <c r="M2137" t="s">
        <v>19177</v>
      </c>
      <c r="N2137" t="s">
        <v>16374</v>
      </c>
      <c r="O2137" t="s">
        <v>272</v>
      </c>
      <c r="P2137" t="s">
        <v>114</v>
      </c>
    </row>
    <row r="2138">
      <c r="A2138">
        <f>HYPERLINK("http://bombeiros.sp.gov.br/hidrantes/03individual/1607.html","1607")</f>
      </c>
      <c r="B2138" t="s">
        <v>114</v>
      </c>
      <c r="C2138" t="s">
        <v>435</v>
      </c>
      <c r="D2138" t="s">
        <v>435</v>
      </c>
      <c r="E2138" t="s">
        <v>15</v>
      </c>
      <c r="F2138" t="s">
        <v>7033</v>
      </c>
      <c r="G2138" t="s">
        <v>18078</v>
      </c>
      <c r="H2138" t="s">
        <v>1107</v>
      </c>
      <c r="I2138" t="s">
        <v>1108</v>
      </c>
      <c r="J2138" t="s">
        <v>7034</v>
      </c>
      <c r="K2138" t="s">
        <v>7035</v>
      </c>
      <c r="L2138" t="s">
        <v>21</v>
      </c>
      <c r="M2138" t="s">
        <v>19177</v>
      </c>
      <c r="N2138" t="s">
        <v>16374</v>
      </c>
      <c r="O2138" t="s">
        <v>272</v>
      </c>
      <c r="P2138" t="s">
        <v>114</v>
      </c>
    </row>
    <row r="2139">
      <c r="A2139">
        <f>HYPERLINK("http://bombeiros.sp.gov.br/hidrantes/03individual/1672.html","1672")</f>
      </c>
      <c r="B2139" t="s">
        <v>114</v>
      </c>
      <c r="C2139" t="s">
        <v>435</v>
      </c>
      <c r="D2139" t="s">
        <v>435</v>
      </c>
      <c r="E2139" t="s">
        <v>15</v>
      </c>
      <c r="F2139" t="s">
        <v>7036</v>
      </c>
      <c r="G2139" t="s">
        <v>18078</v>
      </c>
      <c r="H2139" t="s">
        <v>1107</v>
      </c>
      <c r="I2139" t="s">
        <v>1108</v>
      </c>
      <c r="J2139" t="s">
        <v>7037</v>
      </c>
      <c r="K2139" t="s">
        <v>7038</v>
      </c>
      <c r="L2139" t="s">
        <v>21</v>
      </c>
      <c r="M2139" t="s">
        <v>19177</v>
      </c>
      <c r="N2139" t="s">
        <v>16374</v>
      </c>
      <c r="O2139" t="s">
        <v>272</v>
      </c>
      <c r="P2139" t="s">
        <v>114</v>
      </c>
    </row>
    <row r="2140">
      <c r="A2140">
        <f>HYPERLINK("http://bombeiros.sp.gov.br/hidrantes/03individual/1674.html","1674")</f>
      </c>
      <c r="B2140" t="s">
        <v>114</v>
      </c>
      <c r="C2140" t="s">
        <v>435</v>
      </c>
      <c r="D2140" t="s">
        <v>435</v>
      </c>
      <c r="E2140" t="s">
        <v>15</v>
      </c>
      <c r="F2140" t="s">
        <v>7039</v>
      </c>
      <c r="G2140" t="s">
        <v>18076</v>
      </c>
      <c r="H2140" t="s">
        <v>1107</v>
      </c>
      <c r="I2140" t="s">
        <v>1108</v>
      </c>
      <c r="J2140" t="s">
        <v>7040</v>
      </c>
      <c r="K2140" t="s">
        <v>7041</v>
      </c>
      <c r="L2140" t="s">
        <v>21</v>
      </c>
      <c r="M2140" t="s">
        <v>19177</v>
      </c>
      <c r="N2140" t="s">
        <v>16374</v>
      </c>
      <c r="O2140" t="s">
        <v>272</v>
      </c>
      <c r="P2140" t="s">
        <v>114</v>
      </c>
    </row>
    <row r="2141">
      <c r="A2141">
        <f>HYPERLINK("http://bombeiros.sp.gov.br/hidrantes/03individual/1676.html","1676")</f>
      </c>
      <c r="B2141" t="s">
        <v>114</v>
      </c>
      <c r="C2141" t="s">
        <v>435</v>
      </c>
      <c r="D2141" t="s">
        <v>435</v>
      </c>
      <c r="E2141" t="s">
        <v>15</v>
      </c>
      <c r="F2141" t="s">
        <v>7042</v>
      </c>
      <c r="G2141" t="s">
        <v>18076</v>
      </c>
      <c r="H2141" t="s">
        <v>1107</v>
      </c>
      <c r="I2141" t="s">
        <v>1108</v>
      </c>
      <c r="J2141" t="s">
        <v>7043</v>
      </c>
      <c r="K2141" t="s">
        <v>7044</v>
      </c>
      <c r="L2141" t="s">
        <v>21</v>
      </c>
      <c r="M2141" t="s">
        <v>19177</v>
      </c>
      <c r="N2141" t="s">
        <v>16374</v>
      </c>
      <c r="O2141" t="s">
        <v>272</v>
      </c>
      <c r="P2141" t="s">
        <v>114</v>
      </c>
    </row>
    <row r="2142">
      <c r="A2142">
        <f>HYPERLINK("http://bombeiros.sp.gov.br/hidrantes/03individual/1678.html","1678")</f>
      </c>
      <c r="B2142" t="s">
        <v>114</v>
      </c>
      <c r="C2142" t="s">
        <v>435</v>
      </c>
      <c r="D2142" t="s">
        <v>435</v>
      </c>
      <c r="E2142" t="s">
        <v>15</v>
      </c>
      <c r="F2142" t="s">
        <v>7045</v>
      </c>
      <c r="G2142" t="s">
        <v>18078</v>
      </c>
      <c r="H2142" t="s">
        <v>1107</v>
      </c>
      <c r="I2142" t="s">
        <v>1108</v>
      </c>
      <c r="J2142" t="s">
        <v>7046</v>
      </c>
      <c r="K2142" t="s">
        <v>7047</v>
      </c>
      <c r="L2142" t="s">
        <v>21</v>
      </c>
      <c r="M2142" t="s">
        <v>19177</v>
      </c>
      <c r="N2142" t="s">
        <v>16374</v>
      </c>
      <c r="O2142" t="s">
        <v>272</v>
      </c>
      <c r="P2142" t="s">
        <v>114</v>
      </c>
    </row>
    <row r="2143">
      <c r="A2143">
        <f>HYPERLINK("http://bombeiros.sp.gov.br/hidrantes/03individual/1681.html","1681")</f>
      </c>
      <c r="B2143" t="s">
        <v>114</v>
      </c>
      <c r="C2143" t="s">
        <v>435</v>
      </c>
      <c r="D2143" t="s">
        <v>435</v>
      </c>
      <c r="E2143" t="s">
        <v>15</v>
      </c>
      <c r="F2143" t="s">
        <v>7048</v>
      </c>
      <c r="G2143" t="s">
        <v>18076</v>
      </c>
      <c r="H2143" t="s">
        <v>1121</v>
      </c>
      <c r="I2143" t="s">
        <v>1117</v>
      </c>
      <c r="J2143" t="s">
        <v>7049</v>
      </c>
      <c r="K2143" t="s">
        <v>7050</v>
      </c>
      <c r="L2143" t="s">
        <v>21</v>
      </c>
      <c r="M2143" t="s">
        <v>19177</v>
      </c>
      <c r="N2143" t="s">
        <v>16374</v>
      </c>
      <c r="O2143" t="s">
        <v>272</v>
      </c>
      <c r="P2143" t="s">
        <v>114</v>
      </c>
    </row>
    <row r="2144">
      <c r="A2144">
        <f>HYPERLINK("http://bombeiros.sp.gov.br/hidrantes/03individual/1770.html","1770")</f>
      </c>
      <c r="B2144" t="s">
        <v>114</v>
      </c>
      <c r="C2144" t="s">
        <v>435</v>
      </c>
      <c r="D2144" t="s">
        <v>435</v>
      </c>
      <c r="E2144" t="s">
        <v>15</v>
      </c>
      <c r="F2144" t="s">
        <v>7051</v>
      </c>
      <c r="G2144" t="s">
        <v>18078</v>
      </c>
      <c r="H2144" t="s">
        <v>1112</v>
      </c>
      <c r="I2144" t="s">
        <v>1108</v>
      </c>
      <c r="J2144" t="s">
        <v>7052</v>
      </c>
      <c r="K2144" t="s">
        <v>7053</v>
      </c>
      <c r="L2144" t="s">
        <v>21</v>
      </c>
      <c r="M2144" t="s">
        <v>19177</v>
      </c>
      <c r="N2144" t="s">
        <v>16374</v>
      </c>
      <c r="O2144" t="s">
        <v>272</v>
      </c>
      <c r="P2144" t="s">
        <v>114</v>
      </c>
    </row>
    <row r="2145">
      <c r="A2145">
        <f>HYPERLINK("http://bombeiros.sp.gov.br/hidrantes/03individual/1772.html","1772")</f>
      </c>
      <c r="B2145" t="s">
        <v>114</v>
      </c>
      <c r="C2145" t="s">
        <v>435</v>
      </c>
      <c r="D2145" t="s">
        <v>435</v>
      </c>
      <c r="E2145" t="s">
        <v>15</v>
      </c>
      <c r="F2145" t="s">
        <v>7054</v>
      </c>
      <c r="G2145" t="s">
        <v>18078</v>
      </c>
      <c r="H2145" t="s">
        <v>1107</v>
      </c>
      <c r="I2145" t="s">
        <v>1108</v>
      </c>
      <c r="J2145" t="s">
        <v>7055</v>
      </c>
      <c r="K2145" t="s">
        <v>7056</v>
      </c>
      <c r="L2145" t="s">
        <v>21</v>
      </c>
      <c r="M2145" t="s">
        <v>19177</v>
      </c>
      <c r="N2145" t="s">
        <v>16374</v>
      </c>
      <c r="O2145" t="s">
        <v>272</v>
      </c>
      <c r="P2145" t="s">
        <v>114</v>
      </c>
    </row>
    <row r="2146">
      <c r="A2146">
        <f>HYPERLINK("http://bombeiros.sp.gov.br/hidrantes/03individual/3020.html","3020")</f>
      </c>
      <c r="B2146" t="s">
        <v>114</v>
      </c>
      <c r="C2146" t="s">
        <v>435</v>
      </c>
      <c r="D2146" t="s">
        <v>435</v>
      </c>
      <c r="E2146" t="s">
        <v>15</v>
      </c>
      <c r="F2146" t="s">
        <v>7057</v>
      </c>
      <c r="G2146" t="s">
        <v>18050</v>
      </c>
      <c r="H2146" t="s">
        <v>1107</v>
      </c>
      <c r="I2146" t="s">
        <v>1108</v>
      </c>
      <c r="J2146" t="s">
        <v>7058</v>
      </c>
      <c r="K2146" t="s">
        <v>7059</v>
      </c>
      <c r="L2146" t="s">
        <v>21</v>
      </c>
      <c r="M2146" t="s">
        <v>19177</v>
      </c>
      <c r="N2146" t="s">
        <v>16374</v>
      </c>
      <c r="O2146" t="s">
        <v>272</v>
      </c>
      <c r="P2146" t="s">
        <v>114</v>
      </c>
    </row>
    <row r="2147">
      <c r="A2147">
        <f>HYPERLINK("http://bombeiros.sp.gov.br/hidrantes/03individual/3025.html","3025")</f>
      </c>
      <c r="B2147" t="s">
        <v>114</v>
      </c>
      <c r="C2147" t="s">
        <v>435</v>
      </c>
      <c r="D2147" t="s">
        <v>435</v>
      </c>
      <c r="E2147" t="s">
        <v>15</v>
      </c>
      <c r="F2147" t="s">
        <v>7060</v>
      </c>
      <c r="G2147" t="s">
        <v>18065</v>
      </c>
      <c r="H2147" t="s">
        <v>1107</v>
      </c>
      <c r="I2147" t="s">
        <v>1108</v>
      </c>
      <c r="J2147" t="s">
        <v>7061</v>
      </c>
      <c r="K2147" t="s">
        <v>7062</v>
      </c>
      <c r="L2147" t="s">
        <v>21</v>
      </c>
      <c r="M2147" t="s">
        <v>19177</v>
      </c>
      <c r="N2147" t="s">
        <v>16374</v>
      </c>
      <c r="O2147" t="s">
        <v>272</v>
      </c>
      <c r="P2147" t="s">
        <v>114</v>
      </c>
    </row>
    <row r="2148">
      <c r="A2148">
        <f>HYPERLINK("http://bombeiros.sp.gov.br/hidrantes/03individual/3026.html","3026")</f>
      </c>
      <c r="B2148" t="s">
        <v>114</v>
      </c>
      <c r="C2148" t="s">
        <v>435</v>
      </c>
      <c r="D2148" t="s">
        <v>435</v>
      </c>
      <c r="E2148" t="s">
        <v>15</v>
      </c>
      <c r="F2148" t="s">
        <v>7063</v>
      </c>
      <c r="G2148" t="s">
        <v>18097</v>
      </c>
      <c r="H2148" t="s">
        <v>1121</v>
      </c>
      <c r="I2148" t="s">
        <v>1117</v>
      </c>
      <c r="J2148" t="s">
        <v>7064</v>
      </c>
      <c r="K2148" t="s">
        <v>7065</v>
      </c>
      <c r="L2148" t="s">
        <v>21</v>
      </c>
      <c r="M2148" t="s">
        <v>19177</v>
      </c>
      <c r="N2148" t="s">
        <v>16374</v>
      </c>
      <c r="O2148" t="s">
        <v>272</v>
      </c>
      <c r="P2148" t="s">
        <v>114</v>
      </c>
    </row>
    <row r="2149">
      <c r="A2149">
        <f>HYPERLINK("http://bombeiros.sp.gov.br/hidrantes/03individual/3042.html","3042")</f>
      </c>
      <c r="B2149" t="s">
        <v>114</v>
      </c>
      <c r="C2149" t="s">
        <v>435</v>
      </c>
      <c r="D2149" t="s">
        <v>435</v>
      </c>
      <c r="E2149" t="s">
        <v>15</v>
      </c>
      <c r="F2149" t="s">
        <v>7066</v>
      </c>
      <c r="G2149" t="s">
        <v>18097</v>
      </c>
      <c r="H2149" t="s">
        <v>1107</v>
      </c>
      <c r="I2149" t="s">
        <v>1108</v>
      </c>
      <c r="J2149" t="s">
        <v>7067</v>
      </c>
      <c r="K2149" t="s">
        <v>7068</v>
      </c>
      <c r="L2149" t="s">
        <v>21</v>
      </c>
      <c r="M2149" t="s">
        <v>19177</v>
      </c>
      <c r="N2149" t="s">
        <v>16374</v>
      </c>
      <c r="O2149" t="s">
        <v>272</v>
      </c>
      <c r="P2149" t="s">
        <v>114</v>
      </c>
    </row>
    <row r="2150">
      <c r="A2150">
        <f>HYPERLINK("http://bombeiros.sp.gov.br/hidrantes/03individual/3200.html","3200")</f>
      </c>
      <c r="B2150" t="s">
        <v>114</v>
      </c>
      <c r="C2150" t="s">
        <v>435</v>
      </c>
      <c r="D2150" t="s">
        <v>435</v>
      </c>
      <c r="E2150" t="s">
        <v>15</v>
      </c>
      <c r="F2150" t="s">
        <v>7069</v>
      </c>
      <c r="G2150" t="s">
        <v>18065</v>
      </c>
      <c r="H2150" t="s">
        <v>1107</v>
      </c>
      <c r="I2150" t="s">
        <v>1108</v>
      </c>
      <c r="J2150" t="s">
        <v>7070</v>
      </c>
      <c r="K2150" t="s">
        <v>7071</v>
      </c>
      <c r="L2150" t="s">
        <v>21</v>
      </c>
      <c r="M2150" t="s">
        <v>19177</v>
      </c>
      <c r="N2150" t="s">
        <v>16374</v>
      </c>
      <c r="O2150" t="s">
        <v>272</v>
      </c>
      <c r="P2150" t="s">
        <v>114</v>
      </c>
    </row>
    <row r="2151">
      <c r="A2151">
        <f>HYPERLINK("http://bombeiros.sp.gov.br/hidrantes/03individual/3203.html","3203")</f>
      </c>
      <c r="B2151" t="s">
        <v>114</v>
      </c>
      <c r="C2151" t="s">
        <v>435</v>
      </c>
      <c r="D2151" t="s">
        <v>435</v>
      </c>
      <c r="E2151" t="s">
        <v>15</v>
      </c>
      <c r="F2151" t="s">
        <v>7072</v>
      </c>
      <c r="G2151" t="s">
        <v>18065</v>
      </c>
      <c r="H2151" t="s">
        <v>1107</v>
      </c>
      <c r="I2151" t="s">
        <v>1108</v>
      </c>
      <c r="J2151" t="s">
        <v>7073</v>
      </c>
      <c r="K2151" t="s">
        <v>7074</v>
      </c>
      <c r="L2151" t="s">
        <v>21</v>
      </c>
      <c r="M2151" t="s">
        <v>19177</v>
      </c>
      <c r="N2151" t="s">
        <v>16374</v>
      </c>
      <c r="O2151" t="s">
        <v>272</v>
      </c>
      <c r="P2151" t="s">
        <v>114</v>
      </c>
    </row>
    <row r="2152">
      <c r="A2152">
        <f>HYPERLINK("http://bombeiros.sp.gov.br/hidrantes/03individual/3205.html","3205")</f>
      </c>
      <c r="B2152" t="s">
        <v>114</v>
      </c>
      <c r="C2152" t="s">
        <v>435</v>
      </c>
      <c r="D2152" t="s">
        <v>435</v>
      </c>
      <c r="E2152" t="s">
        <v>15</v>
      </c>
      <c r="F2152" t="s">
        <v>7075</v>
      </c>
      <c r="G2152" t="s">
        <v>18078</v>
      </c>
      <c r="H2152" t="s">
        <v>1174</v>
      </c>
      <c r="I2152" t="s">
        <v>1117</v>
      </c>
      <c r="J2152" t="s">
        <v>7076</v>
      </c>
      <c r="K2152" t="s">
        <v>7077</v>
      </c>
      <c r="L2152" t="s">
        <v>21</v>
      </c>
      <c r="M2152" t="s">
        <v>19177</v>
      </c>
      <c r="N2152" t="s">
        <v>16374</v>
      </c>
      <c r="O2152" t="s">
        <v>272</v>
      </c>
      <c r="P2152" t="s">
        <v>114</v>
      </c>
    </row>
    <row r="2153">
      <c r="A2153">
        <f>HYPERLINK("http://bombeiros.sp.gov.br/hidrantes/03individual/3231.html","3231")</f>
      </c>
      <c r="B2153" t="s">
        <v>114</v>
      </c>
      <c r="C2153" t="s">
        <v>435</v>
      </c>
      <c r="D2153" t="s">
        <v>435</v>
      </c>
      <c r="E2153" t="s">
        <v>15</v>
      </c>
      <c r="F2153" t="s">
        <v>7078</v>
      </c>
      <c r="G2153" t="s">
        <v>18078</v>
      </c>
      <c r="H2153" t="s">
        <v>1107</v>
      </c>
      <c r="I2153" t="s">
        <v>1108</v>
      </c>
      <c r="J2153" t="s">
        <v>7079</v>
      </c>
      <c r="K2153" t="s">
        <v>7080</v>
      </c>
      <c r="L2153" t="s">
        <v>21</v>
      </c>
      <c r="M2153" t="s">
        <v>19177</v>
      </c>
      <c r="N2153" t="s">
        <v>16374</v>
      </c>
      <c r="O2153" t="s">
        <v>272</v>
      </c>
      <c r="P2153" t="s">
        <v>114</v>
      </c>
    </row>
    <row r="2154">
      <c r="A2154">
        <f>HYPERLINK("http://bombeiros.sp.gov.br/hidrantes/03individual/17688.html","17688")</f>
      </c>
      <c r="B2154" t="s">
        <v>114</v>
      </c>
      <c r="C2154" t="s">
        <v>435</v>
      </c>
      <c r="D2154" t="s">
        <v>435</v>
      </c>
      <c r="E2154" t="s">
        <v>15</v>
      </c>
      <c r="F2154" t="s">
        <v>7081</v>
      </c>
      <c r="G2154" t="s">
        <v>18078</v>
      </c>
      <c r="H2154" t="s">
        <v>1174</v>
      </c>
      <c r="I2154" t="s">
        <v>1117</v>
      </c>
      <c r="J2154" t="s">
        <v>7082</v>
      </c>
      <c r="K2154" t="s">
        <v>7083</v>
      </c>
      <c r="L2154" t="s">
        <v>21</v>
      </c>
      <c r="M2154" t="s">
        <v>19177</v>
      </c>
      <c r="N2154" t="s">
        <v>16374</v>
      </c>
      <c r="O2154" t="s">
        <v>272</v>
      </c>
      <c r="P2154" t="s">
        <v>114</v>
      </c>
    </row>
    <row r="2155">
      <c r="A2155">
        <f>HYPERLINK("http://bombeiros.sp.gov.br/hidrantes/03individual/1885.html","1885")</f>
      </c>
      <c r="B2155" t="s">
        <v>114</v>
      </c>
      <c r="C2155" t="s">
        <v>440</v>
      </c>
      <c r="D2155" t="s">
        <v>115</v>
      </c>
      <c r="E2155" t="s">
        <v>64</v>
      </c>
      <c r="F2155" t="s">
        <v>7084</v>
      </c>
      <c r="G2155" t="s">
        <v>18097</v>
      </c>
      <c r="H2155" t="s">
        <v>1112</v>
      </c>
      <c r="I2155" t="s">
        <v>1108</v>
      </c>
      <c r="J2155" t="s">
        <v>7085</v>
      </c>
      <c r="K2155" t="s">
        <v>7086</v>
      </c>
      <c r="L2155" t="s">
        <v>36</v>
      </c>
      <c r="M2155" t="s">
        <v>19177</v>
      </c>
      <c r="N2155" t="s">
        <v>300</v>
      </c>
      <c r="O2155" t="s">
        <v>16373</v>
      </c>
      <c r="P2155" t="s">
        <v>12</v>
      </c>
    </row>
    <row r="2156">
      <c r="A2156">
        <f>HYPERLINK("http://bombeiros.sp.gov.br/hidrantes/03individual/34.html","34")</f>
      </c>
      <c r="B2156" t="s">
        <v>114</v>
      </c>
      <c r="C2156" t="s">
        <v>440</v>
      </c>
      <c r="D2156" t="s">
        <v>441</v>
      </c>
      <c r="E2156" t="s">
        <v>64</v>
      </c>
      <c r="F2156" t="s">
        <v>7087</v>
      </c>
      <c r="G2156" t="s">
        <v>18196</v>
      </c>
      <c r="H2156" t="s">
        <v>1112</v>
      </c>
      <c r="I2156" t="s">
        <v>1108</v>
      </c>
      <c r="J2156" t="s">
        <v>7088</v>
      </c>
      <c r="K2156" t="s">
        <v>7089</v>
      </c>
      <c r="L2156" t="s">
        <v>36</v>
      </c>
      <c r="M2156" t="s">
        <v>19177</v>
      </c>
      <c r="N2156" t="s">
        <v>300</v>
      </c>
      <c r="O2156" t="s">
        <v>16373</v>
      </c>
      <c r="P2156" t="s">
        <v>12</v>
      </c>
    </row>
    <row r="2157">
      <c r="A2157">
        <f>HYPERLINK("http://bombeiros.sp.gov.br/hidrantes/03individual/865.html","865")</f>
      </c>
      <c r="B2157" t="s">
        <v>114</v>
      </c>
      <c r="C2157" t="s">
        <v>440</v>
      </c>
      <c r="D2157" t="s">
        <v>441</v>
      </c>
      <c r="E2157" t="s">
        <v>64</v>
      </c>
      <c r="F2157" t="s">
        <v>7090</v>
      </c>
      <c r="G2157" t="s">
        <v>18196</v>
      </c>
      <c r="H2157" t="s">
        <v>1112</v>
      </c>
      <c r="I2157" t="s">
        <v>1108</v>
      </c>
      <c r="J2157" t="s">
        <v>7091</v>
      </c>
      <c r="K2157" t="s">
        <v>7092</v>
      </c>
      <c r="L2157" t="s">
        <v>21</v>
      </c>
      <c r="M2157" t="s">
        <v>19177</v>
      </c>
      <c r="N2157" t="s">
        <v>300</v>
      </c>
      <c r="O2157" t="s">
        <v>16373</v>
      </c>
      <c r="P2157" t="s">
        <v>12</v>
      </c>
    </row>
    <row r="2158">
      <c r="A2158">
        <f>HYPERLINK("http://bombeiros.sp.gov.br/hidrantes/03individual/3027.html","3027")</f>
      </c>
      <c r="B2158" t="s">
        <v>114</v>
      </c>
      <c r="C2158" t="s">
        <v>440</v>
      </c>
      <c r="D2158" t="s">
        <v>441</v>
      </c>
      <c r="E2158" t="s">
        <v>64</v>
      </c>
      <c r="F2158" t="s">
        <v>7093</v>
      </c>
      <c r="G2158" t="s">
        <v>18055</v>
      </c>
      <c r="H2158" t="s">
        <v>1121</v>
      </c>
      <c r="I2158" t="s">
        <v>1117</v>
      </c>
      <c r="J2158" t="s">
        <v>7094</v>
      </c>
      <c r="K2158" t="s">
        <v>7095</v>
      </c>
      <c r="L2158" t="s">
        <v>36</v>
      </c>
      <c r="M2158" t="s">
        <v>19177</v>
      </c>
      <c r="N2158" t="s">
        <v>300</v>
      </c>
      <c r="O2158" t="s">
        <v>16373</v>
      </c>
      <c r="P2158" t="s">
        <v>12</v>
      </c>
    </row>
    <row r="2159">
      <c r="A2159">
        <f>HYPERLINK("http://bombeiros.sp.gov.br/hidrantes/03individual/35.html","35")</f>
      </c>
      <c r="B2159" t="s">
        <v>114</v>
      </c>
      <c r="C2159" t="s">
        <v>440</v>
      </c>
      <c r="D2159" t="s">
        <v>441</v>
      </c>
      <c r="E2159" t="s">
        <v>15</v>
      </c>
      <c r="F2159" t="s">
        <v>7096</v>
      </c>
      <c r="G2159" t="s">
        <v>18124</v>
      </c>
      <c r="H2159" t="s">
        <v>1112</v>
      </c>
      <c r="I2159" t="s">
        <v>1108</v>
      </c>
      <c r="J2159" t="s">
        <v>7097</v>
      </c>
      <c r="K2159" t="s">
        <v>7098</v>
      </c>
      <c r="L2159" t="s">
        <v>21</v>
      </c>
      <c r="M2159" t="s">
        <v>19177</v>
      </c>
      <c r="N2159" t="s">
        <v>300</v>
      </c>
      <c r="O2159" t="s">
        <v>16373</v>
      </c>
      <c r="P2159" t="s">
        <v>12</v>
      </c>
    </row>
    <row r="2160">
      <c r="A2160">
        <f>HYPERLINK("http://bombeiros.sp.gov.br/hidrantes/03individual/36.html","36")</f>
      </c>
      <c r="B2160" t="s">
        <v>114</v>
      </c>
      <c r="C2160" t="s">
        <v>440</v>
      </c>
      <c r="D2160" t="s">
        <v>441</v>
      </c>
      <c r="E2160" t="s">
        <v>15</v>
      </c>
      <c r="F2160" t="s">
        <v>7099</v>
      </c>
      <c r="G2160" t="s">
        <v>18124</v>
      </c>
      <c r="H2160" t="s">
        <v>1174</v>
      </c>
      <c r="I2160" t="s">
        <v>1117</v>
      </c>
      <c r="J2160" t="s">
        <v>7100</v>
      </c>
      <c r="K2160" t="s">
        <v>7101</v>
      </c>
      <c r="L2160" t="s">
        <v>21</v>
      </c>
      <c r="M2160" t="s">
        <v>19177</v>
      </c>
      <c r="N2160" t="s">
        <v>300</v>
      </c>
      <c r="O2160" t="s">
        <v>16373</v>
      </c>
      <c r="P2160" t="s">
        <v>12</v>
      </c>
    </row>
    <row r="2161">
      <c r="A2161">
        <f>HYPERLINK("http://bombeiros.sp.gov.br/hidrantes/03individual/106.html","106")</f>
      </c>
      <c r="B2161" t="s">
        <v>114</v>
      </c>
      <c r="C2161" t="s">
        <v>440</v>
      </c>
      <c r="D2161" t="s">
        <v>441</v>
      </c>
      <c r="E2161" t="s">
        <v>15</v>
      </c>
      <c r="F2161" t="s">
        <v>7102</v>
      </c>
      <c r="G2161" t="s">
        <v>18196</v>
      </c>
      <c r="H2161" t="s">
        <v>1112</v>
      </c>
      <c r="I2161" t="s">
        <v>1108</v>
      </c>
      <c r="J2161" t="s">
        <v>7103</v>
      </c>
      <c r="K2161" t="s">
        <v>7104</v>
      </c>
      <c r="L2161" t="s">
        <v>21</v>
      </c>
      <c r="M2161" t="s">
        <v>19177</v>
      </c>
      <c r="N2161" t="s">
        <v>300</v>
      </c>
      <c r="O2161" t="s">
        <v>16373</v>
      </c>
      <c r="P2161" t="s">
        <v>12</v>
      </c>
    </row>
    <row r="2162">
      <c r="A2162">
        <f>HYPERLINK("http://bombeiros.sp.gov.br/hidrantes/03individual/166.html","166")</f>
      </c>
      <c r="B2162" t="s">
        <v>114</v>
      </c>
      <c r="C2162" t="s">
        <v>440</v>
      </c>
      <c r="D2162" t="s">
        <v>441</v>
      </c>
      <c r="E2162" t="s">
        <v>15</v>
      </c>
      <c r="F2162" t="s">
        <v>7105</v>
      </c>
      <c r="G2162" t="s">
        <v>18196</v>
      </c>
      <c r="H2162" t="s">
        <v>1121</v>
      </c>
      <c r="I2162" t="s">
        <v>1117</v>
      </c>
      <c r="J2162" t="s">
        <v>7106</v>
      </c>
      <c r="K2162" t="s">
        <v>7107</v>
      </c>
      <c r="L2162" t="s">
        <v>21</v>
      </c>
      <c r="M2162" t="s">
        <v>19177</v>
      </c>
      <c r="N2162" t="s">
        <v>300</v>
      </c>
      <c r="O2162" t="s">
        <v>16373</v>
      </c>
      <c r="P2162" t="s">
        <v>12</v>
      </c>
    </row>
    <row r="2163">
      <c r="A2163">
        <f>HYPERLINK("http://bombeiros.sp.gov.br/hidrantes/03individual/172.html","172")</f>
      </c>
      <c r="B2163" t="s">
        <v>114</v>
      </c>
      <c r="C2163" t="s">
        <v>440</v>
      </c>
      <c r="D2163" t="s">
        <v>441</v>
      </c>
      <c r="E2163" t="s">
        <v>15</v>
      </c>
      <c r="F2163" t="s">
        <v>7108</v>
      </c>
      <c r="G2163" t="s">
        <v>18055</v>
      </c>
      <c r="H2163" t="s">
        <v>1121</v>
      </c>
      <c r="I2163" t="s">
        <v>1117</v>
      </c>
      <c r="J2163" t="s">
        <v>7109</v>
      </c>
      <c r="K2163" t="s">
        <v>7110</v>
      </c>
      <c r="L2163" t="s">
        <v>21</v>
      </c>
      <c r="M2163" t="s">
        <v>19177</v>
      </c>
      <c r="N2163" t="s">
        <v>300</v>
      </c>
      <c r="O2163" t="s">
        <v>16373</v>
      </c>
      <c r="P2163" t="s">
        <v>12</v>
      </c>
    </row>
    <row r="2164">
      <c r="A2164">
        <f>HYPERLINK("http://bombeiros.sp.gov.br/hidrantes/03individual/235.html","235")</f>
      </c>
      <c r="B2164" t="s">
        <v>114</v>
      </c>
      <c r="C2164" t="s">
        <v>440</v>
      </c>
      <c r="D2164" t="s">
        <v>441</v>
      </c>
      <c r="E2164" t="s">
        <v>15</v>
      </c>
      <c r="F2164" t="s">
        <v>7111</v>
      </c>
      <c r="G2164" t="s">
        <v>18055</v>
      </c>
      <c r="H2164" t="s">
        <v>1112</v>
      </c>
      <c r="I2164" t="s">
        <v>1108</v>
      </c>
      <c r="J2164" t="s">
        <v>7112</v>
      </c>
      <c r="K2164" t="s">
        <v>7113</v>
      </c>
      <c r="L2164" t="s">
        <v>21</v>
      </c>
      <c r="M2164" t="s">
        <v>19177</v>
      </c>
      <c r="N2164" t="s">
        <v>300</v>
      </c>
      <c r="O2164" t="s">
        <v>16373</v>
      </c>
      <c r="P2164" t="s">
        <v>12</v>
      </c>
    </row>
    <row r="2165">
      <c r="A2165">
        <f>HYPERLINK("http://bombeiros.sp.gov.br/hidrantes/03individual/239.html","239")</f>
      </c>
      <c r="B2165" t="s">
        <v>114</v>
      </c>
      <c r="C2165" t="s">
        <v>440</v>
      </c>
      <c r="D2165" t="s">
        <v>441</v>
      </c>
      <c r="E2165" t="s">
        <v>15</v>
      </c>
      <c r="F2165" t="s">
        <v>7114</v>
      </c>
      <c r="G2165" t="s">
        <v>18124</v>
      </c>
      <c r="H2165" t="s">
        <v>1107</v>
      </c>
      <c r="I2165" t="s">
        <v>1108</v>
      </c>
      <c r="J2165" t="s">
        <v>7116</v>
      </c>
      <c r="K2165" t="s">
        <v>7117</v>
      </c>
      <c r="L2165" t="s">
        <v>21</v>
      </c>
      <c r="M2165" t="s">
        <v>19177</v>
      </c>
      <c r="N2165" t="s">
        <v>300</v>
      </c>
      <c r="O2165" t="s">
        <v>16373</v>
      </c>
      <c r="P2165" t="s">
        <v>12</v>
      </c>
    </row>
    <row r="2166">
      <c r="A2166">
        <f>HYPERLINK("http://bombeiros.sp.gov.br/hidrantes/03individual/240.html","240")</f>
      </c>
      <c r="B2166" t="s">
        <v>114</v>
      </c>
      <c r="C2166" t="s">
        <v>440</v>
      </c>
      <c r="D2166" t="s">
        <v>441</v>
      </c>
      <c r="E2166" t="s">
        <v>15</v>
      </c>
      <c r="F2166" t="s">
        <v>7118</v>
      </c>
      <c r="G2166" t="s">
        <v>18124</v>
      </c>
      <c r="H2166" t="s">
        <v>1112</v>
      </c>
      <c r="I2166" t="s">
        <v>1108</v>
      </c>
      <c r="J2166" t="s">
        <v>7120</v>
      </c>
      <c r="K2166" t="s">
        <v>7121</v>
      </c>
      <c r="L2166" t="s">
        <v>21</v>
      </c>
      <c r="M2166" t="s">
        <v>19177</v>
      </c>
      <c r="N2166" t="s">
        <v>300</v>
      </c>
      <c r="O2166" t="s">
        <v>16373</v>
      </c>
      <c r="P2166" t="s">
        <v>12</v>
      </c>
    </row>
    <row r="2167">
      <c r="A2167">
        <f>HYPERLINK("http://bombeiros.sp.gov.br/hidrantes/03individual/241.html","241")</f>
      </c>
      <c r="B2167" t="s">
        <v>114</v>
      </c>
      <c r="C2167" t="s">
        <v>440</v>
      </c>
      <c r="D2167" t="s">
        <v>441</v>
      </c>
      <c r="E2167" t="s">
        <v>15</v>
      </c>
      <c r="F2167" t="s">
        <v>7122</v>
      </c>
      <c r="G2167" t="s">
        <v>18139</v>
      </c>
      <c r="H2167" t="s">
        <v>1174</v>
      </c>
      <c r="I2167" t="s">
        <v>1108</v>
      </c>
      <c r="J2167" t="s">
        <v>7123</v>
      </c>
      <c r="K2167" t="s">
        <v>7124</v>
      </c>
      <c r="L2167" t="s">
        <v>21</v>
      </c>
      <c r="M2167" t="s">
        <v>19177</v>
      </c>
      <c r="N2167" t="s">
        <v>300</v>
      </c>
      <c r="O2167" t="s">
        <v>16373</v>
      </c>
      <c r="P2167" t="s">
        <v>12</v>
      </c>
    </row>
    <row r="2168">
      <c r="A2168">
        <f>HYPERLINK("http://bombeiros.sp.gov.br/hidrantes/03individual/243.html","243")</f>
      </c>
      <c r="B2168" t="s">
        <v>114</v>
      </c>
      <c r="C2168" t="s">
        <v>440</v>
      </c>
      <c r="D2168" t="s">
        <v>441</v>
      </c>
      <c r="E2168" t="s">
        <v>15</v>
      </c>
      <c r="F2168" t="s">
        <v>7125</v>
      </c>
      <c r="G2168" t="s">
        <v>18055</v>
      </c>
      <c r="H2168" t="s">
        <v>1112</v>
      </c>
      <c r="I2168" t="s">
        <v>1108</v>
      </c>
      <c r="J2168" t="s">
        <v>7126</v>
      </c>
      <c r="K2168" t="s">
        <v>7127</v>
      </c>
      <c r="L2168" t="s">
        <v>21</v>
      </c>
      <c r="M2168" t="s">
        <v>19177</v>
      </c>
      <c r="N2168" t="s">
        <v>300</v>
      </c>
      <c r="O2168" t="s">
        <v>16373</v>
      </c>
      <c r="P2168" t="s">
        <v>12</v>
      </c>
    </row>
    <row r="2169">
      <c r="A2169">
        <f>HYPERLINK("http://bombeiros.sp.gov.br/hidrantes/03individual/280.html","280")</f>
      </c>
      <c r="B2169" t="s">
        <v>114</v>
      </c>
      <c r="C2169" t="s">
        <v>440</v>
      </c>
      <c r="D2169" t="s">
        <v>441</v>
      </c>
      <c r="E2169" t="s">
        <v>15</v>
      </c>
      <c r="F2169" t="s">
        <v>442</v>
      </c>
      <c r="G2169" t="s">
        <v>18046</v>
      </c>
      <c r="H2169"/>
      <c r="I2169" t="s">
        <v>18</v>
      </c>
      <c r="J2169" t="s">
        <v>443</v>
      </c>
      <c r="K2169" t="s">
        <v>444</v>
      </c>
      <c r="L2169" t="s">
        <v>21</v>
      </c>
      <c r="M2169" t="s">
        <v>19177</v>
      </c>
      <c r="N2169" t="s">
        <v>300</v>
      </c>
      <c r="O2169" t="s">
        <v>16373</v>
      </c>
      <c r="P2169" t="s">
        <v>12</v>
      </c>
    </row>
    <row r="2170">
      <c r="A2170">
        <f>HYPERLINK("http://bombeiros.sp.gov.br/hidrantes/03individual/2961.html","2961")</f>
      </c>
      <c r="B2170" t="s">
        <v>114</v>
      </c>
      <c r="C2170" t="s">
        <v>440</v>
      </c>
      <c r="D2170" t="s">
        <v>441</v>
      </c>
      <c r="E2170" t="s">
        <v>15</v>
      </c>
      <c r="F2170" t="s">
        <v>7128</v>
      </c>
      <c r="G2170" t="s">
        <v>18117</v>
      </c>
      <c r="H2170" t="s">
        <v>1112</v>
      </c>
      <c r="I2170" t="s">
        <v>1108</v>
      </c>
      <c r="J2170" t="s">
        <v>7129</v>
      </c>
      <c r="K2170" t="s">
        <v>7130</v>
      </c>
      <c r="L2170" t="s">
        <v>21</v>
      </c>
      <c r="M2170" t="s">
        <v>19177</v>
      </c>
      <c r="N2170" t="s">
        <v>300</v>
      </c>
      <c r="O2170" t="s">
        <v>16373</v>
      </c>
      <c r="P2170" t="s">
        <v>12</v>
      </c>
    </row>
    <row r="2171">
      <c r="A2171">
        <f>HYPERLINK("http://bombeiros.sp.gov.br/hidrantes/03individual/3029.html","3029")</f>
      </c>
      <c r="B2171" t="s">
        <v>114</v>
      </c>
      <c r="C2171" t="s">
        <v>440</v>
      </c>
      <c r="D2171" t="s">
        <v>441</v>
      </c>
      <c r="E2171" t="s">
        <v>15</v>
      </c>
      <c r="F2171" t="s">
        <v>7131</v>
      </c>
      <c r="G2171" t="s">
        <v>18158</v>
      </c>
      <c r="H2171" t="s">
        <v>1107</v>
      </c>
      <c r="I2171" t="s">
        <v>1108</v>
      </c>
      <c r="J2171" t="s">
        <v>7132</v>
      </c>
      <c r="K2171" t="s">
        <v>7133</v>
      </c>
      <c r="L2171" t="s">
        <v>21</v>
      </c>
      <c r="M2171" t="s">
        <v>19177</v>
      </c>
      <c r="N2171" t="s">
        <v>300</v>
      </c>
      <c r="O2171" t="s">
        <v>16373</v>
      </c>
      <c r="P2171" t="s">
        <v>12</v>
      </c>
    </row>
    <row r="2172">
      <c r="A2172">
        <f>HYPERLINK("http://bombeiros.sp.gov.br/hidrantes/03individual/3076.html","3076")</f>
      </c>
      <c r="B2172" t="s">
        <v>114</v>
      </c>
      <c r="C2172" t="s">
        <v>440</v>
      </c>
      <c r="D2172" t="s">
        <v>441</v>
      </c>
      <c r="E2172" t="s">
        <v>15</v>
      </c>
      <c r="F2172" t="s">
        <v>7134</v>
      </c>
      <c r="G2172" t="s">
        <v>18145</v>
      </c>
      <c r="H2172" t="s">
        <v>1107</v>
      </c>
      <c r="I2172" t="s">
        <v>1108</v>
      </c>
      <c r="J2172" t="s">
        <v>7135</v>
      </c>
      <c r="K2172" t="s">
        <v>7136</v>
      </c>
      <c r="L2172" t="s">
        <v>21</v>
      </c>
      <c r="M2172" t="s">
        <v>19177</v>
      </c>
      <c r="N2172" t="s">
        <v>300</v>
      </c>
      <c r="O2172" t="s">
        <v>16373</v>
      </c>
      <c r="P2172" t="s">
        <v>12</v>
      </c>
    </row>
    <row r="2173">
      <c r="A2173">
        <f>HYPERLINK("http://bombeiros.sp.gov.br/hidrantes/03individual/3077.html","3077")</f>
      </c>
      <c r="B2173" t="s">
        <v>114</v>
      </c>
      <c r="C2173" t="s">
        <v>440</v>
      </c>
      <c r="D2173" t="s">
        <v>441</v>
      </c>
      <c r="E2173" t="s">
        <v>15</v>
      </c>
      <c r="F2173" t="s">
        <v>7137</v>
      </c>
      <c r="G2173" t="s">
        <v>18196</v>
      </c>
      <c r="H2173" t="s">
        <v>1107</v>
      </c>
      <c r="I2173" t="s">
        <v>1108</v>
      </c>
      <c r="J2173" t="s">
        <v>7138</v>
      </c>
      <c r="K2173" t="s">
        <v>7139</v>
      </c>
      <c r="L2173" t="s">
        <v>21</v>
      </c>
      <c r="M2173" t="s">
        <v>19177</v>
      </c>
      <c r="N2173" t="s">
        <v>300</v>
      </c>
      <c r="O2173" t="s">
        <v>16373</v>
      </c>
      <c r="P2173" t="s">
        <v>12</v>
      </c>
    </row>
    <row r="2174">
      <c r="A2174">
        <f>HYPERLINK("http://bombeiros.sp.gov.br/hidrantes/03individual/3087.html","3087")</f>
      </c>
      <c r="B2174" t="s">
        <v>114</v>
      </c>
      <c r="C2174" t="s">
        <v>440</v>
      </c>
      <c r="D2174" t="s">
        <v>441</v>
      </c>
      <c r="E2174" t="s">
        <v>15</v>
      </c>
      <c r="F2174" t="s">
        <v>7140</v>
      </c>
      <c r="G2174" t="s">
        <v>18124</v>
      </c>
      <c r="H2174" t="s">
        <v>1112</v>
      </c>
      <c r="I2174" t="s">
        <v>1108</v>
      </c>
      <c r="J2174" t="s">
        <v>7141</v>
      </c>
      <c r="K2174" t="s">
        <v>7142</v>
      </c>
      <c r="L2174" t="s">
        <v>21</v>
      </c>
      <c r="M2174" t="s">
        <v>19177</v>
      </c>
      <c r="N2174" t="s">
        <v>300</v>
      </c>
      <c r="O2174" t="s">
        <v>16373</v>
      </c>
      <c r="P2174" t="s">
        <v>12</v>
      </c>
    </row>
    <row r="2175">
      <c r="A2175">
        <f>HYPERLINK("http://bombeiros.sp.gov.br/hidrantes/03individual/3093.html","3093")</f>
      </c>
      <c r="B2175" t="s">
        <v>114</v>
      </c>
      <c r="C2175" t="s">
        <v>440</v>
      </c>
      <c r="D2175" t="s">
        <v>441</v>
      </c>
      <c r="E2175" t="s">
        <v>15</v>
      </c>
      <c r="F2175" t="s">
        <v>7143</v>
      </c>
      <c r="G2175" t="s">
        <v>18124</v>
      </c>
      <c r="H2175" t="s">
        <v>1112</v>
      </c>
      <c r="I2175" t="s">
        <v>1108</v>
      </c>
      <c r="J2175" t="s">
        <v>7144</v>
      </c>
      <c r="K2175" t="s">
        <v>7145</v>
      </c>
      <c r="L2175" t="s">
        <v>21</v>
      </c>
      <c r="M2175" t="s">
        <v>19177</v>
      </c>
      <c r="N2175" t="s">
        <v>300</v>
      </c>
      <c r="O2175" t="s">
        <v>16373</v>
      </c>
      <c r="P2175" t="s">
        <v>12</v>
      </c>
    </row>
    <row r="2176">
      <c r="A2176">
        <f>HYPERLINK("http://bombeiros.sp.gov.br/hidrantes/03individual/3174.html","3174")</f>
      </c>
      <c r="B2176" t="s">
        <v>114</v>
      </c>
      <c r="C2176" t="s">
        <v>440</v>
      </c>
      <c r="D2176" t="s">
        <v>441</v>
      </c>
      <c r="E2176" t="s">
        <v>15</v>
      </c>
      <c r="F2176" t="s">
        <v>7146</v>
      </c>
      <c r="G2176" t="s">
        <v>18046</v>
      </c>
      <c r="H2176" t="s">
        <v>1121</v>
      </c>
      <c r="I2176" t="s">
        <v>1117</v>
      </c>
      <c r="J2176" t="s">
        <v>7147</v>
      </c>
      <c r="K2176" t="s">
        <v>7148</v>
      </c>
      <c r="L2176" t="s">
        <v>21</v>
      </c>
      <c r="M2176" t="s">
        <v>19177</v>
      </c>
      <c r="N2176" t="s">
        <v>300</v>
      </c>
      <c r="O2176" t="s">
        <v>16373</v>
      </c>
      <c r="P2176" t="s">
        <v>12</v>
      </c>
    </row>
    <row r="2177">
      <c r="A2177">
        <f>HYPERLINK("http://bombeiros.sp.gov.br/hidrantes/03individual/4287.html","4287")</f>
      </c>
      <c r="B2177" t="s">
        <v>114</v>
      </c>
      <c r="C2177" t="s">
        <v>440</v>
      </c>
      <c r="D2177" t="s">
        <v>441</v>
      </c>
      <c r="E2177" t="s">
        <v>15</v>
      </c>
      <c r="F2177" t="s">
        <v>7149</v>
      </c>
      <c r="G2177" t="s">
        <v>18074</v>
      </c>
      <c r="H2177" t="s">
        <v>1112</v>
      </c>
      <c r="I2177" t="s">
        <v>1108</v>
      </c>
      <c r="J2177" t="s">
        <v>7150</v>
      </c>
      <c r="K2177" t="s">
        <v>7151</v>
      </c>
      <c r="L2177" t="s">
        <v>21</v>
      </c>
      <c r="M2177" t="s">
        <v>19177</v>
      </c>
      <c r="N2177" t="s">
        <v>300</v>
      </c>
      <c r="O2177" t="s">
        <v>16373</v>
      </c>
      <c r="P2177" t="s">
        <v>12</v>
      </c>
    </row>
    <row r="2178">
      <c r="A2178">
        <f>HYPERLINK("http://bombeiros.sp.gov.br/hidrantes/03individual/4296.html","4296")</f>
      </c>
      <c r="B2178" t="s">
        <v>114</v>
      </c>
      <c r="C2178" t="s">
        <v>440</v>
      </c>
      <c r="D2178" t="s">
        <v>441</v>
      </c>
      <c r="E2178" t="s">
        <v>15</v>
      </c>
      <c r="F2178" t="s">
        <v>7152</v>
      </c>
      <c r="G2178" t="s">
        <v>18193</v>
      </c>
      <c r="H2178" t="s">
        <v>1121</v>
      </c>
      <c r="I2178" t="s">
        <v>1117</v>
      </c>
      <c r="J2178" t="s">
        <v>7153</v>
      </c>
      <c r="K2178" t="s">
        <v>7154</v>
      </c>
      <c r="L2178" t="s">
        <v>21</v>
      </c>
      <c r="M2178" t="s">
        <v>19177</v>
      </c>
      <c r="N2178" t="s">
        <v>300</v>
      </c>
      <c r="O2178" t="s">
        <v>16373</v>
      </c>
      <c r="P2178" t="s">
        <v>12</v>
      </c>
    </row>
    <row r="2179">
      <c r="A2179">
        <f>HYPERLINK("http://bombeiros.sp.gov.br/hidrantes/03individual/16643.html","16643")</f>
      </c>
      <c r="B2179" t="s">
        <v>114</v>
      </c>
      <c r="C2179" t="s">
        <v>440</v>
      </c>
      <c r="D2179" t="s">
        <v>441</v>
      </c>
      <c r="E2179" t="s">
        <v>15</v>
      </c>
      <c r="F2179" t="s">
        <v>445</v>
      </c>
      <c r="G2179" t="s">
        <v>18130</v>
      </c>
      <c r="H2179"/>
      <c r="I2179" t="s">
        <v>18</v>
      </c>
      <c r="J2179" t="s">
        <v>447</v>
      </c>
      <c r="K2179" t="s">
        <v>448</v>
      </c>
      <c r="L2179" t="s">
        <v>21</v>
      </c>
      <c r="M2179" t="s">
        <v>19177</v>
      </c>
      <c r="N2179" t="s">
        <v>300</v>
      </c>
      <c r="O2179" t="s">
        <v>16373</v>
      </c>
      <c r="P2179" t="s">
        <v>12</v>
      </c>
    </row>
    <row r="2180">
      <c r="A2180">
        <f>HYPERLINK("http://bombeiros.sp.gov.br/hidrantes/03individual/17687.html","17687")</f>
      </c>
      <c r="B2180" t="s">
        <v>114</v>
      </c>
      <c r="C2180" t="s">
        <v>440</v>
      </c>
      <c r="D2180" t="s">
        <v>441</v>
      </c>
      <c r="E2180" t="s">
        <v>15</v>
      </c>
      <c r="F2180" t="s">
        <v>7155</v>
      </c>
      <c r="G2180" t="s">
        <v>18074</v>
      </c>
      <c r="H2180" t="s">
        <v>1174</v>
      </c>
      <c r="I2180" t="s">
        <v>1117</v>
      </c>
      <c r="J2180" t="s">
        <v>7156</v>
      </c>
      <c r="K2180" t="s">
        <v>7157</v>
      </c>
      <c r="L2180" t="s">
        <v>21</v>
      </c>
      <c r="M2180" t="s">
        <v>19177</v>
      </c>
      <c r="N2180" t="s">
        <v>300</v>
      </c>
      <c r="O2180" t="s">
        <v>16373</v>
      </c>
      <c r="P2180" t="s">
        <v>12</v>
      </c>
    </row>
    <row r="2181">
      <c r="A2181">
        <f>HYPERLINK("http://bombeiros.sp.gov.br/hidrantes/03individual/3633.html","3633")</f>
      </c>
      <c r="B2181" t="s">
        <v>114</v>
      </c>
      <c r="C2181" t="s">
        <v>440</v>
      </c>
      <c r="D2181" t="s">
        <v>323</v>
      </c>
      <c r="E2181" t="s">
        <v>64</v>
      </c>
      <c r="F2181" t="s">
        <v>7158</v>
      </c>
      <c r="G2181" t="s">
        <v>18150</v>
      </c>
      <c r="H2181" t="s">
        <v>1174</v>
      </c>
      <c r="I2181" t="s">
        <v>1117</v>
      </c>
      <c r="J2181" t="s">
        <v>7159</v>
      </c>
      <c r="K2181" t="s">
        <v>7160</v>
      </c>
      <c r="L2181" t="s">
        <v>21</v>
      </c>
      <c r="M2181" t="s">
        <v>19177</v>
      </c>
      <c r="N2181" t="s">
        <v>300</v>
      </c>
      <c r="O2181" t="s">
        <v>16373</v>
      </c>
      <c r="P2181" t="s">
        <v>12</v>
      </c>
    </row>
    <row r="2182">
      <c r="A2182">
        <f>HYPERLINK("http://bombeiros.sp.gov.br/hidrantes/03individual/170.html","170")</f>
      </c>
      <c r="B2182" t="s">
        <v>114</v>
      </c>
      <c r="C2182" t="s">
        <v>440</v>
      </c>
      <c r="D2182" t="s">
        <v>7161</v>
      </c>
      <c r="E2182" t="s">
        <v>64</v>
      </c>
      <c r="F2182" t="s">
        <v>15922</v>
      </c>
      <c r="G2182" t="s">
        <v>18158</v>
      </c>
      <c r="H2182" t="s">
        <v>1112</v>
      </c>
      <c r="I2182" t="s">
        <v>1108</v>
      </c>
      <c r="J2182" t="s">
        <v>15925</v>
      </c>
      <c r="K2182" t="s">
        <v>15926</v>
      </c>
      <c r="L2182" t="s">
        <v>36</v>
      </c>
      <c r="M2182" t="s">
        <v>19177</v>
      </c>
      <c r="N2182" t="s">
        <v>300</v>
      </c>
      <c r="O2182" t="s">
        <v>16373</v>
      </c>
      <c r="P2182" t="s">
        <v>12</v>
      </c>
    </row>
    <row r="2183">
      <c r="A2183">
        <f>HYPERLINK("http://bombeiros.sp.gov.br/hidrantes/03individual/867.html","867")</f>
      </c>
      <c r="B2183" t="s">
        <v>114</v>
      </c>
      <c r="C2183" t="s">
        <v>440</v>
      </c>
      <c r="D2183" t="s">
        <v>7161</v>
      </c>
      <c r="E2183" t="s">
        <v>64</v>
      </c>
      <c r="F2183" t="s">
        <v>7166</v>
      </c>
      <c r="G2183" t="s">
        <v>18155</v>
      </c>
      <c r="H2183" t="s">
        <v>1121</v>
      </c>
      <c r="I2183" t="s">
        <v>1117</v>
      </c>
      <c r="J2183" t="s">
        <v>7167</v>
      </c>
      <c r="K2183" t="s">
        <v>7168</v>
      </c>
      <c r="L2183" t="s">
        <v>21</v>
      </c>
      <c r="M2183" t="s">
        <v>19177</v>
      </c>
      <c r="N2183" t="s">
        <v>300</v>
      </c>
      <c r="O2183" t="s">
        <v>16373</v>
      </c>
      <c r="P2183" t="s">
        <v>12</v>
      </c>
    </row>
    <row r="2184">
      <c r="A2184">
        <f>HYPERLINK("http://bombeiros.sp.gov.br/hidrantes/03individual/869.html","869")</f>
      </c>
      <c r="B2184" t="s">
        <v>114</v>
      </c>
      <c r="C2184" t="s">
        <v>440</v>
      </c>
      <c r="D2184" t="s">
        <v>7161</v>
      </c>
      <c r="E2184" t="s">
        <v>64</v>
      </c>
      <c r="F2184" t="s">
        <v>7169</v>
      </c>
      <c r="G2184" t="s">
        <v>18117</v>
      </c>
      <c r="H2184" t="s">
        <v>1112</v>
      </c>
      <c r="I2184" t="s">
        <v>1108</v>
      </c>
      <c r="J2184" t="s">
        <v>7170</v>
      </c>
      <c r="K2184" t="s">
        <v>7171</v>
      </c>
      <c r="L2184" t="s">
        <v>21</v>
      </c>
      <c r="M2184" t="s">
        <v>19177</v>
      </c>
      <c r="N2184" t="s">
        <v>300</v>
      </c>
      <c r="O2184" t="s">
        <v>16373</v>
      </c>
      <c r="P2184" t="s">
        <v>12</v>
      </c>
    </row>
    <row r="2185">
      <c r="A2185">
        <f>HYPERLINK("http://bombeiros.sp.gov.br/hidrantes/03individual/870.html","870")</f>
      </c>
      <c r="B2185" t="s">
        <v>114</v>
      </c>
      <c r="C2185" t="s">
        <v>440</v>
      </c>
      <c r="D2185" t="s">
        <v>7161</v>
      </c>
      <c r="E2185" t="s">
        <v>64</v>
      </c>
      <c r="F2185" t="s">
        <v>7172</v>
      </c>
      <c r="G2185" t="s">
        <v>18196</v>
      </c>
      <c r="H2185" t="s">
        <v>1121</v>
      </c>
      <c r="I2185" t="s">
        <v>1117</v>
      </c>
      <c r="J2185" t="s">
        <v>7173</v>
      </c>
      <c r="K2185" t="s">
        <v>7174</v>
      </c>
      <c r="L2185" t="s">
        <v>36</v>
      </c>
      <c r="M2185" t="s">
        <v>19177</v>
      </c>
      <c r="N2185" t="s">
        <v>300</v>
      </c>
      <c r="O2185" t="s">
        <v>16373</v>
      </c>
      <c r="P2185" t="s">
        <v>12</v>
      </c>
    </row>
    <row r="2186">
      <c r="A2186">
        <f>HYPERLINK("http://bombeiros.sp.gov.br/hidrantes/03individual/871.html","871")</f>
      </c>
      <c r="B2186" t="s">
        <v>114</v>
      </c>
      <c r="C2186" t="s">
        <v>440</v>
      </c>
      <c r="D2186" t="s">
        <v>7161</v>
      </c>
      <c r="E2186" t="s">
        <v>64</v>
      </c>
      <c r="F2186" t="s">
        <v>7175</v>
      </c>
      <c r="G2186" t="s">
        <v>18147</v>
      </c>
      <c r="H2186" t="s">
        <v>1121</v>
      </c>
      <c r="I2186" t="s">
        <v>1117</v>
      </c>
      <c r="J2186" t="s">
        <v>7176</v>
      </c>
      <c r="K2186" t="s">
        <v>7177</v>
      </c>
      <c r="L2186" t="s">
        <v>21</v>
      </c>
      <c r="M2186" t="s">
        <v>19177</v>
      </c>
      <c r="N2186" t="s">
        <v>97</v>
      </c>
      <c r="O2186" t="s">
        <v>937</v>
      </c>
      <c r="P2186" t="s">
        <v>12</v>
      </c>
    </row>
    <row r="2187">
      <c r="A2187">
        <f>HYPERLINK("http://bombeiros.sp.gov.br/hidrantes/03individual/873.html","873")</f>
      </c>
      <c r="B2187" t="s">
        <v>114</v>
      </c>
      <c r="C2187" t="s">
        <v>440</v>
      </c>
      <c r="D2187" t="s">
        <v>7161</v>
      </c>
      <c r="E2187" t="s">
        <v>64</v>
      </c>
      <c r="F2187" t="s">
        <v>7178</v>
      </c>
      <c r="G2187" t="s">
        <v>18117</v>
      </c>
      <c r="H2187" t="s">
        <v>1112</v>
      </c>
      <c r="I2187" t="s">
        <v>1108</v>
      </c>
      <c r="J2187" t="s">
        <v>7179</v>
      </c>
      <c r="K2187" t="s">
        <v>7180</v>
      </c>
      <c r="L2187" t="s">
        <v>21</v>
      </c>
      <c r="M2187" t="s">
        <v>19177</v>
      </c>
      <c r="N2187" t="s">
        <v>300</v>
      </c>
      <c r="O2187" t="s">
        <v>16373</v>
      </c>
      <c r="P2187" t="s">
        <v>12</v>
      </c>
    </row>
    <row r="2188">
      <c r="A2188">
        <f>HYPERLINK("http://bombeiros.sp.gov.br/hidrantes/03individual/875.html","875")</f>
      </c>
      <c r="B2188" t="s">
        <v>114</v>
      </c>
      <c r="C2188" t="s">
        <v>440</v>
      </c>
      <c r="D2188" t="s">
        <v>7161</v>
      </c>
      <c r="E2188" t="s">
        <v>64</v>
      </c>
      <c r="F2188" t="s">
        <v>7181</v>
      </c>
      <c r="G2188" t="s">
        <v>18147</v>
      </c>
      <c r="H2188" t="s">
        <v>1107</v>
      </c>
      <c r="I2188" t="s">
        <v>1108</v>
      </c>
      <c r="J2188" t="s">
        <v>7182</v>
      </c>
      <c r="K2188" t="s">
        <v>7183</v>
      </c>
      <c r="L2188" t="s">
        <v>21</v>
      </c>
      <c r="M2188" t="s">
        <v>19177</v>
      </c>
      <c r="N2188" t="s">
        <v>300</v>
      </c>
      <c r="O2188" t="s">
        <v>16373</v>
      </c>
      <c r="P2188" t="s">
        <v>12</v>
      </c>
    </row>
    <row r="2189">
      <c r="A2189">
        <f>HYPERLINK("http://bombeiros.sp.gov.br/hidrantes/03individual/4290.html","4290")</f>
      </c>
      <c r="B2189" t="s">
        <v>114</v>
      </c>
      <c r="C2189" t="s">
        <v>440</v>
      </c>
      <c r="D2189" t="s">
        <v>7161</v>
      </c>
      <c r="E2189" t="s">
        <v>64</v>
      </c>
      <c r="F2189" t="s">
        <v>7184</v>
      </c>
      <c r="G2189" t="s">
        <v>18117</v>
      </c>
      <c r="H2189" t="s">
        <v>1112</v>
      </c>
      <c r="I2189" t="s">
        <v>1108</v>
      </c>
      <c r="J2189" t="s">
        <v>7185</v>
      </c>
      <c r="K2189" t="s">
        <v>7186</v>
      </c>
      <c r="L2189" t="s">
        <v>36</v>
      </c>
      <c r="M2189" t="s">
        <v>19177</v>
      </c>
      <c r="N2189" t="s">
        <v>300</v>
      </c>
      <c r="O2189" t="s">
        <v>16373</v>
      </c>
      <c r="P2189" t="s">
        <v>12</v>
      </c>
    </row>
    <row r="2190">
      <c r="A2190">
        <f>HYPERLINK("http://bombeiros.sp.gov.br/hidrantes/03individual/4424.html","4424")</f>
      </c>
      <c r="B2190" t="s">
        <v>114</v>
      </c>
      <c r="C2190" t="s">
        <v>440</v>
      </c>
      <c r="D2190" t="s">
        <v>449</v>
      </c>
      <c r="E2190" t="s">
        <v>1507</v>
      </c>
      <c r="F2190" t="s">
        <v>7187</v>
      </c>
      <c r="G2190" t="s">
        <v>18187</v>
      </c>
      <c r="H2190" t="s">
        <v>1112</v>
      </c>
      <c r="I2190" t="s">
        <v>1108</v>
      </c>
      <c r="J2190" t="s">
        <v>7188</v>
      </c>
      <c r="K2190" t="s">
        <v>7189</v>
      </c>
      <c r="L2190" t="s">
        <v>21</v>
      </c>
      <c r="M2190" t="s">
        <v>19177</v>
      </c>
      <c r="N2190" t="s">
        <v>300</v>
      </c>
      <c r="O2190" t="s">
        <v>16373</v>
      </c>
      <c r="P2190" t="s">
        <v>12</v>
      </c>
    </row>
    <row r="2191">
      <c r="A2191">
        <f>HYPERLINK("http://bombeiros.sp.gov.br/hidrantes/03individual/121.html","121")</f>
      </c>
      <c r="B2191" t="s">
        <v>114</v>
      </c>
      <c r="C2191" t="s">
        <v>440</v>
      </c>
      <c r="D2191" t="s">
        <v>449</v>
      </c>
      <c r="E2191" t="s">
        <v>64</v>
      </c>
      <c r="F2191" t="s">
        <v>7190</v>
      </c>
      <c r="G2191" t="s">
        <v>18093</v>
      </c>
      <c r="H2191" t="s">
        <v>1112</v>
      </c>
      <c r="I2191" t="s">
        <v>1108</v>
      </c>
      <c r="J2191" t="s">
        <v>7192</v>
      </c>
      <c r="K2191" t="s">
        <v>7193</v>
      </c>
      <c r="L2191" t="s">
        <v>36</v>
      </c>
      <c r="M2191" t="s">
        <v>19177</v>
      </c>
      <c r="N2191" t="s">
        <v>300</v>
      </c>
      <c r="O2191" t="s">
        <v>16373</v>
      </c>
      <c r="P2191" t="s">
        <v>12</v>
      </c>
    </row>
    <row r="2192">
      <c r="A2192">
        <f>HYPERLINK("http://bombeiros.sp.gov.br/hidrantes/03individual/876.html","876")</f>
      </c>
      <c r="B2192" t="s">
        <v>114</v>
      </c>
      <c r="C2192" t="s">
        <v>440</v>
      </c>
      <c r="D2192" t="s">
        <v>449</v>
      </c>
      <c r="E2192" t="s">
        <v>64</v>
      </c>
      <c r="F2192" t="s">
        <v>7194</v>
      </c>
      <c r="G2192" t="s">
        <v>18056</v>
      </c>
      <c r="H2192" t="s">
        <v>1112</v>
      </c>
      <c r="I2192" t="s">
        <v>1108</v>
      </c>
      <c r="J2192" t="s">
        <v>17415</v>
      </c>
      <c r="K2192" t="s">
        <v>17416</v>
      </c>
      <c r="L2192" t="s">
        <v>21</v>
      </c>
      <c r="M2192" t="s">
        <v>19177</v>
      </c>
      <c r="N2192" t="s">
        <v>300</v>
      </c>
      <c r="O2192" t="s">
        <v>16373</v>
      </c>
      <c r="P2192" t="s">
        <v>12</v>
      </c>
    </row>
    <row r="2193">
      <c r="A2193">
        <f>HYPERLINK("http://bombeiros.sp.gov.br/hidrantes/03individual/878.html","878")</f>
      </c>
      <c r="B2193" t="s">
        <v>114</v>
      </c>
      <c r="C2193" t="s">
        <v>440</v>
      </c>
      <c r="D2193" t="s">
        <v>449</v>
      </c>
      <c r="E2193" t="s">
        <v>64</v>
      </c>
      <c r="F2193" t="s">
        <v>7197</v>
      </c>
      <c r="G2193" t="s">
        <v>18056</v>
      </c>
      <c r="H2193" t="s">
        <v>1112</v>
      </c>
      <c r="I2193" t="s">
        <v>1108</v>
      </c>
      <c r="J2193" t="s">
        <v>7198</v>
      </c>
      <c r="K2193" t="s">
        <v>7199</v>
      </c>
      <c r="L2193" t="s">
        <v>36</v>
      </c>
      <c r="M2193" t="s">
        <v>19177</v>
      </c>
      <c r="N2193" t="s">
        <v>300</v>
      </c>
      <c r="O2193" t="s">
        <v>16373</v>
      </c>
      <c r="P2193" t="s">
        <v>12</v>
      </c>
    </row>
    <row r="2194">
      <c r="A2194">
        <f>HYPERLINK("http://bombeiros.sp.gov.br/hidrantes/03individual/880.html","880")</f>
      </c>
      <c r="B2194" t="s">
        <v>114</v>
      </c>
      <c r="C2194" t="s">
        <v>440</v>
      </c>
      <c r="D2194" t="s">
        <v>449</v>
      </c>
      <c r="E2194" t="s">
        <v>64</v>
      </c>
      <c r="F2194" t="s">
        <v>7200</v>
      </c>
      <c r="G2194" t="s">
        <v>18056</v>
      </c>
      <c r="H2194" t="s">
        <v>1112</v>
      </c>
      <c r="I2194" t="s">
        <v>1108</v>
      </c>
      <c r="J2194" t="s">
        <v>7201</v>
      </c>
      <c r="K2194" t="s">
        <v>7202</v>
      </c>
      <c r="L2194" t="s">
        <v>21</v>
      </c>
      <c r="M2194" t="s">
        <v>19177</v>
      </c>
      <c r="N2194" t="s">
        <v>300</v>
      </c>
      <c r="O2194" t="s">
        <v>16373</v>
      </c>
      <c r="P2194" t="s">
        <v>12</v>
      </c>
    </row>
    <row r="2195">
      <c r="A2195">
        <f>HYPERLINK("http://bombeiros.sp.gov.br/hidrantes/03individual/3600.html","3600")</f>
      </c>
      <c r="B2195" t="s">
        <v>114</v>
      </c>
      <c r="C2195" t="s">
        <v>440</v>
      </c>
      <c r="D2195" t="s">
        <v>449</v>
      </c>
      <c r="E2195" t="s">
        <v>64</v>
      </c>
      <c r="F2195" t="s">
        <v>7203</v>
      </c>
      <c r="G2195" t="s">
        <v>18197</v>
      </c>
      <c r="H2195" t="s">
        <v>1112</v>
      </c>
      <c r="I2195" t="s">
        <v>1108</v>
      </c>
      <c r="J2195" t="s">
        <v>15900</v>
      </c>
      <c r="K2195" t="s">
        <v>15901</v>
      </c>
      <c r="L2195" t="s">
        <v>36</v>
      </c>
      <c r="M2195" t="s">
        <v>19177</v>
      </c>
      <c r="N2195" t="s">
        <v>300</v>
      </c>
      <c r="O2195" t="s">
        <v>16373</v>
      </c>
      <c r="P2195" t="s">
        <v>12</v>
      </c>
    </row>
    <row r="2196">
      <c r="A2196">
        <f>HYPERLINK("http://bombeiros.sp.gov.br/hidrantes/03individual/3623.html","3623")</f>
      </c>
      <c r="B2196" t="s">
        <v>114</v>
      </c>
      <c r="C2196" t="s">
        <v>440</v>
      </c>
      <c r="D2196" t="s">
        <v>449</v>
      </c>
      <c r="E2196" t="s">
        <v>64</v>
      </c>
      <c r="F2196" t="s">
        <v>7206</v>
      </c>
      <c r="G2196" t="s">
        <v>18084</v>
      </c>
      <c r="H2196" t="s">
        <v>1112</v>
      </c>
      <c r="I2196" t="s">
        <v>1108</v>
      </c>
      <c r="J2196" t="s">
        <v>7207</v>
      </c>
      <c r="K2196" t="s">
        <v>7208</v>
      </c>
      <c r="L2196" t="s">
        <v>36</v>
      </c>
      <c r="M2196" t="s">
        <v>19177</v>
      </c>
      <c r="N2196" t="s">
        <v>300</v>
      </c>
      <c r="O2196" t="s">
        <v>16373</v>
      </c>
      <c r="P2196" t="s">
        <v>12</v>
      </c>
    </row>
    <row r="2197">
      <c r="A2197">
        <f>HYPERLINK("http://bombeiros.sp.gov.br/hidrantes/03individual/27023.html","27023")</f>
      </c>
      <c r="B2197" t="s">
        <v>114</v>
      </c>
      <c r="C2197" t="s">
        <v>440</v>
      </c>
      <c r="D2197" t="s">
        <v>449</v>
      </c>
      <c r="E2197" t="s">
        <v>64</v>
      </c>
      <c r="F2197" t="s">
        <v>16597</v>
      </c>
      <c r="G2197" t="s">
        <v>18105</v>
      </c>
      <c r="H2197" t="s">
        <v>1174</v>
      </c>
      <c r="I2197" t="s">
        <v>1108</v>
      </c>
      <c r="J2197" t="s">
        <v>16598</v>
      </c>
      <c r="K2197" t="s">
        <v>16599</v>
      </c>
      <c r="L2197" t="s">
        <v>21</v>
      </c>
      <c r="M2197" t="s">
        <v>19177</v>
      </c>
      <c r="N2197" t="s">
        <v>300</v>
      </c>
      <c r="O2197" t="s">
        <v>16373</v>
      </c>
      <c r="P2197" t="s">
        <v>12</v>
      </c>
    </row>
    <row r="2198">
      <c r="A2198">
        <f>HYPERLINK("http://bombeiros.sp.gov.br/hidrantes/03individual/6.html","6")</f>
      </c>
      <c r="B2198" t="s">
        <v>114</v>
      </c>
      <c r="C2198" t="s">
        <v>440</v>
      </c>
      <c r="D2198" t="s">
        <v>449</v>
      </c>
      <c r="E2198" t="s">
        <v>15</v>
      </c>
      <c r="F2198" t="s">
        <v>7209</v>
      </c>
      <c r="G2198" t="s">
        <v>18130</v>
      </c>
      <c r="H2198" t="s">
        <v>1112</v>
      </c>
      <c r="I2198" t="s">
        <v>1108</v>
      </c>
      <c r="J2198" t="s">
        <v>7210</v>
      </c>
      <c r="K2198" t="s">
        <v>7211</v>
      </c>
      <c r="L2198" t="s">
        <v>21</v>
      </c>
      <c r="M2198" t="s">
        <v>19177</v>
      </c>
      <c r="N2198" t="s">
        <v>300</v>
      </c>
      <c r="O2198" t="s">
        <v>16373</v>
      </c>
      <c r="P2198" t="s">
        <v>12</v>
      </c>
    </row>
    <row r="2199">
      <c r="A2199">
        <f>HYPERLINK("http://bombeiros.sp.gov.br/hidrantes/03individual/33.html","33")</f>
      </c>
      <c r="B2199" t="s">
        <v>114</v>
      </c>
      <c r="C2199" t="s">
        <v>440</v>
      </c>
      <c r="D2199" t="s">
        <v>449</v>
      </c>
      <c r="E2199" t="s">
        <v>15</v>
      </c>
      <c r="F2199" t="s">
        <v>7212</v>
      </c>
      <c r="G2199" t="s">
        <v>18056</v>
      </c>
      <c r="H2199" t="s">
        <v>1112</v>
      </c>
      <c r="I2199" t="s">
        <v>1108</v>
      </c>
      <c r="J2199" t="s">
        <v>7213</v>
      </c>
      <c r="K2199" t="s">
        <v>7214</v>
      </c>
      <c r="L2199" t="s">
        <v>21</v>
      </c>
      <c r="M2199" t="s">
        <v>19177</v>
      </c>
      <c r="N2199" t="s">
        <v>300</v>
      </c>
      <c r="O2199" t="s">
        <v>16373</v>
      </c>
      <c r="P2199" t="s">
        <v>12</v>
      </c>
    </row>
    <row r="2200">
      <c r="A2200">
        <f>HYPERLINK("http://bombeiros.sp.gov.br/hidrantes/03individual/62.html","62")</f>
      </c>
      <c r="B2200" t="s">
        <v>114</v>
      </c>
      <c r="C2200" t="s">
        <v>440</v>
      </c>
      <c r="D2200" t="s">
        <v>449</v>
      </c>
      <c r="E2200" t="s">
        <v>15</v>
      </c>
      <c r="F2200" t="s">
        <v>7215</v>
      </c>
      <c r="G2200" t="s">
        <v>18105</v>
      </c>
      <c r="H2200" t="s">
        <v>1112</v>
      </c>
      <c r="I2200" t="s">
        <v>1108</v>
      </c>
      <c r="J2200" t="s">
        <v>7216</v>
      </c>
      <c r="K2200" t="s">
        <v>7217</v>
      </c>
      <c r="L2200" t="s">
        <v>21</v>
      </c>
      <c r="M2200" t="s">
        <v>19177</v>
      </c>
      <c r="N2200" t="s">
        <v>300</v>
      </c>
      <c r="O2200" t="s">
        <v>16373</v>
      </c>
      <c r="P2200" t="s">
        <v>12</v>
      </c>
    </row>
    <row r="2201">
      <c r="A2201">
        <f>HYPERLINK("http://bombeiros.sp.gov.br/hidrantes/03individual/63.html","63")</f>
      </c>
      <c r="B2201" t="s">
        <v>114</v>
      </c>
      <c r="C2201" t="s">
        <v>440</v>
      </c>
      <c r="D2201" t="s">
        <v>449</v>
      </c>
      <c r="E2201" t="s">
        <v>15</v>
      </c>
      <c r="F2201" t="s">
        <v>7218</v>
      </c>
      <c r="G2201" t="s">
        <v>18052</v>
      </c>
      <c r="H2201" t="s">
        <v>1112</v>
      </c>
      <c r="I2201" t="s">
        <v>1108</v>
      </c>
      <c r="J2201" t="s">
        <v>7219</v>
      </c>
      <c r="K2201" t="s">
        <v>7220</v>
      </c>
      <c r="L2201" t="s">
        <v>21</v>
      </c>
      <c r="M2201" t="s">
        <v>19177</v>
      </c>
      <c r="N2201" t="s">
        <v>300</v>
      </c>
      <c r="O2201" t="s">
        <v>16373</v>
      </c>
      <c r="P2201" t="s">
        <v>12</v>
      </c>
    </row>
    <row r="2202">
      <c r="A2202">
        <f>HYPERLINK("http://bombeiros.sp.gov.br/hidrantes/03individual/101.html","101")</f>
      </c>
      <c r="B2202" t="s">
        <v>114</v>
      </c>
      <c r="C2202" t="s">
        <v>440</v>
      </c>
      <c r="D2202" t="s">
        <v>449</v>
      </c>
      <c r="E2202" t="s">
        <v>15</v>
      </c>
      <c r="F2202" t="s">
        <v>7221</v>
      </c>
      <c r="G2202" t="s">
        <v>18145</v>
      </c>
      <c r="H2202" t="s">
        <v>1112</v>
      </c>
      <c r="I2202" t="s">
        <v>1108</v>
      </c>
      <c r="J2202" t="s">
        <v>7222</v>
      </c>
      <c r="K2202" t="s">
        <v>7223</v>
      </c>
      <c r="L2202" t="s">
        <v>21</v>
      </c>
      <c r="M2202" t="s">
        <v>19177</v>
      </c>
      <c r="N2202" t="s">
        <v>300</v>
      </c>
      <c r="O2202" t="s">
        <v>16373</v>
      </c>
      <c r="P2202" t="s">
        <v>12</v>
      </c>
    </row>
    <row r="2203">
      <c r="A2203">
        <f>HYPERLINK("http://bombeiros.sp.gov.br/hidrantes/03individual/102.html","102")</f>
      </c>
      <c r="B2203" t="s">
        <v>114</v>
      </c>
      <c r="C2203" t="s">
        <v>440</v>
      </c>
      <c r="D2203" t="s">
        <v>449</v>
      </c>
      <c r="E2203" t="s">
        <v>15</v>
      </c>
      <c r="F2203" t="s">
        <v>7224</v>
      </c>
      <c r="G2203" t="s">
        <v>18106</v>
      </c>
      <c r="H2203" t="s">
        <v>1107</v>
      </c>
      <c r="I2203" t="s">
        <v>1108</v>
      </c>
      <c r="J2203" t="s">
        <v>7225</v>
      </c>
      <c r="K2203" t="s">
        <v>7226</v>
      </c>
      <c r="L2203" t="s">
        <v>36</v>
      </c>
      <c r="M2203" t="s">
        <v>19177</v>
      </c>
      <c r="N2203" t="s">
        <v>300</v>
      </c>
      <c r="O2203" t="s">
        <v>16373</v>
      </c>
      <c r="P2203" t="s">
        <v>12</v>
      </c>
    </row>
    <row r="2204">
      <c r="A2204">
        <f>HYPERLINK("http://bombeiros.sp.gov.br/hidrantes/03individual/103.html","103")</f>
      </c>
      <c r="B2204" t="s">
        <v>114</v>
      </c>
      <c r="C2204" t="s">
        <v>440</v>
      </c>
      <c r="D2204" t="s">
        <v>449</v>
      </c>
      <c r="E2204" t="s">
        <v>15</v>
      </c>
      <c r="F2204" t="s">
        <v>7227</v>
      </c>
      <c r="G2204" t="s">
        <v>18193</v>
      </c>
      <c r="H2204" t="s">
        <v>1121</v>
      </c>
      <c r="I2204" t="s">
        <v>1117</v>
      </c>
      <c r="J2204" t="s">
        <v>7228</v>
      </c>
      <c r="K2204" t="s">
        <v>7229</v>
      </c>
      <c r="L2204" t="s">
        <v>21</v>
      </c>
      <c r="M2204" t="s">
        <v>19177</v>
      </c>
      <c r="N2204" t="s">
        <v>300</v>
      </c>
      <c r="O2204" t="s">
        <v>16373</v>
      </c>
      <c r="P2204" t="s">
        <v>12</v>
      </c>
    </row>
    <row r="2205">
      <c r="A2205">
        <f>HYPERLINK("http://bombeiros.sp.gov.br/hidrantes/03individual/104.html","104")</f>
      </c>
      <c r="B2205" t="s">
        <v>114</v>
      </c>
      <c r="C2205" t="s">
        <v>440</v>
      </c>
      <c r="D2205" t="s">
        <v>449</v>
      </c>
      <c r="E2205" t="s">
        <v>15</v>
      </c>
      <c r="F2205" t="s">
        <v>7230</v>
      </c>
      <c r="G2205" t="s">
        <v>18060</v>
      </c>
      <c r="H2205" t="s">
        <v>1121</v>
      </c>
      <c r="I2205" t="s">
        <v>1117</v>
      </c>
      <c r="J2205" t="s">
        <v>7231</v>
      </c>
      <c r="K2205" t="s">
        <v>7232</v>
      </c>
      <c r="L2205" t="s">
        <v>21</v>
      </c>
      <c r="M2205" t="s">
        <v>19177</v>
      </c>
      <c r="N2205" t="s">
        <v>300</v>
      </c>
      <c r="O2205" t="s">
        <v>16373</v>
      </c>
      <c r="P2205" t="s">
        <v>12</v>
      </c>
    </row>
    <row r="2206">
      <c r="A2206">
        <f>HYPERLINK("http://bombeiros.sp.gov.br/hidrantes/03individual/105.html","105")</f>
      </c>
      <c r="B2206" t="s">
        <v>114</v>
      </c>
      <c r="C2206" t="s">
        <v>440</v>
      </c>
      <c r="D2206" t="s">
        <v>449</v>
      </c>
      <c r="E2206" t="s">
        <v>15</v>
      </c>
      <c r="F2206" t="s">
        <v>7233</v>
      </c>
      <c r="G2206" t="s">
        <v>18049</v>
      </c>
      <c r="H2206" t="s">
        <v>1174</v>
      </c>
      <c r="I2206" t="s">
        <v>1108</v>
      </c>
      <c r="J2206" t="s">
        <v>7234</v>
      </c>
      <c r="K2206" t="s">
        <v>7235</v>
      </c>
      <c r="L2206" t="s">
        <v>21</v>
      </c>
      <c r="M2206" t="s">
        <v>19177</v>
      </c>
      <c r="N2206" t="s">
        <v>300</v>
      </c>
      <c r="O2206" t="s">
        <v>16373</v>
      </c>
      <c r="P2206" t="s">
        <v>12</v>
      </c>
    </row>
    <row r="2207">
      <c r="A2207">
        <f>HYPERLINK("http://bombeiros.sp.gov.br/hidrantes/03individual/107.html","107")</f>
      </c>
      <c r="B2207" t="s">
        <v>114</v>
      </c>
      <c r="C2207" t="s">
        <v>440</v>
      </c>
      <c r="D2207" t="s">
        <v>449</v>
      </c>
      <c r="E2207" t="s">
        <v>15</v>
      </c>
      <c r="F2207" t="s">
        <v>7236</v>
      </c>
      <c r="G2207" t="s">
        <v>18052</v>
      </c>
      <c r="H2207" t="s">
        <v>1112</v>
      </c>
      <c r="I2207" t="s">
        <v>1108</v>
      </c>
      <c r="J2207" t="s">
        <v>7237</v>
      </c>
      <c r="K2207" t="s">
        <v>7238</v>
      </c>
      <c r="L2207" t="s">
        <v>21</v>
      </c>
      <c r="M2207" t="s">
        <v>19177</v>
      </c>
      <c r="N2207" t="s">
        <v>300</v>
      </c>
      <c r="O2207" t="s">
        <v>16373</v>
      </c>
      <c r="P2207" t="s">
        <v>12</v>
      </c>
    </row>
    <row r="2208">
      <c r="A2208">
        <f>HYPERLINK("http://bombeiros.sp.gov.br/hidrantes/03individual/120.html","120")</f>
      </c>
      <c r="B2208" t="s">
        <v>114</v>
      </c>
      <c r="C2208" t="s">
        <v>440</v>
      </c>
      <c r="D2208" t="s">
        <v>449</v>
      </c>
      <c r="E2208" t="s">
        <v>15</v>
      </c>
      <c r="F2208" t="s">
        <v>7239</v>
      </c>
      <c r="G2208" t="s">
        <v>18107</v>
      </c>
      <c r="H2208" t="s">
        <v>1121</v>
      </c>
      <c r="I2208" t="s">
        <v>1117</v>
      </c>
      <c r="J2208" t="s">
        <v>16240</v>
      </c>
      <c r="K2208" t="s">
        <v>16241</v>
      </c>
      <c r="L2208" t="s">
        <v>21</v>
      </c>
      <c r="M2208" t="s">
        <v>19177</v>
      </c>
      <c r="N2208" t="s">
        <v>300</v>
      </c>
      <c r="O2208" t="s">
        <v>16373</v>
      </c>
      <c r="P2208" t="s">
        <v>12</v>
      </c>
    </row>
    <row r="2209">
      <c r="A2209">
        <f>HYPERLINK("http://bombeiros.sp.gov.br/hidrantes/03individual/165.html","165")</f>
      </c>
      <c r="B2209" t="s">
        <v>114</v>
      </c>
      <c r="C2209" t="s">
        <v>440</v>
      </c>
      <c r="D2209" t="s">
        <v>449</v>
      </c>
      <c r="E2209" t="s">
        <v>15</v>
      </c>
      <c r="F2209" t="s">
        <v>7242</v>
      </c>
      <c r="G2209" t="s">
        <v>18060</v>
      </c>
      <c r="H2209" t="s">
        <v>1121</v>
      </c>
      <c r="I2209" t="s">
        <v>1117</v>
      </c>
      <c r="J2209" t="s">
        <v>7243</v>
      </c>
      <c r="K2209" t="s">
        <v>7244</v>
      </c>
      <c r="L2209" t="s">
        <v>21</v>
      </c>
      <c r="M2209" t="s">
        <v>19177</v>
      </c>
      <c r="N2209" t="s">
        <v>300</v>
      </c>
      <c r="O2209" t="s">
        <v>16373</v>
      </c>
      <c r="P2209" t="s">
        <v>12</v>
      </c>
    </row>
    <row r="2210">
      <c r="A2210">
        <f>HYPERLINK("http://bombeiros.sp.gov.br/hidrantes/03individual/167.html","167")</f>
      </c>
      <c r="B2210" t="s">
        <v>114</v>
      </c>
      <c r="C2210" t="s">
        <v>440</v>
      </c>
      <c r="D2210" t="s">
        <v>449</v>
      </c>
      <c r="E2210" t="s">
        <v>15</v>
      </c>
      <c r="F2210" t="s">
        <v>7245</v>
      </c>
      <c r="G2210" t="s">
        <v>18187</v>
      </c>
      <c r="H2210" t="s">
        <v>1112</v>
      </c>
      <c r="I2210" t="s">
        <v>1108</v>
      </c>
      <c r="J2210" t="s">
        <v>7246</v>
      </c>
      <c r="K2210" t="s">
        <v>7247</v>
      </c>
      <c r="L2210" t="s">
        <v>21</v>
      </c>
      <c r="M2210" t="s">
        <v>19177</v>
      </c>
      <c r="N2210" t="s">
        <v>300</v>
      </c>
      <c r="O2210" t="s">
        <v>16373</v>
      </c>
      <c r="P2210" t="s">
        <v>12</v>
      </c>
    </row>
    <row r="2211">
      <c r="A2211">
        <f>HYPERLINK("http://bombeiros.sp.gov.br/hidrantes/03individual/168.html","168")</f>
      </c>
      <c r="B2211" t="s">
        <v>114</v>
      </c>
      <c r="C2211" t="s">
        <v>440</v>
      </c>
      <c r="D2211" t="s">
        <v>449</v>
      </c>
      <c r="E2211" t="s">
        <v>15</v>
      </c>
      <c r="F2211" t="s">
        <v>7248</v>
      </c>
      <c r="G2211" t="s">
        <v>18158</v>
      </c>
      <c r="H2211" t="s">
        <v>1107</v>
      </c>
      <c r="I2211" t="s">
        <v>1108</v>
      </c>
      <c r="J2211" t="s">
        <v>7249</v>
      </c>
      <c r="K2211" t="s">
        <v>7250</v>
      </c>
      <c r="L2211" t="s">
        <v>21</v>
      </c>
      <c r="M2211" t="s">
        <v>19177</v>
      </c>
      <c r="N2211" t="s">
        <v>300</v>
      </c>
      <c r="O2211" t="s">
        <v>16373</v>
      </c>
      <c r="P2211" t="s">
        <v>12</v>
      </c>
    </row>
    <row r="2212">
      <c r="A2212">
        <f>HYPERLINK("http://bombeiros.sp.gov.br/hidrantes/03individual/169.html","169")</f>
      </c>
      <c r="B2212" t="s">
        <v>114</v>
      </c>
      <c r="C2212" t="s">
        <v>440</v>
      </c>
      <c r="D2212" t="s">
        <v>449</v>
      </c>
      <c r="E2212" t="s">
        <v>15</v>
      </c>
      <c r="F2212" t="s">
        <v>7251</v>
      </c>
      <c r="G2212" t="s">
        <v>18052</v>
      </c>
      <c r="H2212" t="s">
        <v>1174</v>
      </c>
      <c r="I2212" t="s">
        <v>1117</v>
      </c>
      <c r="J2212" t="s">
        <v>7252</v>
      </c>
      <c r="K2212" t="s">
        <v>7253</v>
      </c>
      <c r="L2212" t="s">
        <v>21</v>
      </c>
      <c r="M2212" t="s">
        <v>19177</v>
      </c>
      <c r="N2212" t="s">
        <v>300</v>
      </c>
      <c r="O2212" t="s">
        <v>16373</v>
      </c>
      <c r="P2212" t="s">
        <v>12</v>
      </c>
    </row>
    <row r="2213">
      <c r="A2213">
        <f>HYPERLINK("http://bombeiros.sp.gov.br/hidrantes/03individual/171.html","171")</f>
      </c>
      <c r="B2213" t="s">
        <v>114</v>
      </c>
      <c r="C2213" t="s">
        <v>440</v>
      </c>
      <c r="D2213" t="s">
        <v>449</v>
      </c>
      <c r="E2213" t="s">
        <v>15</v>
      </c>
      <c r="F2213" t="s">
        <v>7254</v>
      </c>
      <c r="G2213" t="s">
        <v>18143</v>
      </c>
      <c r="H2213" t="s">
        <v>1112</v>
      </c>
      <c r="I2213" t="s">
        <v>1108</v>
      </c>
      <c r="J2213" t="s">
        <v>16554</v>
      </c>
      <c r="K2213" t="s">
        <v>16555</v>
      </c>
      <c r="L2213" t="s">
        <v>21</v>
      </c>
      <c r="M2213" t="s">
        <v>19177</v>
      </c>
      <c r="N2213" t="s">
        <v>300</v>
      </c>
      <c r="O2213" t="s">
        <v>16373</v>
      </c>
      <c r="P2213" t="s">
        <v>12</v>
      </c>
    </row>
    <row r="2214">
      <c r="A2214">
        <f>HYPERLINK("http://bombeiros.sp.gov.br/hidrantes/03individual/173.html","173")</f>
      </c>
      <c r="B2214" t="s">
        <v>114</v>
      </c>
      <c r="C2214" t="s">
        <v>440</v>
      </c>
      <c r="D2214" t="s">
        <v>449</v>
      </c>
      <c r="E2214" t="s">
        <v>15</v>
      </c>
      <c r="F2214" t="s">
        <v>7257</v>
      </c>
      <c r="G2214" t="s">
        <v>18107</v>
      </c>
      <c r="H2214" t="s">
        <v>1121</v>
      </c>
      <c r="I2214" t="s">
        <v>1117</v>
      </c>
      <c r="J2214" t="s">
        <v>7258</v>
      </c>
      <c r="K2214" t="s">
        <v>7259</v>
      </c>
      <c r="L2214" t="s">
        <v>21</v>
      </c>
      <c r="M2214" t="s">
        <v>19177</v>
      </c>
      <c r="N2214" t="s">
        <v>300</v>
      </c>
      <c r="O2214" t="s">
        <v>16373</v>
      </c>
      <c r="P2214" t="s">
        <v>12</v>
      </c>
    </row>
    <row r="2215">
      <c r="A2215">
        <f>HYPERLINK("http://bombeiros.sp.gov.br/hidrantes/03individual/174.html","174")</f>
      </c>
      <c r="B2215" t="s">
        <v>114</v>
      </c>
      <c r="C2215" t="s">
        <v>440</v>
      </c>
      <c r="D2215" t="s">
        <v>449</v>
      </c>
      <c r="E2215" t="s">
        <v>15</v>
      </c>
      <c r="F2215" t="s">
        <v>7260</v>
      </c>
      <c r="G2215" t="s">
        <v>18052</v>
      </c>
      <c r="H2215" t="s">
        <v>1121</v>
      </c>
      <c r="I2215" t="s">
        <v>1117</v>
      </c>
      <c r="J2215" t="s">
        <v>7261</v>
      </c>
      <c r="K2215" t="s">
        <v>7262</v>
      </c>
      <c r="L2215" t="s">
        <v>21</v>
      </c>
      <c r="M2215" t="s">
        <v>19177</v>
      </c>
      <c r="N2215" t="s">
        <v>300</v>
      </c>
      <c r="O2215" t="s">
        <v>16373</v>
      </c>
      <c r="P2215" t="s">
        <v>12</v>
      </c>
    </row>
    <row r="2216">
      <c r="A2216">
        <f>HYPERLINK("http://bombeiros.sp.gov.br/hidrantes/03individual/198.html","198")</f>
      </c>
      <c r="B2216" t="s">
        <v>114</v>
      </c>
      <c r="C2216" t="s">
        <v>440</v>
      </c>
      <c r="D2216" t="s">
        <v>449</v>
      </c>
      <c r="E2216" t="s">
        <v>15</v>
      </c>
      <c r="F2216" t="s">
        <v>7263</v>
      </c>
      <c r="G2216" t="s">
        <v>18130</v>
      </c>
      <c r="H2216" t="s">
        <v>1112</v>
      </c>
      <c r="I2216" t="s">
        <v>1108</v>
      </c>
      <c r="J2216" t="s">
        <v>7264</v>
      </c>
      <c r="K2216" t="s">
        <v>7265</v>
      </c>
      <c r="L2216" t="s">
        <v>21</v>
      </c>
      <c r="M2216" t="s">
        <v>19177</v>
      </c>
      <c r="N2216" t="s">
        <v>300</v>
      </c>
      <c r="O2216" t="s">
        <v>16373</v>
      </c>
      <c r="P2216" t="s">
        <v>12</v>
      </c>
    </row>
    <row r="2217">
      <c r="A2217">
        <f>HYPERLINK("http://bombeiros.sp.gov.br/hidrantes/03individual/236.html","236")</f>
      </c>
      <c r="B2217" t="s">
        <v>114</v>
      </c>
      <c r="C2217" t="s">
        <v>440</v>
      </c>
      <c r="D2217" t="s">
        <v>449</v>
      </c>
      <c r="E2217" t="s">
        <v>15</v>
      </c>
      <c r="F2217" t="s">
        <v>7266</v>
      </c>
      <c r="G2217" t="s">
        <v>18093</v>
      </c>
      <c r="H2217" t="s">
        <v>1107</v>
      </c>
      <c r="I2217" t="s">
        <v>1108</v>
      </c>
      <c r="J2217" t="s">
        <v>7267</v>
      </c>
      <c r="K2217" t="s">
        <v>7268</v>
      </c>
      <c r="L2217" t="s">
        <v>21</v>
      </c>
      <c r="M2217" t="s">
        <v>19177</v>
      </c>
      <c r="N2217" t="s">
        <v>300</v>
      </c>
      <c r="O2217" t="s">
        <v>16373</v>
      </c>
      <c r="P2217" t="s">
        <v>12</v>
      </c>
    </row>
    <row r="2218">
      <c r="A2218">
        <f>HYPERLINK("http://bombeiros.sp.gov.br/hidrantes/03individual/237.html","237")</f>
      </c>
      <c r="B2218" t="s">
        <v>114</v>
      </c>
      <c r="C2218" t="s">
        <v>440</v>
      </c>
      <c r="D2218" t="s">
        <v>449</v>
      </c>
      <c r="E2218" t="s">
        <v>15</v>
      </c>
      <c r="F2218" t="s">
        <v>7269</v>
      </c>
      <c r="G2218" t="s">
        <v>18084</v>
      </c>
      <c r="H2218" t="s">
        <v>1112</v>
      </c>
      <c r="I2218" t="s">
        <v>1108</v>
      </c>
      <c r="J2218" t="s">
        <v>7270</v>
      </c>
      <c r="K2218" t="s">
        <v>7271</v>
      </c>
      <c r="L2218" t="s">
        <v>21</v>
      </c>
      <c r="M2218" t="s">
        <v>19177</v>
      </c>
      <c r="N2218" t="s">
        <v>300</v>
      </c>
      <c r="O2218" t="s">
        <v>16373</v>
      </c>
      <c r="P2218" t="s">
        <v>12</v>
      </c>
    </row>
    <row r="2219">
      <c r="A2219">
        <f>HYPERLINK("http://bombeiros.sp.gov.br/hidrantes/03individual/238.html","238")</f>
      </c>
      <c r="B2219" t="s">
        <v>114</v>
      </c>
      <c r="C2219" t="s">
        <v>440</v>
      </c>
      <c r="D2219" t="s">
        <v>449</v>
      </c>
      <c r="E2219" t="s">
        <v>15</v>
      </c>
      <c r="F2219" t="s">
        <v>7272</v>
      </c>
      <c r="G2219" t="s">
        <v>18143</v>
      </c>
      <c r="H2219" t="s">
        <v>1112</v>
      </c>
      <c r="I2219" t="s">
        <v>1108</v>
      </c>
      <c r="J2219" t="s">
        <v>7273</v>
      </c>
      <c r="K2219" t="s">
        <v>7274</v>
      </c>
      <c r="L2219" t="s">
        <v>21</v>
      </c>
      <c r="M2219" t="s">
        <v>19177</v>
      </c>
      <c r="N2219" t="s">
        <v>300</v>
      </c>
      <c r="O2219" t="s">
        <v>16373</v>
      </c>
      <c r="P2219" t="s">
        <v>12</v>
      </c>
    </row>
    <row r="2220">
      <c r="A2220">
        <f>HYPERLINK("http://bombeiros.sp.gov.br/hidrantes/03individual/242.html","242")</f>
      </c>
      <c r="B2220" t="s">
        <v>114</v>
      </c>
      <c r="C2220" t="s">
        <v>440</v>
      </c>
      <c r="D2220" t="s">
        <v>449</v>
      </c>
      <c r="E2220" t="s">
        <v>15</v>
      </c>
      <c r="F2220" t="s">
        <v>7275</v>
      </c>
      <c r="G2220" t="s">
        <v>18106</v>
      </c>
      <c r="H2220" t="s">
        <v>1121</v>
      </c>
      <c r="I2220" t="s">
        <v>1117</v>
      </c>
      <c r="J2220" t="s">
        <v>7276</v>
      </c>
      <c r="K2220" t="s">
        <v>7277</v>
      </c>
      <c r="L2220" t="s">
        <v>21</v>
      </c>
      <c r="M2220" t="s">
        <v>19177</v>
      </c>
      <c r="N2220" t="s">
        <v>300</v>
      </c>
      <c r="O2220" t="s">
        <v>16373</v>
      </c>
      <c r="P2220" t="s">
        <v>12</v>
      </c>
    </row>
    <row r="2221">
      <c r="A2221">
        <f>HYPERLINK("http://bombeiros.sp.gov.br/hidrantes/03individual/253.html","253")</f>
      </c>
      <c r="B2221" t="s">
        <v>114</v>
      </c>
      <c r="C2221" t="s">
        <v>440</v>
      </c>
      <c r="D2221" t="s">
        <v>449</v>
      </c>
      <c r="E2221" t="s">
        <v>15</v>
      </c>
      <c r="F2221" t="s">
        <v>7278</v>
      </c>
      <c r="G2221" t="s">
        <v>18084</v>
      </c>
      <c r="H2221" t="s">
        <v>1107</v>
      </c>
      <c r="I2221" t="s">
        <v>1108</v>
      </c>
      <c r="J2221" t="s">
        <v>7279</v>
      </c>
      <c r="K2221" t="s">
        <v>7280</v>
      </c>
      <c r="L2221" t="s">
        <v>21</v>
      </c>
      <c r="M2221" t="s">
        <v>19177</v>
      </c>
      <c r="N2221" t="s">
        <v>300</v>
      </c>
      <c r="O2221" t="s">
        <v>16373</v>
      </c>
      <c r="P2221" t="s">
        <v>12</v>
      </c>
    </row>
    <row r="2222">
      <c r="A2222">
        <f>HYPERLINK("http://bombeiros.sp.gov.br/hidrantes/03individual/281.html","281")</f>
      </c>
      <c r="B2222" t="s">
        <v>114</v>
      </c>
      <c r="C2222" t="s">
        <v>440</v>
      </c>
      <c r="D2222" t="s">
        <v>449</v>
      </c>
      <c r="E2222" t="s">
        <v>15</v>
      </c>
      <c r="F2222" t="s">
        <v>7281</v>
      </c>
      <c r="G2222" t="s">
        <v>18150</v>
      </c>
      <c r="H2222" t="s">
        <v>1107</v>
      </c>
      <c r="I2222" t="s">
        <v>1108</v>
      </c>
      <c r="J2222" t="s">
        <v>7282</v>
      </c>
      <c r="K2222" t="s">
        <v>7283</v>
      </c>
      <c r="L2222" t="s">
        <v>21</v>
      </c>
      <c r="M2222" t="s">
        <v>19177</v>
      </c>
      <c r="N2222" t="s">
        <v>300</v>
      </c>
      <c r="O2222" t="s">
        <v>16373</v>
      </c>
      <c r="P2222" t="s">
        <v>12</v>
      </c>
    </row>
    <row r="2223">
      <c r="A2223">
        <f>HYPERLINK("http://bombeiros.sp.gov.br/hidrantes/03individual/282.html","282")</f>
      </c>
      <c r="B2223" t="s">
        <v>114</v>
      </c>
      <c r="C2223" t="s">
        <v>440</v>
      </c>
      <c r="D2223" t="s">
        <v>449</v>
      </c>
      <c r="E2223" t="s">
        <v>15</v>
      </c>
      <c r="F2223" t="s">
        <v>7284</v>
      </c>
      <c r="G2223" t="s">
        <v>18119</v>
      </c>
      <c r="H2223" t="s">
        <v>1112</v>
      </c>
      <c r="I2223" t="s">
        <v>1108</v>
      </c>
      <c r="J2223" t="s">
        <v>7285</v>
      </c>
      <c r="K2223" t="s">
        <v>7286</v>
      </c>
      <c r="L2223" t="s">
        <v>21</v>
      </c>
      <c r="M2223" t="s">
        <v>19177</v>
      </c>
      <c r="N2223" t="s">
        <v>300</v>
      </c>
      <c r="O2223" t="s">
        <v>16373</v>
      </c>
      <c r="P2223" t="s">
        <v>12</v>
      </c>
    </row>
    <row r="2224">
      <c r="A2224">
        <f>HYPERLINK("http://bombeiros.sp.gov.br/hidrantes/03individual/283.html","283")</f>
      </c>
      <c r="B2224" t="s">
        <v>114</v>
      </c>
      <c r="C2224" t="s">
        <v>440</v>
      </c>
      <c r="D2224" t="s">
        <v>449</v>
      </c>
      <c r="E2224" t="s">
        <v>15</v>
      </c>
      <c r="F2224" t="s">
        <v>7287</v>
      </c>
      <c r="G2224" t="s">
        <v>18119</v>
      </c>
      <c r="H2224" t="s">
        <v>1112</v>
      </c>
      <c r="I2224" t="s">
        <v>1108</v>
      </c>
      <c r="J2224" t="s">
        <v>7288</v>
      </c>
      <c r="K2224" t="s">
        <v>7289</v>
      </c>
      <c r="L2224" t="s">
        <v>21</v>
      </c>
      <c r="M2224" t="s">
        <v>19177</v>
      </c>
      <c r="N2224" t="s">
        <v>300</v>
      </c>
      <c r="O2224" t="s">
        <v>16373</v>
      </c>
      <c r="P2224" t="s">
        <v>12</v>
      </c>
    </row>
    <row r="2225">
      <c r="A2225">
        <f>HYPERLINK("http://bombeiros.sp.gov.br/hidrantes/03individual/284.html","284")</f>
      </c>
      <c r="B2225" t="s">
        <v>114</v>
      </c>
      <c r="C2225" t="s">
        <v>440</v>
      </c>
      <c r="D2225" t="s">
        <v>449</v>
      </c>
      <c r="E2225" t="s">
        <v>15</v>
      </c>
      <c r="F2225" t="s">
        <v>7290</v>
      </c>
      <c r="G2225" t="s">
        <v>18084</v>
      </c>
      <c r="H2225" t="s">
        <v>1112</v>
      </c>
      <c r="I2225" t="s">
        <v>1108</v>
      </c>
      <c r="J2225" t="s">
        <v>7291</v>
      </c>
      <c r="K2225" t="s">
        <v>7292</v>
      </c>
      <c r="L2225" t="s">
        <v>21</v>
      </c>
      <c r="M2225" t="s">
        <v>19177</v>
      </c>
      <c r="N2225" t="s">
        <v>300</v>
      </c>
      <c r="O2225" t="s">
        <v>16373</v>
      </c>
      <c r="P2225" t="s">
        <v>12</v>
      </c>
    </row>
    <row r="2226">
      <c r="A2226">
        <f>HYPERLINK("http://bombeiros.sp.gov.br/hidrantes/03individual/285.html","285")</f>
      </c>
      <c r="B2226" t="s">
        <v>114</v>
      </c>
      <c r="C2226" t="s">
        <v>440</v>
      </c>
      <c r="D2226" t="s">
        <v>449</v>
      </c>
      <c r="E2226" t="s">
        <v>15</v>
      </c>
      <c r="F2226" t="s">
        <v>7293</v>
      </c>
      <c r="G2226" t="s">
        <v>18049</v>
      </c>
      <c r="H2226" t="s">
        <v>1174</v>
      </c>
      <c r="I2226" t="s">
        <v>1108</v>
      </c>
      <c r="J2226" t="s">
        <v>7294</v>
      </c>
      <c r="K2226" t="s">
        <v>7295</v>
      </c>
      <c r="L2226" t="s">
        <v>21</v>
      </c>
      <c r="M2226" t="s">
        <v>19177</v>
      </c>
      <c r="N2226" t="s">
        <v>300</v>
      </c>
      <c r="O2226" t="s">
        <v>16373</v>
      </c>
      <c r="P2226" t="s">
        <v>12</v>
      </c>
    </row>
    <row r="2227">
      <c r="A2227">
        <f>HYPERLINK("http://bombeiros.sp.gov.br/hidrantes/03individual/286.html","286")</f>
      </c>
      <c r="B2227" t="s">
        <v>114</v>
      </c>
      <c r="C2227" t="s">
        <v>440</v>
      </c>
      <c r="D2227" t="s">
        <v>449</v>
      </c>
      <c r="E2227" t="s">
        <v>15</v>
      </c>
      <c r="F2227" t="s">
        <v>7296</v>
      </c>
      <c r="G2227" t="s">
        <v>18050</v>
      </c>
      <c r="H2227" t="s">
        <v>1107</v>
      </c>
      <c r="I2227" t="s">
        <v>1108</v>
      </c>
      <c r="J2227" t="s">
        <v>7297</v>
      </c>
      <c r="K2227" t="s">
        <v>7298</v>
      </c>
      <c r="L2227" t="s">
        <v>36</v>
      </c>
      <c r="M2227" t="s">
        <v>19177</v>
      </c>
      <c r="N2227" t="s">
        <v>300</v>
      </c>
      <c r="O2227" t="s">
        <v>16373</v>
      </c>
      <c r="P2227" t="s">
        <v>12</v>
      </c>
    </row>
    <row r="2228">
      <c r="A2228">
        <f>HYPERLINK("http://bombeiros.sp.gov.br/hidrantes/03individual/3068.html","3068")</f>
      </c>
      <c r="B2228" t="s">
        <v>114</v>
      </c>
      <c r="C2228" t="s">
        <v>440</v>
      </c>
      <c r="D2228" t="s">
        <v>449</v>
      </c>
      <c r="E2228" t="s">
        <v>15</v>
      </c>
      <c r="F2228" t="s">
        <v>7299</v>
      </c>
      <c r="G2228" t="s">
        <v>18052</v>
      </c>
      <c r="H2228" t="s">
        <v>1112</v>
      </c>
      <c r="I2228" t="s">
        <v>1108</v>
      </c>
      <c r="J2228" t="s">
        <v>7300</v>
      </c>
      <c r="K2228" t="s">
        <v>7301</v>
      </c>
      <c r="L2228" t="s">
        <v>21</v>
      </c>
      <c r="M2228" t="s">
        <v>19177</v>
      </c>
      <c r="N2228" t="s">
        <v>300</v>
      </c>
      <c r="O2228" t="s">
        <v>16373</v>
      </c>
      <c r="P2228" t="s">
        <v>12</v>
      </c>
    </row>
    <row r="2229">
      <c r="A2229">
        <f>HYPERLINK("http://bombeiros.sp.gov.br/hidrantes/03individual/3072.html","3072")</f>
      </c>
      <c r="B2229" t="s">
        <v>114</v>
      </c>
      <c r="C2229" t="s">
        <v>440</v>
      </c>
      <c r="D2229" t="s">
        <v>449</v>
      </c>
      <c r="E2229" t="s">
        <v>15</v>
      </c>
      <c r="F2229" t="s">
        <v>7302</v>
      </c>
      <c r="G2229" t="s">
        <v>18145</v>
      </c>
      <c r="H2229" t="s">
        <v>1112</v>
      </c>
      <c r="I2229" t="s">
        <v>1108</v>
      </c>
      <c r="J2229" t="s">
        <v>7303</v>
      </c>
      <c r="K2229" t="s">
        <v>7304</v>
      </c>
      <c r="L2229" t="s">
        <v>21</v>
      </c>
      <c r="M2229" t="s">
        <v>19177</v>
      </c>
      <c r="N2229" t="s">
        <v>300</v>
      </c>
      <c r="O2229" t="s">
        <v>16373</v>
      </c>
      <c r="P2229" t="s">
        <v>12</v>
      </c>
    </row>
    <row r="2230">
      <c r="A2230">
        <f>HYPERLINK("http://bombeiros.sp.gov.br/hidrantes/03individual/3078.html","3078")</f>
      </c>
      <c r="B2230" t="s">
        <v>114</v>
      </c>
      <c r="C2230" t="s">
        <v>440</v>
      </c>
      <c r="D2230" t="s">
        <v>449</v>
      </c>
      <c r="E2230" t="s">
        <v>15</v>
      </c>
      <c r="F2230" t="s">
        <v>7305</v>
      </c>
      <c r="G2230" t="s">
        <v>18170</v>
      </c>
      <c r="H2230" t="s">
        <v>1107</v>
      </c>
      <c r="I2230" t="s">
        <v>1117</v>
      </c>
      <c r="J2230" t="s">
        <v>15908</v>
      </c>
      <c r="K2230" t="s">
        <v>15909</v>
      </c>
      <c r="L2230" t="s">
        <v>21</v>
      </c>
      <c r="M2230" t="s">
        <v>19177</v>
      </c>
      <c r="N2230" t="s">
        <v>300</v>
      </c>
      <c r="O2230" t="s">
        <v>16373</v>
      </c>
      <c r="P2230" t="s">
        <v>12</v>
      </c>
    </row>
    <row r="2231">
      <c r="A2231">
        <f>HYPERLINK("http://bombeiros.sp.gov.br/hidrantes/03individual/3079.html","3079")</f>
      </c>
      <c r="B2231" t="s">
        <v>114</v>
      </c>
      <c r="C2231" t="s">
        <v>440</v>
      </c>
      <c r="D2231" t="s">
        <v>449</v>
      </c>
      <c r="E2231" t="s">
        <v>15</v>
      </c>
      <c r="F2231" t="s">
        <v>7308</v>
      </c>
      <c r="G2231" t="s">
        <v>18196</v>
      </c>
      <c r="H2231" t="s">
        <v>1112</v>
      </c>
      <c r="I2231" t="s">
        <v>1108</v>
      </c>
      <c r="J2231" t="s">
        <v>7309</v>
      </c>
      <c r="K2231" t="s">
        <v>7310</v>
      </c>
      <c r="L2231" t="s">
        <v>21</v>
      </c>
      <c r="M2231" t="s">
        <v>19177</v>
      </c>
      <c r="N2231" t="s">
        <v>300</v>
      </c>
      <c r="O2231" t="s">
        <v>16373</v>
      </c>
      <c r="P2231" t="s">
        <v>12</v>
      </c>
    </row>
    <row r="2232">
      <c r="A2232">
        <f>HYPERLINK("http://bombeiros.sp.gov.br/hidrantes/03individual/3082.html","3082")</f>
      </c>
      <c r="B2232" t="s">
        <v>114</v>
      </c>
      <c r="C2232" t="s">
        <v>440</v>
      </c>
      <c r="D2232" t="s">
        <v>449</v>
      </c>
      <c r="E2232" t="s">
        <v>15</v>
      </c>
      <c r="F2232" t="s">
        <v>7311</v>
      </c>
      <c r="G2232" t="s">
        <v>18196</v>
      </c>
      <c r="H2232" t="s">
        <v>1112</v>
      </c>
      <c r="I2232" t="s">
        <v>1108</v>
      </c>
      <c r="J2232" t="s">
        <v>17653</v>
      </c>
      <c r="K2232" t="s">
        <v>17654</v>
      </c>
      <c r="L2232" t="s">
        <v>21</v>
      </c>
      <c r="M2232" t="s">
        <v>19177</v>
      </c>
      <c r="N2232" t="s">
        <v>300</v>
      </c>
      <c r="O2232" t="s">
        <v>16373</v>
      </c>
      <c r="P2232" t="s">
        <v>12</v>
      </c>
    </row>
    <row r="2233">
      <c r="A2233">
        <f>HYPERLINK("http://bombeiros.sp.gov.br/hidrantes/03individual/3086.html","3086")</f>
      </c>
      <c r="B2233" t="s">
        <v>114</v>
      </c>
      <c r="C2233" t="s">
        <v>440</v>
      </c>
      <c r="D2233" t="s">
        <v>449</v>
      </c>
      <c r="E2233" t="s">
        <v>15</v>
      </c>
      <c r="F2233" t="s">
        <v>7314</v>
      </c>
      <c r="G2233" t="s">
        <v>18180</v>
      </c>
      <c r="H2233" t="s">
        <v>1112</v>
      </c>
      <c r="I2233" t="s">
        <v>1108</v>
      </c>
      <c r="J2233" t="s">
        <v>7316</v>
      </c>
      <c r="K2233" t="s">
        <v>7317</v>
      </c>
      <c r="L2233" t="s">
        <v>21</v>
      </c>
      <c r="M2233" t="s">
        <v>19177</v>
      </c>
      <c r="N2233" t="s">
        <v>300</v>
      </c>
      <c r="O2233" t="s">
        <v>16373</v>
      </c>
      <c r="P2233" t="s">
        <v>12</v>
      </c>
    </row>
    <row r="2234">
      <c r="A2234">
        <f>HYPERLINK("http://bombeiros.sp.gov.br/hidrantes/03individual/3088.html","3088")</f>
      </c>
      <c r="B2234" t="s">
        <v>114</v>
      </c>
      <c r="C2234" t="s">
        <v>440</v>
      </c>
      <c r="D2234" t="s">
        <v>449</v>
      </c>
      <c r="E2234" t="s">
        <v>15</v>
      </c>
      <c r="F2234" t="s">
        <v>7318</v>
      </c>
      <c r="G2234" t="s">
        <v>18145</v>
      </c>
      <c r="H2234" t="s">
        <v>1112</v>
      </c>
      <c r="I2234" t="s">
        <v>1108</v>
      </c>
      <c r="J2234" t="s">
        <v>7319</v>
      </c>
      <c r="K2234" t="s">
        <v>7320</v>
      </c>
      <c r="L2234" t="s">
        <v>21</v>
      </c>
      <c r="M2234" t="s">
        <v>19177</v>
      </c>
      <c r="N2234" t="s">
        <v>300</v>
      </c>
      <c r="O2234" t="s">
        <v>16373</v>
      </c>
      <c r="P2234" t="s">
        <v>12</v>
      </c>
    </row>
    <row r="2235">
      <c r="A2235">
        <f>HYPERLINK("http://bombeiros.sp.gov.br/hidrantes/03individual/3089.html","3089")</f>
      </c>
      <c r="B2235" t="s">
        <v>114</v>
      </c>
      <c r="C2235" t="s">
        <v>440</v>
      </c>
      <c r="D2235" t="s">
        <v>449</v>
      </c>
      <c r="E2235" t="s">
        <v>15</v>
      </c>
      <c r="F2235" t="s">
        <v>7321</v>
      </c>
      <c r="G2235" t="s">
        <v>18180</v>
      </c>
      <c r="H2235" t="s">
        <v>1112</v>
      </c>
      <c r="I2235" t="s">
        <v>1108</v>
      </c>
      <c r="J2235" t="s">
        <v>7322</v>
      </c>
      <c r="K2235" t="s">
        <v>7323</v>
      </c>
      <c r="L2235" t="s">
        <v>21</v>
      </c>
      <c r="M2235" t="s">
        <v>19177</v>
      </c>
      <c r="N2235" t="s">
        <v>300</v>
      </c>
      <c r="O2235" t="s">
        <v>16373</v>
      </c>
      <c r="P2235" t="s">
        <v>12</v>
      </c>
    </row>
    <row r="2236">
      <c r="A2236">
        <f>HYPERLINK("http://bombeiros.sp.gov.br/hidrantes/03individual/3090.html","3090")</f>
      </c>
      <c r="B2236" t="s">
        <v>114</v>
      </c>
      <c r="C2236" t="s">
        <v>440</v>
      </c>
      <c r="D2236" t="s">
        <v>449</v>
      </c>
      <c r="E2236" t="s">
        <v>15</v>
      </c>
      <c r="F2236" t="s">
        <v>7324</v>
      </c>
      <c r="G2236" t="s">
        <v>18119</v>
      </c>
      <c r="H2236" t="s">
        <v>1112</v>
      </c>
      <c r="I2236" t="s">
        <v>1108</v>
      </c>
      <c r="J2236" t="s">
        <v>7325</v>
      </c>
      <c r="K2236" t="s">
        <v>7326</v>
      </c>
      <c r="L2236" t="s">
        <v>21</v>
      </c>
      <c r="M2236" t="s">
        <v>19177</v>
      </c>
      <c r="N2236" t="s">
        <v>300</v>
      </c>
      <c r="O2236" t="s">
        <v>16373</v>
      </c>
      <c r="P2236" t="s">
        <v>12</v>
      </c>
    </row>
    <row r="2237">
      <c r="A2237">
        <f>HYPERLINK("http://bombeiros.sp.gov.br/hidrantes/03individual/3092.html","3092")</f>
      </c>
      <c r="B2237" t="s">
        <v>114</v>
      </c>
      <c r="C2237" t="s">
        <v>440</v>
      </c>
      <c r="D2237" t="s">
        <v>449</v>
      </c>
      <c r="E2237" t="s">
        <v>15</v>
      </c>
      <c r="F2237" t="s">
        <v>7327</v>
      </c>
      <c r="G2237" t="s">
        <v>18130</v>
      </c>
      <c r="H2237" t="s">
        <v>1112</v>
      </c>
      <c r="I2237" t="s">
        <v>1108</v>
      </c>
      <c r="J2237" t="s">
        <v>7329</v>
      </c>
      <c r="K2237" t="s">
        <v>7330</v>
      </c>
      <c r="L2237" t="s">
        <v>21</v>
      </c>
      <c r="M2237" t="s">
        <v>19177</v>
      </c>
      <c r="N2237" t="s">
        <v>300</v>
      </c>
      <c r="O2237" t="s">
        <v>16373</v>
      </c>
      <c r="P2237" t="s">
        <v>12</v>
      </c>
    </row>
    <row r="2238">
      <c r="A2238">
        <f>HYPERLINK("http://bombeiros.sp.gov.br/hidrantes/03individual/3097.html","3097")</f>
      </c>
      <c r="B2238" t="s">
        <v>114</v>
      </c>
      <c r="C2238" t="s">
        <v>440</v>
      </c>
      <c r="D2238" t="s">
        <v>449</v>
      </c>
      <c r="E2238" t="s">
        <v>15</v>
      </c>
      <c r="F2238" t="s">
        <v>7331</v>
      </c>
      <c r="G2238" t="s">
        <v>18130</v>
      </c>
      <c r="H2238" t="s">
        <v>1112</v>
      </c>
      <c r="I2238" t="s">
        <v>1108</v>
      </c>
      <c r="J2238" t="s">
        <v>7332</v>
      </c>
      <c r="K2238" t="s">
        <v>7333</v>
      </c>
      <c r="L2238" t="s">
        <v>21</v>
      </c>
      <c r="M2238" t="s">
        <v>19177</v>
      </c>
      <c r="N2238" t="s">
        <v>300</v>
      </c>
      <c r="O2238" t="s">
        <v>16373</v>
      </c>
      <c r="P2238" t="s">
        <v>12</v>
      </c>
    </row>
    <row r="2239">
      <c r="A2239">
        <f>HYPERLINK("http://bombeiros.sp.gov.br/hidrantes/03individual/3597.html","3597")</f>
      </c>
      <c r="B2239" t="s">
        <v>114</v>
      </c>
      <c r="C2239" t="s">
        <v>440</v>
      </c>
      <c r="D2239" t="s">
        <v>449</v>
      </c>
      <c r="E2239" t="s">
        <v>15</v>
      </c>
      <c r="F2239" t="s">
        <v>7334</v>
      </c>
      <c r="G2239" t="s">
        <v>18143</v>
      </c>
      <c r="H2239" t="s">
        <v>1112</v>
      </c>
      <c r="I2239" t="s">
        <v>1108</v>
      </c>
      <c r="J2239" t="s">
        <v>7335</v>
      </c>
      <c r="K2239" t="s">
        <v>7336</v>
      </c>
      <c r="L2239" t="s">
        <v>36</v>
      </c>
      <c r="M2239" t="s">
        <v>19177</v>
      </c>
      <c r="N2239" t="s">
        <v>300</v>
      </c>
      <c r="O2239" t="s">
        <v>16373</v>
      </c>
      <c r="P2239" t="s">
        <v>12</v>
      </c>
    </row>
    <row r="2240">
      <c r="A2240">
        <f>HYPERLINK("http://bombeiros.sp.gov.br/hidrantes/03individual/4173.html","4173")</f>
      </c>
      <c r="B2240" t="s">
        <v>114</v>
      </c>
      <c r="C2240" t="s">
        <v>440</v>
      </c>
      <c r="D2240" t="s">
        <v>449</v>
      </c>
      <c r="E2240" t="s">
        <v>15</v>
      </c>
      <c r="F2240" t="s">
        <v>7340</v>
      </c>
      <c r="G2240" t="s">
        <v>18197</v>
      </c>
      <c r="H2240" t="s">
        <v>1112</v>
      </c>
      <c r="I2240" t="s">
        <v>1108</v>
      </c>
      <c r="J2240" t="s">
        <v>15910</v>
      </c>
      <c r="K2240" t="s">
        <v>15911</v>
      </c>
      <c r="L2240" t="s">
        <v>21</v>
      </c>
      <c r="M2240" t="s">
        <v>19177</v>
      </c>
      <c r="N2240" t="s">
        <v>300</v>
      </c>
      <c r="O2240" t="s">
        <v>16373</v>
      </c>
      <c r="P2240" t="s">
        <v>12</v>
      </c>
    </row>
    <row r="2241">
      <c r="A2241">
        <f>HYPERLINK("http://bombeiros.sp.gov.br/hidrantes/03individual/4177.html","4177")</f>
      </c>
      <c r="B2241" t="s">
        <v>114</v>
      </c>
      <c r="C2241" t="s">
        <v>440</v>
      </c>
      <c r="D2241" t="s">
        <v>449</v>
      </c>
      <c r="E2241" t="s">
        <v>15</v>
      </c>
      <c r="F2241" t="s">
        <v>7343</v>
      </c>
      <c r="G2241" t="s">
        <v>18093</v>
      </c>
      <c r="H2241" t="s">
        <v>1107</v>
      </c>
      <c r="I2241" t="s">
        <v>1108</v>
      </c>
      <c r="J2241" t="s">
        <v>7344</v>
      </c>
      <c r="K2241" t="s">
        <v>7345</v>
      </c>
      <c r="L2241" t="s">
        <v>21</v>
      </c>
      <c r="M2241" t="s">
        <v>19177</v>
      </c>
      <c r="N2241" t="s">
        <v>300</v>
      </c>
      <c r="O2241" t="s">
        <v>16373</v>
      </c>
      <c r="P2241" t="s">
        <v>12</v>
      </c>
    </row>
    <row r="2242">
      <c r="A2242">
        <f>HYPERLINK("http://bombeiros.sp.gov.br/hidrantes/03individual/4344.html","4344")</f>
      </c>
      <c r="B2242" t="s">
        <v>114</v>
      </c>
      <c r="C2242" t="s">
        <v>440</v>
      </c>
      <c r="D2242" t="s">
        <v>449</v>
      </c>
      <c r="E2242" t="s">
        <v>15</v>
      </c>
      <c r="F2242" t="s">
        <v>7346</v>
      </c>
      <c r="G2242" t="s">
        <v>18084</v>
      </c>
      <c r="H2242" t="s">
        <v>1112</v>
      </c>
      <c r="I2242" t="s">
        <v>1108</v>
      </c>
      <c r="J2242" t="s">
        <v>7347</v>
      </c>
      <c r="K2242" t="s">
        <v>7348</v>
      </c>
      <c r="L2242" t="s">
        <v>21</v>
      </c>
      <c r="M2242" t="s">
        <v>19177</v>
      </c>
      <c r="N2242" t="s">
        <v>300</v>
      </c>
      <c r="O2242" t="s">
        <v>16373</v>
      </c>
      <c r="P2242" t="s">
        <v>12</v>
      </c>
    </row>
    <row r="2243">
      <c r="A2243">
        <f>HYPERLINK("http://bombeiros.sp.gov.br/hidrantes/03individual/17780.html","17780")</f>
      </c>
      <c r="B2243" t="s">
        <v>114</v>
      </c>
      <c r="C2243" t="s">
        <v>440</v>
      </c>
      <c r="D2243" t="s">
        <v>449</v>
      </c>
      <c r="E2243" t="s">
        <v>15</v>
      </c>
      <c r="F2243" t="s">
        <v>7349</v>
      </c>
      <c r="G2243" t="s">
        <v>18180</v>
      </c>
      <c r="H2243" t="s">
        <v>1112</v>
      </c>
      <c r="I2243" t="s">
        <v>1108</v>
      </c>
      <c r="J2243" t="s">
        <v>7350</v>
      </c>
      <c r="K2243" t="s">
        <v>7351</v>
      </c>
      <c r="L2243" t="s">
        <v>21</v>
      </c>
      <c r="M2243" t="s">
        <v>19177</v>
      </c>
      <c r="N2243" t="s">
        <v>300</v>
      </c>
      <c r="O2243" t="s">
        <v>16373</v>
      </c>
      <c r="P2243" t="s">
        <v>12</v>
      </c>
    </row>
    <row r="2244">
      <c r="A2244">
        <f>HYPERLINK("http://bombeiros.sp.gov.br/hidrantes/03individual/24148.html","24148")</f>
      </c>
      <c r="B2244" t="s">
        <v>114</v>
      </c>
      <c r="C2244" t="s">
        <v>440</v>
      </c>
      <c r="D2244" t="s">
        <v>449</v>
      </c>
      <c r="E2244" t="s">
        <v>15</v>
      </c>
      <c r="F2244" t="s">
        <v>450</v>
      </c>
      <c r="G2244" t="s">
        <v>18145</v>
      </c>
      <c r="H2244"/>
      <c r="I2244" t="s">
        <v>18</v>
      </c>
      <c r="J2244" t="s">
        <v>452</v>
      </c>
      <c r="K2244" t="s">
        <v>453</v>
      </c>
      <c r="L2244" t="s">
        <v>21</v>
      </c>
      <c r="M2244" t="s">
        <v>19177</v>
      </c>
      <c r="N2244" t="s">
        <v>300</v>
      </c>
      <c r="O2244" t="s">
        <v>16373</v>
      </c>
      <c r="P2244" t="s">
        <v>12</v>
      </c>
    </row>
    <row r="2245">
      <c r="A2245">
        <f>HYPERLINK("http://bombeiros.sp.gov.br/hidrantes/03individual/27513.html","27513")</f>
      </c>
      <c r="B2245" t="s">
        <v>114</v>
      </c>
      <c r="C2245" t="s">
        <v>440</v>
      </c>
      <c r="D2245" t="s">
        <v>449</v>
      </c>
      <c r="E2245" t="s">
        <v>15</v>
      </c>
      <c r="F2245" t="s">
        <v>17328</v>
      </c>
      <c r="G2245" t="s">
        <v>18093</v>
      </c>
      <c r="H2245" t="s">
        <v>1107</v>
      </c>
      <c r="I2245" t="s">
        <v>1108</v>
      </c>
      <c r="J2245" t="s">
        <v>17329</v>
      </c>
      <c r="K2245" t="s">
        <v>17330</v>
      </c>
      <c r="L2245" t="s">
        <v>21</v>
      </c>
      <c r="M2245" t="s">
        <v>19177</v>
      </c>
      <c r="N2245" t="s">
        <v>300</v>
      </c>
      <c r="O2245" t="s">
        <v>16373</v>
      </c>
      <c r="P2245" t="s">
        <v>12</v>
      </c>
    </row>
    <row r="2246">
      <c r="A2246">
        <f>HYPERLINK("http://bombeiros.sp.gov.br/hidrantes/03individual/15069.html","15069")</f>
      </c>
      <c r="B2246" t="s">
        <v>454</v>
      </c>
      <c r="C2246" t="s">
        <v>455</v>
      </c>
      <c r="D2246" t="s">
        <v>456</v>
      </c>
      <c r="E2246" t="s">
        <v>64</v>
      </c>
      <c r="F2246" t="s">
        <v>7352</v>
      </c>
      <c r="G2246" t="s">
        <v>18103</v>
      </c>
      <c r="H2246" t="s">
        <v>1112</v>
      </c>
      <c r="I2246" t="s">
        <v>1108</v>
      </c>
      <c r="J2246" t="s">
        <v>7353</v>
      </c>
      <c r="K2246" t="s">
        <v>7354</v>
      </c>
      <c r="L2246" t="s">
        <v>21</v>
      </c>
      <c r="M2246" t="s">
        <v>19177</v>
      </c>
      <c r="N2246" t="s">
        <v>519</v>
      </c>
      <c r="O2246" t="s">
        <v>519</v>
      </c>
      <c r="P2246" t="s">
        <v>454</v>
      </c>
    </row>
    <row r="2247">
      <c r="A2247">
        <f>HYPERLINK("http://bombeiros.sp.gov.br/hidrantes/03individual/3981.html","3981")</f>
      </c>
      <c r="B2247" t="s">
        <v>454</v>
      </c>
      <c r="C2247" t="s">
        <v>455</v>
      </c>
      <c r="D2247" t="s">
        <v>456</v>
      </c>
      <c r="E2247" t="s">
        <v>15</v>
      </c>
      <c r="F2247" t="s">
        <v>457</v>
      </c>
      <c r="G2247" t="s">
        <v>18072</v>
      </c>
      <c r="H2247" t="s">
        <v>1121</v>
      </c>
      <c r="I2247" t="s">
        <v>1117</v>
      </c>
      <c r="J2247" t="s">
        <v>458</v>
      </c>
      <c r="K2247" t="s">
        <v>459</v>
      </c>
      <c r="L2247" t="s">
        <v>21</v>
      </c>
      <c r="M2247" t="s">
        <v>19177</v>
      </c>
      <c r="N2247" t="s">
        <v>519</v>
      </c>
      <c r="O2247" t="s">
        <v>519</v>
      </c>
      <c r="P2247" t="s">
        <v>454</v>
      </c>
    </row>
    <row r="2248">
      <c r="A2248">
        <f>HYPERLINK("http://bombeiros.sp.gov.br/hidrantes/03individual/3646.html","3646")</f>
      </c>
      <c r="B2248" t="s">
        <v>454</v>
      </c>
      <c r="C2248" t="s">
        <v>460</v>
      </c>
      <c r="D2248" t="s">
        <v>460</v>
      </c>
      <c r="E2248" t="s">
        <v>64</v>
      </c>
      <c r="F2248" t="s">
        <v>7355</v>
      </c>
      <c r="G2248" t="s">
        <v>18112</v>
      </c>
      <c r="H2248" t="s">
        <v>1107</v>
      </c>
      <c r="I2248" t="s">
        <v>1108</v>
      </c>
      <c r="J2248" t="s">
        <v>7356</v>
      </c>
      <c r="K2248" t="s">
        <v>7357</v>
      </c>
      <c r="L2248" t="s">
        <v>36</v>
      </c>
      <c r="M2248" t="s">
        <v>19177</v>
      </c>
      <c r="N2248" t="s">
        <v>478</v>
      </c>
      <c r="O2248" t="s">
        <v>478</v>
      </c>
      <c r="P2248" t="s">
        <v>454</v>
      </c>
    </row>
    <row r="2249">
      <c r="A2249">
        <f>HYPERLINK("http://bombeiros.sp.gov.br/hidrantes/03individual/3648.html","3648")</f>
      </c>
      <c r="B2249" t="s">
        <v>454</v>
      </c>
      <c r="C2249" t="s">
        <v>460</v>
      </c>
      <c r="D2249" t="s">
        <v>460</v>
      </c>
      <c r="E2249" t="s">
        <v>64</v>
      </c>
      <c r="F2249" t="s">
        <v>7358</v>
      </c>
      <c r="G2249" t="s">
        <v>18053</v>
      </c>
      <c r="H2249" t="s">
        <v>1112</v>
      </c>
      <c r="I2249" t="s">
        <v>1108</v>
      </c>
      <c r="J2249" t="s">
        <v>7359</v>
      </c>
      <c r="K2249" t="s">
        <v>7360</v>
      </c>
      <c r="L2249" t="s">
        <v>36</v>
      </c>
      <c r="M2249" t="s">
        <v>19177</v>
      </c>
      <c r="N2249" t="s">
        <v>478</v>
      </c>
      <c r="O2249" t="s">
        <v>478</v>
      </c>
      <c r="P2249" t="s">
        <v>454</v>
      </c>
    </row>
    <row r="2250">
      <c r="A2250">
        <f>HYPERLINK("http://bombeiros.sp.gov.br/hidrantes/03individual/3650.html","3650")</f>
      </c>
      <c r="B2250" t="s">
        <v>454</v>
      </c>
      <c r="C2250" t="s">
        <v>460</v>
      </c>
      <c r="D2250" t="s">
        <v>460</v>
      </c>
      <c r="E2250" t="s">
        <v>64</v>
      </c>
      <c r="F2250" t="s">
        <v>7361</v>
      </c>
      <c r="G2250" t="s">
        <v>18112</v>
      </c>
      <c r="H2250" t="s">
        <v>1107</v>
      </c>
      <c r="I2250" t="s">
        <v>1108</v>
      </c>
      <c r="J2250" t="s">
        <v>7362</v>
      </c>
      <c r="K2250" t="s">
        <v>7363</v>
      </c>
      <c r="L2250" t="s">
        <v>21</v>
      </c>
      <c r="M2250" t="s">
        <v>19177</v>
      </c>
      <c r="N2250" t="s">
        <v>478</v>
      </c>
      <c r="O2250" t="s">
        <v>478</v>
      </c>
      <c r="P2250" t="s">
        <v>454</v>
      </c>
    </row>
    <row r="2251">
      <c r="A2251">
        <f>HYPERLINK("http://bombeiros.sp.gov.br/hidrantes/03individual/3662.html","3662")</f>
      </c>
      <c r="B2251" t="s">
        <v>454</v>
      </c>
      <c r="C2251" t="s">
        <v>460</v>
      </c>
      <c r="D2251" t="s">
        <v>460</v>
      </c>
      <c r="E2251" t="s">
        <v>64</v>
      </c>
      <c r="F2251" t="s">
        <v>7364</v>
      </c>
      <c r="G2251" t="s">
        <v>18113</v>
      </c>
      <c r="H2251" t="s">
        <v>1112</v>
      </c>
      <c r="I2251" t="s">
        <v>1108</v>
      </c>
      <c r="J2251" t="s">
        <v>7365</v>
      </c>
      <c r="K2251" t="s">
        <v>7366</v>
      </c>
      <c r="L2251" t="s">
        <v>36</v>
      </c>
      <c r="M2251" t="s">
        <v>19177</v>
      </c>
      <c r="N2251" t="s">
        <v>478</v>
      </c>
      <c r="O2251" t="s">
        <v>478</v>
      </c>
      <c r="P2251" t="s">
        <v>454</v>
      </c>
    </row>
    <row r="2252">
      <c r="A2252">
        <f>HYPERLINK("http://bombeiros.sp.gov.br/hidrantes/03individual/5502.html","5502")</f>
      </c>
      <c r="B2252" t="s">
        <v>454</v>
      </c>
      <c r="C2252" t="s">
        <v>460</v>
      </c>
      <c r="D2252" t="s">
        <v>460</v>
      </c>
      <c r="E2252" t="s">
        <v>64</v>
      </c>
      <c r="F2252" t="s">
        <v>7367</v>
      </c>
      <c r="G2252" t="s">
        <v>18218</v>
      </c>
      <c r="H2252" t="s">
        <v>1121</v>
      </c>
      <c r="I2252" t="s">
        <v>1117</v>
      </c>
      <c r="J2252" t="s">
        <v>7368</v>
      </c>
      <c r="K2252" t="s">
        <v>7369</v>
      </c>
      <c r="L2252" t="s">
        <v>21</v>
      </c>
      <c r="M2252" t="s">
        <v>19177</v>
      </c>
      <c r="N2252" t="s">
        <v>478</v>
      </c>
      <c r="O2252" t="s">
        <v>478</v>
      </c>
      <c r="P2252" t="s">
        <v>454</v>
      </c>
    </row>
    <row r="2253">
      <c r="A2253">
        <f>HYPERLINK("http://bombeiros.sp.gov.br/hidrantes/03individual/5503.html","5503")</f>
      </c>
      <c r="B2253" t="s">
        <v>454</v>
      </c>
      <c r="C2253" t="s">
        <v>460</v>
      </c>
      <c r="D2253" t="s">
        <v>460</v>
      </c>
      <c r="E2253" t="s">
        <v>64</v>
      </c>
      <c r="F2253" t="s">
        <v>7370</v>
      </c>
      <c r="G2253" t="s">
        <v>18218</v>
      </c>
      <c r="H2253" t="s">
        <v>1112</v>
      </c>
      <c r="I2253" t="s">
        <v>1108</v>
      </c>
      <c r="J2253" t="s">
        <v>7371</v>
      </c>
      <c r="K2253" t="s">
        <v>7372</v>
      </c>
      <c r="L2253" t="s">
        <v>21</v>
      </c>
      <c r="M2253" t="s">
        <v>19177</v>
      </c>
      <c r="N2253" t="s">
        <v>478</v>
      </c>
      <c r="O2253" t="s">
        <v>478</v>
      </c>
      <c r="P2253" t="s">
        <v>454</v>
      </c>
    </row>
    <row r="2254">
      <c r="A2254">
        <f>HYPERLINK("http://bombeiros.sp.gov.br/hidrantes/03individual/1212.html","1212")</f>
      </c>
      <c r="B2254" t="s">
        <v>454</v>
      </c>
      <c r="C2254" t="s">
        <v>460</v>
      </c>
      <c r="D2254" t="s">
        <v>460</v>
      </c>
      <c r="E2254" t="s">
        <v>15</v>
      </c>
      <c r="F2254" t="s">
        <v>7373</v>
      </c>
      <c r="G2254" t="s">
        <v>18042</v>
      </c>
      <c r="H2254" t="s">
        <v>1112</v>
      </c>
      <c r="I2254" t="s">
        <v>1108</v>
      </c>
      <c r="J2254" t="s">
        <v>7374</v>
      </c>
      <c r="K2254" t="s">
        <v>7375</v>
      </c>
      <c r="L2254" t="s">
        <v>21</v>
      </c>
      <c r="M2254" t="s">
        <v>19177</v>
      </c>
      <c r="N2254" t="s">
        <v>478</v>
      </c>
      <c r="O2254" t="s">
        <v>478</v>
      </c>
      <c r="P2254" t="s">
        <v>454</v>
      </c>
    </row>
    <row r="2255">
      <c r="A2255">
        <f>HYPERLINK("http://bombeiros.sp.gov.br/hidrantes/03individual/3754.html","3754")</f>
      </c>
      <c r="B2255" t="s">
        <v>454</v>
      </c>
      <c r="C2255" t="s">
        <v>460</v>
      </c>
      <c r="D2255" t="s">
        <v>460</v>
      </c>
      <c r="E2255" t="s">
        <v>15</v>
      </c>
      <c r="F2255" t="s">
        <v>7376</v>
      </c>
      <c r="G2255" t="s">
        <v>18218</v>
      </c>
      <c r="H2255"/>
      <c r="I2255" t="s">
        <v>18</v>
      </c>
      <c r="J2255" t="s">
        <v>7377</v>
      </c>
      <c r="K2255" t="s">
        <v>7378</v>
      </c>
      <c r="L2255" t="s">
        <v>21</v>
      </c>
      <c r="M2255" t="s">
        <v>19177</v>
      </c>
      <c r="N2255" t="s">
        <v>478</v>
      </c>
      <c r="O2255" t="s">
        <v>478</v>
      </c>
      <c r="P2255" t="s">
        <v>454</v>
      </c>
    </row>
    <row r="2256">
      <c r="A2256">
        <f>HYPERLINK("http://bombeiros.sp.gov.br/hidrantes/03individual/3761.html","3761")</f>
      </c>
      <c r="B2256" t="s">
        <v>454</v>
      </c>
      <c r="C2256" t="s">
        <v>460</v>
      </c>
      <c r="D2256" t="s">
        <v>460</v>
      </c>
      <c r="E2256" t="s">
        <v>15</v>
      </c>
      <c r="F2256" t="s">
        <v>7379</v>
      </c>
      <c r="G2256" t="s">
        <v>17946</v>
      </c>
      <c r="H2256" t="s">
        <v>1112</v>
      </c>
      <c r="I2256" t="s">
        <v>1108</v>
      </c>
      <c r="J2256" t="s">
        <v>7380</v>
      </c>
      <c r="K2256" t="s">
        <v>7381</v>
      </c>
      <c r="L2256" t="s">
        <v>21</v>
      </c>
      <c r="M2256" t="s">
        <v>19177</v>
      </c>
      <c r="N2256" t="s">
        <v>478</v>
      </c>
      <c r="O2256" t="s">
        <v>478</v>
      </c>
      <c r="P2256" t="s">
        <v>454</v>
      </c>
    </row>
    <row r="2257">
      <c r="A2257">
        <f>HYPERLINK("http://bombeiros.sp.gov.br/hidrantes/03individual/1116.html","1116")</f>
      </c>
      <c r="B2257" t="s">
        <v>454</v>
      </c>
      <c r="C2257" t="s">
        <v>460</v>
      </c>
      <c r="D2257" t="s">
        <v>7382</v>
      </c>
      <c r="E2257" t="s">
        <v>64</v>
      </c>
      <c r="F2257" t="s">
        <v>7383</v>
      </c>
      <c r="G2257" t="s">
        <v>18053</v>
      </c>
      <c r="H2257" t="s">
        <v>1112</v>
      </c>
      <c r="I2257" t="s">
        <v>1108</v>
      </c>
      <c r="J2257" t="s">
        <v>7384</v>
      </c>
      <c r="K2257" t="s">
        <v>7385</v>
      </c>
      <c r="L2257" t="s">
        <v>21</v>
      </c>
      <c r="M2257" t="s">
        <v>19177</v>
      </c>
      <c r="N2257" t="s">
        <v>478</v>
      </c>
      <c r="O2257" t="s">
        <v>478</v>
      </c>
      <c r="P2257" t="s">
        <v>454</v>
      </c>
    </row>
    <row r="2258">
      <c r="A2258">
        <f>HYPERLINK("http://bombeiros.sp.gov.br/hidrantes/03individual/4056.html","4056")</f>
      </c>
      <c r="B2258" t="s">
        <v>454</v>
      </c>
      <c r="C2258" t="s">
        <v>460</v>
      </c>
      <c r="D2258" t="s">
        <v>7382</v>
      </c>
      <c r="E2258" t="s">
        <v>64</v>
      </c>
      <c r="F2258" t="s">
        <v>7386</v>
      </c>
      <c r="G2258" t="s">
        <v>18039</v>
      </c>
      <c r="H2258" t="s">
        <v>1121</v>
      </c>
      <c r="I2258" t="s">
        <v>1117</v>
      </c>
      <c r="J2258" t="s">
        <v>7387</v>
      </c>
      <c r="K2258" t="s">
        <v>7388</v>
      </c>
      <c r="L2258" t="s">
        <v>21</v>
      </c>
      <c r="M2258" t="s">
        <v>19177</v>
      </c>
      <c r="N2258" t="s">
        <v>519</v>
      </c>
      <c r="O2258" t="s">
        <v>519</v>
      </c>
      <c r="P2258" t="s">
        <v>454</v>
      </c>
    </row>
    <row r="2259">
      <c r="A2259">
        <f>HYPERLINK("http://bombeiros.sp.gov.br/hidrantes/03individual/15063.html","15063")</f>
      </c>
      <c r="B2259" t="s">
        <v>454</v>
      </c>
      <c r="C2259" t="s">
        <v>460</v>
      </c>
      <c r="D2259" t="s">
        <v>7382</v>
      </c>
      <c r="E2259" t="s">
        <v>64</v>
      </c>
      <c r="F2259" t="s">
        <v>7389</v>
      </c>
      <c r="G2259" t="s">
        <v>18113</v>
      </c>
      <c r="H2259" t="s">
        <v>1112</v>
      </c>
      <c r="I2259" t="s">
        <v>1108</v>
      </c>
      <c r="J2259" t="s">
        <v>7390</v>
      </c>
      <c r="K2259" t="s">
        <v>7391</v>
      </c>
      <c r="L2259" t="s">
        <v>21</v>
      </c>
      <c r="M2259" t="s">
        <v>19177</v>
      </c>
      <c r="N2259" t="s">
        <v>519</v>
      </c>
      <c r="O2259" t="s">
        <v>519</v>
      </c>
      <c r="P2259" t="s">
        <v>454</v>
      </c>
    </row>
    <row r="2260">
      <c r="A2260">
        <f>HYPERLINK("http://bombeiros.sp.gov.br/hidrantes/03individual/15065.html","15065")</f>
      </c>
      <c r="B2260" t="s">
        <v>454</v>
      </c>
      <c r="C2260" t="s">
        <v>460</v>
      </c>
      <c r="D2260" t="s">
        <v>7382</v>
      </c>
      <c r="E2260" t="s">
        <v>64</v>
      </c>
      <c r="F2260" t="s">
        <v>7392</v>
      </c>
      <c r="G2260" t="s">
        <v>18048</v>
      </c>
      <c r="H2260" t="s">
        <v>1121</v>
      </c>
      <c r="I2260" t="s">
        <v>1117</v>
      </c>
      <c r="J2260" t="s">
        <v>7393</v>
      </c>
      <c r="K2260" t="s">
        <v>7394</v>
      </c>
      <c r="L2260" t="s">
        <v>21</v>
      </c>
      <c r="M2260" t="s">
        <v>19177</v>
      </c>
      <c r="N2260" t="s">
        <v>519</v>
      </c>
      <c r="O2260" t="s">
        <v>519</v>
      </c>
      <c r="P2260" t="s">
        <v>454</v>
      </c>
    </row>
    <row r="2261">
      <c r="A2261">
        <f>HYPERLINK("http://bombeiros.sp.gov.br/hidrantes/03individual/1213.html","1213")</f>
      </c>
      <c r="B2261" t="s">
        <v>454</v>
      </c>
      <c r="C2261" t="s">
        <v>460</v>
      </c>
      <c r="D2261" t="s">
        <v>7382</v>
      </c>
      <c r="E2261" t="s">
        <v>15</v>
      </c>
      <c r="F2261" t="s">
        <v>7395</v>
      </c>
      <c r="G2261" t="s">
        <v>18116</v>
      </c>
      <c r="H2261" t="s">
        <v>1121</v>
      </c>
      <c r="I2261" t="s">
        <v>1117</v>
      </c>
      <c r="J2261" t="s">
        <v>7396</v>
      </c>
      <c r="K2261" t="s">
        <v>7397</v>
      </c>
      <c r="L2261" t="s">
        <v>21</v>
      </c>
      <c r="M2261" t="s">
        <v>19177</v>
      </c>
      <c r="N2261" t="s">
        <v>519</v>
      </c>
      <c r="O2261" t="s">
        <v>519</v>
      </c>
      <c r="P2261" t="s">
        <v>454</v>
      </c>
    </row>
    <row r="2262">
      <c r="A2262">
        <f>HYPERLINK("http://bombeiros.sp.gov.br/hidrantes/03individual/4054.html","4054")</f>
      </c>
      <c r="B2262" t="s">
        <v>454</v>
      </c>
      <c r="C2262" t="s">
        <v>460</v>
      </c>
      <c r="D2262" t="s">
        <v>7398</v>
      </c>
      <c r="E2262" t="s">
        <v>64</v>
      </c>
      <c r="F2262" t="s">
        <v>7399</v>
      </c>
      <c r="G2262" t="s">
        <v>18075</v>
      </c>
      <c r="H2262" t="s">
        <v>1174</v>
      </c>
      <c r="I2262" t="s">
        <v>1117</v>
      </c>
      <c r="J2262" t="s">
        <v>7400</v>
      </c>
      <c r="K2262" t="s">
        <v>7401</v>
      </c>
      <c r="L2262" t="s">
        <v>36</v>
      </c>
      <c r="M2262" t="s">
        <v>19177</v>
      </c>
      <c r="N2262" t="s">
        <v>519</v>
      </c>
      <c r="O2262" t="s">
        <v>519</v>
      </c>
      <c r="P2262" t="s">
        <v>454</v>
      </c>
    </row>
    <row r="2263">
      <c r="A2263">
        <f>HYPERLINK("http://bombeiros.sp.gov.br/hidrantes/03individual/1186.html","1186")</f>
      </c>
      <c r="B2263" t="s">
        <v>454</v>
      </c>
      <c r="C2263" t="s">
        <v>460</v>
      </c>
      <c r="D2263" t="s">
        <v>7398</v>
      </c>
      <c r="E2263" t="s">
        <v>15</v>
      </c>
      <c r="F2263" t="s">
        <v>7402</v>
      </c>
      <c r="G2263" t="s">
        <v>18048</v>
      </c>
      <c r="H2263"/>
      <c r="I2263" t="s">
        <v>18</v>
      </c>
      <c r="J2263" t="s">
        <v>7403</v>
      </c>
      <c r="K2263" t="s">
        <v>7404</v>
      </c>
      <c r="L2263" t="s">
        <v>21</v>
      </c>
      <c r="M2263" t="s">
        <v>19177</v>
      </c>
      <c r="N2263" t="s">
        <v>519</v>
      </c>
      <c r="O2263" t="s">
        <v>519</v>
      </c>
      <c r="P2263" t="s">
        <v>454</v>
      </c>
    </row>
    <row r="2264">
      <c r="A2264">
        <f>HYPERLINK("http://bombeiros.sp.gov.br/hidrantes/03individual/1319.html","1319")</f>
      </c>
      <c r="B2264" t="s">
        <v>454</v>
      </c>
      <c r="C2264" t="s">
        <v>460</v>
      </c>
      <c r="D2264" t="s">
        <v>7398</v>
      </c>
      <c r="E2264" t="s">
        <v>15</v>
      </c>
      <c r="F2264" t="s">
        <v>7405</v>
      </c>
      <c r="G2264" t="s">
        <v>18048</v>
      </c>
      <c r="H2264" t="s">
        <v>1121</v>
      </c>
      <c r="I2264" t="s">
        <v>1117</v>
      </c>
      <c r="J2264" t="s">
        <v>17124</v>
      </c>
      <c r="K2264" t="s">
        <v>17125</v>
      </c>
      <c r="L2264" t="s">
        <v>21</v>
      </c>
      <c r="M2264" t="s">
        <v>19177</v>
      </c>
      <c r="N2264" t="s">
        <v>519</v>
      </c>
      <c r="O2264" t="s">
        <v>519</v>
      </c>
      <c r="P2264" t="s">
        <v>454</v>
      </c>
    </row>
    <row r="2265">
      <c r="A2265">
        <f>HYPERLINK("http://bombeiros.sp.gov.br/hidrantes/03individual/4055.html","4055")</f>
      </c>
      <c r="B2265" t="s">
        <v>454</v>
      </c>
      <c r="C2265" t="s">
        <v>460</v>
      </c>
      <c r="D2265" t="s">
        <v>7398</v>
      </c>
      <c r="E2265" t="s">
        <v>15</v>
      </c>
      <c r="F2265" t="s">
        <v>7408</v>
      </c>
      <c r="G2265" t="s">
        <v>18075</v>
      </c>
      <c r="H2265" t="s">
        <v>1121</v>
      </c>
      <c r="I2265" t="s">
        <v>1117</v>
      </c>
      <c r="J2265" t="s">
        <v>7409</v>
      </c>
      <c r="K2265" t="s">
        <v>7410</v>
      </c>
      <c r="L2265" t="s">
        <v>21</v>
      </c>
      <c r="M2265" t="s">
        <v>19177</v>
      </c>
      <c r="N2265" t="s">
        <v>519</v>
      </c>
      <c r="O2265" t="s">
        <v>519</v>
      </c>
      <c r="P2265" t="s">
        <v>454</v>
      </c>
    </row>
    <row r="2266">
      <c r="A2266">
        <f>HYPERLINK("http://bombeiros.sp.gov.br/hidrantes/03individual/27378.html","27378")</f>
      </c>
      <c r="B2266" t="s">
        <v>454</v>
      </c>
      <c r="C2266" t="s">
        <v>460</v>
      </c>
      <c r="D2266" t="s">
        <v>17205</v>
      </c>
      <c r="E2266" t="s">
        <v>64</v>
      </c>
      <c r="F2266" t="s">
        <v>17206</v>
      </c>
      <c r="G2266" t="s">
        <v>18113</v>
      </c>
      <c r="H2266" t="s">
        <v>1112</v>
      </c>
      <c r="I2266" t="s">
        <v>1108</v>
      </c>
      <c r="J2266" t="s">
        <v>17207</v>
      </c>
      <c r="K2266" t="s">
        <v>17208</v>
      </c>
      <c r="L2266" t="s">
        <v>21</v>
      </c>
      <c r="M2266" t="s">
        <v>19177</v>
      </c>
      <c r="N2266" t="s">
        <v>519</v>
      </c>
      <c r="O2266" t="s">
        <v>519</v>
      </c>
      <c r="P2266" t="s">
        <v>454</v>
      </c>
    </row>
    <row r="2267">
      <c r="A2267">
        <f>HYPERLINK("http://bombeiros.sp.gov.br/hidrantes/03individual/1104.html","1104")</f>
      </c>
      <c r="B2267" t="s">
        <v>454</v>
      </c>
      <c r="C2267" t="s">
        <v>465</v>
      </c>
      <c r="D2267" t="s">
        <v>465</v>
      </c>
      <c r="E2267" t="s">
        <v>64</v>
      </c>
      <c r="F2267" t="s">
        <v>7411</v>
      </c>
      <c r="G2267" t="s">
        <v>18053</v>
      </c>
      <c r="H2267" t="s">
        <v>1121</v>
      </c>
      <c r="I2267" t="s">
        <v>1117</v>
      </c>
      <c r="J2267" t="s">
        <v>7412</v>
      </c>
      <c r="K2267" t="s">
        <v>7413</v>
      </c>
      <c r="L2267" t="s">
        <v>21</v>
      </c>
      <c r="M2267" t="s">
        <v>19177</v>
      </c>
      <c r="N2267" t="s">
        <v>478</v>
      </c>
      <c r="O2267" t="s">
        <v>478</v>
      </c>
      <c r="P2267" t="s">
        <v>454</v>
      </c>
    </row>
    <row r="2268">
      <c r="A2268">
        <f>HYPERLINK("http://bombeiros.sp.gov.br/hidrantes/03individual/3506.html","3506")</f>
      </c>
      <c r="B2268" t="s">
        <v>454</v>
      </c>
      <c r="C2268" t="s">
        <v>465</v>
      </c>
      <c r="D2268" t="s">
        <v>465</v>
      </c>
      <c r="E2268" t="s">
        <v>64</v>
      </c>
      <c r="F2268" t="s">
        <v>7414</v>
      </c>
      <c r="G2268" t="s">
        <v>18154</v>
      </c>
      <c r="H2268" t="s">
        <v>1112</v>
      </c>
      <c r="I2268" t="s">
        <v>1108</v>
      </c>
      <c r="J2268" t="s">
        <v>7415</v>
      </c>
      <c r="K2268" t="s">
        <v>7416</v>
      </c>
      <c r="L2268" t="s">
        <v>36</v>
      </c>
      <c r="M2268" t="s">
        <v>19177</v>
      </c>
      <c r="N2268" t="s">
        <v>478</v>
      </c>
      <c r="O2268" t="s">
        <v>478</v>
      </c>
      <c r="P2268" t="s">
        <v>454</v>
      </c>
    </row>
    <row r="2269">
      <c r="A2269">
        <f>HYPERLINK("http://bombeiros.sp.gov.br/hidrantes/03individual/562.html","562")</f>
      </c>
      <c r="B2269" t="s">
        <v>454</v>
      </c>
      <c r="C2269" t="s">
        <v>465</v>
      </c>
      <c r="D2269" t="s">
        <v>465</v>
      </c>
      <c r="E2269" t="s">
        <v>15</v>
      </c>
      <c r="F2269" t="s">
        <v>7417</v>
      </c>
      <c r="G2269" t="s">
        <v>18129</v>
      </c>
      <c r="H2269" t="s">
        <v>1107</v>
      </c>
      <c r="I2269" t="s">
        <v>1108</v>
      </c>
      <c r="J2269" t="s">
        <v>7418</v>
      </c>
      <c r="K2269" t="s">
        <v>7419</v>
      </c>
      <c r="L2269" t="s">
        <v>21</v>
      </c>
      <c r="M2269" t="s">
        <v>19177</v>
      </c>
      <c r="N2269" t="s">
        <v>478</v>
      </c>
      <c r="O2269" t="s">
        <v>478</v>
      </c>
      <c r="P2269" t="s">
        <v>454</v>
      </c>
    </row>
    <row r="2270">
      <c r="A2270">
        <f>HYPERLINK("http://bombeiros.sp.gov.br/hidrantes/03individual/960.html","960")</f>
      </c>
      <c r="B2270" t="s">
        <v>454</v>
      </c>
      <c r="C2270" t="s">
        <v>465</v>
      </c>
      <c r="D2270" t="s">
        <v>465</v>
      </c>
      <c r="E2270" t="s">
        <v>15</v>
      </c>
      <c r="F2270" t="s">
        <v>7420</v>
      </c>
      <c r="G2270" t="s">
        <v>18072</v>
      </c>
      <c r="H2270" t="s">
        <v>1112</v>
      </c>
      <c r="I2270" t="s">
        <v>1108</v>
      </c>
      <c r="J2270" t="s">
        <v>7421</v>
      </c>
      <c r="K2270" t="s">
        <v>7422</v>
      </c>
      <c r="L2270" t="s">
        <v>21</v>
      </c>
      <c r="M2270" t="s">
        <v>19177</v>
      </c>
      <c r="N2270" t="s">
        <v>478</v>
      </c>
      <c r="O2270" t="s">
        <v>478</v>
      </c>
      <c r="P2270" t="s">
        <v>454</v>
      </c>
    </row>
    <row r="2271">
      <c r="A2271">
        <f>HYPERLINK("http://bombeiros.sp.gov.br/hidrantes/03individual/962.html","962")</f>
      </c>
      <c r="B2271" t="s">
        <v>454</v>
      </c>
      <c r="C2271" t="s">
        <v>465</v>
      </c>
      <c r="D2271" t="s">
        <v>465</v>
      </c>
      <c r="E2271" t="s">
        <v>15</v>
      </c>
      <c r="F2271" t="s">
        <v>466</v>
      </c>
      <c r="G2271" t="s">
        <v>18072</v>
      </c>
      <c r="H2271"/>
      <c r="I2271" t="s">
        <v>18</v>
      </c>
      <c r="J2271" t="s">
        <v>467</v>
      </c>
      <c r="K2271" t="s">
        <v>468</v>
      </c>
      <c r="L2271" t="s">
        <v>21</v>
      </c>
      <c r="M2271" t="s">
        <v>19177</v>
      </c>
      <c r="N2271" t="s">
        <v>478</v>
      </c>
      <c r="O2271" t="s">
        <v>478</v>
      </c>
      <c r="P2271" t="s">
        <v>454</v>
      </c>
    </row>
    <row r="2272">
      <c r="A2272">
        <f>HYPERLINK("http://bombeiros.sp.gov.br/hidrantes/03individual/965.html","965")</f>
      </c>
      <c r="B2272" t="s">
        <v>454</v>
      </c>
      <c r="C2272" t="s">
        <v>465</v>
      </c>
      <c r="D2272" t="s">
        <v>465</v>
      </c>
      <c r="E2272" t="s">
        <v>15</v>
      </c>
      <c r="F2272" t="s">
        <v>7423</v>
      </c>
      <c r="G2272" t="s">
        <v>18209</v>
      </c>
      <c r="H2272" t="s">
        <v>1174</v>
      </c>
      <c r="I2272" t="s">
        <v>1108</v>
      </c>
      <c r="J2272" t="s">
        <v>7424</v>
      </c>
      <c r="K2272" t="s">
        <v>7425</v>
      </c>
      <c r="L2272" t="s">
        <v>21</v>
      </c>
      <c r="M2272" t="s">
        <v>19177</v>
      </c>
      <c r="N2272" t="s">
        <v>478</v>
      </c>
      <c r="O2272" t="s">
        <v>478</v>
      </c>
      <c r="P2272" t="s">
        <v>454</v>
      </c>
    </row>
    <row r="2273">
      <c r="A2273">
        <f>HYPERLINK("http://bombeiros.sp.gov.br/hidrantes/03individual/1025.html","1025")</f>
      </c>
      <c r="B2273" t="s">
        <v>454</v>
      </c>
      <c r="C2273" t="s">
        <v>465</v>
      </c>
      <c r="D2273" t="s">
        <v>465</v>
      </c>
      <c r="E2273" t="s">
        <v>15</v>
      </c>
      <c r="F2273" t="s">
        <v>7426</v>
      </c>
      <c r="G2273" t="s">
        <v>18209</v>
      </c>
      <c r="H2273" t="s">
        <v>1112</v>
      </c>
      <c r="I2273" t="s">
        <v>1108</v>
      </c>
      <c r="J2273" t="s">
        <v>7427</v>
      </c>
      <c r="K2273" t="s">
        <v>7428</v>
      </c>
      <c r="L2273" t="s">
        <v>21</v>
      </c>
      <c r="M2273" t="s">
        <v>19177</v>
      </c>
      <c r="N2273" t="s">
        <v>478</v>
      </c>
      <c r="O2273" t="s">
        <v>478</v>
      </c>
      <c r="P2273" t="s">
        <v>454</v>
      </c>
    </row>
    <row r="2274">
      <c r="A2274">
        <f>HYPERLINK("http://bombeiros.sp.gov.br/hidrantes/03individual/1102.html","1102")</f>
      </c>
      <c r="B2274" t="s">
        <v>454</v>
      </c>
      <c r="C2274" t="s">
        <v>465</v>
      </c>
      <c r="D2274" t="s">
        <v>465</v>
      </c>
      <c r="E2274" t="s">
        <v>15</v>
      </c>
      <c r="F2274" t="s">
        <v>7429</v>
      </c>
      <c r="G2274" t="s">
        <v>18209</v>
      </c>
      <c r="H2274" t="s">
        <v>1107</v>
      </c>
      <c r="I2274" t="s">
        <v>1108</v>
      </c>
      <c r="J2274" t="s">
        <v>7430</v>
      </c>
      <c r="K2274" t="s">
        <v>7431</v>
      </c>
      <c r="L2274" t="s">
        <v>21</v>
      </c>
      <c r="M2274" t="s">
        <v>19177</v>
      </c>
      <c r="N2274" t="s">
        <v>478</v>
      </c>
      <c r="O2274" t="s">
        <v>478</v>
      </c>
      <c r="P2274" t="s">
        <v>454</v>
      </c>
    </row>
    <row r="2275">
      <c r="A2275">
        <f>HYPERLINK("http://bombeiros.sp.gov.br/hidrantes/03individual/1142.html","1142")</f>
      </c>
      <c r="B2275" t="s">
        <v>454</v>
      </c>
      <c r="C2275" t="s">
        <v>465</v>
      </c>
      <c r="D2275" t="s">
        <v>465</v>
      </c>
      <c r="E2275" t="s">
        <v>15</v>
      </c>
      <c r="F2275" t="s">
        <v>7432</v>
      </c>
      <c r="G2275" t="s">
        <v>18173</v>
      </c>
      <c r="H2275" t="s">
        <v>1107</v>
      </c>
      <c r="I2275" t="s">
        <v>1108</v>
      </c>
      <c r="J2275" t="s">
        <v>7433</v>
      </c>
      <c r="K2275" t="s">
        <v>7434</v>
      </c>
      <c r="L2275" t="s">
        <v>21</v>
      </c>
      <c r="M2275" t="s">
        <v>19177</v>
      </c>
      <c r="N2275" t="s">
        <v>478</v>
      </c>
      <c r="O2275" t="s">
        <v>478</v>
      </c>
      <c r="P2275" t="s">
        <v>454</v>
      </c>
    </row>
    <row r="2276">
      <c r="A2276">
        <f>HYPERLINK("http://bombeiros.sp.gov.br/hidrantes/03individual/1143.html","1143")</f>
      </c>
      <c r="B2276" t="s">
        <v>454</v>
      </c>
      <c r="C2276" t="s">
        <v>465</v>
      </c>
      <c r="D2276" t="s">
        <v>465</v>
      </c>
      <c r="E2276" t="s">
        <v>15</v>
      </c>
      <c r="F2276" t="s">
        <v>7435</v>
      </c>
      <c r="G2276" t="s">
        <v>18154</v>
      </c>
      <c r="H2276" t="s">
        <v>1112</v>
      </c>
      <c r="I2276" t="s">
        <v>1108</v>
      </c>
      <c r="J2276" t="s">
        <v>7436</v>
      </c>
      <c r="K2276" t="s">
        <v>7437</v>
      </c>
      <c r="L2276" t="s">
        <v>21</v>
      </c>
      <c r="M2276" t="s">
        <v>19177</v>
      </c>
      <c r="N2276" t="s">
        <v>478</v>
      </c>
      <c r="O2276" t="s">
        <v>478</v>
      </c>
      <c r="P2276" t="s">
        <v>454</v>
      </c>
    </row>
    <row r="2277">
      <c r="A2277">
        <f>HYPERLINK("http://bombeiros.sp.gov.br/hidrantes/03individual/1210.html","1210")</f>
      </c>
      <c r="B2277" t="s">
        <v>454</v>
      </c>
      <c r="C2277" t="s">
        <v>465</v>
      </c>
      <c r="D2277" t="s">
        <v>465</v>
      </c>
      <c r="E2277" t="s">
        <v>15</v>
      </c>
      <c r="F2277" t="s">
        <v>7438</v>
      </c>
      <c r="G2277" t="s">
        <v>18075</v>
      </c>
      <c r="H2277" t="s">
        <v>1112</v>
      </c>
      <c r="I2277" t="s">
        <v>1108</v>
      </c>
      <c r="J2277" t="s">
        <v>7439</v>
      </c>
      <c r="K2277" t="s">
        <v>7440</v>
      </c>
      <c r="L2277" t="s">
        <v>21</v>
      </c>
      <c r="M2277" t="s">
        <v>19177</v>
      </c>
      <c r="N2277" t="s">
        <v>478</v>
      </c>
      <c r="O2277" t="s">
        <v>478</v>
      </c>
      <c r="P2277" t="s">
        <v>454</v>
      </c>
    </row>
    <row r="2278">
      <c r="A2278">
        <f>HYPERLINK("http://bombeiros.sp.gov.br/hidrantes/03individual/1217.html","1217")</f>
      </c>
      <c r="B2278" t="s">
        <v>454</v>
      </c>
      <c r="C2278" t="s">
        <v>465</v>
      </c>
      <c r="D2278" t="s">
        <v>465</v>
      </c>
      <c r="E2278" t="s">
        <v>15</v>
      </c>
      <c r="F2278" t="s">
        <v>7441</v>
      </c>
      <c r="G2278" t="s">
        <v>18117</v>
      </c>
      <c r="H2278" t="s">
        <v>1112</v>
      </c>
      <c r="I2278" t="s">
        <v>1108</v>
      </c>
      <c r="J2278" t="s">
        <v>7442</v>
      </c>
      <c r="K2278" t="s">
        <v>7443</v>
      </c>
      <c r="L2278" t="s">
        <v>21</v>
      </c>
      <c r="M2278" t="s">
        <v>19177</v>
      </c>
      <c r="N2278" t="s">
        <v>478</v>
      </c>
      <c r="O2278" t="s">
        <v>478</v>
      </c>
      <c r="P2278" t="s">
        <v>454</v>
      </c>
    </row>
    <row r="2279">
      <c r="A2279">
        <f>HYPERLINK("http://bombeiros.sp.gov.br/hidrantes/03individual/1221.html","1221")</f>
      </c>
      <c r="B2279" t="s">
        <v>454</v>
      </c>
      <c r="C2279" t="s">
        <v>465</v>
      </c>
      <c r="D2279" t="s">
        <v>465</v>
      </c>
      <c r="E2279" t="s">
        <v>15</v>
      </c>
      <c r="F2279" t="s">
        <v>7444</v>
      </c>
      <c r="G2279" t="s">
        <v>18129</v>
      </c>
      <c r="H2279" t="s">
        <v>1107</v>
      </c>
      <c r="I2279" t="s">
        <v>1108</v>
      </c>
      <c r="J2279" t="s">
        <v>7445</v>
      </c>
      <c r="K2279" t="s">
        <v>7446</v>
      </c>
      <c r="L2279" t="s">
        <v>21</v>
      </c>
      <c r="M2279" t="s">
        <v>19177</v>
      </c>
      <c r="N2279" t="s">
        <v>478</v>
      </c>
      <c r="O2279" t="s">
        <v>478</v>
      </c>
      <c r="P2279" t="s">
        <v>454</v>
      </c>
    </row>
    <row r="2280">
      <c r="A2280">
        <f>HYPERLINK("http://bombeiros.sp.gov.br/hidrantes/03individual/1222.html","1222")</f>
      </c>
      <c r="B2280" t="s">
        <v>454</v>
      </c>
      <c r="C2280" t="s">
        <v>465</v>
      </c>
      <c r="D2280" t="s">
        <v>465</v>
      </c>
      <c r="E2280" t="s">
        <v>15</v>
      </c>
      <c r="F2280" t="s">
        <v>7447</v>
      </c>
      <c r="G2280" t="s">
        <v>18154</v>
      </c>
      <c r="H2280" t="s">
        <v>1112</v>
      </c>
      <c r="I2280" t="s">
        <v>1108</v>
      </c>
      <c r="J2280" t="s">
        <v>7448</v>
      </c>
      <c r="K2280" t="s">
        <v>7449</v>
      </c>
      <c r="L2280" t="s">
        <v>21</v>
      </c>
      <c r="M2280" t="s">
        <v>19177</v>
      </c>
      <c r="N2280" t="s">
        <v>478</v>
      </c>
      <c r="O2280" t="s">
        <v>478</v>
      </c>
      <c r="P2280" t="s">
        <v>454</v>
      </c>
    </row>
    <row r="2281">
      <c r="A2281">
        <f>HYPERLINK("http://bombeiros.sp.gov.br/hidrantes/03individual/1226.html","1226")</f>
      </c>
      <c r="B2281" t="s">
        <v>454</v>
      </c>
      <c r="C2281" t="s">
        <v>465</v>
      </c>
      <c r="D2281" t="s">
        <v>465</v>
      </c>
      <c r="E2281" t="s">
        <v>15</v>
      </c>
      <c r="F2281" t="s">
        <v>7450</v>
      </c>
      <c r="G2281" t="s">
        <v>18173</v>
      </c>
      <c r="H2281" t="s">
        <v>1112</v>
      </c>
      <c r="I2281" t="s">
        <v>1108</v>
      </c>
      <c r="J2281" t="s">
        <v>7451</v>
      </c>
      <c r="K2281" t="s">
        <v>7452</v>
      </c>
      <c r="L2281" t="s">
        <v>21</v>
      </c>
      <c r="M2281" t="s">
        <v>19177</v>
      </c>
      <c r="N2281" t="s">
        <v>478</v>
      </c>
      <c r="O2281" t="s">
        <v>478</v>
      </c>
      <c r="P2281" t="s">
        <v>454</v>
      </c>
    </row>
    <row r="2282">
      <c r="A2282">
        <f>HYPERLINK("http://bombeiros.sp.gov.br/hidrantes/03individual/1304.html","1304")</f>
      </c>
      <c r="B2282" t="s">
        <v>454</v>
      </c>
      <c r="C2282" t="s">
        <v>465</v>
      </c>
      <c r="D2282" t="s">
        <v>465</v>
      </c>
      <c r="E2282" t="s">
        <v>15</v>
      </c>
      <c r="F2282" t="s">
        <v>7453</v>
      </c>
      <c r="G2282" t="s">
        <v>18024</v>
      </c>
      <c r="H2282" t="s">
        <v>1112</v>
      </c>
      <c r="I2282" t="s">
        <v>1108</v>
      </c>
      <c r="J2282" t="s">
        <v>7455</v>
      </c>
      <c r="K2282" t="s">
        <v>7456</v>
      </c>
      <c r="L2282" t="s">
        <v>21</v>
      </c>
      <c r="M2282" t="s">
        <v>19177</v>
      </c>
      <c r="N2282" t="s">
        <v>478</v>
      </c>
      <c r="O2282" t="s">
        <v>478</v>
      </c>
      <c r="P2282" t="s">
        <v>454</v>
      </c>
    </row>
    <row r="2283">
      <c r="A2283">
        <f>HYPERLINK("http://bombeiros.sp.gov.br/hidrantes/03individual/1305.html","1305")</f>
      </c>
      <c r="B2283" t="s">
        <v>454</v>
      </c>
      <c r="C2283" t="s">
        <v>465</v>
      </c>
      <c r="D2283" t="s">
        <v>465</v>
      </c>
      <c r="E2283" t="s">
        <v>15</v>
      </c>
      <c r="F2283" t="s">
        <v>7457</v>
      </c>
      <c r="G2283" t="s">
        <v>18118</v>
      </c>
      <c r="H2283" t="s">
        <v>1121</v>
      </c>
      <c r="I2283" t="s">
        <v>1117</v>
      </c>
      <c r="J2283" t="s">
        <v>7458</v>
      </c>
      <c r="K2283" t="s">
        <v>7459</v>
      </c>
      <c r="L2283" t="s">
        <v>21</v>
      </c>
      <c r="M2283" t="s">
        <v>19177</v>
      </c>
      <c r="N2283" t="s">
        <v>478</v>
      </c>
      <c r="O2283" t="s">
        <v>478</v>
      </c>
      <c r="P2283" t="s">
        <v>454</v>
      </c>
    </row>
    <row r="2284">
      <c r="A2284">
        <f>HYPERLINK("http://bombeiros.sp.gov.br/hidrantes/03individual/3781.html","3781")</f>
      </c>
      <c r="B2284" t="s">
        <v>454</v>
      </c>
      <c r="C2284" t="s">
        <v>465</v>
      </c>
      <c r="D2284" t="s">
        <v>465</v>
      </c>
      <c r="E2284" t="s">
        <v>15</v>
      </c>
      <c r="F2284" t="s">
        <v>7460</v>
      </c>
      <c r="G2284" t="s">
        <v>18173</v>
      </c>
      <c r="H2284" t="s">
        <v>1112</v>
      </c>
      <c r="I2284" t="s">
        <v>1108</v>
      </c>
      <c r="J2284" t="s">
        <v>7461</v>
      </c>
      <c r="K2284" t="s">
        <v>7462</v>
      </c>
      <c r="L2284" t="s">
        <v>21</v>
      </c>
      <c r="M2284" t="s">
        <v>19177</v>
      </c>
      <c r="N2284" t="s">
        <v>478</v>
      </c>
      <c r="O2284" t="s">
        <v>478</v>
      </c>
      <c r="P2284" t="s">
        <v>454</v>
      </c>
    </row>
    <row r="2285">
      <c r="A2285">
        <f>HYPERLINK("http://bombeiros.sp.gov.br/hidrantes/03individual/3788.html","3788")</f>
      </c>
      <c r="B2285" t="s">
        <v>454</v>
      </c>
      <c r="C2285" t="s">
        <v>465</v>
      </c>
      <c r="D2285" t="s">
        <v>465</v>
      </c>
      <c r="E2285" t="s">
        <v>15</v>
      </c>
      <c r="F2285" t="s">
        <v>7463</v>
      </c>
      <c r="G2285" t="s">
        <v>18119</v>
      </c>
      <c r="H2285" t="s">
        <v>1121</v>
      </c>
      <c r="I2285" t="s">
        <v>1117</v>
      </c>
      <c r="J2285" t="s">
        <v>7464</v>
      </c>
      <c r="K2285" t="s">
        <v>7465</v>
      </c>
      <c r="L2285" t="s">
        <v>21</v>
      </c>
      <c r="M2285" t="s">
        <v>19177</v>
      </c>
      <c r="N2285" t="s">
        <v>478</v>
      </c>
      <c r="O2285" t="s">
        <v>478</v>
      </c>
      <c r="P2285" t="s">
        <v>454</v>
      </c>
    </row>
    <row r="2286">
      <c r="A2286">
        <f>HYPERLINK("http://bombeiros.sp.gov.br/hidrantes/03individual/3824.html","3824")</f>
      </c>
      <c r="B2286" t="s">
        <v>454</v>
      </c>
      <c r="C2286" t="s">
        <v>465</v>
      </c>
      <c r="D2286" t="s">
        <v>465</v>
      </c>
      <c r="E2286" t="s">
        <v>15</v>
      </c>
      <c r="F2286" t="s">
        <v>7466</v>
      </c>
      <c r="G2286" t="s">
        <v>18117</v>
      </c>
      <c r="H2286" t="s">
        <v>1112</v>
      </c>
      <c r="I2286" t="s">
        <v>1108</v>
      </c>
      <c r="J2286" t="s">
        <v>7467</v>
      </c>
      <c r="K2286" t="s">
        <v>7468</v>
      </c>
      <c r="L2286" t="s">
        <v>21</v>
      </c>
      <c r="M2286" t="s">
        <v>19177</v>
      </c>
      <c r="N2286" t="s">
        <v>478</v>
      </c>
      <c r="O2286" t="s">
        <v>478</v>
      </c>
      <c r="P2286" t="s">
        <v>454</v>
      </c>
    </row>
    <row r="2287">
      <c r="A2287">
        <f>HYPERLINK("http://bombeiros.sp.gov.br/hidrantes/03individual/3847.html","3847")</f>
      </c>
      <c r="B2287" t="s">
        <v>454</v>
      </c>
      <c r="C2287" t="s">
        <v>465</v>
      </c>
      <c r="D2287" t="s">
        <v>465</v>
      </c>
      <c r="E2287" t="s">
        <v>15</v>
      </c>
      <c r="F2287" t="s">
        <v>7469</v>
      </c>
      <c r="G2287" t="s">
        <v>18062</v>
      </c>
      <c r="H2287" t="s">
        <v>1107</v>
      </c>
      <c r="I2287" t="s">
        <v>1108</v>
      </c>
      <c r="J2287" t="s">
        <v>7470</v>
      </c>
      <c r="K2287" t="s">
        <v>7471</v>
      </c>
      <c r="L2287" t="s">
        <v>21</v>
      </c>
      <c r="M2287" t="s">
        <v>19177</v>
      </c>
      <c r="N2287" t="s">
        <v>478</v>
      </c>
      <c r="O2287" t="s">
        <v>478</v>
      </c>
      <c r="P2287" t="s">
        <v>454</v>
      </c>
    </row>
    <row r="2288">
      <c r="A2288">
        <f>HYPERLINK("http://bombeiros.sp.gov.br/hidrantes/03individual/17750.html","17750")</f>
      </c>
      <c r="B2288" t="s">
        <v>454</v>
      </c>
      <c r="C2288" t="s">
        <v>465</v>
      </c>
      <c r="D2288" t="s">
        <v>465</v>
      </c>
      <c r="E2288" t="s">
        <v>15</v>
      </c>
      <c r="F2288" t="s">
        <v>7472</v>
      </c>
      <c r="G2288" t="s">
        <v>18129</v>
      </c>
      <c r="H2288" t="s">
        <v>1107</v>
      </c>
      <c r="I2288" t="s">
        <v>1108</v>
      </c>
      <c r="J2288" t="s">
        <v>7473</v>
      </c>
      <c r="K2288" t="s">
        <v>7474</v>
      </c>
      <c r="L2288" t="s">
        <v>21</v>
      </c>
      <c r="M2288" t="s">
        <v>19177</v>
      </c>
      <c r="N2288" t="s">
        <v>478</v>
      </c>
      <c r="O2288" t="s">
        <v>478</v>
      </c>
      <c r="P2288" t="s">
        <v>454</v>
      </c>
    </row>
    <row r="2289">
      <c r="A2289">
        <f>HYPERLINK("http://bombeiros.sp.gov.br/hidrantes/03individual/17751.html","17751")</f>
      </c>
      <c r="B2289" t="s">
        <v>454</v>
      </c>
      <c r="C2289" t="s">
        <v>465</v>
      </c>
      <c r="D2289" t="s">
        <v>465</v>
      </c>
      <c r="E2289" t="s">
        <v>15</v>
      </c>
      <c r="F2289" t="s">
        <v>7475</v>
      </c>
      <c r="G2289" t="s">
        <v>18062</v>
      </c>
      <c r="H2289" t="s">
        <v>1112</v>
      </c>
      <c r="I2289" t="s">
        <v>1108</v>
      </c>
      <c r="J2289" t="s">
        <v>7476</v>
      </c>
      <c r="K2289" t="s">
        <v>7477</v>
      </c>
      <c r="L2289" t="s">
        <v>21</v>
      </c>
      <c r="M2289" t="s">
        <v>19177</v>
      </c>
      <c r="N2289" t="s">
        <v>478</v>
      </c>
      <c r="O2289" t="s">
        <v>478</v>
      </c>
      <c r="P2289" t="s">
        <v>454</v>
      </c>
    </row>
    <row r="2290">
      <c r="A2290">
        <f>HYPERLINK("http://bombeiros.sp.gov.br/hidrantes/03individual/3499.html","3499")</f>
      </c>
      <c r="B2290" t="s">
        <v>454</v>
      </c>
      <c r="C2290" t="s">
        <v>465</v>
      </c>
      <c r="D2290" t="s">
        <v>7478</v>
      </c>
      <c r="E2290" t="s">
        <v>64</v>
      </c>
      <c r="F2290" t="s">
        <v>7479</v>
      </c>
      <c r="G2290" t="s">
        <v>18115</v>
      </c>
      <c r="H2290" t="s">
        <v>1112</v>
      </c>
      <c r="I2290" t="s">
        <v>1108</v>
      </c>
      <c r="J2290" t="s">
        <v>7480</v>
      </c>
      <c r="K2290" t="s">
        <v>7481</v>
      </c>
      <c r="L2290" t="s">
        <v>36</v>
      </c>
      <c r="M2290" t="s">
        <v>19177</v>
      </c>
      <c r="N2290" t="s">
        <v>478</v>
      </c>
      <c r="O2290" t="s">
        <v>478</v>
      </c>
      <c r="P2290" t="s">
        <v>454</v>
      </c>
    </row>
    <row r="2291">
      <c r="A2291">
        <f>HYPERLINK("http://bombeiros.sp.gov.br/hidrantes/03individual/3501.html","3501")</f>
      </c>
      <c r="B2291" t="s">
        <v>454</v>
      </c>
      <c r="C2291" t="s">
        <v>465</v>
      </c>
      <c r="D2291" t="s">
        <v>7478</v>
      </c>
      <c r="E2291" t="s">
        <v>64</v>
      </c>
      <c r="F2291" t="s">
        <v>7482</v>
      </c>
      <c r="G2291" t="s">
        <v>18130</v>
      </c>
      <c r="H2291" t="s">
        <v>1107</v>
      </c>
      <c r="I2291" t="s">
        <v>1108</v>
      </c>
      <c r="J2291" t="s">
        <v>7483</v>
      </c>
      <c r="K2291" t="s">
        <v>7484</v>
      </c>
      <c r="L2291" t="s">
        <v>36</v>
      </c>
      <c r="M2291" t="s">
        <v>19177</v>
      </c>
      <c r="N2291" t="s">
        <v>478</v>
      </c>
      <c r="O2291" t="s">
        <v>478</v>
      </c>
      <c r="P2291" t="s">
        <v>454</v>
      </c>
    </row>
    <row r="2292">
      <c r="A2292">
        <f>HYPERLINK("http://bombeiros.sp.gov.br/hidrantes/03individual/3504.html","3504")</f>
      </c>
      <c r="B2292" t="s">
        <v>454</v>
      </c>
      <c r="C2292" t="s">
        <v>465</v>
      </c>
      <c r="D2292" t="s">
        <v>7478</v>
      </c>
      <c r="E2292" t="s">
        <v>64</v>
      </c>
      <c r="F2292" t="s">
        <v>7485</v>
      </c>
      <c r="G2292" t="s">
        <v>18130</v>
      </c>
      <c r="H2292" t="s">
        <v>1112</v>
      </c>
      <c r="I2292" t="s">
        <v>1108</v>
      </c>
      <c r="J2292" t="s">
        <v>7486</v>
      </c>
      <c r="K2292" t="s">
        <v>7487</v>
      </c>
      <c r="L2292" t="s">
        <v>21</v>
      </c>
      <c r="M2292" t="s">
        <v>19177</v>
      </c>
      <c r="N2292" t="s">
        <v>478</v>
      </c>
      <c r="O2292" t="s">
        <v>478</v>
      </c>
      <c r="P2292" t="s">
        <v>454</v>
      </c>
    </row>
    <row r="2293">
      <c r="A2293">
        <f>HYPERLINK("http://bombeiros.sp.gov.br/hidrantes/03individual/15060.html","15060")</f>
      </c>
      <c r="B2293" t="s">
        <v>454</v>
      </c>
      <c r="C2293" t="s">
        <v>465</v>
      </c>
      <c r="D2293" t="s">
        <v>7478</v>
      </c>
      <c r="E2293" t="s">
        <v>64</v>
      </c>
      <c r="F2293" t="s">
        <v>7488</v>
      </c>
      <c r="G2293" t="s">
        <v>18119</v>
      </c>
      <c r="H2293" t="s">
        <v>1121</v>
      </c>
      <c r="I2293" t="s">
        <v>1117</v>
      </c>
      <c r="J2293" t="s">
        <v>7489</v>
      </c>
      <c r="K2293" t="s">
        <v>7490</v>
      </c>
      <c r="L2293" t="s">
        <v>21</v>
      </c>
      <c r="M2293" t="s">
        <v>19177</v>
      </c>
      <c r="N2293" t="s">
        <v>478</v>
      </c>
      <c r="O2293" t="s">
        <v>478</v>
      </c>
      <c r="P2293" t="s">
        <v>454</v>
      </c>
    </row>
    <row r="2294">
      <c r="A2294">
        <f>HYPERLINK("http://bombeiros.sp.gov.br/hidrantes/03individual/15070.html","15070")</f>
      </c>
      <c r="B2294" t="s">
        <v>454</v>
      </c>
      <c r="C2294" t="s">
        <v>465</v>
      </c>
      <c r="D2294" t="s">
        <v>7478</v>
      </c>
      <c r="E2294" t="s">
        <v>64</v>
      </c>
      <c r="F2294" t="s">
        <v>7491</v>
      </c>
      <c r="G2294" t="s">
        <v>18053</v>
      </c>
      <c r="H2294" t="s">
        <v>1112</v>
      </c>
      <c r="I2294" t="s">
        <v>1108</v>
      </c>
      <c r="J2294" t="s">
        <v>17634</v>
      </c>
      <c r="K2294" t="s">
        <v>17635</v>
      </c>
      <c r="L2294" t="s">
        <v>21</v>
      </c>
      <c r="M2294" t="s">
        <v>19177</v>
      </c>
      <c r="N2294" t="s">
        <v>478</v>
      </c>
      <c r="O2294" t="s">
        <v>478</v>
      </c>
      <c r="P2294" t="s">
        <v>454</v>
      </c>
    </row>
    <row r="2295">
      <c r="A2295">
        <f>HYPERLINK("http://bombeiros.sp.gov.br/hidrantes/03individual/940.html","940")</f>
      </c>
      <c r="B2295" t="s">
        <v>454</v>
      </c>
      <c r="C2295" t="s">
        <v>465</v>
      </c>
      <c r="D2295" t="s">
        <v>7478</v>
      </c>
      <c r="E2295" t="s">
        <v>15</v>
      </c>
      <c r="F2295" t="s">
        <v>7494</v>
      </c>
      <c r="G2295" t="s">
        <v>18152</v>
      </c>
      <c r="H2295" t="s">
        <v>1174</v>
      </c>
      <c r="I2295" t="s">
        <v>1117</v>
      </c>
      <c r="J2295" t="s">
        <v>7495</v>
      </c>
      <c r="K2295" t="s">
        <v>7496</v>
      </c>
      <c r="L2295" t="s">
        <v>21</v>
      </c>
      <c r="M2295" t="s">
        <v>19177</v>
      </c>
      <c r="N2295" t="s">
        <v>478</v>
      </c>
      <c r="O2295" t="s">
        <v>478</v>
      </c>
      <c r="P2295" t="s">
        <v>454</v>
      </c>
    </row>
    <row r="2296">
      <c r="A2296">
        <f>HYPERLINK("http://bombeiros.sp.gov.br/hidrantes/03individual/1281.html","1281")</f>
      </c>
      <c r="B2296" t="s">
        <v>454</v>
      </c>
      <c r="C2296" t="s">
        <v>465</v>
      </c>
      <c r="D2296" t="s">
        <v>7478</v>
      </c>
      <c r="E2296" t="s">
        <v>15</v>
      </c>
      <c r="F2296" t="s">
        <v>7497</v>
      </c>
      <c r="G2296" t="s">
        <v>18119</v>
      </c>
      <c r="H2296" t="s">
        <v>1107</v>
      </c>
      <c r="I2296" t="s">
        <v>1108</v>
      </c>
      <c r="J2296" t="s">
        <v>7498</v>
      </c>
      <c r="K2296" t="s">
        <v>7499</v>
      </c>
      <c r="L2296" t="s">
        <v>21</v>
      </c>
      <c r="M2296" t="s">
        <v>19177</v>
      </c>
      <c r="N2296" t="s">
        <v>478</v>
      </c>
      <c r="O2296" t="s">
        <v>478</v>
      </c>
      <c r="P2296" t="s">
        <v>454</v>
      </c>
    </row>
    <row r="2297">
      <c r="A2297">
        <f>HYPERLINK("http://bombeiros.sp.gov.br/hidrantes/03individual/3803.html","3803")</f>
      </c>
      <c r="B2297" t="s">
        <v>454</v>
      </c>
      <c r="C2297" t="s">
        <v>465</v>
      </c>
      <c r="D2297" t="s">
        <v>7478</v>
      </c>
      <c r="E2297" t="s">
        <v>15</v>
      </c>
      <c r="F2297" t="s">
        <v>7500</v>
      </c>
      <c r="G2297" t="s">
        <v>18173</v>
      </c>
      <c r="H2297" t="s">
        <v>1121</v>
      </c>
      <c r="I2297" t="s">
        <v>1117</v>
      </c>
      <c r="J2297" t="s">
        <v>7501</v>
      </c>
      <c r="K2297" t="s">
        <v>7502</v>
      </c>
      <c r="L2297" t="s">
        <v>21</v>
      </c>
      <c r="M2297" t="s">
        <v>19177</v>
      </c>
      <c r="N2297" t="s">
        <v>478</v>
      </c>
      <c r="O2297" t="s">
        <v>478</v>
      </c>
      <c r="P2297" t="s">
        <v>454</v>
      </c>
    </row>
    <row r="2298">
      <c r="A2298">
        <f>HYPERLINK("http://bombeiros.sp.gov.br/hidrantes/03individual/5599.html","5599")</f>
      </c>
      <c r="B2298" t="s">
        <v>454</v>
      </c>
      <c r="C2298" t="s">
        <v>469</v>
      </c>
      <c r="D2298" t="s">
        <v>469</v>
      </c>
      <c r="E2298" t="s">
        <v>64</v>
      </c>
      <c r="F2298" t="s">
        <v>7503</v>
      </c>
      <c r="G2298" t="s">
        <v>18109</v>
      </c>
      <c r="H2298" t="s">
        <v>1112</v>
      </c>
      <c r="I2298" t="s">
        <v>1108</v>
      </c>
      <c r="J2298" t="s">
        <v>7504</v>
      </c>
      <c r="K2298" t="s">
        <v>7505</v>
      </c>
      <c r="L2298" t="s">
        <v>21</v>
      </c>
      <c r="M2298" t="s">
        <v>19177</v>
      </c>
      <c r="N2298" t="s">
        <v>478</v>
      </c>
      <c r="O2298" t="s">
        <v>478</v>
      </c>
      <c r="P2298" t="s">
        <v>454</v>
      </c>
    </row>
    <row r="2299">
      <c r="A2299">
        <f>HYPERLINK("http://bombeiros.sp.gov.br/hidrantes/03individual/750.html","750")</f>
      </c>
      <c r="B2299" t="s">
        <v>454</v>
      </c>
      <c r="C2299" t="s">
        <v>469</v>
      </c>
      <c r="D2299" t="s">
        <v>469</v>
      </c>
      <c r="E2299" t="s">
        <v>15</v>
      </c>
      <c r="F2299" t="s">
        <v>7506</v>
      </c>
      <c r="G2299" t="s">
        <v>18198</v>
      </c>
      <c r="H2299" t="s">
        <v>1112</v>
      </c>
      <c r="I2299" t="s">
        <v>1108</v>
      </c>
      <c r="J2299" t="s">
        <v>7507</v>
      </c>
      <c r="K2299" t="s">
        <v>7508</v>
      </c>
      <c r="L2299" t="s">
        <v>21</v>
      </c>
      <c r="M2299" t="s">
        <v>19177</v>
      </c>
      <c r="N2299" t="s">
        <v>531</v>
      </c>
      <c r="O2299" t="s">
        <v>531</v>
      </c>
      <c r="P2299" t="s">
        <v>454</v>
      </c>
    </row>
    <row r="2300">
      <c r="A2300">
        <f>HYPERLINK("http://bombeiros.sp.gov.br/hidrantes/03individual/916.html","916")</f>
      </c>
      <c r="B2300" t="s">
        <v>454</v>
      </c>
      <c r="C2300" t="s">
        <v>469</v>
      </c>
      <c r="D2300" t="s">
        <v>469</v>
      </c>
      <c r="E2300" t="s">
        <v>15</v>
      </c>
      <c r="F2300" t="s">
        <v>7509</v>
      </c>
      <c r="G2300" t="s">
        <v>18093</v>
      </c>
      <c r="H2300" t="s">
        <v>1121</v>
      </c>
      <c r="I2300" t="s">
        <v>1117</v>
      </c>
      <c r="J2300" t="s">
        <v>7510</v>
      </c>
      <c r="K2300" t="s">
        <v>7511</v>
      </c>
      <c r="L2300" t="s">
        <v>21</v>
      </c>
      <c r="M2300" t="s">
        <v>19177</v>
      </c>
      <c r="N2300" t="s">
        <v>531</v>
      </c>
      <c r="O2300" t="s">
        <v>531</v>
      </c>
      <c r="P2300" t="s">
        <v>454</v>
      </c>
    </row>
    <row r="2301">
      <c r="A2301">
        <f>HYPERLINK("http://bombeiros.sp.gov.br/hidrantes/03individual/947.html","947")</f>
      </c>
      <c r="B2301" t="s">
        <v>454</v>
      </c>
      <c r="C2301" t="s">
        <v>469</v>
      </c>
      <c r="D2301" t="s">
        <v>469</v>
      </c>
      <c r="E2301" t="s">
        <v>15</v>
      </c>
      <c r="F2301" t="s">
        <v>7512</v>
      </c>
      <c r="G2301" t="s">
        <v>18180</v>
      </c>
      <c r="H2301" t="s">
        <v>1174</v>
      </c>
      <c r="I2301" t="s">
        <v>1117</v>
      </c>
      <c r="J2301" t="s">
        <v>7513</v>
      </c>
      <c r="K2301" t="s">
        <v>7514</v>
      </c>
      <c r="L2301" t="s">
        <v>21</v>
      </c>
      <c r="M2301" t="s">
        <v>19177</v>
      </c>
      <c r="N2301" t="s">
        <v>478</v>
      </c>
      <c r="O2301" t="s">
        <v>478</v>
      </c>
      <c r="P2301" t="s">
        <v>454</v>
      </c>
    </row>
    <row r="2302">
      <c r="A2302">
        <f>HYPERLINK("http://bombeiros.sp.gov.br/hidrantes/03individual/1064.html","1064")</f>
      </c>
      <c r="B2302" t="s">
        <v>454</v>
      </c>
      <c r="C2302" t="s">
        <v>469</v>
      </c>
      <c r="D2302" t="s">
        <v>469</v>
      </c>
      <c r="E2302" t="s">
        <v>15</v>
      </c>
      <c r="F2302" t="s">
        <v>7515</v>
      </c>
      <c r="G2302" t="s">
        <v>18109</v>
      </c>
      <c r="H2302" t="s">
        <v>1107</v>
      </c>
      <c r="I2302" t="s">
        <v>1108</v>
      </c>
      <c r="J2302" t="s">
        <v>7516</v>
      </c>
      <c r="K2302" t="s">
        <v>7517</v>
      </c>
      <c r="L2302" t="s">
        <v>21</v>
      </c>
      <c r="M2302" t="s">
        <v>19177</v>
      </c>
      <c r="N2302" t="s">
        <v>531</v>
      </c>
      <c r="O2302" t="s">
        <v>531</v>
      </c>
      <c r="P2302" t="s">
        <v>454</v>
      </c>
    </row>
    <row r="2303">
      <c r="A2303">
        <f>HYPERLINK("http://bombeiros.sp.gov.br/hidrantes/03individual/1105.html","1105")</f>
      </c>
      <c r="B2303" t="s">
        <v>454</v>
      </c>
      <c r="C2303" t="s">
        <v>469</v>
      </c>
      <c r="D2303" t="s">
        <v>469</v>
      </c>
      <c r="E2303" t="s">
        <v>15</v>
      </c>
      <c r="F2303" t="s">
        <v>7518</v>
      </c>
      <c r="G2303" t="s">
        <v>18256</v>
      </c>
      <c r="H2303" t="s">
        <v>1121</v>
      </c>
      <c r="I2303" t="s">
        <v>1117</v>
      </c>
      <c r="J2303" t="s">
        <v>7519</v>
      </c>
      <c r="K2303" t="s">
        <v>7520</v>
      </c>
      <c r="L2303" t="s">
        <v>21</v>
      </c>
      <c r="M2303" t="s">
        <v>19177</v>
      </c>
      <c r="N2303" t="s">
        <v>531</v>
      </c>
      <c r="O2303" t="s">
        <v>531</v>
      </c>
      <c r="P2303" t="s">
        <v>454</v>
      </c>
    </row>
    <row r="2304">
      <c r="A2304">
        <f>HYPERLINK("http://bombeiros.sp.gov.br/hidrantes/03individual/1121.html","1121")</f>
      </c>
      <c r="B2304" t="s">
        <v>454</v>
      </c>
      <c r="C2304" t="s">
        <v>469</v>
      </c>
      <c r="D2304" t="s">
        <v>469</v>
      </c>
      <c r="E2304" t="s">
        <v>15</v>
      </c>
      <c r="F2304" t="s">
        <v>7521</v>
      </c>
      <c r="G2304" t="s">
        <v>18068</v>
      </c>
      <c r="H2304" t="s">
        <v>1112</v>
      </c>
      <c r="I2304" t="s">
        <v>1108</v>
      </c>
      <c r="J2304" t="s">
        <v>7522</v>
      </c>
      <c r="K2304" t="s">
        <v>7523</v>
      </c>
      <c r="L2304" t="s">
        <v>21</v>
      </c>
      <c r="M2304" t="s">
        <v>19177</v>
      </c>
      <c r="N2304" t="s">
        <v>478</v>
      </c>
      <c r="O2304" t="s">
        <v>478</v>
      </c>
      <c r="P2304" t="s">
        <v>454</v>
      </c>
    </row>
    <row r="2305">
      <c r="A2305">
        <f>HYPERLINK("http://bombeiros.sp.gov.br/hidrantes/03individual/1132.html","1132")</f>
      </c>
      <c r="B2305" t="s">
        <v>454</v>
      </c>
      <c r="C2305" t="s">
        <v>469</v>
      </c>
      <c r="D2305" t="s">
        <v>469</v>
      </c>
      <c r="E2305" t="s">
        <v>15</v>
      </c>
      <c r="F2305" t="s">
        <v>7524</v>
      </c>
      <c r="G2305" t="s">
        <v>18111</v>
      </c>
      <c r="H2305" t="s">
        <v>1174</v>
      </c>
      <c r="I2305" t="s">
        <v>1108</v>
      </c>
      <c r="J2305" t="s">
        <v>7525</v>
      </c>
      <c r="K2305" t="s">
        <v>7526</v>
      </c>
      <c r="L2305" t="s">
        <v>21</v>
      </c>
      <c r="M2305" t="s">
        <v>19177</v>
      </c>
      <c r="N2305" t="s">
        <v>478</v>
      </c>
      <c r="O2305" t="s">
        <v>478</v>
      </c>
      <c r="P2305" t="s">
        <v>454</v>
      </c>
    </row>
    <row r="2306">
      <c r="A2306">
        <f>HYPERLINK("http://bombeiros.sp.gov.br/hidrantes/03individual/1151.html","1151")</f>
      </c>
      <c r="B2306" t="s">
        <v>454</v>
      </c>
      <c r="C2306" t="s">
        <v>469</v>
      </c>
      <c r="D2306" t="s">
        <v>469</v>
      </c>
      <c r="E2306" t="s">
        <v>15</v>
      </c>
      <c r="F2306" t="s">
        <v>7527</v>
      </c>
      <c r="G2306" t="s">
        <v>18109</v>
      </c>
      <c r="H2306" t="s">
        <v>1121</v>
      </c>
      <c r="I2306" t="s">
        <v>1117</v>
      </c>
      <c r="J2306" t="s">
        <v>7528</v>
      </c>
      <c r="K2306" t="s">
        <v>7529</v>
      </c>
      <c r="L2306" t="s">
        <v>21</v>
      </c>
      <c r="M2306" t="s">
        <v>19177</v>
      </c>
      <c r="N2306" t="s">
        <v>478</v>
      </c>
      <c r="O2306" t="s">
        <v>478</v>
      </c>
      <c r="P2306" t="s">
        <v>454</v>
      </c>
    </row>
    <row r="2307">
      <c r="A2307">
        <f>HYPERLINK("http://bombeiros.sp.gov.br/hidrantes/03individual/1194.html","1194")</f>
      </c>
      <c r="B2307" t="s">
        <v>454</v>
      </c>
      <c r="C2307" t="s">
        <v>469</v>
      </c>
      <c r="D2307" t="s">
        <v>469</v>
      </c>
      <c r="E2307" t="s">
        <v>15</v>
      </c>
      <c r="F2307" t="s">
        <v>7530</v>
      </c>
      <c r="G2307" t="s">
        <v>18256</v>
      </c>
      <c r="H2307" t="s">
        <v>1174</v>
      </c>
      <c r="I2307" t="s">
        <v>1117</v>
      </c>
      <c r="J2307" t="s">
        <v>7531</v>
      </c>
      <c r="K2307" t="s">
        <v>7532</v>
      </c>
      <c r="L2307" t="s">
        <v>21</v>
      </c>
      <c r="M2307" t="s">
        <v>19177</v>
      </c>
      <c r="N2307" t="s">
        <v>531</v>
      </c>
      <c r="O2307" t="s">
        <v>531</v>
      </c>
      <c r="P2307" t="s">
        <v>454</v>
      </c>
    </row>
    <row r="2308">
      <c r="A2308">
        <f>HYPERLINK("http://bombeiros.sp.gov.br/hidrantes/03individual/1196.html","1196")</f>
      </c>
      <c r="B2308" t="s">
        <v>454</v>
      </c>
      <c r="C2308" t="s">
        <v>469</v>
      </c>
      <c r="D2308" t="s">
        <v>469</v>
      </c>
      <c r="E2308" t="s">
        <v>15</v>
      </c>
      <c r="F2308" t="s">
        <v>7533</v>
      </c>
      <c r="G2308" t="s">
        <v>18108</v>
      </c>
      <c r="H2308" t="s">
        <v>1121</v>
      </c>
      <c r="I2308" t="s">
        <v>1117</v>
      </c>
      <c r="J2308" t="s">
        <v>7534</v>
      </c>
      <c r="K2308" t="s">
        <v>7535</v>
      </c>
      <c r="L2308" t="s">
        <v>21</v>
      </c>
      <c r="M2308" t="s">
        <v>19177</v>
      </c>
      <c r="N2308" t="s">
        <v>478</v>
      </c>
      <c r="O2308" t="s">
        <v>478</v>
      </c>
      <c r="P2308" t="s">
        <v>454</v>
      </c>
    </row>
    <row r="2309">
      <c r="A2309">
        <f>HYPERLINK("http://bombeiros.sp.gov.br/hidrantes/03individual/1197.html","1197")</f>
      </c>
      <c r="B2309" t="s">
        <v>454</v>
      </c>
      <c r="C2309" t="s">
        <v>469</v>
      </c>
      <c r="D2309" t="s">
        <v>469</v>
      </c>
      <c r="E2309" t="s">
        <v>15</v>
      </c>
      <c r="F2309" t="s">
        <v>7536</v>
      </c>
      <c r="G2309" t="s">
        <v>18109</v>
      </c>
      <c r="H2309" t="s">
        <v>1121</v>
      </c>
      <c r="I2309" t="s">
        <v>1117</v>
      </c>
      <c r="J2309" t="s">
        <v>7537</v>
      </c>
      <c r="K2309" t="s">
        <v>7538</v>
      </c>
      <c r="L2309" t="s">
        <v>21</v>
      </c>
      <c r="M2309" t="s">
        <v>19177</v>
      </c>
      <c r="N2309" t="s">
        <v>531</v>
      </c>
      <c r="O2309" t="s">
        <v>531</v>
      </c>
      <c r="P2309" t="s">
        <v>454</v>
      </c>
    </row>
    <row r="2310">
      <c r="A2310">
        <f>HYPERLINK("http://bombeiros.sp.gov.br/hidrantes/03individual/1292.html","1292")</f>
      </c>
      <c r="B2310" t="s">
        <v>454</v>
      </c>
      <c r="C2310" t="s">
        <v>469</v>
      </c>
      <c r="D2310" t="s">
        <v>469</v>
      </c>
      <c r="E2310" t="s">
        <v>15</v>
      </c>
      <c r="F2310" t="s">
        <v>7539</v>
      </c>
      <c r="G2310" t="s">
        <v>18116</v>
      </c>
      <c r="H2310" t="s">
        <v>1174</v>
      </c>
      <c r="I2310" t="s">
        <v>1117</v>
      </c>
      <c r="J2310" t="s">
        <v>7540</v>
      </c>
      <c r="K2310" t="s">
        <v>7541</v>
      </c>
      <c r="L2310" t="s">
        <v>21</v>
      </c>
      <c r="M2310" t="s">
        <v>19177</v>
      </c>
      <c r="N2310" t="s">
        <v>478</v>
      </c>
      <c r="O2310" t="s">
        <v>478</v>
      </c>
      <c r="P2310" t="s">
        <v>454</v>
      </c>
    </row>
    <row r="2311">
      <c r="A2311">
        <f>HYPERLINK("http://bombeiros.sp.gov.br/hidrantes/03individual/1293.html","1293")</f>
      </c>
      <c r="B2311" t="s">
        <v>454</v>
      </c>
      <c r="C2311" t="s">
        <v>469</v>
      </c>
      <c r="D2311" t="s">
        <v>469</v>
      </c>
      <c r="E2311" t="s">
        <v>15</v>
      </c>
      <c r="F2311" t="s">
        <v>7542</v>
      </c>
      <c r="G2311" t="s">
        <v>18109</v>
      </c>
      <c r="H2311" t="s">
        <v>1174</v>
      </c>
      <c r="I2311" t="s">
        <v>1108</v>
      </c>
      <c r="J2311" t="s">
        <v>7543</v>
      </c>
      <c r="K2311" t="s">
        <v>7544</v>
      </c>
      <c r="L2311" t="s">
        <v>21</v>
      </c>
      <c r="M2311" t="s">
        <v>19177</v>
      </c>
      <c r="N2311" t="s">
        <v>531</v>
      </c>
      <c r="O2311" t="s">
        <v>531</v>
      </c>
      <c r="P2311" t="s">
        <v>454</v>
      </c>
    </row>
    <row r="2312">
      <c r="A2312">
        <f>HYPERLINK("http://bombeiros.sp.gov.br/hidrantes/03individual/1889.html","1889")</f>
      </c>
      <c r="B2312" t="s">
        <v>454</v>
      </c>
      <c r="C2312" t="s">
        <v>469</v>
      </c>
      <c r="D2312" t="s">
        <v>469</v>
      </c>
      <c r="E2312" t="s">
        <v>15</v>
      </c>
      <c r="F2312" t="s">
        <v>7545</v>
      </c>
      <c r="G2312" t="s">
        <v>18109</v>
      </c>
      <c r="H2312" t="s">
        <v>1107</v>
      </c>
      <c r="I2312" t="s">
        <v>1108</v>
      </c>
      <c r="J2312" t="s">
        <v>17671</v>
      </c>
      <c r="K2312" t="s">
        <v>17672</v>
      </c>
      <c r="L2312" t="s">
        <v>21</v>
      </c>
      <c r="M2312" t="s">
        <v>19177</v>
      </c>
      <c r="N2312" t="s">
        <v>478</v>
      </c>
      <c r="O2312" t="s">
        <v>478</v>
      </c>
      <c r="P2312" t="s">
        <v>454</v>
      </c>
    </row>
    <row r="2313">
      <c r="A2313">
        <f>HYPERLINK("http://bombeiros.sp.gov.br/hidrantes/03individual/1915.html","1915")</f>
      </c>
      <c r="B2313" t="s">
        <v>454</v>
      </c>
      <c r="C2313" t="s">
        <v>469</v>
      </c>
      <c r="D2313" t="s">
        <v>469</v>
      </c>
      <c r="E2313" t="s">
        <v>15</v>
      </c>
      <c r="F2313" t="s">
        <v>7548</v>
      </c>
      <c r="G2313" t="s">
        <v>18180</v>
      </c>
      <c r="H2313" t="s">
        <v>1174</v>
      </c>
      <c r="I2313" t="s">
        <v>1117</v>
      </c>
      <c r="J2313" t="s">
        <v>7549</v>
      </c>
      <c r="K2313" t="s">
        <v>7550</v>
      </c>
      <c r="L2313" t="s">
        <v>21</v>
      </c>
      <c r="M2313" t="s">
        <v>19177</v>
      </c>
      <c r="N2313" t="s">
        <v>478</v>
      </c>
      <c r="O2313" t="s">
        <v>478</v>
      </c>
      <c r="P2313" t="s">
        <v>454</v>
      </c>
    </row>
    <row r="2314">
      <c r="A2314">
        <f>HYPERLINK("http://bombeiros.sp.gov.br/hidrantes/03individual/2117.html","2117")</f>
      </c>
      <c r="B2314" t="s">
        <v>454</v>
      </c>
      <c r="C2314" t="s">
        <v>469</v>
      </c>
      <c r="D2314" t="s">
        <v>469</v>
      </c>
      <c r="E2314" t="s">
        <v>15</v>
      </c>
      <c r="F2314" t="s">
        <v>7551</v>
      </c>
      <c r="G2314" t="s">
        <v>18051</v>
      </c>
      <c r="H2314" t="s">
        <v>1107</v>
      </c>
      <c r="I2314" t="s">
        <v>1108</v>
      </c>
      <c r="J2314" t="s">
        <v>7552</v>
      </c>
      <c r="K2314" t="s">
        <v>7553</v>
      </c>
      <c r="L2314" t="s">
        <v>21</v>
      </c>
      <c r="M2314" t="s">
        <v>19177</v>
      </c>
      <c r="N2314" t="s">
        <v>531</v>
      </c>
      <c r="O2314" t="s">
        <v>531</v>
      </c>
      <c r="P2314" t="s">
        <v>454</v>
      </c>
    </row>
    <row r="2315">
      <c r="A2315">
        <f>HYPERLINK("http://bombeiros.sp.gov.br/hidrantes/03individual/2168.html","2168")</f>
      </c>
      <c r="B2315" t="s">
        <v>454</v>
      </c>
      <c r="C2315" t="s">
        <v>469</v>
      </c>
      <c r="D2315" t="s">
        <v>469</v>
      </c>
      <c r="E2315" t="s">
        <v>15</v>
      </c>
      <c r="F2315" t="s">
        <v>7554</v>
      </c>
      <c r="G2315" t="s">
        <v>18068</v>
      </c>
      <c r="H2315" t="s">
        <v>1107</v>
      </c>
      <c r="I2315" t="s">
        <v>1108</v>
      </c>
      <c r="J2315" t="s">
        <v>7555</v>
      </c>
      <c r="K2315" t="s">
        <v>7556</v>
      </c>
      <c r="L2315" t="s">
        <v>21</v>
      </c>
      <c r="M2315" t="s">
        <v>19177</v>
      </c>
      <c r="N2315" t="s">
        <v>531</v>
      </c>
      <c r="O2315" t="s">
        <v>531</v>
      </c>
      <c r="P2315" t="s">
        <v>454</v>
      </c>
    </row>
    <row r="2316">
      <c r="A2316">
        <f>HYPERLINK("http://bombeiros.sp.gov.br/hidrantes/03individual/17657.html","17657")</f>
      </c>
      <c r="B2316" t="s">
        <v>454</v>
      </c>
      <c r="C2316" t="s">
        <v>469</v>
      </c>
      <c r="D2316" t="s">
        <v>469</v>
      </c>
      <c r="E2316" t="s">
        <v>15</v>
      </c>
      <c r="F2316" t="s">
        <v>7557</v>
      </c>
      <c r="G2316" t="s">
        <v>18068</v>
      </c>
      <c r="H2316" t="s">
        <v>1121</v>
      </c>
      <c r="I2316" t="s">
        <v>1117</v>
      </c>
      <c r="J2316" t="s">
        <v>7558</v>
      </c>
      <c r="K2316" t="s">
        <v>7559</v>
      </c>
      <c r="L2316" t="s">
        <v>21</v>
      </c>
      <c r="M2316" t="s">
        <v>19177</v>
      </c>
      <c r="N2316" t="s">
        <v>531</v>
      </c>
      <c r="O2316" t="s">
        <v>531</v>
      </c>
      <c r="P2316" t="s">
        <v>454</v>
      </c>
    </row>
    <row r="2317">
      <c r="A2317">
        <f>HYPERLINK("http://bombeiros.sp.gov.br/hidrantes/03individual/17658.html","17658")</f>
      </c>
      <c r="B2317" t="s">
        <v>454</v>
      </c>
      <c r="C2317" t="s">
        <v>469</v>
      </c>
      <c r="D2317" t="s">
        <v>469</v>
      </c>
      <c r="E2317" t="s">
        <v>15</v>
      </c>
      <c r="F2317" t="s">
        <v>7560</v>
      </c>
      <c r="G2317" t="s">
        <v>18256</v>
      </c>
      <c r="H2317" t="s">
        <v>1121</v>
      </c>
      <c r="I2317" t="s">
        <v>1117</v>
      </c>
      <c r="J2317" t="s">
        <v>7561</v>
      </c>
      <c r="K2317" t="s">
        <v>7562</v>
      </c>
      <c r="L2317" t="s">
        <v>21</v>
      </c>
      <c r="M2317" t="s">
        <v>19177</v>
      </c>
      <c r="N2317" t="s">
        <v>531</v>
      </c>
      <c r="O2317" t="s">
        <v>531</v>
      </c>
      <c r="P2317" t="s">
        <v>454</v>
      </c>
    </row>
    <row r="2318">
      <c r="A2318">
        <f>HYPERLINK("http://bombeiros.sp.gov.br/hidrantes/03individual/27154.html","27154")</f>
      </c>
      <c r="B2318" t="s">
        <v>454</v>
      </c>
      <c r="C2318" t="s">
        <v>469</v>
      </c>
      <c r="D2318" t="s">
        <v>469</v>
      </c>
      <c r="E2318" t="s">
        <v>15</v>
      </c>
      <c r="F2318" t="s">
        <v>18814</v>
      </c>
      <c r="G2318" t="s">
        <v>18091</v>
      </c>
      <c r="H2318" t="s">
        <v>1174</v>
      </c>
      <c r="I2318" t="s">
        <v>1117</v>
      </c>
      <c r="J2318" t="s">
        <v>16859</v>
      </c>
      <c r="K2318" t="s">
        <v>16860</v>
      </c>
      <c r="L2318" t="s">
        <v>21</v>
      </c>
      <c r="M2318" t="s">
        <v>19177</v>
      </c>
      <c r="N2318" t="s">
        <v>478</v>
      </c>
      <c r="O2318" t="s">
        <v>478</v>
      </c>
      <c r="P2318" t="s">
        <v>454</v>
      </c>
    </row>
    <row r="2319">
      <c r="A2319">
        <f>HYPERLINK("http://bombeiros.sp.gov.br/hidrantes/03individual/27155.html","27155")</f>
      </c>
      <c r="B2319" t="s">
        <v>454</v>
      </c>
      <c r="C2319" t="s">
        <v>469</v>
      </c>
      <c r="D2319" t="s">
        <v>469</v>
      </c>
      <c r="E2319" t="s">
        <v>15</v>
      </c>
      <c r="F2319" t="s">
        <v>16861</v>
      </c>
      <c r="G2319" t="s">
        <v>18068</v>
      </c>
      <c r="H2319" t="s">
        <v>1107</v>
      </c>
      <c r="I2319" t="s">
        <v>1108</v>
      </c>
      <c r="J2319" t="s">
        <v>16862</v>
      </c>
      <c r="K2319" t="s">
        <v>16863</v>
      </c>
      <c r="L2319" t="s">
        <v>21</v>
      </c>
      <c r="M2319" t="s">
        <v>19177</v>
      </c>
      <c r="N2319" t="s">
        <v>478</v>
      </c>
      <c r="O2319" t="s">
        <v>478</v>
      </c>
      <c r="P2319" t="s">
        <v>454</v>
      </c>
    </row>
    <row r="2320">
      <c r="A2320">
        <f>HYPERLINK("http://bombeiros.sp.gov.br/hidrantes/03individual/745.html","745")</f>
      </c>
      <c r="B2320" t="s">
        <v>454</v>
      </c>
      <c r="C2320" t="s">
        <v>469</v>
      </c>
      <c r="D2320" t="s">
        <v>473</v>
      </c>
      <c r="E2320" t="s">
        <v>64</v>
      </c>
      <c r="F2320" t="s">
        <v>7566</v>
      </c>
      <c r="G2320" t="s">
        <v>18200</v>
      </c>
      <c r="H2320" t="s">
        <v>1121</v>
      </c>
      <c r="I2320" t="s">
        <v>1117</v>
      </c>
      <c r="J2320" t="s">
        <v>7567</v>
      </c>
      <c r="K2320" t="s">
        <v>7568</v>
      </c>
      <c r="L2320" t="s">
        <v>21</v>
      </c>
      <c r="M2320" t="s">
        <v>19177</v>
      </c>
      <c r="N2320" t="s">
        <v>531</v>
      </c>
      <c r="O2320" t="s">
        <v>531</v>
      </c>
      <c r="P2320" t="s">
        <v>454</v>
      </c>
    </row>
    <row r="2321">
      <c r="A2321">
        <f>HYPERLINK("http://bombeiros.sp.gov.br/hidrantes/03individual/2195.html","2195")</f>
      </c>
      <c r="B2321" t="s">
        <v>454</v>
      </c>
      <c r="C2321" t="s">
        <v>469</v>
      </c>
      <c r="D2321" t="s">
        <v>473</v>
      </c>
      <c r="E2321" t="s">
        <v>64</v>
      </c>
      <c r="F2321" t="s">
        <v>474</v>
      </c>
      <c r="G2321" t="s">
        <v>18198</v>
      </c>
      <c r="H2321" t="s">
        <v>1112</v>
      </c>
      <c r="I2321" t="s">
        <v>1108</v>
      </c>
      <c r="J2321" t="s">
        <v>476</v>
      </c>
      <c r="K2321" t="s">
        <v>477</v>
      </c>
      <c r="L2321" t="s">
        <v>36</v>
      </c>
      <c r="M2321" t="s">
        <v>19177</v>
      </c>
      <c r="N2321" t="s">
        <v>531</v>
      </c>
      <c r="O2321" t="s">
        <v>531</v>
      </c>
      <c r="P2321" t="s">
        <v>454</v>
      </c>
    </row>
    <row r="2322">
      <c r="A2322">
        <f>HYPERLINK("http://bombeiros.sp.gov.br/hidrantes/03individual/3569.html","3569")</f>
      </c>
      <c r="B2322" t="s">
        <v>454</v>
      </c>
      <c r="C2322" t="s">
        <v>469</v>
      </c>
      <c r="D2322" t="s">
        <v>473</v>
      </c>
      <c r="E2322" t="s">
        <v>64</v>
      </c>
      <c r="F2322" t="s">
        <v>7569</v>
      </c>
      <c r="G2322" t="s">
        <v>18144</v>
      </c>
      <c r="H2322" t="s">
        <v>1107</v>
      </c>
      <c r="I2322" t="s">
        <v>1108</v>
      </c>
      <c r="J2322" t="s">
        <v>7570</v>
      </c>
      <c r="K2322" t="s">
        <v>7571</v>
      </c>
      <c r="L2322" t="s">
        <v>21</v>
      </c>
      <c r="M2322" t="s">
        <v>19177</v>
      </c>
      <c r="N2322" t="s">
        <v>531</v>
      </c>
      <c r="O2322" t="s">
        <v>531</v>
      </c>
      <c r="P2322" t="s">
        <v>454</v>
      </c>
    </row>
    <row r="2323">
      <c r="A2323">
        <f>HYPERLINK("http://bombeiros.sp.gov.br/hidrantes/03individual/951.html","951")</f>
      </c>
      <c r="B2323" t="s">
        <v>454</v>
      </c>
      <c r="C2323" t="s">
        <v>469</v>
      </c>
      <c r="D2323" t="s">
        <v>473</v>
      </c>
      <c r="E2323" t="s">
        <v>15</v>
      </c>
      <c r="F2323" t="s">
        <v>7572</v>
      </c>
      <c r="G2323" t="s">
        <v>18068</v>
      </c>
      <c r="H2323" t="s">
        <v>1112</v>
      </c>
      <c r="I2323" t="s">
        <v>1108</v>
      </c>
      <c r="J2323" t="s">
        <v>7573</v>
      </c>
      <c r="K2323" t="s">
        <v>7574</v>
      </c>
      <c r="L2323" t="s">
        <v>21</v>
      </c>
      <c r="M2323" t="s">
        <v>19177</v>
      </c>
      <c r="N2323" t="s">
        <v>478</v>
      </c>
      <c r="O2323" t="s">
        <v>478</v>
      </c>
      <c r="P2323" t="s">
        <v>454</v>
      </c>
    </row>
    <row r="2324">
      <c r="A2324">
        <f>HYPERLINK("http://bombeiros.sp.gov.br/hidrantes/03individual/991.html","991")</f>
      </c>
      <c r="B2324" t="s">
        <v>454</v>
      </c>
      <c r="C2324" t="s">
        <v>469</v>
      </c>
      <c r="D2324" t="s">
        <v>473</v>
      </c>
      <c r="E2324" t="s">
        <v>15</v>
      </c>
      <c r="F2324" t="s">
        <v>7575</v>
      </c>
      <c r="G2324" t="s">
        <v>18180</v>
      </c>
      <c r="H2324" t="s">
        <v>1174</v>
      </c>
      <c r="I2324" t="s">
        <v>1117</v>
      </c>
      <c r="J2324" t="s">
        <v>7576</v>
      </c>
      <c r="K2324" t="s">
        <v>7577</v>
      </c>
      <c r="L2324" t="s">
        <v>21</v>
      </c>
      <c r="M2324" t="s">
        <v>19177</v>
      </c>
      <c r="N2324" t="s">
        <v>478</v>
      </c>
      <c r="O2324" t="s">
        <v>478</v>
      </c>
      <c r="P2324" t="s">
        <v>454</v>
      </c>
    </row>
    <row r="2325">
      <c r="A2325">
        <f>HYPERLINK("http://bombeiros.sp.gov.br/hidrantes/03individual/1108.html","1108")</f>
      </c>
      <c r="B2325" t="s">
        <v>454</v>
      </c>
      <c r="C2325" t="s">
        <v>469</v>
      </c>
      <c r="D2325" t="s">
        <v>473</v>
      </c>
      <c r="E2325" t="s">
        <v>15</v>
      </c>
      <c r="F2325" t="s">
        <v>7578</v>
      </c>
      <c r="G2325" t="s">
        <v>18116</v>
      </c>
      <c r="H2325" t="s">
        <v>1174</v>
      </c>
      <c r="I2325" t="s">
        <v>1117</v>
      </c>
      <c r="J2325" t="s">
        <v>7579</v>
      </c>
      <c r="K2325" t="s">
        <v>7580</v>
      </c>
      <c r="L2325" t="s">
        <v>21</v>
      </c>
      <c r="M2325" t="s">
        <v>19177</v>
      </c>
      <c r="N2325" t="s">
        <v>478</v>
      </c>
      <c r="O2325" t="s">
        <v>478</v>
      </c>
      <c r="P2325" t="s">
        <v>454</v>
      </c>
    </row>
    <row r="2326">
      <c r="A2326">
        <f>HYPERLINK("http://bombeiros.sp.gov.br/hidrantes/03individual/1190.html","1190")</f>
      </c>
      <c r="B2326" t="s">
        <v>454</v>
      </c>
      <c r="C2326" t="s">
        <v>469</v>
      </c>
      <c r="D2326" t="s">
        <v>473</v>
      </c>
      <c r="E2326" t="s">
        <v>15</v>
      </c>
      <c r="F2326" t="s">
        <v>7581</v>
      </c>
      <c r="G2326" t="s">
        <v>18068</v>
      </c>
      <c r="H2326" t="s">
        <v>1112</v>
      </c>
      <c r="I2326" t="s">
        <v>1108</v>
      </c>
      <c r="J2326" t="s">
        <v>7582</v>
      </c>
      <c r="K2326" t="s">
        <v>7583</v>
      </c>
      <c r="L2326" t="s">
        <v>21</v>
      </c>
      <c r="M2326" t="s">
        <v>19177</v>
      </c>
      <c r="N2326" t="s">
        <v>531</v>
      </c>
      <c r="O2326" t="s">
        <v>531</v>
      </c>
      <c r="P2326" t="s">
        <v>454</v>
      </c>
    </row>
    <row r="2327">
      <c r="A2327">
        <f>HYPERLINK("http://bombeiros.sp.gov.br/hidrantes/03individual/1235.html","1235")</f>
      </c>
      <c r="B2327" t="s">
        <v>454</v>
      </c>
      <c r="C2327" t="s">
        <v>469</v>
      </c>
      <c r="D2327" t="s">
        <v>473</v>
      </c>
      <c r="E2327" t="s">
        <v>15</v>
      </c>
      <c r="F2327" t="s">
        <v>7584</v>
      </c>
      <c r="G2327" t="s">
        <v>18110</v>
      </c>
      <c r="H2327" t="s">
        <v>1112</v>
      </c>
      <c r="I2327" t="s">
        <v>1108</v>
      </c>
      <c r="J2327" t="s">
        <v>7585</v>
      </c>
      <c r="K2327" t="s">
        <v>7586</v>
      </c>
      <c r="L2327" t="s">
        <v>21</v>
      </c>
      <c r="M2327" t="s">
        <v>19177</v>
      </c>
      <c r="N2327" t="s">
        <v>478</v>
      </c>
      <c r="O2327" t="s">
        <v>478</v>
      </c>
      <c r="P2327" t="s">
        <v>454</v>
      </c>
    </row>
    <row r="2328">
      <c r="A2328">
        <f>HYPERLINK("http://bombeiros.sp.gov.br/hidrantes/03individual/1244.html","1244")</f>
      </c>
      <c r="B2328" t="s">
        <v>454</v>
      </c>
      <c r="C2328" t="s">
        <v>469</v>
      </c>
      <c r="D2328" t="s">
        <v>473</v>
      </c>
      <c r="E2328" t="s">
        <v>15</v>
      </c>
      <c r="F2328" t="s">
        <v>7587</v>
      </c>
      <c r="G2328" t="s">
        <v>18256</v>
      </c>
      <c r="H2328" t="s">
        <v>1121</v>
      </c>
      <c r="I2328" t="s">
        <v>1117</v>
      </c>
      <c r="J2328" t="s">
        <v>17159</v>
      </c>
      <c r="K2328" t="s">
        <v>17160</v>
      </c>
      <c r="L2328" t="s">
        <v>21</v>
      </c>
      <c r="M2328" t="s">
        <v>19177</v>
      </c>
      <c r="N2328" t="s">
        <v>531</v>
      </c>
      <c r="O2328" t="s">
        <v>531</v>
      </c>
      <c r="P2328" t="s">
        <v>454</v>
      </c>
    </row>
    <row r="2329">
      <c r="A2329">
        <f>HYPERLINK("http://bombeiros.sp.gov.br/hidrantes/03individual/1248.html","1248")</f>
      </c>
      <c r="B2329" t="s">
        <v>454</v>
      </c>
      <c r="C2329" t="s">
        <v>469</v>
      </c>
      <c r="D2329" t="s">
        <v>473</v>
      </c>
      <c r="E2329" t="s">
        <v>15</v>
      </c>
      <c r="F2329" t="s">
        <v>7590</v>
      </c>
      <c r="G2329" t="s">
        <v>18180</v>
      </c>
      <c r="H2329" t="s">
        <v>1121</v>
      </c>
      <c r="I2329" t="s">
        <v>1117</v>
      </c>
      <c r="J2329" t="s">
        <v>7591</v>
      </c>
      <c r="K2329" t="s">
        <v>7592</v>
      </c>
      <c r="L2329" t="s">
        <v>21</v>
      </c>
      <c r="M2329" t="s">
        <v>19177</v>
      </c>
      <c r="N2329" t="s">
        <v>478</v>
      </c>
      <c r="O2329" t="s">
        <v>478</v>
      </c>
      <c r="P2329" t="s">
        <v>454</v>
      </c>
    </row>
    <row r="2330">
      <c r="A2330">
        <f>HYPERLINK("http://bombeiros.sp.gov.br/hidrantes/03individual/3572.html","3572")</f>
      </c>
      <c r="B2330" t="s">
        <v>454</v>
      </c>
      <c r="C2330" t="s">
        <v>469</v>
      </c>
      <c r="D2330" t="s">
        <v>473</v>
      </c>
      <c r="E2330" t="s">
        <v>15</v>
      </c>
      <c r="F2330" t="s">
        <v>7593</v>
      </c>
      <c r="G2330" t="s">
        <v>18144</v>
      </c>
      <c r="H2330" t="s">
        <v>1121</v>
      </c>
      <c r="I2330" t="s">
        <v>1117</v>
      </c>
      <c r="J2330" t="s">
        <v>7594</v>
      </c>
      <c r="K2330" t="s">
        <v>7595</v>
      </c>
      <c r="L2330" t="s">
        <v>21</v>
      </c>
      <c r="M2330" t="s">
        <v>19177</v>
      </c>
      <c r="N2330" t="s">
        <v>531</v>
      </c>
      <c r="O2330" t="s">
        <v>531</v>
      </c>
      <c r="P2330" t="s">
        <v>454</v>
      </c>
    </row>
    <row r="2331">
      <c r="A2331">
        <f>HYPERLINK("http://bombeiros.sp.gov.br/hidrantes/03individual/3883.html","3883")</f>
      </c>
      <c r="B2331" t="s">
        <v>454</v>
      </c>
      <c r="C2331" t="s">
        <v>469</v>
      </c>
      <c r="D2331" t="s">
        <v>473</v>
      </c>
      <c r="E2331" t="s">
        <v>15</v>
      </c>
      <c r="F2331" t="s">
        <v>7596</v>
      </c>
      <c r="G2331" t="s">
        <v>18180</v>
      </c>
      <c r="H2331" t="s">
        <v>1121</v>
      </c>
      <c r="I2331" t="s">
        <v>1117</v>
      </c>
      <c r="J2331" t="s">
        <v>7597</v>
      </c>
      <c r="K2331" t="s">
        <v>7598</v>
      </c>
      <c r="L2331" t="s">
        <v>21</v>
      </c>
      <c r="M2331" t="s">
        <v>19177</v>
      </c>
      <c r="N2331" t="s">
        <v>478</v>
      </c>
      <c r="O2331" t="s">
        <v>478</v>
      </c>
      <c r="P2331" t="s">
        <v>454</v>
      </c>
    </row>
    <row r="2332">
      <c r="A2332">
        <f>HYPERLINK("http://bombeiros.sp.gov.br/hidrantes/03individual/3885.html","3885")</f>
      </c>
      <c r="B2332" t="s">
        <v>454</v>
      </c>
      <c r="C2332" t="s">
        <v>469</v>
      </c>
      <c r="D2332" t="s">
        <v>473</v>
      </c>
      <c r="E2332" t="s">
        <v>15</v>
      </c>
      <c r="F2332" t="s">
        <v>7599</v>
      </c>
      <c r="G2332" t="s">
        <v>18211</v>
      </c>
      <c r="H2332" t="s">
        <v>1174</v>
      </c>
      <c r="I2332" t="s">
        <v>1117</v>
      </c>
      <c r="J2332" t="s">
        <v>7600</v>
      </c>
      <c r="K2332" t="s">
        <v>7601</v>
      </c>
      <c r="L2332" t="s">
        <v>21</v>
      </c>
      <c r="M2332" t="s">
        <v>19177</v>
      </c>
      <c r="N2332" t="s">
        <v>478</v>
      </c>
      <c r="O2332" t="s">
        <v>478</v>
      </c>
      <c r="P2332" t="s">
        <v>454</v>
      </c>
    </row>
    <row r="2333">
      <c r="A2333">
        <f>HYPERLINK("http://bombeiros.sp.gov.br/hidrantes/03individual/3886.html","3886")</f>
      </c>
      <c r="B2333" t="s">
        <v>454</v>
      </c>
      <c r="C2333" t="s">
        <v>469</v>
      </c>
      <c r="D2333" t="s">
        <v>473</v>
      </c>
      <c r="E2333" t="s">
        <v>15</v>
      </c>
      <c r="F2333" t="s">
        <v>7602</v>
      </c>
      <c r="G2333" t="s">
        <v>18111</v>
      </c>
      <c r="H2333" t="s">
        <v>1107</v>
      </c>
      <c r="I2333" t="s">
        <v>1108</v>
      </c>
      <c r="J2333" t="s">
        <v>7603</v>
      </c>
      <c r="K2333" t="s">
        <v>7604</v>
      </c>
      <c r="L2333" t="s">
        <v>21</v>
      </c>
      <c r="M2333" t="s">
        <v>19177</v>
      </c>
      <c r="N2333" t="s">
        <v>478</v>
      </c>
      <c r="O2333" t="s">
        <v>478</v>
      </c>
      <c r="P2333" t="s">
        <v>454</v>
      </c>
    </row>
    <row r="2334">
      <c r="A2334">
        <f>HYPERLINK("http://bombeiros.sp.gov.br/hidrantes/03individual/3888.html","3888")</f>
      </c>
      <c r="B2334" t="s">
        <v>454</v>
      </c>
      <c r="C2334" t="s">
        <v>469</v>
      </c>
      <c r="D2334" t="s">
        <v>473</v>
      </c>
      <c r="E2334" t="s">
        <v>15</v>
      </c>
      <c r="F2334" t="s">
        <v>7605</v>
      </c>
      <c r="G2334" t="s">
        <v>18110</v>
      </c>
      <c r="H2334" t="s">
        <v>1107</v>
      </c>
      <c r="I2334" t="s">
        <v>1108</v>
      </c>
      <c r="J2334" t="s">
        <v>7606</v>
      </c>
      <c r="K2334" t="s">
        <v>7607</v>
      </c>
      <c r="L2334" t="s">
        <v>21</v>
      </c>
      <c r="M2334" t="s">
        <v>19177</v>
      </c>
      <c r="N2334" t="s">
        <v>478</v>
      </c>
      <c r="O2334" t="s">
        <v>478</v>
      </c>
      <c r="P2334" t="s">
        <v>454</v>
      </c>
    </row>
    <row r="2335">
      <c r="A2335">
        <f>HYPERLINK("http://bombeiros.sp.gov.br/hidrantes/03individual/3889.html","3889")</f>
      </c>
      <c r="B2335" t="s">
        <v>454</v>
      </c>
      <c r="C2335" t="s">
        <v>469</v>
      </c>
      <c r="D2335" t="s">
        <v>473</v>
      </c>
      <c r="E2335" t="s">
        <v>15</v>
      </c>
      <c r="F2335" t="s">
        <v>7608</v>
      </c>
      <c r="G2335" t="s">
        <v>18110</v>
      </c>
      <c r="H2335" t="s">
        <v>1174</v>
      </c>
      <c r="I2335" t="s">
        <v>1108</v>
      </c>
      <c r="J2335" t="s">
        <v>7609</v>
      </c>
      <c r="K2335" t="s">
        <v>7610</v>
      </c>
      <c r="L2335" t="s">
        <v>21</v>
      </c>
      <c r="M2335" t="s">
        <v>19177</v>
      </c>
      <c r="N2335" t="s">
        <v>478</v>
      </c>
      <c r="O2335" t="s">
        <v>478</v>
      </c>
      <c r="P2335" t="s">
        <v>454</v>
      </c>
    </row>
    <row r="2336">
      <c r="A2336">
        <f>HYPERLINK("http://bombeiros.sp.gov.br/hidrantes/03individual/3924.html","3924")</f>
      </c>
      <c r="B2336" t="s">
        <v>454</v>
      </c>
      <c r="C2336" t="s">
        <v>469</v>
      </c>
      <c r="D2336" t="s">
        <v>473</v>
      </c>
      <c r="E2336" t="s">
        <v>15</v>
      </c>
      <c r="F2336" t="s">
        <v>7611</v>
      </c>
      <c r="G2336" t="s">
        <v>18307</v>
      </c>
      <c r="H2336" t="s">
        <v>1112</v>
      </c>
      <c r="I2336" t="s">
        <v>1108</v>
      </c>
      <c r="J2336" t="s">
        <v>7612</v>
      </c>
      <c r="K2336" t="s">
        <v>7613</v>
      </c>
      <c r="L2336" t="s">
        <v>21</v>
      </c>
      <c r="M2336" t="s">
        <v>19177</v>
      </c>
      <c r="N2336" t="s">
        <v>531</v>
      </c>
      <c r="O2336" t="s">
        <v>531</v>
      </c>
      <c r="P2336" t="s">
        <v>454</v>
      </c>
    </row>
    <row r="2337">
      <c r="A2337">
        <f>HYPERLINK("http://bombeiros.sp.gov.br/hidrantes/03individual/17664.html","17664")</f>
      </c>
      <c r="B2337" t="s">
        <v>454</v>
      </c>
      <c r="C2337" t="s">
        <v>469</v>
      </c>
      <c r="D2337" t="s">
        <v>473</v>
      </c>
      <c r="E2337" t="s">
        <v>15</v>
      </c>
      <c r="F2337" t="s">
        <v>7614</v>
      </c>
      <c r="G2337" t="s">
        <v>18108</v>
      </c>
      <c r="H2337" t="s">
        <v>1112</v>
      </c>
      <c r="I2337" t="s">
        <v>1108</v>
      </c>
      <c r="J2337" t="s">
        <v>7615</v>
      </c>
      <c r="K2337" t="s">
        <v>7616</v>
      </c>
      <c r="L2337" t="s">
        <v>21</v>
      </c>
      <c r="M2337" t="s">
        <v>19177</v>
      </c>
      <c r="N2337" t="s">
        <v>478</v>
      </c>
      <c r="O2337" t="s">
        <v>478</v>
      </c>
      <c r="P2337" t="s">
        <v>454</v>
      </c>
    </row>
    <row r="2338">
      <c r="A2338">
        <f>HYPERLINK("http://bombeiros.sp.gov.br/hidrantes/03individual/10048.html","10048")</f>
      </c>
      <c r="B2338" t="s">
        <v>454</v>
      </c>
      <c r="C2338" t="s">
        <v>478</v>
      </c>
      <c r="D2338" t="s">
        <v>478</v>
      </c>
      <c r="E2338" t="s">
        <v>1507</v>
      </c>
      <c r="F2338" t="s">
        <v>7617</v>
      </c>
      <c r="G2338" t="s">
        <v>18113</v>
      </c>
      <c r="H2338" t="s">
        <v>1121</v>
      </c>
      <c r="I2338" t="s">
        <v>1117</v>
      </c>
      <c r="J2338" t="s">
        <v>7618</v>
      </c>
      <c r="K2338" t="s">
        <v>7619</v>
      </c>
      <c r="L2338" t="s">
        <v>21</v>
      </c>
      <c r="M2338" t="s">
        <v>19177</v>
      </c>
      <c r="N2338" t="s">
        <v>478</v>
      </c>
      <c r="O2338" t="s">
        <v>478</v>
      </c>
      <c r="P2338" t="s">
        <v>454</v>
      </c>
    </row>
    <row r="2339">
      <c r="A2339">
        <f>HYPERLINK("http://bombeiros.sp.gov.br/hidrantes/03individual/1495.html","1495")</f>
      </c>
      <c r="B2339" t="s">
        <v>454</v>
      </c>
      <c r="C2339" t="s">
        <v>478</v>
      </c>
      <c r="D2339" t="s">
        <v>478</v>
      </c>
      <c r="E2339" t="s">
        <v>64</v>
      </c>
      <c r="F2339" t="s">
        <v>7624</v>
      </c>
      <c r="G2339" t="s">
        <v>18053</v>
      </c>
      <c r="H2339" t="s">
        <v>1112</v>
      </c>
      <c r="I2339" t="s">
        <v>1108</v>
      </c>
      <c r="J2339" t="s">
        <v>7625</v>
      </c>
      <c r="K2339" t="s">
        <v>7626</v>
      </c>
      <c r="L2339" t="s">
        <v>21</v>
      </c>
      <c r="M2339" t="s">
        <v>19177</v>
      </c>
      <c r="N2339" t="s">
        <v>478</v>
      </c>
      <c r="O2339" t="s">
        <v>478</v>
      </c>
      <c r="P2339" t="s">
        <v>454</v>
      </c>
    </row>
    <row r="2340">
      <c r="A2340">
        <f>HYPERLINK("http://bombeiros.sp.gov.br/hidrantes/03individual/3641.html","3641")</f>
      </c>
      <c r="B2340" t="s">
        <v>454</v>
      </c>
      <c r="C2340" t="s">
        <v>478</v>
      </c>
      <c r="D2340" t="s">
        <v>478</v>
      </c>
      <c r="E2340" t="s">
        <v>64</v>
      </c>
      <c r="F2340" t="s">
        <v>7627</v>
      </c>
      <c r="G2340" t="s">
        <v>18109</v>
      </c>
      <c r="H2340" t="s">
        <v>1112</v>
      </c>
      <c r="I2340" t="s">
        <v>1108</v>
      </c>
      <c r="J2340" t="s">
        <v>7628</v>
      </c>
      <c r="K2340" t="s">
        <v>7629</v>
      </c>
      <c r="L2340" t="s">
        <v>36</v>
      </c>
      <c r="M2340" t="s">
        <v>19177</v>
      </c>
      <c r="N2340" t="s">
        <v>478</v>
      </c>
      <c r="O2340" t="s">
        <v>478</v>
      </c>
      <c r="P2340" t="s">
        <v>454</v>
      </c>
    </row>
    <row r="2341">
      <c r="A2341">
        <f>HYPERLINK("http://bombeiros.sp.gov.br/hidrantes/03individual/967.html","967")</f>
      </c>
      <c r="B2341" t="s">
        <v>454</v>
      </c>
      <c r="C2341" t="s">
        <v>478</v>
      </c>
      <c r="D2341" t="s">
        <v>478</v>
      </c>
      <c r="E2341" t="s">
        <v>15</v>
      </c>
      <c r="F2341" t="s">
        <v>7630</v>
      </c>
      <c r="G2341" t="s">
        <v>18107</v>
      </c>
      <c r="H2341" t="s">
        <v>1112</v>
      </c>
      <c r="I2341" t="s">
        <v>1108</v>
      </c>
      <c r="J2341" t="s">
        <v>7631</v>
      </c>
      <c r="K2341" t="s">
        <v>7632</v>
      </c>
      <c r="L2341" t="s">
        <v>21</v>
      </c>
      <c r="M2341" t="s">
        <v>19177</v>
      </c>
      <c r="N2341" t="s">
        <v>478</v>
      </c>
      <c r="O2341" t="s">
        <v>478</v>
      </c>
      <c r="P2341" t="s">
        <v>454</v>
      </c>
    </row>
    <row r="2342">
      <c r="A2342">
        <f>HYPERLINK("http://bombeiros.sp.gov.br/hidrantes/03individual/1027.html","1027")</f>
      </c>
      <c r="B2342" t="s">
        <v>454</v>
      </c>
      <c r="C2342" t="s">
        <v>478</v>
      </c>
      <c r="D2342" t="s">
        <v>478</v>
      </c>
      <c r="E2342" t="s">
        <v>15</v>
      </c>
      <c r="F2342" t="s">
        <v>7633</v>
      </c>
      <c r="G2342" t="s">
        <v>18112</v>
      </c>
      <c r="H2342" t="s">
        <v>1112</v>
      </c>
      <c r="I2342" t="s">
        <v>1108</v>
      </c>
      <c r="J2342" t="s">
        <v>7634</v>
      </c>
      <c r="K2342" t="s">
        <v>7635</v>
      </c>
      <c r="L2342" t="s">
        <v>21</v>
      </c>
      <c r="M2342" t="s">
        <v>19177</v>
      </c>
      <c r="N2342" t="s">
        <v>478</v>
      </c>
      <c r="O2342" t="s">
        <v>478</v>
      </c>
      <c r="P2342" t="s">
        <v>454</v>
      </c>
    </row>
    <row r="2343">
      <c r="A2343">
        <f>HYPERLINK("http://bombeiros.sp.gov.br/hidrantes/03individual/1090.html","1090")</f>
      </c>
      <c r="B2343" t="s">
        <v>454</v>
      </c>
      <c r="C2343" t="s">
        <v>478</v>
      </c>
      <c r="D2343" t="s">
        <v>478</v>
      </c>
      <c r="E2343" t="s">
        <v>15</v>
      </c>
      <c r="F2343" t="s">
        <v>7636</v>
      </c>
      <c r="G2343" t="s">
        <v>17973</v>
      </c>
      <c r="H2343" t="s">
        <v>1112</v>
      </c>
      <c r="I2343" t="s">
        <v>1108</v>
      </c>
      <c r="J2343" t="s">
        <v>7637</v>
      </c>
      <c r="K2343" t="s">
        <v>7638</v>
      </c>
      <c r="L2343" t="s">
        <v>21</v>
      </c>
      <c r="M2343" t="s">
        <v>19177</v>
      </c>
      <c r="N2343" t="s">
        <v>478</v>
      </c>
      <c r="O2343" t="s">
        <v>478</v>
      </c>
      <c r="P2343" t="s">
        <v>454</v>
      </c>
    </row>
    <row r="2344">
      <c r="A2344">
        <f>HYPERLINK("http://bombeiros.sp.gov.br/hidrantes/03individual/1127.html","1127")</f>
      </c>
      <c r="B2344" t="s">
        <v>454</v>
      </c>
      <c r="C2344" t="s">
        <v>478</v>
      </c>
      <c r="D2344" t="s">
        <v>478</v>
      </c>
      <c r="E2344" t="s">
        <v>15</v>
      </c>
      <c r="F2344" t="s">
        <v>7639</v>
      </c>
      <c r="G2344" t="s">
        <v>18209</v>
      </c>
      <c r="H2344" t="s">
        <v>1107</v>
      </c>
      <c r="I2344" t="s">
        <v>1108</v>
      </c>
      <c r="J2344" t="s">
        <v>7640</v>
      </c>
      <c r="K2344" t="s">
        <v>7641</v>
      </c>
      <c r="L2344" t="s">
        <v>21</v>
      </c>
      <c r="M2344" t="s">
        <v>19177</v>
      </c>
      <c r="N2344" t="s">
        <v>478</v>
      </c>
      <c r="O2344" t="s">
        <v>478</v>
      </c>
      <c r="P2344" t="s">
        <v>454</v>
      </c>
    </row>
    <row r="2345">
      <c r="A2345">
        <f>HYPERLINK("http://bombeiros.sp.gov.br/hidrantes/03individual/1138.html","1138")</f>
      </c>
      <c r="B2345" t="s">
        <v>454</v>
      </c>
      <c r="C2345" t="s">
        <v>478</v>
      </c>
      <c r="D2345" t="s">
        <v>478</v>
      </c>
      <c r="E2345" t="s">
        <v>15</v>
      </c>
      <c r="F2345" t="s">
        <v>7642</v>
      </c>
      <c r="G2345" t="s">
        <v>18116</v>
      </c>
      <c r="H2345" t="s">
        <v>1121</v>
      </c>
      <c r="I2345" t="s">
        <v>1117</v>
      </c>
      <c r="J2345" t="s">
        <v>7643</v>
      </c>
      <c r="K2345" t="s">
        <v>7644</v>
      </c>
      <c r="L2345" t="s">
        <v>21</v>
      </c>
      <c r="M2345" t="s">
        <v>19177</v>
      </c>
      <c r="N2345" t="s">
        <v>478</v>
      </c>
      <c r="O2345" t="s">
        <v>478</v>
      </c>
      <c r="P2345" t="s">
        <v>454</v>
      </c>
    </row>
    <row r="2346">
      <c r="A2346">
        <f>HYPERLINK("http://bombeiros.sp.gov.br/hidrantes/03individual/1176.html","1176")</f>
      </c>
      <c r="B2346" t="s">
        <v>454</v>
      </c>
      <c r="C2346" t="s">
        <v>478</v>
      </c>
      <c r="D2346" t="s">
        <v>478</v>
      </c>
      <c r="E2346" t="s">
        <v>15</v>
      </c>
      <c r="F2346" t="s">
        <v>7645</v>
      </c>
      <c r="G2346" t="s">
        <v>18042</v>
      </c>
      <c r="H2346" t="s">
        <v>1112</v>
      </c>
      <c r="I2346" t="s">
        <v>1108</v>
      </c>
      <c r="J2346" t="s">
        <v>7646</v>
      </c>
      <c r="K2346" t="s">
        <v>7647</v>
      </c>
      <c r="L2346" t="s">
        <v>21</v>
      </c>
      <c r="M2346" t="s">
        <v>19177</v>
      </c>
      <c r="N2346" t="s">
        <v>478</v>
      </c>
      <c r="O2346" t="s">
        <v>478</v>
      </c>
      <c r="P2346" t="s">
        <v>454</v>
      </c>
    </row>
    <row r="2347">
      <c r="A2347">
        <f>HYPERLINK("http://bombeiros.sp.gov.br/hidrantes/03individual/1209.html","1209")</f>
      </c>
      <c r="B2347" t="s">
        <v>454</v>
      </c>
      <c r="C2347" t="s">
        <v>478</v>
      </c>
      <c r="D2347" t="s">
        <v>478</v>
      </c>
      <c r="E2347" t="s">
        <v>15</v>
      </c>
      <c r="F2347" t="s">
        <v>7648</v>
      </c>
      <c r="G2347" t="s">
        <v>18209</v>
      </c>
      <c r="H2347" t="s">
        <v>1112</v>
      </c>
      <c r="I2347" t="s">
        <v>1108</v>
      </c>
      <c r="J2347" t="s">
        <v>7649</v>
      </c>
      <c r="K2347" t="s">
        <v>7650</v>
      </c>
      <c r="L2347" t="s">
        <v>21</v>
      </c>
      <c r="M2347" t="s">
        <v>19177</v>
      </c>
      <c r="N2347" t="s">
        <v>478</v>
      </c>
      <c r="O2347" t="s">
        <v>478</v>
      </c>
      <c r="P2347" t="s">
        <v>454</v>
      </c>
    </row>
    <row r="2348">
      <c r="A2348">
        <f>HYPERLINK("http://bombeiros.sp.gov.br/hidrantes/03individual/1214.html","1214")</f>
      </c>
      <c r="B2348" t="s">
        <v>454</v>
      </c>
      <c r="C2348" t="s">
        <v>478</v>
      </c>
      <c r="D2348" t="s">
        <v>478</v>
      </c>
      <c r="E2348" t="s">
        <v>15</v>
      </c>
      <c r="F2348" t="s">
        <v>7651</v>
      </c>
      <c r="G2348" t="s">
        <v>17973</v>
      </c>
      <c r="H2348" t="s">
        <v>1112</v>
      </c>
      <c r="I2348" t="s">
        <v>1108</v>
      </c>
      <c r="J2348" t="s">
        <v>7652</v>
      </c>
      <c r="K2348" t="s">
        <v>7653</v>
      </c>
      <c r="L2348" t="s">
        <v>21</v>
      </c>
      <c r="M2348" t="s">
        <v>19177</v>
      </c>
      <c r="N2348" t="s">
        <v>478</v>
      </c>
      <c r="O2348" t="s">
        <v>478</v>
      </c>
      <c r="P2348" t="s">
        <v>454</v>
      </c>
    </row>
    <row r="2349">
      <c r="A2349">
        <f>HYPERLINK("http://bombeiros.sp.gov.br/hidrantes/03individual/1215.html","1215")</f>
      </c>
      <c r="B2349" t="s">
        <v>454</v>
      </c>
      <c r="C2349" t="s">
        <v>478</v>
      </c>
      <c r="D2349" t="s">
        <v>478</v>
      </c>
      <c r="E2349" t="s">
        <v>15</v>
      </c>
      <c r="F2349" t="s">
        <v>7654</v>
      </c>
      <c r="G2349" t="s">
        <v>18109</v>
      </c>
      <c r="H2349" t="s">
        <v>1112</v>
      </c>
      <c r="I2349" t="s">
        <v>1108</v>
      </c>
      <c r="J2349" t="s">
        <v>7655</v>
      </c>
      <c r="K2349" t="s">
        <v>7656</v>
      </c>
      <c r="L2349" t="s">
        <v>21</v>
      </c>
      <c r="M2349" t="s">
        <v>19177</v>
      </c>
      <c r="N2349" t="s">
        <v>478</v>
      </c>
      <c r="O2349" t="s">
        <v>478</v>
      </c>
      <c r="P2349" t="s">
        <v>454</v>
      </c>
    </row>
    <row r="2350">
      <c r="A2350">
        <f>HYPERLINK("http://bombeiros.sp.gov.br/hidrantes/03individual/1218.html","1218")</f>
      </c>
      <c r="B2350" t="s">
        <v>454</v>
      </c>
      <c r="C2350" t="s">
        <v>478</v>
      </c>
      <c r="D2350" t="s">
        <v>478</v>
      </c>
      <c r="E2350" t="s">
        <v>15</v>
      </c>
      <c r="F2350" t="s">
        <v>7657</v>
      </c>
      <c r="G2350" t="s">
        <v>18042</v>
      </c>
      <c r="H2350" t="s">
        <v>1112</v>
      </c>
      <c r="I2350" t="s">
        <v>1108</v>
      </c>
      <c r="J2350" t="s">
        <v>7658</v>
      </c>
      <c r="K2350" t="s">
        <v>7659</v>
      </c>
      <c r="L2350" t="s">
        <v>36</v>
      </c>
      <c r="M2350" t="s">
        <v>19177</v>
      </c>
      <c r="N2350" t="s">
        <v>478</v>
      </c>
      <c r="O2350" t="s">
        <v>478</v>
      </c>
      <c r="P2350" t="s">
        <v>454</v>
      </c>
    </row>
    <row r="2351">
      <c r="A2351">
        <f>HYPERLINK("http://bombeiros.sp.gov.br/hidrantes/03individual/1220.html","1220")</f>
      </c>
      <c r="B2351" t="s">
        <v>454</v>
      </c>
      <c r="C2351" t="s">
        <v>478</v>
      </c>
      <c r="D2351" t="s">
        <v>478</v>
      </c>
      <c r="E2351" t="s">
        <v>15</v>
      </c>
      <c r="F2351" t="s">
        <v>7660</v>
      </c>
      <c r="G2351" t="s">
        <v>17959</v>
      </c>
      <c r="H2351" t="s">
        <v>1112</v>
      </c>
      <c r="I2351" t="s">
        <v>1108</v>
      </c>
      <c r="J2351" t="s">
        <v>7661</v>
      </c>
      <c r="K2351" t="s">
        <v>7662</v>
      </c>
      <c r="L2351" t="s">
        <v>21</v>
      </c>
      <c r="M2351" t="s">
        <v>19177</v>
      </c>
      <c r="N2351" t="s">
        <v>478</v>
      </c>
      <c r="O2351" t="s">
        <v>478</v>
      </c>
      <c r="P2351" t="s">
        <v>454</v>
      </c>
    </row>
    <row r="2352">
      <c r="A2352">
        <f>HYPERLINK("http://bombeiros.sp.gov.br/hidrantes/03individual/1268.html","1268")</f>
      </c>
      <c r="B2352" t="s">
        <v>454</v>
      </c>
      <c r="C2352" t="s">
        <v>478</v>
      </c>
      <c r="D2352" t="s">
        <v>478</v>
      </c>
      <c r="E2352" t="s">
        <v>15</v>
      </c>
      <c r="F2352" t="s">
        <v>7663</v>
      </c>
      <c r="G2352" t="s">
        <v>18113</v>
      </c>
      <c r="H2352" t="s">
        <v>1107</v>
      </c>
      <c r="I2352" t="s">
        <v>1108</v>
      </c>
      <c r="J2352" t="s">
        <v>7664</v>
      </c>
      <c r="K2352" t="s">
        <v>7665</v>
      </c>
      <c r="L2352" t="s">
        <v>21</v>
      </c>
      <c r="M2352" t="s">
        <v>19177</v>
      </c>
      <c r="N2352" t="s">
        <v>478</v>
      </c>
      <c r="O2352" t="s">
        <v>478</v>
      </c>
      <c r="P2352" t="s">
        <v>454</v>
      </c>
    </row>
    <row r="2353">
      <c r="A2353">
        <f>HYPERLINK("http://bombeiros.sp.gov.br/hidrantes/03individual/1306.html","1306")</f>
      </c>
      <c r="B2353" t="s">
        <v>454</v>
      </c>
      <c r="C2353" t="s">
        <v>478</v>
      </c>
      <c r="D2353" t="s">
        <v>478</v>
      </c>
      <c r="E2353" t="s">
        <v>15</v>
      </c>
      <c r="F2353" t="s">
        <v>7666</v>
      </c>
      <c r="G2353" t="s">
        <v>18013</v>
      </c>
      <c r="H2353" t="s">
        <v>1112</v>
      </c>
      <c r="I2353" t="s">
        <v>1108</v>
      </c>
      <c r="J2353" t="s">
        <v>7667</v>
      </c>
      <c r="K2353" t="s">
        <v>7668</v>
      </c>
      <c r="L2353" t="s">
        <v>21</v>
      </c>
      <c r="M2353" t="s">
        <v>19177</v>
      </c>
      <c r="N2353" t="s">
        <v>478</v>
      </c>
      <c r="O2353" t="s">
        <v>478</v>
      </c>
      <c r="P2353" t="s">
        <v>454</v>
      </c>
    </row>
    <row r="2354">
      <c r="A2354">
        <f>HYPERLINK("http://bombeiros.sp.gov.br/hidrantes/03individual/1308.html","1308")</f>
      </c>
      <c r="B2354" t="s">
        <v>454</v>
      </c>
      <c r="C2354" t="s">
        <v>478</v>
      </c>
      <c r="D2354" t="s">
        <v>478</v>
      </c>
      <c r="E2354" t="s">
        <v>15</v>
      </c>
      <c r="F2354" t="s">
        <v>7669</v>
      </c>
      <c r="G2354" t="s">
        <v>18113</v>
      </c>
      <c r="H2354" t="s">
        <v>1112</v>
      </c>
      <c r="I2354" t="s">
        <v>1108</v>
      </c>
      <c r="J2354" t="s">
        <v>7670</v>
      </c>
      <c r="K2354" t="s">
        <v>7671</v>
      </c>
      <c r="L2354" t="s">
        <v>21</v>
      </c>
      <c r="M2354" t="s">
        <v>19177</v>
      </c>
      <c r="N2354" t="s">
        <v>478</v>
      </c>
      <c r="O2354" t="s">
        <v>478</v>
      </c>
      <c r="P2354" t="s">
        <v>454</v>
      </c>
    </row>
    <row r="2355">
      <c r="A2355">
        <f>HYPERLINK("http://bombeiros.sp.gov.br/hidrantes/03individual/1311.html","1311")</f>
      </c>
      <c r="B2355" t="s">
        <v>454</v>
      </c>
      <c r="C2355" t="s">
        <v>478</v>
      </c>
      <c r="D2355" t="s">
        <v>478</v>
      </c>
      <c r="E2355" t="s">
        <v>15</v>
      </c>
      <c r="F2355" t="s">
        <v>7672</v>
      </c>
      <c r="G2355" t="s">
        <v>18109</v>
      </c>
      <c r="H2355" t="s">
        <v>1107</v>
      </c>
      <c r="I2355" t="s">
        <v>1108</v>
      </c>
      <c r="J2355" t="s">
        <v>7673</v>
      </c>
      <c r="K2355" t="s">
        <v>7674</v>
      </c>
      <c r="L2355" t="s">
        <v>21</v>
      </c>
      <c r="M2355" t="s">
        <v>19177</v>
      </c>
      <c r="N2355" t="s">
        <v>478</v>
      </c>
      <c r="O2355" t="s">
        <v>478</v>
      </c>
      <c r="P2355" t="s">
        <v>454</v>
      </c>
    </row>
    <row r="2356">
      <c r="A2356">
        <f>HYPERLINK("http://bombeiros.sp.gov.br/hidrantes/03individual/1438.html","1438")</f>
      </c>
      <c r="B2356" t="s">
        <v>454</v>
      </c>
      <c r="C2356" t="s">
        <v>478</v>
      </c>
      <c r="D2356" t="s">
        <v>478</v>
      </c>
      <c r="E2356" t="s">
        <v>15</v>
      </c>
      <c r="F2356" t="s">
        <v>479</v>
      </c>
      <c r="G2356" t="s">
        <v>18042</v>
      </c>
      <c r="H2356"/>
      <c r="I2356" t="s">
        <v>18</v>
      </c>
      <c r="J2356" t="s">
        <v>481</v>
      </c>
      <c r="K2356" t="s">
        <v>482</v>
      </c>
      <c r="L2356" t="s">
        <v>21</v>
      </c>
      <c r="M2356" t="s">
        <v>19177</v>
      </c>
      <c r="N2356" t="s">
        <v>478</v>
      </c>
      <c r="O2356" t="s">
        <v>478</v>
      </c>
      <c r="P2356" t="s">
        <v>454</v>
      </c>
    </row>
    <row r="2357">
      <c r="A2357">
        <f>HYPERLINK("http://bombeiros.sp.gov.br/hidrantes/03individual/1457.html","1457")</f>
      </c>
      <c r="B2357" t="s">
        <v>454</v>
      </c>
      <c r="C2357" t="s">
        <v>478</v>
      </c>
      <c r="D2357" t="s">
        <v>478</v>
      </c>
      <c r="E2357" t="s">
        <v>15</v>
      </c>
      <c r="F2357" t="s">
        <v>7675</v>
      </c>
      <c r="G2357" t="s">
        <v>18218</v>
      </c>
      <c r="H2357" t="s">
        <v>1121</v>
      </c>
      <c r="I2357" t="s">
        <v>1117</v>
      </c>
      <c r="J2357" t="s">
        <v>7676</v>
      </c>
      <c r="K2357" t="s">
        <v>7677</v>
      </c>
      <c r="L2357" t="s">
        <v>21</v>
      </c>
      <c r="M2357" t="s">
        <v>19177</v>
      </c>
      <c r="N2357" t="s">
        <v>478</v>
      </c>
      <c r="O2357" t="s">
        <v>478</v>
      </c>
      <c r="P2357" t="s">
        <v>454</v>
      </c>
    </row>
    <row r="2358">
      <c r="A2358">
        <f>HYPERLINK("http://bombeiros.sp.gov.br/hidrantes/03individual/3711.html","3711")</f>
      </c>
      <c r="B2358" t="s">
        <v>454</v>
      </c>
      <c r="C2358" t="s">
        <v>478</v>
      </c>
      <c r="D2358" t="s">
        <v>478</v>
      </c>
      <c r="E2358" t="s">
        <v>15</v>
      </c>
      <c r="F2358" t="s">
        <v>7678</v>
      </c>
      <c r="G2358" t="s">
        <v>18114</v>
      </c>
      <c r="H2358" t="s">
        <v>1112</v>
      </c>
      <c r="I2358" t="s">
        <v>1108</v>
      </c>
      <c r="J2358" t="s">
        <v>7679</v>
      </c>
      <c r="K2358" t="s">
        <v>7680</v>
      </c>
      <c r="L2358" t="s">
        <v>21</v>
      </c>
      <c r="M2358" t="s">
        <v>19177</v>
      </c>
      <c r="N2358" t="s">
        <v>478</v>
      </c>
      <c r="O2358" t="s">
        <v>478</v>
      </c>
      <c r="P2358" t="s">
        <v>454</v>
      </c>
    </row>
    <row r="2359">
      <c r="A2359">
        <f>HYPERLINK("http://bombeiros.sp.gov.br/hidrantes/03individual/3717.html","3717")</f>
      </c>
      <c r="B2359" t="s">
        <v>454</v>
      </c>
      <c r="C2359" t="s">
        <v>478</v>
      </c>
      <c r="D2359" t="s">
        <v>478</v>
      </c>
      <c r="E2359" t="s">
        <v>15</v>
      </c>
      <c r="F2359" t="s">
        <v>7681</v>
      </c>
      <c r="G2359" t="s">
        <v>18013</v>
      </c>
      <c r="H2359" t="s">
        <v>1112</v>
      </c>
      <c r="I2359" t="s">
        <v>1108</v>
      </c>
      <c r="J2359" t="s">
        <v>7682</v>
      </c>
      <c r="K2359" t="s">
        <v>7683</v>
      </c>
      <c r="L2359" t="s">
        <v>21</v>
      </c>
      <c r="M2359" t="s">
        <v>19177</v>
      </c>
      <c r="N2359" t="s">
        <v>478</v>
      </c>
      <c r="O2359" t="s">
        <v>478</v>
      </c>
      <c r="P2359" t="s">
        <v>454</v>
      </c>
    </row>
    <row r="2360">
      <c r="A2360">
        <f>HYPERLINK("http://bombeiros.sp.gov.br/hidrantes/03individual/3718.html","3718")</f>
      </c>
      <c r="B2360" t="s">
        <v>454</v>
      </c>
      <c r="C2360" t="s">
        <v>478</v>
      </c>
      <c r="D2360" t="s">
        <v>478</v>
      </c>
      <c r="E2360" t="s">
        <v>15</v>
      </c>
      <c r="F2360" t="s">
        <v>7684</v>
      </c>
      <c r="G2360" t="s">
        <v>18218</v>
      </c>
      <c r="H2360" t="s">
        <v>1112</v>
      </c>
      <c r="I2360" t="s">
        <v>1108</v>
      </c>
      <c r="J2360" t="s">
        <v>16490</v>
      </c>
      <c r="K2360" t="s">
        <v>16491</v>
      </c>
      <c r="L2360" t="s">
        <v>21</v>
      </c>
      <c r="M2360" t="s">
        <v>19177</v>
      </c>
      <c r="N2360" t="s">
        <v>478</v>
      </c>
      <c r="O2360" t="s">
        <v>478</v>
      </c>
      <c r="P2360" t="s">
        <v>454</v>
      </c>
    </row>
    <row r="2361">
      <c r="A2361">
        <f>HYPERLINK("http://bombeiros.sp.gov.br/hidrantes/03individual/3719.html","3719")</f>
      </c>
      <c r="B2361" t="s">
        <v>454</v>
      </c>
      <c r="C2361" t="s">
        <v>478</v>
      </c>
      <c r="D2361" t="s">
        <v>478</v>
      </c>
      <c r="E2361" t="s">
        <v>15</v>
      </c>
      <c r="F2361" t="s">
        <v>7687</v>
      </c>
      <c r="G2361" t="s">
        <v>18114</v>
      </c>
      <c r="H2361" t="s">
        <v>1121</v>
      </c>
      <c r="I2361" t="s">
        <v>1117</v>
      </c>
      <c r="J2361" t="s">
        <v>7688</v>
      </c>
      <c r="K2361" t="s">
        <v>7689</v>
      </c>
      <c r="L2361" t="s">
        <v>21</v>
      </c>
      <c r="M2361" t="s">
        <v>19177</v>
      </c>
      <c r="N2361" t="s">
        <v>478</v>
      </c>
      <c r="O2361" t="s">
        <v>478</v>
      </c>
      <c r="P2361" t="s">
        <v>454</v>
      </c>
    </row>
    <row r="2362">
      <c r="A2362">
        <f>HYPERLINK("http://bombeiros.sp.gov.br/hidrantes/03individual/3720.html","3720")</f>
      </c>
      <c r="B2362" t="s">
        <v>454</v>
      </c>
      <c r="C2362" t="s">
        <v>478</v>
      </c>
      <c r="D2362" t="s">
        <v>478</v>
      </c>
      <c r="E2362" t="s">
        <v>15</v>
      </c>
      <c r="F2362" t="s">
        <v>7690</v>
      </c>
      <c r="G2362" t="s">
        <v>18049</v>
      </c>
      <c r="H2362" t="s">
        <v>1107</v>
      </c>
      <c r="I2362" t="s">
        <v>1108</v>
      </c>
      <c r="J2362" t="s">
        <v>7691</v>
      </c>
      <c r="K2362" t="s">
        <v>7692</v>
      </c>
      <c r="L2362" t="s">
        <v>21</v>
      </c>
      <c r="M2362" t="s">
        <v>19177</v>
      </c>
      <c r="N2362" t="s">
        <v>478</v>
      </c>
      <c r="O2362" t="s">
        <v>478</v>
      </c>
      <c r="P2362" t="s">
        <v>454</v>
      </c>
    </row>
    <row r="2363">
      <c r="A2363">
        <f>HYPERLINK("http://bombeiros.sp.gov.br/hidrantes/03individual/3722.html","3722")</f>
      </c>
      <c r="B2363" t="s">
        <v>454</v>
      </c>
      <c r="C2363" t="s">
        <v>478</v>
      </c>
      <c r="D2363" t="s">
        <v>478</v>
      </c>
      <c r="E2363" t="s">
        <v>15</v>
      </c>
      <c r="F2363" t="s">
        <v>7693</v>
      </c>
      <c r="G2363" t="s">
        <v>18116</v>
      </c>
      <c r="H2363" t="s">
        <v>1121</v>
      </c>
      <c r="I2363" t="s">
        <v>1117</v>
      </c>
      <c r="J2363" t="s">
        <v>7694</v>
      </c>
      <c r="K2363" t="s">
        <v>7695</v>
      </c>
      <c r="L2363" t="s">
        <v>21</v>
      </c>
      <c r="M2363" t="s">
        <v>19177</v>
      </c>
      <c r="N2363" t="s">
        <v>478</v>
      </c>
      <c r="O2363" t="s">
        <v>478</v>
      </c>
      <c r="P2363" t="s">
        <v>454</v>
      </c>
    </row>
    <row r="2364">
      <c r="A2364">
        <f>HYPERLINK("http://bombeiros.sp.gov.br/hidrantes/03individual/3723.html","3723")</f>
      </c>
      <c r="B2364" t="s">
        <v>454</v>
      </c>
      <c r="C2364" t="s">
        <v>478</v>
      </c>
      <c r="D2364" t="s">
        <v>478</v>
      </c>
      <c r="E2364" t="s">
        <v>15</v>
      </c>
      <c r="F2364" t="s">
        <v>7696</v>
      </c>
      <c r="G2364" t="s">
        <v>18107</v>
      </c>
      <c r="H2364" t="s">
        <v>1107</v>
      </c>
      <c r="I2364" t="s">
        <v>1108</v>
      </c>
      <c r="J2364" t="s">
        <v>7697</v>
      </c>
      <c r="K2364" t="s">
        <v>7698</v>
      </c>
      <c r="L2364" t="s">
        <v>21</v>
      </c>
      <c r="M2364" t="s">
        <v>19177</v>
      </c>
      <c r="N2364" t="s">
        <v>478</v>
      </c>
      <c r="O2364" t="s">
        <v>478</v>
      </c>
      <c r="P2364" t="s">
        <v>454</v>
      </c>
    </row>
    <row r="2365">
      <c r="A2365">
        <f>HYPERLINK("http://bombeiros.sp.gov.br/hidrantes/03individual/3733.html","3733")</f>
      </c>
      <c r="B2365" t="s">
        <v>454</v>
      </c>
      <c r="C2365" t="s">
        <v>478</v>
      </c>
      <c r="D2365" t="s">
        <v>478</v>
      </c>
      <c r="E2365" t="s">
        <v>15</v>
      </c>
      <c r="F2365" t="s">
        <v>7699</v>
      </c>
      <c r="G2365" t="s">
        <v>18114</v>
      </c>
      <c r="H2365" t="s">
        <v>1112</v>
      </c>
      <c r="I2365" t="s">
        <v>1108</v>
      </c>
      <c r="J2365" t="s">
        <v>7700</v>
      </c>
      <c r="K2365" t="s">
        <v>7701</v>
      </c>
      <c r="L2365" t="s">
        <v>21</v>
      </c>
      <c r="M2365" t="s">
        <v>19177</v>
      </c>
      <c r="N2365" t="s">
        <v>478</v>
      </c>
      <c r="O2365" t="s">
        <v>478</v>
      </c>
      <c r="P2365" t="s">
        <v>454</v>
      </c>
    </row>
    <row r="2366">
      <c r="A2366">
        <f>HYPERLINK("http://bombeiros.sp.gov.br/hidrantes/03individual/3736.html","3736")</f>
      </c>
      <c r="B2366" t="s">
        <v>454</v>
      </c>
      <c r="C2366" t="s">
        <v>478</v>
      </c>
      <c r="D2366" t="s">
        <v>478</v>
      </c>
      <c r="E2366" t="s">
        <v>15</v>
      </c>
      <c r="F2366" t="s">
        <v>7702</v>
      </c>
      <c r="G2366" t="s">
        <v>18114</v>
      </c>
      <c r="H2366" t="s">
        <v>1174</v>
      </c>
      <c r="I2366" t="s">
        <v>1108</v>
      </c>
      <c r="J2366" t="s">
        <v>7703</v>
      </c>
      <c r="K2366" t="s">
        <v>7704</v>
      </c>
      <c r="L2366" t="s">
        <v>21</v>
      </c>
      <c r="M2366" t="s">
        <v>19177</v>
      </c>
      <c r="N2366" t="s">
        <v>478</v>
      </c>
      <c r="O2366" t="s">
        <v>478</v>
      </c>
      <c r="P2366" t="s">
        <v>454</v>
      </c>
    </row>
    <row r="2367">
      <c r="A2367">
        <f>HYPERLINK("http://bombeiros.sp.gov.br/hidrantes/03individual/3742.html","3742")</f>
      </c>
      <c r="B2367" t="s">
        <v>454</v>
      </c>
      <c r="C2367" t="s">
        <v>478</v>
      </c>
      <c r="D2367" t="s">
        <v>478</v>
      </c>
      <c r="E2367" t="s">
        <v>15</v>
      </c>
      <c r="F2367" t="s">
        <v>7705</v>
      </c>
      <c r="G2367" t="s">
        <v>18001</v>
      </c>
      <c r="H2367" t="s">
        <v>1112</v>
      </c>
      <c r="I2367" t="s">
        <v>1108</v>
      </c>
      <c r="J2367" t="s">
        <v>7706</v>
      </c>
      <c r="K2367" t="s">
        <v>7707</v>
      </c>
      <c r="L2367" t="s">
        <v>21</v>
      </c>
      <c r="M2367" t="s">
        <v>19177</v>
      </c>
      <c r="N2367" t="s">
        <v>478</v>
      </c>
      <c r="O2367" t="s">
        <v>478</v>
      </c>
      <c r="P2367" t="s">
        <v>454</v>
      </c>
    </row>
    <row r="2368">
      <c r="A2368">
        <f>HYPERLINK("http://bombeiros.sp.gov.br/hidrantes/03individual/3642.html","3642")</f>
      </c>
      <c r="B2368" t="s">
        <v>454</v>
      </c>
      <c r="C2368" t="s">
        <v>478</v>
      </c>
      <c r="D2368" t="s">
        <v>7708</v>
      </c>
      <c r="E2368" t="s">
        <v>64</v>
      </c>
      <c r="F2368" t="s">
        <v>7709</v>
      </c>
      <c r="G2368" t="s">
        <v>18112</v>
      </c>
      <c r="H2368" t="s">
        <v>1112</v>
      </c>
      <c r="I2368" t="s">
        <v>1108</v>
      </c>
      <c r="J2368" t="s">
        <v>7710</v>
      </c>
      <c r="K2368" t="s">
        <v>7711</v>
      </c>
      <c r="L2368" t="s">
        <v>36</v>
      </c>
      <c r="M2368" t="s">
        <v>19177</v>
      </c>
      <c r="N2368" t="s">
        <v>478</v>
      </c>
      <c r="O2368" t="s">
        <v>478</v>
      </c>
      <c r="P2368" t="s">
        <v>454</v>
      </c>
    </row>
    <row r="2369">
      <c r="A2369">
        <f>HYPERLINK("http://bombeiros.sp.gov.br/hidrantes/03individual/3643.html","3643")</f>
      </c>
      <c r="B2369" t="s">
        <v>454</v>
      </c>
      <c r="C2369" t="s">
        <v>478</v>
      </c>
      <c r="D2369" t="s">
        <v>7708</v>
      </c>
      <c r="E2369" t="s">
        <v>64</v>
      </c>
      <c r="F2369" t="s">
        <v>7712</v>
      </c>
      <c r="G2369" t="s">
        <v>18053</v>
      </c>
      <c r="H2369" t="s">
        <v>1107</v>
      </c>
      <c r="I2369" t="s">
        <v>1108</v>
      </c>
      <c r="J2369" t="s">
        <v>7713</v>
      </c>
      <c r="K2369" t="s">
        <v>7714</v>
      </c>
      <c r="L2369" t="s">
        <v>36</v>
      </c>
      <c r="M2369" t="s">
        <v>19177</v>
      </c>
      <c r="N2369" t="s">
        <v>478</v>
      </c>
      <c r="O2369" t="s">
        <v>478</v>
      </c>
      <c r="P2369" t="s">
        <v>454</v>
      </c>
    </row>
    <row r="2370">
      <c r="A2370">
        <f>HYPERLINK("http://bombeiros.sp.gov.br/hidrantes/03individual/28403.html","28403")</f>
      </c>
      <c r="B2370" t="s">
        <v>454</v>
      </c>
      <c r="C2370" t="s">
        <v>478</v>
      </c>
      <c r="D2370" t="s">
        <v>7708</v>
      </c>
      <c r="E2370" t="s">
        <v>64</v>
      </c>
      <c r="F2370" t="s">
        <v>18727</v>
      </c>
      <c r="G2370"/>
      <c r="H2370"/>
      <c r="I2370" t="s">
        <v>1503</v>
      </c>
      <c r="J2370" t="s">
        <v>18728</v>
      </c>
      <c r="K2370" t="s">
        <v>18729</v>
      </c>
      <c r="L2370" t="s">
        <v>21</v>
      </c>
      <c r="M2370" t="s">
        <v>19177</v>
      </c>
      <c r="N2370" t="s">
        <v>478</v>
      </c>
      <c r="O2370" t="s">
        <v>478</v>
      </c>
      <c r="P2370" t="s">
        <v>454</v>
      </c>
    </row>
    <row r="2371">
      <c r="A2371">
        <f>HYPERLINK("http://bombeiros.sp.gov.br/hidrantes/03individual/1302.html","1302")</f>
      </c>
      <c r="B2371" t="s">
        <v>454</v>
      </c>
      <c r="C2371" t="s">
        <v>478</v>
      </c>
      <c r="D2371" t="s">
        <v>7708</v>
      </c>
      <c r="E2371" t="s">
        <v>15</v>
      </c>
      <c r="F2371" t="s">
        <v>7715</v>
      </c>
      <c r="G2371" t="s">
        <v>18112</v>
      </c>
      <c r="H2371" t="s">
        <v>1112</v>
      </c>
      <c r="I2371" t="s">
        <v>1108</v>
      </c>
      <c r="J2371" t="s">
        <v>7716</v>
      </c>
      <c r="K2371" t="s">
        <v>7717</v>
      </c>
      <c r="L2371" t="s">
        <v>21</v>
      </c>
      <c r="M2371" t="s">
        <v>19177</v>
      </c>
      <c r="N2371" t="s">
        <v>478</v>
      </c>
      <c r="O2371" t="s">
        <v>478</v>
      </c>
      <c r="P2371" t="s">
        <v>454</v>
      </c>
    </row>
    <row r="2372">
      <c r="A2372">
        <f>HYPERLINK("http://bombeiros.sp.gov.br/hidrantes/03individual/3732.html","3732")</f>
      </c>
      <c r="B2372" t="s">
        <v>454</v>
      </c>
      <c r="C2372" t="s">
        <v>478</v>
      </c>
      <c r="D2372" t="s">
        <v>7708</v>
      </c>
      <c r="E2372" t="s">
        <v>15</v>
      </c>
      <c r="F2372" t="s">
        <v>7718</v>
      </c>
      <c r="G2372" t="s">
        <v>18114</v>
      </c>
      <c r="H2372" t="s">
        <v>1107</v>
      </c>
      <c r="I2372" t="s">
        <v>1108</v>
      </c>
      <c r="J2372" t="s">
        <v>7719</v>
      </c>
      <c r="K2372" t="s">
        <v>7720</v>
      </c>
      <c r="L2372" t="s">
        <v>21</v>
      </c>
      <c r="M2372" t="s">
        <v>19177</v>
      </c>
      <c r="N2372" t="s">
        <v>478</v>
      </c>
      <c r="O2372" t="s">
        <v>478</v>
      </c>
      <c r="P2372" t="s">
        <v>454</v>
      </c>
    </row>
    <row r="2373">
      <c r="A2373">
        <f>HYPERLINK("http://bombeiros.sp.gov.br/hidrantes/03individual/3737.html","3737")</f>
      </c>
      <c r="B2373" t="s">
        <v>454</v>
      </c>
      <c r="C2373" t="s">
        <v>478</v>
      </c>
      <c r="D2373" t="s">
        <v>7708</v>
      </c>
      <c r="E2373" t="s">
        <v>15</v>
      </c>
      <c r="F2373" t="s">
        <v>7721</v>
      </c>
      <c r="G2373" t="s">
        <v>18112</v>
      </c>
      <c r="H2373" t="s">
        <v>1112</v>
      </c>
      <c r="I2373" t="s">
        <v>1108</v>
      </c>
      <c r="J2373" t="s">
        <v>7722</v>
      </c>
      <c r="K2373" t="s">
        <v>7723</v>
      </c>
      <c r="L2373" t="s">
        <v>21</v>
      </c>
      <c r="M2373" t="s">
        <v>19177</v>
      </c>
      <c r="N2373" t="s">
        <v>478</v>
      </c>
      <c r="O2373" t="s">
        <v>478</v>
      </c>
      <c r="P2373" t="s">
        <v>454</v>
      </c>
    </row>
    <row r="2374">
      <c r="A2374">
        <f>HYPERLINK("http://bombeiros.sp.gov.br/hidrantes/03individual/3740.html","3740")</f>
      </c>
      <c r="B2374" t="s">
        <v>454</v>
      </c>
      <c r="C2374" t="s">
        <v>478</v>
      </c>
      <c r="D2374" t="s">
        <v>7708</v>
      </c>
      <c r="E2374" t="s">
        <v>15</v>
      </c>
      <c r="F2374" t="s">
        <v>7724</v>
      </c>
      <c r="G2374" t="s">
        <v>18042</v>
      </c>
      <c r="H2374" t="s">
        <v>1112</v>
      </c>
      <c r="I2374" t="s">
        <v>1108</v>
      </c>
      <c r="J2374" t="s">
        <v>7725</v>
      </c>
      <c r="K2374" t="s">
        <v>7726</v>
      </c>
      <c r="L2374" t="s">
        <v>21</v>
      </c>
      <c r="M2374" t="s">
        <v>19177</v>
      </c>
      <c r="N2374" t="s">
        <v>478</v>
      </c>
      <c r="O2374" t="s">
        <v>478</v>
      </c>
      <c r="P2374" t="s">
        <v>454</v>
      </c>
    </row>
    <row r="2375">
      <c r="A2375">
        <f>HYPERLINK("http://bombeiros.sp.gov.br/hidrantes/03individual/3769.html","3769")</f>
      </c>
      <c r="B2375" t="s">
        <v>454</v>
      </c>
      <c r="C2375" t="s">
        <v>478</v>
      </c>
      <c r="D2375" t="s">
        <v>7708</v>
      </c>
      <c r="E2375" t="s">
        <v>15</v>
      </c>
      <c r="F2375" t="s">
        <v>7727</v>
      </c>
      <c r="G2375" t="s">
        <v>18039</v>
      </c>
      <c r="H2375" t="s">
        <v>1112</v>
      </c>
      <c r="I2375" t="s">
        <v>1108</v>
      </c>
      <c r="J2375" t="s">
        <v>16517</v>
      </c>
      <c r="K2375" t="s">
        <v>16518</v>
      </c>
      <c r="L2375" t="s">
        <v>21</v>
      </c>
      <c r="M2375" t="s">
        <v>19177</v>
      </c>
      <c r="N2375" t="s">
        <v>478</v>
      </c>
      <c r="O2375" t="s">
        <v>478</v>
      </c>
      <c r="P2375" t="s">
        <v>454</v>
      </c>
    </row>
    <row r="2376">
      <c r="A2376">
        <f>HYPERLINK("http://bombeiros.sp.gov.br/hidrantes/03individual/3774.html","3774")</f>
      </c>
      <c r="B2376" t="s">
        <v>454</v>
      </c>
      <c r="C2376" t="s">
        <v>478</v>
      </c>
      <c r="D2376" t="s">
        <v>7708</v>
      </c>
      <c r="E2376" t="s">
        <v>15</v>
      </c>
      <c r="F2376" t="s">
        <v>7730</v>
      </c>
      <c r="G2376" t="s">
        <v>18218</v>
      </c>
      <c r="H2376" t="s">
        <v>1121</v>
      </c>
      <c r="I2376" t="s">
        <v>1117</v>
      </c>
      <c r="J2376" t="s">
        <v>7731</v>
      </c>
      <c r="K2376" t="s">
        <v>7732</v>
      </c>
      <c r="L2376" t="s">
        <v>21</v>
      </c>
      <c r="M2376" t="s">
        <v>19177</v>
      </c>
      <c r="N2376" t="s">
        <v>478</v>
      </c>
      <c r="O2376" t="s">
        <v>478</v>
      </c>
      <c r="P2376" t="s">
        <v>454</v>
      </c>
    </row>
    <row r="2377">
      <c r="A2377">
        <f>HYPERLINK("http://bombeiros.sp.gov.br/hidrantes/03individual/26792.html","26792")</f>
      </c>
      <c r="B2377" t="s">
        <v>454</v>
      </c>
      <c r="C2377" t="s">
        <v>478</v>
      </c>
      <c r="D2377" t="s">
        <v>7708</v>
      </c>
      <c r="E2377" t="s">
        <v>15</v>
      </c>
      <c r="F2377" t="s">
        <v>15827</v>
      </c>
      <c r="G2377" t="s">
        <v>18113</v>
      </c>
      <c r="H2377"/>
      <c r="I2377" t="s">
        <v>18</v>
      </c>
      <c r="J2377" t="s">
        <v>15828</v>
      </c>
      <c r="K2377" t="s">
        <v>15829</v>
      </c>
      <c r="L2377" t="s">
        <v>21</v>
      </c>
      <c r="M2377" t="s">
        <v>19177</v>
      </c>
      <c r="N2377" t="s">
        <v>478</v>
      </c>
      <c r="O2377" t="s">
        <v>478</v>
      </c>
      <c r="P2377" t="s">
        <v>454</v>
      </c>
    </row>
    <row r="2378">
      <c r="A2378">
        <f>HYPERLINK("http://bombeiros.sp.gov.br/hidrantes/03individual/3663.html","3663")</f>
      </c>
      <c r="B2378" t="s">
        <v>454</v>
      </c>
      <c r="C2378" t="s">
        <v>478</v>
      </c>
      <c r="D2378" t="s">
        <v>483</v>
      </c>
      <c r="E2378" t="s">
        <v>64</v>
      </c>
      <c r="F2378" t="s">
        <v>7733</v>
      </c>
      <c r="G2378" t="s">
        <v>18109</v>
      </c>
      <c r="H2378" t="s">
        <v>1112</v>
      </c>
      <c r="I2378" t="s">
        <v>1108</v>
      </c>
      <c r="J2378" t="s">
        <v>7734</v>
      </c>
      <c r="K2378" t="s">
        <v>7735</v>
      </c>
      <c r="L2378" t="s">
        <v>36</v>
      </c>
      <c r="M2378" t="s">
        <v>19177</v>
      </c>
      <c r="N2378" t="s">
        <v>478</v>
      </c>
      <c r="O2378" t="s">
        <v>478</v>
      </c>
      <c r="P2378" t="s">
        <v>454</v>
      </c>
    </row>
    <row r="2379">
      <c r="A2379">
        <f>HYPERLINK("http://bombeiros.sp.gov.br/hidrantes/03individual/16596.html","16596")</f>
      </c>
      <c r="B2379" t="s">
        <v>454</v>
      </c>
      <c r="C2379" t="s">
        <v>478</v>
      </c>
      <c r="D2379" t="s">
        <v>483</v>
      </c>
      <c r="E2379" t="s">
        <v>64</v>
      </c>
      <c r="F2379" t="s">
        <v>484</v>
      </c>
      <c r="G2379" t="s">
        <v>18109</v>
      </c>
      <c r="H2379"/>
      <c r="I2379" t="s">
        <v>18</v>
      </c>
      <c r="J2379" t="s">
        <v>485</v>
      </c>
      <c r="K2379" t="s">
        <v>486</v>
      </c>
      <c r="L2379" t="s">
        <v>21</v>
      </c>
      <c r="M2379" t="s">
        <v>19177</v>
      </c>
      <c r="N2379" t="s">
        <v>478</v>
      </c>
      <c r="O2379" t="s">
        <v>478</v>
      </c>
      <c r="P2379" t="s">
        <v>454</v>
      </c>
    </row>
    <row r="2380">
      <c r="A2380">
        <f>HYPERLINK("http://bombeiros.sp.gov.br/hidrantes/03individual/25234.html","25234")</f>
      </c>
      <c r="B2380" t="s">
        <v>454</v>
      </c>
      <c r="C2380" t="s">
        <v>478</v>
      </c>
      <c r="D2380" t="s">
        <v>483</v>
      </c>
      <c r="E2380" t="s">
        <v>64</v>
      </c>
      <c r="F2380" t="s">
        <v>7736</v>
      </c>
      <c r="G2380" t="s">
        <v>18109</v>
      </c>
      <c r="H2380" t="s">
        <v>1107</v>
      </c>
      <c r="I2380" t="s">
        <v>1108</v>
      </c>
      <c r="J2380" t="s">
        <v>7737</v>
      </c>
      <c r="K2380" t="s">
        <v>7738</v>
      </c>
      <c r="L2380" t="s">
        <v>21</v>
      </c>
      <c r="M2380" t="s">
        <v>19177</v>
      </c>
      <c r="N2380" t="s">
        <v>478</v>
      </c>
      <c r="O2380" t="s">
        <v>478</v>
      </c>
      <c r="P2380" t="s">
        <v>454</v>
      </c>
    </row>
    <row r="2381">
      <c r="A2381">
        <f>HYPERLINK("http://bombeiros.sp.gov.br/hidrantes/03individual/85.html","85")</f>
      </c>
      <c r="B2381" t="s">
        <v>454</v>
      </c>
      <c r="C2381" t="s">
        <v>478</v>
      </c>
      <c r="D2381" t="s">
        <v>483</v>
      </c>
      <c r="E2381" t="s">
        <v>15</v>
      </c>
      <c r="F2381" t="s">
        <v>7739</v>
      </c>
      <c r="G2381" t="s">
        <v>17973</v>
      </c>
      <c r="H2381" t="s">
        <v>1112</v>
      </c>
      <c r="I2381" t="s">
        <v>1108</v>
      </c>
      <c r="J2381" t="s">
        <v>7740</v>
      </c>
      <c r="K2381" t="s">
        <v>7741</v>
      </c>
      <c r="L2381" t="s">
        <v>21</v>
      </c>
      <c r="M2381" t="s">
        <v>19177</v>
      </c>
      <c r="N2381" t="s">
        <v>478</v>
      </c>
      <c r="O2381" t="s">
        <v>478</v>
      </c>
      <c r="P2381" t="s">
        <v>454</v>
      </c>
    </row>
    <row r="2382">
      <c r="A2382">
        <f>HYPERLINK("http://bombeiros.sp.gov.br/hidrantes/03individual/1095.html","1095")</f>
      </c>
      <c r="B2382" t="s">
        <v>454</v>
      </c>
      <c r="C2382" t="s">
        <v>478</v>
      </c>
      <c r="D2382" t="s">
        <v>483</v>
      </c>
      <c r="E2382" t="s">
        <v>15</v>
      </c>
      <c r="F2382" t="s">
        <v>7742</v>
      </c>
      <c r="G2382" t="s">
        <v>18075</v>
      </c>
      <c r="H2382" t="s">
        <v>1107</v>
      </c>
      <c r="I2382" t="s">
        <v>1117</v>
      </c>
      <c r="J2382" t="s">
        <v>7743</v>
      </c>
      <c r="K2382" t="s">
        <v>7744</v>
      </c>
      <c r="L2382" t="s">
        <v>21</v>
      </c>
      <c r="M2382" t="s">
        <v>19177</v>
      </c>
      <c r="N2382" t="s">
        <v>519</v>
      </c>
      <c r="O2382" t="s">
        <v>519</v>
      </c>
      <c r="P2382" t="s">
        <v>454</v>
      </c>
    </row>
    <row r="2383">
      <c r="A2383">
        <f>HYPERLINK("http://bombeiros.sp.gov.br/hidrantes/03individual/1267.html","1267")</f>
      </c>
      <c r="B2383" t="s">
        <v>454</v>
      </c>
      <c r="C2383" t="s">
        <v>478</v>
      </c>
      <c r="D2383" t="s">
        <v>483</v>
      </c>
      <c r="E2383" t="s">
        <v>15</v>
      </c>
      <c r="F2383" t="s">
        <v>7745</v>
      </c>
      <c r="G2383" t="s">
        <v>18022</v>
      </c>
      <c r="H2383" t="s">
        <v>1112</v>
      </c>
      <c r="I2383" t="s">
        <v>1108</v>
      </c>
      <c r="J2383" t="s">
        <v>7746</v>
      </c>
      <c r="K2383" t="s">
        <v>7747</v>
      </c>
      <c r="L2383" t="s">
        <v>21</v>
      </c>
      <c r="M2383" t="s">
        <v>19177</v>
      </c>
      <c r="N2383" t="s">
        <v>478</v>
      </c>
      <c r="O2383" t="s">
        <v>478</v>
      </c>
      <c r="P2383" t="s">
        <v>454</v>
      </c>
    </row>
    <row r="2384">
      <c r="A2384">
        <f>HYPERLINK("http://bombeiros.sp.gov.br/hidrantes/03individual/4041.html","4041")</f>
      </c>
      <c r="B2384" t="s">
        <v>454</v>
      </c>
      <c r="C2384" t="s">
        <v>478</v>
      </c>
      <c r="D2384" t="s">
        <v>483</v>
      </c>
      <c r="E2384" t="s">
        <v>15</v>
      </c>
      <c r="F2384" t="s">
        <v>7748</v>
      </c>
      <c r="G2384" t="s">
        <v>18109</v>
      </c>
      <c r="H2384" t="s">
        <v>1121</v>
      </c>
      <c r="I2384" t="s">
        <v>1117</v>
      </c>
      <c r="J2384" t="s">
        <v>7749</v>
      </c>
      <c r="K2384" t="s">
        <v>7750</v>
      </c>
      <c r="L2384" t="s">
        <v>21</v>
      </c>
      <c r="M2384" t="s">
        <v>19177</v>
      </c>
      <c r="N2384" t="s">
        <v>478</v>
      </c>
      <c r="O2384" t="s">
        <v>478</v>
      </c>
      <c r="P2384" t="s">
        <v>454</v>
      </c>
    </row>
    <row r="2385">
      <c r="A2385">
        <f>HYPERLINK("http://bombeiros.sp.gov.br/hidrantes/03individual/4042.html","4042")</f>
      </c>
      <c r="B2385" t="s">
        <v>454</v>
      </c>
      <c r="C2385" t="s">
        <v>478</v>
      </c>
      <c r="D2385" t="s">
        <v>483</v>
      </c>
      <c r="E2385" t="s">
        <v>15</v>
      </c>
      <c r="F2385" t="s">
        <v>7751</v>
      </c>
      <c r="G2385" t="s">
        <v>18116</v>
      </c>
      <c r="H2385" t="s">
        <v>1112</v>
      </c>
      <c r="I2385" t="s">
        <v>1108</v>
      </c>
      <c r="J2385" t="s">
        <v>7752</v>
      </c>
      <c r="K2385" t="s">
        <v>7753</v>
      </c>
      <c r="L2385" t="s">
        <v>21</v>
      </c>
      <c r="M2385" t="s">
        <v>19177</v>
      </c>
      <c r="N2385" t="s">
        <v>478</v>
      </c>
      <c r="O2385" t="s">
        <v>478</v>
      </c>
      <c r="P2385" t="s">
        <v>454</v>
      </c>
    </row>
    <row r="2386">
      <c r="A2386">
        <f>HYPERLINK("http://bombeiros.sp.gov.br/hidrantes/03individual/3580.html","3580")</f>
      </c>
      <c r="B2386" t="s">
        <v>454</v>
      </c>
      <c r="C2386" t="s">
        <v>490</v>
      </c>
      <c r="D2386" t="s">
        <v>491</v>
      </c>
      <c r="E2386" t="s">
        <v>64</v>
      </c>
      <c r="F2386" t="s">
        <v>7754</v>
      </c>
      <c r="G2386" t="s">
        <v>18049</v>
      </c>
      <c r="H2386" t="s">
        <v>1107</v>
      </c>
      <c r="I2386" t="s">
        <v>1108</v>
      </c>
      <c r="J2386" t="s">
        <v>7755</v>
      </c>
      <c r="K2386" t="s">
        <v>7756</v>
      </c>
      <c r="L2386" t="s">
        <v>21</v>
      </c>
      <c r="M2386" t="s">
        <v>19177</v>
      </c>
      <c r="N2386" t="s">
        <v>531</v>
      </c>
      <c r="O2386" t="s">
        <v>531</v>
      </c>
      <c r="P2386" t="s">
        <v>454</v>
      </c>
    </row>
    <row r="2387">
      <c r="A2387">
        <f>HYPERLINK("http://bombeiros.sp.gov.br/hidrantes/03individual/580.html","580")</f>
      </c>
      <c r="B2387" t="s">
        <v>454</v>
      </c>
      <c r="C2387" t="s">
        <v>490</v>
      </c>
      <c r="D2387" t="s">
        <v>490</v>
      </c>
      <c r="E2387" t="s">
        <v>64</v>
      </c>
      <c r="F2387" t="s">
        <v>7757</v>
      </c>
      <c r="G2387" t="s">
        <v>18125</v>
      </c>
      <c r="H2387" t="s">
        <v>1107</v>
      </c>
      <c r="I2387" t="s">
        <v>1108</v>
      </c>
      <c r="J2387" t="s">
        <v>7758</v>
      </c>
      <c r="K2387" t="s">
        <v>7759</v>
      </c>
      <c r="L2387" t="s">
        <v>36</v>
      </c>
      <c r="M2387" t="s">
        <v>19177</v>
      </c>
      <c r="N2387" t="s">
        <v>594</v>
      </c>
      <c r="O2387" t="s">
        <v>531</v>
      </c>
      <c r="P2387" t="s">
        <v>454</v>
      </c>
    </row>
    <row r="2388">
      <c r="A2388">
        <f>HYPERLINK("http://bombeiros.sp.gov.br/hidrantes/03individual/3475.html","3475")</f>
      </c>
      <c r="B2388" t="s">
        <v>454</v>
      </c>
      <c r="C2388" t="s">
        <v>490</v>
      </c>
      <c r="D2388" t="s">
        <v>490</v>
      </c>
      <c r="E2388" t="s">
        <v>64</v>
      </c>
      <c r="F2388" t="s">
        <v>7760</v>
      </c>
      <c r="G2388" t="s">
        <v>18066</v>
      </c>
      <c r="H2388" t="s">
        <v>1107</v>
      </c>
      <c r="I2388" t="s">
        <v>1108</v>
      </c>
      <c r="J2388" t="s">
        <v>7761</v>
      </c>
      <c r="K2388" t="s">
        <v>7762</v>
      </c>
      <c r="L2388" t="s">
        <v>36</v>
      </c>
      <c r="M2388" t="s">
        <v>19177</v>
      </c>
      <c r="N2388" t="s">
        <v>594</v>
      </c>
      <c r="O2388" t="s">
        <v>531</v>
      </c>
      <c r="P2388" t="s">
        <v>454</v>
      </c>
    </row>
    <row r="2389">
      <c r="A2389">
        <f>HYPERLINK("http://bombeiros.sp.gov.br/hidrantes/03individual/3479.html","3479")</f>
      </c>
      <c r="B2389" t="s">
        <v>454</v>
      </c>
      <c r="C2389" t="s">
        <v>490</v>
      </c>
      <c r="D2389" t="s">
        <v>490</v>
      </c>
      <c r="E2389" t="s">
        <v>64</v>
      </c>
      <c r="F2389" t="s">
        <v>7763</v>
      </c>
      <c r="G2389" t="s">
        <v>18057</v>
      </c>
      <c r="H2389" t="s">
        <v>1112</v>
      </c>
      <c r="I2389" t="s">
        <v>1117</v>
      </c>
      <c r="J2389" t="s">
        <v>16008</v>
      </c>
      <c r="K2389" t="s">
        <v>16009</v>
      </c>
      <c r="L2389" t="s">
        <v>36</v>
      </c>
      <c r="M2389" t="s">
        <v>19177</v>
      </c>
      <c r="N2389" t="s">
        <v>594</v>
      </c>
      <c r="O2389" t="s">
        <v>531</v>
      </c>
      <c r="P2389" t="s">
        <v>454</v>
      </c>
    </row>
    <row r="2390">
      <c r="A2390">
        <f>HYPERLINK("http://bombeiros.sp.gov.br/hidrantes/03individual/3537.html","3537")</f>
      </c>
      <c r="B2390" t="s">
        <v>454</v>
      </c>
      <c r="C2390" t="s">
        <v>490</v>
      </c>
      <c r="D2390" t="s">
        <v>490</v>
      </c>
      <c r="E2390" t="s">
        <v>64</v>
      </c>
      <c r="F2390" t="s">
        <v>7766</v>
      </c>
      <c r="G2390" t="s">
        <v>18196</v>
      </c>
      <c r="H2390" t="s">
        <v>1112</v>
      </c>
      <c r="I2390" t="s">
        <v>1108</v>
      </c>
      <c r="J2390" t="s">
        <v>7767</v>
      </c>
      <c r="K2390" t="s">
        <v>7768</v>
      </c>
      <c r="L2390" t="s">
        <v>36</v>
      </c>
      <c r="M2390" t="s">
        <v>19177</v>
      </c>
      <c r="N2390" t="s">
        <v>594</v>
      </c>
      <c r="O2390" t="s">
        <v>531</v>
      </c>
      <c r="P2390" t="s">
        <v>454</v>
      </c>
    </row>
    <row r="2391">
      <c r="A2391">
        <f>HYPERLINK("http://bombeiros.sp.gov.br/hidrantes/03individual/3540.html","3540")</f>
      </c>
      <c r="B2391" t="s">
        <v>454</v>
      </c>
      <c r="C2391" t="s">
        <v>490</v>
      </c>
      <c r="D2391" t="s">
        <v>490</v>
      </c>
      <c r="E2391" t="s">
        <v>64</v>
      </c>
      <c r="F2391" t="s">
        <v>7769</v>
      </c>
      <c r="G2391" t="s">
        <v>18196</v>
      </c>
      <c r="H2391" t="s">
        <v>1112</v>
      </c>
      <c r="I2391" t="s">
        <v>1117</v>
      </c>
      <c r="J2391" t="s">
        <v>7770</v>
      </c>
      <c r="K2391" t="s">
        <v>7771</v>
      </c>
      <c r="L2391" t="s">
        <v>36</v>
      </c>
      <c r="M2391" t="s">
        <v>19177</v>
      </c>
      <c r="N2391" t="s">
        <v>594</v>
      </c>
      <c r="O2391" t="s">
        <v>531</v>
      </c>
      <c r="P2391" t="s">
        <v>454</v>
      </c>
    </row>
    <row r="2392">
      <c r="A2392">
        <f>HYPERLINK("http://bombeiros.sp.gov.br/hidrantes/03individual/3541.html","3541")</f>
      </c>
      <c r="B2392" t="s">
        <v>454</v>
      </c>
      <c r="C2392" t="s">
        <v>490</v>
      </c>
      <c r="D2392" t="s">
        <v>490</v>
      </c>
      <c r="E2392" t="s">
        <v>64</v>
      </c>
      <c r="F2392" t="s">
        <v>7772</v>
      </c>
      <c r="G2392" t="s">
        <v>18196</v>
      </c>
      <c r="H2392" t="s">
        <v>1112</v>
      </c>
      <c r="I2392" t="s">
        <v>1108</v>
      </c>
      <c r="J2392" t="s">
        <v>7773</v>
      </c>
      <c r="K2392" t="s">
        <v>7774</v>
      </c>
      <c r="L2392" t="s">
        <v>36</v>
      </c>
      <c r="M2392" t="s">
        <v>19177</v>
      </c>
      <c r="N2392" t="s">
        <v>594</v>
      </c>
      <c r="O2392" t="s">
        <v>531</v>
      </c>
      <c r="P2392" t="s">
        <v>454</v>
      </c>
    </row>
    <row r="2393">
      <c r="A2393">
        <f>HYPERLINK("http://bombeiros.sp.gov.br/hidrantes/03individual/3584.html","3584")</f>
      </c>
      <c r="B2393" t="s">
        <v>454</v>
      </c>
      <c r="C2393" t="s">
        <v>490</v>
      </c>
      <c r="D2393" t="s">
        <v>490</v>
      </c>
      <c r="E2393" t="s">
        <v>64</v>
      </c>
      <c r="F2393" t="s">
        <v>7775</v>
      </c>
      <c r="G2393" t="s">
        <v>18066</v>
      </c>
      <c r="H2393" t="s">
        <v>1121</v>
      </c>
      <c r="I2393" t="s">
        <v>1117</v>
      </c>
      <c r="J2393" t="s">
        <v>7776</v>
      </c>
      <c r="K2393" t="s">
        <v>7777</v>
      </c>
      <c r="L2393" t="s">
        <v>21</v>
      </c>
      <c r="M2393" t="s">
        <v>19177</v>
      </c>
      <c r="N2393" t="s">
        <v>594</v>
      </c>
      <c r="O2393" t="s">
        <v>531</v>
      </c>
      <c r="P2393" t="s">
        <v>454</v>
      </c>
    </row>
    <row r="2394">
      <c r="A2394">
        <f>HYPERLINK("http://bombeiros.sp.gov.br/hidrantes/03individual/28372.html","28372")</f>
      </c>
      <c r="B2394" t="s">
        <v>454</v>
      </c>
      <c r="C2394" t="s">
        <v>490</v>
      </c>
      <c r="D2394" t="s">
        <v>490</v>
      </c>
      <c r="E2394" t="s">
        <v>64</v>
      </c>
      <c r="F2394" t="s">
        <v>18629</v>
      </c>
      <c r="G2394"/>
      <c r="H2394"/>
      <c r="I2394" t="s">
        <v>1503</v>
      </c>
      <c r="J2394" t="s">
        <v>18630</v>
      </c>
      <c r="K2394" t="s">
        <v>18631</v>
      </c>
      <c r="L2394" t="s">
        <v>21</v>
      </c>
      <c r="M2394" t="s">
        <v>19177</v>
      </c>
      <c r="N2394" t="s">
        <v>594</v>
      </c>
      <c r="O2394" t="s">
        <v>531</v>
      </c>
      <c r="P2394" t="s">
        <v>454</v>
      </c>
    </row>
    <row r="2395">
      <c r="A2395">
        <f>HYPERLINK("http://bombeiros.sp.gov.br/hidrantes/03individual/572.html","572")</f>
      </c>
      <c r="B2395" t="s">
        <v>454</v>
      </c>
      <c r="C2395" t="s">
        <v>490</v>
      </c>
      <c r="D2395" t="s">
        <v>490</v>
      </c>
      <c r="E2395" t="s">
        <v>15</v>
      </c>
      <c r="F2395" t="s">
        <v>496</v>
      </c>
      <c r="G2395" t="s">
        <v>18057</v>
      </c>
      <c r="H2395" t="s">
        <v>1112</v>
      </c>
      <c r="I2395" t="s">
        <v>1108</v>
      </c>
      <c r="J2395" t="s">
        <v>497</v>
      </c>
      <c r="K2395" t="s">
        <v>498</v>
      </c>
      <c r="L2395" t="s">
        <v>21</v>
      </c>
      <c r="M2395" t="s">
        <v>19177</v>
      </c>
      <c r="N2395" t="s">
        <v>594</v>
      </c>
      <c r="O2395" t="s">
        <v>531</v>
      </c>
      <c r="P2395" t="s">
        <v>454</v>
      </c>
    </row>
    <row r="2396">
      <c r="A2396">
        <f>HYPERLINK("http://bombeiros.sp.gov.br/hidrantes/03individual/583.html","583")</f>
      </c>
      <c r="B2396" t="s">
        <v>454</v>
      </c>
      <c r="C2396" t="s">
        <v>490</v>
      </c>
      <c r="D2396" t="s">
        <v>490</v>
      </c>
      <c r="E2396" t="s">
        <v>15</v>
      </c>
      <c r="F2396" t="s">
        <v>7778</v>
      </c>
      <c r="G2396" t="s">
        <v>18057</v>
      </c>
      <c r="H2396" t="s">
        <v>1112</v>
      </c>
      <c r="I2396" t="s">
        <v>1108</v>
      </c>
      <c r="J2396" t="s">
        <v>7779</v>
      </c>
      <c r="K2396" t="s">
        <v>7780</v>
      </c>
      <c r="L2396" t="s">
        <v>21</v>
      </c>
      <c r="M2396" t="s">
        <v>19177</v>
      </c>
      <c r="N2396" t="s">
        <v>594</v>
      </c>
      <c r="O2396" t="s">
        <v>531</v>
      </c>
      <c r="P2396" t="s">
        <v>454</v>
      </c>
    </row>
    <row r="2397">
      <c r="A2397">
        <f>HYPERLINK("http://bombeiros.sp.gov.br/hidrantes/03individual/597.html","597")</f>
      </c>
      <c r="B2397" t="s">
        <v>454</v>
      </c>
      <c r="C2397" t="s">
        <v>490</v>
      </c>
      <c r="D2397" t="s">
        <v>490</v>
      </c>
      <c r="E2397" t="s">
        <v>15</v>
      </c>
      <c r="F2397" t="s">
        <v>499</v>
      </c>
      <c r="G2397" t="s">
        <v>18057</v>
      </c>
      <c r="H2397" t="s">
        <v>1121</v>
      </c>
      <c r="I2397" t="s">
        <v>1117</v>
      </c>
      <c r="J2397" t="s">
        <v>500</v>
      </c>
      <c r="K2397" t="s">
        <v>501</v>
      </c>
      <c r="L2397" t="s">
        <v>21</v>
      </c>
      <c r="M2397" t="s">
        <v>19177</v>
      </c>
      <c r="N2397" t="s">
        <v>594</v>
      </c>
      <c r="O2397" t="s">
        <v>531</v>
      </c>
      <c r="P2397" t="s">
        <v>454</v>
      </c>
    </row>
    <row r="2398">
      <c r="A2398">
        <f>HYPERLINK("http://bombeiros.sp.gov.br/hidrantes/03individual/665.html","665")</f>
      </c>
      <c r="B2398" t="s">
        <v>454</v>
      </c>
      <c r="C2398" t="s">
        <v>490</v>
      </c>
      <c r="D2398" t="s">
        <v>490</v>
      </c>
      <c r="E2398" t="s">
        <v>15</v>
      </c>
      <c r="F2398" t="s">
        <v>7781</v>
      </c>
      <c r="G2398" t="s">
        <v>18196</v>
      </c>
      <c r="H2398" t="s">
        <v>1112</v>
      </c>
      <c r="I2398" t="s">
        <v>1108</v>
      </c>
      <c r="J2398" t="s">
        <v>7782</v>
      </c>
      <c r="K2398" t="s">
        <v>7783</v>
      </c>
      <c r="L2398" t="s">
        <v>21</v>
      </c>
      <c r="M2398" t="s">
        <v>19177</v>
      </c>
      <c r="N2398" t="s">
        <v>594</v>
      </c>
      <c r="O2398" t="s">
        <v>531</v>
      </c>
      <c r="P2398" t="s">
        <v>454</v>
      </c>
    </row>
    <row r="2399">
      <c r="A2399">
        <f>HYPERLINK("http://bombeiros.sp.gov.br/hidrantes/03individual/681.html","681")</f>
      </c>
      <c r="B2399" t="s">
        <v>454</v>
      </c>
      <c r="C2399" t="s">
        <v>490</v>
      </c>
      <c r="D2399" t="s">
        <v>490</v>
      </c>
      <c r="E2399" t="s">
        <v>15</v>
      </c>
      <c r="F2399" t="s">
        <v>7784</v>
      </c>
      <c r="G2399" t="s">
        <v>18196</v>
      </c>
      <c r="H2399" t="s">
        <v>1112</v>
      </c>
      <c r="I2399" t="s">
        <v>1108</v>
      </c>
      <c r="J2399" t="s">
        <v>7785</v>
      </c>
      <c r="K2399" t="s">
        <v>7786</v>
      </c>
      <c r="L2399" t="s">
        <v>21</v>
      </c>
      <c r="M2399" t="s">
        <v>19177</v>
      </c>
      <c r="N2399" t="s">
        <v>594</v>
      </c>
      <c r="O2399" t="s">
        <v>531</v>
      </c>
      <c r="P2399" t="s">
        <v>454</v>
      </c>
    </row>
    <row r="2400">
      <c r="A2400">
        <f>HYPERLINK("http://bombeiros.sp.gov.br/hidrantes/03individual/725.html","725")</f>
      </c>
      <c r="B2400" t="s">
        <v>454</v>
      </c>
      <c r="C2400" t="s">
        <v>490</v>
      </c>
      <c r="D2400" t="s">
        <v>490</v>
      </c>
      <c r="E2400" t="s">
        <v>15</v>
      </c>
      <c r="F2400" t="s">
        <v>7787</v>
      </c>
      <c r="G2400" t="s">
        <v>18196</v>
      </c>
      <c r="H2400" t="s">
        <v>1174</v>
      </c>
      <c r="I2400" t="s">
        <v>1117</v>
      </c>
      <c r="J2400" t="s">
        <v>7788</v>
      </c>
      <c r="K2400" t="s">
        <v>7789</v>
      </c>
      <c r="L2400" t="s">
        <v>21</v>
      </c>
      <c r="M2400" t="s">
        <v>19177</v>
      </c>
      <c r="N2400" t="s">
        <v>594</v>
      </c>
      <c r="O2400" t="s">
        <v>531</v>
      </c>
      <c r="P2400" t="s">
        <v>454</v>
      </c>
    </row>
    <row r="2401">
      <c r="A2401">
        <f>HYPERLINK("http://bombeiros.sp.gov.br/hidrantes/03individual/729.html","729")</f>
      </c>
      <c r="B2401" t="s">
        <v>454</v>
      </c>
      <c r="C2401" t="s">
        <v>490</v>
      </c>
      <c r="D2401" t="s">
        <v>490</v>
      </c>
      <c r="E2401" t="s">
        <v>15</v>
      </c>
      <c r="F2401" t="s">
        <v>7790</v>
      </c>
      <c r="G2401" t="s">
        <v>18196</v>
      </c>
      <c r="H2401" t="s">
        <v>1107</v>
      </c>
      <c r="I2401" t="s">
        <v>1108</v>
      </c>
      <c r="J2401" t="s">
        <v>7791</v>
      </c>
      <c r="K2401" t="s">
        <v>7792</v>
      </c>
      <c r="L2401" t="s">
        <v>21</v>
      </c>
      <c r="M2401" t="s">
        <v>19177</v>
      </c>
      <c r="N2401" t="s">
        <v>594</v>
      </c>
      <c r="O2401" t="s">
        <v>531</v>
      </c>
      <c r="P2401" t="s">
        <v>454</v>
      </c>
    </row>
    <row r="2402">
      <c r="A2402">
        <f>HYPERLINK("http://bombeiros.sp.gov.br/hidrantes/03individual/730.html","730")</f>
      </c>
      <c r="B2402" t="s">
        <v>454</v>
      </c>
      <c r="C2402" t="s">
        <v>490</v>
      </c>
      <c r="D2402" t="s">
        <v>490</v>
      </c>
      <c r="E2402" t="s">
        <v>15</v>
      </c>
      <c r="F2402" t="s">
        <v>7793</v>
      </c>
      <c r="G2402" t="s">
        <v>18046</v>
      </c>
      <c r="H2402" t="s">
        <v>1107</v>
      </c>
      <c r="I2402" t="s">
        <v>1108</v>
      </c>
      <c r="J2402" t="s">
        <v>7794</v>
      </c>
      <c r="K2402" t="s">
        <v>7795</v>
      </c>
      <c r="L2402" t="s">
        <v>21</v>
      </c>
      <c r="M2402" t="s">
        <v>19177</v>
      </c>
      <c r="N2402" t="s">
        <v>594</v>
      </c>
      <c r="O2402" t="s">
        <v>531</v>
      </c>
      <c r="P2402" t="s">
        <v>454</v>
      </c>
    </row>
    <row r="2403">
      <c r="A2403">
        <f>HYPERLINK("http://bombeiros.sp.gov.br/hidrantes/03individual/731.html","731")</f>
      </c>
      <c r="B2403" t="s">
        <v>454</v>
      </c>
      <c r="C2403" t="s">
        <v>490</v>
      </c>
      <c r="D2403" t="s">
        <v>490</v>
      </c>
      <c r="E2403" t="s">
        <v>15</v>
      </c>
      <c r="F2403" t="s">
        <v>7796</v>
      </c>
      <c r="G2403" t="s">
        <v>18196</v>
      </c>
      <c r="H2403" t="s">
        <v>1121</v>
      </c>
      <c r="I2403" t="s">
        <v>1117</v>
      </c>
      <c r="J2403" t="s">
        <v>7797</v>
      </c>
      <c r="K2403" t="s">
        <v>7798</v>
      </c>
      <c r="L2403" t="s">
        <v>21</v>
      </c>
      <c r="M2403" t="s">
        <v>19177</v>
      </c>
      <c r="N2403" t="s">
        <v>594</v>
      </c>
      <c r="O2403" t="s">
        <v>531</v>
      </c>
      <c r="P2403" t="s">
        <v>454</v>
      </c>
    </row>
    <row r="2404">
      <c r="A2404">
        <f>HYPERLINK("http://bombeiros.sp.gov.br/hidrantes/03individual/756.html","756")</f>
      </c>
      <c r="B2404" t="s">
        <v>454</v>
      </c>
      <c r="C2404" t="s">
        <v>490</v>
      </c>
      <c r="D2404" t="s">
        <v>490</v>
      </c>
      <c r="E2404" t="s">
        <v>15</v>
      </c>
      <c r="F2404" t="s">
        <v>502</v>
      </c>
      <c r="G2404" t="s">
        <v>18066</v>
      </c>
      <c r="H2404"/>
      <c r="I2404" t="s">
        <v>18</v>
      </c>
      <c r="J2404" t="s">
        <v>504</v>
      </c>
      <c r="K2404" t="s">
        <v>505</v>
      </c>
      <c r="L2404" t="s">
        <v>21</v>
      </c>
      <c r="M2404" t="s">
        <v>19177</v>
      </c>
      <c r="N2404" t="s">
        <v>594</v>
      </c>
      <c r="O2404" t="s">
        <v>531</v>
      </c>
      <c r="P2404" t="s">
        <v>454</v>
      </c>
    </row>
    <row r="2405">
      <c r="A2405">
        <f>HYPERLINK("http://bombeiros.sp.gov.br/hidrantes/03individual/768.html","768")</f>
      </c>
      <c r="B2405" t="s">
        <v>454</v>
      </c>
      <c r="C2405" t="s">
        <v>490</v>
      </c>
      <c r="D2405" t="s">
        <v>490</v>
      </c>
      <c r="E2405" t="s">
        <v>15</v>
      </c>
      <c r="F2405" t="s">
        <v>7799</v>
      </c>
      <c r="G2405" t="s">
        <v>18196</v>
      </c>
      <c r="H2405" t="s">
        <v>1107</v>
      </c>
      <c r="I2405" t="s">
        <v>1108</v>
      </c>
      <c r="J2405" t="s">
        <v>7800</v>
      </c>
      <c r="K2405" t="s">
        <v>7801</v>
      </c>
      <c r="L2405" t="s">
        <v>21</v>
      </c>
      <c r="M2405" t="s">
        <v>19177</v>
      </c>
      <c r="N2405" t="s">
        <v>594</v>
      </c>
      <c r="O2405" t="s">
        <v>531</v>
      </c>
      <c r="P2405" t="s">
        <v>454</v>
      </c>
    </row>
    <row r="2406">
      <c r="A2406">
        <f>HYPERLINK("http://bombeiros.sp.gov.br/hidrantes/03individual/769.html","769")</f>
      </c>
      <c r="B2406" t="s">
        <v>454</v>
      </c>
      <c r="C2406" t="s">
        <v>490</v>
      </c>
      <c r="D2406" t="s">
        <v>490</v>
      </c>
      <c r="E2406" t="s">
        <v>15</v>
      </c>
      <c r="F2406" t="s">
        <v>7802</v>
      </c>
      <c r="G2406" t="s">
        <v>18196</v>
      </c>
      <c r="H2406" t="s">
        <v>1107</v>
      </c>
      <c r="I2406" t="s">
        <v>1108</v>
      </c>
      <c r="J2406" t="s">
        <v>7803</v>
      </c>
      <c r="K2406" t="s">
        <v>7804</v>
      </c>
      <c r="L2406" t="s">
        <v>21</v>
      </c>
      <c r="M2406" t="s">
        <v>19177</v>
      </c>
      <c r="N2406" t="s">
        <v>594</v>
      </c>
      <c r="O2406" t="s">
        <v>531</v>
      </c>
      <c r="P2406" t="s">
        <v>454</v>
      </c>
    </row>
    <row r="2407">
      <c r="A2407">
        <f>HYPERLINK("http://bombeiros.sp.gov.br/hidrantes/03individual/877.html","877")</f>
      </c>
      <c r="B2407" t="s">
        <v>454</v>
      </c>
      <c r="C2407" t="s">
        <v>490</v>
      </c>
      <c r="D2407" t="s">
        <v>490</v>
      </c>
      <c r="E2407" t="s">
        <v>15</v>
      </c>
      <c r="F2407" t="s">
        <v>7805</v>
      </c>
      <c r="G2407" t="s">
        <v>18124</v>
      </c>
      <c r="H2407" t="s">
        <v>1107</v>
      </c>
      <c r="I2407" t="s">
        <v>1108</v>
      </c>
      <c r="J2407" t="s">
        <v>7806</v>
      </c>
      <c r="K2407" t="s">
        <v>7807</v>
      </c>
      <c r="L2407" t="s">
        <v>21</v>
      </c>
      <c r="M2407" t="s">
        <v>19177</v>
      </c>
      <c r="N2407" t="s">
        <v>594</v>
      </c>
      <c r="O2407" t="s">
        <v>531</v>
      </c>
      <c r="P2407" t="s">
        <v>454</v>
      </c>
    </row>
    <row r="2408">
      <c r="A2408">
        <f>HYPERLINK("http://bombeiros.sp.gov.br/hidrantes/03individual/882.html","882")</f>
      </c>
      <c r="B2408" t="s">
        <v>454</v>
      </c>
      <c r="C2408" t="s">
        <v>490</v>
      </c>
      <c r="D2408" t="s">
        <v>490</v>
      </c>
      <c r="E2408" t="s">
        <v>15</v>
      </c>
      <c r="F2408" t="s">
        <v>7808</v>
      </c>
      <c r="G2408" t="s">
        <v>18054</v>
      </c>
      <c r="H2408" t="s">
        <v>1107</v>
      </c>
      <c r="I2408" t="s">
        <v>1108</v>
      </c>
      <c r="J2408" t="s">
        <v>7809</v>
      </c>
      <c r="K2408" t="s">
        <v>7810</v>
      </c>
      <c r="L2408" t="s">
        <v>21</v>
      </c>
      <c r="M2408" t="s">
        <v>19177</v>
      </c>
      <c r="N2408" t="s">
        <v>594</v>
      </c>
      <c r="O2408" t="s">
        <v>531</v>
      </c>
      <c r="P2408" t="s">
        <v>454</v>
      </c>
    </row>
    <row r="2409">
      <c r="A2409">
        <f>HYPERLINK("http://bombeiros.sp.gov.br/hidrantes/03individual/886.html","886")</f>
      </c>
      <c r="B2409" t="s">
        <v>454</v>
      </c>
      <c r="C2409" t="s">
        <v>490</v>
      </c>
      <c r="D2409" t="s">
        <v>490</v>
      </c>
      <c r="E2409" t="s">
        <v>15</v>
      </c>
      <c r="F2409" t="s">
        <v>7811</v>
      </c>
      <c r="G2409" t="s">
        <v>18054</v>
      </c>
      <c r="H2409" t="s">
        <v>1107</v>
      </c>
      <c r="I2409" t="s">
        <v>1108</v>
      </c>
      <c r="J2409" t="s">
        <v>7812</v>
      </c>
      <c r="K2409" t="s">
        <v>7813</v>
      </c>
      <c r="L2409" t="s">
        <v>21</v>
      </c>
      <c r="M2409" t="s">
        <v>19177</v>
      </c>
      <c r="N2409" t="s">
        <v>594</v>
      </c>
      <c r="O2409" t="s">
        <v>531</v>
      </c>
      <c r="P2409" t="s">
        <v>454</v>
      </c>
    </row>
    <row r="2410">
      <c r="A2410">
        <f>HYPERLINK("http://bombeiros.sp.gov.br/hidrantes/03individual/3477.html","3477")</f>
      </c>
      <c r="B2410" t="s">
        <v>454</v>
      </c>
      <c r="C2410" t="s">
        <v>490</v>
      </c>
      <c r="D2410" t="s">
        <v>490</v>
      </c>
      <c r="E2410" t="s">
        <v>15</v>
      </c>
      <c r="F2410" t="s">
        <v>7814</v>
      </c>
      <c r="G2410" t="s">
        <v>18066</v>
      </c>
      <c r="H2410" t="s">
        <v>1107</v>
      </c>
      <c r="I2410" t="s">
        <v>1108</v>
      </c>
      <c r="J2410" t="s">
        <v>7815</v>
      </c>
      <c r="K2410" t="s">
        <v>7816</v>
      </c>
      <c r="L2410" t="s">
        <v>21</v>
      </c>
      <c r="M2410" t="s">
        <v>19177</v>
      </c>
      <c r="N2410" t="s">
        <v>594</v>
      </c>
      <c r="O2410" t="s">
        <v>531</v>
      </c>
      <c r="P2410" t="s">
        <v>454</v>
      </c>
    </row>
    <row r="2411">
      <c r="A2411">
        <f>HYPERLINK("http://bombeiros.sp.gov.br/hidrantes/03individual/3485.html","3485")</f>
      </c>
      <c r="B2411" t="s">
        <v>454</v>
      </c>
      <c r="C2411" t="s">
        <v>490</v>
      </c>
      <c r="D2411" t="s">
        <v>490</v>
      </c>
      <c r="E2411" t="s">
        <v>15</v>
      </c>
      <c r="F2411" t="s">
        <v>7817</v>
      </c>
      <c r="G2411" t="s">
        <v>18125</v>
      </c>
      <c r="H2411" t="s">
        <v>1107</v>
      </c>
      <c r="I2411" t="s">
        <v>1108</v>
      </c>
      <c r="J2411" t="s">
        <v>7818</v>
      </c>
      <c r="K2411" t="s">
        <v>7819</v>
      </c>
      <c r="L2411" t="s">
        <v>21</v>
      </c>
      <c r="M2411" t="s">
        <v>19177</v>
      </c>
      <c r="N2411" t="s">
        <v>594</v>
      </c>
      <c r="O2411" t="s">
        <v>531</v>
      </c>
      <c r="P2411" t="s">
        <v>454</v>
      </c>
    </row>
    <row r="2412">
      <c r="A2412">
        <f>HYPERLINK("http://bombeiros.sp.gov.br/hidrantes/03individual/3571.html","3571")</f>
      </c>
      <c r="B2412" t="s">
        <v>454</v>
      </c>
      <c r="C2412" t="s">
        <v>490</v>
      </c>
      <c r="D2412" t="s">
        <v>490</v>
      </c>
      <c r="E2412" t="s">
        <v>15</v>
      </c>
      <c r="F2412" t="s">
        <v>7820</v>
      </c>
      <c r="G2412" t="s">
        <v>18054</v>
      </c>
      <c r="H2412" t="s">
        <v>1107</v>
      </c>
      <c r="I2412" t="s">
        <v>1108</v>
      </c>
      <c r="J2412" t="s">
        <v>7821</v>
      </c>
      <c r="K2412" t="s">
        <v>7822</v>
      </c>
      <c r="L2412" t="s">
        <v>21</v>
      </c>
      <c r="M2412" t="s">
        <v>19177</v>
      </c>
      <c r="N2412" t="s">
        <v>594</v>
      </c>
      <c r="O2412" t="s">
        <v>531</v>
      </c>
      <c r="P2412" t="s">
        <v>454</v>
      </c>
    </row>
    <row r="2413">
      <c r="A2413">
        <f>HYPERLINK("http://bombeiros.sp.gov.br/hidrantes/03individual/26904.html","26904")</f>
      </c>
      <c r="B2413" t="s">
        <v>454</v>
      </c>
      <c r="C2413" t="s">
        <v>490</v>
      </c>
      <c r="D2413" t="s">
        <v>490</v>
      </c>
      <c r="E2413" t="s">
        <v>15</v>
      </c>
      <c r="F2413" t="s">
        <v>16347</v>
      </c>
      <c r="G2413" t="s">
        <v>18124</v>
      </c>
      <c r="H2413" t="s">
        <v>1174</v>
      </c>
      <c r="I2413" t="s">
        <v>1117</v>
      </c>
      <c r="J2413" t="s">
        <v>16348</v>
      </c>
      <c r="K2413" t="s">
        <v>16349</v>
      </c>
      <c r="L2413" t="s">
        <v>21</v>
      </c>
      <c r="M2413" t="s">
        <v>19177</v>
      </c>
      <c r="N2413" t="s">
        <v>594</v>
      </c>
      <c r="O2413" t="s">
        <v>531</v>
      </c>
      <c r="P2413" t="s">
        <v>454</v>
      </c>
    </row>
    <row r="2414">
      <c r="A2414">
        <f>HYPERLINK("http://bombeiros.sp.gov.br/hidrantes/03individual/719.html","719")</f>
      </c>
      <c r="B2414" t="s">
        <v>454</v>
      </c>
      <c r="C2414" t="s">
        <v>490</v>
      </c>
      <c r="D2414" t="s">
        <v>506</v>
      </c>
      <c r="E2414" t="s">
        <v>64</v>
      </c>
      <c r="F2414" t="s">
        <v>7823</v>
      </c>
      <c r="G2414" t="s">
        <v>18066</v>
      </c>
      <c r="H2414" t="s">
        <v>1174</v>
      </c>
      <c r="I2414" t="s">
        <v>1108</v>
      </c>
      <c r="J2414" t="s">
        <v>7824</v>
      </c>
      <c r="K2414" t="s">
        <v>7825</v>
      </c>
      <c r="L2414" t="s">
        <v>21</v>
      </c>
      <c r="M2414" t="s">
        <v>19177</v>
      </c>
      <c r="N2414" t="s">
        <v>594</v>
      </c>
      <c r="O2414" t="s">
        <v>531</v>
      </c>
      <c r="P2414" t="s">
        <v>454</v>
      </c>
    </row>
    <row r="2415">
      <c r="A2415">
        <f>HYPERLINK("http://bombeiros.sp.gov.br/hidrantes/03individual/3522.html","3522")</f>
      </c>
      <c r="B2415" t="s">
        <v>454</v>
      </c>
      <c r="C2415" t="s">
        <v>490</v>
      </c>
      <c r="D2415" t="s">
        <v>506</v>
      </c>
      <c r="E2415" t="s">
        <v>64</v>
      </c>
      <c r="F2415" t="s">
        <v>7826</v>
      </c>
      <c r="G2415" t="s">
        <v>18057</v>
      </c>
      <c r="H2415" t="s">
        <v>1112</v>
      </c>
      <c r="I2415" t="s">
        <v>1108</v>
      </c>
      <c r="J2415" t="s">
        <v>7827</v>
      </c>
      <c r="K2415" t="s">
        <v>7828</v>
      </c>
      <c r="L2415" t="s">
        <v>21</v>
      </c>
      <c r="M2415" t="s">
        <v>19177</v>
      </c>
      <c r="N2415" t="s">
        <v>594</v>
      </c>
      <c r="O2415" t="s">
        <v>531</v>
      </c>
      <c r="P2415" t="s">
        <v>454</v>
      </c>
    </row>
    <row r="2416">
      <c r="A2416">
        <f>HYPERLINK("http://bombeiros.sp.gov.br/hidrantes/03individual/538.html","538")</f>
      </c>
      <c r="B2416" t="s">
        <v>454</v>
      </c>
      <c r="C2416" t="s">
        <v>490</v>
      </c>
      <c r="D2416" t="s">
        <v>506</v>
      </c>
      <c r="E2416" t="s">
        <v>15</v>
      </c>
      <c r="F2416" t="s">
        <v>7829</v>
      </c>
      <c r="G2416" t="s">
        <v>18057</v>
      </c>
      <c r="H2416" t="s">
        <v>1112</v>
      </c>
      <c r="I2416" t="s">
        <v>1108</v>
      </c>
      <c r="J2416" t="s">
        <v>7830</v>
      </c>
      <c r="K2416" t="s">
        <v>7831</v>
      </c>
      <c r="L2416" t="s">
        <v>21</v>
      </c>
      <c r="M2416" t="s">
        <v>19177</v>
      </c>
      <c r="N2416" t="s">
        <v>594</v>
      </c>
      <c r="O2416" t="s">
        <v>531</v>
      </c>
      <c r="P2416" t="s">
        <v>454</v>
      </c>
    </row>
    <row r="2417">
      <c r="A2417">
        <f>HYPERLINK("http://bombeiros.sp.gov.br/hidrantes/03individual/546.html","546")</f>
      </c>
      <c r="B2417" t="s">
        <v>454</v>
      </c>
      <c r="C2417" t="s">
        <v>490</v>
      </c>
      <c r="D2417" t="s">
        <v>506</v>
      </c>
      <c r="E2417" t="s">
        <v>15</v>
      </c>
      <c r="F2417" t="s">
        <v>7832</v>
      </c>
      <c r="G2417" t="s">
        <v>18061</v>
      </c>
      <c r="H2417" t="s">
        <v>1107</v>
      </c>
      <c r="I2417" t="s">
        <v>1108</v>
      </c>
      <c r="J2417" t="s">
        <v>7833</v>
      </c>
      <c r="K2417" t="s">
        <v>7834</v>
      </c>
      <c r="L2417" t="s">
        <v>21</v>
      </c>
      <c r="M2417" t="s">
        <v>19177</v>
      </c>
      <c r="N2417" t="s">
        <v>594</v>
      </c>
      <c r="O2417" t="s">
        <v>531</v>
      </c>
      <c r="P2417" t="s">
        <v>454</v>
      </c>
    </row>
    <row r="2418">
      <c r="A2418">
        <f>HYPERLINK("http://bombeiros.sp.gov.br/hidrantes/03individual/570.html","570")</f>
      </c>
      <c r="B2418" t="s">
        <v>454</v>
      </c>
      <c r="C2418" t="s">
        <v>490</v>
      </c>
      <c r="D2418" t="s">
        <v>506</v>
      </c>
      <c r="E2418" t="s">
        <v>15</v>
      </c>
      <c r="F2418" t="s">
        <v>507</v>
      </c>
      <c r="G2418" t="s">
        <v>18076</v>
      </c>
      <c r="H2418"/>
      <c r="I2418" t="s">
        <v>18</v>
      </c>
      <c r="J2418" t="s">
        <v>508</v>
      </c>
      <c r="K2418" t="s">
        <v>509</v>
      </c>
      <c r="L2418" t="s">
        <v>21</v>
      </c>
      <c r="M2418" t="s">
        <v>19177</v>
      </c>
      <c r="N2418" t="s">
        <v>594</v>
      </c>
      <c r="O2418" t="s">
        <v>531</v>
      </c>
      <c r="P2418" t="s">
        <v>454</v>
      </c>
    </row>
    <row r="2419">
      <c r="A2419">
        <f>HYPERLINK("http://bombeiros.sp.gov.br/hidrantes/03individual/598.html","598")</f>
      </c>
      <c r="B2419" t="s">
        <v>454</v>
      </c>
      <c r="C2419" t="s">
        <v>490</v>
      </c>
      <c r="D2419" t="s">
        <v>506</v>
      </c>
      <c r="E2419" t="s">
        <v>15</v>
      </c>
      <c r="F2419" t="s">
        <v>7835</v>
      </c>
      <c r="G2419" t="s">
        <v>18073</v>
      </c>
      <c r="H2419" t="s">
        <v>1107</v>
      </c>
      <c r="I2419" t="s">
        <v>1117</v>
      </c>
      <c r="J2419" t="s">
        <v>7836</v>
      </c>
      <c r="K2419" t="s">
        <v>7837</v>
      </c>
      <c r="L2419" t="s">
        <v>21</v>
      </c>
      <c r="M2419" t="s">
        <v>19177</v>
      </c>
      <c r="N2419" t="s">
        <v>594</v>
      </c>
      <c r="O2419" t="s">
        <v>531</v>
      </c>
      <c r="P2419" t="s">
        <v>454</v>
      </c>
    </row>
    <row r="2420">
      <c r="A2420">
        <f>HYPERLINK("http://bombeiros.sp.gov.br/hidrantes/03individual/716.html","716")</f>
      </c>
      <c r="B2420" t="s">
        <v>454</v>
      </c>
      <c r="C2420" t="s">
        <v>490</v>
      </c>
      <c r="D2420" t="s">
        <v>506</v>
      </c>
      <c r="E2420" t="s">
        <v>15</v>
      </c>
      <c r="F2420" t="s">
        <v>7838</v>
      </c>
      <c r="G2420" t="s">
        <v>18057</v>
      </c>
      <c r="H2420" t="s">
        <v>1112</v>
      </c>
      <c r="I2420" t="s">
        <v>1108</v>
      </c>
      <c r="J2420" t="s">
        <v>7839</v>
      </c>
      <c r="K2420" t="s">
        <v>7840</v>
      </c>
      <c r="L2420" t="s">
        <v>21</v>
      </c>
      <c r="M2420" t="s">
        <v>19177</v>
      </c>
      <c r="N2420" t="s">
        <v>594</v>
      </c>
      <c r="O2420" t="s">
        <v>531</v>
      </c>
      <c r="P2420" t="s">
        <v>454</v>
      </c>
    </row>
    <row r="2421">
      <c r="A2421">
        <f>HYPERLINK("http://bombeiros.sp.gov.br/hidrantes/03individual/3507.html","3507")</f>
      </c>
      <c r="B2421" t="s">
        <v>454</v>
      </c>
      <c r="C2421" t="s">
        <v>490</v>
      </c>
      <c r="D2421" t="s">
        <v>506</v>
      </c>
      <c r="E2421" t="s">
        <v>15</v>
      </c>
      <c r="F2421" t="s">
        <v>7841</v>
      </c>
      <c r="G2421" t="s">
        <v>18066</v>
      </c>
      <c r="H2421" t="s">
        <v>1107</v>
      </c>
      <c r="I2421" t="s">
        <v>1108</v>
      </c>
      <c r="J2421" t="s">
        <v>7842</v>
      </c>
      <c r="K2421" t="s">
        <v>7843</v>
      </c>
      <c r="L2421" t="s">
        <v>21</v>
      </c>
      <c r="M2421" t="s">
        <v>19177</v>
      </c>
      <c r="N2421" t="s">
        <v>594</v>
      </c>
      <c r="O2421" t="s">
        <v>531</v>
      </c>
      <c r="P2421" t="s">
        <v>454</v>
      </c>
    </row>
    <row r="2422">
      <c r="A2422">
        <f>HYPERLINK("http://bombeiros.sp.gov.br/hidrantes/03individual/3521.html","3521")</f>
      </c>
      <c r="B2422" t="s">
        <v>454</v>
      </c>
      <c r="C2422" t="s">
        <v>490</v>
      </c>
      <c r="D2422" t="s">
        <v>506</v>
      </c>
      <c r="E2422" t="s">
        <v>15</v>
      </c>
      <c r="F2422" t="s">
        <v>7844</v>
      </c>
      <c r="G2422" t="s">
        <v>18057</v>
      </c>
      <c r="H2422" t="s">
        <v>1112</v>
      </c>
      <c r="I2422" t="s">
        <v>1108</v>
      </c>
      <c r="J2422" t="s">
        <v>7845</v>
      </c>
      <c r="K2422" t="s">
        <v>7846</v>
      </c>
      <c r="L2422" t="s">
        <v>36</v>
      </c>
      <c r="M2422" t="s">
        <v>19177</v>
      </c>
      <c r="N2422" t="s">
        <v>594</v>
      </c>
      <c r="O2422" t="s">
        <v>531</v>
      </c>
      <c r="P2422" t="s">
        <v>454</v>
      </c>
    </row>
    <row r="2423">
      <c r="A2423">
        <f>HYPERLINK("http://bombeiros.sp.gov.br/hidrantes/03individual/26805.html","26805")</f>
      </c>
      <c r="B2423" t="s">
        <v>454</v>
      </c>
      <c r="C2423" t="s">
        <v>490</v>
      </c>
      <c r="D2423" t="s">
        <v>506</v>
      </c>
      <c r="E2423" t="s">
        <v>15</v>
      </c>
      <c r="F2423" t="s">
        <v>15915</v>
      </c>
      <c r="G2423" t="s">
        <v>18135</v>
      </c>
      <c r="H2423" t="s">
        <v>1112</v>
      </c>
      <c r="I2423" t="s">
        <v>1108</v>
      </c>
      <c r="J2423" t="s">
        <v>15916</v>
      </c>
      <c r="K2423" t="s">
        <v>15917</v>
      </c>
      <c r="L2423" t="s">
        <v>21</v>
      </c>
      <c r="M2423" t="s">
        <v>19177</v>
      </c>
      <c r="N2423" t="s">
        <v>594</v>
      </c>
      <c r="O2423" t="s">
        <v>531</v>
      </c>
      <c r="P2423" t="s">
        <v>454</v>
      </c>
    </row>
    <row r="2424">
      <c r="A2424">
        <f>HYPERLINK("http://bombeiros.sp.gov.br/hidrantes/03individual/28374.html","28374")</f>
      </c>
      <c r="B2424" t="s">
        <v>454</v>
      </c>
      <c r="C2424" t="s">
        <v>490</v>
      </c>
      <c r="D2424" t="s">
        <v>506</v>
      </c>
      <c r="E2424" t="s">
        <v>15</v>
      </c>
      <c r="F2424" t="s">
        <v>18632</v>
      </c>
      <c r="G2424"/>
      <c r="H2424"/>
      <c r="I2424" t="s">
        <v>1503</v>
      </c>
      <c r="J2424" t="s">
        <v>18633</v>
      </c>
      <c r="K2424" t="s">
        <v>18634</v>
      </c>
      <c r="L2424" t="s">
        <v>21</v>
      </c>
      <c r="M2424" t="s">
        <v>19177</v>
      </c>
      <c r="N2424" t="s">
        <v>594</v>
      </c>
      <c r="O2424" t="s">
        <v>531</v>
      </c>
      <c r="P2424" t="s">
        <v>454</v>
      </c>
    </row>
    <row r="2425">
      <c r="A2425">
        <f>HYPERLINK("http://bombeiros.sp.gov.br/hidrantes/03individual/28375.html","28375")</f>
      </c>
      <c r="B2425" t="s">
        <v>454</v>
      </c>
      <c r="C2425" t="s">
        <v>490</v>
      </c>
      <c r="D2425" t="s">
        <v>506</v>
      </c>
      <c r="E2425" t="s">
        <v>15</v>
      </c>
      <c r="F2425" t="s">
        <v>18635</v>
      </c>
      <c r="G2425"/>
      <c r="H2425"/>
      <c r="I2425" t="s">
        <v>1503</v>
      </c>
      <c r="J2425" t="s">
        <v>18636</v>
      </c>
      <c r="K2425" t="s">
        <v>18637</v>
      </c>
      <c r="L2425" t="s">
        <v>21</v>
      </c>
      <c r="M2425" t="s">
        <v>19177</v>
      </c>
      <c r="N2425" t="s">
        <v>594</v>
      </c>
      <c r="O2425" t="s">
        <v>531</v>
      </c>
      <c r="P2425" t="s">
        <v>454</v>
      </c>
    </row>
    <row r="2426">
      <c r="A2426">
        <f>HYPERLINK("http://bombeiros.sp.gov.br/hidrantes/03individual/1010.html","1010")</f>
      </c>
      <c r="B2426" t="s">
        <v>454</v>
      </c>
      <c r="C2426" t="s">
        <v>510</v>
      </c>
      <c r="D2426" t="s">
        <v>7847</v>
      </c>
      <c r="E2426" t="s">
        <v>64</v>
      </c>
      <c r="F2426" t="s">
        <v>7848</v>
      </c>
      <c r="G2426" t="s">
        <v>18145</v>
      </c>
      <c r="H2426" t="s">
        <v>1112</v>
      </c>
      <c r="I2426" t="s">
        <v>1108</v>
      </c>
      <c r="J2426" t="s">
        <v>7849</v>
      </c>
      <c r="K2426" t="s">
        <v>7850</v>
      </c>
      <c r="L2426" t="s">
        <v>21</v>
      </c>
      <c r="M2426" t="s">
        <v>19177</v>
      </c>
      <c r="N2426" t="s">
        <v>519</v>
      </c>
      <c r="O2426" t="s">
        <v>519</v>
      </c>
      <c r="P2426" t="s">
        <v>454</v>
      </c>
    </row>
    <row r="2427">
      <c r="A2427">
        <f>HYPERLINK("http://bombeiros.sp.gov.br/hidrantes/03individual/1011.html","1011")</f>
      </c>
      <c r="B2427" t="s">
        <v>454</v>
      </c>
      <c r="C2427" t="s">
        <v>510</v>
      </c>
      <c r="D2427" t="s">
        <v>7847</v>
      </c>
      <c r="E2427" t="s">
        <v>64</v>
      </c>
      <c r="F2427" t="s">
        <v>7851</v>
      </c>
      <c r="G2427" t="s">
        <v>18103</v>
      </c>
      <c r="H2427" t="s">
        <v>1112</v>
      </c>
      <c r="I2427" t="s">
        <v>1108</v>
      </c>
      <c r="J2427" t="s">
        <v>16356</v>
      </c>
      <c r="K2427" t="s">
        <v>16357</v>
      </c>
      <c r="L2427" t="s">
        <v>36</v>
      </c>
      <c r="M2427" t="s">
        <v>19177</v>
      </c>
      <c r="N2427" t="s">
        <v>519</v>
      </c>
      <c r="O2427" t="s">
        <v>519</v>
      </c>
      <c r="P2427" t="s">
        <v>454</v>
      </c>
    </row>
    <row r="2428">
      <c r="A2428">
        <f>HYPERLINK("http://bombeiros.sp.gov.br/hidrantes/03individual/4396.html","4396")</f>
      </c>
      <c r="B2428" t="s">
        <v>454</v>
      </c>
      <c r="C2428" t="s">
        <v>510</v>
      </c>
      <c r="D2428" t="s">
        <v>7847</v>
      </c>
      <c r="E2428" t="s">
        <v>64</v>
      </c>
      <c r="F2428" t="s">
        <v>7854</v>
      </c>
      <c r="G2428" t="s">
        <v>18193</v>
      </c>
      <c r="H2428" t="s">
        <v>1107</v>
      </c>
      <c r="I2428" t="s">
        <v>1108</v>
      </c>
      <c r="J2428" t="s">
        <v>7855</v>
      </c>
      <c r="K2428" t="s">
        <v>7856</v>
      </c>
      <c r="L2428" t="s">
        <v>21</v>
      </c>
      <c r="M2428" t="s">
        <v>19177</v>
      </c>
      <c r="N2428" t="s">
        <v>519</v>
      </c>
      <c r="O2428" t="s">
        <v>519</v>
      </c>
      <c r="P2428" t="s">
        <v>454</v>
      </c>
    </row>
    <row r="2429">
      <c r="A2429">
        <f>HYPERLINK("http://bombeiros.sp.gov.br/hidrantes/03individual/27323.html","27323")</f>
      </c>
      <c r="B2429" t="s">
        <v>454</v>
      </c>
      <c r="C2429" t="s">
        <v>510</v>
      </c>
      <c r="D2429" t="s">
        <v>7847</v>
      </c>
      <c r="E2429" t="s">
        <v>64</v>
      </c>
      <c r="F2429" t="s">
        <v>17128</v>
      </c>
      <c r="G2429" t="s">
        <v>18049</v>
      </c>
      <c r="H2429" t="s">
        <v>1121</v>
      </c>
      <c r="I2429" t="s">
        <v>1117</v>
      </c>
      <c r="J2429" t="s">
        <v>17129</v>
      </c>
      <c r="K2429" t="s">
        <v>17130</v>
      </c>
      <c r="L2429" t="s">
        <v>21</v>
      </c>
      <c r="M2429" t="s">
        <v>19177</v>
      </c>
      <c r="N2429" t="s">
        <v>519</v>
      </c>
      <c r="O2429" t="s">
        <v>519</v>
      </c>
      <c r="P2429" t="s">
        <v>454</v>
      </c>
    </row>
    <row r="2430">
      <c r="A2430">
        <f>HYPERLINK("http://bombeiros.sp.gov.br/hidrantes/03individual/1187.html","1187")</f>
      </c>
      <c r="B2430" t="s">
        <v>454</v>
      </c>
      <c r="C2430" t="s">
        <v>510</v>
      </c>
      <c r="D2430" t="s">
        <v>7847</v>
      </c>
      <c r="E2430" t="s">
        <v>15</v>
      </c>
      <c r="F2430" t="s">
        <v>7857</v>
      </c>
      <c r="G2430" t="s">
        <v>18049</v>
      </c>
      <c r="H2430" t="s">
        <v>1112</v>
      </c>
      <c r="I2430" t="s">
        <v>1108</v>
      </c>
      <c r="J2430" t="s">
        <v>7858</v>
      </c>
      <c r="K2430" t="s">
        <v>7859</v>
      </c>
      <c r="L2430" t="s">
        <v>21</v>
      </c>
      <c r="M2430" t="s">
        <v>19177</v>
      </c>
      <c r="N2430" t="s">
        <v>519</v>
      </c>
      <c r="O2430" t="s">
        <v>519</v>
      </c>
      <c r="P2430" t="s">
        <v>454</v>
      </c>
    </row>
    <row r="2431">
      <c r="A2431">
        <f>HYPERLINK("http://bombeiros.sp.gov.br/hidrantes/03individual/4072.html","4072")</f>
      </c>
      <c r="B2431" t="s">
        <v>454</v>
      </c>
      <c r="C2431" t="s">
        <v>510</v>
      </c>
      <c r="D2431" t="s">
        <v>7847</v>
      </c>
      <c r="E2431" t="s">
        <v>15</v>
      </c>
      <c r="F2431" t="s">
        <v>7860</v>
      </c>
      <c r="G2431" t="s">
        <v>18052</v>
      </c>
      <c r="H2431" t="s">
        <v>1112</v>
      </c>
      <c r="I2431" t="s">
        <v>1108</v>
      </c>
      <c r="J2431" t="s">
        <v>7861</v>
      </c>
      <c r="K2431" t="s">
        <v>7862</v>
      </c>
      <c r="L2431" t="s">
        <v>21</v>
      </c>
      <c r="M2431" t="s">
        <v>19177</v>
      </c>
      <c r="N2431" t="s">
        <v>519</v>
      </c>
      <c r="O2431" t="s">
        <v>519</v>
      </c>
      <c r="P2431" t="s">
        <v>454</v>
      </c>
    </row>
    <row r="2432">
      <c r="A2432">
        <f>HYPERLINK("http://bombeiros.sp.gov.br/hidrantes/03individual/10047.html","10047")</f>
      </c>
      <c r="B2432" t="s">
        <v>454</v>
      </c>
      <c r="C2432" t="s">
        <v>510</v>
      </c>
      <c r="D2432" t="s">
        <v>511</v>
      </c>
      <c r="E2432" t="s">
        <v>1507</v>
      </c>
      <c r="F2432" t="s">
        <v>7863</v>
      </c>
      <c r="G2432" t="s">
        <v>18146</v>
      </c>
      <c r="H2432" t="s">
        <v>1107</v>
      </c>
      <c r="I2432" t="s">
        <v>1108</v>
      </c>
      <c r="J2432" t="s">
        <v>7864</v>
      </c>
      <c r="K2432" t="s">
        <v>7865</v>
      </c>
      <c r="L2432" t="s">
        <v>21</v>
      </c>
      <c r="M2432" t="s">
        <v>19177</v>
      </c>
      <c r="N2432" t="s">
        <v>519</v>
      </c>
      <c r="O2432" t="s">
        <v>519</v>
      </c>
      <c r="P2432" t="s">
        <v>454</v>
      </c>
    </row>
    <row r="2433">
      <c r="A2433">
        <f>HYPERLINK("http://bombeiros.sp.gov.br/hidrantes/03individual/1013.html","1013")</f>
      </c>
      <c r="B2433" t="s">
        <v>454</v>
      </c>
      <c r="C2433" t="s">
        <v>510</v>
      </c>
      <c r="D2433" t="s">
        <v>511</v>
      </c>
      <c r="E2433" t="s">
        <v>64</v>
      </c>
      <c r="F2433" t="s">
        <v>7866</v>
      </c>
      <c r="G2433" t="s">
        <v>18197</v>
      </c>
      <c r="H2433" t="s">
        <v>1107</v>
      </c>
      <c r="I2433" t="s">
        <v>1108</v>
      </c>
      <c r="J2433" t="s">
        <v>7867</v>
      </c>
      <c r="K2433" t="s">
        <v>7868</v>
      </c>
      <c r="L2433" t="s">
        <v>21</v>
      </c>
      <c r="M2433" t="s">
        <v>19177</v>
      </c>
      <c r="N2433" t="s">
        <v>519</v>
      </c>
      <c r="O2433" t="s">
        <v>519</v>
      </c>
      <c r="P2433" t="s">
        <v>454</v>
      </c>
    </row>
    <row r="2434">
      <c r="A2434">
        <f>HYPERLINK("http://bombeiros.sp.gov.br/hidrantes/03individual/1394.html","1394")</f>
      </c>
      <c r="B2434" t="s">
        <v>454</v>
      </c>
      <c r="C2434" t="s">
        <v>510</v>
      </c>
      <c r="D2434" t="s">
        <v>511</v>
      </c>
      <c r="E2434" t="s">
        <v>64</v>
      </c>
      <c r="F2434" t="s">
        <v>7869</v>
      </c>
      <c r="G2434" t="s">
        <v>18197</v>
      </c>
      <c r="H2434" t="s">
        <v>1112</v>
      </c>
      <c r="I2434" t="s">
        <v>1117</v>
      </c>
      <c r="J2434" t="s">
        <v>7870</v>
      </c>
      <c r="K2434" t="s">
        <v>7871</v>
      </c>
      <c r="L2434" t="s">
        <v>21</v>
      </c>
      <c r="M2434" t="s">
        <v>19177</v>
      </c>
      <c r="N2434" t="s">
        <v>519</v>
      </c>
      <c r="O2434" t="s">
        <v>519</v>
      </c>
      <c r="P2434" t="s">
        <v>454</v>
      </c>
    </row>
    <row r="2435">
      <c r="A2435">
        <f>HYPERLINK("http://bombeiros.sp.gov.br/hidrantes/03individual/3979.html","3979")</f>
      </c>
      <c r="B2435" t="s">
        <v>454</v>
      </c>
      <c r="C2435" t="s">
        <v>510</v>
      </c>
      <c r="D2435" t="s">
        <v>511</v>
      </c>
      <c r="E2435" t="s">
        <v>64</v>
      </c>
      <c r="F2435" t="s">
        <v>7872</v>
      </c>
      <c r="G2435" t="s">
        <v>18181</v>
      </c>
      <c r="H2435" t="s">
        <v>1112</v>
      </c>
      <c r="I2435" t="s">
        <v>1108</v>
      </c>
      <c r="J2435" t="s">
        <v>7873</v>
      </c>
      <c r="K2435" t="s">
        <v>7874</v>
      </c>
      <c r="L2435" t="s">
        <v>36</v>
      </c>
      <c r="M2435" t="s">
        <v>19177</v>
      </c>
      <c r="N2435" t="s">
        <v>519</v>
      </c>
      <c r="O2435" t="s">
        <v>519</v>
      </c>
      <c r="P2435" t="s">
        <v>454</v>
      </c>
    </row>
    <row r="2436">
      <c r="A2436">
        <f>HYPERLINK("http://bombeiros.sp.gov.br/hidrantes/03individual/4062.html","4062")</f>
      </c>
      <c r="B2436" t="s">
        <v>454</v>
      </c>
      <c r="C2436" t="s">
        <v>510</v>
      </c>
      <c r="D2436" t="s">
        <v>511</v>
      </c>
      <c r="E2436" t="s">
        <v>64</v>
      </c>
      <c r="F2436" t="s">
        <v>7875</v>
      </c>
      <c r="G2436" t="s">
        <v>18197</v>
      </c>
      <c r="H2436" t="s">
        <v>1112</v>
      </c>
      <c r="I2436" t="s">
        <v>1108</v>
      </c>
      <c r="J2436" t="s">
        <v>7876</v>
      </c>
      <c r="K2436" t="s">
        <v>7877</v>
      </c>
      <c r="L2436" t="s">
        <v>21</v>
      </c>
      <c r="M2436" t="s">
        <v>19177</v>
      </c>
      <c r="N2436" t="s">
        <v>519</v>
      </c>
      <c r="O2436" t="s">
        <v>519</v>
      </c>
      <c r="P2436" t="s">
        <v>454</v>
      </c>
    </row>
    <row r="2437">
      <c r="A2437">
        <f>HYPERLINK("http://bombeiros.sp.gov.br/hidrantes/03individual/4064.html","4064")</f>
      </c>
      <c r="B2437" t="s">
        <v>454</v>
      </c>
      <c r="C2437" t="s">
        <v>510</v>
      </c>
      <c r="D2437" t="s">
        <v>511</v>
      </c>
      <c r="E2437" t="s">
        <v>64</v>
      </c>
      <c r="F2437" t="s">
        <v>7878</v>
      </c>
      <c r="G2437" t="s">
        <v>18197</v>
      </c>
      <c r="H2437" t="s">
        <v>1112</v>
      </c>
      <c r="I2437" t="s">
        <v>1108</v>
      </c>
      <c r="J2437" t="s">
        <v>7879</v>
      </c>
      <c r="K2437" t="s">
        <v>7880</v>
      </c>
      <c r="L2437" t="s">
        <v>36</v>
      </c>
      <c r="M2437" t="s">
        <v>19177</v>
      </c>
      <c r="N2437" t="s">
        <v>519</v>
      </c>
      <c r="O2437" t="s">
        <v>519</v>
      </c>
      <c r="P2437" t="s">
        <v>454</v>
      </c>
    </row>
    <row r="2438">
      <c r="A2438">
        <f>HYPERLINK("http://bombeiros.sp.gov.br/hidrantes/03individual/4068.html","4068")</f>
      </c>
      <c r="B2438" t="s">
        <v>454</v>
      </c>
      <c r="C2438" t="s">
        <v>510</v>
      </c>
      <c r="D2438" t="s">
        <v>511</v>
      </c>
      <c r="E2438" t="s">
        <v>64</v>
      </c>
      <c r="F2438" t="s">
        <v>7881</v>
      </c>
      <c r="G2438" t="s">
        <v>18197</v>
      </c>
      <c r="H2438" t="s">
        <v>1112</v>
      </c>
      <c r="I2438" t="s">
        <v>1108</v>
      </c>
      <c r="J2438" t="s">
        <v>7882</v>
      </c>
      <c r="K2438" t="s">
        <v>7883</v>
      </c>
      <c r="L2438" t="s">
        <v>36</v>
      </c>
      <c r="M2438" t="s">
        <v>19177</v>
      </c>
      <c r="N2438" t="s">
        <v>519</v>
      </c>
      <c r="O2438" t="s">
        <v>519</v>
      </c>
      <c r="P2438" t="s">
        <v>454</v>
      </c>
    </row>
    <row r="2439">
      <c r="A2439">
        <f>HYPERLINK("http://bombeiros.sp.gov.br/hidrantes/03individual/5523.html","5523")</f>
      </c>
      <c r="B2439" t="s">
        <v>454</v>
      </c>
      <c r="C2439" t="s">
        <v>510</v>
      </c>
      <c r="D2439" t="s">
        <v>511</v>
      </c>
      <c r="E2439" t="s">
        <v>64</v>
      </c>
      <c r="F2439" t="s">
        <v>7884</v>
      </c>
      <c r="G2439" t="s">
        <v>18197</v>
      </c>
      <c r="H2439" t="s">
        <v>1112</v>
      </c>
      <c r="I2439" t="s">
        <v>1108</v>
      </c>
      <c r="J2439" t="s">
        <v>7885</v>
      </c>
      <c r="K2439" t="s">
        <v>7886</v>
      </c>
      <c r="L2439" t="s">
        <v>21</v>
      </c>
      <c r="M2439" t="s">
        <v>19177</v>
      </c>
      <c r="N2439" t="s">
        <v>519</v>
      </c>
      <c r="O2439" t="s">
        <v>519</v>
      </c>
      <c r="P2439" t="s">
        <v>454</v>
      </c>
    </row>
    <row r="2440">
      <c r="A2440">
        <f>HYPERLINK("http://bombeiros.sp.gov.br/hidrantes/03individual/16369.html","16369")</f>
      </c>
      <c r="B2440" t="s">
        <v>454</v>
      </c>
      <c r="C2440" t="s">
        <v>510</v>
      </c>
      <c r="D2440" t="s">
        <v>511</v>
      </c>
      <c r="E2440" t="s">
        <v>64</v>
      </c>
      <c r="F2440" t="s">
        <v>7887</v>
      </c>
      <c r="G2440" t="s">
        <v>18197</v>
      </c>
      <c r="H2440" t="s">
        <v>1112</v>
      </c>
      <c r="I2440" t="s">
        <v>1108</v>
      </c>
      <c r="J2440" t="s">
        <v>7888</v>
      </c>
      <c r="K2440" t="s">
        <v>7889</v>
      </c>
      <c r="L2440" t="s">
        <v>21</v>
      </c>
      <c r="M2440" t="s">
        <v>19177</v>
      </c>
      <c r="N2440" t="s">
        <v>519</v>
      </c>
      <c r="O2440" t="s">
        <v>519</v>
      </c>
      <c r="P2440" t="s">
        <v>454</v>
      </c>
    </row>
    <row r="2441">
      <c r="A2441">
        <f>HYPERLINK("http://bombeiros.sp.gov.br/hidrantes/03individual/16409.html","16409")</f>
      </c>
      <c r="B2441" t="s">
        <v>454</v>
      </c>
      <c r="C2441" t="s">
        <v>510</v>
      </c>
      <c r="D2441" t="s">
        <v>511</v>
      </c>
      <c r="E2441" t="s">
        <v>64</v>
      </c>
      <c r="F2441" t="s">
        <v>7890</v>
      </c>
      <c r="G2441" t="s">
        <v>18197</v>
      </c>
      <c r="H2441" t="s">
        <v>1112</v>
      </c>
      <c r="I2441" t="s">
        <v>1108</v>
      </c>
      <c r="J2441" t="s">
        <v>7891</v>
      </c>
      <c r="K2441" t="s">
        <v>7892</v>
      </c>
      <c r="L2441" t="s">
        <v>21</v>
      </c>
      <c r="M2441" t="s">
        <v>19177</v>
      </c>
      <c r="N2441" t="s">
        <v>519</v>
      </c>
      <c r="O2441" t="s">
        <v>519</v>
      </c>
      <c r="P2441" t="s">
        <v>454</v>
      </c>
    </row>
    <row r="2442">
      <c r="A2442">
        <f>HYPERLINK("http://bombeiros.sp.gov.br/hidrantes/03individual/16422.html","16422")</f>
      </c>
      <c r="B2442" t="s">
        <v>454</v>
      </c>
      <c r="C2442" t="s">
        <v>510</v>
      </c>
      <c r="D2442" t="s">
        <v>511</v>
      </c>
      <c r="E2442" t="s">
        <v>64</v>
      </c>
      <c r="F2442" t="s">
        <v>512</v>
      </c>
      <c r="G2442" t="s">
        <v>18115</v>
      </c>
      <c r="H2442" t="s">
        <v>1107</v>
      </c>
      <c r="I2442" t="s">
        <v>1108</v>
      </c>
      <c r="J2442" t="s">
        <v>513</v>
      </c>
      <c r="K2442" t="s">
        <v>514</v>
      </c>
      <c r="L2442" t="s">
        <v>21</v>
      </c>
      <c r="M2442" t="s">
        <v>19177</v>
      </c>
      <c r="N2442" t="s">
        <v>519</v>
      </c>
      <c r="O2442" t="s">
        <v>519</v>
      </c>
      <c r="P2442" t="s">
        <v>454</v>
      </c>
    </row>
    <row r="2443">
      <c r="A2443">
        <f>HYPERLINK("http://bombeiros.sp.gov.br/hidrantes/03individual/17902.html","17902")</f>
      </c>
      <c r="B2443" t="s">
        <v>454</v>
      </c>
      <c r="C2443" t="s">
        <v>510</v>
      </c>
      <c r="D2443" t="s">
        <v>511</v>
      </c>
      <c r="E2443" t="s">
        <v>64</v>
      </c>
      <c r="F2443" t="s">
        <v>7893</v>
      </c>
      <c r="G2443" t="s">
        <v>18042</v>
      </c>
      <c r="H2443" t="s">
        <v>1112</v>
      </c>
      <c r="I2443" t="s">
        <v>1108</v>
      </c>
      <c r="J2443" t="s">
        <v>7894</v>
      </c>
      <c r="K2443" t="s">
        <v>7895</v>
      </c>
      <c r="L2443" t="s">
        <v>21</v>
      </c>
      <c r="M2443" t="s">
        <v>19177</v>
      </c>
      <c r="N2443" t="s">
        <v>519</v>
      </c>
      <c r="O2443" t="s">
        <v>519</v>
      </c>
      <c r="P2443" t="s">
        <v>454</v>
      </c>
    </row>
    <row r="2444">
      <c r="A2444">
        <f>HYPERLINK("http://bombeiros.sp.gov.br/hidrantes/03individual/24145.html","24145")</f>
      </c>
      <c r="B2444" t="s">
        <v>454</v>
      </c>
      <c r="C2444" t="s">
        <v>510</v>
      </c>
      <c r="D2444" t="s">
        <v>511</v>
      </c>
      <c r="E2444" t="s">
        <v>64</v>
      </c>
      <c r="F2444" t="s">
        <v>7896</v>
      </c>
      <c r="G2444" t="s">
        <v>18113</v>
      </c>
      <c r="H2444" t="s">
        <v>1112</v>
      </c>
      <c r="I2444" t="s">
        <v>1108</v>
      </c>
      <c r="J2444" t="s">
        <v>7897</v>
      </c>
      <c r="K2444" t="s">
        <v>7898</v>
      </c>
      <c r="L2444" t="s">
        <v>21</v>
      </c>
      <c r="M2444" t="s">
        <v>19177</v>
      </c>
      <c r="N2444" t="s">
        <v>519</v>
      </c>
      <c r="O2444" t="s">
        <v>519</v>
      </c>
      <c r="P2444" t="s">
        <v>454</v>
      </c>
    </row>
    <row r="2445">
      <c r="A2445">
        <f>HYPERLINK("http://bombeiros.sp.gov.br/hidrantes/03individual/26682.html","26682")</f>
      </c>
      <c r="B2445" t="s">
        <v>454</v>
      </c>
      <c r="C2445" t="s">
        <v>510</v>
      </c>
      <c r="D2445" t="s">
        <v>511</v>
      </c>
      <c r="E2445" t="s">
        <v>64</v>
      </c>
      <c r="F2445" t="s">
        <v>7899</v>
      </c>
      <c r="G2445" t="s">
        <v>18197</v>
      </c>
      <c r="H2445" t="s">
        <v>1112</v>
      </c>
      <c r="I2445" t="s">
        <v>1108</v>
      </c>
      <c r="J2445" t="s">
        <v>7900</v>
      </c>
      <c r="K2445" t="s">
        <v>7901</v>
      </c>
      <c r="L2445" t="s">
        <v>21</v>
      </c>
      <c r="M2445" t="s">
        <v>19177</v>
      </c>
      <c r="N2445" t="s">
        <v>519</v>
      </c>
      <c r="O2445" t="s">
        <v>519</v>
      </c>
      <c r="P2445" t="s">
        <v>454</v>
      </c>
    </row>
    <row r="2446">
      <c r="A2446">
        <f>HYPERLINK("http://bombeiros.sp.gov.br/hidrantes/03individual/26688.html","26688")</f>
      </c>
      <c r="B2446" t="s">
        <v>454</v>
      </c>
      <c r="C2446" t="s">
        <v>510</v>
      </c>
      <c r="D2446" t="s">
        <v>511</v>
      </c>
      <c r="E2446" t="s">
        <v>64</v>
      </c>
      <c r="F2446" t="s">
        <v>7902</v>
      </c>
      <c r="G2446" t="s">
        <v>18197</v>
      </c>
      <c r="H2446" t="s">
        <v>1112</v>
      </c>
      <c r="I2446" t="s">
        <v>1108</v>
      </c>
      <c r="J2446" t="s">
        <v>7903</v>
      </c>
      <c r="K2446" t="s">
        <v>7904</v>
      </c>
      <c r="L2446" t="s">
        <v>21</v>
      </c>
      <c r="M2446" t="s">
        <v>19177</v>
      </c>
      <c r="N2446" t="s">
        <v>519</v>
      </c>
      <c r="O2446" t="s">
        <v>519</v>
      </c>
      <c r="P2446" t="s">
        <v>454</v>
      </c>
    </row>
    <row r="2447">
      <c r="A2447">
        <f>HYPERLINK("http://bombeiros.sp.gov.br/hidrantes/03individual/26944.html","26944")</f>
      </c>
      <c r="B2447" t="s">
        <v>454</v>
      </c>
      <c r="C2447" t="s">
        <v>510</v>
      </c>
      <c r="D2447" t="s">
        <v>511</v>
      </c>
      <c r="E2447" t="s">
        <v>64</v>
      </c>
      <c r="F2447" t="s">
        <v>16446</v>
      </c>
      <c r="G2447" t="s">
        <v>18146</v>
      </c>
      <c r="H2447" t="s">
        <v>1121</v>
      </c>
      <c r="I2447" t="s">
        <v>1117</v>
      </c>
      <c r="J2447" t="s">
        <v>16447</v>
      </c>
      <c r="K2447" t="s">
        <v>16448</v>
      </c>
      <c r="L2447" t="s">
        <v>21</v>
      </c>
      <c r="M2447" t="s">
        <v>19177</v>
      </c>
      <c r="N2447" t="s">
        <v>519</v>
      </c>
      <c r="O2447" t="s">
        <v>519</v>
      </c>
      <c r="P2447" t="s">
        <v>454</v>
      </c>
    </row>
    <row r="2448">
      <c r="A2448">
        <f>HYPERLINK("http://bombeiros.sp.gov.br/hidrantes/03individual/27267.html","27267")</f>
      </c>
      <c r="B2448" t="s">
        <v>454</v>
      </c>
      <c r="C2448" t="s">
        <v>510</v>
      </c>
      <c r="D2448" t="s">
        <v>511</v>
      </c>
      <c r="E2448" t="s">
        <v>64</v>
      </c>
      <c r="F2448" t="s">
        <v>17019</v>
      </c>
      <c r="G2448" t="s">
        <v>18197</v>
      </c>
      <c r="H2448" t="s">
        <v>1107</v>
      </c>
      <c r="I2448" t="s">
        <v>1108</v>
      </c>
      <c r="J2448" t="s">
        <v>17020</v>
      </c>
      <c r="K2448" t="s">
        <v>17021</v>
      </c>
      <c r="L2448" t="s">
        <v>21</v>
      </c>
      <c r="M2448" t="s">
        <v>19177</v>
      </c>
      <c r="N2448" t="s">
        <v>519</v>
      </c>
      <c r="O2448" t="s">
        <v>519</v>
      </c>
      <c r="P2448" t="s">
        <v>454</v>
      </c>
    </row>
    <row r="2449">
      <c r="A2449">
        <f>HYPERLINK("http://bombeiros.sp.gov.br/hidrantes/03individual/27387.html","27387")</f>
      </c>
      <c r="B2449" t="s">
        <v>454</v>
      </c>
      <c r="C2449" t="s">
        <v>510</v>
      </c>
      <c r="D2449" t="s">
        <v>511</v>
      </c>
      <c r="E2449" t="s">
        <v>64</v>
      </c>
      <c r="F2449" t="s">
        <v>17223</v>
      </c>
      <c r="G2449" t="s">
        <v>18197</v>
      </c>
      <c r="H2449" t="s">
        <v>1107</v>
      </c>
      <c r="I2449" t="s">
        <v>1108</v>
      </c>
      <c r="J2449" t="s">
        <v>17224</v>
      </c>
      <c r="K2449" t="s">
        <v>17225</v>
      </c>
      <c r="L2449" t="s">
        <v>21</v>
      </c>
      <c r="M2449" t="s">
        <v>19177</v>
      </c>
      <c r="N2449" t="s">
        <v>519</v>
      </c>
      <c r="O2449" t="s">
        <v>519</v>
      </c>
      <c r="P2449" t="s">
        <v>454</v>
      </c>
    </row>
    <row r="2450">
      <c r="A2450">
        <f>HYPERLINK("http://bombeiros.sp.gov.br/hidrantes/03individual/1061.html","1061")</f>
      </c>
      <c r="B2450" t="s">
        <v>454</v>
      </c>
      <c r="C2450" t="s">
        <v>510</v>
      </c>
      <c r="D2450" t="s">
        <v>511</v>
      </c>
      <c r="E2450" t="s">
        <v>15</v>
      </c>
      <c r="F2450" t="s">
        <v>7905</v>
      </c>
      <c r="G2450" t="s">
        <v>18197</v>
      </c>
      <c r="H2450" t="s">
        <v>1112</v>
      </c>
      <c r="I2450" t="s">
        <v>1108</v>
      </c>
      <c r="J2450" t="s">
        <v>7906</v>
      </c>
      <c r="K2450" t="s">
        <v>7907</v>
      </c>
      <c r="L2450" t="s">
        <v>21</v>
      </c>
      <c r="M2450" t="s">
        <v>19177</v>
      </c>
      <c r="N2450" t="s">
        <v>519</v>
      </c>
      <c r="O2450" t="s">
        <v>519</v>
      </c>
      <c r="P2450" t="s">
        <v>454</v>
      </c>
    </row>
    <row r="2451">
      <c r="A2451">
        <f>HYPERLINK("http://bombeiros.sp.gov.br/hidrantes/03individual/1119.html","1119")</f>
      </c>
      <c r="B2451" t="s">
        <v>454</v>
      </c>
      <c r="C2451" t="s">
        <v>510</v>
      </c>
      <c r="D2451" t="s">
        <v>511</v>
      </c>
      <c r="E2451" t="s">
        <v>15</v>
      </c>
      <c r="F2451" t="s">
        <v>7908</v>
      </c>
      <c r="G2451" t="s">
        <v>18072</v>
      </c>
      <c r="H2451" t="s">
        <v>1121</v>
      </c>
      <c r="I2451" t="s">
        <v>1117</v>
      </c>
      <c r="J2451" t="s">
        <v>7909</v>
      </c>
      <c r="K2451" t="s">
        <v>7910</v>
      </c>
      <c r="L2451" t="s">
        <v>21</v>
      </c>
      <c r="M2451" t="s">
        <v>19177</v>
      </c>
      <c r="N2451" t="s">
        <v>519</v>
      </c>
      <c r="O2451" t="s">
        <v>519</v>
      </c>
      <c r="P2451" t="s">
        <v>454</v>
      </c>
    </row>
    <row r="2452">
      <c r="A2452">
        <f>HYPERLINK("http://bombeiros.sp.gov.br/hidrantes/03individual/1321.html","1321")</f>
      </c>
      <c r="B2452" t="s">
        <v>454</v>
      </c>
      <c r="C2452" t="s">
        <v>510</v>
      </c>
      <c r="D2452" t="s">
        <v>511</v>
      </c>
      <c r="E2452" t="s">
        <v>15</v>
      </c>
      <c r="F2452" t="s">
        <v>7911</v>
      </c>
      <c r="G2452" t="s">
        <v>18146</v>
      </c>
      <c r="H2452" t="s">
        <v>1112</v>
      </c>
      <c r="I2452" t="s">
        <v>1108</v>
      </c>
      <c r="J2452" t="s">
        <v>7912</v>
      </c>
      <c r="K2452" t="s">
        <v>7913</v>
      </c>
      <c r="L2452" t="s">
        <v>21</v>
      </c>
      <c r="M2452" t="s">
        <v>19177</v>
      </c>
      <c r="N2452" t="s">
        <v>519</v>
      </c>
      <c r="O2452" t="s">
        <v>519</v>
      </c>
      <c r="P2452" t="s">
        <v>454</v>
      </c>
    </row>
    <row r="2453">
      <c r="A2453">
        <f>HYPERLINK("http://bombeiros.sp.gov.br/hidrantes/03individual/3978.html","3978")</f>
      </c>
      <c r="B2453" t="s">
        <v>454</v>
      </c>
      <c r="C2453" t="s">
        <v>510</v>
      </c>
      <c r="D2453" t="s">
        <v>511</v>
      </c>
      <c r="E2453" t="s">
        <v>15</v>
      </c>
      <c r="F2453" t="s">
        <v>7914</v>
      </c>
      <c r="G2453" t="s">
        <v>18115</v>
      </c>
      <c r="H2453" t="s">
        <v>1121</v>
      </c>
      <c r="I2453" t="s">
        <v>1117</v>
      </c>
      <c r="J2453" t="s">
        <v>7915</v>
      </c>
      <c r="K2453" t="s">
        <v>7916</v>
      </c>
      <c r="L2453" t="s">
        <v>21</v>
      </c>
      <c r="M2453" t="s">
        <v>19177</v>
      </c>
      <c r="N2453" t="s">
        <v>519</v>
      </c>
      <c r="O2453" t="s">
        <v>519</v>
      </c>
      <c r="P2453" t="s">
        <v>454</v>
      </c>
    </row>
    <row r="2454">
      <c r="A2454">
        <f>HYPERLINK("http://bombeiros.sp.gov.br/hidrantes/03individual/4057.html","4057")</f>
      </c>
      <c r="B2454" t="s">
        <v>454</v>
      </c>
      <c r="C2454" t="s">
        <v>510</v>
      </c>
      <c r="D2454" t="s">
        <v>511</v>
      </c>
      <c r="E2454" t="s">
        <v>15</v>
      </c>
      <c r="F2454" t="s">
        <v>7917</v>
      </c>
      <c r="G2454" t="s">
        <v>18048</v>
      </c>
      <c r="H2454" t="s">
        <v>1112</v>
      </c>
      <c r="I2454" t="s">
        <v>1108</v>
      </c>
      <c r="J2454" t="s">
        <v>7918</v>
      </c>
      <c r="K2454" t="s">
        <v>7919</v>
      </c>
      <c r="L2454" t="s">
        <v>21</v>
      </c>
      <c r="M2454" t="s">
        <v>19177</v>
      </c>
      <c r="N2454" t="s">
        <v>519</v>
      </c>
      <c r="O2454" t="s">
        <v>519</v>
      </c>
      <c r="P2454" t="s">
        <v>454</v>
      </c>
    </row>
    <row r="2455">
      <c r="A2455">
        <f>HYPERLINK("http://bombeiros.sp.gov.br/hidrantes/03individual/5556.html","5556")</f>
      </c>
      <c r="B2455" t="s">
        <v>454</v>
      </c>
      <c r="C2455" t="s">
        <v>510</v>
      </c>
      <c r="D2455" t="s">
        <v>511</v>
      </c>
      <c r="E2455" t="s">
        <v>15</v>
      </c>
      <c r="F2455" t="s">
        <v>7920</v>
      </c>
      <c r="G2455" t="s">
        <v>18197</v>
      </c>
      <c r="H2455" t="s">
        <v>1112</v>
      </c>
      <c r="I2455" t="s">
        <v>1108</v>
      </c>
      <c r="J2455" t="s">
        <v>7921</v>
      </c>
      <c r="K2455" t="s">
        <v>7922</v>
      </c>
      <c r="L2455" t="s">
        <v>21</v>
      </c>
      <c r="M2455" t="s">
        <v>19177</v>
      </c>
      <c r="N2455" t="s">
        <v>519</v>
      </c>
      <c r="O2455" t="s">
        <v>519</v>
      </c>
      <c r="P2455" t="s">
        <v>454</v>
      </c>
    </row>
    <row r="2456">
      <c r="A2456">
        <f>HYPERLINK("http://bombeiros.sp.gov.br/hidrantes/03individual/5557.html","5557")</f>
      </c>
      <c r="B2456" t="s">
        <v>454</v>
      </c>
      <c r="C2456" t="s">
        <v>510</v>
      </c>
      <c r="D2456" t="s">
        <v>511</v>
      </c>
      <c r="E2456" t="s">
        <v>15</v>
      </c>
      <c r="F2456" t="s">
        <v>7923</v>
      </c>
      <c r="G2456" t="s">
        <v>18197</v>
      </c>
      <c r="H2456" t="s">
        <v>1112</v>
      </c>
      <c r="I2456" t="s">
        <v>1108</v>
      </c>
      <c r="J2456" t="s">
        <v>7924</v>
      </c>
      <c r="K2456" t="s">
        <v>7925</v>
      </c>
      <c r="L2456" t="s">
        <v>21</v>
      </c>
      <c r="M2456" t="s">
        <v>19177</v>
      </c>
      <c r="N2456" t="s">
        <v>519</v>
      </c>
      <c r="O2456" t="s">
        <v>519</v>
      </c>
      <c r="P2456" t="s">
        <v>454</v>
      </c>
    </row>
    <row r="2457">
      <c r="A2457">
        <f>HYPERLINK("http://bombeiros.sp.gov.br/hidrantes/03individual/16494.html","16494")</f>
      </c>
      <c r="B2457" t="s">
        <v>454</v>
      </c>
      <c r="C2457" t="s">
        <v>510</v>
      </c>
      <c r="D2457" t="s">
        <v>511</v>
      </c>
      <c r="E2457" t="s">
        <v>15</v>
      </c>
      <c r="F2457" t="s">
        <v>7926</v>
      </c>
      <c r="G2457" t="s">
        <v>18197</v>
      </c>
      <c r="H2457" t="s">
        <v>1112</v>
      </c>
      <c r="I2457" t="s">
        <v>1108</v>
      </c>
      <c r="J2457" t="s">
        <v>7927</v>
      </c>
      <c r="K2457" t="s">
        <v>7928</v>
      </c>
      <c r="L2457" t="s">
        <v>21</v>
      </c>
      <c r="M2457" t="s">
        <v>19177</v>
      </c>
      <c r="N2457" t="s">
        <v>519</v>
      </c>
      <c r="O2457" t="s">
        <v>519</v>
      </c>
      <c r="P2457" t="s">
        <v>454</v>
      </c>
    </row>
    <row r="2458">
      <c r="A2458">
        <f>HYPERLINK("http://bombeiros.sp.gov.br/hidrantes/03individual/25228.html","25228")</f>
      </c>
      <c r="B2458" t="s">
        <v>454</v>
      </c>
      <c r="C2458" t="s">
        <v>515</v>
      </c>
      <c r="D2458" t="s">
        <v>7929</v>
      </c>
      <c r="E2458" t="s">
        <v>64</v>
      </c>
      <c r="F2458" t="s">
        <v>7930</v>
      </c>
      <c r="G2458" t="s">
        <v>18065</v>
      </c>
      <c r="H2458" t="s">
        <v>1112</v>
      </c>
      <c r="I2458" t="s">
        <v>1108</v>
      </c>
      <c r="J2458" t="s">
        <v>7931</v>
      </c>
      <c r="K2458" t="s">
        <v>7932</v>
      </c>
      <c r="L2458" t="s">
        <v>21</v>
      </c>
      <c r="M2458" t="s">
        <v>19177</v>
      </c>
      <c r="N2458" t="s">
        <v>478</v>
      </c>
      <c r="O2458" t="s">
        <v>478</v>
      </c>
      <c r="P2458" t="s">
        <v>454</v>
      </c>
    </row>
    <row r="2459">
      <c r="A2459">
        <f>HYPERLINK("http://bombeiros.sp.gov.br/hidrantes/03individual/937.html","937")</f>
      </c>
      <c r="B2459" t="s">
        <v>454</v>
      </c>
      <c r="C2459" t="s">
        <v>515</v>
      </c>
      <c r="D2459" t="s">
        <v>7929</v>
      </c>
      <c r="E2459" t="s">
        <v>15</v>
      </c>
      <c r="F2459" t="s">
        <v>7933</v>
      </c>
      <c r="G2459" t="s">
        <v>18171</v>
      </c>
      <c r="H2459" t="s">
        <v>1174</v>
      </c>
      <c r="I2459" t="s">
        <v>1117</v>
      </c>
      <c r="J2459" t="s">
        <v>7934</v>
      </c>
      <c r="K2459" t="s">
        <v>7935</v>
      </c>
      <c r="L2459" t="s">
        <v>21</v>
      </c>
      <c r="M2459" t="s">
        <v>19177</v>
      </c>
      <c r="N2459" t="s">
        <v>478</v>
      </c>
      <c r="O2459" t="s">
        <v>478</v>
      </c>
      <c r="P2459" t="s">
        <v>454</v>
      </c>
    </row>
    <row r="2460">
      <c r="A2460">
        <f>HYPERLINK("http://bombeiros.sp.gov.br/hidrantes/03individual/1020.html","1020")</f>
      </c>
      <c r="B2460" t="s">
        <v>454</v>
      </c>
      <c r="C2460" t="s">
        <v>515</v>
      </c>
      <c r="D2460" t="s">
        <v>7929</v>
      </c>
      <c r="E2460" t="s">
        <v>15</v>
      </c>
      <c r="F2460" t="s">
        <v>7936</v>
      </c>
      <c r="G2460" t="s">
        <v>18075</v>
      </c>
      <c r="H2460" t="s">
        <v>1112</v>
      </c>
      <c r="I2460" t="s">
        <v>1108</v>
      </c>
      <c r="J2460" t="s">
        <v>7937</v>
      </c>
      <c r="K2460" t="s">
        <v>7938</v>
      </c>
      <c r="L2460" t="s">
        <v>21</v>
      </c>
      <c r="M2460" t="s">
        <v>19177</v>
      </c>
      <c r="N2460" t="s">
        <v>478</v>
      </c>
      <c r="O2460" t="s">
        <v>478</v>
      </c>
      <c r="P2460" t="s">
        <v>454</v>
      </c>
    </row>
    <row r="2461">
      <c r="A2461">
        <f>HYPERLINK("http://bombeiros.sp.gov.br/hidrantes/03individual/1133.html","1133")</f>
      </c>
      <c r="B2461" t="s">
        <v>454</v>
      </c>
      <c r="C2461" t="s">
        <v>515</v>
      </c>
      <c r="D2461" t="s">
        <v>7929</v>
      </c>
      <c r="E2461" t="s">
        <v>15</v>
      </c>
      <c r="F2461" t="s">
        <v>7939</v>
      </c>
      <c r="G2461" t="s">
        <v>18115</v>
      </c>
      <c r="H2461" t="s">
        <v>1107</v>
      </c>
      <c r="I2461" t="s">
        <v>1108</v>
      </c>
      <c r="J2461" t="s">
        <v>7940</v>
      </c>
      <c r="K2461" t="s">
        <v>7941</v>
      </c>
      <c r="L2461" t="s">
        <v>21</v>
      </c>
      <c r="M2461" t="s">
        <v>19177</v>
      </c>
      <c r="N2461" t="s">
        <v>478</v>
      </c>
      <c r="O2461" t="s">
        <v>478</v>
      </c>
      <c r="P2461" t="s">
        <v>454</v>
      </c>
    </row>
    <row r="2462">
      <c r="A2462">
        <f>HYPERLINK("http://bombeiros.sp.gov.br/hidrantes/03individual/1236.html","1236")</f>
      </c>
      <c r="B2462" t="s">
        <v>454</v>
      </c>
      <c r="C2462" t="s">
        <v>515</v>
      </c>
      <c r="D2462" t="s">
        <v>7929</v>
      </c>
      <c r="E2462" t="s">
        <v>15</v>
      </c>
      <c r="F2462" t="s">
        <v>7942</v>
      </c>
      <c r="G2462" t="s">
        <v>18065</v>
      </c>
      <c r="H2462" t="s">
        <v>1107</v>
      </c>
      <c r="I2462" t="s">
        <v>1108</v>
      </c>
      <c r="J2462" t="s">
        <v>16908</v>
      </c>
      <c r="K2462" t="s">
        <v>16909</v>
      </c>
      <c r="L2462" t="s">
        <v>21</v>
      </c>
      <c r="M2462" t="s">
        <v>19177</v>
      </c>
      <c r="N2462" t="s">
        <v>478</v>
      </c>
      <c r="O2462" t="s">
        <v>478</v>
      </c>
      <c r="P2462" t="s">
        <v>454</v>
      </c>
    </row>
    <row r="2463">
      <c r="A2463">
        <f>HYPERLINK("http://bombeiros.sp.gov.br/hidrantes/03individual/1295.html","1295")</f>
      </c>
      <c r="B2463" t="s">
        <v>454</v>
      </c>
      <c r="C2463" t="s">
        <v>515</v>
      </c>
      <c r="D2463" t="s">
        <v>7929</v>
      </c>
      <c r="E2463" t="s">
        <v>15</v>
      </c>
      <c r="F2463" t="s">
        <v>7945</v>
      </c>
      <c r="G2463" t="s">
        <v>18110</v>
      </c>
      <c r="H2463" t="s">
        <v>1107</v>
      </c>
      <c r="I2463" t="s">
        <v>1108</v>
      </c>
      <c r="J2463" t="s">
        <v>7946</v>
      </c>
      <c r="K2463" t="s">
        <v>7947</v>
      </c>
      <c r="L2463" t="s">
        <v>21</v>
      </c>
      <c r="M2463" t="s">
        <v>19177</v>
      </c>
      <c r="N2463" t="s">
        <v>478</v>
      </c>
      <c r="O2463" t="s">
        <v>478</v>
      </c>
      <c r="P2463" t="s">
        <v>454</v>
      </c>
    </row>
    <row r="2464">
      <c r="A2464">
        <f>HYPERLINK("http://bombeiros.sp.gov.br/hidrantes/03individual/1313.html","1313")</f>
      </c>
      <c r="B2464" t="s">
        <v>454</v>
      </c>
      <c r="C2464" t="s">
        <v>515</v>
      </c>
      <c r="D2464" t="s">
        <v>7929</v>
      </c>
      <c r="E2464" t="s">
        <v>15</v>
      </c>
      <c r="F2464" t="s">
        <v>7948</v>
      </c>
      <c r="G2464" t="s">
        <v>18075</v>
      </c>
      <c r="H2464" t="s">
        <v>1112</v>
      </c>
      <c r="I2464" t="s">
        <v>1108</v>
      </c>
      <c r="J2464" t="s">
        <v>7949</v>
      </c>
      <c r="K2464" t="s">
        <v>7950</v>
      </c>
      <c r="L2464" t="s">
        <v>21</v>
      </c>
      <c r="M2464" t="s">
        <v>19177</v>
      </c>
      <c r="N2464" t="s">
        <v>478</v>
      </c>
      <c r="O2464" t="s">
        <v>478</v>
      </c>
      <c r="P2464" t="s">
        <v>454</v>
      </c>
    </row>
    <row r="2465">
      <c r="A2465">
        <f>HYPERLINK("http://bombeiros.sp.gov.br/hidrantes/03individual/3637.html","3637")</f>
      </c>
      <c r="B2465" t="s">
        <v>454</v>
      </c>
      <c r="C2465" t="s">
        <v>515</v>
      </c>
      <c r="D2465" t="s">
        <v>7929</v>
      </c>
      <c r="E2465" t="s">
        <v>15</v>
      </c>
      <c r="F2465" t="s">
        <v>7951</v>
      </c>
      <c r="G2465" t="s">
        <v>18065</v>
      </c>
      <c r="H2465" t="s">
        <v>1174</v>
      </c>
      <c r="I2465" t="s">
        <v>1108</v>
      </c>
      <c r="J2465" t="s">
        <v>7952</v>
      </c>
      <c r="K2465" t="s">
        <v>7953</v>
      </c>
      <c r="L2465" t="s">
        <v>36</v>
      </c>
      <c r="M2465" t="s">
        <v>19177</v>
      </c>
      <c r="N2465" t="s">
        <v>478</v>
      </c>
      <c r="O2465" t="s">
        <v>478</v>
      </c>
      <c r="P2465" t="s">
        <v>454</v>
      </c>
    </row>
    <row r="2466">
      <c r="A2466">
        <f>HYPERLINK("http://bombeiros.sp.gov.br/hidrantes/03individual/3725.html","3725")</f>
      </c>
      <c r="B2466" t="s">
        <v>454</v>
      </c>
      <c r="C2466" t="s">
        <v>515</v>
      </c>
      <c r="D2466" t="s">
        <v>7929</v>
      </c>
      <c r="E2466" t="s">
        <v>15</v>
      </c>
      <c r="F2466" t="s">
        <v>7954</v>
      </c>
      <c r="G2466" t="s">
        <v>18110</v>
      </c>
      <c r="H2466" t="s">
        <v>1121</v>
      </c>
      <c r="I2466" t="s">
        <v>1117</v>
      </c>
      <c r="J2466" t="s">
        <v>7955</v>
      </c>
      <c r="K2466" t="s">
        <v>7956</v>
      </c>
      <c r="L2466" t="s">
        <v>21</v>
      </c>
      <c r="M2466" t="s">
        <v>19177</v>
      </c>
      <c r="N2466" t="s">
        <v>478</v>
      </c>
      <c r="O2466" t="s">
        <v>478</v>
      </c>
      <c r="P2466" t="s">
        <v>454</v>
      </c>
    </row>
    <row r="2467">
      <c r="A2467">
        <f>HYPERLINK("http://bombeiros.sp.gov.br/hidrantes/03individual/3727.html","3727")</f>
      </c>
      <c r="B2467" t="s">
        <v>454</v>
      </c>
      <c r="C2467" t="s">
        <v>515</v>
      </c>
      <c r="D2467" t="s">
        <v>7929</v>
      </c>
      <c r="E2467" t="s">
        <v>15</v>
      </c>
      <c r="F2467" t="s">
        <v>7957</v>
      </c>
      <c r="G2467" t="s">
        <v>18110</v>
      </c>
      <c r="H2467" t="s">
        <v>1112</v>
      </c>
      <c r="I2467" t="s">
        <v>1108</v>
      </c>
      <c r="J2467" t="s">
        <v>7958</v>
      </c>
      <c r="K2467" t="s">
        <v>7959</v>
      </c>
      <c r="L2467" t="s">
        <v>21</v>
      </c>
      <c r="M2467" t="s">
        <v>19177</v>
      </c>
      <c r="N2467" t="s">
        <v>478</v>
      </c>
      <c r="O2467" t="s">
        <v>478</v>
      </c>
      <c r="P2467" t="s">
        <v>454</v>
      </c>
    </row>
    <row r="2468">
      <c r="A2468">
        <f>HYPERLINK("http://bombeiros.sp.gov.br/hidrantes/03individual/3729.html","3729")</f>
      </c>
      <c r="B2468" t="s">
        <v>454</v>
      </c>
      <c r="C2468" t="s">
        <v>515</v>
      </c>
      <c r="D2468" t="s">
        <v>7929</v>
      </c>
      <c r="E2468" t="s">
        <v>15</v>
      </c>
      <c r="F2468" t="s">
        <v>7960</v>
      </c>
      <c r="G2468" t="s">
        <v>18307</v>
      </c>
      <c r="H2468" t="s">
        <v>1112</v>
      </c>
      <c r="I2468" t="s">
        <v>1108</v>
      </c>
      <c r="J2468" t="s">
        <v>7961</v>
      </c>
      <c r="K2468" t="s">
        <v>7962</v>
      </c>
      <c r="L2468" t="s">
        <v>21</v>
      </c>
      <c r="M2468" t="s">
        <v>19177</v>
      </c>
      <c r="N2468" t="s">
        <v>478</v>
      </c>
      <c r="O2468" t="s">
        <v>478</v>
      </c>
      <c r="P2468" t="s">
        <v>454</v>
      </c>
    </row>
    <row r="2469">
      <c r="A2469">
        <f>HYPERLINK("http://bombeiros.sp.gov.br/hidrantes/03individual/3750.html","3750")</f>
      </c>
      <c r="B2469" t="s">
        <v>454</v>
      </c>
      <c r="C2469" t="s">
        <v>515</v>
      </c>
      <c r="D2469" t="s">
        <v>7929</v>
      </c>
      <c r="E2469" t="s">
        <v>15</v>
      </c>
      <c r="F2469" t="s">
        <v>7963</v>
      </c>
      <c r="G2469" t="s">
        <v>18114</v>
      </c>
      <c r="H2469" t="s">
        <v>1112</v>
      </c>
      <c r="I2469" t="s">
        <v>1108</v>
      </c>
      <c r="J2469" t="s">
        <v>7964</v>
      </c>
      <c r="K2469" t="s">
        <v>7965</v>
      </c>
      <c r="L2469" t="s">
        <v>21</v>
      </c>
      <c r="M2469" t="s">
        <v>19177</v>
      </c>
      <c r="N2469" t="s">
        <v>478</v>
      </c>
      <c r="O2469" t="s">
        <v>478</v>
      </c>
      <c r="P2469" t="s">
        <v>454</v>
      </c>
    </row>
    <row r="2470">
      <c r="A2470">
        <f>HYPERLINK("http://bombeiros.sp.gov.br/hidrantes/03individual/3777.html","3777")</f>
      </c>
      <c r="B2470" t="s">
        <v>454</v>
      </c>
      <c r="C2470" t="s">
        <v>515</v>
      </c>
      <c r="D2470" t="s">
        <v>7929</v>
      </c>
      <c r="E2470" t="s">
        <v>15</v>
      </c>
      <c r="F2470" t="s">
        <v>7966</v>
      </c>
      <c r="G2470" t="s">
        <v>18075</v>
      </c>
      <c r="H2470" t="s">
        <v>1112</v>
      </c>
      <c r="I2470" t="s">
        <v>1108</v>
      </c>
      <c r="J2470" t="s">
        <v>7967</v>
      </c>
      <c r="K2470" t="s">
        <v>7968</v>
      </c>
      <c r="L2470" t="s">
        <v>21</v>
      </c>
      <c r="M2470" t="s">
        <v>19177</v>
      </c>
      <c r="N2470" t="s">
        <v>478</v>
      </c>
      <c r="O2470" t="s">
        <v>478</v>
      </c>
      <c r="P2470" t="s">
        <v>454</v>
      </c>
    </row>
    <row r="2471">
      <c r="A2471">
        <f>HYPERLINK("http://bombeiros.sp.gov.br/hidrantes/03individual/1014.html","1014")</f>
      </c>
      <c r="B2471" t="s">
        <v>454</v>
      </c>
      <c r="C2471" t="s">
        <v>515</v>
      </c>
      <c r="D2471" t="s">
        <v>515</v>
      </c>
      <c r="E2471" t="s">
        <v>15</v>
      </c>
      <c r="F2471" t="s">
        <v>7972</v>
      </c>
      <c r="G2471" t="s">
        <v>18110</v>
      </c>
      <c r="H2471" t="s">
        <v>1121</v>
      </c>
      <c r="I2471" t="s">
        <v>1117</v>
      </c>
      <c r="J2471" t="s">
        <v>7973</v>
      </c>
      <c r="K2471" t="s">
        <v>7974</v>
      </c>
      <c r="L2471" t="s">
        <v>21</v>
      </c>
      <c r="M2471" t="s">
        <v>19177</v>
      </c>
      <c r="N2471" t="s">
        <v>478</v>
      </c>
      <c r="O2471" t="s">
        <v>478</v>
      </c>
      <c r="P2471" t="s">
        <v>454</v>
      </c>
    </row>
    <row r="2472">
      <c r="A2472">
        <f>HYPERLINK("http://bombeiros.sp.gov.br/hidrantes/03individual/27296.html","27296")</f>
      </c>
      <c r="B2472" t="s">
        <v>454</v>
      </c>
      <c r="C2472" t="s">
        <v>515</v>
      </c>
      <c r="D2472" t="s">
        <v>515</v>
      </c>
      <c r="E2472" t="s">
        <v>15</v>
      </c>
      <c r="F2472" t="s">
        <v>17087</v>
      </c>
      <c r="G2472" t="s">
        <v>18091</v>
      </c>
      <c r="H2472" t="s">
        <v>1174</v>
      </c>
      <c r="I2472" t="s">
        <v>1117</v>
      </c>
      <c r="J2472" t="s">
        <v>17088</v>
      </c>
      <c r="K2472" t="s">
        <v>17089</v>
      </c>
      <c r="L2472" t="s">
        <v>21</v>
      </c>
      <c r="M2472" t="s">
        <v>19177</v>
      </c>
      <c r="N2472" t="s">
        <v>478</v>
      </c>
      <c r="O2472" t="s">
        <v>478</v>
      </c>
      <c r="P2472" t="s">
        <v>454</v>
      </c>
    </row>
    <row r="2473">
      <c r="A2473">
        <f>HYPERLINK("http://bombeiros.sp.gov.br/hidrantes/03individual/10054.html","10054")</f>
      </c>
      <c r="B2473" t="s">
        <v>454</v>
      </c>
      <c r="C2473" t="s">
        <v>515</v>
      </c>
      <c r="D2473" t="s">
        <v>7975</v>
      </c>
      <c r="E2473" t="s">
        <v>1507</v>
      </c>
      <c r="F2473" t="s">
        <v>7976</v>
      </c>
      <c r="G2473" t="s">
        <v>18165</v>
      </c>
      <c r="H2473" t="s">
        <v>1112</v>
      </c>
      <c r="I2473" t="s">
        <v>1108</v>
      </c>
      <c r="J2473" t="s">
        <v>18731</v>
      </c>
      <c r="K2473" t="s">
        <v>18732</v>
      </c>
      <c r="L2473" t="s">
        <v>21</v>
      </c>
      <c r="M2473" t="s">
        <v>19177</v>
      </c>
      <c r="N2473" t="s">
        <v>478</v>
      </c>
      <c r="O2473" t="s">
        <v>478</v>
      </c>
      <c r="P2473" t="s">
        <v>454</v>
      </c>
    </row>
    <row r="2474">
      <c r="A2474">
        <f>HYPERLINK("http://bombeiros.sp.gov.br/hidrantes/03individual/949.html","949")</f>
      </c>
      <c r="B2474" t="s">
        <v>454</v>
      </c>
      <c r="C2474" t="s">
        <v>515</v>
      </c>
      <c r="D2474" t="s">
        <v>7975</v>
      </c>
      <c r="E2474" t="s">
        <v>15</v>
      </c>
      <c r="F2474" t="s">
        <v>7979</v>
      </c>
      <c r="G2474" t="s">
        <v>18065</v>
      </c>
      <c r="H2474" t="s">
        <v>1112</v>
      </c>
      <c r="I2474" t="s">
        <v>1108</v>
      </c>
      <c r="J2474" t="s">
        <v>7980</v>
      </c>
      <c r="K2474" t="s">
        <v>7981</v>
      </c>
      <c r="L2474" t="s">
        <v>21</v>
      </c>
      <c r="M2474" t="s">
        <v>19177</v>
      </c>
      <c r="N2474" t="s">
        <v>478</v>
      </c>
      <c r="O2474" t="s">
        <v>478</v>
      </c>
      <c r="P2474" t="s">
        <v>454</v>
      </c>
    </row>
    <row r="2475">
      <c r="A2475">
        <f>HYPERLINK("http://bombeiros.sp.gov.br/hidrantes/03individual/1098.html","1098")</f>
      </c>
      <c r="B2475" t="s">
        <v>454</v>
      </c>
      <c r="C2475" t="s">
        <v>515</v>
      </c>
      <c r="D2475" t="s">
        <v>7975</v>
      </c>
      <c r="E2475" t="s">
        <v>15</v>
      </c>
      <c r="F2475" t="s">
        <v>7982</v>
      </c>
      <c r="G2475" t="s">
        <v>18211</v>
      </c>
      <c r="H2475" t="s">
        <v>1107</v>
      </c>
      <c r="I2475" t="s">
        <v>1108</v>
      </c>
      <c r="J2475" t="s">
        <v>7983</v>
      </c>
      <c r="K2475" t="s">
        <v>7984</v>
      </c>
      <c r="L2475" t="s">
        <v>21</v>
      </c>
      <c r="M2475" t="s">
        <v>19177</v>
      </c>
      <c r="N2475" t="s">
        <v>478</v>
      </c>
      <c r="O2475" t="s">
        <v>478</v>
      </c>
      <c r="P2475" t="s">
        <v>454</v>
      </c>
    </row>
    <row r="2476">
      <c r="A2476">
        <f>HYPERLINK("http://bombeiros.sp.gov.br/hidrantes/03individual/1107.html","1107")</f>
      </c>
      <c r="B2476" t="s">
        <v>454</v>
      </c>
      <c r="C2476" t="s">
        <v>515</v>
      </c>
      <c r="D2476" t="s">
        <v>7975</v>
      </c>
      <c r="E2476" t="s">
        <v>15</v>
      </c>
      <c r="F2476" t="s">
        <v>7985</v>
      </c>
      <c r="G2476" t="s">
        <v>18126</v>
      </c>
      <c r="H2476" t="s">
        <v>1112</v>
      </c>
      <c r="I2476" t="s">
        <v>1108</v>
      </c>
      <c r="J2476" t="s">
        <v>7986</v>
      </c>
      <c r="K2476" t="s">
        <v>7987</v>
      </c>
      <c r="L2476" t="s">
        <v>21</v>
      </c>
      <c r="M2476" t="s">
        <v>19177</v>
      </c>
      <c r="N2476" t="s">
        <v>478</v>
      </c>
      <c r="O2476" t="s">
        <v>478</v>
      </c>
      <c r="P2476" t="s">
        <v>454</v>
      </c>
    </row>
    <row r="2477">
      <c r="A2477">
        <f>HYPERLINK("http://bombeiros.sp.gov.br/hidrantes/03individual/1145.html","1145")</f>
      </c>
      <c r="B2477" t="s">
        <v>454</v>
      </c>
      <c r="C2477" t="s">
        <v>515</v>
      </c>
      <c r="D2477" t="s">
        <v>7975</v>
      </c>
      <c r="E2477" t="s">
        <v>15</v>
      </c>
      <c r="F2477" t="s">
        <v>7988</v>
      </c>
      <c r="G2477" t="s">
        <v>18108</v>
      </c>
      <c r="H2477" t="s">
        <v>1107</v>
      </c>
      <c r="I2477" t="s">
        <v>1108</v>
      </c>
      <c r="J2477" t="s">
        <v>7989</v>
      </c>
      <c r="K2477" t="s">
        <v>7990</v>
      </c>
      <c r="L2477" t="s">
        <v>21</v>
      </c>
      <c r="M2477" t="s">
        <v>19177</v>
      </c>
      <c r="N2477" t="s">
        <v>478</v>
      </c>
      <c r="O2477" t="s">
        <v>478</v>
      </c>
      <c r="P2477" t="s">
        <v>454</v>
      </c>
    </row>
    <row r="2478">
      <c r="A2478">
        <f>HYPERLINK("http://bombeiros.sp.gov.br/hidrantes/03individual/1155.html","1155")</f>
      </c>
      <c r="B2478" t="s">
        <v>454</v>
      </c>
      <c r="C2478" t="s">
        <v>515</v>
      </c>
      <c r="D2478" t="s">
        <v>7975</v>
      </c>
      <c r="E2478" t="s">
        <v>15</v>
      </c>
      <c r="F2478" t="s">
        <v>7991</v>
      </c>
      <c r="G2478" t="s">
        <v>18108</v>
      </c>
      <c r="H2478" t="s">
        <v>1112</v>
      </c>
      <c r="I2478" t="s">
        <v>1108</v>
      </c>
      <c r="J2478" t="s">
        <v>7992</v>
      </c>
      <c r="K2478" t="s">
        <v>7993</v>
      </c>
      <c r="L2478" t="s">
        <v>21</v>
      </c>
      <c r="M2478" t="s">
        <v>19177</v>
      </c>
      <c r="N2478" t="s">
        <v>478</v>
      </c>
      <c r="O2478" t="s">
        <v>478</v>
      </c>
      <c r="P2478" t="s">
        <v>454</v>
      </c>
    </row>
    <row r="2479">
      <c r="A2479">
        <f>HYPERLINK("http://bombeiros.sp.gov.br/hidrantes/03individual/1189.html","1189")</f>
      </c>
      <c r="B2479" t="s">
        <v>454</v>
      </c>
      <c r="C2479" t="s">
        <v>515</v>
      </c>
      <c r="D2479" t="s">
        <v>7975</v>
      </c>
      <c r="E2479" t="s">
        <v>15</v>
      </c>
      <c r="F2479" t="s">
        <v>7994</v>
      </c>
      <c r="G2479" t="s">
        <v>18091</v>
      </c>
      <c r="H2479" t="s">
        <v>1121</v>
      </c>
      <c r="I2479" t="s">
        <v>1117</v>
      </c>
      <c r="J2479" t="s">
        <v>7995</v>
      </c>
      <c r="K2479" t="s">
        <v>7996</v>
      </c>
      <c r="L2479" t="s">
        <v>21</v>
      </c>
      <c r="M2479" t="s">
        <v>19177</v>
      </c>
      <c r="N2479" t="s">
        <v>478</v>
      </c>
      <c r="O2479" t="s">
        <v>478</v>
      </c>
      <c r="P2479" t="s">
        <v>454</v>
      </c>
    </row>
    <row r="2480">
      <c r="A2480">
        <f>HYPERLINK("http://bombeiros.sp.gov.br/hidrantes/03individual/1192.html","1192")</f>
      </c>
      <c r="B2480" t="s">
        <v>454</v>
      </c>
      <c r="C2480" t="s">
        <v>515</v>
      </c>
      <c r="D2480" t="s">
        <v>7975</v>
      </c>
      <c r="E2480" t="s">
        <v>15</v>
      </c>
      <c r="F2480" t="s">
        <v>7997</v>
      </c>
      <c r="G2480" t="s">
        <v>18211</v>
      </c>
      <c r="H2480" t="s">
        <v>1174</v>
      </c>
      <c r="I2480" t="s">
        <v>1117</v>
      </c>
      <c r="J2480" t="s">
        <v>7998</v>
      </c>
      <c r="K2480" t="s">
        <v>7999</v>
      </c>
      <c r="L2480" t="s">
        <v>21</v>
      </c>
      <c r="M2480" t="s">
        <v>19177</v>
      </c>
      <c r="N2480" t="s">
        <v>478</v>
      </c>
      <c r="O2480" t="s">
        <v>478</v>
      </c>
      <c r="P2480" t="s">
        <v>454</v>
      </c>
    </row>
    <row r="2481">
      <c r="A2481">
        <f>HYPERLINK("http://bombeiros.sp.gov.br/hidrantes/03individual/1239.html","1239")</f>
      </c>
      <c r="B2481" t="s">
        <v>454</v>
      </c>
      <c r="C2481" t="s">
        <v>515</v>
      </c>
      <c r="D2481" t="s">
        <v>7975</v>
      </c>
      <c r="E2481" t="s">
        <v>15</v>
      </c>
      <c r="F2481" t="s">
        <v>8000</v>
      </c>
      <c r="G2481" t="s">
        <v>18108</v>
      </c>
      <c r="H2481" t="s">
        <v>1174</v>
      </c>
      <c r="I2481" t="s">
        <v>1117</v>
      </c>
      <c r="J2481" t="s">
        <v>8001</v>
      </c>
      <c r="K2481" t="s">
        <v>8002</v>
      </c>
      <c r="L2481" t="s">
        <v>21</v>
      </c>
      <c r="M2481" t="s">
        <v>19177</v>
      </c>
      <c r="N2481" t="s">
        <v>478</v>
      </c>
      <c r="O2481" t="s">
        <v>478</v>
      </c>
      <c r="P2481" t="s">
        <v>454</v>
      </c>
    </row>
    <row r="2482">
      <c r="A2482">
        <f>HYPERLINK("http://bombeiros.sp.gov.br/hidrantes/03individual/1286.html","1286")</f>
      </c>
      <c r="B2482" t="s">
        <v>454</v>
      </c>
      <c r="C2482" t="s">
        <v>515</v>
      </c>
      <c r="D2482" t="s">
        <v>7975</v>
      </c>
      <c r="E2482" t="s">
        <v>15</v>
      </c>
      <c r="F2482" t="s">
        <v>8003</v>
      </c>
      <c r="G2482" t="s">
        <v>18108</v>
      </c>
      <c r="H2482" t="s">
        <v>1112</v>
      </c>
      <c r="I2482" t="s">
        <v>1108</v>
      </c>
      <c r="J2482" t="s">
        <v>8004</v>
      </c>
      <c r="K2482" t="s">
        <v>8005</v>
      </c>
      <c r="L2482" t="s">
        <v>21</v>
      </c>
      <c r="M2482" t="s">
        <v>19177</v>
      </c>
      <c r="N2482" t="s">
        <v>478</v>
      </c>
      <c r="O2482" t="s">
        <v>478</v>
      </c>
      <c r="P2482" t="s">
        <v>454</v>
      </c>
    </row>
    <row r="2483">
      <c r="A2483">
        <f>HYPERLINK("http://bombeiros.sp.gov.br/hidrantes/03individual/1802.html","1802")</f>
      </c>
      <c r="B2483" t="s">
        <v>454</v>
      </c>
      <c r="C2483" t="s">
        <v>515</v>
      </c>
      <c r="D2483" t="s">
        <v>7975</v>
      </c>
      <c r="E2483" t="s">
        <v>15</v>
      </c>
      <c r="F2483" t="s">
        <v>8006</v>
      </c>
      <c r="G2483" t="s">
        <v>18068</v>
      </c>
      <c r="H2483" t="s">
        <v>1174</v>
      </c>
      <c r="I2483" t="s">
        <v>1117</v>
      </c>
      <c r="J2483" t="s">
        <v>8007</v>
      </c>
      <c r="K2483" t="s">
        <v>8008</v>
      </c>
      <c r="L2483" t="s">
        <v>21</v>
      </c>
      <c r="M2483" t="s">
        <v>19177</v>
      </c>
      <c r="N2483" t="s">
        <v>478</v>
      </c>
      <c r="O2483" t="s">
        <v>478</v>
      </c>
      <c r="P2483" t="s">
        <v>454</v>
      </c>
    </row>
    <row r="2484">
      <c r="A2484">
        <f>HYPERLINK("http://bombeiros.sp.gov.br/hidrantes/03individual/3730.html","3730")</f>
      </c>
      <c r="B2484" t="s">
        <v>454</v>
      </c>
      <c r="C2484" t="s">
        <v>515</v>
      </c>
      <c r="D2484" t="s">
        <v>7975</v>
      </c>
      <c r="E2484" t="s">
        <v>15</v>
      </c>
      <c r="F2484" t="s">
        <v>8009</v>
      </c>
      <c r="G2484" t="s">
        <v>18065</v>
      </c>
      <c r="H2484" t="s">
        <v>1107</v>
      </c>
      <c r="I2484" t="s">
        <v>1117</v>
      </c>
      <c r="J2484" t="s">
        <v>8010</v>
      </c>
      <c r="K2484" t="s">
        <v>8011</v>
      </c>
      <c r="L2484" t="s">
        <v>21</v>
      </c>
      <c r="M2484" t="s">
        <v>19177</v>
      </c>
      <c r="N2484" t="s">
        <v>478</v>
      </c>
      <c r="O2484" t="s">
        <v>478</v>
      </c>
      <c r="P2484" t="s">
        <v>454</v>
      </c>
    </row>
    <row r="2485">
      <c r="A2485">
        <f>HYPERLINK("http://bombeiros.sp.gov.br/hidrantes/03individual/3744.html","3744")</f>
      </c>
      <c r="B2485" t="s">
        <v>454</v>
      </c>
      <c r="C2485" t="s">
        <v>515</v>
      </c>
      <c r="D2485" t="s">
        <v>7975</v>
      </c>
      <c r="E2485" t="s">
        <v>15</v>
      </c>
      <c r="F2485" t="s">
        <v>8012</v>
      </c>
      <c r="G2485" t="s">
        <v>18080</v>
      </c>
      <c r="H2485" t="s">
        <v>1107</v>
      </c>
      <c r="I2485" t="s">
        <v>1108</v>
      </c>
      <c r="J2485" t="s">
        <v>8013</v>
      </c>
      <c r="K2485" t="s">
        <v>8014</v>
      </c>
      <c r="L2485" t="s">
        <v>21</v>
      </c>
      <c r="M2485" t="s">
        <v>19177</v>
      </c>
      <c r="N2485" t="s">
        <v>478</v>
      </c>
      <c r="O2485" t="s">
        <v>478</v>
      </c>
      <c r="P2485" t="s">
        <v>454</v>
      </c>
    </row>
    <row r="2486">
      <c r="A2486">
        <f>HYPERLINK("http://bombeiros.sp.gov.br/hidrantes/03individual/3749.html","3749")</f>
      </c>
      <c r="B2486" t="s">
        <v>454</v>
      </c>
      <c r="C2486" t="s">
        <v>515</v>
      </c>
      <c r="D2486" t="s">
        <v>7975</v>
      </c>
      <c r="E2486" t="s">
        <v>15</v>
      </c>
      <c r="F2486" t="s">
        <v>8015</v>
      </c>
      <c r="G2486" t="s">
        <v>18211</v>
      </c>
      <c r="H2486" t="s">
        <v>1174</v>
      </c>
      <c r="I2486" t="s">
        <v>1117</v>
      </c>
      <c r="J2486" t="s">
        <v>8016</v>
      </c>
      <c r="K2486" t="s">
        <v>8017</v>
      </c>
      <c r="L2486" t="s">
        <v>21</v>
      </c>
      <c r="M2486" t="s">
        <v>19177</v>
      </c>
      <c r="N2486" t="s">
        <v>478</v>
      </c>
      <c r="O2486" t="s">
        <v>478</v>
      </c>
      <c r="P2486" t="s">
        <v>454</v>
      </c>
    </row>
    <row r="2487">
      <c r="A2487">
        <f>HYPERLINK("http://bombeiros.sp.gov.br/hidrantes/03individual/3795.html","3795")</f>
      </c>
      <c r="B2487" t="s">
        <v>454</v>
      </c>
      <c r="C2487" t="s">
        <v>515</v>
      </c>
      <c r="D2487" t="s">
        <v>7975</v>
      </c>
      <c r="E2487" t="s">
        <v>15</v>
      </c>
      <c r="F2487" t="s">
        <v>8018</v>
      </c>
      <c r="G2487" t="s">
        <v>18075</v>
      </c>
      <c r="H2487" t="s">
        <v>1112</v>
      </c>
      <c r="I2487" t="s">
        <v>1108</v>
      </c>
      <c r="J2487" t="s">
        <v>8019</v>
      </c>
      <c r="K2487" t="s">
        <v>8020</v>
      </c>
      <c r="L2487" t="s">
        <v>21</v>
      </c>
      <c r="M2487" t="s">
        <v>19177</v>
      </c>
      <c r="N2487" t="s">
        <v>478</v>
      </c>
      <c r="O2487" t="s">
        <v>478</v>
      </c>
      <c r="P2487" t="s">
        <v>454</v>
      </c>
    </row>
    <row r="2488">
      <c r="A2488">
        <f>HYPERLINK("http://bombeiros.sp.gov.br/hidrantes/03individual/17747.html","17747")</f>
      </c>
      <c r="B2488" t="s">
        <v>454</v>
      </c>
      <c r="C2488" t="s">
        <v>515</v>
      </c>
      <c r="D2488" t="s">
        <v>7975</v>
      </c>
      <c r="E2488" t="s">
        <v>15</v>
      </c>
      <c r="F2488" t="s">
        <v>8021</v>
      </c>
      <c r="G2488" t="s">
        <v>18165</v>
      </c>
      <c r="H2488" t="s">
        <v>1107</v>
      </c>
      <c r="I2488" t="s">
        <v>1108</v>
      </c>
      <c r="J2488" t="s">
        <v>8022</v>
      </c>
      <c r="K2488" t="s">
        <v>8023</v>
      </c>
      <c r="L2488" t="s">
        <v>21</v>
      </c>
      <c r="M2488" t="s">
        <v>19177</v>
      </c>
      <c r="N2488" t="s">
        <v>478</v>
      </c>
      <c r="O2488" t="s">
        <v>478</v>
      </c>
      <c r="P2488" t="s">
        <v>454</v>
      </c>
    </row>
    <row r="2489">
      <c r="A2489">
        <f>HYPERLINK("http://bombeiros.sp.gov.br/hidrantes/03individual/17748.html","17748")</f>
      </c>
      <c r="B2489" t="s">
        <v>454</v>
      </c>
      <c r="C2489" t="s">
        <v>515</v>
      </c>
      <c r="D2489" t="s">
        <v>7975</v>
      </c>
      <c r="E2489" t="s">
        <v>15</v>
      </c>
      <c r="F2489" t="s">
        <v>8024</v>
      </c>
      <c r="G2489" t="s">
        <v>18307</v>
      </c>
      <c r="H2489" t="s">
        <v>1112</v>
      </c>
      <c r="I2489" t="s">
        <v>1108</v>
      </c>
      <c r="J2489" t="s">
        <v>8025</v>
      </c>
      <c r="K2489" t="s">
        <v>8026</v>
      </c>
      <c r="L2489" t="s">
        <v>21</v>
      </c>
      <c r="M2489" t="s">
        <v>19177</v>
      </c>
      <c r="N2489" t="s">
        <v>478</v>
      </c>
      <c r="O2489" t="s">
        <v>478</v>
      </c>
      <c r="P2489" t="s">
        <v>454</v>
      </c>
    </row>
    <row r="2490">
      <c r="A2490">
        <f>HYPERLINK("http://bombeiros.sp.gov.br/hidrantes/03individual/17749.html","17749")</f>
      </c>
      <c r="B2490" t="s">
        <v>454</v>
      </c>
      <c r="C2490" t="s">
        <v>515</v>
      </c>
      <c r="D2490" t="s">
        <v>7975</v>
      </c>
      <c r="E2490" t="s">
        <v>15</v>
      </c>
      <c r="F2490" t="s">
        <v>8027</v>
      </c>
      <c r="G2490" t="s">
        <v>18116</v>
      </c>
      <c r="H2490" t="s">
        <v>1121</v>
      </c>
      <c r="I2490" t="s">
        <v>1117</v>
      </c>
      <c r="J2490" t="s">
        <v>8028</v>
      </c>
      <c r="K2490" t="s">
        <v>8029</v>
      </c>
      <c r="L2490" t="s">
        <v>21</v>
      </c>
      <c r="M2490" t="s">
        <v>19177</v>
      </c>
      <c r="N2490" t="s">
        <v>478</v>
      </c>
      <c r="O2490" t="s">
        <v>478</v>
      </c>
      <c r="P2490" t="s">
        <v>454</v>
      </c>
    </row>
    <row r="2491">
      <c r="A2491">
        <f>HYPERLINK("http://bombeiros.sp.gov.br/hidrantes/03individual/17821.html","17821")</f>
      </c>
      <c r="B2491" t="s">
        <v>454</v>
      </c>
      <c r="C2491" t="s">
        <v>515</v>
      </c>
      <c r="D2491" t="s">
        <v>7975</v>
      </c>
      <c r="E2491" t="s">
        <v>15</v>
      </c>
      <c r="F2491" t="s">
        <v>8030</v>
      </c>
      <c r="G2491" t="s">
        <v>18117</v>
      </c>
      <c r="H2491" t="s">
        <v>1121</v>
      </c>
      <c r="I2491" t="s">
        <v>1117</v>
      </c>
      <c r="J2491" t="s">
        <v>8031</v>
      </c>
      <c r="K2491" t="s">
        <v>8032</v>
      </c>
      <c r="L2491" t="s">
        <v>21</v>
      </c>
      <c r="M2491" t="s">
        <v>19177</v>
      </c>
      <c r="N2491" t="s">
        <v>478</v>
      </c>
      <c r="O2491" t="s">
        <v>478</v>
      </c>
      <c r="P2491" t="s">
        <v>454</v>
      </c>
    </row>
    <row r="2492">
      <c r="A2492">
        <f>HYPERLINK("http://bombeiros.sp.gov.br/hidrantes/03individual/17882.html","17882")</f>
      </c>
      <c r="B2492" t="s">
        <v>454</v>
      </c>
      <c r="C2492" t="s">
        <v>515</v>
      </c>
      <c r="D2492" t="s">
        <v>7975</v>
      </c>
      <c r="E2492" t="s">
        <v>15</v>
      </c>
      <c r="F2492" t="s">
        <v>8033</v>
      </c>
      <c r="G2492" t="s">
        <v>18116</v>
      </c>
      <c r="H2492" t="s">
        <v>1121</v>
      </c>
      <c r="I2492" t="s">
        <v>1117</v>
      </c>
      <c r="J2492" t="s">
        <v>8034</v>
      </c>
      <c r="K2492" t="s">
        <v>8035</v>
      </c>
      <c r="L2492" t="s">
        <v>21</v>
      </c>
      <c r="M2492" t="s">
        <v>19177</v>
      </c>
      <c r="N2492" t="s">
        <v>478</v>
      </c>
      <c r="O2492" t="s">
        <v>478</v>
      </c>
      <c r="P2492" t="s">
        <v>454</v>
      </c>
    </row>
    <row r="2493">
      <c r="A2493">
        <f>HYPERLINK("http://bombeiros.sp.gov.br/hidrantes/03individual/27110.html","27110")</f>
      </c>
      <c r="B2493" t="s">
        <v>454</v>
      </c>
      <c r="C2493" t="s">
        <v>515</v>
      </c>
      <c r="D2493" t="s">
        <v>7975</v>
      </c>
      <c r="E2493" t="s">
        <v>15</v>
      </c>
      <c r="F2493" t="s">
        <v>19117</v>
      </c>
      <c r="G2493" t="s">
        <v>18108</v>
      </c>
      <c r="H2493" t="s">
        <v>1121</v>
      </c>
      <c r="I2493" t="s">
        <v>1117</v>
      </c>
      <c r="J2493" t="s">
        <v>16785</v>
      </c>
      <c r="K2493" t="s">
        <v>16786</v>
      </c>
      <c r="L2493" t="s">
        <v>21</v>
      </c>
      <c r="M2493" t="s">
        <v>19177</v>
      </c>
      <c r="N2493" t="s">
        <v>478</v>
      </c>
      <c r="O2493" t="s">
        <v>478</v>
      </c>
      <c r="P2493" t="s">
        <v>454</v>
      </c>
    </row>
    <row r="2494">
      <c r="A2494">
        <f>HYPERLINK("http://bombeiros.sp.gov.br/hidrantes/03individual/3510.html","3510")</f>
      </c>
      <c r="B2494" t="s">
        <v>454</v>
      </c>
      <c r="C2494" t="s">
        <v>8036</v>
      </c>
      <c r="D2494" t="s">
        <v>8037</v>
      </c>
      <c r="E2494" t="s">
        <v>64</v>
      </c>
      <c r="F2494" t="s">
        <v>8038</v>
      </c>
      <c r="G2494" t="s">
        <v>18070</v>
      </c>
      <c r="H2494" t="s">
        <v>1174</v>
      </c>
      <c r="I2494" t="s">
        <v>1117</v>
      </c>
      <c r="J2494" t="s">
        <v>8039</v>
      </c>
      <c r="K2494" t="s">
        <v>8040</v>
      </c>
      <c r="L2494" t="s">
        <v>36</v>
      </c>
      <c r="M2494" t="s">
        <v>19177</v>
      </c>
      <c r="N2494" t="s">
        <v>478</v>
      </c>
      <c r="O2494" t="s">
        <v>478</v>
      </c>
      <c r="P2494" t="s">
        <v>454</v>
      </c>
    </row>
    <row r="2495">
      <c r="A2495">
        <f>HYPERLINK("http://bombeiros.sp.gov.br/hidrantes/03individual/3512.html","3512")</f>
      </c>
      <c r="B2495" t="s">
        <v>454</v>
      </c>
      <c r="C2495" t="s">
        <v>8036</v>
      </c>
      <c r="D2495" t="s">
        <v>8037</v>
      </c>
      <c r="E2495" t="s">
        <v>64</v>
      </c>
      <c r="F2495" t="s">
        <v>8041</v>
      </c>
      <c r="G2495" t="s">
        <v>18470</v>
      </c>
      <c r="H2495" t="s">
        <v>1107</v>
      </c>
      <c r="I2495" t="s">
        <v>1108</v>
      </c>
      <c r="J2495" t="s">
        <v>8042</v>
      </c>
      <c r="K2495" t="s">
        <v>8043</v>
      </c>
      <c r="L2495" t="s">
        <v>21</v>
      </c>
      <c r="M2495" t="s">
        <v>19177</v>
      </c>
      <c r="N2495" t="s">
        <v>478</v>
      </c>
      <c r="O2495" t="s">
        <v>478</v>
      </c>
      <c r="P2495" t="s">
        <v>454</v>
      </c>
    </row>
    <row r="2496">
      <c r="A2496">
        <f>HYPERLINK("http://bombeiros.sp.gov.br/hidrantes/03individual/27662.html","27662")</f>
      </c>
      <c r="B2496" t="s">
        <v>454</v>
      </c>
      <c r="C2496" t="s">
        <v>8036</v>
      </c>
      <c r="D2496" t="s">
        <v>8037</v>
      </c>
      <c r="E2496" t="s">
        <v>64</v>
      </c>
      <c r="F2496" t="s">
        <v>17567</v>
      </c>
      <c r="G2496" t="s">
        <v>18048</v>
      </c>
      <c r="H2496" t="s">
        <v>1112</v>
      </c>
      <c r="I2496" t="s">
        <v>1108</v>
      </c>
      <c r="J2496" t="s">
        <v>17568</v>
      </c>
      <c r="K2496" t="s">
        <v>17569</v>
      </c>
      <c r="L2496" t="s">
        <v>21</v>
      </c>
      <c r="M2496" t="s">
        <v>19177</v>
      </c>
      <c r="N2496" t="s">
        <v>478</v>
      </c>
      <c r="O2496" t="s">
        <v>478</v>
      </c>
      <c r="P2496" t="s">
        <v>454</v>
      </c>
    </row>
    <row r="2497">
      <c r="A2497">
        <f>HYPERLINK("http://bombeiros.sp.gov.br/hidrantes/03individual/3726.html","3726")</f>
      </c>
      <c r="B2497" t="s">
        <v>454</v>
      </c>
      <c r="C2497" t="s">
        <v>8036</v>
      </c>
      <c r="D2497" t="s">
        <v>8037</v>
      </c>
      <c r="E2497" t="s">
        <v>15</v>
      </c>
      <c r="F2497" t="s">
        <v>8044</v>
      </c>
      <c r="G2497" t="s">
        <v>18070</v>
      </c>
      <c r="H2497" t="s">
        <v>1174</v>
      </c>
      <c r="I2497" t="s">
        <v>1108</v>
      </c>
      <c r="J2497" t="s">
        <v>8045</v>
      </c>
      <c r="K2497" t="s">
        <v>8046</v>
      </c>
      <c r="L2497" t="s">
        <v>21</v>
      </c>
      <c r="M2497" t="s">
        <v>19177</v>
      </c>
      <c r="N2497" t="s">
        <v>478</v>
      </c>
      <c r="O2497" t="s">
        <v>478</v>
      </c>
      <c r="P2497" t="s">
        <v>454</v>
      </c>
    </row>
    <row r="2498">
      <c r="A2498">
        <f>HYPERLINK("http://bombeiros.sp.gov.br/hidrantes/03individual/3579.html","3579")</f>
      </c>
      <c r="B2498" t="s">
        <v>454</v>
      </c>
      <c r="C2498" t="s">
        <v>8036</v>
      </c>
      <c r="D2498" t="s">
        <v>8036</v>
      </c>
      <c r="E2498" t="s">
        <v>64</v>
      </c>
      <c r="F2498" t="s">
        <v>8047</v>
      </c>
      <c r="G2498" t="s">
        <v>18113</v>
      </c>
      <c r="H2498" t="s">
        <v>1112</v>
      </c>
      <c r="I2498" t="s">
        <v>1108</v>
      </c>
      <c r="J2498" t="s">
        <v>8048</v>
      </c>
      <c r="K2498" t="s">
        <v>8049</v>
      </c>
      <c r="L2498" t="s">
        <v>21</v>
      </c>
      <c r="M2498" t="s">
        <v>19177</v>
      </c>
      <c r="N2498" t="s">
        <v>531</v>
      </c>
      <c r="O2498" t="s">
        <v>531</v>
      </c>
      <c r="P2498" t="s">
        <v>454</v>
      </c>
    </row>
    <row r="2499">
      <c r="A2499">
        <f>HYPERLINK("http://bombeiros.sp.gov.br/hidrantes/03individual/3607.html","3607")</f>
      </c>
      <c r="B2499" t="s">
        <v>454</v>
      </c>
      <c r="C2499" t="s">
        <v>8036</v>
      </c>
      <c r="D2499" t="s">
        <v>8036</v>
      </c>
      <c r="E2499" t="s">
        <v>64</v>
      </c>
      <c r="F2499" t="s">
        <v>8050</v>
      </c>
      <c r="G2499" t="s">
        <v>18129</v>
      </c>
      <c r="H2499" t="s">
        <v>1107</v>
      </c>
      <c r="I2499" t="s">
        <v>1108</v>
      </c>
      <c r="J2499" t="s">
        <v>8051</v>
      </c>
      <c r="K2499" t="s">
        <v>8052</v>
      </c>
      <c r="L2499" t="s">
        <v>21</v>
      </c>
      <c r="M2499" t="s">
        <v>19177</v>
      </c>
      <c r="N2499" t="s">
        <v>478</v>
      </c>
      <c r="O2499" t="s">
        <v>478</v>
      </c>
      <c r="P2499" t="s">
        <v>454</v>
      </c>
    </row>
    <row r="2500">
      <c r="A2500">
        <f>HYPERLINK("http://bombeiros.sp.gov.br/hidrantes/03individual/3629.html","3629")</f>
      </c>
      <c r="B2500" t="s">
        <v>454</v>
      </c>
      <c r="C2500" t="s">
        <v>8036</v>
      </c>
      <c r="D2500" t="s">
        <v>8036</v>
      </c>
      <c r="E2500" t="s">
        <v>64</v>
      </c>
      <c r="F2500" t="s">
        <v>8053</v>
      </c>
      <c r="G2500" t="s">
        <v>18062</v>
      </c>
      <c r="H2500" t="s">
        <v>1112</v>
      </c>
      <c r="I2500" t="s">
        <v>1108</v>
      </c>
      <c r="J2500" t="s">
        <v>8054</v>
      </c>
      <c r="K2500" t="s">
        <v>8055</v>
      </c>
      <c r="L2500" t="s">
        <v>21</v>
      </c>
      <c r="M2500" t="s">
        <v>19177</v>
      </c>
      <c r="N2500" t="s">
        <v>478</v>
      </c>
      <c r="O2500" t="s">
        <v>478</v>
      </c>
      <c r="P2500" t="s">
        <v>454</v>
      </c>
    </row>
    <row r="2501">
      <c r="A2501">
        <f>HYPERLINK("http://bombeiros.sp.gov.br/hidrantes/03individual/5560.html","5560")</f>
      </c>
      <c r="B2501" t="s">
        <v>454</v>
      </c>
      <c r="C2501" t="s">
        <v>8036</v>
      </c>
      <c r="D2501" t="s">
        <v>8036</v>
      </c>
      <c r="E2501" t="s">
        <v>64</v>
      </c>
      <c r="F2501" t="s">
        <v>8056</v>
      </c>
      <c r="G2501" t="s">
        <v>18062</v>
      </c>
      <c r="H2501" t="s">
        <v>1121</v>
      </c>
      <c r="I2501" t="s">
        <v>1117</v>
      </c>
      <c r="J2501" t="s">
        <v>8057</v>
      </c>
      <c r="K2501" t="s">
        <v>8058</v>
      </c>
      <c r="L2501" t="s">
        <v>21</v>
      </c>
      <c r="M2501" t="s">
        <v>19177</v>
      </c>
      <c r="N2501" t="s">
        <v>478</v>
      </c>
      <c r="O2501" t="s">
        <v>478</v>
      </c>
      <c r="P2501" t="s">
        <v>454</v>
      </c>
    </row>
    <row r="2502">
      <c r="A2502">
        <f>HYPERLINK("http://bombeiros.sp.gov.br/hidrantes/03individual/5561.html","5561")</f>
      </c>
      <c r="B2502" t="s">
        <v>454</v>
      </c>
      <c r="C2502" t="s">
        <v>8036</v>
      </c>
      <c r="D2502" t="s">
        <v>8036</v>
      </c>
      <c r="E2502" t="s">
        <v>64</v>
      </c>
      <c r="F2502" t="s">
        <v>8059</v>
      </c>
      <c r="G2502" t="s">
        <v>18062</v>
      </c>
      <c r="H2502" t="s">
        <v>1112</v>
      </c>
      <c r="I2502" t="s">
        <v>1108</v>
      </c>
      <c r="J2502" t="s">
        <v>8060</v>
      </c>
      <c r="K2502" t="s">
        <v>8061</v>
      </c>
      <c r="L2502" t="s">
        <v>21</v>
      </c>
      <c r="M2502" t="s">
        <v>19177</v>
      </c>
      <c r="N2502" t="s">
        <v>478</v>
      </c>
      <c r="O2502" t="s">
        <v>478</v>
      </c>
      <c r="P2502" t="s">
        <v>454</v>
      </c>
    </row>
    <row r="2503">
      <c r="A2503">
        <f>HYPERLINK("http://bombeiros.sp.gov.br/hidrantes/03individual/1004.html","1004")</f>
      </c>
      <c r="B2503" t="s">
        <v>454</v>
      </c>
      <c r="C2503" t="s">
        <v>8036</v>
      </c>
      <c r="D2503" t="s">
        <v>8036</v>
      </c>
      <c r="E2503" t="s">
        <v>15</v>
      </c>
      <c r="F2503" t="s">
        <v>8062</v>
      </c>
      <c r="G2503" t="s">
        <v>18043</v>
      </c>
      <c r="H2503" t="s">
        <v>1107</v>
      </c>
      <c r="I2503" t="s">
        <v>1108</v>
      </c>
      <c r="J2503" t="s">
        <v>8063</v>
      </c>
      <c r="K2503" t="s">
        <v>8064</v>
      </c>
      <c r="L2503" t="s">
        <v>21</v>
      </c>
      <c r="M2503" t="s">
        <v>19177</v>
      </c>
      <c r="N2503" t="s">
        <v>531</v>
      </c>
      <c r="O2503" t="s">
        <v>531</v>
      </c>
      <c r="P2503" t="s">
        <v>454</v>
      </c>
    </row>
    <row r="2504">
      <c r="A2504">
        <f>HYPERLINK("http://bombeiros.sp.gov.br/hidrantes/03individual/1007.html","1007")</f>
      </c>
      <c r="B2504" t="s">
        <v>454</v>
      </c>
      <c r="C2504" t="s">
        <v>8036</v>
      </c>
      <c r="D2504" t="s">
        <v>8036</v>
      </c>
      <c r="E2504" t="s">
        <v>15</v>
      </c>
      <c r="F2504" t="s">
        <v>8065</v>
      </c>
      <c r="G2504" t="s">
        <v>18060</v>
      </c>
      <c r="H2504" t="s">
        <v>1112</v>
      </c>
      <c r="I2504" t="s">
        <v>1108</v>
      </c>
      <c r="J2504" t="s">
        <v>8066</v>
      </c>
      <c r="K2504" t="s">
        <v>8067</v>
      </c>
      <c r="L2504" t="s">
        <v>21</v>
      </c>
      <c r="M2504" t="s">
        <v>19177</v>
      </c>
      <c r="N2504" t="s">
        <v>478</v>
      </c>
      <c r="O2504" t="s">
        <v>478</v>
      </c>
      <c r="P2504" t="s">
        <v>454</v>
      </c>
    </row>
    <row r="2505">
      <c r="A2505">
        <f>HYPERLINK("http://bombeiros.sp.gov.br/hidrantes/03individual/1009.html","1009")</f>
      </c>
      <c r="B2505" t="s">
        <v>454</v>
      </c>
      <c r="C2505" t="s">
        <v>8036</v>
      </c>
      <c r="D2505" t="s">
        <v>8036</v>
      </c>
      <c r="E2505" t="s">
        <v>15</v>
      </c>
      <c r="F2505" t="s">
        <v>8068</v>
      </c>
      <c r="G2505" t="s">
        <v>18072</v>
      </c>
      <c r="H2505"/>
      <c r="I2505" t="s">
        <v>18</v>
      </c>
      <c r="J2505" t="s">
        <v>8069</v>
      </c>
      <c r="K2505" t="s">
        <v>8070</v>
      </c>
      <c r="L2505" t="s">
        <v>36</v>
      </c>
      <c r="M2505" t="s">
        <v>19177</v>
      </c>
      <c r="N2505" t="s">
        <v>531</v>
      </c>
      <c r="O2505" t="s">
        <v>531</v>
      </c>
      <c r="P2505" t="s">
        <v>454</v>
      </c>
    </row>
    <row r="2506">
      <c r="A2506">
        <f>HYPERLINK("http://bombeiros.sp.gov.br/hidrantes/03individual/1012.html","1012")</f>
      </c>
      <c r="B2506" t="s">
        <v>454</v>
      </c>
      <c r="C2506" t="s">
        <v>8036</v>
      </c>
      <c r="D2506" t="s">
        <v>8036</v>
      </c>
      <c r="E2506" t="s">
        <v>15</v>
      </c>
      <c r="F2506" t="s">
        <v>8071</v>
      </c>
      <c r="G2506" t="s">
        <v>18129</v>
      </c>
      <c r="H2506" t="s">
        <v>1174</v>
      </c>
      <c r="I2506" t="s">
        <v>1108</v>
      </c>
      <c r="J2506" t="s">
        <v>8072</v>
      </c>
      <c r="K2506" t="s">
        <v>8073</v>
      </c>
      <c r="L2506" t="s">
        <v>21</v>
      </c>
      <c r="M2506" t="s">
        <v>19177</v>
      </c>
      <c r="N2506" t="s">
        <v>478</v>
      </c>
      <c r="O2506" t="s">
        <v>478</v>
      </c>
      <c r="P2506" t="s">
        <v>454</v>
      </c>
    </row>
    <row r="2507">
      <c r="A2507">
        <f>HYPERLINK("http://bombeiros.sp.gov.br/hidrantes/03individual/1055.html","1055")</f>
      </c>
      <c r="B2507" t="s">
        <v>454</v>
      </c>
      <c r="C2507" t="s">
        <v>8036</v>
      </c>
      <c r="D2507" t="s">
        <v>8036</v>
      </c>
      <c r="E2507" t="s">
        <v>15</v>
      </c>
      <c r="F2507" t="s">
        <v>8074</v>
      </c>
      <c r="G2507" t="s">
        <v>18072</v>
      </c>
      <c r="H2507" t="s">
        <v>1107</v>
      </c>
      <c r="I2507" t="s">
        <v>1108</v>
      </c>
      <c r="J2507" t="s">
        <v>8075</v>
      </c>
      <c r="K2507" t="s">
        <v>8076</v>
      </c>
      <c r="L2507" t="s">
        <v>21</v>
      </c>
      <c r="M2507" t="s">
        <v>19177</v>
      </c>
      <c r="N2507" t="s">
        <v>478</v>
      </c>
      <c r="O2507" t="s">
        <v>478</v>
      </c>
      <c r="P2507" t="s">
        <v>454</v>
      </c>
    </row>
    <row r="2508">
      <c r="A2508">
        <f>HYPERLINK("http://bombeiros.sp.gov.br/hidrantes/03individual/1056.html","1056")</f>
      </c>
      <c r="B2508" t="s">
        <v>454</v>
      </c>
      <c r="C2508" t="s">
        <v>8036</v>
      </c>
      <c r="D2508" t="s">
        <v>8036</v>
      </c>
      <c r="E2508" t="s">
        <v>15</v>
      </c>
      <c r="F2508" t="s">
        <v>8077</v>
      </c>
      <c r="G2508" t="s">
        <v>18060</v>
      </c>
      <c r="H2508" t="s">
        <v>1112</v>
      </c>
      <c r="I2508" t="s">
        <v>1108</v>
      </c>
      <c r="J2508" t="s">
        <v>8078</v>
      </c>
      <c r="K2508" t="s">
        <v>8079</v>
      </c>
      <c r="L2508" t="s">
        <v>21</v>
      </c>
      <c r="M2508" t="s">
        <v>19177</v>
      </c>
      <c r="N2508" t="s">
        <v>478</v>
      </c>
      <c r="O2508" t="s">
        <v>478</v>
      </c>
      <c r="P2508" t="s">
        <v>454</v>
      </c>
    </row>
    <row r="2509">
      <c r="A2509">
        <f>HYPERLINK("http://bombeiros.sp.gov.br/hidrantes/03individual/1058.html","1058")</f>
      </c>
      <c r="B2509" t="s">
        <v>454</v>
      </c>
      <c r="C2509" t="s">
        <v>8036</v>
      </c>
      <c r="D2509" t="s">
        <v>8036</v>
      </c>
      <c r="E2509" t="s">
        <v>15</v>
      </c>
      <c r="F2509" t="s">
        <v>8080</v>
      </c>
      <c r="G2509" t="s">
        <v>18063</v>
      </c>
      <c r="H2509" t="s">
        <v>1112</v>
      </c>
      <c r="I2509" t="s">
        <v>1108</v>
      </c>
      <c r="J2509" t="s">
        <v>8081</v>
      </c>
      <c r="K2509" t="s">
        <v>8082</v>
      </c>
      <c r="L2509" t="s">
        <v>21</v>
      </c>
      <c r="M2509" t="s">
        <v>19177</v>
      </c>
      <c r="N2509" t="s">
        <v>531</v>
      </c>
      <c r="O2509" t="s">
        <v>531</v>
      </c>
      <c r="P2509" t="s">
        <v>454</v>
      </c>
    </row>
    <row r="2510">
      <c r="A2510">
        <f>HYPERLINK("http://bombeiros.sp.gov.br/hidrantes/03individual/1140.html","1140")</f>
      </c>
      <c r="B2510" t="s">
        <v>454</v>
      </c>
      <c r="C2510" t="s">
        <v>8036</v>
      </c>
      <c r="D2510" t="s">
        <v>8036</v>
      </c>
      <c r="E2510" t="s">
        <v>15</v>
      </c>
      <c r="F2510" t="s">
        <v>8083</v>
      </c>
      <c r="G2510" t="s">
        <v>18063</v>
      </c>
      <c r="H2510" t="s">
        <v>1174</v>
      </c>
      <c r="I2510" t="s">
        <v>1108</v>
      </c>
      <c r="J2510" t="s">
        <v>8084</v>
      </c>
      <c r="K2510" t="s">
        <v>8085</v>
      </c>
      <c r="L2510" t="s">
        <v>21</v>
      </c>
      <c r="M2510" t="s">
        <v>19177</v>
      </c>
      <c r="N2510" t="s">
        <v>531</v>
      </c>
      <c r="O2510" t="s">
        <v>531</v>
      </c>
      <c r="P2510" t="s">
        <v>454</v>
      </c>
    </row>
    <row r="2511">
      <c r="A2511">
        <f>HYPERLINK("http://bombeiros.sp.gov.br/hidrantes/03individual/1191.html","1191")</f>
      </c>
      <c r="B2511" t="s">
        <v>454</v>
      </c>
      <c r="C2511" t="s">
        <v>8036</v>
      </c>
      <c r="D2511" t="s">
        <v>8036</v>
      </c>
      <c r="E2511" t="s">
        <v>15</v>
      </c>
      <c r="F2511" t="s">
        <v>8086</v>
      </c>
      <c r="G2511" t="s">
        <v>18053</v>
      </c>
      <c r="H2511" t="s">
        <v>1112</v>
      </c>
      <c r="I2511" t="s">
        <v>1108</v>
      </c>
      <c r="J2511" t="s">
        <v>8087</v>
      </c>
      <c r="K2511" t="s">
        <v>8088</v>
      </c>
      <c r="L2511" t="s">
        <v>21</v>
      </c>
      <c r="M2511" t="s">
        <v>19177</v>
      </c>
      <c r="N2511" t="s">
        <v>478</v>
      </c>
      <c r="O2511" t="s">
        <v>478</v>
      </c>
      <c r="P2511" t="s">
        <v>454</v>
      </c>
    </row>
    <row r="2512">
      <c r="A2512">
        <f>HYPERLINK("http://bombeiros.sp.gov.br/hidrantes/03individual/1224.html","1224")</f>
      </c>
      <c r="B2512" t="s">
        <v>454</v>
      </c>
      <c r="C2512" t="s">
        <v>8036</v>
      </c>
      <c r="D2512" t="s">
        <v>8036</v>
      </c>
      <c r="E2512" t="s">
        <v>15</v>
      </c>
      <c r="F2512" t="s">
        <v>8089</v>
      </c>
      <c r="G2512" t="s">
        <v>18073</v>
      </c>
      <c r="H2512" t="s">
        <v>1112</v>
      </c>
      <c r="I2512" t="s">
        <v>1108</v>
      </c>
      <c r="J2512" t="s">
        <v>8090</v>
      </c>
      <c r="K2512" t="s">
        <v>8091</v>
      </c>
      <c r="L2512" t="s">
        <v>21</v>
      </c>
      <c r="M2512" t="s">
        <v>19177</v>
      </c>
      <c r="N2512" t="s">
        <v>478</v>
      </c>
      <c r="O2512" t="s">
        <v>478</v>
      </c>
      <c r="P2512" t="s">
        <v>454</v>
      </c>
    </row>
    <row r="2513">
      <c r="A2513">
        <f>HYPERLINK("http://bombeiros.sp.gov.br/hidrantes/03individual/1229.html","1229")</f>
      </c>
      <c r="B2513" t="s">
        <v>454</v>
      </c>
      <c r="C2513" t="s">
        <v>8036</v>
      </c>
      <c r="D2513" t="s">
        <v>8036</v>
      </c>
      <c r="E2513" t="s">
        <v>15</v>
      </c>
      <c r="F2513" t="s">
        <v>8092</v>
      </c>
      <c r="G2513" t="s">
        <v>18060</v>
      </c>
      <c r="H2513" t="s">
        <v>1112</v>
      </c>
      <c r="I2513" t="s">
        <v>1108</v>
      </c>
      <c r="J2513" t="s">
        <v>8093</v>
      </c>
      <c r="K2513" t="s">
        <v>8094</v>
      </c>
      <c r="L2513" t="s">
        <v>21</v>
      </c>
      <c r="M2513" t="s">
        <v>19177</v>
      </c>
      <c r="N2513" t="s">
        <v>478</v>
      </c>
      <c r="O2513" t="s">
        <v>478</v>
      </c>
      <c r="P2513" t="s">
        <v>454</v>
      </c>
    </row>
    <row r="2514">
      <c r="A2514">
        <f>HYPERLINK("http://bombeiros.sp.gov.br/hidrantes/03individual/1270.html","1270")</f>
      </c>
      <c r="B2514" t="s">
        <v>454</v>
      </c>
      <c r="C2514" t="s">
        <v>8036</v>
      </c>
      <c r="D2514" t="s">
        <v>8036</v>
      </c>
      <c r="E2514" t="s">
        <v>15</v>
      </c>
      <c r="F2514" t="s">
        <v>8095</v>
      </c>
      <c r="G2514" t="s">
        <v>18003</v>
      </c>
      <c r="H2514" t="s">
        <v>1112</v>
      </c>
      <c r="I2514" t="s">
        <v>1108</v>
      </c>
      <c r="J2514" t="s">
        <v>8096</v>
      </c>
      <c r="K2514" t="s">
        <v>8097</v>
      </c>
      <c r="L2514" t="s">
        <v>21</v>
      </c>
      <c r="M2514" t="s">
        <v>19177</v>
      </c>
      <c r="N2514" t="s">
        <v>478</v>
      </c>
      <c r="O2514" t="s">
        <v>478</v>
      </c>
      <c r="P2514" t="s">
        <v>454</v>
      </c>
    </row>
    <row r="2515">
      <c r="A2515">
        <f>HYPERLINK("http://bombeiros.sp.gov.br/hidrantes/03individual/1277.html","1277")</f>
      </c>
      <c r="B2515" t="s">
        <v>454</v>
      </c>
      <c r="C2515" t="s">
        <v>8036</v>
      </c>
      <c r="D2515" t="s">
        <v>8036</v>
      </c>
      <c r="E2515" t="s">
        <v>15</v>
      </c>
      <c r="F2515" t="s">
        <v>8098</v>
      </c>
      <c r="G2515" t="s">
        <v>18129</v>
      </c>
      <c r="H2515" t="s">
        <v>1174</v>
      </c>
      <c r="I2515" t="s">
        <v>1117</v>
      </c>
      <c r="J2515" t="s">
        <v>8099</v>
      </c>
      <c r="K2515" t="s">
        <v>8100</v>
      </c>
      <c r="L2515" t="s">
        <v>21</v>
      </c>
      <c r="M2515" t="s">
        <v>19177</v>
      </c>
      <c r="N2515" t="s">
        <v>478</v>
      </c>
      <c r="O2515" t="s">
        <v>478</v>
      </c>
      <c r="P2515" t="s">
        <v>454</v>
      </c>
    </row>
    <row r="2516">
      <c r="A2516">
        <f>HYPERLINK("http://bombeiros.sp.gov.br/hidrantes/03individual/1278.html","1278")</f>
      </c>
      <c r="B2516" t="s">
        <v>454</v>
      </c>
      <c r="C2516" t="s">
        <v>8036</v>
      </c>
      <c r="D2516" t="s">
        <v>8036</v>
      </c>
      <c r="E2516" t="s">
        <v>15</v>
      </c>
      <c r="F2516" t="s">
        <v>8101</v>
      </c>
      <c r="G2516" t="s">
        <v>18115</v>
      </c>
      <c r="H2516" t="s">
        <v>1174</v>
      </c>
      <c r="I2516" t="s">
        <v>1108</v>
      </c>
      <c r="J2516" t="s">
        <v>8102</v>
      </c>
      <c r="K2516" t="s">
        <v>8103</v>
      </c>
      <c r="L2516" t="s">
        <v>21</v>
      </c>
      <c r="M2516" t="s">
        <v>19177</v>
      </c>
      <c r="N2516" t="s">
        <v>478</v>
      </c>
      <c r="O2516" t="s">
        <v>478</v>
      </c>
      <c r="P2516" t="s">
        <v>454</v>
      </c>
    </row>
    <row r="2517">
      <c r="A2517">
        <f>HYPERLINK("http://bombeiros.sp.gov.br/hidrantes/03individual/1283.html","1283")</f>
      </c>
      <c r="B2517" t="s">
        <v>454</v>
      </c>
      <c r="C2517" t="s">
        <v>8036</v>
      </c>
      <c r="D2517" t="s">
        <v>8036</v>
      </c>
      <c r="E2517" t="s">
        <v>15</v>
      </c>
      <c r="F2517" t="s">
        <v>8104</v>
      </c>
      <c r="G2517" t="s">
        <v>18118</v>
      </c>
      <c r="H2517" t="s">
        <v>1112</v>
      </c>
      <c r="I2517" t="s">
        <v>1108</v>
      </c>
      <c r="J2517" t="s">
        <v>8105</v>
      </c>
      <c r="K2517" t="s">
        <v>8106</v>
      </c>
      <c r="L2517" t="s">
        <v>21</v>
      </c>
      <c r="M2517" t="s">
        <v>19177</v>
      </c>
      <c r="N2517" t="s">
        <v>531</v>
      </c>
      <c r="O2517" t="s">
        <v>531</v>
      </c>
      <c r="P2517" t="s">
        <v>454</v>
      </c>
    </row>
    <row r="2518">
      <c r="A2518">
        <f>HYPERLINK("http://bombeiros.sp.gov.br/hidrantes/03individual/1285.html","1285")</f>
      </c>
      <c r="B2518" t="s">
        <v>454</v>
      </c>
      <c r="C2518" t="s">
        <v>8036</v>
      </c>
      <c r="D2518" t="s">
        <v>8036</v>
      </c>
      <c r="E2518" t="s">
        <v>15</v>
      </c>
      <c r="F2518" t="s">
        <v>8107</v>
      </c>
      <c r="G2518" t="s">
        <v>18053</v>
      </c>
      <c r="H2518" t="s">
        <v>1112</v>
      </c>
      <c r="I2518" t="s">
        <v>1108</v>
      </c>
      <c r="J2518" t="s">
        <v>8108</v>
      </c>
      <c r="K2518" t="s">
        <v>8109</v>
      </c>
      <c r="L2518" t="s">
        <v>36</v>
      </c>
      <c r="M2518" t="s">
        <v>19177</v>
      </c>
      <c r="N2518" t="s">
        <v>478</v>
      </c>
      <c r="O2518" t="s">
        <v>478</v>
      </c>
      <c r="P2518" t="s">
        <v>454</v>
      </c>
    </row>
    <row r="2519">
      <c r="A2519">
        <f>HYPERLINK("http://bombeiros.sp.gov.br/hidrantes/03individual/1310.html","1310")</f>
      </c>
      <c r="B2519" t="s">
        <v>454</v>
      </c>
      <c r="C2519" t="s">
        <v>8036</v>
      </c>
      <c r="D2519" t="s">
        <v>8036</v>
      </c>
      <c r="E2519" t="s">
        <v>15</v>
      </c>
      <c r="F2519" t="s">
        <v>8110</v>
      </c>
      <c r="G2519" t="s">
        <v>18117</v>
      </c>
      <c r="H2519" t="s">
        <v>1112</v>
      </c>
      <c r="I2519" t="s">
        <v>1108</v>
      </c>
      <c r="J2519" t="s">
        <v>8111</v>
      </c>
      <c r="K2519" t="s">
        <v>8112</v>
      </c>
      <c r="L2519" t="s">
        <v>21</v>
      </c>
      <c r="M2519" t="s">
        <v>19177</v>
      </c>
      <c r="N2519" t="s">
        <v>478</v>
      </c>
      <c r="O2519" t="s">
        <v>478</v>
      </c>
      <c r="P2519" t="s">
        <v>454</v>
      </c>
    </row>
    <row r="2520">
      <c r="A2520">
        <f>HYPERLINK("http://bombeiros.sp.gov.br/hidrantes/03individual/1317.html","1317")</f>
      </c>
      <c r="B2520" t="s">
        <v>454</v>
      </c>
      <c r="C2520" t="s">
        <v>8036</v>
      </c>
      <c r="D2520" t="s">
        <v>8036</v>
      </c>
      <c r="E2520" t="s">
        <v>15</v>
      </c>
      <c r="F2520" t="s">
        <v>8113</v>
      </c>
      <c r="G2520" t="s">
        <v>18129</v>
      </c>
      <c r="H2520" t="s">
        <v>1174</v>
      </c>
      <c r="I2520" t="s">
        <v>1117</v>
      </c>
      <c r="J2520" t="s">
        <v>8114</v>
      </c>
      <c r="K2520" t="s">
        <v>8115</v>
      </c>
      <c r="L2520" t="s">
        <v>21</v>
      </c>
      <c r="M2520" t="s">
        <v>19177</v>
      </c>
      <c r="N2520" t="s">
        <v>478</v>
      </c>
      <c r="O2520" t="s">
        <v>478</v>
      </c>
      <c r="P2520" t="s">
        <v>454</v>
      </c>
    </row>
    <row r="2521">
      <c r="A2521">
        <f>HYPERLINK("http://bombeiros.sp.gov.br/hidrantes/03individual/3899.html","3899")</f>
      </c>
      <c r="B2521" t="s">
        <v>454</v>
      </c>
      <c r="C2521" t="s">
        <v>8036</v>
      </c>
      <c r="D2521" t="s">
        <v>8036</v>
      </c>
      <c r="E2521" t="s">
        <v>15</v>
      </c>
      <c r="F2521" t="s">
        <v>8116</v>
      </c>
      <c r="G2521" t="s">
        <v>18072</v>
      </c>
      <c r="H2521" t="s">
        <v>1121</v>
      </c>
      <c r="I2521" t="s">
        <v>1117</v>
      </c>
      <c r="J2521" t="s">
        <v>8117</v>
      </c>
      <c r="K2521" t="s">
        <v>8118</v>
      </c>
      <c r="L2521" t="s">
        <v>21</v>
      </c>
      <c r="M2521" t="s">
        <v>19177</v>
      </c>
      <c r="N2521" t="s">
        <v>478</v>
      </c>
      <c r="O2521" t="s">
        <v>478</v>
      </c>
      <c r="P2521" t="s">
        <v>454</v>
      </c>
    </row>
    <row r="2522">
      <c r="A2522">
        <f>HYPERLINK("http://bombeiros.sp.gov.br/hidrantes/03individual/3947.html","3947")</f>
      </c>
      <c r="B2522" t="s">
        <v>454</v>
      </c>
      <c r="C2522" t="s">
        <v>8036</v>
      </c>
      <c r="D2522" t="s">
        <v>8036</v>
      </c>
      <c r="E2522" t="s">
        <v>15</v>
      </c>
      <c r="F2522" t="s">
        <v>8119</v>
      </c>
      <c r="G2522" t="s">
        <v>18072</v>
      </c>
      <c r="H2522" t="s">
        <v>1174</v>
      </c>
      <c r="I2522" t="s">
        <v>1108</v>
      </c>
      <c r="J2522" t="s">
        <v>8120</v>
      </c>
      <c r="K2522" t="s">
        <v>8121</v>
      </c>
      <c r="L2522" t="s">
        <v>21</v>
      </c>
      <c r="M2522" t="s">
        <v>19177</v>
      </c>
      <c r="N2522" t="s">
        <v>478</v>
      </c>
      <c r="O2522" t="s">
        <v>478</v>
      </c>
      <c r="P2522" t="s">
        <v>454</v>
      </c>
    </row>
    <row r="2523">
      <c r="A2523">
        <f>HYPERLINK("http://bombeiros.sp.gov.br/hidrantes/03individual/3953.html","3953")</f>
      </c>
      <c r="B2523" t="s">
        <v>454</v>
      </c>
      <c r="C2523" t="s">
        <v>8036</v>
      </c>
      <c r="D2523" t="s">
        <v>8036</v>
      </c>
      <c r="E2523" t="s">
        <v>15</v>
      </c>
      <c r="F2523" t="s">
        <v>8122</v>
      </c>
      <c r="G2523" t="s">
        <v>18106</v>
      </c>
      <c r="H2523" t="s">
        <v>1112</v>
      </c>
      <c r="I2523" t="s">
        <v>1108</v>
      </c>
      <c r="J2523" t="s">
        <v>8123</v>
      </c>
      <c r="K2523" t="s">
        <v>8124</v>
      </c>
      <c r="L2523" t="s">
        <v>21</v>
      </c>
      <c r="M2523" t="s">
        <v>19177</v>
      </c>
      <c r="N2523" t="s">
        <v>478</v>
      </c>
      <c r="O2523" t="s">
        <v>478</v>
      </c>
      <c r="P2523" t="s">
        <v>454</v>
      </c>
    </row>
    <row r="2524">
      <c r="A2524">
        <f>HYPERLINK("http://bombeiros.sp.gov.br/hidrantes/03individual/17659.html","17659")</f>
      </c>
      <c r="B2524" t="s">
        <v>454</v>
      </c>
      <c r="C2524" t="s">
        <v>8036</v>
      </c>
      <c r="D2524" t="s">
        <v>8036</v>
      </c>
      <c r="E2524" t="s">
        <v>15</v>
      </c>
      <c r="F2524" t="s">
        <v>8125</v>
      </c>
      <c r="G2524" t="s">
        <v>18073</v>
      </c>
      <c r="H2524" t="s">
        <v>1107</v>
      </c>
      <c r="I2524" t="s">
        <v>1108</v>
      </c>
      <c r="J2524" t="s">
        <v>8126</v>
      </c>
      <c r="K2524" t="s">
        <v>8127</v>
      </c>
      <c r="L2524" t="s">
        <v>21</v>
      </c>
      <c r="M2524" t="s">
        <v>19177</v>
      </c>
      <c r="N2524" t="s">
        <v>478</v>
      </c>
      <c r="O2524" t="s">
        <v>478</v>
      </c>
      <c r="P2524" t="s">
        <v>454</v>
      </c>
    </row>
    <row r="2525">
      <c r="A2525">
        <f>HYPERLINK("http://bombeiros.sp.gov.br/hidrantes/03individual/26783.html","26783")</f>
      </c>
      <c r="B2525" t="s">
        <v>454</v>
      </c>
      <c r="C2525" t="s">
        <v>8036</v>
      </c>
      <c r="D2525" t="s">
        <v>8036</v>
      </c>
      <c r="E2525" t="s">
        <v>15</v>
      </c>
      <c r="F2525" t="s">
        <v>15799</v>
      </c>
      <c r="G2525" t="s">
        <v>18119</v>
      </c>
      <c r="H2525" t="s">
        <v>1121</v>
      </c>
      <c r="I2525" t="s">
        <v>1117</v>
      </c>
      <c r="J2525" t="s">
        <v>15800</v>
      </c>
      <c r="K2525" t="s">
        <v>15801</v>
      </c>
      <c r="L2525" t="s">
        <v>21</v>
      </c>
      <c r="M2525" t="s">
        <v>19177</v>
      </c>
      <c r="N2525" t="s">
        <v>478</v>
      </c>
      <c r="O2525" t="s">
        <v>478</v>
      </c>
      <c r="P2525" t="s">
        <v>454</v>
      </c>
    </row>
    <row r="2526">
      <c r="A2526">
        <f>HYPERLINK("http://bombeiros.sp.gov.br/hidrantes/03individual/28071.html","28071")</f>
      </c>
      <c r="B2526" t="s">
        <v>454</v>
      </c>
      <c r="C2526" t="s">
        <v>8036</v>
      </c>
      <c r="D2526" t="s">
        <v>8036</v>
      </c>
      <c r="E2526" t="s">
        <v>15</v>
      </c>
      <c r="F2526" t="s">
        <v>18120</v>
      </c>
      <c r="G2526" t="s">
        <v>18066</v>
      </c>
      <c r="H2526" t="s">
        <v>1121</v>
      </c>
      <c r="I2526" t="s">
        <v>1117</v>
      </c>
      <c r="J2526" t="s">
        <v>18121</v>
      </c>
      <c r="K2526" t="s">
        <v>18122</v>
      </c>
      <c r="L2526" t="s">
        <v>21</v>
      </c>
      <c r="M2526" t="s">
        <v>19177</v>
      </c>
      <c r="N2526" t="s">
        <v>531</v>
      </c>
      <c r="O2526" t="s">
        <v>531</v>
      </c>
      <c r="P2526" t="s">
        <v>454</v>
      </c>
    </row>
    <row r="2527">
      <c r="A2527">
        <f>HYPERLINK("http://bombeiros.sp.gov.br/hidrantes/03individual/28087.html","28087")</f>
      </c>
      <c r="B2527" t="s">
        <v>454</v>
      </c>
      <c r="C2527" t="s">
        <v>8036</v>
      </c>
      <c r="D2527" t="s">
        <v>8036</v>
      </c>
      <c r="E2527" t="s">
        <v>15</v>
      </c>
      <c r="F2527" t="s">
        <v>18308</v>
      </c>
      <c r="G2527" t="s">
        <v>18172</v>
      </c>
      <c r="H2527" t="s">
        <v>1107</v>
      </c>
      <c r="I2527" t="s">
        <v>1108</v>
      </c>
      <c r="J2527" t="s">
        <v>18309</v>
      </c>
      <c r="K2527" t="s">
        <v>18310</v>
      </c>
      <c r="L2527" t="s">
        <v>21</v>
      </c>
      <c r="M2527" t="s">
        <v>19177</v>
      </c>
      <c r="N2527" t="s">
        <v>478</v>
      </c>
      <c r="O2527" t="s">
        <v>478</v>
      </c>
      <c r="P2527" t="s">
        <v>454</v>
      </c>
    </row>
    <row r="2528">
      <c r="A2528">
        <f>HYPERLINK("http://bombeiros.sp.gov.br/hidrantes/03individual/3945.html","3945")</f>
      </c>
      <c r="B2528" t="s">
        <v>454</v>
      </c>
      <c r="C2528" t="s">
        <v>8128</v>
      </c>
      <c r="D2528" t="s">
        <v>8128</v>
      </c>
      <c r="E2528" t="s">
        <v>64</v>
      </c>
      <c r="F2528" t="s">
        <v>8129</v>
      </c>
      <c r="G2528" t="s">
        <v>18169</v>
      </c>
      <c r="H2528" t="s">
        <v>1121</v>
      </c>
      <c r="I2528" t="s">
        <v>1117</v>
      </c>
      <c r="J2528" t="s">
        <v>8130</v>
      </c>
      <c r="K2528" t="s">
        <v>8131</v>
      </c>
      <c r="L2528" t="s">
        <v>21</v>
      </c>
      <c r="M2528" t="s">
        <v>19177</v>
      </c>
      <c r="N2528" t="s">
        <v>519</v>
      </c>
      <c r="O2528" t="s">
        <v>519</v>
      </c>
      <c r="P2528" t="s">
        <v>454</v>
      </c>
    </row>
    <row r="2529">
      <c r="A2529">
        <f>HYPERLINK("http://bombeiros.sp.gov.br/hidrantes/03individual/3946.html","3946")</f>
      </c>
      <c r="B2529" t="s">
        <v>454</v>
      </c>
      <c r="C2529" t="s">
        <v>8128</v>
      </c>
      <c r="D2529" t="s">
        <v>8128</v>
      </c>
      <c r="E2529" t="s">
        <v>64</v>
      </c>
      <c r="F2529" t="s">
        <v>8132</v>
      </c>
      <c r="G2529" t="s">
        <v>18199</v>
      </c>
      <c r="H2529" t="s">
        <v>1112</v>
      </c>
      <c r="I2529" t="s">
        <v>1108</v>
      </c>
      <c r="J2529" t="s">
        <v>8133</v>
      </c>
      <c r="K2529" t="s">
        <v>8134</v>
      </c>
      <c r="L2529" t="s">
        <v>36</v>
      </c>
      <c r="M2529" t="s">
        <v>19177</v>
      </c>
      <c r="N2529" t="s">
        <v>519</v>
      </c>
      <c r="O2529" t="s">
        <v>519</v>
      </c>
      <c r="P2529" t="s">
        <v>454</v>
      </c>
    </row>
    <row r="2530">
      <c r="A2530">
        <f>HYPERLINK("http://bombeiros.sp.gov.br/hidrantes/03individual/3950.html","3950")</f>
      </c>
      <c r="B2530" t="s">
        <v>454</v>
      </c>
      <c r="C2530" t="s">
        <v>8128</v>
      </c>
      <c r="D2530" t="s">
        <v>8128</v>
      </c>
      <c r="E2530" t="s">
        <v>64</v>
      </c>
      <c r="F2530" t="s">
        <v>8135</v>
      </c>
      <c r="G2530" t="s">
        <v>18180</v>
      </c>
      <c r="H2530" t="s">
        <v>1112</v>
      </c>
      <c r="I2530" t="s">
        <v>1108</v>
      </c>
      <c r="J2530" t="s">
        <v>8136</v>
      </c>
      <c r="K2530" t="s">
        <v>8137</v>
      </c>
      <c r="L2530" t="s">
        <v>36</v>
      </c>
      <c r="M2530" t="s">
        <v>19177</v>
      </c>
      <c r="N2530" t="s">
        <v>519</v>
      </c>
      <c r="O2530" t="s">
        <v>519</v>
      </c>
      <c r="P2530" t="s">
        <v>454</v>
      </c>
    </row>
    <row r="2531">
      <c r="A2531">
        <f>HYPERLINK("http://bombeiros.sp.gov.br/hidrantes/03individual/15064.html","15064")</f>
      </c>
      <c r="B2531" t="s">
        <v>454</v>
      </c>
      <c r="C2531" t="s">
        <v>8128</v>
      </c>
      <c r="D2531" t="s">
        <v>8128</v>
      </c>
      <c r="E2531" t="s">
        <v>64</v>
      </c>
      <c r="F2531" t="s">
        <v>8138</v>
      </c>
      <c r="G2531" t="s">
        <v>18056</v>
      </c>
      <c r="H2531" t="s">
        <v>1112</v>
      </c>
      <c r="I2531" t="s">
        <v>1108</v>
      </c>
      <c r="J2531" t="s">
        <v>8139</v>
      </c>
      <c r="K2531" t="s">
        <v>8140</v>
      </c>
      <c r="L2531" t="s">
        <v>21</v>
      </c>
      <c r="M2531" t="s">
        <v>19177</v>
      </c>
      <c r="N2531" t="s">
        <v>519</v>
      </c>
      <c r="O2531" t="s">
        <v>519</v>
      </c>
      <c r="P2531" t="s">
        <v>454</v>
      </c>
    </row>
    <row r="2532">
      <c r="A2532">
        <f>HYPERLINK("http://bombeiros.sp.gov.br/hidrantes/03individual/26300.html","26300")</f>
      </c>
      <c r="B2532" t="s">
        <v>454</v>
      </c>
      <c r="C2532" t="s">
        <v>8128</v>
      </c>
      <c r="D2532" t="s">
        <v>8128</v>
      </c>
      <c r="E2532" t="s">
        <v>64</v>
      </c>
      <c r="F2532" t="s">
        <v>8141</v>
      </c>
      <c r="G2532" t="s">
        <v>18125</v>
      </c>
      <c r="H2532" t="s">
        <v>1112</v>
      </c>
      <c r="I2532" t="s">
        <v>1108</v>
      </c>
      <c r="J2532" t="s">
        <v>8142</v>
      </c>
      <c r="K2532" t="s">
        <v>8143</v>
      </c>
      <c r="L2532" t="s">
        <v>21</v>
      </c>
      <c r="M2532" t="s">
        <v>19177</v>
      </c>
      <c r="N2532" t="s">
        <v>519</v>
      </c>
      <c r="O2532" t="s">
        <v>519</v>
      </c>
      <c r="P2532" t="s">
        <v>454</v>
      </c>
    </row>
    <row r="2533">
      <c r="A2533">
        <f>HYPERLINK("http://bombeiros.sp.gov.br/hidrantes/03individual/26674.html","26674")</f>
      </c>
      <c r="B2533" t="s">
        <v>454</v>
      </c>
      <c r="C2533" t="s">
        <v>8128</v>
      </c>
      <c r="D2533" t="s">
        <v>8128</v>
      </c>
      <c r="E2533" t="s">
        <v>64</v>
      </c>
      <c r="F2533" t="s">
        <v>8144</v>
      </c>
      <c r="G2533" t="s">
        <v>18068</v>
      </c>
      <c r="H2533" t="s">
        <v>1107</v>
      </c>
      <c r="I2533" t="s">
        <v>1117</v>
      </c>
      <c r="J2533" t="s">
        <v>8145</v>
      </c>
      <c r="K2533" t="s">
        <v>8146</v>
      </c>
      <c r="L2533" t="s">
        <v>21</v>
      </c>
      <c r="M2533" t="s">
        <v>19177</v>
      </c>
      <c r="N2533" t="s">
        <v>519</v>
      </c>
      <c r="O2533" t="s">
        <v>519</v>
      </c>
      <c r="P2533" t="s">
        <v>454</v>
      </c>
    </row>
    <row r="2534">
      <c r="A2534">
        <f>HYPERLINK("http://bombeiros.sp.gov.br/hidrantes/03individual/26899.html","26899")</f>
      </c>
      <c r="B2534" t="s">
        <v>454</v>
      </c>
      <c r="C2534" t="s">
        <v>8128</v>
      </c>
      <c r="D2534" t="s">
        <v>8128</v>
      </c>
      <c r="E2534" t="s">
        <v>64</v>
      </c>
      <c r="F2534" t="s">
        <v>16327</v>
      </c>
      <c r="G2534" t="s">
        <v>18072</v>
      </c>
      <c r="H2534" t="s">
        <v>1121</v>
      </c>
      <c r="I2534" t="s">
        <v>1117</v>
      </c>
      <c r="J2534" t="s">
        <v>16328</v>
      </c>
      <c r="K2534" t="s">
        <v>16329</v>
      </c>
      <c r="L2534" t="s">
        <v>21</v>
      </c>
      <c r="M2534" t="s">
        <v>19177</v>
      </c>
      <c r="N2534" t="s">
        <v>519</v>
      </c>
      <c r="O2534" t="s">
        <v>519</v>
      </c>
      <c r="P2534" t="s">
        <v>454</v>
      </c>
    </row>
    <row r="2535">
      <c r="A2535">
        <f>HYPERLINK("http://bombeiros.sp.gov.br/hidrantes/03individual/1080.html","1080")</f>
      </c>
      <c r="B2535" t="s">
        <v>454</v>
      </c>
      <c r="C2535" t="s">
        <v>8128</v>
      </c>
      <c r="D2535" t="s">
        <v>8128</v>
      </c>
      <c r="E2535" t="s">
        <v>15</v>
      </c>
      <c r="F2535" t="s">
        <v>8147</v>
      </c>
      <c r="G2535" t="s">
        <v>18072</v>
      </c>
      <c r="H2535" t="s">
        <v>1112</v>
      </c>
      <c r="I2535" t="s">
        <v>1108</v>
      </c>
      <c r="J2535" t="s">
        <v>8148</v>
      </c>
      <c r="K2535" t="s">
        <v>8149</v>
      </c>
      <c r="L2535" t="s">
        <v>21</v>
      </c>
      <c r="M2535" t="s">
        <v>19177</v>
      </c>
      <c r="N2535" t="s">
        <v>519</v>
      </c>
      <c r="O2535" t="s">
        <v>519</v>
      </c>
      <c r="P2535" t="s">
        <v>454</v>
      </c>
    </row>
    <row r="2536">
      <c r="A2536">
        <f>HYPERLINK("http://bombeiros.sp.gov.br/hidrantes/03individual/3963.html","3963")</f>
      </c>
      <c r="B2536" t="s">
        <v>454</v>
      </c>
      <c r="C2536" t="s">
        <v>8128</v>
      </c>
      <c r="D2536" t="s">
        <v>8128</v>
      </c>
      <c r="E2536" t="s">
        <v>15</v>
      </c>
      <c r="F2536" t="s">
        <v>8150</v>
      </c>
      <c r="G2536" t="s">
        <v>18072</v>
      </c>
      <c r="H2536" t="s">
        <v>1121</v>
      </c>
      <c r="I2536" t="s">
        <v>1117</v>
      </c>
      <c r="J2536" t="s">
        <v>8151</v>
      </c>
      <c r="K2536" t="s">
        <v>8152</v>
      </c>
      <c r="L2536" t="s">
        <v>21</v>
      </c>
      <c r="M2536" t="s">
        <v>19177</v>
      </c>
      <c r="N2536" t="s">
        <v>519</v>
      </c>
      <c r="O2536" t="s">
        <v>519</v>
      </c>
      <c r="P2536" t="s">
        <v>454</v>
      </c>
    </row>
    <row r="2537">
      <c r="A2537">
        <f>HYPERLINK("http://bombeiros.sp.gov.br/hidrantes/03individual/5593.html","5593")</f>
      </c>
      <c r="B2537" t="s">
        <v>454</v>
      </c>
      <c r="C2537" t="s">
        <v>8128</v>
      </c>
      <c r="D2537" t="s">
        <v>8128</v>
      </c>
      <c r="E2537" t="s">
        <v>15</v>
      </c>
      <c r="F2537" t="s">
        <v>8153</v>
      </c>
      <c r="G2537" t="s">
        <v>18145</v>
      </c>
      <c r="H2537" t="s">
        <v>1112</v>
      </c>
      <c r="I2537" t="s">
        <v>1108</v>
      </c>
      <c r="J2537" t="s">
        <v>8154</v>
      </c>
      <c r="K2537" t="s">
        <v>8155</v>
      </c>
      <c r="L2537" t="s">
        <v>21</v>
      </c>
      <c r="M2537" t="s">
        <v>19177</v>
      </c>
      <c r="N2537" t="s">
        <v>519</v>
      </c>
      <c r="O2537" t="s">
        <v>519</v>
      </c>
      <c r="P2537" t="s">
        <v>454</v>
      </c>
    </row>
    <row r="2538">
      <c r="A2538">
        <f>HYPERLINK("http://bombeiros.sp.gov.br/hidrantes/03individual/17903.html","17903")</f>
      </c>
      <c r="B2538" t="s">
        <v>454</v>
      </c>
      <c r="C2538" t="s">
        <v>8128</v>
      </c>
      <c r="D2538" t="s">
        <v>8128</v>
      </c>
      <c r="E2538" t="s">
        <v>15</v>
      </c>
      <c r="F2538" t="s">
        <v>8156</v>
      </c>
      <c r="G2538" t="s">
        <v>18052</v>
      </c>
      <c r="H2538" t="s">
        <v>1112</v>
      </c>
      <c r="I2538" t="s">
        <v>1117</v>
      </c>
      <c r="J2538" t="s">
        <v>8157</v>
      </c>
      <c r="K2538" t="s">
        <v>8158</v>
      </c>
      <c r="L2538" t="s">
        <v>21</v>
      </c>
      <c r="M2538" t="s">
        <v>19177</v>
      </c>
      <c r="N2538" t="s">
        <v>519</v>
      </c>
      <c r="O2538" t="s">
        <v>519</v>
      </c>
      <c r="P2538" t="s">
        <v>454</v>
      </c>
    </row>
    <row r="2539">
      <c r="A2539">
        <f>HYPERLINK("http://bombeiros.sp.gov.br/hidrantes/03individual/1298.html","1298")</f>
      </c>
      <c r="B2539" t="s">
        <v>454</v>
      </c>
      <c r="C2539" t="s">
        <v>519</v>
      </c>
      <c r="D2539" t="s">
        <v>519</v>
      </c>
      <c r="E2539" t="s">
        <v>64</v>
      </c>
      <c r="F2539" t="s">
        <v>8159</v>
      </c>
      <c r="G2539" t="s">
        <v>18049</v>
      </c>
      <c r="H2539" t="s">
        <v>1107</v>
      </c>
      <c r="I2539" t="s">
        <v>1108</v>
      </c>
      <c r="J2539" t="s">
        <v>8160</v>
      </c>
      <c r="K2539" t="s">
        <v>8161</v>
      </c>
      <c r="L2539" t="s">
        <v>21</v>
      </c>
      <c r="M2539" t="s">
        <v>19177</v>
      </c>
      <c r="N2539" t="s">
        <v>519</v>
      </c>
      <c r="O2539" t="s">
        <v>519</v>
      </c>
      <c r="P2539" t="s">
        <v>454</v>
      </c>
    </row>
    <row r="2540">
      <c r="A2540">
        <f>HYPERLINK("http://bombeiros.sp.gov.br/hidrantes/03individual/4019.html","4019")</f>
      </c>
      <c r="B2540" t="s">
        <v>454</v>
      </c>
      <c r="C2540" t="s">
        <v>519</v>
      </c>
      <c r="D2540" t="s">
        <v>519</v>
      </c>
      <c r="E2540" t="s">
        <v>64</v>
      </c>
      <c r="F2540" t="s">
        <v>8162</v>
      </c>
      <c r="G2540" t="s">
        <v>18049</v>
      </c>
      <c r="H2540" t="s">
        <v>1107</v>
      </c>
      <c r="I2540" t="s">
        <v>1108</v>
      </c>
      <c r="J2540" t="s">
        <v>17648</v>
      </c>
      <c r="K2540" t="s">
        <v>17649</v>
      </c>
      <c r="L2540" t="s">
        <v>36</v>
      </c>
      <c r="M2540" t="s">
        <v>19177</v>
      </c>
      <c r="N2540" t="s">
        <v>519</v>
      </c>
      <c r="O2540" t="s">
        <v>519</v>
      </c>
      <c r="P2540" t="s">
        <v>454</v>
      </c>
    </row>
    <row r="2541">
      <c r="A2541">
        <f>HYPERLINK("http://bombeiros.sp.gov.br/hidrantes/03individual/1134.html","1134")</f>
      </c>
      <c r="B2541" t="s">
        <v>454</v>
      </c>
      <c r="C2541" t="s">
        <v>519</v>
      </c>
      <c r="D2541" t="s">
        <v>519</v>
      </c>
      <c r="E2541" t="s">
        <v>15</v>
      </c>
      <c r="F2541" t="s">
        <v>8165</v>
      </c>
      <c r="G2541" t="s">
        <v>18096</v>
      </c>
      <c r="H2541" t="s">
        <v>1112</v>
      </c>
      <c r="I2541" t="s">
        <v>1108</v>
      </c>
      <c r="J2541" t="s">
        <v>8166</v>
      </c>
      <c r="K2541" t="s">
        <v>8167</v>
      </c>
      <c r="L2541" t="s">
        <v>21</v>
      </c>
      <c r="M2541" t="s">
        <v>19177</v>
      </c>
      <c r="N2541" t="s">
        <v>519</v>
      </c>
      <c r="O2541" t="s">
        <v>519</v>
      </c>
      <c r="P2541" t="s">
        <v>454</v>
      </c>
    </row>
    <row r="2542">
      <c r="A2542">
        <f>HYPERLINK("http://bombeiros.sp.gov.br/hidrantes/03individual/1164.html","1164")</f>
      </c>
      <c r="B2542" t="s">
        <v>454</v>
      </c>
      <c r="C2542" t="s">
        <v>519</v>
      </c>
      <c r="D2542" t="s">
        <v>519</v>
      </c>
      <c r="E2542" t="s">
        <v>15</v>
      </c>
      <c r="F2542" t="s">
        <v>8168</v>
      </c>
      <c r="G2542" t="s">
        <v>18107</v>
      </c>
      <c r="H2542" t="s">
        <v>1107</v>
      </c>
      <c r="I2542" t="s">
        <v>1108</v>
      </c>
      <c r="J2542" t="s">
        <v>8169</v>
      </c>
      <c r="K2542" t="s">
        <v>8170</v>
      </c>
      <c r="L2542" t="s">
        <v>21</v>
      </c>
      <c r="M2542" t="s">
        <v>19177</v>
      </c>
      <c r="N2542" t="s">
        <v>519</v>
      </c>
      <c r="O2542" t="s">
        <v>519</v>
      </c>
      <c r="P2542" t="s">
        <v>454</v>
      </c>
    </row>
    <row r="2543">
      <c r="A2543">
        <f>HYPERLINK("http://bombeiros.sp.gov.br/hidrantes/03individual/1169.html","1169")</f>
      </c>
      <c r="B2543" t="s">
        <v>454</v>
      </c>
      <c r="C2543" t="s">
        <v>519</v>
      </c>
      <c r="D2543" t="s">
        <v>519</v>
      </c>
      <c r="E2543" t="s">
        <v>15</v>
      </c>
      <c r="F2543" t="s">
        <v>8171</v>
      </c>
      <c r="G2543" t="s">
        <v>18096</v>
      </c>
      <c r="H2543" t="s">
        <v>1121</v>
      </c>
      <c r="I2543" t="s">
        <v>1117</v>
      </c>
      <c r="J2543" t="s">
        <v>8172</v>
      </c>
      <c r="K2543" t="s">
        <v>8173</v>
      </c>
      <c r="L2543" t="s">
        <v>21</v>
      </c>
      <c r="M2543" t="s">
        <v>19177</v>
      </c>
      <c r="N2543" t="s">
        <v>519</v>
      </c>
      <c r="O2543" t="s">
        <v>519</v>
      </c>
      <c r="P2543" t="s">
        <v>454</v>
      </c>
    </row>
    <row r="2544">
      <c r="A2544">
        <f>HYPERLINK("http://bombeiros.sp.gov.br/hidrantes/03individual/1256.html","1256")</f>
      </c>
      <c r="B2544" t="s">
        <v>454</v>
      </c>
      <c r="C2544" t="s">
        <v>519</v>
      </c>
      <c r="D2544" t="s">
        <v>519</v>
      </c>
      <c r="E2544" t="s">
        <v>15</v>
      </c>
      <c r="F2544" t="s">
        <v>8174</v>
      </c>
      <c r="G2544" t="s">
        <v>18048</v>
      </c>
      <c r="H2544" t="s">
        <v>1121</v>
      </c>
      <c r="I2544" t="s">
        <v>1117</v>
      </c>
      <c r="J2544" t="s">
        <v>8175</v>
      </c>
      <c r="K2544" t="s">
        <v>8176</v>
      </c>
      <c r="L2544" t="s">
        <v>21</v>
      </c>
      <c r="M2544" t="s">
        <v>19177</v>
      </c>
      <c r="N2544" t="s">
        <v>478</v>
      </c>
      <c r="O2544" t="s">
        <v>478</v>
      </c>
      <c r="P2544" t="s">
        <v>454</v>
      </c>
    </row>
    <row r="2545">
      <c r="A2545">
        <f>HYPERLINK("http://bombeiros.sp.gov.br/hidrantes/03individual/1258.html","1258")</f>
      </c>
      <c r="B2545" t="s">
        <v>454</v>
      </c>
      <c r="C2545" t="s">
        <v>519</v>
      </c>
      <c r="D2545" t="s">
        <v>519</v>
      </c>
      <c r="E2545" t="s">
        <v>15</v>
      </c>
      <c r="F2545" t="s">
        <v>8177</v>
      </c>
      <c r="G2545" t="s">
        <v>18048</v>
      </c>
      <c r="H2545" t="s">
        <v>1174</v>
      </c>
      <c r="I2545" t="s">
        <v>1108</v>
      </c>
      <c r="J2545" t="s">
        <v>8178</v>
      </c>
      <c r="K2545" t="s">
        <v>8179</v>
      </c>
      <c r="L2545" t="s">
        <v>21</v>
      </c>
      <c r="M2545" t="s">
        <v>19177</v>
      </c>
      <c r="N2545" t="s">
        <v>478</v>
      </c>
      <c r="O2545" t="s">
        <v>478</v>
      </c>
      <c r="P2545" t="s">
        <v>454</v>
      </c>
    </row>
    <row r="2546">
      <c r="A2546">
        <f>HYPERLINK("http://bombeiros.sp.gov.br/hidrantes/03individual/1297.html","1297")</f>
      </c>
      <c r="B2546" t="s">
        <v>454</v>
      </c>
      <c r="C2546" t="s">
        <v>519</v>
      </c>
      <c r="D2546" t="s">
        <v>519</v>
      </c>
      <c r="E2546" t="s">
        <v>15</v>
      </c>
      <c r="F2546" t="s">
        <v>8180</v>
      </c>
      <c r="G2546" t="s">
        <v>18048</v>
      </c>
      <c r="H2546" t="s">
        <v>1112</v>
      </c>
      <c r="I2546" t="s">
        <v>1108</v>
      </c>
      <c r="J2546" t="s">
        <v>8181</v>
      </c>
      <c r="K2546" t="s">
        <v>8182</v>
      </c>
      <c r="L2546" t="s">
        <v>21</v>
      </c>
      <c r="M2546" t="s">
        <v>19177</v>
      </c>
      <c r="N2546" t="s">
        <v>478</v>
      </c>
      <c r="O2546" t="s">
        <v>478</v>
      </c>
      <c r="P2546" t="s">
        <v>454</v>
      </c>
    </row>
    <row r="2547">
      <c r="A2547">
        <f>HYPERLINK("http://bombeiros.sp.gov.br/hidrantes/03individual/1323.html","1323")</f>
      </c>
      <c r="B2547" t="s">
        <v>454</v>
      </c>
      <c r="C2547" t="s">
        <v>519</v>
      </c>
      <c r="D2547" t="s">
        <v>519</v>
      </c>
      <c r="E2547" t="s">
        <v>15</v>
      </c>
      <c r="F2547" t="s">
        <v>520</v>
      </c>
      <c r="G2547" t="s">
        <v>18048</v>
      </c>
      <c r="H2547" t="s">
        <v>1121</v>
      </c>
      <c r="I2547" t="s">
        <v>1117</v>
      </c>
      <c r="J2547" t="s">
        <v>522</v>
      </c>
      <c r="K2547" t="s">
        <v>523</v>
      </c>
      <c r="L2547" t="s">
        <v>21</v>
      </c>
      <c r="M2547" t="s">
        <v>19177</v>
      </c>
      <c r="N2547" t="s">
        <v>478</v>
      </c>
      <c r="O2547" t="s">
        <v>478</v>
      </c>
      <c r="P2547" t="s">
        <v>454</v>
      </c>
    </row>
    <row r="2548">
      <c r="A2548">
        <f>HYPERLINK("http://bombeiros.sp.gov.br/hidrantes/03individual/1325.html","1325")</f>
      </c>
      <c r="B2548" t="s">
        <v>454</v>
      </c>
      <c r="C2548" t="s">
        <v>519</v>
      </c>
      <c r="D2548" t="s">
        <v>519</v>
      </c>
      <c r="E2548" t="s">
        <v>15</v>
      </c>
      <c r="F2548" t="s">
        <v>8183</v>
      </c>
      <c r="G2548" t="s">
        <v>18048</v>
      </c>
      <c r="H2548" t="s">
        <v>1112</v>
      </c>
      <c r="I2548" t="s">
        <v>1108</v>
      </c>
      <c r="J2548" t="s">
        <v>8184</v>
      </c>
      <c r="K2548" t="s">
        <v>8185</v>
      </c>
      <c r="L2548" t="s">
        <v>21</v>
      </c>
      <c r="M2548" t="s">
        <v>19177</v>
      </c>
      <c r="N2548" t="s">
        <v>478</v>
      </c>
      <c r="O2548" t="s">
        <v>478</v>
      </c>
      <c r="P2548" t="s">
        <v>454</v>
      </c>
    </row>
    <row r="2549">
      <c r="A2549">
        <f>HYPERLINK("http://bombeiros.sp.gov.br/hidrantes/03individual/1332.html","1332")</f>
      </c>
      <c r="B2549" t="s">
        <v>454</v>
      </c>
      <c r="C2549" t="s">
        <v>519</v>
      </c>
      <c r="D2549" t="s">
        <v>519</v>
      </c>
      <c r="E2549" t="s">
        <v>15</v>
      </c>
      <c r="F2549" t="s">
        <v>8186</v>
      </c>
      <c r="G2549" t="s">
        <v>18048</v>
      </c>
      <c r="H2549" t="s">
        <v>1112</v>
      </c>
      <c r="I2549" t="s">
        <v>1108</v>
      </c>
      <c r="J2549" t="s">
        <v>8187</v>
      </c>
      <c r="K2549" t="s">
        <v>8188</v>
      </c>
      <c r="L2549" t="s">
        <v>21</v>
      </c>
      <c r="M2549" t="s">
        <v>19177</v>
      </c>
      <c r="N2549" t="s">
        <v>478</v>
      </c>
      <c r="O2549" t="s">
        <v>478</v>
      </c>
      <c r="P2549" t="s">
        <v>454</v>
      </c>
    </row>
    <row r="2550">
      <c r="A2550">
        <f>HYPERLINK("http://bombeiros.sp.gov.br/hidrantes/03individual/1336.html","1336")</f>
      </c>
      <c r="B2550" t="s">
        <v>454</v>
      </c>
      <c r="C2550" t="s">
        <v>519</v>
      </c>
      <c r="D2550" t="s">
        <v>519</v>
      </c>
      <c r="E2550" t="s">
        <v>15</v>
      </c>
      <c r="F2550" t="s">
        <v>8189</v>
      </c>
      <c r="G2550" t="s">
        <v>18049</v>
      </c>
      <c r="H2550" t="s">
        <v>1112</v>
      </c>
      <c r="I2550" t="s">
        <v>1108</v>
      </c>
      <c r="J2550" t="s">
        <v>8190</v>
      </c>
      <c r="K2550" t="s">
        <v>8191</v>
      </c>
      <c r="L2550" t="s">
        <v>21</v>
      </c>
      <c r="M2550" t="s">
        <v>19177</v>
      </c>
      <c r="N2550" t="s">
        <v>478</v>
      </c>
      <c r="O2550" t="s">
        <v>478</v>
      </c>
      <c r="P2550" t="s">
        <v>454</v>
      </c>
    </row>
    <row r="2551">
      <c r="A2551">
        <f>HYPERLINK("http://bombeiros.sp.gov.br/hidrantes/03individual/1341.html","1341")</f>
      </c>
      <c r="B2551" t="s">
        <v>454</v>
      </c>
      <c r="C2551" t="s">
        <v>519</v>
      </c>
      <c r="D2551" t="s">
        <v>519</v>
      </c>
      <c r="E2551" t="s">
        <v>15</v>
      </c>
      <c r="F2551" t="s">
        <v>8192</v>
      </c>
      <c r="G2551" t="s">
        <v>18048</v>
      </c>
      <c r="H2551" t="s">
        <v>1112</v>
      </c>
      <c r="I2551" t="s">
        <v>1108</v>
      </c>
      <c r="J2551" t="s">
        <v>8193</v>
      </c>
      <c r="K2551" t="s">
        <v>8194</v>
      </c>
      <c r="L2551" t="s">
        <v>21</v>
      </c>
      <c r="M2551" t="s">
        <v>19177</v>
      </c>
      <c r="N2551" t="s">
        <v>478</v>
      </c>
      <c r="O2551" t="s">
        <v>478</v>
      </c>
      <c r="P2551" t="s">
        <v>454</v>
      </c>
    </row>
    <row r="2552">
      <c r="A2552">
        <f>HYPERLINK("http://bombeiros.sp.gov.br/hidrantes/03individual/4024.html","4024")</f>
      </c>
      <c r="B2552" t="s">
        <v>454</v>
      </c>
      <c r="C2552" t="s">
        <v>519</v>
      </c>
      <c r="D2552" t="s">
        <v>519</v>
      </c>
      <c r="E2552" t="s">
        <v>15</v>
      </c>
      <c r="F2552" t="s">
        <v>8195</v>
      </c>
      <c r="G2552" t="s">
        <v>18055</v>
      </c>
      <c r="H2552" t="s">
        <v>1107</v>
      </c>
      <c r="I2552" t="s">
        <v>1108</v>
      </c>
      <c r="J2552" t="s">
        <v>8196</v>
      </c>
      <c r="K2552" t="s">
        <v>8197</v>
      </c>
      <c r="L2552" t="s">
        <v>21</v>
      </c>
      <c r="M2552" t="s">
        <v>19177</v>
      </c>
      <c r="N2552" t="s">
        <v>519</v>
      </c>
      <c r="O2552" t="s">
        <v>519</v>
      </c>
      <c r="P2552" t="s">
        <v>454</v>
      </c>
    </row>
    <row r="2553">
      <c r="A2553">
        <f>HYPERLINK("http://bombeiros.sp.gov.br/hidrantes/03individual/4025.html","4025")</f>
      </c>
      <c r="B2553" t="s">
        <v>454</v>
      </c>
      <c r="C2553" t="s">
        <v>519</v>
      </c>
      <c r="D2553" t="s">
        <v>519</v>
      </c>
      <c r="E2553" t="s">
        <v>15</v>
      </c>
      <c r="F2553" t="s">
        <v>8198</v>
      </c>
      <c r="G2553" t="s">
        <v>18123</v>
      </c>
      <c r="H2553" t="s">
        <v>1107</v>
      </c>
      <c r="I2553" t="s">
        <v>1108</v>
      </c>
      <c r="J2553" t="s">
        <v>8199</v>
      </c>
      <c r="K2553" t="s">
        <v>8200</v>
      </c>
      <c r="L2553" t="s">
        <v>21</v>
      </c>
      <c r="M2553" t="s">
        <v>19177</v>
      </c>
      <c r="N2553" t="s">
        <v>519</v>
      </c>
      <c r="O2553" t="s">
        <v>519</v>
      </c>
      <c r="P2553" t="s">
        <v>454</v>
      </c>
    </row>
    <row r="2554">
      <c r="A2554">
        <f>HYPERLINK("http://bombeiros.sp.gov.br/hidrantes/03individual/4032.html","4032")</f>
      </c>
      <c r="B2554" t="s">
        <v>454</v>
      </c>
      <c r="C2554" t="s">
        <v>519</v>
      </c>
      <c r="D2554" t="s">
        <v>519</v>
      </c>
      <c r="E2554" t="s">
        <v>15</v>
      </c>
      <c r="F2554" t="s">
        <v>8201</v>
      </c>
      <c r="G2554" t="s">
        <v>18107</v>
      </c>
      <c r="H2554" t="s">
        <v>1112</v>
      </c>
      <c r="I2554" t="s">
        <v>1108</v>
      </c>
      <c r="J2554" t="s">
        <v>8202</v>
      </c>
      <c r="K2554" t="s">
        <v>8203</v>
      </c>
      <c r="L2554" t="s">
        <v>21</v>
      </c>
      <c r="M2554" t="s">
        <v>19177</v>
      </c>
      <c r="N2554" t="s">
        <v>478</v>
      </c>
      <c r="O2554" t="s">
        <v>478</v>
      </c>
      <c r="P2554" t="s">
        <v>454</v>
      </c>
    </row>
    <row r="2555">
      <c r="A2555">
        <f>HYPERLINK("http://bombeiros.sp.gov.br/hidrantes/03individual/4033.html","4033")</f>
      </c>
      <c r="B2555" t="s">
        <v>454</v>
      </c>
      <c r="C2555" t="s">
        <v>519</v>
      </c>
      <c r="D2555" t="s">
        <v>519</v>
      </c>
      <c r="E2555" t="s">
        <v>15</v>
      </c>
      <c r="F2555" t="s">
        <v>8204</v>
      </c>
      <c r="G2555" t="s">
        <v>18123</v>
      </c>
      <c r="H2555" t="s">
        <v>1174</v>
      </c>
      <c r="I2555" t="s">
        <v>1108</v>
      </c>
      <c r="J2555" t="s">
        <v>18918</v>
      </c>
      <c r="K2555" t="s">
        <v>18919</v>
      </c>
      <c r="L2555" t="s">
        <v>21</v>
      </c>
      <c r="M2555" t="s">
        <v>19177</v>
      </c>
      <c r="N2555" t="s">
        <v>519</v>
      </c>
      <c r="O2555" t="s">
        <v>519</v>
      </c>
      <c r="P2555" t="s">
        <v>454</v>
      </c>
    </row>
    <row r="2556">
      <c r="A2556">
        <f>HYPERLINK("http://bombeiros.sp.gov.br/hidrantes/03individual/4034.html","4034")</f>
      </c>
      <c r="B2556" t="s">
        <v>454</v>
      </c>
      <c r="C2556" t="s">
        <v>519</v>
      </c>
      <c r="D2556" t="s">
        <v>519</v>
      </c>
      <c r="E2556" t="s">
        <v>15</v>
      </c>
      <c r="F2556" t="s">
        <v>8207</v>
      </c>
      <c r="G2556" t="s">
        <v>18123</v>
      </c>
      <c r="H2556" t="s">
        <v>1107</v>
      </c>
      <c r="I2556" t="s">
        <v>1108</v>
      </c>
      <c r="J2556" t="s">
        <v>8208</v>
      </c>
      <c r="K2556" t="s">
        <v>8209</v>
      </c>
      <c r="L2556" t="s">
        <v>21</v>
      </c>
      <c r="M2556" t="s">
        <v>19177</v>
      </c>
      <c r="N2556" t="s">
        <v>519</v>
      </c>
      <c r="O2556" t="s">
        <v>519</v>
      </c>
      <c r="P2556" t="s">
        <v>454</v>
      </c>
    </row>
    <row r="2557">
      <c r="A2557">
        <f>HYPERLINK("http://bombeiros.sp.gov.br/hidrantes/03individual/5597.html","5597")</f>
      </c>
      <c r="B2557" t="s">
        <v>454</v>
      </c>
      <c r="C2557" t="s">
        <v>519</v>
      </c>
      <c r="D2557" t="s">
        <v>519</v>
      </c>
      <c r="E2557" t="s">
        <v>15</v>
      </c>
      <c r="F2557" t="s">
        <v>8210</v>
      </c>
      <c r="G2557" t="s">
        <v>18107</v>
      </c>
      <c r="H2557" t="s">
        <v>1112</v>
      </c>
      <c r="I2557" t="s">
        <v>1108</v>
      </c>
      <c r="J2557" t="s">
        <v>8211</v>
      </c>
      <c r="K2557" t="s">
        <v>8212</v>
      </c>
      <c r="L2557" t="s">
        <v>21</v>
      </c>
      <c r="M2557" t="s">
        <v>19177</v>
      </c>
      <c r="N2557" t="s">
        <v>478</v>
      </c>
      <c r="O2557" t="s">
        <v>478</v>
      </c>
      <c r="P2557" t="s">
        <v>454</v>
      </c>
    </row>
    <row r="2558">
      <c r="A2558">
        <f>HYPERLINK("http://bombeiros.sp.gov.br/hidrantes/03individual/17822.html","17822")</f>
      </c>
      <c r="B2558" t="s">
        <v>454</v>
      </c>
      <c r="C2558" t="s">
        <v>519</v>
      </c>
      <c r="D2558" t="s">
        <v>519</v>
      </c>
      <c r="E2558" t="s">
        <v>15</v>
      </c>
      <c r="F2558" t="s">
        <v>524</v>
      </c>
      <c r="G2558" t="s">
        <v>18048</v>
      </c>
      <c r="H2558" t="s">
        <v>1121</v>
      </c>
      <c r="I2558" t="s">
        <v>1117</v>
      </c>
      <c r="J2558" t="s">
        <v>525</v>
      </c>
      <c r="K2558" t="s">
        <v>526</v>
      </c>
      <c r="L2558" t="s">
        <v>21</v>
      </c>
      <c r="M2558" t="s">
        <v>19177</v>
      </c>
      <c r="N2558" t="s">
        <v>478</v>
      </c>
      <c r="O2558" t="s">
        <v>478</v>
      </c>
      <c r="P2558" t="s">
        <v>454</v>
      </c>
    </row>
    <row r="2559">
      <c r="A2559">
        <f>HYPERLINK("http://bombeiros.sp.gov.br/hidrantes/03individual/5555.html","5555")</f>
      </c>
      <c r="B2559" t="s">
        <v>454</v>
      </c>
      <c r="C2559" t="s">
        <v>519</v>
      </c>
      <c r="D2559" t="s">
        <v>527</v>
      </c>
      <c r="E2559" t="s">
        <v>64</v>
      </c>
      <c r="F2559" t="s">
        <v>8213</v>
      </c>
      <c r="G2559" t="s">
        <v>18085</v>
      </c>
      <c r="H2559" t="s">
        <v>1112</v>
      </c>
      <c r="I2559" t="s">
        <v>1108</v>
      </c>
      <c r="J2559" t="s">
        <v>8214</v>
      </c>
      <c r="K2559" t="s">
        <v>8215</v>
      </c>
      <c r="L2559" t="s">
        <v>21</v>
      </c>
      <c r="M2559" t="s">
        <v>19177</v>
      </c>
      <c r="N2559" t="s">
        <v>519</v>
      </c>
      <c r="O2559" t="s">
        <v>519</v>
      </c>
      <c r="P2559" t="s">
        <v>454</v>
      </c>
    </row>
    <row r="2560">
      <c r="A2560">
        <f>HYPERLINK("http://bombeiros.sp.gov.br/hidrantes/03individual/944.html","944")</f>
      </c>
      <c r="B2560" t="s">
        <v>454</v>
      </c>
      <c r="C2560" t="s">
        <v>519</v>
      </c>
      <c r="D2560" t="s">
        <v>527</v>
      </c>
      <c r="E2560" t="s">
        <v>15</v>
      </c>
      <c r="F2560" t="s">
        <v>8216</v>
      </c>
      <c r="G2560" t="s">
        <v>18123</v>
      </c>
      <c r="H2560" t="s">
        <v>1107</v>
      </c>
      <c r="I2560" t="s">
        <v>1108</v>
      </c>
      <c r="J2560" t="s">
        <v>8217</v>
      </c>
      <c r="K2560" t="s">
        <v>8218</v>
      </c>
      <c r="L2560" t="s">
        <v>21</v>
      </c>
      <c r="M2560" t="s">
        <v>19177</v>
      </c>
      <c r="N2560" t="s">
        <v>519</v>
      </c>
      <c r="O2560" t="s">
        <v>519</v>
      </c>
      <c r="P2560" t="s">
        <v>454</v>
      </c>
    </row>
    <row r="2561">
      <c r="A2561">
        <f>HYPERLINK("http://bombeiros.sp.gov.br/hidrantes/03individual/970.html","970")</f>
      </c>
      <c r="B2561" t="s">
        <v>454</v>
      </c>
      <c r="C2561" t="s">
        <v>519</v>
      </c>
      <c r="D2561" t="s">
        <v>527</v>
      </c>
      <c r="E2561" t="s">
        <v>15</v>
      </c>
      <c r="F2561" t="s">
        <v>8219</v>
      </c>
      <c r="G2561" t="s">
        <v>18085</v>
      </c>
      <c r="H2561" t="s">
        <v>1107</v>
      </c>
      <c r="I2561" t="s">
        <v>1108</v>
      </c>
      <c r="J2561" t="s">
        <v>8220</v>
      </c>
      <c r="K2561" t="s">
        <v>8221</v>
      </c>
      <c r="L2561" t="s">
        <v>21</v>
      </c>
      <c r="M2561" t="s">
        <v>19177</v>
      </c>
      <c r="N2561" t="s">
        <v>519</v>
      </c>
      <c r="O2561" t="s">
        <v>519</v>
      </c>
      <c r="P2561" t="s">
        <v>454</v>
      </c>
    </row>
    <row r="2562">
      <c r="A2562">
        <f>HYPERLINK("http://bombeiros.sp.gov.br/hidrantes/03individual/972.html","972")</f>
      </c>
      <c r="B2562" t="s">
        <v>454</v>
      </c>
      <c r="C2562" t="s">
        <v>519</v>
      </c>
      <c r="D2562" t="s">
        <v>527</v>
      </c>
      <c r="E2562" t="s">
        <v>15</v>
      </c>
      <c r="F2562" t="s">
        <v>8222</v>
      </c>
      <c r="G2562" t="s">
        <v>18085</v>
      </c>
      <c r="H2562" t="s">
        <v>1121</v>
      </c>
      <c r="I2562" t="s">
        <v>1117</v>
      </c>
      <c r="J2562" t="s">
        <v>8223</v>
      </c>
      <c r="K2562" t="s">
        <v>8224</v>
      </c>
      <c r="L2562" t="s">
        <v>21</v>
      </c>
      <c r="M2562" t="s">
        <v>19177</v>
      </c>
      <c r="N2562" t="s">
        <v>519</v>
      </c>
      <c r="O2562" t="s">
        <v>519</v>
      </c>
      <c r="P2562" t="s">
        <v>454</v>
      </c>
    </row>
    <row r="2563">
      <c r="A2563">
        <f>HYPERLINK("http://bombeiros.sp.gov.br/hidrantes/03individual/977.html","977")</f>
      </c>
      <c r="B2563" t="s">
        <v>454</v>
      </c>
      <c r="C2563" t="s">
        <v>519</v>
      </c>
      <c r="D2563" t="s">
        <v>527</v>
      </c>
      <c r="E2563" t="s">
        <v>15</v>
      </c>
      <c r="F2563" t="s">
        <v>8225</v>
      </c>
      <c r="G2563" t="s">
        <v>18107</v>
      </c>
      <c r="H2563" t="s">
        <v>1112</v>
      </c>
      <c r="I2563" t="s">
        <v>1108</v>
      </c>
      <c r="J2563" t="s">
        <v>8226</v>
      </c>
      <c r="K2563" t="s">
        <v>8227</v>
      </c>
      <c r="L2563" t="s">
        <v>21</v>
      </c>
      <c r="M2563" t="s">
        <v>19177</v>
      </c>
      <c r="N2563" t="s">
        <v>478</v>
      </c>
      <c r="O2563" t="s">
        <v>478</v>
      </c>
      <c r="P2563" t="s">
        <v>454</v>
      </c>
    </row>
    <row r="2564">
      <c r="A2564">
        <f>HYPERLINK("http://bombeiros.sp.gov.br/hidrantes/03individual/984.html","984")</f>
      </c>
      <c r="B2564" t="s">
        <v>454</v>
      </c>
      <c r="C2564" t="s">
        <v>519</v>
      </c>
      <c r="D2564" t="s">
        <v>527</v>
      </c>
      <c r="E2564" t="s">
        <v>15</v>
      </c>
      <c r="F2564" t="s">
        <v>8228</v>
      </c>
      <c r="G2564" t="s">
        <v>18089</v>
      </c>
      <c r="H2564" t="s">
        <v>1107</v>
      </c>
      <c r="I2564" t="s">
        <v>1108</v>
      </c>
      <c r="J2564" t="s">
        <v>8229</v>
      </c>
      <c r="K2564" t="s">
        <v>8230</v>
      </c>
      <c r="L2564" t="s">
        <v>21</v>
      </c>
      <c r="M2564" t="s">
        <v>19177</v>
      </c>
      <c r="N2564" t="s">
        <v>478</v>
      </c>
      <c r="O2564" t="s">
        <v>478</v>
      </c>
      <c r="P2564" t="s">
        <v>454</v>
      </c>
    </row>
    <row r="2565">
      <c r="A2565">
        <f>HYPERLINK("http://bombeiros.sp.gov.br/hidrantes/03individual/1084.html","1084")</f>
      </c>
      <c r="B2565" t="s">
        <v>454</v>
      </c>
      <c r="C2565" t="s">
        <v>519</v>
      </c>
      <c r="D2565" t="s">
        <v>527</v>
      </c>
      <c r="E2565" t="s">
        <v>15</v>
      </c>
      <c r="F2565" t="s">
        <v>8234</v>
      </c>
      <c r="G2565" t="s">
        <v>18107</v>
      </c>
      <c r="H2565" t="s">
        <v>1107</v>
      </c>
      <c r="I2565" t="s">
        <v>1108</v>
      </c>
      <c r="J2565" t="s">
        <v>8235</v>
      </c>
      <c r="K2565" t="s">
        <v>8236</v>
      </c>
      <c r="L2565" t="s">
        <v>21</v>
      </c>
      <c r="M2565" t="s">
        <v>19177</v>
      </c>
      <c r="N2565" t="s">
        <v>478</v>
      </c>
      <c r="O2565" t="s">
        <v>478</v>
      </c>
      <c r="P2565" t="s">
        <v>454</v>
      </c>
    </row>
    <row r="2566">
      <c r="A2566">
        <f>HYPERLINK("http://bombeiros.sp.gov.br/hidrantes/03individual/1097.html","1097")</f>
      </c>
      <c r="B2566" t="s">
        <v>454</v>
      </c>
      <c r="C2566" t="s">
        <v>519</v>
      </c>
      <c r="D2566" t="s">
        <v>527</v>
      </c>
      <c r="E2566" t="s">
        <v>15</v>
      </c>
      <c r="F2566" t="s">
        <v>8237</v>
      </c>
      <c r="G2566" t="s">
        <v>18228</v>
      </c>
      <c r="H2566" t="s">
        <v>1112</v>
      </c>
      <c r="I2566" t="s">
        <v>1108</v>
      </c>
      <c r="J2566" t="s">
        <v>8238</v>
      </c>
      <c r="K2566" t="s">
        <v>8239</v>
      </c>
      <c r="L2566" t="s">
        <v>21</v>
      </c>
      <c r="M2566" t="s">
        <v>19177</v>
      </c>
      <c r="N2566" t="s">
        <v>519</v>
      </c>
      <c r="O2566" t="s">
        <v>519</v>
      </c>
      <c r="P2566" t="s">
        <v>454</v>
      </c>
    </row>
    <row r="2567">
      <c r="A2567">
        <f>HYPERLINK("http://bombeiros.sp.gov.br/hidrantes/03individual/1123.html","1123")</f>
      </c>
      <c r="B2567" t="s">
        <v>454</v>
      </c>
      <c r="C2567" t="s">
        <v>519</v>
      </c>
      <c r="D2567" t="s">
        <v>527</v>
      </c>
      <c r="E2567" t="s">
        <v>15</v>
      </c>
      <c r="F2567" t="s">
        <v>8240</v>
      </c>
      <c r="G2567" t="s">
        <v>18089</v>
      </c>
      <c r="H2567" t="s">
        <v>1112</v>
      </c>
      <c r="I2567" t="s">
        <v>1108</v>
      </c>
      <c r="J2567" t="s">
        <v>8241</v>
      </c>
      <c r="K2567" t="s">
        <v>8242</v>
      </c>
      <c r="L2567" t="s">
        <v>21</v>
      </c>
      <c r="M2567" t="s">
        <v>19177</v>
      </c>
      <c r="N2567" t="s">
        <v>478</v>
      </c>
      <c r="O2567" t="s">
        <v>478</v>
      </c>
      <c r="P2567" t="s">
        <v>454</v>
      </c>
    </row>
    <row r="2568">
      <c r="A2568">
        <f>HYPERLINK("http://bombeiros.sp.gov.br/hidrantes/03individual/1125.html","1125")</f>
      </c>
      <c r="B2568" t="s">
        <v>454</v>
      </c>
      <c r="C2568" t="s">
        <v>519</v>
      </c>
      <c r="D2568" t="s">
        <v>527</v>
      </c>
      <c r="E2568" t="s">
        <v>15</v>
      </c>
      <c r="F2568" t="s">
        <v>8243</v>
      </c>
      <c r="G2568" t="s">
        <v>18107</v>
      </c>
      <c r="H2568" t="s">
        <v>1107</v>
      </c>
      <c r="I2568" t="s">
        <v>1108</v>
      </c>
      <c r="J2568" t="s">
        <v>8244</v>
      </c>
      <c r="K2568" t="s">
        <v>8245</v>
      </c>
      <c r="L2568" t="s">
        <v>21</v>
      </c>
      <c r="M2568" t="s">
        <v>19177</v>
      </c>
      <c r="N2568" t="s">
        <v>478</v>
      </c>
      <c r="O2568" t="s">
        <v>478</v>
      </c>
      <c r="P2568" t="s">
        <v>454</v>
      </c>
    </row>
    <row r="2569">
      <c r="A2569">
        <f>HYPERLINK("http://bombeiros.sp.gov.br/hidrantes/03individual/1135.html","1135")</f>
      </c>
      <c r="B2569" t="s">
        <v>454</v>
      </c>
      <c r="C2569" t="s">
        <v>519</v>
      </c>
      <c r="D2569" t="s">
        <v>527</v>
      </c>
      <c r="E2569" t="s">
        <v>15</v>
      </c>
      <c r="F2569" t="s">
        <v>8246</v>
      </c>
      <c r="G2569" t="s">
        <v>18072</v>
      </c>
      <c r="H2569" t="s">
        <v>1112</v>
      </c>
      <c r="I2569" t="s">
        <v>1108</v>
      </c>
      <c r="J2569" t="s">
        <v>8247</v>
      </c>
      <c r="K2569" t="s">
        <v>8248</v>
      </c>
      <c r="L2569" t="s">
        <v>21</v>
      </c>
      <c r="M2569" t="s">
        <v>19177</v>
      </c>
      <c r="N2569" t="s">
        <v>478</v>
      </c>
      <c r="O2569" t="s">
        <v>478</v>
      </c>
      <c r="P2569" t="s">
        <v>454</v>
      </c>
    </row>
    <row r="2570">
      <c r="A2570">
        <f>HYPERLINK("http://bombeiros.sp.gov.br/hidrantes/03individual/1160.html","1160")</f>
      </c>
      <c r="B2570" t="s">
        <v>454</v>
      </c>
      <c r="C2570" t="s">
        <v>519</v>
      </c>
      <c r="D2570" t="s">
        <v>527</v>
      </c>
      <c r="E2570" t="s">
        <v>15</v>
      </c>
      <c r="F2570" t="s">
        <v>8249</v>
      </c>
      <c r="G2570" t="s">
        <v>18085</v>
      </c>
      <c r="H2570" t="s">
        <v>1107</v>
      </c>
      <c r="I2570" t="s">
        <v>1108</v>
      </c>
      <c r="J2570" t="s">
        <v>8250</v>
      </c>
      <c r="K2570" t="s">
        <v>8251</v>
      </c>
      <c r="L2570" t="s">
        <v>21</v>
      </c>
      <c r="M2570" t="s">
        <v>19177</v>
      </c>
      <c r="N2570" t="s">
        <v>519</v>
      </c>
      <c r="O2570" t="s">
        <v>519</v>
      </c>
      <c r="P2570" t="s">
        <v>454</v>
      </c>
    </row>
    <row r="2571">
      <c r="A2571">
        <f>HYPERLINK("http://bombeiros.sp.gov.br/hidrantes/03individual/1171.html","1171")</f>
      </c>
      <c r="B2571" t="s">
        <v>454</v>
      </c>
      <c r="C2571" t="s">
        <v>519</v>
      </c>
      <c r="D2571" t="s">
        <v>527</v>
      </c>
      <c r="E2571" t="s">
        <v>15</v>
      </c>
      <c r="F2571" t="s">
        <v>8252</v>
      </c>
      <c r="G2571" t="s">
        <v>18118</v>
      </c>
      <c r="H2571" t="s">
        <v>1174</v>
      </c>
      <c r="I2571" t="s">
        <v>1108</v>
      </c>
      <c r="J2571" t="s">
        <v>8253</v>
      </c>
      <c r="K2571" t="s">
        <v>8254</v>
      </c>
      <c r="L2571" t="s">
        <v>21</v>
      </c>
      <c r="M2571" t="s">
        <v>19177</v>
      </c>
      <c r="N2571" t="s">
        <v>478</v>
      </c>
      <c r="O2571" t="s">
        <v>478</v>
      </c>
      <c r="P2571" t="s">
        <v>454</v>
      </c>
    </row>
    <row r="2572">
      <c r="A2572">
        <f>HYPERLINK("http://bombeiros.sp.gov.br/hidrantes/03individual/1204.html","1204")</f>
      </c>
      <c r="B2572" t="s">
        <v>454</v>
      </c>
      <c r="C2572" t="s">
        <v>519</v>
      </c>
      <c r="D2572" t="s">
        <v>527</v>
      </c>
      <c r="E2572" t="s">
        <v>15</v>
      </c>
      <c r="F2572" t="s">
        <v>8255</v>
      </c>
      <c r="G2572" t="s">
        <v>18080</v>
      </c>
      <c r="H2572" t="s">
        <v>1121</v>
      </c>
      <c r="I2572" t="s">
        <v>1117</v>
      </c>
      <c r="J2572" t="s">
        <v>8256</v>
      </c>
      <c r="K2572" t="s">
        <v>8257</v>
      </c>
      <c r="L2572" t="s">
        <v>21</v>
      </c>
      <c r="M2572" t="s">
        <v>19177</v>
      </c>
      <c r="N2572" t="s">
        <v>519</v>
      </c>
      <c r="O2572" t="s">
        <v>519</v>
      </c>
      <c r="P2572" t="s">
        <v>454</v>
      </c>
    </row>
    <row r="2573">
      <c r="A2573">
        <f>HYPERLINK("http://bombeiros.sp.gov.br/hidrantes/03individual/1208.html","1208")</f>
      </c>
      <c r="B2573" t="s">
        <v>454</v>
      </c>
      <c r="C2573" t="s">
        <v>519</v>
      </c>
      <c r="D2573" t="s">
        <v>527</v>
      </c>
      <c r="E2573" t="s">
        <v>15</v>
      </c>
      <c r="F2573" t="s">
        <v>8258</v>
      </c>
      <c r="G2573" t="s">
        <v>18123</v>
      </c>
      <c r="H2573" t="s">
        <v>1107</v>
      </c>
      <c r="I2573" t="s">
        <v>1108</v>
      </c>
      <c r="J2573" t="s">
        <v>8259</v>
      </c>
      <c r="K2573" t="s">
        <v>8260</v>
      </c>
      <c r="L2573" t="s">
        <v>21</v>
      </c>
      <c r="M2573" t="s">
        <v>19177</v>
      </c>
      <c r="N2573" t="s">
        <v>519</v>
      </c>
      <c r="O2573" t="s">
        <v>519</v>
      </c>
      <c r="P2573" t="s">
        <v>454</v>
      </c>
    </row>
    <row r="2574">
      <c r="A2574">
        <f>HYPERLINK("http://bombeiros.sp.gov.br/hidrantes/03individual/1264.html","1264")</f>
      </c>
      <c r="B2574" t="s">
        <v>454</v>
      </c>
      <c r="C2574" t="s">
        <v>519</v>
      </c>
      <c r="D2574" t="s">
        <v>527</v>
      </c>
      <c r="E2574" t="s">
        <v>15</v>
      </c>
      <c r="F2574" t="s">
        <v>8261</v>
      </c>
      <c r="G2574" t="s">
        <v>18085</v>
      </c>
      <c r="H2574" t="s">
        <v>1107</v>
      </c>
      <c r="I2574" t="s">
        <v>1108</v>
      </c>
      <c r="J2574" t="s">
        <v>8262</v>
      </c>
      <c r="K2574" t="s">
        <v>8263</v>
      </c>
      <c r="L2574" t="s">
        <v>21</v>
      </c>
      <c r="M2574" t="s">
        <v>19177</v>
      </c>
      <c r="N2574" t="s">
        <v>519</v>
      </c>
      <c r="O2574" t="s">
        <v>519</v>
      </c>
      <c r="P2574" t="s">
        <v>454</v>
      </c>
    </row>
    <row r="2575">
      <c r="A2575">
        <f>HYPERLINK("http://bombeiros.sp.gov.br/hidrantes/03individual/1288.html","1288")</f>
      </c>
      <c r="B2575" t="s">
        <v>454</v>
      </c>
      <c r="C2575" t="s">
        <v>519</v>
      </c>
      <c r="D2575" t="s">
        <v>527</v>
      </c>
      <c r="E2575" t="s">
        <v>15</v>
      </c>
      <c r="F2575" t="s">
        <v>8264</v>
      </c>
      <c r="G2575" t="s">
        <v>18107</v>
      </c>
      <c r="H2575" t="s">
        <v>1107</v>
      </c>
      <c r="I2575" t="s">
        <v>1108</v>
      </c>
      <c r="J2575" t="s">
        <v>8265</v>
      </c>
      <c r="K2575" t="s">
        <v>8266</v>
      </c>
      <c r="L2575" t="s">
        <v>21</v>
      </c>
      <c r="M2575" t="s">
        <v>19177</v>
      </c>
      <c r="N2575" t="s">
        <v>478</v>
      </c>
      <c r="O2575" t="s">
        <v>478</v>
      </c>
      <c r="P2575" t="s">
        <v>454</v>
      </c>
    </row>
    <row r="2576">
      <c r="A2576">
        <f>HYPERLINK("http://bombeiros.sp.gov.br/hidrantes/03individual/1290.html","1290")</f>
      </c>
      <c r="B2576" t="s">
        <v>454</v>
      </c>
      <c r="C2576" t="s">
        <v>519</v>
      </c>
      <c r="D2576" t="s">
        <v>527</v>
      </c>
      <c r="E2576" t="s">
        <v>15</v>
      </c>
      <c r="F2576" t="s">
        <v>8267</v>
      </c>
      <c r="G2576" t="s">
        <v>18072</v>
      </c>
      <c r="H2576" t="s">
        <v>1107</v>
      </c>
      <c r="I2576" t="s">
        <v>1108</v>
      </c>
      <c r="J2576" t="s">
        <v>8268</v>
      </c>
      <c r="K2576" t="s">
        <v>8269</v>
      </c>
      <c r="L2576" t="s">
        <v>21</v>
      </c>
      <c r="M2576" t="s">
        <v>19177</v>
      </c>
      <c r="N2576" t="s">
        <v>478</v>
      </c>
      <c r="O2576" t="s">
        <v>478</v>
      </c>
      <c r="P2576" t="s">
        <v>454</v>
      </c>
    </row>
    <row r="2577">
      <c r="A2577">
        <f>HYPERLINK("http://bombeiros.sp.gov.br/hidrantes/03individual/1296.html","1296")</f>
      </c>
      <c r="B2577" t="s">
        <v>454</v>
      </c>
      <c r="C2577" t="s">
        <v>519</v>
      </c>
      <c r="D2577" t="s">
        <v>527</v>
      </c>
      <c r="E2577" t="s">
        <v>15</v>
      </c>
      <c r="F2577" t="s">
        <v>8270</v>
      </c>
      <c r="G2577" t="s">
        <v>18107</v>
      </c>
      <c r="H2577" t="s">
        <v>1107</v>
      </c>
      <c r="I2577" t="s">
        <v>1108</v>
      </c>
      <c r="J2577" t="s">
        <v>16443</v>
      </c>
      <c r="K2577" t="s">
        <v>16444</v>
      </c>
      <c r="L2577" t="s">
        <v>21</v>
      </c>
      <c r="M2577" t="s">
        <v>19177</v>
      </c>
      <c r="N2577" t="s">
        <v>478</v>
      </c>
      <c r="O2577" t="s">
        <v>478</v>
      </c>
      <c r="P2577" t="s">
        <v>454</v>
      </c>
    </row>
    <row r="2578">
      <c r="A2578">
        <f>HYPERLINK("http://bombeiros.sp.gov.br/hidrantes/03individual/4030.html","4030")</f>
      </c>
      <c r="B2578" t="s">
        <v>454</v>
      </c>
      <c r="C2578" t="s">
        <v>519</v>
      </c>
      <c r="D2578" t="s">
        <v>527</v>
      </c>
      <c r="E2578" t="s">
        <v>15</v>
      </c>
      <c r="F2578" t="s">
        <v>8276</v>
      </c>
      <c r="G2578" t="s">
        <v>18118</v>
      </c>
      <c r="H2578" t="s">
        <v>1112</v>
      </c>
      <c r="I2578" t="s">
        <v>1108</v>
      </c>
      <c r="J2578" t="s">
        <v>8277</v>
      </c>
      <c r="K2578" t="s">
        <v>8278</v>
      </c>
      <c r="L2578" t="s">
        <v>21</v>
      </c>
      <c r="M2578" t="s">
        <v>19177</v>
      </c>
      <c r="N2578" t="s">
        <v>478</v>
      </c>
      <c r="O2578" t="s">
        <v>478</v>
      </c>
      <c r="P2578" t="s">
        <v>454</v>
      </c>
    </row>
    <row r="2579">
      <c r="A2579">
        <f>HYPERLINK("http://bombeiros.sp.gov.br/hidrantes/03individual/4044.html","4044")</f>
      </c>
      <c r="B2579" t="s">
        <v>454</v>
      </c>
      <c r="C2579" t="s">
        <v>519</v>
      </c>
      <c r="D2579" t="s">
        <v>527</v>
      </c>
      <c r="E2579" t="s">
        <v>15</v>
      </c>
      <c r="F2579" t="s">
        <v>8282</v>
      </c>
      <c r="G2579" t="s">
        <v>18089</v>
      </c>
      <c r="H2579" t="s">
        <v>1107</v>
      </c>
      <c r="I2579" t="s">
        <v>1108</v>
      </c>
      <c r="J2579" t="s">
        <v>8283</v>
      </c>
      <c r="K2579" t="s">
        <v>8284</v>
      </c>
      <c r="L2579" t="s">
        <v>21</v>
      </c>
      <c r="M2579" t="s">
        <v>19177</v>
      </c>
      <c r="N2579" t="s">
        <v>478</v>
      </c>
      <c r="O2579" t="s">
        <v>478</v>
      </c>
      <c r="P2579" t="s">
        <v>454</v>
      </c>
    </row>
    <row r="2580">
      <c r="A2580">
        <f>HYPERLINK("http://bombeiros.sp.gov.br/hidrantes/03individual/4045.html","4045")</f>
      </c>
      <c r="B2580" t="s">
        <v>454</v>
      </c>
      <c r="C2580" t="s">
        <v>519</v>
      </c>
      <c r="D2580" t="s">
        <v>527</v>
      </c>
      <c r="E2580" t="s">
        <v>15</v>
      </c>
      <c r="F2580" t="s">
        <v>8285</v>
      </c>
      <c r="G2580" t="s">
        <v>18072</v>
      </c>
      <c r="H2580" t="s">
        <v>1107</v>
      </c>
      <c r="I2580" t="s">
        <v>1108</v>
      </c>
      <c r="J2580" t="s">
        <v>8286</v>
      </c>
      <c r="K2580" t="s">
        <v>8287</v>
      </c>
      <c r="L2580" t="s">
        <v>21</v>
      </c>
      <c r="M2580" t="s">
        <v>19177</v>
      </c>
      <c r="N2580" t="s">
        <v>478</v>
      </c>
      <c r="O2580" t="s">
        <v>478</v>
      </c>
      <c r="P2580" t="s">
        <v>454</v>
      </c>
    </row>
    <row r="2581">
      <c r="A2581">
        <f>HYPERLINK("http://bombeiros.sp.gov.br/hidrantes/03individual/4046.html","4046")</f>
      </c>
      <c r="B2581" t="s">
        <v>454</v>
      </c>
      <c r="C2581" t="s">
        <v>519</v>
      </c>
      <c r="D2581" t="s">
        <v>527</v>
      </c>
      <c r="E2581" t="s">
        <v>15</v>
      </c>
      <c r="F2581" t="s">
        <v>8288</v>
      </c>
      <c r="G2581" t="s">
        <v>18072</v>
      </c>
      <c r="H2581" t="s">
        <v>1107</v>
      </c>
      <c r="I2581" t="s">
        <v>1108</v>
      </c>
      <c r="J2581" t="s">
        <v>18311</v>
      </c>
      <c r="K2581" t="s">
        <v>18312</v>
      </c>
      <c r="L2581" t="s">
        <v>21</v>
      </c>
      <c r="M2581" t="s">
        <v>19177</v>
      </c>
      <c r="N2581" t="s">
        <v>478</v>
      </c>
      <c r="O2581" t="s">
        <v>478</v>
      </c>
      <c r="P2581" t="s">
        <v>454</v>
      </c>
    </row>
    <row r="2582">
      <c r="A2582">
        <f>HYPERLINK("http://bombeiros.sp.gov.br/hidrantes/03individual/4047.html","4047")</f>
      </c>
      <c r="B2582" t="s">
        <v>454</v>
      </c>
      <c r="C2582" t="s">
        <v>519</v>
      </c>
      <c r="D2582" t="s">
        <v>527</v>
      </c>
      <c r="E2582" t="s">
        <v>15</v>
      </c>
      <c r="F2582" t="s">
        <v>8291</v>
      </c>
      <c r="G2582" t="s">
        <v>18072</v>
      </c>
      <c r="H2582" t="s">
        <v>1112</v>
      </c>
      <c r="I2582" t="s">
        <v>1108</v>
      </c>
      <c r="J2582" t="s">
        <v>8292</v>
      </c>
      <c r="K2582" t="s">
        <v>8293</v>
      </c>
      <c r="L2582" t="s">
        <v>21</v>
      </c>
      <c r="M2582" t="s">
        <v>19177</v>
      </c>
      <c r="N2582" t="s">
        <v>478</v>
      </c>
      <c r="O2582" t="s">
        <v>478</v>
      </c>
      <c r="P2582" t="s">
        <v>454</v>
      </c>
    </row>
    <row r="2583">
      <c r="A2583">
        <f>HYPERLINK("http://bombeiros.sp.gov.br/hidrantes/03individual/4075.html","4075")</f>
      </c>
      <c r="B2583" t="s">
        <v>454</v>
      </c>
      <c r="C2583" t="s">
        <v>519</v>
      </c>
      <c r="D2583" t="s">
        <v>527</v>
      </c>
      <c r="E2583" t="s">
        <v>15</v>
      </c>
      <c r="F2583" t="s">
        <v>8294</v>
      </c>
      <c r="G2583" t="s">
        <v>18132</v>
      </c>
      <c r="H2583" t="s">
        <v>1107</v>
      </c>
      <c r="I2583" t="s">
        <v>1108</v>
      </c>
      <c r="J2583" t="s">
        <v>8295</v>
      </c>
      <c r="K2583" t="s">
        <v>8296</v>
      </c>
      <c r="L2583" t="s">
        <v>21</v>
      </c>
      <c r="M2583" t="s">
        <v>19177</v>
      </c>
      <c r="N2583" t="s">
        <v>519</v>
      </c>
      <c r="O2583" t="s">
        <v>519</v>
      </c>
      <c r="P2583" t="s">
        <v>454</v>
      </c>
    </row>
    <row r="2584">
      <c r="A2584">
        <f>HYPERLINK("http://bombeiros.sp.gov.br/hidrantes/03individual/4081.html","4081")</f>
      </c>
      <c r="B2584" t="s">
        <v>454</v>
      </c>
      <c r="C2584" t="s">
        <v>519</v>
      </c>
      <c r="D2584" t="s">
        <v>527</v>
      </c>
      <c r="E2584" t="s">
        <v>15</v>
      </c>
      <c r="F2584" t="s">
        <v>8297</v>
      </c>
      <c r="G2584" t="s">
        <v>18085</v>
      </c>
      <c r="H2584" t="s">
        <v>1107</v>
      </c>
      <c r="I2584" t="s">
        <v>1108</v>
      </c>
      <c r="J2584" t="s">
        <v>8298</v>
      </c>
      <c r="K2584" t="s">
        <v>8299</v>
      </c>
      <c r="L2584" t="s">
        <v>21</v>
      </c>
      <c r="M2584" t="s">
        <v>19177</v>
      </c>
      <c r="N2584" t="s">
        <v>519</v>
      </c>
      <c r="O2584" t="s">
        <v>519</v>
      </c>
      <c r="P2584" t="s">
        <v>454</v>
      </c>
    </row>
    <row r="2585">
      <c r="A2585">
        <f>HYPERLINK("http://bombeiros.sp.gov.br/hidrantes/03individual/4104.html","4104")</f>
      </c>
      <c r="B2585" t="s">
        <v>454</v>
      </c>
      <c r="C2585" t="s">
        <v>519</v>
      </c>
      <c r="D2585" t="s">
        <v>527</v>
      </c>
      <c r="E2585" t="s">
        <v>15</v>
      </c>
      <c r="F2585" t="s">
        <v>8300</v>
      </c>
      <c r="G2585" t="s">
        <v>18123</v>
      </c>
      <c r="H2585" t="s">
        <v>1174</v>
      </c>
      <c r="I2585" t="s">
        <v>1108</v>
      </c>
      <c r="J2585" t="s">
        <v>8301</v>
      </c>
      <c r="K2585" t="s">
        <v>8302</v>
      </c>
      <c r="L2585" t="s">
        <v>21</v>
      </c>
      <c r="M2585" t="s">
        <v>19177</v>
      </c>
      <c r="N2585" t="s">
        <v>519</v>
      </c>
      <c r="O2585" t="s">
        <v>519</v>
      </c>
      <c r="P2585" t="s">
        <v>454</v>
      </c>
    </row>
    <row r="2586">
      <c r="A2586">
        <f>HYPERLINK("http://bombeiros.sp.gov.br/hidrantes/03individual/5493.html","5493")</f>
      </c>
      <c r="B2586" t="s">
        <v>454</v>
      </c>
      <c r="C2586" t="s">
        <v>519</v>
      </c>
      <c r="D2586" t="s">
        <v>527</v>
      </c>
      <c r="E2586" t="s">
        <v>15</v>
      </c>
      <c r="F2586" t="s">
        <v>8303</v>
      </c>
      <c r="G2586" t="s">
        <v>18123</v>
      </c>
      <c r="H2586" t="s">
        <v>1112</v>
      </c>
      <c r="I2586" t="s">
        <v>1108</v>
      </c>
      <c r="J2586" t="s">
        <v>8304</v>
      </c>
      <c r="K2586" t="s">
        <v>8305</v>
      </c>
      <c r="L2586" t="s">
        <v>21</v>
      </c>
      <c r="M2586" t="s">
        <v>19177</v>
      </c>
      <c r="N2586" t="s">
        <v>519</v>
      </c>
      <c r="O2586" t="s">
        <v>519</v>
      </c>
      <c r="P2586" t="s">
        <v>454</v>
      </c>
    </row>
    <row r="2587">
      <c r="A2587">
        <f>HYPERLINK("http://bombeiros.sp.gov.br/hidrantes/03individual/5494.html","5494")</f>
      </c>
      <c r="B2587" t="s">
        <v>454</v>
      </c>
      <c r="C2587" t="s">
        <v>519</v>
      </c>
      <c r="D2587" t="s">
        <v>527</v>
      </c>
      <c r="E2587" t="s">
        <v>15</v>
      </c>
      <c r="F2587" t="s">
        <v>8306</v>
      </c>
      <c r="G2587" t="s">
        <v>18123</v>
      </c>
      <c r="H2587" t="s">
        <v>1174</v>
      </c>
      <c r="I2587" t="s">
        <v>1117</v>
      </c>
      <c r="J2587" t="s">
        <v>8307</v>
      </c>
      <c r="K2587" t="s">
        <v>8308</v>
      </c>
      <c r="L2587" t="s">
        <v>21</v>
      </c>
      <c r="M2587" t="s">
        <v>19177</v>
      </c>
      <c r="N2587" t="s">
        <v>519</v>
      </c>
      <c r="O2587" t="s">
        <v>519</v>
      </c>
      <c r="P2587" t="s">
        <v>454</v>
      </c>
    </row>
    <row r="2588">
      <c r="A2588">
        <f>HYPERLINK("http://bombeiros.sp.gov.br/hidrantes/03individual/5497.html","5497")</f>
      </c>
      <c r="B2588" t="s">
        <v>454</v>
      </c>
      <c r="C2588" t="s">
        <v>519</v>
      </c>
      <c r="D2588" t="s">
        <v>527</v>
      </c>
      <c r="E2588" t="s">
        <v>15</v>
      </c>
      <c r="F2588" t="s">
        <v>8309</v>
      </c>
      <c r="G2588" t="s">
        <v>18123</v>
      </c>
      <c r="H2588" t="s">
        <v>1112</v>
      </c>
      <c r="I2588" t="s">
        <v>1108</v>
      </c>
      <c r="J2588" t="s">
        <v>8310</v>
      </c>
      <c r="K2588" t="s">
        <v>8311</v>
      </c>
      <c r="L2588" t="s">
        <v>21</v>
      </c>
      <c r="M2588" t="s">
        <v>19177</v>
      </c>
      <c r="N2588" t="s">
        <v>519</v>
      </c>
      <c r="O2588" t="s">
        <v>519</v>
      </c>
      <c r="P2588" t="s">
        <v>454</v>
      </c>
    </row>
    <row r="2589">
      <c r="A2589">
        <f>HYPERLINK("http://bombeiros.sp.gov.br/hidrantes/03individual/5558.html","5558")</f>
      </c>
      <c r="B2589" t="s">
        <v>454</v>
      </c>
      <c r="C2589" t="s">
        <v>519</v>
      </c>
      <c r="D2589" t="s">
        <v>527</v>
      </c>
      <c r="E2589" t="s">
        <v>15</v>
      </c>
      <c r="F2589" t="s">
        <v>8312</v>
      </c>
      <c r="G2589" t="s">
        <v>18118</v>
      </c>
      <c r="H2589" t="s">
        <v>1121</v>
      </c>
      <c r="I2589" t="s">
        <v>1117</v>
      </c>
      <c r="J2589" t="s">
        <v>8313</v>
      </c>
      <c r="K2589" t="s">
        <v>8314</v>
      </c>
      <c r="L2589" t="s">
        <v>21</v>
      </c>
      <c r="M2589" t="s">
        <v>19177</v>
      </c>
      <c r="N2589" t="s">
        <v>478</v>
      </c>
      <c r="O2589" t="s">
        <v>478</v>
      </c>
      <c r="P2589" t="s">
        <v>454</v>
      </c>
    </row>
    <row r="2590">
      <c r="A2590">
        <f>HYPERLINK("http://bombeiros.sp.gov.br/hidrantes/03individual/5594.html","5594")</f>
      </c>
      <c r="B2590" t="s">
        <v>454</v>
      </c>
      <c r="C2590" t="s">
        <v>519</v>
      </c>
      <c r="D2590" t="s">
        <v>527</v>
      </c>
      <c r="E2590" t="s">
        <v>15</v>
      </c>
      <c r="F2590" t="s">
        <v>8315</v>
      </c>
      <c r="G2590" t="s">
        <v>18107</v>
      </c>
      <c r="H2590" t="s">
        <v>1107</v>
      </c>
      <c r="I2590" t="s">
        <v>1108</v>
      </c>
      <c r="J2590" t="s">
        <v>8316</v>
      </c>
      <c r="K2590" t="s">
        <v>8317</v>
      </c>
      <c r="L2590" t="s">
        <v>21</v>
      </c>
      <c r="M2590" t="s">
        <v>19177</v>
      </c>
      <c r="N2590" t="s">
        <v>478</v>
      </c>
      <c r="O2590" t="s">
        <v>478</v>
      </c>
      <c r="P2590" t="s">
        <v>454</v>
      </c>
    </row>
    <row r="2591">
      <c r="A2591">
        <f>HYPERLINK("http://bombeiros.sp.gov.br/hidrantes/03individual/16597.html","16597")</f>
      </c>
      <c r="B2591" t="s">
        <v>454</v>
      </c>
      <c r="C2591" t="s">
        <v>519</v>
      </c>
      <c r="D2591" t="s">
        <v>527</v>
      </c>
      <c r="E2591" t="s">
        <v>15</v>
      </c>
      <c r="F2591" t="s">
        <v>8318</v>
      </c>
      <c r="G2591" t="s">
        <v>18089</v>
      </c>
      <c r="H2591" t="s">
        <v>1107</v>
      </c>
      <c r="I2591" t="s">
        <v>1117</v>
      </c>
      <c r="J2591" t="s">
        <v>8319</v>
      </c>
      <c r="K2591" t="s">
        <v>8320</v>
      </c>
      <c r="L2591" t="s">
        <v>21</v>
      </c>
      <c r="M2591" t="s">
        <v>19177</v>
      </c>
      <c r="N2591" t="s">
        <v>478</v>
      </c>
      <c r="O2591" t="s">
        <v>478</v>
      </c>
      <c r="P2591" t="s">
        <v>454</v>
      </c>
    </row>
    <row r="2592">
      <c r="A2592">
        <f>HYPERLINK("http://bombeiros.sp.gov.br/hidrantes/03individual/17823.html","17823")</f>
      </c>
      <c r="B2592" t="s">
        <v>454</v>
      </c>
      <c r="C2592" t="s">
        <v>519</v>
      </c>
      <c r="D2592" t="s">
        <v>527</v>
      </c>
      <c r="E2592" t="s">
        <v>15</v>
      </c>
      <c r="F2592" t="s">
        <v>528</v>
      </c>
      <c r="G2592" t="s">
        <v>18107</v>
      </c>
      <c r="H2592" t="s">
        <v>1121</v>
      </c>
      <c r="I2592" t="s">
        <v>1117</v>
      </c>
      <c r="J2592" t="s">
        <v>529</v>
      </c>
      <c r="K2592" t="s">
        <v>530</v>
      </c>
      <c r="L2592" t="s">
        <v>21</v>
      </c>
      <c r="M2592" t="s">
        <v>19177</v>
      </c>
      <c r="N2592" t="s">
        <v>478</v>
      </c>
      <c r="O2592" t="s">
        <v>478</v>
      </c>
      <c r="P2592" t="s">
        <v>454</v>
      </c>
    </row>
    <row r="2593">
      <c r="A2593">
        <f>HYPERLINK("http://bombeiros.sp.gov.br/hidrantes/03individual/17824.html","17824")</f>
      </c>
      <c r="B2593" t="s">
        <v>454</v>
      </c>
      <c r="C2593" t="s">
        <v>519</v>
      </c>
      <c r="D2593" t="s">
        <v>527</v>
      </c>
      <c r="E2593" t="s">
        <v>15</v>
      </c>
      <c r="F2593" t="s">
        <v>8321</v>
      </c>
      <c r="G2593" t="s">
        <v>18089</v>
      </c>
      <c r="H2593" t="s">
        <v>1107</v>
      </c>
      <c r="I2593" t="s">
        <v>1108</v>
      </c>
      <c r="J2593" t="s">
        <v>16525</v>
      </c>
      <c r="K2593" t="s">
        <v>16526</v>
      </c>
      <c r="L2593" t="s">
        <v>21</v>
      </c>
      <c r="M2593" t="s">
        <v>19177</v>
      </c>
      <c r="N2593" t="s">
        <v>478</v>
      </c>
      <c r="O2593" t="s">
        <v>478</v>
      </c>
      <c r="P2593" t="s">
        <v>454</v>
      </c>
    </row>
    <row r="2594">
      <c r="A2594">
        <f>HYPERLINK("http://bombeiros.sp.gov.br/hidrantes/03individual/26905.html","26905")</f>
      </c>
      <c r="B2594" t="s">
        <v>454</v>
      </c>
      <c r="C2594" t="s">
        <v>519</v>
      </c>
      <c r="D2594" t="s">
        <v>527</v>
      </c>
      <c r="E2594" t="s">
        <v>15</v>
      </c>
      <c r="F2594" t="s">
        <v>16350</v>
      </c>
      <c r="G2594" t="s">
        <v>18132</v>
      </c>
      <c r="H2594" t="s">
        <v>1107</v>
      </c>
      <c r="I2594" t="s">
        <v>1108</v>
      </c>
      <c r="J2594" t="s">
        <v>16351</v>
      </c>
      <c r="K2594" t="s">
        <v>16352</v>
      </c>
      <c r="L2594" t="s">
        <v>21</v>
      </c>
      <c r="M2594" t="s">
        <v>19177</v>
      </c>
      <c r="N2594" t="s">
        <v>519</v>
      </c>
      <c r="O2594" t="s">
        <v>519</v>
      </c>
      <c r="P2594" t="s">
        <v>454</v>
      </c>
    </row>
    <row r="2595">
      <c r="A2595">
        <f>HYPERLINK("http://bombeiros.sp.gov.br/hidrantes/03individual/27266.html","27266")</f>
      </c>
      <c r="B2595" t="s">
        <v>454</v>
      </c>
      <c r="C2595" t="s">
        <v>519</v>
      </c>
      <c r="D2595" t="s">
        <v>527</v>
      </c>
      <c r="E2595" t="s">
        <v>15</v>
      </c>
      <c r="F2595" t="s">
        <v>17022</v>
      </c>
      <c r="G2595" t="s">
        <v>18118</v>
      </c>
      <c r="H2595" t="s">
        <v>1107</v>
      </c>
      <c r="I2595" t="s">
        <v>1108</v>
      </c>
      <c r="J2595" t="s">
        <v>18313</v>
      </c>
      <c r="K2595" t="s">
        <v>17024</v>
      </c>
      <c r="L2595" t="s">
        <v>21</v>
      </c>
      <c r="M2595" t="s">
        <v>19177</v>
      </c>
      <c r="N2595" t="s">
        <v>478</v>
      </c>
      <c r="O2595" t="s">
        <v>478</v>
      </c>
      <c r="P2595" t="s">
        <v>454</v>
      </c>
    </row>
    <row r="2596">
      <c r="A2596">
        <f>HYPERLINK("http://bombeiros.sp.gov.br/hidrantes/03individual/28275.html","28275")</f>
      </c>
      <c r="B2596" t="s">
        <v>454</v>
      </c>
      <c r="C2596" t="s">
        <v>519</v>
      </c>
      <c r="D2596" t="s">
        <v>527</v>
      </c>
      <c r="E2596" t="s">
        <v>15</v>
      </c>
      <c r="F2596" t="s">
        <v>18473</v>
      </c>
      <c r="G2596"/>
      <c r="H2596"/>
      <c r="I2596" t="s">
        <v>1503</v>
      </c>
      <c r="J2596" t="s">
        <v>18474</v>
      </c>
      <c r="K2596" t="s">
        <v>18475</v>
      </c>
      <c r="L2596" t="s">
        <v>21</v>
      </c>
      <c r="M2596" t="s">
        <v>19177</v>
      </c>
      <c r="N2596" t="s">
        <v>478</v>
      </c>
      <c r="O2596" t="s">
        <v>478</v>
      </c>
      <c r="P2596" t="s">
        <v>454</v>
      </c>
    </row>
    <row r="2597">
      <c r="A2597">
        <f>HYPERLINK("http://bombeiros.sp.gov.br/hidrantes/03individual/708.html","708")</f>
      </c>
      <c r="B2597" t="s">
        <v>454</v>
      </c>
      <c r="C2597" t="s">
        <v>531</v>
      </c>
      <c r="D2597" t="s">
        <v>532</v>
      </c>
      <c r="E2597" t="s">
        <v>64</v>
      </c>
      <c r="F2597" t="s">
        <v>533</v>
      </c>
      <c r="G2597" t="s">
        <v>18043</v>
      </c>
      <c r="H2597" t="s">
        <v>1112</v>
      </c>
      <c r="I2597" t="s">
        <v>1108</v>
      </c>
      <c r="J2597" t="s">
        <v>535</v>
      </c>
      <c r="K2597" t="s">
        <v>536</v>
      </c>
      <c r="L2597" t="s">
        <v>36</v>
      </c>
      <c r="M2597" t="s">
        <v>19177</v>
      </c>
      <c r="N2597" t="s">
        <v>531</v>
      </c>
      <c r="O2597" t="s">
        <v>531</v>
      </c>
      <c r="P2597" t="s">
        <v>454</v>
      </c>
    </row>
    <row r="2598">
      <c r="A2598">
        <f>HYPERLINK("http://bombeiros.sp.gov.br/hidrantes/03individual/2230.html","2230")</f>
      </c>
      <c r="B2598" t="s">
        <v>454</v>
      </c>
      <c r="C2598" t="s">
        <v>531</v>
      </c>
      <c r="D2598" t="s">
        <v>532</v>
      </c>
      <c r="E2598" t="s">
        <v>64</v>
      </c>
      <c r="F2598" t="s">
        <v>8324</v>
      </c>
      <c r="G2598" t="s">
        <v>18484</v>
      </c>
      <c r="H2598" t="s">
        <v>1107</v>
      </c>
      <c r="I2598" t="s">
        <v>1108</v>
      </c>
      <c r="J2598" t="s">
        <v>8325</v>
      </c>
      <c r="K2598" t="s">
        <v>8326</v>
      </c>
      <c r="L2598" t="s">
        <v>21</v>
      </c>
      <c r="M2598" t="s">
        <v>19177</v>
      </c>
      <c r="N2598" t="s">
        <v>531</v>
      </c>
      <c r="O2598" t="s">
        <v>531</v>
      </c>
      <c r="P2598" t="s">
        <v>454</v>
      </c>
    </row>
    <row r="2599">
      <c r="A2599">
        <f>HYPERLINK("http://bombeiros.sp.gov.br/hidrantes/03individual/3564.html","3564")</f>
      </c>
      <c r="B2599" t="s">
        <v>454</v>
      </c>
      <c r="C2599" t="s">
        <v>531</v>
      </c>
      <c r="D2599" t="s">
        <v>532</v>
      </c>
      <c r="E2599" t="s">
        <v>64</v>
      </c>
      <c r="F2599" t="s">
        <v>8327</v>
      </c>
      <c r="G2599" t="s">
        <v>18126</v>
      </c>
      <c r="H2599" t="s">
        <v>1107</v>
      </c>
      <c r="I2599" t="s">
        <v>1108</v>
      </c>
      <c r="J2599" t="s">
        <v>8328</v>
      </c>
      <c r="K2599" t="s">
        <v>8329</v>
      </c>
      <c r="L2599" t="s">
        <v>21</v>
      </c>
      <c r="M2599" t="s">
        <v>19177</v>
      </c>
      <c r="N2599" t="s">
        <v>531</v>
      </c>
      <c r="O2599" t="s">
        <v>531</v>
      </c>
      <c r="P2599" t="s">
        <v>454</v>
      </c>
    </row>
    <row r="2600">
      <c r="A2600">
        <f>HYPERLINK("http://bombeiros.sp.gov.br/hidrantes/03individual/3568.html","3568")</f>
      </c>
      <c r="B2600" t="s">
        <v>454</v>
      </c>
      <c r="C2600" t="s">
        <v>531</v>
      </c>
      <c r="D2600" t="s">
        <v>532</v>
      </c>
      <c r="E2600" t="s">
        <v>64</v>
      </c>
      <c r="F2600" t="s">
        <v>8330</v>
      </c>
      <c r="G2600" t="s">
        <v>18200</v>
      </c>
      <c r="H2600" t="s">
        <v>1121</v>
      </c>
      <c r="I2600" t="s">
        <v>1117</v>
      </c>
      <c r="J2600" t="s">
        <v>8331</v>
      </c>
      <c r="K2600" t="s">
        <v>8332</v>
      </c>
      <c r="L2600" t="s">
        <v>36</v>
      </c>
      <c r="M2600" t="s">
        <v>19177</v>
      </c>
      <c r="N2600" t="s">
        <v>531</v>
      </c>
      <c r="O2600" t="s">
        <v>531</v>
      </c>
      <c r="P2600" t="s">
        <v>454</v>
      </c>
    </row>
    <row r="2601">
      <c r="A2601">
        <f>HYPERLINK("http://bombeiros.sp.gov.br/hidrantes/03individual/595.html","595")</f>
      </c>
      <c r="B2601" t="s">
        <v>454</v>
      </c>
      <c r="C2601" t="s">
        <v>531</v>
      </c>
      <c r="D2601" t="s">
        <v>532</v>
      </c>
      <c r="E2601" t="s">
        <v>15</v>
      </c>
      <c r="F2601" t="s">
        <v>8333</v>
      </c>
      <c r="G2601" t="s">
        <v>18484</v>
      </c>
      <c r="H2601" t="s">
        <v>1107</v>
      </c>
      <c r="I2601" t="s">
        <v>1108</v>
      </c>
      <c r="J2601" t="s">
        <v>8334</v>
      </c>
      <c r="K2601" t="s">
        <v>8335</v>
      </c>
      <c r="L2601" t="s">
        <v>36</v>
      </c>
      <c r="M2601" t="s">
        <v>19177</v>
      </c>
      <c r="N2601" t="s">
        <v>531</v>
      </c>
      <c r="O2601" t="s">
        <v>531</v>
      </c>
      <c r="P2601" t="s">
        <v>454</v>
      </c>
    </row>
    <row r="2602">
      <c r="A2602">
        <f>HYPERLINK("http://bombeiros.sp.gov.br/hidrantes/03individual/613.html","613")</f>
      </c>
      <c r="B2602" t="s">
        <v>454</v>
      </c>
      <c r="C2602" t="s">
        <v>531</v>
      </c>
      <c r="D2602" t="s">
        <v>532</v>
      </c>
      <c r="E2602" t="s">
        <v>15</v>
      </c>
      <c r="F2602" t="s">
        <v>8336</v>
      </c>
      <c r="G2602" t="s">
        <v>18124</v>
      </c>
      <c r="H2602" t="s">
        <v>1107</v>
      </c>
      <c r="I2602" t="s">
        <v>1108</v>
      </c>
      <c r="J2602" t="s">
        <v>8337</v>
      </c>
      <c r="K2602" t="s">
        <v>8338</v>
      </c>
      <c r="L2602" t="s">
        <v>21</v>
      </c>
      <c r="M2602" t="s">
        <v>19177</v>
      </c>
      <c r="N2602" t="s">
        <v>531</v>
      </c>
      <c r="O2602" t="s">
        <v>531</v>
      </c>
      <c r="P2602" t="s">
        <v>454</v>
      </c>
    </row>
    <row r="2603">
      <c r="A2603">
        <f>HYPERLINK("http://bombeiros.sp.gov.br/hidrantes/03individual/659.html","659")</f>
      </c>
      <c r="B2603" t="s">
        <v>454</v>
      </c>
      <c r="C2603" t="s">
        <v>531</v>
      </c>
      <c r="D2603" t="s">
        <v>532</v>
      </c>
      <c r="E2603" t="s">
        <v>15</v>
      </c>
      <c r="F2603" t="s">
        <v>8339</v>
      </c>
      <c r="G2603" t="s">
        <v>18200</v>
      </c>
      <c r="H2603" t="s">
        <v>1107</v>
      </c>
      <c r="I2603" t="s">
        <v>1108</v>
      </c>
      <c r="J2603" t="s">
        <v>8340</v>
      </c>
      <c r="K2603" t="s">
        <v>8341</v>
      </c>
      <c r="L2603" t="s">
        <v>21</v>
      </c>
      <c r="M2603" t="s">
        <v>19177</v>
      </c>
      <c r="N2603" t="s">
        <v>531</v>
      </c>
      <c r="O2603" t="s">
        <v>531</v>
      </c>
      <c r="P2603" t="s">
        <v>454</v>
      </c>
    </row>
    <row r="2604">
      <c r="A2604">
        <f>HYPERLINK("http://bombeiros.sp.gov.br/hidrantes/03individual/661.html","661")</f>
      </c>
      <c r="B2604" t="s">
        <v>454</v>
      </c>
      <c r="C2604" t="s">
        <v>531</v>
      </c>
      <c r="D2604" t="s">
        <v>532</v>
      </c>
      <c r="E2604" t="s">
        <v>15</v>
      </c>
      <c r="F2604" t="s">
        <v>8342</v>
      </c>
      <c r="G2604" t="s">
        <v>18127</v>
      </c>
      <c r="H2604" t="s">
        <v>1107</v>
      </c>
      <c r="I2604" t="s">
        <v>1108</v>
      </c>
      <c r="J2604" t="s">
        <v>8343</v>
      </c>
      <c r="K2604" t="s">
        <v>8344</v>
      </c>
      <c r="L2604" t="s">
        <v>21</v>
      </c>
      <c r="M2604" t="s">
        <v>19177</v>
      </c>
      <c r="N2604" t="s">
        <v>531</v>
      </c>
      <c r="O2604" t="s">
        <v>531</v>
      </c>
      <c r="P2604" t="s">
        <v>454</v>
      </c>
    </row>
    <row r="2605">
      <c r="A2605">
        <f>HYPERLINK("http://bombeiros.sp.gov.br/hidrantes/03individual/677.html","677")</f>
      </c>
      <c r="B2605" t="s">
        <v>454</v>
      </c>
      <c r="C2605" t="s">
        <v>531</v>
      </c>
      <c r="D2605" t="s">
        <v>532</v>
      </c>
      <c r="E2605" t="s">
        <v>15</v>
      </c>
      <c r="F2605" t="s">
        <v>8345</v>
      </c>
      <c r="G2605" t="s">
        <v>18484</v>
      </c>
      <c r="H2605" t="s">
        <v>1121</v>
      </c>
      <c r="I2605" t="s">
        <v>1117</v>
      </c>
      <c r="J2605" t="s">
        <v>8346</v>
      </c>
      <c r="K2605" t="s">
        <v>8347</v>
      </c>
      <c r="L2605" t="s">
        <v>21</v>
      </c>
      <c r="M2605" t="s">
        <v>19177</v>
      </c>
      <c r="N2605" t="s">
        <v>531</v>
      </c>
      <c r="O2605" t="s">
        <v>531</v>
      </c>
      <c r="P2605" t="s">
        <v>454</v>
      </c>
    </row>
    <row r="2606">
      <c r="A2606">
        <f>HYPERLINK("http://bombeiros.sp.gov.br/hidrantes/03individual/678.html","678")</f>
      </c>
      <c r="B2606" t="s">
        <v>454</v>
      </c>
      <c r="C2606" t="s">
        <v>531</v>
      </c>
      <c r="D2606" t="s">
        <v>532</v>
      </c>
      <c r="E2606" t="s">
        <v>15</v>
      </c>
      <c r="F2606" t="s">
        <v>8348</v>
      </c>
      <c r="G2606" t="s">
        <v>18484</v>
      </c>
      <c r="H2606" t="s">
        <v>1107</v>
      </c>
      <c r="I2606" t="s">
        <v>1108</v>
      </c>
      <c r="J2606" t="s">
        <v>8349</v>
      </c>
      <c r="K2606" t="s">
        <v>8350</v>
      </c>
      <c r="L2606" t="s">
        <v>21</v>
      </c>
      <c r="M2606" t="s">
        <v>19177</v>
      </c>
      <c r="N2606" t="s">
        <v>531</v>
      </c>
      <c r="O2606" t="s">
        <v>531</v>
      </c>
      <c r="P2606" t="s">
        <v>454</v>
      </c>
    </row>
    <row r="2607">
      <c r="A2607">
        <f>HYPERLINK("http://bombeiros.sp.gov.br/hidrantes/03individual/711.html","711")</f>
      </c>
      <c r="B2607" t="s">
        <v>454</v>
      </c>
      <c r="C2607" t="s">
        <v>531</v>
      </c>
      <c r="D2607" t="s">
        <v>532</v>
      </c>
      <c r="E2607" t="s">
        <v>15</v>
      </c>
      <c r="F2607" t="s">
        <v>8351</v>
      </c>
      <c r="G2607" t="s">
        <v>18095</v>
      </c>
      <c r="H2607" t="s">
        <v>1174</v>
      </c>
      <c r="I2607" t="s">
        <v>1108</v>
      </c>
      <c r="J2607" t="s">
        <v>8352</v>
      </c>
      <c r="K2607" t="s">
        <v>8353</v>
      </c>
      <c r="L2607" t="s">
        <v>21</v>
      </c>
      <c r="M2607" t="s">
        <v>19177</v>
      </c>
      <c r="N2607" t="s">
        <v>531</v>
      </c>
      <c r="O2607" t="s">
        <v>531</v>
      </c>
      <c r="P2607" t="s">
        <v>454</v>
      </c>
    </row>
    <row r="2608">
      <c r="A2608">
        <f>HYPERLINK("http://bombeiros.sp.gov.br/hidrantes/03individual/748.html","748")</f>
      </c>
      <c r="B2608" t="s">
        <v>454</v>
      </c>
      <c r="C2608" t="s">
        <v>531</v>
      </c>
      <c r="D2608" t="s">
        <v>532</v>
      </c>
      <c r="E2608" t="s">
        <v>15</v>
      </c>
      <c r="F2608" t="s">
        <v>8354</v>
      </c>
      <c r="G2608" t="s">
        <v>18183</v>
      </c>
      <c r="H2608" t="s">
        <v>1112</v>
      </c>
      <c r="I2608" t="s">
        <v>1108</v>
      </c>
      <c r="J2608" t="s">
        <v>8355</v>
      </c>
      <c r="K2608" t="s">
        <v>8356</v>
      </c>
      <c r="L2608" t="s">
        <v>21</v>
      </c>
      <c r="M2608" t="s">
        <v>19177</v>
      </c>
      <c r="N2608" t="s">
        <v>531</v>
      </c>
      <c r="O2608" t="s">
        <v>531</v>
      </c>
      <c r="P2608" t="s">
        <v>454</v>
      </c>
    </row>
    <row r="2609">
      <c r="A2609">
        <f>HYPERLINK("http://bombeiros.sp.gov.br/hidrantes/03individual/837.html","837")</f>
      </c>
      <c r="B2609" t="s">
        <v>454</v>
      </c>
      <c r="C2609" t="s">
        <v>531</v>
      </c>
      <c r="D2609" t="s">
        <v>532</v>
      </c>
      <c r="E2609" t="s">
        <v>15</v>
      </c>
      <c r="F2609" t="s">
        <v>8357</v>
      </c>
      <c r="G2609" t="s">
        <v>18183</v>
      </c>
      <c r="H2609" t="s">
        <v>1112</v>
      </c>
      <c r="I2609" t="s">
        <v>1108</v>
      </c>
      <c r="J2609" t="s">
        <v>17503</v>
      </c>
      <c r="K2609" t="s">
        <v>17504</v>
      </c>
      <c r="L2609" t="s">
        <v>21</v>
      </c>
      <c r="M2609" t="s">
        <v>19177</v>
      </c>
      <c r="N2609" t="s">
        <v>531</v>
      </c>
      <c r="O2609" t="s">
        <v>531</v>
      </c>
      <c r="P2609" t="s">
        <v>454</v>
      </c>
    </row>
    <row r="2610">
      <c r="A2610">
        <f>HYPERLINK("http://bombeiros.sp.gov.br/hidrantes/03individual/903.html","903")</f>
      </c>
      <c r="B2610" t="s">
        <v>454</v>
      </c>
      <c r="C2610" t="s">
        <v>531</v>
      </c>
      <c r="D2610" t="s">
        <v>532</v>
      </c>
      <c r="E2610" t="s">
        <v>15</v>
      </c>
      <c r="F2610" t="s">
        <v>8360</v>
      </c>
      <c r="G2610" t="s">
        <v>18095</v>
      </c>
      <c r="H2610" t="s">
        <v>1107</v>
      </c>
      <c r="I2610" t="s">
        <v>1108</v>
      </c>
      <c r="J2610" t="s">
        <v>8361</v>
      </c>
      <c r="K2610" t="s">
        <v>8362</v>
      </c>
      <c r="L2610" t="s">
        <v>21</v>
      </c>
      <c r="M2610" t="s">
        <v>19177</v>
      </c>
      <c r="N2610" t="s">
        <v>531</v>
      </c>
      <c r="O2610" t="s">
        <v>531</v>
      </c>
      <c r="P2610" t="s">
        <v>454</v>
      </c>
    </row>
    <row r="2611">
      <c r="A2611">
        <f>HYPERLINK("http://bombeiros.sp.gov.br/hidrantes/03individual/2236.html","2236")</f>
      </c>
      <c r="B2611" t="s">
        <v>454</v>
      </c>
      <c r="C2611" t="s">
        <v>531</v>
      </c>
      <c r="D2611" t="s">
        <v>532</v>
      </c>
      <c r="E2611" t="s">
        <v>15</v>
      </c>
      <c r="F2611" t="s">
        <v>8363</v>
      </c>
      <c r="G2611" t="s">
        <v>18484</v>
      </c>
      <c r="H2611" t="s">
        <v>1112</v>
      </c>
      <c r="I2611" t="s">
        <v>1108</v>
      </c>
      <c r="J2611" t="s">
        <v>8364</v>
      </c>
      <c r="K2611" t="s">
        <v>8365</v>
      </c>
      <c r="L2611" t="s">
        <v>21</v>
      </c>
      <c r="M2611" t="s">
        <v>19177</v>
      </c>
      <c r="N2611" t="s">
        <v>531</v>
      </c>
      <c r="O2611" t="s">
        <v>531</v>
      </c>
      <c r="P2611" t="s">
        <v>454</v>
      </c>
    </row>
    <row r="2612">
      <c r="A2612">
        <f>HYPERLINK("http://bombeiros.sp.gov.br/hidrantes/03individual/2238.html","2238")</f>
      </c>
      <c r="B2612" t="s">
        <v>454</v>
      </c>
      <c r="C2612" t="s">
        <v>531</v>
      </c>
      <c r="D2612" t="s">
        <v>532</v>
      </c>
      <c r="E2612" t="s">
        <v>15</v>
      </c>
      <c r="F2612" t="s">
        <v>8366</v>
      </c>
      <c r="G2612" t="s">
        <v>18484</v>
      </c>
      <c r="H2612" t="s">
        <v>1121</v>
      </c>
      <c r="I2612" t="s">
        <v>1117</v>
      </c>
      <c r="J2612" t="s">
        <v>8367</v>
      </c>
      <c r="K2612" t="s">
        <v>8368</v>
      </c>
      <c r="L2612" t="s">
        <v>36</v>
      </c>
      <c r="M2612" t="s">
        <v>19177</v>
      </c>
      <c r="N2612" t="s">
        <v>531</v>
      </c>
      <c r="O2612" t="s">
        <v>531</v>
      </c>
      <c r="P2612" t="s">
        <v>454</v>
      </c>
    </row>
    <row r="2613">
      <c r="A2613">
        <f>HYPERLINK("http://bombeiros.sp.gov.br/hidrantes/03individual/3976.html","3976")</f>
      </c>
      <c r="B2613" t="s">
        <v>454</v>
      </c>
      <c r="C2613" t="s">
        <v>531</v>
      </c>
      <c r="D2613" t="s">
        <v>532</v>
      </c>
      <c r="E2613" t="s">
        <v>15</v>
      </c>
      <c r="F2613" t="s">
        <v>8369</v>
      </c>
      <c r="G2613" t="s">
        <v>18124</v>
      </c>
      <c r="H2613" t="s">
        <v>1107</v>
      </c>
      <c r="I2613" t="s">
        <v>1108</v>
      </c>
      <c r="J2613" t="s">
        <v>8370</v>
      </c>
      <c r="K2613" t="s">
        <v>8371</v>
      </c>
      <c r="L2613" t="s">
        <v>21</v>
      </c>
      <c r="M2613" t="s">
        <v>19177</v>
      </c>
      <c r="N2613" t="s">
        <v>531</v>
      </c>
      <c r="O2613" t="s">
        <v>531</v>
      </c>
      <c r="P2613" t="s">
        <v>454</v>
      </c>
    </row>
    <row r="2614">
      <c r="A2614">
        <f>HYPERLINK("http://bombeiros.sp.gov.br/hidrantes/03individual/3983.html","3983")</f>
      </c>
      <c r="B2614" t="s">
        <v>454</v>
      </c>
      <c r="C2614" t="s">
        <v>531</v>
      </c>
      <c r="D2614" t="s">
        <v>532</v>
      </c>
      <c r="E2614" t="s">
        <v>15</v>
      </c>
      <c r="F2614" t="s">
        <v>8372</v>
      </c>
      <c r="G2614" t="s">
        <v>18127</v>
      </c>
      <c r="H2614" t="s">
        <v>1107</v>
      </c>
      <c r="I2614" t="s">
        <v>1108</v>
      </c>
      <c r="J2614" t="s">
        <v>8373</v>
      </c>
      <c r="K2614" t="s">
        <v>8374</v>
      </c>
      <c r="L2614" t="s">
        <v>21</v>
      </c>
      <c r="M2614" t="s">
        <v>19177</v>
      </c>
      <c r="N2614" t="s">
        <v>531</v>
      </c>
      <c r="O2614" t="s">
        <v>531</v>
      </c>
      <c r="P2614" t="s">
        <v>454</v>
      </c>
    </row>
    <row r="2615">
      <c r="A2615">
        <f>HYPERLINK("http://bombeiros.sp.gov.br/hidrantes/03individual/3988.html","3988")</f>
      </c>
      <c r="B2615" t="s">
        <v>454</v>
      </c>
      <c r="C2615" t="s">
        <v>531</v>
      </c>
      <c r="D2615" t="s">
        <v>532</v>
      </c>
      <c r="E2615" t="s">
        <v>15</v>
      </c>
      <c r="F2615" t="s">
        <v>8375</v>
      </c>
      <c r="G2615" t="s">
        <v>18125</v>
      </c>
      <c r="H2615" t="s">
        <v>1107</v>
      </c>
      <c r="I2615" t="s">
        <v>1108</v>
      </c>
      <c r="J2615" t="s">
        <v>8376</v>
      </c>
      <c r="K2615" t="s">
        <v>8377</v>
      </c>
      <c r="L2615" t="s">
        <v>21</v>
      </c>
      <c r="M2615" t="s">
        <v>19177</v>
      </c>
      <c r="N2615" t="s">
        <v>531</v>
      </c>
      <c r="O2615" t="s">
        <v>531</v>
      </c>
      <c r="P2615" t="s">
        <v>454</v>
      </c>
    </row>
    <row r="2616">
      <c r="A2616">
        <f>HYPERLINK("http://bombeiros.sp.gov.br/hidrantes/03individual/3989.html","3989")</f>
      </c>
      <c r="B2616" t="s">
        <v>454</v>
      </c>
      <c r="C2616" t="s">
        <v>531</v>
      </c>
      <c r="D2616" t="s">
        <v>532</v>
      </c>
      <c r="E2616" t="s">
        <v>15</v>
      </c>
      <c r="F2616" t="s">
        <v>537</v>
      </c>
      <c r="G2616" t="s">
        <v>18125</v>
      </c>
      <c r="H2616" t="s">
        <v>1121</v>
      </c>
      <c r="I2616" t="s">
        <v>1117</v>
      </c>
      <c r="J2616" t="s">
        <v>539</v>
      </c>
      <c r="K2616" t="s">
        <v>540</v>
      </c>
      <c r="L2616" t="s">
        <v>21</v>
      </c>
      <c r="M2616" t="s">
        <v>19177</v>
      </c>
      <c r="N2616" t="s">
        <v>531</v>
      </c>
      <c r="O2616" t="s">
        <v>531</v>
      </c>
      <c r="P2616" t="s">
        <v>454</v>
      </c>
    </row>
    <row r="2617">
      <c r="A2617">
        <f>HYPERLINK("http://bombeiros.sp.gov.br/hidrantes/03individual/5252.html","5252")</f>
      </c>
      <c r="B2617" t="s">
        <v>454</v>
      </c>
      <c r="C2617" t="s">
        <v>531</v>
      </c>
      <c r="D2617" t="s">
        <v>532</v>
      </c>
      <c r="E2617" t="s">
        <v>15</v>
      </c>
      <c r="F2617" t="s">
        <v>541</v>
      </c>
      <c r="G2617" t="s">
        <v>18124</v>
      </c>
      <c r="H2617" t="s">
        <v>1121</v>
      </c>
      <c r="I2617" t="s">
        <v>1117</v>
      </c>
      <c r="J2617" t="s">
        <v>543</v>
      </c>
      <c r="K2617" t="s">
        <v>544</v>
      </c>
      <c r="L2617" t="s">
        <v>21</v>
      </c>
      <c r="M2617" t="s">
        <v>19177</v>
      </c>
      <c r="N2617" t="s">
        <v>531</v>
      </c>
      <c r="O2617" t="s">
        <v>531</v>
      </c>
      <c r="P2617" t="s">
        <v>454</v>
      </c>
    </row>
    <row r="2618">
      <c r="A2618">
        <f>HYPERLINK("http://bombeiros.sp.gov.br/hidrantes/03individual/28431.html","28431")</f>
      </c>
      <c r="B2618" t="s">
        <v>454</v>
      </c>
      <c r="C2618" t="s">
        <v>531</v>
      </c>
      <c r="D2618" t="s">
        <v>532</v>
      </c>
      <c r="E2618" t="s">
        <v>15</v>
      </c>
      <c r="F2618" t="s">
        <v>18802</v>
      </c>
      <c r="G2618"/>
      <c r="H2618"/>
      <c r="I2618" t="s">
        <v>1503</v>
      </c>
      <c r="J2618" t="s">
        <v>18803</v>
      </c>
      <c r="K2618" t="s">
        <v>18804</v>
      </c>
      <c r="L2618" t="s">
        <v>21</v>
      </c>
      <c r="M2618" t="s">
        <v>19177</v>
      </c>
      <c r="N2618" t="s">
        <v>531</v>
      </c>
      <c r="O2618" t="s">
        <v>531</v>
      </c>
      <c r="P2618" t="s">
        <v>454</v>
      </c>
    </row>
    <row r="2619">
      <c r="A2619">
        <f>HYPERLINK("http://bombeiros.sp.gov.br/hidrantes/03individual/892.html","892")</f>
      </c>
      <c r="B2619" t="s">
        <v>454</v>
      </c>
      <c r="C2619" t="s">
        <v>531</v>
      </c>
      <c r="D2619" t="s">
        <v>8378</v>
      </c>
      <c r="E2619" t="s">
        <v>64</v>
      </c>
      <c r="F2619" t="s">
        <v>8379</v>
      </c>
      <c r="G2619" t="s">
        <v>18043</v>
      </c>
      <c r="H2619" t="s">
        <v>1107</v>
      </c>
      <c r="I2619" t="s">
        <v>1108</v>
      </c>
      <c r="J2619" t="s">
        <v>8380</v>
      </c>
      <c r="K2619" t="s">
        <v>8381</v>
      </c>
      <c r="L2619" t="s">
        <v>21</v>
      </c>
      <c r="M2619" t="s">
        <v>19177</v>
      </c>
      <c r="N2619" t="s">
        <v>531</v>
      </c>
      <c r="O2619" t="s">
        <v>531</v>
      </c>
      <c r="P2619" t="s">
        <v>454</v>
      </c>
    </row>
    <row r="2620">
      <c r="A2620">
        <f>HYPERLINK("http://bombeiros.sp.gov.br/hidrantes/03individual/2586.html","2586")</f>
      </c>
      <c r="B2620" t="s">
        <v>454</v>
      </c>
      <c r="C2620" t="s">
        <v>531</v>
      </c>
      <c r="D2620" t="s">
        <v>8378</v>
      </c>
      <c r="E2620" t="s">
        <v>64</v>
      </c>
      <c r="F2620" t="s">
        <v>8382</v>
      </c>
      <c r="G2620" t="s">
        <v>18043</v>
      </c>
      <c r="H2620" t="s">
        <v>1107</v>
      </c>
      <c r="I2620" t="s">
        <v>1108</v>
      </c>
      <c r="J2620" t="s">
        <v>8383</v>
      </c>
      <c r="K2620" t="s">
        <v>8384</v>
      </c>
      <c r="L2620" t="s">
        <v>21</v>
      </c>
      <c r="M2620" t="s">
        <v>19177</v>
      </c>
      <c r="N2620" t="s">
        <v>531</v>
      </c>
      <c r="O2620" t="s">
        <v>531</v>
      </c>
      <c r="P2620" t="s">
        <v>454</v>
      </c>
    </row>
    <row r="2621">
      <c r="A2621">
        <f>HYPERLINK("http://bombeiros.sp.gov.br/hidrantes/03individual/534.html","534")</f>
      </c>
      <c r="B2621" t="s">
        <v>454</v>
      </c>
      <c r="C2621" t="s">
        <v>531</v>
      </c>
      <c r="D2621" t="s">
        <v>8378</v>
      </c>
      <c r="E2621" t="s">
        <v>15</v>
      </c>
      <c r="F2621" t="s">
        <v>8385</v>
      </c>
      <c r="G2621" t="s">
        <v>18203</v>
      </c>
      <c r="H2621" t="s">
        <v>1107</v>
      </c>
      <c r="I2621" t="s">
        <v>1108</v>
      </c>
      <c r="J2621" t="s">
        <v>8386</v>
      </c>
      <c r="K2621" t="s">
        <v>8387</v>
      </c>
      <c r="L2621" t="s">
        <v>21</v>
      </c>
      <c r="M2621" t="s">
        <v>19177</v>
      </c>
      <c r="N2621" t="s">
        <v>531</v>
      </c>
      <c r="O2621" t="s">
        <v>531</v>
      </c>
      <c r="P2621" t="s">
        <v>454</v>
      </c>
    </row>
    <row r="2622">
      <c r="A2622">
        <f>HYPERLINK("http://bombeiros.sp.gov.br/hidrantes/03individual/563.html","563")</f>
      </c>
      <c r="B2622" t="s">
        <v>454</v>
      </c>
      <c r="C2622" t="s">
        <v>531</v>
      </c>
      <c r="D2622" t="s">
        <v>8378</v>
      </c>
      <c r="E2622" t="s">
        <v>15</v>
      </c>
      <c r="F2622" t="s">
        <v>8388</v>
      </c>
      <c r="G2622" t="s">
        <v>18182</v>
      </c>
      <c r="H2622" t="s">
        <v>1112</v>
      </c>
      <c r="I2622" t="s">
        <v>1108</v>
      </c>
      <c r="J2622" t="s">
        <v>8389</v>
      </c>
      <c r="K2622" t="s">
        <v>8390</v>
      </c>
      <c r="L2622" t="s">
        <v>21</v>
      </c>
      <c r="M2622" t="s">
        <v>19177</v>
      </c>
      <c r="N2622" t="s">
        <v>531</v>
      </c>
      <c r="O2622" t="s">
        <v>531</v>
      </c>
      <c r="P2622" t="s">
        <v>454</v>
      </c>
    </row>
    <row r="2623">
      <c r="A2623">
        <f>HYPERLINK("http://bombeiros.sp.gov.br/hidrantes/03individual/2570.html","2570")</f>
      </c>
      <c r="B2623" t="s">
        <v>454</v>
      </c>
      <c r="C2623" t="s">
        <v>531</v>
      </c>
      <c r="D2623" t="s">
        <v>8378</v>
      </c>
      <c r="E2623" t="s">
        <v>15</v>
      </c>
      <c r="F2623" t="s">
        <v>8391</v>
      </c>
      <c r="G2623" t="s">
        <v>18043</v>
      </c>
      <c r="H2623" t="s">
        <v>1107</v>
      </c>
      <c r="I2623" t="s">
        <v>1108</v>
      </c>
      <c r="J2623" t="s">
        <v>8392</v>
      </c>
      <c r="K2623" t="s">
        <v>8393</v>
      </c>
      <c r="L2623" t="s">
        <v>21</v>
      </c>
      <c r="M2623" t="s">
        <v>19177</v>
      </c>
      <c r="N2623" t="s">
        <v>531</v>
      </c>
      <c r="O2623" t="s">
        <v>531</v>
      </c>
      <c r="P2623" t="s">
        <v>454</v>
      </c>
    </row>
    <row r="2624">
      <c r="A2624">
        <f>HYPERLINK("http://bombeiros.sp.gov.br/hidrantes/03individual/2745.html","2745")</f>
      </c>
      <c r="B2624" t="s">
        <v>454</v>
      </c>
      <c r="C2624" t="s">
        <v>531</v>
      </c>
      <c r="D2624" t="s">
        <v>8378</v>
      </c>
      <c r="E2624" t="s">
        <v>15</v>
      </c>
      <c r="F2624" t="s">
        <v>8394</v>
      </c>
      <c r="G2624" t="s">
        <v>18201</v>
      </c>
      <c r="H2624" t="s">
        <v>1107</v>
      </c>
      <c r="I2624" t="s">
        <v>1108</v>
      </c>
      <c r="J2624" t="s">
        <v>8395</v>
      </c>
      <c r="K2624" t="s">
        <v>8396</v>
      </c>
      <c r="L2624" t="s">
        <v>36</v>
      </c>
      <c r="M2624" t="s">
        <v>19177</v>
      </c>
      <c r="N2624" t="s">
        <v>531</v>
      </c>
      <c r="O2624" t="s">
        <v>531</v>
      </c>
      <c r="P2624" t="s">
        <v>454</v>
      </c>
    </row>
    <row r="2625">
      <c r="A2625">
        <f>HYPERLINK("http://bombeiros.sp.gov.br/hidrantes/03individual/908.html","908")</f>
      </c>
      <c r="B2625" t="s">
        <v>454</v>
      </c>
      <c r="C2625" t="s">
        <v>531</v>
      </c>
      <c r="D2625" t="s">
        <v>549</v>
      </c>
      <c r="E2625" t="s">
        <v>64</v>
      </c>
      <c r="F2625" t="s">
        <v>8397</v>
      </c>
      <c r="G2625" t="s">
        <v>18105</v>
      </c>
      <c r="H2625" t="s">
        <v>1112</v>
      </c>
      <c r="I2625" t="s">
        <v>1108</v>
      </c>
      <c r="J2625" t="s">
        <v>8398</v>
      </c>
      <c r="K2625" t="s">
        <v>8399</v>
      </c>
      <c r="L2625" t="s">
        <v>21</v>
      </c>
      <c r="M2625" t="s">
        <v>19177</v>
      </c>
      <c r="N2625" t="s">
        <v>531</v>
      </c>
      <c r="O2625" t="s">
        <v>531</v>
      </c>
      <c r="P2625" t="s">
        <v>454</v>
      </c>
    </row>
    <row r="2626">
      <c r="A2626">
        <f>HYPERLINK("http://bombeiros.sp.gov.br/hidrantes/03individual/3558.html","3558")</f>
      </c>
      <c r="B2626" t="s">
        <v>454</v>
      </c>
      <c r="C2626" t="s">
        <v>531</v>
      </c>
      <c r="D2626" t="s">
        <v>549</v>
      </c>
      <c r="E2626" t="s">
        <v>64</v>
      </c>
      <c r="F2626" t="s">
        <v>8400</v>
      </c>
      <c r="G2626" t="s">
        <v>18184</v>
      </c>
      <c r="H2626" t="s">
        <v>1112</v>
      </c>
      <c r="I2626" t="s">
        <v>1108</v>
      </c>
      <c r="J2626" t="s">
        <v>16119</v>
      </c>
      <c r="K2626" t="s">
        <v>16120</v>
      </c>
      <c r="L2626" t="s">
        <v>36</v>
      </c>
      <c r="M2626" t="s">
        <v>19177</v>
      </c>
      <c r="N2626" t="s">
        <v>531</v>
      </c>
      <c r="O2626" t="s">
        <v>531</v>
      </c>
      <c r="P2626" t="s">
        <v>454</v>
      </c>
    </row>
    <row r="2627">
      <c r="A2627">
        <f>HYPERLINK("http://bombeiros.sp.gov.br/hidrantes/03individual/3562.html","3562")</f>
      </c>
      <c r="B2627" t="s">
        <v>454</v>
      </c>
      <c r="C2627" t="s">
        <v>531</v>
      </c>
      <c r="D2627" t="s">
        <v>549</v>
      </c>
      <c r="E2627" t="s">
        <v>64</v>
      </c>
      <c r="F2627" t="s">
        <v>8403</v>
      </c>
      <c r="G2627" t="s">
        <v>18202</v>
      </c>
      <c r="H2627" t="s">
        <v>1107</v>
      </c>
      <c r="I2627" t="s">
        <v>1108</v>
      </c>
      <c r="J2627" t="s">
        <v>8404</v>
      </c>
      <c r="K2627" t="s">
        <v>8405</v>
      </c>
      <c r="L2627" t="s">
        <v>36</v>
      </c>
      <c r="M2627" t="s">
        <v>19177</v>
      </c>
      <c r="N2627" t="s">
        <v>531</v>
      </c>
      <c r="O2627" t="s">
        <v>531</v>
      </c>
      <c r="P2627" t="s">
        <v>454</v>
      </c>
    </row>
    <row r="2628">
      <c r="A2628">
        <f>HYPERLINK("http://bombeiros.sp.gov.br/hidrantes/03individual/3563.html","3563")</f>
      </c>
      <c r="B2628" t="s">
        <v>454</v>
      </c>
      <c r="C2628" t="s">
        <v>531</v>
      </c>
      <c r="D2628" t="s">
        <v>549</v>
      </c>
      <c r="E2628" t="s">
        <v>64</v>
      </c>
      <c r="F2628" t="s">
        <v>8406</v>
      </c>
      <c r="G2628" t="s">
        <v>18554</v>
      </c>
      <c r="H2628" t="s">
        <v>1107</v>
      </c>
      <c r="I2628" t="s">
        <v>1108</v>
      </c>
      <c r="J2628" t="s">
        <v>8407</v>
      </c>
      <c r="K2628" t="s">
        <v>8408</v>
      </c>
      <c r="L2628" t="s">
        <v>21</v>
      </c>
      <c r="M2628" t="s">
        <v>19177</v>
      </c>
      <c r="N2628" t="s">
        <v>531</v>
      </c>
      <c r="O2628" t="s">
        <v>531</v>
      </c>
      <c r="P2628" t="s">
        <v>454</v>
      </c>
    </row>
    <row r="2629">
      <c r="A2629">
        <f>HYPERLINK("http://bombeiros.sp.gov.br/hidrantes/03individual/3565.html","3565")</f>
      </c>
      <c r="B2629" t="s">
        <v>454</v>
      </c>
      <c r="C2629" t="s">
        <v>531</v>
      </c>
      <c r="D2629" t="s">
        <v>549</v>
      </c>
      <c r="E2629" t="s">
        <v>64</v>
      </c>
      <c r="F2629" t="s">
        <v>8409</v>
      </c>
      <c r="G2629" t="s">
        <v>18071</v>
      </c>
      <c r="H2629" t="s">
        <v>1174</v>
      </c>
      <c r="I2629" t="s">
        <v>1117</v>
      </c>
      <c r="J2629" t="s">
        <v>8410</v>
      </c>
      <c r="K2629" t="s">
        <v>8411</v>
      </c>
      <c r="L2629" t="s">
        <v>36</v>
      </c>
      <c r="M2629" t="s">
        <v>19177</v>
      </c>
      <c r="N2629" t="s">
        <v>531</v>
      </c>
      <c r="O2629" t="s">
        <v>531</v>
      </c>
      <c r="P2629" t="s">
        <v>454</v>
      </c>
    </row>
    <row r="2630">
      <c r="A2630">
        <f>HYPERLINK("http://bombeiros.sp.gov.br/hidrantes/03individual/3566.html","3566")</f>
      </c>
      <c r="B2630" t="s">
        <v>454</v>
      </c>
      <c r="C2630" t="s">
        <v>531</v>
      </c>
      <c r="D2630" t="s">
        <v>549</v>
      </c>
      <c r="E2630" t="s">
        <v>64</v>
      </c>
      <c r="F2630" t="s">
        <v>8412</v>
      </c>
      <c r="G2630" t="s">
        <v>18096</v>
      </c>
      <c r="H2630" t="s">
        <v>1112</v>
      </c>
      <c r="I2630" t="s">
        <v>1108</v>
      </c>
      <c r="J2630" t="s">
        <v>8413</v>
      </c>
      <c r="K2630" t="s">
        <v>8414</v>
      </c>
      <c r="L2630" t="s">
        <v>36</v>
      </c>
      <c r="M2630" t="s">
        <v>19177</v>
      </c>
      <c r="N2630" t="s">
        <v>531</v>
      </c>
      <c r="O2630" t="s">
        <v>531</v>
      </c>
      <c r="P2630" t="s">
        <v>454</v>
      </c>
    </row>
    <row r="2631">
      <c r="A2631">
        <f>HYPERLINK("http://bombeiros.sp.gov.br/hidrantes/03individual/3581.html","3581")</f>
      </c>
      <c r="B2631" t="s">
        <v>454</v>
      </c>
      <c r="C2631" t="s">
        <v>531</v>
      </c>
      <c r="D2631" t="s">
        <v>549</v>
      </c>
      <c r="E2631" t="s">
        <v>64</v>
      </c>
      <c r="F2631" t="s">
        <v>8415</v>
      </c>
      <c r="G2631" t="s">
        <v>18071</v>
      </c>
      <c r="H2631" t="s">
        <v>1107</v>
      </c>
      <c r="I2631" t="s">
        <v>1108</v>
      </c>
      <c r="J2631" t="s">
        <v>8416</v>
      </c>
      <c r="K2631" t="s">
        <v>8417</v>
      </c>
      <c r="L2631" t="s">
        <v>36</v>
      </c>
      <c r="M2631" t="s">
        <v>19177</v>
      </c>
      <c r="N2631" t="s">
        <v>531</v>
      </c>
      <c r="O2631" t="s">
        <v>531</v>
      </c>
      <c r="P2631" t="s">
        <v>454</v>
      </c>
    </row>
    <row r="2632">
      <c r="A2632">
        <f>HYPERLINK("http://bombeiros.sp.gov.br/hidrantes/03individual/3583.html","3583")</f>
      </c>
      <c r="B2632" t="s">
        <v>454</v>
      </c>
      <c r="C2632" t="s">
        <v>531</v>
      </c>
      <c r="D2632" t="s">
        <v>549</v>
      </c>
      <c r="E2632" t="s">
        <v>64</v>
      </c>
      <c r="F2632" t="s">
        <v>8418</v>
      </c>
      <c r="G2632" t="s">
        <v>18554</v>
      </c>
      <c r="H2632" t="s">
        <v>1107</v>
      </c>
      <c r="I2632" t="s">
        <v>1108</v>
      </c>
      <c r="J2632" t="s">
        <v>8419</v>
      </c>
      <c r="K2632" t="s">
        <v>8420</v>
      </c>
      <c r="L2632" t="s">
        <v>36</v>
      </c>
      <c r="M2632" t="s">
        <v>19177</v>
      </c>
      <c r="N2632" t="s">
        <v>531</v>
      </c>
      <c r="O2632" t="s">
        <v>531</v>
      </c>
      <c r="P2632" t="s">
        <v>454</v>
      </c>
    </row>
    <row r="2633">
      <c r="A2633">
        <f>HYPERLINK("http://bombeiros.sp.gov.br/hidrantes/03individual/532.html","532")</f>
      </c>
      <c r="B2633" t="s">
        <v>454</v>
      </c>
      <c r="C2633" t="s">
        <v>531</v>
      </c>
      <c r="D2633" t="s">
        <v>549</v>
      </c>
      <c r="E2633" t="s">
        <v>15</v>
      </c>
      <c r="F2633" t="s">
        <v>8421</v>
      </c>
      <c r="G2633" t="s">
        <v>18071</v>
      </c>
      <c r="H2633" t="s">
        <v>1121</v>
      </c>
      <c r="I2633" t="s">
        <v>1117</v>
      </c>
      <c r="J2633" t="s">
        <v>8422</v>
      </c>
      <c r="K2633" t="s">
        <v>8423</v>
      </c>
      <c r="L2633" t="s">
        <v>21</v>
      </c>
      <c r="M2633" t="s">
        <v>19177</v>
      </c>
      <c r="N2633" t="s">
        <v>531</v>
      </c>
      <c r="O2633" t="s">
        <v>531</v>
      </c>
      <c r="P2633" t="s">
        <v>454</v>
      </c>
    </row>
    <row r="2634">
      <c r="A2634">
        <f>HYPERLINK("http://bombeiros.sp.gov.br/hidrantes/03individual/533.html","533")</f>
      </c>
      <c r="B2634" t="s">
        <v>454</v>
      </c>
      <c r="C2634" t="s">
        <v>531</v>
      </c>
      <c r="D2634" t="s">
        <v>549</v>
      </c>
      <c r="E2634" t="s">
        <v>15</v>
      </c>
      <c r="F2634" t="s">
        <v>8424</v>
      </c>
      <c r="G2634" t="s">
        <v>18105</v>
      </c>
      <c r="H2634" t="s">
        <v>1112</v>
      </c>
      <c r="I2634" t="s">
        <v>1108</v>
      </c>
      <c r="J2634" t="s">
        <v>16645</v>
      </c>
      <c r="K2634" t="s">
        <v>16646</v>
      </c>
      <c r="L2634" t="s">
        <v>21</v>
      </c>
      <c r="M2634" t="s">
        <v>19177</v>
      </c>
      <c r="N2634" t="s">
        <v>531</v>
      </c>
      <c r="O2634" t="s">
        <v>531</v>
      </c>
      <c r="P2634" t="s">
        <v>454</v>
      </c>
    </row>
    <row r="2635">
      <c r="A2635">
        <f>HYPERLINK("http://bombeiros.sp.gov.br/hidrantes/03individual/576.html","576")</f>
      </c>
      <c r="B2635" t="s">
        <v>454</v>
      </c>
      <c r="C2635" t="s">
        <v>531</v>
      </c>
      <c r="D2635" t="s">
        <v>549</v>
      </c>
      <c r="E2635" t="s">
        <v>15</v>
      </c>
      <c r="F2635" t="s">
        <v>8427</v>
      </c>
      <c r="G2635" t="s">
        <v>18554</v>
      </c>
      <c r="H2635" t="s">
        <v>1112</v>
      </c>
      <c r="I2635" t="s">
        <v>1108</v>
      </c>
      <c r="J2635" t="s">
        <v>8428</v>
      </c>
      <c r="K2635" t="s">
        <v>8429</v>
      </c>
      <c r="L2635" t="s">
        <v>36</v>
      </c>
      <c r="M2635" t="s">
        <v>19177</v>
      </c>
      <c r="N2635" t="s">
        <v>531</v>
      </c>
      <c r="O2635" t="s">
        <v>531</v>
      </c>
      <c r="P2635" t="s">
        <v>454</v>
      </c>
    </row>
    <row r="2636">
      <c r="A2636">
        <f>HYPERLINK("http://bombeiros.sp.gov.br/hidrantes/03individual/669.html","669")</f>
      </c>
      <c r="B2636" t="s">
        <v>454</v>
      </c>
      <c r="C2636" t="s">
        <v>531</v>
      </c>
      <c r="D2636" t="s">
        <v>549</v>
      </c>
      <c r="E2636" t="s">
        <v>15</v>
      </c>
      <c r="F2636" t="s">
        <v>8430</v>
      </c>
      <c r="G2636" t="s">
        <v>18125</v>
      </c>
      <c r="H2636" t="s">
        <v>1174</v>
      </c>
      <c r="I2636" t="s">
        <v>1108</v>
      </c>
      <c r="J2636" t="s">
        <v>8431</v>
      </c>
      <c r="K2636" t="s">
        <v>8432</v>
      </c>
      <c r="L2636" t="s">
        <v>21</v>
      </c>
      <c r="M2636" t="s">
        <v>19177</v>
      </c>
      <c r="N2636" t="s">
        <v>531</v>
      </c>
      <c r="O2636" t="s">
        <v>531</v>
      </c>
      <c r="P2636" t="s">
        <v>454</v>
      </c>
    </row>
    <row r="2637">
      <c r="A2637">
        <f>HYPERLINK("http://bombeiros.sp.gov.br/hidrantes/03individual/747.html","747")</f>
      </c>
      <c r="B2637" t="s">
        <v>454</v>
      </c>
      <c r="C2637" t="s">
        <v>531</v>
      </c>
      <c r="D2637" t="s">
        <v>549</v>
      </c>
      <c r="E2637" t="s">
        <v>15</v>
      </c>
      <c r="F2637" t="s">
        <v>8433</v>
      </c>
      <c r="G2637" t="s">
        <v>18085</v>
      </c>
      <c r="H2637" t="s">
        <v>1174</v>
      </c>
      <c r="I2637" t="s">
        <v>1108</v>
      </c>
      <c r="J2637" t="s">
        <v>8434</v>
      </c>
      <c r="K2637" t="s">
        <v>8435</v>
      </c>
      <c r="L2637" t="s">
        <v>21</v>
      </c>
      <c r="M2637" t="s">
        <v>19177</v>
      </c>
      <c r="N2637" t="s">
        <v>531</v>
      </c>
      <c r="O2637" t="s">
        <v>531</v>
      </c>
      <c r="P2637" t="s">
        <v>454</v>
      </c>
    </row>
    <row r="2638">
      <c r="A2638">
        <f>HYPERLINK("http://bombeiros.sp.gov.br/hidrantes/03individual/749.html","749")</f>
      </c>
      <c r="B2638" t="s">
        <v>454</v>
      </c>
      <c r="C2638" t="s">
        <v>531</v>
      </c>
      <c r="D2638" t="s">
        <v>549</v>
      </c>
      <c r="E2638" t="s">
        <v>15</v>
      </c>
      <c r="F2638" t="s">
        <v>8436</v>
      </c>
      <c r="G2638" t="s">
        <v>18126</v>
      </c>
      <c r="H2638" t="s">
        <v>1112</v>
      </c>
      <c r="I2638" t="s">
        <v>1108</v>
      </c>
      <c r="J2638" t="s">
        <v>8437</v>
      </c>
      <c r="K2638" t="s">
        <v>8438</v>
      </c>
      <c r="L2638" t="s">
        <v>36</v>
      </c>
      <c r="M2638" t="s">
        <v>19177</v>
      </c>
      <c r="N2638" t="s">
        <v>531</v>
      </c>
      <c r="O2638" t="s">
        <v>531</v>
      </c>
      <c r="P2638" t="s">
        <v>454</v>
      </c>
    </row>
    <row r="2639">
      <c r="A2639">
        <f>HYPERLINK("http://bombeiros.sp.gov.br/hidrantes/03individual/751.html","751")</f>
      </c>
      <c r="B2639" t="s">
        <v>454</v>
      </c>
      <c r="C2639" t="s">
        <v>531</v>
      </c>
      <c r="D2639" t="s">
        <v>549</v>
      </c>
      <c r="E2639" t="s">
        <v>15</v>
      </c>
      <c r="F2639" t="s">
        <v>8439</v>
      </c>
      <c r="G2639" t="s">
        <v>18069</v>
      </c>
      <c r="H2639" t="s">
        <v>1174</v>
      </c>
      <c r="I2639" t="s">
        <v>1108</v>
      </c>
      <c r="J2639" t="s">
        <v>8440</v>
      </c>
      <c r="K2639" t="s">
        <v>8441</v>
      </c>
      <c r="L2639" t="s">
        <v>21</v>
      </c>
      <c r="M2639" t="s">
        <v>19177</v>
      </c>
      <c r="N2639" t="s">
        <v>531</v>
      </c>
      <c r="O2639" t="s">
        <v>531</v>
      </c>
      <c r="P2639" t="s">
        <v>454</v>
      </c>
    </row>
    <row r="2640">
      <c r="A2640">
        <f>HYPERLINK("http://bombeiros.sp.gov.br/hidrantes/03individual/857.html","857")</f>
      </c>
      <c r="B2640" t="s">
        <v>454</v>
      </c>
      <c r="C2640" t="s">
        <v>531</v>
      </c>
      <c r="D2640" t="s">
        <v>549</v>
      </c>
      <c r="E2640" t="s">
        <v>15</v>
      </c>
      <c r="F2640" t="s">
        <v>8442</v>
      </c>
      <c r="G2640" t="s">
        <v>18147</v>
      </c>
      <c r="H2640" t="s">
        <v>1107</v>
      </c>
      <c r="I2640" t="s">
        <v>1108</v>
      </c>
      <c r="J2640" t="s">
        <v>8443</v>
      </c>
      <c r="K2640" t="s">
        <v>8444</v>
      </c>
      <c r="L2640" t="s">
        <v>36</v>
      </c>
      <c r="M2640" t="s">
        <v>19177</v>
      </c>
      <c r="N2640" t="s">
        <v>531</v>
      </c>
      <c r="O2640" t="s">
        <v>531</v>
      </c>
      <c r="P2640" t="s">
        <v>454</v>
      </c>
    </row>
    <row r="2641">
      <c r="A2641">
        <f>HYPERLINK("http://bombeiros.sp.gov.br/hidrantes/03individual/906.html","906")</f>
      </c>
      <c r="B2641" t="s">
        <v>454</v>
      </c>
      <c r="C2641" t="s">
        <v>531</v>
      </c>
      <c r="D2641" t="s">
        <v>549</v>
      </c>
      <c r="E2641" t="s">
        <v>15</v>
      </c>
      <c r="F2641" t="s">
        <v>8445</v>
      </c>
      <c r="G2641" t="s">
        <v>18105</v>
      </c>
      <c r="H2641" t="s">
        <v>1174</v>
      </c>
      <c r="I2641" t="s">
        <v>1117</v>
      </c>
      <c r="J2641" t="s">
        <v>8446</v>
      </c>
      <c r="K2641" t="s">
        <v>8447</v>
      </c>
      <c r="L2641" t="s">
        <v>21</v>
      </c>
      <c r="M2641" t="s">
        <v>19177</v>
      </c>
      <c r="N2641" t="s">
        <v>531</v>
      </c>
      <c r="O2641" t="s">
        <v>531</v>
      </c>
      <c r="P2641" t="s">
        <v>454</v>
      </c>
    </row>
    <row r="2642">
      <c r="A2642">
        <f>HYPERLINK("http://bombeiros.sp.gov.br/hidrantes/03individual/910.html","910")</f>
      </c>
      <c r="B2642" t="s">
        <v>454</v>
      </c>
      <c r="C2642" t="s">
        <v>531</v>
      </c>
      <c r="D2642" t="s">
        <v>549</v>
      </c>
      <c r="E2642" t="s">
        <v>15</v>
      </c>
      <c r="F2642" t="s">
        <v>8448</v>
      </c>
      <c r="G2642" t="s">
        <v>18105</v>
      </c>
      <c r="H2642" t="s">
        <v>1112</v>
      </c>
      <c r="I2642" t="s">
        <v>1108</v>
      </c>
      <c r="J2642" t="s">
        <v>8449</v>
      </c>
      <c r="K2642" t="s">
        <v>8450</v>
      </c>
      <c r="L2642" t="s">
        <v>21</v>
      </c>
      <c r="M2642" t="s">
        <v>19177</v>
      </c>
      <c r="N2642" t="s">
        <v>531</v>
      </c>
      <c r="O2642" t="s">
        <v>531</v>
      </c>
      <c r="P2642" t="s">
        <v>454</v>
      </c>
    </row>
    <row r="2643">
      <c r="A2643">
        <f>HYPERLINK("http://bombeiros.sp.gov.br/hidrantes/03individual/3559.html","3559")</f>
      </c>
      <c r="B2643" t="s">
        <v>454</v>
      </c>
      <c r="C2643" t="s">
        <v>531</v>
      </c>
      <c r="D2643" t="s">
        <v>549</v>
      </c>
      <c r="E2643" t="s">
        <v>15</v>
      </c>
      <c r="F2643" t="s">
        <v>550</v>
      </c>
      <c r="G2643" t="s">
        <v>18184</v>
      </c>
      <c r="H2643"/>
      <c r="I2643" t="s">
        <v>18</v>
      </c>
      <c r="J2643" t="s">
        <v>551</v>
      </c>
      <c r="K2643" t="s">
        <v>552</v>
      </c>
      <c r="L2643" t="s">
        <v>36</v>
      </c>
      <c r="M2643" t="s">
        <v>19177</v>
      </c>
      <c r="N2643" t="s">
        <v>531</v>
      </c>
      <c r="O2643" t="s">
        <v>531</v>
      </c>
      <c r="P2643" t="s">
        <v>454</v>
      </c>
    </row>
    <row r="2644">
      <c r="A2644">
        <f>HYPERLINK("http://bombeiros.sp.gov.br/hidrantes/03individual/3873.html","3873")</f>
      </c>
      <c r="B2644" t="s">
        <v>454</v>
      </c>
      <c r="C2644" t="s">
        <v>531</v>
      </c>
      <c r="D2644" t="s">
        <v>549</v>
      </c>
      <c r="E2644" t="s">
        <v>15</v>
      </c>
      <c r="F2644" t="s">
        <v>8451</v>
      </c>
      <c r="G2644" t="s">
        <v>18089</v>
      </c>
      <c r="H2644" t="s">
        <v>1112</v>
      </c>
      <c r="I2644" t="s">
        <v>1108</v>
      </c>
      <c r="J2644" t="s">
        <v>8452</v>
      </c>
      <c r="K2644" t="s">
        <v>8453</v>
      </c>
      <c r="L2644" t="s">
        <v>21</v>
      </c>
      <c r="M2644" t="s">
        <v>19177</v>
      </c>
      <c r="N2644" t="s">
        <v>531</v>
      </c>
      <c r="O2644" t="s">
        <v>531</v>
      </c>
      <c r="P2644" t="s">
        <v>454</v>
      </c>
    </row>
    <row r="2645">
      <c r="A2645">
        <f>HYPERLINK("http://bombeiros.sp.gov.br/hidrantes/03individual/4378.html","4378")</f>
      </c>
      <c r="B2645" t="s">
        <v>454</v>
      </c>
      <c r="C2645" t="s">
        <v>531</v>
      </c>
      <c r="D2645" t="s">
        <v>549</v>
      </c>
      <c r="E2645" t="s">
        <v>15</v>
      </c>
      <c r="F2645" t="s">
        <v>8454</v>
      </c>
      <c r="G2645" t="s">
        <v>18071</v>
      </c>
      <c r="H2645" t="s">
        <v>1107</v>
      </c>
      <c r="I2645" t="s">
        <v>1108</v>
      </c>
      <c r="J2645" t="s">
        <v>8455</v>
      </c>
      <c r="K2645" t="s">
        <v>8456</v>
      </c>
      <c r="L2645" t="s">
        <v>21</v>
      </c>
      <c r="M2645" t="s">
        <v>19177</v>
      </c>
      <c r="N2645" t="s">
        <v>531</v>
      </c>
      <c r="O2645" t="s">
        <v>531</v>
      </c>
      <c r="P2645" t="s">
        <v>454</v>
      </c>
    </row>
    <row r="2646">
      <c r="A2646">
        <f>HYPERLINK("http://bombeiros.sp.gov.br/hidrantes/03individual/5249.html","5249")</f>
      </c>
      <c r="B2646" t="s">
        <v>454</v>
      </c>
      <c r="C2646" t="s">
        <v>531</v>
      </c>
      <c r="D2646" t="s">
        <v>549</v>
      </c>
      <c r="E2646" t="s">
        <v>15</v>
      </c>
      <c r="F2646" t="s">
        <v>8457</v>
      </c>
      <c r="G2646" t="s">
        <v>18207</v>
      </c>
      <c r="H2646" t="s">
        <v>1107</v>
      </c>
      <c r="I2646" t="s">
        <v>1108</v>
      </c>
      <c r="J2646" t="s">
        <v>8458</v>
      </c>
      <c r="K2646" t="s">
        <v>8459</v>
      </c>
      <c r="L2646" t="s">
        <v>21</v>
      </c>
      <c r="M2646" t="s">
        <v>19177</v>
      </c>
      <c r="N2646" t="s">
        <v>531</v>
      </c>
      <c r="O2646" t="s">
        <v>531</v>
      </c>
      <c r="P2646" t="s">
        <v>454</v>
      </c>
    </row>
    <row r="2647">
      <c r="A2647">
        <f>HYPERLINK("http://bombeiros.sp.gov.br/hidrantes/03individual/17819.html","17819")</f>
      </c>
      <c r="B2647" t="s">
        <v>454</v>
      </c>
      <c r="C2647" t="s">
        <v>531</v>
      </c>
      <c r="D2647" t="s">
        <v>549</v>
      </c>
      <c r="E2647" t="s">
        <v>15</v>
      </c>
      <c r="F2647" t="s">
        <v>8460</v>
      </c>
      <c r="G2647" t="s">
        <v>18551</v>
      </c>
      <c r="H2647" t="s">
        <v>1112</v>
      </c>
      <c r="I2647" t="s">
        <v>1108</v>
      </c>
      <c r="J2647" t="s">
        <v>8461</v>
      </c>
      <c r="K2647" t="s">
        <v>8462</v>
      </c>
      <c r="L2647" t="s">
        <v>21</v>
      </c>
      <c r="M2647" t="s">
        <v>19177</v>
      </c>
      <c r="N2647" t="s">
        <v>531</v>
      </c>
      <c r="O2647" t="s">
        <v>531</v>
      </c>
      <c r="P2647" t="s">
        <v>454</v>
      </c>
    </row>
    <row r="2648">
      <c r="A2648">
        <f>HYPERLINK("http://bombeiros.sp.gov.br/hidrantes/03individual/17834.html","17834")</f>
      </c>
      <c r="B2648" t="s">
        <v>454</v>
      </c>
      <c r="C2648" t="s">
        <v>531</v>
      </c>
      <c r="D2648" t="s">
        <v>549</v>
      </c>
      <c r="E2648" t="s">
        <v>15</v>
      </c>
      <c r="F2648" t="s">
        <v>8463</v>
      </c>
      <c r="G2648" t="s">
        <v>18071</v>
      </c>
      <c r="H2648" t="s">
        <v>1112</v>
      </c>
      <c r="I2648" t="s">
        <v>1108</v>
      </c>
      <c r="J2648" t="s">
        <v>8464</v>
      </c>
      <c r="K2648" t="s">
        <v>8465</v>
      </c>
      <c r="L2648" t="s">
        <v>21</v>
      </c>
      <c r="M2648" t="s">
        <v>19177</v>
      </c>
      <c r="N2648" t="s">
        <v>531</v>
      </c>
      <c r="O2648" t="s">
        <v>531</v>
      </c>
      <c r="P2648" t="s">
        <v>454</v>
      </c>
    </row>
    <row r="2649">
      <c r="A2649">
        <f>HYPERLINK("http://bombeiros.sp.gov.br/hidrantes/03individual/2506.html","2506")</f>
      </c>
      <c r="B2649" t="s">
        <v>454</v>
      </c>
      <c r="C2649" t="s">
        <v>531</v>
      </c>
      <c r="D2649" t="s">
        <v>8466</v>
      </c>
      <c r="E2649" t="s">
        <v>64</v>
      </c>
      <c r="F2649" t="s">
        <v>8467</v>
      </c>
      <c r="G2649" t="s">
        <v>18126</v>
      </c>
      <c r="H2649" t="s">
        <v>1107</v>
      </c>
      <c r="I2649" t="s">
        <v>1108</v>
      </c>
      <c r="J2649" t="s">
        <v>8468</v>
      </c>
      <c r="K2649" t="s">
        <v>8469</v>
      </c>
      <c r="L2649" t="s">
        <v>21</v>
      </c>
      <c r="M2649" t="s">
        <v>19177</v>
      </c>
      <c r="N2649" t="s">
        <v>531</v>
      </c>
      <c r="O2649" t="s">
        <v>531</v>
      </c>
      <c r="P2649" t="s">
        <v>454</v>
      </c>
    </row>
    <row r="2650">
      <c r="A2650">
        <f>HYPERLINK("http://bombeiros.sp.gov.br/hidrantes/03individual/5611.html","5611")</f>
      </c>
      <c r="B2650" t="s">
        <v>454</v>
      </c>
      <c r="C2650" t="s">
        <v>531</v>
      </c>
      <c r="D2650" t="s">
        <v>8466</v>
      </c>
      <c r="E2650" t="s">
        <v>64</v>
      </c>
      <c r="F2650" t="s">
        <v>8470</v>
      </c>
      <c r="G2650" t="s">
        <v>18126</v>
      </c>
      <c r="H2650" t="s">
        <v>1107</v>
      </c>
      <c r="I2650" t="s">
        <v>1108</v>
      </c>
      <c r="J2650" t="s">
        <v>8471</v>
      </c>
      <c r="K2650" t="s">
        <v>8472</v>
      </c>
      <c r="L2650" t="s">
        <v>36</v>
      </c>
      <c r="M2650" t="s">
        <v>19177</v>
      </c>
      <c r="N2650" t="s">
        <v>531</v>
      </c>
      <c r="O2650" t="s">
        <v>531</v>
      </c>
      <c r="P2650" t="s">
        <v>454</v>
      </c>
    </row>
    <row r="2651">
      <c r="A2651">
        <f>HYPERLINK("http://bombeiros.sp.gov.br/hidrantes/03individual/16564.html","16564")</f>
      </c>
      <c r="B2651" t="s">
        <v>454</v>
      </c>
      <c r="C2651" t="s">
        <v>531</v>
      </c>
      <c r="D2651" t="s">
        <v>8466</v>
      </c>
      <c r="E2651" t="s">
        <v>64</v>
      </c>
      <c r="F2651" t="s">
        <v>8473</v>
      </c>
      <c r="G2651" t="s">
        <v>18126</v>
      </c>
      <c r="H2651" t="s">
        <v>1121</v>
      </c>
      <c r="I2651" t="s">
        <v>1117</v>
      </c>
      <c r="J2651" t="s">
        <v>8474</v>
      </c>
      <c r="K2651" t="s">
        <v>8475</v>
      </c>
      <c r="L2651" t="s">
        <v>21</v>
      </c>
      <c r="M2651" t="s">
        <v>19177</v>
      </c>
      <c r="N2651" t="s">
        <v>531</v>
      </c>
      <c r="O2651" t="s">
        <v>531</v>
      </c>
      <c r="P2651" t="s">
        <v>454</v>
      </c>
    </row>
    <row r="2652">
      <c r="A2652">
        <f>HYPERLINK("http://bombeiros.sp.gov.br/hidrantes/03individual/16565.html","16565")</f>
      </c>
      <c r="B2652" t="s">
        <v>454</v>
      </c>
      <c r="C2652" t="s">
        <v>531</v>
      </c>
      <c r="D2652" t="s">
        <v>8466</v>
      </c>
      <c r="E2652" t="s">
        <v>64</v>
      </c>
      <c r="F2652" t="s">
        <v>8476</v>
      </c>
      <c r="G2652" t="s">
        <v>18126</v>
      </c>
      <c r="H2652" t="s">
        <v>1121</v>
      </c>
      <c r="I2652" t="s">
        <v>1117</v>
      </c>
      <c r="J2652" t="s">
        <v>8477</v>
      </c>
      <c r="K2652" t="s">
        <v>8478</v>
      </c>
      <c r="L2652" t="s">
        <v>21</v>
      </c>
      <c r="M2652" t="s">
        <v>19177</v>
      </c>
      <c r="N2652" t="s">
        <v>531</v>
      </c>
      <c r="O2652" t="s">
        <v>531</v>
      </c>
      <c r="P2652" t="s">
        <v>454</v>
      </c>
    </row>
    <row r="2653">
      <c r="A2653">
        <f>HYPERLINK("http://bombeiros.sp.gov.br/hidrantes/03individual/2479.html","2479")</f>
      </c>
      <c r="B2653" t="s">
        <v>454</v>
      </c>
      <c r="C2653" t="s">
        <v>531</v>
      </c>
      <c r="D2653" t="s">
        <v>8466</v>
      </c>
      <c r="E2653" t="s">
        <v>15</v>
      </c>
      <c r="F2653" t="s">
        <v>8479</v>
      </c>
      <c r="G2653" t="s">
        <v>18126</v>
      </c>
      <c r="H2653" t="s">
        <v>1107</v>
      </c>
      <c r="I2653" t="s">
        <v>1108</v>
      </c>
      <c r="J2653" t="s">
        <v>8480</v>
      </c>
      <c r="K2653" t="s">
        <v>8481</v>
      </c>
      <c r="L2653" t="s">
        <v>21</v>
      </c>
      <c r="M2653" t="s">
        <v>19177</v>
      </c>
      <c r="N2653" t="s">
        <v>531</v>
      </c>
      <c r="O2653" t="s">
        <v>531</v>
      </c>
      <c r="P2653" t="s">
        <v>454</v>
      </c>
    </row>
    <row r="2654">
      <c r="A2654">
        <f>HYPERLINK("http://bombeiros.sp.gov.br/hidrantes/03individual/3567.html","3567")</f>
      </c>
      <c r="B2654" t="s">
        <v>454</v>
      </c>
      <c r="C2654" t="s">
        <v>531</v>
      </c>
      <c r="D2654" t="s">
        <v>553</v>
      </c>
      <c r="E2654" t="s">
        <v>64</v>
      </c>
      <c r="F2654" t="s">
        <v>8482</v>
      </c>
      <c r="G2654" t="s">
        <v>18125</v>
      </c>
      <c r="H2654" t="s">
        <v>1112</v>
      </c>
      <c r="I2654" t="s">
        <v>1108</v>
      </c>
      <c r="J2654" t="s">
        <v>8483</v>
      </c>
      <c r="K2654" t="s">
        <v>8484</v>
      </c>
      <c r="L2654" t="s">
        <v>36</v>
      </c>
      <c r="M2654" t="s">
        <v>19177</v>
      </c>
      <c r="N2654" t="s">
        <v>531</v>
      </c>
      <c r="O2654" t="s">
        <v>531</v>
      </c>
      <c r="P2654" t="s">
        <v>454</v>
      </c>
    </row>
    <row r="2655">
      <c r="A2655">
        <f>HYPERLINK("http://bombeiros.sp.gov.br/hidrantes/03individual/3574.html","3574")</f>
      </c>
      <c r="B2655" t="s">
        <v>454</v>
      </c>
      <c r="C2655" t="s">
        <v>531</v>
      </c>
      <c r="D2655" t="s">
        <v>553</v>
      </c>
      <c r="E2655" t="s">
        <v>64</v>
      </c>
      <c r="F2655" t="s">
        <v>8485</v>
      </c>
      <c r="G2655" t="s">
        <v>18132</v>
      </c>
      <c r="H2655" t="s">
        <v>1112</v>
      </c>
      <c r="I2655" t="s">
        <v>1108</v>
      </c>
      <c r="J2655" t="s">
        <v>8486</v>
      </c>
      <c r="K2655" t="s">
        <v>8487</v>
      </c>
      <c r="L2655" t="s">
        <v>36</v>
      </c>
      <c r="M2655" t="s">
        <v>19177</v>
      </c>
      <c r="N2655" t="s">
        <v>531</v>
      </c>
      <c r="O2655" t="s">
        <v>531</v>
      </c>
      <c r="P2655" t="s">
        <v>454</v>
      </c>
    </row>
    <row r="2656">
      <c r="A2656">
        <f>HYPERLINK("http://bombeiros.sp.gov.br/hidrantes/03individual/3576.html","3576")</f>
      </c>
      <c r="B2656" t="s">
        <v>454</v>
      </c>
      <c r="C2656" t="s">
        <v>531</v>
      </c>
      <c r="D2656" t="s">
        <v>553</v>
      </c>
      <c r="E2656" t="s">
        <v>64</v>
      </c>
      <c r="F2656" t="s">
        <v>554</v>
      </c>
      <c r="G2656" t="s">
        <v>18069</v>
      </c>
      <c r="H2656" t="s">
        <v>1121</v>
      </c>
      <c r="I2656" t="s">
        <v>1117</v>
      </c>
      <c r="J2656" t="s">
        <v>555</v>
      </c>
      <c r="K2656" t="s">
        <v>556</v>
      </c>
      <c r="L2656" t="s">
        <v>21</v>
      </c>
      <c r="M2656" t="s">
        <v>19177</v>
      </c>
      <c r="N2656" t="s">
        <v>531</v>
      </c>
      <c r="O2656" t="s">
        <v>531</v>
      </c>
      <c r="P2656" t="s">
        <v>454</v>
      </c>
    </row>
    <row r="2657">
      <c r="A2657">
        <f>HYPERLINK("http://bombeiros.sp.gov.br/hidrantes/03individual/3577.html","3577")</f>
      </c>
      <c r="B2657" t="s">
        <v>454</v>
      </c>
      <c r="C2657" t="s">
        <v>531</v>
      </c>
      <c r="D2657" t="s">
        <v>553</v>
      </c>
      <c r="E2657" t="s">
        <v>64</v>
      </c>
      <c r="F2657" t="s">
        <v>8488</v>
      </c>
      <c r="G2657" t="s">
        <v>18071</v>
      </c>
      <c r="H2657" t="s">
        <v>1112</v>
      </c>
      <c r="I2657" t="s">
        <v>1108</v>
      </c>
      <c r="J2657" t="s">
        <v>8489</v>
      </c>
      <c r="K2657" t="s">
        <v>8490</v>
      </c>
      <c r="L2657" t="s">
        <v>36</v>
      </c>
      <c r="M2657" t="s">
        <v>19177</v>
      </c>
      <c r="N2657" t="s">
        <v>531</v>
      </c>
      <c r="O2657" t="s">
        <v>531</v>
      </c>
      <c r="P2657" t="s">
        <v>454</v>
      </c>
    </row>
    <row r="2658">
      <c r="A2658">
        <f>HYPERLINK("http://bombeiros.sp.gov.br/hidrantes/03individual/28440.html","28440")</f>
      </c>
      <c r="B2658" t="s">
        <v>454</v>
      </c>
      <c r="C2658" t="s">
        <v>531</v>
      </c>
      <c r="D2658" t="s">
        <v>553</v>
      </c>
      <c r="E2658" t="s">
        <v>64</v>
      </c>
      <c r="F2658" t="s">
        <v>19102</v>
      </c>
      <c r="G2658"/>
      <c r="H2658"/>
      <c r="I2658" t="s">
        <v>1503</v>
      </c>
      <c r="J2658" t="s">
        <v>18827</v>
      </c>
      <c r="K2658" t="s">
        <v>18828</v>
      </c>
      <c r="L2658" t="s">
        <v>21</v>
      </c>
      <c r="M2658" t="s">
        <v>19177</v>
      </c>
      <c r="N2658" t="s">
        <v>531</v>
      </c>
      <c r="O2658" t="s">
        <v>531</v>
      </c>
      <c r="P2658" t="s">
        <v>454</v>
      </c>
    </row>
    <row r="2659">
      <c r="A2659">
        <f>HYPERLINK("http://bombeiros.sp.gov.br/hidrantes/03individual/564.html","564")</f>
      </c>
      <c r="B2659" t="s">
        <v>454</v>
      </c>
      <c r="C2659" t="s">
        <v>531</v>
      </c>
      <c r="D2659" t="s">
        <v>553</v>
      </c>
      <c r="E2659" t="s">
        <v>15</v>
      </c>
      <c r="F2659" t="s">
        <v>8491</v>
      </c>
      <c r="G2659" t="s">
        <v>18256</v>
      </c>
      <c r="H2659" t="s">
        <v>1107</v>
      </c>
      <c r="I2659" t="s">
        <v>1108</v>
      </c>
      <c r="J2659" t="s">
        <v>8492</v>
      </c>
      <c r="K2659" t="s">
        <v>8493</v>
      </c>
      <c r="L2659" t="s">
        <v>21</v>
      </c>
      <c r="M2659" t="s">
        <v>19177</v>
      </c>
      <c r="N2659" t="s">
        <v>531</v>
      </c>
      <c r="O2659" t="s">
        <v>531</v>
      </c>
      <c r="P2659" t="s">
        <v>454</v>
      </c>
    </row>
    <row r="2660">
      <c r="A2660">
        <f>HYPERLINK("http://bombeiros.sp.gov.br/hidrantes/03individual/591.html","591")</f>
      </c>
      <c r="B2660" t="s">
        <v>454</v>
      </c>
      <c r="C2660" t="s">
        <v>531</v>
      </c>
      <c r="D2660" t="s">
        <v>553</v>
      </c>
      <c r="E2660" t="s">
        <v>15</v>
      </c>
      <c r="F2660" t="s">
        <v>8494</v>
      </c>
      <c r="G2660" t="s">
        <v>18132</v>
      </c>
      <c r="H2660" t="s">
        <v>1112</v>
      </c>
      <c r="I2660" t="s">
        <v>1108</v>
      </c>
      <c r="J2660" t="s">
        <v>8495</v>
      </c>
      <c r="K2660" t="s">
        <v>8496</v>
      </c>
      <c r="L2660" t="s">
        <v>21</v>
      </c>
      <c r="M2660" t="s">
        <v>19177</v>
      </c>
      <c r="N2660" t="s">
        <v>531</v>
      </c>
      <c r="O2660" t="s">
        <v>531</v>
      </c>
      <c r="P2660" t="s">
        <v>454</v>
      </c>
    </row>
    <row r="2661">
      <c r="A2661">
        <f>HYPERLINK("http://bombeiros.sp.gov.br/hidrantes/03individual/592.html","592")</f>
      </c>
      <c r="B2661" t="s">
        <v>454</v>
      </c>
      <c r="C2661" t="s">
        <v>531</v>
      </c>
      <c r="D2661" t="s">
        <v>553</v>
      </c>
      <c r="E2661" t="s">
        <v>15</v>
      </c>
      <c r="F2661" t="s">
        <v>8497</v>
      </c>
      <c r="G2661" t="s">
        <v>18094</v>
      </c>
      <c r="H2661" t="s">
        <v>1107</v>
      </c>
      <c r="I2661" t="s">
        <v>1108</v>
      </c>
      <c r="J2661" t="s">
        <v>8498</v>
      </c>
      <c r="K2661" t="s">
        <v>8499</v>
      </c>
      <c r="L2661" t="s">
        <v>21</v>
      </c>
      <c r="M2661" t="s">
        <v>19177</v>
      </c>
      <c r="N2661" t="s">
        <v>531</v>
      </c>
      <c r="O2661" t="s">
        <v>531</v>
      </c>
      <c r="P2661" t="s">
        <v>454</v>
      </c>
    </row>
    <row r="2662">
      <c r="A2662">
        <f>HYPERLINK("http://bombeiros.sp.gov.br/hidrantes/03individual/594.html","594")</f>
      </c>
      <c r="B2662" t="s">
        <v>454</v>
      </c>
      <c r="C2662" t="s">
        <v>531</v>
      </c>
      <c r="D2662" t="s">
        <v>553</v>
      </c>
      <c r="E2662" t="s">
        <v>15</v>
      </c>
      <c r="F2662" t="s">
        <v>8500</v>
      </c>
      <c r="G2662" t="s">
        <v>18200</v>
      </c>
      <c r="H2662" t="s">
        <v>1121</v>
      </c>
      <c r="I2662" t="s">
        <v>1117</v>
      </c>
      <c r="J2662" t="s">
        <v>8501</v>
      </c>
      <c r="K2662" t="s">
        <v>8502</v>
      </c>
      <c r="L2662" t="s">
        <v>21</v>
      </c>
      <c r="M2662" t="s">
        <v>19177</v>
      </c>
      <c r="N2662" t="s">
        <v>531</v>
      </c>
      <c r="O2662" t="s">
        <v>531</v>
      </c>
      <c r="P2662" t="s">
        <v>454</v>
      </c>
    </row>
    <row r="2663">
      <c r="A2663">
        <f>HYPERLINK("http://bombeiros.sp.gov.br/hidrantes/03individual/648.html","648")</f>
      </c>
      <c r="B2663" t="s">
        <v>454</v>
      </c>
      <c r="C2663" t="s">
        <v>531</v>
      </c>
      <c r="D2663" t="s">
        <v>553</v>
      </c>
      <c r="E2663" t="s">
        <v>15</v>
      </c>
      <c r="F2663" t="s">
        <v>8503</v>
      </c>
      <c r="G2663" t="s">
        <v>18096</v>
      </c>
      <c r="H2663" t="s">
        <v>1112</v>
      </c>
      <c r="I2663" t="s">
        <v>1108</v>
      </c>
      <c r="J2663" t="s">
        <v>8504</v>
      </c>
      <c r="K2663" t="s">
        <v>8505</v>
      </c>
      <c r="L2663" t="s">
        <v>21</v>
      </c>
      <c r="M2663" t="s">
        <v>19177</v>
      </c>
      <c r="N2663" t="s">
        <v>531</v>
      </c>
      <c r="O2663" t="s">
        <v>531</v>
      </c>
      <c r="P2663" t="s">
        <v>454</v>
      </c>
    </row>
    <row r="2664">
      <c r="A2664">
        <f>HYPERLINK("http://bombeiros.sp.gov.br/hidrantes/03individual/676.html","676")</f>
      </c>
      <c r="B2664" t="s">
        <v>454</v>
      </c>
      <c r="C2664" t="s">
        <v>531</v>
      </c>
      <c r="D2664" t="s">
        <v>553</v>
      </c>
      <c r="E2664" t="s">
        <v>15</v>
      </c>
      <c r="F2664" t="s">
        <v>8506</v>
      </c>
      <c r="G2664" t="s">
        <v>18132</v>
      </c>
      <c r="H2664" t="s">
        <v>1174</v>
      </c>
      <c r="I2664" t="s">
        <v>1108</v>
      </c>
      <c r="J2664" t="s">
        <v>8507</v>
      </c>
      <c r="K2664" t="s">
        <v>8508</v>
      </c>
      <c r="L2664" t="s">
        <v>21</v>
      </c>
      <c r="M2664" t="s">
        <v>19177</v>
      </c>
      <c r="N2664" t="s">
        <v>531</v>
      </c>
      <c r="O2664" t="s">
        <v>531</v>
      </c>
      <c r="P2664" t="s">
        <v>454</v>
      </c>
    </row>
    <row r="2665">
      <c r="A2665">
        <f>HYPERLINK("http://bombeiros.sp.gov.br/hidrantes/03individual/710.html","710")</f>
      </c>
      <c r="B2665" t="s">
        <v>454</v>
      </c>
      <c r="C2665" t="s">
        <v>531</v>
      </c>
      <c r="D2665" t="s">
        <v>553</v>
      </c>
      <c r="E2665" t="s">
        <v>15</v>
      </c>
      <c r="F2665" t="s">
        <v>8509</v>
      </c>
      <c r="G2665" t="s">
        <v>18132</v>
      </c>
      <c r="H2665" t="s">
        <v>1107</v>
      </c>
      <c r="I2665" t="s">
        <v>1108</v>
      </c>
      <c r="J2665" t="s">
        <v>8510</v>
      </c>
      <c r="K2665" t="s">
        <v>8511</v>
      </c>
      <c r="L2665" t="s">
        <v>21</v>
      </c>
      <c r="M2665" t="s">
        <v>19177</v>
      </c>
      <c r="N2665" t="s">
        <v>531</v>
      </c>
      <c r="O2665" t="s">
        <v>531</v>
      </c>
      <c r="P2665" t="s">
        <v>454</v>
      </c>
    </row>
    <row r="2666">
      <c r="A2666">
        <f>HYPERLINK("http://bombeiros.sp.gov.br/hidrantes/03individual/821.html","821")</f>
      </c>
      <c r="B2666" t="s">
        <v>454</v>
      </c>
      <c r="C2666" t="s">
        <v>531</v>
      </c>
      <c r="D2666" t="s">
        <v>553</v>
      </c>
      <c r="E2666" t="s">
        <v>15</v>
      </c>
      <c r="F2666" t="s">
        <v>8512</v>
      </c>
      <c r="G2666" t="s">
        <v>18127</v>
      </c>
      <c r="H2666" t="s">
        <v>1107</v>
      </c>
      <c r="I2666" t="s">
        <v>1108</v>
      </c>
      <c r="J2666" t="s">
        <v>8513</v>
      </c>
      <c r="K2666" t="s">
        <v>8514</v>
      </c>
      <c r="L2666" t="s">
        <v>21</v>
      </c>
      <c r="M2666" t="s">
        <v>19177</v>
      </c>
      <c r="N2666" t="s">
        <v>531</v>
      </c>
      <c r="O2666" t="s">
        <v>531</v>
      </c>
      <c r="P2666" t="s">
        <v>454</v>
      </c>
    </row>
    <row r="2667">
      <c r="A2667">
        <f>HYPERLINK("http://bombeiros.sp.gov.br/hidrantes/03individual/823.html","823")</f>
      </c>
      <c r="B2667" t="s">
        <v>454</v>
      </c>
      <c r="C2667" t="s">
        <v>531</v>
      </c>
      <c r="D2667" t="s">
        <v>553</v>
      </c>
      <c r="E2667" t="s">
        <v>15</v>
      </c>
      <c r="F2667" t="s">
        <v>8515</v>
      </c>
      <c r="G2667" t="s">
        <v>18076</v>
      </c>
      <c r="H2667" t="s">
        <v>1112</v>
      </c>
      <c r="I2667" t="s">
        <v>1108</v>
      </c>
      <c r="J2667" t="s">
        <v>8516</v>
      </c>
      <c r="K2667" t="s">
        <v>8517</v>
      </c>
      <c r="L2667" t="s">
        <v>21</v>
      </c>
      <c r="M2667" t="s">
        <v>19177</v>
      </c>
      <c r="N2667" t="s">
        <v>531</v>
      </c>
      <c r="O2667" t="s">
        <v>531</v>
      </c>
      <c r="P2667" t="s">
        <v>454</v>
      </c>
    </row>
    <row r="2668">
      <c r="A2668">
        <f>HYPERLINK("http://bombeiros.sp.gov.br/hidrantes/03individual/953.html","953")</f>
      </c>
      <c r="B2668" t="s">
        <v>454</v>
      </c>
      <c r="C2668" t="s">
        <v>531</v>
      </c>
      <c r="D2668" t="s">
        <v>553</v>
      </c>
      <c r="E2668" t="s">
        <v>15</v>
      </c>
      <c r="F2668" t="s">
        <v>8518</v>
      </c>
      <c r="G2668" t="s">
        <v>18068</v>
      </c>
      <c r="H2668" t="s">
        <v>1112</v>
      </c>
      <c r="I2668" t="s">
        <v>1108</v>
      </c>
      <c r="J2668" t="s">
        <v>16902</v>
      </c>
      <c r="K2668" t="s">
        <v>16903</v>
      </c>
      <c r="L2668" t="s">
        <v>21</v>
      </c>
      <c r="M2668" t="s">
        <v>19177</v>
      </c>
      <c r="N2668" t="s">
        <v>531</v>
      </c>
      <c r="O2668" t="s">
        <v>531</v>
      </c>
      <c r="P2668" t="s">
        <v>454</v>
      </c>
    </row>
    <row r="2669">
      <c r="A2669">
        <f>HYPERLINK("http://bombeiros.sp.gov.br/hidrantes/03individual/3573.html","3573")</f>
      </c>
      <c r="B2669" t="s">
        <v>454</v>
      </c>
      <c r="C2669" t="s">
        <v>531</v>
      </c>
      <c r="D2669" t="s">
        <v>553</v>
      </c>
      <c r="E2669" t="s">
        <v>15</v>
      </c>
      <c r="F2669" t="s">
        <v>557</v>
      </c>
      <c r="G2669" t="s">
        <v>18127</v>
      </c>
      <c r="H2669" t="s">
        <v>1107</v>
      </c>
      <c r="I2669" t="s">
        <v>1108</v>
      </c>
      <c r="J2669" t="s">
        <v>558</v>
      </c>
      <c r="K2669" t="s">
        <v>559</v>
      </c>
      <c r="L2669" t="s">
        <v>36</v>
      </c>
      <c r="M2669" t="s">
        <v>19177</v>
      </c>
      <c r="N2669" t="s">
        <v>531</v>
      </c>
      <c r="O2669" t="s">
        <v>531</v>
      </c>
      <c r="P2669" t="s">
        <v>454</v>
      </c>
    </row>
    <row r="2670">
      <c r="A2670">
        <f>HYPERLINK("http://bombeiros.sp.gov.br/hidrantes/03individual/17881.html","17881")</f>
      </c>
      <c r="B2670" t="s">
        <v>454</v>
      </c>
      <c r="C2670" t="s">
        <v>531</v>
      </c>
      <c r="D2670" t="s">
        <v>553</v>
      </c>
      <c r="E2670" t="s">
        <v>15</v>
      </c>
      <c r="F2670" t="s">
        <v>8521</v>
      </c>
      <c r="G2670" t="s">
        <v>18132</v>
      </c>
      <c r="H2670" t="s">
        <v>1107</v>
      </c>
      <c r="I2670" t="s">
        <v>1108</v>
      </c>
      <c r="J2670" t="s">
        <v>8522</v>
      </c>
      <c r="K2670" t="s">
        <v>8523</v>
      </c>
      <c r="L2670" t="s">
        <v>21</v>
      </c>
      <c r="M2670" t="s">
        <v>19177</v>
      </c>
      <c r="N2670" t="s">
        <v>531</v>
      </c>
      <c r="O2670" t="s">
        <v>531</v>
      </c>
      <c r="P2670" t="s">
        <v>454</v>
      </c>
    </row>
    <row r="2671">
      <c r="A2671">
        <f>HYPERLINK("http://bombeiros.sp.gov.br/hidrantes/03individual/2231.html","2231")</f>
      </c>
      <c r="B2671" t="s">
        <v>454</v>
      </c>
      <c r="C2671" t="s">
        <v>531</v>
      </c>
      <c r="D2671" t="s">
        <v>531</v>
      </c>
      <c r="E2671" t="s">
        <v>64</v>
      </c>
      <c r="F2671" t="s">
        <v>8524</v>
      </c>
      <c r="G2671" t="s">
        <v>18484</v>
      </c>
      <c r="H2671" t="s">
        <v>1112</v>
      </c>
      <c r="I2671" t="s">
        <v>1108</v>
      </c>
      <c r="J2671" t="s">
        <v>8526</v>
      </c>
      <c r="K2671" t="s">
        <v>8527</v>
      </c>
      <c r="L2671" t="s">
        <v>21</v>
      </c>
      <c r="M2671" t="s">
        <v>19177</v>
      </c>
      <c r="N2671" t="s">
        <v>531</v>
      </c>
      <c r="O2671" t="s">
        <v>531</v>
      </c>
      <c r="P2671" t="s">
        <v>454</v>
      </c>
    </row>
    <row r="2672">
      <c r="A2672">
        <f>HYPERLINK("http://bombeiros.sp.gov.br/hidrantes/03individual/2526.html","2526")</f>
      </c>
      <c r="B2672" t="s">
        <v>454</v>
      </c>
      <c r="C2672" t="s">
        <v>531</v>
      </c>
      <c r="D2672" t="s">
        <v>531</v>
      </c>
      <c r="E2672" t="s">
        <v>64</v>
      </c>
      <c r="F2672" t="s">
        <v>8528</v>
      </c>
      <c r="G2672" t="s">
        <v>18484</v>
      </c>
      <c r="H2672" t="s">
        <v>1112</v>
      </c>
      <c r="I2672" t="s">
        <v>1108</v>
      </c>
      <c r="J2672" t="s">
        <v>16321</v>
      </c>
      <c r="K2672" t="s">
        <v>16322</v>
      </c>
      <c r="L2672" t="s">
        <v>36</v>
      </c>
      <c r="M2672" t="s">
        <v>19177</v>
      </c>
      <c r="N2672" t="s">
        <v>531</v>
      </c>
      <c r="O2672" t="s">
        <v>531</v>
      </c>
      <c r="P2672" t="s">
        <v>454</v>
      </c>
    </row>
    <row r="2673">
      <c r="A2673">
        <f>HYPERLINK("http://bombeiros.sp.gov.br/hidrantes/03individual/2637.html","2637")</f>
      </c>
      <c r="B2673" t="s">
        <v>454</v>
      </c>
      <c r="C2673" t="s">
        <v>531</v>
      </c>
      <c r="D2673" t="s">
        <v>531</v>
      </c>
      <c r="E2673" t="s">
        <v>64</v>
      </c>
      <c r="F2673" t="s">
        <v>8531</v>
      </c>
      <c r="G2673" t="s">
        <v>18043</v>
      </c>
      <c r="H2673" t="s">
        <v>1112</v>
      </c>
      <c r="I2673" t="s">
        <v>1108</v>
      </c>
      <c r="J2673" t="s">
        <v>8532</v>
      </c>
      <c r="K2673" t="s">
        <v>8533</v>
      </c>
      <c r="L2673" t="s">
        <v>21</v>
      </c>
      <c r="M2673" t="s">
        <v>19177</v>
      </c>
      <c r="N2673" t="s">
        <v>531</v>
      </c>
      <c r="O2673" t="s">
        <v>531</v>
      </c>
      <c r="P2673" t="s">
        <v>454</v>
      </c>
    </row>
    <row r="2674">
      <c r="A2674">
        <f>HYPERLINK("http://bombeiros.sp.gov.br/hidrantes/03individual/5613.html","5613")</f>
      </c>
      <c r="B2674" t="s">
        <v>454</v>
      </c>
      <c r="C2674" t="s">
        <v>531</v>
      </c>
      <c r="D2674" t="s">
        <v>531</v>
      </c>
      <c r="E2674" t="s">
        <v>64</v>
      </c>
      <c r="F2674" t="s">
        <v>8534</v>
      </c>
      <c r="G2674" t="s">
        <v>18484</v>
      </c>
      <c r="H2674" t="s">
        <v>1107</v>
      </c>
      <c r="I2674" t="s">
        <v>1108</v>
      </c>
      <c r="J2674" t="s">
        <v>8535</v>
      </c>
      <c r="K2674" t="s">
        <v>8536</v>
      </c>
      <c r="L2674" t="s">
        <v>21</v>
      </c>
      <c r="M2674" t="s">
        <v>19177</v>
      </c>
      <c r="N2674" t="s">
        <v>531</v>
      </c>
      <c r="O2674" t="s">
        <v>531</v>
      </c>
      <c r="P2674" t="s">
        <v>454</v>
      </c>
    </row>
    <row r="2675">
      <c r="A2675">
        <f>HYPERLINK("http://bombeiros.sp.gov.br/hidrantes/03individual/709.html","709")</f>
      </c>
      <c r="B2675" t="s">
        <v>454</v>
      </c>
      <c r="C2675" t="s">
        <v>531</v>
      </c>
      <c r="D2675" t="s">
        <v>531</v>
      </c>
      <c r="E2675" t="s">
        <v>15</v>
      </c>
      <c r="F2675" t="s">
        <v>8537</v>
      </c>
      <c r="G2675" t="s">
        <v>18207</v>
      </c>
      <c r="H2675" t="s">
        <v>1112</v>
      </c>
      <c r="I2675" t="s">
        <v>1108</v>
      </c>
      <c r="J2675" t="s">
        <v>8538</v>
      </c>
      <c r="K2675" t="s">
        <v>8539</v>
      </c>
      <c r="L2675" t="s">
        <v>21</v>
      </c>
      <c r="M2675" t="s">
        <v>19177</v>
      </c>
      <c r="N2675" t="s">
        <v>531</v>
      </c>
      <c r="O2675" t="s">
        <v>531</v>
      </c>
      <c r="P2675" t="s">
        <v>454</v>
      </c>
    </row>
    <row r="2676">
      <c r="A2676">
        <f>HYPERLINK("http://bombeiros.sp.gov.br/hidrantes/03individual/712.html","712")</f>
      </c>
      <c r="B2676" t="s">
        <v>454</v>
      </c>
      <c r="C2676" t="s">
        <v>531</v>
      </c>
      <c r="D2676" t="s">
        <v>531</v>
      </c>
      <c r="E2676" t="s">
        <v>15</v>
      </c>
      <c r="F2676" t="s">
        <v>8540</v>
      </c>
      <c r="G2676" t="s">
        <v>18196</v>
      </c>
      <c r="H2676" t="s">
        <v>1107</v>
      </c>
      <c r="I2676" t="s">
        <v>1108</v>
      </c>
      <c r="J2676" t="s">
        <v>8541</v>
      </c>
      <c r="K2676" t="s">
        <v>8542</v>
      </c>
      <c r="L2676" t="s">
        <v>21</v>
      </c>
      <c r="M2676" t="s">
        <v>19177</v>
      </c>
      <c r="N2676" t="s">
        <v>531</v>
      </c>
      <c r="O2676" t="s">
        <v>531</v>
      </c>
      <c r="P2676" t="s">
        <v>454</v>
      </c>
    </row>
    <row r="2677">
      <c r="A2677">
        <f>HYPERLINK("http://bombeiros.sp.gov.br/hidrantes/03individual/744.html","744")</f>
      </c>
      <c r="B2677" t="s">
        <v>454</v>
      </c>
      <c r="C2677" t="s">
        <v>531</v>
      </c>
      <c r="D2677" t="s">
        <v>531</v>
      </c>
      <c r="E2677" t="s">
        <v>15</v>
      </c>
      <c r="F2677" t="s">
        <v>8543</v>
      </c>
      <c r="G2677" t="s">
        <v>18207</v>
      </c>
      <c r="H2677" t="s">
        <v>1112</v>
      </c>
      <c r="I2677" t="s">
        <v>1108</v>
      </c>
      <c r="J2677" t="s">
        <v>8544</v>
      </c>
      <c r="K2677" t="s">
        <v>8545</v>
      </c>
      <c r="L2677" t="s">
        <v>21</v>
      </c>
      <c r="M2677" t="s">
        <v>19177</v>
      </c>
      <c r="N2677" t="s">
        <v>531</v>
      </c>
      <c r="O2677" t="s">
        <v>531</v>
      </c>
      <c r="P2677" t="s">
        <v>454</v>
      </c>
    </row>
    <row r="2678">
      <c r="A2678">
        <f>HYPERLINK("http://bombeiros.sp.gov.br/hidrantes/03individual/827.html","827")</f>
      </c>
      <c r="B2678" t="s">
        <v>454</v>
      </c>
      <c r="C2678" t="s">
        <v>531</v>
      </c>
      <c r="D2678" t="s">
        <v>531</v>
      </c>
      <c r="E2678" t="s">
        <v>15</v>
      </c>
      <c r="F2678" t="s">
        <v>8546</v>
      </c>
      <c r="G2678" t="s">
        <v>18096</v>
      </c>
      <c r="H2678" t="s">
        <v>1112</v>
      </c>
      <c r="I2678" t="s">
        <v>1108</v>
      </c>
      <c r="J2678" t="s">
        <v>8547</v>
      </c>
      <c r="K2678" t="s">
        <v>8548</v>
      </c>
      <c r="L2678" t="s">
        <v>21</v>
      </c>
      <c r="M2678" t="s">
        <v>19177</v>
      </c>
      <c r="N2678" t="s">
        <v>531</v>
      </c>
      <c r="O2678" t="s">
        <v>531</v>
      </c>
      <c r="P2678" t="s">
        <v>454</v>
      </c>
    </row>
    <row r="2679">
      <c r="A2679">
        <f>HYPERLINK("http://bombeiros.sp.gov.br/hidrantes/03individual/2705.html","2705")</f>
      </c>
      <c r="B2679" t="s">
        <v>454</v>
      </c>
      <c r="C2679" t="s">
        <v>531</v>
      </c>
      <c r="D2679" t="s">
        <v>531</v>
      </c>
      <c r="E2679" t="s">
        <v>15</v>
      </c>
      <c r="F2679" t="s">
        <v>8549</v>
      </c>
      <c r="G2679" t="s">
        <v>18207</v>
      </c>
      <c r="H2679" t="s">
        <v>1107</v>
      </c>
      <c r="I2679" t="s">
        <v>1108</v>
      </c>
      <c r="J2679" t="s">
        <v>8550</v>
      </c>
      <c r="K2679" t="s">
        <v>8551</v>
      </c>
      <c r="L2679" t="s">
        <v>21</v>
      </c>
      <c r="M2679" t="s">
        <v>19177</v>
      </c>
      <c r="N2679" t="s">
        <v>531</v>
      </c>
      <c r="O2679" t="s">
        <v>531</v>
      </c>
      <c r="P2679" t="s">
        <v>454</v>
      </c>
    </row>
    <row r="2680">
      <c r="A2680">
        <f>HYPERLINK("http://bombeiros.sp.gov.br/hidrantes/03individual/2707.html","2707")</f>
      </c>
      <c r="B2680" t="s">
        <v>454</v>
      </c>
      <c r="C2680" t="s">
        <v>531</v>
      </c>
      <c r="D2680" t="s">
        <v>531</v>
      </c>
      <c r="E2680" t="s">
        <v>15</v>
      </c>
      <c r="F2680" t="s">
        <v>8552</v>
      </c>
      <c r="G2680" t="s">
        <v>18043</v>
      </c>
      <c r="H2680" t="s">
        <v>1112</v>
      </c>
      <c r="I2680" t="s">
        <v>1108</v>
      </c>
      <c r="J2680" t="s">
        <v>8553</v>
      </c>
      <c r="K2680" t="s">
        <v>8554</v>
      </c>
      <c r="L2680" t="s">
        <v>21</v>
      </c>
      <c r="M2680" t="s">
        <v>19177</v>
      </c>
      <c r="N2680" t="s">
        <v>531</v>
      </c>
      <c r="O2680" t="s">
        <v>531</v>
      </c>
      <c r="P2680" t="s">
        <v>454</v>
      </c>
    </row>
    <row r="2681">
      <c r="A2681">
        <f>HYPERLINK("http://bombeiros.sp.gov.br/hidrantes/03individual/2111.html","2111")</f>
      </c>
      <c r="B2681" t="s">
        <v>454</v>
      </c>
      <c r="C2681" t="s">
        <v>531</v>
      </c>
      <c r="D2681" t="s">
        <v>8555</v>
      </c>
      <c r="E2681" t="s">
        <v>64</v>
      </c>
      <c r="F2681" t="s">
        <v>8556</v>
      </c>
      <c r="G2681" t="s">
        <v>18196</v>
      </c>
      <c r="H2681" t="s">
        <v>1107</v>
      </c>
      <c r="I2681" t="s">
        <v>1108</v>
      </c>
      <c r="J2681" t="s">
        <v>8557</v>
      </c>
      <c r="K2681" t="s">
        <v>8558</v>
      </c>
      <c r="L2681" t="s">
        <v>21</v>
      </c>
      <c r="M2681" t="s">
        <v>19177</v>
      </c>
      <c r="N2681" t="s">
        <v>531</v>
      </c>
      <c r="O2681" t="s">
        <v>531</v>
      </c>
      <c r="P2681" t="s">
        <v>454</v>
      </c>
    </row>
    <row r="2682">
      <c r="A2682">
        <f>HYPERLINK("http://bombeiros.sp.gov.br/hidrantes/03individual/2114.html","2114")</f>
      </c>
      <c r="B2682" t="s">
        <v>454</v>
      </c>
      <c r="C2682" t="s">
        <v>531</v>
      </c>
      <c r="D2682" t="s">
        <v>8555</v>
      </c>
      <c r="E2682" t="s">
        <v>64</v>
      </c>
      <c r="F2682" t="s">
        <v>8559</v>
      </c>
      <c r="G2682" t="s">
        <v>18043</v>
      </c>
      <c r="H2682" t="s">
        <v>1121</v>
      </c>
      <c r="I2682" t="s">
        <v>1117</v>
      </c>
      <c r="J2682" t="s">
        <v>8560</v>
      </c>
      <c r="K2682" t="s">
        <v>8561</v>
      </c>
      <c r="L2682" t="s">
        <v>36</v>
      </c>
      <c r="M2682" t="s">
        <v>19177</v>
      </c>
      <c r="N2682" t="s">
        <v>531</v>
      </c>
      <c r="O2682" t="s">
        <v>531</v>
      </c>
      <c r="P2682" t="s">
        <v>454</v>
      </c>
    </row>
    <row r="2683">
      <c r="A2683">
        <f>HYPERLINK("http://bombeiros.sp.gov.br/hidrantes/03individual/2179.html","2179")</f>
      </c>
      <c r="B2683" t="s">
        <v>454</v>
      </c>
      <c r="C2683" t="s">
        <v>531</v>
      </c>
      <c r="D2683" t="s">
        <v>8555</v>
      </c>
      <c r="E2683" t="s">
        <v>64</v>
      </c>
      <c r="F2683" t="s">
        <v>8562</v>
      </c>
      <c r="G2683" t="s">
        <v>18043</v>
      </c>
      <c r="H2683" t="s">
        <v>1121</v>
      </c>
      <c r="I2683" t="s">
        <v>1117</v>
      </c>
      <c r="J2683" t="s">
        <v>8563</v>
      </c>
      <c r="K2683" t="s">
        <v>8564</v>
      </c>
      <c r="L2683" t="s">
        <v>36</v>
      </c>
      <c r="M2683" t="s">
        <v>19177</v>
      </c>
      <c r="N2683" t="s">
        <v>531</v>
      </c>
      <c r="O2683" t="s">
        <v>531</v>
      </c>
      <c r="P2683" t="s">
        <v>454</v>
      </c>
    </row>
    <row r="2684">
      <c r="A2684">
        <f>HYPERLINK("http://bombeiros.sp.gov.br/hidrantes/03individual/743.html","743")</f>
      </c>
      <c r="B2684" t="s">
        <v>454</v>
      </c>
      <c r="C2684" t="s">
        <v>531</v>
      </c>
      <c r="D2684" t="s">
        <v>8555</v>
      </c>
      <c r="E2684" t="s">
        <v>15</v>
      </c>
      <c r="F2684" t="s">
        <v>8565</v>
      </c>
      <c r="G2684" t="s">
        <v>18043</v>
      </c>
      <c r="H2684" t="s">
        <v>1107</v>
      </c>
      <c r="I2684" t="s">
        <v>1108</v>
      </c>
      <c r="J2684" t="s">
        <v>8566</v>
      </c>
      <c r="K2684" t="s">
        <v>8567</v>
      </c>
      <c r="L2684" t="s">
        <v>21</v>
      </c>
      <c r="M2684" t="s">
        <v>19177</v>
      </c>
      <c r="N2684" t="s">
        <v>531</v>
      </c>
      <c r="O2684" t="s">
        <v>531</v>
      </c>
      <c r="P2684" t="s">
        <v>454</v>
      </c>
    </row>
    <row r="2685">
      <c r="A2685">
        <f>HYPERLINK("http://bombeiros.sp.gov.br/hidrantes/03individual/2112.html","2112")</f>
      </c>
      <c r="B2685" t="s">
        <v>454</v>
      </c>
      <c r="C2685" t="s">
        <v>531</v>
      </c>
      <c r="D2685" t="s">
        <v>8555</v>
      </c>
      <c r="E2685" t="s">
        <v>15</v>
      </c>
      <c r="F2685" t="s">
        <v>8568</v>
      </c>
      <c r="G2685" t="s">
        <v>18128</v>
      </c>
      <c r="H2685" t="s">
        <v>1174</v>
      </c>
      <c r="I2685" t="s">
        <v>1117</v>
      </c>
      <c r="J2685" t="s">
        <v>8569</v>
      </c>
      <c r="K2685" t="s">
        <v>8570</v>
      </c>
      <c r="L2685" t="s">
        <v>21</v>
      </c>
      <c r="M2685" t="s">
        <v>19177</v>
      </c>
      <c r="N2685" t="s">
        <v>531</v>
      </c>
      <c r="O2685" t="s">
        <v>531</v>
      </c>
      <c r="P2685" t="s">
        <v>454</v>
      </c>
    </row>
    <row r="2686">
      <c r="A2686">
        <f>HYPERLINK("http://bombeiros.sp.gov.br/hidrantes/03individual/26785.html","26785")</f>
      </c>
      <c r="B2686" t="s">
        <v>454</v>
      </c>
      <c r="C2686" t="s">
        <v>531</v>
      </c>
      <c r="D2686" t="s">
        <v>8555</v>
      </c>
      <c r="E2686" t="s">
        <v>15</v>
      </c>
      <c r="F2686" t="s">
        <v>15803</v>
      </c>
      <c r="G2686" t="s">
        <v>18485</v>
      </c>
      <c r="H2686" t="s">
        <v>1121</v>
      </c>
      <c r="I2686" t="s">
        <v>1117</v>
      </c>
      <c r="J2686" t="s">
        <v>15804</v>
      </c>
      <c r="K2686" t="s">
        <v>15805</v>
      </c>
      <c r="L2686" t="s">
        <v>21</v>
      </c>
      <c r="M2686" t="s">
        <v>19177</v>
      </c>
      <c r="N2686" t="s">
        <v>531</v>
      </c>
      <c r="O2686" t="s">
        <v>531</v>
      </c>
      <c r="P2686" t="s">
        <v>454</v>
      </c>
    </row>
    <row r="2687">
      <c r="A2687">
        <f>HYPERLINK("http://bombeiros.sp.gov.br/hidrantes/03individual/2756.html","2756")</f>
      </c>
      <c r="B2687" t="s">
        <v>454</v>
      </c>
      <c r="C2687" t="s">
        <v>531</v>
      </c>
      <c r="D2687" t="s">
        <v>8571</v>
      </c>
      <c r="E2687" t="s">
        <v>64</v>
      </c>
      <c r="F2687" t="s">
        <v>8572</v>
      </c>
      <c r="G2687" t="s">
        <v>18207</v>
      </c>
      <c r="H2687" t="s">
        <v>1112</v>
      </c>
      <c r="I2687" t="s">
        <v>1108</v>
      </c>
      <c r="J2687" t="s">
        <v>8573</v>
      </c>
      <c r="K2687" t="s">
        <v>8574</v>
      </c>
      <c r="L2687" t="s">
        <v>21</v>
      </c>
      <c r="M2687" t="s">
        <v>19177</v>
      </c>
      <c r="N2687" t="s">
        <v>531</v>
      </c>
      <c r="O2687" t="s">
        <v>531</v>
      </c>
      <c r="P2687" t="s">
        <v>454</v>
      </c>
    </row>
    <row r="2688">
      <c r="A2688">
        <f>HYPERLINK("http://bombeiros.sp.gov.br/hidrantes/03individual/2768.html","2768")</f>
      </c>
      <c r="B2688" t="s">
        <v>454</v>
      </c>
      <c r="C2688" t="s">
        <v>531</v>
      </c>
      <c r="D2688" t="s">
        <v>8571</v>
      </c>
      <c r="E2688" t="s">
        <v>64</v>
      </c>
      <c r="F2688" t="s">
        <v>8575</v>
      </c>
      <c r="G2688" t="s">
        <v>18096</v>
      </c>
      <c r="H2688" t="s">
        <v>1112</v>
      </c>
      <c r="I2688" t="s">
        <v>1108</v>
      </c>
      <c r="J2688" t="s">
        <v>8576</v>
      </c>
      <c r="K2688" t="s">
        <v>8577</v>
      </c>
      <c r="L2688" t="s">
        <v>21</v>
      </c>
      <c r="M2688" t="s">
        <v>19177</v>
      </c>
      <c r="N2688" t="s">
        <v>531</v>
      </c>
      <c r="O2688" t="s">
        <v>531</v>
      </c>
      <c r="P2688" t="s">
        <v>454</v>
      </c>
    </row>
    <row r="2689">
      <c r="A2689">
        <f>HYPERLINK("http://bombeiros.sp.gov.br/hidrantes/03individual/2771.html","2771")</f>
      </c>
      <c r="B2689" t="s">
        <v>454</v>
      </c>
      <c r="C2689" t="s">
        <v>531</v>
      </c>
      <c r="D2689" t="s">
        <v>8571</v>
      </c>
      <c r="E2689" t="s">
        <v>64</v>
      </c>
      <c r="F2689" t="s">
        <v>8578</v>
      </c>
      <c r="G2689" t="s">
        <v>18043</v>
      </c>
      <c r="H2689" t="s">
        <v>1121</v>
      </c>
      <c r="I2689" t="s">
        <v>1117</v>
      </c>
      <c r="J2689" t="s">
        <v>8579</v>
      </c>
      <c r="K2689" t="s">
        <v>8580</v>
      </c>
      <c r="L2689" t="s">
        <v>21</v>
      </c>
      <c r="M2689" t="s">
        <v>19177</v>
      </c>
      <c r="N2689" t="s">
        <v>531</v>
      </c>
      <c r="O2689" t="s">
        <v>531</v>
      </c>
      <c r="P2689" t="s">
        <v>454</v>
      </c>
    </row>
    <row r="2690">
      <c r="A2690">
        <f>HYPERLINK("http://bombeiros.sp.gov.br/hidrantes/03individual/2804.html","2804")</f>
      </c>
      <c r="B2690" t="s">
        <v>454</v>
      </c>
      <c r="C2690" t="s">
        <v>531</v>
      </c>
      <c r="D2690" t="s">
        <v>8571</v>
      </c>
      <c r="E2690" t="s">
        <v>64</v>
      </c>
      <c r="F2690" t="s">
        <v>8581</v>
      </c>
      <c r="G2690" t="s">
        <v>18485</v>
      </c>
      <c r="H2690" t="s">
        <v>1112</v>
      </c>
      <c r="I2690" t="s">
        <v>1108</v>
      </c>
      <c r="J2690" t="s">
        <v>8582</v>
      </c>
      <c r="K2690" t="s">
        <v>8583</v>
      </c>
      <c r="L2690" t="s">
        <v>21</v>
      </c>
      <c r="M2690" t="s">
        <v>19177</v>
      </c>
      <c r="N2690" t="s">
        <v>531</v>
      </c>
      <c r="O2690" t="s">
        <v>531</v>
      </c>
      <c r="P2690" t="s">
        <v>454</v>
      </c>
    </row>
    <row r="2691">
      <c r="A2691">
        <f>HYPERLINK("http://bombeiros.sp.gov.br/hidrantes/03individual/17663.html","17663")</f>
      </c>
      <c r="B2691" t="s">
        <v>454</v>
      </c>
      <c r="C2691" t="s">
        <v>531</v>
      </c>
      <c r="D2691" t="s">
        <v>8571</v>
      </c>
      <c r="E2691" t="s">
        <v>64</v>
      </c>
      <c r="F2691" t="s">
        <v>8584</v>
      </c>
      <c r="G2691" t="s">
        <v>18105</v>
      </c>
      <c r="H2691" t="s">
        <v>1107</v>
      </c>
      <c r="I2691" t="s">
        <v>1117</v>
      </c>
      <c r="J2691" t="s">
        <v>8585</v>
      </c>
      <c r="K2691" t="s">
        <v>8586</v>
      </c>
      <c r="L2691" t="s">
        <v>21</v>
      </c>
      <c r="M2691" t="s">
        <v>19177</v>
      </c>
      <c r="N2691" t="s">
        <v>531</v>
      </c>
      <c r="O2691" t="s">
        <v>531</v>
      </c>
      <c r="P2691" t="s">
        <v>454</v>
      </c>
    </row>
    <row r="2692">
      <c r="A2692">
        <f>HYPERLINK("http://bombeiros.sp.gov.br/hidrantes/03individual/974.html","974")</f>
      </c>
      <c r="B2692" t="s">
        <v>454</v>
      </c>
      <c r="C2692" t="s">
        <v>560</v>
      </c>
      <c r="D2692" t="s">
        <v>8587</v>
      </c>
      <c r="E2692" t="s">
        <v>64</v>
      </c>
      <c r="F2692" t="s">
        <v>8588</v>
      </c>
      <c r="G2692" t="s">
        <v>18190</v>
      </c>
      <c r="H2692" t="s">
        <v>1112</v>
      </c>
      <c r="I2692" t="s">
        <v>1108</v>
      </c>
      <c r="J2692" t="s">
        <v>8589</v>
      </c>
      <c r="K2692" t="s">
        <v>8590</v>
      </c>
      <c r="L2692" t="s">
        <v>21</v>
      </c>
      <c r="M2692" t="s">
        <v>19177</v>
      </c>
      <c r="N2692" t="s">
        <v>519</v>
      </c>
      <c r="O2692" t="s">
        <v>519</v>
      </c>
      <c r="P2692" t="s">
        <v>454</v>
      </c>
    </row>
    <row r="2693">
      <c r="A2693">
        <f>HYPERLINK("http://bombeiros.sp.gov.br/hidrantes/03individual/1005.html","1005")</f>
      </c>
      <c r="B2693" t="s">
        <v>454</v>
      </c>
      <c r="C2693" t="s">
        <v>560</v>
      </c>
      <c r="D2693" t="s">
        <v>8587</v>
      </c>
      <c r="E2693" t="s">
        <v>64</v>
      </c>
      <c r="F2693" t="s">
        <v>8591</v>
      </c>
      <c r="G2693" t="s">
        <v>18204</v>
      </c>
      <c r="H2693" t="s">
        <v>1107</v>
      </c>
      <c r="I2693" t="s">
        <v>1108</v>
      </c>
      <c r="J2693" t="s">
        <v>8592</v>
      </c>
      <c r="K2693" t="s">
        <v>8593</v>
      </c>
      <c r="L2693" t="s">
        <v>36</v>
      </c>
      <c r="M2693" t="s">
        <v>19177</v>
      </c>
      <c r="N2693" t="s">
        <v>519</v>
      </c>
      <c r="O2693" t="s">
        <v>519</v>
      </c>
      <c r="P2693" t="s">
        <v>454</v>
      </c>
    </row>
    <row r="2694">
      <c r="A2694">
        <f>HYPERLINK("http://bombeiros.sp.gov.br/hidrantes/03individual/1006.html","1006")</f>
      </c>
      <c r="B2694" t="s">
        <v>454</v>
      </c>
      <c r="C2694" t="s">
        <v>560</v>
      </c>
      <c r="D2694" t="s">
        <v>8587</v>
      </c>
      <c r="E2694" t="s">
        <v>64</v>
      </c>
      <c r="F2694" t="s">
        <v>8594</v>
      </c>
      <c r="G2694" t="s">
        <v>18204</v>
      </c>
      <c r="H2694" t="s">
        <v>1112</v>
      </c>
      <c r="I2694" t="s">
        <v>1108</v>
      </c>
      <c r="J2694" t="s">
        <v>8595</v>
      </c>
      <c r="K2694" t="s">
        <v>8596</v>
      </c>
      <c r="L2694" t="s">
        <v>21</v>
      </c>
      <c r="M2694" t="s">
        <v>19177</v>
      </c>
      <c r="N2694" t="s">
        <v>519</v>
      </c>
      <c r="O2694" t="s">
        <v>519</v>
      </c>
      <c r="P2694" t="s">
        <v>454</v>
      </c>
    </row>
    <row r="2695">
      <c r="A2695">
        <f>HYPERLINK("http://bombeiros.sp.gov.br/hidrantes/03individual/1008.html","1008")</f>
      </c>
      <c r="B2695" t="s">
        <v>454</v>
      </c>
      <c r="C2695" t="s">
        <v>560</v>
      </c>
      <c r="D2695" t="s">
        <v>8587</v>
      </c>
      <c r="E2695" t="s">
        <v>64</v>
      </c>
      <c r="F2695" t="s">
        <v>8597</v>
      </c>
      <c r="G2695" t="s">
        <v>18115</v>
      </c>
      <c r="H2695" t="s">
        <v>1107</v>
      </c>
      <c r="I2695" t="s">
        <v>1108</v>
      </c>
      <c r="J2695" t="s">
        <v>8598</v>
      </c>
      <c r="K2695" t="s">
        <v>8599</v>
      </c>
      <c r="L2695" t="s">
        <v>36</v>
      </c>
      <c r="M2695" t="s">
        <v>19177</v>
      </c>
      <c r="N2695" t="s">
        <v>519</v>
      </c>
      <c r="O2695" t="s">
        <v>519</v>
      </c>
      <c r="P2695" t="s">
        <v>454</v>
      </c>
    </row>
    <row r="2696">
      <c r="A2696">
        <f>HYPERLINK("http://bombeiros.sp.gov.br/hidrantes/03individual/5496.html","5496")</f>
      </c>
      <c r="B2696" t="s">
        <v>454</v>
      </c>
      <c r="C2696" t="s">
        <v>560</v>
      </c>
      <c r="D2696" t="s">
        <v>8587</v>
      </c>
      <c r="E2696" t="s">
        <v>64</v>
      </c>
      <c r="F2696" t="s">
        <v>8600</v>
      </c>
      <c r="G2696" t="s">
        <v>18204</v>
      </c>
      <c r="H2696" t="s">
        <v>1121</v>
      </c>
      <c r="I2696" t="s">
        <v>1117</v>
      </c>
      <c r="J2696" t="s">
        <v>8601</v>
      </c>
      <c r="K2696" t="s">
        <v>8602</v>
      </c>
      <c r="L2696" t="s">
        <v>21</v>
      </c>
      <c r="M2696" t="s">
        <v>19177</v>
      </c>
      <c r="N2696" t="s">
        <v>519</v>
      </c>
      <c r="O2696" t="s">
        <v>519</v>
      </c>
      <c r="P2696" t="s">
        <v>454</v>
      </c>
    </row>
    <row r="2697">
      <c r="A2697">
        <f>HYPERLINK("http://bombeiros.sp.gov.br/hidrantes/03individual/975.html","975")</f>
      </c>
      <c r="B2697" t="s">
        <v>454</v>
      </c>
      <c r="C2697" t="s">
        <v>560</v>
      </c>
      <c r="D2697" t="s">
        <v>8587</v>
      </c>
      <c r="E2697" t="s">
        <v>15</v>
      </c>
      <c r="F2697" t="s">
        <v>8603</v>
      </c>
      <c r="G2697" t="s">
        <v>18115</v>
      </c>
      <c r="H2697" t="s">
        <v>1107</v>
      </c>
      <c r="I2697" t="s">
        <v>1108</v>
      </c>
      <c r="J2697" t="s">
        <v>8604</v>
      </c>
      <c r="K2697" t="s">
        <v>8605</v>
      </c>
      <c r="L2697" t="s">
        <v>36</v>
      </c>
      <c r="M2697" t="s">
        <v>19177</v>
      </c>
      <c r="N2697" t="s">
        <v>519</v>
      </c>
      <c r="O2697" t="s">
        <v>519</v>
      </c>
      <c r="P2697" t="s">
        <v>454</v>
      </c>
    </row>
    <row r="2698">
      <c r="A2698">
        <f>HYPERLINK("http://bombeiros.sp.gov.br/hidrantes/03individual/1070.html","1070")</f>
      </c>
      <c r="B2698" t="s">
        <v>454</v>
      </c>
      <c r="C2698" t="s">
        <v>560</v>
      </c>
      <c r="D2698" t="s">
        <v>8587</v>
      </c>
      <c r="E2698" t="s">
        <v>15</v>
      </c>
      <c r="F2698" t="s">
        <v>8606</v>
      </c>
      <c r="G2698" t="s">
        <v>18115</v>
      </c>
      <c r="H2698" t="s">
        <v>1107</v>
      </c>
      <c r="I2698" t="s">
        <v>1108</v>
      </c>
      <c r="J2698" t="s">
        <v>8607</v>
      </c>
      <c r="K2698" t="s">
        <v>8608</v>
      </c>
      <c r="L2698" t="s">
        <v>21</v>
      </c>
      <c r="M2698" t="s">
        <v>19177</v>
      </c>
      <c r="N2698" t="s">
        <v>519</v>
      </c>
      <c r="O2698" t="s">
        <v>519</v>
      </c>
      <c r="P2698" t="s">
        <v>454</v>
      </c>
    </row>
    <row r="2699">
      <c r="A2699">
        <f>HYPERLINK("http://bombeiros.sp.gov.br/hidrantes/03individual/1100.html","1100")</f>
      </c>
      <c r="B2699" t="s">
        <v>454</v>
      </c>
      <c r="C2699" t="s">
        <v>560</v>
      </c>
      <c r="D2699" t="s">
        <v>8587</v>
      </c>
      <c r="E2699" t="s">
        <v>15</v>
      </c>
      <c r="F2699" t="s">
        <v>8609</v>
      </c>
      <c r="G2699" t="s">
        <v>18204</v>
      </c>
      <c r="H2699" t="s">
        <v>1121</v>
      </c>
      <c r="I2699" t="s">
        <v>1117</v>
      </c>
      <c r="J2699" t="s">
        <v>8610</v>
      </c>
      <c r="K2699" t="s">
        <v>8611</v>
      </c>
      <c r="L2699" t="s">
        <v>21</v>
      </c>
      <c r="M2699" t="s">
        <v>19177</v>
      </c>
      <c r="N2699" t="s">
        <v>519</v>
      </c>
      <c r="O2699" t="s">
        <v>519</v>
      </c>
      <c r="P2699" t="s">
        <v>454</v>
      </c>
    </row>
    <row r="2700">
      <c r="A2700">
        <f>HYPERLINK("http://bombeiros.sp.gov.br/hidrantes/03individual/1201.html","1201")</f>
      </c>
      <c r="B2700" t="s">
        <v>454</v>
      </c>
      <c r="C2700" t="s">
        <v>560</v>
      </c>
      <c r="D2700" t="s">
        <v>8587</v>
      </c>
      <c r="E2700" t="s">
        <v>15</v>
      </c>
      <c r="F2700" t="s">
        <v>8612</v>
      </c>
      <c r="G2700" t="s">
        <v>18115</v>
      </c>
      <c r="H2700" t="s">
        <v>1107</v>
      </c>
      <c r="I2700" t="s">
        <v>1108</v>
      </c>
      <c r="J2700" t="s">
        <v>8613</v>
      </c>
      <c r="K2700" t="s">
        <v>8614</v>
      </c>
      <c r="L2700" t="s">
        <v>21</v>
      </c>
      <c r="M2700" t="s">
        <v>19177</v>
      </c>
      <c r="N2700" t="s">
        <v>519</v>
      </c>
      <c r="O2700" t="s">
        <v>519</v>
      </c>
      <c r="P2700" t="s">
        <v>454</v>
      </c>
    </row>
    <row r="2701">
      <c r="A2701">
        <f>HYPERLINK("http://bombeiros.sp.gov.br/hidrantes/03individual/5495.html","5495")</f>
      </c>
      <c r="B2701" t="s">
        <v>454</v>
      </c>
      <c r="C2701" t="s">
        <v>560</v>
      </c>
      <c r="D2701" t="s">
        <v>8587</v>
      </c>
      <c r="E2701" t="s">
        <v>15</v>
      </c>
      <c r="F2701" t="s">
        <v>8615</v>
      </c>
      <c r="G2701" t="s">
        <v>18204</v>
      </c>
      <c r="H2701" t="s">
        <v>1174</v>
      </c>
      <c r="I2701" t="s">
        <v>1108</v>
      </c>
      <c r="J2701" t="s">
        <v>8616</v>
      </c>
      <c r="K2701" t="s">
        <v>8617</v>
      </c>
      <c r="L2701" t="s">
        <v>21</v>
      </c>
      <c r="M2701" t="s">
        <v>19177</v>
      </c>
      <c r="N2701" t="s">
        <v>519</v>
      </c>
      <c r="O2701" t="s">
        <v>519</v>
      </c>
      <c r="P2701" t="s">
        <v>454</v>
      </c>
    </row>
    <row r="2702">
      <c r="A2702">
        <f>HYPERLINK("http://bombeiros.sp.gov.br/hidrantes/03individual/10053.html","10053")</f>
      </c>
      <c r="B2702" t="s">
        <v>454</v>
      </c>
      <c r="C2702" t="s">
        <v>560</v>
      </c>
      <c r="D2702" t="s">
        <v>560</v>
      </c>
      <c r="E2702" t="s">
        <v>1507</v>
      </c>
      <c r="F2702" t="s">
        <v>8618</v>
      </c>
      <c r="G2702" t="s">
        <v>18126</v>
      </c>
      <c r="H2702" t="s">
        <v>1112</v>
      </c>
      <c r="I2702" t="s">
        <v>1108</v>
      </c>
      <c r="J2702" t="s">
        <v>8619</v>
      </c>
      <c r="K2702" t="s">
        <v>8620</v>
      </c>
      <c r="L2702" t="s">
        <v>21</v>
      </c>
      <c r="M2702" t="s">
        <v>19177</v>
      </c>
      <c r="N2702" t="s">
        <v>519</v>
      </c>
      <c r="O2702" t="s">
        <v>519</v>
      </c>
      <c r="P2702" t="s">
        <v>454</v>
      </c>
    </row>
    <row r="2703">
      <c r="A2703">
        <f>HYPERLINK("http://bombeiros.sp.gov.br/hidrantes/03individual/1031.html","1031")</f>
      </c>
      <c r="B2703" t="s">
        <v>454</v>
      </c>
      <c r="C2703" t="s">
        <v>560</v>
      </c>
      <c r="D2703" t="s">
        <v>560</v>
      </c>
      <c r="E2703" t="s">
        <v>64</v>
      </c>
      <c r="F2703" t="s">
        <v>8621</v>
      </c>
      <c r="G2703" t="s">
        <v>18129</v>
      </c>
      <c r="H2703" t="s">
        <v>1112</v>
      </c>
      <c r="I2703" t="s">
        <v>1108</v>
      </c>
      <c r="J2703" t="s">
        <v>8622</v>
      </c>
      <c r="K2703" t="s">
        <v>8623</v>
      </c>
      <c r="L2703" t="s">
        <v>36</v>
      </c>
      <c r="M2703" t="s">
        <v>19177</v>
      </c>
      <c r="N2703" t="s">
        <v>519</v>
      </c>
      <c r="O2703" t="s">
        <v>519</v>
      </c>
      <c r="P2703" t="s">
        <v>454</v>
      </c>
    </row>
    <row r="2704">
      <c r="A2704">
        <f>HYPERLINK("http://bombeiros.sp.gov.br/hidrantes/03individual/1093.html","1093")</f>
      </c>
      <c r="B2704" t="s">
        <v>454</v>
      </c>
      <c r="C2704" t="s">
        <v>560</v>
      </c>
      <c r="D2704" t="s">
        <v>560</v>
      </c>
      <c r="E2704" t="s">
        <v>64</v>
      </c>
      <c r="F2704" t="s">
        <v>8624</v>
      </c>
      <c r="G2704" t="s">
        <v>18205</v>
      </c>
      <c r="H2704" t="s">
        <v>1112</v>
      </c>
      <c r="I2704" t="s">
        <v>1108</v>
      </c>
      <c r="J2704" t="s">
        <v>8625</v>
      </c>
      <c r="K2704" t="s">
        <v>8626</v>
      </c>
      <c r="L2704" t="s">
        <v>36</v>
      </c>
      <c r="M2704" t="s">
        <v>19177</v>
      </c>
      <c r="N2704" t="s">
        <v>519</v>
      </c>
      <c r="O2704" t="s">
        <v>519</v>
      </c>
      <c r="P2704" t="s">
        <v>454</v>
      </c>
    </row>
    <row r="2705">
      <c r="A2705">
        <f>HYPERLINK("http://bombeiros.sp.gov.br/hidrantes/03individual/1159.html","1159")</f>
      </c>
      <c r="B2705" t="s">
        <v>454</v>
      </c>
      <c r="C2705" t="s">
        <v>560</v>
      </c>
      <c r="D2705" t="s">
        <v>560</v>
      </c>
      <c r="E2705" t="s">
        <v>64</v>
      </c>
      <c r="F2705" t="s">
        <v>8627</v>
      </c>
      <c r="G2705" t="s">
        <v>17984</v>
      </c>
      <c r="H2705" t="s">
        <v>1107</v>
      </c>
      <c r="I2705" t="s">
        <v>1108</v>
      </c>
      <c r="J2705" t="s">
        <v>8628</v>
      </c>
      <c r="K2705" t="s">
        <v>8629</v>
      </c>
      <c r="L2705" t="s">
        <v>36</v>
      </c>
      <c r="M2705" t="s">
        <v>19177</v>
      </c>
      <c r="N2705" t="s">
        <v>519</v>
      </c>
      <c r="O2705" t="s">
        <v>519</v>
      </c>
      <c r="P2705" t="s">
        <v>454</v>
      </c>
    </row>
    <row r="2706">
      <c r="A2706">
        <f>HYPERLINK("http://bombeiros.sp.gov.br/hidrantes/03individual/1303.html","1303")</f>
      </c>
      <c r="B2706" t="s">
        <v>454</v>
      </c>
      <c r="C2706" t="s">
        <v>560</v>
      </c>
      <c r="D2706" t="s">
        <v>560</v>
      </c>
      <c r="E2706" t="s">
        <v>64</v>
      </c>
      <c r="F2706" t="s">
        <v>8630</v>
      </c>
      <c r="G2706" t="s">
        <v>18075</v>
      </c>
      <c r="H2706" t="s">
        <v>1121</v>
      </c>
      <c r="I2706" t="s">
        <v>1117</v>
      </c>
      <c r="J2706" t="s">
        <v>8631</v>
      </c>
      <c r="K2706" t="s">
        <v>8632</v>
      </c>
      <c r="L2706" t="s">
        <v>36</v>
      </c>
      <c r="M2706" t="s">
        <v>19177</v>
      </c>
      <c r="N2706" t="s">
        <v>519</v>
      </c>
      <c r="O2706" t="s">
        <v>519</v>
      </c>
      <c r="P2706" t="s">
        <v>454</v>
      </c>
    </row>
    <row r="2707">
      <c r="A2707">
        <f>HYPERLINK("http://bombeiros.sp.gov.br/hidrantes/03individual/1314.html","1314")</f>
      </c>
      <c r="B2707" t="s">
        <v>454</v>
      </c>
      <c r="C2707" t="s">
        <v>560</v>
      </c>
      <c r="D2707" t="s">
        <v>560</v>
      </c>
      <c r="E2707" t="s">
        <v>64</v>
      </c>
      <c r="F2707" t="s">
        <v>8633</v>
      </c>
      <c r="G2707" t="s">
        <v>18119</v>
      </c>
      <c r="H2707" t="s">
        <v>1121</v>
      </c>
      <c r="I2707" t="s">
        <v>1117</v>
      </c>
      <c r="J2707" t="s">
        <v>8634</v>
      </c>
      <c r="K2707" t="s">
        <v>8635</v>
      </c>
      <c r="L2707" t="s">
        <v>36</v>
      </c>
      <c r="M2707" t="s">
        <v>19177</v>
      </c>
      <c r="N2707" t="s">
        <v>519</v>
      </c>
      <c r="O2707" t="s">
        <v>519</v>
      </c>
      <c r="P2707" t="s">
        <v>454</v>
      </c>
    </row>
    <row r="2708">
      <c r="A2708">
        <f>HYPERLINK("http://bombeiros.sp.gov.br/hidrantes/03individual/3363.html","3363")</f>
      </c>
      <c r="B2708" t="s">
        <v>454</v>
      </c>
      <c r="C2708" t="s">
        <v>560</v>
      </c>
      <c r="D2708" t="s">
        <v>560</v>
      </c>
      <c r="E2708" t="s">
        <v>64</v>
      </c>
      <c r="F2708" t="s">
        <v>8636</v>
      </c>
      <c r="G2708" t="s">
        <v>18130</v>
      </c>
      <c r="H2708" t="s">
        <v>1121</v>
      </c>
      <c r="I2708" t="s">
        <v>1117</v>
      </c>
      <c r="J2708" t="s">
        <v>8637</v>
      </c>
      <c r="K2708" t="s">
        <v>8638</v>
      </c>
      <c r="L2708" t="s">
        <v>36</v>
      </c>
      <c r="M2708" t="s">
        <v>19177</v>
      </c>
      <c r="N2708" t="s">
        <v>519</v>
      </c>
      <c r="O2708" t="s">
        <v>519</v>
      </c>
      <c r="P2708" t="s">
        <v>454</v>
      </c>
    </row>
    <row r="2709">
      <c r="A2709">
        <f>HYPERLINK("http://bombeiros.sp.gov.br/hidrantes/03individual/4095.html","4095")</f>
      </c>
      <c r="B2709" t="s">
        <v>454</v>
      </c>
      <c r="C2709" t="s">
        <v>560</v>
      </c>
      <c r="D2709" t="s">
        <v>560</v>
      </c>
      <c r="E2709" t="s">
        <v>64</v>
      </c>
      <c r="F2709" t="s">
        <v>8639</v>
      </c>
      <c r="G2709" t="s">
        <v>18149</v>
      </c>
      <c r="H2709" t="s">
        <v>1121</v>
      </c>
      <c r="I2709" t="s">
        <v>1117</v>
      </c>
      <c r="J2709" t="s">
        <v>8640</v>
      </c>
      <c r="K2709" t="s">
        <v>8641</v>
      </c>
      <c r="L2709" t="s">
        <v>21</v>
      </c>
      <c r="M2709" t="s">
        <v>19177</v>
      </c>
      <c r="N2709" t="s">
        <v>519</v>
      </c>
      <c r="O2709" t="s">
        <v>519</v>
      </c>
      <c r="P2709" t="s">
        <v>454</v>
      </c>
    </row>
    <row r="2710">
      <c r="A2710">
        <f>HYPERLINK("http://bombeiros.sp.gov.br/hidrantes/03individual/4098.html","4098")</f>
      </c>
      <c r="B2710" t="s">
        <v>454</v>
      </c>
      <c r="C2710" t="s">
        <v>560</v>
      </c>
      <c r="D2710" t="s">
        <v>560</v>
      </c>
      <c r="E2710" t="s">
        <v>64</v>
      </c>
      <c r="F2710" t="s">
        <v>8642</v>
      </c>
      <c r="G2710" t="s">
        <v>18119</v>
      </c>
      <c r="H2710" t="s">
        <v>1112</v>
      </c>
      <c r="I2710" t="s">
        <v>1108</v>
      </c>
      <c r="J2710" t="s">
        <v>8643</v>
      </c>
      <c r="K2710" t="s">
        <v>8644</v>
      </c>
      <c r="L2710" t="s">
        <v>21</v>
      </c>
      <c r="M2710" t="s">
        <v>19177</v>
      </c>
      <c r="N2710" t="s">
        <v>519</v>
      </c>
      <c r="O2710" t="s">
        <v>519</v>
      </c>
      <c r="P2710" t="s">
        <v>454</v>
      </c>
    </row>
    <row r="2711">
      <c r="A2711">
        <f>HYPERLINK("http://bombeiros.sp.gov.br/hidrantes/03individual/4100.html","4100")</f>
      </c>
      <c r="B2711" t="s">
        <v>454</v>
      </c>
      <c r="C2711" t="s">
        <v>560</v>
      </c>
      <c r="D2711" t="s">
        <v>560</v>
      </c>
      <c r="E2711" t="s">
        <v>64</v>
      </c>
      <c r="F2711" t="s">
        <v>8645</v>
      </c>
      <c r="G2711" t="s">
        <v>18149</v>
      </c>
      <c r="H2711" t="s">
        <v>1112</v>
      </c>
      <c r="I2711" t="s">
        <v>1108</v>
      </c>
      <c r="J2711" t="s">
        <v>8646</v>
      </c>
      <c r="K2711" t="s">
        <v>8647</v>
      </c>
      <c r="L2711" t="s">
        <v>21</v>
      </c>
      <c r="M2711" t="s">
        <v>19177</v>
      </c>
      <c r="N2711" t="s">
        <v>519</v>
      </c>
      <c r="O2711" t="s">
        <v>519</v>
      </c>
      <c r="P2711" t="s">
        <v>454</v>
      </c>
    </row>
    <row r="2712">
      <c r="A2712">
        <f>HYPERLINK("http://bombeiros.sp.gov.br/hidrantes/03individual/27264.html","27264")</f>
      </c>
      <c r="B2712" t="s">
        <v>454</v>
      </c>
      <c r="C2712" t="s">
        <v>560</v>
      </c>
      <c r="D2712" t="s">
        <v>560</v>
      </c>
      <c r="E2712" t="s">
        <v>64</v>
      </c>
      <c r="F2712" t="s">
        <v>17025</v>
      </c>
      <c r="G2712" t="s">
        <v>18096</v>
      </c>
      <c r="H2712" t="s">
        <v>1112</v>
      </c>
      <c r="I2712" t="s">
        <v>1108</v>
      </c>
      <c r="J2712" t="s">
        <v>17026</v>
      </c>
      <c r="K2712" t="s">
        <v>17027</v>
      </c>
      <c r="L2712" t="s">
        <v>21</v>
      </c>
      <c r="M2712" t="s">
        <v>19177</v>
      </c>
      <c r="N2712" t="s">
        <v>519</v>
      </c>
      <c r="O2712" t="s">
        <v>519</v>
      </c>
      <c r="P2712" t="s">
        <v>454</v>
      </c>
    </row>
    <row r="2713">
      <c r="A2713">
        <f>HYPERLINK("http://bombeiros.sp.gov.br/hidrantes/03individual/981.html","981")</f>
      </c>
      <c r="B2713" t="s">
        <v>454</v>
      </c>
      <c r="C2713" t="s">
        <v>560</v>
      </c>
      <c r="D2713" t="s">
        <v>560</v>
      </c>
      <c r="E2713" t="s">
        <v>15</v>
      </c>
      <c r="F2713" t="s">
        <v>8648</v>
      </c>
      <c r="G2713" t="s">
        <v>18205</v>
      </c>
      <c r="H2713" t="s">
        <v>1107</v>
      </c>
      <c r="I2713" t="s">
        <v>1108</v>
      </c>
      <c r="J2713" t="s">
        <v>8649</v>
      </c>
      <c r="K2713" t="s">
        <v>8650</v>
      </c>
      <c r="L2713" t="s">
        <v>21</v>
      </c>
      <c r="M2713" t="s">
        <v>19177</v>
      </c>
      <c r="N2713" t="s">
        <v>519</v>
      </c>
      <c r="O2713" t="s">
        <v>519</v>
      </c>
      <c r="P2713" t="s">
        <v>454</v>
      </c>
    </row>
    <row r="2714">
      <c r="A2714">
        <f>HYPERLINK("http://bombeiros.sp.gov.br/hidrantes/03individual/1049.html","1049")</f>
      </c>
      <c r="B2714" t="s">
        <v>454</v>
      </c>
      <c r="C2714" t="s">
        <v>560</v>
      </c>
      <c r="D2714" t="s">
        <v>560</v>
      </c>
      <c r="E2714" t="s">
        <v>15</v>
      </c>
      <c r="F2714" t="s">
        <v>8651</v>
      </c>
      <c r="G2714" t="s">
        <v>18046</v>
      </c>
      <c r="H2714" t="s">
        <v>1112</v>
      </c>
      <c r="I2714" t="s">
        <v>1108</v>
      </c>
      <c r="J2714" t="s">
        <v>8652</v>
      </c>
      <c r="K2714" t="s">
        <v>8653</v>
      </c>
      <c r="L2714" t="s">
        <v>21</v>
      </c>
      <c r="M2714" t="s">
        <v>19177</v>
      </c>
      <c r="N2714" t="s">
        <v>519</v>
      </c>
      <c r="O2714" t="s">
        <v>519</v>
      </c>
      <c r="P2714" t="s">
        <v>454</v>
      </c>
    </row>
    <row r="2715">
      <c r="A2715">
        <f>HYPERLINK("http://bombeiros.sp.gov.br/hidrantes/03individual/1086.html","1086")</f>
      </c>
      <c r="B2715" t="s">
        <v>454</v>
      </c>
      <c r="C2715" t="s">
        <v>560</v>
      </c>
      <c r="D2715" t="s">
        <v>560</v>
      </c>
      <c r="E2715" t="s">
        <v>15</v>
      </c>
      <c r="F2715" t="s">
        <v>8654</v>
      </c>
      <c r="G2715" t="s">
        <v>18129</v>
      </c>
      <c r="H2715" t="s">
        <v>1121</v>
      </c>
      <c r="I2715" t="s">
        <v>1117</v>
      </c>
      <c r="J2715" t="s">
        <v>8655</v>
      </c>
      <c r="K2715" t="s">
        <v>8656</v>
      </c>
      <c r="L2715" t="s">
        <v>21</v>
      </c>
      <c r="M2715" t="s">
        <v>19177</v>
      </c>
      <c r="N2715" t="s">
        <v>519</v>
      </c>
      <c r="O2715" t="s">
        <v>519</v>
      </c>
      <c r="P2715" t="s">
        <v>454</v>
      </c>
    </row>
    <row r="2716">
      <c r="A2716">
        <f>HYPERLINK("http://bombeiros.sp.gov.br/hidrantes/03individual/1094.html","1094")</f>
      </c>
      <c r="B2716" t="s">
        <v>454</v>
      </c>
      <c r="C2716" t="s">
        <v>560</v>
      </c>
      <c r="D2716" t="s">
        <v>560</v>
      </c>
      <c r="E2716" t="s">
        <v>15</v>
      </c>
      <c r="F2716" t="s">
        <v>8657</v>
      </c>
      <c r="G2716" t="s">
        <v>18205</v>
      </c>
      <c r="H2716" t="s">
        <v>1112</v>
      </c>
      <c r="I2716" t="s">
        <v>1108</v>
      </c>
      <c r="J2716" t="s">
        <v>8658</v>
      </c>
      <c r="K2716" t="s">
        <v>8659</v>
      </c>
      <c r="L2716" t="s">
        <v>21</v>
      </c>
      <c r="M2716" t="s">
        <v>19177</v>
      </c>
      <c r="N2716" t="s">
        <v>519</v>
      </c>
      <c r="O2716" t="s">
        <v>519</v>
      </c>
      <c r="P2716" t="s">
        <v>454</v>
      </c>
    </row>
    <row r="2717">
      <c r="A2717">
        <f>HYPERLINK("http://bombeiros.sp.gov.br/hidrantes/03individual/1114.html","1114")</f>
      </c>
      <c r="B2717" t="s">
        <v>454</v>
      </c>
      <c r="C2717" t="s">
        <v>560</v>
      </c>
      <c r="D2717" t="s">
        <v>560</v>
      </c>
      <c r="E2717" t="s">
        <v>15</v>
      </c>
      <c r="F2717" t="s">
        <v>8660</v>
      </c>
      <c r="G2717" t="s">
        <v>17921</v>
      </c>
      <c r="H2717" t="s">
        <v>1107</v>
      </c>
      <c r="I2717" t="s">
        <v>1108</v>
      </c>
      <c r="J2717" t="s">
        <v>8661</v>
      </c>
      <c r="K2717" t="s">
        <v>8662</v>
      </c>
      <c r="L2717" t="s">
        <v>21</v>
      </c>
      <c r="M2717" t="s">
        <v>19177</v>
      </c>
      <c r="N2717" t="s">
        <v>519</v>
      </c>
      <c r="O2717" t="s">
        <v>519</v>
      </c>
      <c r="P2717" t="s">
        <v>454</v>
      </c>
    </row>
    <row r="2718">
      <c r="A2718">
        <f>HYPERLINK("http://bombeiros.sp.gov.br/hidrantes/03individual/1136.html","1136")</f>
      </c>
      <c r="B2718" t="s">
        <v>454</v>
      </c>
      <c r="C2718" t="s">
        <v>560</v>
      </c>
      <c r="D2718" t="s">
        <v>560</v>
      </c>
      <c r="E2718" t="s">
        <v>15</v>
      </c>
      <c r="F2718" t="s">
        <v>8663</v>
      </c>
      <c r="G2718" t="s">
        <v>18074</v>
      </c>
      <c r="H2718" t="s">
        <v>1112</v>
      </c>
      <c r="I2718" t="s">
        <v>1108</v>
      </c>
      <c r="J2718" t="s">
        <v>8664</v>
      </c>
      <c r="K2718" t="s">
        <v>8665</v>
      </c>
      <c r="L2718" t="s">
        <v>21</v>
      </c>
      <c r="M2718" t="s">
        <v>19177</v>
      </c>
      <c r="N2718" t="s">
        <v>519</v>
      </c>
      <c r="O2718" t="s">
        <v>519</v>
      </c>
      <c r="P2718" t="s">
        <v>454</v>
      </c>
    </row>
    <row r="2719">
      <c r="A2719">
        <f>HYPERLINK("http://bombeiros.sp.gov.br/hidrantes/03individual/1199.html","1199")</f>
      </c>
      <c r="B2719" t="s">
        <v>454</v>
      </c>
      <c r="C2719" t="s">
        <v>560</v>
      </c>
      <c r="D2719" t="s">
        <v>560</v>
      </c>
      <c r="E2719" t="s">
        <v>15</v>
      </c>
      <c r="F2719" t="s">
        <v>8666</v>
      </c>
      <c r="G2719" t="s">
        <v>18074</v>
      </c>
      <c r="H2719" t="s">
        <v>1112</v>
      </c>
      <c r="I2719" t="s">
        <v>1108</v>
      </c>
      <c r="J2719" t="s">
        <v>8667</v>
      </c>
      <c r="K2719" t="s">
        <v>8668</v>
      </c>
      <c r="L2719" t="s">
        <v>21</v>
      </c>
      <c r="M2719" t="s">
        <v>19177</v>
      </c>
      <c r="N2719" t="s">
        <v>519</v>
      </c>
      <c r="O2719" t="s">
        <v>519</v>
      </c>
      <c r="P2719" t="s">
        <v>454</v>
      </c>
    </row>
    <row r="2720">
      <c r="A2720">
        <f>HYPERLINK("http://bombeiros.sp.gov.br/hidrantes/03individual/1200.html","1200")</f>
      </c>
      <c r="B2720" t="s">
        <v>454</v>
      </c>
      <c r="C2720" t="s">
        <v>560</v>
      </c>
      <c r="D2720" t="s">
        <v>560</v>
      </c>
      <c r="E2720" t="s">
        <v>15</v>
      </c>
      <c r="F2720" t="s">
        <v>8669</v>
      </c>
      <c r="G2720" t="s">
        <v>18046</v>
      </c>
      <c r="H2720" t="s">
        <v>1112</v>
      </c>
      <c r="I2720" t="s">
        <v>1108</v>
      </c>
      <c r="J2720" t="s">
        <v>8670</v>
      </c>
      <c r="K2720" t="s">
        <v>8671</v>
      </c>
      <c r="L2720" t="s">
        <v>36</v>
      </c>
      <c r="M2720" t="s">
        <v>19177</v>
      </c>
      <c r="N2720" t="s">
        <v>519</v>
      </c>
      <c r="O2720" t="s">
        <v>519</v>
      </c>
      <c r="P2720" t="s">
        <v>454</v>
      </c>
    </row>
    <row r="2721">
      <c r="A2721">
        <f>HYPERLINK("http://bombeiros.sp.gov.br/hidrantes/03individual/1202.html","1202")</f>
      </c>
      <c r="B2721" t="s">
        <v>454</v>
      </c>
      <c r="C2721" t="s">
        <v>560</v>
      </c>
      <c r="D2721" t="s">
        <v>560</v>
      </c>
      <c r="E2721" t="s">
        <v>15</v>
      </c>
      <c r="F2721" t="s">
        <v>8672</v>
      </c>
      <c r="G2721" t="s">
        <v>18118</v>
      </c>
      <c r="H2721" t="s">
        <v>1112</v>
      </c>
      <c r="I2721" t="s">
        <v>1108</v>
      </c>
      <c r="J2721" t="s">
        <v>8673</v>
      </c>
      <c r="K2721" t="s">
        <v>8674</v>
      </c>
      <c r="L2721" t="s">
        <v>21</v>
      </c>
      <c r="M2721" t="s">
        <v>19177</v>
      </c>
      <c r="N2721" t="s">
        <v>519</v>
      </c>
      <c r="O2721" t="s">
        <v>519</v>
      </c>
      <c r="P2721" t="s">
        <v>454</v>
      </c>
    </row>
    <row r="2722">
      <c r="A2722">
        <f>HYPERLINK("http://bombeiros.sp.gov.br/hidrantes/03individual/1206.html","1206")</f>
      </c>
      <c r="B2722" t="s">
        <v>454</v>
      </c>
      <c r="C2722" t="s">
        <v>560</v>
      </c>
      <c r="D2722" t="s">
        <v>560</v>
      </c>
      <c r="E2722" t="s">
        <v>15</v>
      </c>
      <c r="F2722" t="s">
        <v>8675</v>
      </c>
      <c r="G2722" t="s">
        <v>18149</v>
      </c>
      <c r="H2722" t="s">
        <v>1174</v>
      </c>
      <c r="I2722" t="s">
        <v>1108</v>
      </c>
      <c r="J2722" t="s">
        <v>8676</v>
      </c>
      <c r="K2722" t="s">
        <v>8677</v>
      </c>
      <c r="L2722" t="s">
        <v>21</v>
      </c>
      <c r="M2722" t="s">
        <v>19177</v>
      </c>
      <c r="N2722" t="s">
        <v>519</v>
      </c>
      <c r="O2722" t="s">
        <v>519</v>
      </c>
      <c r="P2722" t="s">
        <v>454</v>
      </c>
    </row>
    <row r="2723">
      <c r="A2723">
        <f>HYPERLINK("http://bombeiros.sp.gov.br/hidrantes/03individual/1262.html","1262")</f>
      </c>
      <c r="B2723" t="s">
        <v>454</v>
      </c>
      <c r="C2723" t="s">
        <v>560</v>
      </c>
      <c r="D2723" t="s">
        <v>560</v>
      </c>
      <c r="E2723" t="s">
        <v>15</v>
      </c>
      <c r="F2723" t="s">
        <v>8678</v>
      </c>
      <c r="G2723" t="s">
        <v>18003</v>
      </c>
      <c r="H2723" t="s">
        <v>1174</v>
      </c>
      <c r="I2723" t="s">
        <v>1108</v>
      </c>
      <c r="J2723" t="s">
        <v>8679</v>
      </c>
      <c r="K2723" t="s">
        <v>8680</v>
      </c>
      <c r="L2723" t="s">
        <v>21</v>
      </c>
      <c r="M2723" t="s">
        <v>19177</v>
      </c>
      <c r="N2723" t="s">
        <v>519</v>
      </c>
      <c r="O2723" t="s">
        <v>519</v>
      </c>
      <c r="P2723" t="s">
        <v>454</v>
      </c>
    </row>
    <row r="2724">
      <c r="A2724">
        <f>HYPERLINK("http://bombeiros.sp.gov.br/hidrantes/03individual/1266.html","1266")</f>
      </c>
      <c r="B2724" t="s">
        <v>454</v>
      </c>
      <c r="C2724" t="s">
        <v>560</v>
      </c>
      <c r="D2724" t="s">
        <v>560</v>
      </c>
      <c r="E2724" t="s">
        <v>15</v>
      </c>
      <c r="F2724" t="s">
        <v>8681</v>
      </c>
      <c r="G2724" t="s">
        <v>18197</v>
      </c>
      <c r="H2724" t="s">
        <v>1112</v>
      </c>
      <c r="I2724" t="s">
        <v>1108</v>
      </c>
      <c r="J2724" t="s">
        <v>8683</v>
      </c>
      <c r="K2724" t="s">
        <v>8684</v>
      </c>
      <c r="L2724" t="s">
        <v>36</v>
      </c>
      <c r="M2724" t="s">
        <v>19177</v>
      </c>
      <c r="N2724" t="s">
        <v>519</v>
      </c>
      <c r="O2724" t="s">
        <v>519</v>
      </c>
      <c r="P2724" t="s">
        <v>454</v>
      </c>
    </row>
    <row r="2725">
      <c r="A2725">
        <f>HYPERLINK("http://bombeiros.sp.gov.br/hidrantes/03individual/1299.html","1299")</f>
      </c>
      <c r="B2725" t="s">
        <v>454</v>
      </c>
      <c r="C2725" t="s">
        <v>560</v>
      </c>
      <c r="D2725" t="s">
        <v>560</v>
      </c>
      <c r="E2725" t="s">
        <v>15</v>
      </c>
      <c r="F2725" t="s">
        <v>8685</v>
      </c>
      <c r="G2725" t="s">
        <v>18075</v>
      </c>
      <c r="H2725" t="s">
        <v>1112</v>
      </c>
      <c r="I2725" t="s">
        <v>1108</v>
      </c>
      <c r="J2725" t="s">
        <v>8686</v>
      </c>
      <c r="K2725" t="s">
        <v>8687</v>
      </c>
      <c r="L2725" t="s">
        <v>21</v>
      </c>
      <c r="M2725" t="s">
        <v>19177</v>
      </c>
      <c r="N2725" t="s">
        <v>519</v>
      </c>
      <c r="O2725" t="s">
        <v>519</v>
      </c>
      <c r="P2725" t="s">
        <v>454</v>
      </c>
    </row>
    <row r="2726">
      <c r="A2726">
        <f>HYPERLINK("http://bombeiros.sp.gov.br/hidrantes/03individual/1301.html","1301")</f>
      </c>
      <c r="B2726" t="s">
        <v>454</v>
      </c>
      <c r="C2726" t="s">
        <v>560</v>
      </c>
      <c r="D2726" t="s">
        <v>560</v>
      </c>
      <c r="E2726" t="s">
        <v>15</v>
      </c>
      <c r="F2726" t="s">
        <v>8688</v>
      </c>
      <c r="G2726" t="s">
        <v>18187</v>
      </c>
      <c r="H2726" t="s">
        <v>1112</v>
      </c>
      <c r="I2726" t="s">
        <v>1108</v>
      </c>
      <c r="J2726" t="s">
        <v>8689</v>
      </c>
      <c r="K2726" t="s">
        <v>8690</v>
      </c>
      <c r="L2726" t="s">
        <v>21</v>
      </c>
      <c r="M2726" t="s">
        <v>19177</v>
      </c>
      <c r="N2726" t="s">
        <v>519</v>
      </c>
      <c r="O2726" t="s">
        <v>519</v>
      </c>
      <c r="P2726" t="s">
        <v>454</v>
      </c>
    </row>
    <row r="2727">
      <c r="A2727">
        <f>HYPERLINK("http://bombeiros.sp.gov.br/hidrantes/03individual/1316.html","1316")</f>
      </c>
      <c r="B2727" t="s">
        <v>454</v>
      </c>
      <c r="C2727" t="s">
        <v>560</v>
      </c>
      <c r="D2727" t="s">
        <v>560</v>
      </c>
      <c r="E2727" t="s">
        <v>15</v>
      </c>
      <c r="F2727" t="s">
        <v>8691</v>
      </c>
      <c r="G2727" t="s">
        <v>18089</v>
      </c>
      <c r="H2727" t="s">
        <v>1107</v>
      </c>
      <c r="I2727" t="s">
        <v>1108</v>
      </c>
      <c r="J2727" t="s">
        <v>8692</v>
      </c>
      <c r="K2727" t="s">
        <v>8693</v>
      </c>
      <c r="L2727" t="s">
        <v>36</v>
      </c>
      <c r="M2727" t="s">
        <v>19177</v>
      </c>
      <c r="N2727" t="s">
        <v>519</v>
      </c>
      <c r="O2727" t="s">
        <v>519</v>
      </c>
      <c r="P2727" t="s">
        <v>454</v>
      </c>
    </row>
    <row r="2728">
      <c r="A2728">
        <f>HYPERLINK("http://bombeiros.sp.gov.br/hidrantes/03individual/4090.html","4090")</f>
      </c>
      <c r="B2728" t="s">
        <v>454</v>
      </c>
      <c r="C2728" t="s">
        <v>560</v>
      </c>
      <c r="D2728" t="s">
        <v>560</v>
      </c>
      <c r="E2728" t="s">
        <v>15</v>
      </c>
      <c r="F2728" t="s">
        <v>8694</v>
      </c>
      <c r="G2728" t="s">
        <v>18075</v>
      </c>
      <c r="H2728" t="s">
        <v>1112</v>
      </c>
      <c r="I2728" t="s">
        <v>1108</v>
      </c>
      <c r="J2728" t="s">
        <v>8695</v>
      </c>
      <c r="K2728" t="s">
        <v>8696</v>
      </c>
      <c r="L2728" t="s">
        <v>21</v>
      </c>
      <c r="M2728" t="s">
        <v>19177</v>
      </c>
      <c r="N2728" t="s">
        <v>519</v>
      </c>
      <c r="O2728" t="s">
        <v>519</v>
      </c>
      <c r="P2728" t="s">
        <v>454</v>
      </c>
    </row>
    <row r="2729">
      <c r="A2729">
        <f>HYPERLINK("http://bombeiros.sp.gov.br/hidrantes/03individual/4091.html","4091")</f>
      </c>
      <c r="B2729" t="s">
        <v>454</v>
      </c>
      <c r="C2729" t="s">
        <v>560</v>
      </c>
      <c r="D2729" t="s">
        <v>560</v>
      </c>
      <c r="E2729" t="s">
        <v>15</v>
      </c>
      <c r="F2729" t="s">
        <v>8697</v>
      </c>
      <c r="G2729" t="s">
        <v>18027</v>
      </c>
      <c r="H2729" t="s">
        <v>1107</v>
      </c>
      <c r="I2729" t="s">
        <v>1108</v>
      </c>
      <c r="J2729" t="s">
        <v>8698</v>
      </c>
      <c r="K2729" t="s">
        <v>8699</v>
      </c>
      <c r="L2729" t="s">
        <v>21</v>
      </c>
      <c r="M2729" t="s">
        <v>19177</v>
      </c>
      <c r="N2729" t="s">
        <v>519</v>
      </c>
      <c r="O2729" t="s">
        <v>519</v>
      </c>
      <c r="P2729" t="s">
        <v>454</v>
      </c>
    </row>
    <row r="2730">
      <c r="A2730">
        <f>HYPERLINK("http://bombeiros.sp.gov.br/hidrantes/03individual/4102.html","4102")</f>
      </c>
      <c r="B2730" t="s">
        <v>454</v>
      </c>
      <c r="C2730" t="s">
        <v>560</v>
      </c>
      <c r="D2730" t="s">
        <v>560</v>
      </c>
      <c r="E2730" t="s">
        <v>15</v>
      </c>
      <c r="F2730" t="s">
        <v>8703</v>
      </c>
      <c r="G2730" t="s">
        <v>18149</v>
      </c>
      <c r="H2730" t="s">
        <v>1107</v>
      </c>
      <c r="I2730" t="s">
        <v>1108</v>
      </c>
      <c r="J2730" t="s">
        <v>8704</v>
      </c>
      <c r="K2730" t="s">
        <v>8705</v>
      </c>
      <c r="L2730" t="s">
        <v>21</v>
      </c>
      <c r="M2730" t="s">
        <v>19177</v>
      </c>
      <c r="N2730" t="s">
        <v>519</v>
      </c>
      <c r="O2730" t="s">
        <v>519</v>
      </c>
      <c r="P2730" t="s">
        <v>454</v>
      </c>
    </row>
    <row r="2731">
      <c r="A2731">
        <f>HYPERLINK("http://bombeiros.sp.gov.br/hidrantes/03individual/4103.html","4103")</f>
      </c>
      <c r="B2731" t="s">
        <v>454</v>
      </c>
      <c r="C2731" t="s">
        <v>560</v>
      </c>
      <c r="D2731" t="s">
        <v>560</v>
      </c>
      <c r="E2731" t="s">
        <v>15</v>
      </c>
      <c r="F2731" t="s">
        <v>8706</v>
      </c>
      <c r="G2731" t="s">
        <v>18165</v>
      </c>
      <c r="H2731" t="s">
        <v>1121</v>
      </c>
      <c r="I2731" t="s">
        <v>1117</v>
      </c>
      <c r="J2731" t="s">
        <v>8707</v>
      </c>
      <c r="K2731" t="s">
        <v>8708</v>
      </c>
      <c r="L2731" t="s">
        <v>21</v>
      </c>
      <c r="M2731" t="s">
        <v>19177</v>
      </c>
      <c r="N2731" t="s">
        <v>519</v>
      </c>
      <c r="O2731" t="s">
        <v>519</v>
      </c>
      <c r="P2731" t="s">
        <v>454</v>
      </c>
    </row>
    <row r="2732">
      <c r="A2732">
        <f>HYPERLINK("http://bombeiros.sp.gov.br/hidrantes/03individual/5559.html","5559")</f>
      </c>
      <c r="B2732" t="s">
        <v>454</v>
      </c>
      <c r="C2732" t="s">
        <v>560</v>
      </c>
      <c r="D2732" t="s">
        <v>560</v>
      </c>
      <c r="E2732" t="s">
        <v>15</v>
      </c>
      <c r="F2732" t="s">
        <v>8709</v>
      </c>
      <c r="G2732" t="s">
        <v>18096</v>
      </c>
      <c r="H2732" t="s">
        <v>1112</v>
      </c>
      <c r="I2732" t="s">
        <v>1108</v>
      </c>
      <c r="J2732" t="s">
        <v>8710</v>
      </c>
      <c r="K2732" t="s">
        <v>8711</v>
      </c>
      <c r="L2732" t="s">
        <v>21</v>
      </c>
      <c r="M2732" t="s">
        <v>19177</v>
      </c>
      <c r="N2732" t="s">
        <v>519</v>
      </c>
      <c r="O2732" t="s">
        <v>519</v>
      </c>
      <c r="P2732" t="s">
        <v>454</v>
      </c>
    </row>
    <row r="2733">
      <c r="A2733">
        <f>HYPERLINK("http://bombeiros.sp.gov.br/hidrantes/03individual/17825.html","17825")</f>
      </c>
      <c r="B2733" t="s">
        <v>454</v>
      </c>
      <c r="C2733" t="s">
        <v>560</v>
      </c>
      <c r="D2733" t="s">
        <v>560</v>
      </c>
      <c r="E2733" t="s">
        <v>15</v>
      </c>
      <c r="F2733" t="s">
        <v>8712</v>
      </c>
      <c r="G2733" t="s">
        <v>18149</v>
      </c>
      <c r="H2733" t="s">
        <v>1107</v>
      </c>
      <c r="I2733" t="s">
        <v>1108</v>
      </c>
      <c r="J2733" t="s">
        <v>8713</v>
      </c>
      <c r="K2733" t="s">
        <v>8714</v>
      </c>
      <c r="L2733" t="s">
        <v>21</v>
      </c>
      <c r="M2733" t="s">
        <v>19177</v>
      </c>
      <c r="N2733" t="s">
        <v>519</v>
      </c>
      <c r="O2733" t="s">
        <v>519</v>
      </c>
      <c r="P2733" t="s">
        <v>454</v>
      </c>
    </row>
    <row r="2734">
      <c r="A2734">
        <f>HYPERLINK("http://bombeiros.sp.gov.br/hidrantes/03individual/17826.html","17826")</f>
      </c>
      <c r="B2734" t="s">
        <v>454</v>
      </c>
      <c r="C2734" t="s">
        <v>560</v>
      </c>
      <c r="D2734" t="s">
        <v>560</v>
      </c>
      <c r="E2734" t="s">
        <v>15</v>
      </c>
      <c r="F2734" t="s">
        <v>8715</v>
      </c>
      <c r="G2734" t="s">
        <v>18075</v>
      </c>
      <c r="H2734" t="s">
        <v>1174</v>
      </c>
      <c r="I2734" t="s">
        <v>1117</v>
      </c>
      <c r="J2734" t="s">
        <v>8716</v>
      </c>
      <c r="K2734" t="s">
        <v>8717</v>
      </c>
      <c r="L2734" t="s">
        <v>21</v>
      </c>
      <c r="M2734" t="s">
        <v>19177</v>
      </c>
      <c r="N2734" t="s">
        <v>519</v>
      </c>
      <c r="O2734" t="s">
        <v>519</v>
      </c>
      <c r="P2734" t="s">
        <v>454</v>
      </c>
    </row>
    <row r="2735">
      <c r="A2735">
        <f>HYPERLINK("http://bombeiros.sp.gov.br/hidrantes/03individual/17827.html","17827")</f>
      </c>
      <c r="B2735" t="s">
        <v>454</v>
      </c>
      <c r="C2735" t="s">
        <v>560</v>
      </c>
      <c r="D2735" t="s">
        <v>560</v>
      </c>
      <c r="E2735" t="s">
        <v>15</v>
      </c>
      <c r="F2735" t="s">
        <v>8718</v>
      </c>
      <c r="G2735" t="s">
        <v>18075</v>
      </c>
      <c r="H2735" t="s">
        <v>1112</v>
      </c>
      <c r="I2735" t="s">
        <v>1108</v>
      </c>
      <c r="J2735" t="s">
        <v>8719</v>
      </c>
      <c r="K2735" t="s">
        <v>8720</v>
      </c>
      <c r="L2735" t="s">
        <v>21</v>
      </c>
      <c r="M2735" t="s">
        <v>19177</v>
      </c>
      <c r="N2735" t="s">
        <v>519</v>
      </c>
      <c r="O2735" t="s">
        <v>519</v>
      </c>
      <c r="P2735" t="s">
        <v>454</v>
      </c>
    </row>
    <row r="2736">
      <c r="A2736">
        <f>HYPERLINK("http://bombeiros.sp.gov.br/hidrantes/03individual/17828.html","17828")</f>
      </c>
      <c r="B2736" t="s">
        <v>454</v>
      </c>
      <c r="C2736" t="s">
        <v>560</v>
      </c>
      <c r="D2736" t="s">
        <v>560</v>
      </c>
      <c r="E2736" t="s">
        <v>15</v>
      </c>
      <c r="F2736" t="s">
        <v>8721</v>
      </c>
      <c r="G2736" t="s">
        <v>18257</v>
      </c>
      <c r="H2736" t="s">
        <v>1121</v>
      </c>
      <c r="I2736" t="s">
        <v>1117</v>
      </c>
      <c r="J2736" t="s">
        <v>8722</v>
      </c>
      <c r="K2736" t="s">
        <v>8723</v>
      </c>
      <c r="L2736" t="s">
        <v>21</v>
      </c>
      <c r="M2736" t="s">
        <v>19177</v>
      </c>
      <c r="N2736" t="s">
        <v>519</v>
      </c>
      <c r="O2736" t="s">
        <v>519</v>
      </c>
      <c r="P2736" t="s">
        <v>454</v>
      </c>
    </row>
    <row r="2737">
      <c r="A2737">
        <f>HYPERLINK("http://bombeiros.sp.gov.br/hidrantes/03individual/17829.html","17829")</f>
      </c>
      <c r="B2737" t="s">
        <v>454</v>
      </c>
      <c r="C2737" t="s">
        <v>560</v>
      </c>
      <c r="D2737" t="s">
        <v>560</v>
      </c>
      <c r="E2737" t="s">
        <v>15</v>
      </c>
      <c r="F2737" t="s">
        <v>8724</v>
      </c>
      <c r="G2737" t="s">
        <v>18129</v>
      </c>
      <c r="H2737" t="s">
        <v>1107</v>
      </c>
      <c r="I2737" t="s">
        <v>1117</v>
      </c>
      <c r="J2737" t="s">
        <v>8725</v>
      </c>
      <c r="K2737" t="s">
        <v>8726</v>
      </c>
      <c r="L2737" t="s">
        <v>21</v>
      </c>
      <c r="M2737" t="s">
        <v>19177</v>
      </c>
      <c r="N2737" t="s">
        <v>519</v>
      </c>
      <c r="O2737" t="s">
        <v>519</v>
      </c>
      <c r="P2737" t="s">
        <v>454</v>
      </c>
    </row>
    <row r="2738">
      <c r="A2738">
        <f>HYPERLINK("http://bombeiros.sp.gov.br/hidrantes/03individual/27265.html","27265")</f>
      </c>
      <c r="B2738" t="s">
        <v>454</v>
      </c>
      <c r="C2738" t="s">
        <v>560</v>
      </c>
      <c r="D2738" t="s">
        <v>560</v>
      </c>
      <c r="E2738" t="s">
        <v>15</v>
      </c>
      <c r="F2738" t="s">
        <v>17028</v>
      </c>
      <c r="G2738" t="s">
        <v>18131</v>
      </c>
      <c r="H2738" t="s">
        <v>1121</v>
      </c>
      <c r="I2738" t="s">
        <v>1117</v>
      </c>
      <c r="J2738" t="s">
        <v>17029</v>
      </c>
      <c r="K2738" t="s">
        <v>17030</v>
      </c>
      <c r="L2738" t="s">
        <v>21</v>
      </c>
      <c r="M2738" t="s">
        <v>19177</v>
      </c>
      <c r="N2738" t="s">
        <v>519</v>
      </c>
      <c r="O2738" t="s">
        <v>519</v>
      </c>
      <c r="P2738" t="s">
        <v>454</v>
      </c>
    </row>
    <row r="2739">
      <c r="A2739">
        <f>HYPERLINK("http://bombeiros.sp.gov.br/hidrantes/03individual/27617.html","27617")</f>
      </c>
      <c r="B2739" t="s">
        <v>454</v>
      </c>
      <c r="C2739" t="s">
        <v>560</v>
      </c>
      <c r="D2739" t="s">
        <v>560</v>
      </c>
      <c r="E2739" t="s">
        <v>15</v>
      </c>
      <c r="F2739" t="s">
        <v>17505</v>
      </c>
      <c r="G2739" t="s">
        <v>18131</v>
      </c>
      <c r="H2739" t="s">
        <v>1121</v>
      </c>
      <c r="I2739" t="s">
        <v>1117</v>
      </c>
      <c r="J2739" t="s">
        <v>17506</v>
      </c>
      <c r="K2739" t="s">
        <v>17507</v>
      </c>
      <c r="L2739" t="s">
        <v>21</v>
      </c>
      <c r="M2739" t="s">
        <v>19177</v>
      </c>
      <c r="N2739" t="s">
        <v>519</v>
      </c>
      <c r="O2739" t="s">
        <v>519</v>
      </c>
      <c r="P2739" t="s">
        <v>454</v>
      </c>
    </row>
    <row r="2740">
      <c r="A2740">
        <f>HYPERLINK("http://bombeiros.sp.gov.br/hidrantes/03individual/3548.html","3548")</f>
      </c>
      <c r="B2740" t="s">
        <v>454</v>
      </c>
      <c r="C2740" t="s">
        <v>565</v>
      </c>
      <c r="D2740" t="s">
        <v>8727</v>
      </c>
      <c r="E2740" t="s">
        <v>64</v>
      </c>
      <c r="F2740" t="s">
        <v>8728</v>
      </c>
      <c r="G2740" t="s">
        <v>18206</v>
      </c>
      <c r="H2740" t="s">
        <v>1112</v>
      </c>
      <c r="I2740" t="s">
        <v>1108</v>
      </c>
      <c r="J2740" t="s">
        <v>8729</v>
      </c>
      <c r="K2740" t="s">
        <v>8730</v>
      </c>
      <c r="L2740" t="s">
        <v>36</v>
      </c>
      <c r="M2740" t="s">
        <v>19177</v>
      </c>
      <c r="N2740" t="s">
        <v>531</v>
      </c>
      <c r="O2740" t="s">
        <v>531</v>
      </c>
      <c r="P2740" t="s">
        <v>454</v>
      </c>
    </row>
    <row r="2741">
      <c r="A2741">
        <f>HYPERLINK("http://bombeiros.sp.gov.br/hidrantes/03individual/3551.html","3551")</f>
      </c>
      <c r="B2741" t="s">
        <v>454</v>
      </c>
      <c r="C2741" t="s">
        <v>565</v>
      </c>
      <c r="D2741" t="s">
        <v>8727</v>
      </c>
      <c r="E2741" t="s">
        <v>64</v>
      </c>
      <c r="F2741" t="s">
        <v>8731</v>
      </c>
      <c r="G2741" t="s">
        <v>18206</v>
      </c>
      <c r="H2741" t="s">
        <v>1112</v>
      </c>
      <c r="I2741" t="s">
        <v>1108</v>
      </c>
      <c r="J2741" t="s">
        <v>8732</v>
      </c>
      <c r="K2741" t="s">
        <v>8733</v>
      </c>
      <c r="L2741" t="s">
        <v>21</v>
      </c>
      <c r="M2741" t="s">
        <v>19177</v>
      </c>
      <c r="N2741" t="s">
        <v>531</v>
      </c>
      <c r="O2741" t="s">
        <v>531</v>
      </c>
      <c r="P2741" t="s">
        <v>454</v>
      </c>
    </row>
    <row r="2742">
      <c r="A2742">
        <f>HYPERLINK("http://bombeiros.sp.gov.br/hidrantes/03individual/3570.html","3570")</f>
      </c>
      <c r="B2742" t="s">
        <v>454</v>
      </c>
      <c r="C2742" t="s">
        <v>565</v>
      </c>
      <c r="D2742" t="s">
        <v>8727</v>
      </c>
      <c r="E2742" t="s">
        <v>64</v>
      </c>
      <c r="F2742" t="s">
        <v>8734</v>
      </c>
      <c r="G2742" t="s">
        <v>18206</v>
      </c>
      <c r="H2742" t="s">
        <v>1112</v>
      </c>
      <c r="I2742" t="s">
        <v>1108</v>
      </c>
      <c r="J2742" t="s">
        <v>8735</v>
      </c>
      <c r="K2742" t="s">
        <v>8736</v>
      </c>
      <c r="L2742" t="s">
        <v>36</v>
      </c>
      <c r="M2742" t="s">
        <v>19177</v>
      </c>
      <c r="N2742" t="s">
        <v>531</v>
      </c>
      <c r="O2742" t="s">
        <v>531</v>
      </c>
      <c r="P2742" t="s">
        <v>454</v>
      </c>
    </row>
    <row r="2743">
      <c r="A2743">
        <f>HYPERLINK("http://bombeiros.sp.gov.br/hidrantes/03individual/3534.html","3534")</f>
      </c>
      <c r="B2743" t="s">
        <v>454</v>
      </c>
      <c r="C2743" t="s">
        <v>565</v>
      </c>
      <c r="D2743" t="s">
        <v>566</v>
      </c>
      <c r="E2743" t="s">
        <v>64</v>
      </c>
      <c r="F2743" t="s">
        <v>8737</v>
      </c>
      <c r="G2743" t="s">
        <v>18054</v>
      </c>
      <c r="H2743" t="s">
        <v>1112</v>
      </c>
      <c r="I2743" t="s">
        <v>1108</v>
      </c>
      <c r="J2743" t="s">
        <v>8738</v>
      </c>
      <c r="K2743" t="s">
        <v>8739</v>
      </c>
      <c r="L2743" t="s">
        <v>36</v>
      </c>
      <c r="M2743" t="s">
        <v>19177</v>
      </c>
      <c r="N2743" t="s">
        <v>594</v>
      </c>
      <c r="O2743" t="s">
        <v>531</v>
      </c>
      <c r="P2743" t="s">
        <v>454</v>
      </c>
    </row>
    <row r="2744">
      <c r="A2744">
        <f>HYPERLINK("http://bombeiros.sp.gov.br/hidrantes/03individual/3543.html","3543")</f>
      </c>
      <c r="B2744" t="s">
        <v>454</v>
      </c>
      <c r="C2744" t="s">
        <v>565</v>
      </c>
      <c r="D2744" t="s">
        <v>566</v>
      </c>
      <c r="E2744" t="s">
        <v>64</v>
      </c>
      <c r="F2744" t="s">
        <v>8740</v>
      </c>
      <c r="G2744" t="s">
        <v>18196</v>
      </c>
      <c r="H2744" t="s">
        <v>1112</v>
      </c>
      <c r="I2744" t="s">
        <v>1108</v>
      </c>
      <c r="J2744" t="s">
        <v>8742</v>
      </c>
      <c r="K2744" t="s">
        <v>8743</v>
      </c>
      <c r="L2744" t="s">
        <v>21</v>
      </c>
      <c r="M2744" t="s">
        <v>19177</v>
      </c>
      <c r="N2744" t="s">
        <v>531</v>
      </c>
      <c r="O2744" t="s">
        <v>531</v>
      </c>
      <c r="P2744" t="s">
        <v>454</v>
      </c>
    </row>
    <row r="2745">
      <c r="A2745">
        <f>HYPERLINK("http://bombeiros.sp.gov.br/hidrantes/03individual/3546.html","3546")</f>
      </c>
      <c r="B2745" t="s">
        <v>454</v>
      </c>
      <c r="C2745" t="s">
        <v>565</v>
      </c>
      <c r="D2745" t="s">
        <v>566</v>
      </c>
      <c r="E2745" t="s">
        <v>64</v>
      </c>
      <c r="F2745" t="s">
        <v>8744</v>
      </c>
      <c r="G2745" t="s">
        <v>18054</v>
      </c>
      <c r="H2745" t="s">
        <v>1112</v>
      </c>
      <c r="I2745" t="s">
        <v>1108</v>
      </c>
      <c r="J2745" t="s">
        <v>8745</v>
      </c>
      <c r="K2745" t="s">
        <v>8746</v>
      </c>
      <c r="L2745" t="s">
        <v>21</v>
      </c>
      <c r="M2745" t="s">
        <v>19177</v>
      </c>
      <c r="N2745" t="s">
        <v>531</v>
      </c>
      <c r="O2745" t="s">
        <v>531</v>
      </c>
      <c r="P2745" t="s">
        <v>454</v>
      </c>
    </row>
    <row r="2746">
      <c r="A2746">
        <f>HYPERLINK("http://bombeiros.sp.gov.br/hidrantes/03individual/3553.html","3553")</f>
      </c>
      <c r="B2746" t="s">
        <v>454</v>
      </c>
      <c r="C2746" t="s">
        <v>565</v>
      </c>
      <c r="D2746" t="s">
        <v>566</v>
      </c>
      <c r="E2746" t="s">
        <v>64</v>
      </c>
      <c r="F2746" t="s">
        <v>8747</v>
      </c>
      <c r="G2746" t="s">
        <v>18206</v>
      </c>
      <c r="H2746" t="s">
        <v>1112</v>
      </c>
      <c r="I2746" t="s">
        <v>1108</v>
      </c>
      <c r="J2746" t="s">
        <v>8748</v>
      </c>
      <c r="K2746" t="s">
        <v>8749</v>
      </c>
      <c r="L2746" t="s">
        <v>21</v>
      </c>
      <c r="M2746" t="s">
        <v>19177</v>
      </c>
      <c r="N2746" t="s">
        <v>531</v>
      </c>
      <c r="O2746" t="s">
        <v>531</v>
      </c>
      <c r="P2746" t="s">
        <v>454</v>
      </c>
    </row>
    <row r="2747">
      <c r="A2747">
        <f>HYPERLINK("http://bombeiros.sp.gov.br/hidrantes/03individual/3575.html","3575")</f>
      </c>
      <c r="B2747" t="s">
        <v>454</v>
      </c>
      <c r="C2747" t="s">
        <v>565</v>
      </c>
      <c r="D2747" t="s">
        <v>566</v>
      </c>
      <c r="E2747" t="s">
        <v>64</v>
      </c>
      <c r="F2747" t="s">
        <v>16116</v>
      </c>
      <c r="G2747" t="s">
        <v>18076</v>
      </c>
      <c r="H2747" t="s">
        <v>1174</v>
      </c>
      <c r="I2747" t="s">
        <v>1108</v>
      </c>
      <c r="J2747" t="s">
        <v>16126</v>
      </c>
      <c r="K2747" t="s">
        <v>16127</v>
      </c>
      <c r="L2747" t="s">
        <v>21</v>
      </c>
      <c r="M2747" t="s">
        <v>19177</v>
      </c>
      <c r="N2747" t="s">
        <v>531</v>
      </c>
      <c r="O2747" t="s">
        <v>531</v>
      </c>
      <c r="P2747" t="s">
        <v>454</v>
      </c>
    </row>
    <row r="2748">
      <c r="A2748">
        <f>HYPERLINK("http://bombeiros.sp.gov.br/hidrantes/03individual/3578.html","3578")</f>
      </c>
      <c r="B2748" t="s">
        <v>454</v>
      </c>
      <c r="C2748" t="s">
        <v>565</v>
      </c>
      <c r="D2748" t="s">
        <v>566</v>
      </c>
      <c r="E2748" t="s">
        <v>64</v>
      </c>
      <c r="F2748" t="s">
        <v>8753</v>
      </c>
      <c r="G2748" t="s">
        <v>18062</v>
      </c>
      <c r="H2748" t="s">
        <v>1107</v>
      </c>
      <c r="I2748" t="s">
        <v>1108</v>
      </c>
      <c r="J2748" t="s">
        <v>8754</v>
      </c>
      <c r="K2748" t="s">
        <v>8755</v>
      </c>
      <c r="L2748" t="s">
        <v>21</v>
      </c>
      <c r="M2748" t="s">
        <v>19177</v>
      </c>
      <c r="N2748" t="s">
        <v>531</v>
      </c>
      <c r="O2748" t="s">
        <v>531</v>
      </c>
      <c r="P2748" t="s">
        <v>454</v>
      </c>
    </row>
    <row r="2749">
      <c r="A2749">
        <f>HYPERLINK("http://bombeiros.sp.gov.br/hidrantes/03individual/3586.html","3586")</f>
      </c>
      <c r="B2749" t="s">
        <v>454</v>
      </c>
      <c r="C2749" t="s">
        <v>565</v>
      </c>
      <c r="D2749" t="s">
        <v>566</v>
      </c>
      <c r="E2749" t="s">
        <v>64</v>
      </c>
      <c r="F2749" t="s">
        <v>8756</v>
      </c>
      <c r="G2749" t="s">
        <v>18076</v>
      </c>
      <c r="H2749" t="s">
        <v>1174</v>
      </c>
      <c r="I2749" t="s">
        <v>1108</v>
      </c>
      <c r="J2749" t="s">
        <v>8757</v>
      </c>
      <c r="K2749" t="s">
        <v>8758</v>
      </c>
      <c r="L2749" t="s">
        <v>21</v>
      </c>
      <c r="M2749" t="s">
        <v>19177</v>
      </c>
      <c r="N2749" t="s">
        <v>531</v>
      </c>
      <c r="O2749" t="s">
        <v>531</v>
      </c>
      <c r="P2749" t="s">
        <v>454</v>
      </c>
    </row>
    <row r="2750">
      <c r="A2750">
        <f>HYPERLINK("http://bombeiros.sp.gov.br/hidrantes/03individual/549.html","549")</f>
      </c>
      <c r="B2750" t="s">
        <v>454</v>
      </c>
      <c r="C2750" t="s">
        <v>565</v>
      </c>
      <c r="D2750" t="s">
        <v>566</v>
      </c>
      <c r="E2750" t="s">
        <v>15</v>
      </c>
      <c r="F2750" t="s">
        <v>8759</v>
      </c>
      <c r="G2750" t="s">
        <v>18054</v>
      </c>
      <c r="H2750" t="s">
        <v>1107</v>
      </c>
      <c r="I2750" t="s">
        <v>1117</v>
      </c>
      <c r="J2750" t="s">
        <v>8760</v>
      </c>
      <c r="K2750" t="s">
        <v>8761</v>
      </c>
      <c r="L2750" t="s">
        <v>21</v>
      </c>
      <c r="M2750" t="s">
        <v>19177</v>
      </c>
      <c r="N2750" t="s">
        <v>531</v>
      </c>
      <c r="O2750" t="s">
        <v>531</v>
      </c>
      <c r="P2750" t="s">
        <v>454</v>
      </c>
    </row>
    <row r="2751">
      <c r="A2751">
        <f>HYPERLINK("http://bombeiros.sp.gov.br/hidrantes/03individual/666.html","666")</f>
      </c>
      <c r="B2751" t="s">
        <v>454</v>
      </c>
      <c r="C2751" t="s">
        <v>565</v>
      </c>
      <c r="D2751" t="s">
        <v>566</v>
      </c>
      <c r="E2751" t="s">
        <v>15</v>
      </c>
      <c r="F2751" t="s">
        <v>8762</v>
      </c>
      <c r="G2751" t="s">
        <v>18049</v>
      </c>
      <c r="H2751" t="s">
        <v>1174</v>
      </c>
      <c r="I2751" t="s">
        <v>1117</v>
      </c>
      <c r="J2751" t="s">
        <v>8763</v>
      </c>
      <c r="K2751" t="s">
        <v>8764</v>
      </c>
      <c r="L2751" t="s">
        <v>21</v>
      </c>
      <c r="M2751" t="s">
        <v>19177</v>
      </c>
      <c r="N2751" t="s">
        <v>531</v>
      </c>
      <c r="O2751" t="s">
        <v>531</v>
      </c>
      <c r="P2751" t="s">
        <v>454</v>
      </c>
    </row>
    <row r="2752">
      <c r="A2752">
        <f>HYPERLINK("http://bombeiros.sp.gov.br/hidrantes/03individual/770.html","770")</f>
      </c>
      <c r="B2752" t="s">
        <v>454</v>
      </c>
      <c r="C2752" t="s">
        <v>565</v>
      </c>
      <c r="D2752" t="s">
        <v>566</v>
      </c>
      <c r="E2752" t="s">
        <v>15</v>
      </c>
      <c r="F2752" t="s">
        <v>567</v>
      </c>
      <c r="G2752" t="s">
        <v>18054</v>
      </c>
      <c r="H2752" t="s">
        <v>1174</v>
      </c>
      <c r="I2752" t="s">
        <v>1117</v>
      </c>
      <c r="J2752" t="s">
        <v>568</v>
      </c>
      <c r="K2752" t="s">
        <v>569</v>
      </c>
      <c r="L2752" t="s">
        <v>21</v>
      </c>
      <c r="M2752" t="s">
        <v>19177</v>
      </c>
      <c r="N2752" t="s">
        <v>531</v>
      </c>
      <c r="O2752" t="s">
        <v>531</v>
      </c>
      <c r="P2752" t="s">
        <v>454</v>
      </c>
    </row>
    <row r="2753">
      <c r="A2753">
        <f>HYPERLINK("http://bombeiros.sp.gov.br/hidrantes/03individual/771.html","771")</f>
      </c>
      <c r="B2753" t="s">
        <v>454</v>
      </c>
      <c r="C2753" t="s">
        <v>565</v>
      </c>
      <c r="D2753" t="s">
        <v>566</v>
      </c>
      <c r="E2753" t="s">
        <v>15</v>
      </c>
      <c r="F2753" t="s">
        <v>8765</v>
      </c>
      <c r="G2753" t="s">
        <v>18054</v>
      </c>
      <c r="H2753" t="s">
        <v>1112</v>
      </c>
      <c r="I2753" t="s">
        <v>1108</v>
      </c>
      <c r="J2753" t="s">
        <v>8766</v>
      </c>
      <c r="K2753" t="s">
        <v>8767</v>
      </c>
      <c r="L2753" t="s">
        <v>21</v>
      </c>
      <c r="M2753" t="s">
        <v>19177</v>
      </c>
      <c r="N2753" t="s">
        <v>531</v>
      </c>
      <c r="O2753" t="s">
        <v>531</v>
      </c>
      <c r="P2753" t="s">
        <v>454</v>
      </c>
    </row>
    <row r="2754">
      <c r="A2754">
        <f>HYPERLINK("http://bombeiros.sp.gov.br/hidrantes/03individual/4417.html","4417")</f>
      </c>
      <c r="B2754" t="s">
        <v>454</v>
      </c>
      <c r="C2754" t="s">
        <v>565</v>
      </c>
      <c r="D2754" t="s">
        <v>566</v>
      </c>
      <c r="E2754" t="s">
        <v>15</v>
      </c>
      <c r="F2754" t="s">
        <v>8768</v>
      </c>
      <c r="G2754" t="s">
        <v>18076</v>
      </c>
      <c r="H2754" t="s">
        <v>1121</v>
      </c>
      <c r="I2754" t="s">
        <v>1117</v>
      </c>
      <c r="J2754" t="s">
        <v>8769</v>
      </c>
      <c r="K2754" t="s">
        <v>8770</v>
      </c>
      <c r="L2754" t="s">
        <v>21</v>
      </c>
      <c r="M2754" t="s">
        <v>19177</v>
      </c>
      <c r="N2754" t="s">
        <v>531</v>
      </c>
      <c r="O2754" t="s">
        <v>531</v>
      </c>
      <c r="P2754" t="s">
        <v>454</v>
      </c>
    </row>
    <row r="2755">
      <c r="A2755">
        <f>HYPERLINK("http://bombeiros.sp.gov.br/hidrantes/03individual/17820.html","17820")</f>
      </c>
      <c r="B2755" t="s">
        <v>454</v>
      </c>
      <c r="C2755" t="s">
        <v>565</v>
      </c>
      <c r="D2755" t="s">
        <v>566</v>
      </c>
      <c r="E2755" t="s">
        <v>15</v>
      </c>
      <c r="F2755" t="s">
        <v>8771</v>
      </c>
      <c r="G2755" t="s">
        <v>18206</v>
      </c>
      <c r="H2755" t="s">
        <v>1112</v>
      </c>
      <c r="I2755" t="s">
        <v>1108</v>
      </c>
      <c r="J2755" t="s">
        <v>8772</v>
      </c>
      <c r="K2755" t="s">
        <v>8773</v>
      </c>
      <c r="L2755" t="s">
        <v>21</v>
      </c>
      <c r="M2755" t="s">
        <v>19177</v>
      </c>
      <c r="N2755" t="s">
        <v>531</v>
      </c>
      <c r="O2755" t="s">
        <v>531</v>
      </c>
      <c r="P2755" t="s">
        <v>454</v>
      </c>
    </row>
    <row r="2756">
      <c r="A2756">
        <f>HYPERLINK("http://bombeiros.sp.gov.br/hidrantes/03individual/1315.html","1315")</f>
      </c>
      <c r="B2756" t="s">
        <v>454</v>
      </c>
      <c r="C2756" t="s">
        <v>565</v>
      </c>
      <c r="D2756" t="s">
        <v>8774</v>
      </c>
      <c r="E2756" t="s">
        <v>15</v>
      </c>
      <c r="F2756" t="s">
        <v>8775</v>
      </c>
      <c r="G2756" t="s">
        <v>18067</v>
      </c>
      <c r="H2756" t="s">
        <v>1112</v>
      </c>
      <c r="I2756" t="s">
        <v>1108</v>
      </c>
      <c r="J2756" t="s">
        <v>8776</v>
      </c>
      <c r="K2756" t="s">
        <v>8777</v>
      </c>
      <c r="L2756" t="s">
        <v>21</v>
      </c>
      <c r="M2756" t="s">
        <v>19177</v>
      </c>
      <c r="N2756" t="s">
        <v>531</v>
      </c>
      <c r="O2756" t="s">
        <v>531</v>
      </c>
      <c r="P2756" t="s">
        <v>454</v>
      </c>
    </row>
    <row r="2757">
      <c r="A2757">
        <f>HYPERLINK("http://bombeiros.sp.gov.br/hidrantes/03individual/3728.html","3728")</f>
      </c>
      <c r="B2757" t="s">
        <v>454</v>
      </c>
      <c r="C2757" t="s">
        <v>565</v>
      </c>
      <c r="D2757" t="s">
        <v>8774</v>
      </c>
      <c r="E2757" t="s">
        <v>15</v>
      </c>
      <c r="F2757" t="s">
        <v>8778</v>
      </c>
      <c r="G2757" t="s">
        <v>18089</v>
      </c>
      <c r="H2757" t="s">
        <v>1112</v>
      </c>
      <c r="I2757" t="s">
        <v>1108</v>
      </c>
      <c r="J2757" t="s">
        <v>8779</v>
      </c>
      <c r="K2757" t="s">
        <v>8780</v>
      </c>
      <c r="L2757" t="s">
        <v>21</v>
      </c>
      <c r="M2757" t="s">
        <v>19177</v>
      </c>
      <c r="N2757" t="s">
        <v>531</v>
      </c>
      <c r="O2757" t="s">
        <v>531</v>
      </c>
      <c r="P2757" t="s">
        <v>454</v>
      </c>
    </row>
    <row r="2758">
      <c r="A2758">
        <f>HYPERLINK("http://bombeiros.sp.gov.br/hidrantes/03individual/17901.html","17901")</f>
      </c>
      <c r="B2758" t="s">
        <v>454</v>
      </c>
      <c r="C2758" t="s">
        <v>565</v>
      </c>
      <c r="D2758" t="s">
        <v>8774</v>
      </c>
      <c r="E2758" t="s">
        <v>15</v>
      </c>
      <c r="F2758" t="s">
        <v>8781</v>
      </c>
      <c r="G2758" t="s">
        <v>18067</v>
      </c>
      <c r="H2758" t="s">
        <v>1121</v>
      </c>
      <c r="I2758" t="s">
        <v>1117</v>
      </c>
      <c r="J2758" t="s">
        <v>8782</v>
      </c>
      <c r="K2758" t="s">
        <v>8783</v>
      </c>
      <c r="L2758" t="s">
        <v>21</v>
      </c>
      <c r="M2758" t="s">
        <v>19177</v>
      </c>
      <c r="N2758" t="s">
        <v>478</v>
      </c>
      <c r="O2758" t="s">
        <v>478</v>
      </c>
      <c r="P2758" t="s">
        <v>454</v>
      </c>
    </row>
    <row r="2759">
      <c r="A2759">
        <f>HYPERLINK("http://bombeiros.sp.gov.br/hidrantes/03individual/3517.html","3517")</f>
      </c>
      <c r="B2759" t="s">
        <v>454</v>
      </c>
      <c r="C2759" t="s">
        <v>565</v>
      </c>
      <c r="D2759" t="s">
        <v>565</v>
      </c>
      <c r="E2759" t="s">
        <v>64</v>
      </c>
      <c r="F2759" t="s">
        <v>8784</v>
      </c>
      <c r="G2759" t="s">
        <v>18067</v>
      </c>
      <c r="H2759" t="s">
        <v>1107</v>
      </c>
      <c r="I2759" t="s">
        <v>1108</v>
      </c>
      <c r="J2759" t="s">
        <v>8785</v>
      </c>
      <c r="K2759" t="s">
        <v>8786</v>
      </c>
      <c r="L2759" t="s">
        <v>36</v>
      </c>
      <c r="M2759" t="s">
        <v>19177</v>
      </c>
      <c r="N2759" t="s">
        <v>478</v>
      </c>
      <c r="O2759" t="s">
        <v>478</v>
      </c>
      <c r="P2759" t="s">
        <v>454</v>
      </c>
    </row>
    <row r="2760">
      <c r="A2760">
        <f>HYPERLINK("http://bombeiros.sp.gov.br/hidrantes/03individual/3518.html","3518")</f>
      </c>
      <c r="B2760" t="s">
        <v>454</v>
      </c>
      <c r="C2760" t="s">
        <v>565</v>
      </c>
      <c r="D2760" t="s">
        <v>565</v>
      </c>
      <c r="E2760" t="s">
        <v>64</v>
      </c>
      <c r="F2760" t="s">
        <v>8787</v>
      </c>
      <c r="G2760" t="s">
        <v>18070</v>
      </c>
      <c r="H2760" t="s">
        <v>1107</v>
      </c>
      <c r="I2760" t="s">
        <v>1108</v>
      </c>
      <c r="J2760" t="s">
        <v>8788</v>
      </c>
      <c r="K2760" t="s">
        <v>8789</v>
      </c>
      <c r="L2760" t="s">
        <v>36</v>
      </c>
      <c r="M2760" t="s">
        <v>19177</v>
      </c>
      <c r="N2760" t="s">
        <v>478</v>
      </c>
      <c r="O2760" t="s">
        <v>478</v>
      </c>
      <c r="P2760" t="s">
        <v>454</v>
      </c>
    </row>
    <row r="2761">
      <c r="A2761">
        <f>HYPERLINK("http://bombeiros.sp.gov.br/hidrantes/03individual/1139.html","1139")</f>
      </c>
      <c r="B2761" t="s">
        <v>454</v>
      </c>
      <c r="C2761" t="s">
        <v>565</v>
      </c>
      <c r="D2761" t="s">
        <v>565</v>
      </c>
      <c r="E2761" t="s">
        <v>15</v>
      </c>
      <c r="F2761" t="s">
        <v>8790</v>
      </c>
      <c r="G2761" t="s">
        <v>18192</v>
      </c>
      <c r="H2761" t="s">
        <v>1107</v>
      </c>
      <c r="I2761" t="s">
        <v>1108</v>
      </c>
      <c r="J2761" t="s">
        <v>8791</v>
      </c>
      <c r="K2761" t="s">
        <v>8792</v>
      </c>
      <c r="L2761" t="s">
        <v>21</v>
      </c>
      <c r="M2761" t="s">
        <v>19177</v>
      </c>
      <c r="N2761" t="s">
        <v>478</v>
      </c>
      <c r="O2761" t="s">
        <v>478</v>
      </c>
      <c r="P2761" t="s">
        <v>454</v>
      </c>
    </row>
    <row r="2762">
      <c r="A2762">
        <f>HYPERLINK("http://bombeiros.sp.gov.br/hidrantes/03individual/1227.html","1227")</f>
      </c>
      <c r="B2762" t="s">
        <v>454</v>
      </c>
      <c r="C2762" t="s">
        <v>565</v>
      </c>
      <c r="D2762" t="s">
        <v>565</v>
      </c>
      <c r="E2762" t="s">
        <v>15</v>
      </c>
      <c r="F2762" t="s">
        <v>8796</v>
      </c>
      <c r="G2762" t="s">
        <v>18270</v>
      </c>
      <c r="H2762" t="s">
        <v>1112</v>
      </c>
      <c r="I2762" t="s">
        <v>1108</v>
      </c>
      <c r="J2762" t="s">
        <v>8797</v>
      </c>
      <c r="K2762" t="s">
        <v>8798</v>
      </c>
      <c r="L2762" t="s">
        <v>21</v>
      </c>
      <c r="M2762" t="s">
        <v>19177</v>
      </c>
      <c r="N2762" t="s">
        <v>478</v>
      </c>
      <c r="O2762" t="s">
        <v>478</v>
      </c>
      <c r="P2762" t="s">
        <v>454</v>
      </c>
    </row>
    <row r="2763">
      <c r="A2763">
        <f>HYPERLINK("http://bombeiros.sp.gov.br/hidrantes/03individual/1230.html","1230")</f>
      </c>
      <c r="B2763" t="s">
        <v>454</v>
      </c>
      <c r="C2763" t="s">
        <v>565</v>
      </c>
      <c r="D2763" t="s">
        <v>565</v>
      </c>
      <c r="E2763" t="s">
        <v>15</v>
      </c>
      <c r="F2763" t="s">
        <v>8799</v>
      </c>
      <c r="G2763" t="s">
        <v>18048</v>
      </c>
      <c r="H2763" t="s">
        <v>1107</v>
      </c>
      <c r="I2763" t="s">
        <v>1108</v>
      </c>
      <c r="J2763" t="s">
        <v>8800</v>
      </c>
      <c r="K2763" t="s">
        <v>8801</v>
      </c>
      <c r="L2763" t="s">
        <v>21</v>
      </c>
      <c r="M2763" t="s">
        <v>19177</v>
      </c>
      <c r="N2763" t="s">
        <v>478</v>
      </c>
      <c r="O2763" t="s">
        <v>478</v>
      </c>
      <c r="P2763" t="s">
        <v>454</v>
      </c>
    </row>
    <row r="2764">
      <c r="A2764">
        <f>HYPERLINK("http://bombeiros.sp.gov.br/hidrantes/03individual/1273.html","1273")</f>
      </c>
      <c r="B2764" t="s">
        <v>454</v>
      </c>
      <c r="C2764" t="s">
        <v>565</v>
      </c>
      <c r="D2764" t="s">
        <v>565</v>
      </c>
      <c r="E2764" t="s">
        <v>15</v>
      </c>
      <c r="F2764" t="s">
        <v>8802</v>
      </c>
      <c r="G2764" t="s">
        <v>18089</v>
      </c>
      <c r="H2764" t="s">
        <v>1112</v>
      </c>
      <c r="I2764" t="s">
        <v>1108</v>
      </c>
      <c r="J2764" t="s">
        <v>8803</v>
      </c>
      <c r="K2764" t="s">
        <v>8804</v>
      </c>
      <c r="L2764" t="s">
        <v>21</v>
      </c>
      <c r="M2764" t="s">
        <v>19177</v>
      </c>
      <c r="N2764" t="s">
        <v>531</v>
      </c>
      <c r="O2764" t="s">
        <v>531</v>
      </c>
      <c r="P2764" t="s">
        <v>454</v>
      </c>
    </row>
    <row r="2765">
      <c r="A2765">
        <f>HYPERLINK("http://bombeiros.sp.gov.br/hidrantes/03individual/1275.html","1275")</f>
      </c>
      <c r="B2765" t="s">
        <v>454</v>
      </c>
      <c r="C2765" t="s">
        <v>565</v>
      </c>
      <c r="D2765" t="s">
        <v>565</v>
      </c>
      <c r="E2765" t="s">
        <v>15</v>
      </c>
      <c r="F2765" t="s">
        <v>8805</v>
      </c>
      <c r="G2765" t="s">
        <v>18067</v>
      </c>
      <c r="H2765" t="s">
        <v>1174</v>
      </c>
      <c r="I2765" t="s">
        <v>1117</v>
      </c>
      <c r="J2765" t="s">
        <v>8806</v>
      </c>
      <c r="K2765" t="s">
        <v>8807</v>
      </c>
      <c r="L2765" t="s">
        <v>21</v>
      </c>
      <c r="M2765" t="s">
        <v>19177</v>
      </c>
      <c r="N2765" t="s">
        <v>478</v>
      </c>
      <c r="O2765" t="s">
        <v>478</v>
      </c>
      <c r="P2765" t="s">
        <v>454</v>
      </c>
    </row>
    <row r="2766">
      <c r="A2766">
        <f>HYPERLINK("http://bombeiros.sp.gov.br/hidrantes/03individual/3710.html","3710")</f>
      </c>
      <c r="B2766" t="s">
        <v>454</v>
      </c>
      <c r="C2766" t="s">
        <v>565</v>
      </c>
      <c r="D2766" t="s">
        <v>565</v>
      </c>
      <c r="E2766" t="s">
        <v>15</v>
      </c>
      <c r="F2766" t="s">
        <v>8808</v>
      </c>
      <c r="G2766" t="s">
        <v>18089</v>
      </c>
      <c r="H2766" t="s">
        <v>1112</v>
      </c>
      <c r="I2766" t="s">
        <v>1108</v>
      </c>
      <c r="J2766" t="s">
        <v>8809</v>
      </c>
      <c r="K2766" t="s">
        <v>8810</v>
      </c>
      <c r="L2766" t="s">
        <v>21</v>
      </c>
      <c r="M2766" t="s">
        <v>19177</v>
      </c>
      <c r="N2766" t="s">
        <v>531</v>
      </c>
      <c r="O2766" t="s">
        <v>531</v>
      </c>
      <c r="P2766" t="s">
        <v>454</v>
      </c>
    </row>
    <row r="2767">
      <c r="A2767">
        <f>HYPERLINK("http://bombeiros.sp.gov.br/hidrantes/03individual/3731.html","3731")</f>
      </c>
      <c r="B2767" t="s">
        <v>454</v>
      </c>
      <c r="C2767" t="s">
        <v>565</v>
      </c>
      <c r="D2767" t="s">
        <v>565</v>
      </c>
      <c r="E2767" t="s">
        <v>15</v>
      </c>
      <c r="F2767" t="s">
        <v>8811</v>
      </c>
      <c r="G2767" t="s">
        <v>18089</v>
      </c>
      <c r="H2767" t="s">
        <v>1112</v>
      </c>
      <c r="I2767" t="s">
        <v>1108</v>
      </c>
      <c r="J2767" t="s">
        <v>8812</v>
      </c>
      <c r="K2767" t="s">
        <v>8813</v>
      </c>
      <c r="L2767" t="s">
        <v>21</v>
      </c>
      <c r="M2767" t="s">
        <v>19177</v>
      </c>
      <c r="N2767" t="s">
        <v>478</v>
      </c>
      <c r="O2767" t="s">
        <v>478</v>
      </c>
      <c r="P2767" t="s">
        <v>454</v>
      </c>
    </row>
    <row r="2768">
      <c r="A2768">
        <f>HYPERLINK("http://bombeiros.sp.gov.br/hidrantes/03individual/26820.html","26820")</f>
      </c>
      <c r="B2768" t="s">
        <v>454</v>
      </c>
      <c r="C2768" t="s">
        <v>565</v>
      </c>
      <c r="D2768" t="s">
        <v>565</v>
      </c>
      <c r="E2768" t="s">
        <v>15</v>
      </c>
      <c r="F2768" t="s">
        <v>16079</v>
      </c>
      <c r="G2768" t="s">
        <v>18067</v>
      </c>
      <c r="H2768" t="s">
        <v>1174</v>
      </c>
      <c r="I2768" t="s">
        <v>1117</v>
      </c>
      <c r="J2768" t="s">
        <v>16080</v>
      </c>
      <c r="K2768" t="s">
        <v>16081</v>
      </c>
      <c r="L2768" t="s">
        <v>21</v>
      </c>
      <c r="M2768" t="s">
        <v>19177</v>
      </c>
      <c r="N2768" t="s">
        <v>478</v>
      </c>
      <c r="O2768" t="s">
        <v>478</v>
      </c>
      <c r="P2768" t="s">
        <v>454</v>
      </c>
    </row>
    <row r="2769">
      <c r="A2769">
        <f>HYPERLINK("http://bombeiros.sp.gov.br/hidrantes/03individual/599.html","599")</f>
      </c>
      <c r="B2769" t="s">
        <v>454</v>
      </c>
      <c r="C2769" t="s">
        <v>570</v>
      </c>
      <c r="D2769" t="s">
        <v>571</v>
      </c>
      <c r="E2769" t="s">
        <v>64</v>
      </c>
      <c r="F2769" t="s">
        <v>8814</v>
      </c>
      <c r="G2769" t="s">
        <v>18042</v>
      </c>
      <c r="H2769" t="s">
        <v>1112</v>
      </c>
      <c r="I2769" t="s">
        <v>1108</v>
      </c>
      <c r="J2769" t="s">
        <v>8815</v>
      </c>
      <c r="K2769" t="s">
        <v>8816</v>
      </c>
      <c r="L2769" t="s">
        <v>36</v>
      </c>
      <c r="M2769" t="s">
        <v>19177</v>
      </c>
      <c r="N2769" t="s">
        <v>531</v>
      </c>
      <c r="O2769" t="s">
        <v>531</v>
      </c>
      <c r="P2769" t="s">
        <v>454</v>
      </c>
    </row>
    <row r="2770">
      <c r="A2770">
        <f>HYPERLINK("http://bombeiros.sp.gov.br/hidrantes/03individual/3582.html","3582")</f>
      </c>
      <c r="B2770" t="s">
        <v>454</v>
      </c>
      <c r="C2770" t="s">
        <v>570</v>
      </c>
      <c r="D2770" t="s">
        <v>571</v>
      </c>
      <c r="E2770" t="s">
        <v>64</v>
      </c>
      <c r="F2770" t="s">
        <v>8817</v>
      </c>
      <c r="G2770" t="s">
        <v>18147</v>
      </c>
      <c r="H2770" t="s">
        <v>1112</v>
      </c>
      <c r="I2770" t="s">
        <v>1108</v>
      </c>
      <c r="J2770" t="s">
        <v>8818</v>
      </c>
      <c r="K2770" t="s">
        <v>8819</v>
      </c>
      <c r="L2770" t="s">
        <v>36</v>
      </c>
      <c r="M2770" t="s">
        <v>19177</v>
      </c>
      <c r="N2770" t="s">
        <v>531</v>
      </c>
      <c r="O2770" t="s">
        <v>531</v>
      </c>
      <c r="P2770" t="s">
        <v>454</v>
      </c>
    </row>
    <row r="2771">
      <c r="A2771">
        <f>HYPERLINK("http://bombeiros.sp.gov.br/hidrantes/03individual/517.html","517")</f>
      </c>
      <c r="B2771" t="s">
        <v>454</v>
      </c>
      <c r="C2771" t="s">
        <v>570</v>
      </c>
      <c r="D2771" t="s">
        <v>571</v>
      </c>
      <c r="E2771" t="s">
        <v>15</v>
      </c>
      <c r="F2771" t="s">
        <v>8820</v>
      </c>
      <c r="G2771" t="s">
        <v>18085</v>
      </c>
      <c r="H2771" t="s">
        <v>1121</v>
      </c>
      <c r="I2771" t="s">
        <v>1117</v>
      </c>
      <c r="J2771" t="s">
        <v>16040</v>
      </c>
      <c r="K2771" t="s">
        <v>16041</v>
      </c>
      <c r="L2771" t="s">
        <v>21</v>
      </c>
      <c r="M2771" t="s">
        <v>19177</v>
      </c>
      <c r="N2771" t="s">
        <v>531</v>
      </c>
      <c r="O2771" t="s">
        <v>531</v>
      </c>
      <c r="P2771" t="s">
        <v>454</v>
      </c>
    </row>
    <row r="2772">
      <c r="A2772">
        <f>HYPERLINK("http://bombeiros.sp.gov.br/hidrantes/03individual/565.html","565")</f>
      </c>
      <c r="B2772" t="s">
        <v>454</v>
      </c>
      <c r="C2772" t="s">
        <v>570</v>
      </c>
      <c r="D2772" t="s">
        <v>571</v>
      </c>
      <c r="E2772" t="s">
        <v>15</v>
      </c>
      <c r="F2772" t="s">
        <v>8823</v>
      </c>
      <c r="G2772" t="s">
        <v>18132</v>
      </c>
      <c r="H2772" t="s">
        <v>1112</v>
      </c>
      <c r="I2772" t="s">
        <v>1108</v>
      </c>
      <c r="J2772" t="s">
        <v>8824</v>
      </c>
      <c r="K2772" t="s">
        <v>8825</v>
      </c>
      <c r="L2772" t="s">
        <v>21</v>
      </c>
      <c r="M2772" t="s">
        <v>19177</v>
      </c>
      <c r="N2772" t="s">
        <v>531</v>
      </c>
      <c r="O2772" t="s">
        <v>531</v>
      </c>
      <c r="P2772" t="s">
        <v>454</v>
      </c>
    </row>
    <row r="2773">
      <c r="A2773">
        <f>HYPERLINK("http://bombeiros.sp.gov.br/hidrantes/03individual/577.html","577")</f>
      </c>
      <c r="B2773" t="s">
        <v>454</v>
      </c>
      <c r="C2773" t="s">
        <v>570</v>
      </c>
      <c r="D2773" t="s">
        <v>571</v>
      </c>
      <c r="E2773" t="s">
        <v>15</v>
      </c>
      <c r="F2773" t="s">
        <v>8826</v>
      </c>
      <c r="G2773" t="s">
        <v>18184</v>
      </c>
      <c r="H2773" t="s">
        <v>1174</v>
      </c>
      <c r="I2773" t="s">
        <v>1108</v>
      </c>
      <c r="J2773" t="s">
        <v>8827</v>
      </c>
      <c r="K2773" t="s">
        <v>8828</v>
      </c>
      <c r="L2773" t="s">
        <v>21</v>
      </c>
      <c r="M2773" t="s">
        <v>19177</v>
      </c>
      <c r="N2773" t="s">
        <v>531</v>
      </c>
      <c r="O2773" t="s">
        <v>531</v>
      </c>
      <c r="P2773" t="s">
        <v>454</v>
      </c>
    </row>
    <row r="2774">
      <c r="A2774">
        <f>HYPERLINK("http://bombeiros.sp.gov.br/hidrantes/03individual/579.html","579")</f>
      </c>
      <c r="B2774" t="s">
        <v>454</v>
      </c>
      <c r="C2774" t="s">
        <v>570</v>
      </c>
      <c r="D2774" t="s">
        <v>571</v>
      </c>
      <c r="E2774" t="s">
        <v>15</v>
      </c>
      <c r="F2774" t="s">
        <v>572</v>
      </c>
      <c r="G2774" t="s">
        <v>18184</v>
      </c>
      <c r="H2774" t="s">
        <v>1107</v>
      </c>
      <c r="I2774" t="s">
        <v>1108</v>
      </c>
      <c r="J2774" t="s">
        <v>573</v>
      </c>
      <c r="K2774" t="s">
        <v>574</v>
      </c>
      <c r="L2774" t="s">
        <v>21</v>
      </c>
      <c r="M2774" t="s">
        <v>19177</v>
      </c>
      <c r="N2774" t="s">
        <v>531</v>
      </c>
      <c r="O2774" t="s">
        <v>531</v>
      </c>
      <c r="P2774" t="s">
        <v>454</v>
      </c>
    </row>
    <row r="2775">
      <c r="A2775">
        <f>HYPERLINK("http://bombeiros.sp.gov.br/hidrantes/03individual/582.html","582")</f>
      </c>
      <c r="B2775" t="s">
        <v>454</v>
      </c>
      <c r="C2775" t="s">
        <v>570</v>
      </c>
      <c r="D2775" t="s">
        <v>571</v>
      </c>
      <c r="E2775" t="s">
        <v>15</v>
      </c>
      <c r="F2775" t="s">
        <v>8829</v>
      </c>
      <c r="G2775" t="s">
        <v>18184</v>
      </c>
      <c r="H2775" t="s">
        <v>1174</v>
      </c>
      <c r="I2775" t="s">
        <v>1117</v>
      </c>
      <c r="J2775" t="s">
        <v>16564</v>
      </c>
      <c r="K2775" t="s">
        <v>16565</v>
      </c>
      <c r="L2775" t="s">
        <v>21</v>
      </c>
      <c r="M2775" t="s">
        <v>19177</v>
      </c>
      <c r="N2775" t="s">
        <v>531</v>
      </c>
      <c r="O2775" t="s">
        <v>531</v>
      </c>
      <c r="P2775" t="s">
        <v>454</v>
      </c>
    </row>
    <row r="2776">
      <c r="A2776">
        <f>HYPERLINK("http://bombeiros.sp.gov.br/hidrantes/03individual/593.html","593")</f>
      </c>
      <c r="B2776" t="s">
        <v>454</v>
      </c>
      <c r="C2776" t="s">
        <v>570</v>
      </c>
      <c r="D2776" t="s">
        <v>571</v>
      </c>
      <c r="E2776" t="s">
        <v>15</v>
      </c>
      <c r="F2776" t="s">
        <v>8832</v>
      </c>
      <c r="G2776" t="s">
        <v>18075</v>
      </c>
      <c r="H2776" t="s">
        <v>1112</v>
      </c>
      <c r="I2776" t="s">
        <v>1108</v>
      </c>
      <c r="J2776" t="s">
        <v>8833</v>
      </c>
      <c r="K2776" t="s">
        <v>8834</v>
      </c>
      <c r="L2776" t="s">
        <v>21</v>
      </c>
      <c r="M2776" t="s">
        <v>19177</v>
      </c>
      <c r="N2776" t="s">
        <v>594</v>
      </c>
      <c r="O2776" t="s">
        <v>531</v>
      </c>
      <c r="P2776" t="s">
        <v>454</v>
      </c>
    </row>
    <row r="2777">
      <c r="A2777">
        <f>HYPERLINK("http://bombeiros.sp.gov.br/hidrantes/03individual/660.html","660")</f>
      </c>
      <c r="B2777" t="s">
        <v>454</v>
      </c>
      <c r="C2777" t="s">
        <v>570</v>
      </c>
      <c r="D2777" t="s">
        <v>571</v>
      </c>
      <c r="E2777" t="s">
        <v>15</v>
      </c>
      <c r="F2777" t="s">
        <v>8835</v>
      </c>
      <c r="G2777" t="s">
        <v>18042</v>
      </c>
      <c r="H2777" t="s">
        <v>1107</v>
      </c>
      <c r="I2777" t="s">
        <v>1108</v>
      </c>
      <c r="J2777" t="s">
        <v>8836</v>
      </c>
      <c r="K2777" t="s">
        <v>8837</v>
      </c>
      <c r="L2777" t="s">
        <v>21</v>
      </c>
      <c r="M2777" t="s">
        <v>19177</v>
      </c>
      <c r="N2777" t="s">
        <v>531</v>
      </c>
      <c r="O2777" t="s">
        <v>531</v>
      </c>
      <c r="P2777" t="s">
        <v>454</v>
      </c>
    </row>
    <row r="2778">
      <c r="A2778">
        <f>HYPERLINK("http://bombeiros.sp.gov.br/hidrantes/03individual/675.html","675")</f>
      </c>
      <c r="B2778" t="s">
        <v>454</v>
      </c>
      <c r="C2778" t="s">
        <v>570</v>
      </c>
      <c r="D2778" t="s">
        <v>571</v>
      </c>
      <c r="E2778" t="s">
        <v>15</v>
      </c>
      <c r="F2778" t="s">
        <v>8838</v>
      </c>
      <c r="G2778" t="s">
        <v>18042</v>
      </c>
      <c r="H2778" t="s">
        <v>1107</v>
      </c>
      <c r="I2778" t="s">
        <v>1108</v>
      </c>
      <c r="J2778" t="s">
        <v>8839</v>
      </c>
      <c r="K2778" t="s">
        <v>8840</v>
      </c>
      <c r="L2778" t="s">
        <v>21</v>
      </c>
      <c r="M2778" t="s">
        <v>19177</v>
      </c>
      <c r="N2778" t="s">
        <v>531</v>
      </c>
      <c r="O2778" t="s">
        <v>531</v>
      </c>
      <c r="P2778" t="s">
        <v>454</v>
      </c>
    </row>
    <row r="2779">
      <c r="A2779">
        <f>HYPERLINK("http://bombeiros.sp.gov.br/hidrantes/03individual/726.html","726")</f>
      </c>
      <c r="B2779" t="s">
        <v>454</v>
      </c>
      <c r="C2779" t="s">
        <v>570</v>
      </c>
      <c r="D2779" t="s">
        <v>571</v>
      </c>
      <c r="E2779" t="s">
        <v>15</v>
      </c>
      <c r="F2779" t="s">
        <v>8841</v>
      </c>
      <c r="G2779" t="s">
        <v>18147</v>
      </c>
      <c r="H2779" t="s">
        <v>1112</v>
      </c>
      <c r="I2779" t="s">
        <v>1108</v>
      </c>
      <c r="J2779" t="s">
        <v>8842</v>
      </c>
      <c r="K2779" t="s">
        <v>8843</v>
      </c>
      <c r="L2779" t="s">
        <v>21</v>
      </c>
      <c r="M2779" t="s">
        <v>19177</v>
      </c>
      <c r="N2779" t="s">
        <v>531</v>
      </c>
      <c r="O2779" t="s">
        <v>531</v>
      </c>
      <c r="P2779" t="s">
        <v>454</v>
      </c>
    </row>
    <row r="2780">
      <c r="A2780">
        <f>HYPERLINK("http://bombeiros.sp.gov.br/hidrantes/03individual/727.html","727")</f>
      </c>
      <c r="B2780" t="s">
        <v>454</v>
      </c>
      <c r="C2780" t="s">
        <v>570</v>
      </c>
      <c r="D2780" t="s">
        <v>571</v>
      </c>
      <c r="E2780" t="s">
        <v>15</v>
      </c>
      <c r="F2780" t="s">
        <v>8844</v>
      </c>
      <c r="G2780" t="s">
        <v>18042</v>
      </c>
      <c r="H2780" t="s">
        <v>1174</v>
      </c>
      <c r="I2780" t="s">
        <v>1117</v>
      </c>
      <c r="J2780" t="s">
        <v>8845</v>
      </c>
      <c r="K2780" t="s">
        <v>8846</v>
      </c>
      <c r="L2780" t="s">
        <v>36</v>
      </c>
      <c r="M2780" t="s">
        <v>19177</v>
      </c>
      <c r="N2780" t="s">
        <v>531</v>
      </c>
      <c r="O2780" t="s">
        <v>531</v>
      </c>
      <c r="P2780" t="s">
        <v>454</v>
      </c>
    </row>
    <row r="2781">
      <c r="A2781">
        <f>HYPERLINK("http://bombeiros.sp.gov.br/hidrantes/03individual/918.html","918")</f>
      </c>
      <c r="B2781" t="s">
        <v>454</v>
      </c>
      <c r="C2781" t="s">
        <v>570</v>
      </c>
      <c r="D2781" t="s">
        <v>571</v>
      </c>
      <c r="E2781" t="s">
        <v>15</v>
      </c>
      <c r="F2781" t="s">
        <v>575</v>
      </c>
      <c r="G2781" t="s">
        <v>18132</v>
      </c>
      <c r="H2781" t="s">
        <v>1107</v>
      </c>
      <c r="I2781" t="s">
        <v>1108</v>
      </c>
      <c r="J2781" t="s">
        <v>576</v>
      </c>
      <c r="K2781" t="s">
        <v>577</v>
      </c>
      <c r="L2781" t="s">
        <v>21</v>
      </c>
      <c r="M2781" t="s">
        <v>19177</v>
      </c>
      <c r="N2781" t="s">
        <v>531</v>
      </c>
      <c r="O2781" t="s">
        <v>531</v>
      </c>
      <c r="P2781" t="s">
        <v>454</v>
      </c>
    </row>
    <row r="2782">
      <c r="A2782">
        <f>HYPERLINK("http://bombeiros.sp.gov.br/hidrantes/03individual/3500.html","3500")</f>
      </c>
      <c r="B2782" t="s">
        <v>454</v>
      </c>
      <c r="C2782" t="s">
        <v>570</v>
      </c>
      <c r="D2782" t="s">
        <v>571</v>
      </c>
      <c r="E2782" t="s">
        <v>15</v>
      </c>
      <c r="F2782" t="s">
        <v>8847</v>
      </c>
      <c r="G2782" t="s">
        <v>18193</v>
      </c>
      <c r="H2782" t="s">
        <v>1174</v>
      </c>
      <c r="I2782" t="s">
        <v>1108</v>
      </c>
      <c r="J2782" t="s">
        <v>8848</v>
      </c>
      <c r="K2782" t="s">
        <v>8849</v>
      </c>
      <c r="L2782" t="s">
        <v>21</v>
      </c>
      <c r="M2782" t="s">
        <v>19177</v>
      </c>
      <c r="N2782" t="s">
        <v>531</v>
      </c>
      <c r="O2782" t="s">
        <v>531</v>
      </c>
      <c r="P2782" t="s">
        <v>454</v>
      </c>
    </row>
    <row r="2783">
      <c r="A2783">
        <f>HYPERLINK("http://bombeiros.sp.gov.br/hidrantes/03individual/3544.html","3544")</f>
      </c>
      <c r="B2783" t="s">
        <v>454</v>
      </c>
      <c r="C2783" t="s">
        <v>570</v>
      </c>
      <c r="D2783" t="s">
        <v>571</v>
      </c>
      <c r="E2783" t="s">
        <v>15</v>
      </c>
      <c r="F2783" t="s">
        <v>8850</v>
      </c>
      <c r="G2783" t="s">
        <v>18067</v>
      </c>
      <c r="H2783" t="s">
        <v>1174</v>
      </c>
      <c r="I2783" t="s">
        <v>1117</v>
      </c>
      <c r="J2783" t="s">
        <v>8851</v>
      </c>
      <c r="K2783" t="s">
        <v>8852</v>
      </c>
      <c r="L2783" t="s">
        <v>21</v>
      </c>
      <c r="M2783" t="s">
        <v>19177</v>
      </c>
      <c r="N2783" t="s">
        <v>531</v>
      </c>
      <c r="O2783" t="s">
        <v>531</v>
      </c>
      <c r="P2783" t="s">
        <v>454</v>
      </c>
    </row>
    <row r="2784">
      <c r="A2784">
        <f>HYPERLINK("http://bombeiros.sp.gov.br/hidrantes/03individual/3834.html","3834")</f>
      </c>
      <c r="B2784" t="s">
        <v>454</v>
      </c>
      <c r="C2784" t="s">
        <v>570</v>
      </c>
      <c r="D2784" t="s">
        <v>571</v>
      </c>
      <c r="E2784" t="s">
        <v>15</v>
      </c>
      <c r="F2784" t="s">
        <v>8853</v>
      </c>
      <c r="G2784" t="s">
        <v>18067</v>
      </c>
      <c r="H2784" t="s">
        <v>1107</v>
      </c>
      <c r="I2784" t="s">
        <v>1108</v>
      </c>
      <c r="J2784" t="s">
        <v>8854</v>
      </c>
      <c r="K2784" t="s">
        <v>8855</v>
      </c>
      <c r="L2784" t="s">
        <v>21</v>
      </c>
      <c r="M2784" t="s">
        <v>19177</v>
      </c>
      <c r="N2784" t="s">
        <v>531</v>
      </c>
      <c r="O2784" t="s">
        <v>531</v>
      </c>
      <c r="P2784" t="s">
        <v>454</v>
      </c>
    </row>
    <row r="2785">
      <c r="A2785">
        <f>HYPERLINK("http://bombeiros.sp.gov.br/hidrantes/03individual/3845.html","3845")</f>
      </c>
      <c r="B2785" t="s">
        <v>454</v>
      </c>
      <c r="C2785" t="s">
        <v>570</v>
      </c>
      <c r="D2785" t="s">
        <v>571</v>
      </c>
      <c r="E2785" t="s">
        <v>15</v>
      </c>
      <c r="F2785" t="s">
        <v>8856</v>
      </c>
      <c r="G2785" t="s">
        <v>18125</v>
      </c>
      <c r="H2785" t="s">
        <v>1107</v>
      </c>
      <c r="I2785" t="s">
        <v>1108</v>
      </c>
      <c r="J2785" t="s">
        <v>8857</v>
      </c>
      <c r="K2785" t="s">
        <v>8858</v>
      </c>
      <c r="L2785" t="s">
        <v>21</v>
      </c>
      <c r="M2785" t="s">
        <v>19177</v>
      </c>
      <c r="N2785" t="s">
        <v>531</v>
      </c>
      <c r="O2785" t="s">
        <v>531</v>
      </c>
      <c r="P2785" t="s">
        <v>454</v>
      </c>
    </row>
    <row r="2786">
      <c r="A2786">
        <f>HYPERLINK("http://bombeiros.sp.gov.br/hidrantes/03individual/3891.html","3891")</f>
      </c>
      <c r="B2786" t="s">
        <v>454</v>
      </c>
      <c r="C2786" t="s">
        <v>570</v>
      </c>
      <c r="D2786" t="s">
        <v>571</v>
      </c>
      <c r="E2786" t="s">
        <v>15</v>
      </c>
      <c r="F2786" t="s">
        <v>8859</v>
      </c>
      <c r="G2786" t="s">
        <v>18201</v>
      </c>
      <c r="H2786" t="s">
        <v>1112</v>
      </c>
      <c r="I2786" t="s">
        <v>1108</v>
      </c>
      <c r="J2786" t="s">
        <v>8860</v>
      </c>
      <c r="K2786" t="s">
        <v>8861</v>
      </c>
      <c r="L2786" t="s">
        <v>21</v>
      </c>
      <c r="M2786" t="s">
        <v>19177</v>
      </c>
      <c r="N2786" t="s">
        <v>594</v>
      </c>
      <c r="O2786" t="s">
        <v>531</v>
      </c>
      <c r="P2786" t="s">
        <v>454</v>
      </c>
    </row>
    <row r="2787">
      <c r="A2787">
        <f>HYPERLINK("http://bombeiros.sp.gov.br/hidrantes/03individual/17837.html","17837")</f>
      </c>
      <c r="B2787" t="s">
        <v>454</v>
      </c>
      <c r="C2787" t="s">
        <v>570</v>
      </c>
      <c r="D2787" t="s">
        <v>571</v>
      </c>
      <c r="E2787" t="s">
        <v>15</v>
      </c>
      <c r="F2787" t="s">
        <v>8865</v>
      </c>
      <c r="G2787" t="s">
        <v>18184</v>
      </c>
      <c r="H2787" t="s">
        <v>1174</v>
      </c>
      <c r="I2787" t="s">
        <v>1117</v>
      </c>
      <c r="J2787" t="s">
        <v>8866</v>
      </c>
      <c r="K2787" t="s">
        <v>8867</v>
      </c>
      <c r="L2787" t="s">
        <v>21</v>
      </c>
      <c r="M2787" t="s">
        <v>19177</v>
      </c>
      <c r="N2787" t="s">
        <v>531</v>
      </c>
      <c r="O2787" t="s">
        <v>531</v>
      </c>
      <c r="P2787" t="s">
        <v>454</v>
      </c>
    </row>
    <row r="2788">
      <c r="A2788">
        <f>HYPERLINK("http://bombeiros.sp.gov.br/hidrantes/03individual/3520.html","3520")</f>
      </c>
      <c r="B2788" t="s">
        <v>454</v>
      </c>
      <c r="C2788" t="s">
        <v>570</v>
      </c>
      <c r="D2788" t="s">
        <v>570</v>
      </c>
      <c r="E2788" t="s">
        <v>64</v>
      </c>
      <c r="F2788" t="s">
        <v>8868</v>
      </c>
      <c r="G2788" t="s">
        <v>18133</v>
      </c>
      <c r="H2788" t="s">
        <v>1174</v>
      </c>
      <c r="I2788" t="s">
        <v>1117</v>
      </c>
      <c r="J2788" t="s">
        <v>8869</v>
      </c>
      <c r="K2788" t="s">
        <v>8870</v>
      </c>
      <c r="L2788" t="s">
        <v>36</v>
      </c>
      <c r="M2788" t="s">
        <v>19177</v>
      </c>
      <c r="N2788" t="s">
        <v>531</v>
      </c>
      <c r="O2788" t="s">
        <v>531</v>
      </c>
      <c r="P2788" t="s">
        <v>454</v>
      </c>
    </row>
    <row r="2789">
      <c r="A2789">
        <f>HYPERLINK("http://bombeiros.sp.gov.br/hidrantes/03individual/3524.html","3524")</f>
      </c>
      <c r="B2789" t="s">
        <v>454</v>
      </c>
      <c r="C2789" t="s">
        <v>570</v>
      </c>
      <c r="D2789" t="s">
        <v>570</v>
      </c>
      <c r="E2789" t="s">
        <v>64</v>
      </c>
      <c r="F2789" t="s">
        <v>8871</v>
      </c>
      <c r="G2789" t="s">
        <v>18067</v>
      </c>
      <c r="H2789" t="s">
        <v>1112</v>
      </c>
      <c r="I2789" t="s">
        <v>1108</v>
      </c>
      <c r="J2789" t="s">
        <v>8872</v>
      </c>
      <c r="K2789" t="s">
        <v>8873</v>
      </c>
      <c r="L2789" t="s">
        <v>21</v>
      </c>
      <c r="M2789" t="s">
        <v>19177</v>
      </c>
      <c r="N2789" t="s">
        <v>531</v>
      </c>
      <c r="O2789" t="s">
        <v>531</v>
      </c>
      <c r="P2789" t="s">
        <v>454</v>
      </c>
    </row>
    <row r="2790">
      <c r="A2790">
        <f>HYPERLINK("http://bombeiros.sp.gov.br/hidrantes/03individual/3528.html","3528")</f>
      </c>
      <c r="B2790" t="s">
        <v>454</v>
      </c>
      <c r="C2790" t="s">
        <v>570</v>
      </c>
      <c r="D2790" t="s">
        <v>570</v>
      </c>
      <c r="E2790" t="s">
        <v>64</v>
      </c>
      <c r="F2790" t="s">
        <v>8874</v>
      </c>
      <c r="G2790" t="s">
        <v>18043</v>
      </c>
      <c r="H2790" t="s">
        <v>1107</v>
      </c>
      <c r="I2790" t="s">
        <v>1108</v>
      </c>
      <c r="J2790" t="s">
        <v>8875</v>
      </c>
      <c r="K2790" t="s">
        <v>8876</v>
      </c>
      <c r="L2790" t="s">
        <v>36</v>
      </c>
      <c r="M2790" t="s">
        <v>19177</v>
      </c>
      <c r="N2790" t="s">
        <v>531</v>
      </c>
      <c r="O2790" t="s">
        <v>531</v>
      </c>
      <c r="P2790" t="s">
        <v>454</v>
      </c>
    </row>
    <row r="2791">
      <c r="A2791">
        <f>HYPERLINK("http://bombeiros.sp.gov.br/hidrantes/03individual/3533.html","3533")</f>
      </c>
      <c r="B2791" t="s">
        <v>454</v>
      </c>
      <c r="C2791" t="s">
        <v>570</v>
      </c>
      <c r="D2791" t="s">
        <v>570</v>
      </c>
      <c r="E2791" t="s">
        <v>64</v>
      </c>
      <c r="F2791" t="s">
        <v>8877</v>
      </c>
      <c r="G2791" t="s">
        <v>18067</v>
      </c>
      <c r="H2791" t="s">
        <v>1112</v>
      </c>
      <c r="I2791" t="s">
        <v>1108</v>
      </c>
      <c r="J2791" t="s">
        <v>8878</v>
      </c>
      <c r="K2791" t="s">
        <v>8879</v>
      </c>
      <c r="L2791" t="s">
        <v>21</v>
      </c>
      <c r="M2791" t="s">
        <v>19177</v>
      </c>
      <c r="N2791" t="s">
        <v>531</v>
      </c>
      <c r="O2791" t="s">
        <v>531</v>
      </c>
      <c r="P2791" t="s">
        <v>454</v>
      </c>
    </row>
    <row r="2792">
      <c r="A2792">
        <f>HYPERLINK("http://bombeiros.sp.gov.br/hidrantes/03individual/3539.html","3539")</f>
      </c>
      <c r="B2792" t="s">
        <v>454</v>
      </c>
      <c r="C2792" t="s">
        <v>570</v>
      </c>
      <c r="D2792" t="s">
        <v>570</v>
      </c>
      <c r="E2792" t="s">
        <v>64</v>
      </c>
      <c r="F2792" t="s">
        <v>8880</v>
      </c>
      <c r="G2792" t="s">
        <v>18551</v>
      </c>
      <c r="H2792" t="s">
        <v>1174</v>
      </c>
      <c r="I2792" t="s">
        <v>1117</v>
      </c>
      <c r="J2792" t="s">
        <v>8881</v>
      </c>
      <c r="K2792" t="s">
        <v>8882</v>
      </c>
      <c r="L2792" t="s">
        <v>21</v>
      </c>
      <c r="M2792" t="s">
        <v>19177</v>
      </c>
      <c r="N2792" t="s">
        <v>531</v>
      </c>
      <c r="O2792" t="s">
        <v>531</v>
      </c>
      <c r="P2792" t="s">
        <v>454</v>
      </c>
    </row>
    <row r="2793">
      <c r="A2793">
        <f>HYPERLINK("http://bombeiros.sp.gov.br/hidrantes/03individual/3542.html","3542")</f>
      </c>
      <c r="B2793" t="s">
        <v>454</v>
      </c>
      <c r="C2793" t="s">
        <v>570</v>
      </c>
      <c r="D2793" t="s">
        <v>570</v>
      </c>
      <c r="E2793" t="s">
        <v>64</v>
      </c>
      <c r="F2793" t="s">
        <v>8883</v>
      </c>
      <c r="G2793" t="s">
        <v>18554</v>
      </c>
      <c r="H2793" t="s">
        <v>1107</v>
      </c>
      <c r="I2793" t="s">
        <v>1108</v>
      </c>
      <c r="J2793" t="s">
        <v>8884</v>
      </c>
      <c r="K2793" t="s">
        <v>8885</v>
      </c>
      <c r="L2793" t="s">
        <v>36</v>
      </c>
      <c r="M2793" t="s">
        <v>19177</v>
      </c>
      <c r="N2793" t="s">
        <v>531</v>
      </c>
      <c r="O2793" t="s">
        <v>531</v>
      </c>
      <c r="P2793" t="s">
        <v>454</v>
      </c>
    </row>
    <row r="2794">
      <c r="A2794">
        <f>HYPERLINK("http://bombeiros.sp.gov.br/hidrantes/03individual/3587.html","3587")</f>
      </c>
      <c r="B2794" t="s">
        <v>454</v>
      </c>
      <c r="C2794" t="s">
        <v>570</v>
      </c>
      <c r="D2794" t="s">
        <v>570</v>
      </c>
      <c r="E2794" t="s">
        <v>64</v>
      </c>
      <c r="F2794" t="s">
        <v>8886</v>
      </c>
      <c r="G2794" t="s">
        <v>18051</v>
      </c>
      <c r="H2794" t="s">
        <v>1112</v>
      </c>
      <c r="I2794" t="s">
        <v>1108</v>
      </c>
      <c r="J2794" t="s">
        <v>8887</v>
      </c>
      <c r="K2794" t="s">
        <v>8888</v>
      </c>
      <c r="L2794" t="s">
        <v>21</v>
      </c>
      <c r="M2794" t="s">
        <v>19177</v>
      </c>
      <c r="N2794" t="s">
        <v>531</v>
      </c>
      <c r="O2794" t="s">
        <v>531</v>
      </c>
      <c r="P2794" t="s">
        <v>454</v>
      </c>
    </row>
    <row r="2795">
      <c r="A2795">
        <f>HYPERLINK("http://bombeiros.sp.gov.br/hidrantes/03individual/3589.html","3589")</f>
      </c>
      <c r="B2795" t="s">
        <v>454</v>
      </c>
      <c r="C2795" t="s">
        <v>570</v>
      </c>
      <c r="D2795" t="s">
        <v>570</v>
      </c>
      <c r="E2795" t="s">
        <v>64</v>
      </c>
      <c r="F2795" t="s">
        <v>8889</v>
      </c>
      <c r="G2795" t="s">
        <v>18043</v>
      </c>
      <c r="H2795" t="s">
        <v>1112</v>
      </c>
      <c r="I2795" t="s">
        <v>1108</v>
      </c>
      <c r="J2795" t="s">
        <v>8890</v>
      </c>
      <c r="K2795" t="s">
        <v>8891</v>
      </c>
      <c r="L2795" t="s">
        <v>36</v>
      </c>
      <c r="M2795" t="s">
        <v>19177</v>
      </c>
      <c r="N2795" t="s">
        <v>531</v>
      </c>
      <c r="O2795" t="s">
        <v>531</v>
      </c>
      <c r="P2795" t="s">
        <v>454</v>
      </c>
    </row>
    <row r="2796">
      <c r="A2796">
        <f>HYPERLINK("http://bombeiros.sp.gov.br/hidrantes/03individual/5506.html","5506")</f>
      </c>
      <c r="B2796" t="s">
        <v>454</v>
      </c>
      <c r="C2796" t="s">
        <v>570</v>
      </c>
      <c r="D2796" t="s">
        <v>570</v>
      </c>
      <c r="E2796" t="s">
        <v>64</v>
      </c>
      <c r="F2796" t="s">
        <v>8892</v>
      </c>
      <c r="G2796" t="s">
        <v>18119</v>
      </c>
      <c r="H2796" t="s">
        <v>1121</v>
      </c>
      <c r="I2796" t="s">
        <v>1117</v>
      </c>
      <c r="J2796" t="s">
        <v>8893</v>
      </c>
      <c r="K2796" t="s">
        <v>8894</v>
      </c>
      <c r="L2796" t="s">
        <v>21</v>
      </c>
      <c r="M2796" t="s">
        <v>19177</v>
      </c>
      <c r="N2796" t="s">
        <v>531</v>
      </c>
      <c r="O2796" t="s">
        <v>531</v>
      </c>
      <c r="P2796" t="s">
        <v>454</v>
      </c>
    </row>
    <row r="2797">
      <c r="A2797">
        <f>HYPERLINK("http://bombeiros.sp.gov.br/hidrantes/03individual/5554.html","5554")</f>
      </c>
      <c r="B2797" t="s">
        <v>454</v>
      </c>
      <c r="C2797" t="s">
        <v>570</v>
      </c>
      <c r="D2797" t="s">
        <v>570</v>
      </c>
      <c r="E2797" t="s">
        <v>64</v>
      </c>
      <c r="F2797" t="s">
        <v>8895</v>
      </c>
      <c r="G2797" t="s">
        <v>18066</v>
      </c>
      <c r="H2797" t="s">
        <v>1121</v>
      </c>
      <c r="I2797" t="s">
        <v>1117</v>
      </c>
      <c r="J2797" t="s">
        <v>8896</v>
      </c>
      <c r="K2797" t="s">
        <v>8897</v>
      </c>
      <c r="L2797" t="s">
        <v>21</v>
      </c>
      <c r="M2797" t="s">
        <v>19177</v>
      </c>
      <c r="N2797" t="s">
        <v>531</v>
      </c>
      <c r="O2797" t="s">
        <v>531</v>
      </c>
      <c r="P2797" t="s">
        <v>454</v>
      </c>
    </row>
    <row r="2798">
      <c r="A2798">
        <f>HYPERLINK("http://bombeiros.sp.gov.br/hidrantes/03individual/584.html","584")</f>
      </c>
      <c r="B2798" t="s">
        <v>454</v>
      </c>
      <c r="C2798" t="s">
        <v>570</v>
      </c>
      <c r="D2798" t="s">
        <v>570</v>
      </c>
      <c r="E2798" t="s">
        <v>15</v>
      </c>
      <c r="F2798" t="s">
        <v>8898</v>
      </c>
      <c r="G2798" t="s">
        <v>18043</v>
      </c>
      <c r="H2798" t="s">
        <v>1121</v>
      </c>
      <c r="I2798" t="s">
        <v>1117</v>
      </c>
      <c r="J2798" t="s">
        <v>8899</v>
      </c>
      <c r="K2798" t="s">
        <v>8900</v>
      </c>
      <c r="L2798" t="s">
        <v>21</v>
      </c>
      <c r="M2798" t="s">
        <v>19177</v>
      </c>
      <c r="N2798" t="s">
        <v>531</v>
      </c>
      <c r="O2798" t="s">
        <v>531</v>
      </c>
      <c r="P2798" t="s">
        <v>454</v>
      </c>
    </row>
    <row r="2799">
      <c r="A2799">
        <f>HYPERLINK("http://bombeiros.sp.gov.br/hidrantes/03individual/585.html","585")</f>
      </c>
      <c r="B2799" t="s">
        <v>454</v>
      </c>
      <c r="C2799" t="s">
        <v>570</v>
      </c>
      <c r="D2799" t="s">
        <v>570</v>
      </c>
      <c r="E2799" t="s">
        <v>15</v>
      </c>
      <c r="F2799" t="s">
        <v>8901</v>
      </c>
      <c r="G2799" t="s">
        <v>18067</v>
      </c>
      <c r="H2799" t="s">
        <v>1174</v>
      </c>
      <c r="I2799" t="s">
        <v>1108</v>
      </c>
      <c r="J2799" t="s">
        <v>8902</v>
      </c>
      <c r="K2799" t="s">
        <v>16924</v>
      </c>
      <c r="L2799" t="s">
        <v>36</v>
      </c>
      <c r="M2799" t="s">
        <v>19177</v>
      </c>
      <c r="N2799" t="s">
        <v>531</v>
      </c>
      <c r="O2799" t="s">
        <v>531</v>
      </c>
      <c r="P2799" t="s">
        <v>454</v>
      </c>
    </row>
    <row r="2800">
      <c r="A2800">
        <f>HYPERLINK("http://bombeiros.sp.gov.br/hidrantes/03individual/621.html","621")</f>
      </c>
      <c r="B2800" t="s">
        <v>454</v>
      </c>
      <c r="C2800" t="s">
        <v>570</v>
      </c>
      <c r="D2800" t="s">
        <v>570</v>
      </c>
      <c r="E2800" t="s">
        <v>15</v>
      </c>
      <c r="F2800" t="s">
        <v>8904</v>
      </c>
      <c r="G2800" t="s">
        <v>18049</v>
      </c>
      <c r="H2800" t="s">
        <v>1174</v>
      </c>
      <c r="I2800" t="s">
        <v>1117</v>
      </c>
      <c r="J2800" t="s">
        <v>8905</v>
      </c>
      <c r="K2800" t="s">
        <v>8906</v>
      </c>
      <c r="L2800" t="s">
        <v>21</v>
      </c>
      <c r="M2800" t="s">
        <v>19177</v>
      </c>
      <c r="N2800" t="s">
        <v>531</v>
      </c>
      <c r="O2800" t="s">
        <v>531</v>
      </c>
      <c r="P2800" t="s">
        <v>454</v>
      </c>
    </row>
    <row r="2801">
      <c r="A2801">
        <f>HYPERLINK("http://bombeiros.sp.gov.br/hidrantes/03individual/642.html","642")</f>
      </c>
      <c r="B2801" t="s">
        <v>454</v>
      </c>
      <c r="C2801" t="s">
        <v>570</v>
      </c>
      <c r="D2801" t="s">
        <v>570</v>
      </c>
      <c r="E2801" t="s">
        <v>15</v>
      </c>
      <c r="F2801" t="s">
        <v>8907</v>
      </c>
      <c r="G2801" t="s">
        <v>18042</v>
      </c>
      <c r="H2801" t="s">
        <v>1174</v>
      </c>
      <c r="I2801" t="s">
        <v>1117</v>
      </c>
      <c r="J2801" t="s">
        <v>8908</v>
      </c>
      <c r="K2801" t="s">
        <v>8909</v>
      </c>
      <c r="L2801" t="s">
        <v>21</v>
      </c>
      <c r="M2801" t="s">
        <v>19177</v>
      </c>
      <c r="N2801" t="s">
        <v>531</v>
      </c>
      <c r="O2801" t="s">
        <v>531</v>
      </c>
      <c r="P2801" t="s">
        <v>454</v>
      </c>
    </row>
    <row r="2802">
      <c r="A2802">
        <f>HYPERLINK("http://bombeiros.sp.gov.br/hidrantes/03individual/664.html","664")</f>
      </c>
      <c r="B2802" t="s">
        <v>454</v>
      </c>
      <c r="C2802" t="s">
        <v>570</v>
      </c>
      <c r="D2802" t="s">
        <v>570</v>
      </c>
      <c r="E2802" t="s">
        <v>15</v>
      </c>
      <c r="F2802" t="s">
        <v>8910</v>
      </c>
      <c r="G2802" t="s">
        <v>18551</v>
      </c>
      <c r="H2802" t="s">
        <v>1107</v>
      </c>
      <c r="I2802" t="s">
        <v>1108</v>
      </c>
      <c r="J2802" t="s">
        <v>8911</v>
      </c>
      <c r="K2802" t="s">
        <v>8912</v>
      </c>
      <c r="L2802" t="s">
        <v>21</v>
      </c>
      <c r="M2802" t="s">
        <v>19177</v>
      </c>
      <c r="N2802" t="s">
        <v>531</v>
      </c>
      <c r="O2802" t="s">
        <v>531</v>
      </c>
      <c r="P2802" t="s">
        <v>454</v>
      </c>
    </row>
    <row r="2803">
      <c r="A2803">
        <f>HYPERLINK("http://bombeiros.sp.gov.br/hidrantes/03individual/772.html","772")</f>
      </c>
      <c r="B2803" t="s">
        <v>454</v>
      </c>
      <c r="C2803" t="s">
        <v>570</v>
      </c>
      <c r="D2803" t="s">
        <v>570</v>
      </c>
      <c r="E2803" t="s">
        <v>15</v>
      </c>
      <c r="F2803" t="s">
        <v>8913</v>
      </c>
      <c r="G2803" t="s">
        <v>18133</v>
      </c>
      <c r="H2803" t="s">
        <v>1107</v>
      </c>
      <c r="I2803" t="s">
        <v>1108</v>
      </c>
      <c r="J2803" t="s">
        <v>8914</v>
      </c>
      <c r="K2803" t="s">
        <v>8915</v>
      </c>
      <c r="L2803" t="s">
        <v>36</v>
      </c>
      <c r="M2803" t="s">
        <v>19177</v>
      </c>
      <c r="N2803" t="s">
        <v>531</v>
      </c>
      <c r="O2803" t="s">
        <v>531</v>
      </c>
      <c r="P2803" t="s">
        <v>454</v>
      </c>
    </row>
    <row r="2804">
      <c r="A2804">
        <f>HYPERLINK("http://bombeiros.sp.gov.br/hidrantes/03individual/934.html","934")</f>
      </c>
      <c r="B2804" t="s">
        <v>454</v>
      </c>
      <c r="C2804" t="s">
        <v>570</v>
      </c>
      <c r="D2804" t="s">
        <v>570</v>
      </c>
      <c r="E2804" t="s">
        <v>15</v>
      </c>
      <c r="F2804" t="s">
        <v>8916</v>
      </c>
      <c r="G2804" t="s">
        <v>18118</v>
      </c>
      <c r="H2804" t="s">
        <v>1174</v>
      </c>
      <c r="I2804" t="s">
        <v>1108</v>
      </c>
      <c r="J2804" t="s">
        <v>8917</v>
      </c>
      <c r="K2804" t="s">
        <v>8918</v>
      </c>
      <c r="L2804" t="s">
        <v>21</v>
      </c>
      <c r="M2804" t="s">
        <v>19177</v>
      </c>
      <c r="N2804" t="s">
        <v>531</v>
      </c>
      <c r="O2804" t="s">
        <v>531</v>
      </c>
      <c r="P2804" t="s">
        <v>454</v>
      </c>
    </row>
    <row r="2805">
      <c r="A2805">
        <f>HYPERLINK("http://bombeiros.sp.gov.br/hidrantes/03individual/3529.html","3529")</f>
      </c>
      <c r="B2805" t="s">
        <v>454</v>
      </c>
      <c r="C2805" t="s">
        <v>570</v>
      </c>
      <c r="D2805" t="s">
        <v>570</v>
      </c>
      <c r="E2805" t="s">
        <v>15</v>
      </c>
      <c r="F2805" t="s">
        <v>8919</v>
      </c>
      <c r="G2805" t="s">
        <v>18043</v>
      </c>
      <c r="H2805" t="s">
        <v>1112</v>
      </c>
      <c r="I2805" t="s">
        <v>1108</v>
      </c>
      <c r="J2805" t="s">
        <v>8920</v>
      </c>
      <c r="K2805" t="s">
        <v>8921</v>
      </c>
      <c r="L2805" t="s">
        <v>21</v>
      </c>
      <c r="M2805" t="s">
        <v>19177</v>
      </c>
      <c r="N2805" t="s">
        <v>531</v>
      </c>
      <c r="O2805" t="s">
        <v>531</v>
      </c>
      <c r="P2805" t="s">
        <v>454</v>
      </c>
    </row>
    <row r="2806">
      <c r="A2806">
        <f>HYPERLINK("http://bombeiros.sp.gov.br/hidrantes/03individual/3536.html","3536")</f>
      </c>
      <c r="B2806" t="s">
        <v>454</v>
      </c>
      <c r="C2806" t="s">
        <v>570</v>
      </c>
      <c r="D2806" t="s">
        <v>570</v>
      </c>
      <c r="E2806" t="s">
        <v>15</v>
      </c>
      <c r="F2806" t="s">
        <v>8922</v>
      </c>
      <c r="G2806" t="s">
        <v>18551</v>
      </c>
      <c r="H2806" t="s">
        <v>1112</v>
      </c>
      <c r="I2806" t="s">
        <v>1108</v>
      </c>
      <c r="J2806" t="s">
        <v>8923</v>
      </c>
      <c r="K2806" t="s">
        <v>8924</v>
      </c>
      <c r="L2806" t="s">
        <v>21</v>
      </c>
      <c r="M2806" t="s">
        <v>19177</v>
      </c>
      <c r="N2806" t="s">
        <v>531</v>
      </c>
      <c r="O2806" t="s">
        <v>531</v>
      </c>
      <c r="P2806" t="s">
        <v>454</v>
      </c>
    </row>
    <row r="2807">
      <c r="A2807">
        <f>HYPERLINK("http://bombeiros.sp.gov.br/hidrantes/03individual/3752.html","3752")</f>
      </c>
      <c r="B2807" t="s">
        <v>454</v>
      </c>
      <c r="C2807" t="s">
        <v>570</v>
      </c>
      <c r="D2807" t="s">
        <v>570</v>
      </c>
      <c r="E2807" t="s">
        <v>15</v>
      </c>
      <c r="F2807" t="s">
        <v>578</v>
      </c>
      <c r="G2807" t="s">
        <v>18133</v>
      </c>
      <c r="H2807" t="s">
        <v>1174</v>
      </c>
      <c r="I2807" t="s">
        <v>1117</v>
      </c>
      <c r="J2807" t="s">
        <v>579</v>
      </c>
      <c r="K2807" t="s">
        <v>580</v>
      </c>
      <c r="L2807" t="s">
        <v>21</v>
      </c>
      <c r="M2807" t="s">
        <v>19177</v>
      </c>
      <c r="N2807" t="s">
        <v>531</v>
      </c>
      <c r="O2807" t="s">
        <v>531</v>
      </c>
      <c r="P2807" t="s">
        <v>454</v>
      </c>
    </row>
    <row r="2808">
      <c r="A2808">
        <f>HYPERLINK("http://bombeiros.sp.gov.br/hidrantes/03individual/17904.html","17904")</f>
      </c>
      <c r="B2808" t="s">
        <v>454</v>
      </c>
      <c r="C2808" t="s">
        <v>570</v>
      </c>
      <c r="D2808" t="s">
        <v>570</v>
      </c>
      <c r="E2808" t="s">
        <v>15</v>
      </c>
      <c r="F2808" t="s">
        <v>8925</v>
      </c>
      <c r="G2808" t="s">
        <v>18118</v>
      </c>
      <c r="H2808" t="s">
        <v>1174</v>
      </c>
      <c r="I2808" t="s">
        <v>1108</v>
      </c>
      <c r="J2808" t="s">
        <v>8926</v>
      </c>
      <c r="K2808" t="s">
        <v>8927</v>
      </c>
      <c r="L2808" t="s">
        <v>21</v>
      </c>
      <c r="M2808" t="s">
        <v>19177</v>
      </c>
      <c r="N2808" t="s">
        <v>531</v>
      </c>
      <c r="O2808" t="s">
        <v>531</v>
      </c>
      <c r="P2808" t="s">
        <v>454</v>
      </c>
    </row>
    <row r="2809">
      <c r="A2809">
        <f>HYPERLINK("http://bombeiros.sp.gov.br/hidrantes/03individual/27337.html","27337")</f>
      </c>
      <c r="B2809" t="s">
        <v>454</v>
      </c>
      <c r="C2809" t="s">
        <v>570</v>
      </c>
      <c r="D2809" t="s">
        <v>570</v>
      </c>
      <c r="E2809" t="s">
        <v>15</v>
      </c>
      <c r="F2809" t="s">
        <v>17175</v>
      </c>
      <c r="G2809" t="s">
        <v>18042</v>
      </c>
      <c r="H2809" t="s">
        <v>1121</v>
      </c>
      <c r="I2809" t="s">
        <v>1117</v>
      </c>
      <c r="J2809" t="s">
        <v>17176</v>
      </c>
      <c r="K2809" t="s">
        <v>17177</v>
      </c>
      <c r="L2809" t="s">
        <v>21</v>
      </c>
      <c r="M2809" t="s">
        <v>19177</v>
      </c>
      <c r="N2809" t="s">
        <v>531</v>
      </c>
      <c r="O2809" t="s">
        <v>531</v>
      </c>
      <c r="P2809" t="s">
        <v>454</v>
      </c>
    </row>
    <row r="2810">
      <c r="A2810">
        <f>HYPERLINK("http://bombeiros.sp.gov.br/hidrantes/03individual/10052.html","10052")</f>
      </c>
      <c r="B2810" t="s">
        <v>454</v>
      </c>
      <c r="C2810" t="s">
        <v>570</v>
      </c>
      <c r="D2810" t="s">
        <v>581</v>
      </c>
      <c r="E2810" t="s">
        <v>1507</v>
      </c>
      <c r="F2810" t="s">
        <v>8928</v>
      </c>
      <c r="G2810" t="s">
        <v>18125</v>
      </c>
      <c r="H2810" t="s">
        <v>1112</v>
      </c>
      <c r="I2810" t="s">
        <v>1117</v>
      </c>
      <c r="J2810" t="s">
        <v>8929</v>
      </c>
      <c r="K2810" t="s">
        <v>8930</v>
      </c>
      <c r="L2810" t="s">
        <v>21</v>
      </c>
      <c r="M2810" t="s">
        <v>19177</v>
      </c>
      <c r="N2810" t="s">
        <v>531</v>
      </c>
      <c r="O2810" t="s">
        <v>531</v>
      </c>
      <c r="P2810" t="s">
        <v>454</v>
      </c>
    </row>
    <row r="2811">
      <c r="A2811">
        <f>HYPERLINK("http://bombeiros.sp.gov.br/hidrantes/03individual/3526.html","3526")</f>
      </c>
      <c r="B2811" t="s">
        <v>454</v>
      </c>
      <c r="C2811" t="s">
        <v>570</v>
      </c>
      <c r="D2811" t="s">
        <v>581</v>
      </c>
      <c r="E2811" t="s">
        <v>64</v>
      </c>
      <c r="F2811" t="s">
        <v>8931</v>
      </c>
      <c r="G2811" t="s">
        <v>18133</v>
      </c>
      <c r="H2811" t="s">
        <v>1112</v>
      </c>
      <c r="I2811" t="s">
        <v>1108</v>
      </c>
      <c r="J2811" t="s">
        <v>8932</v>
      </c>
      <c r="K2811" t="s">
        <v>8933</v>
      </c>
      <c r="L2811" t="s">
        <v>36</v>
      </c>
      <c r="M2811" t="s">
        <v>19177</v>
      </c>
      <c r="N2811" t="s">
        <v>531</v>
      </c>
      <c r="O2811" t="s">
        <v>531</v>
      </c>
      <c r="P2811" t="s">
        <v>454</v>
      </c>
    </row>
    <row r="2812">
      <c r="A2812">
        <f>HYPERLINK("http://bombeiros.sp.gov.br/hidrantes/03individual/3532.html","3532")</f>
      </c>
      <c r="B2812" t="s">
        <v>454</v>
      </c>
      <c r="C2812" t="s">
        <v>570</v>
      </c>
      <c r="D2812" t="s">
        <v>581</v>
      </c>
      <c r="E2812" t="s">
        <v>64</v>
      </c>
      <c r="F2812" t="s">
        <v>8934</v>
      </c>
      <c r="G2812" t="s">
        <v>18204</v>
      </c>
      <c r="H2812" t="s">
        <v>1112</v>
      </c>
      <c r="I2812" t="s">
        <v>1108</v>
      </c>
      <c r="J2812" t="s">
        <v>8935</v>
      </c>
      <c r="K2812" t="s">
        <v>8936</v>
      </c>
      <c r="L2812" t="s">
        <v>36</v>
      </c>
      <c r="M2812" t="s">
        <v>19177</v>
      </c>
      <c r="N2812" t="s">
        <v>531</v>
      </c>
      <c r="O2812" t="s">
        <v>531</v>
      </c>
      <c r="P2812" t="s">
        <v>454</v>
      </c>
    </row>
    <row r="2813">
      <c r="A2813">
        <f>HYPERLINK("http://bombeiros.sp.gov.br/hidrantes/03individual/3535.html","3535")</f>
      </c>
      <c r="B2813" t="s">
        <v>454</v>
      </c>
      <c r="C2813" t="s">
        <v>570</v>
      </c>
      <c r="D2813" t="s">
        <v>581</v>
      </c>
      <c r="E2813" t="s">
        <v>64</v>
      </c>
      <c r="F2813" t="s">
        <v>8937</v>
      </c>
      <c r="G2813" t="s">
        <v>18054</v>
      </c>
      <c r="H2813" t="s">
        <v>1112</v>
      </c>
      <c r="I2813" t="s">
        <v>1108</v>
      </c>
      <c r="J2813" t="s">
        <v>8938</v>
      </c>
      <c r="K2813" t="s">
        <v>8939</v>
      </c>
      <c r="L2813" t="s">
        <v>36</v>
      </c>
      <c r="M2813" t="s">
        <v>19177</v>
      </c>
      <c r="N2813" t="s">
        <v>531</v>
      </c>
      <c r="O2813" t="s">
        <v>531</v>
      </c>
      <c r="P2813" t="s">
        <v>454</v>
      </c>
    </row>
    <row r="2814">
      <c r="A2814">
        <f>HYPERLINK("http://bombeiros.sp.gov.br/hidrantes/03individual/3554.html","3554")</f>
      </c>
      <c r="B2814" t="s">
        <v>454</v>
      </c>
      <c r="C2814" t="s">
        <v>570</v>
      </c>
      <c r="D2814" t="s">
        <v>581</v>
      </c>
      <c r="E2814" t="s">
        <v>64</v>
      </c>
      <c r="F2814" t="s">
        <v>8940</v>
      </c>
      <c r="G2814" t="s">
        <v>18042</v>
      </c>
      <c r="H2814" t="s">
        <v>1112</v>
      </c>
      <c r="I2814" t="s">
        <v>1108</v>
      </c>
      <c r="J2814" t="s">
        <v>8941</v>
      </c>
      <c r="K2814" t="s">
        <v>8942</v>
      </c>
      <c r="L2814" t="s">
        <v>36</v>
      </c>
      <c r="M2814" t="s">
        <v>19177</v>
      </c>
      <c r="N2814" t="s">
        <v>531</v>
      </c>
      <c r="O2814" t="s">
        <v>531</v>
      </c>
      <c r="P2814" t="s">
        <v>454</v>
      </c>
    </row>
    <row r="2815">
      <c r="A2815">
        <f>HYPERLINK("http://bombeiros.sp.gov.br/hidrantes/03individual/519.html","519")</f>
      </c>
      <c r="B2815" t="s">
        <v>454</v>
      </c>
      <c r="C2815" t="s">
        <v>570</v>
      </c>
      <c r="D2815" t="s">
        <v>581</v>
      </c>
      <c r="E2815" t="s">
        <v>15</v>
      </c>
      <c r="F2815" t="s">
        <v>8943</v>
      </c>
      <c r="G2815" t="s">
        <v>18124</v>
      </c>
      <c r="H2815" t="s">
        <v>1112</v>
      </c>
      <c r="I2815" t="s">
        <v>1108</v>
      </c>
      <c r="J2815" t="s">
        <v>8944</v>
      </c>
      <c r="K2815" t="s">
        <v>8945</v>
      </c>
      <c r="L2815" t="s">
        <v>21</v>
      </c>
      <c r="M2815" t="s">
        <v>19177</v>
      </c>
      <c r="N2815" t="s">
        <v>594</v>
      </c>
      <c r="O2815" t="s">
        <v>531</v>
      </c>
      <c r="P2815" t="s">
        <v>454</v>
      </c>
    </row>
    <row r="2816">
      <c r="A2816">
        <f>HYPERLINK("http://bombeiros.sp.gov.br/hidrantes/03individual/520.html","520")</f>
      </c>
      <c r="B2816" t="s">
        <v>454</v>
      </c>
      <c r="C2816" t="s">
        <v>570</v>
      </c>
      <c r="D2816" t="s">
        <v>581</v>
      </c>
      <c r="E2816" t="s">
        <v>15</v>
      </c>
      <c r="F2816" t="s">
        <v>8946</v>
      </c>
      <c r="G2816" t="s">
        <v>18132</v>
      </c>
      <c r="H2816" t="s">
        <v>1121</v>
      </c>
      <c r="I2816" t="s">
        <v>1117</v>
      </c>
      <c r="J2816" t="s">
        <v>8947</v>
      </c>
      <c r="K2816" t="s">
        <v>8948</v>
      </c>
      <c r="L2816" t="s">
        <v>21</v>
      </c>
      <c r="M2816" t="s">
        <v>19177</v>
      </c>
      <c r="N2816" t="s">
        <v>531</v>
      </c>
      <c r="O2816" t="s">
        <v>531</v>
      </c>
      <c r="P2816" t="s">
        <v>454</v>
      </c>
    </row>
    <row r="2817">
      <c r="A2817">
        <f>HYPERLINK("http://bombeiros.sp.gov.br/hidrantes/03individual/550.html","550")</f>
      </c>
      <c r="B2817" t="s">
        <v>454</v>
      </c>
      <c r="C2817" t="s">
        <v>570</v>
      </c>
      <c r="D2817" t="s">
        <v>581</v>
      </c>
      <c r="E2817" t="s">
        <v>15</v>
      </c>
      <c r="F2817" t="s">
        <v>8949</v>
      </c>
      <c r="G2817" t="s">
        <v>18042</v>
      </c>
      <c r="H2817" t="s">
        <v>1107</v>
      </c>
      <c r="I2817" t="s">
        <v>1108</v>
      </c>
      <c r="J2817" t="s">
        <v>8950</v>
      </c>
      <c r="K2817" t="s">
        <v>8951</v>
      </c>
      <c r="L2817" t="s">
        <v>21</v>
      </c>
      <c r="M2817" t="s">
        <v>19177</v>
      </c>
      <c r="N2817" t="s">
        <v>531</v>
      </c>
      <c r="O2817" t="s">
        <v>531</v>
      </c>
      <c r="P2817" t="s">
        <v>454</v>
      </c>
    </row>
    <row r="2818">
      <c r="A2818">
        <f>HYPERLINK("http://bombeiros.sp.gov.br/hidrantes/03individual/551.html","551")</f>
      </c>
      <c r="B2818" t="s">
        <v>454</v>
      </c>
      <c r="C2818" t="s">
        <v>570</v>
      </c>
      <c r="D2818" t="s">
        <v>581</v>
      </c>
      <c r="E2818" t="s">
        <v>15</v>
      </c>
      <c r="F2818" t="s">
        <v>8952</v>
      </c>
      <c r="G2818" t="s">
        <v>18049</v>
      </c>
      <c r="H2818" t="s">
        <v>1107</v>
      </c>
      <c r="I2818" t="s">
        <v>1108</v>
      </c>
      <c r="J2818" t="s">
        <v>8953</v>
      </c>
      <c r="K2818" t="s">
        <v>8954</v>
      </c>
      <c r="L2818" t="s">
        <v>21</v>
      </c>
      <c r="M2818" t="s">
        <v>19177</v>
      </c>
      <c r="N2818" t="s">
        <v>531</v>
      </c>
      <c r="O2818" t="s">
        <v>531</v>
      </c>
      <c r="P2818" t="s">
        <v>454</v>
      </c>
    </row>
    <row r="2819">
      <c r="A2819">
        <f>HYPERLINK("http://bombeiros.sp.gov.br/hidrantes/03individual/578.html","578")</f>
      </c>
      <c r="B2819" t="s">
        <v>454</v>
      </c>
      <c r="C2819" t="s">
        <v>570</v>
      </c>
      <c r="D2819" t="s">
        <v>581</v>
      </c>
      <c r="E2819" t="s">
        <v>15</v>
      </c>
      <c r="F2819" t="s">
        <v>8955</v>
      </c>
      <c r="G2819" t="s">
        <v>18133</v>
      </c>
      <c r="H2819" t="s">
        <v>1112</v>
      </c>
      <c r="I2819" t="s">
        <v>1108</v>
      </c>
      <c r="J2819" t="s">
        <v>8956</v>
      </c>
      <c r="K2819" t="s">
        <v>8957</v>
      </c>
      <c r="L2819" t="s">
        <v>21</v>
      </c>
      <c r="M2819" t="s">
        <v>19177</v>
      </c>
      <c r="N2819" t="s">
        <v>531</v>
      </c>
      <c r="O2819" t="s">
        <v>531</v>
      </c>
      <c r="P2819" t="s">
        <v>454</v>
      </c>
    </row>
    <row r="2820">
      <c r="A2820">
        <f>HYPERLINK("http://bombeiros.sp.gov.br/hidrantes/03individual/581.html","581")</f>
      </c>
      <c r="B2820" t="s">
        <v>454</v>
      </c>
      <c r="C2820" t="s">
        <v>570</v>
      </c>
      <c r="D2820" t="s">
        <v>581</v>
      </c>
      <c r="E2820" t="s">
        <v>15</v>
      </c>
      <c r="F2820" t="s">
        <v>8958</v>
      </c>
      <c r="G2820" t="s">
        <v>18062</v>
      </c>
      <c r="H2820" t="s">
        <v>1107</v>
      </c>
      <c r="I2820" t="s">
        <v>1108</v>
      </c>
      <c r="J2820" t="s">
        <v>8959</v>
      </c>
      <c r="K2820" t="s">
        <v>8960</v>
      </c>
      <c r="L2820" t="s">
        <v>21</v>
      </c>
      <c r="M2820" t="s">
        <v>19177</v>
      </c>
      <c r="N2820" t="s">
        <v>594</v>
      </c>
      <c r="O2820" t="s">
        <v>531</v>
      </c>
      <c r="P2820" t="s">
        <v>454</v>
      </c>
    </row>
    <row r="2821">
      <c r="A2821">
        <f>HYPERLINK("http://bombeiros.sp.gov.br/hidrantes/03individual/620.html","620")</f>
      </c>
      <c r="B2821" t="s">
        <v>454</v>
      </c>
      <c r="C2821" t="s">
        <v>570</v>
      </c>
      <c r="D2821" t="s">
        <v>581</v>
      </c>
      <c r="E2821" t="s">
        <v>15</v>
      </c>
      <c r="F2821" t="s">
        <v>8961</v>
      </c>
      <c r="G2821" t="s">
        <v>18196</v>
      </c>
      <c r="H2821" t="s">
        <v>1121</v>
      </c>
      <c r="I2821" t="s">
        <v>1117</v>
      </c>
      <c r="J2821" t="s">
        <v>8962</v>
      </c>
      <c r="K2821" t="s">
        <v>8963</v>
      </c>
      <c r="L2821" t="s">
        <v>21</v>
      </c>
      <c r="M2821" t="s">
        <v>19177</v>
      </c>
      <c r="N2821" t="s">
        <v>531</v>
      </c>
      <c r="O2821" t="s">
        <v>531</v>
      </c>
      <c r="P2821" t="s">
        <v>454</v>
      </c>
    </row>
    <row r="2822">
      <c r="A2822">
        <f>HYPERLINK("http://bombeiros.sp.gov.br/hidrantes/03individual/636.html","636")</f>
      </c>
      <c r="B2822" t="s">
        <v>454</v>
      </c>
      <c r="C2822" t="s">
        <v>570</v>
      </c>
      <c r="D2822" t="s">
        <v>581</v>
      </c>
      <c r="E2822" t="s">
        <v>15</v>
      </c>
      <c r="F2822" t="s">
        <v>8964</v>
      </c>
      <c r="G2822" t="s">
        <v>18196</v>
      </c>
      <c r="H2822" t="s">
        <v>1174</v>
      </c>
      <c r="I2822" t="s">
        <v>1117</v>
      </c>
      <c r="J2822" t="s">
        <v>8965</v>
      </c>
      <c r="K2822" t="s">
        <v>8966</v>
      </c>
      <c r="L2822" t="s">
        <v>21</v>
      </c>
      <c r="M2822" t="s">
        <v>19177</v>
      </c>
      <c r="N2822" t="s">
        <v>531</v>
      </c>
      <c r="O2822" t="s">
        <v>531</v>
      </c>
      <c r="P2822" t="s">
        <v>454</v>
      </c>
    </row>
    <row r="2823">
      <c r="A2823">
        <f>HYPERLINK("http://bombeiros.sp.gov.br/hidrantes/03individual/637.html","637")</f>
      </c>
      <c r="B2823" t="s">
        <v>454</v>
      </c>
      <c r="C2823" t="s">
        <v>570</v>
      </c>
      <c r="D2823" t="s">
        <v>581</v>
      </c>
      <c r="E2823" t="s">
        <v>15</v>
      </c>
      <c r="F2823" t="s">
        <v>8967</v>
      </c>
      <c r="G2823" t="s">
        <v>18133</v>
      </c>
      <c r="H2823" t="s">
        <v>1174</v>
      </c>
      <c r="I2823" t="s">
        <v>1117</v>
      </c>
      <c r="J2823" t="s">
        <v>8968</v>
      </c>
      <c r="K2823" t="s">
        <v>8969</v>
      </c>
      <c r="L2823" t="s">
        <v>21</v>
      </c>
      <c r="M2823" t="s">
        <v>19177</v>
      </c>
      <c r="N2823" t="s">
        <v>531</v>
      </c>
      <c r="O2823" t="s">
        <v>531</v>
      </c>
      <c r="P2823" t="s">
        <v>454</v>
      </c>
    </row>
    <row r="2824">
      <c r="A2824">
        <f>HYPERLINK("http://bombeiros.sp.gov.br/hidrantes/03individual/732.html","732")</f>
      </c>
      <c r="B2824" t="s">
        <v>454</v>
      </c>
      <c r="C2824" t="s">
        <v>570</v>
      </c>
      <c r="D2824" t="s">
        <v>581</v>
      </c>
      <c r="E2824" t="s">
        <v>15</v>
      </c>
      <c r="F2824" t="s">
        <v>8970</v>
      </c>
      <c r="G2824" t="s">
        <v>18133</v>
      </c>
      <c r="H2824" t="s">
        <v>1112</v>
      </c>
      <c r="I2824" t="s">
        <v>1108</v>
      </c>
      <c r="J2824" t="s">
        <v>8971</v>
      </c>
      <c r="K2824" t="s">
        <v>8972</v>
      </c>
      <c r="L2824" t="s">
        <v>21</v>
      </c>
      <c r="M2824" t="s">
        <v>19177</v>
      </c>
      <c r="N2824" t="s">
        <v>531</v>
      </c>
      <c r="O2824" t="s">
        <v>531</v>
      </c>
      <c r="P2824" t="s">
        <v>454</v>
      </c>
    </row>
    <row r="2825">
      <c r="A2825">
        <f>HYPERLINK("http://bombeiros.sp.gov.br/hidrantes/03individual/863.html","863")</f>
      </c>
      <c r="B2825" t="s">
        <v>454</v>
      </c>
      <c r="C2825" t="s">
        <v>570</v>
      </c>
      <c r="D2825" t="s">
        <v>581</v>
      </c>
      <c r="E2825" t="s">
        <v>15</v>
      </c>
      <c r="F2825" t="s">
        <v>8973</v>
      </c>
      <c r="G2825" t="s">
        <v>18049</v>
      </c>
      <c r="H2825" t="s">
        <v>1112</v>
      </c>
      <c r="I2825" t="s">
        <v>1108</v>
      </c>
      <c r="J2825" t="s">
        <v>8974</v>
      </c>
      <c r="K2825" t="s">
        <v>8975</v>
      </c>
      <c r="L2825" t="s">
        <v>21</v>
      </c>
      <c r="M2825" t="s">
        <v>19177</v>
      </c>
      <c r="N2825" t="s">
        <v>531</v>
      </c>
      <c r="O2825" t="s">
        <v>531</v>
      </c>
      <c r="P2825" t="s">
        <v>454</v>
      </c>
    </row>
    <row r="2826">
      <c r="A2826">
        <f>HYPERLINK("http://bombeiros.sp.gov.br/hidrantes/03individual/866.html","866")</f>
      </c>
      <c r="B2826" t="s">
        <v>454</v>
      </c>
      <c r="C2826" t="s">
        <v>570</v>
      </c>
      <c r="D2826" t="s">
        <v>581</v>
      </c>
      <c r="E2826" t="s">
        <v>15</v>
      </c>
      <c r="F2826" t="s">
        <v>8976</v>
      </c>
      <c r="G2826" t="s">
        <v>18132</v>
      </c>
      <c r="H2826" t="s">
        <v>1107</v>
      </c>
      <c r="I2826" t="s">
        <v>1108</v>
      </c>
      <c r="J2826" t="s">
        <v>8978</v>
      </c>
      <c r="K2826" t="s">
        <v>8979</v>
      </c>
      <c r="L2826" t="s">
        <v>21</v>
      </c>
      <c r="M2826" t="s">
        <v>19177</v>
      </c>
      <c r="N2826" t="s">
        <v>531</v>
      </c>
      <c r="O2826" t="s">
        <v>531</v>
      </c>
      <c r="P2826" t="s">
        <v>454</v>
      </c>
    </row>
    <row r="2827">
      <c r="A2827">
        <f>HYPERLINK("http://bombeiros.sp.gov.br/hidrantes/03individual/868.html","868")</f>
      </c>
      <c r="B2827" t="s">
        <v>454</v>
      </c>
      <c r="C2827" t="s">
        <v>570</v>
      </c>
      <c r="D2827" t="s">
        <v>581</v>
      </c>
      <c r="E2827" t="s">
        <v>15</v>
      </c>
      <c r="F2827" t="s">
        <v>8980</v>
      </c>
      <c r="G2827" t="s">
        <v>18193</v>
      </c>
      <c r="H2827" t="s">
        <v>1174</v>
      </c>
      <c r="I2827" t="s">
        <v>1108</v>
      </c>
      <c r="J2827" t="s">
        <v>8981</v>
      </c>
      <c r="K2827" t="s">
        <v>8982</v>
      </c>
      <c r="L2827" t="s">
        <v>21</v>
      </c>
      <c r="M2827" t="s">
        <v>19177</v>
      </c>
      <c r="N2827" t="s">
        <v>531</v>
      </c>
      <c r="O2827" t="s">
        <v>531</v>
      </c>
      <c r="P2827" t="s">
        <v>454</v>
      </c>
    </row>
    <row r="2828">
      <c r="A2828">
        <f>HYPERLINK("http://bombeiros.sp.gov.br/hidrantes/03individual/872.html","872")</f>
      </c>
      <c r="B2828" t="s">
        <v>454</v>
      </c>
      <c r="C2828" t="s">
        <v>570</v>
      </c>
      <c r="D2828" t="s">
        <v>581</v>
      </c>
      <c r="E2828" t="s">
        <v>15</v>
      </c>
      <c r="F2828" t="s">
        <v>8983</v>
      </c>
      <c r="G2828" t="s">
        <v>18051</v>
      </c>
      <c r="H2828" t="s">
        <v>1112</v>
      </c>
      <c r="I2828" t="s">
        <v>1108</v>
      </c>
      <c r="J2828" t="s">
        <v>8984</v>
      </c>
      <c r="K2828" t="s">
        <v>8985</v>
      </c>
      <c r="L2828" t="s">
        <v>21</v>
      </c>
      <c r="M2828" t="s">
        <v>19177</v>
      </c>
      <c r="N2828" t="s">
        <v>531</v>
      </c>
      <c r="O2828" t="s">
        <v>531</v>
      </c>
      <c r="P2828" t="s">
        <v>454</v>
      </c>
    </row>
    <row r="2829">
      <c r="A2829">
        <f>HYPERLINK("http://bombeiros.sp.gov.br/hidrantes/03individual/874.html","874")</f>
      </c>
      <c r="B2829" t="s">
        <v>454</v>
      </c>
      <c r="C2829" t="s">
        <v>570</v>
      </c>
      <c r="D2829" t="s">
        <v>581</v>
      </c>
      <c r="E2829" t="s">
        <v>15</v>
      </c>
      <c r="F2829" t="s">
        <v>8986</v>
      </c>
      <c r="G2829" t="s">
        <v>18042</v>
      </c>
      <c r="H2829" t="s">
        <v>1107</v>
      </c>
      <c r="I2829" t="s">
        <v>1108</v>
      </c>
      <c r="J2829" t="s">
        <v>8987</v>
      </c>
      <c r="K2829" t="s">
        <v>8988</v>
      </c>
      <c r="L2829" t="s">
        <v>21</v>
      </c>
      <c r="M2829" t="s">
        <v>19177</v>
      </c>
      <c r="N2829" t="s">
        <v>531</v>
      </c>
      <c r="O2829" t="s">
        <v>531</v>
      </c>
      <c r="P2829" t="s">
        <v>454</v>
      </c>
    </row>
    <row r="2830">
      <c r="A2830">
        <f>HYPERLINK("http://bombeiros.sp.gov.br/hidrantes/03individual/879.html","879")</f>
      </c>
      <c r="B2830" t="s">
        <v>454</v>
      </c>
      <c r="C2830" t="s">
        <v>570</v>
      </c>
      <c r="D2830" t="s">
        <v>581</v>
      </c>
      <c r="E2830" t="s">
        <v>15</v>
      </c>
      <c r="F2830" t="s">
        <v>585</v>
      </c>
      <c r="G2830" t="s">
        <v>18125</v>
      </c>
      <c r="H2830"/>
      <c r="I2830" t="s">
        <v>18</v>
      </c>
      <c r="J2830" t="s">
        <v>586</v>
      </c>
      <c r="K2830" t="s">
        <v>587</v>
      </c>
      <c r="L2830" t="s">
        <v>21</v>
      </c>
      <c r="M2830" t="s">
        <v>19177</v>
      </c>
      <c r="N2830" t="s">
        <v>531</v>
      </c>
      <c r="O2830" t="s">
        <v>531</v>
      </c>
      <c r="P2830" t="s">
        <v>454</v>
      </c>
    </row>
    <row r="2831">
      <c r="A2831">
        <f>HYPERLINK("http://bombeiros.sp.gov.br/hidrantes/03individual/3525.html","3525")</f>
      </c>
      <c r="B2831" t="s">
        <v>454</v>
      </c>
      <c r="C2831" t="s">
        <v>570</v>
      </c>
      <c r="D2831" t="s">
        <v>581</v>
      </c>
      <c r="E2831" t="s">
        <v>15</v>
      </c>
      <c r="F2831" t="s">
        <v>8989</v>
      </c>
      <c r="G2831" t="s">
        <v>18132</v>
      </c>
      <c r="H2831" t="s">
        <v>1112</v>
      </c>
      <c r="I2831" t="s">
        <v>1108</v>
      </c>
      <c r="J2831" t="s">
        <v>15951</v>
      </c>
      <c r="K2831" t="s">
        <v>15952</v>
      </c>
      <c r="L2831" t="s">
        <v>21</v>
      </c>
      <c r="M2831" t="s">
        <v>19177</v>
      </c>
      <c r="N2831" t="s">
        <v>531</v>
      </c>
      <c r="O2831" t="s">
        <v>531</v>
      </c>
      <c r="P2831" t="s">
        <v>454</v>
      </c>
    </row>
    <row r="2832">
      <c r="A2832">
        <f>HYPERLINK("http://bombeiros.sp.gov.br/hidrantes/03individual/3545.html","3545")</f>
      </c>
      <c r="B2832" t="s">
        <v>454</v>
      </c>
      <c r="C2832" t="s">
        <v>570</v>
      </c>
      <c r="D2832" t="s">
        <v>581</v>
      </c>
      <c r="E2832" t="s">
        <v>15</v>
      </c>
      <c r="F2832" t="s">
        <v>8992</v>
      </c>
      <c r="G2832" t="s">
        <v>18042</v>
      </c>
      <c r="H2832" t="s">
        <v>1112</v>
      </c>
      <c r="I2832" t="s">
        <v>1108</v>
      </c>
      <c r="J2832" t="s">
        <v>8993</v>
      </c>
      <c r="K2832" t="s">
        <v>8994</v>
      </c>
      <c r="L2832" t="s">
        <v>21</v>
      </c>
      <c r="M2832" t="s">
        <v>19177</v>
      </c>
      <c r="N2832" t="s">
        <v>531</v>
      </c>
      <c r="O2832" t="s">
        <v>531</v>
      </c>
      <c r="P2832" t="s">
        <v>454</v>
      </c>
    </row>
    <row r="2833">
      <c r="A2833">
        <f>HYPERLINK("http://bombeiros.sp.gov.br/hidrantes/03individual/3778.html","3778")</f>
      </c>
      <c r="B2833" t="s">
        <v>454</v>
      </c>
      <c r="C2833" t="s">
        <v>570</v>
      </c>
      <c r="D2833" t="s">
        <v>581</v>
      </c>
      <c r="E2833" t="s">
        <v>15</v>
      </c>
      <c r="F2833" t="s">
        <v>8995</v>
      </c>
      <c r="G2833" t="s">
        <v>18133</v>
      </c>
      <c r="H2833" t="s">
        <v>1112</v>
      </c>
      <c r="I2833" t="s">
        <v>1108</v>
      </c>
      <c r="J2833" t="s">
        <v>8996</v>
      </c>
      <c r="K2833" t="s">
        <v>8997</v>
      </c>
      <c r="L2833" t="s">
        <v>21</v>
      </c>
      <c r="M2833" t="s">
        <v>19177</v>
      </c>
      <c r="N2833" t="s">
        <v>531</v>
      </c>
      <c r="O2833" t="s">
        <v>531</v>
      </c>
      <c r="P2833" t="s">
        <v>454</v>
      </c>
    </row>
    <row r="2834">
      <c r="A2834">
        <f>HYPERLINK("http://bombeiros.sp.gov.br/hidrantes/03individual/17660.html","17660")</f>
      </c>
      <c r="B2834" t="s">
        <v>454</v>
      </c>
      <c r="C2834" t="s">
        <v>570</v>
      </c>
      <c r="D2834" t="s">
        <v>581</v>
      </c>
      <c r="E2834" t="s">
        <v>15</v>
      </c>
      <c r="F2834" t="s">
        <v>8998</v>
      </c>
      <c r="G2834" t="s">
        <v>18133</v>
      </c>
      <c r="H2834" t="s">
        <v>1174</v>
      </c>
      <c r="I2834" t="s">
        <v>1117</v>
      </c>
      <c r="J2834" t="s">
        <v>9000</v>
      </c>
      <c r="K2834" t="s">
        <v>9001</v>
      </c>
      <c r="L2834" t="s">
        <v>21</v>
      </c>
      <c r="M2834" t="s">
        <v>19177</v>
      </c>
      <c r="N2834" t="s">
        <v>531</v>
      </c>
      <c r="O2834" t="s">
        <v>531</v>
      </c>
      <c r="P2834" t="s">
        <v>454</v>
      </c>
    </row>
    <row r="2835">
      <c r="A2835">
        <f>HYPERLINK("http://bombeiros.sp.gov.br/hidrantes/03individual/2865.html","2865")</f>
      </c>
      <c r="B2835" t="s">
        <v>454</v>
      </c>
      <c r="C2835" t="s">
        <v>588</v>
      </c>
      <c r="D2835" t="s">
        <v>589</v>
      </c>
      <c r="E2835" t="s">
        <v>15</v>
      </c>
      <c r="F2835" t="s">
        <v>9002</v>
      </c>
      <c r="G2835" t="s">
        <v>18053</v>
      </c>
      <c r="H2835" t="s">
        <v>1107</v>
      </c>
      <c r="I2835" t="s">
        <v>1108</v>
      </c>
      <c r="J2835" t="s">
        <v>9003</v>
      </c>
      <c r="K2835" t="s">
        <v>9004</v>
      </c>
      <c r="L2835" t="s">
        <v>21</v>
      </c>
      <c r="M2835" t="s">
        <v>19177</v>
      </c>
      <c r="N2835" t="s">
        <v>531</v>
      </c>
      <c r="O2835" t="s">
        <v>531</v>
      </c>
      <c r="P2835" t="s">
        <v>454</v>
      </c>
    </row>
    <row r="2836">
      <c r="A2836">
        <f>HYPERLINK("http://bombeiros.sp.gov.br/hidrantes/03individual/25213.html","25213")</f>
      </c>
      <c r="B2836" t="s">
        <v>454</v>
      </c>
      <c r="C2836" t="s">
        <v>588</v>
      </c>
      <c r="D2836" t="s">
        <v>589</v>
      </c>
      <c r="E2836" t="s">
        <v>15</v>
      </c>
      <c r="F2836" t="s">
        <v>590</v>
      </c>
      <c r="G2836" t="s">
        <v>18096</v>
      </c>
      <c r="H2836" t="s">
        <v>1107</v>
      </c>
      <c r="I2836" t="s">
        <v>1108</v>
      </c>
      <c r="J2836" t="s">
        <v>592</v>
      </c>
      <c r="K2836" t="s">
        <v>593</v>
      </c>
      <c r="L2836" t="s">
        <v>21</v>
      </c>
      <c r="M2836" t="s">
        <v>19177</v>
      </c>
      <c r="N2836" t="s">
        <v>531</v>
      </c>
      <c r="O2836" t="s">
        <v>531</v>
      </c>
      <c r="P2836" t="s">
        <v>454</v>
      </c>
    </row>
    <row r="2837">
      <c r="A2837">
        <f>HYPERLINK("http://bombeiros.sp.gov.br/hidrantes/03individual/2870.html","2870")</f>
      </c>
      <c r="B2837" t="s">
        <v>454</v>
      </c>
      <c r="C2837" t="s">
        <v>588</v>
      </c>
      <c r="D2837" t="s">
        <v>588</v>
      </c>
      <c r="E2837" t="s">
        <v>64</v>
      </c>
      <c r="F2837" t="s">
        <v>9005</v>
      </c>
      <c r="G2837" t="s">
        <v>18096</v>
      </c>
      <c r="H2837" t="s">
        <v>1107</v>
      </c>
      <c r="I2837" t="s">
        <v>1108</v>
      </c>
      <c r="J2837" t="s">
        <v>9006</v>
      </c>
      <c r="K2837" t="s">
        <v>9007</v>
      </c>
      <c r="L2837" t="s">
        <v>36</v>
      </c>
      <c r="M2837" t="s">
        <v>19177</v>
      </c>
      <c r="N2837" t="s">
        <v>594</v>
      </c>
      <c r="O2837" t="s">
        <v>531</v>
      </c>
      <c r="P2837" t="s">
        <v>454</v>
      </c>
    </row>
    <row r="2838">
      <c r="A2838">
        <f>HYPERLINK("http://bombeiros.sp.gov.br/hidrantes/03individual/2871.html","2871")</f>
      </c>
      <c r="B2838" t="s">
        <v>454</v>
      </c>
      <c r="C2838" t="s">
        <v>588</v>
      </c>
      <c r="D2838" t="s">
        <v>588</v>
      </c>
      <c r="E2838" t="s">
        <v>64</v>
      </c>
      <c r="F2838" t="s">
        <v>9008</v>
      </c>
      <c r="G2838" t="s">
        <v>18484</v>
      </c>
      <c r="H2838" t="s">
        <v>1121</v>
      </c>
      <c r="I2838" t="s">
        <v>1117</v>
      </c>
      <c r="J2838" t="s">
        <v>9009</v>
      </c>
      <c r="K2838" t="s">
        <v>9010</v>
      </c>
      <c r="L2838" t="s">
        <v>36</v>
      </c>
      <c r="M2838" t="s">
        <v>19177</v>
      </c>
      <c r="N2838" t="s">
        <v>594</v>
      </c>
      <c r="O2838" t="s">
        <v>531</v>
      </c>
      <c r="P2838" t="s">
        <v>454</v>
      </c>
    </row>
    <row r="2839">
      <c r="A2839">
        <f>HYPERLINK("http://bombeiros.sp.gov.br/hidrantes/03individual/3051.html","3051")</f>
      </c>
      <c r="B2839" t="s">
        <v>454</v>
      </c>
      <c r="C2839" t="s">
        <v>588</v>
      </c>
      <c r="D2839" t="s">
        <v>588</v>
      </c>
      <c r="E2839" t="s">
        <v>64</v>
      </c>
      <c r="F2839" t="s">
        <v>9011</v>
      </c>
      <c r="G2839" t="s">
        <v>18075</v>
      </c>
      <c r="H2839" t="s">
        <v>1112</v>
      </c>
      <c r="I2839" t="s">
        <v>1108</v>
      </c>
      <c r="J2839" t="s">
        <v>9012</v>
      </c>
      <c r="K2839" t="s">
        <v>9013</v>
      </c>
      <c r="L2839" t="s">
        <v>21</v>
      </c>
      <c r="M2839" t="s">
        <v>19177</v>
      </c>
      <c r="N2839" t="s">
        <v>594</v>
      </c>
      <c r="O2839" t="s">
        <v>531</v>
      </c>
      <c r="P2839" t="s">
        <v>454</v>
      </c>
    </row>
    <row r="2840">
      <c r="A2840">
        <f>HYPERLINK("http://bombeiros.sp.gov.br/hidrantes/03individual/2860.html","2860")</f>
      </c>
      <c r="B2840" t="s">
        <v>454</v>
      </c>
      <c r="C2840" t="s">
        <v>588</v>
      </c>
      <c r="D2840" t="s">
        <v>588</v>
      </c>
      <c r="E2840" t="s">
        <v>15</v>
      </c>
      <c r="F2840" t="s">
        <v>9014</v>
      </c>
      <c r="G2840" t="s">
        <v>18072</v>
      </c>
      <c r="H2840" t="s">
        <v>1112</v>
      </c>
      <c r="I2840" t="s">
        <v>1108</v>
      </c>
      <c r="J2840" t="s">
        <v>9015</v>
      </c>
      <c r="K2840" t="s">
        <v>9016</v>
      </c>
      <c r="L2840" t="s">
        <v>21</v>
      </c>
      <c r="M2840" t="s">
        <v>19177</v>
      </c>
      <c r="N2840" t="s">
        <v>594</v>
      </c>
      <c r="O2840" t="s">
        <v>531</v>
      </c>
      <c r="P2840" t="s">
        <v>454</v>
      </c>
    </row>
    <row r="2841">
      <c r="A2841">
        <f>HYPERLINK("http://bombeiros.sp.gov.br/hidrantes/03individual/27564.html","27564")</f>
      </c>
      <c r="B2841" t="s">
        <v>454</v>
      </c>
      <c r="C2841" t="s">
        <v>588</v>
      </c>
      <c r="D2841" t="s">
        <v>588</v>
      </c>
      <c r="E2841" t="s">
        <v>15</v>
      </c>
      <c r="F2841" t="s">
        <v>17433</v>
      </c>
      <c r="G2841" t="s">
        <v>18093</v>
      </c>
      <c r="H2841" t="s">
        <v>1121</v>
      </c>
      <c r="I2841" t="s">
        <v>1117</v>
      </c>
      <c r="J2841" t="s">
        <v>17434</v>
      </c>
      <c r="K2841" t="s">
        <v>17435</v>
      </c>
      <c r="L2841" t="s">
        <v>21</v>
      </c>
      <c r="M2841" t="s">
        <v>19177</v>
      </c>
      <c r="N2841" t="s">
        <v>594</v>
      </c>
      <c r="O2841" t="s">
        <v>531</v>
      </c>
      <c r="P2841" t="s">
        <v>454</v>
      </c>
    </row>
    <row r="2842">
      <c r="A2842">
        <f>HYPERLINK("http://bombeiros.sp.gov.br/hidrantes/03individual/2827.html","2827")</f>
      </c>
      <c r="B2842" t="s">
        <v>454</v>
      </c>
      <c r="C2842" t="s">
        <v>588</v>
      </c>
      <c r="D2842" t="s">
        <v>9017</v>
      </c>
      <c r="E2842" t="s">
        <v>64</v>
      </c>
      <c r="F2842" t="s">
        <v>9018</v>
      </c>
      <c r="G2842" t="s">
        <v>18053</v>
      </c>
      <c r="H2842" t="s">
        <v>1107</v>
      </c>
      <c r="I2842" t="s">
        <v>1108</v>
      </c>
      <c r="J2842" t="s">
        <v>9019</v>
      </c>
      <c r="K2842" t="s">
        <v>9020</v>
      </c>
      <c r="L2842" t="s">
        <v>36</v>
      </c>
      <c r="M2842" t="s">
        <v>19177</v>
      </c>
      <c r="N2842" t="s">
        <v>594</v>
      </c>
      <c r="O2842" t="s">
        <v>531</v>
      </c>
      <c r="P2842" t="s">
        <v>454</v>
      </c>
    </row>
    <row r="2843">
      <c r="A2843">
        <f>HYPERLINK("http://bombeiros.sp.gov.br/hidrantes/03individual/16546.html","16546")</f>
      </c>
      <c r="B2843" t="s">
        <v>454</v>
      </c>
      <c r="C2843" t="s">
        <v>588</v>
      </c>
      <c r="D2843" t="s">
        <v>9017</v>
      </c>
      <c r="E2843" t="s">
        <v>64</v>
      </c>
      <c r="F2843" t="s">
        <v>9021</v>
      </c>
      <c r="G2843" t="s">
        <v>18134</v>
      </c>
      <c r="H2843" t="s">
        <v>1107</v>
      </c>
      <c r="I2843" t="s">
        <v>1108</v>
      </c>
      <c r="J2843" t="s">
        <v>9022</v>
      </c>
      <c r="K2843" t="s">
        <v>9023</v>
      </c>
      <c r="L2843" t="s">
        <v>21</v>
      </c>
      <c r="M2843" t="s">
        <v>19177</v>
      </c>
      <c r="N2843" t="s">
        <v>531</v>
      </c>
      <c r="O2843" t="s">
        <v>531</v>
      </c>
      <c r="P2843" t="s">
        <v>454</v>
      </c>
    </row>
    <row r="2844">
      <c r="A2844">
        <f>HYPERLINK("http://bombeiros.sp.gov.br/hidrantes/03individual/513.html","513")</f>
      </c>
      <c r="B2844" t="s">
        <v>454</v>
      </c>
      <c r="C2844" t="s">
        <v>588</v>
      </c>
      <c r="D2844" t="s">
        <v>9017</v>
      </c>
      <c r="E2844" t="s">
        <v>15</v>
      </c>
      <c r="F2844" t="s">
        <v>9024</v>
      </c>
      <c r="G2844" t="s">
        <v>18134</v>
      </c>
      <c r="H2844" t="s">
        <v>1121</v>
      </c>
      <c r="I2844" t="s">
        <v>1117</v>
      </c>
      <c r="J2844" t="s">
        <v>9026</v>
      </c>
      <c r="K2844" t="s">
        <v>9027</v>
      </c>
      <c r="L2844" t="s">
        <v>21</v>
      </c>
      <c r="M2844" t="s">
        <v>19177</v>
      </c>
      <c r="N2844" t="s">
        <v>594</v>
      </c>
      <c r="O2844" t="s">
        <v>531</v>
      </c>
      <c r="P2844" t="s">
        <v>454</v>
      </c>
    </row>
    <row r="2845">
      <c r="A2845">
        <f>HYPERLINK("http://bombeiros.sp.gov.br/hidrantes/03individual/514.html","514")</f>
      </c>
      <c r="B2845" t="s">
        <v>454</v>
      </c>
      <c r="C2845" t="s">
        <v>588</v>
      </c>
      <c r="D2845" t="s">
        <v>9017</v>
      </c>
      <c r="E2845" t="s">
        <v>15</v>
      </c>
      <c r="F2845" t="s">
        <v>9028</v>
      </c>
      <c r="G2845" t="s">
        <v>18134</v>
      </c>
      <c r="H2845" t="s">
        <v>1107</v>
      </c>
      <c r="I2845" t="s">
        <v>1108</v>
      </c>
      <c r="J2845" t="s">
        <v>9029</v>
      </c>
      <c r="K2845" t="s">
        <v>9030</v>
      </c>
      <c r="L2845" t="s">
        <v>21</v>
      </c>
      <c r="M2845" t="s">
        <v>19177</v>
      </c>
      <c r="N2845" t="s">
        <v>594</v>
      </c>
      <c r="O2845" t="s">
        <v>531</v>
      </c>
      <c r="P2845" t="s">
        <v>454</v>
      </c>
    </row>
    <row r="2846">
      <c r="A2846">
        <f>HYPERLINK("http://bombeiros.sp.gov.br/hidrantes/03individual/515.html","515")</f>
      </c>
      <c r="B2846" t="s">
        <v>454</v>
      </c>
      <c r="C2846" t="s">
        <v>588</v>
      </c>
      <c r="D2846" t="s">
        <v>9017</v>
      </c>
      <c r="E2846" t="s">
        <v>15</v>
      </c>
      <c r="F2846" t="s">
        <v>9031</v>
      </c>
      <c r="G2846" t="s">
        <v>18182</v>
      </c>
      <c r="H2846" t="s">
        <v>1107</v>
      </c>
      <c r="I2846" t="s">
        <v>1108</v>
      </c>
      <c r="J2846" t="s">
        <v>9032</v>
      </c>
      <c r="K2846" t="s">
        <v>9033</v>
      </c>
      <c r="L2846" t="s">
        <v>21</v>
      </c>
      <c r="M2846" t="s">
        <v>19177</v>
      </c>
      <c r="N2846" t="s">
        <v>594</v>
      </c>
      <c r="O2846" t="s">
        <v>531</v>
      </c>
      <c r="P2846" t="s">
        <v>454</v>
      </c>
    </row>
    <row r="2847">
      <c r="A2847">
        <f>HYPERLINK("http://bombeiros.sp.gov.br/hidrantes/03individual/516.html","516")</f>
      </c>
      <c r="B2847" t="s">
        <v>454</v>
      </c>
      <c r="C2847" t="s">
        <v>588</v>
      </c>
      <c r="D2847" t="s">
        <v>9017</v>
      </c>
      <c r="E2847" t="s">
        <v>15</v>
      </c>
      <c r="F2847" t="s">
        <v>9034</v>
      </c>
      <c r="G2847" t="s">
        <v>18182</v>
      </c>
      <c r="H2847" t="s">
        <v>1112</v>
      </c>
      <c r="I2847" t="s">
        <v>1108</v>
      </c>
      <c r="J2847" t="s">
        <v>9035</v>
      </c>
      <c r="K2847" t="s">
        <v>9036</v>
      </c>
      <c r="L2847" t="s">
        <v>21</v>
      </c>
      <c r="M2847" t="s">
        <v>19177</v>
      </c>
      <c r="N2847" t="s">
        <v>594</v>
      </c>
      <c r="O2847" t="s">
        <v>531</v>
      </c>
      <c r="P2847" t="s">
        <v>454</v>
      </c>
    </row>
    <row r="2848">
      <c r="A2848">
        <f>HYPERLINK("http://bombeiros.sp.gov.br/hidrantes/03individual/531.html","531")</f>
      </c>
      <c r="B2848" t="s">
        <v>454</v>
      </c>
      <c r="C2848" t="s">
        <v>588</v>
      </c>
      <c r="D2848" t="s">
        <v>9017</v>
      </c>
      <c r="E2848" t="s">
        <v>15</v>
      </c>
      <c r="F2848" t="s">
        <v>9037</v>
      </c>
      <c r="G2848" t="s">
        <v>18071</v>
      </c>
      <c r="H2848" t="s">
        <v>1107</v>
      </c>
      <c r="I2848" t="s">
        <v>1108</v>
      </c>
      <c r="J2848" t="s">
        <v>9038</v>
      </c>
      <c r="K2848" t="s">
        <v>9039</v>
      </c>
      <c r="L2848" t="s">
        <v>21</v>
      </c>
      <c r="M2848" t="s">
        <v>19177</v>
      </c>
      <c r="N2848" t="s">
        <v>594</v>
      </c>
      <c r="O2848" t="s">
        <v>531</v>
      </c>
      <c r="P2848" t="s">
        <v>454</v>
      </c>
    </row>
    <row r="2849">
      <c r="A2849">
        <f>HYPERLINK("http://bombeiros.sp.gov.br/hidrantes/03individual/543.html","543")</f>
      </c>
      <c r="B2849" t="s">
        <v>454</v>
      </c>
      <c r="C2849" t="s">
        <v>588</v>
      </c>
      <c r="D2849" t="s">
        <v>9017</v>
      </c>
      <c r="E2849" t="s">
        <v>15</v>
      </c>
      <c r="F2849" t="s">
        <v>9040</v>
      </c>
      <c r="G2849" t="s">
        <v>18071</v>
      </c>
      <c r="H2849" t="s">
        <v>1107</v>
      </c>
      <c r="I2849" t="s">
        <v>1108</v>
      </c>
      <c r="J2849" t="s">
        <v>16578</v>
      </c>
      <c r="K2849" t="s">
        <v>16579</v>
      </c>
      <c r="L2849" t="s">
        <v>36</v>
      </c>
      <c r="M2849" t="s">
        <v>19177</v>
      </c>
      <c r="N2849" t="s">
        <v>594</v>
      </c>
      <c r="O2849" t="s">
        <v>531</v>
      </c>
      <c r="P2849" t="s">
        <v>454</v>
      </c>
    </row>
    <row r="2850">
      <c r="A2850">
        <f>HYPERLINK("http://bombeiros.sp.gov.br/hidrantes/03individual/547.html","547")</f>
      </c>
      <c r="B2850" t="s">
        <v>454</v>
      </c>
      <c r="C2850" t="s">
        <v>588</v>
      </c>
      <c r="D2850" t="s">
        <v>9017</v>
      </c>
      <c r="E2850" t="s">
        <v>15</v>
      </c>
      <c r="F2850" t="s">
        <v>9043</v>
      </c>
      <c r="G2850" t="s">
        <v>18484</v>
      </c>
      <c r="H2850" t="s">
        <v>1107</v>
      </c>
      <c r="I2850" t="s">
        <v>1108</v>
      </c>
      <c r="J2850" t="s">
        <v>9044</v>
      </c>
      <c r="K2850" t="s">
        <v>9045</v>
      </c>
      <c r="L2850" t="s">
        <v>21</v>
      </c>
      <c r="M2850" t="s">
        <v>19177</v>
      </c>
      <c r="N2850" t="s">
        <v>594</v>
      </c>
      <c r="O2850" t="s">
        <v>531</v>
      </c>
      <c r="P2850" t="s">
        <v>454</v>
      </c>
    </row>
    <row r="2851">
      <c r="A2851">
        <f>HYPERLINK("http://bombeiros.sp.gov.br/hidrantes/03individual/634.html","634")</f>
      </c>
      <c r="B2851" t="s">
        <v>454</v>
      </c>
      <c r="C2851" t="s">
        <v>588</v>
      </c>
      <c r="D2851" t="s">
        <v>9017</v>
      </c>
      <c r="E2851" t="s">
        <v>15</v>
      </c>
      <c r="F2851" t="s">
        <v>9046</v>
      </c>
      <c r="G2851" t="s">
        <v>18093</v>
      </c>
      <c r="H2851" t="s">
        <v>1107</v>
      </c>
      <c r="I2851" t="s">
        <v>1108</v>
      </c>
      <c r="J2851" t="s">
        <v>9047</v>
      </c>
      <c r="K2851" t="s">
        <v>9048</v>
      </c>
      <c r="L2851" t="s">
        <v>21</v>
      </c>
      <c r="M2851" t="s">
        <v>19177</v>
      </c>
      <c r="N2851" t="s">
        <v>594</v>
      </c>
      <c r="O2851" t="s">
        <v>531</v>
      </c>
      <c r="P2851" t="s">
        <v>454</v>
      </c>
    </row>
    <row r="2852">
      <c r="A2852">
        <f>HYPERLINK("http://bombeiros.sp.gov.br/hidrantes/03individual/635.html","635")</f>
      </c>
      <c r="B2852" t="s">
        <v>454</v>
      </c>
      <c r="C2852" t="s">
        <v>588</v>
      </c>
      <c r="D2852" t="s">
        <v>9017</v>
      </c>
      <c r="E2852" t="s">
        <v>15</v>
      </c>
      <c r="F2852" t="s">
        <v>9049</v>
      </c>
      <c r="G2852" t="s">
        <v>18495</v>
      </c>
      <c r="H2852" t="s">
        <v>1112</v>
      </c>
      <c r="I2852" t="s">
        <v>1108</v>
      </c>
      <c r="J2852" t="s">
        <v>9050</v>
      </c>
      <c r="K2852" t="s">
        <v>9051</v>
      </c>
      <c r="L2852" t="s">
        <v>21</v>
      </c>
      <c r="M2852" t="s">
        <v>19177</v>
      </c>
      <c r="N2852" t="s">
        <v>594</v>
      </c>
      <c r="O2852" t="s">
        <v>531</v>
      </c>
      <c r="P2852" t="s">
        <v>454</v>
      </c>
    </row>
    <row r="2853">
      <c r="A2853">
        <f>HYPERLINK("http://bombeiros.sp.gov.br/hidrantes/03individual/643.html","643")</f>
      </c>
      <c r="B2853" t="s">
        <v>454</v>
      </c>
      <c r="C2853" t="s">
        <v>588</v>
      </c>
      <c r="D2853" t="s">
        <v>9017</v>
      </c>
      <c r="E2853" t="s">
        <v>15</v>
      </c>
      <c r="F2853" t="s">
        <v>9052</v>
      </c>
      <c r="G2853" t="s">
        <v>18071</v>
      </c>
      <c r="H2853" t="s">
        <v>1121</v>
      </c>
      <c r="I2853" t="s">
        <v>1117</v>
      </c>
      <c r="J2853" t="s">
        <v>9053</v>
      </c>
      <c r="K2853" t="s">
        <v>9054</v>
      </c>
      <c r="L2853" t="s">
        <v>21</v>
      </c>
      <c r="M2853" t="s">
        <v>19177</v>
      </c>
      <c r="N2853" t="s">
        <v>594</v>
      </c>
      <c r="O2853" t="s">
        <v>531</v>
      </c>
      <c r="P2853" t="s">
        <v>454</v>
      </c>
    </row>
    <row r="2854">
      <c r="A2854">
        <f>HYPERLINK("http://bombeiros.sp.gov.br/hidrantes/03individual/644.html","644")</f>
      </c>
      <c r="B2854" t="s">
        <v>454</v>
      </c>
      <c r="C2854" t="s">
        <v>588</v>
      </c>
      <c r="D2854" t="s">
        <v>9017</v>
      </c>
      <c r="E2854" t="s">
        <v>15</v>
      </c>
      <c r="F2854" t="s">
        <v>9055</v>
      </c>
      <c r="G2854" t="s">
        <v>18495</v>
      </c>
      <c r="H2854" t="s">
        <v>1121</v>
      </c>
      <c r="I2854" t="s">
        <v>1117</v>
      </c>
      <c r="J2854" t="s">
        <v>16520</v>
      </c>
      <c r="K2854" t="s">
        <v>16521</v>
      </c>
      <c r="L2854" t="s">
        <v>21</v>
      </c>
      <c r="M2854" t="s">
        <v>19177</v>
      </c>
      <c r="N2854" t="s">
        <v>594</v>
      </c>
      <c r="O2854" t="s">
        <v>531</v>
      </c>
      <c r="P2854" t="s">
        <v>454</v>
      </c>
    </row>
    <row r="2855">
      <c r="A2855">
        <f>HYPERLINK("http://bombeiros.sp.gov.br/hidrantes/03individual/667.html","667")</f>
      </c>
      <c r="B2855" t="s">
        <v>454</v>
      </c>
      <c r="C2855" t="s">
        <v>588</v>
      </c>
      <c r="D2855" t="s">
        <v>9017</v>
      </c>
      <c r="E2855" t="s">
        <v>15</v>
      </c>
      <c r="F2855" t="s">
        <v>9058</v>
      </c>
      <c r="G2855" t="s">
        <v>18485</v>
      </c>
      <c r="H2855" t="s">
        <v>1112</v>
      </c>
      <c r="I2855" t="s">
        <v>1108</v>
      </c>
      <c r="J2855" t="s">
        <v>9059</v>
      </c>
      <c r="K2855" t="s">
        <v>9060</v>
      </c>
      <c r="L2855" t="s">
        <v>21</v>
      </c>
      <c r="M2855" t="s">
        <v>19177</v>
      </c>
      <c r="N2855" t="s">
        <v>594</v>
      </c>
      <c r="O2855" t="s">
        <v>531</v>
      </c>
      <c r="P2855" t="s">
        <v>454</v>
      </c>
    </row>
    <row r="2856">
      <c r="A2856">
        <f>HYPERLINK("http://bombeiros.sp.gov.br/hidrantes/03individual/668.html","668")</f>
      </c>
      <c r="B2856" t="s">
        <v>454</v>
      </c>
      <c r="C2856" t="s">
        <v>588</v>
      </c>
      <c r="D2856" t="s">
        <v>9017</v>
      </c>
      <c r="E2856" t="s">
        <v>15</v>
      </c>
      <c r="F2856" t="s">
        <v>9061</v>
      </c>
      <c r="G2856" t="s">
        <v>18053</v>
      </c>
      <c r="H2856" t="s">
        <v>1107</v>
      </c>
      <c r="I2856" t="s">
        <v>1108</v>
      </c>
      <c r="J2856" t="s">
        <v>9062</v>
      </c>
      <c r="K2856" t="s">
        <v>9063</v>
      </c>
      <c r="L2856" t="s">
        <v>21</v>
      </c>
      <c r="M2856" t="s">
        <v>19177</v>
      </c>
      <c r="N2856" t="s">
        <v>531</v>
      </c>
      <c r="O2856" t="s">
        <v>531</v>
      </c>
      <c r="P2856" t="s">
        <v>454</v>
      </c>
    </row>
    <row r="2857">
      <c r="A2857">
        <f>HYPERLINK("http://bombeiros.sp.gov.br/hidrantes/03individual/746.html","746")</f>
      </c>
      <c r="B2857" t="s">
        <v>454</v>
      </c>
      <c r="C2857" t="s">
        <v>588</v>
      </c>
      <c r="D2857" t="s">
        <v>9017</v>
      </c>
      <c r="E2857" t="s">
        <v>15</v>
      </c>
      <c r="F2857" t="s">
        <v>9064</v>
      </c>
      <c r="G2857" t="s">
        <v>18048</v>
      </c>
      <c r="H2857" t="s">
        <v>1107</v>
      </c>
      <c r="I2857" t="s">
        <v>1108</v>
      </c>
      <c r="J2857" t="s">
        <v>9065</v>
      </c>
      <c r="K2857" t="s">
        <v>9066</v>
      </c>
      <c r="L2857" t="s">
        <v>21</v>
      </c>
      <c r="M2857" t="s">
        <v>19177</v>
      </c>
      <c r="N2857" t="s">
        <v>594</v>
      </c>
      <c r="O2857" t="s">
        <v>531</v>
      </c>
      <c r="P2857" t="s">
        <v>454</v>
      </c>
    </row>
    <row r="2858">
      <c r="A2858">
        <f>HYPERLINK("http://bombeiros.sp.gov.br/hidrantes/03individual/819.html","819")</f>
      </c>
      <c r="B2858" t="s">
        <v>454</v>
      </c>
      <c r="C2858" t="s">
        <v>588</v>
      </c>
      <c r="D2858" t="s">
        <v>9017</v>
      </c>
      <c r="E2858" t="s">
        <v>15</v>
      </c>
      <c r="F2858" t="s">
        <v>9067</v>
      </c>
      <c r="G2858" t="s">
        <v>18135</v>
      </c>
      <c r="H2858" t="s">
        <v>1112</v>
      </c>
      <c r="I2858" t="s">
        <v>1108</v>
      </c>
      <c r="J2858" t="s">
        <v>9068</v>
      </c>
      <c r="K2858" t="s">
        <v>9069</v>
      </c>
      <c r="L2858" t="s">
        <v>21</v>
      </c>
      <c r="M2858" t="s">
        <v>19177</v>
      </c>
      <c r="N2858" t="s">
        <v>531</v>
      </c>
      <c r="O2858" t="s">
        <v>531</v>
      </c>
      <c r="P2858" t="s">
        <v>454</v>
      </c>
    </row>
    <row r="2859">
      <c r="A2859">
        <f>HYPERLINK("http://bombeiros.sp.gov.br/hidrantes/03individual/825.html","825")</f>
      </c>
      <c r="B2859" t="s">
        <v>454</v>
      </c>
      <c r="C2859" t="s">
        <v>588</v>
      </c>
      <c r="D2859" t="s">
        <v>9017</v>
      </c>
      <c r="E2859" t="s">
        <v>15</v>
      </c>
      <c r="F2859" t="s">
        <v>9070</v>
      </c>
      <c r="G2859" t="s">
        <v>18201</v>
      </c>
      <c r="H2859" t="s">
        <v>1112</v>
      </c>
      <c r="I2859" t="s">
        <v>1108</v>
      </c>
      <c r="J2859" t="s">
        <v>9071</v>
      </c>
      <c r="K2859" t="s">
        <v>9072</v>
      </c>
      <c r="L2859" t="s">
        <v>21</v>
      </c>
      <c r="M2859" t="s">
        <v>19177</v>
      </c>
      <c r="N2859" t="s">
        <v>594</v>
      </c>
      <c r="O2859" t="s">
        <v>531</v>
      </c>
      <c r="P2859" t="s">
        <v>454</v>
      </c>
    </row>
    <row r="2860">
      <c r="A2860">
        <f>HYPERLINK("http://bombeiros.sp.gov.br/hidrantes/03individual/894.html","894")</f>
      </c>
      <c r="B2860" t="s">
        <v>454</v>
      </c>
      <c r="C2860" t="s">
        <v>588</v>
      </c>
      <c r="D2860" t="s">
        <v>9017</v>
      </c>
      <c r="E2860" t="s">
        <v>15</v>
      </c>
      <c r="F2860" t="s">
        <v>9073</v>
      </c>
      <c r="G2860" t="s">
        <v>18169</v>
      </c>
      <c r="H2860" t="s">
        <v>1107</v>
      </c>
      <c r="I2860" t="s">
        <v>1108</v>
      </c>
      <c r="J2860" t="s">
        <v>9074</v>
      </c>
      <c r="K2860" t="s">
        <v>9075</v>
      </c>
      <c r="L2860" t="s">
        <v>21</v>
      </c>
      <c r="M2860" t="s">
        <v>19177</v>
      </c>
      <c r="N2860" t="s">
        <v>594</v>
      </c>
      <c r="O2860" t="s">
        <v>531</v>
      </c>
      <c r="P2860" t="s">
        <v>454</v>
      </c>
    </row>
    <row r="2861">
      <c r="A2861">
        <f>HYPERLINK("http://bombeiros.sp.gov.br/hidrantes/03individual/912.html","912")</f>
      </c>
      <c r="B2861" t="s">
        <v>454</v>
      </c>
      <c r="C2861" t="s">
        <v>588</v>
      </c>
      <c r="D2861" t="s">
        <v>9017</v>
      </c>
      <c r="E2861" t="s">
        <v>15</v>
      </c>
      <c r="F2861" t="s">
        <v>9076</v>
      </c>
      <c r="G2861" t="s">
        <v>18096</v>
      </c>
      <c r="H2861" t="s">
        <v>1107</v>
      </c>
      <c r="I2861" t="s">
        <v>1108</v>
      </c>
      <c r="J2861" t="s">
        <v>9077</v>
      </c>
      <c r="K2861" t="s">
        <v>9078</v>
      </c>
      <c r="L2861" t="s">
        <v>21</v>
      </c>
      <c r="M2861" t="s">
        <v>19177</v>
      </c>
      <c r="N2861" t="s">
        <v>531</v>
      </c>
      <c r="O2861" t="s">
        <v>531</v>
      </c>
      <c r="P2861" t="s">
        <v>454</v>
      </c>
    </row>
    <row r="2862">
      <c r="A2862">
        <f>HYPERLINK("http://bombeiros.sp.gov.br/hidrantes/03individual/914.html","914")</f>
      </c>
      <c r="B2862" t="s">
        <v>454</v>
      </c>
      <c r="C2862" t="s">
        <v>588</v>
      </c>
      <c r="D2862" t="s">
        <v>9017</v>
      </c>
      <c r="E2862" t="s">
        <v>15</v>
      </c>
      <c r="F2862" t="s">
        <v>9079</v>
      </c>
      <c r="G2862" t="s">
        <v>18201</v>
      </c>
      <c r="H2862" t="s">
        <v>1107</v>
      </c>
      <c r="I2862" t="s">
        <v>1108</v>
      </c>
      <c r="J2862" t="s">
        <v>9080</v>
      </c>
      <c r="K2862" t="s">
        <v>9081</v>
      </c>
      <c r="L2862" t="s">
        <v>21</v>
      </c>
      <c r="M2862" t="s">
        <v>19177</v>
      </c>
      <c r="N2862" t="s">
        <v>531</v>
      </c>
      <c r="O2862" t="s">
        <v>531</v>
      </c>
      <c r="P2862" t="s">
        <v>454</v>
      </c>
    </row>
    <row r="2863">
      <c r="A2863">
        <f>HYPERLINK("http://bombeiros.sp.gov.br/hidrantes/03individual/2845.html","2845")</f>
      </c>
      <c r="B2863" t="s">
        <v>454</v>
      </c>
      <c r="C2863" t="s">
        <v>588</v>
      </c>
      <c r="D2863" t="s">
        <v>9017</v>
      </c>
      <c r="E2863" t="s">
        <v>15</v>
      </c>
      <c r="F2863" t="s">
        <v>9082</v>
      </c>
      <c r="G2863" t="s">
        <v>18169</v>
      </c>
      <c r="H2863" t="s">
        <v>1107</v>
      </c>
      <c r="I2863" t="s">
        <v>1108</v>
      </c>
      <c r="J2863" t="s">
        <v>9083</v>
      </c>
      <c r="K2863" t="s">
        <v>9084</v>
      </c>
      <c r="L2863" t="s">
        <v>21</v>
      </c>
      <c r="M2863" t="s">
        <v>19177</v>
      </c>
      <c r="N2863" t="s">
        <v>594</v>
      </c>
      <c r="O2863" t="s">
        <v>531</v>
      </c>
      <c r="P2863" t="s">
        <v>454</v>
      </c>
    </row>
    <row r="2864">
      <c r="A2864">
        <f>HYPERLINK("http://bombeiros.sp.gov.br/hidrantes/03individual/2855.html","2855")</f>
      </c>
      <c r="B2864" t="s">
        <v>454</v>
      </c>
      <c r="C2864" t="s">
        <v>588</v>
      </c>
      <c r="D2864" t="s">
        <v>9017</v>
      </c>
      <c r="E2864" t="s">
        <v>15</v>
      </c>
      <c r="F2864" t="s">
        <v>9085</v>
      </c>
      <c r="G2864" t="s">
        <v>18048</v>
      </c>
      <c r="H2864" t="s">
        <v>1107</v>
      </c>
      <c r="I2864" t="s">
        <v>1108</v>
      </c>
      <c r="J2864" t="s">
        <v>9086</v>
      </c>
      <c r="K2864" t="s">
        <v>9087</v>
      </c>
      <c r="L2864" t="s">
        <v>21</v>
      </c>
      <c r="M2864" t="s">
        <v>19177</v>
      </c>
      <c r="N2864" t="s">
        <v>594</v>
      </c>
      <c r="O2864" t="s">
        <v>531</v>
      </c>
      <c r="P2864" t="s">
        <v>454</v>
      </c>
    </row>
    <row r="2865">
      <c r="A2865">
        <f>HYPERLINK("http://bombeiros.sp.gov.br/hidrantes/03individual/2875.html","2875")</f>
      </c>
      <c r="B2865" t="s">
        <v>454</v>
      </c>
      <c r="C2865" t="s">
        <v>588</v>
      </c>
      <c r="D2865" t="s">
        <v>9017</v>
      </c>
      <c r="E2865" t="s">
        <v>15</v>
      </c>
      <c r="F2865" t="s">
        <v>9088</v>
      </c>
      <c r="G2865" t="s">
        <v>18143</v>
      </c>
      <c r="H2865" t="s">
        <v>1107</v>
      </c>
      <c r="I2865" t="s">
        <v>1108</v>
      </c>
      <c r="J2865" t="s">
        <v>9089</v>
      </c>
      <c r="K2865" t="s">
        <v>9090</v>
      </c>
      <c r="L2865" t="s">
        <v>21</v>
      </c>
      <c r="M2865" t="s">
        <v>19177</v>
      </c>
      <c r="N2865" t="s">
        <v>594</v>
      </c>
      <c r="O2865" t="s">
        <v>531</v>
      </c>
      <c r="P2865" t="s">
        <v>454</v>
      </c>
    </row>
    <row r="2866">
      <c r="A2866">
        <f>HYPERLINK("http://bombeiros.sp.gov.br/hidrantes/03individual/2877.html","2877")</f>
      </c>
      <c r="B2866" t="s">
        <v>454</v>
      </c>
      <c r="C2866" t="s">
        <v>588</v>
      </c>
      <c r="D2866" t="s">
        <v>9017</v>
      </c>
      <c r="E2866" t="s">
        <v>15</v>
      </c>
      <c r="F2866" t="s">
        <v>9091</v>
      </c>
      <c r="G2866" t="s">
        <v>18093</v>
      </c>
      <c r="H2866" t="s">
        <v>1107</v>
      </c>
      <c r="I2866" t="s">
        <v>1108</v>
      </c>
      <c r="J2866" t="s">
        <v>9092</v>
      </c>
      <c r="K2866" t="s">
        <v>9093</v>
      </c>
      <c r="L2866" t="s">
        <v>21</v>
      </c>
      <c r="M2866" t="s">
        <v>19177</v>
      </c>
      <c r="N2866" t="s">
        <v>594</v>
      </c>
      <c r="O2866" t="s">
        <v>531</v>
      </c>
      <c r="P2866" t="s">
        <v>454</v>
      </c>
    </row>
    <row r="2867">
      <c r="A2867">
        <f>HYPERLINK("http://bombeiros.sp.gov.br/hidrantes/03individual/2879.html","2879")</f>
      </c>
      <c r="B2867" t="s">
        <v>454</v>
      </c>
      <c r="C2867" t="s">
        <v>588</v>
      </c>
      <c r="D2867" t="s">
        <v>9017</v>
      </c>
      <c r="E2867" t="s">
        <v>15</v>
      </c>
      <c r="F2867" t="s">
        <v>9094</v>
      </c>
      <c r="G2867" t="s">
        <v>18048</v>
      </c>
      <c r="H2867" t="s">
        <v>1107</v>
      </c>
      <c r="I2867" t="s">
        <v>1108</v>
      </c>
      <c r="J2867" t="s">
        <v>9095</v>
      </c>
      <c r="K2867" t="s">
        <v>9096</v>
      </c>
      <c r="L2867" t="s">
        <v>21</v>
      </c>
      <c r="M2867" t="s">
        <v>19177</v>
      </c>
      <c r="N2867" t="s">
        <v>594</v>
      </c>
      <c r="O2867" t="s">
        <v>531</v>
      </c>
      <c r="P2867" t="s">
        <v>454</v>
      </c>
    </row>
    <row r="2868">
      <c r="A2868">
        <f>HYPERLINK("http://bombeiros.sp.gov.br/hidrantes/03individual/2880.html","2880")</f>
      </c>
      <c r="B2868" t="s">
        <v>454</v>
      </c>
      <c r="C2868" t="s">
        <v>588</v>
      </c>
      <c r="D2868" t="s">
        <v>9017</v>
      </c>
      <c r="E2868" t="s">
        <v>15</v>
      </c>
      <c r="F2868" t="s">
        <v>9097</v>
      </c>
      <c r="G2868" t="s">
        <v>18053</v>
      </c>
      <c r="H2868" t="s">
        <v>1107</v>
      </c>
      <c r="I2868" t="s">
        <v>1108</v>
      </c>
      <c r="J2868" t="s">
        <v>9098</v>
      </c>
      <c r="K2868" t="s">
        <v>9099</v>
      </c>
      <c r="L2868" t="s">
        <v>21</v>
      </c>
      <c r="M2868" t="s">
        <v>19177</v>
      </c>
      <c r="N2868" t="s">
        <v>594</v>
      </c>
      <c r="O2868" t="s">
        <v>531</v>
      </c>
      <c r="P2868" t="s">
        <v>454</v>
      </c>
    </row>
    <row r="2869">
      <c r="A2869">
        <f>HYPERLINK("http://bombeiros.sp.gov.br/hidrantes/03individual/2884.html","2884")</f>
      </c>
      <c r="B2869" t="s">
        <v>454</v>
      </c>
      <c r="C2869" t="s">
        <v>588</v>
      </c>
      <c r="D2869" t="s">
        <v>9017</v>
      </c>
      <c r="E2869" t="s">
        <v>15</v>
      </c>
      <c r="F2869" t="s">
        <v>9100</v>
      </c>
      <c r="G2869" t="s">
        <v>18484</v>
      </c>
      <c r="H2869" t="s">
        <v>1174</v>
      </c>
      <c r="I2869" t="s">
        <v>1108</v>
      </c>
      <c r="J2869" t="s">
        <v>9101</v>
      </c>
      <c r="K2869" t="s">
        <v>9102</v>
      </c>
      <c r="L2869" t="s">
        <v>21</v>
      </c>
      <c r="M2869" t="s">
        <v>19177</v>
      </c>
      <c r="N2869" t="s">
        <v>594</v>
      </c>
      <c r="O2869" t="s">
        <v>531</v>
      </c>
      <c r="P2869" t="s">
        <v>454</v>
      </c>
    </row>
    <row r="2870">
      <c r="A2870">
        <f>HYPERLINK("http://bombeiros.sp.gov.br/hidrantes/03individual/2887.html","2887")</f>
      </c>
      <c r="B2870" t="s">
        <v>454</v>
      </c>
      <c r="C2870" t="s">
        <v>588</v>
      </c>
      <c r="D2870" t="s">
        <v>9017</v>
      </c>
      <c r="E2870" t="s">
        <v>15</v>
      </c>
      <c r="F2870" t="s">
        <v>9103</v>
      </c>
      <c r="G2870" t="s">
        <v>18150</v>
      </c>
      <c r="H2870" t="s">
        <v>1107</v>
      </c>
      <c r="I2870" t="s">
        <v>1108</v>
      </c>
      <c r="J2870" t="s">
        <v>9104</v>
      </c>
      <c r="K2870" t="s">
        <v>9105</v>
      </c>
      <c r="L2870" t="s">
        <v>21</v>
      </c>
      <c r="M2870" t="s">
        <v>19177</v>
      </c>
      <c r="N2870" t="s">
        <v>594</v>
      </c>
      <c r="O2870" t="s">
        <v>531</v>
      </c>
      <c r="P2870" t="s">
        <v>454</v>
      </c>
    </row>
    <row r="2871">
      <c r="A2871">
        <f>HYPERLINK("http://bombeiros.sp.gov.br/hidrantes/03individual/2960.html","2960")</f>
      </c>
      <c r="B2871" t="s">
        <v>454</v>
      </c>
      <c r="C2871" t="s">
        <v>588</v>
      </c>
      <c r="D2871" t="s">
        <v>9017</v>
      </c>
      <c r="E2871" t="s">
        <v>15</v>
      </c>
      <c r="F2871" t="s">
        <v>9106</v>
      </c>
      <c r="G2871" t="s">
        <v>18093</v>
      </c>
      <c r="H2871" t="s">
        <v>1107</v>
      </c>
      <c r="I2871" t="s">
        <v>1108</v>
      </c>
      <c r="J2871" t="s">
        <v>9107</v>
      </c>
      <c r="K2871" t="s">
        <v>9108</v>
      </c>
      <c r="L2871" t="s">
        <v>21</v>
      </c>
      <c r="M2871" t="s">
        <v>19177</v>
      </c>
      <c r="N2871" t="s">
        <v>594</v>
      </c>
      <c r="O2871" t="s">
        <v>531</v>
      </c>
      <c r="P2871" t="s">
        <v>454</v>
      </c>
    </row>
    <row r="2872">
      <c r="A2872">
        <f>HYPERLINK("http://bombeiros.sp.gov.br/hidrantes/03individual/2989.html","2989")</f>
      </c>
      <c r="B2872" t="s">
        <v>454</v>
      </c>
      <c r="C2872" t="s">
        <v>588</v>
      </c>
      <c r="D2872" t="s">
        <v>9017</v>
      </c>
      <c r="E2872" t="s">
        <v>15</v>
      </c>
      <c r="F2872" t="s">
        <v>9109</v>
      </c>
      <c r="G2872" t="s">
        <v>18096</v>
      </c>
      <c r="H2872" t="s">
        <v>1121</v>
      </c>
      <c r="I2872" t="s">
        <v>1117</v>
      </c>
      <c r="J2872" t="s">
        <v>9111</v>
      </c>
      <c r="K2872" t="s">
        <v>9112</v>
      </c>
      <c r="L2872" t="s">
        <v>36</v>
      </c>
      <c r="M2872" t="s">
        <v>19177</v>
      </c>
      <c r="N2872" t="s">
        <v>594</v>
      </c>
      <c r="O2872" t="s">
        <v>531</v>
      </c>
      <c r="P2872" t="s">
        <v>454</v>
      </c>
    </row>
    <row r="2873">
      <c r="A2873">
        <f>HYPERLINK("http://bombeiros.sp.gov.br/hidrantes/03individual/3894.html","3894")</f>
      </c>
      <c r="B2873" t="s">
        <v>454</v>
      </c>
      <c r="C2873" t="s">
        <v>588</v>
      </c>
      <c r="D2873" t="s">
        <v>9017</v>
      </c>
      <c r="E2873" t="s">
        <v>15</v>
      </c>
      <c r="F2873" t="s">
        <v>9113</v>
      </c>
      <c r="G2873" t="s">
        <v>18169</v>
      </c>
      <c r="H2873" t="s">
        <v>1174</v>
      </c>
      <c r="I2873" t="s">
        <v>1108</v>
      </c>
      <c r="J2873" t="s">
        <v>9114</v>
      </c>
      <c r="K2873" t="s">
        <v>9115</v>
      </c>
      <c r="L2873" t="s">
        <v>21</v>
      </c>
      <c r="M2873" t="s">
        <v>19177</v>
      </c>
      <c r="N2873" t="s">
        <v>594</v>
      </c>
      <c r="O2873" t="s">
        <v>531</v>
      </c>
      <c r="P2873" t="s">
        <v>454</v>
      </c>
    </row>
    <row r="2874">
      <c r="A2874">
        <f>HYPERLINK("http://bombeiros.sp.gov.br/hidrantes/03individual/5246.html","5246")</f>
      </c>
      <c r="B2874" t="s">
        <v>454</v>
      </c>
      <c r="C2874" t="s">
        <v>588</v>
      </c>
      <c r="D2874" t="s">
        <v>9017</v>
      </c>
      <c r="E2874" t="s">
        <v>15</v>
      </c>
      <c r="F2874" t="s">
        <v>9116</v>
      </c>
      <c r="G2874" t="s">
        <v>18201</v>
      </c>
      <c r="H2874" t="s">
        <v>1107</v>
      </c>
      <c r="I2874" t="s">
        <v>1108</v>
      </c>
      <c r="J2874" t="s">
        <v>9117</v>
      </c>
      <c r="K2874" t="s">
        <v>9118</v>
      </c>
      <c r="L2874" t="s">
        <v>21</v>
      </c>
      <c r="M2874" t="s">
        <v>19177</v>
      </c>
      <c r="N2874" t="s">
        <v>594</v>
      </c>
      <c r="O2874" t="s">
        <v>531</v>
      </c>
      <c r="P2874" t="s">
        <v>454</v>
      </c>
    </row>
    <row r="2875">
      <c r="A2875">
        <f>HYPERLINK("http://bombeiros.sp.gov.br/hidrantes/03individual/5247.html","5247")</f>
      </c>
      <c r="B2875" t="s">
        <v>454</v>
      </c>
      <c r="C2875" t="s">
        <v>588</v>
      </c>
      <c r="D2875" t="s">
        <v>9017</v>
      </c>
      <c r="E2875" t="s">
        <v>15</v>
      </c>
      <c r="F2875" t="s">
        <v>9119</v>
      </c>
      <c r="G2875" t="s">
        <v>18048</v>
      </c>
      <c r="H2875" t="s">
        <v>1107</v>
      </c>
      <c r="I2875" t="s">
        <v>1108</v>
      </c>
      <c r="J2875" t="s">
        <v>9120</v>
      </c>
      <c r="K2875" t="s">
        <v>9121</v>
      </c>
      <c r="L2875" t="s">
        <v>21</v>
      </c>
      <c r="M2875" t="s">
        <v>19177</v>
      </c>
      <c r="N2875" t="s">
        <v>594</v>
      </c>
      <c r="O2875" t="s">
        <v>531</v>
      </c>
      <c r="P2875" t="s">
        <v>454</v>
      </c>
    </row>
    <row r="2876">
      <c r="A2876">
        <f>HYPERLINK("http://bombeiros.sp.gov.br/hidrantes/03individual/5248.html","5248")</f>
      </c>
      <c r="B2876" t="s">
        <v>454</v>
      </c>
      <c r="C2876" t="s">
        <v>588</v>
      </c>
      <c r="D2876" t="s">
        <v>9017</v>
      </c>
      <c r="E2876" t="s">
        <v>15</v>
      </c>
      <c r="F2876" t="s">
        <v>9122</v>
      </c>
      <c r="G2876" t="s">
        <v>18193</v>
      </c>
      <c r="H2876" t="s">
        <v>1107</v>
      </c>
      <c r="I2876" t="s">
        <v>1108</v>
      </c>
      <c r="J2876" t="s">
        <v>9123</v>
      </c>
      <c r="K2876" t="s">
        <v>9124</v>
      </c>
      <c r="L2876" t="s">
        <v>21</v>
      </c>
      <c r="M2876" t="s">
        <v>19177</v>
      </c>
      <c r="N2876" t="s">
        <v>594</v>
      </c>
      <c r="O2876" t="s">
        <v>531</v>
      </c>
      <c r="P2876" t="s">
        <v>454</v>
      </c>
    </row>
    <row r="2877">
      <c r="A2877">
        <f>HYPERLINK("http://bombeiros.sp.gov.br/hidrantes/03individual/5251.html","5251")</f>
      </c>
      <c r="B2877" t="s">
        <v>454</v>
      </c>
      <c r="C2877" t="s">
        <v>588</v>
      </c>
      <c r="D2877" t="s">
        <v>9017</v>
      </c>
      <c r="E2877" t="s">
        <v>15</v>
      </c>
      <c r="F2877" t="s">
        <v>9125</v>
      </c>
      <c r="G2877" t="s">
        <v>18201</v>
      </c>
      <c r="H2877" t="s">
        <v>1112</v>
      </c>
      <c r="I2877" t="s">
        <v>1108</v>
      </c>
      <c r="J2877" t="s">
        <v>9126</v>
      </c>
      <c r="K2877" t="s">
        <v>9127</v>
      </c>
      <c r="L2877" t="s">
        <v>21</v>
      </c>
      <c r="M2877" t="s">
        <v>19177</v>
      </c>
      <c r="N2877" t="s">
        <v>531</v>
      </c>
      <c r="O2877" t="s">
        <v>531</v>
      </c>
      <c r="P2877" t="s">
        <v>454</v>
      </c>
    </row>
    <row r="2878">
      <c r="A2878">
        <f>HYPERLINK("http://bombeiros.sp.gov.br/hidrantes/03individual/17880.html","17880")</f>
      </c>
      <c r="B2878" t="s">
        <v>454</v>
      </c>
      <c r="C2878" t="s">
        <v>588</v>
      </c>
      <c r="D2878" t="s">
        <v>9017</v>
      </c>
      <c r="E2878" t="s">
        <v>15</v>
      </c>
      <c r="F2878" t="s">
        <v>9128</v>
      </c>
      <c r="G2878" t="s">
        <v>18193</v>
      </c>
      <c r="H2878" t="s">
        <v>1174</v>
      </c>
      <c r="I2878" t="s">
        <v>1108</v>
      </c>
      <c r="J2878" t="s">
        <v>9129</v>
      </c>
      <c r="K2878" t="s">
        <v>9130</v>
      </c>
      <c r="L2878" t="s">
        <v>21</v>
      </c>
      <c r="M2878" t="s">
        <v>19177</v>
      </c>
      <c r="N2878" t="s">
        <v>594</v>
      </c>
      <c r="O2878" t="s">
        <v>531</v>
      </c>
      <c r="P2878" t="s">
        <v>454</v>
      </c>
    </row>
    <row r="2879">
      <c r="A2879">
        <f>HYPERLINK("http://bombeiros.sp.gov.br/hidrantes/03individual/26825.html","26825")</f>
      </c>
      <c r="B2879" t="s">
        <v>454</v>
      </c>
      <c r="C2879" t="s">
        <v>588</v>
      </c>
      <c r="D2879" t="s">
        <v>9017</v>
      </c>
      <c r="E2879" t="s">
        <v>15</v>
      </c>
      <c r="F2879" t="s">
        <v>16091</v>
      </c>
      <c r="G2879" t="s">
        <v>18132</v>
      </c>
      <c r="H2879" t="s">
        <v>1107</v>
      </c>
      <c r="I2879" t="s">
        <v>1108</v>
      </c>
      <c r="J2879" t="s">
        <v>16092</v>
      </c>
      <c r="K2879" t="s">
        <v>16093</v>
      </c>
      <c r="L2879" t="s">
        <v>21</v>
      </c>
      <c r="M2879" t="s">
        <v>19177</v>
      </c>
      <c r="N2879" t="s">
        <v>531</v>
      </c>
      <c r="O2879" t="s">
        <v>531</v>
      </c>
      <c r="P2879" t="s">
        <v>454</v>
      </c>
    </row>
    <row r="2880">
      <c r="A2880">
        <f>HYPERLINK("http://bombeiros.sp.gov.br/hidrantes/03individual/26942.html","26942")</f>
      </c>
      <c r="B2880" t="s">
        <v>454</v>
      </c>
      <c r="C2880" t="s">
        <v>588</v>
      </c>
      <c r="D2880" t="s">
        <v>9017</v>
      </c>
      <c r="E2880" t="s">
        <v>15</v>
      </c>
      <c r="F2880" t="s">
        <v>16435</v>
      </c>
      <c r="G2880" t="s">
        <v>18132</v>
      </c>
      <c r="H2880" t="s">
        <v>1107</v>
      </c>
      <c r="I2880" t="s">
        <v>1108</v>
      </c>
      <c r="J2880" t="s">
        <v>16436</v>
      </c>
      <c r="K2880" t="s">
        <v>16437</v>
      </c>
      <c r="L2880" t="s">
        <v>21</v>
      </c>
      <c r="M2880" t="s">
        <v>19177</v>
      </c>
      <c r="N2880" t="s">
        <v>531</v>
      </c>
      <c r="O2880" t="s">
        <v>531</v>
      </c>
      <c r="P2880" t="s">
        <v>454</v>
      </c>
    </row>
    <row r="2881">
      <c r="A2881">
        <f>HYPERLINK("http://bombeiros.sp.gov.br/hidrantes/03individual/28093.html","28093")</f>
      </c>
      <c r="B2881" t="s">
        <v>454</v>
      </c>
      <c r="C2881" t="s">
        <v>588</v>
      </c>
      <c r="D2881" t="s">
        <v>9017</v>
      </c>
      <c r="E2881" t="s">
        <v>15</v>
      </c>
      <c r="F2881" t="s">
        <v>18314</v>
      </c>
      <c r="G2881" t="s">
        <v>18042</v>
      </c>
      <c r="H2881" t="s">
        <v>1112</v>
      </c>
      <c r="I2881" t="s">
        <v>1108</v>
      </c>
      <c r="J2881" t="s">
        <v>18315</v>
      </c>
      <c r="K2881" t="s">
        <v>18316</v>
      </c>
      <c r="L2881" t="s">
        <v>21</v>
      </c>
      <c r="M2881" t="s">
        <v>19177</v>
      </c>
      <c r="N2881" t="s">
        <v>531</v>
      </c>
      <c r="O2881" t="s">
        <v>531</v>
      </c>
      <c r="P2881" t="s">
        <v>454</v>
      </c>
    </row>
    <row r="2882">
      <c r="A2882">
        <f>HYPERLINK("http://bombeiros.sp.gov.br/hidrantes/03individual/26742.html","26742")</f>
      </c>
      <c r="B2882" t="s">
        <v>454</v>
      </c>
      <c r="C2882" t="s">
        <v>594</v>
      </c>
      <c r="D2882" t="s">
        <v>595</v>
      </c>
      <c r="E2882" t="s">
        <v>1507</v>
      </c>
      <c r="F2882" t="s">
        <v>9131</v>
      </c>
      <c r="G2882" t="s">
        <v>18074</v>
      </c>
      <c r="H2882" t="s">
        <v>1112</v>
      </c>
      <c r="I2882" t="s">
        <v>1108</v>
      </c>
      <c r="J2882" t="s">
        <v>9132</v>
      </c>
      <c r="K2882" t="s">
        <v>9133</v>
      </c>
      <c r="L2882" t="s">
        <v>21</v>
      </c>
      <c r="M2882" t="s">
        <v>19177</v>
      </c>
      <c r="N2882" t="s">
        <v>594</v>
      </c>
      <c r="O2882" t="s">
        <v>531</v>
      </c>
      <c r="P2882" t="s">
        <v>454</v>
      </c>
    </row>
    <row r="2883">
      <c r="A2883">
        <f>HYPERLINK("http://bombeiros.sp.gov.br/hidrantes/03individual/3229.html","3229")</f>
      </c>
      <c r="B2883" t="s">
        <v>454</v>
      </c>
      <c r="C2883" t="s">
        <v>594</v>
      </c>
      <c r="D2883" t="s">
        <v>595</v>
      </c>
      <c r="E2883" t="s">
        <v>64</v>
      </c>
      <c r="F2883" t="s">
        <v>9134</v>
      </c>
      <c r="G2883" t="s">
        <v>18135</v>
      </c>
      <c r="H2883" t="s">
        <v>1112</v>
      </c>
      <c r="I2883" t="s">
        <v>1108</v>
      </c>
      <c r="J2883" t="s">
        <v>9135</v>
      </c>
      <c r="K2883" t="s">
        <v>9136</v>
      </c>
      <c r="L2883" t="s">
        <v>36</v>
      </c>
      <c r="M2883" t="s">
        <v>19177</v>
      </c>
      <c r="N2883" t="s">
        <v>594</v>
      </c>
      <c r="O2883" t="s">
        <v>531</v>
      </c>
      <c r="P2883" t="s">
        <v>454</v>
      </c>
    </row>
    <row r="2884">
      <c r="A2884">
        <f>HYPERLINK("http://bombeiros.sp.gov.br/hidrantes/03individual/3234.html","3234")</f>
      </c>
      <c r="B2884" t="s">
        <v>454</v>
      </c>
      <c r="C2884" t="s">
        <v>594</v>
      </c>
      <c r="D2884" t="s">
        <v>595</v>
      </c>
      <c r="E2884" t="s">
        <v>64</v>
      </c>
      <c r="F2884" t="s">
        <v>9137</v>
      </c>
      <c r="G2884" t="s">
        <v>18076</v>
      </c>
      <c r="H2884" t="s">
        <v>1107</v>
      </c>
      <c r="I2884" t="s">
        <v>1108</v>
      </c>
      <c r="J2884" t="s">
        <v>9138</v>
      </c>
      <c r="K2884" t="s">
        <v>9139</v>
      </c>
      <c r="L2884" t="s">
        <v>36</v>
      </c>
      <c r="M2884" t="s">
        <v>19177</v>
      </c>
      <c r="N2884" t="s">
        <v>594</v>
      </c>
      <c r="O2884" t="s">
        <v>531</v>
      </c>
      <c r="P2884" t="s">
        <v>454</v>
      </c>
    </row>
    <row r="2885">
      <c r="A2885">
        <f>HYPERLINK("http://bombeiros.sp.gov.br/hidrantes/03individual/9998.html","9998")</f>
      </c>
      <c r="B2885" t="s">
        <v>454</v>
      </c>
      <c r="C2885" t="s">
        <v>594</v>
      </c>
      <c r="D2885" t="s">
        <v>595</v>
      </c>
      <c r="E2885" t="s">
        <v>64</v>
      </c>
      <c r="F2885" t="s">
        <v>9140</v>
      </c>
      <c r="G2885" t="s">
        <v>18471</v>
      </c>
      <c r="H2885" t="s">
        <v>1107</v>
      </c>
      <c r="I2885" t="s">
        <v>1108</v>
      </c>
      <c r="J2885" t="s">
        <v>9142</v>
      </c>
      <c r="K2885" t="s">
        <v>9143</v>
      </c>
      <c r="L2885" t="s">
        <v>21</v>
      </c>
      <c r="M2885" t="s">
        <v>19177</v>
      </c>
      <c r="N2885" t="s">
        <v>594</v>
      </c>
      <c r="O2885" t="s">
        <v>531</v>
      </c>
      <c r="P2885" t="s">
        <v>454</v>
      </c>
    </row>
    <row r="2886">
      <c r="A2886">
        <f>HYPERLINK("http://bombeiros.sp.gov.br/hidrantes/03individual/536.html","536")</f>
      </c>
      <c r="B2886" t="s">
        <v>454</v>
      </c>
      <c r="C2886" t="s">
        <v>594</v>
      </c>
      <c r="D2886" t="s">
        <v>595</v>
      </c>
      <c r="E2886" t="s">
        <v>15</v>
      </c>
      <c r="F2886" t="s">
        <v>9144</v>
      </c>
      <c r="G2886" t="s">
        <v>18051</v>
      </c>
      <c r="H2886" t="s">
        <v>1107</v>
      </c>
      <c r="I2886" t="s">
        <v>1108</v>
      </c>
      <c r="J2886" t="s">
        <v>9145</v>
      </c>
      <c r="K2886" t="s">
        <v>9146</v>
      </c>
      <c r="L2886" t="s">
        <v>21</v>
      </c>
      <c r="M2886" t="s">
        <v>19177</v>
      </c>
      <c r="N2886" t="s">
        <v>594</v>
      </c>
      <c r="O2886" t="s">
        <v>531</v>
      </c>
      <c r="P2886" t="s">
        <v>454</v>
      </c>
    </row>
    <row r="2887">
      <c r="A2887">
        <f>HYPERLINK("http://bombeiros.sp.gov.br/hidrantes/03individual/537.html","537")</f>
      </c>
      <c r="B2887" t="s">
        <v>454</v>
      </c>
      <c r="C2887" t="s">
        <v>594</v>
      </c>
      <c r="D2887" t="s">
        <v>595</v>
      </c>
      <c r="E2887" t="s">
        <v>15</v>
      </c>
      <c r="F2887" t="s">
        <v>9147</v>
      </c>
      <c r="G2887" t="s">
        <v>18076</v>
      </c>
      <c r="H2887" t="s">
        <v>1112</v>
      </c>
      <c r="I2887" t="s">
        <v>1108</v>
      </c>
      <c r="J2887" t="s">
        <v>9148</v>
      </c>
      <c r="K2887" t="s">
        <v>9149</v>
      </c>
      <c r="L2887" t="s">
        <v>21</v>
      </c>
      <c r="M2887" t="s">
        <v>19177</v>
      </c>
      <c r="N2887" t="s">
        <v>594</v>
      </c>
      <c r="O2887" t="s">
        <v>531</v>
      </c>
      <c r="P2887" t="s">
        <v>454</v>
      </c>
    </row>
    <row r="2888">
      <c r="A2888">
        <f>HYPERLINK("http://bombeiros.sp.gov.br/hidrantes/03individual/548.html","548")</f>
      </c>
      <c r="B2888" t="s">
        <v>454</v>
      </c>
      <c r="C2888" t="s">
        <v>594</v>
      </c>
      <c r="D2888" t="s">
        <v>595</v>
      </c>
      <c r="E2888" t="s">
        <v>15</v>
      </c>
      <c r="F2888" t="s">
        <v>9150</v>
      </c>
      <c r="G2888" t="s">
        <v>18143</v>
      </c>
      <c r="H2888" t="s">
        <v>1174</v>
      </c>
      <c r="I2888" t="s">
        <v>1108</v>
      </c>
      <c r="J2888" t="s">
        <v>9151</v>
      </c>
      <c r="K2888" t="s">
        <v>9152</v>
      </c>
      <c r="L2888" t="s">
        <v>21</v>
      </c>
      <c r="M2888" t="s">
        <v>19177</v>
      </c>
      <c r="N2888" t="s">
        <v>594</v>
      </c>
      <c r="O2888" t="s">
        <v>531</v>
      </c>
      <c r="P2888" t="s">
        <v>454</v>
      </c>
    </row>
    <row r="2889">
      <c r="A2889">
        <f>HYPERLINK("http://bombeiros.sp.gov.br/hidrantes/03individual/566.html","566")</f>
      </c>
      <c r="B2889" t="s">
        <v>454</v>
      </c>
      <c r="C2889" t="s">
        <v>594</v>
      </c>
      <c r="D2889" t="s">
        <v>595</v>
      </c>
      <c r="E2889" t="s">
        <v>15</v>
      </c>
      <c r="F2889" t="s">
        <v>9153</v>
      </c>
      <c r="G2889" t="s">
        <v>18471</v>
      </c>
      <c r="H2889" t="s">
        <v>1107</v>
      </c>
      <c r="I2889" t="s">
        <v>1108</v>
      </c>
      <c r="J2889" t="s">
        <v>9154</v>
      </c>
      <c r="K2889" t="s">
        <v>9155</v>
      </c>
      <c r="L2889" t="s">
        <v>21</v>
      </c>
      <c r="M2889" t="s">
        <v>19177</v>
      </c>
      <c r="N2889" t="s">
        <v>594</v>
      </c>
      <c r="O2889" t="s">
        <v>531</v>
      </c>
      <c r="P2889" t="s">
        <v>454</v>
      </c>
    </row>
    <row r="2890">
      <c r="A2890">
        <f>HYPERLINK("http://bombeiros.sp.gov.br/hidrantes/03individual/567.html","567")</f>
      </c>
      <c r="B2890" t="s">
        <v>454</v>
      </c>
      <c r="C2890" t="s">
        <v>594</v>
      </c>
      <c r="D2890" t="s">
        <v>595</v>
      </c>
      <c r="E2890" t="s">
        <v>15</v>
      </c>
      <c r="F2890" t="s">
        <v>9156</v>
      </c>
      <c r="G2890" t="s">
        <v>18471</v>
      </c>
      <c r="H2890" t="s">
        <v>1174</v>
      </c>
      <c r="I2890" t="s">
        <v>1108</v>
      </c>
      <c r="J2890" t="s">
        <v>9157</v>
      </c>
      <c r="K2890" t="s">
        <v>9158</v>
      </c>
      <c r="L2890" t="s">
        <v>21</v>
      </c>
      <c r="M2890" t="s">
        <v>19177</v>
      </c>
      <c r="N2890" t="s">
        <v>594</v>
      </c>
      <c r="O2890" t="s">
        <v>531</v>
      </c>
      <c r="P2890" t="s">
        <v>454</v>
      </c>
    </row>
    <row r="2891">
      <c r="A2891">
        <f>HYPERLINK("http://bombeiros.sp.gov.br/hidrantes/03individual/614.html","614")</f>
      </c>
      <c r="B2891" t="s">
        <v>454</v>
      </c>
      <c r="C2891" t="s">
        <v>594</v>
      </c>
      <c r="D2891" t="s">
        <v>595</v>
      </c>
      <c r="E2891" t="s">
        <v>15</v>
      </c>
      <c r="F2891" t="s">
        <v>9159</v>
      </c>
      <c r="G2891" t="s">
        <v>18078</v>
      </c>
      <c r="H2891" t="s">
        <v>1107</v>
      </c>
      <c r="I2891" t="s">
        <v>1108</v>
      </c>
      <c r="J2891" t="s">
        <v>9160</v>
      </c>
      <c r="K2891" t="s">
        <v>9161</v>
      </c>
      <c r="L2891" t="s">
        <v>21</v>
      </c>
      <c r="M2891" t="s">
        <v>19177</v>
      </c>
      <c r="N2891" t="s">
        <v>594</v>
      </c>
      <c r="O2891" t="s">
        <v>531</v>
      </c>
      <c r="P2891" t="s">
        <v>454</v>
      </c>
    </row>
    <row r="2892">
      <c r="A2892">
        <f>HYPERLINK("http://bombeiros.sp.gov.br/hidrantes/03individual/670.html","670")</f>
      </c>
      <c r="B2892" t="s">
        <v>454</v>
      </c>
      <c r="C2892" t="s">
        <v>594</v>
      </c>
      <c r="D2892" t="s">
        <v>595</v>
      </c>
      <c r="E2892" t="s">
        <v>15</v>
      </c>
      <c r="F2892" t="s">
        <v>9162</v>
      </c>
      <c r="G2892" t="s">
        <v>18133</v>
      </c>
      <c r="H2892" t="s">
        <v>1112</v>
      </c>
      <c r="I2892" t="s">
        <v>1108</v>
      </c>
      <c r="J2892" t="s">
        <v>9163</v>
      </c>
      <c r="K2892" t="s">
        <v>9164</v>
      </c>
      <c r="L2892" t="s">
        <v>21</v>
      </c>
      <c r="M2892" t="s">
        <v>19177</v>
      </c>
      <c r="N2892" t="s">
        <v>594</v>
      </c>
      <c r="O2892" t="s">
        <v>531</v>
      </c>
      <c r="P2892" t="s">
        <v>454</v>
      </c>
    </row>
    <row r="2893">
      <c r="A2893">
        <f>HYPERLINK("http://bombeiros.sp.gov.br/hidrantes/03individual/679.html","679")</f>
      </c>
      <c r="B2893" t="s">
        <v>454</v>
      </c>
      <c r="C2893" t="s">
        <v>594</v>
      </c>
      <c r="D2893" t="s">
        <v>595</v>
      </c>
      <c r="E2893" t="s">
        <v>15</v>
      </c>
      <c r="F2893" t="s">
        <v>9165</v>
      </c>
      <c r="G2893" t="s">
        <v>18074</v>
      </c>
      <c r="H2893" t="s">
        <v>1107</v>
      </c>
      <c r="I2893" t="s">
        <v>1108</v>
      </c>
      <c r="J2893" t="s">
        <v>9166</v>
      </c>
      <c r="K2893" t="s">
        <v>9167</v>
      </c>
      <c r="L2893" t="s">
        <v>21</v>
      </c>
      <c r="M2893" t="s">
        <v>19177</v>
      </c>
      <c r="N2893" t="s">
        <v>594</v>
      </c>
      <c r="O2893" t="s">
        <v>531</v>
      </c>
      <c r="P2893" t="s">
        <v>454</v>
      </c>
    </row>
    <row r="2894">
      <c r="A2894">
        <f>HYPERLINK("http://bombeiros.sp.gov.br/hidrantes/03individual/713.html","713")</f>
      </c>
      <c r="B2894" t="s">
        <v>454</v>
      </c>
      <c r="C2894" t="s">
        <v>594</v>
      </c>
      <c r="D2894" t="s">
        <v>595</v>
      </c>
      <c r="E2894" t="s">
        <v>15</v>
      </c>
      <c r="F2894" t="s">
        <v>9168</v>
      </c>
      <c r="G2894" t="s">
        <v>18078</v>
      </c>
      <c r="H2894" t="s">
        <v>1107</v>
      </c>
      <c r="I2894" t="s">
        <v>1108</v>
      </c>
      <c r="J2894" t="s">
        <v>9169</v>
      </c>
      <c r="K2894" t="s">
        <v>9170</v>
      </c>
      <c r="L2894" t="s">
        <v>21</v>
      </c>
      <c r="M2894" t="s">
        <v>19177</v>
      </c>
      <c r="N2894" t="s">
        <v>594</v>
      </c>
      <c r="O2894" t="s">
        <v>531</v>
      </c>
      <c r="P2894" t="s">
        <v>454</v>
      </c>
    </row>
    <row r="2895">
      <c r="A2895">
        <f>HYPERLINK("http://bombeiros.sp.gov.br/hidrantes/03individual/717.html","717")</f>
      </c>
      <c r="B2895" t="s">
        <v>454</v>
      </c>
      <c r="C2895" t="s">
        <v>594</v>
      </c>
      <c r="D2895" t="s">
        <v>595</v>
      </c>
      <c r="E2895" t="s">
        <v>15</v>
      </c>
      <c r="F2895" t="s">
        <v>9171</v>
      </c>
      <c r="G2895" t="s">
        <v>18471</v>
      </c>
      <c r="H2895" t="s">
        <v>1107</v>
      </c>
      <c r="I2895" t="s">
        <v>1108</v>
      </c>
      <c r="J2895" t="s">
        <v>9172</v>
      </c>
      <c r="K2895" t="s">
        <v>9173</v>
      </c>
      <c r="L2895" t="s">
        <v>21</v>
      </c>
      <c r="M2895" t="s">
        <v>19177</v>
      </c>
      <c r="N2895" t="s">
        <v>594</v>
      </c>
      <c r="O2895" t="s">
        <v>531</v>
      </c>
      <c r="P2895" t="s">
        <v>454</v>
      </c>
    </row>
    <row r="2896">
      <c r="A2896">
        <f>HYPERLINK("http://bombeiros.sp.gov.br/hidrantes/03individual/752.html","752")</f>
      </c>
      <c r="B2896" t="s">
        <v>454</v>
      </c>
      <c r="C2896" t="s">
        <v>594</v>
      </c>
      <c r="D2896" t="s">
        <v>595</v>
      </c>
      <c r="E2896" t="s">
        <v>15</v>
      </c>
      <c r="F2896" t="s">
        <v>9174</v>
      </c>
      <c r="G2896" t="s">
        <v>18471</v>
      </c>
      <c r="H2896" t="s">
        <v>1107</v>
      </c>
      <c r="I2896" t="s">
        <v>1108</v>
      </c>
      <c r="J2896" t="s">
        <v>9175</v>
      </c>
      <c r="K2896" t="s">
        <v>9176</v>
      </c>
      <c r="L2896" t="s">
        <v>21</v>
      </c>
      <c r="M2896" t="s">
        <v>19177</v>
      </c>
      <c r="N2896" t="s">
        <v>594</v>
      </c>
      <c r="O2896" t="s">
        <v>531</v>
      </c>
      <c r="P2896" t="s">
        <v>454</v>
      </c>
    </row>
    <row r="2897">
      <c r="A2897">
        <f>HYPERLINK("http://bombeiros.sp.gov.br/hidrantes/03individual/755.html","755")</f>
      </c>
      <c r="B2897" t="s">
        <v>454</v>
      </c>
      <c r="C2897" t="s">
        <v>594</v>
      </c>
      <c r="D2897" t="s">
        <v>595</v>
      </c>
      <c r="E2897" t="s">
        <v>15</v>
      </c>
      <c r="F2897" t="s">
        <v>9177</v>
      </c>
      <c r="G2897" t="s">
        <v>18135</v>
      </c>
      <c r="H2897" t="s">
        <v>1121</v>
      </c>
      <c r="I2897" t="s">
        <v>1117</v>
      </c>
      <c r="J2897" t="s">
        <v>9178</v>
      </c>
      <c r="K2897" t="s">
        <v>9179</v>
      </c>
      <c r="L2897" t="s">
        <v>21</v>
      </c>
      <c r="M2897" t="s">
        <v>19177</v>
      </c>
      <c r="N2897" t="s">
        <v>594</v>
      </c>
      <c r="O2897" t="s">
        <v>531</v>
      </c>
      <c r="P2897" t="s">
        <v>454</v>
      </c>
    </row>
    <row r="2898">
      <c r="A2898">
        <f>HYPERLINK("http://bombeiros.sp.gov.br/hidrantes/03individual/757.html","757")</f>
      </c>
      <c r="B2898" t="s">
        <v>454</v>
      </c>
      <c r="C2898" t="s">
        <v>594</v>
      </c>
      <c r="D2898" t="s">
        <v>595</v>
      </c>
      <c r="E2898" t="s">
        <v>15</v>
      </c>
      <c r="F2898" t="s">
        <v>9180</v>
      </c>
      <c r="G2898" t="s">
        <v>18484</v>
      </c>
      <c r="H2898" t="s">
        <v>1112</v>
      </c>
      <c r="I2898" t="s">
        <v>1108</v>
      </c>
      <c r="J2898" t="s">
        <v>9181</v>
      </c>
      <c r="K2898" t="s">
        <v>9182</v>
      </c>
      <c r="L2898" t="s">
        <v>21</v>
      </c>
      <c r="M2898" t="s">
        <v>19177</v>
      </c>
      <c r="N2898" t="s">
        <v>594</v>
      </c>
      <c r="O2898" t="s">
        <v>531</v>
      </c>
      <c r="P2898" t="s">
        <v>454</v>
      </c>
    </row>
    <row r="2899">
      <c r="A2899">
        <f>HYPERLINK("http://bombeiros.sp.gov.br/hidrantes/03individual/761.html","761")</f>
      </c>
      <c r="B2899" t="s">
        <v>454</v>
      </c>
      <c r="C2899" t="s">
        <v>594</v>
      </c>
      <c r="D2899" t="s">
        <v>595</v>
      </c>
      <c r="E2899" t="s">
        <v>15</v>
      </c>
      <c r="F2899" t="s">
        <v>9183</v>
      </c>
      <c r="G2899" t="s">
        <v>18074</v>
      </c>
      <c r="H2899" t="s">
        <v>1107</v>
      </c>
      <c r="I2899" t="s">
        <v>1108</v>
      </c>
      <c r="J2899" t="s">
        <v>15988</v>
      </c>
      <c r="K2899" t="s">
        <v>15989</v>
      </c>
      <c r="L2899" t="s">
        <v>21</v>
      </c>
      <c r="M2899" t="s">
        <v>19177</v>
      </c>
      <c r="N2899" t="s">
        <v>594</v>
      </c>
      <c r="O2899" t="s">
        <v>531</v>
      </c>
      <c r="P2899" t="s">
        <v>454</v>
      </c>
    </row>
    <row r="2900">
      <c r="A2900">
        <f>HYPERLINK("http://bombeiros.sp.gov.br/hidrantes/03individual/763.html","763")</f>
      </c>
      <c r="B2900" t="s">
        <v>454</v>
      </c>
      <c r="C2900" t="s">
        <v>594</v>
      </c>
      <c r="D2900" t="s">
        <v>595</v>
      </c>
      <c r="E2900" t="s">
        <v>15</v>
      </c>
      <c r="F2900" t="s">
        <v>9186</v>
      </c>
      <c r="G2900" t="s">
        <v>18479</v>
      </c>
      <c r="H2900" t="s">
        <v>1174</v>
      </c>
      <c r="I2900" t="s">
        <v>1117</v>
      </c>
      <c r="J2900" t="s">
        <v>9187</v>
      </c>
      <c r="K2900" t="s">
        <v>9188</v>
      </c>
      <c r="L2900" t="s">
        <v>21</v>
      </c>
      <c r="M2900" t="s">
        <v>19177</v>
      </c>
      <c r="N2900" t="s">
        <v>594</v>
      </c>
      <c r="O2900" t="s">
        <v>531</v>
      </c>
      <c r="P2900" t="s">
        <v>454</v>
      </c>
    </row>
    <row r="2901">
      <c r="A2901">
        <f>HYPERLINK("http://bombeiros.sp.gov.br/hidrantes/03individual/764.html","764")</f>
      </c>
      <c r="B2901" t="s">
        <v>454</v>
      </c>
      <c r="C2901" t="s">
        <v>594</v>
      </c>
      <c r="D2901" t="s">
        <v>595</v>
      </c>
      <c r="E2901" t="s">
        <v>15</v>
      </c>
      <c r="F2901" t="s">
        <v>9189</v>
      </c>
      <c r="G2901" t="s">
        <v>18479</v>
      </c>
      <c r="H2901" t="s">
        <v>1107</v>
      </c>
      <c r="I2901" t="s">
        <v>1108</v>
      </c>
      <c r="J2901" t="s">
        <v>9190</v>
      </c>
      <c r="K2901" t="s">
        <v>9191</v>
      </c>
      <c r="L2901" t="s">
        <v>21</v>
      </c>
      <c r="M2901" t="s">
        <v>19177</v>
      </c>
      <c r="N2901" t="s">
        <v>594</v>
      </c>
      <c r="O2901" t="s">
        <v>531</v>
      </c>
      <c r="P2901" t="s">
        <v>454</v>
      </c>
    </row>
    <row r="2902">
      <c r="A2902">
        <f>HYPERLINK("http://bombeiros.sp.gov.br/hidrantes/03individual/765.html","765")</f>
      </c>
      <c r="B2902" t="s">
        <v>454</v>
      </c>
      <c r="C2902" t="s">
        <v>594</v>
      </c>
      <c r="D2902" t="s">
        <v>595</v>
      </c>
      <c r="E2902" t="s">
        <v>15</v>
      </c>
      <c r="F2902" t="s">
        <v>9192</v>
      </c>
      <c r="G2902" t="s">
        <v>18048</v>
      </c>
      <c r="H2902" t="s">
        <v>1107</v>
      </c>
      <c r="I2902" t="s">
        <v>1108</v>
      </c>
      <c r="J2902" t="s">
        <v>9193</v>
      </c>
      <c r="K2902" t="s">
        <v>9194</v>
      </c>
      <c r="L2902" t="s">
        <v>21</v>
      </c>
      <c r="M2902" t="s">
        <v>19177</v>
      </c>
      <c r="N2902" t="s">
        <v>594</v>
      </c>
      <c r="O2902" t="s">
        <v>531</v>
      </c>
      <c r="P2902" t="s">
        <v>454</v>
      </c>
    </row>
    <row r="2903">
      <c r="A2903">
        <f>HYPERLINK("http://bombeiros.sp.gov.br/hidrantes/03individual/843.html","843")</f>
      </c>
      <c r="B2903" t="s">
        <v>454</v>
      </c>
      <c r="C2903" t="s">
        <v>594</v>
      </c>
      <c r="D2903" t="s">
        <v>595</v>
      </c>
      <c r="E2903" t="s">
        <v>15</v>
      </c>
      <c r="F2903" t="s">
        <v>9195</v>
      </c>
      <c r="G2903" t="s">
        <v>18074</v>
      </c>
      <c r="H2903" t="s">
        <v>1107</v>
      </c>
      <c r="I2903" t="s">
        <v>1108</v>
      </c>
      <c r="J2903" t="s">
        <v>9196</v>
      </c>
      <c r="K2903" t="s">
        <v>9197</v>
      </c>
      <c r="L2903" t="s">
        <v>21</v>
      </c>
      <c r="M2903" t="s">
        <v>19177</v>
      </c>
      <c r="N2903" t="s">
        <v>594</v>
      </c>
      <c r="O2903" t="s">
        <v>531</v>
      </c>
      <c r="P2903" t="s">
        <v>454</v>
      </c>
    </row>
    <row r="2904">
      <c r="A2904">
        <f>HYPERLINK("http://bombeiros.sp.gov.br/hidrantes/03individual/848.html","848")</f>
      </c>
      <c r="B2904" t="s">
        <v>454</v>
      </c>
      <c r="C2904" t="s">
        <v>594</v>
      </c>
      <c r="D2904" t="s">
        <v>595</v>
      </c>
      <c r="E2904" t="s">
        <v>15</v>
      </c>
      <c r="F2904" t="s">
        <v>9198</v>
      </c>
      <c r="G2904" t="s">
        <v>18075</v>
      </c>
      <c r="H2904" t="s">
        <v>1121</v>
      </c>
      <c r="I2904" t="s">
        <v>1117</v>
      </c>
      <c r="J2904" t="s">
        <v>9199</v>
      </c>
      <c r="K2904" t="s">
        <v>9200</v>
      </c>
      <c r="L2904" t="s">
        <v>21</v>
      </c>
      <c r="M2904" t="s">
        <v>19177</v>
      </c>
      <c r="N2904" t="s">
        <v>594</v>
      </c>
      <c r="O2904" t="s">
        <v>531</v>
      </c>
      <c r="P2904" t="s">
        <v>454</v>
      </c>
    </row>
    <row r="2905">
      <c r="A2905">
        <f>HYPERLINK("http://bombeiros.sp.gov.br/hidrantes/03individual/851.html","851")</f>
      </c>
      <c r="B2905" t="s">
        <v>454</v>
      </c>
      <c r="C2905" t="s">
        <v>594</v>
      </c>
      <c r="D2905" t="s">
        <v>595</v>
      </c>
      <c r="E2905" t="s">
        <v>15</v>
      </c>
      <c r="F2905" t="s">
        <v>9201</v>
      </c>
      <c r="G2905" t="s">
        <v>18078</v>
      </c>
      <c r="H2905" t="s">
        <v>1107</v>
      </c>
      <c r="I2905" t="s">
        <v>1108</v>
      </c>
      <c r="J2905" t="s">
        <v>9202</v>
      </c>
      <c r="K2905" t="s">
        <v>9203</v>
      </c>
      <c r="L2905" t="s">
        <v>21</v>
      </c>
      <c r="M2905" t="s">
        <v>19177</v>
      </c>
      <c r="N2905" t="s">
        <v>594</v>
      </c>
      <c r="O2905" t="s">
        <v>531</v>
      </c>
      <c r="P2905" t="s">
        <v>454</v>
      </c>
    </row>
    <row r="2906">
      <c r="A2906">
        <f>HYPERLINK("http://bombeiros.sp.gov.br/hidrantes/03individual/854.html","854")</f>
      </c>
      <c r="B2906" t="s">
        <v>454</v>
      </c>
      <c r="C2906" t="s">
        <v>594</v>
      </c>
      <c r="D2906" t="s">
        <v>595</v>
      </c>
      <c r="E2906" t="s">
        <v>15</v>
      </c>
      <c r="F2906" t="s">
        <v>9204</v>
      </c>
      <c r="G2906" t="s">
        <v>18067</v>
      </c>
      <c r="H2906" t="s">
        <v>1121</v>
      </c>
      <c r="I2906" t="s">
        <v>1117</v>
      </c>
      <c r="J2906" t="s">
        <v>9205</v>
      </c>
      <c r="K2906" t="s">
        <v>9206</v>
      </c>
      <c r="L2906" t="s">
        <v>21</v>
      </c>
      <c r="M2906" t="s">
        <v>19177</v>
      </c>
      <c r="N2906" t="s">
        <v>594</v>
      </c>
      <c r="O2906" t="s">
        <v>531</v>
      </c>
      <c r="P2906" t="s">
        <v>454</v>
      </c>
    </row>
    <row r="2907">
      <c r="A2907">
        <f>HYPERLINK("http://bombeiros.sp.gov.br/hidrantes/03individual/928.html","928")</f>
      </c>
      <c r="B2907" t="s">
        <v>454</v>
      </c>
      <c r="C2907" t="s">
        <v>594</v>
      </c>
      <c r="D2907" t="s">
        <v>595</v>
      </c>
      <c r="E2907" t="s">
        <v>15</v>
      </c>
      <c r="F2907" t="s">
        <v>9207</v>
      </c>
      <c r="G2907" t="s">
        <v>18258</v>
      </c>
      <c r="H2907" t="s">
        <v>1112</v>
      </c>
      <c r="I2907" t="s">
        <v>1108</v>
      </c>
      <c r="J2907" t="s">
        <v>9208</v>
      </c>
      <c r="K2907" t="s">
        <v>9209</v>
      </c>
      <c r="L2907" t="s">
        <v>21</v>
      </c>
      <c r="M2907" t="s">
        <v>19177</v>
      </c>
      <c r="N2907" t="s">
        <v>594</v>
      </c>
      <c r="O2907" t="s">
        <v>531</v>
      </c>
      <c r="P2907" t="s">
        <v>454</v>
      </c>
    </row>
    <row r="2908">
      <c r="A2908">
        <f>HYPERLINK("http://bombeiros.sp.gov.br/hidrantes/03individual/932.html","932")</f>
      </c>
      <c r="B2908" t="s">
        <v>454</v>
      </c>
      <c r="C2908" t="s">
        <v>594</v>
      </c>
      <c r="D2908" t="s">
        <v>595</v>
      </c>
      <c r="E2908" t="s">
        <v>15</v>
      </c>
      <c r="F2908" t="s">
        <v>9210</v>
      </c>
      <c r="G2908" t="s">
        <v>18479</v>
      </c>
      <c r="H2908" t="s">
        <v>1174</v>
      </c>
      <c r="I2908" t="s">
        <v>1108</v>
      </c>
      <c r="J2908" t="s">
        <v>9211</v>
      </c>
      <c r="K2908" t="s">
        <v>9212</v>
      </c>
      <c r="L2908" t="s">
        <v>21</v>
      </c>
      <c r="M2908" t="s">
        <v>19177</v>
      </c>
      <c r="N2908" t="s">
        <v>594</v>
      </c>
      <c r="O2908" t="s">
        <v>531</v>
      </c>
      <c r="P2908" t="s">
        <v>454</v>
      </c>
    </row>
    <row r="2909">
      <c r="A2909">
        <f>HYPERLINK("http://bombeiros.sp.gov.br/hidrantes/03individual/2966.html","2966")</f>
      </c>
      <c r="B2909" t="s">
        <v>454</v>
      </c>
      <c r="C2909" t="s">
        <v>594</v>
      </c>
      <c r="D2909" t="s">
        <v>595</v>
      </c>
      <c r="E2909" t="s">
        <v>15</v>
      </c>
      <c r="F2909" t="s">
        <v>9213</v>
      </c>
      <c r="G2909" t="s">
        <v>18133</v>
      </c>
      <c r="H2909" t="s">
        <v>1112</v>
      </c>
      <c r="I2909" t="s">
        <v>1108</v>
      </c>
      <c r="J2909" t="s">
        <v>9214</v>
      </c>
      <c r="K2909" t="s">
        <v>9215</v>
      </c>
      <c r="L2909" t="s">
        <v>36</v>
      </c>
      <c r="M2909" t="s">
        <v>19177</v>
      </c>
      <c r="N2909" t="s">
        <v>594</v>
      </c>
      <c r="O2909" t="s">
        <v>531</v>
      </c>
      <c r="P2909" t="s">
        <v>454</v>
      </c>
    </row>
    <row r="2910">
      <c r="A2910">
        <f>HYPERLINK("http://bombeiros.sp.gov.br/hidrantes/03individual/2973.html","2973")</f>
      </c>
      <c r="B2910" t="s">
        <v>454</v>
      </c>
      <c r="C2910" t="s">
        <v>594</v>
      </c>
      <c r="D2910" t="s">
        <v>595</v>
      </c>
      <c r="E2910" t="s">
        <v>15</v>
      </c>
      <c r="F2910" t="s">
        <v>9216</v>
      </c>
      <c r="G2910" t="s">
        <v>18193</v>
      </c>
      <c r="H2910" t="s">
        <v>1112</v>
      </c>
      <c r="I2910" t="s">
        <v>1108</v>
      </c>
      <c r="J2910" t="s">
        <v>9217</v>
      </c>
      <c r="K2910" t="s">
        <v>9218</v>
      </c>
      <c r="L2910" t="s">
        <v>36</v>
      </c>
      <c r="M2910" t="s">
        <v>19177</v>
      </c>
      <c r="N2910" t="s">
        <v>594</v>
      </c>
      <c r="O2910" t="s">
        <v>531</v>
      </c>
      <c r="P2910" t="s">
        <v>454</v>
      </c>
    </row>
    <row r="2911">
      <c r="A2911">
        <f>HYPERLINK("http://bombeiros.sp.gov.br/hidrantes/03individual/2978.html","2978")</f>
      </c>
      <c r="B2911" t="s">
        <v>454</v>
      </c>
      <c r="C2911" t="s">
        <v>594</v>
      </c>
      <c r="D2911" t="s">
        <v>595</v>
      </c>
      <c r="E2911" t="s">
        <v>15</v>
      </c>
      <c r="F2911" t="s">
        <v>9219</v>
      </c>
      <c r="G2911" t="s">
        <v>18067</v>
      </c>
      <c r="H2911" t="s">
        <v>1121</v>
      </c>
      <c r="I2911" t="s">
        <v>1117</v>
      </c>
      <c r="J2911" t="s">
        <v>9220</v>
      </c>
      <c r="K2911" t="s">
        <v>9221</v>
      </c>
      <c r="L2911" t="s">
        <v>21</v>
      </c>
      <c r="M2911" t="s">
        <v>19177</v>
      </c>
      <c r="N2911" t="s">
        <v>594</v>
      </c>
      <c r="O2911" t="s">
        <v>531</v>
      </c>
      <c r="P2911" t="s">
        <v>454</v>
      </c>
    </row>
    <row r="2912">
      <c r="A2912">
        <f>HYPERLINK("http://bombeiros.sp.gov.br/hidrantes/03individual/3009.html","3009")</f>
      </c>
      <c r="B2912" t="s">
        <v>454</v>
      </c>
      <c r="C2912" t="s">
        <v>594</v>
      </c>
      <c r="D2912" t="s">
        <v>595</v>
      </c>
      <c r="E2912" t="s">
        <v>15</v>
      </c>
      <c r="F2912" t="s">
        <v>9222</v>
      </c>
      <c r="G2912" t="s">
        <v>18471</v>
      </c>
      <c r="H2912" t="s">
        <v>1107</v>
      </c>
      <c r="I2912" t="s">
        <v>1108</v>
      </c>
      <c r="J2912" t="s">
        <v>9223</v>
      </c>
      <c r="K2912" t="s">
        <v>9224</v>
      </c>
      <c r="L2912" t="s">
        <v>21</v>
      </c>
      <c r="M2912" t="s">
        <v>19177</v>
      </c>
      <c r="N2912" t="s">
        <v>594</v>
      </c>
      <c r="O2912" t="s">
        <v>531</v>
      </c>
      <c r="P2912" t="s">
        <v>454</v>
      </c>
    </row>
    <row r="2913">
      <c r="A2913">
        <f>HYPERLINK("http://bombeiros.sp.gov.br/hidrantes/03individual/3101.html","3101")</f>
      </c>
      <c r="B2913" t="s">
        <v>454</v>
      </c>
      <c r="C2913" t="s">
        <v>594</v>
      </c>
      <c r="D2913" t="s">
        <v>595</v>
      </c>
      <c r="E2913" t="s">
        <v>15</v>
      </c>
      <c r="F2913" t="s">
        <v>9225</v>
      </c>
      <c r="G2913" t="s">
        <v>18143</v>
      </c>
      <c r="H2913" t="s">
        <v>1107</v>
      </c>
      <c r="I2913" t="s">
        <v>1108</v>
      </c>
      <c r="J2913" t="s">
        <v>9226</v>
      </c>
      <c r="K2913" t="s">
        <v>9227</v>
      </c>
      <c r="L2913" t="s">
        <v>36</v>
      </c>
      <c r="M2913" t="s">
        <v>19177</v>
      </c>
      <c r="N2913" t="s">
        <v>594</v>
      </c>
      <c r="O2913" t="s">
        <v>531</v>
      </c>
      <c r="P2913" t="s">
        <v>454</v>
      </c>
    </row>
    <row r="2914">
      <c r="A2914">
        <f>HYPERLINK("http://bombeiros.sp.gov.br/hidrantes/03individual/3184.html","3184")</f>
      </c>
      <c r="B2914" t="s">
        <v>454</v>
      </c>
      <c r="C2914" t="s">
        <v>594</v>
      </c>
      <c r="D2914" t="s">
        <v>595</v>
      </c>
      <c r="E2914" t="s">
        <v>15</v>
      </c>
      <c r="F2914" t="s">
        <v>9228</v>
      </c>
      <c r="G2914" t="s">
        <v>18145</v>
      </c>
      <c r="H2914" t="s">
        <v>1174</v>
      </c>
      <c r="I2914" t="s">
        <v>1108</v>
      </c>
      <c r="J2914" t="s">
        <v>9229</v>
      </c>
      <c r="K2914" t="s">
        <v>9230</v>
      </c>
      <c r="L2914" t="s">
        <v>21</v>
      </c>
      <c r="M2914" t="s">
        <v>19177</v>
      </c>
      <c r="N2914" t="s">
        <v>594</v>
      </c>
      <c r="O2914" t="s">
        <v>531</v>
      </c>
      <c r="P2914" t="s">
        <v>454</v>
      </c>
    </row>
    <row r="2915">
      <c r="A2915">
        <f>HYPERLINK("http://bombeiros.sp.gov.br/hidrantes/03individual/3186.html","3186")</f>
      </c>
      <c r="B2915" t="s">
        <v>454</v>
      </c>
      <c r="C2915" t="s">
        <v>594</v>
      </c>
      <c r="D2915" t="s">
        <v>595</v>
      </c>
      <c r="E2915" t="s">
        <v>15</v>
      </c>
      <c r="F2915" t="s">
        <v>9231</v>
      </c>
      <c r="G2915" t="s">
        <v>18133</v>
      </c>
      <c r="H2915" t="s">
        <v>1112</v>
      </c>
      <c r="I2915" t="s">
        <v>1108</v>
      </c>
      <c r="J2915" t="s">
        <v>9232</v>
      </c>
      <c r="K2915" t="s">
        <v>9233</v>
      </c>
      <c r="L2915" t="s">
        <v>21</v>
      </c>
      <c r="M2915" t="s">
        <v>19177</v>
      </c>
      <c r="N2915" t="s">
        <v>594</v>
      </c>
      <c r="O2915" t="s">
        <v>531</v>
      </c>
      <c r="P2915" t="s">
        <v>454</v>
      </c>
    </row>
    <row r="2916">
      <c r="A2916">
        <f>HYPERLINK("http://bombeiros.sp.gov.br/hidrantes/03individual/3198.html","3198")</f>
      </c>
      <c r="B2916" t="s">
        <v>454</v>
      </c>
      <c r="C2916" t="s">
        <v>594</v>
      </c>
      <c r="D2916" t="s">
        <v>595</v>
      </c>
      <c r="E2916" t="s">
        <v>15</v>
      </c>
      <c r="F2916" t="s">
        <v>9234</v>
      </c>
      <c r="G2916" t="s">
        <v>18074</v>
      </c>
      <c r="H2916" t="s">
        <v>1121</v>
      </c>
      <c r="I2916" t="s">
        <v>1117</v>
      </c>
      <c r="J2916" t="s">
        <v>9235</v>
      </c>
      <c r="K2916" t="s">
        <v>9236</v>
      </c>
      <c r="L2916" t="s">
        <v>21</v>
      </c>
      <c r="M2916" t="s">
        <v>19177</v>
      </c>
      <c r="N2916" t="s">
        <v>594</v>
      </c>
      <c r="O2916" t="s">
        <v>531</v>
      </c>
      <c r="P2916" t="s">
        <v>454</v>
      </c>
    </row>
    <row r="2917">
      <c r="A2917">
        <f>HYPERLINK("http://bombeiros.sp.gov.br/hidrantes/03individual/3232.html","3232")</f>
      </c>
      <c r="B2917" t="s">
        <v>454</v>
      </c>
      <c r="C2917" t="s">
        <v>594</v>
      </c>
      <c r="D2917" t="s">
        <v>595</v>
      </c>
      <c r="E2917" t="s">
        <v>15</v>
      </c>
      <c r="F2917" t="s">
        <v>9237</v>
      </c>
      <c r="G2917" t="s">
        <v>18089</v>
      </c>
      <c r="H2917" t="s">
        <v>1107</v>
      </c>
      <c r="I2917" t="s">
        <v>1108</v>
      </c>
      <c r="J2917" t="s">
        <v>9238</v>
      </c>
      <c r="K2917" t="s">
        <v>9239</v>
      </c>
      <c r="L2917" t="s">
        <v>36</v>
      </c>
      <c r="M2917" t="s">
        <v>19177</v>
      </c>
      <c r="N2917" t="s">
        <v>594</v>
      </c>
      <c r="O2917" t="s">
        <v>531</v>
      </c>
      <c r="P2917" t="s">
        <v>454</v>
      </c>
    </row>
    <row r="2918">
      <c r="A2918">
        <f>HYPERLINK("http://bombeiros.sp.gov.br/hidrantes/03individual/3235.html","3235")</f>
      </c>
      <c r="B2918" t="s">
        <v>454</v>
      </c>
      <c r="C2918" t="s">
        <v>594</v>
      </c>
      <c r="D2918" t="s">
        <v>595</v>
      </c>
      <c r="E2918" t="s">
        <v>15</v>
      </c>
      <c r="F2918" t="s">
        <v>9240</v>
      </c>
      <c r="G2918" t="s">
        <v>18076</v>
      </c>
      <c r="H2918" t="s">
        <v>1107</v>
      </c>
      <c r="I2918" t="s">
        <v>1108</v>
      </c>
      <c r="J2918" t="s">
        <v>9241</v>
      </c>
      <c r="K2918" t="s">
        <v>9242</v>
      </c>
      <c r="L2918" t="s">
        <v>21</v>
      </c>
      <c r="M2918" t="s">
        <v>19177</v>
      </c>
      <c r="N2918" t="s">
        <v>594</v>
      </c>
      <c r="O2918" t="s">
        <v>531</v>
      </c>
      <c r="P2918" t="s">
        <v>454</v>
      </c>
    </row>
    <row r="2919">
      <c r="A2919">
        <f>HYPERLINK("http://bombeiros.sp.gov.br/hidrantes/03individual/3236.html","3236")</f>
      </c>
      <c r="B2919" t="s">
        <v>454</v>
      </c>
      <c r="C2919" t="s">
        <v>594</v>
      </c>
      <c r="D2919" t="s">
        <v>595</v>
      </c>
      <c r="E2919" t="s">
        <v>15</v>
      </c>
      <c r="F2919" t="s">
        <v>9243</v>
      </c>
      <c r="G2919" t="s">
        <v>18074</v>
      </c>
      <c r="H2919" t="s">
        <v>1107</v>
      </c>
      <c r="I2919" t="s">
        <v>1108</v>
      </c>
      <c r="J2919" t="s">
        <v>9244</v>
      </c>
      <c r="K2919" t="s">
        <v>9245</v>
      </c>
      <c r="L2919" t="s">
        <v>21</v>
      </c>
      <c r="M2919" t="s">
        <v>19177</v>
      </c>
      <c r="N2919" t="s">
        <v>594</v>
      </c>
      <c r="O2919" t="s">
        <v>531</v>
      </c>
      <c r="P2919" t="s">
        <v>454</v>
      </c>
    </row>
    <row r="2920">
      <c r="A2920">
        <f>HYPERLINK("http://bombeiros.sp.gov.br/hidrantes/03individual/3238.html","3238")</f>
      </c>
      <c r="B2920" t="s">
        <v>454</v>
      </c>
      <c r="C2920" t="s">
        <v>594</v>
      </c>
      <c r="D2920" t="s">
        <v>595</v>
      </c>
      <c r="E2920" t="s">
        <v>15</v>
      </c>
      <c r="F2920" t="s">
        <v>9246</v>
      </c>
      <c r="G2920" t="s">
        <v>18074</v>
      </c>
      <c r="H2920" t="s">
        <v>1107</v>
      </c>
      <c r="I2920" t="s">
        <v>1108</v>
      </c>
      <c r="J2920" t="s">
        <v>9247</v>
      </c>
      <c r="K2920" t="s">
        <v>9248</v>
      </c>
      <c r="L2920" t="s">
        <v>21</v>
      </c>
      <c r="M2920" t="s">
        <v>19177</v>
      </c>
      <c r="N2920" t="s">
        <v>594</v>
      </c>
      <c r="O2920" t="s">
        <v>531</v>
      </c>
      <c r="P2920" t="s">
        <v>454</v>
      </c>
    </row>
    <row r="2921">
      <c r="A2921">
        <f>HYPERLINK("http://bombeiros.sp.gov.br/hidrantes/03individual/3476.html","3476")</f>
      </c>
      <c r="B2921" t="s">
        <v>454</v>
      </c>
      <c r="C2921" t="s">
        <v>594</v>
      </c>
      <c r="D2921" t="s">
        <v>595</v>
      </c>
      <c r="E2921" t="s">
        <v>15</v>
      </c>
      <c r="F2921" t="s">
        <v>9249</v>
      </c>
      <c r="G2921" t="s">
        <v>18095</v>
      </c>
      <c r="H2921" t="s">
        <v>1174</v>
      </c>
      <c r="I2921" t="s">
        <v>1108</v>
      </c>
      <c r="J2921" t="s">
        <v>9250</v>
      </c>
      <c r="K2921" t="s">
        <v>9251</v>
      </c>
      <c r="L2921" t="s">
        <v>21</v>
      </c>
      <c r="M2921" t="s">
        <v>19177</v>
      </c>
      <c r="N2921" t="s">
        <v>594</v>
      </c>
      <c r="O2921" t="s">
        <v>531</v>
      </c>
      <c r="P2921" t="s">
        <v>454</v>
      </c>
    </row>
    <row r="2922">
      <c r="A2922">
        <f>HYPERLINK("http://bombeiros.sp.gov.br/hidrantes/03individual/3483.html","3483")</f>
      </c>
      <c r="B2922" t="s">
        <v>454</v>
      </c>
      <c r="C2922" t="s">
        <v>594</v>
      </c>
      <c r="D2922" t="s">
        <v>595</v>
      </c>
      <c r="E2922" t="s">
        <v>15</v>
      </c>
      <c r="F2922" t="s">
        <v>9252</v>
      </c>
      <c r="G2922" t="s">
        <v>18479</v>
      </c>
      <c r="H2922" t="s">
        <v>1174</v>
      </c>
      <c r="I2922" t="s">
        <v>1117</v>
      </c>
      <c r="J2922" t="s">
        <v>9253</v>
      </c>
      <c r="K2922" t="s">
        <v>9254</v>
      </c>
      <c r="L2922" t="s">
        <v>36</v>
      </c>
      <c r="M2922" t="s">
        <v>19177</v>
      </c>
      <c r="N2922" t="s">
        <v>594</v>
      </c>
      <c r="O2922" t="s">
        <v>531</v>
      </c>
      <c r="P2922" t="s">
        <v>454</v>
      </c>
    </row>
    <row r="2923">
      <c r="A2923">
        <f>HYPERLINK("http://bombeiros.sp.gov.br/hidrantes/03individual/3487.html","3487")</f>
      </c>
      <c r="B2923" t="s">
        <v>454</v>
      </c>
      <c r="C2923" t="s">
        <v>594</v>
      </c>
      <c r="D2923" t="s">
        <v>595</v>
      </c>
      <c r="E2923" t="s">
        <v>15</v>
      </c>
      <c r="F2923" t="s">
        <v>596</v>
      </c>
      <c r="G2923" t="s">
        <v>18107</v>
      </c>
      <c r="H2923" t="s">
        <v>1107</v>
      </c>
      <c r="I2923" t="s">
        <v>1108</v>
      </c>
      <c r="J2923" t="s">
        <v>598</v>
      </c>
      <c r="K2923" t="s">
        <v>599</v>
      </c>
      <c r="L2923" t="s">
        <v>21</v>
      </c>
      <c r="M2923" t="s">
        <v>19177</v>
      </c>
      <c r="N2923" t="s">
        <v>594</v>
      </c>
      <c r="O2923" t="s">
        <v>531</v>
      </c>
      <c r="P2923" t="s">
        <v>454</v>
      </c>
    </row>
    <row r="2924">
      <c r="A2924">
        <f>HYPERLINK("http://bombeiros.sp.gov.br/hidrantes/03individual/17714.html","17714")</f>
      </c>
      <c r="B2924" t="s">
        <v>454</v>
      </c>
      <c r="C2924" t="s">
        <v>594</v>
      </c>
      <c r="D2924" t="s">
        <v>595</v>
      </c>
      <c r="E2924" t="s">
        <v>15</v>
      </c>
      <c r="F2924" t="s">
        <v>9255</v>
      </c>
      <c r="G2924" t="s">
        <v>18193</v>
      </c>
      <c r="H2924" t="s">
        <v>1112</v>
      </c>
      <c r="I2924" t="s">
        <v>1117</v>
      </c>
      <c r="J2924" t="s">
        <v>9256</v>
      </c>
      <c r="K2924" t="s">
        <v>9257</v>
      </c>
      <c r="L2924" t="s">
        <v>21</v>
      </c>
      <c r="M2924" t="s">
        <v>19177</v>
      </c>
      <c r="N2924" t="s">
        <v>594</v>
      </c>
      <c r="O2924" t="s">
        <v>531</v>
      </c>
      <c r="P2924" t="s">
        <v>454</v>
      </c>
    </row>
    <row r="2925">
      <c r="A2925">
        <f>HYPERLINK("http://bombeiros.sp.gov.br/hidrantes/03individual/17835.html","17835")</f>
      </c>
      <c r="B2925" t="s">
        <v>454</v>
      </c>
      <c r="C2925" t="s">
        <v>594</v>
      </c>
      <c r="D2925" t="s">
        <v>595</v>
      </c>
      <c r="E2925" t="s">
        <v>15</v>
      </c>
      <c r="F2925" t="s">
        <v>9258</v>
      </c>
      <c r="G2925" t="s">
        <v>18479</v>
      </c>
      <c r="H2925" t="s">
        <v>1174</v>
      </c>
      <c r="I2925" t="s">
        <v>1108</v>
      </c>
      <c r="J2925" t="s">
        <v>9259</v>
      </c>
      <c r="K2925" t="s">
        <v>9260</v>
      </c>
      <c r="L2925" t="s">
        <v>21</v>
      </c>
      <c r="M2925" t="s">
        <v>19177</v>
      </c>
      <c r="N2925" t="s">
        <v>594</v>
      </c>
      <c r="O2925" t="s">
        <v>531</v>
      </c>
      <c r="P2925" t="s">
        <v>454</v>
      </c>
    </row>
    <row r="2926">
      <c r="A2926">
        <f>HYPERLINK("http://bombeiros.sp.gov.br/hidrantes/03individual/17836.html","17836")</f>
      </c>
      <c r="B2926" t="s">
        <v>454</v>
      </c>
      <c r="C2926" t="s">
        <v>594</v>
      </c>
      <c r="D2926" t="s">
        <v>595</v>
      </c>
      <c r="E2926" t="s">
        <v>15</v>
      </c>
      <c r="F2926" t="s">
        <v>9261</v>
      </c>
      <c r="G2926" t="s">
        <v>18048</v>
      </c>
      <c r="H2926" t="s">
        <v>1121</v>
      </c>
      <c r="I2926" t="s">
        <v>1117</v>
      </c>
      <c r="J2926" t="s">
        <v>9262</v>
      </c>
      <c r="K2926" t="s">
        <v>9263</v>
      </c>
      <c r="L2926" t="s">
        <v>21</v>
      </c>
      <c r="M2926" t="s">
        <v>19177</v>
      </c>
      <c r="N2926" t="s">
        <v>594</v>
      </c>
      <c r="O2926" t="s">
        <v>531</v>
      </c>
      <c r="P2926" t="s">
        <v>454</v>
      </c>
    </row>
    <row r="2927">
      <c r="A2927">
        <f>HYPERLINK("http://bombeiros.sp.gov.br/hidrantes/03individual/26793.html","26793")</f>
      </c>
      <c r="B2927" t="s">
        <v>454</v>
      </c>
      <c r="C2927" t="s">
        <v>594</v>
      </c>
      <c r="D2927" t="s">
        <v>595</v>
      </c>
      <c r="E2927" t="s">
        <v>15</v>
      </c>
      <c r="F2927" t="s">
        <v>15830</v>
      </c>
      <c r="G2927" t="s">
        <v>18133</v>
      </c>
      <c r="H2927" t="s">
        <v>1112</v>
      </c>
      <c r="I2927" t="s">
        <v>1108</v>
      </c>
      <c r="J2927" t="s">
        <v>15831</v>
      </c>
      <c r="K2927" t="s">
        <v>15832</v>
      </c>
      <c r="L2927" t="s">
        <v>21</v>
      </c>
      <c r="M2927" t="s">
        <v>19177</v>
      </c>
      <c r="N2927" t="s">
        <v>594</v>
      </c>
      <c r="O2927" t="s">
        <v>531</v>
      </c>
      <c r="P2927" t="s">
        <v>454</v>
      </c>
    </row>
    <row r="2928">
      <c r="A2928">
        <f>HYPERLINK("http://bombeiros.sp.gov.br/hidrantes/03individual/26892.html","26892")</f>
      </c>
      <c r="B2928" t="s">
        <v>454</v>
      </c>
      <c r="C2928" t="s">
        <v>594</v>
      </c>
      <c r="D2928" t="s">
        <v>595</v>
      </c>
      <c r="E2928" t="s">
        <v>15</v>
      </c>
      <c r="F2928" t="s">
        <v>16312</v>
      </c>
      <c r="G2928" t="s">
        <v>18089</v>
      </c>
      <c r="H2928" t="s">
        <v>1107</v>
      </c>
      <c r="I2928" t="s">
        <v>1108</v>
      </c>
      <c r="J2928" t="s">
        <v>16313</v>
      </c>
      <c r="K2928" t="s">
        <v>16314</v>
      </c>
      <c r="L2928" t="s">
        <v>21</v>
      </c>
      <c r="M2928" t="s">
        <v>19177</v>
      </c>
      <c r="N2928" t="s">
        <v>594</v>
      </c>
      <c r="O2928" t="s">
        <v>531</v>
      </c>
      <c r="P2928" t="s">
        <v>454</v>
      </c>
    </row>
    <row r="2929">
      <c r="A2929">
        <f>HYPERLINK("http://bombeiros.sp.gov.br/hidrantes/03individual/28092.html","28092")</f>
      </c>
      <c r="B2929" t="s">
        <v>454</v>
      </c>
      <c r="C2929" t="s">
        <v>594</v>
      </c>
      <c r="D2929" t="s">
        <v>595</v>
      </c>
      <c r="E2929" t="s">
        <v>15</v>
      </c>
      <c r="F2929" t="s">
        <v>18317</v>
      </c>
      <c r="G2929" t="s">
        <v>18207</v>
      </c>
      <c r="H2929" t="s">
        <v>1107</v>
      </c>
      <c r="I2929" t="s">
        <v>1108</v>
      </c>
      <c r="J2929" t="s">
        <v>18318</v>
      </c>
      <c r="K2929" t="s">
        <v>18319</v>
      </c>
      <c r="L2929" t="s">
        <v>21</v>
      </c>
      <c r="M2929" t="s">
        <v>19177</v>
      </c>
      <c r="N2929" t="s">
        <v>594</v>
      </c>
      <c r="O2929" t="s">
        <v>531</v>
      </c>
      <c r="P2929" t="s">
        <v>454</v>
      </c>
    </row>
    <row r="2930">
      <c r="A2930">
        <f>HYPERLINK("http://bombeiros.sp.gov.br/hidrantes/03individual/28373.html","28373")</f>
      </c>
      <c r="B2930" t="s">
        <v>454</v>
      </c>
      <c r="C2930" t="s">
        <v>594</v>
      </c>
      <c r="D2930" t="s">
        <v>595</v>
      </c>
      <c r="E2930" t="s">
        <v>15</v>
      </c>
      <c r="F2930" t="s">
        <v>18638</v>
      </c>
      <c r="G2930"/>
      <c r="H2930"/>
      <c r="I2930" t="s">
        <v>1503</v>
      </c>
      <c r="J2930" t="s">
        <v>18639</v>
      </c>
      <c r="K2930" t="s">
        <v>18640</v>
      </c>
      <c r="L2930" t="s">
        <v>21</v>
      </c>
      <c r="M2930" t="s">
        <v>19177</v>
      </c>
      <c r="N2930" t="s">
        <v>594</v>
      </c>
      <c r="O2930" t="s">
        <v>531</v>
      </c>
      <c r="P2930" t="s">
        <v>454</v>
      </c>
    </row>
    <row r="2931">
      <c r="A2931">
        <f>HYPERLINK("http://bombeiros.sp.gov.br/hidrantes/03individual/803.html","803")</f>
      </c>
      <c r="B2931" t="s">
        <v>454</v>
      </c>
      <c r="C2931" t="s">
        <v>594</v>
      </c>
      <c r="D2931" t="s">
        <v>600</v>
      </c>
      <c r="E2931" t="s">
        <v>64</v>
      </c>
      <c r="F2931" t="s">
        <v>9264</v>
      </c>
      <c r="G2931" t="s">
        <v>18066</v>
      </c>
      <c r="H2931" t="s">
        <v>1107</v>
      </c>
      <c r="I2931" t="s">
        <v>1108</v>
      </c>
      <c r="J2931" t="s">
        <v>17526</v>
      </c>
      <c r="K2931" t="s">
        <v>17527</v>
      </c>
      <c r="L2931" t="s">
        <v>36</v>
      </c>
      <c r="M2931" t="s">
        <v>19177</v>
      </c>
      <c r="N2931" t="s">
        <v>594</v>
      </c>
      <c r="O2931" t="s">
        <v>531</v>
      </c>
      <c r="P2931" t="s">
        <v>454</v>
      </c>
    </row>
    <row r="2932">
      <c r="A2932">
        <f>HYPERLINK("http://bombeiros.sp.gov.br/hidrantes/03individual/828.html","828")</f>
      </c>
      <c r="B2932" t="s">
        <v>454</v>
      </c>
      <c r="C2932" t="s">
        <v>594</v>
      </c>
      <c r="D2932" t="s">
        <v>600</v>
      </c>
      <c r="E2932" t="s">
        <v>64</v>
      </c>
      <c r="F2932" t="s">
        <v>601</v>
      </c>
      <c r="G2932" t="s">
        <v>18051</v>
      </c>
      <c r="H2932"/>
      <c r="I2932" t="s">
        <v>18</v>
      </c>
      <c r="J2932" t="s">
        <v>602</v>
      </c>
      <c r="K2932" t="s">
        <v>603</v>
      </c>
      <c r="L2932" t="s">
        <v>36</v>
      </c>
      <c r="M2932" t="s">
        <v>19177</v>
      </c>
      <c r="N2932" t="s">
        <v>594</v>
      </c>
      <c r="O2932" t="s">
        <v>531</v>
      </c>
      <c r="P2932" t="s">
        <v>454</v>
      </c>
    </row>
    <row r="2933">
      <c r="A2933">
        <f>HYPERLINK("http://bombeiros.sp.gov.br/hidrantes/03individual/830.html","830")</f>
      </c>
      <c r="B2933" t="s">
        <v>454</v>
      </c>
      <c r="C2933" t="s">
        <v>594</v>
      </c>
      <c r="D2933" t="s">
        <v>600</v>
      </c>
      <c r="E2933" t="s">
        <v>64</v>
      </c>
      <c r="F2933" t="s">
        <v>9267</v>
      </c>
      <c r="G2933" t="s">
        <v>18051</v>
      </c>
      <c r="H2933" t="s">
        <v>1174</v>
      </c>
      <c r="I2933" t="s">
        <v>1108</v>
      </c>
      <c r="J2933" t="s">
        <v>9268</v>
      </c>
      <c r="K2933" t="s">
        <v>9269</v>
      </c>
      <c r="L2933" t="s">
        <v>36</v>
      </c>
      <c r="M2933" t="s">
        <v>19177</v>
      </c>
      <c r="N2933" t="s">
        <v>594</v>
      </c>
      <c r="O2933" t="s">
        <v>531</v>
      </c>
      <c r="P2933" t="s">
        <v>454</v>
      </c>
    </row>
    <row r="2934">
      <c r="A2934">
        <f>HYPERLINK("http://bombeiros.sp.gov.br/hidrantes/03individual/3241.html","3241")</f>
      </c>
      <c r="B2934" t="s">
        <v>454</v>
      </c>
      <c r="C2934" t="s">
        <v>594</v>
      </c>
      <c r="D2934" t="s">
        <v>600</v>
      </c>
      <c r="E2934" t="s">
        <v>64</v>
      </c>
      <c r="F2934" t="s">
        <v>9270</v>
      </c>
      <c r="G2934" t="s">
        <v>18074</v>
      </c>
      <c r="H2934" t="s">
        <v>1107</v>
      </c>
      <c r="I2934" t="s">
        <v>1108</v>
      </c>
      <c r="J2934" t="s">
        <v>9271</v>
      </c>
      <c r="K2934" t="s">
        <v>9272</v>
      </c>
      <c r="L2934" t="s">
        <v>36</v>
      </c>
      <c r="M2934" t="s">
        <v>19177</v>
      </c>
      <c r="N2934" t="s">
        <v>594</v>
      </c>
      <c r="O2934" t="s">
        <v>531</v>
      </c>
      <c r="P2934" t="s">
        <v>454</v>
      </c>
    </row>
    <row r="2935">
      <c r="A2935">
        <f>HYPERLINK("http://bombeiros.sp.gov.br/hidrantes/03individual/3283.html","3283")</f>
      </c>
      <c r="B2935" t="s">
        <v>454</v>
      </c>
      <c r="C2935" t="s">
        <v>594</v>
      </c>
      <c r="D2935" t="s">
        <v>600</v>
      </c>
      <c r="E2935" t="s">
        <v>64</v>
      </c>
      <c r="F2935" t="s">
        <v>9273</v>
      </c>
      <c r="G2935" t="s">
        <v>18055</v>
      </c>
      <c r="H2935" t="s">
        <v>1112</v>
      </c>
      <c r="I2935" t="s">
        <v>1108</v>
      </c>
      <c r="J2935" t="s">
        <v>9274</v>
      </c>
      <c r="K2935" t="s">
        <v>9275</v>
      </c>
      <c r="L2935" t="s">
        <v>36</v>
      </c>
      <c r="M2935" t="s">
        <v>19177</v>
      </c>
      <c r="N2935" t="s">
        <v>594</v>
      </c>
      <c r="O2935" t="s">
        <v>531</v>
      </c>
      <c r="P2935" t="s">
        <v>454</v>
      </c>
    </row>
    <row r="2936">
      <c r="A2936">
        <f>HYPERLINK("http://bombeiros.sp.gov.br/hidrantes/03individual/27181.html","27181")</f>
      </c>
      <c r="B2936" t="s">
        <v>454</v>
      </c>
      <c r="C2936" t="s">
        <v>594</v>
      </c>
      <c r="D2936" t="s">
        <v>600</v>
      </c>
      <c r="E2936" t="s">
        <v>64</v>
      </c>
      <c r="F2936" t="s">
        <v>16919</v>
      </c>
      <c r="G2936" t="s">
        <v>18066</v>
      </c>
      <c r="H2936" t="s">
        <v>1107</v>
      </c>
      <c r="I2936" t="s">
        <v>1108</v>
      </c>
      <c r="J2936" t="s">
        <v>16920</v>
      </c>
      <c r="K2936" t="s">
        <v>16921</v>
      </c>
      <c r="L2936" t="s">
        <v>21</v>
      </c>
      <c r="M2936" t="s">
        <v>19177</v>
      </c>
      <c r="N2936" t="s">
        <v>594</v>
      </c>
      <c r="O2936" t="s">
        <v>531</v>
      </c>
      <c r="P2936" t="s">
        <v>454</v>
      </c>
    </row>
    <row r="2937">
      <c r="A2937">
        <f>HYPERLINK("http://bombeiros.sp.gov.br/hidrantes/03individual/535.html","535")</f>
      </c>
      <c r="B2937" t="s">
        <v>454</v>
      </c>
      <c r="C2937" t="s">
        <v>594</v>
      </c>
      <c r="D2937" t="s">
        <v>600</v>
      </c>
      <c r="E2937" t="s">
        <v>15</v>
      </c>
      <c r="F2937" t="s">
        <v>9276</v>
      </c>
      <c r="G2937" t="s">
        <v>18117</v>
      </c>
      <c r="H2937" t="s">
        <v>1107</v>
      </c>
      <c r="I2937" t="s">
        <v>1108</v>
      </c>
      <c r="J2937" t="s">
        <v>9277</v>
      </c>
      <c r="K2937" t="s">
        <v>9278</v>
      </c>
      <c r="L2937" t="s">
        <v>21</v>
      </c>
      <c r="M2937" t="s">
        <v>19177</v>
      </c>
      <c r="N2937" t="s">
        <v>594</v>
      </c>
      <c r="O2937" t="s">
        <v>531</v>
      </c>
      <c r="P2937" t="s">
        <v>454</v>
      </c>
    </row>
    <row r="2938">
      <c r="A2938">
        <f>HYPERLINK("http://bombeiros.sp.gov.br/hidrantes/03individual/544.html","544")</f>
      </c>
      <c r="B2938" t="s">
        <v>454</v>
      </c>
      <c r="C2938" t="s">
        <v>594</v>
      </c>
      <c r="D2938" t="s">
        <v>600</v>
      </c>
      <c r="E2938" t="s">
        <v>15</v>
      </c>
      <c r="F2938" t="s">
        <v>9279</v>
      </c>
      <c r="G2938" t="s">
        <v>18055</v>
      </c>
      <c r="H2938" t="s">
        <v>1107</v>
      </c>
      <c r="I2938" t="s">
        <v>1108</v>
      </c>
      <c r="J2938" t="s">
        <v>9280</v>
      </c>
      <c r="K2938" t="s">
        <v>9281</v>
      </c>
      <c r="L2938" t="s">
        <v>21</v>
      </c>
      <c r="M2938" t="s">
        <v>19177</v>
      </c>
      <c r="N2938" t="s">
        <v>594</v>
      </c>
      <c r="O2938" t="s">
        <v>531</v>
      </c>
      <c r="P2938" t="s">
        <v>454</v>
      </c>
    </row>
    <row r="2939">
      <c r="A2939">
        <f>HYPERLINK("http://bombeiros.sp.gov.br/hidrantes/03individual/652.html","652")</f>
      </c>
      <c r="B2939" t="s">
        <v>454</v>
      </c>
      <c r="C2939" t="s">
        <v>594</v>
      </c>
      <c r="D2939" t="s">
        <v>600</v>
      </c>
      <c r="E2939" t="s">
        <v>15</v>
      </c>
      <c r="F2939" t="s">
        <v>9282</v>
      </c>
      <c r="G2939" t="s">
        <v>18076</v>
      </c>
      <c r="H2939" t="s">
        <v>1121</v>
      </c>
      <c r="I2939" t="s">
        <v>1117</v>
      </c>
      <c r="J2939" t="s">
        <v>9283</v>
      </c>
      <c r="K2939" t="s">
        <v>9284</v>
      </c>
      <c r="L2939" t="s">
        <v>21</v>
      </c>
      <c r="M2939" t="s">
        <v>19177</v>
      </c>
      <c r="N2939" t="s">
        <v>594</v>
      </c>
      <c r="O2939" t="s">
        <v>531</v>
      </c>
      <c r="P2939" t="s">
        <v>454</v>
      </c>
    </row>
    <row r="2940">
      <c r="A2940">
        <f>HYPERLINK("http://bombeiros.sp.gov.br/hidrantes/03individual/714.html","714")</f>
      </c>
      <c r="B2940" t="s">
        <v>454</v>
      </c>
      <c r="C2940" t="s">
        <v>594</v>
      </c>
      <c r="D2940" t="s">
        <v>600</v>
      </c>
      <c r="E2940" t="s">
        <v>15</v>
      </c>
      <c r="F2940" t="s">
        <v>9285</v>
      </c>
      <c r="G2940" t="s">
        <v>18066</v>
      </c>
      <c r="H2940" t="s">
        <v>1174</v>
      </c>
      <c r="I2940" t="s">
        <v>1108</v>
      </c>
      <c r="J2940" t="s">
        <v>9286</v>
      </c>
      <c r="K2940" t="s">
        <v>9287</v>
      </c>
      <c r="L2940" t="s">
        <v>21</v>
      </c>
      <c r="M2940" t="s">
        <v>19177</v>
      </c>
      <c r="N2940" t="s">
        <v>594</v>
      </c>
      <c r="O2940" t="s">
        <v>531</v>
      </c>
      <c r="P2940" t="s">
        <v>454</v>
      </c>
    </row>
    <row r="2941">
      <c r="A2941">
        <f>HYPERLINK("http://bombeiros.sp.gov.br/hidrantes/03individual/760.html","760")</f>
      </c>
      <c r="B2941" t="s">
        <v>454</v>
      </c>
      <c r="C2941" t="s">
        <v>594</v>
      </c>
      <c r="D2941" t="s">
        <v>600</v>
      </c>
      <c r="E2941" t="s">
        <v>15</v>
      </c>
      <c r="F2941" t="s">
        <v>9288</v>
      </c>
      <c r="G2941" t="s">
        <v>18048</v>
      </c>
      <c r="H2941" t="s">
        <v>1112</v>
      </c>
      <c r="I2941" t="s">
        <v>1108</v>
      </c>
      <c r="J2941" t="s">
        <v>9289</v>
      </c>
      <c r="K2941" t="s">
        <v>9290</v>
      </c>
      <c r="L2941" t="s">
        <v>21</v>
      </c>
      <c r="M2941" t="s">
        <v>19177</v>
      </c>
      <c r="N2941" t="s">
        <v>594</v>
      </c>
      <c r="O2941" t="s">
        <v>531</v>
      </c>
      <c r="P2941" t="s">
        <v>454</v>
      </c>
    </row>
    <row r="2942">
      <c r="A2942">
        <f>HYPERLINK("http://bombeiros.sp.gov.br/hidrantes/03individual/920.html","920")</f>
      </c>
      <c r="B2942" t="s">
        <v>454</v>
      </c>
      <c r="C2942" t="s">
        <v>594</v>
      </c>
      <c r="D2942" t="s">
        <v>600</v>
      </c>
      <c r="E2942" t="s">
        <v>15</v>
      </c>
      <c r="F2942" t="s">
        <v>9291</v>
      </c>
      <c r="G2942" t="s">
        <v>18066</v>
      </c>
      <c r="H2942" t="s">
        <v>1107</v>
      </c>
      <c r="I2942" t="s">
        <v>1108</v>
      </c>
      <c r="J2942" t="s">
        <v>9292</v>
      </c>
      <c r="K2942" t="s">
        <v>9293</v>
      </c>
      <c r="L2942" t="s">
        <v>21</v>
      </c>
      <c r="M2942" t="s">
        <v>19177</v>
      </c>
      <c r="N2942" t="s">
        <v>594</v>
      </c>
      <c r="O2942" t="s">
        <v>531</v>
      </c>
      <c r="P2942" t="s">
        <v>454</v>
      </c>
    </row>
    <row r="2943">
      <c r="A2943">
        <f>HYPERLINK("http://bombeiros.sp.gov.br/hidrantes/03individual/922.html","922")</f>
      </c>
      <c r="B2943" t="s">
        <v>454</v>
      </c>
      <c r="C2943" t="s">
        <v>594</v>
      </c>
      <c r="D2943" t="s">
        <v>600</v>
      </c>
      <c r="E2943" t="s">
        <v>15</v>
      </c>
      <c r="F2943" t="s">
        <v>9294</v>
      </c>
      <c r="G2943" t="s">
        <v>18066</v>
      </c>
      <c r="H2943" t="s">
        <v>1121</v>
      </c>
      <c r="I2943" t="s">
        <v>1117</v>
      </c>
      <c r="J2943" t="s">
        <v>9295</v>
      </c>
      <c r="K2943" t="s">
        <v>9296</v>
      </c>
      <c r="L2943" t="s">
        <v>21</v>
      </c>
      <c r="M2943" t="s">
        <v>19177</v>
      </c>
      <c r="N2943" t="s">
        <v>594</v>
      </c>
      <c r="O2943" t="s">
        <v>531</v>
      </c>
      <c r="P2943" t="s">
        <v>454</v>
      </c>
    </row>
    <row r="2944">
      <c r="A2944">
        <f>HYPERLINK("http://bombeiros.sp.gov.br/hidrantes/03individual/3177.html","3177")</f>
      </c>
      <c r="B2944" t="s">
        <v>454</v>
      </c>
      <c r="C2944" t="s">
        <v>594</v>
      </c>
      <c r="D2944" t="s">
        <v>600</v>
      </c>
      <c r="E2944" t="s">
        <v>15</v>
      </c>
      <c r="F2944" t="s">
        <v>9297</v>
      </c>
      <c r="G2944" t="s">
        <v>18051</v>
      </c>
      <c r="H2944" t="s">
        <v>1107</v>
      </c>
      <c r="I2944" t="s">
        <v>1108</v>
      </c>
      <c r="J2944" t="s">
        <v>9298</v>
      </c>
      <c r="K2944" t="s">
        <v>9299</v>
      </c>
      <c r="L2944" t="s">
        <v>21</v>
      </c>
      <c r="M2944" t="s">
        <v>19177</v>
      </c>
      <c r="N2944" t="s">
        <v>594</v>
      </c>
      <c r="O2944" t="s">
        <v>531</v>
      </c>
      <c r="P2944" t="s">
        <v>454</v>
      </c>
    </row>
    <row r="2945">
      <c r="A2945">
        <f>HYPERLINK("http://bombeiros.sp.gov.br/hidrantes/03individual/3224.html","3224")</f>
      </c>
      <c r="B2945" t="s">
        <v>454</v>
      </c>
      <c r="C2945" t="s">
        <v>594</v>
      </c>
      <c r="D2945" t="s">
        <v>600</v>
      </c>
      <c r="E2945" t="s">
        <v>15</v>
      </c>
      <c r="F2945" t="s">
        <v>9300</v>
      </c>
      <c r="G2945" t="s">
        <v>18074</v>
      </c>
      <c r="H2945" t="s">
        <v>1112</v>
      </c>
      <c r="I2945" t="s">
        <v>1108</v>
      </c>
      <c r="J2945" t="s">
        <v>9301</v>
      </c>
      <c r="K2945" t="s">
        <v>9302</v>
      </c>
      <c r="L2945" t="s">
        <v>21</v>
      </c>
      <c r="M2945" t="s">
        <v>19177</v>
      </c>
      <c r="N2945" t="s">
        <v>594</v>
      </c>
      <c r="O2945" t="s">
        <v>531</v>
      </c>
      <c r="P2945" t="s">
        <v>454</v>
      </c>
    </row>
    <row r="2946">
      <c r="A2946">
        <f>HYPERLINK("http://bombeiros.sp.gov.br/hidrantes/03individual/3226.html","3226")</f>
      </c>
      <c r="B2946" t="s">
        <v>454</v>
      </c>
      <c r="C2946" t="s">
        <v>594</v>
      </c>
      <c r="D2946" t="s">
        <v>600</v>
      </c>
      <c r="E2946" t="s">
        <v>15</v>
      </c>
      <c r="F2946" t="s">
        <v>9303</v>
      </c>
      <c r="G2946" t="s">
        <v>18089</v>
      </c>
      <c r="H2946" t="s">
        <v>1107</v>
      </c>
      <c r="I2946" t="s">
        <v>1108</v>
      </c>
      <c r="J2946" t="s">
        <v>9304</v>
      </c>
      <c r="K2946" t="s">
        <v>9305</v>
      </c>
      <c r="L2946" t="s">
        <v>21</v>
      </c>
      <c r="M2946" t="s">
        <v>19177</v>
      </c>
      <c r="N2946" t="s">
        <v>594</v>
      </c>
      <c r="O2946" t="s">
        <v>531</v>
      </c>
      <c r="P2946" t="s">
        <v>454</v>
      </c>
    </row>
    <row r="2947">
      <c r="A2947">
        <f>HYPERLINK("http://bombeiros.sp.gov.br/hidrantes/03individual/3243.html","3243")</f>
      </c>
      <c r="B2947" t="s">
        <v>454</v>
      </c>
      <c r="C2947" t="s">
        <v>594</v>
      </c>
      <c r="D2947" t="s">
        <v>600</v>
      </c>
      <c r="E2947" t="s">
        <v>15</v>
      </c>
      <c r="F2947" t="s">
        <v>9306</v>
      </c>
      <c r="G2947" t="s">
        <v>18074</v>
      </c>
      <c r="H2947" t="s">
        <v>1107</v>
      </c>
      <c r="I2947" t="s">
        <v>1108</v>
      </c>
      <c r="J2947" t="s">
        <v>16082</v>
      </c>
      <c r="K2947" t="s">
        <v>16083</v>
      </c>
      <c r="L2947" t="s">
        <v>21</v>
      </c>
      <c r="M2947" t="s">
        <v>19177</v>
      </c>
      <c r="N2947" t="s">
        <v>594</v>
      </c>
      <c r="O2947" t="s">
        <v>531</v>
      </c>
      <c r="P2947" t="s">
        <v>454</v>
      </c>
    </row>
    <row r="2948">
      <c r="A2948">
        <f>HYPERLINK("http://bombeiros.sp.gov.br/hidrantes/03individual/3245.html","3245")</f>
      </c>
      <c r="B2948" t="s">
        <v>454</v>
      </c>
      <c r="C2948" t="s">
        <v>594</v>
      </c>
      <c r="D2948" t="s">
        <v>600</v>
      </c>
      <c r="E2948" t="s">
        <v>15</v>
      </c>
      <c r="F2948" t="s">
        <v>9309</v>
      </c>
      <c r="G2948" t="s">
        <v>18074</v>
      </c>
      <c r="H2948" t="s">
        <v>1107</v>
      </c>
      <c r="I2948" t="s">
        <v>1108</v>
      </c>
      <c r="J2948" t="s">
        <v>9310</v>
      </c>
      <c r="K2948" t="s">
        <v>9311</v>
      </c>
      <c r="L2948" t="s">
        <v>21</v>
      </c>
      <c r="M2948" t="s">
        <v>19177</v>
      </c>
      <c r="N2948" t="s">
        <v>594</v>
      </c>
      <c r="O2948" t="s">
        <v>531</v>
      </c>
      <c r="P2948" t="s">
        <v>454</v>
      </c>
    </row>
    <row r="2949">
      <c r="A2949">
        <f>HYPERLINK("http://bombeiros.sp.gov.br/hidrantes/03individual/3253.html","3253")</f>
      </c>
      <c r="B2949" t="s">
        <v>454</v>
      </c>
      <c r="C2949" t="s">
        <v>594</v>
      </c>
      <c r="D2949" t="s">
        <v>600</v>
      </c>
      <c r="E2949" t="s">
        <v>15</v>
      </c>
      <c r="F2949" t="s">
        <v>9312</v>
      </c>
      <c r="G2949" t="s">
        <v>18117</v>
      </c>
      <c r="H2949" t="s">
        <v>1112</v>
      </c>
      <c r="I2949" t="s">
        <v>1108</v>
      </c>
      <c r="J2949" t="s">
        <v>9313</v>
      </c>
      <c r="K2949" t="s">
        <v>9314</v>
      </c>
      <c r="L2949" t="s">
        <v>21</v>
      </c>
      <c r="M2949" t="s">
        <v>19177</v>
      </c>
      <c r="N2949" t="s">
        <v>594</v>
      </c>
      <c r="O2949" t="s">
        <v>531</v>
      </c>
      <c r="P2949" t="s">
        <v>454</v>
      </c>
    </row>
    <row r="2950">
      <c r="A2950">
        <f>HYPERLINK("http://bombeiros.sp.gov.br/hidrantes/03individual/3254.html","3254")</f>
      </c>
      <c r="B2950" t="s">
        <v>454</v>
      </c>
      <c r="C2950" t="s">
        <v>594</v>
      </c>
      <c r="D2950" t="s">
        <v>600</v>
      </c>
      <c r="E2950" t="s">
        <v>15</v>
      </c>
      <c r="F2950" t="s">
        <v>9315</v>
      </c>
      <c r="G2950" t="s">
        <v>18074</v>
      </c>
      <c r="H2950" t="s">
        <v>1107</v>
      </c>
      <c r="I2950" t="s">
        <v>1108</v>
      </c>
      <c r="J2950" t="s">
        <v>9316</v>
      </c>
      <c r="K2950" t="s">
        <v>9317</v>
      </c>
      <c r="L2950" t="s">
        <v>21</v>
      </c>
      <c r="M2950" t="s">
        <v>19177</v>
      </c>
      <c r="N2950" t="s">
        <v>594</v>
      </c>
      <c r="O2950" t="s">
        <v>531</v>
      </c>
      <c r="P2950" t="s">
        <v>454</v>
      </c>
    </row>
    <row r="2951">
      <c r="A2951">
        <f>HYPERLINK("http://bombeiros.sp.gov.br/hidrantes/03individual/3256.html","3256")</f>
      </c>
      <c r="B2951" t="s">
        <v>454</v>
      </c>
      <c r="C2951" t="s">
        <v>594</v>
      </c>
      <c r="D2951" t="s">
        <v>600</v>
      </c>
      <c r="E2951" t="s">
        <v>15</v>
      </c>
      <c r="F2951" t="s">
        <v>9318</v>
      </c>
      <c r="G2951" t="s">
        <v>18074</v>
      </c>
      <c r="H2951" t="s">
        <v>1107</v>
      </c>
      <c r="I2951" t="s">
        <v>1108</v>
      </c>
      <c r="J2951" t="s">
        <v>9319</v>
      </c>
      <c r="K2951" t="s">
        <v>9320</v>
      </c>
      <c r="L2951" t="s">
        <v>21</v>
      </c>
      <c r="M2951" t="s">
        <v>19177</v>
      </c>
      <c r="N2951" t="s">
        <v>594</v>
      </c>
      <c r="O2951" t="s">
        <v>531</v>
      </c>
      <c r="P2951" t="s">
        <v>454</v>
      </c>
    </row>
    <row r="2952">
      <c r="A2952">
        <f>HYPERLINK("http://bombeiros.sp.gov.br/hidrantes/03individual/3259.html","3259")</f>
      </c>
      <c r="B2952" t="s">
        <v>454</v>
      </c>
      <c r="C2952" t="s">
        <v>594</v>
      </c>
      <c r="D2952" t="s">
        <v>600</v>
      </c>
      <c r="E2952" t="s">
        <v>15</v>
      </c>
      <c r="F2952" t="s">
        <v>9321</v>
      </c>
      <c r="G2952" t="s">
        <v>18089</v>
      </c>
      <c r="H2952" t="s">
        <v>1107</v>
      </c>
      <c r="I2952" t="s">
        <v>1108</v>
      </c>
      <c r="J2952" t="s">
        <v>9322</v>
      </c>
      <c r="K2952" t="s">
        <v>9323</v>
      </c>
      <c r="L2952" t="s">
        <v>21</v>
      </c>
      <c r="M2952" t="s">
        <v>19177</v>
      </c>
      <c r="N2952" t="s">
        <v>594</v>
      </c>
      <c r="O2952" t="s">
        <v>531</v>
      </c>
      <c r="P2952" t="s">
        <v>454</v>
      </c>
    </row>
    <row r="2953">
      <c r="A2953">
        <f>HYPERLINK("http://bombeiros.sp.gov.br/hidrantes/03individual/3261.html","3261")</f>
      </c>
      <c r="B2953" t="s">
        <v>454</v>
      </c>
      <c r="C2953" t="s">
        <v>594</v>
      </c>
      <c r="D2953" t="s">
        <v>600</v>
      </c>
      <c r="E2953" t="s">
        <v>15</v>
      </c>
      <c r="F2953" t="s">
        <v>9324</v>
      </c>
      <c r="G2953" t="s">
        <v>18117</v>
      </c>
      <c r="H2953" t="s">
        <v>1107</v>
      </c>
      <c r="I2953" t="s">
        <v>1108</v>
      </c>
      <c r="J2953" t="s">
        <v>9325</v>
      </c>
      <c r="K2953" t="s">
        <v>9326</v>
      </c>
      <c r="L2953" t="s">
        <v>21</v>
      </c>
      <c r="M2953" t="s">
        <v>19177</v>
      </c>
      <c r="N2953" t="s">
        <v>594</v>
      </c>
      <c r="O2953" t="s">
        <v>531</v>
      </c>
      <c r="P2953" t="s">
        <v>454</v>
      </c>
    </row>
    <row r="2954">
      <c r="A2954">
        <f>HYPERLINK("http://bombeiros.sp.gov.br/hidrantes/03individual/3262.html","3262")</f>
      </c>
      <c r="B2954" t="s">
        <v>454</v>
      </c>
      <c r="C2954" t="s">
        <v>594</v>
      </c>
      <c r="D2954" t="s">
        <v>600</v>
      </c>
      <c r="E2954" t="s">
        <v>15</v>
      </c>
      <c r="F2954" t="s">
        <v>9327</v>
      </c>
      <c r="G2954" t="s">
        <v>18117</v>
      </c>
      <c r="H2954" t="s">
        <v>1107</v>
      </c>
      <c r="I2954" t="s">
        <v>1108</v>
      </c>
      <c r="J2954" t="s">
        <v>9328</v>
      </c>
      <c r="K2954" t="s">
        <v>9329</v>
      </c>
      <c r="L2954" t="s">
        <v>21</v>
      </c>
      <c r="M2954" t="s">
        <v>19177</v>
      </c>
      <c r="N2954" t="s">
        <v>594</v>
      </c>
      <c r="O2954" t="s">
        <v>531</v>
      </c>
      <c r="P2954" t="s">
        <v>454</v>
      </c>
    </row>
    <row r="2955">
      <c r="A2955">
        <f>HYPERLINK("http://bombeiros.sp.gov.br/hidrantes/03individual/3263.html","3263")</f>
      </c>
      <c r="B2955" t="s">
        <v>454</v>
      </c>
      <c r="C2955" t="s">
        <v>594</v>
      </c>
      <c r="D2955" t="s">
        <v>600</v>
      </c>
      <c r="E2955" t="s">
        <v>15</v>
      </c>
      <c r="F2955" t="s">
        <v>9330</v>
      </c>
      <c r="G2955" t="s">
        <v>18117</v>
      </c>
      <c r="H2955" t="s">
        <v>1107</v>
      </c>
      <c r="I2955" t="s">
        <v>1108</v>
      </c>
      <c r="J2955" t="s">
        <v>9331</v>
      </c>
      <c r="K2955" t="s">
        <v>9332</v>
      </c>
      <c r="L2955" t="s">
        <v>21</v>
      </c>
      <c r="M2955" t="s">
        <v>19177</v>
      </c>
      <c r="N2955" t="s">
        <v>594</v>
      </c>
      <c r="O2955" t="s">
        <v>531</v>
      </c>
      <c r="P2955" t="s">
        <v>454</v>
      </c>
    </row>
    <row r="2956">
      <c r="A2956">
        <f>HYPERLINK("http://bombeiros.sp.gov.br/hidrantes/03individual/3276.html","3276")</f>
      </c>
      <c r="B2956" t="s">
        <v>454</v>
      </c>
      <c r="C2956" t="s">
        <v>594</v>
      </c>
      <c r="D2956" t="s">
        <v>600</v>
      </c>
      <c r="E2956" t="s">
        <v>15</v>
      </c>
      <c r="F2956" t="s">
        <v>9333</v>
      </c>
      <c r="G2956" t="s">
        <v>18076</v>
      </c>
      <c r="H2956"/>
      <c r="I2956" t="s">
        <v>18</v>
      </c>
      <c r="J2956" t="s">
        <v>9334</v>
      </c>
      <c r="K2956" t="s">
        <v>9335</v>
      </c>
      <c r="L2956" t="s">
        <v>21</v>
      </c>
      <c r="M2956" t="s">
        <v>19177</v>
      </c>
      <c r="N2956" t="s">
        <v>594</v>
      </c>
      <c r="O2956" t="s">
        <v>531</v>
      </c>
      <c r="P2956" t="s">
        <v>454</v>
      </c>
    </row>
    <row r="2957">
      <c r="A2957">
        <f>HYPERLINK("http://bombeiros.sp.gov.br/hidrantes/03individual/17737.html","17737")</f>
      </c>
      <c r="B2957" t="s">
        <v>454</v>
      </c>
      <c r="C2957" t="s">
        <v>594</v>
      </c>
      <c r="D2957" t="s">
        <v>600</v>
      </c>
      <c r="E2957" t="s">
        <v>15</v>
      </c>
      <c r="F2957" t="s">
        <v>9336</v>
      </c>
      <c r="G2957" t="s">
        <v>18066</v>
      </c>
      <c r="H2957" t="s">
        <v>1107</v>
      </c>
      <c r="I2957" t="s">
        <v>1108</v>
      </c>
      <c r="J2957" t="s">
        <v>9337</v>
      </c>
      <c r="K2957" t="s">
        <v>9338</v>
      </c>
      <c r="L2957" t="s">
        <v>21</v>
      </c>
      <c r="M2957" t="s">
        <v>19177</v>
      </c>
      <c r="N2957" t="s">
        <v>594</v>
      </c>
      <c r="O2957" t="s">
        <v>531</v>
      </c>
      <c r="P2957" t="s">
        <v>454</v>
      </c>
    </row>
    <row r="2958">
      <c r="A2958">
        <f>HYPERLINK("http://bombeiros.sp.gov.br/hidrantes/03individual/28095.html","28095")</f>
      </c>
      <c r="B2958" t="s">
        <v>454</v>
      </c>
      <c r="C2958" t="s">
        <v>594</v>
      </c>
      <c r="D2958" t="s">
        <v>600</v>
      </c>
      <c r="E2958" t="s">
        <v>15</v>
      </c>
      <c r="F2958" t="s">
        <v>18136</v>
      </c>
      <c r="G2958" t="s">
        <v>18061</v>
      </c>
      <c r="H2958" t="s">
        <v>1107</v>
      </c>
      <c r="I2958" t="s">
        <v>1108</v>
      </c>
      <c r="J2958" t="s">
        <v>18137</v>
      </c>
      <c r="K2958" t="s">
        <v>18138</v>
      </c>
      <c r="L2958" t="s">
        <v>21</v>
      </c>
      <c r="M2958" t="s">
        <v>19177</v>
      </c>
      <c r="N2958" t="s">
        <v>594</v>
      </c>
      <c r="O2958" t="s">
        <v>531</v>
      </c>
      <c r="P2958" t="s">
        <v>454</v>
      </c>
    </row>
    <row r="2959">
      <c r="A2959">
        <f>HYPERLINK("http://bombeiros.sp.gov.br/hidrantes/03individual/724.html","724")</f>
      </c>
      <c r="B2959" t="s">
        <v>454</v>
      </c>
      <c r="C2959" t="s">
        <v>594</v>
      </c>
      <c r="D2959" t="s">
        <v>594</v>
      </c>
      <c r="E2959" t="s">
        <v>64</v>
      </c>
      <c r="F2959" t="s">
        <v>9339</v>
      </c>
      <c r="G2959" t="s">
        <v>18103</v>
      </c>
      <c r="H2959" t="s">
        <v>1107</v>
      </c>
      <c r="I2959" t="s">
        <v>1108</v>
      </c>
      <c r="J2959" t="s">
        <v>9341</v>
      </c>
      <c r="K2959" t="s">
        <v>9342</v>
      </c>
      <c r="L2959" t="s">
        <v>21</v>
      </c>
      <c r="M2959" t="s">
        <v>19177</v>
      </c>
      <c r="N2959" t="s">
        <v>594</v>
      </c>
      <c r="O2959" t="s">
        <v>531</v>
      </c>
      <c r="P2959" t="s">
        <v>454</v>
      </c>
    </row>
    <row r="2960">
      <c r="A2960">
        <f>HYPERLINK("http://bombeiros.sp.gov.br/hidrantes/03individual/1037.html","1037")</f>
      </c>
      <c r="B2960" t="s">
        <v>454</v>
      </c>
      <c r="C2960" t="s">
        <v>594</v>
      </c>
      <c r="D2960" t="s">
        <v>594</v>
      </c>
      <c r="E2960" t="s">
        <v>64</v>
      </c>
      <c r="F2960" t="s">
        <v>9343</v>
      </c>
      <c r="G2960" t="s">
        <v>18483</v>
      </c>
      <c r="H2960" t="s">
        <v>1112</v>
      </c>
      <c r="I2960" t="s">
        <v>1108</v>
      </c>
      <c r="J2960" t="s">
        <v>9344</v>
      </c>
      <c r="K2960" t="s">
        <v>9345</v>
      </c>
      <c r="L2960" t="s">
        <v>36</v>
      </c>
      <c r="M2960" t="s">
        <v>19177</v>
      </c>
      <c r="N2960" t="s">
        <v>594</v>
      </c>
      <c r="O2960" t="s">
        <v>531</v>
      </c>
      <c r="P2960" t="s">
        <v>454</v>
      </c>
    </row>
    <row r="2961">
      <c r="A2961">
        <f>HYPERLINK("http://bombeiros.sp.gov.br/hidrantes/03individual/1039.html","1039")</f>
      </c>
      <c r="B2961" t="s">
        <v>454</v>
      </c>
      <c r="C2961" t="s">
        <v>594</v>
      </c>
      <c r="D2961" t="s">
        <v>594</v>
      </c>
      <c r="E2961" t="s">
        <v>64</v>
      </c>
      <c r="F2961" t="s">
        <v>9346</v>
      </c>
      <c r="G2961" t="s">
        <v>18483</v>
      </c>
      <c r="H2961" t="s">
        <v>1121</v>
      </c>
      <c r="I2961" t="s">
        <v>1117</v>
      </c>
      <c r="J2961" t="s">
        <v>9347</v>
      </c>
      <c r="K2961" t="s">
        <v>9348</v>
      </c>
      <c r="L2961" t="s">
        <v>36</v>
      </c>
      <c r="M2961" t="s">
        <v>19177</v>
      </c>
      <c r="N2961" t="s">
        <v>594</v>
      </c>
      <c r="O2961" t="s">
        <v>531</v>
      </c>
      <c r="P2961" t="s">
        <v>454</v>
      </c>
    </row>
    <row r="2962">
      <c r="A2962">
        <f>HYPERLINK("http://bombeiros.sp.gov.br/hidrantes/03individual/1040.html","1040")</f>
      </c>
      <c r="B2962" t="s">
        <v>454</v>
      </c>
      <c r="C2962" t="s">
        <v>594</v>
      </c>
      <c r="D2962" t="s">
        <v>594</v>
      </c>
      <c r="E2962" t="s">
        <v>64</v>
      </c>
      <c r="F2962" t="s">
        <v>9349</v>
      </c>
      <c r="G2962" t="s">
        <v>18496</v>
      </c>
      <c r="H2962" t="s">
        <v>1121</v>
      </c>
      <c r="I2962" t="s">
        <v>1117</v>
      </c>
      <c r="J2962" t="s">
        <v>9350</v>
      </c>
      <c r="K2962" t="s">
        <v>16925</v>
      </c>
      <c r="L2962" t="s">
        <v>36</v>
      </c>
      <c r="M2962" t="s">
        <v>19177</v>
      </c>
      <c r="N2962" t="s">
        <v>594</v>
      </c>
      <c r="O2962" t="s">
        <v>531</v>
      </c>
      <c r="P2962" t="s">
        <v>454</v>
      </c>
    </row>
    <row r="2963">
      <c r="A2963">
        <f>HYPERLINK("http://bombeiros.sp.gov.br/hidrantes/03individual/1042.html","1042")</f>
      </c>
      <c r="B2963" t="s">
        <v>454</v>
      </c>
      <c r="C2963" t="s">
        <v>594</v>
      </c>
      <c r="D2963" t="s">
        <v>594</v>
      </c>
      <c r="E2963" t="s">
        <v>64</v>
      </c>
      <c r="F2963" t="s">
        <v>9352</v>
      </c>
      <c r="G2963" t="s">
        <v>18483</v>
      </c>
      <c r="H2963" t="s">
        <v>1121</v>
      </c>
      <c r="I2963" t="s">
        <v>1117</v>
      </c>
      <c r="J2963" t="s">
        <v>9353</v>
      </c>
      <c r="K2963" t="s">
        <v>9354</v>
      </c>
      <c r="L2963" t="s">
        <v>21</v>
      </c>
      <c r="M2963" t="s">
        <v>19177</v>
      </c>
      <c r="N2963" t="s">
        <v>594</v>
      </c>
      <c r="O2963" t="s">
        <v>531</v>
      </c>
      <c r="P2963" t="s">
        <v>454</v>
      </c>
    </row>
    <row r="2964">
      <c r="A2964">
        <f>HYPERLINK("http://bombeiros.sp.gov.br/hidrantes/03individual/1043.html","1043")</f>
      </c>
      <c r="B2964" t="s">
        <v>454</v>
      </c>
      <c r="C2964" t="s">
        <v>594</v>
      </c>
      <c r="D2964" t="s">
        <v>594</v>
      </c>
      <c r="E2964" t="s">
        <v>64</v>
      </c>
      <c r="F2964" t="s">
        <v>9355</v>
      </c>
      <c r="G2964" t="s">
        <v>18126</v>
      </c>
      <c r="H2964" t="s">
        <v>1112</v>
      </c>
      <c r="I2964" t="s">
        <v>1108</v>
      </c>
      <c r="J2964" t="s">
        <v>9356</v>
      </c>
      <c r="K2964" t="s">
        <v>9357</v>
      </c>
      <c r="L2964" t="s">
        <v>36</v>
      </c>
      <c r="M2964" t="s">
        <v>19177</v>
      </c>
      <c r="N2964" t="s">
        <v>594</v>
      </c>
      <c r="O2964" t="s">
        <v>531</v>
      </c>
      <c r="P2964" t="s">
        <v>454</v>
      </c>
    </row>
    <row r="2965">
      <c r="A2965">
        <f>HYPERLINK("http://bombeiros.sp.gov.br/hidrantes/03individual/3091.html","3091")</f>
      </c>
      <c r="B2965" t="s">
        <v>454</v>
      </c>
      <c r="C2965" t="s">
        <v>594</v>
      </c>
      <c r="D2965" t="s">
        <v>594</v>
      </c>
      <c r="E2965" t="s">
        <v>64</v>
      </c>
      <c r="F2965" t="s">
        <v>9358</v>
      </c>
      <c r="G2965" t="s">
        <v>18103</v>
      </c>
      <c r="H2965" t="s">
        <v>1121</v>
      </c>
      <c r="I2965" t="s">
        <v>1117</v>
      </c>
      <c r="J2965" t="s">
        <v>9359</v>
      </c>
      <c r="K2965" t="s">
        <v>9360</v>
      </c>
      <c r="L2965" t="s">
        <v>21</v>
      </c>
      <c r="M2965" t="s">
        <v>19177</v>
      </c>
      <c r="N2965" t="s">
        <v>594</v>
      </c>
      <c r="O2965" t="s">
        <v>531</v>
      </c>
      <c r="P2965" t="s">
        <v>454</v>
      </c>
    </row>
    <row r="2966">
      <c r="A2966">
        <f>HYPERLINK("http://bombeiros.sp.gov.br/hidrantes/03individual/3165.html","3165")</f>
      </c>
      <c r="B2966" t="s">
        <v>454</v>
      </c>
      <c r="C2966" t="s">
        <v>594</v>
      </c>
      <c r="D2966" t="s">
        <v>594</v>
      </c>
      <c r="E2966" t="s">
        <v>64</v>
      </c>
      <c r="F2966" t="s">
        <v>9361</v>
      </c>
      <c r="G2966" t="s">
        <v>18103</v>
      </c>
      <c r="H2966" t="s">
        <v>1107</v>
      </c>
      <c r="I2966" t="s">
        <v>1108</v>
      </c>
      <c r="J2966" t="s">
        <v>9362</v>
      </c>
      <c r="K2966" t="s">
        <v>9363</v>
      </c>
      <c r="L2966" t="s">
        <v>36</v>
      </c>
      <c r="M2966" t="s">
        <v>19177</v>
      </c>
      <c r="N2966" t="s">
        <v>594</v>
      </c>
      <c r="O2966" t="s">
        <v>531</v>
      </c>
      <c r="P2966" t="s">
        <v>454</v>
      </c>
    </row>
    <row r="2967">
      <c r="A2967">
        <f>HYPERLINK("http://bombeiros.sp.gov.br/hidrantes/03individual/26298.html","26298")</f>
      </c>
      <c r="B2967" t="s">
        <v>454</v>
      </c>
      <c r="C2967" t="s">
        <v>594</v>
      </c>
      <c r="D2967" t="s">
        <v>594</v>
      </c>
      <c r="E2967" t="s">
        <v>64</v>
      </c>
      <c r="F2967" t="s">
        <v>9364</v>
      </c>
      <c r="G2967" t="s">
        <v>18484</v>
      </c>
      <c r="H2967"/>
      <c r="I2967" t="s">
        <v>18</v>
      </c>
      <c r="J2967" t="s">
        <v>9365</v>
      </c>
      <c r="K2967" t="s">
        <v>9366</v>
      </c>
      <c r="L2967" t="s">
        <v>21</v>
      </c>
      <c r="M2967" t="s">
        <v>19177</v>
      </c>
      <c r="N2967" t="s">
        <v>594</v>
      </c>
      <c r="O2967" t="s">
        <v>531</v>
      </c>
      <c r="P2967" t="s">
        <v>454</v>
      </c>
    </row>
    <row r="2968">
      <c r="A2968">
        <f>HYPERLINK("http://bombeiros.sp.gov.br/hidrantes/03individual/26439.html","26439")</f>
      </c>
      <c r="B2968" t="s">
        <v>454</v>
      </c>
      <c r="C2968" t="s">
        <v>594</v>
      </c>
      <c r="D2968" t="s">
        <v>594</v>
      </c>
      <c r="E2968" t="s">
        <v>64</v>
      </c>
      <c r="F2968" t="s">
        <v>9367</v>
      </c>
      <c r="G2968" t="s">
        <v>18484</v>
      </c>
      <c r="H2968" t="s">
        <v>1107</v>
      </c>
      <c r="I2968" t="s">
        <v>1108</v>
      </c>
      <c r="J2968" t="s">
        <v>9368</v>
      </c>
      <c r="K2968" t="s">
        <v>9369</v>
      </c>
      <c r="L2968" t="s">
        <v>21</v>
      </c>
      <c r="M2968" t="s">
        <v>19177</v>
      </c>
      <c r="N2968" t="s">
        <v>594</v>
      </c>
      <c r="O2968" t="s">
        <v>531</v>
      </c>
      <c r="P2968" t="s">
        <v>454</v>
      </c>
    </row>
    <row r="2969">
      <c r="A2969">
        <f>HYPERLINK("http://bombeiros.sp.gov.br/hidrantes/03individual/27315.html","27315")</f>
      </c>
      <c r="B2969" t="s">
        <v>454</v>
      </c>
      <c r="C2969" t="s">
        <v>594</v>
      </c>
      <c r="D2969" t="s">
        <v>594</v>
      </c>
      <c r="E2969" t="s">
        <v>64</v>
      </c>
      <c r="F2969" t="s">
        <v>17112</v>
      </c>
      <c r="G2969" t="s">
        <v>18042</v>
      </c>
      <c r="H2969" t="s">
        <v>1174</v>
      </c>
      <c r="I2969" t="s">
        <v>1108</v>
      </c>
      <c r="J2969" t="s">
        <v>17113</v>
      </c>
      <c r="K2969" t="s">
        <v>17114</v>
      </c>
      <c r="L2969" t="s">
        <v>21</v>
      </c>
      <c r="M2969" t="s">
        <v>19177</v>
      </c>
      <c r="N2969" t="s">
        <v>594</v>
      </c>
      <c r="O2969" t="s">
        <v>531</v>
      </c>
      <c r="P2969" t="s">
        <v>454</v>
      </c>
    </row>
    <row r="2970">
      <c r="A2970">
        <f>HYPERLINK("http://bombeiros.sp.gov.br/hidrantes/03individual/569.html","569")</f>
      </c>
      <c r="B2970" t="s">
        <v>454</v>
      </c>
      <c r="C2970" t="s">
        <v>594</v>
      </c>
      <c r="D2970" t="s">
        <v>594</v>
      </c>
      <c r="E2970" t="s">
        <v>15</v>
      </c>
      <c r="F2970" t="s">
        <v>9370</v>
      </c>
      <c r="G2970" t="s">
        <v>18484</v>
      </c>
      <c r="H2970" t="s">
        <v>1107</v>
      </c>
      <c r="I2970" t="s">
        <v>1108</v>
      </c>
      <c r="J2970" t="s">
        <v>9371</v>
      </c>
      <c r="K2970" t="s">
        <v>9372</v>
      </c>
      <c r="L2970" t="s">
        <v>21</v>
      </c>
      <c r="M2970" t="s">
        <v>19177</v>
      </c>
      <c r="N2970" t="s">
        <v>594</v>
      </c>
      <c r="O2970" t="s">
        <v>531</v>
      </c>
      <c r="P2970" t="s">
        <v>454</v>
      </c>
    </row>
    <row r="2971">
      <c r="A2971">
        <f>HYPERLINK("http://bombeiros.sp.gov.br/hidrantes/03individual/616.html","616")</f>
      </c>
      <c r="B2971" t="s">
        <v>454</v>
      </c>
      <c r="C2971" t="s">
        <v>594</v>
      </c>
      <c r="D2971" t="s">
        <v>594</v>
      </c>
      <c r="E2971" t="s">
        <v>15</v>
      </c>
      <c r="F2971" t="s">
        <v>9373</v>
      </c>
      <c r="G2971" t="s">
        <v>18072</v>
      </c>
      <c r="H2971" t="s">
        <v>1107</v>
      </c>
      <c r="I2971" t="s">
        <v>1108</v>
      </c>
      <c r="J2971" t="s">
        <v>9374</v>
      </c>
      <c r="K2971" t="s">
        <v>9375</v>
      </c>
      <c r="L2971" t="s">
        <v>21</v>
      </c>
      <c r="M2971" t="s">
        <v>19177</v>
      </c>
      <c r="N2971" t="s">
        <v>594</v>
      </c>
      <c r="O2971" t="s">
        <v>531</v>
      </c>
      <c r="P2971" t="s">
        <v>454</v>
      </c>
    </row>
    <row r="2972">
      <c r="A2972">
        <f>HYPERLINK("http://bombeiros.sp.gov.br/hidrantes/03individual/617.html","617")</f>
      </c>
      <c r="B2972" t="s">
        <v>454</v>
      </c>
      <c r="C2972" t="s">
        <v>594</v>
      </c>
      <c r="D2972" t="s">
        <v>594</v>
      </c>
      <c r="E2972" t="s">
        <v>15</v>
      </c>
      <c r="F2972" t="s">
        <v>9376</v>
      </c>
      <c r="G2972" t="s">
        <v>18194</v>
      </c>
      <c r="H2972" t="s">
        <v>1174</v>
      </c>
      <c r="I2972" t="s">
        <v>1108</v>
      </c>
      <c r="J2972" t="s">
        <v>9377</v>
      </c>
      <c r="K2972" t="s">
        <v>9378</v>
      </c>
      <c r="L2972" t="s">
        <v>21</v>
      </c>
      <c r="M2972" t="s">
        <v>19177</v>
      </c>
      <c r="N2972" t="s">
        <v>594</v>
      </c>
      <c r="O2972" t="s">
        <v>531</v>
      </c>
      <c r="P2972" t="s">
        <v>454</v>
      </c>
    </row>
    <row r="2973">
      <c r="A2973">
        <f>HYPERLINK("http://bombeiros.sp.gov.br/hidrantes/03individual/618.html","618")</f>
      </c>
      <c r="B2973" t="s">
        <v>454</v>
      </c>
      <c r="C2973" t="s">
        <v>594</v>
      </c>
      <c r="D2973" t="s">
        <v>594</v>
      </c>
      <c r="E2973" t="s">
        <v>15</v>
      </c>
      <c r="F2973" t="s">
        <v>9379</v>
      </c>
      <c r="G2973" t="s">
        <v>18126</v>
      </c>
      <c r="H2973" t="s">
        <v>1112</v>
      </c>
      <c r="I2973" t="s">
        <v>1108</v>
      </c>
      <c r="J2973" t="s">
        <v>9380</v>
      </c>
      <c r="K2973" t="s">
        <v>9381</v>
      </c>
      <c r="L2973" t="s">
        <v>21</v>
      </c>
      <c r="M2973" t="s">
        <v>19177</v>
      </c>
      <c r="N2973" t="s">
        <v>594</v>
      </c>
      <c r="O2973" t="s">
        <v>531</v>
      </c>
      <c r="P2973" t="s">
        <v>454</v>
      </c>
    </row>
    <row r="2974">
      <c r="A2974">
        <f>HYPERLINK("http://bombeiros.sp.gov.br/hidrantes/03individual/632.html","632")</f>
      </c>
      <c r="B2974" t="s">
        <v>454</v>
      </c>
      <c r="C2974" t="s">
        <v>594</v>
      </c>
      <c r="D2974" t="s">
        <v>594</v>
      </c>
      <c r="E2974" t="s">
        <v>15</v>
      </c>
      <c r="F2974" t="s">
        <v>9382</v>
      </c>
      <c r="G2974" t="s">
        <v>18048</v>
      </c>
      <c r="H2974" t="s">
        <v>1112</v>
      </c>
      <c r="I2974" t="s">
        <v>1108</v>
      </c>
      <c r="J2974" t="s">
        <v>9383</v>
      </c>
      <c r="K2974" t="s">
        <v>9384</v>
      </c>
      <c r="L2974" t="s">
        <v>21</v>
      </c>
      <c r="M2974" t="s">
        <v>19177</v>
      </c>
      <c r="N2974" t="s">
        <v>594</v>
      </c>
      <c r="O2974" t="s">
        <v>531</v>
      </c>
      <c r="P2974" t="s">
        <v>454</v>
      </c>
    </row>
    <row r="2975">
      <c r="A2975">
        <f>HYPERLINK("http://bombeiros.sp.gov.br/hidrantes/03individual/633.html","633")</f>
      </c>
      <c r="B2975" t="s">
        <v>454</v>
      </c>
      <c r="C2975" t="s">
        <v>594</v>
      </c>
      <c r="D2975" t="s">
        <v>594</v>
      </c>
      <c r="E2975" t="s">
        <v>15</v>
      </c>
      <c r="F2975" t="s">
        <v>9385</v>
      </c>
      <c r="G2975" t="s">
        <v>18048</v>
      </c>
      <c r="H2975" t="s">
        <v>1112</v>
      </c>
      <c r="I2975" t="s">
        <v>1108</v>
      </c>
      <c r="J2975" t="s">
        <v>9386</v>
      </c>
      <c r="K2975" t="s">
        <v>9387</v>
      </c>
      <c r="L2975" t="s">
        <v>21</v>
      </c>
      <c r="M2975" t="s">
        <v>19177</v>
      </c>
      <c r="N2975" t="s">
        <v>594</v>
      </c>
      <c r="O2975" t="s">
        <v>531</v>
      </c>
      <c r="P2975" t="s">
        <v>454</v>
      </c>
    </row>
    <row r="2976">
      <c r="A2976">
        <f>HYPERLINK("http://bombeiros.sp.gov.br/hidrantes/03individual/645.html","645")</f>
      </c>
      <c r="B2976" t="s">
        <v>454</v>
      </c>
      <c r="C2976" t="s">
        <v>594</v>
      </c>
      <c r="D2976" t="s">
        <v>594</v>
      </c>
      <c r="E2976" t="s">
        <v>15</v>
      </c>
      <c r="F2976" t="s">
        <v>9388</v>
      </c>
      <c r="G2976" t="s">
        <v>18103</v>
      </c>
      <c r="H2976" t="s">
        <v>1174</v>
      </c>
      <c r="I2976" t="s">
        <v>1108</v>
      </c>
      <c r="J2976" t="s">
        <v>9389</v>
      </c>
      <c r="K2976" t="s">
        <v>9390</v>
      </c>
      <c r="L2976" t="s">
        <v>21</v>
      </c>
      <c r="M2976" t="s">
        <v>19177</v>
      </c>
      <c r="N2976" t="s">
        <v>594</v>
      </c>
      <c r="O2976" t="s">
        <v>531</v>
      </c>
      <c r="P2976" t="s">
        <v>454</v>
      </c>
    </row>
    <row r="2977">
      <c r="A2977">
        <f>HYPERLINK("http://bombeiros.sp.gov.br/hidrantes/03individual/649.html","649")</f>
      </c>
      <c r="B2977" t="s">
        <v>454</v>
      </c>
      <c r="C2977" t="s">
        <v>594</v>
      </c>
      <c r="D2977" t="s">
        <v>594</v>
      </c>
      <c r="E2977" t="s">
        <v>15</v>
      </c>
      <c r="F2977" t="s">
        <v>9391</v>
      </c>
      <c r="G2977" t="s">
        <v>18194</v>
      </c>
      <c r="H2977" t="s">
        <v>1174</v>
      </c>
      <c r="I2977" t="s">
        <v>1108</v>
      </c>
      <c r="J2977" t="s">
        <v>9392</v>
      </c>
      <c r="K2977" t="s">
        <v>9393</v>
      </c>
      <c r="L2977" t="s">
        <v>21</v>
      </c>
      <c r="M2977" t="s">
        <v>19177</v>
      </c>
      <c r="N2977" t="s">
        <v>594</v>
      </c>
      <c r="O2977" t="s">
        <v>531</v>
      </c>
      <c r="P2977" t="s">
        <v>454</v>
      </c>
    </row>
    <row r="2978">
      <c r="A2978">
        <f>HYPERLINK("http://bombeiros.sp.gov.br/hidrantes/03individual/650.html","650")</f>
      </c>
      <c r="B2978" t="s">
        <v>454</v>
      </c>
      <c r="C2978" t="s">
        <v>594</v>
      </c>
      <c r="D2978" t="s">
        <v>594</v>
      </c>
      <c r="E2978" t="s">
        <v>15</v>
      </c>
      <c r="F2978" t="s">
        <v>9394</v>
      </c>
      <c r="G2978" t="s">
        <v>18194</v>
      </c>
      <c r="H2978" t="s">
        <v>1107</v>
      </c>
      <c r="I2978" t="s">
        <v>1108</v>
      </c>
      <c r="J2978" t="s">
        <v>9395</v>
      </c>
      <c r="K2978" t="s">
        <v>9396</v>
      </c>
      <c r="L2978" t="s">
        <v>21</v>
      </c>
      <c r="M2978" t="s">
        <v>19177</v>
      </c>
      <c r="N2978" t="s">
        <v>594</v>
      </c>
      <c r="O2978" t="s">
        <v>531</v>
      </c>
      <c r="P2978" t="s">
        <v>454</v>
      </c>
    </row>
    <row r="2979">
      <c r="A2979">
        <f>HYPERLINK("http://bombeiros.sp.gov.br/hidrantes/03individual/662.html","662")</f>
      </c>
      <c r="B2979" t="s">
        <v>454</v>
      </c>
      <c r="C2979" t="s">
        <v>594</v>
      </c>
      <c r="D2979" t="s">
        <v>594</v>
      </c>
      <c r="E2979" t="s">
        <v>15</v>
      </c>
      <c r="F2979" t="s">
        <v>9400</v>
      </c>
      <c r="G2979" t="s">
        <v>18193</v>
      </c>
      <c r="H2979" t="s">
        <v>1174</v>
      </c>
      <c r="I2979" t="s">
        <v>1108</v>
      </c>
      <c r="J2979" t="s">
        <v>9401</v>
      </c>
      <c r="K2979" t="s">
        <v>9402</v>
      </c>
      <c r="L2979" t="s">
        <v>21</v>
      </c>
      <c r="M2979" t="s">
        <v>19177</v>
      </c>
      <c r="N2979" t="s">
        <v>594</v>
      </c>
      <c r="O2979" t="s">
        <v>531</v>
      </c>
      <c r="P2979" t="s">
        <v>454</v>
      </c>
    </row>
    <row r="2980">
      <c r="A2980">
        <f>HYPERLINK("http://bombeiros.sp.gov.br/hidrantes/03individual/672.html","672")</f>
      </c>
      <c r="B2980" t="s">
        <v>454</v>
      </c>
      <c r="C2980" t="s">
        <v>594</v>
      </c>
      <c r="D2980" t="s">
        <v>594</v>
      </c>
      <c r="E2980" t="s">
        <v>15</v>
      </c>
      <c r="F2980" t="s">
        <v>9403</v>
      </c>
      <c r="G2980" t="s">
        <v>18164</v>
      </c>
      <c r="H2980" t="s">
        <v>1107</v>
      </c>
      <c r="I2980" t="s">
        <v>1108</v>
      </c>
      <c r="J2980" t="s">
        <v>9404</v>
      </c>
      <c r="K2980" t="s">
        <v>9405</v>
      </c>
      <c r="L2980" t="s">
        <v>21</v>
      </c>
      <c r="M2980" t="s">
        <v>19177</v>
      </c>
      <c r="N2980" t="s">
        <v>594</v>
      </c>
      <c r="O2980" t="s">
        <v>531</v>
      </c>
      <c r="P2980" t="s">
        <v>454</v>
      </c>
    </row>
    <row r="2981">
      <c r="A2981">
        <f>HYPERLINK("http://bombeiros.sp.gov.br/hidrantes/03individual/720.html","720")</f>
      </c>
      <c r="B2981" t="s">
        <v>454</v>
      </c>
      <c r="C2981" t="s">
        <v>594</v>
      </c>
      <c r="D2981" t="s">
        <v>594</v>
      </c>
      <c r="E2981" t="s">
        <v>15</v>
      </c>
      <c r="F2981" t="s">
        <v>9406</v>
      </c>
      <c r="G2981" t="s">
        <v>18070</v>
      </c>
      <c r="H2981" t="s">
        <v>1121</v>
      </c>
      <c r="I2981" t="s">
        <v>1117</v>
      </c>
      <c r="J2981" t="s">
        <v>9407</v>
      </c>
      <c r="K2981" t="s">
        <v>9408</v>
      </c>
      <c r="L2981" t="s">
        <v>21</v>
      </c>
      <c r="M2981" t="s">
        <v>19177</v>
      </c>
      <c r="N2981" t="s">
        <v>594</v>
      </c>
      <c r="O2981" t="s">
        <v>531</v>
      </c>
      <c r="P2981" t="s">
        <v>454</v>
      </c>
    </row>
    <row r="2982">
      <c r="A2982">
        <f>HYPERLINK("http://bombeiros.sp.gov.br/hidrantes/03individual/721.html","721")</f>
      </c>
      <c r="B2982" t="s">
        <v>454</v>
      </c>
      <c r="C2982" t="s">
        <v>594</v>
      </c>
      <c r="D2982" t="s">
        <v>594</v>
      </c>
      <c r="E2982" t="s">
        <v>15</v>
      </c>
      <c r="F2982" t="s">
        <v>9409</v>
      </c>
      <c r="G2982" t="s">
        <v>18207</v>
      </c>
      <c r="H2982" t="s">
        <v>1107</v>
      </c>
      <c r="I2982" t="s">
        <v>1108</v>
      </c>
      <c r="J2982" t="s">
        <v>9410</v>
      </c>
      <c r="K2982" t="s">
        <v>9411</v>
      </c>
      <c r="L2982" t="s">
        <v>21</v>
      </c>
      <c r="M2982" t="s">
        <v>19177</v>
      </c>
      <c r="N2982" t="s">
        <v>594</v>
      </c>
      <c r="O2982" t="s">
        <v>531</v>
      </c>
      <c r="P2982" t="s">
        <v>454</v>
      </c>
    </row>
    <row r="2983">
      <c r="A2983">
        <f>HYPERLINK("http://bombeiros.sp.gov.br/hidrantes/03individual/723.html","723")</f>
      </c>
      <c r="B2983" t="s">
        <v>454</v>
      </c>
      <c r="C2983" t="s">
        <v>594</v>
      </c>
      <c r="D2983" t="s">
        <v>594</v>
      </c>
      <c r="E2983" t="s">
        <v>15</v>
      </c>
      <c r="F2983" t="s">
        <v>9412</v>
      </c>
      <c r="G2983" t="s">
        <v>18067</v>
      </c>
      <c r="H2983" t="s">
        <v>1107</v>
      </c>
      <c r="I2983" t="s">
        <v>1108</v>
      </c>
      <c r="J2983" t="s">
        <v>9413</v>
      </c>
      <c r="K2983" t="s">
        <v>9414</v>
      </c>
      <c r="L2983" t="s">
        <v>36</v>
      </c>
      <c r="M2983" t="s">
        <v>19177</v>
      </c>
      <c r="N2983" t="s">
        <v>594</v>
      </c>
      <c r="O2983" t="s">
        <v>531</v>
      </c>
      <c r="P2983" t="s">
        <v>454</v>
      </c>
    </row>
    <row r="2984">
      <c r="A2984">
        <f>HYPERLINK("http://bombeiros.sp.gov.br/hidrantes/03individual/753.html","753")</f>
      </c>
      <c r="B2984" t="s">
        <v>454</v>
      </c>
      <c r="C2984" t="s">
        <v>594</v>
      </c>
      <c r="D2984" t="s">
        <v>594</v>
      </c>
      <c r="E2984" t="s">
        <v>15</v>
      </c>
      <c r="F2984" t="s">
        <v>9415</v>
      </c>
      <c r="G2984" t="s">
        <v>18103</v>
      </c>
      <c r="H2984"/>
      <c r="I2984" t="s">
        <v>18</v>
      </c>
      <c r="J2984" t="s">
        <v>15877</v>
      </c>
      <c r="K2984" t="s">
        <v>15878</v>
      </c>
      <c r="L2984" t="s">
        <v>21</v>
      </c>
      <c r="M2984" t="s">
        <v>19177</v>
      </c>
      <c r="N2984" t="s">
        <v>594</v>
      </c>
      <c r="O2984" t="s">
        <v>531</v>
      </c>
      <c r="P2984" t="s">
        <v>454</v>
      </c>
    </row>
    <row r="2985">
      <c r="A2985">
        <f>HYPERLINK("http://bombeiros.sp.gov.br/hidrantes/03individual/766.html","766")</f>
      </c>
      <c r="B2985" t="s">
        <v>454</v>
      </c>
      <c r="C2985" t="s">
        <v>594</v>
      </c>
      <c r="D2985" t="s">
        <v>594</v>
      </c>
      <c r="E2985" t="s">
        <v>15</v>
      </c>
      <c r="F2985" t="s">
        <v>9418</v>
      </c>
      <c r="G2985" t="s">
        <v>18072</v>
      </c>
      <c r="H2985" t="s">
        <v>1107</v>
      </c>
      <c r="I2985" t="s">
        <v>1108</v>
      </c>
      <c r="J2985" t="s">
        <v>9419</v>
      </c>
      <c r="K2985" t="s">
        <v>9420</v>
      </c>
      <c r="L2985" t="s">
        <v>21</v>
      </c>
      <c r="M2985" t="s">
        <v>19177</v>
      </c>
      <c r="N2985" t="s">
        <v>594</v>
      </c>
      <c r="O2985" t="s">
        <v>531</v>
      </c>
      <c r="P2985" t="s">
        <v>454</v>
      </c>
    </row>
    <row r="2986">
      <c r="A2986">
        <f>HYPERLINK("http://bombeiros.sp.gov.br/hidrantes/03individual/767.html","767")</f>
      </c>
      <c r="B2986" t="s">
        <v>454</v>
      </c>
      <c r="C2986" t="s">
        <v>594</v>
      </c>
      <c r="D2986" t="s">
        <v>594</v>
      </c>
      <c r="E2986" t="s">
        <v>15</v>
      </c>
      <c r="F2986" t="s">
        <v>9421</v>
      </c>
      <c r="G2986" t="s">
        <v>18484</v>
      </c>
      <c r="H2986" t="s">
        <v>1174</v>
      </c>
      <c r="I2986" t="s">
        <v>1108</v>
      </c>
      <c r="J2986" t="s">
        <v>9422</v>
      </c>
      <c r="K2986" t="s">
        <v>9423</v>
      </c>
      <c r="L2986" t="s">
        <v>21</v>
      </c>
      <c r="M2986" t="s">
        <v>19177</v>
      </c>
      <c r="N2986" t="s">
        <v>594</v>
      </c>
      <c r="O2986" t="s">
        <v>531</v>
      </c>
      <c r="P2986" t="s">
        <v>454</v>
      </c>
    </row>
    <row r="2987">
      <c r="A2987">
        <f>HYPERLINK("http://bombeiros.sp.gov.br/hidrantes/03individual/924.html","924")</f>
      </c>
      <c r="B2987" t="s">
        <v>454</v>
      </c>
      <c r="C2987" t="s">
        <v>594</v>
      </c>
      <c r="D2987" t="s">
        <v>594</v>
      </c>
      <c r="E2987" t="s">
        <v>15</v>
      </c>
      <c r="F2987" t="s">
        <v>9424</v>
      </c>
      <c r="G2987" t="s">
        <v>18072</v>
      </c>
      <c r="H2987" t="s">
        <v>1107</v>
      </c>
      <c r="I2987" t="s">
        <v>1108</v>
      </c>
      <c r="J2987" t="s">
        <v>9425</v>
      </c>
      <c r="K2987" t="s">
        <v>9426</v>
      </c>
      <c r="L2987" t="s">
        <v>21</v>
      </c>
      <c r="M2987" t="s">
        <v>19177</v>
      </c>
      <c r="N2987" t="s">
        <v>594</v>
      </c>
      <c r="O2987" t="s">
        <v>531</v>
      </c>
      <c r="P2987" t="s">
        <v>454</v>
      </c>
    </row>
    <row r="2988">
      <c r="A2988">
        <f>HYPERLINK("http://bombeiros.sp.gov.br/hidrantes/03individual/1041.html","1041")</f>
      </c>
      <c r="B2988" t="s">
        <v>454</v>
      </c>
      <c r="C2988" t="s">
        <v>594</v>
      </c>
      <c r="D2988" t="s">
        <v>594</v>
      </c>
      <c r="E2988" t="s">
        <v>15</v>
      </c>
      <c r="F2988" t="s">
        <v>9427</v>
      </c>
      <c r="G2988" t="s">
        <v>18484</v>
      </c>
      <c r="H2988"/>
      <c r="I2988" t="s">
        <v>18</v>
      </c>
      <c r="J2988" t="s">
        <v>9428</v>
      </c>
      <c r="K2988" t="s">
        <v>9429</v>
      </c>
      <c r="L2988" t="s">
        <v>21</v>
      </c>
      <c r="M2988" t="s">
        <v>19177</v>
      </c>
      <c r="N2988" t="s">
        <v>594</v>
      </c>
      <c r="O2988" t="s">
        <v>531</v>
      </c>
      <c r="P2988" t="s">
        <v>454</v>
      </c>
    </row>
    <row r="2989">
      <c r="A2989">
        <f>HYPERLINK("http://bombeiros.sp.gov.br/hidrantes/03individual/2994.html","2994")</f>
      </c>
      <c r="B2989" t="s">
        <v>454</v>
      </c>
      <c r="C2989" t="s">
        <v>594</v>
      </c>
      <c r="D2989" t="s">
        <v>594</v>
      </c>
      <c r="E2989" t="s">
        <v>15</v>
      </c>
      <c r="F2989" t="s">
        <v>9430</v>
      </c>
      <c r="G2989" t="s">
        <v>18072</v>
      </c>
      <c r="H2989" t="s">
        <v>1107</v>
      </c>
      <c r="I2989" t="s">
        <v>1108</v>
      </c>
      <c r="J2989" t="s">
        <v>9431</v>
      </c>
      <c r="K2989" t="s">
        <v>9432</v>
      </c>
      <c r="L2989" t="s">
        <v>21</v>
      </c>
      <c r="M2989" t="s">
        <v>19177</v>
      </c>
      <c r="N2989" t="s">
        <v>594</v>
      </c>
      <c r="O2989" t="s">
        <v>531</v>
      </c>
      <c r="P2989" t="s">
        <v>454</v>
      </c>
    </row>
    <row r="2990">
      <c r="A2990">
        <f>HYPERLINK("http://bombeiros.sp.gov.br/hidrantes/03individual/3053.html","3053")</f>
      </c>
      <c r="B2990" t="s">
        <v>454</v>
      </c>
      <c r="C2990" t="s">
        <v>594</v>
      </c>
      <c r="D2990" t="s">
        <v>594</v>
      </c>
      <c r="E2990" t="s">
        <v>15</v>
      </c>
      <c r="F2990" t="s">
        <v>9433</v>
      </c>
      <c r="G2990" t="s">
        <v>18483</v>
      </c>
      <c r="H2990" t="s">
        <v>1174</v>
      </c>
      <c r="I2990" t="s">
        <v>1108</v>
      </c>
      <c r="J2990" t="s">
        <v>9434</v>
      </c>
      <c r="K2990" t="s">
        <v>9435</v>
      </c>
      <c r="L2990" t="s">
        <v>21</v>
      </c>
      <c r="M2990" t="s">
        <v>19177</v>
      </c>
      <c r="N2990" t="s">
        <v>594</v>
      </c>
      <c r="O2990" t="s">
        <v>531</v>
      </c>
      <c r="P2990" t="s">
        <v>454</v>
      </c>
    </row>
    <row r="2991">
      <c r="A2991">
        <f>HYPERLINK("http://bombeiros.sp.gov.br/hidrantes/03individual/3058.html","3058")</f>
      </c>
      <c r="B2991" t="s">
        <v>454</v>
      </c>
      <c r="C2991" t="s">
        <v>594</v>
      </c>
      <c r="D2991" t="s">
        <v>594</v>
      </c>
      <c r="E2991" t="s">
        <v>15</v>
      </c>
      <c r="F2991" t="s">
        <v>9436</v>
      </c>
      <c r="G2991" t="s">
        <v>18483</v>
      </c>
      <c r="H2991" t="s">
        <v>1107</v>
      </c>
      <c r="I2991" t="s">
        <v>1108</v>
      </c>
      <c r="J2991" t="s">
        <v>9437</v>
      </c>
      <c r="K2991" t="s">
        <v>9438</v>
      </c>
      <c r="L2991" t="s">
        <v>21</v>
      </c>
      <c r="M2991" t="s">
        <v>19177</v>
      </c>
      <c r="N2991" t="s">
        <v>594</v>
      </c>
      <c r="O2991" t="s">
        <v>531</v>
      </c>
      <c r="P2991" t="s">
        <v>454</v>
      </c>
    </row>
    <row r="2992">
      <c r="A2992">
        <f>HYPERLINK("http://bombeiros.sp.gov.br/hidrantes/03individual/3066.html","3066")</f>
      </c>
      <c r="B2992" t="s">
        <v>454</v>
      </c>
      <c r="C2992" t="s">
        <v>594</v>
      </c>
      <c r="D2992" t="s">
        <v>594</v>
      </c>
      <c r="E2992" t="s">
        <v>15</v>
      </c>
      <c r="F2992" t="s">
        <v>9439</v>
      </c>
      <c r="G2992" t="s">
        <v>18135</v>
      </c>
      <c r="H2992" t="s">
        <v>1107</v>
      </c>
      <c r="I2992" t="s">
        <v>1108</v>
      </c>
      <c r="J2992" t="s">
        <v>9440</v>
      </c>
      <c r="K2992" t="s">
        <v>9441</v>
      </c>
      <c r="L2992" t="s">
        <v>21</v>
      </c>
      <c r="M2992" t="s">
        <v>19177</v>
      </c>
      <c r="N2992" t="s">
        <v>594</v>
      </c>
      <c r="O2992" t="s">
        <v>531</v>
      </c>
      <c r="P2992" t="s">
        <v>454</v>
      </c>
    </row>
    <row r="2993">
      <c r="A2993">
        <f>HYPERLINK("http://bombeiros.sp.gov.br/hidrantes/03individual/3083.html","3083")</f>
      </c>
      <c r="B2993" t="s">
        <v>454</v>
      </c>
      <c r="C2993" t="s">
        <v>594</v>
      </c>
      <c r="D2993" t="s">
        <v>594</v>
      </c>
      <c r="E2993" t="s">
        <v>15</v>
      </c>
      <c r="F2993" t="s">
        <v>9442</v>
      </c>
      <c r="G2993" t="s">
        <v>18484</v>
      </c>
      <c r="H2993"/>
      <c r="I2993" t="s">
        <v>18</v>
      </c>
      <c r="J2993" t="s">
        <v>9443</v>
      </c>
      <c r="K2993" t="s">
        <v>9444</v>
      </c>
      <c r="L2993" t="s">
        <v>21</v>
      </c>
      <c r="M2993" t="s">
        <v>19177</v>
      </c>
      <c r="N2993" t="s">
        <v>594</v>
      </c>
      <c r="O2993" t="s">
        <v>531</v>
      </c>
      <c r="P2993" t="s">
        <v>454</v>
      </c>
    </row>
    <row r="2994">
      <c r="A2994">
        <f>HYPERLINK("http://bombeiros.sp.gov.br/hidrantes/03individual/3139.html","3139")</f>
      </c>
      <c r="B2994" t="s">
        <v>454</v>
      </c>
      <c r="C2994" t="s">
        <v>594</v>
      </c>
      <c r="D2994" t="s">
        <v>594</v>
      </c>
      <c r="E2994" t="s">
        <v>15</v>
      </c>
      <c r="F2994" t="s">
        <v>9445</v>
      </c>
      <c r="G2994" t="s">
        <v>18194</v>
      </c>
      <c r="H2994" t="s">
        <v>1174</v>
      </c>
      <c r="I2994" t="s">
        <v>1108</v>
      </c>
      <c r="J2994" t="s">
        <v>9446</v>
      </c>
      <c r="K2994" t="s">
        <v>9447</v>
      </c>
      <c r="L2994" t="s">
        <v>21</v>
      </c>
      <c r="M2994" t="s">
        <v>19177</v>
      </c>
      <c r="N2994" t="s">
        <v>594</v>
      </c>
      <c r="O2994" t="s">
        <v>531</v>
      </c>
      <c r="P2994" t="s">
        <v>454</v>
      </c>
    </row>
    <row r="2995">
      <c r="A2995">
        <f>HYPERLINK("http://bombeiros.sp.gov.br/hidrantes/03individual/3164.html","3164")</f>
      </c>
      <c r="B2995" t="s">
        <v>454</v>
      </c>
      <c r="C2995" t="s">
        <v>594</v>
      </c>
      <c r="D2995" t="s">
        <v>594</v>
      </c>
      <c r="E2995" t="s">
        <v>15</v>
      </c>
      <c r="F2995" t="s">
        <v>9448</v>
      </c>
      <c r="G2995" t="s">
        <v>18042</v>
      </c>
      <c r="H2995" t="s">
        <v>1107</v>
      </c>
      <c r="I2995" t="s">
        <v>1108</v>
      </c>
      <c r="J2995" t="s">
        <v>9449</v>
      </c>
      <c r="K2995" t="s">
        <v>9450</v>
      </c>
      <c r="L2995" t="s">
        <v>36</v>
      </c>
      <c r="M2995" t="s">
        <v>19177</v>
      </c>
      <c r="N2995" t="s">
        <v>594</v>
      </c>
      <c r="O2995" t="s">
        <v>531</v>
      </c>
      <c r="P2995" t="s">
        <v>454</v>
      </c>
    </row>
    <row r="2996">
      <c r="A2996">
        <f>HYPERLINK("http://bombeiros.sp.gov.br/hidrantes/03individual/3169.html","3169")</f>
      </c>
      <c r="B2996" t="s">
        <v>454</v>
      </c>
      <c r="C2996" t="s">
        <v>594</v>
      </c>
      <c r="D2996" t="s">
        <v>594</v>
      </c>
      <c r="E2996" t="s">
        <v>15</v>
      </c>
      <c r="F2996" t="s">
        <v>9451</v>
      </c>
      <c r="G2996" t="s">
        <v>18065</v>
      </c>
      <c r="H2996" t="s">
        <v>1121</v>
      </c>
      <c r="I2996" t="s">
        <v>1117</v>
      </c>
      <c r="J2996" t="s">
        <v>9452</v>
      </c>
      <c r="K2996" t="s">
        <v>9453</v>
      </c>
      <c r="L2996" t="s">
        <v>21</v>
      </c>
      <c r="M2996" t="s">
        <v>19177</v>
      </c>
      <c r="N2996" t="s">
        <v>594</v>
      </c>
      <c r="O2996" t="s">
        <v>531</v>
      </c>
      <c r="P2996" t="s">
        <v>454</v>
      </c>
    </row>
    <row r="2997">
      <c r="A2997">
        <f>HYPERLINK("http://bombeiros.sp.gov.br/hidrantes/03individual/3171.html","3171")</f>
      </c>
      <c r="B2997" t="s">
        <v>454</v>
      </c>
      <c r="C2997" t="s">
        <v>594</v>
      </c>
      <c r="D2997" t="s">
        <v>594</v>
      </c>
      <c r="E2997" t="s">
        <v>15</v>
      </c>
      <c r="F2997" t="s">
        <v>604</v>
      </c>
      <c r="G2997" t="s">
        <v>18067</v>
      </c>
      <c r="H2997" t="s">
        <v>1107</v>
      </c>
      <c r="I2997" t="s">
        <v>1108</v>
      </c>
      <c r="J2997" t="s">
        <v>605</v>
      </c>
      <c r="K2997" t="s">
        <v>606</v>
      </c>
      <c r="L2997" t="s">
        <v>21</v>
      </c>
      <c r="M2997" t="s">
        <v>19177</v>
      </c>
      <c r="N2997" t="s">
        <v>594</v>
      </c>
      <c r="O2997" t="s">
        <v>531</v>
      </c>
      <c r="P2997" t="s">
        <v>454</v>
      </c>
    </row>
    <row r="2998">
      <c r="A2998">
        <f>HYPERLINK("http://bombeiros.sp.gov.br/hidrantes/03individual/3173.html","3173")</f>
      </c>
      <c r="B2998" t="s">
        <v>454</v>
      </c>
      <c r="C2998" t="s">
        <v>594</v>
      </c>
      <c r="D2998" t="s">
        <v>594</v>
      </c>
      <c r="E2998" t="s">
        <v>15</v>
      </c>
      <c r="F2998" t="s">
        <v>9454</v>
      </c>
      <c r="G2998" t="s">
        <v>18484</v>
      </c>
      <c r="H2998" t="s">
        <v>1121</v>
      </c>
      <c r="I2998" t="s">
        <v>1117</v>
      </c>
      <c r="J2998" t="s">
        <v>9455</v>
      </c>
      <c r="K2998" t="s">
        <v>9456</v>
      </c>
      <c r="L2998" t="s">
        <v>21</v>
      </c>
      <c r="M2998" t="s">
        <v>19177</v>
      </c>
      <c r="N2998" t="s">
        <v>594</v>
      </c>
      <c r="O2998" t="s">
        <v>531</v>
      </c>
      <c r="P2998" t="s">
        <v>454</v>
      </c>
    </row>
    <row r="2999">
      <c r="A2999">
        <f>HYPERLINK("http://bombeiros.sp.gov.br/hidrantes/03individual/16648.html","16648")</f>
      </c>
      <c r="B2999" t="s">
        <v>454</v>
      </c>
      <c r="C2999" t="s">
        <v>594</v>
      </c>
      <c r="D2999" t="s">
        <v>594</v>
      </c>
      <c r="E2999" t="s">
        <v>15</v>
      </c>
      <c r="F2999" t="s">
        <v>607</v>
      </c>
      <c r="G2999" t="s">
        <v>18103</v>
      </c>
      <c r="H2999" t="s">
        <v>1107</v>
      </c>
      <c r="I2999" t="s">
        <v>1108</v>
      </c>
      <c r="J2999" t="s">
        <v>609</v>
      </c>
      <c r="K2999" t="s">
        <v>610</v>
      </c>
      <c r="L2999" t="s">
        <v>21</v>
      </c>
      <c r="M2999" t="s">
        <v>19177</v>
      </c>
      <c r="N2999" t="s">
        <v>594</v>
      </c>
      <c r="O2999" t="s">
        <v>531</v>
      </c>
      <c r="P2999" t="s">
        <v>454</v>
      </c>
    </row>
    <row r="3000">
      <c r="A3000">
        <f>HYPERLINK("http://bombeiros.sp.gov.br/hidrantes/03individual/28380.html","28380")</f>
      </c>
      <c r="B3000" t="s">
        <v>454</v>
      </c>
      <c r="C3000" t="s">
        <v>594</v>
      </c>
      <c r="D3000" t="s">
        <v>594</v>
      </c>
      <c r="E3000" t="s">
        <v>15</v>
      </c>
      <c r="F3000" t="s">
        <v>18656</v>
      </c>
      <c r="G3000"/>
      <c r="H3000"/>
      <c r="I3000" t="s">
        <v>1503</v>
      </c>
      <c r="J3000" t="s">
        <v>18657</v>
      </c>
      <c r="K3000" t="s">
        <v>18658</v>
      </c>
      <c r="L3000" t="s">
        <v>21</v>
      </c>
      <c r="M3000" t="s">
        <v>19177</v>
      </c>
      <c r="N3000" t="s">
        <v>594</v>
      </c>
      <c r="O3000" t="s">
        <v>531</v>
      </c>
      <c r="P3000" t="s">
        <v>454</v>
      </c>
    </row>
    <row r="3001">
      <c r="A3001">
        <f>HYPERLINK("http://bombeiros.sp.gov.br/hidrantes/03individual/540.html","540")</f>
      </c>
      <c r="B3001" t="s">
        <v>454</v>
      </c>
      <c r="C3001" t="s">
        <v>611</v>
      </c>
      <c r="D3001" t="s">
        <v>612</v>
      </c>
      <c r="E3001" t="s">
        <v>15</v>
      </c>
      <c r="F3001" t="s">
        <v>9457</v>
      </c>
      <c r="G3001" t="s">
        <v>18205</v>
      </c>
      <c r="H3001" t="s">
        <v>1112</v>
      </c>
      <c r="I3001" t="s">
        <v>1108</v>
      </c>
      <c r="J3001" t="s">
        <v>9458</v>
      </c>
      <c r="K3001" t="s">
        <v>9459</v>
      </c>
      <c r="L3001" t="s">
        <v>21</v>
      </c>
      <c r="M3001" t="s">
        <v>19177</v>
      </c>
      <c r="N3001" t="s">
        <v>594</v>
      </c>
      <c r="O3001" t="s">
        <v>531</v>
      </c>
      <c r="P3001" t="s">
        <v>454</v>
      </c>
    </row>
    <row r="3002">
      <c r="A3002">
        <f>HYPERLINK("http://bombeiros.sp.gov.br/hidrantes/03individual/541.html","541")</f>
      </c>
      <c r="B3002" t="s">
        <v>454</v>
      </c>
      <c r="C3002" t="s">
        <v>611</v>
      </c>
      <c r="D3002" t="s">
        <v>612</v>
      </c>
      <c r="E3002" t="s">
        <v>15</v>
      </c>
      <c r="F3002" t="s">
        <v>9460</v>
      </c>
      <c r="G3002" t="s">
        <v>18156</v>
      </c>
      <c r="H3002" t="s">
        <v>1121</v>
      </c>
      <c r="I3002" t="s">
        <v>1117</v>
      </c>
      <c r="J3002" t="s">
        <v>9461</v>
      </c>
      <c r="K3002" t="s">
        <v>9462</v>
      </c>
      <c r="L3002" t="s">
        <v>21</v>
      </c>
      <c r="M3002" t="s">
        <v>19177</v>
      </c>
      <c r="N3002" t="s">
        <v>594</v>
      </c>
      <c r="O3002" t="s">
        <v>531</v>
      </c>
      <c r="P3002" t="s">
        <v>454</v>
      </c>
    </row>
    <row r="3003">
      <c r="A3003">
        <f>HYPERLINK("http://bombeiros.sp.gov.br/hidrantes/03individual/542.html","542")</f>
      </c>
      <c r="B3003" t="s">
        <v>454</v>
      </c>
      <c r="C3003" t="s">
        <v>611</v>
      </c>
      <c r="D3003" t="s">
        <v>612</v>
      </c>
      <c r="E3003" t="s">
        <v>15</v>
      </c>
      <c r="F3003" t="s">
        <v>9463</v>
      </c>
      <c r="G3003" t="s">
        <v>18207</v>
      </c>
      <c r="H3003" t="s">
        <v>1112</v>
      </c>
      <c r="I3003" t="s">
        <v>1108</v>
      </c>
      <c r="J3003" t="s">
        <v>9464</v>
      </c>
      <c r="K3003" t="s">
        <v>9465</v>
      </c>
      <c r="L3003" t="s">
        <v>21</v>
      </c>
      <c r="M3003" t="s">
        <v>19177</v>
      </c>
      <c r="N3003" t="s">
        <v>594</v>
      </c>
      <c r="O3003" t="s">
        <v>531</v>
      </c>
      <c r="P3003" t="s">
        <v>454</v>
      </c>
    </row>
    <row r="3004">
      <c r="A3004">
        <f>HYPERLINK("http://bombeiros.sp.gov.br/hidrantes/03individual/545.html","545")</f>
      </c>
      <c r="B3004" t="s">
        <v>454</v>
      </c>
      <c r="C3004" t="s">
        <v>611</v>
      </c>
      <c r="D3004" t="s">
        <v>612</v>
      </c>
      <c r="E3004" t="s">
        <v>15</v>
      </c>
      <c r="F3004" t="s">
        <v>9466</v>
      </c>
      <c r="G3004" t="s">
        <v>18076</v>
      </c>
      <c r="H3004" t="s">
        <v>1107</v>
      </c>
      <c r="I3004" t="s">
        <v>1108</v>
      </c>
      <c r="J3004" t="s">
        <v>9467</v>
      </c>
      <c r="K3004" t="s">
        <v>9468</v>
      </c>
      <c r="L3004" t="s">
        <v>21</v>
      </c>
      <c r="M3004" t="s">
        <v>19177</v>
      </c>
      <c r="N3004" t="s">
        <v>594</v>
      </c>
      <c r="O3004" t="s">
        <v>531</v>
      </c>
      <c r="P3004" t="s">
        <v>454</v>
      </c>
    </row>
    <row r="3005">
      <c r="A3005">
        <f>HYPERLINK("http://bombeiros.sp.gov.br/hidrantes/03individual/571.html","571")</f>
      </c>
      <c r="B3005" t="s">
        <v>454</v>
      </c>
      <c r="C3005" t="s">
        <v>611</v>
      </c>
      <c r="D3005" t="s">
        <v>612</v>
      </c>
      <c r="E3005" t="s">
        <v>15</v>
      </c>
      <c r="F3005" t="s">
        <v>9469</v>
      </c>
      <c r="G3005" t="s">
        <v>18205</v>
      </c>
      <c r="H3005" t="s">
        <v>1112</v>
      </c>
      <c r="I3005" t="s">
        <v>1108</v>
      </c>
      <c r="J3005" t="s">
        <v>9470</v>
      </c>
      <c r="K3005" t="s">
        <v>9471</v>
      </c>
      <c r="L3005" t="s">
        <v>21</v>
      </c>
      <c r="M3005" t="s">
        <v>19177</v>
      </c>
      <c r="N3005" t="s">
        <v>594</v>
      </c>
      <c r="O3005" t="s">
        <v>531</v>
      </c>
      <c r="P3005" t="s">
        <v>454</v>
      </c>
    </row>
    <row r="3006">
      <c r="A3006">
        <f>HYPERLINK("http://bombeiros.sp.gov.br/hidrantes/03individual/573.html","573")</f>
      </c>
      <c r="B3006" t="s">
        <v>454</v>
      </c>
      <c r="C3006" t="s">
        <v>611</v>
      </c>
      <c r="D3006" t="s">
        <v>612</v>
      </c>
      <c r="E3006" t="s">
        <v>15</v>
      </c>
      <c r="F3006" t="s">
        <v>9472</v>
      </c>
      <c r="G3006" t="s">
        <v>18076</v>
      </c>
      <c r="H3006" t="s">
        <v>1107</v>
      </c>
      <c r="I3006" t="s">
        <v>1108</v>
      </c>
      <c r="J3006" t="s">
        <v>9473</v>
      </c>
      <c r="K3006" t="s">
        <v>9474</v>
      </c>
      <c r="L3006" t="s">
        <v>21</v>
      </c>
      <c r="M3006" t="s">
        <v>19177</v>
      </c>
      <c r="N3006" t="s">
        <v>594</v>
      </c>
      <c r="O3006" t="s">
        <v>531</v>
      </c>
      <c r="P3006" t="s">
        <v>454</v>
      </c>
    </row>
    <row r="3007">
      <c r="A3007">
        <f>HYPERLINK("http://bombeiros.sp.gov.br/hidrantes/03individual/671.html","671")</f>
      </c>
      <c r="B3007" t="s">
        <v>454</v>
      </c>
      <c r="C3007" t="s">
        <v>611</v>
      </c>
      <c r="D3007" t="s">
        <v>612</v>
      </c>
      <c r="E3007" t="s">
        <v>15</v>
      </c>
      <c r="F3007" t="s">
        <v>9475</v>
      </c>
      <c r="G3007" t="s">
        <v>18076</v>
      </c>
      <c r="H3007" t="s">
        <v>1107</v>
      </c>
      <c r="I3007" t="s">
        <v>1108</v>
      </c>
      <c r="J3007" t="s">
        <v>9476</v>
      </c>
      <c r="K3007" t="s">
        <v>9477</v>
      </c>
      <c r="L3007" t="s">
        <v>21</v>
      </c>
      <c r="M3007" t="s">
        <v>19177</v>
      </c>
      <c r="N3007" t="s">
        <v>594</v>
      </c>
      <c r="O3007" t="s">
        <v>531</v>
      </c>
      <c r="P3007" t="s">
        <v>454</v>
      </c>
    </row>
    <row r="3008">
      <c r="A3008">
        <f>HYPERLINK("http://bombeiros.sp.gov.br/hidrantes/03individual/680.html","680")</f>
      </c>
      <c r="B3008" t="s">
        <v>454</v>
      </c>
      <c r="C3008" t="s">
        <v>611</v>
      </c>
      <c r="D3008" t="s">
        <v>612</v>
      </c>
      <c r="E3008" t="s">
        <v>15</v>
      </c>
      <c r="F3008" t="s">
        <v>9478</v>
      </c>
      <c r="G3008" t="s">
        <v>18207</v>
      </c>
      <c r="H3008" t="s">
        <v>1107</v>
      </c>
      <c r="I3008" t="s">
        <v>1108</v>
      </c>
      <c r="J3008" t="s">
        <v>9479</v>
      </c>
      <c r="K3008" t="s">
        <v>9480</v>
      </c>
      <c r="L3008" t="s">
        <v>21</v>
      </c>
      <c r="M3008" t="s">
        <v>19177</v>
      </c>
      <c r="N3008" t="s">
        <v>594</v>
      </c>
      <c r="O3008" t="s">
        <v>531</v>
      </c>
      <c r="P3008" t="s">
        <v>454</v>
      </c>
    </row>
    <row r="3009">
      <c r="A3009">
        <f>HYPERLINK("http://bombeiros.sp.gov.br/hidrantes/03individual/718.html","718")</f>
      </c>
      <c r="B3009" t="s">
        <v>454</v>
      </c>
      <c r="C3009" t="s">
        <v>611</v>
      </c>
      <c r="D3009" t="s">
        <v>612</v>
      </c>
      <c r="E3009" t="s">
        <v>15</v>
      </c>
      <c r="F3009" t="s">
        <v>613</v>
      </c>
      <c r="G3009" t="s">
        <v>18076</v>
      </c>
      <c r="H3009"/>
      <c r="I3009" t="s">
        <v>18</v>
      </c>
      <c r="J3009" t="s">
        <v>614</v>
      </c>
      <c r="K3009" t="s">
        <v>615</v>
      </c>
      <c r="L3009" t="s">
        <v>21</v>
      </c>
      <c r="M3009" t="s">
        <v>19177</v>
      </c>
      <c r="N3009" t="s">
        <v>594</v>
      </c>
      <c r="O3009" t="s">
        <v>531</v>
      </c>
      <c r="P3009" t="s">
        <v>454</v>
      </c>
    </row>
    <row r="3010">
      <c r="A3010">
        <f>HYPERLINK("http://bombeiros.sp.gov.br/hidrantes/03individual/758.html","758")</f>
      </c>
      <c r="B3010" t="s">
        <v>454</v>
      </c>
      <c r="C3010" t="s">
        <v>611</v>
      </c>
      <c r="D3010" t="s">
        <v>612</v>
      </c>
      <c r="E3010" t="s">
        <v>15</v>
      </c>
      <c r="F3010" t="s">
        <v>9481</v>
      </c>
      <c r="G3010" t="s">
        <v>18107</v>
      </c>
      <c r="H3010" t="s">
        <v>1107</v>
      </c>
      <c r="I3010" t="s">
        <v>1108</v>
      </c>
      <c r="J3010" t="s">
        <v>9482</v>
      </c>
      <c r="K3010" t="s">
        <v>9483</v>
      </c>
      <c r="L3010" t="s">
        <v>21</v>
      </c>
      <c r="M3010" t="s">
        <v>19177</v>
      </c>
      <c r="N3010" t="s">
        <v>594</v>
      </c>
      <c r="O3010" t="s">
        <v>531</v>
      </c>
      <c r="P3010" t="s">
        <v>454</v>
      </c>
    </row>
    <row r="3011">
      <c r="A3011">
        <f>HYPERLINK("http://bombeiros.sp.gov.br/hidrantes/03individual/845.html","845")</f>
      </c>
      <c r="B3011" t="s">
        <v>454</v>
      </c>
      <c r="C3011" t="s">
        <v>611</v>
      </c>
      <c r="D3011" t="s">
        <v>612</v>
      </c>
      <c r="E3011" t="s">
        <v>15</v>
      </c>
      <c r="F3011" t="s">
        <v>9484</v>
      </c>
      <c r="G3011" t="s">
        <v>18076</v>
      </c>
      <c r="H3011" t="s">
        <v>1107</v>
      </c>
      <c r="I3011" t="s">
        <v>1108</v>
      </c>
      <c r="J3011" t="s">
        <v>9485</v>
      </c>
      <c r="K3011" t="s">
        <v>9486</v>
      </c>
      <c r="L3011" t="s">
        <v>21</v>
      </c>
      <c r="M3011" t="s">
        <v>19177</v>
      </c>
      <c r="N3011" t="s">
        <v>594</v>
      </c>
      <c r="O3011" t="s">
        <v>531</v>
      </c>
      <c r="P3011" t="s">
        <v>454</v>
      </c>
    </row>
    <row r="3012">
      <c r="A3012">
        <f>HYPERLINK("http://bombeiros.sp.gov.br/hidrantes/03individual/3488.html","3488")</f>
      </c>
      <c r="B3012" t="s">
        <v>454</v>
      </c>
      <c r="C3012" t="s">
        <v>611</v>
      </c>
      <c r="D3012" t="s">
        <v>612</v>
      </c>
      <c r="E3012" t="s">
        <v>15</v>
      </c>
      <c r="F3012" t="s">
        <v>9487</v>
      </c>
      <c r="G3012" t="s">
        <v>18107</v>
      </c>
      <c r="H3012" t="s">
        <v>1107</v>
      </c>
      <c r="I3012" t="s">
        <v>1108</v>
      </c>
      <c r="J3012" t="s">
        <v>9488</v>
      </c>
      <c r="K3012" t="s">
        <v>9489</v>
      </c>
      <c r="L3012" t="s">
        <v>21</v>
      </c>
      <c r="M3012" t="s">
        <v>19177</v>
      </c>
      <c r="N3012" t="s">
        <v>594</v>
      </c>
      <c r="O3012" t="s">
        <v>531</v>
      </c>
      <c r="P3012" t="s">
        <v>454</v>
      </c>
    </row>
    <row r="3013">
      <c r="A3013">
        <f>HYPERLINK("http://bombeiros.sp.gov.br/hidrantes/03individual/3503.html","3503")</f>
      </c>
      <c r="B3013" t="s">
        <v>454</v>
      </c>
      <c r="C3013" t="s">
        <v>611</v>
      </c>
      <c r="D3013" t="s">
        <v>612</v>
      </c>
      <c r="E3013" t="s">
        <v>15</v>
      </c>
      <c r="F3013" t="s">
        <v>9490</v>
      </c>
      <c r="G3013" t="s">
        <v>18073</v>
      </c>
      <c r="H3013" t="s">
        <v>1107</v>
      </c>
      <c r="I3013" t="s">
        <v>1108</v>
      </c>
      <c r="J3013" t="s">
        <v>9491</v>
      </c>
      <c r="K3013" t="s">
        <v>9492</v>
      </c>
      <c r="L3013" t="s">
        <v>21</v>
      </c>
      <c r="M3013" t="s">
        <v>19177</v>
      </c>
      <c r="N3013" t="s">
        <v>594</v>
      </c>
      <c r="O3013" t="s">
        <v>531</v>
      </c>
      <c r="P3013" t="s">
        <v>454</v>
      </c>
    </row>
    <row r="3014">
      <c r="A3014">
        <f>HYPERLINK("http://bombeiros.sp.gov.br/hidrantes/03individual/3505.html","3505")</f>
      </c>
      <c r="B3014" t="s">
        <v>454</v>
      </c>
      <c r="C3014" t="s">
        <v>611</v>
      </c>
      <c r="D3014" t="s">
        <v>612</v>
      </c>
      <c r="E3014" t="s">
        <v>15</v>
      </c>
      <c r="F3014" t="s">
        <v>616</v>
      </c>
      <c r="G3014" t="s">
        <v>18073</v>
      </c>
      <c r="H3014"/>
      <c r="I3014" t="s">
        <v>18</v>
      </c>
      <c r="J3014" t="s">
        <v>618</v>
      </c>
      <c r="K3014" t="s">
        <v>619</v>
      </c>
      <c r="L3014" t="s">
        <v>21</v>
      </c>
      <c r="M3014" t="s">
        <v>19177</v>
      </c>
      <c r="N3014" t="s">
        <v>594</v>
      </c>
      <c r="O3014" t="s">
        <v>531</v>
      </c>
      <c r="P3014" t="s">
        <v>454</v>
      </c>
    </row>
    <row r="3015">
      <c r="A3015">
        <f>HYPERLINK("http://bombeiros.sp.gov.br/hidrantes/03individual/3514.html","3514")</f>
      </c>
      <c r="B3015" t="s">
        <v>454</v>
      </c>
      <c r="C3015" t="s">
        <v>611</v>
      </c>
      <c r="D3015" t="s">
        <v>612</v>
      </c>
      <c r="E3015" t="s">
        <v>15</v>
      </c>
      <c r="F3015" t="s">
        <v>9493</v>
      </c>
      <c r="G3015" t="s">
        <v>18057</v>
      </c>
      <c r="H3015" t="s">
        <v>1112</v>
      </c>
      <c r="I3015" t="s">
        <v>1108</v>
      </c>
      <c r="J3015" t="s">
        <v>9494</v>
      </c>
      <c r="K3015" t="s">
        <v>9495</v>
      </c>
      <c r="L3015" t="s">
        <v>21</v>
      </c>
      <c r="M3015" t="s">
        <v>19177</v>
      </c>
      <c r="N3015" t="s">
        <v>594</v>
      </c>
      <c r="O3015" t="s">
        <v>531</v>
      </c>
      <c r="P3015" t="s">
        <v>454</v>
      </c>
    </row>
    <row r="3016">
      <c r="A3016">
        <f>HYPERLINK("http://bombeiros.sp.gov.br/hidrantes/03individual/17838.html","17838")</f>
      </c>
      <c r="B3016" t="s">
        <v>454</v>
      </c>
      <c r="C3016" t="s">
        <v>611</v>
      </c>
      <c r="D3016" t="s">
        <v>612</v>
      </c>
      <c r="E3016" t="s">
        <v>15</v>
      </c>
      <c r="F3016" t="s">
        <v>620</v>
      </c>
      <c r="G3016" t="s">
        <v>18057</v>
      </c>
      <c r="H3016" t="s">
        <v>1121</v>
      </c>
      <c r="I3016" t="s">
        <v>1117</v>
      </c>
      <c r="J3016" t="s">
        <v>621</v>
      </c>
      <c r="K3016" t="s">
        <v>622</v>
      </c>
      <c r="L3016" t="s">
        <v>21</v>
      </c>
      <c r="M3016" t="s">
        <v>19177</v>
      </c>
      <c r="N3016" t="s">
        <v>594</v>
      </c>
      <c r="O3016" t="s">
        <v>531</v>
      </c>
      <c r="P3016" t="s">
        <v>454</v>
      </c>
    </row>
    <row r="3017">
      <c r="A3017">
        <f>HYPERLINK("http://bombeiros.sp.gov.br/hidrantes/03individual/26791.html","26791")</f>
      </c>
      <c r="B3017" t="s">
        <v>454</v>
      </c>
      <c r="C3017" t="s">
        <v>611</v>
      </c>
      <c r="D3017" t="s">
        <v>612</v>
      </c>
      <c r="E3017" t="s">
        <v>15</v>
      </c>
      <c r="F3017" t="s">
        <v>15823</v>
      </c>
      <c r="G3017" t="s">
        <v>18207</v>
      </c>
      <c r="H3017" t="s">
        <v>1107</v>
      </c>
      <c r="I3017" t="s">
        <v>1108</v>
      </c>
      <c r="J3017" t="s">
        <v>15824</v>
      </c>
      <c r="K3017" t="s">
        <v>15825</v>
      </c>
      <c r="L3017" t="s">
        <v>21</v>
      </c>
      <c r="M3017" t="s">
        <v>19177</v>
      </c>
      <c r="N3017" t="s">
        <v>594</v>
      </c>
      <c r="O3017" t="s">
        <v>531</v>
      </c>
      <c r="P3017" t="s">
        <v>454</v>
      </c>
    </row>
    <row r="3018">
      <c r="A3018">
        <f>HYPERLINK("http://bombeiros.sp.gov.br/hidrantes/03individual/10051.html","10051")</f>
      </c>
      <c r="B3018" t="s">
        <v>454</v>
      </c>
      <c r="C3018" t="s">
        <v>611</v>
      </c>
      <c r="D3018" t="s">
        <v>611</v>
      </c>
      <c r="E3018" t="s">
        <v>1507</v>
      </c>
      <c r="F3018" t="s">
        <v>9496</v>
      </c>
      <c r="G3018" t="s">
        <v>18042</v>
      </c>
      <c r="H3018" t="s">
        <v>1112</v>
      </c>
      <c r="I3018" t="s">
        <v>1108</v>
      </c>
      <c r="J3018" t="s">
        <v>9498</v>
      </c>
      <c r="K3018" t="s">
        <v>9499</v>
      </c>
      <c r="L3018" t="s">
        <v>21</v>
      </c>
      <c r="M3018" t="s">
        <v>19177</v>
      </c>
      <c r="N3018" t="s">
        <v>594</v>
      </c>
      <c r="O3018" t="s">
        <v>531</v>
      </c>
      <c r="P3018" t="s">
        <v>454</v>
      </c>
    </row>
    <row r="3019">
      <c r="A3019">
        <f>HYPERLINK("http://bombeiros.sp.gov.br/hidrantes/03individual/3405.html","3405")</f>
      </c>
      <c r="B3019" t="s">
        <v>454</v>
      </c>
      <c r="C3019" t="s">
        <v>611</v>
      </c>
      <c r="D3019" t="s">
        <v>611</v>
      </c>
      <c r="E3019" t="s">
        <v>64</v>
      </c>
      <c r="F3019" t="s">
        <v>9500</v>
      </c>
      <c r="G3019" t="s">
        <v>18471</v>
      </c>
      <c r="H3019" t="s">
        <v>1107</v>
      </c>
      <c r="I3019" t="s">
        <v>1108</v>
      </c>
      <c r="J3019" t="s">
        <v>9501</v>
      </c>
      <c r="K3019" t="s">
        <v>9502</v>
      </c>
      <c r="L3019" t="s">
        <v>36</v>
      </c>
      <c r="M3019" t="s">
        <v>19177</v>
      </c>
      <c r="N3019" t="s">
        <v>594</v>
      </c>
      <c r="O3019" t="s">
        <v>531</v>
      </c>
      <c r="P3019" t="s">
        <v>454</v>
      </c>
    </row>
    <row r="3020">
      <c r="A3020">
        <f>HYPERLINK("http://bombeiros.sp.gov.br/hidrantes/03individual/3474.html","3474")</f>
      </c>
      <c r="B3020" t="s">
        <v>454</v>
      </c>
      <c r="C3020" t="s">
        <v>611</v>
      </c>
      <c r="D3020" t="s">
        <v>611</v>
      </c>
      <c r="E3020" t="s">
        <v>64</v>
      </c>
      <c r="F3020" t="s">
        <v>9503</v>
      </c>
      <c r="G3020" t="s">
        <v>18075</v>
      </c>
      <c r="H3020" t="s">
        <v>1107</v>
      </c>
      <c r="I3020" t="s">
        <v>1108</v>
      </c>
      <c r="J3020" t="s">
        <v>9504</v>
      </c>
      <c r="K3020" t="s">
        <v>9505</v>
      </c>
      <c r="L3020" t="s">
        <v>36</v>
      </c>
      <c r="M3020" t="s">
        <v>19177</v>
      </c>
      <c r="N3020" t="s">
        <v>594</v>
      </c>
      <c r="O3020" t="s">
        <v>531</v>
      </c>
      <c r="P3020" t="s">
        <v>454</v>
      </c>
    </row>
    <row r="3021">
      <c r="A3021">
        <f>HYPERLINK("http://bombeiros.sp.gov.br/hidrantes/03individual/3481.html","3481")</f>
      </c>
      <c r="B3021" t="s">
        <v>454</v>
      </c>
      <c r="C3021" t="s">
        <v>611</v>
      </c>
      <c r="D3021" t="s">
        <v>611</v>
      </c>
      <c r="E3021" t="s">
        <v>64</v>
      </c>
      <c r="F3021" t="s">
        <v>9506</v>
      </c>
      <c r="G3021" t="s">
        <v>18471</v>
      </c>
      <c r="H3021" t="s">
        <v>1121</v>
      </c>
      <c r="I3021" t="s">
        <v>1117</v>
      </c>
      <c r="J3021" t="s">
        <v>9507</v>
      </c>
      <c r="K3021" t="s">
        <v>9508</v>
      </c>
      <c r="L3021" t="s">
        <v>36</v>
      </c>
      <c r="M3021" t="s">
        <v>19177</v>
      </c>
      <c r="N3021" t="s">
        <v>594</v>
      </c>
      <c r="O3021" t="s">
        <v>531</v>
      </c>
      <c r="P3021" t="s">
        <v>454</v>
      </c>
    </row>
    <row r="3022">
      <c r="A3022">
        <f>HYPERLINK("http://bombeiros.sp.gov.br/hidrantes/03individual/3482.html","3482")</f>
      </c>
      <c r="B3022" t="s">
        <v>454</v>
      </c>
      <c r="C3022" t="s">
        <v>611</v>
      </c>
      <c r="D3022" t="s">
        <v>611</v>
      </c>
      <c r="E3022" t="s">
        <v>64</v>
      </c>
      <c r="F3022" t="s">
        <v>9509</v>
      </c>
      <c r="G3022" t="s">
        <v>18205</v>
      </c>
      <c r="H3022" t="s">
        <v>1112</v>
      </c>
      <c r="I3022" t="s">
        <v>1108</v>
      </c>
      <c r="J3022" t="s">
        <v>16201</v>
      </c>
      <c r="K3022" t="s">
        <v>16202</v>
      </c>
      <c r="L3022" t="s">
        <v>36</v>
      </c>
      <c r="M3022" t="s">
        <v>19177</v>
      </c>
      <c r="N3022" t="s">
        <v>594</v>
      </c>
      <c r="O3022" t="s">
        <v>531</v>
      </c>
      <c r="P3022" t="s">
        <v>454</v>
      </c>
    </row>
    <row r="3023">
      <c r="A3023">
        <f>HYPERLINK("http://bombeiros.sp.gov.br/hidrantes/03individual/539.html","539")</f>
      </c>
      <c r="B3023" t="s">
        <v>454</v>
      </c>
      <c r="C3023" t="s">
        <v>611</v>
      </c>
      <c r="D3023" t="s">
        <v>611</v>
      </c>
      <c r="E3023" t="s">
        <v>15</v>
      </c>
      <c r="F3023" t="s">
        <v>9512</v>
      </c>
      <c r="G3023" t="s">
        <v>18085</v>
      </c>
      <c r="H3023" t="s">
        <v>1112</v>
      </c>
      <c r="I3023" t="s">
        <v>1108</v>
      </c>
      <c r="J3023" t="s">
        <v>9513</v>
      </c>
      <c r="K3023" t="s">
        <v>9514</v>
      </c>
      <c r="L3023" t="s">
        <v>21</v>
      </c>
      <c r="M3023" t="s">
        <v>19177</v>
      </c>
      <c r="N3023" t="s">
        <v>594</v>
      </c>
      <c r="O3023" t="s">
        <v>531</v>
      </c>
      <c r="P3023" t="s">
        <v>454</v>
      </c>
    </row>
    <row r="3024">
      <c r="A3024">
        <f>HYPERLINK("http://bombeiros.sp.gov.br/hidrantes/03individual/568.html","568")</f>
      </c>
      <c r="B3024" t="s">
        <v>454</v>
      </c>
      <c r="C3024" t="s">
        <v>611</v>
      </c>
      <c r="D3024" t="s">
        <v>611</v>
      </c>
      <c r="E3024" t="s">
        <v>15</v>
      </c>
      <c r="F3024" t="s">
        <v>9515</v>
      </c>
      <c r="G3024" t="s">
        <v>18471</v>
      </c>
      <c r="H3024" t="s">
        <v>1107</v>
      </c>
      <c r="I3024" t="s">
        <v>1108</v>
      </c>
      <c r="J3024" t="s">
        <v>9516</v>
      </c>
      <c r="K3024" t="s">
        <v>9517</v>
      </c>
      <c r="L3024" t="s">
        <v>21</v>
      </c>
      <c r="M3024" t="s">
        <v>19177</v>
      </c>
      <c r="N3024" t="s">
        <v>594</v>
      </c>
      <c r="O3024" t="s">
        <v>531</v>
      </c>
      <c r="P3024" t="s">
        <v>454</v>
      </c>
    </row>
    <row r="3025">
      <c r="A3025">
        <f>HYPERLINK("http://bombeiros.sp.gov.br/hidrantes/03individual/574.html","574")</f>
      </c>
      <c r="B3025" t="s">
        <v>454</v>
      </c>
      <c r="C3025" t="s">
        <v>611</v>
      </c>
      <c r="D3025" t="s">
        <v>611</v>
      </c>
      <c r="E3025" t="s">
        <v>15</v>
      </c>
      <c r="F3025" t="s">
        <v>9518</v>
      </c>
      <c r="G3025" t="s">
        <v>18205</v>
      </c>
      <c r="H3025" t="s">
        <v>1112</v>
      </c>
      <c r="I3025" t="s">
        <v>1108</v>
      </c>
      <c r="J3025" t="s">
        <v>9519</v>
      </c>
      <c r="K3025" t="s">
        <v>9520</v>
      </c>
      <c r="L3025" t="s">
        <v>21</v>
      </c>
      <c r="M3025" t="s">
        <v>19177</v>
      </c>
      <c r="N3025" t="s">
        <v>594</v>
      </c>
      <c r="O3025" t="s">
        <v>531</v>
      </c>
      <c r="P3025" t="s">
        <v>454</v>
      </c>
    </row>
    <row r="3026">
      <c r="A3026">
        <f>HYPERLINK("http://bombeiros.sp.gov.br/hidrantes/03individual/575.html","575")</f>
      </c>
      <c r="B3026" t="s">
        <v>454</v>
      </c>
      <c r="C3026" t="s">
        <v>611</v>
      </c>
      <c r="D3026" t="s">
        <v>611</v>
      </c>
      <c r="E3026" t="s">
        <v>15</v>
      </c>
      <c r="F3026" t="s">
        <v>9521</v>
      </c>
      <c r="G3026" t="s">
        <v>18205</v>
      </c>
      <c r="H3026" t="s">
        <v>1107</v>
      </c>
      <c r="I3026" t="s">
        <v>1108</v>
      </c>
      <c r="J3026" t="s">
        <v>9522</v>
      </c>
      <c r="K3026" t="s">
        <v>9523</v>
      </c>
      <c r="L3026" t="s">
        <v>21</v>
      </c>
      <c r="M3026" t="s">
        <v>19177</v>
      </c>
      <c r="N3026" t="s">
        <v>594</v>
      </c>
      <c r="O3026" t="s">
        <v>531</v>
      </c>
      <c r="P3026" t="s">
        <v>454</v>
      </c>
    </row>
    <row r="3027">
      <c r="A3027">
        <f>HYPERLINK("http://bombeiros.sp.gov.br/hidrantes/03individual/596.html","596")</f>
      </c>
      <c r="B3027" t="s">
        <v>454</v>
      </c>
      <c r="C3027" t="s">
        <v>611</v>
      </c>
      <c r="D3027" t="s">
        <v>611</v>
      </c>
      <c r="E3027" t="s">
        <v>15</v>
      </c>
      <c r="F3027" t="s">
        <v>9524</v>
      </c>
      <c r="G3027" t="s">
        <v>18042</v>
      </c>
      <c r="H3027" t="s">
        <v>1121</v>
      </c>
      <c r="I3027" t="s">
        <v>1117</v>
      </c>
      <c r="J3027" t="s">
        <v>9525</v>
      </c>
      <c r="K3027" t="s">
        <v>9526</v>
      </c>
      <c r="L3027" t="s">
        <v>21</v>
      </c>
      <c r="M3027" t="s">
        <v>19177</v>
      </c>
      <c r="N3027" t="s">
        <v>594</v>
      </c>
      <c r="O3027" t="s">
        <v>531</v>
      </c>
      <c r="P3027" t="s">
        <v>454</v>
      </c>
    </row>
    <row r="3028">
      <c r="A3028">
        <f>HYPERLINK("http://bombeiros.sp.gov.br/hidrantes/03individual/615.html","615")</f>
      </c>
      <c r="B3028" t="s">
        <v>454</v>
      </c>
      <c r="C3028" t="s">
        <v>611</v>
      </c>
      <c r="D3028" t="s">
        <v>611</v>
      </c>
      <c r="E3028" t="s">
        <v>15</v>
      </c>
      <c r="F3028" t="s">
        <v>9527</v>
      </c>
      <c r="G3028" t="s">
        <v>18067</v>
      </c>
      <c r="H3028" t="s">
        <v>1121</v>
      </c>
      <c r="I3028" t="s">
        <v>1117</v>
      </c>
      <c r="J3028" t="s">
        <v>9528</v>
      </c>
      <c r="K3028" t="s">
        <v>9529</v>
      </c>
      <c r="L3028" t="s">
        <v>21</v>
      </c>
      <c r="M3028" t="s">
        <v>19177</v>
      </c>
      <c r="N3028" t="s">
        <v>594</v>
      </c>
      <c r="O3028" t="s">
        <v>531</v>
      </c>
      <c r="P3028" t="s">
        <v>454</v>
      </c>
    </row>
    <row r="3029">
      <c r="A3029">
        <f>HYPERLINK("http://bombeiros.sp.gov.br/hidrantes/03individual/619.html","619")</f>
      </c>
      <c r="B3029" t="s">
        <v>454</v>
      </c>
      <c r="C3029" t="s">
        <v>611</v>
      </c>
      <c r="D3029" t="s">
        <v>611</v>
      </c>
      <c r="E3029" t="s">
        <v>15</v>
      </c>
      <c r="F3029" t="s">
        <v>9530</v>
      </c>
      <c r="G3029" t="s">
        <v>18046</v>
      </c>
      <c r="H3029" t="s">
        <v>1107</v>
      </c>
      <c r="I3029" t="s">
        <v>1108</v>
      </c>
      <c r="J3029" t="s">
        <v>9531</v>
      </c>
      <c r="K3029" t="s">
        <v>9532</v>
      </c>
      <c r="L3029" t="s">
        <v>21</v>
      </c>
      <c r="M3029" t="s">
        <v>19177</v>
      </c>
      <c r="N3029" t="s">
        <v>594</v>
      </c>
      <c r="O3029" t="s">
        <v>531</v>
      </c>
      <c r="P3029" t="s">
        <v>454</v>
      </c>
    </row>
    <row r="3030">
      <c r="A3030">
        <f>HYPERLINK("http://bombeiros.sp.gov.br/hidrantes/03individual/663.html","663")</f>
      </c>
      <c r="B3030" t="s">
        <v>454</v>
      </c>
      <c r="C3030" t="s">
        <v>611</v>
      </c>
      <c r="D3030" t="s">
        <v>611</v>
      </c>
      <c r="E3030" t="s">
        <v>15</v>
      </c>
      <c r="F3030" t="s">
        <v>9533</v>
      </c>
      <c r="G3030" t="s">
        <v>18205</v>
      </c>
      <c r="H3030" t="s">
        <v>1107</v>
      </c>
      <c r="I3030" t="s">
        <v>1108</v>
      </c>
      <c r="J3030" t="s">
        <v>9534</v>
      </c>
      <c r="K3030" t="s">
        <v>9535</v>
      </c>
      <c r="L3030" t="s">
        <v>21</v>
      </c>
      <c r="M3030" t="s">
        <v>19177</v>
      </c>
      <c r="N3030" t="s">
        <v>594</v>
      </c>
      <c r="O3030" t="s">
        <v>531</v>
      </c>
      <c r="P3030" t="s">
        <v>454</v>
      </c>
    </row>
    <row r="3031">
      <c r="A3031">
        <f>HYPERLINK("http://bombeiros.sp.gov.br/hidrantes/03individual/715.html","715")</f>
      </c>
      <c r="B3031" t="s">
        <v>454</v>
      </c>
      <c r="C3031" t="s">
        <v>611</v>
      </c>
      <c r="D3031" t="s">
        <v>611</v>
      </c>
      <c r="E3031" t="s">
        <v>15</v>
      </c>
      <c r="F3031" t="s">
        <v>9536</v>
      </c>
      <c r="G3031" t="s">
        <v>18124</v>
      </c>
      <c r="H3031" t="s">
        <v>1174</v>
      </c>
      <c r="I3031" t="s">
        <v>1117</v>
      </c>
      <c r="J3031" t="s">
        <v>19076</v>
      </c>
      <c r="K3031" t="s">
        <v>19077</v>
      </c>
      <c r="L3031" t="s">
        <v>21</v>
      </c>
      <c r="M3031" t="s">
        <v>19177</v>
      </c>
      <c r="N3031" t="s">
        <v>594</v>
      </c>
      <c r="O3031" t="s">
        <v>531</v>
      </c>
      <c r="P3031" t="s">
        <v>454</v>
      </c>
    </row>
    <row r="3032">
      <c r="A3032">
        <f>HYPERLINK("http://bombeiros.sp.gov.br/hidrantes/03individual/722.html","722")</f>
      </c>
      <c r="B3032" t="s">
        <v>454</v>
      </c>
      <c r="C3032" t="s">
        <v>611</v>
      </c>
      <c r="D3032" t="s">
        <v>611</v>
      </c>
      <c r="E3032" t="s">
        <v>15</v>
      </c>
      <c r="F3032" t="s">
        <v>9539</v>
      </c>
      <c r="G3032" t="s">
        <v>18093</v>
      </c>
      <c r="H3032" t="s">
        <v>1174</v>
      </c>
      <c r="I3032" t="s">
        <v>1108</v>
      </c>
      <c r="J3032" t="s">
        <v>9540</v>
      </c>
      <c r="K3032" t="s">
        <v>9541</v>
      </c>
      <c r="L3032" t="s">
        <v>21</v>
      </c>
      <c r="M3032" t="s">
        <v>19177</v>
      </c>
      <c r="N3032" t="s">
        <v>594</v>
      </c>
      <c r="O3032" t="s">
        <v>531</v>
      </c>
      <c r="P3032" t="s">
        <v>454</v>
      </c>
    </row>
    <row r="3033">
      <c r="A3033">
        <f>HYPERLINK("http://bombeiros.sp.gov.br/hidrantes/03individual/736.html","736")</f>
      </c>
      <c r="B3033" t="s">
        <v>454</v>
      </c>
      <c r="C3033" t="s">
        <v>611</v>
      </c>
      <c r="D3033" t="s">
        <v>611</v>
      </c>
      <c r="E3033" t="s">
        <v>15</v>
      </c>
      <c r="F3033" t="s">
        <v>9542</v>
      </c>
      <c r="G3033" t="s">
        <v>18067</v>
      </c>
      <c r="H3033" t="s">
        <v>1121</v>
      </c>
      <c r="I3033" t="s">
        <v>1117</v>
      </c>
      <c r="J3033" t="s">
        <v>9543</v>
      </c>
      <c r="K3033" t="s">
        <v>9544</v>
      </c>
      <c r="L3033" t="s">
        <v>21</v>
      </c>
      <c r="M3033" t="s">
        <v>19177</v>
      </c>
      <c r="N3033" t="s">
        <v>594</v>
      </c>
      <c r="O3033" t="s">
        <v>531</v>
      </c>
      <c r="P3033" t="s">
        <v>454</v>
      </c>
    </row>
    <row r="3034">
      <c r="A3034">
        <f>HYPERLINK("http://bombeiros.sp.gov.br/hidrantes/03individual/754.html","754")</f>
      </c>
      <c r="B3034" t="s">
        <v>454</v>
      </c>
      <c r="C3034" t="s">
        <v>611</v>
      </c>
      <c r="D3034" t="s">
        <v>611</v>
      </c>
      <c r="E3034" t="s">
        <v>15</v>
      </c>
      <c r="F3034" t="s">
        <v>9545</v>
      </c>
      <c r="G3034" t="s">
        <v>18135</v>
      </c>
      <c r="H3034" t="s">
        <v>1112</v>
      </c>
      <c r="I3034" t="s">
        <v>1108</v>
      </c>
      <c r="J3034" t="s">
        <v>9546</v>
      </c>
      <c r="K3034" t="s">
        <v>9547</v>
      </c>
      <c r="L3034" t="s">
        <v>21</v>
      </c>
      <c r="M3034" t="s">
        <v>19177</v>
      </c>
      <c r="N3034" t="s">
        <v>594</v>
      </c>
      <c r="O3034" t="s">
        <v>531</v>
      </c>
      <c r="P3034" t="s">
        <v>454</v>
      </c>
    </row>
    <row r="3035">
      <c r="A3035">
        <f>HYPERLINK("http://bombeiros.sp.gov.br/hidrantes/03individual/926.html","926")</f>
      </c>
      <c r="B3035" t="s">
        <v>454</v>
      </c>
      <c r="C3035" t="s">
        <v>611</v>
      </c>
      <c r="D3035" t="s">
        <v>611</v>
      </c>
      <c r="E3035" t="s">
        <v>15</v>
      </c>
      <c r="F3035" t="s">
        <v>9548</v>
      </c>
      <c r="G3035" t="s">
        <v>18042</v>
      </c>
      <c r="H3035" t="s">
        <v>1107</v>
      </c>
      <c r="I3035" t="s">
        <v>1108</v>
      </c>
      <c r="J3035" t="s">
        <v>9549</v>
      </c>
      <c r="K3035" t="s">
        <v>9550</v>
      </c>
      <c r="L3035" t="s">
        <v>21</v>
      </c>
      <c r="M3035" t="s">
        <v>19177</v>
      </c>
      <c r="N3035" t="s">
        <v>594</v>
      </c>
      <c r="O3035" t="s">
        <v>531</v>
      </c>
      <c r="P3035" t="s">
        <v>454</v>
      </c>
    </row>
    <row r="3036">
      <c r="A3036">
        <f>HYPERLINK("http://bombeiros.sp.gov.br/hidrantes/03individual/930.html","930")</f>
      </c>
      <c r="B3036" t="s">
        <v>454</v>
      </c>
      <c r="C3036" t="s">
        <v>611</v>
      </c>
      <c r="D3036" t="s">
        <v>611</v>
      </c>
      <c r="E3036" t="s">
        <v>15</v>
      </c>
      <c r="F3036" t="s">
        <v>9551</v>
      </c>
      <c r="G3036" t="s">
        <v>18067</v>
      </c>
      <c r="H3036" t="s">
        <v>1121</v>
      </c>
      <c r="I3036" t="s">
        <v>1117</v>
      </c>
      <c r="J3036" t="s">
        <v>16207</v>
      </c>
      <c r="K3036" t="s">
        <v>16208</v>
      </c>
      <c r="L3036" t="s">
        <v>21</v>
      </c>
      <c r="M3036" t="s">
        <v>19177</v>
      </c>
      <c r="N3036" t="s">
        <v>594</v>
      </c>
      <c r="O3036" t="s">
        <v>531</v>
      </c>
      <c r="P3036" t="s">
        <v>454</v>
      </c>
    </row>
    <row r="3037">
      <c r="A3037">
        <f>HYPERLINK("http://bombeiros.sp.gov.br/hidrantes/03individual/3480.html","3480")</f>
      </c>
      <c r="B3037" t="s">
        <v>454</v>
      </c>
      <c r="C3037" t="s">
        <v>611</v>
      </c>
      <c r="D3037" t="s">
        <v>611</v>
      </c>
      <c r="E3037" t="s">
        <v>15</v>
      </c>
      <c r="F3037" t="s">
        <v>9555</v>
      </c>
      <c r="G3037" t="s">
        <v>18471</v>
      </c>
      <c r="H3037" t="s">
        <v>1107</v>
      </c>
      <c r="I3037" t="s">
        <v>1108</v>
      </c>
      <c r="J3037" t="s">
        <v>9556</v>
      </c>
      <c r="K3037" t="s">
        <v>9557</v>
      </c>
      <c r="L3037" t="s">
        <v>21</v>
      </c>
      <c r="M3037" t="s">
        <v>19177</v>
      </c>
      <c r="N3037" t="s">
        <v>594</v>
      </c>
      <c r="O3037" t="s">
        <v>531</v>
      </c>
      <c r="P3037" t="s">
        <v>454</v>
      </c>
    </row>
    <row r="3038">
      <c r="A3038">
        <f>HYPERLINK("http://bombeiros.sp.gov.br/hidrantes/03individual/3491.html","3491")</f>
      </c>
      <c r="B3038" t="s">
        <v>454</v>
      </c>
      <c r="C3038" t="s">
        <v>611</v>
      </c>
      <c r="D3038" t="s">
        <v>611</v>
      </c>
      <c r="E3038" t="s">
        <v>15</v>
      </c>
      <c r="F3038" t="s">
        <v>9558</v>
      </c>
      <c r="G3038" t="s">
        <v>18067</v>
      </c>
      <c r="H3038" t="s">
        <v>1121</v>
      </c>
      <c r="I3038" t="s">
        <v>1117</v>
      </c>
      <c r="J3038" t="s">
        <v>9559</v>
      </c>
      <c r="K3038" t="s">
        <v>9560</v>
      </c>
      <c r="L3038" t="s">
        <v>21</v>
      </c>
      <c r="M3038" t="s">
        <v>19177</v>
      </c>
      <c r="N3038" t="s">
        <v>594</v>
      </c>
      <c r="O3038" t="s">
        <v>531</v>
      </c>
      <c r="P3038" t="s">
        <v>454</v>
      </c>
    </row>
    <row r="3039">
      <c r="A3039">
        <f>HYPERLINK("http://bombeiros.sp.gov.br/hidrantes/03individual/3492.html","3492")</f>
      </c>
      <c r="B3039" t="s">
        <v>454</v>
      </c>
      <c r="C3039" t="s">
        <v>611</v>
      </c>
      <c r="D3039" t="s">
        <v>611</v>
      </c>
      <c r="E3039" t="s">
        <v>15</v>
      </c>
      <c r="F3039" t="s">
        <v>9561</v>
      </c>
      <c r="G3039" t="s">
        <v>18471</v>
      </c>
      <c r="H3039" t="s">
        <v>1121</v>
      </c>
      <c r="I3039" t="s">
        <v>1117</v>
      </c>
      <c r="J3039" t="s">
        <v>9562</v>
      </c>
      <c r="K3039" t="s">
        <v>9563</v>
      </c>
      <c r="L3039" t="s">
        <v>21</v>
      </c>
      <c r="M3039" t="s">
        <v>19177</v>
      </c>
      <c r="N3039" t="s">
        <v>594</v>
      </c>
      <c r="O3039" t="s">
        <v>531</v>
      </c>
      <c r="P3039" t="s">
        <v>454</v>
      </c>
    </row>
    <row r="3040">
      <c r="A3040">
        <f>HYPERLINK("http://bombeiros.sp.gov.br/hidrantes/03individual/3494.html","3494")</f>
      </c>
      <c r="B3040" t="s">
        <v>454</v>
      </c>
      <c r="C3040" t="s">
        <v>611</v>
      </c>
      <c r="D3040" t="s">
        <v>611</v>
      </c>
      <c r="E3040" t="s">
        <v>15</v>
      </c>
      <c r="F3040" t="s">
        <v>9564</v>
      </c>
      <c r="G3040" t="s">
        <v>18143</v>
      </c>
      <c r="H3040" t="s">
        <v>1112</v>
      </c>
      <c r="I3040" t="s">
        <v>1108</v>
      </c>
      <c r="J3040" t="s">
        <v>9565</v>
      </c>
      <c r="K3040" t="s">
        <v>9566</v>
      </c>
      <c r="L3040" t="s">
        <v>21</v>
      </c>
      <c r="M3040" t="s">
        <v>19177</v>
      </c>
      <c r="N3040" t="s">
        <v>594</v>
      </c>
      <c r="O3040" t="s">
        <v>531</v>
      </c>
      <c r="P3040" t="s">
        <v>454</v>
      </c>
    </row>
    <row r="3041">
      <c r="A3041">
        <f>HYPERLINK("http://bombeiros.sp.gov.br/hidrantes/03individual/3496.html","3496")</f>
      </c>
      <c r="B3041" t="s">
        <v>454</v>
      </c>
      <c r="C3041" t="s">
        <v>611</v>
      </c>
      <c r="D3041" t="s">
        <v>611</v>
      </c>
      <c r="E3041" t="s">
        <v>15</v>
      </c>
      <c r="F3041" t="s">
        <v>9567</v>
      </c>
      <c r="G3041" t="s">
        <v>18067</v>
      </c>
      <c r="H3041" t="s">
        <v>1107</v>
      </c>
      <c r="I3041" t="s">
        <v>1108</v>
      </c>
      <c r="J3041" t="s">
        <v>9568</v>
      </c>
      <c r="K3041" t="s">
        <v>9569</v>
      </c>
      <c r="L3041" t="s">
        <v>21</v>
      </c>
      <c r="M3041" t="s">
        <v>19177</v>
      </c>
      <c r="N3041" t="s">
        <v>594</v>
      </c>
      <c r="O3041" t="s">
        <v>531</v>
      </c>
      <c r="P3041" t="s">
        <v>454</v>
      </c>
    </row>
    <row r="3042">
      <c r="A3042">
        <f>HYPERLINK("http://bombeiros.sp.gov.br/hidrantes/03individual/3497.html","3497")</f>
      </c>
      <c r="B3042" t="s">
        <v>454</v>
      </c>
      <c r="C3042" t="s">
        <v>611</v>
      </c>
      <c r="D3042" t="s">
        <v>611</v>
      </c>
      <c r="E3042" t="s">
        <v>15</v>
      </c>
      <c r="F3042" t="s">
        <v>9570</v>
      </c>
      <c r="G3042" t="s">
        <v>18133</v>
      </c>
      <c r="H3042" t="s">
        <v>1112</v>
      </c>
      <c r="I3042" t="s">
        <v>1108</v>
      </c>
      <c r="J3042" t="s">
        <v>9571</v>
      </c>
      <c r="K3042" t="s">
        <v>9572</v>
      </c>
      <c r="L3042" t="s">
        <v>21</v>
      </c>
      <c r="M3042" t="s">
        <v>19177</v>
      </c>
      <c r="N3042" t="s">
        <v>594</v>
      </c>
      <c r="O3042" t="s">
        <v>531</v>
      </c>
      <c r="P3042" t="s">
        <v>454</v>
      </c>
    </row>
    <row r="3043">
      <c r="A3043">
        <f>HYPERLINK("http://bombeiros.sp.gov.br/hidrantes/03individual/3498.html","3498")</f>
      </c>
      <c r="B3043" t="s">
        <v>454</v>
      </c>
      <c r="C3043" t="s">
        <v>611</v>
      </c>
      <c r="D3043" t="s">
        <v>611</v>
      </c>
      <c r="E3043" t="s">
        <v>15</v>
      </c>
      <c r="F3043" t="s">
        <v>9573</v>
      </c>
      <c r="G3043" t="s">
        <v>18067</v>
      </c>
      <c r="H3043" t="s">
        <v>1174</v>
      </c>
      <c r="I3043" t="s">
        <v>1108</v>
      </c>
      <c r="J3043" t="s">
        <v>9574</v>
      </c>
      <c r="K3043" t="s">
        <v>9575</v>
      </c>
      <c r="L3043" t="s">
        <v>21</v>
      </c>
      <c r="M3043" t="s">
        <v>19177</v>
      </c>
      <c r="N3043" t="s">
        <v>594</v>
      </c>
      <c r="O3043" t="s">
        <v>531</v>
      </c>
      <c r="P3043" t="s">
        <v>454</v>
      </c>
    </row>
    <row r="3044">
      <c r="A3044">
        <f>HYPERLINK("http://bombeiros.sp.gov.br/hidrantes/03individual/3509.html","3509")</f>
      </c>
      <c r="B3044" t="s">
        <v>454</v>
      </c>
      <c r="C3044" t="s">
        <v>611</v>
      </c>
      <c r="D3044" t="s">
        <v>611</v>
      </c>
      <c r="E3044" t="s">
        <v>15</v>
      </c>
      <c r="F3044" t="s">
        <v>9576</v>
      </c>
      <c r="G3044" t="s">
        <v>18084</v>
      </c>
      <c r="H3044" t="s">
        <v>1174</v>
      </c>
      <c r="I3044" t="s">
        <v>1108</v>
      </c>
      <c r="J3044" t="s">
        <v>9577</v>
      </c>
      <c r="K3044" t="s">
        <v>9578</v>
      </c>
      <c r="L3044" t="s">
        <v>21</v>
      </c>
      <c r="M3044" t="s">
        <v>19177</v>
      </c>
      <c r="N3044" t="s">
        <v>594</v>
      </c>
      <c r="O3044" t="s">
        <v>531</v>
      </c>
      <c r="P3044" t="s">
        <v>454</v>
      </c>
    </row>
    <row r="3045">
      <c r="A3045">
        <f>HYPERLINK("http://bombeiros.sp.gov.br/hidrantes/03individual/17752.html","17752")</f>
      </c>
      <c r="B3045" t="s">
        <v>454</v>
      </c>
      <c r="C3045" t="s">
        <v>611</v>
      </c>
      <c r="D3045" t="s">
        <v>611</v>
      </c>
      <c r="E3045" t="s">
        <v>15</v>
      </c>
      <c r="F3045" t="s">
        <v>9579</v>
      </c>
      <c r="G3045" t="s">
        <v>18067</v>
      </c>
      <c r="H3045" t="s">
        <v>1174</v>
      </c>
      <c r="I3045" t="s">
        <v>1108</v>
      </c>
      <c r="J3045" t="s">
        <v>9580</v>
      </c>
      <c r="K3045" t="s">
        <v>9581</v>
      </c>
      <c r="L3045" t="s">
        <v>21</v>
      </c>
      <c r="M3045" t="s">
        <v>19177</v>
      </c>
      <c r="N3045" t="s">
        <v>594</v>
      </c>
      <c r="O3045" t="s">
        <v>531</v>
      </c>
      <c r="P3045" t="s">
        <v>454</v>
      </c>
    </row>
    <row r="3046">
      <c r="A3046">
        <f>HYPERLINK("http://bombeiros.sp.gov.br/hidrantes/03individual/28377.html","28377")</f>
      </c>
      <c r="B3046" t="s">
        <v>454</v>
      </c>
      <c r="C3046" t="s">
        <v>611</v>
      </c>
      <c r="D3046" t="s">
        <v>611</v>
      </c>
      <c r="E3046" t="s">
        <v>15</v>
      </c>
      <c r="F3046" t="s">
        <v>18648</v>
      </c>
      <c r="G3046"/>
      <c r="H3046"/>
      <c r="I3046" t="s">
        <v>1503</v>
      </c>
      <c r="J3046" t="s">
        <v>18649</v>
      </c>
      <c r="K3046" t="s">
        <v>18650</v>
      </c>
      <c r="L3046" t="s">
        <v>21</v>
      </c>
      <c r="M3046" t="s">
        <v>19177</v>
      </c>
      <c r="N3046" t="s">
        <v>594</v>
      </c>
      <c r="O3046" t="s">
        <v>531</v>
      </c>
      <c r="P3046" t="s">
        <v>454</v>
      </c>
    </row>
    <row r="3047">
      <c r="A3047">
        <f>HYPERLINK("http://bombeiros.sp.gov.br/hidrantes/03individual/28378.html","28378")</f>
      </c>
      <c r="B3047" t="s">
        <v>454</v>
      </c>
      <c r="C3047" t="s">
        <v>611</v>
      </c>
      <c r="D3047" t="s">
        <v>611</v>
      </c>
      <c r="E3047" t="s">
        <v>15</v>
      </c>
      <c r="F3047" t="s">
        <v>18651</v>
      </c>
      <c r="G3047"/>
      <c r="H3047"/>
      <c r="I3047" t="s">
        <v>1503</v>
      </c>
      <c r="J3047" t="s">
        <v>18652</v>
      </c>
      <c r="K3047" t="s">
        <v>18653</v>
      </c>
      <c r="L3047" t="s">
        <v>21</v>
      </c>
      <c r="M3047" t="s">
        <v>19177</v>
      </c>
      <c r="N3047" t="s">
        <v>594</v>
      </c>
      <c r="O3047" t="s">
        <v>531</v>
      </c>
      <c r="P3047" t="s">
        <v>454</v>
      </c>
    </row>
    <row r="3048">
      <c r="A3048">
        <f>HYPERLINK("http://bombeiros.sp.gov.br/hidrantes/03individual/902.html","902")</f>
      </c>
      <c r="B3048" t="s">
        <v>623</v>
      </c>
      <c r="C3048" t="s">
        <v>624</v>
      </c>
      <c r="D3048" t="s">
        <v>624</v>
      </c>
      <c r="E3048" t="s">
        <v>64</v>
      </c>
      <c r="F3048" t="s">
        <v>9582</v>
      </c>
      <c r="G3048" t="s">
        <v>18091</v>
      </c>
      <c r="H3048" t="s">
        <v>1121</v>
      </c>
      <c r="I3048" t="s">
        <v>1117</v>
      </c>
      <c r="J3048" t="s">
        <v>9584</v>
      </c>
      <c r="K3048" t="s">
        <v>9585</v>
      </c>
      <c r="L3048" t="s">
        <v>36</v>
      </c>
      <c r="M3048" t="s">
        <v>19177</v>
      </c>
      <c r="N3048" t="s">
        <v>714</v>
      </c>
      <c r="O3048" t="s">
        <v>10263</v>
      </c>
      <c r="P3048" t="s">
        <v>12</v>
      </c>
    </row>
    <row r="3049">
      <c r="A3049">
        <f>HYPERLINK("http://bombeiros.sp.gov.br/hidrantes/03individual/1392.html","1392")</f>
      </c>
      <c r="B3049" t="s">
        <v>623</v>
      </c>
      <c r="C3049" t="s">
        <v>624</v>
      </c>
      <c r="D3049" t="s">
        <v>624</v>
      </c>
      <c r="E3049" t="s">
        <v>64</v>
      </c>
      <c r="F3049" t="s">
        <v>9586</v>
      </c>
      <c r="G3049" t="s">
        <v>18095</v>
      </c>
      <c r="H3049" t="s">
        <v>1112</v>
      </c>
      <c r="I3049" t="s">
        <v>1108</v>
      </c>
      <c r="J3049" t="s">
        <v>9587</v>
      </c>
      <c r="K3049" t="s">
        <v>9588</v>
      </c>
      <c r="L3049" t="s">
        <v>36</v>
      </c>
      <c r="M3049" t="s">
        <v>19177</v>
      </c>
      <c r="N3049" t="s">
        <v>714</v>
      </c>
      <c r="O3049" t="s">
        <v>10263</v>
      </c>
      <c r="P3049" t="s">
        <v>12</v>
      </c>
    </row>
    <row r="3050">
      <c r="A3050">
        <f>HYPERLINK("http://bombeiros.sp.gov.br/hidrantes/03individual/27168.html","27168")</f>
      </c>
      <c r="B3050" t="s">
        <v>623</v>
      </c>
      <c r="C3050" t="s">
        <v>624</v>
      </c>
      <c r="D3050" t="s">
        <v>624</v>
      </c>
      <c r="E3050" t="s">
        <v>64</v>
      </c>
      <c r="F3050" t="s">
        <v>16878</v>
      </c>
      <c r="G3050" t="s">
        <v>18095</v>
      </c>
      <c r="H3050" t="s">
        <v>1112</v>
      </c>
      <c r="I3050" t="s">
        <v>1108</v>
      </c>
      <c r="J3050" t="s">
        <v>16879</v>
      </c>
      <c r="K3050" t="s">
        <v>16880</v>
      </c>
      <c r="L3050" t="s">
        <v>21</v>
      </c>
      <c r="M3050" t="s">
        <v>19177</v>
      </c>
      <c r="N3050" t="s">
        <v>714</v>
      </c>
      <c r="O3050" t="s">
        <v>10263</v>
      </c>
      <c r="P3050" t="s">
        <v>12</v>
      </c>
    </row>
    <row r="3051">
      <c r="A3051">
        <f>HYPERLINK("http://bombeiros.sp.gov.br/hidrantes/03individual/1382.html","1382")</f>
      </c>
      <c r="B3051" t="s">
        <v>623</v>
      </c>
      <c r="C3051" t="s">
        <v>624</v>
      </c>
      <c r="D3051" t="s">
        <v>624</v>
      </c>
      <c r="E3051" t="s">
        <v>15</v>
      </c>
      <c r="F3051" t="s">
        <v>9589</v>
      </c>
      <c r="G3051" t="s">
        <v>18139</v>
      </c>
      <c r="H3051" t="s">
        <v>1121</v>
      </c>
      <c r="I3051" t="s">
        <v>1117</v>
      </c>
      <c r="J3051" t="s">
        <v>9590</v>
      </c>
      <c r="K3051" t="s">
        <v>9591</v>
      </c>
      <c r="L3051" t="s">
        <v>21</v>
      </c>
      <c r="M3051" t="s">
        <v>19177</v>
      </c>
      <c r="N3051" t="s">
        <v>714</v>
      </c>
      <c r="O3051" t="s">
        <v>10263</v>
      </c>
      <c r="P3051" t="s">
        <v>12</v>
      </c>
    </row>
    <row r="3052">
      <c r="A3052">
        <f>HYPERLINK("http://bombeiros.sp.gov.br/hidrantes/03individual/1393.html","1393")</f>
      </c>
      <c r="B3052" t="s">
        <v>623</v>
      </c>
      <c r="C3052" t="s">
        <v>624</v>
      </c>
      <c r="D3052" t="s">
        <v>624</v>
      </c>
      <c r="E3052" t="s">
        <v>15</v>
      </c>
      <c r="F3052" t="s">
        <v>9592</v>
      </c>
      <c r="G3052" t="s">
        <v>18145</v>
      </c>
      <c r="H3052" t="s">
        <v>1121</v>
      </c>
      <c r="I3052" t="s">
        <v>1117</v>
      </c>
      <c r="J3052" t="s">
        <v>9593</v>
      </c>
      <c r="K3052" t="s">
        <v>9594</v>
      </c>
      <c r="L3052" t="s">
        <v>21</v>
      </c>
      <c r="M3052" t="s">
        <v>19177</v>
      </c>
      <c r="N3052" t="s">
        <v>714</v>
      </c>
      <c r="O3052" t="s">
        <v>10263</v>
      </c>
      <c r="P3052" t="s">
        <v>12</v>
      </c>
    </row>
    <row r="3053">
      <c r="A3053">
        <f>HYPERLINK("http://bombeiros.sp.gov.br/hidrantes/03individual/4258.html","4258")</f>
      </c>
      <c r="B3053" t="s">
        <v>623</v>
      </c>
      <c r="C3053" t="s">
        <v>624</v>
      </c>
      <c r="D3053" t="s">
        <v>624</v>
      </c>
      <c r="E3053" t="s">
        <v>15</v>
      </c>
      <c r="F3053" t="s">
        <v>9595</v>
      </c>
      <c r="G3053" t="s">
        <v>18139</v>
      </c>
      <c r="H3053" t="s">
        <v>1121</v>
      </c>
      <c r="I3053" t="s">
        <v>1117</v>
      </c>
      <c r="J3053" t="s">
        <v>9597</v>
      </c>
      <c r="K3053" t="s">
        <v>9598</v>
      </c>
      <c r="L3053" t="s">
        <v>21</v>
      </c>
      <c r="M3053" t="s">
        <v>19177</v>
      </c>
      <c r="N3053" t="s">
        <v>714</v>
      </c>
      <c r="O3053" t="s">
        <v>10263</v>
      </c>
      <c r="P3053" t="s">
        <v>12</v>
      </c>
    </row>
    <row r="3054">
      <c r="A3054">
        <f>HYPERLINK("http://bombeiros.sp.gov.br/hidrantes/03individual/16579.html","16579")</f>
      </c>
      <c r="B3054" t="s">
        <v>623</v>
      </c>
      <c r="C3054" t="s">
        <v>624</v>
      </c>
      <c r="D3054" t="s">
        <v>624</v>
      </c>
      <c r="E3054" t="s">
        <v>15</v>
      </c>
      <c r="F3054" t="s">
        <v>9599</v>
      </c>
      <c r="G3054" t="s">
        <v>18145</v>
      </c>
      <c r="H3054" t="s">
        <v>1112</v>
      </c>
      <c r="I3054" t="s">
        <v>1108</v>
      </c>
      <c r="J3054" t="s">
        <v>9600</v>
      </c>
      <c r="K3054" t="s">
        <v>9601</v>
      </c>
      <c r="L3054" t="s">
        <v>21</v>
      </c>
      <c r="M3054" t="s">
        <v>19177</v>
      </c>
      <c r="N3054" t="s">
        <v>714</v>
      </c>
      <c r="O3054" t="s">
        <v>10263</v>
      </c>
      <c r="P3054" t="s">
        <v>12</v>
      </c>
    </row>
    <row r="3055">
      <c r="A3055">
        <f>HYPERLINK("http://bombeiros.sp.gov.br/hidrantes/03individual/17705.html","17705")</f>
      </c>
      <c r="B3055" t="s">
        <v>623</v>
      </c>
      <c r="C3055" t="s">
        <v>624</v>
      </c>
      <c r="D3055" t="s">
        <v>624</v>
      </c>
      <c r="E3055" t="s">
        <v>15</v>
      </c>
      <c r="F3055" t="s">
        <v>9602</v>
      </c>
      <c r="G3055" t="s">
        <v>18143</v>
      </c>
      <c r="H3055" t="s">
        <v>1174</v>
      </c>
      <c r="I3055" t="s">
        <v>1117</v>
      </c>
      <c r="J3055" t="s">
        <v>9603</v>
      </c>
      <c r="K3055" t="s">
        <v>9604</v>
      </c>
      <c r="L3055" t="s">
        <v>21</v>
      </c>
      <c r="M3055" t="s">
        <v>19177</v>
      </c>
      <c r="N3055" t="s">
        <v>714</v>
      </c>
      <c r="O3055" t="s">
        <v>10263</v>
      </c>
      <c r="P3055" t="s">
        <v>12</v>
      </c>
    </row>
    <row r="3056">
      <c r="A3056">
        <f>HYPERLINK("http://bombeiros.sp.gov.br/hidrantes/03individual/28034.html","28034")</f>
      </c>
      <c r="B3056" t="s">
        <v>623</v>
      </c>
      <c r="C3056" t="s">
        <v>624</v>
      </c>
      <c r="D3056" t="s">
        <v>624</v>
      </c>
      <c r="E3056" t="s">
        <v>15</v>
      </c>
      <c r="F3056" t="s">
        <v>18140</v>
      </c>
      <c r="G3056" t="s">
        <v>18085</v>
      </c>
      <c r="H3056" t="s">
        <v>1107</v>
      </c>
      <c r="I3056" t="s">
        <v>1108</v>
      </c>
      <c r="J3056" t="s">
        <v>18141</v>
      </c>
      <c r="K3056" t="s">
        <v>18142</v>
      </c>
      <c r="L3056" t="s">
        <v>21</v>
      </c>
      <c r="M3056" t="s">
        <v>19177</v>
      </c>
      <c r="N3056" t="s">
        <v>714</v>
      </c>
      <c r="O3056" t="s">
        <v>10263</v>
      </c>
      <c r="P3056" t="s">
        <v>12</v>
      </c>
    </row>
    <row r="3057">
      <c r="A3057">
        <f>HYPERLINK("http://bombeiros.sp.gov.br/hidrantes/03individual/28088.html","28088")</f>
      </c>
      <c r="B3057" t="s">
        <v>623</v>
      </c>
      <c r="C3057" t="s">
        <v>624</v>
      </c>
      <c r="D3057" t="s">
        <v>624</v>
      </c>
      <c r="E3057" t="s">
        <v>15</v>
      </c>
      <c r="F3057" t="s">
        <v>18320</v>
      </c>
      <c r="G3057" t="s">
        <v>18107</v>
      </c>
      <c r="H3057" t="s">
        <v>1174</v>
      </c>
      <c r="I3057" t="s">
        <v>1117</v>
      </c>
      <c r="J3057" t="s">
        <v>18321</v>
      </c>
      <c r="K3057" t="s">
        <v>18322</v>
      </c>
      <c r="L3057" t="s">
        <v>21</v>
      </c>
      <c r="M3057" t="s">
        <v>19177</v>
      </c>
      <c r="N3057" t="s">
        <v>714</v>
      </c>
      <c r="O3057" t="s">
        <v>10263</v>
      </c>
      <c r="P3057" t="s">
        <v>12</v>
      </c>
    </row>
    <row r="3058">
      <c r="A3058">
        <f>HYPERLINK("http://bombeiros.sp.gov.br/hidrantes/03individual/839.html","839")</f>
      </c>
      <c r="B3058" t="s">
        <v>623</v>
      </c>
      <c r="C3058" t="s">
        <v>624</v>
      </c>
      <c r="D3058" t="s">
        <v>9605</v>
      </c>
      <c r="E3058" t="s">
        <v>64</v>
      </c>
      <c r="F3058" t="s">
        <v>9606</v>
      </c>
      <c r="G3058" t="s">
        <v>18094</v>
      </c>
      <c r="H3058" t="s">
        <v>1174</v>
      </c>
      <c r="I3058" t="s">
        <v>1108</v>
      </c>
      <c r="J3058" t="s">
        <v>9608</v>
      </c>
      <c r="K3058" t="s">
        <v>9609</v>
      </c>
      <c r="L3058" t="s">
        <v>36</v>
      </c>
      <c r="M3058" t="s">
        <v>19177</v>
      </c>
      <c r="N3058" t="s">
        <v>714</v>
      </c>
      <c r="O3058" t="s">
        <v>10263</v>
      </c>
      <c r="P3058" t="s">
        <v>12</v>
      </c>
    </row>
    <row r="3059">
      <c r="A3059">
        <f>HYPERLINK("http://bombeiros.sp.gov.br/hidrantes/03individual/1377.html","1377")</f>
      </c>
      <c r="B3059" t="s">
        <v>623</v>
      </c>
      <c r="C3059" t="s">
        <v>624</v>
      </c>
      <c r="D3059" t="s">
        <v>9605</v>
      </c>
      <c r="E3059" t="s">
        <v>64</v>
      </c>
      <c r="F3059" t="s">
        <v>9610</v>
      </c>
      <c r="G3059" t="s">
        <v>18143</v>
      </c>
      <c r="H3059" t="s">
        <v>1121</v>
      </c>
      <c r="I3059" t="s">
        <v>1117</v>
      </c>
      <c r="J3059" t="s">
        <v>9611</v>
      </c>
      <c r="K3059" t="s">
        <v>9612</v>
      </c>
      <c r="L3059" t="s">
        <v>21</v>
      </c>
      <c r="M3059" t="s">
        <v>19177</v>
      </c>
      <c r="N3059" t="s">
        <v>714</v>
      </c>
      <c r="O3059" t="s">
        <v>10263</v>
      </c>
      <c r="P3059" t="s">
        <v>12</v>
      </c>
    </row>
    <row r="3060">
      <c r="A3060">
        <f>HYPERLINK("http://bombeiros.sp.gov.br/hidrantes/03individual/6654.html","6654")</f>
      </c>
      <c r="B3060" t="s">
        <v>623</v>
      </c>
      <c r="C3060" t="s">
        <v>624</v>
      </c>
      <c r="D3060" t="s">
        <v>9605</v>
      </c>
      <c r="E3060" t="s">
        <v>64</v>
      </c>
      <c r="F3060" t="s">
        <v>9613</v>
      </c>
      <c r="G3060" t="s">
        <v>18094</v>
      </c>
      <c r="H3060" t="s">
        <v>1112</v>
      </c>
      <c r="I3060" t="s">
        <v>1108</v>
      </c>
      <c r="J3060" t="s">
        <v>16084</v>
      </c>
      <c r="K3060" t="s">
        <v>16085</v>
      </c>
      <c r="L3060" t="s">
        <v>21</v>
      </c>
      <c r="M3060" t="s">
        <v>19177</v>
      </c>
      <c r="N3060" t="s">
        <v>714</v>
      </c>
      <c r="O3060" t="s">
        <v>10263</v>
      </c>
      <c r="P3060" t="s">
        <v>12</v>
      </c>
    </row>
    <row r="3061">
      <c r="A3061">
        <f>HYPERLINK("http://bombeiros.sp.gov.br/hidrantes/03individual/6655.html","6655")</f>
      </c>
      <c r="B3061" t="s">
        <v>623</v>
      </c>
      <c r="C3061" t="s">
        <v>624</v>
      </c>
      <c r="D3061" t="s">
        <v>9605</v>
      </c>
      <c r="E3061" t="s">
        <v>64</v>
      </c>
      <c r="F3061" t="s">
        <v>9616</v>
      </c>
      <c r="G3061" t="s">
        <v>18094</v>
      </c>
      <c r="H3061" t="s">
        <v>1112</v>
      </c>
      <c r="I3061" t="s">
        <v>1108</v>
      </c>
      <c r="J3061" t="s">
        <v>9617</v>
      </c>
      <c r="K3061" t="s">
        <v>9618</v>
      </c>
      <c r="L3061" t="s">
        <v>21</v>
      </c>
      <c r="M3061" t="s">
        <v>19177</v>
      </c>
      <c r="N3061" t="s">
        <v>714</v>
      </c>
      <c r="O3061" t="s">
        <v>10263</v>
      </c>
      <c r="P3061" t="s">
        <v>12</v>
      </c>
    </row>
    <row r="3062">
      <c r="A3062">
        <f>HYPERLINK("http://bombeiros.sp.gov.br/hidrantes/03individual/6662.html","6662")</f>
      </c>
      <c r="B3062" t="s">
        <v>623</v>
      </c>
      <c r="C3062" t="s">
        <v>624</v>
      </c>
      <c r="D3062" t="s">
        <v>9605</v>
      </c>
      <c r="E3062" t="s">
        <v>64</v>
      </c>
      <c r="F3062" t="s">
        <v>9619</v>
      </c>
      <c r="G3062" t="s">
        <v>18094</v>
      </c>
      <c r="H3062" t="s">
        <v>1112</v>
      </c>
      <c r="I3062" t="s">
        <v>1108</v>
      </c>
      <c r="J3062" t="s">
        <v>9620</v>
      </c>
      <c r="K3062" t="s">
        <v>9621</v>
      </c>
      <c r="L3062" t="s">
        <v>21</v>
      </c>
      <c r="M3062" t="s">
        <v>19177</v>
      </c>
      <c r="N3062" t="s">
        <v>714</v>
      </c>
      <c r="O3062" t="s">
        <v>10263</v>
      </c>
      <c r="P3062" t="s">
        <v>12</v>
      </c>
    </row>
    <row r="3063">
      <c r="A3063">
        <f>HYPERLINK("http://bombeiros.sp.gov.br/hidrantes/03individual/1269.html","1269")</f>
      </c>
      <c r="B3063" t="s">
        <v>623</v>
      </c>
      <c r="C3063" t="s">
        <v>624</v>
      </c>
      <c r="D3063" t="s">
        <v>9605</v>
      </c>
      <c r="E3063" t="s">
        <v>15</v>
      </c>
      <c r="F3063" t="s">
        <v>9622</v>
      </c>
      <c r="G3063" t="s">
        <v>18143</v>
      </c>
      <c r="H3063" t="s">
        <v>1107</v>
      </c>
      <c r="I3063" t="s">
        <v>1108</v>
      </c>
      <c r="J3063" t="s">
        <v>9623</v>
      </c>
      <c r="K3063" t="s">
        <v>9624</v>
      </c>
      <c r="L3063" t="s">
        <v>21</v>
      </c>
      <c r="M3063" t="s">
        <v>19177</v>
      </c>
      <c r="N3063" t="s">
        <v>714</v>
      </c>
      <c r="O3063" t="s">
        <v>10263</v>
      </c>
      <c r="P3063" t="s">
        <v>12</v>
      </c>
    </row>
    <row r="3064">
      <c r="A3064">
        <f>HYPERLINK("http://bombeiros.sp.gov.br/hidrantes/03individual/1280.html","1280")</f>
      </c>
      <c r="B3064" t="s">
        <v>623</v>
      </c>
      <c r="C3064" t="s">
        <v>624</v>
      </c>
      <c r="D3064" t="s">
        <v>9605</v>
      </c>
      <c r="E3064" t="s">
        <v>15</v>
      </c>
      <c r="F3064" t="s">
        <v>9625</v>
      </c>
      <c r="G3064" t="s">
        <v>18057</v>
      </c>
      <c r="H3064" t="s">
        <v>1121</v>
      </c>
      <c r="I3064" t="s">
        <v>1117</v>
      </c>
      <c r="J3064" t="s">
        <v>9627</v>
      </c>
      <c r="K3064" t="s">
        <v>9628</v>
      </c>
      <c r="L3064" t="s">
        <v>21</v>
      </c>
      <c r="M3064" t="s">
        <v>19177</v>
      </c>
      <c r="N3064" t="s">
        <v>714</v>
      </c>
      <c r="O3064" t="s">
        <v>10263</v>
      </c>
      <c r="P3064" t="s">
        <v>12</v>
      </c>
    </row>
    <row r="3065">
      <c r="A3065">
        <f>HYPERLINK("http://bombeiros.sp.gov.br/hidrantes/03individual/1282.html","1282")</f>
      </c>
      <c r="B3065" t="s">
        <v>623</v>
      </c>
      <c r="C3065" t="s">
        <v>624</v>
      </c>
      <c r="D3065" t="s">
        <v>9605</v>
      </c>
      <c r="E3065" t="s">
        <v>15</v>
      </c>
      <c r="F3065" t="s">
        <v>9629</v>
      </c>
      <c r="G3065" t="s">
        <v>18143</v>
      </c>
      <c r="H3065" t="s">
        <v>1112</v>
      </c>
      <c r="I3065" t="s">
        <v>1108</v>
      </c>
      <c r="J3065" t="s">
        <v>9630</v>
      </c>
      <c r="K3065" t="s">
        <v>9631</v>
      </c>
      <c r="L3065" t="s">
        <v>21</v>
      </c>
      <c r="M3065" t="s">
        <v>19177</v>
      </c>
      <c r="N3065" t="s">
        <v>714</v>
      </c>
      <c r="O3065" t="s">
        <v>10263</v>
      </c>
      <c r="P3065" t="s">
        <v>12</v>
      </c>
    </row>
    <row r="3066">
      <c r="A3066">
        <f>HYPERLINK("http://bombeiros.sp.gov.br/hidrantes/03individual/1376.html","1376")</f>
      </c>
      <c r="B3066" t="s">
        <v>623</v>
      </c>
      <c r="C3066" t="s">
        <v>624</v>
      </c>
      <c r="D3066" t="s">
        <v>9605</v>
      </c>
      <c r="E3066" t="s">
        <v>15</v>
      </c>
      <c r="F3066" t="s">
        <v>9632</v>
      </c>
      <c r="G3066" t="s">
        <v>18139</v>
      </c>
      <c r="H3066" t="s">
        <v>1112</v>
      </c>
      <c r="I3066" t="s">
        <v>1108</v>
      </c>
      <c r="J3066" t="s">
        <v>9633</v>
      </c>
      <c r="K3066" t="s">
        <v>9634</v>
      </c>
      <c r="L3066" t="s">
        <v>21</v>
      </c>
      <c r="M3066" t="s">
        <v>19177</v>
      </c>
      <c r="N3066" t="s">
        <v>714</v>
      </c>
      <c r="O3066" t="s">
        <v>10263</v>
      </c>
      <c r="P3066" t="s">
        <v>12</v>
      </c>
    </row>
    <row r="3067">
      <c r="A3067">
        <f>HYPERLINK("http://bombeiros.sp.gov.br/hidrantes/03individual/4717.html","4717")</f>
      </c>
      <c r="B3067" t="s">
        <v>623</v>
      </c>
      <c r="C3067" t="s">
        <v>624</v>
      </c>
      <c r="D3067" t="s">
        <v>9605</v>
      </c>
      <c r="E3067" t="s">
        <v>15</v>
      </c>
      <c r="F3067" t="s">
        <v>9635</v>
      </c>
      <c r="G3067" t="s">
        <v>18143</v>
      </c>
      <c r="H3067" t="s">
        <v>1107</v>
      </c>
      <c r="I3067" t="s">
        <v>1108</v>
      </c>
      <c r="J3067" t="s">
        <v>9636</v>
      </c>
      <c r="K3067" t="s">
        <v>16952</v>
      </c>
      <c r="L3067" t="s">
        <v>21</v>
      </c>
      <c r="M3067" t="s">
        <v>19177</v>
      </c>
      <c r="N3067" t="s">
        <v>714</v>
      </c>
      <c r="O3067" t="s">
        <v>10263</v>
      </c>
      <c r="P3067" t="s">
        <v>12</v>
      </c>
    </row>
    <row r="3068">
      <c r="A3068">
        <f>HYPERLINK("http://bombeiros.sp.gov.br/hidrantes/03individual/17706.html","17706")</f>
      </c>
      <c r="B3068" t="s">
        <v>623</v>
      </c>
      <c r="C3068" t="s">
        <v>624</v>
      </c>
      <c r="D3068" t="s">
        <v>9605</v>
      </c>
      <c r="E3068" t="s">
        <v>15</v>
      </c>
      <c r="F3068" t="s">
        <v>9638</v>
      </c>
      <c r="G3068" t="s">
        <v>18139</v>
      </c>
      <c r="H3068" t="s">
        <v>1107</v>
      </c>
      <c r="I3068" t="s">
        <v>1108</v>
      </c>
      <c r="J3068" t="s">
        <v>9639</v>
      </c>
      <c r="K3068" t="s">
        <v>9640</v>
      </c>
      <c r="L3068" t="s">
        <v>21</v>
      </c>
      <c r="M3068" t="s">
        <v>19177</v>
      </c>
      <c r="N3068" t="s">
        <v>714</v>
      </c>
      <c r="O3068" t="s">
        <v>10263</v>
      </c>
      <c r="P3068" t="s">
        <v>12</v>
      </c>
    </row>
    <row r="3069">
      <c r="A3069">
        <f>HYPERLINK("http://bombeiros.sp.gov.br/hidrantes/03individual/17777.html","17777")</f>
      </c>
      <c r="B3069" t="s">
        <v>623</v>
      </c>
      <c r="C3069" t="s">
        <v>624</v>
      </c>
      <c r="D3069" t="s">
        <v>9605</v>
      </c>
      <c r="E3069" t="s">
        <v>15</v>
      </c>
      <c r="F3069" t="s">
        <v>9641</v>
      </c>
      <c r="G3069" t="s">
        <v>18139</v>
      </c>
      <c r="H3069" t="s">
        <v>1112</v>
      </c>
      <c r="I3069" t="s">
        <v>1108</v>
      </c>
      <c r="J3069" t="s">
        <v>16511</v>
      </c>
      <c r="K3069" t="s">
        <v>16512</v>
      </c>
      <c r="L3069" t="s">
        <v>21</v>
      </c>
      <c r="M3069" t="s">
        <v>19177</v>
      </c>
      <c r="N3069" t="s">
        <v>714</v>
      </c>
      <c r="O3069" t="s">
        <v>10263</v>
      </c>
      <c r="P3069" t="s">
        <v>12</v>
      </c>
    </row>
    <row r="3070">
      <c r="A3070">
        <f>HYPERLINK("http://bombeiros.sp.gov.br/hidrantes/03individual/27761.html","27761")</f>
      </c>
      <c r="B3070" t="s">
        <v>623</v>
      </c>
      <c r="C3070" t="s">
        <v>624</v>
      </c>
      <c r="D3070" t="s">
        <v>9605</v>
      </c>
      <c r="E3070" t="s">
        <v>15</v>
      </c>
      <c r="F3070" t="s">
        <v>17732</v>
      </c>
      <c r="G3070" t="s">
        <v>18085</v>
      </c>
      <c r="H3070" t="s">
        <v>1121</v>
      </c>
      <c r="I3070" t="s">
        <v>1117</v>
      </c>
      <c r="J3070" t="s">
        <v>17733</v>
      </c>
      <c r="K3070" t="s">
        <v>17734</v>
      </c>
      <c r="L3070" t="s">
        <v>21</v>
      </c>
      <c r="M3070" t="s">
        <v>19177</v>
      </c>
      <c r="N3070" t="s">
        <v>714</v>
      </c>
      <c r="O3070" t="s">
        <v>10263</v>
      </c>
      <c r="P3070" t="s">
        <v>12</v>
      </c>
    </row>
    <row r="3071">
      <c r="A3071">
        <f>HYPERLINK("http://bombeiros.sp.gov.br/hidrantes/03individual/1276.html","1276")</f>
      </c>
      <c r="B3071" t="s">
        <v>623</v>
      </c>
      <c r="C3071" t="s">
        <v>624</v>
      </c>
      <c r="D3071" t="s">
        <v>625</v>
      </c>
      <c r="E3071" t="s">
        <v>15</v>
      </c>
      <c r="F3071" t="s">
        <v>9644</v>
      </c>
      <c r="G3071" t="s">
        <v>18057</v>
      </c>
      <c r="H3071" t="s">
        <v>1112</v>
      </c>
      <c r="I3071" t="s">
        <v>1108</v>
      </c>
      <c r="J3071" t="s">
        <v>9645</v>
      </c>
      <c r="K3071" t="s">
        <v>9646</v>
      </c>
      <c r="L3071" t="s">
        <v>21</v>
      </c>
      <c r="M3071" t="s">
        <v>19177</v>
      </c>
      <c r="N3071" t="s">
        <v>714</v>
      </c>
      <c r="O3071" t="s">
        <v>10263</v>
      </c>
      <c r="P3071" t="s">
        <v>12</v>
      </c>
    </row>
    <row r="3072">
      <c r="A3072">
        <f>HYPERLINK("http://bombeiros.sp.gov.br/hidrantes/03individual/2116.html","2116")</f>
      </c>
      <c r="B3072" t="s">
        <v>623</v>
      </c>
      <c r="C3072" t="s">
        <v>624</v>
      </c>
      <c r="D3072" t="s">
        <v>625</v>
      </c>
      <c r="E3072" t="s">
        <v>15</v>
      </c>
      <c r="F3072" t="s">
        <v>9650</v>
      </c>
      <c r="G3072" t="s">
        <v>18143</v>
      </c>
      <c r="H3072" t="s">
        <v>1107</v>
      </c>
      <c r="I3072" t="s">
        <v>1108</v>
      </c>
      <c r="J3072" t="s">
        <v>9651</v>
      </c>
      <c r="K3072" t="s">
        <v>9652</v>
      </c>
      <c r="L3072" t="s">
        <v>21</v>
      </c>
      <c r="M3072" t="s">
        <v>19177</v>
      </c>
      <c r="N3072" t="s">
        <v>714</v>
      </c>
      <c r="O3072" t="s">
        <v>10263</v>
      </c>
      <c r="P3072" t="s">
        <v>12</v>
      </c>
    </row>
    <row r="3073">
      <c r="A3073">
        <f>HYPERLINK("http://bombeiros.sp.gov.br/hidrantes/03individual/2144.html","2144")</f>
      </c>
      <c r="B3073" t="s">
        <v>623</v>
      </c>
      <c r="C3073" t="s">
        <v>624</v>
      </c>
      <c r="D3073" t="s">
        <v>625</v>
      </c>
      <c r="E3073" t="s">
        <v>15</v>
      </c>
      <c r="F3073" t="s">
        <v>9653</v>
      </c>
      <c r="G3073" t="s">
        <v>18084</v>
      </c>
      <c r="H3073" t="s">
        <v>1107</v>
      </c>
      <c r="I3073" t="s">
        <v>1108</v>
      </c>
      <c r="J3073" t="s">
        <v>9654</v>
      </c>
      <c r="K3073" t="s">
        <v>9655</v>
      </c>
      <c r="L3073" t="s">
        <v>21</v>
      </c>
      <c r="M3073" t="s">
        <v>19177</v>
      </c>
      <c r="N3073" t="s">
        <v>714</v>
      </c>
      <c r="O3073" t="s">
        <v>10263</v>
      </c>
      <c r="P3073" t="s">
        <v>12</v>
      </c>
    </row>
    <row r="3074">
      <c r="A3074">
        <f>HYPERLINK("http://bombeiros.sp.gov.br/hidrantes/03individual/2171.html","2171")</f>
      </c>
      <c r="B3074" t="s">
        <v>623</v>
      </c>
      <c r="C3074" t="s">
        <v>624</v>
      </c>
      <c r="D3074" t="s">
        <v>625</v>
      </c>
      <c r="E3074" t="s">
        <v>15</v>
      </c>
      <c r="F3074" t="s">
        <v>9656</v>
      </c>
      <c r="G3074" t="s">
        <v>18084</v>
      </c>
      <c r="H3074" t="s">
        <v>1112</v>
      </c>
      <c r="I3074" t="s">
        <v>1108</v>
      </c>
      <c r="J3074" t="s">
        <v>9657</v>
      </c>
      <c r="K3074" t="s">
        <v>9658</v>
      </c>
      <c r="L3074" t="s">
        <v>36</v>
      </c>
      <c r="M3074" t="s">
        <v>19177</v>
      </c>
      <c r="N3074" t="s">
        <v>714</v>
      </c>
      <c r="O3074" t="s">
        <v>10263</v>
      </c>
      <c r="P3074" t="s">
        <v>12</v>
      </c>
    </row>
    <row r="3075">
      <c r="A3075">
        <f>HYPERLINK("http://bombeiros.sp.gov.br/hidrantes/03individual/2194.html","2194")</f>
      </c>
      <c r="B3075" t="s">
        <v>623</v>
      </c>
      <c r="C3075" t="s">
        <v>624</v>
      </c>
      <c r="D3075" t="s">
        <v>625</v>
      </c>
      <c r="E3075" t="s">
        <v>15</v>
      </c>
      <c r="F3075" t="s">
        <v>9659</v>
      </c>
      <c r="G3075" t="s">
        <v>18084</v>
      </c>
      <c r="H3075" t="s">
        <v>1107</v>
      </c>
      <c r="I3075" t="s">
        <v>1108</v>
      </c>
      <c r="J3075" t="s">
        <v>9660</v>
      </c>
      <c r="K3075" t="s">
        <v>9661</v>
      </c>
      <c r="L3075" t="s">
        <v>21</v>
      </c>
      <c r="M3075" t="s">
        <v>19177</v>
      </c>
      <c r="N3075" t="s">
        <v>714</v>
      </c>
      <c r="O3075" t="s">
        <v>10263</v>
      </c>
      <c r="P3075" t="s">
        <v>12</v>
      </c>
    </row>
    <row r="3076">
      <c r="A3076">
        <f>HYPERLINK("http://bombeiros.sp.gov.br/hidrantes/03individual/2671.html","2671")</f>
      </c>
      <c r="B3076" t="s">
        <v>623</v>
      </c>
      <c r="C3076" t="s">
        <v>624</v>
      </c>
      <c r="D3076" t="s">
        <v>625</v>
      </c>
      <c r="E3076" t="s">
        <v>15</v>
      </c>
      <c r="F3076" t="s">
        <v>9662</v>
      </c>
      <c r="G3076" t="s">
        <v>18143</v>
      </c>
      <c r="H3076" t="s">
        <v>1112</v>
      </c>
      <c r="I3076" t="s">
        <v>1108</v>
      </c>
      <c r="J3076" t="s">
        <v>9663</v>
      </c>
      <c r="K3076" t="s">
        <v>9664</v>
      </c>
      <c r="L3076" t="s">
        <v>21</v>
      </c>
      <c r="M3076" t="s">
        <v>19177</v>
      </c>
      <c r="N3076" t="s">
        <v>714</v>
      </c>
      <c r="O3076" t="s">
        <v>10263</v>
      </c>
      <c r="P3076" t="s">
        <v>12</v>
      </c>
    </row>
    <row r="3077">
      <c r="A3077">
        <f>HYPERLINK("http://bombeiros.sp.gov.br/hidrantes/03individual/4257.html","4257")</f>
      </c>
      <c r="B3077" t="s">
        <v>623</v>
      </c>
      <c r="C3077" t="s">
        <v>624</v>
      </c>
      <c r="D3077" t="s">
        <v>625</v>
      </c>
      <c r="E3077" t="s">
        <v>15</v>
      </c>
      <c r="F3077" t="s">
        <v>9665</v>
      </c>
      <c r="G3077" t="s">
        <v>18057</v>
      </c>
      <c r="H3077" t="s">
        <v>1112</v>
      </c>
      <c r="I3077" t="s">
        <v>1108</v>
      </c>
      <c r="J3077" t="s">
        <v>9666</v>
      </c>
      <c r="K3077" t="s">
        <v>9667</v>
      </c>
      <c r="L3077" t="s">
        <v>21</v>
      </c>
      <c r="M3077" t="s">
        <v>19177</v>
      </c>
      <c r="N3077" t="s">
        <v>714</v>
      </c>
      <c r="O3077" t="s">
        <v>10263</v>
      </c>
      <c r="P3077" t="s">
        <v>12</v>
      </c>
    </row>
    <row r="3078">
      <c r="A3078">
        <f>HYPERLINK("http://bombeiros.sp.gov.br/hidrantes/03individual/4275.html","4275")</f>
      </c>
      <c r="B3078" t="s">
        <v>623</v>
      </c>
      <c r="C3078" t="s">
        <v>624</v>
      </c>
      <c r="D3078" t="s">
        <v>625</v>
      </c>
      <c r="E3078" t="s">
        <v>15</v>
      </c>
      <c r="F3078" t="s">
        <v>9668</v>
      </c>
      <c r="G3078" t="s">
        <v>18085</v>
      </c>
      <c r="H3078" t="s">
        <v>1112</v>
      </c>
      <c r="I3078" t="s">
        <v>1108</v>
      </c>
      <c r="J3078" t="s">
        <v>9669</v>
      </c>
      <c r="K3078" t="s">
        <v>9670</v>
      </c>
      <c r="L3078" t="s">
        <v>21</v>
      </c>
      <c r="M3078" t="s">
        <v>19177</v>
      </c>
      <c r="N3078" t="s">
        <v>714</v>
      </c>
      <c r="O3078" t="s">
        <v>10263</v>
      </c>
      <c r="P3078" t="s">
        <v>12</v>
      </c>
    </row>
    <row r="3079">
      <c r="A3079">
        <f>HYPERLINK("http://bombeiros.sp.gov.br/hidrantes/03individual/6676.html","6676")</f>
      </c>
      <c r="B3079" t="s">
        <v>623</v>
      </c>
      <c r="C3079" t="s">
        <v>624</v>
      </c>
      <c r="D3079" t="s">
        <v>625</v>
      </c>
      <c r="E3079" t="s">
        <v>15</v>
      </c>
      <c r="F3079" t="s">
        <v>9671</v>
      </c>
      <c r="G3079" t="s">
        <v>18057</v>
      </c>
      <c r="H3079" t="s">
        <v>1112</v>
      </c>
      <c r="I3079" t="s">
        <v>1108</v>
      </c>
      <c r="J3079" t="s">
        <v>9672</v>
      </c>
      <c r="K3079" t="s">
        <v>9673</v>
      </c>
      <c r="L3079" t="s">
        <v>21</v>
      </c>
      <c r="M3079" t="s">
        <v>19177</v>
      </c>
      <c r="N3079" t="s">
        <v>714</v>
      </c>
      <c r="O3079" t="s">
        <v>10263</v>
      </c>
      <c r="P3079" t="s">
        <v>12</v>
      </c>
    </row>
    <row r="3080">
      <c r="A3080">
        <f>HYPERLINK("http://bombeiros.sp.gov.br/hidrantes/03individual/6679.html","6679")</f>
      </c>
      <c r="B3080" t="s">
        <v>623</v>
      </c>
      <c r="C3080" t="s">
        <v>624</v>
      </c>
      <c r="D3080" t="s">
        <v>625</v>
      </c>
      <c r="E3080" t="s">
        <v>15</v>
      </c>
      <c r="F3080" t="s">
        <v>9674</v>
      </c>
      <c r="G3080" t="s">
        <v>18143</v>
      </c>
      <c r="H3080" t="s">
        <v>1121</v>
      </c>
      <c r="I3080" t="s">
        <v>1117</v>
      </c>
      <c r="J3080" t="s">
        <v>9675</v>
      </c>
      <c r="K3080" t="s">
        <v>9676</v>
      </c>
      <c r="L3080" t="s">
        <v>21</v>
      </c>
      <c r="M3080" t="s">
        <v>19177</v>
      </c>
      <c r="N3080" t="s">
        <v>714</v>
      </c>
      <c r="O3080" t="s">
        <v>10263</v>
      </c>
      <c r="P3080" t="s">
        <v>12</v>
      </c>
    </row>
    <row r="3081">
      <c r="A3081">
        <f>HYPERLINK("http://bombeiros.sp.gov.br/hidrantes/03individual/16578.html","16578")</f>
      </c>
      <c r="B3081" t="s">
        <v>623</v>
      </c>
      <c r="C3081" t="s">
        <v>624</v>
      </c>
      <c r="D3081" t="s">
        <v>625</v>
      </c>
      <c r="E3081" t="s">
        <v>15</v>
      </c>
      <c r="F3081" t="s">
        <v>9677</v>
      </c>
      <c r="G3081" t="s">
        <v>18139</v>
      </c>
      <c r="H3081" t="s">
        <v>1107</v>
      </c>
      <c r="I3081" t="s">
        <v>1108</v>
      </c>
      <c r="J3081" t="s">
        <v>9678</v>
      </c>
      <c r="K3081" t="s">
        <v>9679</v>
      </c>
      <c r="L3081" t="s">
        <v>21</v>
      </c>
      <c r="M3081" t="s">
        <v>19177</v>
      </c>
      <c r="N3081" t="s">
        <v>714</v>
      </c>
      <c r="O3081" t="s">
        <v>10263</v>
      </c>
      <c r="P3081" t="s">
        <v>12</v>
      </c>
    </row>
    <row r="3082">
      <c r="A3082">
        <f>HYPERLINK("http://bombeiros.sp.gov.br/hidrantes/03individual/17865.html","17865")</f>
      </c>
      <c r="B3082" t="s">
        <v>623</v>
      </c>
      <c r="C3082" t="s">
        <v>624</v>
      </c>
      <c r="D3082" t="s">
        <v>625</v>
      </c>
      <c r="E3082" t="s">
        <v>15</v>
      </c>
      <c r="F3082" t="s">
        <v>9680</v>
      </c>
      <c r="G3082" t="s">
        <v>18143</v>
      </c>
      <c r="H3082" t="s">
        <v>1174</v>
      </c>
      <c r="I3082" t="s">
        <v>1117</v>
      </c>
      <c r="J3082" t="s">
        <v>15856</v>
      </c>
      <c r="K3082" t="s">
        <v>15857</v>
      </c>
      <c r="L3082" t="s">
        <v>21</v>
      </c>
      <c r="M3082" t="s">
        <v>19177</v>
      </c>
      <c r="N3082" t="s">
        <v>714</v>
      </c>
      <c r="O3082" t="s">
        <v>10263</v>
      </c>
      <c r="P3082" t="s">
        <v>12</v>
      </c>
    </row>
    <row r="3083">
      <c r="A3083">
        <f>HYPERLINK("http://bombeiros.sp.gov.br/hidrantes/03individual/25216.html","25216")</f>
      </c>
      <c r="B3083" t="s">
        <v>623</v>
      </c>
      <c r="C3083" t="s">
        <v>624</v>
      </c>
      <c r="D3083" t="s">
        <v>625</v>
      </c>
      <c r="E3083" t="s">
        <v>15</v>
      </c>
      <c r="F3083" t="s">
        <v>9683</v>
      </c>
      <c r="G3083" t="s">
        <v>18115</v>
      </c>
      <c r="H3083" t="s">
        <v>1112</v>
      </c>
      <c r="I3083" t="s">
        <v>1108</v>
      </c>
      <c r="J3083" t="s">
        <v>9684</v>
      </c>
      <c r="K3083" t="s">
        <v>9685</v>
      </c>
      <c r="L3083" t="s">
        <v>21</v>
      </c>
      <c r="M3083" t="s">
        <v>19177</v>
      </c>
      <c r="N3083" t="s">
        <v>714</v>
      </c>
      <c r="O3083" t="s">
        <v>10263</v>
      </c>
      <c r="P3083" t="s">
        <v>12</v>
      </c>
    </row>
    <row r="3084">
      <c r="A3084">
        <f>HYPERLINK("http://bombeiros.sp.gov.br/hidrantes/03individual/25217.html","25217")</f>
      </c>
      <c r="B3084" t="s">
        <v>623</v>
      </c>
      <c r="C3084" t="s">
        <v>624</v>
      </c>
      <c r="D3084" t="s">
        <v>625</v>
      </c>
      <c r="E3084" t="s">
        <v>15</v>
      </c>
      <c r="F3084" t="s">
        <v>9686</v>
      </c>
      <c r="G3084" t="s">
        <v>18084</v>
      </c>
      <c r="H3084" t="s">
        <v>1112</v>
      </c>
      <c r="I3084" t="s">
        <v>1108</v>
      </c>
      <c r="J3084" t="s">
        <v>9687</v>
      </c>
      <c r="K3084" t="s">
        <v>9688</v>
      </c>
      <c r="L3084" t="s">
        <v>21</v>
      </c>
      <c r="M3084" t="s">
        <v>19177</v>
      </c>
      <c r="N3084" t="s">
        <v>714</v>
      </c>
      <c r="O3084" t="s">
        <v>10263</v>
      </c>
      <c r="P3084" t="s">
        <v>12</v>
      </c>
    </row>
    <row r="3085">
      <c r="A3085">
        <f>HYPERLINK("http://bombeiros.sp.gov.br/hidrantes/03individual/25218.html","25218")</f>
      </c>
      <c r="B3085" t="s">
        <v>623</v>
      </c>
      <c r="C3085" t="s">
        <v>624</v>
      </c>
      <c r="D3085" t="s">
        <v>625</v>
      </c>
      <c r="E3085" t="s">
        <v>15</v>
      </c>
      <c r="F3085" t="s">
        <v>9689</v>
      </c>
      <c r="G3085" t="s">
        <v>18057</v>
      </c>
      <c r="H3085" t="s">
        <v>1112</v>
      </c>
      <c r="I3085" t="s">
        <v>1108</v>
      </c>
      <c r="J3085" t="s">
        <v>9690</v>
      </c>
      <c r="K3085" t="s">
        <v>9691</v>
      </c>
      <c r="L3085" t="s">
        <v>21</v>
      </c>
      <c r="M3085" t="s">
        <v>19177</v>
      </c>
      <c r="N3085" t="s">
        <v>714</v>
      </c>
      <c r="O3085" t="s">
        <v>10263</v>
      </c>
      <c r="P3085" t="s">
        <v>12</v>
      </c>
    </row>
    <row r="3086">
      <c r="A3086">
        <f>HYPERLINK("http://bombeiros.sp.gov.br/hidrantes/03individual/27618.html","27618")</f>
      </c>
      <c r="B3086" t="s">
        <v>623</v>
      </c>
      <c r="C3086" t="s">
        <v>624</v>
      </c>
      <c r="D3086" t="s">
        <v>625</v>
      </c>
      <c r="E3086" t="s">
        <v>15</v>
      </c>
      <c r="F3086" t="s">
        <v>17508</v>
      </c>
      <c r="G3086" t="s">
        <v>18115</v>
      </c>
      <c r="H3086" t="s">
        <v>1121</v>
      </c>
      <c r="I3086" t="s">
        <v>1117</v>
      </c>
      <c r="J3086" t="s">
        <v>17509</v>
      </c>
      <c r="K3086" t="s">
        <v>17510</v>
      </c>
      <c r="L3086" t="s">
        <v>21</v>
      </c>
      <c r="M3086" t="s">
        <v>19177</v>
      </c>
      <c r="N3086" t="s">
        <v>714</v>
      </c>
      <c r="O3086" t="s">
        <v>10263</v>
      </c>
      <c r="P3086" t="s">
        <v>12</v>
      </c>
    </row>
    <row r="3087">
      <c r="A3087">
        <f>HYPERLINK("http://bombeiros.sp.gov.br/hidrantes/03individual/956.html","956")</f>
      </c>
      <c r="B3087" t="s">
        <v>623</v>
      </c>
      <c r="C3087" t="s">
        <v>630</v>
      </c>
      <c r="D3087" t="s">
        <v>631</v>
      </c>
      <c r="E3087" t="s">
        <v>64</v>
      </c>
      <c r="F3087" t="s">
        <v>9692</v>
      </c>
      <c r="G3087" t="s">
        <v>18211</v>
      </c>
      <c r="H3087" t="s">
        <v>1112</v>
      </c>
      <c r="I3087" t="s">
        <v>1108</v>
      </c>
      <c r="J3087" t="s">
        <v>9693</v>
      </c>
      <c r="K3087" t="s">
        <v>9694</v>
      </c>
      <c r="L3087" t="s">
        <v>21</v>
      </c>
      <c r="M3087" t="s">
        <v>19177</v>
      </c>
      <c r="N3087" t="s">
        <v>714</v>
      </c>
      <c r="O3087" t="s">
        <v>10263</v>
      </c>
      <c r="P3087" t="s">
        <v>12</v>
      </c>
    </row>
    <row r="3088">
      <c r="A3088">
        <f>HYPERLINK("http://bombeiros.sp.gov.br/hidrantes/03individual/1682.html","1682")</f>
      </c>
      <c r="B3088" t="s">
        <v>623</v>
      </c>
      <c r="C3088" t="s">
        <v>630</v>
      </c>
      <c r="D3088" t="s">
        <v>631</v>
      </c>
      <c r="E3088" t="s">
        <v>64</v>
      </c>
      <c r="F3088" t="s">
        <v>9695</v>
      </c>
      <c r="G3088" t="s">
        <v>18155</v>
      </c>
      <c r="H3088" t="s">
        <v>1107</v>
      </c>
      <c r="I3088" t="s">
        <v>1108</v>
      </c>
      <c r="J3088" t="s">
        <v>9696</v>
      </c>
      <c r="K3088" t="s">
        <v>9697</v>
      </c>
      <c r="L3088" t="s">
        <v>36</v>
      </c>
      <c r="M3088" t="s">
        <v>19177</v>
      </c>
      <c r="N3088" t="s">
        <v>714</v>
      </c>
      <c r="O3088" t="s">
        <v>10263</v>
      </c>
      <c r="P3088" t="s">
        <v>12</v>
      </c>
    </row>
    <row r="3089">
      <c r="A3089">
        <f>HYPERLINK("http://bombeiros.sp.gov.br/hidrantes/03individual/2334.html","2334")</f>
      </c>
      <c r="B3089" t="s">
        <v>623</v>
      </c>
      <c r="C3089" t="s">
        <v>630</v>
      </c>
      <c r="D3089" t="s">
        <v>631</v>
      </c>
      <c r="E3089" t="s">
        <v>64</v>
      </c>
      <c r="F3089" t="s">
        <v>9698</v>
      </c>
      <c r="G3089" t="s">
        <v>18151</v>
      </c>
      <c r="H3089" t="s">
        <v>1107</v>
      </c>
      <c r="I3089" t="s">
        <v>1108</v>
      </c>
      <c r="J3089" t="s">
        <v>9699</v>
      </c>
      <c r="K3089" t="s">
        <v>9700</v>
      </c>
      <c r="L3089" t="s">
        <v>36</v>
      </c>
      <c r="M3089" t="s">
        <v>19177</v>
      </c>
      <c r="N3089" t="s">
        <v>714</v>
      </c>
      <c r="O3089" t="s">
        <v>10263</v>
      </c>
      <c r="P3089" t="s">
        <v>12</v>
      </c>
    </row>
    <row r="3090">
      <c r="A3090">
        <f>HYPERLINK("http://bombeiros.sp.gov.br/hidrantes/03individual/1066.html","1066")</f>
      </c>
      <c r="B3090" t="s">
        <v>623</v>
      </c>
      <c r="C3090" t="s">
        <v>630</v>
      </c>
      <c r="D3090" t="s">
        <v>631</v>
      </c>
      <c r="E3090" t="s">
        <v>15</v>
      </c>
      <c r="F3090" t="s">
        <v>9701</v>
      </c>
      <c r="G3090" t="s">
        <v>18257</v>
      </c>
      <c r="H3090" t="s">
        <v>1107</v>
      </c>
      <c r="I3090" t="s">
        <v>1108</v>
      </c>
      <c r="J3090" t="s">
        <v>9702</v>
      </c>
      <c r="K3090" t="s">
        <v>9703</v>
      </c>
      <c r="L3090" t="s">
        <v>21</v>
      </c>
      <c r="M3090" t="s">
        <v>19177</v>
      </c>
      <c r="N3090" t="s">
        <v>714</v>
      </c>
      <c r="O3090" t="s">
        <v>10263</v>
      </c>
      <c r="P3090" t="s">
        <v>12</v>
      </c>
    </row>
    <row r="3091">
      <c r="A3091">
        <f>HYPERLINK("http://bombeiros.sp.gov.br/hidrantes/03individual/1647.html","1647")</f>
      </c>
      <c r="B3091" t="s">
        <v>623</v>
      </c>
      <c r="C3091" t="s">
        <v>630</v>
      </c>
      <c r="D3091" t="s">
        <v>631</v>
      </c>
      <c r="E3091" t="s">
        <v>15</v>
      </c>
      <c r="F3091" t="s">
        <v>9704</v>
      </c>
      <c r="G3091" t="s">
        <v>18067</v>
      </c>
      <c r="H3091" t="s">
        <v>1121</v>
      </c>
      <c r="I3091" t="s">
        <v>1117</v>
      </c>
      <c r="J3091" t="s">
        <v>9705</v>
      </c>
      <c r="K3091" t="s">
        <v>9706</v>
      </c>
      <c r="L3091" t="s">
        <v>21</v>
      </c>
      <c r="M3091" t="s">
        <v>19177</v>
      </c>
      <c r="N3091" t="s">
        <v>714</v>
      </c>
      <c r="O3091" t="s">
        <v>10263</v>
      </c>
      <c r="P3091" t="s">
        <v>12</v>
      </c>
    </row>
    <row r="3092">
      <c r="A3092">
        <f>HYPERLINK("http://bombeiros.sp.gov.br/hidrantes/03individual/1671.html","1671")</f>
      </c>
      <c r="B3092" t="s">
        <v>623</v>
      </c>
      <c r="C3092" t="s">
        <v>630</v>
      </c>
      <c r="D3092" t="s">
        <v>631</v>
      </c>
      <c r="E3092" t="s">
        <v>15</v>
      </c>
      <c r="F3092" t="s">
        <v>9707</v>
      </c>
      <c r="G3092" t="s">
        <v>18155</v>
      </c>
      <c r="H3092" t="s">
        <v>1174</v>
      </c>
      <c r="I3092" t="s">
        <v>1117</v>
      </c>
      <c r="J3092" t="s">
        <v>9708</v>
      </c>
      <c r="K3092" t="s">
        <v>9709</v>
      </c>
      <c r="L3092" t="s">
        <v>21</v>
      </c>
      <c r="M3092" t="s">
        <v>19177</v>
      </c>
      <c r="N3092" t="s">
        <v>714</v>
      </c>
      <c r="O3092" t="s">
        <v>10263</v>
      </c>
      <c r="P3092" t="s">
        <v>12</v>
      </c>
    </row>
    <row r="3093">
      <c r="A3093">
        <f>HYPERLINK("http://bombeiros.sp.gov.br/hidrantes/03individual/1684.html","1684")</f>
      </c>
      <c r="B3093" t="s">
        <v>623</v>
      </c>
      <c r="C3093" t="s">
        <v>630</v>
      </c>
      <c r="D3093" t="s">
        <v>631</v>
      </c>
      <c r="E3093" t="s">
        <v>15</v>
      </c>
      <c r="F3093" t="s">
        <v>9713</v>
      </c>
      <c r="G3093" t="s">
        <v>18155</v>
      </c>
      <c r="H3093" t="s">
        <v>1107</v>
      </c>
      <c r="I3093" t="s">
        <v>1108</v>
      </c>
      <c r="J3093" t="s">
        <v>9714</v>
      </c>
      <c r="K3093" t="s">
        <v>9715</v>
      </c>
      <c r="L3093" t="s">
        <v>21</v>
      </c>
      <c r="M3093" t="s">
        <v>19177</v>
      </c>
      <c r="N3093" t="s">
        <v>714</v>
      </c>
      <c r="O3093" t="s">
        <v>10263</v>
      </c>
      <c r="P3093" t="s">
        <v>12</v>
      </c>
    </row>
    <row r="3094">
      <c r="A3094">
        <f>HYPERLINK("http://bombeiros.sp.gov.br/hidrantes/03individual/17685.html","17685")</f>
      </c>
      <c r="B3094" t="s">
        <v>623</v>
      </c>
      <c r="C3094" t="s">
        <v>630</v>
      </c>
      <c r="D3094" t="s">
        <v>631</v>
      </c>
      <c r="E3094" t="s">
        <v>15</v>
      </c>
      <c r="F3094" t="s">
        <v>9716</v>
      </c>
      <c r="G3094" t="s">
        <v>17921</v>
      </c>
      <c r="H3094" t="s">
        <v>1121</v>
      </c>
      <c r="I3094" t="s">
        <v>1117</v>
      </c>
      <c r="J3094" t="s">
        <v>9717</v>
      </c>
      <c r="K3094" t="s">
        <v>9718</v>
      </c>
      <c r="L3094" t="s">
        <v>21</v>
      </c>
      <c r="M3094" t="s">
        <v>19177</v>
      </c>
      <c r="N3094" t="s">
        <v>714</v>
      </c>
      <c r="O3094" t="s">
        <v>10263</v>
      </c>
      <c r="P3094" t="s">
        <v>12</v>
      </c>
    </row>
    <row r="3095">
      <c r="A3095">
        <f>HYPERLINK("http://bombeiros.sp.gov.br/hidrantes/03individual/2872.html","2872")</f>
      </c>
      <c r="B3095" t="s">
        <v>623</v>
      </c>
      <c r="C3095" t="s">
        <v>630</v>
      </c>
      <c r="D3095" t="s">
        <v>630</v>
      </c>
      <c r="E3095" t="s">
        <v>64</v>
      </c>
      <c r="F3095" t="s">
        <v>9719</v>
      </c>
      <c r="G3095" t="s">
        <v>18144</v>
      </c>
      <c r="H3095" t="s">
        <v>1107</v>
      </c>
      <c r="I3095" t="s">
        <v>1108</v>
      </c>
      <c r="J3095" t="s">
        <v>9720</v>
      </c>
      <c r="K3095" t="s">
        <v>9721</v>
      </c>
      <c r="L3095" t="s">
        <v>21</v>
      </c>
      <c r="M3095" t="s">
        <v>19177</v>
      </c>
      <c r="N3095" t="s">
        <v>714</v>
      </c>
      <c r="O3095" t="s">
        <v>10263</v>
      </c>
      <c r="P3095" t="s">
        <v>12</v>
      </c>
    </row>
    <row r="3096">
      <c r="A3096">
        <f>HYPERLINK("http://bombeiros.sp.gov.br/hidrantes/03individual/2873.html","2873")</f>
      </c>
      <c r="B3096" t="s">
        <v>623</v>
      </c>
      <c r="C3096" t="s">
        <v>630</v>
      </c>
      <c r="D3096" t="s">
        <v>630</v>
      </c>
      <c r="E3096" t="s">
        <v>64</v>
      </c>
      <c r="F3096" t="s">
        <v>9722</v>
      </c>
      <c r="G3096" t="s">
        <v>18067</v>
      </c>
      <c r="H3096" t="s">
        <v>1174</v>
      </c>
      <c r="I3096" t="s">
        <v>1117</v>
      </c>
      <c r="J3096" t="s">
        <v>9723</v>
      </c>
      <c r="K3096" t="s">
        <v>9724</v>
      </c>
      <c r="L3096" t="s">
        <v>36</v>
      </c>
      <c r="M3096" t="s">
        <v>19177</v>
      </c>
      <c r="N3096" t="s">
        <v>714</v>
      </c>
      <c r="O3096" t="s">
        <v>10263</v>
      </c>
      <c r="P3096" t="s">
        <v>12</v>
      </c>
    </row>
    <row r="3097">
      <c r="A3097">
        <f>HYPERLINK("http://bombeiros.sp.gov.br/hidrantes/03individual/2915.html","2915")</f>
      </c>
      <c r="B3097" t="s">
        <v>623</v>
      </c>
      <c r="C3097" t="s">
        <v>630</v>
      </c>
      <c r="D3097" t="s">
        <v>630</v>
      </c>
      <c r="E3097" t="s">
        <v>64</v>
      </c>
      <c r="F3097" t="s">
        <v>9725</v>
      </c>
      <c r="G3097" t="s">
        <v>18083</v>
      </c>
      <c r="H3097" t="s">
        <v>1112</v>
      </c>
      <c r="I3097" t="s">
        <v>1108</v>
      </c>
      <c r="J3097" t="s">
        <v>9726</v>
      </c>
      <c r="K3097" t="s">
        <v>9727</v>
      </c>
      <c r="L3097" t="s">
        <v>21</v>
      </c>
      <c r="M3097" t="s">
        <v>19177</v>
      </c>
      <c r="N3097" t="s">
        <v>714</v>
      </c>
      <c r="O3097" t="s">
        <v>10263</v>
      </c>
      <c r="P3097" t="s">
        <v>12</v>
      </c>
    </row>
    <row r="3098">
      <c r="A3098">
        <f>HYPERLINK("http://bombeiros.sp.gov.br/hidrantes/03individual/16566.html","16566")</f>
      </c>
      <c r="B3098" t="s">
        <v>623</v>
      </c>
      <c r="C3098" t="s">
        <v>630</v>
      </c>
      <c r="D3098" t="s">
        <v>630</v>
      </c>
      <c r="E3098" t="s">
        <v>64</v>
      </c>
      <c r="F3098" t="s">
        <v>9728</v>
      </c>
      <c r="G3098" t="s">
        <v>18068</v>
      </c>
      <c r="H3098" t="s">
        <v>1107</v>
      </c>
      <c r="I3098" t="s">
        <v>1108</v>
      </c>
      <c r="J3098" t="s">
        <v>9729</v>
      </c>
      <c r="K3098" t="s">
        <v>9730</v>
      </c>
      <c r="L3098" t="s">
        <v>21</v>
      </c>
      <c r="M3098" t="s">
        <v>19177</v>
      </c>
      <c r="N3098" t="s">
        <v>714</v>
      </c>
      <c r="O3098" t="s">
        <v>10263</v>
      </c>
      <c r="P3098" t="s">
        <v>12</v>
      </c>
    </row>
    <row r="3099">
      <c r="A3099">
        <f>HYPERLINK("http://bombeiros.sp.gov.br/hidrantes/03individual/28082.html","28082")</f>
      </c>
      <c r="B3099" t="s">
        <v>623</v>
      </c>
      <c r="C3099" t="s">
        <v>630</v>
      </c>
      <c r="D3099" t="s">
        <v>630</v>
      </c>
      <c r="E3099" t="s">
        <v>64</v>
      </c>
      <c r="F3099" t="s">
        <v>18323</v>
      </c>
      <c r="G3099" t="s">
        <v>18172</v>
      </c>
      <c r="H3099" t="s">
        <v>1112</v>
      </c>
      <c r="I3099" t="s">
        <v>1108</v>
      </c>
      <c r="J3099" t="s">
        <v>18324</v>
      </c>
      <c r="K3099" t="s">
        <v>18325</v>
      </c>
      <c r="L3099" t="s">
        <v>21</v>
      </c>
      <c r="M3099" t="s">
        <v>19177</v>
      </c>
      <c r="N3099" t="s">
        <v>714</v>
      </c>
      <c r="O3099" t="s">
        <v>10263</v>
      </c>
      <c r="P3099" t="s">
        <v>12</v>
      </c>
    </row>
    <row r="3100">
      <c r="A3100">
        <f>HYPERLINK("http://bombeiros.sp.gov.br/hidrantes/03individual/1146.html","1146")</f>
      </c>
      <c r="B3100" t="s">
        <v>623</v>
      </c>
      <c r="C3100" t="s">
        <v>630</v>
      </c>
      <c r="D3100" t="s">
        <v>630</v>
      </c>
      <c r="E3100" t="s">
        <v>15</v>
      </c>
      <c r="F3100" t="s">
        <v>9731</v>
      </c>
      <c r="G3100" t="s">
        <v>18067</v>
      </c>
      <c r="H3100" t="s">
        <v>1121</v>
      </c>
      <c r="I3100" t="s">
        <v>1117</v>
      </c>
      <c r="J3100" t="s">
        <v>9732</v>
      </c>
      <c r="K3100" t="s">
        <v>9733</v>
      </c>
      <c r="L3100" t="s">
        <v>36</v>
      </c>
      <c r="M3100" t="s">
        <v>19177</v>
      </c>
      <c r="N3100" t="s">
        <v>714</v>
      </c>
      <c r="O3100" t="s">
        <v>10263</v>
      </c>
      <c r="P3100" t="s">
        <v>12</v>
      </c>
    </row>
    <row r="3101">
      <c r="A3101">
        <f>HYPERLINK("http://bombeiros.sp.gov.br/hidrantes/03individual/1198.html","1198")</f>
      </c>
      <c r="B3101" t="s">
        <v>623</v>
      </c>
      <c r="C3101" t="s">
        <v>630</v>
      </c>
      <c r="D3101" t="s">
        <v>9734</v>
      </c>
      <c r="E3101" t="s">
        <v>64</v>
      </c>
      <c r="F3101" t="s">
        <v>9735</v>
      </c>
      <c r="G3101" t="s">
        <v>18055</v>
      </c>
      <c r="H3101" t="s">
        <v>1121</v>
      </c>
      <c r="I3101" t="s">
        <v>1117</v>
      </c>
      <c r="J3101" t="s">
        <v>9736</v>
      </c>
      <c r="K3101" t="s">
        <v>9737</v>
      </c>
      <c r="L3101" t="s">
        <v>21</v>
      </c>
      <c r="M3101" t="s">
        <v>19177</v>
      </c>
      <c r="N3101" t="s">
        <v>714</v>
      </c>
      <c r="O3101" t="s">
        <v>10263</v>
      </c>
      <c r="P3101" t="s">
        <v>12</v>
      </c>
    </row>
    <row r="3102">
      <c r="A3102">
        <f>HYPERLINK("http://bombeiros.sp.gov.br/hidrantes/03individual/2193.html","2193")</f>
      </c>
      <c r="B3102" t="s">
        <v>623</v>
      </c>
      <c r="C3102" t="s">
        <v>630</v>
      </c>
      <c r="D3102" t="s">
        <v>9734</v>
      </c>
      <c r="E3102" t="s">
        <v>64</v>
      </c>
      <c r="F3102" t="s">
        <v>9738</v>
      </c>
      <c r="G3102" t="s">
        <v>18067</v>
      </c>
      <c r="H3102" t="s">
        <v>1174</v>
      </c>
      <c r="I3102" t="s">
        <v>1117</v>
      </c>
      <c r="J3102" t="s">
        <v>9739</v>
      </c>
      <c r="K3102" t="s">
        <v>9740</v>
      </c>
      <c r="L3102" t="s">
        <v>21</v>
      </c>
      <c r="M3102" t="s">
        <v>19177</v>
      </c>
      <c r="N3102" t="s">
        <v>714</v>
      </c>
      <c r="O3102" t="s">
        <v>10263</v>
      </c>
      <c r="P3102" t="s">
        <v>12</v>
      </c>
    </row>
    <row r="3103">
      <c r="A3103">
        <f>HYPERLINK("http://bombeiros.sp.gov.br/hidrantes/03individual/2220.html","2220")</f>
      </c>
      <c r="B3103" t="s">
        <v>623</v>
      </c>
      <c r="C3103" t="s">
        <v>630</v>
      </c>
      <c r="D3103" t="s">
        <v>9734</v>
      </c>
      <c r="E3103" t="s">
        <v>64</v>
      </c>
      <c r="F3103" t="s">
        <v>9741</v>
      </c>
      <c r="G3103" t="s">
        <v>18083</v>
      </c>
      <c r="H3103" t="s">
        <v>1112</v>
      </c>
      <c r="I3103" t="s">
        <v>1108</v>
      </c>
      <c r="J3103" t="s">
        <v>9742</v>
      </c>
      <c r="K3103" t="s">
        <v>9743</v>
      </c>
      <c r="L3103" t="s">
        <v>21</v>
      </c>
      <c r="M3103" t="s">
        <v>19177</v>
      </c>
      <c r="N3103" t="s">
        <v>714</v>
      </c>
      <c r="O3103" t="s">
        <v>10263</v>
      </c>
      <c r="P3103" t="s">
        <v>12</v>
      </c>
    </row>
    <row r="3104">
      <c r="A3104">
        <f>HYPERLINK("http://bombeiros.sp.gov.br/hidrantes/03individual/2795.html","2795")</f>
      </c>
      <c r="B3104" t="s">
        <v>623</v>
      </c>
      <c r="C3104" t="s">
        <v>630</v>
      </c>
      <c r="D3104" t="s">
        <v>9734</v>
      </c>
      <c r="E3104" t="s">
        <v>64</v>
      </c>
      <c r="F3104" t="s">
        <v>9744</v>
      </c>
      <c r="G3104" t="s">
        <v>18067</v>
      </c>
      <c r="H3104" t="s">
        <v>1174</v>
      </c>
      <c r="I3104" t="s">
        <v>1117</v>
      </c>
      <c r="J3104" t="s">
        <v>9745</v>
      </c>
      <c r="K3104" t="s">
        <v>9746</v>
      </c>
      <c r="L3104" t="s">
        <v>21</v>
      </c>
      <c r="M3104" t="s">
        <v>19177</v>
      </c>
      <c r="N3104" t="s">
        <v>714</v>
      </c>
      <c r="O3104" t="s">
        <v>10263</v>
      </c>
      <c r="P3104" t="s">
        <v>12</v>
      </c>
    </row>
    <row r="3105">
      <c r="A3105">
        <f>HYPERLINK("http://bombeiros.sp.gov.br/hidrantes/03individual/16586.html","16586")</f>
      </c>
      <c r="B3105" t="s">
        <v>623</v>
      </c>
      <c r="C3105" t="s">
        <v>630</v>
      </c>
      <c r="D3105" t="s">
        <v>9734</v>
      </c>
      <c r="E3105" t="s">
        <v>64</v>
      </c>
      <c r="F3105" t="s">
        <v>9747</v>
      </c>
      <c r="G3105" t="s">
        <v>18046</v>
      </c>
      <c r="H3105" t="s">
        <v>1112</v>
      </c>
      <c r="I3105" t="s">
        <v>1108</v>
      </c>
      <c r="J3105" t="s">
        <v>9748</v>
      </c>
      <c r="K3105" t="s">
        <v>9749</v>
      </c>
      <c r="L3105" t="s">
        <v>21</v>
      </c>
      <c r="M3105" t="s">
        <v>19177</v>
      </c>
      <c r="N3105" t="s">
        <v>714</v>
      </c>
      <c r="O3105" t="s">
        <v>10263</v>
      </c>
      <c r="P3105" t="s">
        <v>12</v>
      </c>
    </row>
    <row r="3106">
      <c r="A3106">
        <f>HYPERLINK("http://bombeiros.sp.gov.br/hidrantes/03individual/27779.html","27779")</f>
      </c>
      <c r="B3106" t="s">
        <v>623</v>
      </c>
      <c r="C3106" t="s">
        <v>630</v>
      </c>
      <c r="D3106" t="s">
        <v>9734</v>
      </c>
      <c r="E3106" t="s">
        <v>64</v>
      </c>
      <c r="F3106" t="s">
        <v>17749</v>
      </c>
      <c r="G3106" t="s">
        <v>18083</v>
      </c>
      <c r="H3106" t="s">
        <v>1112</v>
      </c>
      <c r="I3106" t="s">
        <v>1108</v>
      </c>
      <c r="J3106" t="s">
        <v>17750</v>
      </c>
      <c r="K3106" t="s">
        <v>17751</v>
      </c>
      <c r="L3106" t="s">
        <v>21</v>
      </c>
      <c r="M3106" t="s">
        <v>19177</v>
      </c>
      <c r="N3106" t="s">
        <v>714</v>
      </c>
      <c r="O3106" t="s">
        <v>10263</v>
      </c>
      <c r="P3106" t="s">
        <v>12</v>
      </c>
    </row>
    <row r="3107">
      <c r="A3107">
        <f>HYPERLINK("http://bombeiros.sp.gov.br/hidrantes/03individual/698.html","698")</f>
      </c>
      <c r="B3107" t="s">
        <v>623</v>
      </c>
      <c r="C3107" t="s">
        <v>630</v>
      </c>
      <c r="D3107" t="s">
        <v>9734</v>
      </c>
      <c r="E3107" t="s">
        <v>15</v>
      </c>
      <c r="F3107" t="s">
        <v>9750</v>
      </c>
      <c r="G3107" t="s">
        <v>18050</v>
      </c>
      <c r="H3107" t="s">
        <v>1107</v>
      </c>
      <c r="I3107" t="s">
        <v>1108</v>
      </c>
      <c r="J3107" t="s">
        <v>9751</v>
      </c>
      <c r="K3107" t="s">
        <v>9752</v>
      </c>
      <c r="L3107" t="s">
        <v>21</v>
      </c>
      <c r="M3107" t="s">
        <v>19177</v>
      </c>
      <c r="N3107" t="s">
        <v>714</v>
      </c>
      <c r="O3107" t="s">
        <v>10263</v>
      </c>
      <c r="P3107" t="s">
        <v>12</v>
      </c>
    </row>
    <row r="3108">
      <c r="A3108">
        <f>HYPERLINK("http://bombeiros.sp.gov.br/hidrantes/03individual/1129.html","1129")</f>
      </c>
      <c r="B3108" t="s">
        <v>623</v>
      </c>
      <c r="C3108" t="s">
        <v>630</v>
      </c>
      <c r="D3108" t="s">
        <v>9734</v>
      </c>
      <c r="E3108" t="s">
        <v>15</v>
      </c>
      <c r="F3108" t="s">
        <v>9753</v>
      </c>
      <c r="G3108" t="s">
        <v>18055</v>
      </c>
      <c r="H3108" t="s">
        <v>1174</v>
      </c>
      <c r="I3108" t="s">
        <v>1108</v>
      </c>
      <c r="J3108" t="s">
        <v>9754</v>
      </c>
      <c r="K3108" t="s">
        <v>9755</v>
      </c>
      <c r="L3108" t="s">
        <v>21</v>
      </c>
      <c r="M3108" t="s">
        <v>19177</v>
      </c>
      <c r="N3108" t="s">
        <v>714</v>
      </c>
      <c r="O3108" t="s">
        <v>10263</v>
      </c>
      <c r="P3108" t="s">
        <v>12</v>
      </c>
    </row>
    <row r="3109">
      <c r="A3109">
        <f>HYPERLINK("http://bombeiros.sp.gov.br/hidrantes/03individual/2750.html","2750")</f>
      </c>
      <c r="B3109" t="s">
        <v>623</v>
      </c>
      <c r="C3109" t="s">
        <v>630</v>
      </c>
      <c r="D3109" t="s">
        <v>9734</v>
      </c>
      <c r="E3109" t="s">
        <v>15</v>
      </c>
      <c r="F3109" t="s">
        <v>9759</v>
      </c>
      <c r="G3109" t="s">
        <v>18055</v>
      </c>
      <c r="H3109" t="s">
        <v>1174</v>
      </c>
      <c r="I3109" t="s">
        <v>1117</v>
      </c>
      <c r="J3109" t="s">
        <v>9760</v>
      </c>
      <c r="K3109" t="s">
        <v>9761</v>
      </c>
      <c r="L3109" t="s">
        <v>21</v>
      </c>
      <c r="M3109" t="s">
        <v>19177</v>
      </c>
      <c r="N3109" t="s">
        <v>714</v>
      </c>
      <c r="O3109" t="s">
        <v>10263</v>
      </c>
      <c r="P3109" t="s">
        <v>12</v>
      </c>
    </row>
    <row r="3110">
      <c r="A3110">
        <f>HYPERLINK("http://bombeiros.sp.gov.br/hidrantes/03individual/4183.html","4183")</f>
      </c>
      <c r="B3110" t="s">
        <v>623</v>
      </c>
      <c r="C3110" t="s">
        <v>630</v>
      </c>
      <c r="D3110" t="s">
        <v>9734</v>
      </c>
      <c r="E3110" t="s">
        <v>15</v>
      </c>
      <c r="F3110" t="s">
        <v>9762</v>
      </c>
      <c r="G3110" t="s">
        <v>18211</v>
      </c>
      <c r="H3110" t="s">
        <v>1174</v>
      </c>
      <c r="I3110" t="s">
        <v>1108</v>
      </c>
      <c r="J3110" t="s">
        <v>9763</v>
      </c>
      <c r="K3110" t="s">
        <v>9764</v>
      </c>
      <c r="L3110" t="s">
        <v>21</v>
      </c>
      <c r="M3110" t="s">
        <v>19177</v>
      </c>
      <c r="N3110" t="s">
        <v>714</v>
      </c>
      <c r="O3110" t="s">
        <v>10263</v>
      </c>
      <c r="P3110" t="s">
        <v>12</v>
      </c>
    </row>
    <row r="3111">
      <c r="A3111">
        <f>HYPERLINK("http://bombeiros.sp.gov.br/hidrantes/03individual/2349.html","2349")</f>
      </c>
      <c r="B3111" t="s">
        <v>623</v>
      </c>
      <c r="C3111" t="s">
        <v>630</v>
      </c>
      <c r="D3111" t="s">
        <v>635</v>
      </c>
      <c r="E3111" t="s">
        <v>64</v>
      </c>
      <c r="F3111" t="s">
        <v>9765</v>
      </c>
      <c r="G3111" t="s">
        <v>18129</v>
      </c>
      <c r="H3111" t="s">
        <v>1112</v>
      </c>
      <c r="I3111" t="s">
        <v>1108</v>
      </c>
      <c r="J3111" t="s">
        <v>9767</v>
      </c>
      <c r="K3111" t="s">
        <v>9768</v>
      </c>
      <c r="L3111" t="s">
        <v>21</v>
      </c>
      <c r="M3111" t="s">
        <v>19177</v>
      </c>
      <c r="N3111" t="s">
        <v>714</v>
      </c>
      <c r="O3111" t="s">
        <v>10263</v>
      </c>
      <c r="P3111" t="s">
        <v>12</v>
      </c>
    </row>
    <row r="3112">
      <c r="A3112">
        <f>HYPERLINK("http://bombeiros.sp.gov.br/hidrantes/03individual/2358.html","2358")</f>
      </c>
      <c r="B3112" t="s">
        <v>623</v>
      </c>
      <c r="C3112" t="s">
        <v>630</v>
      </c>
      <c r="D3112" t="s">
        <v>635</v>
      </c>
      <c r="E3112" t="s">
        <v>64</v>
      </c>
      <c r="F3112" t="s">
        <v>9769</v>
      </c>
      <c r="G3112" t="s">
        <v>18068</v>
      </c>
      <c r="H3112" t="s">
        <v>1107</v>
      </c>
      <c r="I3112" t="s">
        <v>1108</v>
      </c>
      <c r="J3112" t="s">
        <v>9770</v>
      </c>
      <c r="K3112" t="s">
        <v>9771</v>
      </c>
      <c r="L3112" t="s">
        <v>21</v>
      </c>
      <c r="M3112" t="s">
        <v>19177</v>
      </c>
      <c r="N3112" t="s">
        <v>714</v>
      </c>
      <c r="O3112" t="s">
        <v>10263</v>
      </c>
      <c r="P3112" t="s">
        <v>12</v>
      </c>
    </row>
    <row r="3113">
      <c r="A3113">
        <f>HYPERLINK("http://bombeiros.sp.gov.br/hidrantes/03individual/27050.html","27050")</f>
      </c>
      <c r="B3113" t="s">
        <v>623</v>
      </c>
      <c r="C3113" t="s">
        <v>630</v>
      </c>
      <c r="D3113" t="s">
        <v>635</v>
      </c>
      <c r="E3113" t="s">
        <v>64</v>
      </c>
      <c r="F3113" t="s">
        <v>16663</v>
      </c>
      <c r="G3113" t="s">
        <v>18155</v>
      </c>
      <c r="H3113" t="s">
        <v>1121</v>
      </c>
      <c r="I3113" t="s">
        <v>1117</v>
      </c>
      <c r="J3113" t="s">
        <v>16664</v>
      </c>
      <c r="K3113" t="s">
        <v>16665</v>
      </c>
      <c r="L3113" t="s">
        <v>21</v>
      </c>
      <c r="M3113" t="s">
        <v>19177</v>
      </c>
      <c r="N3113" t="s">
        <v>714</v>
      </c>
      <c r="O3113" t="s">
        <v>10263</v>
      </c>
      <c r="P3113" t="s">
        <v>12</v>
      </c>
    </row>
    <row r="3114">
      <c r="A3114">
        <f>HYPERLINK("http://bombeiros.sp.gov.br/hidrantes/03individual/2291.html","2291")</f>
      </c>
      <c r="B3114" t="s">
        <v>623</v>
      </c>
      <c r="C3114" t="s">
        <v>630</v>
      </c>
      <c r="D3114" t="s">
        <v>635</v>
      </c>
      <c r="E3114" t="s">
        <v>15</v>
      </c>
      <c r="F3114" t="s">
        <v>9772</v>
      </c>
      <c r="G3114" t="s">
        <v>17913</v>
      </c>
      <c r="H3114" t="s">
        <v>1112</v>
      </c>
      <c r="I3114" t="s">
        <v>1108</v>
      </c>
      <c r="J3114" t="s">
        <v>9774</v>
      </c>
      <c r="K3114" t="s">
        <v>9775</v>
      </c>
      <c r="L3114" t="s">
        <v>21</v>
      </c>
      <c r="M3114" t="s">
        <v>19177</v>
      </c>
      <c r="N3114" t="s">
        <v>714</v>
      </c>
      <c r="O3114" t="s">
        <v>10263</v>
      </c>
      <c r="P3114" t="s">
        <v>12</v>
      </c>
    </row>
    <row r="3115">
      <c r="A3115">
        <f>HYPERLINK("http://bombeiros.sp.gov.br/hidrantes/03individual/17686.html","17686")</f>
      </c>
      <c r="B3115" t="s">
        <v>623</v>
      </c>
      <c r="C3115" t="s">
        <v>630</v>
      </c>
      <c r="D3115" t="s">
        <v>635</v>
      </c>
      <c r="E3115" t="s">
        <v>15</v>
      </c>
      <c r="F3115" t="s">
        <v>9776</v>
      </c>
      <c r="G3115" t="s">
        <v>17949</v>
      </c>
      <c r="H3115" t="s">
        <v>1121</v>
      </c>
      <c r="I3115" t="s">
        <v>1117</v>
      </c>
      <c r="J3115" t="s">
        <v>9777</v>
      </c>
      <c r="K3115" t="s">
        <v>9778</v>
      </c>
      <c r="L3115" t="s">
        <v>21</v>
      </c>
      <c r="M3115" t="s">
        <v>19177</v>
      </c>
      <c r="N3115" t="s">
        <v>714</v>
      </c>
      <c r="O3115" t="s">
        <v>10263</v>
      </c>
      <c r="P3115" t="s">
        <v>12</v>
      </c>
    </row>
    <row r="3116">
      <c r="A3116">
        <f>HYPERLINK("http://bombeiros.sp.gov.br/hidrantes/03individual/28083.html","28083")</f>
      </c>
      <c r="B3116" t="s">
        <v>623</v>
      </c>
      <c r="C3116" t="s">
        <v>630</v>
      </c>
      <c r="D3116" t="s">
        <v>635</v>
      </c>
      <c r="E3116" t="s">
        <v>15</v>
      </c>
      <c r="F3116" t="s">
        <v>18236</v>
      </c>
      <c r="G3116" t="s">
        <v>18172</v>
      </c>
      <c r="H3116"/>
      <c r="I3116" t="s">
        <v>18</v>
      </c>
      <c r="J3116" t="s">
        <v>18237</v>
      </c>
      <c r="K3116" t="s">
        <v>18238</v>
      </c>
      <c r="L3116" t="s">
        <v>21</v>
      </c>
      <c r="M3116" t="s">
        <v>19177</v>
      </c>
      <c r="N3116" t="s">
        <v>714</v>
      </c>
      <c r="O3116" t="s">
        <v>10263</v>
      </c>
      <c r="P3116" t="s">
        <v>12</v>
      </c>
    </row>
    <row r="3117">
      <c r="A3117">
        <f>HYPERLINK("http://bombeiros.sp.gov.br/hidrantes/03individual/27035.html","27035")</f>
      </c>
      <c r="B3117" t="s">
        <v>623</v>
      </c>
      <c r="C3117" t="s">
        <v>640</v>
      </c>
      <c r="D3117" t="s">
        <v>640</v>
      </c>
      <c r="E3117" t="s">
        <v>64</v>
      </c>
      <c r="F3117" t="s">
        <v>16600</v>
      </c>
      <c r="G3117" t="s">
        <v>18326</v>
      </c>
      <c r="H3117" t="s">
        <v>1107</v>
      </c>
      <c r="I3117" t="s">
        <v>1108</v>
      </c>
      <c r="J3117" t="s">
        <v>16601</v>
      </c>
      <c r="K3117" t="s">
        <v>16602</v>
      </c>
      <c r="L3117" t="s">
        <v>21</v>
      </c>
      <c r="M3117" t="s">
        <v>19177</v>
      </c>
      <c r="N3117" t="s">
        <v>16375</v>
      </c>
      <c r="O3117" t="s">
        <v>640</v>
      </c>
      <c r="P3117" t="s">
        <v>623</v>
      </c>
    </row>
    <row r="3118">
      <c r="A3118">
        <f>HYPERLINK("http://bombeiros.sp.gov.br/hidrantes/03individual/27068.html","27068")</f>
      </c>
      <c r="B3118" t="s">
        <v>623</v>
      </c>
      <c r="C3118" t="s">
        <v>640</v>
      </c>
      <c r="D3118" t="s">
        <v>640</v>
      </c>
      <c r="E3118" t="s">
        <v>64</v>
      </c>
      <c r="F3118" t="s">
        <v>16749</v>
      </c>
      <c r="G3118" t="s">
        <v>18166</v>
      </c>
      <c r="H3118" t="s">
        <v>1112</v>
      </c>
      <c r="I3118" t="s">
        <v>1108</v>
      </c>
      <c r="J3118" t="s">
        <v>16750</v>
      </c>
      <c r="K3118" t="s">
        <v>16751</v>
      </c>
      <c r="L3118" t="s">
        <v>21</v>
      </c>
      <c r="M3118" t="s">
        <v>19177</v>
      </c>
      <c r="N3118" t="s">
        <v>16375</v>
      </c>
      <c r="O3118" t="s">
        <v>640</v>
      </c>
      <c r="P3118" t="s">
        <v>623</v>
      </c>
    </row>
    <row r="3119">
      <c r="A3119">
        <f>HYPERLINK("http://bombeiros.sp.gov.br/hidrantes/03individual/27418.html","27418")</f>
      </c>
      <c r="B3119" t="s">
        <v>623</v>
      </c>
      <c r="C3119" t="s">
        <v>640</v>
      </c>
      <c r="D3119" t="s">
        <v>640</v>
      </c>
      <c r="E3119" t="s">
        <v>64</v>
      </c>
      <c r="F3119" t="s">
        <v>17307</v>
      </c>
      <c r="G3119" t="s">
        <v>18207</v>
      </c>
      <c r="H3119" t="s">
        <v>1112</v>
      </c>
      <c r="I3119" t="s">
        <v>1108</v>
      </c>
      <c r="J3119" t="s">
        <v>17308</v>
      </c>
      <c r="K3119" t="s">
        <v>17309</v>
      </c>
      <c r="L3119" t="s">
        <v>21</v>
      </c>
      <c r="M3119" t="s">
        <v>19177</v>
      </c>
      <c r="N3119" t="s">
        <v>16375</v>
      </c>
      <c r="O3119" t="s">
        <v>640</v>
      </c>
      <c r="P3119" t="s">
        <v>623</v>
      </c>
    </row>
    <row r="3120">
      <c r="A3120">
        <f>HYPERLINK("http://bombeiros.sp.gov.br/hidrantes/03individual/28182.html","28182")</f>
      </c>
      <c r="B3120" t="s">
        <v>623</v>
      </c>
      <c r="C3120" t="s">
        <v>640</v>
      </c>
      <c r="D3120" t="s">
        <v>640</v>
      </c>
      <c r="E3120" t="s">
        <v>64</v>
      </c>
      <c r="F3120" t="s">
        <v>18327</v>
      </c>
      <c r="G3120"/>
      <c r="H3120"/>
      <c r="I3120" t="s">
        <v>1503</v>
      </c>
      <c r="J3120" t="s">
        <v>18328</v>
      </c>
      <c r="K3120" t="s">
        <v>18329</v>
      </c>
      <c r="L3120" t="s">
        <v>21</v>
      </c>
      <c r="M3120" t="s">
        <v>19177</v>
      </c>
      <c r="N3120" t="s">
        <v>16375</v>
      </c>
      <c r="O3120" t="s">
        <v>640</v>
      </c>
      <c r="P3120" t="s">
        <v>623</v>
      </c>
    </row>
    <row r="3121">
      <c r="A3121">
        <f>HYPERLINK("http://bombeiros.sp.gov.br/hidrantes/03individual/28225.html","28225")</f>
      </c>
      <c r="B3121" t="s">
        <v>623</v>
      </c>
      <c r="C3121" t="s">
        <v>640</v>
      </c>
      <c r="D3121" t="s">
        <v>640</v>
      </c>
      <c r="E3121" t="s">
        <v>64</v>
      </c>
      <c r="F3121" t="s">
        <v>18330</v>
      </c>
      <c r="G3121"/>
      <c r="H3121"/>
      <c r="I3121" t="s">
        <v>1503</v>
      </c>
      <c r="J3121" t="s">
        <v>18331</v>
      </c>
      <c r="K3121" t="s">
        <v>18332</v>
      </c>
      <c r="L3121" t="s">
        <v>21</v>
      </c>
      <c r="M3121" t="s">
        <v>19177</v>
      </c>
      <c r="N3121" t="s">
        <v>16375</v>
      </c>
      <c r="O3121" t="s">
        <v>640</v>
      </c>
      <c r="P3121" t="s">
        <v>623</v>
      </c>
    </row>
    <row r="3122">
      <c r="A3122">
        <f>HYPERLINK("http://bombeiros.sp.gov.br/hidrantes/03individual/2261.html","2261")</f>
      </c>
      <c r="B3122" t="s">
        <v>623</v>
      </c>
      <c r="C3122" t="s">
        <v>640</v>
      </c>
      <c r="D3122" t="s">
        <v>640</v>
      </c>
      <c r="E3122" t="s">
        <v>15</v>
      </c>
      <c r="F3122" t="s">
        <v>9779</v>
      </c>
      <c r="G3122" t="s">
        <v>18139</v>
      </c>
      <c r="H3122" t="s">
        <v>1107</v>
      </c>
      <c r="I3122" t="s">
        <v>1108</v>
      </c>
      <c r="J3122" t="s">
        <v>9780</v>
      </c>
      <c r="K3122" t="s">
        <v>9781</v>
      </c>
      <c r="L3122" t="s">
        <v>21</v>
      </c>
      <c r="M3122" t="s">
        <v>19177</v>
      </c>
      <c r="N3122" t="s">
        <v>16375</v>
      </c>
      <c r="O3122" t="s">
        <v>640</v>
      </c>
      <c r="P3122" t="s">
        <v>623</v>
      </c>
    </row>
    <row r="3123">
      <c r="A3123">
        <f>HYPERLINK("http://bombeiros.sp.gov.br/hidrantes/03individual/2297.html","2297")</f>
      </c>
      <c r="B3123" t="s">
        <v>623</v>
      </c>
      <c r="C3123" t="s">
        <v>640</v>
      </c>
      <c r="D3123" t="s">
        <v>640</v>
      </c>
      <c r="E3123" t="s">
        <v>15</v>
      </c>
      <c r="F3123" t="s">
        <v>9782</v>
      </c>
      <c r="G3123" t="s">
        <v>18098</v>
      </c>
      <c r="H3123" t="s">
        <v>1107</v>
      </c>
      <c r="I3123" t="s">
        <v>1108</v>
      </c>
      <c r="J3123" t="s">
        <v>9783</v>
      </c>
      <c r="K3123" t="s">
        <v>9784</v>
      </c>
      <c r="L3123" t="s">
        <v>21</v>
      </c>
      <c r="M3123" t="s">
        <v>19177</v>
      </c>
      <c r="N3123" t="s">
        <v>16375</v>
      </c>
      <c r="O3123" t="s">
        <v>640</v>
      </c>
      <c r="P3123" t="s">
        <v>623</v>
      </c>
    </row>
    <row r="3124">
      <c r="A3124">
        <f>HYPERLINK("http://bombeiros.sp.gov.br/hidrantes/03individual/2303.html","2303")</f>
      </c>
      <c r="B3124" t="s">
        <v>623</v>
      </c>
      <c r="C3124" t="s">
        <v>640</v>
      </c>
      <c r="D3124" t="s">
        <v>640</v>
      </c>
      <c r="E3124" t="s">
        <v>15</v>
      </c>
      <c r="F3124" t="s">
        <v>9785</v>
      </c>
      <c r="G3124" t="s">
        <v>18098</v>
      </c>
      <c r="H3124" t="s">
        <v>1121</v>
      </c>
      <c r="I3124" t="s">
        <v>1117</v>
      </c>
      <c r="J3124" t="s">
        <v>9786</v>
      </c>
      <c r="K3124" t="s">
        <v>9787</v>
      </c>
      <c r="L3124" t="s">
        <v>21</v>
      </c>
      <c r="M3124" t="s">
        <v>19177</v>
      </c>
      <c r="N3124" t="s">
        <v>16375</v>
      </c>
      <c r="O3124" t="s">
        <v>640</v>
      </c>
      <c r="P3124" t="s">
        <v>623</v>
      </c>
    </row>
    <row r="3125">
      <c r="A3125">
        <f>HYPERLINK("http://bombeiros.sp.gov.br/hidrantes/03individual/2325.html","2325")</f>
      </c>
      <c r="B3125" t="s">
        <v>623</v>
      </c>
      <c r="C3125" t="s">
        <v>640</v>
      </c>
      <c r="D3125" t="s">
        <v>640</v>
      </c>
      <c r="E3125" t="s">
        <v>15</v>
      </c>
      <c r="F3125" t="s">
        <v>9788</v>
      </c>
      <c r="G3125" t="s">
        <v>18207</v>
      </c>
      <c r="H3125" t="s">
        <v>1121</v>
      </c>
      <c r="I3125" t="s">
        <v>1117</v>
      </c>
      <c r="J3125" t="s">
        <v>9789</v>
      </c>
      <c r="K3125" t="s">
        <v>9790</v>
      </c>
      <c r="L3125" t="s">
        <v>21</v>
      </c>
      <c r="M3125" t="s">
        <v>19177</v>
      </c>
      <c r="N3125" t="s">
        <v>16375</v>
      </c>
      <c r="O3125" t="s">
        <v>640</v>
      </c>
      <c r="P3125" t="s">
        <v>623</v>
      </c>
    </row>
    <row r="3126">
      <c r="A3126">
        <f>HYPERLINK("http://bombeiros.sp.gov.br/hidrantes/03individual/4212.html","4212")</f>
      </c>
      <c r="B3126" t="s">
        <v>623</v>
      </c>
      <c r="C3126" t="s">
        <v>640</v>
      </c>
      <c r="D3126" t="s">
        <v>640</v>
      </c>
      <c r="E3126" t="s">
        <v>15</v>
      </c>
      <c r="F3126" t="s">
        <v>9791</v>
      </c>
      <c r="G3126" t="s">
        <v>18145</v>
      </c>
      <c r="H3126" t="s">
        <v>1112</v>
      </c>
      <c r="I3126" t="s">
        <v>1117</v>
      </c>
      <c r="J3126" t="s">
        <v>9792</v>
      </c>
      <c r="K3126" t="s">
        <v>9793</v>
      </c>
      <c r="L3126" t="s">
        <v>21</v>
      </c>
      <c r="M3126" t="s">
        <v>19177</v>
      </c>
      <c r="N3126" t="s">
        <v>16375</v>
      </c>
      <c r="O3126" t="s">
        <v>640</v>
      </c>
      <c r="P3126" t="s">
        <v>623</v>
      </c>
    </row>
    <row r="3127">
      <c r="A3127">
        <f>HYPERLINK("http://bombeiros.sp.gov.br/hidrantes/03individual/4213.html","4213")</f>
      </c>
      <c r="B3127" t="s">
        <v>623</v>
      </c>
      <c r="C3127" t="s">
        <v>640</v>
      </c>
      <c r="D3127" t="s">
        <v>640</v>
      </c>
      <c r="E3127" t="s">
        <v>15</v>
      </c>
      <c r="F3127" t="s">
        <v>9794</v>
      </c>
      <c r="G3127" t="s">
        <v>18065</v>
      </c>
      <c r="H3127" t="s">
        <v>1112</v>
      </c>
      <c r="I3127" t="s">
        <v>1108</v>
      </c>
      <c r="J3127" t="s">
        <v>9795</v>
      </c>
      <c r="K3127" t="s">
        <v>9796</v>
      </c>
      <c r="L3127" t="s">
        <v>21</v>
      </c>
      <c r="M3127" t="s">
        <v>19177</v>
      </c>
      <c r="N3127" t="s">
        <v>16375</v>
      </c>
      <c r="O3127" t="s">
        <v>640</v>
      </c>
      <c r="P3127" t="s">
        <v>623</v>
      </c>
    </row>
    <row r="3128">
      <c r="A3128">
        <f>HYPERLINK("http://bombeiros.sp.gov.br/hidrantes/03individual/4249.html","4249")</f>
      </c>
      <c r="B3128" t="s">
        <v>623</v>
      </c>
      <c r="C3128" t="s">
        <v>640</v>
      </c>
      <c r="D3128" t="s">
        <v>640</v>
      </c>
      <c r="E3128" t="s">
        <v>15</v>
      </c>
      <c r="F3128" t="s">
        <v>9797</v>
      </c>
      <c r="G3128" t="s">
        <v>18098</v>
      </c>
      <c r="H3128" t="s">
        <v>1107</v>
      </c>
      <c r="I3128" t="s">
        <v>1108</v>
      </c>
      <c r="J3128" t="s">
        <v>9798</v>
      </c>
      <c r="K3128" t="s">
        <v>9799</v>
      </c>
      <c r="L3128" t="s">
        <v>36</v>
      </c>
      <c r="M3128" t="s">
        <v>19177</v>
      </c>
      <c r="N3128" t="s">
        <v>16375</v>
      </c>
      <c r="O3128" t="s">
        <v>640</v>
      </c>
      <c r="P3128" t="s">
        <v>623</v>
      </c>
    </row>
    <row r="3129">
      <c r="A3129">
        <f>HYPERLINK("http://bombeiros.sp.gov.br/hidrantes/03individual/4250.html","4250")</f>
      </c>
      <c r="B3129" t="s">
        <v>623</v>
      </c>
      <c r="C3129" t="s">
        <v>640</v>
      </c>
      <c r="D3129" t="s">
        <v>640</v>
      </c>
      <c r="E3129" t="s">
        <v>15</v>
      </c>
      <c r="F3129" t="s">
        <v>9800</v>
      </c>
      <c r="G3129" t="s">
        <v>18194</v>
      </c>
      <c r="H3129" t="s">
        <v>1112</v>
      </c>
      <c r="I3129" t="s">
        <v>1108</v>
      </c>
      <c r="J3129" t="s">
        <v>9801</v>
      </c>
      <c r="K3129" t="s">
        <v>9802</v>
      </c>
      <c r="L3129" t="s">
        <v>21</v>
      </c>
      <c r="M3129" t="s">
        <v>19177</v>
      </c>
      <c r="N3129" t="s">
        <v>16375</v>
      </c>
      <c r="O3129" t="s">
        <v>640</v>
      </c>
      <c r="P3129" t="s">
        <v>623</v>
      </c>
    </row>
    <row r="3130">
      <c r="A3130">
        <f>HYPERLINK("http://bombeiros.sp.gov.br/hidrantes/03individual/4251.html","4251")</f>
      </c>
      <c r="B3130" t="s">
        <v>623</v>
      </c>
      <c r="C3130" t="s">
        <v>640</v>
      </c>
      <c r="D3130" t="s">
        <v>640</v>
      </c>
      <c r="E3130" t="s">
        <v>15</v>
      </c>
      <c r="F3130" t="s">
        <v>9803</v>
      </c>
      <c r="G3130" t="s">
        <v>18207</v>
      </c>
      <c r="H3130" t="s">
        <v>1112</v>
      </c>
      <c r="I3130" t="s">
        <v>1108</v>
      </c>
      <c r="J3130" t="s">
        <v>16465</v>
      </c>
      <c r="K3130" t="s">
        <v>16466</v>
      </c>
      <c r="L3130" t="s">
        <v>21</v>
      </c>
      <c r="M3130" t="s">
        <v>19177</v>
      </c>
      <c r="N3130" t="s">
        <v>16375</v>
      </c>
      <c r="O3130" t="s">
        <v>640</v>
      </c>
      <c r="P3130" t="s">
        <v>623</v>
      </c>
    </row>
    <row r="3131">
      <c r="A3131">
        <f>HYPERLINK("http://bombeiros.sp.gov.br/hidrantes/03individual/6684.html","6684")</f>
      </c>
      <c r="B3131" t="s">
        <v>623</v>
      </c>
      <c r="C3131" t="s">
        <v>640</v>
      </c>
      <c r="D3131" t="s">
        <v>640</v>
      </c>
      <c r="E3131" t="s">
        <v>15</v>
      </c>
      <c r="F3131" t="s">
        <v>9806</v>
      </c>
      <c r="G3131" t="s">
        <v>18207</v>
      </c>
      <c r="H3131" t="s">
        <v>1112</v>
      </c>
      <c r="I3131" t="s">
        <v>1108</v>
      </c>
      <c r="J3131" t="s">
        <v>9807</v>
      </c>
      <c r="K3131" t="s">
        <v>9808</v>
      </c>
      <c r="L3131" t="s">
        <v>21</v>
      </c>
      <c r="M3131" t="s">
        <v>19177</v>
      </c>
      <c r="N3131" t="s">
        <v>16375</v>
      </c>
      <c r="O3131" t="s">
        <v>640</v>
      </c>
      <c r="P3131" t="s">
        <v>623</v>
      </c>
    </row>
    <row r="3132">
      <c r="A3132">
        <f>HYPERLINK("http://bombeiros.sp.gov.br/hidrantes/03individual/1289.html","1289")</f>
      </c>
      <c r="B3132" t="s">
        <v>623</v>
      </c>
      <c r="C3132" t="s">
        <v>640</v>
      </c>
      <c r="D3132" t="s">
        <v>652</v>
      </c>
      <c r="E3132" t="s">
        <v>64</v>
      </c>
      <c r="F3132" t="s">
        <v>9809</v>
      </c>
      <c r="G3132" t="s">
        <v>18035</v>
      </c>
      <c r="H3132" t="s">
        <v>1174</v>
      </c>
      <c r="I3132" t="s">
        <v>1117</v>
      </c>
      <c r="J3132" t="s">
        <v>9810</v>
      </c>
      <c r="K3132" t="s">
        <v>9811</v>
      </c>
      <c r="L3132" t="s">
        <v>21</v>
      </c>
      <c r="M3132" t="s">
        <v>19177</v>
      </c>
      <c r="N3132" t="s">
        <v>16375</v>
      </c>
      <c r="O3132" t="s">
        <v>640</v>
      </c>
      <c r="P3132" t="s">
        <v>623</v>
      </c>
    </row>
    <row r="3133">
      <c r="A3133">
        <f>HYPERLINK("http://bombeiros.sp.gov.br/hidrantes/03individual/1373.html","1373")</f>
      </c>
      <c r="B3133" t="s">
        <v>623</v>
      </c>
      <c r="C3133" t="s">
        <v>640</v>
      </c>
      <c r="D3133" t="s">
        <v>652</v>
      </c>
      <c r="E3133" t="s">
        <v>64</v>
      </c>
      <c r="F3133" t="s">
        <v>9812</v>
      </c>
      <c r="G3133" t="s">
        <v>18145</v>
      </c>
      <c r="H3133" t="s">
        <v>1107</v>
      </c>
      <c r="I3133" t="s">
        <v>1108</v>
      </c>
      <c r="J3133" t="s">
        <v>9813</v>
      </c>
      <c r="K3133" t="s">
        <v>9814</v>
      </c>
      <c r="L3133" t="s">
        <v>36</v>
      </c>
      <c r="M3133" t="s">
        <v>19177</v>
      </c>
      <c r="N3133" t="s">
        <v>16375</v>
      </c>
      <c r="O3133" t="s">
        <v>640</v>
      </c>
      <c r="P3133" t="s">
        <v>623</v>
      </c>
    </row>
    <row r="3134">
      <c r="A3134">
        <f>HYPERLINK("http://bombeiros.sp.gov.br/hidrantes/03individual/16447.html","16447")</f>
      </c>
      <c r="B3134" t="s">
        <v>623</v>
      </c>
      <c r="C3134" t="s">
        <v>640</v>
      </c>
      <c r="D3134" t="s">
        <v>652</v>
      </c>
      <c r="E3134" t="s">
        <v>64</v>
      </c>
      <c r="F3134" t="s">
        <v>9815</v>
      </c>
      <c r="G3134" t="s">
        <v>18194</v>
      </c>
      <c r="H3134" t="s">
        <v>1112</v>
      </c>
      <c r="I3134" t="s">
        <v>1108</v>
      </c>
      <c r="J3134" t="s">
        <v>9816</v>
      </c>
      <c r="K3134" t="s">
        <v>9817</v>
      </c>
      <c r="L3134" t="s">
        <v>21</v>
      </c>
      <c r="M3134" t="s">
        <v>19177</v>
      </c>
      <c r="N3134" t="s">
        <v>16375</v>
      </c>
      <c r="O3134" t="s">
        <v>640</v>
      </c>
      <c r="P3134" t="s">
        <v>623</v>
      </c>
    </row>
    <row r="3135">
      <c r="A3135">
        <f>HYPERLINK("http://bombeiros.sp.gov.br/hidrantes/03individual/16448.html","16448")</f>
      </c>
      <c r="B3135" t="s">
        <v>623</v>
      </c>
      <c r="C3135" t="s">
        <v>640</v>
      </c>
      <c r="D3135" t="s">
        <v>652</v>
      </c>
      <c r="E3135" t="s">
        <v>64</v>
      </c>
      <c r="F3135" t="s">
        <v>9818</v>
      </c>
      <c r="G3135" t="s">
        <v>18166</v>
      </c>
      <c r="H3135" t="s">
        <v>1112</v>
      </c>
      <c r="I3135" t="s">
        <v>1108</v>
      </c>
      <c r="J3135" t="s">
        <v>9819</v>
      </c>
      <c r="K3135" t="s">
        <v>9820</v>
      </c>
      <c r="L3135" t="s">
        <v>21</v>
      </c>
      <c r="M3135" t="s">
        <v>19177</v>
      </c>
      <c r="N3135" t="s">
        <v>16375</v>
      </c>
      <c r="O3135" t="s">
        <v>640</v>
      </c>
      <c r="P3135" t="s">
        <v>623</v>
      </c>
    </row>
    <row r="3136">
      <c r="A3136">
        <f>HYPERLINK("http://bombeiros.sp.gov.br/hidrantes/03individual/25197.html","25197")</f>
      </c>
      <c r="B3136" t="s">
        <v>623</v>
      </c>
      <c r="C3136" t="s">
        <v>640</v>
      </c>
      <c r="D3136" t="s">
        <v>652</v>
      </c>
      <c r="E3136" t="s">
        <v>64</v>
      </c>
      <c r="F3136" t="s">
        <v>9821</v>
      </c>
      <c r="G3136" t="s">
        <v>18139</v>
      </c>
      <c r="H3136" t="s">
        <v>1121</v>
      </c>
      <c r="I3136" t="s">
        <v>1117</v>
      </c>
      <c r="J3136" t="s">
        <v>9822</v>
      </c>
      <c r="K3136" t="s">
        <v>9823</v>
      </c>
      <c r="L3136" t="s">
        <v>21</v>
      </c>
      <c r="M3136" t="s">
        <v>19177</v>
      </c>
      <c r="N3136" t="s">
        <v>16375</v>
      </c>
      <c r="O3136" t="s">
        <v>640</v>
      </c>
      <c r="P3136" t="s">
        <v>623</v>
      </c>
    </row>
    <row r="3137">
      <c r="A3137">
        <f>HYPERLINK("http://bombeiros.sp.gov.br/hidrantes/03individual/25198.html","25198")</f>
      </c>
      <c r="B3137" t="s">
        <v>623</v>
      </c>
      <c r="C3137" t="s">
        <v>640</v>
      </c>
      <c r="D3137" t="s">
        <v>652</v>
      </c>
      <c r="E3137" t="s">
        <v>64</v>
      </c>
      <c r="F3137" t="s">
        <v>9824</v>
      </c>
      <c r="G3137" t="s">
        <v>18065</v>
      </c>
      <c r="H3137" t="s">
        <v>1112</v>
      </c>
      <c r="I3137" t="s">
        <v>1108</v>
      </c>
      <c r="J3137" t="s">
        <v>9825</v>
      </c>
      <c r="K3137" t="s">
        <v>9826</v>
      </c>
      <c r="L3137" t="s">
        <v>21</v>
      </c>
      <c r="M3137" t="s">
        <v>19177</v>
      </c>
      <c r="N3137" t="s">
        <v>16375</v>
      </c>
      <c r="O3137" t="s">
        <v>640</v>
      </c>
      <c r="P3137" t="s">
        <v>623</v>
      </c>
    </row>
    <row r="3138">
      <c r="A3138">
        <f>HYPERLINK("http://bombeiros.sp.gov.br/hidrantes/03individual/27034.html","27034")</f>
      </c>
      <c r="B3138" t="s">
        <v>623</v>
      </c>
      <c r="C3138" t="s">
        <v>640</v>
      </c>
      <c r="D3138" t="s">
        <v>652</v>
      </c>
      <c r="E3138" t="s">
        <v>64</v>
      </c>
      <c r="F3138" t="s">
        <v>16603</v>
      </c>
      <c r="G3138" t="s">
        <v>18194</v>
      </c>
      <c r="H3138" t="s">
        <v>1112</v>
      </c>
      <c r="I3138" t="s">
        <v>1108</v>
      </c>
      <c r="J3138" t="s">
        <v>16604</v>
      </c>
      <c r="K3138" t="s">
        <v>16605</v>
      </c>
      <c r="L3138" t="s">
        <v>21</v>
      </c>
      <c r="M3138" t="s">
        <v>19177</v>
      </c>
      <c r="N3138" t="s">
        <v>16375</v>
      </c>
      <c r="O3138" t="s">
        <v>640</v>
      </c>
      <c r="P3138" t="s">
        <v>623</v>
      </c>
    </row>
    <row r="3139">
      <c r="A3139">
        <f>HYPERLINK("http://bombeiros.sp.gov.br/hidrantes/03individual/27062.html","27062")</f>
      </c>
      <c r="B3139" t="s">
        <v>623</v>
      </c>
      <c r="C3139" t="s">
        <v>640</v>
      </c>
      <c r="D3139" t="s">
        <v>652</v>
      </c>
      <c r="E3139" t="s">
        <v>64</v>
      </c>
      <c r="F3139" t="s">
        <v>16678</v>
      </c>
      <c r="G3139" t="s">
        <v>18065</v>
      </c>
      <c r="H3139" t="s">
        <v>1112</v>
      </c>
      <c r="I3139" t="s">
        <v>1108</v>
      </c>
      <c r="J3139" t="s">
        <v>16679</v>
      </c>
      <c r="K3139" t="s">
        <v>16680</v>
      </c>
      <c r="L3139" t="s">
        <v>21</v>
      </c>
      <c r="M3139" t="s">
        <v>19177</v>
      </c>
      <c r="N3139" t="s">
        <v>16375</v>
      </c>
      <c r="O3139" t="s">
        <v>640</v>
      </c>
      <c r="P3139" t="s">
        <v>623</v>
      </c>
    </row>
    <row r="3140">
      <c r="A3140">
        <f>HYPERLINK("http://bombeiros.sp.gov.br/hidrantes/03individual/28001.html","28001")</f>
      </c>
      <c r="B3140" t="s">
        <v>623</v>
      </c>
      <c r="C3140" t="s">
        <v>640</v>
      </c>
      <c r="D3140" t="s">
        <v>652</v>
      </c>
      <c r="E3140" t="s">
        <v>64</v>
      </c>
      <c r="F3140" t="s">
        <v>18259</v>
      </c>
      <c r="G3140" t="s">
        <v>18194</v>
      </c>
      <c r="H3140" t="s">
        <v>1121</v>
      </c>
      <c r="I3140" t="s">
        <v>1117</v>
      </c>
      <c r="J3140" t="s">
        <v>18260</v>
      </c>
      <c r="K3140" t="s">
        <v>18261</v>
      </c>
      <c r="L3140" t="s">
        <v>21</v>
      </c>
      <c r="M3140" t="s">
        <v>19177</v>
      </c>
      <c r="N3140" t="s">
        <v>16375</v>
      </c>
      <c r="O3140" t="s">
        <v>640</v>
      </c>
      <c r="P3140" t="s">
        <v>623</v>
      </c>
    </row>
    <row r="3141">
      <c r="A3141">
        <f>HYPERLINK("http://bombeiros.sp.gov.br/hidrantes/03individual/1246.html","1246")</f>
      </c>
      <c r="B3141" t="s">
        <v>623</v>
      </c>
      <c r="C3141" t="s">
        <v>640</v>
      </c>
      <c r="D3141" t="s">
        <v>660</v>
      </c>
      <c r="E3141" t="s">
        <v>64</v>
      </c>
      <c r="F3141" t="s">
        <v>9827</v>
      </c>
      <c r="G3141" t="s">
        <v>18065</v>
      </c>
      <c r="H3141" t="s">
        <v>1112</v>
      </c>
      <c r="I3141" t="s">
        <v>1108</v>
      </c>
      <c r="J3141" t="s">
        <v>9828</v>
      </c>
      <c r="K3141" t="s">
        <v>9829</v>
      </c>
      <c r="L3141" t="s">
        <v>36</v>
      </c>
      <c r="M3141" t="s">
        <v>19177</v>
      </c>
      <c r="N3141" t="s">
        <v>16375</v>
      </c>
      <c r="O3141" t="s">
        <v>640</v>
      </c>
      <c r="P3141" t="s">
        <v>623</v>
      </c>
    </row>
    <row r="3142">
      <c r="A3142">
        <f>HYPERLINK("http://bombeiros.sp.gov.br/hidrantes/03individual/6682.html","6682")</f>
      </c>
      <c r="B3142" t="s">
        <v>623</v>
      </c>
      <c r="C3142" t="s">
        <v>640</v>
      </c>
      <c r="D3142" t="s">
        <v>660</v>
      </c>
      <c r="E3142" t="s">
        <v>64</v>
      </c>
      <c r="F3142" t="s">
        <v>9830</v>
      </c>
      <c r="G3142" t="s">
        <v>18078</v>
      </c>
      <c r="H3142" t="s">
        <v>1112</v>
      </c>
      <c r="I3142" t="s">
        <v>1108</v>
      </c>
      <c r="J3142" t="s">
        <v>9831</v>
      </c>
      <c r="K3142" t="s">
        <v>9832</v>
      </c>
      <c r="L3142" t="s">
        <v>36</v>
      </c>
      <c r="M3142" t="s">
        <v>19177</v>
      </c>
      <c r="N3142" t="s">
        <v>16375</v>
      </c>
      <c r="O3142" t="s">
        <v>640</v>
      </c>
      <c r="P3142" t="s">
        <v>623</v>
      </c>
    </row>
    <row r="3143">
      <c r="A3143">
        <f>HYPERLINK("http://bombeiros.sp.gov.br/hidrantes/03individual/6683.html","6683")</f>
      </c>
      <c r="B3143" t="s">
        <v>623</v>
      </c>
      <c r="C3143" t="s">
        <v>640</v>
      </c>
      <c r="D3143" t="s">
        <v>660</v>
      </c>
      <c r="E3143" t="s">
        <v>64</v>
      </c>
      <c r="F3143" t="s">
        <v>9830</v>
      </c>
      <c r="G3143" t="s">
        <v>18078</v>
      </c>
      <c r="H3143" t="s">
        <v>1112</v>
      </c>
      <c r="I3143" t="s">
        <v>1108</v>
      </c>
      <c r="J3143" t="s">
        <v>9833</v>
      </c>
      <c r="K3143" t="s">
        <v>9834</v>
      </c>
      <c r="L3143" t="s">
        <v>21</v>
      </c>
      <c r="M3143" t="s">
        <v>19177</v>
      </c>
      <c r="N3143" t="s">
        <v>16375</v>
      </c>
      <c r="O3143" t="s">
        <v>640</v>
      </c>
      <c r="P3143" t="s">
        <v>623</v>
      </c>
    </row>
    <row r="3144">
      <c r="A3144">
        <f>HYPERLINK("http://bombeiros.sp.gov.br/hidrantes/03individual/27031.html","27031")</f>
      </c>
      <c r="B3144" t="s">
        <v>623</v>
      </c>
      <c r="C3144" t="s">
        <v>640</v>
      </c>
      <c r="D3144" t="s">
        <v>660</v>
      </c>
      <c r="E3144" t="s">
        <v>64</v>
      </c>
      <c r="F3144" t="s">
        <v>16606</v>
      </c>
      <c r="G3144" t="s">
        <v>17928</v>
      </c>
      <c r="H3144" t="s">
        <v>1121</v>
      </c>
      <c r="I3144" t="s">
        <v>1117</v>
      </c>
      <c r="J3144" t="s">
        <v>16607</v>
      </c>
      <c r="K3144" t="s">
        <v>16608</v>
      </c>
      <c r="L3144" t="s">
        <v>21</v>
      </c>
      <c r="M3144" t="s">
        <v>19177</v>
      </c>
      <c r="N3144" t="s">
        <v>16375</v>
      </c>
      <c r="O3144" t="s">
        <v>640</v>
      </c>
      <c r="P3144" t="s">
        <v>623</v>
      </c>
    </row>
    <row r="3145">
      <c r="A3145">
        <f>HYPERLINK("http://bombeiros.sp.gov.br/hidrantes/03individual/27032.html","27032")</f>
      </c>
      <c r="B3145" t="s">
        <v>623</v>
      </c>
      <c r="C3145" t="s">
        <v>640</v>
      </c>
      <c r="D3145" t="s">
        <v>660</v>
      </c>
      <c r="E3145" t="s">
        <v>64</v>
      </c>
      <c r="F3145" t="s">
        <v>16609</v>
      </c>
      <c r="G3145" t="s">
        <v>17834</v>
      </c>
      <c r="H3145" t="s">
        <v>1112</v>
      </c>
      <c r="I3145" t="s">
        <v>1108</v>
      </c>
      <c r="J3145" t="s">
        <v>16610</v>
      </c>
      <c r="K3145" t="s">
        <v>16611</v>
      </c>
      <c r="L3145" t="s">
        <v>21</v>
      </c>
      <c r="M3145" t="s">
        <v>19177</v>
      </c>
      <c r="N3145" t="s">
        <v>16375</v>
      </c>
      <c r="O3145" t="s">
        <v>640</v>
      </c>
      <c r="P3145" t="s">
        <v>623</v>
      </c>
    </row>
    <row r="3146">
      <c r="A3146">
        <f>HYPERLINK("http://bombeiros.sp.gov.br/hidrantes/03individual/27033.html","27033")</f>
      </c>
      <c r="B3146" t="s">
        <v>623</v>
      </c>
      <c r="C3146" t="s">
        <v>640</v>
      </c>
      <c r="D3146" t="s">
        <v>660</v>
      </c>
      <c r="E3146" t="s">
        <v>64</v>
      </c>
      <c r="F3146" t="s">
        <v>16612</v>
      </c>
      <c r="G3146" t="s">
        <v>18065</v>
      </c>
      <c r="H3146" t="s">
        <v>1112</v>
      </c>
      <c r="I3146" t="s">
        <v>1108</v>
      </c>
      <c r="J3146" t="s">
        <v>16613</v>
      </c>
      <c r="K3146" t="s">
        <v>16614</v>
      </c>
      <c r="L3146" t="s">
        <v>21</v>
      </c>
      <c r="M3146" t="s">
        <v>19177</v>
      </c>
      <c r="N3146" t="s">
        <v>16375</v>
      </c>
      <c r="O3146" t="s">
        <v>640</v>
      </c>
      <c r="P3146" t="s">
        <v>623</v>
      </c>
    </row>
    <row r="3147">
      <c r="A3147">
        <f>HYPERLINK("http://bombeiros.sp.gov.br/hidrantes/03individual/27069.html","27069")</f>
      </c>
      <c r="B3147" t="s">
        <v>623</v>
      </c>
      <c r="C3147" t="s">
        <v>640</v>
      </c>
      <c r="D3147" t="s">
        <v>660</v>
      </c>
      <c r="E3147" t="s">
        <v>64</v>
      </c>
      <c r="F3147" t="s">
        <v>16752</v>
      </c>
      <c r="G3147" t="s">
        <v>18084</v>
      </c>
      <c r="H3147" t="s">
        <v>1112</v>
      </c>
      <c r="I3147" t="s">
        <v>1108</v>
      </c>
      <c r="J3147" t="s">
        <v>16753</v>
      </c>
      <c r="K3147" t="s">
        <v>16754</v>
      </c>
      <c r="L3147" t="s">
        <v>21</v>
      </c>
      <c r="M3147" t="s">
        <v>19177</v>
      </c>
      <c r="N3147" t="s">
        <v>16375</v>
      </c>
      <c r="O3147" t="s">
        <v>640</v>
      </c>
      <c r="P3147" t="s">
        <v>623</v>
      </c>
    </row>
    <row r="3148">
      <c r="A3148">
        <f>HYPERLINK("http://bombeiros.sp.gov.br/hidrantes/03individual/1103.html","1103")</f>
      </c>
      <c r="B3148" t="s">
        <v>623</v>
      </c>
      <c r="C3148" t="s">
        <v>640</v>
      </c>
      <c r="D3148" t="s">
        <v>660</v>
      </c>
      <c r="E3148" t="s">
        <v>15</v>
      </c>
      <c r="F3148" t="s">
        <v>9835</v>
      </c>
      <c r="G3148" t="s">
        <v>18078</v>
      </c>
      <c r="H3148" t="s">
        <v>1174</v>
      </c>
      <c r="I3148" t="s">
        <v>1108</v>
      </c>
      <c r="J3148" t="s">
        <v>9836</v>
      </c>
      <c r="K3148" t="s">
        <v>9837</v>
      </c>
      <c r="L3148" t="s">
        <v>21</v>
      </c>
      <c r="M3148" t="s">
        <v>19177</v>
      </c>
      <c r="N3148" t="s">
        <v>16375</v>
      </c>
      <c r="O3148" t="s">
        <v>640</v>
      </c>
      <c r="P3148" t="s">
        <v>623</v>
      </c>
    </row>
    <row r="3149">
      <c r="A3149">
        <f>HYPERLINK("http://bombeiros.sp.gov.br/hidrantes/03individual/1300.html","1300")</f>
      </c>
      <c r="B3149" t="s">
        <v>623</v>
      </c>
      <c r="C3149" t="s">
        <v>640</v>
      </c>
      <c r="D3149" t="s">
        <v>660</v>
      </c>
      <c r="E3149" t="s">
        <v>15</v>
      </c>
      <c r="F3149" t="s">
        <v>9838</v>
      </c>
      <c r="G3149" t="s">
        <v>18098</v>
      </c>
      <c r="H3149" t="s">
        <v>1174</v>
      </c>
      <c r="I3149" t="s">
        <v>1117</v>
      </c>
      <c r="J3149" t="s">
        <v>9839</v>
      </c>
      <c r="K3149" t="s">
        <v>9840</v>
      </c>
      <c r="L3149" t="s">
        <v>21</v>
      </c>
      <c r="M3149" t="s">
        <v>19177</v>
      </c>
      <c r="N3149" t="s">
        <v>16375</v>
      </c>
      <c r="O3149" t="s">
        <v>640</v>
      </c>
      <c r="P3149" t="s">
        <v>623</v>
      </c>
    </row>
    <row r="3150">
      <c r="A3150">
        <f>HYPERLINK("http://bombeiros.sp.gov.br/hidrantes/03individual/1309.html","1309")</f>
      </c>
      <c r="B3150" t="s">
        <v>623</v>
      </c>
      <c r="C3150" t="s">
        <v>640</v>
      </c>
      <c r="D3150" t="s">
        <v>660</v>
      </c>
      <c r="E3150" t="s">
        <v>15</v>
      </c>
      <c r="F3150" t="s">
        <v>9841</v>
      </c>
      <c r="G3150" t="s">
        <v>17777</v>
      </c>
      <c r="H3150" t="s">
        <v>1107</v>
      </c>
      <c r="I3150" t="s">
        <v>1108</v>
      </c>
      <c r="J3150" t="s">
        <v>9842</v>
      </c>
      <c r="K3150" t="s">
        <v>9843</v>
      </c>
      <c r="L3150" t="s">
        <v>21</v>
      </c>
      <c r="M3150" t="s">
        <v>19177</v>
      </c>
      <c r="N3150" t="s">
        <v>16375</v>
      </c>
      <c r="O3150" t="s">
        <v>640</v>
      </c>
      <c r="P3150" t="s">
        <v>623</v>
      </c>
    </row>
    <row r="3151">
      <c r="A3151">
        <f>HYPERLINK("http://bombeiros.sp.gov.br/hidrantes/03individual/2129.html","2129")</f>
      </c>
      <c r="B3151" t="s">
        <v>623</v>
      </c>
      <c r="C3151" t="s">
        <v>640</v>
      </c>
      <c r="D3151" t="s">
        <v>660</v>
      </c>
      <c r="E3151" t="s">
        <v>15</v>
      </c>
      <c r="F3151" t="s">
        <v>9844</v>
      </c>
      <c r="G3151" t="s">
        <v>17855</v>
      </c>
      <c r="H3151" t="s">
        <v>1112</v>
      </c>
      <c r="I3151" t="s">
        <v>1108</v>
      </c>
      <c r="J3151" t="s">
        <v>9845</v>
      </c>
      <c r="K3151" t="s">
        <v>9846</v>
      </c>
      <c r="L3151" t="s">
        <v>21</v>
      </c>
      <c r="M3151" t="s">
        <v>19177</v>
      </c>
      <c r="N3151" t="s">
        <v>16375</v>
      </c>
      <c r="O3151" t="s">
        <v>640</v>
      </c>
      <c r="P3151" t="s">
        <v>623</v>
      </c>
    </row>
    <row r="3152">
      <c r="A3152">
        <f>HYPERLINK("http://bombeiros.sp.gov.br/hidrantes/03individual/2131.html","2131")</f>
      </c>
      <c r="B3152" t="s">
        <v>623</v>
      </c>
      <c r="C3152" t="s">
        <v>640</v>
      </c>
      <c r="D3152" t="s">
        <v>660</v>
      </c>
      <c r="E3152" t="s">
        <v>15</v>
      </c>
      <c r="F3152" t="s">
        <v>9847</v>
      </c>
      <c r="G3152" t="s">
        <v>18084</v>
      </c>
      <c r="H3152" t="s">
        <v>1112</v>
      </c>
      <c r="I3152" t="s">
        <v>1108</v>
      </c>
      <c r="J3152" t="s">
        <v>9848</v>
      </c>
      <c r="K3152" t="s">
        <v>9849</v>
      </c>
      <c r="L3152" t="s">
        <v>21</v>
      </c>
      <c r="M3152" t="s">
        <v>19177</v>
      </c>
      <c r="N3152" t="s">
        <v>16375</v>
      </c>
      <c r="O3152" t="s">
        <v>640</v>
      </c>
      <c r="P3152" t="s">
        <v>623</v>
      </c>
    </row>
    <row r="3153">
      <c r="A3153">
        <f>HYPERLINK("http://bombeiros.sp.gov.br/hidrantes/03individual/2133.html","2133")</f>
      </c>
      <c r="B3153" t="s">
        <v>623</v>
      </c>
      <c r="C3153" t="s">
        <v>640</v>
      </c>
      <c r="D3153" t="s">
        <v>660</v>
      </c>
      <c r="E3153" t="s">
        <v>15</v>
      </c>
      <c r="F3153" t="s">
        <v>9850</v>
      </c>
      <c r="G3153" t="s">
        <v>18089</v>
      </c>
      <c r="H3153" t="s">
        <v>1107</v>
      </c>
      <c r="I3153" t="s">
        <v>1108</v>
      </c>
      <c r="J3153" t="s">
        <v>9851</v>
      </c>
      <c r="K3153" t="s">
        <v>9852</v>
      </c>
      <c r="L3153" t="s">
        <v>21</v>
      </c>
      <c r="M3153" t="s">
        <v>19177</v>
      </c>
      <c r="N3153" t="s">
        <v>16375</v>
      </c>
      <c r="O3153" t="s">
        <v>640</v>
      </c>
      <c r="P3153" t="s">
        <v>623</v>
      </c>
    </row>
    <row r="3154">
      <c r="A3154">
        <f>HYPERLINK("http://bombeiros.sp.gov.br/hidrantes/03individual/2151.html","2151")</f>
      </c>
      <c r="B3154" t="s">
        <v>623</v>
      </c>
      <c r="C3154" t="s">
        <v>640</v>
      </c>
      <c r="D3154" t="s">
        <v>660</v>
      </c>
      <c r="E3154" t="s">
        <v>15</v>
      </c>
      <c r="F3154" t="s">
        <v>9853</v>
      </c>
      <c r="G3154" t="s">
        <v>18050</v>
      </c>
      <c r="H3154" t="s">
        <v>1107</v>
      </c>
      <c r="I3154" t="s">
        <v>1108</v>
      </c>
      <c r="J3154" t="s">
        <v>9854</v>
      </c>
      <c r="K3154" t="s">
        <v>9855</v>
      </c>
      <c r="L3154" t="s">
        <v>21</v>
      </c>
      <c r="M3154" t="s">
        <v>19177</v>
      </c>
      <c r="N3154" t="s">
        <v>16375</v>
      </c>
      <c r="O3154" t="s">
        <v>640</v>
      </c>
      <c r="P3154" t="s">
        <v>623</v>
      </c>
    </row>
    <row r="3155">
      <c r="A3155">
        <f>HYPERLINK("http://bombeiros.sp.gov.br/hidrantes/03individual/2167.html","2167")</f>
      </c>
      <c r="B3155" t="s">
        <v>623</v>
      </c>
      <c r="C3155" t="s">
        <v>640</v>
      </c>
      <c r="D3155" t="s">
        <v>660</v>
      </c>
      <c r="E3155" t="s">
        <v>15</v>
      </c>
      <c r="F3155" t="s">
        <v>9856</v>
      </c>
      <c r="G3155" t="s">
        <v>18065</v>
      </c>
      <c r="H3155" t="s">
        <v>1107</v>
      </c>
      <c r="I3155" t="s">
        <v>1108</v>
      </c>
      <c r="J3155" t="s">
        <v>9857</v>
      </c>
      <c r="K3155" t="s">
        <v>9858</v>
      </c>
      <c r="L3155" t="s">
        <v>21</v>
      </c>
      <c r="M3155" t="s">
        <v>19177</v>
      </c>
      <c r="N3155" t="s">
        <v>16375</v>
      </c>
      <c r="O3155" t="s">
        <v>640</v>
      </c>
      <c r="P3155" t="s">
        <v>623</v>
      </c>
    </row>
    <row r="3156">
      <c r="A3156">
        <f>HYPERLINK("http://bombeiros.sp.gov.br/hidrantes/03individual/4245.html","4245")</f>
      </c>
      <c r="B3156" t="s">
        <v>623</v>
      </c>
      <c r="C3156" t="s">
        <v>640</v>
      </c>
      <c r="D3156" t="s">
        <v>660</v>
      </c>
      <c r="E3156" t="s">
        <v>15</v>
      </c>
      <c r="F3156" t="s">
        <v>9859</v>
      </c>
      <c r="G3156" t="s">
        <v>18084</v>
      </c>
      <c r="H3156" t="s">
        <v>1112</v>
      </c>
      <c r="I3156" t="s">
        <v>1108</v>
      </c>
      <c r="J3156" t="s">
        <v>9860</v>
      </c>
      <c r="K3156" t="s">
        <v>9861</v>
      </c>
      <c r="L3156" t="s">
        <v>21</v>
      </c>
      <c r="M3156" t="s">
        <v>19177</v>
      </c>
      <c r="N3156" t="s">
        <v>16375</v>
      </c>
      <c r="O3156" t="s">
        <v>640</v>
      </c>
      <c r="P3156" t="s">
        <v>623</v>
      </c>
    </row>
    <row r="3157">
      <c r="A3157">
        <f>HYPERLINK("http://bombeiros.sp.gov.br/hidrantes/03individual/4247.html","4247")</f>
      </c>
      <c r="B3157" t="s">
        <v>623</v>
      </c>
      <c r="C3157" t="s">
        <v>640</v>
      </c>
      <c r="D3157" t="s">
        <v>660</v>
      </c>
      <c r="E3157" t="s">
        <v>15</v>
      </c>
      <c r="F3157" t="s">
        <v>9862</v>
      </c>
      <c r="G3157" t="s">
        <v>18145</v>
      </c>
      <c r="H3157" t="s">
        <v>1112</v>
      </c>
      <c r="I3157" t="s">
        <v>1108</v>
      </c>
      <c r="J3157" t="s">
        <v>9863</v>
      </c>
      <c r="K3157" t="s">
        <v>9864</v>
      </c>
      <c r="L3157" t="s">
        <v>21</v>
      </c>
      <c r="M3157" t="s">
        <v>19177</v>
      </c>
      <c r="N3157" t="s">
        <v>16375</v>
      </c>
      <c r="O3157" t="s">
        <v>640</v>
      </c>
      <c r="P3157" t="s">
        <v>623</v>
      </c>
    </row>
    <row r="3158">
      <c r="A3158">
        <f>HYPERLINK("http://bombeiros.sp.gov.br/hidrantes/03individual/16552.html","16552")</f>
      </c>
      <c r="B3158" t="s">
        <v>623</v>
      </c>
      <c r="C3158" t="s">
        <v>640</v>
      </c>
      <c r="D3158" t="s">
        <v>660</v>
      </c>
      <c r="E3158" t="s">
        <v>15</v>
      </c>
      <c r="F3158" t="s">
        <v>9865</v>
      </c>
      <c r="G3158" t="s">
        <v>18145</v>
      </c>
      <c r="H3158" t="s">
        <v>1107</v>
      </c>
      <c r="I3158" t="s">
        <v>1108</v>
      </c>
      <c r="J3158" t="s">
        <v>9866</v>
      </c>
      <c r="K3158" t="s">
        <v>9867</v>
      </c>
      <c r="L3158" t="s">
        <v>21</v>
      </c>
      <c r="M3158" t="s">
        <v>19177</v>
      </c>
      <c r="N3158" t="s">
        <v>16375</v>
      </c>
      <c r="O3158" t="s">
        <v>640</v>
      </c>
      <c r="P3158" t="s">
        <v>623</v>
      </c>
    </row>
    <row r="3159">
      <c r="A3159">
        <f>HYPERLINK("http://bombeiros.sp.gov.br/hidrantes/03individual/17858.html","17858")</f>
      </c>
      <c r="B3159" t="s">
        <v>623</v>
      </c>
      <c r="C3159" t="s">
        <v>640</v>
      </c>
      <c r="D3159" t="s">
        <v>660</v>
      </c>
      <c r="E3159" t="s">
        <v>15</v>
      </c>
      <c r="F3159" t="s">
        <v>9868</v>
      </c>
      <c r="G3159" t="s">
        <v>18099</v>
      </c>
      <c r="H3159"/>
      <c r="I3159" t="s">
        <v>18</v>
      </c>
      <c r="J3159" t="s">
        <v>9869</v>
      </c>
      <c r="K3159" t="s">
        <v>9870</v>
      </c>
      <c r="L3159" t="s">
        <v>21</v>
      </c>
      <c r="M3159" t="s">
        <v>19177</v>
      </c>
      <c r="N3159" t="s">
        <v>16375</v>
      </c>
      <c r="O3159" t="s">
        <v>640</v>
      </c>
      <c r="P3159" t="s">
        <v>623</v>
      </c>
    </row>
    <row r="3160">
      <c r="A3160">
        <f>HYPERLINK("http://bombeiros.sp.gov.br/hidrantes/03individual/1259.html","1259")</f>
      </c>
      <c r="B3160" t="s">
        <v>623</v>
      </c>
      <c r="C3160" t="s">
        <v>640</v>
      </c>
      <c r="D3160" t="s">
        <v>669</v>
      </c>
      <c r="E3160" t="s">
        <v>64</v>
      </c>
      <c r="F3160" t="s">
        <v>9871</v>
      </c>
      <c r="G3160" t="s">
        <v>18132</v>
      </c>
      <c r="H3160" t="s">
        <v>1121</v>
      </c>
      <c r="I3160" t="s">
        <v>1117</v>
      </c>
      <c r="J3160" t="s">
        <v>9872</v>
      </c>
      <c r="K3160" t="s">
        <v>9873</v>
      </c>
      <c r="L3160" t="s">
        <v>36</v>
      </c>
      <c r="M3160" t="s">
        <v>19177</v>
      </c>
      <c r="N3160" t="s">
        <v>16375</v>
      </c>
      <c r="O3160" t="s">
        <v>640</v>
      </c>
      <c r="P3160" t="s">
        <v>623</v>
      </c>
    </row>
    <row r="3161">
      <c r="A3161">
        <f>HYPERLINK("http://bombeiros.sp.gov.br/hidrantes/03individual/1287.html","1287")</f>
      </c>
      <c r="B3161" t="s">
        <v>623</v>
      </c>
      <c r="C3161" t="s">
        <v>640</v>
      </c>
      <c r="D3161" t="s">
        <v>669</v>
      </c>
      <c r="E3161" t="s">
        <v>64</v>
      </c>
      <c r="F3161" t="s">
        <v>9874</v>
      </c>
      <c r="G3161" t="s">
        <v>18207</v>
      </c>
      <c r="H3161" t="s">
        <v>1112</v>
      </c>
      <c r="I3161" t="s">
        <v>1108</v>
      </c>
      <c r="J3161" t="s">
        <v>9875</v>
      </c>
      <c r="K3161" t="s">
        <v>9876</v>
      </c>
      <c r="L3161" t="s">
        <v>36</v>
      </c>
      <c r="M3161" t="s">
        <v>19177</v>
      </c>
      <c r="N3161" t="s">
        <v>16375</v>
      </c>
      <c r="O3161" t="s">
        <v>640</v>
      </c>
      <c r="P3161" t="s">
        <v>623</v>
      </c>
    </row>
    <row r="3162">
      <c r="A3162">
        <f>HYPERLINK("http://bombeiros.sp.gov.br/hidrantes/03individual/4255.html","4255")</f>
      </c>
      <c r="B3162" t="s">
        <v>623</v>
      </c>
      <c r="C3162" t="s">
        <v>640</v>
      </c>
      <c r="D3162" t="s">
        <v>669</v>
      </c>
      <c r="E3162" t="s">
        <v>64</v>
      </c>
      <c r="F3162" t="s">
        <v>9877</v>
      </c>
      <c r="G3162" t="s">
        <v>18207</v>
      </c>
      <c r="H3162" t="s">
        <v>1112</v>
      </c>
      <c r="I3162" t="s">
        <v>1108</v>
      </c>
      <c r="J3162" t="s">
        <v>9878</v>
      </c>
      <c r="K3162" t="s">
        <v>9879</v>
      </c>
      <c r="L3162" t="s">
        <v>36</v>
      </c>
      <c r="M3162" t="s">
        <v>19177</v>
      </c>
      <c r="N3162" t="s">
        <v>16375</v>
      </c>
      <c r="O3162" t="s">
        <v>640</v>
      </c>
      <c r="P3162" t="s">
        <v>623</v>
      </c>
    </row>
    <row r="3163">
      <c r="A3163">
        <f>HYPERLINK("http://bombeiros.sp.gov.br/hidrantes/03individual/4256.html","4256")</f>
      </c>
      <c r="B3163" t="s">
        <v>623</v>
      </c>
      <c r="C3163" t="s">
        <v>640</v>
      </c>
      <c r="D3163" t="s">
        <v>669</v>
      </c>
      <c r="E3163" t="s">
        <v>64</v>
      </c>
      <c r="F3163" t="s">
        <v>9880</v>
      </c>
      <c r="G3163" t="s">
        <v>18132</v>
      </c>
      <c r="H3163" t="s">
        <v>1107</v>
      </c>
      <c r="I3163" t="s">
        <v>1108</v>
      </c>
      <c r="J3163" t="s">
        <v>9881</v>
      </c>
      <c r="K3163" t="s">
        <v>9882</v>
      </c>
      <c r="L3163" t="s">
        <v>36</v>
      </c>
      <c r="M3163" t="s">
        <v>19177</v>
      </c>
      <c r="N3163" t="s">
        <v>16375</v>
      </c>
      <c r="O3163" t="s">
        <v>640</v>
      </c>
      <c r="P3163" t="s">
        <v>623</v>
      </c>
    </row>
    <row r="3164">
      <c r="A3164">
        <f>HYPERLINK("http://bombeiros.sp.gov.br/hidrantes/03individual/16308.html","16308")</f>
      </c>
      <c r="B3164" t="s">
        <v>623</v>
      </c>
      <c r="C3164" t="s">
        <v>640</v>
      </c>
      <c r="D3164" t="s">
        <v>669</v>
      </c>
      <c r="E3164" t="s">
        <v>64</v>
      </c>
      <c r="F3164" t="s">
        <v>9883</v>
      </c>
      <c r="G3164" t="s">
        <v>18078</v>
      </c>
      <c r="H3164" t="s">
        <v>1112</v>
      </c>
      <c r="I3164" t="s">
        <v>1108</v>
      </c>
      <c r="J3164" t="s">
        <v>9884</v>
      </c>
      <c r="K3164" t="s">
        <v>9885</v>
      </c>
      <c r="L3164" t="s">
        <v>21</v>
      </c>
      <c r="M3164" t="s">
        <v>19177</v>
      </c>
      <c r="N3164" t="s">
        <v>16375</v>
      </c>
      <c r="O3164" t="s">
        <v>640</v>
      </c>
      <c r="P3164" t="s">
        <v>623</v>
      </c>
    </row>
    <row r="3165">
      <c r="A3165">
        <f>HYPERLINK("http://bombeiros.sp.gov.br/hidrantes/03individual/1318.html","1318")</f>
      </c>
      <c r="B3165" t="s">
        <v>623</v>
      </c>
      <c r="C3165" t="s">
        <v>640</v>
      </c>
      <c r="D3165" t="s">
        <v>669</v>
      </c>
      <c r="E3165" t="s">
        <v>15</v>
      </c>
      <c r="F3165" t="s">
        <v>9886</v>
      </c>
      <c r="G3165" t="s">
        <v>18139</v>
      </c>
      <c r="H3165" t="s">
        <v>1174</v>
      </c>
      <c r="I3165" t="s">
        <v>1117</v>
      </c>
      <c r="J3165" t="s">
        <v>9887</v>
      </c>
      <c r="K3165" t="s">
        <v>9888</v>
      </c>
      <c r="L3165" t="s">
        <v>21</v>
      </c>
      <c r="M3165" t="s">
        <v>19177</v>
      </c>
      <c r="N3165" t="s">
        <v>16375</v>
      </c>
      <c r="O3165" t="s">
        <v>640</v>
      </c>
      <c r="P3165" t="s">
        <v>623</v>
      </c>
    </row>
    <row r="3166">
      <c r="A3166">
        <f>HYPERLINK("http://bombeiros.sp.gov.br/hidrantes/03individual/1320.html","1320")</f>
      </c>
      <c r="B3166" t="s">
        <v>623</v>
      </c>
      <c r="C3166" t="s">
        <v>640</v>
      </c>
      <c r="D3166" t="s">
        <v>669</v>
      </c>
      <c r="E3166" t="s">
        <v>15</v>
      </c>
      <c r="F3166" t="s">
        <v>9889</v>
      </c>
      <c r="G3166" t="s">
        <v>18034</v>
      </c>
      <c r="H3166" t="s">
        <v>1112</v>
      </c>
      <c r="I3166" t="s">
        <v>1108</v>
      </c>
      <c r="J3166" t="s">
        <v>9890</v>
      </c>
      <c r="K3166" t="s">
        <v>9891</v>
      </c>
      <c r="L3166" t="s">
        <v>21</v>
      </c>
      <c r="M3166" t="s">
        <v>19177</v>
      </c>
      <c r="N3166" t="s">
        <v>16375</v>
      </c>
      <c r="O3166" t="s">
        <v>640</v>
      </c>
      <c r="P3166" t="s">
        <v>623</v>
      </c>
    </row>
    <row r="3167">
      <c r="A3167">
        <f>HYPERLINK("http://bombeiros.sp.gov.br/hidrantes/03individual/2225.html","2225")</f>
      </c>
      <c r="B3167" t="s">
        <v>623</v>
      </c>
      <c r="C3167" t="s">
        <v>640</v>
      </c>
      <c r="D3167" t="s">
        <v>669</v>
      </c>
      <c r="E3167" t="s">
        <v>15</v>
      </c>
      <c r="F3167" t="s">
        <v>9892</v>
      </c>
      <c r="G3167" t="s">
        <v>18132</v>
      </c>
      <c r="H3167" t="s">
        <v>1112</v>
      </c>
      <c r="I3167" t="s">
        <v>1108</v>
      </c>
      <c r="J3167" t="s">
        <v>9893</v>
      </c>
      <c r="K3167" t="s">
        <v>9894</v>
      </c>
      <c r="L3167" t="s">
        <v>21</v>
      </c>
      <c r="M3167" t="s">
        <v>19177</v>
      </c>
      <c r="N3167" t="s">
        <v>16375</v>
      </c>
      <c r="O3167" t="s">
        <v>640</v>
      </c>
      <c r="P3167" t="s">
        <v>623</v>
      </c>
    </row>
    <row r="3168">
      <c r="A3168">
        <f>HYPERLINK("http://bombeiros.sp.gov.br/hidrantes/03individual/2259.html","2259")</f>
      </c>
      <c r="B3168" t="s">
        <v>623</v>
      </c>
      <c r="C3168" t="s">
        <v>640</v>
      </c>
      <c r="D3168" t="s">
        <v>669</v>
      </c>
      <c r="E3168" t="s">
        <v>15</v>
      </c>
      <c r="F3168" t="s">
        <v>9895</v>
      </c>
      <c r="G3168" t="s">
        <v>18089</v>
      </c>
      <c r="H3168" t="s">
        <v>1112</v>
      </c>
      <c r="I3168" t="s">
        <v>1108</v>
      </c>
      <c r="J3168" t="s">
        <v>9896</v>
      </c>
      <c r="K3168" t="s">
        <v>9897</v>
      </c>
      <c r="L3168" t="s">
        <v>21</v>
      </c>
      <c r="M3168" t="s">
        <v>19177</v>
      </c>
      <c r="N3168" t="s">
        <v>16375</v>
      </c>
      <c r="O3168" t="s">
        <v>640</v>
      </c>
      <c r="P3168" t="s">
        <v>623</v>
      </c>
    </row>
    <row r="3169">
      <c r="A3169">
        <f>HYPERLINK("http://bombeiros.sp.gov.br/hidrantes/03individual/2262.html","2262")</f>
      </c>
      <c r="B3169" t="s">
        <v>623</v>
      </c>
      <c r="C3169" t="s">
        <v>640</v>
      </c>
      <c r="D3169" t="s">
        <v>669</v>
      </c>
      <c r="E3169" t="s">
        <v>15</v>
      </c>
      <c r="F3169" t="s">
        <v>9898</v>
      </c>
      <c r="G3169" t="s">
        <v>18132</v>
      </c>
      <c r="H3169" t="s">
        <v>1174</v>
      </c>
      <c r="I3169" t="s">
        <v>1117</v>
      </c>
      <c r="J3169" t="s">
        <v>9899</v>
      </c>
      <c r="K3169" t="s">
        <v>9900</v>
      </c>
      <c r="L3169" t="s">
        <v>21</v>
      </c>
      <c r="M3169" t="s">
        <v>19177</v>
      </c>
      <c r="N3169" t="s">
        <v>16375</v>
      </c>
      <c r="O3169" t="s">
        <v>640</v>
      </c>
      <c r="P3169" t="s">
        <v>623</v>
      </c>
    </row>
    <row r="3170">
      <c r="A3170">
        <f>HYPERLINK("http://bombeiros.sp.gov.br/hidrantes/03individual/2278.html","2278")</f>
      </c>
      <c r="B3170" t="s">
        <v>623</v>
      </c>
      <c r="C3170" t="s">
        <v>640</v>
      </c>
      <c r="D3170" t="s">
        <v>669</v>
      </c>
      <c r="E3170" t="s">
        <v>15</v>
      </c>
      <c r="F3170" t="s">
        <v>9901</v>
      </c>
      <c r="G3170" t="s">
        <v>18132</v>
      </c>
      <c r="H3170" t="s">
        <v>1112</v>
      </c>
      <c r="I3170" t="s">
        <v>1108</v>
      </c>
      <c r="J3170" t="s">
        <v>9902</v>
      </c>
      <c r="K3170" t="s">
        <v>9903</v>
      </c>
      <c r="L3170" t="s">
        <v>21</v>
      </c>
      <c r="M3170" t="s">
        <v>19177</v>
      </c>
      <c r="N3170" t="s">
        <v>16375</v>
      </c>
      <c r="O3170" t="s">
        <v>640</v>
      </c>
      <c r="P3170" t="s">
        <v>623</v>
      </c>
    </row>
    <row r="3171">
      <c r="A3171">
        <f>HYPERLINK("http://bombeiros.sp.gov.br/hidrantes/03individual/4246.html","4246")</f>
      </c>
      <c r="B3171" t="s">
        <v>623</v>
      </c>
      <c r="C3171" t="s">
        <v>640</v>
      </c>
      <c r="D3171" t="s">
        <v>669</v>
      </c>
      <c r="E3171" t="s">
        <v>15</v>
      </c>
      <c r="F3171" t="s">
        <v>9907</v>
      </c>
      <c r="G3171" t="s">
        <v>18130</v>
      </c>
      <c r="H3171" t="s">
        <v>1121</v>
      </c>
      <c r="I3171" t="s">
        <v>1117</v>
      </c>
      <c r="J3171" t="s">
        <v>9908</v>
      </c>
      <c r="K3171" t="s">
        <v>9909</v>
      </c>
      <c r="L3171" t="s">
        <v>21</v>
      </c>
      <c r="M3171" t="s">
        <v>19177</v>
      </c>
      <c r="N3171" t="s">
        <v>16375</v>
      </c>
      <c r="O3171" t="s">
        <v>640</v>
      </c>
      <c r="P3171" t="s">
        <v>623</v>
      </c>
    </row>
    <row r="3172">
      <c r="A3172">
        <f>HYPERLINK("http://bombeiros.sp.gov.br/hidrantes/03individual/4248.html","4248")</f>
      </c>
      <c r="B3172" t="s">
        <v>623</v>
      </c>
      <c r="C3172" t="s">
        <v>640</v>
      </c>
      <c r="D3172" t="s">
        <v>669</v>
      </c>
      <c r="E3172" t="s">
        <v>15</v>
      </c>
      <c r="F3172" t="s">
        <v>9910</v>
      </c>
      <c r="G3172" t="s">
        <v>18194</v>
      </c>
      <c r="H3172" t="s">
        <v>1112</v>
      </c>
      <c r="I3172" t="s">
        <v>1108</v>
      </c>
      <c r="J3172" t="s">
        <v>9911</v>
      </c>
      <c r="K3172" t="s">
        <v>9912</v>
      </c>
      <c r="L3172" t="s">
        <v>21</v>
      </c>
      <c r="M3172" t="s">
        <v>19177</v>
      </c>
      <c r="N3172" t="s">
        <v>16375</v>
      </c>
      <c r="O3172" t="s">
        <v>640</v>
      </c>
      <c r="P3172" t="s">
        <v>623</v>
      </c>
    </row>
    <row r="3173">
      <c r="A3173">
        <f>HYPERLINK("http://bombeiros.sp.gov.br/hidrantes/03individual/15022.html","15022")</f>
      </c>
      <c r="B3173" t="s">
        <v>623</v>
      </c>
      <c r="C3173" t="s">
        <v>640</v>
      </c>
      <c r="D3173" t="s">
        <v>669</v>
      </c>
      <c r="E3173" t="s">
        <v>15</v>
      </c>
      <c r="F3173" t="s">
        <v>9913</v>
      </c>
      <c r="G3173" t="s">
        <v>18207</v>
      </c>
      <c r="H3173" t="s">
        <v>1112</v>
      </c>
      <c r="I3173" t="s">
        <v>1108</v>
      </c>
      <c r="J3173" t="s">
        <v>9915</v>
      </c>
      <c r="K3173" t="s">
        <v>9916</v>
      </c>
      <c r="L3173" t="s">
        <v>21</v>
      </c>
      <c r="M3173" t="s">
        <v>19177</v>
      </c>
      <c r="N3173" t="s">
        <v>16375</v>
      </c>
      <c r="O3173" t="s">
        <v>640</v>
      </c>
      <c r="P3173" t="s">
        <v>623</v>
      </c>
    </row>
    <row r="3174">
      <c r="A3174">
        <f>HYPERLINK("http://bombeiros.sp.gov.br/hidrantes/03individual/16539.html","16539")</f>
      </c>
      <c r="B3174" t="s">
        <v>623</v>
      </c>
      <c r="C3174" t="s">
        <v>640</v>
      </c>
      <c r="D3174" t="s">
        <v>669</v>
      </c>
      <c r="E3174" t="s">
        <v>15</v>
      </c>
      <c r="F3174" t="s">
        <v>9917</v>
      </c>
      <c r="G3174" t="s">
        <v>17965</v>
      </c>
      <c r="H3174" t="s">
        <v>1112</v>
      </c>
      <c r="I3174" t="s">
        <v>1108</v>
      </c>
      <c r="J3174" t="s">
        <v>9919</v>
      </c>
      <c r="K3174" t="s">
        <v>9920</v>
      </c>
      <c r="L3174" t="s">
        <v>21</v>
      </c>
      <c r="M3174" t="s">
        <v>19177</v>
      </c>
      <c r="N3174" t="s">
        <v>16375</v>
      </c>
      <c r="O3174" t="s">
        <v>640</v>
      </c>
      <c r="P3174" t="s">
        <v>623</v>
      </c>
    </row>
    <row r="3175">
      <c r="A3175">
        <f>HYPERLINK("http://bombeiros.sp.gov.br/hidrantes/03individual/1419.html","1419")</f>
      </c>
      <c r="B3175" t="s">
        <v>623</v>
      </c>
      <c r="C3175" t="s">
        <v>674</v>
      </c>
      <c r="D3175" t="s">
        <v>675</v>
      </c>
      <c r="E3175" t="s">
        <v>64</v>
      </c>
      <c r="F3175" t="s">
        <v>9921</v>
      </c>
      <c r="G3175" t="s">
        <v>17927</v>
      </c>
      <c r="H3175" t="s">
        <v>1112</v>
      </c>
      <c r="I3175" t="s">
        <v>1108</v>
      </c>
      <c r="J3175" t="s">
        <v>9922</v>
      </c>
      <c r="K3175" t="s">
        <v>9923</v>
      </c>
      <c r="L3175" t="s">
        <v>21</v>
      </c>
      <c r="M3175" t="s">
        <v>19177</v>
      </c>
      <c r="N3175" t="s">
        <v>714</v>
      </c>
      <c r="O3175" t="s">
        <v>10263</v>
      </c>
      <c r="P3175" t="s">
        <v>12</v>
      </c>
    </row>
    <row r="3176">
      <c r="A3176">
        <f>HYPERLINK("http://bombeiros.sp.gov.br/hidrantes/03individual/1425.html","1425")</f>
      </c>
      <c r="B3176" t="s">
        <v>623</v>
      </c>
      <c r="C3176" t="s">
        <v>674</v>
      </c>
      <c r="D3176" t="s">
        <v>675</v>
      </c>
      <c r="E3176" t="s">
        <v>64</v>
      </c>
      <c r="F3176" t="s">
        <v>9924</v>
      </c>
      <c r="G3176" t="s">
        <v>17927</v>
      </c>
      <c r="H3176" t="s">
        <v>1121</v>
      </c>
      <c r="I3176" t="s">
        <v>1117</v>
      </c>
      <c r="J3176" t="s">
        <v>15894</v>
      </c>
      <c r="K3176" t="s">
        <v>15895</v>
      </c>
      <c r="L3176" t="s">
        <v>21</v>
      </c>
      <c r="M3176" t="s">
        <v>19177</v>
      </c>
      <c r="N3176" t="s">
        <v>714</v>
      </c>
      <c r="O3176" t="s">
        <v>10263</v>
      </c>
      <c r="P3176" t="s">
        <v>12</v>
      </c>
    </row>
    <row r="3177">
      <c r="A3177">
        <f>HYPERLINK("http://bombeiros.sp.gov.br/hidrantes/03individual/3935.html","3935")</f>
      </c>
      <c r="B3177" t="s">
        <v>623</v>
      </c>
      <c r="C3177" t="s">
        <v>674</v>
      </c>
      <c r="D3177" t="s">
        <v>675</v>
      </c>
      <c r="E3177" t="s">
        <v>64</v>
      </c>
      <c r="F3177" t="s">
        <v>9927</v>
      </c>
      <c r="G3177" t="s">
        <v>18214</v>
      </c>
      <c r="H3177" t="s">
        <v>1112</v>
      </c>
      <c r="I3177" t="s">
        <v>1108</v>
      </c>
      <c r="J3177" t="s">
        <v>9928</v>
      </c>
      <c r="K3177" t="s">
        <v>9929</v>
      </c>
      <c r="L3177" t="s">
        <v>21</v>
      </c>
      <c r="M3177" t="s">
        <v>19177</v>
      </c>
      <c r="N3177" t="s">
        <v>1024</v>
      </c>
      <c r="O3177" t="s">
        <v>1024</v>
      </c>
      <c r="P3177" t="s">
        <v>842</v>
      </c>
    </row>
    <row r="3178">
      <c r="A3178">
        <f>HYPERLINK("http://bombeiros.sp.gov.br/hidrantes/03individual/4161.html","4161")</f>
      </c>
      <c r="B3178" t="s">
        <v>623</v>
      </c>
      <c r="C3178" t="s">
        <v>674</v>
      </c>
      <c r="D3178" t="s">
        <v>675</v>
      </c>
      <c r="E3178" t="s">
        <v>15</v>
      </c>
      <c r="F3178" t="s">
        <v>9930</v>
      </c>
      <c r="G3178" t="s">
        <v>18146</v>
      </c>
      <c r="H3178" t="s">
        <v>1174</v>
      </c>
      <c r="I3178" t="s">
        <v>1117</v>
      </c>
      <c r="J3178" t="s">
        <v>9931</v>
      </c>
      <c r="K3178" t="s">
        <v>9932</v>
      </c>
      <c r="L3178" t="s">
        <v>21</v>
      </c>
      <c r="M3178" t="s">
        <v>19177</v>
      </c>
      <c r="N3178" t="s">
        <v>1024</v>
      </c>
      <c r="O3178" t="s">
        <v>1024</v>
      </c>
      <c r="P3178" t="s">
        <v>842</v>
      </c>
    </row>
    <row r="3179">
      <c r="A3179">
        <f>HYPERLINK("http://bombeiros.sp.gov.br/hidrantes/03individual/4383.html","4383")</f>
      </c>
      <c r="B3179" t="s">
        <v>623</v>
      </c>
      <c r="C3179" t="s">
        <v>674</v>
      </c>
      <c r="D3179" t="s">
        <v>675</v>
      </c>
      <c r="E3179" t="s">
        <v>15</v>
      </c>
      <c r="F3179" t="s">
        <v>676</v>
      </c>
      <c r="G3179" t="s">
        <v>18146</v>
      </c>
      <c r="H3179" t="s">
        <v>1121</v>
      </c>
      <c r="I3179" t="s">
        <v>1117</v>
      </c>
      <c r="J3179" t="s">
        <v>677</v>
      </c>
      <c r="K3179" t="s">
        <v>678</v>
      </c>
      <c r="L3179" t="s">
        <v>36</v>
      </c>
      <c r="M3179" t="s">
        <v>19177</v>
      </c>
      <c r="N3179" t="s">
        <v>1024</v>
      </c>
      <c r="O3179" t="s">
        <v>1024</v>
      </c>
      <c r="P3179" t="s">
        <v>842</v>
      </c>
    </row>
    <row r="3180">
      <c r="A3180">
        <f>HYPERLINK("http://bombeiros.sp.gov.br/hidrantes/03individual/4384.html","4384")</f>
      </c>
      <c r="B3180" t="s">
        <v>623</v>
      </c>
      <c r="C3180" t="s">
        <v>674</v>
      </c>
      <c r="D3180" t="s">
        <v>675</v>
      </c>
      <c r="E3180" t="s">
        <v>15</v>
      </c>
      <c r="F3180" t="s">
        <v>9933</v>
      </c>
      <c r="G3180" t="s">
        <v>18146</v>
      </c>
      <c r="H3180" t="s">
        <v>1112</v>
      </c>
      <c r="I3180" t="s">
        <v>1108</v>
      </c>
      <c r="J3180" t="s">
        <v>9934</v>
      </c>
      <c r="K3180" t="s">
        <v>9935</v>
      </c>
      <c r="L3180" t="s">
        <v>21</v>
      </c>
      <c r="M3180" t="s">
        <v>19177</v>
      </c>
      <c r="N3180" t="s">
        <v>1024</v>
      </c>
      <c r="O3180" t="s">
        <v>1024</v>
      </c>
      <c r="P3180" t="s">
        <v>842</v>
      </c>
    </row>
    <row r="3181">
      <c r="A3181">
        <f>HYPERLINK("http://bombeiros.sp.gov.br/hidrantes/03individual/1413.html","1413")</f>
      </c>
      <c r="B3181" t="s">
        <v>623</v>
      </c>
      <c r="C3181" t="s">
        <v>674</v>
      </c>
      <c r="D3181" t="s">
        <v>9936</v>
      </c>
      <c r="E3181" t="s">
        <v>15</v>
      </c>
      <c r="F3181" t="s">
        <v>9937</v>
      </c>
      <c r="G3181" t="s">
        <v>18146</v>
      </c>
      <c r="H3181" t="s">
        <v>1107</v>
      </c>
      <c r="I3181" t="s">
        <v>1108</v>
      </c>
      <c r="J3181" t="s">
        <v>9939</v>
      </c>
      <c r="K3181" t="s">
        <v>9940</v>
      </c>
      <c r="L3181" t="s">
        <v>21</v>
      </c>
      <c r="M3181" t="s">
        <v>19177</v>
      </c>
      <c r="N3181" t="s">
        <v>1024</v>
      </c>
      <c r="O3181" t="s">
        <v>1024</v>
      </c>
      <c r="P3181" t="s">
        <v>842</v>
      </c>
    </row>
    <row r="3182">
      <c r="A3182">
        <f>HYPERLINK("http://bombeiros.sp.gov.br/hidrantes/03individual/3939.html","3939")</f>
      </c>
      <c r="B3182" t="s">
        <v>623</v>
      </c>
      <c r="C3182" t="s">
        <v>674</v>
      </c>
      <c r="D3182" t="s">
        <v>9936</v>
      </c>
      <c r="E3182" t="s">
        <v>15</v>
      </c>
      <c r="F3182" t="s">
        <v>9941</v>
      </c>
      <c r="G3182" t="s">
        <v>18147</v>
      </c>
      <c r="H3182" t="s">
        <v>1107</v>
      </c>
      <c r="I3182" t="s">
        <v>1108</v>
      </c>
      <c r="J3182" t="s">
        <v>9942</v>
      </c>
      <c r="K3182" t="s">
        <v>9943</v>
      </c>
      <c r="L3182" t="s">
        <v>21</v>
      </c>
      <c r="M3182" t="s">
        <v>19177</v>
      </c>
      <c r="N3182" t="s">
        <v>1024</v>
      </c>
      <c r="O3182" t="s">
        <v>1024</v>
      </c>
      <c r="P3182" t="s">
        <v>842</v>
      </c>
    </row>
    <row r="3183">
      <c r="A3183">
        <f>HYPERLINK("http://bombeiros.sp.gov.br/hidrantes/03individual/3941.html","3941")</f>
      </c>
      <c r="B3183" t="s">
        <v>623</v>
      </c>
      <c r="C3183" t="s">
        <v>674</v>
      </c>
      <c r="D3183" t="s">
        <v>9936</v>
      </c>
      <c r="E3183" t="s">
        <v>15</v>
      </c>
      <c r="F3183" t="s">
        <v>9944</v>
      </c>
      <c r="G3183" t="s">
        <v>18147</v>
      </c>
      <c r="H3183" t="s">
        <v>1121</v>
      </c>
      <c r="I3183" t="s">
        <v>1117</v>
      </c>
      <c r="J3183" t="s">
        <v>9945</v>
      </c>
      <c r="K3183" t="s">
        <v>9946</v>
      </c>
      <c r="L3183" t="s">
        <v>21</v>
      </c>
      <c r="M3183" t="s">
        <v>19177</v>
      </c>
      <c r="N3183" t="s">
        <v>1024</v>
      </c>
      <c r="O3183" t="s">
        <v>1024</v>
      </c>
      <c r="P3183" t="s">
        <v>842</v>
      </c>
    </row>
    <row r="3184">
      <c r="A3184">
        <f>HYPERLINK("http://bombeiros.sp.gov.br/hidrantes/03individual/3942.html","3942")</f>
      </c>
      <c r="B3184" t="s">
        <v>623</v>
      </c>
      <c r="C3184" t="s">
        <v>674</v>
      </c>
      <c r="D3184" t="s">
        <v>9936</v>
      </c>
      <c r="E3184" t="s">
        <v>15</v>
      </c>
      <c r="F3184" t="s">
        <v>9947</v>
      </c>
      <c r="G3184" t="s">
        <v>18147</v>
      </c>
      <c r="H3184" t="s">
        <v>1112</v>
      </c>
      <c r="I3184" t="s">
        <v>1108</v>
      </c>
      <c r="J3184" t="s">
        <v>9948</v>
      </c>
      <c r="K3184" t="s">
        <v>9949</v>
      </c>
      <c r="L3184" t="s">
        <v>21</v>
      </c>
      <c r="M3184" t="s">
        <v>19177</v>
      </c>
      <c r="N3184" t="s">
        <v>1024</v>
      </c>
      <c r="O3184" t="s">
        <v>1024</v>
      </c>
      <c r="P3184" t="s">
        <v>842</v>
      </c>
    </row>
    <row r="3185">
      <c r="A3185">
        <f>HYPERLINK("http://bombeiros.sp.gov.br/hidrantes/03individual/3944.html","3944")</f>
      </c>
      <c r="B3185" t="s">
        <v>623</v>
      </c>
      <c r="C3185" t="s">
        <v>674</v>
      </c>
      <c r="D3185" t="s">
        <v>9936</v>
      </c>
      <c r="E3185" t="s">
        <v>15</v>
      </c>
      <c r="F3185" t="s">
        <v>9950</v>
      </c>
      <c r="G3185" t="s">
        <v>18146</v>
      </c>
      <c r="H3185" t="s">
        <v>1174</v>
      </c>
      <c r="I3185" t="s">
        <v>1117</v>
      </c>
      <c r="J3185" t="s">
        <v>9951</v>
      </c>
      <c r="K3185" t="s">
        <v>9952</v>
      </c>
      <c r="L3185" t="s">
        <v>21</v>
      </c>
      <c r="M3185" t="s">
        <v>19177</v>
      </c>
      <c r="N3185" t="s">
        <v>1024</v>
      </c>
      <c r="O3185" t="s">
        <v>1024</v>
      </c>
      <c r="P3185" t="s">
        <v>842</v>
      </c>
    </row>
    <row r="3186">
      <c r="A3186">
        <f>HYPERLINK("http://bombeiros.sp.gov.br/hidrantes/03individual/3966.html","3966")</f>
      </c>
      <c r="B3186" t="s">
        <v>623</v>
      </c>
      <c r="C3186" t="s">
        <v>674</v>
      </c>
      <c r="D3186" t="s">
        <v>9936</v>
      </c>
      <c r="E3186" t="s">
        <v>15</v>
      </c>
      <c r="F3186" t="s">
        <v>9953</v>
      </c>
      <c r="G3186" t="s">
        <v>18090</v>
      </c>
      <c r="H3186" t="s">
        <v>1174</v>
      </c>
      <c r="I3186" t="s">
        <v>1117</v>
      </c>
      <c r="J3186" t="s">
        <v>9954</v>
      </c>
      <c r="K3186" t="s">
        <v>9955</v>
      </c>
      <c r="L3186" t="s">
        <v>21</v>
      </c>
      <c r="M3186" t="s">
        <v>19177</v>
      </c>
      <c r="N3186" t="s">
        <v>1024</v>
      </c>
      <c r="O3186" t="s">
        <v>1024</v>
      </c>
      <c r="P3186" t="s">
        <v>842</v>
      </c>
    </row>
    <row r="3187">
      <c r="A3187">
        <f>HYPERLINK("http://bombeiros.sp.gov.br/hidrantes/03individual/3968.html","3968")</f>
      </c>
      <c r="B3187" t="s">
        <v>623</v>
      </c>
      <c r="C3187" t="s">
        <v>674</v>
      </c>
      <c r="D3187" t="s">
        <v>9936</v>
      </c>
      <c r="E3187" t="s">
        <v>15</v>
      </c>
      <c r="F3187" t="s">
        <v>9956</v>
      </c>
      <c r="G3187" t="s">
        <v>18090</v>
      </c>
      <c r="H3187" t="s">
        <v>1112</v>
      </c>
      <c r="I3187" t="s">
        <v>1108</v>
      </c>
      <c r="J3187" t="s">
        <v>9957</v>
      </c>
      <c r="K3187" t="s">
        <v>9958</v>
      </c>
      <c r="L3187" t="s">
        <v>21</v>
      </c>
      <c r="M3187" t="s">
        <v>19177</v>
      </c>
      <c r="N3187" t="s">
        <v>1024</v>
      </c>
      <c r="O3187" t="s">
        <v>1024</v>
      </c>
      <c r="P3187" t="s">
        <v>842</v>
      </c>
    </row>
    <row r="3188">
      <c r="A3188">
        <f>HYPERLINK("http://bombeiros.sp.gov.br/hidrantes/03individual/3970.html","3970")</f>
      </c>
      <c r="B3188" t="s">
        <v>623</v>
      </c>
      <c r="C3188" t="s">
        <v>674</v>
      </c>
      <c r="D3188" t="s">
        <v>9936</v>
      </c>
      <c r="E3188" t="s">
        <v>15</v>
      </c>
      <c r="F3188" t="s">
        <v>9959</v>
      </c>
      <c r="G3188" t="s">
        <v>18090</v>
      </c>
      <c r="H3188" t="s">
        <v>1112</v>
      </c>
      <c r="I3188" t="s">
        <v>1108</v>
      </c>
      <c r="J3188" t="s">
        <v>9960</v>
      </c>
      <c r="K3188" t="s">
        <v>9961</v>
      </c>
      <c r="L3188" t="s">
        <v>21</v>
      </c>
      <c r="M3188" t="s">
        <v>19177</v>
      </c>
      <c r="N3188" t="s">
        <v>1024</v>
      </c>
      <c r="O3188" t="s">
        <v>1024</v>
      </c>
      <c r="P3188" t="s">
        <v>842</v>
      </c>
    </row>
    <row r="3189">
      <c r="A3189">
        <f>HYPERLINK("http://bombeiros.sp.gov.br/hidrantes/03individual/3971.html","3971")</f>
      </c>
      <c r="B3189" t="s">
        <v>623</v>
      </c>
      <c r="C3189" t="s">
        <v>674</v>
      </c>
      <c r="D3189" t="s">
        <v>9936</v>
      </c>
      <c r="E3189" t="s">
        <v>15</v>
      </c>
      <c r="F3189" t="s">
        <v>9962</v>
      </c>
      <c r="G3189" t="s">
        <v>18147</v>
      </c>
      <c r="H3189" t="s">
        <v>1107</v>
      </c>
      <c r="I3189" t="s">
        <v>1108</v>
      </c>
      <c r="J3189" t="s">
        <v>9963</v>
      </c>
      <c r="K3189" t="s">
        <v>9964</v>
      </c>
      <c r="L3189" t="s">
        <v>21</v>
      </c>
      <c r="M3189" t="s">
        <v>19177</v>
      </c>
      <c r="N3189" t="s">
        <v>1024</v>
      </c>
      <c r="O3189" t="s">
        <v>1024</v>
      </c>
      <c r="P3189" t="s">
        <v>842</v>
      </c>
    </row>
    <row r="3190">
      <c r="A3190">
        <f>HYPERLINK("http://bombeiros.sp.gov.br/hidrantes/03individual/3975.html","3975")</f>
      </c>
      <c r="B3190" t="s">
        <v>623</v>
      </c>
      <c r="C3190" t="s">
        <v>674</v>
      </c>
      <c r="D3190" t="s">
        <v>9936</v>
      </c>
      <c r="E3190" t="s">
        <v>15</v>
      </c>
      <c r="F3190" t="s">
        <v>9965</v>
      </c>
      <c r="G3190" t="s">
        <v>18146</v>
      </c>
      <c r="H3190" t="s">
        <v>1107</v>
      </c>
      <c r="I3190" t="s">
        <v>1108</v>
      </c>
      <c r="J3190" t="s">
        <v>9966</v>
      </c>
      <c r="K3190" t="s">
        <v>9967</v>
      </c>
      <c r="L3190" t="s">
        <v>21</v>
      </c>
      <c r="M3190" t="s">
        <v>19177</v>
      </c>
      <c r="N3190" t="s">
        <v>1024</v>
      </c>
      <c r="O3190" t="s">
        <v>1024</v>
      </c>
      <c r="P3190" t="s">
        <v>842</v>
      </c>
    </row>
    <row r="3191">
      <c r="A3191">
        <f>HYPERLINK("http://bombeiros.sp.gov.br/hidrantes/03individual/4159.html","4159")</f>
      </c>
      <c r="B3191" t="s">
        <v>623</v>
      </c>
      <c r="C3191" t="s">
        <v>674</v>
      </c>
      <c r="D3191" t="s">
        <v>9936</v>
      </c>
      <c r="E3191" t="s">
        <v>15</v>
      </c>
      <c r="F3191" t="s">
        <v>9968</v>
      </c>
      <c r="G3191" t="s">
        <v>18146</v>
      </c>
      <c r="H3191" t="s">
        <v>1112</v>
      </c>
      <c r="I3191" t="s">
        <v>1108</v>
      </c>
      <c r="J3191" t="s">
        <v>9969</v>
      </c>
      <c r="K3191" t="s">
        <v>9970</v>
      </c>
      <c r="L3191" t="s">
        <v>36</v>
      </c>
      <c r="M3191" t="s">
        <v>19177</v>
      </c>
      <c r="N3191" t="s">
        <v>1024</v>
      </c>
      <c r="O3191" t="s">
        <v>1024</v>
      </c>
      <c r="P3191" t="s">
        <v>842</v>
      </c>
    </row>
    <row r="3192">
      <c r="A3192">
        <f>HYPERLINK("http://bombeiros.sp.gov.br/hidrantes/03individual/4162.html","4162")</f>
      </c>
      <c r="B3192" t="s">
        <v>623</v>
      </c>
      <c r="C3192" t="s">
        <v>674</v>
      </c>
      <c r="D3192" t="s">
        <v>9936</v>
      </c>
      <c r="E3192" t="s">
        <v>15</v>
      </c>
      <c r="F3192" t="s">
        <v>9971</v>
      </c>
      <c r="G3192" t="s">
        <v>18090</v>
      </c>
      <c r="H3192" t="s">
        <v>1112</v>
      </c>
      <c r="I3192" t="s">
        <v>1108</v>
      </c>
      <c r="J3192" t="s">
        <v>9972</v>
      </c>
      <c r="K3192" t="s">
        <v>9973</v>
      </c>
      <c r="L3192" t="s">
        <v>21</v>
      </c>
      <c r="M3192" t="s">
        <v>19177</v>
      </c>
      <c r="N3192" t="s">
        <v>1024</v>
      </c>
      <c r="O3192" t="s">
        <v>1024</v>
      </c>
      <c r="P3192" t="s">
        <v>842</v>
      </c>
    </row>
    <row r="3193">
      <c r="A3193">
        <f>HYPERLINK("http://bombeiros.sp.gov.br/hidrantes/03individual/4166.html","4166")</f>
      </c>
      <c r="B3193" t="s">
        <v>623</v>
      </c>
      <c r="C3193" t="s">
        <v>674</v>
      </c>
      <c r="D3193" t="s">
        <v>9936</v>
      </c>
      <c r="E3193" t="s">
        <v>15</v>
      </c>
      <c r="F3193" t="s">
        <v>9974</v>
      </c>
      <c r="G3193" t="s">
        <v>18146</v>
      </c>
      <c r="H3193" t="s">
        <v>1112</v>
      </c>
      <c r="I3193" t="s">
        <v>1108</v>
      </c>
      <c r="J3193" t="s">
        <v>9975</v>
      </c>
      <c r="K3193" t="s">
        <v>9976</v>
      </c>
      <c r="L3193" t="s">
        <v>21</v>
      </c>
      <c r="M3193" t="s">
        <v>19177</v>
      </c>
      <c r="N3193" t="s">
        <v>1024</v>
      </c>
      <c r="O3193" t="s">
        <v>1024</v>
      </c>
      <c r="P3193" t="s">
        <v>842</v>
      </c>
    </row>
    <row r="3194">
      <c r="A3194">
        <f>HYPERLINK("http://bombeiros.sp.gov.br/hidrantes/03individual/4429.html","4429")</f>
      </c>
      <c r="B3194" t="s">
        <v>623</v>
      </c>
      <c r="C3194" t="s">
        <v>674</v>
      </c>
      <c r="D3194" t="s">
        <v>9936</v>
      </c>
      <c r="E3194" t="s">
        <v>15</v>
      </c>
      <c r="F3194" t="s">
        <v>9977</v>
      </c>
      <c r="G3194" t="s">
        <v>18147</v>
      </c>
      <c r="H3194" t="s">
        <v>1121</v>
      </c>
      <c r="I3194" t="s">
        <v>1117</v>
      </c>
      <c r="J3194" t="s">
        <v>9978</v>
      </c>
      <c r="K3194" t="s">
        <v>9979</v>
      </c>
      <c r="L3194" t="s">
        <v>21</v>
      </c>
      <c r="M3194" t="s">
        <v>19177</v>
      </c>
      <c r="N3194" t="s">
        <v>1024</v>
      </c>
      <c r="O3194" t="s">
        <v>1024</v>
      </c>
      <c r="P3194" t="s">
        <v>842</v>
      </c>
    </row>
    <row r="3195">
      <c r="A3195">
        <f>HYPERLINK("http://bombeiros.sp.gov.br/hidrantes/03individual/17878.html","17878")</f>
      </c>
      <c r="B3195" t="s">
        <v>623</v>
      </c>
      <c r="C3195" t="s">
        <v>674</v>
      </c>
      <c r="D3195" t="s">
        <v>9936</v>
      </c>
      <c r="E3195" t="s">
        <v>15</v>
      </c>
      <c r="F3195" t="s">
        <v>9983</v>
      </c>
      <c r="G3195" t="s">
        <v>18146</v>
      </c>
      <c r="H3195" t="s">
        <v>1174</v>
      </c>
      <c r="I3195" t="s">
        <v>1117</v>
      </c>
      <c r="J3195" t="s">
        <v>9984</v>
      </c>
      <c r="K3195" t="s">
        <v>9985</v>
      </c>
      <c r="L3195" t="s">
        <v>21</v>
      </c>
      <c r="M3195" t="s">
        <v>19177</v>
      </c>
      <c r="N3195" t="s">
        <v>1024</v>
      </c>
      <c r="O3195" t="s">
        <v>1024</v>
      </c>
      <c r="P3195" t="s">
        <v>842</v>
      </c>
    </row>
    <row r="3196">
      <c r="A3196">
        <f>HYPERLINK("http://bombeiros.sp.gov.br/hidrantes/03individual/26771.html","26771")</f>
      </c>
      <c r="B3196" t="s">
        <v>623</v>
      </c>
      <c r="C3196" t="s">
        <v>674</v>
      </c>
      <c r="D3196" t="s">
        <v>9936</v>
      </c>
      <c r="E3196" t="s">
        <v>15</v>
      </c>
      <c r="F3196" t="s">
        <v>9986</v>
      </c>
      <c r="G3196" t="s">
        <v>18147</v>
      </c>
      <c r="H3196" t="s">
        <v>1107</v>
      </c>
      <c r="I3196" t="s">
        <v>1108</v>
      </c>
      <c r="J3196" t="s">
        <v>9987</v>
      </c>
      <c r="K3196" t="s">
        <v>9988</v>
      </c>
      <c r="L3196" t="s">
        <v>21</v>
      </c>
      <c r="M3196" t="s">
        <v>19177</v>
      </c>
      <c r="N3196" t="s">
        <v>1024</v>
      </c>
      <c r="O3196" t="s">
        <v>1024</v>
      </c>
      <c r="P3196" t="s">
        <v>842</v>
      </c>
    </row>
    <row r="3197">
      <c r="A3197">
        <f>HYPERLINK("http://bombeiros.sp.gov.br/hidrantes/03individual/27203.html","27203")</f>
      </c>
      <c r="B3197" t="s">
        <v>623</v>
      </c>
      <c r="C3197" t="s">
        <v>674</v>
      </c>
      <c r="D3197" t="s">
        <v>9936</v>
      </c>
      <c r="E3197" t="s">
        <v>15</v>
      </c>
      <c r="F3197" t="s">
        <v>16953</v>
      </c>
      <c r="G3197" t="s">
        <v>18146</v>
      </c>
      <c r="H3197" t="s">
        <v>1107</v>
      </c>
      <c r="I3197" t="s">
        <v>1108</v>
      </c>
      <c r="J3197" t="s">
        <v>16954</v>
      </c>
      <c r="K3197" t="s">
        <v>16955</v>
      </c>
      <c r="L3197" t="s">
        <v>21</v>
      </c>
      <c r="M3197" t="s">
        <v>19177</v>
      </c>
      <c r="N3197" t="s">
        <v>1024</v>
      </c>
      <c r="O3197" t="s">
        <v>1024</v>
      </c>
      <c r="P3197" t="s">
        <v>842</v>
      </c>
    </row>
    <row r="3198">
      <c r="A3198">
        <f>HYPERLINK("http://bombeiros.sp.gov.br/hidrantes/03individual/27204.html","27204")</f>
      </c>
      <c r="B3198" t="s">
        <v>623</v>
      </c>
      <c r="C3198" t="s">
        <v>674</v>
      </c>
      <c r="D3198" t="s">
        <v>9936</v>
      </c>
      <c r="E3198" t="s">
        <v>15</v>
      </c>
      <c r="F3198" t="s">
        <v>16956</v>
      </c>
      <c r="G3198" t="s">
        <v>18146</v>
      </c>
      <c r="H3198" t="s">
        <v>1112</v>
      </c>
      <c r="I3198" t="s">
        <v>1108</v>
      </c>
      <c r="J3198" t="s">
        <v>16957</v>
      </c>
      <c r="K3198" t="s">
        <v>16958</v>
      </c>
      <c r="L3198" t="s">
        <v>21</v>
      </c>
      <c r="M3198" t="s">
        <v>19177</v>
      </c>
      <c r="N3198" t="s">
        <v>1024</v>
      </c>
      <c r="O3198" t="s">
        <v>1024</v>
      </c>
      <c r="P3198" t="s">
        <v>842</v>
      </c>
    </row>
    <row r="3199">
      <c r="A3199">
        <f>HYPERLINK("http://bombeiros.sp.gov.br/hidrantes/03individual/1541.html","1541")</f>
      </c>
      <c r="B3199" t="s">
        <v>623</v>
      </c>
      <c r="C3199" t="s">
        <v>674</v>
      </c>
      <c r="D3199" t="s">
        <v>9989</v>
      </c>
      <c r="E3199" t="s">
        <v>64</v>
      </c>
      <c r="F3199" t="s">
        <v>9990</v>
      </c>
      <c r="G3199" t="s">
        <v>17960</v>
      </c>
      <c r="H3199" t="s">
        <v>1121</v>
      </c>
      <c r="I3199" t="s">
        <v>1117</v>
      </c>
      <c r="J3199" t="s">
        <v>9991</v>
      </c>
      <c r="K3199" t="s">
        <v>9992</v>
      </c>
      <c r="L3199" t="s">
        <v>36</v>
      </c>
      <c r="M3199" t="s">
        <v>19177</v>
      </c>
      <c r="N3199" t="s">
        <v>714</v>
      </c>
      <c r="O3199" t="s">
        <v>10263</v>
      </c>
      <c r="P3199" t="s">
        <v>12</v>
      </c>
    </row>
    <row r="3200">
      <c r="A3200">
        <f>HYPERLINK("http://bombeiros.sp.gov.br/hidrantes/03individual/1568.html","1568")</f>
      </c>
      <c r="B3200" t="s">
        <v>623</v>
      </c>
      <c r="C3200" t="s">
        <v>674</v>
      </c>
      <c r="D3200" t="s">
        <v>9989</v>
      </c>
      <c r="E3200" t="s">
        <v>64</v>
      </c>
      <c r="F3200" t="s">
        <v>9993</v>
      </c>
      <c r="G3200" t="s">
        <v>17960</v>
      </c>
      <c r="H3200" t="s">
        <v>1121</v>
      </c>
      <c r="I3200" t="s">
        <v>1117</v>
      </c>
      <c r="J3200" t="s">
        <v>9994</v>
      </c>
      <c r="K3200" t="s">
        <v>9995</v>
      </c>
      <c r="L3200" t="s">
        <v>21</v>
      </c>
      <c r="M3200" t="s">
        <v>19177</v>
      </c>
      <c r="N3200" t="s">
        <v>714</v>
      </c>
      <c r="O3200" t="s">
        <v>10263</v>
      </c>
      <c r="P3200" t="s">
        <v>12</v>
      </c>
    </row>
    <row r="3201">
      <c r="A3201">
        <f>HYPERLINK("http://bombeiros.sp.gov.br/hidrantes/03individual/1439.html","1439")</f>
      </c>
      <c r="B3201" t="s">
        <v>623</v>
      </c>
      <c r="C3201" t="s">
        <v>674</v>
      </c>
      <c r="D3201" t="s">
        <v>9989</v>
      </c>
      <c r="E3201" t="s">
        <v>15</v>
      </c>
      <c r="F3201" t="s">
        <v>9996</v>
      </c>
      <c r="G3201" t="s">
        <v>18148</v>
      </c>
      <c r="H3201" t="s">
        <v>1121</v>
      </c>
      <c r="I3201" t="s">
        <v>1117</v>
      </c>
      <c r="J3201" t="s">
        <v>9997</v>
      </c>
      <c r="K3201" t="s">
        <v>9998</v>
      </c>
      <c r="L3201" t="s">
        <v>21</v>
      </c>
      <c r="M3201" t="s">
        <v>19177</v>
      </c>
      <c r="N3201" t="s">
        <v>714</v>
      </c>
      <c r="O3201" t="s">
        <v>10263</v>
      </c>
      <c r="P3201" t="s">
        <v>12</v>
      </c>
    </row>
    <row r="3202">
      <c r="A3202">
        <f>HYPERLINK("http://bombeiros.sp.gov.br/hidrantes/03individual/1498.html","1498")</f>
      </c>
      <c r="B3202" t="s">
        <v>623</v>
      </c>
      <c r="C3202" t="s">
        <v>674</v>
      </c>
      <c r="D3202" t="s">
        <v>9989</v>
      </c>
      <c r="E3202" t="s">
        <v>15</v>
      </c>
      <c r="F3202" t="s">
        <v>9999</v>
      </c>
      <c r="G3202" t="s">
        <v>17960</v>
      </c>
      <c r="H3202" t="s">
        <v>1112</v>
      </c>
      <c r="I3202" t="s">
        <v>1108</v>
      </c>
      <c r="J3202" t="s">
        <v>15994</v>
      </c>
      <c r="K3202" t="s">
        <v>15995</v>
      </c>
      <c r="L3202" t="s">
        <v>36</v>
      </c>
      <c r="M3202" t="s">
        <v>19177</v>
      </c>
      <c r="N3202" t="s">
        <v>714</v>
      </c>
      <c r="O3202" t="s">
        <v>10263</v>
      </c>
      <c r="P3202" t="s">
        <v>12</v>
      </c>
    </row>
    <row r="3203">
      <c r="A3203">
        <f>HYPERLINK("http://bombeiros.sp.gov.br/hidrantes/03individual/1501.html","1501")</f>
      </c>
      <c r="B3203" t="s">
        <v>623</v>
      </c>
      <c r="C3203" t="s">
        <v>674</v>
      </c>
      <c r="D3203" t="s">
        <v>9989</v>
      </c>
      <c r="E3203" t="s">
        <v>15</v>
      </c>
      <c r="F3203" t="s">
        <v>10002</v>
      </c>
      <c r="G3203" t="s">
        <v>17960</v>
      </c>
      <c r="H3203" t="s">
        <v>1112</v>
      </c>
      <c r="I3203" t="s">
        <v>1108</v>
      </c>
      <c r="J3203" t="s">
        <v>10003</v>
      </c>
      <c r="K3203" t="s">
        <v>10004</v>
      </c>
      <c r="L3203" t="s">
        <v>21</v>
      </c>
      <c r="M3203" t="s">
        <v>19177</v>
      </c>
      <c r="N3203" t="s">
        <v>714</v>
      </c>
      <c r="O3203" t="s">
        <v>10263</v>
      </c>
      <c r="P3203" t="s">
        <v>12</v>
      </c>
    </row>
    <row r="3204">
      <c r="A3204">
        <f>HYPERLINK("http://bombeiros.sp.gov.br/hidrantes/03individual/1554.html","1554")</f>
      </c>
      <c r="B3204" t="s">
        <v>623</v>
      </c>
      <c r="C3204" t="s">
        <v>674</v>
      </c>
      <c r="D3204" t="s">
        <v>9989</v>
      </c>
      <c r="E3204" t="s">
        <v>15</v>
      </c>
      <c r="F3204" t="s">
        <v>10005</v>
      </c>
      <c r="G3204" t="s">
        <v>17960</v>
      </c>
      <c r="H3204" t="s">
        <v>1112</v>
      </c>
      <c r="I3204" t="s">
        <v>1108</v>
      </c>
      <c r="J3204" t="s">
        <v>10006</v>
      </c>
      <c r="K3204" t="s">
        <v>10007</v>
      </c>
      <c r="L3204" t="s">
        <v>36</v>
      </c>
      <c r="M3204" t="s">
        <v>19177</v>
      </c>
      <c r="N3204" t="s">
        <v>714</v>
      </c>
      <c r="O3204" t="s">
        <v>10263</v>
      </c>
      <c r="P3204" t="s">
        <v>12</v>
      </c>
    </row>
    <row r="3205">
      <c r="A3205">
        <f>HYPERLINK("http://bombeiros.sp.gov.br/hidrantes/03individual/1574.html","1574")</f>
      </c>
      <c r="B3205" t="s">
        <v>623</v>
      </c>
      <c r="C3205" t="s">
        <v>674</v>
      </c>
      <c r="D3205" t="s">
        <v>9989</v>
      </c>
      <c r="E3205" t="s">
        <v>15</v>
      </c>
      <c r="F3205" t="s">
        <v>10008</v>
      </c>
      <c r="G3205" t="s">
        <v>17963</v>
      </c>
      <c r="H3205" t="s">
        <v>1112</v>
      </c>
      <c r="I3205" t="s">
        <v>1108</v>
      </c>
      <c r="J3205" t="s">
        <v>10009</v>
      </c>
      <c r="K3205" t="s">
        <v>10010</v>
      </c>
      <c r="L3205" t="s">
        <v>21</v>
      </c>
      <c r="M3205" t="s">
        <v>19177</v>
      </c>
      <c r="N3205" t="s">
        <v>714</v>
      </c>
      <c r="O3205" t="s">
        <v>10263</v>
      </c>
      <c r="P3205" t="s">
        <v>12</v>
      </c>
    </row>
    <row r="3206">
      <c r="A3206">
        <f>HYPERLINK("http://bombeiros.sp.gov.br/hidrantes/03individual/1590.html","1590")</f>
      </c>
      <c r="B3206" t="s">
        <v>623</v>
      </c>
      <c r="C3206" t="s">
        <v>674</v>
      </c>
      <c r="D3206" t="s">
        <v>9989</v>
      </c>
      <c r="E3206" t="s">
        <v>15</v>
      </c>
      <c r="F3206" t="s">
        <v>10011</v>
      </c>
      <c r="G3206" t="s">
        <v>17927</v>
      </c>
      <c r="H3206" t="s">
        <v>1112</v>
      </c>
      <c r="I3206" t="s">
        <v>1108</v>
      </c>
      <c r="J3206" t="s">
        <v>10012</v>
      </c>
      <c r="K3206" t="s">
        <v>10013</v>
      </c>
      <c r="L3206" t="s">
        <v>21</v>
      </c>
      <c r="M3206" t="s">
        <v>19177</v>
      </c>
      <c r="N3206" t="s">
        <v>714</v>
      </c>
      <c r="O3206" t="s">
        <v>10263</v>
      </c>
      <c r="P3206" t="s">
        <v>12</v>
      </c>
    </row>
    <row r="3207">
      <c r="A3207">
        <f>HYPERLINK("http://bombeiros.sp.gov.br/hidrantes/03individual/1599.html","1599")</f>
      </c>
      <c r="B3207" t="s">
        <v>623</v>
      </c>
      <c r="C3207" t="s">
        <v>674</v>
      </c>
      <c r="D3207" t="s">
        <v>9989</v>
      </c>
      <c r="E3207" t="s">
        <v>15</v>
      </c>
      <c r="F3207" t="s">
        <v>10014</v>
      </c>
      <c r="G3207" t="s">
        <v>17927</v>
      </c>
      <c r="H3207" t="s">
        <v>1112</v>
      </c>
      <c r="I3207" t="s">
        <v>1108</v>
      </c>
      <c r="J3207" t="s">
        <v>10015</v>
      </c>
      <c r="K3207" t="s">
        <v>10016</v>
      </c>
      <c r="L3207" t="s">
        <v>21</v>
      </c>
      <c r="M3207" t="s">
        <v>19177</v>
      </c>
      <c r="N3207" t="s">
        <v>714</v>
      </c>
      <c r="O3207" t="s">
        <v>10263</v>
      </c>
      <c r="P3207" t="s">
        <v>12</v>
      </c>
    </row>
    <row r="3208">
      <c r="A3208">
        <f>HYPERLINK("http://bombeiros.sp.gov.br/hidrantes/03individual/2176.html","2176")</f>
      </c>
      <c r="B3208" t="s">
        <v>623</v>
      </c>
      <c r="C3208" t="s">
        <v>674</v>
      </c>
      <c r="D3208" t="s">
        <v>9989</v>
      </c>
      <c r="E3208" t="s">
        <v>15</v>
      </c>
      <c r="F3208" t="s">
        <v>10017</v>
      </c>
      <c r="G3208" t="s">
        <v>17963</v>
      </c>
      <c r="H3208" t="s">
        <v>1121</v>
      </c>
      <c r="I3208" t="s">
        <v>1117</v>
      </c>
      <c r="J3208" t="s">
        <v>10018</v>
      </c>
      <c r="K3208" t="s">
        <v>10019</v>
      </c>
      <c r="L3208" t="s">
        <v>21</v>
      </c>
      <c r="M3208" t="s">
        <v>19177</v>
      </c>
      <c r="N3208" t="s">
        <v>714</v>
      </c>
      <c r="O3208" t="s">
        <v>10263</v>
      </c>
      <c r="P3208" t="s">
        <v>12</v>
      </c>
    </row>
    <row r="3209">
      <c r="A3209">
        <f>HYPERLINK("http://bombeiros.sp.gov.br/hidrantes/03individual/5378.html","5378")</f>
      </c>
      <c r="B3209" t="s">
        <v>623</v>
      </c>
      <c r="C3209" t="s">
        <v>674</v>
      </c>
      <c r="D3209" t="s">
        <v>9989</v>
      </c>
      <c r="E3209" t="s">
        <v>15</v>
      </c>
      <c r="F3209" t="s">
        <v>10020</v>
      </c>
      <c r="G3209" t="s">
        <v>18148</v>
      </c>
      <c r="H3209" t="s">
        <v>1121</v>
      </c>
      <c r="I3209" t="s">
        <v>1117</v>
      </c>
      <c r="J3209" t="s">
        <v>10022</v>
      </c>
      <c r="K3209" t="s">
        <v>10023</v>
      </c>
      <c r="L3209" t="s">
        <v>21</v>
      </c>
      <c r="M3209" t="s">
        <v>19177</v>
      </c>
      <c r="N3209" t="s">
        <v>714</v>
      </c>
      <c r="O3209" t="s">
        <v>10263</v>
      </c>
      <c r="P3209" t="s">
        <v>12</v>
      </c>
    </row>
    <row r="3210">
      <c r="A3210">
        <f>HYPERLINK("http://bombeiros.sp.gov.br/hidrantes/03individual/6687.html","6687")</f>
      </c>
      <c r="B3210" t="s">
        <v>623</v>
      </c>
      <c r="C3210" t="s">
        <v>674</v>
      </c>
      <c r="D3210" t="s">
        <v>9989</v>
      </c>
      <c r="E3210" t="s">
        <v>15</v>
      </c>
      <c r="F3210" t="s">
        <v>10024</v>
      </c>
      <c r="G3210" t="s">
        <v>17927</v>
      </c>
      <c r="H3210" t="s">
        <v>1107</v>
      </c>
      <c r="I3210" t="s">
        <v>1108</v>
      </c>
      <c r="J3210" t="s">
        <v>10025</v>
      </c>
      <c r="K3210" t="s">
        <v>10026</v>
      </c>
      <c r="L3210" t="s">
        <v>21</v>
      </c>
      <c r="M3210" t="s">
        <v>19177</v>
      </c>
      <c r="N3210" t="s">
        <v>714</v>
      </c>
      <c r="O3210" t="s">
        <v>10263</v>
      </c>
      <c r="P3210" t="s">
        <v>12</v>
      </c>
    </row>
    <row r="3211">
      <c r="A3211">
        <f>HYPERLINK("http://bombeiros.sp.gov.br/hidrantes/03individual/6688.html","6688")</f>
      </c>
      <c r="B3211" t="s">
        <v>623</v>
      </c>
      <c r="C3211" t="s">
        <v>674</v>
      </c>
      <c r="D3211" t="s">
        <v>9989</v>
      </c>
      <c r="E3211" t="s">
        <v>15</v>
      </c>
      <c r="F3211" t="s">
        <v>10027</v>
      </c>
      <c r="G3211" t="s">
        <v>17963</v>
      </c>
      <c r="H3211" t="s">
        <v>1107</v>
      </c>
      <c r="I3211" t="s">
        <v>1108</v>
      </c>
      <c r="J3211" t="s">
        <v>10028</v>
      </c>
      <c r="K3211" t="s">
        <v>10029</v>
      </c>
      <c r="L3211" t="s">
        <v>21</v>
      </c>
      <c r="M3211" t="s">
        <v>19177</v>
      </c>
      <c r="N3211" t="s">
        <v>714</v>
      </c>
      <c r="O3211" t="s">
        <v>10263</v>
      </c>
      <c r="P3211" t="s">
        <v>12</v>
      </c>
    </row>
    <row r="3212">
      <c r="A3212">
        <f>HYPERLINK("http://bombeiros.sp.gov.br/hidrantes/03individual/3992.html","3992")</f>
      </c>
      <c r="B3212" t="s">
        <v>623</v>
      </c>
      <c r="C3212" t="s">
        <v>674</v>
      </c>
      <c r="D3212" t="s">
        <v>10030</v>
      </c>
      <c r="E3212" t="s">
        <v>64</v>
      </c>
      <c r="F3212" t="s">
        <v>10031</v>
      </c>
      <c r="G3212" t="s">
        <v>18208</v>
      </c>
      <c r="H3212" t="s">
        <v>1121</v>
      </c>
      <c r="I3212" t="s">
        <v>1117</v>
      </c>
      <c r="J3212" t="s">
        <v>10032</v>
      </c>
      <c r="K3212" t="s">
        <v>10033</v>
      </c>
      <c r="L3212" t="s">
        <v>36</v>
      </c>
      <c r="M3212" t="s">
        <v>19177</v>
      </c>
      <c r="N3212" t="s">
        <v>714</v>
      </c>
      <c r="O3212" t="s">
        <v>10263</v>
      </c>
      <c r="P3212" t="s">
        <v>12</v>
      </c>
    </row>
    <row r="3213">
      <c r="A3213">
        <f>HYPERLINK("http://bombeiros.sp.gov.br/hidrantes/03individual/26301.html","26301")</f>
      </c>
      <c r="B3213" t="s">
        <v>623</v>
      </c>
      <c r="C3213" t="s">
        <v>674</v>
      </c>
      <c r="D3213" t="s">
        <v>10030</v>
      </c>
      <c r="E3213" t="s">
        <v>64</v>
      </c>
      <c r="F3213" t="s">
        <v>10034</v>
      </c>
      <c r="G3213" t="s">
        <v>18214</v>
      </c>
      <c r="H3213" t="s">
        <v>1112</v>
      </c>
      <c r="I3213" t="s">
        <v>1108</v>
      </c>
      <c r="J3213" t="s">
        <v>10035</v>
      </c>
      <c r="K3213" t="s">
        <v>10036</v>
      </c>
      <c r="L3213" t="s">
        <v>21</v>
      </c>
      <c r="M3213" t="s">
        <v>19177</v>
      </c>
      <c r="N3213" t="s">
        <v>714</v>
      </c>
      <c r="O3213" t="s">
        <v>10263</v>
      </c>
      <c r="P3213" t="s">
        <v>12</v>
      </c>
    </row>
    <row r="3214">
      <c r="A3214">
        <f>HYPERLINK("http://bombeiros.sp.gov.br/hidrantes/03individual/3972.html","3972")</f>
      </c>
      <c r="B3214" t="s">
        <v>623</v>
      </c>
      <c r="C3214" t="s">
        <v>674</v>
      </c>
      <c r="D3214" t="s">
        <v>10030</v>
      </c>
      <c r="E3214" t="s">
        <v>15</v>
      </c>
      <c r="F3214" t="s">
        <v>10037</v>
      </c>
      <c r="G3214" t="s">
        <v>18214</v>
      </c>
      <c r="H3214" t="s">
        <v>1112</v>
      </c>
      <c r="I3214" t="s">
        <v>1108</v>
      </c>
      <c r="J3214" t="s">
        <v>10038</v>
      </c>
      <c r="K3214" t="s">
        <v>10039</v>
      </c>
      <c r="L3214" t="s">
        <v>21</v>
      </c>
      <c r="M3214" t="s">
        <v>19177</v>
      </c>
      <c r="N3214" t="s">
        <v>714</v>
      </c>
      <c r="O3214" t="s">
        <v>10263</v>
      </c>
      <c r="P3214" t="s">
        <v>12</v>
      </c>
    </row>
    <row r="3215">
      <c r="A3215">
        <f>HYPERLINK("http://bombeiros.sp.gov.br/hidrantes/03individual/3977.html","3977")</f>
      </c>
      <c r="B3215" t="s">
        <v>623</v>
      </c>
      <c r="C3215" t="s">
        <v>674</v>
      </c>
      <c r="D3215" t="s">
        <v>10030</v>
      </c>
      <c r="E3215" t="s">
        <v>15</v>
      </c>
      <c r="F3215" t="s">
        <v>10040</v>
      </c>
      <c r="G3215" t="s">
        <v>18214</v>
      </c>
      <c r="H3215" t="s">
        <v>1112</v>
      </c>
      <c r="I3215" t="s">
        <v>1108</v>
      </c>
      <c r="J3215" t="s">
        <v>10041</v>
      </c>
      <c r="K3215" t="s">
        <v>10042</v>
      </c>
      <c r="L3215" t="s">
        <v>21</v>
      </c>
      <c r="M3215" t="s">
        <v>19177</v>
      </c>
      <c r="N3215" t="s">
        <v>714</v>
      </c>
      <c r="O3215" t="s">
        <v>10263</v>
      </c>
      <c r="P3215" t="s">
        <v>12</v>
      </c>
    </row>
    <row r="3216">
      <c r="A3216">
        <f>HYPERLINK("http://bombeiros.sp.gov.br/hidrantes/03individual/4163.html","4163")</f>
      </c>
      <c r="B3216" t="s">
        <v>623</v>
      </c>
      <c r="C3216" t="s">
        <v>674</v>
      </c>
      <c r="D3216" t="s">
        <v>10030</v>
      </c>
      <c r="E3216" t="s">
        <v>15</v>
      </c>
      <c r="F3216" t="s">
        <v>10043</v>
      </c>
      <c r="G3216" t="s">
        <v>18214</v>
      </c>
      <c r="H3216" t="s">
        <v>1112</v>
      </c>
      <c r="I3216" t="s">
        <v>1108</v>
      </c>
      <c r="J3216" t="s">
        <v>10044</v>
      </c>
      <c r="K3216" t="s">
        <v>10045</v>
      </c>
      <c r="L3216" t="s">
        <v>21</v>
      </c>
      <c r="M3216" t="s">
        <v>19177</v>
      </c>
      <c r="N3216" t="s">
        <v>714</v>
      </c>
      <c r="O3216" t="s">
        <v>10263</v>
      </c>
      <c r="P3216" t="s">
        <v>12</v>
      </c>
    </row>
    <row r="3217">
      <c r="A3217">
        <f>HYPERLINK("http://bombeiros.sp.gov.br/hidrantes/03individual/6700.html","6700")</f>
      </c>
      <c r="B3217" t="s">
        <v>623</v>
      </c>
      <c r="C3217" t="s">
        <v>674</v>
      </c>
      <c r="D3217" t="s">
        <v>10030</v>
      </c>
      <c r="E3217" t="s">
        <v>15</v>
      </c>
      <c r="F3217" t="s">
        <v>10046</v>
      </c>
      <c r="G3217" t="s">
        <v>18214</v>
      </c>
      <c r="H3217" t="s">
        <v>1112</v>
      </c>
      <c r="I3217" t="s">
        <v>1108</v>
      </c>
      <c r="J3217" t="s">
        <v>10047</v>
      </c>
      <c r="K3217" t="s">
        <v>10048</v>
      </c>
      <c r="L3217" t="s">
        <v>21</v>
      </c>
      <c r="M3217" t="s">
        <v>19177</v>
      </c>
      <c r="N3217" t="s">
        <v>714</v>
      </c>
      <c r="O3217" t="s">
        <v>10263</v>
      </c>
      <c r="P3217" t="s">
        <v>12</v>
      </c>
    </row>
    <row r="3218">
      <c r="A3218">
        <f>HYPERLINK("http://bombeiros.sp.gov.br/hidrantes/03individual/6701.html","6701")</f>
      </c>
      <c r="B3218" t="s">
        <v>623</v>
      </c>
      <c r="C3218" t="s">
        <v>674</v>
      </c>
      <c r="D3218" t="s">
        <v>10030</v>
      </c>
      <c r="E3218" t="s">
        <v>15</v>
      </c>
      <c r="F3218" t="s">
        <v>10049</v>
      </c>
      <c r="G3218" t="s">
        <v>18208</v>
      </c>
      <c r="H3218" t="s">
        <v>1112</v>
      </c>
      <c r="I3218" t="s">
        <v>1108</v>
      </c>
      <c r="J3218" t="s">
        <v>10050</v>
      </c>
      <c r="K3218" t="s">
        <v>10051</v>
      </c>
      <c r="L3218" t="s">
        <v>21</v>
      </c>
      <c r="M3218" t="s">
        <v>19177</v>
      </c>
      <c r="N3218" t="s">
        <v>714</v>
      </c>
      <c r="O3218" t="s">
        <v>10263</v>
      </c>
      <c r="P3218" t="s">
        <v>12</v>
      </c>
    </row>
    <row r="3219">
      <c r="A3219">
        <f>HYPERLINK("http://bombeiros.sp.gov.br/hidrantes/03individual/3909.html","3909")</f>
      </c>
      <c r="B3219" t="s">
        <v>623</v>
      </c>
      <c r="C3219" t="s">
        <v>674</v>
      </c>
      <c r="D3219" t="s">
        <v>683</v>
      </c>
      <c r="E3219" t="s">
        <v>15</v>
      </c>
      <c r="F3219" t="s">
        <v>10052</v>
      </c>
      <c r="G3219" t="s">
        <v>18152</v>
      </c>
      <c r="H3219" t="s">
        <v>1112</v>
      </c>
      <c r="I3219" t="s">
        <v>1108</v>
      </c>
      <c r="J3219" t="s">
        <v>10053</v>
      </c>
      <c r="K3219" t="s">
        <v>10054</v>
      </c>
      <c r="L3219" t="s">
        <v>21</v>
      </c>
      <c r="M3219" t="s">
        <v>19177</v>
      </c>
      <c r="N3219" t="s">
        <v>1024</v>
      </c>
      <c r="O3219" t="s">
        <v>1024</v>
      </c>
      <c r="P3219" t="s">
        <v>842</v>
      </c>
    </row>
    <row r="3220">
      <c r="A3220">
        <f>HYPERLINK("http://bombeiros.sp.gov.br/hidrantes/03individual/3910.html","3910")</f>
      </c>
      <c r="B3220" t="s">
        <v>623</v>
      </c>
      <c r="C3220" t="s">
        <v>674</v>
      </c>
      <c r="D3220" t="s">
        <v>683</v>
      </c>
      <c r="E3220" t="s">
        <v>15</v>
      </c>
      <c r="F3220" t="s">
        <v>10055</v>
      </c>
      <c r="G3220" t="s">
        <v>18152</v>
      </c>
      <c r="H3220" t="s">
        <v>1112</v>
      </c>
      <c r="I3220" t="s">
        <v>1108</v>
      </c>
      <c r="J3220" t="s">
        <v>10056</v>
      </c>
      <c r="K3220" t="s">
        <v>10057</v>
      </c>
      <c r="L3220" t="s">
        <v>21</v>
      </c>
      <c r="M3220" t="s">
        <v>19177</v>
      </c>
      <c r="N3220" t="s">
        <v>1024</v>
      </c>
      <c r="O3220" t="s">
        <v>1024</v>
      </c>
      <c r="P3220" t="s">
        <v>842</v>
      </c>
    </row>
    <row r="3221">
      <c r="A3221">
        <f>HYPERLINK("http://bombeiros.sp.gov.br/hidrantes/03individual/3913.html","3913")</f>
      </c>
      <c r="B3221" t="s">
        <v>623</v>
      </c>
      <c r="C3221" t="s">
        <v>674</v>
      </c>
      <c r="D3221" t="s">
        <v>683</v>
      </c>
      <c r="E3221" t="s">
        <v>15</v>
      </c>
      <c r="F3221" t="s">
        <v>10058</v>
      </c>
      <c r="G3221" t="s">
        <v>18209</v>
      </c>
      <c r="H3221" t="s">
        <v>1112</v>
      </c>
      <c r="I3221" t="s">
        <v>1108</v>
      </c>
      <c r="J3221" t="s">
        <v>10059</v>
      </c>
      <c r="K3221" t="s">
        <v>10060</v>
      </c>
      <c r="L3221" t="s">
        <v>36</v>
      </c>
      <c r="M3221" t="s">
        <v>19177</v>
      </c>
      <c r="N3221" t="s">
        <v>1024</v>
      </c>
      <c r="O3221" t="s">
        <v>1024</v>
      </c>
      <c r="P3221" t="s">
        <v>842</v>
      </c>
    </row>
    <row r="3222">
      <c r="A3222">
        <f>HYPERLINK("http://bombeiros.sp.gov.br/hidrantes/03individual/3914.html","3914")</f>
      </c>
      <c r="B3222" t="s">
        <v>623</v>
      </c>
      <c r="C3222" t="s">
        <v>674</v>
      </c>
      <c r="D3222" t="s">
        <v>683</v>
      </c>
      <c r="E3222" t="s">
        <v>15</v>
      </c>
      <c r="F3222" t="s">
        <v>10061</v>
      </c>
      <c r="G3222" t="s">
        <v>18209</v>
      </c>
      <c r="H3222" t="s">
        <v>1112</v>
      </c>
      <c r="I3222" t="s">
        <v>1108</v>
      </c>
      <c r="J3222" t="s">
        <v>10062</v>
      </c>
      <c r="K3222" t="s">
        <v>10063</v>
      </c>
      <c r="L3222" t="s">
        <v>21</v>
      </c>
      <c r="M3222" t="s">
        <v>19177</v>
      </c>
      <c r="N3222" t="s">
        <v>1024</v>
      </c>
      <c r="O3222" t="s">
        <v>1024</v>
      </c>
      <c r="P3222" t="s">
        <v>842</v>
      </c>
    </row>
    <row r="3223">
      <c r="A3223">
        <f>HYPERLINK("http://bombeiros.sp.gov.br/hidrantes/03individual/3916.html","3916")</f>
      </c>
      <c r="B3223" t="s">
        <v>623</v>
      </c>
      <c r="C3223" t="s">
        <v>674</v>
      </c>
      <c r="D3223" t="s">
        <v>683</v>
      </c>
      <c r="E3223" t="s">
        <v>15</v>
      </c>
      <c r="F3223" t="s">
        <v>10064</v>
      </c>
      <c r="G3223" t="s">
        <v>18209</v>
      </c>
      <c r="H3223" t="s">
        <v>1112</v>
      </c>
      <c r="I3223" t="s">
        <v>1108</v>
      </c>
      <c r="J3223" t="s">
        <v>10065</v>
      </c>
      <c r="K3223" t="s">
        <v>10066</v>
      </c>
      <c r="L3223" t="s">
        <v>21</v>
      </c>
      <c r="M3223" t="s">
        <v>19177</v>
      </c>
      <c r="N3223" t="s">
        <v>1024</v>
      </c>
      <c r="O3223" t="s">
        <v>1024</v>
      </c>
      <c r="P3223" t="s">
        <v>842</v>
      </c>
    </row>
    <row r="3224">
      <c r="A3224">
        <f>HYPERLINK("http://bombeiros.sp.gov.br/hidrantes/03individual/4379.html","4379")</f>
      </c>
      <c r="B3224" t="s">
        <v>623</v>
      </c>
      <c r="C3224" t="s">
        <v>674</v>
      </c>
      <c r="D3224" t="s">
        <v>683</v>
      </c>
      <c r="E3224" t="s">
        <v>15</v>
      </c>
      <c r="F3224" t="s">
        <v>10067</v>
      </c>
      <c r="G3224" t="s">
        <v>18152</v>
      </c>
      <c r="H3224" t="s">
        <v>1112</v>
      </c>
      <c r="I3224" t="s">
        <v>1108</v>
      </c>
      <c r="J3224" t="s">
        <v>10068</v>
      </c>
      <c r="K3224" t="s">
        <v>10069</v>
      </c>
      <c r="L3224" t="s">
        <v>21</v>
      </c>
      <c r="M3224" t="s">
        <v>19177</v>
      </c>
      <c r="N3224" t="s">
        <v>1024</v>
      </c>
      <c r="O3224" t="s">
        <v>1024</v>
      </c>
      <c r="P3224" t="s">
        <v>842</v>
      </c>
    </row>
    <row r="3225">
      <c r="A3225">
        <f>HYPERLINK("http://bombeiros.sp.gov.br/hidrantes/03individual/6711.html","6711")</f>
      </c>
      <c r="B3225" t="s">
        <v>623</v>
      </c>
      <c r="C3225" t="s">
        <v>674</v>
      </c>
      <c r="D3225" t="s">
        <v>683</v>
      </c>
      <c r="E3225" t="s">
        <v>15</v>
      </c>
      <c r="F3225" t="s">
        <v>684</v>
      </c>
      <c r="G3225" t="s">
        <v>18209</v>
      </c>
      <c r="H3225"/>
      <c r="I3225" t="s">
        <v>18</v>
      </c>
      <c r="J3225" t="s">
        <v>685</v>
      </c>
      <c r="K3225" t="s">
        <v>686</v>
      </c>
      <c r="L3225" t="s">
        <v>21</v>
      </c>
      <c r="M3225" t="s">
        <v>19177</v>
      </c>
      <c r="N3225" t="s">
        <v>1024</v>
      </c>
      <c r="O3225" t="s">
        <v>1024</v>
      </c>
      <c r="P3225" t="s">
        <v>842</v>
      </c>
    </row>
    <row r="3226">
      <c r="A3226">
        <f>HYPERLINK("http://bombeiros.sp.gov.br/hidrantes/03individual/16534.html","16534")</f>
      </c>
      <c r="B3226" t="s">
        <v>623</v>
      </c>
      <c r="C3226" t="s">
        <v>674</v>
      </c>
      <c r="D3226" t="s">
        <v>683</v>
      </c>
      <c r="E3226" t="s">
        <v>15</v>
      </c>
      <c r="F3226" t="s">
        <v>10070</v>
      </c>
      <c r="G3226" t="s">
        <v>18152</v>
      </c>
      <c r="H3226" t="s">
        <v>1112</v>
      </c>
      <c r="I3226" t="s">
        <v>1108</v>
      </c>
      <c r="J3226" t="s">
        <v>10071</v>
      </c>
      <c r="K3226" t="s">
        <v>10072</v>
      </c>
      <c r="L3226" t="s">
        <v>21</v>
      </c>
      <c r="M3226" t="s">
        <v>19177</v>
      </c>
      <c r="N3226" t="s">
        <v>1024</v>
      </c>
      <c r="O3226" t="s">
        <v>1024</v>
      </c>
      <c r="P3226" t="s">
        <v>842</v>
      </c>
    </row>
    <row r="3227">
      <c r="A3227">
        <f>HYPERLINK("http://bombeiros.sp.gov.br/hidrantes/03individual/1432.html","1432")</f>
      </c>
      <c r="B3227" t="s">
        <v>623</v>
      </c>
      <c r="C3227" t="s">
        <v>674</v>
      </c>
      <c r="D3227" t="s">
        <v>10073</v>
      </c>
      <c r="E3227" t="s">
        <v>64</v>
      </c>
      <c r="F3227" t="s">
        <v>10074</v>
      </c>
      <c r="G3227" t="s">
        <v>17927</v>
      </c>
      <c r="H3227" t="s">
        <v>1121</v>
      </c>
      <c r="I3227" t="s">
        <v>1117</v>
      </c>
      <c r="J3227" t="s">
        <v>10075</v>
      </c>
      <c r="K3227" t="s">
        <v>10076</v>
      </c>
      <c r="L3227" t="s">
        <v>36</v>
      </c>
      <c r="M3227" t="s">
        <v>19177</v>
      </c>
      <c r="N3227" t="s">
        <v>714</v>
      </c>
      <c r="O3227" t="s">
        <v>10263</v>
      </c>
      <c r="P3227" t="s">
        <v>12</v>
      </c>
    </row>
    <row r="3228">
      <c r="A3228">
        <f>HYPERLINK("http://bombeiros.sp.gov.br/hidrantes/03individual/1459.html","1459")</f>
      </c>
      <c r="B3228" t="s">
        <v>623</v>
      </c>
      <c r="C3228" t="s">
        <v>674</v>
      </c>
      <c r="D3228" t="s">
        <v>10073</v>
      </c>
      <c r="E3228" t="s">
        <v>64</v>
      </c>
      <c r="F3228" t="s">
        <v>10077</v>
      </c>
      <c r="G3228" t="s">
        <v>17963</v>
      </c>
      <c r="H3228" t="s">
        <v>1121</v>
      </c>
      <c r="I3228" t="s">
        <v>1117</v>
      </c>
      <c r="J3228" t="s">
        <v>10078</v>
      </c>
      <c r="K3228" t="s">
        <v>10079</v>
      </c>
      <c r="L3228" t="s">
        <v>21</v>
      </c>
      <c r="M3228" t="s">
        <v>19177</v>
      </c>
      <c r="N3228" t="s">
        <v>714</v>
      </c>
      <c r="O3228" t="s">
        <v>10263</v>
      </c>
      <c r="P3228" t="s">
        <v>12</v>
      </c>
    </row>
    <row r="3229">
      <c r="A3229">
        <f>HYPERLINK("http://bombeiros.sp.gov.br/hidrantes/03individual/1486.html","1486")</f>
      </c>
      <c r="B3229" t="s">
        <v>623</v>
      </c>
      <c r="C3229" t="s">
        <v>674</v>
      </c>
      <c r="D3229" t="s">
        <v>10073</v>
      </c>
      <c r="E3229" t="s">
        <v>64</v>
      </c>
      <c r="F3229" t="s">
        <v>10080</v>
      </c>
      <c r="G3229" t="s">
        <v>17939</v>
      </c>
      <c r="H3229" t="s">
        <v>1112</v>
      </c>
      <c r="I3229" t="s">
        <v>1108</v>
      </c>
      <c r="J3229" t="s">
        <v>10081</v>
      </c>
      <c r="K3229" t="s">
        <v>10082</v>
      </c>
      <c r="L3229" t="s">
        <v>36</v>
      </c>
      <c r="M3229" t="s">
        <v>19177</v>
      </c>
      <c r="N3229" t="s">
        <v>714</v>
      </c>
      <c r="O3229" t="s">
        <v>10263</v>
      </c>
      <c r="P3229" t="s">
        <v>12</v>
      </c>
    </row>
    <row r="3230">
      <c r="A3230">
        <f>HYPERLINK("http://bombeiros.sp.gov.br/hidrantes/03individual/1531.html","1531")</f>
      </c>
      <c r="B3230" t="s">
        <v>623</v>
      </c>
      <c r="C3230" t="s">
        <v>674</v>
      </c>
      <c r="D3230" t="s">
        <v>10073</v>
      </c>
      <c r="E3230" t="s">
        <v>64</v>
      </c>
      <c r="F3230" t="s">
        <v>10083</v>
      </c>
      <c r="G3230" t="s">
        <v>17945</v>
      </c>
      <c r="H3230" t="s">
        <v>1112</v>
      </c>
      <c r="I3230" t="s">
        <v>1108</v>
      </c>
      <c r="J3230" t="s">
        <v>10084</v>
      </c>
      <c r="K3230" t="s">
        <v>10085</v>
      </c>
      <c r="L3230" t="s">
        <v>36</v>
      </c>
      <c r="M3230" t="s">
        <v>19177</v>
      </c>
      <c r="N3230" t="s">
        <v>714</v>
      </c>
      <c r="O3230" t="s">
        <v>10263</v>
      </c>
      <c r="P3230" t="s">
        <v>12</v>
      </c>
    </row>
    <row r="3231">
      <c r="A3231">
        <f>HYPERLINK("http://bombeiros.sp.gov.br/hidrantes/03individual/1463.html","1463")</f>
      </c>
      <c r="B3231" t="s">
        <v>623</v>
      </c>
      <c r="C3231" t="s">
        <v>674</v>
      </c>
      <c r="D3231" t="s">
        <v>10073</v>
      </c>
      <c r="E3231" t="s">
        <v>15</v>
      </c>
      <c r="F3231" t="s">
        <v>10086</v>
      </c>
      <c r="G3231" t="s">
        <v>18148</v>
      </c>
      <c r="H3231" t="s">
        <v>1121</v>
      </c>
      <c r="I3231" t="s">
        <v>1117</v>
      </c>
      <c r="J3231" t="s">
        <v>10087</v>
      </c>
      <c r="K3231" t="s">
        <v>10088</v>
      </c>
      <c r="L3231" t="s">
        <v>36</v>
      </c>
      <c r="M3231" t="s">
        <v>19177</v>
      </c>
      <c r="N3231" t="s">
        <v>714</v>
      </c>
      <c r="O3231" t="s">
        <v>10263</v>
      </c>
      <c r="P3231" t="s">
        <v>12</v>
      </c>
    </row>
    <row r="3232">
      <c r="A3232">
        <f>HYPERLINK("http://bombeiros.sp.gov.br/hidrantes/03individual/1481.html","1481")</f>
      </c>
      <c r="B3232" t="s">
        <v>623</v>
      </c>
      <c r="C3232" t="s">
        <v>674</v>
      </c>
      <c r="D3232" t="s">
        <v>10073</v>
      </c>
      <c r="E3232" t="s">
        <v>15</v>
      </c>
      <c r="F3232" t="s">
        <v>10089</v>
      </c>
      <c r="G3232" t="s">
        <v>18208</v>
      </c>
      <c r="H3232" t="s">
        <v>1121</v>
      </c>
      <c r="I3232" t="s">
        <v>1117</v>
      </c>
      <c r="J3232" t="s">
        <v>10090</v>
      </c>
      <c r="K3232" t="s">
        <v>10091</v>
      </c>
      <c r="L3232" t="s">
        <v>21</v>
      </c>
      <c r="M3232" t="s">
        <v>19177</v>
      </c>
      <c r="N3232" t="s">
        <v>714</v>
      </c>
      <c r="O3232" t="s">
        <v>10263</v>
      </c>
      <c r="P3232" t="s">
        <v>12</v>
      </c>
    </row>
    <row r="3233">
      <c r="A3233">
        <f>HYPERLINK("http://bombeiros.sp.gov.br/hidrantes/03individual/1519.html","1519")</f>
      </c>
      <c r="B3233" t="s">
        <v>623</v>
      </c>
      <c r="C3233" t="s">
        <v>674</v>
      </c>
      <c r="D3233" t="s">
        <v>10073</v>
      </c>
      <c r="E3233" t="s">
        <v>15</v>
      </c>
      <c r="F3233" t="s">
        <v>10092</v>
      </c>
      <c r="G3233" t="s">
        <v>17945</v>
      </c>
      <c r="H3233" t="s">
        <v>1112</v>
      </c>
      <c r="I3233" t="s">
        <v>1108</v>
      </c>
      <c r="J3233" t="s">
        <v>10093</v>
      </c>
      <c r="K3233" t="s">
        <v>10094</v>
      </c>
      <c r="L3233" t="s">
        <v>21</v>
      </c>
      <c r="M3233" t="s">
        <v>19177</v>
      </c>
      <c r="N3233" t="s">
        <v>714</v>
      </c>
      <c r="O3233" t="s">
        <v>10263</v>
      </c>
      <c r="P3233" t="s">
        <v>12</v>
      </c>
    </row>
    <row r="3234">
      <c r="A3234">
        <f>HYPERLINK("http://bombeiros.sp.gov.br/hidrantes/03individual/1527.html","1527")</f>
      </c>
      <c r="B3234" t="s">
        <v>623</v>
      </c>
      <c r="C3234" t="s">
        <v>674</v>
      </c>
      <c r="D3234" t="s">
        <v>10073</v>
      </c>
      <c r="E3234" t="s">
        <v>15</v>
      </c>
      <c r="F3234" t="s">
        <v>10095</v>
      </c>
      <c r="G3234" t="s">
        <v>17945</v>
      </c>
      <c r="H3234" t="s">
        <v>1112</v>
      </c>
      <c r="I3234" t="s">
        <v>1108</v>
      </c>
      <c r="J3234" t="s">
        <v>10096</v>
      </c>
      <c r="K3234" t="s">
        <v>10097</v>
      </c>
      <c r="L3234" t="s">
        <v>21</v>
      </c>
      <c r="M3234" t="s">
        <v>19177</v>
      </c>
      <c r="N3234" t="s">
        <v>714</v>
      </c>
      <c r="O3234" t="s">
        <v>10263</v>
      </c>
      <c r="P3234" t="s">
        <v>12</v>
      </c>
    </row>
    <row r="3235">
      <c r="A3235">
        <f>HYPERLINK("http://bombeiros.sp.gov.br/hidrantes/03individual/1528.html","1528")</f>
      </c>
      <c r="B3235" t="s">
        <v>623</v>
      </c>
      <c r="C3235" t="s">
        <v>674</v>
      </c>
      <c r="D3235" t="s">
        <v>10073</v>
      </c>
      <c r="E3235" t="s">
        <v>15</v>
      </c>
      <c r="F3235" t="s">
        <v>10098</v>
      </c>
      <c r="G3235" t="s">
        <v>17945</v>
      </c>
      <c r="H3235" t="s">
        <v>1112</v>
      </c>
      <c r="I3235" t="s">
        <v>1108</v>
      </c>
      <c r="J3235" t="s">
        <v>10099</v>
      </c>
      <c r="K3235" t="s">
        <v>10100</v>
      </c>
      <c r="L3235" t="s">
        <v>21</v>
      </c>
      <c r="M3235" t="s">
        <v>19177</v>
      </c>
      <c r="N3235" t="s">
        <v>714</v>
      </c>
      <c r="O3235" t="s">
        <v>10263</v>
      </c>
      <c r="P3235" t="s">
        <v>12</v>
      </c>
    </row>
    <row r="3236">
      <c r="A3236">
        <f>HYPERLINK("http://bombeiros.sp.gov.br/hidrantes/03individual/1533.html","1533")</f>
      </c>
      <c r="B3236" t="s">
        <v>623</v>
      </c>
      <c r="C3236" t="s">
        <v>674</v>
      </c>
      <c r="D3236" t="s">
        <v>10073</v>
      </c>
      <c r="E3236" t="s">
        <v>15</v>
      </c>
      <c r="F3236" t="s">
        <v>10101</v>
      </c>
      <c r="G3236" t="s">
        <v>17945</v>
      </c>
      <c r="H3236" t="s">
        <v>1112</v>
      </c>
      <c r="I3236" t="s">
        <v>1108</v>
      </c>
      <c r="J3236" t="s">
        <v>15865</v>
      </c>
      <c r="K3236" t="s">
        <v>15866</v>
      </c>
      <c r="L3236" t="s">
        <v>21</v>
      </c>
      <c r="M3236" t="s">
        <v>19177</v>
      </c>
      <c r="N3236" t="s">
        <v>714</v>
      </c>
      <c r="O3236" t="s">
        <v>10263</v>
      </c>
      <c r="P3236" t="s">
        <v>12</v>
      </c>
    </row>
    <row r="3237">
      <c r="A3237">
        <f>HYPERLINK("http://bombeiros.sp.gov.br/hidrantes/03individual/2115.html","2115")</f>
      </c>
      <c r="B3237" t="s">
        <v>623</v>
      </c>
      <c r="C3237" t="s">
        <v>674</v>
      </c>
      <c r="D3237" t="s">
        <v>10073</v>
      </c>
      <c r="E3237" t="s">
        <v>15</v>
      </c>
      <c r="F3237" t="s">
        <v>10104</v>
      </c>
      <c r="G3237" t="s">
        <v>17960</v>
      </c>
      <c r="H3237" t="s">
        <v>1112</v>
      </c>
      <c r="I3237" t="s">
        <v>1108</v>
      </c>
      <c r="J3237" t="s">
        <v>10105</v>
      </c>
      <c r="K3237" t="s">
        <v>10106</v>
      </c>
      <c r="L3237" t="s">
        <v>21</v>
      </c>
      <c r="M3237" t="s">
        <v>19177</v>
      </c>
      <c r="N3237" t="s">
        <v>714</v>
      </c>
      <c r="O3237" t="s">
        <v>10263</v>
      </c>
      <c r="P3237" t="s">
        <v>12</v>
      </c>
    </row>
    <row r="3238">
      <c r="A3238">
        <f>HYPERLINK("http://bombeiros.sp.gov.br/hidrantes/03individual/2136.html","2136")</f>
      </c>
      <c r="B3238" t="s">
        <v>623</v>
      </c>
      <c r="C3238" t="s">
        <v>674</v>
      </c>
      <c r="D3238" t="s">
        <v>10073</v>
      </c>
      <c r="E3238" t="s">
        <v>15</v>
      </c>
      <c r="F3238" t="s">
        <v>10086</v>
      </c>
      <c r="G3238" t="s">
        <v>17939</v>
      </c>
      <c r="H3238" t="s">
        <v>1107</v>
      </c>
      <c r="I3238" t="s">
        <v>1108</v>
      </c>
      <c r="J3238" t="s">
        <v>10108</v>
      </c>
      <c r="K3238" t="s">
        <v>10109</v>
      </c>
      <c r="L3238" t="s">
        <v>21</v>
      </c>
      <c r="M3238" t="s">
        <v>19177</v>
      </c>
      <c r="N3238" t="s">
        <v>714</v>
      </c>
      <c r="O3238" t="s">
        <v>10263</v>
      </c>
      <c r="P3238" t="s">
        <v>12</v>
      </c>
    </row>
    <row r="3239">
      <c r="A3239">
        <f>HYPERLINK("http://bombeiros.sp.gov.br/hidrantes/03individual/2138.html","2138")</f>
      </c>
      <c r="B3239" t="s">
        <v>623</v>
      </c>
      <c r="C3239" t="s">
        <v>674</v>
      </c>
      <c r="D3239" t="s">
        <v>10073</v>
      </c>
      <c r="E3239" t="s">
        <v>15</v>
      </c>
      <c r="F3239" t="s">
        <v>10110</v>
      </c>
      <c r="G3239" t="s">
        <v>17939</v>
      </c>
      <c r="H3239" t="s">
        <v>1112</v>
      </c>
      <c r="I3239" t="s">
        <v>1108</v>
      </c>
      <c r="J3239" t="s">
        <v>10111</v>
      </c>
      <c r="K3239" t="s">
        <v>10112</v>
      </c>
      <c r="L3239" t="s">
        <v>21</v>
      </c>
      <c r="M3239" t="s">
        <v>19177</v>
      </c>
      <c r="N3239" t="s">
        <v>714</v>
      </c>
      <c r="O3239" t="s">
        <v>10263</v>
      </c>
      <c r="P3239" t="s">
        <v>12</v>
      </c>
    </row>
    <row r="3240">
      <c r="A3240">
        <f>HYPERLINK("http://bombeiros.sp.gov.br/hidrantes/03individual/2140.html","2140")</f>
      </c>
      <c r="B3240" t="s">
        <v>623</v>
      </c>
      <c r="C3240" t="s">
        <v>674</v>
      </c>
      <c r="D3240" t="s">
        <v>10073</v>
      </c>
      <c r="E3240" t="s">
        <v>15</v>
      </c>
      <c r="F3240" t="s">
        <v>10113</v>
      </c>
      <c r="G3240" t="s">
        <v>17939</v>
      </c>
      <c r="H3240" t="s">
        <v>1112</v>
      </c>
      <c r="I3240" t="s">
        <v>1108</v>
      </c>
      <c r="J3240" t="s">
        <v>10114</v>
      </c>
      <c r="K3240" t="s">
        <v>10115</v>
      </c>
      <c r="L3240" t="s">
        <v>21</v>
      </c>
      <c r="M3240" t="s">
        <v>19177</v>
      </c>
      <c r="N3240" t="s">
        <v>714</v>
      </c>
      <c r="O3240" t="s">
        <v>10263</v>
      </c>
      <c r="P3240" t="s">
        <v>12</v>
      </c>
    </row>
    <row r="3241">
      <c r="A3241">
        <f>HYPERLINK("http://bombeiros.sp.gov.br/hidrantes/03individual/26784.html","26784")</f>
      </c>
      <c r="B3241" t="s">
        <v>623</v>
      </c>
      <c r="C3241" t="s">
        <v>674</v>
      </c>
      <c r="D3241" t="s">
        <v>10073</v>
      </c>
      <c r="E3241" t="s">
        <v>15</v>
      </c>
      <c r="F3241" t="s">
        <v>15806</v>
      </c>
      <c r="G3241" t="s">
        <v>17963</v>
      </c>
      <c r="H3241" t="s">
        <v>1107</v>
      </c>
      <c r="I3241" t="s">
        <v>1108</v>
      </c>
      <c r="J3241" t="s">
        <v>15807</v>
      </c>
      <c r="K3241" t="s">
        <v>15808</v>
      </c>
      <c r="L3241" t="s">
        <v>21</v>
      </c>
      <c r="M3241" t="s">
        <v>19177</v>
      </c>
      <c r="N3241" t="s">
        <v>714</v>
      </c>
      <c r="O3241" t="s">
        <v>10263</v>
      </c>
      <c r="P3241" t="s">
        <v>12</v>
      </c>
    </row>
    <row r="3242">
      <c r="A3242">
        <f>HYPERLINK("http://bombeiros.sp.gov.br/hidrantes/03individual/10050.html","10050")</f>
      </c>
      <c r="B3242" t="s">
        <v>623</v>
      </c>
      <c r="C3242" t="s">
        <v>690</v>
      </c>
      <c r="D3242" t="s">
        <v>691</v>
      </c>
      <c r="E3242" t="s">
        <v>1507</v>
      </c>
      <c r="F3242" t="s">
        <v>10116</v>
      </c>
      <c r="G3242" t="s">
        <v>17954</v>
      </c>
      <c r="H3242" t="s">
        <v>1112</v>
      </c>
      <c r="I3242" t="s">
        <v>1108</v>
      </c>
      <c r="J3242" t="s">
        <v>10117</v>
      </c>
      <c r="K3242" t="s">
        <v>10118</v>
      </c>
      <c r="L3242" t="s">
        <v>21</v>
      </c>
      <c r="M3242" t="s">
        <v>19177</v>
      </c>
      <c r="N3242" t="s">
        <v>519</v>
      </c>
      <c r="O3242" t="s">
        <v>519</v>
      </c>
      <c r="P3242" t="s">
        <v>454</v>
      </c>
    </row>
    <row r="3243">
      <c r="A3243">
        <f>HYPERLINK("http://bombeiros.sp.gov.br/hidrantes/03individual/3361.html","3361")</f>
      </c>
      <c r="B3243" t="s">
        <v>623</v>
      </c>
      <c r="C3243" t="s">
        <v>690</v>
      </c>
      <c r="D3243" t="s">
        <v>691</v>
      </c>
      <c r="E3243" t="s">
        <v>64</v>
      </c>
      <c r="F3243" t="s">
        <v>10119</v>
      </c>
      <c r="G3243" t="s">
        <v>18130</v>
      </c>
      <c r="H3243" t="s">
        <v>1121</v>
      </c>
      <c r="I3243" t="s">
        <v>1117</v>
      </c>
      <c r="J3243" t="s">
        <v>10120</v>
      </c>
      <c r="K3243" t="s">
        <v>10121</v>
      </c>
      <c r="L3243" t="s">
        <v>21</v>
      </c>
      <c r="M3243" t="s">
        <v>19177</v>
      </c>
      <c r="N3243" t="s">
        <v>519</v>
      </c>
      <c r="O3243" t="s">
        <v>519</v>
      </c>
      <c r="P3243" t="s">
        <v>454</v>
      </c>
    </row>
    <row r="3244">
      <c r="A3244">
        <f>HYPERLINK("http://bombeiros.sp.gov.br/hidrantes/03individual/1096.html","1096")</f>
      </c>
      <c r="B3244" t="s">
        <v>623</v>
      </c>
      <c r="C3244" t="s">
        <v>690</v>
      </c>
      <c r="D3244" t="s">
        <v>691</v>
      </c>
      <c r="E3244" t="s">
        <v>15</v>
      </c>
      <c r="F3244" t="s">
        <v>10122</v>
      </c>
      <c r="G3244" t="s">
        <v>18206</v>
      </c>
      <c r="H3244" t="s">
        <v>1112</v>
      </c>
      <c r="I3244" t="s">
        <v>1108</v>
      </c>
      <c r="J3244" t="s">
        <v>10123</v>
      </c>
      <c r="K3244" t="s">
        <v>10124</v>
      </c>
      <c r="L3244" t="s">
        <v>21</v>
      </c>
      <c r="M3244" t="s">
        <v>19177</v>
      </c>
      <c r="N3244" t="s">
        <v>519</v>
      </c>
      <c r="O3244" t="s">
        <v>519</v>
      </c>
      <c r="P3244" t="s">
        <v>454</v>
      </c>
    </row>
    <row r="3245">
      <c r="A3245">
        <f>HYPERLINK("http://bombeiros.sp.gov.br/hidrantes/03individual/1110.html","1110")</f>
      </c>
      <c r="B3245" t="s">
        <v>623</v>
      </c>
      <c r="C3245" t="s">
        <v>690</v>
      </c>
      <c r="D3245" t="s">
        <v>691</v>
      </c>
      <c r="E3245" t="s">
        <v>15</v>
      </c>
      <c r="F3245" t="s">
        <v>10125</v>
      </c>
      <c r="G3245" t="s">
        <v>18130</v>
      </c>
      <c r="H3245" t="s">
        <v>1112</v>
      </c>
      <c r="I3245" t="s">
        <v>1108</v>
      </c>
      <c r="J3245" t="s">
        <v>10126</v>
      </c>
      <c r="K3245" t="s">
        <v>10127</v>
      </c>
      <c r="L3245" t="s">
        <v>21</v>
      </c>
      <c r="M3245" t="s">
        <v>19177</v>
      </c>
      <c r="N3245" t="s">
        <v>519</v>
      </c>
      <c r="O3245" t="s">
        <v>519</v>
      </c>
      <c r="P3245" t="s">
        <v>454</v>
      </c>
    </row>
    <row r="3246">
      <c r="A3246">
        <f>HYPERLINK("http://bombeiros.sp.gov.br/hidrantes/03individual/1112.html","1112")</f>
      </c>
      <c r="B3246" t="s">
        <v>623</v>
      </c>
      <c r="C3246" t="s">
        <v>690</v>
      </c>
      <c r="D3246" t="s">
        <v>691</v>
      </c>
      <c r="E3246" t="s">
        <v>15</v>
      </c>
      <c r="F3246" t="s">
        <v>10128</v>
      </c>
      <c r="G3246" t="s">
        <v>18046</v>
      </c>
      <c r="H3246" t="s">
        <v>1112</v>
      </c>
      <c r="I3246" t="s">
        <v>1108</v>
      </c>
      <c r="J3246" t="s">
        <v>10129</v>
      </c>
      <c r="K3246" t="s">
        <v>10130</v>
      </c>
      <c r="L3246" t="s">
        <v>21</v>
      </c>
      <c r="M3246" t="s">
        <v>19177</v>
      </c>
      <c r="N3246" t="s">
        <v>519</v>
      </c>
      <c r="O3246" t="s">
        <v>519</v>
      </c>
      <c r="P3246" t="s">
        <v>454</v>
      </c>
    </row>
    <row r="3247">
      <c r="A3247">
        <f>HYPERLINK("http://bombeiros.sp.gov.br/hidrantes/03individual/1167.html","1167")</f>
      </c>
      <c r="B3247" t="s">
        <v>623</v>
      </c>
      <c r="C3247" t="s">
        <v>690</v>
      </c>
      <c r="D3247" t="s">
        <v>691</v>
      </c>
      <c r="E3247" t="s">
        <v>15</v>
      </c>
      <c r="F3247" t="s">
        <v>10131</v>
      </c>
      <c r="G3247" t="s">
        <v>18206</v>
      </c>
      <c r="H3247" t="s">
        <v>1121</v>
      </c>
      <c r="I3247" t="s">
        <v>1117</v>
      </c>
      <c r="J3247" t="s">
        <v>10132</v>
      </c>
      <c r="K3247" t="s">
        <v>10133</v>
      </c>
      <c r="L3247" t="s">
        <v>21</v>
      </c>
      <c r="M3247" t="s">
        <v>19177</v>
      </c>
      <c r="N3247" t="s">
        <v>519</v>
      </c>
      <c r="O3247" t="s">
        <v>519</v>
      </c>
      <c r="P3247" t="s">
        <v>454</v>
      </c>
    </row>
    <row r="3248">
      <c r="A3248">
        <f>HYPERLINK("http://bombeiros.sp.gov.br/hidrantes/03individual/1251.html","1251")</f>
      </c>
      <c r="B3248" t="s">
        <v>623</v>
      </c>
      <c r="C3248" t="s">
        <v>690</v>
      </c>
      <c r="D3248" t="s">
        <v>691</v>
      </c>
      <c r="E3248" t="s">
        <v>15</v>
      </c>
      <c r="F3248" t="s">
        <v>10134</v>
      </c>
      <c r="G3248" t="s">
        <v>18066</v>
      </c>
      <c r="H3248" t="s">
        <v>1121</v>
      </c>
      <c r="I3248" t="s">
        <v>1117</v>
      </c>
      <c r="J3248" t="s">
        <v>10135</v>
      </c>
      <c r="K3248" t="s">
        <v>10136</v>
      </c>
      <c r="L3248" t="s">
        <v>21</v>
      </c>
      <c r="M3248" t="s">
        <v>19177</v>
      </c>
      <c r="N3248" t="s">
        <v>519</v>
      </c>
      <c r="O3248" t="s">
        <v>519</v>
      </c>
      <c r="P3248" t="s">
        <v>454</v>
      </c>
    </row>
    <row r="3249">
      <c r="A3249">
        <f>HYPERLINK("http://bombeiros.sp.gov.br/hidrantes/03individual/1307.html","1307")</f>
      </c>
      <c r="B3249" t="s">
        <v>623</v>
      </c>
      <c r="C3249" t="s">
        <v>690</v>
      </c>
      <c r="D3249" t="s">
        <v>691</v>
      </c>
      <c r="E3249" t="s">
        <v>15</v>
      </c>
      <c r="F3249" t="s">
        <v>10137</v>
      </c>
      <c r="G3249" t="s">
        <v>18119</v>
      </c>
      <c r="H3249" t="s">
        <v>1112</v>
      </c>
      <c r="I3249" t="s">
        <v>1108</v>
      </c>
      <c r="J3249" t="s">
        <v>10138</v>
      </c>
      <c r="K3249" t="s">
        <v>10139</v>
      </c>
      <c r="L3249" t="s">
        <v>21</v>
      </c>
      <c r="M3249" t="s">
        <v>19177</v>
      </c>
      <c r="N3249" t="s">
        <v>519</v>
      </c>
      <c r="O3249" t="s">
        <v>519</v>
      </c>
      <c r="P3249" t="s">
        <v>454</v>
      </c>
    </row>
    <row r="3250">
      <c r="A3250">
        <f>HYPERLINK("http://bombeiros.sp.gov.br/hidrantes/03individual/4226.html","4226")</f>
      </c>
      <c r="B3250" t="s">
        <v>623</v>
      </c>
      <c r="C3250" t="s">
        <v>690</v>
      </c>
      <c r="D3250" t="s">
        <v>691</v>
      </c>
      <c r="E3250" t="s">
        <v>15</v>
      </c>
      <c r="F3250" t="s">
        <v>10140</v>
      </c>
      <c r="G3250" t="s">
        <v>18149</v>
      </c>
      <c r="H3250" t="s">
        <v>1112</v>
      </c>
      <c r="I3250" t="s">
        <v>1108</v>
      </c>
      <c r="J3250" t="s">
        <v>10141</v>
      </c>
      <c r="K3250" t="s">
        <v>10142</v>
      </c>
      <c r="L3250" t="s">
        <v>21</v>
      </c>
      <c r="M3250" t="s">
        <v>19177</v>
      </c>
      <c r="N3250" t="s">
        <v>519</v>
      </c>
      <c r="O3250" t="s">
        <v>519</v>
      </c>
      <c r="P3250" t="s">
        <v>454</v>
      </c>
    </row>
    <row r="3251">
      <c r="A3251">
        <f>HYPERLINK("http://bombeiros.sp.gov.br/hidrantes/03individual/17886.html","17886")</f>
      </c>
      <c r="B3251" t="s">
        <v>623</v>
      </c>
      <c r="C3251" t="s">
        <v>690</v>
      </c>
      <c r="D3251" t="s">
        <v>691</v>
      </c>
      <c r="E3251" t="s">
        <v>15</v>
      </c>
      <c r="F3251" t="s">
        <v>10143</v>
      </c>
      <c r="G3251" t="s">
        <v>18046</v>
      </c>
      <c r="H3251" t="s">
        <v>1121</v>
      </c>
      <c r="I3251" t="s">
        <v>1117</v>
      </c>
      <c r="J3251" t="s">
        <v>10144</v>
      </c>
      <c r="K3251" t="s">
        <v>10145</v>
      </c>
      <c r="L3251" t="s">
        <v>21</v>
      </c>
      <c r="M3251" t="s">
        <v>19177</v>
      </c>
      <c r="N3251" t="s">
        <v>519</v>
      </c>
      <c r="O3251" t="s">
        <v>519</v>
      </c>
      <c r="P3251" t="s">
        <v>454</v>
      </c>
    </row>
    <row r="3252">
      <c r="A3252">
        <f>HYPERLINK("http://bombeiros.sp.gov.br/hidrantes/03individual/895.html","895")</f>
      </c>
      <c r="B3252" t="s">
        <v>623</v>
      </c>
      <c r="C3252" t="s">
        <v>696</v>
      </c>
      <c r="D3252" t="s">
        <v>696</v>
      </c>
      <c r="E3252" t="s">
        <v>64</v>
      </c>
      <c r="F3252" t="s">
        <v>10146</v>
      </c>
      <c r="G3252" t="s">
        <v>18132</v>
      </c>
      <c r="H3252" t="s">
        <v>1121</v>
      </c>
      <c r="I3252" t="s">
        <v>1117</v>
      </c>
      <c r="J3252" t="s">
        <v>10147</v>
      </c>
      <c r="K3252" t="s">
        <v>10148</v>
      </c>
      <c r="L3252" t="s">
        <v>36</v>
      </c>
      <c r="M3252" t="s">
        <v>19177</v>
      </c>
      <c r="N3252" t="s">
        <v>16375</v>
      </c>
      <c r="O3252" t="s">
        <v>640</v>
      </c>
      <c r="P3252" t="s">
        <v>623</v>
      </c>
    </row>
    <row r="3253">
      <c r="A3253">
        <f>HYPERLINK("http://bombeiros.sp.gov.br/hidrantes/03individual/6653.html","6653")</f>
      </c>
      <c r="B3253" t="s">
        <v>623</v>
      </c>
      <c r="C3253" t="s">
        <v>696</v>
      </c>
      <c r="D3253" t="s">
        <v>696</v>
      </c>
      <c r="E3253" t="s">
        <v>64</v>
      </c>
      <c r="F3253" t="s">
        <v>10149</v>
      </c>
      <c r="G3253" t="s">
        <v>18098</v>
      </c>
      <c r="H3253" t="s">
        <v>1174</v>
      </c>
      <c r="I3253" t="s">
        <v>1117</v>
      </c>
      <c r="J3253" t="s">
        <v>10150</v>
      </c>
      <c r="K3253" t="s">
        <v>10151</v>
      </c>
      <c r="L3253" t="s">
        <v>21</v>
      </c>
      <c r="M3253" t="s">
        <v>19177</v>
      </c>
      <c r="N3253" t="s">
        <v>16375</v>
      </c>
      <c r="O3253" t="s">
        <v>640</v>
      </c>
      <c r="P3253" t="s">
        <v>623</v>
      </c>
    </row>
    <row r="3254">
      <c r="A3254">
        <f>HYPERLINK("http://bombeiros.sp.gov.br/hidrantes/03individual/16553.html","16553")</f>
      </c>
      <c r="B3254" t="s">
        <v>623</v>
      </c>
      <c r="C3254" t="s">
        <v>696</v>
      </c>
      <c r="D3254" t="s">
        <v>696</v>
      </c>
      <c r="E3254" t="s">
        <v>64</v>
      </c>
      <c r="F3254" t="s">
        <v>697</v>
      </c>
      <c r="G3254" t="s">
        <v>18132</v>
      </c>
      <c r="H3254" t="s">
        <v>1121</v>
      </c>
      <c r="I3254" t="s">
        <v>1117</v>
      </c>
      <c r="J3254" t="s">
        <v>699</v>
      </c>
      <c r="K3254" t="s">
        <v>700</v>
      </c>
      <c r="L3254" t="s">
        <v>21</v>
      </c>
      <c r="M3254" t="s">
        <v>19177</v>
      </c>
      <c r="N3254" t="s">
        <v>16375</v>
      </c>
      <c r="O3254" t="s">
        <v>640</v>
      </c>
      <c r="P3254" t="s">
        <v>623</v>
      </c>
    </row>
    <row r="3255">
      <c r="A3255">
        <f>HYPERLINK("http://bombeiros.sp.gov.br/hidrantes/03individual/27037.html","27037")</f>
      </c>
      <c r="B3255" t="s">
        <v>623</v>
      </c>
      <c r="C3255" t="s">
        <v>696</v>
      </c>
      <c r="D3255" t="s">
        <v>696</v>
      </c>
      <c r="E3255" t="s">
        <v>64</v>
      </c>
      <c r="F3255" t="s">
        <v>16615</v>
      </c>
      <c r="G3255" t="s">
        <v>18326</v>
      </c>
      <c r="H3255" t="s">
        <v>1107</v>
      </c>
      <c r="I3255" t="s">
        <v>1108</v>
      </c>
      <c r="J3255" t="s">
        <v>16616</v>
      </c>
      <c r="K3255" t="s">
        <v>16617</v>
      </c>
      <c r="L3255" t="s">
        <v>21</v>
      </c>
      <c r="M3255" t="s">
        <v>19177</v>
      </c>
      <c r="N3255" t="s">
        <v>16375</v>
      </c>
      <c r="O3255" t="s">
        <v>640</v>
      </c>
      <c r="P3255" t="s">
        <v>623</v>
      </c>
    </row>
    <row r="3256">
      <c r="A3256">
        <f>HYPERLINK("http://bombeiros.sp.gov.br/hidrantes/03individual/27421.html","27421")</f>
      </c>
      <c r="B3256" t="s">
        <v>623</v>
      </c>
      <c r="C3256" t="s">
        <v>696</v>
      </c>
      <c r="D3256" t="s">
        <v>696</v>
      </c>
      <c r="E3256" t="s">
        <v>64</v>
      </c>
      <c r="F3256" t="s">
        <v>17331</v>
      </c>
      <c r="G3256" t="s">
        <v>18143</v>
      </c>
      <c r="H3256" t="s">
        <v>1112</v>
      </c>
      <c r="I3256" t="s">
        <v>1108</v>
      </c>
      <c r="J3256" t="s">
        <v>17332</v>
      </c>
      <c r="K3256" t="s">
        <v>17333</v>
      </c>
      <c r="L3256" t="s">
        <v>21</v>
      </c>
      <c r="M3256" t="s">
        <v>19177</v>
      </c>
      <c r="N3256" t="s">
        <v>16375</v>
      </c>
      <c r="O3256" t="s">
        <v>640</v>
      </c>
      <c r="P3256" t="s">
        <v>623</v>
      </c>
    </row>
    <row r="3257">
      <c r="A3257">
        <f>HYPERLINK("http://bombeiros.sp.gov.br/hidrantes/03individual/1203.html","1203")</f>
      </c>
      <c r="B3257" t="s">
        <v>623</v>
      </c>
      <c r="C3257" t="s">
        <v>696</v>
      </c>
      <c r="D3257" t="s">
        <v>696</v>
      </c>
      <c r="E3257" t="s">
        <v>15</v>
      </c>
      <c r="F3257" t="s">
        <v>10152</v>
      </c>
      <c r="G3257" t="s">
        <v>18132</v>
      </c>
      <c r="H3257" t="s">
        <v>1107</v>
      </c>
      <c r="I3257" t="s">
        <v>1108</v>
      </c>
      <c r="J3257" t="s">
        <v>10153</v>
      </c>
      <c r="K3257" t="s">
        <v>10154</v>
      </c>
      <c r="L3257" t="s">
        <v>21</v>
      </c>
      <c r="M3257" t="s">
        <v>19177</v>
      </c>
      <c r="N3257" t="s">
        <v>16375</v>
      </c>
      <c r="O3257" t="s">
        <v>640</v>
      </c>
      <c r="P3257" t="s">
        <v>623</v>
      </c>
    </row>
    <row r="3258">
      <c r="A3258">
        <f>HYPERLINK("http://bombeiros.sp.gov.br/hidrantes/03individual/1205.html","1205")</f>
      </c>
      <c r="B3258" t="s">
        <v>623</v>
      </c>
      <c r="C3258" t="s">
        <v>696</v>
      </c>
      <c r="D3258" t="s">
        <v>696</v>
      </c>
      <c r="E3258" t="s">
        <v>15</v>
      </c>
      <c r="F3258" t="s">
        <v>10155</v>
      </c>
      <c r="G3258" t="s">
        <v>18132</v>
      </c>
      <c r="H3258" t="s">
        <v>1174</v>
      </c>
      <c r="I3258" t="s">
        <v>1117</v>
      </c>
      <c r="J3258" t="s">
        <v>10156</v>
      </c>
      <c r="K3258" t="s">
        <v>10157</v>
      </c>
      <c r="L3258" t="s">
        <v>21</v>
      </c>
      <c r="M3258" t="s">
        <v>19177</v>
      </c>
      <c r="N3258" t="s">
        <v>16375</v>
      </c>
      <c r="O3258" t="s">
        <v>640</v>
      </c>
      <c r="P3258" t="s">
        <v>623</v>
      </c>
    </row>
    <row r="3259">
      <c r="A3259">
        <f>HYPERLINK("http://bombeiros.sp.gov.br/hidrantes/03individual/17810.html","17810")</f>
      </c>
      <c r="B3259" t="s">
        <v>623</v>
      </c>
      <c r="C3259" t="s">
        <v>696</v>
      </c>
      <c r="D3259" t="s">
        <v>696</v>
      </c>
      <c r="E3259" t="s">
        <v>15</v>
      </c>
      <c r="F3259" t="s">
        <v>10158</v>
      </c>
      <c r="G3259" t="s">
        <v>18132</v>
      </c>
      <c r="H3259" t="s">
        <v>1121</v>
      </c>
      <c r="I3259" t="s">
        <v>1117</v>
      </c>
      <c r="J3259" t="s">
        <v>10159</v>
      </c>
      <c r="K3259" t="s">
        <v>10160</v>
      </c>
      <c r="L3259" t="s">
        <v>21</v>
      </c>
      <c r="M3259" t="s">
        <v>19177</v>
      </c>
      <c r="N3259" t="s">
        <v>16375</v>
      </c>
      <c r="O3259" t="s">
        <v>640</v>
      </c>
      <c r="P3259" t="s">
        <v>623</v>
      </c>
    </row>
    <row r="3260">
      <c r="A3260">
        <f>HYPERLINK("http://bombeiros.sp.gov.br/hidrantes/03individual/17812.html","17812")</f>
      </c>
      <c r="B3260" t="s">
        <v>623</v>
      </c>
      <c r="C3260" t="s">
        <v>696</v>
      </c>
      <c r="D3260" t="s">
        <v>696</v>
      </c>
      <c r="E3260" t="s">
        <v>15</v>
      </c>
      <c r="F3260" t="s">
        <v>10161</v>
      </c>
      <c r="G3260" t="s">
        <v>18132</v>
      </c>
      <c r="H3260"/>
      <c r="I3260" t="s">
        <v>18</v>
      </c>
      <c r="J3260" t="s">
        <v>17723</v>
      </c>
      <c r="K3260" t="s">
        <v>17724</v>
      </c>
      <c r="L3260" t="s">
        <v>21</v>
      </c>
      <c r="M3260" t="s">
        <v>19177</v>
      </c>
      <c r="N3260" t="s">
        <v>16375</v>
      </c>
      <c r="O3260" t="s">
        <v>640</v>
      </c>
      <c r="P3260" t="s">
        <v>623</v>
      </c>
    </row>
    <row r="3261">
      <c r="A3261">
        <f>HYPERLINK("http://bombeiros.sp.gov.br/hidrantes/03individual/10057.html","10057")</f>
      </c>
      <c r="B3261" t="s">
        <v>623</v>
      </c>
      <c r="C3261" t="s">
        <v>696</v>
      </c>
      <c r="D3261" t="s">
        <v>704</v>
      </c>
      <c r="E3261" t="s">
        <v>1507</v>
      </c>
      <c r="F3261" t="s">
        <v>10164</v>
      </c>
      <c r="G3261" t="s">
        <v>17694</v>
      </c>
      <c r="H3261" t="s">
        <v>1112</v>
      </c>
      <c r="I3261" t="s">
        <v>1108</v>
      </c>
      <c r="J3261" t="s">
        <v>10165</v>
      </c>
      <c r="K3261" t="s">
        <v>10166</v>
      </c>
      <c r="L3261" t="s">
        <v>21</v>
      </c>
      <c r="M3261" t="s">
        <v>19177</v>
      </c>
      <c r="N3261" t="s">
        <v>16375</v>
      </c>
      <c r="O3261" t="s">
        <v>640</v>
      </c>
      <c r="P3261" t="s">
        <v>623</v>
      </c>
    </row>
    <row r="3262">
      <c r="A3262">
        <f>HYPERLINK("http://bombeiros.sp.gov.br/hidrantes/03individual/1219.html","1219")</f>
      </c>
      <c r="B3262" t="s">
        <v>623</v>
      </c>
      <c r="C3262" t="s">
        <v>696</v>
      </c>
      <c r="D3262" t="s">
        <v>704</v>
      </c>
      <c r="E3262" t="s">
        <v>64</v>
      </c>
      <c r="F3262" t="s">
        <v>10167</v>
      </c>
      <c r="G3262" t="s">
        <v>18132</v>
      </c>
      <c r="H3262" t="s">
        <v>1121</v>
      </c>
      <c r="I3262" t="s">
        <v>1117</v>
      </c>
      <c r="J3262" t="s">
        <v>10168</v>
      </c>
      <c r="K3262" t="s">
        <v>10169</v>
      </c>
      <c r="L3262" t="s">
        <v>36</v>
      </c>
      <c r="M3262" t="s">
        <v>19177</v>
      </c>
      <c r="N3262" t="s">
        <v>16375</v>
      </c>
      <c r="O3262" t="s">
        <v>640</v>
      </c>
      <c r="P3262" t="s">
        <v>623</v>
      </c>
    </row>
    <row r="3263">
      <c r="A3263">
        <f>HYPERLINK("http://bombeiros.sp.gov.br/hidrantes/03individual/1368.html","1368")</f>
      </c>
      <c r="B3263" t="s">
        <v>623</v>
      </c>
      <c r="C3263" t="s">
        <v>696</v>
      </c>
      <c r="D3263" t="s">
        <v>704</v>
      </c>
      <c r="E3263" t="s">
        <v>64</v>
      </c>
      <c r="F3263" t="s">
        <v>10170</v>
      </c>
      <c r="G3263" t="s">
        <v>18143</v>
      </c>
      <c r="H3263" t="s">
        <v>1112</v>
      </c>
      <c r="I3263" t="s">
        <v>1108</v>
      </c>
      <c r="J3263" t="s">
        <v>10171</v>
      </c>
      <c r="K3263" t="s">
        <v>10172</v>
      </c>
      <c r="L3263" t="s">
        <v>36</v>
      </c>
      <c r="M3263" t="s">
        <v>19177</v>
      </c>
      <c r="N3263" t="s">
        <v>16375</v>
      </c>
      <c r="O3263" t="s">
        <v>640</v>
      </c>
      <c r="P3263" t="s">
        <v>623</v>
      </c>
    </row>
    <row r="3264">
      <c r="A3264">
        <f>HYPERLINK("http://bombeiros.sp.gov.br/hidrantes/03individual/1370.html","1370")</f>
      </c>
      <c r="B3264" t="s">
        <v>623</v>
      </c>
      <c r="C3264" t="s">
        <v>696</v>
      </c>
      <c r="D3264" t="s">
        <v>704</v>
      </c>
      <c r="E3264" t="s">
        <v>64</v>
      </c>
      <c r="F3264" t="s">
        <v>10173</v>
      </c>
      <c r="G3264" t="s">
        <v>18132</v>
      </c>
      <c r="H3264" t="s">
        <v>1112</v>
      </c>
      <c r="I3264" t="s">
        <v>1108</v>
      </c>
      <c r="J3264" t="s">
        <v>10174</v>
      </c>
      <c r="K3264" t="s">
        <v>10175</v>
      </c>
      <c r="L3264" t="s">
        <v>36</v>
      </c>
      <c r="M3264" t="s">
        <v>19177</v>
      </c>
      <c r="N3264" t="s">
        <v>16375</v>
      </c>
      <c r="O3264" t="s">
        <v>640</v>
      </c>
      <c r="P3264" t="s">
        <v>623</v>
      </c>
    </row>
    <row r="3265">
      <c r="A3265">
        <f>HYPERLINK("http://bombeiros.sp.gov.br/hidrantes/03individual/27038.html","27038")</f>
      </c>
      <c r="B3265" t="s">
        <v>623</v>
      </c>
      <c r="C3265" t="s">
        <v>696</v>
      </c>
      <c r="D3265" t="s">
        <v>704</v>
      </c>
      <c r="E3265" t="s">
        <v>64</v>
      </c>
      <c r="F3265" t="s">
        <v>16618</v>
      </c>
      <c r="G3265" t="s">
        <v>18132</v>
      </c>
      <c r="H3265" t="s">
        <v>1112</v>
      </c>
      <c r="I3265" t="s">
        <v>1108</v>
      </c>
      <c r="J3265" t="s">
        <v>16619</v>
      </c>
      <c r="K3265" t="s">
        <v>16620</v>
      </c>
      <c r="L3265" t="s">
        <v>21</v>
      </c>
      <c r="M3265" t="s">
        <v>19177</v>
      </c>
      <c r="N3265" t="s">
        <v>16375</v>
      </c>
      <c r="O3265" t="s">
        <v>640</v>
      </c>
      <c r="P3265" t="s">
        <v>623</v>
      </c>
    </row>
    <row r="3266">
      <c r="A3266">
        <f>HYPERLINK("http://bombeiros.sp.gov.br/hidrantes/03individual/27052.html","27052")</f>
      </c>
      <c r="B3266" t="s">
        <v>623</v>
      </c>
      <c r="C3266" t="s">
        <v>696</v>
      </c>
      <c r="D3266" t="s">
        <v>704</v>
      </c>
      <c r="E3266" t="s">
        <v>64</v>
      </c>
      <c r="F3266" t="s">
        <v>16666</v>
      </c>
      <c r="G3266" t="s">
        <v>18143</v>
      </c>
      <c r="H3266" t="s">
        <v>1121</v>
      </c>
      <c r="I3266" t="s">
        <v>1117</v>
      </c>
      <c r="J3266" t="s">
        <v>16667</v>
      </c>
      <c r="K3266" t="s">
        <v>16668</v>
      </c>
      <c r="L3266" t="s">
        <v>21</v>
      </c>
      <c r="M3266" t="s">
        <v>19177</v>
      </c>
      <c r="N3266" t="s">
        <v>16375</v>
      </c>
      <c r="O3266" t="s">
        <v>640</v>
      </c>
      <c r="P3266" t="s">
        <v>623</v>
      </c>
    </row>
    <row r="3267">
      <c r="A3267">
        <f>HYPERLINK("http://bombeiros.sp.gov.br/hidrantes/03individual/1211.html","1211")</f>
      </c>
      <c r="B3267" t="s">
        <v>623</v>
      </c>
      <c r="C3267" t="s">
        <v>696</v>
      </c>
      <c r="D3267" t="s">
        <v>704</v>
      </c>
      <c r="E3267" t="s">
        <v>15</v>
      </c>
      <c r="F3267" t="s">
        <v>10176</v>
      </c>
      <c r="G3267" t="s">
        <v>18132</v>
      </c>
      <c r="H3267" t="s">
        <v>1121</v>
      </c>
      <c r="I3267" t="s">
        <v>1117</v>
      </c>
      <c r="J3267" t="s">
        <v>10177</v>
      </c>
      <c r="K3267" t="s">
        <v>10178</v>
      </c>
      <c r="L3267" t="s">
        <v>21</v>
      </c>
      <c r="M3267" t="s">
        <v>19177</v>
      </c>
      <c r="N3267" t="s">
        <v>16375</v>
      </c>
      <c r="O3267" t="s">
        <v>640</v>
      </c>
      <c r="P3267" t="s">
        <v>623</v>
      </c>
    </row>
    <row r="3268">
      <c r="A3268">
        <f>HYPERLINK("http://bombeiros.sp.gov.br/hidrantes/03individual/1216.html","1216")</f>
      </c>
      <c r="B3268" t="s">
        <v>623</v>
      </c>
      <c r="C3268" t="s">
        <v>696</v>
      </c>
      <c r="D3268" t="s">
        <v>704</v>
      </c>
      <c r="E3268" t="s">
        <v>15</v>
      </c>
      <c r="F3268" t="s">
        <v>10179</v>
      </c>
      <c r="G3268" t="s">
        <v>18143</v>
      </c>
      <c r="H3268" t="s">
        <v>1112</v>
      </c>
      <c r="I3268" t="s">
        <v>1108</v>
      </c>
      <c r="J3268" t="s">
        <v>10180</v>
      </c>
      <c r="K3268" t="s">
        <v>10181</v>
      </c>
      <c r="L3268" t="s">
        <v>36</v>
      </c>
      <c r="M3268" t="s">
        <v>19177</v>
      </c>
      <c r="N3268" t="s">
        <v>16375</v>
      </c>
      <c r="O3268" t="s">
        <v>640</v>
      </c>
      <c r="P3268" t="s">
        <v>623</v>
      </c>
    </row>
    <row r="3269">
      <c r="A3269">
        <f>HYPERLINK("http://bombeiros.sp.gov.br/hidrantes/03individual/1366.html","1366")</f>
      </c>
      <c r="B3269" t="s">
        <v>623</v>
      </c>
      <c r="C3269" t="s">
        <v>696</v>
      </c>
      <c r="D3269" t="s">
        <v>704</v>
      </c>
      <c r="E3269" t="s">
        <v>15</v>
      </c>
      <c r="F3269" t="s">
        <v>10182</v>
      </c>
      <c r="G3269" t="s">
        <v>18143</v>
      </c>
      <c r="H3269" t="s">
        <v>1112</v>
      </c>
      <c r="I3269" t="s">
        <v>1108</v>
      </c>
      <c r="J3269" t="s">
        <v>10183</v>
      </c>
      <c r="K3269" t="s">
        <v>10184</v>
      </c>
      <c r="L3269" t="s">
        <v>21</v>
      </c>
      <c r="M3269" t="s">
        <v>19177</v>
      </c>
      <c r="N3269" t="s">
        <v>16375</v>
      </c>
      <c r="O3269" t="s">
        <v>640</v>
      </c>
      <c r="P3269" t="s">
        <v>623</v>
      </c>
    </row>
    <row r="3270">
      <c r="A3270">
        <f>HYPERLINK("http://bombeiros.sp.gov.br/hidrantes/03individual/17809.html","17809")</f>
      </c>
      <c r="B3270" t="s">
        <v>623</v>
      </c>
      <c r="C3270" t="s">
        <v>696</v>
      </c>
      <c r="D3270" t="s">
        <v>704</v>
      </c>
      <c r="E3270" t="s">
        <v>15</v>
      </c>
      <c r="F3270" t="s">
        <v>10188</v>
      </c>
      <c r="G3270" t="s">
        <v>18143</v>
      </c>
      <c r="H3270" t="s">
        <v>1112</v>
      </c>
      <c r="I3270" t="s">
        <v>1108</v>
      </c>
      <c r="J3270" t="s">
        <v>10189</v>
      </c>
      <c r="K3270" t="s">
        <v>10190</v>
      </c>
      <c r="L3270" t="s">
        <v>21</v>
      </c>
      <c r="M3270" t="s">
        <v>19177</v>
      </c>
      <c r="N3270" t="s">
        <v>16375</v>
      </c>
      <c r="O3270" t="s">
        <v>640</v>
      </c>
      <c r="P3270" t="s">
        <v>623</v>
      </c>
    </row>
    <row r="3271">
      <c r="A3271">
        <f>HYPERLINK("http://bombeiros.sp.gov.br/hidrantes/03individual/17813.html","17813")</f>
      </c>
      <c r="B3271" t="s">
        <v>623</v>
      </c>
      <c r="C3271" t="s">
        <v>696</v>
      </c>
      <c r="D3271" t="s">
        <v>704</v>
      </c>
      <c r="E3271" t="s">
        <v>15</v>
      </c>
      <c r="F3271" t="s">
        <v>10191</v>
      </c>
      <c r="G3271" t="s">
        <v>18143</v>
      </c>
      <c r="H3271"/>
      <c r="I3271" t="s">
        <v>18</v>
      </c>
      <c r="J3271" t="s">
        <v>10192</v>
      </c>
      <c r="K3271" t="s">
        <v>10193</v>
      </c>
      <c r="L3271" t="s">
        <v>21</v>
      </c>
      <c r="M3271" t="s">
        <v>19177</v>
      </c>
      <c r="N3271" t="s">
        <v>16375</v>
      </c>
      <c r="O3271" t="s">
        <v>640</v>
      </c>
      <c r="P3271" t="s">
        <v>623</v>
      </c>
    </row>
    <row r="3272">
      <c r="A3272">
        <f>HYPERLINK("http://bombeiros.sp.gov.br/hidrantes/03individual/25223.html","25223")</f>
      </c>
      <c r="B3272" t="s">
        <v>623</v>
      </c>
      <c r="C3272" t="s">
        <v>696</v>
      </c>
      <c r="D3272" t="s">
        <v>704</v>
      </c>
      <c r="E3272" t="s">
        <v>15</v>
      </c>
      <c r="F3272" t="s">
        <v>10194</v>
      </c>
      <c r="G3272" t="s">
        <v>18132</v>
      </c>
      <c r="H3272" t="s">
        <v>1112</v>
      </c>
      <c r="I3272" t="s">
        <v>1108</v>
      </c>
      <c r="J3272" t="s">
        <v>10195</v>
      </c>
      <c r="K3272" t="s">
        <v>10196</v>
      </c>
      <c r="L3272" t="s">
        <v>21</v>
      </c>
      <c r="M3272" t="s">
        <v>19177</v>
      </c>
      <c r="N3272" t="s">
        <v>16375</v>
      </c>
      <c r="O3272" t="s">
        <v>640</v>
      </c>
      <c r="P3272" t="s">
        <v>623</v>
      </c>
    </row>
    <row r="3273">
      <c r="A3273">
        <f>HYPERLINK("http://bombeiros.sp.gov.br/hidrantes/03individual/27326.html","27326")</f>
      </c>
      <c r="B3273" t="s">
        <v>623</v>
      </c>
      <c r="C3273" t="s">
        <v>696</v>
      </c>
      <c r="D3273" t="s">
        <v>704</v>
      </c>
      <c r="E3273" t="s">
        <v>15</v>
      </c>
      <c r="F3273" t="s">
        <v>17144</v>
      </c>
      <c r="G3273" t="s">
        <v>18143</v>
      </c>
      <c r="H3273" t="s">
        <v>1112</v>
      </c>
      <c r="I3273" t="s">
        <v>1108</v>
      </c>
      <c r="J3273" t="s">
        <v>17145</v>
      </c>
      <c r="K3273" t="s">
        <v>18333</v>
      </c>
      <c r="L3273" t="s">
        <v>21</v>
      </c>
      <c r="M3273" t="s">
        <v>19177</v>
      </c>
      <c r="N3273" t="s">
        <v>16375</v>
      </c>
      <c r="O3273" t="s">
        <v>640</v>
      </c>
      <c r="P3273" t="s">
        <v>623</v>
      </c>
    </row>
    <row r="3274">
      <c r="A3274">
        <f>HYPERLINK("http://bombeiros.sp.gov.br/hidrantes/03individual/491.html","491")</f>
      </c>
      <c r="B3274" t="s">
        <v>623</v>
      </c>
      <c r="C3274" t="s">
        <v>709</v>
      </c>
      <c r="D3274" t="s">
        <v>10197</v>
      </c>
      <c r="E3274" t="s">
        <v>64</v>
      </c>
      <c r="F3274" t="s">
        <v>10198</v>
      </c>
      <c r="G3274" t="s">
        <v>18150</v>
      </c>
      <c r="H3274" t="s">
        <v>1112</v>
      </c>
      <c r="I3274" t="s">
        <v>1108</v>
      </c>
      <c r="J3274" t="s">
        <v>10200</v>
      </c>
      <c r="K3274" t="s">
        <v>10201</v>
      </c>
      <c r="L3274" t="s">
        <v>36</v>
      </c>
      <c r="M3274" t="s">
        <v>19177</v>
      </c>
      <c r="N3274" t="s">
        <v>714</v>
      </c>
      <c r="O3274" t="s">
        <v>10263</v>
      </c>
      <c r="P3274" t="s">
        <v>12</v>
      </c>
    </row>
    <row r="3275">
      <c r="A3275">
        <f>HYPERLINK("http://bombeiros.sp.gov.br/hidrantes/03individual/2625.html","2625")</f>
      </c>
      <c r="B3275" t="s">
        <v>623</v>
      </c>
      <c r="C3275" t="s">
        <v>709</v>
      </c>
      <c r="D3275" t="s">
        <v>10197</v>
      </c>
      <c r="E3275" t="s">
        <v>64</v>
      </c>
      <c r="F3275" t="s">
        <v>10202</v>
      </c>
      <c r="G3275" t="s">
        <v>18179</v>
      </c>
      <c r="H3275" t="s">
        <v>1112</v>
      </c>
      <c r="I3275" t="s">
        <v>1108</v>
      </c>
      <c r="J3275" t="s">
        <v>10203</v>
      </c>
      <c r="K3275" t="s">
        <v>10204</v>
      </c>
      <c r="L3275" t="s">
        <v>36</v>
      </c>
      <c r="M3275" t="s">
        <v>19177</v>
      </c>
      <c r="N3275" t="s">
        <v>714</v>
      </c>
      <c r="O3275" t="s">
        <v>10263</v>
      </c>
      <c r="P3275" t="s">
        <v>12</v>
      </c>
    </row>
    <row r="3276">
      <c r="A3276">
        <f>HYPERLINK("http://bombeiros.sp.gov.br/hidrantes/03individual/162.html","162")</f>
      </c>
      <c r="B3276" t="s">
        <v>623</v>
      </c>
      <c r="C3276" t="s">
        <v>709</v>
      </c>
      <c r="D3276" t="s">
        <v>10197</v>
      </c>
      <c r="E3276" t="s">
        <v>15</v>
      </c>
      <c r="F3276" t="s">
        <v>10205</v>
      </c>
      <c r="G3276" t="s">
        <v>18118</v>
      </c>
      <c r="H3276" t="s">
        <v>1112</v>
      </c>
      <c r="I3276" t="s">
        <v>1108</v>
      </c>
      <c r="J3276" t="s">
        <v>10206</v>
      </c>
      <c r="K3276" t="s">
        <v>10207</v>
      </c>
      <c r="L3276" t="s">
        <v>21</v>
      </c>
      <c r="M3276" t="s">
        <v>19177</v>
      </c>
      <c r="N3276" t="s">
        <v>714</v>
      </c>
      <c r="O3276" t="s">
        <v>10263</v>
      </c>
      <c r="P3276" t="s">
        <v>12</v>
      </c>
    </row>
    <row r="3277">
      <c r="A3277">
        <f>HYPERLINK("http://bombeiros.sp.gov.br/hidrantes/03individual/2622.html","2622")</f>
      </c>
      <c r="B3277" t="s">
        <v>623</v>
      </c>
      <c r="C3277" t="s">
        <v>709</v>
      </c>
      <c r="D3277" t="s">
        <v>10197</v>
      </c>
      <c r="E3277" t="s">
        <v>15</v>
      </c>
      <c r="F3277" t="s">
        <v>10208</v>
      </c>
      <c r="G3277" t="s">
        <v>18150</v>
      </c>
      <c r="H3277" t="s">
        <v>1107</v>
      </c>
      <c r="I3277" t="s">
        <v>1108</v>
      </c>
      <c r="J3277" t="s">
        <v>10209</v>
      </c>
      <c r="K3277" t="s">
        <v>10210</v>
      </c>
      <c r="L3277" t="s">
        <v>21</v>
      </c>
      <c r="M3277" t="s">
        <v>19177</v>
      </c>
      <c r="N3277" t="s">
        <v>714</v>
      </c>
      <c r="O3277" t="s">
        <v>10263</v>
      </c>
      <c r="P3277" t="s">
        <v>12</v>
      </c>
    </row>
    <row r="3278">
      <c r="A3278">
        <f>HYPERLINK("http://bombeiros.sp.gov.br/hidrantes/03individual/2639.html","2639")</f>
      </c>
      <c r="B3278" t="s">
        <v>623</v>
      </c>
      <c r="C3278" t="s">
        <v>709</v>
      </c>
      <c r="D3278" t="s">
        <v>10197</v>
      </c>
      <c r="E3278" t="s">
        <v>15</v>
      </c>
      <c r="F3278" t="s">
        <v>10211</v>
      </c>
      <c r="G3278" t="s">
        <v>18124</v>
      </c>
      <c r="H3278" t="s">
        <v>1121</v>
      </c>
      <c r="I3278" t="s">
        <v>1117</v>
      </c>
      <c r="J3278" t="s">
        <v>10212</v>
      </c>
      <c r="K3278" t="s">
        <v>10213</v>
      </c>
      <c r="L3278" t="s">
        <v>21</v>
      </c>
      <c r="M3278" t="s">
        <v>19177</v>
      </c>
      <c r="N3278" t="s">
        <v>714</v>
      </c>
      <c r="O3278" t="s">
        <v>10263</v>
      </c>
      <c r="P3278" t="s">
        <v>12</v>
      </c>
    </row>
    <row r="3279">
      <c r="A3279">
        <f>HYPERLINK("http://bombeiros.sp.gov.br/hidrantes/03individual/5601.html","5601")</f>
      </c>
      <c r="B3279" t="s">
        <v>623</v>
      </c>
      <c r="C3279" t="s">
        <v>709</v>
      </c>
      <c r="D3279" t="s">
        <v>10197</v>
      </c>
      <c r="E3279" t="s">
        <v>15</v>
      </c>
      <c r="F3279" t="s">
        <v>10214</v>
      </c>
      <c r="G3279" t="s">
        <v>18013</v>
      </c>
      <c r="H3279" t="s">
        <v>1174</v>
      </c>
      <c r="I3279" t="s">
        <v>1117</v>
      </c>
      <c r="J3279" t="s">
        <v>10215</v>
      </c>
      <c r="K3279" t="s">
        <v>10216</v>
      </c>
      <c r="L3279" t="s">
        <v>21</v>
      </c>
      <c r="M3279" t="s">
        <v>19177</v>
      </c>
      <c r="N3279" t="s">
        <v>714</v>
      </c>
      <c r="O3279" t="s">
        <v>10263</v>
      </c>
      <c r="P3279" t="s">
        <v>12</v>
      </c>
    </row>
    <row r="3280">
      <c r="A3280">
        <f>HYPERLINK("http://bombeiros.sp.gov.br/hidrantes/03individual/17744.html","17744")</f>
      </c>
      <c r="B3280" t="s">
        <v>623</v>
      </c>
      <c r="C3280" t="s">
        <v>709</v>
      </c>
      <c r="D3280" t="s">
        <v>10197</v>
      </c>
      <c r="E3280" t="s">
        <v>15</v>
      </c>
      <c r="F3280" t="s">
        <v>10220</v>
      </c>
      <c r="G3280" t="s">
        <v>18124</v>
      </c>
      <c r="H3280" t="s">
        <v>1112</v>
      </c>
      <c r="I3280" t="s">
        <v>1108</v>
      </c>
      <c r="J3280" t="s">
        <v>10221</v>
      </c>
      <c r="K3280" t="s">
        <v>10222</v>
      </c>
      <c r="L3280" t="s">
        <v>21</v>
      </c>
      <c r="M3280" t="s">
        <v>19177</v>
      </c>
      <c r="N3280" t="s">
        <v>714</v>
      </c>
      <c r="O3280" t="s">
        <v>10263</v>
      </c>
      <c r="P3280" t="s">
        <v>12</v>
      </c>
    </row>
    <row r="3281">
      <c r="A3281">
        <f>HYPERLINK("http://bombeiros.sp.gov.br/hidrantes/03individual/26794.html","26794")</f>
      </c>
      <c r="B3281" t="s">
        <v>623</v>
      </c>
      <c r="C3281" t="s">
        <v>709</v>
      </c>
      <c r="D3281" t="s">
        <v>10197</v>
      </c>
      <c r="E3281" t="s">
        <v>15</v>
      </c>
      <c r="F3281" t="s">
        <v>15833</v>
      </c>
      <c r="G3281" t="s">
        <v>18124</v>
      </c>
      <c r="H3281" t="s">
        <v>1112</v>
      </c>
      <c r="I3281" t="s">
        <v>1108</v>
      </c>
      <c r="J3281" t="s">
        <v>15834</v>
      </c>
      <c r="K3281" t="s">
        <v>15835</v>
      </c>
      <c r="L3281" t="s">
        <v>21</v>
      </c>
      <c r="M3281" t="s">
        <v>19177</v>
      </c>
      <c r="N3281" t="s">
        <v>714</v>
      </c>
      <c r="O3281" t="s">
        <v>10263</v>
      </c>
      <c r="P3281" t="s">
        <v>12</v>
      </c>
    </row>
    <row r="3282">
      <c r="A3282">
        <f>HYPERLINK("http://bombeiros.sp.gov.br/hidrantes/03individual/26812.html","26812")</f>
      </c>
      <c r="B3282" t="s">
        <v>623</v>
      </c>
      <c r="C3282" t="s">
        <v>709</v>
      </c>
      <c r="D3282" t="s">
        <v>10197</v>
      </c>
      <c r="E3282" t="s">
        <v>15</v>
      </c>
      <c r="F3282" t="s">
        <v>15974</v>
      </c>
      <c r="G3282" t="s">
        <v>18430</v>
      </c>
      <c r="H3282" t="s">
        <v>1112</v>
      </c>
      <c r="I3282" t="s">
        <v>1108</v>
      </c>
      <c r="J3282" t="s">
        <v>16910</v>
      </c>
      <c r="K3282" t="s">
        <v>16911</v>
      </c>
      <c r="L3282" t="s">
        <v>21</v>
      </c>
      <c r="M3282" t="s">
        <v>19177</v>
      </c>
      <c r="N3282" t="s">
        <v>714</v>
      </c>
      <c r="O3282" t="s">
        <v>10263</v>
      </c>
      <c r="P3282" t="s">
        <v>12</v>
      </c>
    </row>
    <row r="3283">
      <c r="A3283">
        <f>HYPERLINK("http://bombeiros.sp.gov.br/hidrantes/03individual/1927.html","1927")</f>
      </c>
      <c r="B3283" t="s">
        <v>623</v>
      </c>
      <c r="C3283" t="s">
        <v>709</v>
      </c>
      <c r="D3283" t="s">
        <v>10223</v>
      </c>
      <c r="E3283" t="s">
        <v>64</v>
      </c>
      <c r="F3283" t="s">
        <v>10224</v>
      </c>
      <c r="G3283" t="s">
        <v>18075</v>
      </c>
      <c r="H3283" t="s">
        <v>1107</v>
      </c>
      <c r="I3283" t="s">
        <v>1108</v>
      </c>
      <c r="J3283" t="s">
        <v>10225</v>
      </c>
      <c r="K3283" t="s">
        <v>10226</v>
      </c>
      <c r="L3283" t="s">
        <v>36</v>
      </c>
      <c r="M3283" t="s">
        <v>19177</v>
      </c>
      <c r="N3283" t="s">
        <v>714</v>
      </c>
      <c r="O3283" t="s">
        <v>10263</v>
      </c>
      <c r="P3283" t="s">
        <v>12</v>
      </c>
    </row>
    <row r="3284">
      <c r="A3284">
        <f>HYPERLINK("http://bombeiros.sp.gov.br/hidrantes/03individual/1938.html","1938")</f>
      </c>
      <c r="B3284" t="s">
        <v>623</v>
      </c>
      <c r="C3284" t="s">
        <v>709</v>
      </c>
      <c r="D3284" t="s">
        <v>10223</v>
      </c>
      <c r="E3284" t="s">
        <v>64</v>
      </c>
      <c r="F3284" t="s">
        <v>10227</v>
      </c>
      <c r="G3284" t="s">
        <v>18075</v>
      </c>
      <c r="H3284" t="s">
        <v>1121</v>
      </c>
      <c r="I3284" t="s">
        <v>1117</v>
      </c>
      <c r="J3284" t="s">
        <v>15852</v>
      </c>
      <c r="K3284" t="s">
        <v>15853</v>
      </c>
      <c r="L3284" t="s">
        <v>21</v>
      </c>
      <c r="M3284" t="s">
        <v>19177</v>
      </c>
      <c r="N3284" t="s">
        <v>714</v>
      </c>
      <c r="O3284" t="s">
        <v>10263</v>
      </c>
      <c r="P3284" t="s">
        <v>12</v>
      </c>
    </row>
    <row r="3285">
      <c r="A3285">
        <f>HYPERLINK("http://bombeiros.sp.gov.br/hidrantes/03individual/2228.html","2228")</f>
      </c>
      <c r="B3285" t="s">
        <v>623</v>
      </c>
      <c r="C3285" t="s">
        <v>709</v>
      </c>
      <c r="D3285" t="s">
        <v>10223</v>
      </c>
      <c r="E3285" t="s">
        <v>64</v>
      </c>
      <c r="F3285" t="s">
        <v>10230</v>
      </c>
      <c r="G3285" t="s">
        <v>18050</v>
      </c>
      <c r="H3285" t="s">
        <v>1112</v>
      </c>
      <c r="I3285" t="s">
        <v>1108</v>
      </c>
      <c r="J3285" t="s">
        <v>10231</v>
      </c>
      <c r="K3285" t="s">
        <v>10232</v>
      </c>
      <c r="L3285" t="s">
        <v>36</v>
      </c>
      <c r="M3285" t="s">
        <v>19177</v>
      </c>
      <c r="N3285" t="s">
        <v>714</v>
      </c>
      <c r="O3285" t="s">
        <v>10263</v>
      </c>
      <c r="P3285" t="s">
        <v>12</v>
      </c>
    </row>
    <row r="3286">
      <c r="A3286">
        <f>HYPERLINK("http://bombeiros.sp.gov.br/hidrantes/03individual/2733.html","2733")</f>
      </c>
      <c r="B3286" t="s">
        <v>623</v>
      </c>
      <c r="C3286" t="s">
        <v>709</v>
      </c>
      <c r="D3286" t="s">
        <v>10223</v>
      </c>
      <c r="E3286" t="s">
        <v>64</v>
      </c>
      <c r="F3286" t="s">
        <v>10233</v>
      </c>
      <c r="G3286" t="s">
        <v>18075</v>
      </c>
      <c r="H3286" t="s">
        <v>1121</v>
      </c>
      <c r="I3286" t="s">
        <v>1117</v>
      </c>
      <c r="J3286" t="s">
        <v>10234</v>
      </c>
      <c r="K3286" t="s">
        <v>10235</v>
      </c>
      <c r="L3286" t="s">
        <v>36</v>
      </c>
      <c r="M3286" t="s">
        <v>19177</v>
      </c>
      <c r="N3286" t="s">
        <v>714</v>
      </c>
      <c r="O3286" t="s">
        <v>10263</v>
      </c>
      <c r="P3286" t="s">
        <v>12</v>
      </c>
    </row>
    <row r="3287">
      <c r="A3287">
        <f>HYPERLINK("http://bombeiros.sp.gov.br/hidrantes/03individual/4276.html","4276")</f>
      </c>
      <c r="B3287" t="s">
        <v>623</v>
      </c>
      <c r="C3287" t="s">
        <v>709</v>
      </c>
      <c r="D3287" t="s">
        <v>10223</v>
      </c>
      <c r="E3287" t="s">
        <v>64</v>
      </c>
      <c r="F3287" t="s">
        <v>10236</v>
      </c>
      <c r="G3287" t="s">
        <v>18050</v>
      </c>
      <c r="H3287" t="s">
        <v>1121</v>
      </c>
      <c r="I3287" t="s">
        <v>1117</v>
      </c>
      <c r="J3287" t="s">
        <v>10237</v>
      </c>
      <c r="K3287" t="s">
        <v>10238</v>
      </c>
      <c r="L3287" t="s">
        <v>36</v>
      </c>
      <c r="M3287" t="s">
        <v>19177</v>
      </c>
      <c r="N3287" t="s">
        <v>714</v>
      </c>
      <c r="O3287" t="s">
        <v>10263</v>
      </c>
      <c r="P3287" t="s">
        <v>12</v>
      </c>
    </row>
    <row r="3288">
      <c r="A3288">
        <f>HYPERLINK("http://bombeiros.sp.gov.br/hidrantes/03individual/100.html","100")</f>
      </c>
      <c r="B3288" t="s">
        <v>623</v>
      </c>
      <c r="C3288" t="s">
        <v>709</v>
      </c>
      <c r="D3288" t="s">
        <v>10223</v>
      </c>
      <c r="E3288" t="s">
        <v>15</v>
      </c>
      <c r="F3288" t="s">
        <v>10239</v>
      </c>
      <c r="G3288" t="s">
        <v>18075</v>
      </c>
      <c r="H3288" t="s">
        <v>1107</v>
      </c>
      <c r="I3288" t="s">
        <v>1108</v>
      </c>
      <c r="J3288" t="s">
        <v>10240</v>
      </c>
      <c r="K3288" t="s">
        <v>10241</v>
      </c>
      <c r="L3288" t="s">
        <v>21</v>
      </c>
      <c r="M3288" t="s">
        <v>19177</v>
      </c>
      <c r="N3288" t="s">
        <v>714</v>
      </c>
      <c r="O3288" t="s">
        <v>10263</v>
      </c>
      <c r="P3288" t="s">
        <v>12</v>
      </c>
    </row>
    <row r="3289">
      <c r="A3289">
        <f>HYPERLINK("http://bombeiros.sp.gov.br/hidrantes/03individual/1932.html","1932")</f>
      </c>
      <c r="B3289" t="s">
        <v>623</v>
      </c>
      <c r="C3289" t="s">
        <v>709</v>
      </c>
      <c r="D3289" t="s">
        <v>10223</v>
      </c>
      <c r="E3289" t="s">
        <v>15</v>
      </c>
      <c r="F3289" t="s">
        <v>10242</v>
      </c>
      <c r="G3289" t="s">
        <v>18123</v>
      </c>
      <c r="H3289" t="s">
        <v>1112</v>
      </c>
      <c r="I3289" t="s">
        <v>1108</v>
      </c>
      <c r="J3289" t="s">
        <v>10243</v>
      </c>
      <c r="K3289" t="s">
        <v>10244</v>
      </c>
      <c r="L3289" t="s">
        <v>21</v>
      </c>
      <c r="M3289" t="s">
        <v>19177</v>
      </c>
      <c r="N3289" t="s">
        <v>714</v>
      </c>
      <c r="O3289" t="s">
        <v>10263</v>
      </c>
      <c r="P3289" t="s">
        <v>12</v>
      </c>
    </row>
    <row r="3290">
      <c r="A3290">
        <f>HYPERLINK("http://bombeiros.sp.gov.br/hidrantes/03individual/1940.html","1940")</f>
      </c>
      <c r="B3290" t="s">
        <v>623</v>
      </c>
      <c r="C3290" t="s">
        <v>709</v>
      </c>
      <c r="D3290" t="s">
        <v>10223</v>
      </c>
      <c r="E3290" t="s">
        <v>15</v>
      </c>
      <c r="F3290" t="s">
        <v>10245</v>
      </c>
      <c r="G3290" t="s">
        <v>18064</v>
      </c>
      <c r="H3290" t="s">
        <v>1121</v>
      </c>
      <c r="I3290" t="s">
        <v>1117</v>
      </c>
      <c r="J3290" t="s">
        <v>10246</v>
      </c>
      <c r="K3290" t="s">
        <v>10247</v>
      </c>
      <c r="L3290" t="s">
        <v>21</v>
      </c>
      <c r="M3290" t="s">
        <v>19177</v>
      </c>
      <c r="N3290" t="s">
        <v>714</v>
      </c>
      <c r="O3290" t="s">
        <v>10263</v>
      </c>
      <c r="P3290" t="s">
        <v>12</v>
      </c>
    </row>
    <row r="3291">
      <c r="A3291">
        <f>HYPERLINK("http://bombeiros.sp.gov.br/hidrantes/03individual/2316.html","2316")</f>
      </c>
      <c r="B3291" t="s">
        <v>623</v>
      </c>
      <c r="C3291" t="s">
        <v>709</v>
      </c>
      <c r="D3291" t="s">
        <v>10223</v>
      </c>
      <c r="E3291" t="s">
        <v>15</v>
      </c>
      <c r="F3291" t="s">
        <v>10248</v>
      </c>
      <c r="G3291" t="s">
        <v>18075</v>
      </c>
      <c r="H3291" t="s">
        <v>1121</v>
      </c>
      <c r="I3291" t="s">
        <v>1117</v>
      </c>
      <c r="J3291" t="s">
        <v>10249</v>
      </c>
      <c r="K3291" t="s">
        <v>10250</v>
      </c>
      <c r="L3291" t="s">
        <v>21</v>
      </c>
      <c r="M3291" t="s">
        <v>19177</v>
      </c>
      <c r="N3291" t="s">
        <v>714</v>
      </c>
      <c r="O3291" t="s">
        <v>10263</v>
      </c>
      <c r="P3291" t="s">
        <v>12</v>
      </c>
    </row>
    <row r="3292">
      <c r="A3292">
        <f>HYPERLINK("http://bombeiros.sp.gov.br/hidrantes/03individual/2450.html","2450")</f>
      </c>
      <c r="B3292" t="s">
        <v>623</v>
      </c>
      <c r="C3292" t="s">
        <v>709</v>
      </c>
      <c r="D3292" t="s">
        <v>10223</v>
      </c>
      <c r="E3292" t="s">
        <v>15</v>
      </c>
      <c r="F3292" t="s">
        <v>10251</v>
      </c>
      <c r="G3292" t="s">
        <v>18123</v>
      </c>
      <c r="H3292" t="s">
        <v>1112</v>
      </c>
      <c r="I3292" t="s">
        <v>1108</v>
      </c>
      <c r="J3292" t="s">
        <v>10252</v>
      </c>
      <c r="K3292" t="s">
        <v>10253</v>
      </c>
      <c r="L3292" t="s">
        <v>21</v>
      </c>
      <c r="M3292" t="s">
        <v>19177</v>
      </c>
      <c r="N3292" t="s">
        <v>714</v>
      </c>
      <c r="O3292" t="s">
        <v>10263</v>
      </c>
      <c r="P3292" t="s">
        <v>12</v>
      </c>
    </row>
    <row r="3293">
      <c r="A3293">
        <f>HYPERLINK("http://bombeiros.sp.gov.br/hidrantes/03individual/2503.html","2503")</f>
      </c>
      <c r="B3293" t="s">
        <v>623</v>
      </c>
      <c r="C3293" t="s">
        <v>709</v>
      </c>
      <c r="D3293" t="s">
        <v>10223</v>
      </c>
      <c r="E3293" t="s">
        <v>15</v>
      </c>
      <c r="F3293" t="s">
        <v>10254</v>
      </c>
      <c r="G3293" t="s">
        <v>18193</v>
      </c>
      <c r="H3293" t="s">
        <v>1112</v>
      </c>
      <c r="I3293" t="s">
        <v>1108</v>
      </c>
      <c r="J3293" t="s">
        <v>10255</v>
      </c>
      <c r="K3293" t="s">
        <v>10256</v>
      </c>
      <c r="L3293" t="s">
        <v>21</v>
      </c>
      <c r="M3293" t="s">
        <v>19177</v>
      </c>
      <c r="N3293" t="s">
        <v>714</v>
      </c>
      <c r="O3293" t="s">
        <v>10263</v>
      </c>
      <c r="P3293" t="s">
        <v>12</v>
      </c>
    </row>
    <row r="3294">
      <c r="A3294">
        <f>HYPERLINK("http://bombeiros.sp.gov.br/hidrantes/03individual/5639.html","5639")</f>
      </c>
      <c r="B3294" t="s">
        <v>623</v>
      </c>
      <c r="C3294" t="s">
        <v>709</v>
      </c>
      <c r="D3294" t="s">
        <v>10223</v>
      </c>
      <c r="E3294" t="s">
        <v>15</v>
      </c>
      <c r="F3294" t="s">
        <v>10257</v>
      </c>
      <c r="G3294" t="s">
        <v>18262</v>
      </c>
      <c r="H3294" t="s">
        <v>1121</v>
      </c>
      <c r="I3294" t="s">
        <v>1117</v>
      </c>
      <c r="J3294" t="s">
        <v>10258</v>
      </c>
      <c r="K3294" t="s">
        <v>10259</v>
      </c>
      <c r="L3294" t="s">
        <v>21</v>
      </c>
      <c r="M3294" t="s">
        <v>19177</v>
      </c>
      <c r="N3294" t="s">
        <v>714</v>
      </c>
      <c r="O3294" t="s">
        <v>10263</v>
      </c>
      <c r="P3294" t="s">
        <v>12</v>
      </c>
    </row>
    <row r="3295">
      <c r="A3295">
        <f>HYPERLINK("http://bombeiros.sp.gov.br/hidrantes/03individual/17745.html","17745")</f>
      </c>
      <c r="B3295" t="s">
        <v>623</v>
      </c>
      <c r="C3295" t="s">
        <v>709</v>
      </c>
      <c r="D3295" t="s">
        <v>10223</v>
      </c>
      <c r="E3295" t="s">
        <v>15</v>
      </c>
      <c r="F3295" t="s">
        <v>10260</v>
      </c>
      <c r="G3295" t="s">
        <v>18075</v>
      </c>
      <c r="H3295" t="s">
        <v>1121</v>
      </c>
      <c r="I3295" t="s">
        <v>1117</v>
      </c>
      <c r="J3295" t="s">
        <v>10261</v>
      </c>
      <c r="K3295" t="s">
        <v>10262</v>
      </c>
      <c r="L3295" t="s">
        <v>21</v>
      </c>
      <c r="M3295" t="s">
        <v>19177</v>
      </c>
      <c r="N3295" t="s">
        <v>714</v>
      </c>
      <c r="O3295" t="s">
        <v>10263</v>
      </c>
      <c r="P3295" t="s">
        <v>12</v>
      </c>
    </row>
    <row r="3296">
      <c r="A3296">
        <f>HYPERLINK("http://bombeiros.sp.gov.br/hidrantes/03individual/1552.html","1552")</f>
      </c>
      <c r="B3296" t="s">
        <v>623</v>
      </c>
      <c r="C3296" t="s">
        <v>709</v>
      </c>
      <c r="D3296" t="s">
        <v>10263</v>
      </c>
      <c r="E3296" t="s">
        <v>64</v>
      </c>
      <c r="F3296" t="s">
        <v>10264</v>
      </c>
      <c r="G3296" t="s">
        <v>17945</v>
      </c>
      <c r="H3296" t="s">
        <v>1112</v>
      </c>
      <c r="I3296" t="s">
        <v>1108</v>
      </c>
      <c r="J3296" t="s">
        <v>10265</v>
      </c>
      <c r="K3296" t="s">
        <v>10266</v>
      </c>
      <c r="L3296" t="s">
        <v>36</v>
      </c>
      <c r="M3296" t="s">
        <v>19177</v>
      </c>
      <c r="N3296" t="s">
        <v>714</v>
      </c>
      <c r="O3296" t="s">
        <v>10263</v>
      </c>
      <c r="P3296" t="s">
        <v>12</v>
      </c>
    </row>
    <row r="3297">
      <c r="A3297">
        <f>HYPERLINK("http://bombeiros.sp.gov.br/hidrantes/03individual/1845.html","1845")</f>
      </c>
      <c r="B3297" t="s">
        <v>623</v>
      </c>
      <c r="C3297" t="s">
        <v>709</v>
      </c>
      <c r="D3297" t="s">
        <v>10263</v>
      </c>
      <c r="E3297" t="s">
        <v>64</v>
      </c>
      <c r="F3297" t="s">
        <v>10267</v>
      </c>
      <c r="G3297" t="s">
        <v>18151</v>
      </c>
      <c r="H3297" t="s">
        <v>1112</v>
      </c>
      <c r="I3297" t="s">
        <v>1108</v>
      </c>
      <c r="J3297" t="s">
        <v>10268</v>
      </c>
      <c r="K3297" t="s">
        <v>10269</v>
      </c>
      <c r="L3297" t="s">
        <v>36</v>
      </c>
      <c r="M3297" t="s">
        <v>19177</v>
      </c>
      <c r="N3297" t="s">
        <v>714</v>
      </c>
      <c r="O3297" t="s">
        <v>10263</v>
      </c>
      <c r="P3297" t="s">
        <v>12</v>
      </c>
    </row>
    <row r="3298">
      <c r="A3298">
        <f>HYPERLINK("http://bombeiros.sp.gov.br/hidrantes/03individual/2095.html","2095")</f>
      </c>
      <c r="B3298" t="s">
        <v>623</v>
      </c>
      <c r="C3298" t="s">
        <v>709</v>
      </c>
      <c r="D3298" t="s">
        <v>10263</v>
      </c>
      <c r="E3298" t="s">
        <v>64</v>
      </c>
      <c r="F3298" t="s">
        <v>10270</v>
      </c>
      <c r="G3298" t="s">
        <v>18065</v>
      </c>
      <c r="H3298" t="s">
        <v>1121</v>
      </c>
      <c r="I3298" t="s">
        <v>1117</v>
      </c>
      <c r="J3298" t="s">
        <v>10271</v>
      </c>
      <c r="K3298" t="s">
        <v>10272</v>
      </c>
      <c r="L3298" t="s">
        <v>36</v>
      </c>
      <c r="M3298" t="s">
        <v>19177</v>
      </c>
      <c r="N3298" t="s">
        <v>714</v>
      </c>
      <c r="O3298" t="s">
        <v>10263</v>
      </c>
      <c r="P3298" t="s">
        <v>12</v>
      </c>
    </row>
    <row r="3299">
      <c r="A3299">
        <f>HYPERLINK("http://bombeiros.sp.gov.br/hidrantes/03individual/2189.html","2189")</f>
      </c>
      <c r="B3299" t="s">
        <v>623</v>
      </c>
      <c r="C3299" t="s">
        <v>709</v>
      </c>
      <c r="D3299" t="s">
        <v>10263</v>
      </c>
      <c r="E3299" t="s">
        <v>64</v>
      </c>
      <c r="F3299" t="s">
        <v>10273</v>
      </c>
      <c r="G3299" t="s">
        <v>17924</v>
      </c>
      <c r="H3299" t="s">
        <v>1121</v>
      </c>
      <c r="I3299" t="s">
        <v>1117</v>
      </c>
      <c r="J3299" t="s">
        <v>10274</v>
      </c>
      <c r="K3299" t="s">
        <v>10275</v>
      </c>
      <c r="L3299" t="s">
        <v>36</v>
      </c>
      <c r="M3299" t="s">
        <v>19177</v>
      </c>
      <c r="N3299" t="s">
        <v>714</v>
      </c>
      <c r="O3299" t="s">
        <v>10263</v>
      </c>
      <c r="P3299" t="s">
        <v>12</v>
      </c>
    </row>
    <row r="3300">
      <c r="A3300">
        <f>HYPERLINK("http://bombeiros.sp.gov.br/hidrantes/03individual/2276.html","2276")</f>
      </c>
      <c r="B3300" t="s">
        <v>623</v>
      </c>
      <c r="C3300" t="s">
        <v>709</v>
      </c>
      <c r="D3300" t="s">
        <v>10263</v>
      </c>
      <c r="E3300" t="s">
        <v>64</v>
      </c>
      <c r="F3300" t="s">
        <v>10276</v>
      </c>
      <c r="G3300" t="s">
        <v>18065</v>
      </c>
      <c r="H3300" t="s">
        <v>1112</v>
      </c>
      <c r="I3300" t="s">
        <v>1108</v>
      </c>
      <c r="J3300" t="s">
        <v>10277</v>
      </c>
      <c r="K3300" t="s">
        <v>10278</v>
      </c>
      <c r="L3300" t="s">
        <v>21</v>
      </c>
      <c r="M3300" t="s">
        <v>19177</v>
      </c>
      <c r="N3300" t="s">
        <v>714</v>
      </c>
      <c r="O3300" t="s">
        <v>10263</v>
      </c>
      <c r="P3300" t="s">
        <v>12</v>
      </c>
    </row>
    <row r="3301">
      <c r="A3301">
        <f>HYPERLINK("http://bombeiros.sp.gov.br/hidrantes/03individual/32.html","32")</f>
      </c>
      <c r="B3301" t="s">
        <v>623</v>
      </c>
      <c r="C3301" t="s">
        <v>709</v>
      </c>
      <c r="D3301" t="s">
        <v>10263</v>
      </c>
      <c r="E3301" t="s">
        <v>15</v>
      </c>
      <c r="F3301" t="s">
        <v>10279</v>
      </c>
      <c r="G3301" t="s">
        <v>18118</v>
      </c>
      <c r="H3301" t="s">
        <v>1112</v>
      </c>
      <c r="I3301" t="s">
        <v>1108</v>
      </c>
      <c r="J3301" t="s">
        <v>10280</v>
      </c>
      <c r="K3301" t="s">
        <v>10281</v>
      </c>
      <c r="L3301" t="s">
        <v>21</v>
      </c>
      <c r="M3301" t="s">
        <v>19177</v>
      </c>
      <c r="N3301" t="s">
        <v>714</v>
      </c>
      <c r="O3301" t="s">
        <v>10263</v>
      </c>
      <c r="P3301" t="s">
        <v>12</v>
      </c>
    </row>
    <row r="3302">
      <c r="A3302">
        <f>HYPERLINK("http://bombeiros.sp.gov.br/hidrantes/03individual/94.html","94")</f>
      </c>
      <c r="B3302" t="s">
        <v>623</v>
      </c>
      <c r="C3302" t="s">
        <v>709</v>
      </c>
      <c r="D3302" t="s">
        <v>10263</v>
      </c>
      <c r="E3302" t="s">
        <v>15</v>
      </c>
      <c r="F3302" t="s">
        <v>10282</v>
      </c>
      <c r="G3302" t="s">
        <v>18097</v>
      </c>
      <c r="H3302" t="s">
        <v>1121</v>
      </c>
      <c r="I3302" t="s">
        <v>1108</v>
      </c>
      <c r="J3302" t="s">
        <v>10283</v>
      </c>
      <c r="K3302" t="s">
        <v>10284</v>
      </c>
      <c r="L3302" t="s">
        <v>36</v>
      </c>
      <c r="M3302" t="s">
        <v>19177</v>
      </c>
      <c r="N3302" t="s">
        <v>714</v>
      </c>
      <c r="O3302" t="s">
        <v>10263</v>
      </c>
      <c r="P3302" t="s">
        <v>12</v>
      </c>
    </row>
    <row r="3303">
      <c r="A3303">
        <f>HYPERLINK("http://bombeiros.sp.gov.br/hidrantes/03individual/1773.html","1773")</f>
      </c>
      <c r="B3303" t="s">
        <v>623</v>
      </c>
      <c r="C3303" t="s">
        <v>709</v>
      </c>
      <c r="D3303" t="s">
        <v>10263</v>
      </c>
      <c r="E3303" t="s">
        <v>15</v>
      </c>
      <c r="F3303" t="s">
        <v>10285</v>
      </c>
      <c r="G3303" t="s">
        <v>17945</v>
      </c>
      <c r="H3303" t="s">
        <v>1121</v>
      </c>
      <c r="I3303" t="s">
        <v>1117</v>
      </c>
      <c r="J3303" t="s">
        <v>10286</v>
      </c>
      <c r="K3303" t="s">
        <v>10287</v>
      </c>
      <c r="L3303" t="s">
        <v>21</v>
      </c>
      <c r="M3303" t="s">
        <v>19177</v>
      </c>
      <c r="N3303" t="s">
        <v>714</v>
      </c>
      <c r="O3303" t="s">
        <v>10263</v>
      </c>
      <c r="P3303" t="s">
        <v>12</v>
      </c>
    </row>
    <row r="3304">
      <c r="A3304">
        <f>HYPERLINK("http://bombeiros.sp.gov.br/hidrantes/03individual/1785.html","1785")</f>
      </c>
      <c r="B3304" t="s">
        <v>623</v>
      </c>
      <c r="C3304" t="s">
        <v>709</v>
      </c>
      <c r="D3304" t="s">
        <v>10263</v>
      </c>
      <c r="E3304" t="s">
        <v>15</v>
      </c>
      <c r="F3304" t="s">
        <v>10288</v>
      </c>
      <c r="G3304" t="s">
        <v>17945</v>
      </c>
      <c r="H3304" t="s">
        <v>1112</v>
      </c>
      <c r="I3304" t="s">
        <v>1108</v>
      </c>
      <c r="J3304" t="s">
        <v>10289</v>
      </c>
      <c r="K3304" t="s">
        <v>10290</v>
      </c>
      <c r="L3304" t="s">
        <v>36</v>
      </c>
      <c r="M3304" t="s">
        <v>19177</v>
      </c>
      <c r="N3304" t="s">
        <v>714</v>
      </c>
      <c r="O3304" t="s">
        <v>10263</v>
      </c>
      <c r="P3304" t="s">
        <v>12</v>
      </c>
    </row>
    <row r="3305">
      <c r="A3305">
        <f>HYPERLINK("http://bombeiros.sp.gov.br/hidrantes/03individual/1839.html","1839")</f>
      </c>
      <c r="B3305" t="s">
        <v>623</v>
      </c>
      <c r="C3305" t="s">
        <v>709</v>
      </c>
      <c r="D3305" t="s">
        <v>10263</v>
      </c>
      <c r="E3305" t="s">
        <v>15</v>
      </c>
      <c r="F3305" t="s">
        <v>10291</v>
      </c>
      <c r="G3305" t="s">
        <v>18430</v>
      </c>
      <c r="H3305" t="s">
        <v>1112</v>
      </c>
      <c r="I3305" t="s">
        <v>1108</v>
      </c>
      <c r="J3305" t="s">
        <v>10292</v>
      </c>
      <c r="K3305" t="s">
        <v>10293</v>
      </c>
      <c r="L3305" t="s">
        <v>21</v>
      </c>
      <c r="M3305" t="s">
        <v>19177</v>
      </c>
      <c r="N3305" t="s">
        <v>714</v>
      </c>
      <c r="O3305" t="s">
        <v>10263</v>
      </c>
      <c r="P3305" t="s">
        <v>12</v>
      </c>
    </row>
    <row r="3306">
      <c r="A3306">
        <f>HYPERLINK("http://bombeiros.sp.gov.br/hidrantes/03individual/1842.html","1842")</f>
      </c>
      <c r="B3306" t="s">
        <v>623</v>
      </c>
      <c r="C3306" t="s">
        <v>709</v>
      </c>
      <c r="D3306" t="s">
        <v>10263</v>
      </c>
      <c r="E3306" t="s">
        <v>15</v>
      </c>
      <c r="F3306" t="s">
        <v>10294</v>
      </c>
      <c r="G3306" t="s">
        <v>18151</v>
      </c>
      <c r="H3306" t="s">
        <v>1121</v>
      </c>
      <c r="I3306" t="s">
        <v>1117</v>
      </c>
      <c r="J3306" t="s">
        <v>17403</v>
      </c>
      <c r="K3306" t="s">
        <v>17404</v>
      </c>
      <c r="L3306" t="s">
        <v>21</v>
      </c>
      <c r="M3306" t="s">
        <v>19177</v>
      </c>
      <c r="N3306" t="s">
        <v>714</v>
      </c>
      <c r="O3306" t="s">
        <v>10263</v>
      </c>
      <c r="P3306" t="s">
        <v>12</v>
      </c>
    </row>
    <row r="3307">
      <c r="A3307">
        <f>HYPERLINK("http://bombeiros.sp.gov.br/hidrantes/03individual/1859.html","1859")</f>
      </c>
      <c r="B3307" t="s">
        <v>623</v>
      </c>
      <c r="C3307" t="s">
        <v>709</v>
      </c>
      <c r="D3307" t="s">
        <v>10263</v>
      </c>
      <c r="E3307" t="s">
        <v>15</v>
      </c>
      <c r="F3307" t="s">
        <v>10297</v>
      </c>
      <c r="G3307" t="s">
        <v>18151</v>
      </c>
      <c r="H3307" t="s">
        <v>1112</v>
      </c>
      <c r="I3307" t="s">
        <v>1108</v>
      </c>
      <c r="J3307" t="s">
        <v>10298</v>
      </c>
      <c r="K3307" t="s">
        <v>10299</v>
      </c>
      <c r="L3307" t="s">
        <v>21</v>
      </c>
      <c r="M3307" t="s">
        <v>19177</v>
      </c>
      <c r="N3307" t="s">
        <v>714</v>
      </c>
      <c r="O3307" t="s">
        <v>10263</v>
      </c>
      <c r="P3307" t="s">
        <v>12</v>
      </c>
    </row>
    <row r="3308">
      <c r="A3308">
        <f>HYPERLINK("http://bombeiros.sp.gov.br/hidrantes/03individual/1861.html","1861")</f>
      </c>
      <c r="B3308" t="s">
        <v>623</v>
      </c>
      <c r="C3308" t="s">
        <v>709</v>
      </c>
      <c r="D3308" t="s">
        <v>10263</v>
      </c>
      <c r="E3308" t="s">
        <v>15</v>
      </c>
      <c r="F3308" t="s">
        <v>10300</v>
      </c>
      <c r="G3308" t="s">
        <v>18151</v>
      </c>
      <c r="H3308" t="s">
        <v>1112</v>
      </c>
      <c r="I3308" t="s">
        <v>1108</v>
      </c>
      <c r="J3308" t="s">
        <v>10301</v>
      </c>
      <c r="K3308" t="s">
        <v>10302</v>
      </c>
      <c r="L3308" t="s">
        <v>21</v>
      </c>
      <c r="M3308" t="s">
        <v>19177</v>
      </c>
      <c r="N3308" t="s">
        <v>714</v>
      </c>
      <c r="O3308" t="s">
        <v>10263</v>
      </c>
      <c r="P3308" t="s">
        <v>12</v>
      </c>
    </row>
    <row r="3309">
      <c r="A3309">
        <f>HYPERLINK("http://bombeiros.sp.gov.br/hidrantes/03individual/2093.html","2093")</f>
      </c>
      <c r="B3309" t="s">
        <v>623</v>
      </c>
      <c r="C3309" t="s">
        <v>709</v>
      </c>
      <c r="D3309" t="s">
        <v>10263</v>
      </c>
      <c r="E3309" t="s">
        <v>15</v>
      </c>
      <c r="F3309" t="s">
        <v>10303</v>
      </c>
      <c r="G3309" t="s">
        <v>18065</v>
      </c>
      <c r="H3309" t="s">
        <v>1112</v>
      </c>
      <c r="I3309" t="s">
        <v>1108</v>
      </c>
      <c r="J3309" t="s">
        <v>10304</v>
      </c>
      <c r="K3309" t="s">
        <v>10305</v>
      </c>
      <c r="L3309" t="s">
        <v>21</v>
      </c>
      <c r="M3309" t="s">
        <v>19177</v>
      </c>
      <c r="N3309" t="s">
        <v>714</v>
      </c>
      <c r="O3309" t="s">
        <v>10263</v>
      </c>
      <c r="P3309" t="s">
        <v>12</v>
      </c>
    </row>
    <row r="3310">
      <c r="A3310">
        <f>HYPERLINK("http://bombeiros.sp.gov.br/hidrantes/03individual/2105.html","2105")</f>
      </c>
      <c r="B3310" t="s">
        <v>623</v>
      </c>
      <c r="C3310" t="s">
        <v>709</v>
      </c>
      <c r="D3310" t="s">
        <v>10263</v>
      </c>
      <c r="E3310" t="s">
        <v>15</v>
      </c>
      <c r="F3310" t="s">
        <v>10306</v>
      </c>
      <c r="G3310" t="s">
        <v>18065</v>
      </c>
      <c r="H3310" t="s">
        <v>1112</v>
      </c>
      <c r="I3310" t="s">
        <v>1108</v>
      </c>
      <c r="J3310" t="s">
        <v>10307</v>
      </c>
      <c r="K3310" t="s">
        <v>10308</v>
      </c>
      <c r="L3310" t="s">
        <v>21</v>
      </c>
      <c r="M3310" t="s">
        <v>19177</v>
      </c>
      <c r="N3310" t="s">
        <v>714</v>
      </c>
      <c r="O3310" t="s">
        <v>10263</v>
      </c>
      <c r="P3310" t="s">
        <v>12</v>
      </c>
    </row>
    <row r="3311">
      <c r="A3311">
        <f>HYPERLINK("http://bombeiros.sp.gov.br/hidrantes/03individual/2187.html","2187")</f>
      </c>
      <c r="B3311" t="s">
        <v>623</v>
      </c>
      <c r="C3311" t="s">
        <v>709</v>
      </c>
      <c r="D3311" t="s">
        <v>10263</v>
      </c>
      <c r="E3311" t="s">
        <v>15</v>
      </c>
      <c r="F3311" t="s">
        <v>10309</v>
      </c>
      <c r="G3311" t="s">
        <v>18065</v>
      </c>
      <c r="H3311" t="s">
        <v>1112</v>
      </c>
      <c r="I3311" t="s">
        <v>1108</v>
      </c>
      <c r="J3311" t="s">
        <v>10310</v>
      </c>
      <c r="K3311" t="s">
        <v>10311</v>
      </c>
      <c r="L3311" t="s">
        <v>21</v>
      </c>
      <c r="M3311" t="s">
        <v>19177</v>
      </c>
      <c r="N3311" t="s">
        <v>714</v>
      </c>
      <c r="O3311" t="s">
        <v>10263</v>
      </c>
      <c r="P3311" t="s">
        <v>12</v>
      </c>
    </row>
    <row r="3312">
      <c r="A3312">
        <f>HYPERLINK("http://bombeiros.sp.gov.br/hidrantes/03individual/2192.html","2192")</f>
      </c>
      <c r="B3312" t="s">
        <v>623</v>
      </c>
      <c r="C3312" t="s">
        <v>709</v>
      </c>
      <c r="D3312" t="s">
        <v>10263</v>
      </c>
      <c r="E3312" t="s">
        <v>15</v>
      </c>
      <c r="F3312" t="s">
        <v>10312</v>
      </c>
      <c r="G3312" t="s">
        <v>18151</v>
      </c>
      <c r="H3312" t="s">
        <v>1112</v>
      </c>
      <c r="I3312" t="s">
        <v>1108</v>
      </c>
      <c r="J3312" t="s">
        <v>10313</v>
      </c>
      <c r="K3312" t="s">
        <v>10314</v>
      </c>
      <c r="L3312" t="s">
        <v>21</v>
      </c>
      <c r="M3312" t="s">
        <v>19177</v>
      </c>
      <c r="N3312" t="s">
        <v>714</v>
      </c>
      <c r="O3312" t="s">
        <v>10263</v>
      </c>
      <c r="P3312" t="s">
        <v>12</v>
      </c>
    </row>
    <row r="3313">
      <c r="A3313">
        <f>HYPERLINK("http://bombeiros.sp.gov.br/hidrantes/03individual/2289.html","2289")</f>
      </c>
      <c r="B3313" t="s">
        <v>623</v>
      </c>
      <c r="C3313" t="s">
        <v>709</v>
      </c>
      <c r="D3313" t="s">
        <v>10263</v>
      </c>
      <c r="E3313" t="s">
        <v>15</v>
      </c>
      <c r="F3313" t="s">
        <v>10315</v>
      </c>
      <c r="G3313" t="s">
        <v>18065</v>
      </c>
      <c r="H3313" t="s">
        <v>1112</v>
      </c>
      <c r="I3313" t="s">
        <v>1108</v>
      </c>
      <c r="J3313" t="s">
        <v>10316</v>
      </c>
      <c r="K3313" t="s">
        <v>10317</v>
      </c>
      <c r="L3313" t="s">
        <v>21</v>
      </c>
      <c r="M3313" t="s">
        <v>19177</v>
      </c>
      <c r="N3313" t="s">
        <v>714</v>
      </c>
      <c r="O3313" t="s">
        <v>10263</v>
      </c>
      <c r="P3313" t="s">
        <v>12</v>
      </c>
    </row>
    <row r="3314">
      <c r="A3314">
        <f>HYPERLINK("http://bombeiros.sp.gov.br/hidrantes/03individual/2313.html","2313")</f>
      </c>
      <c r="B3314" t="s">
        <v>623</v>
      </c>
      <c r="C3314" t="s">
        <v>709</v>
      </c>
      <c r="D3314" t="s">
        <v>10263</v>
      </c>
      <c r="E3314" t="s">
        <v>15</v>
      </c>
      <c r="F3314" t="s">
        <v>10318</v>
      </c>
      <c r="G3314" t="s">
        <v>18193</v>
      </c>
      <c r="H3314" t="s">
        <v>1112</v>
      </c>
      <c r="I3314" t="s">
        <v>1108</v>
      </c>
      <c r="J3314" t="s">
        <v>10319</v>
      </c>
      <c r="K3314" t="s">
        <v>10320</v>
      </c>
      <c r="L3314" t="s">
        <v>36</v>
      </c>
      <c r="M3314" t="s">
        <v>19177</v>
      </c>
      <c r="N3314" t="s">
        <v>714</v>
      </c>
      <c r="O3314" t="s">
        <v>10263</v>
      </c>
      <c r="P3314" t="s">
        <v>12</v>
      </c>
    </row>
    <row r="3315">
      <c r="A3315">
        <f>HYPERLINK("http://bombeiros.sp.gov.br/hidrantes/03individual/17671.html","17671")</f>
      </c>
      <c r="B3315" t="s">
        <v>623</v>
      </c>
      <c r="C3315" t="s">
        <v>709</v>
      </c>
      <c r="D3315" t="s">
        <v>10263</v>
      </c>
      <c r="E3315" t="s">
        <v>15</v>
      </c>
      <c r="F3315" t="s">
        <v>10321</v>
      </c>
      <c r="G3315" t="s">
        <v>17948</v>
      </c>
      <c r="H3315" t="s">
        <v>1112</v>
      </c>
      <c r="I3315" t="s">
        <v>1108</v>
      </c>
      <c r="J3315" t="s">
        <v>10322</v>
      </c>
      <c r="K3315" t="s">
        <v>10323</v>
      </c>
      <c r="L3315" t="s">
        <v>21</v>
      </c>
      <c r="M3315" t="s">
        <v>19177</v>
      </c>
      <c r="N3315" t="s">
        <v>714</v>
      </c>
      <c r="O3315" t="s">
        <v>10263</v>
      </c>
      <c r="P3315" t="s">
        <v>12</v>
      </c>
    </row>
    <row r="3316">
      <c r="A3316">
        <f>HYPERLINK("http://bombeiros.sp.gov.br/hidrantes/03individual/27202.html","27202")</f>
      </c>
      <c r="B3316" t="s">
        <v>623</v>
      </c>
      <c r="C3316" t="s">
        <v>709</v>
      </c>
      <c r="D3316" t="s">
        <v>10263</v>
      </c>
      <c r="E3316" t="s">
        <v>15</v>
      </c>
      <c r="F3316" t="s">
        <v>16959</v>
      </c>
      <c r="G3316" t="s">
        <v>17924</v>
      </c>
      <c r="H3316" t="s">
        <v>1121</v>
      </c>
      <c r="I3316" t="s">
        <v>1117</v>
      </c>
      <c r="J3316" t="s">
        <v>16960</v>
      </c>
      <c r="K3316" t="s">
        <v>16961</v>
      </c>
      <c r="L3316" t="s">
        <v>21</v>
      </c>
      <c r="M3316" t="s">
        <v>19177</v>
      </c>
      <c r="N3316" t="s">
        <v>714</v>
      </c>
      <c r="O3316" t="s">
        <v>10263</v>
      </c>
      <c r="P3316" t="s">
        <v>12</v>
      </c>
    </row>
    <row r="3317">
      <c r="A3317">
        <f>HYPERLINK("http://bombeiros.sp.gov.br/hidrantes/03individual/27724.html","27724")</f>
      </c>
      <c r="B3317" t="s">
        <v>623</v>
      </c>
      <c r="C3317" t="s">
        <v>709</v>
      </c>
      <c r="D3317" t="s">
        <v>10263</v>
      </c>
      <c r="E3317" t="s">
        <v>15</v>
      </c>
      <c r="F3317" t="s">
        <v>17708</v>
      </c>
      <c r="G3317" t="s">
        <v>18430</v>
      </c>
      <c r="H3317" t="s">
        <v>1121</v>
      </c>
      <c r="I3317" t="s">
        <v>1117</v>
      </c>
      <c r="J3317" t="s">
        <v>17709</v>
      </c>
      <c r="K3317" t="s">
        <v>17710</v>
      </c>
      <c r="L3317" t="s">
        <v>21</v>
      </c>
      <c r="M3317" t="s">
        <v>19177</v>
      </c>
      <c r="N3317" t="s">
        <v>714</v>
      </c>
      <c r="O3317" t="s">
        <v>10263</v>
      </c>
      <c r="P3317" t="s">
        <v>12</v>
      </c>
    </row>
    <row r="3318">
      <c r="A3318">
        <f>HYPERLINK("http://bombeiros.sp.gov.br/hidrantes/03individual/27.html","27")</f>
      </c>
      <c r="B3318" t="s">
        <v>623</v>
      </c>
      <c r="C3318" t="s">
        <v>709</v>
      </c>
      <c r="D3318" t="s">
        <v>710</v>
      </c>
      <c r="E3318" t="s">
        <v>15</v>
      </c>
      <c r="F3318" t="s">
        <v>10324</v>
      </c>
      <c r="G3318" t="s">
        <v>17955</v>
      </c>
      <c r="H3318" t="s">
        <v>1112</v>
      </c>
      <c r="I3318" t="s">
        <v>1108</v>
      </c>
      <c r="J3318" t="s">
        <v>10325</v>
      </c>
      <c r="K3318" t="s">
        <v>10326</v>
      </c>
      <c r="L3318" t="s">
        <v>21</v>
      </c>
      <c r="M3318" t="s">
        <v>19177</v>
      </c>
      <c r="N3318" t="s">
        <v>714</v>
      </c>
      <c r="O3318" t="s">
        <v>10263</v>
      </c>
      <c r="P3318" t="s">
        <v>12</v>
      </c>
    </row>
    <row r="3319">
      <c r="A3319">
        <f>HYPERLINK("http://bombeiros.sp.gov.br/hidrantes/03individual/29.html","29")</f>
      </c>
      <c r="B3319" t="s">
        <v>623</v>
      </c>
      <c r="C3319" t="s">
        <v>709</v>
      </c>
      <c r="D3319" t="s">
        <v>710</v>
      </c>
      <c r="E3319" t="s">
        <v>15</v>
      </c>
      <c r="F3319" t="s">
        <v>10327</v>
      </c>
      <c r="G3319" t="s">
        <v>18118</v>
      </c>
      <c r="H3319" t="s">
        <v>1112</v>
      </c>
      <c r="I3319" t="s">
        <v>1108</v>
      </c>
      <c r="J3319" t="s">
        <v>10328</v>
      </c>
      <c r="K3319" t="s">
        <v>10329</v>
      </c>
      <c r="L3319" t="s">
        <v>21</v>
      </c>
      <c r="M3319" t="s">
        <v>19177</v>
      </c>
      <c r="N3319" t="s">
        <v>714</v>
      </c>
      <c r="O3319" t="s">
        <v>10263</v>
      </c>
      <c r="P3319" t="s">
        <v>12</v>
      </c>
    </row>
    <row r="3320">
      <c r="A3320">
        <f>HYPERLINK("http://bombeiros.sp.gov.br/hidrantes/03individual/99.html","99")</f>
      </c>
      <c r="B3320" t="s">
        <v>623</v>
      </c>
      <c r="C3320" t="s">
        <v>709</v>
      </c>
      <c r="D3320" t="s">
        <v>710</v>
      </c>
      <c r="E3320" t="s">
        <v>15</v>
      </c>
      <c r="F3320" t="s">
        <v>10330</v>
      </c>
      <c r="G3320" t="s">
        <v>18193</v>
      </c>
      <c r="H3320" t="s">
        <v>1112</v>
      </c>
      <c r="I3320" t="s">
        <v>1108</v>
      </c>
      <c r="J3320" t="s">
        <v>10331</v>
      </c>
      <c r="K3320" t="s">
        <v>10332</v>
      </c>
      <c r="L3320" t="s">
        <v>21</v>
      </c>
      <c r="M3320" t="s">
        <v>19177</v>
      </c>
      <c r="N3320" t="s">
        <v>714</v>
      </c>
      <c r="O3320" t="s">
        <v>10263</v>
      </c>
      <c r="P3320" t="s">
        <v>12</v>
      </c>
    </row>
    <row r="3321">
      <c r="A3321">
        <f>HYPERLINK("http://bombeiros.sp.gov.br/hidrantes/03individual/161.html","161")</f>
      </c>
      <c r="B3321" t="s">
        <v>623</v>
      </c>
      <c r="C3321" t="s">
        <v>709</v>
      </c>
      <c r="D3321" t="s">
        <v>710</v>
      </c>
      <c r="E3321" t="s">
        <v>15</v>
      </c>
      <c r="F3321" t="s">
        <v>10333</v>
      </c>
      <c r="G3321" t="s">
        <v>18152</v>
      </c>
      <c r="H3321" t="s">
        <v>1112</v>
      </c>
      <c r="I3321" t="s">
        <v>1108</v>
      </c>
      <c r="J3321" t="s">
        <v>10334</v>
      </c>
      <c r="K3321" t="s">
        <v>10335</v>
      </c>
      <c r="L3321" t="s">
        <v>21</v>
      </c>
      <c r="M3321" t="s">
        <v>19177</v>
      </c>
      <c r="N3321" t="s">
        <v>714</v>
      </c>
      <c r="O3321" t="s">
        <v>10263</v>
      </c>
      <c r="P3321" t="s">
        <v>12</v>
      </c>
    </row>
    <row r="3322">
      <c r="A3322">
        <f>HYPERLINK("http://bombeiros.sp.gov.br/hidrantes/03individual/2300.html","2300")</f>
      </c>
      <c r="B3322" t="s">
        <v>623</v>
      </c>
      <c r="C3322" t="s">
        <v>709</v>
      </c>
      <c r="D3322" t="s">
        <v>710</v>
      </c>
      <c r="E3322" t="s">
        <v>15</v>
      </c>
      <c r="F3322" t="s">
        <v>10339</v>
      </c>
      <c r="G3322" t="s">
        <v>18104</v>
      </c>
      <c r="H3322" t="s">
        <v>1107</v>
      </c>
      <c r="I3322" t="s">
        <v>1108</v>
      </c>
      <c r="J3322" t="s">
        <v>10340</v>
      </c>
      <c r="K3322" t="s">
        <v>10341</v>
      </c>
      <c r="L3322" t="s">
        <v>21</v>
      </c>
      <c r="M3322" t="s">
        <v>19177</v>
      </c>
      <c r="N3322" t="s">
        <v>714</v>
      </c>
      <c r="O3322" t="s">
        <v>10263</v>
      </c>
      <c r="P3322" t="s">
        <v>12</v>
      </c>
    </row>
    <row r="3323">
      <c r="A3323">
        <f>HYPERLINK("http://bombeiros.sp.gov.br/hidrantes/03individual/2336.html","2336")</f>
      </c>
      <c r="B3323" t="s">
        <v>623</v>
      </c>
      <c r="C3323" t="s">
        <v>709</v>
      </c>
      <c r="D3323" t="s">
        <v>710</v>
      </c>
      <c r="E3323" t="s">
        <v>15</v>
      </c>
      <c r="F3323" t="s">
        <v>10342</v>
      </c>
      <c r="G3323" t="s">
        <v>18169</v>
      </c>
      <c r="H3323" t="s">
        <v>1112</v>
      </c>
      <c r="I3323" t="s">
        <v>1108</v>
      </c>
      <c r="J3323" t="s">
        <v>10343</v>
      </c>
      <c r="K3323" t="s">
        <v>10344</v>
      </c>
      <c r="L3323" t="s">
        <v>21</v>
      </c>
      <c r="M3323" t="s">
        <v>19177</v>
      </c>
      <c r="N3323" t="s">
        <v>714</v>
      </c>
      <c r="O3323" t="s">
        <v>10263</v>
      </c>
      <c r="P3323" t="s">
        <v>12</v>
      </c>
    </row>
    <row r="3324">
      <c r="A3324">
        <f>HYPERLINK("http://bombeiros.sp.gov.br/hidrantes/03individual/2340.html","2340")</f>
      </c>
      <c r="B3324" t="s">
        <v>623</v>
      </c>
      <c r="C3324" t="s">
        <v>709</v>
      </c>
      <c r="D3324" t="s">
        <v>710</v>
      </c>
      <c r="E3324" t="s">
        <v>15</v>
      </c>
      <c r="F3324" t="s">
        <v>10345</v>
      </c>
      <c r="G3324" t="s">
        <v>18169</v>
      </c>
      <c r="H3324" t="s">
        <v>1112</v>
      </c>
      <c r="I3324" t="s">
        <v>1108</v>
      </c>
      <c r="J3324" t="s">
        <v>10346</v>
      </c>
      <c r="K3324" t="s">
        <v>10347</v>
      </c>
      <c r="L3324" t="s">
        <v>36</v>
      </c>
      <c r="M3324" t="s">
        <v>19177</v>
      </c>
      <c r="N3324" t="s">
        <v>714</v>
      </c>
      <c r="O3324" t="s">
        <v>10263</v>
      </c>
      <c r="P3324" t="s">
        <v>12</v>
      </c>
    </row>
    <row r="3325">
      <c r="A3325">
        <f>HYPERLINK("http://bombeiros.sp.gov.br/hidrantes/03individual/2346.html","2346")</f>
      </c>
      <c r="B3325" t="s">
        <v>623</v>
      </c>
      <c r="C3325" t="s">
        <v>709</v>
      </c>
      <c r="D3325" t="s">
        <v>710</v>
      </c>
      <c r="E3325" t="s">
        <v>15</v>
      </c>
      <c r="F3325" t="s">
        <v>10348</v>
      </c>
      <c r="G3325" t="s">
        <v>18013</v>
      </c>
      <c r="H3325" t="s">
        <v>1107</v>
      </c>
      <c r="I3325" t="s">
        <v>1108</v>
      </c>
      <c r="J3325" t="s">
        <v>10349</v>
      </c>
      <c r="K3325" t="s">
        <v>10350</v>
      </c>
      <c r="L3325" t="s">
        <v>21</v>
      </c>
      <c r="M3325" t="s">
        <v>19177</v>
      </c>
      <c r="N3325" t="s">
        <v>714</v>
      </c>
      <c r="O3325" t="s">
        <v>10263</v>
      </c>
      <c r="P3325" t="s">
        <v>12</v>
      </c>
    </row>
    <row r="3326">
      <c r="A3326">
        <f>HYPERLINK("http://bombeiros.sp.gov.br/hidrantes/03individual/2362.html","2362")</f>
      </c>
      <c r="B3326" t="s">
        <v>623</v>
      </c>
      <c r="C3326" t="s">
        <v>709</v>
      </c>
      <c r="D3326" t="s">
        <v>710</v>
      </c>
      <c r="E3326" t="s">
        <v>15</v>
      </c>
      <c r="F3326" t="s">
        <v>10351</v>
      </c>
      <c r="G3326" t="s">
        <v>18152</v>
      </c>
      <c r="H3326" t="s">
        <v>1121</v>
      </c>
      <c r="I3326" t="s">
        <v>1117</v>
      </c>
      <c r="J3326" t="s">
        <v>10352</v>
      </c>
      <c r="K3326" t="s">
        <v>10353</v>
      </c>
      <c r="L3326" t="s">
        <v>21</v>
      </c>
      <c r="M3326" t="s">
        <v>19177</v>
      </c>
      <c r="N3326" t="s">
        <v>714</v>
      </c>
      <c r="O3326" t="s">
        <v>10263</v>
      </c>
      <c r="P3326" t="s">
        <v>12</v>
      </c>
    </row>
    <row r="3327">
      <c r="A3327">
        <f>HYPERLINK("http://bombeiros.sp.gov.br/hidrantes/03individual/2749.html","2749")</f>
      </c>
      <c r="B3327" t="s">
        <v>623</v>
      </c>
      <c r="C3327" t="s">
        <v>709</v>
      </c>
      <c r="D3327" t="s">
        <v>710</v>
      </c>
      <c r="E3327" t="s">
        <v>15</v>
      </c>
      <c r="F3327" t="s">
        <v>10354</v>
      </c>
      <c r="G3327" t="s">
        <v>18104</v>
      </c>
      <c r="H3327" t="s">
        <v>1107</v>
      </c>
      <c r="I3327" t="s">
        <v>1108</v>
      </c>
      <c r="J3327" t="s">
        <v>10355</v>
      </c>
      <c r="K3327" t="s">
        <v>10356</v>
      </c>
      <c r="L3327" t="s">
        <v>21</v>
      </c>
      <c r="M3327" t="s">
        <v>19177</v>
      </c>
      <c r="N3327" t="s">
        <v>714</v>
      </c>
      <c r="O3327" t="s">
        <v>10263</v>
      </c>
      <c r="P3327" t="s">
        <v>12</v>
      </c>
    </row>
    <row r="3328">
      <c r="A3328">
        <f>HYPERLINK("http://bombeiros.sp.gov.br/hidrantes/03individual/4268.html","4268")</f>
      </c>
      <c r="B3328" t="s">
        <v>623</v>
      </c>
      <c r="C3328" t="s">
        <v>709</v>
      </c>
      <c r="D3328" t="s">
        <v>710</v>
      </c>
      <c r="E3328" t="s">
        <v>15</v>
      </c>
      <c r="F3328" t="s">
        <v>711</v>
      </c>
      <c r="G3328" t="s">
        <v>18193</v>
      </c>
      <c r="H3328"/>
      <c r="I3328" t="s">
        <v>18</v>
      </c>
      <c r="J3328" t="s">
        <v>712</v>
      </c>
      <c r="K3328" t="s">
        <v>713</v>
      </c>
      <c r="L3328" t="s">
        <v>21</v>
      </c>
      <c r="M3328" t="s">
        <v>19177</v>
      </c>
      <c r="N3328" t="s">
        <v>714</v>
      </c>
      <c r="O3328" t="s">
        <v>10263</v>
      </c>
      <c r="P3328" t="s">
        <v>12</v>
      </c>
    </row>
    <row r="3329">
      <c r="A3329">
        <f>HYPERLINK("http://bombeiros.sp.gov.br/hidrantes/03individual/2474.html","2474")</f>
      </c>
      <c r="B3329" t="s">
        <v>623</v>
      </c>
      <c r="C3329" t="s">
        <v>709</v>
      </c>
      <c r="D3329" t="s">
        <v>10357</v>
      </c>
      <c r="E3329" t="s">
        <v>64</v>
      </c>
      <c r="F3329" t="s">
        <v>10358</v>
      </c>
      <c r="G3329" t="s">
        <v>18097</v>
      </c>
      <c r="H3329" t="s">
        <v>1112</v>
      </c>
      <c r="I3329" t="s">
        <v>1108</v>
      </c>
      <c r="J3329" t="s">
        <v>16149</v>
      </c>
      <c r="K3329" t="s">
        <v>16150</v>
      </c>
      <c r="L3329" t="s">
        <v>21</v>
      </c>
      <c r="M3329" t="s">
        <v>19177</v>
      </c>
      <c r="N3329" t="s">
        <v>714</v>
      </c>
      <c r="O3329" t="s">
        <v>10263</v>
      </c>
      <c r="P3329" t="s">
        <v>12</v>
      </c>
    </row>
    <row r="3330">
      <c r="A3330">
        <f>HYPERLINK("http://bombeiros.sp.gov.br/hidrantes/03individual/28.html","28")</f>
      </c>
      <c r="B3330" t="s">
        <v>623</v>
      </c>
      <c r="C3330" t="s">
        <v>709</v>
      </c>
      <c r="D3330" t="s">
        <v>10357</v>
      </c>
      <c r="E3330" t="s">
        <v>15</v>
      </c>
      <c r="F3330" t="s">
        <v>10361</v>
      </c>
      <c r="G3330" t="s">
        <v>18240</v>
      </c>
      <c r="H3330" t="s">
        <v>1107</v>
      </c>
      <c r="I3330" t="s">
        <v>1108</v>
      </c>
      <c r="J3330" t="s">
        <v>10362</v>
      </c>
      <c r="K3330" t="s">
        <v>10363</v>
      </c>
      <c r="L3330" t="s">
        <v>21</v>
      </c>
      <c r="M3330" t="s">
        <v>19177</v>
      </c>
      <c r="N3330" t="s">
        <v>714</v>
      </c>
      <c r="O3330" t="s">
        <v>10263</v>
      </c>
      <c r="P3330" t="s">
        <v>12</v>
      </c>
    </row>
    <row r="3331">
      <c r="A3331">
        <f>HYPERLINK("http://bombeiros.sp.gov.br/hidrantes/03individual/93.html","93")</f>
      </c>
      <c r="B3331" t="s">
        <v>623</v>
      </c>
      <c r="C3331" t="s">
        <v>709</v>
      </c>
      <c r="D3331" t="s">
        <v>10357</v>
      </c>
      <c r="E3331" t="s">
        <v>15</v>
      </c>
      <c r="F3331" t="s">
        <v>10364</v>
      </c>
      <c r="G3331" t="s">
        <v>18153</v>
      </c>
      <c r="H3331" t="s">
        <v>1107</v>
      </c>
      <c r="I3331" t="s">
        <v>1108</v>
      </c>
      <c r="J3331" t="s">
        <v>10365</v>
      </c>
      <c r="K3331" t="s">
        <v>10366</v>
      </c>
      <c r="L3331" t="s">
        <v>21</v>
      </c>
      <c r="M3331" t="s">
        <v>19177</v>
      </c>
      <c r="N3331" t="s">
        <v>714</v>
      </c>
      <c r="O3331" t="s">
        <v>10263</v>
      </c>
      <c r="P3331" t="s">
        <v>12</v>
      </c>
    </row>
    <row r="3332">
      <c r="A3332">
        <f>HYPERLINK("http://bombeiros.sp.gov.br/hidrantes/03individual/138.html","138")</f>
      </c>
      <c r="B3332" t="s">
        <v>623</v>
      </c>
      <c r="C3332" t="s">
        <v>709</v>
      </c>
      <c r="D3332" t="s">
        <v>10357</v>
      </c>
      <c r="E3332" t="s">
        <v>15</v>
      </c>
      <c r="F3332" t="s">
        <v>10367</v>
      </c>
      <c r="G3332" t="s">
        <v>18160</v>
      </c>
      <c r="H3332" t="s">
        <v>1121</v>
      </c>
      <c r="I3332" t="s">
        <v>1117</v>
      </c>
      <c r="J3332" t="s">
        <v>10368</v>
      </c>
      <c r="K3332" t="s">
        <v>10369</v>
      </c>
      <c r="L3332" t="s">
        <v>21</v>
      </c>
      <c r="M3332" t="s">
        <v>19177</v>
      </c>
      <c r="N3332" t="s">
        <v>714</v>
      </c>
      <c r="O3332" t="s">
        <v>10263</v>
      </c>
      <c r="P3332" t="s">
        <v>12</v>
      </c>
    </row>
    <row r="3333">
      <c r="A3333">
        <f>HYPERLINK("http://bombeiros.sp.gov.br/hidrantes/03individual/2363.html","2363")</f>
      </c>
      <c r="B3333" t="s">
        <v>623</v>
      </c>
      <c r="C3333" t="s">
        <v>709</v>
      </c>
      <c r="D3333" t="s">
        <v>10370</v>
      </c>
      <c r="E3333" t="s">
        <v>64</v>
      </c>
      <c r="F3333" t="s">
        <v>10371</v>
      </c>
      <c r="G3333" t="s">
        <v>18152</v>
      </c>
      <c r="H3333" t="s">
        <v>1112</v>
      </c>
      <c r="I3333" t="s">
        <v>1108</v>
      </c>
      <c r="J3333" t="s">
        <v>10372</v>
      </c>
      <c r="K3333" t="s">
        <v>10373</v>
      </c>
      <c r="L3333" t="s">
        <v>21</v>
      </c>
      <c r="M3333" t="s">
        <v>19177</v>
      </c>
      <c r="N3333" t="s">
        <v>714</v>
      </c>
      <c r="O3333" t="s">
        <v>10263</v>
      </c>
      <c r="P3333" t="s">
        <v>12</v>
      </c>
    </row>
    <row r="3334">
      <c r="A3334">
        <f>HYPERLINK("http://bombeiros.sp.gov.br/hidrantes/03individual/2367.html","2367")</f>
      </c>
      <c r="B3334" t="s">
        <v>623</v>
      </c>
      <c r="C3334" t="s">
        <v>709</v>
      </c>
      <c r="D3334" t="s">
        <v>10370</v>
      </c>
      <c r="E3334" t="s">
        <v>64</v>
      </c>
      <c r="F3334" t="s">
        <v>1710</v>
      </c>
      <c r="G3334" t="s">
        <v>18179</v>
      </c>
      <c r="H3334" t="s">
        <v>1121</v>
      </c>
      <c r="I3334" t="s">
        <v>1117</v>
      </c>
      <c r="J3334" t="s">
        <v>16010</v>
      </c>
      <c r="K3334" t="s">
        <v>16011</v>
      </c>
      <c r="L3334" t="s">
        <v>36</v>
      </c>
      <c r="M3334" t="s">
        <v>19177</v>
      </c>
      <c r="N3334" t="s">
        <v>714</v>
      </c>
      <c r="O3334" t="s">
        <v>10263</v>
      </c>
      <c r="P3334" t="s">
        <v>12</v>
      </c>
    </row>
    <row r="3335">
      <c r="A3335">
        <f>HYPERLINK("http://bombeiros.sp.gov.br/hidrantes/03individual/2564.html","2564")</f>
      </c>
      <c r="B3335" t="s">
        <v>623</v>
      </c>
      <c r="C3335" t="s">
        <v>709</v>
      </c>
      <c r="D3335" t="s">
        <v>10370</v>
      </c>
      <c r="E3335" t="s">
        <v>64</v>
      </c>
      <c r="F3335" t="s">
        <v>10376</v>
      </c>
      <c r="G3335" t="s">
        <v>18179</v>
      </c>
      <c r="H3335" t="s">
        <v>1107</v>
      </c>
      <c r="I3335" t="s">
        <v>1108</v>
      </c>
      <c r="J3335" t="s">
        <v>10377</v>
      </c>
      <c r="K3335" t="s">
        <v>10378</v>
      </c>
      <c r="L3335" t="s">
        <v>21</v>
      </c>
      <c r="M3335" t="s">
        <v>19177</v>
      </c>
      <c r="N3335" t="s">
        <v>714</v>
      </c>
      <c r="O3335" t="s">
        <v>10263</v>
      </c>
      <c r="P3335" t="s">
        <v>12</v>
      </c>
    </row>
    <row r="3336">
      <c r="A3336">
        <f>HYPERLINK("http://bombeiros.sp.gov.br/hidrantes/03individual/2764.html","2764")</f>
      </c>
      <c r="B3336" t="s">
        <v>623</v>
      </c>
      <c r="C3336" t="s">
        <v>709</v>
      </c>
      <c r="D3336" t="s">
        <v>10370</v>
      </c>
      <c r="E3336" t="s">
        <v>64</v>
      </c>
      <c r="F3336" t="s">
        <v>10379</v>
      </c>
      <c r="G3336" t="s">
        <v>18154</v>
      </c>
      <c r="H3336" t="s">
        <v>1121</v>
      </c>
      <c r="I3336" t="s">
        <v>1117</v>
      </c>
      <c r="J3336" t="s">
        <v>10380</v>
      </c>
      <c r="K3336" t="s">
        <v>10381</v>
      </c>
      <c r="L3336" t="s">
        <v>21</v>
      </c>
      <c r="M3336" t="s">
        <v>19177</v>
      </c>
      <c r="N3336" t="s">
        <v>714</v>
      </c>
      <c r="O3336" t="s">
        <v>10263</v>
      </c>
      <c r="P3336" t="s">
        <v>12</v>
      </c>
    </row>
    <row r="3337">
      <c r="A3337">
        <f>HYPERLINK("http://bombeiros.sp.gov.br/hidrantes/03individual/5.html","5")</f>
      </c>
      <c r="B3337" t="s">
        <v>623</v>
      </c>
      <c r="C3337" t="s">
        <v>709</v>
      </c>
      <c r="D3337" t="s">
        <v>10370</v>
      </c>
      <c r="E3337" t="s">
        <v>15</v>
      </c>
      <c r="F3337" t="s">
        <v>10382</v>
      </c>
      <c r="G3337" t="s">
        <v>18040</v>
      </c>
      <c r="H3337" t="s">
        <v>1121</v>
      </c>
      <c r="I3337" t="s">
        <v>1117</v>
      </c>
      <c r="J3337" t="s">
        <v>10383</v>
      </c>
      <c r="K3337" t="s">
        <v>10384</v>
      </c>
      <c r="L3337" t="s">
        <v>21</v>
      </c>
      <c r="M3337" t="s">
        <v>19177</v>
      </c>
      <c r="N3337" t="s">
        <v>714</v>
      </c>
      <c r="O3337" t="s">
        <v>10263</v>
      </c>
      <c r="P3337" t="s">
        <v>12</v>
      </c>
    </row>
    <row r="3338">
      <c r="A3338">
        <f>HYPERLINK("http://bombeiros.sp.gov.br/hidrantes/03individual/30.html","30")</f>
      </c>
      <c r="B3338" t="s">
        <v>623</v>
      </c>
      <c r="C3338" t="s">
        <v>709</v>
      </c>
      <c r="D3338" t="s">
        <v>10370</v>
      </c>
      <c r="E3338" t="s">
        <v>15</v>
      </c>
      <c r="F3338" t="s">
        <v>10385</v>
      </c>
      <c r="G3338" t="s">
        <v>18133</v>
      </c>
      <c r="H3338" t="s">
        <v>1107</v>
      </c>
      <c r="I3338" t="s">
        <v>1108</v>
      </c>
      <c r="J3338" t="s">
        <v>10386</v>
      </c>
      <c r="K3338" t="s">
        <v>10387</v>
      </c>
      <c r="L3338" t="s">
        <v>21</v>
      </c>
      <c r="M3338" t="s">
        <v>19177</v>
      </c>
      <c r="N3338" t="s">
        <v>714</v>
      </c>
      <c r="O3338" t="s">
        <v>10263</v>
      </c>
      <c r="P3338" t="s">
        <v>12</v>
      </c>
    </row>
    <row r="3339">
      <c r="A3339">
        <f>HYPERLINK("http://bombeiros.sp.gov.br/hidrantes/03individual/88.html","88")</f>
      </c>
      <c r="B3339" t="s">
        <v>623</v>
      </c>
      <c r="C3339" t="s">
        <v>709</v>
      </c>
      <c r="D3339" t="s">
        <v>10370</v>
      </c>
      <c r="E3339" t="s">
        <v>15</v>
      </c>
      <c r="F3339" t="s">
        <v>10388</v>
      </c>
      <c r="G3339" t="s">
        <v>18153</v>
      </c>
      <c r="H3339" t="s">
        <v>1121</v>
      </c>
      <c r="I3339" t="s">
        <v>1117</v>
      </c>
      <c r="J3339" t="s">
        <v>10389</v>
      </c>
      <c r="K3339" t="s">
        <v>10390</v>
      </c>
      <c r="L3339" t="s">
        <v>21</v>
      </c>
      <c r="M3339" t="s">
        <v>19177</v>
      </c>
      <c r="N3339" t="s">
        <v>714</v>
      </c>
      <c r="O3339" t="s">
        <v>10263</v>
      </c>
      <c r="P3339" t="s">
        <v>12</v>
      </c>
    </row>
    <row r="3340">
      <c r="A3340">
        <f>HYPERLINK("http://bombeiros.sp.gov.br/hidrantes/03individual/89.html","89")</f>
      </c>
      <c r="B3340" t="s">
        <v>623</v>
      </c>
      <c r="C3340" t="s">
        <v>709</v>
      </c>
      <c r="D3340" t="s">
        <v>10370</v>
      </c>
      <c r="E3340" t="s">
        <v>15</v>
      </c>
      <c r="F3340" t="s">
        <v>10391</v>
      </c>
      <c r="G3340" t="s">
        <v>18097</v>
      </c>
      <c r="H3340" t="s">
        <v>1112</v>
      </c>
      <c r="I3340" t="s">
        <v>1108</v>
      </c>
      <c r="J3340" t="s">
        <v>10392</v>
      </c>
      <c r="K3340" t="s">
        <v>10393</v>
      </c>
      <c r="L3340" t="s">
        <v>21</v>
      </c>
      <c r="M3340" t="s">
        <v>19177</v>
      </c>
      <c r="N3340" t="s">
        <v>714</v>
      </c>
      <c r="O3340" t="s">
        <v>10263</v>
      </c>
      <c r="P3340" t="s">
        <v>12</v>
      </c>
    </row>
    <row r="3341">
      <c r="A3341">
        <f>HYPERLINK("http://bombeiros.sp.gov.br/hidrantes/03individual/90.html","90")</f>
      </c>
      <c r="B3341" t="s">
        <v>623</v>
      </c>
      <c r="C3341" t="s">
        <v>709</v>
      </c>
      <c r="D3341" t="s">
        <v>10370</v>
      </c>
      <c r="E3341" t="s">
        <v>15</v>
      </c>
      <c r="F3341" t="s">
        <v>10394</v>
      </c>
      <c r="G3341" t="s">
        <v>18154</v>
      </c>
      <c r="H3341" t="s">
        <v>1107</v>
      </c>
      <c r="I3341" t="s">
        <v>1108</v>
      </c>
      <c r="J3341" t="s">
        <v>10395</v>
      </c>
      <c r="K3341" t="s">
        <v>10396</v>
      </c>
      <c r="L3341" t="s">
        <v>21</v>
      </c>
      <c r="M3341" t="s">
        <v>19177</v>
      </c>
      <c r="N3341" t="s">
        <v>714</v>
      </c>
      <c r="O3341" t="s">
        <v>10263</v>
      </c>
      <c r="P3341" t="s">
        <v>12</v>
      </c>
    </row>
    <row r="3342">
      <c r="A3342">
        <f>HYPERLINK("http://bombeiros.sp.gov.br/hidrantes/03individual/2382.html","2382")</f>
      </c>
      <c r="B3342" t="s">
        <v>623</v>
      </c>
      <c r="C3342" t="s">
        <v>709</v>
      </c>
      <c r="D3342" t="s">
        <v>10370</v>
      </c>
      <c r="E3342" t="s">
        <v>15</v>
      </c>
      <c r="F3342" t="s">
        <v>10397</v>
      </c>
      <c r="G3342" t="s">
        <v>18133</v>
      </c>
      <c r="H3342" t="s">
        <v>1174</v>
      </c>
      <c r="I3342" t="s">
        <v>1117</v>
      </c>
      <c r="J3342" t="s">
        <v>10398</v>
      </c>
      <c r="K3342" t="s">
        <v>10399</v>
      </c>
      <c r="L3342" t="s">
        <v>21</v>
      </c>
      <c r="M3342" t="s">
        <v>19177</v>
      </c>
      <c r="N3342" t="s">
        <v>714</v>
      </c>
      <c r="O3342" t="s">
        <v>10263</v>
      </c>
      <c r="P3342" t="s">
        <v>12</v>
      </c>
    </row>
    <row r="3343">
      <c r="A3343">
        <f>HYPERLINK("http://bombeiros.sp.gov.br/hidrantes/03individual/2405.html","2405")</f>
      </c>
      <c r="B3343" t="s">
        <v>623</v>
      </c>
      <c r="C3343" t="s">
        <v>709</v>
      </c>
      <c r="D3343" t="s">
        <v>10370</v>
      </c>
      <c r="E3343" t="s">
        <v>15</v>
      </c>
      <c r="F3343" t="s">
        <v>10400</v>
      </c>
      <c r="G3343" t="s">
        <v>18154</v>
      </c>
      <c r="H3343" t="s">
        <v>1107</v>
      </c>
      <c r="I3343" t="s">
        <v>1108</v>
      </c>
      <c r="J3343" t="s">
        <v>10401</v>
      </c>
      <c r="K3343" t="s">
        <v>10402</v>
      </c>
      <c r="L3343" t="s">
        <v>21</v>
      </c>
      <c r="M3343" t="s">
        <v>19177</v>
      </c>
      <c r="N3343" t="s">
        <v>714</v>
      </c>
      <c r="O3343" t="s">
        <v>10263</v>
      </c>
      <c r="P3343" t="s">
        <v>12</v>
      </c>
    </row>
    <row r="3344">
      <c r="A3344">
        <f>HYPERLINK("http://bombeiros.sp.gov.br/hidrantes/03individual/2642.html","2642")</f>
      </c>
      <c r="B3344" t="s">
        <v>623</v>
      </c>
      <c r="C3344" t="s">
        <v>709</v>
      </c>
      <c r="D3344" t="s">
        <v>10370</v>
      </c>
      <c r="E3344" t="s">
        <v>15</v>
      </c>
      <c r="F3344" t="s">
        <v>10403</v>
      </c>
      <c r="G3344" t="s">
        <v>18154</v>
      </c>
      <c r="H3344" t="s">
        <v>1107</v>
      </c>
      <c r="I3344" t="s">
        <v>1108</v>
      </c>
      <c r="J3344" t="s">
        <v>10404</v>
      </c>
      <c r="K3344" t="s">
        <v>10405</v>
      </c>
      <c r="L3344" t="s">
        <v>36</v>
      </c>
      <c r="M3344" t="s">
        <v>19177</v>
      </c>
      <c r="N3344" t="s">
        <v>714</v>
      </c>
      <c r="O3344" t="s">
        <v>10263</v>
      </c>
      <c r="P3344" t="s">
        <v>12</v>
      </c>
    </row>
    <row r="3345">
      <c r="A3345">
        <f>HYPERLINK("http://bombeiros.sp.gov.br/hidrantes/03individual/2662.html","2662")</f>
      </c>
      <c r="B3345" t="s">
        <v>623</v>
      </c>
      <c r="C3345" t="s">
        <v>709</v>
      </c>
      <c r="D3345" t="s">
        <v>10370</v>
      </c>
      <c r="E3345" t="s">
        <v>15</v>
      </c>
      <c r="F3345" t="s">
        <v>10406</v>
      </c>
      <c r="G3345" t="s">
        <v>18153</v>
      </c>
      <c r="H3345" t="s">
        <v>1121</v>
      </c>
      <c r="I3345" t="s">
        <v>1117</v>
      </c>
      <c r="J3345" t="s">
        <v>10407</v>
      </c>
      <c r="K3345" t="s">
        <v>10408</v>
      </c>
      <c r="L3345" t="s">
        <v>21</v>
      </c>
      <c r="M3345" t="s">
        <v>19177</v>
      </c>
      <c r="N3345" t="s">
        <v>714</v>
      </c>
      <c r="O3345" t="s">
        <v>10263</v>
      </c>
      <c r="P3345" t="s">
        <v>12</v>
      </c>
    </row>
    <row r="3346">
      <c r="A3346">
        <f>HYPERLINK("http://bombeiros.sp.gov.br/hidrantes/03individual/2665.html","2665")</f>
      </c>
      <c r="B3346" t="s">
        <v>623</v>
      </c>
      <c r="C3346" t="s">
        <v>709</v>
      </c>
      <c r="D3346" t="s">
        <v>10370</v>
      </c>
      <c r="E3346" t="s">
        <v>15</v>
      </c>
      <c r="F3346" t="s">
        <v>10409</v>
      </c>
      <c r="G3346" t="s">
        <v>18053</v>
      </c>
      <c r="H3346" t="s">
        <v>1107</v>
      </c>
      <c r="I3346" t="s">
        <v>1108</v>
      </c>
      <c r="J3346" t="s">
        <v>10410</v>
      </c>
      <c r="K3346" t="s">
        <v>10411</v>
      </c>
      <c r="L3346" t="s">
        <v>21</v>
      </c>
      <c r="M3346" t="s">
        <v>19177</v>
      </c>
      <c r="N3346" t="s">
        <v>714</v>
      </c>
      <c r="O3346" t="s">
        <v>10263</v>
      </c>
      <c r="P3346" t="s">
        <v>12</v>
      </c>
    </row>
    <row r="3347">
      <c r="A3347">
        <f>HYPERLINK("http://bombeiros.sp.gov.br/hidrantes/03individual/2743.html","2743")</f>
      </c>
      <c r="B3347" t="s">
        <v>623</v>
      </c>
      <c r="C3347" t="s">
        <v>709</v>
      </c>
      <c r="D3347" t="s">
        <v>10370</v>
      </c>
      <c r="E3347" t="s">
        <v>15</v>
      </c>
      <c r="F3347" t="s">
        <v>10412</v>
      </c>
      <c r="G3347" t="s">
        <v>18153</v>
      </c>
      <c r="H3347" t="s">
        <v>1112</v>
      </c>
      <c r="I3347" t="s">
        <v>1108</v>
      </c>
      <c r="J3347" t="s">
        <v>10413</v>
      </c>
      <c r="K3347" t="s">
        <v>10414</v>
      </c>
      <c r="L3347" t="s">
        <v>21</v>
      </c>
      <c r="M3347" t="s">
        <v>19177</v>
      </c>
      <c r="N3347" t="s">
        <v>714</v>
      </c>
      <c r="O3347" t="s">
        <v>10263</v>
      </c>
      <c r="P3347" t="s">
        <v>12</v>
      </c>
    </row>
    <row r="3348">
      <c r="A3348">
        <f>HYPERLINK("http://bombeiros.sp.gov.br/hidrantes/03individual/4278.html","4278")</f>
      </c>
      <c r="B3348" t="s">
        <v>623</v>
      </c>
      <c r="C3348" t="s">
        <v>709</v>
      </c>
      <c r="D3348" t="s">
        <v>10370</v>
      </c>
      <c r="E3348" t="s">
        <v>15</v>
      </c>
      <c r="F3348" t="s">
        <v>10415</v>
      </c>
      <c r="G3348" t="s">
        <v>18124</v>
      </c>
      <c r="H3348" t="s">
        <v>1121</v>
      </c>
      <c r="I3348" t="s">
        <v>1117</v>
      </c>
      <c r="J3348" t="s">
        <v>10416</v>
      </c>
      <c r="K3348" t="s">
        <v>10417</v>
      </c>
      <c r="L3348" t="s">
        <v>21</v>
      </c>
      <c r="M3348" t="s">
        <v>19177</v>
      </c>
      <c r="N3348" t="s">
        <v>714</v>
      </c>
      <c r="O3348" t="s">
        <v>10263</v>
      </c>
      <c r="P3348" t="s">
        <v>12</v>
      </c>
    </row>
    <row r="3349">
      <c r="A3349">
        <f>HYPERLINK("http://bombeiros.sp.gov.br/hidrantes/03individual/1175.html","1175")</f>
      </c>
      <c r="B3349" t="s">
        <v>623</v>
      </c>
      <c r="C3349" t="s">
        <v>714</v>
      </c>
      <c r="D3349" t="s">
        <v>10418</v>
      </c>
      <c r="E3349" t="s">
        <v>15</v>
      </c>
      <c r="F3349" t="s">
        <v>10419</v>
      </c>
      <c r="G3349" t="s">
        <v>17911</v>
      </c>
      <c r="H3349" t="s">
        <v>1174</v>
      </c>
      <c r="I3349" t="s">
        <v>1108</v>
      </c>
      <c r="J3349" t="s">
        <v>10421</v>
      </c>
      <c r="K3349" t="s">
        <v>10422</v>
      </c>
      <c r="L3349" t="s">
        <v>21</v>
      </c>
      <c r="M3349" t="s">
        <v>19177</v>
      </c>
      <c r="N3349" t="s">
        <v>714</v>
      </c>
      <c r="O3349" t="s">
        <v>10263</v>
      </c>
      <c r="P3349" t="s">
        <v>12</v>
      </c>
    </row>
    <row r="3350">
      <c r="A3350">
        <f>HYPERLINK("http://bombeiros.sp.gov.br/hidrantes/03individual/1177.html","1177")</f>
      </c>
      <c r="B3350" t="s">
        <v>623</v>
      </c>
      <c r="C3350" t="s">
        <v>714</v>
      </c>
      <c r="D3350" t="s">
        <v>10418</v>
      </c>
      <c r="E3350" t="s">
        <v>15</v>
      </c>
      <c r="F3350" t="s">
        <v>10423</v>
      </c>
      <c r="G3350" t="s">
        <v>17952</v>
      </c>
      <c r="H3350" t="s">
        <v>1112</v>
      </c>
      <c r="I3350" t="s">
        <v>1108</v>
      </c>
      <c r="J3350" t="s">
        <v>10424</v>
      </c>
      <c r="K3350" t="s">
        <v>10425</v>
      </c>
      <c r="L3350" t="s">
        <v>21</v>
      </c>
      <c r="M3350" t="s">
        <v>19177</v>
      </c>
      <c r="N3350" t="s">
        <v>714</v>
      </c>
      <c r="O3350" t="s">
        <v>10263</v>
      </c>
      <c r="P3350" t="s">
        <v>12</v>
      </c>
    </row>
    <row r="3351">
      <c r="A3351">
        <f>HYPERLINK("http://bombeiros.sp.gov.br/hidrantes/03individual/1255.html","1255")</f>
      </c>
      <c r="B3351" t="s">
        <v>623</v>
      </c>
      <c r="C3351" t="s">
        <v>714</v>
      </c>
      <c r="D3351" t="s">
        <v>10418</v>
      </c>
      <c r="E3351" t="s">
        <v>15</v>
      </c>
      <c r="F3351" t="s">
        <v>10426</v>
      </c>
      <c r="G3351" t="s">
        <v>17914</v>
      </c>
      <c r="H3351" t="s">
        <v>1112</v>
      </c>
      <c r="I3351" t="s">
        <v>1108</v>
      </c>
      <c r="J3351" t="s">
        <v>10428</v>
      </c>
      <c r="K3351" t="s">
        <v>10429</v>
      </c>
      <c r="L3351" t="s">
        <v>21</v>
      </c>
      <c r="M3351" t="s">
        <v>19177</v>
      </c>
      <c r="N3351" t="s">
        <v>714</v>
      </c>
      <c r="O3351" t="s">
        <v>10263</v>
      </c>
      <c r="P3351" t="s">
        <v>12</v>
      </c>
    </row>
    <row r="3352">
      <c r="A3352">
        <f>HYPERLINK("http://bombeiros.sp.gov.br/hidrantes/03individual/1272.html","1272")</f>
      </c>
      <c r="B3352" t="s">
        <v>623</v>
      </c>
      <c r="C3352" t="s">
        <v>714</v>
      </c>
      <c r="D3352" t="s">
        <v>10418</v>
      </c>
      <c r="E3352" t="s">
        <v>15</v>
      </c>
      <c r="F3352" t="s">
        <v>10430</v>
      </c>
      <c r="G3352" t="s">
        <v>18146</v>
      </c>
      <c r="H3352" t="s">
        <v>1112</v>
      </c>
      <c r="I3352" t="s">
        <v>1108</v>
      </c>
      <c r="J3352" t="s">
        <v>10431</v>
      </c>
      <c r="K3352" t="s">
        <v>10432</v>
      </c>
      <c r="L3352" t="s">
        <v>21</v>
      </c>
      <c r="M3352" t="s">
        <v>19177</v>
      </c>
      <c r="N3352" t="s">
        <v>714</v>
      </c>
      <c r="O3352" t="s">
        <v>10263</v>
      </c>
      <c r="P3352" t="s">
        <v>12</v>
      </c>
    </row>
    <row r="3353">
      <c r="A3353">
        <f>HYPERLINK("http://bombeiros.sp.gov.br/hidrantes/03individual/1274.html","1274")</f>
      </c>
      <c r="B3353" t="s">
        <v>623</v>
      </c>
      <c r="C3353" t="s">
        <v>714</v>
      </c>
      <c r="D3353" t="s">
        <v>10418</v>
      </c>
      <c r="E3353" t="s">
        <v>15</v>
      </c>
      <c r="F3353" t="s">
        <v>10433</v>
      </c>
      <c r="G3353" t="s">
        <v>18090</v>
      </c>
      <c r="H3353" t="s">
        <v>1112</v>
      </c>
      <c r="I3353" t="s">
        <v>1108</v>
      </c>
      <c r="J3353" t="s">
        <v>16232</v>
      </c>
      <c r="K3353" t="s">
        <v>16233</v>
      </c>
      <c r="L3353" t="s">
        <v>21</v>
      </c>
      <c r="M3353" t="s">
        <v>19177</v>
      </c>
      <c r="N3353" t="s">
        <v>714</v>
      </c>
      <c r="O3353" t="s">
        <v>10263</v>
      </c>
      <c r="P3353" t="s">
        <v>12</v>
      </c>
    </row>
    <row r="3354">
      <c r="A3354">
        <f>HYPERLINK("http://bombeiros.sp.gov.br/hidrantes/03individual/1417.html","1417")</f>
      </c>
      <c r="B3354" t="s">
        <v>623</v>
      </c>
      <c r="C3354" t="s">
        <v>714</v>
      </c>
      <c r="D3354" t="s">
        <v>10418</v>
      </c>
      <c r="E3354" t="s">
        <v>15</v>
      </c>
      <c r="F3354" t="s">
        <v>10436</v>
      </c>
      <c r="G3354" t="s">
        <v>17928</v>
      </c>
      <c r="H3354" t="s">
        <v>1112</v>
      </c>
      <c r="I3354" t="s">
        <v>1108</v>
      </c>
      <c r="J3354" t="s">
        <v>15953</v>
      </c>
      <c r="K3354" t="s">
        <v>15954</v>
      </c>
      <c r="L3354" t="s">
        <v>21</v>
      </c>
      <c r="M3354" t="s">
        <v>19177</v>
      </c>
      <c r="N3354" t="s">
        <v>714</v>
      </c>
      <c r="O3354" t="s">
        <v>10263</v>
      </c>
      <c r="P3354" t="s">
        <v>12</v>
      </c>
    </row>
    <row r="3355">
      <c r="A3355">
        <f>HYPERLINK("http://bombeiros.sp.gov.br/hidrantes/03individual/2370.html","2370")</f>
      </c>
      <c r="B3355" t="s">
        <v>623</v>
      </c>
      <c r="C3355" t="s">
        <v>714</v>
      </c>
      <c r="D3355" t="s">
        <v>10418</v>
      </c>
      <c r="E3355" t="s">
        <v>15</v>
      </c>
      <c r="F3355" t="s">
        <v>10439</v>
      </c>
      <c r="G3355" t="s">
        <v>17952</v>
      </c>
      <c r="H3355" t="s">
        <v>1112</v>
      </c>
      <c r="I3355" t="s">
        <v>1108</v>
      </c>
      <c r="J3355" t="s">
        <v>10441</v>
      </c>
      <c r="K3355" t="s">
        <v>10442</v>
      </c>
      <c r="L3355" t="s">
        <v>21</v>
      </c>
      <c r="M3355" t="s">
        <v>19177</v>
      </c>
      <c r="N3355" t="s">
        <v>714</v>
      </c>
      <c r="O3355" t="s">
        <v>10263</v>
      </c>
      <c r="P3355" t="s">
        <v>12</v>
      </c>
    </row>
    <row r="3356">
      <c r="A3356">
        <f>HYPERLINK("http://bombeiros.sp.gov.br/hidrantes/03individual/4237.html","4237")</f>
      </c>
      <c r="B3356" t="s">
        <v>623</v>
      </c>
      <c r="C3356" t="s">
        <v>714</v>
      </c>
      <c r="D3356" t="s">
        <v>10418</v>
      </c>
      <c r="E3356" t="s">
        <v>15</v>
      </c>
      <c r="F3356" t="s">
        <v>10443</v>
      </c>
      <c r="G3356" t="s">
        <v>17928</v>
      </c>
      <c r="H3356" t="s">
        <v>1112</v>
      </c>
      <c r="I3356" t="s">
        <v>1108</v>
      </c>
      <c r="J3356" t="s">
        <v>10444</v>
      </c>
      <c r="K3356" t="s">
        <v>10445</v>
      </c>
      <c r="L3356" t="s">
        <v>21</v>
      </c>
      <c r="M3356" t="s">
        <v>19177</v>
      </c>
      <c r="N3356" t="s">
        <v>714</v>
      </c>
      <c r="O3356" t="s">
        <v>10263</v>
      </c>
      <c r="P3356" t="s">
        <v>12</v>
      </c>
    </row>
    <row r="3357">
      <c r="A3357">
        <f>HYPERLINK("http://bombeiros.sp.gov.br/hidrantes/03individual/4239.html","4239")</f>
      </c>
      <c r="B3357" t="s">
        <v>623</v>
      </c>
      <c r="C3357" t="s">
        <v>714</v>
      </c>
      <c r="D3357" t="s">
        <v>10418</v>
      </c>
      <c r="E3357" t="s">
        <v>15</v>
      </c>
      <c r="F3357" t="s">
        <v>10446</v>
      </c>
      <c r="G3357" t="s">
        <v>17952</v>
      </c>
      <c r="H3357" t="s">
        <v>1112</v>
      </c>
      <c r="I3357" t="s">
        <v>1108</v>
      </c>
      <c r="J3357" t="s">
        <v>10447</v>
      </c>
      <c r="K3357" t="s">
        <v>10448</v>
      </c>
      <c r="L3357" t="s">
        <v>21</v>
      </c>
      <c r="M3357" t="s">
        <v>19177</v>
      </c>
      <c r="N3357" t="s">
        <v>714</v>
      </c>
      <c r="O3357" t="s">
        <v>10263</v>
      </c>
      <c r="P3357" t="s">
        <v>12</v>
      </c>
    </row>
    <row r="3358">
      <c r="A3358">
        <f>HYPERLINK("http://bombeiros.sp.gov.br/hidrantes/03individual/4240.html","4240")</f>
      </c>
      <c r="B3358" t="s">
        <v>623</v>
      </c>
      <c r="C3358" t="s">
        <v>714</v>
      </c>
      <c r="D3358" t="s">
        <v>10418</v>
      </c>
      <c r="E3358" t="s">
        <v>15</v>
      </c>
      <c r="F3358" t="s">
        <v>10449</v>
      </c>
      <c r="G3358" t="s">
        <v>17952</v>
      </c>
      <c r="H3358" t="s">
        <v>1112</v>
      </c>
      <c r="I3358" t="s">
        <v>1108</v>
      </c>
      <c r="J3358" t="s">
        <v>10450</v>
      </c>
      <c r="K3358" t="s">
        <v>10451</v>
      </c>
      <c r="L3358" t="s">
        <v>21</v>
      </c>
      <c r="M3358" t="s">
        <v>19177</v>
      </c>
      <c r="N3358" t="s">
        <v>714</v>
      </c>
      <c r="O3358" t="s">
        <v>10263</v>
      </c>
      <c r="P3358" t="s">
        <v>12</v>
      </c>
    </row>
    <row r="3359">
      <c r="A3359">
        <f>HYPERLINK("http://bombeiros.sp.gov.br/hidrantes/03individual/6661.html","6661")</f>
      </c>
      <c r="B3359" t="s">
        <v>623</v>
      </c>
      <c r="C3359" t="s">
        <v>714</v>
      </c>
      <c r="D3359" t="s">
        <v>10418</v>
      </c>
      <c r="E3359" t="s">
        <v>15</v>
      </c>
      <c r="F3359" t="s">
        <v>10452</v>
      </c>
      <c r="G3359" t="s">
        <v>18155</v>
      </c>
      <c r="H3359" t="s">
        <v>1112</v>
      </c>
      <c r="I3359" t="s">
        <v>1108</v>
      </c>
      <c r="J3359" t="s">
        <v>10453</v>
      </c>
      <c r="K3359" t="s">
        <v>10454</v>
      </c>
      <c r="L3359" t="s">
        <v>21</v>
      </c>
      <c r="M3359" t="s">
        <v>19177</v>
      </c>
      <c r="N3359" t="s">
        <v>714</v>
      </c>
      <c r="O3359" t="s">
        <v>10263</v>
      </c>
      <c r="P3359" t="s">
        <v>12</v>
      </c>
    </row>
    <row r="3360">
      <c r="A3360">
        <f>HYPERLINK("http://bombeiros.sp.gov.br/hidrantes/03individual/6672.html","6672")</f>
      </c>
      <c r="B3360" t="s">
        <v>623</v>
      </c>
      <c r="C3360" t="s">
        <v>714</v>
      </c>
      <c r="D3360" t="s">
        <v>10418</v>
      </c>
      <c r="E3360" t="s">
        <v>15</v>
      </c>
      <c r="F3360" t="s">
        <v>10455</v>
      </c>
      <c r="G3360" t="s">
        <v>17911</v>
      </c>
      <c r="H3360" t="s">
        <v>1121</v>
      </c>
      <c r="I3360" t="s">
        <v>1117</v>
      </c>
      <c r="J3360" t="s">
        <v>10457</v>
      </c>
      <c r="K3360" t="s">
        <v>10458</v>
      </c>
      <c r="L3360" t="s">
        <v>21</v>
      </c>
      <c r="M3360" t="s">
        <v>19177</v>
      </c>
      <c r="N3360" t="s">
        <v>714</v>
      </c>
      <c r="O3360" t="s">
        <v>10263</v>
      </c>
      <c r="P3360" t="s">
        <v>12</v>
      </c>
    </row>
    <row r="3361">
      <c r="A3361">
        <f>HYPERLINK("http://bombeiros.sp.gov.br/hidrantes/03individual/6675.html","6675")</f>
      </c>
      <c r="B3361" t="s">
        <v>623</v>
      </c>
      <c r="C3361" t="s">
        <v>714</v>
      </c>
      <c r="D3361" t="s">
        <v>10418</v>
      </c>
      <c r="E3361" t="s">
        <v>15</v>
      </c>
      <c r="F3361" t="s">
        <v>10459</v>
      </c>
      <c r="G3361" t="s">
        <v>18146</v>
      </c>
      <c r="H3361" t="s">
        <v>1112</v>
      </c>
      <c r="I3361" t="s">
        <v>1108</v>
      </c>
      <c r="J3361" t="s">
        <v>10460</v>
      </c>
      <c r="K3361" t="s">
        <v>10461</v>
      </c>
      <c r="L3361" t="s">
        <v>21</v>
      </c>
      <c r="M3361" t="s">
        <v>19177</v>
      </c>
      <c r="N3361" t="s">
        <v>714</v>
      </c>
      <c r="O3361" t="s">
        <v>10263</v>
      </c>
      <c r="P3361" t="s">
        <v>12</v>
      </c>
    </row>
    <row r="3362">
      <c r="A3362">
        <f>HYPERLINK("http://bombeiros.sp.gov.br/hidrantes/03individual/16594.html","16594")</f>
      </c>
      <c r="B3362" t="s">
        <v>623</v>
      </c>
      <c r="C3362" t="s">
        <v>714</v>
      </c>
      <c r="D3362" t="s">
        <v>10418</v>
      </c>
      <c r="E3362" t="s">
        <v>15</v>
      </c>
      <c r="F3362" t="s">
        <v>10462</v>
      </c>
      <c r="G3362" t="s">
        <v>18090</v>
      </c>
      <c r="H3362" t="s">
        <v>1112</v>
      </c>
      <c r="I3362" t="s">
        <v>1108</v>
      </c>
      <c r="J3362" t="s">
        <v>10463</v>
      </c>
      <c r="K3362" t="s">
        <v>10464</v>
      </c>
      <c r="L3362" t="s">
        <v>21</v>
      </c>
      <c r="M3362" t="s">
        <v>19177</v>
      </c>
      <c r="N3362" t="s">
        <v>714</v>
      </c>
      <c r="O3362" t="s">
        <v>10263</v>
      </c>
      <c r="P3362" t="s">
        <v>12</v>
      </c>
    </row>
    <row r="3363">
      <c r="A3363">
        <f>HYPERLINK("http://bombeiros.sp.gov.br/hidrantes/03individual/17866.html","17866")</f>
      </c>
      <c r="B3363" t="s">
        <v>623</v>
      </c>
      <c r="C3363" t="s">
        <v>714</v>
      </c>
      <c r="D3363" t="s">
        <v>10418</v>
      </c>
      <c r="E3363" t="s">
        <v>15</v>
      </c>
      <c r="F3363" t="s">
        <v>10465</v>
      </c>
      <c r="G3363" t="s">
        <v>18155</v>
      </c>
      <c r="H3363" t="s">
        <v>1112</v>
      </c>
      <c r="I3363" t="s">
        <v>1108</v>
      </c>
      <c r="J3363" t="s">
        <v>10466</v>
      </c>
      <c r="K3363" t="s">
        <v>10467</v>
      </c>
      <c r="L3363" t="s">
        <v>21</v>
      </c>
      <c r="M3363" t="s">
        <v>19177</v>
      </c>
      <c r="N3363" t="s">
        <v>714</v>
      </c>
      <c r="O3363" t="s">
        <v>10263</v>
      </c>
      <c r="P3363" t="s">
        <v>12</v>
      </c>
    </row>
    <row r="3364">
      <c r="A3364">
        <f>HYPERLINK("http://bombeiros.sp.gov.br/hidrantes/03individual/1148.html","1148")</f>
      </c>
      <c r="B3364" t="s">
        <v>623</v>
      </c>
      <c r="C3364" t="s">
        <v>714</v>
      </c>
      <c r="D3364" t="s">
        <v>10468</v>
      </c>
      <c r="E3364" t="s">
        <v>15</v>
      </c>
      <c r="F3364" t="s">
        <v>10469</v>
      </c>
      <c r="G3364" t="s">
        <v>17921</v>
      </c>
      <c r="H3364" t="s">
        <v>1112</v>
      </c>
      <c r="I3364" t="s">
        <v>1108</v>
      </c>
      <c r="J3364" t="s">
        <v>10470</v>
      </c>
      <c r="K3364" t="s">
        <v>10471</v>
      </c>
      <c r="L3364" t="s">
        <v>21</v>
      </c>
      <c r="M3364" t="s">
        <v>19177</v>
      </c>
      <c r="N3364" t="s">
        <v>714</v>
      </c>
      <c r="O3364" t="s">
        <v>10263</v>
      </c>
      <c r="P3364" t="s">
        <v>12</v>
      </c>
    </row>
    <row r="3365">
      <c r="A3365">
        <f>HYPERLINK("http://bombeiros.sp.gov.br/hidrantes/03individual/4227.html","4227")</f>
      </c>
      <c r="B3365" t="s">
        <v>623</v>
      </c>
      <c r="C3365" t="s">
        <v>714</v>
      </c>
      <c r="D3365" t="s">
        <v>10468</v>
      </c>
      <c r="E3365" t="s">
        <v>15</v>
      </c>
      <c r="F3365" t="s">
        <v>10472</v>
      </c>
      <c r="G3365" t="s">
        <v>18110</v>
      </c>
      <c r="H3365" t="s">
        <v>1112</v>
      </c>
      <c r="I3365" t="s">
        <v>1108</v>
      </c>
      <c r="J3365" t="s">
        <v>10473</v>
      </c>
      <c r="K3365" t="s">
        <v>10474</v>
      </c>
      <c r="L3365" t="s">
        <v>21</v>
      </c>
      <c r="M3365" t="s">
        <v>19177</v>
      </c>
      <c r="N3365" t="s">
        <v>714</v>
      </c>
      <c r="O3365" t="s">
        <v>10263</v>
      </c>
      <c r="P3365" t="s">
        <v>12</v>
      </c>
    </row>
    <row r="3366">
      <c r="A3366">
        <f>HYPERLINK("http://bombeiros.sp.gov.br/hidrantes/03individual/4228.html","4228")</f>
      </c>
      <c r="B3366" t="s">
        <v>623</v>
      </c>
      <c r="C3366" t="s">
        <v>714</v>
      </c>
      <c r="D3366" t="s">
        <v>10468</v>
      </c>
      <c r="E3366" t="s">
        <v>15</v>
      </c>
      <c r="F3366" t="s">
        <v>10475</v>
      </c>
      <c r="G3366" t="s">
        <v>18090</v>
      </c>
      <c r="H3366" t="s">
        <v>1112</v>
      </c>
      <c r="I3366" t="s">
        <v>1108</v>
      </c>
      <c r="J3366" t="s">
        <v>10476</v>
      </c>
      <c r="K3366" t="s">
        <v>10477</v>
      </c>
      <c r="L3366" t="s">
        <v>21</v>
      </c>
      <c r="M3366" t="s">
        <v>19177</v>
      </c>
      <c r="N3366" t="s">
        <v>714</v>
      </c>
      <c r="O3366" t="s">
        <v>10263</v>
      </c>
      <c r="P3366" t="s">
        <v>12</v>
      </c>
    </row>
    <row r="3367">
      <c r="A3367">
        <f>HYPERLINK("http://bombeiros.sp.gov.br/hidrantes/03individual/16317.html","16317")</f>
      </c>
      <c r="B3367" t="s">
        <v>623</v>
      </c>
      <c r="C3367" t="s">
        <v>714</v>
      </c>
      <c r="D3367" t="s">
        <v>10468</v>
      </c>
      <c r="E3367" t="s">
        <v>15</v>
      </c>
      <c r="F3367" t="s">
        <v>10478</v>
      </c>
      <c r="G3367" t="s">
        <v>17700</v>
      </c>
      <c r="H3367" t="s">
        <v>1112</v>
      </c>
      <c r="I3367" t="s">
        <v>1108</v>
      </c>
      <c r="J3367" t="s">
        <v>10480</v>
      </c>
      <c r="K3367" t="s">
        <v>10481</v>
      </c>
      <c r="L3367" t="s">
        <v>21</v>
      </c>
      <c r="M3367" t="s">
        <v>19177</v>
      </c>
      <c r="N3367" t="s">
        <v>714</v>
      </c>
      <c r="O3367" t="s">
        <v>10263</v>
      </c>
      <c r="P3367" t="s">
        <v>12</v>
      </c>
    </row>
    <row r="3368">
      <c r="A3368">
        <f>HYPERLINK("http://bombeiros.sp.gov.br/hidrantes/03individual/1124.html","1124")</f>
      </c>
      <c r="B3368" t="s">
        <v>623</v>
      </c>
      <c r="C3368" t="s">
        <v>714</v>
      </c>
      <c r="D3368" t="s">
        <v>714</v>
      </c>
      <c r="E3368" t="s">
        <v>64</v>
      </c>
      <c r="F3368" t="s">
        <v>10482</v>
      </c>
      <c r="G3368" t="s">
        <v>17921</v>
      </c>
      <c r="H3368" t="s">
        <v>1112</v>
      </c>
      <c r="I3368" t="s">
        <v>1108</v>
      </c>
      <c r="J3368" t="s">
        <v>10483</v>
      </c>
      <c r="K3368" t="s">
        <v>10484</v>
      </c>
      <c r="L3368" t="s">
        <v>36</v>
      </c>
      <c r="M3368" t="s">
        <v>19177</v>
      </c>
      <c r="N3368" t="s">
        <v>714</v>
      </c>
      <c r="O3368" t="s">
        <v>10263</v>
      </c>
      <c r="P3368" t="s">
        <v>12</v>
      </c>
    </row>
    <row r="3369">
      <c r="A3369">
        <f>HYPERLINK("http://bombeiros.sp.gov.br/hidrantes/03individual/1150.html","1150")</f>
      </c>
      <c r="B3369" t="s">
        <v>623</v>
      </c>
      <c r="C3369" t="s">
        <v>714</v>
      </c>
      <c r="D3369" t="s">
        <v>714</v>
      </c>
      <c r="E3369" t="s">
        <v>64</v>
      </c>
      <c r="F3369" t="s">
        <v>10485</v>
      </c>
      <c r="G3369" t="s">
        <v>17913</v>
      </c>
      <c r="H3369" t="s">
        <v>1112</v>
      </c>
      <c r="I3369" t="s">
        <v>1108</v>
      </c>
      <c r="J3369" t="s">
        <v>10486</v>
      </c>
      <c r="K3369" t="s">
        <v>10487</v>
      </c>
      <c r="L3369" t="s">
        <v>36</v>
      </c>
      <c r="M3369" t="s">
        <v>19177</v>
      </c>
      <c r="N3369" t="s">
        <v>714</v>
      </c>
      <c r="O3369" t="s">
        <v>10263</v>
      </c>
      <c r="P3369" t="s">
        <v>12</v>
      </c>
    </row>
    <row r="3370">
      <c r="A3370">
        <f>HYPERLINK("http://bombeiros.sp.gov.br/hidrantes/03individual/1152.html","1152")</f>
      </c>
      <c r="B3370" t="s">
        <v>623</v>
      </c>
      <c r="C3370" t="s">
        <v>714</v>
      </c>
      <c r="D3370" t="s">
        <v>714</v>
      </c>
      <c r="E3370" t="s">
        <v>64</v>
      </c>
      <c r="F3370" t="s">
        <v>10488</v>
      </c>
      <c r="G3370" t="s">
        <v>18164</v>
      </c>
      <c r="H3370" t="s">
        <v>1112</v>
      </c>
      <c r="I3370" t="s">
        <v>1108</v>
      </c>
      <c r="J3370" t="s">
        <v>10489</v>
      </c>
      <c r="K3370" t="s">
        <v>10490</v>
      </c>
      <c r="L3370" t="s">
        <v>36</v>
      </c>
      <c r="M3370" t="s">
        <v>19177</v>
      </c>
      <c r="N3370" t="s">
        <v>714</v>
      </c>
      <c r="O3370" t="s">
        <v>10263</v>
      </c>
      <c r="P3370" t="s">
        <v>12</v>
      </c>
    </row>
    <row r="3371">
      <c r="A3371">
        <f>HYPERLINK("http://bombeiros.sp.gov.br/hidrantes/03individual/1181.html","1181")</f>
      </c>
      <c r="B3371" t="s">
        <v>623</v>
      </c>
      <c r="C3371" t="s">
        <v>714</v>
      </c>
      <c r="D3371" t="s">
        <v>714</v>
      </c>
      <c r="E3371" t="s">
        <v>64</v>
      </c>
      <c r="F3371" t="s">
        <v>10491</v>
      </c>
      <c r="G3371" t="s">
        <v>18157</v>
      </c>
      <c r="H3371" t="s">
        <v>1112</v>
      </c>
      <c r="I3371" t="s">
        <v>1108</v>
      </c>
      <c r="J3371" t="s">
        <v>10492</v>
      </c>
      <c r="K3371" t="s">
        <v>10493</v>
      </c>
      <c r="L3371" t="s">
        <v>36</v>
      </c>
      <c r="M3371" t="s">
        <v>19177</v>
      </c>
      <c r="N3371" t="s">
        <v>714</v>
      </c>
      <c r="O3371" t="s">
        <v>10263</v>
      </c>
      <c r="P3371" t="s">
        <v>12</v>
      </c>
    </row>
    <row r="3372">
      <c r="A3372">
        <f>HYPERLINK("http://bombeiros.sp.gov.br/hidrantes/03individual/1473.html","1473")</f>
      </c>
      <c r="B3372" t="s">
        <v>623</v>
      </c>
      <c r="C3372" t="s">
        <v>714</v>
      </c>
      <c r="D3372" t="s">
        <v>714</v>
      </c>
      <c r="E3372" t="s">
        <v>64</v>
      </c>
      <c r="F3372" t="s">
        <v>10494</v>
      </c>
      <c r="G3372" t="s">
        <v>18210</v>
      </c>
      <c r="H3372" t="s">
        <v>1112</v>
      </c>
      <c r="I3372" t="s">
        <v>1108</v>
      </c>
      <c r="J3372" t="s">
        <v>10495</v>
      </c>
      <c r="K3372" t="s">
        <v>10496</v>
      </c>
      <c r="L3372" t="s">
        <v>36</v>
      </c>
      <c r="M3372" t="s">
        <v>19177</v>
      </c>
      <c r="N3372" t="s">
        <v>714</v>
      </c>
      <c r="O3372" t="s">
        <v>10263</v>
      </c>
      <c r="P3372" t="s">
        <v>12</v>
      </c>
    </row>
    <row r="3373">
      <c r="A3373">
        <f>HYPERLINK("http://bombeiros.sp.gov.br/hidrantes/03individual/1477.html","1477")</f>
      </c>
      <c r="B3373" t="s">
        <v>623</v>
      </c>
      <c r="C3373" t="s">
        <v>714</v>
      </c>
      <c r="D3373" t="s">
        <v>714</v>
      </c>
      <c r="E3373" t="s">
        <v>64</v>
      </c>
      <c r="F3373" t="s">
        <v>10497</v>
      </c>
      <c r="G3373" t="s">
        <v>18107</v>
      </c>
      <c r="H3373" t="s">
        <v>1112</v>
      </c>
      <c r="I3373" t="s">
        <v>1108</v>
      </c>
      <c r="J3373" t="s">
        <v>10498</v>
      </c>
      <c r="K3373" t="s">
        <v>10499</v>
      </c>
      <c r="L3373" t="s">
        <v>21</v>
      </c>
      <c r="M3373" t="s">
        <v>19177</v>
      </c>
      <c r="N3373" t="s">
        <v>714</v>
      </c>
      <c r="O3373" t="s">
        <v>10263</v>
      </c>
      <c r="P3373" t="s">
        <v>12</v>
      </c>
    </row>
    <row r="3374">
      <c r="A3374">
        <f>HYPERLINK("http://bombeiros.sp.gov.br/hidrantes/03individual/2145.html","2145")</f>
      </c>
      <c r="B3374" t="s">
        <v>623</v>
      </c>
      <c r="C3374" t="s">
        <v>714</v>
      </c>
      <c r="D3374" t="s">
        <v>714</v>
      </c>
      <c r="E3374" t="s">
        <v>64</v>
      </c>
      <c r="F3374" t="s">
        <v>10500</v>
      </c>
      <c r="G3374" t="s">
        <v>18107</v>
      </c>
      <c r="H3374" t="s">
        <v>1112</v>
      </c>
      <c r="I3374" t="s">
        <v>1108</v>
      </c>
      <c r="J3374" t="s">
        <v>10501</v>
      </c>
      <c r="K3374" t="s">
        <v>10502</v>
      </c>
      <c r="L3374" t="s">
        <v>36</v>
      </c>
      <c r="M3374" t="s">
        <v>19177</v>
      </c>
      <c r="N3374" t="s">
        <v>714</v>
      </c>
      <c r="O3374" t="s">
        <v>10263</v>
      </c>
      <c r="P3374" t="s">
        <v>12</v>
      </c>
    </row>
    <row r="3375">
      <c r="A3375">
        <f>HYPERLINK("http://bombeiros.sp.gov.br/hidrantes/03individual/2201.html","2201")</f>
      </c>
      <c r="B3375" t="s">
        <v>623</v>
      </c>
      <c r="C3375" t="s">
        <v>714</v>
      </c>
      <c r="D3375" t="s">
        <v>714</v>
      </c>
      <c r="E3375" t="s">
        <v>64</v>
      </c>
      <c r="F3375" t="s">
        <v>10503</v>
      </c>
      <c r="G3375" t="s">
        <v>18151</v>
      </c>
      <c r="H3375" t="s">
        <v>1112</v>
      </c>
      <c r="I3375" t="s">
        <v>1108</v>
      </c>
      <c r="J3375" t="s">
        <v>10504</v>
      </c>
      <c r="K3375" t="s">
        <v>10505</v>
      </c>
      <c r="L3375" t="s">
        <v>21</v>
      </c>
      <c r="M3375" t="s">
        <v>19177</v>
      </c>
      <c r="N3375" t="s">
        <v>714</v>
      </c>
      <c r="O3375" t="s">
        <v>10263</v>
      </c>
      <c r="P3375" t="s">
        <v>12</v>
      </c>
    </row>
    <row r="3376">
      <c r="A3376">
        <f>HYPERLINK("http://bombeiros.sp.gov.br/hidrantes/03individual/2245.html","2245")</f>
      </c>
      <c r="B3376" t="s">
        <v>623</v>
      </c>
      <c r="C3376" t="s">
        <v>714</v>
      </c>
      <c r="D3376" t="s">
        <v>714</v>
      </c>
      <c r="E3376" t="s">
        <v>64</v>
      </c>
      <c r="F3376" t="s">
        <v>10506</v>
      </c>
      <c r="G3376" t="s">
        <v>18090</v>
      </c>
      <c r="H3376" t="s">
        <v>1112</v>
      </c>
      <c r="I3376" t="s">
        <v>1108</v>
      </c>
      <c r="J3376" t="s">
        <v>10507</v>
      </c>
      <c r="K3376" t="s">
        <v>10508</v>
      </c>
      <c r="L3376" t="s">
        <v>36</v>
      </c>
      <c r="M3376" t="s">
        <v>19177</v>
      </c>
      <c r="N3376" t="s">
        <v>714</v>
      </c>
      <c r="O3376" t="s">
        <v>10263</v>
      </c>
      <c r="P3376" t="s">
        <v>12</v>
      </c>
    </row>
    <row r="3377">
      <c r="A3377">
        <f>HYPERLINK("http://bombeiros.sp.gov.br/hidrantes/03individual/2255.html","2255")</f>
      </c>
      <c r="B3377" t="s">
        <v>623</v>
      </c>
      <c r="C3377" t="s">
        <v>714</v>
      </c>
      <c r="D3377" t="s">
        <v>714</v>
      </c>
      <c r="E3377" t="s">
        <v>64</v>
      </c>
      <c r="F3377" t="s">
        <v>10509</v>
      </c>
      <c r="G3377" t="s">
        <v>18107</v>
      </c>
      <c r="H3377" t="s">
        <v>1112</v>
      </c>
      <c r="I3377" t="s">
        <v>1108</v>
      </c>
      <c r="J3377" t="s">
        <v>10510</v>
      </c>
      <c r="K3377" t="s">
        <v>10511</v>
      </c>
      <c r="L3377" t="s">
        <v>36</v>
      </c>
      <c r="M3377" t="s">
        <v>19177</v>
      </c>
      <c r="N3377" t="s">
        <v>714</v>
      </c>
      <c r="O3377" t="s">
        <v>10263</v>
      </c>
      <c r="P3377" t="s">
        <v>12</v>
      </c>
    </row>
    <row r="3378">
      <c r="A3378">
        <f>HYPERLINK("http://bombeiros.sp.gov.br/hidrantes/03individual/17684.html","17684")</f>
      </c>
      <c r="B3378" t="s">
        <v>623</v>
      </c>
      <c r="C3378" t="s">
        <v>714</v>
      </c>
      <c r="D3378" t="s">
        <v>714</v>
      </c>
      <c r="E3378" t="s">
        <v>64</v>
      </c>
      <c r="F3378" t="s">
        <v>10512</v>
      </c>
      <c r="G3378" t="s">
        <v>17913</v>
      </c>
      <c r="H3378" t="s">
        <v>1112</v>
      </c>
      <c r="I3378" t="s">
        <v>1108</v>
      </c>
      <c r="J3378" t="s">
        <v>10513</v>
      </c>
      <c r="K3378" t="s">
        <v>10514</v>
      </c>
      <c r="L3378" t="s">
        <v>21</v>
      </c>
      <c r="M3378" t="s">
        <v>19177</v>
      </c>
      <c r="N3378" t="s">
        <v>714</v>
      </c>
      <c r="O3378" t="s">
        <v>10263</v>
      </c>
      <c r="P3378" t="s">
        <v>12</v>
      </c>
    </row>
    <row r="3379">
      <c r="A3379">
        <f>HYPERLINK("http://bombeiros.sp.gov.br/hidrantes/03individual/26955.html","26955")</f>
      </c>
      <c r="B3379" t="s">
        <v>623</v>
      </c>
      <c r="C3379" t="s">
        <v>714</v>
      </c>
      <c r="D3379" t="s">
        <v>714</v>
      </c>
      <c r="E3379" t="s">
        <v>64</v>
      </c>
      <c r="F3379" t="s">
        <v>16467</v>
      </c>
      <c r="G3379" t="s">
        <v>18090</v>
      </c>
      <c r="H3379" t="s">
        <v>1112</v>
      </c>
      <c r="I3379" t="s">
        <v>1108</v>
      </c>
      <c r="J3379" t="s">
        <v>16468</v>
      </c>
      <c r="K3379" t="s">
        <v>16469</v>
      </c>
      <c r="L3379" t="s">
        <v>21</v>
      </c>
      <c r="M3379" t="s">
        <v>19177</v>
      </c>
      <c r="N3379" t="s">
        <v>714</v>
      </c>
      <c r="O3379" t="s">
        <v>10263</v>
      </c>
      <c r="P3379" t="s">
        <v>12</v>
      </c>
    </row>
    <row r="3380">
      <c r="A3380">
        <f>HYPERLINK("http://bombeiros.sp.gov.br/hidrantes/03individual/1091.html","1091")</f>
      </c>
      <c r="B3380" t="s">
        <v>623</v>
      </c>
      <c r="C3380" t="s">
        <v>714</v>
      </c>
      <c r="D3380" t="s">
        <v>714</v>
      </c>
      <c r="E3380" t="s">
        <v>15</v>
      </c>
      <c r="F3380" t="s">
        <v>10515</v>
      </c>
      <c r="G3380" t="s">
        <v>18146</v>
      </c>
      <c r="H3380" t="s">
        <v>1112</v>
      </c>
      <c r="I3380" t="s">
        <v>1108</v>
      </c>
      <c r="J3380" t="s">
        <v>10516</v>
      </c>
      <c r="K3380" t="s">
        <v>10517</v>
      </c>
      <c r="L3380" t="s">
        <v>21</v>
      </c>
      <c r="M3380" t="s">
        <v>19177</v>
      </c>
      <c r="N3380" t="s">
        <v>714</v>
      </c>
      <c r="O3380" t="s">
        <v>10263</v>
      </c>
      <c r="P3380" t="s">
        <v>12</v>
      </c>
    </row>
    <row r="3381">
      <c r="A3381">
        <f>HYPERLINK("http://bombeiros.sp.gov.br/hidrantes/03individual/1109.html","1109")</f>
      </c>
      <c r="B3381" t="s">
        <v>623</v>
      </c>
      <c r="C3381" t="s">
        <v>714</v>
      </c>
      <c r="D3381" t="s">
        <v>714</v>
      </c>
      <c r="E3381" t="s">
        <v>15</v>
      </c>
      <c r="F3381" t="s">
        <v>10518</v>
      </c>
      <c r="G3381" t="s">
        <v>17911</v>
      </c>
      <c r="H3381" t="s">
        <v>1112</v>
      </c>
      <c r="I3381" t="s">
        <v>1108</v>
      </c>
      <c r="J3381" t="s">
        <v>10519</v>
      </c>
      <c r="K3381" t="s">
        <v>10520</v>
      </c>
      <c r="L3381" t="s">
        <v>21</v>
      </c>
      <c r="M3381" t="s">
        <v>19177</v>
      </c>
      <c r="N3381" t="s">
        <v>714</v>
      </c>
      <c r="O3381" t="s">
        <v>10263</v>
      </c>
      <c r="P3381" t="s">
        <v>12</v>
      </c>
    </row>
    <row r="3382">
      <c r="A3382">
        <f>HYPERLINK("http://bombeiros.sp.gov.br/hidrantes/03individual/1111.html","1111")</f>
      </c>
      <c r="B3382" t="s">
        <v>623</v>
      </c>
      <c r="C3382" t="s">
        <v>714</v>
      </c>
      <c r="D3382" t="s">
        <v>714</v>
      </c>
      <c r="E3382" t="s">
        <v>15</v>
      </c>
      <c r="F3382" t="s">
        <v>10521</v>
      </c>
      <c r="G3382" t="s">
        <v>18154</v>
      </c>
      <c r="H3382" t="s">
        <v>1121</v>
      </c>
      <c r="I3382" t="s">
        <v>1117</v>
      </c>
      <c r="J3382" t="s">
        <v>10522</v>
      </c>
      <c r="K3382" t="s">
        <v>10523</v>
      </c>
      <c r="L3382" t="s">
        <v>21</v>
      </c>
      <c r="M3382" t="s">
        <v>19177</v>
      </c>
      <c r="N3382" t="s">
        <v>714</v>
      </c>
      <c r="O3382" t="s">
        <v>10263</v>
      </c>
      <c r="P3382" t="s">
        <v>12</v>
      </c>
    </row>
    <row r="3383">
      <c r="A3383">
        <f>HYPERLINK("http://bombeiros.sp.gov.br/hidrantes/03individual/1115.html","1115")</f>
      </c>
      <c r="B3383" t="s">
        <v>623</v>
      </c>
      <c r="C3383" t="s">
        <v>714</v>
      </c>
      <c r="D3383" t="s">
        <v>714</v>
      </c>
      <c r="E3383" t="s">
        <v>15</v>
      </c>
      <c r="F3383" t="s">
        <v>10524</v>
      </c>
      <c r="G3383" t="s">
        <v>18154</v>
      </c>
      <c r="H3383" t="s">
        <v>1112</v>
      </c>
      <c r="I3383" t="s">
        <v>1108</v>
      </c>
      <c r="J3383" t="s">
        <v>10525</v>
      </c>
      <c r="K3383" t="s">
        <v>10526</v>
      </c>
      <c r="L3383" t="s">
        <v>21</v>
      </c>
      <c r="M3383" t="s">
        <v>19177</v>
      </c>
      <c r="N3383" t="s">
        <v>714</v>
      </c>
      <c r="O3383" t="s">
        <v>10263</v>
      </c>
      <c r="P3383" t="s">
        <v>12</v>
      </c>
    </row>
    <row r="3384">
      <c r="A3384">
        <f>HYPERLINK("http://bombeiros.sp.gov.br/hidrantes/03individual/1117.html","1117")</f>
      </c>
      <c r="B3384" t="s">
        <v>623</v>
      </c>
      <c r="C3384" t="s">
        <v>714</v>
      </c>
      <c r="D3384" t="s">
        <v>714</v>
      </c>
      <c r="E3384" t="s">
        <v>15</v>
      </c>
      <c r="F3384" t="s">
        <v>10527</v>
      </c>
      <c r="G3384" t="s">
        <v>18107</v>
      </c>
      <c r="H3384" t="s">
        <v>1112</v>
      </c>
      <c r="I3384" t="s">
        <v>1108</v>
      </c>
      <c r="J3384" t="s">
        <v>10528</v>
      </c>
      <c r="K3384" t="s">
        <v>10529</v>
      </c>
      <c r="L3384" t="s">
        <v>21</v>
      </c>
      <c r="M3384" t="s">
        <v>19177</v>
      </c>
      <c r="N3384" t="s">
        <v>714</v>
      </c>
      <c r="O3384" t="s">
        <v>10263</v>
      </c>
      <c r="P3384" t="s">
        <v>12</v>
      </c>
    </row>
    <row r="3385">
      <c r="A3385">
        <f>HYPERLINK("http://bombeiros.sp.gov.br/hidrantes/03individual/1118.html","1118")</f>
      </c>
      <c r="B3385" t="s">
        <v>623</v>
      </c>
      <c r="C3385" t="s">
        <v>714</v>
      </c>
      <c r="D3385" t="s">
        <v>714</v>
      </c>
      <c r="E3385" t="s">
        <v>15</v>
      </c>
      <c r="F3385" t="s">
        <v>10530</v>
      </c>
      <c r="G3385" t="s">
        <v>18146</v>
      </c>
      <c r="H3385" t="s">
        <v>1112</v>
      </c>
      <c r="I3385" t="s">
        <v>1108</v>
      </c>
      <c r="J3385" t="s">
        <v>10531</v>
      </c>
      <c r="K3385" t="s">
        <v>10532</v>
      </c>
      <c r="L3385" t="s">
        <v>21</v>
      </c>
      <c r="M3385" t="s">
        <v>19177</v>
      </c>
      <c r="N3385" t="s">
        <v>714</v>
      </c>
      <c r="O3385" t="s">
        <v>10263</v>
      </c>
      <c r="P3385" t="s">
        <v>12</v>
      </c>
    </row>
    <row r="3386">
      <c r="A3386">
        <f>HYPERLINK("http://bombeiros.sp.gov.br/hidrantes/03individual/1120.html","1120")</f>
      </c>
      <c r="B3386" t="s">
        <v>623</v>
      </c>
      <c r="C3386" t="s">
        <v>714</v>
      </c>
      <c r="D3386" t="s">
        <v>714</v>
      </c>
      <c r="E3386" t="s">
        <v>15</v>
      </c>
      <c r="F3386" t="s">
        <v>10533</v>
      </c>
      <c r="G3386" t="s">
        <v>18154</v>
      </c>
      <c r="H3386" t="s">
        <v>1112</v>
      </c>
      <c r="I3386" t="s">
        <v>1108</v>
      </c>
      <c r="J3386" t="s">
        <v>10534</v>
      </c>
      <c r="K3386" t="s">
        <v>10535</v>
      </c>
      <c r="L3386" t="s">
        <v>21</v>
      </c>
      <c r="M3386" t="s">
        <v>19177</v>
      </c>
      <c r="N3386" t="s">
        <v>714</v>
      </c>
      <c r="O3386" t="s">
        <v>10263</v>
      </c>
      <c r="P3386" t="s">
        <v>12</v>
      </c>
    </row>
    <row r="3387">
      <c r="A3387">
        <f>HYPERLINK("http://bombeiros.sp.gov.br/hidrantes/03individual/1122.html","1122")</f>
      </c>
      <c r="B3387" t="s">
        <v>623</v>
      </c>
      <c r="C3387" t="s">
        <v>714</v>
      </c>
      <c r="D3387" t="s">
        <v>714</v>
      </c>
      <c r="E3387" t="s">
        <v>15</v>
      </c>
      <c r="F3387" t="s">
        <v>10536</v>
      </c>
      <c r="G3387" t="s">
        <v>18090</v>
      </c>
      <c r="H3387" t="s">
        <v>1112</v>
      </c>
      <c r="I3387" t="s">
        <v>1108</v>
      </c>
      <c r="J3387" t="s">
        <v>10537</v>
      </c>
      <c r="K3387" t="s">
        <v>10538</v>
      </c>
      <c r="L3387" t="s">
        <v>21</v>
      </c>
      <c r="M3387" t="s">
        <v>19177</v>
      </c>
      <c r="N3387" t="s">
        <v>714</v>
      </c>
      <c r="O3387" t="s">
        <v>10263</v>
      </c>
      <c r="P3387" t="s">
        <v>12</v>
      </c>
    </row>
    <row r="3388">
      <c r="A3388">
        <f>HYPERLINK("http://bombeiros.sp.gov.br/hidrantes/03individual/1126.html","1126")</f>
      </c>
      <c r="B3388" t="s">
        <v>623</v>
      </c>
      <c r="C3388" t="s">
        <v>714</v>
      </c>
      <c r="D3388" t="s">
        <v>714</v>
      </c>
      <c r="E3388" t="s">
        <v>15</v>
      </c>
      <c r="F3388" t="s">
        <v>10539</v>
      </c>
      <c r="G3388" t="s">
        <v>18107</v>
      </c>
      <c r="H3388" t="s">
        <v>1112</v>
      </c>
      <c r="I3388" t="s">
        <v>1108</v>
      </c>
      <c r="J3388" t="s">
        <v>10540</v>
      </c>
      <c r="K3388" t="s">
        <v>10541</v>
      </c>
      <c r="L3388" t="s">
        <v>36</v>
      </c>
      <c r="M3388" t="s">
        <v>19177</v>
      </c>
      <c r="N3388" t="s">
        <v>714</v>
      </c>
      <c r="O3388" t="s">
        <v>10263</v>
      </c>
      <c r="P3388" t="s">
        <v>12</v>
      </c>
    </row>
    <row r="3389">
      <c r="A3389">
        <f>HYPERLINK("http://bombeiros.sp.gov.br/hidrantes/03individual/1131.html","1131")</f>
      </c>
      <c r="B3389" t="s">
        <v>623</v>
      </c>
      <c r="C3389" t="s">
        <v>714</v>
      </c>
      <c r="D3389" t="s">
        <v>714</v>
      </c>
      <c r="E3389" t="s">
        <v>15</v>
      </c>
      <c r="F3389" t="s">
        <v>10542</v>
      </c>
      <c r="G3389" t="s">
        <v>18210</v>
      </c>
      <c r="H3389" t="s">
        <v>1112</v>
      </c>
      <c r="I3389" t="s">
        <v>1108</v>
      </c>
      <c r="J3389" t="s">
        <v>10543</v>
      </c>
      <c r="K3389" t="s">
        <v>10544</v>
      </c>
      <c r="L3389" t="s">
        <v>21</v>
      </c>
      <c r="M3389" t="s">
        <v>19177</v>
      </c>
      <c r="N3389" t="s">
        <v>714</v>
      </c>
      <c r="O3389" t="s">
        <v>10263</v>
      </c>
      <c r="P3389" t="s">
        <v>12</v>
      </c>
    </row>
    <row r="3390">
      <c r="A3390">
        <f>HYPERLINK("http://bombeiros.sp.gov.br/hidrantes/03individual/1149.html","1149")</f>
      </c>
      <c r="B3390" t="s">
        <v>623</v>
      </c>
      <c r="C3390" t="s">
        <v>714</v>
      </c>
      <c r="D3390" t="s">
        <v>714</v>
      </c>
      <c r="E3390" t="s">
        <v>15</v>
      </c>
      <c r="F3390" t="s">
        <v>719</v>
      </c>
      <c r="G3390" t="s">
        <v>18107</v>
      </c>
      <c r="H3390" t="s">
        <v>1121</v>
      </c>
      <c r="I3390" t="s">
        <v>1117</v>
      </c>
      <c r="J3390" t="s">
        <v>15906</v>
      </c>
      <c r="K3390" t="s">
        <v>15907</v>
      </c>
      <c r="L3390" t="s">
        <v>21</v>
      </c>
      <c r="M3390" t="s">
        <v>19177</v>
      </c>
      <c r="N3390" t="s">
        <v>714</v>
      </c>
      <c r="O3390" t="s">
        <v>10263</v>
      </c>
      <c r="P3390" t="s">
        <v>12</v>
      </c>
    </row>
    <row r="3391">
      <c r="A3391">
        <f>HYPERLINK("http://bombeiros.sp.gov.br/hidrantes/03individual/1162.html","1162")</f>
      </c>
      <c r="B3391" t="s">
        <v>623</v>
      </c>
      <c r="C3391" t="s">
        <v>714</v>
      </c>
      <c r="D3391" t="s">
        <v>714</v>
      </c>
      <c r="E3391" t="s">
        <v>15</v>
      </c>
      <c r="F3391" t="s">
        <v>10545</v>
      </c>
      <c r="G3391" t="s">
        <v>18107</v>
      </c>
      <c r="H3391" t="s">
        <v>1112</v>
      </c>
      <c r="I3391" t="s">
        <v>1108</v>
      </c>
      <c r="J3391" t="s">
        <v>10546</v>
      </c>
      <c r="K3391" t="s">
        <v>10547</v>
      </c>
      <c r="L3391" t="s">
        <v>21</v>
      </c>
      <c r="M3391" t="s">
        <v>19177</v>
      </c>
      <c r="N3391" t="s">
        <v>714</v>
      </c>
      <c r="O3391" t="s">
        <v>10263</v>
      </c>
      <c r="P3391" t="s">
        <v>12</v>
      </c>
    </row>
    <row r="3392">
      <c r="A3392">
        <f>HYPERLINK("http://bombeiros.sp.gov.br/hidrantes/03individual/1163.html","1163")</f>
      </c>
      <c r="B3392" t="s">
        <v>623</v>
      </c>
      <c r="C3392" t="s">
        <v>714</v>
      </c>
      <c r="D3392" t="s">
        <v>714</v>
      </c>
      <c r="E3392" t="s">
        <v>15</v>
      </c>
      <c r="F3392" t="s">
        <v>10548</v>
      </c>
      <c r="G3392" t="s">
        <v>18107</v>
      </c>
      <c r="H3392" t="s">
        <v>1112</v>
      </c>
      <c r="I3392" t="s">
        <v>1108</v>
      </c>
      <c r="J3392" t="s">
        <v>10549</v>
      </c>
      <c r="K3392" t="s">
        <v>10550</v>
      </c>
      <c r="L3392" t="s">
        <v>21</v>
      </c>
      <c r="M3392" t="s">
        <v>19177</v>
      </c>
      <c r="N3392" t="s">
        <v>714</v>
      </c>
      <c r="O3392" t="s">
        <v>10263</v>
      </c>
      <c r="P3392" t="s">
        <v>12</v>
      </c>
    </row>
    <row r="3393">
      <c r="A3393">
        <f>HYPERLINK("http://bombeiros.sp.gov.br/hidrantes/03individual/1170.html","1170")</f>
      </c>
      <c r="B3393" t="s">
        <v>623</v>
      </c>
      <c r="C3393" t="s">
        <v>714</v>
      </c>
      <c r="D3393" t="s">
        <v>714</v>
      </c>
      <c r="E3393" t="s">
        <v>15</v>
      </c>
      <c r="F3393" t="s">
        <v>10551</v>
      </c>
      <c r="G3393" t="s">
        <v>18090</v>
      </c>
      <c r="H3393" t="s">
        <v>1112</v>
      </c>
      <c r="I3393" t="s">
        <v>1108</v>
      </c>
      <c r="J3393" t="s">
        <v>10552</v>
      </c>
      <c r="K3393" t="s">
        <v>10553</v>
      </c>
      <c r="L3393" t="s">
        <v>21</v>
      </c>
      <c r="M3393" t="s">
        <v>19177</v>
      </c>
      <c r="N3393" t="s">
        <v>714</v>
      </c>
      <c r="O3393" t="s">
        <v>10263</v>
      </c>
      <c r="P3393" t="s">
        <v>12</v>
      </c>
    </row>
    <row r="3394">
      <c r="A3394">
        <f>HYPERLINK("http://bombeiros.sp.gov.br/hidrantes/03individual/1182.html","1182")</f>
      </c>
      <c r="B3394" t="s">
        <v>623</v>
      </c>
      <c r="C3394" t="s">
        <v>714</v>
      </c>
      <c r="D3394" t="s">
        <v>714</v>
      </c>
      <c r="E3394" t="s">
        <v>15</v>
      </c>
      <c r="F3394" t="s">
        <v>10554</v>
      </c>
      <c r="G3394" t="s">
        <v>17949</v>
      </c>
      <c r="H3394" t="s">
        <v>1112</v>
      </c>
      <c r="I3394" t="s">
        <v>1108</v>
      </c>
      <c r="J3394" t="s">
        <v>10555</v>
      </c>
      <c r="K3394" t="s">
        <v>10556</v>
      </c>
      <c r="L3394" t="s">
        <v>21</v>
      </c>
      <c r="M3394" t="s">
        <v>19177</v>
      </c>
      <c r="N3394" t="s">
        <v>714</v>
      </c>
      <c r="O3394" t="s">
        <v>10263</v>
      </c>
      <c r="P3394" t="s">
        <v>12</v>
      </c>
    </row>
    <row r="3395">
      <c r="A3395">
        <f>HYPERLINK("http://bombeiros.sp.gov.br/hidrantes/03individual/1185.html","1185")</f>
      </c>
      <c r="B3395" t="s">
        <v>623</v>
      </c>
      <c r="C3395" t="s">
        <v>714</v>
      </c>
      <c r="D3395" t="s">
        <v>714</v>
      </c>
      <c r="E3395" t="s">
        <v>15</v>
      </c>
      <c r="F3395" t="s">
        <v>10557</v>
      </c>
      <c r="G3395" t="s">
        <v>17911</v>
      </c>
      <c r="H3395" t="s">
        <v>1112</v>
      </c>
      <c r="I3395" t="s">
        <v>1108</v>
      </c>
      <c r="J3395" t="s">
        <v>10558</v>
      </c>
      <c r="K3395" t="s">
        <v>10559</v>
      </c>
      <c r="L3395" t="s">
        <v>21</v>
      </c>
      <c r="M3395" t="s">
        <v>19177</v>
      </c>
      <c r="N3395" t="s">
        <v>714</v>
      </c>
      <c r="O3395" t="s">
        <v>10263</v>
      </c>
      <c r="P3395" t="s">
        <v>12</v>
      </c>
    </row>
    <row r="3396">
      <c r="A3396">
        <f>HYPERLINK("http://bombeiros.sp.gov.br/hidrantes/03individual/1469.html","1469")</f>
      </c>
      <c r="B3396" t="s">
        <v>623</v>
      </c>
      <c r="C3396" t="s">
        <v>714</v>
      </c>
      <c r="D3396" t="s">
        <v>714</v>
      </c>
      <c r="E3396" t="s">
        <v>15</v>
      </c>
      <c r="F3396" t="s">
        <v>10560</v>
      </c>
      <c r="G3396" t="s">
        <v>18090</v>
      </c>
      <c r="H3396" t="s">
        <v>1112</v>
      </c>
      <c r="I3396" t="s">
        <v>1108</v>
      </c>
      <c r="J3396" t="s">
        <v>10561</v>
      </c>
      <c r="K3396" t="s">
        <v>10562</v>
      </c>
      <c r="L3396" t="s">
        <v>21</v>
      </c>
      <c r="M3396" t="s">
        <v>19177</v>
      </c>
      <c r="N3396" t="s">
        <v>714</v>
      </c>
      <c r="O3396" t="s">
        <v>10263</v>
      </c>
      <c r="P3396" t="s">
        <v>12</v>
      </c>
    </row>
    <row r="3397">
      <c r="A3397">
        <f>HYPERLINK("http://bombeiros.sp.gov.br/hidrantes/03individual/1474.html","1474")</f>
      </c>
      <c r="B3397" t="s">
        <v>623</v>
      </c>
      <c r="C3397" t="s">
        <v>714</v>
      </c>
      <c r="D3397" t="s">
        <v>714</v>
      </c>
      <c r="E3397" t="s">
        <v>15</v>
      </c>
      <c r="F3397" t="s">
        <v>722</v>
      </c>
      <c r="G3397" t="s">
        <v>18151</v>
      </c>
      <c r="H3397"/>
      <c r="I3397" t="s">
        <v>18</v>
      </c>
      <c r="J3397" t="s">
        <v>723</v>
      </c>
      <c r="K3397" t="s">
        <v>724</v>
      </c>
      <c r="L3397" t="s">
        <v>21</v>
      </c>
      <c r="M3397" t="s">
        <v>19177</v>
      </c>
      <c r="N3397" t="s">
        <v>714</v>
      </c>
      <c r="O3397" t="s">
        <v>10263</v>
      </c>
      <c r="P3397" t="s">
        <v>12</v>
      </c>
    </row>
    <row r="3398">
      <c r="A3398">
        <f>HYPERLINK("http://bombeiros.sp.gov.br/hidrantes/03individual/1475.html","1475")</f>
      </c>
      <c r="B3398" t="s">
        <v>623</v>
      </c>
      <c r="C3398" t="s">
        <v>714</v>
      </c>
      <c r="D3398" t="s">
        <v>714</v>
      </c>
      <c r="E3398" t="s">
        <v>15</v>
      </c>
      <c r="F3398" t="s">
        <v>10563</v>
      </c>
      <c r="G3398" t="s">
        <v>18151</v>
      </c>
      <c r="H3398" t="s">
        <v>1174</v>
      </c>
      <c r="I3398" t="s">
        <v>1117</v>
      </c>
      <c r="J3398" t="s">
        <v>10564</v>
      </c>
      <c r="K3398" t="s">
        <v>10565</v>
      </c>
      <c r="L3398" t="s">
        <v>21</v>
      </c>
      <c r="M3398" t="s">
        <v>19177</v>
      </c>
      <c r="N3398" t="s">
        <v>714</v>
      </c>
      <c r="O3398" t="s">
        <v>10263</v>
      </c>
      <c r="P3398" t="s">
        <v>12</v>
      </c>
    </row>
    <row r="3399">
      <c r="A3399">
        <f>HYPERLINK("http://bombeiros.sp.gov.br/hidrantes/03individual/1476.html","1476")</f>
      </c>
      <c r="B3399" t="s">
        <v>623</v>
      </c>
      <c r="C3399" t="s">
        <v>714</v>
      </c>
      <c r="D3399" t="s">
        <v>714</v>
      </c>
      <c r="E3399" t="s">
        <v>15</v>
      </c>
      <c r="F3399" t="s">
        <v>10566</v>
      </c>
      <c r="G3399" t="s">
        <v>18151</v>
      </c>
      <c r="H3399" t="s">
        <v>1112</v>
      </c>
      <c r="I3399" t="s">
        <v>1108</v>
      </c>
      <c r="J3399" t="s">
        <v>10567</v>
      </c>
      <c r="K3399" t="s">
        <v>10568</v>
      </c>
      <c r="L3399" t="s">
        <v>21</v>
      </c>
      <c r="M3399" t="s">
        <v>19177</v>
      </c>
      <c r="N3399" t="s">
        <v>714</v>
      </c>
      <c r="O3399" t="s">
        <v>10263</v>
      </c>
      <c r="P3399" t="s">
        <v>12</v>
      </c>
    </row>
    <row r="3400">
      <c r="A3400">
        <f>HYPERLINK("http://bombeiros.sp.gov.br/hidrantes/03individual/1479.html","1479")</f>
      </c>
      <c r="B3400" t="s">
        <v>623</v>
      </c>
      <c r="C3400" t="s">
        <v>714</v>
      </c>
      <c r="D3400" t="s">
        <v>714</v>
      </c>
      <c r="E3400" t="s">
        <v>15</v>
      </c>
      <c r="F3400" t="s">
        <v>10569</v>
      </c>
      <c r="G3400" t="s">
        <v>18107</v>
      </c>
      <c r="H3400" t="s">
        <v>1112</v>
      </c>
      <c r="I3400" t="s">
        <v>1108</v>
      </c>
      <c r="J3400" t="s">
        <v>10570</v>
      </c>
      <c r="K3400" t="s">
        <v>10571</v>
      </c>
      <c r="L3400" t="s">
        <v>21</v>
      </c>
      <c r="M3400" t="s">
        <v>19177</v>
      </c>
      <c r="N3400" t="s">
        <v>714</v>
      </c>
      <c r="O3400" t="s">
        <v>10263</v>
      </c>
      <c r="P3400" t="s">
        <v>12</v>
      </c>
    </row>
    <row r="3401">
      <c r="A3401">
        <f>HYPERLINK("http://bombeiros.sp.gov.br/hidrantes/03individual/1482.html","1482")</f>
      </c>
      <c r="B3401" t="s">
        <v>623</v>
      </c>
      <c r="C3401" t="s">
        <v>714</v>
      </c>
      <c r="D3401" t="s">
        <v>714</v>
      </c>
      <c r="E3401" t="s">
        <v>15</v>
      </c>
      <c r="F3401" t="s">
        <v>10572</v>
      </c>
      <c r="G3401" t="s">
        <v>18090</v>
      </c>
      <c r="H3401" t="s">
        <v>1112</v>
      </c>
      <c r="I3401" t="s">
        <v>1108</v>
      </c>
      <c r="J3401" t="s">
        <v>10573</v>
      </c>
      <c r="K3401" t="s">
        <v>10574</v>
      </c>
      <c r="L3401" t="s">
        <v>21</v>
      </c>
      <c r="M3401" t="s">
        <v>19177</v>
      </c>
      <c r="N3401" t="s">
        <v>714</v>
      </c>
      <c r="O3401" t="s">
        <v>10263</v>
      </c>
      <c r="P3401" t="s">
        <v>12</v>
      </c>
    </row>
    <row r="3402">
      <c r="A3402">
        <f>HYPERLINK("http://bombeiros.sp.gov.br/hidrantes/03individual/1491.html","1491")</f>
      </c>
      <c r="B3402" t="s">
        <v>623</v>
      </c>
      <c r="C3402" t="s">
        <v>714</v>
      </c>
      <c r="D3402" t="s">
        <v>714</v>
      </c>
      <c r="E3402" t="s">
        <v>15</v>
      </c>
      <c r="F3402" t="s">
        <v>10575</v>
      </c>
      <c r="G3402" t="s">
        <v>18210</v>
      </c>
      <c r="H3402" t="s">
        <v>1112</v>
      </c>
      <c r="I3402" t="s">
        <v>1108</v>
      </c>
      <c r="J3402" t="s">
        <v>10576</v>
      </c>
      <c r="K3402" t="s">
        <v>10577</v>
      </c>
      <c r="L3402" t="s">
        <v>21</v>
      </c>
      <c r="M3402" t="s">
        <v>19177</v>
      </c>
      <c r="N3402" t="s">
        <v>714</v>
      </c>
      <c r="O3402" t="s">
        <v>10263</v>
      </c>
      <c r="P3402" t="s">
        <v>12</v>
      </c>
    </row>
    <row r="3403">
      <c r="A3403">
        <f>HYPERLINK("http://bombeiros.sp.gov.br/hidrantes/03individual/1493.html","1493")</f>
      </c>
      <c r="B3403" t="s">
        <v>623</v>
      </c>
      <c r="C3403" t="s">
        <v>714</v>
      </c>
      <c r="D3403" t="s">
        <v>714</v>
      </c>
      <c r="E3403" t="s">
        <v>15</v>
      </c>
      <c r="F3403" t="s">
        <v>10578</v>
      </c>
      <c r="G3403" t="s">
        <v>18146</v>
      </c>
      <c r="H3403" t="s">
        <v>1112</v>
      </c>
      <c r="I3403" t="s">
        <v>1108</v>
      </c>
      <c r="J3403" t="s">
        <v>10579</v>
      </c>
      <c r="K3403" t="s">
        <v>10580</v>
      </c>
      <c r="L3403" t="s">
        <v>21</v>
      </c>
      <c r="M3403" t="s">
        <v>19177</v>
      </c>
      <c r="N3403" t="s">
        <v>714</v>
      </c>
      <c r="O3403" t="s">
        <v>10263</v>
      </c>
      <c r="P3403" t="s">
        <v>12</v>
      </c>
    </row>
    <row r="3404">
      <c r="A3404">
        <f>HYPERLINK("http://bombeiros.sp.gov.br/hidrantes/03individual/1494.html","1494")</f>
      </c>
      <c r="B3404" t="s">
        <v>623</v>
      </c>
      <c r="C3404" t="s">
        <v>714</v>
      </c>
      <c r="D3404" t="s">
        <v>714</v>
      </c>
      <c r="E3404" t="s">
        <v>15</v>
      </c>
      <c r="F3404" t="s">
        <v>10581</v>
      </c>
      <c r="G3404" t="s">
        <v>18090</v>
      </c>
      <c r="H3404" t="s">
        <v>1112</v>
      </c>
      <c r="I3404" t="s">
        <v>1108</v>
      </c>
      <c r="J3404" t="s">
        <v>10582</v>
      </c>
      <c r="K3404" t="s">
        <v>10583</v>
      </c>
      <c r="L3404" t="s">
        <v>21</v>
      </c>
      <c r="M3404" t="s">
        <v>19177</v>
      </c>
      <c r="N3404" t="s">
        <v>714</v>
      </c>
      <c r="O3404" t="s">
        <v>10263</v>
      </c>
      <c r="P3404" t="s">
        <v>12</v>
      </c>
    </row>
    <row r="3405">
      <c r="A3405">
        <f>HYPERLINK("http://bombeiros.sp.gov.br/hidrantes/03individual/1513.html","1513")</f>
      </c>
      <c r="B3405" t="s">
        <v>623</v>
      </c>
      <c r="C3405" t="s">
        <v>714</v>
      </c>
      <c r="D3405" t="s">
        <v>714</v>
      </c>
      <c r="E3405" t="s">
        <v>15</v>
      </c>
      <c r="F3405" t="s">
        <v>10506</v>
      </c>
      <c r="G3405" t="s">
        <v>18107</v>
      </c>
      <c r="H3405" t="s">
        <v>1112</v>
      </c>
      <c r="I3405" t="s">
        <v>1108</v>
      </c>
      <c r="J3405" t="s">
        <v>10584</v>
      </c>
      <c r="K3405" t="s">
        <v>10585</v>
      </c>
      <c r="L3405" t="s">
        <v>21</v>
      </c>
      <c r="M3405" t="s">
        <v>19177</v>
      </c>
      <c r="N3405" t="s">
        <v>714</v>
      </c>
      <c r="O3405" t="s">
        <v>10263</v>
      </c>
      <c r="P3405" t="s">
        <v>12</v>
      </c>
    </row>
    <row r="3406">
      <c r="A3406">
        <f>HYPERLINK("http://bombeiros.sp.gov.br/hidrantes/03individual/1580.html","1580")</f>
      </c>
      <c r="B3406" t="s">
        <v>623</v>
      </c>
      <c r="C3406" t="s">
        <v>714</v>
      </c>
      <c r="D3406" t="s">
        <v>714</v>
      </c>
      <c r="E3406" t="s">
        <v>15</v>
      </c>
      <c r="F3406" t="s">
        <v>10586</v>
      </c>
      <c r="G3406" t="s">
        <v>18151</v>
      </c>
      <c r="H3406" t="s">
        <v>1174</v>
      </c>
      <c r="I3406" t="s">
        <v>1117</v>
      </c>
      <c r="J3406" t="s">
        <v>16759</v>
      </c>
      <c r="K3406" t="s">
        <v>16760</v>
      </c>
      <c r="L3406" t="s">
        <v>21</v>
      </c>
      <c r="M3406" t="s">
        <v>19177</v>
      </c>
      <c r="N3406" t="s">
        <v>714</v>
      </c>
      <c r="O3406" t="s">
        <v>10263</v>
      </c>
      <c r="P3406" t="s">
        <v>12</v>
      </c>
    </row>
    <row r="3407">
      <c r="A3407">
        <f>HYPERLINK("http://bombeiros.sp.gov.br/hidrantes/03individual/2121.html","2121")</f>
      </c>
      <c r="B3407" t="s">
        <v>623</v>
      </c>
      <c r="C3407" t="s">
        <v>714</v>
      </c>
      <c r="D3407" t="s">
        <v>714</v>
      </c>
      <c r="E3407" t="s">
        <v>15</v>
      </c>
      <c r="F3407" t="s">
        <v>10589</v>
      </c>
      <c r="G3407" t="s">
        <v>18107</v>
      </c>
      <c r="H3407" t="s">
        <v>1112</v>
      </c>
      <c r="I3407" t="s">
        <v>1108</v>
      </c>
      <c r="J3407" t="s">
        <v>10590</v>
      </c>
      <c r="K3407" t="s">
        <v>10591</v>
      </c>
      <c r="L3407" t="s">
        <v>21</v>
      </c>
      <c r="M3407" t="s">
        <v>19177</v>
      </c>
      <c r="N3407" t="s">
        <v>714</v>
      </c>
      <c r="O3407" t="s">
        <v>10263</v>
      </c>
      <c r="P3407" t="s">
        <v>12</v>
      </c>
    </row>
    <row r="3408">
      <c r="A3408">
        <f>HYPERLINK("http://bombeiros.sp.gov.br/hidrantes/03individual/2162.html","2162")</f>
      </c>
      <c r="B3408" t="s">
        <v>623</v>
      </c>
      <c r="C3408" t="s">
        <v>714</v>
      </c>
      <c r="D3408" t="s">
        <v>714</v>
      </c>
      <c r="E3408" t="s">
        <v>15</v>
      </c>
      <c r="F3408" t="s">
        <v>10592</v>
      </c>
      <c r="G3408" t="s">
        <v>18090</v>
      </c>
      <c r="H3408" t="s">
        <v>1112</v>
      </c>
      <c r="I3408" t="s">
        <v>1108</v>
      </c>
      <c r="J3408" t="s">
        <v>10593</v>
      </c>
      <c r="K3408" t="s">
        <v>10594</v>
      </c>
      <c r="L3408" t="s">
        <v>21</v>
      </c>
      <c r="M3408" t="s">
        <v>19177</v>
      </c>
      <c r="N3408" t="s">
        <v>714</v>
      </c>
      <c r="O3408" t="s">
        <v>10263</v>
      </c>
      <c r="P3408" t="s">
        <v>12</v>
      </c>
    </row>
    <row r="3409">
      <c r="A3409">
        <f>HYPERLINK("http://bombeiros.sp.gov.br/hidrantes/03individual/2170.html","2170")</f>
      </c>
      <c r="B3409" t="s">
        <v>623</v>
      </c>
      <c r="C3409" t="s">
        <v>714</v>
      </c>
      <c r="D3409" t="s">
        <v>714</v>
      </c>
      <c r="E3409" t="s">
        <v>15</v>
      </c>
      <c r="F3409" t="s">
        <v>10595</v>
      </c>
      <c r="G3409" t="s">
        <v>18146</v>
      </c>
      <c r="H3409" t="s">
        <v>1112</v>
      </c>
      <c r="I3409" t="s">
        <v>1108</v>
      </c>
      <c r="J3409" t="s">
        <v>10596</v>
      </c>
      <c r="K3409" t="s">
        <v>10597</v>
      </c>
      <c r="L3409" t="s">
        <v>21</v>
      </c>
      <c r="M3409" t="s">
        <v>19177</v>
      </c>
      <c r="N3409" t="s">
        <v>714</v>
      </c>
      <c r="O3409" t="s">
        <v>10263</v>
      </c>
      <c r="P3409" t="s">
        <v>12</v>
      </c>
    </row>
    <row r="3410">
      <c r="A3410">
        <f>HYPERLINK("http://bombeiros.sp.gov.br/hidrantes/03individual/2172.html","2172")</f>
      </c>
      <c r="B3410" t="s">
        <v>623</v>
      </c>
      <c r="C3410" t="s">
        <v>714</v>
      </c>
      <c r="D3410" t="s">
        <v>714</v>
      </c>
      <c r="E3410" t="s">
        <v>15</v>
      </c>
      <c r="F3410" t="s">
        <v>10598</v>
      </c>
      <c r="G3410" t="s">
        <v>18090</v>
      </c>
      <c r="H3410" t="s">
        <v>1112</v>
      </c>
      <c r="I3410" t="s">
        <v>1108</v>
      </c>
      <c r="J3410" t="s">
        <v>10599</v>
      </c>
      <c r="K3410" t="s">
        <v>10600</v>
      </c>
      <c r="L3410" t="s">
        <v>36</v>
      </c>
      <c r="M3410" t="s">
        <v>19177</v>
      </c>
      <c r="N3410" t="s">
        <v>714</v>
      </c>
      <c r="O3410" t="s">
        <v>10263</v>
      </c>
      <c r="P3410" t="s">
        <v>12</v>
      </c>
    </row>
    <row r="3411">
      <c r="A3411">
        <f>HYPERLINK("http://bombeiros.sp.gov.br/hidrantes/03individual/2173.html","2173")</f>
      </c>
      <c r="B3411" t="s">
        <v>623</v>
      </c>
      <c r="C3411" t="s">
        <v>714</v>
      </c>
      <c r="D3411" t="s">
        <v>714</v>
      </c>
      <c r="E3411" t="s">
        <v>15</v>
      </c>
      <c r="F3411" t="s">
        <v>10601</v>
      </c>
      <c r="G3411" t="s">
        <v>18090</v>
      </c>
      <c r="H3411" t="s">
        <v>1112</v>
      </c>
      <c r="I3411" t="s">
        <v>1108</v>
      </c>
      <c r="J3411" t="s">
        <v>10602</v>
      </c>
      <c r="K3411" t="s">
        <v>10603</v>
      </c>
      <c r="L3411" t="s">
        <v>21</v>
      </c>
      <c r="M3411" t="s">
        <v>19177</v>
      </c>
      <c r="N3411" t="s">
        <v>714</v>
      </c>
      <c r="O3411" t="s">
        <v>10263</v>
      </c>
      <c r="P3411" t="s">
        <v>12</v>
      </c>
    </row>
    <row r="3412">
      <c r="A3412">
        <f>HYPERLINK("http://bombeiros.sp.gov.br/hidrantes/03individual/2180.html","2180")</f>
      </c>
      <c r="B3412" t="s">
        <v>623</v>
      </c>
      <c r="C3412" t="s">
        <v>714</v>
      </c>
      <c r="D3412" t="s">
        <v>714</v>
      </c>
      <c r="E3412" t="s">
        <v>15</v>
      </c>
      <c r="F3412" t="s">
        <v>728</v>
      </c>
      <c r="G3412" t="s">
        <v>18090</v>
      </c>
      <c r="H3412" t="s">
        <v>1112</v>
      </c>
      <c r="I3412" t="s">
        <v>1108</v>
      </c>
      <c r="J3412" t="s">
        <v>730</v>
      </c>
      <c r="K3412" t="s">
        <v>731</v>
      </c>
      <c r="L3412" t="s">
        <v>21</v>
      </c>
      <c r="M3412" t="s">
        <v>19177</v>
      </c>
      <c r="N3412" t="s">
        <v>714</v>
      </c>
      <c r="O3412" t="s">
        <v>10263</v>
      </c>
      <c r="P3412" t="s">
        <v>12</v>
      </c>
    </row>
    <row r="3413">
      <c r="A3413">
        <f>HYPERLINK("http://bombeiros.sp.gov.br/hidrantes/03individual/2182.html","2182")</f>
      </c>
      <c r="B3413" t="s">
        <v>623</v>
      </c>
      <c r="C3413" t="s">
        <v>714</v>
      </c>
      <c r="D3413" t="s">
        <v>714</v>
      </c>
      <c r="E3413" t="s">
        <v>15</v>
      </c>
      <c r="F3413" t="s">
        <v>10604</v>
      </c>
      <c r="G3413" t="s">
        <v>18090</v>
      </c>
      <c r="H3413" t="s">
        <v>1112</v>
      </c>
      <c r="I3413" t="s">
        <v>1108</v>
      </c>
      <c r="J3413" t="s">
        <v>16203</v>
      </c>
      <c r="K3413" t="s">
        <v>16204</v>
      </c>
      <c r="L3413" t="s">
        <v>21</v>
      </c>
      <c r="M3413" t="s">
        <v>19177</v>
      </c>
      <c r="N3413" t="s">
        <v>714</v>
      </c>
      <c r="O3413" t="s">
        <v>10263</v>
      </c>
      <c r="P3413" t="s">
        <v>12</v>
      </c>
    </row>
    <row r="3414">
      <c r="A3414">
        <f>HYPERLINK("http://bombeiros.sp.gov.br/hidrantes/03individual/2197.html","2197")</f>
      </c>
      <c r="B3414" t="s">
        <v>623</v>
      </c>
      <c r="C3414" t="s">
        <v>714</v>
      </c>
      <c r="D3414" t="s">
        <v>714</v>
      </c>
      <c r="E3414" t="s">
        <v>15</v>
      </c>
      <c r="F3414" t="s">
        <v>10607</v>
      </c>
      <c r="G3414" t="s">
        <v>18090</v>
      </c>
      <c r="H3414" t="s">
        <v>1112</v>
      </c>
      <c r="I3414" t="s">
        <v>1108</v>
      </c>
      <c r="J3414" t="s">
        <v>10608</v>
      </c>
      <c r="K3414" t="s">
        <v>10609</v>
      </c>
      <c r="L3414" t="s">
        <v>21</v>
      </c>
      <c r="M3414" t="s">
        <v>19177</v>
      </c>
      <c r="N3414" t="s">
        <v>714</v>
      </c>
      <c r="O3414" t="s">
        <v>10263</v>
      </c>
      <c r="P3414" t="s">
        <v>12</v>
      </c>
    </row>
    <row r="3415">
      <c r="A3415">
        <f>HYPERLINK("http://bombeiros.sp.gov.br/hidrantes/03individual/2202.html","2202")</f>
      </c>
      <c r="B3415" t="s">
        <v>623</v>
      </c>
      <c r="C3415" t="s">
        <v>714</v>
      </c>
      <c r="D3415" t="s">
        <v>714</v>
      </c>
      <c r="E3415" t="s">
        <v>15</v>
      </c>
      <c r="F3415" t="s">
        <v>10610</v>
      </c>
      <c r="G3415" t="s">
        <v>18090</v>
      </c>
      <c r="H3415" t="s">
        <v>1112</v>
      </c>
      <c r="I3415" t="s">
        <v>1108</v>
      </c>
      <c r="J3415" t="s">
        <v>10611</v>
      </c>
      <c r="K3415" t="s">
        <v>10612</v>
      </c>
      <c r="L3415" t="s">
        <v>21</v>
      </c>
      <c r="M3415" t="s">
        <v>19177</v>
      </c>
      <c r="N3415" t="s">
        <v>714</v>
      </c>
      <c r="O3415" t="s">
        <v>10263</v>
      </c>
      <c r="P3415" t="s">
        <v>12</v>
      </c>
    </row>
    <row r="3416">
      <c r="A3416">
        <f>HYPERLINK("http://bombeiros.sp.gov.br/hidrantes/03individual/2203.html","2203")</f>
      </c>
      <c r="B3416" t="s">
        <v>623</v>
      </c>
      <c r="C3416" t="s">
        <v>714</v>
      </c>
      <c r="D3416" t="s">
        <v>714</v>
      </c>
      <c r="E3416" t="s">
        <v>15</v>
      </c>
      <c r="F3416" t="s">
        <v>10613</v>
      </c>
      <c r="G3416" t="s">
        <v>18107</v>
      </c>
      <c r="H3416" t="s">
        <v>1112</v>
      </c>
      <c r="I3416" t="s">
        <v>1108</v>
      </c>
      <c r="J3416" t="s">
        <v>10614</v>
      </c>
      <c r="K3416" t="s">
        <v>10615</v>
      </c>
      <c r="L3416" t="s">
        <v>21</v>
      </c>
      <c r="M3416" t="s">
        <v>19177</v>
      </c>
      <c r="N3416" t="s">
        <v>714</v>
      </c>
      <c r="O3416" t="s">
        <v>10263</v>
      </c>
      <c r="P3416" t="s">
        <v>12</v>
      </c>
    </row>
    <row r="3417">
      <c r="A3417">
        <f>HYPERLINK("http://bombeiros.sp.gov.br/hidrantes/03individual/2217.html","2217")</f>
      </c>
      <c r="B3417" t="s">
        <v>623</v>
      </c>
      <c r="C3417" t="s">
        <v>714</v>
      </c>
      <c r="D3417" t="s">
        <v>714</v>
      </c>
      <c r="E3417" t="s">
        <v>15</v>
      </c>
      <c r="F3417" t="s">
        <v>10616</v>
      </c>
      <c r="G3417" t="s">
        <v>18107</v>
      </c>
      <c r="H3417" t="s">
        <v>1112</v>
      </c>
      <c r="I3417" t="s">
        <v>1108</v>
      </c>
      <c r="J3417" t="s">
        <v>10617</v>
      </c>
      <c r="K3417" t="s">
        <v>10618</v>
      </c>
      <c r="L3417" t="s">
        <v>21</v>
      </c>
      <c r="M3417" t="s">
        <v>19177</v>
      </c>
      <c r="N3417" t="s">
        <v>714</v>
      </c>
      <c r="O3417" t="s">
        <v>10263</v>
      </c>
      <c r="P3417" t="s">
        <v>12</v>
      </c>
    </row>
    <row r="3418">
      <c r="A3418">
        <f>HYPERLINK("http://bombeiros.sp.gov.br/hidrantes/03individual/2221.html","2221")</f>
      </c>
      <c r="B3418" t="s">
        <v>623</v>
      </c>
      <c r="C3418" t="s">
        <v>714</v>
      </c>
      <c r="D3418" t="s">
        <v>714</v>
      </c>
      <c r="E3418" t="s">
        <v>15</v>
      </c>
      <c r="F3418" t="s">
        <v>10619</v>
      </c>
      <c r="G3418" t="s">
        <v>18151</v>
      </c>
      <c r="H3418" t="s">
        <v>1112</v>
      </c>
      <c r="I3418" t="s">
        <v>1108</v>
      </c>
      <c r="J3418" t="s">
        <v>10620</v>
      </c>
      <c r="K3418" t="s">
        <v>10621</v>
      </c>
      <c r="L3418" t="s">
        <v>21</v>
      </c>
      <c r="M3418" t="s">
        <v>19177</v>
      </c>
      <c r="N3418" t="s">
        <v>714</v>
      </c>
      <c r="O3418" t="s">
        <v>10263</v>
      </c>
      <c r="P3418" t="s">
        <v>12</v>
      </c>
    </row>
    <row r="3419">
      <c r="A3419">
        <f>HYPERLINK("http://bombeiros.sp.gov.br/hidrantes/03individual/2223.html","2223")</f>
      </c>
      <c r="B3419" t="s">
        <v>623</v>
      </c>
      <c r="C3419" t="s">
        <v>714</v>
      </c>
      <c r="D3419" t="s">
        <v>714</v>
      </c>
      <c r="E3419" t="s">
        <v>15</v>
      </c>
      <c r="F3419" t="s">
        <v>10622</v>
      </c>
      <c r="G3419" t="s">
        <v>18090</v>
      </c>
      <c r="H3419" t="s">
        <v>1112</v>
      </c>
      <c r="I3419" t="s">
        <v>1108</v>
      </c>
      <c r="J3419" t="s">
        <v>10623</v>
      </c>
      <c r="K3419" t="s">
        <v>10624</v>
      </c>
      <c r="L3419" t="s">
        <v>21</v>
      </c>
      <c r="M3419" t="s">
        <v>19177</v>
      </c>
      <c r="N3419" t="s">
        <v>714</v>
      </c>
      <c r="O3419" t="s">
        <v>10263</v>
      </c>
      <c r="P3419" t="s">
        <v>12</v>
      </c>
    </row>
    <row r="3420">
      <c r="A3420">
        <f>HYPERLINK("http://bombeiros.sp.gov.br/hidrantes/03individual/2232.html","2232")</f>
      </c>
      <c r="B3420" t="s">
        <v>623</v>
      </c>
      <c r="C3420" t="s">
        <v>714</v>
      </c>
      <c r="D3420" t="s">
        <v>714</v>
      </c>
      <c r="E3420" t="s">
        <v>15</v>
      </c>
      <c r="F3420" t="s">
        <v>10625</v>
      </c>
      <c r="G3420" t="s">
        <v>17927</v>
      </c>
      <c r="H3420" t="s">
        <v>1112</v>
      </c>
      <c r="I3420" t="s">
        <v>1108</v>
      </c>
      <c r="J3420" t="s">
        <v>10626</v>
      </c>
      <c r="K3420" t="s">
        <v>10627</v>
      </c>
      <c r="L3420" t="s">
        <v>21</v>
      </c>
      <c r="M3420" t="s">
        <v>19177</v>
      </c>
      <c r="N3420" t="s">
        <v>714</v>
      </c>
      <c r="O3420" t="s">
        <v>10263</v>
      </c>
      <c r="P3420" t="s">
        <v>12</v>
      </c>
    </row>
    <row r="3421">
      <c r="A3421">
        <f>HYPERLINK("http://bombeiros.sp.gov.br/hidrantes/03individual/2234.html","2234")</f>
      </c>
      <c r="B3421" t="s">
        <v>623</v>
      </c>
      <c r="C3421" t="s">
        <v>714</v>
      </c>
      <c r="D3421" t="s">
        <v>714</v>
      </c>
      <c r="E3421" t="s">
        <v>15</v>
      </c>
      <c r="F3421" t="s">
        <v>10628</v>
      </c>
      <c r="G3421" t="s">
        <v>17927</v>
      </c>
      <c r="H3421" t="s">
        <v>1112</v>
      </c>
      <c r="I3421" t="s">
        <v>1108</v>
      </c>
      <c r="J3421" t="s">
        <v>10629</v>
      </c>
      <c r="K3421" t="s">
        <v>10630</v>
      </c>
      <c r="L3421" t="s">
        <v>21</v>
      </c>
      <c r="M3421" t="s">
        <v>19177</v>
      </c>
      <c r="N3421" t="s">
        <v>714</v>
      </c>
      <c r="O3421" t="s">
        <v>10263</v>
      </c>
      <c r="P3421" t="s">
        <v>12</v>
      </c>
    </row>
    <row r="3422">
      <c r="A3422">
        <f>HYPERLINK("http://bombeiros.sp.gov.br/hidrantes/03individual/2246.html","2246")</f>
      </c>
      <c r="B3422" t="s">
        <v>623</v>
      </c>
      <c r="C3422" t="s">
        <v>714</v>
      </c>
      <c r="D3422" t="s">
        <v>714</v>
      </c>
      <c r="E3422" t="s">
        <v>15</v>
      </c>
      <c r="F3422" t="s">
        <v>10631</v>
      </c>
      <c r="G3422" t="s">
        <v>17927</v>
      </c>
      <c r="H3422" t="s">
        <v>1112</v>
      </c>
      <c r="I3422" t="s">
        <v>1108</v>
      </c>
      <c r="J3422" t="s">
        <v>10632</v>
      </c>
      <c r="K3422" t="s">
        <v>10633</v>
      </c>
      <c r="L3422" t="s">
        <v>21</v>
      </c>
      <c r="M3422" t="s">
        <v>19177</v>
      </c>
      <c r="N3422" t="s">
        <v>714</v>
      </c>
      <c r="O3422" t="s">
        <v>10263</v>
      </c>
      <c r="P3422" t="s">
        <v>12</v>
      </c>
    </row>
    <row r="3423">
      <c r="A3423">
        <f>HYPERLINK("http://bombeiros.sp.gov.br/hidrantes/03individual/2247.html","2247")</f>
      </c>
      <c r="B3423" t="s">
        <v>623</v>
      </c>
      <c r="C3423" t="s">
        <v>714</v>
      </c>
      <c r="D3423" t="s">
        <v>714</v>
      </c>
      <c r="E3423" t="s">
        <v>15</v>
      </c>
      <c r="F3423" t="s">
        <v>10634</v>
      </c>
      <c r="G3423" t="s">
        <v>18090</v>
      </c>
      <c r="H3423" t="s">
        <v>1112</v>
      </c>
      <c r="I3423" t="s">
        <v>1108</v>
      </c>
      <c r="J3423" t="s">
        <v>10635</v>
      </c>
      <c r="K3423" t="s">
        <v>10636</v>
      </c>
      <c r="L3423" t="s">
        <v>21</v>
      </c>
      <c r="M3423" t="s">
        <v>19177</v>
      </c>
      <c r="N3423" t="s">
        <v>714</v>
      </c>
      <c r="O3423" t="s">
        <v>10263</v>
      </c>
      <c r="P3423" t="s">
        <v>12</v>
      </c>
    </row>
    <row r="3424">
      <c r="A3424">
        <f>HYPERLINK("http://bombeiros.sp.gov.br/hidrantes/03individual/2248.html","2248")</f>
      </c>
      <c r="B3424" t="s">
        <v>623</v>
      </c>
      <c r="C3424" t="s">
        <v>714</v>
      </c>
      <c r="D3424" t="s">
        <v>714</v>
      </c>
      <c r="E3424" t="s">
        <v>15</v>
      </c>
      <c r="F3424" t="s">
        <v>10637</v>
      </c>
      <c r="G3424" t="s">
        <v>18110</v>
      </c>
      <c r="H3424" t="s">
        <v>1112</v>
      </c>
      <c r="I3424" t="s">
        <v>1108</v>
      </c>
      <c r="J3424" t="s">
        <v>10638</v>
      </c>
      <c r="K3424" t="s">
        <v>10639</v>
      </c>
      <c r="L3424" t="s">
        <v>21</v>
      </c>
      <c r="M3424" t="s">
        <v>19177</v>
      </c>
      <c r="N3424" t="s">
        <v>714</v>
      </c>
      <c r="O3424" t="s">
        <v>10263</v>
      </c>
      <c r="P3424" t="s">
        <v>12</v>
      </c>
    </row>
    <row r="3425">
      <c r="A3425">
        <f>HYPERLINK("http://bombeiros.sp.gov.br/hidrantes/03individual/2250.html","2250")</f>
      </c>
      <c r="B3425" t="s">
        <v>623</v>
      </c>
      <c r="C3425" t="s">
        <v>714</v>
      </c>
      <c r="D3425" t="s">
        <v>714</v>
      </c>
      <c r="E3425" t="s">
        <v>15</v>
      </c>
      <c r="F3425" t="s">
        <v>10640</v>
      </c>
      <c r="G3425" t="s">
        <v>18090</v>
      </c>
      <c r="H3425" t="s">
        <v>1112</v>
      </c>
      <c r="I3425" t="s">
        <v>1108</v>
      </c>
      <c r="J3425" t="s">
        <v>10641</v>
      </c>
      <c r="K3425" t="s">
        <v>10642</v>
      </c>
      <c r="L3425" t="s">
        <v>21</v>
      </c>
      <c r="M3425" t="s">
        <v>19177</v>
      </c>
      <c r="N3425" t="s">
        <v>714</v>
      </c>
      <c r="O3425" t="s">
        <v>10263</v>
      </c>
      <c r="P3425" t="s">
        <v>12</v>
      </c>
    </row>
    <row r="3426">
      <c r="A3426">
        <f>HYPERLINK("http://bombeiros.sp.gov.br/hidrantes/03individual/2288.html","2288")</f>
      </c>
      <c r="B3426" t="s">
        <v>623</v>
      </c>
      <c r="C3426" t="s">
        <v>714</v>
      </c>
      <c r="D3426" t="s">
        <v>714</v>
      </c>
      <c r="E3426" t="s">
        <v>15</v>
      </c>
      <c r="F3426" t="s">
        <v>10643</v>
      </c>
      <c r="G3426" t="s">
        <v>18090</v>
      </c>
      <c r="H3426" t="s">
        <v>1112</v>
      </c>
      <c r="I3426" t="s">
        <v>1108</v>
      </c>
      <c r="J3426" t="s">
        <v>10644</v>
      </c>
      <c r="K3426" t="s">
        <v>10645</v>
      </c>
      <c r="L3426" t="s">
        <v>21</v>
      </c>
      <c r="M3426" t="s">
        <v>19177</v>
      </c>
      <c r="N3426" t="s">
        <v>714</v>
      </c>
      <c r="O3426" t="s">
        <v>10263</v>
      </c>
      <c r="P3426" t="s">
        <v>12</v>
      </c>
    </row>
    <row r="3427">
      <c r="A3427">
        <f>HYPERLINK("http://bombeiros.sp.gov.br/hidrantes/03individual/2293.html","2293")</f>
      </c>
      <c r="B3427" t="s">
        <v>623</v>
      </c>
      <c r="C3427" t="s">
        <v>714</v>
      </c>
      <c r="D3427" t="s">
        <v>714</v>
      </c>
      <c r="E3427" t="s">
        <v>15</v>
      </c>
      <c r="F3427" t="s">
        <v>10646</v>
      </c>
      <c r="G3427" t="s">
        <v>18107</v>
      </c>
      <c r="H3427" t="s">
        <v>1112</v>
      </c>
      <c r="I3427" t="s">
        <v>1108</v>
      </c>
      <c r="J3427" t="s">
        <v>10647</v>
      </c>
      <c r="K3427" t="s">
        <v>10648</v>
      </c>
      <c r="L3427" t="s">
        <v>21</v>
      </c>
      <c r="M3427" t="s">
        <v>19177</v>
      </c>
      <c r="N3427" t="s">
        <v>714</v>
      </c>
      <c r="O3427" t="s">
        <v>10263</v>
      </c>
      <c r="P3427" t="s">
        <v>12</v>
      </c>
    </row>
    <row r="3428">
      <c r="A3428">
        <f>HYPERLINK("http://bombeiros.sp.gov.br/hidrantes/03individual/16545.html","16545")</f>
      </c>
      <c r="B3428" t="s">
        <v>623</v>
      </c>
      <c r="C3428" t="s">
        <v>714</v>
      </c>
      <c r="D3428" t="s">
        <v>714</v>
      </c>
      <c r="E3428" t="s">
        <v>15</v>
      </c>
      <c r="F3428" t="s">
        <v>10649</v>
      </c>
      <c r="G3428" t="s">
        <v>18090</v>
      </c>
      <c r="H3428" t="s">
        <v>1112</v>
      </c>
      <c r="I3428" t="s">
        <v>1108</v>
      </c>
      <c r="J3428" t="s">
        <v>10650</v>
      </c>
      <c r="K3428" t="s">
        <v>10651</v>
      </c>
      <c r="L3428" t="s">
        <v>21</v>
      </c>
      <c r="M3428" t="s">
        <v>19177</v>
      </c>
      <c r="N3428" t="s">
        <v>714</v>
      </c>
      <c r="O3428" t="s">
        <v>10263</v>
      </c>
      <c r="P3428" t="s">
        <v>12</v>
      </c>
    </row>
    <row r="3429">
      <c r="A3429">
        <f>HYPERLINK("http://bombeiros.sp.gov.br/hidrantes/03individual/26775.html","26775")</f>
      </c>
      <c r="B3429" t="s">
        <v>623</v>
      </c>
      <c r="C3429" t="s">
        <v>714</v>
      </c>
      <c r="D3429" t="s">
        <v>714</v>
      </c>
      <c r="E3429" t="s">
        <v>15</v>
      </c>
      <c r="F3429" t="s">
        <v>10652</v>
      </c>
      <c r="G3429" t="s">
        <v>17921</v>
      </c>
      <c r="H3429" t="s">
        <v>1112</v>
      </c>
      <c r="I3429" t="s">
        <v>1108</v>
      </c>
      <c r="J3429" t="s">
        <v>10653</v>
      </c>
      <c r="K3429" t="s">
        <v>10654</v>
      </c>
      <c r="L3429" t="s">
        <v>21</v>
      </c>
      <c r="M3429" t="s">
        <v>19177</v>
      </c>
      <c r="N3429" t="s">
        <v>714</v>
      </c>
      <c r="O3429" t="s">
        <v>10263</v>
      </c>
      <c r="P3429" t="s">
        <v>12</v>
      </c>
    </row>
    <row r="3430">
      <c r="A3430">
        <f>HYPERLINK("http://bombeiros.sp.gov.br/hidrantes/03individual/27327.html","27327")</f>
      </c>
      <c r="B3430" t="s">
        <v>623</v>
      </c>
      <c r="C3430" t="s">
        <v>714</v>
      </c>
      <c r="D3430" t="s">
        <v>714</v>
      </c>
      <c r="E3430" t="s">
        <v>15</v>
      </c>
      <c r="F3430" t="s">
        <v>17147</v>
      </c>
      <c r="G3430" t="s">
        <v>18090</v>
      </c>
      <c r="H3430" t="s">
        <v>1112</v>
      </c>
      <c r="I3430" t="s">
        <v>1108</v>
      </c>
      <c r="J3430" t="s">
        <v>17148</v>
      </c>
      <c r="K3430" t="s">
        <v>17149</v>
      </c>
      <c r="L3430" t="s">
        <v>21</v>
      </c>
      <c r="M3430" t="s">
        <v>19177</v>
      </c>
      <c r="N3430" t="s">
        <v>714</v>
      </c>
      <c r="O3430" t="s">
        <v>10263</v>
      </c>
      <c r="P3430" t="s">
        <v>12</v>
      </c>
    </row>
    <row r="3431">
      <c r="A3431">
        <f>HYPERLINK("http://bombeiros.sp.gov.br/hidrantes/03individual/1101.html","1101")</f>
      </c>
      <c r="B3431" t="s">
        <v>623</v>
      </c>
      <c r="C3431" t="s">
        <v>714</v>
      </c>
      <c r="D3431" t="s">
        <v>10655</v>
      </c>
      <c r="E3431" t="s">
        <v>64</v>
      </c>
      <c r="F3431" t="s">
        <v>10656</v>
      </c>
      <c r="G3431" t="s">
        <v>17951</v>
      </c>
      <c r="H3431" t="s">
        <v>1121</v>
      </c>
      <c r="I3431" t="s">
        <v>1117</v>
      </c>
      <c r="J3431" t="s">
        <v>10657</v>
      </c>
      <c r="K3431" t="s">
        <v>10658</v>
      </c>
      <c r="L3431" t="s">
        <v>21</v>
      </c>
      <c r="M3431" t="s">
        <v>19177</v>
      </c>
      <c r="N3431" t="s">
        <v>714</v>
      </c>
      <c r="O3431" t="s">
        <v>10263</v>
      </c>
      <c r="P3431" t="s">
        <v>12</v>
      </c>
    </row>
    <row r="3432">
      <c r="A3432">
        <f>HYPERLINK("http://bombeiros.sp.gov.br/hidrantes/03individual/1471.html","1471")</f>
      </c>
      <c r="B3432" t="s">
        <v>623</v>
      </c>
      <c r="C3432" t="s">
        <v>714</v>
      </c>
      <c r="D3432" t="s">
        <v>10655</v>
      </c>
      <c r="E3432" t="s">
        <v>64</v>
      </c>
      <c r="F3432" t="s">
        <v>10659</v>
      </c>
      <c r="G3432" t="s">
        <v>18156</v>
      </c>
      <c r="H3432" t="s">
        <v>1112</v>
      </c>
      <c r="I3432" t="s">
        <v>1108</v>
      </c>
      <c r="J3432" t="s">
        <v>10660</v>
      </c>
      <c r="K3432" t="s">
        <v>10661</v>
      </c>
      <c r="L3432" t="s">
        <v>36</v>
      </c>
      <c r="M3432" t="s">
        <v>19177</v>
      </c>
      <c r="N3432" t="s">
        <v>714</v>
      </c>
      <c r="O3432" t="s">
        <v>10263</v>
      </c>
      <c r="P3432" t="s">
        <v>12</v>
      </c>
    </row>
    <row r="3433">
      <c r="A3433">
        <f>HYPERLINK("http://bombeiros.sp.gov.br/hidrantes/03individual/1641.html","1641")</f>
      </c>
      <c r="B3433" t="s">
        <v>623</v>
      </c>
      <c r="C3433" t="s">
        <v>714</v>
      </c>
      <c r="D3433" t="s">
        <v>10655</v>
      </c>
      <c r="E3433" t="s">
        <v>64</v>
      </c>
      <c r="F3433" t="s">
        <v>10662</v>
      </c>
      <c r="G3433" t="s">
        <v>18156</v>
      </c>
      <c r="H3433" t="s">
        <v>1112</v>
      </c>
      <c r="I3433" t="s">
        <v>1108</v>
      </c>
      <c r="J3433" t="s">
        <v>10663</v>
      </c>
      <c r="K3433" t="s">
        <v>10664</v>
      </c>
      <c r="L3433" t="s">
        <v>21</v>
      </c>
      <c r="M3433" t="s">
        <v>19177</v>
      </c>
      <c r="N3433" t="s">
        <v>714</v>
      </c>
      <c r="O3433" t="s">
        <v>10263</v>
      </c>
      <c r="P3433" t="s">
        <v>12</v>
      </c>
    </row>
    <row r="3434">
      <c r="A3434">
        <f>HYPERLINK("http://bombeiros.sp.gov.br/hidrantes/03individual/1057.html","1057")</f>
      </c>
      <c r="B3434" t="s">
        <v>623</v>
      </c>
      <c r="C3434" t="s">
        <v>714</v>
      </c>
      <c r="D3434" t="s">
        <v>10655</v>
      </c>
      <c r="E3434" t="s">
        <v>15</v>
      </c>
      <c r="F3434" t="s">
        <v>10665</v>
      </c>
      <c r="G3434" t="s">
        <v>17949</v>
      </c>
      <c r="H3434" t="s">
        <v>1112</v>
      </c>
      <c r="I3434" t="s">
        <v>1108</v>
      </c>
      <c r="J3434" t="s">
        <v>10666</v>
      </c>
      <c r="K3434" t="s">
        <v>10667</v>
      </c>
      <c r="L3434" t="s">
        <v>21</v>
      </c>
      <c r="M3434" t="s">
        <v>19177</v>
      </c>
      <c r="N3434" t="s">
        <v>714</v>
      </c>
      <c r="O3434" t="s">
        <v>10263</v>
      </c>
      <c r="P3434" t="s">
        <v>12</v>
      </c>
    </row>
    <row r="3435">
      <c r="A3435">
        <f>HYPERLINK("http://bombeiros.sp.gov.br/hidrantes/03individual/1059.html","1059")</f>
      </c>
      <c r="B3435" t="s">
        <v>623</v>
      </c>
      <c r="C3435" t="s">
        <v>714</v>
      </c>
      <c r="D3435" t="s">
        <v>10655</v>
      </c>
      <c r="E3435" t="s">
        <v>15</v>
      </c>
      <c r="F3435" t="s">
        <v>10668</v>
      </c>
      <c r="G3435" t="s">
        <v>17951</v>
      </c>
      <c r="H3435" t="s">
        <v>1174</v>
      </c>
      <c r="I3435" t="s">
        <v>1117</v>
      </c>
      <c r="J3435" t="s">
        <v>10669</v>
      </c>
      <c r="K3435" t="s">
        <v>10670</v>
      </c>
      <c r="L3435" t="s">
        <v>21</v>
      </c>
      <c r="M3435" t="s">
        <v>19177</v>
      </c>
      <c r="N3435" t="s">
        <v>714</v>
      </c>
      <c r="O3435" t="s">
        <v>10263</v>
      </c>
      <c r="P3435" t="s">
        <v>12</v>
      </c>
    </row>
    <row r="3436">
      <c r="A3436">
        <f>HYPERLINK("http://bombeiros.sp.gov.br/hidrantes/03individual/1063.html","1063")</f>
      </c>
      <c r="B3436" t="s">
        <v>623</v>
      </c>
      <c r="C3436" t="s">
        <v>714</v>
      </c>
      <c r="D3436" t="s">
        <v>10655</v>
      </c>
      <c r="E3436" t="s">
        <v>15</v>
      </c>
      <c r="F3436" t="s">
        <v>10671</v>
      </c>
      <c r="G3436" t="s">
        <v>18156</v>
      </c>
      <c r="H3436" t="s">
        <v>1121</v>
      </c>
      <c r="I3436" t="s">
        <v>1117</v>
      </c>
      <c r="J3436" t="s">
        <v>16018</v>
      </c>
      <c r="K3436" t="s">
        <v>16019</v>
      </c>
      <c r="L3436" t="s">
        <v>21</v>
      </c>
      <c r="M3436" t="s">
        <v>19177</v>
      </c>
      <c r="N3436" t="s">
        <v>714</v>
      </c>
      <c r="O3436" t="s">
        <v>10263</v>
      </c>
      <c r="P3436" t="s">
        <v>12</v>
      </c>
    </row>
    <row r="3437">
      <c r="A3437">
        <f>HYPERLINK("http://bombeiros.sp.gov.br/hidrantes/03individual/1065.html","1065")</f>
      </c>
      <c r="B3437" t="s">
        <v>623</v>
      </c>
      <c r="C3437" t="s">
        <v>714</v>
      </c>
      <c r="D3437" t="s">
        <v>10655</v>
      </c>
      <c r="E3437" t="s">
        <v>15</v>
      </c>
      <c r="F3437" t="s">
        <v>10674</v>
      </c>
      <c r="G3437" t="s">
        <v>18156</v>
      </c>
      <c r="H3437" t="s">
        <v>1107</v>
      </c>
      <c r="I3437" t="s">
        <v>1108</v>
      </c>
      <c r="J3437" t="s">
        <v>10675</v>
      </c>
      <c r="K3437" t="s">
        <v>10676</v>
      </c>
      <c r="L3437" t="s">
        <v>21</v>
      </c>
      <c r="M3437" t="s">
        <v>19177</v>
      </c>
      <c r="N3437" t="s">
        <v>714</v>
      </c>
      <c r="O3437" t="s">
        <v>10263</v>
      </c>
      <c r="P3437" t="s">
        <v>12</v>
      </c>
    </row>
    <row r="3438">
      <c r="A3438">
        <f>HYPERLINK("http://bombeiros.sp.gov.br/hidrantes/03individual/1067.html","1067")</f>
      </c>
      <c r="B3438" t="s">
        <v>623</v>
      </c>
      <c r="C3438" t="s">
        <v>714</v>
      </c>
      <c r="D3438" t="s">
        <v>10655</v>
      </c>
      <c r="E3438" t="s">
        <v>15</v>
      </c>
      <c r="F3438" t="s">
        <v>10677</v>
      </c>
      <c r="G3438" t="s">
        <v>17949</v>
      </c>
      <c r="H3438" t="s">
        <v>1112</v>
      </c>
      <c r="I3438" t="s">
        <v>1108</v>
      </c>
      <c r="J3438" t="s">
        <v>10678</v>
      </c>
      <c r="K3438" t="s">
        <v>10679</v>
      </c>
      <c r="L3438" t="s">
        <v>21</v>
      </c>
      <c r="M3438" t="s">
        <v>19177</v>
      </c>
      <c r="N3438" t="s">
        <v>714</v>
      </c>
      <c r="O3438" t="s">
        <v>10263</v>
      </c>
      <c r="P3438" t="s">
        <v>12</v>
      </c>
    </row>
    <row r="3439">
      <c r="A3439">
        <f>HYPERLINK("http://bombeiros.sp.gov.br/hidrantes/03individual/1068.html","1068")</f>
      </c>
      <c r="B3439" t="s">
        <v>623</v>
      </c>
      <c r="C3439" t="s">
        <v>714</v>
      </c>
      <c r="D3439" t="s">
        <v>10655</v>
      </c>
      <c r="E3439" t="s">
        <v>15</v>
      </c>
      <c r="F3439" t="s">
        <v>10680</v>
      </c>
      <c r="G3439" t="s">
        <v>18156</v>
      </c>
      <c r="H3439" t="s">
        <v>1121</v>
      </c>
      <c r="I3439" t="s">
        <v>1117</v>
      </c>
      <c r="J3439" t="s">
        <v>10681</v>
      </c>
      <c r="K3439" t="s">
        <v>10682</v>
      </c>
      <c r="L3439" t="s">
        <v>21</v>
      </c>
      <c r="M3439" t="s">
        <v>19177</v>
      </c>
      <c r="N3439" t="s">
        <v>714</v>
      </c>
      <c r="O3439" t="s">
        <v>10263</v>
      </c>
      <c r="P3439" t="s">
        <v>12</v>
      </c>
    </row>
    <row r="3440">
      <c r="A3440">
        <f>HYPERLINK("http://bombeiros.sp.gov.br/hidrantes/03individual/1069.html","1069")</f>
      </c>
      <c r="B3440" t="s">
        <v>623</v>
      </c>
      <c r="C3440" t="s">
        <v>714</v>
      </c>
      <c r="D3440" t="s">
        <v>10655</v>
      </c>
      <c r="E3440" t="s">
        <v>15</v>
      </c>
      <c r="F3440" t="s">
        <v>10683</v>
      </c>
      <c r="G3440" t="s">
        <v>18257</v>
      </c>
      <c r="H3440" t="s">
        <v>1112</v>
      </c>
      <c r="I3440" t="s">
        <v>1108</v>
      </c>
      <c r="J3440" t="s">
        <v>16471</v>
      </c>
      <c r="K3440" t="s">
        <v>16472</v>
      </c>
      <c r="L3440" t="s">
        <v>21</v>
      </c>
      <c r="M3440" t="s">
        <v>19177</v>
      </c>
      <c r="N3440" t="s">
        <v>714</v>
      </c>
      <c r="O3440" t="s">
        <v>10263</v>
      </c>
      <c r="P3440" t="s">
        <v>12</v>
      </c>
    </row>
    <row r="3441">
      <c r="A3441">
        <f>HYPERLINK("http://bombeiros.sp.gov.br/hidrantes/03individual/1099.html","1099")</f>
      </c>
      <c r="B3441" t="s">
        <v>623</v>
      </c>
      <c r="C3441" t="s">
        <v>714</v>
      </c>
      <c r="D3441" t="s">
        <v>10655</v>
      </c>
      <c r="E3441" t="s">
        <v>15</v>
      </c>
      <c r="F3441" t="s">
        <v>10686</v>
      </c>
      <c r="G3441" t="s">
        <v>18257</v>
      </c>
      <c r="H3441" t="s">
        <v>1112</v>
      </c>
      <c r="I3441" t="s">
        <v>1108</v>
      </c>
      <c r="J3441" t="s">
        <v>10687</v>
      </c>
      <c r="K3441" t="s">
        <v>10688</v>
      </c>
      <c r="L3441" t="s">
        <v>21</v>
      </c>
      <c r="M3441" t="s">
        <v>19177</v>
      </c>
      <c r="N3441" t="s">
        <v>714</v>
      </c>
      <c r="O3441" t="s">
        <v>10263</v>
      </c>
      <c r="P3441" t="s">
        <v>12</v>
      </c>
    </row>
    <row r="3442">
      <c r="A3442">
        <f>HYPERLINK("http://bombeiros.sp.gov.br/hidrantes/03individual/1343.html","1343")</f>
      </c>
      <c r="B3442" t="s">
        <v>623</v>
      </c>
      <c r="C3442" t="s">
        <v>714</v>
      </c>
      <c r="D3442" t="s">
        <v>10655</v>
      </c>
      <c r="E3442" t="s">
        <v>15</v>
      </c>
      <c r="F3442" t="s">
        <v>10689</v>
      </c>
      <c r="G3442" t="s">
        <v>18156</v>
      </c>
      <c r="H3442" t="s">
        <v>1112</v>
      </c>
      <c r="I3442" t="s">
        <v>1108</v>
      </c>
      <c r="J3442" t="s">
        <v>10690</v>
      </c>
      <c r="K3442" t="s">
        <v>10691</v>
      </c>
      <c r="L3442" t="s">
        <v>21</v>
      </c>
      <c r="M3442" t="s">
        <v>19177</v>
      </c>
      <c r="N3442" t="s">
        <v>714</v>
      </c>
      <c r="O3442" t="s">
        <v>10263</v>
      </c>
      <c r="P3442" t="s">
        <v>12</v>
      </c>
    </row>
    <row r="3443">
      <c r="A3443">
        <f>HYPERLINK("http://bombeiros.sp.gov.br/hidrantes/03individual/2120.html","2120")</f>
      </c>
      <c r="B3443" t="s">
        <v>623</v>
      </c>
      <c r="C3443" t="s">
        <v>714</v>
      </c>
      <c r="D3443" t="s">
        <v>10655</v>
      </c>
      <c r="E3443" t="s">
        <v>15</v>
      </c>
      <c r="F3443" t="s">
        <v>10692</v>
      </c>
      <c r="G3443" t="s">
        <v>17949</v>
      </c>
      <c r="H3443" t="s">
        <v>1112</v>
      </c>
      <c r="I3443" t="s">
        <v>1108</v>
      </c>
      <c r="J3443" t="s">
        <v>10693</v>
      </c>
      <c r="K3443" t="s">
        <v>10694</v>
      </c>
      <c r="L3443" t="s">
        <v>21</v>
      </c>
      <c r="M3443" t="s">
        <v>19177</v>
      </c>
      <c r="N3443" t="s">
        <v>714</v>
      </c>
      <c r="O3443" t="s">
        <v>10263</v>
      </c>
      <c r="P3443" t="s">
        <v>12</v>
      </c>
    </row>
    <row r="3444">
      <c r="A3444">
        <f>HYPERLINK("http://bombeiros.sp.gov.br/hidrantes/03individual/2125.html","2125")</f>
      </c>
      <c r="B3444" t="s">
        <v>623</v>
      </c>
      <c r="C3444" t="s">
        <v>714</v>
      </c>
      <c r="D3444" t="s">
        <v>10655</v>
      </c>
      <c r="E3444" t="s">
        <v>15</v>
      </c>
      <c r="F3444" t="s">
        <v>10695</v>
      </c>
      <c r="G3444" t="s">
        <v>18156</v>
      </c>
      <c r="H3444" t="s">
        <v>1107</v>
      </c>
      <c r="I3444" t="s">
        <v>1108</v>
      </c>
      <c r="J3444" t="s">
        <v>10696</v>
      </c>
      <c r="K3444" t="s">
        <v>10697</v>
      </c>
      <c r="L3444" t="s">
        <v>21</v>
      </c>
      <c r="M3444" t="s">
        <v>19177</v>
      </c>
      <c r="N3444" t="s">
        <v>714</v>
      </c>
      <c r="O3444" t="s">
        <v>10263</v>
      </c>
      <c r="P3444" t="s">
        <v>12</v>
      </c>
    </row>
    <row r="3445">
      <c r="A3445">
        <f>HYPERLINK("http://bombeiros.sp.gov.br/hidrantes/03individual/2181.html","2181")</f>
      </c>
      <c r="B3445" t="s">
        <v>623</v>
      </c>
      <c r="C3445" t="s">
        <v>714</v>
      </c>
      <c r="D3445" t="s">
        <v>10655</v>
      </c>
      <c r="E3445" t="s">
        <v>15</v>
      </c>
      <c r="F3445" t="s">
        <v>10698</v>
      </c>
      <c r="G3445" t="s">
        <v>18156</v>
      </c>
      <c r="H3445" t="s">
        <v>1107</v>
      </c>
      <c r="I3445" t="s">
        <v>1108</v>
      </c>
      <c r="J3445" t="s">
        <v>10699</v>
      </c>
      <c r="K3445" t="s">
        <v>10700</v>
      </c>
      <c r="L3445" t="s">
        <v>21</v>
      </c>
      <c r="M3445" t="s">
        <v>19177</v>
      </c>
      <c r="N3445" t="s">
        <v>714</v>
      </c>
      <c r="O3445" t="s">
        <v>10263</v>
      </c>
      <c r="P3445" t="s">
        <v>12</v>
      </c>
    </row>
    <row r="3446">
      <c r="A3446">
        <f>HYPERLINK("http://bombeiros.sp.gov.br/hidrantes/03individual/2270.html","2270")</f>
      </c>
      <c r="B3446" t="s">
        <v>623</v>
      </c>
      <c r="C3446" t="s">
        <v>714</v>
      </c>
      <c r="D3446" t="s">
        <v>10655</v>
      </c>
      <c r="E3446" t="s">
        <v>15</v>
      </c>
      <c r="F3446" t="s">
        <v>10701</v>
      </c>
      <c r="G3446" t="s">
        <v>17913</v>
      </c>
      <c r="H3446" t="s">
        <v>1112</v>
      </c>
      <c r="I3446" t="s">
        <v>1108</v>
      </c>
      <c r="J3446" t="s">
        <v>10702</v>
      </c>
      <c r="K3446" t="s">
        <v>10703</v>
      </c>
      <c r="L3446" t="s">
        <v>21</v>
      </c>
      <c r="M3446" t="s">
        <v>19177</v>
      </c>
      <c r="N3446" t="s">
        <v>714</v>
      </c>
      <c r="O3446" t="s">
        <v>10263</v>
      </c>
      <c r="P3446" t="s">
        <v>12</v>
      </c>
    </row>
    <row r="3447">
      <c r="A3447">
        <f>HYPERLINK("http://bombeiros.sp.gov.br/hidrantes/03individual/2279.html","2279")</f>
      </c>
      <c r="B3447" t="s">
        <v>623</v>
      </c>
      <c r="C3447" t="s">
        <v>714</v>
      </c>
      <c r="D3447" t="s">
        <v>10655</v>
      </c>
      <c r="E3447" t="s">
        <v>15</v>
      </c>
      <c r="F3447" t="s">
        <v>10704</v>
      </c>
      <c r="G3447" t="s">
        <v>18129</v>
      </c>
      <c r="H3447" t="s">
        <v>1112</v>
      </c>
      <c r="I3447" t="s">
        <v>1108</v>
      </c>
      <c r="J3447" t="s">
        <v>10705</v>
      </c>
      <c r="K3447" t="s">
        <v>10706</v>
      </c>
      <c r="L3447" t="s">
        <v>36</v>
      </c>
      <c r="M3447" t="s">
        <v>19177</v>
      </c>
      <c r="N3447" t="s">
        <v>714</v>
      </c>
      <c r="O3447" t="s">
        <v>10263</v>
      </c>
      <c r="P3447" t="s">
        <v>12</v>
      </c>
    </row>
    <row r="3448">
      <c r="A3448">
        <f>HYPERLINK("http://bombeiros.sp.gov.br/hidrantes/03individual/26626.html","26626")</f>
      </c>
      <c r="B3448" t="s">
        <v>623</v>
      </c>
      <c r="C3448" t="s">
        <v>714</v>
      </c>
      <c r="D3448" t="s">
        <v>10655</v>
      </c>
      <c r="E3448" t="s">
        <v>15</v>
      </c>
      <c r="F3448" t="s">
        <v>10707</v>
      </c>
      <c r="G3448" t="s">
        <v>18257</v>
      </c>
      <c r="H3448" t="s">
        <v>1112</v>
      </c>
      <c r="I3448" t="s">
        <v>1108</v>
      </c>
      <c r="J3448" t="s">
        <v>10708</v>
      </c>
      <c r="K3448" t="s">
        <v>10709</v>
      </c>
      <c r="L3448" t="s">
        <v>21</v>
      </c>
      <c r="M3448" t="s">
        <v>19177</v>
      </c>
      <c r="N3448" t="s">
        <v>714</v>
      </c>
      <c r="O3448" t="s">
        <v>10263</v>
      </c>
      <c r="P3448" t="s">
        <v>12</v>
      </c>
    </row>
    <row r="3449">
      <c r="A3449">
        <f>HYPERLINK("http://bombeiros.sp.gov.br/hidrantes/03individual/16588.html","16588")</f>
      </c>
      <c r="B3449" t="s">
        <v>623</v>
      </c>
      <c r="C3449" t="s">
        <v>714</v>
      </c>
      <c r="D3449" t="s">
        <v>10710</v>
      </c>
      <c r="E3449" t="s">
        <v>15</v>
      </c>
      <c r="F3449" t="s">
        <v>10711</v>
      </c>
      <c r="G3449" t="s">
        <v>18107</v>
      </c>
      <c r="H3449" t="s">
        <v>1112</v>
      </c>
      <c r="I3449" t="s">
        <v>1108</v>
      </c>
      <c r="J3449" t="s">
        <v>10712</v>
      </c>
      <c r="K3449" t="s">
        <v>10713</v>
      </c>
      <c r="L3449" t="s">
        <v>21</v>
      </c>
      <c r="M3449" t="s">
        <v>19177</v>
      </c>
      <c r="N3449" t="s">
        <v>714</v>
      </c>
      <c r="O3449" t="s">
        <v>10263</v>
      </c>
      <c r="P3449" t="s">
        <v>12</v>
      </c>
    </row>
    <row r="3450">
      <c r="A3450">
        <f>HYPERLINK("http://bombeiros.sp.gov.br/hidrantes/03individual/1071.html","1071")</f>
      </c>
      <c r="B3450" t="s">
        <v>623</v>
      </c>
      <c r="C3450" t="s">
        <v>714</v>
      </c>
      <c r="D3450" t="s">
        <v>732</v>
      </c>
      <c r="E3450" t="s">
        <v>64</v>
      </c>
      <c r="F3450" t="s">
        <v>10714</v>
      </c>
      <c r="G3450" t="s">
        <v>17942</v>
      </c>
      <c r="H3450" t="s">
        <v>1112</v>
      </c>
      <c r="I3450" t="s">
        <v>1108</v>
      </c>
      <c r="J3450" t="s">
        <v>10715</v>
      </c>
      <c r="K3450" t="s">
        <v>10716</v>
      </c>
      <c r="L3450" t="s">
        <v>21</v>
      </c>
      <c r="M3450" t="s">
        <v>19177</v>
      </c>
      <c r="N3450" t="s">
        <v>714</v>
      </c>
      <c r="O3450" t="s">
        <v>10263</v>
      </c>
      <c r="P3450" t="s">
        <v>12</v>
      </c>
    </row>
    <row r="3451">
      <c r="A3451">
        <f>HYPERLINK("http://bombeiros.sp.gov.br/hidrantes/03individual/1082.html","1082")</f>
      </c>
      <c r="B3451" t="s">
        <v>623</v>
      </c>
      <c r="C3451" t="s">
        <v>714</v>
      </c>
      <c r="D3451" t="s">
        <v>732</v>
      </c>
      <c r="E3451" t="s">
        <v>64</v>
      </c>
      <c r="F3451" t="s">
        <v>10717</v>
      </c>
      <c r="G3451" t="s">
        <v>18154</v>
      </c>
      <c r="H3451" t="s">
        <v>1112</v>
      </c>
      <c r="I3451" t="s">
        <v>1108</v>
      </c>
      <c r="J3451" t="s">
        <v>10718</v>
      </c>
      <c r="K3451" t="s">
        <v>10719</v>
      </c>
      <c r="L3451" t="s">
        <v>21</v>
      </c>
      <c r="M3451" t="s">
        <v>19177</v>
      </c>
      <c r="N3451" t="s">
        <v>714</v>
      </c>
      <c r="O3451" t="s">
        <v>10263</v>
      </c>
      <c r="P3451" t="s">
        <v>12</v>
      </c>
    </row>
    <row r="3452">
      <c r="A3452">
        <f>HYPERLINK("http://bombeiros.sp.gov.br/hidrantes/03individual/1085.html","1085")</f>
      </c>
      <c r="B3452" t="s">
        <v>623</v>
      </c>
      <c r="C3452" t="s">
        <v>714</v>
      </c>
      <c r="D3452" t="s">
        <v>732</v>
      </c>
      <c r="E3452" t="s">
        <v>64</v>
      </c>
      <c r="F3452" t="s">
        <v>10720</v>
      </c>
      <c r="G3452" t="s">
        <v>18154</v>
      </c>
      <c r="H3452" t="s">
        <v>1112</v>
      </c>
      <c r="I3452" t="s">
        <v>1108</v>
      </c>
      <c r="J3452" t="s">
        <v>10721</v>
      </c>
      <c r="K3452" t="s">
        <v>10722</v>
      </c>
      <c r="L3452" t="s">
        <v>21</v>
      </c>
      <c r="M3452" t="s">
        <v>19177</v>
      </c>
      <c r="N3452" t="s">
        <v>714</v>
      </c>
      <c r="O3452" t="s">
        <v>10263</v>
      </c>
      <c r="P3452" t="s">
        <v>12</v>
      </c>
    </row>
    <row r="3453">
      <c r="A3453">
        <f>HYPERLINK("http://bombeiros.sp.gov.br/hidrantes/03individual/28108.html","28108")</f>
      </c>
      <c r="B3453" t="s">
        <v>623</v>
      </c>
      <c r="C3453" t="s">
        <v>714</v>
      </c>
      <c r="D3453" t="s">
        <v>732</v>
      </c>
      <c r="E3453" t="s">
        <v>64</v>
      </c>
      <c r="F3453" t="s">
        <v>18334</v>
      </c>
      <c r="G3453" t="s">
        <v>18104</v>
      </c>
      <c r="H3453" t="s">
        <v>1112</v>
      </c>
      <c r="I3453" t="s">
        <v>1108</v>
      </c>
      <c r="J3453" t="s">
        <v>18335</v>
      </c>
      <c r="K3453" t="s">
        <v>18336</v>
      </c>
      <c r="L3453" t="s">
        <v>21</v>
      </c>
      <c r="M3453" t="s">
        <v>19177</v>
      </c>
      <c r="N3453" t="s">
        <v>714</v>
      </c>
      <c r="O3453" t="s">
        <v>10263</v>
      </c>
      <c r="P3453" t="s">
        <v>12</v>
      </c>
    </row>
    <row r="3454">
      <c r="A3454">
        <f>HYPERLINK("http://bombeiros.sp.gov.br/hidrantes/03individual/1060.html","1060")</f>
      </c>
      <c r="B3454" t="s">
        <v>623</v>
      </c>
      <c r="C3454" t="s">
        <v>714</v>
      </c>
      <c r="D3454" t="s">
        <v>732</v>
      </c>
      <c r="E3454" t="s">
        <v>15</v>
      </c>
      <c r="F3454" t="s">
        <v>10723</v>
      </c>
      <c r="G3454" t="s">
        <v>18110</v>
      </c>
      <c r="H3454" t="s">
        <v>1112</v>
      </c>
      <c r="I3454" t="s">
        <v>1108</v>
      </c>
      <c r="J3454" t="s">
        <v>10725</v>
      </c>
      <c r="K3454" t="s">
        <v>10726</v>
      </c>
      <c r="L3454" t="s">
        <v>21</v>
      </c>
      <c r="M3454" t="s">
        <v>19177</v>
      </c>
      <c r="N3454" t="s">
        <v>714</v>
      </c>
      <c r="O3454" t="s">
        <v>10263</v>
      </c>
      <c r="P3454" t="s">
        <v>12</v>
      </c>
    </row>
    <row r="3455">
      <c r="A3455">
        <f>HYPERLINK("http://bombeiros.sp.gov.br/hidrantes/03individual/1062.html","1062")</f>
      </c>
      <c r="B3455" t="s">
        <v>623</v>
      </c>
      <c r="C3455" t="s">
        <v>714</v>
      </c>
      <c r="D3455" t="s">
        <v>732</v>
      </c>
      <c r="E3455" t="s">
        <v>15</v>
      </c>
      <c r="F3455" t="s">
        <v>10727</v>
      </c>
      <c r="G3455" t="s">
        <v>18110</v>
      </c>
      <c r="H3455" t="s">
        <v>1112</v>
      </c>
      <c r="I3455" t="s">
        <v>1108</v>
      </c>
      <c r="J3455" t="s">
        <v>10728</v>
      </c>
      <c r="K3455" t="s">
        <v>10729</v>
      </c>
      <c r="L3455" t="s">
        <v>21</v>
      </c>
      <c r="M3455" t="s">
        <v>19177</v>
      </c>
      <c r="N3455" t="s">
        <v>714</v>
      </c>
      <c r="O3455" t="s">
        <v>10263</v>
      </c>
      <c r="P3455" t="s">
        <v>12</v>
      </c>
    </row>
    <row r="3456">
      <c r="A3456">
        <f>HYPERLINK("http://bombeiros.sp.gov.br/hidrantes/03individual/1072.html","1072")</f>
      </c>
      <c r="B3456" t="s">
        <v>623</v>
      </c>
      <c r="C3456" t="s">
        <v>714</v>
      </c>
      <c r="D3456" t="s">
        <v>732</v>
      </c>
      <c r="E3456" t="s">
        <v>15</v>
      </c>
      <c r="F3456" t="s">
        <v>10730</v>
      </c>
      <c r="G3456" t="s">
        <v>17942</v>
      </c>
      <c r="H3456" t="s">
        <v>1112</v>
      </c>
      <c r="I3456" t="s">
        <v>1108</v>
      </c>
      <c r="J3456" t="s">
        <v>10731</v>
      </c>
      <c r="K3456" t="s">
        <v>10732</v>
      </c>
      <c r="L3456" t="s">
        <v>21</v>
      </c>
      <c r="M3456" t="s">
        <v>19177</v>
      </c>
      <c r="N3456" t="s">
        <v>714</v>
      </c>
      <c r="O3456" t="s">
        <v>10263</v>
      </c>
      <c r="P3456" t="s">
        <v>12</v>
      </c>
    </row>
    <row r="3457">
      <c r="A3457">
        <f>HYPERLINK("http://bombeiros.sp.gov.br/hidrantes/03individual/1073.html","1073")</f>
      </c>
      <c r="B3457" t="s">
        <v>623</v>
      </c>
      <c r="C3457" t="s">
        <v>714</v>
      </c>
      <c r="D3457" t="s">
        <v>732</v>
      </c>
      <c r="E3457" t="s">
        <v>15</v>
      </c>
      <c r="F3457" t="s">
        <v>10733</v>
      </c>
      <c r="G3457" t="s">
        <v>17942</v>
      </c>
      <c r="H3457" t="s">
        <v>1174</v>
      </c>
      <c r="I3457" t="s">
        <v>1117</v>
      </c>
      <c r="J3457" t="s">
        <v>10734</v>
      </c>
      <c r="K3457" t="s">
        <v>10735</v>
      </c>
      <c r="L3457" t="s">
        <v>21</v>
      </c>
      <c r="M3457" t="s">
        <v>19177</v>
      </c>
      <c r="N3457" t="s">
        <v>714</v>
      </c>
      <c r="O3457" t="s">
        <v>10263</v>
      </c>
      <c r="P3457" t="s">
        <v>12</v>
      </c>
    </row>
    <row r="3458">
      <c r="A3458">
        <f>HYPERLINK("http://bombeiros.sp.gov.br/hidrantes/03individual/1075.html","1075")</f>
      </c>
      <c r="B3458" t="s">
        <v>623</v>
      </c>
      <c r="C3458" t="s">
        <v>714</v>
      </c>
      <c r="D3458" t="s">
        <v>732</v>
      </c>
      <c r="E3458" t="s">
        <v>15</v>
      </c>
      <c r="F3458" t="s">
        <v>10736</v>
      </c>
      <c r="G3458" t="s">
        <v>18110</v>
      </c>
      <c r="H3458" t="s">
        <v>1112</v>
      </c>
      <c r="I3458" t="s">
        <v>1108</v>
      </c>
      <c r="J3458" t="s">
        <v>10737</v>
      </c>
      <c r="K3458" t="s">
        <v>10738</v>
      </c>
      <c r="L3458" t="s">
        <v>21</v>
      </c>
      <c r="M3458" t="s">
        <v>19177</v>
      </c>
      <c r="N3458" t="s">
        <v>714</v>
      </c>
      <c r="O3458" t="s">
        <v>10263</v>
      </c>
      <c r="P3458" t="s">
        <v>12</v>
      </c>
    </row>
    <row r="3459">
      <c r="A3459">
        <f>HYPERLINK("http://bombeiros.sp.gov.br/hidrantes/03individual/1077.html","1077")</f>
      </c>
      <c r="B3459" t="s">
        <v>623</v>
      </c>
      <c r="C3459" t="s">
        <v>714</v>
      </c>
      <c r="D3459" t="s">
        <v>732</v>
      </c>
      <c r="E3459" t="s">
        <v>15</v>
      </c>
      <c r="F3459" t="s">
        <v>10739</v>
      </c>
      <c r="G3459" t="s">
        <v>18110</v>
      </c>
      <c r="H3459" t="s">
        <v>1112</v>
      </c>
      <c r="I3459" t="s">
        <v>1108</v>
      </c>
      <c r="J3459" t="s">
        <v>10740</v>
      </c>
      <c r="K3459" t="s">
        <v>10741</v>
      </c>
      <c r="L3459" t="s">
        <v>21</v>
      </c>
      <c r="M3459" t="s">
        <v>19177</v>
      </c>
      <c r="N3459" t="s">
        <v>714</v>
      </c>
      <c r="O3459" t="s">
        <v>10263</v>
      </c>
      <c r="P3459" t="s">
        <v>12</v>
      </c>
    </row>
    <row r="3460">
      <c r="A3460">
        <f>HYPERLINK("http://bombeiros.sp.gov.br/hidrantes/03individual/1078.html","1078")</f>
      </c>
      <c r="B3460" t="s">
        <v>623</v>
      </c>
      <c r="C3460" t="s">
        <v>714</v>
      </c>
      <c r="D3460" t="s">
        <v>732</v>
      </c>
      <c r="E3460" t="s">
        <v>15</v>
      </c>
      <c r="F3460" t="s">
        <v>10742</v>
      </c>
      <c r="G3460" t="s">
        <v>17942</v>
      </c>
      <c r="H3460" t="s">
        <v>1174</v>
      </c>
      <c r="I3460" t="s">
        <v>1117</v>
      </c>
      <c r="J3460" t="s">
        <v>10743</v>
      </c>
      <c r="K3460" t="s">
        <v>10744</v>
      </c>
      <c r="L3460" t="s">
        <v>21</v>
      </c>
      <c r="M3460" t="s">
        <v>19177</v>
      </c>
      <c r="N3460" t="s">
        <v>714</v>
      </c>
      <c r="O3460" t="s">
        <v>10263</v>
      </c>
      <c r="P3460" t="s">
        <v>12</v>
      </c>
    </row>
    <row r="3461">
      <c r="A3461">
        <f>HYPERLINK("http://bombeiros.sp.gov.br/hidrantes/03individual/1079.html","1079")</f>
      </c>
      <c r="B3461" t="s">
        <v>623</v>
      </c>
      <c r="C3461" t="s">
        <v>714</v>
      </c>
      <c r="D3461" t="s">
        <v>732</v>
      </c>
      <c r="E3461" t="s">
        <v>15</v>
      </c>
      <c r="F3461" t="s">
        <v>10745</v>
      </c>
      <c r="G3461" t="s">
        <v>18154</v>
      </c>
      <c r="H3461" t="s">
        <v>1112</v>
      </c>
      <c r="I3461" t="s">
        <v>1108</v>
      </c>
      <c r="J3461" t="s">
        <v>10746</v>
      </c>
      <c r="K3461" t="s">
        <v>10747</v>
      </c>
      <c r="L3461" t="s">
        <v>21</v>
      </c>
      <c r="M3461" t="s">
        <v>19177</v>
      </c>
      <c r="N3461" t="s">
        <v>714</v>
      </c>
      <c r="O3461" t="s">
        <v>10263</v>
      </c>
      <c r="P3461" t="s">
        <v>12</v>
      </c>
    </row>
    <row r="3462">
      <c r="A3462">
        <f>HYPERLINK("http://bombeiros.sp.gov.br/hidrantes/03individual/1081.html","1081")</f>
      </c>
      <c r="B3462" t="s">
        <v>623</v>
      </c>
      <c r="C3462" t="s">
        <v>714</v>
      </c>
      <c r="D3462" t="s">
        <v>732</v>
      </c>
      <c r="E3462" t="s">
        <v>15</v>
      </c>
      <c r="F3462" t="s">
        <v>10748</v>
      </c>
      <c r="G3462" t="s">
        <v>18154</v>
      </c>
      <c r="H3462" t="s">
        <v>1112</v>
      </c>
      <c r="I3462" t="s">
        <v>1108</v>
      </c>
      <c r="J3462" t="s">
        <v>10749</v>
      </c>
      <c r="K3462" t="s">
        <v>10750</v>
      </c>
      <c r="L3462" t="s">
        <v>21</v>
      </c>
      <c r="M3462" t="s">
        <v>19177</v>
      </c>
      <c r="N3462" t="s">
        <v>714</v>
      </c>
      <c r="O3462" t="s">
        <v>10263</v>
      </c>
      <c r="P3462" t="s">
        <v>12</v>
      </c>
    </row>
    <row r="3463">
      <c r="A3463">
        <f>HYPERLINK("http://bombeiros.sp.gov.br/hidrantes/03individual/4224.html","4224")</f>
      </c>
      <c r="B3463" t="s">
        <v>623</v>
      </c>
      <c r="C3463" t="s">
        <v>714</v>
      </c>
      <c r="D3463" t="s">
        <v>732</v>
      </c>
      <c r="E3463" t="s">
        <v>15</v>
      </c>
      <c r="F3463" t="s">
        <v>10751</v>
      </c>
      <c r="G3463" t="s">
        <v>18110</v>
      </c>
      <c r="H3463" t="s">
        <v>1112</v>
      </c>
      <c r="I3463" t="s">
        <v>1108</v>
      </c>
      <c r="J3463" t="s">
        <v>10752</v>
      </c>
      <c r="K3463" t="s">
        <v>10753</v>
      </c>
      <c r="L3463" t="s">
        <v>21</v>
      </c>
      <c r="M3463" t="s">
        <v>19177</v>
      </c>
      <c r="N3463" t="s">
        <v>714</v>
      </c>
      <c r="O3463" t="s">
        <v>10263</v>
      </c>
      <c r="P3463" t="s">
        <v>12</v>
      </c>
    </row>
    <row r="3464">
      <c r="A3464">
        <f>HYPERLINK("http://bombeiros.sp.gov.br/hidrantes/03individual/4225.html","4225")</f>
      </c>
      <c r="B3464" t="s">
        <v>623</v>
      </c>
      <c r="C3464" t="s">
        <v>714</v>
      </c>
      <c r="D3464" t="s">
        <v>732</v>
      </c>
      <c r="E3464" t="s">
        <v>15</v>
      </c>
      <c r="F3464" t="s">
        <v>10754</v>
      </c>
      <c r="G3464" t="s">
        <v>18110</v>
      </c>
      <c r="H3464" t="s">
        <v>1112</v>
      </c>
      <c r="I3464" t="s">
        <v>1108</v>
      </c>
      <c r="J3464" t="s">
        <v>10755</v>
      </c>
      <c r="K3464" t="s">
        <v>10756</v>
      </c>
      <c r="L3464" t="s">
        <v>21</v>
      </c>
      <c r="M3464" t="s">
        <v>19177</v>
      </c>
      <c r="N3464" t="s">
        <v>714</v>
      </c>
      <c r="O3464" t="s">
        <v>10263</v>
      </c>
      <c r="P3464" t="s">
        <v>12</v>
      </c>
    </row>
    <row r="3465">
      <c r="A3465">
        <f>HYPERLINK("http://bombeiros.sp.gov.br/hidrantes/03individual/27051.html","27051")</f>
      </c>
      <c r="B3465" t="s">
        <v>623</v>
      </c>
      <c r="C3465" t="s">
        <v>714</v>
      </c>
      <c r="D3465" t="s">
        <v>732</v>
      </c>
      <c r="E3465" t="s">
        <v>15</v>
      </c>
      <c r="F3465" t="s">
        <v>16669</v>
      </c>
      <c r="G3465" t="s">
        <v>18110</v>
      </c>
      <c r="H3465" t="s">
        <v>1112</v>
      </c>
      <c r="I3465" t="s">
        <v>1108</v>
      </c>
      <c r="J3465" t="s">
        <v>16670</v>
      </c>
      <c r="K3465" t="s">
        <v>16671</v>
      </c>
      <c r="L3465" t="s">
        <v>21</v>
      </c>
      <c r="M3465" t="s">
        <v>19177</v>
      </c>
      <c r="N3465" t="s">
        <v>714</v>
      </c>
      <c r="O3465" t="s">
        <v>10263</v>
      </c>
      <c r="P3465" t="s">
        <v>12</v>
      </c>
    </row>
    <row r="3466">
      <c r="A3466">
        <f>HYPERLINK("http://bombeiros.sp.gov.br/hidrantes/03individual/27061.html","27061")</f>
      </c>
      <c r="B3466" t="s">
        <v>623</v>
      </c>
      <c r="C3466" t="s">
        <v>714</v>
      </c>
      <c r="D3466" t="s">
        <v>732</v>
      </c>
      <c r="E3466" t="s">
        <v>15</v>
      </c>
      <c r="F3466" t="s">
        <v>16681</v>
      </c>
      <c r="G3466" t="s">
        <v>18110</v>
      </c>
      <c r="H3466" t="s">
        <v>1112</v>
      </c>
      <c r="I3466" t="s">
        <v>1108</v>
      </c>
      <c r="J3466" t="s">
        <v>16682</v>
      </c>
      <c r="K3466" t="s">
        <v>16683</v>
      </c>
      <c r="L3466" t="s">
        <v>21</v>
      </c>
      <c r="M3466" t="s">
        <v>19177</v>
      </c>
      <c r="N3466" t="s">
        <v>714</v>
      </c>
      <c r="O3466" t="s">
        <v>10263</v>
      </c>
      <c r="P3466" t="s">
        <v>12</v>
      </c>
    </row>
    <row r="3467">
      <c r="A3467">
        <f>HYPERLINK("http://bombeiros.sp.gov.br/hidrantes/03individual/1179.html","1179")</f>
      </c>
      <c r="B3467" t="s">
        <v>623</v>
      </c>
      <c r="C3467" t="s">
        <v>714</v>
      </c>
      <c r="D3467" t="s">
        <v>737</v>
      </c>
      <c r="E3467" t="s">
        <v>64</v>
      </c>
      <c r="F3467" t="s">
        <v>10757</v>
      </c>
      <c r="G3467" t="s">
        <v>17927</v>
      </c>
      <c r="H3467" t="s">
        <v>1112</v>
      </c>
      <c r="I3467" t="s">
        <v>1108</v>
      </c>
      <c r="J3467" t="s">
        <v>10758</v>
      </c>
      <c r="K3467" t="s">
        <v>10759</v>
      </c>
      <c r="L3467" t="s">
        <v>36</v>
      </c>
      <c r="M3467" t="s">
        <v>19177</v>
      </c>
      <c r="N3467" t="s">
        <v>714</v>
      </c>
      <c r="O3467" t="s">
        <v>10263</v>
      </c>
      <c r="P3467" t="s">
        <v>12</v>
      </c>
    </row>
    <row r="3468">
      <c r="A3468">
        <f>HYPERLINK("http://bombeiros.sp.gov.br/hidrantes/03individual/1570.html","1570")</f>
      </c>
      <c r="B3468" t="s">
        <v>623</v>
      </c>
      <c r="C3468" t="s">
        <v>714</v>
      </c>
      <c r="D3468" t="s">
        <v>737</v>
      </c>
      <c r="E3468" t="s">
        <v>64</v>
      </c>
      <c r="F3468" t="s">
        <v>10760</v>
      </c>
      <c r="G3468" t="s">
        <v>18151</v>
      </c>
      <c r="H3468" t="s">
        <v>1112</v>
      </c>
      <c r="I3468" t="s">
        <v>1108</v>
      </c>
      <c r="J3468" t="s">
        <v>10761</v>
      </c>
      <c r="K3468" t="s">
        <v>10762</v>
      </c>
      <c r="L3468" t="s">
        <v>21</v>
      </c>
      <c r="M3468" t="s">
        <v>19177</v>
      </c>
      <c r="N3468" t="s">
        <v>714</v>
      </c>
      <c r="O3468" t="s">
        <v>10263</v>
      </c>
      <c r="P3468" t="s">
        <v>12</v>
      </c>
    </row>
    <row r="3469">
      <c r="A3469">
        <f>HYPERLINK("http://bombeiros.sp.gov.br/hidrantes/03individual/1722.html","1722")</f>
      </c>
      <c r="B3469" t="s">
        <v>623</v>
      </c>
      <c r="C3469" t="s">
        <v>714</v>
      </c>
      <c r="D3469" t="s">
        <v>737</v>
      </c>
      <c r="E3469" t="s">
        <v>64</v>
      </c>
      <c r="F3469" t="s">
        <v>10763</v>
      </c>
      <c r="G3469" t="s">
        <v>18151</v>
      </c>
      <c r="H3469" t="s">
        <v>1107</v>
      </c>
      <c r="I3469" t="s">
        <v>1108</v>
      </c>
      <c r="J3469" t="s">
        <v>10764</v>
      </c>
      <c r="K3469" t="s">
        <v>10765</v>
      </c>
      <c r="L3469" t="s">
        <v>36</v>
      </c>
      <c r="M3469" t="s">
        <v>19177</v>
      </c>
      <c r="N3469" t="s">
        <v>714</v>
      </c>
      <c r="O3469" t="s">
        <v>10263</v>
      </c>
      <c r="P3469" t="s">
        <v>12</v>
      </c>
    </row>
    <row r="3470">
      <c r="A3470">
        <f>HYPERLINK("http://bombeiros.sp.gov.br/hidrantes/03individual/6677.html","6677")</f>
      </c>
      <c r="B3470" t="s">
        <v>623</v>
      </c>
      <c r="C3470" t="s">
        <v>714</v>
      </c>
      <c r="D3470" t="s">
        <v>737</v>
      </c>
      <c r="E3470" t="s">
        <v>64</v>
      </c>
      <c r="F3470" t="s">
        <v>10766</v>
      </c>
      <c r="G3470" t="s">
        <v>18129</v>
      </c>
      <c r="H3470" t="s">
        <v>1112</v>
      </c>
      <c r="I3470" t="s">
        <v>1108</v>
      </c>
      <c r="J3470" t="s">
        <v>10767</v>
      </c>
      <c r="K3470" t="s">
        <v>10768</v>
      </c>
      <c r="L3470" t="s">
        <v>21</v>
      </c>
      <c r="M3470" t="s">
        <v>19177</v>
      </c>
      <c r="N3470" t="s">
        <v>714</v>
      </c>
      <c r="O3470" t="s">
        <v>10263</v>
      </c>
      <c r="P3470" t="s">
        <v>12</v>
      </c>
    </row>
    <row r="3471">
      <c r="A3471">
        <f>HYPERLINK("http://bombeiros.sp.gov.br/hidrantes/03individual/1154.html","1154")</f>
      </c>
      <c r="B3471" t="s">
        <v>623</v>
      </c>
      <c r="C3471" t="s">
        <v>714</v>
      </c>
      <c r="D3471" t="s">
        <v>737</v>
      </c>
      <c r="E3471" t="s">
        <v>15</v>
      </c>
      <c r="F3471" t="s">
        <v>10769</v>
      </c>
      <c r="G3471" t="s">
        <v>18157</v>
      </c>
      <c r="H3471" t="s">
        <v>1112</v>
      </c>
      <c r="I3471" t="s">
        <v>1108</v>
      </c>
      <c r="J3471" t="s">
        <v>18920</v>
      </c>
      <c r="K3471" t="s">
        <v>18921</v>
      </c>
      <c r="L3471" t="s">
        <v>21</v>
      </c>
      <c r="M3471" t="s">
        <v>19177</v>
      </c>
      <c r="N3471" t="s">
        <v>714</v>
      </c>
      <c r="O3471" t="s">
        <v>10263</v>
      </c>
      <c r="P3471" t="s">
        <v>12</v>
      </c>
    </row>
    <row r="3472">
      <c r="A3472">
        <f>HYPERLINK("http://bombeiros.sp.gov.br/hidrantes/03individual/1172.html","1172")</f>
      </c>
      <c r="B3472" t="s">
        <v>623</v>
      </c>
      <c r="C3472" t="s">
        <v>714</v>
      </c>
      <c r="D3472" t="s">
        <v>737</v>
      </c>
      <c r="E3472" t="s">
        <v>15</v>
      </c>
      <c r="F3472" t="s">
        <v>10772</v>
      </c>
      <c r="G3472" t="s">
        <v>17927</v>
      </c>
      <c r="H3472" t="s">
        <v>1112</v>
      </c>
      <c r="I3472" t="s">
        <v>1108</v>
      </c>
      <c r="J3472" t="s">
        <v>10773</v>
      </c>
      <c r="K3472" t="s">
        <v>10774</v>
      </c>
      <c r="L3472" t="s">
        <v>21</v>
      </c>
      <c r="M3472" t="s">
        <v>19177</v>
      </c>
      <c r="N3472" t="s">
        <v>714</v>
      </c>
      <c r="O3472" t="s">
        <v>10263</v>
      </c>
      <c r="P3472" t="s">
        <v>12</v>
      </c>
    </row>
    <row r="3473">
      <c r="A3473">
        <f>HYPERLINK("http://bombeiros.sp.gov.br/hidrantes/03individual/1173.html","1173")</f>
      </c>
      <c r="B3473" t="s">
        <v>623</v>
      </c>
      <c r="C3473" t="s">
        <v>714</v>
      </c>
      <c r="D3473" t="s">
        <v>737</v>
      </c>
      <c r="E3473" t="s">
        <v>15</v>
      </c>
      <c r="F3473" t="s">
        <v>10775</v>
      </c>
      <c r="G3473" t="s">
        <v>17728</v>
      </c>
      <c r="H3473" t="s">
        <v>1112</v>
      </c>
      <c r="I3473" t="s">
        <v>1108</v>
      </c>
      <c r="J3473" t="s">
        <v>10776</v>
      </c>
      <c r="K3473" t="s">
        <v>10777</v>
      </c>
      <c r="L3473" t="s">
        <v>21</v>
      </c>
      <c r="M3473" t="s">
        <v>19177</v>
      </c>
      <c r="N3473" t="s">
        <v>714</v>
      </c>
      <c r="O3473" t="s">
        <v>10263</v>
      </c>
      <c r="P3473" t="s">
        <v>12</v>
      </c>
    </row>
    <row r="3474">
      <c r="A3474">
        <f>HYPERLINK("http://bombeiros.sp.gov.br/hidrantes/03individual/1174.html","1174")</f>
      </c>
      <c r="B3474" t="s">
        <v>623</v>
      </c>
      <c r="C3474" t="s">
        <v>714</v>
      </c>
      <c r="D3474" t="s">
        <v>737</v>
      </c>
      <c r="E3474" t="s">
        <v>15</v>
      </c>
      <c r="F3474" t="s">
        <v>10778</v>
      </c>
      <c r="G3474" t="s">
        <v>18157</v>
      </c>
      <c r="H3474" t="s">
        <v>1112</v>
      </c>
      <c r="I3474" t="s">
        <v>1108</v>
      </c>
      <c r="J3474" t="s">
        <v>10779</v>
      </c>
      <c r="K3474" t="s">
        <v>10780</v>
      </c>
      <c r="L3474" t="s">
        <v>21</v>
      </c>
      <c r="M3474" t="s">
        <v>19177</v>
      </c>
      <c r="N3474" t="s">
        <v>714</v>
      </c>
      <c r="O3474" t="s">
        <v>10263</v>
      </c>
      <c r="P3474" t="s">
        <v>12</v>
      </c>
    </row>
    <row r="3475">
      <c r="A3475">
        <f>HYPERLINK("http://bombeiros.sp.gov.br/hidrantes/03individual/1178.html","1178")</f>
      </c>
      <c r="B3475" t="s">
        <v>623</v>
      </c>
      <c r="C3475" t="s">
        <v>714</v>
      </c>
      <c r="D3475" t="s">
        <v>737</v>
      </c>
      <c r="E3475" t="s">
        <v>15</v>
      </c>
      <c r="F3475" t="s">
        <v>10781</v>
      </c>
      <c r="G3475" t="s">
        <v>18157</v>
      </c>
      <c r="H3475" t="s">
        <v>1112</v>
      </c>
      <c r="I3475" t="s">
        <v>1108</v>
      </c>
      <c r="J3475" t="s">
        <v>10782</v>
      </c>
      <c r="K3475" t="s">
        <v>10783</v>
      </c>
      <c r="L3475" t="s">
        <v>21</v>
      </c>
      <c r="M3475" t="s">
        <v>19177</v>
      </c>
      <c r="N3475" t="s">
        <v>714</v>
      </c>
      <c r="O3475" t="s">
        <v>10263</v>
      </c>
      <c r="P3475" t="s">
        <v>12</v>
      </c>
    </row>
    <row r="3476">
      <c r="A3476">
        <f>HYPERLINK("http://bombeiros.sp.gov.br/hidrantes/03individual/1180.html","1180")</f>
      </c>
      <c r="B3476" t="s">
        <v>623</v>
      </c>
      <c r="C3476" t="s">
        <v>714</v>
      </c>
      <c r="D3476" t="s">
        <v>737</v>
      </c>
      <c r="E3476" t="s">
        <v>15</v>
      </c>
      <c r="F3476" t="s">
        <v>10784</v>
      </c>
      <c r="G3476" t="s">
        <v>17728</v>
      </c>
      <c r="H3476" t="s">
        <v>1107</v>
      </c>
      <c r="I3476" t="s">
        <v>1108</v>
      </c>
      <c r="J3476" t="s">
        <v>10785</v>
      </c>
      <c r="K3476" t="s">
        <v>10786</v>
      </c>
      <c r="L3476" t="s">
        <v>21</v>
      </c>
      <c r="M3476" t="s">
        <v>19177</v>
      </c>
      <c r="N3476" t="s">
        <v>714</v>
      </c>
      <c r="O3476" t="s">
        <v>10263</v>
      </c>
      <c r="P3476" t="s">
        <v>12</v>
      </c>
    </row>
    <row r="3477">
      <c r="A3477">
        <f>HYPERLINK("http://bombeiros.sp.gov.br/hidrantes/03individual/1585.html","1585")</f>
      </c>
      <c r="B3477" t="s">
        <v>623</v>
      </c>
      <c r="C3477" t="s">
        <v>714</v>
      </c>
      <c r="D3477" t="s">
        <v>737</v>
      </c>
      <c r="E3477" t="s">
        <v>15</v>
      </c>
      <c r="F3477" t="s">
        <v>10787</v>
      </c>
      <c r="G3477" t="s">
        <v>18151</v>
      </c>
      <c r="H3477" t="s">
        <v>1112</v>
      </c>
      <c r="I3477" t="s">
        <v>1108</v>
      </c>
      <c r="J3477" t="s">
        <v>10788</v>
      </c>
      <c r="K3477" t="s">
        <v>10789</v>
      </c>
      <c r="L3477" t="s">
        <v>21</v>
      </c>
      <c r="M3477" t="s">
        <v>19177</v>
      </c>
      <c r="N3477" t="s">
        <v>714</v>
      </c>
      <c r="O3477" t="s">
        <v>10263</v>
      </c>
      <c r="P3477" t="s">
        <v>12</v>
      </c>
    </row>
    <row r="3478">
      <c r="A3478">
        <f>HYPERLINK("http://bombeiros.sp.gov.br/hidrantes/03individual/2155.html","2155")</f>
      </c>
      <c r="B3478" t="s">
        <v>623</v>
      </c>
      <c r="C3478" t="s">
        <v>714</v>
      </c>
      <c r="D3478" t="s">
        <v>737</v>
      </c>
      <c r="E3478" t="s">
        <v>15</v>
      </c>
      <c r="F3478" t="s">
        <v>10790</v>
      </c>
      <c r="G3478" t="s">
        <v>17728</v>
      </c>
      <c r="H3478" t="s">
        <v>1121</v>
      </c>
      <c r="I3478" t="s">
        <v>1117</v>
      </c>
      <c r="J3478" t="s">
        <v>10791</v>
      </c>
      <c r="K3478" t="s">
        <v>10792</v>
      </c>
      <c r="L3478" t="s">
        <v>21</v>
      </c>
      <c r="M3478" t="s">
        <v>19177</v>
      </c>
      <c r="N3478" t="s">
        <v>714</v>
      </c>
      <c r="O3478" t="s">
        <v>10263</v>
      </c>
      <c r="P3478" t="s">
        <v>12</v>
      </c>
    </row>
    <row r="3479">
      <c r="A3479">
        <f>HYPERLINK("http://bombeiros.sp.gov.br/hidrantes/03individual/2161.html","2161")</f>
      </c>
      <c r="B3479" t="s">
        <v>623</v>
      </c>
      <c r="C3479" t="s">
        <v>714</v>
      </c>
      <c r="D3479" t="s">
        <v>737</v>
      </c>
      <c r="E3479" t="s">
        <v>15</v>
      </c>
      <c r="F3479" t="s">
        <v>10793</v>
      </c>
      <c r="G3479" t="s">
        <v>17927</v>
      </c>
      <c r="H3479" t="s">
        <v>1107</v>
      </c>
      <c r="I3479" t="s">
        <v>1108</v>
      </c>
      <c r="J3479" t="s">
        <v>10794</v>
      </c>
      <c r="K3479" t="s">
        <v>10795</v>
      </c>
      <c r="L3479" t="s">
        <v>21</v>
      </c>
      <c r="M3479" t="s">
        <v>19177</v>
      </c>
      <c r="N3479" t="s">
        <v>714</v>
      </c>
      <c r="O3479" t="s">
        <v>10263</v>
      </c>
      <c r="P3479" t="s">
        <v>12</v>
      </c>
    </row>
    <row r="3480">
      <c r="A3480">
        <f>HYPERLINK("http://bombeiros.sp.gov.br/hidrantes/03individual/2174.html","2174")</f>
      </c>
      <c r="B3480" t="s">
        <v>623</v>
      </c>
      <c r="C3480" t="s">
        <v>714</v>
      </c>
      <c r="D3480" t="s">
        <v>737</v>
      </c>
      <c r="E3480" t="s">
        <v>15</v>
      </c>
      <c r="F3480" t="s">
        <v>10796</v>
      </c>
      <c r="G3480" t="s">
        <v>18151</v>
      </c>
      <c r="H3480" t="s">
        <v>1112</v>
      </c>
      <c r="I3480" t="s">
        <v>1108</v>
      </c>
      <c r="J3480" t="s">
        <v>10797</v>
      </c>
      <c r="K3480" t="s">
        <v>10798</v>
      </c>
      <c r="L3480" t="s">
        <v>36</v>
      </c>
      <c r="M3480" t="s">
        <v>19177</v>
      </c>
      <c r="N3480" t="s">
        <v>714</v>
      </c>
      <c r="O3480" t="s">
        <v>10263</v>
      </c>
      <c r="P3480" t="s">
        <v>12</v>
      </c>
    </row>
    <row r="3481">
      <c r="A3481">
        <f>HYPERLINK("http://bombeiros.sp.gov.br/hidrantes/03individual/2175.html","2175")</f>
      </c>
      <c r="B3481" t="s">
        <v>623</v>
      </c>
      <c r="C3481" t="s">
        <v>714</v>
      </c>
      <c r="D3481" t="s">
        <v>737</v>
      </c>
      <c r="E3481" t="s">
        <v>15</v>
      </c>
      <c r="F3481" t="s">
        <v>10799</v>
      </c>
      <c r="G3481" t="s">
        <v>18155</v>
      </c>
      <c r="H3481" t="s">
        <v>1112</v>
      </c>
      <c r="I3481" t="s">
        <v>1108</v>
      </c>
      <c r="J3481" t="s">
        <v>10800</v>
      </c>
      <c r="K3481" t="s">
        <v>10801</v>
      </c>
      <c r="L3481" t="s">
        <v>21</v>
      </c>
      <c r="M3481" t="s">
        <v>19177</v>
      </c>
      <c r="N3481" t="s">
        <v>714</v>
      </c>
      <c r="O3481" t="s">
        <v>10263</v>
      </c>
      <c r="P3481" t="s">
        <v>12</v>
      </c>
    </row>
    <row r="3482">
      <c r="A3482">
        <f>HYPERLINK("http://bombeiros.sp.gov.br/hidrantes/03individual/2183.html","2183")</f>
      </c>
      <c r="B3482" t="s">
        <v>623</v>
      </c>
      <c r="C3482" t="s">
        <v>714</v>
      </c>
      <c r="D3482" t="s">
        <v>737</v>
      </c>
      <c r="E3482" t="s">
        <v>15</v>
      </c>
      <c r="F3482" t="s">
        <v>10802</v>
      </c>
      <c r="G3482" t="s">
        <v>17953</v>
      </c>
      <c r="H3482" t="s">
        <v>1112</v>
      </c>
      <c r="I3482" t="s">
        <v>1108</v>
      </c>
      <c r="J3482" t="s">
        <v>10803</v>
      </c>
      <c r="K3482" t="s">
        <v>10804</v>
      </c>
      <c r="L3482" t="s">
        <v>21</v>
      </c>
      <c r="M3482" t="s">
        <v>19177</v>
      </c>
      <c r="N3482" t="s">
        <v>714</v>
      </c>
      <c r="O3482" t="s">
        <v>10263</v>
      </c>
      <c r="P3482" t="s">
        <v>12</v>
      </c>
    </row>
    <row r="3483">
      <c r="A3483">
        <f>HYPERLINK("http://bombeiros.sp.gov.br/hidrantes/03individual/2199.html","2199")</f>
      </c>
      <c r="B3483" t="s">
        <v>623</v>
      </c>
      <c r="C3483" t="s">
        <v>714</v>
      </c>
      <c r="D3483" t="s">
        <v>737</v>
      </c>
      <c r="E3483" t="s">
        <v>15</v>
      </c>
      <c r="F3483" t="s">
        <v>10805</v>
      </c>
      <c r="G3483" t="s">
        <v>17588</v>
      </c>
      <c r="H3483" t="s">
        <v>1112</v>
      </c>
      <c r="I3483" t="s">
        <v>1108</v>
      </c>
      <c r="J3483" t="s">
        <v>18922</v>
      </c>
      <c r="K3483" t="s">
        <v>18923</v>
      </c>
      <c r="L3483" t="s">
        <v>21</v>
      </c>
      <c r="M3483" t="s">
        <v>19177</v>
      </c>
      <c r="N3483" t="s">
        <v>714</v>
      </c>
      <c r="O3483" t="s">
        <v>10263</v>
      </c>
      <c r="P3483" t="s">
        <v>12</v>
      </c>
    </row>
    <row r="3484">
      <c r="A3484">
        <f>HYPERLINK("http://bombeiros.sp.gov.br/hidrantes/03individual/2204.html","2204")</f>
      </c>
      <c r="B3484" t="s">
        <v>623</v>
      </c>
      <c r="C3484" t="s">
        <v>714</v>
      </c>
      <c r="D3484" t="s">
        <v>737</v>
      </c>
      <c r="E3484" t="s">
        <v>15</v>
      </c>
      <c r="F3484" t="s">
        <v>10808</v>
      </c>
      <c r="G3484" t="s">
        <v>18155</v>
      </c>
      <c r="H3484" t="s">
        <v>1112</v>
      </c>
      <c r="I3484" t="s">
        <v>1108</v>
      </c>
      <c r="J3484" t="s">
        <v>10809</v>
      </c>
      <c r="K3484" t="s">
        <v>10810</v>
      </c>
      <c r="L3484" t="s">
        <v>21</v>
      </c>
      <c r="M3484" t="s">
        <v>19177</v>
      </c>
      <c r="N3484" t="s">
        <v>714</v>
      </c>
      <c r="O3484" t="s">
        <v>10263</v>
      </c>
      <c r="P3484" t="s">
        <v>12</v>
      </c>
    </row>
    <row r="3485">
      <c r="A3485">
        <f>HYPERLINK("http://bombeiros.sp.gov.br/hidrantes/03individual/2219.html","2219")</f>
      </c>
      <c r="B3485" t="s">
        <v>623</v>
      </c>
      <c r="C3485" t="s">
        <v>714</v>
      </c>
      <c r="D3485" t="s">
        <v>737</v>
      </c>
      <c r="E3485" t="s">
        <v>15</v>
      </c>
      <c r="F3485" t="s">
        <v>10811</v>
      </c>
      <c r="G3485" t="s">
        <v>18090</v>
      </c>
      <c r="H3485" t="s">
        <v>1112</v>
      </c>
      <c r="I3485" t="s">
        <v>1108</v>
      </c>
      <c r="J3485" t="s">
        <v>10812</v>
      </c>
      <c r="K3485" t="s">
        <v>10813</v>
      </c>
      <c r="L3485" t="s">
        <v>21</v>
      </c>
      <c r="M3485" t="s">
        <v>19177</v>
      </c>
      <c r="N3485" t="s">
        <v>714</v>
      </c>
      <c r="O3485" t="s">
        <v>10263</v>
      </c>
      <c r="P3485" t="s">
        <v>12</v>
      </c>
    </row>
    <row r="3486">
      <c r="A3486">
        <f>HYPERLINK("http://bombeiros.sp.gov.br/hidrantes/03individual/2233.html","2233")</f>
      </c>
      <c r="B3486" t="s">
        <v>623</v>
      </c>
      <c r="C3486" t="s">
        <v>714</v>
      </c>
      <c r="D3486" t="s">
        <v>737</v>
      </c>
      <c r="E3486" t="s">
        <v>15</v>
      </c>
      <c r="F3486" t="s">
        <v>10814</v>
      </c>
      <c r="G3486" t="s">
        <v>17911</v>
      </c>
      <c r="H3486" t="s">
        <v>1174</v>
      </c>
      <c r="I3486" t="s">
        <v>1108</v>
      </c>
      <c r="J3486" t="s">
        <v>10815</v>
      </c>
      <c r="K3486" t="s">
        <v>10816</v>
      </c>
      <c r="L3486" t="s">
        <v>21</v>
      </c>
      <c r="M3486" t="s">
        <v>19177</v>
      </c>
      <c r="N3486" t="s">
        <v>714</v>
      </c>
      <c r="O3486" t="s">
        <v>10263</v>
      </c>
      <c r="P3486" t="s">
        <v>12</v>
      </c>
    </row>
    <row r="3487">
      <c r="A3487">
        <f>HYPERLINK("http://bombeiros.sp.gov.br/hidrantes/03individual/2945.html","2945")</f>
      </c>
      <c r="B3487" t="s">
        <v>623</v>
      </c>
      <c r="C3487" t="s">
        <v>714</v>
      </c>
      <c r="D3487" t="s">
        <v>737</v>
      </c>
      <c r="E3487" t="s">
        <v>15</v>
      </c>
      <c r="F3487" t="s">
        <v>10817</v>
      </c>
      <c r="G3487" t="s">
        <v>17911</v>
      </c>
      <c r="H3487" t="s">
        <v>1112</v>
      </c>
      <c r="I3487" t="s">
        <v>1108</v>
      </c>
      <c r="J3487" t="s">
        <v>10818</v>
      </c>
      <c r="K3487" t="s">
        <v>10819</v>
      </c>
      <c r="L3487" t="s">
        <v>21</v>
      </c>
      <c r="M3487" t="s">
        <v>19177</v>
      </c>
      <c r="N3487" t="s">
        <v>714</v>
      </c>
      <c r="O3487" t="s">
        <v>10263</v>
      </c>
      <c r="P3487" t="s">
        <v>12</v>
      </c>
    </row>
    <row r="3488">
      <c r="A3488">
        <f>HYPERLINK("http://bombeiros.sp.gov.br/hidrantes/03individual/4260.html","4260")</f>
      </c>
      <c r="B3488" t="s">
        <v>623</v>
      </c>
      <c r="C3488" t="s">
        <v>714</v>
      </c>
      <c r="D3488" t="s">
        <v>737</v>
      </c>
      <c r="E3488" t="s">
        <v>15</v>
      </c>
      <c r="F3488" t="s">
        <v>10820</v>
      </c>
      <c r="G3488" t="s">
        <v>18155</v>
      </c>
      <c r="H3488" t="s">
        <v>1112</v>
      </c>
      <c r="I3488" t="s">
        <v>1108</v>
      </c>
      <c r="J3488" t="s">
        <v>10821</v>
      </c>
      <c r="K3488" t="s">
        <v>10822</v>
      </c>
      <c r="L3488" t="s">
        <v>21</v>
      </c>
      <c r="M3488" t="s">
        <v>19177</v>
      </c>
      <c r="N3488" t="s">
        <v>714</v>
      </c>
      <c r="O3488" t="s">
        <v>10263</v>
      </c>
      <c r="P3488" t="s">
        <v>12</v>
      </c>
    </row>
    <row r="3489">
      <c r="A3489">
        <f>HYPERLINK("http://bombeiros.sp.gov.br/hidrantes/03individual/16320.html","16320")</f>
      </c>
      <c r="B3489" t="s">
        <v>623</v>
      </c>
      <c r="C3489" t="s">
        <v>714</v>
      </c>
      <c r="D3489" t="s">
        <v>737</v>
      </c>
      <c r="E3489" t="s">
        <v>15</v>
      </c>
      <c r="F3489" t="s">
        <v>10823</v>
      </c>
      <c r="G3489" t="s">
        <v>17728</v>
      </c>
      <c r="H3489" t="s">
        <v>1121</v>
      </c>
      <c r="I3489" t="s">
        <v>1117</v>
      </c>
      <c r="J3489" t="s">
        <v>10824</v>
      </c>
      <c r="K3489" t="s">
        <v>10825</v>
      </c>
      <c r="L3489" t="s">
        <v>21</v>
      </c>
      <c r="M3489" t="s">
        <v>19177</v>
      </c>
      <c r="N3489" t="s">
        <v>714</v>
      </c>
      <c r="O3489" t="s">
        <v>10263</v>
      </c>
      <c r="P3489" t="s">
        <v>12</v>
      </c>
    </row>
    <row r="3490">
      <c r="A3490">
        <f>HYPERLINK("http://bombeiros.sp.gov.br/hidrantes/03individual/16321.html","16321")</f>
      </c>
      <c r="B3490" t="s">
        <v>623</v>
      </c>
      <c r="C3490" t="s">
        <v>714</v>
      </c>
      <c r="D3490" t="s">
        <v>737</v>
      </c>
      <c r="E3490" t="s">
        <v>15</v>
      </c>
      <c r="F3490" t="s">
        <v>10826</v>
      </c>
      <c r="G3490" t="s">
        <v>17728</v>
      </c>
      <c r="H3490" t="s">
        <v>1112</v>
      </c>
      <c r="I3490" t="s">
        <v>1108</v>
      </c>
      <c r="J3490" t="s">
        <v>10827</v>
      </c>
      <c r="K3490" t="s">
        <v>10828</v>
      </c>
      <c r="L3490" t="s">
        <v>21</v>
      </c>
      <c r="M3490" t="s">
        <v>19177</v>
      </c>
      <c r="N3490" t="s">
        <v>714</v>
      </c>
      <c r="O3490" t="s">
        <v>10263</v>
      </c>
      <c r="P3490" t="s">
        <v>12</v>
      </c>
    </row>
    <row r="3491">
      <c r="A3491">
        <f>HYPERLINK("http://bombeiros.sp.gov.br/hidrantes/03individual/28032.html","28032")</f>
      </c>
      <c r="B3491" t="s">
        <v>623</v>
      </c>
      <c r="C3491" t="s">
        <v>714</v>
      </c>
      <c r="D3491" t="s">
        <v>737</v>
      </c>
      <c r="E3491" t="s">
        <v>15</v>
      </c>
      <c r="F3491" t="s">
        <v>18337</v>
      </c>
      <c r="G3491" t="s">
        <v>18104</v>
      </c>
      <c r="H3491" t="s">
        <v>1112</v>
      </c>
      <c r="I3491" t="s">
        <v>1108</v>
      </c>
      <c r="J3491" t="s">
        <v>18338</v>
      </c>
      <c r="K3491" t="s">
        <v>18339</v>
      </c>
      <c r="L3491" t="s">
        <v>21</v>
      </c>
      <c r="M3491" t="s">
        <v>19177</v>
      </c>
      <c r="N3491" t="s">
        <v>714</v>
      </c>
      <c r="O3491" t="s">
        <v>10263</v>
      </c>
      <c r="P3491" t="s">
        <v>12</v>
      </c>
    </row>
    <row r="3492">
      <c r="A3492">
        <f>HYPERLINK("http://bombeiros.sp.gov.br/hidrantes/03individual/28033.html","28033")</f>
      </c>
      <c r="B3492" t="s">
        <v>623</v>
      </c>
      <c r="C3492" t="s">
        <v>714</v>
      </c>
      <c r="D3492" t="s">
        <v>737</v>
      </c>
      <c r="E3492" t="s">
        <v>15</v>
      </c>
      <c r="F3492" t="s">
        <v>18340</v>
      </c>
      <c r="G3492" t="s">
        <v>18215</v>
      </c>
      <c r="H3492" t="s">
        <v>1174</v>
      </c>
      <c r="I3492" t="s">
        <v>1117</v>
      </c>
      <c r="J3492" t="s">
        <v>18341</v>
      </c>
      <c r="K3492" t="s">
        <v>18342</v>
      </c>
      <c r="L3492" t="s">
        <v>21</v>
      </c>
      <c r="M3492" t="s">
        <v>19177</v>
      </c>
      <c r="N3492" t="s">
        <v>714</v>
      </c>
      <c r="O3492" t="s">
        <v>10263</v>
      </c>
      <c r="P3492" t="s">
        <v>12</v>
      </c>
    </row>
    <row r="3493">
      <c r="A3493">
        <f>HYPERLINK("http://bombeiros.sp.gov.br/hidrantes/03individual/28036.html","28036")</f>
      </c>
      <c r="B3493" t="s">
        <v>623</v>
      </c>
      <c r="C3493" t="s">
        <v>714</v>
      </c>
      <c r="D3493" t="s">
        <v>737</v>
      </c>
      <c r="E3493" t="s">
        <v>15</v>
      </c>
      <c r="F3493" t="s">
        <v>18343</v>
      </c>
      <c r="G3493" t="s">
        <v>18215</v>
      </c>
      <c r="H3493" t="s">
        <v>1112</v>
      </c>
      <c r="I3493" t="s">
        <v>1108</v>
      </c>
      <c r="J3493" t="s">
        <v>18344</v>
      </c>
      <c r="K3493" t="s">
        <v>18345</v>
      </c>
      <c r="L3493" t="s">
        <v>21</v>
      </c>
      <c r="M3493" t="s">
        <v>19177</v>
      </c>
      <c r="N3493" t="s">
        <v>714</v>
      </c>
      <c r="O3493" t="s">
        <v>10263</v>
      </c>
      <c r="P3493" t="s">
        <v>12</v>
      </c>
    </row>
    <row r="3494">
      <c r="A3494">
        <f>HYPERLINK("http://bombeiros.sp.gov.br/hidrantes/03individual/4436.html","4436")</f>
      </c>
      <c r="B3494" t="s">
        <v>623</v>
      </c>
      <c r="C3494" t="s">
        <v>742</v>
      </c>
      <c r="D3494" t="s">
        <v>743</v>
      </c>
      <c r="E3494" t="s">
        <v>64</v>
      </c>
      <c r="F3494" t="s">
        <v>10829</v>
      </c>
      <c r="G3494" t="s">
        <v>18089</v>
      </c>
      <c r="H3494" t="s">
        <v>1112</v>
      </c>
      <c r="I3494" t="s">
        <v>1108</v>
      </c>
      <c r="J3494" t="s">
        <v>10830</v>
      </c>
      <c r="K3494" t="s">
        <v>10831</v>
      </c>
      <c r="L3494" t="s">
        <v>36</v>
      </c>
      <c r="M3494" t="s">
        <v>19177</v>
      </c>
      <c r="N3494" t="s">
        <v>16375</v>
      </c>
      <c r="O3494" t="s">
        <v>640</v>
      </c>
      <c r="P3494" t="s">
        <v>623</v>
      </c>
    </row>
    <row r="3495">
      <c r="A3495">
        <f>HYPERLINK("http://bombeiros.sp.gov.br/hidrantes/03individual/27685.html","27685")</f>
      </c>
      <c r="B3495" t="s">
        <v>623</v>
      </c>
      <c r="C3495" t="s">
        <v>742</v>
      </c>
      <c r="D3495" t="s">
        <v>743</v>
      </c>
      <c r="E3495" t="s">
        <v>64</v>
      </c>
      <c r="F3495" t="s">
        <v>17645</v>
      </c>
      <c r="G3495" t="s">
        <v>18034</v>
      </c>
      <c r="H3495" t="s">
        <v>1112</v>
      </c>
      <c r="I3495" t="s">
        <v>1108</v>
      </c>
      <c r="J3495" t="s">
        <v>17646</v>
      </c>
      <c r="K3495" t="s">
        <v>17647</v>
      </c>
      <c r="L3495" t="s">
        <v>21</v>
      </c>
      <c r="M3495" t="s">
        <v>19177</v>
      </c>
      <c r="N3495" t="s">
        <v>16375</v>
      </c>
      <c r="O3495" t="s">
        <v>640</v>
      </c>
      <c r="P3495" t="s">
        <v>623</v>
      </c>
    </row>
    <row r="3496">
      <c r="A3496">
        <f>HYPERLINK("http://bombeiros.sp.gov.br/hidrantes/03individual/27997.html","27997")</f>
      </c>
      <c r="B3496" t="s">
        <v>623</v>
      </c>
      <c r="C3496" t="s">
        <v>742</v>
      </c>
      <c r="D3496" t="s">
        <v>743</v>
      </c>
      <c r="E3496" t="s">
        <v>64</v>
      </c>
      <c r="F3496" t="s">
        <v>18346</v>
      </c>
      <c r="G3496" t="s">
        <v>18062</v>
      </c>
      <c r="H3496" t="s">
        <v>1174</v>
      </c>
      <c r="I3496" t="s">
        <v>1108</v>
      </c>
      <c r="J3496" t="s">
        <v>18347</v>
      </c>
      <c r="K3496" t="s">
        <v>18348</v>
      </c>
      <c r="L3496" t="s">
        <v>21</v>
      </c>
      <c r="M3496" t="s">
        <v>19177</v>
      </c>
      <c r="N3496" t="s">
        <v>16375</v>
      </c>
      <c r="O3496" t="s">
        <v>640</v>
      </c>
      <c r="P3496" t="s">
        <v>623</v>
      </c>
    </row>
    <row r="3497">
      <c r="A3497">
        <f>HYPERLINK("http://bombeiros.sp.gov.br/hidrantes/03individual/28016.html","28016")</f>
      </c>
      <c r="B3497" t="s">
        <v>623</v>
      </c>
      <c r="C3497" t="s">
        <v>742</v>
      </c>
      <c r="D3497" t="s">
        <v>743</v>
      </c>
      <c r="E3497" t="s">
        <v>64</v>
      </c>
      <c r="F3497" t="s">
        <v>18349</v>
      </c>
      <c r="G3497" t="s">
        <v>18062</v>
      </c>
      <c r="H3497" t="s">
        <v>1174</v>
      </c>
      <c r="I3497" t="s">
        <v>1117</v>
      </c>
      <c r="J3497" t="s">
        <v>18350</v>
      </c>
      <c r="K3497" t="s">
        <v>18351</v>
      </c>
      <c r="L3497" t="s">
        <v>21</v>
      </c>
      <c r="M3497" t="s">
        <v>19177</v>
      </c>
      <c r="N3497" t="s">
        <v>16375</v>
      </c>
      <c r="O3497" t="s">
        <v>640</v>
      </c>
      <c r="P3497" t="s">
        <v>623</v>
      </c>
    </row>
    <row r="3498">
      <c r="A3498">
        <f>HYPERLINK("http://bombeiros.sp.gov.br/hidrantes/03individual/1261.html","1261")</f>
      </c>
      <c r="B3498" t="s">
        <v>623</v>
      </c>
      <c r="C3498" t="s">
        <v>742</v>
      </c>
      <c r="D3498" t="s">
        <v>743</v>
      </c>
      <c r="E3498" t="s">
        <v>15</v>
      </c>
      <c r="F3498" t="s">
        <v>10832</v>
      </c>
      <c r="G3498" t="s">
        <v>18078</v>
      </c>
      <c r="H3498" t="s">
        <v>1112</v>
      </c>
      <c r="I3498" t="s">
        <v>1108</v>
      </c>
      <c r="J3498" t="s">
        <v>10833</v>
      </c>
      <c r="K3498" t="s">
        <v>10834</v>
      </c>
      <c r="L3498" t="s">
        <v>21</v>
      </c>
      <c r="M3498" t="s">
        <v>19177</v>
      </c>
      <c r="N3498" t="s">
        <v>16375</v>
      </c>
      <c r="O3498" t="s">
        <v>640</v>
      </c>
      <c r="P3498" t="s">
        <v>623</v>
      </c>
    </row>
    <row r="3499">
      <c r="A3499">
        <f>HYPERLINK("http://bombeiros.sp.gov.br/hidrantes/03individual/2317.html","2317")</f>
      </c>
      <c r="B3499" t="s">
        <v>623</v>
      </c>
      <c r="C3499" t="s">
        <v>742</v>
      </c>
      <c r="D3499" t="s">
        <v>743</v>
      </c>
      <c r="E3499" t="s">
        <v>15</v>
      </c>
      <c r="F3499" t="s">
        <v>10835</v>
      </c>
      <c r="G3499" t="s">
        <v>18063</v>
      </c>
      <c r="H3499" t="s">
        <v>1107</v>
      </c>
      <c r="I3499" t="s">
        <v>1108</v>
      </c>
      <c r="J3499" t="s">
        <v>10836</v>
      </c>
      <c r="K3499" t="s">
        <v>10837</v>
      </c>
      <c r="L3499" t="s">
        <v>36</v>
      </c>
      <c r="M3499" t="s">
        <v>19177</v>
      </c>
      <c r="N3499" t="s">
        <v>16375</v>
      </c>
      <c r="O3499" t="s">
        <v>640</v>
      </c>
      <c r="P3499" t="s">
        <v>623</v>
      </c>
    </row>
    <row r="3500">
      <c r="A3500">
        <f>HYPERLINK("http://bombeiros.sp.gov.br/hidrantes/03individual/16536.html","16536")</f>
      </c>
      <c r="B3500" t="s">
        <v>623</v>
      </c>
      <c r="C3500" t="s">
        <v>742</v>
      </c>
      <c r="D3500" t="s">
        <v>743</v>
      </c>
      <c r="E3500" t="s">
        <v>15</v>
      </c>
      <c r="F3500" t="s">
        <v>10838</v>
      </c>
      <c r="G3500" t="s">
        <v>18076</v>
      </c>
      <c r="H3500" t="s">
        <v>1121</v>
      </c>
      <c r="I3500" t="s">
        <v>1117</v>
      </c>
      <c r="J3500" t="s">
        <v>10839</v>
      </c>
      <c r="K3500" t="s">
        <v>10840</v>
      </c>
      <c r="L3500" t="s">
        <v>21</v>
      </c>
      <c r="M3500" t="s">
        <v>19177</v>
      </c>
      <c r="N3500" t="s">
        <v>16375</v>
      </c>
      <c r="O3500" t="s">
        <v>640</v>
      </c>
      <c r="P3500" t="s">
        <v>623</v>
      </c>
    </row>
    <row r="3501">
      <c r="A3501">
        <f>HYPERLINK("http://bombeiros.sp.gov.br/hidrantes/03individual/16537.html","16537")</f>
      </c>
      <c r="B3501" t="s">
        <v>623</v>
      </c>
      <c r="C3501" t="s">
        <v>742</v>
      </c>
      <c r="D3501" t="s">
        <v>743</v>
      </c>
      <c r="E3501" t="s">
        <v>15</v>
      </c>
      <c r="F3501" t="s">
        <v>10841</v>
      </c>
      <c r="G3501" t="s">
        <v>18076</v>
      </c>
      <c r="H3501" t="s">
        <v>1112</v>
      </c>
      <c r="I3501" t="s">
        <v>1108</v>
      </c>
      <c r="J3501" t="s">
        <v>10842</v>
      </c>
      <c r="K3501" t="s">
        <v>10843</v>
      </c>
      <c r="L3501" t="s">
        <v>21</v>
      </c>
      <c r="M3501" t="s">
        <v>19177</v>
      </c>
      <c r="N3501" t="s">
        <v>16375</v>
      </c>
      <c r="O3501" t="s">
        <v>640</v>
      </c>
      <c r="P3501" t="s">
        <v>623</v>
      </c>
    </row>
    <row r="3502">
      <c r="A3502">
        <f>HYPERLINK("http://bombeiros.sp.gov.br/hidrantes/03individual/17760.html","17760")</f>
      </c>
      <c r="B3502" t="s">
        <v>623</v>
      </c>
      <c r="C3502" t="s">
        <v>742</v>
      </c>
      <c r="D3502" t="s">
        <v>743</v>
      </c>
      <c r="E3502" t="s">
        <v>15</v>
      </c>
      <c r="F3502" t="s">
        <v>10844</v>
      </c>
      <c r="G3502" t="s">
        <v>18130</v>
      </c>
      <c r="H3502" t="s">
        <v>1107</v>
      </c>
      <c r="I3502" t="s">
        <v>1108</v>
      </c>
      <c r="J3502" t="s">
        <v>10845</v>
      </c>
      <c r="K3502" t="s">
        <v>10846</v>
      </c>
      <c r="L3502" t="s">
        <v>21</v>
      </c>
      <c r="M3502" t="s">
        <v>19177</v>
      </c>
      <c r="N3502" t="s">
        <v>16375</v>
      </c>
      <c r="O3502" t="s">
        <v>640</v>
      </c>
      <c r="P3502" t="s">
        <v>623</v>
      </c>
    </row>
    <row r="3503">
      <c r="A3503">
        <f>HYPERLINK("http://bombeiros.sp.gov.br/hidrantes/03individual/17818.html","17818")</f>
      </c>
      <c r="B3503" t="s">
        <v>623</v>
      </c>
      <c r="C3503" t="s">
        <v>742</v>
      </c>
      <c r="D3503" t="s">
        <v>743</v>
      </c>
      <c r="E3503" t="s">
        <v>15</v>
      </c>
      <c r="F3503" t="s">
        <v>10847</v>
      </c>
      <c r="G3503" t="s">
        <v>18076</v>
      </c>
      <c r="H3503" t="s">
        <v>1121</v>
      </c>
      <c r="I3503" t="s">
        <v>1117</v>
      </c>
      <c r="J3503" t="s">
        <v>10848</v>
      </c>
      <c r="K3503" t="s">
        <v>10849</v>
      </c>
      <c r="L3503" t="s">
        <v>21</v>
      </c>
      <c r="M3503" t="s">
        <v>19177</v>
      </c>
      <c r="N3503" t="s">
        <v>16375</v>
      </c>
      <c r="O3503" t="s">
        <v>640</v>
      </c>
      <c r="P3503" t="s">
        <v>623</v>
      </c>
    </row>
    <row r="3504">
      <c r="A3504">
        <f>HYPERLINK("http://bombeiros.sp.gov.br/hidrantes/03individual/25227.html","25227")</f>
      </c>
      <c r="B3504" t="s">
        <v>623</v>
      </c>
      <c r="C3504" t="s">
        <v>742</v>
      </c>
      <c r="D3504" t="s">
        <v>743</v>
      </c>
      <c r="E3504" t="s">
        <v>15</v>
      </c>
      <c r="F3504" t="s">
        <v>748</v>
      </c>
      <c r="G3504" t="s">
        <v>18078</v>
      </c>
      <c r="H3504" t="s">
        <v>1121</v>
      </c>
      <c r="I3504" t="s">
        <v>1117</v>
      </c>
      <c r="J3504" t="s">
        <v>749</v>
      </c>
      <c r="K3504" t="s">
        <v>750</v>
      </c>
      <c r="L3504" t="s">
        <v>21</v>
      </c>
      <c r="M3504" t="s">
        <v>19177</v>
      </c>
      <c r="N3504" t="s">
        <v>16375</v>
      </c>
      <c r="O3504" t="s">
        <v>640</v>
      </c>
      <c r="P3504" t="s">
        <v>623</v>
      </c>
    </row>
    <row r="3505">
      <c r="A3505">
        <f>HYPERLINK("http://bombeiros.sp.gov.br/hidrantes/03individual/1350.html","1350")</f>
      </c>
      <c r="B3505" t="s">
        <v>623</v>
      </c>
      <c r="C3505" t="s">
        <v>742</v>
      </c>
      <c r="D3505" t="s">
        <v>751</v>
      </c>
      <c r="E3505" t="s">
        <v>64</v>
      </c>
      <c r="F3505" t="s">
        <v>10850</v>
      </c>
      <c r="G3505" t="s">
        <v>18089</v>
      </c>
      <c r="H3505" t="s">
        <v>1112</v>
      </c>
      <c r="I3505" t="s">
        <v>1108</v>
      </c>
      <c r="J3505" t="s">
        <v>10851</v>
      </c>
      <c r="K3505" t="s">
        <v>10852</v>
      </c>
      <c r="L3505" t="s">
        <v>36</v>
      </c>
      <c r="M3505" t="s">
        <v>19177</v>
      </c>
      <c r="N3505" t="s">
        <v>16375</v>
      </c>
      <c r="O3505" t="s">
        <v>640</v>
      </c>
      <c r="P3505" t="s">
        <v>623</v>
      </c>
    </row>
    <row r="3506">
      <c r="A3506">
        <f>HYPERLINK("http://bombeiros.sp.gov.br/hidrantes/03individual/1249.html","1249")</f>
      </c>
      <c r="B3506" t="s">
        <v>623</v>
      </c>
      <c r="C3506" t="s">
        <v>742</v>
      </c>
      <c r="D3506" t="s">
        <v>751</v>
      </c>
      <c r="E3506" t="s">
        <v>15</v>
      </c>
      <c r="F3506" t="s">
        <v>10853</v>
      </c>
      <c r="G3506" t="s">
        <v>18076</v>
      </c>
      <c r="H3506" t="s">
        <v>1112</v>
      </c>
      <c r="I3506" t="s">
        <v>1108</v>
      </c>
      <c r="J3506" t="s">
        <v>10854</v>
      </c>
      <c r="K3506" t="s">
        <v>10855</v>
      </c>
      <c r="L3506" t="s">
        <v>21</v>
      </c>
      <c r="M3506" t="s">
        <v>19177</v>
      </c>
      <c r="N3506" t="s">
        <v>16375</v>
      </c>
      <c r="O3506" t="s">
        <v>640</v>
      </c>
      <c r="P3506" t="s">
        <v>623</v>
      </c>
    </row>
    <row r="3507">
      <c r="A3507">
        <f>HYPERLINK("http://bombeiros.sp.gov.br/hidrantes/03individual/1397.html","1397")</f>
      </c>
      <c r="B3507" t="s">
        <v>623</v>
      </c>
      <c r="C3507" t="s">
        <v>742</v>
      </c>
      <c r="D3507" t="s">
        <v>751</v>
      </c>
      <c r="E3507" t="s">
        <v>15</v>
      </c>
      <c r="F3507" t="s">
        <v>10856</v>
      </c>
      <c r="G3507" t="s">
        <v>18076</v>
      </c>
      <c r="H3507" t="s">
        <v>1107</v>
      </c>
      <c r="I3507" t="s">
        <v>1108</v>
      </c>
      <c r="J3507" t="s">
        <v>10857</v>
      </c>
      <c r="K3507" t="s">
        <v>10858</v>
      </c>
      <c r="L3507" t="s">
        <v>21</v>
      </c>
      <c r="M3507" t="s">
        <v>19177</v>
      </c>
      <c r="N3507" t="s">
        <v>16375</v>
      </c>
      <c r="O3507" t="s">
        <v>640</v>
      </c>
      <c r="P3507" t="s">
        <v>623</v>
      </c>
    </row>
    <row r="3508">
      <c r="A3508">
        <f>HYPERLINK("http://bombeiros.sp.gov.br/hidrantes/03individual/1401.html","1401")</f>
      </c>
      <c r="B3508" t="s">
        <v>623</v>
      </c>
      <c r="C3508" t="s">
        <v>742</v>
      </c>
      <c r="D3508" t="s">
        <v>751</v>
      </c>
      <c r="E3508" t="s">
        <v>15</v>
      </c>
      <c r="F3508" t="s">
        <v>10859</v>
      </c>
      <c r="G3508" t="s">
        <v>18034</v>
      </c>
      <c r="H3508" t="s">
        <v>1121</v>
      </c>
      <c r="I3508" t="s">
        <v>1117</v>
      </c>
      <c r="J3508" t="s">
        <v>15902</v>
      </c>
      <c r="K3508" t="s">
        <v>15903</v>
      </c>
      <c r="L3508" t="s">
        <v>36</v>
      </c>
      <c r="M3508" t="s">
        <v>19177</v>
      </c>
      <c r="N3508" t="s">
        <v>16375</v>
      </c>
      <c r="O3508" t="s">
        <v>640</v>
      </c>
      <c r="P3508" t="s">
        <v>623</v>
      </c>
    </row>
    <row r="3509">
      <c r="A3509">
        <f>HYPERLINK("http://bombeiros.sp.gov.br/hidrantes/03individual/1402.html","1402")</f>
      </c>
      <c r="B3509" t="s">
        <v>623</v>
      </c>
      <c r="C3509" t="s">
        <v>742</v>
      </c>
      <c r="D3509" t="s">
        <v>751</v>
      </c>
      <c r="E3509" t="s">
        <v>15</v>
      </c>
      <c r="F3509" t="s">
        <v>10862</v>
      </c>
      <c r="G3509" t="s">
        <v>18076</v>
      </c>
      <c r="H3509" t="s">
        <v>1112</v>
      </c>
      <c r="I3509" t="s">
        <v>1108</v>
      </c>
      <c r="J3509" t="s">
        <v>10863</v>
      </c>
      <c r="K3509" t="s">
        <v>10864</v>
      </c>
      <c r="L3509" t="s">
        <v>21</v>
      </c>
      <c r="M3509" t="s">
        <v>19177</v>
      </c>
      <c r="N3509" t="s">
        <v>16375</v>
      </c>
      <c r="O3509" t="s">
        <v>640</v>
      </c>
      <c r="P3509" t="s">
        <v>623</v>
      </c>
    </row>
    <row r="3510">
      <c r="A3510">
        <f>HYPERLINK("http://bombeiros.sp.gov.br/hidrantes/03individual/1407.html","1407")</f>
      </c>
      <c r="B3510" t="s">
        <v>623</v>
      </c>
      <c r="C3510" t="s">
        <v>742</v>
      </c>
      <c r="D3510" t="s">
        <v>751</v>
      </c>
      <c r="E3510" t="s">
        <v>15</v>
      </c>
      <c r="F3510" t="s">
        <v>10865</v>
      </c>
      <c r="G3510" t="s">
        <v>18034</v>
      </c>
      <c r="H3510" t="s">
        <v>1112</v>
      </c>
      <c r="I3510" t="s">
        <v>1108</v>
      </c>
      <c r="J3510" t="s">
        <v>10866</v>
      </c>
      <c r="K3510" t="s">
        <v>10867</v>
      </c>
      <c r="L3510" t="s">
        <v>21</v>
      </c>
      <c r="M3510" t="s">
        <v>19177</v>
      </c>
      <c r="N3510" t="s">
        <v>16375</v>
      </c>
      <c r="O3510" t="s">
        <v>640</v>
      </c>
      <c r="P3510" t="s">
        <v>623</v>
      </c>
    </row>
    <row r="3511">
      <c r="A3511">
        <f>HYPERLINK("http://bombeiros.sp.gov.br/hidrantes/03individual/1430.html","1430")</f>
      </c>
      <c r="B3511" t="s">
        <v>623</v>
      </c>
      <c r="C3511" t="s">
        <v>742</v>
      </c>
      <c r="D3511" t="s">
        <v>751</v>
      </c>
      <c r="E3511" t="s">
        <v>15</v>
      </c>
      <c r="F3511" t="s">
        <v>10868</v>
      </c>
      <c r="G3511" t="s">
        <v>18089</v>
      </c>
      <c r="H3511" t="s">
        <v>1174</v>
      </c>
      <c r="I3511" t="s">
        <v>1117</v>
      </c>
      <c r="J3511" t="s">
        <v>10869</v>
      </c>
      <c r="K3511" t="s">
        <v>10870</v>
      </c>
      <c r="L3511" t="s">
        <v>21</v>
      </c>
      <c r="M3511" t="s">
        <v>19177</v>
      </c>
      <c r="N3511" t="s">
        <v>16375</v>
      </c>
      <c r="O3511" t="s">
        <v>640</v>
      </c>
      <c r="P3511" t="s">
        <v>623</v>
      </c>
    </row>
    <row r="3512">
      <c r="A3512">
        <f>HYPERLINK("http://bombeiros.sp.gov.br/hidrantes/03individual/1604.html","1604")</f>
      </c>
      <c r="B3512" t="s">
        <v>623</v>
      </c>
      <c r="C3512" t="s">
        <v>742</v>
      </c>
      <c r="D3512" t="s">
        <v>751</v>
      </c>
      <c r="E3512" t="s">
        <v>15</v>
      </c>
      <c r="F3512" t="s">
        <v>752</v>
      </c>
      <c r="G3512" t="s">
        <v>18089</v>
      </c>
      <c r="H3512" t="s">
        <v>1174</v>
      </c>
      <c r="I3512" t="s">
        <v>1108</v>
      </c>
      <c r="J3512" t="s">
        <v>753</v>
      </c>
      <c r="K3512" t="s">
        <v>754</v>
      </c>
      <c r="L3512" t="s">
        <v>21</v>
      </c>
      <c r="M3512" t="s">
        <v>19177</v>
      </c>
      <c r="N3512" t="s">
        <v>16375</v>
      </c>
      <c r="O3512" t="s">
        <v>640</v>
      </c>
      <c r="P3512" t="s">
        <v>623</v>
      </c>
    </row>
    <row r="3513">
      <c r="A3513">
        <f>HYPERLINK("http://bombeiros.sp.gov.br/hidrantes/03individual/2301.html","2301")</f>
      </c>
      <c r="B3513" t="s">
        <v>623</v>
      </c>
      <c r="C3513" t="s">
        <v>742</v>
      </c>
      <c r="D3513" t="s">
        <v>751</v>
      </c>
      <c r="E3513" t="s">
        <v>15</v>
      </c>
      <c r="F3513" t="s">
        <v>10874</v>
      </c>
      <c r="G3513" t="s">
        <v>18076</v>
      </c>
      <c r="H3513" t="s">
        <v>1121</v>
      </c>
      <c r="I3513" t="s">
        <v>1117</v>
      </c>
      <c r="J3513" t="s">
        <v>10875</v>
      </c>
      <c r="K3513" t="s">
        <v>10876</v>
      </c>
      <c r="L3513" t="s">
        <v>21</v>
      </c>
      <c r="M3513" t="s">
        <v>19177</v>
      </c>
      <c r="N3513" t="s">
        <v>16375</v>
      </c>
      <c r="O3513" t="s">
        <v>640</v>
      </c>
      <c r="P3513" t="s">
        <v>623</v>
      </c>
    </row>
    <row r="3514">
      <c r="A3514">
        <f>HYPERLINK("http://bombeiros.sp.gov.br/hidrantes/03individual/16538.html","16538")</f>
      </c>
      <c r="B3514" t="s">
        <v>623</v>
      </c>
      <c r="C3514" t="s">
        <v>742</v>
      </c>
      <c r="D3514" t="s">
        <v>751</v>
      </c>
      <c r="E3514" t="s">
        <v>15</v>
      </c>
      <c r="F3514" t="s">
        <v>10877</v>
      </c>
      <c r="G3514" t="s">
        <v>18352</v>
      </c>
      <c r="H3514" t="s">
        <v>1174</v>
      </c>
      <c r="I3514" t="s">
        <v>1108</v>
      </c>
      <c r="J3514" t="s">
        <v>10878</v>
      </c>
      <c r="K3514" t="s">
        <v>10879</v>
      </c>
      <c r="L3514" t="s">
        <v>21</v>
      </c>
      <c r="M3514" t="s">
        <v>19177</v>
      </c>
      <c r="N3514" t="s">
        <v>16375</v>
      </c>
      <c r="O3514" t="s">
        <v>640</v>
      </c>
      <c r="P3514" t="s">
        <v>623</v>
      </c>
    </row>
    <row r="3515">
      <c r="A3515">
        <f>HYPERLINK("http://bombeiros.sp.gov.br/hidrantes/03individual/16562.html","16562")</f>
      </c>
      <c r="B3515" t="s">
        <v>623</v>
      </c>
      <c r="C3515" t="s">
        <v>742</v>
      </c>
      <c r="D3515" t="s">
        <v>751</v>
      </c>
      <c r="E3515" t="s">
        <v>15</v>
      </c>
      <c r="F3515" t="s">
        <v>755</v>
      </c>
      <c r="G3515" t="s">
        <v>18076</v>
      </c>
      <c r="H3515" t="s">
        <v>1121</v>
      </c>
      <c r="I3515" t="s">
        <v>1117</v>
      </c>
      <c r="J3515" t="s">
        <v>756</v>
      </c>
      <c r="K3515" t="s">
        <v>757</v>
      </c>
      <c r="L3515" t="s">
        <v>21</v>
      </c>
      <c r="M3515" t="s">
        <v>19177</v>
      </c>
      <c r="N3515" t="s">
        <v>16375</v>
      </c>
      <c r="O3515" t="s">
        <v>640</v>
      </c>
      <c r="P3515" t="s">
        <v>623</v>
      </c>
    </row>
    <row r="3516">
      <c r="A3516">
        <f>HYPERLINK("http://bombeiros.sp.gov.br/hidrantes/03individual/17761.html","17761")</f>
      </c>
      <c r="B3516" t="s">
        <v>623</v>
      </c>
      <c r="C3516" t="s">
        <v>742</v>
      </c>
      <c r="D3516" t="s">
        <v>751</v>
      </c>
      <c r="E3516" t="s">
        <v>15</v>
      </c>
      <c r="F3516" t="s">
        <v>10880</v>
      </c>
      <c r="G3516" t="s">
        <v>18076</v>
      </c>
      <c r="H3516" t="s">
        <v>1107</v>
      </c>
      <c r="I3516" t="s">
        <v>1108</v>
      </c>
      <c r="J3516" t="s">
        <v>10881</v>
      </c>
      <c r="K3516" t="s">
        <v>10882</v>
      </c>
      <c r="L3516" t="s">
        <v>21</v>
      </c>
      <c r="M3516" t="s">
        <v>19177</v>
      </c>
      <c r="N3516" t="s">
        <v>16375</v>
      </c>
      <c r="O3516" t="s">
        <v>640</v>
      </c>
      <c r="P3516" t="s">
        <v>623</v>
      </c>
    </row>
    <row r="3517">
      <c r="A3517">
        <f>HYPERLINK("http://bombeiros.sp.gov.br/hidrantes/03individual/17762.html","17762")</f>
      </c>
      <c r="B3517" t="s">
        <v>623</v>
      </c>
      <c r="C3517" t="s">
        <v>742</v>
      </c>
      <c r="D3517" t="s">
        <v>751</v>
      </c>
      <c r="E3517" t="s">
        <v>15</v>
      </c>
      <c r="F3517" t="s">
        <v>10883</v>
      </c>
      <c r="G3517" t="s">
        <v>18130</v>
      </c>
      <c r="H3517" t="s">
        <v>1174</v>
      </c>
      <c r="I3517" t="s">
        <v>1108</v>
      </c>
      <c r="J3517" t="s">
        <v>10884</v>
      </c>
      <c r="K3517" t="s">
        <v>10885</v>
      </c>
      <c r="L3517" t="s">
        <v>21</v>
      </c>
      <c r="M3517" t="s">
        <v>19177</v>
      </c>
      <c r="N3517" t="s">
        <v>16375</v>
      </c>
      <c r="O3517" t="s">
        <v>640</v>
      </c>
      <c r="P3517" t="s">
        <v>623</v>
      </c>
    </row>
    <row r="3518">
      <c r="A3518">
        <f>HYPERLINK("http://bombeiros.sp.gov.br/hidrantes/03individual/17763.html","17763")</f>
      </c>
      <c r="B3518" t="s">
        <v>623</v>
      </c>
      <c r="C3518" t="s">
        <v>742</v>
      </c>
      <c r="D3518" t="s">
        <v>751</v>
      </c>
      <c r="E3518" t="s">
        <v>15</v>
      </c>
      <c r="F3518" t="s">
        <v>10886</v>
      </c>
      <c r="G3518" t="s">
        <v>18130</v>
      </c>
      <c r="H3518" t="s">
        <v>1112</v>
      </c>
      <c r="I3518" t="s">
        <v>1108</v>
      </c>
      <c r="J3518" t="s">
        <v>10887</v>
      </c>
      <c r="K3518" t="s">
        <v>10888</v>
      </c>
      <c r="L3518" t="s">
        <v>21</v>
      </c>
      <c r="M3518" t="s">
        <v>19177</v>
      </c>
      <c r="N3518" t="s">
        <v>16375</v>
      </c>
      <c r="O3518" t="s">
        <v>640</v>
      </c>
      <c r="P3518" t="s">
        <v>623</v>
      </c>
    </row>
    <row r="3519">
      <c r="A3519">
        <f>HYPERLINK("http://bombeiros.sp.gov.br/hidrantes/03individual/27998.html","27998")</f>
      </c>
      <c r="B3519" t="s">
        <v>623</v>
      </c>
      <c r="C3519" t="s">
        <v>742</v>
      </c>
      <c r="D3519" t="s">
        <v>751</v>
      </c>
      <c r="E3519" t="s">
        <v>15</v>
      </c>
      <c r="F3519" t="s">
        <v>18353</v>
      </c>
      <c r="G3519" t="s">
        <v>18352</v>
      </c>
      <c r="H3519" t="s">
        <v>1174</v>
      </c>
      <c r="I3519" t="s">
        <v>1108</v>
      </c>
      <c r="J3519" t="s">
        <v>18354</v>
      </c>
      <c r="K3519" t="s">
        <v>18355</v>
      </c>
      <c r="L3519" t="s">
        <v>21</v>
      </c>
      <c r="M3519" t="s">
        <v>19177</v>
      </c>
      <c r="N3519" t="s">
        <v>16375</v>
      </c>
      <c r="O3519" t="s">
        <v>640</v>
      </c>
      <c r="P3519" t="s">
        <v>623</v>
      </c>
    </row>
    <row r="3520">
      <c r="A3520">
        <f>HYPERLINK("http://bombeiros.sp.gov.br/hidrantes/03individual/27131.html","27131")</f>
      </c>
      <c r="B3520" t="s">
        <v>623</v>
      </c>
      <c r="C3520" t="s">
        <v>742</v>
      </c>
      <c r="D3520" t="s">
        <v>742</v>
      </c>
      <c r="E3520" t="s">
        <v>64</v>
      </c>
      <c r="F3520" t="s">
        <v>16823</v>
      </c>
      <c r="G3520" t="s">
        <v>18188</v>
      </c>
      <c r="H3520" t="s">
        <v>1107</v>
      </c>
      <c r="I3520" t="s">
        <v>1108</v>
      </c>
      <c r="J3520" t="s">
        <v>16824</v>
      </c>
      <c r="K3520" t="s">
        <v>16825</v>
      </c>
      <c r="L3520" t="s">
        <v>21</v>
      </c>
      <c r="M3520" t="s">
        <v>19177</v>
      </c>
      <c r="N3520" t="s">
        <v>16375</v>
      </c>
      <c r="O3520" t="s">
        <v>640</v>
      </c>
      <c r="P3520" t="s">
        <v>623</v>
      </c>
    </row>
    <row r="3521">
      <c r="A3521">
        <f>HYPERLINK("http://bombeiros.sp.gov.br/hidrantes/03individual/1195.html","1195")</f>
      </c>
      <c r="B3521" t="s">
        <v>623</v>
      </c>
      <c r="C3521" t="s">
        <v>742</v>
      </c>
      <c r="D3521" t="s">
        <v>742</v>
      </c>
      <c r="E3521" t="s">
        <v>15</v>
      </c>
      <c r="F3521" t="s">
        <v>10889</v>
      </c>
      <c r="G3521" t="s">
        <v>18194</v>
      </c>
      <c r="H3521" t="s">
        <v>1121</v>
      </c>
      <c r="I3521" t="s">
        <v>1117</v>
      </c>
      <c r="J3521" t="s">
        <v>10890</v>
      </c>
      <c r="K3521" t="s">
        <v>10891</v>
      </c>
      <c r="L3521" t="s">
        <v>21</v>
      </c>
      <c r="M3521" t="s">
        <v>19177</v>
      </c>
      <c r="N3521" t="s">
        <v>16375</v>
      </c>
      <c r="O3521" t="s">
        <v>640</v>
      </c>
      <c r="P3521" t="s">
        <v>623</v>
      </c>
    </row>
    <row r="3522">
      <c r="A3522">
        <f>HYPERLINK("http://bombeiros.sp.gov.br/hidrantes/03individual/1238.html","1238")</f>
      </c>
      <c r="B3522" t="s">
        <v>623</v>
      </c>
      <c r="C3522" t="s">
        <v>742</v>
      </c>
      <c r="D3522" t="s">
        <v>742</v>
      </c>
      <c r="E3522" t="s">
        <v>15</v>
      </c>
      <c r="F3522" t="s">
        <v>10892</v>
      </c>
      <c r="G3522" t="s">
        <v>18089</v>
      </c>
      <c r="H3522" t="s">
        <v>1174</v>
      </c>
      <c r="I3522" t="s">
        <v>1117</v>
      </c>
      <c r="J3522" t="s">
        <v>10893</v>
      </c>
      <c r="K3522" t="s">
        <v>10894</v>
      </c>
      <c r="L3522" t="s">
        <v>21</v>
      </c>
      <c r="M3522" t="s">
        <v>19177</v>
      </c>
      <c r="N3522" t="s">
        <v>16375</v>
      </c>
      <c r="O3522" t="s">
        <v>640</v>
      </c>
      <c r="P3522" t="s">
        <v>623</v>
      </c>
    </row>
    <row r="3523">
      <c r="A3523">
        <f>HYPERLINK("http://bombeiros.sp.gov.br/hidrantes/03individual/1240.html","1240")</f>
      </c>
      <c r="B3523" t="s">
        <v>623</v>
      </c>
      <c r="C3523" t="s">
        <v>742</v>
      </c>
      <c r="D3523" t="s">
        <v>742</v>
      </c>
      <c r="E3523" t="s">
        <v>15</v>
      </c>
      <c r="F3523" t="s">
        <v>10895</v>
      </c>
      <c r="G3523" t="s">
        <v>18089</v>
      </c>
      <c r="H3523" t="s">
        <v>1121</v>
      </c>
      <c r="I3523" t="s">
        <v>1117</v>
      </c>
      <c r="J3523" t="s">
        <v>10896</v>
      </c>
      <c r="K3523" t="s">
        <v>10897</v>
      </c>
      <c r="L3523" t="s">
        <v>21</v>
      </c>
      <c r="M3523" t="s">
        <v>19177</v>
      </c>
      <c r="N3523" t="s">
        <v>16375</v>
      </c>
      <c r="O3523" t="s">
        <v>640</v>
      </c>
      <c r="P3523" t="s">
        <v>623</v>
      </c>
    </row>
    <row r="3524">
      <c r="A3524">
        <f>HYPERLINK("http://bombeiros.sp.gov.br/hidrantes/03individual/1271.html","1271")</f>
      </c>
      <c r="B3524" t="s">
        <v>623</v>
      </c>
      <c r="C3524" t="s">
        <v>742</v>
      </c>
      <c r="D3524" t="s">
        <v>742</v>
      </c>
      <c r="E3524" t="s">
        <v>15</v>
      </c>
      <c r="F3524" t="s">
        <v>10898</v>
      </c>
      <c r="G3524" t="s">
        <v>17965</v>
      </c>
      <c r="H3524" t="s">
        <v>1107</v>
      </c>
      <c r="I3524" t="s">
        <v>1108</v>
      </c>
      <c r="J3524" t="s">
        <v>10899</v>
      </c>
      <c r="K3524" t="s">
        <v>10900</v>
      </c>
      <c r="L3524" t="s">
        <v>21</v>
      </c>
      <c r="M3524" t="s">
        <v>19177</v>
      </c>
      <c r="N3524" t="s">
        <v>16375</v>
      </c>
      <c r="O3524" t="s">
        <v>640</v>
      </c>
      <c r="P3524" t="s">
        <v>623</v>
      </c>
    </row>
    <row r="3525">
      <c r="A3525">
        <f>HYPERLINK("http://bombeiros.sp.gov.br/hidrantes/03individual/2266.html","2266")</f>
      </c>
      <c r="B3525" t="s">
        <v>623</v>
      </c>
      <c r="C3525" t="s">
        <v>742</v>
      </c>
      <c r="D3525" t="s">
        <v>742</v>
      </c>
      <c r="E3525" t="s">
        <v>15</v>
      </c>
      <c r="F3525" t="s">
        <v>10901</v>
      </c>
      <c r="G3525" t="s">
        <v>18158</v>
      </c>
      <c r="H3525" t="s">
        <v>1112</v>
      </c>
      <c r="I3525" t="s">
        <v>1108</v>
      </c>
      <c r="J3525" t="s">
        <v>10902</v>
      </c>
      <c r="K3525" t="s">
        <v>10903</v>
      </c>
      <c r="L3525" t="s">
        <v>21</v>
      </c>
      <c r="M3525" t="s">
        <v>19177</v>
      </c>
      <c r="N3525" t="s">
        <v>16375</v>
      </c>
      <c r="O3525" t="s">
        <v>640</v>
      </c>
      <c r="P3525" t="s">
        <v>623</v>
      </c>
    </row>
    <row r="3526">
      <c r="A3526">
        <f>HYPERLINK("http://bombeiros.sp.gov.br/hidrantes/03individual/2275.html","2275")</f>
      </c>
      <c r="B3526" t="s">
        <v>623</v>
      </c>
      <c r="C3526" t="s">
        <v>742</v>
      </c>
      <c r="D3526" t="s">
        <v>742</v>
      </c>
      <c r="E3526" t="s">
        <v>15</v>
      </c>
      <c r="F3526" t="s">
        <v>10904</v>
      </c>
      <c r="G3526" t="s">
        <v>18130</v>
      </c>
      <c r="H3526" t="s">
        <v>1112</v>
      </c>
      <c r="I3526" t="s">
        <v>1108</v>
      </c>
      <c r="J3526" t="s">
        <v>10905</v>
      </c>
      <c r="K3526" t="s">
        <v>10906</v>
      </c>
      <c r="L3526" t="s">
        <v>21</v>
      </c>
      <c r="M3526" t="s">
        <v>19177</v>
      </c>
      <c r="N3526" t="s">
        <v>16375</v>
      </c>
      <c r="O3526" t="s">
        <v>640</v>
      </c>
      <c r="P3526" t="s">
        <v>623</v>
      </c>
    </row>
    <row r="3527">
      <c r="A3527">
        <f>HYPERLINK("http://bombeiros.sp.gov.br/hidrantes/03individual/2324.html","2324")</f>
      </c>
      <c r="B3527" t="s">
        <v>623</v>
      </c>
      <c r="C3527" t="s">
        <v>742</v>
      </c>
      <c r="D3527" t="s">
        <v>742</v>
      </c>
      <c r="E3527" t="s">
        <v>15</v>
      </c>
      <c r="F3527" t="s">
        <v>10907</v>
      </c>
      <c r="G3527" t="s">
        <v>18012</v>
      </c>
      <c r="H3527"/>
      <c r="I3527" t="s">
        <v>18</v>
      </c>
      <c r="J3527" t="s">
        <v>10908</v>
      </c>
      <c r="K3527" t="s">
        <v>10909</v>
      </c>
      <c r="L3527" t="s">
        <v>21</v>
      </c>
      <c r="M3527" t="s">
        <v>19177</v>
      </c>
      <c r="N3527" t="s">
        <v>16375</v>
      </c>
      <c r="O3527" t="s">
        <v>640</v>
      </c>
      <c r="P3527" t="s">
        <v>623</v>
      </c>
    </row>
    <row r="3528">
      <c r="A3528">
        <f>HYPERLINK("http://bombeiros.sp.gov.br/hidrantes/03individual/16628.html","16628")</f>
      </c>
      <c r="B3528" t="s">
        <v>623</v>
      </c>
      <c r="C3528" t="s">
        <v>742</v>
      </c>
      <c r="D3528" t="s">
        <v>742</v>
      </c>
      <c r="E3528" t="s">
        <v>15</v>
      </c>
      <c r="F3528" t="s">
        <v>10910</v>
      </c>
      <c r="G3528" t="s">
        <v>18130</v>
      </c>
      <c r="H3528" t="s">
        <v>1121</v>
      </c>
      <c r="I3528" t="s">
        <v>1117</v>
      </c>
      <c r="J3528" t="s">
        <v>10911</v>
      </c>
      <c r="K3528" t="s">
        <v>10912</v>
      </c>
      <c r="L3528" t="s">
        <v>21</v>
      </c>
      <c r="M3528" t="s">
        <v>19177</v>
      </c>
      <c r="N3528" t="s">
        <v>16375</v>
      </c>
      <c r="O3528" t="s">
        <v>640</v>
      </c>
      <c r="P3528" t="s">
        <v>623</v>
      </c>
    </row>
    <row r="3529">
      <c r="A3529">
        <f>HYPERLINK("http://bombeiros.sp.gov.br/hidrantes/03individual/25226.html","25226")</f>
      </c>
      <c r="B3529" t="s">
        <v>623</v>
      </c>
      <c r="C3529" t="s">
        <v>742</v>
      </c>
      <c r="D3529" t="s">
        <v>742</v>
      </c>
      <c r="E3529" t="s">
        <v>15</v>
      </c>
      <c r="F3529" t="s">
        <v>10913</v>
      </c>
      <c r="G3529" t="s">
        <v>17965</v>
      </c>
      <c r="H3529" t="s">
        <v>1174</v>
      </c>
      <c r="I3529" t="s">
        <v>1108</v>
      </c>
      <c r="J3529" t="s">
        <v>10914</v>
      </c>
      <c r="K3529" t="s">
        <v>10915</v>
      </c>
      <c r="L3529" t="s">
        <v>21</v>
      </c>
      <c r="M3529" t="s">
        <v>19177</v>
      </c>
      <c r="N3529" t="s">
        <v>16375</v>
      </c>
      <c r="O3529" t="s">
        <v>640</v>
      </c>
      <c r="P3529" t="s">
        <v>623</v>
      </c>
    </row>
    <row r="3530">
      <c r="A3530">
        <f>HYPERLINK("http://bombeiros.sp.gov.br/hidrantes/03individual/28155.html","28155")</f>
      </c>
      <c r="B3530" t="s">
        <v>623</v>
      </c>
      <c r="C3530" t="s">
        <v>742</v>
      </c>
      <c r="D3530" t="s">
        <v>742</v>
      </c>
      <c r="E3530" t="s">
        <v>15</v>
      </c>
      <c r="F3530" t="s">
        <v>18356</v>
      </c>
      <c r="G3530"/>
      <c r="H3530"/>
      <c r="I3530" t="s">
        <v>1503</v>
      </c>
      <c r="J3530" t="s">
        <v>18357</v>
      </c>
      <c r="K3530" t="s">
        <v>18358</v>
      </c>
      <c r="L3530" t="s">
        <v>21</v>
      </c>
      <c r="M3530" t="s">
        <v>19177</v>
      </c>
      <c r="N3530" t="s">
        <v>16375</v>
      </c>
      <c r="O3530" t="s">
        <v>640</v>
      </c>
      <c r="P3530" t="s">
        <v>623</v>
      </c>
    </row>
    <row r="3531">
      <c r="A3531">
        <f>HYPERLINK("http://bombeiros.sp.gov.br/hidrantes/03individual/2264.html","2264")</f>
      </c>
      <c r="B3531" t="s">
        <v>623</v>
      </c>
      <c r="C3531" t="s">
        <v>742</v>
      </c>
      <c r="D3531" t="s">
        <v>765</v>
      </c>
      <c r="E3531" t="s">
        <v>64</v>
      </c>
      <c r="F3531" t="s">
        <v>10916</v>
      </c>
      <c r="G3531" t="s">
        <v>17903</v>
      </c>
      <c r="H3531" t="s">
        <v>1121</v>
      </c>
      <c r="I3531" t="s">
        <v>1117</v>
      </c>
      <c r="J3531" t="s">
        <v>10917</v>
      </c>
      <c r="K3531" t="s">
        <v>10918</v>
      </c>
      <c r="L3531" t="s">
        <v>36</v>
      </c>
      <c r="M3531" t="s">
        <v>19177</v>
      </c>
      <c r="N3531" t="s">
        <v>16375</v>
      </c>
      <c r="O3531" t="s">
        <v>640</v>
      </c>
      <c r="P3531" t="s">
        <v>623</v>
      </c>
    </row>
    <row r="3532">
      <c r="A3532">
        <f>HYPERLINK("http://bombeiros.sp.gov.br/hidrantes/03individual/15122.html","15122")</f>
      </c>
      <c r="B3532" t="s">
        <v>623</v>
      </c>
      <c r="C3532" t="s">
        <v>742</v>
      </c>
      <c r="D3532" t="s">
        <v>765</v>
      </c>
      <c r="E3532" t="s">
        <v>64</v>
      </c>
      <c r="F3532" t="s">
        <v>10919</v>
      </c>
      <c r="G3532" t="s">
        <v>18062</v>
      </c>
      <c r="H3532" t="s">
        <v>1121</v>
      </c>
      <c r="I3532" t="s">
        <v>1117</v>
      </c>
      <c r="J3532" t="s">
        <v>10920</v>
      </c>
      <c r="K3532" t="s">
        <v>10921</v>
      </c>
      <c r="L3532" t="s">
        <v>21</v>
      </c>
      <c r="M3532" t="s">
        <v>19177</v>
      </c>
      <c r="N3532" t="s">
        <v>16375</v>
      </c>
      <c r="O3532" t="s">
        <v>640</v>
      </c>
      <c r="P3532" t="s">
        <v>623</v>
      </c>
    </row>
    <row r="3533">
      <c r="A3533">
        <f>HYPERLINK("http://bombeiros.sp.gov.br/hidrantes/03individual/16307.html","16307")</f>
      </c>
      <c r="B3533" t="s">
        <v>623</v>
      </c>
      <c r="C3533" t="s">
        <v>742</v>
      </c>
      <c r="D3533" t="s">
        <v>765</v>
      </c>
      <c r="E3533" t="s">
        <v>64</v>
      </c>
      <c r="F3533" t="s">
        <v>10922</v>
      </c>
      <c r="G3533" t="s">
        <v>18089</v>
      </c>
      <c r="H3533" t="s">
        <v>1174</v>
      </c>
      <c r="I3533" t="s">
        <v>1117</v>
      </c>
      <c r="J3533" t="s">
        <v>10923</v>
      </c>
      <c r="K3533" t="s">
        <v>10924</v>
      </c>
      <c r="L3533" t="s">
        <v>21</v>
      </c>
      <c r="M3533" t="s">
        <v>19177</v>
      </c>
      <c r="N3533" t="s">
        <v>16375</v>
      </c>
      <c r="O3533" t="s">
        <v>640</v>
      </c>
      <c r="P3533" t="s">
        <v>623</v>
      </c>
    </row>
    <row r="3534">
      <c r="A3534">
        <f>HYPERLINK("http://bombeiros.sp.gov.br/hidrantes/03individual/27056.html","27056")</f>
      </c>
      <c r="B3534" t="s">
        <v>623</v>
      </c>
      <c r="C3534" t="s">
        <v>742</v>
      </c>
      <c r="D3534" t="s">
        <v>765</v>
      </c>
      <c r="E3534" t="s">
        <v>64</v>
      </c>
      <c r="F3534" t="s">
        <v>16684</v>
      </c>
      <c r="G3534" t="s">
        <v>18076</v>
      </c>
      <c r="H3534" t="s">
        <v>1112</v>
      </c>
      <c r="I3534" t="s">
        <v>1108</v>
      </c>
      <c r="J3534" t="s">
        <v>16685</v>
      </c>
      <c r="K3534" t="s">
        <v>16686</v>
      </c>
      <c r="L3534" t="s">
        <v>21</v>
      </c>
      <c r="M3534" t="s">
        <v>19177</v>
      </c>
      <c r="N3534" t="s">
        <v>16375</v>
      </c>
      <c r="O3534" t="s">
        <v>640</v>
      </c>
      <c r="P3534" t="s">
        <v>623</v>
      </c>
    </row>
    <row r="3535">
      <c r="A3535">
        <f>HYPERLINK("http://bombeiros.sp.gov.br/hidrantes/03individual/28018.html","28018")</f>
      </c>
      <c r="B3535" t="s">
        <v>623</v>
      </c>
      <c r="C3535" t="s">
        <v>742</v>
      </c>
      <c r="D3535" t="s">
        <v>765</v>
      </c>
      <c r="E3535" t="s">
        <v>64</v>
      </c>
      <c r="F3535" t="s">
        <v>18359</v>
      </c>
      <c r="G3535" t="s">
        <v>18062</v>
      </c>
      <c r="H3535" t="s">
        <v>1174</v>
      </c>
      <c r="I3535" t="s">
        <v>1117</v>
      </c>
      <c r="J3535" t="s">
        <v>18360</v>
      </c>
      <c r="K3535" t="s">
        <v>18361</v>
      </c>
      <c r="L3535" t="s">
        <v>21</v>
      </c>
      <c r="M3535" t="s">
        <v>19177</v>
      </c>
      <c r="N3535" t="s">
        <v>16375</v>
      </c>
      <c r="O3535" t="s">
        <v>640</v>
      </c>
      <c r="P3535" t="s">
        <v>623</v>
      </c>
    </row>
    <row r="3536">
      <c r="A3536">
        <f>HYPERLINK("http://bombeiros.sp.gov.br/hidrantes/03individual/28224.html","28224")</f>
      </c>
      <c r="B3536" t="s">
        <v>623</v>
      </c>
      <c r="C3536" t="s">
        <v>742</v>
      </c>
      <c r="D3536" t="s">
        <v>765</v>
      </c>
      <c r="E3536" t="s">
        <v>64</v>
      </c>
      <c r="F3536" t="s">
        <v>18362</v>
      </c>
      <c r="G3536"/>
      <c r="H3536"/>
      <c r="I3536" t="s">
        <v>1503</v>
      </c>
      <c r="J3536" t="s">
        <v>18363</v>
      </c>
      <c r="K3536" t="s">
        <v>18364</v>
      </c>
      <c r="L3536" t="s">
        <v>21</v>
      </c>
      <c r="M3536" t="s">
        <v>19177</v>
      </c>
      <c r="N3536" t="s">
        <v>16375</v>
      </c>
      <c r="O3536" t="s">
        <v>640</v>
      </c>
      <c r="P3536" t="s">
        <v>623</v>
      </c>
    </row>
    <row r="3537">
      <c r="A3537">
        <f>HYPERLINK("http://bombeiros.sp.gov.br/hidrantes/03individual/2277.html","2277")</f>
      </c>
      <c r="B3537" t="s">
        <v>623</v>
      </c>
      <c r="C3537" t="s">
        <v>742</v>
      </c>
      <c r="D3537" t="s">
        <v>765</v>
      </c>
      <c r="E3537" t="s">
        <v>15</v>
      </c>
      <c r="F3537" t="s">
        <v>10925</v>
      </c>
      <c r="G3537" t="s">
        <v>18076</v>
      </c>
      <c r="H3537" t="s">
        <v>1107</v>
      </c>
      <c r="I3537" t="s">
        <v>1108</v>
      </c>
      <c r="J3537" t="s">
        <v>10926</v>
      </c>
      <c r="K3537" t="s">
        <v>10927</v>
      </c>
      <c r="L3537" t="s">
        <v>21</v>
      </c>
      <c r="M3537" t="s">
        <v>19177</v>
      </c>
      <c r="N3537" t="s">
        <v>16375</v>
      </c>
      <c r="O3537" t="s">
        <v>640</v>
      </c>
      <c r="P3537" t="s">
        <v>623</v>
      </c>
    </row>
    <row r="3538">
      <c r="A3538">
        <f>HYPERLINK("http://bombeiros.sp.gov.br/hidrantes/03individual/2280.html","2280")</f>
      </c>
      <c r="B3538" t="s">
        <v>623</v>
      </c>
      <c r="C3538" t="s">
        <v>742</v>
      </c>
      <c r="D3538" t="s">
        <v>765</v>
      </c>
      <c r="E3538" t="s">
        <v>15</v>
      </c>
      <c r="F3538" t="s">
        <v>10928</v>
      </c>
      <c r="G3538" t="s">
        <v>18076</v>
      </c>
      <c r="H3538" t="s">
        <v>1112</v>
      </c>
      <c r="I3538" t="s">
        <v>1108</v>
      </c>
      <c r="J3538" t="s">
        <v>10929</v>
      </c>
      <c r="K3538" t="s">
        <v>10930</v>
      </c>
      <c r="L3538" t="s">
        <v>21</v>
      </c>
      <c r="M3538" t="s">
        <v>19177</v>
      </c>
      <c r="N3538" t="s">
        <v>16375</v>
      </c>
      <c r="O3538" t="s">
        <v>640</v>
      </c>
      <c r="P3538" t="s">
        <v>623</v>
      </c>
    </row>
    <row r="3539">
      <c r="A3539">
        <f>HYPERLINK("http://bombeiros.sp.gov.br/hidrantes/03individual/4035.html","4035")</f>
      </c>
      <c r="B3539" t="s">
        <v>623</v>
      </c>
      <c r="C3539" t="s">
        <v>742</v>
      </c>
      <c r="D3539" t="s">
        <v>765</v>
      </c>
      <c r="E3539" t="s">
        <v>15</v>
      </c>
      <c r="F3539" t="s">
        <v>10931</v>
      </c>
      <c r="G3539" t="s">
        <v>18076</v>
      </c>
      <c r="H3539" t="s">
        <v>1174</v>
      </c>
      <c r="I3539" t="s">
        <v>1117</v>
      </c>
      <c r="J3539" t="s">
        <v>10932</v>
      </c>
      <c r="K3539" t="s">
        <v>10933</v>
      </c>
      <c r="L3539" t="s">
        <v>21</v>
      </c>
      <c r="M3539" t="s">
        <v>19177</v>
      </c>
      <c r="N3539" t="s">
        <v>16375</v>
      </c>
      <c r="O3539" t="s">
        <v>640</v>
      </c>
      <c r="P3539" t="s">
        <v>623</v>
      </c>
    </row>
    <row r="3540">
      <c r="A3540">
        <f>HYPERLINK("http://bombeiros.sp.gov.br/hidrantes/03individual/4038.html","4038")</f>
      </c>
      <c r="B3540" t="s">
        <v>623</v>
      </c>
      <c r="C3540" t="s">
        <v>742</v>
      </c>
      <c r="D3540" t="s">
        <v>765</v>
      </c>
      <c r="E3540" t="s">
        <v>15</v>
      </c>
      <c r="F3540" t="s">
        <v>10934</v>
      </c>
      <c r="G3540" t="s">
        <v>18155</v>
      </c>
      <c r="H3540" t="s">
        <v>1112</v>
      </c>
      <c r="I3540" t="s">
        <v>1108</v>
      </c>
      <c r="J3540" t="s">
        <v>10935</v>
      </c>
      <c r="K3540" t="s">
        <v>10936</v>
      </c>
      <c r="L3540" t="s">
        <v>21</v>
      </c>
      <c r="M3540" t="s">
        <v>19177</v>
      </c>
      <c r="N3540" t="s">
        <v>16375</v>
      </c>
      <c r="O3540" t="s">
        <v>640</v>
      </c>
      <c r="P3540" t="s">
        <v>623</v>
      </c>
    </row>
    <row r="3541">
      <c r="A3541">
        <f>HYPERLINK("http://bombeiros.sp.gov.br/hidrantes/03individual/4155.html","4155")</f>
      </c>
      <c r="B3541" t="s">
        <v>623</v>
      </c>
      <c r="C3541" t="s">
        <v>742</v>
      </c>
      <c r="D3541" t="s">
        <v>765</v>
      </c>
      <c r="E3541" t="s">
        <v>15</v>
      </c>
      <c r="F3541" t="s">
        <v>10937</v>
      </c>
      <c r="G3541" t="s">
        <v>18076</v>
      </c>
      <c r="H3541" t="s">
        <v>1174</v>
      </c>
      <c r="I3541" t="s">
        <v>1117</v>
      </c>
      <c r="J3541" t="s">
        <v>10938</v>
      </c>
      <c r="K3541" t="s">
        <v>10939</v>
      </c>
      <c r="L3541" t="s">
        <v>21</v>
      </c>
      <c r="M3541" t="s">
        <v>19177</v>
      </c>
      <c r="N3541" t="s">
        <v>16375</v>
      </c>
      <c r="O3541" t="s">
        <v>640</v>
      </c>
      <c r="P3541" t="s">
        <v>623</v>
      </c>
    </row>
    <row r="3542">
      <c r="A3542">
        <f>HYPERLINK("http://bombeiros.sp.gov.br/hidrantes/03individual/252.html","252")</f>
      </c>
      <c r="B3542" t="s">
        <v>623</v>
      </c>
      <c r="C3542" t="s">
        <v>773</v>
      </c>
      <c r="D3542" t="s">
        <v>10943</v>
      </c>
      <c r="E3542" t="s">
        <v>64</v>
      </c>
      <c r="F3542" t="s">
        <v>10944</v>
      </c>
      <c r="G3542" t="s">
        <v>18114</v>
      </c>
      <c r="H3542" t="s">
        <v>1121</v>
      </c>
      <c r="I3542" t="s">
        <v>1117</v>
      </c>
      <c r="J3542" t="s">
        <v>10945</v>
      </c>
      <c r="K3542" t="s">
        <v>10946</v>
      </c>
      <c r="L3542" t="s">
        <v>36</v>
      </c>
      <c r="M3542" t="s">
        <v>19177</v>
      </c>
      <c r="N3542" t="s">
        <v>714</v>
      </c>
      <c r="O3542" t="s">
        <v>10263</v>
      </c>
      <c r="P3542" t="s">
        <v>12</v>
      </c>
    </row>
    <row r="3543">
      <c r="A3543">
        <f>HYPERLINK("http://bombeiros.sp.gov.br/hidrantes/03individual/160.html","160")</f>
      </c>
      <c r="B3543" t="s">
        <v>623</v>
      </c>
      <c r="C3543" t="s">
        <v>773</v>
      </c>
      <c r="D3543" t="s">
        <v>10943</v>
      </c>
      <c r="E3543" t="s">
        <v>15</v>
      </c>
      <c r="F3543" t="s">
        <v>10947</v>
      </c>
      <c r="G3543" t="s">
        <v>18114</v>
      </c>
      <c r="H3543" t="s">
        <v>1121</v>
      </c>
      <c r="I3543" t="s">
        <v>1117</v>
      </c>
      <c r="J3543" t="s">
        <v>10948</v>
      </c>
      <c r="K3543" t="s">
        <v>10949</v>
      </c>
      <c r="L3543" t="s">
        <v>21</v>
      </c>
      <c r="M3543" t="s">
        <v>19177</v>
      </c>
      <c r="N3543" t="s">
        <v>714</v>
      </c>
      <c r="O3543" t="s">
        <v>10263</v>
      </c>
      <c r="P3543" t="s">
        <v>12</v>
      </c>
    </row>
    <row r="3544">
      <c r="A3544">
        <f>HYPERLINK("http://bombeiros.sp.gov.br/hidrantes/03individual/195.html","195")</f>
      </c>
      <c r="B3544" t="s">
        <v>623</v>
      </c>
      <c r="C3544" t="s">
        <v>773</v>
      </c>
      <c r="D3544" t="s">
        <v>10943</v>
      </c>
      <c r="E3544" t="s">
        <v>15</v>
      </c>
      <c r="F3544" t="s">
        <v>10950</v>
      </c>
      <c r="G3544" t="s">
        <v>18155</v>
      </c>
      <c r="H3544" t="s">
        <v>1107</v>
      </c>
      <c r="I3544" t="s">
        <v>1108</v>
      </c>
      <c r="J3544" t="s">
        <v>10951</v>
      </c>
      <c r="K3544" t="s">
        <v>10952</v>
      </c>
      <c r="L3544" t="s">
        <v>21</v>
      </c>
      <c r="M3544" t="s">
        <v>19177</v>
      </c>
      <c r="N3544" t="s">
        <v>714</v>
      </c>
      <c r="O3544" t="s">
        <v>10263</v>
      </c>
      <c r="P3544" t="s">
        <v>12</v>
      </c>
    </row>
    <row r="3545">
      <c r="A3545">
        <f>HYPERLINK("http://bombeiros.sp.gov.br/hidrantes/03individual/230.html","230")</f>
      </c>
      <c r="B3545" t="s">
        <v>623</v>
      </c>
      <c r="C3545" t="s">
        <v>773</v>
      </c>
      <c r="D3545" t="s">
        <v>10943</v>
      </c>
      <c r="E3545" t="s">
        <v>15</v>
      </c>
      <c r="F3545" t="s">
        <v>10953</v>
      </c>
      <c r="G3545" t="s">
        <v>18159</v>
      </c>
      <c r="H3545" t="s">
        <v>1107</v>
      </c>
      <c r="I3545" t="s">
        <v>1108</v>
      </c>
      <c r="J3545" t="s">
        <v>10954</v>
      </c>
      <c r="K3545" t="s">
        <v>10955</v>
      </c>
      <c r="L3545" t="s">
        <v>21</v>
      </c>
      <c r="M3545" t="s">
        <v>19177</v>
      </c>
      <c r="N3545" t="s">
        <v>714</v>
      </c>
      <c r="O3545" t="s">
        <v>10263</v>
      </c>
      <c r="P3545" t="s">
        <v>12</v>
      </c>
    </row>
    <row r="3546">
      <c r="A3546">
        <f>HYPERLINK("http://bombeiros.sp.gov.br/hidrantes/03individual/2744.html","2744")</f>
      </c>
      <c r="B3546" t="s">
        <v>623</v>
      </c>
      <c r="C3546" t="s">
        <v>773</v>
      </c>
      <c r="D3546" t="s">
        <v>10943</v>
      </c>
      <c r="E3546" t="s">
        <v>15</v>
      </c>
      <c r="F3546" t="s">
        <v>10956</v>
      </c>
      <c r="G3546" t="s">
        <v>18155</v>
      </c>
      <c r="H3546" t="s">
        <v>1174</v>
      </c>
      <c r="I3546" t="s">
        <v>1117</v>
      </c>
      <c r="J3546" t="s">
        <v>10957</v>
      </c>
      <c r="K3546" t="s">
        <v>10958</v>
      </c>
      <c r="L3546" t="s">
        <v>21</v>
      </c>
      <c r="M3546" t="s">
        <v>19177</v>
      </c>
      <c r="N3546" t="s">
        <v>714</v>
      </c>
      <c r="O3546" t="s">
        <v>10263</v>
      </c>
      <c r="P3546" t="s">
        <v>12</v>
      </c>
    </row>
    <row r="3547">
      <c r="A3547">
        <f>HYPERLINK("http://bombeiros.sp.gov.br/hidrantes/03individual/2925.html","2925")</f>
      </c>
      <c r="B3547" t="s">
        <v>623</v>
      </c>
      <c r="C3547" t="s">
        <v>773</v>
      </c>
      <c r="D3547" t="s">
        <v>10943</v>
      </c>
      <c r="E3547" t="s">
        <v>15</v>
      </c>
      <c r="F3547" t="s">
        <v>10959</v>
      </c>
      <c r="G3547" t="s">
        <v>17934</v>
      </c>
      <c r="H3547" t="s">
        <v>1174</v>
      </c>
      <c r="I3547" t="s">
        <v>1108</v>
      </c>
      <c r="J3547" t="s">
        <v>10960</v>
      </c>
      <c r="K3547" t="s">
        <v>10961</v>
      </c>
      <c r="L3547" t="s">
        <v>21</v>
      </c>
      <c r="M3547" t="s">
        <v>19177</v>
      </c>
      <c r="N3547" t="s">
        <v>714</v>
      </c>
      <c r="O3547" t="s">
        <v>10263</v>
      </c>
      <c r="P3547" t="s">
        <v>12</v>
      </c>
    </row>
    <row r="3548">
      <c r="A3548">
        <f>HYPERLINK("http://bombeiros.sp.gov.br/hidrantes/03individual/4261.html","4261")</f>
      </c>
      <c r="B3548" t="s">
        <v>623</v>
      </c>
      <c r="C3548" t="s">
        <v>773</v>
      </c>
      <c r="D3548" t="s">
        <v>10943</v>
      </c>
      <c r="E3548" t="s">
        <v>15</v>
      </c>
      <c r="F3548" t="s">
        <v>10962</v>
      </c>
      <c r="G3548" t="s">
        <v>17934</v>
      </c>
      <c r="H3548" t="s">
        <v>1112</v>
      </c>
      <c r="I3548" t="s">
        <v>1108</v>
      </c>
      <c r="J3548" t="s">
        <v>10963</v>
      </c>
      <c r="K3548" t="s">
        <v>10964</v>
      </c>
      <c r="L3548" t="s">
        <v>21</v>
      </c>
      <c r="M3548" t="s">
        <v>19177</v>
      </c>
      <c r="N3548" t="s">
        <v>714</v>
      </c>
      <c r="O3548" t="s">
        <v>10263</v>
      </c>
      <c r="P3548" t="s">
        <v>12</v>
      </c>
    </row>
    <row r="3549">
      <c r="A3549">
        <f>HYPERLINK("http://bombeiros.sp.gov.br/hidrantes/03individual/4283.html","4283")</f>
      </c>
      <c r="B3549" t="s">
        <v>623</v>
      </c>
      <c r="C3549" t="s">
        <v>773</v>
      </c>
      <c r="D3549" t="s">
        <v>10943</v>
      </c>
      <c r="E3549" t="s">
        <v>15</v>
      </c>
      <c r="F3549" t="s">
        <v>10965</v>
      </c>
      <c r="G3549" t="s">
        <v>18159</v>
      </c>
      <c r="H3549" t="s">
        <v>1112</v>
      </c>
      <c r="I3549" t="s">
        <v>1108</v>
      </c>
      <c r="J3549" t="s">
        <v>10966</v>
      </c>
      <c r="K3549" t="s">
        <v>10967</v>
      </c>
      <c r="L3549" t="s">
        <v>21</v>
      </c>
      <c r="M3549" t="s">
        <v>19177</v>
      </c>
      <c r="N3549" t="s">
        <v>714</v>
      </c>
      <c r="O3549" t="s">
        <v>10263</v>
      </c>
      <c r="P3549" t="s">
        <v>12</v>
      </c>
    </row>
    <row r="3550">
      <c r="A3550">
        <f>HYPERLINK("http://bombeiros.sp.gov.br/hidrantes/03individual/16585.html","16585")</f>
      </c>
      <c r="B3550" t="s">
        <v>623</v>
      </c>
      <c r="C3550" t="s">
        <v>773</v>
      </c>
      <c r="D3550" t="s">
        <v>10943</v>
      </c>
      <c r="E3550" t="s">
        <v>15</v>
      </c>
      <c r="F3550" t="s">
        <v>10968</v>
      </c>
      <c r="G3550" t="s">
        <v>17969</v>
      </c>
      <c r="H3550" t="s">
        <v>1112</v>
      </c>
      <c r="I3550" t="s">
        <v>1108</v>
      </c>
      <c r="J3550" t="s">
        <v>10969</v>
      </c>
      <c r="K3550" t="s">
        <v>10970</v>
      </c>
      <c r="L3550" t="s">
        <v>21</v>
      </c>
      <c r="M3550" t="s">
        <v>19177</v>
      </c>
      <c r="N3550" t="s">
        <v>714</v>
      </c>
      <c r="O3550" t="s">
        <v>10263</v>
      </c>
      <c r="P3550" t="s">
        <v>12</v>
      </c>
    </row>
    <row r="3551">
      <c r="A3551">
        <f>HYPERLINK("http://bombeiros.sp.gov.br/hidrantes/03individual/26625.html","26625")</f>
      </c>
      <c r="B3551" t="s">
        <v>623</v>
      </c>
      <c r="C3551" t="s">
        <v>773</v>
      </c>
      <c r="D3551" t="s">
        <v>10943</v>
      </c>
      <c r="E3551" t="s">
        <v>15</v>
      </c>
      <c r="F3551" t="s">
        <v>10971</v>
      </c>
      <c r="G3551" t="s">
        <v>18196</v>
      </c>
      <c r="H3551" t="s">
        <v>1112</v>
      </c>
      <c r="I3551" t="s">
        <v>1108</v>
      </c>
      <c r="J3551" t="s">
        <v>10972</v>
      </c>
      <c r="K3551" t="s">
        <v>10973</v>
      </c>
      <c r="L3551" t="s">
        <v>21</v>
      </c>
      <c r="M3551" t="s">
        <v>19177</v>
      </c>
      <c r="N3551" t="s">
        <v>714</v>
      </c>
      <c r="O3551" t="s">
        <v>10263</v>
      </c>
      <c r="P3551" t="s">
        <v>12</v>
      </c>
    </row>
    <row r="3552">
      <c r="A3552">
        <f>HYPERLINK("http://bombeiros.sp.gov.br/hidrantes/03individual/1628.html","1628")</f>
      </c>
      <c r="B3552" t="s">
        <v>623</v>
      </c>
      <c r="C3552" t="s">
        <v>773</v>
      </c>
      <c r="D3552" t="s">
        <v>773</v>
      </c>
      <c r="E3552" t="s">
        <v>64</v>
      </c>
      <c r="F3552" t="s">
        <v>10974</v>
      </c>
      <c r="G3552" t="s">
        <v>18160</v>
      </c>
      <c r="H3552" t="s">
        <v>1112</v>
      </c>
      <c r="I3552" t="s">
        <v>1108</v>
      </c>
      <c r="J3552" t="s">
        <v>10975</v>
      </c>
      <c r="K3552" t="s">
        <v>10976</v>
      </c>
      <c r="L3552" t="s">
        <v>36</v>
      </c>
      <c r="M3552" t="s">
        <v>19177</v>
      </c>
      <c r="N3552" t="s">
        <v>714</v>
      </c>
      <c r="O3552" t="s">
        <v>10263</v>
      </c>
      <c r="P3552" t="s">
        <v>12</v>
      </c>
    </row>
    <row r="3553">
      <c r="A3553">
        <f>HYPERLINK("http://bombeiros.sp.gov.br/hidrantes/03individual/1630.html","1630")</f>
      </c>
      <c r="B3553" t="s">
        <v>623</v>
      </c>
      <c r="C3553" t="s">
        <v>773</v>
      </c>
      <c r="D3553" t="s">
        <v>773</v>
      </c>
      <c r="E3553" t="s">
        <v>64</v>
      </c>
      <c r="F3553" t="s">
        <v>10977</v>
      </c>
      <c r="G3553" t="s">
        <v>18160</v>
      </c>
      <c r="H3553" t="s">
        <v>1121</v>
      </c>
      <c r="I3553" t="s">
        <v>1117</v>
      </c>
      <c r="J3553" t="s">
        <v>10978</v>
      </c>
      <c r="K3553" t="s">
        <v>10979</v>
      </c>
      <c r="L3553" t="s">
        <v>36</v>
      </c>
      <c r="M3553" t="s">
        <v>19177</v>
      </c>
      <c r="N3553" t="s">
        <v>714</v>
      </c>
      <c r="O3553" t="s">
        <v>10263</v>
      </c>
      <c r="P3553" t="s">
        <v>12</v>
      </c>
    </row>
    <row r="3554">
      <c r="A3554">
        <f>HYPERLINK("http://bombeiros.sp.gov.br/hidrantes/03individual/2207.html","2207")</f>
      </c>
      <c r="B3554" t="s">
        <v>623</v>
      </c>
      <c r="C3554" t="s">
        <v>773</v>
      </c>
      <c r="D3554" t="s">
        <v>773</v>
      </c>
      <c r="E3554" t="s">
        <v>64</v>
      </c>
      <c r="F3554" t="s">
        <v>10980</v>
      </c>
      <c r="G3554" t="s">
        <v>17914</v>
      </c>
      <c r="H3554" t="s">
        <v>1112</v>
      </c>
      <c r="I3554" t="s">
        <v>1108</v>
      </c>
      <c r="J3554" t="s">
        <v>10981</v>
      </c>
      <c r="K3554" t="s">
        <v>10982</v>
      </c>
      <c r="L3554" t="s">
        <v>36</v>
      </c>
      <c r="M3554" t="s">
        <v>19177</v>
      </c>
      <c r="N3554" t="s">
        <v>714</v>
      </c>
      <c r="O3554" t="s">
        <v>10263</v>
      </c>
      <c r="P3554" t="s">
        <v>12</v>
      </c>
    </row>
    <row r="3555">
      <c r="A3555">
        <f>HYPERLINK("http://bombeiros.sp.gov.br/hidrantes/03individual/2212.html","2212")</f>
      </c>
      <c r="B3555" t="s">
        <v>623</v>
      </c>
      <c r="C3555" t="s">
        <v>773</v>
      </c>
      <c r="D3555" t="s">
        <v>773</v>
      </c>
      <c r="E3555" t="s">
        <v>64</v>
      </c>
      <c r="F3555" t="s">
        <v>10983</v>
      </c>
      <c r="G3555" t="s">
        <v>18110</v>
      </c>
      <c r="H3555" t="s">
        <v>1112</v>
      </c>
      <c r="I3555" t="s">
        <v>1108</v>
      </c>
      <c r="J3555" t="s">
        <v>10984</v>
      </c>
      <c r="K3555" t="s">
        <v>10985</v>
      </c>
      <c r="L3555" t="s">
        <v>21</v>
      </c>
      <c r="M3555" t="s">
        <v>19177</v>
      </c>
      <c r="N3555" t="s">
        <v>714</v>
      </c>
      <c r="O3555" t="s">
        <v>10263</v>
      </c>
      <c r="P3555" t="s">
        <v>12</v>
      </c>
    </row>
    <row r="3556">
      <c r="A3556">
        <f>HYPERLINK("http://bombeiros.sp.gov.br/hidrantes/03individual/1692.html","1692")</f>
      </c>
      <c r="B3556" t="s">
        <v>623</v>
      </c>
      <c r="C3556" t="s">
        <v>773</v>
      </c>
      <c r="D3556" t="s">
        <v>773</v>
      </c>
      <c r="E3556" t="s">
        <v>15</v>
      </c>
      <c r="F3556" t="s">
        <v>10986</v>
      </c>
      <c r="G3556" t="s">
        <v>17956</v>
      </c>
      <c r="H3556" t="s">
        <v>1112</v>
      </c>
      <c r="I3556" t="s">
        <v>1108</v>
      </c>
      <c r="J3556" t="s">
        <v>10987</v>
      </c>
      <c r="K3556" t="s">
        <v>10988</v>
      </c>
      <c r="L3556" t="s">
        <v>21</v>
      </c>
      <c r="M3556" t="s">
        <v>19177</v>
      </c>
      <c r="N3556" t="s">
        <v>714</v>
      </c>
      <c r="O3556" t="s">
        <v>10263</v>
      </c>
      <c r="P3556" t="s">
        <v>12</v>
      </c>
    </row>
    <row r="3557">
      <c r="A3557">
        <f>HYPERLINK("http://bombeiros.sp.gov.br/hidrantes/03individual/2205.html","2205")</f>
      </c>
      <c r="B3557" t="s">
        <v>623</v>
      </c>
      <c r="C3557" t="s">
        <v>773</v>
      </c>
      <c r="D3557" t="s">
        <v>773</v>
      </c>
      <c r="E3557" t="s">
        <v>15</v>
      </c>
      <c r="F3557" t="s">
        <v>10989</v>
      </c>
      <c r="G3557" t="s">
        <v>18160</v>
      </c>
      <c r="H3557" t="s">
        <v>1107</v>
      </c>
      <c r="I3557" t="s">
        <v>1108</v>
      </c>
      <c r="J3557" t="s">
        <v>10990</v>
      </c>
      <c r="K3557" t="s">
        <v>10991</v>
      </c>
      <c r="L3557" t="s">
        <v>21</v>
      </c>
      <c r="M3557" t="s">
        <v>19177</v>
      </c>
      <c r="N3557" t="s">
        <v>714</v>
      </c>
      <c r="O3557" t="s">
        <v>10263</v>
      </c>
      <c r="P3557" t="s">
        <v>12</v>
      </c>
    </row>
    <row r="3558">
      <c r="A3558">
        <f>HYPERLINK("http://bombeiros.sp.gov.br/hidrantes/03individual/2206.html","2206")</f>
      </c>
      <c r="B3558" t="s">
        <v>623</v>
      </c>
      <c r="C3558" t="s">
        <v>773</v>
      </c>
      <c r="D3558" t="s">
        <v>773</v>
      </c>
      <c r="E3558" t="s">
        <v>15</v>
      </c>
      <c r="F3558" t="s">
        <v>10992</v>
      </c>
      <c r="G3558" t="s">
        <v>18160</v>
      </c>
      <c r="H3558" t="s">
        <v>1112</v>
      </c>
      <c r="I3558" t="s">
        <v>1108</v>
      </c>
      <c r="J3558" t="s">
        <v>10993</v>
      </c>
      <c r="K3558" t="s">
        <v>10994</v>
      </c>
      <c r="L3558" t="s">
        <v>21</v>
      </c>
      <c r="M3558" t="s">
        <v>19177</v>
      </c>
      <c r="N3558" t="s">
        <v>714</v>
      </c>
      <c r="O3558" t="s">
        <v>10263</v>
      </c>
      <c r="P3558" t="s">
        <v>12</v>
      </c>
    </row>
    <row r="3559">
      <c r="A3559">
        <f>HYPERLINK("http://bombeiros.sp.gov.br/hidrantes/03individual/2211.html","2211")</f>
      </c>
      <c r="B3559" t="s">
        <v>623</v>
      </c>
      <c r="C3559" t="s">
        <v>773</v>
      </c>
      <c r="D3559" t="s">
        <v>773</v>
      </c>
      <c r="E3559" t="s">
        <v>15</v>
      </c>
      <c r="F3559" t="s">
        <v>10995</v>
      </c>
      <c r="G3559" t="s">
        <v>18160</v>
      </c>
      <c r="H3559" t="s">
        <v>1121</v>
      </c>
      <c r="I3559" t="s">
        <v>1117</v>
      </c>
      <c r="J3559" t="s">
        <v>10996</v>
      </c>
      <c r="K3559" t="s">
        <v>10997</v>
      </c>
      <c r="L3559" t="s">
        <v>21</v>
      </c>
      <c r="M3559" t="s">
        <v>19177</v>
      </c>
      <c r="N3559" t="s">
        <v>714</v>
      </c>
      <c r="O3559" t="s">
        <v>10263</v>
      </c>
      <c r="P3559" t="s">
        <v>12</v>
      </c>
    </row>
    <row r="3560">
      <c r="A3560">
        <f>HYPERLINK("http://bombeiros.sp.gov.br/hidrantes/03individual/2215.html","2215")</f>
      </c>
      <c r="B3560" t="s">
        <v>623</v>
      </c>
      <c r="C3560" t="s">
        <v>773</v>
      </c>
      <c r="D3560" t="s">
        <v>773</v>
      </c>
      <c r="E3560" t="s">
        <v>15</v>
      </c>
      <c r="F3560" t="s">
        <v>10998</v>
      </c>
      <c r="G3560" t="s">
        <v>17956</v>
      </c>
      <c r="H3560" t="s">
        <v>1112</v>
      </c>
      <c r="I3560" t="s">
        <v>1108</v>
      </c>
      <c r="J3560" t="s">
        <v>10999</v>
      </c>
      <c r="K3560" t="s">
        <v>11000</v>
      </c>
      <c r="L3560" t="s">
        <v>21</v>
      </c>
      <c r="M3560" t="s">
        <v>19177</v>
      </c>
      <c r="N3560" t="s">
        <v>714</v>
      </c>
      <c r="O3560" t="s">
        <v>10263</v>
      </c>
      <c r="P3560" t="s">
        <v>12</v>
      </c>
    </row>
    <row r="3561">
      <c r="A3561">
        <f>HYPERLINK("http://bombeiros.sp.gov.br/hidrantes/03individual/2312.html","2312")</f>
      </c>
      <c r="B3561" t="s">
        <v>623</v>
      </c>
      <c r="C3561" t="s">
        <v>773</v>
      </c>
      <c r="D3561" t="s">
        <v>773</v>
      </c>
      <c r="E3561" t="s">
        <v>15</v>
      </c>
      <c r="F3561" t="s">
        <v>11001</v>
      </c>
      <c r="G3561" t="s">
        <v>18160</v>
      </c>
      <c r="H3561" t="s">
        <v>1112</v>
      </c>
      <c r="I3561" t="s">
        <v>1108</v>
      </c>
      <c r="J3561" t="s">
        <v>11002</v>
      </c>
      <c r="K3561" t="s">
        <v>11003</v>
      </c>
      <c r="L3561" t="s">
        <v>21</v>
      </c>
      <c r="M3561" t="s">
        <v>19177</v>
      </c>
      <c r="N3561" t="s">
        <v>714</v>
      </c>
      <c r="O3561" t="s">
        <v>10263</v>
      </c>
      <c r="P3561" t="s">
        <v>12</v>
      </c>
    </row>
    <row r="3562">
      <c r="A3562">
        <f>HYPERLINK("http://bombeiros.sp.gov.br/hidrantes/03individual/2314.html","2314")</f>
      </c>
      <c r="B3562" t="s">
        <v>623</v>
      </c>
      <c r="C3562" t="s">
        <v>773</v>
      </c>
      <c r="D3562" t="s">
        <v>773</v>
      </c>
      <c r="E3562" t="s">
        <v>15</v>
      </c>
      <c r="F3562" t="s">
        <v>11004</v>
      </c>
      <c r="G3562" t="s">
        <v>17960</v>
      </c>
      <c r="H3562" t="s">
        <v>1112</v>
      </c>
      <c r="I3562" t="s">
        <v>1108</v>
      </c>
      <c r="J3562" t="s">
        <v>11005</v>
      </c>
      <c r="K3562" t="s">
        <v>11006</v>
      </c>
      <c r="L3562" t="s">
        <v>21</v>
      </c>
      <c r="M3562" t="s">
        <v>19177</v>
      </c>
      <c r="N3562" t="s">
        <v>714</v>
      </c>
      <c r="O3562" t="s">
        <v>10263</v>
      </c>
      <c r="P3562" t="s">
        <v>12</v>
      </c>
    </row>
    <row r="3563">
      <c r="A3563">
        <f>HYPERLINK("http://bombeiros.sp.gov.br/hidrantes/03individual/2321.html","2321")</f>
      </c>
      <c r="B3563" t="s">
        <v>623</v>
      </c>
      <c r="C3563" t="s">
        <v>773</v>
      </c>
      <c r="D3563" t="s">
        <v>773</v>
      </c>
      <c r="E3563" t="s">
        <v>15</v>
      </c>
      <c r="F3563" t="s">
        <v>11007</v>
      </c>
      <c r="G3563" t="s">
        <v>18155</v>
      </c>
      <c r="H3563" t="s">
        <v>1112</v>
      </c>
      <c r="I3563" t="s">
        <v>1108</v>
      </c>
      <c r="J3563" t="s">
        <v>11008</v>
      </c>
      <c r="K3563" t="s">
        <v>11009</v>
      </c>
      <c r="L3563" t="s">
        <v>21</v>
      </c>
      <c r="M3563" t="s">
        <v>19177</v>
      </c>
      <c r="N3563" t="s">
        <v>714</v>
      </c>
      <c r="O3563" t="s">
        <v>10263</v>
      </c>
      <c r="P3563" t="s">
        <v>12</v>
      </c>
    </row>
    <row r="3564">
      <c r="A3564">
        <f>HYPERLINK("http://bombeiros.sp.gov.br/hidrantes/03individual/2323.html","2323")</f>
      </c>
      <c r="B3564" t="s">
        <v>623</v>
      </c>
      <c r="C3564" t="s">
        <v>773</v>
      </c>
      <c r="D3564" t="s">
        <v>773</v>
      </c>
      <c r="E3564" t="s">
        <v>15</v>
      </c>
      <c r="F3564" t="s">
        <v>11010</v>
      </c>
      <c r="G3564" t="s">
        <v>18110</v>
      </c>
      <c r="H3564" t="s">
        <v>1121</v>
      </c>
      <c r="I3564" t="s">
        <v>1117</v>
      </c>
      <c r="J3564" t="s">
        <v>11011</v>
      </c>
      <c r="K3564" t="s">
        <v>11012</v>
      </c>
      <c r="L3564" t="s">
        <v>21</v>
      </c>
      <c r="M3564" t="s">
        <v>19177</v>
      </c>
      <c r="N3564" t="s">
        <v>714</v>
      </c>
      <c r="O3564" t="s">
        <v>10263</v>
      </c>
      <c r="P3564" t="s">
        <v>12</v>
      </c>
    </row>
    <row r="3565">
      <c r="A3565">
        <f>HYPERLINK("http://bombeiros.sp.gov.br/hidrantes/03individual/16587.html","16587")</f>
      </c>
      <c r="B3565" t="s">
        <v>623</v>
      </c>
      <c r="C3565" t="s">
        <v>773</v>
      </c>
      <c r="D3565" t="s">
        <v>773</v>
      </c>
      <c r="E3565" t="s">
        <v>15</v>
      </c>
      <c r="F3565" t="s">
        <v>11013</v>
      </c>
      <c r="G3565" t="s">
        <v>18067</v>
      </c>
      <c r="H3565" t="s">
        <v>1121</v>
      </c>
      <c r="I3565" t="s">
        <v>1117</v>
      </c>
      <c r="J3565" t="s">
        <v>11014</v>
      </c>
      <c r="K3565" t="s">
        <v>11015</v>
      </c>
      <c r="L3565" t="s">
        <v>21</v>
      </c>
      <c r="M3565" t="s">
        <v>19177</v>
      </c>
      <c r="N3565" t="s">
        <v>714</v>
      </c>
      <c r="O3565" t="s">
        <v>10263</v>
      </c>
      <c r="P3565" t="s">
        <v>12</v>
      </c>
    </row>
    <row r="3566">
      <c r="A3566">
        <f>HYPERLINK("http://bombeiros.sp.gov.br/hidrantes/03individual/17655.html","17655")</f>
      </c>
      <c r="B3566" t="s">
        <v>623</v>
      </c>
      <c r="C3566" t="s">
        <v>773</v>
      </c>
      <c r="D3566" t="s">
        <v>773</v>
      </c>
      <c r="E3566" t="s">
        <v>15</v>
      </c>
      <c r="F3566" t="s">
        <v>11016</v>
      </c>
      <c r="G3566" t="s">
        <v>18155</v>
      </c>
      <c r="H3566" t="s">
        <v>1112</v>
      </c>
      <c r="I3566" t="s">
        <v>1108</v>
      </c>
      <c r="J3566" t="s">
        <v>11017</v>
      </c>
      <c r="K3566" t="s">
        <v>11018</v>
      </c>
      <c r="L3566" t="s">
        <v>21</v>
      </c>
      <c r="M3566" t="s">
        <v>19177</v>
      </c>
      <c r="N3566" t="s">
        <v>714</v>
      </c>
      <c r="O3566" t="s">
        <v>10263</v>
      </c>
      <c r="P3566" t="s">
        <v>12</v>
      </c>
    </row>
    <row r="3567">
      <c r="A3567">
        <f>HYPERLINK("http://bombeiros.sp.gov.br/hidrantes/03individual/1625.html","1625")</f>
      </c>
      <c r="B3567" t="s">
        <v>623</v>
      </c>
      <c r="C3567" t="s">
        <v>773</v>
      </c>
      <c r="D3567" t="s">
        <v>10710</v>
      </c>
      <c r="E3567" t="s">
        <v>64</v>
      </c>
      <c r="F3567" t="s">
        <v>11019</v>
      </c>
      <c r="G3567" t="s">
        <v>18160</v>
      </c>
      <c r="H3567" t="s">
        <v>1112</v>
      </c>
      <c r="I3567" t="s">
        <v>1108</v>
      </c>
      <c r="J3567" t="s">
        <v>11020</v>
      </c>
      <c r="K3567" t="s">
        <v>11021</v>
      </c>
      <c r="L3567" t="s">
        <v>36</v>
      </c>
      <c r="M3567" t="s">
        <v>19177</v>
      </c>
      <c r="N3567" t="s">
        <v>714</v>
      </c>
      <c r="O3567" t="s">
        <v>10263</v>
      </c>
      <c r="P3567" t="s">
        <v>12</v>
      </c>
    </row>
    <row r="3568">
      <c r="A3568">
        <f>HYPERLINK("http://bombeiros.sp.gov.br/hidrantes/03individual/27526.html","27526")</f>
      </c>
      <c r="B3568" t="s">
        <v>623</v>
      </c>
      <c r="C3568" t="s">
        <v>773</v>
      </c>
      <c r="D3568" t="s">
        <v>10710</v>
      </c>
      <c r="E3568" t="s">
        <v>64</v>
      </c>
      <c r="F3568" t="s">
        <v>17393</v>
      </c>
      <c r="G3568" t="s">
        <v>18160</v>
      </c>
      <c r="H3568" t="s">
        <v>1112</v>
      </c>
      <c r="I3568" t="s">
        <v>1108</v>
      </c>
      <c r="J3568" t="s">
        <v>17394</v>
      </c>
      <c r="K3568" t="s">
        <v>17395</v>
      </c>
      <c r="L3568" t="s">
        <v>21</v>
      </c>
      <c r="M3568" t="s">
        <v>19177</v>
      </c>
      <c r="N3568" t="s">
        <v>714</v>
      </c>
      <c r="O3568" t="s">
        <v>10263</v>
      </c>
      <c r="P3568" t="s">
        <v>12</v>
      </c>
    </row>
    <row r="3569">
      <c r="A3569">
        <f>HYPERLINK("http://bombeiros.sp.gov.br/hidrantes/03individual/2209.html","2209")</f>
      </c>
      <c r="B3569" t="s">
        <v>623</v>
      </c>
      <c r="C3569" t="s">
        <v>773</v>
      </c>
      <c r="D3569" t="s">
        <v>10710</v>
      </c>
      <c r="E3569" t="s">
        <v>15</v>
      </c>
      <c r="F3569" t="s">
        <v>11022</v>
      </c>
      <c r="G3569" t="s">
        <v>17956</v>
      </c>
      <c r="H3569" t="s">
        <v>1107</v>
      </c>
      <c r="I3569" t="s">
        <v>1108</v>
      </c>
      <c r="J3569" t="s">
        <v>11023</v>
      </c>
      <c r="K3569" t="s">
        <v>11024</v>
      </c>
      <c r="L3569" t="s">
        <v>21</v>
      </c>
      <c r="M3569" t="s">
        <v>19177</v>
      </c>
      <c r="N3569" t="s">
        <v>714</v>
      </c>
      <c r="O3569" t="s">
        <v>10263</v>
      </c>
      <c r="P3569" t="s">
        <v>12</v>
      </c>
    </row>
    <row r="3570">
      <c r="A3570">
        <f>HYPERLINK("http://bombeiros.sp.gov.br/hidrantes/03individual/2271.html","2271")</f>
      </c>
      <c r="B3570" t="s">
        <v>623</v>
      </c>
      <c r="C3570" t="s">
        <v>773</v>
      </c>
      <c r="D3570" t="s">
        <v>10710</v>
      </c>
      <c r="E3570" t="s">
        <v>15</v>
      </c>
      <c r="F3570" t="s">
        <v>11025</v>
      </c>
      <c r="G3570" t="s">
        <v>18155</v>
      </c>
      <c r="H3570" t="s">
        <v>1112</v>
      </c>
      <c r="I3570" t="s">
        <v>1108</v>
      </c>
      <c r="J3570" t="s">
        <v>11026</v>
      </c>
      <c r="K3570" t="s">
        <v>11027</v>
      </c>
      <c r="L3570" t="s">
        <v>21</v>
      </c>
      <c r="M3570" t="s">
        <v>19177</v>
      </c>
      <c r="N3570" t="s">
        <v>714</v>
      </c>
      <c r="O3570" t="s">
        <v>10263</v>
      </c>
      <c r="P3570" t="s">
        <v>12</v>
      </c>
    </row>
    <row r="3571">
      <c r="A3571">
        <f>HYPERLINK("http://bombeiros.sp.gov.br/hidrantes/03individual/2337.html","2337")</f>
      </c>
      <c r="B3571" t="s">
        <v>623</v>
      </c>
      <c r="C3571" t="s">
        <v>773</v>
      </c>
      <c r="D3571" t="s">
        <v>10710</v>
      </c>
      <c r="E3571" t="s">
        <v>15</v>
      </c>
      <c r="F3571" t="s">
        <v>11028</v>
      </c>
      <c r="G3571" t="s">
        <v>17949</v>
      </c>
      <c r="H3571" t="s">
        <v>1112</v>
      </c>
      <c r="I3571" t="s">
        <v>1108</v>
      </c>
      <c r="J3571" t="s">
        <v>11029</v>
      </c>
      <c r="K3571" t="s">
        <v>11030</v>
      </c>
      <c r="L3571" t="s">
        <v>21</v>
      </c>
      <c r="M3571" t="s">
        <v>19177</v>
      </c>
      <c r="N3571" t="s">
        <v>714</v>
      </c>
      <c r="O3571" t="s">
        <v>10263</v>
      </c>
      <c r="P3571" t="s">
        <v>12</v>
      </c>
    </row>
    <row r="3572">
      <c r="A3572">
        <f>HYPERLINK("http://bombeiros.sp.gov.br/hidrantes/03individual/27164.html","27164")</f>
      </c>
      <c r="B3572" t="s">
        <v>623</v>
      </c>
      <c r="C3572" t="s">
        <v>773</v>
      </c>
      <c r="D3572" t="s">
        <v>10710</v>
      </c>
      <c r="E3572" t="s">
        <v>15</v>
      </c>
      <c r="F3572" t="s">
        <v>16881</v>
      </c>
      <c r="G3572" t="s">
        <v>18160</v>
      </c>
      <c r="H3572" t="s">
        <v>1112</v>
      </c>
      <c r="I3572" t="s">
        <v>1108</v>
      </c>
      <c r="J3572" t="s">
        <v>16882</v>
      </c>
      <c r="K3572" t="s">
        <v>16883</v>
      </c>
      <c r="L3572" t="s">
        <v>21</v>
      </c>
      <c r="M3572" t="s">
        <v>19177</v>
      </c>
      <c r="N3572" t="s">
        <v>714</v>
      </c>
      <c r="O3572" t="s">
        <v>10263</v>
      </c>
      <c r="P3572" t="s">
        <v>12</v>
      </c>
    </row>
    <row r="3573">
      <c r="A3573">
        <f>HYPERLINK("http://bombeiros.sp.gov.br/hidrantes/03individual/97.html","97")</f>
      </c>
      <c r="B3573" t="s">
        <v>623</v>
      </c>
      <c r="C3573" t="s">
        <v>773</v>
      </c>
      <c r="D3573" t="s">
        <v>11031</v>
      </c>
      <c r="E3573" t="s">
        <v>64</v>
      </c>
      <c r="F3573" t="s">
        <v>11032</v>
      </c>
      <c r="G3573" t="s">
        <v>18114</v>
      </c>
      <c r="H3573" t="s">
        <v>1112</v>
      </c>
      <c r="I3573" t="s">
        <v>1108</v>
      </c>
      <c r="J3573" t="s">
        <v>11033</v>
      </c>
      <c r="K3573" t="s">
        <v>11034</v>
      </c>
      <c r="L3573" t="s">
        <v>36</v>
      </c>
      <c r="M3573" t="s">
        <v>19177</v>
      </c>
      <c r="N3573" t="s">
        <v>714</v>
      </c>
      <c r="O3573" t="s">
        <v>10263</v>
      </c>
      <c r="P3573" t="s">
        <v>12</v>
      </c>
    </row>
    <row r="3574">
      <c r="A3574">
        <f>HYPERLINK("http://bombeiros.sp.gov.br/hidrantes/03individual/2216.html","2216")</f>
      </c>
      <c r="B3574" t="s">
        <v>623</v>
      </c>
      <c r="C3574" t="s">
        <v>773</v>
      </c>
      <c r="D3574" t="s">
        <v>11031</v>
      </c>
      <c r="E3574" t="s">
        <v>64</v>
      </c>
      <c r="F3574" t="s">
        <v>11035</v>
      </c>
      <c r="G3574" t="s">
        <v>18110</v>
      </c>
      <c r="H3574" t="s">
        <v>1112</v>
      </c>
      <c r="I3574" t="s">
        <v>1108</v>
      </c>
      <c r="J3574" t="s">
        <v>11036</v>
      </c>
      <c r="K3574" t="s">
        <v>11037</v>
      </c>
      <c r="L3574" t="s">
        <v>36</v>
      </c>
      <c r="M3574" t="s">
        <v>19177</v>
      </c>
      <c r="N3574" t="s">
        <v>714</v>
      </c>
      <c r="O3574" t="s">
        <v>10263</v>
      </c>
      <c r="P3574" t="s">
        <v>12</v>
      </c>
    </row>
    <row r="3575">
      <c r="A3575">
        <f>HYPERLINK("http://bombeiros.sp.gov.br/hidrantes/03individual/53.html","53")</f>
      </c>
      <c r="B3575" t="s">
        <v>623</v>
      </c>
      <c r="C3575" t="s">
        <v>773</v>
      </c>
      <c r="D3575" t="s">
        <v>11031</v>
      </c>
      <c r="E3575" t="s">
        <v>15</v>
      </c>
      <c r="F3575" t="s">
        <v>11038</v>
      </c>
      <c r="G3575" t="s">
        <v>18155</v>
      </c>
      <c r="H3575" t="s">
        <v>1121</v>
      </c>
      <c r="I3575" t="s">
        <v>1117</v>
      </c>
      <c r="J3575" t="s">
        <v>11039</v>
      </c>
      <c r="K3575" t="s">
        <v>11040</v>
      </c>
      <c r="L3575" t="s">
        <v>21</v>
      </c>
      <c r="M3575" t="s">
        <v>19177</v>
      </c>
      <c r="N3575" t="s">
        <v>714</v>
      </c>
      <c r="O3575" t="s">
        <v>10263</v>
      </c>
      <c r="P3575" t="s">
        <v>12</v>
      </c>
    </row>
    <row r="3576">
      <c r="A3576">
        <f>HYPERLINK("http://bombeiros.sp.gov.br/hidrantes/03individual/228.html","228")</f>
      </c>
      <c r="B3576" t="s">
        <v>623</v>
      </c>
      <c r="C3576" t="s">
        <v>773</v>
      </c>
      <c r="D3576" t="s">
        <v>11031</v>
      </c>
      <c r="E3576" t="s">
        <v>15</v>
      </c>
      <c r="F3576" t="s">
        <v>11041</v>
      </c>
      <c r="G3576" t="s">
        <v>18264</v>
      </c>
      <c r="H3576" t="s">
        <v>1112</v>
      </c>
      <c r="I3576" t="s">
        <v>1108</v>
      </c>
      <c r="J3576" t="s">
        <v>11042</v>
      </c>
      <c r="K3576" t="s">
        <v>11043</v>
      </c>
      <c r="L3576" t="s">
        <v>21</v>
      </c>
      <c r="M3576" t="s">
        <v>19177</v>
      </c>
      <c r="N3576" t="s">
        <v>714</v>
      </c>
      <c r="O3576" t="s">
        <v>10263</v>
      </c>
      <c r="P3576" t="s">
        <v>12</v>
      </c>
    </row>
    <row r="3577">
      <c r="A3577">
        <f>HYPERLINK("http://bombeiros.sp.gov.br/hidrantes/03individual/229.html","229")</f>
      </c>
      <c r="B3577" t="s">
        <v>623</v>
      </c>
      <c r="C3577" t="s">
        <v>773</v>
      </c>
      <c r="D3577" t="s">
        <v>11031</v>
      </c>
      <c r="E3577" t="s">
        <v>15</v>
      </c>
      <c r="F3577" t="s">
        <v>11044</v>
      </c>
      <c r="G3577" t="s">
        <v>18264</v>
      </c>
      <c r="H3577" t="s">
        <v>1112</v>
      </c>
      <c r="I3577" t="s">
        <v>1108</v>
      </c>
      <c r="J3577" t="s">
        <v>11045</v>
      </c>
      <c r="K3577" t="s">
        <v>11046</v>
      </c>
      <c r="L3577" t="s">
        <v>21</v>
      </c>
      <c r="M3577" t="s">
        <v>19177</v>
      </c>
      <c r="N3577" t="s">
        <v>714</v>
      </c>
      <c r="O3577" t="s">
        <v>10263</v>
      </c>
      <c r="P3577" t="s">
        <v>12</v>
      </c>
    </row>
    <row r="3578">
      <c r="A3578">
        <f>HYPERLINK("http://bombeiros.sp.gov.br/hidrantes/03individual/263.html","263")</f>
      </c>
      <c r="B3578" t="s">
        <v>623</v>
      </c>
      <c r="C3578" t="s">
        <v>773</v>
      </c>
      <c r="D3578" t="s">
        <v>11031</v>
      </c>
      <c r="E3578" t="s">
        <v>15</v>
      </c>
      <c r="F3578" t="s">
        <v>11047</v>
      </c>
      <c r="G3578" t="s">
        <v>18155</v>
      </c>
      <c r="H3578" t="s">
        <v>1112</v>
      </c>
      <c r="I3578" t="s">
        <v>1108</v>
      </c>
      <c r="J3578" t="s">
        <v>11048</v>
      </c>
      <c r="K3578" t="s">
        <v>11049</v>
      </c>
      <c r="L3578" t="s">
        <v>21</v>
      </c>
      <c r="M3578" t="s">
        <v>19177</v>
      </c>
      <c r="N3578" t="s">
        <v>714</v>
      </c>
      <c r="O3578" t="s">
        <v>10263</v>
      </c>
      <c r="P3578" t="s">
        <v>12</v>
      </c>
    </row>
    <row r="3579">
      <c r="A3579">
        <f>HYPERLINK("http://bombeiros.sp.gov.br/hidrantes/03individual/264.html","264")</f>
      </c>
      <c r="B3579" t="s">
        <v>623</v>
      </c>
      <c r="C3579" t="s">
        <v>773</v>
      </c>
      <c r="D3579" t="s">
        <v>11031</v>
      </c>
      <c r="E3579" t="s">
        <v>15</v>
      </c>
      <c r="F3579" t="s">
        <v>11050</v>
      </c>
      <c r="G3579" t="s">
        <v>18264</v>
      </c>
      <c r="H3579" t="s">
        <v>1121</v>
      </c>
      <c r="I3579" t="s">
        <v>1117</v>
      </c>
      <c r="J3579" t="s">
        <v>11051</v>
      </c>
      <c r="K3579" t="s">
        <v>11052</v>
      </c>
      <c r="L3579" t="s">
        <v>21</v>
      </c>
      <c r="M3579" t="s">
        <v>19177</v>
      </c>
      <c r="N3579" t="s">
        <v>714</v>
      </c>
      <c r="O3579" t="s">
        <v>10263</v>
      </c>
      <c r="P3579" t="s">
        <v>12</v>
      </c>
    </row>
    <row r="3580">
      <c r="A3580">
        <f>HYPERLINK("http://bombeiros.sp.gov.br/hidrantes/03individual/1242.html","1242")</f>
      </c>
      <c r="B3580" t="s">
        <v>623</v>
      </c>
      <c r="C3580" t="s">
        <v>773</v>
      </c>
      <c r="D3580" t="s">
        <v>11031</v>
      </c>
      <c r="E3580" t="s">
        <v>15</v>
      </c>
      <c r="F3580" t="s">
        <v>11053</v>
      </c>
      <c r="G3580" t="s">
        <v>18171</v>
      </c>
      <c r="H3580" t="s">
        <v>1107</v>
      </c>
      <c r="I3580" t="s">
        <v>1108</v>
      </c>
      <c r="J3580" t="s">
        <v>11054</v>
      </c>
      <c r="K3580" t="s">
        <v>11055</v>
      </c>
      <c r="L3580" t="s">
        <v>21</v>
      </c>
      <c r="M3580" t="s">
        <v>19177</v>
      </c>
      <c r="N3580" t="s">
        <v>714</v>
      </c>
      <c r="O3580" t="s">
        <v>10263</v>
      </c>
      <c r="P3580" t="s">
        <v>12</v>
      </c>
    </row>
    <row r="3581">
      <c r="A3581">
        <f>HYPERLINK("http://bombeiros.sp.gov.br/hidrantes/03individual/2218.html","2218")</f>
      </c>
      <c r="B3581" t="s">
        <v>623</v>
      </c>
      <c r="C3581" t="s">
        <v>773</v>
      </c>
      <c r="D3581" t="s">
        <v>11031</v>
      </c>
      <c r="E3581" t="s">
        <v>15</v>
      </c>
      <c r="F3581" t="s">
        <v>11056</v>
      </c>
      <c r="G3581" t="s">
        <v>18196</v>
      </c>
      <c r="H3581" t="s">
        <v>1174</v>
      </c>
      <c r="I3581" t="s">
        <v>1117</v>
      </c>
      <c r="J3581" t="s">
        <v>11057</v>
      </c>
      <c r="K3581" t="s">
        <v>11058</v>
      </c>
      <c r="L3581" t="s">
        <v>21</v>
      </c>
      <c r="M3581" t="s">
        <v>19177</v>
      </c>
      <c r="N3581" t="s">
        <v>714</v>
      </c>
      <c r="O3581" t="s">
        <v>10263</v>
      </c>
      <c r="P3581" t="s">
        <v>12</v>
      </c>
    </row>
    <row r="3582">
      <c r="A3582">
        <f>HYPERLINK("http://bombeiros.sp.gov.br/hidrantes/03individual/2222.html","2222")</f>
      </c>
      <c r="B3582" t="s">
        <v>623</v>
      </c>
      <c r="C3582" t="s">
        <v>773</v>
      </c>
      <c r="D3582" t="s">
        <v>11031</v>
      </c>
      <c r="E3582" t="s">
        <v>15</v>
      </c>
      <c r="F3582" t="s">
        <v>11059</v>
      </c>
      <c r="G3582" t="s">
        <v>18114</v>
      </c>
      <c r="H3582" t="s">
        <v>1121</v>
      </c>
      <c r="I3582" t="s">
        <v>1117</v>
      </c>
      <c r="J3582" t="s">
        <v>11060</v>
      </c>
      <c r="K3582" t="s">
        <v>11061</v>
      </c>
      <c r="L3582" t="s">
        <v>21</v>
      </c>
      <c r="M3582" t="s">
        <v>19177</v>
      </c>
      <c r="N3582" t="s">
        <v>714</v>
      </c>
      <c r="O3582" t="s">
        <v>10263</v>
      </c>
      <c r="P3582" t="s">
        <v>12</v>
      </c>
    </row>
    <row r="3583">
      <c r="A3583">
        <f>HYPERLINK("http://bombeiros.sp.gov.br/hidrantes/03individual/2224.html","2224")</f>
      </c>
      <c r="B3583" t="s">
        <v>623</v>
      </c>
      <c r="C3583" t="s">
        <v>773</v>
      </c>
      <c r="D3583" t="s">
        <v>11031</v>
      </c>
      <c r="E3583" t="s">
        <v>15</v>
      </c>
      <c r="F3583" t="s">
        <v>11062</v>
      </c>
      <c r="G3583" t="s">
        <v>18114</v>
      </c>
      <c r="H3583" t="s">
        <v>1174</v>
      </c>
      <c r="I3583" t="s">
        <v>1108</v>
      </c>
      <c r="J3583" t="s">
        <v>11063</v>
      </c>
      <c r="K3583" t="s">
        <v>11064</v>
      </c>
      <c r="L3583" t="s">
        <v>21</v>
      </c>
      <c r="M3583" t="s">
        <v>19177</v>
      </c>
      <c r="N3583" t="s">
        <v>714</v>
      </c>
      <c r="O3583" t="s">
        <v>10263</v>
      </c>
      <c r="P3583" t="s">
        <v>12</v>
      </c>
    </row>
    <row r="3584">
      <c r="A3584">
        <f>HYPERLINK("http://bombeiros.sp.gov.br/hidrantes/03individual/2709.html","2709")</f>
      </c>
      <c r="B3584" t="s">
        <v>623</v>
      </c>
      <c r="C3584" t="s">
        <v>773</v>
      </c>
      <c r="D3584" t="s">
        <v>11031</v>
      </c>
      <c r="E3584" t="s">
        <v>15</v>
      </c>
      <c r="F3584" t="s">
        <v>11065</v>
      </c>
      <c r="G3584" t="s">
        <v>18114</v>
      </c>
      <c r="H3584" t="s">
        <v>1107</v>
      </c>
      <c r="I3584" t="s">
        <v>1108</v>
      </c>
      <c r="J3584" t="s">
        <v>11066</v>
      </c>
      <c r="K3584" t="s">
        <v>11067</v>
      </c>
      <c r="L3584" t="s">
        <v>21</v>
      </c>
      <c r="M3584" t="s">
        <v>19177</v>
      </c>
      <c r="N3584" t="s">
        <v>714</v>
      </c>
      <c r="O3584" t="s">
        <v>10263</v>
      </c>
      <c r="P3584" t="s">
        <v>12</v>
      </c>
    </row>
    <row r="3585">
      <c r="A3585">
        <f>HYPERLINK("http://bombeiros.sp.gov.br/hidrantes/03individual/2731.html","2731")</f>
      </c>
      <c r="B3585" t="s">
        <v>623</v>
      </c>
      <c r="C3585" t="s">
        <v>773</v>
      </c>
      <c r="D3585" t="s">
        <v>11031</v>
      </c>
      <c r="E3585" t="s">
        <v>15</v>
      </c>
      <c r="F3585" t="s">
        <v>11068</v>
      </c>
      <c r="G3585" t="s">
        <v>18264</v>
      </c>
      <c r="H3585" t="s">
        <v>1112</v>
      </c>
      <c r="I3585" t="s">
        <v>1108</v>
      </c>
      <c r="J3585" t="s">
        <v>11069</v>
      </c>
      <c r="K3585" t="s">
        <v>11070</v>
      </c>
      <c r="L3585" t="s">
        <v>21</v>
      </c>
      <c r="M3585" t="s">
        <v>19177</v>
      </c>
      <c r="N3585" t="s">
        <v>714</v>
      </c>
      <c r="O3585" t="s">
        <v>10263</v>
      </c>
      <c r="P3585" t="s">
        <v>12</v>
      </c>
    </row>
    <row r="3586">
      <c r="A3586">
        <f>HYPERLINK("http://bombeiros.sp.gov.br/hidrantes/03individual/2735.html","2735")</f>
      </c>
      <c r="B3586" t="s">
        <v>623</v>
      </c>
      <c r="C3586" t="s">
        <v>773</v>
      </c>
      <c r="D3586" t="s">
        <v>11031</v>
      </c>
      <c r="E3586" t="s">
        <v>15</v>
      </c>
      <c r="F3586" t="s">
        <v>11071</v>
      </c>
      <c r="G3586" t="s">
        <v>18264</v>
      </c>
      <c r="H3586" t="s">
        <v>1112</v>
      </c>
      <c r="I3586" t="s">
        <v>1108</v>
      </c>
      <c r="J3586" t="s">
        <v>11072</v>
      </c>
      <c r="K3586" t="s">
        <v>11073</v>
      </c>
      <c r="L3586" t="s">
        <v>21</v>
      </c>
      <c r="M3586" t="s">
        <v>19177</v>
      </c>
      <c r="N3586" t="s">
        <v>714</v>
      </c>
      <c r="O3586" t="s">
        <v>10263</v>
      </c>
      <c r="P3586" t="s">
        <v>12</v>
      </c>
    </row>
    <row r="3587">
      <c r="A3587">
        <f>HYPERLINK("http://bombeiros.sp.gov.br/hidrantes/03individual/2103.html","2103")</f>
      </c>
      <c r="B3587" t="s">
        <v>623</v>
      </c>
      <c r="C3587" t="s">
        <v>773</v>
      </c>
      <c r="D3587" t="s">
        <v>11074</v>
      </c>
      <c r="E3587" t="s">
        <v>64</v>
      </c>
      <c r="F3587" t="s">
        <v>11075</v>
      </c>
      <c r="G3587" t="s">
        <v>18157</v>
      </c>
      <c r="H3587" t="s">
        <v>1112</v>
      </c>
      <c r="I3587" t="s">
        <v>1108</v>
      </c>
      <c r="J3587" t="s">
        <v>11076</v>
      </c>
      <c r="K3587" t="s">
        <v>11077</v>
      </c>
      <c r="L3587" t="s">
        <v>36</v>
      </c>
      <c r="M3587" t="s">
        <v>19177</v>
      </c>
      <c r="N3587" t="s">
        <v>714</v>
      </c>
      <c r="O3587" t="s">
        <v>10263</v>
      </c>
      <c r="P3587" t="s">
        <v>12</v>
      </c>
    </row>
    <row r="3588">
      <c r="A3588">
        <f>HYPERLINK("http://bombeiros.sp.gov.br/hidrantes/03individual/2244.html","2244")</f>
      </c>
      <c r="B3588" t="s">
        <v>623</v>
      </c>
      <c r="C3588" t="s">
        <v>773</v>
      </c>
      <c r="D3588" t="s">
        <v>11074</v>
      </c>
      <c r="E3588" t="s">
        <v>64</v>
      </c>
      <c r="F3588" t="s">
        <v>11078</v>
      </c>
      <c r="G3588" t="s">
        <v>18157</v>
      </c>
      <c r="H3588" t="s">
        <v>1112</v>
      </c>
      <c r="I3588" t="s">
        <v>1108</v>
      </c>
      <c r="J3588" t="s">
        <v>11079</v>
      </c>
      <c r="K3588" t="s">
        <v>11080</v>
      </c>
      <c r="L3588" t="s">
        <v>36</v>
      </c>
      <c r="M3588" t="s">
        <v>19177</v>
      </c>
      <c r="N3588" t="s">
        <v>714</v>
      </c>
      <c r="O3588" t="s">
        <v>10263</v>
      </c>
      <c r="P3588" t="s">
        <v>12</v>
      </c>
    </row>
    <row r="3589">
      <c r="A3589">
        <f>HYPERLINK("http://bombeiros.sp.gov.br/hidrantes/03individual/28395.html","28395")</f>
      </c>
      <c r="B3589" t="s">
        <v>623</v>
      </c>
      <c r="C3589" t="s">
        <v>773</v>
      </c>
      <c r="D3589" t="s">
        <v>11074</v>
      </c>
      <c r="E3589" t="s">
        <v>64</v>
      </c>
      <c r="F3589" t="s">
        <v>18675</v>
      </c>
      <c r="G3589"/>
      <c r="H3589"/>
      <c r="I3589" t="s">
        <v>1503</v>
      </c>
      <c r="J3589" t="s">
        <v>18676</v>
      </c>
      <c r="K3589" t="s">
        <v>18677</v>
      </c>
      <c r="L3589" t="s">
        <v>21</v>
      </c>
      <c r="M3589" t="s">
        <v>19177</v>
      </c>
      <c r="N3589" t="s">
        <v>714</v>
      </c>
      <c r="O3589" t="s">
        <v>10263</v>
      </c>
      <c r="P3589" t="s">
        <v>12</v>
      </c>
    </row>
    <row r="3590">
      <c r="A3590">
        <f>HYPERLINK("http://bombeiros.sp.gov.br/hidrantes/03individual/1943.html","1943")</f>
      </c>
      <c r="B3590" t="s">
        <v>623</v>
      </c>
      <c r="C3590" t="s">
        <v>773</v>
      </c>
      <c r="D3590" t="s">
        <v>11074</v>
      </c>
      <c r="E3590" t="s">
        <v>15</v>
      </c>
      <c r="F3590" t="s">
        <v>11081</v>
      </c>
      <c r="G3590" t="s">
        <v>18157</v>
      </c>
      <c r="H3590" t="s">
        <v>1112</v>
      </c>
      <c r="I3590" t="s">
        <v>1108</v>
      </c>
      <c r="J3590" t="s">
        <v>11082</v>
      </c>
      <c r="K3590" t="s">
        <v>11083</v>
      </c>
      <c r="L3590" t="s">
        <v>21</v>
      </c>
      <c r="M3590" t="s">
        <v>19177</v>
      </c>
      <c r="N3590" t="s">
        <v>714</v>
      </c>
      <c r="O3590" t="s">
        <v>10263</v>
      </c>
      <c r="P3590" t="s">
        <v>12</v>
      </c>
    </row>
    <row r="3591">
      <c r="A3591">
        <f>HYPERLINK("http://bombeiros.sp.gov.br/hidrantes/03individual/1945.html","1945")</f>
      </c>
      <c r="B3591" t="s">
        <v>623</v>
      </c>
      <c r="C3591" t="s">
        <v>773</v>
      </c>
      <c r="D3591" t="s">
        <v>11074</v>
      </c>
      <c r="E3591" t="s">
        <v>15</v>
      </c>
      <c r="F3591" t="s">
        <v>11084</v>
      </c>
      <c r="G3591" t="s">
        <v>18157</v>
      </c>
      <c r="H3591" t="s">
        <v>1112</v>
      </c>
      <c r="I3591" t="s">
        <v>1108</v>
      </c>
      <c r="J3591" t="s">
        <v>11085</v>
      </c>
      <c r="K3591" t="s">
        <v>11086</v>
      </c>
      <c r="L3591" t="s">
        <v>21</v>
      </c>
      <c r="M3591" t="s">
        <v>19177</v>
      </c>
      <c r="N3591" t="s">
        <v>714</v>
      </c>
      <c r="O3591" t="s">
        <v>10263</v>
      </c>
      <c r="P3591" t="s">
        <v>12</v>
      </c>
    </row>
    <row r="3592">
      <c r="A3592">
        <f>HYPERLINK("http://bombeiros.sp.gov.br/hidrantes/03individual/2142.html","2142")</f>
      </c>
      <c r="B3592" t="s">
        <v>623</v>
      </c>
      <c r="C3592" t="s">
        <v>773</v>
      </c>
      <c r="D3592" t="s">
        <v>11074</v>
      </c>
      <c r="E3592" t="s">
        <v>15</v>
      </c>
      <c r="F3592" t="s">
        <v>11087</v>
      </c>
      <c r="G3592" t="s">
        <v>17956</v>
      </c>
      <c r="H3592" t="s">
        <v>1107</v>
      </c>
      <c r="I3592" t="s">
        <v>1108</v>
      </c>
      <c r="J3592" t="s">
        <v>11088</v>
      </c>
      <c r="K3592" t="s">
        <v>11089</v>
      </c>
      <c r="L3592" t="s">
        <v>21</v>
      </c>
      <c r="M3592" t="s">
        <v>19177</v>
      </c>
      <c r="N3592" t="s">
        <v>714</v>
      </c>
      <c r="O3592" t="s">
        <v>10263</v>
      </c>
      <c r="P3592" t="s">
        <v>12</v>
      </c>
    </row>
    <row r="3593">
      <c r="A3593">
        <f>HYPERLINK("http://bombeiros.sp.gov.br/hidrantes/03individual/2239.html","2239")</f>
      </c>
      <c r="B3593" t="s">
        <v>623</v>
      </c>
      <c r="C3593" t="s">
        <v>773</v>
      </c>
      <c r="D3593" t="s">
        <v>11074</v>
      </c>
      <c r="E3593" t="s">
        <v>15</v>
      </c>
      <c r="F3593" t="s">
        <v>11090</v>
      </c>
      <c r="G3593" t="s">
        <v>18157</v>
      </c>
      <c r="H3593" t="s">
        <v>1112</v>
      </c>
      <c r="I3593" t="s">
        <v>1108</v>
      </c>
      <c r="J3593" t="s">
        <v>11091</v>
      </c>
      <c r="K3593" t="s">
        <v>11092</v>
      </c>
      <c r="L3593" t="s">
        <v>21</v>
      </c>
      <c r="M3593" t="s">
        <v>19177</v>
      </c>
      <c r="N3593" t="s">
        <v>714</v>
      </c>
      <c r="O3593" t="s">
        <v>10263</v>
      </c>
      <c r="P3593" t="s">
        <v>12</v>
      </c>
    </row>
    <row r="3594">
      <c r="A3594">
        <f>HYPERLINK("http://bombeiros.sp.gov.br/hidrantes/03individual/2290.html","2290")</f>
      </c>
      <c r="B3594" t="s">
        <v>623</v>
      </c>
      <c r="C3594" t="s">
        <v>773</v>
      </c>
      <c r="D3594" t="s">
        <v>11074</v>
      </c>
      <c r="E3594" t="s">
        <v>15</v>
      </c>
      <c r="F3594" t="s">
        <v>11093</v>
      </c>
      <c r="G3594" t="s">
        <v>17956</v>
      </c>
      <c r="H3594" t="s">
        <v>1107</v>
      </c>
      <c r="I3594" t="s">
        <v>1108</v>
      </c>
      <c r="J3594" t="s">
        <v>11094</v>
      </c>
      <c r="K3594" t="s">
        <v>11095</v>
      </c>
      <c r="L3594" t="s">
        <v>21</v>
      </c>
      <c r="M3594" t="s">
        <v>19177</v>
      </c>
      <c r="N3594" t="s">
        <v>714</v>
      </c>
      <c r="O3594" t="s">
        <v>10263</v>
      </c>
      <c r="P3594" t="s">
        <v>12</v>
      </c>
    </row>
    <row r="3595">
      <c r="A3595">
        <f>HYPERLINK("http://bombeiros.sp.gov.br/hidrantes/03individual/2923.html","2923")</f>
      </c>
      <c r="B3595" t="s">
        <v>623</v>
      </c>
      <c r="C3595" t="s">
        <v>773</v>
      </c>
      <c r="D3595" t="s">
        <v>11074</v>
      </c>
      <c r="E3595" t="s">
        <v>15</v>
      </c>
      <c r="F3595" t="s">
        <v>11096</v>
      </c>
      <c r="G3595" t="s">
        <v>17914</v>
      </c>
      <c r="H3595" t="s">
        <v>1112</v>
      </c>
      <c r="I3595" t="s">
        <v>1108</v>
      </c>
      <c r="J3595" t="s">
        <v>11097</v>
      </c>
      <c r="K3595" t="s">
        <v>11098</v>
      </c>
      <c r="L3595" t="s">
        <v>21</v>
      </c>
      <c r="M3595" t="s">
        <v>19177</v>
      </c>
      <c r="N3595" t="s">
        <v>714</v>
      </c>
      <c r="O3595" t="s">
        <v>10263</v>
      </c>
      <c r="P3595" t="s">
        <v>12</v>
      </c>
    </row>
    <row r="3596">
      <c r="A3596">
        <f>HYPERLINK("http://bombeiros.sp.gov.br/hidrantes/03individual/2929.html","2929")</f>
      </c>
      <c r="B3596" t="s">
        <v>623</v>
      </c>
      <c r="C3596" t="s">
        <v>773</v>
      </c>
      <c r="D3596" t="s">
        <v>11074</v>
      </c>
      <c r="E3596" t="s">
        <v>15</v>
      </c>
      <c r="F3596" t="s">
        <v>11099</v>
      </c>
      <c r="G3596" t="s">
        <v>17914</v>
      </c>
      <c r="H3596" t="s">
        <v>1112</v>
      </c>
      <c r="I3596" t="s">
        <v>1108</v>
      </c>
      <c r="J3596" t="s">
        <v>11100</v>
      </c>
      <c r="K3596" t="s">
        <v>11101</v>
      </c>
      <c r="L3596" t="s">
        <v>21</v>
      </c>
      <c r="M3596" t="s">
        <v>19177</v>
      </c>
      <c r="N3596" t="s">
        <v>714</v>
      </c>
      <c r="O3596" t="s">
        <v>10263</v>
      </c>
      <c r="P3596" t="s">
        <v>12</v>
      </c>
    </row>
    <row r="3597">
      <c r="A3597">
        <f>HYPERLINK("http://bombeiros.sp.gov.br/hidrantes/03individual/4285.html","4285")</f>
      </c>
      <c r="B3597" t="s">
        <v>623</v>
      </c>
      <c r="C3597" t="s">
        <v>773</v>
      </c>
      <c r="D3597" t="s">
        <v>11102</v>
      </c>
      <c r="E3597" t="s">
        <v>64</v>
      </c>
      <c r="F3597" t="s">
        <v>11103</v>
      </c>
      <c r="G3597" t="s">
        <v>17956</v>
      </c>
      <c r="H3597" t="s">
        <v>1112</v>
      </c>
      <c r="I3597" t="s">
        <v>1108</v>
      </c>
      <c r="J3597" t="s">
        <v>11104</v>
      </c>
      <c r="K3597" t="s">
        <v>11105</v>
      </c>
      <c r="L3597" t="s">
        <v>21</v>
      </c>
      <c r="M3597" t="s">
        <v>19177</v>
      </c>
      <c r="N3597" t="s">
        <v>714</v>
      </c>
      <c r="O3597" t="s">
        <v>10263</v>
      </c>
      <c r="P3597" t="s">
        <v>12</v>
      </c>
    </row>
    <row r="3598">
      <c r="A3598">
        <f>HYPERLINK("http://bombeiros.sp.gov.br/hidrantes/03individual/1734.html","1734")</f>
      </c>
      <c r="B3598" t="s">
        <v>623</v>
      </c>
      <c r="C3598" t="s">
        <v>773</v>
      </c>
      <c r="D3598" t="s">
        <v>11102</v>
      </c>
      <c r="E3598" t="s">
        <v>15</v>
      </c>
      <c r="F3598" t="s">
        <v>11106</v>
      </c>
      <c r="G3598" t="s">
        <v>17911</v>
      </c>
      <c r="H3598" t="s">
        <v>1112</v>
      </c>
      <c r="I3598" t="s">
        <v>1108</v>
      </c>
      <c r="J3598" t="s">
        <v>11107</v>
      </c>
      <c r="K3598" t="s">
        <v>11108</v>
      </c>
      <c r="L3598" t="s">
        <v>21</v>
      </c>
      <c r="M3598" t="s">
        <v>19177</v>
      </c>
      <c r="N3598" t="s">
        <v>714</v>
      </c>
      <c r="O3598" t="s">
        <v>10263</v>
      </c>
      <c r="P3598" t="s">
        <v>12</v>
      </c>
    </row>
    <row r="3599">
      <c r="A3599">
        <f>HYPERLINK("http://bombeiros.sp.gov.br/hidrantes/03individual/2252.html","2252")</f>
      </c>
      <c r="B3599" t="s">
        <v>623</v>
      </c>
      <c r="C3599" t="s">
        <v>773</v>
      </c>
      <c r="D3599" t="s">
        <v>11102</v>
      </c>
      <c r="E3599" t="s">
        <v>15</v>
      </c>
      <c r="F3599" t="s">
        <v>11109</v>
      </c>
      <c r="G3599" t="s">
        <v>18155</v>
      </c>
      <c r="H3599" t="s">
        <v>1112</v>
      </c>
      <c r="I3599" t="s">
        <v>1108</v>
      </c>
      <c r="J3599" t="s">
        <v>11110</v>
      </c>
      <c r="K3599" t="s">
        <v>11111</v>
      </c>
      <c r="L3599" t="s">
        <v>21</v>
      </c>
      <c r="M3599" t="s">
        <v>19177</v>
      </c>
      <c r="N3599" t="s">
        <v>714</v>
      </c>
      <c r="O3599" t="s">
        <v>10263</v>
      </c>
      <c r="P3599" t="s">
        <v>12</v>
      </c>
    </row>
    <row r="3600">
      <c r="A3600">
        <f>HYPERLINK("http://bombeiros.sp.gov.br/hidrantes/03individual/2711.html","2711")</f>
      </c>
      <c r="B3600" t="s">
        <v>623</v>
      </c>
      <c r="C3600" t="s">
        <v>773</v>
      </c>
      <c r="D3600" t="s">
        <v>11102</v>
      </c>
      <c r="E3600" t="s">
        <v>15</v>
      </c>
      <c r="F3600" t="s">
        <v>11112</v>
      </c>
      <c r="G3600" t="s">
        <v>17956</v>
      </c>
      <c r="H3600" t="s">
        <v>1112</v>
      </c>
      <c r="I3600" t="s">
        <v>1108</v>
      </c>
      <c r="J3600" t="s">
        <v>11113</v>
      </c>
      <c r="K3600" t="s">
        <v>11114</v>
      </c>
      <c r="L3600" t="s">
        <v>21</v>
      </c>
      <c r="M3600" t="s">
        <v>19177</v>
      </c>
      <c r="N3600" t="s">
        <v>714</v>
      </c>
      <c r="O3600" t="s">
        <v>10263</v>
      </c>
      <c r="P3600" t="s">
        <v>12</v>
      </c>
    </row>
    <row r="3601">
      <c r="A3601">
        <f>HYPERLINK("http://bombeiros.sp.gov.br/hidrantes/03individual/2932.html","2932")</f>
      </c>
      <c r="B3601" t="s">
        <v>623</v>
      </c>
      <c r="C3601" t="s">
        <v>773</v>
      </c>
      <c r="D3601" t="s">
        <v>11102</v>
      </c>
      <c r="E3601" t="s">
        <v>15</v>
      </c>
      <c r="F3601" t="s">
        <v>11115</v>
      </c>
      <c r="G3601" t="s">
        <v>17956</v>
      </c>
      <c r="H3601" t="s">
        <v>1112</v>
      </c>
      <c r="I3601" t="s">
        <v>1108</v>
      </c>
      <c r="J3601" t="s">
        <v>11116</v>
      </c>
      <c r="K3601" t="s">
        <v>11117</v>
      </c>
      <c r="L3601" t="s">
        <v>21</v>
      </c>
      <c r="M3601" t="s">
        <v>19177</v>
      </c>
      <c r="N3601" t="s">
        <v>714</v>
      </c>
      <c r="O3601" t="s">
        <v>10263</v>
      </c>
      <c r="P3601" t="s">
        <v>12</v>
      </c>
    </row>
    <row r="3602">
      <c r="A3602">
        <f>HYPERLINK("http://bombeiros.sp.gov.br/hidrantes/03individual/17704.html","17704")</f>
      </c>
      <c r="B3602" t="s">
        <v>623</v>
      </c>
      <c r="C3602" t="s">
        <v>773</v>
      </c>
      <c r="D3602" t="s">
        <v>11102</v>
      </c>
      <c r="E3602" t="s">
        <v>15</v>
      </c>
      <c r="F3602" t="s">
        <v>11118</v>
      </c>
      <c r="G3602" t="s">
        <v>17911</v>
      </c>
      <c r="H3602" t="s">
        <v>1112</v>
      </c>
      <c r="I3602" t="s">
        <v>1108</v>
      </c>
      <c r="J3602" t="s">
        <v>11119</v>
      </c>
      <c r="K3602" t="s">
        <v>11120</v>
      </c>
      <c r="L3602" t="s">
        <v>21</v>
      </c>
      <c r="M3602" t="s">
        <v>19177</v>
      </c>
      <c r="N3602" t="s">
        <v>714</v>
      </c>
      <c r="O3602" t="s">
        <v>10263</v>
      </c>
      <c r="P3602" t="s">
        <v>12</v>
      </c>
    </row>
    <row r="3603">
      <c r="A3603">
        <f>HYPERLINK("http://bombeiros.sp.gov.br/hidrantes/03individual/17778.html","17778")</f>
      </c>
      <c r="B3603" t="s">
        <v>623</v>
      </c>
      <c r="C3603" t="s">
        <v>773</v>
      </c>
      <c r="D3603" t="s">
        <v>11102</v>
      </c>
      <c r="E3603" t="s">
        <v>15</v>
      </c>
      <c r="F3603" t="s">
        <v>11121</v>
      </c>
      <c r="G3603" t="s">
        <v>17911</v>
      </c>
      <c r="H3603" t="s">
        <v>1112</v>
      </c>
      <c r="I3603" t="s">
        <v>1108</v>
      </c>
      <c r="J3603" t="s">
        <v>11122</v>
      </c>
      <c r="K3603" t="s">
        <v>11123</v>
      </c>
      <c r="L3603" t="s">
        <v>21</v>
      </c>
      <c r="M3603" t="s">
        <v>19177</v>
      </c>
      <c r="N3603" t="s">
        <v>714</v>
      </c>
      <c r="O3603" t="s">
        <v>10263</v>
      </c>
      <c r="P3603" t="s">
        <v>12</v>
      </c>
    </row>
    <row r="3604">
      <c r="A3604">
        <f>HYPERLINK("http://bombeiros.sp.gov.br/hidrantes/03individual/28047.html","28047")</f>
      </c>
      <c r="B3604" t="s">
        <v>623</v>
      </c>
      <c r="C3604" t="s">
        <v>773</v>
      </c>
      <c r="D3604" t="s">
        <v>11102</v>
      </c>
      <c r="E3604" t="s">
        <v>15</v>
      </c>
      <c r="F3604" t="s">
        <v>18365</v>
      </c>
      <c r="G3604" t="s">
        <v>18104</v>
      </c>
      <c r="H3604" t="s">
        <v>1112</v>
      </c>
      <c r="I3604" t="s">
        <v>1108</v>
      </c>
      <c r="J3604" t="s">
        <v>18366</v>
      </c>
      <c r="K3604" t="s">
        <v>18367</v>
      </c>
      <c r="L3604" t="s">
        <v>21</v>
      </c>
      <c r="M3604" t="s">
        <v>19177</v>
      </c>
      <c r="N3604" t="s">
        <v>714</v>
      </c>
      <c r="O3604" t="s">
        <v>10263</v>
      </c>
      <c r="P3604" t="s">
        <v>12</v>
      </c>
    </row>
    <row r="3605">
      <c r="A3605">
        <f>HYPERLINK("http://bombeiros.sp.gov.br/hidrantes/03individual/1539.html","1539")</f>
      </c>
      <c r="B3605" t="s">
        <v>623</v>
      </c>
      <c r="C3605" t="s">
        <v>773</v>
      </c>
      <c r="D3605" t="s">
        <v>11124</v>
      </c>
      <c r="E3605" t="s">
        <v>64</v>
      </c>
      <c r="F3605" t="s">
        <v>11125</v>
      </c>
      <c r="G3605" t="s">
        <v>18114</v>
      </c>
      <c r="H3605" t="s">
        <v>1112</v>
      </c>
      <c r="I3605" t="s">
        <v>1108</v>
      </c>
      <c r="J3605" t="s">
        <v>11126</v>
      </c>
      <c r="K3605" t="s">
        <v>11127</v>
      </c>
      <c r="L3605" t="s">
        <v>36</v>
      </c>
      <c r="M3605" t="s">
        <v>19177</v>
      </c>
      <c r="N3605" t="s">
        <v>714</v>
      </c>
      <c r="O3605" t="s">
        <v>10263</v>
      </c>
      <c r="P3605" t="s">
        <v>12</v>
      </c>
    </row>
    <row r="3606">
      <c r="A3606">
        <f>HYPERLINK("http://bombeiros.sp.gov.br/hidrantes/03individual/159.html","159")</f>
      </c>
      <c r="B3606" t="s">
        <v>623</v>
      </c>
      <c r="C3606" t="s">
        <v>773</v>
      </c>
      <c r="D3606" t="s">
        <v>11124</v>
      </c>
      <c r="E3606" t="s">
        <v>15</v>
      </c>
      <c r="F3606" t="s">
        <v>11128</v>
      </c>
      <c r="G3606" t="s">
        <v>18218</v>
      </c>
      <c r="H3606" t="s">
        <v>1107</v>
      </c>
      <c r="I3606" t="s">
        <v>1108</v>
      </c>
      <c r="J3606" t="s">
        <v>11129</v>
      </c>
      <c r="K3606" t="s">
        <v>11130</v>
      </c>
      <c r="L3606" t="s">
        <v>21</v>
      </c>
      <c r="M3606" t="s">
        <v>19177</v>
      </c>
      <c r="N3606" t="s">
        <v>714</v>
      </c>
      <c r="O3606" t="s">
        <v>10263</v>
      </c>
      <c r="P3606" t="s">
        <v>12</v>
      </c>
    </row>
    <row r="3607">
      <c r="A3607">
        <f>HYPERLINK("http://bombeiros.sp.gov.br/hidrantes/03individual/231.html","231")</f>
      </c>
      <c r="B3607" t="s">
        <v>623</v>
      </c>
      <c r="C3607" t="s">
        <v>773</v>
      </c>
      <c r="D3607" t="s">
        <v>11124</v>
      </c>
      <c r="E3607" t="s">
        <v>15</v>
      </c>
      <c r="F3607" t="s">
        <v>11131</v>
      </c>
      <c r="G3607" t="s">
        <v>18114</v>
      </c>
      <c r="H3607" t="s">
        <v>1107</v>
      </c>
      <c r="I3607" t="s">
        <v>1108</v>
      </c>
      <c r="J3607" t="s">
        <v>11132</v>
      </c>
      <c r="K3607" t="s">
        <v>11133</v>
      </c>
      <c r="L3607" t="s">
        <v>21</v>
      </c>
      <c r="M3607" t="s">
        <v>19177</v>
      </c>
      <c r="N3607" t="s">
        <v>714</v>
      </c>
      <c r="O3607" t="s">
        <v>10263</v>
      </c>
      <c r="P3607" t="s">
        <v>12</v>
      </c>
    </row>
    <row r="3608">
      <c r="A3608">
        <f>HYPERLINK("http://bombeiros.sp.gov.br/hidrantes/03individual/1572.html","1572")</f>
      </c>
      <c r="B3608" t="s">
        <v>623</v>
      </c>
      <c r="C3608" t="s">
        <v>773</v>
      </c>
      <c r="D3608" t="s">
        <v>11124</v>
      </c>
      <c r="E3608" t="s">
        <v>15</v>
      </c>
      <c r="F3608" t="s">
        <v>11134</v>
      </c>
      <c r="G3608" t="s">
        <v>18114</v>
      </c>
      <c r="H3608" t="s">
        <v>1174</v>
      </c>
      <c r="I3608" t="s">
        <v>1108</v>
      </c>
      <c r="J3608" t="s">
        <v>11135</v>
      </c>
      <c r="K3608" t="s">
        <v>11136</v>
      </c>
      <c r="L3608" t="s">
        <v>21</v>
      </c>
      <c r="M3608" t="s">
        <v>19177</v>
      </c>
      <c r="N3608" t="s">
        <v>714</v>
      </c>
      <c r="O3608" t="s">
        <v>10263</v>
      </c>
      <c r="P3608" t="s">
        <v>12</v>
      </c>
    </row>
    <row r="3609">
      <c r="A3609">
        <f>HYPERLINK("http://bombeiros.sp.gov.br/hidrantes/03individual/2260.html","2260")</f>
      </c>
      <c r="B3609" t="s">
        <v>623</v>
      </c>
      <c r="C3609" t="s">
        <v>773</v>
      </c>
      <c r="D3609" t="s">
        <v>11124</v>
      </c>
      <c r="E3609" t="s">
        <v>15</v>
      </c>
      <c r="F3609" t="s">
        <v>11137</v>
      </c>
      <c r="G3609" t="s">
        <v>18040</v>
      </c>
      <c r="H3609" t="s">
        <v>1112</v>
      </c>
      <c r="I3609" t="s">
        <v>1108</v>
      </c>
      <c r="J3609" t="s">
        <v>16513</v>
      </c>
      <c r="K3609" t="s">
        <v>16514</v>
      </c>
      <c r="L3609" t="s">
        <v>21</v>
      </c>
      <c r="M3609" t="s">
        <v>19177</v>
      </c>
      <c r="N3609" t="s">
        <v>714</v>
      </c>
      <c r="O3609" t="s">
        <v>10263</v>
      </c>
      <c r="P3609" t="s">
        <v>12</v>
      </c>
    </row>
    <row r="3610">
      <c r="A3610">
        <f>HYPERLINK("http://bombeiros.sp.gov.br/hidrantes/03individual/5641.html","5641")</f>
      </c>
      <c r="B3610" t="s">
        <v>623</v>
      </c>
      <c r="C3610" t="s">
        <v>773</v>
      </c>
      <c r="D3610" t="s">
        <v>11124</v>
      </c>
      <c r="E3610" t="s">
        <v>15</v>
      </c>
      <c r="F3610" t="s">
        <v>11140</v>
      </c>
      <c r="G3610" t="s">
        <v>18036</v>
      </c>
      <c r="H3610" t="s">
        <v>1121</v>
      </c>
      <c r="I3610" t="s">
        <v>1117</v>
      </c>
      <c r="J3610" t="s">
        <v>11141</v>
      </c>
      <c r="K3610" t="s">
        <v>11142</v>
      </c>
      <c r="L3610" t="s">
        <v>21</v>
      </c>
      <c r="M3610" t="s">
        <v>19177</v>
      </c>
      <c r="N3610" t="s">
        <v>714</v>
      </c>
      <c r="O3610" t="s">
        <v>10263</v>
      </c>
      <c r="P3610" t="s">
        <v>12</v>
      </c>
    </row>
    <row r="3611">
      <c r="A3611">
        <f>HYPERLINK("http://bombeiros.sp.gov.br/hidrantes/03individual/1643.html","1643")</f>
      </c>
      <c r="B3611" t="s">
        <v>623</v>
      </c>
      <c r="C3611" t="s">
        <v>777</v>
      </c>
      <c r="D3611" t="s">
        <v>778</v>
      </c>
      <c r="E3611" t="s">
        <v>64</v>
      </c>
      <c r="F3611" t="s">
        <v>11143</v>
      </c>
      <c r="G3611" t="s">
        <v>18044</v>
      </c>
      <c r="H3611" t="s">
        <v>1121</v>
      </c>
      <c r="I3611" t="s">
        <v>1117</v>
      </c>
      <c r="J3611" t="s">
        <v>11144</v>
      </c>
      <c r="K3611" t="s">
        <v>11145</v>
      </c>
      <c r="L3611" t="s">
        <v>36</v>
      </c>
      <c r="M3611" t="s">
        <v>19177</v>
      </c>
      <c r="N3611" t="s">
        <v>714</v>
      </c>
      <c r="O3611" t="s">
        <v>10263</v>
      </c>
      <c r="P3611" t="s">
        <v>12</v>
      </c>
    </row>
    <row r="3612">
      <c r="A3612">
        <f>HYPERLINK("http://bombeiros.sp.gov.br/hidrantes/03individual/1651.html","1651")</f>
      </c>
      <c r="B3612" t="s">
        <v>623</v>
      </c>
      <c r="C3612" t="s">
        <v>777</v>
      </c>
      <c r="D3612" t="s">
        <v>778</v>
      </c>
      <c r="E3612" t="s">
        <v>64</v>
      </c>
      <c r="F3612" t="s">
        <v>11146</v>
      </c>
      <c r="G3612" t="s">
        <v>18044</v>
      </c>
      <c r="H3612" t="s">
        <v>1112</v>
      </c>
      <c r="I3612" t="s">
        <v>1108</v>
      </c>
      <c r="J3612" t="s">
        <v>11147</v>
      </c>
      <c r="K3612" t="s">
        <v>11148</v>
      </c>
      <c r="L3612" t="s">
        <v>21</v>
      </c>
      <c r="M3612" t="s">
        <v>19177</v>
      </c>
      <c r="N3612" t="s">
        <v>714</v>
      </c>
      <c r="O3612" t="s">
        <v>10263</v>
      </c>
      <c r="P3612" t="s">
        <v>12</v>
      </c>
    </row>
    <row r="3613">
      <c r="A3613">
        <f>HYPERLINK("http://bombeiros.sp.gov.br/hidrantes/03individual/1667.html","1667")</f>
      </c>
      <c r="B3613" t="s">
        <v>623</v>
      </c>
      <c r="C3613" t="s">
        <v>777</v>
      </c>
      <c r="D3613" t="s">
        <v>778</v>
      </c>
      <c r="E3613" t="s">
        <v>64</v>
      </c>
      <c r="F3613" t="s">
        <v>11149</v>
      </c>
      <c r="G3613" t="s">
        <v>18091</v>
      </c>
      <c r="H3613" t="s">
        <v>1112</v>
      </c>
      <c r="I3613" t="s">
        <v>1108</v>
      </c>
      <c r="J3613" t="s">
        <v>11150</v>
      </c>
      <c r="K3613" t="s">
        <v>11151</v>
      </c>
      <c r="L3613" t="s">
        <v>36</v>
      </c>
      <c r="M3613" t="s">
        <v>19177</v>
      </c>
      <c r="N3613" t="s">
        <v>714</v>
      </c>
      <c r="O3613" t="s">
        <v>10263</v>
      </c>
      <c r="P3613" t="s">
        <v>12</v>
      </c>
    </row>
    <row r="3614">
      <c r="A3614">
        <f>HYPERLINK("http://bombeiros.sp.gov.br/hidrantes/03individual/1669.html","1669")</f>
      </c>
      <c r="B3614" t="s">
        <v>623</v>
      </c>
      <c r="C3614" t="s">
        <v>777</v>
      </c>
      <c r="D3614" t="s">
        <v>778</v>
      </c>
      <c r="E3614" t="s">
        <v>64</v>
      </c>
      <c r="F3614" t="s">
        <v>11152</v>
      </c>
      <c r="G3614" t="s">
        <v>18044</v>
      </c>
      <c r="H3614" t="s">
        <v>1112</v>
      </c>
      <c r="I3614" t="s">
        <v>1108</v>
      </c>
      <c r="J3614" t="s">
        <v>11153</v>
      </c>
      <c r="K3614" t="s">
        <v>11154</v>
      </c>
      <c r="L3614" t="s">
        <v>21</v>
      </c>
      <c r="M3614" t="s">
        <v>19177</v>
      </c>
      <c r="N3614" t="s">
        <v>714</v>
      </c>
      <c r="O3614" t="s">
        <v>10263</v>
      </c>
      <c r="P3614" t="s">
        <v>12</v>
      </c>
    </row>
    <row r="3615">
      <c r="A3615">
        <f>HYPERLINK("http://bombeiros.sp.gov.br/hidrantes/03individual/1686.html","1686")</f>
      </c>
      <c r="B3615" t="s">
        <v>623</v>
      </c>
      <c r="C3615" t="s">
        <v>777</v>
      </c>
      <c r="D3615" t="s">
        <v>778</v>
      </c>
      <c r="E3615" t="s">
        <v>64</v>
      </c>
      <c r="F3615" t="s">
        <v>11155</v>
      </c>
      <c r="G3615" t="s">
        <v>18044</v>
      </c>
      <c r="H3615" t="s">
        <v>1107</v>
      </c>
      <c r="I3615" t="s">
        <v>1108</v>
      </c>
      <c r="J3615" t="s">
        <v>11156</v>
      </c>
      <c r="K3615" t="s">
        <v>11157</v>
      </c>
      <c r="L3615" t="s">
        <v>36</v>
      </c>
      <c r="M3615" t="s">
        <v>19177</v>
      </c>
      <c r="N3615" t="s">
        <v>714</v>
      </c>
      <c r="O3615" t="s">
        <v>10263</v>
      </c>
      <c r="P3615" t="s">
        <v>12</v>
      </c>
    </row>
    <row r="3616">
      <c r="A3616">
        <f>HYPERLINK("http://bombeiros.sp.gov.br/hidrantes/03individual/1786.html","1786")</f>
      </c>
      <c r="B3616" t="s">
        <v>623</v>
      </c>
      <c r="C3616" t="s">
        <v>777</v>
      </c>
      <c r="D3616" t="s">
        <v>778</v>
      </c>
      <c r="E3616" t="s">
        <v>64</v>
      </c>
      <c r="F3616" t="s">
        <v>11158</v>
      </c>
      <c r="G3616" t="s">
        <v>17948</v>
      </c>
      <c r="H3616" t="s">
        <v>1112</v>
      </c>
      <c r="I3616" t="s">
        <v>1108</v>
      </c>
      <c r="J3616" t="s">
        <v>11159</v>
      </c>
      <c r="K3616" t="s">
        <v>11160</v>
      </c>
      <c r="L3616" t="s">
        <v>21</v>
      </c>
      <c r="M3616" t="s">
        <v>19177</v>
      </c>
      <c r="N3616" t="s">
        <v>714</v>
      </c>
      <c r="O3616" t="s">
        <v>10263</v>
      </c>
      <c r="P3616" t="s">
        <v>12</v>
      </c>
    </row>
    <row r="3617">
      <c r="A3617">
        <f>HYPERLINK("http://bombeiros.sp.gov.br/hidrantes/03individual/1455.html","1455")</f>
      </c>
      <c r="B3617" t="s">
        <v>623</v>
      </c>
      <c r="C3617" t="s">
        <v>777</v>
      </c>
      <c r="D3617" t="s">
        <v>778</v>
      </c>
      <c r="E3617" t="s">
        <v>15</v>
      </c>
      <c r="F3617" t="s">
        <v>11161</v>
      </c>
      <c r="G3617" t="s">
        <v>18096</v>
      </c>
      <c r="H3617" t="s">
        <v>1107</v>
      </c>
      <c r="I3617" t="s">
        <v>1108</v>
      </c>
      <c r="J3617" t="s">
        <v>11162</v>
      </c>
      <c r="K3617" t="s">
        <v>11163</v>
      </c>
      <c r="L3617" t="s">
        <v>21</v>
      </c>
      <c r="M3617" t="s">
        <v>19177</v>
      </c>
      <c r="N3617" t="s">
        <v>714</v>
      </c>
      <c r="O3617" t="s">
        <v>10263</v>
      </c>
      <c r="P3617" t="s">
        <v>12</v>
      </c>
    </row>
    <row r="3618">
      <c r="A3618">
        <f>HYPERLINK("http://bombeiros.sp.gov.br/hidrantes/03individual/1623.html","1623")</f>
      </c>
      <c r="B3618" t="s">
        <v>623</v>
      </c>
      <c r="C3618" t="s">
        <v>777</v>
      </c>
      <c r="D3618" t="s">
        <v>778</v>
      </c>
      <c r="E3618" t="s">
        <v>15</v>
      </c>
      <c r="F3618" t="s">
        <v>11164</v>
      </c>
      <c r="G3618" t="s">
        <v>17948</v>
      </c>
      <c r="H3618" t="s">
        <v>1121</v>
      </c>
      <c r="I3618" t="s">
        <v>1117</v>
      </c>
      <c r="J3618" t="s">
        <v>11165</v>
      </c>
      <c r="K3618" t="s">
        <v>11166</v>
      </c>
      <c r="L3618" t="s">
        <v>21</v>
      </c>
      <c r="M3618" t="s">
        <v>19177</v>
      </c>
      <c r="N3618" t="s">
        <v>714</v>
      </c>
      <c r="O3618" t="s">
        <v>10263</v>
      </c>
      <c r="P3618" t="s">
        <v>12</v>
      </c>
    </row>
    <row r="3619">
      <c r="A3619">
        <f>HYPERLINK("http://bombeiros.sp.gov.br/hidrantes/03individual/1797.html","1797")</f>
      </c>
      <c r="B3619" t="s">
        <v>623</v>
      </c>
      <c r="C3619" t="s">
        <v>777</v>
      </c>
      <c r="D3619" t="s">
        <v>778</v>
      </c>
      <c r="E3619" t="s">
        <v>15</v>
      </c>
      <c r="F3619" t="s">
        <v>11167</v>
      </c>
      <c r="G3619" t="s">
        <v>17948</v>
      </c>
      <c r="H3619" t="s">
        <v>1121</v>
      </c>
      <c r="I3619" t="s">
        <v>1117</v>
      </c>
      <c r="J3619" t="s">
        <v>11168</v>
      </c>
      <c r="K3619" t="s">
        <v>11169</v>
      </c>
      <c r="L3619" t="s">
        <v>21</v>
      </c>
      <c r="M3619" t="s">
        <v>19177</v>
      </c>
      <c r="N3619" t="s">
        <v>714</v>
      </c>
      <c r="O3619" t="s">
        <v>10263</v>
      </c>
      <c r="P3619" t="s">
        <v>12</v>
      </c>
    </row>
    <row r="3620">
      <c r="A3620">
        <f>HYPERLINK("http://bombeiros.sp.gov.br/hidrantes/03individual/2097.html","2097")</f>
      </c>
      <c r="B3620" t="s">
        <v>623</v>
      </c>
      <c r="C3620" t="s">
        <v>777</v>
      </c>
      <c r="D3620" t="s">
        <v>778</v>
      </c>
      <c r="E3620" t="s">
        <v>15</v>
      </c>
      <c r="F3620" t="s">
        <v>11170</v>
      </c>
      <c r="G3620" t="s">
        <v>18096</v>
      </c>
      <c r="H3620" t="s">
        <v>1107</v>
      </c>
      <c r="I3620" t="s">
        <v>1108</v>
      </c>
      <c r="J3620" t="s">
        <v>11171</v>
      </c>
      <c r="K3620" t="s">
        <v>11172</v>
      </c>
      <c r="L3620" t="s">
        <v>21</v>
      </c>
      <c r="M3620" t="s">
        <v>19177</v>
      </c>
      <c r="N3620" t="s">
        <v>714</v>
      </c>
      <c r="O3620" t="s">
        <v>10263</v>
      </c>
      <c r="P3620" t="s">
        <v>12</v>
      </c>
    </row>
    <row r="3621">
      <c r="A3621">
        <f>HYPERLINK("http://bombeiros.sp.gov.br/hidrantes/03individual/2284.html","2284")</f>
      </c>
      <c r="B3621" t="s">
        <v>623</v>
      </c>
      <c r="C3621" t="s">
        <v>777</v>
      </c>
      <c r="D3621" t="s">
        <v>778</v>
      </c>
      <c r="E3621" t="s">
        <v>15</v>
      </c>
      <c r="F3621" t="s">
        <v>11173</v>
      </c>
      <c r="G3621" t="s">
        <v>18096</v>
      </c>
      <c r="H3621" t="s">
        <v>1107</v>
      </c>
      <c r="I3621" t="s">
        <v>1108</v>
      </c>
      <c r="J3621" t="s">
        <v>11174</v>
      </c>
      <c r="K3621" t="s">
        <v>11175</v>
      </c>
      <c r="L3621" t="s">
        <v>21</v>
      </c>
      <c r="M3621" t="s">
        <v>19177</v>
      </c>
      <c r="N3621" t="s">
        <v>714</v>
      </c>
      <c r="O3621" t="s">
        <v>10263</v>
      </c>
      <c r="P3621" t="s">
        <v>12</v>
      </c>
    </row>
    <row r="3622">
      <c r="A3622">
        <f>HYPERLINK("http://bombeiros.sp.gov.br/hidrantes/03individual/2319.html","2319")</f>
      </c>
      <c r="B3622" t="s">
        <v>623</v>
      </c>
      <c r="C3622" t="s">
        <v>777</v>
      </c>
      <c r="D3622" t="s">
        <v>778</v>
      </c>
      <c r="E3622" t="s">
        <v>15</v>
      </c>
      <c r="F3622" t="s">
        <v>11176</v>
      </c>
      <c r="G3622" t="s">
        <v>18096</v>
      </c>
      <c r="H3622" t="s">
        <v>1107</v>
      </c>
      <c r="I3622" t="s">
        <v>1108</v>
      </c>
      <c r="J3622" t="s">
        <v>11177</v>
      </c>
      <c r="K3622" t="s">
        <v>11178</v>
      </c>
      <c r="L3622" t="s">
        <v>21</v>
      </c>
      <c r="M3622" t="s">
        <v>19177</v>
      </c>
      <c r="N3622" t="s">
        <v>714</v>
      </c>
      <c r="O3622" t="s">
        <v>10263</v>
      </c>
      <c r="P3622" t="s">
        <v>12</v>
      </c>
    </row>
    <row r="3623">
      <c r="A3623">
        <f>HYPERLINK("http://bombeiros.sp.gov.br/hidrantes/03individual/2331.html","2331")</f>
      </c>
      <c r="B3623" t="s">
        <v>623</v>
      </c>
      <c r="C3623" t="s">
        <v>777</v>
      </c>
      <c r="D3623" t="s">
        <v>778</v>
      </c>
      <c r="E3623" t="s">
        <v>15</v>
      </c>
      <c r="F3623" t="s">
        <v>11179</v>
      </c>
      <c r="G3623" t="s">
        <v>18096</v>
      </c>
      <c r="H3623" t="s">
        <v>1107</v>
      </c>
      <c r="I3623" t="s">
        <v>1108</v>
      </c>
      <c r="J3623" t="s">
        <v>11180</v>
      </c>
      <c r="K3623" t="s">
        <v>11181</v>
      </c>
      <c r="L3623" t="s">
        <v>21</v>
      </c>
      <c r="M3623" t="s">
        <v>19177</v>
      </c>
      <c r="N3623" t="s">
        <v>714</v>
      </c>
      <c r="O3623" t="s">
        <v>10263</v>
      </c>
      <c r="P3623" t="s">
        <v>12</v>
      </c>
    </row>
    <row r="3624">
      <c r="A3624">
        <f>HYPERLINK("http://bombeiros.sp.gov.br/hidrantes/03individual/2333.html","2333")</f>
      </c>
      <c r="B3624" t="s">
        <v>623</v>
      </c>
      <c r="C3624" t="s">
        <v>777</v>
      </c>
      <c r="D3624" t="s">
        <v>778</v>
      </c>
      <c r="E3624" t="s">
        <v>15</v>
      </c>
      <c r="F3624" t="s">
        <v>11182</v>
      </c>
      <c r="G3624" t="s">
        <v>18192</v>
      </c>
      <c r="H3624" t="s">
        <v>1107</v>
      </c>
      <c r="I3624" t="s">
        <v>1108</v>
      </c>
      <c r="J3624" t="s">
        <v>11183</v>
      </c>
      <c r="K3624" t="s">
        <v>11184</v>
      </c>
      <c r="L3624" t="s">
        <v>21</v>
      </c>
      <c r="M3624" t="s">
        <v>19177</v>
      </c>
      <c r="N3624" t="s">
        <v>714</v>
      </c>
      <c r="O3624" t="s">
        <v>10263</v>
      </c>
      <c r="P3624" t="s">
        <v>12</v>
      </c>
    </row>
    <row r="3625">
      <c r="A3625">
        <f>HYPERLINK("http://bombeiros.sp.gov.br/hidrantes/03individual/4259.html","4259")</f>
      </c>
      <c r="B3625" t="s">
        <v>623</v>
      </c>
      <c r="C3625" t="s">
        <v>777</v>
      </c>
      <c r="D3625" t="s">
        <v>778</v>
      </c>
      <c r="E3625" t="s">
        <v>15</v>
      </c>
      <c r="F3625" t="s">
        <v>11185</v>
      </c>
      <c r="G3625" t="s">
        <v>18192</v>
      </c>
      <c r="H3625" t="s">
        <v>1112</v>
      </c>
      <c r="I3625" t="s">
        <v>1108</v>
      </c>
      <c r="J3625" t="s">
        <v>11186</v>
      </c>
      <c r="K3625" t="s">
        <v>11187</v>
      </c>
      <c r="L3625" t="s">
        <v>21</v>
      </c>
      <c r="M3625" t="s">
        <v>19177</v>
      </c>
      <c r="N3625" t="s">
        <v>714</v>
      </c>
      <c r="O3625" t="s">
        <v>10263</v>
      </c>
      <c r="P3625" t="s">
        <v>12</v>
      </c>
    </row>
    <row r="3626">
      <c r="A3626">
        <f>HYPERLINK("http://bombeiros.sp.gov.br/hidrantes/03individual/5376.html","5376")</f>
      </c>
      <c r="B3626" t="s">
        <v>623</v>
      </c>
      <c r="C3626" t="s">
        <v>777</v>
      </c>
      <c r="D3626" t="s">
        <v>778</v>
      </c>
      <c r="E3626" t="s">
        <v>15</v>
      </c>
      <c r="F3626" t="s">
        <v>11188</v>
      </c>
      <c r="G3626" t="s">
        <v>18192</v>
      </c>
      <c r="H3626" t="s">
        <v>1112</v>
      </c>
      <c r="I3626" t="s">
        <v>1108</v>
      </c>
      <c r="J3626" t="s">
        <v>11189</v>
      </c>
      <c r="K3626" t="s">
        <v>11190</v>
      </c>
      <c r="L3626" t="s">
        <v>21</v>
      </c>
      <c r="M3626" t="s">
        <v>19177</v>
      </c>
      <c r="N3626" t="s">
        <v>714</v>
      </c>
      <c r="O3626" t="s">
        <v>10263</v>
      </c>
      <c r="P3626" t="s">
        <v>12</v>
      </c>
    </row>
    <row r="3627">
      <c r="A3627">
        <f>HYPERLINK("http://bombeiros.sp.gov.br/hidrantes/03individual/5377.html","5377")</f>
      </c>
      <c r="B3627" t="s">
        <v>623</v>
      </c>
      <c r="C3627" t="s">
        <v>777</v>
      </c>
      <c r="D3627" t="s">
        <v>778</v>
      </c>
      <c r="E3627" t="s">
        <v>15</v>
      </c>
      <c r="F3627" t="s">
        <v>11191</v>
      </c>
      <c r="G3627" t="s">
        <v>18096</v>
      </c>
      <c r="H3627" t="s">
        <v>1121</v>
      </c>
      <c r="I3627" t="s">
        <v>1117</v>
      </c>
      <c r="J3627" t="s">
        <v>16075</v>
      </c>
      <c r="K3627" t="s">
        <v>16076</v>
      </c>
      <c r="L3627" t="s">
        <v>21</v>
      </c>
      <c r="M3627" t="s">
        <v>19177</v>
      </c>
      <c r="N3627" t="s">
        <v>714</v>
      </c>
      <c r="O3627" t="s">
        <v>10263</v>
      </c>
      <c r="P3627" t="s">
        <v>12</v>
      </c>
    </row>
    <row r="3628">
      <c r="A3628">
        <f>HYPERLINK("http://bombeiros.sp.gov.br/hidrantes/03individual/6685.html","6685")</f>
      </c>
      <c r="B3628" t="s">
        <v>623</v>
      </c>
      <c r="C3628" t="s">
        <v>777</v>
      </c>
      <c r="D3628" t="s">
        <v>778</v>
      </c>
      <c r="E3628" t="s">
        <v>15</v>
      </c>
      <c r="F3628" t="s">
        <v>11194</v>
      </c>
      <c r="G3628" t="s">
        <v>18192</v>
      </c>
      <c r="H3628" t="s">
        <v>1174</v>
      </c>
      <c r="I3628" t="s">
        <v>1117</v>
      </c>
      <c r="J3628" t="s">
        <v>11195</v>
      </c>
      <c r="K3628" t="s">
        <v>11196</v>
      </c>
      <c r="L3628" t="s">
        <v>21</v>
      </c>
      <c r="M3628" t="s">
        <v>19177</v>
      </c>
      <c r="N3628" t="s">
        <v>714</v>
      </c>
      <c r="O3628" t="s">
        <v>10263</v>
      </c>
      <c r="P3628" t="s">
        <v>12</v>
      </c>
    </row>
    <row r="3629">
      <c r="A3629">
        <f>HYPERLINK("http://bombeiros.sp.gov.br/hidrantes/03individual/6686.html","6686")</f>
      </c>
      <c r="B3629" t="s">
        <v>623</v>
      </c>
      <c r="C3629" t="s">
        <v>777</v>
      </c>
      <c r="D3629" t="s">
        <v>778</v>
      </c>
      <c r="E3629" t="s">
        <v>15</v>
      </c>
      <c r="F3629" t="s">
        <v>11197</v>
      </c>
      <c r="G3629" t="s">
        <v>18192</v>
      </c>
      <c r="H3629" t="s">
        <v>1174</v>
      </c>
      <c r="I3629" t="s">
        <v>1117</v>
      </c>
      <c r="J3629" t="s">
        <v>11198</v>
      </c>
      <c r="K3629" t="s">
        <v>11199</v>
      </c>
      <c r="L3629" t="s">
        <v>21</v>
      </c>
      <c r="M3629" t="s">
        <v>19177</v>
      </c>
      <c r="N3629" t="s">
        <v>714</v>
      </c>
      <c r="O3629" t="s">
        <v>10263</v>
      </c>
      <c r="P3629" t="s">
        <v>12</v>
      </c>
    </row>
    <row r="3630">
      <c r="A3630">
        <f>HYPERLINK("http://bombeiros.sp.gov.br/hidrantes/03individual/16593.html","16593")</f>
      </c>
      <c r="B3630" t="s">
        <v>623</v>
      </c>
      <c r="C3630" t="s">
        <v>777</v>
      </c>
      <c r="D3630" t="s">
        <v>778</v>
      </c>
      <c r="E3630" t="s">
        <v>15</v>
      </c>
      <c r="F3630" t="s">
        <v>11200</v>
      </c>
      <c r="G3630" t="s">
        <v>18096</v>
      </c>
      <c r="H3630" t="s">
        <v>1107</v>
      </c>
      <c r="I3630" t="s">
        <v>1108</v>
      </c>
      <c r="J3630" t="s">
        <v>11201</v>
      </c>
      <c r="K3630" t="s">
        <v>11202</v>
      </c>
      <c r="L3630" t="s">
        <v>21</v>
      </c>
      <c r="M3630" t="s">
        <v>19177</v>
      </c>
      <c r="N3630" t="s">
        <v>714</v>
      </c>
      <c r="O3630" t="s">
        <v>10263</v>
      </c>
      <c r="P3630" t="s">
        <v>12</v>
      </c>
    </row>
    <row r="3631">
      <c r="A3631">
        <f>HYPERLINK("http://bombeiros.sp.gov.br/hidrantes/03individual/28050.html","28050")</f>
      </c>
      <c r="B3631" t="s">
        <v>623</v>
      </c>
      <c r="C3631" t="s">
        <v>777</v>
      </c>
      <c r="D3631" t="s">
        <v>778</v>
      </c>
      <c r="E3631" t="s">
        <v>15</v>
      </c>
      <c r="F3631" t="s">
        <v>18368</v>
      </c>
      <c r="G3631"/>
      <c r="H3631"/>
      <c r="I3631" t="s">
        <v>1503</v>
      </c>
      <c r="J3631" t="s">
        <v>18369</v>
      </c>
      <c r="K3631" t="s">
        <v>18370</v>
      </c>
      <c r="L3631" t="s">
        <v>21</v>
      </c>
      <c r="M3631" t="s">
        <v>19177</v>
      </c>
      <c r="N3631" t="s">
        <v>714</v>
      </c>
      <c r="O3631" t="s">
        <v>10263</v>
      </c>
      <c r="P3631" t="s">
        <v>12</v>
      </c>
    </row>
    <row r="3632">
      <c r="A3632">
        <f>HYPERLINK("http://bombeiros.sp.gov.br/hidrantes/03individual/28371.html","28371")</f>
      </c>
      <c r="B3632" t="s">
        <v>623</v>
      </c>
      <c r="C3632" t="s">
        <v>777</v>
      </c>
      <c r="D3632" t="s">
        <v>778</v>
      </c>
      <c r="E3632" t="s">
        <v>15</v>
      </c>
      <c r="F3632" t="s">
        <v>18641</v>
      </c>
      <c r="G3632"/>
      <c r="H3632"/>
      <c r="I3632" t="s">
        <v>1503</v>
      </c>
      <c r="J3632" t="s">
        <v>18642</v>
      </c>
      <c r="K3632" t="s">
        <v>18643</v>
      </c>
      <c r="L3632" t="s">
        <v>21</v>
      </c>
      <c r="M3632" t="s">
        <v>19177</v>
      </c>
      <c r="N3632" t="s">
        <v>714</v>
      </c>
      <c r="O3632" t="s">
        <v>10263</v>
      </c>
      <c r="P3632" t="s">
        <v>12</v>
      </c>
    </row>
    <row r="3633">
      <c r="A3633">
        <f>HYPERLINK("http://bombeiros.sp.gov.br/hidrantes/03individual/1893.html","1893")</f>
      </c>
      <c r="B3633" t="s">
        <v>623</v>
      </c>
      <c r="C3633" t="s">
        <v>777</v>
      </c>
      <c r="D3633" t="s">
        <v>783</v>
      </c>
      <c r="E3633" t="s">
        <v>64</v>
      </c>
      <c r="F3633" t="s">
        <v>11203</v>
      </c>
      <c r="G3633" t="s">
        <v>18085</v>
      </c>
      <c r="H3633" t="s">
        <v>1112</v>
      </c>
      <c r="I3633" t="s">
        <v>1108</v>
      </c>
      <c r="J3633" t="s">
        <v>11204</v>
      </c>
      <c r="K3633" t="s">
        <v>11205</v>
      </c>
      <c r="L3633" t="s">
        <v>36</v>
      </c>
      <c r="M3633" t="s">
        <v>19177</v>
      </c>
      <c r="N3633" t="s">
        <v>714</v>
      </c>
      <c r="O3633" t="s">
        <v>10263</v>
      </c>
      <c r="P3633" t="s">
        <v>12</v>
      </c>
    </row>
    <row r="3634">
      <c r="A3634">
        <f>HYPERLINK("http://bombeiros.sp.gov.br/hidrantes/03individual/1907.html","1907")</f>
      </c>
      <c r="B3634" t="s">
        <v>623</v>
      </c>
      <c r="C3634" t="s">
        <v>777</v>
      </c>
      <c r="D3634" t="s">
        <v>783</v>
      </c>
      <c r="E3634" t="s">
        <v>64</v>
      </c>
      <c r="F3634" t="s">
        <v>11206</v>
      </c>
      <c r="G3634" t="s">
        <v>18147</v>
      </c>
      <c r="H3634" t="s">
        <v>1112</v>
      </c>
      <c r="I3634" t="s">
        <v>1108</v>
      </c>
      <c r="J3634" t="s">
        <v>11207</v>
      </c>
      <c r="K3634" t="s">
        <v>11208</v>
      </c>
      <c r="L3634" t="s">
        <v>36</v>
      </c>
      <c r="M3634" t="s">
        <v>19177</v>
      </c>
      <c r="N3634" t="s">
        <v>714</v>
      </c>
      <c r="O3634" t="s">
        <v>10263</v>
      </c>
      <c r="P3634" t="s">
        <v>12</v>
      </c>
    </row>
    <row r="3635">
      <c r="A3635">
        <f>HYPERLINK("http://bombeiros.sp.gov.br/hidrantes/03individual/1917.html","1917")</f>
      </c>
      <c r="B3635" t="s">
        <v>623</v>
      </c>
      <c r="C3635" t="s">
        <v>777</v>
      </c>
      <c r="D3635" t="s">
        <v>783</v>
      </c>
      <c r="E3635" t="s">
        <v>64</v>
      </c>
      <c r="F3635" t="s">
        <v>11209</v>
      </c>
      <c r="G3635" t="s">
        <v>18085</v>
      </c>
      <c r="H3635" t="s">
        <v>1121</v>
      </c>
      <c r="I3635" t="s">
        <v>1117</v>
      </c>
      <c r="J3635" t="s">
        <v>11210</v>
      </c>
      <c r="K3635" t="s">
        <v>11211</v>
      </c>
      <c r="L3635" t="s">
        <v>36</v>
      </c>
      <c r="M3635" t="s">
        <v>19177</v>
      </c>
      <c r="N3635" t="s">
        <v>714</v>
      </c>
      <c r="O3635" t="s">
        <v>10263</v>
      </c>
      <c r="P3635" t="s">
        <v>12</v>
      </c>
    </row>
    <row r="3636">
      <c r="A3636">
        <f>HYPERLINK("http://bombeiros.sp.gov.br/hidrantes/03individual/2147.html","2147")</f>
      </c>
      <c r="B3636" t="s">
        <v>623</v>
      </c>
      <c r="C3636" t="s">
        <v>777</v>
      </c>
      <c r="D3636" t="s">
        <v>783</v>
      </c>
      <c r="E3636" t="s">
        <v>64</v>
      </c>
      <c r="F3636" t="s">
        <v>11212</v>
      </c>
      <c r="G3636" t="s">
        <v>18085</v>
      </c>
      <c r="H3636" t="s">
        <v>1112</v>
      </c>
      <c r="I3636" t="s">
        <v>1108</v>
      </c>
      <c r="J3636" t="s">
        <v>11213</v>
      </c>
      <c r="K3636" t="s">
        <v>11214</v>
      </c>
      <c r="L3636" t="s">
        <v>36</v>
      </c>
      <c r="M3636" t="s">
        <v>19177</v>
      </c>
      <c r="N3636" t="s">
        <v>714</v>
      </c>
      <c r="O3636" t="s">
        <v>10263</v>
      </c>
      <c r="P3636" t="s">
        <v>12</v>
      </c>
    </row>
    <row r="3637">
      <c r="A3637">
        <f>HYPERLINK("http://bombeiros.sp.gov.br/hidrantes/03individual/2243.html","2243")</f>
      </c>
      <c r="B3637" t="s">
        <v>623</v>
      </c>
      <c r="C3637" t="s">
        <v>777</v>
      </c>
      <c r="D3637" t="s">
        <v>783</v>
      </c>
      <c r="E3637" t="s">
        <v>64</v>
      </c>
      <c r="F3637" t="s">
        <v>11215</v>
      </c>
      <c r="G3637" t="s">
        <v>18057</v>
      </c>
      <c r="H3637" t="s">
        <v>1112</v>
      </c>
      <c r="I3637" t="s">
        <v>1108</v>
      </c>
      <c r="J3637" t="s">
        <v>11216</v>
      </c>
      <c r="K3637" t="s">
        <v>11217</v>
      </c>
      <c r="L3637" t="s">
        <v>36</v>
      </c>
      <c r="M3637" t="s">
        <v>19177</v>
      </c>
      <c r="N3637" t="s">
        <v>714</v>
      </c>
      <c r="O3637" t="s">
        <v>10263</v>
      </c>
      <c r="P3637" t="s">
        <v>12</v>
      </c>
    </row>
    <row r="3638">
      <c r="A3638">
        <f>HYPERLINK("http://bombeiros.sp.gov.br/hidrantes/03individual/2391.html","2391")</f>
      </c>
      <c r="B3638" t="s">
        <v>623</v>
      </c>
      <c r="C3638" t="s">
        <v>777</v>
      </c>
      <c r="D3638" t="s">
        <v>783</v>
      </c>
      <c r="E3638" t="s">
        <v>64</v>
      </c>
      <c r="F3638" t="s">
        <v>11218</v>
      </c>
      <c r="G3638" t="s">
        <v>18085</v>
      </c>
      <c r="H3638" t="s">
        <v>1112</v>
      </c>
      <c r="I3638" t="s">
        <v>1108</v>
      </c>
      <c r="J3638" t="s">
        <v>11219</v>
      </c>
      <c r="K3638" t="s">
        <v>11220</v>
      </c>
      <c r="L3638" t="s">
        <v>36</v>
      </c>
      <c r="M3638" t="s">
        <v>19177</v>
      </c>
      <c r="N3638" t="s">
        <v>714</v>
      </c>
      <c r="O3638" t="s">
        <v>10263</v>
      </c>
      <c r="P3638" t="s">
        <v>12</v>
      </c>
    </row>
    <row r="3639">
      <c r="A3639">
        <f>HYPERLINK("http://bombeiros.sp.gov.br/hidrantes/03individual/2403.html","2403")</f>
      </c>
      <c r="B3639" t="s">
        <v>623</v>
      </c>
      <c r="C3639" t="s">
        <v>777</v>
      </c>
      <c r="D3639" t="s">
        <v>783</v>
      </c>
      <c r="E3639" t="s">
        <v>64</v>
      </c>
      <c r="F3639" t="s">
        <v>11221</v>
      </c>
      <c r="G3639" t="s">
        <v>18095</v>
      </c>
      <c r="H3639" t="s">
        <v>1112</v>
      </c>
      <c r="I3639" t="s">
        <v>1108</v>
      </c>
      <c r="J3639" t="s">
        <v>11222</v>
      </c>
      <c r="K3639" t="s">
        <v>11223</v>
      </c>
      <c r="L3639" t="s">
        <v>36</v>
      </c>
      <c r="M3639" t="s">
        <v>19177</v>
      </c>
      <c r="N3639" t="s">
        <v>714</v>
      </c>
      <c r="O3639" t="s">
        <v>10263</v>
      </c>
      <c r="P3639" t="s">
        <v>12</v>
      </c>
    </row>
    <row r="3640">
      <c r="A3640">
        <f>HYPERLINK("http://bombeiros.sp.gov.br/hidrantes/03individual/2407.html","2407")</f>
      </c>
      <c r="B3640" t="s">
        <v>623</v>
      </c>
      <c r="C3640" t="s">
        <v>777</v>
      </c>
      <c r="D3640" t="s">
        <v>783</v>
      </c>
      <c r="E3640" t="s">
        <v>64</v>
      </c>
      <c r="F3640" t="s">
        <v>11224</v>
      </c>
      <c r="G3640" t="s">
        <v>18095</v>
      </c>
      <c r="H3640" t="s">
        <v>1112</v>
      </c>
      <c r="I3640" t="s">
        <v>1108</v>
      </c>
      <c r="J3640" t="s">
        <v>11225</v>
      </c>
      <c r="K3640" t="s">
        <v>11226</v>
      </c>
      <c r="L3640" t="s">
        <v>36</v>
      </c>
      <c r="M3640" t="s">
        <v>19177</v>
      </c>
      <c r="N3640" t="s">
        <v>714</v>
      </c>
      <c r="O3640" t="s">
        <v>10263</v>
      </c>
      <c r="P3640" t="s">
        <v>12</v>
      </c>
    </row>
    <row r="3641">
      <c r="A3641">
        <f>HYPERLINK("http://bombeiros.sp.gov.br/hidrantes/03individual/2448.html","2448")</f>
      </c>
      <c r="B3641" t="s">
        <v>623</v>
      </c>
      <c r="C3641" t="s">
        <v>777</v>
      </c>
      <c r="D3641" t="s">
        <v>783</v>
      </c>
      <c r="E3641" t="s">
        <v>64</v>
      </c>
      <c r="F3641" t="s">
        <v>11227</v>
      </c>
      <c r="G3641" t="s">
        <v>18085</v>
      </c>
      <c r="H3641" t="s">
        <v>1112</v>
      </c>
      <c r="I3641" t="s">
        <v>1108</v>
      </c>
      <c r="J3641" t="s">
        <v>11228</v>
      </c>
      <c r="K3641" t="s">
        <v>11229</v>
      </c>
      <c r="L3641" t="s">
        <v>21</v>
      </c>
      <c r="M3641" t="s">
        <v>19177</v>
      </c>
      <c r="N3641" t="s">
        <v>714</v>
      </c>
      <c r="O3641" t="s">
        <v>10263</v>
      </c>
      <c r="P3641" t="s">
        <v>12</v>
      </c>
    </row>
    <row r="3642">
      <c r="A3642">
        <f>HYPERLINK("http://bombeiros.sp.gov.br/hidrantes/03individual/2654.html","2654")</f>
      </c>
      <c r="B3642" t="s">
        <v>623</v>
      </c>
      <c r="C3642" t="s">
        <v>777</v>
      </c>
      <c r="D3642" t="s">
        <v>783</v>
      </c>
      <c r="E3642" t="s">
        <v>64</v>
      </c>
      <c r="F3642" t="s">
        <v>11230</v>
      </c>
      <c r="G3642" t="s">
        <v>18129</v>
      </c>
      <c r="H3642" t="s">
        <v>1121</v>
      </c>
      <c r="I3642" t="s">
        <v>1117</v>
      </c>
      <c r="J3642" t="s">
        <v>11231</v>
      </c>
      <c r="K3642" t="s">
        <v>11232</v>
      </c>
      <c r="L3642" t="s">
        <v>36</v>
      </c>
      <c r="M3642" t="s">
        <v>19177</v>
      </c>
      <c r="N3642" t="s">
        <v>714</v>
      </c>
      <c r="O3642" t="s">
        <v>10263</v>
      </c>
      <c r="P3642" t="s">
        <v>12</v>
      </c>
    </row>
    <row r="3643">
      <c r="A3643">
        <f>HYPERLINK("http://bombeiros.sp.gov.br/hidrantes/03individual/27067.html","27067")</f>
      </c>
      <c r="B3643" t="s">
        <v>623</v>
      </c>
      <c r="C3643" t="s">
        <v>777</v>
      </c>
      <c r="D3643" t="s">
        <v>783</v>
      </c>
      <c r="E3643" t="s">
        <v>64</v>
      </c>
      <c r="F3643" t="s">
        <v>16755</v>
      </c>
      <c r="G3643" t="s">
        <v>18085</v>
      </c>
      <c r="H3643" t="s">
        <v>1112</v>
      </c>
      <c r="I3643" t="s">
        <v>1108</v>
      </c>
      <c r="J3643" t="s">
        <v>16756</v>
      </c>
      <c r="K3643" t="s">
        <v>16757</v>
      </c>
      <c r="L3643" t="s">
        <v>21</v>
      </c>
      <c r="M3643" t="s">
        <v>19177</v>
      </c>
      <c r="N3643" t="s">
        <v>714</v>
      </c>
      <c r="O3643" t="s">
        <v>10263</v>
      </c>
      <c r="P3643" t="s">
        <v>12</v>
      </c>
    </row>
    <row r="3644">
      <c r="A3644">
        <f>HYPERLINK("http://bombeiros.sp.gov.br/hidrantes/03individual/27417.html","27417")</f>
      </c>
      <c r="B3644" t="s">
        <v>623</v>
      </c>
      <c r="C3644" t="s">
        <v>777</v>
      </c>
      <c r="D3644" t="s">
        <v>783</v>
      </c>
      <c r="E3644" t="s">
        <v>64</v>
      </c>
      <c r="F3644" t="s">
        <v>17334</v>
      </c>
      <c r="G3644" t="s">
        <v>18091</v>
      </c>
      <c r="H3644" t="s">
        <v>1121</v>
      </c>
      <c r="I3644" t="s">
        <v>1117</v>
      </c>
      <c r="J3644" t="s">
        <v>17335</v>
      </c>
      <c r="K3644" t="s">
        <v>17336</v>
      </c>
      <c r="L3644" t="s">
        <v>21</v>
      </c>
      <c r="M3644" t="s">
        <v>19177</v>
      </c>
      <c r="N3644" t="s">
        <v>714</v>
      </c>
      <c r="O3644" t="s">
        <v>10263</v>
      </c>
      <c r="P3644" t="s">
        <v>12</v>
      </c>
    </row>
    <row r="3645">
      <c r="A3645">
        <f>HYPERLINK("http://bombeiros.sp.gov.br/hidrantes/03individual/1876.html","1876")</f>
      </c>
      <c r="B3645" t="s">
        <v>623</v>
      </c>
      <c r="C3645" t="s">
        <v>777</v>
      </c>
      <c r="D3645" t="s">
        <v>783</v>
      </c>
      <c r="E3645" t="s">
        <v>15</v>
      </c>
      <c r="F3645" t="s">
        <v>11233</v>
      </c>
      <c r="G3645" t="s">
        <v>18091</v>
      </c>
      <c r="H3645" t="s">
        <v>1112</v>
      </c>
      <c r="I3645" t="s">
        <v>1108</v>
      </c>
      <c r="J3645" t="s">
        <v>11234</v>
      </c>
      <c r="K3645" t="s">
        <v>11235</v>
      </c>
      <c r="L3645" t="s">
        <v>36</v>
      </c>
      <c r="M3645" t="s">
        <v>19177</v>
      </c>
      <c r="N3645" t="s">
        <v>714</v>
      </c>
      <c r="O3645" t="s">
        <v>10263</v>
      </c>
      <c r="P3645" t="s">
        <v>12</v>
      </c>
    </row>
    <row r="3646">
      <c r="A3646">
        <f>HYPERLINK("http://bombeiros.sp.gov.br/hidrantes/03individual/1903.html","1903")</f>
      </c>
      <c r="B3646" t="s">
        <v>623</v>
      </c>
      <c r="C3646" t="s">
        <v>777</v>
      </c>
      <c r="D3646" t="s">
        <v>783</v>
      </c>
      <c r="E3646" t="s">
        <v>15</v>
      </c>
      <c r="F3646" t="s">
        <v>11236</v>
      </c>
      <c r="G3646" t="s">
        <v>18096</v>
      </c>
      <c r="H3646" t="s">
        <v>1121</v>
      </c>
      <c r="I3646" t="s">
        <v>1117</v>
      </c>
      <c r="J3646" t="s">
        <v>11237</v>
      </c>
      <c r="K3646" t="s">
        <v>11238</v>
      </c>
      <c r="L3646" t="s">
        <v>21</v>
      </c>
      <c r="M3646" t="s">
        <v>19177</v>
      </c>
      <c r="N3646" t="s">
        <v>714</v>
      </c>
      <c r="O3646" t="s">
        <v>10263</v>
      </c>
      <c r="P3646" t="s">
        <v>12</v>
      </c>
    </row>
    <row r="3647">
      <c r="A3647">
        <f>HYPERLINK("http://bombeiros.sp.gov.br/hidrantes/03individual/1911.html","1911")</f>
      </c>
      <c r="B3647" t="s">
        <v>623</v>
      </c>
      <c r="C3647" t="s">
        <v>777</v>
      </c>
      <c r="D3647" t="s">
        <v>783</v>
      </c>
      <c r="E3647" t="s">
        <v>15</v>
      </c>
      <c r="F3647" t="s">
        <v>11239</v>
      </c>
      <c r="G3647" t="s">
        <v>18147</v>
      </c>
      <c r="H3647" t="s">
        <v>1112</v>
      </c>
      <c r="I3647" t="s">
        <v>1108</v>
      </c>
      <c r="J3647" t="s">
        <v>16658</v>
      </c>
      <c r="K3647" t="s">
        <v>16659</v>
      </c>
      <c r="L3647" t="s">
        <v>21</v>
      </c>
      <c r="M3647" t="s">
        <v>19177</v>
      </c>
      <c r="N3647" t="s">
        <v>714</v>
      </c>
      <c r="O3647" t="s">
        <v>10263</v>
      </c>
      <c r="P3647" t="s">
        <v>12</v>
      </c>
    </row>
    <row r="3648">
      <c r="A3648">
        <f>HYPERLINK("http://bombeiros.sp.gov.br/hidrantes/03individual/2108.html","2108")</f>
      </c>
      <c r="B3648" t="s">
        <v>623</v>
      </c>
      <c r="C3648" t="s">
        <v>777</v>
      </c>
      <c r="D3648" t="s">
        <v>783</v>
      </c>
      <c r="E3648" t="s">
        <v>15</v>
      </c>
      <c r="F3648" t="s">
        <v>11242</v>
      </c>
      <c r="G3648" t="s">
        <v>18105</v>
      </c>
      <c r="H3648" t="s">
        <v>1121</v>
      </c>
      <c r="I3648" t="s">
        <v>1117</v>
      </c>
      <c r="J3648" t="s">
        <v>16527</v>
      </c>
      <c r="K3648" t="s">
        <v>16528</v>
      </c>
      <c r="L3648" t="s">
        <v>21</v>
      </c>
      <c r="M3648" t="s">
        <v>19177</v>
      </c>
      <c r="N3648" t="s">
        <v>714</v>
      </c>
      <c r="O3648" t="s">
        <v>10263</v>
      </c>
      <c r="P3648" t="s">
        <v>12</v>
      </c>
    </row>
    <row r="3649">
      <c r="A3649">
        <f>HYPERLINK("http://bombeiros.sp.gov.br/hidrantes/03individual/2240.html","2240")</f>
      </c>
      <c r="B3649" t="s">
        <v>623</v>
      </c>
      <c r="C3649" t="s">
        <v>777</v>
      </c>
      <c r="D3649" t="s">
        <v>783</v>
      </c>
      <c r="E3649" t="s">
        <v>15</v>
      </c>
      <c r="F3649" t="s">
        <v>11245</v>
      </c>
      <c r="G3649" t="s">
        <v>18096</v>
      </c>
      <c r="H3649" t="s">
        <v>1121</v>
      </c>
      <c r="I3649" t="s">
        <v>1117</v>
      </c>
      <c r="J3649" t="s">
        <v>11246</v>
      </c>
      <c r="K3649" t="s">
        <v>11247</v>
      </c>
      <c r="L3649" t="s">
        <v>21</v>
      </c>
      <c r="M3649" t="s">
        <v>19177</v>
      </c>
      <c r="N3649" t="s">
        <v>714</v>
      </c>
      <c r="O3649" t="s">
        <v>10263</v>
      </c>
      <c r="P3649" t="s">
        <v>12</v>
      </c>
    </row>
    <row r="3650">
      <c r="A3650">
        <f>HYPERLINK("http://bombeiros.sp.gov.br/hidrantes/03individual/2268.html","2268")</f>
      </c>
      <c r="B3650" t="s">
        <v>623</v>
      </c>
      <c r="C3650" t="s">
        <v>777</v>
      </c>
      <c r="D3650" t="s">
        <v>783</v>
      </c>
      <c r="E3650" t="s">
        <v>15</v>
      </c>
      <c r="F3650" t="s">
        <v>11248</v>
      </c>
      <c r="G3650" t="s">
        <v>18096</v>
      </c>
      <c r="H3650" t="s">
        <v>1107</v>
      </c>
      <c r="I3650" t="s">
        <v>1108</v>
      </c>
      <c r="J3650" t="s">
        <v>11249</v>
      </c>
      <c r="K3650" t="s">
        <v>11250</v>
      </c>
      <c r="L3650" t="s">
        <v>21</v>
      </c>
      <c r="M3650" t="s">
        <v>19177</v>
      </c>
      <c r="N3650" t="s">
        <v>714</v>
      </c>
      <c r="O3650" t="s">
        <v>10263</v>
      </c>
      <c r="P3650" t="s">
        <v>12</v>
      </c>
    </row>
    <row r="3651">
      <c r="A3651">
        <f>HYPERLINK("http://bombeiros.sp.gov.br/hidrantes/03individual/2285.html","2285")</f>
      </c>
      <c r="B3651" t="s">
        <v>623</v>
      </c>
      <c r="C3651" t="s">
        <v>777</v>
      </c>
      <c r="D3651" t="s">
        <v>783</v>
      </c>
      <c r="E3651" t="s">
        <v>15</v>
      </c>
      <c r="F3651" t="s">
        <v>11251</v>
      </c>
      <c r="G3651" t="s">
        <v>18084</v>
      </c>
      <c r="H3651" t="s">
        <v>1174</v>
      </c>
      <c r="I3651" t="s">
        <v>1117</v>
      </c>
      <c r="J3651" t="s">
        <v>11252</v>
      </c>
      <c r="K3651" t="s">
        <v>11253</v>
      </c>
      <c r="L3651" t="s">
        <v>21</v>
      </c>
      <c r="M3651" t="s">
        <v>19177</v>
      </c>
      <c r="N3651" t="s">
        <v>714</v>
      </c>
      <c r="O3651" t="s">
        <v>10263</v>
      </c>
      <c r="P3651" t="s">
        <v>12</v>
      </c>
    </row>
    <row r="3652">
      <c r="A3652">
        <f>HYPERLINK("http://bombeiros.sp.gov.br/hidrantes/03individual/2287.html","2287")</f>
      </c>
      <c r="B3652" t="s">
        <v>623</v>
      </c>
      <c r="C3652" t="s">
        <v>777</v>
      </c>
      <c r="D3652" t="s">
        <v>783</v>
      </c>
      <c r="E3652" t="s">
        <v>15</v>
      </c>
      <c r="F3652" t="s">
        <v>11254</v>
      </c>
      <c r="G3652" t="s">
        <v>18096</v>
      </c>
      <c r="H3652" t="s">
        <v>1174</v>
      </c>
      <c r="I3652" t="s">
        <v>1117</v>
      </c>
      <c r="J3652" t="s">
        <v>11255</v>
      </c>
      <c r="K3652" t="s">
        <v>11256</v>
      </c>
      <c r="L3652" t="s">
        <v>21</v>
      </c>
      <c r="M3652" t="s">
        <v>19177</v>
      </c>
      <c r="N3652" t="s">
        <v>714</v>
      </c>
      <c r="O3652" t="s">
        <v>10263</v>
      </c>
      <c r="P3652" t="s">
        <v>12</v>
      </c>
    </row>
    <row r="3653">
      <c r="A3653">
        <f>HYPERLINK("http://bombeiros.sp.gov.br/hidrantes/03individual/2401.html","2401")</f>
      </c>
      <c r="B3653" t="s">
        <v>623</v>
      </c>
      <c r="C3653" t="s">
        <v>777</v>
      </c>
      <c r="D3653" t="s">
        <v>783</v>
      </c>
      <c r="E3653" t="s">
        <v>15</v>
      </c>
      <c r="F3653" t="s">
        <v>784</v>
      </c>
      <c r="G3653" t="s">
        <v>18085</v>
      </c>
      <c r="H3653"/>
      <c r="I3653" t="s">
        <v>18</v>
      </c>
      <c r="J3653" t="s">
        <v>785</v>
      </c>
      <c r="K3653" t="s">
        <v>786</v>
      </c>
      <c r="L3653" t="s">
        <v>21</v>
      </c>
      <c r="M3653" t="s">
        <v>19177</v>
      </c>
      <c r="N3653" t="s">
        <v>714</v>
      </c>
      <c r="O3653" t="s">
        <v>10263</v>
      </c>
      <c r="P3653" t="s">
        <v>12</v>
      </c>
    </row>
    <row r="3654">
      <c r="A3654">
        <f>HYPERLINK("http://bombeiros.sp.gov.br/hidrantes/03individual/2443.html","2443")</f>
      </c>
      <c r="B3654" t="s">
        <v>623</v>
      </c>
      <c r="C3654" t="s">
        <v>777</v>
      </c>
      <c r="D3654" t="s">
        <v>783</v>
      </c>
      <c r="E3654" t="s">
        <v>15</v>
      </c>
      <c r="F3654" t="s">
        <v>11257</v>
      </c>
      <c r="G3654" t="s">
        <v>18095</v>
      </c>
      <c r="H3654" t="s">
        <v>1112</v>
      </c>
      <c r="I3654" t="s">
        <v>1108</v>
      </c>
      <c r="J3654" t="s">
        <v>11258</v>
      </c>
      <c r="K3654" t="s">
        <v>11259</v>
      </c>
      <c r="L3654" t="s">
        <v>36</v>
      </c>
      <c r="M3654" t="s">
        <v>19177</v>
      </c>
      <c r="N3654" t="s">
        <v>714</v>
      </c>
      <c r="O3654" t="s">
        <v>10263</v>
      </c>
      <c r="P3654" t="s">
        <v>12</v>
      </c>
    </row>
    <row r="3655">
      <c r="A3655">
        <f>HYPERLINK("http://bombeiros.sp.gov.br/hidrantes/03individual/2444.html","2444")</f>
      </c>
      <c r="B3655" t="s">
        <v>623</v>
      </c>
      <c r="C3655" t="s">
        <v>777</v>
      </c>
      <c r="D3655" t="s">
        <v>783</v>
      </c>
      <c r="E3655" t="s">
        <v>15</v>
      </c>
      <c r="F3655" t="s">
        <v>11260</v>
      </c>
      <c r="G3655" t="s">
        <v>18085</v>
      </c>
      <c r="H3655" t="s">
        <v>1112</v>
      </c>
      <c r="I3655" t="s">
        <v>1108</v>
      </c>
      <c r="J3655" t="s">
        <v>11261</v>
      </c>
      <c r="K3655" t="s">
        <v>11262</v>
      </c>
      <c r="L3655" t="s">
        <v>21</v>
      </c>
      <c r="M3655" t="s">
        <v>19177</v>
      </c>
      <c r="N3655" t="s">
        <v>714</v>
      </c>
      <c r="O3655" t="s">
        <v>10263</v>
      </c>
      <c r="P3655" t="s">
        <v>12</v>
      </c>
    </row>
    <row r="3656">
      <c r="A3656">
        <f>HYPERLINK("http://bombeiros.sp.gov.br/hidrantes/03individual/4264.html","4264")</f>
      </c>
      <c r="B3656" t="s">
        <v>623</v>
      </c>
      <c r="C3656" t="s">
        <v>777</v>
      </c>
      <c r="D3656" t="s">
        <v>783</v>
      </c>
      <c r="E3656" t="s">
        <v>15</v>
      </c>
      <c r="F3656" t="s">
        <v>11263</v>
      </c>
      <c r="G3656" t="s">
        <v>18085</v>
      </c>
      <c r="H3656" t="s">
        <v>1112</v>
      </c>
      <c r="I3656" t="s">
        <v>1108</v>
      </c>
      <c r="J3656" t="s">
        <v>11264</v>
      </c>
      <c r="K3656" t="s">
        <v>11265</v>
      </c>
      <c r="L3656" t="s">
        <v>36</v>
      </c>
      <c r="M3656" t="s">
        <v>19177</v>
      </c>
      <c r="N3656" t="s">
        <v>714</v>
      </c>
      <c r="O3656" t="s">
        <v>10263</v>
      </c>
      <c r="P3656" t="s">
        <v>12</v>
      </c>
    </row>
    <row r="3657">
      <c r="A3657">
        <f>HYPERLINK("http://bombeiros.sp.gov.br/hidrantes/03individual/1831.html","1831")</f>
      </c>
      <c r="B3657" t="s">
        <v>623</v>
      </c>
      <c r="C3657" t="s">
        <v>777</v>
      </c>
      <c r="D3657" t="s">
        <v>10263</v>
      </c>
      <c r="E3657" t="s">
        <v>15</v>
      </c>
      <c r="F3657" t="s">
        <v>11269</v>
      </c>
      <c r="G3657" t="s">
        <v>17948</v>
      </c>
      <c r="H3657" t="s">
        <v>1121</v>
      </c>
      <c r="I3657" t="s">
        <v>1117</v>
      </c>
      <c r="J3657" t="s">
        <v>11270</v>
      </c>
      <c r="K3657" t="s">
        <v>11271</v>
      </c>
      <c r="L3657" t="s">
        <v>21</v>
      </c>
      <c r="M3657" t="s">
        <v>19177</v>
      </c>
      <c r="N3657" t="s">
        <v>714</v>
      </c>
      <c r="O3657" t="s">
        <v>10263</v>
      </c>
      <c r="P3657" t="s">
        <v>12</v>
      </c>
    </row>
    <row r="3658">
      <c r="A3658">
        <f>HYPERLINK("http://bombeiros.sp.gov.br/hidrantes/03individual/1800.html","1800")</f>
      </c>
      <c r="B3658" t="s">
        <v>623</v>
      </c>
      <c r="C3658" t="s">
        <v>777</v>
      </c>
      <c r="D3658" t="s">
        <v>777</v>
      </c>
      <c r="E3658" t="s">
        <v>64</v>
      </c>
      <c r="F3658" t="s">
        <v>11272</v>
      </c>
      <c r="G3658" t="s">
        <v>18129</v>
      </c>
      <c r="H3658" t="s">
        <v>1112</v>
      </c>
      <c r="I3658" t="s">
        <v>1108</v>
      </c>
      <c r="J3658" t="s">
        <v>11273</v>
      </c>
      <c r="K3658" t="s">
        <v>11274</v>
      </c>
      <c r="L3658" t="s">
        <v>21</v>
      </c>
      <c r="M3658" t="s">
        <v>19177</v>
      </c>
      <c r="N3658" t="s">
        <v>714</v>
      </c>
      <c r="O3658" t="s">
        <v>10263</v>
      </c>
      <c r="P3658" t="s">
        <v>12</v>
      </c>
    </row>
    <row r="3659">
      <c r="A3659">
        <f>HYPERLINK("http://bombeiros.sp.gov.br/hidrantes/03individual/1804.html","1804")</f>
      </c>
      <c r="B3659" t="s">
        <v>623</v>
      </c>
      <c r="C3659" t="s">
        <v>777</v>
      </c>
      <c r="D3659" t="s">
        <v>777</v>
      </c>
      <c r="E3659" t="s">
        <v>64</v>
      </c>
      <c r="F3659" t="s">
        <v>11275</v>
      </c>
      <c r="G3659" t="s">
        <v>18095</v>
      </c>
      <c r="H3659" t="s">
        <v>1112</v>
      </c>
      <c r="I3659" t="s">
        <v>1108</v>
      </c>
      <c r="J3659" t="s">
        <v>11276</v>
      </c>
      <c r="K3659" t="s">
        <v>11277</v>
      </c>
      <c r="L3659" t="s">
        <v>21</v>
      </c>
      <c r="M3659" t="s">
        <v>19177</v>
      </c>
      <c r="N3659" t="s">
        <v>714</v>
      </c>
      <c r="O3659" t="s">
        <v>10263</v>
      </c>
      <c r="P3659" t="s">
        <v>12</v>
      </c>
    </row>
    <row r="3660">
      <c r="A3660">
        <f>HYPERLINK("http://bombeiros.sp.gov.br/hidrantes/03individual/2153.html","2153")</f>
      </c>
      <c r="B3660" t="s">
        <v>623</v>
      </c>
      <c r="C3660" t="s">
        <v>777</v>
      </c>
      <c r="D3660" t="s">
        <v>777</v>
      </c>
      <c r="E3660" t="s">
        <v>64</v>
      </c>
      <c r="F3660" t="s">
        <v>11278</v>
      </c>
      <c r="G3660" t="s">
        <v>18145</v>
      </c>
      <c r="H3660" t="s">
        <v>1107</v>
      </c>
      <c r="I3660" t="s">
        <v>1108</v>
      </c>
      <c r="J3660" t="s">
        <v>11279</v>
      </c>
      <c r="K3660" t="s">
        <v>11280</v>
      </c>
      <c r="L3660" t="s">
        <v>36</v>
      </c>
      <c r="M3660" t="s">
        <v>19177</v>
      </c>
      <c r="N3660" t="s">
        <v>714</v>
      </c>
      <c r="O3660" t="s">
        <v>10263</v>
      </c>
      <c r="P3660" t="s">
        <v>12</v>
      </c>
    </row>
    <row r="3661">
      <c r="A3661">
        <f>HYPERLINK("http://bombeiros.sp.gov.br/hidrantes/03individual/2377.html","2377")</f>
      </c>
      <c r="B3661" t="s">
        <v>623</v>
      </c>
      <c r="C3661" t="s">
        <v>777</v>
      </c>
      <c r="D3661" t="s">
        <v>777</v>
      </c>
      <c r="E3661" t="s">
        <v>64</v>
      </c>
      <c r="F3661" t="s">
        <v>11281</v>
      </c>
      <c r="G3661" t="s">
        <v>18107</v>
      </c>
      <c r="H3661" t="s">
        <v>1112</v>
      </c>
      <c r="I3661" t="s">
        <v>1108</v>
      </c>
      <c r="J3661" t="s">
        <v>11282</v>
      </c>
      <c r="K3661" t="s">
        <v>11283</v>
      </c>
      <c r="L3661" t="s">
        <v>36</v>
      </c>
      <c r="M3661" t="s">
        <v>19177</v>
      </c>
      <c r="N3661" t="s">
        <v>714</v>
      </c>
      <c r="O3661" t="s">
        <v>10263</v>
      </c>
      <c r="P3661" t="s">
        <v>12</v>
      </c>
    </row>
    <row r="3662">
      <c r="A3662">
        <f>HYPERLINK("http://bombeiros.sp.gov.br/hidrantes/03individual/2381.html","2381")</f>
      </c>
      <c r="B3662" t="s">
        <v>623</v>
      </c>
      <c r="C3662" t="s">
        <v>777</v>
      </c>
      <c r="D3662" t="s">
        <v>777</v>
      </c>
      <c r="E3662" t="s">
        <v>64</v>
      </c>
      <c r="F3662" t="s">
        <v>11284</v>
      </c>
      <c r="G3662" t="s">
        <v>18094</v>
      </c>
      <c r="H3662" t="s">
        <v>1112</v>
      </c>
      <c r="I3662" t="s">
        <v>1108</v>
      </c>
      <c r="J3662" t="s">
        <v>11285</v>
      </c>
      <c r="K3662" t="s">
        <v>11286</v>
      </c>
      <c r="L3662" t="s">
        <v>21</v>
      </c>
      <c r="M3662" t="s">
        <v>19177</v>
      </c>
      <c r="N3662" t="s">
        <v>714</v>
      </c>
      <c r="O3662" t="s">
        <v>10263</v>
      </c>
      <c r="P3662" t="s">
        <v>12</v>
      </c>
    </row>
    <row r="3663">
      <c r="A3663">
        <f>HYPERLINK("http://bombeiros.sp.gov.br/hidrantes/03individual/2825.html","2825")</f>
      </c>
      <c r="B3663" t="s">
        <v>623</v>
      </c>
      <c r="C3663" t="s">
        <v>777</v>
      </c>
      <c r="D3663" t="s">
        <v>777</v>
      </c>
      <c r="E3663" t="s">
        <v>64</v>
      </c>
      <c r="F3663" t="s">
        <v>11287</v>
      </c>
      <c r="G3663" t="s">
        <v>18107</v>
      </c>
      <c r="H3663" t="s">
        <v>1112</v>
      </c>
      <c r="I3663" t="s">
        <v>1108</v>
      </c>
      <c r="J3663" t="s">
        <v>11288</v>
      </c>
      <c r="K3663" t="s">
        <v>11289</v>
      </c>
      <c r="L3663" t="s">
        <v>36</v>
      </c>
      <c r="M3663" t="s">
        <v>19177</v>
      </c>
      <c r="N3663" t="s">
        <v>714</v>
      </c>
      <c r="O3663" t="s">
        <v>10263</v>
      </c>
      <c r="P3663" t="s">
        <v>12</v>
      </c>
    </row>
    <row r="3664">
      <c r="A3664">
        <f>HYPERLINK("http://bombeiros.sp.gov.br/hidrantes/03individual/4266.html","4266")</f>
      </c>
      <c r="B3664" t="s">
        <v>623</v>
      </c>
      <c r="C3664" t="s">
        <v>777</v>
      </c>
      <c r="D3664" t="s">
        <v>777</v>
      </c>
      <c r="E3664" t="s">
        <v>64</v>
      </c>
      <c r="F3664" t="s">
        <v>11290</v>
      </c>
      <c r="G3664" t="s">
        <v>18115</v>
      </c>
      <c r="H3664" t="s">
        <v>1112</v>
      </c>
      <c r="I3664" t="s">
        <v>1108</v>
      </c>
      <c r="J3664" t="s">
        <v>18963</v>
      </c>
      <c r="K3664" t="s">
        <v>18964</v>
      </c>
      <c r="L3664" t="s">
        <v>21</v>
      </c>
      <c r="M3664" t="s">
        <v>19177</v>
      </c>
      <c r="N3664" t="s">
        <v>714</v>
      </c>
      <c r="O3664" t="s">
        <v>10263</v>
      </c>
      <c r="P3664" t="s">
        <v>12</v>
      </c>
    </row>
    <row r="3665">
      <c r="A3665">
        <f>HYPERLINK("http://bombeiros.sp.gov.br/hidrantes/03individual/1813.html","1813")</f>
      </c>
      <c r="B3665" t="s">
        <v>623</v>
      </c>
      <c r="C3665" t="s">
        <v>777</v>
      </c>
      <c r="D3665" t="s">
        <v>777</v>
      </c>
      <c r="E3665" t="s">
        <v>15</v>
      </c>
      <c r="F3665" t="s">
        <v>11293</v>
      </c>
      <c r="G3665" t="s">
        <v>18091</v>
      </c>
      <c r="H3665" t="s">
        <v>1107</v>
      </c>
      <c r="I3665" t="s">
        <v>1108</v>
      </c>
      <c r="J3665" t="s">
        <v>11294</v>
      </c>
      <c r="K3665" t="s">
        <v>11295</v>
      </c>
      <c r="L3665" t="s">
        <v>21</v>
      </c>
      <c r="M3665" t="s">
        <v>19177</v>
      </c>
      <c r="N3665" t="s">
        <v>714</v>
      </c>
      <c r="O3665" t="s">
        <v>10263</v>
      </c>
      <c r="P3665" t="s">
        <v>12</v>
      </c>
    </row>
    <row r="3666">
      <c r="A3666">
        <f>HYPERLINK("http://bombeiros.sp.gov.br/hidrantes/03individual/1886.html","1886")</f>
      </c>
      <c r="B3666" t="s">
        <v>623</v>
      </c>
      <c r="C3666" t="s">
        <v>777</v>
      </c>
      <c r="D3666" t="s">
        <v>777</v>
      </c>
      <c r="E3666" t="s">
        <v>15</v>
      </c>
      <c r="F3666" t="s">
        <v>11296</v>
      </c>
      <c r="G3666" t="s">
        <v>18105</v>
      </c>
      <c r="H3666" t="s">
        <v>1121</v>
      </c>
      <c r="I3666" t="s">
        <v>1117</v>
      </c>
      <c r="J3666" t="s">
        <v>11298</v>
      </c>
      <c r="K3666" t="s">
        <v>11299</v>
      </c>
      <c r="L3666" t="s">
        <v>21</v>
      </c>
      <c r="M3666" t="s">
        <v>19177</v>
      </c>
      <c r="N3666" t="s">
        <v>714</v>
      </c>
      <c r="O3666" t="s">
        <v>10263</v>
      </c>
      <c r="P3666" t="s">
        <v>12</v>
      </c>
    </row>
    <row r="3667">
      <c r="A3667">
        <f>HYPERLINK("http://bombeiros.sp.gov.br/hidrantes/03individual/2160.html","2160")</f>
      </c>
      <c r="B3667" t="s">
        <v>623</v>
      </c>
      <c r="C3667" t="s">
        <v>777</v>
      </c>
      <c r="D3667" t="s">
        <v>777</v>
      </c>
      <c r="E3667" t="s">
        <v>15</v>
      </c>
      <c r="F3667" t="s">
        <v>11303</v>
      </c>
      <c r="G3667" t="s">
        <v>18129</v>
      </c>
      <c r="H3667" t="s">
        <v>1121</v>
      </c>
      <c r="I3667" t="s">
        <v>1117</v>
      </c>
      <c r="J3667" t="s">
        <v>11304</v>
      </c>
      <c r="K3667" t="s">
        <v>11305</v>
      </c>
      <c r="L3667" t="s">
        <v>21</v>
      </c>
      <c r="M3667" t="s">
        <v>19177</v>
      </c>
      <c r="N3667" t="s">
        <v>714</v>
      </c>
      <c r="O3667" t="s">
        <v>10263</v>
      </c>
      <c r="P3667" t="s">
        <v>12</v>
      </c>
    </row>
    <row r="3668">
      <c r="A3668">
        <f>HYPERLINK("http://bombeiros.sp.gov.br/hidrantes/03individual/4242.html","4242")</f>
      </c>
      <c r="B3668" t="s">
        <v>623</v>
      </c>
      <c r="C3668" t="s">
        <v>777</v>
      </c>
      <c r="D3668" t="s">
        <v>777</v>
      </c>
      <c r="E3668" t="s">
        <v>15</v>
      </c>
      <c r="F3668" t="s">
        <v>11306</v>
      </c>
      <c r="G3668" t="s">
        <v>18107</v>
      </c>
      <c r="H3668" t="s">
        <v>1121</v>
      </c>
      <c r="I3668" t="s">
        <v>1117</v>
      </c>
      <c r="J3668" t="s">
        <v>11307</v>
      </c>
      <c r="K3668" t="s">
        <v>11308</v>
      </c>
      <c r="L3668" t="s">
        <v>21</v>
      </c>
      <c r="M3668" t="s">
        <v>19177</v>
      </c>
      <c r="N3668" t="s">
        <v>714</v>
      </c>
      <c r="O3668" t="s">
        <v>10263</v>
      </c>
      <c r="P3668" t="s">
        <v>12</v>
      </c>
    </row>
    <row r="3669">
      <c r="A3669">
        <f>HYPERLINK("http://bombeiros.sp.gov.br/hidrantes/03individual/4262.html","4262")</f>
      </c>
      <c r="B3669" t="s">
        <v>623</v>
      </c>
      <c r="C3669" t="s">
        <v>777</v>
      </c>
      <c r="D3669" t="s">
        <v>777</v>
      </c>
      <c r="E3669" t="s">
        <v>15</v>
      </c>
      <c r="F3669" t="s">
        <v>11309</v>
      </c>
      <c r="G3669" t="s">
        <v>18192</v>
      </c>
      <c r="H3669" t="s">
        <v>1112</v>
      </c>
      <c r="I3669" t="s">
        <v>1108</v>
      </c>
      <c r="J3669" t="s">
        <v>11310</v>
      </c>
      <c r="K3669" t="s">
        <v>11311</v>
      </c>
      <c r="L3669" t="s">
        <v>21</v>
      </c>
      <c r="M3669" t="s">
        <v>19177</v>
      </c>
      <c r="N3669" t="s">
        <v>714</v>
      </c>
      <c r="O3669" t="s">
        <v>10263</v>
      </c>
      <c r="P3669" t="s">
        <v>12</v>
      </c>
    </row>
    <row r="3670">
      <c r="A3670">
        <f>HYPERLINK("http://bombeiros.sp.gov.br/hidrantes/03individual/4263.html","4263")</f>
      </c>
      <c r="B3670" t="s">
        <v>623</v>
      </c>
      <c r="C3670" t="s">
        <v>777</v>
      </c>
      <c r="D3670" t="s">
        <v>777</v>
      </c>
      <c r="E3670" t="s">
        <v>15</v>
      </c>
      <c r="F3670" t="s">
        <v>11312</v>
      </c>
      <c r="G3670" t="s">
        <v>18091</v>
      </c>
      <c r="H3670" t="s">
        <v>1174</v>
      </c>
      <c r="I3670" t="s">
        <v>1117</v>
      </c>
      <c r="J3670" t="s">
        <v>17187</v>
      </c>
      <c r="K3670" t="s">
        <v>17188</v>
      </c>
      <c r="L3670" t="s">
        <v>21</v>
      </c>
      <c r="M3670" t="s">
        <v>19177</v>
      </c>
      <c r="N3670" t="s">
        <v>714</v>
      </c>
      <c r="O3670" t="s">
        <v>10263</v>
      </c>
      <c r="P3670" t="s">
        <v>12</v>
      </c>
    </row>
    <row r="3671">
      <c r="A3671">
        <f>HYPERLINK("http://bombeiros.sp.gov.br/hidrantes/03individual/16544.html","16544")</f>
      </c>
      <c r="B3671" t="s">
        <v>623</v>
      </c>
      <c r="C3671" t="s">
        <v>777</v>
      </c>
      <c r="D3671" t="s">
        <v>777</v>
      </c>
      <c r="E3671" t="s">
        <v>15</v>
      </c>
      <c r="F3671" t="s">
        <v>11315</v>
      </c>
      <c r="G3671" t="s">
        <v>18091</v>
      </c>
      <c r="H3671" t="s">
        <v>1107</v>
      </c>
      <c r="I3671" t="s">
        <v>1108</v>
      </c>
      <c r="J3671" t="s">
        <v>11316</v>
      </c>
      <c r="K3671" t="s">
        <v>11317</v>
      </c>
      <c r="L3671" t="s">
        <v>21</v>
      </c>
      <c r="M3671" t="s">
        <v>19177</v>
      </c>
      <c r="N3671" t="s">
        <v>714</v>
      </c>
      <c r="O3671" t="s">
        <v>10263</v>
      </c>
      <c r="P3671" t="s">
        <v>12</v>
      </c>
    </row>
    <row r="3672">
      <c r="A3672">
        <f>HYPERLINK("http://bombeiros.sp.gov.br/hidrantes/03individual/17753.html","17753")</f>
      </c>
      <c r="B3672" t="s">
        <v>623</v>
      </c>
      <c r="C3672" t="s">
        <v>777</v>
      </c>
      <c r="D3672" t="s">
        <v>777</v>
      </c>
      <c r="E3672" t="s">
        <v>15</v>
      </c>
      <c r="F3672" t="s">
        <v>11318</v>
      </c>
      <c r="G3672" t="s">
        <v>18192</v>
      </c>
      <c r="H3672" t="s">
        <v>1107</v>
      </c>
      <c r="I3672" t="s">
        <v>1108</v>
      </c>
      <c r="J3672" t="s">
        <v>11319</v>
      </c>
      <c r="K3672" t="s">
        <v>11320</v>
      </c>
      <c r="L3672" t="s">
        <v>21</v>
      </c>
      <c r="M3672" t="s">
        <v>19177</v>
      </c>
      <c r="N3672" t="s">
        <v>714</v>
      </c>
      <c r="O3672" t="s">
        <v>10263</v>
      </c>
      <c r="P3672" t="s">
        <v>12</v>
      </c>
    </row>
    <row r="3673">
      <c r="A3673">
        <f>HYPERLINK("http://bombeiros.sp.gov.br/hidrantes/03individual/2141.html","2141")</f>
      </c>
      <c r="B3673" t="s">
        <v>623</v>
      </c>
      <c r="C3673" t="s">
        <v>777</v>
      </c>
      <c r="D3673" t="s">
        <v>793</v>
      </c>
      <c r="E3673" t="s">
        <v>15</v>
      </c>
      <c r="F3673" t="s">
        <v>11321</v>
      </c>
      <c r="G3673" t="s">
        <v>18085</v>
      </c>
      <c r="H3673" t="s">
        <v>1107</v>
      </c>
      <c r="I3673" t="s">
        <v>1108</v>
      </c>
      <c r="J3673" t="s">
        <v>11322</v>
      </c>
      <c r="K3673" t="s">
        <v>11323</v>
      </c>
      <c r="L3673" t="s">
        <v>21</v>
      </c>
      <c r="M3673" t="s">
        <v>19177</v>
      </c>
      <c r="N3673" t="s">
        <v>714</v>
      </c>
      <c r="O3673" t="s">
        <v>10263</v>
      </c>
      <c r="P3673" t="s">
        <v>12</v>
      </c>
    </row>
    <row r="3674">
      <c r="A3674">
        <f>HYPERLINK("http://bombeiros.sp.gov.br/hidrantes/03individual/2152.html","2152")</f>
      </c>
      <c r="B3674" t="s">
        <v>623</v>
      </c>
      <c r="C3674" t="s">
        <v>777</v>
      </c>
      <c r="D3674" t="s">
        <v>793</v>
      </c>
      <c r="E3674" t="s">
        <v>15</v>
      </c>
      <c r="F3674" t="s">
        <v>11324</v>
      </c>
      <c r="G3674" t="s">
        <v>18115</v>
      </c>
      <c r="H3674" t="s">
        <v>1121</v>
      </c>
      <c r="I3674" t="s">
        <v>1117</v>
      </c>
      <c r="J3674" t="s">
        <v>15891</v>
      </c>
      <c r="K3674" t="s">
        <v>15892</v>
      </c>
      <c r="L3674" t="s">
        <v>21</v>
      </c>
      <c r="M3674" t="s">
        <v>19177</v>
      </c>
      <c r="N3674" t="s">
        <v>714</v>
      </c>
      <c r="O3674" t="s">
        <v>10263</v>
      </c>
      <c r="P3674" t="s">
        <v>12</v>
      </c>
    </row>
    <row r="3675">
      <c r="A3675">
        <f>HYPERLINK("http://bombeiros.sp.gov.br/hidrantes/03individual/2157.html","2157")</f>
      </c>
      <c r="B3675" t="s">
        <v>623</v>
      </c>
      <c r="C3675" t="s">
        <v>777</v>
      </c>
      <c r="D3675" t="s">
        <v>793</v>
      </c>
      <c r="E3675" t="s">
        <v>15</v>
      </c>
      <c r="F3675" t="s">
        <v>11327</v>
      </c>
      <c r="G3675" t="s">
        <v>18084</v>
      </c>
      <c r="H3675" t="s">
        <v>1112</v>
      </c>
      <c r="I3675" t="s">
        <v>1108</v>
      </c>
      <c r="J3675" t="s">
        <v>11328</v>
      </c>
      <c r="K3675" t="s">
        <v>11329</v>
      </c>
      <c r="L3675" t="s">
        <v>21</v>
      </c>
      <c r="M3675" t="s">
        <v>19177</v>
      </c>
      <c r="N3675" t="s">
        <v>714</v>
      </c>
      <c r="O3675" t="s">
        <v>10263</v>
      </c>
      <c r="P3675" t="s">
        <v>12</v>
      </c>
    </row>
    <row r="3676">
      <c r="A3676">
        <f>HYPERLINK("http://bombeiros.sp.gov.br/hidrantes/03individual/2229.html","2229")</f>
      </c>
      <c r="B3676" t="s">
        <v>623</v>
      </c>
      <c r="C3676" t="s">
        <v>777</v>
      </c>
      <c r="D3676" t="s">
        <v>793</v>
      </c>
      <c r="E3676" t="s">
        <v>15</v>
      </c>
      <c r="F3676" t="s">
        <v>11330</v>
      </c>
      <c r="G3676" t="s">
        <v>18085</v>
      </c>
      <c r="H3676" t="s">
        <v>1121</v>
      </c>
      <c r="I3676" t="s">
        <v>1117</v>
      </c>
      <c r="J3676" t="s">
        <v>11331</v>
      </c>
      <c r="K3676" t="s">
        <v>11332</v>
      </c>
      <c r="L3676" t="s">
        <v>21</v>
      </c>
      <c r="M3676" t="s">
        <v>19177</v>
      </c>
      <c r="N3676" t="s">
        <v>714</v>
      </c>
      <c r="O3676" t="s">
        <v>10263</v>
      </c>
      <c r="P3676" t="s">
        <v>12</v>
      </c>
    </row>
    <row r="3677">
      <c r="A3677">
        <f>HYPERLINK("http://bombeiros.sp.gov.br/hidrantes/03individual/2242.html","2242")</f>
      </c>
      <c r="B3677" t="s">
        <v>623</v>
      </c>
      <c r="C3677" t="s">
        <v>777</v>
      </c>
      <c r="D3677" t="s">
        <v>793</v>
      </c>
      <c r="E3677" t="s">
        <v>15</v>
      </c>
      <c r="F3677" t="s">
        <v>11333</v>
      </c>
      <c r="G3677" t="s">
        <v>18085</v>
      </c>
      <c r="H3677" t="s">
        <v>1107</v>
      </c>
      <c r="I3677" t="s">
        <v>1108</v>
      </c>
      <c r="J3677" t="s">
        <v>11334</v>
      </c>
      <c r="K3677" t="s">
        <v>11335</v>
      </c>
      <c r="L3677" t="s">
        <v>21</v>
      </c>
      <c r="M3677" t="s">
        <v>19177</v>
      </c>
      <c r="N3677" t="s">
        <v>714</v>
      </c>
      <c r="O3677" t="s">
        <v>10263</v>
      </c>
      <c r="P3677" t="s">
        <v>12</v>
      </c>
    </row>
    <row r="3678">
      <c r="A3678">
        <f>HYPERLINK("http://bombeiros.sp.gov.br/hidrantes/03individual/2282.html","2282")</f>
      </c>
      <c r="B3678" t="s">
        <v>623</v>
      </c>
      <c r="C3678" t="s">
        <v>777</v>
      </c>
      <c r="D3678" t="s">
        <v>793</v>
      </c>
      <c r="E3678" t="s">
        <v>15</v>
      </c>
      <c r="F3678" t="s">
        <v>11336</v>
      </c>
      <c r="G3678" t="s">
        <v>18084</v>
      </c>
      <c r="H3678" t="s">
        <v>1174</v>
      </c>
      <c r="I3678" t="s">
        <v>1117</v>
      </c>
      <c r="J3678" t="s">
        <v>11337</v>
      </c>
      <c r="K3678" t="s">
        <v>11338</v>
      </c>
      <c r="L3678" t="s">
        <v>21</v>
      </c>
      <c r="M3678" t="s">
        <v>19177</v>
      </c>
      <c r="N3678" t="s">
        <v>714</v>
      </c>
      <c r="O3678" t="s">
        <v>10263</v>
      </c>
      <c r="P3678" t="s">
        <v>12</v>
      </c>
    </row>
    <row r="3679">
      <c r="A3679">
        <f>HYPERLINK("http://bombeiros.sp.gov.br/hidrantes/03individual/2286.html","2286")</f>
      </c>
      <c r="B3679" t="s">
        <v>623</v>
      </c>
      <c r="C3679" t="s">
        <v>777</v>
      </c>
      <c r="D3679" t="s">
        <v>793</v>
      </c>
      <c r="E3679" t="s">
        <v>15</v>
      </c>
      <c r="F3679" t="s">
        <v>11339</v>
      </c>
      <c r="G3679" t="s">
        <v>18115</v>
      </c>
      <c r="H3679" t="s">
        <v>1121</v>
      </c>
      <c r="I3679" t="s">
        <v>1117</v>
      </c>
      <c r="J3679" t="s">
        <v>16556</v>
      </c>
      <c r="K3679" t="s">
        <v>16557</v>
      </c>
      <c r="L3679" t="s">
        <v>21</v>
      </c>
      <c r="M3679" t="s">
        <v>19177</v>
      </c>
      <c r="N3679" t="s">
        <v>714</v>
      </c>
      <c r="O3679" t="s">
        <v>10263</v>
      </c>
      <c r="P3679" t="s">
        <v>12</v>
      </c>
    </row>
    <row r="3680">
      <c r="A3680">
        <f>HYPERLINK("http://bombeiros.sp.gov.br/hidrantes/03individual/2685.html","2685")</f>
      </c>
      <c r="B3680" t="s">
        <v>623</v>
      </c>
      <c r="C3680" t="s">
        <v>777</v>
      </c>
      <c r="D3680" t="s">
        <v>793</v>
      </c>
      <c r="E3680" t="s">
        <v>15</v>
      </c>
      <c r="F3680" t="s">
        <v>11342</v>
      </c>
      <c r="G3680" t="s">
        <v>18085</v>
      </c>
      <c r="H3680" t="s">
        <v>1121</v>
      </c>
      <c r="I3680" t="s">
        <v>1117</v>
      </c>
      <c r="J3680" t="s">
        <v>11343</v>
      </c>
      <c r="K3680" t="s">
        <v>11344</v>
      </c>
      <c r="L3680" t="s">
        <v>21</v>
      </c>
      <c r="M3680" t="s">
        <v>19177</v>
      </c>
      <c r="N3680" t="s">
        <v>714</v>
      </c>
      <c r="O3680" t="s">
        <v>10263</v>
      </c>
      <c r="P3680" t="s">
        <v>12</v>
      </c>
    </row>
    <row r="3681">
      <c r="A3681">
        <f>HYPERLINK("http://bombeiros.sp.gov.br/hidrantes/03individual/2690.html","2690")</f>
      </c>
      <c r="B3681" t="s">
        <v>623</v>
      </c>
      <c r="C3681" t="s">
        <v>777</v>
      </c>
      <c r="D3681" t="s">
        <v>793</v>
      </c>
      <c r="E3681" t="s">
        <v>15</v>
      </c>
      <c r="F3681" t="s">
        <v>11345</v>
      </c>
      <c r="G3681" t="s">
        <v>18085</v>
      </c>
      <c r="H3681" t="s">
        <v>1112</v>
      </c>
      <c r="I3681" t="s">
        <v>1108</v>
      </c>
      <c r="J3681" t="s">
        <v>11346</v>
      </c>
      <c r="K3681" t="s">
        <v>11347</v>
      </c>
      <c r="L3681" t="s">
        <v>21</v>
      </c>
      <c r="M3681" t="s">
        <v>19177</v>
      </c>
      <c r="N3681" t="s">
        <v>714</v>
      </c>
      <c r="O3681" t="s">
        <v>10263</v>
      </c>
      <c r="P3681" t="s">
        <v>12</v>
      </c>
    </row>
    <row r="3682">
      <c r="A3682">
        <f>HYPERLINK("http://bombeiros.sp.gov.br/hidrantes/03individual/2692.html","2692")</f>
      </c>
      <c r="B3682" t="s">
        <v>623</v>
      </c>
      <c r="C3682" t="s">
        <v>777</v>
      </c>
      <c r="D3682" t="s">
        <v>793</v>
      </c>
      <c r="E3682" t="s">
        <v>15</v>
      </c>
      <c r="F3682" t="s">
        <v>11348</v>
      </c>
      <c r="G3682" t="s">
        <v>18085</v>
      </c>
      <c r="H3682" t="s">
        <v>1112</v>
      </c>
      <c r="I3682" t="s">
        <v>1108</v>
      </c>
      <c r="J3682" t="s">
        <v>11349</v>
      </c>
      <c r="K3682" t="s">
        <v>11350</v>
      </c>
      <c r="L3682" t="s">
        <v>21</v>
      </c>
      <c r="M3682" t="s">
        <v>19177</v>
      </c>
      <c r="N3682" t="s">
        <v>714</v>
      </c>
      <c r="O3682" t="s">
        <v>10263</v>
      </c>
      <c r="P3682" t="s">
        <v>12</v>
      </c>
    </row>
    <row r="3683">
      <c r="A3683">
        <f>HYPERLINK("http://bombeiros.sp.gov.br/hidrantes/03individual/2694.html","2694")</f>
      </c>
      <c r="B3683" t="s">
        <v>623</v>
      </c>
      <c r="C3683" t="s">
        <v>777</v>
      </c>
      <c r="D3683" t="s">
        <v>793</v>
      </c>
      <c r="E3683" t="s">
        <v>15</v>
      </c>
      <c r="F3683" t="s">
        <v>11351</v>
      </c>
      <c r="G3683" t="s">
        <v>18084</v>
      </c>
      <c r="H3683" t="s">
        <v>1174</v>
      </c>
      <c r="I3683" t="s">
        <v>1117</v>
      </c>
      <c r="J3683" t="s">
        <v>11352</v>
      </c>
      <c r="K3683" t="s">
        <v>11353</v>
      </c>
      <c r="L3683" t="s">
        <v>21</v>
      </c>
      <c r="M3683" t="s">
        <v>19177</v>
      </c>
      <c r="N3683" t="s">
        <v>714</v>
      </c>
      <c r="O3683" t="s">
        <v>10263</v>
      </c>
      <c r="P3683" t="s">
        <v>12</v>
      </c>
    </row>
    <row r="3684">
      <c r="A3684">
        <f>HYPERLINK("http://bombeiros.sp.gov.br/hidrantes/03individual/4272.html","4272")</f>
      </c>
      <c r="B3684" t="s">
        <v>623</v>
      </c>
      <c r="C3684" t="s">
        <v>777</v>
      </c>
      <c r="D3684" t="s">
        <v>793</v>
      </c>
      <c r="E3684" t="s">
        <v>15</v>
      </c>
      <c r="F3684" t="s">
        <v>11354</v>
      </c>
      <c r="G3684" t="s">
        <v>18085</v>
      </c>
      <c r="H3684" t="s">
        <v>1174</v>
      </c>
      <c r="I3684" t="s">
        <v>1108</v>
      </c>
      <c r="J3684" t="s">
        <v>11355</v>
      </c>
      <c r="K3684" t="s">
        <v>11356</v>
      </c>
      <c r="L3684" t="s">
        <v>21</v>
      </c>
      <c r="M3684" t="s">
        <v>19177</v>
      </c>
      <c r="N3684" t="s">
        <v>714</v>
      </c>
      <c r="O3684" t="s">
        <v>10263</v>
      </c>
      <c r="P3684" t="s">
        <v>12</v>
      </c>
    </row>
    <row r="3685">
      <c r="A3685">
        <f>HYPERLINK("http://bombeiros.sp.gov.br/hidrantes/03individual/4273.html","4273")</f>
      </c>
      <c r="B3685" t="s">
        <v>623</v>
      </c>
      <c r="C3685" t="s">
        <v>777</v>
      </c>
      <c r="D3685" t="s">
        <v>793</v>
      </c>
      <c r="E3685" t="s">
        <v>15</v>
      </c>
      <c r="F3685" t="s">
        <v>11357</v>
      </c>
      <c r="G3685" t="s">
        <v>18084</v>
      </c>
      <c r="H3685" t="s">
        <v>1174</v>
      </c>
      <c r="I3685" t="s">
        <v>1117</v>
      </c>
      <c r="J3685" t="s">
        <v>11358</v>
      </c>
      <c r="K3685" t="s">
        <v>11359</v>
      </c>
      <c r="L3685" t="s">
        <v>21</v>
      </c>
      <c r="M3685" t="s">
        <v>19177</v>
      </c>
      <c r="N3685" t="s">
        <v>714</v>
      </c>
      <c r="O3685" t="s">
        <v>10263</v>
      </c>
      <c r="P3685" t="s">
        <v>12</v>
      </c>
    </row>
    <row r="3686">
      <c r="A3686">
        <f>HYPERLINK("http://bombeiros.sp.gov.br/hidrantes/03individual/16576.html","16576")</f>
      </c>
      <c r="B3686" t="s">
        <v>623</v>
      </c>
      <c r="C3686" t="s">
        <v>777</v>
      </c>
      <c r="D3686" t="s">
        <v>793</v>
      </c>
      <c r="E3686" t="s">
        <v>15</v>
      </c>
      <c r="F3686" t="s">
        <v>11360</v>
      </c>
      <c r="G3686" t="s">
        <v>18143</v>
      </c>
      <c r="H3686" t="s">
        <v>1121</v>
      </c>
      <c r="I3686" t="s">
        <v>1117</v>
      </c>
      <c r="J3686" t="s">
        <v>11361</v>
      </c>
      <c r="K3686" t="s">
        <v>11362</v>
      </c>
      <c r="L3686" t="s">
        <v>21</v>
      </c>
      <c r="M3686" t="s">
        <v>19177</v>
      </c>
      <c r="N3686" t="s">
        <v>714</v>
      </c>
      <c r="O3686" t="s">
        <v>10263</v>
      </c>
      <c r="P3686" t="s">
        <v>12</v>
      </c>
    </row>
    <row r="3687">
      <c r="A3687">
        <f>HYPERLINK("http://bombeiros.sp.gov.br/hidrantes/03individual/16577.html","16577")</f>
      </c>
      <c r="B3687" t="s">
        <v>623</v>
      </c>
      <c r="C3687" t="s">
        <v>777</v>
      </c>
      <c r="D3687" t="s">
        <v>793</v>
      </c>
      <c r="E3687" t="s">
        <v>15</v>
      </c>
      <c r="F3687" t="s">
        <v>11363</v>
      </c>
      <c r="G3687" t="s">
        <v>18085</v>
      </c>
      <c r="H3687" t="s">
        <v>1107</v>
      </c>
      <c r="I3687" t="s">
        <v>1108</v>
      </c>
      <c r="J3687" t="s">
        <v>11364</v>
      </c>
      <c r="K3687" t="s">
        <v>11365</v>
      </c>
      <c r="L3687" t="s">
        <v>21</v>
      </c>
      <c r="M3687" t="s">
        <v>19177</v>
      </c>
      <c r="N3687" t="s">
        <v>714</v>
      </c>
      <c r="O3687" t="s">
        <v>10263</v>
      </c>
      <c r="P3687" t="s">
        <v>12</v>
      </c>
    </row>
    <row r="3688">
      <c r="A3688">
        <f>HYPERLINK("http://bombeiros.sp.gov.br/hidrantes/03individual/17652.html","17652")</f>
      </c>
      <c r="B3688" t="s">
        <v>623</v>
      </c>
      <c r="C3688" t="s">
        <v>777</v>
      </c>
      <c r="D3688" t="s">
        <v>793</v>
      </c>
      <c r="E3688" t="s">
        <v>15</v>
      </c>
      <c r="F3688" t="s">
        <v>11366</v>
      </c>
      <c r="G3688" t="s">
        <v>18115</v>
      </c>
      <c r="H3688" t="s">
        <v>1174</v>
      </c>
      <c r="I3688" t="s">
        <v>1117</v>
      </c>
      <c r="J3688" t="s">
        <v>11367</v>
      </c>
      <c r="K3688" t="s">
        <v>11368</v>
      </c>
      <c r="L3688" t="s">
        <v>21</v>
      </c>
      <c r="M3688" t="s">
        <v>19177</v>
      </c>
      <c r="N3688" t="s">
        <v>714</v>
      </c>
      <c r="O3688" t="s">
        <v>10263</v>
      </c>
      <c r="P3688" t="s">
        <v>12</v>
      </c>
    </row>
    <row r="3689">
      <c r="A3689">
        <f>HYPERLINK("http://bombeiros.sp.gov.br/hidrantes/03individual/17653.html","17653")</f>
      </c>
      <c r="B3689" t="s">
        <v>623</v>
      </c>
      <c r="C3689" t="s">
        <v>777</v>
      </c>
      <c r="D3689" t="s">
        <v>793</v>
      </c>
      <c r="E3689" t="s">
        <v>15</v>
      </c>
      <c r="F3689" t="s">
        <v>11369</v>
      </c>
      <c r="G3689" t="s">
        <v>18143</v>
      </c>
      <c r="H3689" t="s">
        <v>1112</v>
      </c>
      <c r="I3689" t="s">
        <v>1108</v>
      </c>
      <c r="J3689" t="s">
        <v>11370</v>
      </c>
      <c r="K3689" t="s">
        <v>11371</v>
      </c>
      <c r="L3689" t="s">
        <v>21</v>
      </c>
      <c r="M3689" t="s">
        <v>19177</v>
      </c>
      <c r="N3689" t="s">
        <v>714</v>
      </c>
      <c r="O3689" t="s">
        <v>10263</v>
      </c>
      <c r="P3689" t="s">
        <v>12</v>
      </c>
    </row>
    <row r="3690">
      <c r="A3690">
        <f>HYPERLINK("http://bombeiros.sp.gov.br/hidrantes/03individual/17654.html","17654")</f>
      </c>
      <c r="B3690" t="s">
        <v>623</v>
      </c>
      <c r="C3690" t="s">
        <v>777</v>
      </c>
      <c r="D3690" t="s">
        <v>793</v>
      </c>
      <c r="E3690" t="s">
        <v>15</v>
      </c>
      <c r="F3690" t="s">
        <v>11372</v>
      </c>
      <c r="G3690" t="s">
        <v>18084</v>
      </c>
      <c r="H3690" t="s">
        <v>1107</v>
      </c>
      <c r="I3690" t="s">
        <v>1108</v>
      </c>
      <c r="J3690" t="s">
        <v>11373</v>
      </c>
      <c r="K3690" t="s">
        <v>11374</v>
      </c>
      <c r="L3690" t="s">
        <v>21</v>
      </c>
      <c r="M3690" t="s">
        <v>19177</v>
      </c>
      <c r="N3690" t="s">
        <v>714</v>
      </c>
      <c r="O3690" t="s">
        <v>10263</v>
      </c>
      <c r="P3690" t="s">
        <v>12</v>
      </c>
    </row>
    <row r="3691">
      <c r="A3691">
        <f>HYPERLINK("http://bombeiros.sp.gov.br/hidrantes/03individual/17716.html","17716")</f>
      </c>
      <c r="B3691" t="s">
        <v>623</v>
      </c>
      <c r="C3691" t="s">
        <v>777</v>
      </c>
      <c r="D3691" t="s">
        <v>793</v>
      </c>
      <c r="E3691" t="s">
        <v>15</v>
      </c>
      <c r="F3691" t="s">
        <v>794</v>
      </c>
      <c r="G3691" t="s">
        <v>18085</v>
      </c>
      <c r="H3691"/>
      <c r="I3691" t="s">
        <v>18</v>
      </c>
      <c r="J3691" t="s">
        <v>16647</v>
      </c>
      <c r="K3691" t="s">
        <v>16648</v>
      </c>
      <c r="L3691" t="s">
        <v>21</v>
      </c>
      <c r="M3691" t="s">
        <v>19177</v>
      </c>
      <c r="N3691" t="s">
        <v>714</v>
      </c>
      <c r="O3691" t="s">
        <v>10263</v>
      </c>
      <c r="P3691" t="s">
        <v>12</v>
      </c>
    </row>
    <row r="3692">
      <c r="A3692">
        <f>HYPERLINK("http://bombeiros.sp.gov.br/hidrantes/03individual/27301.html","27301")</f>
      </c>
      <c r="B3692" t="s">
        <v>623</v>
      </c>
      <c r="C3692" t="s">
        <v>777</v>
      </c>
      <c r="D3692" t="s">
        <v>793</v>
      </c>
      <c r="E3692" t="s">
        <v>15</v>
      </c>
      <c r="F3692" t="s">
        <v>17093</v>
      </c>
      <c r="G3692" t="s">
        <v>18129</v>
      </c>
      <c r="H3692" t="s">
        <v>1121</v>
      </c>
      <c r="I3692" t="s">
        <v>1117</v>
      </c>
      <c r="J3692" t="s">
        <v>17094</v>
      </c>
      <c r="K3692" t="s">
        <v>18265</v>
      </c>
      <c r="L3692" t="s">
        <v>21</v>
      </c>
      <c r="M3692" t="s">
        <v>19177</v>
      </c>
      <c r="N3692" t="s">
        <v>714</v>
      </c>
      <c r="O3692" t="s">
        <v>10263</v>
      </c>
      <c r="P3692" t="s">
        <v>12</v>
      </c>
    </row>
    <row r="3693">
      <c r="A3693">
        <f>HYPERLINK("http://bombeiros.sp.gov.br/hidrantes/03individual/1161.html","1161")</f>
      </c>
      <c r="B3693" t="s">
        <v>623</v>
      </c>
      <c r="C3693" t="s">
        <v>797</v>
      </c>
      <c r="D3693" t="s">
        <v>11375</v>
      </c>
      <c r="E3693" t="s">
        <v>64</v>
      </c>
      <c r="F3693" t="s">
        <v>11376</v>
      </c>
      <c r="G3693" t="s">
        <v>18155</v>
      </c>
      <c r="H3693" t="s">
        <v>1112</v>
      </c>
      <c r="I3693" t="s">
        <v>1108</v>
      </c>
      <c r="J3693" t="s">
        <v>16543</v>
      </c>
      <c r="K3693" t="s">
        <v>16544</v>
      </c>
      <c r="L3693" t="s">
        <v>21</v>
      </c>
      <c r="M3693" t="s">
        <v>19177</v>
      </c>
      <c r="N3693" t="s">
        <v>16375</v>
      </c>
      <c r="O3693" t="s">
        <v>640</v>
      </c>
      <c r="P3693" t="s">
        <v>623</v>
      </c>
    </row>
    <row r="3694">
      <c r="A3694">
        <f>HYPERLINK("http://bombeiros.sp.gov.br/hidrantes/03individual/1168.html","1168")</f>
      </c>
      <c r="B3694" t="s">
        <v>623</v>
      </c>
      <c r="C3694" t="s">
        <v>797</v>
      </c>
      <c r="D3694" t="s">
        <v>11375</v>
      </c>
      <c r="E3694" t="s">
        <v>64</v>
      </c>
      <c r="F3694" t="s">
        <v>11379</v>
      </c>
      <c r="G3694" t="s">
        <v>18057</v>
      </c>
      <c r="H3694" t="s">
        <v>1112</v>
      </c>
      <c r="I3694" t="s">
        <v>1108</v>
      </c>
      <c r="J3694" t="s">
        <v>11380</v>
      </c>
      <c r="K3694" t="s">
        <v>11381</v>
      </c>
      <c r="L3694" t="s">
        <v>36</v>
      </c>
      <c r="M3694" t="s">
        <v>19177</v>
      </c>
      <c r="N3694" t="s">
        <v>16375</v>
      </c>
      <c r="O3694" t="s">
        <v>640</v>
      </c>
      <c r="P3694" t="s">
        <v>623</v>
      </c>
    </row>
    <row r="3695">
      <c r="A3695">
        <f>HYPERLINK("http://bombeiros.sp.gov.br/hidrantes/03individual/1158.html","1158")</f>
      </c>
      <c r="B3695" t="s">
        <v>623</v>
      </c>
      <c r="C3695" t="s">
        <v>797</v>
      </c>
      <c r="D3695" t="s">
        <v>11375</v>
      </c>
      <c r="E3695" t="s">
        <v>15</v>
      </c>
      <c r="F3695" t="s">
        <v>11382</v>
      </c>
      <c r="G3695" t="s">
        <v>18057</v>
      </c>
      <c r="H3695" t="s">
        <v>1112</v>
      </c>
      <c r="I3695" t="s">
        <v>1108</v>
      </c>
      <c r="J3695" t="s">
        <v>11383</v>
      </c>
      <c r="K3695" t="s">
        <v>11384</v>
      </c>
      <c r="L3695" t="s">
        <v>21</v>
      </c>
      <c r="M3695" t="s">
        <v>19177</v>
      </c>
      <c r="N3695" t="s">
        <v>16375</v>
      </c>
      <c r="O3695" t="s">
        <v>640</v>
      </c>
      <c r="P3695" t="s">
        <v>623</v>
      </c>
    </row>
    <row r="3696">
      <c r="A3696">
        <f>HYPERLINK("http://bombeiros.sp.gov.br/hidrantes/03individual/1165.html","1165")</f>
      </c>
      <c r="B3696" t="s">
        <v>623</v>
      </c>
      <c r="C3696" t="s">
        <v>797</v>
      </c>
      <c r="D3696" t="s">
        <v>11375</v>
      </c>
      <c r="E3696" t="s">
        <v>15</v>
      </c>
      <c r="F3696" t="s">
        <v>11385</v>
      </c>
      <c r="G3696" t="s">
        <v>17935</v>
      </c>
      <c r="H3696" t="s">
        <v>1121</v>
      </c>
      <c r="I3696" t="s">
        <v>1117</v>
      </c>
      <c r="J3696" t="s">
        <v>11386</v>
      </c>
      <c r="K3696" t="s">
        <v>11387</v>
      </c>
      <c r="L3696" t="s">
        <v>21</v>
      </c>
      <c r="M3696" t="s">
        <v>19177</v>
      </c>
      <c r="N3696" t="s">
        <v>16375</v>
      </c>
      <c r="O3696" t="s">
        <v>640</v>
      </c>
      <c r="P3696" t="s">
        <v>623</v>
      </c>
    </row>
    <row r="3697">
      <c r="A3697">
        <f>HYPERLINK("http://bombeiros.sp.gov.br/hidrantes/03individual/1092.html","1092")</f>
      </c>
      <c r="B3697" t="s">
        <v>623</v>
      </c>
      <c r="C3697" t="s">
        <v>797</v>
      </c>
      <c r="D3697" t="s">
        <v>11388</v>
      </c>
      <c r="E3697" t="s">
        <v>64</v>
      </c>
      <c r="F3697" t="s">
        <v>11389</v>
      </c>
      <c r="G3697" t="s">
        <v>18084</v>
      </c>
      <c r="H3697" t="s">
        <v>1112</v>
      </c>
      <c r="I3697" t="s">
        <v>1108</v>
      </c>
      <c r="J3697" t="s">
        <v>11390</v>
      </c>
      <c r="K3697" t="s">
        <v>11391</v>
      </c>
      <c r="L3697" t="s">
        <v>21</v>
      </c>
      <c r="M3697" t="s">
        <v>19177</v>
      </c>
      <c r="N3697" t="s">
        <v>16375</v>
      </c>
      <c r="O3697" t="s">
        <v>640</v>
      </c>
      <c r="P3697" t="s">
        <v>623</v>
      </c>
    </row>
    <row r="3698">
      <c r="A3698">
        <f>HYPERLINK("http://bombeiros.sp.gov.br/hidrantes/03individual/1130.html","1130")</f>
      </c>
      <c r="B3698" t="s">
        <v>623</v>
      </c>
      <c r="C3698" t="s">
        <v>797</v>
      </c>
      <c r="D3698" t="s">
        <v>11388</v>
      </c>
      <c r="E3698" t="s">
        <v>64</v>
      </c>
      <c r="F3698" t="s">
        <v>11392</v>
      </c>
      <c r="G3698" t="s">
        <v>18084</v>
      </c>
      <c r="H3698" t="s">
        <v>1121</v>
      </c>
      <c r="I3698" t="s">
        <v>1117</v>
      </c>
      <c r="J3698" t="s">
        <v>11393</v>
      </c>
      <c r="K3698" t="s">
        <v>11394</v>
      </c>
      <c r="L3698" t="s">
        <v>21</v>
      </c>
      <c r="M3698" t="s">
        <v>19177</v>
      </c>
      <c r="N3698" t="s">
        <v>16375</v>
      </c>
      <c r="O3698" t="s">
        <v>640</v>
      </c>
      <c r="P3698" t="s">
        <v>623</v>
      </c>
    </row>
    <row r="3699">
      <c r="A3699">
        <f>HYPERLINK("http://bombeiros.sp.gov.br/hidrantes/03individual/1157.html","1157")</f>
      </c>
      <c r="B3699" t="s">
        <v>623</v>
      </c>
      <c r="C3699" t="s">
        <v>797</v>
      </c>
      <c r="D3699" t="s">
        <v>11388</v>
      </c>
      <c r="E3699" t="s">
        <v>64</v>
      </c>
      <c r="F3699" t="s">
        <v>11395</v>
      </c>
      <c r="G3699" t="s">
        <v>18084</v>
      </c>
      <c r="H3699" t="s">
        <v>1112</v>
      </c>
      <c r="I3699" t="s">
        <v>1108</v>
      </c>
      <c r="J3699" t="s">
        <v>11396</v>
      </c>
      <c r="K3699" t="s">
        <v>11397</v>
      </c>
      <c r="L3699" t="s">
        <v>21</v>
      </c>
      <c r="M3699" t="s">
        <v>19177</v>
      </c>
      <c r="N3699" t="s">
        <v>16375</v>
      </c>
      <c r="O3699" t="s">
        <v>640</v>
      </c>
      <c r="P3699" t="s">
        <v>623</v>
      </c>
    </row>
    <row r="3700">
      <c r="A3700">
        <f>HYPERLINK("http://bombeiros.sp.gov.br/hidrantes/03individual/4409.html","4409")</f>
      </c>
      <c r="B3700" t="s">
        <v>623</v>
      </c>
      <c r="C3700" t="s">
        <v>797</v>
      </c>
      <c r="D3700" t="s">
        <v>11388</v>
      </c>
      <c r="E3700" t="s">
        <v>64</v>
      </c>
      <c r="F3700" t="s">
        <v>11398</v>
      </c>
      <c r="G3700" t="s">
        <v>18084</v>
      </c>
      <c r="H3700" t="s">
        <v>1112</v>
      </c>
      <c r="I3700" t="s">
        <v>1108</v>
      </c>
      <c r="J3700" t="s">
        <v>11399</v>
      </c>
      <c r="K3700" t="s">
        <v>11400</v>
      </c>
      <c r="L3700" t="s">
        <v>21</v>
      </c>
      <c r="M3700" t="s">
        <v>19177</v>
      </c>
      <c r="N3700" t="s">
        <v>16375</v>
      </c>
      <c r="O3700" t="s">
        <v>640</v>
      </c>
      <c r="P3700" t="s">
        <v>623</v>
      </c>
    </row>
    <row r="3701">
      <c r="A3701">
        <f>HYPERLINK("http://bombeiros.sp.gov.br/hidrantes/03individual/27320.html","27320")</f>
      </c>
      <c r="B3701" t="s">
        <v>623</v>
      </c>
      <c r="C3701" t="s">
        <v>797</v>
      </c>
      <c r="D3701" t="s">
        <v>11388</v>
      </c>
      <c r="E3701" t="s">
        <v>64</v>
      </c>
      <c r="F3701" t="s">
        <v>17131</v>
      </c>
      <c r="G3701" t="s">
        <v>18084</v>
      </c>
      <c r="H3701" t="s">
        <v>1112</v>
      </c>
      <c r="I3701" t="s">
        <v>1108</v>
      </c>
      <c r="J3701" t="s">
        <v>17132</v>
      </c>
      <c r="K3701" t="s">
        <v>17133</v>
      </c>
      <c r="L3701" t="s">
        <v>21</v>
      </c>
      <c r="M3701" t="s">
        <v>19177</v>
      </c>
      <c r="N3701" t="s">
        <v>16375</v>
      </c>
      <c r="O3701" t="s">
        <v>640</v>
      </c>
      <c r="P3701" t="s">
        <v>623</v>
      </c>
    </row>
    <row r="3702">
      <c r="A3702">
        <f>HYPERLINK("http://bombeiros.sp.gov.br/hidrantes/03individual/27321.html","27321")</f>
      </c>
      <c r="B3702" t="s">
        <v>623</v>
      </c>
      <c r="C3702" t="s">
        <v>797</v>
      </c>
      <c r="D3702" t="s">
        <v>11388</v>
      </c>
      <c r="E3702" t="s">
        <v>64</v>
      </c>
      <c r="F3702" t="s">
        <v>17134</v>
      </c>
      <c r="G3702" t="s">
        <v>18084</v>
      </c>
      <c r="H3702" t="s">
        <v>1107</v>
      </c>
      <c r="I3702" t="s">
        <v>1108</v>
      </c>
      <c r="J3702" t="s">
        <v>17135</v>
      </c>
      <c r="K3702" t="s">
        <v>17136</v>
      </c>
      <c r="L3702" t="s">
        <v>21</v>
      </c>
      <c r="M3702" t="s">
        <v>19177</v>
      </c>
      <c r="N3702" t="s">
        <v>16375</v>
      </c>
      <c r="O3702" t="s">
        <v>640</v>
      </c>
      <c r="P3702" t="s">
        <v>623</v>
      </c>
    </row>
    <row r="3703">
      <c r="A3703">
        <f>HYPERLINK("http://bombeiros.sp.gov.br/hidrantes/03individual/27322.html","27322")</f>
      </c>
      <c r="B3703" t="s">
        <v>623</v>
      </c>
      <c r="C3703" t="s">
        <v>797</v>
      </c>
      <c r="D3703" t="s">
        <v>11388</v>
      </c>
      <c r="E3703" t="s">
        <v>64</v>
      </c>
      <c r="F3703" t="s">
        <v>17137</v>
      </c>
      <c r="G3703" t="s">
        <v>18084</v>
      </c>
      <c r="H3703" t="s">
        <v>1121</v>
      </c>
      <c r="I3703" t="s">
        <v>1117</v>
      </c>
      <c r="J3703" t="s">
        <v>17138</v>
      </c>
      <c r="K3703" t="s">
        <v>17139</v>
      </c>
      <c r="L3703" t="s">
        <v>21</v>
      </c>
      <c r="M3703" t="s">
        <v>19177</v>
      </c>
      <c r="N3703" t="s">
        <v>16375</v>
      </c>
      <c r="O3703" t="s">
        <v>640</v>
      </c>
      <c r="P3703" t="s">
        <v>623</v>
      </c>
    </row>
    <row r="3704">
      <c r="A3704">
        <f>HYPERLINK("http://bombeiros.sp.gov.br/hidrantes/03individual/28333.html","28333")</f>
      </c>
      <c r="B3704" t="s">
        <v>623</v>
      </c>
      <c r="C3704" t="s">
        <v>797</v>
      </c>
      <c r="D3704" t="s">
        <v>11388</v>
      </c>
      <c r="E3704" t="s">
        <v>64</v>
      </c>
      <c r="F3704" t="s">
        <v>18587</v>
      </c>
      <c r="G3704"/>
      <c r="H3704"/>
      <c r="I3704" t="s">
        <v>1503</v>
      </c>
      <c r="J3704" t="s">
        <v>18588</v>
      </c>
      <c r="K3704" t="s">
        <v>18589</v>
      </c>
      <c r="L3704" t="s">
        <v>21</v>
      </c>
      <c r="M3704" t="s">
        <v>19177</v>
      </c>
      <c r="N3704" t="s">
        <v>16375</v>
      </c>
      <c r="O3704" t="s">
        <v>640</v>
      </c>
      <c r="P3704" t="s">
        <v>623</v>
      </c>
    </row>
    <row r="3705">
      <c r="A3705">
        <f>HYPERLINK("http://bombeiros.sp.gov.br/hidrantes/03individual/28334.html","28334")</f>
      </c>
      <c r="B3705" t="s">
        <v>623</v>
      </c>
      <c r="C3705" t="s">
        <v>797</v>
      </c>
      <c r="D3705" t="s">
        <v>11388</v>
      </c>
      <c r="E3705" t="s">
        <v>64</v>
      </c>
      <c r="F3705" t="s">
        <v>18590</v>
      </c>
      <c r="G3705"/>
      <c r="H3705"/>
      <c r="I3705" t="s">
        <v>1503</v>
      </c>
      <c r="J3705" t="s">
        <v>18591</v>
      </c>
      <c r="K3705" t="s">
        <v>18592</v>
      </c>
      <c r="L3705" t="s">
        <v>21</v>
      </c>
      <c r="M3705" t="s">
        <v>19177</v>
      </c>
      <c r="N3705" t="s">
        <v>16375</v>
      </c>
      <c r="O3705" t="s">
        <v>640</v>
      </c>
      <c r="P3705" t="s">
        <v>623</v>
      </c>
    </row>
    <row r="3706">
      <c r="A3706">
        <f>HYPERLINK("http://bombeiros.sp.gov.br/hidrantes/03individual/6689.html","6689")</f>
      </c>
      <c r="B3706" t="s">
        <v>623</v>
      </c>
      <c r="C3706" t="s">
        <v>797</v>
      </c>
      <c r="D3706" t="s">
        <v>11388</v>
      </c>
      <c r="E3706" t="s">
        <v>15</v>
      </c>
      <c r="F3706" t="s">
        <v>11401</v>
      </c>
      <c r="G3706" t="s">
        <v>18084</v>
      </c>
      <c r="H3706" t="s">
        <v>1121</v>
      </c>
      <c r="I3706" t="s">
        <v>1117</v>
      </c>
      <c r="J3706" t="s">
        <v>11402</v>
      </c>
      <c r="K3706" t="s">
        <v>11403</v>
      </c>
      <c r="L3706" t="s">
        <v>21</v>
      </c>
      <c r="M3706" t="s">
        <v>19177</v>
      </c>
      <c r="N3706" t="s">
        <v>16375</v>
      </c>
      <c r="O3706" t="s">
        <v>640</v>
      </c>
      <c r="P3706" t="s">
        <v>623</v>
      </c>
    </row>
    <row r="3707">
      <c r="A3707">
        <f>HYPERLINK("http://bombeiros.sp.gov.br/hidrantes/03individual/1183.html","1183")</f>
      </c>
      <c r="B3707" t="s">
        <v>623</v>
      </c>
      <c r="C3707" t="s">
        <v>797</v>
      </c>
      <c r="D3707" t="s">
        <v>797</v>
      </c>
      <c r="E3707" t="s">
        <v>64</v>
      </c>
      <c r="F3707" t="s">
        <v>11404</v>
      </c>
      <c r="G3707" t="s">
        <v>18063</v>
      </c>
      <c r="H3707" t="s">
        <v>1174</v>
      </c>
      <c r="I3707" t="s">
        <v>1117</v>
      </c>
      <c r="J3707" t="s">
        <v>11405</v>
      </c>
      <c r="K3707" t="s">
        <v>11406</v>
      </c>
      <c r="L3707" t="s">
        <v>21</v>
      </c>
      <c r="M3707" t="s">
        <v>19177</v>
      </c>
      <c r="N3707" t="s">
        <v>16375</v>
      </c>
      <c r="O3707" t="s">
        <v>640</v>
      </c>
      <c r="P3707" t="s">
        <v>623</v>
      </c>
    </row>
    <row r="3708">
      <c r="A3708">
        <f>HYPERLINK("http://bombeiros.sp.gov.br/hidrantes/03individual/4244.html","4244")</f>
      </c>
      <c r="B3708" t="s">
        <v>623</v>
      </c>
      <c r="C3708" t="s">
        <v>797</v>
      </c>
      <c r="D3708" t="s">
        <v>797</v>
      </c>
      <c r="E3708" t="s">
        <v>64</v>
      </c>
      <c r="F3708" t="s">
        <v>11407</v>
      </c>
      <c r="G3708" t="s">
        <v>18084</v>
      </c>
      <c r="H3708" t="s">
        <v>1112</v>
      </c>
      <c r="I3708" t="s">
        <v>1108</v>
      </c>
      <c r="J3708" t="s">
        <v>11408</v>
      </c>
      <c r="K3708" t="s">
        <v>11409</v>
      </c>
      <c r="L3708" t="s">
        <v>21</v>
      </c>
      <c r="M3708" t="s">
        <v>19177</v>
      </c>
      <c r="N3708" t="s">
        <v>16375</v>
      </c>
      <c r="O3708" t="s">
        <v>640</v>
      </c>
      <c r="P3708" t="s">
        <v>623</v>
      </c>
    </row>
    <row r="3709">
      <c r="A3709">
        <f>HYPERLINK("http://bombeiros.sp.gov.br/hidrantes/03individual/6658.html","6658")</f>
      </c>
      <c r="B3709" t="s">
        <v>623</v>
      </c>
      <c r="C3709" t="s">
        <v>797</v>
      </c>
      <c r="D3709" t="s">
        <v>797</v>
      </c>
      <c r="E3709" t="s">
        <v>64</v>
      </c>
      <c r="F3709" t="s">
        <v>11410</v>
      </c>
      <c r="G3709" t="s">
        <v>18084</v>
      </c>
      <c r="H3709" t="s">
        <v>1112</v>
      </c>
      <c r="I3709" t="s">
        <v>1108</v>
      </c>
      <c r="J3709" t="s">
        <v>11411</v>
      </c>
      <c r="K3709" t="s">
        <v>11412</v>
      </c>
      <c r="L3709" t="s">
        <v>21</v>
      </c>
      <c r="M3709" t="s">
        <v>19177</v>
      </c>
      <c r="N3709" t="s">
        <v>16375</v>
      </c>
      <c r="O3709" t="s">
        <v>640</v>
      </c>
      <c r="P3709" t="s">
        <v>623</v>
      </c>
    </row>
    <row r="3710">
      <c r="A3710">
        <f>HYPERLINK("http://bombeiros.sp.gov.br/hidrantes/03individual/27809.html","27809")</f>
      </c>
      <c r="B3710" t="s">
        <v>623</v>
      </c>
      <c r="C3710" t="s">
        <v>797</v>
      </c>
      <c r="D3710" t="s">
        <v>797</v>
      </c>
      <c r="E3710" t="s">
        <v>64</v>
      </c>
      <c r="F3710" t="s">
        <v>17799</v>
      </c>
      <c r="G3710" t="s">
        <v>18063</v>
      </c>
      <c r="H3710" t="s">
        <v>1121</v>
      </c>
      <c r="I3710" t="s">
        <v>1117</v>
      </c>
      <c r="J3710" t="s">
        <v>17800</v>
      </c>
      <c r="K3710" t="s">
        <v>17801</v>
      </c>
      <c r="L3710" t="s">
        <v>21</v>
      </c>
      <c r="M3710" t="s">
        <v>19177</v>
      </c>
      <c r="N3710" t="s">
        <v>16375</v>
      </c>
      <c r="O3710" t="s">
        <v>640</v>
      </c>
      <c r="P3710" t="s">
        <v>623</v>
      </c>
    </row>
    <row r="3711">
      <c r="A3711">
        <f>HYPERLINK("http://bombeiros.sp.gov.br/hidrantes/03individual/27810.html","27810")</f>
      </c>
      <c r="B3711" t="s">
        <v>623</v>
      </c>
      <c r="C3711" t="s">
        <v>797</v>
      </c>
      <c r="D3711" t="s">
        <v>797</v>
      </c>
      <c r="E3711" t="s">
        <v>64</v>
      </c>
      <c r="F3711" t="s">
        <v>17802</v>
      </c>
      <c r="G3711" t="s">
        <v>18063</v>
      </c>
      <c r="H3711"/>
      <c r="I3711" t="s">
        <v>18</v>
      </c>
      <c r="J3711" t="s">
        <v>17803</v>
      </c>
      <c r="K3711" t="s">
        <v>17804</v>
      </c>
      <c r="L3711" t="s">
        <v>21</v>
      </c>
      <c r="M3711" t="s">
        <v>19177</v>
      </c>
      <c r="N3711" t="s">
        <v>16375</v>
      </c>
      <c r="O3711" t="s">
        <v>640</v>
      </c>
      <c r="P3711" t="s">
        <v>623</v>
      </c>
    </row>
    <row r="3712">
      <c r="A3712">
        <f>HYPERLINK("http://bombeiros.sp.gov.br/hidrantes/03individual/1106.html","1106")</f>
      </c>
      <c r="B3712" t="s">
        <v>623</v>
      </c>
      <c r="C3712" t="s">
        <v>797</v>
      </c>
      <c r="D3712" t="s">
        <v>797</v>
      </c>
      <c r="E3712" t="s">
        <v>15</v>
      </c>
      <c r="F3712" t="s">
        <v>11413</v>
      </c>
      <c r="G3712" t="s">
        <v>18084</v>
      </c>
      <c r="H3712" t="s">
        <v>1121</v>
      </c>
      <c r="I3712" t="s">
        <v>1108</v>
      </c>
      <c r="J3712" t="s">
        <v>11414</v>
      </c>
      <c r="K3712" t="s">
        <v>11415</v>
      </c>
      <c r="L3712" t="s">
        <v>21</v>
      </c>
      <c r="M3712" t="s">
        <v>19177</v>
      </c>
      <c r="N3712" t="s">
        <v>16375</v>
      </c>
      <c r="O3712" t="s">
        <v>640</v>
      </c>
      <c r="P3712" t="s">
        <v>623</v>
      </c>
    </row>
    <row r="3713">
      <c r="A3713">
        <f>HYPERLINK("http://bombeiros.sp.gov.br/hidrantes/03individual/3375.html","3375")</f>
      </c>
      <c r="B3713" t="s">
        <v>623</v>
      </c>
      <c r="C3713" t="s">
        <v>802</v>
      </c>
      <c r="D3713" t="s">
        <v>803</v>
      </c>
      <c r="E3713" t="s">
        <v>64</v>
      </c>
      <c r="F3713" t="s">
        <v>11416</v>
      </c>
      <c r="G3713" t="s">
        <v>18143</v>
      </c>
      <c r="H3713" t="s">
        <v>1112</v>
      </c>
      <c r="I3713" t="s">
        <v>1108</v>
      </c>
      <c r="J3713" t="s">
        <v>11417</v>
      </c>
      <c r="K3713" t="s">
        <v>11418</v>
      </c>
      <c r="L3713" t="s">
        <v>36</v>
      </c>
      <c r="M3713" t="s">
        <v>19177</v>
      </c>
      <c r="N3713" t="s">
        <v>16375</v>
      </c>
      <c r="O3713" t="s">
        <v>640</v>
      </c>
      <c r="P3713" t="s">
        <v>623</v>
      </c>
    </row>
    <row r="3714">
      <c r="A3714">
        <f>HYPERLINK("http://bombeiros.sp.gov.br/hidrantes/03individual/6656.html","6656")</f>
      </c>
      <c r="B3714" t="s">
        <v>623</v>
      </c>
      <c r="C3714" t="s">
        <v>802</v>
      </c>
      <c r="D3714" t="s">
        <v>803</v>
      </c>
      <c r="E3714" t="s">
        <v>64</v>
      </c>
      <c r="F3714" t="s">
        <v>11419</v>
      </c>
      <c r="G3714" t="s">
        <v>18183</v>
      </c>
      <c r="H3714" t="s">
        <v>1107</v>
      </c>
      <c r="I3714" t="s">
        <v>1108</v>
      </c>
      <c r="J3714" t="s">
        <v>11420</v>
      </c>
      <c r="K3714" t="s">
        <v>11421</v>
      </c>
      <c r="L3714" t="s">
        <v>36</v>
      </c>
      <c r="M3714" t="s">
        <v>19177</v>
      </c>
      <c r="N3714" t="s">
        <v>16375</v>
      </c>
      <c r="O3714" t="s">
        <v>640</v>
      </c>
      <c r="P3714" t="s">
        <v>623</v>
      </c>
    </row>
    <row r="3715">
      <c r="A3715">
        <f>HYPERLINK("http://bombeiros.sp.gov.br/hidrantes/03individual/6657.html","6657")</f>
      </c>
      <c r="B3715" t="s">
        <v>623</v>
      </c>
      <c r="C3715" t="s">
        <v>802</v>
      </c>
      <c r="D3715" t="s">
        <v>803</v>
      </c>
      <c r="E3715" t="s">
        <v>64</v>
      </c>
      <c r="F3715" t="s">
        <v>11422</v>
      </c>
      <c r="G3715" t="s">
        <v>18062</v>
      </c>
      <c r="H3715" t="s">
        <v>1107</v>
      </c>
      <c r="I3715" t="s">
        <v>1108</v>
      </c>
      <c r="J3715" t="s">
        <v>11423</v>
      </c>
      <c r="K3715" t="s">
        <v>11424</v>
      </c>
      <c r="L3715" t="s">
        <v>36</v>
      </c>
      <c r="M3715" t="s">
        <v>19177</v>
      </c>
      <c r="N3715" t="s">
        <v>16375</v>
      </c>
      <c r="O3715" t="s">
        <v>640</v>
      </c>
      <c r="P3715" t="s">
        <v>623</v>
      </c>
    </row>
    <row r="3716">
      <c r="A3716">
        <f>HYPERLINK("http://bombeiros.sp.gov.br/hidrantes/03individual/6680.html","6680")</f>
      </c>
      <c r="B3716" t="s">
        <v>623</v>
      </c>
      <c r="C3716" t="s">
        <v>802</v>
      </c>
      <c r="D3716" t="s">
        <v>803</v>
      </c>
      <c r="E3716" t="s">
        <v>64</v>
      </c>
      <c r="F3716" t="s">
        <v>11425</v>
      </c>
      <c r="G3716" t="s">
        <v>18143</v>
      </c>
      <c r="H3716" t="s">
        <v>1112</v>
      </c>
      <c r="I3716" t="s">
        <v>1108</v>
      </c>
      <c r="J3716" t="s">
        <v>11426</v>
      </c>
      <c r="K3716" t="s">
        <v>11427</v>
      </c>
      <c r="L3716" t="s">
        <v>21</v>
      </c>
      <c r="M3716" t="s">
        <v>19177</v>
      </c>
      <c r="N3716" t="s">
        <v>16375</v>
      </c>
      <c r="O3716" t="s">
        <v>640</v>
      </c>
      <c r="P3716" t="s">
        <v>623</v>
      </c>
    </row>
    <row r="3717">
      <c r="A3717">
        <f>HYPERLINK("http://bombeiros.sp.gov.br/hidrantes/03individual/27036.html","27036")</f>
      </c>
      <c r="B3717" t="s">
        <v>623</v>
      </c>
      <c r="C3717" t="s">
        <v>802</v>
      </c>
      <c r="D3717" t="s">
        <v>803</v>
      </c>
      <c r="E3717" t="s">
        <v>64</v>
      </c>
      <c r="F3717" t="s">
        <v>16585</v>
      </c>
      <c r="G3717" t="s">
        <v>18078</v>
      </c>
      <c r="H3717" t="s">
        <v>1107</v>
      </c>
      <c r="I3717" t="s">
        <v>1108</v>
      </c>
      <c r="J3717" t="s">
        <v>16586</v>
      </c>
      <c r="K3717" t="s">
        <v>16587</v>
      </c>
      <c r="L3717" t="s">
        <v>21</v>
      </c>
      <c r="M3717" t="s">
        <v>19177</v>
      </c>
      <c r="N3717" t="s">
        <v>16377</v>
      </c>
      <c r="O3717" t="s">
        <v>16377</v>
      </c>
      <c r="P3717" t="s">
        <v>623</v>
      </c>
    </row>
    <row r="3718">
      <c r="A3718">
        <f>HYPERLINK("http://bombeiros.sp.gov.br/hidrantes/03individual/27054.html","27054")</f>
      </c>
      <c r="B3718" t="s">
        <v>623</v>
      </c>
      <c r="C3718" t="s">
        <v>802</v>
      </c>
      <c r="D3718" t="s">
        <v>803</v>
      </c>
      <c r="E3718" t="s">
        <v>64</v>
      </c>
      <c r="F3718" t="s">
        <v>16672</v>
      </c>
      <c r="G3718" t="s">
        <v>18062</v>
      </c>
      <c r="H3718" t="s">
        <v>1121</v>
      </c>
      <c r="I3718" t="s">
        <v>1117</v>
      </c>
      <c r="J3718" t="s">
        <v>16673</v>
      </c>
      <c r="K3718" t="s">
        <v>16674</v>
      </c>
      <c r="L3718" t="s">
        <v>21</v>
      </c>
      <c r="M3718" t="s">
        <v>19177</v>
      </c>
      <c r="N3718" t="s">
        <v>16375</v>
      </c>
      <c r="O3718" t="s">
        <v>640</v>
      </c>
      <c r="P3718" t="s">
        <v>623</v>
      </c>
    </row>
    <row r="3719">
      <c r="A3719">
        <f>HYPERLINK("http://bombeiros.sp.gov.br/hidrantes/03individual/1234.html","1234")</f>
      </c>
      <c r="B3719" t="s">
        <v>623</v>
      </c>
      <c r="C3719" t="s">
        <v>802</v>
      </c>
      <c r="D3719" t="s">
        <v>803</v>
      </c>
      <c r="E3719" t="s">
        <v>15</v>
      </c>
      <c r="F3719" t="s">
        <v>11428</v>
      </c>
      <c r="G3719" t="s">
        <v>18062</v>
      </c>
      <c r="H3719" t="s">
        <v>1121</v>
      </c>
      <c r="I3719" t="s">
        <v>1117</v>
      </c>
      <c r="J3719" t="s">
        <v>11429</v>
      </c>
      <c r="K3719" t="s">
        <v>11430</v>
      </c>
      <c r="L3719" t="s">
        <v>21</v>
      </c>
      <c r="M3719" t="s">
        <v>19177</v>
      </c>
      <c r="N3719" t="s">
        <v>16375</v>
      </c>
      <c r="O3719" t="s">
        <v>640</v>
      </c>
      <c r="P3719" t="s">
        <v>623</v>
      </c>
    </row>
    <row r="3720">
      <c r="A3720">
        <f>HYPERLINK("http://bombeiros.sp.gov.br/hidrantes/03individual/1294.html","1294")</f>
      </c>
      <c r="B3720" t="s">
        <v>623</v>
      </c>
      <c r="C3720" t="s">
        <v>802</v>
      </c>
      <c r="D3720" t="s">
        <v>803</v>
      </c>
      <c r="E3720" t="s">
        <v>15</v>
      </c>
      <c r="F3720" t="s">
        <v>11434</v>
      </c>
      <c r="G3720" t="s">
        <v>18143</v>
      </c>
      <c r="H3720" t="s">
        <v>1112</v>
      </c>
      <c r="I3720" t="s">
        <v>1108</v>
      </c>
      <c r="J3720" t="s">
        <v>11435</v>
      </c>
      <c r="K3720" t="s">
        <v>11436</v>
      </c>
      <c r="L3720" t="s">
        <v>21</v>
      </c>
      <c r="M3720" t="s">
        <v>19177</v>
      </c>
      <c r="N3720" t="s">
        <v>16375</v>
      </c>
      <c r="O3720" t="s">
        <v>640</v>
      </c>
      <c r="P3720" t="s">
        <v>623</v>
      </c>
    </row>
    <row r="3721">
      <c r="A3721">
        <f>HYPERLINK("http://bombeiros.sp.gov.br/hidrantes/03individual/2778.html","2778")</f>
      </c>
      <c r="B3721" t="s">
        <v>623</v>
      </c>
      <c r="C3721" t="s">
        <v>802</v>
      </c>
      <c r="D3721" t="s">
        <v>803</v>
      </c>
      <c r="E3721" t="s">
        <v>15</v>
      </c>
      <c r="F3721" t="s">
        <v>11437</v>
      </c>
      <c r="G3721" t="s">
        <v>18143</v>
      </c>
      <c r="H3721" t="s">
        <v>1112</v>
      </c>
      <c r="I3721" t="s">
        <v>1108</v>
      </c>
      <c r="J3721" t="s">
        <v>11438</v>
      </c>
      <c r="K3721" t="s">
        <v>11439</v>
      </c>
      <c r="L3721" t="s">
        <v>21</v>
      </c>
      <c r="M3721" t="s">
        <v>19177</v>
      </c>
      <c r="N3721" t="s">
        <v>16375</v>
      </c>
      <c r="O3721" t="s">
        <v>640</v>
      </c>
      <c r="P3721" t="s">
        <v>623</v>
      </c>
    </row>
    <row r="3722">
      <c r="A3722">
        <f>HYPERLINK("http://bombeiros.sp.gov.br/hidrantes/03individual/4230.html","4230")</f>
      </c>
      <c r="B3722" t="s">
        <v>623</v>
      </c>
      <c r="C3722" t="s">
        <v>802</v>
      </c>
      <c r="D3722" t="s">
        <v>803</v>
      </c>
      <c r="E3722" t="s">
        <v>15</v>
      </c>
      <c r="F3722" t="s">
        <v>11440</v>
      </c>
      <c r="G3722" t="s">
        <v>18062</v>
      </c>
      <c r="H3722" t="s">
        <v>1174</v>
      </c>
      <c r="I3722" t="s">
        <v>1117</v>
      </c>
      <c r="J3722" t="s">
        <v>11441</v>
      </c>
      <c r="K3722" t="s">
        <v>11442</v>
      </c>
      <c r="L3722" t="s">
        <v>21</v>
      </c>
      <c r="M3722" t="s">
        <v>19177</v>
      </c>
      <c r="N3722" t="s">
        <v>16375</v>
      </c>
      <c r="O3722" t="s">
        <v>640</v>
      </c>
      <c r="P3722" t="s">
        <v>623</v>
      </c>
    </row>
    <row r="3723">
      <c r="A3723">
        <f>HYPERLINK("http://bombeiros.sp.gov.br/hidrantes/03individual/4232.html","4232")</f>
      </c>
      <c r="B3723" t="s">
        <v>623</v>
      </c>
      <c r="C3723" t="s">
        <v>802</v>
      </c>
      <c r="D3723" t="s">
        <v>803</v>
      </c>
      <c r="E3723" t="s">
        <v>15</v>
      </c>
      <c r="F3723" t="s">
        <v>11443</v>
      </c>
      <c r="G3723" t="s">
        <v>18063</v>
      </c>
      <c r="H3723"/>
      <c r="I3723" t="s">
        <v>18</v>
      </c>
      <c r="J3723" t="s">
        <v>11444</v>
      </c>
      <c r="K3723" t="s">
        <v>11445</v>
      </c>
      <c r="L3723" t="s">
        <v>21</v>
      </c>
      <c r="M3723" t="s">
        <v>19177</v>
      </c>
      <c r="N3723" t="s">
        <v>16375</v>
      </c>
      <c r="O3723" t="s">
        <v>640</v>
      </c>
      <c r="P3723" t="s">
        <v>623</v>
      </c>
    </row>
    <row r="3724">
      <c r="A3724">
        <f>HYPERLINK("http://bombeiros.sp.gov.br/hidrantes/03individual/17766.html","17766")</f>
      </c>
      <c r="B3724" t="s">
        <v>623</v>
      </c>
      <c r="C3724" t="s">
        <v>802</v>
      </c>
      <c r="D3724" t="s">
        <v>803</v>
      </c>
      <c r="E3724" t="s">
        <v>15</v>
      </c>
      <c r="F3724" t="s">
        <v>11446</v>
      </c>
      <c r="G3724" t="s">
        <v>18143</v>
      </c>
      <c r="H3724"/>
      <c r="I3724" t="s">
        <v>18</v>
      </c>
      <c r="J3724" t="s">
        <v>11447</v>
      </c>
      <c r="K3724" t="s">
        <v>11448</v>
      </c>
      <c r="L3724" t="s">
        <v>21</v>
      </c>
      <c r="M3724" t="s">
        <v>19177</v>
      </c>
      <c r="N3724" t="s">
        <v>16375</v>
      </c>
      <c r="O3724" t="s">
        <v>640</v>
      </c>
      <c r="P3724" t="s">
        <v>623</v>
      </c>
    </row>
    <row r="3725">
      <c r="A3725">
        <f>HYPERLINK("http://bombeiros.sp.gov.br/hidrantes/03individual/27055.html","27055")</f>
      </c>
      <c r="B3725" t="s">
        <v>623</v>
      </c>
      <c r="C3725" t="s">
        <v>802</v>
      </c>
      <c r="D3725" t="s">
        <v>803</v>
      </c>
      <c r="E3725" t="s">
        <v>15</v>
      </c>
      <c r="F3725" t="s">
        <v>16675</v>
      </c>
      <c r="G3725" t="s">
        <v>18188</v>
      </c>
      <c r="H3725" t="s">
        <v>1107</v>
      </c>
      <c r="I3725" t="s">
        <v>1108</v>
      </c>
      <c r="J3725" t="s">
        <v>16676</v>
      </c>
      <c r="K3725" t="s">
        <v>16677</v>
      </c>
      <c r="L3725" t="s">
        <v>21</v>
      </c>
      <c r="M3725" t="s">
        <v>19177</v>
      </c>
      <c r="N3725" t="s">
        <v>16375</v>
      </c>
      <c r="O3725" t="s">
        <v>640</v>
      </c>
      <c r="P3725" t="s">
        <v>623</v>
      </c>
    </row>
    <row r="3726">
      <c r="A3726">
        <f>HYPERLINK("http://bombeiros.sp.gov.br/hidrantes/03individual/27324.html","27324")</f>
      </c>
      <c r="B3726" t="s">
        <v>623</v>
      </c>
      <c r="C3726" t="s">
        <v>802</v>
      </c>
      <c r="D3726" t="s">
        <v>803</v>
      </c>
      <c r="E3726" t="s">
        <v>15</v>
      </c>
      <c r="F3726" t="s">
        <v>17140</v>
      </c>
      <c r="G3726" t="s">
        <v>18143</v>
      </c>
      <c r="H3726" t="s">
        <v>1112</v>
      </c>
      <c r="I3726" t="s">
        <v>1108</v>
      </c>
      <c r="J3726" t="s">
        <v>17141</v>
      </c>
      <c r="K3726" t="s">
        <v>17142</v>
      </c>
      <c r="L3726" t="s">
        <v>21</v>
      </c>
      <c r="M3726" t="s">
        <v>19177</v>
      </c>
      <c r="N3726" t="s">
        <v>16375</v>
      </c>
      <c r="O3726" t="s">
        <v>640</v>
      </c>
      <c r="P3726" t="s">
        <v>623</v>
      </c>
    </row>
    <row r="3727">
      <c r="A3727">
        <f>HYPERLINK("http://bombeiros.sp.gov.br/hidrantes/03individual/27422.html","27422")</f>
      </c>
      <c r="B3727" t="s">
        <v>623</v>
      </c>
      <c r="C3727" t="s">
        <v>802</v>
      </c>
      <c r="D3727" t="s">
        <v>807</v>
      </c>
      <c r="E3727" t="s">
        <v>64</v>
      </c>
      <c r="F3727" t="s">
        <v>17337</v>
      </c>
      <c r="G3727" t="s">
        <v>18084</v>
      </c>
      <c r="H3727" t="s">
        <v>1112</v>
      </c>
      <c r="I3727" t="s">
        <v>1108</v>
      </c>
      <c r="J3727" t="s">
        <v>17338</v>
      </c>
      <c r="K3727" t="s">
        <v>17339</v>
      </c>
      <c r="L3727" t="s">
        <v>21</v>
      </c>
      <c r="M3727" t="s">
        <v>19177</v>
      </c>
      <c r="N3727" t="s">
        <v>16375</v>
      </c>
      <c r="O3727" t="s">
        <v>640</v>
      </c>
      <c r="P3727" t="s">
        <v>623</v>
      </c>
    </row>
    <row r="3728">
      <c r="A3728">
        <f>HYPERLINK("http://bombeiros.sp.gov.br/hidrantes/03individual/27573.html","27573")</f>
      </c>
      <c r="B3728" t="s">
        <v>623</v>
      </c>
      <c r="C3728" t="s">
        <v>802</v>
      </c>
      <c r="D3728" t="s">
        <v>807</v>
      </c>
      <c r="E3728" t="s">
        <v>64</v>
      </c>
      <c r="F3728" t="s">
        <v>17455</v>
      </c>
      <c r="G3728" t="s">
        <v>18084</v>
      </c>
      <c r="H3728" t="s">
        <v>1112</v>
      </c>
      <c r="I3728" t="s">
        <v>1108</v>
      </c>
      <c r="J3728" t="s">
        <v>17456</v>
      </c>
      <c r="K3728" t="s">
        <v>17457</v>
      </c>
      <c r="L3728" t="s">
        <v>21</v>
      </c>
      <c r="M3728" t="s">
        <v>19177</v>
      </c>
      <c r="N3728" t="s">
        <v>16375</v>
      </c>
      <c r="O3728" t="s">
        <v>640</v>
      </c>
      <c r="P3728" t="s">
        <v>623</v>
      </c>
    </row>
    <row r="3729">
      <c r="A3729">
        <f>HYPERLINK("http://bombeiros.sp.gov.br/hidrantes/03individual/1243.html","1243")</f>
      </c>
      <c r="B3729" t="s">
        <v>623</v>
      </c>
      <c r="C3729" t="s">
        <v>802</v>
      </c>
      <c r="D3729" t="s">
        <v>807</v>
      </c>
      <c r="E3729" t="s">
        <v>15</v>
      </c>
      <c r="F3729" t="s">
        <v>11449</v>
      </c>
      <c r="G3729" t="s">
        <v>18084</v>
      </c>
      <c r="H3729" t="s">
        <v>1112</v>
      </c>
      <c r="I3729" t="s">
        <v>1108</v>
      </c>
      <c r="J3729" t="s">
        <v>11450</v>
      </c>
      <c r="K3729" t="s">
        <v>11451</v>
      </c>
      <c r="L3729" t="s">
        <v>21</v>
      </c>
      <c r="M3729" t="s">
        <v>19177</v>
      </c>
      <c r="N3729" t="s">
        <v>16375</v>
      </c>
      <c r="O3729" t="s">
        <v>640</v>
      </c>
      <c r="P3729" t="s">
        <v>623</v>
      </c>
    </row>
    <row r="3730">
      <c r="A3730">
        <f>HYPERLINK("http://bombeiros.sp.gov.br/hidrantes/03individual/1245.html","1245")</f>
      </c>
      <c r="B3730" t="s">
        <v>623</v>
      </c>
      <c r="C3730" t="s">
        <v>802</v>
      </c>
      <c r="D3730" t="s">
        <v>807</v>
      </c>
      <c r="E3730" t="s">
        <v>15</v>
      </c>
      <c r="F3730" t="s">
        <v>808</v>
      </c>
      <c r="G3730" t="s">
        <v>18062</v>
      </c>
      <c r="H3730" t="s">
        <v>1121</v>
      </c>
      <c r="I3730" t="s">
        <v>1117</v>
      </c>
      <c r="J3730" t="s">
        <v>809</v>
      </c>
      <c r="K3730" t="s">
        <v>810</v>
      </c>
      <c r="L3730" t="s">
        <v>21</v>
      </c>
      <c r="M3730" t="s">
        <v>19177</v>
      </c>
      <c r="N3730" t="s">
        <v>16375</v>
      </c>
      <c r="O3730" t="s">
        <v>640</v>
      </c>
      <c r="P3730" t="s">
        <v>623</v>
      </c>
    </row>
    <row r="3731">
      <c r="A3731">
        <f>HYPERLINK("http://bombeiros.sp.gov.br/hidrantes/03individual/1254.html","1254")</f>
      </c>
      <c r="B3731" t="s">
        <v>623</v>
      </c>
      <c r="C3731" t="s">
        <v>802</v>
      </c>
      <c r="D3731" t="s">
        <v>807</v>
      </c>
      <c r="E3731" t="s">
        <v>15</v>
      </c>
      <c r="F3731" t="s">
        <v>11452</v>
      </c>
      <c r="G3731" t="s">
        <v>18143</v>
      </c>
      <c r="H3731" t="s">
        <v>1112</v>
      </c>
      <c r="I3731" t="s">
        <v>1108</v>
      </c>
      <c r="J3731" t="s">
        <v>11453</v>
      </c>
      <c r="K3731" t="s">
        <v>11454</v>
      </c>
      <c r="L3731" t="s">
        <v>21</v>
      </c>
      <c r="M3731" t="s">
        <v>19177</v>
      </c>
      <c r="N3731" t="s">
        <v>16375</v>
      </c>
      <c r="O3731" t="s">
        <v>640</v>
      </c>
      <c r="P3731" t="s">
        <v>623</v>
      </c>
    </row>
    <row r="3732">
      <c r="A3732">
        <f>HYPERLINK("http://bombeiros.sp.gov.br/hidrantes/03individual/5381.html","5381")</f>
      </c>
      <c r="B3732" t="s">
        <v>623</v>
      </c>
      <c r="C3732" t="s">
        <v>802</v>
      </c>
      <c r="D3732" t="s">
        <v>807</v>
      </c>
      <c r="E3732" t="s">
        <v>15</v>
      </c>
      <c r="F3732" t="s">
        <v>11455</v>
      </c>
      <c r="G3732" t="s">
        <v>18183</v>
      </c>
      <c r="H3732" t="s">
        <v>1112</v>
      </c>
      <c r="I3732" t="s">
        <v>1108</v>
      </c>
      <c r="J3732" t="s">
        <v>11456</v>
      </c>
      <c r="K3732" t="s">
        <v>11457</v>
      </c>
      <c r="L3732" t="s">
        <v>21</v>
      </c>
      <c r="M3732" t="s">
        <v>19177</v>
      </c>
      <c r="N3732" t="s">
        <v>16375</v>
      </c>
      <c r="O3732" t="s">
        <v>640</v>
      </c>
      <c r="P3732" t="s">
        <v>623</v>
      </c>
    </row>
    <row r="3733">
      <c r="A3733">
        <f>HYPERLINK("http://bombeiros.sp.gov.br/hidrantes/03individual/17767.html","17767")</f>
      </c>
      <c r="B3733" t="s">
        <v>623</v>
      </c>
      <c r="C3733" t="s">
        <v>802</v>
      </c>
      <c r="D3733" t="s">
        <v>807</v>
      </c>
      <c r="E3733" t="s">
        <v>15</v>
      </c>
      <c r="F3733" t="s">
        <v>11458</v>
      </c>
      <c r="G3733" t="s">
        <v>18084</v>
      </c>
      <c r="H3733" t="s">
        <v>1121</v>
      </c>
      <c r="I3733" t="s">
        <v>1117</v>
      </c>
      <c r="J3733" t="s">
        <v>11459</v>
      </c>
      <c r="K3733" t="s">
        <v>11460</v>
      </c>
      <c r="L3733" t="s">
        <v>21</v>
      </c>
      <c r="M3733" t="s">
        <v>19177</v>
      </c>
      <c r="N3733" t="s">
        <v>16375</v>
      </c>
      <c r="O3733" t="s">
        <v>640</v>
      </c>
      <c r="P3733" t="s">
        <v>623</v>
      </c>
    </row>
    <row r="3734">
      <c r="A3734">
        <f>HYPERLINK("http://bombeiros.sp.gov.br/hidrantes/03individual/17768.html","17768")</f>
      </c>
      <c r="B3734" t="s">
        <v>623</v>
      </c>
      <c r="C3734" t="s">
        <v>802</v>
      </c>
      <c r="D3734" t="s">
        <v>807</v>
      </c>
      <c r="E3734" t="s">
        <v>15</v>
      </c>
      <c r="F3734" t="s">
        <v>11461</v>
      </c>
      <c r="G3734" t="s">
        <v>18084</v>
      </c>
      <c r="H3734" t="s">
        <v>1121</v>
      </c>
      <c r="I3734" t="s">
        <v>1117</v>
      </c>
      <c r="J3734" t="s">
        <v>11462</v>
      </c>
      <c r="K3734" t="s">
        <v>11463</v>
      </c>
      <c r="L3734" t="s">
        <v>21</v>
      </c>
      <c r="M3734" t="s">
        <v>19177</v>
      </c>
      <c r="N3734" t="s">
        <v>16375</v>
      </c>
      <c r="O3734" t="s">
        <v>640</v>
      </c>
      <c r="P3734" t="s">
        <v>623</v>
      </c>
    </row>
    <row r="3735">
      <c r="A3735">
        <f>HYPERLINK("http://bombeiros.sp.gov.br/hidrantes/03individual/17808.html","17808")</f>
      </c>
      <c r="B3735" t="s">
        <v>623</v>
      </c>
      <c r="C3735" t="s">
        <v>802</v>
      </c>
      <c r="D3735" t="s">
        <v>807</v>
      </c>
      <c r="E3735" t="s">
        <v>15</v>
      </c>
      <c r="F3735" t="s">
        <v>11464</v>
      </c>
      <c r="G3735" t="s">
        <v>18084</v>
      </c>
      <c r="H3735" t="s">
        <v>1112</v>
      </c>
      <c r="I3735" t="s">
        <v>1108</v>
      </c>
      <c r="J3735" t="s">
        <v>11465</v>
      </c>
      <c r="K3735" t="s">
        <v>11466</v>
      </c>
      <c r="L3735" t="s">
        <v>21</v>
      </c>
      <c r="M3735" t="s">
        <v>19177</v>
      </c>
      <c r="N3735" t="s">
        <v>16375</v>
      </c>
      <c r="O3735" t="s">
        <v>640</v>
      </c>
      <c r="P3735" t="s">
        <v>623</v>
      </c>
    </row>
    <row r="3736">
      <c r="A3736">
        <f>HYPERLINK("http://bombeiros.sp.gov.br/hidrantes/03individual/28045.html","28045")</f>
      </c>
      <c r="B3736" t="s">
        <v>623</v>
      </c>
      <c r="C3736" t="s">
        <v>802</v>
      </c>
      <c r="D3736" t="s">
        <v>807</v>
      </c>
      <c r="E3736" t="s">
        <v>15</v>
      </c>
      <c r="F3736" t="s">
        <v>18161</v>
      </c>
      <c r="G3736" t="s">
        <v>18063</v>
      </c>
      <c r="H3736" t="s">
        <v>1121</v>
      </c>
      <c r="I3736" t="s">
        <v>1117</v>
      </c>
      <c r="J3736" t="s">
        <v>18162</v>
      </c>
      <c r="K3736" t="s">
        <v>18163</v>
      </c>
      <c r="L3736" t="s">
        <v>21</v>
      </c>
      <c r="M3736" t="s">
        <v>19177</v>
      </c>
      <c r="N3736" t="s">
        <v>16375</v>
      </c>
      <c r="O3736" t="s">
        <v>640</v>
      </c>
      <c r="P3736" t="s">
        <v>623</v>
      </c>
    </row>
    <row r="3737">
      <c r="A3737">
        <f>HYPERLINK("http://bombeiros.sp.gov.br/hidrantes/03individual/1223.html","1223")</f>
      </c>
      <c r="B3737" t="s">
        <v>623</v>
      </c>
      <c r="C3737" t="s">
        <v>802</v>
      </c>
      <c r="D3737" t="s">
        <v>802</v>
      </c>
      <c r="E3737" t="s">
        <v>64</v>
      </c>
      <c r="F3737" t="s">
        <v>11467</v>
      </c>
      <c r="G3737" t="s">
        <v>18194</v>
      </c>
      <c r="H3737" t="s">
        <v>1112</v>
      </c>
      <c r="I3737" t="s">
        <v>1108</v>
      </c>
      <c r="J3737" t="s">
        <v>11468</v>
      </c>
      <c r="K3737" t="s">
        <v>11469</v>
      </c>
      <c r="L3737" t="s">
        <v>36</v>
      </c>
      <c r="M3737" t="s">
        <v>19177</v>
      </c>
      <c r="N3737" t="s">
        <v>16375</v>
      </c>
      <c r="O3737" t="s">
        <v>640</v>
      </c>
      <c r="P3737" t="s">
        <v>623</v>
      </c>
    </row>
    <row r="3738">
      <c r="A3738">
        <f>HYPERLINK("http://bombeiros.sp.gov.br/hidrantes/03individual/1225.html","1225")</f>
      </c>
      <c r="B3738" t="s">
        <v>623</v>
      </c>
      <c r="C3738" t="s">
        <v>802</v>
      </c>
      <c r="D3738" t="s">
        <v>802</v>
      </c>
      <c r="E3738" t="s">
        <v>64</v>
      </c>
      <c r="F3738" t="s">
        <v>811</v>
      </c>
      <c r="G3738" t="s">
        <v>18183</v>
      </c>
      <c r="H3738" t="s">
        <v>1107</v>
      </c>
      <c r="I3738" t="s">
        <v>1108</v>
      </c>
      <c r="J3738" t="s">
        <v>813</v>
      </c>
      <c r="K3738" t="s">
        <v>814</v>
      </c>
      <c r="L3738" t="s">
        <v>36</v>
      </c>
      <c r="M3738" t="s">
        <v>19177</v>
      </c>
      <c r="N3738" t="s">
        <v>16375</v>
      </c>
      <c r="O3738" t="s">
        <v>640</v>
      </c>
      <c r="P3738" t="s">
        <v>623</v>
      </c>
    </row>
    <row r="3739">
      <c r="A3739">
        <f>HYPERLINK("http://bombeiros.sp.gov.br/hidrantes/03individual/4236.html","4236")</f>
      </c>
      <c r="B3739" t="s">
        <v>623</v>
      </c>
      <c r="C3739" t="s">
        <v>802</v>
      </c>
      <c r="D3739" t="s">
        <v>802</v>
      </c>
      <c r="E3739" t="s">
        <v>64</v>
      </c>
      <c r="F3739" t="s">
        <v>11470</v>
      </c>
      <c r="G3739" t="s">
        <v>17867</v>
      </c>
      <c r="H3739" t="s">
        <v>1121</v>
      </c>
      <c r="I3739" t="s">
        <v>1117</v>
      </c>
      <c r="J3739" t="s">
        <v>19063</v>
      </c>
      <c r="K3739" t="s">
        <v>19064</v>
      </c>
      <c r="L3739" t="s">
        <v>21</v>
      </c>
      <c r="M3739" t="s">
        <v>19177</v>
      </c>
      <c r="N3739" t="s">
        <v>16375</v>
      </c>
      <c r="O3739" t="s">
        <v>640</v>
      </c>
      <c r="P3739" t="s">
        <v>623</v>
      </c>
    </row>
    <row r="3740">
      <c r="A3740">
        <f>HYPERLINK("http://bombeiros.sp.gov.br/hidrantes/03individual/15285.html","15285")</f>
      </c>
      <c r="B3740" t="s">
        <v>623</v>
      </c>
      <c r="C3740" t="s">
        <v>802</v>
      </c>
      <c r="D3740" t="s">
        <v>802</v>
      </c>
      <c r="E3740" t="s">
        <v>64</v>
      </c>
      <c r="F3740" t="s">
        <v>11473</v>
      </c>
      <c r="G3740" t="s">
        <v>17867</v>
      </c>
      <c r="H3740" t="s">
        <v>1112</v>
      </c>
      <c r="I3740" t="s">
        <v>1108</v>
      </c>
      <c r="J3740" t="s">
        <v>11474</v>
      </c>
      <c r="K3740" t="s">
        <v>11475</v>
      </c>
      <c r="L3740" t="s">
        <v>21</v>
      </c>
      <c r="M3740" t="s">
        <v>19177</v>
      </c>
      <c r="N3740" t="s">
        <v>16375</v>
      </c>
      <c r="O3740" t="s">
        <v>640</v>
      </c>
      <c r="P3740" t="s">
        <v>623</v>
      </c>
    </row>
    <row r="3741">
      <c r="A3741">
        <f>HYPERLINK("http://bombeiros.sp.gov.br/hidrantes/03individual/1113.html","1113")</f>
      </c>
      <c r="B3741" t="s">
        <v>623</v>
      </c>
      <c r="C3741" t="s">
        <v>802</v>
      </c>
      <c r="D3741" t="s">
        <v>802</v>
      </c>
      <c r="E3741" t="s">
        <v>15</v>
      </c>
      <c r="F3741" t="s">
        <v>11476</v>
      </c>
      <c r="G3741" t="s">
        <v>18252</v>
      </c>
      <c r="H3741" t="s">
        <v>1107</v>
      </c>
      <c r="I3741" t="s">
        <v>1108</v>
      </c>
      <c r="J3741" t="s">
        <v>11477</v>
      </c>
      <c r="K3741" t="s">
        <v>11478</v>
      </c>
      <c r="L3741" t="s">
        <v>21</v>
      </c>
      <c r="M3741" t="s">
        <v>19177</v>
      </c>
      <c r="N3741" t="s">
        <v>16375</v>
      </c>
      <c r="O3741" t="s">
        <v>640</v>
      </c>
      <c r="P3741" t="s">
        <v>623</v>
      </c>
    </row>
    <row r="3742">
      <c r="A3742">
        <f>HYPERLINK("http://bombeiros.sp.gov.br/hidrantes/03individual/4233.html","4233")</f>
      </c>
      <c r="B3742" t="s">
        <v>623</v>
      </c>
      <c r="C3742" t="s">
        <v>802</v>
      </c>
      <c r="D3742" t="s">
        <v>802</v>
      </c>
      <c r="E3742" t="s">
        <v>15</v>
      </c>
      <c r="F3742" t="s">
        <v>11479</v>
      </c>
      <c r="G3742" t="s">
        <v>17949</v>
      </c>
      <c r="H3742" t="s">
        <v>1121</v>
      </c>
      <c r="I3742" t="s">
        <v>1117</v>
      </c>
      <c r="J3742" t="s">
        <v>11480</v>
      </c>
      <c r="K3742" t="s">
        <v>11481</v>
      </c>
      <c r="L3742" t="s">
        <v>21</v>
      </c>
      <c r="M3742" t="s">
        <v>19177</v>
      </c>
      <c r="N3742" t="s">
        <v>16375</v>
      </c>
      <c r="O3742" t="s">
        <v>640</v>
      </c>
      <c r="P3742" t="s">
        <v>623</v>
      </c>
    </row>
    <row r="3743">
      <c r="A3743">
        <f>HYPERLINK("http://bombeiros.sp.gov.br/hidrantes/03individual/17759.html","17759")</f>
      </c>
      <c r="B3743" t="s">
        <v>623</v>
      </c>
      <c r="C3743" t="s">
        <v>802</v>
      </c>
      <c r="D3743" t="s">
        <v>802</v>
      </c>
      <c r="E3743" t="s">
        <v>15</v>
      </c>
      <c r="F3743" t="s">
        <v>11482</v>
      </c>
      <c r="G3743" t="s">
        <v>18084</v>
      </c>
      <c r="H3743" t="s">
        <v>1121</v>
      </c>
      <c r="I3743" t="s">
        <v>1117</v>
      </c>
      <c r="J3743" t="s">
        <v>11483</v>
      </c>
      <c r="K3743" t="s">
        <v>11484</v>
      </c>
      <c r="L3743" t="s">
        <v>21</v>
      </c>
      <c r="M3743" t="s">
        <v>19177</v>
      </c>
      <c r="N3743" t="s">
        <v>16375</v>
      </c>
      <c r="O3743" t="s">
        <v>640</v>
      </c>
      <c r="P3743" t="s">
        <v>623</v>
      </c>
    </row>
    <row r="3744">
      <c r="A3744">
        <f>HYPERLINK("http://bombeiros.sp.gov.br/hidrantes/03individual/17765.html","17765")</f>
      </c>
      <c r="B3744" t="s">
        <v>623</v>
      </c>
      <c r="C3744" t="s">
        <v>802</v>
      </c>
      <c r="D3744" t="s">
        <v>802</v>
      </c>
      <c r="E3744" t="s">
        <v>15</v>
      </c>
      <c r="F3744" t="s">
        <v>11485</v>
      </c>
      <c r="G3744" t="s">
        <v>18252</v>
      </c>
      <c r="H3744" t="s">
        <v>1174</v>
      </c>
      <c r="I3744" t="s">
        <v>1108</v>
      </c>
      <c r="J3744" t="s">
        <v>11486</v>
      </c>
      <c r="K3744" t="s">
        <v>11487</v>
      </c>
      <c r="L3744" t="s">
        <v>21</v>
      </c>
      <c r="M3744" t="s">
        <v>19177</v>
      </c>
      <c r="N3744" t="s">
        <v>16375</v>
      </c>
      <c r="O3744" t="s">
        <v>640</v>
      </c>
      <c r="P3744" t="s">
        <v>623</v>
      </c>
    </row>
    <row r="3745">
      <c r="A3745">
        <f>HYPERLINK("http://bombeiros.sp.gov.br/hidrantes/03individual/17797.html","17797")</f>
      </c>
      <c r="B3745" t="s">
        <v>623</v>
      </c>
      <c r="C3745" t="s">
        <v>802</v>
      </c>
      <c r="D3745" t="s">
        <v>802</v>
      </c>
      <c r="E3745" t="s">
        <v>15</v>
      </c>
      <c r="F3745" t="s">
        <v>11488</v>
      </c>
      <c r="G3745" t="s">
        <v>18194</v>
      </c>
      <c r="H3745" t="s">
        <v>1112</v>
      </c>
      <c r="I3745" t="s">
        <v>1108</v>
      </c>
      <c r="J3745" t="s">
        <v>11489</v>
      </c>
      <c r="K3745" t="s">
        <v>11490</v>
      </c>
      <c r="L3745" t="s">
        <v>21</v>
      </c>
      <c r="M3745" t="s">
        <v>19177</v>
      </c>
      <c r="N3745" t="s">
        <v>16375</v>
      </c>
      <c r="O3745" t="s">
        <v>640</v>
      </c>
      <c r="P3745" t="s">
        <v>623</v>
      </c>
    </row>
    <row r="3746">
      <c r="A3746">
        <f>HYPERLINK("http://bombeiros.sp.gov.br/hidrantes/03individual/17814.html","17814")</f>
      </c>
      <c r="B3746" t="s">
        <v>623</v>
      </c>
      <c r="C3746" t="s">
        <v>802</v>
      </c>
      <c r="D3746" t="s">
        <v>802</v>
      </c>
      <c r="E3746" t="s">
        <v>15</v>
      </c>
      <c r="F3746" t="s">
        <v>11491</v>
      </c>
      <c r="G3746" t="s">
        <v>18173</v>
      </c>
      <c r="H3746" t="s">
        <v>1107</v>
      </c>
      <c r="I3746" t="s">
        <v>1108</v>
      </c>
      <c r="J3746" t="s">
        <v>11492</v>
      </c>
      <c r="K3746" t="s">
        <v>11493</v>
      </c>
      <c r="L3746" t="s">
        <v>21</v>
      </c>
      <c r="M3746" t="s">
        <v>19177</v>
      </c>
      <c r="N3746" t="s">
        <v>16375</v>
      </c>
      <c r="O3746" t="s">
        <v>640</v>
      </c>
      <c r="P3746" t="s">
        <v>623</v>
      </c>
    </row>
    <row r="3747">
      <c r="A3747">
        <f>HYPERLINK("http://bombeiros.sp.gov.br/hidrantes/03individual/23051.html","23051")</f>
      </c>
      <c r="B3747" t="s">
        <v>623</v>
      </c>
      <c r="C3747" t="s">
        <v>802</v>
      </c>
      <c r="D3747" t="s">
        <v>802</v>
      </c>
      <c r="E3747" t="s">
        <v>15</v>
      </c>
      <c r="F3747" t="s">
        <v>11494</v>
      </c>
      <c r="G3747" t="s">
        <v>18194</v>
      </c>
      <c r="H3747" t="s">
        <v>1112</v>
      </c>
      <c r="I3747" t="s">
        <v>1108</v>
      </c>
      <c r="J3747" t="s">
        <v>11495</v>
      </c>
      <c r="K3747" t="s">
        <v>11496</v>
      </c>
      <c r="L3747" t="s">
        <v>21</v>
      </c>
      <c r="M3747" t="s">
        <v>19177</v>
      </c>
      <c r="N3747" t="s">
        <v>16375</v>
      </c>
      <c r="O3747" t="s">
        <v>640</v>
      </c>
      <c r="P3747" t="s">
        <v>623</v>
      </c>
    </row>
    <row r="3748">
      <c r="A3748">
        <f>HYPERLINK("http://bombeiros.sp.gov.br/hidrantes/03individual/24103.html","24103")</f>
      </c>
      <c r="B3748" t="s">
        <v>623</v>
      </c>
      <c r="C3748" t="s">
        <v>802</v>
      </c>
      <c r="D3748" t="s">
        <v>802</v>
      </c>
      <c r="E3748" t="s">
        <v>15</v>
      </c>
      <c r="F3748" t="s">
        <v>11497</v>
      </c>
      <c r="G3748" t="s">
        <v>18099</v>
      </c>
      <c r="H3748" t="s">
        <v>1121</v>
      </c>
      <c r="I3748" t="s">
        <v>1117</v>
      </c>
      <c r="J3748" t="s">
        <v>11498</v>
      </c>
      <c r="K3748" t="s">
        <v>11499</v>
      </c>
      <c r="L3748" t="s">
        <v>21</v>
      </c>
      <c r="M3748" t="s">
        <v>19177</v>
      </c>
      <c r="N3748" t="s">
        <v>16375</v>
      </c>
      <c r="O3748" t="s">
        <v>640</v>
      </c>
      <c r="P3748" t="s">
        <v>623</v>
      </c>
    </row>
    <row r="3749">
      <c r="A3749">
        <f>HYPERLINK("http://bombeiros.sp.gov.br/hidrantes/03individual/28046.html","28046")</f>
      </c>
      <c r="B3749" t="s">
        <v>623</v>
      </c>
      <c r="C3749" t="s">
        <v>802</v>
      </c>
      <c r="D3749" t="s">
        <v>802</v>
      </c>
      <c r="E3749" t="s">
        <v>15</v>
      </c>
      <c r="F3749" t="s">
        <v>18266</v>
      </c>
      <c r="G3749" t="s">
        <v>18062</v>
      </c>
      <c r="H3749" t="s">
        <v>1121</v>
      </c>
      <c r="I3749" t="s">
        <v>1117</v>
      </c>
      <c r="J3749" t="s">
        <v>18267</v>
      </c>
      <c r="K3749" t="s">
        <v>18268</v>
      </c>
      <c r="L3749" t="s">
        <v>21</v>
      </c>
      <c r="M3749" t="s">
        <v>19177</v>
      </c>
      <c r="N3749" t="s">
        <v>16375</v>
      </c>
      <c r="O3749" t="s">
        <v>640</v>
      </c>
      <c r="P3749" t="s">
        <v>623</v>
      </c>
    </row>
    <row r="3750">
      <c r="A3750">
        <f>HYPERLINK("http://bombeiros.sp.gov.br/hidrantes/03individual/1144.html","1144")</f>
      </c>
      <c r="B3750" t="s">
        <v>623</v>
      </c>
      <c r="C3750" t="s">
        <v>821</v>
      </c>
      <c r="D3750" t="s">
        <v>11500</v>
      </c>
      <c r="E3750" t="s">
        <v>15</v>
      </c>
      <c r="F3750" t="s">
        <v>11501</v>
      </c>
      <c r="G3750" t="s">
        <v>18146</v>
      </c>
      <c r="H3750" t="s">
        <v>1112</v>
      </c>
      <c r="I3750" t="s">
        <v>1108</v>
      </c>
      <c r="J3750" t="s">
        <v>11502</v>
      </c>
      <c r="K3750" t="s">
        <v>11503</v>
      </c>
      <c r="L3750" t="s">
        <v>21</v>
      </c>
      <c r="M3750" t="s">
        <v>19177</v>
      </c>
      <c r="N3750" t="s">
        <v>714</v>
      </c>
      <c r="O3750" t="s">
        <v>10263</v>
      </c>
      <c r="P3750" t="s">
        <v>12</v>
      </c>
    </row>
    <row r="3751">
      <c r="A3751">
        <f>HYPERLINK("http://bombeiros.sp.gov.br/hidrantes/03individual/1156.html","1156")</f>
      </c>
      <c r="B3751" t="s">
        <v>623</v>
      </c>
      <c r="C3751" t="s">
        <v>821</v>
      </c>
      <c r="D3751" t="s">
        <v>11500</v>
      </c>
      <c r="E3751" t="s">
        <v>15</v>
      </c>
      <c r="F3751" t="s">
        <v>11504</v>
      </c>
      <c r="G3751" t="s">
        <v>18110</v>
      </c>
      <c r="H3751" t="s">
        <v>1174</v>
      </c>
      <c r="I3751" t="s">
        <v>1108</v>
      </c>
      <c r="J3751" t="s">
        <v>11505</v>
      </c>
      <c r="K3751" t="s">
        <v>11506</v>
      </c>
      <c r="L3751" t="s">
        <v>21</v>
      </c>
      <c r="M3751" t="s">
        <v>19177</v>
      </c>
      <c r="N3751" t="s">
        <v>714</v>
      </c>
      <c r="O3751" t="s">
        <v>10263</v>
      </c>
      <c r="P3751" t="s">
        <v>12</v>
      </c>
    </row>
    <row r="3752">
      <c r="A3752">
        <f>HYPERLINK("http://bombeiros.sp.gov.br/hidrantes/03individual/17707.html","17707")</f>
      </c>
      <c r="B3752" t="s">
        <v>623</v>
      </c>
      <c r="C3752" t="s">
        <v>821</v>
      </c>
      <c r="D3752" t="s">
        <v>11500</v>
      </c>
      <c r="E3752" t="s">
        <v>15</v>
      </c>
      <c r="F3752" t="s">
        <v>11507</v>
      </c>
      <c r="G3752" t="s">
        <v>18050</v>
      </c>
      <c r="H3752" t="s">
        <v>1112</v>
      </c>
      <c r="I3752" t="s">
        <v>1108</v>
      </c>
      <c r="J3752" t="s">
        <v>11508</v>
      </c>
      <c r="K3752" t="s">
        <v>11509</v>
      </c>
      <c r="L3752" t="s">
        <v>21</v>
      </c>
      <c r="M3752" t="s">
        <v>19177</v>
      </c>
      <c r="N3752" t="s">
        <v>714</v>
      </c>
      <c r="O3752" t="s">
        <v>10263</v>
      </c>
      <c r="P3752" t="s">
        <v>12</v>
      </c>
    </row>
    <row r="3753">
      <c r="A3753">
        <f>HYPERLINK("http://bombeiros.sp.gov.br/hidrantes/03individual/26887.html","26887")</f>
      </c>
      <c r="B3753" t="s">
        <v>623</v>
      </c>
      <c r="C3753" t="s">
        <v>821</v>
      </c>
      <c r="D3753" t="s">
        <v>11500</v>
      </c>
      <c r="E3753" t="s">
        <v>15</v>
      </c>
      <c r="F3753" t="s">
        <v>16300</v>
      </c>
      <c r="G3753" t="s">
        <v>18097</v>
      </c>
      <c r="H3753" t="s">
        <v>1112</v>
      </c>
      <c r="I3753" t="s">
        <v>1108</v>
      </c>
      <c r="J3753" t="s">
        <v>16906</v>
      </c>
      <c r="K3753" t="s">
        <v>16907</v>
      </c>
      <c r="L3753" t="s">
        <v>21</v>
      </c>
      <c r="M3753" t="s">
        <v>19177</v>
      </c>
      <c r="N3753" t="s">
        <v>714</v>
      </c>
      <c r="O3753" t="s">
        <v>10263</v>
      </c>
      <c r="P3753" t="s">
        <v>12</v>
      </c>
    </row>
    <row r="3754">
      <c r="A3754">
        <f>HYPERLINK("http://bombeiros.sp.gov.br/hidrantes/03individual/896.html","896")</f>
      </c>
      <c r="B3754" t="s">
        <v>623</v>
      </c>
      <c r="C3754" t="s">
        <v>821</v>
      </c>
      <c r="D3754" t="s">
        <v>822</v>
      </c>
      <c r="E3754" t="s">
        <v>64</v>
      </c>
      <c r="F3754" t="s">
        <v>11510</v>
      </c>
      <c r="G3754" t="s">
        <v>17725</v>
      </c>
      <c r="H3754" t="s">
        <v>1112</v>
      </c>
      <c r="I3754" t="s">
        <v>1108</v>
      </c>
      <c r="J3754" t="s">
        <v>11511</v>
      </c>
      <c r="K3754" t="s">
        <v>11512</v>
      </c>
      <c r="L3754" t="s">
        <v>21</v>
      </c>
      <c r="M3754" t="s">
        <v>19177</v>
      </c>
      <c r="N3754" t="s">
        <v>714</v>
      </c>
      <c r="O3754" t="s">
        <v>10263</v>
      </c>
      <c r="P3754" t="s">
        <v>12</v>
      </c>
    </row>
    <row r="3755">
      <c r="A3755">
        <f>HYPERLINK("http://bombeiros.sp.gov.br/hidrantes/03individual/6659.html","6659")</f>
      </c>
      <c r="B3755" t="s">
        <v>623</v>
      </c>
      <c r="C3755" t="s">
        <v>821</v>
      </c>
      <c r="D3755" t="s">
        <v>822</v>
      </c>
      <c r="E3755" t="s">
        <v>64</v>
      </c>
      <c r="F3755" t="s">
        <v>11513</v>
      </c>
      <c r="G3755" t="s">
        <v>18146</v>
      </c>
      <c r="H3755" t="s">
        <v>1112</v>
      </c>
      <c r="I3755" t="s">
        <v>1108</v>
      </c>
      <c r="J3755" t="s">
        <v>11514</v>
      </c>
      <c r="K3755" t="s">
        <v>11515</v>
      </c>
      <c r="L3755" t="s">
        <v>21</v>
      </c>
      <c r="M3755" t="s">
        <v>19177</v>
      </c>
      <c r="N3755" t="s">
        <v>714</v>
      </c>
      <c r="O3755" t="s">
        <v>10263</v>
      </c>
      <c r="P3755" t="s">
        <v>12</v>
      </c>
    </row>
    <row r="3756">
      <c r="A3756">
        <f>HYPERLINK("http://bombeiros.sp.gov.br/hidrantes/03individual/6660.html","6660")</f>
      </c>
      <c r="B3756" t="s">
        <v>623</v>
      </c>
      <c r="C3756" t="s">
        <v>821</v>
      </c>
      <c r="D3756" t="s">
        <v>822</v>
      </c>
      <c r="E3756" t="s">
        <v>64</v>
      </c>
      <c r="F3756" t="s">
        <v>11516</v>
      </c>
      <c r="G3756" t="s">
        <v>18146</v>
      </c>
      <c r="H3756" t="s">
        <v>1112</v>
      </c>
      <c r="I3756" t="s">
        <v>1108</v>
      </c>
      <c r="J3756" t="s">
        <v>11517</v>
      </c>
      <c r="K3756" t="s">
        <v>11518</v>
      </c>
      <c r="L3756" t="s">
        <v>21</v>
      </c>
      <c r="M3756" t="s">
        <v>19177</v>
      </c>
      <c r="N3756" t="s">
        <v>714</v>
      </c>
      <c r="O3756" t="s">
        <v>10263</v>
      </c>
      <c r="P3756" t="s">
        <v>12</v>
      </c>
    </row>
    <row r="3757">
      <c r="A3757">
        <f>HYPERLINK("http://bombeiros.sp.gov.br/hidrantes/03individual/6742.html","6742")</f>
      </c>
      <c r="B3757" t="s">
        <v>623</v>
      </c>
      <c r="C3757" t="s">
        <v>821</v>
      </c>
      <c r="D3757" t="s">
        <v>822</v>
      </c>
      <c r="E3757" t="s">
        <v>64</v>
      </c>
      <c r="F3757" t="s">
        <v>11519</v>
      </c>
      <c r="G3757" t="s">
        <v>18146</v>
      </c>
      <c r="H3757" t="s">
        <v>1112</v>
      </c>
      <c r="I3757" t="s">
        <v>1108</v>
      </c>
      <c r="J3757" t="s">
        <v>11520</v>
      </c>
      <c r="K3757" t="s">
        <v>11521</v>
      </c>
      <c r="L3757" t="s">
        <v>21</v>
      </c>
      <c r="M3757" t="s">
        <v>19177</v>
      </c>
      <c r="N3757" t="s">
        <v>714</v>
      </c>
      <c r="O3757" t="s">
        <v>10263</v>
      </c>
      <c r="P3757" t="s">
        <v>12</v>
      </c>
    </row>
    <row r="3758">
      <c r="A3758">
        <f>HYPERLINK("http://bombeiros.sp.gov.br/hidrantes/03individual/6743.html","6743")</f>
      </c>
      <c r="B3758" t="s">
        <v>623</v>
      </c>
      <c r="C3758" t="s">
        <v>821</v>
      </c>
      <c r="D3758" t="s">
        <v>822</v>
      </c>
      <c r="E3758" t="s">
        <v>64</v>
      </c>
      <c r="F3758" t="s">
        <v>11522</v>
      </c>
      <c r="G3758" t="s">
        <v>18146</v>
      </c>
      <c r="H3758" t="s">
        <v>1112</v>
      </c>
      <c r="I3758" t="s">
        <v>1108</v>
      </c>
      <c r="J3758" t="s">
        <v>11523</v>
      </c>
      <c r="K3758" t="s">
        <v>11524</v>
      </c>
      <c r="L3758" t="s">
        <v>21</v>
      </c>
      <c r="M3758" t="s">
        <v>19177</v>
      </c>
      <c r="N3758" t="s">
        <v>714</v>
      </c>
      <c r="O3758" t="s">
        <v>10263</v>
      </c>
      <c r="P3758" t="s">
        <v>12</v>
      </c>
    </row>
    <row r="3759">
      <c r="A3759">
        <f>HYPERLINK("http://bombeiros.sp.gov.br/hidrantes/03individual/6746.html","6746")</f>
      </c>
      <c r="B3759" t="s">
        <v>623</v>
      </c>
      <c r="C3759" t="s">
        <v>821</v>
      </c>
      <c r="D3759" t="s">
        <v>822</v>
      </c>
      <c r="E3759" t="s">
        <v>64</v>
      </c>
      <c r="F3759" t="s">
        <v>11525</v>
      </c>
      <c r="G3759" t="s">
        <v>18146</v>
      </c>
      <c r="H3759" t="s">
        <v>1112</v>
      </c>
      <c r="I3759" t="s">
        <v>1108</v>
      </c>
      <c r="J3759" t="s">
        <v>11526</v>
      </c>
      <c r="K3759" t="s">
        <v>11527</v>
      </c>
      <c r="L3759" t="s">
        <v>21</v>
      </c>
      <c r="M3759" t="s">
        <v>19177</v>
      </c>
      <c r="N3759" t="s">
        <v>714</v>
      </c>
      <c r="O3759" t="s">
        <v>10263</v>
      </c>
      <c r="P3759" t="s">
        <v>12</v>
      </c>
    </row>
    <row r="3760">
      <c r="A3760">
        <f>HYPERLINK("http://bombeiros.sp.gov.br/hidrantes/03individual/6747.html","6747")</f>
      </c>
      <c r="B3760" t="s">
        <v>623</v>
      </c>
      <c r="C3760" t="s">
        <v>821</v>
      </c>
      <c r="D3760" t="s">
        <v>822</v>
      </c>
      <c r="E3760" t="s">
        <v>64</v>
      </c>
      <c r="F3760" t="s">
        <v>11528</v>
      </c>
      <c r="G3760" t="s">
        <v>18146</v>
      </c>
      <c r="H3760" t="s">
        <v>1112</v>
      </c>
      <c r="I3760" t="s">
        <v>1108</v>
      </c>
      <c r="J3760" t="s">
        <v>11529</v>
      </c>
      <c r="K3760" t="s">
        <v>11530</v>
      </c>
      <c r="L3760" t="s">
        <v>21</v>
      </c>
      <c r="M3760" t="s">
        <v>19177</v>
      </c>
      <c r="N3760" t="s">
        <v>714</v>
      </c>
      <c r="O3760" t="s">
        <v>10263</v>
      </c>
      <c r="P3760" t="s">
        <v>12</v>
      </c>
    </row>
    <row r="3761">
      <c r="A3761">
        <f>HYPERLINK("http://bombeiros.sp.gov.br/hidrantes/03individual/6748.html","6748")</f>
      </c>
      <c r="B3761" t="s">
        <v>623</v>
      </c>
      <c r="C3761" t="s">
        <v>821</v>
      </c>
      <c r="D3761" t="s">
        <v>822</v>
      </c>
      <c r="E3761" t="s">
        <v>64</v>
      </c>
      <c r="F3761" t="s">
        <v>11531</v>
      </c>
      <c r="G3761" t="s">
        <v>18146</v>
      </c>
      <c r="H3761" t="s">
        <v>1112</v>
      </c>
      <c r="I3761" t="s">
        <v>1108</v>
      </c>
      <c r="J3761" t="s">
        <v>11532</v>
      </c>
      <c r="K3761" t="s">
        <v>11533</v>
      </c>
      <c r="L3761" t="s">
        <v>21</v>
      </c>
      <c r="M3761" t="s">
        <v>19177</v>
      </c>
      <c r="N3761" t="s">
        <v>714</v>
      </c>
      <c r="O3761" t="s">
        <v>10263</v>
      </c>
      <c r="P3761" t="s">
        <v>12</v>
      </c>
    </row>
    <row r="3762">
      <c r="A3762">
        <f>HYPERLINK("http://bombeiros.sp.gov.br/hidrantes/03individual/6749.html","6749")</f>
      </c>
      <c r="B3762" t="s">
        <v>623</v>
      </c>
      <c r="C3762" t="s">
        <v>821</v>
      </c>
      <c r="D3762" t="s">
        <v>822</v>
      </c>
      <c r="E3762" t="s">
        <v>64</v>
      </c>
      <c r="F3762" t="s">
        <v>11534</v>
      </c>
      <c r="G3762" t="s">
        <v>18146</v>
      </c>
      <c r="H3762" t="s">
        <v>1112</v>
      </c>
      <c r="I3762" t="s">
        <v>1108</v>
      </c>
      <c r="J3762" t="s">
        <v>11535</v>
      </c>
      <c r="K3762" t="s">
        <v>11536</v>
      </c>
      <c r="L3762" t="s">
        <v>21</v>
      </c>
      <c r="M3762" t="s">
        <v>19177</v>
      </c>
      <c r="N3762" t="s">
        <v>714</v>
      </c>
      <c r="O3762" t="s">
        <v>10263</v>
      </c>
      <c r="P3762" t="s">
        <v>12</v>
      </c>
    </row>
    <row r="3763">
      <c r="A3763">
        <f>HYPERLINK("http://bombeiros.sp.gov.br/hidrantes/03individual/6750.html","6750")</f>
      </c>
      <c r="B3763" t="s">
        <v>623</v>
      </c>
      <c r="C3763" t="s">
        <v>821</v>
      </c>
      <c r="D3763" t="s">
        <v>822</v>
      </c>
      <c r="E3763" t="s">
        <v>64</v>
      </c>
      <c r="F3763" t="s">
        <v>11537</v>
      </c>
      <c r="G3763" t="s">
        <v>18146</v>
      </c>
      <c r="H3763" t="s">
        <v>1112</v>
      </c>
      <c r="I3763" t="s">
        <v>1108</v>
      </c>
      <c r="J3763" t="s">
        <v>11538</v>
      </c>
      <c r="K3763" t="s">
        <v>11539</v>
      </c>
      <c r="L3763" t="s">
        <v>21</v>
      </c>
      <c r="M3763" t="s">
        <v>19177</v>
      </c>
      <c r="N3763" t="s">
        <v>714</v>
      </c>
      <c r="O3763" t="s">
        <v>10263</v>
      </c>
      <c r="P3763" t="s">
        <v>12</v>
      </c>
    </row>
    <row r="3764">
      <c r="A3764">
        <f>HYPERLINK("http://bombeiros.sp.gov.br/hidrantes/03individual/6751.html","6751")</f>
      </c>
      <c r="B3764" t="s">
        <v>623</v>
      </c>
      <c r="C3764" t="s">
        <v>821</v>
      </c>
      <c r="D3764" t="s">
        <v>822</v>
      </c>
      <c r="E3764" t="s">
        <v>64</v>
      </c>
      <c r="F3764" t="s">
        <v>11540</v>
      </c>
      <c r="G3764" t="s">
        <v>18146</v>
      </c>
      <c r="H3764" t="s">
        <v>1112</v>
      </c>
      <c r="I3764" t="s">
        <v>1108</v>
      </c>
      <c r="J3764" t="s">
        <v>11541</v>
      </c>
      <c r="K3764" t="s">
        <v>11542</v>
      </c>
      <c r="L3764" t="s">
        <v>21</v>
      </c>
      <c r="M3764" t="s">
        <v>19177</v>
      </c>
      <c r="N3764" t="s">
        <v>714</v>
      </c>
      <c r="O3764" t="s">
        <v>10263</v>
      </c>
      <c r="P3764" t="s">
        <v>12</v>
      </c>
    </row>
    <row r="3765">
      <c r="A3765">
        <f>HYPERLINK("http://bombeiros.sp.gov.br/hidrantes/03individual/6752.html","6752")</f>
      </c>
      <c r="B3765" t="s">
        <v>623</v>
      </c>
      <c r="C3765" t="s">
        <v>821</v>
      </c>
      <c r="D3765" t="s">
        <v>822</v>
      </c>
      <c r="E3765" t="s">
        <v>64</v>
      </c>
      <c r="F3765" t="s">
        <v>11543</v>
      </c>
      <c r="G3765" t="s">
        <v>18146</v>
      </c>
      <c r="H3765" t="s">
        <v>1112</v>
      </c>
      <c r="I3765" t="s">
        <v>1108</v>
      </c>
      <c r="J3765" t="s">
        <v>11544</v>
      </c>
      <c r="K3765" t="s">
        <v>11545</v>
      </c>
      <c r="L3765" t="s">
        <v>21</v>
      </c>
      <c r="M3765" t="s">
        <v>19177</v>
      </c>
      <c r="N3765" t="s">
        <v>714</v>
      </c>
      <c r="O3765" t="s">
        <v>10263</v>
      </c>
      <c r="P3765" t="s">
        <v>12</v>
      </c>
    </row>
    <row r="3766">
      <c r="A3766">
        <f>HYPERLINK("http://bombeiros.sp.gov.br/hidrantes/03individual/6753.html","6753")</f>
      </c>
      <c r="B3766" t="s">
        <v>623</v>
      </c>
      <c r="C3766" t="s">
        <v>821</v>
      </c>
      <c r="D3766" t="s">
        <v>822</v>
      </c>
      <c r="E3766" t="s">
        <v>64</v>
      </c>
      <c r="F3766" t="s">
        <v>11546</v>
      </c>
      <c r="G3766" t="s">
        <v>18146</v>
      </c>
      <c r="H3766" t="s">
        <v>1107</v>
      </c>
      <c r="I3766" t="s">
        <v>1108</v>
      </c>
      <c r="J3766" t="s">
        <v>11547</v>
      </c>
      <c r="K3766" t="s">
        <v>11548</v>
      </c>
      <c r="L3766" t="s">
        <v>21</v>
      </c>
      <c r="M3766" t="s">
        <v>19177</v>
      </c>
      <c r="N3766" t="s">
        <v>714</v>
      </c>
      <c r="O3766" t="s">
        <v>10263</v>
      </c>
      <c r="P3766" t="s">
        <v>12</v>
      </c>
    </row>
    <row r="3767">
      <c r="A3767">
        <f>HYPERLINK("http://bombeiros.sp.gov.br/hidrantes/03individual/6754.html","6754")</f>
      </c>
      <c r="B3767" t="s">
        <v>623</v>
      </c>
      <c r="C3767" t="s">
        <v>821</v>
      </c>
      <c r="D3767" t="s">
        <v>822</v>
      </c>
      <c r="E3767" t="s">
        <v>64</v>
      </c>
      <c r="F3767" t="s">
        <v>11525</v>
      </c>
      <c r="G3767" t="s">
        <v>18146</v>
      </c>
      <c r="H3767" t="s">
        <v>1112</v>
      </c>
      <c r="I3767" t="s">
        <v>1108</v>
      </c>
      <c r="J3767" t="s">
        <v>11549</v>
      </c>
      <c r="K3767" t="s">
        <v>11550</v>
      </c>
      <c r="L3767" t="s">
        <v>21</v>
      </c>
      <c r="M3767" t="s">
        <v>19177</v>
      </c>
      <c r="N3767" t="s">
        <v>714</v>
      </c>
      <c r="O3767" t="s">
        <v>10263</v>
      </c>
      <c r="P3767" t="s">
        <v>12</v>
      </c>
    </row>
    <row r="3768">
      <c r="A3768">
        <f>HYPERLINK("http://bombeiros.sp.gov.br/hidrantes/03individual/6755.html","6755")</f>
      </c>
      <c r="B3768" t="s">
        <v>623</v>
      </c>
      <c r="C3768" t="s">
        <v>821</v>
      </c>
      <c r="D3768" t="s">
        <v>822</v>
      </c>
      <c r="E3768" t="s">
        <v>64</v>
      </c>
      <c r="F3768" t="s">
        <v>11551</v>
      </c>
      <c r="G3768" t="s">
        <v>18146</v>
      </c>
      <c r="H3768" t="s">
        <v>1112</v>
      </c>
      <c r="I3768" t="s">
        <v>1108</v>
      </c>
      <c r="J3768" t="s">
        <v>11552</v>
      </c>
      <c r="K3768" t="s">
        <v>11553</v>
      </c>
      <c r="L3768" t="s">
        <v>21</v>
      </c>
      <c r="M3768" t="s">
        <v>19177</v>
      </c>
      <c r="N3768" t="s">
        <v>714</v>
      </c>
      <c r="O3768" t="s">
        <v>10263</v>
      </c>
      <c r="P3768" t="s">
        <v>12</v>
      </c>
    </row>
    <row r="3769">
      <c r="A3769">
        <f>HYPERLINK("http://bombeiros.sp.gov.br/hidrantes/03individual/6756.html","6756")</f>
      </c>
      <c r="B3769" t="s">
        <v>623</v>
      </c>
      <c r="C3769" t="s">
        <v>821</v>
      </c>
      <c r="D3769" t="s">
        <v>822</v>
      </c>
      <c r="E3769" t="s">
        <v>64</v>
      </c>
      <c r="F3769" t="s">
        <v>11554</v>
      </c>
      <c r="G3769" t="s">
        <v>18146</v>
      </c>
      <c r="H3769"/>
      <c r="I3769" t="s">
        <v>18</v>
      </c>
      <c r="J3769" t="s">
        <v>11555</v>
      </c>
      <c r="K3769" t="s">
        <v>11556</v>
      </c>
      <c r="L3769" t="s">
        <v>21</v>
      </c>
      <c r="M3769" t="s">
        <v>19177</v>
      </c>
      <c r="N3769" t="s">
        <v>714</v>
      </c>
      <c r="O3769" t="s">
        <v>10263</v>
      </c>
      <c r="P3769" t="s">
        <v>12</v>
      </c>
    </row>
    <row r="3770">
      <c r="A3770">
        <f>HYPERLINK("http://bombeiros.sp.gov.br/hidrantes/03individual/6757.html","6757")</f>
      </c>
      <c r="B3770" t="s">
        <v>623</v>
      </c>
      <c r="C3770" t="s">
        <v>821</v>
      </c>
      <c r="D3770" t="s">
        <v>822</v>
      </c>
      <c r="E3770" t="s">
        <v>64</v>
      </c>
      <c r="F3770" t="s">
        <v>11557</v>
      </c>
      <c r="G3770" t="s">
        <v>18146</v>
      </c>
      <c r="H3770" t="s">
        <v>1112</v>
      </c>
      <c r="I3770" t="s">
        <v>1108</v>
      </c>
      <c r="J3770" t="s">
        <v>11558</v>
      </c>
      <c r="K3770" t="s">
        <v>11559</v>
      </c>
      <c r="L3770" t="s">
        <v>21</v>
      </c>
      <c r="M3770" t="s">
        <v>19177</v>
      </c>
      <c r="N3770" t="s">
        <v>714</v>
      </c>
      <c r="O3770" t="s">
        <v>10263</v>
      </c>
      <c r="P3770" t="s">
        <v>12</v>
      </c>
    </row>
    <row r="3771">
      <c r="A3771">
        <f>HYPERLINK("http://bombeiros.sp.gov.br/hidrantes/03individual/6758.html","6758")</f>
      </c>
      <c r="B3771" t="s">
        <v>623</v>
      </c>
      <c r="C3771" t="s">
        <v>821</v>
      </c>
      <c r="D3771" t="s">
        <v>822</v>
      </c>
      <c r="E3771" t="s">
        <v>64</v>
      </c>
      <c r="F3771" t="s">
        <v>11557</v>
      </c>
      <c r="G3771" t="s">
        <v>18146</v>
      </c>
      <c r="H3771" t="s">
        <v>1112</v>
      </c>
      <c r="I3771" t="s">
        <v>1108</v>
      </c>
      <c r="J3771" t="s">
        <v>11560</v>
      </c>
      <c r="K3771" t="s">
        <v>11561</v>
      </c>
      <c r="L3771" t="s">
        <v>21</v>
      </c>
      <c r="M3771" t="s">
        <v>19177</v>
      </c>
      <c r="N3771" t="s">
        <v>714</v>
      </c>
      <c r="O3771" t="s">
        <v>10263</v>
      </c>
      <c r="P3771" t="s">
        <v>12</v>
      </c>
    </row>
    <row r="3772">
      <c r="A3772">
        <f>HYPERLINK("http://bombeiros.sp.gov.br/hidrantes/03individual/6760.html","6760")</f>
      </c>
      <c r="B3772" t="s">
        <v>623</v>
      </c>
      <c r="C3772" t="s">
        <v>821</v>
      </c>
      <c r="D3772" t="s">
        <v>822</v>
      </c>
      <c r="E3772" t="s">
        <v>64</v>
      </c>
      <c r="F3772" t="s">
        <v>11565</v>
      </c>
      <c r="G3772" t="s">
        <v>18146</v>
      </c>
      <c r="H3772" t="s">
        <v>1112</v>
      </c>
      <c r="I3772" t="s">
        <v>1108</v>
      </c>
      <c r="J3772" t="s">
        <v>11566</v>
      </c>
      <c r="K3772" t="s">
        <v>11567</v>
      </c>
      <c r="L3772" t="s">
        <v>21</v>
      </c>
      <c r="M3772" t="s">
        <v>19177</v>
      </c>
      <c r="N3772" t="s">
        <v>714</v>
      </c>
      <c r="O3772" t="s">
        <v>10263</v>
      </c>
      <c r="P3772" t="s">
        <v>12</v>
      </c>
    </row>
    <row r="3773">
      <c r="A3773">
        <f>HYPERLINK("http://bombeiros.sp.gov.br/hidrantes/03individual/6761.html","6761")</f>
      </c>
      <c r="B3773" t="s">
        <v>623</v>
      </c>
      <c r="C3773" t="s">
        <v>821</v>
      </c>
      <c r="D3773" t="s">
        <v>822</v>
      </c>
      <c r="E3773" t="s">
        <v>64</v>
      </c>
      <c r="F3773" t="s">
        <v>11568</v>
      </c>
      <c r="G3773" t="s">
        <v>18146</v>
      </c>
      <c r="H3773" t="s">
        <v>1112</v>
      </c>
      <c r="I3773" t="s">
        <v>1108</v>
      </c>
      <c r="J3773" t="s">
        <v>11569</v>
      </c>
      <c r="K3773" t="s">
        <v>11570</v>
      </c>
      <c r="L3773" t="s">
        <v>21</v>
      </c>
      <c r="M3773" t="s">
        <v>19177</v>
      </c>
      <c r="N3773" t="s">
        <v>714</v>
      </c>
      <c r="O3773" t="s">
        <v>10263</v>
      </c>
      <c r="P3773" t="s">
        <v>12</v>
      </c>
    </row>
    <row r="3774">
      <c r="A3774">
        <f>HYPERLINK("http://bombeiros.sp.gov.br/hidrantes/03individual/6762.html","6762")</f>
      </c>
      <c r="B3774" t="s">
        <v>623</v>
      </c>
      <c r="C3774" t="s">
        <v>821</v>
      </c>
      <c r="D3774" t="s">
        <v>822</v>
      </c>
      <c r="E3774" t="s">
        <v>64</v>
      </c>
      <c r="F3774" t="s">
        <v>11571</v>
      </c>
      <c r="G3774" t="s">
        <v>18146</v>
      </c>
      <c r="H3774" t="s">
        <v>1112</v>
      </c>
      <c r="I3774" t="s">
        <v>1108</v>
      </c>
      <c r="J3774" t="s">
        <v>11572</v>
      </c>
      <c r="K3774" t="s">
        <v>11573</v>
      </c>
      <c r="L3774" t="s">
        <v>21</v>
      </c>
      <c r="M3774" t="s">
        <v>19177</v>
      </c>
      <c r="N3774" t="s">
        <v>714</v>
      </c>
      <c r="O3774" t="s">
        <v>10263</v>
      </c>
      <c r="P3774" t="s">
        <v>12</v>
      </c>
    </row>
    <row r="3775">
      <c r="A3775">
        <f>HYPERLINK("http://bombeiros.sp.gov.br/hidrantes/03individual/6764.html","6764")</f>
      </c>
      <c r="B3775" t="s">
        <v>623</v>
      </c>
      <c r="C3775" t="s">
        <v>821</v>
      </c>
      <c r="D3775" t="s">
        <v>822</v>
      </c>
      <c r="E3775" t="s">
        <v>64</v>
      </c>
      <c r="F3775" t="s">
        <v>11577</v>
      </c>
      <c r="G3775" t="s">
        <v>18146</v>
      </c>
      <c r="H3775" t="s">
        <v>1112</v>
      </c>
      <c r="I3775" t="s">
        <v>1108</v>
      </c>
      <c r="J3775" t="s">
        <v>11578</v>
      </c>
      <c r="K3775" t="s">
        <v>11579</v>
      </c>
      <c r="L3775" t="s">
        <v>21</v>
      </c>
      <c r="M3775" t="s">
        <v>19177</v>
      </c>
      <c r="N3775" t="s">
        <v>714</v>
      </c>
      <c r="O3775" t="s">
        <v>10263</v>
      </c>
      <c r="P3775" t="s">
        <v>12</v>
      </c>
    </row>
    <row r="3776">
      <c r="A3776">
        <f>HYPERLINK("http://bombeiros.sp.gov.br/hidrantes/03individual/6765.html","6765")</f>
      </c>
      <c r="B3776" t="s">
        <v>623</v>
      </c>
      <c r="C3776" t="s">
        <v>821</v>
      </c>
      <c r="D3776" t="s">
        <v>822</v>
      </c>
      <c r="E3776" t="s">
        <v>64</v>
      </c>
      <c r="F3776" t="s">
        <v>11580</v>
      </c>
      <c r="G3776" t="s">
        <v>17934</v>
      </c>
      <c r="H3776"/>
      <c r="I3776" t="s">
        <v>18</v>
      </c>
      <c r="J3776" t="s">
        <v>11581</v>
      </c>
      <c r="K3776" t="s">
        <v>11582</v>
      </c>
      <c r="L3776" t="s">
        <v>21</v>
      </c>
      <c r="M3776" t="s">
        <v>19177</v>
      </c>
      <c r="N3776" t="s">
        <v>714</v>
      </c>
      <c r="O3776" t="s">
        <v>10263</v>
      </c>
      <c r="P3776" t="s">
        <v>12</v>
      </c>
    </row>
    <row r="3777">
      <c r="A3777">
        <f>HYPERLINK("http://bombeiros.sp.gov.br/hidrantes/03individual/6766.html","6766")</f>
      </c>
      <c r="B3777" t="s">
        <v>623</v>
      </c>
      <c r="C3777" t="s">
        <v>821</v>
      </c>
      <c r="D3777" t="s">
        <v>822</v>
      </c>
      <c r="E3777" t="s">
        <v>64</v>
      </c>
      <c r="F3777" t="s">
        <v>11583</v>
      </c>
      <c r="G3777" t="s">
        <v>18146</v>
      </c>
      <c r="H3777" t="s">
        <v>1112</v>
      </c>
      <c r="I3777" t="s">
        <v>1108</v>
      </c>
      <c r="J3777" t="s">
        <v>11584</v>
      </c>
      <c r="K3777" t="s">
        <v>11585</v>
      </c>
      <c r="L3777" t="s">
        <v>21</v>
      </c>
      <c r="M3777" t="s">
        <v>19177</v>
      </c>
      <c r="N3777" t="s">
        <v>714</v>
      </c>
      <c r="O3777" t="s">
        <v>10263</v>
      </c>
      <c r="P3777" t="s">
        <v>12</v>
      </c>
    </row>
    <row r="3778">
      <c r="A3778">
        <f>HYPERLINK("http://bombeiros.sp.gov.br/hidrantes/03individual/6767.html","6767")</f>
      </c>
      <c r="B3778" t="s">
        <v>623</v>
      </c>
      <c r="C3778" t="s">
        <v>821</v>
      </c>
      <c r="D3778" t="s">
        <v>822</v>
      </c>
      <c r="E3778" t="s">
        <v>64</v>
      </c>
      <c r="F3778" t="s">
        <v>11586</v>
      </c>
      <c r="G3778" t="s">
        <v>18146</v>
      </c>
      <c r="H3778" t="s">
        <v>1112</v>
      </c>
      <c r="I3778" t="s">
        <v>1108</v>
      </c>
      <c r="J3778" t="s">
        <v>11587</v>
      </c>
      <c r="K3778" t="s">
        <v>11588</v>
      </c>
      <c r="L3778" t="s">
        <v>21</v>
      </c>
      <c r="M3778" t="s">
        <v>19177</v>
      </c>
      <c r="N3778" t="s">
        <v>714</v>
      </c>
      <c r="O3778" t="s">
        <v>10263</v>
      </c>
      <c r="P3778" t="s">
        <v>12</v>
      </c>
    </row>
    <row r="3779">
      <c r="A3779">
        <f>HYPERLINK("http://bombeiros.sp.gov.br/hidrantes/03individual/6768.html","6768")</f>
      </c>
      <c r="B3779" t="s">
        <v>623</v>
      </c>
      <c r="C3779" t="s">
        <v>821</v>
      </c>
      <c r="D3779" t="s">
        <v>822</v>
      </c>
      <c r="E3779" t="s">
        <v>64</v>
      </c>
      <c r="F3779" t="s">
        <v>11589</v>
      </c>
      <c r="G3779" t="s">
        <v>18146</v>
      </c>
      <c r="H3779" t="s">
        <v>1112</v>
      </c>
      <c r="I3779" t="s">
        <v>1108</v>
      </c>
      <c r="J3779" t="s">
        <v>11590</v>
      </c>
      <c r="K3779" t="s">
        <v>11591</v>
      </c>
      <c r="L3779" t="s">
        <v>21</v>
      </c>
      <c r="M3779" t="s">
        <v>19177</v>
      </c>
      <c r="N3779" t="s">
        <v>714</v>
      </c>
      <c r="O3779" t="s">
        <v>10263</v>
      </c>
      <c r="P3779" t="s">
        <v>12</v>
      </c>
    </row>
    <row r="3780">
      <c r="A3780">
        <f>HYPERLINK("http://bombeiros.sp.gov.br/hidrantes/03individual/6769.html","6769")</f>
      </c>
      <c r="B3780" t="s">
        <v>623</v>
      </c>
      <c r="C3780" t="s">
        <v>821</v>
      </c>
      <c r="D3780" t="s">
        <v>822</v>
      </c>
      <c r="E3780" t="s">
        <v>64</v>
      </c>
      <c r="F3780" t="s">
        <v>11592</v>
      </c>
      <c r="G3780" t="s">
        <v>17955</v>
      </c>
      <c r="H3780" t="s">
        <v>1112</v>
      </c>
      <c r="I3780" t="s">
        <v>1108</v>
      </c>
      <c r="J3780" t="s">
        <v>11593</v>
      </c>
      <c r="K3780" t="s">
        <v>11594</v>
      </c>
      <c r="L3780" t="s">
        <v>21</v>
      </c>
      <c r="M3780" t="s">
        <v>19177</v>
      </c>
      <c r="N3780" t="s">
        <v>714</v>
      </c>
      <c r="O3780" t="s">
        <v>10263</v>
      </c>
      <c r="P3780" t="s">
        <v>12</v>
      </c>
    </row>
    <row r="3781">
      <c r="A3781">
        <f>HYPERLINK("http://bombeiros.sp.gov.br/hidrantes/03individual/6770.html","6770")</f>
      </c>
      <c r="B3781" t="s">
        <v>623</v>
      </c>
      <c r="C3781" t="s">
        <v>821</v>
      </c>
      <c r="D3781" t="s">
        <v>822</v>
      </c>
      <c r="E3781" t="s">
        <v>64</v>
      </c>
      <c r="F3781" t="s">
        <v>11595</v>
      </c>
      <c r="G3781" t="s">
        <v>18146</v>
      </c>
      <c r="H3781" t="s">
        <v>1112</v>
      </c>
      <c r="I3781" t="s">
        <v>1108</v>
      </c>
      <c r="J3781" t="s">
        <v>11596</v>
      </c>
      <c r="K3781" t="s">
        <v>11597</v>
      </c>
      <c r="L3781" t="s">
        <v>21</v>
      </c>
      <c r="M3781" t="s">
        <v>19177</v>
      </c>
      <c r="N3781" t="s">
        <v>714</v>
      </c>
      <c r="O3781" t="s">
        <v>10263</v>
      </c>
      <c r="P3781" t="s">
        <v>12</v>
      </c>
    </row>
    <row r="3782">
      <c r="A3782">
        <f>HYPERLINK("http://bombeiros.sp.gov.br/hidrantes/03individual/6771.html","6771")</f>
      </c>
      <c r="B3782" t="s">
        <v>623</v>
      </c>
      <c r="C3782" t="s">
        <v>821</v>
      </c>
      <c r="D3782" t="s">
        <v>822</v>
      </c>
      <c r="E3782" t="s">
        <v>64</v>
      </c>
      <c r="F3782" t="s">
        <v>11598</v>
      </c>
      <c r="G3782" t="s">
        <v>18146</v>
      </c>
      <c r="H3782" t="s">
        <v>1112</v>
      </c>
      <c r="I3782" t="s">
        <v>1108</v>
      </c>
      <c r="J3782" t="s">
        <v>11599</v>
      </c>
      <c r="K3782" t="s">
        <v>11600</v>
      </c>
      <c r="L3782" t="s">
        <v>21</v>
      </c>
      <c r="M3782" t="s">
        <v>19177</v>
      </c>
      <c r="N3782" t="s">
        <v>714</v>
      </c>
      <c r="O3782" t="s">
        <v>10263</v>
      </c>
      <c r="P3782" t="s">
        <v>12</v>
      </c>
    </row>
    <row r="3783">
      <c r="A3783">
        <f>HYPERLINK("http://bombeiros.sp.gov.br/hidrantes/03individual/6772.html","6772")</f>
      </c>
      <c r="B3783" t="s">
        <v>623</v>
      </c>
      <c r="C3783" t="s">
        <v>821</v>
      </c>
      <c r="D3783" t="s">
        <v>822</v>
      </c>
      <c r="E3783" t="s">
        <v>64</v>
      </c>
      <c r="F3783" t="s">
        <v>11601</v>
      </c>
      <c r="G3783" t="s">
        <v>18146</v>
      </c>
      <c r="H3783" t="s">
        <v>1112</v>
      </c>
      <c r="I3783" t="s">
        <v>1108</v>
      </c>
      <c r="J3783" t="s">
        <v>11602</v>
      </c>
      <c r="K3783" t="s">
        <v>11603</v>
      </c>
      <c r="L3783" t="s">
        <v>21</v>
      </c>
      <c r="M3783" t="s">
        <v>19177</v>
      </c>
      <c r="N3783" t="s">
        <v>714</v>
      </c>
      <c r="O3783" t="s">
        <v>10263</v>
      </c>
      <c r="P3783" t="s">
        <v>12</v>
      </c>
    </row>
    <row r="3784">
      <c r="A3784">
        <f>HYPERLINK("http://bombeiros.sp.gov.br/hidrantes/03individual/16310.html","16310")</f>
      </c>
      <c r="B3784" t="s">
        <v>623</v>
      </c>
      <c r="C3784" t="s">
        <v>821</v>
      </c>
      <c r="D3784" t="s">
        <v>822</v>
      </c>
      <c r="E3784" t="s">
        <v>64</v>
      </c>
      <c r="F3784" t="s">
        <v>11516</v>
      </c>
      <c r="G3784" t="s">
        <v>18146</v>
      </c>
      <c r="H3784" t="s">
        <v>1112</v>
      </c>
      <c r="I3784" t="s">
        <v>1108</v>
      </c>
      <c r="J3784" t="s">
        <v>11604</v>
      </c>
      <c r="K3784" t="s">
        <v>11605</v>
      </c>
      <c r="L3784" t="s">
        <v>21</v>
      </c>
      <c r="M3784" t="s">
        <v>19177</v>
      </c>
      <c r="N3784" t="s">
        <v>714</v>
      </c>
      <c r="O3784" t="s">
        <v>10263</v>
      </c>
      <c r="P3784" t="s">
        <v>12</v>
      </c>
    </row>
    <row r="3785">
      <c r="A3785">
        <f>HYPERLINK("http://bombeiros.sp.gov.br/hidrantes/03individual/27414.html","27414")</f>
      </c>
      <c r="B3785" t="s">
        <v>623</v>
      </c>
      <c r="C3785" t="s">
        <v>821</v>
      </c>
      <c r="D3785" t="s">
        <v>822</v>
      </c>
      <c r="E3785" t="s">
        <v>64</v>
      </c>
      <c r="F3785" t="s">
        <v>17340</v>
      </c>
      <c r="G3785" t="s">
        <v>18090</v>
      </c>
      <c r="H3785" t="s">
        <v>1112</v>
      </c>
      <c r="I3785" t="s">
        <v>1108</v>
      </c>
      <c r="J3785" t="s">
        <v>17341</v>
      </c>
      <c r="K3785" t="s">
        <v>17342</v>
      </c>
      <c r="L3785" t="s">
        <v>21</v>
      </c>
      <c r="M3785" t="s">
        <v>19177</v>
      </c>
      <c r="N3785" t="s">
        <v>714</v>
      </c>
      <c r="O3785" t="s">
        <v>10263</v>
      </c>
      <c r="P3785" t="s">
        <v>12</v>
      </c>
    </row>
    <row r="3786">
      <c r="A3786">
        <f>HYPERLINK("http://bombeiros.sp.gov.br/hidrantes/03individual/27415.html","27415")</f>
      </c>
      <c r="B3786" t="s">
        <v>623</v>
      </c>
      <c r="C3786" t="s">
        <v>821</v>
      </c>
      <c r="D3786" t="s">
        <v>822</v>
      </c>
      <c r="E3786" t="s">
        <v>64</v>
      </c>
      <c r="F3786" t="s">
        <v>17343</v>
      </c>
      <c r="G3786" t="s">
        <v>18146</v>
      </c>
      <c r="H3786" t="s">
        <v>1121</v>
      </c>
      <c r="I3786" t="s">
        <v>1117</v>
      </c>
      <c r="J3786" t="s">
        <v>17344</v>
      </c>
      <c r="K3786" t="s">
        <v>17345</v>
      </c>
      <c r="L3786" t="s">
        <v>21</v>
      </c>
      <c r="M3786" t="s">
        <v>19177</v>
      </c>
      <c r="N3786" t="s">
        <v>714</v>
      </c>
      <c r="O3786" t="s">
        <v>10263</v>
      </c>
      <c r="P3786" t="s">
        <v>12</v>
      </c>
    </row>
    <row r="3787">
      <c r="A3787">
        <f>HYPERLINK("http://bombeiros.sp.gov.br/hidrantes/03individual/27416.html","27416")</f>
      </c>
      <c r="B3787" t="s">
        <v>623</v>
      </c>
      <c r="C3787" t="s">
        <v>821</v>
      </c>
      <c r="D3787" t="s">
        <v>822</v>
      </c>
      <c r="E3787" t="s">
        <v>64</v>
      </c>
      <c r="F3787" t="s">
        <v>17346</v>
      </c>
      <c r="G3787" t="s">
        <v>18146</v>
      </c>
      <c r="H3787" t="s">
        <v>1112</v>
      </c>
      <c r="I3787" t="s">
        <v>1108</v>
      </c>
      <c r="J3787" t="s">
        <v>17347</v>
      </c>
      <c r="K3787" t="s">
        <v>17348</v>
      </c>
      <c r="L3787" t="s">
        <v>21</v>
      </c>
      <c r="M3787" t="s">
        <v>19177</v>
      </c>
      <c r="N3787" t="s">
        <v>714</v>
      </c>
      <c r="O3787" t="s">
        <v>10263</v>
      </c>
      <c r="P3787" t="s">
        <v>12</v>
      </c>
    </row>
    <row r="3788">
      <c r="A3788">
        <f>HYPERLINK("http://bombeiros.sp.gov.br/hidrantes/03individual/27444.html","27444")</f>
      </c>
      <c r="B3788" t="s">
        <v>623</v>
      </c>
      <c r="C3788" t="s">
        <v>821</v>
      </c>
      <c r="D3788" t="s">
        <v>822</v>
      </c>
      <c r="E3788" t="s">
        <v>64</v>
      </c>
      <c r="F3788" t="s">
        <v>17349</v>
      </c>
      <c r="G3788" t="s">
        <v>17955</v>
      </c>
      <c r="H3788" t="s">
        <v>1112</v>
      </c>
      <c r="I3788" t="s">
        <v>1108</v>
      </c>
      <c r="J3788" t="s">
        <v>17350</v>
      </c>
      <c r="K3788" t="s">
        <v>17351</v>
      </c>
      <c r="L3788" t="s">
        <v>21</v>
      </c>
      <c r="M3788" t="s">
        <v>19177</v>
      </c>
      <c r="N3788" t="s">
        <v>714</v>
      </c>
      <c r="O3788" t="s">
        <v>10263</v>
      </c>
      <c r="P3788" t="s">
        <v>12</v>
      </c>
    </row>
    <row r="3789">
      <c r="A3789">
        <f>HYPERLINK("http://bombeiros.sp.gov.br/hidrantes/03individual/27445.html","27445")</f>
      </c>
      <c r="B3789" t="s">
        <v>623</v>
      </c>
      <c r="C3789" t="s">
        <v>821</v>
      </c>
      <c r="D3789" t="s">
        <v>822</v>
      </c>
      <c r="E3789" t="s">
        <v>64</v>
      </c>
      <c r="F3789" t="s">
        <v>17352</v>
      </c>
      <c r="G3789" t="s">
        <v>18146</v>
      </c>
      <c r="H3789" t="s">
        <v>1112</v>
      </c>
      <c r="I3789" t="s">
        <v>1108</v>
      </c>
      <c r="J3789" t="s">
        <v>17353</v>
      </c>
      <c r="K3789" t="s">
        <v>17354</v>
      </c>
      <c r="L3789" t="s">
        <v>21</v>
      </c>
      <c r="M3789" t="s">
        <v>19177</v>
      </c>
      <c r="N3789" t="s">
        <v>714</v>
      </c>
      <c r="O3789" t="s">
        <v>10263</v>
      </c>
      <c r="P3789" t="s">
        <v>12</v>
      </c>
    </row>
    <row r="3790">
      <c r="A3790">
        <f>HYPERLINK("http://bombeiros.sp.gov.br/hidrantes/03individual/27447.html","27447")</f>
      </c>
      <c r="B3790" t="s">
        <v>623</v>
      </c>
      <c r="C3790" t="s">
        <v>821</v>
      </c>
      <c r="D3790" t="s">
        <v>822</v>
      </c>
      <c r="E3790" t="s">
        <v>64</v>
      </c>
      <c r="F3790" t="s">
        <v>17358</v>
      </c>
      <c r="G3790" t="s">
        <v>18146</v>
      </c>
      <c r="H3790" t="s">
        <v>1112</v>
      </c>
      <c r="I3790" t="s">
        <v>1108</v>
      </c>
      <c r="J3790" t="s">
        <v>17359</v>
      </c>
      <c r="K3790" t="s">
        <v>17360</v>
      </c>
      <c r="L3790" t="s">
        <v>21</v>
      </c>
      <c r="M3790" t="s">
        <v>19177</v>
      </c>
      <c r="N3790" t="s">
        <v>714</v>
      </c>
      <c r="O3790" t="s">
        <v>10263</v>
      </c>
      <c r="P3790" t="s">
        <v>12</v>
      </c>
    </row>
    <row r="3791">
      <c r="A3791">
        <f>HYPERLINK("http://bombeiros.sp.gov.br/hidrantes/03individual/27448.html","27448")</f>
      </c>
      <c r="B3791" t="s">
        <v>623</v>
      </c>
      <c r="C3791" t="s">
        <v>821</v>
      </c>
      <c r="D3791" t="s">
        <v>822</v>
      </c>
      <c r="E3791" t="s">
        <v>64</v>
      </c>
      <c r="F3791" t="s">
        <v>17361</v>
      </c>
      <c r="G3791" t="s">
        <v>18146</v>
      </c>
      <c r="H3791" t="s">
        <v>1112</v>
      </c>
      <c r="I3791" t="s">
        <v>1108</v>
      </c>
      <c r="J3791" t="s">
        <v>17362</v>
      </c>
      <c r="K3791" t="s">
        <v>17363</v>
      </c>
      <c r="L3791" t="s">
        <v>21</v>
      </c>
      <c r="M3791" t="s">
        <v>19177</v>
      </c>
      <c r="N3791" t="s">
        <v>714</v>
      </c>
      <c r="O3791" t="s">
        <v>10263</v>
      </c>
      <c r="P3791" t="s">
        <v>12</v>
      </c>
    </row>
    <row r="3792">
      <c r="A3792">
        <f>HYPERLINK("http://bombeiros.sp.gov.br/hidrantes/03individual/27449.html","27449")</f>
      </c>
      <c r="B3792" t="s">
        <v>623</v>
      </c>
      <c r="C3792" t="s">
        <v>821</v>
      </c>
      <c r="D3792" t="s">
        <v>822</v>
      </c>
      <c r="E3792" t="s">
        <v>64</v>
      </c>
      <c r="F3792" t="s">
        <v>17364</v>
      </c>
      <c r="G3792" t="s">
        <v>18146</v>
      </c>
      <c r="H3792" t="s">
        <v>1112</v>
      </c>
      <c r="I3792" t="s">
        <v>1108</v>
      </c>
      <c r="J3792" t="s">
        <v>17365</v>
      </c>
      <c r="K3792" t="s">
        <v>17366</v>
      </c>
      <c r="L3792" t="s">
        <v>21</v>
      </c>
      <c r="M3792" t="s">
        <v>19177</v>
      </c>
      <c r="N3792" t="s">
        <v>714</v>
      </c>
      <c r="O3792" t="s">
        <v>10263</v>
      </c>
      <c r="P3792" t="s">
        <v>12</v>
      </c>
    </row>
    <row r="3793">
      <c r="A3793">
        <f>HYPERLINK("http://bombeiros.sp.gov.br/hidrantes/03individual/27450.html","27450")</f>
      </c>
      <c r="B3793" t="s">
        <v>623</v>
      </c>
      <c r="C3793" t="s">
        <v>821</v>
      </c>
      <c r="D3793" t="s">
        <v>822</v>
      </c>
      <c r="E3793" t="s">
        <v>64</v>
      </c>
      <c r="F3793" t="s">
        <v>17367</v>
      </c>
      <c r="G3793" t="s">
        <v>18146</v>
      </c>
      <c r="H3793" t="s">
        <v>1112</v>
      </c>
      <c r="I3793" t="s">
        <v>1108</v>
      </c>
      <c r="J3793" t="s">
        <v>17368</v>
      </c>
      <c r="K3793" t="s">
        <v>17369</v>
      </c>
      <c r="L3793" t="s">
        <v>21</v>
      </c>
      <c r="M3793" t="s">
        <v>19177</v>
      </c>
      <c r="N3793" t="s">
        <v>714</v>
      </c>
      <c r="O3793" t="s">
        <v>10263</v>
      </c>
      <c r="P3793" t="s">
        <v>12</v>
      </c>
    </row>
    <row r="3794">
      <c r="A3794">
        <f>HYPERLINK("http://bombeiros.sp.gov.br/hidrantes/03individual/27451.html","27451")</f>
      </c>
      <c r="B3794" t="s">
        <v>623</v>
      </c>
      <c r="C3794" t="s">
        <v>821</v>
      </c>
      <c r="D3794" t="s">
        <v>822</v>
      </c>
      <c r="E3794" t="s">
        <v>64</v>
      </c>
      <c r="F3794" t="s">
        <v>17370</v>
      </c>
      <c r="G3794" t="s">
        <v>18146</v>
      </c>
      <c r="H3794" t="s">
        <v>1112</v>
      </c>
      <c r="I3794" t="s">
        <v>1108</v>
      </c>
      <c r="J3794" t="s">
        <v>17371</v>
      </c>
      <c r="K3794" t="s">
        <v>17372</v>
      </c>
      <c r="L3794" t="s">
        <v>21</v>
      </c>
      <c r="M3794" t="s">
        <v>19177</v>
      </c>
      <c r="N3794" t="s">
        <v>714</v>
      </c>
      <c r="O3794" t="s">
        <v>10263</v>
      </c>
      <c r="P3794" t="s">
        <v>12</v>
      </c>
    </row>
    <row r="3795">
      <c r="A3795">
        <f>HYPERLINK("http://bombeiros.sp.gov.br/hidrantes/03individual/6745.html","6745")</f>
      </c>
      <c r="B3795" t="s">
        <v>623</v>
      </c>
      <c r="C3795" t="s">
        <v>821</v>
      </c>
      <c r="D3795" t="s">
        <v>822</v>
      </c>
      <c r="E3795" t="s">
        <v>15</v>
      </c>
      <c r="F3795" t="s">
        <v>11609</v>
      </c>
      <c r="G3795" t="s">
        <v>18146</v>
      </c>
      <c r="H3795" t="s">
        <v>1121</v>
      </c>
      <c r="I3795" t="s">
        <v>1117</v>
      </c>
      <c r="J3795" t="s">
        <v>11610</v>
      </c>
      <c r="K3795" t="s">
        <v>11611</v>
      </c>
      <c r="L3795" t="s">
        <v>21</v>
      </c>
      <c r="M3795" t="s">
        <v>19177</v>
      </c>
      <c r="N3795" t="s">
        <v>714</v>
      </c>
      <c r="O3795" t="s">
        <v>10263</v>
      </c>
      <c r="P3795" t="s">
        <v>12</v>
      </c>
    </row>
    <row r="3796">
      <c r="A3796">
        <f>HYPERLINK("http://bombeiros.sp.gov.br/hidrantes/03individual/10049.html","10049")</f>
      </c>
      <c r="B3796" t="s">
        <v>623</v>
      </c>
      <c r="C3796" t="s">
        <v>821</v>
      </c>
      <c r="D3796" t="s">
        <v>11612</v>
      </c>
      <c r="E3796" t="s">
        <v>1507</v>
      </c>
      <c r="F3796" t="s">
        <v>11613</v>
      </c>
      <c r="G3796" t="s">
        <v>18146</v>
      </c>
      <c r="H3796" t="s">
        <v>1112</v>
      </c>
      <c r="I3796" t="s">
        <v>1108</v>
      </c>
      <c r="J3796" t="s">
        <v>11614</v>
      </c>
      <c r="K3796" t="s">
        <v>11615</v>
      </c>
      <c r="L3796" t="s">
        <v>21</v>
      </c>
      <c r="M3796" t="s">
        <v>19177</v>
      </c>
      <c r="N3796" t="s">
        <v>714</v>
      </c>
      <c r="O3796" t="s">
        <v>10263</v>
      </c>
      <c r="P3796" t="s">
        <v>12</v>
      </c>
    </row>
    <row r="3797">
      <c r="A3797">
        <f>HYPERLINK("http://bombeiros.sp.gov.br/hidrantes/03individual/1087.html","1087")</f>
      </c>
      <c r="B3797" t="s">
        <v>623</v>
      </c>
      <c r="C3797" t="s">
        <v>821</v>
      </c>
      <c r="D3797" t="s">
        <v>11612</v>
      </c>
      <c r="E3797" t="s">
        <v>15</v>
      </c>
      <c r="F3797" t="s">
        <v>11616</v>
      </c>
      <c r="G3797" t="s">
        <v>18146</v>
      </c>
      <c r="H3797" t="s">
        <v>1112</v>
      </c>
      <c r="I3797" t="s">
        <v>1108</v>
      </c>
      <c r="J3797" t="s">
        <v>11617</v>
      </c>
      <c r="K3797" t="s">
        <v>11618</v>
      </c>
      <c r="L3797" t="s">
        <v>21</v>
      </c>
      <c r="M3797" t="s">
        <v>19177</v>
      </c>
      <c r="N3797" t="s">
        <v>714</v>
      </c>
      <c r="O3797" t="s">
        <v>10263</v>
      </c>
      <c r="P3797" t="s">
        <v>12</v>
      </c>
    </row>
    <row r="3798">
      <c r="A3798">
        <f>HYPERLINK("http://bombeiros.sp.gov.br/hidrantes/03individual/1088.html","1088")</f>
      </c>
      <c r="B3798" t="s">
        <v>623</v>
      </c>
      <c r="C3798" t="s">
        <v>821</v>
      </c>
      <c r="D3798" t="s">
        <v>11612</v>
      </c>
      <c r="E3798" t="s">
        <v>15</v>
      </c>
      <c r="F3798" t="s">
        <v>11619</v>
      </c>
      <c r="G3798" t="s">
        <v>18146</v>
      </c>
      <c r="H3798" t="s">
        <v>1112</v>
      </c>
      <c r="I3798" t="s">
        <v>1108</v>
      </c>
      <c r="J3798" t="s">
        <v>11620</v>
      </c>
      <c r="K3798" t="s">
        <v>11621</v>
      </c>
      <c r="L3798" t="s">
        <v>21</v>
      </c>
      <c r="M3798" t="s">
        <v>19177</v>
      </c>
      <c r="N3798" t="s">
        <v>714</v>
      </c>
      <c r="O3798" t="s">
        <v>10263</v>
      </c>
      <c r="P3798" t="s">
        <v>12</v>
      </c>
    </row>
    <row r="3799">
      <c r="A3799">
        <f>HYPERLINK("http://bombeiros.sp.gov.br/hidrantes/03individual/1089.html","1089")</f>
      </c>
      <c r="B3799" t="s">
        <v>623</v>
      </c>
      <c r="C3799" t="s">
        <v>821</v>
      </c>
      <c r="D3799" t="s">
        <v>11612</v>
      </c>
      <c r="E3799" t="s">
        <v>15</v>
      </c>
      <c r="F3799" t="s">
        <v>11622</v>
      </c>
      <c r="G3799" t="s">
        <v>18146</v>
      </c>
      <c r="H3799" t="s">
        <v>1112</v>
      </c>
      <c r="I3799" t="s">
        <v>1108</v>
      </c>
      <c r="J3799" t="s">
        <v>11623</v>
      </c>
      <c r="K3799" t="s">
        <v>11624</v>
      </c>
      <c r="L3799" t="s">
        <v>21</v>
      </c>
      <c r="M3799" t="s">
        <v>19177</v>
      </c>
      <c r="N3799" t="s">
        <v>714</v>
      </c>
      <c r="O3799" t="s">
        <v>10263</v>
      </c>
      <c r="P3799" t="s">
        <v>12</v>
      </c>
    </row>
    <row r="3800">
      <c r="A3800">
        <f>HYPERLINK("http://bombeiros.sp.gov.br/hidrantes/03individual/1147.html","1147")</f>
      </c>
      <c r="B3800" t="s">
        <v>623</v>
      </c>
      <c r="C3800" t="s">
        <v>821</v>
      </c>
      <c r="D3800" t="s">
        <v>11612</v>
      </c>
      <c r="E3800" t="s">
        <v>15</v>
      </c>
      <c r="F3800" t="s">
        <v>11625</v>
      </c>
      <c r="G3800" t="s">
        <v>17913</v>
      </c>
      <c r="H3800" t="s">
        <v>1112</v>
      </c>
      <c r="I3800" t="s">
        <v>1108</v>
      </c>
      <c r="J3800" t="s">
        <v>11626</v>
      </c>
      <c r="K3800" t="s">
        <v>11627</v>
      </c>
      <c r="L3800" t="s">
        <v>21</v>
      </c>
      <c r="M3800" t="s">
        <v>19177</v>
      </c>
      <c r="N3800" t="s">
        <v>714</v>
      </c>
      <c r="O3800" t="s">
        <v>10263</v>
      </c>
      <c r="P3800" t="s">
        <v>12</v>
      </c>
    </row>
    <row r="3801">
      <c r="A3801">
        <f>HYPERLINK("http://bombeiros.sp.gov.br/hidrantes/03individual/17906.html","17906")</f>
      </c>
      <c r="B3801" t="s">
        <v>623</v>
      </c>
      <c r="C3801" t="s">
        <v>821</v>
      </c>
      <c r="D3801" t="s">
        <v>11612</v>
      </c>
      <c r="E3801" t="s">
        <v>15</v>
      </c>
      <c r="F3801" t="s">
        <v>11628</v>
      </c>
      <c r="G3801" t="s">
        <v>18146</v>
      </c>
      <c r="H3801" t="s">
        <v>1112</v>
      </c>
      <c r="I3801" t="s">
        <v>1108</v>
      </c>
      <c r="J3801" t="s">
        <v>11629</v>
      </c>
      <c r="K3801" t="s">
        <v>11630</v>
      </c>
      <c r="L3801" t="s">
        <v>21</v>
      </c>
      <c r="M3801" t="s">
        <v>19177</v>
      </c>
      <c r="N3801" t="s">
        <v>714</v>
      </c>
      <c r="O3801" t="s">
        <v>10263</v>
      </c>
      <c r="P3801" t="s">
        <v>12</v>
      </c>
    </row>
    <row r="3802">
      <c r="A3802">
        <f>HYPERLINK("http://bombeiros.sp.gov.br/hidrantes/03individual/900.html","900")</f>
      </c>
      <c r="B3802" t="s">
        <v>623</v>
      </c>
      <c r="C3802" t="s">
        <v>821</v>
      </c>
      <c r="D3802" t="s">
        <v>11631</v>
      </c>
      <c r="E3802" t="s">
        <v>64</v>
      </c>
      <c r="F3802" t="s">
        <v>11632</v>
      </c>
      <c r="G3802" t="s">
        <v>18090</v>
      </c>
      <c r="H3802" t="s">
        <v>1112</v>
      </c>
      <c r="I3802" t="s">
        <v>1108</v>
      </c>
      <c r="J3802" t="s">
        <v>11633</v>
      </c>
      <c r="K3802" t="s">
        <v>11634</v>
      </c>
      <c r="L3802" t="s">
        <v>21</v>
      </c>
      <c r="M3802" t="s">
        <v>19177</v>
      </c>
      <c r="N3802" t="s">
        <v>714</v>
      </c>
      <c r="O3802" t="s">
        <v>10263</v>
      </c>
      <c r="P3802" t="s">
        <v>12</v>
      </c>
    </row>
    <row r="3803">
      <c r="A3803">
        <f>HYPERLINK("http://bombeiros.sp.gov.br/hidrantes/03individual/1250.html","1250")</f>
      </c>
      <c r="B3803" t="s">
        <v>623</v>
      </c>
      <c r="C3803" t="s">
        <v>821</v>
      </c>
      <c r="D3803" t="s">
        <v>11631</v>
      </c>
      <c r="E3803" t="s">
        <v>15</v>
      </c>
      <c r="F3803" t="s">
        <v>11635</v>
      </c>
      <c r="G3803" t="s">
        <v>18117</v>
      </c>
      <c r="H3803" t="s">
        <v>1107</v>
      </c>
      <c r="I3803" t="s">
        <v>1108</v>
      </c>
      <c r="J3803" t="s">
        <v>11636</v>
      </c>
      <c r="K3803" t="s">
        <v>11637</v>
      </c>
      <c r="L3803" t="s">
        <v>21</v>
      </c>
      <c r="M3803" t="s">
        <v>19177</v>
      </c>
      <c r="N3803" t="s">
        <v>714</v>
      </c>
      <c r="O3803" t="s">
        <v>10263</v>
      </c>
      <c r="P3803" t="s">
        <v>12</v>
      </c>
    </row>
    <row r="3804">
      <c r="A3804">
        <f>HYPERLINK("http://bombeiros.sp.gov.br/hidrantes/03individual/1252.html","1252")</f>
      </c>
      <c r="B3804" t="s">
        <v>623</v>
      </c>
      <c r="C3804" t="s">
        <v>821</v>
      </c>
      <c r="D3804" t="s">
        <v>11631</v>
      </c>
      <c r="E3804" t="s">
        <v>15</v>
      </c>
      <c r="F3804" t="s">
        <v>11638</v>
      </c>
      <c r="G3804" t="s">
        <v>18143</v>
      </c>
      <c r="H3804"/>
      <c r="I3804" t="s">
        <v>18</v>
      </c>
      <c r="J3804" t="s">
        <v>11639</v>
      </c>
      <c r="K3804" t="s">
        <v>11640</v>
      </c>
      <c r="L3804" t="s">
        <v>21</v>
      </c>
      <c r="M3804" t="s">
        <v>19177</v>
      </c>
      <c r="N3804" t="s">
        <v>714</v>
      </c>
      <c r="O3804" t="s">
        <v>10263</v>
      </c>
      <c r="P3804" t="s">
        <v>12</v>
      </c>
    </row>
    <row r="3805">
      <c r="A3805">
        <f>HYPERLINK("http://bombeiros.sp.gov.br/hidrantes/03individual/1253.html","1253")</f>
      </c>
      <c r="B3805" t="s">
        <v>623</v>
      </c>
      <c r="C3805" t="s">
        <v>821</v>
      </c>
      <c r="D3805" t="s">
        <v>11631</v>
      </c>
      <c r="E3805" t="s">
        <v>15</v>
      </c>
      <c r="F3805" t="s">
        <v>11641</v>
      </c>
      <c r="G3805" t="s">
        <v>18050</v>
      </c>
      <c r="H3805" t="s">
        <v>1112</v>
      </c>
      <c r="I3805" t="s">
        <v>1108</v>
      </c>
      <c r="J3805" t="s">
        <v>11642</v>
      </c>
      <c r="K3805" t="s">
        <v>11643</v>
      </c>
      <c r="L3805" t="s">
        <v>21</v>
      </c>
      <c r="M3805" t="s">
        <v>19177</v>
      </c>
      <c r="N3805" t="s">
        <v>714</v>
      </c>
      <c r="O3805" t="s">
        <v>10263</v>
      </c>
      <c r="P3805" t="s">
        <v>12</v>
      </c>
    </row>
    <row r="3806">
      <c r="A3806">
        <f>HYPERLINK("http://bombeiros.sp.gov.br/hidrantes/03individual/1257.html","1257")</f>
      </c>
      <c r="B3806" t="s">
        <v>623</v>
      </c>
      <c r="C3806" t="s">
        <v>821</v>
      </c>
      <c r="D3806" t="s">
        <v>11631</v>
      </c>
      <c r="E3806" t="s">
        <v>15</v>
      </c>
      <c r="F3806" t="s">
        <v>11644</v>
      </c>
      <c r="G3806" t="s">
        <v>18110</v>
      </c>
      <c r="H3806" t="s">
        <v>1112</v>
      </c>
      <c r="I3806" t="s">
        <v>1108</v>
      </c>
      <c r="J3806" t="s">
        <v>11645</v>
      </c>
      <c r="K3806" t="s">
        <v>11646</v>
      </c>
      <c r="L3806" t="s">
        <v>21</v>
      </c>
      <c r="M3806" t="s">
        <v>19177</v>
      </c>
      <c r="N3806" t="s">
        <v>714</v>
      </c>
      <c r="O3806" t="s">
        <v>10263</v>
      </c>
      <c r="P3806" t="s">
        <v>12</v>
      </c>
    </row>
    <row r="3807">
      <c r="A3807">
        <f>HYPERLINK("http://bombeiros.sp.gov.br/hidrantes/03individual/1345.html","1345")</f>
      </c>
      <c r="B3807" t="s">
        <v>623</v>
      </c>
      <c r="C3807" t="s">
        <v>821</v>
      </c>
      <c r="D3807" t="s">
        <v>11631</v>
      </c>
      <c r="E3807" t="s">
        <v>15</v>
      </c>
      <c r="F3807" t="s">
        <v>11647</v>
      </c>
      <c r="G3807" t="s">
        <v>17918</v>
      </c>
      <c r="H3807" t="s">
        <v>1112</v>
      </c>
      <c r="I3807" t="s">
        <v>1108</v>
      </c>
      <c r="J3807" t="s">
        <v>11648</v>
      </c>
      <c r="K3807" t="s">
        <v>11649</v>
      </c>
      <c r="L3807" t="s">
        <v>21</v>
      </c>
      <c r="M3807" t="s">
        <v>19177</v>
      </c>
      <c r="N3807" t="s">
        <v>714</v>
      </c>
      <c r="O3807" t="s">
        <v>10263</v>
      </c>
      <c r="P3807" t="s">
        <v>12</v>
      </c>
    </row>
    <row r="3808">
      <c r="A3808">
        <f>HYPERLINK("http://bombeiros.sp.gov.br/hidrantes/03individual/6788.html","6788")</f>
      </c>
      <c r="B3808" t="s">
        <v>623</v>
      </c>
      <c r="C3808" t="s">
        <v>821</v>
      </c>
      <c r="D3808" t="s">
        <v>11631</v>
      </c>
      <c r="E3808" t="s">
        <v>15</v>
      </c>
      <c r="F3808" t="s">
        <v>11650</v>
      </c>
      <c r="G3808" t="s">
        <v>17952</v>
      </c>
      <c r="H3808" t="s">
        <v>1112</v>
      </c>
      <c r="I3808" t="s">
        <v>1108</v>
      </c>
      <c r="J3808" t="s">
        <v>11651</v>
      </c>
      <c r="K3808" t="s">
        <v>11652</v>
      </c>
      <c r="L3808" t="s">
        <v>21</v>
      </c>
      <c r="M3808" t="s">
        <v>19177</v>
      </c>
      <c r="N3808" t="s">
        <v>714</v>
      </c>
      <c r="O3808" t="s">
        <v>10263</v>
      </c>
      <c r="P3808" t="s">
        <v>12</v>
      </c>
    </row>
    <row r="3809">
      <c r="A3809">
        <f>HYPERLINK("http://bombeiros.sp.gov.br/hidrantes/03individual/17682.html","17682")</f>
      </c>
      <c r="B3809" t="s">
        <v>623</v>
      </c>
      <c r="C3809" t="s">
        <v>821</v>
      </c>
      <c r="D3809" t="s">
        <v>11631</v>
      </c>
      <c r="E3809" t="s">
        <v>15</v>
      </c>
      <c r="F3809" t="s">
        <v>11653</v>
      </c>
      <c r="G3809" t="s">
        <v>17918</v>
      </c>
      <c r="H3809" t="s">
        <v>1112</v>
      </c>
      <c r="I3809" t="s">
        <v>1108</v>
      </c>
      <c r="J3809" t="s">
        <v>11654</v>
      </c>
      <c r="K3809" t="s">
        <v>11655</v>
      </c>
      <c r="L3809" t="s">
        <v>21</v>
      </c>
      <c r="M3809" t="s">
        <v>19177</v>
      </c>
      <c r="N3809" t="s">
        <v>714</v>
      </c>
      <c r="O3809" t="s">
        <v>10263</v>
      </c>
      <c r="P3809" t="s">
        <v>12</v>
      </c>
    </row>
    <row r="3810">
      <c r="A3810">
        <f>HYPERLINK("http://bombeiros.sp.gov.br/hidrantes/03individual/17683.html","17683")</f>
      </c>
      <c r="B3810" t="s">
        <v>623</v>
      </c>
      <c r="C3810" t="s">
        <v>821</v>
      </c>
      <c r="D3810" t="s">
        <v>11631</v>
      </c>
      <c r="E3810" t="s">
        <v>15</v>
      </c>
      <c r="F3810" t="s">
        <v>11656</v>
      </c>
      <c r="G3810" t="s">
        <v>18097</v>
      </c>
      <c r="H3810" t="s">
        <v>1112</v>
      </c>
      <c r="I3810" t="s">
        <v>1108</v>
      </c>
      <c r="J3810" t="s">
        <v>11657</v>
      </c>
      <c r="K3810" t="s">
        <v>11658</v>
      </c>
      <c r="L3810" t="s">
        <v>21</v>
      </c>
      <c r="M3810" t="s">
        <v>19177</v>
      </c>
      <c r="N3810" t="s">
        <v>714</v>
      </c>
      <c r="O3810" t="s">
        <v>10263</v>
      </c>
      <c r="P3810" t="s">
        <v>12</v>
      </c>
    </row>
    <row r="3811">
      <c r="A3811">
        <f>HYPERLINK("http://bombeiros.sp.gov.br/hidrantes/03individual/27294.html","27294")</f>
      </c>
      <c r="B3811" t="s">
        <v>623</v>
      </c>
      <c r="C3811" t="s">
        <v>821</v>
      </c>
      <c r="D3811" t="s">
        <v>11631</v>
      </c>
      <c r="E3811" t="s">
        <v>15</v>
      </c>
      <c r="F3811" t="s">
        <v>17096</v>
      </c>
      <c r="G3811" t="s">
        <v>17913</v>
      </c>
      <c r="H3811" t="s">
        <v>1112</v>
      </c>
      <c r="I3811" t="s">
        <v>1108</v>
      </c>
      <c r="J3811" t="s">
        <v>17097</v>
      </c>
      <c r="K3811" t="s">
        <v>17098</v>
      </c>
      <c r="L3811" t="s">
        <v>21</v>
      </c>
      <c r="M3811" t="s">
        <v>19177</v>
      </c>
      <c r="N3811" t="s">
        <v>714</v>
      </c>
      <c r="O3811" t="s">
        <v>10263</v>
      </c>
      <c r="P3811" t="s">
        <v>12</v>
      </c>
    </row>
    <row r="3812">
      <c r="A3812">
        <f>HYPERLINK("http://bombeiros.sp.gov.br/hidrantes/03individual/1137.html","1137")</f>
      </c>
      <c r="B3812" t="s">
        <v>623</v>
      </c>
      <c r="C3812" t="s">
        <v>821</v>
      </c>
      <c r="D3812" t="s">
        <v>821</v>
      </c>
      <c r="E3812" t="s">
        <v>15</v>
      </c>
      <c r="F3812" t="s">
        <v>827</v>
      </c>
      <c r="G3812" t="s">
        <v>18143</v>
      </c>
      <c r="H3812" t="s">
        <v>1112</v>
      </c>
      <c r="I3812" t="s">
        <v>1108</v>
      </c>
      <c r="J3812" t="s">
        <v>829</v>
      </c>
      <c r="K3812" t="s">
        <v>830</v>
      </c>
      <c r="L3812" t="s">
        <v>21</v>
      </c>
      <c r="M3812" t="s">
        <v>19177</v>
      </c>
      <c r="N3812" t="s">
        <v>714</v>
      </c>
      <c r="O3812" t="s">
        <v>10263</v>
      </c>
      <c r="P3812" t="s">
        <v>12</v>
      </c>
    </row>
    <row r="3813">
      <c r="A3813">
        <f>HYPERLINK("http://bombeiros.sp.gov.br/hidrantes/03individual/1141.html","1141")</f>
      </c>
      <c r="B3813" t="s">
        <v>623</v>
      </c>
      <c r="C3813" t="s">
        <v>821</v>
      </c>
      <c r="D3813" t="s">
        <v>821</v>
      </c>
      <c r="E3813" t="s">
        <v>15</v>
      </c>
      <c r="F3813" t="s">
        <v>11659</v>
      </c>
      <c r="G3813" t="s">
        <v>18143</v>
      </c>
      <c r="H3813" t="s">
        <v>1121</v>
      </c>
      <c r="I3813" t="s">
        <v>1117</v>
      </c>
      <c r="J3813" t="s">
        <v>11660</v>
      </c>
      <c r="K3813" t="s">
        <v>11661</v>
      </c>
      <c r="L3813" t="s">
        <v>21</v>
      </c>
      <c r="M3813" t="s">
        <v>19177</v>
      </c>
      <c r="N3813" t="s">
        <v>714</v>
      </c>
      <c r="O3813" t="s">
        <v>10263</v>
      </c>
      <c r="P3813" t="s">
        <v>12</v>
      </c>
    </row>
    <row r="3814">
      <c r="A3814">
        <f>HYPERLINK("http://bombeiros.sp.gov.br/hidrantes/03individual/1263.html","1263")</f>
      </c>
      <c r="B3814" t="s">
        <v>623</v>
      </c>
      <c r="C3814" t="s">
        <v>821</v>
      </c>
      <c r="D3814" t="s">
        <v>821</v>
      </c>
      <c r="E3814" t="s">
        <v>15</v>
      </c>
      <c r="F3814" t="s">
        <v>11662</v>
      </c>
      <c r="G3814" t="s">
        <v>18110</v>
      </c>
      <c r="H3814" t="s">
        <v>1112</v>
      </c>
      <c r="I3814" t="s">
        <v>1108</v>
      </c>
      <c r="J3814" t="s">
        <v>11663</v>
      </c>
      <c r="K3814" t="s">
        <v>11664</v>
      </c>
      <c r="L3814" t="s">
        <v>21</v>
      </c>
      <c r="M3814" t="s">
        <v>19177</v>
      </c>
      <c r="N3814" t="s">
        <v>714</v>
      </c>
      <c r="O3814" t="s">
        <v>10263</v>
      </c>
      <c r="P3814" t="s">
        <v>12</v>
      </c>
    </row>
    <row r="3815">
      <c r="A3815">
        <f>HYPERLINK("http://bombeiros.sp.gov.br/hidrantes/03individual/1265.html","1265")</f>
      </c>
      <c r="B3815" t="s">
        <v>623</v>
      </c>
      <c r="C3815" t="s">
        <v>821</v>
      </c>
      <c r="D3815" t="s">
        <v>821</v>
      </c>
      <c r="E3815" t="s">
        <v>15</v>
      </c>
      <c r="F3815" t="s">
        <v>11665</v>
      </c>
      <c r="G3815" t="s">
        <v>18097</v>
      </c>
      <c r="H3815" t="s">
        <v>1112</v>
      </c>
      <c r="I3815" t="s">
        <v>1108</v>
      </c>
      <c r="J3815" t="s">
        <v>11666</v>
      </c>
      <c r="K3815" t="s">
        <v>11667</v>
      </c>
      <c r="L3815" t="s">
        <v>21</v>
      </c>
      <c r="M3815" t="s">
        <v>19177</v>
      </c>
      <c r="N3815" t="s">
        <v>714</v>
      </c>
      <c r="O3815" t="s">
        <v>10263</v>
      </c>
      <c r="P3815" t="s">
        <v>12</v>
      </c>
    </row>
    <row r="3816">
      <c r="A3816">
        <f>HYPERLINK("http://bombeiros.sp.gov.br/hidrantes/03individual/4435.html","4435")</f>
      </c>
      <c r="B3816" t="s">
        <v>623</v>
      </c>
      <c r="C3816" t="s">
        <v>821</v>
      </c>
      <c r="D3816" t="s">
        <v>821</v>
      </c>
      <c r="E3816" t="s">
        <v>15</v>
      </c>
      <c r="F3816" t="s">
        <v>11668</v>
      </c>
      <c r="G3816" t="s">
        <v>18050</v>
      </c>
      <c r="H3816" t="s">
        <v>1112</v>
      </c>
      <c r="I3816" t="s">
        <v>1108</v>
      </c>
      <c r="J3816" t="s">
        <v>18371</v>
      </c>
      <c r="K3816" t="s">
        <v>18372</v>
      </c>
      <c r="L3816" t="s">
        <v>21</v>
      </c>
      <c r="M3816" t="s">
        <v>19177</v>
      </c>
      <c r="N3816" t="s">
        <v>714</v>
      </c>
      <c r="O3816" t="s">
        <v>10263</v>
      </c>
      <c r="P3816" t="s">
        <v>12</v>
      </c>
    </row>
    <row r="3817">
      <c r="A3817">
        <f>HYPERLINK("http://bombeiros.sp.gov.br/hidrantes/03individual/16595.html","16595")</f>
      </c>
      <c r="B3817" t="s">
        <v>623</v>
      </c>
      <c r="C3817" t="s">
        <v>821</v>
      </c>
      <c r="D3817" t="s">
        <v>821</v>
      </c>
      <c r="E3817" t="s">
        <v>15</v>
      </c>
      <c r="F3817" t="s">
        <v>11671</v>
      </c>
      <c r="G3817" t="s">
        <v>18110</v>
      </c>
      <c r="H3817"/>
      <c r="I3817" t="s">
        <v>18</v>
      </c>
      <c r="J3817" t="s">
        <v>11672</v>
      </c>
      <c r="K3817" t="s">
        <v>11673</v>
      </c>
      <c r="L3817" t="s">
        <v>21</v>
      </c>
      <c r="M3817" t="s">
        <v>19177</v>
      </c>
      <c r="N3817" t="s">
        <v>714</v>
      </c>
      <c r="O3817" t="s">
        <v>10263</v>
      </c>
      <c r="P3817" t="s">
        <v>12</v>
      </c>
    </row>
    <row r="3818">
      <c r="A3818">
        <f>HYPERLINK("http://bombeiros.sp.gov.br/hidrantes/03individual/27029.html","27029")</f>
      </c>
      <c r="B3818" t="s">
        <v>623</v>
      </c>
      <c r="C3818" t="s">
        <v>831</v>
      </c>
      <c r="D3818" t="s">
        <v>832</v>
      </c>
      <c r="E3818" t="s">
        <v>64</v>
      </c>
      <c r="F3818" t="s">
        <v>16621</v>
      </c>
      <c r="G3818" t="s">
        <v>17944</v>
      </c>
      <c r="H3818" t="s">
        <v>1112</v>
      </c>
      <c r="I3818" t="s">
        <v>1108</v>
      </c>
      <c r="J3818" t="s">
        <v>16622</v>
      </c>
      <c r="K3818" t="s">
        <v>16623</v>
      </c>
      <c r="L3818" t="s">
        <v>21</v>
      </c>
      <c r="M3818" t="s">
        <v>19177</v>
      </c>
      <c r="N3818" t="s">
        <v>16375</v>
      </c>
      <c r="O3818" t="s">
        <v>640</v>
      </c>
      <c r="P3818" t="s">
        <v>623</v>
      </c>
    </row>
    <row r="3819">
      <c r="A3819">
        <f>HYPERLINK("http://bombeiros.sp.gov.br/hidrantes/03individual/27057.html","27057")</f>
      </c>
      <c r="B3819" t="s">
        <v>623</v>
      </c>
      <c r="C3819" t="s">
        <v>831</v>
      </c>
      <c r="D3819" t="s">
        <v>832</v>
      </c>
      <c r="E3819" t="s">
        <v>64</v>
      </c>
      <c r="F3819" t="s">
        <v>16687</v>
      </c>
      <c r="G3819" t="s">
        <v>18057</v>
      </c>
      <c r="H3819" t="s">
        <v>1112</v>
      </c>
      <c r="I3819" t="s">
        <v>1108</v>
      </c>
      <c r="J3819" t="s">
        <v>16688</v>
      </c>
      <c r="K3819" t="s">
        <v>16689</v>
      </c>
      <c r="L3819" t="s">
        <v>21</v>
      </c>
      <c r="M3819" t="s">
        <v>19177</v>
      </c>
      <c r="N3819" t="s">
        <v>848</v>
      </c>
      <c r="O3819" t="s">
        <v>640</v>
      </c>
      <c r="P3819" t="s">
        <v>623</v>
      </c>
    </row>
    <row r="3820">
      <c r="A3820">
        <f>HYPERLINK("http://bombeiros.sp.gov.br/hidrantes/03individual/27122.html","27122")</f>
      </c>
      <c r="B3820" t="s">
        <v>623</v>
      </c>
      <c r="C3820" t="s">
        <v>831</v>
      </c>
      <c r="D3820" t="s">
        <v>832</v>
      </c>
      <c r="E3820" t="s">
        <v>64</v>
      </c>
      <c r="F3820" t="s">
        <v>16787</v>
      </c>
      <c r="G3820" t="s">
        <v>18078</v>
      </c>
      <c r="H3820" t="s">
        <v>1112</v>
      </c>
      <c r="I3820" t="s">
        <v>1108</v>
      </c>
      <c r="J3820" t="s">
        <v>16788</v>
      </c>
      <c r="K3820" t="s">
        <v>16789</v>
      </c>
      <c r="L3820" t="s">
        <v>21</v>
      </c>
      <c r="M3820" t="s">
        <v>19177</v>
      </c>
      <c r="N3820" t="s">
        <v>848</v>
      </c>
      <c r="O3820" t="s">
        <v>640</v>
      </c>
      <c r="P3820" t="s">
        <v>623</v>
      </c>
    </row>
    <row r="3821">
      <c r="A3821">
        <f>HYPERLINK("http://bombeiros.sp.gov.br/hidrantes/03individual/27123.html","27123")</f>
      </c>
      <c r="B3821" t="s">
        <v>623</v>
      </c>
      <c r="C3821" t="s">
        <v>831</v>
      </c>
      <c r="D3821" t="s">
        <v>832</v>
      </c>
      <c r="E3821" t="s">
        <v>64</v>
      </c>
      <c r="F3821" t="s">
        <v>16790</v>
      </c>
      <c r="G3821" t="s">
        <v>18051</v>
      </c>
      <c r="H3821" t="s">
        <v>1112</v>
      </c>
      <c r="I3821" t="s">
        <v>1108</v>
      </c>
      <c r="J3821" t="s">
        <v>16791</v>
      </c>
      <c r="K3821" t="s">
        <v>16792</v>
      </c>
      <c r="L3821" t="s">
        <v>21</v>
      </c>
      <c r="M3821" t="s">
        <v>19177</v>
      </c>
      <c r="N3821" t="s">
        <v>848</v>
      </c>
      <c r="O3821" t="s">
        <v>640</v>
      </c>
      <c r="P3821" t="s">
        <v>623</v>
      </c>
    </row>
    <row r="3822">
      <c r="A3822">
        <f>HYPERLINK("http://bombeiros.sp.gov.br/hidrantes/03individual/2149.html","2149")</f>
      </c>
      <c r="B3822" t="s">
        <v>623</v>
      </c>
      <c r="C3822" t="s">
        <v>831</v>
      </c>
      <c r="D3822" t="s">
        <v>832</v>
      </c>
      <c r="E3822" t="s">
        <v>15</v>
      </c>
      <c r="F3822" t="s">
        <v>11674</v>
      </c>
      <c r="G3822" t="s">
        <v>18139</v>
      </c>
      <c r="H3822" t="s">
        <v>1107</v>
      </c>
      <c r="I3822" t="s">
        <v>1108</v>
      </c>
      <c r="J3822" t="s">
        <v>11675</v>
      </c>
      <c r="K3822" t="s">
        <v>11676</v>
      </c>
      <c r="L3822" t="s">
        <v>21</v>
      </c>
      <c r="M3822" t="s">
        <v>19177</v>
      </c>
      <c r="N3822" t="s">
        <v>16375</v>
      </c>
      <c r="O3822" t="s">
        <v>640</v>
      </c>
      <c r="P3822" t="s">
        <v>623</v>
      </c>
    </row>
    <row r="3823">
      <c r="A3823">
        <f>HYPERLINK("http://bombeiros.sp.gov.br/hidrantes/03individual/4039.html","4039")</f>
      </c>
      <c r="B3823" t="s">
        <v>623</v>
      </c>
      <c r="C3823" t="s">
        <v>831</v>
      </c>
      <c r="D3823" t="s">
        <v>832</v>
      </c>
      <c r="E3823" t="s">
        <v>15</v>
      </c>
      <c r="F3823" t="s">
        <v>11677</v>
      </c>
      <c r="G3823" t="s">
        <v>17867</v>
      </c>
      <c r="H3823" t="s">
        <v>1112</v>
      </c>
      <c r="I3823" t="s">
        <v>1108</v>
      </c>
      <c r="J3823" t="s">
        <v>11678</v>
      </c>
      <c r="K3823" t="s">
        <v>11679</v>
      </c>
      <c r="L3823" t="s">
        <v>21</v>
      </c>
      <c r="M3823" t="s">
        <v>19177</v>
      </c>
      <c r="N3823" t="s">
        <v>848</v>
      </c>
      <c r="O3823" t="s">
        <v>640</v>
      </c>
      <c r="P3823" t="s">
        <v>623</v>
      </c>
    </row>
    <row r="3824">
      <c r="A3824">
        <f>HYPERLINK("http://bombeiros.sp.gov.br/hidrantes/03individual/4392.html","4392")</f>
      </c>
      <c r="B3824" t="s">
        <v>623</v>
      </c>
      <c r="C3824" t="s">
        <v>831</v>
      </c>
      <c r="D3824" t="s">
        <v>832</v>
      </c>
      <c r="E3824" t="s">
        <v>15</v>
      </c>
      <c r="F3824" t="s">
        <v>11674</v>
      </c>
      <c r="G3824" t="s">
        <v>18050</v>
      </c>
      <c r="H3824" t="s">
        <v>1107</v>
      </c>
      <c r="I3824" t="s">
        <v>1108</v>
      </c>
      <c r="J3824" t="s">
        <v>11680</v>
      </c>
      <c r="K3824" t="s">
        <v>11681</v>
      </c>
      <c r="L3824" t="s">
        <v>21</v>
      </c>
      <c r="M3824" t="s">
        <v>19177</v>
      </c>
      <c r="N3824" t="s">
        <v>16375</v>
      </c>
      <c r="O3824" t="s">
        <v>640</v>
      </c>
      <c r="P3824" t="s">
        <v>623</v>
      </c>
    </row>
    <row r="3825">
      <c r="A3825">
        <f>HYPERLINK("http://bombeiros.sp.gov.br/hidrantes/03individual/1241.html","1241")</f>
      </c>
      <c r="B3825" t="s">
        <v>623</v>
      </c>
      <c r="C3825" t="s">
        <v>831</v>
      </c>
      <c r="D3825" t="s">
        <v>11682</v>
      </c>
      <c r="E3825" t="s">
        <v>64</v>
      </c>
      <c r="F3825" t="s">
        <v>11683</v>
      </c>
      <c r="G3825" t="s">
        <v>18143</v>
      </c>
      <c r="H3825" t="s">
        <v>1121</v>
      </c>
      <c r="I3825" t="s">
        <v>1117</v>
      </c>
      <c r="J3825" t="s">
        <v>11684</v>
      </c>
      <c r="K3825" t="s">
        <v>11685</v>
      </c>
      <c r="L3825" t="s">
        <v>36</v>
      </c>
      <c r="M3825" t="s">
        <v>19177</v>
      </c>
      <c r="N3825" t="s">
        <v>16375</v>
      </c>
      <c r="O3825" t="s">
        <v>640</v>
      </c>
      <c r="P3825" t="s">
        <v>623</v>
      </c>
    </row>
    <row r="3826">
      <c r="A3826">
        <f>HYPERLINK("http://bombeiros.sp.gov.br/hidrantes/03individual/4252.html","4252")</f>
      </c>
      <c r="B3826" t="s">
        <v>623</v>
      </c>
      <c r="C3826" t="s">
        <v>831</v>
      </c>
      <c r="D3826" t="s">
        <v>11682</v>
      </c>
      <c r="E3826" t="s">
        <v>64</v>
      </c>
      <c r="F3826" t="s">
        <v>11686</v>
      </c>
      <c r="G3826" t="s">
        <v>18050</v>
      </c>
      <c r="H3826" t="s">
        <v>1112</v>
      </c>
      <c r="I3826" t="s">
        <v>1108</v>
      </c>
      <c r="J3826" t="s">
        <v>11687</v>
      </c>
      <c r="K3826" t="s">
        <v>11688</v>
      </c>
      <c r="L3826" t="s">
        <v>21</v>
      </c>
      <c r="M3826" t="s">
        <v>19177</v>
      </c>
      <c r="N3826" t="s">
        <v>16375</v>
      </c>
      <c r="O3826" t="s">
        <v>640</v>
      </c>
      <c r="P3826" t="s">
        <v>623</v>
      </c>
    </row>
    <row r="3827">
      <c r="A3827">
        <f>HYPERLINK("http://bombeiros.sp.gov.br/hidrantes/03individual/6681.html","6681")</f>
      </c>
      <c r="B3827" t="s">
        <v>623</v>
      </c>
      <c r="C3827" t="s">
        <v>831</v>
      </c>
      <c r="D3827" t="s">
        <v>11682</v>
      </c>
      <c r="E3827" t="s">
        <v>64</v>
      </c>
      <c r="F3827" t="s">
        <v>11689</v>
      </c>
      <c r="G3827" t="s">
        <v>18143</v>
      </c>
      <c r="H3827" t="s">
        <v>1112</v>
      </c>
      <c r="I3827" t="s">
        <v>1108</v>
      </c>
      <c r="J3827" t="s">
        <v>11690</v>
      </c>
      <c r="K3827" t="s">
        <v>11691</v>
      </c>
      <c r="L3827" t="s">
        <v>21</v>
      </c>
      <c r="M3827" t="s">
        <v>19177</v>
      </c>
      <c r="N3827" t="s">
        <v>16375</v>
      </c>
      <c r="O3827" t="s">
        <v>640</v>
      </c>
      <c r="P3827" t="s">
        <v>623</v>
      </c>
    </row>
    <row r="3828">
      <c r="A3828">
        <f>HYPERLINK("http://bombeiros.sp.gov.br/hidrantes/03individual/15047.html","15047")</f>
      </c>
      <c r="B3828" t="s">
        <v>623</v>
      </c>
      <c r="C3828" t="s">
        <v>831</v>
      </c>
      <c r="D3828" t="s">
        <v>11682</v>
      </c>
      <c r="E3828" t="s">
        <v>64</v>
      </c>
      <c r="F3828" t="s">
        <v>11692</v>
      </c>
      <c r="G3828" t="s">
        <v>18143</v>
      </c>
      <c r="H3828" t="s">
        <v>1112</v>
      </c>
      <c r="I3828" t="s">
        <v>1108</v>
      </c>
      <c r="J3828" t="s">
        <v>11693</v>
      </c>
      <c r="K3828" t="s">
        <v>11694</v>
      </c>
      <c r="L3828" t="s">
        <v>21</v>
      </c>
      <c r="M3828" t="s">
        <v>19177</v>
      </c>
      <c r="N3828" t="s">
        <v>16375</v>
      </c>
      <c r="O3828" t="s">
        <v>640</v>
      </c>
      <c r="P3828" t="s">
        <v>623</v>
      </c>
    </row>
    <row r="3829">
      <c r="A3829">
        <f>HYPERLINK("http://bombeiros.sp.gov.br/hidrantes/03individual/27030.html","27030")</f>
      </c>
      <c r="B3829" t="s">
        <v>623</v>
      </c>
      <c r="C3829" t="s">
        <v>831</v>
      </c>
      <c r="D3829" t="s">
        <v>11682</v>
      </c>
      <c r="E3829" t="s">
        <v>64</v>
      </c>
      <c r="F3829" t="s">
        <v>16624</v>
      </c>
      <c r="G3829" t="s">
        <v>18050</v>
      </c>
      <c r="H3829" t="s">
        <v>1112</v>
      </c>
      <c r="I3829" t="s">
        <v>1108</v>
      </c>
      <c r="J3829" t="s">
        <v>16625</v>
      </c>
      <c r="K3829" t="s">
        <v>16626</v>
      </c>
      <c r="L3829" t="s">
        <v>21</v>
      </c>
      <c r="M3829" t="s">
        <v>19177</v>
      </c>
      <c r="N3829" t="s">
        <v>16375</v>
      </c>
      <c r="O3829" t="s">
        <v>640</v>
      </c>
      <c r="P3829" t="s">
        <v>623</v>
      </c>
    </row>
    <row r="3830">
      <c r="A3830">
        <f>HYPERLINK("http://bombeiros.sp.gov.br/hidrantes/03individual/27063.html","27063")</f>
      </c>
      <c r="B3830" t="s">
        <v>623</v>
      </c>
      <c r="C3830" t="s">
        <v>831</v>
      </c>
      <c r="D3830" t="s">
        <v>11682</v>
      </c>
      <c r="E3830" t="s">
        <v>64</v>
      </c>
      <c r="F3830" t="s">
        <v>16690</v>
      </c>
      <c r="G3830" t="s">
        <v>18050</v>
      </c>
      <c r="H3830" t="s">
        <v>1112</v>
      </c>
      <c r="I3830" t="s">
        <v>1108</v>
      </c>
      <c r="J3830" t="s">
        <v>16691</v>
      </c>
      <c r="K3830" t="s">
        <v>16692</v>
      </c>
      <c r="L3830" t="s">
        <v>21</v>
      </c>
      <c r="M3830" t="s">
        <v>19177</v>
      </c>
      <c r="N3830" t="s">
        <v>16375</v>
      </c>
      <c r="O3830" t="s">
        <v>640</v>
      </c>
      <c r="P3830" t="s">
        <v>623</v>
      </c>
    </row>
    <row r="3831">
      <c r="A3831">
        <f>HYPERLINK("http://bombeiros.sp.gov.br/hidrantes/03individual/17764.html","17764")</f>
      </c>
      <c r="B3831" t="s">
        <v>623</v>
      </c>
      <c r="C3831" t="s">
        <v>831</v>
      </c>
      <c r="D3831" t="s">
        <v>11682</v>
      </c>
      <c r="E3831" t="s">
        <v>15</v>
      </c>
      <c r="F3831" t="s">
        <v>11698</v>
      </c>
      <c r="G3831" t="s">
        <v>17867</v>
      </c>
      <c r="H3831" t="s">
        <v>1112</v>
      </c>
      <c r="I3831" t="s">
        <v>1108</v>
      </c>
      <c r="J3831" t="s">
        <v>11699</v>
      </c>
      <c r="K3831" t="s">
        <v>11700</v>
      </c>
      <c r="L3831" t="s">
        <v>21</v>
      </c>
      <c r="M3831" t="s">
        <v>19177</v>
      </c>
      <c r="N3831" t="s">
        <v>16375</v>
      </c>
      <c r="O3831" t="s">
        <v>640</v>
      </c>
      <c r="P3831" t="s">
        <v>623</v>
      </c>
    </row>
    <row r="3832">
      <c r="A3832">
        <f>HYPERLINK("http://bombeiros.sp.gov.br/hidrantes/03individual/17807.html","17807")</f>
      </c>
      <c r="B3832" t="s">
        <v>623</v>
      </c>
      <c r="C3832" t="s">
        <v>831</v>
      </c>
      <c r="D3832" t="s">
        <v>11682</v>
      </c>
      <c r="E3832" t="s">
        <v>15</v>
      </c>
      <c r="F3832" t="s">
        <v>11701</v>
      </c>
      <c r="G3832" t="s">
        <v>18143</v>
      </c>
      <c r="H3832"/>
      <c r="I3832" t="s">
        <v>18</v>
      </c>
      <c r="J3832" t="s">
        <v>11702</v>
      </c>
      <c r="K3832" t="s">
        <v>11703</v>
      </c>
      <c r="L3832" t="s">
        <v>21</v>
      </c>
      <c r="M3832" t="s">
        <v>19177</v>
      </c>
      <c r="N3832" t="s">
        <v>16375</v>
      </c>
      <c r="O3832" t="s">
        <v>640</v>
      </c>
      <c r="P3832" t="s">
        <v>623</v>
      </c>
    </row>
    <row r="3833">
      <c r="A3833">
        <f>HYPERLINK("http://bombeiros.sp.gov.br/hidrantes/03individual/17816.html","17816")</f>
      </c>
      <c r="B3833" t="s">
        <v>623</v>
      </c>
      <c r="C3833" t="s">
        <v>831</v>
      </c>
      <c r="D3833" t="s">
        <v>11682</v>
      </c>
      <c r="E3833" t="s">
        <v>15</v>
      </c>
      <c r="F3833" t="s">
        <v>11704</v>
      </c>
      <c r="G3833" t="s">
        <v>18050</v>
      </c>
      <c r="H3833" t="s">
        <v>1112</v>
      </c>
      <c r="I3833" t="s">
        <v>1108</v>
      </c>
      <c r="J3833" t="s">
        <v>16895</v>
      </c>
      <c r="K3833" t="s">
        <v>16896</v>
      </c>
      <c r="L3833" t="s">
        <v>21</v>
      </c>
      <c r="M3833" t="s">
        <v>19177</v>
      </c>
      <c r="N3833" t="s">
        <v>16375</v>
      </c>
      <c r="O3833" t="s">
        <v>640</v>
      </c>
      <c r="P3833" t="s">
        <v>623</v>
      </c>
    </row>
    <row r="3834">
      <c r="A3834">
        <f>HYPERLINK("http://bombeiros.sp.gov.br/hidrantes/03individual/2165.html","2165")</f>
      </c>
      <c r="B3834" t="s">
        <v>623</v>
      </c>
      <c r="C3834" t="s">
        <v>831</v>
      </c>
      <c r="D3834" t="s">
        <v>11707</v>
      </c>
      <c r="E3834" t="s">
        <v>15</v>
      </c>
      <c r="F3834" t="s">
        <v>11708</v>
      </c>
      <c r="G3834" t="s">
        <v>18050</v>
      </c>
      <c r="H3834" t="s">
        <v>1121</v>
      </c>
      <c r="I3834" t="s">
        <v>1117</v>
      </c>
      <c r="J3834" t="s">
        <v>11709</v>
      </c>
      <c r="K3834" t="s">
        <v>11710</v>
      </c>
      <c r="L3834" t="s">
        <v>21</v>
      </c>
      <c r="M3834" t="s">
        <v>19177</v>
      </c>
      <c r="N3834" t="s">
        <v>16375</v>
      </c>
      <c r="O3834" t="s">
        <v>640</v>
      </c>
      <c r="P3834" t="s">
        <v>623</v>
      </c>
    </row>
    <row r="3835">
      <c r="A3835">
        <f>HYPERLINK("http://bombeiros.sp.gov.br/hidrantes/03individual/2188.html","2188")</f>
      </c>
      <c r="B3835" t="s">
        <v>623</v>
      </c>
      <c r="C3835" t="s">
        <v>831</v>
      </c>
      <c r="D3835" t="s">
        <v>11707</v>
      </c>
      <c r="E3835" t="s">
        <v>15</v>
      </c>
      <c r="F3835" t="s">
        <v>11711</v>
      </c>
      <c r="G3835" t="s">
        <v>18050</v>
      </c>
      <c r="H3835" t="s">
        <v>1174</v>
      </c>
      <c r="I3835" t="s">
        <v>1117</v>
      </c>
      <c r="J3835" t="s">
        <v>11712</v>
      </c>
      <c r="K3835" t="s">
        <v>11713</v>
      </c>
      <c r="L3835" t="s">
        <v>21</v>
      </c>
      <c r="M3835" t="s">
        <v>19177</v>
      </c>
      <c r="N3835" t="s">
        <v>16375</v>
      </c>
      <c r="O3835" t="s">
        <v>640</v>
      </c>
      <c r="P3835" t="s">
        <v>623</v>
      </c>
    </row>
    <row r="3836">
      <c r="A3836">
        <f>HYPERLINK("http://bombeiros.sp.gov.br/hidrantes/03individual/4211.html","4211")</f>
      </c>
      <c r="B3836" t="s">
        <v>623</v>
      </c>
      <c r="C3836" t="s">
        <v>831</v>
      </c>
      <c r="D3836" t="s">
        <v>11707</v>
      </c>
      <c r="E3836" t="s">
        <v>15</v>
      </c>
      <c r="F3836" t="s">
        <v>11714</v>
      </c>
      <c r="G3836" t="s">
        <v>18050</v>
      </c>
      <c r="H3836" t="s">
        <v>1121</v>
      </c>
      <c r="I3836" t="s">
        <v>1117</v>
      </c>
      <c r="J3836" t="s">
        <v>11715</v>
      </c>
      <c r="K3836" t="s">
        <v>11716</v>
      </c>
      <c r="L3836" t="s">
        <v>21</v>
      </c>
      <c r="M3836" t="s">
        <v>19177</v>
      </c>
      <c r="N3836" t="s">
        <v>16375</v>
      </c>
      <c r="O3836" t="s">
        <v>640</v>
      </c>
      <c r="P3836" t="s">
        <v>623</v>
      </c>
    </row>
    <row r="3837">
      <c r="A3837">
        <f>HYPERLINK("http://bombeiros.sp.gov.br/hidrantes/03individual/17817.html","17817")</f>
      </c>
      <c r="B3837" t="s">
        <v>623</v>
      </c>
      <c r="C3837" t="s">
        <v>831</v>
      </c>
      <c r="D3837" t="s">
        <v>11707</v>
      </c>
      <c r="E3837" t="s">
        <v>15</v>
      </c>
      <c r="F3837" t="s">
        <v>11717</v>
      </c>
      <c r="G3837" t="s">
        <v>18046</v>
      </c>
      <c r="H3837" t="s">
        <v>1174</v>
      </c>
      <c r="I3837" t="s">
        <v>1117</v>
      </c>
      <c r="J3837" t="s">
        <v>11718</v>
      </c>
      <c r="K3837" t="s">
        <v>11719</v>
      </c>
      <c r="L3837" t="s">
        <v>21</v>
      </c>
      <c r="M3837" t="s">
        <v>19177</v>
      </c>
      <c r="N3837" t="s">
        <v>16375</v>
      </c>
      <c r="O3837" t="s">
        <v>640</v>
      </c>
      <c r="P3837" t="s">
        <v>623</v>
      </c>
    </row>
    <row r="3838">
      <c r="A3838">
        <f>HYPERLINK("http://bombeiros.sp.gov.br/hidrantes/03individual/1379.html","1379")</f>
      </c>
      <c r="B3838" t="s">
        <v>623</v>
      </c>
      <c r="C3838" t="s">
        <v>831</v>
      </c>
      <c r="D3838" t="s">
        <v>831</v>
      </c>
      <c r="E3838" t="s">
        <v>64</v>
      </c>
      <c r="F3838" t="s">
        <v>11720</v>
      </c>
      <c r="G3838" t="s">
        <v>17867</v>
      </c>
      <c r="H3838" t="s">
        <v>1121</v>
      </c>
      <c r="I3838" t="s">
        <v>1117</v>
      </c>
      <c r="J3838" t="s">
        <v>11721</v>
      </c>
      <c r="K3838" t="s">
        <v>11722</v>
      </c>
      <c r="L3838" t="s">
        <v>21</v>
      </c>
      <c r="M3838" t="s">
        <v>19177</v>
      </c>
      <c r="N3838" t="s">
        <v>16375</v>
      </c>
      <c r="O3838" t="s">
        <v>640</v>
      </c>
      <c r="P3838" t="s">
        <v>623</v>
      </c>
    </row>
    <row r="3839">
      <c r="A3839">
        <f>HYPERLINK("http://bombeiros.sp.gov.br/hidrantes/03individual/16360.html","16360")</f>
      </c>
      <c r="B3839" t="s">
        <v>623</v>
      </c>
      <c r="C3839" t="s">
        <v>831</v>
      </c>
      <c r="D3839" t="s">
        <v>831</v>
      </c>
      <c r="E3839" t="s">
        <v>64</v>
      </c>
      <c r="F3839" t="s">
        <v>11723</v>
      </c>
      <c r="G3839" t="s">
        <v>17860</v>
      </c>
      <c r="H3839" t="s">
        <v>1121</v>
      </c>
      <c r="I3839" t="s">
        <v>1117</v>
      </c>
      <c r="J3839" t="s">
        <v>11724</v>
      </c>
      <c r="K3839" t="s">
        <v>11725</v>
      </c>
      <c r="L3839" t="s">
        <v>21</v>
      </c>
      <c r="M3839" t="s">
        <v>19177</v>
      </c>
      <c r="N3839" t="s">
        <v>16375</v>
      </c>
      <c r="O3839" t="s">
        <v>640</v>
      </c>
      <c r="P3839" t="s">
        <v>623</v>
      </c>
    </row>
    <row r="3840">
      <c r="A3840">
        <f>HYPERLINK("http://bombeiros.sp.gov.br/hidrantes/03individual/1228.html","1228")</f>
      </c>
      <c r="B3840" t="s">
        <v>623</v>
      </c>
      <c r="C3840" t="s">
        <v>831</v>
      </c>
      <c r="D3840" t="s">
        <v>831</v>
      </c>
      <c r="E3840" t="s">
        <v>15</v>
      </c>
      <c r="F3840" t="s">
        <v>11726</v>
      </c>
      <c r="G3840" t="s">
        <v>17867</v>
      </c>
      <c r="H3840" t="s">
        <v>1121</v>
      </c>
      <c r="I3840" t="s">
        <v>1117</v>
      </c>
      <c r="J3840" t="s">
        <v>17373</v>
      </c>
      <c r="K3840" t="s">
        <v>17374</v>
      </c>
      <c r="L3840" t="s">
        <v>21</v>
      </c>
      <c r="M3840" t="s">
        <v>19177</v>
      </c>
      <c r="N3840" t="s">
        <v>16375</v>
      </c>
      <c r="O3840" t="s">
        <v>640</v>
      </c>
      <c r="P3840" t="s">
        <v>623</v>
      </c>
    </row>
    <row r="3841">
      <c r="A3841">
        <f>HYPERLINK("http://bombeiros.sp.gov.br/hidrantes/03individual/1329.html","1329")</f>
      </c>
      <c r="B3841" t="s">
        <v>623</v>
      </c>
      <c r="C3841" t="s">
        <v>831</v>
      </c>
      <c r="D3841" t="s">
        <v>831</v>
      </c>
      <c r="E3841" t="s">
        <v>15</v>
      </c>
      <c r="F3841" t="s">
        <v>11729</v>
      </c>
      <c r="G3841" t="s">
        <v>18057</v>
      </c>
      <c r="H3841" t="s">
        <v>1112</v>
      </c>
      <c r="I3841" t="s">
        <v>1108</v>
      </c>
      <c r="J3841" t="s">
        <v>11730</v>
      </c>
      <c r="K3841" t="s">
        <v>11731</v>
      </c>
      <c r="L3841" t="s">
        <v>21</v>
      </c>
      <c r="M3841" t="s">
        <v>19177</v>
      </c>
      <c r="N3841" t="s">
        <v>16375</v>
      </c>
      <c r="O3841" t="s">
        <v>640</v>
      </c>
      <c r="P3841" t="s">
        <v>623</v>
      </c>
    </row>
    <row r="3842">
      <c r="A3842">
        <f>HYPERLINK("http://bombeiros.sp.gov.br/hidrantes/03individual/1330.html","1330")</f>
      </c>
      <c r="B3842" t="s">
        <v>623</v>
      </c>
      <c r="C3842" t="s">
        <v>831</v>
      </c>
      <c r="D3842" t="s">
        <v>831</v>
      </c>
      <c r="E3842" t="s">
        <v>15</v>
      </c>
      <c r="F3842" t="s">
        <v>11732</v>
      </c>
      <c r="G3842" t="s">
        <v>18051</v>
      </c>
      <c r="H3842" t="s">
        <v>1121</v>
      </c>
      <c r="I3842" t="s">
        <v>1117</v>
      </c>
      <c r="J3842" t="s">
        <v>11733</v>
      </c>
      <c r="K3842" t="s">
        <v>11734</v>
      </c>
      <c r="L3842" t="s">
        <v>21</v>
      </c>
      <c r="M3842" t="s">
        <v>19177</v>
      </c>
      <c r="N3842" t="s">
        <v>16375</v>
      </c>
      <c r="O3842" t="s">
        <v>640</v>
      </c>
      <c r="P3842" t="s">
        <v>623</v>
      </c>
    </row>
    <row r="3843">
      <c r="A3843">
        <f>HYPERLINK("http://bombeiros.sp.gov.br/hidrantes/03individual/1347.html","1347")</f>
      </c>
      <c r="B3843" t="s">
        <v>623</v>
      </c>
      <c r="C3843" t="s">
        <v>831</v>
      </c>
      <c r="D3843" t="s">
        <v>831</v>
      </c>
      <c r="E3843" t="s">
        <v>15</v>
      </c>
      <c r="F3843" t="s">
        <v>11735</v>
      </c>
      <c r="G3843" t="s">
        <v>18099</v>
      </c>
      <c r="H3843" t="s">
        <v>1174</v>
      </c>
      <c r="I3843" t="s">
        <v>1117</v>
      </c>
      <c r="J3843" t="s">
        <v>11736</v>
      </c>
      <c r="K3843" t="s">
        <v>11737</v>
      </c>
      <c r="L3843" t="s">
        <v>21</v>
      </c>
      <c r="M3843" t="s">
        <v>19177</v>
      </c>
      <c r="N3843" t="s">
        <v>16375</v>
      </c>
      <c r="O3843" t="s">
        <v>640</v>
      </c>
      <c r="P3843" t="s">
        <v>623</v>
      </c>
    </row>
    <row r="3844">
      <c r="A3844">
        <f>HYPERLINK("http://bombeiros.sp.gov.br/hidrantes/03individual/1388.html","1388")</f>
      </c>
      <c r="B3844" t="s">
        <v>623</v>
      </c>
      <c r="C3844" t="s">
        <v>831</v>
      </c>
      <c r="D3844" t="s">
        <v>831</v>
      </c>
      <c r="E3844" t="s">
        <v>15</v>
      </c>
      <c r="F3844" t="s">
        <v>11738</v>
      </c>
      <c r="G3844" t="s">
        <v>17944</v>
      </c>
      <c r="H3844" t="s">
        <v>1121</v>
      </c>
      <c r="I3844" t="s">
        <v>1117</v>
      </c>
      <c r="J3844" t="s">
        <v>11739</v>
      </c>
      <c r="K3844" t="s">
        <v>11740</v>
      </c>
      <c r="L3844" t="s">
        <v>21</v>
      </c>
      <c r="M3844" t="s">
        <v>19177</v>
      </c>
      <c r="N3844" t="s">
        <v>16375</v>
      </c>
      <c r="O3844" t="s">
        <v>640</v>
      </c>
      <c r="P3844" t="s">
        <v>623</v>
      </c>
    </row>
    <row r="3845">
      <c r="A3845">
        <f>HYPERLINK("http://bombeiros.sp.gov.br/hidrantes/03individual/1390.html","1390")</f>
      </c>
      <c r="B3845" t="s">
        <v>623</v>
      </c>
      <c r="C3845" t="s">
        <v>831</v>
      </c>
      <c r="D3845" t="s">
        <v>831</v>
      </c>
      <c r="E3845" t="s">
        <v>15</v>
      </c>
      <c r="F3845" t="s">
        <v>11741</v>
      </c>
      <c r="G3845" t="s">
        <v>18050</v>
      </c>
      <c r="H3845" t="s">
        <v>1112</v>
      </c>
      <c r="I3845" t="s">
        <v>1108</v>
      </c>
      <c r="J3845" t="s">
        <v>11743</v>
      </c>
      <c r="K3845" t="s">
        <v>11744</v>
      </c>
      <c r="L3845" t="s">
        <v>21</v>
      </c>
      <c r="M3845" t="s">
        <v>19177</v>
      </c>
      <c r="N3845" t="s">
        <v>16375</v>
      </c>
      <c r="O3845" t="s">
        <v>640</v>
      </c>
      <c r="P3845" t="s">
        <v>623</v>
      </c>
    </row>
    <row r="3846">
      <c r="A3846">
        <f>HYPERLINK("http://bombeiros.sp.gov.br/hidrantes/03individual/2127.html","2127")</f>
      </c>
      <c r="B3846" t="s">
        <v>623</v>
      </c>
      <c r="C3846" t="s">
        <v>831</v>
      </c>
      <c r="D3846" t="s">
        <v>831</v>
      </c>
      <c r="E3846" t="s">
        <v>15</v>
      </c>
      <c r="F3846" t="s">
        <v>11745</v>
      </c>
      <c r="G3846" t="s">
        <v>18046</v>
      </c>
      <c r="H3846" t="s">
        <v>1121</v>
      </c>
      <c r="I3846" t="s">
        <v>1117</v>
      </c>
      <c r="J3846" t="s">
        <v>11746</v>
      </c>
      <c r="K3846" t="s">
        <v>11747</v>
      </c>
      <c r="L3846" t="s">
        <v>21</v>
      </c>
      <c r="M3846" t="s">
        <v>19177</v>
      </c>
      <c r="N3846" t="s">
        <v>16375</v>
      </c>
      <c r="O3846" t="s">
        <v>640</v>
      </c>
      <c r="P3846" t="s">
        <v>623</v>
      </c>
    </row>
    <row r="3847">
      <c r="A3847">
        <f>HYPERLINK("http://bombeiros.sp.gov.br/hidrantes/03individual/2132.html","2132")</f>
      </c>
      <c r="B3847" t="s">
        <v>623</v>
      </c>
      <c r="C3847" t="s">
        <v>831</v>
      </c>
      <c r="D3847" t="s">
        <v>831</v>
      </c>
      <c r="E3847" t="s">
        <v>15</v>
      </c>
      <c r="F3847" t="s">
        <v>11748</v>
      </c>
      <c r="G3847" t="s">
        <v>18051</v>
      </c>
      <c r="H3847" t="s">
        <v>1112</v>
      </c>
      <c r="I3847" t="s">
        <v>1108</v>
      </c>
      <c r="J3847" t="s">
        <v>11749</v>
      </c>
      <c r="K3847" t="s">
        <v>11750</v>
      </c>
      <c r="L3847" t="s">
        <v>21</v>
      </c>
      <c r="M3847" t="s">
        <v>19177</v>
      </c>
      <c r="N3847" t="s">
        <v>16375</v>
      </c>
      <c r="O3847" t="s">
        <v>640</v>
      </c>
      <c r="P3847" t="s">
        <v>623</v>
      </c>
    </row>
    <row r="3848">
      <c r="A3848">
        <f>HYPERLINK("http://bombeiros.sp.gov.br/hidrantes/03individual/2186.html","2186")</f>
      </c>
      <c r="B3848" t="s">
        <v>623</v>
      </c>
      <c r="C3848" t="s">
        <v>831</v>
      </c>
      <c r="D3848" t="s">
        <v>831</v>
      </c>
      <c r="E3848" t="s">
        <v>15</v>
      </c>
      <c r="F3848" t="s">
        <v>11754</v>
      </c>
      <c r="G3848" t="s">
        <v>17860</v>
      </c>
      <c r="H3848" t="s">
        <v>1112</v>
      </c>
      <c r="I3848" t="s">
        <v>1108</v>
      </c>
      <c r="J3848" t="s">
        <v>11755</v>
      </c>
      <c r="K3848" t="s">
        <v>11756</v>
      </c>
      <c r="L3848" t="s">
        <v>21</v>
      </c>
      <c r="M3848" t="s">
        <v>19177</v>
      </c>
      <c r="N3848" t="s">
        <v>16375</v>
      </c>
      <c r="O3848" t="s">
        <v>640</v>
      </c>
      <c r="P3848" t="s">
        <v>623</v>
      </c>
    </row>
    <row r="3849">
      <c r="A3849">
        <f>HYPERLINK("http://bombeiros.sp.gov.br/hidrantes/03individual/2208.html","2208")</f>
      </c>
      <c r="B3849" t="s">
        <v>623</v>
      </c>
      <c r="C3849" t="s">
        <v>831</v>
      </c>
      <c r="D3849" t="s">
        <v>831</v>
      </c>
      <c r="E3849" t="s">
        <v>15</v>
      </c>
      <c r="F3849" t="s">
        <v>11757</v>
      </c>
      <c r="G3849" t="s">
        <v>18046</v>
      </c>
      <c r="H3849" t="s">
        <v>1112</v>
      </c>
      <c r="I3849" t="s">
        <v>1108</v>
      </c>
      <c r="J3849" t="s">
        <v>11758</v>
      </c>
      <c r="K3849" t="s">
        <v>11759</v>
      </c>
      <c r="L3849" t="s">
        <v>21</v>
      </c>
      <c r="M3849" t="s">
        <v>19177</v>
      </c>
      <c r="N3849" t="s">
        <v>16375</v>
      </c>
      <c r="O3849" t="s">
        <v>640</v>
      </c>
      <c r="P3849" t="s">
        <v>623</v>
      </c>
    </row>
    <row r="3850">
      <c r="A3850">
        <f>HYPERLINK("http://bombeiros.sp.gov.br/hidrantes/03individual/2210.html","2210")</f>
      </c>
      <c r="B3850" t="s">
        <v>623</v>
      </c>
      <c r="C3850" t="s">
        <v>831</v>
      </c>
      <c r="D3850" t="s">
        <v>831</v>
      </c>
      <c r="E3850" t="s">
        <v>15</v>
      </c>
      <c r="F3850" t="s">
        <v>11760</v>
      </c>
      <c r="G3850" t="s">
        <v>18050</v>
      </c>
      <c r="H3850" t="s">
        <v>1121</v>
      </c>
      <c r="I3850" t="s">
        <v>1117</v>
      </c>
      <c r="J3850" t="s">
        <v>11761</v>
      </c>
      <c r="K3850" t="s">
        <v>11762</v>
      </c>
      <c r="L3850" t="s">
        <v>21</v>
      </c>
      <c r="M3850" t="s">
        <v>19177</v>
      </c>
      <c r="N3850" t="s">
        <v>16375</v>
      </c>
      <c r="O3850" t="s">
        <v>640</v>
      </c>
      <c r="P3850" t="s">
        <v>623</v>
      </c>
    </row>
    <row r="3851">
      <c r="A3851">
        <f>HYPERLINK("http://bombeiros.sp.gov.br/hidrantes/03individual/4209.html","4209")</f>
      </c>
      <c r="B3851" t="s">
        <v>623</v>
      </c>
      <c r="C3851" t="s">
        <v>831</v>
      </c>
      <c r="D3851" t="s">
        <v>831</v>
      </c>
      <c r="E3851" t="s">
        <v>15</v>
      </c>
      <c r="F3851" t="s">
        <v>11763</v>
      </c>
      <c r="G3851" t="s">
        <v>18173</v>
      </c>
      <c r="H3851" t="s">
        <v>1107</v>
      </c>
      <c r="I3851" t="s">
        <v>1108</v>
      </c>
      <c r="J3851" t="s">
        <v>11764</v>
      </c>
      <c r="K3851" t="s">
        <v>11765</v>
      </c>
      <c r="L3851" t="s">
        <v>21</v>
      </c>
      <c r="M3851" t="s">
        <v>19177</v>
      </c>
      <c r="N3851" t="s">
        <v>16375</v>
      </c>
      <c r="O3851" t="s">
        <v>640</v>
      </c>
      <c r="P3851" t="s">
        <v>623</v>
      </c>
    </row>
    <row r="3852">
      <c r="A3852">
        <f>HYPERLINK("http://bombeiros.sp.gov.br/hidrantes/03individual/4210.html","4210")</f>
      </c>
      <c r="B3852" t="s">
        <v>623</v>
      </c>
      <c r="C3852" t="s">
        <v>831</v>
      </c>
      <c r="D3852" t="s">
        <v>831</v>
      </c>
      <c r="E3852" t="s">
        <v>15</v>
      </c>
      <c r="F3852" t="s">
        <v>11766</v>
      </c>
      <c r="G3852" t="s">
        <v>18050</v>
      </c>
      <c r="H3852" t="s">
        <v>1107</v>
      </c>
      <c r="I3852" t="s">
        <v>1117</v>
      </c>
      <c r="J3852" t="s">
        <v>11767</v>
      </c>
      <c r="K3852" t="s">
        <v>11768</v>
      </c>
      <c r="L3852" t="s">
        <v>21</v>
      </c>
      <c r="M3852" t="s">
        <v>19177</v>
      </c>
      <c r="N3852" t="s">
        <v>16375</v>
      </c>
      <c r="O3852" t="s">
        <v>640</v>
      </c>
      <c r="P3852" t="s">
        <v>623</v>
      </c>
    </row>
    <row r="3853">
      <c r="A3853">
        <f>HYPERLINK("http://bombeiros.sp.gov.br/hidrantes/03individual/6690.html","6690")</f>
      </c>
      <c r="B3853" t="s">
        <v>623</v>
      </c>
      <c r="C3853" t="s">
        <v>831</v>
      </c>
      <c r="D3853" t="s">
        <v>831</v>
      </c>
      <c r="E3853" t="s">
        <v>15</v>
      </c>
      <c r="F3853" t="s">
        <v>11769</v>
      </c>
      <c r="G3853" t="s">
        <v>18051</v>
      </c>
      <c r="H3853" t="s">
        <v>1121</v>
      </c>
      <c r="I3853" t="s">
        <v>1117</v>
      </c>
      <c r="J3853" t="s">
        <v>11770</v>
      </c>
      <c r="K3853" t="s">
        <v>11771</v>
      </c>
      <c r="L3853" t="s">
        <v>21</v>
      </c>
      <c r="M3853" t="s">
        <v>19177</v>
      </c>
      <c r="N3853" t="s">
        <v>16375</v>
      </c>
      <c r="O3853" t="s">
        <v>640</v>
      </c>
      <c r="P3853" t="s">
        <v>623</v>
      </c>
    </row>
    <row r="3854">
      <c r="A3854">
        <f>HYPERLINK("http://bombeiros.sp.gov.br/hidrantes/03individual/6691.html","6691")</f>
      </c>
      <c r="B3854" t="s">
        <v>623</v>
      </c>
      <c r="C3854" t="s">
        <v>831</v>
      </c>
      <c r="D3854" t="s">
        <v>831</v>
      </c>
      <c r="E3854" t="s">
        <v>15</v>
      </c>
      <c r="F3854" t="s">
        <v>11772</v>
      </c>
      <c r="G3854" t="s">
        <v>18050</v>
      </c>
      <c r="H3854" t="s">
        <v>1112</v>
      </c>
      <c r="I3854" t="s">
        <v>1108</v>
      </c>
      <c r="J3854" t="s">
        <v>11773</v>
      </c>
      <c r="K3854" t="s">
        <v>11774</v>
      </c>
      <c r="L3854" t="s">
        <v>21</v>
      </c>
      <c r="M3854" t="s">
        <v>19177</v>
      </c>
      <c r="N3854" t="s">
        <v>16375</v>
      </c>
      <c r="O3854" t="s">
        <v>640</v>
      </c>
      <c r="P3854" t="s">
        <v>623</v>
      </c>
    </row>
    <row r="3855">
      <c r="A3855">
        <f>HYPERLINK("http://bombeiros.sp.gov.br/hidrantes/03individual/3918.html","3918")</f>
      </c>
      <c r="B3855" t="s">
        <v>842</v>
      </c>
      <c r="C3855" t="s">
        <v>11775</v>
      </c>
      <c r="D3855" t="s">
        <v>11775</v>
      </c>
      <c r="E3855" t="s">
        <v>64</v>
      </c>
      <c r="F3855" t="s">
        <v>11776</v>
      </c>
      <c r="G3855" t="s">
        <v>18164</v>
      </c>
      <c r="H3855" t="s">
        <v>1121</v>
      </c>
      <c r="I3855" t="s">
        <v>1117</v>
      </c>
      <c r="J3855" t="s">
        <v>11777</v>
      </c>
      <c r="K3855" t="s">
        <v>11778</v>
      </c>
      <c r="L3855" t="s">
        <v>21</v>
      </c>
      <c r="M3855" t="s">
        <v>19177</v>
      </c>
      <c r="N3855" t="s">
        <v>1024</v>
      </c>
      <c r="O3855" t="s">
        <v>1024</v>
      </c>
      <c r="P3855" t="s">
        <v>842</v>
      </c>
    </row>
    <row r="3856">
      <c r="A3856">
        <f>HYPERLINK("http://bombeiros.sp.gov.br/hidrantes/03individual/3920.html","3920")</f>
      </c>
      <c r="B3856" t="s">
        <v>842</v>
      </c>
      <c r="C3856" t="s">
        <v>11775</v>
      </c>
      <c r="D3856" t="s">
        <v>11775</v>
      </c>
      <c r="E3856" t="s">
        <v>64</v>
      </c>
      <c r="F3856" t="s">
        <v>11779</v>
      </c>
      <c r="G3856" t="s">
        <v>18164</v>
      </c>
      <c r="H3856" t="s">
        <v>1112</v>
      </c>
      <c r="I3856" t="s">
        <v>1108</v>
      </c>
      <c r="J3856" t="s">
        <v>11780</v>
      </c>
      <c r="K3856" t="s">
        <v>11781</v>
      </c>
      <c r="L3856" t="s">
        <v>36</v>
      </c>
      <c r="M3856" t="s">
        <v>19177</v>
      </c>
      <c r="N3856" t="s">
        <v>1024</v>
      </c>
      <c r="O3856" t="s">
        <v>1024</v>
      </c>
      <c r="P3856" t="s">
        <v>842</v>
      </c>
    </row>
    <row r="3857">
      <c r="A3857">
        <f>HYPERLINK("http://bombeiros.sp.gov.br/hidrantes/03individual/3923.html","3923")</f>
      </c>
      <c r="B3857" t="s">
        <v>842</v>
      </c>
      <c r="C3857" t="s">
        <v>11775</v>
      </c>
      <c r="D3857" t="s">
        <v>11775</v>
      </c>
      <c r="E3857" t="s">
        <v>64</v>
      </c>
      <c r="F3857" t="s">
        <v>11782</v>
      </c>
      <c r="G3857" t="s">
        <v>18093</v>
      </c>
      <c r="H3857" t="s">
        <v>1112</v>
      </c>
      <c r="I3857" t="s">
        <v>1108</v>
      </c>
      <c r="J3857" t="s">
        <v>11783</v>
      </c>
      <c r="K3857" t="s">
        <v>11784</v>
      </c>
      <c r="L3857" t="s">
        <v>36</v>
      </c>
      <c r="M3857" t="s">
        <v>19177</v>
      </c>
      <c r="N3857" t="s">
        <v>1024</v>
      </c>
      <c r="O3857" t="s">
        <v>1024</v>
      </c>
      <c r="P3857" t="s">
        <v>842</v>
      </c>
    </row>
    <row r="3858">
      <c r="A3858">
        <f>HYPERLINK("http://bombeiros.sp.gov.br/hidrantes/03individual/27570.html","27570")</f>
      </c>
      <c r="B3858" t="s">
        <v>842</v>
      </c>
      <c r="C3858" t="s">
        <v>11775</v>
      </c>
      <c r="D3858" t="s">
        <v>11775</v>
      </c>
      <c r="E3858" t="s">
        <v>64</v>
      </c>
      <c r="F3858" t="s">
        <v>17438</v>
      </c>
      <c r="G3858" t="s">
        <v>18164</v>
      </c>
      <c r="H3858" t="s">
        <v>1112</v>
      </c>
      <c r="I3858" t="s">
        <v>1108</v>
      </c>
      <c r="J3858" t="s">
        <v>17439</v>
      </c>
      <c r="K3858" t="s">
        <v>17440</v>
      </c>
      <c r="L3858" t="s">
        <v>21</v>
      </c>
      <c r="M3858" t="s">
        <v>19177</v>
      </c>
      <c r="N3858" t="s">
        <v>1024</v>
      </c>
      <c r="O3858" t="s">
        <v>1024</v>
      </c>
      <c r="P3858" t="s">
        <v>842</v>
      </c>
    </row>
    <row r="3859">
      <c r="A3859">
        <f>HYPERLINK("http://bombeiros.sp.gov.br/hidrantes/03individual/325.html","325")</f>
      </c>
      <c r="B3859" t="s">
        <v>842</v>
      </c>
      <c r="C3859" t="s">
        <v>11775</v>
      </c>
      <c r="D3859" t="s">
        <v>11775</v>
      </c>
      <c r="E3859" t="s">
        <v>15</v>
      </c>
      <c r="F3859" t="s">
        <v>11785</v>
      </c>
      <c r="G3859" t="s">
        <v>18103</v>
      </c>
      <c r="H3859" t="s">
        <v>1107</v>
      </c>
      <c r="I3859" t="s">
        <v>1108</v>
      </c>
      <c r="J3859" t="s">
        <v>11786</v>
      </c>
      <c r="K3859" t="s">
        <v>11787</v>
      </c>
      <c r="L3859" t="s">
        <v>21</v>
      </c>
      <c r="M3859" t="s">
        <v>19177</v>
      </c>
      <c r="N3859" t="s">
        <v>1024</v>
      </c>
      <c r="O3859" t="s">
        <v>1024</v>
      </c>
      <c r="P3859" t="s">
        <v>842</v>
      </c>
    </row>
    <row r="3860">
      <c r="A3860">
        <f>HYPERLINK("http://bombeiros.sp.gov.br/hidrantes/03individual/327.html","327")</f>
      </c>
      <c r="B3860" t="s">
        <v>842</v>
      </c>
      <c r="C3860" t="s">
        <v>11775</v>
      </c>
      <c r="D3860" t="s">
        <v>11775</v>
      </c>
      <c r="E3860" t="s">
        <v>15</v>
      </c>
      <c r="F3860" t="s">
        <v>11788</v>
      </c>
      <c r="G3860" t="s">
        <v>18089</v>
      </c>
      <c r="H3860" t="s">
        <v>1174</v>
      </c>
      <c r="I3860" t="s">
        <v>1117</v>
      </c>
      <c r="J3860" t="s">
        <v>11789</v>
      </c>
      <c r="K3860" t="s">
        <v>11790</v>
      </c>
      <c r="L3860" t="s">
        <v>21</v>
      </c>
      <c r="M3860" t="s">
        <v>19177</v>
      </c>
      <c r="N3860" t="s">
        <v>1024</v>
      </c>
      <c r="O3860" t="s">
        <v>1024</v>
      </c>
      <c r="P3860" t="s">
        <v>842</v>
      </c>
    </row>
    <row r="3861">
      <c r="A3861">
        <f>HYPERLINK("http://bombeiros.sp.gov.br/hidrantes/03individual/385.html","385")</f>
      </c>
      <c r="B3861" t="s">
        <v>842</v>
      </c>
      <c r="C3861" t="s">
        <v>11775</v>
      </c>
      <c r="D3861" t="s">
        <v>11775</v>
      </c>
      <c r="E3861" t="s">
        <v>15</v>
      </c>
      <c r="F3861" t="s">
        <v>11791</v>
      </c>
      <c r="G3861" t="s">
        <v>18093</v>
      </c>
      <c r="H3861" t="s">
        <v>1112</v>
      </c>
      <c r="I3861" t="s">
        <v>1108</v>
      </c>
      <c r="J3861" t="s">
        <v>11792</v>
      </c>
      <c r="K3861" t="s">
        <v>11793</v>
      </c>
      <c r="L3861" t="s">
        <v>21</v>
      </c>
      <c r="M3861" t="s">
        <v>19177</v>
      </c>
      <c r="N3861" t="s">
        <v>1024</v>
      </c>
      <c r="O3861" t="s">
        <v>1024</v>
      </c>
      <c r="P3861" t="s">
        <v>842</v>
      </c>
    </row>
    <row r="3862">
      <c r="A3862">
        <f>HYPERLINK("http://bombeiros.sp.gov.br/hidrantes/03individual/400.html","400")</f>
      </c>
      <c r="B3862" t="s">
        <v>842</v>
      </c>
      <c r="C3862" t="s">
        <v>11775</v>
      </c>
      <c r="D3862" t="s">
        <v>11775</v>
      </c>
      <c r="E3862" t="s">
        <v>15</v>
      </c>
      <c r="F3862" t="s">
        <v>11794</v>
      </c>
      <c r="G3862" t="s">
        <v>18164</v>
      </c>
      <c r="H3862" t="s">
        <v>1112</v>
      </c>
      <c r="I3862" t="s">
        <v>1108</v>
      </c>
      <c r="J3862" t="s">
        <v>11795</v>
      </c>
      <c r="K3862" t="s">
        <v>11796</v>
      </c>
      <c r="L3862" t="s">
        <v>21</v>
      </c>
      <c r="M3862" t="s">
        <v>19177</v>
      </c>
      <c r="N3862" t="s">
        <v>1024</v>
      </c>
      <c r="O3862" t="s">
        <v>1024</v>
      </c>
      <c r="P3862" t="s">
        <v>842</v>
      </c>
    </row>
    <row r="3863">
      <c r="A3863">
        <f>HYPERLINK("http://bombeiros.sp.gov.br/hidrantes/03individual/401.html","401")</f>
      </c>
      <c r="B3863" t="s">
        <v>842</v>
      </c>
      <c r="C3863" t="s">
        <v>11775</v>
      </c>
      <c r="D3863" t="s">
        <v>11775</v>
      </c>
      <c r="E3863" t="s">
        <v>15</v>
      </c>
      <c r="F3863" t="s">
        <v>11797</v>
      </c>
      <c r="G3863" t="s">
        <v>18103</v>
      </c>
      <c r="H3863" t="s">
        <v>1112</v>
      </c>
      <c r="I3863" t="s">
        <v>1108</v>
      </c>
      <c r="J3863" t="s">
        <v>11798</v>
      </c>
      <c r="K3863" t="s">
        <v>11799</v>
      </c>
      <c r="L3863" t="s">
        <v>21</v>
      </c>
      <c r="M3863" t="s">
        <v>19177</v>
      </c>
      <c r="N3863" t="s">
        <v>1024</v>
      </c>
      <c r="O3863" t="s">
        <v>1024</v>
      </c>
      <c r="P3863" t="s">
        <v>842</v>
      </c>
    </row>
    <row r="3864">
      <c r="A3864">
        <f>HYPERLINK("http://bombeiros.sp.gov.br/hidrantes/03individual/2169.html","2169")</f>
      </c>
      <c r="B3864" t="s">
        <v>842</v>
      </c>
      <c r="C3864" t="s">
        <v>11775</v>
      </c>
      <c r="D3864" t="s">
        <v>11775</v>
      </c>
      <c r="E3864" t="s">
        <v>15</v>
      </c>
      <c r="F3864" t="s">
        <v>11800</v>
      </c>
      <c r="G3864" t="s">
        <v>18090</v>
      </c>
      <c r="H3864" t="s">
        <v>1121</v>
      </c>
      <c r="I3864" t="s">
        <v>1117</v>
      </c>
      <c r="J3864" t="s">
        <v>11801</v>
      </c>
      <c r="K3864" t="s">
        <v>11802</v>
      </c>
      <c r="L3864" t="s">
        <v>21</v>
      </c>
      <c r="M3864" t="s">
        <v>19177</v>
      </c>
      <c r="N3864" t="s">
        <v>1024</v>
      </c>
      <c r="O3864" t="s">
        <v>1024</v>
      </c>
      <c r="P3864" t="s">
        <v>842</v>
      </c>
    </row>
    <row r="3865">
      <c r="A3865">
        <f>HYPERLINK("http://bombeiros.sp.gov.br/hidrantes/03individual/3933.html","3933")</f>
      </c>
      <c r="B3865" t="s">
        <v>842</v>
      </c>
      <c r="C3865" t="s">
        <v>11775</v>
      </c>
      <c r="D3865" t="s">
        <v>11775</v>
      </c>
      <c r="E3865" t="s">
        <v>15</v>
      </c>
      <c r="F3865" t="s">
        <v>11806</v>
      </c>
      <c r="G3865" t="s">
        <v>18103</v>
      </c>
      <c r="H3865" t="s">
        <v>1112</v>
      </c>
      <c r="I3865" t="s">
        <v>1108</v>
      </c>
      <c r="J3865" t="s">
        <v>11807</v>
      </c>
      <c r="K3865" t="s">
        <v>11808</v>
      </c>
      <c r="L3865" t="s">
        <v>21</v>
      </c>
      <c r="M3865" t="s">
        <v>19177</v>
      </c>
      <c r="N3865" t="s">
        <v>1024</v>
      </c>
      <c r="O3865" t="s">
        <v>1024</v>
      </c>
      <c r="P3865" t="s">
        <v>842</v>
      </c>
    </row>
    <row r="3866">
      <c r="A3866">
        <f>HYPERLINK("http://bombeiros.sp.gov.br/hidrantes/03individual/3956.html","3956")</f>
      </c>
      <c r="B3866" t="s">
        <v>842</v>
      </c>
      <c r="C3866" t="s">
        <v>11775</v>
      </c>
      <c r="D3866" t="s">
        <v>11775</v>
      </c>
      <c r="E3866" t="s">
        <v>15</v>
      </c>
      <c r="F3866" t="s">
        <v>11809</v>
      </c>
      <c r="G3866" t="s">
        <v>18093</v>
      </c>
      <c r="H3866" t="s">
        <v>1174</v>
      </c>
      <c r="I3866" t="s">
        <v>1117</v>
      </c>
      <c r="J3866" t="s">
        <v>11810</v>
      </c>
      <c r="K3866" t="s">
        <v>11811</v>
      </c>
      <c r="L3866" t="s">
        <v>21</v>
      </c>
      <c r="M3866" t="s">
        <v>19177</v>
      </c>
      <c r="N3866" t="s">
        <v>1024</v>
      </c>
      <c r="O3866" t="s">
        <v>1024</v>
      </c>
      <c r="P3866" t="s">
        <v>842</v>
      </c>
    </row>
    <row r="3867">
      <c r="A3867">
        <f>HYPERLINK("http://bombeiros.sp.gov.br/hidrantes/03individual/16604.html","16604")</f>
      </c>
      <c r="B3867" t="s">
        <v>842</v>
      </c>
      <c r="C3867" t="s">
        <v>11775</v>
      </c>
      <c r="D3867" t="s">
        <v>11775</v>
      </c>
      <c r="E3867" t="s">
        <v>15</v>
      </c>
      <c r="F3867" t="s">
        <v>11812</v>
      </c>
      <c r="G3867" t="s">
        <v>18093</v>
      </c>
      <c r="H3867" t="s">
        <v>1174</v>
      </c>
      <c r="I3867" t="s">
        <v>1117</v>
      </c>
      <c r="J3867" t="s">
        <v>11813</v>
      </c>
      <c r="K3867" t="s">
        <v>11814</v>
      </c>
      <c r="L3867" t="s">
        <v>21</v>
      </c>
      <c r="M3867" t="s">
        <v>19177</v>
      </c>
      <c r="N3867" t="s">
        <v>1024</v>
      </c>
      <c r="O3867" t="s">
        <v>1024</v>
      </c>
      <c r="P3867" t="s">
        <v>842</v>
      </c>
    </row>
    <row r="3868">
      <c r="A3868">
        <f>HYPERLINK("http://bombeiros.sp.gov.br/hidrantes/03individual/27205.html","27205")</f>
      </c>
      <c r="B3868" t="s">
        <v>842</v>
      </c>
      <c r="C3868" t="s">
        <v>11775</v>
      </c>
      <c r="D3868" t="s">
        <v>11775</v>
      </c>
      <c r="E3868" t="s">
        <v>15</v>
      </c>
      <c r="F3868" t="s">
        <v>16962</v>
      </c>
      <c r="G3868" t="s">
        <v>18090</v>
      </c>
      <c r="H3868" t="s">
        <v>1121</v>
      </c>
      <c r="I3868" t="s">
        <v>1117</v>
      </c>
      <c r="J3868" t="s">
        <v>16963</v>
      </c>
      <c r="K3868" t="s">
        <v>16964</v>
      </c>
      <c r="L3868" t="s">
        <v>21</v>
      </c>
      <c r="M3868" t="s">
        <v>19177</v>
      </c>
      <c r="N3868" t="s">
        <v>1024</v>
      </c>
      <c r="O3868" t="s">
        <v>1024</v>
      </c>
      <c r="P3868" t="s">
        <v>842</v>
      </c>
    </row>
    <row r="3869">
      <c r="A3869">
        <f>HYPERLINK("http://bombeiros.sp.gov.br/hidrantes/03individual/3896.html","3896")</f>
      </c>
      <c r="B3869" t="s">
        <v>842</v>
      </c>
      <c r="C3869" t="s">
        <v>11775</v>
      </c>
      <c r="D3869" t="s">
        <v>11815</v>
      </c>
      <c r="E3869" t="s">
        <v>64</v>
      </c>
      <c r="F3869" t="s">
        <v>11816</v>
      </c>
      <c r="G3869" t="s">
        <v>18123</v>
      </c>
      <c r="H3869" t="s">
        <v>1112</v>
      </c>
      <c r="I3869" t="s">
        <v>1108</v>
      </c>
      <c r="J3869" t="s">
        <v>11817</v>
      </c>
      <c r="K3869" t="s">
        <v>11818</v>
      </c>
      <c r="L3869" t="s">
        <v>21</v>
      </c>
      <c r="M3869" t="s">
        <v>19177</v>
      </c>
      <c r="N3869" t="s">
        <v>1024</v>
      </c>
      <c r="O3869" t="s">
        <v>1024</v>
      </c>
      <c r="P3869" t="s">
        <v>842</v>
      </c>
    </row>
    <row r="3870">
      <c r="A3870">
        <f>HYPERLINK("http://bombeiros.sp.gov.br/hidrantes/03individual/4385.html","4385")</f>
      </c>
      <c r="B3870" t="s">
        <v>842</v>
      </c>
      <c r="C3870" t="s">
        <v>11775</v>
      </c>
      <c r="D3870" t="s">
        <v>11815</v>
      </c>
      <c r="E3870" t="s">
        <v>64</v>
      </c>
      <c r="F3870" t="s">
        <v>11819</v>
      </c>
      <c r="G3870" t="s">
        <v>18041</v>
      </c>
      <c r="H3870" t="s">
        <v>1112</v>
      </c>
      <c r="I3870" t="s">
        <v>1108</v>
      </c>
      <c r="J3870" t="s">
        <v>11820</v>
      </c>
      <c r="K3870" t="s">
        <v>11821</v>
      </c>
      <c r="L3870" t="s">
        <v>36</v>
      </c>
      <c r="M3870" t="s">
        <v>19177</v>
      </c>
      <c r="N3870" t="s">
        <v>1024</v>
      </c>
      <c r="O3870" t="s">
        <v>1024</v>
      </c>
      <c r="P3870" t="s">
        <v>842</v>
      </c>
    </row>
    <row r="3871">
      <c r="A3871">
        <f>HYPERLINK("http://bombeiros.sp.gov.br/hidrantes/03individual/308.html","308")</f>
      </c>
      <c r="B3871" t="s">
        <v>842</v>
      </c>
      <c r="C3871" t="s">
        <v>11775</v>
      </c>
      <c r="D3871" t="s">
        <v>11822</v>
      </c>
      <c r="E3871" t="s">
        <v>15</v>
      </c>
      <c r="F3871" t="s">
        <v>11823</v>
      </c>
      <c r="G3871" t="s">
        <v>18239</v>
      </c>
      <c r="H3871" t="s">
        <v>1112</v>
      </c>
      <c r="I3871" t="s">
        <v>1108</v>
      </c>
      <c r="J3871" t="s">
        <v>11824</v>
      </c>
      <c r="K3871" t="s">
        <v>11825</v>
      </c>
      <c r="L3871" t="s">
        <v>21</v>
      </c>
      <c r="M3871" t="s">
        <v>19177</v>
      </c>
      <c r="N3871" t="s">
        <v>1024</v>
      </c>
      <c r="O3871" t="s">
        <v>1024</v>
      </c>
      <c r="P3871" t="s">
        <v>842</v>
      </c>
    </row>
    <row r="3872">
      <c r="A3872">
        <f>HYPERLINK("http://bombeiros.sp.gov.br/hidrantes/03individual/337.html","337")</f>
      </c>
      <c r="B3872" t="s">
        <v>842</v>
      </c>
      <c r="C3872" t="s">
        <v>11775</v>
      </c>
      <c r="D3872" t="s">
        <v>11822</v>
      </c>
      <c r="E3872" t="s">
        <v>15</v>
      </c>
      <c r="F3872" t="s">
        <v>11826</v>
      </c>
      <c r="G3872" t="s">
        <v>18074</v>
      </c>
      <c r="H3872" t="s">
        <v>1112</v>
      </c>
      <c r="I3872" t="s">
        <v>1108</v>
      </c>
      <c r="J3872" t="s">
        <v>11827</v>
      </c>
      <c r="K3872" t="s">
        <v>11828</v>
      </c>
      <c r="L3872" t="s">
        <v>21</v>
      </c>
      <c r="M3872" t="s">
        <v>19177</v>
      </c>
      <c r="N3872" t="s">
        <v>1024</v>
      </c>
      <c r="O3872" t="s">
        <v>1024</v>
      </c>
      <c r="P3872" t="s">
        <v>842</v>
      </c>
    </row>
    <row r="3873">
      <c r="A3873">
        <f>HYPERLINK("http://bombeiros.sp.gov.br/hidrantes/03individual/3746.html","3746")</f>
      </c>
      <c r="B3873" t="s">
        <v>842</v>
      </c>
      <c r="C3873" t="s">
        <v>11775</v>
      </c>
      <c r="D3873" t="s">
        <v>11822</v>
      </c>
      <c r="E3873" t="s">
        <v>15</v>
      </c>
      <c r="F3873" t="s">
        <v>11829</v>
      </c>
      <c r="G3873" t="s">
        <v>18239</v>
      </c>
      <c r="H3873" t="s">
        <v>1112</v>
      </c>
      <c r="I3873" t="s">
        <v>1108</v>
      </c>
      <c r="J3873" t="s">
        <v>11830</v>
      </c>
      <c r="K3873" t="s">
        <v>11831</v>
      </c>
      <c r="L3873" t="s">
        <v>21</v>
      </c>
      <c r="M3873" t="s">
        <v>19177</v>
      </c>
      <c r="N3873" t="s">
        <v>1024</v>
      </c>
      <c r="O3873" t="s">
        <v>1024</v>
      </c>
      <c r="P3873" t="s">
        <v>842</v>
      </c>
    </row>
    <row r="3874">
      <c r="A3874">
        <f>HYPERLINK("http://bombeiros.sp.gov.br/hidrantes/03individual/3753.html","3753")</f>
      </c>
      <c r="B3874" t="s">
        <v>842</v>
      </c>
      <c r="C3874" t="s">
        <v>11775</v>
      </c>
      <c r="D3874" t="s">
        <v>11822</v>
      </c>
      <c r="E3874" t="s">
        <v>15</v>
      </c>
      <c r="F3874" t="s">
        <v>11832</v>
      </c>
      <c r="G3874" t="s">
        <v>18062</v>
      </c>
      <c r="H3874" t="s">
        <v>1112</v>
      </c>
      <c r="I3874" t="s">
        <v>1108</v>
      </c>
      <c r="J3874" t="s">
        <v>11833</v>
      </c>
      <c r="K3874" t="s">
        <v>11834</v>
      </c>
      <c r="L3874" t="s">
        <v>21</v>
      </c>
      <c r="M3874" t="s">
        <v>19177</v>
      </c>
      <c r="N3874" t="s">
        <v>1024</v>
      </c>
      <c r="O3874" t="s">
        <v>1024</v>
      </c>
      <c r="P3874" t="s">
        <v>842</v>
      </c>
    </row>
    <row r="3875">
      <c r="A3875">
        <f>HYPERLINK("http://bombeiros.sp.gov.br/hidrantes/03individual/3763.html","3763")</f>
      </c>
      <c r="B3875" t="s">
        <v>842</v>
      </c>
      <c r="C3875" t="s">
        <v>11775</v>
      </c>
      <c r="D3875" t="s">
        <v>11822</v>
      </c>
      <c r="E3875" t="s">
        <v>15</v>
      </c>
      <c r="F3875" t="s">
        <v>11835</v>
      </c>
      <c r="G3875" t="s">
        <v>18041</v>
      </c>
      <c r="H3875" t="s">
        <v>1121</v>
      </c>
      <c r="I3875" t="s">
        <v>1117</v>
      </c>
      <c r="J3875" t="s">
        <v>11836</v>
      </c>
      <c r="K3875" t="s">
        <v>11837</v>
      </c>
      <c r="L3875" t="s">
        <v>36</v>
      </c>
      <c r="M3875" t="s">
        <v>19177</v>
      </c>
      <c r="N3875" t="s">
        <v>1024</v>
      </c>
      <c r="O3875" t="s">
        <v>1024</v>
      </c>
      <c r="P3875" t="s">
        <v>842</v>
      </c>
    </row>
    <row r="3876">
      <c r="A3876">
        <f>HYPERLINK("http://bombeiros.sp.gov.br/hidrantes/03individual/3765.html","3765")</f>
      </c>
      <c r="B3876" t="s">
        <v>842</v>
      </c>
      <c r="C3876" t="s">
        <v>11775</v>
      </c>
      <c r="D3876" t="s">
        <v>11822</v>
      </c>
      <c r="E3876" t="s">
        <v>15</v>
      </c>
      <c r="F3876" t="s">
        <v>11838</v>
      </c>
      <c r="G3876" t="s">
        <v>18046</v>
      </c>
      <c r="H3876" t="s">
        <v>1112</v>
      </c>
      <c r="I3876" t="s">
        <v>1108</v>
      </c>
      <c r="J3876" t="s">
        <v>11839</v>
      </c>
      <c r="K3876" t="s">
        <v>11840</v>
      </c>
      <c r="L3876" t="s">
        <v>21</v>
      </c>
      <c r="M3876" t="s">
        <v>19177</v>
      </c>
      <c r="N3876" t="s">
        <v>1024</v>
      </c>
      <c r="O3876" t="s">
        <v>1024</v>
      </c>
      <c r="P3876" t="s">
        <v>842</v>
      </c>
    </row>
    <row r="3877">
      <c r="A3877">
        <f>HYPERLINK("http://bombeiros.sp.gov.br/hidrantes/03individual/3875.html","3875")</f>
      </c>
      <c r="B3877" t="s">
        <v>842</v>
      </c>
      <c r="C3877" t="s">
        <v>11775</v>
      </c>
      <c r="D3877" t="s">
        <v>11822</v>
      </c>
      <c r="E3877" t="s">
        <v>15</v>
      </c>
      <c r="F3877" t="s">
        <v>11841</v>
      </c>
      <c r="G3877" t="s">
        <v>18062</v>
      </c>
      <c r="H3877" t="s">
        <v>1107</v>
      </c>
      <c r="I3877" t="s">
        <v>1108</v>
      </c>
      <c r="J3877" t="s">
        <v>11842</v>
      </c>
      <c r="K3877" t="s">
        <v>11843</v>
      </c>
      <c r="L3877" t="s">
        <v>21</v>
      </c>
      <c r="M3877" t="s">
        <v>19177</v>
      </c>
      <c r="N3877" t="s">
        <v>1024</v>
      </c>
      <c r="O3877" t="s">
        <v>1024</v>
      </c>
      <c r="P3877" t="s">
        <v>842</v>
      </c>
    </row>
    <row r="3878">
      <c r="A3878">
        <f>HYPERLINK("http://bombeiros.sp.gov.br/hidrantes/03individual/4182.html","4182")</f>
      </c>
      <c r="B3878" t="s">
        <v>842</v>
      </c>
      <c r="C3878" t="s">
        <v>11775</v>
      </c>
      <c r="D3878" t="s">
        <v>11822</v>
      </c>
      <c r="E3878" t="s">
        <v>15</v>
      </c>
      <c r="F3878" t="s">
        <v>11844</v>
      </c>
      <c r="G3878" t="s">
        <v>18123</v>
      </c>
      <c r="H3878" t="s">
        <v>1112</v>
      </c>
      <c r="I3878" t="s">
        <v>1108</v>
      </c>
      <c r="J3878" t="s">
        <v>11845</v>
      </c>
      <c r="K3878" t="s">
        <v>11846</v>
      </c>
      <c r="L3878" t="s">
        <v>21</v>
      </c>
      <c r="M3878" t="s">
        <v>19177</v>
      </c>
      <c r="N3878" t="s">
        <v>1024</v>
      </c>
      <c r="O3878" t="s">
        <v>1024</v>
      </c>
      <c r="P3878" t="s">
        <v>842</v>
      </c>
    </row>
    <row r="3879">
      <c r="A3879">
        <f>HYPERLINK("http://bombeiros.sp.gov.br/hidrantes/03individual/16598.html","16598")</f>
      </c>
      <c r="B3879" t="s">
        <v>842</v>
      </c>
      <c r="C3879" t="s">
        <v>11775</v>
      </c>
      <c r="D3879" t="s">
        <v>11822</v>
      </c>
      <c r="E3879" t="s">
        <v>15</v>
      </c>
      <c r="F3879" t="s">
        <v>11847</v>
      </c>
      <c r="G3879" t="s">
        <v>18123</v>
      </c>
      <c r="H3879" t="s">
        <v>1112</v>
      </c>
      <c r="I3879" t="s">
        <v>1108</v>
      </c>
      <c r="J3879" t="s">
        <v>11848</v>
      </c>
      <c r="K3879" t="s">
        <v>11849</v>
      </c>
      <c r="L3879" t="s">
        <v>21</v>
      </c>
      <c r="M3879" t="s">
        <v>19177</v>
      </c>
      <c r="N3879" t="s">
        <v>1024</v>
      </c>
      <c r="O3879" t="s">
        <v>1024</v>
      </c>
      <c r="P3879" t="s">
        <v>842</v>
      </c>
    </row>
    <row r="3880">
      <c r="A3880">
        <f>HYPERLINK("http://bombeiros.sp.gov.br/hidrantes/03individual/16608.html","16608")</f>
      </c>
      <c r="B3880" t="s">
        <v>842</v>
      </c>
      <c r="C3880" t="s">
        <v>11775</v>
      </c>
      <c r="D3880" t="s">
        <v>11850</v>
      </c>
      <c r="E3880" t="s">
        <v>64</v>
      </c>
      <c r="F3880" t="s">
        <v>11851</v>
      </c>
      <c r="G3880" t="s">
        <v>18200</v>
      </c>
      <c r="H3880" t="s">
        <v>1121</v>
      </c>
      <c r="I3880" t="s">
        <v>1117</v>
      </c>
      <c r="J3880" t="s">
        <v>11852</v>
      </c>
      <c r="K3880" t="s">
        <v>11853</v>
      </c>
      <c r="L3880" t="s">
        <v>21</v>
      </c>
      <c r="M3880" t="s">
        <v>19177</v>
      </c>
      <c r="N3880" t="s">
        <v>1024</v>
      </c>
      <c r="O3880" t="s">
        <v>1024</v>
      </c>
      <c r="P3880" t="s">
        <v>842</v>
      </c>
    </row>
    <row r="3881">
      <c r="A3881">
        <f>HYPERLINK("http://bombeiros.sp.gov.br/hidrantes/03individual/203.html","203")</f>
      </c>
      <c r="B3881" t="s">
        <v>842</v>
      </c>
      <c r="C3881" t="s">
        <v>11775</v>
      </c>
      <c r="D3881" t="s">
        <v>11850</v>
      </c>
      <c r="E3881" t="s">
        <v>15</v>
      </c>
      <c r="F3881" t="s">
        <v>11854</v>
      </c>
      <c r="G3881" t="s">
        <v>18130</v>
      </c>
      <c r="H3881" t="s">
        <v>1107</v>
      </c>
      <c r="I3881" t="s">
        <v>1108</v>
      </c>
      <c r="J3881" t="s">
        <v>11855</v>
      </c>
      <c r="K3881" t="s">
        <v>11856</v>
      </c>
      <c r="L3881" t="s">
        <v>21</v>
      </c>
      <c r="M3881" t="s">
        <v>19177</v>
      </c>
      <c r="N3881" t="s">
        <v>1024</v>
      </c>
      <c r="O3881" t="s">
        <v>1024</v>
      </c>
      <c r="P3881" t="s">
        <v>842</v>
      </c>
    </row>
    <row r="3882">
      <c r="A3882">
        <f>HYPERLINK("http://bombeiros.sp.gov.br/hidrantes/03individual/297.html","297")</f>
      </c>
      <c r="B3882" t="s">
        <v>842</v>
      </c>
      <c r="C3882" t="s">
        <v>11775</v>
      </c>
      <c r="D3882" t="s">
        <v>11850</v>
      </c>
      <c r="E3882" t="s">
        <v>15</v>
      </c>
      <c r="F3882" t="s">
        <v>11857</v>
      </c>
      <c r="G3882" t="s">
        <v>18200</v>
      </c>
      <c r="H3882" t="s">
        <v>1107</v>
      </c>
      <c r="I3882" t="s">
        <v>1108</v>
      </c>
      <c r="J3882" t="s">
        <v>11858</v>
      </c>
      <c r="K3882" t="s">
        <v>11859</v>
      </c>
      <c r="L3882" t="s">
        <v>21</v>
      </c>
      <c r="M3882" t="s">
        <v>19177</v>
      </c>
      <c r="N3882" t="s">
        <v>1024</v>
      </c>
      <c r="O3882" t="s">
        <v>1024</v>
      </c>
      <c r="P3882" t="s">
        <v>842</v>
      </c>
    </row>
    <row r="3883">
      <c r="A3883">
        <f>HYPERLINK("http://bombeiros.sp.gov.br/hidrantes/03individual/353.html","353")</f>
      </c>
      <c r="B3883" t="s">
        <v>842</v>
      </c>
      <c r="C3883" t="s">
        <v>11775</v>
      </c>
      <c r="D3883" t="s">
        <v>11850</v>
      </c>
      <c r="E3883" t="s">
        <v>15</v>
      </c>
      <c r="F3883" t="s">
        <v>11860</v>
      </c>
      <c r="G3883" t="s">
        <v>18200</v>
      </c>
      <c r="H3883" t="s">
        <v>1112</v>
      </c>
      <c r="I3883" t="s">
        <v>1108</v>
      </c>
      <c r="J3883" t="s">
        <v>11861</v>
      </c>
      <c r="K3883" t="s">
        <v>11862</v>
      </c>
      <c r="L3883" t="s">
        <v>21</v>
      </c>
      <c r="M3883" t="s">
        <v>19177</v>
      </c>
      <c r="N3883" t="s">
        <v>1024</v>
      </c>
      <c r="O3883" t="s">
        <v>1024</v>
      </c>
      <c r="P3883" t="s">
        <v>842</v>
      </c>
    </row>
    <row r="3884">
      <c r="A3884">
        <f>HYPERLINK("http://bombeiros.sp.gov.br/hidrantes/03individual/388.html","388")</f>
      </c>
      <c r="B3884" t="s">
        <v>842</v>
      </c>
      <c r="C3884" t="s">
        <v>11775</v>
      </c>
      <c r="D3884" t="s">
        <v>11850</v>
      </c>
      <c r="E3884" t="s">
        <v>15</v>
      </c>
      <c r="F3884" t="s">
        <v>11863</v>
      </c>
      <c r="G3884" t="s">
        <v>18200</v>
      </c>
      <c r="H3884" t="s">
        <v>1107</v>
      </c>
      <c r="I3884" t="s">
        <v>1108</v>
      </c>
      <c r="J3884" t="s">
        <v>11864</v>
      </c>
      <c r="K3884" t="s">
        <v>11865</v>
      </c>
      <c r="L3884" t="s">
        <v>21</v>
      </c>
      <c r="M3884" t="s">
        <v>19177</v>
      </c>
      <c r="N3884" t="s">
        <v>1024</v>
      </c>
      <c r="O3884" t="s">
        <v>1024</v>
      </c>
      <c r="P3884" t="s">
        <v>842</v>
      </c>
    </row>
    <row r="3885">
      <c r="A3885">
        <f>HYPERLINK("http://bombeiros.sp.gov.br/hidrantes/03individual/429.html","429")</f>
      </c>
      <c r="B3885" t="s">
        <v>842</v>
      </c>
      <c r="C3885" t="s">
        <v>11775</v>
      </c>
      <c r="D3885" t="s">
        <v>11850</v>
      </c>
      <c r="E3885" t="s">
        <v>15</v>
      </c>
      <c r="F3885" t="s">
        <v>11866</v>
      </c>
      <c r="G3885" t="s">
        <v>18200</v>
      </c>
      <c r="H3885" t="s">
        <v>1107</v>
      </c>
      <c r="I3885" t="s">
        <v>1108</v>
      </c>
      <c r="J3885" t="s">
        <v>11867</v>
      </c>
      <c r="K3885" t="s">
        <v>11868</v>
      </c>
      <c r="L3885" t="s">
        <v>21</v>
      </c>
      <c r="M3885" t="s">
        <v>19177</v>
      </c>
      <c r="N3885" t="s">
        <v>1024</v>
      </c>
      <c r="O3885" t="s">
        <v>1024</v>
      </c>
      <c r="P3885" t="s">
        <v>842</v>
      </c>
    </row>
    <row r="3886">
      <c r="A3886">
        <f>HYPERLINK("http://bombeiros.sp.gov.br/hidrantes/03individual/430.html","430")</f>
      </c>
      <c r="B3886" t="s">
        <v>842</v>
      </c>
      <c r="C3886" t="s">
        <v>11775</v>
      </c>
      <c r="D3886" t="s">
        <v>11850</v>
      </c>
      <c r="E3886" t="s">
        <v>15</v>
      </c>
      <c r="F3886" t="s">
        <v>11869</v>
      </c>
      <c r="G3886" t="s">
        <v>18200</v>
      </c>
      <c r="H3886" t="s">
        <v>1112</v>
      </c>
      <c r="I3886" t="s">
        <v>1108</v>
      </c>
      <c r="J3886" t="s">
        <v>11870</v>
      </c>
      <c r="K3886" t="s">
        <v>11871</v>
      </c>
      <c r="L3886" t="s">
        <v>21</v>
      </c>
      <c r="M3886" t="s">
        <v>19177</v>
      </c>
      <c r="N3886" t="s">
        <v>1024</v>
      </c>
      <c r="O3886" t="s">
        <v>1024</v>
      </c>
      <c r="P3886" t="s">
        <v>842</v>
      </c>
    </row>
    <row r="3887">
      <c r="A3887">
        <f>HYPERLINK("http://bombeiros.sp.gov.br/hidrantes/03individual/2389.html","2389")</f>
      </c>
      <c r="B3887" t="s">
        <v>842</v>
      </c>
      <c r="C3887" t="s">
        <v>11775</v>
      </c>
      <c r="D3887" t="s">
        <v>11850</v>
      </c>
      <c r="E3887" t="s">
        <v>15</v>
      </c>
      <c r="F3887" t="s">
        <v>11872</v>
      </c>
      <c r="G3887" t="s">
        <v>18200</v>
      </c>
      <c r="H3887" t="s">
        <v>1112</v>
      </c>
      <c r="I3887" t="s">
        <v>1108</v>
      </c>
      <c r="J3887" t="s">
        <v>11873</v>
      </c>
      <c r="K3887" t="s">
        <v>11874</v>
      </c>
      <c r="L3887" t="s">
        <v>21</v>
      </c>
      <c r="M3887" t="s">
        <v>19177</v>
      </c>
      <c r="N3887" t="s">
        <v>1024</v>
      </c>
      <c r="O3887" t="s">
        <v>1024</v>
      </c>
      <c r="P3887" t="s">
        <v>842</v>
      </c>
    </row>
    <row r="3888">
      <c r="A3888">
        <f>HYPERLINK("http://bombeiros.sp.gov.br/hidrantes/03individual/3751.html","3751")</f>
      </c>
      <c r="B3888" t="s">
        <v>842</v>
      </c>
      <c r="C3888" t="s">
        <v>11775</v>
      </c>
      <c r="D3888" t="s">
        <v>11850</v>
      </c>
      <c r="E3888" t="s">
        <v>15</v>
      </c>
      <c r="F3888" t="s">
        <v>11875</v>
      </c>
      <c r="G3888" t="s">
        <v>18200</v>
      </c>
      <c r="H3888" t="s">
        <v>1112</v>
      </c>
      <c r="I3888" t="s">
        <v>1108</v>
      </c>
      <c r="J3888" t="s">
        <v>11876</v>
      </c>
      <c r="K3888" t="s">
        <v>11877</v>
      </c>
      <c r="L3888" t="s">
        <v>21</v>
      </c>
      <c r="M3888" t="s">
        <v>19177</v>
      </c>
      <c r="N3888" t="s">
        <v>1024</v>
      </c>
      <c r="O3888" t="s">
        <v>1024</v>
      </c>
      <c r="P3888" t="s">
        <v>842</v>
      </c>
    </row>
    <row r="3889">
      <c r="A3889">
        <f>HYPERLINK("http://bombeiros.sp.gov.br/hidrantes/03individual/3867.html","3867")</f>
      </c>
      <c r="B3889" t="s">
        <v>842</v>
      </c>
      <c r="C3889" t="s">
        <v>11775</v>
      </c>
      <c r="D3889" t="s">
        <v>11850</v>
      </c>
      <c r="E3889" t="s">
        <v>15</v>
      </c>
      <c r="F3889" t="s">
        <v>11878</v>
      </c>
      <c r="G3889" t="s">
        <v>18200</v>
      </c>
      <c r="H3889" t="s">
        <v>1112</v>
      </c>
      <c r="I3889" t="s">
        <v>1108</v>
      </c>
      <c r="J3889" t="s">
        <v>11879</v>
      </c>
      <c r="K3889" t="s">
        <v>11880</v>
      </c>
      <c r="L3889" t="s">
        <v>21</v>
      </c>
      <c r="M3889" t="s">
        <v>19177</v>
      </c>
      <c r="N3889" t="s">
        <v>1024</v>
      </c>
      <c r="O3889" t="s">
        <v>1024</v>
      </c>
      <c r="P3889" t="s">
        <v>842</v>
      </c>
    </row>
    <row r="3890">
      <c r="A3890">
        <f>HYPERLINK("http://bombeiros.sp.gov.br/hidrantes/03individual/3874.html","3874")</f>
      </c>
      <c r="B3890" t="s">
        <v>842</v>
      </c>
      <c r="C3890" t="s">
        <v>11775</v>
      </c>
      <c r="D3890" t="s">
        <v>11850</v>
      </c>
      <c r="E3890" t="s">
        <v>15</v>
      </c>
      <c r="F3890" t="s">
        <v>11881</v>
      </c>
      <c r="G3890" t="s">
        <v>18200</v>
      </c>
      <c r="H3890" t="s">
        <v>1112</v>
      </c>
      <c r="I3890" t="s">
        <v>1108</v>
      </c>
      <c r="J3890" t="s">
        <v>11882</v>
      </c>
      <c r="K3890" t="s">
        <v>11883</v>
      </c>
      <c r="L3890" t="s">
        <v>21</v>
      </c>
      <c r="M3890" t="s">
        <v>19177</v>
      </c>
      <c r="N3890" t="s">
        <v>1024</v>
      </c>
      <c r="O3890" t="s">
        <v>1024</v>
      </c>
      <c r="P3890" t="s">
        <v>842</v>
      </c>
    </row>
    <row r="3891">
      <c r="A3891">
        <f>HYPERLINK("http://bombeiros.sp.gov.br/hidrantes/03individual/3877.html","3877")</f>
      </c>
      <c r="B3891" t="s">
        <v>842</v>
      </c>
      <c r="C3891" t="s">
        <v>11775</v>
      </c>
      <c r="D3891" t="s">
        <v>11850</v>
      </c>
      <c r="E3891" t="s">
        <v>15</v>
      </c>
      <c r="F3891" t="s">
        <v>11884</v>
      </c>
      <c r="G3891" t="s">
        <v>18200</v>
      </c>
      <c r="H3891" t="s">
        <v>1112</v>
      </c>
      <c r="I3891" t="s">
        <v>1108</v>
      </c>
      <c r="J3891" t="s">
        <v>11885</v>
      </c>
      <c r="K3891" t="s">
        <v>11886</v>
      </c>
      <c r="L3891" t="s">
        <v>21</v>
      </c>
      <c r="M3891" t="s">
        <v>19177</v>
      </c>
      <c r="N3891" t="s">
        <v>1024</v>
      </c>
      <c r="O3891" t="s">
        <v>1024</v>
      </c>
      <c r="P3891" t="s">
        <v>842</v>
      </c>
    </row>
    <row r="3892">
      <c r="A3892">
        <f>HYPERLINK("http://bombeiros.sp.gov.br/hidrantes/03individual/3884.html","3884")</f>
      </c>
      <c r="B3892" t="s">
        <v>842</v>
      </c>
      <c r="C3892" t="s">
        <v>11775</v>
      </c>
      <c r="D3892" t="s">
        <v>11850</v>
      </c>
      <c r="E3892" t="s">
        <v>15</v>
      </c>
      <c r="F3892" t="s">
        <v>11887</v>
      </c>
      <c r="G3892" t="s">
        <v>18200</v>
      </c>
      <c r="H3892" t="s">
        <v>1112</v>
      </c>
      <c r="I3892" t="s">
        <v>1108</v>
      </c>
      <c r="J3892" t="s">
        <v>11888</v>
      </c>
      <c r="K3892" t="s">
        <v>11889</v>
      </c>
      <c r="L3892" t="s">
        <v>21</v>
      </c>
      <c r="M3892" t="s">
        <v>19177</v>
      </c>
      <c r="N3892" t="s">
        <v>1024</v>
      </c>
      <c r="O3892" t="s">
        <v>1024</v>
      </c>
      <c r="P3892" t="s">
        <v>842</v>
      </c>
    </row>
    <row r="3893">
      <c r="A3893">
        <f>HYPERLINK("http://bombeiros.sp.gov.br/hidrantes/03individual/16614.html","16614")</f>
      </c>
      <c r="B3893" t="s">
        <v>842</v>
      </c>
      <c r="C3893" t="s">
        <v>11775</v>
      </c>
      <c r="D3893" t="s">
        <v>11850</v>
      </c>
      <c r="E3893" t="s">
        <v>15</v>
      </c>
      <c r="F3893" t="s">
        <v>11890</v>
      </c>
      <c r="G3893" t="s">
        <v>18200</v>
      </c>
      <c r="H3893" t="s">
        <v>1112</v>
      </c>
      <c r="I3893" t="s">
        <v>1108</v>
      </c>
      <c r="J3893" t="s">
        <v>11891</v>
      </c>
      <c r="K3893" t="s">
        <v>11892</v>
      </c>
      <c r="L3893" t="s">
        <v>21</v>
      </c>
      <c r="M3893" t="s">
        <v>19177</v>
      </c>
      <c r="N3893" t="s">
        <v>1024</v>
      </c>
      <c r="O3893" t="s">
        <v>1024</v>
      </c>
      <c r="P3893" t="s">
        <v>842</v>
      </c>
    </row>
    <row r="3894">
      <c r="A3894">
        <f>HYPERLINK("http://bombeiros.sp.gov.br/hidrantes/03individual/27670.html","27670")</f>
      </c>
      <c r="B3894" t="s">
        <v>842</v>
      </c>
      <c r="C3894" t="s">
        <v>11775</v>
      </c>
      <c r="D3894" t="s">
        <v>11850</v>
      </c>
      <c r="E3894" t="s">
        <v>15</v>
      </c>
      <c r="F3894" t="s">
        <v>17598</v>
      </c>
      <c r="G3894" t="s">
        <v>18200</v>
      </c>
      <c r="H3894" t="s">
        <v>1107</v>
      </c>
      <c r="I3894" t="s">
        <v>1108</v>
      </c>
      <c r="J3894" t="s">
        <v>17599</v>
      </c>
      <c r="K3894" t="s">
        <v>17600</v>
      </c>
      <c r="L3894" t="s">
        <v>21</v>
      </c>
      <c r="M3894" t="s">
        <v>19177</v>
      </c>
      <c r="N3894" t="s">
        <v>1024</v>
      </c>
      <c r="O3894" t="s">
        <v>1024</v>
      </c>
      <c r="P3894" t="s">
        <v>842</v>
      </c>
    </row>
    <row r="3895">
      <c r="A3895">
        <f>HYPERLINK("http://bombeiros.sp.gov.br/hidrantes/03individual/454.html","454")</f>
      </c>
      <c r="B3895" t="s">
        <v>842</v>
      </c>
      <c r="C3895" t="s">
        <v>11775</v>
      </c>
      <c r="D3895" t="s">
        <v>679</v>
      </c>
      <c r="E3895" t="s">
        <v>64</v>
      </c>
      <c r="F3895" t="s">
        <v>11893</v>
      </c>
      <c r="G3895" t="s">
        <v>18093</v>
      </c>
      <c r="H3895" t="s">
        <v>1112</v>
      </c>
      <c r="I3895" t="s">
        <v>1108</v>
      </c>
      <c r="J3895" t="s">
        <v>11894</v>
      </c>
      <c r="K3895" t="s">
        <v>11895</v>
      </c>
      <c r="L3895" t="s">
        <v>36</v>
      </c>
      <c r="M3895" t="s">
        <v>19177</v>
      </c>
      <c r="N3895" t="s">
        <v>1024</v>
      </c>
      <c r="O3895" t="s">
        <v>1024</v>
      </c>
      <c r="P3895" t="s">
        <v>842</v>
      </c>
    </row>
    <row r="3896">
      <c r="A3896">
        <f>HYPERLINK("http://bombeiros.sp.gov.br/hidrantes/03individual/3878.html","3878")</f>
      </c>
      <c r="B3896" t="s">
        <v>842</v>
      </c>
      <c r="C3896" t="s">
        <v>11775</v>
      </c>
      <c r="D3896" t="s">
        <v>679</v>
      </c>
      <c r="E3896" t="s">
        <v>64</v>
      </c>
      <c r="F3896" t="s">
        <v>11896</v>
      </c>
      <c r="G3896" t="s">
        <v>18089</v>
      </c>
      <c r="H3896" t="s">
        <v>1112</v>
      </c>
      <c r="I3896" t="s">
        <v>1108</v>
      </c>
      <c r="J3896" t="s">
        <v>11897</v>
      </c>
      <c r="K3896" t="s">
        <v>11898</v>
      </c>
      <c r="L3896" t="s">
        <v>21</v>
      </c>
      <c r="M3896" t="s">
        <v>19177</v>
      </c>
      <c r="N3896" t="s">
        <v>1024</v>
      </c>
      <c r="O3896" t="s">
        <v>1024</v>
      </c>
      <c r="P3896" t="s">
        <v>842</v>
      </c>
    </row>
    <row r="3897">
      <c r="A3897">
        <f>HYPERLINK("http://bombeiros.sp.gov.br/hidrantes/03individual/3890.html","3890")</f>
      </c>
      <c r="B3897" t="s">
        <v>842</v>
      </c>
      <c r="C3897" t="s">
        <v>11775</v>
      </c>
      <c r="D3897" t="s">
        <v>679</v>
      </c>
      <c r="E3897" t="s">
        <v>64</v>
      </c>
      <c r="F3897" t="s">
        <v>11899</v>
      </c>
      <c r="G3897" t="s">
        <v>18164</v>
      </c>
      <c r="H3897" t="s">
        <v>1107</v>
      </c>
      <c r="I3897" t="s">
        <v>1108</v>
      </c>
      <c r="J3897" t="s">
        <v>11900</v>
      </c>
      <c r="K3897" t="s">
        <v>11901</v>
      </c>
      <c r="L3897" t="s">
        <v>21</v>
      </c>
      <c r="M3897" t="s">
        <v>19177</v>
      </c>
      <c r="N3897" t="s">
        <v>1024</v>
      </c>
      <c r="O3897" t="s">
        <v>1024</v>
      </c>
      <c r="P3897" t="s">
        <v>842</v>
      </c>
    </row>
    <row r="3898">
      <c r="A3898">
        <f>HYPERLINK("http://bombeiros.sp.gov.br/hidrantes/03individual/3929.html","3929")</f>
      </c>
      <c r="B3898" t="s">
        <v>842</v>
      </c>
      <c r="C3898" t="s">
        <v>11775</v>
      </c>
      <c r="D3898" t="s">
        <v>679</v>
      </c>
      <c r="E3898" t="s">
        <v>64</v>
      </c>
      <c r="F3898" t="s">
        <v>11902</v>
      </c>
      <c r="G3898" t="s">
        <v>18093</v>
      </c>
      <c r="H3898" t="s">
        <v>1121</v>
      </c>
      <c r="I3898" t="s">
        <v>1117</v>
      </c>
      <c r="J3898" t="s">
        <v>11903</v>
      </c>
      <c r="K3898" t="s">
        <v>11904</v>
      </c>
      <c r="L3898" t="s">
        <v>36</v>
      </c>
      <c r="M3898" t="s">
        <v>19177</v>
      </c>
      <c r="N3898" t="s">
        <v>1024</v>
      </c>
      <c r="O3898" t="s">
        <v>1024</v>
      </c>
      <c r="P3898" t="s">
        <v>842</v>
      </c>
    </row>
    <row r="3899">
      <c r="A3899">
        <f>HYPERLINK("http://bombeiros.sp.gov.br/hidrantes/03individual/10026.html","10026")</f>
      </c>
      <c r="B3899" t="s">
        <v>842</v>
      </c>
      <c r="C3899" t="s">
        <v>11775</v>
      </c>
      <c r="D3899" t="s">
        <v>679</v>
      </c>
      <c r="E3899" t="s">
        <v>64</v>
      </c>
      <c r="F3899" t="s">
        <v>11905</v>
      </c>
      <c r="G3899" t="s">
        <v>18164</v>
      </c>
      <c r="H3899" t="s">
        <v>1174</v>
      </c>
      <c r="I3899" t="s">
        <v>1117</v>
      </c>
      <c r="J3899" t="s">
        <v>11906</v>
      </c>
      <c r="K3899" t="s">
        <v>11907</v>
      </c>
      <c r="L3899" t="s">
        <v>21</v>
      </c>
      <c r="M3899" t="s">
        <v>19177</v>
      </c>
      <c r="N3899" t="s">
        <v>1024</v>
      </c>
      <c r="O3899" t="s">
        <v>1024</v>
      </c>
      <c r="P3899" t="s">
        <v>842</v>
      </c>
    </row>
    <row r="3900">
      <c r="A3900">
        <f>HYPERLINK("http://bombeiros.sp.gov.br/hidrantes/03individual/296.html","296")</f>
      </c>
      <c r="B3900" t="s">
        <v>842</v>
      </c>
      <c r="C3900" t="s">
        <v>11775</v>
      </c>
      <c r="D3900" t="s">
        <v>679</v>
      </c>
      <c r="E3900" t="s">
        <v>15</v>
      </c>
      <c r="F3900" t="s">
        <v>11908</v>
      </c>
      <c r="G3900" t="s">
        <v>18089</v>
      </c>
      <c r="H3900" t="s">
        <v>1107</v>
      </c>
      <c r="I3900" t="s">
        <v>1108</v>
      </c>
      <c r="J3900" t="s">
        <v>11909</v>
      </c>
      <c r="K3900" t="s">
        <v>11910</v>
      </c>
      <c r="L3900" t="s">
        <v>21</v>
      </c>
      <c r="M3900" t="s">
        <v>19177</v>
      </c>
      <c r="N3900" t="s">
        <v>1024</v>
      </c>
      <c r="O3900" t="s">
        <v>1024</v>
      </c>
      <c r="P3900" t="s">
        <v>842</v>
      </c>
    </row>
    <row r="3901">
      <c r="A3901">
        <f>HYPERLINK("http://bombeiros.sp.gov.br/hidrantes/03individual/307.html","307")</f>
      </c>
      <c r="B3901" t="s">
        <v>842</v>
      </c>
      <c r="C3901" t="s">
        <v>11775</v>
      </c>
      <c r="D3901" t="s">
        <v>679</v>
      </c>
      <c r="E3901" t="s">
        <v>15</v>
      </c>
      <c r="F3901" t="s">
        <v>11911</v>
      </c>
      <c r="G3901" t="s">
        <v>18164</v>
      </c>
      <c r="H3901" t="s">
        <v>1112</v>
      </c>
      <c r="I3901" t="s">
        <v>1108</v>
      </c>
      <c r="J3901" t="s">
        <v>11912</v>
      </c>
      <c r="K3901" t="s">
        <v>11913</v>
      </c>
      <c r="L3901" t="s">
        <v>21</v>
      </c>
      <c r="M3901" t="s">
        <v>19177</v>
      </c>
      <c r="N3901" t="s">
        <v>1024</v>
      </c>
      <c r="O3901" t="s">
        <v>1024</v>
      </c>
      <c r="P3901" t="s">
        <v>842</v>
      </c>
    </row>
    <row r="3902">
      <c r="A3902">
        <f>HYPERLINK("http://bombeiros.sp.gov.br/hidrantes/03individual/328.html","328")</f>
      </c>
      <c r="B3902" t="s">
        <v>842</v>
      </c>
      <c r="C3902" t="s">
        <v>11775</v>
      </c>
      <c r="D3902" t="s">
        <v>679</v>
      </c>
      <c r="E3902" t="s">
        <v>15</v>
      </c>
      <c r="F3902" t="s">
        <v>11914</v>
      </c>
      <c r="G3902" t="s">
        <v>18164</v>
      </c>
      <c r="H3902" t="s">
        <v>1112</v>
      </c>
      <c r="I3902" t="s">
        <v>1108</v>
      </c>
      <c r="J3902" t="s">
        <v>11915</v>
      </c>
      <c r="K3902" t="s">
        <v>11916</v>
      </c>
      <c r="L3902" t="s">
        <v>21</v>
      </c>
      <c r="M3902" t="s">
        <v>19177</v>
      </c>
      <c r="N3902" t="s">
        <v>1024</v>
      </c>
      <c r="O3902" t="s">
        <v>1024</v>
      </c>
      <c r="P3902" t="s">
        <v>842</v>
      </c>
    </row>
    <row r="3903">
      <c r="A3903">
        <f>HYPERLINK("http://bombeiros.sp.gov.br/hidrantes/03individual/351.html","351")</f>
      </c>
      <c r="B3903" t="s">
        <v>842</v>
      </c>
      <c r="C3903" t="s">
        <v>11775</v>
      </c>
      <c r="D3903" t="s">
        <v>679</v>
      </c>
      <c r="E3903" t="s">
        <v>15</v>
      </c>
      <c r="F3903" t="s">
        <v>11917</v>
      </c>
      <c r="G3903" t="s">
        <v>18089</v>
      </c>
      <c r="H3903" t="s">
        <v>1174</v>
      </c>
      <c r="I3903" t="s">
        <v>1117</v>
      </c>
      <c r="J3903" t="s">
        <v>16532</v>
      </c>
      <c r="K3903" t="s">
        <v>16533</v>
      </c>
      <c r="L3903" t="s">
        <v>21</v>
      </c>
      <c r="M3903" t="s">
        <v>19177</v>
      </c>
      <c r="N3903" t="s">
        <v>1024</v>
      </c>
      <c r="O3903" t="s">
        <v>1024</v>
      </c>
      <c r="P3903" t="s">
        <v>842</v>
      </c>
    </row>
    <row r="3904">
      <c r="A3904">
        <f>HYPERLINK("http://bombeiros.sp.gov.br/hidrantes/03individual/387.html","387")</f>
      </c>
      <c r="B3904" t="s">
        <v>842</v>
      </c>
      <c r="C3904" t="s">
        <v>11775</v>
      </c>
      <c r="D3904" t="s">
        <v>679</v>
      </c>
      <c r="E3904" t="s">
        <v>15</v>
      </c>
      <c r="F3904" t="s">
        <v>11920</v>
      </c>
      <c r="G3904" t="s">
        <v>18164</v>
      </c>
      <c r="H3904" t="s">
        <v>1174</v>
      </c>
      <c r="I3904" t="s">
        <v>1108</v>
      </c>
      <c r="J3904" t="s">
        <v>11921</v>
      </c>
      <c r="K3904" t="s">
        <v>11922</v>
      </c>
      <c r="L3904" t="s">
        <v>21</v>
      </c>
      <c r="M3904" t="s">
        <v>19177</v>
      </c>
      <c r="N3904" t="s">
        <v>1024</v>
      </c>
      <c r="O3904" t="s">
        <v>1024</v>
      </c>
      <c r="P3904" t="s">
        <v>842</v>
      </c>
    </row>
    <row r="3905">
      <c r="A3905">
        <f>HYPERLINK("http://bombeiros.sp.gov.br/hidrantes/03individual/428.html","428")</f>
      </c>
      <c r="B3905" t="s">
        <v>842</v>
      </c>
      <c r="C3905" t="s">
        <v>11775</v>
      </c>
      <c r="D3905" t="s">
        <v>679</v>
      </c>
      <c r="E3905" t="s">
        <v>15</v>
      </c>
      <c r="F3905" t="s">
        <v>11923</v>
      </c>
      <c r="G3905" t="s">
        <v>18093</v>
      </c>
      <c r="H3905" t="s">
        <v>1112</v>
      </c>
      <c r="I3905" t="s">
        <v>1108</v>
      </c>
      <c r="J3905" t="s">
        <v>11924</v>
      </c>
      <c r="K3905" t="s">
        <v>11925</v>
      </c>
      <c r="L3905" t="s">
        <v>21</v>
      </c>
      <c r="M3905" t="s">
        <v>19177</v>
      </c>
      <c r="N3905" t="s">
        <v>1024</v>
      </c>
      <c r="O3905" t="s">
        <v>1024</v>
      </c>
      <c r="P3905" t="s">
        <v>842</v>
      </c>
    </row>
    <row r="3906">
      <c r="A3906">
        <f>HYPERLINK("http://bombeiros.sp.gov.br/hidrantes/03individual/453.html","453")</f>
      </c>
      <c r="B3906" t="s">
        <v>842</v>
      </c>
      <c r="C3906" t="s">
        <v>11775</v>
      </c>
      <c r="D3906" t="s">
        <v>679</v>
      </c>
      <c r="E3906" t="s">
        <v>15</v>
      </c>
      <c r="F3906" t="s">
        <v>11926</v>
      </c>
      <c r="G3906" t="s">
        <v>18089</v>
      </c>
      <c r="H3906" t="s">
        <v>1112</v>
      </c>
      <c r="I3906" t="s">
        <v>1108</v>
      </c>
      <c r="J3906" t="s">
        <v>11927</v>
      </c>
      <c r="K3906" t="s">
        <v>11928</v>
      </c>
      <c r="L3906" t="s">
        <v>21</v>
      </c>
      <c r="M3906" t="s">
        <v>19177</v>
      </c>
      <c r="N3906" t="s">
        <v>1024</v>
      </c>
      <c r="O3906" t="s">
        <v>1024</v>
      </c>
      <c r="P3906" t="s">
        <v>842</v>
      </c>
    </row>
    <row r="3907">
      <c r="A3907">
        <f>HYPERLINK("http://bombeiros.sp.gov.br/hidrantes/03individual/2135.html","2135")</f>
      </c>
      <c r="B3907" t="s">
        <v>842</v>
      </c>
      <c r="C3907" t="s">
        <v>11775</v>
      </c>
      <c r="D3907" t="s">
        <v>679</v>
      </c>
      <c r="E3907" t="s">
        <v>15</v>
      </c>
      <c r="F3907" t="s">
        <v>11929</v>
      </c>
      <c r="G3907" t="s">
        <v>18093</v>
      </c>
      <c r="H3907" t="s">
        <v>1107</v>
      </c>
      <c r="I3907" t="s">
        <v>1108</v>
      </c>
      <c r="J3907" t="s">
        <v>11930</v>
      </c>
      <c r="K3907" t="s">
        <v>11931</v>
      </c>
      <c r="L3907" t="s">
        <v>21</v>
      </c>
      <c r="M3907" t="s">
        <v>19177</v>
      </c>
      <c r="N3907" t="s">
        <v>1024</v>
      </c>
      <c r="O3907" t="s">
        <v>1024</v>
      </c>
      <c r="P3907" t="s">
        <v>842</v>
      </c>
    </row>
    <row r="3908">
      <c r="A3908">
        <f>HYPERLINK("http://bombeiros.sp.gov.br/hidrantes/03individual/3892.html","3892")</f>
      </c>
      <c r="B3908" t="s">
        <v>842</v>
      </c>
      <c r="C3908" t="s">
        <v>11775</v>
      </c>
      <c r="D3908" t="s">
        <v>679</v>
      </c>
      <c r="E3908" t="s">
        <v>15</v>
      </c>
      <c r="F3908" t="s">
        <v>11932</v>
      </c>
      <c r="G3908" t="s">
        <v>18164</v>
      </c>
      <c r="H3908" t="s">
        <v>1121</v>
      </c>
      <c r="I3908" t="s">
        <v>1117</v>
      </c>
      <c r="J3908" t="s">
        <v>11933</v>
      </c>
      <c r="K3908" t="s">
        <v>11934</v>
      </c>
      <c r="L3908" t="s">
        <v>21</v>
      </c>
      <c r="M3908" t="s">
        <v>19177</v>
      </c>
      <c r="N3908" t="s">
        <v>1024</v>
      </c>
      <c r="O3908" t="s">
        <v>1024</v>
      </c>
      <c r="P3908" t="s">
        <v>842</v>
      </c>
    </row>
    <row r="3909">
      <c r="A3909">
        <f>HYPERLINK("http://bombeiros.sp.gov.br/hidrantes/03individual/3904.html","3904")</f>
      </c>
      <c r="B3909" t="s">
        <v>842</v>
      </c>
      <c r="C3909" t="s">
        <v>11775</v>
      </c>
      <c r="D3909" t="s">
        <v>679</v>
      </c>
      <c r="E3909" t="s">
        <v>15</v>
      </c>
      <c r="F3909" t="s">
        <v>11935</v>
      </c>
      <c r="G3909" t="s">
        <v>18089</v>
      </c>
      <c r="H3909" t="s">
        <v>1121</v>
      </c>
      <c r="I3909" t="s">
        <v>1117</v>
      </c>
      <c r="J3909" t="s">
        <v>16218</v>
      </c>
      <c r="K3909" t="s">
        <v>16219</v>
      </c>
      <c r="L3909" t="s">
        <v>21</v>
      </c>
      <c r="M3909" t="s">
        <v>19177</v>
      </c>
      <c r="N3909" t="s">
        <v>1024</v>
      </c>
      <c r="O3909" t="s">
        <v>1024</v>
      </c>
      <c r="P3909" t="s">
        <v>842</v>
      </c>
    </row>
    <row r="3910">
      <c r="A3910">
        <f>HYPERLINK("http://bombeiros.sp.gov.br/hidrantes/03individual/3905.html","3905")</f>
      </c>
      <c r="B3910" t="s">
        <v>842</v>
      </c>
      <c r="C3910" t="s">
        <v>11775</v>
      </c>
      <c r="D3910" t="s">
        <v>679</v>
      </c>
      <c r="E3910" t="s">
        <v>15</v>
      </c>
      <c r="F3910" t="s">
        <v>11938</v>
      </c>
      <c r="G3910" t="s">
        <v>18093</v>
      </c>
      <c r="H3910" t="s">
        <v>1174</v>
      </c>
      <c r="I3910" t="s">
        <v>1117</v>
      </c>
      <c r="J3910" t="s">
        <v>11939</v>
      </c>
      <c r="K3910" t="s">
        <v>11940</v>
      </c>
      <c r="L3910" t="s">
        <v>21</v>
      </c>
      <c r="M3910" t="s">
        <v>19177</v>
      </c>
      <c r="N3910" t="s">
        <v>1024</v>
      </c>
      <c r="O3910" t="s">
        <v>1024</v>
      </c>
      <c r="P3910" t="s">
        <v>842</v>
      </c>
    </row>
    <row r="3911">
      <c r="A3911">
        <f>HYPERLINK("http://bombeiros.sp.gov.br/hidrantes/03individual/3927.html","3927")</f>
      </c>
      <c r="B3911" t="s">
        <v>842</v>
      </c>
      <c r="C3911" t="s">
        <v>11775</v>
      </c>
      <c r="D3911" t="s">
        <v>679</v>
      </c>
      <c r="E3911" t="s">
        <v>15</v>
      </c>
      <c r="F3911" t="s">
        <v>11941</v>
      </c>
      <c r="G3911" t="s">
        <v>18093</v>
      </c>
      <c r="H3911" t="s">
        <v>1107</v>
      </c>
      <c r="I3911" t="s">
        <v>1108</v>
      </c>
      <c r="J3911" t="s">
        <v>11942</v>
      </c>
      <c r="K3911" t="s">
        <v>11943</v>
      </c>
      <c r="L3911" t="s">
        <v>21</v>
      </c>
      <c r="M3911" t="s">
        <v>19177</v>
      </c>
      <c r="N3911" t="s">
        <v>1024</v>
      </c>
      <c r="O3911" t="s">
        <v>1024</v>
      </c>
      <c r="P3911" t="s">
        <v>842</v>
      </c>
    </row>
    <row r="3912">
      <c r="A3912">
        <f>HYPERLINK("http://bombeiros.sp.gov.br/hidrantes/03individual/3928.html","3928")</f>
      </c>
      <c r="B3912" t="s">
        <v>842</v>
      </c>
      <c r="C3912" t="s">
        <v>11775</v>
      </c>
      <c r="D3912" t="s">
        <v>679</v>
      </c>
      <c r="E3912" t="s">
        <v>15</v>
      </c>
      <c r="F3912" t="s">
        <v>11944</v>
      </c>
      <c r="G3912" t="s">
        <v>18093</v>
      </c>
      <c r="H3912" t="s">
        <v>1107</v>
      </c>
      <c r="I3912" t="s">
        <v>1108</v>
      </c>
      <c r="J3912" t="s">
        <v>11945</v>
      </c>
      <c r="K3912" t="s">
        <v>11946</v>
      </c>
      <c r="L3912" t="s">
        <v>21</v>
      </c>
      <c r="M3912" t="s">
        <v>19177</v>
      </c>
      <c r="N3912" t="s">
        <v>1024</v>
      </c>
      <c r="O3912" t="s">
        <v>1024</v>
      </c>
      <c r="P3912" t="s">
        <v>842</v>
      </c>
    </row>
    <row r="3913">
      <c r="A3913">
        <f>HYPERLINK("http://bombeiros.sp.gov.br/hidrantes/03individual/3932.html","3932")</f>
      </c>
      <c r="B3913" t="s">
        <v>842</v>
      </c>
      <c r="C3913" t="s">
        <v>11775</v>
      </c>
      <c r="D3913" t="s">
        <v>679</v>
      </c>
      <c r="E3913" t="s">
        <v>15</v>
      </c>
      <c r="F3913" t="s">
        <v>11947</v>
      </c>
      <c r="G3913" t="s">
        <v>18093</v>
      </c>
      <c r="H3913" t="s">
        <v>1112</v>
      </c>
      <c r="I3913" t="s">
        <v>1108</v>
      </c>
      <c r="J3913" t="s">
        <v>11948</v>
      </c>
      <c r="K3913" t="s">
        <v>11949</v>
      </c>
      <c r="L3913" t="s">
        <v>21</v>
      </c>
      <c r="M3913" t="s">
        <v>19177</v>
      </c>
      <c r="N3913" t="s">
        <v>1024</v>
      </c>
      <c r="O3913" t="s">
        <v>1024</v>
      </c>
      <c r="P3913" t="s">
        <v>842</v>
      </c>
    </row>
    <row r="3914">
      <c r="A3914">
        <f>HYPERLINK("http://bombeiros.sp.gov.br/hidrantes/03individual/4157.html","4157")</f>
      </c>
      <c r="B3914" t="s">
        <v>842</v>
      </c>
      <c r="C3914" t="s">
        <v>11775</v>
      </c>
      <c r="D3914" t="s">
        <v>679</v>
      </c>
      <c r="E3914" t="s">
        <v>15</v>
      </c>
      <c r="F3914" t="s">
        <v>11950</v>
      </c>
      <c r="G3914" t="s">
        <v>18093</v>
      </c>
      <c r="H3914" t="s">
        <v>1107</v>
      </c>
      <c r="I3914" t="s">
        <v>1108</v>
      </c>
      <c r="J3914" t="s">
        <v>11951</v>
      </c>
      <c r="K3914" t="s">
        <v>11952</v>
      </c>
      <c r="L3914" t="s">
        <v>21</v>
      </c>
      <c r="M3914" t="s">
        <v>19177</v>
      </c>
      <c r="N3914" t="s">
        <v>1024</v>
      </c>
      <c r="O3914" t="s">
        <v>1024</v>
      </c>
      <c r="P3914" t="s">
        <v>842</v>
      </c>
    </row>
    <row r="3915">
      <c r="A3915">
        <f>HYPERLINK("http://bombeiros.sp.gov.br/hidrantes/03individual/4158.html","4158")</f>
      </c>
      <c r="B3915" t="s">
        <v>842</v>
      </c>
      <c r="C3915" t="s">
        <v>11775</v>
      </c>
      <c r="D3915" t="s">
        <v>679</v>
      </c>
      <c r="E3915" t="s">
        <v>15</v>
      </c>
      <c r="F3915" t="s">
        <v>11953</v>
      </c>
      <c r="G3915" t="s">
        <v>18089</v>
      </c>
      <c r="H3915" t="s">
        <v>1112</v>
      </c>
      <c r="I3915" t="s">
        <v>1108</v>
      </c>
      <c r="J3915" t="s">
        <v>11954</v>
      </c>
      <c r="K3915" t="s">
        <v>11955</v>
      </c>
      <c r="L3915" t="s">
        <v>21</v>
      </c>
      <c r="M3915" t="s">
        <v>19177</v>
      </c>
      <c r="N3915" t="s">
        <v>1024</v>
      </c>
      <c r="O3915" t="s">
        <v>1024</v>
      </c>
      <c r="P3915" t="s">
        <v>842</v>
      </c>
    </row>
    <row r="3916">
      <c r="A3916">
        <f>HYPERLINK("http://bombeiros.sp.gov.br/hidrantes/03individual/27206.html","27206")</f>
      </c>
      <c r="B3916" t="s">
        <v>842</v>
      </c>
      <c r="C3916" t="s">
        <v>11775</v>
      </c>
      <c r="D3916" t="s">
        <v>679</v>
      </c>
      <c r="E3916" t="s">
        <v>15</v>
      </c>
      <c r="F3916" t="s">
        <v>16965</v>
      </c>
      <c r="G3916" t="s">
        <v>18214</v>
      </c>
      <c r="H3916" t="s">
        <v>1121</v>
      </c>
      <c r="I3916" t="s">
        <v>1117</v>
      </c>
      <c r="J3916" t="s">
        <v>16966</v>
      </c>
      <c r="K3916" t="s">
        <v>16967</v>
      </c>
      <c r="L3916" t="s">
        <v>21</v>
      </c>
      <c r="M3916" t="s">
        <v>19177</v>
      </c>
      <c r="N3916" t="s">
        <v>1024</v>
      </c>
      <c r="O3916" t="s">
        <v>1024</v>
      </c>
      <c r="P3916" t="s">
        <v>842</v>
      </c>
    </row>
    <row r="3917">
      <c r="A3917">
        <f>HYPERLINK("http://bombeiros.sp.gov.br/hidrantes/03individual/3659.html","3659")</f>
      </c>
      <c r="B3917" t="s">
        <v>842</v>
      </c>
      <c r="C3917" t="s">
        <v>11956</v>
      </c>
      <c r="D3917" t="s">
        <v>11956</v>
      </c>
      <c r="E3917" t="s">
        <v>64</v>
      </c>
      <c r="F3917" t="s">
        <v>11957</v>
      </c>
      <c r="G3917" t="s">
        <v>17899</v>
      </c>
      <c r="H3917" t="s">
        <v>1112</v>
      </c>
      <c r="I3917" t="s">
        <v>1108</v>
      </c>
      <c r="J3917" t="s">
        <v>11958</v>
      </c>
      <c r="K3917" t="s">
        <v>11959</v>
      </c>
      <c r="L3917" t="s">
        <v>21</v>
      </c>
      <c r="M3917" t="s">
        <v>19177</v>
      </c>
      <c r="N3917" t="s">
        <v>1024</v>
      </c>
      <c r="O3917" t="s">
        <v>1024</v>
      </c>
      <c r="P3917" t="s">
        <v>842</v>
      </c>
    </row>
    <row r="3918">
      <c r="A3918">
        <f>HYPERLINK("http://bombeiros.sp.gov.br/hidrantes/03individual/2412.html","2412")</f>
      </c>
      <c r="B3918" t="s">
        <v>842</v>
      </c>
      <c r="C3918" t="s">
        <v>11956</v>
      </c>
      <c r="D3918" t="s">
        <v>11956</v>
      </c>
      <c r="E3918" t="s">
        <v>15</v>
      </c>
      <c r="F3918" t="s">
        <v>11960</v>
      </c>
      <c r="G3918" t="s">
        <v>17900</v>
      </c>
      <c r="H3918" t="s">
        <v>1112</v>
      </c>
      <c r="I3918" t="s">
        <v>1117</v>
      </c>
      <c r="J3918" t="s">
        <v>11961</v>
      </c>
      <c r="K3918" t="s">
        <v>11962</v>
      </c>
      <c r="L3918" t="s">
        <v>21</v>
      </c>
      <c r="M3918" t="s">
        <v>19177</v>
      </c>
      <c r="N3918" t="s">
        <v>1024</v>
      </c>
      <c r="O3918" t="s">
        <v>1024</v>
      </c>
      <c r="P3918" t="s">
        <v>842</v>
      </c>
    </row>
    <row r="3919">
      <c r="A3919">
        <f>HYPERLINK("http://bombeiros.sp.gov.br/hidrantes/03individual/2429.html","2429")</f>
      </c>
      <c r="B3919" t="s">
        <v>842</v>
      </c>
      <c r="C3919" t="s">
        <v>11956</v>
      </c>
      <c r="D3919" t="s">
        <v>11956</v>
      </c>
      <c r="E3919" t="s">
        <v>15</v>
      </c>
      <c r="F3919" t="s">
        <v>11963</v>
      </c>
      <c r="G3919" t="s">
        <v>18152</v>
      </c>
      <c r="H3919" t="s">
        <v>1112</v>
      </c>
      <c r="I3919" t="s">
        <v>1108</v>
      </c>
      <c r="J3919" t="s">
        <v>11964</v>
      </c>
      <c r="K3919" t="s">
        <v>11965</v>
      </c>
      <c r="L3919" t="s">
        <v>21</v>
      </c>
      <c r="M3919" t="s">
        <v>19177</v>
      </c>
      <c r="N3919" t="s">
        <v>1024</v>
      </c>
      <c r="O3919" t="s">
        <v>1024</v>
      </c>
      <c r="P3919" t="s">
        <v>842</v>
      </c>
    </row>
    <row r="3920">
      <c r="A3920">
        <f>HYPERLINK("http://bombeiros.sp.gov.br/hidrantes/03individual/2430.html","2430")</f>
      </c>
      <c r="B3920" t="s">
        <v>842</v>
      </c>
      <c r="C3920" t="s">
        <v>11956</v>
      </c>
      <c r="D3920" t="s">
        <v>11956</v>
      </c>
      <c r="E3920" t="s">
        <v>15</v>
      </c>
      <c r="F3920" t="s">
        <v>11966</v>
      </c>
      <c r="G3920" t="s">
        <v>18269</v>
      </c>
      <c r="H3920" t="s">
        <v>1174</v>
      </c>
      <c r="I3920" t="s">
        <v>1117</v>
      </c>
      <c r="J3920" t="s">
        <v>11967</v>
      </c>
      <c r="K3920" t="s">
        <v>11968</v>
      </c>
      <c r="L3920" t="s">
        <v>21</v>
      </c>
      <c r="M3920" t="s">
        <v>19177</v>
      </c>
      <c r="N3920" t="s">
        <v>1024</v>
      </c>
      <c r="O3920" t="s">
        <v>1024</v>
      </c>
      <c r="P3920" t="s">
        <v>842</v>
      </c>
    </row>
    <row r="3921">
      <c r="A3921">
        <f>HYPERLINK("http://bombeiros.sp.gov.br/hidrantes/03individual/2441.html","2441")</f>
      </c>
      <c r="B3921" t="s">
        <v>842</v>
      </c>
      <c r="C3921" t="s">
        <v>11956</v>
      </c>
      <c r="D3921" t="s">
        <v>11956</v>
      </c>
      <c r="E3921" t="s">
        <v>15</v>
      </c>
      <c r="F3921" t="s">
        <v>11969</v>
      </c>
      <c r="G3921" t="s">
        <v>18053</v>
      </c>
      <c r="H3921" t="s">
        <v>1112</v>
      </c>
      <c r="I3921" t="s">
        <v>1108</v>
      </c>
      <c r="J3921" t="s">
        <v>11970</v>
      </c>
      <c r="K3921" t="s">
        <v>11971</v>
      </c>
      <c r="L3921" t="s">
        <v>21</v>
      </c>
      <c r="M3921" t="s">
        <v>19177</v>
      </c>
      <c r="N3921" t="s">
        <v>1024</v>
      </c>
      <c r="O3921" t="s">
        <v>1024</v>
      </c>
      <c r="P3921" t="s">
        <v>842</v>
      </c>
    </row>
    <row r="3922">
      <c r="A3922">
        <f>HYPERLINK("http://bombeiros.sp.gov.br/hidrantes/03individual/2463.html","2463")</f>
      </c>
      <c r="B3922" t="s">
        <v>842</v>
      </c>
      <c r="C3922" t="s">
        <v>11956</v>
      </c>
      <c r="D3922" t="s">
        <v>11956</v>
      </c>
      <c r="E3922" t="s">
        <v>15</v>
      </c>
      <c r="F3922" t="s">
        <v>11972</v>
      </c>
      <c r="G3922" t="s">
        <v>17580</v>
      </c>
      <c r="H3922" t="s">
        <v>1112</v>
      </c>
      <c r="I3922" t="s">
        <v>1108</v>
      </c>
      <c r="J3922" t="s">
        <v>11973</v>
      </c>
      <c r="K3922" t="s">
        <v>11974</v>
      </c>
      <c r="L3922" t="s">
        <v>21</v>
      </c>
      <c r="M3922" t="s">
        <v>19177</v>
      </c>
      <c r="N3922" t="s">
        <v>1024</v>
      </c>
      <c r="O3922" t="s">
        <v>1024</v>
      </c>
      <c r="P3922" t="s">
        <v>842</v>
      </c>
    </row>
    <row r="3923">
      <c r="A3923">
        <f>HYPERLINK("http://bombeiros.sp.gov.br/hidrantes/03individual/2469.html","2469")</f>
      </c>
      <c r="B3923" t="s">
        <v>842</v>
      </c>
      <c r="C3923" t="s">
        <v>11956</v>
      </c>
      <c r="D3923" t="s">
        <v>11956</v>
      </c>
      <c r="E3923" t="s">
        <v>15</v>
      </c>
      <c r="F3923" t="s">
        <v>11975</v>
      </c>
      <c r="G3923" t="s">
        <v>17899</v>
      </c>
      <c r="H3923" t="s">
        <v>1107</v>
      </c>
      <c r="I3923" t="s">
        <v>1108</v>
      </c>
      <c r="J3923" t="s">
        <v>11976</v>
      </c>
      <c r="K3923" t="s">
        <v>11977</v>
      </c>
      <c r="L3923" t="s">
        <v>21</v>
      </c>
      <c r="M3923" t="s">
        <v>19177</v>
      </c>
      <c r="N3923" t="s">
        <v>1024</v>
      </c>
      <c r="O3923" t="s">
        <v>1024</v>
      </c>
      <c r="P3923" t="s">
        <v>842</v>
      </c>
    </row>
    <row r="3924">
      <c r="A3924">
        <f>HYPERLINK("http://bombeiros.sp.gov.br/hidrantes/03individual/2472.html","2472")</f>
      </c>
      <c r="B3924" t="s">
        <v>842</v>
      </c>
      <c r="C3924" t="s">
        <v>11956</v>
      </c>
      <c r="D3924" t="s">
        <v>11956</v>
      </c>
      <c r="E3924" t="s">
        <v>15</v>
      </c>
      <c r="F3924" t="s">
        <v>11978</v>
      </c>
      <c r="G3924" t="s">
        <v>17611</v>
      </c>
      <c r="H3924" t="s">
        <v>1112</v>
      </c>
      <c r="I3924" t="s">
        <v>1108</v>
      </c>
      <c r="J3924" t="s">
        <v>11979</v>
      </c>
      <c r="K3924" t="s">
        <v>11980</v>
      </c>
      <c r="L3924" t="s">
        <v>21</v>
      </c>
      <c r="M3924" t="s">
        <v>19177</v>
      </c>
      <c r="N3924" t="s">
        <v>1024</v>
      </c>
      <c r="O3924" t="s">
        <v>1024</v>
      </c>
      <c r="P3924" t="s">
        <v>842</v>
      </c>
    </row>
    <row r="3925">
      <c r="A3925">
        <f>HYPERLINK("http://bombeiros.sp.gov.br/hidrantes/03individual/3657.html","3657")</f>
      </c>
      <c r="B3925" t="s">
        <v>842</v>
      </c>
      <c r="C3925" t="s">
        <v>11956</v>
      </c>
      <c r="D3925" t="s">
        <v>11956</v>
      </c>
      <c r="E3925" t="s">
        <v>15</v>
      </c>
      <c r="F3925" t="s">
        <v>11981</v>
      </c>
      <c r="G3925" t="s">
        <v>17899</v>
      </c>
      <c r="H3925" t="s">
        <v>1107</v>
      </c>
      <c r="I3925" t="s">
        <v>1108</v>
      </c>
      <c r="J3925" t="s">
        <v>11982</v>
      </c>
      <c r="K3925" t="s">
        <v>11983</v>
      </c>
      <c r="L3925" t="s">
        <v>21</v>
      </c>
      <c r="M3925" t="s">
        <v>19177</v>
      </c>
      <c r="N3925" t="s">
        <v>1024</v>
      </c>
      <c r="O3925" t="s">
        <v>1024</v>
      </c>
      <c r="P3925" t="s">
        <v>842</v>
      </c>
    </row>
    <row r="3926">
      <c r="A3926">
        <f>HYPERLINK("http://bombeiros.sp.gov.br/hidrantes/03individual/3767.html","3767")</f>
      </c>
      <c r="B3926" t="s">
        <v>842</v>
      </c>
      <c r="C3926" t="s">
        <v>11956</v>
      </c>
      <c r="D3926" t="s">
        <v>11956</v>
      </c>
      <c r="E3926" t="s">
        <v>15</v>
      </c>
      <c r="F3926" t="s">
        <v>11984</v>
      </c>
      <c r="G3926" t="s">
        <v>17611</v>
      </c>
      <c r="H3926" t="s">
        <v>1112</v>
      </c>
      <c r="I3926" t="s">
        <v>1108</v>
      </c>
      <c r="J3926" t="s">
        <v>11985</v>
      </c>
      <c r="K3926" t="s">
        <v>11986</v>
      </c>
      <c r="L3926" t="s">
        <v>21</v>
      </c>
      <c r="M3926" t="s">
        <v>19177</v>
      </c>
      <c r="N3926" t="s">
        <v>1024</v>
      </c>
      <c r="O3926" t="s">
        <v>1024</v>
      </c>
      <c r="P3926" t="s">
        <v>842</v>
      </c>
    </row>
    <row r="3927">
      <c r="A3927">
        <f>HYPERLINK("http://bombeiros.sp.gov.br/hidrantes/03individual/17755.html","17755")</f>
      </c>
      <c r="B3927" t="s">
        <v>842</v>
      </c>
      <c r="C3927" t="s">
        <v>11956</v>
      </c>
      <c r="D3927" t="s">
        <v>11956</v>
      </c>
      <c r="E3927" t="s">
        <v>15</v>
      </c>
      <c r="F3927" t="s">
        <v>11987</v>
      </c>
      <c r="G3927" t="s">
        <v>18269</v>
      </c>
      <c r="H3927" t="s">
        <v>1121</v>
      </c>
      <c r="I3927" t="s">
        <v>1117</v>
      </c>
      <c r="J3927" t="s">
        <v>11988</v>
      </c>
      <c r="K3927" t="s">
        <v>11989</v>
      </c>
      <c r="L3927" t="s">
        <v>21</v>
      </c>
      <c r="M3927" t="s">
        <v>19177</v>
      </c>
      <c r="N3927" t="s">
        <v>1024</v>
      </c>
      <c r="O3927" t="s">
        <v>1024</v>
      </c>
      <c r="P3927" t="s">
        <v>842</v>
      </c>
    </row>
    <row r="3928">
      <c r="A3928">
        <f>HYPERLINK("http://bombeiros.sp.gov.br/hidrantes/03individual/26871.html","26871")</f>
      </c>
      <c r="B3928" t="s">
        <v>842</v>
      </c>
      <c r="C3928" t="s">
        <v>11956</v>
      </c>
      <c r="D3928" t="s">
        <v>11956</v>
      </c>
      <c r="E3928" t="s">
        <v>15</v>
      </c>
      <c r="F3928" t="s">
        <v>16270</v>
      </c>
      <c r="G3928" t="s">
        <v>17900</v>
      </c>
      <c r="H3928" t="s">
        <v>1112</v>
      </c>
      <c r="I3928" t="s">
        <v>1108</v>
      </c>
      <c r="J3928" t="s">
        <v>16271</v>
      </c>
      <c r="K3928" t="s">
        <v>16272</v>
      </c>
      <c r="L3928" t="s">
        <v>21</v>
      </c>
      <c r="M3928" t="s">
        <v>19177</v>
      </c>
      <c r="N3928" t="s">
        <v>1024</v>
      </c>
      <c r="O3928" t="s">
        <v>1024</v>
      </c>
      <c r="P3928" t="s">
        <v>842</v>
      </c>
    </row>
    <row r="3929">
      <c r="A3929">
        <f>HYPERLINK("http://bombeiros.sp.gov.br/hidrantes/03individual/26910.html","26910")</f>
      </c>
      <c r="B3929" t="s">
        <v>842</v>
      </c>
      <c r="C3929" t="s">
        <v>11956</v>
      </c>
      <c r="D3929" t="s">
        <v>11956</v>
      </c>
      <c r="E3929" t="s">
        <v>15</v>
      </c>
      <c r="F3929" t="s">
        <v>16367</v>
      </c>
      <c r="G3929" t="s">
        <v>17583</v>
      </c>
      <c r="H3929" t="s">
        <v>1112</v>
      </c>
      <c r="I3929" t="s">
        <v>1108</v>
      </c>
      <c r="J3929" t="s">
        <v>16368</v>
      </c>
      <c r="K3929" t="s">
        <v>16369</v>
      </c>
      <c r="L3929" t="s">
        <v>21</v>
      </c>
      <c r="M3929" t="s">
        <v>19177</v>
      </c>
      <c r="N3929" t="s">
        <v>1024</v>
      </c>
      <c r="O3929" t="s">
        <v>1024</v>
      </c>
      <c r="P3929" t="s">
        <v>842</v>
      </c>
    </row>
    <row r="3930">
      <c r="A3930">
        <f>HYPERLINK("http://bombeiros.sp.gov.br/hidrantes/03individual/2350.html","2350")</f>
      </c>
      <c r="B3930" t="s">
        <v>842</v>
      </c>
      <c r="C3930" t="s">
        <v>11956</v>
      </c>
      <c r="D3930" t="s">
        <v>11990</v>
      </c>
      <c r="E3930" t="s">
        <v>64</v>
      </c>
      <c r="F3930" t="s">
        <v>11991</v>
      </c>
      <c r="G3930" t="s">
        <v>18139</v>
      </c>
      <c r="H3930" t="s">
        <v>1112</v>
      </c>
      <c r="I3930" t="s">
        <v>1108</v>
      </c>
      <c r="J3930" t="s">
        <v>11992</v>
      </c>
      <c r="K3930" t="s">
        <v>11993</v>
      </c>
      <c r="L3930" t="s">
        <v>21</v>
      </c>
      <c r="M3930" t="s">
        <v>19177</v>
      </c>
      <c r="N3930" t="s">
        <v>1024</v>
      </c>
      <c r="O3930" t="s">
        <v>1024</v>
      </c>
      <c r="P3930" t="s">
        <v>842</v>
      </c>
    </row>
    <row r="3931">
      <c r="A3931">
        <f>HYPERLINK("http://bombeiros.sp.gov.br/hidrantes/03individual/2374.html","2374")</f>
      </c>
      <c r="B3931" t="s">
        <v>842</v>
      </c>
      <c r="C3931" t="s">
        <v>11956</v>
      </c>
      <c r="D3931" t="s">
        <v>11990</v>
      </c>
      <c r="E3931" t="s">
        <v>64</v>
      </c>
      <c r="F3931" t="s">
        <v>11994</v>
      </c>
      <c r="G3931" t="s">
        <v>18084</v>
      </c>
      <c r="H3931" t="s">
        <v>1112</v>
      </c>
      <c r="I3931" t="s">
        <v>1108</v>
      </c>
      <c r="J3931" t="s">
        <v>11995</v>
      </c>
      <c r="K3931" t="s">
        <v>11996</v>
      </c>
      <c r="L3931" t="s">
        <v>36</v>
      </c>
      <c r="M3931" t="s">
        <v>19177</v>
      </c>
      <c r="N3931" t="s">
        <v>1024</v>
      </c>
      <c r="O3931" t="s">
        <v>1024</v>
      </c>
      <c r="P3931" t="s">
        <v>842</v>
      </c>
    </row>
    <row r="3932">
      <c r="A3932">
        <f>HYPERLINK("http://bombeiros.sp.gov.br/hidrantes/03individual/2384.html","2384")</f>
      </c>
      <c r="B3932" t="s">
        <v>842</v>
      </c>
      <c r="C3932" t="s">
        <v>11956</v>
      </c>
      <c r="D3932" t="s">
        <v>11990</v>
      </c>
      <c r="E3932" t="s">
        <v>64</v>
      </c>
      <c r="F3932" t="s">
        <v>11997</v>
      </c>
      <c r="G3932" t="s">
        <v>18139</v>
      </c>
      <c r="H3932" t="s">
        <v>1112</v>
      </c>
      <c r="I3932" t="s">
        <v>1108</v>
      </c>
      <c r="J3932" t="s">
        <v>11998</v>
      </c>
      <c r="K3932" t="s">
        <v>11999</v>
      </c>
      <c r="L3932" t="s">
        <v>36</v>
      </c>
      <c r="M3932" t="s">
        <v>19177</v>
      </c>
      <c r="N3932" t="s">
        <v>1024</v>
      </c>
      <c r="O3932" t="s">
        <v>1024</v>
      </c>
      <c r="P3932" t="s">
        <v>842</v>
      </c>
    </row>
    <row r="3933">
      <c r="A3933">
        <f>HYPERLINK("http://bombeiros.sp.gov.br/hidrantes/03individual/2461.html","2461")</f>
      </c>
      <c r="B3933" t="s">
        <v>842</v>
      </c>
      <c r="C3933" t="s">
        <v>11956</v>
      </c>
      <c r="D3933" t="s">
        <v>11990</v>
      </c>
      <c r="E3933" t="s">
        <v>64</v>
      </c>
      <c r="F3933" t="s">
        <v>12000</v>
      </c>
      <c r="G3933" t="s">
        <v>18147</v>
      </c>
      <c r="H3933" t="s">
        <v>1112</v>
      </c>
      <c r="I3933" t="s">
        <v>1108</v>
      </c>
      <c r="J3933" t="s">
        <v>12001</v>
      </c>
      <c r="K3933" t="s">
        <v>12002</v>
      </c>
      <c r="L3933" t="s">
        <v>21</v>
      </c>
      <c r="M3933" t="s">
        <v>19177</v>
      </c>
      <c r="N3933" t="s">
        <v>1024</v>
      </c>
      <c r="O3933" t="s">
        <v>1024</v>
      </c>
      <c r="P3933" t="s">
        <v>842</v>
      </c>
    </row>
    <row r="3934">
      <c r="A3934">
        <f>HYPERLINK("http://bombeiros.sp.gov.br/hidrantes/03individual/3664.html","3664")</f>
      </c>
      <c r="B3934" t="s">
        <v>842</v>
      </c>
      <c r="C3934" t="s">
        <v>11956</v>
      </c>
      <c r="D3934" t="s">
        <v>11990</v>
      </c>
      <c r="E3934" t="s">
        <v>64</v>
      </c>
      <c r="F3934" t="s">
        <v>12003</v>
      </c>
      <c r="G3934" t="s">
        <v>18093</v>
      </c>
      <c r="H3934" t="s">
        <v>1112</v>
      </c>
      <c r="I3934" t="s">
        <v>1108</v>
      </c>
      <c r="J3934" t="s">
        <v>12004</v>
      </c>
      <c r="K3934" t="s">
        <v>12005</v>
      </c>
      <c r="L3934" t="s">
        <v>36</v>
      </c>
      <c r="M3934" t="s">
        <v>19177</v>
      </c>
      <c r="N3934" t="s">
        <v>1024</v>
      </c>
      <c r="O3934" t="s">
        <v>1024</v>
      </c>
      <c r="P3934" t="s">
        <v>842</v>
      </c>
    </row>
    <row r="3935">
      <c r="A3935">
        <f>HYPERLINK("http://bombeiros.sp.gov.br/hidrantes/03individual/4073.html","4073")</f>
      </c>
      <c r="B3935" t="s">
        <v>842</v>
      </c>
      <c r="C3935" t="s">
        <v>11956</v>
      </c>
      <c r="D3935" t="s">
        <v>11990</v>
      </c>
      <c r="E3935" t="s">
        <v>64</v>
      </c>
      <c r="F3935" t="s">
        <v>12006</v>
      </c>
      <c r="G3935" t="s">
        <v>18147</v>
      </c>
      <c r="H3935" t="s">
        <v>1112</v>
      </c>
      <c r="I3935" t="s">
        <v>1108</v>
      </c>
      <c r="J3935" t="s">
        <v>12007</v>
      </c>
      <c r="K3935" t="s">
        <v>12008</v>
      </c>
      <c r="L3935" t="s">
        <v>21</v>
      </c>
      <c r="M3935" t="s">
        <v>19177</v>
      </c>
      <c r="N3935" t="s">
        <v>1024</v>
      </c>
      <c r="O3935" t="s">
        <v>1024</v>
      </c>
      <c r="P3935" t="s">
        <v>842</v>
      </c>
    </row>
    <row r="3936">
      <c r="A3936">
        <f>HYPERLINK("http://bombeiros.sp.gov.br/hidrantes/03individual/4354.html","4354")</f>
      </c>
      <c r="B3936" t="s">
        <v>842</v>
      </c>
      <c r="C3936" t="s">
        <v>11956</v>
      </c>
      <c r="D3936" t="s">
        <v>11990</v>
      </c>
      <c r="E3936" t="s">
        <v>64</v>
      </c>
      <c r="F3936" t="s">
        <v>12009</v>
      </c>
      <c r="G3936" t="s">
        <v>18078</v>
      </c>
      <c r="H3936" t="s">
        <v>1121</v>
      </c>
      <c r="I3936" t="s">
        <v>1117</v>
      </c>
      <c r="J3936" t="s">
        <v>12010</v>
      </c>
      <c r="K3936" t="s">
        <v>12011</v>
      </c>
      <c r="L3936" t="s">
        <v>21</v>
      </c>
      <c r="M3936" t="s">
        <v>19177</v>
      </c>
      <c r="N3936" t="s">
        <v>1024</v>
      </c>
      <c r="O3936" t="s">
        <v>1024</v>
      </c>
      <c r="P3936" t="s">
        <v>842</v>
      </c>
    </row>
    <row r="3937">
      <c r="A3937">
        <f>HYPERLINK("http://bombeiros.sp.gov.br/hidrantes/03individual/26914.html","26914")</f>
      </c>
      <c r="B3937" t="s">
        <v>842</v>
      </c>
      <c r="C3937" t="s">
        <v>11956</v>
      </c>
      <c r="D3937" t="s">
        <v>11990</v>
      </c>
      <c r="E3937" t="s">
        <v>64</v>
      </c>
      <c r="F3937" t="s">
        <v>16381</v>
      </c>
      <c r="G3937" t="s">
        <v>18173</v>
      </c>
      <c r="H3937" t="s">
        <v>1107</v>
      </c>
      <c r="I3937" t="s">
        <v>1108</v>
      </c>
      <c r="J3937" t="s">
        <v>16382</v>
      </c>
      <c r="K3937" t="s">
        <v>16383</v>
      </c>
      <c r="L3937" t="s">
        <v>21</v>
      </c>
      <c r="M3937" t="s">
        <v>19177</v>
      </c>
      <c r="N3937" t="s">
        <v>1024</v>
      </c>
      <c r="O3937" t="s">
        <v>1024</v>
      </c>
      <c r="P3937" t="s">
        <v>842</v>
      </c>
    </row>
    <row r="3938">
      <c r="A3938">
        <f>HYPERLINK("http://bombeiros.sp.gov.br/hidrantes/03individual/28167.html","28167")</f>
      </c>
      <c r="B3938" t="s">
        <v>842</v>
      </c>
      <c r="C3938" t="s">
        <v>11956</v>
      </c>
      <c r="D3938" t="s">
        <v>11990</v>
      </c>
      <c r="E3938" t="s">
        <v>64</v>
      </c>
      <c r="F3938" t="s">
        <v>18373</v>
      </c>
      <c r="G3938"/>
      <c r="H3938"/>
      <c r="I3938" t="s">
        <v>1503</v>
      </c>
      <c r="J3938" t="s">
        <v>18374</v>
      </c>
      <c r="K3938" t="s">
        <v>18375</v>
      </c>
      <c r="L3938" t="s">
        <v>21</v>
      </c>
      <c r="M3938" t="s">
        <v>19177</v>
      </c>
      <c r="N3938" t="s">
        <v>1024</v>
      </c>
      <c r="O3938" t="s">
        <v>1024</v>
      </c>
      <c r="P3938" t="s">
        <v>842</v>
      </c>
    </row>
    <row r="3939">
      <c r="A3939">
        <f>HYPERLINK("http://bombeiros.sp.gov.br/hidrantes/03individual/28263.html","28263")</f>
      </c>
      <c r="B3939" t="s">
        <v>842</v>
      </c>
      <c r="C3939" t="s">
        <v>11956</v>
      </c>
      <c r="D3939" t="s">
        <v>11990</v>
      </c>
      <c r="E3939" t="s">
        <v>64</v>
      </c>
      <c r="F3939" t="s">
        <v>18376</v>
      </c>
      <c r="G3939"/>
      <c r="H3939"/>
      <c r="I3939" t="s">
        <v>1503</v>
      </c>
      <c r="J3939" t="s">
        <v>18377</v>
      </c>
      <c r="K3939" t="s">
        <v>18378</v>
      </c>
      <c r="L3939" t="s">
        <v>21</v>
      </c>
      <c r="M3939" t="s">
        <v>19177</v>
      </c>
      <c r="N3939" t="s">
        <v>1024</v>
      </c>
      <c r="O3939" t="s">
        <v>1024</v>
      </c>
      <c r="P3939" t="s">
        <v>842</v>
      </c>
    </row>
    <row r="3940">
      <c r="A3940">
        <f>HYPERLINK("http://bombeiros.sp.gov.br/hidrantes/03individual/2354.html","2354")</f>
      </c>
      <c r="B3940" t="s">
        <v>842</v>
      </c>
      <c r="C3940" t="s">
        <v>11956</v>
      </c>
      <c r="D3940" t="s">
        <v>11990</v>
      </c>
      <c r="E3940" t="s">
        <v>15</v>
      </c>
      <c r="F3940" t="s">
        <v>12012</v>
      </c>
      <c r="G3940" t="s">
        <v>18139</v>
      </c>
      <c r="H3940" t="s">
        <v>1107</v>
      </c>
      <c r="I3940" t="s">
        <v>1108</v>
      </c>
      <c r="J3940" t="s">
        <v>12013</v>
      </c>
      <c r="K3940" t="s">
        <v>12014</v>
      </c>
      <c r="L3940" t="s">
        <v>21</v>
      </c>
      <c r="M3940" t="s">
        <v>19177</v>
      </c>
      <c r="N3940" t="s">
        <v>1024</v>
      </c>
      <c r="O3940" t="s">
        <v>1024</v>
      </c>
      <c r="P3940" t="s">
        <v>842</v>
      </c>
    </row>
    <row r="3941">
      <c r="A3941">
        <f>HYPERLINK("http://bombeiros.sp.gov.br/hidrantes/03individual/3748.html","3748")</f>
      </c>
      <c r="B3941" t="s">
        <v>842</v>
      </c>
      <c r="C3941" t="s">
        <v>11956</v>
      </c>
      <c r="D3941" t="s">
        <v>11990</v>
      </c>
      <c r="E3941" t="s">
        <v>15</v>
      </c>
      <c r="F3941" t="s">
        <v>12015</v>
      </c>
      <c r="G3941" t="s">
        <v>18119</v>
      </c>
      <c r="H3941" t="s">
        <v>1174</v>
      </c>
      <c r="I3941" t="s">
        <v>1108</v>
      </c>
      <c r="J3941" t="s">
        <v>12016</v>
      </c>
      <c r="K3941" t="s">
        <v>12017</v>
      </c>
      <c r="L3941" t="s">
        <v>21</v>
      </c>
      <c r="M3941" t="s">
        <v>19177</v>
      </c>
      <c r="N3941" t="s">
        <v>1024</v>
      </c>
      <c r="O3941" t="s">
        <v>1024</v>
      </c>
      <c r="P3941" t="s">
        <v>842</v>
      </c>
    </row>
    <row r="3942">
      <c r="A3942">
        <f>HYPERLINK("http://bombeiros.sp.gov.br/hidrantes/03individual/3758.html","3758")</f>
      </c>
      <c r="B3942" t="s">
        <v>842</v>
      </c>
      <c r="C3942" t="s">
        <v>11956</v>
      </c>
      <c r="D3942" t="s">
        <v>11990</v>
      </c>
      <c r="E3942" t="s">
        <v>15</v>
      </c>
      <c r="F3942" t="s">
        <v>12018</v>
      </c>
      <c r="G3942" t="s">
        <v>18139</v>
      </c>
      <c r="H3942" t="s">
        <v>1107</v>
      </c>
      <c r="I3942" t="s">
        <v>1108</v>
      </c>
      <c r="J3942" t="s">
        <v>12019</v>
      </c>
      <c r="K3942" t="s">
        <v>12020</v>
      </c>
      <c r="L3942" t="s">
        <v>21</v>
      </c>
      <c r="M3942" t="s">
        <v>19177</v>
      </c>
      <c r="N3942" t="s">
        <v>1024</v>
      </c>
      <c r="O3942" t="s">
        <v>1024</v>
      </c>
      <c r="P3942" t="s">
        <v>842</v>
      </c>
    </row>
    <row r="3943">
      <c r="A3943">
        <f>HYPERLINK("http://bombeiros.sp.gov.br/hidrantes/03individual/3759.html","3759")</f>
      </c>
      <c r="B3943" t="s">
        <v>842</v>
      </c>
      <c r="C3943" t="s">
        <v>11956</v>
      </c>
      <c r="D3943" t="s">
        <v>11990</v>
      </c>
      <c r="E3943" t="s">
        <v>15</v>
      </c>
      <c r="F3943" t="s">
        <v>12021</v>
      </c>
      <c r="G3943" t="s">
        <v>18139</v>
      </c>
      <c r="H3943" t="s">
        <v>1107</v>
      </c>
      <c r="I3943" t="s">
        <v>1108</v>
      </c>
      <c r="J3943" t="s">
        <v>12022</v>
      </c>
      <c r="K3943" t="s">
        <v>12023</v>
      </c>
      <c r="L3943" t="s">
        <v>21</v>
      </c>
      <c r="M3943" t="s">
        <v>19177</v>
      </c>
      <c r="N3943" t="s">
        <v>1024</v>
      </c>
      <c r="O3943" t="s">
        <v>1024</v>
      </c>
      <c r="P3943" t="s">
        <v>842</v>
      </c>
    </row>
    <row r="3944">
      <c r="A3944">
        <f>HYPERLINK("http://bombeiros.sp.gov.br/hidrantes/03individual/3760.html","3760")</f>
      </c>
      <c r="B3944" t="s">
        <v>842</v>
      </c>
      <c r="C3944" t="s">
        <v>11956</v>
      </c>
      <c r="D3944" t="s">
        <v>11990</v>
      </c>
      <c r="E3944" t="s">
        <v>15</v>
      </c>
      <c r="F3944" t="s">
        <v>12024</v>
      </c>
      <c r="G3944" t="s">
        <v>18272</v>
      </c>
      <c r="H3944" t="s">
        <v>1107</v>
      </c>
      <c r="I3944" t="s">
        <v>1108</v>
      </c>
      <c r="J3944" t="s">
        <v>12025</v>
      </c>
      <c r="K3944" t="s">
        <v>12026</v>
      </c>
      <c r="L3944" t="s">
        <v>21</v>
      </c>
      <c r="M3944" t="s">
        <v>19177</v>
      </c>
      <c r="N3944" t="s">
        <v>1024</v>
      </c>
      <c r="O3944" t="s">
        <v>1024</v>
      </c>
      <c r="P3944" t="s">
        <v>842</v>
      </c>
    </row>
    <row r="3945">
      <c r="A3945">
        <f>HYPERLINK("http://bombeiros.sp.gov.br/hidrantes/03individual/3792.html","3792")</f>
      </c>
      <c r="B3945" t="s">
        <v>842</v>
      </c>
      <c r="C3945" t="s">
        <v>11956</v>
      </c>
      <c r="D3945" t="s">
        <v>11990</v>
      </c>
      <c r="E3945" t="s">
        <v>15</v>
      </c>
      <c r="F3945" t="s">
        <v>12027</v>
      </c>
      <c r="G3945" t="s">
        <v>18139</v>
      </c>
      <c r="H3945" t="s">
        <v>1112</v>
      </c>
      <c r="I3945" t="s">
        <v>1108</v>
      </c>
      <c r="J3945" t="s">
        <v>12028</v>
      </c>
      <c r="K3945" t="s">
        <v>12029</v>
      </c>
      <c r="L3945" t="s">
        <v>21</v>
      </c>
      <c r="M3945" t="s">
        <v>19177</v>
      </c>
      <c r="N3945" t="s">
        <v>1024</v>
      </c>
      <c r="O3945" t="s">
        <v>1024</v>
      </c>
      <c r="P3945" t="s">
        <v>842</v>
      </c>
    </row>
    <row r="3946">
      <c r="A3946">
        <f>HYPERLINK("http://bombeiros.sp.gov.br/hidrantes/03individual/3796.html","3796")</f>
      </c>
      <c r="B3946" t="s">
        <v>842</v>
      </c>
      <c r="C3946" t="s">
        <v>11956</v>
      </c>
      <c r="D3946" t="s">
        <v>11990</v>
      </c>
      <c r="E3946" t="s">
        <v>15</v>
      </c>
      <c r="F3946" t="s">
        <v>12030</v>
      </c>
      <c r="G3946" t="s">
        <v>18139</v>
      </c>
      <c r="H3946" t="s">
        <v>1112</v>
      </c>
      <c r="I3946" t="s">
        <v>1108</v>
      </c>
      <c r="J3946" t="s">
        <v>12031</v>
      </c>
      <c r="K3946" t="s">
        <v>12032</v>
      </c>
      <c r="L3946" t="s">
        <v>21</v>
      </c>
      <c r="M3946" t="s">
        <v>19177</v>
      </c>
      <c r="N3946" t="s">
        <v>1024</v>
      </c>
      <c r="O3946" t="s">
        <v>1024</v>
      </c>
      <c r="P3946" t="s">
        <v>842</v>
      </c>
    </row>
    <row r="3947">
      <c r="A3947">
        <f>HYPERLINK("http://bombeiros.sp.gov.br/hidrantes/03individual/3801.html","3801")</f>
      </c>
      <c r="B3947" t="s">
        <v>842</v>
      </c>
      <c r="C3947" t="s">
        <v>11956</v>
      </c>
      <c r="D3947" t="s">
        <v>11990</v>
      </c>
      <c r="E3947" t="s">
        <v>15</v>
      </c>
      <c r="F3947" t="s">
        <v>12033</v>
      </c>
      <c r="G3947" t="s">
        <v>18131</v>
      </c>
      <c r="H3947" t="s">
        <v>1112</v>
      </c>
      <c r="I3947" t="s">
        <v>1108</v>
      </c>
      <c r="J3947" t="s">
        <v>12034</v>
      </c>
      <c r="K3947" t="s">
        <v>12035</v>
      </c>
      <c r="L3947" t="s">
        <v>21</v>
      </c>
      <c r="M3947" t="s">
        <v>19177</v>
      </c>
      <c r="N3947" t="s">
        <v>1024</v>
      </c>
      <c r="O3947" t="s">
        <v>1024</v>
      </c>
      <c r="P3947" t="s">
        <v>842</v>
      </c>
    </row>
    <row r="3948">
      <c r="A3948">
        <f>HYPERLINK("http://bombeiros.sp.gov.br/hidrantes/03individual/4071.html","4071")</f>
      </c>
      <c r="B3948" t="s">
        <v>842</v>
      </c>
      <c r="C3948" t="s">
        <v>11956</v>
      </c>
      <c r="D3948" t="s">
        <v>11990</v>
      </c>
      <c r="E3948" t="s">
        <v>15</v>
      </c>
      <c r="F3948" t="s">
        <v>12036</v>
      </c>
      <c r="G3948" t="s">
        <v>18147</v>
      </c>
      <c r="H3948" t="s">
        <v>1112</v>
      </c>
      <c r="I3948" t="s">
        <v>1108</v>
      </c>
      <c r="J3948" t="s">
        <v>12037</v>
      </c>
      <c r="K3948" t="s">
        <v>12038</v>
      </c>
      <c r="L3948" t="s">
        <v>21</v>
      </c>
      <c r="M3948" t="s">
        <v>19177</v>
      </c>
      <c r="N3948" t="s">
        <v>1024</v>
      </c>
      <c r="O3948" t="s">
        <v>1024</v>
      </c>
      <c r="P3948" t="s">
        <v>842</v>
      </c>
    </row>
    <row r="3949">
      <c r="A3949">
        <f>HYPERLINK("http://bombeiros.sp.gov.br/hidrantes/03individual/4214.html","4214")</f>
      </c>
      <c r="B3949" t="s">
        <v>842</v>
      </c>
      <c r="C3949" t="s">
        <v>11956</v>
      </c>
      <c r="D3949" t="s">
        <v>11990</v>
      </c>
      <c r="E3949" t="s">
        <v>15</v>
      </c>
      <c r="F3949" t="s">
        <v>12039</v>
      </c>
      <c r="G3949" t="s">
        <v>18139</v>
      </c>
      <c r="H3949" t="s">
        <v>1107</v>
      </c>
      <c r="I3949" t="s">
        <v>1108</v>
      </c>
      <c r="J3949" t="s">
        <v>12040</v>
      </c>
      <c r="K3949" t="s">
        <v>12041</v>
      </c>
      <c r="L3949" t="s">
        <v>21</v>
      </c>
      <c r="M3949" t="s">
        <v>19177</v>
      </c>
      <c r="N3949" t="s">
        <v>1024</v>
      </c>
      <c r="O3949" t="s">
        <v>1024</v>
      </c>
      <c r="P3949" t="s">
        <v>842</v>
      </c>
    </row>
    <row r="3950">
      <c r="A3950">
        <f>HYPERLINK("http://bombeiros.sp.gov.br/hidrantes/03individual/4216.html","4216")</f>
      </c>
      <c r="B3950" t="s">
        <v>842</v>
      </c>
      <c r="C3950" t="s">
        <v>11956</v>
      </c>
      <c r="D3950" t="s">
        <v>11990</v>
      </c>
      <c r="E3950" t="s">
        <v>15</v>
      </c>
      <c r="F3950" t="s">
        <v>12042</v>
      </c>
      <c r="G3950" t="s">
        <v>18084</v>
      </c>
      <c r="H3950" t="s">
        <v>1174</v>
      </c>
      <c r="I3950" t="s">
        <v>1108</v>
      </c>
      <c r="J3950" t="s">
        <v>12043</v>
      </c>
      <c r="K3950" t="s">
        <v>12044</v>
      </c>
      <c r="L3950" t="s">
        <v>21</v>
      </c>
      <c r="M3950" t="s">
        <v>19177</v>
      </c>
      <c r="N3950" t="s">
        <v>1024</v>
      </c>
      <c r="O3950" t="s">
        <v>1024</v>
      </c>
      <c r="P3950" t="s">
        <v>842</v>
      </c>
    </row>
    <row r="3951">
      <c r="A3951">
        <f>HYPERLINK("http://bombeiros.sp.gov.br/hidrantes/03individual/4348.html","4348")</f>
      </c>
      <c r="B3951" t="s">
        <v>842</v>
      </c>
      <c r="C3951" t="s">
        <v>11956</v>
      </c>
      <c r="D3951" t="s">
        <v>11990</v>
      </c>
      <c r="E3951" t="s">
        <v>15</v>
      </c>
      <c r="F3951" t="s">
        <v>12045</v>
      </c>
      <c r="G3951" t="s">
        <v>18139</v>
      </c>
      <c r="H3951" t="s">
        <v>1107</v>
      </c>
      <c r="I3951" t="s">
        <v>1108</v>
      </c>
      <c r="J3951" t="s">
        <v>12046</v>
      </c>
      <c r="K3951" t="s">
        <v>12047</v>
      </c>
      <c r="L3951" t="s">
        <v>36</v>
      </c>
      <c r="M3951" t="s">
        <v>19177</v>
      </c>
      <c r="N3951" t="s">
        <v>1024</v>
      </c>
      <c r="O3951" t="s">
        <v>1024</v>
      </c>
      <c r="P3951" t="s">
        <v>842</v>
      </c>
    </row>
    <row r="3952">
      <c r="A3952">
        <f>HYPERLINK("http://bombeiros.sp.gov.br/hidrantes/03individual/4353.html","4353")</f>
      </c>
      <c r="B3952" t="s">
        <v>842</v>
      </c>
      <c r="C3952" t="s">
        <v>11956</v>
      </c>
      <c r="D3952" t="s">
        <v>11990</v>
      </c>
      <c r="E3952" t="s">
        <v>15</v>
      </c>
      <c r="F3952" t="s">
        <v>12048</v>
      </c>
      <c r="G3952" t="s">
        <v>18119</v>
      </c>
      <c r="H3952" t="s">
        <v>1107</v>
      </c>
      <c r="I3952" t="s">
        <v>1108</v>
      </c>
      <c r="J3952" t="s">
        <v>12049</v>
      </c>
      <c r="K3952" t="s">
        <v>12050</v>
      </c>
      <c r="L3952" t="s">
        <v>21</v>
      </c>
      <c r="M3952" t="s">
        <v>19177</v>
      </c>
      <c r="N3952" t="s">
        <v>1024</v>
      </c>
      <c r="O3952" t="s">
        <v>1024</v>
      </c>
      <c r="P3952" t="s">
        <v>842</v>
      </c>
    </row>
    <row r="3953">
      <c r="A3953">
        <f>HYPERLINK("http://bombeiros.sp.gov.br/hidrantes/03individual/4355.html","4355")</f>
      </c>
      <c r="B3953" t="s">
        <v>842</v>
      </c>
      <c r="C3953" t="s">
        <v>11956</v>
      </c>
      <c r="D3953" t="s">
        <v>11990</v>
      </c>
      <c r="E3953" t="s">
        <v>15</v>
      </c>
      <c r="F3953" t="s">
        <v>12051</v>
      </c>
      <c r="G3953" t="s">
        <v>18093</v>
      </c>
      <c r="H3953" t="s">
        <v>1112</v>
      </c>
      <c r="I3953" t="s">
        <v>1108</v>
      </c>
      <c r="J3953" t="s">
        <v>12052</v>
      </c>
      <c r="K3953" t="s">
        <v>12053</v>
      </c>
      <c r="L3953" t="s">
        <v>21</v>
      </c>
      <c r="M3953" t="s">
        <v>19177</v>
      </c>
      <c r="N3953" t="s">
        <v>1024</v>
      </c>
      <c r="O3953" t="s">
        <v>1024</v>
      </c>
      <c r="P3953" t="s">
        <v>842</v>
      </c>
    </row>
    <row r="3954">
      <c r="A3954">
        <f>HYPERLINK("http://bombeiros.sp.gov.br/hidrantes/03individual/27244.html","27244")</f>
      </c>
      <c r="B3954" t="s">
        <v>842</v>
      </c>
      <c r="C3954" t="s">
        <v>11956</v>
      </c>
      <c r="D3954" t="s">
        <v>11990</v>
      </c>
      <c r="E3954" t="s">
        <v>15</v>
      </c>
      <c r="F3954" t="s">
        <v>16999</v>
      </c>
      <c r="G3954" t="s">
        <v>18119</v>
      </c>
      <c r="H3954"/>
      <c r="I3954" t="s">
        <v>18</v>
      </c>
      <c r="J3954" t="s">
        <v>17000</v>
      </c>
      <c r="K3954" t="s">
        <v>17001</v>
      </c>
      <c r="L3954" t="s">
        <v>21</v>
      </c>
      <c r="M3954" t="s">
        <v>19177</v>
      </c>
      <c r="N3954" t="s">
        <v>1024</v>
      </c>
      <c r="O3954" t="s">
        <v>1024</v>
      </c>
      <c r="P3954" t="s">
        <v>842</v>
      </c>
    </row>
    <row r="3955">
      <c r="A3955">
        <f>HYPERLINK("http://bombeiros.sp.gov.br/hidrantes/03individual/27289.html","27289")</f>
      </c>
      <c r="B3955" t="s">
        <v>842</v>
      </c>
      <c r="C3955" t="s">
        <v>11956</v>
      </c>
      <c r="D3955" t="s">
        <v>11990</v>
      </c>
      <c r="E3955" t="s">
        <v>15</v>
      </c>
      <c r="F3955" t="s">
        <v>17051</v>
      </c>
      <c r="G3955" t="s">
        <v>18084</v>
      </c>
      <c r="H3955" t="s">
        <v>1112</v>
      </c>
      <c r="I3955" t="s">
        <v>1108</v>
      </c>
      <c r="J3955" t="s">
        <v>17052</v>
      </c>
      <c r="K3955" t="s">
        <v>17053</v>
      </c>
      <c r="L3955" t="s">
        <v>21</v>
      </c>
      <c r="M3955" t="s">
        <v>19177</v>
      </c>
      <c r="N3955" t="s">
        <v>1024</v>
      </c>
      <c r="O3955" t="s">
        <v>1024</v>
      </c>
      <c r="P3955" t="s">
        <v>842</v>
      </c>
    </row>
    <row r="3956">
      <c r="A3956">
        <f>HYPERLINK("http://bombeiros.sp.gov.br/hidrantes/03individual/2424.html","2424")</f>
      </c>
      <c r="B3956" t="s">
        <v>842</v>
      </c>
      <c r="C3956" t="s">
        <v>11956</v>
      </c>
      <c r="D3956" t="s">
        <v>12054</v>
      </c>
      <c r="E3956" t="s">
        <v>15</v>
      </c>
      <c r="F3956" t="s">
        <v>12055</v>
      </c>
      <c r="G3956" t="s">
        <v>18053</v>
      </c>
      <c r="H3956" t="s">
        <v>1112</v>
      </c>
      <c r="I3956" t="s">
        <v>1108</v>
      </c>
      <c r="J3956" t="s">
        <v>12056</v>
      </c>
      <c r="K3956" t="s">
        <v>12057</v>
      </c>
      <c r="L3956" t="s">
        <v>21</v>
      </c>
      <c r="M3956" t="s">
        <v>19177</v>
      </c>
      <c r="N3956" t="s">
        <v>1024</v>
      </c>
      <c r="O3956" t="s">
        <v>1024</v>
      </c>
      <c r="P3956" t="s">
        <v>842</v>
      </c>
    </row>
    <row r="3957">
      <c r="A3957">
        <f>HYPERLINK("http://bombeiros.sp.gov.br/hidrantes/03individual/17870.html","17870")</f>
      </c>
      <c r="B3957" t="s">
        <v>842</v>
      </c>
      <c r="C3957" t="s">
        <v>11956</v>
      </c>
      <c r="D3957" t="s">
        <v>12054</v>
      </c>
      <c r="E3957" t="s">
        <v>15</v>
      </c>
      <c r="F3957" t="s">
        <v>16450</v>
      </c>
      <c r="G3957" t="s">
        <v>18093</v>
      </c>
      <c r="H3957" t="s">
        <v>1112</v>
      </c>
      <c r="I3957" t="s">
        <v>1108</v>
      </c>
      <c r="J3957" t="s">
        <v>16451</v>
      </c>
      <c r="K3957" t="s">
        <v>16452</v>
      </c>
      <c r="L3957" t="s">
        <v>21</v>
      </c>
      <c r="M3957" t="s">
        <v>19177</v>
      </c>
      <c r="N3957" t="s">
        <v>1024</v>
      </c>
      <c r="O3957" t="s">
        <v>1024</v>
      </c>
      <c r="P3957" t="s">
        <v>842</v>
      </c>
    </row>
    <row r="3958">
      <c r="A3958">
        <f>HYPERLINK("http://bombeiros.sp.gov.br/hidrantes/03individual/2388.html","2388")</f>
      </c>
      <c r="B3958" t="s">
        <v>842</v>
      </c>
      <c r="C3958" t="s">
        <v>11956</v>
      </c>
      <c r="D3958" t="s">
        <v>12061</v>
      </c>
      <c r="E3958" t="s">
        <v>64</v>
      </c>
      <c r="F3958" t="s">
        <v>12062</v>
      </c>
      <c r="G3958" t="s">
        <v>18053</v>
      </c>
      <c r="H3958" t="s">
        <v>1112</v>
      </c>
      <c r="I3958" t="s">
        <v>1108</v>
      </c>
      <c r="J3958" t="s">
        <v>12063</v>
      </c>
      <c r="K3958" t="s">
        <v>12064</v>
      </c>
      <c r="L3958" t="s">
        <v>36</v>
      </c>
      <c r="M3958" t="s">
        <v>19177</v>
      </c>
      <c r="N3958" t="s">
        <v>1024</v>
      </c>
      <c r="O3958" t="s">
        <v>1024</v>
      </c>
      <c r="P3958" t="s">
        <v>842</v>
      </c>
    </row>
    <row r="3959">
      <c r="A3959">
        <f>HYPERLINK("http://bombeiros.sp.gov.br/hidrantes/03individual/6730.html","6730")</f>
      </c>
      <c r="B3959" t="s">
        <v>842</v>
      </c>
      <c r="C3959" t="s">
        <v>11956</v>
      </c>
      <c r="D3959" t="s">
        <v>12061</v>
      </c>
      <c r="E3959" t="s">
        <v>64</v>
      </c>
      <c r="F3959" t="s">
        <v>12065</v>
      </c>
      <c r="G3959" t="s">
        <v>17584</v>
      </c>
      <c r="H3959" t="s">
        <v>1112</v>
      </c>
      <c r="I3959" t="s">
        <v>1108</v>
      </c>
      <c r="J3959" t="s">
        <v>12066</v>
      </c>
      <c r="K3959" t="s">
        <v>12067</v>
      </c>
      <c r="L3959" t="s">
        <v>21</v>
      </c>
      <c r="M3959" t="s">
        <v>19177</v>
      </c>
      <c r="N3959" t="s">
        <v>1024</v>
      </c>
      <c r="O3959" t="s">
        <v>1024</v>
      </c>
      <c r="P3959" t="s">
        <v>842</v>
      </c>
    </row>
    <row r="3960">
      <c r="A3960">
        <f>HYPERLINK("http://bombeiros.sp.gov.br/hidrantes/03individual/6739.html","6739")</f>
      </c>
      <c r="B3960" t="s">
        <v>842</v>
      </c>
      <c r="C3960" t="s">
        <v>11956</v>
      </c>
      <c r="D3960" t="s">
        <v>12061</v>
      </c>
      <c r="E3960" t="s">
        <v>64</v>
      </c>
      <c r="F3960" t="s">
        <v>12068</v>
      </c>
      <c r="G3960" t="s">
        <v>18240</v>
      </c>
      <c r="H3960" t="s">
        <v>1112</v>
      </c>
      <c r="I3960" t="s">
        <v>1108</v>
      </c>
      <c r="J3960" t="s">
        <v>12069</v>
      </c>
      <c r="K3960" t="s">
        <v>12070</v>
      </c>
      <c r="L3960" t="s">
        <v>21</v>
      </c>
      <c r="M3960" t="s">
        <v>19177</v>
      </c>
      <c r="N3960" t="s">
        <v>1024</v>
      </c>
      <c r="O3960" t="s">
        <v>1024</v>
      </c>
      <c r="P3960" t="s">
        <v>842</v>
      </c>
    </row>
    <row r="3961">
      <c r="A3961">
        <f>HYPERLINK("http://bombeiros.sp.gov.br/hidrantes/03individual/26283.html","26283")</f>
      </c>
      <c r="B3961" t="s">
        <v>842</v>
      </c>
      <c r="C3961" t="s">
        <v>11956</v>
      </c>
      <c r="D3961" t="s">
        <v>12061</v>
      </c>
      <c r="E3961" t="s">
        <v>64</v>
      </c>
      <c r="F3961" t="s">
        <v>12071</v>
      </c>
      <c r="G3961" t="s">
        <v>18240</v>
      </c>
      <c r="H3961" t="s">
        <v>1112</v>
      </c>
      <c r="I3961" t="s">
        <v>1108</v>
      </c>
      <c r="J3961" t="s">
        <v>12072</v>
      </c>
      <c r="K3961" t="s">
        <v>12073</v>
      </c>
      <c r="L3961" t="s">
        <v>21</v>
      </c>
      <c r="M3961" t="s">
        <v>19177</v>
      </c>
      <c r="N3961" t="s">
        <v>1024</v>
      </c>
      <c r="O3961" t="s">
        <v>1024</v>
      </c>
      <c r="P3961" t="s">
        <v>842</v>
      </c>
    </row>
    <row r="3962">
      <c r="A3962">
        <f>HYPERLINK("http://bombeiros.sp.gov.br/hidrantes/03individual/2400.html","2400")</f>
      </c>
      <c r="B3962" t="s">
        <v>842</v>
      </c>
      <c r="C3962" t="s">
        <v>11956</v>
      </c>
      <c r="D3962" t="s">
        <v>12061</v>
      </c>
      <c r="E3962" t="s">
        <v>15</v>
      </c>
      <c r="F3962" t="s">
        <v>12074</v>
      </c>
      <c r="G3962" t="s">
        <v>18272</v>
      </c>
      <c r="H3962" t="s">
        <v>1107</v>
      </c>
      <c r="I3962" t="s">
        <v>1108</v>
      </c>
      <c r="J3962" t="s">
        <v>12075</v>
      </c>
      <c r="K3962" t="s">
        <v>12076</v>
      </c>
      <c r="L3962" t="s">
        <v>21</v>
      </c>
      <c r="M3962" t="s">
        <v>19177</v>
      </c>
      <c r="N3962" t="s">
        <v>1024</v>
      </c>
      <c r="O3962" t="s">
        <v>1024</v>
      </c>
      <c r="P3962" t="s">
        <v>842</v>
      </c>
    </row>
    <row r="3963">
      <c r="A3963">
        <f>HYPERLINK("http://bombeiros.sp.gov.br/hidrantes/03individual/2420.html","2420")</f>
      </c>
      <c r="B3963" t="s">
        <v>842</v>
      </c>
      <c r="C3963" t="s">
        <v>11956</v>
      </c>
      <c r="D3963" t="s">
        <v>12061</v>
      </c>
      <c r="E3963" t="s">
        <v>15</v>
      </c>
      <c r="F3963" t="s">
        <v>12077</v>
      </c>
      <c r="G3963" t="s">
        <v>18105</v>
      </c>
      <c r="H3963" t="s">
        <v>1112</v>
      </c>
      <c r="I3963" t="s">
        <v>1108</v>
      </c>
      <c r="J3963" t="s">
        <v>12078</v>
      </c>
      <c r="K3963" t="s">
        <v>12079</v>
      </c>
      <c r="L3963" t="s">
        <v>21</v>
      </c>
      <c r="M3963" t="s">
        <v>19177</v>
      </c>
      <c r="N3963" t="s">
        <v>1024</v>
      </c>
      <c r="O3963" t="s">
        <v>1024</v>
      </c>
      <c r="P3963" t="s">
        <v>842</v>
      </c>
    </row>
    <row r="3964">
      <c r="A3964">
        <f>HYPERLINK("http://bombeiros.sp.gov.br/hidrantes/03individual/2426.html","2426")</f>
      </c>
      <c r="B3964" t="s">
        <v>842</v>
      </c>
      <c r="C3964" t="s">
        <v>11956</v>
      </c>
      <c r="D3964" t="s">
        <v>12061</v>
      </c>
      <c r="E3964" t="s">
        <v>15</v>
      </c>
      <c r="F3964" t="s">
        <v>12080</v>
      </c>
      <c r="G3964" t="s">
        <v>18126</v>
      </c>
      <c r="H3964" t="s">
        <v>1107</v>
      </c>
      <c r="I3964" t="s">
        <v>1108</v>
      </c>
      <c r="J3964" t="s">
        <v>12081</v>
      </c>
      <c r="K3964" t="s">
        <v>12082</v>
      </c>
      <c r="L3964" t="s">
        <v>21</v>
      </c>
      <c r="M3964" t="s">
        <v>19177</v>
      </c>
      <c r="N3964" t="s">
        <v>1024</v>
      </c>
      <c r="O3964" t="s">
        <v>1024</v>
      </c>
      <c r="P3964" t="s">
        <v>842</v>
      </c>
    </row>
    <row r="3965">
      <c r="A3965">
        <f>HYPERLINK("http://bombeiros.sp.gov.br/hidrantes/03individual/3786.html","3786")</f>
      </c>
      <c r="B3965" t="s">
        <v>842</v>
      </c>
      <c r="C3965" t="s">
        <v>11956</v>
      </c>
      <c r="D3965" t="s">
        <v>12061</v>
      </c>
      <c r="E3965" t="s">
        <v>15</v>
      </c>
      <c r="F3965" t="s">
        <v>12083</v>
      </c>
      <c r="G3965" t="s">
        <v>18273</v>
      </c>
      <c r="H3965" t="s">
        <v>1174</v>
      </c>
      <c r="I3965" t="s">
        <v>1108</v>
      </c>
      <c r="J3965" t="s">
        <v>12084</v>
      </c>
      <c r="K3965" t="s">
        <v>12085</v>
      </c>
      <c r="L3965" t="s">
        <v>21</v>
      </c>
      <c r="M3965" t="s">
        <v>19177</v>
      </c>
      <c r="N3965" t="s">
        <v>1024</v>
      </c>
      <c r="O3965" t="s">
        <v>1024</v>
      </c>
      <c r="P3965" t="s">
        <v>842</v>
      </c>
    </row>
    <row r="3966">
      <c r="A3966">
        <f>HYPERLINK("http://bombeiros.sp.gov.br/hidrantes/03individual/3790.html","3790")</f>
      </c>
      <c r="B3966" t="s">
        <v>842</v>
      </c>
      <c r="C3966" t="s">
        <v>11956</v>
      </c>
      <c r="D3966" t="s">
        <v>12061</v>
      </c>
      <c r="E3966" t="s">
        <v>15</v>
      </c>
      <c r="F3966" t="s">
        <v>12086</v>
      </c>
      <c r="G3966" t="s">
        <v>18145</v>
      </c>
      <c r="H3966" t="s">
        <v>1174</v>
      </c>
      <c r="I3966" t="s">
        <v>1117</v>
      </c>
      <c r="J3966" t="s">
        <v>12087</v>
      </c>
      <c r="K3966" t="s">
        <v>12088</v>
      </c>
      <c r="L3966" t="s">
        <v>21</v>
      </c>
      <c r="M3966" t="s">
        <v>19177</v>
      </c>
      <c r="N3966" t="s">
        <v>1024</v>
      </c>
      <c r="O3966" t="s">
        <v>1024</v>
      </c>
      <c r="P3966" t="s">
        <v>842</v>
      </c>
    </row>
    <row r="3967">
      <c r="A3967">
        <f>HYPERLINK("http://bombeiros.sp.gov.br/hidrantes/03individual/3832.html","3832")</f>
      </c>
      <c r="B3967" t="s">
        <v>842</v>
      </c>
      <c r="C3967" t="s">
        <v>11956</v>
      </c>
      <c r="D3967" t="s">
        <v>12061</v>
      </c>
      <c r="E3967" t="s">
        <v>15</v>
      </c>
      <c r="F3967" t="s">
        <v>12089</v>
      </c>
      <c r="G3967" t="s">
        <v>17597</v>
      </c>
      <c r="H3967" t="s">
        <v>1112</v>
      </c>
      <c r="I3967" t="s">
        <v>1108</v>
      </c>
      <c r="J3967" t="s">
        <v>12090</v>
      </c>
      <c r="K3967" t="s">
        <v>12091</v>
      </c>
      <c r="L3967" t="s">
        <v>21</v>
      </c>
      <c r="M3967" t="s">
        <v>19177</v>
      </c>
      <c r="N3967" t="s">
        <v>1024</v>
      </c>
      <c r="O3967" t="s">
        <v>1024</v>
      </c>
      <c r="P3967" t="s">
        <v>842</v>
      </c>
    </row>
    <row r="3968">
      <c r="A3968">
        <f>HYPERLINK("http://bombeiros.sp.gov.br/hidrantes/03individual/4217.html","4217")</f>
      </c>
      <c r="B3968" t="s">
        <v>842</v>
      </c>
      <c r="C3968" t="s">
        <v>11956</v>
      </c>
      <c r="D3968" t="s">
        <v>12061</v>
      </c>
      <c r="E3968" t="s">
        <v>15</v>
      </c>
      <c r="F3968" t="s">
        <v>12092</v>
      </c>
      <c r="G3968" t="s">
        <v>17920</v>
      </c>
      <c r="H3968" t="s">
        <v>1107</v>
      </c>
      <c r="I3968" t="s">
        <v>1108</v>
      </c>
      <c r="J3968" t="s">
        <v>12093</v>
      </c>
      <c r="K3968" t="s">
        <v>12094</v>
      </c>
      <c r="L3968" t="s">
        <v>21</v>
      </c>
      <c r="M3968" t="s">
        <v>19177</v>
      </c>
      <c r="N3968" t="s">
        <v>1024</v>
      </c>
      <c r="O3968" t="s">
        <v>1024</v>
      </c>
      <c r="P3968" t="s">
        <v>842</v>
      </c>
    </row>
    <row r="3969">
      <c r="A3969">
        <f>HYPERLINK("http://bombeiros.sp.gov.br/hidrantes/03individual/4218.html","4218")</f>
      </c>
      <c r="B3969" t="s">
        <v>842</v>
      </c>
      <c r="C3969" t="s">
        <v>11956</v>
      </c>
      <c r="D3969" t="s">
        <v>12061</v>
      </c>
      <c r="E3969" t="s">
        <v>15</v>
      </c>
      <c r="F3969" t="s">
        <v>12095</v>
      </c>
      <c r="G3969" t="s">
        <v>18126</v>
      </c>
      <c r="H3969" t="s">
        <v>1107</v>
      </c>
      <c r="I3969" t="s">
        <v>1108</v>
      </c>
      <c r="J3969" t="s">
        <v>12096</v>
      </c>
      <c r="K3969" t="s">
        <v>12097</v>
      </c>
      <c r="L3969" t="s">
        <v>21</v>
      </c>
      <c r="M3969" t="s">
        <v>19177</v>
      </c>
      <c r="N3969" t="s">
        <v>1024</v>
      </c>
      <c r="O3969" t="s">
        <v>1024</v>
      </c>
      <c r="P3969" t="s">
        <v>842</v>
      </c>
    </row>
    <row r="3970">
      <c r="A3970">
        <f>HYPERLINK("http://bombeiros.sp.gov.br/hidrantes/03individual/4357.html","4357")</f>
      </c>
      <c r="B3970" t="s">
        <v>842</v>
      </c>
      <c r="C3970" t="s">
        <v>11956</v>
      </c>
      <c r="D3970" t="s">
        <v>12061</v>
      </c>
      <c r="E3970" t="s">
        <v>15</v>
      </c>
      <c r="F3970" t="s">
        <v>12098</v>
      </c>
      <c r="G3970" t="s">
        <v>18240</v>
      </c>
      <c r="H3970" t="s">
        <v>1174</v>
      </c>
      <c r="I3970" t="s">
        <v>1108</v>
      </c>
      <c r="J3970" t="s">
        <v>12099</v>
      </c>
      <c r="K3970" t="s">
        <v>12100</v>
      </c>
      <c r="L3970" t="s">
        <v>21</v>
      </c>
      <c r="M3970" t="s">
        <v>19177</v>
      </c>
      <c r="N3970" t="s">
        <v>1024</v>
      </c>
      <c r="O3970" t="s">
        <v>1024</v>
      </c>
      <c r="P3970" t="s">
        <v>842</v>
      </c>
    </row>
    <row r="3971">
      <c r="A3971">
        <f>HYPERLINK("http://bombeiros.sp.gov.br/hidrantes/03individual/6727.html","6727")</f>
      </c>
      <c r="B3971" t="s">
        <v>842</v>
      </c>
      <c r="C3971" t="s">
        <v>11956</v>
      </c>
      <c r="D3971" t="s">
        <v>12061</v>
      </c>
      <c r="E3971" t="s">
        <v>15</v>
      </c>
      <c r="F3971" t="s">
        <v>12101</v>
      </c>
      <c r="G3971" t="s">
        <v>18126</v>
      </c>
      <c r="H3971" t="s">
        <v>1107</v>
      </c>
      <c r="I3971" t="s">
        <v>1108</v>
      </c>
      <c r="J3971" t="s">
        <v>12102</v>
      </c>
      <c r="K3971" t="s">
        <v>12103</v>
      </c>
      <c r="L3971" t="s">
        <v>21</v>
      </c>
      <c r="M3971" t="s">
        <v>19177</v>
      </c>
      <c r="N3971" t="s">
        <v>1024</v>
      </c>
      <c r="O3971" t="s">
        <v>1024</v>
      </c>
      <c r="P3971" t="s">
        <v>842</v>
      </c>
    </row>
    <row r="3972">
      <c r="A3972">
        <f>HYPERLINK("http://bombeiros.sp.gov.br/hidrantes/03individual/6729.html","6729")</f>
      </c>
      <c r="B3972" t="s">
        <v>842</v>
      </c>
      <c r="C3972" t="s">
        <v>11956</v>
      </c>
      <c r="D3972" t="s">
        <v>12061</v>
      </c>
      <c r="E3972" t="s">
        <v>15</v>
      </c>
      <c r="F3972" t="s">
        <v>12104</v>
      </c>
      <c r="G3972" t="s">
        <v>18214</v>
      </c>
      <c r="H3972" t="s">
        <v>1174</v>
      </c>
      <c r="I3972" t="s">
        <v>1117</v>
      </c>
      <c r="J3972" t="s">
        <v>12105</v>
      </c>
      <c r="K3972" t="s">
        <v>12106</v>
      </c>
      <c r="L3972" t="s">
        <v>21</v>
      </c>
      <c r="M3972" t="s">
        <v>19177</v>
      </c>
      <c r="N3972" t="s">
        <v>1024</v>
      </c>
      <c r="O3972" t="s">
        <v>1024</v>
      </c>
      <c r="P3972" t="s">
        <v>842</v>
      </c>
    </row>
    <row r="3973">
      <c r="A3973">
        <f>HYPERLINK("http://bombeiros.sp.gov.br/hidrantes/03individual/6733.html","6733")</f>
      </c>
      <c r="B3973" t="s">
        <v>842</v>
      </c>
      <c r="C3973" t="s">
        <v>11956</v>
      </c>
      <c r="D3973" t="s">
        <v>12061</v>
      </c>
      <c r="E3973" t="s">
        <v>15</v>
      </c>
      <c r="F3973" t="s">
        <v>12107</v>
      </c>
      <c r="G3973" t="s">
        <v>18214</v>
      </c>
      <c r="H3973" t="s">
        <v>1112</v>
      </c>
      <c r="I3973" t="s">
        <v>1108</v>
      </c>
      <c r="J3973" t="s">
        <v>12108</v>
      </c>
      <c r="K3973" t="s">
        <v>12109</v>
      </c>
      <c r="L3973" t="s">
        <v>21</v>
      </c>
      <c r="M3973" t="s">
        <v>19177</v>
      </c>
      <c r="N3973" t="s">
        <v>1024</v>
      </c>
      <c r="O3973" t="s">
        <v>1024</v>
      </c>
      <c r="P3973" t="s">
        <v>842</v>
      </c>
    </row>
    <row r="3974">
      <c r="A3974">
        <f>HYPERLINK("http://bombeiros.sp.gov.br/hidrantes/03individual/17848.html","17848")</f>
      </c>
      <c r="B3974" t="s">
        <v>842</v>
      </c>
      <c r="C3974" t="s">
        <v>11956</v>
      </c>
      <c r="D3974" t="s">
        <v>12061</v>
      </c>
      <c r="E3974" t="s">
        <v>15</v>
      </c>
      <c r="F3974" t="s">
        <v>12110</v>
      </c>
      <c r="G3974" t="s">
        <v>18240</v>
      </c>
      <c r="H3974" t="s">
        <v>1107</v>
      </c>
      <c r="I3974" t="s">
        <v>1108</v>
      </c>
      <c r="J3974" t="s">
        <v>12111</v>
      </c>
      <c r="K3974" t="s">
        <v>12112</v>
      </c>
      <c r="L3974" t="s">
        <v>21</v>
      </c>
      <c r="M3974" t="s">
        <v>19177</v>
      </c>
      <c r="N3974" t="s">
        <v>1024</v>
      </c>
      <c r="O3974" t="s">
        <v>1024</v>
      </c>
      <c r="P3974" t="s">
        <v>842</v>
      </c>
    </row>
    <row r="3975">
      <c r="A3975">
        <f>HYPERLINK("http://bombeiros.sp.gov.br/hidrantes/03individual/26788.html","26788")</f>
      </c>
      <c r="B3975" t="s">
        <v>842</v>
      </c>
      <c r="C3975" t="s">
        <v>843</v>
      </c>
      <c r="D3975" t="s">
        <v>12113</v>
      </c>
      <c r="E3975" t="s">
        <v>64</v>
      </c>
      <c r="F3975" t="s">
        <v>15812</v>
      </c>
      <c r="G3975" t="s">
        <v>17921</v>
      </c>
      <c r="H3975" t="s">
        <v>1112</v>
      </c>
      <c r="I3975" t="s">
        <v>1108</v>
      </c>
      <c r="J3975" t="s">
        <v>15813</v>
      </c>
      <c r="K3975" t="s">
        <v>15814</v>
      </c>
      <c r="L3975" t="s">
        <v>21</v>
      </c>
      <c r="M3975" t="s">
        <v>19177</v>
      </c>
      <c r="N3975" t="s">
        <v>848</v>
      </c>
      <c r="O3975" t="s">
        <v>640</v>
      </c>
      <c r="P3975" t="s">
        <v>623</v>
      </c>
    </row>
    <row r="3976">
      <c r="A3976">
        <f>HYPERLINK("http://bombeiros.sp.gov.br/hidrantes/03individual/27304.html","27304")</f>
      </c>
      <c r="B3976" t="s">
        <v>842</v>
      </c>
      <c r="C3976" t="s">
        <v>843</v>
      </c>
      <c r="D3976" t="s">
        <v>12113</v>
      </c>
      <c r="E3976" t="s">
        <v>64</v>
      </c>
      <c r="F3976" t="s">
        <v>17099</v>
      </c>
      <c r="G3976" t="s">
        <v>17921</v>
      </c>
      <c r="H3976" t="s">
        <v>1112</v>
      </c>
      <c r="I3976" t="s">
        <v>1108</v>
      </c>
      <c r="J3976" t="s">
        <v>18379</v>
      </c>
      <c r="K3976" t="s">
        <v>17101</v>
      </c>
      <c r="L3976" t="s">
        <v>21</v>
      </c>
      <c r="M3976" t="s">
        <v>19177</v>
      </c>
      <c r="N3976" t="s">
        <v>848</v>
      </c>
      <c r="O3976" t="s">
        <v>640</v>
      </c>
      <c r="P3976" t="s">
        <v>623</v>
      </c>
    </row>
    <row r="3977">
      <c r="A3977">
        <f>HYPERLINK("http://bombeiros.sp.gov.br/hidrantes/03individual/27676.html","27676")</f>
      </c>
      <c r="B3977" t="s">
        <v>842</v>
      </c>
      <c r="C3977" t="s">
        <v>843</v>
      </c>
      <c r="D3977" t="s">
        <v>12113</v>
      </c>
      <c r="E3977" t="s">
        <v>64</v>
      </c>
      <c r="F3977" t="s">
        <v>17629</v>
      </c>
      <c r="G3977" t="s">
        <v>17921</v>
      </c>
      <c r="H3977" t="s">
        <v>1107</v>
      </c>
      <c r="I3977" t="s">
        <v>1108</v>
      </c>
      <c r="J3977" t="s">
        <v>17630</v>
      </c>
      <c r="K3977" t="s">
        <v>17631</v>
      </c>
      <c r="L3977" t="s">
        <v>21</v>
      </c>
      <c r="M3977" t="s">
        <v>19177</v>
      </c>
      <c r="N3977" t="s">
        <v>848</v>
      </c>
      <c r="O3977" t="s">
        <v>640</v>
      </c>
      <c r="P3977" t="s">
        <v>623</v>
      </c>
    </row>
    <row r="3978">
      <c r="A3978">
        <f>HYPERLINK("http://bombeiros.sp.gov.br/hidrantes/03individual/4399.html","4399")</f>
      </c>
      <c r="B3978" t="s">
        <v>842</v>
      </c>
      <c r="C3978" t="s">
        <v>843</v>
      </c>
      <c r="D3978" t="s">
        <v>12113</v>
      </c>
      <c r="E3978" t="s">
        <v>15</v>
      </c>
      <c r="F3978" t="s">
        <v>12114</v>
      </c>
      <c r="G3978" t="s">
        <v>18211</v>
      </c>
      <c r="H3978" t="s">
        <v>1174</v>
      </c>
      <c r="I3978" t="s">
        <v>1117</v>
      </c>
      <c r="J3978" t="s">
        <v>12115</v>
      </c>
      <c r="K3978" t="s">
        <v>12116</v>
      </c>
      <c r="L3978" t="s">
        <v>21</v>
      </c>
      <c r="M3978" t="s">
        <v>19177</v>
      </c>
      <c r="N3978" t="s">
        <v>848</v>
      </c>
      <c r="O3978" t="s">
        <v>640</v>
      </c>
      <c r="P3978" t="s">
        <v>623</v>
      </c>
    </row>
    <row r="3979">
      <c r="A3979">
        <f>HYPERLINK("http://bombeiros.sp.gov.br/hidrantes/03individual/17692.html","17692")</f>
      </c>
      <c r="B3979" t="s">
        <v>842</v>
      </c>
      <c r="C3979" t="s">
        <v>843</v>
      </c>
      <c r="D3979" t="s">
        <v>12113</v>
      </c>
      <c r="E3979" t="s">
        <v>15</v>
      </c>
      <c r="F3979" t="s">
        <v>12117</v>
      </c>
      <c r="G3979" t="s">
        <v>17915</v>
      </c>
      <c r="H3979" t="s">
        <v>1112</v>
      </c>
      <c r="I3979" t="s">
        <v>1108</v>
      </c>
      <c r="J3979" t="s">
        <v>12118</v>
      </c>
      <c r="K3979" t="s">
        <v>12119</v>
      </c>
      <c r="L3979" t="s">
        <v>21</v>
      </c>
      <c r="M3979" t="s">
        <v>19177</v>
      </c>
      <c r="N3979" t="s">
        <v>848</v>
      </c>
      <c r="O3979" t="s">
        <v>640</v>
      </c>
      <c r="P3979" t="s">
        <v>623</v>
      </c>
    </row>
    <row r="3980">
      <c r="A3980">
        <f>HYPERLINK("http://bombeiros.sp.gov.br/hidrantes/03individual/26789.html","26789")</f>
      </c>
      <c r="B3980" t="s">
        <v>842</v>
      </c>
      <c r="C3980" t="s">
        <v>843</v>
      </c>
      <c r="D3980" t="s">
        <v>12113</v>
      </c>
      <c r="E3980" t="s">
        <v>15</v>
      </c>
      <c r="F3980" t="s">
        <v>15815</v>
      </c>
      <c r="G3980" t="s">
        <v>18211</v>
      </c>
      <c r="H3980" t="s">
        <v>1121</v>
      </c>
      <c r="I3980" t="s">
        <v>1117</v>
      </c>
      <c r="J3980" t="s">
        <v>15816</v>
      </c>
      <c r="K3980" t="s">
        <v>15817</v>
      </c>
      <c r="L3980" t="s">
        <v>21</v>
      </c>
      <c r="M3980" t="s">
        <v>19177</v>
      </c>
      <c r="N3980" t="s">
        <v>848</v>
      </c>
      <c r="O3980" t="s">
        <v>640</v>
      </c>
      <c r="P3980" t="s">
        <v>623</v>
      </c>
    </row>
    <row r="3981">
      <c r="A3981">
        <f>HYPERLINK("http://bombeiros.sp.gov.br/hidrantes/03individual/4020.html","4020")</f>
      </c>
      <c r="B3981" t="s">
        <v>842</v>
      </c>
      <c r="C3981" t="s">
        <v>843</v>
      </c>
      <c r="D3981" t="s">
        <v>12120</v>
      </c>
      <c r="E3981" t="s">
        <v>64</v>
      </c>
      <c r="F3981" t="s">
        <v>12121</v>
      </c>
      <c r="G3981" t="s">
        <v>18132</v>
      </c>
      <c r="H3981" t="s">
        <v>1112</v>
      </c>
      <c r="I3981" t="s">
        <v>1108</v>
      </c>
      <c r="J3981" t="s">
        <v>12122</v>
      </c>
      <c r="K3981" t="s">
        <v>12123</v>
      </c>
      <c r="L3981" t="s">
        <v>21</v>
      </c>
      <c r="M3981" t="s">
        <v>19177</v>
      </c>
      <c r="N3981" t="s">
        <v>848</v>
      </c>
      <c r="O3981" t="s">
        <v>640</v>
      </c>
      <c r="P3981" t="s">
        <v>623</v>
      </c>
    </row>
    <row r="3982">
      <c r="A3982">
        <f>HYPERLINK("http://bombeiros.sp.gov.br/hidrantes/03individual/4021.html","4021")</f>
      </c>
      <c r="B3982" t="s">
        <v>842</v>
      </c>
      <c r="C3982" t="s">
        <v>843</v>
      </c>
      <c r="D3982" t="s">
        <v>12120</v>
      </c>
      <c r="E3982" t="s">
        <v>64</v>
      </c>
      <c r="F3982" t="s">
        <v>12124</v>
      </c>
      <c r="G3982" t="s">
        <v>18132</v>
      </c>
      <c r="H3982" t="s">
        <v>1112</v>
      </c>
      <c r="I3982" t="s">
        <v>1108</v>
      </c>
      <c r="J3982" t="s">
        <v>12125</v>
      </c>
      <c r="K3982" t="s">
        <v>12126</v>
      </c>
      <c r="L3982" t="s">
        <v>21</v>
      </c>
      <c r="M3982" t="s">
        <v>19177</v>
      </c>
      <c r="N3982" t="s">
        <v>848</v>
      </c>
      <c r="O3982" t="s">
        <v>640</v>
      </c>
      <c r="P3982" t="s">
        <v>623</v>
      </c>
    </row>
    <row r="3983">
      <c r="A3983">
        <f>HYPERLINK("http://bombeiros.sp.gov.br/hidrantes/03individual/27025.html","27025")</f>
      </c>
      <c r="B3983" t="s">
        <v>842</v>
      </c>
      <c r="C3983" t="s">
        <v>843</v>
      </c>
      <c r="D3983" t="s">
        <v>12120</v>
      </c>
      <c r="E3983" t="s">
        <v>64</v>
      </c>
      <c r="F3983" t="s">
        <v>16627</v>
      </c>
      <c r="G3983" t="s">
        <v>18051</v>
      </c>
      <c r="H3983" t="s">
        <v>1107</v>
      </c>
      <c r="I3983" t="s">
        <v>1108</v>
      </c>
      <c r="J3983" t="s">
        <v>16628</v>
      </c>
      <c r="K3983" t="s">
        <v>16629</v>
      </c>
      <c r="L3983" t="s">
        <v>21</v>
      </c>
      <c r="M3983" t="s">
        <v>19177</v>
      </c>
      <c r="N3983" t="s">
        <v>848</v>
      </c>
      <c r="O3983" t="s">
        <v>640</v>
      </c>
      <c r="P3983" t="s">
        <v>623</v>
      </c>
    </row>
    <row r="3984">
      <c r="A3984">
        <f>HYPERLINK("http://bombeiros.sp.gov.br/hidrantes/03individual/27026.html","27026")</f>
      </c>
      <c r="B3984" t="s">
        <v>842</v>
      </c>
      <c r="C3984" t="s">
        <v>843</v>
      </c>
      <c r="D3984" t="s">
        <v>12120</v>
      </c>
      <c r="E3984" t="s">
        <v>64</v>
      </c>
      <c r="F3984" t="s">
        <v>16630</v>
      </c>
      <c r="G3984" t="s">
        <v>18165</v>
      </c>
      <c r="H3984" t="s">
        <v>1112</v>
      </c>
      <c r="I3984" t="s">
        <v>1108</v>
      </c>
      <c r="J3984" t="s">
        <v>16631</v>
      </c>
      <c r="K3984" t="s">
        <v>16632</v>
      </c>
      <c r="L3984" t="s">
        <v>21</v>
      </c>
      <c r="M3984" t="s">
        <v>19177</v>
      </c>
      <c r="N3984" t="s">
        <v>848</v>
      </c>
      <c r="O3984" t="s">
        <v>640</v>
      </c>
      <c r="P3984" t="s">
        <v>623</v>
      </c>
    </row>
    <row r="3985">
      <c r="A3985">
        <f>HYPERLINK("http://bombeiros.sp.gov.br/hidrantes/03individual/27058.html","27058")</f>
      </c>
      <c r="B3985" t="s">
        <v>842</v>
      </c>
      <c r="C3985" t="s">
        <v>843</v>
      </c>
      <c r="D3985" t="s">
        <v>12120</v>
      </c>
      <c r="E3985" t="s">
        <v>64</v>
      </c>
      <c r="F3985" t="s">
        <v>16693</v>
      </c>
      <c r="G3985" t="s">
        <v>18205</v>
      </c>
      <c r="H3985" t="s">
        <v>1112</v>
      </c>
      <c r="I3985" t="s">
        <v>1108</v>
      </c>
      <c r="J3985" t="s">
        <v>16694</v>
      </c>
      <c r="K3985" t="s">
        <v>16695</v>
      </c>
      <c r="L3985" t="s">
        <v>21</v>
      </c>
      <c r="M3985" t="s">
        <v>19177</v>
      </c>
      <c r="N3985" t="s">
        <v>848</v>
      </c>
      <c r="O3985" t="s">
        <v>640</v>
      </c>
      <c r="P3985" t="s">
        <v>623</v>
      </c>
    </row>
    <row r="3986">
      <c r="A3986">
        <f>HYPERLINK("http://bombeiros.sp.gov.br/hidrantes/03individual/28023.html","28023")</f>
      </c>
      <c r="B3986" t="s">
        <v>842</v>
      </c>
      <c r="C3986" t="s">
        <v>843</v>
      </c>
      <c r="D3986" t="s">
        <v>12120</v>
      </c>
      <c r="E3986" t="s">
        <v>64</v>
      </c>
      <c r="F3986" t="s">
        <v>18380</v>
      </c>
      <c r="G3986"/>
      <c r="H3986"/>
      <c r="I3986" t="s">
        <v>1503</v>
      </c>
      <c r="J3986" t="s">
        <v>18381</v>
      </c>
      <c r="K3986" t="s">
        <v>18382</v>
      </c>
      <c r="L3986" t="s">
        <v>21</v>
      </c>
      <c r="M3986" t="s">
        <v>19177</v>
      </c>
      <c r="N3986" t="s">
        <v>848</v>
      </c>
      <c r="O3986" t="s">
        <v>640</v>
      </c>
      <c r="P3986" t="s">
        <v>623</v>
      </c>
    </row>
    <row r="3987">
      <c r="A3987">
        <f>HYPERLINK("http://bombeiros.sp.gov.br/hidrantes/03individual/2435.html","2435")</f>
      </c>
      <c r="B3987" t="s">
        <v>842</v>
      </c>
      <c r="C3987" t="s">
        <v>843</v>
      </c>
      <c r="D3987" t="s">
        <v>12120</v>
      </c>
      <c r="E3987" t="s">
        <v>15</v>
      </c>
      <c r="F3987" t="s">
        <v>12127</v>
      </c>
      <c r="G3987" t="s">
        <v>18057</v>
      </c>
      <c r="H3987" t="s">
        <v>1112</v>
      </c>
      <c r="I3987" t="s">
        <v>1108</v>
      </c>
      <c r="J3987" t="s">
        <v>12128</v>
      </c>
      <c r="K3987" t="s">
        <v>12129</v>
      </c>
      <c r="L3987" t="s">
        <v>21</v>
      </c>
      <c r="M3987" t="s">
        <v>19177</v>
      </c>
      <c r="N3987" t="s">
        <v>848</v>
      </c>
      <c r="O3987" t="s">
        <v>640</v>
      </c>
      <c r="P3987" t="s">
        <v>623</v>
      </c>
    </row>
    <row r="3988">
      <c r="A3988">
        <f>HYPERLINK("http://bombeiros.sp.gov.br/hidrantes/03individual/4393.html","4393")</f>
      </c>
      <c r="B3988" t="s">
        <v>842</v>
      </c>
      <c r="C3988" t="s">
        <v>843</v>
      </c>
      <c r="D3988" t="s">
        <v>12120</v>
      </c>
      <c r="E3988" t="s">
        <v>15</v>
      </c>
      <c r="F3988" t="s">
        <v>12130</v>
      </c>
      <c r="G3988" t="s">
        <v>18165</v>
      </c>
      <c r="H3988" t="s">
        <v>1107</v>
      </c>
      <c r="I3988" t="s">
        <v>1108</v>
      </c>
      <c r="J3988" t="s">
        <v>12131</v>
      </c>
      <c r="K3988" t="s">
        <v>12132</v>
      </c>
      <c r="L3988" t="s">
        <v>21</v>
      </c>
      <c r="M3988" t="s">
        <v>19177</v>
      </c>
      <c r="N3988" t="s">
        <v>848</v>
      </c>
      <c r="O3988" t="s">
        <v>640</v>
      </c>
      <c r="P3988" t="s">
        <v>623</v>
      </c>
    </row>
    <row r="3989">
      <c r="A3989">
        <f>HYPERLINK("http://bombeiros.sp.gov.br/hidrantes/03individual/16616.html","16616")</f>
      </c>
      <c r="B3989" t="s">
        <v>842</v>
      </c>
      <c r="C3989" t="s">
        <v>843</v>
      </c>
      <c r="D3989" t="s">
        <v>12120</v>
      </c>
      <c r="E3989" t="s">
        <v>15</v>
      </c>
      <c r="F3989" t="s">
        <v>12133</v>
      </c>
      <c r="G3989" t="s">
        <v>18051</v>
      </c>
      <c r="H3989" t="s">
        <v>1112</v>
      </c>
      <c r="I3989" t="s">
        <v>1108</v>
      </c>
      <c r="J3989" t="s">
        <v>12134</v>
      </c>
      <c r="K3989" t="s">
        <v>12135</v>
      </c>
      <c r="L3989" t="s">
        <v>21</v>
      </c>
      <c r="M3989" t="s">
        <v>19177</v>
      </c>
      <c r="N3989" t="s">
        <v>848</v>
      </c>
      <c r="O3989" t="s">
        <v>640</v>
      </c>
      <c r="P3989" t="s">
        <v>623</v>
      </c>
    </row>
    <row r="3990">
      <c r="A3990">
        <f>HYPERLINK("http://bombeiros.sp.gov.br/hidrantes/03individual/4113.html","4113")</f>
      </c>
      <c r="B3990" t="s">
        <v>842</v>
      </c>
      <c r="C3990" t="s">
        <v>843</v>
      </c>
      <c r="D3990" t="s">
        <v>844</v>
      </c>
      <c r="E3990" t="s">
        <v>64</v>
      </c>
      <c r="F3990" t="s">
        <v>12136</v>
      </c>
      <c r="G3990" t="s">
        <v>17915</v>
      </c>
      <c r="H3990" t="s">
        <v>1112</v>
      </c>
      <c r="I3990" t="s">
        <v>1108</v>
      </c>
      <c r="J3990" t="s">
        <v>12137</v>
      </c>
      <c r="K3990" t="s">
        <v>12138</v>
      </c>
      <c r="L3990" t="s">
        <v>36</v>
      </c>
      <c r="M3990" t="s">
        <v>19177</v>
      </c>
      <c r="N3990" t="s">
        <v>848</v>
      </c>
      <c r="O3990" t="s">
        <v>640</v>
      </c>
      <c r="P3990" t="s">
        <v>623</v>
      </c>
    </row>
    <row r="3991">
      <c r="A3991">
        <f>HYPERLINK("http://bombeiros.sp.gov.br/hidrantes/03individual/4389.html","4389")</f>
      </c>
      <c r="B3991" t="s">
        <v>842</v>
      </c>
      <c r="C3991" t="s">
        <v>843</v>
      </c>
      <c r="D3991" t="s">
        <v>844</v>
      </c>
      <c r="E3991" t="s">
        <v>64</v>
      </c>
      <c r="F3991" t="s">
        <v>12139</v>
      </c>
      <c r="G3991" t="s">
        <v>18051</v>
      </c>
      <c r="H3991" t="s">
        <v>1121</v>
      </c>
      <c r="I3991" t="s">
        <v>1117</v>
      </c>
      <c r="J3991" t="s">
        <v>12140</v>
      </c>
      <c r="K3991" t="s">
        <v>12141</v>
      </c>
      <c r="L3991" t="s">
        <v>36</v>
      </c>
      <c r="M3991" t="s">
        <v>19177</v>
      </c>
      <c r="N3991" t="s">
        <v>848</v>
      </c>
      <c r="O3991" t="s">
        <v>640</v>
      </c>
      <c r="P3991" t="s">
        <v>623</v>
      </c>
    </row>
    <row r="3992">
      <c r="A3992">
        <f>HYPERLINK("http://bombeiros.sp.gov.br/hidrantes/03individual/6708.html","6708")</f>
      </c>
      <c r="B3992" t="s">
        <v>842</v>
      </c>
      <c r="C3992" t="s">
        <v>843</v>
      </c>
      <c r="D3992" t="s">
        <v>844</v>
      </c>
      <c r="E3992" t="s">
        <v>64</v>
      </c>
      <c r="F3992" t="s">
        <v>12142</v>
      </c>
      <c r="G3992" t="s">
        <v>17915</v>
      </c>
      <c r="H3992" t="s">
        <v>1112</v>
      </c>
      <c r="I3992" t="s">
        <v>1108</v>
      </c>
      <c r="J3992" t="s">
        <v>12143</v>
      </c>
      <c r="K3992" t="s">
        <v>12144</v>
      </c>
      <c r="L3992" t="s">
        <v>21</v>
      </c>
      <c r="M3992" t="s">
        <v>19177</v>
      </c>
      <c r="N3992" t="s">
        <v>848</v>
      </c>
      <c r="O3992" t="s">
        <v>640</v>
      </c>
      <c r="P3992" t="s">
        <v>623</v>
      </c>
    </row>
    <row r="3993">
      <c r="A3993">
        <f>HYPERLINK("http://bombeiros.sp.gov.br/hidrantes/03individual/6720.html","6720")</f>
      </c>
      <c r="B3993" t="s">
        <v>842</v>
      </c>
      <c r="C3993" t="s">
        <v>843</v>
      </c>
      <c r="D3993" t="s">
        <v>844</v>
      </c>
      <c r="E3993" t="s">
        <v>64</v>
      </c>
      <c r="F3993" t="s">
        <v>12145</v>
      </c>
      <c r="G3993" t="s">
        <v>18051</v>
      </c>
      <c r="H3993" t="s">
        <v>1107</v>
      </c>
      <c r="I3993" t="s">
        <v>1108</v>
      </c>
      <c r="J3993" t="s">
        <v>12146</v>
      </c>
      <c r="K3993" t="s">
        <v>12147</v>
      </c>
      <c r="L3993" t="s">
        <v>36</v>
      </c>
      <c r="M3993" t="s">
        <v>19177</v>
      </c>
      <c r="N3993" t="s">
        <v>848</v>
      </c>
      <c r="O3993" t="s">
        <v>640</v>
      </c>
      <c r="P3993" t="s">
        <v>623</v>
      </c>
    </row>
    <row r="3994">
      <c r="A3994">
        <f>HYPERLINK("http://bombeiros.sp.gov.br/hidrantes/03individual/4043.html","4043")</f>
      </c>
      <c r="B3994" t="s">
        <v>842</v>
      </c>
      <c r="C3994" t="s">
        <v>843</v>
      </c>
      <c r="D3994" t="s">
        <v>848</v>
      </c>
      <c r="E3994" t="s">
        <v>64</v>
      </c>
      <c r="F3994" t="s">
        <v>12148</v>
      </c>
      <c r="G3994" t="s">
        <v>18173</v>
      </c>
      <c r="H3994" t="s">
        <v>1107</v>
      </c>
      <c r="I3994" t="s">
        <v>1108</v>
      </c>
      <c r="J3994" t="s">
        <v>12149</v>
      </c>
      <c r="K3994" t="s">
        <v>12150</v>
      </c>
      <c r="L3994" t="s">
        <v>36</v>
      </c>
      <c r="M3994" t="s">
        <v>19177</v>
      </c>
      <c r="N3994" t="s">
        <v>848</v>
      </c>
      <c r="O3994" t="s">
        <v>640</v>
      </c>
      <c r="P3994" t="s">
        <v>623</v>
      </c>
    </row>
    <row r="3995">
      <c r="A3995">
        <f>HYPERLINK("http://bombeiros.sp.gov.br/hidrantes/03individual/4048.html","4048")</f>
      </c>
      <c r="B3995" t="s">
        <v>842</v>
      </c>
      <c r="C3995" t="s">
        <v>843</v>
      </c>
      <c r="D3995" t="s">
        <v>848</v>
      </c>
      <c r="E3995" t="s">
        <v>64</v>
      </c>
      <c r="F3995" t="s">
        <v>12151</v>
      </c>
      <c r="G3995" t="s">
        <v>18205</v>
      </c>
      <c r="H3995" t="s">
        <v>1112</v>
      </c>
      <c r="I3995" t="s">
        <v>1108</v>
      </c>
      <c r="J3995" t="s">
        <v>12152</v>
      </c>
      <c r="K3995" t="s">
        <v>12153</v>
      </c>
      <c r="L3995" t="s">
        <v>21</v>
      </c>
      <c r="M3995" t="s">
        <v>19177</v>
      </c>
      <c r="N3995" t="s">
        <v>848</v>
      </c>
      <c r="O3995" t="s">
        <v>640</v>
      </c>
      <c r="P3995" t="s">
        <v>623</v>
      </c>
    </row>
    <row r="3996">
      <c r="A3996">
        <f>HYPERLINK("http://bombeiros.sp.gov.br/hidrantes/03individual/15057.html","15057")</f>
      </c>
      <c r="B3996" t="s">
        <v>842</v>
      </c>
      <c r="C3996" t="s">
        <v>843</v>
      </c>
      <c r="D3996" t="s">
        <v>848</v>
      </c>
      <c r="E3996" t="s">
        <v>64</v>
      </c>
      <c r="F3996" t="s">
        <v>12154</v>
      </c>
      <c r="G3996" t="s">
        <v>18051</v>
      </c>
      <c r="H3996" t="s">
        <v>1121</v>
      </c>
      <c r="I3996" t="s">
        <v>1117</v>
      </c>
      <c r="J3996" t="s">
        <v>12155</v>
      </c>
      <c r="K3996" t="s">
        <v>12156</v>
      </c>
      <c r="L3996" t="s">
        <v>21</v>
      </c>
      <c r="M3996" t="s">
        <v>19177</v>
      </c>
      <c r="N3996" t="s">
        <v>848</v>
      </c>
      <c r="O3996" t="s">
        <v>640</v>
      </c>
      <c r="P3996" t="s">
        <v>623</v>
      </c>
    </row>
    <row r="3997">
      <c r="A3997">
        <f>HYPERLINK("http://bombeiros.sp.gov.br/hidrantes/03individual/27303.html","27303")</f>
      </c>
      <c r="B3997" t="s">
        <v>842</v>
      </c>
      <c r="C3997" t="s">
        <v>843</v>
      </c>
      <c r="D3997" t="s">
        <v>848</v>
      </c>
      <c r="E3997" t="s">
        <v>64</v>
      </c>
      <c r="F3997" t="s">
        <v>17102</v>
      </c>
      <c r="G3997" t="s">
        <v>18205</v>
      </c>
      <c r="H3997" t="s">
        <v>1112</v>
      </c>
      <c r="I3997" t="s">
        <v>1108</v>
      </c>
      <c r="J3997" t="s">
        <v>17103</v>
      </c>
      <c r="K3997" t="s">
        <v>17104</v>
      </c>
      <c r="L3997" t="s">
        <v>21</v>
      </c>
      <c r="M3997" t="s">
        <v>19177</v>
      </c>
      <c r="N3997" t="s">
        <v>848</v>
      </c>
      <c r="O3997" t="s">
        <v>640</v>
      </c>
      <c r="P3997" t="s">
        <v>623</v>
      </c>
    </row>
    <row r="3998">
      <c r="A3998">
        <f>HYPERLINK("http://bombeiros.sp.gov.br/hidrantes/03individual/27651.html","27651")</f>
      </c>
      <c r="B3998" t="s">
        <v>842</v>
      </c>
      <c r="C3998" t="s">
        <v>843</v>
      </c>
      <c r="D3998" t="s">
        <v>848</v>
      </c>
      <c r="E3998" t="s">
        <v>64</v>
      </c>
      <c r="F3998" t="s">
        <v>17550</v>
      </c>
      <c r="G3998" t="s">
        <v>18132</v>
      </c>
      <c r="H3998" t="s">
        <v>1112</v>
      </c>
      <c r="I3998" t="s">
        <v>1108</v>
      </c>
      <c r="J3998" t="s">
        <v>17551</v>
      </c>
      <c r="K3998" t="s">
        <v>17552</v>
      </c>
      <c r="L3998" t="s">
        <v>21</v>
      </c>
      <c r="M3998" t="s">
        <v>19177</v>
      </c>
      <c r="N3998" t="s">
        <v>848</v>
      </c>
      <c r="O3998" t="s">
        <v>640</v>
      </c>
      <c r="P3998" t="s">
        <v>623</v>
      </c>
    </row>
    <row r="3999">
      <c r="A3999">
        <f>HYPERLINK("http://bombeiros.sp.gov.br/hidrantes/03individual/17857.html","17857")</f>
      </c>
      <c r="B3999" t="s">
        <v>842</v>
      </c>
      <c r="C3999" t="s">
        <v>843</v>
      </c>
      <c r="D3999" t="s">
        <v>848</v>
      </c>
      <c r="E3999" t="s">
        <v>15</v>
      </c>
      <c r="F3999" t="s">
        <v>12157</v>
      </c>
      <c r="G3999" t="s">
        <v>18132</v>
      </c>
      <c r="H3999" t="s">
        <v>1174</v>
      </c>
      <c r="I3999" t="s">
        <v>1117</v>
      </c>
      <c r="J3999" t="s">
        <v>12158</v>
      </c>
      <c r="K3999" t="s">
        <v>12159</v>
      </c>
      <c r="L3999" t="s">
        <v>21</v>
      </c>
      <c r="M3999" t="s">
        <v>19177</v>
      </c>
      <c r="N3999" t="s">
        <v>848</v>
      </c>
      <c r="O3999" t="s">
        <v>640</v>
      </c>
      <c r="P3999" t="s">
        <v>623</v>
      </c>
    </row>
    <row r="4000">
      <c r="A4000">
        <f>HYPERLINK("http://bombeiros.sp.gov.br/hidrantes/03individual/10073.html","10073")</f>
      </c>
      <c r="B4000" t="s">
        <v>842</v>
      </c>
      <c r="C4000" t="s">
        <v>852</v>
      </c>
      <c r="D4000" t="s">
        <v>853</v>
      </c>
      <c r="E4000" t="s">
        <v>64</v>
      </c>
      <c r="F4000" t="s">
        <v>12160</v>
      </c>
      <c r="G4000" t="s">
        <v>17909</v>
      </c>
      <c r="H4000" t="s">
        <v>1112</v>
      </c>
      <c r="I4000" t="s">
        <v>1108</v>
      </c>
      <c r="J4000" t="s">
        <v>12161</v>
      </c>
      <c r="K4000" t="s">
        <v>12162</v>
      </c>
      <c r="L4000" t="s">
        <v>21</v>
      </c>
      <c r="M4000" t="s">
        <v>19177</v>
      </c>
      <c r="N4000" t="s">
        <v>848</v>
      </c>
      <c r="O4000" t="s">
        <v>640</v>
      </c>
      <c r="P4000" t="s">
        <v>623</v>
      </c>
    </row>
    <row r="4001">
      <c r="A4001">
        <f>HYPERLINK("http://bombeiros.sp.gov.br/hidrantes/03individual/16649.html","16649")</f>
      </c>
      <c r="B4001" t="s">
        <v>842</v>
      </c>
      <c r="C4001" t="s">
        <v>852</v>
      </c>
      <c r="D4001" t="s">
        <v>853</v>
      </c>
      <c r="E4001" t="s">
        <v>64</v>
      </c>
      <c r="F4001" t="s">
        <v>12163</v>
      </c>
      <c r="G4001" t="s">
        <v>17909</v>
      </c>
      <c r="H4001" t="s">
        <v>1107</v>
      </c>
      <c r="I4001" t="s">
        <v>1108</v>
      </c>
      <c r="J4001" t="s">
        <v>12164</v>
      </c>
      <c r="K4001" t="s">
        <v>12165</v>
      </c>
      <c r="L4001" t="s">
        <v>21</v>
      </c>
      <c r="M4001" t="s">
        <v>19177</v>
      </c>
      <c r="N4001" t="s">
        <v>843</v>
      </c>
      <c r="O4001" t="s">
        <v>987</v>
      </c>
      <c r="P4001" t="s">
        <v>842</v>
      </c>
    </row>
    <row r="4002">
      <c r="A4002">
        <f>HYPERLINK("http://bombeiros.sp.gov.br/hidrantes/03individual/17806.html","17806")</f>
      </c>
      <c r="B4002" t="s">
        <v>842</v>
      </c>
      <c r="C4002" t="s">
        <v>852</v>
      </c>
      <c r="D4002" t="s">
        <v>853</v>
      </c>
      <c r="E4002" t="s">
        <v>64</v>
      </c>
      <c r="F4002" t="s">
        <v>12166</v>
      </c>
      <c r="G4002" t="s">
        <v>17909</v>
      </c>
      <c r="H4002" t="s">
        <v>1121</v>
      </c>
      <c r="I4002" t="s">
        <v>1117</v>
      </c>
      <c r="J4002" t="s">
        <v>12167</v>
      </c>
      <c r="K4002" t="s">
        <v>12168</v>
      </c>
      <c r="L4002" t="s">
        <v>21</v>
      </c>
      <c r="M4002" t="s">
        <v>19177</v>
      </c>
      <c r="N4002" t="s">
        <v>848</v>
      </c>
      <c r="O4002" t="s">
        <v>640</v>
      </c>
      <c r="P4002" t="s">
        <v>623</v>
      </c>
    </row>
    <row r="4003">
      <c r="A4003">
        <f>HYPERLINK("http://bombeiros.sp.gov.br/hidrantes/03individual/4151.html","4151")</f>
      </c>
      <c r="B4003" t="s">
        <v>842</v>
      </c>
      <c r="C4003" t="s">
        <v>852</v>
      </c>
      <c r="D4003" t="s">
        <v>852</v>
      </c>
      <c r="E4003" t="s">
        <v>64</v>
      </c>
      <c r="F4003" t="s">
        <v>18608</v>
      </c>
      <c r="G4003" t="s">
        <v>17915</v>
      </c>
      <c r="H4003" t="s">
        <v>1112</v>
      </c>
      <c r="I4003" t="s">
        <v>1108</v>
      </c>
      <c r="J4003" t="s">
        <v>864</v>
      </c>
      <c r="K4003" t="s">
        <v>865</v>
      </c>
      <c r="L4003" t="s">
        <v>21</v>
      </c>
      <c r="M4003" t="s">
        <v>19177</v>
      </c>
      <c r="N4003" t="s">
        <v>843</v>
      </c>
      <c r="O4003" t="s">
        <v>987</v>
      </c>
      <c r="P4003" t="s">
        <v>842</v>
      </c>
    </row>
    <row r="4004">
      <c r="A4004">
        <f>HYPERLINK("http://bombeiros.sp.gov.br/hidrantes/03individual/27245.html","27245")</f>
      </c>
      <c r="B4004" t="s">
        <v>842</v>
      </c>
      <c r="C4004" t="s">
        <v>852</v>
      </c>
      <c r="D4004" t="s">
        <v>852</v>
      </c>
      <c r="E4004" t="s">
        <v>64</v>
      </c>
      <c r="F4004" t="s">
        <v>17002</v>
      </c>
      <c r="G4004" t="s">
        <v>17915</v>
      </c>
      <c r="H4004" t="s">
        <v>1121</v>
      </c>
      <c r="I4004" t="s">
        <v>1117</v>
      </c>
      <c r="J4004" t="s">
        <v>17003</v>
      </c>
      <c r="K4004" t="s">
        <v>17004</v>
      </c>
      <c r="L4004" t="s">
        <v>21</v>
      </c>
      <c r="M4004" t="s">
        <v>19177</v>
      </c>
      <c r="N4004" t="s">
        <v>848</v>
      </c>
      <c r="O4004" t="s">
        <v>640</v>
      </c>
      <c r="P4004" t="s">
        <v>623</v>
      </c>
    </row>
    <row r="4005">
      <c r="A4005">
        <f>HYPERLINK("http://bombeiros.sp.gov.br/hidrantes/03individual/6722.html","6722")</f>
      </c>
      <c r="B4005" t="s">
        <v>842</v>
      </c>
      <c r="C4005" t="s">
        <v>852</v>
      </c>
      <c r="D4005" t="s">
        <v>852</v>
      </c>
      <c r="E4005" t="s">
        <v>15</v>
      </c>
      <c r="F4005" t="s">
        <v>12169</v>
      </c>
      <c r="G4005" t="s">
        <v>18211</v>
      </c>
      <c r="H4005" t="s">
        <v>1107</v>
      </c>
      <c r="I4005" t="s">
        <v>1108</v>
      </c>
      <c r="J4005" t="s">
        <v>12170</v>
      </c>
      <c r="K4005" t="s">
        <v>12171</v>
      </c>
      <c r="L4005" t="s">
        <v>21</v>
      </c>
      <c r="M4005" t="s">
        <v>19177</v>
      </c>
      <c r="N4005" t="s">
        <v>848</v>
      </c>
      <c r="O4005" t="s">
        <v>640</v>
      </c>
      <c r="P4005" t="s">
        <v>623</v>
      </c>
    </row>
    <row r="4006">
      <c r="A4006">
        <f>HYPERLINK("http://bombeiros.sp.gov.br/hidrantes/03individual/4121.html","4121")</f>
      </c>
      <c r="B4006" t="s">
        <v>842</v>
      </c>
      <c r="C4006" t="s">
        <v>852</v>
      </c>
      <c r="D4006" t="s">
        <v>866</v>
      </c>
      <c r="E4006" t="s">
        <v>64</v>
      </c>
      <c r="F4006" t="s">
        <v>12172</v>
      </c>
      <c r="G4006" t="s">
        <v>18211</v>
      </c>
      <c r="H4006" t="s">
        <v>1121</v>
      </c>
      <c r="I4006" t="s">
        <v>1117</v>
      </c>
      <c r="J4006" t="s">
        <v>12173</v>
      </c>
      <c r="K4006" t="s">
        <v>12174</v>
      </c>
      <c r="L4006" t="s">
        <v>36</v>
      </c>
      <c r="M4006" t="s">
        <v>19177</v>
      </c>
      <c r="N4006" t="s">
        <v>848</v>
      </c>
      <c r="O4006" t="s">
        <v>640</v>
      </c>
      <c r="P4006" t="s">
        <v>623</v>
      </c>
    </row>
    <row r="4007">
      <c r="A4007">
        <f>HYPERLINK("http://bombeiros.sp.gov.br/hidrantes/03individual/27086.html","27086")</f>
      </c>
      <c r="B4007" t="s">
        <v>842</v>
      </c>
      <c r="C4007" t="s">
        <v>852</v>
      </c>
      <c r="D4007" t="s">
        <v>866</v>
      </c>
      <c r="E4007" t="s">
        <v>64</v>
      </c>
      <c r="F4007" t="s">
        <v>16764</v>
      </c>
      <c r="G4007" t="s">
        <v>17909</v>
      </c>
      <c r="H4007" t="s">
        <v>1112</v>
      </c>
      <c r="I4007" t="s">
        <v>1108</v>
      </c>
      <c r="J4007" t="s">
        <v>16765</v>
      </c>
      <c r="K4007" t="s">
        <v>16766</v>
      </c>
      <c r="L4007" t="s">
        <v>21</v>
      </c>
      <c r="M4007" t="s">
        <v>19177</v>
      </c>
      <c r="N4007" t="s">
        <v>848</v>
      </c>
      <c r="O4007" t="s">
        <v>640</v>
      </c>
      <c r="P4007" t="s">
        <v>623</v>
      </c>
    </row>
    <row r="4008">
      <c r="A4008">
        <f>HYPERLINK("http://bombeiros.sp.gov.br/hidrantes/03individual/27105.html","27105")</f>
      </c>
      <c r="B4008" t="s">
        <v>842</v>
      </c>
      <c r="C4008" t="s">
        <v>852</v>
      </c>
      <c r="D4008" t="s">
        <v>866</v>
      </c>
      <c r="E4008" t="s">
        <v>64</v>
      </c>
      <c r="F4008" t="s">
        <v>16769</v>
      </c>
      <c r="G4008" t="s">
        <v>17909</v>
      </c>
      <c r="H4008" t="s">
        <v>1121</v>
      </c>
      <c r="I4008" t="s">
        <v>1117</v>
      </c>
      <c r="J4008" t="s">
        <v>16770</v>
      </c>
      <c r="K4008" t="s">
        <v>16771</v>
      </c>
      <c r="L4008" t="s">
        <v>21</v>
      </c>
      <c r="M4008" t="s">
        <v>19177</v>
      </c>
      <c r="N4008" t="s">
        <v>848</v>
      </c>
      <c r="O4008" t="s">
        <v>640</v>
      </c>
      <c r="P4008" t="s">
        <v>623</v>
      </c>
    </row>
    <row r="4009">
      <c r="A4009">
        <f>HYPERLINK("http://bombeiros.sp.gov.br/hidrantes/03individual/27281.html","27281")</f>
      </c>
      <c r="B4009" t="s">
        <v>842</v>
      </c>
      <c r="C4009" t="s">
        <v>852</v>
      </c>
      <c r="D4009" t="s">
        <v>866</v>
      </c>
      <c r="E4009" t="s">
        <v>64</v>
      </c>
      <c r="F4009" t="s">
        <v>17035</v>
      </c>
      <c r="G4009" t="s">
        <v>17909</v>
      </c>
      <c r="H4009" t="s">
        <v>1121</v>
      </c>
      <c r="I4009" t="s">
        <v>1117</v>
      </c>
      <c r="J4009" t="s">
        <v>17036</v>
      </c>
      <c r="K4009" t="s">
        <v>17037</v>
      </c>
      <c r="L4009" t="s">
        <v>21</v>
      </c>
      <c r="M4009" t="s">
        <v>19177</v>
      </c>
      <c r="N4009" t="s">
        <v>848</v>
      </c>
      <c r="O4009" t="s">
        <v>640</v>
      </c>
      <c r="P4009" t="s">
        <v>623</v>
      </c>
    </row>
    <row r="4010">
      <c r="A4010">
        <f>HYPERLINK("http://bombeiros.sp.gov.br/hidrantes/03individual/4152.html","4152")</f>
      </c>
      <c r="B4010" t="s">
        <v>842</v>
      </c>
      <c r="C4010" t="s">
        <v>852</v>
      </c>
      <c r="D4010" t="s">
        <v>866</v>
      </c>
      <c r="E4010" t="s">
        <v>15</v>
      </c>
      <c r="F4010" t="s">
        <v>12175</v>
      </c>
      <c r="G4010" t="s">
        <v>17915</v>
      </c>
      <c r="H4010" t="s">
        <v>1107</v>
      </c>
      <c r="I4010" t="s">
        <v>1108</v>
      </c>
      <c r="J4010" t="s">
        <v>12176</v>
      </c>
      <c r="K4010" t="s">
        <v>12177</v>
      </c>
      <c r="L4010" t="s">
        <v>21</v>
      </c>
      <c r="M4010" t="s">
        <v>19177</v>
      </c>
      <c r="N4010" t="s">
        <v>848</v>
      </c>
      <c r="O4010" t="s">
        <v>640</v>
      </c>
      <c r="P4010" t="s">
        <v>623</v>
      </c>
    </row>
    <row r="4011">
      <c r="A4011">
        <f>HYPERLINK("http://bombeiros.sp.gov.br/hidrantes/03individual/4153.html","4153")</f>
      </c>
      <c r="B4011" t="s">
        <v>842</v>
      </c>
      <c r="C4011" t="s">
        <v>852</v>
      </c>
      <c r="D4011" t="s">
        <v>866</v>
      </c>
      <c r="E4011" t="s">
        <v>15</v>
      </c>
      <c r="F4011" t="s">
        <v>12178</v>
      </c>
      <c r="G4011" t="s">
        <v>17915</v>
      </c>
      <c r="H4011" t="s">
        <v>1107</v>
      </c>
      <c r="I4011" t="s">
        <v>1108</v>
      </c>
      <c r="J4011" t="s">
        <v>12179</v>
      </c>
      <c r="K4011" t="s">
        <v>12180</v>
      </c>
      <c r="L4011" t="s">
        <v>21</v>
      </c>
      <c r="M4011" t="s">
        <v>19177</v>
      </c>
      <c r="N4011" t="s">
        <v>848</v>
      </c>
      <c r="O4011" t="s">
        <v>640</v>
      </c>
      <c r="P4011" t="s">
        <v>623</v>
      </c>
    </row>
    <row r="4012">
      <c r="A4012">
        <f>HYPERLINK("http://bombeiros.sp.gov.br/hidrantes/03individual/27384.html","27384")</f>
      </c>
      <c r="B4012" t="s">
        <v>842</v>
      </c>
      <c r="C4012" t="s">
        <v>852</v>
      </c>
      <c r="D4012" t="s">
        <v>866</v>
      </c>
      <c r="E4012" t="s">
        <v>15</v>
      </c>
      <c r="F4012" t="s">
        <v>17213</v>
      </c>
      <c r="G4012" t="s">
        <v>17921</v>
      </c>
      <c r="H4012" t="s">
        <v>1107</v>
      </c>
      <c r="I4012" t="s">
        <v>1108</v>
      </c>
      <c r="J4012" t="s">
        <v>17214</v>
      </c>
      <c r="K4012" t="s">
        <v>17215</v>
      </c>
      <c r="L4012" t="s">
        <v>21</v>
      </c>
      <c r="M4012" t="s">
        <v>19177</v>
      </c>
      <c r="N4012" t="s">
        <v>848</v>
      </c>
      <c r="O4012" t="s">
        <v>640</v>
      </c>
      <c r="P4012" t="s">
        <v>623</v>
      </c>
    </row>
    <row r="4013">
      <c r="A4013">
        <f>HYPERLINK("http://bombeiros.sp.gov.br/hidrantes/03individual/2411.html","2411")</f>
      </c>
      <c r="B4013" t="s">
        <v>842</v>
      </c>
      <c r="C4013" t="s">
        <v>870</v>
      </c>
      <c r="D4013" t="s">
        <v>871</v>
      </c>
      <c r="E4013" t="s">
        <v>64</v>
      </c>
      <c r="F4013" t="s">
        <v>12181</v>
      </c>
      <c r="G4013" t="s">
        <v>17610</v>
      </c>
      <c r="H4013" t="s">
        <v>1112</v>
      </c>
      <c r="I4013" t="s">
        <v>1108</v>
      </c>
      <c r="J4013" t="s">
        <v>12182</v>
      </c>
      <c r="K4013" t="s">
        <v>12183</v>
      </c>
      <c r="L4013" t="s">
        <v>21</v>
      </c>
      <c r="M4013" t="s">
        <v>19177</v>
      </c>
      <c r="N4013" t="s">
        <v>1024</v>
      </c>
      <c r="O4013" t="s">
        <v>1024</v>
      </c>
      <c r="P4013" t="s">
        <v>842</v>
      </c>
    </row>
    <row r="4014">
      <c r="A4014">
        <f>HYPERLINK("http://bombeiros.sp.gov.br/hidrantes/03individual/15074.html","15074")</f>
      </c>
      <c r="B4014" t="s">
        <v>842</v>
      </c>
      <c r="C4014" t="s">
        <v>870</v>
      </c>
      <c r="D4014" t="s">
        <v>871</v>
      </c>
      <c r="E4014" t="s">
        <v>64</v>
      </c>
      <c r="F4014" t="s">
        <v>12184</v>
      </c>
      <c r="G4014" t="s">
        <v>17905</v>
      </c>
      <c r="H4014" t="s">
        <v>1107</v>
      </c>
      <c r="I4014" t="s">
        <v>1108</v>
      </c>
      <c r="J4014" t="s">
        <v>12185</v>
      </c>
      <c r="K4014" t="s">
        <v>12186</v>
      </c>
      <c r="L4014" t="s">
        <v>21</v>
      </c>
      <c r="M4014" t="s">
        <v>19177</v>
      </c>
      <c r="N4014" t="s">
        <v>1024</v>
      </c>
      <c r="O4014" t="s">
        <v>1024</v>
      </c>
      <c r="P4014" t="s">
        <v>842</v>
      </c>
    </row>
    <row r="4015">
      <c r="A4015">
        <f>HYPERLINK("http://bombeiros.sp.gov.br/hidrantes/03individual/27731.html","27731")</f>
      </c>
      <c r="B4015" t="s">
        <v>842</v>
      </c>
      <c r="C4015" t="s">
        <v>870</v>
      </c>
      <c r="D4015" t="s">
        <v>871</v>
      </c>
      <c r="E4015" t="s">
        <v>64</v>
      </c>
      <c r="F4015" t="s">
        <v>17711</v>
      </c>
      <c r="G4015" t="s">
        <v>18182</v>
      </c>
      <c r="H4015" t="s">
        <v>1112</v>
      </c>
      <c r="I4015" t="s">
        <v>1108</v>
      </c>
      <c r="J4015" t="s">
        <v>18383</v>
      </c>
      <c r="K4015" t="s">
        <v>17713</v>
      </c>
      <c r="L4015" t="s">
        <v>21</v>
      </c>
      <c r="M4015" t="s">
        <v>19177</v>
      </c>
      <c r="N4015" t="s">
        <v>1024</v>
      </c>
      <c r="O4015" t="s">
        <v>1024</v>
      </c>
      <c r="P4015" t="s">
        <v>842</v>
      </c>
    </row>
    <row r="4016">
      <c r="A4016">
        <f>HYPERLINK("http://bombeiros.sp.gov.br/hidrantes/03individual/313.html","313")</f>
      </c>
      <c r="B4016" t="s">
        <v>842</v>
      </c>
      <c r="C4016" t="s">
        <v>870</v>
      </c>
      <c r="D4016" t="s">
        <v>871</v>
      </c>
      <c r="E4016" t="s">
        <v>15</v>
      </c>
      <c r="F4016" t="s">
        <v>12187</v>
      </c>
      <c r="G4016" t="s">
        <v>18182</v>
      </c>
      <c r="H4016" t="s">
        <v>1121</v>
      </c>
      <c r="I4016" t="s">
        <v>1117</v>
      </c>
      <c r="J4016" t="s">
        <v>12188</v>
      </c>
      <c r="K4016" t="s">
        <v>12189</v>
      </c>
      <c r="L4016" t="s">
        <v>21</v>
      </c>
      <c r="M4016" t="s">
        <v>19177</v>
      </c>
      <c r="N4016" t="s">
        <v>1024</v>
      </c>
      <c r="O4016" t="s">
        <v>1024</v>
      </c>
      <c r="P4016" t="s">
        <v>842</v>
      </c>
    </row>
    <row r="4017">
      <c r="A4017">
        <f>HYPERLINK("http://bombeiros.sp.gov.br/hidrantes/03individual/411.html","411")</f>
      </c>
      <c r="B4017" t="s">
        <v>842</v>
      </c>
      <c r="C4017" t="s">
        <v>870</v>
      </c>
      <c r="D4017" t="s">
        <v>871</v>
      </c>
      <c r="E4017" t="s">
        <v>15</v>
      </c>
      <c r="F4017" t="s">
        <v>12190</v>
      </c>
      <c r="G4017" t="s">
        <v>18111</v>
      </c>
      <c r="H4017" t="s">
        <v>1112</v>
      </c>
      <c r="I4017" t="s">
        <v>1108</v>
      </c>
      <c r="J4017" t="s">
        <v>12191</v>
      </c>
      <c r="K4017" t="s">
        <v>12192</v>
      </c>
      <c r="L4017" t="s">
        <v>21</v>
      </c>
      <c r="M4017" t="s">
        <v>19177</v>
      </c>
      <c r="N4017" t="s">
        <v>1024</v>
      </c>
      <c r="O4017" t="s">
        <v>1024</v>
      </c>
      <c r="P4017" t="s">
        <v>842</v>
      </c>
    </row>
    <row r="4018">
      <c r="A4018">
        <f>HYPERLINK("http://bombeiros.sp.gov.br/hidrantes/03individual/2415.html","2415")</f>
      </c>
      <c r="B4018" t="s">
        <v>842</v>
      </c>
      <c r="C4018" t="s">
        <v>870</v>
      </c>
      <c r="D4018" t="s">
        <v>871</v>
      </c>
      <c r="E4018" t="s">
        <v>15</v>
      </c>
      <c r="F4018" t="s">
        <v>12193</v>
      </c>
      <c r="G4018" t="s">
        <v>18143</v>
      </c>
      <c r="H4018" t="s">
        <v>1107</v>
      </c>
      <c r="I4018" t="s">
        <v>1108</v>
      </c>
      <c r="J4018" t="s">
        <v>12194</v>
      </c>
      <c r="K4018" t="s">
        <v>12195</v>
      </c>
      <c r="L4018" t="s">
        <v>21</v>
      </c>
      <c r="M4018" t="s">
        <v>19177</v>
      </c>
      <c r="N4018" t="s">
        <v>1024</v>
      </c>
      <c r="O4018" t="s">
        <v>1024</v>
      </c>
      <c r="P4018" t="s">
        <v>842</v>
      </c>
    </row>
    <row r="4019">
      <c r="A4019">
        <f>HYPERLINK("http://bombeiros.sp.gov.br/hidrantes/03individual/2418.html","2418")</f>
      </c>
      <c r="B4019" t="s">
        <v>842</v>
      </c>
      <c r="C4019" t="s">
        <v>870</v>
      </c>
      <c r="D4019" t="s">
        <v>871</v>
      </c>
      <c r="E4019" t="s">
        <v>15</v>
      </c>
      <c r="F4019" t="s">
        <v>12196</v>
      </c>
      <c r="G4019" t="s">
        <v>18143</v>
      </c>
      <c r="H4019" t="s">
        <v>1107</v>
      </c>
      <c r="I4019" t="s">
        <v>1117</v>
      </c>
      <c r="J4019" t="s">
        <v>12197</v>
      </c>
      <c r="K4019" t="s">
        <v>12198</v>
      </c>
      <c r="L4019" t="s">
        <v>21</v>
      </c>
      <c r="M4019" t="s">
        <v>19177</v>
      </c>
      <c r="N4019" t="s">
        <v>1024</v>
      </c>
      <c r="O4019" t="s">
        <v>1024</v>
      </c>
      <c r="P4019" t="s">
        <v>842</v>
      </c>
    </row>
    <row r="4020">
      <c r="A4020">
        <f>HYPERLINK("http://bombeiros.sp.gov.br/hidrantes/03individual/2447.html","2447")</f>
      </c>
      <c r="B4020" t="s">
        <v>842</v>
      </c>
      <c r="C4020" t="s">
        <v>870</v>
      </c>
      <c r="D4020" t="s">
        <v>871</v>
      </c>
      <c r="E4020" t="s">
        <v>15</v>
      </c>
      <c r="F4020" t="s">
        <v>12199</v>
      </c>
      <c r="G4020" t="s">
        <v>18156</v>
      </c>
      <c r="H4020" t="s">
        <v>1107</v>
      </c>
      <c r="I4020" t="s">
        <v>1108</v>
      </c>
      <c r="J4020" t="s">
        <v>12200</v>
      </c>
      <c r="K4020" t="s">
        <v>12201</v>
      </c>
      <c r="L4020" t="s">
        <v>21</v>
      </c>
      <c r="M4020" t="s">
        <v>19177</v>
      </c>
      <c r="N4020" t="s">
        <v>1024</v>
      </c>
      <c r="O4020" t="s">
        <v>1024</v>
      </c>
      <c r="P4020" t="s">
        <v>842</v>
      </c>
    </row>
    <row r="4021">
      <c r="A4021">
        <f>HYPERLINK("http://bombeiros.sp.gov.br/hidrantes/03individual/2466.html","2466")</f>
      </c>
      <c r="B4021" t="s">
        <v>842</v>
      </c>
      <c r="C4021" t="s">
        <v>870</v>
      </c>
      <c r="D4021" t="s">
        <v>871</v>
      </c>
      <c r="E4021" t="s">
        <v>15</v>
      </c>
      <c r="F4021" t="s">
        <v>876</v>
      </c>
      <c r="G4021" t="s">
        <v>17900</v>
      </c>
      <c r="H4021" t="s">
        <v>1174</v>
      </c>
      <c r="I4021" t="s">
        <v>1117</v>
      </c>
      <c r="J4021" t="s">
        <v>877</v>
      </c>
      <c r="K4021" t="s">
        <v>878</v>
      </c>
      <c r="L4021" t="s">
        <v>21</v>
      </c>
      <c r="M4021" t="s">
        <v>19177</v>
      </c>
      <c r="N4021" t="s">
        <v>1024</v>
      </c>
      <c r="O4021" t="s">
        <v>1024</v>
      </c>
      <c r="P4021" t="s">
        <v>842</v>
      </c>
    </row>
    <row r="4022">
      <c r="A4022">
        <f>HYPERLINK("http://bombeiros.sp.gov.br/hidrantes/03individual/2471.html","2471")</f>
      </c>
      <c r="B4022" t="s">
        <v>842</v>
      </c>
      <c r="C4022" t="s">
        <v>870</v>
      </c>
      <c r="D4022" t="s">
        <v>871</v>
      </c>
      <c r="E4022" t="s">
        <v>15</v>
      </c>
      <c r="F4022" t="s">
        <v>879</v>
      </c>
      <c r="G4022" t="s">
        <v>18143</v>
      </c>
      <c r="H4022" t="s">
        <v>1112</v>
      </c>
      <c r="I4022" t="s">
        <v>1108</v>
      </c>
      <c r="J4022" t="s">
        <v>880</v>
      </c>
      <c r="K4022" t="s">
        <v>881</v>
      </c>
      <c r="L4022" t="s">
        <v>21</v>
      </c>
      <c r="M4022" t="s">
        <v>19177</v>
      </c>
      <c r="N4022" t="s">
        <v>1024</v>
      </c>
      <c r="O4022" t="s">
        <v>1024</v>
      </c>
      <c r="P4022" t="s">
        <v>842</v>
      </c>
    </row>
    <row r="4023">
      <c r="A4023">
        <f>HYPERLINK("http://bombeiros.sp.gov.br/hidrantes/03individual/2473.html","2473")</f>
      </c>
      <c r="B4023" t="s">
        <v>842</v>
      </c>
      <c r="C4023" t="s">
        <v>870</v>
      </c>
      <c r="D4023" t="s">
        <v>871</v>
      </c>
      <c r="E4023" t="s">
        <v>15</v>
      </c>
      <c r="F4023" t="s">
        <v>12202</v>
      </c>
      <c r="G4023" t="s">
        <v>17627</v>
      </c>
      <c r="H4023" t="s">
        <v>1107</v>
      </c>
      <c r="I4023" t="s">
        <v>1108</v>
      </c>
      <c r="J4023" t="s">
        <v>12203</v>
      </c>
      <c r="K4023" t="s">
        <v>12204</v>
      </c>
      <c r="L4023" t="s">
        <v>21</v>
      </c>
      <c r="M4023" t="s">
        <v>19177</v>
      </c>
      <c r="N4023" t="s">
        <v>1024</v>
      </c>
      <c r="O4023" t="s">
        <v>1024</v>
      </c>
      <c r="P4023" t="s">
        <v>842</v>
      </c>
    </row>
    <row r="4024">
      <c r="A4024">
        <f>HYPERLINK("http://bombeiros.sp.gov.br/hidrantes/03individual/2480.html","2480")</f>
      </c>
      <c r="B4024" t="s">
        <v>842</v>
      </c>
      <c r="C4024" t="s">
        <v>870</v>
      </c>
      <c r="D4024" t="s">
        <v>871</v>
      </c>
      <c r="E4024" t="s">
        <v>15</v>
      </c>
      <c r="F4024" t="s">
        <v>882</v>
      </c>
      <c r="G4024" t="s">
        <v>17580</v>
      </c>
      <c r="H4024"/>
      <c r="I4024" t="s">
        <v>18</v>
      </c>
      <c r="J4024" t="s">
        <v>883</v>
      </c>
      <c r="K4024" t="s">
        <v>884</v>
      </c>
      <c r="L4024" t="s">
        <v>21</v>
      </c>
      <c r="M4024" t="s">
        <v>19177</v>
      </c>
      <c r="N4024" t="s">
        <v>1024</v>
      </c>
      <c r="O4024" t="s">
        <v>1024</v>
      </c>
      <c r="P4024" t="s">
        <v>842</v>
      </c>
    </row>
    <row r="4025">
      <c r="A4025">
        <f>HYPERLINK("http://bombeiros.sp.gov.br/hidrantes/03individual/2481.html","2481")</f>
      </c>
      <c r="B4025" t="s">
        <v>842</v>
      </c>
      <c r="C4025" t="s">
        <v>870</v>
      </c>
      <c r="D4025" t="s">
        <v>871</v>
      </c>
      <c r="E4025" t="s">
        <v>15</v>
      </c>
      <c r="F4025" t="s">
        <v>12205</v>
      </c>
      <c r="G4025" t="s">
        <v>18130</v>
      </c>
      <c r="H4025" t="s">
        <v>1174</v>
      </c>
      <c r="I4025" t="s">
        <v>1108</v>
      </c>
      <c r="J4025" t="s">
        <v>12206</v>
      </c>
      <c r="K4025" t="s">
        <v>12207</v>
      </c>
      <c r="L4025" t="s">
        <v>21</v>
      </c>
      <c r="M4025" t="s">
        <v>19177</v>
      </c>
      <c r="N4025" t="s">
        <v>1024</v>
      </c>
      <c r="O4025" t="s">
        <v>1024</v>
      </c>
      <c r="P4025" t="s">
        <v>842</v>
      </c>
    </row>
    <row r="4026">
      <c r="A4026">
        <f>HYPERLINK("http://bombeiros.sp.gov.br/hidrantes/03individual/2486.html","2486")</f>
      </c>
      <c r="B4026" t="s">
        <v>842</v>
      </c>
      <c r="C4026" t="s">
        <v>870</v>
      </c>
      <c r="D4026" t="s">
        <v>871</v>
      </c>
      <c r="E4026" t="s">
        <v>15</v>
      </c>
      <c r="F4026" t="s">
        <v>12208</v>
      </c>
      <c r="G4026" t="s">
        <v>17900</v>
      </c>
      <c r="H4026" t="s">
        <v>1107</v>
      </c>
      <c r="I4026" t="s">
        <v>1117</v>
      </c>
      <c r="J4026" t="s">
        <v>12209</v>
      </c>
      <c r="K4026" t="s">
        <v>12210</v>
      </c>
      <c r="L4026" t="s">
        <v>21</v>
      </c>
      <c r="M4026" t="s">
        <v>19177</v>
      </c>
      <c r="N4026" t="s">
        <v>1024</v>
      </c>
      <c r="O4026" t="s">
        <v>1024</v>
      </c>
      <c r="P4026" t="s">
        <v>842</v>
      </c>
    </row>
    <row r="4027">
      <c r="A4027">
        <f>HYPERLINK("http://bombeiros.sp.gov.br/hidrantes/03individual/2494.html","2494")</f>
      </c>
      <c r="B4027" t="s">
        <v>842</v>
      </c>
      <c r="C4027" t="s">
        <v>870</v>
      </c>
      <c r="D4027" t="s">
        <v>871</v>
      </c>
      <c r="E4027" t="s">
        <v>15</v>
      </c>
      <c r="F4027" t="s">
        <v>12211</v>
      </c>
      <c r="G4027" t="s">
        <v>17900</v>
      </c>
      <c r="H4027" t="s">
        <v>1112</v>
      </c>
      <c r="I4027" t="s">
        <v>1108</v>
      </c>
      <c r="J4027" t="s">
        <v>12212</v>
      </c>
      <c r="K4027" t="s">
        <v>12213</v>
      </c>
      <c r="L4027" t="s">
        <v>21</v>
      </c>
      <c r="M4027" t="s">
        <v>19177</v>
      </c>
      <c r="N4027" t="s">
        <v>1024</v>
      </c>
      <c r="O4027" t="s">
        <v>1024</v>
      </c>
      <c r="P4027" t="s">
        <v>842</v>
      </c>
    </row>
    <row r="4028">
      <c r="A4028">
        <f>HYPERLINK("http://bombeiros.sp.gov.br/hidrantes/03individual/2498.html","2498")</f>
      </c>
      <c r="B4028" t="s">
        <v>842</v>
      </c>
      <c r="C4028" t="s">
        <v>870</v>
      </c>
      <c r="D4028" t="s">
        <v>871</v>
      </c>
      <c r="E4028" t="s">
        <v>15</v>
      </c>
      <c r="F4028" t="s">
        <v>885</v>
      </c>
      <c r="G4028" t="s">
        <v>17900</v>
      </c>
      <c r="H4028" t="s">
        <v>1112</v>
      </c>
      <c r="I4028" t="s">
        <v>1108</v>
      </c>
      <c r="J4028" t="s">
        <v>886</v>
      </c>
      <c r="K4028" t="s">
        <v>887</v>
      </c>
      <c r="L4028" t="s">
        <v>21</v>
      </c>
      <c r="M4028" t="s">
        <v>19177</v>
      </c>
      <c r="N4028" t="s">
        <v>1024</v>
      </c>
      <c r="O4028" t="s">
        <v>1024</v>
      </c>
      <c r="P4028" t="s">
        <v>842</v>
      </c>
    </row>
    <row r="4029">
      <c r="A4029">
        <f>HYPERLINK("http://bombeiros.sp.gov.br/hidrantes/03individual/3770.html","3770")</f>
      </c>
      <c r="B4029" t="s">
        <v>842</v>
      </c>
      <c r="C4029" t="s">
        <v>870</v>
      </c>
      <c r="D4029" t="s">
        <v>871</v>
      </c>
      <c r="E4029" t="s">
        <v>15</v>
      </c>
      <c r="F4029" t="s">
        <v>12214</v>
      </c>
      <c r="G4029" t="s">
        <v>17612</v>
      </c>
      <c r="H4029" t="s">
        <v>1112</v>
      </c>
      <c r="I4029" t="s">
        <v>1108</v>
      </c>
      <c r="J4029" t="s">
        <v>12215</v>
      </c>
      <c r="K4029" t="s">
        <v>12216</v>
      </c>
      <c r="L4029" t="s">
        <v>21</v>
      </c>
      <c r="M4029" t="s">
        <v>19177</v>
      </c>
      <c r="N4029" t="s">
        <v>1024</v>
      </c>
      <c r="O4029" t="s">
        <v>1024</v>
      </c>
      <c r="P4029" t="s">
        <v>842</v>
      </c>
    </row>
    <row r="4030">
      <c r="A4030">
        <f>HYPERLINK("http://bombeiros.sp.gov.br/hidrantes/03individual/3775.html","3775")</f>
      </c>
      <c r="B4030" t="s">
        <v>842</v>
      </c>
      <c r="C4030" t="s">
        <v>870</v>
      </c>
      <c r="D4030" t="s">
        <v>871</v>
      </c>
      <c r="E4030" t="s">
        <v>15</v>
      </c>
      <c r="F4030" t="s">
        <v>888</v>
      </c>
      <c r="G4030" t="s">
        <v>18182</v>
      </c>
      <c r="H4030"/>
      <c r="I4030" t="s">
        <v>18</v>
      </c>
      <c r="J4030" t="s">
        <v>889</v>
      </c>
      <c r="K4030" t="s">
        <v>890</v>
      </c>
      <c r="L4030" t="s">
        <v>21</v>
      </c>
      <c r="M4030" t="s">
        <v>19177</v>
      </c>
      <c r="N4030" t="s">
        <v>1024</v>
      </c>
      <c r="O4030" t="s">
        <v>1024</v>
      </c>
      <c r="P4030" t="s">
        <v>842</v>
      </c>
    </row>
    <row r="4031">
      <c r="A4031">
        <f>HYPERLINK("http://bombeiros.sp.gov.br/hidrantes/03individual/3776.html","3776")</f>
      </c>
      <c r="B4031" t="s">
        <v>842</v>
      </c>
      <c r="C4031" t="s">
        <v>870</v>
      </c>
      <c r="D4031" t="s">
        <v>871</v>
      </c>
      <c r="E4031" t="s">
        <v>15</v>
      </c>
      <c r="F4031" t="s">
        <v>12217</v>
      </c>
      <c r="G4031" t="s">
        <v>17900</v>
      </c>
      <c r="H4031" t="s">
        <v>1112</v>
      </c>
      <c r="I4031" t="s">
        <v>1108</v>
      </c>
      <c r="J4031" t="s">
        <v>12218</v>
      </c>
      <c r="K4031" t="s">
        <v>12219</v>
      </c>
      <c r="L4031" t="s">
        <v>21</v>
      </c>
      <c r="M4031" t="s">
        <v>19177</v>
      </c>
      <c r="N4031" t="s">
        <v>1024</v>
      </c>
      <c r="O4031" t="s">
        <v>1024</v>
      </c>
      <c r="P4031" t="s">
        <v>842</v>
      </c>
    </row>
    <row r="4032">
      <c r="A4032">
        <f>HYPERLINK("http://bombeiros.sp.gov.br/hidrantes/03individual/3780.html","3780")</f>
      </c>
      <c r="B4032" t="s">
        <v>842</v>
      </c>
      <c r="C4032" t="s">
        <v>870</v>
      </c>
      <c r="D4032" t="s">
        <v>871</v>
      </c>
      <c r="E4032" t="s">
        <v>15</v>
      </c>
      <c r="F4032" t="s">
        <v>12220</v>
      </c>
      <c r="G4032" t="s">
        <v>17900</v>
      </c>
      <c r="H4032" t="s">
        <v>1112</v>
      </c>
      <c r="I4032" t="s">
        <v>1108</v>
      </c>
      <c r="J4032" t="s">
        <v>12221</v>
      </c>
      <c r="K4032" t="s">
        <v>12222</v>
      </c>
      <c r="L4032" t="s">
        <v>21</v>
      </c>
      <c r="M4032" t="s">
        <v>19177</v>
      </c>
      <c r="N4032" t="s">
        <v>1024</v>
      </c>
      <c r="O4032" t="s">
        <v>1024</v>
      </c>
      <c r="P4032" t="s">
        <v>842</v>
      </c>
    </row>
    <row r="4033">
      <c r="A4033">
        <f>HYPERLINK("http://bombeiros.sp.gov.br/hidrantes/03individual/3811.html","3811")</f>
      </c>
      <c r="B4033" t="s">
        <v>842</v>
      </c>
      <c r="C4033" t="s">
        <v>870</v>
      </c>
      <c r="D4033" t="s">
        <v>871</v>
      </c>
      <c r="E4033" t="s">
        <v>15</v>
      </c>
      <c r="F4033" t="s">
        <v>12223</v>
      </c>
      <c r="G4033" t="s">
        <v>17610</v>
      </c>
      <c r="H4033" t="s">
        <v>1112</v>
      </c>
      <c r="I4033" t="s">
        <v>1117</v>
      </c>
      <c r="J4033" t="s">
        <v>12224</v>
      </c>
      <c r="K4033" t="s">
        <v>12225</v>
      </c>
      <c r="L4033" t="s">
        <v>21</v>
      </c>
      <c r="M4033" t="s">
        <v>19177</v>
      </c>
      <c r="N4033" t="s">
        <v>1024</v>
      </c>
      <c r="O4033" t="s">
        <v>1024</v>
      </c>
      <c r="P4033" t="s">
        <v>842</v>
      </c>
    </row>
    <row r="4034">
      <c r="A4034">
        <f>HYPERLINK("http://bombeiros.sp.gov.br/hidrantes/03individual/3814.html","3814")</f>
      </c>
      <c r="B4034" t="s">
        <v>842</v>
      </c>
      <c r="C4034" t="s">
        <v>870</v>
      </c>
      <c r="D4034" t="s">
        <v>871</v>
      </c>
      <c r="E4034" t="s">
        <v>15</v>
      </c>
      <c r="F4034" t="s">
        <v>12226</v>
      </c>
      <c r="G4034" t="s">
        <v>18182</v>
      </c>
      <c r="H4034" t="s">
        <v>1174</v>
      </c>
      <c r="I4034" t="s">
        <v>1117</v>
      </c>
      <c r="J4034" t="s">
        <v>12227</v>
      </c>
      <c r="K4034" t="s">
        <v>12228</v>
      </c>
      <c r="L4034" t="s">
        <v>21</v>
      </c>
      <c r="M4034" t="s">
        <v>19177</v>
      </c>
      <c r="N4034" t="s">
        <v>1024</v>
      </c>
      <c r="O4034" t="s">
        <v>1024</v>
      </c>
      <c r="P4034" t="s">
        <v>842</v>
      </c>
    </row>
    <row r="4035">
      <c r="A4035">
        <f>HYPERLINK("http://bombeiros.sp.gov.br/hidrantes/03individual/3823.html","3823")</f>
      </c>
      <c r="B4035" t="s">
        <v>842</v>
      </c>
      <c r="C4035" t="s">
        <v>870</v>
      </c>
      <c r="D4035" t="s">
        <v>871</v>
      </c>
      <c r="E4035" t="s">
        <v>15</v>
      </c>
      <c r="F4035" t="s">
        <v>12229</v>
      </c>
      <c r="G4035" t="s">
        <v>17584</v>
      </c>
      <c r="H4035" t="s">
        <v>1112</v>
      </c>
      <c r="I4035" t="s">
        <v>1108</v>
      </c>
      <c r="J4035" t="s">
        <v>12230</v>
      </c>
      <c r="K4035" t="s">
        <v>12231</v>
      </c>
      <c r="L4035" t="s">
        <v>21</v>
      </c>
      <c r="M4035" t="s">
        <v>19177</v>
      </c>
      <c r="N4035" t="s">
        <v>1024</v>
      </c>
      <c r="O4035" t="s">
        <v>1024</v>
      </c>
      <c r="P4035" t="s">
        <v>842</v>
      </c>
    </row>
    <row r="4036">
      <c r="A4036">
        <f>HYPERLINK("http://bombeiros.sp.gov.br/hidrantes/03individual/4368.html","4368")</f>
      </c>
      <c r="B4036" t="s">
        <v>842</v>
      </c>
      <c r="C4036" t="s">
        <v>870</v>
      </c>
      <c r="D4036" t="s">
        <v>871</v>
      </c>
      <c r="E4036" t="s">
        <v>15</v>
      </c>
      <c r="F4036" t="s">
        <v>12232</v>
      </c>
      <c r="G4036" t="s">
        <v>18105</v>
      </c>
      <c r="H4036" t="s">
        <v>1112</v>
      </c>
      <c r="I4036" t="s">
        <v>1108</v>
      </c>
      <c r="J4036" t="s">
        <v>12233</v>
      </c>
      <c r="K4036" t="s">
        <v>12234</v>
      </c>
      <c r="L4036" t="s">
        <v>21</v>
      </c>
      <c r="M4036" t="s">
        <v>19177</v>
      </c>
      <c r="N4036" t="s">
        <v>1024</v>
      </c>
      <c r="O4036" t="s">
        <v>1024</v>
      </c>
      <c r="P4036" t="s">
        <v>842</v>
      </c>
    </row>
    <row r="4037">
      <c r="A4037">
        <f>HYPERLINK("http://bombeiros.sp.gov.br/hidrantes/03individual/6734.html","6734")</f>
      </c>
      <c r="B4037" t="s">
        <v>842</v>
      </c>
      <c r="C4037" t="s">
        <v>870</v>
      </c>
      <c r="D4037" t="s">
        <v>871</v>
      </c>
      <c r="E4037" t="s">
        <v>15</v>
      </c>
      <c r="F4037" t="s">
        <v>12235</v>
      </c>
      <c r="G4037" t="s">
        <v>17968</v>
      </c>
      <c r="H4037" t="s">
        <v>1112</v>
      </c>
      <c r="I4037" t="s">
        <v>1108</v>
      </c>
      <c r="J4037" t="s">
        <v>12236</v>
      </c>
      <c r="K4037" t="s">
        <v>12237</v>
      </c>
      <c r="L4037" t="s">
        <v>21</v>
      </c>
      <c r="M4037" t="s">
        <v>19177</v>
      </c>
      <c r="N4037" t="s">
        <v>1024</v>
      </c>
      <c r="O4037" t="s">
        <v>1024</v>
      </c>
      <c r="P4037" t="s">
        <v>842</v>
      </c>
    </row>
    <row r="4038">
      <c r="A4038">
        <f>HYPERLINK("http://bombeiros.sp.gov.br/hidrantes/03individual/17669.html","17669")</f>
      </c>
      <c r="B4038" t="s">
        <v>842</v>
      </c>
      <c r="C4038" t="s">
        <v>870</v>
      </c>
      <c r="D4038" t="s">
        <v>871</v>
      </c>
      <c r="E4038" t="s">
        <v>15</v>
      </c>
      <c r="F4038" t="s">
        <v>12238</v>
      </c>
      <c r="G4038" t="s">
        <v>17627</v>
      </c>
      <c r="H4038" t="s">
        <v>1121</v>
      </c>
      <c r="I4038" t="s">
        <v>1117</v>
      </c>
      <c r="J4038" t="s">
        <v>12239</v>
      </c>
      <c r="K4038" t="s">
        <v>12240</v>
      </c>
      <c r="L4038" t="s">
        <v>21</v>
      </c>
      <c r="M4038" t="s">
        <v>19177</v>
      </c>
      <c r="N4038" t="s">
        <v>1024</v>
      </c>
      <c r="O4038" t="s">
        <v>1024</v>
      </c>
      <c r="P4038" t="s">
        <v>842</v>
      </c>
    </row>
    <row r="4039">
      <c r="A4039">
        <f>HYPERLINK("http://bombeiros.sp.gov.br/hidrantes/03individual/17670.html","17670")</f>
      </c>
      <c r="B4039" t="s">
        <v>842</v>
      </c>
      <c r="C4039" t="s">
        <v>870</v>
      </c>
      <c r="D4039" t="s">
        <v>871</v>
      </c>
      <c r="E4039" t="s">
        <v>15</v>
      </c>
      <c r="F4039" t="s">
        <v>12241</v>
      </c>
      <c r="G4039" t="s">
        <v>17900</v>
      </c>
      <c r="H4039" t="s">
        <v>1112</v>
      </c>
      <c r="I4039" t="s">
        <v>1108</v>
      </c>
      <c r="J4039" t="s">
        <v>12242</v>
      </c>
      <c r="K4039" t="s">
        <v>12243</v>
      </c>
      <c r="L4039" t="s">
        <v>21</v>
      </c>
      <c r="M4039" t="s">
        <v>19177</v>
      </c>
      <c r="N4039" t="s">
        <v>1024</v>
      </c>
      <c r="O4039" t="s">
        <v>1024</v>
      </c>
      <c r="P4039" t="s">
        <v>842</v>
      </c>
    </row>
    <row r="4040">
      <c r="A4040">
        <f>HYPERLINK("http://bombeiros.sp.gov.br/hidrantes/03individual/17698.html","17698")</f>
      </c>
      <c r="B4040" t="s">
        <v>842</v>
      </c>
      <c r="C4040" t="s">
        <v>870</v>
      </c>
      <c r="D4040" t="s">
        <v>871</v>
      </c>
      <c r="E4040" t="s">
        <v>15</v>
      </c>
      <c r="F4040" t="s">
        <v>12244</v>
      </c>
      <c r="G4040" t="s">
        <v>18143</v>
      </c>
      <c r="H4040" t="s">
        <v>1112</v>
      </c>
      <c r="I4040" t="s">
        <v>1108</v>
      </c>
      <c r="J4040" t="s">
        <v>12245</v>
      </c>
      <c r="K4040" t="s">
        <v>12246</v>
      </c>
      <c r="L4040" t="s">
        <v>21</v>
      </c>
      <c r="M4040" t="s">
        <v>19177</v>
      </c>
      <c r="N4040" t="s">
        <v>1024</v>
      </c>
      <c r="O4040" t="s">
        <v>1024</v>
      </c>
      <c r="P4040" t="s">
        <v>842</v>
      </c>
    </row>
    <row r="4041">
      <c r="A4041">
        <f>HYPERLINK("http://bombeiros.sp.gov.br/hidrantes/03individual/17699.html","17699")</f>
      </c>
      <c r="B4041" t="s">
        <v>842</v>
      </c>
      <c r="C4041" t="s">
        <v>870</v>
      </c>
      <c r="D4041" t="s">
        <v>871</v>
      </c>
      <c r="E4041" t="s">
        <v>15</v>
      </c>
      <c r="F4041" t="s">
        <v>891</v>
      </c>
      <c r="G4041" t="s">
        <v>18130</v>
      </c>
      <c r="H4041" t="s">
        <v>1174</v>
      </c>
      <c r="I4041" t="s">
        <v>1108</v>
      </c>
      <c r="J4041" t="s">
        <v>892</v>
      </c>
      <c r="K4041" t="s">
        <v>893</v>
      </c>
      <c r="L4041" t="s">
        <v>21</v>
      </c>
      <c r="M4041" t="s">
        <v>19177</v>
      </c>
      <c r="N4041" t="s">
        <v>1024</v>
      </c>
      <c r="O4041" t="s">
        <v>1024</v>
      </c>
      <c r="P4041" t="s">
        <v>842</v>
      </c>
    </row>
    <row r="4042">
      <c r="A4042">
        <f>HYPERLINK("http://bombeiros.sp.gov.br/hidrantes/03individual/17845.html","17845")</f>
      </c>
      <c r="B4042" t="s">
        <v>842</v>
      </c>
      <c r="C4042" t="s">
        <v>870</v>
      </c>
      <c r="D4042" t="s">
        <v>871</v>
      </c>
      <c r="E4042" t="s">
        <v>15</v>
      </c>
      <c r="F4042" t="s">
        <v>12247</v>
      </c>
      <c r="G4042" t="s">
        <v>18105</v>
      </c>
      <c r="H4042" t="s">
        <v>1112</v>
      </c>
      <c r="I4042" t="s">
        <v>1108</v>
      </c>
      <c r="J4042" t="s">
        <v>16077</v>
      </c>
      <c r="K4042" t="s">
        <v>16078</v>
      </c>
      <c r="L4042" t="s">
        <v>21</v>
      </c>
      <c r="M4042" t="s">
        <v>19177</v>
      </c>
      <c r="N4042" t="s">
        <v>1024</v>
      </c>
      <c r="O4042" t="s">
        <v>1024</v>
      </c>
      <c r="P4042" t="s">
        <v>842</v>
      </c>
    </row>
    <row r="4043">
      <c r="A4043">
        <f>HYPERLINK("http://bombeiros.sp.gov.br/hidrantes/03individual/17849.html","17849")</f>
      </c>
      <c r="B4043" t="s">
        <v>842</v>
      </c>
      <c r="C4043" t="s">
        <v>870</v>
      </c>
      <c r="D4043" t="s">
        <v>871</v>
      </c>
      <c r="E4043" t="s">
        <v>15</v>
      </c>
      <c r="F4043" t="s">
        <v>12250</v>
      </c>
      <c r="G4043" t="s">
        <v>17627</v>
      </c>
      <c r="H4043" t="s">
        <v>1121</v>
      </c>
      <c r="I4043" t="s">
        <v>1117</v>
      </c>
      <c r="J4043" t="s">
        <v>12251</v>
      </c>
      <c r="K4043" t="s">
        <v>12252</v>
      </c>
      <c r="L4043" t="s">
        <v>21</v>
      </c>
      <c r="M4043" t="s">
        <v>19177</v>
      </c>
      <c r="N4043" t="s">
        <v>1024</v>
      </c>
      <c r="O4043" t="s">
        <v>1024</v>
      </c>
      <c r="P4043" t="s">
        <v>842</v>
      </c>
    </row>
    <row r="4044">
      <c r="A4044">
        <f>HYPERLINK("http://bombeiros.sp.gov.br/hidrantes/03individual/17856.html","17856")</f>
      </c>
      <c r="B4044" t="s">
        <v>842</v>
      </c>
      <c r="C4044" t="s">
        <v>870</v>
      </c>
      <c r="D4044" t="s">
        <v>871</v>
      </c>
      <c r="E4044" t="s">
        <v>15</v>
      </c>
      <c r="F4044" t="s">
        <v>12253</v>
      </c>
      <c r="G4044" t="s">
        <v>17968</v>
      </c>
      <c r="H4044" t="s">
        <v>1174</v>
      </c>
      <c r="I4044" t="s">
        <v>1117</v>
      </c>
      <c r="J4044" t="s">
        <v>12254</v>
      </c>
      <c r="K4044" t="s">
        <v>12255</v>
      </c>
      <c r="L4044" t="s">
        <v>21</v>
      </c>
      <c r="M4044" t="s">
        <v>19177</v>
      </c>
      <c r="N4044" t="s">
        <v>1024</v>
      </c>
      <c r="O4044" t="s">
        <v>1024</v>
      </c>
      <c r="P4044" t="s">
        <v>842</v>
      </c>
    </row>
    <row r="4045">
      <c r="A4045">
        <f>HYPERLINK("http://bombeiros.sp.gov.br/hidrantes/03individual/17879.html","17879")</f>
      </c>
      <c r="B4045" t="s">
        <v>842</v>
      </c>
      <c r="C4045" t="s">
        <v>870</v>
      </c>
      <c r="D4045" t="s">
        <v>12256</v>
      </c>
      <c r="E4045" t="s">
        <v>15</v>
      </c>
      <c r="F4045" t="s">
        <v>12257</v>
      </c>
      <c r="G4045" t="s">
        <v>18518</v>
      </c>
      <c r="H4045" t="s">
        <v>1112</v>
      </c>
      <c r="I4045" t="s">
        <v>1108</v>
      </c>
      <c r="J4045" t="s">
        <v>12258</v>
      </c>
      <c r="K4045" t="s">
        <v>12259</v>
      </c>
      <c r="L4045" t="s">
        <v>21</v>
      </c>
      <c r="M4045" t="s">
        <v>19177</v>
      </c>
      <c r="N4045" t="s">
        <v>1024</v>
      </c>
      <c r="O4045" t="s">
        <v>1024</v>
      </c>
      <c r="P4045" t="s">
        <v>842</v>
      </c>
    </row>
    <row r="4046">
      <c r="A4046">
        <f>HYPERLINK("http://bombeiros.sp.gov.br/hidrantes/03individual/335.html","335")</f>
      </c>
      <c r="B4046" t="s">
        <v>842</v>
      </c>
      <c r="C4046" t="s">
        <v>870</v>
      </c>
      <c r="D4046" t="s">
        <v>12260</v>
      </c>
      <c r="E4046" t="s">
        <v>15</v>
      </c>
      <c r="F4046" t="s">
        <v>12261</v>
      </c>
      <c r="G4046" t="s">
        <v>18518</v>
      </c>
      <c r="H4046" t="s">
        <v>1112</v>
      </c>
      <c r="I4046" t="s">
        <v>1108</v>
      </c>
      <c r="J4046" t="s">
        <v>12262</v>
      </c>
      <c r="K4046" t="s">
        <v>12263</v>
      </c>
      <c r="L4046" t="s">
        <v>21</v>
      </c>
      <c r="M4046" t="s">
        <v>19177</v>
      </c>
      <c r="N4046" t="s">
        <v>1024</v>
      </c>
      <c r="O4046" t="s">
        <v>1024</v>
      </c>
      <c r="P4046" t="s">
        <v>842</v>
      </c>
    </row>
    <row r="4047">
      <c r="A4047">
        <f>HYPERLINK("http://bombeiros.sp.gov.br/hidrantes/03individual/464.html","464")</f>
      </c>
      <c r="B4047" t="s">
        <v>842</v>
      </c>
      <c r="C4047" t="s">
        <v>870</v>
      </c>
      <c r="D4047" t="s">
        <v>12260</v>
      </c>
      <c r="E4047" t="s">
        <v>15</v>
      </c>
      <c r="F4047" t="s">
        <v>12264</v>
      </c>
      <c r="G4047" t="s">
        <v>18256</v>
      </c>
      <c r="H4047" t="s">
        <v>1112</v>
      </c>
      <c r="I4047" t="s">
        <v>1108</v>
      </c>
      <c r="J4047" t="s">
        <v>12265</v>
      </c>
      <c r="K4047" t="s">
        <v>12266</v>
      </c>
      <c r="L4047" t="s">
        <v>21</v>
      </c>
      <c r="M4047" t="s">
        <v>19177</v>
      </c>
      <c r="N4047" t="s">
        <v>1024</v>
      </c>
      <c r="O4047" t="s">
        <v>1024</v>
      </c>
      <c r="P4047" t="s">
        <v>842</v>
      </c>
    </row>
    <row r="4048">
      <c r="A4048">
        <f>HYPERLINK("http://bombeiros.sp.gov.br/hidrantes/03individual/3673.html","3673")</f>
      </c>
      <c r="B4048" t="s">
        <v>842</v>
      </c>
      <c r="C4048" t="s">
        <v>870</v>
      </c>
      <c r="D4048" t="s">
        <v>12260</v>
      </c>
      <c r="E4048" t="s">
        <v>15</v>
      </c>
      <c r="F4048" t="s">
        <v>12267</v>
      </c>
      <c r="G4048" t="s">
        <v>18518</v>
      </c>
      <c r="H4048" t="s">
        <v>1112</v>
      </c>
      <c r="I4048" t="s">
        <v>1108</v>
      </c>
      <c r="J4048" t="s">
        <v>12268</v>
      </c>
      <c r="K4048" t="s">
        <v>12269</v>
      </c>
      <c r="L4048" t="s">
        <v>21</v>
      </c>
      <c r="M4048" t="s">
        <v>19177</v>
      </c>
      <c r="N4048" t="s">
        <v>1024</v>
      </c>
      <c r="O4048" t="s">
        <v>1024</v>
      </c>
      <c r="P4048" t="s">
        <v>842</v>
      </c>
    </row>
    <row r="4049">
      <c r="A4049">
        <f>HYPERLINK("http://bombeiros.sp.gov.br/hidrantes/03individual/3675.html","3675")</f>
      </c>
      <c r="B4049" t="s">
        <v>842</v>
      </c>
      <c r="C4049" t="s">
        <v>870</v>
      </c>
      <c r="D4049" t="s">
        <v>12260</v>
      </c>
      <c r="E4049" t="s">
        <v>15</v>
      </c>
      <c r="F4049" t="s">
        <v>12270</v>
      </c>
      <c r="G4049" t="s">
        <v>18062</v>
      </c>
      <c r="H4049" t="s">
        <v>1112</v>
      </c>
      <c r="I4049" t="s">
        <v>1108</v>
      </c>
      <c r="J4049" t="s">
        <v>12271</v>
      </c>
      <c r="K4049" t="s">
        <v>12272</v>
      </c>
      <c r="L4049" t="s">
        <v>21</v>
      </c>
      <c r="M4049" t="s">
        <v>19177</v>
      </c>
      <c r="N4049" t="s">
        <v>1024</v>
      </c>
      <c r="O4049" t="s">
        <v>1024</v>
      </c>
      <c r="P4049" t="s">
        <v>842</v>
      </c>
    </row>
    <row r="4050">
      <c r="A4050">
        <f>HYPERLINK("http://bombeiros.sp.gov.br/hidrantes/03individual/3676.html","3676")</f>
      </c>
      <c r="B4050" t="s">
        <v>842</v>
      </c>
      <c r="C4050" t="s">
        <v>870</v>
      </c>
      <c r="D4050" t="s">
        <v>12260</v>
      </c>
      <c r="E4050" t="s">
        <v>15</v>
      </c>
      <c r="F4050" t="s">
        <v>12273</v>
      </c>
      <c r="G4050" t="s">
        <v>18062</v>
      </c>
      <c r="H4050" t="s">
        <v>1107</v>
      </c>
      <c r="I4050" t="s">
        <v>1108</v>
      </c>
      <c r="J4050" t="s">
        <v>12274</v>
      </c>
      <c r="K4050" t="s">
        <v>12275</v>
      </c>
      <c r="L4050" t="s">
        <v>21</v>
      </c>
      <c r="M4050" t="s">
        <v>19177</v>
      </c>
      <c r="N4050" t="s">
        <v>1024</v>
      </c>
      <c r="O4050" t="s">
        <v>1024</v>
      </c>
      <c r="P4050" t="s">
        <v>842</v>
      </c>
    </row>
    <row r="4051">
      <c r="A4051">
        <f>HYPERLINK("http://bombeiros.sp.gov.br/hidrantes/03individual/3755.html","3755")</f>
      </c>
      <c r="B4051" t="s">
        <v>842</v>
      </c>
      <c r="C4051" t="s">
        <v>870</v>
      </c>
      <c r="D4051" t="s">
        <v>12260</v>
      </c>
      <c r="E4051" t="s">
        <v>15</v>
      </c>
      <c r="F4051" t="s">
        <v>12276</v>
      </c>
      <c r="G4051" t="s">
        <v>18042</v>
      </c>
      <c r="H4051" t="s">
        <v>1112</v>
      </c>
      <c r="I4051" t="s">
        <v>1108</v>
      </c>
      <c r="J4051" t="s">
        <v>12277</v>
      </c>
      <c r="K4051" t="s">
        <v>12278</v>
      </c>
      <c r="L4051" t="s">
        <v>21</v>
      </c>
      <c r="M4051" t="s">
        <v>19177</v>
      </c>
      <c r="N4051" t="s">
        <v>1024</v>
      </c>
      <c r="O4051" t="s">
        <v>1024</v>
      </c>
      <c r="P4051" t="s">
        <v>842</v>
      </c>
    </row>
    <row r="4052">
      <c r="A4052">
        <f>HYPERLINK("http://bombeiros.sp.gov.br/hidrantes/03individual/3762.html","3762")</f>
      </c>
      <c r="B4052" t="s">
        <v>842</v>
      </c>
      <c r="C4052" t="s">
        <v>870</v>
      </c>
      <c r="D4052" t="s">
        <v>12260</v>
      </c>
      <c r="E4052" t="s">
        <v>15</v>
      </c>
      <c r="F4052" t="s">
        <v>12279</v>
      </c>
      <c r="G4052" t="s">
        <v>18518</v>
      </c>
      <c r="H4052" t="s">
        <v>1121</v>
      </c>
      <c r="I4052" t="s">
        <v>1117</v>
      </c>
      <c r="J4052" t="s">
        <v>12280</v>
      </c>
      <c r="K4052" t="s">
        <v>12281</v>
      </c>
      <c r="L4052" t="s">
        <v>21</v>
      </c>
      <c r="M4052" t="s">
        <v>19177</v>
      </c>
      <c r="N4052" t="s">
        <v>1024</v>
      </c>
      <c r="O4052" t="s">
        <v>1024</v>
      </c>
      <c r="P4052" t="s">
        <v>842</v>
      </c>
    </row>
    <row r="4053">
      <c r="A4053">
        <f>HYPERLINK("http://bombeiros.sp.gov.br/hidrantes/03individual/3766.html","3766")</f>
      </c>
      <c r="B4053" t="s">
        <v>842</v>
      </c>
      <c r="C4053" t="s">
        <v>870</v>
      </c>
      <c r="D4053" t="s">
        <v>12260</v>
      </c>
      <c r="E4053" t="s">
        <v>15</v>
      </c>
      <c r="F4053" t="s">
        <v>12282</v>
      </c>
      <c r="G4053" t="s">
        <v>18062</v>
      </c>
      <c r="H4053" t="s">
        <v>1107</v>
      </c>
      <c r="I4053" t="s">
        <v>1108</v>
      </c>
      <c r="J4053" t="s">
        <v>12283</v>
      </c>
      <c r="K4053" t="s">
        <v>12284</v>
      </c>
      <c r="L4053" t="s">
        <v>21</v>
      </c>
      <c r="M4053" t="s">
        <v>19177</v>
      </c>
      <c r="N4053" t="s">
        <v>1024</v>
      </c>
      <c r="O4053" t="s">
        <v>1024</v>
      </c>
      <c r="P4053" t="s">
        <v>842</v>
      </c>
    </row>
    <row r="4054">
      <c r="A4054">
        <f>HYPERLINK("http://bombeiros.sp.gov.br/hidrantes/03individual/17694.html","17694")</f>
      </c>
      <c r="B4054" t="s">
        <v>842</v>
      </c>
      <c r="C4054" t="s">
        <v>870</v>
      </c>
      <c r="D4054" t="s">
        <v>12260</v>
      </c>
      <c r="E4054" t="s">
        <v>15</v>
      </c>
      <c r="F4054" t="s">
        <v>12285</v>
      </c>
      <c r="G4054" t="s">
        <v>18062</v>
      </c>
      <c r="H4054" t="s">
        <v>1107</v>
      </c>
      <c r="I4054" t="s">
        <v>1108</v>
      </c>
      <c r="J4054" t="s">
        <v>12286</v>
      </c>
      <c r="K4054" t="s">
        <v>12287</v>
      </c>
      <c r="L4054" t="s">
        <v>21</v>
      </c>
      <c r="M4054" t="s">
        <v>19177</v>
      </c>
      <c r="N4054" t="s">
        <v>1024</v>
      </c>
      <c r="O4054" t="s">
        <v>1024</v>
      </c>
      <c r="P4054" t="s">
        <v>842</v>
      </c>
    </row>
    <row r="4055">
      <c r="A4055">
        <f>HYPERLINK("http://bombeiros.sp.gov.br/hidrantes/03individual/17695.html","17695")</f>
      </c>
      <c r="B4055" t="s">
        <v>842</v>
      </c>
      <c r="C4055" t="s">
        <v>870</v>
      </c>
      <c r="D4055" t="s">
        <v>12260</v>
      </c>
      <c r="E4055" t="s">
        <v>15</v>
      </c>
      <c r="F4055" t="s">
        <v>12288</v>
      </c>
      <c r="G4055" t="s">
        <v>18117</v>
      </c>
      <c r="H4055" t="s">
        <v>1107</v>
      </c>
      <c r="I4055" t="s">
        <v>1108</v>
      </c>
      <c r="J4055" t="s">
        <v>12289</v>
      </c>
      <c r="K4055" t="s">
        <v>12290</v>
      </c>
      <c r="L4055" t="s">
        <v>21</v>
      </c>
      <c r="M4055" t="s">
        <v>19177</v>
      </c>
      <c r="N4055" t="s">
        <v>1024</v>
      </c>
      <c r="O4055" t="s">
        <v>1024</v>
      </c>
      <c r="P4055" t="s">
        <v>842</v>
      </c>
    </row>
    <row r="4056">
      <c r="A4056">
        <f>HYPERLINK("http://bombeiros.sp.gov.br/hidrantes/03individual/17696.html","17696")</f>
      </c>
      <c r="B4056" t="s">
        <v>842</v>
      </c>
      <c r="C4056" t="s">
        <v>870</v>
      </c>
      <c r="D4056" t="s">
        <v>12260</v>
      </c>
      <c r="E4056" t="s">
        <v>15</v>
      </c>
      <c r="F4056" t="s">
        <v>12291</v>
      </c>
      <c r="G4056" t="s">
        <v>18062</v>
      </c>
      <c r="H4056" t="s">
        <v>1107</v>
      </c>
      <c r="I4056" t="s">
        <v>1108</v>
      </c>
      <c r="J4056" t="s">
        <v>12292</v>
      </c>
      <c r="K4056" t="s">
        <v>12293</v>
      </c>
      <c r="L4056" t="s">
        <v>21</v>
      </c>
      <c r="M4056" t="s">
        <v>19177</v>
      </c>
      <c r="N4056" t="s">
        <v>1024</v>
      </c>
      <c r="O4056" t="s">
        <v>1024</v>
      </c>
      <c r="P4056" t="s">
        <v>842</v>
      </c>
    </row>
    <row r="4057">
      <c r="A4057">
        <f>HYPERLINK("http://bombeiros.sp.gov.br/hidrantes/03individual/17697.html","17697")</f>
      </c>
      <c r="B4057" t="s">
        <v>842</v>
      </c>
      <c r="C4057" t="s">
        <v>870</v>
      </c>
      <c r="D4057" t="s">
        <v>12260</v>
      </c>
      <c r="E4057" t="s">
        <v>15</v>
      </c>
      <c r="F4057" t="s">
        <v>12294</v>
      </c>
      <c r="G4057" t="s">
        <v>18062</v>
      </c>
      <c r="H4057" t="s">
        <v>1112</v>
      </c>
      <c r="I4057" t="s">
        <v>1108</v>
      </c>
      <c r="J4057" t="s">
        <v>12295</v>
      </c>
      <c r="K4057" t="s">
        <v>12296</v>
      </c>
      <c r="L4057" t="s">
        <v>21</v>
      </c>
      <c r="M4057" t="s">
        <v>19177</v>
      </c>
      <c r="N4057" t="s">
        <v>1024</v>
      </c>
      <c r="O4057" t="s">
        <v>1024</v>
      </c>
      <c r="P4057" t="s">
        <v>842</v>
      </c>
    </row>
    <row r="4058">
      <c r="A4058">
        <f>HYPERLINK("http://bombeiros.sp.gov.br/hidrantes/03individual/17847.html","17847")</f>
      </c>
      <c r="B4058" t="s">
        <v>842</v>
      </c>
      <c r="C4058" t="s">
        <v>870</v>
      </c>
      <c r="D4058" t="s">
        <v>12260</v>
      </c>
      <c r="E4058" t="s">
        <v>15</v>
      </c>
      <c r="F4058" t="s">
        <v>12297</v>
      </c>
      <c r="G4058" t="s">
        <v>18518</v>
      </c>
      <c r="H4058" t="s">
        <v>1112</v>
      </c>
      <c r="I4058" t="s">
        <v>1108</v>
      </c>
      <c r="J4058" t="s">
        <v>12298</v>
      </c>
      <c r="K4058" t="s">
        <v>12299</v>
      </c>
      <c r="L4058" t="s">
        <v>21</v>
      </c>
      <c r="M4058" t="s">
        <v>19177</v>
      </c>
      <c r="N4058" t="s">
        <v>1024</v>
      </c>
      <c r="O4058" t="s">
        <v>1024</v>
      </c>
      <c r="P4058" t="s">
        <v>842</v>
      </c>
    </row>
    <row r="4059">
      <c r="A4059">
        <f>HYPERLINK("http://bombeiros.sp.gov.br/hidrantes/03individual/366.html","366")</f>
      </c>
      <c r="B4059" t="s">
        <v>842</v>
      </c>
      <c r="C4059" t="s">
        <v>870</v>
      </c>
      <c r="D4059" t="s">
        <v>12300</v>
      </c>
      <c r="E4059" t="s">
        <v>15</v>
      </c>
      <c r="F4059" t="s">
        <v>12301</v>
      </c>
      <c r="G4059" t="s">
        <v>17901</v>
      </c>
      <c r="H4059" t="s">
        <v>1107</v>
      </c>
      <c r="I4059" t="s">
        <v>1117</v>
      </c>
      <c r="J4059" t="s">
        <v>12302</v>
      </c>
      <c r="K4059" t="s">
        <v>12303</v>
      </c>
      <c r="L4059" t="s">
        <v>21</v>
      </c>
      <c r="M4059" t="s">
        <v>19177</v>
      </c>
      <c r="N4059" t="s">
        <v>1024</v>
      </c>
      <c r="O4059" t="s">
        <v>1024</v>
      </c>
      <c r="P4059" t="s">
        <v>842</v>
      </c>
    </row>
    <row r="4060">
      <c r="A4060">
        <f>HYPERLINK("http://bombeiros.sp.gov.br/hidrantes/03individual/367.html","367")</f>
      </c>
      <c r="B4060" t="s">
        <v>842</v>
      </c>
      <c r="C4060" t="s">
        <v>870</v>
      </c>
      <c r="D4060" t="s">
        <v>12300</v>
      </c>
      <c r="E4060" t="s">
        <v>15</v>
      </c>
      <c r="F4060" t="s">
        <v>12304</v>
      </c>
      <c r="G4060" t="s">
        <v>18111</v>
      </c>
      <c r="H4060" t="s">
        <v>1112</v>
      </c>
      <c r="I4060" t="s">
        <v>1108</v>
      </c>
      <c r="J4060" t="s">
        <v>12305</v>
      </c>
      <c r="K4060" t="s">
        <v>12306</v>
      </c>
      <c r="L4060" t="s">
        <v>21</v>
      </c>
      <c r="M4060" t="s">
        <v>19177</v>
      </c>
      <c r="N4060" t="s">
        <v>1024</v>
      </c>
      <c r="O4060" t="s">
        <v>1024</v>
      </c>
      <c r="P4060" t="s">
        <v>842</v>
      </c>
    </row>
    <row r="4061">
      <c r="A4061">
        <f>HYPERLINK("http://bombeiros.sp.gov.br/hidrantes/03individual/442.html","442")</f>
      </c>
      <c r="B4061" t="s">
        <v>842</v>
      </c>
      <c r="C4061" t="s">
        <v>870</v>
      </c>
      <c r="D4061" t="s">
        <v>12300</v>
      </c>
      <c r="E4061" t="s">
        <v>15</v>
      </c>
      <c r="F4061" t="s">
        <v>12307</v>
      </c>
      <c r="G4061" t="s">
        <v>17901</v>
      </c>
      <c r="H4061" t="s">
        <v>1174</v>
      </c>
      <c r="I4061" t="s">
        <v>1117</v>
      </c>
      <c r="J4061" t="s">
        <v>12308</v>
      </c>
      <c r="K4061" t="s">
        <v>12309</v>
      </c>
      <c r="L4061" t="s">
        <v>21</v>
      </c>
      <c r="M4061" t="s">
        <v>19177</v>
      </c>
      <c r="N4061" t="s">
        <v>1024</v>
      </c>
      <c r="O4061" t="s">
        <v>1024</v>
      </c>
      <c r="P4061" t="s">
        <v>842</v>
      </c>
    </row>
    <row r="4062">
      <c r="A4062">
        <f>HYPERLINK("http://bombeiros.sp.gov.br/hidrantes/03individual/3739.html","3739")</f>
      </c>
      <c r="B4062" t="s">
        <v>842</v>
      </c>
      <c r="C4062" t="s">
        <v>870</v>
      </c>
      <c r="D4062" t="s">
        <v>12300</v>
      </c>
      <c r="E4062" t="s">
        <v>15</v>
      </c>
      <c r="F4062" t="s">
        <v>12310</v>
      </c>
      <c r="G4062" t="s">
        <v>18111</v>
      </c>
      <c r="H4062" t="s">
        <v>1112</v>
      </c>
      <c r="I4062" t="s">
        <v>1108</v>
      </c>
      <c r="J4062" t="s">
        <v>12311</v>
      </c>
      <c r="K4062" t="s">
        <v>12312</v>
      </c>
      <c r="L4062" t="s">
        <v>21</v>
      </c>
      <c r="M4062" t="s">
        <v>19177</v>
      </c>
      <c r="N4062" t="s">
        <v>1024</v>
      </c>
      <c r="O4062" t="s">
        <v>1024</v>
      </c>
      <c r="P4062" t="s">
        <v>842</v>
      </c>
    </row>
    <row r="4063">
      <c r="A4063">
        <f>HYPERLINK("http://bombeiros.sp.gov.br/hidrantes/03individual/17841.html","17841")</f>
      </c>
      <c r="B4063" t="s">
        <v>842</v>
      </c>
      <c r="C4063" t="s">
        <v>870</v>
      </c>
      <c r="D4063" t="s">
        <v>12300</v>
      </c>
      <c r="E4063" t="s">
        <v>15</v>
      </c>
      <c r="F4063" t="s">
        <v>12313</v>
      </c>
      <c r="G4063" t="s">
        <v>18117</v>
      </c>
      <c r="H4063" t="s">
        <v>1107</v>
      </c>
      <c r="I4063" t="s">
        <v>1108</v>
      </c>
      <c r="J4063" t="s">
        <v>12314</v>
      </c>
      <c r="K4063" t="s">
        <v>12315</v>
      </c>
      <c r="L4063" t="s">
        <v>21</v>
      </c>
      <c r="M4063" t="s">
        <v>19177</v>
      </c>
      <c r="N4063" t="s">
        <v>1024</v>
      </c>
      <c r="O4063" t="s">
        <v>1024</v>
      </c>
      <c r="P4063" t="s">
        <v>842</v>
      </c>
    </row>
    <row r="4064">
      <c r="A4064">
        <f>HYPERLINK("http://bombeiros.sp.gov.br/hidrantes/03individual/2408.html","2408")</f>
      </c>
      <c r="B4064" t="s">
        <v>842</v>
      </c>
      <c r="C4064" t="s">
        <v>894</v>
      </c>
      <c r="D4064" t="s">
        <v>895</v>
      </c>
      <c r="E4064" t="s">
        <v>64</v>
      </c>
      <c r="F4064" t="s">
        <v>12316</v>
      </c>
      <c r="G4064" t="s">
        <v>18482</v>
      </c>
      <c r="H4064" t="s">
        <v>1112</v>
      </c>
      <c r="I4064" t="s">
        <v>1108</v>
      </c>
      <c r="J4064" t="s">
        <v>16121</v>
      </c>
      <c r="K4064" t="s">
        <v>16122</v>
      </c>
      <c r="L4064" t="s">
        <v>36</v>
      </c>
      <c r="M4064" t="s">
        <v>19177</v>
      </c>
      <c r="N4064" t="s">
        <v>16376</v>
      </c>
      <c r="O4064" t="s">
        <v>16376</v>
      </c>
      <c r="P4064" t="s">
        <v>842</v>
      </c>
    </row>
    <row r="4065">
      <c r="A4065">
        <f>HYPERLINK("http://bombeiros.sp.gov.br/hidrantes/03individual/4127.html","4127")</f>
      </c>
      <c r="B4065" t="s">
        <v>842</v>
      </c>
      <c r="C4065" t="s">
        <v>894</v>
      </c>
      <c r="D4065" t="s">
        <v>895</v>
      </c>
      <c r="E4065" t="s">
        <v>64</v>
      </c>
      <c r="F4065" t="s">
        <v>12319</v>
      </c>
      <c r="G4065" t="s">
        <v>18055</v>
      </c>
      <c r="H4065" t="s">
        <v>1107</v>
      </c>
      <c r="I4065" t="s">
        <v>1108</v>
      </c>
      <c r="J4065" t="s">
        <v>12321</v>
      </c>
      <c r="K4065" t="s">
        <v>12322</v>
      </c>
      <c r="L4065" t="s">
        <v>36</v>
      </c>
      <c r="M4065" t="s">
        <v>19177</v>
      </c>
      <c r="N4065" t="s">
        <v>16376</v>
      </c>
      <c r="O4065" t="s">
        <v>16376</v>
      </c>
      <c r="P4065" t="s">
        <v>842</v>
      </c>
    </row>
    <row r="4066">
      <c r="A4066">
        <f>HYPERLINK("http://bombeiros.sp.gov.br/hidrantes/03individual/4147.html","4147")</f>
      </c>
      <c r="B4066" t="s">
        <v>842</v>
      </c>
      <c r="C4066" t="s">
        <v>894</v>
      </c>
      <c r="D4066" t="s">
        <v>895</v>
      </c>
      <c r="E4066" t="s">
        <v>64</v>
      </c>
      <c r="F4066" t="s">
        <v>12323</v>
      </c>
      <c r="G4066" t="s">
        <v>18210</v>
      </c>
      <c r="H4066" t="s">
        <v>1174</v>
      </c>
      <c r="I4066" t="s">
        <v>1108</v>
      </c>
      <c r="J4066" t="s">
        <v>12324</v>
      </c>
      <c r="K4066" t="s">
        <v>12325</v>
      </c>
      <c r="L4066" t="s">
        <v>36</v>
      </c>
      <c r="M4066" t="s">
        <v>19177</v>
      </c>
      <c r="N4066" t="s">
        <v>16376</v>
      </c>
      <c r="O4066" t="s">
        <v>16376</v>
      </c>
      <c r="P4066" t="s">
        <v>842</v>
      </c>
    </row>
    <row r="4067">
      <c r="A4067">
        <f>HYPERLINK("http://bombeiros.sp.gov.br/hidrantes/03individual/17889.html","17889")</f>
      </c>
      <c r="B4067" t="s">
        <v>842</v>
      </c>
      <c r="C4067" t="s">
        <v>894</v>
      </c>
      <c r="D4067" t="s">
        <v>895</v>
      </c>
      <c r="E4067" t="s">
        <v>64</v>
      </c>
      <c r="F4067" t="s">
        <v>12326</v>
      </c>
      <c r="G4067" t="s">
        <v>18519</v>
      </c>
      <c r="H4067" t="s">
        <v>1112</v>
      </c>
      <c r="I4067" t="s">
        <v>1108</v>
      </c>
      <c r="J4067" t="s">
        <v>12327</v>
      </c>
      <c r="K4067" t="s">
        <v>12328</v>
      </c>
      <c r="L4067" t="s">
        <v>21</v>
      </c>
      <c r="M4067" t="s">
        <v>19177</v>
      </c>
      <c r="N4067" t="s">
        <v>16376</v>
      </c>
      <c r="O4067" t="s">
        <v>16376</v>
      </c>
      <c r="P4067" t="s">
        <v>842</v>
      </c>
    </row>
    <row r="4068">
      <c r="A4068">
        <f>HYPERLINK("http://bombeiros.sp.gov.br/hidrantes/03individual/17890.html","17890")</f>
      </c>
      <c r="B4068" t="s">
        <v>842</v>
      </c>
      <c r="C4068" t="s">
        <v>894</v>
      </c>
      <c r="D4068" t="s">
        <v>895</v>
      </c>
      <c r="E4068" t="s">
        <v>64</v>
      </c>
      <c r="F4068" t="s">
        <v>12329</v>
      </c>
      <c r="G4068" t="s">
        <v>18519</v>
      </c>
      <c r="H4068" t="s">
        <v>1112</v>
      </c>
      <c r="I4068" t="s">
        <v>1108</v>
      </c>
      <c r="J4068" t="s">
        <v>12330</v>
      </c>
      <c r="K4068" t="s">
        <v>12331</v>
      </c>
      <c r="L4068" t="s">
        <v>21</v>
      </c>
      <c r="M4068" t="s">
        <v>19177</v>
      </c>
      <c r="N4068" t="s">
        <v>16376</v>
      </c>
      <c r="O4068" t="s">
        <v>16376</v>
      </c>
      <c r="P4068" t="s">
        <v>842</v>
      </c>
    </row>
    <row r="4069">
      <c r="A4069">
        <f>HYPERLINK("http://bombeiros.sp.gov.br/hidrantes/03individual/2343.html","2343")</f>
      </c>
      <c r="B4069" t="s">
        <v>842</v>
      </c>
      <c r="C4069" t="s">
        <v>894</v>
      </c>
      <c r="D4069" t="s">
        <v>895</v>
      </c>
      <c r="E4069" t="s">
        <v>15</v>
      </c>
      <c r="F4069" t="s">
        <v>12332</v>
      </c>
      <c r="G4069" t="s">
        <v>18055</v>
      </c>
      <c r="H4069" t="s">
        <v>1112</v>
      </c>
      <c r="I4069" t="s">
        <v>1108</v>
      </c>
      <c r="J4069" t="s">
        <v>12333</v>
      </c>
      <c r="K4069" t="s">
        <v>12334</v>
      </c>
      <c r="L4069" t="s">
        <v>21</v>
      </c>
      <c r="M4069" t="s">
        <v>19177</v>
      </c>
      <c r="N4069" t="s">
        <v>16376</v>
      </c>
      <c r="O4069" t="s">
        <v>16376</v>
      </c>
      <c r="P4069" t="s">
        <v>842</v>
      </c>
    </row>
    <row r="4070">
      <c r="A4070">
        <f>HYPERLINK("http://bombeiros.sp.gov.br/hidrantes/03individual/2365.html","2365")</f>
      </c>
      <c r="B4070" t="s">
        <v>842</v>
      </c>
      <c r="C4070" t="s">
        <v>894</v>
      </c>
      <c r="D4070" t="s">
        <v>895</v>
      </c>
      <c r="E4070" t="s">
        <v>15</v>
      </c>
      <c r="F4070" t="s">
        <v>12335</v>
      </c>
      <c r="G4070" t="s">
        <v>18210</v>
      </c>
      <c r="H4070" t="s">
        <v>1107</v>
      </c>
      <c r="I4070" t="s">
        <v>1108</v>
      </c>
      <c r="J4070" t="s">
        <v>12336</v>
      </c>
      <c r="K4070" t="s">
        <v>12337</v>
      </c>
      <c r="L4070" t="s">
        <v>21</v>
      </c>
      <c r="M4070" t="s">
        <v>19177</v>
      </c>
      <c r="N4070" t="s">
        <v>16376</v>
      </c>
      <c r="O4070" t="s">
        <v>16376</v>
      </c>
      <c r="P4070" t="s">
        <v>842</v>
      </c>
    </row>
    <row r="4071">
      <c r="A4071">
        <f>HYPERLINK("http://bombeiros.sp.gov.br/hidrantes/03individual/2380.html","2380")</f>
      </c>
      <c r="B4071" t="s">
        <v>842</v>
      </c>
      <c r="C4071" t="s">
        <v>894</v>
      </c>
      <c r="D4071" t="s">
        <v>895</v>
      </c>
      <c r="E4071" t="s">
        <v>15</v>
      </c>
      <c r="F4071" t="s">
        <v>12338</v>
      </c>
      <c r="G4071" t="s">
        <v>18210</v>
      </c>
      <c r="H4071" t="s">
        <v>1112</v>
      </c>
      <c r="I4071" t="s">
        <v>1108</v>
      </c>
      <c r="J4071" t="s">
        <v>12339</v>
      </c>
      <c r="K4071" t="s">
        <v>12340</v>
      </c>
      <c r="L4071" t="s">
        <v>21</v>
      </c>
      <c r="M4071" t="s">
        <v>19177</v>
      </c>
      <c r="N4071" t="s">
        <v>16376</v>
      </c>
      <c r="O4071" t="s">
        <v>16376</v>
      </c>
      <c r="P4071" t="s">
        <v>842</v>
      </c>
    </row>
    <row r="4072">
      <c r="A4072">
        <f>HYPERLINK("http://bombeiros.sp.gov.br/hidrantes/03individual/4143.html","4143")</f>
      </c>
      <c r="B4072" t="s">
        <v>842</v>
      </c>
      <c r="C4072" t="s">
        <v>894</v>
      </c>
      <c r="D4072" t="s">
        <v>895</v>
      </c>
      <c r="E4072" t="s">
        <v>15</v>
      </c>
      <c r="F4072" t="s">
        <v>12341</v>
      </c>
      <c r="G4072" t="s">
        <v>18154</v>
      </c>
      <c r="H4072" t="s">
        <v>1112</v>
      </c>
      <c r="I4072" t="s">
        <v>1108</v>
      </c>
      <c r="J4072" t="s">
        <v>12342</v>
      </c>
      <c r="K4072" t="s">
        <v>12343</v>
      </c>
      <c r="L4072" t="s">
        <v>21</v>
      </c>
      <c r="M4072" t="s">
        <v>19177</v>
      </c>
      <c r="N4072" t="s">
        <v>16376</v>
      </c>
      <c r="O4072" t="s">
        <v>16376</v>
      </c>
      <c r="P4072" t="s">
        <v>842</v>
      </c>
    </row>
    <row r="4073">
      <c r="A4073">
        <f>HYPERLINK("http://bombeiros.sp.gov.br/hidrantes/03individual/4427.html","4427")</f>
      </c>
      <c r="B4073" t="s">
        <v>842</v>
      </c>
      <c r="C4073" t="s">
        <v>894</v>
      </c>
      <c r="D4073" t="s">
        <v>12344</v>
      </c>
      <c r="E4073" t="s">
        <v>64</v>
      </c>
      <c r="F4073" t="s">
        <v>12345</v>
      </c>
      <c r="G4073" t="s">
        <v>18056</v>
      </c>
      <c r="H4073" t="s">
        <v>1112</v>
      </c>
      <c r="I4073" t="s">
        <v>1108</v>
      </c>
      <c r="J4073" t="s">
        <v>12346</v>
      </c>
      <c r="K4073" t="s">
        <v>12347</v>
      </c>
      <c r="L4073" t="s">
        <v>21</v>
      </c>
      <c r="M4073" t="s">
        <v>19177</v>
      </c>
      <c r="N4073" t="s">
        <v>16376</v>
      </c>
      <c r="O4073" t="s">
        <v>16376</v>
      </c>
      <c r="P4073" t="s">
        <v>842</v>
      </c>
    </row>
    <row r="4074">
      <c r="A4074">
        <f>HYPERLINK("http://bombeiros.sp.gov.br/hidrantes/03individual/2341.html","2341")</f>
      </c>
      <c r="B4074" t="s">
        <v>842</v>
      </c>
      <c r="C4074" t="s">
        <v>894</v>
      </c>
      <c r="D4074" t="s">
        <v>12344</v>
      </c>
      <c r="E4074" t="s">
        <v>15</v>
      </c>
      <c r="F4074" t="s">
        <v>12348</v>
      </c>
      <c r="G4074" t="s">
        <v>18154</v>
      </c>
      <c r="H4074" t="s">
        <v>1174</v>
      </c>
      <c r="I4074" t="s">
        <v>1108</v>
      </c>
      <c r="J4074" t="s">
        <v>12349</v>
      </c>
      <c r="K4074" t="s">
        <v>12350</v>
      </c>
      <c r="L4074" t="s">
        <v>21</v>
      </c>
      <c r="M4074" t="s">
        <v>19177</v>
      </c>
      <c r="N4074" t="s">
        <v>16376</v>
      </c>
      <c r="O4074" t="s">
        <v>16376</v>
      </c>
      <c r="P4074" t="s">
        <v>842</v>
      </c>
    </row>
    <row r="4075">
      <c r="A4075">
        <f>HYPERLINK("http://bombeiros.sp.gov.br/hidrantes/03individual/2378.html","2378")</f>
      </c>
      <c r="B4075" t="s">
        <v>842</v>
      </c>
      <c r="C4075" t="s">
        <v>894</v>
      </c>
      <c r="D4075" t="s">
        <v>12344</v>
      </c>
      <c r="E4075" t="s">
        <v>15</v>
      </c>
      <c r="F4075" t="s">
        <v>12351</v>
      </c>
      <c r="G4075" t="s">
        <v>18056</v>
      </c>
      <c r="H4075" t="s">
        <v>1174</v>
      </c>
      <c r="I4075" t="s">
        <v>1108</v>
      </c>
      <c r="J4075" t="s">
        <v>12352</v>
      </c>
      <c r="K4075" t="s">
        <v>12353</v>
      </c>
      <c r="L4075" t="s">
        <v>21</v>
      </c>
      <c r="M4075" t="s">
        <v>19177</v>
      </c>
      <c r="N4075" t="s">
        <v>16376</v>
      </c>
      <c r="O4075" t="s">
        <v>16376</v>
      </c>
      <c r="P4075" t="s">
        <v>842</v>
      </c>
    </row>
    <row r="4076">
      <c r="A4076">
        <f>HYPERLINK("http://bombeiros.sp.gov.br/hidrantes/03individual/4144.html","4144")</f>
      </c>
      <c r="B4076" t="s">
        <v>842</v>
      </c>
      <c r="C4076" t="s">
        <v>894</v>
      </c>
      <c r="D4076" t="s">
        <v>12344</v>
      </c>
      <c r="E4076" t="s">
        <v>15</v>
      </c>
      <c r="F4076" t="s">
        <v>12354</v>
      </c>
      <c r="G4076" t="s">
        <v>18154</v>
      </c>
      <c r="H4076" t="s">
        <v>1112</v>
      </c>
      <c r="I4076" t="s">
        <v>1108</v>
      </c>
      <c r="J4076" t="s">
        <v>12355</v>
      </c>
      <c r="K4076" t="s">
        <v>12356</v>
      </c>
      <c r="L4076" t="s">
        <v>21</v>
      </c>
      <c r="M4076" t="s">
        <v>19177</v>
      </c>
      <c r="N4076" t="s">
        <v>16376</v>
      </c>
      <c r="O4076" t="s">
        <v>16376</v>
      </c>
      <c r="P4076" t="s">
        <v>842</v>
      </c>
    </row>
    <row r="4077">
      <c r="A4077">
        <f>HYPERLINK("http://bombeiros.sp.gov.br/hidrantes/03individual/4146.html","4146")</f>
      </c>
      <c r="B4077" t="s">
        <v>842</v>
      </c>
      <c r="C4077" t="s">
        <v>894</v>
      </c>
      <c r="D4077" t="s">
        <v>12344</v>
      </c>
      <c r="E4077" t="s">
        <v>15</v>
      </c>
      <c r="F4077" t="s">
        <v>12357</v>
      </c>
      <c r="G4077" t="s">
        <v>18154</v>
      </c>
      <c r="H4077" t="s">
        <v>1112</v>
      </c>
      <c r="I4077" t="s">
        <v>1108</v>
      </c>
      <c r="J4077" t="s">
        <v>12358</v>
      </c>
      <c r="K4077" t="s">
        <v>12359</v>
      </c>
      <c r="L4077" t="s">
        <v>36</v>
      </c>
      <c r="M4077" t="s">
        <v>19177</v>
      </c>
      <c r="N4077" t="s">
        <v>16376</v>
      </c>
      <c r="O4077" t="s">
        <v>16376</v>
      </c>
      <c r="P4077" t="s">
        <v>842</v>
      </c>
    </row>
    <row r="4078">
      <c r="A4078">
        <f>HYPERLINK("http://bombeiros.sp.gov.br/hidrantes/03individual/4407.html","4407")</f>
      </c>
      <c r="B4078" t="s">
        <v>842</v>
      </c>
      <c r="C4078" t="s">
        <v>894</v>
      </c>
      <c r="D4078" t="s">
        <v>12344</v>
      </c>
      <c r="E4078" t="s">
        <v>15</v>
      </c>
      <c r="F4078" t="s">
        <v>12360</v>
      </c>
      <c r="G4078" t="s">
        <v>18154</v>
      </c>
      <c r="H4078" t="s">
        <v>1112</v>
      </c>
      <c r="I4078" t="s">
        <v>1108</v>
      </c>
      <c r="J4078" t="s">
        <v>12361</v>
      </c>
      <c r="K4078" t="s">
        <v>12362</v>
      </c>
      <c r="L4078" t="s">
        <v>21</v>
      </c>
      <c r="M4078" t="s">
        <v>19177</v>
      </c>
      <c r="N4078" t="s">
        <v>16376</v>
      </c>
      <c r="O4078" t="s">
        <v>16376</v>
      </c>
      <c r="P4078" t="s">
        <v>842</v>
      </c>
    </row>
    <row r="4079">
      <c r="A4079">
        <f>HYPERLINK("http://bombeiros.sp.gov.br/hidrantes/03individual/6740.html","6740")</f>
      </c>
      <c r="B4079" t="s">
        <v>842</v>
      </c>
      <c r="C4079" t="s">
        <v>894</v>
      </c>
      <c r="D4079" t="s">
        <v>12344</v>
      </c>
      <c r="E4079" t="s">
        <v>15</v>
      </c>
      <c r="F4079" t="s">
        <v>12363</v>
      </c>
      <c r="G4079" t="s">
        <v>18154</v>
      </c>
      <c r="H4079" t="s">
        <v>1121</v>
      </c>
      <c r="I4079" t="s">
        <v>1117</v>
      </c>
      <c r="J4079" t="s">
        <v>12364</v>
      </c>
      <c r="K4079" t="s">
        <v>12365</v>
      </c>
      <c r="L4079" t="s">
        <v>21</v>
      </c>
      <c r="M4079" t="s">
        <v>19177</v>
      </c>
      <c r="N4079" t="s">
        <v>16376</v>
      </c>
      <c r="O4079" t="s">
        <v>16376</v>
      </c>
      <c r="P4079" t="s">
        <v>842</v>
      </c>
    </row>
    <row r="4080">
      <c r="A4080">
        <f>HYPERLINK("http://bombeiros.sp.gov.br/hidrantes/03individual/17867.html","17867")</f>
      </c>
      <c r="B4080" t="s">
        <v>842</v>
      </c>
      <c r="C4080" t="s">
        <v>894</v>
      </c>
      <c r="D4080" t="s">
        <v>12344</v>
      </c>
      <c r="E4080" t="s">
        <v>15</v>
      </c>
      <c r="F4080" t="s">
        <v>12366</v>
      </c>
      <c r="G4080" t="s">
        <v>18154</v>
      </c>
      <c r="H4080" t="s">
        <v>1112</v>
      </c>
      <c r="I4080" t="s">
        <v>1108</v>
      </c>
      <c r="J4080" t="s">
        <v>12367</v>
      </c>
      <c r="K4080" t="s">
        <v>12368</v>
      </c>
      <c r="L4080" t="s">
        <v>21</v>
      </c>
      <c r="M4080" t="s">
        <v>19177</v>
      </c>
      <c r="N4080" t="s">
        <v>16376</v>
      </c>
      <c r="O4080" t="s">
        <v>16376</v>
      </c>
      <c r="P4080" t="s">
        <v>842</v>
      </c>
    </row>
    <row r="4081">
      <c r="A4081">
        <f>HYPERLINK("http://bombeiros.sp.gov.br/hidrantes/03individual/17891.html","17891")</f>
      </c>
      <c r="B4081" t="s">
        <v>842</v>
      </c>
      <c r="C4081" t="s">
        <v>894</v>
      </c>
      <c r="D4081" t="s">
        <v>12344</v>
      </c>
      <c r="E4081" t="s">
        <v>15</v>
      </c>
      <c r="F4081" t="s">
        <v>12369</v>
      </c>
      <c r="G4081" t="s">
        <v>18154</v>
      </c>
      <c r="H4081" t="s">
        <v>1112</v>
      </c>
      <c r="I4081" t="s">
        <v>1108</v>
      </c>
      <c r="J4081" t="s">
        <v>12370</v>
      </c>
      <c r="K4081" t="s">
        <v>12371</v>
      </c>
      <c r="L4081" t="s">
        <v>21</v>
      </c>
      <c r="M4081" t="s">
        <v>19177</v>
      </c>
      <c r="N4081" t="s">
        <v>16376</v>
      </c>
      <c r="O4081" t="s">
        <v>16376</v>
      </c>
      <c r="P4081" t="s">
        <v>842</v>
      </c>
    </row>
    <row r="4082">
      <c r="A4082">
        <f>HYPERLINK("http://bombeiros.sp.gov.br/hidrantes/03individual/4114.html","4114")</f>
      </c>
      <c r="B4082" t="s">
        <v>842</v>
      </c>
      <c r="C4082" t="s">
        <v>894</v>
      </c>
      <c r="D4082" t="s">
        <v>899</v>
      </c>
      <c r="E4082" t="s">
        <v>64</v>
      </c>
      <c r="F4082" t="s">
        <v>12372</v>
      </c>
      <c r="G4082" t="s">
        <v>18055</v>
      </c>
      <c r="H4082" t="s">
        <v>1112</v>
      </c>
      <c r="I4082" t="s">
        <v>1108</v>
      </c>
      <c r="J4082" t="s">
        <v>12373</v>
      </c>
      <c r="K4082" t="s">
        <v>12374</v>
      </c>
      <c r="L4082" t="s">
        <v>36</v>
      </c>
      <c r="M4082" t="s">
        <v>19177</v>
      </c>
      <c r="N4082" t="s">
        <v>16376</v>
      </c>
      <c r="O4082" t="s">
        <v>16376</v>
      </c>
      <c r="P4082" t="s">
        <v>842</v>
      </c>
    </row>
    <row r="4083">
      <c r="A4083">
        <f>HYPERLINK("http://bombeiros.sp.gov.br/hidrantes/03individual/4116.html","4116")</f>
      </c>
      <c r="B4083" t="s">
        <v>842</v>
      </c>
      <c r="C4083" t="s">
        <v>894</v>
      </c>
      <c r="D4083" t="s">
        <v>899</v>
      </c>
      <c r="E4083" t="s">
        <v>64</v>
      </c>
      <c r="F4083" t="s">
        <v>12375</v>
      </c>
      <c r="G4083" t="s">
        <v>18056</v>
      </c>
      <c r="H4083" t="s">
        <v>1112</v>
      </c>
      <c r="I4083" t="s">
        <v>1108</v>
      </c>
      <c r="J4083" t="s">
        <v>15862</v>
      </c>
      <c r="K4083" t="s">
        <v>15863</v>
      </c>
      <c r="L4083" t="s">
        <v>21</v>
      </c>
      <c r="M4083" t="s">
        <v>19177</v>
      </c>
      <c r="N4083" t="s">
        <v>16376</v>
      </c>
      <c r="O4083" t="s">
        <v>16376</v>
      </c>
      <c r="P4083" t="s">
        <v>842</v>
      </c>
    </row>
    <row r="4084">
      <c r="A4084">
        <f>HYPERLINK("http://bombeiros.sp.gov.br/hidrantes/03individual/27064.html","27064")</f>
      </c>
      <c r="B4084" t="s">
        <v>842</v>
      </c>
      <c r="C4084" t="s">
        <v>894</v>
      </c>
      <c r="D4084" t="s">
        <v>899</v>
      </c>
      <c r="E4084" t="s">
        <v>64</v>
      </c>
      <c r="F4084" t="s">
        <v>16968</v>
      </c>
      <c r="G4084" t="s">
        <v>18052</v>
      </c>
      <c r="H4084" t="s">
        <v>1121</v>
      </c>
      <c r="I4084" t="s">
        <v>1117</v>
      </c>
      <c r="J4084" t="s">
        <v>16697</v>
      </c>
      <c r="K4084" t="s">
        <v>16698</v>
      </c>
      <c r="L4084" t="s">
        <v>21</v>
      </c>
      <c r="M4084" t="s">
        <v>19177</v>
      </c>
      <c r="N4084" t="s">
        <v>16376</v>
      </c>
      <c r="O4084" t="s">
        <v>16376</v>
      </c>
      <c r="P4084" t="s">
        <v>842</v>
      </c>
    </row>
    <row r="4085">
      <c r="A4085">
        <f>HYPERLINK("http://bombeiros.sp.gov.br/hidrantes/03individual/28606.html","28606")</f>
      </c>
      <c r="B4085" t="s">
        <v>842</v>
      </c>
      <c r="C4085" t="s">
        <v>894</v>
      </c>
      <c r="D4085" t="s">
        <v>899</v>
      </c>
      <c r="E4085" t="s">
        <v>64</v>
      </c>
      <c r="F4085" t="s">
        <v>19124</v>
      </c>
      <c r="G4085"/>
      <c r="H4085"/>
      <c r="I4085" t="s">
        <v>1503</v>
      </c>
      <c r="J4085" t="s">
        <v>19125</v>
      </c>
      <c r="K4085" t="s">
        <v>19126</v>
      </c>
      <c r="L4085" t="s">
        <v>21</v>
      </c>
      <c r="M4085" t="s">
        <v>19177</v>
      </c>
      <c r="N4085" t="s">
        <v>16376</v>
      </c>
      <c r="O4085" t="s">
        <v>16376</v>
      </c>
      <c r="P4085" t="s">
        <v>842</v>
      </c>
    </row>
    <row r="4086">
      <c r="A4086">
        <f>HYPERLINK("http://bombeiros.sp.gov.br/hidrantes/03individual/2376.html","2376")</f>
      </c>
      <c r="B4086" t="s">
        <v>842</v>
      </c>
      <c r="C4086" t="s">
        <v>894</v>
      </c>
      <c r="D4086" t="s">
        <v>899</v>
      </c>
      <c r="E4086" t="s">
        <v>15</v>
      </c>
      <c r="F4086" t="s">
        <v>12378</v>
      </c>
      <c r="G4086" t="s">
        <v>18056</v>
      </c>
      <c r="H4086" t="s">
        <v>1112</v>
      </c>
      <c r="I4086" t="s">
        <v>1108</v>
      </c>
      <c r="J4086" t="s">
        <v>17196</v>
      </c>
      <c r="K4086" t="s">
        <v>17197</v>
      </c>
      <c r="L4086" t="s">
        <v>21</v>
      </c>
      <c r="M4086" t="s">
        <v>19177</v>
      </c>
      <c r="N4086" t="s">
        <v>16376</v>
      </c>
      <c r="O4086" t="s">
        <v>16376</v>
      </c>
      <c r="P4086" t="s">
        <v>842</v>
      </c>
    </row>
    <row r="4087">
      <c r="A4087">
        <f>HYPERLINK("http://bombeiros.sp.gov.br/hidrantes/03individual/2394.html","2394")</f>
      </c>
      <c r="B4087" t="s">
        <v>842</v>
      </c>
      <c r="C4087" t="s">
        <v>894</v>
      </c>
      <c r="D4087" t="s">
        <v>899</v>
      </c>
      <c r="E4087" t="s">
        <v>15</v>
      </c>
      <c r="F4087" t="s">
        <v>12381</v>
      </c>
      <c r="G4087" t="s">
        <v>18052</v>
      </c>
      <c r="H4087" t="s">
        <v>1174</v>
      </c>
      <c r="I4087" t="s">
        <v>1117</v>
      </c>
      <c r="J4087" t="s">
        <v>16884</v>
      </c>
      <c r="K4087" t="s">
        <v>16885</v>
      </c>
      <c r="L4087" t="s">
        <v>21</v>
      </c>
      <c r="M4087" t="s">
        <v>19177</v>
      </c>
      <c r="N4087" t="s">
        <v>16376</v>
      </c>
      <c r="O4087" t="s">
        <v>16376</v>
      </c>
      <c r="P4087" t="s">
        <v>842</v>
      </c>
    </row>
    <row r="4088">
      <c r="A4088">
        <f>HYPERLINK("http://bombeiros.sp.gov.br/hidrantes/03individual/2404.html","2404")</f>
      </c>
      <c r="B4088" t="s">
        <v>842</v>
      </c>
      <c r="C4088" t="s">
        <v>894</v>
      </c>
      <c r="D4088" t="s">
        <v>899</v>
      </c>
      <c r="E4088" t="s">
        <v>15</v>
      </c>
      <c r="F4088" t="s">
        <v>12384</v>
      </c>
      <c r="G4088" t="s">
        <v>18199</v>
      </c>
      <c r="H4088" t="s">
        <v>1112</v>
      </c>
      <c r="I4088" t="s">
        <v>1108</v>
      </c>
      <c r="J4088" t="s">
        <v>12385</v>
      </c>
      <c r="K4088" t="s">
        <v>12386</v>
      </c>
      <c r="L4088" t="s">
        <v>21</v>
      </c>
      <c r="M4088" t="s">
        <v>19177</v>
      </c>
      <c r="N4088" t="s">
        <v>16376</v>
      </c>
      <c r="O4088" t="s">
        <v>16376</v>
      </c>
      <c r="P4088" t="s">
        <v>842</v>
      </c>
    </row>
    <row r="4089">
      <c r="A4089">
        <f>HYPERLINK("http://bombeiros.sp.gov.br/hidrantes/03individual/4117.html","4117")</f>
      </c>
      <c r="B4089" t="s">
        <v>842</v>
      </c>
      <c r="C4089" t="s">
        <v>894</v>
      </c>
      <c r="D4089" t="s">
        <v>899</v>
      </c>
      <c r="E4089" t="s">
        <v>15</v>
      </c>
      <c r="F4089" t="s">
        <v>12387</v>
      </c>
      <c r="G4089" t="s">
        <v>18056</v>
      </c>
      <c r="H4089" t="s">
        <v>1121</v>
      </c>
      <c r="I4089" t="s">
        <v>1117</v>
      </c>
      <c r="J4089" t="s">
        <v>12388</v>
      </c>
      <c r="K4089" t="s">
        <v>12389</v>
      </c>
      <c r="L4089" t="s">
        <v>21</v>
      </c>
      <c r="M4089" t="s">
        <v>19177</v>
      </c>
      <c r="N4089" t="s">
        <v>16376</v>
      </c>
      <c r="O4089" t="s">
        <v>16376</v>
      </c>
      <c r="P4089" t="s">
        <v>842</v>
      </c>
    </row>
    <row r="4090">
      <c r="A4090">
        <f>HYPERLINK("http://bombeiros.sp.gov.br/hidrantes/03individual/4130.html","4130")</f>
      </c>
      <c r="B4090" t="s">
        <v>842</v>
      </c>
      <c r="C4090" t="s">
        <v>894</v>
      </c>
      <c r="D4090" t="s">
        <v>899</v>
      </c>
      <c r="E4090" t="s">
        <v>15</v>
      </c>
      <c r="F4090" t="s">
        <v>12390</v>
      </c>
      <c r="G4090" t="s">
        <v>18154</v>
      </c>
      <c r="H4090" t="s">
        <v>1112</v>
      </c>
      <c r="I4090" t="s">
        <v>1108</v>
      </c>
      <c r="J4090" t="s">
        <v>12391</v>
      </c>
      <c r="K4090" t="s">
        <v>12392</v>
      </c>
      <c r="L4090" t="s">
        <v>36</v>
      </c>
      <c r="M4090" t="s">
        <v>19177</v>
      </c>
      <c r="N4090" t="s">
        <v>16376</v>
      </c>
      <c r="O4090" t="s">
        <v>16376</v>
      </c>
      <c r="P4090" t="s">
        <v>842</v>
      </c>
    </row>
    <row r="4091">
      <c r="A4091">
        <f>HYPERLINK("http://bombeiros.sp.gov.br/hidrantes/03individual/4220.html","4220")</f>
      </c>
      <c r="B4091" t="s">
        <v>842</v>
      </c>
      <c r="C4091" t="s">
        <v>894</v>
      </c>
      <c r="D4091" t="s">
        <v>899</v>
      </c>
      <c r="E4091" t="s">
        <v>15</v>
      </c>
      <c r="F4091" t="s">
        <v>12393</v>
      </c>
      <c r="G4091" t="s">
        <v>18049</v>
      </c>
      <c r="H4091" t="s">
        <v>1121</v>
      </c>
      <c r="I4091" t="s">
        <v>1117</v>
      </c>
      <c r="J4091" t="s">
        <v>12394</v>
      </c>
      <c r="K4091" t="s">
        <v>12395</v>
      </c>
      <c r="L4091" t="s">
        <v>21</v>
      </c>
      <c r="M4091" t="s">
        <v>19177</v>
      </c>
      <c r="N4091" t="s">
        <v>16376</v>
      </c>
      <c r="O4091" t="s">
        <v>16376</v>
      </c>
      <c r="P4091" t="s">
        <v>842</v>
      </c>
    </row>
    <row r="4092">
      <c r="A4092">
        <f>HYPERLINK("http://bombeiros.sp.gov.br/hidrantes/03individual/17710.html","17710")</f>
      </c>
      <c r="B4092" t="s">
        <v>842</v>
      </c>
      <c r="C4092" t="s">
        <v>894</v>
      </c>
      <c r="D4092" t="s">
        <v>899</v>
      </c>
      <c r="E4092" t="s">
        <v>15</v>
      </c>
      <c r="F4092" t="s">
        <v>12399</v>
      </c>
      <c r="G4092" t="s">
        <v>18052</v>
      </c>
      <c r="H4092" t="s">
        <v>1112</v>
      </c>
      <c r="I4092" t="s">
        <v>1108</v>
      </c>
      <c r="J4092" t="s">
        <v>12400</v>
      </c>
      <c r="K4092" t="s">
        <v>12401</v>
      </c>
      <c r="L4092" t="s">
        <v>21</v>
      </c>
      <c r="M4092" t="s">
        <v>19177</v>
      </c>
      <c r="N4092" t="s">
        <v>16376</v>
      </c>
      <c r="O4092" t="s">
        <v>16376</v>
      </c>
      <c r="P4092" t="s">
        <v>842</v>
      </c>
    </row>
    <row r="4093">
      <c r="A4093">
        <f>HYPERLINK("http://bombeiros.sp.gov.br/hidrantes/03individual/4115.html","4115")</f>
      </c>
      <c r="B4093" t="s">
        <v>842</v>
      </c>
      <c r="C4093" t="s">
        <v>894</v>
      </c>
      <c r="D4093" t="s">
        <v>903</v>
      </c>
      <c r="E4093" t="s">
        <v>64</v>
      </c>
      <c r="F4093" t="s">
        <v>12402</v>
      </c>
      <c r="G4093" t="s">
        <v>18055</v>
      </c>
      <c r="H4093" t="s">
        <v>1121</v>
      </c>
      <c r="I4093" t="s">
        <v>1117</v>
      </c>
      <c r="J4093" t="s">
        <v>12403</v>
      </c>
      <c r="K4093" t="s">
        <v>12404</v>
      </c>
      <c r="L4093" t="s">
        <v>36</v>
      </c>
      <c r="M4093" t="s">
        <v>19177</v>
      </c>
      <c r="N4093" t="s">
        <v>16376</v>
      </c>
      <c r="O4093" t="s">
        <v>16376</v>
      </c>
      <c r="P4093" t="s">
        <v>842</v>
      </c>
    </row>
    <row r="4094">
      <c r="A4094">
        <f>HYPERLINK("http://bombeiros.sp.gov.br/hidrantes/03individual/2489.html","2489")</f>
      </c>
      <c r="B4094" t="s">
        <v>842</v>
      </c>
      <c r="C4094" t="s">
        <v>894</v>
      </c>
      <c r="D4094" t="s">
        <v>903</v>
      </c>
      <c r="E4094" t="s">
        <v>15</v>
      </c>
      <c r="F4094" t="s">
        <v>12405</v>
      </c>
      <c r="G4094" t="s">
        <v>18049</v>
      </c>
      <c r="H4094" t="s">
        <v>1112</v>
      </c>
      <c r="I4094" t="s">
        <v>1108</v>
      </c>
      <c r="J4094" t="s">
        <v>12406</v>
      </c>
      <c r="K4094" t="s">
        <v>12407</v>
      </c>
      <c r="L4094" t="s">
        <v>21</v>
      </c>
      <c r="M4094" t="s">
        <v>19177</v>
      </c>
      <c r="N4094" t="s">
        <v>16376</v>
      </c>
      <c r="O4094" t="s">
        <v>16376</v>
      </c>
      <c r="P4094" t="s">
        <v>842</v>
      </c>
    </row>
    <row r="4095">
      <c r="A4095">
        <f>HYPERLINK("http://bombeiros.sp.gov.br/hidrantes/03individual/2495.html","2495")</f>
      </c>
      <c r="B4095" t="s">
        <v>842</v>
      </c>
      <c r="C4095" t="s">
        <v>894</v>
      </c>
      <c r="D4095" t="s">
        <v>903</v>
      </c>
      <c r="E4095" t="s">
        <v>15</v>
      </c>
      <c r="F4095" t="s">
        <v>12408</v>
      </c>
      <c r="G4095" t="s">
        <v>18049</v>
      </c>
      <c r="H4095" t="s">
        <v>1112</v>
      </c>
      <c r="I4095" t="s">
        <v>1108</v>
      </c>
      <c r="J4095" t="s">
        <v>12409</v>
      </c>
      <c r="K4095" t="s">
        <v>12410</v>
      </c>
      <c r="L4095" t="s">
        <v>21</v>
      </c>
      <c r="M4095" t="s">
        <v>19177</v>
      </c>
      <c r="N4095" t="s">
        <v>16376</v>
      </c>
      <c r="O4095" t="s">
        <v>16376</v>
      </c>
      <c r="P4095" t="s">
        <v>842</v>
      </c>
    </row>
    <row r="4096">
      <c r="A4096">
        <f>HYPERLINK("http://bombeiros.sp.gov.br/hidrantes/03individual/2499.html","2499")</f>
      </c>
      <c r="B4096" t="s">
        <v>842</v>
      </c>
      <c r="C4096" t="s">
        <v>894</v>
      </c>
      <c r="D4096" t="s">
        <v>903</v>
      </c>
      <c r="E4096" t="s">
        <v>15</v>
      </c>
      <c r="F4096" t="s">
        <v>12414</v>
      </c>
      <c r="G4096" t="s">
        <v>18049</v>
      </c>
      <c r="H4096" t="s">
        <v>1121</v>
      </c>
      <c r="I4096" t="s">
        <v>1117</v>
      </c>
      <c r="J4096" t="s">
        <v>12415</v>
      </c>
      <c r="K4096" t="s">
        <v>12416</v>
      </c>
      <c r="L4096" t="s">
        <v>21</v>
      </c>
      <c r="M4096" t="s">
        <v>19177</v>
      </c>
      <c r="N4096" t="s">
        <v>16376</v>
      </c>
      <c r="O4096" t="s">
        <v>16376</v>
      </c>
      <c r="P4096" t="s">
        <v>842</v>
      </c>
    </row>
    <row r="4097">
      <c r="A4097">
        <f>HYPERLINK("http://bombeiros.sp.gov.br/hidrantes/03individual/2500.html","2500")</f>
      </c>
      <c r="B4097" t="s">
        <v>842</v>
      </c>
      <c r="C4097" t="s">
        <v>894</v>
      </c>
      <c r="D4097" t="s">
        <v>903</v>
      </c>
      <c r="E4097" t="s">
        <v>15</v>
      </c>
      <c r="F4097" t="s">
        <v>12417</v>
      </c>
      <c r="G4097" t="s">
        <v>18049</v>
      </c>
      <c r="H4097" t="s">
        <v>1112</v>
      </c>
      <c r="I4097" t="s">
        <v>1108</v>
      </c>
      <c r="J4097" t="s">
        <v>12418</v>
      </c>
      <c r="K4097" t="s">
        <v>12419</v>
      </c>
      <c r="L4097" t="s">
        <v>21</v>
      </c>
      <c r="M4097" t="s">
        <v>19177</v>
      </c>
      <c r="N4097" t="s">
        <v>16376</v>
      </c>
      <c r="O4097" t="s">
        <v>16376</v>
      </c>
      <c r="P4097" t="s">
        <v>842</v>
      </c>
    </row>
    <row r="4098">
      <c r="A4098">
        <f>HYPERLINK("http://bombeiros.sp.gov.br/hidrantes/03individual/2501.html","2501")</f>
      </c>
      <c r="B4098" t="s">
        <v>842</v>
      </c>
      <c r="C4098" t="s">
        <v>894</v>
      </c>
      <c r="D4098" t="s">
        <v>903</v>
      </c>
      <c r="E4098" t="s">
        <v>15</v>
      </c>
      <c r="F4098" t="s">
        <v>12420</v>
      </c>
      <c r="G4098" t="s">
        <v>18049</v>
      </c>
      <c r="H4098" t="s">
        <v>1112</v>
      </c>
      <c r="I4098" t="s">
        <v>1108</v>
      </c>
      <c r="J4098" t="s">
        <v>12421</v>
      </c>
      <c r="K4098" t="s">
        <v>12422</v>
      </c>
      <c r="L4098" t="s">
        <v>21</v>
      </c>
      <c r="M4098" t="s">
        <v>19177</v>
      </c>
      <c r="N4098" t="s">
        <v>16376</v>
      </c>
      <c r="O4098" t="s">
        <v>16376</v>
      </c>
      <c r="P4098" t="s">
        <v>842</v>
      </c>
    </row>
    <row r="4099">
      <c r="A4099">
        <f>HYPERLINK("http://bombeiros.sp.gov.br/hidrantes/03individual/4129.html","4129")</f>
      </c>
      <c r="B4099" t="s">
        <v>842</v>
      </c>
      <c r="C4099" t="s">
        <v>894</v>
      </c>
      <c r="D4099" t="s">
        <v>903</v>
      </c>
      <c r="E4099" t="s">
        <v>15</v>
      </c>
      <c r="F4099" t="s">
        <v>12423</v>
      </c>
      <c r="G4099" t="s">
        <v>18049</v>
      </c>
      <c r="H4099" t="s">
        <v>1112</v>
      </c>
      <c r="I4099" t="s">
        <v>1108</v>
      </c>
      <c r="J4099" t="s">
        <v>12424</v>
      </c>
      <c r="K4099" t="s">
        <v>12425</v>
      </c>
      <c r="L4099" t="s">
        <v>21</v>
      </c>
      <c r="M4099" t="s">
        <v>19177</v>
      </c>
      <c r="N4099" t="s">
        <v>16376</v>
      </c>
      <c r="O4099" t="s">
        <v>16376</v>
      </c>
      <c r="P4099" t="s">
        <v>842</v>
      </c>
    </row>
    <row r="4100">
      <c r="A4100">
        <f>HYPERLINK("http://bombeiros.sp.gov.br/hidrantes/03individual/3602.html","3602")</f>
      </c>
      <c r="B4100" t="s">
        <v>842</v>
      </c>
      <c r="C4100" t="s">
        <v>12426</v>
      </c>
      <c r="D4100" t="s">
        <v>12427</v>
      </c>
      <c r="E4100" t="s">
        <v>64</v>
      </c>
      <c r="F4100" t="s">
        <v>12428</v>
      </c>
      <c r="G4100" t="s">
        <v>18212</v>
      </c>
      <c r="H4100" t="s">
        <v>1121</v>
      </c>
      <c r="I4100" t="s">
        <v>1117</v>
      </c>
      <c r="J4100" t="s">
        <v>12429</v>
      </c>
      <c r="K4100" t="s">
        <v>12430</v>
      </c>
      <c r="L4100" t="s">
        <v>36</v>
      </c>
      <c r="M4100" t="s">
        <v>19177</v>
      </c>
      <c r="N4100" t="s">
        <v>97</v>
      </c>
      <c r="O4100" t="s">
        <v>937</v>
      </c>
      <c r="P4100" t="s">
        <v>12</v>
      </c>
    </row>
    <row r="4101">
      <c r="A4101">
        <f>HYPERLINK("http://bombeiros.sp.gov.br/hidrantes/03individual/333.html","333")</f>
      </c>
      <c r="B4101" t="s">
        <v>842</v>
      </c>
      <c r="C4101" t="s">
        <v>12426</v>
      </c>
      <c r="D4101" t="s">
        <v>12427</v>
      </c>
      <c r="E4101" t="s">
        <v>15</v>
      </c>
      <c r="F4101" t="s">
        <v>12431</v>
      </c>
      <c r="G4101" t="s">
        <v>18130</v>
      </c>
      <c r="H4101" t="s">
        <v>1107</v>
      </c>
      <c r="I4101" t="s">
        <v>1108</v>
      </c>
      <c r="J4101" t="s">
        <v>12432</v>
      </c>
      <c r="K4101" t="s">
        <v>12433</v>
      </c>
      <c r="L4101" t="s">
        <v>21</v>
      </c>
      <c r="M4101" t="s">
        <v>19177</v>
      </c>
      <c r="N4101" t="s">
        <v>97</v>
      </c>
      <c r="O4101" t="s">
        <v>937</v>
      </c>
      <c r="P4101" t="s">
        <v>12</v>
      </c>
    </row>
    <row r="4102">
      <c r="A4102">
        <f>HYPERLINK("http://bombeiros.sp.gov.br/hidrantes/03individual/359.html","359")</f>
      </c>
      <c r="B4102" t="s">
        <v>842</v>
      </c>
      <c r="C4102" t="s">
        <v>12426</v>
      </c>
      <c r="D4102" t="s">
        <v>12427</v>
      </c>
      <c r="E4102" t="s">
        <v>15</v>
      </c>
      <c r="F4102" t="s">
        <v>12434</v>
      </c>
      <c r="G4102" t="s">
        <v>18130</v>
      </c>
      <c r="H4102" t="s">
        <v>1107</v>
      </c>
      <c r="I4102" t="s">
        <v>1117</v>
      </c>
      <c r="J4102" t="s">
        <v>12435</v>
      </c>
      <c r="K4102" t="s">
        <v>12436</v>
      </c>
      <c r="L4102" t="s">
        <v>21</v>
      </c>
      <c r="M4102" t="s">
        <v>19177</v>
      </c>
      <c r="N4102" t="s">
        <v>97</v>
      </c>
      <c r="O4102" t="s">
        <v>937</v>
      </c>
      <c r="P4102" t="s">
        <v>12</v>
      </c>
    </row>
    <row r="4103">
      <c r="A4103">
        <f>HYPERLINK("http://bombeiros.sp.gov.br/hidrantes/03individual/424.html","424")</f>
      </c>
      <c r="B4103" t="s">
        <v>842</v>
      </c>
      <c r="C4103" t="s">
        <v>12426</v>
      </c>
      <c r="D4103" t="s">
        <v>12427</v>
      </c>
      <c r="E4103" t="s">
        <v>15</v>
      </c>
      <c r="F4103" t="s">
        <v>12437</v>
      </c>
      <c r="G4103" t="s">
        <v>18118</v>
      </c>
      <c r="H4103" t="s">
        <v>1107</v>
      </c>
      <c r="I4103" t="s">
        <v>1108</v>
      </c>
      <c r="J4103" t="s">
        <v>12438</v>
      </c>
      <c r="K4103" t="s">
        <v>12439</v>
      </c>
      <c r="L4103" t="s">
        <v>21</v>
      </c>
      <c r="M4103" t="s">
        <v>19177</v>
      </c>
      <c r="N4103" t="s">
        <v>97</v>
      </c>
      <c r="O4103" t="s">
        <v>937</v>
      </c>
      <c r="P4103" t="s">
        <v>12</v>
      </c>
    </row>
    <row r="4104">
      <c r="A4104">
        <f>HYPERLINK("http://bombeiros.sp.gov.br/hidrantes/03individual/481.html","481")</f>
      </c>
      <c r="B4104" t="s">
        <v>842</v>
      </c>
      <c r="C4104" t="s">
        <v>12426</v>
      </c>
      <c r="D4104" t="s">
        <v>12427</v>
      </c>
      <c r="E4104" t="s">
        <v>15</v>
      </c>
      <c r="F4104" t="s">
        <v>12440</v>
      </c>
      <c r="G4104" t="s">
        <v>18200</v>
      </c>
      <c r="H4104" t="s">
        <v>1112</v>
      </c>
      <c r="I4104" t="s">
        <v>1108</v>
      </c>
      <c r="J4104" t="s">
        <v>12441</v>
      </c>
      <c r="K4104" t="s">
        <v>12442</v>
      </c>
      <c r="L4104" t="s">
        <v>21</v>
      </c>
      <c r="M4104" t="s">
        <v>19177</v>
      </c>
      <c r="N4104" t="s">
        <v>97</v>
      </c>
      <c r="O4104" t="s">
        <v>937</v>
      </c>
      <c r="P4104" t="s">
        <v>12</v>
      </c>
    </row>
    <row r="4105">
      <c r="A4105">
        <f>HYPERLINK("http://bombeiros.sp.gov.br/hidrantes/03individual/497.html","497")</f>
      </c>
      <c r="B4105" t="s">
        <v>842</v>
      </c>
      <c r="C4105" t="s">
        <v>12426</v>
      </c>
      <c r="D4105" t="s">
        <v>12427</v>
      </c>
      <c r="E4105" t="s">
        <v>15</v>
      </c>
      <c r="F4105" t="s">
        <v>12443</v>
      </c>
      <c r="G4105" t="s">
        <v>18070</v>
      </c>
      <c r="H4105" t="s">
        <v>1107</v>
      </c>
      <c r="I4105" t="s">
        <v>1108</v>
      </c>
      <c r="J4105" t="s">
        <v>12444</v>
      </c>
      <c r="K4105" t="s">
        <v>12445</v>
      </c>
      <c r="L4105" t="s">
        <v>36</v>
      </c>
      <c r="M4105" t="s">
        <v>19177</v>
      </c>
      <c r="N4105" t="s">
        <v>97</v>
      </c>
      <c r="O4105" t="s">
        <v>937</v>
      </c>
      <c r="P4105" t="s">
        <v>12</v>
      </c>
    </row>
    <row r="4106">
      <c r="A4106">
        <f>HYPERLINK("http://bombeiros.sp.gov.br/hidrantes/03individual/498.html","498")</f>
      </c>
      <c r="B4106" t="s">
        <v>842</v>
      </c>
      <c r="C4106" t="s">
        <v>12426</v>
      </c>
      <c r="D4106" t="s">
        <v>12427</v>
      </c>
      <c r="E4106" t="s">
        <v>15</v>
      </c>
      <c r="F4106" t="s">
        <v>12446</v>
      </c>
      <c r="G4106" t="s">
        <v>18070</v>
      </c>
      <c r="H4106" t="s">
        <v>1107</v>
      </c>
      <c r="I4106" t="s">
        <v>1108</v>
      </c>
      <c r="J4106" t="s">
        <v>12447</v>
      </c>
      <c r="K4106" t="s">
        <v>12448</v>
      </c>
      <c r="L4106" t="s">
        <v>21</v>
      </c>
      <c r="M4106" t="s">
        <v>19177</v>
      </c>
      <c r="N4106" t="s">
        <v>97</v>
      </c>
      <c r="O4106" t="s">
        <v>937</v>
      </c>
      <c r="P4106" t="s">
        <v>12</v>
      </c>
    </row>
    <row r="4107">
      <c r="A4107">
        <f>HYPERLINK("http://bombeiros.sp.gov.br/hidrantes/03individual/3797.html","3797")</f>
      </c>
      <c r="B4107" t="s">
        <v>842</v>
      </c>
      <c r="C4107" t="s">
        <v>12426</v>
      </c>
      <c r="D4107" t="s">
        <v>12427</v>
      </c>
      <c r="E4107" t="s">
        <v>15</v>
      </c>
      <c r="F4107" t="s">
        <v>12449</v>
      </c>
      <c r="G4107" t="s">
        <v>18070</v>
      </c>
      <c r="H4107" t="s">
        <v>1107</v>
      </c>
      <c r="I4107" t="s">
        <v>1108</v>
      </c>
      <c r="J4107" t="s">
        <v>12450</v>
      </c>
      <c r="K4107" t="s">
        <v>12451</v>
      </c>
      <c r="L4107" t="s">
        <v>36</v>
      </c>
      <c r="M4107" t="s">
        <v>19177</v>
      </c>
      <c r="N4107" t="s">
        <v>97</v>
      </c>
      <c r="O4107" t="s">
        <v>937</v>
      </c>
      <c r="P4107" t="s">
        <v>12</v>
      </c>
    </row>
    <row r="4108">
      <c r="A4108">
        <f>HYPERLINK("http://bombeiros.sp.gov.br/hidrantes/03individual/3798.html","3798")</f>
      </c>
      <c r="B4108" t="s">
        <v>842</v>
      </c>
      <c r="C4108" t="s">
        <v>12426</v>
      </c>
      <c r="D4108" t="s">
        <v>12427</v>
      </c>
      <c r="E4108" t="s">
        <v>15</v>
      </c>
      <c r="F4108" t="s">
        <v>12452</v>
      </c>
      <c r="G4108" t="s">
        <v>18070</v>
      </c>
      <c r="H4108" t="s">
        <v>1107</v>
      </c>
      <c r="I4108" t="s">
        <v>1108</v>
      </c>
      <c r="J4108" t="s">
        <v>12453</v>
      </c>
      <c r="K4108" t="s">
        <v>12454</v>
      </c>
      <c r="L4108" t="s">
        <v>21</v>
      </c>
      <c r="M4108" t="s">
        <v>19177</v>
      </c>
      <c r="N4108" t="s">
        <v>97</v>
      </c>
      <c r="O4108" t="s">
        <v>937</v>
      </c>
      <c r="P4108" t="s">
        <v>12</v>
      </c>
    </row>
    <row r="4109">
      <c r="A4109">
        <f>HYPERLINK("http://bombeiros.sp.gov.br/hidrantes/03individual/3804.html","3804")</f>
      </c>
      <c r="B4109" t="s">
        <v>842</v>
      </c>
      <c r="C4109" t="s">
        <v>12426</v>
      </c>
      <c r="D4109" t="s">
        <v>12427</v>
      </c>
      <c r="E4109" t="s">
        <v>15</v>
      </c>
      <c r="F4109" t="s">
        <v>12455</v>
      </c>
      <c r="G4109" t="s">
        <v>18130</v>
      </c>
      <c r="H4109" t="s">
        <v>1121</v>
      </c>
      <c r="I4109" t="s">
        <v>1117</v>
      </c>
      <c r="J4109" t="s">
        <v>12456</v>
      </c>
      <c r="K4109" t="s">
        <v>12457</v>
      </c>
      <c r="L4109" t="s">
        <v>21</v>
      </c>
      <c r="M4109" t="s">
        <v>19177</v>
      </c>
      <c r="N4109" t="s">
        <v>97</v>
      </c>
      <c r="O4109" t="s">
        <v>937</v>
      </c>
      <c r="P4109" t="s">
        <v>12</v>
      </c>
    </row>
    <row r="4110">
      <c r="A4110">
        <f>HYPERLINK("http://bombeiros.sp.gov.br/hidrantes/03individual/3805.html","3805")</f>
      </c>
      <c r="B4110" t="s">
        <v>842</v>
      </c>
      <c r="C4110" t="s">
        <v>12426</v>
      </c>
      <c r="D4110" t="s">
        <v>12427</v>
      </c>
      <c r="E4110" t="s">
        <v>15</v>
      </c>
      <c r="F4110" t="s">
        <v>12458</v>
      </c>
      <c r="G4110" t="s">
        <v>18055</v>
      </c>
      <c r="H4110" t="s">
        <v>1112</v>
      </c>
      <c r="I4110" t="s">
        <v>1108</v>
      </c>
      <c r="J4110" t="s">
        <v>12459</v>
      </c>
      <c r="K4110" t="s">
        <v>12460</v>
      </c>
      <c r="L4110" t="s">
        <v>21</v>
      </c>
      <c r="M4110" t="s">
        <v>19177</v>
      </c>
      <c r="N4110" t="s">
        <v>97</v>
      </c>
      <c r="O4110" t="s">
        <v>937</v>
      </c>
      <c r="P4110" t="s">
        <v>12</v>
      </c>
    </row>
    <row r="4111">
      <c r="A4111">
        <f>HYPERLINK("http://bombeiros.sp.gov.br/hidrantes/03individual/3810.html","3810")</f>
      </c>
      <c r="B4111" t="s">
        <v>842</v>
      </c>
      <c r="C4111" t="s">
        <v>12426</v>
      </c>
      <c r="D4111" t="s">
        <v>12427</v>
      </c>
      <c r="E4111" t="s">
        <v>15</v>
      </c>
      <c r="F4111" t="s">
        <v>12461</v>
      </c>
      <c r="G4111" t="s">
        <v>18108</v>
      </c>
      <c r="H4111" t="s">
        <v>1107</v>
      </c>
      <c r="I4111" t="s">
        <v>1108</v>
      </c>
      <c r="J4111" t="s">
        <v>12462</v>
      </c>
      <c r="K4111" t="s">
        <v>12463</v>
      </c>
      <c r="L4111" t="s">
        <v>21</v>
      </c>
      <c r="M4111" t="s">
        <v>19177</v>
      </c>
      <c r="N4111" t="s">
        <v>97</v>
      </c>
      <c r="O4111" t="s">
        <v>937</v>
      </c>
      <c r="P4111" t="s">
        <v>12</v>
      </c>
    </row>
    <row r="4112">
      <c r="A4112">
        <f>HYPERLINK("http://bombeiros.sp.gov.br/hidrantes/03individual/3926.html","3926")</f>
      </c>
      <c r="B4112" t="s">
        <v>842</v>
      </c>
      <c r="C4112" t="s">
        <v>12426</v>
      </c>
      <c r="D4112" t="s">
        <v>12427</v>
      </c>
      <c r="E4112" t="s">
        <v>15</v>
      </c>
      <c r="F4112" t="s">
        <v>12464</v>
      </c>
      <c r="G4112" t="s">
        <v>18144</v>
      </c>
      <c r="H4112" t="s">
        <v>1112</v>
      </c>
      <c r="I4112" t="s">
        <v>1108</v>
      </c>
      <c r="J4112" t="s">
        <v>12465</v>
      </c>
      <c r="K4112" t="s">
        <v>12466</v>
      </c>
      <c r="L4112" t="s">
        <v>21</v>
      </c>
      <c r="M4112" t="s">
        <v>19177</v>
      </c>
      <c r="N4112" t="s">
        <v>97</v>
      </c>
      <c r="O4112" t="s">
        <v>937</v>
      </c>
      <c r="P4112" t="s">
        <v>12</v>
      </c>
    </row>
    <row r="4113">
      <c r="A4113">
        <f>HYPERLINK("http://bombeiros.sp.gov.br/hidrantes/03individual/3934.html","3934")</f>
      </c>
      <c r="B4113" t="s">
        <v>842</v>
      </c>
      <c r="C4113" t="s">
        <v>12426</v>
      </c>
      <c r="D4113" t="s">
        <v>12427</v>
      </c>
      <c r="E4113" t="s">
        <v>15</v>
      </c>
      <c r="F4113" t="s">
        <v>12467</v>
      </c>
      <c r="G4113" t="s">
        <v>18041</v>
      </c>
      <c r="H4113" t="s">
        <v>1107</v>
      </c>
      <c r="I4113" t="s">
        <v>1108</v>
      </c>
      <c r="J4113" t="s">
        <v>12468</v>
      </c>
      <c r="K4113" t="s">
        <v>12469</v>
      </c>
      <c r="L4113" t="s">
        <v>21</v>
      </c>
      <c r="M4113" t="s">
        <v>19177</v>
      </c>
      <c r="N4113" t="s">
        <v>97</v>
      </c>
      <c r="O4113" t="s">
        <v>937</v>
      </c>
      <c r="P4113" t="s">
        <v>12</v>
      </c>
    </row>
    <row r="4114">
      <c r="A4114">
        <f>HYPERLINK("http://bombeiros.sp.gov.br/hidrantes/03individual/4012.html","4012")</f>
      </c>
      <c r="B4114" t="s">
        <v>842</v>
      </c>
      <c r="C4114" t="s">
        <v>12426</v>
      </c>
      <c r="D4114" t="s">
        <v>12427</v>
      </c>
      <c r="E4114" t="s">
        <v>15</v>
      </c>
      <c r="F4114" t="s">
        <v>12470</v>
      </c>
      <c r="G4114" t="s">
        <v>18070</v>
      </c>
      <c r="H4114" t="s">
        <v>1107</v>
      </c>
      <c r="I4114" t="s">
        <v>1108</v>
      </c>
      <c r="J4114" t="s">
        <v>12471</v>
      </c>
      <c r="K4114" t="s">
        <v>12472</v>
      </c>
      <c r="L4114" t="s">
        <v>21</v>
      </c>
      <c r="M4114" t="s">
        <v>19177</v>
      </c>
      <c r="N4114" t="s">
        <v>97</v>
      </c>
      <c r="O4114" t="s">
        <v>937</v>
      </c>
      <c r="P4114" t="s">
        <v>12</v>
      </c>
    </row>
    <row r="4115">
      <c r="A4115">
        <f>HYPERLINK("http://bombeiros.sp.gov.br/hidrantes/03individual/10031.html","10031")</f>
      </c>
      <c r="B4115" t="s">
        <v>842</v>
      </c>
      <c r="C4115" t="s">
        <v>12426</v>
      </c>
      <c r="D4115" t="s">
        <v>12427</v>
      </c>
      <c r="E4115" t="s">
        <v>15</v>
      </c>
      <c r="F4115" t="s">
        <v>12473</v>
      </c>
      <c r="G4115" t="s">
        <v>18055</v>
      </c>
      <c r="H4115" t="s">
        <v>1121</v>
      </c>
      <c r="I4115" t="s">
        <v>1117</v>
      </c>
      <c r="J4115" t="s">
        <v>12474</v>
      </c>
      <c r="K4115" t="s">
        <v>12475</v>
      </c>
      <c r="L4115" t="s">
        <v>21</v>
      </c>
      <c r="M4115" t="s">
        <v>19177</v>
      </c>
      <c r="N4115" t="s">
        <v>97</v>
      </c>
      <c r="O4115" t="s">
        <v>937</v>
      </c>
      <c r="P4115" t="s">
        <v>12</v>
      </c>
    </row>
    <row r="4116">
      <c r="A4116">
        <f>HYPERLINK("http://bombeiros.sp.gov.br/hidrantes/03individual/10032.html","10032")</f>
      </c>
      <c r="B4116" t="s">
        <v>842</v>
      </c>
      <c r="C4116" t="s">
        <v>12426</v>
      </c>
      <c r="D4116" t="s">
        <v>12427</v>
      </c>
      <c r="E4116" t="s">
        <v>15</v>
      </c>
      <c r="F4116" t="s">
        <v>12476</v>
      </c>
      <c r="G4116" t="s">
        <v>18118</v>
      </c>
      <c r="H4116" t="s">
        <v>1107</v>
      </c>
      <c r="I4116" t="s">
        <v>1108</v>
      </c>
      <c r="J4116" t="s">
        <v>12477</v>
      </c>
      <c r="K4116" t="s">
        <v>12478</v>
      </c>
      <c r="L4116" t="s">
        <v>21</v>
      </c>
      <c r="M4116" t="s">
        <v>19177</v>
      </c>
      <c r="N4116" t="s">
        <v>97</v>
      </c>
      <c r="O4116" t="s">
        <v>937</v>
      </c>
      <c r="P4116" t="s">
        <v>12</v>
      </c>
    </row>
    <row r="4117">
      <c r="A4117">
        <f>HYPERLINK("http://bombeiros.sp.gov.br/hidrantes/03individual/17665.html","17665")</f>
      </c>
      <c r="B4117" t="s">
        <v>842</v>
      </c>
      <c r="C4117" t="s">
        <v>12426</v>
      </c>
      <c r="D4117" t="s">
        <v>12427</v>
      </c>
      <c r="E4117" t="s">
        <v>15</v>
      </c>
      <c r="F4117" t="s">
        <v>12479</v>
      </c>
      <c r="G4117" t="s">
        <v>18212</v>
      </c>
      <c r="H4117" t="s">
        <v>1112</v>
      </c>
      <c r="I4117" t="s">
        <v>1108</v>
      </c>
      <c r="J4117" t="s">
        <v>12480</v>
      </c>
      <c r="K4117" t="s">
        <v>12481</v>
      </c>
      <c r="L4117" t="s">
        <v>21</v>
      </c>
      <c r="M4117" t="s">
        <v>19177</v>
      </c>
      <c r="N4117" t="s">
        <v>97</v>
      </c>
      <c r="O4117" t="s">
        <v>937</v>
      </c>
      <c r="P4117" t="s">
        <v>12</v>
      </c>
    </row>
    <row r="4118">
      <c r="A4118">
        <f>HYPERLINK("http://bombeiros.sp.gov.br/hidrantes/03individual/17667.html","17667")</f>
      </c>
      <c r="B4118" t="s">
        <v>842</v>
      </c>
      <c r="C4118" t="s">
        <v>12426</v>
      </c>
      <c r="D4118" t="s">
        <v>12427</v>
      </c>
      <c r="E4118" t="s">
        <v>15</v>
      </c>
      <c r="F4118" t="s">
        <v>12482</v>
      </c>
      <c r="G4118" t="s">
        <v>18214</v>
      </c>
      <c r="H4118" t="s">
        <v>1121</v>
      </c>
      <c r="I4118" t="s">
        <v>1117</v>
      </c>
      <c r="J4118" t="s">
        <v>12483</v>
      </c>
      <c r="K4118" t="s">
        <v>12484</v>
      </c>
      <c r="L4118" t="s">
        <v>21</v>
      </c>
      <c r="M4118" t="s">
        <v>19177</v>
      </c>
      <c r="N4118" t="s">
        <v>97</v>
      </c>
      <c r="O4118" t="s">
        <v>937</v>
      </c>
      <c r="P4118" t="s">
        <v>12</v>
      </c>
    </row>
    <row r="4119">
      <c r="A4119">
        <f>HYPERLINK("http://bombeiros.sp.gov.br/hidrantes/03individual/415.html","415")</f>
      </c>
      <c r="B4119" t="s">
        <v>842</v>
      </c>
      <c r="C4119" t="s">
        <v>12426</v>
      </c>
      <c r="D4119" t="s">
        <v>12485</v>
      </c>
      <c r="E4119" t="s">
        <v>64</v>
      </c>
      <c r="F4119" t="s">
        <v>12486</v>
      </c>
      <c r="G4119" t="s">
        <v>18060</v>
      </c>
      <c r="H4119" t="s">
        <v>1112</v>
      </c>
      <c r="I4119" t="s">
        <v>1108</v>
      </c>
      <c r="J4119" t="s">
        <v>12487</v>
      </c>
      <c r="K4119" t="s">
        <v>12488</v>
      </c>
      <c r="L4119" t="s">
        <v>36</v>
      </c>
      <c r="M4119" t="s">
        <v>19177</v>
      </c>
      <c r="N4119" t="s">
        <v>97</v>
      </c>
      <c r="O4119" t="s">
        <v>937</v>
      </c>
      <c r="P4119" t="s">
        <v>12</v>
      </c>
    </row>
    <row r="4120">
      <c r="A4120">
        <f>HYPERLINK("http://bombeiros.sp.gov.br/hidrantes/03individual/3603.html","3603")</f>
      </c>
      <c r="B4120" t="s">
        <v>842</v>
      </c>
      <c r="C4120" t="s">
        <v>12426</v>
      </c>
      <c r="D4120" t="s">
        <v>12485</v>
      </c>
      <c r="E4120" t="s">
        <v>64</v>
      </c>
      <c r="F4120" t="s">
        <v>12489</v>
      </c>
      <c r="G4120" t="s">
        <v>18149</v>
      </c>
      <c r="H4120" t="s">
        <v>1121</v>
      </c>
      <c r="I4120" t="s">
        <v>1117</v>
      </c>
      <c r="J4120" t="s">
        <v>12490</v>
      </c>
      <c r="K4120" t="s">
        <v>12491</v>
      </c>
      <c r="L4120" t="s">
        <v>36</v>
      </c>
      <c r="M4120" t="s">
        <v>19177</v>
      </c>
      <c r="N4120" t="s">
        <v>97</v>
      </c>
      <c r="O4120" t="s">
        <v>937</v>
      </c>
      <c r="P4120" t="s">
        <v>12</v>
      </c>
    </row>
    <row r="4121">
      <c r="A4121">
        <f>HYPERLINK("http://bombeiros.sp.gov.br/hidrantes/03individual/27454.html","27454")</f>
      </c>
      <c r="B4121" t="s">
        <v>842</v>
      </c>
      <c r="C4121" t="s">
        <v>12426</v>
      </c>
      <c r="D4121" t="s">
        <v>12485</v>
      </c>
      <c r="E4121" t="s">
        <v>64</v>
      </c>
      <c r="F4121" t="s">
        <v>17375</v>
      </c>
      <c r="G4121" t="s">
        <v>18214</v>
      </c>
      <c r="H4121" t="s">
        <v>1121</v>
      </c>
      <c r="I4121" t="s">
        <v>1117</v>
      </c>
      <c r="J4121" t="s">
        <v>17376</v>
      </c>
      <c r="K4121" t="s">
        <v>17377</v>
      </c>
      <c r="L4121" t="s">
        <v>21</v>
      </c>
      <c r="M4121" t="s">
        <v>19177</v>
      </c>
      <c r="N4121" t="s">
        <v>97</v>
      </c>
      <c r="O4121" t="s">
        <v>937</v>
      </c>
      <c r="P4121" t="s">
        <v>12</v>
      </c>
    </row>
    <row r="4122">
      <c r="A4122">
        <f>HYPERLINK("http://bombeiros.sp.gov.br/hidrantes/03individual/447.html","447")</f>
      </c>
      <c r="B4122" t="s">
        <v>842</v>
      </c>
      <c r="C4122" t="s">
        <v>12426</v>
      </c>
      <c r="D4122" t="s">
        <v>12485</v>
      </c>
      <c r="E4122" t="s">
        <v>15</v>
      </c>
      <c r="F4122" t="s">
        <v>12492</v>
      </c>
      <c r="G4122" t="s">
        <v>18270</v>
      </c>
      <c r="H4122" t="s">
        <v>1121</v>
      </c>
      <c r="I4122" t="s">
        <v>1117</v>
      </c>
      <c r="J4122" t="s">
        <v>12493</v>
      </c>
      <c r="K4122" t="s">
        <v>12494</v>
      </c>
      <c r="L4122" t="s">
        <v>21</v>
      </c>
      <c r="M4122" t="s">
        <v>19177</v>
      </c>
      <c r="N4122" t="s">
        <v>97</v>
      </c>
      <c r="O4122" t="s">
        <v>937</v>
      </c>
      <c r="P4122" t="s">
        <v>12</v>
      </c>
    </row>
    <row r="4123">
      <c r="A4123">
        <f>HYPERLINK("http://bombeiros.sp.gov.br/hidrantes/03individual/471.html","471")</f>
      </c>
      <c r="B4123" t="s">
        <v>842</v>
      </c>
      <c r="C4123" t="s">
        <v>12426</v>
      </c>
      <c r="D4123" t="s">
        <v>12485</v>
      </c>
      <c r="E4123" t="s">
        <v>15</v>
      </c>
      <c r="F4123" t="s">
        <v>12495</v>
      </c>
      <c r="G4123" t="s">
        <v>18149</v>
      </c>
      <c r="H4123" t="s">
        <v>1112</v>
      </c>
      <c r="I4123" t="s">
        <v>1108</v>
      </c>
      <c r="J4123" t="s">
        <v>16483</v>
      </c>
      <c r="K4123" t="s">
        <v>16484</v>
      </c>
      <c r="L4123" t="s">
        <v>21</v>
      </c>
      <c r="M4123" t="s">
        <v>19177</v>
      </c>
      <c r="N4123" t="s">
        <v>97</v>
      </c>
      <c r="O4123" t="s">
        <v>937</v>
      </c>
      <c r="P4123" t="s">
        <v>12</v>
      </c>
    </row>
    <row r="4124">
      <c r="A4124">
        <f>HYPERLINK("http://bombeiros.sp.gov.br/hidrantes/03individual/472.html","472")</f>
      </c>
      <c r="B4124" t="s">
        <v>842</v>
      </c>
      <c r="C4124" t="s">
        <v>12426</v>
      </c>
      <c r="D4124" t="s">
        <v>12485</v>
      </c>
      <c r="E4124" t="s">
        <v>15</v>
      </c>
      <c r="F4124" t="s">
        <v>12498</v>
      </c>
      <c r="G4124" t="s">
        <v>18270</v>
      </c>
      <c r="H4124" t="s">
        <v>1107</v>
      </c>
      <c r="I4124" t="s">
        <v>1108</v>
      </c>
      <c r="J4124" t="s">
        <v>12499</v>
      </c>
      <c r="K4124" t="s">
        <v>12500</v>
      </c>
      <c r="L4124" t="s">
        <v>21</v>
      </c>
      <c r="M4124" t="s">
        <v>19177</v>
      </c>
      <c r="N4124" t="s">
        <v>97</v>
      </c>
      <c r="O4124" t="s">
        <v>937</v>
      </c>
      <c r="P4124" t="s">
        <v>12</v>
      </c>
    </row>
    <row r="4125">
      <c r="A4125">
        <f>HYPERLINK("http://bombeiros.sp.gov.br/hidrantes/03individual/474.html","474")</f>
      </c>
      <c r="B4125" t="s">
        <v>842</v>
      </c>
      <c r="C4125" t="s">
        <v>12426</v>
      </c>
      <c r="D4125" t="s">
        <v>12485</v>
      </c>
      <c r="E4125" t="s">
        <v>15</v>
      </c>
      <c r="F4125" t="s">
        <v>12501</v>
      </c>
      <c r="G4125" t="s">
        <v>18118</v>
      </c>
      <c r="H4125" t="s">
        <v>1107</v>
      </c>
      <c r="I4125" t="s">
        <v>1108</v>
      </c>
      <c r="J4125" t="s">
        <v>12502</v>
      </c>
      <c r="K4125" t="s">
        <v>12503</v>
      </c>
      <c r="L4125" t="s">
        <v>21</v>
      </c>
      <c r="M4125" t="s">
        <v>19177</v>
      </c>
      <c r="N4125" t="s">
        <v>97</v>
      </c>
      <c r="O4125" t="s">
        <v>937</v>
      </c>
      <c r="P4125" t="s">
        <v>12</v>
      </c>
    </row>
    <row r="4126">
      <c r="A4126">
        <f>HYPERLINK("http://bombeiros.sp.gov.br/hidrantes/03individual/475.html","475")</f>
      </c>
      <c r="B4126" t="s">
        <v>842</v>
      </c>
      <c r="C4126" t="s">
        <v>12426</v>
      </c>
      <c r="D4126" t="s">
        <v>12485</v>
      </c>
      <c r="E4126" t="s">
        <v>15</v>
      </c>
      <c r="F4126" t="s">
        <v>12504</v>
      </c>
      <c r="G4126" t="s">
        <v>18127</v>
      </c>
      <c r="H4126" t="s">
        <v>1112</v>
      </c>
      <c r="I4126" t="s">
        <v>1108</v>
      </c>
      <c r="J4126" t="s">
        <v>12505</v>
      </c>
      <c r="K4126" t="s">
        <v>12506</v>
      </c>
      <c r="L4126" t="s">
        <v>21</v>
      </c>
      <c r="M4126" t="s">
        <v>19177</v>
      </c>
      <c r="N4126" t="s">
        <v>97</v>
      </c>
      <c r="O4126" t="s">
        <v>937</v>
      </c>
      <c r="P4126" t="s">
        <v>12</v>
      </c>
    </row>
    <row r="4127">
      <c r="A4127">
        <f>HYPERLINK("http://bombeiros.sp.gov.br/hidrantes/03individual/489.html","489")</f>
      </c>
      <c r="B4127" t="s">
        <v>842</v>
      </c>
      <c r="C4127" t="s">
        <v>12426</v>
      </c>
      <c r="D4127" t="s">
        <v>12485</v>
      </c>
      <c r="E4127" t="s">
        <v>15</v>
      </c>
      <c r="F4127" t="s">
        <v>12507</v>
      </c>
      <c r="G4127" t="s">
        <v>18118</v>
      </c>
      <c r="H4127" t="s">
        <v>1107</v>
      </c>
      <c r="I4127" t="s">
        <v>1108</v>
      </c>
      <c r="J4127" t="s">
        <v>12508</v>
      </c>
      <c r="K4127" t="s">
        <v>12509</v>
      </c>
      <c r="L4127" t="s">
        <v>21</v>
      </c>
      <c r="M4127" t="s">
        <v>19177</v>
      </c>
      <c r="N4127" t="s">
        <v>97</v>
      </c>
      <c r="O4127" t="s">
        <v>937</v>
      </c>
      <c r="P4127" t="s">
        <v>12</v>
      </c>
    </row>
    <row r="4128">
      <c r="A4128">
        <f>HYPERLINK("http://bombeiros.sp.gov.br/hidrantes/03individual/3808.html","3808")</f>
      </c>
      <c r="B4128" t="s">
        <v>842</v>
      </c>
      <c r="C4128" t="s">
        <v>12426</v>
      </c>
      <c r="D4128" t="s">
        <v>12485</v>
      </c>
      <c r="E4128" t="s">
        <v>15</v>
      </c>
      <c r="F4128" t="s">
        <v>12510</v>
      </c>
      <c r="G4128" t="s">
        <v>18149</v>
      </c>
      <c r="H4128" t="s">
        <v>1112</v>
      </c>
      <c r="I4128" t="s">
        <v>1108</v>
      </c>
      <c r="J4128" t="s">
        <v>12511</v>
      </c>
      <c r="K4128" t="s">
        <v>12512</v>
      </c>
      <c r="L4128" t="s">
        <v>21</v>
      </c>
      <c r="M4128" t="s">
        <v>19177</v>
      </c>
      <c r="N4128" t="s">
        <v>97</v>
      </c>
      <c r="O4128" t="s">
        <v>937</v>
      </c>
      <c r="P4128" t="s">
        <v>12</v>
      </c>
    </row>
    <row r="4129">
      <c r="A4129">
        <f>HYPERLINK("http://bombeiros.sp.gov.br/hidrantes/03individual/3809.html","3809")</f>
      </c>
      <c r="B4129" t="s">
        <v>842</v>
      </c>
      <c r="C4129" t="s">
        <v>12426</v>
      </c>
      <c r="D4129" t="s">
        <v>12485</v>
      </c>
      <c r="E4129" t="s">
        <v>15</v>
      </c>
      <c r="F4129" t="s">
        <v>12513</v>
      </c>
      <c r="G4129" t="s">
        <v>18117</v>
      </c>
      <c r="H4129" t="s">
        <v>1107</v>
      </c>
      <c r="I4129" t="s">
        <v>1108</v>
      </c>
      <c r="J4129" t="s">
        <v>12514</v>
      </c>
      <c r="K4129" t="s">
        <v>12515</v>
      </c>
      <c r="L4129" t="s">
        <v>21</v>
      </c>
      <c r="M4129" t="s">
        <v>19177</v>
      </c>
      <c r="N4129" t="s">
        <v>97</v>
      </c>
      <c r="O4129" t="s">
        <v>937</v>
      </c>
      <c r="P4129" t="s">
        <v>12</v>
      </c>
    </row>
    <row r="4130">
      <c r="A4130">
        <f>HYPERLINK("http://bombeiros.sp.gov.br/hidrantes/03individual/3813.html","3813")</f>
      </c>
      <c r="B4130" t="s">
        <v>842</v>
      </c>
      <c r="C4130" t="s">
        <v>12426</v>
      </c>
      <c r="D4130" t="s">
        <v>12485</v>
      </c>
      <c r="E4130" t="s">
        <v>15</v>
      </c>
      <c r="F4130" t="s">
        <v>12516</v>
      </c>
      <c r="G4130" t="s">
        <v>18117</v>
      </c>
      <c r="H4130" t="s">
        <v>1107</v>
      </c>
      <c r="I4130" t="s">
        <v>1108</v>
      </c>
      <c r="J4130" t="s">
        <v>12517</v>
      </c>
      <c r="K4130" t="s">
        <v>12518</v>
      </c>
      <c r="L4130" t="s">
        <v>21</v>
      </c>
      <c r="M4130" t="s">
        <v>19177</v>
      </c>
      <c r="N4130" t="s">
        <v>97</v>
      </c>
      <c r="O4130" t="s">
        <v>937</v>
      </c>
      <c r="P4130" t="s">
        <v>12</v>
      </c>
    </row>
    <row r="4131">
      <c r="A4131">
        <f>HYPERLINK("http://bombeiros.sp.gov.br/hidrantes/03individual/3893.html","3893")</f>
      </c>
      <c r="B4131" t="s">
        <v>842</v>
      </c>
      <c r="C4131" t="s">
        <v>12426</v>
      </c>
      <c r="D4131" t="s">
        <v>12485</v>
      </c>
      <c r="E4131" t="s">
        <v>15</v>
      </c>
      <c r="F4131" t="s">
        <v>12519</v>
      </c>
      <c r="G4131" t="s">
        <v>18060</v>
      </c>
      <c r="H4131" t="s">
        <v>1107</v>
      </c>
      <c r="I4131" t="s">
        <v>1108</v>
      </c>
      <c r="J4131" t="s">
        <v>12521</v>
      </c>
      <c r="K4131" t="s">
        <v>12522</v>
      </c>
      <c r="L4131" t="s">
        <v>21</v>
      </c>
      <c r="M4131" t="s">
        <v>19177</v>
      </c>
      <c r="N4131" t="s">
        <v>97</v>
      </c>
      <c r="O4131" t="s">
        <v>937</v>
      </c>
      <c r="P4131" t="s">
        <v>12</v>
      </c>
    </row>
    <row r="4132">
      <c r="A4132">
        <f>HYPERLINK("http://bombeiros.sp.gov.br/hidrantes/03individual/3898.html","3898")</f>
      </c>
      <c r="B4132" t="s">
        <v>842</v>
      </c>
      <c r="C4132" t="s">
        <v>12426</v>
      </c>
      <c r="D4132" t="s">
        <v>12485</v>
      </c>
      <c r="E4132" t="s">
        <v>15</v>
      </c>
      <c r="F4132" t="s">
        <v>12523</v>
      </c>
      <c r="G4132" t="s">
        <v>18149</v>
      </c>
      <c r="H4132" t="s">
        <v>1107</v>
      </c>
      <c r="I4132" t="s">
        <v>1108</v>
      </c>
      <c r="J4132" t="s">
        <v>12524</v>
      </c>
      <c r="K4132" t="s">
        <v>12525</v>
      </c>
      <c r="L4132" t="s">
        <v>21</v>
      </c>
      <c r="M4132" t="s">
        <v>19177</v>
      </c>
      <c r="N4132" t="s">
        <v>97</v>
      </c>
      <c r="O4132" t="s">
        <v>937</v>
      </c>
      <c r="P4132" t="s">
        <v>12</v>
      </c>
    </row>
    <row r="4133">
      <c r="A4133">
        <f>HYPERLINK("http://bombeiros.sp.gov.br/hidrantes/03individual/3912.html","3912")</f>
      </c>
      <c r="B4133" t="s">
        <v>842</v>
      </c>
      <c r="C4133" t="s">
        <v>12426</v>
      </c>
      <c r="D4133" t="s">
        <v>12485</v>
      </c>
      <c r="E4133" t="s">
        <v>15</v>
      </c>
      <c r="F4133" t="s">
        <v>12526</v>
      </c>
      <c r="G4133" t="s">
        <v>18127</v>
      </c>
      <c r="H4133" t="s">
        <v>1112</v>
      </c>
      <c r="I4133" t="s">
        <v>1108</v>
      </c>
      <c r="J4133" t="s">
        <v>12527</v>
      </c>
      <c r="K4133" t="s">
        <v>12528</v>
      </c>
      <c r="L4133" t="s">
        <v>21</v>
      </c>
      <c r="M4133" t="s">
        <v>19177</v>
      </c>
      <c r="N4133" t="s">
        <v>97</v>
      </c>
      <c r="O4133" t="s">
        <v>937</v>
      </c>
      <c r="P4133" t="s">
        <v>12</v>
      </c>
    </row>
    <row r="4134">
      <c r="A4134">
        <f>HYPERLINK("http://bombeiros.sp.gov.br/hidrantes/03individual/3936.html","3936")</f>
      </c>
      <c r="B4134" t="s">
        <v>842</v>
      </c>
      <c r="C4134" t="s">
        <v>12426</v>
      </c>
      <c r="D4134" t="s">
        <v>12485</v>
      </c>
      <c r="E4134" t="s">
        <v>15</v>
      </c>
      <c r="F4134" t="s">
        <v>12529</v>
      </c>
      <c r="G4134" t="s">
        <v>18149</v>
      </c>
      <c r="H4134" t="s">
        <v>1112</v>
      </c>
      <c r="I4134" t="s">
        <v>1108</v>
      </c>
      <c r="J4134" t="s">
        <v>12530</v>
      </c>
      <c r="K4134" t="s">
        <v>12531</v>
      </c>
      <c r="L4134" t="s">
        <v>21</v>
      </c>
      <c r="M4134" t="s">
        <v>19177</v>
      </c>
      <c r="N4134" t="s">
        <v>97</v>
      </c>
      <c r="O4134" t="s">
        <v>937</v>
      </c>
      <c r="P4134" t="s">
        <v>12</v>
      </c>
    </row>
    <row r="4135">
      <c r="A4135">
        <f>HYPERLINK("http://bombeiros.sp.gov.br/hidrantes/03individual/3974.html","3974")</f>
      </c>
      <c r="B4135" t="s">
        <v>842</v>
      </c>
      <c r="C4135" t="s">
        <v>12426</v>
      </c>
      <c r="D4135" t="s">
        <v>12485</v>
      </c>
      <c r="E4135" t="s">
        <v>15</v>
      </c>
      <c r="F4135" t="s">
        <v>12532</v>
      </c>
      <c r="G4135" t="s">
        <v>18060</v>
      </c>
      <c r="H4135" t="s">
        <v>1112</v>
      </c>
      <c r="I4135" t="s">
        <v>1108</v>
      </c>
      <c r="J4135" t="s">
        <v>12533</v>
      </c>
      <c r="K4135" t="s">
        <v>12534</v>
      </c>
      <c r="L4135" t="s">
        <v>21</v>
      </c>
      <c r="M4135" t="s">
        <v>19177</v>
      </c>
      <c r="N4135" t="s">
        <v>97</v>
      </c>
      <c r="O4135" t="s">
        <v>937</v>
      </c>
      <c r="P4135" t="s">
        <v>12</v>
      </c>
    </row>
    <row r="4136">
      <c r="A4136">
        <f>HYPERLINK("http://bombeiros.sp.gov.br/hidrantes/03individual/17674.html","17674")</f>
      </c>
      <c r="B4136" t="s">
        <v>842</v>
      </c>
      <c r="C4136" t="s">
        <v>12426</v>
      </c>
      <c r="D4136" t="s">
        <v>12485</v>
      </c>
      <c r="E4136" t="s">
        <v>15</v>
      </c>
      <c r="F4136" t="s">
        <v>12535</v>
      </c>
      <c r="G4136" t="s">
        <v>18214</v>
      </c>
      <c r="H4136" t="s">
        <v>1174</v>
      </c>
      <c r="I4136" t="s">
        <v>1108</v>
      </c>
      <c r="J4136" t="s">
        <v>12536</v>
      </c>
      <c r="K4136" t="s">
        <v>12537</v>
      </c>
      <c r="L4136" t="s">
        <v>21</v>
      </c>
      <c r="M4136" t="s">
        <v>19177</v>
      </c>
      <c r="N4136" t="s">
        <v>97</v>
      </c>
      <c r="O4136" t="s">
        <v>937</v>
      </c>
      <c r="P4136" t="s">
        <v>12</v>
      </c>
    </row>
    <row r="4137">
      <c r="A4137">
        <f>HYPERLINK("http://bombeiros.sp.gov.br/hidrantes/03individual/17675.html","17675")</f>
      </c>
      <c r="B4137" t="s">
        <v>842</v>
      </c>
      <c r="C4137" t="s">
        <v>12426</v>
      </c>
      <c r="D4137" t="s">
        <v>12485</v>
      </c>
      <c r="E4137" t="s">
        <v>15</v>
      </c>
      <c r="F4137" t="s">
        <v>12538</v>
      </c>
      <c r="G4137" t="s">
        <v>18178</v>
      </c>
      <c r="H4137" t="s">
        <v>1107</v>
      </c>
      <c r="I4137" t="s">
        <v>1108</v>
      </c>
      <c r="J4137" t="s">
        <v>12539</v>
      </c>
      <c r="K4137" t="s">
        <v>12540</v>
      </c>
      <c r="L4137" t="s">
        <v>21</v>
      </c>
      <c r="M4137" t="s">
        <v>19177</v>
      </c>
      <c r="N4137" t="s">
        <v>97</v>
      </c>
      <c r="O4137" t="s">
        <v>937</v>
      </c>
      <c r="P4137" t="s">
        <v>12</v>
      </c>
    </row>
    <row r="4138">
      <c r="A4138">
        <f>HYPERLINK("http://bombeiros.sp.gov.br/hidrantes/03individual/17676.html","17676")</f>
      </c>
      <c r="B4138" t="s">
        <v>842</v>
      </c>
      <c r="C4138" t="s">
        <v>12426</v>
      </c>
      <c r="D4138" t="s">
        <v>12485</v>
      </c>
      <c r="E4138" t="s">
        <v>15</v>
      </c>
      <c r="F4138" t="s">
        <v>12541</v>
      </c>
      <c r="G4138" t="s">
        <v>18178</v>
      </c>
      <c r="H4138" t="s">
        <v>1107</v>
      </c>
      <c r="I4138" t="s">
        <v>1108</v>
      </c>
      <c r="J4138" t="s">
        <v>12542</v>
      </c>
      <c r="K4138" t="s">
        <v>12543</v>
      </c>
      <c r="L4138" t="s">
        <v>21</v>
      </c>
      <c r="M4138" t="s">
        <v>19177</v>
      </c>
      <c r="N4138" t="s">
        <v>97</v>
      </c>
      <c r="O4138" t="s">
        <v>937</v>
      </c>
      <c r="P4138" t="s">
        <v>12</v>
      </c>
    </row>
    <row r="4139">
      <c r="A4139">
        <f>HYPERLINK("http://bombeiros.sp.gov.br/hidrantes/03individual/3627.html","3627")</f>
      </c>
      <c r="B4139" t="s">
        <v>842</v>
      </c>
      <c r="C4139" t="s">
        <v>12426</v>
      </c>
      <c r="D4139" t="s">
        <v>12544</v>
      </c>
      <c r="E4139" t="s">
        <v>64</v>
      </c>
      <c r="F4139" t="s">
        <v>12545</v>
      </c>
      <c r="G4139" t="s">
        <v>18264</v>
      </c>
      <c r="H4139" t="s">
        <v>1112</v>
      </c>
      <c r="I4139" t="s">
        <v>1108</v>
      </c>
      <c r="J4139" t="s">
        <v>12546</v>
      </c>
      <c r="K4139" t="s">
        <v>12547</v>
      </c>
      <c r="L4139" t="s">
        <v>21</v>
      </c>
      <c r="M4139" t="s">
        <v>19177</v>
      </c>
      <c r="N4139" t="s">
        <v>97</v>
      </c>
      <c r="O4139" t="s">
        <v>937</v>
      </c>
      <c r="P4139" t="s">
        <v>12</v>
      </c>
    </row>
    <row r="4140">
      <c r="A4140">
        <f>HYPERLINK("http://bombeiros.sp.gov.br/hidrantes/03individual/468.html","468")</f>
      </c>
      <c r="B4140" t="s">
        <v>842</v>
      </c>
      <c r="C4140" t="s">
        <v>12426</v>
      </c>
      <c r="D4140" t="s">
        <v>12544</v>
      </c>
      <c r="E4140" t="s">
        <v>15</v>
      </c>
      <c r="F4140" t="s">
        <v>12548</v>
      </c>
      <c r="G4140" t="s">
        <v>18117</v>
      </c>
      <c r="H4140" t="s">
        <v>1107</v>
      </c>
      <c r="I4140" t="s">
        <v>1108</v>
      </c>
      <c r="J4140" t="s">
        <v>12549</v>
      </c>
      <c r="K4140" t="s">
        <v>12550</v>
      </c>
      <c r="L4140" t="s">
        <v>21</v>
      </c>
      <c r="M4140" t="s">
        <v>19177</v>
      </c>
      <c r="N4140" t="s">
        <v>97</v>
      </c>
      <c r="O4140" t="s">
        <v>937</v>
      </c>
      <c r="P4140" t="s">
        <v>12</v>
      </c>
    </row>
    <row r="4141">
      <c r="A4141">
        <f>HYPERLINK("http://bombeiros.sp.gov.br/hidrantes/03individual/469.html","469")</f>
      </c>
      <c r="B4141" t="s">
        <v>842</v>
      </c>
      <c r="C4141" t="s">
        <v>12426</v>
      </c>
      <c r="D4141" t="s">
        <v>12544</v>
      </c>
      <c r="E4141" t="s">
        <v>15</v>
      </c>
      <c r="F4141" t="s">
        <v>12551</v>
      </c>
      <c r="G4141" t="s">
        <v>18264</v>
      </c>
      <c r="H4141" t="s">
        <v>1112</v>
      </c>
      <c r="I4141" t="s">
        <v>1108</v>
      </c>
      <c r="J4141" t="s">
        <v>12552</v>
      </c>
      <c r="K4141" t="s">
        <v>12553</v>
      </c>
      <c r="L4141" t="s">
        <v>21</v>
      </c>
      <c r="M4141" t="s">
        <v>19177</v>
      </c>
      <c r="N4141" t="s">
        <v>97</v>
      </c>
      <c r="O4141" t="s">
        <v>937</v>
      </c>
      <c r="P4141" t="s">
        <v>12</v>
      </c>
    </row>
    <row r="4142">
      <c r="A4142">
        <f>HYPERLINK("http://bombeiros.sp.gov.br/hidrantes/03individual/470.html","470")</f>
      </c>
      <c r="B4142" t="s">
        <v>842</v>
      </c>
      <c r="C4142" t="s">
        <v>12426</v>
      </c>
      <c r="D4142" t="s">
        <v>12544</v>
      </c>
      <c r="E4142" t="s">
        <v>15</v>
      </c>
      <c r="F4142" t="s">
        <v>12554</v>
      </c>
      <c r="G4142" t="s">
        <v>18264</v>
      </c>
      <c r="H4142" t="s">
        <v>1112</v>
      </c>
      <c r="I4142" t="s">
        <v>1108</v>
      </c>
      <c r="J4142" t="s">
        <v>12555</v>
      </c>
      <c r="K4142" t="s">
        <v>12556</v>
      </c>
      <c r="L4142" t="s">
        <v>21</v>
      </c>
      <c r="M4142" t="s">
        <v>19177</v>
      </c>
      <c r="N4142" t="s">
        <v>97</v>
      </c>
      <c r="O4142" t="s">
        <v>937</v>
      </c>
      <c r="P4142" t="s">
        <v>12</v>
      </c>
    </row>
    <row r="4143">
      <c r="A4143">
        <f>HYPERLINK("http://bombeiros.sp.gov.br/hidrantes/03individual/494.html","494")</f>
      </c>
      <c r="B4143" t="s">
        <v>842</v>
      </c>
      <c r="C4143" t="s">
        <v>12426</v>
      </c>
      <c r="D4143" t="s">
        <v>12544</v>
      </c>
      <c r="E4143" t="s">
        <v>15</v>
      </c>
      <c r="F4143" t="s">
        <v>12557</v>
      </c>
      <c r="G4143" t="s">
        <v>18117</v>
      </c>
      <c r="H4143" t="s">
        <v>1107</v>
      </c>
      <c r="I4143" t="s">
        <v>1108</v>
      </c>
      <c r="J4143" t="s">
        <v>12558</v>
      </c>
      <c r="K4143" t="s">
        <v>12559</v>
      </c>
      <c r="L4143" t="s">
        <v>21</v>
      </c>
      <c r="M4143" t="s">
        <v>19177</v>
      </c>
      <c r="N4143" t="s">
        <v>97</v>
      </c>
      <c r="O4143" t="s">
        <v>937</v>
      </c>
      <c r="P4143" t="s">
        <v>12</v>
      </c>
    </row>
    <row r="4144">
      <c r="A4144">
        <f>HYPERLINK("http://bombeiros.sp.gov.br/hidrantes/03individual/3815.html","3815")</f>
      </c>
      <c r="B4144" t="s">
        <v>842</v>
      </c>
      <c r="C4144" t="s">
        <v>12426</v>
      </c>
      <c r="D4144" t="s">
        <v>12544</v>
      </c>
      <c r="E4144" t="s">
        <v>15</v>
      </c>
      <c r="F4144" t="s">
        <v>12563</v>
      </c>
      <c r="G4144" t="s">
        <v>18264</v>
      </c>
      <c r="H4144" t="s">
        <v>1112</v>
      </c>
      <c r="I4144" t="s">
        <v>1108</v>
      </c>
      <c r="J4144" t="s">
        <v>16660</v>
      </c>
      <c r="K4144" t="s">
        <v>16661</v>
      </c>
      <c r="L4144" t="s">
        <v>21</v>
      </c>
      <c r="M4144" t="s">
        <v>19177</v>
      </c>
      <c r="N4144" t="s">
        <v>97</v>
      </c>
      <c r="O4144" t="s">
        <v>937</v>
      </c>
      <c r="P4144" t="s">
        <v>12</v>
      </c>
    </row>
    <row r="4145">
      <c r="A4145">
        <f>HYPERLINK("http://bombeiros.sp.gov.br/hidrantes/03individual/3901.html","3901")</f>
      </c>
      <c r="B4145" t="s">
        <v>842</v>
      </c>
      <c r="C4145" t="s">
        <v>12426</v>
      </c>
      <c r="D4145" t="s">
        <v>12544</v>
      </c>
      <c r="E4145" t="s">
        <v>15</v>
      </c>
      <c r="F4145" t="s">
        <v>12566</v>
      </c>
      <c r="G4145" t="s">
        <v>18264</v>
      </c>
      <c r="H4145" t="s">
        <v>1112</v>
      </c>
      <c r="I4145" t="s">
        <v>1108</v>
      </c>
      <c r="J4145" t="s">
        <v>15968</v>
      </c>
      <c r="K4145" t="s">
        <v>15969</v>
      </c>
      <c r="L4145" t="s">
        <v>21</v>
      </c>
      <c r="M4145" t="s">
        <v>19177</v>
      </c>
      <c r="N4145" t="s">
        <v>97</v>
      </c>
      <c r="O4145" t="s">
        <v>937</v>
      </c>
      <c r="P4145" t="s">
        <v>12</v>
      </c>
    </row>
    <row r="4146">
      <c r="A4146">
        <f>HYPERLINK("http://bombeiros.sp.gov.br/hidrantes/03individual/3906.html","3906")</f>
      </c>
      <c r="B4146" t="s">
        <v>842</v>
      </c>
      <c r="C4146" t="s">
        <v>12426</v>
      </c>
      <c r="D4146" t="s">
        <v>12544</v>
      </c>
      <c r="E4146" t="s">
        <v>15</v>
      </c>
      <c r="F4146" t="s">
        <v>12569</v>
      </c>
      <c r="G4146" t="s">
        <v>18264</v>
      </c>
      <c r="H4146" t="s">
        <v>1121</v>
      </c>
      <c r="I4146" t="s">
        <v>1117</v>
      </c>
      <c r="J4146" t="s">
        <v>12570</v>
      </c>
      <c r="K4146" t="s">
        <v>12571</v>
      </c>
      <c r="L4146" t="s">
        <v>21</v>
      </c>
      <c r="M4146" t="s">
        <v>19177</v>
      </c>
      <c r="N4146" t="s">
        <v>97</v>
      </c>
      <c r="O4146" t="s">
        <v>937</v>
      </c>
      <c r="P4146" t="s">
        <v>12</v>
      </c>
    </row>
    <row r="4147">
      <c r="A4147">
        <f>HYPERLINK("http://bombeiros.sp.gov.br/hidrantes/03individual/3911.html","3911")</f>
      </c>
      <c r="B4147" t="s">
        <v>842</v>
      </c>
      <c r="C4147" t="s">
        <v>12426</v>
      </c>
      <c r="D4147" t="s">
        <v>12544</v>
      </c>
      <c r="E4147" t="s">
        <v>15</v>
      </c>
      <c r="F4147" t="s">
        <v>12572</v>
      </c>
      <c r="G4147" t="s">
        <v>18264</v>
      </c>
      <c r="H4147" t="s">
        <v>1112</v>
      </c>
      <c r="I4147" t="s">
        <v>1108</v>
      </c>
      <c r="J4147" t="s">
        <v>12573</v>
      </c>
      <c r="K4147" t="s">
        <v>12574</v>
      </c>
      <c r="L4147" t="s">
        <v>21</v>
      </c>
      <c r="M4147" t="s">
        <v>19177</v>
      </c>
      <c r="N4147" t="s">
        <v>97</v>
      </c>
      <c r="O4147" t="s">
        <v>937</v>
      </c>
      <c r="P4147" t="s">
        <v>12</v>
      </c>
    </row>
    <row r="4148">
      <c r="A4148">
        <f>HYPERLINK("http://bombeiros.sp.gov.br/hidrantes/03individual/17666.html","17666")</f>
      </c>
      <c r="B4148" t="s">
        <v>842</v>
      </c>
      <c r="C4148" t="s">
        <v>12426</v>
      </c>
      <c r="D4148" t="s">
        <v>12544</v>
      </c>
      <c r="E4148" t="s">
        <v>15</v>
      </c>
      <c r="F4148" t="s">
        <v>12575</v>
      </c>
      <c r="G4148" t="s">
        <v>18167</v>
      </c>
      <c r="H4148" t="s">
        <v>1121</v>
      </c>
      <c r="I4148" t="s">
        <v>1117</v>
      </c>
      <c r="J4148" t="s">
        <v>12576</v>
      </c>
      <c r="K4148" t="s">
        <v>12577</v>
      </c>
      <c r="L4148" t="s">
        <v>21</v>
      </c>
      <c r="M4148" t="s">
        <v>19177</v>
      </c>
      <c r="N4148" t="s">
        <v>97</v>
      </c>
      <c r="O4148" t="s">
        <v>937</v>
      </c>
      <c r="P4148" t="s">
        <v>12</v>
      </c>
    </row>
    <row r="4149">
      <c r="A4149">
        <f>HYPERLINK("http://bombeiros.sp.gov.br/hidrantes/03individual/26773.html","26773")</f>
      </c>
      <c r="B4149" t="s">
        <v>842</v>
      </c>
      <c r="C4149" t="s">
        <v>12426</v>
      </c>
      <c r="D4149" t="s">
        <v>12544</v>
      </c>
      <c r="E4149" t="s">
        <v>15</v>
      </c>
      <c r="F4149" t="s">
        <v>12581</v>
      </c>
      <c r="G4149" t="s">
        <v>18118</v>
      </c>
      <c r="H4149" t="s">
        <v>1107</v>
      </c>
      <c r="I4149" t="s">
        <v>1108</v>
      </c>
      <c r="J4149" t="s">
        <v>12582</v>
      </c>
      <c r="K4149" t="s">
        <v>12583</v>
      </c>
      <c r="L4149" t="s">
        <v>21</v>
      </c>
      <c r="M4149" t="s">
        <v>19177</v>
      </c>
      <c r="N4149" t="s">
        <v>97</v>
      </c>
      <c r="O4149" t="s">
        <v>937</v>
      </c>
      <c r="P4149" t="s">
        <v>12</v>
      </c>
    </row>
    <row r="4150">
      <c r="A4150">
        <f>HYPERLINK("http://bombeiros.sp.gov.br/hidrantes/03individual/27300.html","27300")</f>
      </c>
      <c r="B4150" t="s">
        <v>842</v>
      </c>
      <c r="C4150" t="s">
        <v>12426</v>
      </c>
      <c r="D4150" t="s">
        <v>12544</v>
      </c>
      <c r="E4150" t="s">
        <v>15</v>
      </c>
      <c r="F4150" t="s">
        <v>17105</v>
      </c>
      <c r="G4150" t="s">
        <v>18214</v>
      </c>
      <c r="H4150" t="s">
        <v>1112</v>
      </c>
      <c r="I4150" t="s">
        <v>1108</v>
      </c>
      <c r="J4150" t="s">
        <v>17106</v>
      </c>
      <c r="K4150" t="s">
        <v>17107</v>
      </c>
      <c r="L4150" t="s">
        <v>21</v>
      </c>
      <c r="M4150" t="s">
        <v>19177</v>
      </c>
      <c r="N4150" t="s">
        <v>97</v>
      </c>
      <c r="O4150" t="s">
        <v>937</v>
      </c>
      <c r="P4150" t="s">
        <v>12</v>
      </c>
    </row>
    <row r="4151">
      <c r="A4151">
        <f>HYPERLINK("http://bombeiros.sp.gov.br/hidrantes/03individual/445.html","445")</f>
      </c>
      <c r="B4151" t="s">
        <v>842</v>
      </c>
      <c r="C4151" t="s">
        <v>12426</v>
      </c>
      <c r="D4151" t="s">
        <v>12584</v>
      </c>
      <c r="E4151" t="s">
        <v>64</v>
      </c>
      <c r="F4151" t="s">
        <v>12585</v>
      </c>
      <c r="G4151" t="s">
        <v>18117</v>
      </c>
      <c r="H4151" t="s">
        <v>1107</v>
      </c>
      <c r="I4151" t="s">
        <v>1108</v>
      </c>
      <c r="J4151" t="s">
        <v>12586</v>
      </c>
      <c r="K4151" t="s">
        <v>12587</v>
      </c>
      <c r="L4151" t="s">
        <v>36</v>
      </c>
      <c r="M4151" t="s">
        <v>19177</v>
      </c>
      <c r="N4151" t="s">
        <v>97</v>
      </c>
      <c r="O4151" t="s">
        <v>937</v>
      </c>
      <c r="P4151" t="s">
        <v>12</v>
      </c>
    </row>
    <row r="4152">
      <c r="A4152">
        <f>HYPERLINK("http://bombeiros.sp.gov.br/hidrantes/03individual/486.html","486")</f>
      </c>
      <c r="B4152" t="s">
        <v>842</v>
      </c>
      <c r="C4152" t="s">
        <v>12426</v>
      </c>
      <c r="D4152" t="s">
        <v>12584</v>
      </c>
      <c r="E4152" t="s">
        <v>64</v>
      </c>
      <c r="F4152" t="s">
        <v>12588</v>
      </c>
      <c r="G4152" t="s">
        <v>18167</v>
      </c>
      <c r="H4152" t="s">
        <v>1121</v>
      </c>
      <c r="I4152" t="s">
        <v>1117</v>
      </c>
      <c r="J4152" t="s">
        <v>12589</v>
      </c>
      <c r="K4152" t="s">
        <v>12590</v>
      </c>
      <c r="L4152" t="s">
        <v>21</v>
      </c>
      <c r="M4152" t="s">
        <v>19177</v>
      </c>
      <c r="N4152" t="s">
        <v>97</v>
      </c>
      <c r="O4152" t="s">
        <v>937</v>
      </c>
      <c r="P4152" t="s">
        <v>12</v>
      </c>
    </row>
    <row r="4153">
      <c r="A4153">
        <f>HYPERLINK("http://bombeiros.sp.gov.br/hidrantes/03individual/412.html","412")</f>
      </c>
      <c r="B4153" t="s">
        <v>842</v>
      </c>
      <c r="C4153" t="s">
        <v>12426</v>
      </c>
      <c r="D4153" t="s">
        <v>12584</v>
      </c>
      <c r="E4153" t="s">
        <v>15</v>
      </c>
      <c r="F4153" t="s">
        <v>12591</v>
      </c>
      <c r="G4153" t="s">
        <v>18384</v>
      </c>
      <c r="H4153" t="s">
        <v>1107</v>
      </c>
      <c r="I4153" t="s">
        <v>1108</v>
      </c>
      <c r="J4153" t="s">
        <v>12592</v>
      </c>
      <c r="K4153" t="s">
        <v>12593</v>
      </c>
      <c r="L4153" t="s">
        <v>21</v>
      </c>
      <c r="M4153" t="s">
        <v>19177</v>
      </c>
      <c r="N4153" t="s">
        <v>97</v>
      </c>
      <c r="O4153" t="s">
        <v>937</v>
      </c>
      <c r="P4153" t="s">
        <v>12</v>
      </c>
    </row>
    <row r="4154">
      <c r="A4154">
        <f>HYPERLINK("http://bombeiros.sp.gov.br/hidrantes/03individual/413.html","413")</f>
      </c>
      <c r="B4154" t="s">
        <v>842</v>
      </c>
      <c r="C4154" t="s">
        <v>12426</v>
      </c>
      <c r="D4154" t="s">
        <v>12584</v>
      </c>
      <c r="E4154" t="s">
        <v>15</v>
      </c>
      <c r="F4154" t="s">
        <v>12594</v>
      </c>
      <c r="G4154" t="s">
        <v>18073</v>
      </c>
      <c r="H4154" t="s">
        <v>1107</v>
      </c>
      <c r="I4154" t="s">
        <v>1108</v>
      </c>
      <c r="J4154" t="s">
        <v>12595</v>
      </c>
      <c r="K4154" t="s">
        <v>12596</v>
      </c>
      <c r="L4154" t="s">
        <v>21</v>
      </c>
      <c r="M4154" t="s">
        <v>19177</v>
      </c>
      <c r="N4154" t="s">
        <v>97</v>
      </c>
      <c r="O4154" t="s">
        <v>937</v>
      </c>
      <c r="P4154" t="s">
        <v>12</v>
      </c>
    </row>
    <row r="4155">
      <c r="A4155">
        <f>HYPERLINK("http://bombeiros.sp.gov.br/hidrantes/03individual/423.html","423")</f>
      </c>
      <c r="B4155" t="s">
        <v>842</v>
      </c>
      <c r="C4155" t="s">
        <v>12426</v>
      </c>
      <c r="D4155" t="s">
        <v>12584</v>
      </c>
      <c r="E4155" t="s">
        <v>15</v>
      </c>
      <c r="F4155" t="s">
        <v>12597</v>
      </c>
      <c r="G4155" t="s">
        <v>18264</v>
      </c>
      <c r="H4155" t="s">
        <v>1112</v>
      </c>
      <c r="I4155" t="s">
        <v>1108</v>
      </c>
      <c r="J4155" t="s">
        <v>12598</v>
      </c>
      <c r="K4155" t="s">
        <v>12599</v>
      </c>
      <c r="L4155" t="s">
        <v>21</v>
      </c>
      <c r="M4155" t="s">
        <v>19177</v>
      </c>
      <c r="N4155" t="s">
        <v>97</v>
      </c>
      <c r="O4155" t="s">
        <v>937</v>
      </c>
      <c r="P4155" t="s">
        <v>12</v>
      </c>
    </row>
    <row r="4156">
      <c r="A4156">
        <f>HYPERLINK("http://bombeiros.sp.gov.br/hidrantes/03individual/425.html","425")</f>
      </c>
      <c r="B4156" t="s">
        <v>842</v>
      </c>
      <c r="C4156" t="s">
        <v>12426</v>
      </c>
      <c r="D4156" t="s">
        <v>12584</v>
      </c>
      <c r="E4156" t="s">
        <v>15</v>
      </c>
      <c r="F4156" t="s">
        <v>12600</v>
      </c>
      <c r="G4156" t="s">
        <v>18167</v>
      </c>
      <c r="H4156" t="s">
        <v>1112</v>
      </c>
      <c r="I4156" t="s">
        <v>1108</v>
      </c>
      <c r="J4156" t="s">
        <v>12601</v>
      </c>
      <c r="K4156" t="s">
        <v>12602</v>
      </c>
      <c r="L4156" t="s">
        <v>21</v>
      </c>
      <c r="M4156" t="s">
        <v>19177</v>
      </c>
      <c r="N4156" t="s">
        <v>97</v>
      </c>
      <c r="O4156" t="s">
        <v>937</v>
      </c>
      <c r="P4156" t="s">
        <v>12</v>
      </c>
    </row>
    <row r="4157">
      <c r="A4157">
        <f>HYPERLINK("http://bombeiros.sp.gov.br/hidrantes/03individual/426.html","426")</f>
      </c>
      <c r="B4157" t="s">
        <v>842</v>
      </c>
      <c r="C4157" t="s">
        <v>12426</v>
      </c>
      <c r="D4157" t="s">
        <v>12584</v>
      </c>
      <c r="E4157" t="s">
        <v>15</v>
      </c>
      <c r="F4157" t="s">
        <v>12603</v>
      </c>
      <c r="G4157" t="s">
        <v>18167</v>
      </c>
      <c r="H4157" t="s">
        <v>1112</v>
      </c>
      <c r="I4157" t="s">
        <v>1108</v>
      </c>
      <c r="J4157" t="s">
        <v>12604</v>
      </c>
      <c r="K4157" t="s">
        <v>12605</v>
      </c>
      <c r="L4157" t="s">
        <v>21</v>
      </c>
      <c r="M4157" t="s">
        <v>19177</v>
      </c>
      <c r="N4157" t="s">
        <v>97</v>
      </c>
      <c r="O4157" t="s">
        <v>937</v>
      </c>
      <c r="P4157" t="s">
        <v>12</v>
      </c>
    </row>
    <row r="4158">
      <c r="A4158">
        <f>HYPERLINK("http://bombeiros.sp.gov.br/hidrantes/03individual/452.html","452")</f>
      </c>
      <c r="B4158" t="s">
        <v>842</v>
      </c>
      <c r="C4158" t="s">
        <v>12426</v>
      </c>
      <c r="D4158" t="s">
        <v>12584</v>
      </c>
      <c r="E4158" t="s">
        <v>15</v>
      </c>
      <c r="F4158" t="s">
        <v>12606</v>
      </c>
      <c r="G4158" t="s">
        <v>18060</v>
      </c>
      <c r="H4158" t="s">
        <v>1107</v>
      </c>
      <c r="I4158" t="s">
        <v>1108</v>
      </c>
      <c r="J4158" t="s">
        <v>12607</v>
      </c>
      <c r="K4158" t="s">
        <v>12608</v>
      </c>
      <c r="L4158" t="s">
        <v>21</v>
      </c>
      <c r="M4158" t="s">
        <v>19177</v>
      </c>
      <c r="N4158" t="s">
        <v>97</v>
      </c>
      <c r="O4158" t="s">
        <v>937</v>
      </c>
      <c r="P4158" t="s">
        <v>12</v>
      </c>
    </row>
    <row r="4159">
      <c r="A4159">
        <f>HYPERLINK("http://bombeiros.sp.gov.br/hidrantes/03individual/485.html","485")</f>
      </c>
      <c r="B4159" t="s">
        <v>842</v>
      </c>
      <c r="C4159" t="s">
        <v>12426</v>
      </c>
      <c r="D4159" t="s">
        <v>12584</v>
      </c>
      <c r="E4159" t="s">
        <v>15</v>
      </c>
      <c r="F4159" t="s">
        <v>12609</v>
      </c>
      <c r="G4159" t="s">
        <v>18264</v>
      </c>
      <c r="H4159" t="s">
        <v>1112</v>
      </c>
      <c r="I4159" t="s">
        <v>1108</v>
      </c>
      <c r="J4159" t="s">
        <v>12610</v>
      </c>
      <c r="K4159" t="s">
        <v>12611</v>
      </c>
      <c r="L4159" t="s">
        <v>21</v>
      </c>
      <c r="M4159" t="s">
        <v>19177</v>
      </c>
      <c r="N4159" t="s">
        <v>97</v>
      </c>
      <c r="O4159" t="s">
        <v>937</v>
      </c>
      <c r="P4159" t="s">
        <v>12</v>
      </c>
    </row>
    <row r="4160">
      <c r="A4160">
        <f>HYPERLINK("http://bombeiros.sp.gov.br/hidrantes/03individual/488.html","488")</f>
      </c>
      <c r="B4160" t="s">
        <v>842</v>
      </c>
      <c r="C4160" t="s">
        <v>12426</v>
      </c>
      <c r="D4160" t="s">
        <v>12584</v>
      </c>
      <c r="E4160" t="s">
        <v>15</v>
      </c>
      <c r="F4160" t="s">
        <v>12612</v>
      </c>
      <c r="G4160" t="s">
        <v>18384</v>
      </c>
      <c r="H4160" t="s">
        <v>1107</v>
      </c>
      <c r="I4160" t="s">
        <v>1108</v>
      </c>
      <c r="J4160" t="s">
        <v>12613</v>
      </c>
      <c r="K4160" t="s">
        <v>12614</v>
      </c>
      <c r="L4160" t="s">
        <v>21</v>
      </c>
      <c r="M4160" t="s">
        <v>19177</v>
      </c>
      <c r="N4160" t="s">
        <v>97</v>
      </c>
      <c r="O4160" t="s">
        <v>937</v>
      </c>
      <c r="P4160" t="s">
        <v>12</v>
      </c>
    </row>
    <row r="4161">
      <c r="A4161">
        <f>HYPERLINK("http://bombeiros.sp.gov.br/hidrantes/03individual/2308.html","2308")</f>
      </c>
      <c r="B4161" t="s">
        <v>842</v>
      </c>
      <c r="C4161" t="s">
        <v>12426</v>
      </c>
      <c r="D4161" t="s">
        <v>12584</v>
      </c>
      <c r="E4161" t="s">
        <v>15</v>
      </c>
      <c r="F4161" t="s">
        <v>12615</v>
      </c>
      <c r="G4161" t="s">
        <v>18066</v>
      </c>
      <c r="H4161" t="s">
        <v>1107</v>
      </c>
      <c r="I4161" t="s">
        <v>1108</v>
      </c>
      <c r="J4161" t="s">
        <v>12616</v>
      </c>
      <c r="K4161" t="s">
        <v>12617</v>
      </c>
      <c r="L4161" t="s">
        <v>21</v>
      </c>
      <c r="M4161" t="s">
        <v>19177</v>
      </c>
      <c r="N4161" t="s">
        <v>97</v>
      </c>
      <c r="O4161" t="s">
        <v>937</v>
      </c>
      <c r="P4161" t="s">
        <v>12</v>
      </c>
    </row>
    <row r="4162">
      <c r="A4162">
        <f>HYPERLINK("http://bombeiros.sp.gov.br/hidrantes/03individual/2311.html","2311")</f>
      </c>
      <c r="B4162" t="s">
        <v>842</v>
      </c>
      <c r="C4162" t="s">
        <v>12426</v>
      </c>
      <c r="D4162" t="s">
        <v>12584</v>
      </c>
      <c r="E4162" t="s">
        <v>15</v>
      </c>
      <c r="F4162" t="s">
        <v>12618</v>
      </c>
      <c r="G4162" t="s">
        <v>18130</v>
      </c>
      <c r="H4162" t="s">
        <v>1112</v>
      </c>
      <c r="I4162" t="s">
        <v>1108</v>
      </c>
      <c r="J4162" t="s">
        <v>12619</v>
      </c>
      <c r="K4162" t="s">
        <v>12620</v>
      </c>
      <c r="L4162" t="s">
        <v>21</v>
      </c>
      <c r="M4162" t="s">
        <v>19177</v>
      </c>
      <c r="N4162" t="s">
        <v>97</v>
      </c>
      <c r="O4162" t="s">
        <v>937</v>
      </c>
      <c r="P4162" t="s">
        <v>12</v>
      </c>
    </row>
    <row r="4163">
      <c r="A4163">
        <f>HYPERLINK("http://bombeiros.sp.gov.br/hidrantes/03individual/3881.html","3881")</f>
      </c>
      <c r="B4163" t="s">
        <v>842</v>
      </c>
      <c r="C4163" t="s">
        <v>12426</v>
      </c>
      <c r="D4163" t="s">
        <v>12584</v>
      </c>
      <c r="E4163" t="s">
        <v>15</v>
      </c>
      <c r="F4163" t="s">
        <v>12621</v>
      </c>
      <c r="G4163" t="s">
        <v>18085</v>
      </c>
      <c r="H4163" t="s">
        <v>1107</v>
      </c>
      <c r="I4163" t="s">
        <v>1108</v>
      </c>
      <c r="J4163" t="s">
        <v>12622</v>
      </c>
      <c r="K4163" t="s">
        <v>12623</v>
      </c>
      <c r="L4163" t="s">
        <v>21</v>
      </c>
      <c r="M4163" t="s">
        <v>19177</v>
      </c>
      <c r="N4163" t="s">
        <v>97</v>
      </c>
      <c r="O4163" t="s">
        <v>937</v>
      </c>
      <c r="P4163" t="s">
        <v>12</v>
      </c>
    </row>
    <row r="4164">
      <c r="A4164">
        <f>HYPERLINK("http://bombeiros.sp.gov.br/hidrantes/03individual/3882.html","3882")</f>
      </c>
      <c r="B4164" t="s">
        <v>842</v>
      </c>
      <c r="C4164" t="s">
        <v>12426</v>
      </c>
      <c r="D4164" t="s">
        <v>12584</v>
      </c>
      <c r="E4164" t="s">
        <v>15</v>
      </c>
      <c r="F4164" t="s">
        <v>12624</v>
      </c>
      <c r="G4164" t="s">
        <v>18117</v>
      </c>
      <c r="H4164" t="s">
        <v>1107</v>
      </c>
      <c r="I4164" t="s">
        <v>1108</v>
      </c>
      <c r="J4164" t="s">
        <v>12625</v>
      </c>
      <c r="K4164" t="s">
        <v>12626</v>
      </c>
      <c r="L4164" t="s">
        <v>21</v>
      </c>
      <c r="M4164" t="s">
        <v>19177</v>
      </c>
      <c r="N4164" t="s">
        <v>97</v>
      </c>
      <c r="O4164" t="s">
        <v>937</v>
      </c>
      <c r="P4164" t="s">
        <v>12</v>
      </c>
    </row>
    <row r="4165">
      <c r="A4165">
        <f>HYPERLINK("http://bombeiros.sp.gov.br/hidrantes/03individual/3921.html","3921")</f>
      </c>
      <c r="B4165" t="s">
        <v>842</v>
      </c>
      <c r="C4165" t="s">
        <v>12426</v>
      </c>
      <c r="D4165" t="s">
        <v>12584</v>
      </c>
      <c r="E4165" t="s">
        <v>15</v>
      </c>
      <c r="F4165" t="s">
        <v>12627</v>
      </c>
      <c r="G4165" t="s">
        <v>18270</v>
      </c>
      <c r="H4165" t="s">
        <v>1112</v>
      </c>
      <c r="I4165" t="s">
        <v>1108</v>
      </c>
      <c r="J4165" t="s">
        <v>12628</v>
      </c>
      <c r="K4165" t="s">
        <v>12629</v>
      </c>
      <c r="L4165" t="s">
        <v>21</v>
      </c>
      <c r="M4165" t="s">
        <v>19177</v>
      </c>
      <c r="N4165" t="s">
        <v>97</v>
      </c>
      <c r="O4165" t="s">
        <v>937</v>
      </c>
      <c r="P4165" t="s">
        <v>12</v>
      </c>
    </row>
    <row r="4166">
      <c r="A4166">
        <f>HYPERLINK("http://bombeiros.sp.gov.br/hidrantes/03individual/2432.html","2432")</f>
      </c>
      <c r="B4166" t="s">
        <v>842</v>
      </c>
      <c r="C4166" t="s">
        <v>907</v>
      </c>
      <c r="D4166" t="s">
        <v>908</v>
      </c>
      <c r="E4166" t="s">
        <v>64</v>
      </c>
      <c r="F4166" t="s">
        <v>12630</v>
      </c>
      <c r="G4166" t="s">
        <v>18115</v>
      </c>
      <c r="H4166" t="s">
        <v>1112</v>
      </c>
      <c r="I4166" t="s">
        <v>1108</v>
      </c>
      <c r="J4166" t="s">
        <v>12631</v>
      </c>
      <c r="K4166" t="s">
        <v>12632</v>
      </c>
      <c r="L4166" t="s">
        <v>21</v>
      </c>
      <c r="M4166" t="s">
        <v>19177</v>
      </c>
      <c r="N4166" t="s">
        <v>16376</v>
      </c>
      <c r="O4166" t="s">
        <v>16376</v>
      </c>
      <c r="P4166" t="s">
        <v>842</v>
      </c>
    </row>
    <row r="4167">
      <c r="A4167">
        <f>HYPERLINK("http://bombeiros.sp.gov.br/hidrantes/03individual/4119.html","4119")</f>
      </c>
      <c r="B4167" t="s">
        <v>842</v>
      </c>
      <c r="C4167" t="s">
        <v>907</v>
      </c>
      <c r="D4167" t="s">
        <v>908</v>
      </c>
      <c r="E4167" t="s">
        <v>64</v>
      </c>
      <c r="F4167" t="s">
        <v>12633</v>
      </c>
      <c r="G4167" t="s">
        <v>18519</v>
      </c>
      <c r="H4167" t="s">
        <v>1112</v>
      </c>
      <c r="I4167" t="s">
        <v>1108</v>
      </c>
      <c r="J4167" t="s">
        <v>12634</v>
      </c>
      <c r="K4167" t="s">
        <v>12635</v>
      </c>
      <c r="L4167" t="s">
        <v>36</v>
      </c>
      <c r="M4167" t="s">
        <v>19177</v>
      </c>
      <c r="N4167" t="s">
        <v>16376</v>
      </c>
      <c r="O4167" t="s">
        <v>16376</v>
      </c>
      <c r="P4167" t="s">
        <v>842</v>
      </c>
    </row>
    <row r="4168">
      <c r="A4168">
        <f>HYPERLINK("http://bombeiros.sp.gov.br/hidrantes/03individual/4120.html","4120")</f>
      </c>
      <c r="B4168" t="s">
        <v>842</v>
      </c>
      <c r="C4168" t="s">
        <v>907</v>
      </c>
      <c r="D4168" t="s">
        <v>908</v>
      </c>
      <c r="E4168" t="s">
        <v>64</v>
      </c>
      <c r="F4168" t="s">
        <v>12636</v>
      </c>
      <c r="G4168" t="s">
        <v>18115</v>
      </c>
      <c r="H4168" t="s">
        <v>1112</v>
      </c>
      <c r="I4168" t="s">
        <v>1108</v>
      </c>
      <c r="J4168" t="s">
        <v>12637</v>
      </c>
      <c r="K4168" t="s">
        <v>12638</v>
      </c>
      <c r="L4168" t="s">
        <v>21</v>
      </c>
      <c r="M4168" t="s">
        <v>19177</v>
      </c>
      <c r="N4168" t="s">
        <v>16376</v>
      </c>
      <c r="O4168" t="s">
        <v>16376</v>
      </c>
      <c r="P4168" t="s">
        <v>842</v>
      </c>
    </row>
    <row r="4169">
      <c r="A4169">
        <f>HYPERLINK("http://bombeiros.sp.gov.br/hidrantes/03individual/15073.html","15073")</f>
      </c>
      <c r="B4169" t="s">
        <v>842</v>
      </c>
      <c r="C4169" t="s">
        <v>907</v>
      </c>
      <c r="D4169" t="s">
        <v>908</v>
      </c>
      <c r="E4169" t="s">
        <v>64</v>
      </c>
      <c r="F4169" t="s">
        <v>12639</v>
      </c>
      <c r="G4169" t="s">
        <v>18055</v>
      </c>
      <c r="H4169" t="s">
        <v>1112</v>
      </c>
      <c r="I4169" t="s">
        <v>1108</v>
      </c>
      <c r="J4169" t="s">
        <v>12640</v>
      </c>
      <c r="K4169" t="s">
        <v>12641</v>
      </c>
      <c r="L4169" t="s">
        <v>21</v>
      </c>
      <c r="M4169" t="s">
        <v>19177</v>
      </c>
      <c r="N4169" t="s">
        <v>16376</v>
      </c>
      <c r="O4169" t="s">
        <v>16376</v>
      </c>
      <c r="P4169" t="s">
        <v>842</v>
      </c>
    </row>
    <row r="4170">
      <c r="A4170">
        <f>HYPERLINK("http://bombeiros.sp.gov.br/hidrantes/03individual/22018.html","22018")</f>
      </c>
      <c r="B4170" t="s">
        <v>842</v>
      </c>
      <c r="C4170" t="s">
        <v>907</v>
      </c>
      <c r="D4170" t="s">
        <v>908</v>
      </c>
      <c r="E4170" t="s">
        <v>64</v>
      </c>
      <c r="F4170" t="s">
        <v>12642</v>
      </c>
      <c r="G4170" t="s">
        <v>18492</v>
      </c>
      <c r="H4170" t="s">
        <v>1112</v>
      </c>
      <c r="I4170" t="s">
        <v>1108</v>
      </c>
      <c r="J4170" t="s">
        <v>12643</v>
      </c>
      <c r="K4170" t="s">
        <v>12644</v>
      </c>
      <c r="L4170" t="s">
        <v>21</v>
      </c>
      <c r="M4170" t="s">
        <v>19177</v>
      </c>
      <c r="N4170" t="s">
        <v>16376</v>
      </c>
      <c r="O4170" t="s">
        <v>16376</v>
      </c>
      <c r="P4170" t="s">
        <v>842</v>
      </c>
    </row>
    <row r="4171">
      <c r="A4171">
        <f>HYPERLINK("http://bombeiros.sp.gov.br/hidrantes/03individual/4125.html","4125")</f>
      </c>
      <c r="B4171" t="s">
        <v>842</v>
      </c>
      <c r="C4171" t="s">
        <v>907</v>
      </c>
      <c r="D4171" t="s">
        <v>908</v>
      </c>
      <c r="E4171" t="s">
        <v>15</v>
      </c>
      <c r="F4171" t="s">
        <v>12645</v>
      </c>
      <c r="G4171" t="s">
        <v>18056</v>
      </c>
      <c r="H4171" t="s">
        <v>1112</v>
      </c>
      <c r="I4171" t="s">
        <v>1108</v>
      </c>
      <c r="J4171" t="s">
        <v>12646</v>
      </c>
      <c r="K4171" t="s">
        <v>12647</v>
      </c>
      <c r="L4171" t="s">
        <v>21</v>
      </c>
      <c r="M4171" t="s">
        <v>19177</v>
      </c>
      <c r="N4171" t="s">
        <v>16376</v>
      </c>
      <c r="O4171" t="s">
        <v>16376</v>
      </c>
      <c r="P4171" t="s">
        <v>842</v>
      </c>
    </row>
    <row r="4172">
      <c r="A4172">
        <f>HYPERLINK("http://bombeiros.sp.gov.br/hidrantes/03individual/4401.html","4401")</f>
      </c>
      <c r="B4172" t="s">
        <v>842</v>
      </c>
      <c r="C4172" t="s">
        <v>907</v>
      </c>
      <c r="D4172" t="s">
        <v>908</v>
      </c>
      <c r="E4172" t="s">
        <v>15</v>
      </c>
      <c r="F4172" t="s">
        <v>12648</v>
      </c>
      <c r="G4172" t="s">
        <v>18056</v>
      </c>
      <c r="H4172" t="s">
        <v>1112</v>
      </c>
      <c r="I4172" t="s">
        <v>1117</v>
      </c>
      <c r="J4172" t="s">
        <v>12650</v>
      </c>
      <c r="K4172" t="s">
        <v>12651</v>
      </c>
      <c r="L4172" t="s">
        <v>21</v>
      </c>
      <c r="M4172" t="s">
        <v>19177</v>
      </c>
      <c r="N4172" t="s">
        <v>16376</v>
      </c>
      <c r="O4172" t="s">
        <v>16376</v>
      </c>
      <c r="P4172" t="s">
        <v>842</v>
      </c>
    </row>
    <row r="4173">
      <c r="A4173">
        <f>HYPERLINK("http://bombeiros.sp.gov.br/hidrantes/03individual/6663.html","6663")</f>
      </c>
      <c r="B4173" t="s">
        <v>842</v>
      </c>
      <c r="C4173" t="s">
        <v>907</v>
      </c>
      <c r="D4173" t="s">
        <v>908</v>
      </c>
      <c r="E4173" t="s">
        <v>15</v>
      </c>
      <c r="F4173" t="s">
        <v>12652</v>
      </c>
      <c r="G4173" t="s">
        <v>18513</v>
      </c>
      <c r="H4173" t="s">
        <v>1112</v>
      </c>
      <c r="I4173" t="s">
        <v>1108</v>
      </c>
      <c r="J4173" t="s">
        <v>12653</v>
      </c>
      <c r="K4173" t="s">
        <v>12654</v>
      </c>
      <c r="L4173" t="s">
        <v>21</v>
      </c>
      <c r="M4173" t="s">
        <v>19177</v>
      </c>
      <c r="N4173" t="s">
        <v>16376</v>
      </c>
      <c r="O4173" t="s">
        <v>16376</v>
      </c>
      <c r="P4173" t="s">
        <v>842</v>
      </c>
    </row>
    <row r="4174">
      <c r="A4174">
        <f>HYPERLINK("http://bombeiros.sp.gov.br/hidrantes/03individual/17892.html","17892")</f>
      </c>
      <c r="B4174" t="s">
        <v>842</v>
      </c>
      <c r="C4174" t="s">
        <v>907</v>
      </c>
      <c r="D4174" t="s">
        <v>908</v>
      </c>
      <c r="E4174" t="s">
        <v>15</v>
      </c>
      <c r="F4174" t="s">
        <v>12655</v>
      </c>
      <c r="G4174" t="s">
        <v>18513</v>
      </c>
      <c r="H4174" t="s">
        <v>1112</v>
      </c>
      <c r="I4174" t="s">
        <v>1108</v>
      </c>
      <c r="J4174" t="s">
        <v>12656</v>
      </c>
      <c r="K4174" t="s">
        <v>12657</v>
      </c>
      <c r="L4174" t="s">
        <v>21</v>
      </c>
      <c r="M4174" t="s">
        <v>19177</v>
      </c>
      <c r="N4174" t="s">
        <v>16376</v>
      </c>
      <c r="O4174" t="s">
        <v>16376</v>
      </c>
      <c r="P4174" t="s">
        <v>842</v>
      </c>
    </row>
    <row r="4175">
      <c r="A4175">
        <f>HYPERLINK("http://bombeiros.sp.gov.br/hidrantes/03individual/2490.html","2490")</f>
      </c>
      <c r="B4175" t="s">
        <v>842</v>
      </c>
      <c r="C4175" t="s">
        <v>907</v>
      </c>
      <c r="D4175" t="s">
        <v>920</v>
      </c>
      <c r="E4175" t="s">
        <v>15</v>
      </c>
      <c r="F4175" t="s">
        <v>12658</v>
      </c>
      <c r="G4175" t="s">
        <v>18055</v>
      </c>
      <c r="H4175" t="s">
        <v>1121</v>
      </c>
      <c r="I4175" t="s">
        <v>1117</v>
      </c>
      <c r="J4175" t="s">
        <v>12659</v>
      </c>
      <c r="K4175" t="s">
        <v>12660</v>
      </c>
      <c r="L4175" t="s">
        <v>21</v>
      </c>
      <c r="M4175" t="s">
        <v>19177</v>
      </c>
      <c r="N4175" t="s">
        <v>16376</v>
      </c>
      <c r="O4175" t="s">
        <v>16376</v>
      </c>
      <c r="P4175" t="s">
        <v>842</v>
      </c>
    </row>
    <row r="4176">
      <c r="A4176">
        <f>HYPERLINK("http://bombeiros.sp.gov.br/hidrantes/03individual/4140.html","4140")</f>
      </c>
      <c r="B4176" t="s">
        <v>842</v>
      </c>
      <c r="C4176" t="s">
        <v>907</v>
      </c>
      <c r="D4176" t="s">
        <v>920</v>
      </c>
      <c r="E4176" t="s">
        <v>15</v>
      </c>
      <c r="F4176" t="s">
        <v>12661</v>
      </c>
      <c r="G4176" t="s">
        <v>18055</v>
      </c>
      <c r="H4176" t="s">
        <v>1112</v>
      </c>
      <c r="I4176" t="s">
        <v>1108</v>
      </c>
      <c r="J4176" t="s">
        <v>12662</v>
      </c>
      <c r="K4176" t="s">
        <v>12663</v>
      </c>
      <c r="L4176" t="s">
        <v>36</v>
      </c>
      <c r="M4176" t="s">
        <v>19177</v>
      </c>
      <c r="N4176" t="s">
        <v>16376</v>
      </c>
      <c r="O4176" t="s">
        <v>16376</v>
      </c>
      <c r="P4176" t="s">
        <v>842</v>
      </c>
    </row>
    <row r="4177">
      <c r="A4177">
        <f>HYPERLINK("http://bombeiros.sp.gov.br/hidrantes/03individual/6741.html","6741")</f>
      </c>
      <c r="B4177" t="s">
        <v>842</v>
      </c>
      <c r="C4177" t="s">
        <v>907</v>
      </c>
      <c r="D4177" t="s">
        <v>920</v>
      </c>
      <c r="E4177" t="s">
        <v>15</v>
      </c>
      <c r="F4177" t="s">
        <v>12664</v>
      </c>
      <c r="G4177" t="s">
        <v>18055</v>
      </c>
      <c r="H4177" t="s">
        <v>1107</v>
      </c>
      <c r="I4177" t="s">
        <v>1108</v>
      </c>
      <c r="J4177" t="s">
        <v>12665</v>
      </c>
      <c r="K4177" t="s">
        <v>12666</v>
      </c>
      <c r="L4177" t="s">
        <v>21</v>
      </c>
      <c r="M4177" t="s">
        <v>19177</v>
      </c>
      <c r="N4177" t="s">
        <v>16376</v>
      </c>
      <c r="O4177" t="s">
        <v>16376</v>
      </c>
      <c r="P4177" t="s">
        <v>842</v>
      </c>
    </row>
    <row r="4178">
      <c r="A4178">
        <f>HYPERLINK("http://bombeiros.sp.gov.br/hidrantes/03individual/4118.html","4118")</f>
      </c>
      <c r="B4178" t="s">
        <v>842</v>
      </c>
      <c r="C4178" t="s">
        <v>907</v>
      </c>
      <c r="D4178" t="s">
        <v>907</v>
      </c>
      <c r="E4178" t="s">
        <v>64</v>
      </c>
      <c r="F4178" t="s">
        <v>12667</v>
      </c>
      <c r="G4178" t="s">
        <v>18055</v>
      </c>
      <c r="H4178" t="s">
        <v>1174</v>
      </c>
      <c r="I4178" t="s">
        <v>1117</v>
      </c>
      <c r="J4178" t="s">
        <v>12668</v>
      </c>
      <c r="K4178" t="s">
        <v>12669</v>
      </c>
      <c r="L4178" t="s">
        <v>36</v>
      </c>
      <c r="M4178" t="s">
        <v>19177</v>
      </c>
      <c r="N4178" t="s">
        <v>16376</v>
      </c>
      <c r="O4178" t="s">
        <v>16376</v>
      </c>
      <c r="P4178" t="s">
        <v>842</v>
      </c>
    </row>
    <row r="4179">
      <c r="A4179">
        <f>HYPERLINK("http://bombeiros.sp.gov.br/hidrantes/03individual/6744.html","6744")</f>
      </c>
      <c r="B4179" t="s">
        <v>842</v>
      </c>
      <c r="C4179" t="s">
        <v>907</v>
      </c>
      <c r="D4179" t="s">
        <v>907</v>
      </c>
      <c r="E4179" t="s">
        <v>64</v>
      </c>
      <c r="F4179" t="s">
        <v>924</v>
      </c>
      <c r="G4179" t="s">
        <v>18213</v>
      </c>
      <c r="H4179"/>
      <c r="I4179" t="s">
        <v>18</v>
      </c>
      <c r="J4179" t="s">
        <v>926</v>
      </c>
      <c r="K4179" t="s">
        <v>927</v>
      </c>
      <c r="L4179" t="s">
        <v>21</v>
      </c>
      <c r="M4179" t="s">
        <v>19177</v>
      </c>
      <c r="N4179" t="s">
        <v>16376</v>
      </c>
      <c r="O4179" t="s">
        <v>16376</v>
      </c>
      <c r="P4179" t="s">
        <v>842</v>
      </c>
    </row>
    <row r="4180">
      <c r="A4180">
        <f>HYPERLINK("http://bombeiros.sp.gov.br/hidrantes/03individual/2393.html","2393")</f>
      </c>
      <c r="B4180" t="s">
        <v>842</v>
      </c>
      <c r="C4180" t="s">
        <v>907</v>
      </c>
      <c r="D4180" t="s">
        <v>907</v>
      </c>
      <c r="E4180" t="s">
        <v>15</v>
      </c>
      <c r="F4180" t="s">
        <v>12670</v>
      </c>
      <c r="G4180" t="s">
        <v>18168</v>
      </c>
      <c r="H4180" t="s">
        <v>1112</v>
      </c>
      <c r="I4180" t="s">
        <v>1108</v>
      </c>
      <c r="J4180" t="s">
        <v>12671</v>
      </c>
      <c r="K4180" t="s">
        <v>12672</v>
      </c>
      <c r="L4180" t="s">
        <v>21</v>
      </c>
      <c r="M4180" t="s">
        <v>19177</v>
      </c>
      <c r="N4180" t="s">
        <v>16376</v>
      </c>
      <c r="O4180" t="s">
        <v>16376</v>
      </c>
      <c r="P4180" t="s">
        <v>842</v>
      </c>
    </row>
    <row r="4181">
      <c r="A4181">
        <f>HYPERLINK("http://bombeiros.sp.gov.br/hidrantes/03individual/4138.html","4138")</f>
      </c>
      <c r="B4181" t="s">
        <v>842</v>
      </c>
      <c r="C4181" t="s">
        <v>907</v>
      </c>
      <c r="D4181" t="s">
        <v>907</v>
      </c>
      <c r="E4181" t="s">
        <v>15</v>
      </c>
      <c r="F4181" t="s">
        <v>12673</v>
      </c>
      <c r="G4181" t="s">
        <v>18050</v>
      </c>
      <c r="H4181" t="s">
        <v>1112</v>
      </c>
      <c r="I4181" t="s">
        <v>1108</v>
      </c>
      <c r="J4181" t="s">
        <v>16476</v>
      </c>
      <c r="K4181" t="s">
        <v>16477</v>
      </c>
      <c r="L4181" t="s">
        <v>21</v>
      </c>
      <c r="M4181" t="s">
        <v>19177</v>
      </c>
      <c r="N4181" t="s">
        <v>16376</v>
      </c>
      <c r="O4181" t="s">
        <v>16376</v>
      </c>
      <c r="P4181" t="s">
        <v>842</v>
      </c>
    </row>
    <row r="4182">
      <c r="A4182">
        <f>HYPERLINK("http://bombeiros.sp.gov.br/hidrantes/03individual/6664.html","6664")</f>
      </c>
      <c r="B4182" t="s">
        <v>842</v>
      </c>
      <c r="C4182" t="s">
        <v>907</v>
      </c>
      <c r="D4182" t="s">
        <v>932</v>
      </c>
      <c r="E4182" t="s">
        <v>64</v>
      </c>
      <c r="F4182" t="s">
        <v>12676</v>
      </c>
      <c r="G4182" t="s">
        <v>18150</v>
      </c>
      <c r="H4182" t="s">
        <v>1112</v>
      </c>
      <c r="I4182" t="s">
        <v>1108</v>
      </c>
      <c r="J4182" t="s">
        <v>12677</v>
      </c>
      <c r="K4182" t="s">
        <v>12678</v>
      </c>
      <c r="L4182" t="s">
        <v>21</v>
      </c>
      <c r="M4182" t="s">
        <v>19177</v>
      </c>
      <c r="N4182" t="s">
        <v>16376</v>
      </c>
      <c r="O4182" t="s">
        <v>16376</v>
      </c>
      <c r="P4182" t="s">
        <v>842</v>
      </c>
    </row>
    <row r="4183">
      <c r="A4183">
        <f>HYPERLINK("http://bombeiros.sp.gov.br/hidrantes/03individual/6665.html","6665")</f>
      </c>
      <c r="B4183" t="s">
        <v>842</v>
      </c>
      <c r="C4183" t="s">
        <v>907</v>
      </c>
      <c r="D4183" t="s">
        <v>932</v>
      </c>
      <c r="E4183" t="s">
        <v>64</v>
      </c>
      <c r="F4183" t="s">
        <v>12679</v>
      </c>
      <c r="G4183" t="s">
        <v>18150</v>
      </c>
      <c r="H4183" t="s">
        <v>1112</v>
      </c>
      <c r="I4183" t="s">
        <v>1108</v>
      </c>
      <c r="J4183" t="s">
        <v>12680</v>
      </c>
      <c r="K4183" t="s">
        <v>12681</v>
      </c>
      <c r="L4183" t="s">
        <v>21</v>
      </c>
      <c r="M4183" t="s">
        <v>19177</v>
      </c>
      <c r="N4183" t="s">
        <v>16376</v>
      </c>
      <c r="O4183" t="s">
        <v>16376</v>
      </c>
      <c r="P4183" t="s">
        <v>842</v>
      </c>
    </row>
    <row r="4184">
      <c r="A4184">
        <f>HYPERLINK("http://bombeiros.sp.gov.br/hidrantes/03individual/6666.html","6666")</f>
      </c>
      <c r="B4184" t="s">
        <v>842</v>
      </c>
      <c r="C4184" t="s">
        <v>907</v>
      </c>
      <c r="D4184" t="s">
        <v>932</v>
      </c>
      <c r="E4184" t="s">
        <v>64</v>
      </c>
      <c r="F4184" t="s">
        <v>12682</v>
      </c>
      <c r="G4184" t="s">
        <v>18150</v>
      </c>
      <c r="H4184" t="s">
        <v>1112</v>
      </c>
      <c r="I4184" t="s">
        <v>1108</v>
      </c>
      <c r="J4184" t="s">
        <v>12683</v>
      </c>
      <c r="K4184" t="s">
        <v>12684</v>
      </c>
      <c r="L4184" t="s">
        <v>21</v>
      </c>
      <c r="M4184" t="s">
        <v>19177</v>
      </c>
      <c r="N4184" t="s">
        <v>16376</v>
      </c>
      <c r="O4184" t="s">
        <v>16376</v>
      </c>
      <c r="P4184" t="s">
        <v>842</v>
      </c>
    </row>
    <row r="4185">
      <c r="A4185">
        <f>HYPERLINK("http://bombeiros.sp.gov.br/hidrantes/03individual/6667.html","6667")</f>
      </c>
      <c r="B4185" t="s">
        <v>842</v>
      </c>
      <c r="C4185" t="s">
        <v>907</v>
      </c>
      <c r="D4185" t="s">
        <v>932</v>
      </c>
      <c r="E4185" t="s">
        <v>64</v>
      </c>
      <c r="F4185" t="s">
        <v>12685</v>
      </c>
      <c r="G4185" t="s">
        <v>18150</v>
      </c>
      <c r="H4185" t="s">
        <v>1112</v>
      </c>
      <c r="I4185" t="s">
        <v>1108</v>
      </c>
      <c r="J4185" t="s">
        <v>12686</v>
      </c>
      <c r="K4185" t="s">
        <v>12687</v>
      </c>
      <c r="L4185" t="s">
        <v>21</v>
      </c>
      <c r="M4185" t="s">
        <v>19177</v>
      </c>
      <c r="N4185" t="s">
        <v>16376</v>
      </c>
      <c r="O4185" t="s">
        <v>16376</v>
      </c>
      <c r="P4185" t="s">
        <v>842</v>
      </c>
    </row>
    <row r="4186">
      <c r="A4186">
        <f>HYPERLINK("http://bombeiros.sp.gov.br/hidrantes/03individual/6668.html","6668")</f>
      </c>
      <c r="B4186" t="s">
        <v>842</v>
      </c>
      <c r="C4186" t="s">
        <v>907</v>
      </c>
      <c r="D4186" t="s">
        <v>932</v>
      </c>
      <c r="E4186" t="s">
        <v>64</v>
      </c>
      <c r="F4186" t="s">
        <v>12688</v>
      </c>
      <c r="G4186" t="s">
        <v>18150</v>
      </c>
      <c r="H4186" t="s">
        <v>1112</v>
      </c>
      <c r="I4186" t="s">
        <v>1108</v>
      </c>
      <c r="J4186" t="s">
        <v>12689</v>
      </c>
      <c r="K4186" t="s">
        <v>12690</v>
      </c>
      <c r="L4186" t="s">
        <v>21</v>
      </c>
      <c r="M4186" t="s">
        <v>19177</v>
      </c>
      <c r="N4186" t="s">
        <v>16376</v>
      </c>
      <c r="O4186" t="s">
        <v>16376</v>
      </c>
      <c r="P4186" t="s">
        <v>842</v>
      </c>
    </row>
    <row r="4187">
      <c r="A4187">
        <f>HYPERLINK("http://bombeiros.sp.gov.br/hidrantes/03individual/6669.html","6669")</f>
      </c>
      <c r="B4187" t="s">
        <v>842</v>
      </c>
      <c r="C4187" t="s">
        <v>907</v>
      </c>
      <c r="D4187" t="s">
        <v>932</v>
      </c>
      <c r="E4187" t="s">
        <v>64</v>
      </c>
      <c r="F4187" t="s">
        <v>12691</v>
      </c>
      <c r="G4187" t="s">
        <v>18050</v>
      </c>
      <c r="H4187" t="s">
        <v>1112</v>
      </c>
      <c r="I4187" t="s">
        <v>1108</v>
      </c>
      <c r="J4187" t="s">
        <v>12692</v>
      </c>
      <c r="K4187" t="s">
        <v>12693</v>
      </c>
      <c r="L4187" t="s">
        <v>21</v>
      </c>
      <c r="M4187" t="s">
        <v>19177</v>
      </c>
      <c r="N4187" t="s">
        <v>16376</v>
      </c>
      <c r="O4187" t="s">
        <v>16376</v>
      </c>
      <c r="P4187" t="s">
        <v>842</v>
      </c>
    </row>
    <row r="4188">
      <c r="A4188">
        <f>HYPERLINK("http://bombeiros.sp.gov.br/hidrantes/03individual/6670.html","6670")</f>
      </c>
      <c r="B4188" t="s">
        <v>842</v>
      </c>
      <c r="C4188" t="s">
        <v>907</v>
      </c>
      <c r="D4188" t="s">
        <v>932</v>
      </c>
      <c r="E4188" t="s">
        <v>64</v>
      </c>
      <c r="F4188" t="s">
        <v>12694</v>
      </c>
      <c r="G4188" t="s">
        <v>18154</v>
      </c>
      <c r="H4188" t="s">
        <v>1112</v>
      </c>
      <c r="I4188" t="s">
        <v>1108</v>
      </c>
      <c r="J4188" t="s">
        <v>12695</v>
      </c>
      <c r="K4188" t="s">
        <v>12696</v>
      </c>
      <c r="L4188" t="s">
        <v>21</v>
      </c>
      <c r="M4188" t="s">
        <v>19177</v>
      </c>
      <c r="N4188" t="s">
        <v>16376</v>
      </c>
      <c r="O4188" t="s">
        <v>16376</v>
      </c>
      <c r="P4188" t="s">
        <v>842</v>
      </c>
    </row>
    <row r="4189">
      <c r="A4189">
        <f>HYPERLINK("http://bombeiros.sp.gov.br/hidrantes/03individual/6671.html","6671")</f>
      </c>
      <c r="B4189" t="s">
        <v>842</v>
      </c>
      <c r="C4189" t="s">
        <v>907</v>
      </c>
      <c r="D4189" t="s">
        <v>932</v>
      </c>
      <c r="E4189" t="s">
        <v>64</v>
      </c>
      <c r="F4189" t="s">
        <v>12697</v>
      </c>
      <c r="G4189" t="s">
        <v>18150</v>
      </c>
      <c r="H4189" t="s">
        <v>1107</v>
      </c>
      <c r="I4189" t="s">
        <v>1108</v>
      </c>
      <c r="J4189" t="s">
        <v>12698</v>
      </c>
      <c r="K4189" t="s">
        <v>12699</v>
      </c>
      <c r="L4189" t="s">
        <v>21</v>
      </c>
      <c r="M4189" t="s">
        <v>19177</v>
      </c>
      <c r="N4189" t="s">
        <v>16376</v>
      </c>
      <c r="O4189" t="s">
        <v>16376</v>
      </c>
      <c r="P4189" t="s">
        <v>842</v>
      </c>
    </row>
    <row r="4190">
      <c r="A4190">
        <f>HYPERLINK("http://bombeiros.sp.gov.br/hidrantes/03individual/14967.html","14967")</f>
      </c>
      <c r="B4190" t="s">
        <v>842</v>
      </c>
      <c r="C4190" t="s">
        <v>907</v>
      </c>
      <c r="D4190" t="s">
        <v>932</v>
      </c>
      <c r="E4190" t="s">
        <v>64</v>
      </c>
      <c r="F4190" t="s">
        <v>12700</v>
      </c>
      <c r="G4190" t="s">
        <v>18150</v>
      </c>
      <c r="H4190" t="s">
        <v>1112</v>
      </c>
      <c r="I4190" t="s">
        <v>1108</v>
      </c>
      <c r="J4190" t="s">
        <v>12701</v>
      </c>
      <c r="K4190" t="s">
        <v>12702</v>
      </c>
      <c r="L4190" t="s">
        <v>21</v>
      </c>
      <c r="M4190" t="s">
        <v>19177</v>
      </c>
      <c r="N4190" t="s">
        <v>16376</v>
      </c>
      <c r="O4190" t="s">
        <v>16376</v>
      </c>
      <c r="P4190" t="s">
        <v>842</v>
      </c>
    </row>
    <row r="4191">
      <c r="A4191">
        <f>HYPERLINK("http://bombeiros.sp.gov.br/hidrantes/03individual/4404.html","4404")</f>
      </c>
      <c r="B4191" t="s">
        <v>842</v>
      </c>
      <c r="C4191" t="s">
        <v>907</v>
      </c>
      <c r="D4191" t="s">
        <v>932</v>
      </c>
      <c r="E4191" t="s">
        <v>15</v>
      </c>
      <c r="F4191" t="s">
        <v>12709</v>
      </c>
      <c r="G4191" t="s">
        <v>18050</v>
      </c>
      <c r="H4191" t="s">
        <v>1112</v>
      </c>
      <c r="I4191" t="s">
        <v>1108</v>
      </c>
      <c r="J4191" t="s">
        <v>12710</v>
      </c>
      <c r="K4191" t="s">
        <v>12711</v>
      </c>
      <c r="L4191" t="s">
        <v>36</v>
      </c>
      <c r="M4191" t="s">
        <v>19177</v>
      </c>
      <c r="N4191" t="s">
        <v>16376</v>
      </c>
      <c r="O4191" t="s">
        <v>16376</v>
      </c>
      <c r="P4191" t="s">
        <v>842</v>
      </c>
    </row>
    <row r="4192">
      <c r="A4192">
        <f>HYPERLINK("http://bombeiros.sp.gov.br/hidrantes/03individual/6678.html","6678")</f>
      </c>
      <c r="B4192" t="s">
        <v>842</v>
      </c>
      <c r="C4192" t="s">
        <v>907</v>
      </c>
      <c r="D4192" t="s">
        <v>932</v>
      </c>
      <c r="E4192" t="s">
        <v>15</v>
      </c>
      <c r="F4192" t="s">
        <v>12712</v>
      </c>
      <c r="G4192" t="s">
        <v>18504</v>
      </c>
      <c r="H4192" t="s">
        <v>1112</v>
      </c>
      <c r="I4192" t="s">
        <v>1108</v>
      </c>
      <c r="J4192" t="s">
        <v>12713</v>
      </c>
      <c r="K4192" t="s">
        <v>12714</v>
      </c>
      <c r="L4192" t="s">
        <v>21</v>
      </c>
      <c r="M4192" t="s">
        <v>19177</v>
      </c>
      <c r="N4192" t="s">
        <v>16376</v>
      </c>
      <c r="O4192" t="s">
        <v>16376</v>
      </c>
      <c r="P4192" t="s">
        <v>842</v>
      </c>
    </row>
    <row r="4193">
      <c r="A4193">
        <f>HYPERLINK("http://bombeiros.sp.gov.br/hidrantes/03individual/17859.html","17859")</f>
      </c>
      <c r="B4193" t="s">
        <v>842</v>
      </c>
      <c r="C4193" t="s">
        <v>907</v>
      </c>
      <c r="D4193" t="s">
        <v>932</v>
      </c>
      <c r="E4193" t="s">
        <v>15</v>
      </c>
      <c r="F4193" t="s">
        <v>12715</v>
      </c>
      <c r="G4193" t="s">
        <v>18519</v>
      </c>
      <c r="H4193" t="s">
        <v>1112</v>
      </c>
      <c r="I4193" t="s">
        <v>1108</v>
      </c>
      <c r="J4193" t="s">
        <v>12716</v>
      </c>
      <c r="K4193" t="s">
        <v>12717</v>
      </c>
      <c r="L4193" t="s">
        <v>21</v>
      </c>
      <c r="M4193" t="s">
        <v>19177</v>
      </c>
      <c r="N4193" t="s">
        <v>16376</v>
      </c>
      <c r="O4193" t="s">
        <v>16376</v>
      </c>
      <c r="P4193" t="s">
        <v>842</v>
      </c>
    </row>
    <row r="4194">
      <c r="A4194">
        <f>HYPERLINK("http://bombeiros.sp.gov.br/hidrantes/03individual/28477.html","28477")</f>
      </c>
      <c r="B4194" t="s">
        <v>842</v>
      </c>
      <c r="C4194" t="s">
        <v>937</v>
      </c>
      <c r="D4194" t="s">
        <v>938</v>
      </c>
      <c r="E4194" t="s">
        <v>64</v>
      </c>
      <c r="F4194" t="s">
        <v>18858</v>
      </c>
      <c r="G4194"/>
      <c r="H4194"/>
      <c r="I4194" t="s">
        <v>1503</v>
      </c>
      <c r="J4194" t="s">
        <v>18859</v>
      </c>
      <c r="K4194" t="s">
        <v>18860</v>
      </c>
      <c r="L4194" t="s">
        <v>21</v>
      </c>
      <c r="M4194" t="s">
        <v>19177</v>
      </c>
      <c r="N4194" t="s">
        <v>97</v>
      </c>
      <c r="O4194" t="s">
        <v>937</v>
      </c>
      <c r="P4194" t="s">
        <v>12</v>
      </c>
    </row>
    <row r="4195">
      <c r="A4195">
        <f>HYPERLINK("http://bombeiros.sp.gov.br/hidrantes/03individual/4.html","4")</f>
      </c>
      <c r="B4195" t="s">
        <v>842</v>
      </c>
      <c r="C4195" t="s">
        <v>937</v>
      </c>
      <c r="D4195" t="s">
        <v>938</v>
      </c>
      <c r="E4195" t="s">
        <v>15</v>
      </c>
      <c r="F4195" t="s">
        <v>12718</v>
      </c>
      <c r="G4195" t="s">
        <v>18095</v>
      </c>
      <c r="H4195" t="s">
        <v>1107</v>
      </c>
      <c r="I4195" t="s">
        <v>1117</v>
      </c>
      <c r="J4195" t="s">
        <v>12719</v>
      </c>
      <c r="K4195" t="s">
        <v>12720</v>
      </c>
      <c r="L4195" t="s">
        <v>21</v>
      </c>
      <c r="M4195" t="s">
        <v>19177</v>
      </c>
      <c r="N4195" t="s">
        <v>97</v>
      </c>
      <c r="O4195" t="s">
        <v>937</v>
      </c>
      <c r="P4195" t="s">
        <v>12</v>
      </c>
    </row>
    <row r="4196">
      <c r="A4196">
        <f>HYPERLINK("http://bombeiros.sp.gov.br/hidrantes/03individual/79.html","79")</f>
      </c>
      <c r="B4196" t="s">
        <v>842</v>
      </c>
      <c r="C4196" t="s">
        <v>937</v>
      </c>
      <c r="D4196" t="s">
        <v>938</v>
      </c>
      <c r="E4196" t="s">
        <v>15</v>
      </c>
      <c r="F4196" t="s">
        <v>12721</v>
      </c>
      <c r="G4196" t="s">
        <v>18085</v>
      </c>
      <c r="H4196" t="s">
        <v>1174</v>
      </c>
      <c r="I4196" t="s">
        <v>1117</v>
      </c>
      <c r="J4196" t="s">
        <v>12722</v>
      </c>
      <c r="K4196" t="s">
        <v>12723</v>
      </c>
      <c r="L4196" t="s">
        <v>21</v>
      </c>
      <c r="M4196" t="s">
        <v>19177</v>
      </c>
      <c r="N4196" t="s">
        <v>97</v>
      </c>
      <c r="O4196" t="s">
        <v>937</v>
      </c>
      <c r="P4196" t="s">
        <v>12</v>
      </c>
    </row>
    <row r="4197">
      <c r="A4197">
        <f>HYPERLINK("http://bombeiros.sp.gov.br/hidrantes/03individual/117.html","117")</f>
      </c>
      <c r="B4197" t="s">
        <v>842</v>
      </c>
      <c r="C4197" t="s">
        <v>937</v>
      </c>
      <c r="D4197" t="s">
        <v>938</v>
      </c>
      <c r="E4197" t="s">
        <v>15</v>
      </c>
      <c r="F4197" t="s">
        <v>12724</v>
      </c>
      <c r="G4197" t="s">
        <v>18085</v>
      </c>
      <c r="H4197" t="s">
        <v>1107</v>
      </c>
      <c r="I4197" t="s">
        <v>1108</v>
      </c>
      <c r="J4197" t="s">
        <v>12725</v>
      </c>
      <c r="K4197" t="s">
        <v>12726</v>
      </c>
      <c r="L4197" t="s">
        <v>21</v>
      </c>
      <c r="M4197" t="s">
        <v>19177</v>
      </c>
      <c r="N4197" t="s">
        <v>97</v>
      </c>
      <c r="O4197" t="s">
        <v>937</v>
      </c>
      <c r="P4197" t="s">
        <v>12</v>
      </c>
    </row>
    <row r="4198">
      <c r="A4198">
        <f>HYPERLINK("http://bombeiros.sp.gov.br/hidrantes/03individual/149.html","149")</f>
      </c>
      <c r="B4198" t="s">
        <v>842</v>
      </c>
      <c r="C4198" t="s">
        <v>937</v>
      </c>
      <c r="D4198" t="s">
        <v>938</v>
      </c>
      <c r="E4198" t="s">
        <v>15</v>
      </c>
      <c r="F4198" t="s">
        <v>12727</v>
      </c>
      <c r="G4198" t="s">
        <v>18095</v>
      </c>
      <c r="H4198" t="s">
        <v>1107</v>
      </c>
      <c r="I4198" t="s">
        <v>1108</v>
      </c>
      <c r="J4198" t="s">
        <v>12728</v>
      </c>
      <c r="K4198" t="s">
        <v>12729</v>
      </c>
      <c r="L4198" t="s">
        <v>21</v>
      </c>
      <c r="M4198" t="s">
        <v>19177</v>
      </c>
      <c r="N4198" t="s">
        <v>97</v>
      </c>
      <c r="O4198" t="s">
        <v>937</v>
      </c>
      <c r="P4198" t="s">
        <v>12</v>
      </c>
    </row>
    <row r="4199">
      <c r="A4199">
        <f>HYPERLINK("http://bombeiros.sp.gov.br/hidrantes/03individual/155.html","155")</f>
      </c>
      <c r="B4199" t="s">
        <v>842</v>
      </c>
      <c r="C4199" t="s">
        <v>937</v>
      </c>
      <c r="D4199" t="s">
        <v>938</v>
      </c>
      <c r="E4199" t="s">
        <v>15</v>
      </c>
      <c r="F4199" t="s">
        <v>12730</v>
      </c>
      <c r="G4199" t="s">
        <v>18052</v>
      </c>
      <c r="H4199" t="s">
        <v>1112</v>
      </c>
      <c r="I4199" t="s">
        <v>1108</v>
      </c>
      <c r="J4199" t="s">
        <v>12731</v>
      </c>
      <c r="K4199" t="s">
        <v>12732</v>
      </c>
      <c r="L4199" t="s">
        <v>21</v>
      </c>
      <c r="M4199" t="s">
        <v>19177</v>
      </c>
      <c r="N4199" t="s">
        <v>97</v>
      </c>
      <c r="O4199" t="s">
        <v>937</v>
      </c>
      <c r="P4199" t="s">
        <v>12</v>
      </c>
    </row>
    <row r="4200">
      <c r="A4200">
        <f>HYPERLINK("http://bombeiros.sp.gov.br/hidrantes/03individual/217.html","217")</f>
      </c>
      <c r="B4200" t="s">
        <v>842</v>
      </c>
      <c r="C4200" t="s">
        <v>937</v>
      </c>
      <c r="D4200" t="s">
        <v>938</v>
      </c>
      <c r="E4200" t="s">
        <v>15</v>
      </c>
      <c r="F4200" t="s">
        <v>12733</v>
      </c>
      <c r="G4200" t="s">
        <v>18052</v>
      </c>
      <c r="H4200" t="s">
        <v>1107</v>
      </c>
      <c r="I4200" t="s">
        <v>1108</v>
      </c>
      <c r="J4200" t="s">
        <v>12734</v>
      </c>
      <c r="K4200" t="s">
        <v>12735</v>
      </c>
      <c r="L4200" t="s">
        <v>21</v>
      </c>
      <c r="M4200" t="s">
        <v>19177</v>
      </c>
      <c r="N4200" t="s">
        <v>97</v>
      </c>
      <c r="O4200" t="s">
        <v>937</v>
      </c>
      <c r="P4200" t="s">
        <v>12</v>
      </c>
    </row>
    <row r="4201">
      <c r="A4201">
        <f>HYPERLINK("http://bombeiros.sp.gov.br/hidrantes/03individual/1645.html","1645")</f>
      </c>
      <c r="B4201" t="s">
        <v>842</v>
      </c>
      <c r="C4201" t="s">
        <v>937</v>
      </c>
      <c r="D4201" t="s">
        <v>938</v>
      </c>
      <c r="E4201" t="s">
        <v>15</v>
      </c>
      <c r="F4201" t="s">
        <v>12736</v>
      </c>
      <c r="G4201" t="s">
        <v>18059</v>
      </c>
      <c r="H4201" t="s">
        <v>1107</v>
      </c>
      <c r="I4201" t="s">
        <v>1108</v>
      </c>
      <c r="J4201" t="s">
        <v>12737</v>
      </c>
      <c r="K4201" t="s">
        <v>12738</v>
      </c>
      <c r="L4201" t="s">
        <v>21</v>
      </c>
      <c r="M4201" t="s">
        <v>19177</v>
      </c>
      <c r="N4201" t="s">
        <v>97</v>
      </c>
      <c r="O4201" t="s">
        <v>937</v>
      </c>
      <c r="P4201" t="s">
        <v>12</v>
      </c>
    </row>
    <row r="4202">
      <c r="A4202">
        <f>HYPERLINK("http://bombeiros.sp.gov.br/hidrantes/03individual/2305.html","2305")</f>
      </c>
      <c r="B4202" t="s">
        <v>842</v>
      </c>
      <c r="C4202" t="s">
        <v>937</v>
      </c>
      <c r="D4202" t="s">
        <v>938</v>
      </c>
      <c r="E4202" t="s">
        <v>15</v>
      </c>
      <c r="F4202" t="s">
        <v>939</v>
      </c>
      <c r="G4202" t="s">
        <v>18059</v>
      </c>
      <c r="H4202" t="s">
        <v>1174</v>
      </c>
      <c r="I4202" t="s">
        <v>1108</v>
      </c>
      <c r="J4202" t="s">
        <v>940</v>
      </c>
      <c r="K4202" t="s">
        <v>941</v>
      </c>
      <c r="L4202" t="s">
        <v>21</v>
      </c>
      <c r="M4202" t="s">
        <v>19177</v>
      </c>
      <c r="N4202" t="s">
        <v>97</v>
      </c>
      <c r="O4202" t="s">
        <v>937</v>
      </c>
      <c r="P4202" t="s">
        <v>12</v>
      </c>
    </row>
    <row r="4203">
      <c r="A4203">
        <f>HYPERLINK("http://bombeiros.sp.gov.br/hidrantes/03individual/2306.html","2306")</f>
      </c>
      <c r="B4203" t="s">
        <v>842</v>
      </c>
      <c r="C4203" t="s">
        <v>937</v>
      </c>
      <c r="D4203" t="s">
        <v>938</v>
      </c>
      <c r="E4203" t="s">
        <v>15</v>
      </c>
      <c r="F4203" t="s">
        <v>12739</v>
      </c>
      <c r="G4203" t="s">
        <v>18052</v>
      </c>
      <c r="H4203" t="s">
        <v>1107</v>
      </c>
      <c r="I4203" t="s">
        <v>1108</v>
      </c>
      <c r="J4203" t="s">
        <v>17417</v>
      </c>
      <c r="K4203" t="s">
        <v>17418</v>
      </c>
      <c r="L4203" t="s">
        <v>21</v>
      </c>
      <c r="M4203" t="s">
        <v>19177</v>
      </c>
      <c r="N4203" t="s">
        <v>97</v>
      </c>
      <c r="O4203" t="s">
        <v>937</v>
      </c>
      <c r="P4203" t="s">
        <v>12</v>
      </c>
    </row>
    <row r="4204">
      <c r="A4204">
        <f>HYPERLINK("http://bombeiros.sp.gov.br/hidrantes/03individual/3880.html","3880")</f>
      </c>
      <c r="B4204" t="s">
        <v>842</v>
      </c>
      <c r="C4204" t="s">
        <v>937</v>
      </c>
      <c r="D4204" t="s">
        <v>938</v>
      </c>
      <c r="E4204" t="s">
        <v>15</v>
      </c>
      <c r="F4204" t="s">
        <v>12742</v>
      </c>
      <c r="G4204" t="s">
        <v>18085</v>
      </c>
      <c r="H4204" t="s">
        <v>1107</v>
      </c>
      <c r="I4204" t="s">
        <v>1108</v>
      </c>
      <c r="J4204" t="s">
        <v>12743</v>
      </c>
      <c r="K4204" t="s">
        <v>12744</v>
      </c>
      <c r="L4204" t="s">
        <v>21</v>
      </c>
      <c r="M4204" t="s">
        <v>19177</v>
      </c>
      <c r="N4204" t="s">
        <v>97</v>
      </c>
      <c r="O4204" t="s">
        <v>937</v>
      </c>
      <c r="P4204" t="s">
        <v>12</v>
      </c>
    </row>
    <row r="4205">
      <c r="A4205">
        <f>HYPERLINK("http://bombeiros.sp.gov.br/hidrantes/03individual/17677.html","17677")</f>
      </c>
      <c r="B4205" t="s">
        <v>842</v>
      </c>
      <c r="C4205" t="s">
        <v>937</v>
      </c>
      <c r="D4205" t="s">
        <v>938</v>
      </c>
      <c r="E4205" t="s">
        <v>15</v>
      </c>
      <c r="F4205" t="s">
        <v>12748</v>
      </c>
      <c r="G4205" t="s">
        <v>18085</v>
      </c>
      <c r="H4205" t="s">
        <v>1121</v>
      </c>
      <c r="I4205" t="s">
        <v>1117</v>
      </c>
      <c r="J4205" t="s">
        <v>12749</v>
      </c>
      <c r="K4205" t="s">
        <v>12750</v>
      </c>
      <c r="L4205" t="s">
        <v>21</v>
      </c>
      <c r="M4205" t="s">
        <v>19177</v>
      </c>
      <c r="N4205" t="s">
        <v>97</v>
      </c>
      <c r="O4205" t="s">
        <v>937</v>
      </c>
      <c r="P4205" t="s">
        <v>12</v>
      </c>
    </row>
    <row r="4206">
      <c r="A4206">
        <f>HYPERLINK("http://bombeiros.sp.gov.br/hidrantes/03individual/1835.html","1835")</f>
      </c>
      <c r="B4206" t="s">
        <v>842</v>
      </c>
      <c r="C4206" t="s">
        <v>937</v>
      </c>
      <c r="D4206" t="s">
        <v>937</v>
      </c>
      <c r="E4206" t="s">
        <v>64</v>
      </c>
      <c r="F4206" t="s">
        <v>12751</v>
      </c>
      <c r="G4206" t="s">
        <v>18068</v>
      </c>
      <c r="H4206" t="s">
        <v>1107</v>
      </c>
      <c r="I4206" t="s">
        <v>1108</v>
      </c>
      <c r="J4206" t="s">
        <v>12752</v>
      </c>
      <c r="K4206" t="s">
        <v>12753</v>
      </c>
      <c r="L4206" t="s">
        <v>36</v>
      </c>
      <c r="M4206" t="s">
        <v>19177</v>
      </c>
      <c r="N4206" t="s">
        <v>97</v>
      </c>
      <c r="O4206" t="s">
        <v>937</v>
      </c>
      <c r="P4206" t="s">
        <v>12</v>
      </c>
    </row>
    <row r="4207">
      <c r="A4207">
        <f>HYPERLINK("http://bombeiros.sp.gov.br/hidrantes/03individual/2982.html","2982")</f>
      </c>
      <c r="B4207" t="s">
        <v>842</v>
      </c>
      <c r="C4207" t="s">
        <v>937</v>
      </c>
      <c r="D4207" t="s">
        <v>937</v>
      </c>
      <c r="E4207" t="s">
        <v>64</v>
      </c>
      <c r="F4207" t="s">
        <v>12754</v>
      </c>
      <c r="G4207" t="s">
        <v>18068</v>
      </c>
      <c r="H4207" t="s">
        <v>1174</v>
      </c>
      <c r="I4207" t="s">
        <v>1108</v>
      </c>
      <c r="J4207" t="s">
        <v>12755</v>
      </c>
      <c r="K4207" t="s">
        <v>12756</v>
      </c>
      <c r="L4207" t="s">
        <v>36</v>
      </c>
      <c r="M4207" t="s">
        <v>19177</v>
      </c>
      <c r="N4207" t="s">
        <v>97</v>
      </c>
      <c r="O4207" t="s">
        <v>937</v>
      </c>
      <c r="P4207" t="s">
        <v>12</v>
      </c>
    </row>
    <row r="4208">
      <c r="A4208">
        <f>HYPERLINK("http://bombeiros.sp.gov.br/hidrantes/03individual/3016.html","3016")</f>
      </c>
      <c r="B4208" t="s">
        <v>842</v>
      </c>
      <c r="C4208" t="s">
        <v>937</v>
      </c>
      <c r="D4208" t="s">
        <v>937</v>
      </c>
      <c r="E4208" t="s">
        <v>64</v>
      </c>
      <c r="F4208" t="s">
        <v>12757</v>
      </c>
      <c r="G4208" t="s">
        <v>18170</v>
      </c>
      <c r="H4208" t="s">
        <v>1112</v>
      </c>
      <c r="I4208" t="s">
        <v>1108</v>
      </c>
      <c r="J4208" t="s">
        <v>12758</v>
      </c>
      <c r="K4208" t="s">
        <v>12759</v>
      </c>
      <c r="L4208" t="s">
        <v>36</v>
      </c>
      <c r="M4208" t="s">
        <v>19177</v>
      </c>
      <c r="N4208" t="s">
        <v>97</v>
      </c>
      <c r="O4208" t="s">
        <v>937</v>
      </c>
      <c r="P4208" t="s">
        <v>12</v>
      </c>
    </row>
    <row r="4209">
      <c r="A4209">
        <f>HYPERLINK("http://bombeiros.sp.gov.br/hidrantes/03individual/78.html","78")</f>
      </c>
      <c r="B4209" t="s">
        <v>842</v>
      </c>
      <c r="C4209" t="s">
        <v>937</v>
      </c>
      <c r="D4209" t="s">
        <v>937</v>
      </c>
      <c r="E4209" t="s">
        <v>15</v>
      </c>
      <c r="F4209" t="s">
        <v>12760</v>
      </c>
      <c r="G4209" t="s">
        <v>18169</v>
      </c>
      <c r="H4209" t="s">
        <v>1174</v>
      </c>
      <c r="I4209" t="s">
        <v>1117</v>
      </c>
      <c r="J4209" t="s">
        <v>12761</v>
      </c>
      <c r="K4209" t="s">
        <v>12762</v>
      </c>
      <c r="L4209" t="s">
        <v>21</v>
      </c>
      <c r="M4209" t="s">
        <v>19177</v>
      </c>
      <c r="N4209" t="s">
        <v>97</v>
      </c>
      <c r="O4209" t="s">
        <v>937</v>
      </c>
      <c r="P4209" t="s">
        <v>12</v>
      </c>
    </row>
    <row r="4210">
      <c r="A4210">
        <f>HYPERLINK("http://bombeiros.sp.gov.br/hidrantes/03individual/80.html","80")</f>
      </c>
      <c r="B4210" t="s">
        <v>842</v>
      </c>
      <c r="C4210" t="s">
        <v>937</v>
      </c>
      <c r="D4210" t="s">
        <v>937</v>
      </c>
      <c r="E4210" t="s">
        <v>15</v>
      </c>
      <c r="F4210" t="s">
        <v>12763</v>
      </c>
      <c r="G4210" t="s">
        <v>18094</v>
      </c>
      <c r="H4210" t="s">
        <v>1107</v>
      </c>
      <c r="I4210" t="s">
        <v>1117</v>
      </c>
      <c r="J4210" t="s">
        <v>12764</v>
      </c>
      <c r="K4210" t="s">
        <v>12765</v>
      </c>
      <c r="L4210" t="s">
        <v>21</v>
      </c>
      <c r="M4210" t="s">
        <v>19177</v>
      </c>
      <c r="N4210" t="s">
        <v>97</v>
      </c>
      <c r="O4210" t="s">
        <v>937</v>
      </c>
      <c r="P4210" t="s">
        <v>12</v>
      </c>
    </row>
    <row r="4211">
      <c r="A4211">
        <f>HYPERLINK("http://bombeiros.sp.gov.br/hidrantes/03individual/81.html","81")</f>
      </c>
      <c r="B4211" t="s">
        <v>842</v>
      </c>
      <c r="C4211" t="s">
        <v>937</v>
      </c>
      <c r="D4211" t="s">
        <v>937</v>
      </c>
      <c r="E4211" t="s">
        <v>15</v>
      </c>
      <c r="F4211" t="s">
        <v>12766</v>
      </c>
      <c r="G4211" t="s">
        <v>18094</v>
      </c>
      <c r="H4211" t="s">
        <v>1107</v>
      </c>
      <c r="I4211" t="s">
        <v>1108</v>
      </c>
      <c r="J4211" t="s">
        <v>12767</v>
      </c>
      <c r="K4211" t="s">
        <v>12768</v>
      </c>
      <c r="L4211" t="s">
        <v>21</v>
      </c>
      <c r="M4211" t="s">
        <v>19177</v>
      </c>
      <c r="N4211" t="s">
        <v>97</v>
      </c>
      <c r="O4211" t="s">
        <v>937</v>
      </c>
      <c r="P4211" t="s">
        <v>12</v>
      </c>
    </row>
    <row r="4212">
      <c r="A4212">
        <f>HYPERLINK("http://bombeiros.sp.gov.br/hidrantes/03individual/83.html","83")</f>
      </c>
      <c r="B4212" t="s">
        <v>842</v>
      </c>
      <c r="C4212" t="s">
        <v>937</v>
      </c>
      <c r="D4212" t="s">
        <v>937</v>
      </c>
      <c r="E4212" t="s">
        <v>15</v>
      </c>
      <c r="F4212" t="s">
        <v>12769</v>
      </c>
      <c r="G4212" t="s">
        <v>18169</v>
      </c>
      <c r="H4212" t="s">
        <v>1107</v>
      </c>
      <c r="I4212" t="s">
        <v>1108</v>
      </c>
      <c r="J4212" t="s">
        <v>12770</v>
      </c>
      <c r="K4212" t="s">
        <v>12771</v>
      </c>
      <c r="L4212" t="s">
        <v>21</v>
      </c>
      <c r="M4212" t="s">
        <v>19177</v>
      </c>
      <c r="N4212" t="s">
        <v>97</v>
      </c>
      <c r="O4212" t="s">
        <v>937</v>
      </c>
      <c r="P4212" t="s">
        <v>12</v>
      </c>
    </row>
    <row r="4213">
      <c r="A4213">
        <f>HYPERLINK("http://bombeiros.sp.gov.br/hidrantes/03individual/87.html","87")</f>
      </c>
      <c r="B4213" t="s">
        <v>842</v>
      </c>
      <c r="C4213" t="s">
        <v>937</v>
      </c>
      <c r="D4213" t="s">
        <v>937</v>
      </c>
      <c r="E4213" t="s">
        <v>15</v>
      </c>
      <c r="F4213" t="s">
        <v>12772</v>
      </c>
      <c r="G4213" t="s">
        <v>18056</v>
      </c>
      <c r="H4213" t="s">
        <v>1174</v>
      </c>
      <c r="I4213" t="s">
        <v>1108</v>
      </c>
      <c r="J4213" t="s">
        <v>12773</v>
      </c>
      <c r="K4213" t="s">
        <v>12774</v>
      </c>
      <c r="L4213" t="s">
        <v>21</v>
      </c>
      <c r="M4213" t="s">
        <v>19177</v>
      </c>
      <c r="N4213" t="s">
        <v>97</v>
      </c>
      <c r="O4213" t="s">
        <v>937</v>
      </c>
      <c r="P4213" t="s">
        <v>12</v>
      </c>
    </row>
    <row r="4214">
      <c r="A4214">
        <f>HYPERLINK("http://bombeiros.sp.gov.br/hidrantes/03individual/137.html","137")</f>
      </c>
      <c r="B4214" t="s">
        <v>842</v>
      </c>
      <c r="C4214" t="s">
        <v>937</v>
      </c>
      <c r="D4214" t="s">
        <v>937</v>
      </c>
      <c r="E4214" t="s">
        <v>15</v>
      </c>
      <c r="F4214" t="s">
        <v>12775</v>
      </c>
      <c r="G4214" t="s">
        <v>18153</v>
      </c>
      <c r="H4214" t="s">
        <v>1107</v>
      </c>
      <c r="I4214" t="s">
        <v>1108</v>
      </c>
      <c r="J4214" t="s">
        <v>12776</v>
      </c>
      <c r="K4214" t="s">
        <v>12777</v>
      </c>
      <c r="L4214" t="s">
        <v>21</v>
      </c>
      <c r="M4214" t="s">
        <v>19177</v>
      </c>
      <c r="N4214" t="s">
        <v>97</v>
      </c>
      <c r="O4214" t="s">
        <v>937</v>
      </c>
      <c r="P4214" t="s">
        <v>12</v>
      </c>
    </row>
    <row r="4215">
      <c r="A4215">
        <f>HYPERLINK("http://bombeiros.sp.gov.br/hidrantes/03individual/151.html","151")</f>
      </c>
      <c r="B4215" t="s">
        <v>842</v>
      </c>
      <c r="C4215" t="s">
        <v>937</v>
      </c>
      <c r="D4215" t="s">
        <v>937</v>
      </c>
      <c r="E4215" t="s">
        <v>15</v>
      </c>
      <c r="F4215" t="s">
        <v>12778</v>
      </c>
      <c r="G4215" t="s">
        <v>18070</v>
      </c>
      <c r="H4215" t="s">
        <v>1107</v>
      </c>
      <c r="I4215" t="s">
        <v>1108</v>
      </c>
      <c r="J4215" t="s">
        <v>12779</v>
      </c>
      <c r="K4215" t="s">
        <v>12780</v>
      </c>
      <c r="L4215" t="s">
        <v>21</v>
      </c>
      <c r="M4215" t="s">
        <v>19177</v>
      </c>
      <c r="N4215" t="s">
        <v>97</v>
      </c>
      <c r="O4215" t="s">
        <v>937</v>
      </c>
      <c r="P4215" t="s">
        <v>12</v>
      </c>
    </row>
    <row r="4216">
      <c r="A4216">
        <f>HYPERLINK("http://bombeiros.sp.gov.br/hidrantes/03individual/152.html","152")</f>
      </c>
      <c r="B4216" t="s">
        <v>842</v>
      </c>
      <c r="C4216" t="s">
        <v>937</v>
      </c>
      <c r="D4216" t="s">
        <v>937</v>
      </c>
      <c r="E4216" t="s">
        <v>15</v>
      </c>
      <c r="F4216" t="s">
        <v>12781</v>
      </c>
      <c r="G4216" t="s">
        <v>18153</v>
      </c>
      <c r="H4216" t="s">
        <v>1107</v>
      </c>
      <c r="I4216" t="s">
        <v>1108</v>
      </c>
      <c r="J4216" t="s">
        <v>12782</v>
      </c>
      <c r="K4216" t="s">
        <v>12783</v>
      </c>
      <c r="L4216" t="s">
        <v>21</v>
      </c>
      <c r="M4216" t="s">
        <v>19177</v>
      </c>
      <c r="N4216" t="s">
        <v>97</v>
      </c>
      <c r="O4216" t="s">
        <v>937</v>
      </c>
      <c r="P4216" t="s">
        <v>12</v>
      </c>
    </row>
    <row r="4217">
      <c r="A4217">
        <f>HYPERLINK("http://bombeiros.sp.gov.br/hidrantes/03individual/153.html","153")</f>
      </c>
      <c r="B4217" t="s">
        <v>842</v>
      </c>
      <c r="C4217" t="s">
        <v>937</v>
      </c>
      <c r="D4217" t="s">
        <v>937</v>
      </c>
      <c r="E4217" t="s">
        <v>15</v>
      </c>
      <c r="F4217" t="s">
        <v>12784</v>
      </c>
      <c r="G4217" t="s">
        <v>18153</v>
      </c>
      <c r="H4217" t="s">
        <v>1107</v>
      </c>
      <c r="I4217" t="s">
        <v>1108</v>
      </c>
      <c r="J4217" t="s">
        <v>12785</v>
      </c>
      <c r="K4217" t="s">
        <v>12786</v>
      </c>
      <c r="L4217" t="s">
        <v>21</v>
      </c>
      <c r="M4217" t="s">
        <v>19177</v>
      </c>
      <c r="N4217" t="s">
        <v>97</v>
      </c>
      <c r="O4217" t="s">
        <v>937</v>
      </c>
      <c r="P4217" t="s">
        <v>12</v>
      </c>
    </row>
    <row r="4218">
      <c r="A4218">
        <f>HYPERLINK("http://bombeiros.sp.gov.br/hidrantes/03individual/219.html","219")</f>
      </c>
      <c r="B4218" t="s">
        <v>842</v>
      </c>
      <c r="C4218" t="s">
        <v>937</v>
      </c>
      <c r="D4218" t="s">
        <v>937</v>
      </c>
      <c r="E4218" t="s">
        <v>15</v>
      </c>
      <c r="F4218" t="s">
        <v>12787</v>
      </c>
      <c r="G4218" t="s">
        <v>18115</v>
      </c>
      <c r="H4218" t="s">
        <v>1107</v>
      </c>
      <c r="I4218" t="s">
        <v>1108</v>
      </c>
      <c r="J4218" t="s">
        <v>12788</v>
      </c>
      <c r="K4218" t="s">
        <v>12789</v>
      </c>
      <c r="L4218" t="s">
        <v>21</v>
      </c>
      <c r="M4218" t="s">
        <v>19177</v>
      </c>
      <c r="N4218" t="s">
        <v>97</v>
      </c>
      <c r="O4218" t="s">
        <v>937</v>
      </c>
      <c r="P4218" t="s">
        <v>12</v>
      </c>
    </row>
    <row r="4219">
      <c r="A4219">
        <f>HYPERLINK("http://bombeiros.sp.gov.br/hidrantes/03individual/221.html","221")</f>
      </c>
      <c r="B4219" t="s">
        <v>842</v>
      </c>
      <c r="C4219" t="s">
        <v>937</v>
      </c>
      <c r="D4219" t="s">
        <v>937</v>
      </c>
      <c r="E4219" t="s">
        <v>15</v>
      </c>
      <c r="F4219" t="s">
        <v>12790</v>
      </c>
      <c r="G4219" t="s">
        <v>18070</v>
      </c>
      <c r="H4219" t="s">
        <v>1107</v>
      </c>
      <c r="I4219" t="s">
        <v>1108</v>
      </c>
      <c r="J4219" t="s">
        <v>12791</v>
      </c>
      <c r="K4219" t="s">
        <v>12792</v>
      </c>
      <c r="L4219" t="s">
        <v>21</v>
      </c>
      <c r="M4219" t="s">
        <v>19177</v>
      </c>
      <c r="N4219" t="s">
        <v>97</v>
      </c>
      <c r="O4219" t="s">
        <v>937</v>
      </c>
      <c r="P4219" t="s">
        <v>12</v>
      </c>
    </row>
    <row r="4220">
      <c r="A4220">
        <f>HYPERLINK("http://bombeiros.sp.gov.br/hidrantes/03individual/274.html","274")</f>
      </c>
      <c r="B4220" t="s">
        <v>842</v>
      </c>
      <c r="C4220" t="s">
        <v>937</v>
      </c>
      <c r="D4220" t="s">
        <v>937</v>
      </c>
      <c r="E4220" t="s">
        <v>15</v>
      </c>
      <c r="F4220" t="s">
        <v>12793</v>
      </c>
      <c r="G4220" t="s">
        <v>18168</v>
      </c>
      <c r="H4220" t="s">
        <v>1112</v>
      </c>
      <c r="I4220" t="s">
        <v>1108</v>
      </c>
      <c r="J4220" t="s">
        <v>12794</v>
      </c>
      <c r="K4220" t="s">
        <v>12795</v>
      </c>
      <c r="L4220" t="s">
        <v>21</v>
      </c>
      <c r="M4220" t="s">
        <v>19177</v>
      </c>
      <c r="N4220" t="s">
        <v>97</v>
      </c>
      <c r="O4220" t="s">
        <v>937</v>
      </c>
      <c r="P4220" t="s">
        <v>12</v>
      </c>
    </row>
    <row r="4221">
      <c r="A4221">
        <f>HYPERLINK("http://bombeiros.sp.gov.br/hidrantes/03individual/1710.html","1710")</f>
      </c>
      <c r="B4221" t="s">
        <v>842</v>
      </c>
      <c r="C4221" t="s">
        <v>937</v>
      </c>
      <c r="D4221" t="s">
        <v>937</v>
      </c>
      <c r="E4221" t="s">
        <v>15</v>
      </c>
      <c r="F4221" t="s">
        <v>12796</v>
      </c>
      <c r="G4221" t="s">
        <v>18153</v>
      </c>
      <c r="H4221" t="s">
        <v>1174</v>
      </c>
      <c r="I4221" t="s">
        <v>1117</v>
      </c>
      <c r="J4221" t="s">
        <v>12797</v>
      </c>
      <c r="K4221" t="s">
        <v>12798</v>
      </c>
      <c r="L4221" t="s">
        <v>21</v>
      </c>
      <c r="M4221" t="s">
        <v>19177</v>
      </c>
      <c r="N4221" t="s">
        <v>97</v>
      </c>
      <c r="O4221" t="s">
        <v>937</v>
      </c>
      <c r="P4221" t="s">
        <v>12</v>
      </c>
    </row>
    <row r="4222">
      <c r="A4222">
        <f>HYPERLINK("http://bombeiros.sp.gov.br/hidrantes/03individual/1872.html","1872")</f>
      </c>
      <c r="B4222" t="s">
        <v>842</v>
      </c>
      <c r="C4222" t="s">
        <v>937</v>
      </c>
      <c r="D4222" t="s">
        <v>937</v>
      </c>
      <c r="E4222" t="s">
        <v>15</v>
      </c>
      <c r="F4222" t="s">
        <v>12799</v>
      </c>
      <c r="G4222" t="s">
        <v>18115</v>
      </c>
      <c r="H4222" t="s">
        <v>1121</v>
      </c>
      <c r="I4222" t="s">
        <v>1117</v>
      </c>
      <c r="J4222" t="s">
        <v>12800</v>
      </c>
      <c r="K4222" t="s">
        <v>12801</v>
      </c>
      <c r="L4222" t="s">
        <v>21</v>
      </c>
      <c r="M4222" t="s">
        <v>19177</v>
      </c>
      <c r="N4222" t="s">
        <v>97</v>
      </c>
      <c r="O4222" t="s">
        <v>937</v>
      </c>
      <c r="P4222" t="s">
        <v>12</v>
      </c>
    </row>
    <row r="4223">
      <c r="A4223">
        <f>HYPERLINK("http://bombeiros.sp.gov.br/hidrantes/03individual/2302.html","2302")</f>
      </c>
      <c r="B4223" t="s">
        <v>842</v>
      </c>
      <c r="C4223" t="s">
        <v>937</v>
      </c>
      <c r="D4223" t="s">
        <v>937</v>
      </c>
      <c r="E4223" t="s">
        <v>15</v>
      </c>
      <c r="F4223" t="s">
        <v>12802</v>
      </c>
      <c r="G4223" t="s">
        <v>18170</v>
      </c>
      <c r="H4223" t="s">
        <v>1107</v>
      </c>
      <c r="I4223" t="s">
        <v>1108</v>
      </c>
      <c r="J4223" t="s">
        <v>12803</v>
      </c>
      <c r="K4223" t="s">
        <v>12804</v>
      </c>
      <c r="L4223" t="s">
        <v>21</v>
      </c>
      <c r="M4223" t="s">
        <v>19177</v>
      </c>
      <c r="N4223" t="s">
        <v>97</v>
      </c>
      <c r="O4223" t="s">
        <v>937</v>
      </c>
      <c r="P4223" t="s">
        <v>12</v>
      </c>
    </row>
    <row r="4224">
      <c r="A4224">
        <f>HYPERLINK("http://bombeiros.sp.gov.br/hidrantes/03individual/2329.html","2329")</f>
      </c>
      <c r="B4224" t="s">
        <v>842</v>
      </c>
      <c r="C4224" t="s">
        <v>937</v>
      </c>
      <c r="D4224" t="s">
        <v>937</v>
      </c>
      <c r="E4224" t="s">
        <v>15</v>
      </c>
      <c r="F4224" t="s">
        <v>12805</v>
      </c>
      <c r="G4224" t="s">
        <v>18056</v>
      </c>
      <c r="H4224" t="s">
        <v>1107</v>
      </c>
      <c r="I4224" t="s">
        <v>1108</v>
      </c>
      <c r="J4224" t="s">
        <v>15996</v>
      </c>
      <c r="K4224" t="s">
        <v>15997</v>
      </c>
      <c r="L4224" t="s">
        <v>21</v>
      </c>
      <c r="M4224" t="s">
        <v>19177</v>
      </c>
      <c r="N4224" t="s">
        <v>97</v>
      </c>
      <c r="O4224" t="s">
        <v>937</v>
      </c>
      <c r="P4224" t="s">
        <v>12</v>
      </c>
    </row>
    <row r="4225">
      <c r="A4225">
        <f>HYPERLINK("http://bombeiros.sp.gov.br/hidrantes/03individual/26621.html","26621")</f>
      </c>
      <c r="B4225" t="s">
        <v>842</v>
      </c>
      <c r="C4225" t="s">
        <v>937</v>
      </c>
      <c r="D4225" t="s">
        <v>937</v>
      </c>
      <c r="E4225" t="s">
        <v>15</v>
      </c>
      <c r="F4225" t="s">
        <v>942</v>
      </c>
      <c r="G4225" t="s">
        <v>18115</v>
      </c>
      <c r="H4225" t="s">
        <v>1174</v>
      </c>
      <c r="I4225" t="s">
        <v>1117</v>
      </c>
      <c r="J4225" t="s">
        <v>943</v>
      </c>
      <c r="K4225" t="s">
        <v>944</v>
      </c>
      <c r="L4225" t="s">
        <v>21</v>
      </c>
      <c r="M4225" t="s">
        <v>19177</v>
      </c>
      <c r="N4225" t="s">
        <v>97</v>
      </c>
      <c r="O4225" t="s">
        <v>937</v>
      </c>
      <c r="P4225" t="s">
        <v>12</v>
      </c>
    </row>
    <row r="4226">
      <c r="A4226">
        <f>HYPERLINK("http://bombeiros.sp.gov.br/hidrantes/03individual/3013.html","3013")</f>
      </c>
      <c r="B4226" t="s">
        <v>842</v>
      </c>
      <c r="C4226" t="s">
        <v>937</v>
      </c>
      <c r="D4226" t="s">
        <v>945</v>
      </c>
      <c r="E4226" t="s">
        <v>64</v>
      </c>
      <c r="F4226" t="s">
        <v>12808</v>
      </c>
      <c r="G4226" t="s">
        <v>18115</v>
      </c>
      <c r="H4226" t="s">
        <v>1174</v>
      </c>
      <c r="I4226" t="s">
        <v>1108</v>
      </c>
      <c r="J4226" t="s">
        <v>12809</v>
      </c>
      <c r="K4226" t="s">
        <v>12810</v>
      </c>
      <c r="L4226" t="s">
        <v>21</v>
      </c>
      <c r="M4226" t="s">
        <v>19177</v>
      </c>
      <c r="N4226" t="s">
        <v>97</v>
      </c>
      <c r="O4226" t="s">
        <v>937</v>
      </c>
      <c r="P4226" t="s">
        <v>12</v>
      </c>
    </row>
    <row r="4227">
      <c r="A4227">
        <f>HYPERLINK("http://bombeiros.sp.gov.br/hidrantes/03individual/51.html","51")</f>
      </c>
      <c r="B4227" t="s">
        <v>842</v>
      </c>
      <c r="C4227" t="s">
        <v>937</v>
      </c>
      <c r="D4227" t="s">
        <v>945</v>
      </c>
      <c r="E4227" t="s">
        <v>15</v>
      </c>
      <c r="F4227" t="s">
        <v>12811</v>
      </c>
      <c r="G4227" t="s">
        <v>18168</v>
      </c>
      <c r="H4227" t="s">
        <v>1174</v>
      </c>
      <c r="I4227" t="s">
        <v>1117</v>
      </c>
      <c r="J4227" t="s">
        <v>12812</v>
      </c>
      <c r="K4227" t="s">
        <v>12813</v>
      </c>
      <c r="L4227" t="s">
        <v>21</v>
      </c>
      <c r="M4227" t="s">
        <v>19177</v>
      </c>
      <c r="N4227" t="s">
        <v>97</v>
      </c>
      <c r="O4227" t="s">
        <v>937</v>
      </c>
      <c r="P4227" t="s">
        <v>12</v>
      </c>
    </row>
    <row r="4228">
      <c r="A4228">
        <f>HYPERLINK("http://bombeiros.sp.gov.br/hidrantes/03individual/61.html","61")</f>
      </c>
      <c r="B4228" t="s">
        <v>842</v>
      </c>
      <c r="C4228" t="s">
        <v>937</v>
      </c>
      <c r="D4228" t="s">
        <v>945</v>
      </c>
      <c r="E4228" t="s">
        <v>15</v>
      </c>
      <c r="F4228" t="s">
        <v>12814</v>
      </c>
      <c r="G4228" t="s">
        <v>18168</v>
      </c>
      <c r="H4228" t="s">
        <v>1107</v>
      </c>
      <c r="I4228" t="s">
        <v>1108</v>
      </c>
      <c r="J4228" t="s">
        <v>16266</v>
      </c>
      <c r="K4228" t="s">
        <v>16267</v>
      </c>
      <c r="L4228" t="s">
        <v>21</v>
      </c>
      <c r="M4228" t="s">
        <v>19177</v>
      </c>
      <c r="N4228" t="s">
        <v>97</v>
      </c>
      <c r="O4228" t="s">
        <v>937</v>
      </c>
      <c r="P4228" t="s">
        <v>12</v>
      </c>
    </row>
    <row r="4229">
      <c r="A4229">
        <f>HYPERLINK("http://bombeiros.sp.gov.br/hidrantes/03individual/116.html","116")</f>
      </c>
      <c r="B4229" t="s">
        <v>842</v>
      </c>
      <c r="C4229" t="s">
        <v>937</v>
      </c>
      <c r="D4229" t="s">
        <v>945</v>
      </c>
      <c r="E4229" t="s">
        <v>15</v>
      </c>
      <c r="F4229" t="s">
        <v>12817</v>
      </c>
      <c r="G4229" t="s">
        <v>18153</v>
      </c>
      <c r="H4229" t="s">
        <v>1107</v>
      </c>
      <c r="I4229" t="s">
        <v>1108</v>
      </c>
      <c r="J4229" t="s">
        <v>12818</v>
      </c>
      <c r="K4229" t="s">
        <v>12819</v>
      </c>
      <c r="L4229" t="s">
        <v>21</v>
      </c>
      <c r="M4229" t="s">
        <v>19177</v>
      </c>
      <c r="N4229" t="s">
        <v>97</v>
      </c>
      <c r="O4229" t="s">
        <v>937</v>
      </c>
      <c r="P4229" t="s">
        <v>12</v>
      </c>
    </row>
    <row r="4230">
      <c r="A4230">
        <f>HYPERLINK("http://bombeiros.sp.gov.br/hidrantes/03individual/118.html","118")</f>
      </c>
      <c r="B4230" t="s">
        <v>842</v>
      </c>
      <c r="C4230" t="s">
        <v>937</v>
      </c>
      <c r="D4230" t="s">
        <v>945</v>
      </c>
      <c r="E4230" t="s">
        <v>15</v>
      </c>
      <c r="F4230" t="s">
        <v>12820</v>
      </c>
      <c r="G4230" t="s">
        <v>17921</v>
      </c>
      <c r="H4230" t="s">
        <v>1174</v>
      </c>
      <c r="I4230" t="s">
        <v>1117</v>
      </c>
      <c r="J4230" t="s">
        <v>12821</v>
      </c>
      <c r="K4230" t="s">
        <v>12822</v>
      </c>
      <c r="L4230" t="s">
        <v>21</v>
      </c>
      <c r="M4230" t="s">
        <v>19177</v>
      </c>
      <c r="N4230" t="s">
        <v>97</v>
      </c>
      <c r="O4230" t="s">
        <v>937</v>
      </c>
      <c r="P4230" t="s">
        <v>12</v>
      </c>
    </row>
    <row r="4231">
      <c r="A4231">
        <f>HYPERLINK("http://bombeiros.sp.gov.br/hidrantes/03individual/154.html","154")</f>
      </c>
      <c r="B4231" t="s">
        <v>842</v>
      </c>
      <c r="C4231" t="s">
        <v>937</v>
      </c>
      <c r="D4231" t="s">
        <v>945</v>
      </c>
      <c r="E4231" t="s">
        <v>15</v>
      </c>
      <c r="F4231" t="s">
        <v>12823</v>
      </c>
      <c r="G4231" t="s">
        <v>18070</v>
      </c>
      <c r="H4231" t="s">
        <v>1107</v>
      </c>
      <c r="I4231" t="s">
        <v>1108</v>
      </c>
      <c r="J4231" t="s">
        <v>12824</v>
      </c>
      <c r="K4231" t="s">
        <v>12825</v>
      </c>
      <c r="L4231" t="s">
        <v>21</v>
      </c>
      <c r="M4231" t="s">
        <v>19177</v>
      </c>
      <c r="N4231" t="s">
        <v>97</v>
      </c>
      <c r="O4231" t="s">
        <v>937</v>
      </c>
      <c r="P4231" t="s">
        <v>12</v>
      </c>
    </row>
    <row r="4232">
      <c r="A4232">
        <f>HYPERLINK("http://bombeiros.sp.gov.br/hidrantes/03individual/189.html","189")</f>
      </c>
      <c r="B4232" t="s">
        <v>842</v>
      </c>
      <c r="C4232" t="s">
        <v>937</v>
      </c>
      <c r="D4232" t="s">
        <v>945</v>
      </c>
      <c r="E4232" t="s">
        <v>15</v>
      </c>
      <c r="F4232" t="s">
        <v>12826</v>
      </c>
      <c r="G4232" t="s">
        <v>18168</v>
      </c>
      <c r="H4232" t="s">
        <v>1107</v>
      </c>
      <c r="I4232" t="s">
        <v>1108</v>
      </c>
      <c r="J4232" t="s">
        <v>12827</v>
      </c>
      <c r="K4232" t="s">
        <v>12828</v>
      </c>
      <c r="L4232" t="s">
        <v>21</v>
      </c>
      <c r="M4232" t="s">
        <v>19177</v>
      </c>
      <c r="N4232" t="s">
        <v>97</v>
      </c>
      <c r="O4232" t="s">
        <v>937</v>
      </c>
      <c r="P4232" t="s">
        <v>12</v>
      </c>
    </row>
    <row r="4233">
      <c r="A4233">
        <f>HYPERLINK("http://bombeiros.sp.gov.br/hidrantes/03individual/1829.html","1829")</f>
      </c>
      <c r="B4233" t="s">
        <v>842</v>
      </c>
      <c r="C4233" t="s">
        <v>937</v>
      </c>
      <c r="D4233" t="s">
        <v>945</v>
      </c>
      <c r="E4233" t="s">
        <v>15</v>
      </c>
      <c r="F4233" t="s">
        <v>12829</v>
      </c>
      <c r="G4233" t="s">
        <v>18115</v>
      </c>
      <c r="H4233" t="s">
        <v>1174</v>
      </c>
      <c r="I4233" t="s">
        <v>1108</v>
      </c>
      <c r="J4233" t="s">
        <v>12830</v>
      </c>
      <c r="K4233" t="s">
        <v>12831</v>
      </c>
      <c r="L4233" t="s">
        <v>21</v>
      </c>
      <c r="M4233" t="s">
        <v>19177</v>
      </c>
      <c r="N4233" t="s">
        <v>97</v>
      </c>
      <c r="O4233" t="s">
        <v>937</v>
      </c>
      <c r="P4233" t="s">
        <v>12</v>
      </c>
    </row>
    <row r="4234">
      <c r="A4234">
        <f>HYPERLINK("http://bombeiros.sp.gov.br/hidrantes/03individual/1837.html","1837")</f>
      </c>
      <c r="B4234" t="s">
        <v>842</v>
      </c>
      <c r="C4234" t="s">
        <v>937</v>
      </c>
      <c r="D4234" t="s">
        <v>945</v>
      </c>
      <c r="E4234" t="s">
        <v>15</v>
      </c>
      <c r="F4234" t="s">
        <v>12832</v>
      </c>
      <c r="G4234" t="s">
        <v>18170</v>
      </c>
      <c r="H4234" t="s">
        <v>1112</v>
      </c>
      <c r="I4234" t="s">
        <v>1108</v>
      </c>
      <c r="J4234" t="s">
        <v>12833</v>
      </c>
      <c r="K4234" t="s">
        <v>12834</v>
      </c>
      <c r="L4234" t="s">
        <v>21</v>
      </c>
      <c r="M4234" t="s">
        <v>19177</v>
      </c>
      <c r="N4234" t="s">
        <v>97</v>
      </c>
      <c r="O4234" t="s">
        <v>937</v>
      </c>
      <c r="P4234" t="s">
        <v>12</v>
      </c>
    </row>
    <row r="4235">
      <c r="A4235">
        <f>HYPERLINK("http://bombeiros.sp.gov.br/hidrantes/03individual/3690.html","3690")</f>
      </c>
      <c r="B4235" t="s">
        <v>842</v>
      </c>
      <c r="C4235" t="s">
        <v>937</v>
      </c>
      <c r="D4235" t="s">
        <v>945</v>
      </c>
      <c r="E4235" t="s">
        <v>15</v>
      </c>
      <c r="F4235" t="s">
        <v>946</v>
      </c>
      <c r="G4235" t="s">
        <v>17974</v>
      </c>
      <c r="H4235" t="s">
        <v>1112</v>
      </c>
      <c r="I4235" t="s">
        <v>1108</v>
      </c>
      <c r="J4235" t="s">
        <v>948</v>
      </c>
      <c r="K4235" t="s">
        <v>949</v>
      </c>
      <c r="L4235" t="s">
        <v>21</v>
      </c>
      <c r="M4235" t="s">
        <v>19177</v>
      </c>
      <c r="N4235" t="s">
        <v>97</v>
      </c>
      <c r="O4235" t="s">
        <v>937</v>
      </c>
      <c r="P4235" t="s">
        <v>12</v>
      </c>
    </row>
    <row r="4236">
      <c r="A4236">
        <f>HYPERLINK("http://bombeiros.sp.gov.br/hidrantes/03individual/16641.html","16641")</f>
      </c>
      <c r="B4236" t="s">
        <v>842</v>
      </c>
      <c r="C4236" t="s">
        <v>937</v>
      </c>
      <c r="D4236" t="s">
        <v>945</v>
      </c>
      <c r="E4236" t="s">
        <v>15</v>
      </c>
      <c r="F4236" t="s">
        <v>12835</v>
      </c>
      <c r="G4236" t="s">
        <v>17974</v>
      </c>
      <c r="H4236" t="s">
        <v>1107</v>
      </c>
      <c r="I4236" t="s">
        <v>1108</v>
      </c>
      <c r="J4236" t="s">
        <v>12836</v>
      </c>
      <c r="K4236" t="s">
        <v>12837</v>
      </c>
      <c r="L4236" t="s">
        <v>21</v>
      </c>
      <c r="M4236" t="s">
        <v>19177</v>
      </c>
      <c r="N4236" t="s">
        <v>97</v>
      </c>
      <c r="O4236" t="s">
        <v>937</v>
      </c>
      <c r="P4236" t="s">
        <v>12</v>
      </c>
    </row>
    <row r="4237">
      <c r="A4237">
        <f>HYPERLINK("http://bombeiros.sp.gov.br/hidrantes/03individual/28556.html","28556")</f>
      </c>
      <c r="B4237" t="s">
        <v>842</v>
      </c>
      <c r="C4237" t="s">
        <v>937</v>
      </c>
      <c r="D4237" t="s">
        <v>945</v>
      </c>
      <c r="E4237" t="s">
        <v>15</v>
      </c>
      <c r="F4237" t="s">
        <v>18959</v>
      </c>
      <c r="G4237"/>
      <c r="H4237"/>
      <c r="I4237" t="s">
        <v>1503</v>
      </c>
      <c r="J4237" t="s">
        <v>18960</v>
      </c>
      <c r="K4237" t="s">
        <v>18961</v>
      </c>
      <c r="L4237" t="s">
        <v>21</v>
      </c>
      <c r="M4237" t="s">
        <v>19177</v>
      </c>
      <c r="N4237" t="s">
        <v>97</v>
      </c>
      <c r="O4237" t="s">
        <v>937</v>
      </c>
      <c r="P4237" t="s">
        <v>12</v>
      </c>
    </row>
    <row r="4238">
      <c r="A4238">
        <f>HYPERLINK("http://bombeiros.sp.gov.br/hidrantes/03individual/2996.html","2996")</f>
      </c>
      <c r="B4238" t="s">
        <v>842</v>
      </c>
      <c r="C4238" t="s">
        <v>937</v>
      </c>
      <c r="D4238" t="s">
        <v>12838</v>
      </c>
      <c r="E4238" t="s">
        <v>64</v>
      </c>
      <c r="F4238" t="s">
        <v>12839</v>
      </c>
      <c r="G4238" t="s">
        <v>18130</v>
      </c>
      <c r="H4238" t="s">
        <v>1121</v>
      </c>
      <c r="I4238" t="s">
        <v>1117</v>
      </c>
      <c r="J4238" t="s">
        <v>12840</v>
      </c>
      <c r="K4238" t="s">
        <v>12841</v>
      </c>
      <c r="L4238" t="s">
        <v>21</v>
      </c>
      <c r="M4238" t="s">
        <v>19177</v>
      </c>
      <c r="N4238" t="s">
        <v>97</v>
      </c>
      <c r="O4238" t="s">
        <v>937</v>
      </c>
      <c r="P4238" t="s">
        <v>12</v>
      </c>
    </row>
    <row r="4239">
      <c r="A4239">
        <f>HYPERLINK("http://bombeiros.sp.gov.br/hidrantes/03individual/3692.html","3692")</f>
      </c>
      <c r="B4239" t="s">
        <v>842</v>
      </c>
      <c r="C4239" t="s">
        <v>937</v>
      </c>
      <c r="D4239" t="s">
        <v>12838</v>
      </c>
      <c r="E4239" t="s">
        <v>64</v>
      </c>
      <c r="F4239" t="s">
        <v>12842</v>
      </c>
      <c r="G4239" t="s">
        <v>18110</v>
      </c>
      <c r="H4239" t="s">
        <v>1112</v>
      </c>
      <c r="I4239" t="s">
        <v>1108</v>
      </c>
      <c r="J4239" t="s">
        <v>12843</v>
      </c>
      <c r="K4239" t="s">
        <v>12844</v>
      </c>
      <c r="L4239" t="s">
        <v>21</v>
      </c>
      <c r="M4239" t="s">
        <v>19177</v>
      </c>
      <c r="N4239" t="s">
        <v>97</v>
      </c>
      <c r="O4239" t="s">
        <v>937</v>
      </c>
      <c r="P4239" t="s">
        <v>12</v>
      </c>
    </row>
    <row r="4240">
      <c r="A4240">
        <f>HYPERLINK("http://bombeiros.sp.gov.br/hidrantes/03individual/3694.html","3694")</f>
      </c>
      <c r="B4240" t="s">
        <v>842</v>
      </c>
      <c r="C4240" t="s">
        <v>937</v>
      </c>
      <c r="D4240" t="s">
        <v>12838</v>
      </c>
      <c r="E4240" t="s">
        <v>64</v>
      </c>
      <c r="F4240" t="s">
        <v>12845</v>
      </c>
      <c r="G4240" t="s">
        <v>18155</v>
      </c>
      <c r="H4240" t="s">
        <v>1107</v>
      </c>
      <c r="I4240" t="s">
        <v>1108</v>
      </c>
      <c r="J4240" t="s">
        <v>12846</v>
      </c>
      <c r="K4240" t="s">
        <v>12847</v>
      </c>
      <c r="L4240" t="s">
        <v>21</v>
      </c>
      <c r="M4240" t="s">
        <v>19177</v>
      </c>
      <c r="N4240" t="s">
        <v>97</v>
      </c>
      <c r="O4240" t="s">
        <v>937</v>
      </c>
      <c r="P4240" t="s">
        <v>12</v>
      </c>
    </row>
    <row r="4241">
      <c r="A4241">
        <f>HYPERLINK("http://bombeiros.sp.gov.br/hidrantes/03individual/3695.html","3695")</f>
      </c>
      <c r="B4241" t="s">
        <v>842</v>
      </c>
      <c r="C4241" t="s">
        <v>937</v>
      </c>
      <c r="D4241" t="s">
        <v>12838</v>
      </c>
      <c r="E4241" t="s">
        <v>64</v>
      </c>
      <c r="F4241" t="s">
        <v>12848</v>
      </c>
      <c r="G4241" t="s">
        <v>18155</v>
      </c>
      <c r="H4241" t="s">
        <v>1121</v>
      </c>
      <c r="I4241" t="s">
        <v>1117</v>
      </c>
      <c r="J4241" t="s">
        <v>12849</v>
      </c>
      <c r="K4241" t="s">
        <v>12850</v>
      </c>
      <c r="L4241" t="s">
        <v>21</v>
      </c>
      <c r="M4241" t="s">
        <v>19177</v>
      </c>
      <c r="N4241" t="s">
        <v>97</v>
      </c>
      <c r="O4241" t="s">
        <v>937</v>
      </c>
      <c r="P4241" t="s">
        <v>12</v>
      </c>
    </row>
    <row r="4242">
      <c r="A4242">
        <f>HYPERLINK("http://bombeiros.sp.gov.br/hidrantes/03individual/3696.html","3696")</f>
      </c>
      <c r="B4242" t="s">
        <v>842</v>
      </c>
      <c r="C4242" t="s">
        <v>937</v>
      </c>
      <c r="D4242" t="s">
        <v>12838</v>
      </c>
      <c r="E4242" t="s">
        <v>64</v>
      </c>
      <c r="F4242" t="s">
        <v>12851</v>
      </c>
      <c r="G4242" t="s">
        <v>18110</v>
      </c>
      <c r="H4242" t="s">
        <v>1121</v>
      </c>
      <c r="I4242" t="s">
        <v>1117</v>
      </c>
      <c r="J4242" t="s">
        <v>12852</v>
      </c>
      <c r="K4242" t="s">
        <v>12853</v>
      </c>
      <c r="L4242" t="s">
        <v>21</v>
      </c>
      <c r="M4242" t="s">
        <v>19177</v>
      </c>
      <c r="N4242" t="s">
        <v>97</v>
      </c>
      <c r="O4242" t="s">
        <v>937</v>
      </c>
      <c r="P4242" t="s">
        <v>12</v>
      </c>
    </row>
    <row r="4243">
      <c r="A4243">
        <f>HYPERLINK("http://bombeiros.sp.gov.br/hidrantes/03individual/3708.html","3708")</f>
      </c>
      <c r="B4243" t="s">
        <v>842</v>
      </c>
      <c r="C4243" t="s">
        <v>937</v>
      </c>
      <c r="D4243" t="s">
        <v>12838</v>
      </c>
      <c r="E4243" t="s">
        <v>64</v>
      </c>
      <c r="F4243" t="s">
        <v>18271</v>
      </c>
      <c r="G4243" t="s">
        <v>18269</v>
      </c>
      <c r="H4243" t="s">
        <v>1121</v>
      </c>
      <c r="I4243" t="s">
        <v>1117</v>
      </c>
      <c r="J4243" t="s">
        <v>12855</v>
      </c>
      <c r="K4243" t="s">
        <v>12856</v>
      </c>
      <c r="L4243" t="s">
        <v>21</v>
      </c>
      <c r="M4243" t="s">
        <v>19177</v>
      </c>
      <c r="N4243" t="s">
        <v>97</v>
      </c>
      <c r="O4243" t="s">
        <v>937</v>
      </c>
      <c r="P4243" t="s">
        <v>12</v>
      </c>
    </row>
    <row r="4244">
      <c r="A4244">
        <f>HYPERLINK("http://bombeiros.sp.gov.br/hidrantes/03individual/3709.html","3709")</f>
      </c>
      <c r="B4244" t="s">
        <v>842</v>
      </c>
      <c r="C4244" t="s">
        <v>937</v>
      </c>
      <c r="D4244" t="s">
        <v>12838</v>
      </c>
      <c r="E4244" t="s">
        <v>64</v>
      </c>
      <c r="F4244" t="s">
        <v>12857</v>
      </c>
      <c r="G4244" t="s">
        <v>18166</v>
      </c>
      <c r="H4244" t="s">
        <v>1112</v>
      </c>
      <c r="I4244" t="s">
        <v>1108</v>
      </c>
      <c r="J4244" t="s">
        <v>12858</v>
      </c>
      <c r="K4244" t="s">
        <v>12859</v>
      </c>
      <c r="L4244" t="s">
        <v>21</v>
      </c>
      <c r="M4244" t="s">
        <v>19177</v>
      </c>
      <c r="N4244" t="s">
        <v>97</v>
      </c>
      <c r="O4244" t="s">
        <v>937</v>
      </c>
      <c r="P4244" t="s">
        <v>12</v>
      </c>
    </row>
    <row r="4245">
      <c r="A4245">
        <f>HYPERLINK("http://bombeiros.sp.gov.br/hidrantes/03individual/10024.html","10024")</f>
      </c>
      <c r="B4245" t="s">
        <v>842</v>
      </c>
      <c r="C4245" t="s">
        <v>937</v>
      </c>
      <c r="D4245" t="s">
        <v>12838</v>
      </c>
      <c r="E4245" t="s">
        <v>64</v>
      </c>
      <c r="F4245" t="s">
        <v>12860</v>
      </c>
      <c r="G4245" t="s">
        <v>18155</v>
      </c>
      <c r="H4245" t="s">
        <v>1174</v>
      </c>
      <c r="I4245" t="s">
        <v>1108</v>
      </c>
      <c r="J4245" t="s">
        <v>12861</v>
      </c>
      <c r="K4245" t="s">
        <v>12862</v>
      </c>
      <c r="L4245" t="s">
        <v>21</v>
      </c>
      <c r="M4245" t="s">
        <v>19177</v>
      </c>
      <c r="N4245" t="s">
        <v>97</v>
      </c>
      <c r="O4245" t="s">
        <v>937</v>
      </c>
      <c r="P4245" t="s">
        <v>12</v>
      </c>
    </row>
    <row r="4246">
      <c r="A4246">
        <f>HYPERLINK("http://bombeiros.sp.gov.br/hidrantes/03individual/14920.html","14920")</f>
      </c>
      <c r="B4246" t="s">
        <v>842</v>
      </c>
      <c r="C4246" t="s">
        <v>937</v>
      </c>
      <c r="D4246" t="s">
        <v>12838</v>
      </c>
      <c r="E4246" t="s">
        <v>64</v>
      </c>
      <c r="F4246" t="s">
        <v>12863</v>
      </c>
      <c r="G4246" t="s">
        <v>18110</v>
      </c>
      <c r="H4246" t="s">
        <v>1174</v>
      </c>
      <c r="I4246" t="s">
        <v>1108</v>
      </c>
      <c r="J4246" t="s">
        <v>12864</v>
      </c>
      <c r="K4246" t="s">
        <v>12865</v>
      </c>
      <c r="L4246" t="s">
        <v>21</v>
      </c>
      <c r="M4246" t="s">
        <v>19177</v>
      </c>
      <c r="N4246" t="s">
        <v>97</v>
      </c>
      <c r="O4246" t="s">
        <v>937</v>
      </c>
      <c r="P4246" t="s">
        <v>12</v>
      </c>
    </row>
    <row r="4247">
      <c r="A4247">
        <f>HYPERLINK("http://bombeiros.sp.gov.br/hidrantes/03individual/82.html","82")</f>
      </c>
      <c r="B4247" t="s">
        <v>842</v>
      </c>
      <c r="C4247" t="s">
        <v>937</v>
      </c>
      <c r="D4247" t="s">
        <v>12838</v>
      </c>
      <c r="E4247" t="s">
        <v>15</v>
      </c>
      <c r="F4247" t="s">
        <v>12866</v>
      </c>
      <c r="G4247" t="s">
        <v>18066</v>
      </c>
      <c r="H4247" t="s">
        <v>1121</v>
      </c>
      <c r="I4247" t="s">
        <v>1117</v>
      </c>
      <c r="J4247" t="s">
        <v>12867</v>
      </c>
      <c r="K4247" t="s">
        <v>12868</v>
      </c>
      <c r="L4247" t="s">
        <v>21</v>
      </c>
      <c r="M4247" t="s">
        <v>19177</v>
      </c>
      <c r="N4247" t="s">
        <v>97</v>
      </c>
      <c r="O4247" t="s">
        <v>937</v>
      </c>
      <c r="P4247" t="s">
        <v>12</v>
      </c>
    </row>
    <row r="4248">
      <c r="A4248">
        <f>HYPERLINK("http://bombeiros.sp.gov.br/hidrantes/03individual/222.html","222")</f>
      </c>
      <c r="B4248" t="s">
        <v>842</v>
      </c>
      <c r="C4248" t="s">
        <v>937</v>
      </c>
      <c r="D4248" t="s">
        <v>12838</v>
      </c>
      <c r="E4248" t="s">
        <v>15</v>
      </c>
      <c r="F4248" t="s">
        <v>12869</v>
      </c>
      <c r="G4248" t="s">
        <v>18050</v>
      </c>
      <c r="H4248" t="s">
        <v>1107</v>
      </c>
      <c r="I4248" t="s">
        <v>1108</v>
      </c>
      <c r="J4248" t="s">
        <v>16566</v>
      </c>
      <c r="K4248" t="s">
        <v>16567</v>
      </c>
      <c r="L4248" t="s">
        <v>21</v>
      </c>
      <c r="M4248" t="s">
        <v>19177</v>
      </c>
      <c r="N4248" t="s">
        <v>97</v>
      </c>
      <c r="O4248" t="s">
        <v>937</v>
      </c>
      <c r="P4248" t="s">
        <v>12</v>
      </c>
    </row>
    <row r="4249">
      <c r="A4249">
        <f>HYPERLINK("http://bombeiros.sp.gov.br/hidrantes/03individual/273.html","273")</f>
      </c>
      <c r="B4249" t="s">
        <v>842</v>
      </c>
      <c r="C4249" t="s">
        <v>937</v>
      </c>
      <c r="D4249" t="s">
        <v>12838</v>
      </c>
      <c r="E4249" t="s">
        <v>15</v>
      </c>
      <c r="F4249" t="s">
        <v>12872</v>
      </c>
      <c r="G4249" t="s">
        <v>18155</v>
      </c>
      <c r="H4249" t="s">
        <v>1107</v>
      </c>
      <c r="I4249" t="s">
        <v>1117</v>
      </c>
      <c r="J4249" t="s">
        <v>12873</v>
      </c>
      <c r="K4249" t="s">
        <v>12874</v>
      </c>
      <c r="L4249" t="s">
        <v>21</v>
      </c>
      <c r="M4249" t="s">
        <v>19177</v>
      </c>
      <c r="N4249" t="s">
        <v>97</v>
      </c>
      <c r="O4249" t="s">
        <v>937</v>
      </c>
      <c r="P4249" t="s">
        <v>12</v>
      </c>
    </row>
    <row r="4250">
      <c r="A4250">
        <f>HYPERLINK("http://bombeiros.sp.gov.br/hidrantes/03individual/3052.html","3052")</f>
      </c>
      <c r="B4250" t="s">
        <v>842</v>
      </c>
      <c r="C4250" t="s">
        <v>937</v>
      </c>
      <c r="D4250" t="s">
        <v>12838</v>
      </c>
      <c r="E4250" t="s">
        <v>15</v>
      </c>
      <c r="F4250" t="s">
        <v>12875</v>
      </c>
      <c r="G4250" t="s">
        <v>18066</v>
      </c>
      <c r="H4250" t="s">
        <v>1174</v>
      </c>
      <c r="I4250" t="s">
        <v>1117</v>
      </c>
      <c r="J4250" t="s">
        <v>12876</v>
      </c>
      <c r="K4250" t="s">
        <v>12877</v>
      </c>
      <c r="L4250" t="s">
        <v>21</v>
      </c>
      <c r="M4250" t="s">
        <v>19177</v>
      </c>
      <c r="N4250" t="s">
        <v>97</v>
      </c>
      <c r="O4250" t="s">
        <v>937</v>
      </c>
      <c r="P4250" t="s">
        <v>12</v>
      </c>
    </row>
    <row r="4251">
      <c r="A4251">
        <f>HYPERLINK("http://bombeiros.sp.gov.br/hidrantes/03individual/3055.html","3055")</f>
      </c>
      <c r="B4251" t="s">
        <v>842</v>
      </c>
      <c r="C4251" t="s">
        <v>937</v>
      </c>
      <c r="D4251" t="s">
        <v>12838</v>
      </c>
      <c r="E4251" t="s">
        <v>15</v>
      </c>
      <c r="F4251" t="s">
        <v>12878</v>
      </c>
      <c r="G4251" t="s">
        <v>18130</v>
      </c>
      <c r="H4251" t="s">
        <v>1121</v>
      </c>
      <c r="I4251" t="s">
        <v>1117</v>
      </c>
      <c r="J4251" t="s">
        <v>16562</v>
      </c>
      <c r="K4251" t="s">
        <v>16563</v>
      </c>
      <c r="L4251" t="s">
        <v>21</v>
      </c>
      <c r="M4251" t="s">
        <v>19177</v>
      </c>
      <c r="N4251" t="s">
        <v>97</v>
      </c>
      <c r="O4251" t="s">
        <v>937</v>
      </c>
      <c r="P4251" t="s">
        <v>12</v>
      </c>
    </row>
    <row r="4252">
      <c r="A4252">
        <f>HYPERLINK("http://bombeiros.sp.gov.br/hidrantes/03individual/3057.html","3057")</f>
      </c>
      <c r="B4252" t="s">
        <v>842</v>
      </c>
      <c r="C4252" t="s">
        <v>937</v>
      </c>
      <c r="D4252" t="s">
        <v>12838</v>
      </c>
      <c r="E4252" t="s">
        <v>15</v>
      </c>
      <c r="F4252" t="s">
        <v>12881</v>
      </c>
      <c r="G4252" t="s">
        <v>18066</v>
      </c>
      <c r="H4252" t="s">
        <v>1107</v>
      </c>
      <c r="I4252" t="s">
        <v>1108</v>
      </c>
      <c r="J4252" t="s">
        <v>12882</v>
      </c>
      <c r="K4252" t="s">
        <v>12883</v>
      </c>
      <c r="L4252" t="s">
        <v>36</v>
      </c>
      <c r="M4252" t="s">
        <v>19177</v>
      </c>
      <c r="N4252" t="s">
        <v>97</v>
      </c>
      <c r="O4252" t="s">
        <v>937</v>
      </c>
      <c r="P4252" t="s">
        <v>12</v>
      </c>
    </row>
    <row r="4253">
      <c r="A4253">
        <f>HYPERLINK("http://bombeiros.sp.gov.br/hidrantes/03individual/3060.html","3060")</f>
      </c>
      <c r="B4253" t="s">
        <v>842</v>
      </c>
      <c r="C4253" t="s">
        <v>937</v>
      </c>
      <c r="D4253" t="s">
        <v>12838</v>
      </c>
      <c r="E4253" t="s">
        <v>15</v>
      </c>
      <c r="F4253" t="s">
        <v>12884</v>
      </c>
      <c r="G4253" t="s">
        <v>18020</v>
      </c>
      <c r="H4253" t="s">
        <v>1174</v>
      </c>
      <c r="I4253" t="s">
        <v>1117</v>
      </c>
      <c r="J4253" t="s">
        <v>12885</v>
      </c>
      <c r="K4253" t="s">
        <v>12886</v>
      </c>
      <c r="L4253" t="s">
        <v>21</v>
      </c>
      <c r="M4253" t="s">
        <v>19177</v>
      </c>
      <c r="N4253" t="s">
        <v>97</v>
      </c>
      <c r="O4253" t="s">
        <v>937</v>
      </c>
      <c r="P4253" t="s">
        <v>12</v>
      </c>
    </row>
    <row r="4254">
      <c r="A4254">
        <f>HYPERLINK("http://bombeiros.sp.gov.br/hidrantes/03individual/3693.html","3693")</f>
      </c>
      <c r="B4254" t="s">
        <v>842</v>
      </c>
      <c r="C4254" t="s">
        <v>937</v>
      </c>
      <c r="D4254" t="s">
        <v>12838</v>
      </c>
      <c r="E4254" t="s">
        <v>15</v>
      </c>
      <c r="F4254" t="s">
        <v>12887</v>
      </c>
      <c r="G4254" t="s">
        <v>18080</v>
      </c>
      <c r="H4254" t="s">
        <v>1121</v>
      </c>
      <c r="I4254" t="s">
        <v>1117</v>
      </c>
      <c r="J4254" t="s">
        <v>12888</v>
      </c>
      <c r="K4254" t="s">
        <v>12889</v>
      </c>
      <c r="L4254" t="s">
        <v>21</v>
      </c>
      <c r="M4254" t="s">
        <v>19177</v>
      </c>
      <c r="N4254" t="s">
        <v>97</v>
      </c>
      <c r="O4254" t="s">
        <v>937</v>
      </c>
      <c r="P4254" t="s">
        <v>12</v>
      </c>
    </row>
    <row r="4255">
      <c r="A4255">
        <f>HYPERLINK("http://bombeiros.sp.gov.br/hidrantes/03individual/3699.html","3699")</f>
      </c>
      <c r="B4255" t="s">
        <v>842</v>
      </c>
      <c r="C4255" t="s">
        <v>937</v>
      </c>
      <c r="D4255" t="s">
        <v>12838</v>
      </c>
      <c r="E4255" t="s">
        <v>15</v>
      </c>
      <c r="F4255" t="s">
        <v>12890</v>
      </c>
      <c r="G4255" t="s">
        <v>18130</v>
      </c>
      <c r="H4255" t="s">
        <v>1121</v>
      </c>
      <c r="I4255" t="s">
        <v>1117</v>
      </c>
      <c r="J4255" t="s">
        <v>12891</v>
      </c>
      <c r="K4255" t="s">
        <v>12892</v>
      </c>
      <c r="L4255" t="s">
        <v>21</v>
      </c>
      <c r="M4255" t="s">
        <v>19177</v>
      </c>
      <c r="N4255" t="s">
        <v>97</v>
      </c>
      <c r="O4255" t="s">
        <v>937</v>
      </c>
      <c r="P4255" t="s">
        <v>12</v>
      </c>
    </row>
    <row r="4256">
      <c r="A4256">
        <f>HYPERLINK("http://bombeiros.sp.gov.br/hidrantes/03individual/3700.html","3700")</f>
      </c>
      <c r="B4256" t="s">
        <v>842</v>
      </c>
      <c r="C4256" t="s">
        <v>937</v>
      </c>
      <c r="D4256" t="s">
        <v>12838</v>
      </c>
      <c r="E4256" t="s">
        <v>15</v>
      </c>
      <c r="F4256" t="s">
        <v>12893</v>
      </c>
      <c r="G4256" t="s">
        <v>18080</v>
      </c>
      <c r="H4256" t="s">
        <v>1174</v>
      </c>
      <c r="I4256" t="s">
        <v>1117</v>
      </c>
      <c r="J4256" t="s">
        <v>12894</v>
      </c>
      <c r="K4256" t="s">
        <v>12895</v>
      </c>
      <c r="L4256" t="s">
        <v>21</v>
      </c>
      <c r="M4256" t="s">
        <v>19177</v>
      </c>
      <c r="N4256" t="s">
        <v>97</v>
      </c>
      <c r="O4256" t="s">
        <v>937</v>
      </c>
      <c r="P4256" t="s">
        <v>12</v>
      </c>
    </row>
    <row r="4257">
      <c r="A4257">
        <f>HYPERLINK("http://bombeiros.sp.gov.br/hidrantes/03individual/3702.html","3702")</f>
      </c>
      <c r="B4257" t="s">
        <v>842</v>
      </c>
      <c r="C4257" t="s">
        <v>937</v>
      </c>
      <c r="D4257" t="s">
        <v>12838</v>
      </c>
      <c r="E4257" t="s">
        <v>15</v>
      </c>
      <c r="F4257" t="s">
        <v>12896</v>
      </c>
      <c r="G4257" t="s">
        <v>18066</v>
      </c>
      <c r="H4257" t="s">
        <v>1107</v>
      </c>
      <c r="I4257" t="s">
        <v>1108</v>
      </c>
      <c r="J4257" t="s">
        <v>12897</v>
      </c>
      <c r="K4257" t="s">
        <v>12898</v>
      </c>
      <c r="L4257" t="s">
        <v>21</v>
      </c>
      <c r="M4257" t="s">
        <v>19177</v>
      </c>
      <c r="N4257" t="s">
        <v>97</v>
      </c>
      <c r="O4257" t="s">
        <v>937</v>
      </c>
      <c r="P4257" t="s">
        <v>12</v>
      </c>
    </row>
    <row r="4258">
      <c r="A4258">
        <f>HYPERLINK("http://bombeiros.sp.gov.br/hidrantes/03individual/3705.html","3705")</f>
      </c>
      <c r="B4258" t="s">
        <v>842</v>
      </c>
      <c r="C4258" t="s">
        <v>937</v>
      </c>
      <c r="D4258" t="s">
        <v>12838</v>
      </c>
      <c r="E4258" t="s">
        <v>15</v>
      </c>
      <c r="F4258" t="s">
        <v>12899</v>
      </c>
      <c r="G4258" t="s">
        <v>18130</v>
      </c>
      <c r="H4258" t="s">
        <v>1107</v>
      </c>
      <c r="I4258" t="s">
        <v>1108</v>
      </c>
      <c r="J4258" t="s">
        <v>12900</v>
      </c>
      <c r="K4258" t="s">
        <v>12901</v>
      </c>
      <c r="L4258" t="s">
        <v>21</v>
      </c>
      <c r="M4258" t="s">
        <v>19177</v>
      </c>
      <c r="N4258" t="s">
        <v>97</v>
      </c>
      <c r="O4258" t="s">
        <v>937</v>
      </c>
      <c r="P4258" t="s">
        <v>12</v>
      </c>
    </row>
    <row r="4259">
      <c r="A4259">
        <f>HYPERLINK("http://bombeiros.sp.gov.br/hidrantes/03individual/16599.html","16599")</f>
      </c>
      <c r="B4259" t="s">
        <v>842</v>
      </c>
      <c r="C4259" t="s">
        <v>937</v>
      </c>
      <c r="D4259" t="s">
        <v>12838</v>
      </c>
      <c r="E4259" t="s">
        <v>15</v>
      </c>
      <c r="F4259" t="s">
        <v>12902</v>
      </c>
      <c r="G4259" t="s">
        <v>18050</v>
      </c>
      <c r="H4259" t="s">
        <v>1107</v>
      </c>
      <c r="I4259" t="s">
        <v>1108</v>
      </c>
      <c r="J4259" t="s">
        <v>12903</v>
      </c>
      <c r="K4259" t="s">
        <v>12904</v>
      </c>
      <c r="L4259" t="s">
        <v>21</v>
      </c>
      <c r="M4259" t="s">
        <v>19177</v>
      </c>
      <c r="N4259" t="s">
        <v>97</v>
      </c>
      <c r="O4259" t="s">
        <v>937</v>
      </c>
      <c r="P4259" t="s">
        <v>12</v>
      </c>
    </row>
    <row r="4260">
      <c r="A4260">
        <f>HYPERLINK("http://bombeiros.sp.gov.br/hidrantes/03individual/16642.html","16642")</f>
      </c>
      <c r="B4260" t="s">
        <v>842</v>
      </c>
      <c r="C4260" t="s">
        <v>937</v>
      </c>
      <c r="D4260" t="s">
        <v>12838</v>
      </c>
      <c r="E4260" t="s">
        <v>15</v>
      </c>
      <c r="F4260" t="s">
        <v>12905</v>
      </c>
      <c r="G4260" t="s">
        <v>18080</v>
      </c>
      <c r="H4260" t="s">
        <v>1107</v>
      </c>
      <c r="I4260" t="s">
        <v>1108</v>
      </c>
      <c r="J4260" t="s">
        <v>12906</v>
      </c>
      <c r="K4260" t="s">
        <v>12907</v>
      </c>
      <c r="L4260" t="s">
        <v>21</v>
      </c>
      <c r="M4260" t="s">
        <v>19177</v>
      </c>
      <c r="N4260" t="s">
        <v>97</v>
      </c>
      <c r="O4260" t="s">
        <v>937</v>
      </c>
      <c r="P4260" t="s">
        <v>12</v>
      </c>
    </row>
    <row r="4261">
      <c r="A4261">
        <f>HYPERLINK("http://bombeiros.sp.gov.br/hidrantes/03individual/17872.html","17872")</f>
      </c>
      <c r="B4261" t="s">
        <v>842</v>
      </c>
      <c r="C4261" t="s">
        <v>937</v>
      </c>
      <c r="D4261" t="s">
        <v>12838</v>
      </c>
      <c r="E4261" t="s">
        <v>15</v>
      </c>
      <c r="F4261" t="s">
        <v>12908</v>
      </c>
      <c r="G4261" t="s">
        <v>18066</v>
      </c>
      <c r="H4261" t="s">
        <v>1107</v>
      </c>
      <c r="I4261" t="s">
        <v>1108</v>
      </c>
      <c r="J4261" t="s">
        <v>16891</v>
      </c>
      <c r="K4261" t="s">
        <v>16892</v>
      </c>
      <c r="L4261" t="s">
        <v>21</v>
      </c>
      <c r="M4261" t="s">
        <v>19177</v>
      </c>
      <c r="N4261" t="s">
        <v>97</v>
      </c>
      <c r="O4261" t="s">
        <v>937</v>
      </c>
      <c r="P4261" t="s">
        <v>12</v>
      </c>
    </row>
    <row r="4262">
      <c r="A4262">
        <f>HYPERLINK("http://bombeiros.sp.gov.br/hidrantes/03individual/2983.html","2983")</f>
      </c>
      <c r="B4262" t="s">
        <v>842</v>
      </c>
      <c r="C4262" t="s">
        <v>937</v>
      </c>
      <c r="D4262" t="s">
        <v>950</v>
      </c>
      <c r="E4262" t="s">
        <v>64</v>
      </c>
      <c r="F4262" t="s">
        <v>12911</v>
      </c>
      <c r="G4262" t="s">
        <v>18066</v>
      </c>
      <c r="H4262" t="s">
        <v>1121</v>
      </c>
      <c r="I4262" t="s">
        <v>1117</v>
      </c>
      <c r="J4262" t="s">
        <v>12912</v>
      </c>
      <c r="K4262" t="s">
        <v>12913</v>
      </c>
      <c r="L4262" t="s">
        <v>21</v>
      </c>
      <c r="M4262" t="s">
        <v>19177</v>
      </c>
      <c r="N4262" t="s">
        <v>97</v>
      </c>
      <c r="O4262" t="s">
        <v>937</v>
      </c>
      <c r="P4262" t="s">
        <v>12</v>
      </c>
    </row>
    <row r="4263">
      <c r="A4263">
        <f>HYPERLINK("http://bombeiros.sp.gov.br/hidrantes/03individual/28258.html","28258")</f>
      </c>
      <c r="B4263" t="s">
        <v>842</v>
      </c>
      <c r="C4263" t="s">
        <v>937</v>
      </c>
      <c r="D4263" t="s">
        <v>950</v>
      </c>
      <c r="E4263" t="s">
        <v>64</v>
      </c>
      <c r="F4263" t="s">
        <v>18385</v>
      </c>
      <c r="G4263"/>
      <c r="H4263"/>
      <c r="I4263" t="s">
        <v>1503</v>
      </c>
      <c r="J4263" t="s">
        <v>18386</v>
      </c>
      <c r="K4263" t="s">
        <v>18387</v>
      </c>
      <c r="L4263" t="s">
        <v>21</v>
      </c>
      <c r="M4263" t="s">
        <v>19177</v>
      </c>
      <c r="N4263" t="s">
        <v>97</v>
      </c>
      <c r="O4263" t="s">
        <v>937</v>
      </c>
      <c r="P4263" t="s">
        <v>12</v>
      </c>
    </row>
    <row r="4264">
      <c r="A4264">
        <f>HYPERLINK("http://bombeiros.sp.gov.br/hidrantes/03individual/21.html","21")</f>
      </c>
      <c r="B4264" t="s">
        <v>842</v>
      </c>
      <c r="C4264" t="s">
        <v>937</v>
      </c>
      <c r="D4264" t="s">
        <v>950</v>
      </c>
      <c r="E4264" t="s">
        <v>15</v>
      </c>
      <c r="F4264" t="s">
        <v>12914</v>
      </c>
      <c r="G4264" t="s">
        <v>18094</v>
      </c>
      <c r="H4264" t="s">
        <v>1107</v>
      </c>
      <c r="I4264" t="s">
        <v>1108</v>
      </c>
      <c r="J4264" t="s">
        <v>12915</v>
      </c>
      <c r="K4264" t="s">
        <v>12916</v>
      </c>
      <c r="L4264" t="s">
        <v>21</v>
      </c>
      <c r="M4264" t="s">
        <v>19177</v>
      </c>
      <c r="N4264" t="s">
        <v>97</v>
      </c>
      <c r="O4264" t="s">
        <v>937</v>
      </c>
      <c r="P4264" t="s">
        <v>12</v>
      </c>
    </row>
    <row r="4265">
      <c r="A4265">
        <f>HYPERLINK("http://bombeiros.sp.gov.br/hidrantes/03individual/190.html","190")</f>
      </c>
      <c r="B4265" t="s">
        <v>842</v>
      </c>
      <c r="C4265" t="s">
        <v>937</v>
      </c>
      <c r="D4265" t="s">
        <v>950</v>
      </c>
      <c r="E4265" t="s">
        <v>15</v>
      </c>
      <c r="F4265" t="s">
        <v>951</v>
      </c>
      <c r="G4265" t="s">
        <v>18050</v>
      </c>
      <c r="H4265" t="s">
        <v>1121</v>
      </c>
      <c r="I4265" t="s">
        <v>1117</v>
      </c>
      <c r="J4265" t="s">
        <v>952</v>
      </c>
      <c r="K4265" t="s">
        <v>953</v>
      </c>
      <c r="L4265" t="s">
        <v>21</v>
      </c>
      <c r="M4265" t="s">
        <v>19177</v>
      </c>
      <c r="N4265" t="s">
        <v>97</v>
      </c>
      <c r="O4265" t="s">
        <v>937</v>
      </c>
      <c r="P4265" t="s">
        <v>12</v>
      </c>
    </row>
    <row r="4266">
      <c r="A4266">
        <f>HYPERLINK("http://bombeiros.sp.gov.br/hidrantes/03individual/1767.html","1767")</f>
      </c>
      <c r="B4266" t="s">
        <v>842</v>
      </c>
      <c r="C4266" t="s">
        <v>937</v>
      </c>
      <c r="D4266" t="s">
        <v>950</v>
      </c>
      <c r="E4266" t="s">
        <v>15</v>
      </c>
      <c r="F4266" t="s">
        <v>12917</v>
      </c>
      <c r="G4266" t="s">
        <v>18050</v>
      </c>
      <c r="H4266" t="s">
        <v>1121</v>
      </c>
      <c r="I4266" t="s">
        <v>1117</v>
      </c>
      <c r="J4266" t="s">
        <v>12918</v>
      </c>
      <c r="K4266" t="s">
        <v>12919</v>
      </c>
      <c r="L4266" t="s">
        <v>21</v>
      </c>
      <c r="M4266" t="s">
        <v>19177</v>
      </c>
      <c r="N4266" t="s">
        <v>97</v>
      </c>
      <c r="O4266" t="s">
        <v>937</v>
      </c>
      <c r="P4266" t="s">
        <v>12</v>
      </c>
    </row>
    <row r="4267">
      <c r="A4267">
        <f>HYPERLINK("http://bombeiros.sp.gov.br/hidrantes/03individual/1769.html","1769")</f>
      </c>
      <c r="B4267" t="s">
        <v>842</v>
      </c>
      <c r="C4267" t="s">
        <v>937</v>
      </c>
      <c r="D4267" t="s">
        <v>950</v>
      </c>
      <c r="E4267" t="s">
        <v>15</v>
      </c>
      <c r="F4267" t="s">
        <v>12920</v>
      </c>
      <c r="G4267" t="s">
        <v>18056</v>
      </c>
      <c r="H4267" t="s">
        <v>1121</v>
      </c>
      <c r="I4267" t="s">
        <v>1117</v>
      </c>
      <c r="J4267" t="s">
        <v>12921</v>
      </c>
      <c r="K4267" t="s">
        <v>12922</v>
      </c>
      <c r="L4267" t="s">
        <v>21</v>
      </c>
      <c r="M4267" t="s">
        <v>19177</v>
      </c>
      <c r="N4267" t="s">
        <v>97</v>
      </c>
      <c r="O4267" t="s">
        <v>937</v>
      </c>
      <c r="P4267" t="s">
        <v>12</v>
      </c>
    </row>
    <row r="4268">
      <c r="A4268">
        <f>HYPERLINK("http://bombeiros.sp.gov.br/hidrantes/03individual/1782.html","1782")</f>
      </c>
      <c r="B4268" t="s">
        <v>842</v>
      </c>
      <c r="C4268" t="s">
        <v>937</v>
      </c>
      <c r="D4268" t="s">
        <v>950</v>
      </c>
      <c r="E4268" t="s">
        <v>15</v>
      </c>
      <c r="F4268" t="s">
        <v>12923</v>
      </c>
      <c r="G4268" t="s">
        <v>18066</v>
      </c>
      <c r="H4268" t="s">
        <v>1121</v>
      </c>
      <c r="I4268" t="s">
        <v>1117</v>
      </c>
      <c r="J4268" t="s">
        <v>12924</v>
      </c>
      <c r="K4268" t="s">
        <v>12925</v>
      </c>
      <c r="L4268" t="s">
        <v>21</v>
      </c>
      <c r="M4268" t="s">
        <v>19177</v>
      </c>
      <c r="N4268" t="s">
        <v>300</v>
      </c>
      <c r="O4268" t="s">
        <v>16373</v>
      </c>
      <c r="P4268" t="s">
        <v>12</v>
      </c>
    </row>
    <row r="4269">
      <c r="A4269">
        <f>HYPERLINK("http://bombeiros.sp.gov.br/hidrantes/03individual/1789.html","1789")</f>
      </c>
      <c r="B4269" t="s">
        <v>842</v>
      </c>
      <c r="C4269" t="s">
        <v>937</v>
      </c>
      <c r="D4269" t="s">
        <v>950</v>
      </c>
      <c r="E4269" t="s">
        <v>15</v>
      </c>
      <c r="F4269" t="s">
        <v>12926</v>
      </c>
      <c r="G4269" t="s">
        <v>18170</v>
      </c>
      <c r="H4269" t="s">
        <v>1174</v>
      </c>
      <c r="I4269" t="s">
        <v>1117</v>
      </c>
      <c r="J4269" t="s">
        <v>12927</v>
      </c>
      <c r="K4269" t="s">
        <v>12928</v>
      </c>
      <c r="L4269" t="s">
        <v>21</v>
      </c>
      <c r="M4269" t="s">
        <v>19177</v>
      </c>
      <c r="N4269" t="s">
        <v>97</v>
      </c>
      <c r="O4269" t="s">
        <v>937</v>
      </c>
      <c r="P4269" t="s">
        <v>12</v>
      </c>
    </row>
    <row r="4270">
      <c r="A4270">
        <f>HYPERLINK("http://bombeiros.sp.gov.br/hidrantes/03individual/1791.html","1791")</f>
      </c>
      <c r="B4270" t="s">
        <v>842</v>
      </c>
      <c r="C4270" t="s">
        <v>937</v>
      </c>
      <c r="D4270" t="s">
        <v>950</v>
      </c>
      <c r="E4270" t="s">
        <v>15</v>
      </c>
      <c r="F4270" t="s">
        <v>12929</v>
      </c>
      <c r="G4270" t="s">
        <v>18068</v>
      </c>
      <c r="H4270" t="s">
        <v>1174</v>
      </c>
      <c r="I4270" t="s">
        <v>1117</v>
      </c>
      <c r="J4270" t="s">
        <v>12930</v>
      </c>
      <c r="K4270" t="s">
        <v>12931</v>
      </c>
      <c r="L4270" t="s">
        <v>21</v>
      </c>
      <c r="M4270" t="s">
        <v>19177</v>
      </c>
      <c r="N4270" t="s">
        <v>97</v>
      </c>
      <c r="O4270" t="s">
        <v>937</v>
      </c>
      <c r="P4270" t="s">
        <v>12</v>
      </c>
    </row>
    <row r="4271">
      <c r="A4271">
        <f>HYPERLINK("http://bombeiros.sp.gov.br/hidrantes/03individual/1875.html","1875")</f>
      </c>
      <c r="B4271" t="s">
        <v>842</v>
      </c>
      <c r="C4271" t="s">
        <v>937</v>
      </c>
      <c r="D4271" t="s">
        <v>950</v>
      </c>
      <c r="E4271" t="s">
        <v>15</v>
      </c>
      <c r="F4271" t="s">
        <v>12932</v>
      </c>
      <c r="G4271" t="s">
        <v>18070</v>
      </c>
      <c r="H4271" t="s">
        <v>1107</v>
      </c>
      <c r="I4271" t="s">
        <v>1108</v>
      </c>
      <c r="J4271" t="s">
        <v>12933</v>
      </c>
      <c r="K4271" t="s">
        <v>12934</v>
      </c>
      <c r="L4271" t="s">
        <v>21</v>
      </c>
      <c r="M4271" t="s">
        <v>19177</v>
      </c>
      <c r="N4271" t="s">
        <v>97</v>
      </c>
      <c r="O4271" t="s">
        <v>937</v>
      </c>
      <c r="P4271" t="s">
        <v>12</v>
      </c>
    </row>
    <row r="4272">
      <c r="A4272">
        <f>HYPERLINK("http://bombeiros.sp.gov.br/hidrantes/03individual/1895.html","1895")</f>
      </c>
      <c r="B4272" t="s">
        <v>842</v>
      </c>
      <c r="C4272" t="s">
        <v>937</v>
      </c>
      <c r="D4272" t="s">
        <v>950</v>
      </c>
      <c r="E4272" t="s">
        <v>15</v>
      </c>
      <c r="F4272" t="s">
        <v>12935</v>
      </c>
      <c r="G4272" t="s">
        <v>18160</v>
      </c>
      <c r="H4272" t="s">
        <v>1174</v>
      </c>
      <c r="I4272" t="s">
        <v>1108</v>
      </c>
      <c r="J4272" t="s">
        <v>12936</v>
      </c>
      <c r="K4272" t="s">
        <v>12937</v>
      </c>
      <c r="L4272" t="s">
        <v>36</v>
      </c>
      <c r="M4272" t="s">
        <v>19177</v>
      </c>
      <c r="N4272" t="s">
        <v>97</v>
      </c>
      <c r="O4272" t="s">
        <v>937</v>
      </c>
      <c r="P4272" t="s">
        <v>12</v>
      </c>
    </row>
    <row r="4273">
      <c r="A4273">
        <f>HYPERLINK("http://bombeiros.sp.gov.br/hidrantes/03individual/2988.html","2988")</f>
      </c>
      <c r="B4273" t="s">
        <v>842</v>
      </c>
      <c r="C4273" t="s">
        <v>937</v>
      </c>
      <c r="D4273" t="s">
        <v>950</v>
      </c>
      <c r="E4273" t="s">
        <v>15</v>
      </c>
      <c r="F4273" t="s">
        <v>957</v>
      </c>
      <c r="G4273" t="s">
        <v>18066</v>
      </c>
      <c r="H4273" t="s">
        <v>1107</v>
      </c>
      <c r="I4273" t="s">
        <v>1108</v>
      </c>
      <c r="J4273" t="s">
        <v>958</v>
      </c>
      <c r="K4273" t="s">
        <v>959</v>
      </c>
      <c r="L4273" t="s">
        <v>21</v>
      </c>
      <c r="M4273" t="s">
        <v>19177</v>
      </c>
      <c r="N4273" t="s">
        <v>97</v>
      </c>
      <c r="O4273" t="s">
        <v>937</v>
      </c>
      <c r="P4273" t="s">
        <v>12</v>
      </c>
    </row>
    <row r="4274">
      <c r="A4274">
        <f>HYPERLINK("http://bombeiros.sp.gov.br/hidrantes/03individual/2990.html","2990")</f>
      </c>
      <c r="B4274" t="s">
        <v>842</v>
      </c>
      <c r="C4274" t="s">
        <v>937</v>
      </c>
      <c r="D4274" t="s">
        <v>950</v>
      </c>
      <c r="E4274" t="s">
        <v>15</v>
      </c>
      <c r="F4274" t="s">
        <v>12938</v>
      </c>
      <c r="G4274" t="s">
        <v>18066</v>
      </c>
      <c r="H4274" t="s">
        <v>1107</v>
      </c>
      <c r="I4274" t="s">
        <v>1108</v>
      </c>
      <c r="J4274" t="s">
        <v>12939</v>
      </c>
      <c r="K4274" t="s">
        <v>12940</v>
      </c>
      <c r="L4274" t="s">
        <v>21</v>
      </c>
      <c r="M4274" t="s">
        <v>19177</v>
      </c>
      <c r="N4274" t="s">
        <v>97</v>
      </c>
      <c r="O4274" t="s">
        <v>937</v>
      </c>
      <c r="P4274" t="s">
        <v>12</v>
      </c>
    </row>
    <row r="4275">
      <c r="A4275">
        <f>HYPERLINK("http://bombeiros.sp.gov.br/hidrantes/03individual/2992.html","2992")</f>
      </c>
      <c r="B4275" t="s">
        <v>842</v>
      </c>
      <c r="C4275" t="s">
        <v>937</v>
      </c>
      <c r="D4275" t="s">
        <v>950</v>
      </c>
      <c r="E4275" t="s">
        <v>15</v>
      </c>
      <c r="F4275" t="s">
        <v>12941</v>
      </c>
      <c r="G4275" t="s">
        <v>18171</v>
      </c>
      <c r="H4275" t="s">
        <v>1174</v>
      </c>
      <c r="I4275" t="s">
        <v>1117</v>
      </c>
      <c r="J4275" t="s">
        <v>12942</v>
      </c>
      <c r="K4275" t="s">
        <v>12943</v>
      </c>
      <c r="L4275" t="s">
        <v>21</v>
      </c>
      <c r="M4275" t="s">
        <v>19177</v>
      </c>
      <c r="N4275" t="s">
        <v>97</v>
      </c>
      <c r="O4275" t="s">
        <v>937</v>
      </c>
      <c r="P4275" t="s">
        <v>12</v>
      </c>
    </row>
    <row r="4276">
      <c r="A4276">
        <f>HYPERLINK("http://bombeiros.sp.gov.br/hidrantes/03individual/3014.html","3014")</f>
      </c>
      <c r="B4276" t="s">
        <v>842</v>
      </c>
      <c r="C4276" t="s">
        <v>937</v>
      </c>
      <c r="D4276" t="s">
        <v>950</v>
      </c>
      <c r="E4276" t="s">
        <v>15</v>
      </c>
      <c r="F4276" t="s">
        <v>12944</v>
      </c>
      <c r="G4276" t="s">
        <v>18080</v>
      </c>
      <c r="H4276" t="s">
        <v>1121</v>
      </c>
      <c r="I4276" t="s">
        <v>1117</v>
      </c>
      <c r="J4276" t="s">
        <v>12945</v>
      </c>
      <c r="K4276" t="s">
        <v>12946</v>
      </c>
      <c r="L4276" t="s">
        <v>21</v>
      </c>
      <c r="M4276" t="s">
        <v>19177</v>
      </c>
      <c r="N4276" t="s">
        <v>97</v>
      </c>
      <c r="O4276" t="s">
        <v>937</v>
      </c>
      <c r="P4276" t="s">
        <v>12</v>
      </c>
    </row>
    <row r="4277">
      <c r="A4277">
        <f>HYPERLINK("http://bombeiros.sp.gov.br/hidrantes/03individual/3024.html","3024")</f>
      </c>
      <c r="B4277" t="s">
        <v>842</v>
      </c>
      <c r="C4277" t="s">
        <v>937</v>
      </c>
      <c r="D4277" t="s">
        <v>950</v>
      </c>
      <c r="E4277" t="s">
        <v>15</v>
      </c>
      <c r="F4277" t="s">
        <v>12947</v>
      </c>
      <c r="G4277" t="s">
        <v>18066</v>
      </c>
      <c r="H4277" t="s">
        <v>1121</v>
      </c>
      <c r="I4277" t="s">
        <v>1117</v>
      </c>
      <c r="J4277" t="s">
        <v>12948</v>
      </c>
      <c r="K4277" t="s">
        <v>12949</v>
      </c>
      <c r="L4277" t="s">
        <v>21</v>
      </c>
      <c r="M4277" t="s">
        <v>19177</v>
      </c>
      <c r="N4277" t="s">
        <v>97</v>
      </c>
      <c r="O4277" t="s">
        <v>937</v>
      </c>
      <c r="P4277" t="s">
        <v>12</v>
      </c>
    </row>
    <row r="4278">
      <c r="A4278">
        <f>HYPERLINK("http://bombeiros.sp.gov.br/hidrantes/03individual/10012.html","10012")</f>
      </c>
      <c r="B4278" t="s">
        <v>842</v>
      </c>
      <c r="C4278" t="s">
        <v>937</v>
      </c>
      <c r="D4278" t="s">
        <v>950</v>
      </c>
      <c r="E4278" t="s">
        <v>15</v>
      </c>
      <c r="F4278" t="s">
        <v>12950</v>
      </c>
      <c r="G4278" t="s">
        <v>18066</v>
      </c>
      <c r="H4278" t="s">
        <v>1121</v>
      </c>
      <c r="I4278" t="s">
        <v>1117</v>
      </c>
      <c r="J4278" t="s">
        <v>12951</v>
      </c>
      <c r="K4278" t="s">
        <v>12952</v>
      </c>
      <c r="L4278" t="s">
        <v>21</v>
      </c>
      <c r="M4278" t="s">
        <v>19177</v>
      </c>
      <c r="N4278" t="s">
        <v>300</v>
      </c>
      <c r="O4278" t="s">
        <v>16373</v>
      </c>
      <c r="P4278" t="s">
        <v>12</v>
      </c>
    </row>
    <row r="4279">
      <c r="A4279">
        <f>HYPERLINK("http://bombeiros.sp.gov.br/hidrantes/03individual/10013.html","10013")</f>
      </c>
      <c r="B4279" t="s">
        <v>842</v>
      </c>
      <c r="C4279" t="s">
        <v>937</v>
      </c>
      <c r="D4279" t="s">
        <v>950</v>
      </c>
      <c r="E4279" t="s">
        <v>15</v>
      </c>
      <c r="F4279" t="s">
        <v>12953</v>
      </c>
      <c r="G4279" t="s">
        <v>18046</v>
      </c>
      <c r="H4279" t="s">
        <v>1112</v>
      </c>
      <c r="I4279" t="s">
        <v>1108</v>
      </c>
      <c r="J4279" t="s">
        <v>12954</v>
      </c>
      <c r="K4279" t="s">
        <v>12955</v>
      </c>
      <c r="L4279" t="s">
        <v>21</v>
      </c>
      <c r="M4279" t="s">
        <v>19177</v>
      </c>
      <c r="N4279" t="s">
        <v>300</v>
      </c>
      <c r="O4279" t="s">
        <v>16373</v>
      </c>
      <c r="P4279" t="s">
        <v>12</v>
      </c>
    </row>
    <row r="4280">
      <c r="A4280">
        <f>HYPERLINK("http://bombeiros.sp.gov.br/hidrantes/03individual/16469.html","16469")</f>
      </c>
      <c r="B4280" t="s">
        <v>842</v>
      </c>
      <c r="C4280" t="s">
        <v>937</v>
      </c>
      <c r="D4280" t="s">
        <v>950</v>
      </c>
      <c r="E4280" t="s">
        <v>15</v>
      </c>
      <c r="F4280" t="s">
        <v>16335</v>
      </c>
      <c r="G4280" t="s">
        <v>18046</v>
      </c>
      <c r="H4280" t="s">
        <v>1121</v>
      </c>
      <c r="I4280" t="s">
        <v>1117</v>
      </c>
      <c r="J4280" t="s">
        <v>15657</v>
      </c>
      <c r="K4280" t="s">
        <v>15658</v>
      </c>
      <c r="L4280" t="s">
        <v>21</v>
      </c>
      <c r="M4280" t="s">
        <v>19177</v>
      </c>
      <c r="N4280" t="s">
        <v>300</v>
      </c>
      <c r="O4280" t="s">
        <v>16373</v>
      </c>
      <c r="P4280" t="s">
        <v>12</v>
      </c>
    </row>
    <row r="4281">
      <c r="A4281">
        <f>HYPERLINK("http://bombeiros.sp.gov.br/hidrantes/03individual/16559.html","16559")</f>
      </c>
      <c r="B4281" t="s">
        <v>842</v>
      </c>
      <c r="C4281" t="s">
        <v>937</v>
      </c>
      <c r="D4281" t="s">
        <v>950</v>
      </c>
      <c r="E4281" t="s">
        <v>15</v>
      </c>
      <c r="F4281" t="s">
        <v>12956</v>
      </c>
      <c r="G4281" t="s">
        <v>18068</v>
      </c>
      <c r="H4281" t="s">
        <v>1174</v>
      </c>
      <c r="I4281" t="s">
        <v>1108</v>
      </c>
      <c r="J4281" t="s">
        <v>12957</v>
      </c>
      <c r="K4281" t="s">
        <v>12958</v>
      </c>
      <c r="L4281" t="s">
        <v>21</v>
      </c>
      <c r="M4281" t="s">
        <v>19177</v>
      </c>
      <c r="N4281" t="s">
        <v>97</v>
      </c>
      <c r="O4281" t="s">
        <v>937</v>
      </c>
      <c r="P4281" t="s">
        <v>12</v>
      </c>
    </row>
    <row r="4282">
      <c r="A4282">
        <f>HYPERLINK("http://bombeiros.sp.gov.br/hidrantes/03individual/16592.html","16592")</f>
      </c>
      <c r="B4282" t="s">
        <v>842</v>
      </c>
      <c r="C4282" t="s">
        <v>937</v>
      </c>
      <c r="D4282" t="s">
        <v>950</v>
      </c>
      <c r="E4282" t="s">
        <v>15</v>
      </c>
      <c r="F4282" t="s">
        <v>12959</v>
      </c>
      <c r="G4282" t="s">
        <v>18046</v>
      </c>
      <c r="H4282" t="s">
        <v>1112</v>
      </c>
      <c r="I4282" t="s">
        <v>1108</v>
      </c>
      <c r="J4282" t="s">
        <v>16568</v>
      </c>
      <c r="K4282" t="s">
        <v>16569</v>
      </c>
      <c r="L4282" t="s">
        <v>21</v>
      </c>
      <c r="M4282" t="s">
        <v>19177</v>
      </c>
      <c r="N4282" t="s">
        <v>300</v>
      </c>
      <c r="O4282" t="s">
        <v>16373</v>
      </c>
      <c r="P4282" t="s">
        <v>12</v>
      </c>
    </row>
    <row r="4283">
      <c r="A4283">
        <f>HYPERLINK("http://bombeiros.sp.gov.br/hidrantes/03individual/25202.html","25202")</f>
      </c>
      <c r="B4283" t="s">
        <v>842</v>
      </c>
      <c r="C4283" t="s">
        <v>937</v>
      </c>
      <c r="D4283" t="s">
        <v>950</v>
      </c>
      <c r="E4283" t="s">
        <v>15</v>
      </c>
      <c r="F4283" t="s">
        <v>12962</v>
      </c>
      <c r="G4283" t="s">
        <v>18046</v>
      </c>
      <c r="H4283" t="s">
        <v>1112</v>
      </c>
      <c r="I4283" t="s">
        <v>1117</v>
      </c>
      <c r="J4283" t="s">
        <v>12963</v>
      </c>
      <c r="K4283" t="s">
        <v>12964</v>
      </c>
      <c r="L4283" t="s">
        <v>21</v>
      </c>
      <c r="M4283" t="s">
        <v>19177</v>
      </c>
      <c r="N4283" t="s">
        <v>300</v>
      </c>
      <c r="O4283" t="s">
        <v>16373</v>
      </c>
      <c r="P4283" t="s">
        <v>12</v>
      </c>
    </row>
    <row r="4284">
      <c r="A4284">
        <f>HYPERLINK("http://bombeiros.sp.gov.br/hidrantes/03individual/23.html","23")</f>
      </c>
      <c r="B4284" t="s">
        <v>842</v>
      </c>
      <c r="C4284" t="s">
        <v>937</v>
      </c>
      <c r="D4284" t="s">
        <v>12965</v>
      </c>
      <c r="E4284" t="s">
        <v>15</v>
      </c>
      <c r="F4284" t="s">
        <v>12966</v>
      </c>
      <c r="G4284" t="s">
        <v>18056</v>
      </c>
      <c r="H4284" t="s">
        <v>1174</v>
      </c>
      <c r="I4284" t="s">
        <v>1108</v>
      </c>
      <c r="J4284" t="s">
        <v>12967</v>
      </c>
      <c r="K4284" t="s">
        <v>12968</v>
      </c>
      <c r="L4284" t="s">
        <v>21</v>
      </c>
      <c r="M4284" t="s">
        <v>19177</v>
      </c>
      <c r="N4284" t="s">
        <v>97</v>
      </c>
      <c r="O4284" t="s">
        <v>937</v>
      </c>
      <c r="P4284" t="s">
        <v>12</v>
      </c>
    </row>
    <row r="4285">
      <c r="A4285">
        <f>HYPERLINK("http://bombeiros.sp.gov.br/hidrantes/03individual/37.html","37")</f>
      </c>
      <c r="B4285" t="s">
        <v>842</v>
      </c>
      <c r="C4285" t="s">
        <v>937</v>
      </c>
      <c r="D4285" t="s">
        <v>12965</v>
      </c>
      <c r="E4285" t="s">
        <v>15</v>
      </c>
      <c r="F4285" t="s">
        <v>12969</v>
      </c>
      <c r="G4285" t="s">
        <v>18094</v>
      </c>
      <c r="H4285" t="s">
        <v>1174</v>
      </c>
      <c r="I4285" t="s">
        <v>1108</v>
      </c>
      <c r="J4285" t="s">
        <v>12970</v>
      </c>
      <c r="K4285" t="s">
        <v>12971</v>
      </c>
      <c r="L4285" t="s">
        <v>21</v>
      </c>
      <c r="M4285" t="s">
        <v>19177</v>
      </c>
      <c r="N4285" t="s">
        <v>97</v>
      </c>
      <c r="O4285" t="s">
        <v>937</v>
      </c>
      <c r="P4285" t="s">
        <v>12</v>
      </c>
    </row>
    <row r="4286">
      <c r="A4286">
        <f>HYPERLINK("http://bombeiros.sp.gov.br/hidrantes/03individual/84.html","84")</f>
      </c>
      <c r="B4286" t="s">
        <v>842</v>
      </c>
      <c r="C4286" t="s">
        <v>937</v>
      </c>
      <c r="D4286" t="s">
        <v>12965</v>
      </c>
      <c r="E4286" t="s">
        <v>15</v>
      </c>
      <c r="F4286" t="s">
        <v>12972</v>
      </c>
      <c r="G4286" t="s">
        <v>18169</v>
      </c>
      <c r="H4286" t="s">
        <v>1112</v>
      </c>
      <c r="I4286" t="s">
        <v>1108</v>
      </c>
      <c r="J4286" t="s">
        <v>12973</v>
      </c>
      <c r="K4286" t="s">
        <v>12974</v>
      </c>
      <c r="L4286" t="s">
        <v>21</v>
      </c>
      <c r="M4286" t="s">
        <v>19177</v>
      </c>
      <c r="N4286" t="s">
        <v>97</v>
      </c>
      <c r="O4286" t="s">
        <v>937</v>
      </c>
      <c r="P4286" t="s">
        <v>12</v>
      </c>
    </row>
    <row r="4287">
      <c r="A4287">
        <f>HYPERLINK("http://bombeiros.sp.gov.br/hidrantes/03individual/135.html","135")</f>
      </c>
      <c r="B4287" t="s">
        <v>842</v>
      </c>
      <c r="C4287" t="s">
        <v>937</v>
      </c>
      <c r="D4287" t="s">
        <v>12965</v>
      </c>
      <c r="E4287" t="s">
        <v>15</v>
      </c>
      <c r="F4287" t="s">
        <v>12975</v>
      </c>
      <c r="G4287" t="s">
        <v>18094</v>
      </c>
      <c r="H4287" t="s">
        <v>1107</v>
      </c>
      <c r="I4287" t="s">
        <v>1108</v>
      </c>
      <c r="J4287" t="s">
        <v>12976</v>
      </c>
      <c r="K4287" t="s">
        <v>12977</v>
      </c>
      <c r="L4287" t="s">
        <v>21</v>
      </c>
      <c r="M4287" t="s">
        <v>19177</v>
      </c>
      <c r="N4287" t="s">
        <v>97</v>
      </c>
      <c r="O4287" t="s">
        <v>937</v>
      </c>
      <c r="P4287" t="s">
        <v>12</v>
      </c>
    </row>
    <row r="4288">
      <c r="A4288">
        <f>HYPERLINK("http://bombeiros.sp.gov.br/hidrantes/03individual/136.html","136")</f>
      </c>
      <c r="B4288" t="s">
        <v>842</v>
      </c>
      <c r="C4288" t="s">
        <v>937</v>
      </c>
      <c r="D4288" t="s">
        <v>12965</v>
      </c>
      <c r="E4288" t="s">
        <v>15</v>
      </c>
      <c r="F4288" t="s">
        <v>12978</v>
      </c>
      <c r="G4288" t="s">
        <v>18094</v>
      </c>
      <c r="H4288" t="s">
        <v>1107</v>
      </c>
      <c r="I4288" t="s">
        <v>1117</v>
      </c>
      <c r="J4288" t="s">
        <v>12979</v>
      </c>
      <c r="K4288" t="s">
        <v>12980</v>
      </c>
      <c r="L4288" t="s">
        <v>21</v>
      </c>
      <c r="M4288" t="s">
        <v>19177</v>
      </c>
      <c r="N4288" t="s">
        <v>97</v>
      </c>
      <c r="O4288" t="s">
        <v>937</v>
      </c>
      <c r="P4288" t="s">
        <v>12</v>
      </c>
    </row>
    <row r="4289">
      <c r="A4289">
        <f>HYPERLINK("http://bombeiros.sp.gov.br/hidrantes/03individual/150.html","150")</f>
      </c>
      <c r="B4289" t="s">
        <v>842</v>
      </c>
      <c r="C4289" t="s">
        <v>937</v>
      </c>
      <c r="D4289" t="s">
        <v>12965</v>
      </c>
      <c r="E4289" t="s">
        <v>15</v>
      </c>
      <c r="F4289" t="s">
        <v>12981</v>
      </c>
      <c r="G4289" t="s">
        <v>18169</v>
      </c>
      <c r="H4289" t="s">
        <v>1121</v>
      </c>
      <c r="I4289" t="s">
        <v>1117</v>
      </c>
      <c r="J4289" t="s">
        <v>12982</v>
      </c>
      <c r="K4289" t="s">
        <v>12983</v>
      </c>
      <c r="L4289" t="s">
        <v>21</v>
      </c>
      <c r="M4289" t="s">
        <v>19177</v>
      </c>
      <c r="N4289" t="s">
        <v>97</v>
      </c>
      <c r="O4289" t="s">
        <v>937</v>
      </c>
      <c r="P4289" t="s">
        <v>12</v>
      </c>
    </row>
    <row r="4290">
      <c r="A4290">
        <f>HYPERLINK("http://bombeiros.sp.gov.br/hidrantes/03individual/176.html","176")</f>
      </c>
      <c r="B4290" t="s">
        <v>842</v>
      </c>
      <c r="C4290" t="s">
        <v>937</v>
      </c>
      <c r="D4290" t="s">
        <v>12965</v>
      </c>
      <c r="E4290" t="s">
        <v>15</v>
      </c>
      <c r="F4290" t="s">
        <v>12984</v>
      </c>
      <c r="G4290" t="s">
        <v>18076</v>
      </c>
      <c r="H4290" t="s">
        <v>1112</v>
      </c>
      <c r="I4290" t="s">
        <v>1108</v>
      </c>
      <c r="J4290" t="s">
        <v>12985</v>
      </c>
      <c r="K4290" t="s">
        <v>12986</v>
      </c>
      <c r="L4290" t="s">
        <v>21</v>
      </c>
      <c r="M4290" t="s">
        <v>19177</v>
      </c>
      <c r="N4290" t="s">
        <v>97</v>
      </c>
      <c r="O4290" t="s">
        <v>937</v>
      </c>
      <c r="P4290" t="s">
        <v>12</v>
      </c>
    </row>
    <row r="4291">
      <c r="A4291">
        <f>HYPERLINK("http://bombeiros.sp.gov.br/hidrantes/03individual/218.html","218")</f>
      </c>
      <c r="B4291" t="s">
        <v>842</v>
      </c>
      <c r="C4291" t="s">
        <v>937</v>
      </c>
      <c r="D4291" t="s">
        <v>12965</v>
      </c>
      <c r="E4291" t="s">
        <v>15</v>
      </c>
      <c r="F4291" t="s">
        <v>12987</v>
      </c>
      <c r="G4291" t="s">
        <v>18056</v>
      </c>
      <c r="H4291" t="s">
        <v>1121</v>
      </c>
      <c r="I4291" t="s">
        <v>1117</v>
      </c>
      <c r="J4291" t="s">
        <v>12988</v>
      </c>
      <c r="K4291" t="s">
        <v>12989</v>
      </c>
      <c r="L4291" t="s">
        <v>21</v>
      </c>
      <c r="M4291" t="s">
        <v>19177</v>
      </c>
      <c r="N4291" t="s">
        <v>97</v>
      </c>
      <c r="O4291" t="s">
        <v>937</v>
      </c>
      <c r="P4291" t="s">
        <v>12</v>
      </c>
    </row>
    <row r="4292">
      <c r="A4292">
        <f>HYPERLINK("http://bombeiros.sp.gov.br/hidrantes/03individual/265.html","265")</f>
      </c>
      <c r="B4292" t="s">
        <v>842</v>
      </c>
      <c r="C4292" t="s">
        <v>937</v>
      </c>
      <c r="D4292" t="s">
        <v>12965</v>
      </c>
      <c r="E4292" t="s">
        <v>15</v>
      </c>
      <c r="F4292" t="s">
        <v>12990</v>
      </c>
      <c r="G4292" t="s">
        <v>18076</v>
      </c>
      <c r="H4292" t="s">
        <v>1112</v>
      </c>
      <c r="I4292" t="s">
        <v>1108</v>
      </c>
      <c r="J4292" t="s">
        <v>12991</v>
      </c>
      <c r="K4292" t="s">
        <v>12992</v>
      </c>
      <c r="L4292" t="s">
        <v>21</v>
      </c>
      <c r="M4292" t="s">
        <v>19177</v>
      </c>
      <c r="N4292" t="s">
        <v>97</v>
      </c>
      <c r="O4292" t="s">
        <v>937</v>
      </c>
      <c r="P4292" t="s">
        <v>12</v>
      </c>
    </row>
    <row r="4293">
      <c r="A4293">
        <f>HYPERLINK("http://bombeiros.sp.gov.br/hidrantes/03individual/1461.html","1461")</f>
      </c>
      <c r="B4293" t="s">
        <v>842</v>
      </c>
      <c r="C4293" t="s">
        <v>937</v>
      </c>
      <c r="D4293" t="s">
        <v>12965</v>
      </c>
      <c r="E4293" t="s">
        <v>15</v>
      </c>
      <c r="F4293" t="s">
        <v>12993</v>
      </c>
      <c r="G4293" t="s">
        <v>18169</v>
      </c>
      <c r="H4293" t="s">
        <v>1174</v>
      </c>
      <c r="I4293" t="s">
        <v>1108</v>
      </c>
      <c r="J4293" t="s">
        <v>12994</v>
      </c>
      <c r="K4293" t="s">
        <v>12995</v>
      </c>
      <c r="L4293" t="s">
        <v>21</v>
      </c>
      <c r="M4293" t="s">
        <v>19177</v>
      </c>
      <c r="N4293" t="s">
        <v>97</v>
      </c>
      <c r="O4293" t="s">
        <v>937</v>
      </c>
      <c r="P4293" t="s">
        <v>12</v>
      </c>
    </row>
    <row r="4294">
      <c r="A4294">
        <f>HYPERLINK("http://bombeiros.sp.gov.br/hidrantes/03individual/1751.html","1751")</f>
      </c>
      <c r="B4294" t="s">
        <v>842</v>
      </c>
      <c r="C4294" t="s">
        <v>937</v>
      </c>
      <c r="D4294" t="s">
        <v>12965</v>
      </c>
      <c r="E4294" t="s">
        <v>15</v>
      </c>
      <c r="F4294" t="s">
        <v>12996</v>
      </c>
      <c r="G4294" t="s">
        <v>18056</v>
      </c>
      <c r="H4294" t="s">
        <v>1107</v>
      </c>
      <c r="I4294" t="s">
        <v>1108</v>
      </c>
      <c r="J4294" t="s">
        <v>12997</v>
      </c>
      <c r="K4294" t="s">
        <v>12998</v>
      </c>
      <c r="L4294" t="s">
        <v>21</v>
      </c>
      <c r="M4294" t="s">
        <v>19177</v>
      </c>
      <c r="N4294" t="s">
        <v>97</v>
      </c>
      <c r="O4294" t="s">
        <v>937</v>
      </c>
      <c r="P4294" t="s">
        <v>12</v>
      </c>
    </row>
    <row r="4295">
      <c r="A4295">
        <f>HYPERLINK("http://bombeiros.sp.gov.br/hidrantes/03individual/1794.html","1794")</f>
      </c>
      <c r="B4295" t="s">
        <v>842</v>
      </c>
      <c r="C4295" t="s">
        <v>937</v>
      </c>
      <c r="D4295" t="s">
        <v>12965</v>
      </c>
      <c r="E4295" t="s">
        <v>15</v>
      </c>
      <c r="F4295" t="s">
        <v>12999</v>
      </c>
      <c r="G4295" t="s">
        <v>18076</v>
      </c>
      <c r="H4295" t="s">
        <v>1112</v>
      </c>
      <c r="I4295" t="s">
        <v>1108</v>
      </c>
      <c r="J4295" t="s">
        <v>13000</v>
      </c>
      <c r="K4295" t="s">
        <v>13001</v>
      </c>
      <c r="L4295" t="s">
        <v>36</v>
      </c>
      <c r="M4295" t="s">
        <v>19177</v>
      </c>
      <c r="N4295" t="s">
        <v>97</v>
      </c>
      <c r="O4295" t="s">
        <v>937</v>
      </c>
      <c r="P4295" t="s">
        <v>12</v>
      </c>
    </row>
    <row r="4296">
      <c r="A4296">
        <f>HYPERLINK("http://bombeiros.sp.gov.br/hidrantes/03individual/1887.html","1887")</f>
      </c>
      <c r="B4296" t="s">
        <v>842</v>
      </c>
      <c r="C4296" t="s">
        <v>937</v>
      </c>
      <c r="D4296" t="s">
        <v>12965</v>
      </c>
      <c r="E4296" t="s">
        <v>15</v>
      </c>
      <c r="F4296" t="s">
        <v>13002</v>
      </c>
      <c r="G4296" t="s">
        <v>18068</v>
      </c>
      <c r="H4296" t="s">
        <v>1107</v>
      </c>
      <c r="I4296" t="s">
        <v>1108</v>
      </c>
      <c r="J4296" t="s">
        <v>13003</v>
      </c>
      <c r="K4296" t="s">
        <v>13004</v>
      </c>
      <c r="L4296" t="s">
        <v>21</v>
      </c>
      <c r="M4296" t="s">
        <v>19177</v>
      </c>
      <c r="N4296" t="s">
        <v>97</v>
      </c>
      <c r="O4296" t="s">
        <v>937</v>
      </c>
      <c r="P4296" t="s">
        <v>12</v>
      </c>
    </row>
    <row r="4297">
      <c r="A4297">
        <f>HYPERLINK("http://bombeiros.sp.gov.br/hidrantes/03individual/5607.html","5607")</f>
      </c>
      <c r="B4297" t="s">
        <v>842</v>
      </c>
      <c r="C4297" t="s">
        <v>937</v>
      </c>
      <c r="D4297" t="s">
        <v>960</v>
      </c>
      <c r="E4297" t="s">
        <v>1507</v>
      </c>
      <c r="F4297" t="s">
        <v>13005</v>
      </c>
      <c r="G4297" t="s">
        <v>18095</v>
      </c>
      <c r="H4297" t="s">
        <v>1112</v>
      </c>
      <c r="I4297" t="s">
        <v>1108</v>
      </c>
      <c r="J4297" t="s">
        <v>13006</v>
      </c>
      <c r="K4297" t="s">
        <v>13007</v>
      </c>
      <c r="L4297" t="s">
        <v>21</v>
      </c>
      <c r="M4297" t="s">
        <v>19177</v>
      </c>
      <c r="N4297" t="s">
        <v>97</v>
      </c>
      <c r="O4297" t="s">
        <v>937</v>
      </c>
      <c r="P4297" t="s">
        <v>12</v>
      </c>
    </row>
    <row r="4298">
      <c r="A4298">
        <f>HYPERLINK("http://bombeiros.sp.gov.br/hidrantes/03individual/260.html","260")</f>
      </c>
      <c r="B4298" t="s">
        <v>842</v>
      </c>
      <c r="C4298" t="s">
        <v>937</v>
      </c>
      <c r="D4298" t="s">
        <v>960</v>
      </c>
      <c r="E4298" t="s">
        <v>64</v>
      </c>
      <c r="F4298" t="s">
        <v>13008</v>
      </c>
      <c r="G4298" t="s">
        <v>18115</v>
      </c>
      <c r="H4298" t="s">
        <v>1174</v>
      </c>
      <c r="I4298" t="s">
        <v>1108</v>
      </c>
      <c r="J4298" t="s">
        <v>13009</v>
      </c>
      <c r="K4298" t="s">
        <v>13010</v>
      </c>
      <c r="L4298" t="s">
        <v>36</v>
      </c>
      <c r="M4298" t="s">
        <v>19177</v>
      </c>
      <c r="N4298" t="s">
        <v>97</v>
      </c>
      <c r="O4298" t="s">
        <v>937</v>
      </c>
      <c r="P4298" t="s">
        <v>12</v>
      </c>
    </row>
    <row r="4299">
      <c r="A4299">
        <f>HYPERLINK("http://bombeiros.sp.gov.br/hidrantes/03individual/2035.html","2035")</f>
      </c>
      <c r="B4299" t="s">
        <v>842</v>
      </c>
      <c r="C4299" t="s">
        <v>937</v>
      </c>
      <c r="D4299" t="s">
        <v>960</v>
      </c>
      <c r="E4299" t="s">
        <v>64</v>
      </c>
      <c r="F4299" t="s">
        <v>13011</v>
      </c>
      <c r="G4299" t="s">
        <v>18095</v>
      </c>
      <c r="H4299" t="s">
        <v>1107</v>
      </c>
      <c r="I4299" t="s">
        <v>1108</v>
      </c>
      <c r="J4299" t="s">
        <v>13012</v>
      </c>
      <c r="K4299" t="s">
        <v>13013</v>
      </c>
      <c r="L4299" t="s">
        <v>36</v>
      </c>
      <c r="M4299" t="s">
        <v>19177</v>
      </c>
      <c r="N4299" t="s">
        <v>97</v>
      </c>
      <c r="O4299" t="s">
        <v>937</v>
      </c>
      <c r="P4299" t="s">
        <v>12</v>
      </c>
    </row>
    <row r="4300">
      <c r="A4300">
        <f>HYPERLINK("http://bombeiros.sp.gov.br/hidrantes/03individual/17914.html","17914")</f>
      </c>
      <c r="B4300" t="s">
        <v>842</v>
      </c>
      <c r="C4300" t="s">
        <v>937</v>
      </c>
      <c r="D4300" t="s">
        <v>960</v>
      </c>
      <c r="E4300" t="s">
        <v>64</v>
      </c>
      <c r="F4300" t="s">
        <v>13014</v>
      </c>
      <c r="G4300" t="s">
        <v>18170</v>
      </c>
      <c r="H4300" t="s">
        <v>1107</v>
      </c>
      <c r="I4300" t="s">
        <v>1108</v>
      </c>
      <c r="J4300" t="s">
        <v>13015</v>
      </c>
      <c r="K4300" t="s">
        <v>13016</v>
      </c>
      <c r="L4300" t="s">
        <v>21</v>
      </c>
      <c r="M4300" t="s">
        <v>19177</v>
      </c>
      <c r="N4300" t="s">
        <v>97</v>
      </c>
      <c r="O4300" t="s">
        <v>937</v>
      </c>
      <c r="P4300" t="s">
        <v>12</v>
      </c>
    </row>
    <row r="4301">
      <c r="A4301">
        <f>HYPERLINK("http://bombeiros.sp.gov.br/hidrantes/03individual/17915.html","17915")</f>
      </c>
      <c r="B4301" t="s">
        <v>842</v>
      </c>
      <c r="C4301" t="s">
        <v>937</v>
      </c>
      <c r="D4301" t="s">
        <v>960</v>
      </c>
      <c r="E4301" t="s">
        <v>64</v>
      </c>
      <c r="F4301" t="s">
        <v>13017</v>
      </c>
      <c r="G4301" t="s">
        <v>18095</v>
      </c>
      <c r="H4301" t="s">
        <v>1112</v>
      </c>
      <c r="I4301" t="s">
        <v>1108</v>
      </c>
      <c r="J4301" t="s">
        <v>13018</v>
      </c>
      <c r="K4301" t="s">
        <v>13019</v>
      </c>
      <c r="L4301" t="s">
        <v>21</v>
      </c>
      <c r="M4301" t="s">
        <v>19177</v>
      </c>
      <c r="N4301" t="s">
        <v>97</v>
      </c>
      <c r="O4301" t="s">
        <v>937</v>
      </c>
      <c r="P4301" t="s">
        <v>12</v>
      </c>
    </row>
    <row r="4302">
      <c r="A4302">
        <f>HYPERLINK("http://bombeiros.sp.gov.br/hidrantes/03individual/22.html","22")</f>
      </c>
      <c r="B4302" t="s">
        <v>842</v>
      </c>
      <c r="C4302" t="s">
        <v>937</v>
      </c>
      <c r="D4302" t="s">
        <v>960</v>
      </c>
      <c r="E4302" t="s">
        <v>15</v>
      </c>
      <c r="F4302" t="s">
        <v>13020</v>
      </c>
      <c r="G4302" t="s">
        <v>18168</v>
      </c>
      <c r="H4302" t="s">
        <v>1107</v>
      </c>
      <c r="I4302" t="s">
        <v>1108</v>
      </c>
      <c r="J4302" t="s">
        <v>13021</v>
      </c>
      <c r="K4302" t="s">
        <v>13022</v>
      </c>
      <c r="L4302" t="s">
        <v>21</v>
      </c>
      <c r="M4302" t="s">
        <v>19177</v>
      </c>
      <c r="N4302" t="s">
        <v>97</v>
      </c>
      <c r="O4302" t="s">
        <v>937</v>
      </c>
      <c r="P4302" t="s">
        <v>12</v>
      </c>
    </row>
    <row r="4303">
      <c r="A4303">
        <f>HYPERLINK("http://bombeiros.sp.gov.br/hidrantes/03individual/86.html","86")</f>
      </c>
      <c r="B4303" t="s">
        <v>842</v>
      </c>
      <c r="C4303" t="s">
        <v>937</v>
      </c>
      <c r="D4303" t="s">
        <v>960</v>
      </c>
      <c r="E4303" t="s">
        <v>15</v>
      </c>
      <c r="F4303" t="s">
        <v>13023</v>
      </c>
      <c r="G4303" t="s">
        <v>18047</v>
      </c>
      <c r="H4303" t="s">
        <v>1174</v>
      </c>
      <c r="I4303" t="s">
        <v>1108</v>
      </c>
      <c r="J4303" t="s">
        <v>13024</v>
      </c>
      <c r="K4303" t="s">
        <v>13025</v>
      </c>
      <c r="L4303" t="s">
        <v>21</v>
      </c>
      <c r="M4303" t="s">
        <v>19177</v>
      </c>
      <c r="N4303" t="s">
        <v>97</v>
      </c>
      <c r="O4303" t="s">
        <v>937</v>
      </c>
      <c r="P4303" t="s">
        <v>12</v>
      </c>
    </row>
    <row r="4304">
      <c r="A4304">
        <f>HYPERLINK("http://bombeiros.sp.gov.br/hidrantes/03individual/188.html","188")</f>
      </c>
      <c r="B4304" t="s">
        <v>842</v>
      </c>
      <c r="C4304" t="s">
        <v>937</v>
      </c>
      <c r="D4304" t="s">
        <v>960</v>
      </c>
      <c r="E4304" t="s">
        <v>15</v>
      </c>
      <c r="F4304" t="s">
        <v>13026</v>
      </c>
      <c r="G4304" t="s">
        <v>18085</v>
      </c>
      <c r="H4304" t="s">
        <v>1121</v>
      </c>
      <c r="I4304" t="s">
        <v>1117</v>
      </c>
      <c r="J4304" t="s">
        <v>13027</v>
      </c>
      <c r="K4304" t="s">
        <v>13028</v>
      </c>
      <c r="L4304" t="s">
        <v>21</v>
      </c>
      <c r="M4304" t="s">
        <v>19177</v>
      </c>
      <c r="N4304" t="s">
        <v>97</v>
      </c>
      <c r="O4304" t="s">
        <v>937</v>
      </c>
      <c r="P4304" t="s">
        <v>12</v>
      </c>
    </row>
    <row r="4305">
      <c r="A4305">
        <f>HYPERLINK("http://bombeiros.sp.gov.br/hidrantes/03individual/205.html","205")</f>
      </c>
      <c r="B4305" t="s">
        <v>842</v>
      </c>
      <c r="C4305" t="s">
        <v>937</v>
      </c>
      <c r="D4305" t="s">
        <v>960</v>
      </c>
      <c r="E4305" t="s">
        <v>15</v>
      </c>
      <c r="F4305" t="s">
        <v>13029</v>
      </c>
      <c r="G4305" t="s">
        <v>18095</v>
      </c>
      <c r="H4305" t="s">
        <v>1107</v>
      </c>
      <c r="I4305" t="s">
        <v>1117</v>
      </c>
      <c r="J4305" t="s">
        <v>13030</v>
      </c>
      <c r="K4305" t="s">
        <v>13031</v>
      </c>
      <c r="L4305" t="s">
        <v>21</v>
      </c>
      <c r="M4305" t="s">
        <v>19177</v>
      </c>
      <c r="N4305" t="s">
        <v>97</v>
      </c>
      <c r="O4305" t="s">
        <v>937</v>
      </c>
      <c r="P4305" t="s">
        <v>12</v>
      </c>
    </row>
    <row r="4306">
      <c r="A4306">
        <f>HYPERLINK("http://bombeiros.sp.gov.br/hidrantes/03individual/223.html","223")</f>
      </c>
      <c r="B4306" t="s">
        <v>842</v>
      </c>
      <c r="C4306" t="s">
        <v>937</v>
      </c>
      <c r="D4306" t="s">
        <v>960</v>
      </c>
      <c r="E4306" t="s">
        <v>15</v>
      </c>
      <c r="F4306" t="s">
        <v>13032</v>
      </c>
      <c r="G4306" t="s">
        <v>18172</v>
      </c>
      <c r="H4306" t="s">
        <v>1174</v>
      </c>
      <c r="I4306" t="s">
        <v>1108</v>
      </c>
      <c r="J4306" t="s">
        <v>13033</v>
      </c>
      <c r="K4306" t="s">
        <v>13034</v>
      </c>
      <c r="L4306" t="s">
        <v>21</v>
      </c>
      <c r="M4306" t="s">
        <v>19177</v>
      </c>
      <c r="N4306" t="s">
        <v>97</v>
      </c>
      <c r="O4306" t="s">
        <v>937</v>
      </c>
      <c r="P4306" t="s">
        <v>12</v>
      </c>
    </row>
    <row r="4307">
      <c r="A4307">
        <f>HYPERLINK("http://bombeiros.sp.gov.br/hidrantes/03individual/224.html","224")</f>
      </c>
      <c r="B4307" t="s">
        <v>842</v>
      </c>
      <c r="C4307" t="s">
        <v>937</v>
      </c>
      <c r="D4307" t="s">
        <v>960</v>
      </c>
      <c r="E4307" t="s">
        <v>15</v>
      </c>
      <c r="F4307" t="s">
        <v>13035</v>
      </c>
      <c r="G4307" t="s">
        <v>18059</v>
      </c>
      <c r="H4307" t="s">
        <v>1174</v>
      </c>
      <c r="I4307" t="s">
        <v>1117</v>
      </c>
      <c r="J4307" t="s">
        <v>13036</v>
      </c>
      <c r="K4307" t="s">
        <v>13037</v>
      </c>
      <c r="L4307" t="s">
        <v>21</v>
      </c>
      <c r="M4307" t="s">
        <v>19177</v>
      </c>
      <c r="N4307" t="s">
        <v>97</v>
      </c>
      <c r="O4307" t="s">
        <v>937</v>
      </c>
      <c r="P4307" t="s">
        <v>12</v>
      </c>
    </row>
    <row r="4308">
      <c r="A4308">
        <f>HYPERLINK("http://bombeiros.sp.gov.br/hidrantes/03individual/248.html","248")</f>
      </c>
      <c r="B4308" t="s">
        <v>842</v>
      </c>
      <c r="C4308" t="s">
        <v>937</v>
      </c>
      <c r="D4308" t="s">
        <v>960</v>
      </c>
      <c r="E4308" t="s">
        <v>15</v>
      </c>
      <c r="F4308" t="s">
        <v>13038</v>
      </c>
      <c r="G4308" t="s">
        <v>18047</v>
      </c>
      <c r="H4308" t="s">
        <v>1174</v>
      </c>
      <c r="I4308" t="s">
        <v>1108</v>
      </c>
      <c r="J4308" t="s">
        <v>13039</v>
      </c>
      <c r="K4308" t="s">
        <v>13040</v>
      </c>
      <c r="L4308" t="s">
        <v>21</v>
      </c>
      <c r="M4308" t="s">
        <v>19177</v>
      </c>
      <c r="N4308" t="s">
        <v>97</v>
      </c>
      <c r="O4308" t="s">
        <v>937</v>
      </c>
      <c r="P4308" t="s">
        <v>12</v>
      </c>
    </row>
    <row r="4309">
      <c r="A4309">
        <f>HYPERLINK("http://bombeiros.sp.gov.br/hidrantes/03individual/249.html","249")</f>
      </c>
      <c r="B4309" t="s">
        <v>842</v>
      </c>
      <c r="C4309" t="s">
        <v>937</v>
      </c>
      <c r="D4309" t="s">
        <v>960</v>
      </c>
      <c r="E4309" t="s">
        <v>15</v>
      </c>
      <c r="F4309" t="s">
        <v>13041</v>
      </c>
      <c r="G4309" t="s">
        <v>18059</v>
      </c>
      <c r="H4309" t="s">
        <v>1112</v>
      </c>
      <c r="I4309" t="s">
        <v>1108</v>
      </c>
      <c r="J4309" t="s">
        <v>13042</v>
      </c>
      <c r="K4309" t="s">
        <v>13043</v>
      </c>
      <c r="L4309" t="s">
        <v>21</v>
      </c>
      <c r="M4309" t="s">
        <v>19177</v>
      </c>
      <c r="N4309" t="s">
        <v>97</v>
      </c>
      <c r="O4309" t="s">
        <v>937</v>
      </c>
      <c r="P4309" t="s">
        <v>12</v>
      </c>
    </row>
    <row r="4310">
      <c r="A4310">
        <f>HYPERLINK("http://bombeiros.sp.gov.br/hidrantes/03individual/261.html","261")</f>
      </c>
      <c r="B4310" t="s">
        <v>842</v>
      </c>
      <c r="C4310" t="s">
        <v>937</v>
      </c>
      <c r="D4310" t="s">
        <v>960</v>
      </c>
      <c r="E4310" t="s">
        <v>15</v>
      </c>
      <c r="F4310" t="s">
        <v>13044</v>
      </c>
      <c r="G4310" t="s">
        <v>18094</v>
      </c>
      <c r="H4310" t="s">
        <v>1107</v>
      </c>
      <c r="I4310" t="s">
        <v>1108</v>
      </c>
      <c r="J4310" t="s">
        <v>13045</v>
      </c>
      <c r="K4310" t="s">
        <v>13046</v>
      </c>
      <c r="L4310" t="s">
        <v>21</v>
      </c>
      <c r="M4310" t="s">
        <v>19177</v>
      </c>
      <c r="N4310" t="s">
        <v>97</v>
      </c>
      <c r="O4310" t="s">
        <v>937</v>
      </c>
      <c r="P4310" t="s">
        <v>12</v>
      </c>
    </row>
    <row r="4311">
      <c r="A4311">
        <f>HYPERLINK("http://bombeiros.sp.gov.br/hidrantes/03individual/1409.html","1409")</f>
      </c>
      <c r="B4311" t="s">
        <v>842</v>
      </c>
      <c r="C4311" t="s">
        <v>937</v>
      </c>
      <c r="D4311" t="s">
        <v>960</v>
      </c>
      <c r="E4311" t="s">
        <v>15</v>
      </c>
      <c r="F4311" t="s">
        <v>13047</v>
      </c>
      <c r="G4311" t="s">
        <v>18168</v>
      </c>
      <c r="H4311" t="s">
        <v>1174</v>
      </c>
      <c r="I4311" t="s">
        <v>1117</v>
      </c>
      <c r="J4311" t="s">
        <v>13048</v>
      </c>
      <c r="K4311" t="s">
        <v>13049</v>
      </c>
      <c r="L4311" t="s">
        <v>21</v>
      </c>
      <c r="M4311" t="s">
        <v>19177</v>
      </c>
      <c r="N4311" t="s">
        <v>97</v>
      </c>
      <c r="O4311" t="s">
        <v>937</v>
      </c>
      <c r="P4311" t="s">
        <v>12</v>
      </c>
    </row>
    <row r="4312">
      <c r="A4312">
        <f>HYPERLINK("http://bombeiros.sp.gov.br/hidrantes/03individual/1422.html","1422")</f>
      </c>
      <c r="B4312" t="s">
        <v>842</v>
      </c>
      <c r="C4312" t="s">
        <v>937</v>
      </c>
      <c r="D4312" t="s">
        <v>960</v>
      </c>
      <c r="E4312" t="s">
        <v>15</v>
      </c>
      <c r="F4312" t="s">
        <v>13050</v>
      </c>
      <c r="G4312" t="s">
        <v>18168</v>
      </c>
      <c r="H4312" t="s">
        <v>1174</v>
      </c>
      <c r="I4312" t="s">
        <v>1117</v>
      </c>
      <c r="J4312" t="s">
        <v>13051</v>
      </c>
      <c r="K4312" t="s">
        <v>13052</v>
      </c>
      <c r="L4312" t="s">
        <v>21</v>
      </c>
      <c r="M4312" t="s">
        <v>19177</v>
      </c>
      <c r="N4312" t="s">
        <v>97</v>
      </c>
      <c r="O4312" t="s">
        <v>937</v>
      </c>
      <c r="P4312" t="s">
        <v>12</v>
      </c>
    </row>
    <row r="4313">
      <c r="A4313">
        <f>HYPERLINK("http://bombeiros.sp.gov.br/hidrantes/03individual/1428.html","1428")</f>
      </c>
      <c r="B4313" t="s">
        <v>842</v>
      </c>
      <c r="C4313" t="s">
        <v>937</v>
      </c>
      <c r="D4313" t="s">
        <v>960</v>
      </c>
      <c r="E4313" t="s">
        <v>15</v>
      </c>
      <c r="F4313" t="s">
        <v>13053</v>
      </c>
      <c r="G4313" t="s">
        <v>18117</v>
      </c>
      <c r="H4313" t="s">
        <v>1174</v>
      </c>
      <c r="I4313" t="s">
        <v>1108</v>
      </c>
      <c r="J4313" t="s">
        <v>13054</v>
      </c>
      <c r="K4313" t="s">
        <v>13055</v>
      </c>
      <c r="L4313" t="s">
        <v>21</v>
      </c>
      <c r="M4313" t="s">
        <v>19177</v>
      </c>
      <c r="N4313" t="s">
        <v>97</v>
      </c>
      <c r="O4313" t="s">
        <v>937</v>
      </c>
      <c r="P4313" t="s">
        <v>12</v>
      </c>
    </row>
    <row r="4314">
      <c r="A4314">
        <f>HYPERLINK("http://bombeiros.sp.gov.br/hidrantes/03individual/1637.html","1637")</f>
      </c>
      <c r="B4314" t="s">
        <v>842</v>
      </c>
      <c r="C4314" t="s">
        <v>937</v>
      </c>
      <c r="D4314" t="s">
        <v>960</v>
      </c>
      <c r="E4314" t="s">
        <v>15</v>
      </c>
      <c r="F4314" t="s">
        <v>13056</v>
      </c>
      <c r="G4314" t="s">
        <v>18115</v>
      </c>
      <c r="H4314" t="s">
        <v>1174</v>
      </c>
      <c r="I4314" t="s">
        <v>1108</v>
      </c>
      <c r="J4314" t="s">
        <v>13057</v>
      </c>
      <c r="K4314" t="s">
        <v>13058</v>
      </c>
      <c r="L4314" t="s">
        <v>21</v>
      </c>
      <c r="M4314" t="s">
        <v>19177</v>
      </c>
      <c r="N4314" t="s">
        <v>97</v>
      </c>
      <c r="O4314" t="s">
        <v>937</v>
      </c>
      <c r="P4314" t="s">
        <v>12</v>
      </c>
    </row>
    <row r="4315">
      <c r="A4315">
        <f>HYPERLINK("http://bombeiros.sp.gov.br/hidrantes/03individual/1884.html","1884")</f>
      </c>
      <c r="B4315" t="s">
        <v>842</v>
      </c>
      <c r="C4315" t="s">
        <v>937</v>
      </c>
      <c r="D4315" t="s">
        <v>960</v>
      </c>
      <c r="E4315" t="s">
        <v>15</v>
      </c>
      <c r="F4315" t="s">
        <v>13059</v>
      </c>
      <c r="G4315" t="s">
        <v>18095</v>
      </c>
      <c r="H4315" t="s">
        <v>1112</v>
      </c>
      <c r="I4315" t="s">
        <v>1108</v>
      </c>
      <c r="J4315" t="s">
        <v>16419</v>
      </c>
      <c r="K4315" t="s">
        <v>16420</v>
      </c>
      <c r="L4315" t="s">
        <v>21</v>
      </c>
      <c r="M4315" t="s">
        <v>19177</v>
      </c>
      <c r="N4315" t="s">
        <v>97</v>
      </c>
      <c r="O4315" t="s">
        <v>937</v>
      </c>
      <c r="P4315" t="s">
        <v>12</v>
      </c>
    </row>
    <row r="4316">
      <c r="A4316">
        <f>HYPERLINK("http://bombeiros.sp.gov.br/hidrantes/03individual/1905.html","1905")</f>
      </c>
      <c r="B4316" t="s">
        <v>842</v>
      </c>
      <c r="C4316" t="s">
        <v>937</v>
      </c>
      <c r="D4316" t="s">
        <v>960</v>
      </c>
      <c r="E4316" t="s">
        <v>15</v>
      </c>
      <c r="F4316" t="s">
        <v>13062</v>
      </c>
      <c r="G4316" t="s">
        <v>18059</v>
      </c>
      <c r="H4316" t="s">
        <v>1112</v>
      </c>
      <c r="I4316" t="s">
        <v>1108</v>
      </c>
      <c r="J4316" t="s">
        <v>13063</v>
      </c>
      <c r="K4316" t="s">
        <v>13064</v>
      </c>
      <c r="L4316" t="s">
        <v>21</v>
      </c>
      <c r="M4316" t="s">
        <v>19177</v>
      </c>
      <c r="N4316" t="s">
        <v>97</v>
      </c>
      <c r="O4316" t="s">
        <v>937</v>
      </c>
      <c r="P4316" t="s">
        <v>12</v>
      </c>
    </row>
    <row r="4317">
      <c r="A4317">
        <f>HYPERLINK("http://bombeiros.sp.gov.br/hidrantes/03individual/2274.html","2274")</f>
      </c>
      <c r="B4317" t="s">
        <v>842</v>
      </c>
      <c r="C4317" t="s">
        <v>937</v>
      </c>
      <c r="D4317" t="s">
        <v>960</v>
      </c>
      <c r="E4317" t="s">
        <v>15</v>
      </c>
      <c r="F4317" t="s">
        <v>13065</v>
      </c>
      <c r="G4317" t="s">
        <v>18059</v>
      </c>
      <c r="H4317" t="s">
        <v>1174</v>
      </c>
      <c r="I4317" t="s">
        <v>1108</v>
      </c>
      <c r="J4317" t="s">
        <v>13066</v>
      </c>
      <c r="K4317" t="s">
        <v>13067</v>
      </c>
      <c r="L4317" t="s">
        <v>21</v>
      </c>
      <c r="M4317" t="s">
        <v>19177</v>
      </c>
      <c r="N4317" t="s">
        <v>97</v>
      </c>
      <c r="O4317" t="s">
        <v>937</v>
      </c>
      <c r="P4317" t="s">
        <v>12</v>
      </c>
    </row>
    <row r="4318">
      <c r="A4318">
        <f>HYPERLINK("http://bombeiros.sp.gov.br/hidrantes/03individual/2327.html","2327")</f>
      </c>
      <c r="B4318" t="s">
        <v>842</v>
      </c>
      <c r="C4318" t="s">
        <v>937</v>
      </c>
      <c r="D4318" t="s">
        <v>960</v>
      </c>
      <c r="E4318" t="s">
        <v>15</v>
      </c>
      <c r="F4318" t="s">
        <v>13068</v>
      </c>
      <c r="G4318" t="s">
        <v>18047</v>
      </c>
      <c r="H4318" t="s">
        <v>1174</v>
      </c>
      <c r="I4318" t="s">
        <v>1117</v>
      </c>
      <c r="J4318" t="s">
        <v>13069</v>
      </c>
      <c r="K4318" t="s">
        <v>13070</v>
      </c>
      <c r="L4318" t="s">
        <v>21</v>
      </c>
      <c r="M4318" t="s">
        <v>19177</v>
      </c>
      <c r="N4318" t="s">
        <v>97</v>
      </c>
      <c r="O4318" t="s">
        <v>937</v>
      </c>
      <c r="P4318" t="s">
        <v>12</v>
      </c>
    </row>
    <row r="4319">
      <c r="A4319">
        <f>HYPERLINK("http://bombeiros.sp.gov.br/hidrantes/03individual/4176.html","4176")</f>
      </c>
      <c r="B4319" t="s">
        <v>842</v>
      </c>
      <c r="C4319" t="s">
        <v>937</v>
      </c>
      <c r="D4319" t="s">
        <v>960</v>
      </c>
      <c r="E4319" t="s">
        <v>15</v>
      </c>
      <c r="F4319" t="s">
        <v>13071</v>
      </c>
      <c r="G4319" t="s">
        <v>18047</v>
      </c>
      <c r="H4319" t="s">
        <v>1121</v>
      </c>
      <c r="I4319" t="s">
        <v>1117</v>
      </c>
      <c r="J4319" t="s">
        <v>13072</v>
      </c>
      <c r="K4319" t="s">
        <v>13073</v>
      </c>
      <c r="L4319" t="s">
        <v>21</v>
      </c>
      <c r="M4319" t="s">
        <v>19177</v>
      </c>
      <c r="N4319" t="s">
        <v>97</v>
      </c>
      <c r="O4319" t="s">
        <v>937</v>
      </c>
      <c r="P4319" t="s">
        <v>12</v>
      </c>
    </row>
    <row r="4320">
      <c r="A4320">
        <f>HYPERLINK("http://bombeiros.sp.gov.br/hidrantes/03individual/4267.html","4267")</f>
      </c>
      <c r="B4320" t="s">
        <v>842</v>
      </c>
      <c r="C4320" t="s">
        <v>937</v>
      </c>
      <c r="D4320" t="s">
        <v>960</v>
      </c>
      <c r="E4320" t="s">
        <v>15</v>
      </c>
      <c r="F4320" t="s">
        <v>13074</v>
      </c>
      <c r="G4320" t="s">
        <v>18085</v>
      </c>
      <c r="H4320" t="s">
        <v>1107</v>
      </c>
      <c r="I4320" t="s">
        <v>1108</v>
      </c>
      <c r="J4320" t="s">
        <v>13075</v>
      </c>
      <c r="K4320" t="s">
        <v>13076</v>
      </c>
      <c r="L4320" t="s">
        <v>21</v>
      </c>
      <c r="M4320" t="s">
        <v>19177</v>
      </c>
      <c r="N4320" t="s">
        <v>97</v>
      </c>
      <c r="O4320" t="s">
        <v>937</v>
      </c>
      <c r="P4320" t="s">
        <v>12</v>
      </c>
    </row>
    <row r="4321">
      <c r="A4321">
        <f>HYPERLINK("http://bombeiros.sp.gov.br/hidrantes/03individual/26807.html","26807")</f>
      </c>
      <c r="B4321" t="s">
        <v>842</v>
      </c>
      <c r="C4321" t="s">
        <v>937</v>
      </c>
      <c r="D4321" t="s">
        <v>960</v>
      </c>
      <c r="E4321" t="s">
        <v>15</v>
      </c>
      <c r="F4321" t="s">
        <v>15927</v>
      </c>
      <c r="G4321" t="s">
        <v>18172</v>
      </c>
      <c r="H4321" t="s">
        <v>1121</v>
      </c>
      <c r="I4321" t="s">
        <v>1117</v>
      </c>
      <c r="J4321" t="s">
        <v>15928</v>
      </c>
      <c r="K4321" t="s">
        <v>15929</v>
      </c>
      <c r="L4321" t="s">
        <v>21</v>
      </c>
      <c r="M4321" t="s">
        <v>19177</v>
      </c>
      <c r="N4321" t="s">
        <v>97</v>
      </c>
      <c r="O4321" t="s">
        <v>937</v>
      </c>
      <c r="P4321" t="s">
        <v>12</v>
      </c>
    </row>
    <row r="4322">
      <c r="A4322">
        <f>HYPERLINK("http://bombeiros.sp.gov.br/hidrantes/03individual/4376.html","4376")</f>
      </c>
      <c r="B4322" t="s">
        <v>842</v>
      </c>
      <c r="C4322" t="s">
        <v>964</v>
      </c>
      <c r="D4322" t="s">
        <v>965</v>
      </c>
      <c r="E4322" t="s">
        <v>64</v>
      </c>
      <c r="F4322" t="s">
        <v>13077</v>
      </c>
      <c r="G4322" t="s">
        <v>18153</v>
      </c>
      <c r="H4322" t="s">
        <v>1112</v>
      </c>
      <c r="I4322" t="s">
        <v>1108</v>
      </c>
      <c r="J4322" t="s">
        <v>13078</v>
      </c>
      <c r="K4322" t="s">
        <v>13079</v>
      </c>
      <c r="L4322" t="s">
        <v>21</v>
      </c>
      <c r="M4322" t="s">
        <v>19177</v>
      </c>
      <c r="N4322" t="s">
        <v>1024</v>
      </c>
      <c r="O4322" t="s">
        <v>1024</v>
      </c>
      <c r="P4322" t="s">
        <v>842</v>
      </c>
    </row>
    <row r="4323">
      <c r="A4323">
        <f>HYPERLINK("http://bombeiros.sp.gov.br/hidrantes/03individual/10008.html","10008")</f>
      </c>
      <c r="B4323" t="s">
        <v>842</v>
      </c>
      <c r="C4323" t="s">
        <v>964</v>
      </c>
      <c r="D4323" t="s">
        <v>965</v>
      </c>
      <c r="E4323" t="s">
        <v>64</v>
      </c>
      <c r="F4323" t="s">
        <v>13080</v>
      </c>
      <c r="G4323" t="s">
        <v>18145</v>
      </c>
      <c r="H4323" t="s">
        <v>1174</v>
      </c>
      <c r="I4323" t="s">
        <v>1108</v>
      </c>
      <c r="J4323" t="s">
        <v>13081</v>
      </c>
      <c r="K4323" t="s">
        <v>13082</v>
      </c>
      <c r="L4323" t="s">
        <v>21</v>
      </c>
      <c r="M4323" t="s">
        <v>19177</v>
      </c>
      <c r="N4323" t="s">
        <v>1024</v>
      </c>
      <c r="O4323" t="s">
        <v>1024</v>
      </c>
      <c r="P4323" t="s">
        <v>842</v>
      </c>
    </row>
    <row r="4324">
      <c r="A4324">
        <f>HYPERLINK("http://bombeiros.sp.gov.br/hidrantes/03individual/16620.html","16620")</f>
      </c>
      <c r="B4324" t="s">
        <v>842</v>
      </c>
      <c r="C4324" t="s">
        <v>964</v>
      </c>
      <c r="D4324" t="s">
        <v>965</v>
      </c>
      <c r="E4324" t="s">
        <v>64</v>
      </c>
      <c r="F4324" t="s">
        <v>966</v>
      </c>
      <c r="G4324" t="s">
        <v>18135</v>
      </c>
      <c r="H4324" t="s">
        <v>1112</v>
      </c>
      <c r="I4324" t="s">
        <v>1108</v>
      </c>
      <c r="J4324" t="s">
        <v>967</v>
      </c>
      <c r="K4324" t="s">
        <v>968</v>
      </c>
      <c r="L4324" t="s">
        <v>21</v>
      </c>
      <c r="M4324" t="s">
        <v>19177</v>
      </c>
      <c r="N4324" t="s">
        <v>1024</v>
      </c>
      <c r="O4324" t="s">
        <v>1024</v>
      </c>
      <c r="P4324" t="s">
        <v>842</v>
      </c>
    </row>
    <row r="4325">
      <c r="A4325">
        <f>HYPERLINK("http://bombeiros.sp.gov.br/hidrantes/03individual/341.html","341")</f>
      </c>
      <c r="B4325" t="s">
        <v>842</v>
      </c>
      <c r="C4325" t="s">
        <v>964</v>
      </c>
      <c r="D4325" t="s">
        <v>965</v>
      </c>
      <c r="E4325" t="s">
        <v>15</v>
      </c>
      <c r="F4325" t="s">
        <v>13083</v>
      </c>
      <c r="G4325" t="s">
        <v>18145</v>
      </c>
      <c r="H4325" t="s">
        <v>1121</v>
      </c>
      <c r="I4325" t="s">
        <v>1117</v>
      </c>
      <c r="J4325" t="s">
        <v>13084</v>
      </c>
      <c r="K4325" t="s">
        <v>13085</v>
      </c>
      <c r="L4325" t="s">
        <v>36</v>
      </c>
      <c r="M4325" t="s">
        <v>19177</v>
      </c>
      <c r="N4325" t="s">
        <v>1024</v>
      </c>
      <c r="O4325" t="s">
        <v>1024</v>
      </c>
      <c r="P4325" t="s">
        <v>842</v>
      </c>
    </row>
    <row r="4326">
      <c r="A4326">
        <f>HYPERLINK("http://bombeiros.sp.gov.br/hidrantes/03individual/396.html","396")</f>
      </c>
      <c r="B4326" t="s">
        <v>842</v>
      </c>
      <c r="C4326" t="s">
        <v>964</v>
      </c>
      <c r="D4326" t="s">
        <v>965</v>
      </c>
      <c r="E4326" t="s">
        <v>15</v>
      </c>
      <c r="F4326" t="s">
        <v>13086</v>
      </c>
      <c r="G4326" t="s">
        <v>18145</v>
      </c>
      <c r="H4326" t="s">
        <v>1174</v>
      </c>
      <c r="I4326" t="s">
        <v>1117</v>
      </c>
      <c r="J4326" t="s">
        <v>13087</v>
      </c>
      <c r="K4326" t="s">
        <v>13088</v>
      </c>
      <c r="L4326" t="s">
        <v>21</v>
      </c>
      <c r="M4326" t="s">
        <v>19177</v>
      </c>
      <c r="N4326" t="s">
        <v>1024</v>
      </c>
      <c r="O4326" t="s">
        <v>1024</v>
      </c>
      <c r="P4326" t="s">
        <v>842</v>
      </c>
    </row>
    <row r="4327">
      <c r="A4327">
        <f>HYPERLINK("http://bombeiros.sp.gov.br/hidrantes/03individual/409.html","409")</f>
      </c>
      <c r="B4327" t="s">
        <v>842</v>
      </c>
      <c r="C4327" t="s">
        <v>964</v>
      </c>
      <c r="D4327" t="s">
        <v>965</v>
      </c>
      <c r="E4327" t="s">
        <v>15</v>
      </c>
      <c r="F4327" t="s">
        <v>13089</v>
      </c>
      <c r="G4327" t="s">
        <v>18042</v>
      </c>
      <c r="H4327" t="s">
        <v>1112</v>
      </c>
      <c r="I4327" t="s">
        <v>1108</v>
      </c>
      <c r="J4327" t="s">
        <v>13090</v>
      </c>
      <c r="K4327" t="s">
        <v>13091</v>
      </c>
      <c r="L4327" t="s">
        <v>21</v>
      </c>
      <c r="M4327" t="s">
        <v>19177</v>
      </c>
      <c r="N4327" t="s">
        <v>1024</v>
      </c>
      <c r="O4327" t="s">
        <v>1024</v>
      </c>
      <c r="P4327" t="s">
        <v>842</v>
      </c>
    </row>
    <row r="4328">
      <c r="A4328">
        <f>HYPERLINK("http://bombeiros.sp.gov.br/hidrantes/03individual/440.html","440")</f>
      </c>
      <c r="B4328" t="s">
        <v>842</v>
      </c>
      <c r="C4328" t="s">
        <v>964</v>
      </c>
      <c r="D4328" t="s">
        <v>965</v>
      </c>
      <c r="E4328" t="s">
        <v>15</v>
      </c>
      <c r="F4328" t="s">
        <v>13092</v>
      </c>
      <c r="G4328" t="s">
        <v>18135</v>
      </c>
      <c r="H4328" t="s">
        <v>1112</v>
      </c>
      <c r="I4328" t="s">
        <v>1108</v>
      </c>
      <c r="J4328" t="s">
        <v>13093</v>
      </c>
      <c r="K4328" t="s">
        <v>13094</v>
      </c>
      <c r="L4328" t="s">
        <v>21</v>
      </c>
      <c r="M4328" t="s">
        <v>19177</v>
      </c>
      <c r="N4328" t="s">
        <v>1024</v>
      </c>
      <c r="O4328" t="s">
        <v>1024</v>
      </c>
      <c r="P4328" t="s">
        <v>842</v>
      </c>
    </row>
    <row r="4329">
      <c r="A4329">
        <f>HYPERLINK("http://bombeiros.sp.gov.br/hidrantes/03individual/466.html","466")</f>
      </c>
      <c r="B4329" t="s">
        <v>842</v>
      </c>
      <c r="C4329" t="s">
        <v>964</v>
      </c>
      <c r="D4329" t="s">
        <v>965</v>
      </c>
      <c r="E4329" t="s">
        <v>15</v>
      </c>
      <c r="F4329" t="s">
        <v>13095</v>
      </c>
      <c r="G4329" t="s">
        <v>18042</v>
      </c>
      <c r="H4329" t="s">
        <v>1112</v>
      </c>
      <c r="I4329" t="s">
        <v>1108</v>
      </c>
      <c r="J4329" t="s">
        <v>13096</v>
      </c>
      <c r="K4329" t="s">
        <v>13097</v>
      </c>
      <c r="L4329" t="s">
        <v>21</v>
      </c>
      <c r="M4329" t="s">
        <v>19177</v>
      </c>
      <c r="N4329" t="s">
        <v>1024</v>
      </c>
      <c r="O4329" t="s">
        <v>1024</v>
      </c>
      <c r="P4329" t="s">
        <v>842</v>
      </c>
    </row>
    <row r="4330">
      <c r="A4330">
        <f>HYPERLINK("http://bombeiros.sp.gov.br/hidrantes/03individual/467.html","467")</f>
      </c>
      <c r="B4330" t="s">
        <v>842</v>
      </c>
      <c r="C4330" t="s">
        <v>964</v>
      </c>
      <c r="D4330" t="s">
        <v>965</v>
      </c>
      <c r="E4330" t="s">
        <v>15</v>
      </c>
      <c r="F4330" t="s">
        <v>13098</v>
      </c>
      <c r="G4330" t="s">
        <v>18042</v>
      </c>
      <c r="H4330" t="s">
        <v>1121</v>
      </c>
      <c r="I4330" t="s">
        <v>1117</v>
      </c>
      <c r="J4330" t="s">
        <v>13099</v>
      </c>
      <c r="K4330" t="s">
        <v>13100</v>
      </c>
      <c r="L4330" t="s">
        <v>21</v>
      </c>
      <c r="M4330" t="s">
        <v>19177</v>
      </c>
      <c r="N4330" t="s">
        <v>1024</v>
      </c>
      <c r="O4330" t="s">
        <v>1024</v>
      </c>
      <c r="P4330" t="s">
        <v>842</v>
      </c>
    </row>
    <row r="4331">
      <c r="A4331">
        <f>HYPERLINK("http://bombeiros.sp.gov.br/hidrantes/03individual/484.html","484")</f>
      </c>
      <c r="B4331" t="s">
        <v>842</v>
      </c>
      <c r="C4331" t="s">
        <v>964</v>
      </c>
      <c r="D4331" t="s">
        <v>965</v>
      </c>
      <c r="E4331" t="s">
        <v>15</v>
      </c>
      <c r="F4331" t="s">
        <v>13101</v>
      </c>
      <c r="G4331" t="s">
        <v>18042</v>
      </c>
      <c r="H4331" t="s">
        <v>1112</v>
      </c>
      <c r="I4331" t="s">
        <v>1108</v>
      </c>
      <c r="J4331" t="s">
        <v>13102</v>
      </c>
      <c r="K4331" t="s">
        <v>13103</v>
      </c>
      <c r="L4331" t="s">
        <v>21</v>
      </c>
      <c r="M4331" t="s">
        <v>19177</v>
      </c>
      <c r="N4331" t="s">
        <v>1024</v>
      </c>
      <c r="O4331" t="s">
        <v>1024</v>
      </c>
      <c r="P4331" t="s">
        <v>842</v>
      </c>
    </row>
    <row r="4332">
      <c r="A4332">
        <f>HYPERLINK("http://bombeiros.sp.gov.br/hidrantes/03individual/3789.html","3789")</f>
      </c>
      <c r="B4332" t="s">
        <v>842</v>
      </c>
      <c r="C4332" t="s">
        <v>964</v>
      </c>
      <c r="D4332" t="s">
        <v>965</v>
      </c>
      <c r="E4332" t="s">
        <v>15</v>
      </c>
      <c r="F4332" t="s">
        <v>13104</v>
      </c>
      <c r="G4332" t="s">
        <v>18042</v>
      </c>
      <c r="H4332" t="s">
        <v>1174</v>
      </c>
      <c r="I4332" t="s">
        <v>1117</v>
      </c>
      <c r="J4332" t="s">
        <v>13105</v>
      </c>
      <c r="K4332" t="s">
        <v>13106</v>
      </c>
      <c r="L4332" t="s">
        <v>21</v>
      </c>
      <c r="M4332" t="s">
        <v>19177</v>
      </c>
      <c r="N4332" t="s">
        <v>1024</v>
      </c>
      <c r="O4332" t="s">
        <v>1024</v>
      </c>
      <c r="P4332" t="s">
        <v>842</v>
      </c>
    </row>
    <row r="4333">
      <c r="A4333">
        <f>HYPERLINK("http://bombeiros.sp.gov.br/hidrantes/03individual/3794.html","3794")</f>
      </c>
      <c r="B4333" t="s">
        <v>842</v>
      </c>
      <c r="C4333" t="s">
        <v>964</v>
      </c>
      <c r="D4333" t="s">
        <v>965</v>
      </c>
      <c r="E4333" t="s">
        <v>15</v>
      </c>
      <c r="F4333" t="s">
        <v>13107</v>
      </c>
      <c r="G4333" t="s">
        <v>18145</v>
      </c>
      <c r="H4333" t="s">
        <v>1112</v>
      </c>
      <c r="I4333" t="s">
        <v>1108</v>
      </c>
      <c r="J4333" t="s">
        <v>13108</v>
      </c>
      <c r="K4333" t="s">
        <v>13109</v>
      </c>
      <c r="L4333" t="s">
        <v>21</v>
      </c>
      <c r="M4333" t="s">
        <v>19177</v>
      </c>
      <c r="N4333" t="s">
        <v>1024</v>
      </c>
      <c r="O4333" t="s">
        <v>1024</v>
      </c>
      <c r="P4333" t="s">
        <v>842</v>
      </c>
    </row>
    <row r="4334">
      <c r="A4334">
        <f>HYPERLINK("http://bombeiros.sp.gov.br/hidrantes/03individual/3840.html","3840")</f>
      </c>
      <c r="B4334" t="s">
        <v>842</v>
      </c>
      <c r="C4334" t="s">
        <v>964</v>
      </c>
      <c r="D4334" t="s">
        <v>965</v>
      </c>
      <c r="E4334" t="s">
        <v>15</v>
      </c>
      <c r="F4334" t="s">
        <v>13110</v>
      </c>
      <c r="G4334" t="s">
        <v>18042</v>
      </c>
      <c r="H4334" t="s">
        <v>1121</v>
      </c>
      <c r="I4334" t="s">
        <v>1117</v>
      </c>
      <c r="J4334" t="s">
        <v>13111</v>
      </c>
      <c r="K4334" t="s">
        <v>13112</v>
      </c>
      <c r="L4334" t="s">
        <v>21</v>
      </c>
      <c r="M4334" t="s">
        <v>19177</v>
      </c>
      <c r="N4334" t="s">
        <v>1024</v>
      </c>
      <c r="O4334" t="s">
        <v>1024</v>
      </c>
      <c r="P4334" t="s">
        <v>842</v>
      </c>
    </row>
    <row r="4335">
      <c r="A4335">
        <f>HYPERLINK("http://bombeiros.sp.gov.br/hidrantes/03individual/3841.html","3841")</f>
      </c>
      <c r="B4335" t="s">
        <v>842</v>
      </c>
      <c r="C4335" t="s">
        <v>964</v>
      </c>
      <c r="D4335" t="s">
        <v>965</v>
      </c>
      <c r="E4335" t="s">
        <v>15</v>
      </c>
      <c r="F4335" t="s">
        <v>13113</v>
      </c>
      <c r="G4335" t="s">
        <v>18041</v>
      </c>
      <c r="H4335"/>
      <c r="I4335" t="s">
        <v>18</v>
      </c>
      <c r="J4335" t="s">
        <v>13114</v>
      </c>
      <c r="K4335" t="s">
        <v>13115</v>
      </c>
      <c r="L4335" t="s">
        <v>21</v>
      </c>
      <c r="M4335" t="s">
        <v>19177</v>
      </c>
      <c r="N4335" t="s">
        <v>1024</v>
      </c>
      <c r="O4335" t="s">
        <v>1024</v>
      </c>
      <c r="P4335" t="s">
        <v>842</v>
      </c>
    </row>
    <row r="4336">
      <c r="A4336">
        <f>HYPERLINK("http://bombeiros.sp.gov.br/hidrantes/03individual/3930.html","3930")</f>
      </c>
      <c r="B4336" t="s">
        <v>842</v>
      </c>
      <c r="C4336" t="s">
        <v>964</v>
      </c>
      <c r="D4336" t="s">
        <v>965</v>
      </c>
      <c r="E4336" t="s">
        <v>15</v>
      </c>
      <c r="F4336" t="s">
        <v>13116</v>
      </c>
      <c r="G4336" t="s">
        <v>18042</v>
      </c>
      <c r="H4336" t="s">
        <v>1112</v>
      </c>
      <c r="I4336" t="s">
        <v>1108</v>
      </c>
      <c r="J4336" t="s">
        <v>13117</v>
      </c>
      <c r="K4336" t="s">
        <v>13118</v>
      </c>
      <c r="L4336" t="s">
        <v>21</v>
      </c>
      <c r="M4336" t="s">
        <v>19177</v>
      </c>
      <c r="N4336" t="s">
        <v>1024</v>
      </c>
      <c r="O4336" t="s">
        <v>1024</v>
      </c>
      <c r="P4336" t="s">
        <v>842</v>
      </c>
    </row>
    <row r="4337">
      <c r="A4337">
        <f>HYPERLINK("http://bombeiros.sp.gov.br/hidrantes/03individual/3954.html","3954")</f>
      </c>
      <c r="B4337" t="s">
        <v>842</v>
      </c>
      <c r="C4337" t="s">
        <v>964</v>
      </c>
      <c r="D4337" t="s">
        <v>965</v>
      </c>
      <c r="E4337" t="s">
        <v>15</v>
      </c>
      <c r="F4337" t="s">
        <v>13119</v>
      </c>
      <c r="G4337" t="s">
        <v>18041</v>
      </c>
      <c r="H4337" t="s">
        <v>1112</v>
      </c>
      <c r="I4337" t="s">
        <v>1108</v>
      </c>
      <c r="J4337" t="s">
        <v>13120</v>
      </c>
      <c r="K4337" t="s">
        <v>13121</v>
      </c>
      <c r="L4337" t="s">
        <v>21</v>
      </c>
      <c r="M4337" t="s">
        <v>19177</v>
      </c>
      <c r="N4337" t="s">
        <v>1024</v>
      </c>
      <c r="O4337" t="s">
        <v>1024</v>
      </c>
      <c r="P4337" t="s">
        <v>842</v>
      </c>
    </row>
    <row r="4338">
      <c r="A4338">
        <f>HYPERLINK("http://bombeiros.sp.gov.br/hidrantes/03individual/3955.html","3955")</f>
      </c>
      <c r="B4338" t="s">
        <v>842</v>
      </c>
      <c r="C4338" t="s">
        <v>964</v>
      </c>
      <c r="D4338" t="s">
        <v>965</v>
      </c>
      <c r="E4338" t="s">
        <v>15</v>
      </c>
      <c r="F4338" t="s">
        <v>13122</v>
      </c>
      <c r="G4338" t="s">
        <v>18041</v>
      </c>
      <c r="H4338" t="s">
        <v>1107</v>
      </c>
      <c r="I4338" t="s">
        <v>1108</v>
      </c>
      <c r="J4338" t="s">
        <v>13123</v>
      </c>
      <c r="K4338" t="s">
        <v>13124</v>
      </c>
      <c r="L4338" t="s">
        <v>21</v>
      </c>
      <c r="M4338" t="s">
        <v>19177</v>
      </c>
      <c r="N4338" t="s">
        <v>1024</v>
      </c>
      <c r="O4338" t="s">
        <v>1024</v>
      </c>
      <c r="P4338" t="s">
        <v>842</v>
      </c>
    </row>
    <row r="4339">
      <c r="A4339">
        <f>HYPERLINK("http://bombeiros.sp.gov.br/hidrantes/03individual/4358.html","4358")</f>
      </c>
      <c r="B4339" t="s">
        <v>842</v>
      </c>
      <c r="C4339" t="s">
        <v>964</v>
      </c>
      <c r="D4339" t="s">
        <v>965</v>
      </c>
      <c r="E4339" t="s">
        <v>15</v>
      </c>
      <c r="F4339" t="s">
        <v>13125</v>
      </c>
      <c r="G4339" t="s">
        <v>18135</v>
      </c>
      <c r="H4339" t="s">
        <v>1112</v>
      </c>
      <c r="I4339" t="s">
        <v>1108</v>
      </c>
      <c r="J4339" t="s">
        <v>13126</v>
      </c>
      <c r="K4339" t="s">
        <v>13127</v>
      </c>
      <c r="L4339" t="s">
        <v>21</v>
      </c>
      <c r="M4339" t="s">
        <v>19177</v>
      </c>
      <c r="N4339" t="s">
        <v>1024</v>
      </c>
      <c r="O4339" t="s">
        <v>1024</v>
      </c>
      <c r="P4339" t="s">
        <v>842</v>
      </c>
    </row>
    <row r="4340">
      <c r="A4340">
        <f>HYPERLINK("http://bombeiros.sp.gov.br/hidrantes/03individual/4361.html","4361")</f>
      </c>
      <c r="B4340" t="s">
        <v>842</v>
      </c>
      <c r="C4340" t="s">
        <v>964</v>
      </c>
      <c r="D4340" t="s">
        <v>965</v>
      </c>
      <c r="E4340" t="s">
        <v>15</v>
      </c>
      <c r="F4340" t="s">
        <v>13128</v>
      </c>
      <c r="G4340" t="s">
        <v>18042</v>
      </c>
      <c r="H4340" t="s">
        <v>1112</v>
      </c>
      <c r="I4340" t="s">
        <v>1108</v>
      </c>
      <c r="J4340" t="s">
        <v>13129</v>
      </c>
      <c r="K4340" t="s">
        <v>13130</v>
      </c>
      <c r="L4340" t="s">
        <v>36</v>
      </c>
      <c r="M4340" t="s">
        <v>19177</v>
      </c>
      <c r="N4340" t="s">
        <v>1024</v>
      </c>
      <c r="O4340" t="s">
        <v>1024</v>
      </c>
      <c r="P4340" t="s">
        <v>842</v>
      </c>
    </row>
    <row r="4341">
      <c r="A4341">
        <f>HYPERLINK("http://bombeiros.sp.gov.br/hidrantes/03individual/4375.html","4375")</f>
      </c>
      <c r="B4341" t="s">
        <v>842</v>
      </c>
      <c r="C4341" t="s">
        <v>964</v>
      </c>
      <c r="D4341" t="s">
        <v>965</v>
      </c>
      <c r="E4341" t="s">
        <v>15</v>
      </c>
      <c r="F4341" t="s">
        <v>13131</v>
      </c>
      <c r="G4341" t="s">
        <v>18145</v>
      </c>
      <c r="H4341" t="s">
        <v>1112</v>
      </c>
      <c r="I4341" t="s">
        <v>1108</v>
      </c>
      <c r="J4341" t="s">
        <v>13132</v>
      </c>
      <c r="K4341" t="s">
        <v>13133</v>
      </c>
      <c r="L4341" t="s">
        <v>21</v>
      </c>
      <c r="M4341" t="s">
        <v>19177</v>
      </c>
      <c r="N4341" t="s">
        <v>1024</v>
      </c>
      <c r="O4341" t="s">
        <v>1024</v>
      </c>
      <c r="P4341" t="s">
        <v>842</v>
      </c>
    </row>
    <row r="4342">
      <c r="A4342">
        <f>HYPERLINK("http://bombeiros.sp.gov.br/hidrantes/03individual/16619.html","16619")</f>
      </c>
      <c r="B4342" t="s">
        <v>842</v>
      </c>
      <c r="C4342" t="s">
        <v>964</v>
      </c>
      <c r="D4342" t="s">
        <v>965</v>
      </c>
      <c r="E4342" t="s">
        <v>15</v>
      </c>
      <c r="F4342" t="s">
        <v>13134</v>
      </c>
      <c r="G4342" t="s">
        <v>18041</v>
      </c>
      <c r="H4342" t="s">
        <v>1112</v>
      </c>
      <c r="I4342" t="s">
        <v>1108</v>
      </c>
      <c r="J4342" t="s">
        <v>13136</v>
      </c>
      <c r="K4342" t="s">
        <v>13137</v>
      </c>
      <c r="L4342" t="s">
        <v>21</v>
      </c>
      <c r="M4342" t="s">
        <v>19177</v>
      </c>
      <c r="N4342" t="s">
        <v>1024</v>
      </c>
      <c r="O4342" t="s">
        <v>1024</v>
      </c>
      <c r="P4342" t="s">
        <v>842</v>
      </c>
    </row>
    <row r="4343">
      <c r="A4343">
        <f>HYPERLINK("http://bombeiros.sp.gov.br/hidrantes/03individual/17855.html","17855")</f>
      </c>
      <c r="B4343" t="s">
        <v>842</v>
      </c>
      <c r="C4343" t="s">
        <v>964</v>
      </c>
      <c r="D4343" t="s">
        <v>965</v>
      </c>
      <c r="E4343" t="s">
        <v>15</v>
      </c>
      <c r="F4343" t="s">
        <v>13138</v>
      </c>
      <c r="G4343" t="s">
        <v>18135</v>
      </c>
      <c r="H4343" t="s">
        <v>1112</v>
      </c>
      <c r="I4343" t="s">
        <v>1108</v>
      </c>
      <c r="J4343" t="s">
        <v>13139</v>
      </c>
      <c r="K4343" t="s">
        <v>13140</v>
      </c>
      <c r="L4343" t="s">
        <v>21</v>
      </c>
      <c r="M4343" t="s">
        <v>19177</v>
      </c>
      <c r="N4343" t="s">
        <v>1024</v>
      </c>
      <c r="O4343" t="s">
        <v>1024</v>
      </c>
      <c r="P4343" t="s">
        <v>842</v>
      </c>
    </row>
    <row r="4344">
      <c r="A4344">
        <f>HYPERLINK("http://bombeiros.sp.gov.br/hidrantes/03individual/26635.html","26635")</f>
      </c>
      <c r="B4344" t="s">
        <v>842</v>
      </c>
      <c r="C4344" t="s">
        <v>964</v>
      </c>
      <c r="D4344" t="s">
        <v>965</v>
      </c>
      <c r="E4344" t="s">
        <v>15</v>
      </c>
      <c r="F4344" t="s">
        <v>969</v>
      </c>
      <c r="G4344" t="s">
        <v>18042</v>
      </c>
      <c r="H4344" t="s">
        <v>1112</v>
      </c>
      <c r="I4344" t="s">
        <v>1108</v>
      </c>
      <c r="J4344" t="s">
        <v>970</v>
      </c>
      <c r="K4344" t="s">
        <v>971</v>
      </c>
      <c r="L4344" t="s">
        <v>21</v>
      </c>
      <c r="M4344" t="s">
        <v>19177</v>
      </c>
      <c r="N4344" t="s">
        <v>1024</v>
      </c>
      <c r="O4344" t="s">
        <v>1024</v>
      </c>
      <c r="P4344" t="s">
        <v>842</v>
      </c>
    </row>
    <row r="4345">
      <c r="A4345">
        <f>HYPERLINK("http://bombeiros.sp.gov.br/hidrantes/03individual/26925.html","26925")</f>
      </c>
      <c r="B4345" t="s">
        <v>842</v>
      </c>
      <c r="C4345" t="s">
        <v>964</v>
      </c>
      <c r="D4345" t="s">
        <v>965</v>
      </c>
      <c r="E4345" t="s">
        <v>15</v>
      </c>
      <c r="F4345" t="s">
        <v>16410</v>
      </c>
      <c r="G4345" t="s">
        <v>18019</v>
      </c>
      <c r="H4345" t="s">
        <v>1112</v>
      </c>
      <c r="I4345" t="s">
        <v>1108</v>
      </c>
      <c r="J4345" t="s">
        <v>16411</v>
      </c>
      <c r="K4345" t="s">
        <v>16412</v>
      </c>
      <c r="L4345" t="s">
        <v>21</v>
      </c>
      <c r="M4345" t="s">
        <v>19177</v>
      </c>
      <c r="N4345" t="s">
        <v>1024</v>
      </c>
      <c r="O4345" t="s">
        <v>1024</v>
      </c>
      <c r="P4345" t="s">
        <v>842</v>
      </c>
    </row>
    <row r="4346">
      <c r="A4346">
        <f>HYPERLINK("http://bombeiros.sp.gov.br/hidrantes/03individual/26926.html","26926")</f>
      </c>
      <c r="B4346" t="s">
        <v>842</v>
      </c>
      <c r="C4346" t="s">
        <v>964</v>
      </c>
      <c r="D4346" t="s">
        <v>965</v>
      </c>
      <c r="E4346" t="s">
        <v>15</v>
      </c>
      <c r="F4346" t="s">
        <v>16413</v>
      </c>
      <c r="G4346" t="s">
        <v>18135</v>
      </c>
      <c r="H4346" t="s">
        <v>1112</v>
      </c>
      <c r="I4346" t="s">
        <v>1108</v>
      </c>
      <c r="J4346" t="s">
        <v>16414</v>
      </c>
      <c r="K4346" t="s">
        <v>16415</v>
      </c>
      <c r="L4346" t="s">
        <v>21</v>
      </c>
      <c r="M4346" t="s">
        <v>19177</v>
      </c>
      <c r="N4346" t="s">
        <v>1024</v>
      </c>
      <c r="O4346" t="s">
        <v>1024</v>
      </c>
      <c r="P4346" t="s">
        <v>842</v>
      </c>
    </row>
    <row r="4347">
      <c r="A4347">
        <f>HYPERLINK("http://bombeiros.sp.gov.br/hidrantes/03individual/393.html","393")</f>
      </c>
      <c r="B4347" t="s">
        <v>842</v>
      </c>
      <c r="C4347" t="s">
        <v>964</v>
      </c>
      <c r="D4347" t="s">
        <v>964</v>
      </c>
      <c r="E4347" t="s">
        <v>64</v>
      </c>
      <c r="F4347" t="s">
        <v>13141</v>
      </c>
      <c r="G4347" t="s">
        <v>18041</v>
      </c>
      <c r="H4347" t="s">
        <v>1112</v>
      </c>
      <c r="I4347" t="s">
        <v>1108</v>
      </c>
      <c r="J4347" t="s">
        <v>13142</v>
      </c>
      <c r="K4347" t="s">
        <v>13143</v>
      </c>
      <c r="L4347" t="s">
        <v>36</v>
      </c>
      <c r="M4347" t="s">
        <v>19177</v>
      </c>
      <c r="N4347" t="s">
        <v>1024</v>
      </c>
      <c r="O4347" t="s">
        <v>1024</v>
      </c>
      <c r="P4347" t="s">
        <v>842</v>
      </c>
    </row>
    <row r="4348">
      <c r="A4348">
        <f>HYPERLINK("http://bombeiros.sp.gov.br/hidrantes/03individual/4373.html","4373")</f>
      </c>
      <c r="B4348" t="s">
        <v>842</v>
      </c>
      <c r="C4348" t="s">
        <v>964</v>
      </c>
      <c r="D4348" t="s">
        <v>964</v>
      </c>
      <c r="E4348" t="s">
        <v>64</v>
      </c>
      <c r="F4348" t="s">
        <v>13144</v>
      </c>
      <c r="G4348" t="s">
        <v>18145</v>
      </c>
      <c r="H4348" t="s">
        <v>1121</v>
      </c>
      <c r="I4348" t="s">
        <v>1117</v>
      </c>
      <c r="J4348" t="s">
        <v>13145</v>
      </c>
      <c r="K4348" t="s">
        <v>13146</v>
      </c>
      <c r="L4348" t="s">
        <v>36</v>
      </c>
      <c r="M4348" t="s">
        <v>19177</v>
      </c>
      <c r="N4348" t="s">
        <v>1024</v>
      </c>
      <c r="O4348" t="s">
        <v>1024</v>
      </c>
      <c r="P4348" t="s">
        <v>842</v>
      </c>
    </row>
    <row r="4349">
      <c r="A4349">
        <f>HYPERLINK("http://bombeiros.sp.gov.br/hidrantes/03individual/16590.html","16590")</f>
      </c>
      <c r="B4349" t="s">
        <v>842</v>
      </c>
      <c r="C4349" t="s">
        <v>964</v>
      </c>
      <c r="D4349" t="s">
        <v>964</v>
      </c>
      <c r="E4349" t="s">
        <v>64</v>
      </c>
      <c r="F4349" t="s">
        <v>13147</v>
      </c>
      <c r="G4349" t="s">
        <v>18089</v>
      </c>
      <c r="H4349" t="s">
        <v>1112</v>
      </c>
      <c r="I4349" t="s">
        <v>1108</v>
      </c>
      <c r="J4349" t="s">
        <v>13148</v>
      </c>
      <c r="K4349" t="s">
        <v>13149</v>
      </c>
      <c r="L4349" t="s">
        <v>21</v>
      </c>
      <c r="M4349" t="s">
        <v>19177</v>
      </c>
      <c r="N4349" t="s">
        <v>1024</v>
      </c>
      <c r="O4349" t="s">
        <v>1024</v>
      </c>
      <c r="P4349" t="s">
        <v>842</v>
      </c>
    </row>
    <row r="4350">
      <c r="A4350">
        <f>HYPERLINK("http://bombeiros.sp.gov.br/hidrantes/03individual/360.html","360")</f>
      </c>
      <c r="B4350" t="s">
        <v>842</v>
      </c>
      <c r="C4350" t="s">
        <v>964</v>
      </c>
      <c r="D4350" t="s">
        <v>964</v>
      </c>
      <c r="E4350" t="s">
        <v>15</v>
      </c>
      <c r="F4350" t="s">
        <v>13150</v>
      </c>
      <c r="G4350" t="s">
        <v>18145</v>
      </c>
      <c r="H4350" t="s">
        <v>1112</v>
      </c>
      <c r="I4350" t="s">
        <v>1108</v>
      </c>
      <c r="J4350" t="s">
        <v>13151</v>
      </c>
      <c r="K4350" t="s">
        <v>13152</v>
      </c>
      <c r="L4350" t="s">
        <v>21</v>
      </c>
      <c r="M4350" t="s">
        <v>19177</v>
      </c>
      <c r="N4350" t="s">
        <v>1024</v>
      </c>
      <c r="O4350" t="s">
        <v>1024</v>
      </c>
      <c r="P4350" t="s">
        <v>842</v>
      </c>
    </row>
    <row r="4351">
      <c r="A4351">
        <f>HYPERLINK("http://bombeiros.sp.gov.br/hidrantes/03individual/361.html","361")</f>
      </c>
      <c r="B4351" t="s">
        <v>842</v>
      </c>
      <c r="C4351" t="s">
        <v>964</v>
      </c>
      <c r="D4351" t="s">
        <v>964</v>
      </c>
      <c r="E4351" t="s">
        <v>15</v>
      </c>
      <c r="F4351" t="s">
        <v>13153</v>
      </c>
      <c r="G4351" t="s">
        <v>18123</v>
      </c>
      <c r="H4351" t="s">
        <v>1112</v>
      </c>
      <c r="I4351" t="s">
        <v>1108</v>
      </c>
      <c r="J4351" t="s">
        <v>13154</v>
      </c>
      <c r="K4351" t="s">
        <v>13155</v>
      </c>
      <c r="L4351" t="s">
        <v>21</v>
      </c>
      <c r="M4351" t="s">
        <v>19177</v>
      </c>
      <c r="N4351" t="s">
        <v>1024</v>
      </c>
      <c r="O4351" t="s">
        <v>1024</v>
      </c>
      <c r="P4351" t="s">
        <v>842</v>
      </c>
    </row>
    <row r="4352">
      <c r="A4352">
        <f>HYPERLINK("http://bombeiros.sp.gov.br/hidrantes/03individual/459.html","459")</f>
      </c>
      <c r="B4352" t="s">
        <v>842</v>
      </c>
      <c r="C4352" t="s">
        <v>964</v>
      </c>
      <c r="D4352" t="s">
        <v>964</v>
      </c>
      <c r="E4352" t="s">
        <v>15</v>
      </c>
      <c r="F4352" t="s">
        <v>13159</v>
      </c>
      <c r="G4352" t="s">
        <v>18199</v>
      </c>
      <c r="H4352" t="s">
        <v>1112</v>
      </c>
      <c r="I4352" t="s">
        <v>1108</v>
      </c>
      <c r="J4352" t="s">
        <v>13160</v>
      </c>
      <c r="K4352" t="s">
        <v>13161</v>
      </c>
      <c r="L4352" t="s">
        <v>21</v>
      </c>
      <c r="M4352" t="s">
        <v>19177</v>
      </c>
      <c r="N4352" t="s">
        <v>1024</v>
      </c>
      <c r="O4352" t="s">
        <v>1024</v>
      </c>
      <c r="P4352" t="s">
        <v>842</v>
      </c>
    </row>
    <row r="4353">
      <c r="A4353">
        <f>HYPERLINK("http://bombeiros.sp.gov.br/hidrantes/03individual/3827.html","3827")</f>
      </c>
      <c r="B4353" t="s">
        <v>842</v>
      </c>
      <c r="C4353" t="s">
        <v>964</v>
      </c>
      <c r="D4353" t="s">
        <v>964</v>
      </c>
      <c r="E4353" t="s">
        <v>15</v>
      </c>
      <c r="F4353" t="s">
        <v>13162</v>
      </c>
      <c r="G4353" t="s">
        <v>18046</v>
      </c>
      <c r="H4353" t="s">
        <v>1112</v>
      </c>
      <c r="I4353" t="s">
        <v>1108</v>
      </c>
      <c r="J4353" t="s">
        <v>13163</v>
      </c>
      <c r="K4353" t="s">
        <v>13164</v>
      </c>
      <c r="L4353" t="s">
        <v>21</v>
      </c>
      <c r="M4353" t="s">
        <v>19177</v>
      </c>
      <c r="N4353" t="s">
        <v>1024</v>
      </c>
      <c r="O4353" t="s">
        <v>1024</v>
      </c>
      <c r="P4353" t="s">
        <v>842</v>
      </c>
    </row>
    <row r="4354">
      <c r="A4354">
        <f>HYPERLINK("http://bombeiros.sp.gov.br/hidrantes/03individual/3828.html","3828")</f>
      </c>
      <c r="B4354" t="s">
        <v>842</v>
      </c>
      <c r="C4354" t="s">
        <v>964</v>
      </c>
      <c r="D4354" t="s">
        <v>964</v>
      </c>
      <c r="E4354" t="s">
        <v>15</v>
      </c>
      <c r="F4354" t="s">
        <v>13165</v>
      </c>
      <c r="G4354" t="s">
        <v>18046</v>
      </c>
      <c r="H4354" t="s">
        <v>1112</v>
      </c>
      <c r="I4354" t="s">
        <v>1108</v>
      </c>
      <c r="J4354" t="s">
        <v>13166</v>
      </c>
      <c r="K4354" t="s">
        <v>13167</v>
      </c>
      <c r="L4354" t="s">
        <v>21</v>
      </c>
      <c r="M4354" t="s">
        <v>19177</v>
      </c>
      <c r="N4354" t="s">
        <v>1024</v>
      </c>
      <c r="O4354" t="s">
        <v>1024</v>
      </c>
      <c r="P4354" t="s">
        <v>842</v>
      </c>
    </row>
    <row r="4355">
      <c r="A4355">
        <f>HYPERLINK("http://bombeiros.sp.gov.br/hidrantes/03individual/3829.html","3829")</f>
      </c>
      <c r="B4355" t="s">
        <v>842</v>
      </c>
      <c r="C4355" t="s">
        <v>964</v>
      </c>
      <c r="D4355" t="s">
        <v>964</v>
      </c>
      <c r="E4355" t="s">
        <v>15</v>
      </c>
      <c r="F4355" t="s">
        <v>13168</v>
      </c>
      <c r="G4355" t="s">
        <v>18042</v>
      </c>
      <c r="H4355" t="s">
        <v>1112</v>
      </c>
      <c r="I4355" t="s">
        <v>1108</v>
      </c>
      <c r="J4355" t="s">
        <v>13169</v>
      </c>
      <c r="K4355" t="s">
        <v>13170</v>
      </c>
      <c r="L4355" t="s">
        <v>21</v>
      </c>
      <c r="M4355" t="s">
        <v>19177</v>
      </c>
      <c r="N4355" t="s">
        <v>1024</v>
      </c>
      <c r="O4355" t="s">
        <v>1024</v>
      </c>
      <c r="P4355" t="s">
        <v>842</v>
      </c>
    </row>
    <row r="4356">
      <c r="A4356">
        <f>HYPERLINK("http://bombeiros.sp.gov.br/hidrantes/03individual/3831.html","3831")</f>
      </c>
      <c r="B4356" t="s">
        <v>842</v>
      </c>
      <c r="C4356" t="s">
        <v>964</v>
      </c>
      <c r="D4356" t="s">
        <v>964</v>
      </c>
      <c r="E4356" t="s">
        <v>15</v>
      </c>
      <c r="F4356" t="s">
        <v>13171</v>
      </c>
      <c r="G4356" t="s">
        <v>18094</v>
      </c>
      <c r="H4356" t="s">
        <v>1112</v>
      </c>
      <c r="I4356" t="s">
        <v>1108</v>
      </c>
      <c r="J4356" t="s">
        <v>13172</v>
      </c>
      <c r="K4356" t="s">
        <v>13173</v>
      </c>
      <c r="L4356" t="s">
        <v>21</v>
      </c>
      <c r="M4356" t="s">
        <v>19177</v>
      </c>
      <c r="N4356" t="s">
        <v>1024</v>
      </c>
      <c r="O4356" t="s">
        <v>1024</v>
      </c>
      <c r="P4356" t="s">
        <v>842</v>
      </c>
    </row>
    <row r="4357">
      <c r="A4357">
        <f>HYPERLINK("http://bombeiros.sp.gov.br/hidrantes/03individual/3848.html","3848")</f>
      </c>
      <c r="B4357" t="s">
        <v>842</v>
      </c>
      <c r="C4357" t="s">
        <v>964</v>
      </c>
      <c r="D4357" t="s">
        <v>964</v>
      </c>
      <c r="E4357" t="s">
        <v>15</v>
      </c>
      <c r="F4357" t="s">
        <v>13177</v>
      </c>
      <c r="G4357" t="s">
        <v>18094</v>
      </c>
      <c r="H4357" t="s">
        <v>1112</v>
      </c>
      <c r="I4357" t="s">
        <v>1108</v>
      </c>
      <c r="J4357" t="s">
        <v>13178</v>
      </c>
      <c r="K4357" t="s">
        <v>13179</v>
      </c>
      <c r="L4357" t="s">
        <v>21</v>
      </c>
      <c r="M4357" t="s">
        <v>19177</v>
      </c>
      <c r="N4357" t="s">
        <v>1024</v>
      </c>
      <c r="O4357" t="s">
        <v>1024</v>
      </c>
      <c r="P4357" t="s">
        <v>842</v>
      </c>
    </row>
    <row r="4358">
      <c r="A4358">
        <f>HYPERLINK("http://bombeiros.sp.gov.br/hidrantes/03individual/3849.html","3849")</f>
      </c>
      <c r="B4358" t="s">
        <v>842</v>
      </c>
      <c r="C4358" t="s">
        <v>964</v>
      </c>
      <c r="D4358" t="s">
        <v>964</v>
      </c>
      <c r="E4358" t="s">
        <v>15</v>
      </c>
      <c r="F4358" t="s">
        <v>13180</v>
      </c>
      <c r="G4358" t="s">
        <v>18531</v>
      </c>
      <c r="H4358" t="s">
        <v>1112</v>
      </c>
      <c r="I4358" t="s">
        <v>1108</v>
      </c>
      <c r="J4358" t="s">
        <v>13181</v>
      </c>
      <c r="K4358" t="s">
        <v>13182</v>
      </c>
      <c r="L4358" t="s">
        <v>21</v>
      </c>
      <c r="M4358" t="s">
        <v>19177</v>
      </c>
      <c r="N4358" t="s">
        <v>1024</v>
      </c>
      <c r="O4358" t="s">
        <v>1024</v>
      </c>
      <c r="P4358" t="s">
        <v>842</v>
      </c>
    </row>
    <row r="4359">
      <c r="A4359">
        <f>HYPERLINK("http://bombeiros.sp.gov.br/hidrantes/03individual/3850.html","3850")</f>
      </c>
      <c r="B4359" t="s">
        <v>842</v>
      </c>
      <c r="C4359" t="s">
        <v>964</v>
      </c>
      <c r="D4359" t="s">
        <v>964</v>
      </c>
      <c r="E4359" t="s">
        <v>15</v>
      </c>
      <c r="F4359" t="s">
        <v>13183</v>
      </c>
      <c r="G4359" t="s">
        <v>18094</v>
      </c>
      <c r="H4359" t="s">
        <v>1112</v>
      </c>
      <c r="I4359" t="s">
        <v>1108</v>
      </c>
      <c r="J4359" t="s">
        <v>13184</v>
      </c>
      <c r="K4359" t="s">
        <v>13185</v>
      </c>
      <c r="L4359" t="s">
        <v>21</v>
      </c>
      <c r="M4359" t="s">
        <v>19177</v>
      </c>
      <c r="N4359" t="s">
        <v>1024</v>
      </c>
      <c r="O4359" t="s">
        <v>1024</v>
      </c>
      <c r="P4359" t="s">
        <v>842</v>
      </c>
    </row>
    <row r="4360">
      <c r="A4360">
        <f>HYPERLINK("http://bombeiros.sp.gov.br/hidrantes/03individual/3851.html","3851")</f>
      </c>
      <c r="B4360" t="s">
        <v>842</v>
      </c>
      <c r="C4360" t="s">
        <v>964</v>
      </c>
      <c r="D4360" t="s">
        <v>964</v>
      </c>
      <c r="E4360" t="s">
        <v>15</v>
      </c>
      <c r="F4360" t="s">
        <v>13186</v>
      </c>
      <c r="G4360" t="s">
        <v>18145</v>
      </c>
      <c r="H4360" t="s">
        <v>1112</v>
      </c>
      <c r="I4360" t="s">
        <v>1108</v>
      </c>
      <c r="J4360" t="s">
        <v>13187</v>
      </c>
      <c r="K4360" t="s">
        <v>13188</v>
      </c>
      <c r="L4360" t="s">
        <v>21</v>
      </c>
      <c r="M4360" t="s">
        <v>19177</v>
      </c>
      <c r="N4360" t="s">
        <v>1024</v>
      </c>
      <c r="O4360" t="s">
        <v>1024</v>
      </c>
      <c r="P4360" t="s">
        <v>842</v>
      </c>
    </row>
    <row r="4361">
      <c r="A4361">
        <f>HYPERLINK("http://bombeiros.sp.gov.br/hidrantes/03individual/3852.html","3852")</f>
      </c>
      <c r="B4361" t="s">
        <v>842</v>
      </c>
      <c r="C4361" t="s">
        <v>964</v>
      </c>
      <c r="D4361" t="s">
        <v>964</v>
      </c>
      <c r="E4361" t="s">
        <v>15</v>
      </c>
      <c r="F4361" t="s">
        <v>13189</v>
      </c>
      <c r="G4361" t="s">
        <v>18153</v>
      </c>
      <c r="H4361" t="s">
        <v>1112</v>
      </c>
      <c r="I4361" t="s">
        <v>1108</v>
      </c>
      <c r="J4361" t="s">
        <v>13190</v>
      </c>
      <c r="K4361" t="s">
        <v>13191</v>
      </c>
      <c r="L4361" t="s">
        <v>21</v>
      </c>
      <c r="M4361" t="s">
        <v>19177</v>
      </c>
      <c r="N4361" t="s">
        <v>1024</v>
      </c>
      <c r="O4361" t="s">
        <v>1024</v>
      </c>
      <c r="P4361" t="s">
        <v>842</v>
      </c>
    </row>
    <row r="4362">
      <c r="A4362">
        <f>HYPERLINK("http://bombeiros.sp.gov.br/hidrantes/03individual/3857.html","3857")</f>
      </c>
      <c r="B4362" t="s">
        <v>842</v>
      </c>
      <c r="C4362" t="s">
        <v>964</v>
      </c>
      <c r="D4362" t="s">
        <v>964</v>
      </c>
      <c r="E4362" t="s">
        <v>15</v>
      </c>
      <c r="F4362" t="s">
        <v>13192</v>
      </c>
      <c r="G4362" t="s">
        <v>18153</v>
      </c>
      <c r="H4362" t="s">
        <v>1112</v>
      </c>
      <c r="I4362" t="s">
        <v>1108</v>
      </c>
      <c r="J4362" t="s">
        <v>13193</v>
      </c>
      <c r="K4362" t="s">
        <v>13194</v>
      </c>
      <c r="L4362" t="s">
        <v>21</v>
      </c>
      <c r="M4362" t="s">
        <v>19177</v>
      </c>
      <c r="N4362" t="s">
        <v>1024</v>
      </c>
      <c r="O4362" t="s">
        <v>1024</v>
      </c>
      <c r="P4362" t="s">
        <v>842</v>
      </c>
    </row>
    <row r="4363">
      <c r="A4363">
        <f>HYPERLINK("http://bombeiros.sp.gov.br/hidrantes/03individual/4370.html","4370")</f>
      </c>
      <c r="B4363" t="s">
        <v>842</v>
      </c>
      <c r="C4363" t="s">
        <v>964</v>
      </c>
      <c r="D4363" t="s">
        <v>964</v>
      </c>
      <c r="E4363" t="s">
        <v>15</v>
      </c>
      <c r="F4363" t="s">
        <v>13198</v>
      </c>
      <c r="G4363" t="s">
        <v>18531</v>
      </c>
      <c r="H4363" t="s">
        <v>1112</v>
      </c>
      <c r="I4363" t="s">
        <v>1108</v>
      </c>
      <c r="J4363" t="s">
        <v>13199</v>
      </c>
      <c r="K4363" t="s">
        <v>13200</v>
      </c>
      <c r="L4363" t="s">
        <v>21</v>
      </c>
      <c r="M4363" t="s">
        <v>19177</v>
      </c>
      <c r="N4363" t="s">
        <v>1024</v>
      </c>
      <c r="O4363" t="s">
        <v>1024</v>
      </c>
      <c r="P4363" t="s">
        <v>842</v>
      </c>
    </row>
    <row r="4364">
      <c r="A4364">
        <f>HYPERLINK("http://bombeiros.sp.gov.br/hidrantes/03individual/4371.html","4371")</f>
      </c>
      <c r="B4364" t="s">
        <v>842</v>
      </c>
      <c r="C4364" t="s">
        <v>964</v>
      </c>
      <c r="D4364" t="s">
        <v>964</v>
      </c>
      <c r="E4364" t="s">
        <v>15</v>
      </c>
      <c r="F4364" t="s">
        <v>13201</v>
      </c>
      <c r="G4364" t="s">
        <v>18145</v>
      </c>
      <c r="H4364" t="s">
        <v>1112</v>
      </c>
      <c r="I4364" t="s">
        <v>1108</v>
      </c>
      <c r="J4364" t="s">
        <v>13202</v>
      </c>
      <c r="K4364" t="s">
        <v>13203</v>
      </c>
      <c r="L4364" t="s">
        <v>21</v>
      </c>
      <c r="M4364" t="s">
        <v>19177</v>
      </c>
      <c r="N4364" t="s">
        <v>1024</v>
      </c>
      <c r="O4364" t="s">
        <v>1024</v>
      </c>
      <c r="P4364" t="s">
        <v>842</v>
      </c>
    </row>
    <row r="4365">
      <c r="A4365">
        <f>HYPERLINK("http://bombeiros.sp.gov.br/hidrantes/03individual/4372.html","4372")</f>
      </c>
      <c r="B4365" t="s">
        <v>842</v>
      </c>
      <c r="C4365" t="s">
        <v>964</v>
      </c>
      <c r="D4365" t="s">
        <v>964</v>
      </c>
      <c r="E4365" t="s">
        <v>15</v>
      </c>
      <c r="F4365" t="s">
        <v>13204</v>
      </c>
      <c r="G4365" t="s">
        <v>18041</v>
      </c>
      <c r="H4365" t="s">
        <v>1112</v>
      </c>
      <c r="I4365" t="s">
        <v>1108</v>
      </c>
      <c r="J4365" t="s">
        <v>13205</v>
      </c>
      <c r="K4365" t="s">
        <v>13206</v>
      </c>
      <c r="L4365" t="s">
        <v>21</v>
      </c>
      <c r="M4365" t="s">
        <v>19177</v>
      </c>
      <c r="N4365" t="s">
        <v>1024</v>
      </c>
      <c r="O4365" t="s">
        <v>1024</v>
      </c>
      <c r="P4365" t="s">
        <v>842</v>
      </c>
    </row>
    <row r="4366">
      <c r="A4366">
        <f>HYPERLINK("http://bombeiros.sp.gov.br/hidrantes/03individual/17851.html","17851")</f>
      </c>
      <c r="B4366" t="s">
        <v>842</v>
      </c>
      <c r="C4366" t="s">
        <v>964</v>
      </c>
      <c r="D4366" t="s">
        <v>964</v>
      </c>
      <c r="E4366" t="s">
        <v>15</v>
      </c>
      <c r="F4366" t="s">
        <v>13213</v>
      </c>
      <c r="G4366" t="s">
        <v>18041</v>
      </c>
      <c r="H4366" t="s">
        <v>1112</v>
      </c>
      <c r="I4366" t="s">
        <v>1108</v>
      </c>
      <c r="J4366" t="s">
        <v>17421</v>
      </c>
      <c r="K4366" t="s">
        <v>17422</v>
      </c>
      <c r="L4366" t="s">
        <v>21</v>
      </c>
      <c r="M4366" t="s">
        <v>19177</v>
      </c>
      <c r="N4366" t="s">
        <v>1024</v>
      </c>
      <c r="O4366" t="s">
        <v>1024</v>
      </c>
      <c r="P4366" t="s">
        <v>842</v>
      </c>
    </row>
    <row r="4367">
      <c r="A4367">
        <f>HYPERLINK("http://bombeiros.sp.gov.br/hidrantes/03individual/17871.html","17871")</f>
      </c>
      <c r="B4367" t="s">
        <v>842</v>
      </c>
      <c r="C4367" t="s">
        <v>964</v>
      </c>
      <c r="D4367" t="s">
        <v>964</v>
      </c>
      <c r="E4367" t="s">
        <v>15</v>
      </c>
      <c r="F4367" t="s">
        <v>13216</v>
      </c>
      <c r="G4367" t="s">
        <v>18065</v>
      </c>
      <c r="H4367" t="s">
        <v>1112</v>
      </c>
      <c r="I4367" t="s">
        <v>1108</v>
      </c>
      <c r="J4367" t="s">
        <v>16547</v>
      </c>
      <c r="K4367" t="s">
        <v>16548</v>
      </c>
      <c r="L4367" t="s">
        <v>21</v>
      </c>
      <c r="M4367" t="s">
        <v>19177</v>
      </c>
      <c r="N4367" t="s">
        <v>1024</v>
      </c>
      <c r="O4367" t="s">
        <v>1024</v>
      </c>
      <c r="P4367" t="s">
        <v>842</v>
      </c>
    </row>
    <row r="4368">
      <c r="A4368">
        <f>HYPERLINK("http://bombeiros.sp.gov.br/hidrantes/03individual/363.html","363")</f>
      </c>
      <c r="B4368" t="s">
        <v>842</v>
      </c>
      <c r="C4368" t="s">
        <v>964</v>
      </c>
      <c r="D4368" t="s">
        <v>13219</v>
      </c>
      <c r="E4368" t="s">
        <v>64</v>
      </c>
      <c r="F4368" t="s">
        <v>13220</v>
      </c>
      <c r="G4368" t="s">
        <v>18089</v>
      </c>
      <c r="H4368" t="s">
        <v>1107</v>
      </c>
      <c r="I4368" t="s">
        <v>1108</v>
      </c>
      <c r="J4368" t="s">
        <v>13221</v>
      </c>
      <c r="K4368" t="s">
        <v>13222</v>
      </c>
      <c r="L4368" t="s">
        <v>21</v>
      </c>
      <c r="M4368" t="s">
        <v>19177</v>
      </c>
      <c r="N4368" t="s">
        <v>1024</v>
      </c>
      <c r="O4368" t="s">
        <v>1024</v>
      </c>
      <c r="P4368" t="s">
        <v>842</v>
      </c>
    </row>
    <row r="4369">
      <c r="A4369">
        <f>HYPERLINK("http://bombeiros.sp.gov.br/hidrantes/03individual/3773.html","3773")</f>
      </c>
      <c r="B4369" t="s">
        <v>842</v>
      </c>
      <c r="C4369" t="s">
        <v>964</v>
      </c>
      <c r="D4369" t="s">
        <v>13219</v>
      </c>
      <c r="E4369" t="s">
        <v>64</v>
      </c>
      <c r="F4369" t="s">
        <v>13223</v>
      </c>
      <c r="G4369" t="s">
        <v>18089</v>
      </c>
      <c r="H4369" t="s">
        <v>1121</v>
      </c>
      <c r="I4369" t="s">
        <v>1117</v>
      </c>
      <c r="J4369" t="s">
        <v>13224</v>
      </c>
      <c r="K4369" t="s">
        <v>13225</v>
      </c>
      <c r="L4369" t="s">
        <v>21</v>
      </c>
      <c r="M4369" t="s">
        <v>19177</v>
      </c>
      <c r="N4369" t="s">
        <v>1024</v>
      </c>
      <c r="O4369" t="s">
        <v>1024</v>
      </c>
      <c r="P4369" t="s">
        <v>842</v>
      </c>
    </row>
    <row r="4370">
      <c r="A4370">
        <f>HYPERLINK("http://bombeiros.sp.gov.br/hidrantes/03individual/3779.html","3779")</f>
      </c>
      <c r="B4370" t="s">
        <v>842</v>
      </c>
      <c r="C4370" t="s">
        <v>964</v>
      </c>
      <c r="D4370" t="s">
        <v>13219</v>
      </c>
      <c r="E4370" t="s">
        <v>64</v>
      </c>
      <c r="F4370" t="s">
        <v>13226</v>
      </c>
      <c r="G4370" t="s">
        <v>18089</v>
      </c>
      <c r="H4370" t="s">
        <v>1112</v>
      </c>
      <c r="I4370" t="s">
        <v>1108</v>
      </c>
      <c r="J4370" t="s">
        <v>13227</v>
      </c>
      <c r="K4370" t="s">
        <v>13228</v>
      </c>
      <c r="L4370" t="s">
        <v>21</v>
      </c>
      <c r="M4370" t="s">
        <v>19177</v>
      </c>
      <c r="N4370" t="s">
        <v>1024</v>
      </c>
      <c r="O4370" t="s">
        <v>1024</v>
      </c>
      <c r="P4370" t="s">
        <v>842</v>
      </c>
    </row>
    <row r="4371">
      <c r="A4371">
        <f>HYPERLINK("http://bombeiros.sp.gov.br/hidrantes/03individual/10009.html","10009")</f>
      </c>
      <c r="B4371" t="s">
        <v>842</v>
      </c>
      <c r="C4371" t="s">
        <v>964</v>
      </c>
      <c r="D4371" t="s">
        <v>13219</v>
      </c>
      <c r="E4371" t="s">
        <v>64</v>
      </c>
      <c r="F4371" t="s">
        <v>13229</v>
      </c>
      <c r="G4371" t="s">
        <v>18145</v>
      </c>
      <c r="H4371" t="s">
        <v>1112</v>
      </c>
      <c r="I4371" t="s">
        <v>1108</v>
      </c>
      <c r="J4371" t="s">
        <v>13230</v>
      </c>
      <c r="K4371" t="s">
        <v>13231</v>
      </c>
      <c r="L4371" t="s">
        <v>21</v>
      </c>
      <c r="M4371" t="s">
        <v>19177</v>
      </c>
      <c r="N4371" t="s">
        <v>1024</v>
      </c>
      <c r="O4371" t="s">
        <v>1024</v>
      </c>
      <c r="P4371" t="s">
        <v>842</v>
      </c>
    </row>
    <row r="4372">
      <c r="A4372">
        <f>HYPERLINK("http://bombeiros.sp.gov.br/hidrantes/03individual/10010.html","10010")</f>
      </c>
      <c r="B4372" t="s">
        <v>842</v>
      </c>
      <c r="C4372" t="s">
        <v>964</v>
      </c>
      <c r="D4372" t="s">
        <v>13219</v>
      </c>
      <c r="E4372" t="s">
        <v>64</v>
      </c>
      <c r="F4372" t="s">
        <v>13232</v>
      </c>
      <c r="G4372" t="s">
        <v>18256</v>
      </c>
      <c r="H4372" t="s">
        <v>1112</v>
      </c>
      <c r="I4372" t="s">
        <v>1108</v>
      </c>
      <c r="J4372" t="s">
        <v>13233</v>
      </c>
      <c r="K4372" t="s">
        <v>13234</v>
      </c>
      <c r="L4372" t="s">
        <v>21</v>
      </c>
      <c r="M4372" t="s">
        <v>19177</v>
      </c>
      <c r="N4372" t="s">
        <v>1024</v>
      </c>
      <c r="O4372" t="s">
        <v>1024</v>
      </c>
      <c r="P4372" t="s">
        <v>842</v>
      </c>
    </row>
    <row r="4373">
      <c r="A4373">
        <f>HYPERLINK("http://bombeiros.sp.gov.br/hidrantes/03individual/311.html","311")</f>
      </c>
      <c r="B4373" t="s">
        <v>842</v>
      </c>
      <c r="C4373" t="s">
        <v>964</v>
      </c>
      <c r="D4373" t="s">
        <v>13219</v>
      </c>
      <c r="E4373" t="s">
        <v>15</v>
      </c>
      <c r="F4373" t="s">
        <v>13235</v>
      </c>
      <c r="G4373" t="s">
        <v>18089</v>
      </c>
      <c r="H4373" t="s">
        <v>1107</v>
      </c>
      <c r="I4373" t="s">
        <v>1108</v>
      </c>
      <c r="J4373" t="s">
        <v>13236</v>
      </c>
      <c r="K4373" t="s">
        <v>13237</v>
      </c>
      <c r="L4373" t="s">
        <v>21</v>
      </c>
      <c r="M4373" t="s">
        <v>19177</v>
      </c>
      <c r="N4373" t="s">
        <v>1024</v>
      </c>
      <c r="O4373" t="s">
        <v>1024</v>
      </c>
      <c r="P4373" t="s">
        <v>842</v>
      </c>
    </row>
    <row r="4374">
      <c r="A4374">
        <f>HYPERLINK("http://bombeiros.sp.gov.br/hidrantes/03individual/312.html","312")</f>
      </c>
      <c r="B4374" t="s">
        <v>842</v>
      </c>
      <c r="C4374" t="s">
        <v>964</v>
      </c>
      <c r="D4374" t="s">
        <v>13219</v>
      </c>
      <c r="E4374" t="s">
        <v>15</v>
      </c>
      <c r="F4374" t="s">
        <v>13238</v>
      </c>
      <c r="G4374" t="s">
        <v>18001</v>
      </c>
      <c r="H4374" t="s">
        <v>1112</v>
      </c>
      <c r="I4374" t="s">
        <v>1108</v>
      </c>
      <c r="J4374" t="s">
        <v>15879</v>
      </c>
      <c r="K4374" t="s">
        <v>15880</v>
      </c>
      <c r="L4374" t="s">
        <v>21</v>
      </c>
      <c r="M4374" t="s">
        <v>19177</v>
      </c>
      <c r="N4374" t="s">
        <v>1024</v>
      </c>
      <c r="O4374" t="s">
        <v>1024</v>
      </c>
      <c r="P4374" t="s">
        <v>842</v>
      </c>
    </row>
    <row r="4375">
      <c r="A4375">
        <f>HYPERLINK("http://bombeiros.sp.gov.br/hidrantes/03individual/364.html","364")</f>
      </c>
      <c r="B4375" t="s">
        <v>842</v>
      </c>
      <c r="C4375" t="s">
        <v>964</v>
      </c>
      <c r="D4375" t="s">
        <v>13219</v>
      </c>
      <c r="E4375" t="s">
        <v>15</v>
      </c>
      <c r="F4375" t="s">
        <v>13241</v>
      </c>
      <c r="G4375" t="s">
        <v>18089</v>
      </c>
      <c r="H4375" t="s">
        <v>1112</v>
      </c>
      <c r="I4375" t="s">
        <v>1108</v>
      </c>
      <c r="J4375" t="s">
        <v>13242</v>
      </c>
      <c r="K4375" t="s">
        <v>13243</v>
      </c>
      <c r="L4375" t="s">
        <v>21</v>
      </c>
      <c r="M4375" t="s">
        <v>19177</v>
      </c>
      <c r="N4375" t="s">
        <v>1024</v>
      </c>
      <c r="O4375" t="s">
        <v>1024</v>
      </c>
      <c r="P4375" t="s">
        <v>842</v>
      </c>
    </row>
    <row r="4376">
      <c r="A4376">
        <f>HYPERLINK("http://bombeiros.sp.gov.br/hidrantes/03individual/407.html","407")</f>
      </c>
      <c r="B4376" t="s">
        <v>842</v>
      </c>
      <c r="C4376" t="s">
        <v>964</v>
      </c>
      <c r="D4376" t="s">
        <v>13219</v>
      </c>
      <c r="E4376" t="s">
        <v>15</v>
      </c>
      <c r="F4376" t="s">
        <v>13244</v>
      </c>
      <c r="G4376" t="s">
        <v>18135</v>
      </c>
      <c r="H4376" t="s">
        <v>1112</v>
      </c>
      <c r="I4376" t="s">
        <v>1108</v>
      </c>
      <c r="J4376" t="s">
        <v>13245</v>
      </c>
      <c r="K4376" t="s">
        <v>13246</v>
      </c>
      <c r="L4376" t="s">
        <v>21</v>
      </c>
      <c r="M4376" t="s">
        <v>19177</v>
      </c>
      <c r="N4376" t="s">
        <v>1024</v>
      </c>
      <c r="O4376" t="s">
        <v>1024</v>
      </c>
      <c r="P4376" t="s">
        <v>842</v>
      </c>
    </row>
    <row r="4377">
      <c r="A4377">
        <f>HYPERLINK("http://bombeiros.sp.gov.br/hidrantes/03individual/408.html","408")</f>
      </c>
      <c r="B4377" t="s">
        <v>842</v>
      </c>
      <c r="C4377" t="s">
        <v>964</v>
      </c>
      <c r="D4377" t="s">
        <v>13219</v>
      </c>
      <c r="E4377" t="s">
        <v>15</v>
      </c>
      <c r="F4377" t="s">
        <v>13247</v>
      </c>
      <c r="G4377" t="s">
        <v>18003</v>
      </c>
      <c r="H4377" t="s">
        <v>1112</v>
      </c>
      <c r="I4377" t="s">
        <v>1108</v>
      </c>
      <c r="J4377" t="s">
        <v>13248</v>
      </c>
      <c r="K4377" t="s">
        <v>13249</v>
      </c>
      <c r="L4377" t="s">
        <v>21</v>
      </c>
      <c r="M4377" t="s">
        <v>19177</v>
      </c>
      <c r="N4377" t="s">
        <v>1024</v>
      </c>
      <c r="O4377" t="s">
        <v>1024</v>
      </c>
      <c r="P4377" t="s">
        <v>842</v>
      </c>
    </row>
    <row r="4378">
      <c r="A4378">
        <f>HYPERLINK("http://bombeiros.sp.gov.br/hidrantes/03individual/443.html","443")</f>
      </c>
      <c r="B4378" t="s">
        <v>842</v>
      </c>
      <c r="C4378" t="s">
        <v>964</v>
      </c>
      <c r="D4378" t="s">
        <v>13219</v>
      </c>
      <c r="E4378" t="s">
        <v>15</v>
      </c>
      <c r="F4378" t="s">
        <v>13250</v>
      </c>
      <c r="G4378" t="s">
        <v>18135</v>
      </c>
      <c r="H4378" t="s">
        <v>1112</v>
      </c>
      <c r="I4378" t="s">
        <v>1108</v>
      </c>
      <c r="J4378" t="s">
        <v>13251</v>
      </c>
      <c r="K4378" t="s">
        <v>13252</v>
      </c>
      <c r="L4378" t="s">
        <v>21</v>
      </c>
      <c r="M4378" t="s">
        <v>19177</v>
      </c>
      <c r="N4378" t="s">
        <v>1024</v>
      </c>
      <c r="O4378" t="s">
        <v>1024</v>
      </c>
      <c r="P4378" t="s">
        <v>842</v>
      </c>
    </row>
    <row r="4379">
      <c r="A4379">
        <f>HYPERLINK("http://bombeiros.sp.gov.br/hidrantes/03individual/444.html","444")</f>
      </c>
      <c r="B4379" t="s">
        <v>842</v>
      </c>
      <c r="C4379" t="s">
        <v>964</v>
      </c>
      <c r="D4379" t="s">
        <v>13219</v>
      </c>
      <c r="E4379" t="s">
        <v>15</v>
      </c>
      <c r="F4379" t="s">
        <v>13253</v>
      </c>
      <c r="G4379" t="s">
        <v>18518</v>
      </c>
      <c r="H4379" t="s">
        <v>1112</v>
      </c>
      <c r="I4379" t="s">
        <v>1108</v>
      </c>
      <c r="J4379" t="s">
        <v>13254</v>
      </c>
      <c r="K4379" t="s">
        <v>13255</v>
      </c>
      <c r="L4379" t="s">
        <v>21</v>
      </c>
      <c r="M4379" t="s">
        <v>19177</v>
      </c>
      <c r="N4379" t="s">
        <v>1024</v>
      </c>
      <c r="O4379" t="s">
        <v>1024</v>
      </c>
      <c r="P4379" t="s">
        <v>842</v>
      </c>
    </row>
    <row r="4380">
      <c r="A4380">
        <f>HYPERLINK("http://bombeiros.sp.gov.br/hidrantes/03individual/462.html","462")</f>
      </c>
      <c r="B4380" t="s">
        <v>842</v>
      </c>
      <c r="C4380" t="s">
        <v>964</v>
      </c>
      <c r="D4380" t="s">
        <v>13219</v>
      </c>
      <c r="E4380" t="s">
        <v>15</v>
      </c>
      <c r="F4380" t="s">
        <v>13256</v>
      </c>
      <c r="G4380" t="s">
        <v>18012</v>
      </c>
      <c r="H4380" t="s">
        <v>1112</v>
      </c>
      <c r="I4380" t="s">
        <v>1108</v>
      </c>
      <c r="J4380" t="s">
        <v>13257</v>
      </c>
      <c r="K4380" t="s">
        <v>13258</v>
      </c>
      <c r="L4380" t="s">
        <v>21</v>
      </c>
      <c r="M4380" t="s">
        <v>19177</v>
      </c>
      <c r="N4380" t="s">
        <v>1024</v>
      </c>
      <c r="O4380" t="s">
        <v>1024</v>
      </c>
      <c r="P4380" t="s">
        <v>842</v>
      </c>
    </row>
    <row r="4381">
      <c r="A4381">
        <f>HYPERLINK("http://bombeiros.sp.gov.br/hidrantes/03individual/463.html","463")</f>
      </c>
      <c r="B4381" t="s">
        <v>842</v>
      </c>
      <c r="C4381" t="s">
        <v>964</v>
      </c>
      <c r="D4381" t="s">
        <v>13219</v>
      </c>
      <c r="E4381" t="s">
        <v>15</v>
      </c>
      <c r="F4381" t="s">
        <v>13259</v>
      </c>
      <c r="G4381" t="s">
        <v>18001</v>
      </c>
      <c r="H4381" t="s">
        <v>1112</v>
      </c>
      <c r="I4381" t="s">
        <v>1108</v>
      </c>
      <c r="J4381" t="s">
        <v>13260</v>
      </c>
      <c r="K4381" t="s">
        <v>13261</v>
      </c>
      <c r="L4381" t="s">
        <v>21</v>
      </c>
      <c r="M4381" t="s">
        <v>19177</v>
      </c>
      <c r="N4381" t="s">
        <v>1024</v>
      </c>
      <c r="O4381" t="s">
        <v>1024</v>
      </c>
      <c r="P4381" t="s">
        <v>842</v>
      </c>
    </row>
    <row r="4382">
      <c r="A4382">
        <f>HYPERLINK("http://bombeiros.sp.gov.br/hidrantes/03individual/465.html","465")</f>
      </c>
      <c r="B4382" t="s">
        <v>842</v>
      </c>
      <c r="C4382" t="s">
        <v>964</v>
      </c>
      <c r="D4382" t="s">
        <v>13219</v>
      </c>
      <c r="E4382" t="s">
        <v>15</v>
      </c>
      <c r="F4382" t="s">
        <v>13262</v>
      </c>
      <c r="G4382" t="s">
        <v>18256</v>
      </c>
      <c r="H4382" t="s">
        <v>1112</v>
      </c>
      <c r="I4382" t="s">
        <v>1108</v>
      </c>
      <c r="J4382" t="s">
        <v>13263</v>
      </c>
      <c r="K4382" t="s">
        <v>13264</v>
      </c>
      <c r="L4382" t="s">
        <v>21</v>
      </c>
      <c r="M4382" t="s">
        <v>19177</v>
      </c>
      <c r="N4382" t="s">
        <v>1024</v>
      </c>
      <c r="O4382" t="s">
        <v>1024</v>
      </c>
      <c r="P4382" t="s">
        <v>842</v>
      </c>
    </row>
    <row r="4383">
      <c r="A4383">
        <f>HYPERLINK("http://bombeiros.sp.gov.br/hidrantes/03individual/3772.html","3772")</f>
      </c>
      <c r="B4383" t="s">
        <v>842</v>
      </c>
      <c r="C4383" t="s">
        <v>964</v>
      </c>
      <c r="D4383" t="s">
        <v>13219</v>
      </c>
      <c r="E4383" t="s">
        <v>15</v>
      </c>
      <c r="F4383" t="s">
        <v>13265</v>
      </c>
      <c r="G4383" t="s">
        <v>18144</v>
      </c>
      <c r="H4383" t="s">
        <v>1112</v>
      </c>
      <c r="I4383" t="s">
        <v>1108</v>
      </c>
      <c r="J4383" t="s">
        <v>13266</v>
      </c>
      <c r="K4383" t="s">
        <v>13267</v>
      </c>
      <c r="L4383" t="s">
        <v>21</v>
      </c>
      <c r="M4383" t="s">
        <v>19177</v>
      </c>
      <c r="N4383" t="s">
        <v>1024</v>
      </c>
      <c r="O4383" t="s">
        <v>1024</v>
      </c>
      <c r="P4383" t="s">
        <v>842</v>
      </c>
    </row>
    <row r="4384">
      <c r="A4384">
        <f>HYPERLINK("http://bombeiros.sp.gov.br/hidrantes/03individual/3830.html","3830")</f>
      </c>
      <c r="B4384" t="s">
        <v>842</v>
      </c>
      <c r="C4384" t="s">
        <v>964</v>
      </c>
      <c r="D4384" t="s">
        <v>13219</v>
      </c>
      <c r="E4384" t="s">
        <v>15</v>
      </c>
      <c r="F4384" t="s">
        <v>13268</v>
      </c>
      <c r="G4384" t="s">
        <v>18531</v>
      </c>
      <c r="H4384" t="s">
        <v>1112</v>
      </c>
      <c r="I4384" t="s">
        <v>1108</v>
      </c>
      <c r="J4384" t="s">
        <v>13269</v>
      </c>
      <c r="K4384" t="s">
        <v>13270</v>
      </c>
      <c r="L4384" t="s">
        <v>21</v>
      </c>
      <c r="M4384" t="s">
        <v>19177</v>
      </c>
      <c r="N4384" t="s">
        <v>1024</v>
      </c>
      <c r="O4384" t="s">
        <v>1024</v>
      </c>
      <c r="P4384" t="s">
        <v>842</v>
      </c>
    </row>
    <row r="4385">
      <c r="A4385">
        <f>HYPERLINK("http://bombeiros.sp.gov.br/hidrantes/03individual/3842.html","3842")</f>
      </c>
      <c r="B4385" t="s">
        <v>842</v>
      </c>
      <c r="C4385" t="s">
        <v>964</v>
      </c>
      <c r="D4385" t="s">
        <v>13219</v>
      </c>
      <c r="E4385" t="s">
        <v>15</v>
      </c>
      <c r="F4385" t="s">
        <v>13271</v>
      </c>
      <c r="G4385" t="s">
        <v>18003</v>
      </c>
      <c r="H4385" t="s">
        <v>1112</v>
      </c>
      <c r="I4385" t="s">
        <v>1108</v>
      </c>
      <c r="J4385" t="s">
        <v>13272</v>
      </c>
      <c r="K4385" t="s">
        <v>13273</v>
      </c>
      <c r="L4385" t="s">
        <v>21</v>
      </c>
      <c r="M4385" t="s">
        <v>19177</v>
      </c>
      <c r="N4385" t="s">
        <v>1024</v>
      </c>
      <c r="O4385" t="s">
        <v>1024</v>
      </c>
      <c r="P4385" t="s">
        <v>842</v>
      </c>
    </row>
    <row r="4386">
      <c r="A4386">
        <f>HYPERLINK("http://bombeiros.sp.gov.br/hidrantes/03individual/4180.html","4180")</f>
      </c>
      <c r="B4386" t="s">
        <v>842</v>
      </c>
      <c r="C4386" t="s">
        <v>964</v>
      </c>
      <c r="D4386" t="s">
        <v>13219</v>
      </c>
      <c r="E4386" t="s">
        <v>15</v>
      </c>
      <c r="F4386" t="s">
        <v>13274</v>
      </c>
      <c r="G4386" t="s">
        <v>18135</v>
      </c>
      <c r="H4386" t="s">
        <v>1112</v>
      </c>
      <c r="I4386" t="s">
        <v>1108</v>
      </c>
      <c r="J4386" t="s">
        <v>13275</v>
      </c>
      <c r="K4386" t="s">
        <v>13276</v>
      </c>
      <c r="L4386" t="s">
        <v>21</v>
      </c>
      <c r="M4386" t="s">
        <v>19177</v>
      </c>
      <c r="N4386" t="s">
        <v>1024</v>
      </c>
      <c r="O4386" t="s">
        <v>1024</v>
      </c>
      <c r="P4386" t="s">
        <v>842</v>
      </c>
    </row>
    <row r="4387">
      <c r="A4387">
        <f>HYPERLINK("http://bombeiros.sp.gov.br/hidrantes/03individual/16621.html","16621")</f>
      </c>
      <c r="B4387" t="s">
        <v>842</v>
      </c>
      <c r="C4387" t="s">
        <v>964</v>
      </c>
      <c r="D4387" t="s">
        <v>13219</v>
      </c>
      <c r="E4387" t="s">
        <v>15</v>
      </c>
      <c r="F4387" t="s">
        <v>13277</v>
      </c>
      <c r="G4387" t="s">
        <v>18089</v>
      </c>
      <c r="H4387" t="s">
        <v>1107</v>
      </c>
      <c r="I4387" t="s">
        <v>1108</v>
      </c>
      <c r="J4387" t="s">
        <v>13278</v>
      </c>
      <c r="K4387" t="s">
        <v>13279</v>
      </c>
      <c r="L4387" t="s">
        <v>21</v>
      </c>
      <c r="M4387" t="s">
        <v>19177</v>
      </c>
      <c r="N4387" t="s">
        <v>1024</v>
      </c>
      <c r="O4387" t="s">
        <v>1024</v>
      </c>
      <c r="P4387" t="s">
        <v>842</v>
      </c>
    </row>
    <row r="4388">
      <c r="A4388">
        <f>HYPERLINK("http://bombeiros.sp.gov.br/hidrantes/03individual/16622.html","16622")</f>
      </c>
      <c r="B4388" t="s">
        <v>842</v>
      </c>
      <c r="C4388" t="s">
        <v>964</v>
      </c>
      <c r="D4388" t="s">
        <v>13219</v>
      </c>
      <c r="E4388" t="s">
        <v>15</v>
      </c>
      <c r="F4388" t="s">
        <v>13280</v>
      </c>
      <c r="G4388" t="s">
        <v>18123</v>
      </c>
      <c r="H4388" t="s">
        <v>1121</v>
      </c>
      <c r="I4388" t="s">
        <v>1117</v>
      </c>
      <c r="J4388" t="s">
        <v>13281</v>
      </c>
      <c r="K4388" t="s">
        <v>13282</v>
      </c>
      <c r="L4388" t="s">
        <v>21</v>
      </c>
      <c r="M4388" t="s">
        <v>19177</v>
      </c>
      <c r="N4388" t="s">
        <v>1024</v>
      </c>
      <c r="O4388" t="s">
        <v>1024</v>
      </c>
      <c r="P4388" t="s">
        <v>842</v>
      </c>
    </row>
    <row r="4389">
      <c r="A4389">
        <f>HYPERLINK("http://bombeiros.sp.gov.br/hidrantes/03individual/16623.html","16623")</f>
      </c>
      <c r="B4389" t="s">
        <v>842</v>
      </c>
      <c r="C4389" t="s">
        <v>964</v>
      </c>
      <c r="D4389" t="s">
        <v>13219</v>
      </c>
      <c r="E4389" t="s">
        <v>15</v>
      </c>
      <c r="F4389" t="s">
        <v>13283</v>
      </c>
      <c r="G4389" t="s">
        <v>18089</v>
      </c>
      <c r="H4389" t="s">
        <v>1107</v>
      </c>
      <c r="I4389" t="s">
        <v>1108</v>
      </c>
      <c r="J4389" t="s">
        <v>13284</v>
      </c>
      <c r="K4389" t="s">
        <v>13285</v>
      </c>
      <c r="L4389" t="s">
        <v>21</v>
      </c>
      <c r="M4389" t="s">
        <v>19177</v>
      </c>
      <c r="N4389" t="s">
        <v>1024</v>
      </c>
      <c r="O4389" t="s">
        <v>1024</v>
      </c>
      <c r="P4389" t="s">
        <v>842</v>
      </c>
    </row>
    <row r="4390">
      <c r="A4390">
        <f>HYPERLINK("http://bombeiros.sp.gov.br/hidrantes/03individual/17846.html","17846")</f>
      </c>
      <c r="B4390" t="s">
        <v>842</v>
      </c>
      <c r="C4390" t="s">
        <v>964</v>
      </c>
      <c r="D4390" t="s">
        <v>13219</v>
      </c>
      <c r="E4390" t="s">
        <v>15</v>
      </c>
      <c r="F4390" t="s">
        <v>13286</v>
      </c>
      <c r="G4390" t="s">
        <v>18531</v>
      </c>
      <c r="H4390" t="s">
        <v>1112</v>
      </c>
      <c r="I4390" t="s">
        <v>1108</v>
      </c>
      <c r="J4390" t="s">
        <v>13287</v>
      </c>
      <c r="K4390" t="s">
        <v>13288</v>
      </c>
      <c r="L4390" t="s">
        <v>21</v>
      </c>
      <c r="M4390" t="s">
        <v>19177</v>
      </c>
      <c r="N4390" t="s">
        <v>1024</v>
      </c>
      <c r="O4390" t="s">
        <v>1024</v>
      </c>
      <c r="P4390" t="s">
        <v>842</v>
      </c>
    </row>
    <row r="4391">
      <c r="A4391">
        <f>HYPERLINK("http://bombeiros.sp.gov.br/hidrantes/03individual/17852.html","17852")</f>
      </c>
      <c r="B4391" t="s">
        <v>842</v>
      </c>
      <c r="C4391" t="s">
        <v>964</v>
      </c>
      <c r="D4391" t="s">
        <v>13219</v>
      </c>
      <c r="E4391" t="s">
        <v>15</v>
      </c>
      <c r="F4391" t="s">
        <v>13289</v>
      </c>
      <c r="G4391" t="s">
        <v>18135</v>
      </c>
      <c r="H4391" t="s">
        <v>1112</v>
      </c>
      <c r="I4391" t="s">
        <v>1108</v>
      </c>
      <c r="J4391" t="s">
        <v>13290</v>
      </c>
      <c r="K4391" t="s">
        <v>13291</v>
      </c>
      <c r="L4391" t="s">
        <v>21</v>
      </c>
      <c r="M4391" t="s">
        <v>19177</v>
      </c>
      <c r="N4391" t="s">
        <v>1024</v>
      </c>
      <c r="O4391" t="s">
        <v>1024</v>
      </c>
      <c r="P4391" t="s">
        <v>842</v>
      </c>
    </row>
    <row r="4392">
      <c r="A4392">
        <f>HYPERLINK("http://bombeiros.sp.gov.br/hidrantes/03individual/3735.html","3735")</f>
      </c>
      <c r="B4392" t="s">
        <v>842</v>
      </c>
      <c r="C4392" t="s">
        <v>964</v>
      </c>
      <c r="D4392" t="s">
        <v>13292</v>
      </c>
      <c r="E4392" t="s">
        <v>64</v>
      </c>
      <c r="F4392" t="s">
        <v>13293</v>
      </c>
      <c r="G4392" t="s">
        <v>18531</v>
      </c>
      <c r="H4392" t="s">
        <v>1112</v>
      </c>
      <c r="I4392" t="s">
        <v>1108</v>
      </c>
      <c r="J4392" t="s">
        <v>13294</v>
      </c>
      <c r="K4392" t="s">
        <v>13295</v>
      </c>
      <c r="L4392" t="s">
        <v>36</v>
      </c>
      <c r="M4392" t="s">
        <v>19177</v>
      </c>
      <c r="N4392" t="s">
        <v>1024</v>
      </c>
      <c r="O4392" t="s">
        <v>1024</v>
      </c>
      <c r="P4392" t="s">
        <v>842</v>
      </c>
    </row>
    <row r="4393">
      <c r="A4393">
        <f>HYPERLINK("http://bombeiros.sp.gov.br/hidrantes/03individual/3757.html","3757")</f>
      </c>
      <c r="B4393" t="s">
        <v>842</v>
      </c>
      <c r="C4393" t="s">
        <v>964</v>
      </c>
      <c r="D4393" t="s">
        <v>13292</v>
      </c>
      <c r="E4393" t="s">
        <v>64</v>
      </c>
      <c r="F4393" t="s">
        <v>13296</v>
      </c>
      <c r="G4393" t="s">
        <v>18074</v>
      </c>
      <c r="H4393" t="s">
        <v>1112</v>
      </c>
      <c r="I4393" t="s">
        <v>1108</v>
      </c>
      <c r="J4393" t="s">
        <v>13297</v>
      </c>
      <c r="K4393" t="s">
        <v>13298</v>
      </c>
      <c r="L4393" t="s">
        <v>21</v>
      </c>
      <c r="M4393" t="s">
        <v>19177</v>
      </c>
      <c r="N4393" t="s">
        <v>1024</v>
      </c>
      <c r="O4393" t="s">
        <v>1024</v>
      </c>
      <c r="P4393" t="s">
        <v>842</v>
      </c>
    </row>
    <row r="4394">
      <c r="A4394">
        <f>HYPERLINK("http://bombeiros.sp.gov.br/hidrantes/03individual/3782.html","3782")</f>
      </c>
      <c r="B4394" t="s">
        <v>842</v>
      </c>
      <c r="C4394" t="s">
        <v>964</v>
      </c>
      <c r="D4394" t="s">
        <v>13292</v>
      </c>
      <c r="E4394" t="s">
        <v>64</v>
      </c>
      <c r="F4394" t="s">
        <v>13299</v>
      </c>
      <c r="G4394" t="s">
        <v>18145</v>
      </c>
      <c r="H4394" t="s">
        <v>1112</v>
      </c>
      <c r="I4394" t="s">
        <v>1108</v>
      </c>
      <c r="J4394" t="s">
        <v>13300</v>
      </c>
      <c r="K4394" t="s">
        <v>13301</v>
      </c>
      <c r="L4394" t="s">
        <v>21</v>
      </c>
      <c r="M4394" t="s">
        <v>19177</v>
      </c>
      <c r="N4394" t="s">
        <v>1024</v>
      </c>
      <c r="O4394" t="s">
        <v>1024</v>
      </c>
      <c r="P4394" t="s">
        <v>842</v>
      </c>
    </row>
    <row r="4395">
      <c r="A4395">
        <f>HYPERLINK("http://bombeiros.sp.gov.br/hidrantes/03individual/342.html","342")</f>
      </c>
      <c r="B4395" t="s">
        <v>842</v>
      </c>
      <c r="C4395" t="s">
        <v>964</v>
      </c>
      <c r="D4395" t="s">
        <v>13292</v>
      </c>
      <c r="E4395" t="s">
        <v>15</v>
      </c>
      <c r="F4395" t="s">
        <v>13302</v>
      </c>
      <c r="G4395" t="s">
        <v>18531</v>
      </c>
      <c r="H4395" t="s">
        <v>1112</v>
      </c>
      <c r="I4395" t="s">
        <v>1108</v>
      </c>
      <c r="J4395" t="s">
        <v>13303</v>
      </c>
      <c r="K4395" t="s">
        <v>13304</v>
      </c>
      <c r="L4395" t="s">
        <v>21</v>
      </c>
      <c r="M4395" t="s">
        <v>19177</v>
      </c>
      <c r="N4395" t="s">
        <v>1024</v>
      </c>
      <c r="O4395" t="s">
        <v>1024</v>
      </c>
      <c r="P4395" t="s">
        <v>842</v>
      </c>
    </row>
    <row r="4396">
      <c r="A4396">
        <f>HYPERLINK("http://bombeiros.sp.gov.br/hidrantes/03individual/410.html","410")</f>
      </c>
      <c r="B4396" t="s">
        <v>842</v>
      </c>
      <c r="C4396" t="s">
        <v>964</v>
      </c>
      <c r="D4396" t="s">
        <v>13292</v>
      </c>
      <c r="E4396" t="s">
        <v>15</v>
      </c>
      <c r="F4396" t="s">
        <v>13305</v>
      </c>
      <c r="G4396" t="s">
        <v>18531</v>
      </c>
      <c r="H4396" t="s">
        <v>1112</v>
      </c>
      <c r="I4396" t="s">
        <v>1108</v>
      </c>
      <c r="J4396" t="s">
        <v>13306</v>
      </c>
      <c r="K4396" t="s">
        <v>13307</v>
      </c>
      <c r="L4396" t="s">
        <v>21</v>
      </c>
      <c r="M4396" t="s">
        <v>19177</v>
      </c>
      <c r="N4396" t="s">
        <v>1024</v>
      </c>
      <c r="O4396" t="s">
        <v>1024</v>
      </c>
      <c r="P4396" t="s">
        <v>842</v>
      </c>
    </row>
    <row r="4397">
      <c r="A4397">
        <f>HYPERLINK("http://bombeiros.sp.gov.br/hidrantes/03individual/435.html","435")</f>
      </c>
      <c r="B4397" t="s">
        <v>842</v>
      </c>
      <c r="C4397" t="s">
        <v>964</v>
      </c>
      <c r="D4397" t="s">
        <v>13292</v>
      </c>
      <c r="E4397" t="s">
        <v>15</v>
      </c>
      <c r="F4397" t="s">
        <v>13308</v>
      </c>
      <c r="G4397" t="s">
        <v>18046</v>
      </c>
      <c r="H4397" t="s">
        <v>1112</v>
      </c>
      <c r="I4397" t="s">
        <v>1108</v>
      </c>
      <c r="J4397" t="s">
        <v>13309</v>
      </c>
      <c r="K4397" t="s">
        <v>13310</v>
      </c>
      <c r="L4397" t="s">
        <v>21</v>
      </c>
      <c r="M4397" t="s">
        <v>19177</v>
      </c>
      <c r="N4397" t="s">
        <v>1024</v>
      </c>
      <c r="O4397" t="s">
        <v>1024</v>
      </c>
      <c r="P4397" t="s">
        <v>842</v>
      </c>
    </row>
    <row r="4398">
      <c r="A4398">
        <f>HYPERLINK("http://bombeiros.sp.gov.br/hidrantes/03individual/436.html","436")</f>
      </c>
      <c r="B4398" t="s">
        <v>842</v>
      </c>
      <c r="C4398" t="s">
        <v>964</v>
      </c>
      <c r="D4398" t="s">
        <v>13292</v>
      </c>
      <c r="E4398" t="s">
        <v>15</v>
      </c>
      <c r="F4398" t="s">
        <v>13311</v>
      </c>
      <c r="G4398" t="s">
        <v>18239</v>
      </c>
      <c r="H4398" t="s">
        <v>1112</v>
      </c>
      <c r="I4398" t="s">
        <v>1108</v>
      </c>
      <c r="J4398" t="s">
        <v>13312</v>
      </c>
      <c r="K4398" t="s">
        <v>13313</v>
      </c>
      <c r="L4398" t="s">
        <v>21</v>
      </c>
      <c r="M4398" t="s">
        <v>19177</v>
      </c>
      <c r="N4398" t="s">
        <v>1024</v>
      </c>
      <c r="O4398" t="s">
        <v>1024</v>
      </c>
      <c r="P4398" t="s">
        <v>842</v>
      </c>
    </row>
    <row r="4399">
      <c r="A4399">
        <f>HYPERLINK("http://bombeiros.sp.gov.br/hidrantes/03individual/460.html","460")</f>
      </c>
      <c r="B4399" t="s">
        <v>842</v>
      </c>
      <c r="C4399" t="s">
        <v>964</v>
      </c>
      <c r="D4399" t="s">
        <v>13292</v>
      </c>
      <c r="E4399" t="s">
        <v>15</v>
      </c>
      <c r="F4399" t="s">
        <v>13314</v>
      </c>
      <c r="G4399" t="s">
        <v>18531</v>
      </c>
      <c r="H4399" t="s">
        <v>1112</v>
      </c>
      <c r="I4399" t="s">
        <v>1108</v>
      </c>
      <c r="J4399" t="s">
        <v>15998</v>
      </c>
      <c r="K4399" t="s">
        <v>15999</v>
      </c>
      <c r="L4399" t="s">
        <v>21</v>
      </c>
      <c r="M4399" t="s">
        <v>19177</v>
      </c>
      <c r="N4399" t="s">
        <v>1024</v>
      </c>
      <c r="O4399" t="s">
        <v>1024</v>
      </c>
      <c r="P4399" t="s">
        <v>842</v>
      </c>
    </row>
    <row r="4400">
      <c r="A4400">
        <f>HYPERLINK("http://bombeiros.sp.gov.br/hidrantes/03individual/461.html","461")</f>
      </c>
      <c r="B4400" t="s">
        <v>842</v>
      </c>
      <c r="C4400" t="s">
        <v>964</v>
      </c>
      <c r="D4400" t="s">
        <v>13292</v>
      </c>
      <c r="E4400" t="s">
        <v>15</v>
      </c>
      <c r="F4400" t="s">
        <v>13317</v>
      </c>
      <c r="G4400" t="s">
        <v>18046</v>
      </c>
      <c r="H4400" t="s">
        <v>1112</v>
      </c>
      <c r="I4400" t="s">
        <v>1108</v>
      </c>
      <c r="J4400" t="s">
        <v>13318</v>
      </c>
      <c r="K4400" t="s">
        <v>13319</v>
      </c>
      <c r="L4400" t="s">
        <v>21</v>
      </c>
      <c r="M4400" t="s">
        <v>19177</v>
      </c>
      <c r="N4400" t="s">
        <v>1024</v>
      </c>
      <c r="O4400" t="s">
        <v>1024</v>
      </c>
      <c r="P4400" t="s">
        <v>842</v>
      </c>
    </row>
    <row r="4401">
      <c r="A4401">
        <f>HYPERLINK("http://bombeiros.sp.gov.br/hidrantes/03individual/483.html","483")</f>
      </c>
      <c r="B4401" t="s">
        <v>842</v>
      </c>
      <c r="C4401" t="s">
        <v>964</v>
      </c>
      <c r="D4401" t="s">
        <v>13292</v>
      </c>
      <c r="E4401" t="s">
        <v>15</v>
      </c>
      <c r="F4401" t="s">
        <v>13320</v>
      </c>
      <c r="G4401" t="s">
        <v>18531</v>
      </c>
      <c r="H4401" t="s">
        <v>1112</v>
      </c>
      <c r="I4401" t="s">
        <v>1108</v>
      </c>
      <c r="J4401" t="s">
        <v>13321</v>
      </c>
      <c r="K4401" t="s">
        <v>13322</v>
      </c>
      <c r="L4401" t="s">
        <v>21</v>
      </c>
      <c r="M4401" t="s">
        <v>19177</v>
      </c>
      <c r="N4401" t="s">
        <v>1024</v>
      </c>
      <c r="O4401" t="s">
        <v>1024</v>
      </c>
      <c r="P4401" t="s">
        <v>842</v>
      </c>
    </row>
    <row r="4402">
      <c r="A4402">
        <f>HYPERLINK("http://bombeiros.sp.gov.br/hidrantes/03individual/496.html","496")</f>
      </c>
      <c r="B4402" t="s">
        <v>842</v>
      </c>
      <c r="C4402" t="s">
        <v>964</v>
      </c>
      <c r="D4402" t="s">
        <v>13292</v>
      </c>
      <c r="E4402" t="s">
        <v>15</v>
      </c>
      <c r="F4402" t="s">
        <v>13323</v>
      </c>
      <c r="G4402" t="s">
        <v>18531</v>
      </c>
      <c r="H4402" t="s">
        <v>1121</v>
      </c>
      <c r="I4402" t="s">
        <v>1108</v>
      </c>
      <c r="J4402" t="s">
        <v>17405</v>
      </c>
      <c r="K4402" t="s">
        <v>17406</v>
      </c>
      <c r="L4402" t="s">
        <v>21</v>
      </c>
      <c r="M4402" t="s">
        <v>19177</v>
      </c>
      <c r="N4402" t="s">
        <v>1024</v>
      </c>
      <c r="O4402" t="s">
        <v>1024</v>
      </c>
      <c r="P4402" t="s">
        <v>842</v>
      </c>
    </row>
    <row r="4403">
      <c r="A4403">
        <f>HYPERLINK("http://bombeiros.sp.gov.br/hidrantes/03individual/3734.html","3734")</f>
      </c>
      <c r="B4403" t="s">
        <v>842</v>
      </c>
      <c r="C4403" t="s">
        <v>964</v>
      </c>
      <c r="D4403" t="s">
        <v>13292</v>
      </c>
      <c r="E4403" t="s">
        <v>15</v>
      </c>
      <c r="F4403" t="s">
        <v>13326</v>
      </c>
      <c r="G4403" t="s">
        <v>18531</v>
      </c>
      <c r="H4403" t="s">
        <v>1112</v>
      </c>
      <c r="I4403" t="s">
        <v>1108</v>
      </c>
      <c r="J4403" t="s">
        <v>13327</v>
      </c>
      <c r="K4403" t="s">
        <v>13328</v>
      </c>
      <c r="L4403" t="s">
        <v>21</v>
      </c>
      <c r="M4403" t="s">
        <v>19177</v>
      </c>
      <c r="N4403" t="s">
        <v>1024</v>
      </c>
      <c r="O4403" t="s">
        <v>1024</v>
      </c>
      <c r="P4403" t="s">
        <v>842</v>
      </c>
    </row>
    <row r="4404">
      <c r="A4404">
        <f>HYPERLINK("http://bombeiros.sp.gov.br/hidrantes/03individual/3738.html","3738")</f>
      </c>
      <c r="B4404" t="s">
        <v>842</v>
      </c>
      <c r="C4404" t="s">
        <v>964</v>
      </c>
      <c r="D4404" t="s">
        <v>13292</v>
      </c>
      <c r="E4404" t="s">
        <v>15</v>
      </c>
      <c r="F4404" t="s">
        <v>13329</v>
      </c>
      <c r="G4404" t="s">
        <v>18239</v>
      </c>
      <c r="H4404"/>
      <c r="I4404" t="s">
        <v>18</v>
      </c>
      <c r="J4404" t="s">
        <v>13330</v>
      </c>
      <c r="K4404" t="s">
        <v>13331</v>
      </c>
      <c r="L4404" t="s">
        <v>21</v>
      </c>
      <c r="M4404" t="s">
        <v>19177</v>
      </c>
      <c r="N4404" t="s">
        <v>1024</v>
      </c>
      <c r="O4404" t="s">
        <v>1024</v>
      </c>
      <c r="P4404" t="s">
        <v>842</v>
      </c>
    </row>
    <row r="4405">
      <c r="A4405">
        <f>HYPERLINK("http://bombeiros.sp.gov.br/hidrantes/03individual/3741.html","3741")</f>
      </c>
      <c r="B4405" t="s">
        <v>842</v>
      </c>
      <c r="C4405" t="s">
        <v>964</v>
      </c>
      <c r="D4405" t="s">
        <v>13292</v>
      </c>
      <c r="E4405" t="s">
        <v>15</v>
      </c>
      <c r="F4405" t="s">
        <v>13332</v>
      </c>
      <c r="G4405" t="s">
        <v>18062</v>
      </c>
      <c r="H4405" t="s">
        <v>1112</v>
      </c>
      <c r="I4405" t="s">
        <v>1108</v>
      </c>
      <c r="J4405" t="s">
        <v>13333</v>
      </c>
      <c r="K4405" t="s">
        <v>13334</v>
      </c>
      <c r="L4405" t="s">
        <v>21</v>
      </c>
      <c r="M4405" t="s">
        <v>19177</v>
      </c>
      <c r="N4405" t="s">
        <v>1024</v>
      </c>
      <c r="O4405" t="s">
        <v>1024</v>
      </c>
      <c r="P4405" t="s">
        <v>842</v>
      </c>
    </row>
    <row r="4406">
      <c r="A4406">
        <f>HYPERLINK("http://bombeiros.sp.gov.br/hidrantes/03individual/3743.html","3743")</f>
      </c>
      <c r="B4406" t="s">
        <v>842</v>
      </c>
      <c r="C4406" t="s">
        <v>964</v>
      </c>
      <c r="D4406" t="s">
        <v>13292</v>
      </c>
      <c r="E4406" t="s">
        <v>15</v>
      </c>
      <c r="F4406" t="s">
        <v>13335</v>
      </c>
      <c r="G4406" t="s">
        <v>18239</v>
      </c>
      <c r="H4406" t="s">
        <v>1112</v>
      </c>
      <c r="I4406" t="s">
        <v>1108</v>
      </c>
      <c r="J4406" t="s">
        <v>13336</v>
      </c>
      <c r="K4406" t="s">
        <v>13337</v>
      </c>
      <c r="L4406" t="s">
        <v>21</v>
      </c>
      <c r="M4406" t="s">
        <v>19177</v>
      </c>
      <c r="N4406" t="s">
        <v>1024</v>
      </c>
      <c r="O4406" t="s">
        <v>1024</v>
      </c>
      <c r="P4406" t="s">
        <v>842</v>
      </c>
    </row>
    <row r="4407">
      <c r="A4407">
        <f>HYPERLINK("http://bombeiros.sp.gov.br/hidrantes/03individual/3745.html","3745")</f>
      </c>
      <c r="B4407" t="s">
        <v>842</v>
      </c>
      <c r="C4407" t="s">
        <v>964</v>
      </c>
      <c r="D4407" t="s">
        <v>13292</v>
      </c>
      <c r="E4407" t="s">
        <v>15</v>
      </c>
      <c r="F4407" t="s">
        <v>13338</v>
      </c>
      <c r="G4407" t="s">
        <v>18005</v>
      </c>
      <c r="H4407" t="s">
        <v>1112</v>
      </c>
      <c r="I4407" t="s">
        <v>1108</v>
      </c>
      <c r="J4407" t="s">
        <v>13339</v>
      </c>
      <c r="K4407" t="s">
        <v>13340</v>
      </c>
      <c r="L4407" t="s">
        <v>21</v>
      </c>
      <c r="M4407" t="s">
        <v>19177</v>
      </c>
      <c r="N4407" t="s">
        <v>1024</v>
      </c>
      <c r="O4407" t="s">
        <v>1024</v>
      </c>
      <c r="P4407" t="s">
        <v>842</v>
      </c>
    </row>
    <row r="4408">
      <c r="A4408">
        <f>HYPERLINK("http://bombeiros.sp.gov.br/hidrantes/03individual/3756.html","3756")</f>
      </c>
      <c r="B4408" t="s">
        <v>842</v>
      </c>
      <c r="C4408" t="s">
        <v>964</v>
      </c>
      <c r="D4408" t="s">
        <v>13292</v>
      </c>
      <c r="E4408" t="s">
        <v>15</v>
      </c>
      <c r="F4408" t="s">
        <v>13341</v>
      </c>
      <c r="G4408" t="s">
        <v>18005</v>
      </c>
      <c r="H4408" t="s">
        <v>1112</v>
      </c>
      <c r="I4408" t="s">
        <v>1108</v>
      </c>
      <c r="J4408" t="s">
        <v>13342</v>
      </c>
      <c r="K4408" t="s">
        <v>13343</v>
      </c>
      <c r="L4408" t="s">
        <v>21</v>
      </c>
      <c r="M4408" t="s">
        <v>19177</v>
      </c>
      <c r="N4408" t="s">
        <v>1024</v>
      </c>
      <c r="O4408" t="s">
        <v>1024</v>
      </c>
      <c r="P4408" t="s">
        <v>842</v>
      </c>
    </row>
    <row r="4409">
      <c r="A4409">
        <f>HYPERLINK("http://bombeiros.sp.gov.br/hidrantes/03individual/3825.html","3825")</f>
      </c>
      <c r="B4409" t="s">
        <v>842</v>
      </c>
      <c r="C4409" t="s">
        <v>964</v>
      </c>
      <c r="D4409" t="s">
        <v>13292</v>
      </c>
      <c r="E4409" t="s">
        <v>15</v>
      </c>
      <c r="F4409" t="s">
        <v>13344</v>
      </c>
      <c r="G4409" t="s">
        <v>18062</v>
      </c>
      <c r="H4409" t="s">
        <v>1112</v>
      </c>
      <c r="I4409" t="s">
        <v>1108</v>
      </c>
      <c r="J4409" t="s">
        <v>13345</v>
      </c>
      <c r="K4409" t="s">
        <v>13346</v>
      </c>
      <c r="L4409" t="s">
        <v>21</v>
      </c>
      <c r="M4409" t="s">
        <v>19177</v>
      </c>
      <c r="N4409" t="s">
        <v>1024</v>
      </c>
      <c r="O4409" t="s">
        <v>1024</v>
      </c>
      <c r="P4409" t="s">
        <v>842</v>
      </c>
    </row>
    <row r="4410">
      <c r="A4410">
        <f>HYPERLINK("http://bombeiros.sp.gov.br/hidrantes/03individual/3826.html","3826")</f>
      </c>
      <c r="B4410" t="s">
        <v>842</v>
      </c>
      <c r="C4410" t="s">
        <v>964</v>
      </c>
      <c r="D4410" t="s">
        <v>13292</v>
      </c>
      <c r="E4410" t="s">
        <v>15</v>
      </c>
      <c r="F4410" t="s">
        <v>13347</v>
      </c>
      <c r="G4410" t="s">
        <v>18056</v>
      </c>
      <c r="H4410" t="s">
        <v>1112</v>
      </c>
      <c r="I4410" t="s">
        <v>1108</v>
      </c>
      <c r="J4410" t="s">
        <v>13348</v>
      </c>
      <c r="K4410" t="s">
        <v>13349</v>
      </c>
      <c r="L4410" t="s">
        <v>21</v>
      </c>
      <c r="M4410" t="s">
        <v>19177</v>
      </c>
      <c r="N4410" t="s">
        <v>1024</v>
      </c>
      <c r="O4410" t="s">
        <v>1024</v>
      </c>
      <c r="P4410" t="s">
        <v>842</v>
      </c>
    </row>
    <row r="4411">
      <c r="A4411">
        <f>HYPERLINK("http://bombeiros.sp.gov.br/hidrantes/03individual/16615.html","16615")</f>
      </c>
      <c r="B4411" t="s">
        <v>842</v>
      </c>
      <c r="C4411" t="s">
        <v>964</v>
      </c>
      <c r="D4411" t="s">
        <v>13292</v>
      </c>
      <c r="E4411" t="s">
        <v>15</v>
      </c>
      <c r="F4411" t="s">
        <v>13350</v>
      </c>
      <c r="G4411" t="s">
        <v>18531</v>
      </c>
      <c r="H4411" t="s">
        <v>1112</v>
      </c>
      <c r="I4411" t="s">
        <v>1108</v>
      </c>
      <c r="J4411" t="s">
        <v>17770</v>
      </c>
      <c r="K4411" t="s">
        <v>17771</v>
      </c>
      <c r="L4411" t="s">
        <v>21</v>
      </c>
      <c r="M4411" t="s">
        <v>19177</v>
      </c>
      <c r="N4411" t="s">
        <v>1024</v>
      </c>
      <c r="O4411" t="s">
        <v>1024</v>
      </c>
      <c r="P4411" t="s">
        <v>842</v>
      </c>
    </row>
    <row r="4412">
      <c r="A4412">
        <f>HYPERLINK("http://bombeiros.sp.gov.br/hidrantes/03individual/16617.html","16617")</f>
      </c>
      <c r="B4412" t="s">
        <v>842</v>
      </c>
      <c r="C4412" t="s">
        <v>964</v>
      </c>
      <c r="D4412" t="s">
        <v>13292</v>
      </c>
      <c r="E4412" t="s">
        <v>15</v>
      </c>
      <c r="F4412" t="s">
        <v>13353</v>
      </c>
      <c r="G4412" t="s">
        <v>18001</v>
      </c>
      <c r="H4412" t="s">
        <v>1112</v>
      </c>
      <c r="I4412" t="s">
        <v>1108</v>
      </c>
      <c r="J4412" t="s">
        <v>13354</v>
      </c>
      <c r="K4412" t="s">
        <v>13355</v>
      </c>
      <c r="L4412" t="s">
        <v>21</v>
      </c>
      <c r="M4412" t="s">
        <v>19177</v>
      </c>
      <c r="N4412" t="s">
        <v>1024</v>
      </c>
      <c r="O4412" t="s">
        <v>1024</v>
      </c>
      <c r="P4412" t="s">
        <v>842</v>
      </c>
    </row>
    <row r="4413">
      <c r="A4413">
        <f>HYPERLINK("http://bombeiros.sp.gov.br/hidrantes/03individual/16618.html","16618")</f>
      </c>
      <c r="B4413" t="s">
        <v>842</v>
      </c>
      <c r="C4413" t="s">
        <v>964</v>
      </c>
      <c r="D4413" t="s">
        <v>13292</v>
      </c>
      <c r="E4413" t="s">
        <v>15</v>
      </c>
      <c r="F4413" t="s">
        <v>13356</v>
      </c>
      <c r="G4413" t="s">
        <v>18239</v>
      </c>
      <c r="H4413" t="s">
        <v>1112</v>
      </c>
      <c r="I4413" t="s">
        <v>1108</v>
      </c>
      <c r="J4413" t="s">
        <v>13357</v>
      </c>
      <c r="K4413" t="s">
        <v>13358</v>
      </c>
      <c r="L4413" t="s">
        <v>21</v>
      </c>
      <c r="M4413" t="s">
        <v>19177</v>
      </c>
      <c r="N4413" t="s">
        <v>1024</v>
      </c>
      <c r="O4413" t="s">
        <v>1024</v>
      </c>
      <c r="P4413" t="s">
        <v>842</v>
      </c>
    </row>
    <row r="4414">
      <c r="A4414">
        <f>HYPERLINK("http://bombeiros.sp.gov.br/hidrantes/03individual/4400.html","4400")</f>
      </c>
      <c r="B4414" t="s">
        <v>842</v>
      </c>
      <c r="C4414" t="s">
        <v>975</v>
      </c>
      <c r="D4414" t="s">
        <v>975</v>
      </c>
      <c r="E4414" t="s">
        <v>64</v>
      </c>
      <c r="F4414" t="s">
        <v>13359</v>
      </c>
      <c r="G4414" t="s">
        <v>17909</v>
      </c>
      <c r="H4414" t="s">
        <v>1112</v>
      </c>
      <c r="I4414" t="s">
        <v>1108</v>
      </c>
      <c r="J4414" t="s">
        <v>13360</v>
      </c>
      <c r="K4414" t="s">
        <v>13361</v>
      </c>
      <c r="L4414" t="s">
        <v>21</v>
      </c>
      <c r="M4414" t="s">
        <v>19177</v>
      </c>
      <c r="N4414" t="s">
        <v>843</v>
      </c>
      <c r="O4414" t="s">
        <v>987</v>
      </c>
      <c r="P4414" t="s">
        <v>842</v>
      </c>
    </row>
    <row r="4415">
      <c r="A4415">
        <f>HYPERLINK("http://bombeiros.sp.gov.br/hidrantes/03individual/17803.html","17803")</f>
      </c>
      <c r="B4415" t="s">
        <v>842</v>
      </c>
      <c r="C4415" t="s">
        <v>975</v>
      </c>
      <c r="D4415" t="s">
        <v>13362</v>
      </c>
      <c r="E4415" t="s">
        <v>64</v>
      </c>
      <c r="F4415" t="s">
        <v>13363</v>
      </c>
      <c r="G4415" t="s">
        <v>17909</v>
      </c>
      <c r="H4415" t="s">
        <v>1121</v>
      </c>
      <c r="I4415" t="s">
        <v>1117</v>
      </c>
      <c r="J4415" t="s">
        <v>13364</v>
      </c>
      <c r="K4415" t="s">
        <v>13365</v>
      </c>
      <c r="L4415" t="s">
        <v>21</v>
      </c>
      <c r="M4415" t="s">
        <v>19177</v>
      </c>
      <c r="N4415" t="s">
        <v>843</v>
      </c>
      <c r="O4415" t="s">
        <v>987</v>
      </c>
      <c r="P4415" t="s">
        <v>842</v>
      </c>
    </row>
    <row r="4416">
      <c r="A4416">
        <f>HYPERLINK("http://bombeiros.sp.gov.br/hidrantes/03individual/17804.html","17804")</f>
      </c>
      <c r="B4416" t="s">
        <v>842</v>
      </c>
      <c r="C4416" t="s">
        <v>975</v>
      </c>
      <c r="D4416" t="s">
        <v>13362</v>
      </c>
      <c r="E4416" t="s">
        <v>64</v>
      </c>
      <c r="F4416" t="s">
        <v>13366</v>
      </c>
      <c r="G4416" t="s">
        <v>17903</v>
      </c>
      <c r="H4416" t="s">
        <v>1112</v>
      </c>
      <c r="I4416" t="s">
        <v>1108</v>
      </c>
      <c r="J4416" t="s">
        <v>13367</v>
      </c>
      <c r="K4416" t="s">
        <v>13368</v>
      </c>
      <c r="L4416" t="s">
        <v>21</v>
      </c>
      <c r="M4416" t="s">
        <v>19177</v>
      </c>
      <c r="N4416" t="s">
        <v>843</v>
      </c>
      <c r="O4416" t="s">
        <v>987</v>
      </c>
      <c r="P4416" t="s">
        <v>842</v>
      </c>
    </row>
    <row r="4417">
      <c r="A4417">
        <f>HYPERLINK("http://bombeiros.sp.gov.br/hidrantes/03individual/26790.html","26790")</f>
      </c>
      <c r="B4417" t="s">
        <v>842</v>
      </c>
      <c r="C4417" t="s">
        <v>975</v>
      </c>
      <c r="D4417" t="s">
        <v>13362</v>
      </c>
      <c r="E4417" t="s">
        <v>64</v>
      </c>
      <c r="F4417" t="s">
        <v>15818</v>
      </c>
      <c r="G4417" t="s">
        <v>17909</v>
      </c>
      <c r="H4417" t="s">
        <v>1112</v>
      </c>
      <c r="I4417" t="s">
        <v>1108</v>
      </c>
      <c r="J4417" t="s">
        <v>15819</v>
      </c>
      <c r="K4417" t="s">
        <v>15820</v>
      </c>
      <c r="L4417" t="s">
        <v>21</v>
      </c>
      <c r="M4417" t="s">
        <v>19177</v>
      </c>
      <c r="N4417" t="s">
        <v>843</v>
      </c>
      <c r="O4417" t="s">
        <v>987</v>
      </c>
      <c r="P4417" t="s">
        <v>842</v>
      </c>
    </row>
    <row r="4418">
      <c r="A4418">
        <f>HYPERLINK("http://bombeiros.sp.gov.br/hidrantes/03individual/4148.html","4148")</f>
      </c>
      <c r="B4418" t="s">
        <v>842</v>
      </c>
      <c r="C4418" t="s">
        <v>975</v>
      </c>
      <c r="D4418" t="s">
        <v>13369</v>
      </c>
      <c r="E4418" t="s">
        <v>64</v>
      </c>
      <c r="F4418" t="s">
        <v>13370</v>
      </c>
      <c r="G4418" t="s">
        <v>17909</v>
      </c>
      <c r="H4418" t="s">
        <v>1107</v>
      </c>
      <c r="I4418" t="s">
        <v>1108</v>
      </c>
      <c r="J4418" t="s">
        <v>13371</v>
      </c>
      <c r="K4418" t="s">
        <v>13372</v>
      </c>
      <c r="L4418" t="s">
        <v>36</v>
      </c>
      <c r="M4418" t="s">
        <v>19177</v>
      </c>
      <c r="N4418" t="s">
        <v>843</v>
      </c>
      <c r="O4418" t="s">
        <v>987</v>
      </c>
      <c r="P4418" t="s">
        <v>842</v>
      </c>
    </row>
    <row r="4419">
      <c r="A4419">
        <f>HYPERLINK("http://bombeiros.sp.gov.br/hidrantes/03individual/26913.html","26913")</f>
      </c>
      <c r="B4419" t="s">
        <v>842</v>
      </c>
      <c r="C4419" t="s">
        <v>975</v>
      </c>
      <c r="D4419" t="s">
        <v>16384</v>
      </c>
      <c r="E4419" t="s">
        <v>15</v>
      </c>
      <c r="F4419" t="s">
        <v>16385</v>
      </c>
      <c r="G4419" t="s">
        <v>17909</v>
      </c>
      <c r="H4419" t="s">
        <v>1121</v>
      </c>
      <c r="I4419" t="s">
        <v>1117</v>
      </c>
      <c r="J4419" t="s">
        <v>16386</v>
      </c>
      <c r="K4419" t="s">
        <v>16387</v>
      </c>
      <c r="L4419" t="s">
        <v>21</v>
      </c>
      <c r="M4419" t="s">
        <v>19177</v>
      </c>
      <c r="N4419" t="s">
        <v>843</v>
      </c>
      <c r="O4419" t="s">
        <v>987</v>
      </c>
      <c r="P4419" t="s">
        <v>842</v>
      </c>
    </row>
    <row r="4420">
      <c r="A4420">
        <f>HYPERLINK("http://bombeiros.sp.gov.br/hidrantes/03individual/10058.html","10058")</f>
      </c>
      <c r="B4420" t="s">
        <v>842</v>
      </c>
      <c r="C4420" t="s">
        <v>979</v>
      </c>
      <c r="D4420" t="s">
        <v>980</v>
      </c>
      <c r="E4420" t="s">
        <v>1507</v>
      </c>
      <c r="F4420" t="s">
        <v>13373</v>
      </c>
      <c r="G4420" t="s">
        <v>17921</v>
      </c>
      <c r="H4420" t="s">
        <v>1112</v>
      </c>
      <c r="I4420" t="s">
        <v>1108</v>
      </c>
      <c r="J4420" t="s">
        <v>13374</v>
      </c>
      <c r="K4420" t="s">
        <v>13375</v>
      </c>
      <c r="L4420" t="s">
        <v>21</v>
      </c>
      <c r="M4420" t="s">
        <v>19177</v>
      </c>
      <c r="N4420" t="s">
        <v>843</v>
      </c>
      <c r="O4420" t="s">
        <v>987</v>
      </c>
      <c r="P4420" t="s">
        <v>842</v>
      </c>
    </row>
    <row r="4421">
      <c r="A4421">
        <f>HYPERLINK("http://bombeiros.sp.gov.br/hidrantes/03individual/4110.html","4110")</f>
      </c>
      <c r="B4421" t="s">
        <v>842</v>
      </c>
      <c r="C4421" t="s">
        <v>979</v>
      </c>
      <c r="D4421" t="s">
        <v>980</v>
      </c>
      <c r="E4421" t="s">
        <v>64</v>
      </c>
      <c r="F4421" t="s">
        <v>13376</v>
      </c>
      <c r="G4421" t="s">
        <v>18055</v>
      </c>
      <c r="H4421" t="s">
        <v>1112</v>
      </c>
      <c r="I4421" t="s">
        <v>1108</v>
      </c>
      <c r="J4421" t="s">
        <v>13377</v>
      </c>
      <c r="K4421" t="s">
        <v>13378</v>
      </c>
      <c r="L4421" t="s">
        <v>36</v>
      </c>
      <c r="M4421" t="s">
        <v>19177</v>
      </c>
      <c r="N4421" t="s">
        <v>843</v>
      </c>
      <c r="O4421" t="s">
        <v>987</v>
      </c>
      <c r="P4421" t="s">
        <v>842</v>
      </c>
    </row>
    <row r="4422">
      <c r="A4422">
        <f>HYPERLINK("http://bombeiros.sp.gov.br/hidrantes/03individual/4133.html","4133")</f>
      </c>
      <c r="B4422" t="s">
        <v>842</v>
      </c>
      <c r="C4422" t="s">
        <v>979</v>
      </c>
      <c r="D4422" t="s">
        <v>980</v>
      </c>
      <c r="E4422" t="s">
        <v>64</v>
      </c>
      <c r="F4422" t="s">
        <v>13379</v>
      </c>
      <c r="G4422" t="s">
        <v>17921</v>
      </c>
      <c r="H4422" t="s">
        <v>1112</v>
      </c>
      <c r="I4422" t="s">
        <v>1108</v>
      </c>
      <c r="J4422" t="s">
        <v>13380</v>
      </c>
      <c r="K4422" t="s">
        <v>13381</v>
      </c>
      <c r="L4422" t="s">
        <v>36</v>
      </c>
      <c r="M4422" t="s">
        <v>19177</v>
      </c>
      <c r="N4422" t="s">
        <v>843</v>
      </c>
      <c r="O4422" t="s">
        <v>987</v>
      </c>
      <c r="P4422" t="s">
        <v>842</v>
      </c>
    </row>
    <row r="4423">
      <c r="A4423">
        <f>HYPERLINK("http://bombeiros.sp.gov.br/hidrantes/03individual/4134.html","4134")</f>
      </c>
      <c r="B4423" t="s">
        <v>842</v>
      </c>
      <c r="C4423" t="s">
        <v>979</v>
      </c>
      <c r="D4423" t="s">
        <v>980</v>
      </c>
      <c r="E4423" t="s">
        <v>64</v>
      </c>
      <c r="F4423" t="s">
        <v>13382</v>
      </c>
      <c r="G4423" t="s">
        <v>17921</v>
      </c>
      <c r="H4423" t="s">
        <v>1121</v>
      </c>
      <c r="I4423" t="s">
        <v>1117</v>
      </c>
      <c r="J4423" t="s">
        <v>13383</v>
      </c>
      <c r="K4423" t="s">
        <v>13384</v>
      </c>
      <c r="L4423" t="s">
        <v>36</v>
      </c>
      <c r="M4423" t="s">
        <v>19177</v>
      </c>
      <c r="N4423" t="s">
        <v>843</v>
      </c>
      <c r="O4423" t="s">
        <v>987</v>
      </c>
      <c r="P4423" t="s">
        <v>842</v>
      </c>
    </row>
    <row r="4424">
      <c r="A4424">
        <f>HYPERLINK("http://bombeiros.sp.gov.br/hidrantes/03individual/6736.html","6736")</f>
      </c>
      <c r="B4424" t="s">
        <v>842</v>
      </c>
      <c r="C4424" t="s">
        <v>979</v>
      </c>
      <c r="D4424" t="s">
        <v>980</v>
      </c>
      <c r="E4424" t="s">
        <v>64</v>
      </c>
      <c r="F4424" t="s">
        <v>13385</v>
      </c>
      <c r="G4424" t="s">
        <v>17921</v>
      </c>
      <c r="H4424" t="s">
        <v>1112</v>
      </c>
      <c r="I4424" t="s">
        <v>1108</v>
      </c>
      <c r="J4424" t="s">
        <v>13386</v>
      </c>
      <c r="K4424" t="s">
        <v>13387</v>
      </c>
      <c r="L4424" t="s">
        <v>21</v>
      </c>
      <c r="M4424" t="s">
        <v>19177</v>
      </c>
      <c r="N4424" t="s">
        <v>843</v>
      </c>
      <c r="O4424" t="s">
        <v>987</v>
      </c>
      <c r="P4424" t="s">
        <v>842</v>
      </c>
    </row>
    <row r="4425">
      <c r="A4425">
        <f>HYPERLINK("http://bombeiros.sp.gov.br/hidrantes/03individual/24149.html","24149")</f>
      </c>
      <c r="B4425" t="s">
        <v>842</v>
      </c>
      <c r="C4425" t="s">
        <v>979</v>
      </c>
      <c r="D4425" t="s">
        <v>980</v>
      </c>
      <c r="E4425" t="s">
        <v>64</v>
      </c>
      <c r="F4425" t="s">
        <v>13391</v>
      </c>
      <c r="G4425" t="s">
        <v>17921</v>
      </c>
      <c r="H4425" t="s">
        <v>1112</v>
      </c>
      <c r="I4425" t="s">
        <v>1108</v>
      </c>
      <c r="J4425" t="s">
        <v>13392</v>
      </c>
      <c r="K4425" t="s">
        <v>13393</v>
      </c>
      <c r="L4425" t="s">
        <v>21</v>
      </c>
      <c r="M4425" t="s">
        <v>19177</v>
      </c>
      <c r="N4425" t="s">
        <v>843</v>
      </c>
      <c r="O4425" t="s">
        <v>987</v>
      </c>
      <c r="P4425" t="s">
        <v>842</v>
      </c>
    </row>
    <row r="4426">
      <c r="A4426">
        <f>HYPERLINK("http://bombeiros.sp.gov.br/hidrantes/03individual/2345.html","2345")</f>
      </c>
      <c r="B4426" t="s">
        <v>842</v>
      </c>
      <c r="C4426" t="s">
        <v>979</v>
      </c>
      <c r="D4426" t="s">
        <v>980</v>
      </c>
      <c r="E4426" t="s">
        <v>15</v>
      </c>
      <c r="F4426" t="s">
        <v>13394</v>
      </c>
      <c r="G4426" t="s">
        <v>18055</v>
      </c>
      <c r="H4426" t="s">
        <v>1112</v>
      </c>
      <c r="I4426" t="s">
        <v>1108</v>
      </c>
      <c r="J4426" t="s">
        <v>13395</v>
      </c>
      <c r="K4426" t="s">
        <v>13396</v>
      </c>
      <c r="L4426" t="s">
        <v>21</v>
      </c>
      <c r="M4426" t="s">
        <v>19177</v>
      </c>
      <c r="N4426" t="s">
        <v>843</v>
      </c>
      <c r="O4426" t="s">
        <v>987</v>
      </c>
      <c r="P4426" t="s">
        <v>842</v>
      </c>
    </row>
    <row r="4427">
      <c r="A4427">
        <f>HYPERLINK("http://bombeiros.sp.gov.br/hidrantes/03individual/2459.html","2459")</f>
      </c>
      <c r="B4427" t="s">
        <v>842</v>
      </c>
      <c r="C4427" t="s">
        <v>979</v>
      </c>
      <c r="D4427" t="s">
        <v>980</v>
      </c>
      <c r="E4427" t="s">
        <v>15</v>
      </c>
      <c r="F4427" t="s">
        <v>13400</v>
      </c>
      <c r="G4427" t="s">
        <v>17921</v>
      </c>
      <c r="H4427" t="s">
        <v>1121</v>
      </c>
      <c r="I4427" t="s">
        <v>1117</v>
      </c>
      <c r="J4427" t="s">
        <v>13401</v>
      </c>
      <c r="K4427" t="s">
        <v>13402</v>
      </c>
      <c r="L4427" t="s">
        <v>21</v>
      </c>
      <c r="M4427" t="s">
        <v>19177</v>
      </c>
      <c r="N4427" t="s">
        <v>843</v>
      </c>
      <c r="O4427" t="s">
        <v>987</v>
      </c>
      <c r="P4427" t="s">
        <v>842</v>
      </c>
    </row>
    <row r="4428">
      <c r="A4428">
        <f>HYPERLINK("http://bombeiros.sp.gov.br/hidrantes/03individual/4150.html","4150")</f>
      </c>
      <c r="B4428" t="s">
        <v>842</v>
      </c>
      <c r="C4428" t="s">
        <v>979</v>
      </c>
      <c r="D4428" t="s">
        <v>980</v>
      </c>
      <c r="E4428" t="s">
        <v>15</v>
      </c>
      <c r="F4428" t="s">
        <v>13403</v>
      </c>
      <c r="G4428" t="s">
        <v>17911</v>
      </c>
      <c r="H4428" t="s">
        <v>1112</v>
      </c>
      <c r="I4428" t="s">
        <v>1108</v>
      </c>
      <c r="J4428" t="s">
        <v>13404</v>
      </c>
      <c r="K4428" t="s">
        <v>13405</v>
      </c>
      <c r="L4428" t="s">
        <v>21</v>
      </c>
      <c r="M4428" t="s">
        <v>19177</v>
      </c>
      <c r="N4428" t="s">
        <v>843</v>
      </c>
      <c r="O4428" t="s">
        <v>987</v>
      </c>
      <c r="P4428" t="s">
        <v>842</v>
      </c>
    </row>
    <row r="4429">
      <c r="A4429">
        <f>HYPERLINK("http://bombeiros.sp.gov.br/hidrantes/03individual/17805.html","17805")</f>
      </c>
      <c r="B4429" t="s">
        <v>842</v>
      </c>
      <c r="C4429" t="s">
        <v>979</v>
      </c>
      <c r="D4429" t="s">
        <v>980</v>
      </c>
      <c r="E4429" t="s">
        <v>15</v>
      </c>
      <c r="F4429" t="s">
        <v>13406</v>
      </c>
      <c r="G4429" t="s">
        <v>18055</v>
      </c>
      <c r="H4429" t="s">
        <v>1112</v>
      </c>
      <c r="I4429" t="s">
        <v>1108</v>
      </c>
      <c r="J4429" t="s">
        <v>13407</v>
      </c>
      <c r="K4429" t="s">
        <v>13408</v>
      </c>
      <c r="L4429" t="s">
        <v>21</v>
      </c>
      <c r="M4429" t="s">
        <v>19177</v>
      </c>
      <c r="N4429" t="s">
        <v>843</v>
      </c>
      <c r="O4429" t="s">
        <v>987</v>
      </c>
      <c r="P4429" t="s">
        <v>842</v>
      </c>
    </row>
    <row r="4430">
      <c r="A4430">
        <f>HYPERLINK("http://bombeiros.sp.gov.br/hidrantes/03individual/2492.html","2492")</f>
      </c>
      <c r="B4430" t="s">
        <v>842</v>
      </c>
      <c r="C4430" t="s">
        <v>979</v>
      </c>
      <c r="D4430" t="s">
        <v>987</v>
      </c>
      <c r="E4430" t="s">
        <v>64</v>
      </c>
      <c r="F4430" t="s">
        <v>13409</v>
      </c>
      <c r="G4430" t="s">
        <v>17911</v>
      </c>
      <c r="H4430" t="s">
        <v>1112</v>
      </c>
      <c r="I4430" t="s">
        <v>1108</v>
      </c>
      <c r="J4430" t="s">
        <v>13410</v>
      </c>
      <c r="K4430" t="s">
        <v>13411</v>
      </c>
      <c r="L4430" t="s">
        <v>21</v>
      </c>
      <c r="M4430" t="s">
        <v>19177</v>
      </c>
      <c r="N4430" t="s">
        <v>843</v>
      </c>
      <c r="O4430" t="s">
        <v>987</v>
      </c>
      <c r="P4430" t="s">
        <v>842</v>
      </c>
    </row>
    <row r="4431">
      <c r="A4431">
        <f>HYPERLINK("http://bombeiros.sp.gov.br/hidrantes/03individual/4402.html","4402")</f>
      </c>
      <c r="B4431" t="s">
        <v>842</v>
      </c>
      <c r="C4431" t="s">
        <v>979</v>
      </c>
      <c r="D4431" t="s">
        <v>987</v>
      </c>
      <c r="E4431" t="s">
        <v>64</v>
      </c>
      <c r="F4431" t="s">
        <v>13412</v>
      </c>
      <c r="G4431" t="s">
        <v>17911</v>
      </c>
      <c r="H4431" t="s">
        <v>1121</v>
      </c>
      <c r="I4431" t="s">
        <v>1117</v>
      </c>
      <c r="J4431" t="s">
        <v>13413</v>
      </c>
      <c r="K4431" t="s">
        <v>13414</v>
      </c>
      <c r="L4431" t="s">
        <v>36</v>
      </c>
      <c r="M4431" t="s">
        <v>19177</v>
      </c>
      <c r="N4431" t="s">
        <v>843</v>
      </c>
      <c r="O4431" t="s">
        <v>987</v>
      </c>
      <c r="P4431" t="s">
        <v>842</v>
      </c>
    </row>
    <row r="4432">
      <c r="A4432">
        <f>HYPERLINK("http://bombeiros.sp.gov.br/hidrantes/03individual/6737.html","6737")</f>
      </c>
      <c r="B4432" t="s">
        <v>842</v>
      </c>
      <c r="C4432" t="s">
        <v>979</v>
      </c>
      <c r="D4432" t="s">
        <v>987</v>
      </c>
      <c r="E4432" t="s">
        <v>64</v>
      </c>
      <c r="F4432" t="s">
        <v>13415</v>
      </c>
      <c r="G4432" t="s">
        <v>17911</v>
      </c>
      <c r="H4432" t="s">
        <v>1112</v>
      </c>
      <c r="I4432" t="s">
        <v>1108</v>
      </c>
      <c r="J4432" t="s">
        <v>13416</v>
      </c>
      <c r="K4432" t="s">
        <v>13417</v>
      </c>
      <c r="L4432" t="s">
        <v>21</v>
      </c>
      <c r="M4432" t="s">
        <v>19177</v>
      </c>
      <c r="N4432" t="s">
        <v>843</v>
      </c>
      <c r="O4432" t="s">
        <v>987</v>
      </c>
      <c r="P4432" t="s">
        <v>842</v>
      </c>
    </row>
    <row r="4433">
      <c r="A4433">
        <f>HYPERLINK("http://bombeiros.sp.gov.br/hidrantes/03individual/2347.html","2347")</f>
      </c>
      <c r="B4433" t="s">
        <v>842</v>
      </c>
      <c r="C4433" t="s">
        <v>979</v>
      </c>
      <c r="D4433" t="s">
        <v>987</v>
      </c>
      <c r="E4433" t="s">
        <v>15</v>
      </c>
      <c r="F4433" t="s">
        <v>988</v>
      </c>
      <c r="G4433" t="s">
        <v>17911</v>
      </c>
      <c r="H4433" t="s">
        <v>1121</v>
      </c>
      <c r="I4433" t="s">
        <v>1117</v>
      </c>
      <c r="J4433" t="s">
        <v>990</v>
      </c>
      <c r="K4433" t="s">
        <v>991</v>
      </c>
      <c r="L4433" t="s">
        <v>21</v>
      </c>
      <c r="M4433" t="s">
        <v>19177</v>
      </c>
      <c r="N4433" t="s">
        <v>843</v>
      </c>
      <c r="O4433" t="s">
        <v>987</v>
      </c>
      <c r="P4433" t="s">
        <v>842</v>
      </c>
    </row>
    <row r="4434">
      <c r="A4434">
        <f>HYPERLINK("http://bombeiros.sp.gov.br/hidrantes/03individual/4405.html","4405")</f>
      </c>
      <c r="B4434" t="s">
        <v>842</v>
      </c>
      <c r="C4434" t="s">
        <v>979</v>
      </c>
      <c r="D4434" t="s">
        <v>987</v>
      </c>
      <c r="E4434" t="s">
        <v>15</v>
      </c>
      <c r="F4434" t="s">
        <v>13418</v>
      </c>
      <c r="G4434" t="s">
        <v>17911</v>
      </c>
      <c r="H4434" t="s">
        <v>1121</v>
      </c>
      <c r="I4434" t="s">
        <v>1117</v>
      </c>
      <c r="J4434" t="s">
        <v>13419</v>
      </c>
      <c r="K4434" t="s">
        <v>13420</v>
      </c>
      <c r="L4434" t="s">
        <v>21</v>
      </c>
      <c r="M4434" t="s">
        <v>19177</v>
      </c>
      <c r="N4434" t="s">
        <v>843</v>
      </c>
      <c r="O4434" t="s">
        <v>987</v>
      </c>
      <c r="P4434" t="s">
        <v>842</v>
      </c>
    </row>
    <row r="4435">
      <c r="A4435">
        <f>HYPERLINK("http://bombeiros.sp.gov.br/hidrantes/03individual/6721.html","6721")</f>
      </c>
      <c r="B4435" t="s">
        <v>842</v>
      </c>
      <c r="C4435" t="s">
        <v>979</v>
      </c>
      <c r="D4435" t="s">
        <v>979</v>
      </c>
      <c r="E4435" t="s">
        <v>64</v>
      </c>
      <c r="F4435" t="s">
        <v>13424</v>
      </c>
      <c r="G4435" t="s">
        <v>17921</v>
      </c>
      <c r="H4435" t="s">
        <v>1112</v>
      </c>
      <c r="I4435" t="s">
        <v>1117</v>
      </c>
      <c r="J4435" t="s">
        <v>13425</v>
      </c>
      <c r="K4435" t="s">
        <v>13426</v>
      </c>
      <c r="L4435" t="s">
        <v>36</v>
      </c>
      <c r="M4435" t="s">
        <v>19177</v>
      </c>
      <c r="N4435" t="s">
        <v>848</v>
      </c>
      <c r="O4435" t="s">
        <v>640</v>
      </c>
      <c r="P4435" t="s">
        <v>623</v>
      </c>
    </row>
    <row r="4436">
      <c r="A4436">
        <f>HYPERLINK("http://bombeiros.sp.gov.br/hidrantes/03individual/27404.html","27404")</f>
      </c>
      <c r="B4436" t="s">
        <v>842</v>
      </c>
      <c r="C4436" t="s">
        <v>979</v>
      </c>
      <c r="D4436" t="s">
        <v>979</v>
      </c>
      <c r="E4436" t="s">
        <v>64</v>
      </c>
      <c r="F4436" t="s">
        <v>17378</v>
      </c>
      <c r="G4436" t="s">
        <v>17921</v>
      </c>
      <c r="H4436" t="s">
        <v>1121</v>
      </c>
      <c r="I4436" t="s">
        <v>1117</v>
      </c>
      <c r="J4436" t="s">
        <v>17379</v>
      </c>
      <c r="K4436" t="s">
        <v>17380</v>
      </c>
      <c r="L4436" t="s">
        <v>21</v>
      </c>
      <c r="M4436" t="s">
        <v>19177</v>
      </c>
      <c r="N4436" t="s">
        <v>848</v>
      </c>
      <c r="O4436" t="s">
        <v>640</v>
      </c>
      <c r="P4436" t="s">
        <v>623</v>
      </c>
    </row>
    <row r="4437">
      <c r="A4437">
        <f>HYPERLINK("http://bombeiros.sp.gov.br/hidrantes/03individual/2457.html","2457")</f>
      </c>
      <c r="B4437" t="s">
        <v>842</v>
      </c>
      <c r="C4437" t="s">
        <v>979</v>
      </c>
      <c r="D4437" t="s">
        <v>979</v>
      </c>
      <c r="E4437" t="s">
        <v>15</v>
      </c>
      <c r="F4437" t="s">
        <v>13427</v>
      </c>
      <c r="G4437" t="s">
        <v>17915</v>
      </c>
      <c r="H4437" t="s">
        <v>1112</v>
      </c>
      <c r="I4437" t="s">
        <v>1108</v>
      </c>
      <c r="J4437" t="s">
        <v>13428</v>
      </c>
      <c r="K4437" t="s">
        <v>13429</v>
      </c>
      <c r="L4437" t="s">
        <v>21</v>
      </c>
      <c r="M4437" t="s">
        <v>19177</v>
      </c>
      <c r="N4437" t="s">
        <v>843</v>
      </c>
      <c r="O4437" t="s">
        <v>987</v>
      </c>
      <c r="P4437" t="s">
        <v>842</v>
      </c>
    </row>
    <row r="4438">
      <c r="A4438">
        <f>HYPERLINK("http://bombeiros.sp.gov.br/hidrantes/03individual/2502.html","2502")</f>
      </c>
      <c r="B4438" t="s">
        <v>842</v>
      </c>
      <c r="C4438" t="s">
        <v>979</v>
      </c>
      <c r="D4438" t="s">
        <v>979</v>
      </c>
      <c r="E4438" t="s">
        <v>15</v>
      </c>
      <c r="F4438" t="s">
        <v>13430</v>
      </c>
      <c r="G4438" t="s">
        <v>18211</v>
      </c>
      <c r="H4438" t="s">
        <v>1121</v>
      </c>
      <c r="I4438" t="s">
        <v>1117</v>
      </c>
      <c r="J4438" t="s">
        <v>13431</v>
      </c>
      <c r="K4438" t="s">
        <v>13432</v>
      </c>
      <c r="L4438" t="s">
        <v>21</v>
      </c>
      <c r="M4438" t="s">
        <v>19177</v>
      </c>
      <c r="N4438" t="s">
        <v>843</v>
      </c>
      <c r="O4438" t="s">
        <v>987</v>
      </c>
      <c r="P4438" t="s">
        <v>842</v>
      </c>
    </row>
    <row r="4439">
      <c r="A4439">
        <f>HYPERLINK("http://bombeiros.sp.gov.br/hidrantes/03individual/2504.html","2504")</f>
      </c>
      <c r="B4439" t="s">
        <v>842</v>
      </c>
      <c r="C4439" t="s">
        <v>979</v>
      </c>
      <c r="D4439" t="s">
        <v>979</v>
      </c>
      <c r="E4439" t="s">
        <v>15</v>
      </c>
      <c r="F4439" t="s">
        <v>13433</v>
      </c>
      <c r="G4439" t="s">
        <v>17921</v>
      </c>
      <c r="H4439" t="s">
        <v>1174</v>
      </c>
      <c r="I4439" t="s">
        <v>1108</v>
      </c>
      <c r="J4439" t="s">
        <v>13435</v>
      </c>
      <c r="K4439" t="s">
        <v>13436</v>
      </c>
      <c r="L4439" t="s">
        <v>21</v>
      </c>
      <c r="M4439" t="s">
        <v>19177</v>
      </c>
      <c r="N4439" t="s">
        <v>843</v>
      </c>
      <c r="O4439" t="s">
        <v>987</v>
      </c>
      <c r="P4439" t="s">
        <v>842</v>
      </c>
    </row>
    <row r="4440">
      <c r="A4440">
        <f>HYPERLINK("http://bombeiros.sp.gov.br/hidrantes/03individual/2505.html","2505")</f>
      </c>
      <c r="B4440" t="s">
        <v>842</v>
      </c>
      <c r="C4440" t="s">
        <v>979</v>
      </c>
      <c r="D4440" t="s">
        <v>979</v>
      </c>
      <c r="E4440" t="s">
        <v>15</v>
      </c>
      <c r="F4440" t="s">
        <v>13437</v>
      </c>
      <c r="G4440" t="s">
        <v>17915</v>
      </c>
      <c r="H4440" t="s">
        <v>1112</v>
      </c>
      <c r="I4440" t="s">
        <v>1108</v>
      </c>
      <c r="J4440" t="s">
        <v>13438</v>
      </c>
      <c r="K4440" t="s">
        <v>13439</v>
      </c>
      <c r="L4440" t="s">
        <v>21</v>
      </c>
      <c r="M4440" t="s">
        <v>19177</v>
      </c>
      <c r="N4440" t="s">
        <v>843</v>
      </c>
      <c r="O4440" t="s">
        <v>987</v>
      </c>
      <c r="P4440" t="s">
        <v>842</v>
      </c>
    </row>
    <row r="4441">
      <c r="A4441">
        <f>HYPERLINK("http://bombeiros.sp.gov.br/hidrantes/03individual/4109.html","4109")</f>
      </c>
      <c r="B4441" t="s">
        <v>842</v>
      </c>
      <c r="C4441" t="s">
        <v>979</v>
      </c>
      <c r="D4441" t="s">
        <v>979</v>
      </c>
      <c r="E4441" t="s">
        <v>15</v>
      </c>
      <c r="F4441" t="s">
        <v>13440</v>
      </c>
      <c r="G4441" t="s">
        <v>18211</v>
      </c>
      <c r="H4441" t="s">
        <v>1121</v>
      </c>
      <c r="I4441" t="s">
        <v>1117</v>
      </c>
      <c r="J4441" t="s">
        <v>13441</v>
      </c>
      <c r="K4441" t="s">
        <v>13442</v>
      </c>
      <c r="L4441" t="s">
        <v>21</v>
      </c>
      <c r="M4441" t="s">
        <v>19177</v>
      </c>
      <c r="N4441" t="s">
        <v>848</v>
      </c>
      <c r="O4441" t="s">
        <v>640</v>
      </c>
      <c r="P4441" t="s">
        <v>623</v>
      </c>
    </row>
    <row r="4442">
      <c r="A4442">
        <f>HYPERLINK("http://bombeiros.sp.gov.br/hidrantes/03individual/4111.html","4111")</f>
      </c>
      <c r="B4442" t="s">
        <v>842</v>
      </c>
      <c r="C4442" t="s">
        <v>979</v>
      </c>
      <c r="D4442" t="s">
        <v>979</v>
      </c>
      <c r="E4442" t="s">
        <v>15</v>
      </c>
      <c r="F4442" t="s">
        <v>13443</v>
      </c>
      <c r="G4442" t="s">
        <v>17921</v>
      </c>
      <c r="H4442" t="s">
        <v>1121</v>
      </c>
      <c r="I4442" t="s">
        <v>1117</v>
      </c>
      <c r="J4442" t="s">
        <v>13444</v>
      </c>
      <c r="K4442" t="s">
        <v>13445</v>
      </c>
      <c r="L4442" t="s">
        <v>21</v>
      </c>
      <c r="M4442" t="s">
        <v>19177</v>
      </c>
      <c r="N4442" t="s">
        <v>843</v>
      </c>
      <c r="O4442" t="s">
        <v>987</v>
      </c>
      <c r="P4442" t="s">
        <v>842</v>
      </c>
    </row>
    <row r="4443">
      <c r="A4443">
        <f>HYPERLINK("http://bombeiros.sp.gov.br/hidrantes/03individual/16626.html","16626")</f>
      </c>
      <c r="B4443" t="s">
        <v>842</v>
      </c>
      <c r="C4443" t="s">
        <v>979</v>
      </c>
      <c r="D4443" t="s">
        <v>979</v>
      </c>
      <c r="E4443" t="s">
        <v>15</v>
      </c>
      <c r="F4443" t="s">
        <v>13446</v>
      </c>
      <c r="G4443" t="s">
        <v>17921</v>
      </c>
      <c r="H4443" t="s">
        <v>1112</v>
      </c>
      <c r="I4443" t="s">
        <v>1108</v>
      </c>
      <c r="J4443" t="s">
        <v>13447</v>
      </c>
      <c r="K4443" t="s">
        <v>13448</v>
      </c>
      <c r="L4443" t="s">
        <v>21</v>
      </c>
      <c r="M4443" t="s">
        <v>19177</v>
      </c>
      <c r="N4443" t="s">
        <v>848</v>
      </c>
      <c r="O4443" t="s">
        <v>640</v>
      </c>
      <c r="P4443" t="s">
        <v>623</v>
      </c>
    </row>
    <row r="4444">
      <c r="A4444">
        <f>HYPERLINK("http://bombeiros.sp.gov.br/hidrantes/03individual/3784.html","3784")</f>
      </c>
      <c r="B4444" t="s">
        <v>842</v>
      </c>
      <c r="C4444" t="s">
        <v>996</v>
      </c>
      <c r="D4444" t="s">
        <v>13449</v>
      </c>
      <c r="E4444" t="s">
        <v>1507</v>
      </c>
      <c r="F4444" t="s">
        <v>13450</v>
      </c>
      <c r="G4444" t="s">
        <v>18083</v>
      </c>
      <c r="H4444" t="s">
        <v>1107</v>
      </c>
      <c r="I4444" t="s">
        <v>1108</v>
      </c>
      <c r="J4444" t="s">
        <v>13451</v>
      </c>
      <c r="K4444" t="s">
        <v>13452</v>
      </c>
      <c r="L4444" t="s">
        <v>36</v>
      </c>
      <c r="M4444" t="s">
        <v>19177</v>
      </c>
      <c r="N4444" t="s">
        <v>714</v>
      </c>
      <c r="O4444" t="s">
        <v>10263</v>
      </c>
      <c r="P4444" t="s">
        <v>12</v>
      </c>
    </row>
    <row r="4445">
      <c r="A4445">
        <f>HYPERLINK("http://bombeiros.sp.gov.br/hidrantes/03individual/3698.html","3698")</f>
      </c>
      <c r="B4445" t="s">
        <v>842</v>
      </c>
      <c r="C4445" t="s">
        <v>996</v>
      </c>
      <c r="D4445" t="s">
        <v>13449</v>
      </c>
      <c r="E4445" t="s">
        <v>64</v>
      </c>
      <c r="F4445" t="s">
        <v>13453</v>
      </c>
      <c r="G4445" t="s">
        <v>18129</v>
      </c>
      <c r="H4445" t="s">
        <v>1112</v>
      </c>
      <c r="I4445" t="s">
        <v>1108</v>
      </c>
      <c r="J4445" t="s">
        <v>13454</v>
      </c>
      <c r="K4445" t="s">
        <v>13455</v>
      </c>
      <c r="L4445" t="s">
        <v>36</v>
      </c>
      <c r="M4445" t="s">
        <v>19177</v>
      </c>
      <c r="N4445" t="s">
        <v>714</v>
      </c>
      <c r="O4445" t="s">
        <v>10263</v>
      </c>
      <c r="P4445" t="s">
        <v>12</v>
      </c>
    </row>
    <row r="4446">
      <c r="A4446">
        <f>HYPERLINK("http://bombeiros.sp.gov.br/hidrantes/03individual/3783.html","3783")</f>
      </c>
      <c r="B4446" t="s">
        <v>842</v>
      </c>
      <c r="C4446" t="s">
        <v>996</v>
      </c>
      <c r="D4446" t="s">
        <v>13449</v>
      </c>
      <c r="E4446" t="s">
        <v>64</v>
      </c>
      <c r="F4446" t="s">
        <v>13456</v>
      </c>
      <c r="G4446" t="s">
        <v>18544</v>
      </c>
      <c r="H4446" t="s">
        <v>1121</v>
      </c>
      <c r="I4446" t="s">
        <v>1117</v>
      </c>
      <c r="J4446" t="s">
        <v>13457</v>
      </c>
      <c r="K4446" t="s">
        <v>13458</v>
      </c>
      <c r="L4446" t="s">
        <v>36</v>
      </c>
      <c r="M4446" t="s">
        <v>19177</v>
      </c>
      <c r="N4446" t="s">
        <v>714</v>
      </c>
      <c r="O4446" t="s">
        <v>10263</v>
      </c>
      <c r="P4446" t="s">
        <v>12</v>
      </c>
    </row>
    <row r="4447">
      <c r="A4447">
        <f>HYPERLINK("http://bombeiros.sp.gov.br/hidrantes/03individual/4005.html","4005")</f>
      </c>
      <c r="B4447" t="s">
        <v>842</v>
      </c>
      <c r="C4447" t="s">
        <v>996</v>
      </c>
      <c r="D4447" t="s">
        <v>13449</v>
      </c>
      <c r="E4447" t="s">
        <v>64</v>
      </c>
      <c r="F4447" t="s">
        <v>13459</v>
      </c>
      <c r="G4447" t="s">
        <v>18129</v>
      </c>
      <c r="H4447" t="s">
        <v>1112</v>
      </c>
      <c r="I4447" t="s">
        <v>1108</v>
      </c>
      <c r="J4447" t="s">
        <v>13461</v>
      </c>
      <c r="K4447" t="s">
        <v>13462</v>
      </c>
      <c r="L4447" t="s">
        <v>36</v>
      </c>
      <c r="M4447" t="s">
        <v>19177</v>
      </c>
      <c r="N4447" t="s">
        <v>714</v>
      </c>
      <c r="O4447" t="s">
        <v>10263</v>
      </c>
      <c r="P4447" t="s">
        <v>12</v>
      </c>
    </row>
    <row r="4448">
      <c r="A4448">
        <f>HYPERLINK("http://bombeiros.sp.gov.br/hidrantes/03individual/14930.html","14930")</f>
      </c>
      <c r="B4448" t="s">
        <v>842</v>
      </c>
      <c r="C4448" t="s">
        <v>996</v>
      </c>
      <c r="D4448" t="s">
        <v>13449</v>
      </c>
      <c r="E4448" t="s">
        <v>64</v>
      </c>
      <c r="F4448" t="s">
        <v>13463</v>
      </c>
      <c r="G4448" t="s">
        <v>18131</v>
      </c>
      <c r="H4448" t="s">
        <v>1121</v>
      </c>
      <c r="I4448" t="s">
        <v>1117</v>
      </c>
      <c r="J4448" t="s">
        <v>13464</v>
      </c>
      <c r="K4448" t="s">
        <v>13465</v>
      </c>
      <c r="L4448" t="s">
        <v>21</v>
      </c>
      <c r="M4448" t="s">
        <v>19177</v>
      </c>
      <c r="N4448" t="s">
        <v>714</v>
      </c>
      <c r="O4448" t="s">
        <v>10263</v>
      </c>
      <c r="P4448" t="s">
        <v>12</v>
      </c>
    </row>
    <row r="4449">
      <c r="A4449">
        <f>HYPERLINK("http://bombeiros.sp.gov.br/hidrantes/03individual/331.html","331")</f>
      </c>
      <c r="B4449" t="s">
        <v>842</v>
      </c>
      <c r="C4449" t="s">
        <v>996</v>
      </c>
      <c r="D4449" t="s">
        <v>13449</v>
      </c>
      <c r="E4449" t="s">
        <v>15</v>
      </c>
      <c r="F4449" t="s">
        <v>13466</v>
      </c>
      <c r="G4449" t="s">
        <v>18129</v>
      </c>
      <c r="H4449" t="s">
        <v>1112</v>
      </c>
      <c r="I4449" t="s">
        <v>1108</v>
      </c>
      <c r="J4449" t="s">
        <v>13467</v>
      </c>
      <c r="K4449" t="s">
        <v>13468</v>
      </c>
      <c r="L4449" t="s">
        <v>21</v>
      </c>
      <c r="M4449" t="s">
        <v>19177</v>
      </c>
      <c r="N4449" t="s">
        <v>714</v>
      </c>
      <c r="O4449" t="s">
        <v>10263</v>
      </c>
      <c r="P4449" t="s">
        <v>12</v>
      </c>
    </row>
    <row r="4450">
      <c r="A4450">
        <f>HYPERLINK("http://bombeiros.sp.gov.br/hidrantes/03individual/352.html","352")</f>
      </c>
      <c r="B4450" t="s">
        <v>842</v>
      </c>
      <c r="C4450" t="s">
        <v>996</v>
      </c>
      <c r="D4450" t="s">
        <v>13449</v>
      </c>
      <c r="E4450" t="s">
        <v>15</v>
      </c>
      <c r="F4450" t="s">
        <v>13469</v>
      </c>
      <c r="G4450" t="s">
        <v>18544</v>
      </c>
      <c r="H4450" t="s">
        <v>1107</v>
      </c>
      <c r="I4450" t="s">
        <v>1108</v>
      </c>
      <c r="J4450" t="s">
        <v>13470</v>
      </c>
      <c r="K4450" t="s">
        <v>13471</v>
      </c>
      <c r="L4450" t="s">
        <v>21</v>
      </c>
      <c r="M4450" t="s">
        <v>19177</v>
      </c>
      <c r="N4450" t="s">
        <v>714</v>
      </c>
      <c r="O4450" t="s">
        <v>10263</v>
      </c>
      <c r="P4450" t="s">
        <v>12</v>
      </c>
    </row>
    <row r="4451">
      <c r="A4451">
        <f>HYPERLINK("http://bombeiros.sp.gov.br/hidrantes/03individual/2177.html","2177")</f>
      </c>
      <c r="B4451" t="s">
        <v>842</v>
      </c>
      <c r="C4451" t="s">
        <v>996</v>
      </c>
      <c r="D4451" t="s">
        <v>13449</v>
      </c>
      <c r="E4451" t="s">
        <v>15</v>
      </c>
      <c r="F4451" t="s">
        <v>13472</v>
      </c>
      <c r="G4451" t="s">
        <v>18131</v>
      </c>
      <c r="H4451" t="s">
        <v>1112</v>
      </c>
      <c r="I4451" t="s">
        <v>1108</v>
      </c>
      <c r="J4451" t="s">
        <v>13473</v>
      </c>
      <c r="K4451" t="s">
        <v>13474</v>
      </c>
      <c r="L4451" t="s">
        <v>21</v>
      </c>
      <c r="M4451" t="s">
        <v>19177</v>
      </c>
      <c r="N4451" t="s">
        <v>714</v>
      </c>
      <c r="O4451" t="s">
        <v>10263</v>
      </c>
      <c r="P4451" t="s">
        <v>12</v>
      </c>
    </row>
    <row r="4452">
      <c r="A4452">
        <f>HYPERLINK("http://bombeiros.sp.gov.br/hidrantes/03individual/2178.html","2178")</f>
      </c>
      <c r="B4452" t="s">
        <v>842</v>
      </c>
      <c r="C4452" t="s">
        <v>996</v>
      </c>
      <c r="D4452" t="s">
        <v>13449</v>
      </c>
      <c r="E4452" t="s">
        <v>15</v>
      </c>
      <c r="F4452" t="s">
        <v>13475</v>
      </c>
      <c r="G4452" t="s">
        <v>18214</v>
      </c>
      <c r="H4452" t="s">
        <v>1112</v>
      </c>
      <c r="I4452" t="s">
        <v>1108</v>
      </c>
      <c r="J4452" t="s">
        <v>13476</v>
      </c>
      <c r="K4452" t="s">
        <v>13477</v>
      </c>
      <c r="L4452" t="s">
        <v>21</v>
      </c>
      <c r="M4452" t="s">
        <v>19177</v>
      </c>
      <c r="N4452" t="s">
        <v>714</v>
      </c>
      <c r="O4452" t="s">
        <v>10263</v>
      </c>
      <c r="P4452" t="s">
        <v>12</v>
      </c>
    </row>
    <row r="4453">
      <c r="A4453">
        <f>HYPERLINK("http://bombeiros.sp.gov.br/hidrantes/03individual/3993.html","3993")</f>
      </c>
      <c r="B4453" t="s">
        <v>842</v>
      </c>
      <c r="C4453" t="s">
        <v>996</v>
      </c>
      <c r="D4453" t="s">
        <v>13449</v>
      </c>
      <c r="E4453" t="s">
        <v>15</v>
      </c>
      <c r="F4453" t="s">
        <v>13478</v>
      </c>
      <c r="G4453" t="s">
        <v>18131</v>
      </c>
      <c r="H4453" t="s">
        <v>1112</v>
      </c>
      <c r="I4453" t="s">
        <v>1108</v>
      </c>
      <c r="J4453" t="s">
        <v>13479</v>
      </c>
      <c r="K4453" t="s">
        <v>13480</v>
      </c>
      <c r="L4453" t="s">
        <v>21</v>
      </c>
      <c r="M4453" t="s">
        <v>19177</v>
      </c>
      <c r="N4453" t="s">
        <v>714</v>
      </c>
      <c r="O4453" t="s">
        <v>10263</v>
      </c>
      <c r="P4453" t="s">
        <v>12</v>
      </c>
    </row>
    <row r="4454">
      <c r="A4454">
        <f>HYPERLINK("http://bombeiros.sp.gov.br/hidrantes/03individual/27286.html","27286")</f>
      </c>
      <c r="B4454" t="s">
        <v>842</v>
      </c>
      <c r="C4454" t="s">
        <v>996</v>
      </c>
      <c r="D4454" t="s">
        <v>997</v>
      </c>
      <c r="E4454" t="s">
        <v>64</v>
      </c>
      <c r="F4454" t="s">
        <v>17054</v>
      </c>
      <c r="G4454" t="s">
        <v>18167</v>
      </c>
      <c r="H4454" t="s">
        <v>1121</v>
      </c>
      <c r="I4454" t="s">
        <v>1117</v>
      </c>
      <c r="J4454" t="s">
        <v>17055</v>
      </c>
      <c r="K4454" t="s">
        <v>17056</v>
      </c>
      <c r="L4454" t="s">
        <v>21</v>
      </c>
      <c r="M4454" t="s">
        <v>19177</v>
      </c>
      <c r="N4454" t="s">
        <v>714</v>
      </c>
      <c r="O4454" t="s">
        <v>10263</v>
      </c>
      <c r="P4454" t="s">
        <v>12</v>
      </c>
    </row>
    <row r="4455">
      <c r="A4455">
        <f>HYPERLINK("http://bombeiros.sp.gov.br/hidrantes/03individual/27287.html","27287")</f>
      </c>
      <c r="B4455" t="s">
        <v>842</v>
      </c>
      <c r="C4455" t="s">
        <v>996</v>
      </c>
      <c r="D4455" t="s">
        <v>997</v>
      </c>
      <c r="E4455" t="s">
        <v>64</v>
      </c>
      <c r="F4455" t="s">
        <v>17057</v>
      </c>
      <c r="G4455" t="s">
        <v>18114</v>
      </c>
      <c r="H4455" t="s">
        <v>1107</v>
      </c>
      <c r="I4455" t="s">
        <v>1108</v>
      </c>
      <c r="J4455" t="s">
        <v>17058</v>
      </c>
      <c r="K4455" t="s">
        <v>17059</v>
      </c>
      <c r="L4455" t="s">
        <v>21</v>
      </c>
      <c r="M4455" t="s">
        <v>19177</v>
      </c>
      <c r="N4455" t="s">
        <v>714</v>
      </c>
      <c r="O4455" t="s">
        <v>10263</v>
      </c>
      <c r="P4455" t="s">
        <v>12</v>
      </c>
    </row>
    <row r="4456">
      <c r="A4456">
        <f>HYPERLINK("http://bombeiros.sp.gov.br/hidrantes/03individual/27452.html","27452")</f>
      </c>
      <c r="B4456" t="s">
        <v>842</v>
      </c>
      <c r="C4456" t="s">
        <v>996</v>
      </c>
      <c r="D4456" t="s">
        <v>997</v>
      </c>
      <c r="E4456" t="s">
        <v>64</v>
      </c>
      <c r="F4456" t="s">
        <v>17293</v>
      </c>
      <c r="G4456" t="s">
        <v>18062</v>
      </c>
      <c r="H4456" t="s">
        <v>1107</v>
      </c>
      <c r="I4456" t="s">
        <v>1108</v>
      </c>
      <c r="J4456" t="s">
        <v>17294</v>
      </c>
      <c r="K4456" t="s">
        <v>17295</v>
      </c>
      <c r="L4456" t="s">
        <v>21</v>
      </c>
      <c r="M4456" t="s">
        <v>19177</v>
      </c>
      <c r="N4456" t="s">
        <v>714</v>
      </c>
      <c r="O4456" t="s">
        <v>10263</v>
      </c>
      <c r="P4456" t="s">
        <v>12</v>
      </c>
    </row>
    <row r="4457">
      <c r="A4457">
        <f>HYPERLINK("http://bombeiros.sp.gov.br/hidrantes/03individual/27453.html","27453")</f>
      </c>
      <c r="B4457" t="s">
        <v>842</v>
      </c>
      <c r="C4457" t="s">
        <v>996</v>
      </c>
      <c r="D4457" t="s">
        <v>997</v>
      </c>
      <c r="E4457" t="s">
        <v>64</v>
      </c>
      <c r="F4457" t="s">
        <v>17381</v>
      </c>
      <c r="G4457" t="s">
        <v>18083</v>
      </c>
      <c r="H4457" t="s">
        <v>1107</v>
      </c>
      <c r="I4457" t="s">
        <v>1108</v>
      </c>
      <c r="J4457" t="s">
        <v>17382</v>
      </c>
      <c r="K4457" t="s">
        <v>17383</v>
      </c>
      <c r="L4457" t="s">
        <v>21</v>
      </c>
      <c r="M4457" t="s">
        <v>19177</v>
      </c>
      <c r="N4457" t="s">
        <v>714</v>
      </c>
      <c r="O4457" t="s">
        <v>10263</v>
      </c>
      <c r="P4457" t="s">
        <v>12</v>
      </c>
    </row>
    <row r="4458">
      <c r="A4458">
        <f>HYPERLINK("http://bombeiros.sp.gov.br/hidrantes/03individual/1757.html","1757")</f>
      </c>
      <c r="B4458" t="s">
        <v>842</v>
      </c>
      <c r="C4458" t="s">
        <v>996</v>
      </c>
      <c r="D4458" t="s">
        <v>997</v>
      </c>
      <c r="E4458" t="s">
        <v>15</v>
      </c>
      <c r="F4458" t="s">
        <v>13481</v>
      </c>
      <c r="G4458" t="s">
        <v>18083</v>
      </c>
      <c r="H4458" t="s">
        <v>1107</v>
      </c>
      <c r="I4458" t="s">
        <v>1108</v>
      </c>
      <c r="J4458" t="s">
        <v>13482</v>
      </c>
      <c r="K4458" t="s">
        <v>13483</v>
      </c>
      <c r="L4458" t="s">
        <v>21</v>
      </c>
      <c r="M4458" t="s">
        <v>19177</v>
      </c>
      <c r="N4458" t="s">
        <v>714</v>
      </c>
      <c r="O4458" t="s">
        <v>10263</v>
      </c>
      <c r="P4458" t="s">
        <v>12</v>
      </c>
    </row>
    <row r="4459">
      <c r="A4459">
        <f>HYPERLINK("http://bombeiros.sp.gov.br/hidrantes/03individual/10017.html","10017")</f>
      </c>
      <c r="B4459" t="s">
        <v>842</v>
      </c>
      <c r="C4459" t="s">
        <v>996</v>
      </c>
      <c r="D4459" t="s">
        <v>997</v>
      </c>
      <c r="E4459" t="s">
        <v>15</v>
      </c>
      <c r="F4459" t="s">
        <v>13484</v>
      </c>
      <c r="G4459" t="s">
        <v>18166</v>
      </c>
      <c r="H4459" t="s">
        <v>1174</v>
      </c>
      <c r="I4459" t="s">
        <v>1117</v>
      </c>
      <c r="J4459" t="s">
        <v>13485</v>
      </c>
      <c r="K4459" t="s">
        <v>13486</v>
      </c>
      <c r="L4459" t="s">
        <v>21</v>
      </c>
      <c r="M4459" t="s">
        <v>19177</v>
      </c>
      <c r="N4459" t="s">
        <v>714</v>
      </c>
      <c r="O4459" t="s">
        <v>10263</v>
      </c>
      <c r="P4459" t="s">
        <v>12</v>
      </c>
    </row>
    <row r="4460">
      <c r="A4460">
        <f>HYPERLINK("http://bombeiros.sp.gov.br/hidrantes/03individual/16570.html","16570")</f>
      </c>
      <c r="B4460" t="s">
        <v>842</v>
      </c>
      <c r="C4460" t="s">
        <v>996</v>
      </c>
      <c r="D4460" t="s">
        <v>997</v>
      </c>
      <c r="E4460" t="s">
        <v>15</v>
      </c>
      <c r="F4460" t="s">
        <v>13487</v>
      </c>
      <c r="G4460" t="s">
        <v>18166</v>
      </c>
      <c r="H4460" t="s">
        <v>1107</v>
      </c>
      <c r="I4460" t="s">
        <v>1108</v>
      </c>
      <c r="J4460" t="s">
        <v>13488</v>
      </c>
      <c r="K4460" t="s">
        <v>13489</v>
      </c>
      <c r="L4460" t="s">
        <v>21</v>
      </c>
      <c r="M4460" t="s">
        <v>19177</v>
      </c>
      <c r="N4460" t="s">
        <v>714</v>
      </c>
      <c r="O4460" t="s">
        <v>10263</v>
      </c>
      <c r="P4460" t="s">
        <v>12</v>
      </c>
    </row>
    <row r="4461">
      <c r="A4461">
        <f>HYPERLINK("http://bombeiros.sp.gov.br/hidrantes/03individual/26786.html","26786")</f>
      </c>
      <c r="B4461" t="s">
        <v>842</v>
      </c>
      <c r="C4461" t="s">
        <v>996</v>
      </c>
      <c r="D4461" t="s">
        <v>997</v>
      </c>
      <c r="E4461" t="s">
        <v>15</v>
      </c>
      <c r="F4461" t="s">
        <v>15809</v>
      </c>
      <c r="G4461" t="s">
        <v>17925</v>
      </c>
      <c r="H4461" t="s">
        <v>1174</v>
      </c>
      <c r="I4461" t="s">
        <v>1108</v>
      </c>
      <c r="J4461" t="s">
        <v>15810</v>
      </c>
      <c r="K4461" t="s">
        <v>15811</v>
      </c>
      <c r="L4461" t="s">
        <v>21</v>
      </c>
      <c r="M4461" t="s">
        <v>19177</v>
      </c>
      <c r="N4461" t="s">
        <v>714</v>
      </c>
      <c r="O4461" t="s">
        <v>10263</v>
      </c>
      <c r="P4461" t="s">
        <v>12</v>
      </c>
    </row>
    <row r="4462">
      <c r="A4462">
        <f>HYPERLINK("http://bombeiros.sp.gov.br/hidrantes/03individual/27288.html","27288")</f>
      </c>
      <c r="B4462" t="s">
        <v>842</v>
      </c>
      <c r="C4462" t="s">
        <v>996</v>
      </c>
      <c r="D4462" t="s">
        <v>997</v>
      </c>
      <c r="E4462" t="s">
        <v>15</v>
      </c>
      <c r="F4462" t="s">
        <v>17060</v>
      </c>
      <c r="G4462" t="s">
        <v>18178</v>
      </c>
      <c r="H4462" t="s">
        <v>1121</v>
      </c>
      <c r="I4462" t="s">
        <v>1117</v>
      </c>
      <c r="J4462" t="s">
        <v>17061</v>
      </c>
      <c r="K4462" t="s">
        <v>17062</v>
      </c>
      <c r="L4462" t="s">
        <v>21</v>
      </c>
      <c r="M4462" t="s">
        <v>19177</v>
      </c>
      <c r="N4462" t="s">
        <v>714</v>
      </c>
      <c r="O4462" t="s">
        <v>10263</v>
      </c>
      <c r="P4462" t="s">
        <v>12</v>
      </c>
    </row>
    <row r="4463">
      <c r="A4463">
        <f>HYPERLINK("http://bombeiros.sp.gov.br/hidrantes/03individual/326.html","326")</f>
      </c>
      <c r="B4463" t="s">
        <v>842</v>
      </c>
      <c r="C4463" t="s">
        <v>996</v>
      </c>
      <c r="D4463" t="s">
        <v>996</v>
      </c>
      <c r="E4463" t="s">
        <v>64</v>
      </c>
      <c r="F4463" t="s">
        <v>13490</v>
      </c>
      <c r="G4463" t="s">
        <v>18060</v>
      </c>
      <c r="H4463" t="s">
        <v>1107</v>
      </c>
      <c r="I4463" t="s">
        <v>1108</v>
      </c>
      <c r="J4463" t="s">
        <v>13491</v>
      </c>
      <c r="K4463" t="s">
        <v>13492</v>
      </c>
      <c r="L4463" t="s">
        <v>36</v>
      </c>
      <c r="M4463" t="s">
        <v>19177</v>
      </c>
      <c r="N4463" t="s">
        <v>714</v>
      </c>
      <c r="O4463" t="s">
        <v>10263</v>
      </c>
      <c r="P4463" t="s">
        <v>12</v>
      </c>
    </row>
    <row r="4464">
      <c r="A4464">
        <f>HYPERLINK("http://bombeiros.sp.gov.br/hidrantes/03individual/389.html","389")</f>
      </c>
      <c r="B4464" t="s">
        <v>842</v>
      </c>
      <c r="C4464" t="s">
        <v>996</v>
      </c>
      <c r="D4464" t="s">
        <v>996</v>
      </c>
      <c r="E4464" t="s">
        <v>64</v>
      </c>
      <c r="F4464" t="s">
        <v>13493</v>
      </c>
      <c r="G4464" t="s">
        <v>18544</v>
      </c>
      <c r="H4464" t="s">
        <v>1107</v>
      </c>
      <c r="I4464" t="s">
        <v>1108</v>
      </c>
      <c r="J4464" t="s">
        <v>13494</v>
      </c>
      <c r="K4464" t="s">
        <v>13495</v>
      </c>
      <c r="L4464" t="s">
        <v>36</v>
      </c>
      <c r="M4464" t="s">
        <v>19177</v>
      </c>
      <c r="N4464" t="s">
        <v>714</v>
      </c>
      <c r="O4464" t="s">
        <v>10263</v>
      </c>
      <c r="P4464" t="s">
        <v>12</v>
      </c>
    </row>
    <row r="4465">
      <c r="A4465">
        <f>HYPERLINK("http://bombeiros.sp.gov.br/hidrantes/03individual/3697.html","3697")</f>
      </c>
      <c r="B4465" t="s">
        <v>842</v>
      </c>
      <c r="C4465" t="s">
        <v>996</v>
      </c>
      <c r="D4465" t="s">
        <v>996</v>
      </c>
      <c r="E4465" t="s">
        <v>64</v>
      </c>
      <c r="F4465" t="s">
        <v>13496</v>
      </c>
      <c r="G4465" t="s">
        <v>18083</v>
      </c>
      <c r="H4465" t="s">
        <v>1107</v>
      </c>
      <c r="I4465" t="s">
        <v>1108</v>
      </c>
      <c r="J4465" t="s">
        <v>13497</v>
      </c>
      <c r="K4465" t="s">
        <v>13498</v>
      </c>
      <c r="L4465" t="s">
        <v>36</v>
      </c>
      <c r="M4465" t="s">
        <v>19177</v>
      </c>
      <c r="N4465" t="s">
        <v>714</v>
      </c>
      <c r="O4465" t="s">
        <v>10263</v>
      </c>
      <c r="P4465" t="s">
        <v>12</v>
      </c>
    </row>
    <row r="4466">
      <c r="A4466">
        <f>HYPERLINK("http://bombeiros.sp.gov.br/hidrantes/03individual/3701.html","3701")</f>
      </c>
      <c r="B4466" t="s">
        <v>842</v>
      </c>
      <c r="C4466" t="s">
        <v>996</v>
      </c>
      <c r="D4466" t="s">
        <v>996</v>
      </c>
      <c r="E4466" t="s">
        <v>64</v>
      </c>
      <c r="F4466" t="s">
        <v>13499</v>
      </c>
      <c r="G4466" t="s">
        <v>18167</v>
      </c>
      <c r="H4466" t="s">
        <v>1107</v>
      </c>
      <c r="I4466" t="s">
        <v>1108</v>
      </c>
      <c r="J4466" t="s">
        <v>13500</v>
      </c>
      <c r="K4466" t="s">
        <v>13501</v>
      </c>
      <c r="L4466" t="s">
        <v>36</v>
      </c>
      <c r="M4466" t="s">
        <v>19177</v>
      </c>
      <c r="N4466" t="s">
        <v>714</v>
      </c>
      <c r="O4466" t="s">
        <v>10263</v>
      </c>
      <c r="P4466" t="s">
        <v>12</v>
      </c>
    </row>
    <row r="4467">
      <c r="A4467">
        <f>HYPERLINK("http://bombeiros.sp.gov.br/hidrantes/03individual/3995.html","3995")</f>
      </c>
      <c r="B4467" t="s">
        <v>842</v>
      </c>
      <c r="C4467" t="s">
        <v>996</v>
      </c>
      <c r="D4467" t="s">
        <v>996</v>
      </c>
      <c r="E4467" t="s">
        <v>64</v>
      </c>
      <c r="F4467" t="s">
        <v>13502</v>
      </c>
      <c r="G4467" t="s">
        <v>18544</v>
      </c>
      <c r="H4467" t="s">
        <v>1107</v>
      </c>
      <c r="I4467" t="s">
        <v>1108</v>
      </c>
      <c r="J4467" t="s">
        <v>13503</v>
      </c>
      <c r="K4467" t="s">
        <v>13504</v>
      </c>
      <c r="L4467" t="s">
        <v>36</v>
      </c>
      <c r="M4467" t="s">
        <v>19177</v>
      </c>
      <c r="N4467" t="s">
        <v>714</v>
      </c>
      <c r="O4467" t="s">
        <v>10263</v>
      </c>
      <c r="P4467" t="s">
        <v>12</v>
      </c>
    </row>
    <row r="4468">
      <c r="A4468">
        <f>HYPERLINK("http://bombeiros.sp.gov.br/hidrantes/03individual/329.html","329")</f>
      </c>
      <c r="B4468" t="s">
        <v>842</v>
      </c>
      <c r="C4468" t="s">
        <v>996</v>
      </c>
      <c r="D4468" t="s">
        <v>996</v>
      </c>
      <c r="E4468" t="s">
        <v>15</v>
      </c>
      <c r="F4468" t="s">
        <v>13505</v>
      </c>
      <c r="G4468" t="s">
        <v>18544</v>
      </c>
      <c r="H4468" t="s">
        <v>1107</v>
      </c>
      <c r="I4468" t="s">
        <v>1108</v>
      </c>
      <c r="J4468" t="s">
        <v>16493</v>
      </c>
      <c r="K4468" t="s">
        <v>16494</v>
      </c>
      <c r="L4468" t="s">
        <v>21</v>
      </c>
      <c r="M4468" t="s">
        <v>19177</v>
      </c>
      <c r="N4468" t="s">
        <v>714</v>
      </c>
      <c r="O4468" t="s">
        <v>10263</v>
      </c>
      <c r="P4468" t="s">
        <v>12</v>
      </c>
    </row>
    <row r="4469">
      <c r="A4469">
        <f>HYPERLINK("http://bombeiros.sp.gov.br/hidrantes/03individual/383.html","383")</f>
      </c>
      <c r="B4469" t="s">
        <v>842</v>
      </c>
      <c r="C4469" t="s">
        <v>996</v>
      </c>
      <c r="D4469" t="s">
        <v>996</v>
      </c>
      <c r="E4469" t="s">
        <v>15</v>
      </c>
      <c r="F4469" t="s">
        <v>13508</v>
      </c>
      <c r="G4469" t="s">
        <v>18083</v>
      </c>
      <c r="H4469" t="s">
        <v>1107</v>
      </c>
      <c r="I4469" t="s">
        <v>1108</v>
      </c>
      <c r="J4469" t="s">
        <v>13509</v>
      </c>
      <c r="K4469" t="s">
        <v>13510</v>
      </c>
      <c r="L4469" t="s">
        <v>21</v>
      </c>
      <c r="M4469" t="s">
        <v>19177</v>
      </c>
      <c r="N4469" t="s">
        <v>714</v>
      </c>
      <c r="O4469" t="s">
        <v>10263</v>
      </c>
      <c r="P4469" t="s">
        <v>12</v>
      </c>
    </row>
    <row r="4470">
      <c r="A4470">
        <f>HYPERLINK("http://bombeiros.sp.gov.br/hidrantes/03individual/391.html","391")</f>
      </c>
      <c r="B4470" t="s">
        <v>842</v>
      </c>
      <c r="C4470" t="s">
        <v>996</v>
      </c>
      <c r="D4470" t="s">
        <v>996</v>
      </c>
      <c r="E4470" t="s">
        <v>15</v>
      </c>
      <c r="F4470" t="s">
        <v>13511</v>
      </c>
      <c r="G4470" t="s">
        <v>18544</v>
      </c>
      <c r="H4470" t="s">
        <v>1107</v>
      </c>
      <c r="I4470" t="s">
        <v>1108</v>
      </c>
      <c r="J4470" t="s">
        <v>13512</v>
      </c>
      <c r="K4470" t="s">
        <v>13513</v>
      </c>
      <c r="L4470" t="s">
        <v>21</v>
      </c>
      <c r="M4470" t="s">
        <v>19177</v>
      </c>
      <c r="N4470" t="s">
        <v>714</v>
      </c>
      <c r="O4470" t="s">
        <v>10263</v>
      </c>
      <c r="P4470" t="s">
        <v>12</v>
      </c>
    </row>
    <row r="4471">
      <c r="A4471">
        <f>HYPERLINK("http://bombeiros.sp.gov.br/hidrantes/03individual/402.html","402")</f>
      </c>
      <c r="B4471" t="s">
        <v>842</v>
      </c>
      <c r="C4471" t="s">
        <v>996</v>
      </c>
      <c r="D4471" t="s">
        <v>996</v>
      </c>
      <c r="E4471" t="s">
        <v>15</v>
      </c>
      <c r="F4471" t="s">
        <v>13514</v>
      </c>
      <c r="G4471" t="s">
        <v>18053</v>
      </c>
      <c r="H4471" t="s">
        <v>1112</v>
      </c>
      <c r="I4471" t="s">
        <v>1108</v>
      </c>
      <c r="J4471" t="s">
        <v>13515</v>
      </c>
      <c r="K4471" t="s">
        <v>13516</v>
      </c>
      <c r="L4471" t="s">
        <v>21</v>
      </c>
      <c r="M4471" t="s">
        <v>19177</v>
      </c>
      <c r="N4471" t="s">
        <v>714</v>
      </c>
      <c r="O4471" t="s">
        <v>10263</v>
      </c>
      <c r="P4471" t="s">
        <v>12</v>
      </c>
    </row>
    <row r="4472">
      <c r="A4472">
        <f>HYPERLINK("http://bombeiros.sp.gov.br/hidrantes/03individual/427.html","427")</f>
      </c>
      <c r="B4472" t="s">
        <v>842</v>
      </c>
      <c r="C4472" t="s">
        <v>996</v>
      </c>
      <c r="D4472" t="s">
        <v>996</v>
      </c>
      <c r="E4472" t="s">
        <v>15</v>
      </c>
      <c r="F4472" t="s">
        <v>13517</v>
      </c>
      <c r="G4472" t="s">
        <v>18544</v>
      </c>
      <c r="H4472" t="s">
        <v>1107</v>
      </c>
      <c r="I4472" t="s">
        <v>1108</v>
      </c>
      <c r="J4472" t="s">
        <v>13518</v>
      </c>
      <c r="K4472" t="s">
        <v>13519</v>
      </c>
      <c r="L4472" t="s">
        <v>21</v>
      </c>
      <c r="M4472" t="s">
        <v>19177</v>
      </c>
      <c r="N4472" t="s">
        <v>714</v>
      </c>
      <c r="O4472" t="s">
        <v>10263</v>
      </c>
      <c r="P4472" t="s">
        <v>12</v>
      </c>
    </row>
    <row r="4473">
      <c r="A4473">
        <f>HYPERLINK("http://bombeiros.sp.gov.br/hidrantes/03individual/433.html","433")</f>
      </c>
      <c r="B4473" t="s">
        <v>842</v>
      </c>
      <c r="C4473" t="s">
        <v>996</v>
      </c>
      <c r="D4473" t="s">
        <v>996</v>
      </c>
      <c r="E4473" t="s">
        <v>15</v>
      </c>
      <c r="F4473" t="s">
        <v>13520</v>
      </c>
      <c r="G4473" t="s">
        <v>18083</v>
      </c>
      <c r="H4473" t="s">
        <v>1107</v>
      </c>
      <c r="I4473" t="s">
        <v>1108</v>
      </c>
      <c r="J4473" t="s">
        <v>13521</v>
      </c>
      <c r="K4473" t="s">
        <v>13522</v>
      </c>
      <c r="L4473" t="s">
        <v>21</v>
      </c>
      <c r="M4473" t="s">
        <v>19177</v>
      </c>
      <c r="N4473" t="s">
        <v>714</v>
      </c>
      <c r="O4473" t="s">
        <v>10263</v>
      </c>
      <c r="P4473" t="s">
        <v>12</v>
      </c>
    </row>
    <row r="4474">
      <c r="A4474">
        <f>HYPERLINK("http://bombeiros.sp.gov.br/hidrantes/03individual/434.html","434")</f>
      </c>
      <c r="B4474" t="s">
        <v>842</v>
      </c>
      <c r="C4474" t="s">
        <v>996</v>
      </c>
      <c r="D4474" t="s">
        <v>996</v>
      </c>
      <c r="E4474" t="s">
        <v>15</v>
      </c>
      <c r="F4474" t="s">
        <v>13523</v>
      </c>
      <c r="G4474" t="s">
        <v>18563</v>
      </c>
      <c r="H4474" t="s">
        <v>1121</v>
      </c>
      <c r="I4474" t="s">
        <v>1117</v>
      </c>
      <c r="J4474" t="s">
        <v>13524</v>
      </c>
      <c r="K4474" t="s">
        <v>13525</v>
      </c>
      <c r="L4474" t="s">
        <v>21</v>
      </c>
      <c r="M4474" t="s">
        <v>19177</v>
      </c>
      <c r="N4474" t="s">
        <v>714</v>
      </c>
      <c r="O4474" t="s">
        <v>10263</v>
      </c>
      <c r="P4474" t="s">
        <v>12</v>
      </c>
    </row>
    <row r="4475">
      <c r="A4475">
        <f>HYPERLINK("http://bombeiros.sp.gov.br/hidrantes/03individual/455.html","455")</f>
      </c>
      <c r="B4475" t="s">
        <v>842</v>
      </c>
      <c r="C4475" t="s">
        <v>996</v>
      </c>
      <c r="D4475" t="s">
        <v>996</v>
      </c>
      <c r="E4475" t="s">
        <v>15</v>
      </c>
      <c r="F4475" t="s">
        <v>13526</v>
      </c>
      <c r="G4475" t="s">
        <v>18083</v>
      </c>
      <c r="H4475" t="s">
        <v>1107</v>
      </c>
      <c r="I4475" t="s">
        <v>1108</v>
      </c>
      <c r="J4475" t="s">
        <v>16042</v>
      </c>
      <c r="K4475" t="s">
        <v>16043</v>
      </c>
      <c r="L4475" t="s">
        <v>21</v>
      </c>
      <c r="M4475" t="s">
        <v>19177</v>
      </c>
      <c r="N4475" t="s">
        <v>714</v>
      </c>
      <c r="O4475" t="s">
        <v>10263</v>
      </c>
      <c r="P4475" t="s">
        <v>12</v>
      </c>
    </row>
    <row r="4476">
      <c r="A4476">
        <f>HYPERLINK("http://bombeiros.sp.gov.br/hidrantes/03individual/477.html","477")</f>
      </c>
      <c r="B4476" t="s">
        <v>842</v>
      </c>
      <c r="C4476" t="s">
        <v>996</v>
      </c>
      <c r="D4476" t="s">
        <v>996</v>
      </c>
      <c r="E4476" t="s">
        <v>15</v>
      </c>
      <c r="F4476" t="s">
        <v>13529</v>
      </c>
      <c r="G4476" t="s">
        <v>18544</v>
      </c>
      <c r="H4476" t="s">
        <v>1107</v>
      </c>
      <c r="I4476" t="s">
        <v>1108</v>
      </c>
      <c r="J4476" t="s">
        <v>13530</v>
      </c>
      <c r="K4476" t="s">
        <v>13531</v>
      </c>
      <c r="L4476" t="s">
        <v>36</v>
      </c>
      <c r="M4476" t="s">
        <v>19177</v>
      </c>
      <c r="N4476" t="s">
        <v>714</v>
      </c>
      <c r="O4476" t="s">
        <v>10263</v>
      </c>
      <c r="P4476" t="s">
        <v>12</v>
      </c>
    </row>
    <row r="4477">
      <c r="A4477">
        <f>HYPERLINK("http://bombeiros.sp.gov.br/hidrantes/03individual/2951.html","2951")</f>
      </c>
      <c r="B4477" t="s">
        <v>842</v>
      </c>
      <c r="C4477" t="s">
        <v>996</v>
      </c>
      <c r="D4477" t="s">
        <v>996</v>
      </c>
      <c r="E4477" t="s">
        <v>15</v>
      </c>
      <c r="F4477" t="s">
        <v>13532</v>
      </c>
      <c r="G4477" t="s">
        <v>17925</v>
      </c>
      <c r="H4477" t="s">
        <v>1107</v>
      </c>
      <c r="I4477" t="s">
        <v>1108</v>
      </c>
      <c r="J4477" t="s">
        <v>13533</v>
      </c>
      <c r="K4477" t="s">
        <v>13534</v>
      </c>
      <c r="L4477" t="s">
        <v>21</v>
      </c>
      <c r="M4477" t="s">
        <v>19177</v>
      </c>
      <c r="N4477" t="s">
        <v>714</v>
      </c>
      <c r="O4477" t="s">
        <v>10263</v>
      </c>
      <c r="P4477" t="s">
        <v>12</v>
      </c>
    </row>
    <row r="4478">
      <c r="A4478">
        <f>HYPERLINK("http://bombeiros.sp.gov.br/hidrantes/03individual/3990.html","3990")</f>
      </c>
      <c r="B4478" t="s">
        <v>842</v>
      </c>
      <c r="C4478" t="s">
        <v>996</v>
      </c>
      <c r="D4478" t="s">
        <v>996</v>
      </c>
      <c r="E4478" t="s">
        <v>15</v>
      </c>
      <c r="F4478" t="s">
        <v>13535</v>
      </c>
      <c r="G4478" t="s">
        <v>17925</v>
      </c>
      <c r="H4478" t="s">
        <v>1121</v>
      </c>
      <c r="I4478" t="s">
        <v>1117</v>
      </c>
      <c r="J4478" t="s">
        <v>13536</v>
      </c>
      <c r="K4478" t="s">
        <v>13537</v>
      </c>
      <c r="L4478" t="s">
        <v>21</v>
      </c>
      <c r="M4478" t="s">
        <v>19177</v>
      </c>
      <c r="N4478" t="s">
        <v>714</v>
      </c>
      <c r="O4478" t="s">
        <v>10263</v>
      </c>
      <c r="P4478" t="s">
        <v>12</v>
      </c>
    </row>
    <row r="4479">
      <c r="A4479">
        <f>HYPERLINK("http://bombeiros.sp.gov.br/hidrantes/03individual/3994.html","3994")</f>
      </c>
      <c r="B4479" t="s">
        <v>842</v>
      </c>
      <c r="C4479" t="s">
        <v>996</v>
      </c>
      <c r="D4479" t="s">
        <v>996</v>
      </c>
      <c r="E4479" t="s">
        <v>15</v>
      </c>
      <c r="F4479" t="s">
        <v>13538</v>
      </c>
      <c r="G4479" t="s">
        <v>18208</v>
      </c>
      <c r="H4479" t="s">
        <v>1121</v>
      </c>
      <c r="I4479" t="s">
        <v>1117</v>
      </c>
      <c r="J4479" t="s">
        <v>13539</v>
      </c>
      <c r="K4479" t="s">
        <v>13540</v>
      </c>
      <c r="L4479" t="s">
        <v>21</v>
      </c>
      <c r="M4479" t="s">
        <v>19177</v>
      </c>
      <c r="N4479" t="s">
        <v>714</v>
      </c>
      <c r="O4479" t="s">
        <v>10263</v>
      </c>
      <c r="P4479" t="s">
        <v>12</v>
      </c>
    </row>
    <row r="4480">
      <c r="A4480">
        <f>HYPERLINK("http://bombeiros.sp.gov.br/hidrantes/03individual/3996.html","3996")</f>
      </c>
      <c r="B4480" t="s">
        <v>842</v>
      </c>
      <c r="C4480" t="s">
        <v>996</v>
      </c>
      <c r="D4480" t="s">
        <v>996</v>
      </c>
      <c r="E4480" t="s">
        <v>15</v>
      </c>
      <c r="F4480" t="s">
        <v>13541</v>
      </c>
      <c r="G4480" t="s">
        <v>18544</v>
      </c>
      <c r="H4480" t="s">
        <v>1107</v>
      </c>
      <c r="I4480" t="s">
        <v>1108</v>
      </c>
      <c r="J4480" t="s">
        <v>13542</v>
      </c>
      <c r="K4480" t="s">
        <v>13543</v>
      </c>
      <c r="L4480" t="s">
        <v>21</v>
      </c>
      <c r="M4480" t="s">
        <v>19177</v>
      </c>
      <c r="N4480" t="s">
        <v>714</v>
      </c>
      <c r="O4480" t="s">
        <v>10263</v>
      </c>
      <c r="P4480" t="s">
        <v>12</v>
      </c>
    </row>
    <row r="4481">
      <c r="A4481">
        <f>HYPERLINK("http://bombeiros.sp.gov.br/hidrantes/03individual/4006.html","4006")</f>
      </c>
      <c r="B4481" t="s">
        <v>842</v>
      </c>
      <c r="C4481" t="s">
        <v>996</v>
      </c>
      <c r="D4481" t="s">
        <v>996</v>
      </c>
      <c r="E4481" t="s">
        <v>15</v>
      </c>
      <c r="F4481" t="s">
        <v>13544</v>
      </c>
      <c r="G4481" t="s">
        <v>18563</v>
      </c>
      <c r="H4481" t="s">
        <v>1121</v>
      </c>
      <c r="I4481" t="s">
        <v>1117</v>
      </c>
      <c r="J4481" t="s">
        <v>13545</v>
      </c>
      <c r="K4481" t="s">
        <v>13546</v>
      </c>
      <c r="L4481" t="s">
        <v>36</v>
      </c>
      <c r="M4481" t="s">
        <v>19177</v>
      </c>
      <c r="N4481" t="s">
        <v>714</v>
      </c>
      <c r="O4481" t="s">
        <v>10263</v>
      </c>
      <c r="P4481" t="s">
        <v>12</v>
      </c>
    </row>
    <row r="4482">
      <c r="A4482">
        <f>HYPERLINK("http://bombeiros.sp.gov.br/hidrantes/03individual/26695.html","26695")</f>
      </c>
      <c r="B4482" t="s">
        <v>842</v>
      </c>
      <c r="C4482" t="s">
        <v>996</v>
      </c>
      <c r="D4482" t="s">
        <v>996</v>
      </c>
      <c r="E4482" t="s">
        <v>15</v>
      </c>
      <c r="F4482" t="s">
        <v>13547</v>
      </c>
      <c r="G4482" t="s">
        <v>18053</v>
      </c>
      <c r="H4482" t="s">
        <v>1112</v>
      </c>
      <c r="I4482" t="s">
        <v>1108</v>
      </c>
      <c r="J4482" t="s">
        <v>13548</v>
      </c>
      <c r="K4482" t="s">
        <v>13549</v>
      </c>
      <c r="L4482" t="s">
        <v>21</v>
      </c>
      <c r="M4482" t="s">
        <v>19177</v>
      </c>
      <c r="N4482" t="s">
        <v>714</v>
      </c>
      <c r="O4482" t="s">
        <v>10263</v>
      </c>
      <c r="P4482" t="s">
        <v>12</v>
      </c>
    </row>
    <row r="4483">
      <c r="A4483">
        <f>HYPERLINK("http://bombeiros.sp.gov.br/hidrantes/03individual/2263.html","2263")</f>
      </c>
      <c r="B4483" t="s">
        <v>842</v>
      </c>
      <c r="C4483" t="s">
        <v>996</v>
      </c>
      <c r="D4483" t="s">
        <v>14776</v>
      </c>
      <c r="E4483" t="s">
        <v>15</v>
      </c>
      <c r="F4483" t="s">
        <v>13579</v>
      </c>
      <c r="G4483" t="s">
        <v>18066</v>
      </c>
      <c r="H4483" t="s">
        <v>1107</v>
      </c>
      <c r="I4483" t="s">
        <v>1108</v>
      </c>
      <c r="J4483" t="s">
        <v>15970</v>
      </c>
      <c r="K4483" t="s">
        <v>15971</v>
      </c>
      <c r="L4483" t="s">
        <v>21</v>
      </c>
      <c r="M4483" t="s">
        <v>19177</v>
      </c>
      <c r="N4483" t="s">
        <v>714</v>
      </c>
      <c r="O4483" t="s">
        <v>10263</v>
      </c>
      <c r="P4483" t="s">
        <v>12</v>
      </c>
    </row>
    <row r="4484">
      <c r="A4484">
        <f>HYPERLINK("http://bombeiros.sp.gov.br/hidrantes/03individual/1771.html","1771")</f>
      </c>
      <c r="B4484" t="s">
        <v>842</v>
      </c>
      <c r="C4484" t="s">
        <v>996</v>
      </c>
      <c r="D4484" t="s">
        <v>1002</v>
      </c>
      <c r="E4484" t="s">
        <v>64</v>
      </c>
      <c r="F4484" t="s">
        <v>13550</v>
      </c>
      <c r="G4484" t="s">
        <v>18077</v>
      </c>
      <c r="H4484" t="s">
        <v>1107</v>
      </c>
      <c r="I4484" t="s">
        <v>1108</v>
      </c>
      <c r="J4484" t="s">
        <v>13551</v>
      </c>
      <c r="K4484" t="s">
        <v>13552</v>
      </c>
      <c r="L4484" t="s">
        <v>36</v>
      </c>
      <c r="M4484" t="s">
        <v>19177</v>
      </c>
      <c r="N4484" t="s">
        <v>714</v>
      </c>
      <c r="O4484" t="s">
        <v>10263</v>
      </c>
      <c r="P4484" t="s">
        <v>12</v>
      </c>
    </row>
    <row r="4485">
      <c r="A4485">
        <f>HYPERLINK("http://bombeiros.sp.gov.br/hidrantes/03individual/2196.html","2196")</f>
      </c>
      <c r="B4485" t="s">
        <v>842</v>
      </c>
      <c r="C4485" t="s">
        <v>996</v>
      </c>
      <c r="D4485" t="s">
        <v>1002</v>
      </c>
      <c r="E4485" t="s">
        <v>64</v>
      </c>
      <c r="F4485" t="s">
        <v>13553</v>
      </c>
      <c r="G4485" t="s">
        <v>18048</v>
      </c>
      <c r="H4485" t="s">
        <v>1107</v>
      </c>
      <c r="I4485" t="s">
        <v>1108</v>
      </c>
      <c r="J4485" t="s">
        <v>13554</v>
      </c>
      <c r="K4485" t="s">
        <v>13555</v>
      </c>
      <c r="L4485" t="s">
        <v>36</v>
      </c>
      <c r="M4485" t="s">
        <v>19177</v>
      </c>
      <c r="N4485" t="s">
        <v>714</v>
      </c>
      <c r="O4485" t="s">
        <v>10263</v>
      </c>
      <c r="P4485" t="s">
        <v>12</v>
      </c>
    </row>
    <row r="4486">
      <c r="A4486">
        <f>HYPERLINK("http://bombeiros.sp.gov.br/hidrantes/03individual/4271.html","4271")</f>
      </c>
      <c r="B4486" t="s">
        <v>842</v>
      </c>
      <c r="C4486" t="s">
        <v>996</v>
      </c>
      <c r="D4486" t="s">
        <v>1002</v>
      </c>
      <c r="E4486" t="s">
        <v>64</v>
      </c>
      <c r="F4486" t="s">
        <v>13556</v>
      </c>
      <c r="G4486" t="s">
        <v>18173</v>
      </c>
      <c r="H4486" t="s">
        <v>1107</v>
      </c>
      <c r="I4486" t="s">
        <v>1108</v>
      </c>
      <c r="J4486" t="s">
        <v>13557</v>
      </c>
      <c r="K4486" t="s">
        <v>13558</v>
      </c>
      <c r="L4486" t="s">
        <v>36</v>
      </c>
      <c r="M4486" t="s">
        <v>19177</v>
      </c>
      <c r="N4486" t="s">
        <v>714</v>
      </c>
      <c r="O4486" t="s">
        <v>10263</v>
      </c>
      <c r="P4486" t="s">
        <v>12</v>
      </c>
    </row>
    <row r="4487">
      <c r="A4487">
        <f>HYPERLINK("http://bombeiros.sp.gov.br/hidrantes/03individual/1698.html","1698")</f>
      </c>
      <c r="B4487" t="s">
        <v>842</v>
      </c>
      <c r="C4487" t="s">
        <v>996</v>
      </c>
      <c r="D4487" t="s">
        <v>1002</v>
      </c>
      <c r="E4487" t="s">
        <v>15</v>
      </c>
      <c r="F4487" t="s">
        <v>13559</v>
      </c>
      <c r="G4487" t="s">
        <v>17921</v>
      </c>
      <c r="H4487" t="s">
        <v>1121</v>
      </c>
      <c r="I4487" t="s">
        <v>1117</v>
      </c>
      <c r="J4487" t="s">
        <v>13560</v>
      </c>
      <c r="K4487" t="s">
        <v>13561</v>
      </c>
      <c r="L4487" t="s">
        <v>21</v>
      </c>
      <c r="M4487" t="s">
        <v>19177</v>
      </c>
      <c r="N4487" t="s">
        <v>714</v>
      </c>
      <c r="O4487" t="s">
        <v>10263</v>
      </c>
      <c r="P4487" t="s">
        <v>12</v>
      </c>
    </row>
    <row r="4488">
      <c r="A4488">
        <f>HYPERLINK("http://bombeiros.sp.gov.br/hidrantes/03individual/1702.html","1702")</f>
      </c>
      <c r="B4488" t="s">
        <v>842</v>
      </c>
      <c r="C4488" t="s">
        <v>996</v>
      </c>
      <c r="D4488" t="s">
        <v>1002</v>
      </c>
      <c r="E4488" t="s">
        <v>15</v>
      </c>
      <c r="F4488" t="s">
        <v>13562</v>
      </c>
      <c r="G4488" t="s">
        <v>17921</v>
      </c>
      <c r="H4488" t="s">
        <v>1112</v>
      </c>
      <c r="I4488" t="s">
        <v>1108</v>
      </c>
      <c r="J4488" t="s">
        <v>13563</v>
      </c>
      <c r="K4488" t="s">
        <v>13564</v>
      </c>
      <c r="L4488" t="s">
        <v>21</v>
      </c>
      <c r="M4488" t="s">
        <v>19177</v>
      </c>
      <c r="N4488" t="s">
        <v>714</v>
      </c>
      <c r="O4488" t="s">
        <v>10263</v>
      </c>
      <c r="P4488" t="s">
        <v>12</v>
      </c>
    </row>
    <row r="4489">
      <c r="A4489">
        <f>HYPERLINK("http://bombeiros.sp.gov.br/hidrantes/03individual/1704.html","1704")</f>
      </c>
      <c r="B4489" t="s">
        <v>842</v>
      </c>
      <c r="C4489" t="s">
        <v>996</v>
      </c>
      <c r="D4489" t="s">
        <v>1002</v>
      </c>
      <c r="E4489" t="s">
        <v>15</v>
      </c>
      <c r="F4489" t="s">
        <v>13562</v>
      </c>
      <c r="G4489" t="s">
        <v>17921</v>
      </c>
      <c r="H4489" t="s">
        <v>1121</v>
      </c>
      <c r="I4489" t="s">
        <v>1117</v>
      </c>
      <c r="J4489" t="s">
        <v>13565</v>
      </c>
      <c r="K4489" t="s">
        <v>13566</v>
      </c>
      <c r="L4489" t="s">
        <v>21</v>
      </c>
      <c r="M4489" t="s">
        <v>19177</v>
      </c>
      <c r="N4489" t="s">
        <v>714</v>
      </c>
      <c r="O4489" t="s">
        <v>10263</v>
      </c>
      <c r="P4489" t="s">
        <v>12</v>
      </c>
    </row>
    <row r="4490">
      <c r="A4490">
        <f>HYPERLINK("http://bombeiros.sp.gov.br/hidrantes/03individual/1705.html","1705")</f>
      </c>
      <c r="B4490" t="s">
        <v>842</v>
      </c>
      <c r="C4490" t="s">
        <v>996</v>
      </c>
      <c r="D4490" t="s">
        <v>1002</v>
      </c>
      <c r="E4490" t="s">
        <v>15</v>
      </c>
      <c r="F4490" t="s">
        <v>13567</v>
      </c>
      <c r="G4490" t="s">
        <v>17921</v>
      </c>
      <c r="H4490" t="s">
        <v>1121</v>
      </c>
      <c r="I4490" t="s">
        <v>1117</v>
      </c>
      <c r="J4490" t="s">
        <v>13568</v>
      </c>
      <c r="K4490" t="s">
        <v>13569</v>
      </c>
      <c r="L4490" t="s">
        <v>21</v>
      </c>
      <c r="M4490" t="s">
        <v>19177</v>
      </c>
      <c r="N4490" t="s">
        <v>714</v>
      </c>
      <c r="O4490" t="s">
        <v>10263</v>
      </c>
      <c r="P4490" t="s">
        <v>12</v>
      </c>
    </row>
    <row r="4491">
      <c r="A4491">
        <f>HYPERLINK("http://bombeiros.sp.gov.br/hidrantes/03individual/1708.html","1708")</f>
      </c>
      <c r="B4491" t="s">
        <v>842</v>
      </c>
      <c r="C4491" t="s">
        <v>996</v>
      </c>
      <c r="D4491" t="s">
        <v>1002</v>
      </c>
      <c r="E4491" t="s">
        <v>15</v>
      </c>
      <c r="F4491" t="s">
        <v>1003</v>
      </c>
      <c r="G4491" t="s">
        <v>17921</v>
      </c>
      <c r="H4491" t="s">
        <v>1121</v>
      </c>
      <c r="I4491" t="s">
        <v>1117</v>
      </c>
      <c r="J4491" t="s">
        <v>1004</v>
      </c>
      <c r="K4491" t="s">
        <v>1005</v>
      </c>
      <c r="L4491" t="s">
        <v>21</v>
      </c>
      <c r="M4491" t="s">
        <v>19177</v>
      </c>
      <c r="N4491" t="s">
        <v>714</v>
      </c>
      <c r="O4491" t="s">
        <v>10263</v>
      </c>
      <c r="P4491" t="s">
        <v>12</v>
      </c>
    </row>
    <row r="4492">
      <c r="A4492">
        <f>HYPERLINK("http://bombeiros.sp.gov.br/hidrantes/03individual/1711.html","1711")</f>
      </c>
      <c r="B4492" t="s">
        <v>842</v>
      </c>
      <c r="C4492" t="s">
        <v>996</v>
      </c>
      <c r="D4492" t="s">
        <v>1002</v>
      </c>
      <c r="E4492" t="s">
        <v>15</v>
      </c>
      <c r="F4492" t="s">
        <v>13570</v>
      </c>
      <c r="G4492" t="s">
        <v>17921</v>
      </c>
      <c r="H4492" t="s">
        <v>1112</v>
      </c>
      <c r="I4492" t="s">
        <v>1108</v>
      </c>
      <c r="J4492" t="s">
        <v>17636</v>
      </c>
      <c r="K4492" t="s">
        <v>17637</v>
      </c>
      <c r="L4492" t="s">
        <v>21</v>
      </c>
      <c r="M4492" t="s">
        <v>19177</v>
      </c>
      <c r="N4492" t="s">
        <v>714</v>
      </c>
      <c r="O4492" t="s">
        <v>10263</v>
      </c>
      <c r="P4492" t="s">
        <v>12</v>
      </c>
    </row>
    <row r="4493">
      <c r="A4493">
        <f>HYPERLINK("http://bombeiros.sp.gov.br/hidrantes/03individual/1763.html","1763")</f>
      </c>
      <c r="B4493" t="s">
        <v>842</v>
      </c>
      <c r="C4493" t="s">
        <v>996</v>
      </c>
      <c r="D4493" t="s">
        <v>1002</v>
      </c>
      <c r="E4493" t="s">
        <v>15</v>
      </c>
      <c r="F4493" t="s">
        <v>13573</v>
      </c>
      <c r="G4493" t="s">
        <v>17924</v>
      </c>
      <c r="H4493" t="s">
        <v>1121</v>
      </c>
      <c r="I4493" t="s">
        <v>1117</v>
      </c>
      <c r="J4493" t="s">
        <v>13574</v>
      </c>
      <c r="K4493" t="s">
        <v>13575</v>
      </c>
      <c r="L4493" t="s">
        <v>21</v>
      </c>
      <c r="M4493" t="s">
        <v>19177</v>
      </c>
      <c r="N4493" t="s">
        <v>714</v>
      </c>
      <c r="O4493" t="s">
        <v>10263</v>
      </c>
      <c r="P4493" t="s">
        <v>12</v>
      </c>
    </row>
    <row r="4494">
      <c r="A4494">
        <f>HYPERLINK("http://bombeiros.sp.gov.br/hidrantes/03individual/2241.html","2241")</f>
      </c>
      <c r="B4494" t="s">
        <v>842</v>
      </c>
      <c r="C4494" t="s">
        <v>996</v>
      </c>
      <c r="D4494" t="s">
        <v>1002</v>
      </c>
      <c r="E4494" t="s">
        <v>15</v>
      </c>
      <c r="F4494" t="s">
        <v>13576</v>
      </c>
      <c r="G4494" t="s">
        <v>18048</v>
      </c>
      <c r="H4494" t="s">
        <v>1107</v>
      </c>
      <c r="I4494" t="s">
        <v>1108</v>
      </c>
      <c r="J4494" t="s">
        <v>13577</v>
      </c>
      <c r="K4494" t="s">
        <v>13578</v>
      </c>
      <c r="L4494" t="s">
        <v>21</v>
      </c>
      <c r="M4494" t="s">
        <v>19177</v>
      </c>
      <c r="N4494" t="s">
        <v>714</v>
      </c>
      <c r="O4494" t="s">
        <v>10263</v>
      </c>
      <c r="P4494" t="s">
        <v>12</v>
      </c>
    </row>
    <row r="4495">
      <c r="A4495">
        <f>HYPERLINK("http://bombeiros.sp.gov.br/hidrantes/03individual/2265.html","2265")</f>
      </c>
      <c r="B4495" t="s">
        <v>842</v>
      </c>
      <c r="C4495" t="s">
        <v>996</v>
      </c>
      <c r="D4495" t="s">
        <v>1002</v>
      </c>
      <c r="E4495" t="s">
        <v>15</v>
      </c>
      <c r="F4495" t="s">
        <v>13582</v>
      </c>
      <c r="G4495" t="s">
        <v>18077</v>
      </c>
      <c r="H4495" t="s">
        <v>1112</v>
      </c>
      <c r="I4495" t="s">
        <v>1108</v>
      </c>
      <c r="J4495" t="s">
        <v>13583</v>
      </c>
      <c r="K4495" t="s">
        <v>13584</v>
      </c>
      <c r="L4495" t="s">
        <v>21</v>
      </c>
      <c r="M4495" t="s">
        <v>19177</v>
      </c>
      <c r="N4495" t="s">
        <v>714</v>
      </c>
      <c r="O4495" t="s">
        <v>10263</v>
      </c>
      <c r="P4495" t="s">
        <v>12</v>
      </c>
    </row>
    <row r="4496">
      <c r="A4496">
        <f>HYPERLINK("http://bombeiros.sp.gov.br/hidrantes/03individual/2310.html","2310")</f>
      </c>
      <c r="B4496" t="s">
        <v>842</v>
      </c>
      <c r="C4496" t="s">
        <v>996</v>
      </c>
      <c r="D4496" t="s">
        <v>1002</v>
      </c>
      <c r="E4496" t="s">
        <v>15</v>
      </c>
      <c r="F4496" t="s">
        <v>13585</v>
      </c>
      <c r="G4496" t="s">
        <v>18048</v>
      </c>
      <c r="H4496" t="s">
        <v>1107</v>
      </c>
      <c r="I4496" t="s">
        <v>1108</v>
      </c>
      <c r="J4496" t="s">
        <v>13586</v>
      </c>
      <c r="K4496" t="s">
        <v>13587</v>
      </c>
      <c r="L4496" t="s">
        <v>21</v>
      </c>
      <c r="M4496" t="s">
        <v>19177</v>
      </c>
      <c r="N4496" t="s">
        <v>714</v>
      </c>
      <c r="O4496" t="s">
        <v>10263</v>
      </c>
      <c r="P4496" t="s">
        <v>12</v>
      </c>
    </row>
    <row r="4497">
      <c r="A4497">
        <f>HYPERLINK("http://bombeiros.sp.gov.br/hidrantes/03individual/2315.html","2315")</f>
      </c>
      <c r="B4497" t="s">
        <v>842</v>
      </c>
      <c r="C4497" t="s">
        <v>996</v>
      </c>
      <c r="D4497" t="s">
        <v>1002</v>
      </c>
      <c r="E4497" t="s">
        <v>15</v>
      </c>
      <c r="F4497" t="s">
        <v>13588</v>
      </c>
      <c r="G4497" t="s">
        <v>18063</v>
      </c>
      <c r="H4497" t="s">
        <v>1107</v>
      </c>
      <c r="I4497" t="s">
        <v>1108</v>
      </c>
      <c r="J4497" t="s">
        <v>13589</v>
      </c>
      <c r="K4497" t="s">
        <v>13590</v>
      </c>
      <c r="L4497" t="s">
        <v>21</v>
      </c>
      <c r="M4497" t="s">
        <v>19177</v>
      </c>
      <c r="N4497" t="s">
        <v>714</v>
      </c>
      <c r="O4497" t="s">
        <v>10263</v>
      </c>
      <c r="P4497" t="s">
        <v>12</v>
      </c>
    </row>
    <row r="4498">
      <c r="A4498">
        <f>HYPERLINK("http://bombeiros.sp.gov.br/hidrantes/03individual/2328.html","2328")</f>
      </c>
      <c r="B4498" t="s">
        <v>842</v>
      </c>
      <c r="C4498" t="s">
        <v>996</v>
      </c>
      <c r="D4498" t="s">
        <v>1002</v>
      </c>
      <c r="E4498" t="s">
        <v>15</v>
      </c>
      <c r="F4498" t="s">
        <v>13591</v>
      </c>
      <c r="G4498" t="s">
        <v>17921</v>
      </c>
      <c r="H4498" t="s">
        <v>1107</v>
      </c>
      <c r="I4498" t="s">
        <v>1108</v>
      </c>
      <c r="J4498" t="s">
        <v>13592</v>
      </c>
      <c r="K4498" t="s">
        <v>13593</v>
      </c>
      <c r="L4498" t="s">
        <v>21</v>
      </c>
      <c r="M4498" t="s">
        <v>19177</v>
      </c>
      <c r="N4498" t="s">
        <v>714</v>
      </c>
      <c r="O4498" t="s">
        <v>10263</v>
      </c>
      <c r="P4498" t="s">
        <v>12</v>
      </c>
    </row>
    <row r="4499">
      <c r="A4499">
        <f>HYPERLINK("http://bombeiros.sp.gov.br/hidrantes/03individual/6693.html","6693")</f>
      </c>
      <c r="B4499" t="s">
        <v>842</v>
      </c>
      <c r="C4499" t="s">
        <v>996</v>
      </c>
      <c r="D4499" t="s">
        <v>1002</v>
      </c>
      <c r="E4499" t="s">
        <v>15</v>
      </c>
      <c r="F4499" t="s">
        <v>13597</v>
      </c>
      <c r="G4499" t="s">
        <v>17921</v>
      </c>
      <c r="H4499" t="s">
        <v>1121</v>
      </c>
      <c r="I4499" t="s">
        <v>1117</v>
      </c>
      <c r="J4499" t="s">
        <v>13598</v>
      </c>
      <c r="K4499" t="s">
        <v>13599</v>
      </c>
      <c r="L4499" t="s">
        <v>21</v>
      </c>
      <c r="M4499" t="s">
        <v>19177</v>
      </c>
      <c r="N4499" t="s">
        <v>714</v>
      </c>
      <c r="O4499" t="s">
        <v>10263</v>
      </c>
      <c r="P4499" t="s">
        <v>12</v>
      </c>
    </row>
    <row r="4500">
      <c r="A4500">
        <f>HYPERLINK("http://bombeiros.sp.gov.br/hidrantes/03individual/6694.html","6694")</f>
      </c>
      <c r="B4500" t="s">
        <v>842</v>
      </c>
      <c r="C4500" t="s">
        <v>996</v>
      </c>
      <c r="D4500" t="s">
        <v>1002</v>
      </c>
      <c r="E4500" t="s">
        <v>15</v>
      </c>
      <c r="F4500" t="s">
        <v>13600</v>
      </c>
      <c r="G4500" t="s">
        <v>17921</v>
      </c>
      <c r="H4500" t="s">
        <v>1112</v>
      </c>
      <c r="I4500" t="s">
        <v>1108</v>
      </c>
      <c r="J4500" t="s">
        <v>13601</v>
      </c>
      <c r="K4500" t="s">
        <v>13602</v>
      </c>
      <c r="L4500" t="s">
        <v>21</v>
      </c>
      <c r="M4500" t="s">
        <v>19177</v>
      </c>
      <c r="N4500" t="s">
        <v>714</v>
      </c>
      <c r="O4500" t="s">
        <v>10263</v>
      </c>
      <c r="P4500" t="s">
        <v>12</v>
      </c>
    </row>
    <row r="4501">
      <c r="A4501">
        <f>HYPERLINK("http://bombeiros.sp.gov.br/hidrantes/03individual/6695.html","6695")</f>
      </c>
      <c r="B4501" t="s">
        <v>842</v>
      </c>
      <c r="C4501" t="s">
        <v>996</v>
      </c>
      <c r="D4501" t="s">
        <v>1002</v>
      </c>
      <c r="E4501" t="s">
        <v>15</v>
      </c>
      <c r="F4501" t="s">
        <v>13603</v>
      </c>
      <c r="G4501" t="s">
        <v>17921</v>
      </c>
      <c r="H4501" t="s">
        <v>1112</v>
      </c>
      <c r="I4501" t="s">
        <v>1108</v>
      </c>
      <c r="J4501" t="s">
        <v>16086</v>
      </c>
      <c r="K4501" t="s">
        <v>16087</v>
      </c>
      <c r="L4501" t="s">
        <v>21</v>
      </c>
      <c r="M4501" t="s">
        <v>19177</v>
      </c>
      <c r="N4501" t="s">
        <v>714</v>
      </c>
      <c r="O4501" t="s">
        <v>10263</v>
      </c>
      <c r="P4501" t="s">
        <v>12</v>
      </c>
    </row>
    <row r="4502">
      <c r="A4502">
        <f>HYPERLINK("http://bombeiros.sp.gov.br/hidrantes/03individual/6696.html","6696")</f>
      </c>
      <c r="B4502" t="s">
        <v>842</v>
      </c>
      <c r="C4502" t="s">
        <v>996</v>
      </c>
      <c r="D4502" t="s">
        <v>1002</v>
      </c>
      <c r="E4502" t="s">
        <v>15</v>
      </c>
      <c r="F4502" t="s">
        <v>13606</v>
      </c>
      <c r="G4502" t="s">
        <v>17921</v>
      </c>
      <c r="H4502" t="s">
        <v>1121</v>
      </c>
      <c r="I4502" t="s">
        <v>1117</v>
      </c>
      <c r="J4502" t="s">
        <v>13607</v>
      </c>
      <c r="K4502" t="s">
        <v>13608</v>
      </c>
      <c r="L4502" t="s">
        <v>21</v>
      </c>
      <c r="M4502" t="s">
        <v>19177</v>
      </c>
      <c r="N4502" t="s">
        <v>714</v>
      </c>
      <c r="O4502" t="s">
        <v>10263</v>
      </c>
      <c r="P4502" t="s">
        <v>12</v>
      </c>
    </row>
    <row r="4503">
      <c r="A4503">
        <f>HYPERLINK("http://bombeiros.sp.gov.br/hidrantes/03individual/6697.html","6697")</f>
      </c>
      <c r="B4503" t="s">
        <v>842</v>
      </c>
      <c r="C4503" t="s">
        <v>996</v>
      </c>
      <c r="D4503" t="s">
        <v>1002</v>
      </c>
      <c r="E4503" t="s">
        <v>15</v>
      </c>
      <c r="F4503" t="s">
        <v>13609</v>
      </c>
      <c r="G4503" t="s">
        <v>17921</v>
      </c>
      <c r="H4503" t="s">
        <v>1121</v>
      </c>
      <c r="I4503" t="s">
        <v>1117</v>
      </c>
      <c r="J4503" t="s">
        <v>13610</v>
      </c>
      <c r="K4503" t="s">
        <v>13611</v>
      </c>
      <c r="L4503" t="s">
        <v>21</v>
      </c>
      <c r="M4503" t="s">
        <v>19177</v>
      </c>
      <c r="N4503" t="s">
        <v>714</v>
      </c>
      <c r="O4503" t="s">
        <v>10263</v>
      </c>
      <c r="P4503" t="s">
        <v>12</v>
      </c>
    </row>
    <row r="4504">
      <c r="A4504">
        <f>HYPERLINK("http://bombeiros.sp.gov.br/hidrantes/03individual/6716.html","6716")</f>
      </c>
      <c r="B4504" t="s">
        <v>842</v>
      </c>
      <c r="C4504" t="s">
        <v>996</v>
      </c>
      <c r="D4504" t="s">
        <v>1002</v>
      </c>
      <c r="E4504" t="s">
        <v>15</v>
      </c>
      <c r="F4504" t="s">
        <v>13612</v>
      </c>
      <c r="G4504" t="s">
        <v>17607</v>
      </c>
      <c r="H4504" t="s">
        <v>1112</v>
      </c>
      <c r="I4504" t="s">
        <v>1108</v>
      </c>
      <c r="J4504" t="s">
        <v>13613</v>
      </c>
      <c r="K4504" t="s">
        <v>13614</v>
      </c>
      <c r="L4504" t="s">
        <v>21</v>
      </c>
      <c r="M4504" t="s">
        <v>19177</v>
      </c>
      <c r="N4504" t="s">
        <v>714</v>
      </c>
      <c r="O4504" t="s">
        <v>10263</v>
      </c>
      <c r="P4504" t="s">
        <v>12</v>
      </c>
    </row>
    <row r="4505">
      <c r="A4505">
        <f>HYPERLINK("http://bombeiros.sp.gov.br/hidrantes/03individual/6717.html","6717")</f>
      </c>
      <c r="B4505" t="s">
        <v>842</v>
      </c>
      <c r="C4505" t="s">
        <v>996</v>
      </c>
      <c r="D4505" t="s">
        <v>1002</v>
      </c>
      <c r="E4505" t="s">
        <v>15</v>
      </c>
      <c r="F4505" t="s">
        <v>13615</v>
      </c>
      <c r="G4505" t="s">
        <v>17921</v>
      </c>
      <c r="H4505" t="s">
        <v>1107</v>
      </c>
      <c r="I4505" t="s">
        <v>1108</v>
      </c>
      <c r="J4505" t="s">
        <v>13616</v>
      </c>
      <c r="K4505" t="s">
        <v>13617</v>
      </c>
      <c r="L4505" t="s">
        <v>21</v>
      </c>
      <c r="M4505" t="s">
        <v>19177</v>
      </c>
      <c r="N4505" t="s">
        <v>714</v>
      </c>
      <c r="O4505" t="s">
        <v>10263</v>
      </c>
      <c r="P4505" t="s">
        <v>12</v>
      </c>
    </row>
    <row r="4506">
      <c r="A4506">
        <f>HYPERLINK("http://bombeiros.sp.gov.br/hidrantes/03individual/6718.html","6718")</f>
      </c>
      <c r="B4506" t="s">
        <v>842</v>
      </c>
      <c r="C4506" t="s">
        <v>996</v>
      </c>
      <c r="D4506" t="s">
        <v>1002</v>
      </c>
      <c r="E4506" t="s">
        <v>15</v>
      </c>
      <c r="F4506" t="s">
        <v>13618</v>
      </c>
      <c r="G4506" t="s">
        <v>17921</v>
      </c>
      <c r="H4506" t="s">
        <v>1112</v>
      </c>
      <c r="I4506" t="s">
        <v>1108</v>
      </c>
      <c r="J4506" t="s">
        <v>13619</v>
      </c>
      <c r="K4506" t="s">
        <v>13620</v>
      </c>
      <c r="L4506" t="s">
        <v>21</v>
      </c>
      <c r="M4506" t="s">
        <v>19177</v>
      </c>
      <c r="N4506" t="s">
        <v>714</v>
      </c>
      <c r="O4506" t="s">
        <v>10263</v>
      </c>
      <c r="P4506" t="s">
        <v>12</v>
      </c>
    </row>
    <row r="4507">
      <c r="A4507">
        <f>HYPERLINK("http://bombeiros.sp.gov.br/hidrantes/03individual/6719.html","6719")</f>
      </c>
      <c r="B4507" t="s">
        <v>842</v>
      </c>
      <c r="C4507" t="s">
        <v>996</v>
      </c>
      <c r="D4507" t="s">
        <v>1002</v>
      </c>
      <c r="E4507" t="s">
        <v>15</v>
      </c>
      <c r="F4507" t="s">
        <v>13621</v>
      </c>
      <c r="G4507" t="s">
        <v>17881</v>
      </c>
      <c r="H4507" t="s">
        <v>1112</v>
      </c>
      <c r="I4507" t="s">
        <v>1108</v>
      </c>
      <c r="J4507" t="s">
        <v>13622</v>
      </c>
      <c r="K4507" t="s">
        <v>13623</v>
      </c>
      <c r="L4507" t="s">
        <v>21</v>
      </c>
      <c r="M4507" t="s">
        <v>19177</v>
      </c>
      <c r="N4507" t="s">
        <v>714</v>
      </c>
      <c r="O4507" t="s">
        <v>10263</v>
      </c>
      <c r="P4507" t="s">
        <v>12</v>
      </c>
    </row>
    <row r="4508">
      <c r="A4508">
        <f>HYPERLINK("http://bombeiros.sp.gov.br/hidrantes/03individual/17711.html","17711")</f>
      </c>
      <c r="B4508" t="s">
        <v>842</v>
      </c>
      <c r="C4508" t="s">
        <v>996</v>
      </c>
      <c r="D4508" t="s">
        <v>1002</v>
      </c>
      <c r="E4508" t="s">
        <v>15</v>
      </c>
      <c r="F4508" t="s">
        <v>13624</v>
      </c>
      <c r="G4508" t="s">
        <v>17899</v>
      </c>
      <c r="H4508" t="s">
        <v>1107</v>
      </c>
      <c r="I4508" t="s">
        <v>1108</v>
      </c>
      <c r="J4508" t="s">
        <v>13625</v>
      </c>
      <c r="K4508" t="s">
        <v>13626</v>
      </c>
      <c r="L4508" t="s">
        <v>21</v>
      </c>
      <c r="M4508" t="s">
        <v>19177</v>
      </c>
      <c r="N4508" t="s">
        <v>714</v>
      </c>
      <c r="O4508" t="s">
        <v>10263</v>
      </c>
      <c r="P4508" t="s">
        <v>12</v>
      </c>
    </row>
    <row r="4509">
      <c r="A4509">
        <f>HYPERLINK("http://bombeiros.sp.gov.br/hidrantes/03individual/17899.html","17899")</f>
      </c>
      <c r="B4509" t="s">
        <v>842</v>
      </c>
      <c r="C4509" t="s">
        <v>996</v>
      </c>
      <c r="D4509" t="s">
        <v>1002</v>
      </c>
      <c r="E4509" t="s">
        <v>15</v>
      </c>
      <c r="F4509" t="s">
        <v>13627</v>
      </c>
      <c r="G4509" t="s">
        <v>18048</v>
      </c>
      <c r="H4509" t="s">
        <v>1107</v>
      </c>
      <c r="I4509" t="s">
        <v>1108</v>
      </c>
      <c r="J4509" t="s">
        <v>13628</v>
      </c>
      <c r="K4509" t="s">
        <v>13629</v>
      </c>
      <c r="L4509" t="s">
        <v>21</v>
      </c>
      <c r="M4509" t="s">
        <v>19177</v>
      </c>
      <c r="N4509" t="s">
        <v>714</v>
      </c>
      <c r="O4509" t="s">
        <v>10263</v>
      </c>
      <c r="P4509" t="s">
        <v>12</v>
      </c>
    </row>
    <row r="4510">
      <c r="A4510">
        <f>HYPERLINK("http://bombeiros.sp.gov.br/hidrantes/03individual/1611.html","1611")</f>
      </c>
      <c r="B4510" t="s">
        <v>842</v>
      </c>
      <c r="C4510" t="s">
        <v>996</v>
      </c>
      <c r="D4510" t="s">
        <v>13630</v>
      </c>
      <c r="E4510" t="s">
        <v>64</v>
      </c>
      <c r="F4510" t="s">
        <v>13631</v>
      </c>
      <c r="G4510" t="s">
        <v>18208</v>
      </c>
      <c r="H4510" t="s">
        <v>1112</v>
      </c>
      <c r="I4510" t="s">
        <v>1108</v>
      </c>
      <c r="J4510" t="s">
        <v>13632</v>
      </c>
      <c r="K4510" t="s">
        <v>13633</v>
      </c>
      <c r="L4510" t="s">
        <v>21</v>
      </c>
      <c r="M4510" t="s">
        <v>19177</v>
      </c>
      <c r="N4510" t="s">
        <v>714</v>
      </c>
      <c r="O4510" t="s">
        <v>10263</v>
      </c>
      <c r="P4510" t="s">
        <v>12</v>
      </c>
    </row>
    <row r="4511">
      <c r="A4511">
        <f>HYPERLINK("http://bombeiros.sp.gov.br/hidrantes/03individual/2190.html","2190")</f>
      </c>
      <c r="B4511" t="s">
        <v>842</v>
      </c>
      <c r="C4511" t="s">
        <v>996</v>
      </c>
      <c r="D4511" t="s">
        <v>13630</v>
      </c>
      <c r="E4511" t="s">
        <v>64</v>
      </c>
      <c r="F4511" t="s">
        <v>13634</v>
      </c>
      <c r="G4511" t="s">
        <v>18214</v>
      </c>
      <c r="H4511" t="s">
        <v>1112</v>
      </c>
      <c r="I4511" t="s">
        <v>1108</v>
      </c>
      <c r="J4511" t="s">
        <v>13635</v>
      </c>
      <c r="K4511" t="s">
        <v>13636</v>
      </c>
      <c r="L4511" t="s">
        <v>36</v>
      </c>
      <c r="M4511" t="s">
        <v>19177</v>
      </c>
      <c r="N4511" t="s">
        <v>714</v>
      </c>
      <c r="O4511" t="s">
        <v>10263</v>
      </c>
      <c r="P4511" t="s">
        <v>12</v>
      </c>
    </row>
    <row r="4512">
      <c r="A4512">
        <f>HYPERLINK("http://bombeiros.sp.gov.br/hidrantes/03individual/1613.html","1613")</f>
      </c>
      <c r="B4512" t="s">
        <v>842</v>
      </c>
      <c r="C4512" t="s">
        <v>996</v>
      </c>
      <c r="D4512" t="s">
        <v>13630</v>
      </c>
      <c r="E4512" t="s">
        <v>15</v>
      </c>
      <c r="F4512" t="s">
        <v>13637</v>
      </c>
      <c r="G4512" t="s">
        <v>18131</v>
      </c>
      <c r="H4512" t="s">
        <v>1112</v>
      </c>
      <c r="I4512" t="s">
        <v>1108</v>
      </c>
      <c r="J4512" t="s">
        <v>13638</v>
      </c>
      <c r="K4512" t="s">
        <v>13639</v>
      </c>
      <c r="L4512" t="s">
        <v>21</v>
      </c>
      <c r="M4512" t="s">
        <v>19177</v>
      </c>
      <c r="N4512" t="s">
        <v>714</v>
      </c>
      <c r="O4512" t="s">
        <v>10263</v>
      </c>
      <c r="P4512" t="s">
        <v>12</v>
      </c>
    </row>
    <row r="4513">
      <c r="A4513">
        <f>HYPERLINK("http://bombeiros.sp.gov.br/hidrantes/03individual/2214.html","2214")</f>
      </c>
      <c r="B4513" t="s">
        <v>842</v>
      </c>
      <c r="C4513" t="s">
        <v>996</v>
      </c>
      <c r="D4513" t="s">
        <v>13630</v>
      </c>
      <c r="E4513" t="s">
        <v>15</v>
      </c>
      <c r="F4513" t="s">
        <v>13640</v>
      </c>
      <c r="G4513" t="s">
        <v>18131</v>
      </c>
      <c r="H4513" t="s">
        <v>1121</v>
      </c>
      <c r="I4513" t="s">
        <v>1117</v>
      </c>
      <c r="J4513" t="s">
        <v>13641</v>
      </c>
      <c r="K4513" t="s">
        <v>13642</v>
      </c>
      <c r="L4513" t="s">
        <v>21</v>
      </c>
      <c r="M4513" t="s">
        <v>19177</v>
      </c>
      <c r="N4513" t="s">
        <v>714</v>
      </c>
      <c r="O4513" t="s">
        <v>10263</v>
      </c>
      <c r="P4513" t="s">
        <v>12</v>
      </c>
    </row>
    <row r="4514">
      <c r="A4514">
        <f>HYPERLINK("http://bombeiros.sp.gov.br/hidrantes/03individual/2227.html","2227")</f>
      </c>
      <c r="B4514" t="s">
        <v>842</v>
      </c>
      <c r="C4514" t="s">
        <v>996</v>
      </c>
      <c r="D4514" t="s">
        <v>13630</v>
      </c>
      <c r="E4514" t="s">
        <v>15</v>
      </c>
      <c r="F4514" t="s">
        <v>13643</v>
      </c>
      <c r="G4514" t="s">
        <v>18208</v>
      </c>
      <c r="H4514" t="s">
        <v>1121</v>
      </c>
      <c r="I4514" t="s">
        <v>1117</v>
      </c>
      <c r="J4514" t="s">
        <v>13644</v>
      </c>
      <c r="K4514" t="s">
        <v>13645</v>
      </c>
      <c r="L4514" t="s">
        <v>21</v>
      </c>
      <c r="M4514" t="s">
        <v>19177</v>
      </c>
      <c r="N4514" t="s">
        <v>714</v>
      </c>
      <c r="O4514" t="s">
        <v>10263</v>
      </c>
      <c r="P4514" t="s">
        <v>12</v>
      </c>
    </row>
    <row r="4515">
      <c r="A4515">
        <f>HYPERLINK("http://bombeiros.sp.gov.br/hidrantes/03individual/2237.html","2237")</f>
      </c>
      <c r="B4515" t="s">
        <v>842</v>
      </c>
      <c r="C4515" t="s">
        <v>996</v>
      </c>
      <c r="D4515" t="s">
        <v>13630</v>
      </c>
      <c r="E4515" t="s">
        <v>15</v>
      </c>
      <c r="F4515" t="s">
        <v>13646</v>
      </c>
      <c r="G4515" t="s">
        <v>18208</v>
      </c>
      <c r="H4515" t="s">
        <v>1112</v>
      </c>
      <c r="I4515" t="s">
        <v>1108</v>
      </c>
      <c r="J4515" t="s">
        <v>13647</v>
      </c>
      <c r="K4515" t="s">
        <v>13648</v>
      </c>
      <c r="L4515" t="s">
        <v>21</v>
      </c>
      <c r="M4515" t="s">
        <v>19177</v>
      </c>
      <c r="N4515" t="s">
        <v>714</v>
      </c>
      <c r="O4515" t="s">
        <v>10263</v>
      </c>
      <c r="P4515" t="s">
        <v>12</v>
      </c>
    </row>
    <row r="4516">
      <c r="A4516">
        <f>HYPERLINK("http://bombeiros.sp.gov.br/hidrantes/03individual/2946.html","2946")</f>
      </c>
      <c r="B4516" t="s">
        <v>842</v>
      </c>
      <c r="C4516" t="s">
        <v>996</v>
      </c>
      <c r="D4516" t="s">
        <v>13630</v>
      </c>
      <c r="E4516" t="s">
        <v>15</v>
      </c>
      <c r="F4516" t="s">
        <v>13649</v>
      </c>
      <c r="G4516" t="s">
        <v>17925</v>
      </c>
      <c r="H4516" t="s">
        <v>1107</v>
      </c>
      <c r="I4516" t="s">
        <v>1108</v>
      </c>
      <c r="J4516" t="s">
        <v>13650</v>
      </c>
      <c r="K4516" t="s">
        <v>13651</v>
      </c>
      <c r="L4516" t="s">
        <v>21</v>
      </c>
      <c r="M4516" t="s">
        <v>19177</v>
      </c>
      <c r="N4516" t="s">
        <v>714</v>
      </c>
      <c r="O4516" t="s">
        <v>10263</v>
      </c>
      <c r="P4516" t="s">
        <v>12</v>
      </c>
    </row>
    <row r="4517">
      <c r="A4517">
        <f>HYPERLINK("http://bombeiros.sp.gov.br/hidrantes/03individual/3991.html","3991")</f>
      </c>
      <c r="B4517" t="s">
        <v>842</v>
      </c>
      <c r="C4517" t="s">
        <v>996</v>
      </c>
      <c r="D4517" t="s">
        <v>13630</v>
      </c>
      <c r="E4517" t="s">
        <v>15</v>
      </c>
      <c r="F4517" t="s">
        <v>13652</v>
      </c>
      <c r="G4517" t="s">
        <v>18208</v>
      </c>
      <c r="H4517" t="s">
        <v>1112</v>
      </c>
      <c r="I4517" t="s">
        <v>1108</v>
      </c>
      <c r="J4517" t="s">
        <v>16485</v>
      </c>
      <c r="K4517" t="s">
        <v>16486</v>
      </c>
      <c r="L4517" t="s">
        <v>21</v>
      </c>
      <c r="M4517" t="s">
        <v>19177</v>
      </c>
      <c r="N4517" t="s">
        <v>714</v>
      </c>
      <c r="O4517" t="s">
        <v>10263</v>
      </c>
      <c r="P4517" t="s">
        <v>12</v>
      </c>
    </row>
    <row r="4518">
      <c r="A4518">
        <f>HYPERLINK("http://bombeiros.sp.gov.br/hidrantes/03individual/1536.html","1536")</f>
      </c>
      <c r="B4518" t="s">
        <v>842</v>
      </c>
      <c r="C4518" t="s">
        <v>996</v>
      </c>
      <c r="D4518" t="s">
        <v>13655</v>
      </c>
      <c r="E4518" t="s">
        <v>64</v>
      </c>
      <c r="F4518" t="s">
        <v>13656</v>
      </c>
      <c r="G4518" t="s">
        <v>17945</v>
      </c>
      <c r="H4518" t="s">
        <v>1112</v>
      </c>
      <c r="I4518" t="s">
        <v>1108</v>
      </c>
      <c r="J4518" t="s">
        <v>13657</v>
      </c>
      <c r="K4518" t="s">
        <v>13658</v>
      </c>
      <c r="L4518" t="s">
        <v>36</v>
      </c>
      <c r="M4518" t="s">
        <v>19177</v>
      </c>
      <c r="N4518" t="s">
        <v>714</v>
      </c>
      <c r="O4518" t="s">
        <v>10263</v>
      </c>
      <c r="P4518" t="s">
        <v>12</v>
      </c>
    </row>
    <row r="4519">
      <c r="A4519">
        <f>HYPERLINK("http://bombeiros.sp.gov.br/hidrantes/03individual/1726.html","1726")</f>
      </c>
      <c r="B4519" t="s">
        <v>842</v>
      </c>
      <c r="C4519" t="s">
        <v>996</v>
      </c>
      <c r="D4519" t="s">
        <v>13655</v>
      </c>
      <c r="E4519" t="s">
        <v>64</v>
      </c>
      <c r="F4519" t="s">
        <v>13659</v>
      </c>
      <c r="G4519" t="s">
        <v>18131</v>
      </c>
      <c r="H4519" t="s">
        <v>1121</v>
      </c>
      <c r="I4519" t="s">
        <v>1117</v>
      </c>
      <c r="J4519" t="s">
        <v>13660</v>
      </c>
      <c r="K4519" t="s">
        <v>13661</v>
      </c>
      <c r="L4519" t="s">
        <v>36</v>
      </c>
      <c r="M4519" t="s">
        <v>19177</v>
      </c>
      <c r="N4519" t="s">
        <v>714</v>
      </c>
      <c r="O4519" t="s">
        <v>10263</v>
      </c>
      <c r="P4519" t="s">
        <v>12</v>
      </c>
    </row>
    <row r="4520">
      <c r="A4520">
        <f>HYPERLINK("http://bombeiros.sp.gov.br/hidrantes/03individual/1736.html","1736")</f>
      </c>
      <c r="B4520" t="s">
        <v>842</v>
      </c>
      <c r="C4520" t="s">
        <v>996</v>
      </c>
      <c r="D4520" t="s">
        <v>13655</v>
      </c>
      <c r="E4520" t="s">
        <v>15</v>
      </c>
      <c r="F4520" t="s">
        <v>13662</v>
      </c>
      <c r="G4520" t="s">
        <v>17939</v>
      </c>
      <c r="H4520" t="s">
        <v>1121</v>
      </c>
      <c r="I4520" t="s">
        <v>1117</v>
      </c>
      <c r="J4520" t="s">
        <v>13663</v>
      </c>
      <c r="K4520" t="s">
        <v>13664</v>
      </c>
      <c r="L4520" t="s">
        <v>21</v>
      </c>
      <c r="M4520" t="s">
        <v>19177</v>
      </c>
      <c r="N4520" t="s">
        <v>714</v>
      </c>
      <c r="O4520" t="s">
        <v>10263</v>
      </c>
      <c r="P4520" t="s">
        <v>12</v>
      </c>
    </row>
    <row r="4521">
      <c r="A4521">
        <f>HYPERLINK("http://bombeiros.sp.gov.br/hidrantes/03individual/1739.html","1739")</f>
      </c>
      <c r="B4521" t="s">
        <v>842</v>
      </c>
      <c r="C4521" t="s">
        <v>996</v>
      </c>
      <c r="D4521" t="s">
        <v>13655</v>
      </c>
      <c r="E4521" t="s">
        <v>15</v>
      </c>
      <c r="F4521" t="s">
        <v>13665</v>
      </c>
      <c r="G4521" t="s">
        <v>17945</v>
      </c>
      <c r="H4521" t="s">
        <v>1112</v>
      </c>
      <c r="I4521" t="s">
        <v>1108</v>
      </c>
      <c r="J4521" t="s">
        <v>13666</v>
      </c>
      <c r="K4521" t="s">
        <v>13667</v>
      </c>
      <c r="L4521" t="s">
        <v>21</v>
      </c>
      <c r="M4521" t="s">
        <v>19177</v>
      </c>
      <c r="N4521" t="s">
        <v>714</v>
      </c>
      <c r="O4521" t="s">
        <v>10263</v>
      </c>
      <c r="P4521" t="s">
        <v>12</v>
      </c>
    </row>
    <row r="4522">
      <c r="A4522">
        <f>HYPERLINK("http://bombeiros.sp.gov.br/hidrantes/03individual/1760.html","1760")</f>
      </c>
      <c r="B4522" t="s">
        <v>842</v>
      </c>
      <c r="C4522" t="s">
        <v>996</v>
      </c>
      <c r="D4522" t="s">
        <v>13655</v>
      </c>
      <c r="E4522" t="s">
        <v>15</v>
      </c>
      <c r="F4522" t="s">
        <v>13668</v>
      </c>
      <c r="G4522" t="s">
        <v>17924</v>
      </c>
      <c r="H4522" t="s">
        <v>1112</v>
      </c>
      <c r="I4522" t="s">
        <v>1108</v>
      </c>
      <c r="J4522" t="s">
        <v>13669</v>
      </c>
      <c r="K4522" t="s">
        <v>13670</v>
      </c>
      <c r="L4522" t="s">
        <v>21</v>
      </c>
      <c r="M4522" t="s">
        <v>19177</v>
      </c>
      <c r="N4522" t="s">
        <v>714</v>
      </c>
      <c r="O4522" t="s">
        <v>10263</v>
      </c>
      <c r="P4522" t="s">
        <v>12</v>
      </c>
    </row>
    <row r="4523">
      <c r="A4523">
        <f>HYPERLINK("http://bombeiros.sp.gov.br/hidrantes/03individual/27200.html","27200")</f>
      </c>
      <c r="B4523" t="s">
        <v>842</v>
      </c>
      <c r="C4523" t="s">
        <v>996</v>
      </c>
      <c r="D4523" t="s">
        <v>13655</v>
      </c>
      <c r="E4523" t="s">
        <v>15</v>
      </c>
      <c r="F4523" t="s">
        <v>16969</v>
      </c>
      <c r="G4523" t="s">
        <v>17945</v>
      </c>
      <c r="H4523" t="s">
        <v>1121</v>
      </c>
      <c r="I4523" t="s">
        <v>1117</v>
      </c>
      <c r="J4523" t="s">
        <v>16970</v>
      </c>
      <c r="K4523" t="s">
        <v>16971</v>
      </c>
      <c r="L4523" t="s">
        <v>21</v>
      </c>
      <c r="M4523" t="s">
        <v>19177</v>
      </c>
      <c r="N4523" t="s">
        <v>714</v>
      </c>
      <c r="O4523" t="s">
        <v>10263</v>
      </c>
      <c r="P4523" t="s">
        <v>12</v>
      </c>
    </row>
    <row r="4524">
      <c r="A4524">
        <f>HYPERLINK("http://bombeiros.sp.gov.br/hidrantes/03individual/27201.html","27201")</f>
      </c>
      <c r="B4524" t="s">
        <v>842</v>
      </c>
      <c r="C4524" t="s">
        <v>996</v>
      </c>
      <c r="D4524" t="s">
        <v>13655</v>
      </c>
      <c r="E4524" t="s">
        <v>15</v>
      </c>
      <c r="F4524" t="s">
        <v>16972</v>
      </c>
      <c r="G4524" t="s">
        <v>17924</v>
      </c>
      <c r="H4524" t="s">
        <v>1112</v>
      </c>
      <c r="I4524" t="s">
        <v>1108</v>
      </c>
      <c r="J4524" t="s">
        <v>16973</v>
      </c>
      <c r="K4524" t="s">
        <v>16974</v>
      </c>
      <c r="L4524" t="s">
        <v>21</v>
      </c>
      <c r="M4524" t="s">
        <v>19177</v>
      </c>
      <c r="N4524" t="s">
        <v>714</v>
      </c>
      <c r="O4524" t="s">
        <v>10263</v>
      </c>
      <c r="P4524" t="s">
        <v>12</v>
      </c>
    </row>
    <row r="4525">
      <c r="A4525">
        <f>HYPERLINK("http://bombeiros.sp.gov.br/hidrantes/03individual/27211.html","27211")</f>
      </c>
      <c r="B4525" t="s">
        <v>842</v>
      </c>
      <c r="C4525" t="s">
        <v>996</v>
      </c>
      <c r="D4525" t="s">
        <v>13655</v>
      </c>
      <c r="E4525" t="s">
        <v>15</v>
      </c>
      <c r="F4525" t="s">
        <v>16975</v>
      </c>
      <c r="G4525" t="s">
        <v>17945</v>
      </c>
      <c r="H4525" t="s">
        <v>1121</v>
      </c>
      <c r="I4525" t="s">
        <v>1117</v>
      </c>
      <c r="J4525" t="s">
        <v>16976</v>
      </c>
      <c r="K4525" t="s">
        <v>16977</v>
      </c>
      <c r="L4525" t="s">
        <v>21</v>
      </c>
      <c r="M4525" t="s">
        <v>19177</v>
      </c>
      <c r="N4525" t="s">
        <v>714</v>
      </c>
      <c r="O4525" t="s">
        <v>10263</v>
      </c>
      <c r="P4525" t="s">
        <v>12</v>
      </c>
    </row>
    <row r="4526">
      <c r="A4526">
        <f>HYPERLINK("http://bombeiros.sp.gov.br/hidrantes/03individual/10072.html","10072")</f>
      </c>
      <c r="B4526" t="s">
        <v>842</v>
      </c>
      <c r="C4526" t="s">
        <v>13671</v>
      </c>
      <c r="D4526" t="s">
        <v>13672</v>
      </c>
      <c r="E4526" t="s">
        <v>64</v>
      </c>
      <c r="F4526" t="s">
        <v>13673</v>
      </c>
      <c r="G4526" t="s">
        <v>18472</v>
      </c>
      <c r="H4526" t="s">
        <v>1112</v>
      </c>
      <c r="I4526" t="s">
        <v>1108</v>
      </c>
      <c r="J4526" t="s">
        <v>13674</v>
      </c>
      <c r="K4526" t="s">
        <v>13675</v>
      </c>
      <c r="L4526" t="s">
        <v>21</v>
      </c>
      <c r="M4526" t="s">
        <v>19177</v>
      </c>
      <c r="N4526" t="s">
        <v>16376</v>
      </c>
      <c r="O4526" t="s">
        <v>16376</v>
      </c>
      <c r="P4526" t="s">
        <v>842</v>
      </c>
    </row>
    <row r="4527">
      <c r="A4527">
        <f>HYPERLINK("http://bombeiros.sp.gov.br/hidrantes/03individual/27335.html","27335")</f>
      </c>
      <c r="B4527" t="s">
        <v>842</v>
      </c>
      <c r="C4527" t="s">
        <v>13671</v>
      </c>
      <c r="D4527" t="s">
        <v>13671</v>
      </c>
      <c r="E4527" t="s">
        <v>64</v>
      </c>
      <c r="F4527" t="s">
        <v>17169</v>
      </c>
      <c r="G4527" t="s">
        <v>18272</v>
      </c>
      <c r="H4527" t="s">
        <v>1121</v>
      </c>
      <c r="I4527" t="s">
        <v>1117</v>
      </c>
      <c r="J4527" t="s">
        <v>17170</v>
      </c>
      <c r="K4527" t="s">
        <v>17171</v>
      </c>
      <c r="L4527" t="s">
        <v>21</v>
      </c>
      <c r="M4527" t="s">
        <v>19177</v>
      </c>
      <c r="N4527" t="s">
        <v>16376</v>
      </c>
      <c r="O4527" t="s">
        <v>16376</v>
      </c>
      <c r="P4527" t="s">
        <v>842</v>
      </c>
    </row>
    <row r="4528">
      <c r="A4528">
        <f>HYPERLINK("http://bombeiros.sp.gov.br/hidrantes/03individual/27336.html","27336")</f>
      </c>
      <c r="B4528" t="s">
        <v>842</v>
      </c>
      <c r="C4528" t="s">
        <v>13671</v>
      </c>
      <c r="D4528" t="s">
        <v>13671</v>
      </c>
      <c r="E4528" t="s">
        <v>64</v>
      </c>
      <c r="F4528" t="s">
        <v>17172</v>
      </c>
      <c r="G4528" t="s">
        <v>18050</v>
      </c>
      <c r="H4528" t="s">
        <v>1121</v>
      </c>
      <c r="I4528" t="s">
        <v>1117</v>
      </c>
      <c r="J4528" t="s">
        <v>17173</v>
      </c>
      <c r="K4528" t="s">
        <v>17174</v>
      </c>
      <c r="L4528" t="s">
        <v>21</v>
      </c>
      <c r="M4528" t="s">
        <v>19177</v>
      </c>
      <c r="N4528" t="s">
        <v>16376</v>
      </c>
      <c r="O4528" t="s">
        <v>16376</v>
      </c>
      <c r="P4528" t="s">
        <v>842</v>
      </c>
    </row>
    <row r="4529">
      <c r="A4529">
        <f>HYPERLINK("http://bombeiros.sp.gov.br/hidrantes/03individual/28280.html","28280")</f>
      </c>
      <c r="B4529" t="s">
        <v>842</v>
      </c>
      <c r="C4529" t="s">
        <v>13671</v>
      </c>
      <c r="D4529" t="s">
        <v>13671</v>
      </c>
      <c r="E4529" t="s">
        <v>64</v>
      </c>
      <c r="F4529" t="s">
        <v>18489</v>
      </c>
      <c r="G4529" t="s">
        <v>18534</v>
      </c>
      <c r="H4529" t="s">
        <v>1121</v>
      </c>
      <c r="I4529" t="s">
        <v>1117</v>
      </c>
      <c r="J4529" t="s">
        <v>18490</v>
      </c>
      <c r="K4529" t="s">
        <v>18491</v>
      </c>
      <c r="L4529" t="s">
        <v>21</v>
      </c>
      <c r="M4529" t="s">
        <v>19177</v>
      </c>
      <c r="N4529" t="s">
        <v>16376</v>
      </c>
      <c r="O4529" t="s">
        <v>16376</v>
      </c>
      <c r="P4529" t="s">
        <v>842</v>
      </c>
    </row>
    <row r="4530">
      <c r="A4530">
        <f>HYPERLINK("http://bombeiros.sp.gov.br/hidrantes/03individual/6673.html","6673")</f>
      </c>
      <c r="B4530" t="s">
        <v>842</v>
      </c>
      <c r="C4530" t="s">
        <v>13671</v>
      </c>
      <c r="D4530" t="s">
        <v>13671</v>
      </c>
      <c r="E4530" t="s">
        <v>15</v>
      </c>
      <c r="F4530" t="s">
        <v>13676</v>
      </c>
      <c r="G4530" t="s">
        <v>18211</v>
      </c>
      <c r="H4530" t="s">
        <v>1112</v>
      </c>
      <c r="I4530" t="s">
        <v>1108</v>
      </c>
      <c r="J4530" t="s">
        <v>13677</v>
      </c>
      <c r="K4530" t="s">
        <v>13678</v>
      </c>
      <c r="L4530" t="s">
        <v>21</v>
      </c>
      <c r="M4530" t="s">
        <v>19177</v>
      </c>
      <c r="N4530" t="s">
        <v>16376</v>
      </c>
      <c r="O4530" t="s">
        <v>16376</v>
      </c>
      <c r="P4530" t="s">
        <v>842</v>
      </c>
    </row>
    <row r="4531">
      <c r="A4531">
        <f>HYPERLINK("http://bombeiros.sp.gov.br/hidrantes/03individual/6674.html","6674")</f>
      </c>
      <c r="B4531" t="s">
        <v>842</v>
      </c>
      <c r="C4531" t="s">
        <v>13671</v>
      </c>
      <c r="D4531" t="s">
        <v>13671</v>
      </c>
      <c r="E4531" t="s">
        <v>15</v>
      </c>
      <c r="F4531" t="s">
        <v>13679</v>
      </c>
      <c r="G4531" t="s">
        <v>18568</v>
      </c>
      <c r="H4531" t="s">
        <v>1112</v>
      </c>
      <c r="I4531" t="s">
        <v>1108</v>
      </c>
      <c r="J4531" t="s">
        <v>13680</v>
      </c>
      <c r="K4531" t="s">
        <v>13681</v>
      </c>
      <c r="L4531" t="s">
        <v>21</v>
      </c>
      <c r="M4531" t="s">
        <v>19177</v>
      </c>
      <c r="N4531" t="s">
        <v>16376</v>
      </c>
      <c r="O4531" t="s">
        <v>16376</v>
      </c>
      <c r="P4531" t="s">
        <v>842</v>
      </c>
    </row>
    <row r="4532">
      <c r="A4532">
        <f>HYPERLINK("http://bombeiros.sp.gov.br/hidrantes/03individual/14966.html","14966")</f>
      </c>
      <c r="B4532" t="s">
        <v>842</v>
      </c>
      <c r="C4532" t="s">
        <v>1006</v>
      </c>
      <c r="D4532" t="s">
        <v>1007</v>
      </c>
      <c r="E4532" t="s">
        <v>64</v>
      </c>
      <c r="F4532" t="s">
        <v>13682</v>
      </c>
      <c r="G4532" t="s">
        <v>17901</v>
      </c>
      <c r="H4532" t="s">
        <v>1107</v>
      </c>
      <c r="I4532" t="s">
        <v>1117</v>
      </c>
      <c r="J4532" t="s">
        <v>13683</v>
      </c>
      <c r="K4532" t="s">
        <v>13684</v>
      </c>
      <c r="L4532" t="s">
        <v>21</v>
      </c>
      <c r="M4532" t="s">
        <v>19177</v>
      </c>
      <c r="N4532" t="s">
        <v>1024</v>
      </c>
      <c r="O4532" t="s">
        <v>1024</v>
      </c>
      <c r="P4532" t="s">
        <v>842</v>
      </c>
    </row>
    <row r="4533">
      <c r="A4533">
        <f>HYPERLINK("http://bombeiros.sp.gov.br/hidrantes/03individual/2465.html","2465")</f>
      </c>
      <c r="B4533" t="s">
        <v>842</v>
      </c>
      <c r="C4533" t="s">
        <v>1006</v>
      </c>
      <c r="D4533" t="s">
        <v>1007</v>
      </c>
      <c r="E4533" t="s">
        <v>15</v>
      </c>
      <c r="F4533" t="s">
        <v>13685</v>
      </c>
      <c r="G4533" t="s">
        <v>17611</v>
      </c>
      <c r="H4533" t="s">
        <v>1112</v>
      </c>
      <c r="I4533" t="s">
        <v>1108</v>
      </c>
      <c r="J4533" t="s">
        <v>13686</v>
      </c>
      <c r="K4533" t="s">
        <v>13687</v>
      </c>
      <c r="L4533" t="s">
        <v>21</v>
      </c>
      <c r="M4533" t="s">
        <v>19177</v>
      </c>
      <c r="N4533" t="s">
        <v>1024</v>
      </c>
      <c r="O4533" t="s">
        <v>1024</v>
      </c>
      <c r="P4533" t="s">
        <v>842</v>
      </c>
    </row>
    <row r="4534">
      <c r="A4534">
        <f>HYPERLINK("http://bombeiros.sp.gov.br/hidrantes/03individual/2477.html","2477")</f>
      </c>
      <c r="B4534" t="s">
        <v>842</v>
      </c>
      <c r="C4534" t="s">
        <v>1006</v>
      </c>
      <c r="D4534" t="s">
        <v>1007</v>
      </c>
      <c r="E4534" t="s">
        <v>15</v>
      </c>
      <c r="F4534" t="s">
        <v>13688</v>
      </c>
      <c r="G4534" t="s">
        <v>18053</v>
      </c>
      <c r="H4534" t="s">
        <v>1112</v>
      </c>
      <c r="I4534" t="s">
        <v>1108</v>
      </c>
      <c r="J4534" t="s">
        <v>13689</v>
      </c>
      <c r="K4534" t="s">
        <v>13690</v>
      </c>
      <c r="L4534" t="s">
        <v>21</v>
      </c>
      <c r="M4534" t="s">
        <v>19177</v>
      </c>
      <c r="N4534" t="s">
        <v>1024</v>
      </c>
      <c r="O4534" t="s">
        <v>1024</v>
      </c>
      <c r="P4534" t="s">
        <v>842</v>
      </c>
    </row>
    <row r="4535">
      <c r="A4535">
        <f>HYPERLINK("http://bombeiros.sp.gov.br/hidrantes/03individual/2478.html","2478")</f>
      </c>
      <c r="B4535" t="s">
        <v>842</v>
      </c>
      <c r="C4535" t="s">
        <v>1006</v>
      </c>
      <c r="D4535" t="s">
        <v>1007</v>
      </c>
      <c r="E4535" t="s">
        <v>15</v>
      </c>
      <c r="F4535" t="s">
        <v>13691</v>
      </c>
      <c r="G4535" t="s">
        <v>18164</v>
      </c>
      <c r="H4535" t="s">
        <v>1107</v>
      </c>
      <c r="I4535" t="s">
        <v>1108</v>
      </c>
      <c r="J4535" t="s">
        <v>13692</v>
      </c>
      <c r="K4535" t="s">
        <v>13693</v>
      </c>
      <c r="L4535" t="s">
        <v>21</v>
      </c>
      <c r="M4535" t="s">
        <v>19177</v>
      </c>
      <c r="N4535" t="s">
        <v>1024</v>
      </c>
      <c r="O4535" t="s">
        <v>1024</v>
      </c>
      <c r="P4535" t="s">
        <v>842</v>
      </c>
    </row>
    <row r="4536">
      <c r="A4536">
        <f>HYPERLINK("http://bombeiros.sp.gov.br/hidrantes/03individual/2484.html","2484")</f>
      </c>
      <c r="B4536" t="s">
        <v>842</v>
      </c>
      <c r="C4536" t="s">
        <v>1006</v>
      </c>
      <c r="D4536" t="s">
        <v>1007</v>
      </c>
      <c r="E4536" t="s">
        <v>15</v>
      </c>
      <c r="F4536" t="s">
        <v>13694</v>
      </c>
      <c r="G4536" t="s">
        <v>18111</v>
      </c>
      <c r="H4536" t="s">
        <v>1112</v>
      </c>
      <c r="I4536" t="s">
        <v>1108</v>
      </c>
      <c r="J4536" t="s">
        <v>13695</v>
      </c>
      <c r="K4536" t="s">
        <v>13696</v>
      </c>
      <c r="L4536" t="s">
        <v>21</v>
      </c>
      <c r="M4536" t="s">
        <v>19177</v>
      </c>
      <c r="N4536" t="s">
        <v>1024</v>
      </c>
      <c r="O4536" t="s">
        <v>1024</v>
      </c>
      <c r="P4536" t="s">
        <v>842</v>
      </c>
    </row>
    <row r="4537">
      <c r="A4537">
        <f>HYPERLINK("http://bombeiros.sp.gov.br/hidrantes/03individual/3594.html","3594")</f>
      </c>
      <c r="B4537" t="s">
        <v>842</v>
      </c>
      <c r="C4537" t="s">
        <v>1006</v>
      </c>
      <c r="D4537" t="s">
        <v>1007</v>
      </c>
      <c r="E4537" t="s">
        <v>15</v>
      </c>
      <c r="F4537" t="s">
        <v>13697</v>
      </c>
      <c r="G4537" t="s">
        <v>18053</v>
      </c>
      <c r="H4537" t="s">
        <v>1112</v>
      </c>
      <c r="I4537" t="s">
        <v>1108</v>
      </c>
      <c r="J4537" t="s">
        <v>13698</v>
      </c>
      <c r="K4537" t="s">
        <v>13699</v>
      </c>
      <c r="L4537" t="s">
        <v>21</v>
      </c>
      <c r="M4537" t="s">
        <v>19177</v>
      </c>
      <c r="N4537" t="s">
        <v>1024</v>
      </c>
      <c r="O4537" t="s">
        <v>1024</v>
      </c>
      <c r="P4537" t="s">
        <v>842</v>
      </c>
    </row>
    <row r="4538">
      <c r="A4538">
        <f>HYPERLINK("http://bombeiros.sp.gov.br/hidrantes/03individual/3638.html","3638")</f>
      </c>
      <c r="B4538" t="s">
        <v>842</v>
      </c>
      <c r="C4538" t="s">
        <v>1006</v>
      </c>
      <c r="D4538" t="s">
        <v>1007</v>
      </c>
      <c r="E4538" t="s">
        <v>15</v>
      </c>
      <c r="F4538" t="s">
        <v>13700</v>
      </c>
      <c r="G4538" t="s">
        <v>18053</v>
      </c>
      <c r="H4538" t="s">
        <v>1112</v>
      </c>
      <c r="I4538" t="s">
        <v>1108</v>
      </c>
      <c r="J4538" t="s">
        <v>13701</v>
      </c>
      <c r="K4538" t="s">
        <v>13702</v>
      </c>
      <c r="L4538" t="s">
        <v>21</v>
      </c>
      <c r="M4538" t="s">
        <v>19177</v>
      </c>
      <c r="N4538" t="s">
        <v>1024</v>
      </c>
      <c r="O4538" t="s">
        <v>1024</v>
      </c>
      <c r="P4538" t="s">
        <v>842</v>
      </c>
    </row>
    <row r="4539">
      <c r="A4539">
        <f>HYPERLINK("http://bombeiros.sp.gov.br/hidrantes/03individual/3640.html","3640")</f>
      </c>
      <c r="B4539" t="s">
        <v>842</v>
      </c>
      <c r="C4539" t="s">
        <v>1006</v>
      </c>
      <c r="D4539" t="s">
        <v>1007</v>
      </c>
      <c r="E4539" t="s">
        <v>15</v>
      </c>
      <c r="F4539" t="s">
        <v>13703</v>
      </c>
      <c r="G4539" t="s">
        <v>18164</v>
      </c>
      <c r="H4539" t="s">
        <v>1174</v>
      </c>
      <c r="I4539" t="s">
        <v>1108</v>
      </c>
      <c r="J4539" t="s">
        <v>13704</v>
      </c>
      <c r="K4539" t="s">
        <v>13705</v>
      </c>
      <c r="L4539" t="s">
        <v>21</v>
      </c>
      <c r="M4539" t="s">
        <v>19177</v>
      </c>
      <c r="N4539" t="s">
        <v>1024</v>
      </c>
      <c r="O4539" t="s">
        <v>1024</v>
      </c>
      <c r="P4539" t="s">
        <v>842</v>
      </c>
    </row>
    <row r="4540">
      <c r="A4540">
        <f>HYPERLINK("http://bombeiros.sp.gov.br/hidrantes/03individual/4181.html","4181")</f>
      </c>
      <c r="B4540" t="s">
        <v>842</v>
      </c>
      <c r="C4540" t="s">
        <v>1006</v>
      </c>
      <c r="D4540" t="s">
        <v>1007</v>
      </c>
      <c r="E4540" t="s">
        <v>15</v>
      </c>
      <c r="F4540" t="s">
        <v>13706</v>
      </c>
      <c r="G4540" t="s">
        <v>17641</v>
      </c>
      <c r="H4540" t="s">
        <v>1107</v>
      </c>
      <c r="I4540" t="s">
        <v>1108</v>
      </c>
      <c r="J4540" t="s">
        <v>13707</v>
      </c>
      <c r="K4540" t="s">
        <v>13708</v>
      </c>
      <c r="L4540" t="s">
        <v>21</v>
      </c>
      <c r="M4540" t="s">
        <v>19177</v>
      </c>
      <c r="N4540" t="s">
        <v>1024</v>
      </c>
      <c r="O4540" t="s">
        <v>1024</v>
      </c>
      <c r="P4540" t="s">
        <v>842</v>
      </c>
    </row>
    <row r="4541">
      <c r="A4541">
        <f>HYPERLINK("http://bombeiros.sp.gov.br/hidrantes/03individual/4219.html","4219")</f>
      </c>
      <c r="B4541" t="s">
        <v>842</v>
      </c>
      <c r="C4541" t="s">
        <v>1006</v>
      </c>
      <c r="D4541" t="s">
        <v>1007</v>
      </c>
      <c r="E4541" t="s">
        <v>15</v>
      </c>
      <c r="F4541" t="s">
        <v>13709</v>
      </c>
      <c r="G4541" t="s">
        <v>17611</v>
      </c>
      <c r="H4541" t="s">
        <v>1112</v>
      </c>
      <c r="I4541" t="s">
        <v>1108</v>
      </c>
      <c r="J4541" t="s">
        <v>13710</v>
      </c>
      <c r="K4541" t="s">
        <v>13711</v>
      </c>
      <c r="L4541" t="s">
        <v>21</v>
      </c>
      <c r="M4541" t="s">
        <v>19177</v>
      </c>
      <c r="N4541" t="s">
        <v>1024</v>
      </c>
      <c r="O4541" t="s">
        <v>1024</v>
      </c>
      <c r="P4541" t="s">
        <v>842</v>
      </c>
    </row>
    <row r="4542">
      <c r="A4542">
        <f>HYPERLINK("http://bombeiros.sp.gov.br/hidrantes/03individual/17842.html","17842")</f>
      </c>
      <c r="B4542" t="s">
        <v>842</v>
      </c>
      <c r="C4542" t="s">
        <v>1006</v>
      </c>
      <c r="D4542" t="s">
        <v>1007</v>
      </c>
      <c r="E4542" t="s">
        <v>15</v>
      </c>
      <c r="F4542" t="s">
        <v>13712</v>
      </c>
      <c r="G4542" t="s">
        <v>18117</v>
      </c>
      <c r="H4542" t="s">
        <v>1107</v>
      </c>
      <c r="I4542" t="s">
        <v>1108</v>
      </c>
      <c r="J4542" t="s">
        <v>13713</v>
      </c>
      <c r="K4542" t="s">
        <v>13714</v>
      </c>
      <c r="L4542" t="s">
        <v>21</v>
      </c>
      <c r="M4542" t="s">
        <v>19177</v>
      </c>
      <c r="N4542" t="s">
        <v>1024</v>
      </c>
      <c r="O4542" t="s">
        <v>1024</v>
      </c>
      <c r="P4542" t="s">
        <v>842</v>
      </c>
    </row>
    <row r="4543">
      <c r="A4543">
        <f>HYPERLINK("http://bombeiros.sp.gov.br/hidrantes/03individual/15071.html","15071")</f>
      </c>
      <c r="B4543" t="s">
        <v>842</v>
      </c>
      <c r="C4543" t="s">
        <v>1006</v>
      </c>
      <c r="D4543" t="s">
        <v>1006</v>
      </c>
      <c r="E4543" t="s">
        <v>64</v>
      </c>
      <c r="F4543" t="s">
        <v>13715</v>
      </c>
      <c r="G4543" t="s">
        <v>18273</v>
      </c>
      <c r="H4543" t="s">
        <v>1112</v>
      </c>
      <c r="I4543" t="s">
        <v>1108</v>
      </c>
      <c r="J4543" t="s">
        <v>13716</v>
      </c>
      <c r="K4543" t="s">
        <v>13717</v>
      </c>
      <c r="L4543" t="s">
        <v>21</v>
      </c>
      <c r="M4543" t="s">
        <v>19177</v>
      </c>
      <c r="N4543" t="s">
        <v>1024</v>
      </c>
      <c r="O4543" t="s">
        <v>1024</v>
      </c>
      <c r="P4543" t="s">
        <v>842</v>
      </c>
    </row>
    <row r="4544">
      <c r="A4544">
        <f>HYPERLINK("http://bombeiros.sp.gov.br/hidrantes/03individual/15072.html","15072")</f>
      </c>
      <c r="B4544" t="s">
        <v>842</v>
      </c>
      <c r="C4544" t="s">
        <v>1006</v>
      </c>
      <c r="D4544" t="s">
        <v>1006</v>
      </c>
      <c r="E4544" t="s">
        <v>64</v>
      </c>
      <c r="F4544" t="s">
        <v>13718</v>
      </c>
      <c r="G4544" t="s">
        <v>18273</v>
      </c>
      <c r="H4544" t="s">
        <v>1112</v>
      </c>
      <c r="I4544" t="s">
        <v>1108</v>
      </c>
      <c r="J4544" t="s">
        <v>13719</v>
      </c>
      <c r="K4544" t="s">
        <v>13720</v>
      </c>
      <c r="L4544" t="s">
        <v>21</v>
      </c>
      <c r="M4544" t="s">
        <v>19177</v>
      </c>
      <c r="N4544" t="s">
        <v>1024</v>
      </c>
      <c r="O4544" t="s">
        <v>1024</v>
      </c>
      <c r="P4544" t="s">
        <v>842</v>
      </c>
    </row>
    <row r="4545">
      <c r="A4545">
        <f>HYPERLINK("http://bombeiros.sp.gov.br/hidrantes/03individual/314.html","314")</f>
      </c>
      <c r="B4545" t="s">
        <v>842</v>
      </c>
      <c r="C4545" t="s">
        <v>1006</v>
      </c>
      <c r="D4545" t="s">
        <v>1006</v>
      </c>
      <c r="E4545" t="s">
        <v>15</v>
      </c>
      <c r="F4545" t="s">
        <v>1012</v>
      </c>
      <c r="G4545" t="s">
        <v>18046</v>
      </c>
      <c r="H4545" t="s">
        <v>1107</v>
      </c>
      <c r="I4545" t="s">
        <v>1108</v>
      </c>
      <c r="J4545" t="s">
        <v>1014</v>
      </c>
      <c r="K4545" t="s">
        <v>1015</v>
      </c>
      <c r="L4545" t="s">
        <v>21</v>
      </c>
      <c r="M4545" t="s">
        <v>19177</v>
      </c>
      <c r="N4545" t="s">
        <v>1024</v>
      </c>
      <c r="O4545" t="s">
        <v>1024</v>
      </c>
      <c r="P4545" t="s">
        <v>842</v>
      </c>
    </row>
    <row r="4546">
      <c r="A4546">
        <f>HYPERLINK("http://bombeiros.sp.gov.br/hidrantes/03individual/365.html","365")</f>
      </c>
      <c r="B4546" t="s">
        <v>842</v>
      </c>
      <c r="C4546" t="s">
        <v>1006</v>
      </c>
      <c r="D4546" t="s">
        <v>1006</v>
      </c>
      <c r="E4546" t="s">
        <v>15</v>
      </c>
      <c r="F4546" t="s">
        <v>13721</v>
      </c>
      <c r="G4546" t="s">
        <v>18046</v>
      </c>
      <c r="H4546" t="s">
        <v>1107</v>
      </c>
      <c r="I4546" t="s">
        <v>1108</v>
      </c>
      <c r="J4546" t="s">
        <v>13722</v>
      </c>
      <c r="K4546" t="s">
        <v>13723</v>
      </c>
      <c r="L4546" t="s">
        <v>21</v>
      </c>
      <c r="M4546" t="s">
        <v>19177</v>
      </c>
      <c r="N4546" t="s">
        <v>1024</v>
      </c>
      <c r="O4546" t="s">
        <v>1024</v>
      </c>
      <c r="P4546" t="s">
        <v>842</v>
      </c>
    </row>
    <row r="4547">
      <c r="A4547">
        <f>HYPERLINK("http://bombeiros.sp.gov.br/hidrantes/03individual/3590.html","3590")</f>
      </c>
      <c r="B4547" t="s">
        <v>842</v>
      </c>
      <c r="C4547" t="s">
        <v>1006</v>
      </c>
      <c r="D4547" t="s">
        <v>1006</v>
      </c>
      <c r="E4547" t="s">
        <v>15</v>
      </c>
      <c r="F4547" t="s">
        <v>13727</v>
      </c>
      <c r="G4547" t="s">
        <v>18046</v>
      </c>
      <c r="H4547" t="s">
        <v>1107</v>
      </c>
      <c r="I4547" t="s">
        <v>1108</v>
      </c>
      <c r="J4547" t="s">
        <v>13728</v>
      </c>
      <c r="K4547" t="s">
        <v>16978</v>
      </c>
      <c r="L4547" t="s">
        <v>21</v>
      </c>
      <c r="M4547" t="s">
        <v>19177</v>
      </c>
      <c r="N4547" t="s">
        <v>1024</v>
      </c>
      <c r="O4547" t="s">
        <v>1024</v>
      </c>
      <c r="P4547" t="s">
        <v>842</v>
      </c>
    </row>
    <row r="4548">
      <c r="A4548">
        <f>HYPERLINK("http://bombeiros.sp.gov.br/hidrantes/03individual/17839.html","17839")</f>
      </c>
      <c r="B4548" t="s">
        <v>842</v>
      </c>
      <c r="C4548" t="s">
        <v>1006</v>
      </c>
      <c r="D4548" t="s">
        <v>1006</v>
      </c>
      <c r="E4548" t="s">
        <v>15</v>
      </c>
      <c r="F4548" t="s">
        <v>13730</v>
      </c>
      <c r="G4548" t="s">
        <v>18046</v>
      </c>
      <c r="H4548" t="s">
        <v>1112</v>
      </c>
      <c r="I4548" t="s">
        <v>1108</v>
      </c>
      <c r="J4548" t="s">
        <v>13731</v>
      </c>
      <c r="K4548" t="s">
        <v>13732</v>
      </c>
      <c r="L4548" t="s">
        <v>21</v>
      </c>
      <c r="M4548" t="s">
        <v>19177</v>
      </c>
      <c r="N4548" t="s">
        <v>1024</v>
      </c>
      <c r="O4548" t="s">
        <v>1024</v>
      </c>
      <c r="P4548" t="s">
        <v>842</v>
      </c>
    </row>
    <row r="4549">
      <c r="A4549">
        <f>HYPERLINK("http://bombeiros.sp.gov.br/hidrantes/03individual/17840.html","17840")</f>
      </c>
      <c r="B4549" t="s">
        <v>842</v>
      </c>
      <c r="C4549" t="s">
        <v>1006</v>
      </c>
      <c r="D4549" t="s">
        <v>1006</v>
      </c>
      <c r="E4549" t="s">
        <v>15</v>
      </c>
      <c r="F4549" t="s">
        <v>13733</v>
      </c>
      <c r="G4549" t="s">
        <v>17650</v>
      </c>
      <c r="H4549" t="s">
        <v>1121</v>
      </c>
      <c r="I4549" t="s">
        <v>1117</v>
      </c>
      <c r="J4549" t="s">
        <v>13734</v>
      </c>
      <c r="K4549" t="s">
        <v>13735</v>
      </c>
      <c r="L4549" t="s">
        <v>21</v>
      </c>
      <c r="M4549" t="s">
        <v>19177</v>
      </c>
      <c r="N4549" t="s">
        <v>1024</v>
      </c>
      <c r="O4549" t="s">
        <v>1024</v>
      </c>
      <c r="P4549" t="s">
        <v>842</v>
      </c>
    </row>
    <row r="4550">
      <c r="A4550">
        <f>HYPERLINK("http://bombeiros.sp.gov.br/hidrantes/03individual/17843.html","17843")</f>
      </c>
      <c r="B4550" t="s">
        <v>842</v>
      </c>
      <c r="C4550" t="s">
        <v>1006</v>
      </c>
      <c r="D4550" t="s">
        <v>1006</v>
      </c>
      <c r="E4550" t="s">
        <v>15</v>
      </c>
      <c r="F4550" t="s">
        <v>13736</v>
      </c>
      <c r="G4550" t="s">
        <v>18194</v>
      </c>
      <c r="H4550" t="s">
        <v>1107</v>
      </c>
      <c r="I4550" t="s">
        <v>1108</v>
      </c>
      <c r="J4550" t="s">
        <v>13737</v>
      </c>
      <c r="K4550" t="s">
        <v>13738</v>
      </c>
      <c r="L4550" t="s">
        <v>21</v>
      </c>
      <c r="M4550" t="s">
        <v>19177</v>
      </c>
      <c r="N4550" t="s">
        <v>1024</v>
      </c>
      <c r="O4550" t="s">
        <v>1024</v>
      </c>
      <c r="P4550" t="s">
        <v>842</v>
      </c>
    </row>
    <row r="4551">
      <c r="A4551">
        <f>HYPERLINK("http://bombeiros.sp.gov.br/hidrantes/03individual/26870.html","26870")</f>
      </c>
      <c r="B4551" t="s">
        <v>842</v>
      </c>
      <c r="C4551" t="s">
        <v>1006</v>
      </c>
      <c r="D4551" t="s">
        <v>1006</v>
      </c>
      <c r="E4551" t="s">
        <v>15</v>
      </c>
      <c r="F4551" t="s">
        <v>16251</v>
      </c>
      <c r="G4551" t="s">
        <v>18273</v>
      </c>
      <c r="H4551" t="s">
        <v>1121</v>
      </c>
      <c r="I4551" t="s">
        <v>1108</v>
      </c>
      <c r="J4551" t="s">
        <v>16252</v>
      </c>
      <c r="K4551" t="s">
        <v>16253</v>
      </c>
      <c r="L4551" t="s">
        <v>21</v>
      </c>
      <c r="M4551" t="s">
        <v>19177</v>
      </c>
      <c r="N4551" t="s">
        <v>1024</v>
      </c>
      <c r="O4551" t="s">
        <v>1024</v>
      </c>
      <c r="P4551" t="s">
        <v>842</v>
      </c>
    </row>
    <row r="4552">
      <c r="A4552">
        <f>HYPERLINK("http://bombeiros.sp.gov.br/hidrantes/03individual/27788.html","27788")</f>
      </c>
      <c r="B4552" t="s">
        <v>842</v>
      </c>
      <c r="C4552" t="s">
        <v>1006</v>
      </c>
      <c r="D4552" t="s">
        <v>1006</v>
      </c>
      <c r="E4552" t="s">
        <v>15</v>
      </c>
      <c r="F4552" t="s">
        <v>17757</v>
      </c>
      <c r="G4552" t="s">
        <v>18046</v>
      </c>
      <c r="H4552" t="s">
        <v>1112</v>
      </c>
      <c r="I4552" t="s">
        <v>1108</v>
      </c>
      <c r="J4552" t="s">
        <v>17781</v>
      </c>
      <c r="K4552" t="s">
        <v>17782</v>
      </c>
      <c r="L4552" t="s">
        <v>21</v>
      </c>
      <c r="M4552" t="s">
        <v>19177</v>
      </c>
      <c r="N4552" t="s">
        <v>1024</v>
      </c>
      <c r="O4552" t="s">
        <v>1024</v>
      </c>
      <c r="P4552" t="s">
        <v>842</v>
      </c>
    </row>
    <row r="4553">
      <c r="A4553">
        <f>HYPERLINK("http://bombeiros.sp.gov.br/hidrantes/03individual/395.html","395")</f>
      </c>
      <c r="B4553" t="s">
        <v>842</v>
      </c>
      <c r="C4553" t="s">
        <v>945</v>
      </c>
      <c r="D4553" t="s">
        <v>1016</v>
      </c>
      <c r="E4553" t="s">
        <v>64</v>
      </c>
      <c r="F4553" t="s">
        <v>13739</v>
      </c>
      <c r="G4553" t="s">
        <v>18215</v>
      </c>
      <c r="H4553" t="s">
        <v>1107</v>
      </c>
      <c r="I4553" t="s">
        <v>1108</v>
      </c>
      <c r="J4553" t="s">
        <v>13740</v>
      </c>
      <c r="K4553" t="s">
        <v>13741</v>
      </c>
      <c r="L4553" t="s">
        <v>36</v>
      </c>
      <c r="M4553" t="s">
        <v>19177</v>
      </c>
      <c r="N4553" t="s">
        <v>97</v>
      </c>
      <c r="O4553" t="s">
        <v>937</v>
      </c>
      <c r="P4553" t="s">
        <v>12</v>
      </c>
    </row>
    <row r="4554">
      <c r="A4554">
        <f>HYPERLINK("http://bombeiros.sp.gov.br/hidrantes/03individual/3595.html","3595")</f>
      </c>
      <c r="B4554" t="s">
        <v>842</v>
      </c>
      <c r="C4554" t="s">
        <v>945</v>
      </c>
      <c r="D4554" t="s">
        <v>1016</v>
      </c>
      <c r="E4554" t="s">
        <v>64</v>
      </c>
      <c r="F4554" t="s">
        <v>13742</v>
      </c>
      <c r="G4554" t="s">
        <v>18173</v>
      </c>
      <c r="H4554" t="s">
        <v>1121</v>
      </c>
      <c r="I4554" t="s">
        <v>1117</v>
      </c>
      <c r="J4554" t="s">
        <v>13743</v>
      </c>
      <c r="K4554" t="s">
        <v>13744</v>
      </c>
      <c r="L4554" t="s">
        <v>21</v>
      </c>
      <c r="M4554" t="s">
        <v>19177</v>
      </c>
      <c r="N4554" t="s">
        <v>97</v>
      </c>
      <c r="O4554" t="s">
        <v>937</v>
      </c>
      <c r="P4554" t="s">
        <v>12</v>
      </c>
    </row>
    <row r="4555">
      <c r="A4555">
        <f>HYPERLINK("http://bombeiros.sp.gov.br/hidrantes/03individual/3599.html","3599")</f>
      </c>
      <c r="B4555" t="s">
        <v>842</v>
      </c>
      <c r="C4555" t="s">
        <v>945</v>
      </c>
      <c r="D4555" t="s">
        <v>1016</v>
      </c>
      <c r="E4555" t="s">
        <v>64</v>
      </c>
      <c r="F4555" t="s">
        <v>15705</v>
      </c>
      <c r="G4555" t="s">
        <v>18152</v>
      </c>
      <c r="H4555" t="s">
        <v>1112</v>
      </c>
      <c r="I4555" t="s">
        <v>1108</v>
      </c>
      <c r="J4555" t="s">
        <v>15706</v>
      </c>
      <c r="K4555" t="s">
        <v>15707</v>
      </c>
      <c r="L4555" t="s">
        <v>36</v>
      </c>
      <c r="M4555" t="s">
        <v>19177</v>
      </c>
      <c r="N4555" t="s">
        <v>97</v>
      </c>
      <c r="O4555" t="s">
        <v>937</v>
      </c>
      <c r="P4555" t="s">
        <v>12</v>
      </c>
    </row>
    <row r="4556">
      <c r="A4556">
        <f>HYPERLINK("http://bombeiros.sp.gov.br/hidrantes/03individual/3610.html","3610")</f>
      </c>
      <c r="B4556" t="s">
        <v>842</v>
      </c>
      <c r="C4556" t="s">
        <v>945</v>
      </c>
      <c r="D4556" t="s">
        <v>1016</v>
      </c>
      <c r="E4556" t="s">
        <v>64</v>
      </c>
      <c r="F4556" t="s">
        <v>13745</v>
      </c>
      <c r="G4556" t="s">
        <v>18173</v>
      </c>
      <c r="H4556" t="s">
        <v>1112</v>
      </c>
      <c r="I4556" t="s">
        <v>1108</v>
      </c>
      <c r="J4556" t="s">
        <v>13746</v>
      </c>
      <c r="K4556" t="s">
        <v>13747</v>
      </c>
      <c r="L4556" t="s">
        <v>36</v>
      </c>
      <c r="M4556" t="s">
        <v>19177</v>
      </c>
      <c r="N4556" t="s">
        <v>97</v>
      </c>
      <c r="O4556" t="s">
        <v>937</v>
      </c>
      <c r="P4556" t="s">
        <v>12</v>
      </c>
    </row>
    <row r="4557">
      <c r="A4557">
        <f>HYPERLINK("http://bombeiros.sp.gov.br/hidrantes/03individual/3622.html","3622")</f>
      </c>
      <c r="B4557" t="s">
        <v>842</v>
      </c>
      <c r="C4557" t="s">
        <v>945</v>
      </c>
      <c r="D4557" t="s">
        <v>1016</v>
      </c>
      <c r="E4557" t="s">
        <v>64</v>
      </c>
      <c r="F4557" t="s">
        <v>13748</v>
      </c>
      <c r="G4557" t="s">
        <v>18174</v>
      </c>
      <c r="H4557" t="s">
        <v>1121</v>
      </c>
      <c r="I4557" t="s">
        <v>1117</v>
      </c>
      <c r="J4557" t="s">
        <v>13749</v>
      </c>
      <c r="K4557" t="s">
        <v>13750</v>
      </c>
      <c r="L4557" t="s">
        <v>21</v>
      </c>
      <c r="M4557" t="s">
        <v>19177</v>
      </c>
      <c r="N4557" t="s">
        <v>97</v>
      </c>
      <c r="O4557" t="s">
        <v>937</v>
      </c>
      <c r="P4557" t="s">
        <v>12</v>
      </c>
    </row>
    <row r="4558">
      <c r="A4558">
        <f>HYPERLINK("http://bombeiros.sp.gov.br/hidrantes/03individual/338.html","338")</f>
      </c>
      <c r="B4558" t="s">
        <v>842</v>
      </c>
      <c r="C4558" t="s">
        <v>945</v>
      </c>
      <c r="D4558" t="s">
        <v>1016</v>
      </c>
      <c r="E4558" t="s">
        <v>15</v>
      </c>
      <c r="F4558" t="s">
        <v>13751</v>
      </c>
      <c r="G4558" t="s">
        <v>18215</v>
      </c>
      <c r="H4558" t="s">
        <v>1121</v>
      </c>
      <c r="I4558" t="s">
        <v>1117</v>
      </c>
      <c r="J4558" t="s">
        <v>13752</v>
      </c>
      <c r="K4558" t="s">
        <v>13753</v>
      </c>
      <c r="L4558" t="s">
        <v>21</v>
      </c>
      <c r="M4558" t="s">
        <v>19177</v>
      </c>
      <c r="N4558" t="s">
        <v>97</v>
      </c>
      <c r="O4558" t="s">
        <v>937</v>
      </c>
      <c r="P4558" t="s">
        <v>12</v>
      </c>
    </row>
    <row r="4559">
      <c r="A4559">
        <f>HYPERLINK("http://bombeiros.sp.gov.br/hidrantes/03individual/392.html","392")</f>
      </c>
      <c r="B4559" t="s">
        <v>842</v>
      </c>
      <c r="C4559" t="s">
        <v>945</v>
      </c>
      <c r="D4559" t="s">
        <v>1016</v>
      </c>
      <c r="E4559" t="s">
        <v>15</v>
      </c>
      <c r="F4559" t="s">
        <v>13754</v>
      </c>
      <c r="G4559" t="s">
        <v>18215</v>
      </c>
      <c r="H4559" t="s">
        <v>1112</v>
      </c>
      <c r="I4559" t="s">
        <v>1108</v>
      </c>
      <c r="J4559" t="s">
        <v>13755</v>
      </c>
      <c r="K4559" t="s">
        <v>13756</v>
      </c>
      <c r="L4559" t="s">
        <v>21</v>
      </c>
      <c r="M4559" t="s">
        <v>19177</v>
      </c>
      <c r="N4559" t="s">
        <v>97</v>
      </c>
      <c r="O4559" t="s">
        <v>937</v>
      </c>
      <c r="P4559" t="s">
        <v>12</v>
      </c>
    </row>
    <row r="4560">
      <c r="A4560">
        <f>HYPERLINK("http://bombeiros.sp.gov.br/hidrantes/03individual/437.html","437")</f>
      </c>
      <c r="B4560" t="s">
        <v>842</v>
      </c>
      <c r="C4560" t="s">
        <v>945</v>
      </c>
      <c r="D4560" t="s">
        <v>1016</v>
      </c>
      <c r="E4560" t="s">
        <v>15</v>
      </c>
      <c r="F4560" t="s">
        <v>13757</v>
      </c>
      <c r="G4560" t="s">
        <v>18152</v>
      </c>
      <c r="H4560" t="s">
        <v>1112</v>
      </c>
      <c r="I4560" t="s">
        <v>1108</v>
      </c>
      <c r="J4560" t="s">
        <v>13758</v>
      </c>
      <c r="K4560" t="s">
        <v>13759</v>
      </c>
      <c r="L4560" t="s">
        <v>21</v>
      </c>
      <c r="M4560" t="s">
        <v>19177</v>
      </c>
      <c r="N4560" t="s">
        <v>97</v>
      </c>
      <c r="O4560" t="s">
        <v>937</v>
      </c>
      <c r="P4560" t="s">
        <v>12</v>
      </c>
    </row>
    <row r="4561">
      <c r="A4561">
        <f>HYPERLINK("http://bombeiros.sp.gov.br/hidrantes/03individual/3596.html","3596")</f>
      </c>
      <c r="B4561" t="s">
        <v>842</v>
      </c>
      <c r="C4561" t="s">
        <v>945</v>
      </c>
      <c r="D4561" t="s">
        <v>1016</v>
      </c>
      <c r="E4561" t="s">
        <v>15</v>
      </c>
      <c r="F4561" t="s">
        <v>13739</v>
      </c>
      <c r="G4561" t="s">
        <v>18173</v>
      </c>
      <c r="H4561" t="s">
        <v>1174</v>
      </c>
      <c r="I4561" t="s">
        <v>1108</v>
      </c>
      <c r="J4561" t="s">
        <v>13760</v>
      </c>
      <c r="K4561" t="s">
        <v>13761</v>
      </c>
      <c r="L4561" t="s">
        <v>21</v>
      </c>
      <c r="M4561" t="s">
        <v>19177</v>
      </c>
      <c r="N4561" t="s">
        <v>97</v>
      </c>
      <c r="O4561" t="s">
        <v>937</v>
      </c>
      <c r="P4561" t="s">
        <v>12</v>
      </c>
    </row>
    <row r="4562">
      <c r="A4562">
        <f>HYPERLINK("http://bombeiros.sp.gov.br/hidrantes/03individual/3601.html","3601")</f>
      </c>
      <c r="B4562" t="s">
        <v>842</v>
      </c>
      <c r="C4562" t="s">
        <v>945</v>
      </c>
      <c r="D4562" t="s">
        <v>1016</v>
      </c>
      <c r="E4562" t="s">
        <v>15</v>
      </c>
      <c r="F4562" t="s">
        <v>13762</v>
      </c>
      <c r="G4562" t="s">
        <v>18173</v>
      </c>
      <c r="H4562" t="s">
        <v>1112</v>
      </c>
      <c r="I4562" t="s">
        <v>1108</v>
      </c>
      <c r="J4562" t="s">
        <v>13763</v>
      </c>
      <c r="K4562" t="s">
        <v>13764</v>
      </c>
      <c r="L4562" t="s">
        <v>21</v>
      </c>
      <c r="M4562" t="s">
        <v>19177</v>
      </c>
      <c r="N4562" t="s">
        <v>97</v>
      </c>
      <c r="O4562" t="s">
        <v>937</v>
      </c>
      <c r="P4562" t="s">
        <v>12</v>
      </c>
    </row>
    <row r="4563">
      <c r="A4563">
        <f>HYPERLINK("http://bombeiros.sp.gov.br/hidrantes/03individual/3614.html","3614")</f>
      </c>
      <c r="B4563" t="s">
        <v>842</v>
      </c>
      <c r="C4563" t="s">
        <v>945</v>
      </c>
      <c r="D4563" t="s">
        <v>1016</v>
      </c>
      <c r="E4563" t="s">
        <v>15</v>
      </c>
      <c r="F4563" t="s">
        <v>13765</v>
      </c>
      <c r="G4563" t="s">
        <v>18129</v>
      </c>
      <c r="H4563" t="s">
        <v>1121</v>
      </c>
      <c r="I4563" t="s">
        <v>1117</v>
      </c>
      <c r="J4563" t="s">
        <v>13766</v>
      </c>
      <c r="K4563" t="s">
        <v>13767</v>
      </c>
      <c r="L4563" t="s">
        <v>21</v>
      </c>
      <c r="M4563" t="s">
        <v>19177</v>
      </c>
      <c r="N4563" t="s">
        <v>97</v>
      </c>
      <c r="O4563" t="s">
        <v>937</v>
      </c>
      <c r="P4563" t="s">
        <v>12</v>
      </c>
    </row>
    <row r="4564">
      <c r="A4564">
        <f>HYPERLINK("http://bombeiros.sp.gov.br/hidrantes/03individual/4179.html","4179")</f>
      </c>
      <c r="B4564" t="s">
        <v>842</v>
      </c>
      <c r="C4564" t="s">
        <v>945</v>
      </c>
      <c r="D4564" t="s">
        <v>1016</v>
      </c>
      <c r="E4564" t="s">
        <v>15</v>
      </c>
      <c r="F4564" t="s">
        <v>13768</v>
      </c>
      <c r="G4564" t="s">
        <v>18066</v>
      </c>
      <c r="H4564" t="s">
        <v>1121</v>
      </c>
      <c r="I4564" t="s">
        <v>1117</v>
      </c>
      <c r="J4564" t="s">
        <v>13769</v>
      </c>
      <c r="K4564" t="s">
        <v>13770</v>
      </c>
      <c r="L4564" t="s">
        <v>21</v>
      </c>
      <c r="M4564" t="s">
        <v>19177</v>
      </c>
      <c r="N4564" t="s">
        <v>97</v>
      </c>
      <c r="O4564" t="s">
        <v>937</v>
      </c>
      <c r="P4564" t="s">
        <v>12</v>
      </c>
    </row>
    <row r="4565">
      <c r="A4565">
        <f>HYPERLINK("http://bombeiros.sp.gov.br/hidrantes/03individual/10011.html","10011")</f>
      </c>
      <c r="B4565" t="s">
        <v>842</v>
      </c>
      <c r="C4565" t="s">
        <v>945</v>
      </c>
      <c r="D4565" t="s">
        <v>1016</v>
      </c>
      <c r="E4565" t="s">
        <v>15</v>
      </c>
      <c r="F4565" t="s">
        <v>13771</v>
      </c>
      <c r="G4565" t="s">
        <v>18174</v>
      </c>
      <c r="H4565" t="s">
        <v>1174</v>
      </c>
      <c r="I4565" t="s">
        <v>1108</v>
      </c>
      <c r="J4565" t="s">
        <v>13772</v>
      </c>
      <c r="K4565" t="s">
        <v>13773</v>
      </c>
      <c r="L4565" t="s">
        <v>21</v>
      </c>
      <c r="M4565" t="s">
        <v>19177</v>
      </c>
      <c r="N4565" t="s">
        <v>97</v>
      </c>
      <c r="O4565" t="s">
        <v>937</v>
      </c>
      <c r="P4565" t="s">
        <v>12</v>
      </c>
    </row>
    <row r="4566">
      <c r="A4566">
        <f>HYPERLINK("http://bombeiros.sp.gov.br/hidrantes/03individual/27059.html","27059")</f>
      </c>
      <c r="B4566" t="s">
        <v>842</v>
      </c>
      <c r="C4566" t="s">
        <v>945</v>
      </c>
      <c r="D4566" t="s">
        <v>1016</v>
      </c>
      <c r="E4566" t="s">
        <v>15</v>
      </c>
      <c r="F4566" t="s">
        <v>16699</v>
      </c>
      <c r="G4566" t="s">
        <v>18215</v>
      </c>
      <c r="H4566" t="s">
        <v>1112</v>
      </c>
      <c r="I4566" t="s">
        <v>1108</v>
      </c>
      <c r="J4566" t="s">
        <v>16700</v>
      </c>
      <c r="K4566" t="s">
        <v>16701</v>
      </c>
      <c r="L4566" t="s">
        <v>21</v>
      </c>
      <c r="M4566" t="s">
        <v>19177</v>
      </c>
      <c r="N4566" t="s">
        <v>97</v>
      </c>
      <c r="O4566" t="s">
        <v>937</v>
      </c>
      <c r="P4566" t="s">
        <v>12</v>
      </c>
    </row>
    <row r="4567">
      <c r="A4567">
        <f>HYPERLINK("http://bombeiros.sp.gov.br/hidrantes/03individual/27227.html","27227")</f>
      </c>
      <c r="B4567" t="s">
        <v>842</v>
      </c>
      <c r="C4567" t="s">
        <v>945</v>
      </c>
      <c r="D4567" t="s">
        <v>1016</v>
      </c>
      <c r="E4567" t="s">
        <v>15</v>
      </c>
      <c r="F4567" t="s">
        <v>16989</v>
      </c>
      <c r="G4567" t="s">
        <v>18173</v>
      </c>
      <c r="H4567" t="s">
        <v>1121</v>
      </c>
      <c r="I4567" t="s">
        <v>1117</v>
      </c>
      <c r="J4567" t="s">
        <v>16990</v>
      </c>
      <c r="K4567" t="s">
        <v>16991</v>
      </c>
      <c r="L4567" t="s">
        <v>21</v>
      </c>
      <c r="M4567" t="s">
        <v>19177</v>
      </c>
      <c r="N4567" t="s">
        <v>97</v>
      </c>
      <c r="O4567" t="s">
        <v>937</v>
      </c>
      <c r="P4567" t="s">
        <v>12</v>
      </c>
    </row>
    <row r="4568">
      <c r="A4568">
        <f>HYPERLINK("http://bombeiros.sp.gov.br/hidrantes/03individual/356.html","356")</f>
      </c>
      <c r="B4568" t="s">
        <v>842</v>
      </c>
      <c r="C4568" t="s">
        <v>945</v>
      </c>
      <c r="D4568" t="s">
        <v>13774</v>
      </c>
      <c r="E4568" t="s">
        <v>64</v>
      </c>
      <c r="F4568" t="s">
        <v>13775</v>
      </c>
      <c r="G4568" t="s">
        <v>17942</v>
      </c>
      <c r="H4568" t="s">
        <v>1112</v>
      </c>
      <c r="I4568" t="s">
        <v>1108</v>
      </c>
      <c r="J4568" t="s">
        <v>16273</v>
      </c>
      <c r="K4568" t="s">
        <v>16274</v>
      </c>
      <c r="L4568" t="s">
        <v>21</v>
      </c>
      <c r="M4568" t="s">
        <v>19177</v>
      </c>
      <c r="N4568" t="s">
        <v>97</v>
      </c>
      <c r="O4568" t="s">
        <v>937</v>
      </c>
      <c r="P4568" t="s">
        <v>12</v>
      </c>
    </row>
    <row r="4569">
      <c r="A4569">
        <f>HYPERLINK("http://bombeiros.sp.gov.br/hidrantes/03individual/3620.html","3620")</f>
      </c>
      <c r="B4569" t="s">
        <v>842</v>
      </c>
      <c r="C4569" t="s">
        <v>945</v>
      </c>
      <c r="D4569" t="s">
        <v>13774</v>
      </c>
      <c r="E4569" t="s">
        <v>64</v>
      </c>
      <c r="F4569" t="s">
        <v>13779</v>
      </c>
      <c r="G4569" t="s">
        <v>18199</v>
      </c>
      <c r="H4569" t="s">
        <v>1112</v>
      </c>
      <c r="I4569" t="s">
        <v>1108</v>
      </c>
      <c r="J4569" t="s">
        <v>13780</v>
      </c>
      <c r="K4569" t="s">
        <v>13781</v>
      </c>
      <c r="L4569" t="s">
        <v>36</v>
      </c>
      <c r="M4569" t="s">
        <v>19177</v>
      </c>
      <c r="N4569" t="s">
        <v>97</v>
      </c>
      <c r="O4569" t="s">
        <v>937</v>
      </c>
      <c r="P4569" t="s">
        <v>12</v>
      </c>
    </row>
    <row r="4570">
      <c r="A4570">
        <f>HYPERLINK("http://bombeiros.sp.gov.br/hidrantes/03individual/3624.html","3624")</f>
      </c>
      <c r="B4570" t="s">
        <v>842</v>
      </c>
      <c r="C4570" t="s">
        <v>945</v>
      </c>
      <c r="D4570" t="s">
        <v>13774</v>
      </c>
      <c r="E4570" t="s">
        <v>64</v>
      </c>
      <c r="F4570" t="s">
        <v>13782</v>
      </c>
      <c r="G4570" t="s">
        <v>18169</v>
      </c>
      <c r="H4570" t="s">
        <v>1107</v>
      </c>
      <c r="I4570" t="s">
        <v>1108</v>
      </c>
      <c r="J4570" t="s">
        <v>13783</v>
      </c>
      <c r="K4570" t="s">
        <v>13784</v>
      </c>
      <c r="L4570" t="s">
        <v>36</v>
      </c>
      <c r="M4570" t="s">
        <v>19177</v>
      </c>
      <c r="N4570" t="s">
        <v>97</v>
      </c>
      <c r="O4570" t="s">
        <v>937</v>
      </c>
      <c r="P4570" t="s">
        <v>12</v>
      </c>
    </row>
    <row r="4571">
      <c r="A4571">
        <f>HYPERLINK("http://bombeiros.sp.gov.br/hidrantes/03individual/3661.html","3661")</f>
      </c>
      <c r="B4571" t="s">
        <v>842</v>
      </c>
      <c r="C4571" t="s">
        <v>945</v>
      </c>
      <c r="D4571" t="s">
        <v>13774</v>
      </c>
      <c r="E4571" t="s">
        <v>64</v>
      </c>
      <c r="F4571" t="s">
        <v>13785</v>
      </c>
      <c r="G4571" t="s">
        <v>18216</v>
      </c>
      <c r="H4571" t="s">
        <v>1121</v>
      </c>
      <c r="I4571" t="s">
        <v>1117</v>
      </c>
      <c r="J4571" t="s">
        <v>13786</v>
      </c>
      <c r="K4571" t="s">
        <v>13787</v>
      </c>
      <c r="L4571" t="s">
        <v>36</v>
      </c>
      <c r="M4571" t="s">
        <v>19177</v>
      </c>
      <c r="N4571" t="s">
        <v>97</v>
      </c>
      <c r="O4571" t="s">
        <v>937</v>
      </c>
      <c r="P4571" t="s">
        <v>12</v>
      </c>
    </row>
    <row r="4572">
      <c r="A4572">
        <f>HYPERLINK("http://bombeiros.sp.gov.br/hidrantes/03individual/3670.html","3670")</f>
      </c>
      <c r="B4572" t="s">
        <v>842</v>
      </c>
      <c r="C4572" t="s">
        <v>945</v>
      </c>
      <c r="D4572" t="s">
        <v>13774</v>
      </c>
      <c r="E4572" t="s">
        <v>64</v>
      </c>
      <c r="F4572" t="s">
        <v>13788</v>
      </c>
      <c r="G4572" t="s">
        <v>18073</v>
      </c>
      <c r="H4572" t="s">
        <v>1107</v>
      </c>
      <c r="I4572" t="s">
        <v>1108</v>
      </c>
      <c r="J4572" t="s">
        <v>13789</v>
      </c>
      <c r="K4572" t="s">
        <v>13790</v>
      </c>
      <c r="L4572" t="s">
        <v>36</v>
      </c>
      <c r="M4572" t="s">
        <v>19177</v>
      </c>
      <c r="N4572" t="s">
        <v>97</v>
      </c>
      <c r="O4572" t="s">
        <v>937</v>
      </c>
      <c r="P4572" t="s">
        <v>12</v>
      </c>
    </row>
    <row r="4573">
      <c r="A4573">
        <f>HYPERLINK("http://bombeiros.sp.gov.br/hidrantes/03individual/3679.html","3679")</f>
      </c>
      <c r="B4573" t="s">
        <v>842</v>
      </c>
      <c r="C4573" t="s">
        <v>945</v>
      </c>
      <c r="D4573" t="s">
        <v>13774</v>
      </c>
      <c r="E4573" t="s">
        <v>64</v>
      </c>
      <c r="F4573" t="s">
        <v>13791</v>
      </c>
      <c r="G4573" t="s">
        <v>18216</v>
      </c>
      <c r="H4573" t="s">
        <v>1121</v>
      </c>
      <c r="I4573" t="s">
        <v>1117</v>
      </c>
      <c r="J4573" t="s">
        <v>13792</v>
      </c>
      <c r="K4573" t="s">
        <v>13793</v>
      </c>
      <c r="L4573" t="s">
        <v>36</v>
      </c>
      <c r="M4573" t="s">
        <v>19177</v>
      </c>
      <c r="N4573" t="s">
        <v>97</v>
      </c>
      <c r="O4573" t="s">
        <v>937</v>
      </c>
      <c r="P4573" t="s">
        <v>12</v>
      </c>
    </row>
    <row r="4574">
      <c r="A4574">
        <f>HYPERLINK("http://bombeiros.sp.gov.br/hidrantes/03individual/3684.html","3684")</f>
      </c>
      <c r="B4574" t="s">
        <v>842</v>
      </c>
      <c r="C4574" t="s">
        <v>945</v>
      </c>
      <c r="D4574" t="s">
        <v>13774</v>
      </c>
      <c r="E4574" t="s">
        <v>64</v>
      </c>
      <c r="F4574" t="s">
        <v>13794</v>
      </c>
      <c r="G4574" t="s">
        <v>18169</v>
      </c>
      <c r="H4574" t="s">
        <v>1112</v>
      </c>
      <c r="I4574" t="s">
        <v>1108</v>
      </c>
      <c r="J4574" t="s">
        <v>13795</v>
      </c>
      <c r="K4574" t="s">
        <v>13796</v>
      </c>
      <c r="L4574" t="s">
        <v>36</v>
      </c>
      <c r="M4574" t="s">
        <v>19177</v>
      </c>
      <c r="N4574" t="s">
        <v>97</v>
      </c>
      <c r="O4574" t="s">
        <v>937</v>
      </c>
      <c r="P4574" t="s">
        <v>12</v>
      </c>
    </row>
    <row r="4575">
      <c r="A4575">
        <f>HYPERLINK("http://bombeiros.sp.gov.br/hidrantes/03individual/3685.html","3685")</f>
      </c>
      <c r="B4575" t="s">
        <v>842</v>
      </c>
      <c r="C4575" t="s">
        <v>945</v>
      </c>
      <c r="D4575" t="s">
        <v>13774</v>
      </c>
      <c r="E4575" t="s">
        <v>64</v>
      </c>
      <c r="F4575" t="s">
        <v>13797</v>
      </c>
      <c r="G4575" t="s">
        <v>18199</v>
      </c>
      <c r="H4575" t="s">
        <v>1107</v>
      </c>
      <c r="I4575" t="s">
        <v>1108</v>
      </c>
      <c r="J4575" t="s">
        <v>13798</v>
      </c>
      <c r="K4575" t="s">
        <v>13799</v>
      </c>
      <c r="L4575" t="s">
        <v>21</v>
      </c>
      <c r="M4575" t="s">
        <v>19177</v>
      </c>
      <c r="N4575" t="s">
        <v>97</v>
      </c>
      <c r="O4575" t="s">
        <v>937</v>
      </c>
      <c r="P4575" t="s">
        <v>12</v>
      </c>
    </row>
    <row r="4576">
      <c r="A4576">
        <f>HYPERLINK("http://bombeiros.sp.gov.br/hidrantes/03individual/3687.html","3687")</f>
      </c>
      <c r="B4576" t="s">
        <v>842</v>
      </c>
      <c r="C4576" t="s">
        <v>945</v>
      </c>
      <c r="D4576" t="s">
        <v>13774</v>
      </c>
      <c r="E4576" t="s">
        <v>64</v>
      </c>
      <c r="F4576" t="s">
        <v>13800</v>
      </c>
      <c r="G4576" t="s">
        <v>18169</v>
      </c>
      <c r="H4576" t="s">
        <v>1107</v>
      </c>
      <c r="I4576" t="s">
        <v>1108</v>
      </c>
      <c r="J4576" t="s">
        <v>13801</v>
      </c>
      <c r="K4576" t="s">
        <v>13802</v>
      </c>
      <c r="L4576" t="s">
        <v>21</v>
      </c>
      <c r="M4576" t="s">
        <v>19177</v>
      </c>
      <c r="N4576" t="s">
        <v>97</v>
      </c>
      <c r="O4576" t="s">
        <v>937</v>
      </c>
      <c r="P4576" t="s">
        <v>12</v>
      </c>
    </row>
    <row r="4577">
      <c r="A4577">
        <f>HYPERLINK("http://bombeiros.sp.gov.br/hidrantes/03individual/3925.html","3925")</f>
      </c>
      <c r="B4577" t="s">
        <v>842</v>
      </c>
      <c r="C4577" t="s">
        <v>945</v>
      </c>
      <c r="D4577" t="s">
        <v>13774</v>
      </c>
      <c r="E4577" t="s">
        <v>64</v>
      </c>
      <c r="F4577" t="s">
        <v>13803</v>
      </c>
      <c r="G4577" t="s">
        <v>18073</v>
      </c>
      <c r="H4577" t="s">
        <v>1121</v>
      </c>
      <c r="I4577" t="s">
        <v>1117</v>
      </c>
      <c r="J4577" t="s">
        <v>13804</v>
      </c>
      <c r="K4577" t="s">
        <v>13805</v>
      </c>
      <c r="L4577" t="s">
        <v>36</v>
      </c>
      <c r="M4577" t="s">
        <v>19177</v>
      </c>
      <c r="N4577" t="s">
        <v>97</v>
      </c>
      <c r="O4577" t="s">
        <v>937</v>
      </c>
      <c r="P4577" t="s">
        <v>12</v>
      </c>
    </row>
    <row r="4578">
      <c r="A4578">
        <f>HYPERLINK("http://bombeiros.sp.gov.br/hidrantes/03individual/298.html","298")</f>
      </c>
      <c r="B4578" t="s">
        <v>842</v>
      </c>
      <c r="C4578" t="s">
        <v>945</v>
      </c>
      <c r="D4578" t="s">
        <v>13774</v>
      </c>
      <c r="E4578" t="s">
        <v>15</v>
      </c>
      <c r="F4578" t="s">
        <v>13806</v>
      </c>
      <c r="G4578" t="s">
        <v>17958</v>
      </c>
      <c r="H4578" t="s">
        <v>1112</v>
      </c>
      <c r="I4578" t="s">
        <v>1108</v>
      </c>
      <c r="J4578" t="s">
        <v>13807</v>
      </c>
      <c r="K4578" t="s">
        <v>13808</v>
      </c>
      <c r="L4578" t="s">
        <v>21</v>
      </c>
      <c r="M4578" t="s">
        <v>19177</v>
      </c>
      <c r="N4578" t="s">
        <v>97</v>
      </c>
      <c r="O4578" t="s">
        <v>937</v>
      </c>
      <c r="P4578" t="s">
        <v>12</v>
      </c>
    </row>
    <row r="4579">
      <c r="A4579">
        <f>HYPERLINK("http://bombeiros.sp.gov.br/hidrantes/03individual/339.html","339")</f>
      </c>
      <c r="B4579" t="s">
        <v>842</v>
      </c>
      <c r="C4579" t="s">
        <v>945</v>
      </c>
      <c r="D4579" t="s">
        <v>13774</v>
      </c>
      <c r="E4579" t="s">
        <v>15</v>
      </c>
      <c r="F4579" t="s">
        <v>13809</v>
      </c>
      <c r="G4579" t="s">
        <v>18216</v>
      </c>
      <c r="H4579" t="s">
        <v>1112</v>
      </c>
      <c r="I4579" t="s">
        <v>1108</v>
      </c>
      <c r="J4579" t="s">
        <v>13810</v>
      </c>
      <c r="K4579" t="s">
        <v>13811</v>
      </c>
      <c r="L4579" t="s">
        <v>21</v>
      </c>
      <c r="M4579" t="s">
        <v>19177</v>
      </c>
      <c r="N4579" t="s">
        <v>97</v>
      </c>
      <c r="O4579" t="s">
        <v>937</v>
      </c>
      <c r="P4579" t="s">
        <v>12</v>
      </c>
    </row>
    <row r="4580">
      <c r="A4580">
        <f>HYPERLINK("http://bombeiros.sp.gov.br/hidrantes/03individual/357.html","357")</f>
      </c>
      <c r="B4580" t="s">
        <v>842</v>
      </c>
      <c r="C4580" t="s">
        <v>945</v>
      </c>
      <c r="D4580" t="s">
        <v>13774</v>
      </c>
      <c r="E4580" t="s">
        <v>15</v>
      </c>
      <c r="F4580" t="s">
        <v>13812</v>
      </c>
      <c r="G4580" t="s">
        <v>18216</v>
      </c>
      <c r="H4580" t="s">
        <v>1121</v>
      </c>
      <c r="I4580" t="s">
        <v>1117</v>
      </c>
      <c r="J4580" t="s">
        <v>13813</v>
      </c>
      <c r="K4580" t="s">
        <v>13814</v>
      </c>
      <c r="L4580" t="s">
        <v>21</v>
      </c>
      <c r="M4580" t="s">
        <v>19177</v>
      </c>
      <c r="N4580" t="s">
        <v>97</v>
      </c>
      <c r="O4580" t="s">
        <v>937</v>
      </c>
      <c r="P4580" t="s">
        <v>12</v>
      </c>
    </row>
    <row r="4581">
      <c r="A4581">
        <f>HYPERLINK("http://bombeiros.sp.gov.br/hidrantes/03individual/358.html","358")</f>
      </c>
      <c r="B4581" t="s">
        <v>842</v>
      </c>
      <c r="C4581" t="s">
        <v>945</v>
      </c>
      <c r="D4581" t="s">
        <v>13774</v>
      </c>
      <c r="E4581" t="s">
        <v>15</v>
      </c>
      <c r="F4581" t="s">
        <v>13815</v>
      </c>
      <c r="G4581" t="s">
        <v>18115</v>
      </c>
      <c r="H4581" t="s">
        <v>1112</v>
      </c>
      <c r="I4581" t="s">
        <v>1108</v>
      </c>
      <c r="J4581" t="s">
        <v>13816</v>
      </c>
      <c r="K4581" t="s">
        <v>13817</v>
      </c>
      <c r="L4581" t="s">
        <v>21</v>
      </c>
      <c r="M4581" t="s">
        <v>19177</v>
      </c>
      <c r="N4581" t="s">
        <v>97</v>
      </c>
      <c r="O4581" t="s">
        <v>937</v>
      </c>
      <c r="P4581" t="s">
        <v>12</v>
      </c>
    </row>
    <row r="4582">
      <c r="A4582">
        <f>HYPERLINK("http://bombeiros.sp.gov.br/hidrantes/03individual/404.html","404")</f>
      </c>
      <c r="B4582" t="s">
        <v>842</v>
      </c>
      <c r="C4582" t="s">
        <v>945</v>
      </c>
      <c r="D4582" t="s">
        <v>13774</v>
      </c>
      <c r="E4582" t="s">
        <v>15</v>
      </c>
      <c r="F4582" t="s">
        <v>13818</v>
      </c>
      <c r="G4582" t="s">
        <v>18172</v>
      </c>
      <c r="H4582" t="s">
        <v>1112</v>
      </c>
      <c r="I4582" t="s">
        <v>1108</v>
      </c>
      <c r="J4582" t="s">
        <v>16234</v>
      </c>
      <c r="K4582" t="s">
        <v>16235</v>
      </c>
      <c r="L4582" t="s">
        <v>21</v>
      </c>
      <c r="M4582" t="s">
        <v>19177</v>
      </c>
      <c r="N4582" t="s">
        <v>97</v>
      </c>
      <c r="O4582" t="s">
        <v>937</v>
      </c>
      <c r="P4582" t="s">
        <v>12</v>
      </c>
    </row>
    <row r="4583">
      <c r="A4583">
        <f>HYPERLINK("http://bombeiros.sp.gov.br/hidrantes/03individual/405.html","405")</f>
      </c>
      <c r="B4583" t="s">
        <v>842</v>
      </c>
      <c r="C4583" t="s">
        <v>945</v>
      </c>
      <c r="D4583" t="s">
        <v>13774</v>
      </c>
      <c r="E4583" t="s">
        <v>15</v>
      </c>
      <c r="F4583" t="s">
        <v>13821</v>
      </c>
      <c r="G4583" t="s">
        <v>18205</v>
      </c>
      <c r="H4583" t="s">
        <v>1112</v>
      </c>
      <c r="I4583" t="s">
        <v>1108</v>
      </c>
      <c r="J4583" t="s">
        <v>13822</v>
      </c>
      <c r="K4583" t="s">
        <v>13823</v>
      </c>
      <c r="L4583" t="s">
        <v>21</v>
      </c>
      <c r="M4583" t="s">
        <v>19177</v>
      </c>
      <c r="N4583" t="s">
        <v>97</v>
      </c>
      <c r="O4583" t="s">
        <v>937</v>
      </c>
      <c r="P4583" t="s">
        <v>12</v>
      </c>
    </row>
    <row r="4584">
      <c r="A4584">
        <f>HYPERLINK("http://bombeiros.sp.gov.br/hidrantes/03individual/406.html","406")</f>
      </c>
      <c r="B4584" t="s">
        <v>842</v>
      </c>
      <c r="C4584" t="s">
        <v>945</v>
      </c>
      <c r="D4584" t="s">
        <v>13774</v>
      </c>
      <c r="E4584" t="s">
        <v>15</v>
      </c>
      <c r="F4584" t="s">
        <v>13824</v>
      </c>
      <c r="G4584" t="s">
        <v>17961</v>
      </c>
      <c r="H4584" t="s">
        <v>1121</v>
      </c>
      <c r="I4584" t="s">
        <v>1117</v>
      </c>
      <c r="J4584" t="s">
        <v>13825</v>
      </c>
      <c r="K4584" t="s">
        <v>13826</v>
      </c>
      <c r="L4584" t="s">
        <v>21</v>
      </c>
      <c r="M4584" t="s">
        <v>19177</v>
      </c>
      <c r="N4584" t="s">
        <v>97</v>
      </c>
      <c r="O4584" t="s">
        <v>937</v>
      </c>
      <c r="P4584" t="s">
        <v>12</v>
      </c>
    </row>
    <row r="4585">
      <c r="A4585">
        <f>HYPERLINK("http://bombeiros.sp.gov.br/hidrantes/03individual/457.html","457")</f>
      </c>
      <c r="B4585" t="s">
        <v>842</v>
      </c>
      <c r="C4585" t="s">
        <v>945</v>
      </c>
      <c r="D4585" t="s">
        <v>13774</v>
      </c>
      <c r="E4585" t="s">
        <v>15</v>
      </c>
      <c r="F4585" t="s">
        <v>13827</v>
      </c>
      <c r="G4585" t="s">
        <v>18200</v>
      </c>
      <c r="H4585" t="s">
        <v>1112</v>
      </c>
      <c r="I4585" t="s">
        <v>1108</v>
      </c>
      <c r="J4585" t="s">
        <v>13828</v>
      </c>
      <c r="K4585" t="s">
        <v>13829</v>
      </c>
      <c r="L4585" t="s">
        <v>21</v>
      </c>
      <c r="M4585" t="s">
        <v>19177</v>
      </c>
      <c r="N4585" t="s">
        <v>97</v>
      </c>
      <c r="O4585" t="s">
        <v>937</v>
      </c>
      <c r="P4585" t="s">
        <v>12</v>
      </c>
    </row>
    <row r="4586">
      <c r="A4586">
        <f>HYPERLINK("http://bombeiros.sp.gov.br/hidrantes/03individual/482.html","482")</f>
      </c>
      <c r="B4586" t="s">
        <v>842</v>
      </c>
      <c r="C4586" t="s">
        <v>945</v>
      </c>
      <c r="D4586" t="s">
        <v>13774</v>
      </c>
      <c r="E4586" t="s">
        <v>15</v>
      </c>
      <c r="F4586" t="s">
        <v>13830</v>
      </c>
      <c r="G4586" t="s">
        <v>18115</v>
      </c>
      <c r="H4586" t="s">
        <v>1107</v>
      </c>
      <c r="I4586" t="s">
        <v>1108</v>
      </c>
      <c r="J4586" t="s">
        <v>13831</v>
      </c>
      <c r="K4586" t="s">
        <v>13832</v>
      </c>
      <c r="L4586" t="s">
        <v>21</v>
      </c>
      <c r="M4586" t="s">
        <v>19177</v>
      </c>
      <c r="N4586" t="s">
        <v>97</v>
      </c>
      <c r="O4586" t="s">
        <v>937</v>
      </c>
      <c r="P4586" t="s">
        <v>12</v>
      </c>
    </row>
    <row r="4587">
      <c r="A4587">
        <f>HYPERLINK("http://bombeiros.sp.gov.br/hidrantes/03individual/3644.html","3644")</f>
      </c>
      <c r="B4587" t="s">
        <v>842</v>
      </c>
      <c r="C4587" t="s">
        <v>945</v>
      </c>
      <c r="D4587" t="s">
        <v>13774</v>
      </c>
      <c r="E4587" t="s">
        <v>15</v>
      </c>
      <c r="F4587" t="s">
        <v>13833</v>
      </c>
      <c r="G4587" t="s">
        <v>18217</v>
      </c>
      <c r="H4587" t="s">
        <v>1121</v>
      </c>
      <c r="I4587" t="s">
        <v>1117</v>
      </c>
      <c r="J4587" t="s">
        <v>13834</v>
      </c>
      <c r="K4587" t="s">
        <v>13835</v>
      </c>
      <c r="L4587" t="s">
        <v>21</v>
      </c>
      <c r="M4587" t="s">
        <v>19177</v>
      </c>
      <c r="N4587" t="s">
        <v>97</v>
      </c>
      <c r="O4587" t="s">
        <v>937</v>
      </c>
      <c r="P4587" t="s">
        <v>12</v>
      </c>
    </row>
    <row r="4588">
      <c r="A4588">
        <f>HYPERLINK("http://bombeiros.sp.gov.br/hidrantes/03individual/3671.html","3671")</f>
      </c>
      <c r="B4588" t="s">
        <v>842</v>
      </c>
      <c r="C4588" t="s">
        <v>945</v>
      </c>
      <c r="D4588" t="s">
        <v>13774</v>
      </c>
      <c r="E4588" t="s">
        <v>15</v>
      </c>
      <c r="F4588" t="s">
        <v>13836</v>
      </c>
      <c r="G4588" t="s">
        <v>17961</v>
      </c>
      <c r="H4588" t="s">
        <v>1107</v>
      </c>
      <c r="I4588" t="s">
        <v>1108</v>
      </c>
      <c r="J4588" t="s">
        <v>13837</v>
      </c>
      <c r="K4588" t="s">
        <v>13838</v>
      </c>
      <c r="L4588" t="s">
        <v>21</v>
      </c>
      <c r="M4588" t="s">
        <v>19177</v>
      </c>
      <c r="N4588" t="s">
        <v>97</v>
      </c>
      <c r="O4588" t="s">
        <v>937</v>
      </c>
      <c r="P4588" t="s">
        <v>12</v>
      </c>
    </row>
    <row r="4589">
      <c r="A4589">
        <f>HYPERLINK("http://bombeiros.sp.gov.br/hidrantes/03individual/3678.html","3678")</f>
      </c>
      <c r="B4589" t="s">
        <v>842</v>
      </c>
      <c r="C4589" t="s">
        <v>945</v>
      </c>
      <c r="D4589" t="s">
        <v>13774</v>
      </c>
      <c r="E4589" t="s">
        <v>15</v>
      </c>
      <c r="F4589" t="s">
        <v>13839</v>
      </c>
      <c r="G4589" t="s">
        <v>18252</v>
      </c>
      <c r="H4589" t="s">
        <v>1112</v>
      </c>
      <c r="I4589" t="s">
        <v>1108</v>
      </c>
      <c r="J4589" t="s">
        <v>13840</v>
      </c>
      <c r="K4589" t="s">
        <v>13841</v>
      </c>
      <c r="L4589" t="s">
        <v>21</v>
      </c>
      <c r="M4589" t="s">
        <v>19177</v>
      </c>
      <c r="N4589" t="s">
        <v>97</v>
      </c>
      <c r="O4589" t="s">
        <v>937</v>
      </c>
      <c r="P4589" t="s">
        <v>12</v>
      </c>
    </row>
    <row r="4590">
      <c r="A4590">
        <f>HYPERLINK("http://bombeiros.sp.gov.br/hidrantes/03individual/3680.html","3680")</f>
      </c>
      <c r="B4590" t="s">
        <v>842</v>
      </c>
      <c r="C4590" t="s">
        <v>945</v>
      </c>
      <c r="D4590" t="s">
        <v>13774</v>
      </c>
      <c r="E4590" t="s">
        <v>15</v>
      </c>
      <c r="F4590" t="s">
        <v>13842</v>
      </c>
      <c r="G4590" t="s">
        <v>18216</v>
      </c>
      <c r="H4590" t="s">
        <v>1174</v>
      </c>
      <c r="I4590" t="s">
        <v>1108</v>
      </c>
      <c r="J4590" t="s">
        <v>13843</v>
      </c>
      <c r="K4590" t="s">
        <v>13844</v>
      </c>
      <c r="L4590" t="s">
        <v>21</v>
      </c>
      <c r="M4590" t="s">
        <v>19177</v>
      </c>
      <c r="N4590" t="s">
        <v>97</v>
      </c>
      <c r="O4590" t="s">
        <v>937</v>
      </c>
      <c r="P4590" t="s">
        <v>12</v>
      </c>
    </row>
    <row r="4591">
      <c r="A4591">
        <f>HYPERLINK("http://bombeiros.sp.gov.br/hidrantes/03individual/3816.html","3816")</f>
      </c>
      <c r="B4591" t="s">
        <v>842</v>
      </c>
      <c r="C4591" t="s">
        <v>945</v>
      </c>
      <c r="D4591" t="s">
        <v>13774</v>
      </c>
      <c r="E4591" t="s">
        <v>15</v>
      </c>
      <c r="F4591" t="s">
        <v>13845</v>
      </c>
      <c r="G4591" t="s">
        <v>18115</v>
      </c>
      <c r="H4591" t="s">
        <v>1121</v>
      </c>
      <c r="I4591" t="s">
        <v>1117</v>
      </c>
      <c r="J4591" t="s">
        <v>13846</v>
      </c>
      <c r="K4591" t="s">
        <v>13847</v>
      </c>
      <c r="L4591" t="s">
        <v>21</v>
      </c>
      <c r="M4591" t="s">
        <v>19177</v>
      </c>
      <c r="N4591" t="s">
        <v>97</v>
      </c>
      <c r="O4591" t="s">
        <v>937</v>
      </c>
      <c r="P4591" t="s">
        <v>12</v>
      </c>
    </row>
    <row r="4592">
      <c r="A4592">
        <f>HYPERLINK("http://bombeiros.sp.gov.br/hidrantes/03individual/3817.html","3817")</f>
      </c>
      <c r="B4592" t="s">
        <v>842</v>
      </c>
      <c r="C4592" t="s">
        <v>945</v>
      </c>
      <c r="D4592" t="s">
        <v>13774</v>
      </c>
      <c r="E4592" t="s">
        <v>15</v>
      </c>
      <c r="F4592" t="s">
        <v>13848</v>
      </c>
      <c r="G4592" t="s">
        <v>18172</v>
      </c>
      <c r="H4592" t="s">
        <v>1112</v>
      </c>
      <c r="I4592" t="s">
        <v>1108</v>
      </c>
      <c r="J4592" t="s">
        <v>13849</v>
      </c>
      <c r="K4592" t="s">
        <v>13850</v>
      </c>
      <c r="L4592" t="s">
        <v>21</v>
      </c>
      <c r="M4592" t="s">
        <v>19177</v>
      </c>
      <c r="N4592" t="s">
        <v>97</v>
      </c>
      <c r="O4592" t="s">
        <v>937</v>
      </c>
      <c r="P4592" t="s">
        <v>12</v>
      </c>
    </row>
    <row r="4593">
      <c r="A4593">
        <f>HYPERLINK("http://bombeiros.sp.gov.br/hidrantes/03individual/3876.html","3876")</f>
      </c>
      <c r="B4593" t="s">
        <v>842</v>
      </c>
      <c r="C4593" t="s">
        <v>945</v>
      </c>
      <c r="D4593" t="s">
        <v>13774</v>
      </c>
      <c r="E4593" t="s">
        <v>15</v>
      </c>
      <c r="F4593" t="s">
        <v>13851</v>
      </c>
      <c r="G4593" t="s">
        <v>18169</v>
      </c>
      <c r="H4593" t="s">
        <v>1107</v>
      </c>
      <c r="I4593" t="s">
        <v>1108</v>
      </c>
      <c r="J4593" t="s">
        <v>13852</v>
      </c>
      <c r="K4593" t="s">
        <v>13853</v>
      </c>
      <c r="L4593" t="s">
        <v>21</v>
      </c>
      <c r="M4593" t="s">
        <v>19177</v>
      </c>
      <c r="N4593" t="s">
        <v>97</v>
      </c>
      <c r="O4593" t="s">
        <v>937</v>
      </c>
      <c r="P4593" t="s">
        <v>12</v>
      </c>
    </row>
    <row r="4594">
      <c r="A4594">
        <f>HYPERLINK("http://bombeiros.sp.gov.br/hidrantes/03individual/3879.html","3879")</f>
      </c>
      <c r="B4594" t="s">
        <v>842</v>
      </c>
      <c r="C4594" t="s">
        <v>945</v>
      </c>
      <c r="D4594" t="s">
        <v>13774</v>
      </c>
      <c r="E4594" t="s">
        <v>15</v>
      </c>
      <c r="F4594" t="s">
        <v>13854</v>
      </c>
      <c r="G4594" t="s">
        <v>18199</v>
      </c>
      <c r="H4594" t="s">
        <v>1112</v>
      </c>
      <c r="I4594" t="s">
        <v>1108</v>
      </c>
      <c r="J4594" t="s">
        <v>13855</v>
      </c>
      <c r="K4594" t="s">
        <v>13856</v>
      </c>
      <c r="L4594" t="s">
        <v>36</v>
      </c>
      <c r="M4594" t="s">
        <v>19177</v>
      </c>
      <c r="N4594" t="s">
        <v>97</v>
      </c>
      <c r="O4594" t="s">
        <v>937</v>
      </c>
      <c r="P4594" t="s">
        <v>12</v>
      </c>
    </row>
    <row r="4595">
      <c r="A4595">
        <f>HYPERLINK("http://bombeiros.sp.gov.br/hidrantes/03individual/17678.html","17678")</f>
      </c>
      <c r="B4595" t="s">
        <v>842</v>
      </c>
      <c r="C4595" t="s">
        <v>945</v>
      </c>
      <c r="D4595" t="s">
        <v>13774</v>
      </c>
      <c r="E4595" t="s">
        <v>15</v>
      </c>
      <c r="F4595" t="s">
        <v>13857</v>
      </c>
      <c r="G4595" t="s">
        <v>18216</v>
      </c>
      <c r="H4595" t="s">
        <v>1112</v>
      </c>
      <c r="I4595" t="s">
        <v>1108</v>
      </c>
      <c r="J4595" t="s">
        <v>13858</v>
      </c>
      <c r="K4595" t="s">
        <v>13859</v>
      </c>
      <c r="L4595" t="s">
        <v>21</v>
      </c>
      <c r="M4595" t="s">
        <v>19177</v>
      </c>
      <c r="N4595" t="s">
        <v>97</v>
      </c>
      <c r="O4595" t="s">
        <v>937</v>
      </c>
      <c r="P4595" t="s">
        <v>12</v>
      </c>
    </row>
    <row r="4596">
      <c r="A4596">
        <f>HYPERLINK("http://bombeiros.sp.gov.br/hidrantes/03individual/17679.html","17679")</f>
      </c>
      <c r="B4596" t="s">
        <v>842</v>
      </c>
      <c r="C4596" t="s">
        <v>945</v>
      </c>
      <c r="D4596" t="s">
        <v>13774</v>
      </c>
      <c r="E4596" t="s">
        <v>15</v>
      </c>
      <c r="F4596" t="s">
        <v>13860</v>
      </c>
      <c r="G4596" t="s">
        <v>18153</v>
      </c>
      <c r="H4596" t="s">
        <v>1107</v>
      </c>
      <c r="I4596" t="s">
        <v>1108</v>
      </c>
      <c r="J4596" t="s">
        <v>13861</v>
      </c>
      <c r="K4596" t="s">
        <v>13862</v>
      </c>
      <c r="L4596" t="s">
        <v>21</v>
      </c>
      <c r="M4596" t="s">
        <v>19177</v>
      </c>
      <c r="N4596" t="s">
        <v>97</v>
      </c>
      <c r="O4596" t="s">
        <v>937</v>
      </c>
      <c r="P4596" t="s">
        <v>12</v>
      </c>
    </row>
    <row r="4597">
      <c r="A4597">
        <f>HYPERLINK("http://bombeiros.sp.gov.br/hidrantes/03individual/3621.html","3621")</f>
      </c>
      <c r="B4597" t="s">
        <v>842</v>
      </c>
      <c r="C4597" t="s">
        <v>945</v>
      </c>
      <c r="D4597" t="s">
        <v>1020</v>
      </c>
      <c r="E4597" t="s">
        <v>64</v>
      </c>
      <c r="F4597" t="s">
        <v>13863</v>
      </c>
      <c r="G4597" t="s">
        <v>18118</v>
      </c>
      <c r="H4597" t="s">
        <v>1121</v>
      </c>
      <c r="I4597" t="s">
        <v>1117</v>
      </c>
      <c r="J4597" t="s">
        <v>13864</v>
      </c>
      <c r="K4597" t="s">
        <v>13865</v>
      </c>
      <c r="L4597" t="s">
        <v>36</v>
      </c>
      <c r="M4597" t="s">
        <v>19177</v>
      </c>
      <c r="N4597" t="s">
        <v>97</v>
      </c>
      <c r="O4597" t="s">
        <v>937</v>
      </c>
      <c r="P4597" t="s">
        <v>12</v>
      </c>
    </row>
    <row r="4598">
      <c r="A4598">
        <f>HYPERLINK("http://bombeiros.sp.gov.br/hidrantes/03individual/3636.html","3636")</f>
      </c>
      <c r="B4598" t="s">
        <v>842</v>
      </c>
      <c r="C4598" t="s">
        <v>945</v>
      </c>
      <c r="D4598" t="s">
        <v>1020</v>
      </c>
      <c r="E4598" t="s">
        <v>64</v>
      </c>
      <c r="F4598" t="s">
        <v>13866</v>
      </c>
      <c r="G4598" t="s">
        <v>18217</v>
      </c>
      <c r="H4598" t="s">
        <v>1112</v>
      </c>
      <c r="I4598" t="s">
        <v>1117</v>
      </c>
      <c r="J4598" t="s">
        <v>13867</v>
      </c>
      <c r="K4598" t="s">
        <v>13868</v>
      </c>
      <c r="L4598" t="s">
        <v>36</v>
      </c>
      <c r="M4598" t="s">
        <v>19177</v>
      </c>
      <c r="N4598" t="s">
        <v>97</v>
      </c>
      <c r="O4598" t="s">
        <v>937</v>
      </c>
      <c r="P4598" t="s">
        <v>12</v>
      </c>
    </row>
    <row r="4599">
      <c r="A4599">
        <f>HYPERLINK("http://bombeiros.sp.gov.br/hidrantes/03individual/10028.html","10028")</f>
      </c>
      <c r="B4599" t="s">
        <v>842</v>
      </c>
      <c r="C4599" t="s">
        <v>945</v>
      </c>
      <c r="D4599" t="s">
        <v>1020</v>
      </c>
      <c r="E4599" t="s">
        <v>64</v>
      </c>
      <c r="F4599" t="s">
        <v>13869</v>
      </c>
      <c r="G4599" t="s">
        <v>18174</v>
      </c>
      <c r="H4599" t="s">
        <v>1174</v>
      </c>
      <c r="I4599" t="s">
        <v>1117</v>
      </c>
      <c r="J4599" t="s">
        <v>13870</v>
      </c>
      <c r="K4599" t="s">
        <v>13871</v>
      </c>
      <c r="L4599" t="s">
        <v>21</v>
      </c>
      <c r="M4599" t="s">
        <v>19177</v>
      </c>
      <c r="N4599" t="s">
        <v>97</v>
      </c>
      <c r="O4599" t="s">
        <v>937</v>
      </c>
      <c r="P4599" t="s">
        <v>12</v>
      </c>
    </row>
    <row r="4600">
      <c r="A4600">
        <f>HYPERLINK("http://bombeiros.sp.gov.br/hidrantes/03individual/10029.html","10029")</f>
      </c>
      <c r="B4600" t="s">
        <v>842</v>
      </c>
      <c r="C4600" t="s">
        <v>945</v>
      </c>
      <c r="D4600" t="s">
        <v>1020</v>
      </c>
      <c r="E4600" t="s">
        <v>64</v>
      </c>
      <c r="F4600" t="s">
        <v>13872</v>
      </c>
      <c r="G4600" t="s">
        <v>18174</v>
      </c>
      <c r="H4600" t="s">
        <v>1121</v>
      </c>
      <c r="I4600" t="s">
        <v>1117</v>
      </c>
      <c r="J4600" t="s">
        <v>13873</v>
      </c>
      <c r="K4600" t="s">
        <v>13874</v>
      </c>
      <c r="L4600" t="s">
        <v>21</v>
      </c>
      <c r="M4600" t="s">
        <v>19177</v>
      </c>
      <c r="N4600" t="s">
        <v>97</v>
      </c>
      <c r="O4600" t="s">
        <v>937</v>
      </c>
      <c r="P4600" t="s">
        <v>12</v>
      </c>
    </row>
    <row r="4601">
      <c r="A4601">
        <f>HYPERLINK("http://bombeiros.sp.gov.br/hidrantes/03individual/10030.html","10030")</f>
      </c>
      <c r="B4601" t="s">
        <v>842</v>
      </c>
      <c r="C4601" t="s">
        <v>945</v>
      </c>
      <c r="D4601" t="s">
        <v>1020</v>
      </c>
      <c r="E4601" t="s">
        <v>64</v>
      </c>
      <c r="F4601" t="s">
        <v>13875</v>
      </c>
      <c r="G4601" t="s">
        <v>18174</v>
      </c>
      <c r="H4601" t="s">
        <v>1174</v>
      </c>
      <c r="I4601" t="s">
        <v>1117</v>
      </c>
      <c r="J4601" t="s">
        <v>13876</v>
      </c>
      <c r="K4601" t="s">
        <v>13877</v>
      </c>
      <c r="L4601" t="s">
        <v>21</v>
      </c>
      <c r="M4601" t="s">
        <v>19177</v>
      </c>
      <c r="N4601" t="s">
        <v>97</v>
      </c>
      <c r="O4601" t="s">
        <v>937</v>
      </c>
      <c r="P4601" t="s">
        <v>12</v>
      </c>
    </row>
    <row r="4602">
      <c r="A4602">
        <f>HYPERLINK("http://bombeiros.sp.gov.br/hidrantes/03individual/495.html","495")</f>
      </c>
      <c r="B4602" t="s">
        <v>842</v>
      </c>
      <c r="C4602" t="s">
        <v>945</v>
      </c>
      <c r="D4602" t="s">
        <v>1020</v>
      </c>
      <c r="E4602" t="s">
        <v>15</v>
      </c>
      <c r="F4602" t="s">
        <v>13878</v>
      </c>
      <c r="G4602" t="s">
        <v>18118</v>
      </c>
      <c r="H4602" t="s">
        <v>1112</v>
      </c>
      <c r="I4602" t="s">
        <v>1108</v>
      </c>
      <c r="J4602" t="s">
        <v>13879</v>
      </c>
      <c r="K4602" t="s">
        <v>13880</v>
      </c>
      <c r="L4602" t="s">
        <v>21</v>
      </c>
      <c r="M4602" t="s">
        <v>19177</v>
      </c>
      <c r="N4602" t="s">
        <v>97</v>
      </c>
      <c r="O4602" t="s">
        <v>937</v>
      </c>
      <c r="P4602" t="s">
        <v>12</v>
      </c>
    </row>
    <row r="4603">
      <c r="A4603">
        <f>HYPERLINK("http://bombeiros.sp.gov.br/hidrantes/03individual/3626.html","3626")</f>
      </c>
      <c r="B4603" t="s">
        <v>842</v>
      </c>
      <c r="C4603" t="s">
        <v>945</v>
      </c>
      <c r="D4603" t="s">
        <v>1020</v>
      </c>
      <c r="E4603" t="s">
        <v>15</v>
      </c>
      <c r="F4603" t="s">
        <v>13881</v>
      </c>
      <c r="G4603" t="s">
        <v>18118</v>
      </c>
      <c r="H4603" t="s">
        <v>1174</v>
      </c>
      <c r="I4603" t="s">
        <v>1108</v>
      </c>
      <c r="J4603" t="s">
        <v>13882</v>
      </c>
      <c r="K4603" t="s">
        <v>13883</v>
      </c>
      <c r="L4603" t="s">
        <v>21</v>
      </c>
      <c r="M4603" t="s">
        <v>19177</v>
      </c>
      <c r="N4603" t="s">
        <v>97</v>
      </c>
      <c r="O4603" t="s">
        <v>937</v>
      </c>
      <c r="P4603" t="s">
        <v>12</v>
      </c>
    </row>
    <row r="4604">
      <c r="A4604">
        <f>HYPERLINK("http://bombeiros.sp.gov.br/hidrantes/03individual/3628.html","3628")</f>
      </c>
      <c r="B4604" t="s">
        <v>842</v>
      </c>
      <c r="C4604" t="s">
        <v>945</v>
      </c>
      <c r="D4604" t="s">
        <v>1020</v>
      </c>
      <c r="E4604" t="s">
        <v>15</v>
      </c>
      <c r="F4604" t="s">
        <v>13884</v>
      </c>
      <c r="G4604" t="s">
        <v>18118</v>
      </c>
      <c r="H4604" t="s">
        <v>1112</v>
      </c>
      <c r="I4604" t="s">
        <v>1108</v>
      </c>
      <c r="J4604" t="s">
        <v>13885</v>
      </c>
      <c r="K4604" t="s">
        <v>13886</v>
      </c>
      <c r="L4604" t="s">
        <v>21</v>
      </c>
      <c r="M4604" t="s">
        <v>19177</v>
      </c>
      <c r="N4604" t="s">
        <v>97</v>
      </c>
      <c r="O4604" t="s">
        <v>937</v>
      </c>
      <c r="P4604" t="s">
        <v>12</v>
      </c>
    </row>
    <row r="4605">
      <c r="A4605">
        <f>HYPERLINK("http://bombeiros.sp.gov.br/hidrantes/03individual/3634.html","3634")</f>
      </c>
      <c r="B4605" t="s">
        <v>842</v>
      </c>
      <c r="C4605" t="s">
        <v>945</v>
      </c>
      <c r="D4605" t="s">
        <v>1020</v>
      </c>
      <c r="E4605" t="s">
        <v>15</v>
      </c>
      <c r="F4605" t="s">
        <v>13890</v>
      </c>
      <c r="G4605" t="s">
        <v>18118</v>
      </c>
      <c r="H4605" t="s">
        <v>1112</v>
      </c>
      <c r="I4605" t="s">
        <v>1108</v>
      </c>
      <c r="J4605" t="s">
        <v>13891</v>
      </c>
      <c r="K4605" t="s">
        <v>13892</v>
      </c>
      <c r="L4605" t="s">
        <v>21</v>
      </c>
      <c r="M4605" t="s">
        <v>19177</v>
      </c>
      <c r="N4605" t="s">
        <v>97</v>
      </c>
      <c r="O4605" t="s">
        <v>937</v>
      </c>
      <c r="P4605" t="s">
        <v>12</v>
      </c>
    </row>
    <row r="4606">
      <c r="A4606">
        <f>HYPERLINK("http://bombeiros.sp.gov.br/hidrantes/03individual/3639.html","3639")</f>
      </c>
      <c r="B4606" t="s">
        <v>842</v>
      </c>
      <c r="C4606" t="s">
        <v>945</v>
      </c>
      <c r="D4606" t="s">
        <v>1020</v>
      </c>
      <c r="E4606" t="s">
        <v>15</v>
      </c>
      <c r="F4606" t="s">
        <v>13893</v>
      </c>
      <c r="G4606" t="s">
        <v>18160</v>
      </c>
      <c r="H4606" t="s">
        <v>1107</v>
      </c>
      <c r="I4606" t="s">
        <v>1117</v>
      </c>
      <c r="J4606" t="s">
        <v>13894</v>
      </c>
      <c r="K4606" t="s">
        <v>13895</v>
      </c>
      <c r="L4606" t="s">
        <v>21</v>
      </c>
      <c r="M4606" t="s">
        <v>19177</v>
      </c>
      <c r="N4606" t="s">
        <v>97</v>
      </c>
      <c r="O4606" t="s">
        <v>937</v>
      </c>
      <c r="P4606" t="s">
        <v>12</v>
      </c>
    </row>
    <row r="4607">
      <c r="A4607">
        <f>HYPERLINK("http://bombeiros.sp.gov.br/hidrantes/03individual/3652.html","3652")</f>
      </c>
      <c r="B4607" t="s">
        <v>842</v>
      </c>
      <c r="C4607" t="s">
        <v>945</v>
      </c>
      <c r="D4607" t="s">
        <v>1020</v>
      </c>
      <c r="E4607" t="s">
        <v>15</v>
      </c>
      <c r="F4607" t="s">
        <v>13896</v>
      </c>
      <c r="G4607" t="s">
        <v>18050</v>
      </c>
      <c r="H4607" t="s">
        <v>1121</v>
      </c>
      <c r="I4607" t="s">
        <v>1117</v>
      </c>
      <c r="J4607" t="s">
        <v>13897</v>
      </c>
      <c r="K4607" t="s">
        <v>13898</v>
      </c>
      <c r="L4607" t="s">
        <v>21</v>
      </c>
      <c r="M4607" t="s">
        <v>19177</v>
      </c>
      <c r="N4607" t="s">
        <v>97</v>
      </c>
      <c r="O4607" t="s">
        <v>937</v>
      </c>
      <c r="P4607" t="s">
        <v>12</v>
      </c>
    </row>
    <row r="4608">
      <c r="A4608">
        <f>HYPERLINK("http://bombeiros.sp.gov.br/hidrantes/03individual/3653.html","3653")</f>
      </c>
      <c r="B4608" t="s">
        <v>842</v>
      </c>
      <c r="C4608" t="s">
        <v>945</v>
      </c>
      <c r="D4608" t="s">
        <v>1020</v>
      </c>
      <c r="E4608" t="s">
        <v>15</v>
      </c>
      <c r="F4608" t="s">
        <v>13899</v>
      </c>
      <c r="G4608" t="s">
        <v>18050</v>
      </c>
      <c r="H4608" t="s">
        <v>1112</v>
      </c>
      <c r="I4608" t="s">
        <v>1108</v>
      </c>
      <c r="J4608" t="s">
        <v>13900</v>
      </c>
      <c r="K4608" t="s">
        <v>13901</v>
      </c>
      <c r="L4608" t="s">
        <v>21</v>
      </c>
      <c r="M4608" t="s">
        <v>19177</v>
      </c>
      <c r="N4608" t="s">
        <v>97</v>
      </c>
      <c r="O4608" t="s">
        <v>937</v>
      </c>
      <c r="P4608" t="s">
        <v>12</v>
      </c>
    </row>
    <row r="4609">
      <c r="A4609">
        <f>HYPERLINK("http://bombeiros.sp.gov.br/hidrantes/03individual/3665.html","3665")</f>
      </c>
      <c r="B4609" t="s">
        <v>842</v>
      </c>
      <c r="C4609" t="s">
        <v>945</v>
      </c>
      <c r="D4609" t="s">
        <v>1020</v>
      </c>
      <c r="E4609" t="s">
        <v>15</v>
      </c>
      <c r="F4609" t="s">
        <v>13902</v>
      </c>
      <c r="G4609" t="s">
        <v>18050</v>
      </c>
      <c r="H4609" t="s">
        <v>1112</v>
      </c>
      <c r="I4609" t="s">
        <v>1108</v>
      </c>
      <c r="J4609" t="s">
        <v>13903</v>
      </c>
      <c r="K4609" t="s">
        <v>13904</v>
      </c>
      <c r="L4609" t="s">
        <v>21</v>
      </c>
      <c r="M4609" t="s">
        <v>19177</v>
      </c>
      <c r="N4609" t="s">
        <v>97</v>
      </c>
      <c r="O4609" t="s">
        <v>937</v>
      </c>
      <c r="P4609" t="s">
        <v>12</v>
      </c>
    </row>
    <row r="4610">
      <c r="A4610">
        <f>HYPERLINK("http://bombeiros.sp.gov.br/hidrantes/03individual/17756.html","17756")</f>
      </c>
      <c r="B4610" t="s">
        <v>842</v>
      </c>
      <c r="C4610" t="s">
        <v>945</v>
      </c>
      <c r="D4610" t="s">
        <v>1020</v>
      </c>
      <c r="E4610" t="s">
        <v>15</v>
      </c>
      <c r="F4610" t="s">
        <v>13905</v>
      </c>
      <c r="G4610" t="s">
        <v>18050</v>
      </c>
      <c r="H4610" t="s">
        <v>1112</v>
      </c>
      <c r="I4610" t="s">
        <v>1108</v>
      </c>
      <c r="J4610" t="s">
        <v>13906</v>
      </c>
      <c r="K4610" t="s">
        <v>13907</v>
      </c>
      <c r="L4610" t="s">
        <v>21</v>
      </c>
      <c r="M4610" t="s">
        <v>19177</v>
      </c>
      <c r="N4610" t="s">
        <v>97</v>
      </c>
      <c r="O4610" t="s">
        <v>937</v>
      </c>
      <c r="P4610" t="s">
        <v>12</v>
      </c>
    </row>
    <row r="4611">
      <c r="A4611">
        <f>HYPERLINK("http://bombeiros.sp.gov.br/hidrantes/03individual/479.html","479")</f>
      </c>
      <c r="B4611" t="s">
        <v>842</v>
      </c>
      <c r="C4611" t="s">
        <v>945</v>
      </c>
      <c r="D4611" t="s">
        <v>13908</v>
      </c>
      <c r="E4611" t="s">
        <v>64</v>
      </c>
      <c r="F4611" t="s">
        <v>13909</v>
      </c>
      <c r="G4611" t="s">
        <v>18150</v>
      </c>
      <c r="H4611" t="s">
        <v>1121</v>
      </c>
      <c r="I4611" t="s">
        <v>1117</v>
      </c>
      <c r="J4611" t="s">
        <v>13910</v>
      </c>
      <c r="K4611" t="s">
        <v>13911</v>
      </c>
      <c r="L4611" t="s">
        <v>21</v>
      </c>
      <c r="M4611" t="s">
        <v>19177</v>
      </c>
      <c r="N4611" t="s">
        <v>97</v>
      </c>
      <c r="O4611" t="s">
        <v>937</v>
      </c>
      <c r="P4611" t="s">
        <v>12</v>
      </c>
    </row>
    <row r="4612">
      <c r="A4612">
        <f>HYPERLINK("http://bombeiros.sp.gov.br/hidrantes/03individual/3630.html","3630")</f>
      </c>
      <c r="B4612" t="s">
        <v>842</v>
      </c>
      <c r="C4612" t="s">
        <v>945</v>
      </c>
      <c r="D4612" t="s">
        <v>13908</v>
      </c>
      <c r="E4612" t="s">
        <v>64</v>
      </c>
      <c r="F4612" t="s">
        <v>13912</v>
      </c>
      <c r="G4612" t="s">
        <v>18212</v>
      </c>
      <c r="H4612" t="s">
        <v>1112</v>
      </c>
      <c r="I4612" t="s">
        <v>1108</v>
      </c>
      <c r="J4612" t="s">
        <v>13913</v>
      </c>
      <c r="K4612" t="s">
        <v>13914</v>
      </c>
      <c r="L4612" t="s">
        <v>36</v>
      </c>
      <c r="M4612" t="s">
        <v>19177</v>
      </c>
      <c r="N4612" t="s">
        <v>97</v>
      </c>
      <c r="O4612" t="s">
        <v>937</v>
      </c>
      <c r="P4612" t="s">
        <v>12</v>
      </c>
    </row>
    <row r="4613">
      <c r="A4613">
        <f>HYPERLINK("http://bombeiros.sp.gov.br/hidrantes/03individual/3631.html","3631")</f>
      </c>
      <c r="B4613" t="s">
        <v>842</v>
      </c>
      <c r="C4613" t="s">
        <v>945</v>
      </c>
      <c r="D4613" t="s">
        <v>13908</v>
      </c>
      <c r="E4613" t="s">
        <v>64</v>
      </c>
      <c r="F4613" t="s">
        <v>13915</v>
      </c>
      <c r="G4613" t="s">
        <v>18066</v>
      </c>
      <c r="H4613" t="s">
        <v>1112</v>
      </c>
      <c r="I4613" t="s">
        <v>1108</v>
      </c>
      <c r="J4613" t="s">
        <v>13916</v>
      </c>
      <c r="K4613" t="s">
        <v>13917</v>
      </c>
      <c r="L4613" t="s">
        <v>21</v>
      </c>
      <c r="M4613" t="s">
        <v>19177</v>
      </c>
      <c r="N4613" t="s">
        <v>97</v>
      </c>
      <c r="O4613" t="s">
        <v>937</v>
      </c>
      <c r="P4613" t="s">
        <v>12</v>
      </c>
    </row>
    <row r="4614">
      <c r="A4614">
        <f>HYPERLINK("http://bombeiros.sp.gov.br/hidrantes/03individual/3681.html","3681")</f>
      </c>
      <c r="B4614" t="s">
        <v>842</v>
      </c>
      <c r="C4614" t="s">
        <v>945</v>
      </c>
      <c r="D4614" t="s">
        <v>13908</v>
      </c>
      <c r="E4614" t="s">
        <v>64</v>
      </c>
      <c r="F4614" t="s">
        <v>13918</v>
      </c>
      <c r="G4614" t="s">
        <v>18199</v>
      </c>
      <c r="H4614" t="s">
        <v>1112</v>
      </c>
      <c r="I4614" t="s">
        <v>1108</v>
      </c>
      <c r="J4614" t="s">
        <v>13919</v>
      </c>
      <c r="K4614" t="s">
        <v>16926</v>
      </c>
      <c r="L4614" t="s">
        <v>36</v>
      </c>
      <c r="M4614" t="s">
        <v>19177</v>
      </c>
      <c r="N4614" t="s">
        <v>97</v>
      </c>
      <c r="O4614" t="s">
        <v>937</v>
      </c>
      <c r="P4614" t="s">
        <v>12</v>
      </c>
    </row>
    <row r="4615">
      <c r="A4615">
        <f>HYPERLINK("http://bombeiros.sp.gov.br/hidrantes/03individual/3791.html","3791")</f>
      </c>
      <c r="B4615" t="s">
        <v>842</v>
      </c>
      <c r="C4615" t="s">
        <v>945</v>
      </c>
      <c r="D4615" t="s">
        <v>13908</v>
      </c>
      <c r="E4615" t="s">
        <v>64</v>
      </c>
      <c r="F4615" t="s">
        <v>13921</v>
      </c>
      <c r="G4615" t="s">
        <v>18108</v>
      </c>
      <c r="H4615" t="s">
        <v>1112</v>
      </c>
      <c r="I4615" t="s">
        <v>1108</v>
      </c>
      <c r="J4615" t="s">
        <v>13922</v>
      </c>
      <c r="K4615" t="s">
        <v>13923</v>
      </c>
      <c r="L4615" t="s">
        <v>36</v>
      </c>
      <c r="M4615" t="s">
        <v>19177</v>
      </c>
      <c r="N4615" t="s">
        <v>97</v>
      </c>
      <c r="O4615" t="s">
        <v>937</v>
      </c>
      <c r="P4615" t="s">
        <v>12</v>
      </c>
    </row>
    <row r="4616">
      <c r="A4616">
        <f>HYPERLINK("http://bombeiros.sp.gov.br/hidrantes/03individual/27060.html","27060")</f>
      </c>
      <c r="B4616" t="s">
        <v>842</v>
      </c>
      <c r="C4616" t="s">
        <v>945</v>
      </c>
      <c r="D4616" t="s">
        <v>13908</v>
      </c>
      <c r="E4616" t="s">
        <v>64</v>
      </c>
      <c r="F4616" t="s">
        <v>16702</v>
      </c>
      <c r="G4616" t="s">
        <v>18173</v>
      </c>
      <c r="H4616" t="s">
        <v>1121</v>
      </c>
      <c r="I4616" t="s">
        <v>1117</v>
      </c>
      <c r="J4616" t="s">
        <v>16703</v>
      </c>
      <c r="K4616" t="s">
        <v>16704</v>
      </c>
      <c r="L4616" t="s">
        <v>21</v>
      </c>
      <c r="M4616" t="s">
        <v>19177</v>
      </c>
      <c r="N4616" t="s">
        <v>97</v>
      </c>
      <c r="O4616" t="s">
        <v>937</v>
      </c>
      <c r="P4616" t="s">
        <v>12</v>
      </c>
    </row>
    <row r="4617">
      <c r="A4617">
        <f>HYPERLINK("http://bombeiros.sp.gov.br/hidrantes/03individual/334.html","334")</f>
      </c>
      <c r="B4617" t="s">
        <v>842</v>
      </c>
      <c r="C4617" t="s">
        <v>945</v>
      </c>
      <c r="D4617" t="s">
        <v>13908</v>
      </c>
      <c r="E4617" t="s">
        <v>15</v>
      </c>
      <c r="F4617" t="s">
        <v>13924</v>
      </c>
      <c r="G4617" t="s">
        <v>17411</v>
      </c>
      <c r="H4617"/>
      <c r="I4617" t="s">
        <v>18</v>
      </c>
      <c r="J4617" t="s">
        <v>13925</v>
      </c>
      <c r="K4617" t="s">
        <v>13926</v>
      </c>
      <c r="L4617" t="s">
        <v>21</v>
      </c>
      <c r="M4617" t="s">
        <v>19177</v>
      </c>
      <c r="N4617" t="s">
        <v>97</v>
      </c>
      <c r="O4617" t="s">
        <v>937</v>
      </c>
      <c r="P4617" t="s">
        <v>12</v>
      </c>
    </row>
    <row r="4618">
      <c r="A4618">
        <f>HYPERLINK("http://bombeiros.sp.gov.br/hidrantes/03individual/438.html","438")</f>
      </c>
      <c r="B4618" t="s">
        <v>842</v>
      </c>
      <c r="C4618" t="s">
        <v>945</v>
      </c>
      <c r="D4618" t="s">
        <v>13908</v>
      </c>
      <c r="E4618" t="s">
        <v>15</v>
      </c>
      <c r="F4618" t="s">
        <v>13927</v>
      </c>
      <c r="G4618" t="s">
        <v>18066</v>
      </c>
      <c r="H4618" t="s">
        <v>1112</v>
      </c>
      <c r="I4618" t="s">
        <v>1108</v>
      </c>
      <c r="J4618" t="s">
        <v>13928</v>
      </c>
      <c r="K4618" t="s">
        <v>13929</v>
      </c>
      <c r="L4618" t="s">
        <v>21</v>
      </c>
      <c r="M4618" t="s">
        <v>19177</v>
      </c>
      <c r="N4618" t="s">
        <v>97</v>
      </c>
      <c r="O4618" t="s">
        <v>937</v>
      </c>
      <c r="P4618" t="s">
        <v>12</v>
      </c>
    </row>
    <row r="4619">
      <c r="A4619">
        <f>HYPERLINK("http://bombeiros.sp.gov.br/hidrantes/03individual/439.html","439")</f>
      </c>
      <c r="B4619" t="s">
        <v>842</v>
      </c>
      <c r="C4619" t="s">
        <v>945</v>
      </c>
      <c r="D4619" t="s">
        <v>13908</v>
      </c>
      <c r="E4619" t="s">
        <v>15</v>
      </c>
      <c r="F4619" t="s">
        <v>13930</v>
      </c>
      <c r="G4619" t="s">
        <v>18200</v>
      </c>
      <c r="H4619" t="s">
        <v>1107</v>
      </c>
      <c r="I4619" t="s">
        <v>1108</v>
      </c>
      <c r="J4619" t="s">
        <v>13931</v>
      </c>
      <c r="K4619" t="s">
        <v>13932</v>
      </c>
      <c r="L4619" t="s">
        <v>21</v>
      </c>
      <c r="M4619" t="s">
        <v>19177</v>
      </c>
      <c r="N4619" t="s">
        <v>97</v>
      </c>
      <c r="O4619" t="s">
        <v>937</v>
      </c>
      <c r="P4619" t="s">
        <v>12</v>
      </c>
    </row>
    <row r="4620">
      <c r="A4620">
        <f>HYPERLINK("http://bombeiros.sp.gov.br/hidrantes/03individual/458.html","458")</f>
      </c>
      <c r="B4620" t="s">
        <v>842</v>
      </c>
      <c r="C4620" t="s">
        <v>945</v>
      </c>
      <c r="D4620" t="s">
        <v>13908</v>
      </c>
      <c r="E4620" t="s">
        <v>15</v>
      </c>
      <c r="F4620" t="s">
        <v>13933</v>
      </c>
      <c r="G4620" t="s">
        <v>18153</v>
      </c>
      <c r="H4620" t="s">
        <v>1107</v>
      </c>
      <c r="I4620" t="s">
        <v>1108</v>
      </c>
      <c r="J4620" t="s">
        <v>13934</v>
      </c>
      <c r="K4620" t="s">
        <v>13935</v>
      </c>
      <c r="L4620" t="s">
        <v>21</v>
      </c>
      <c r="M4620" t="s">
        <v>19177</v>
      </c>
      <c r="N4620" t="s">
        <v>97</v>
      </c>
      <c r="O4620" t="s">
        <v>937</v>
      </c>
      <c r="P4620" t="s">
        <v>12</v>
      </c>
    </row>
    <row r="4621">
      <c r="A4621">
        <f>HYPERLINK("http://bombeiros.sp.gov.br/hidrantes/03individual/3625.html","3625")</f>
      </c>
      <c r="B4621" t="s">
        <v>842</v>
      </c>
      <c r="C4621" t="s">
        <v>945</v>
      </c>
      <c r="D4621" t="s">
        <v>13908</v>
      </c>
      <c r="E4621" t="s">
        <v>15</v>
      </c>
      <c r="F4621" t="s">
        <v>13936</v>
      </c>
      <c r="G4621" t="s">
        <v>18129</v>
      </c>
      <c r="H4621" t="s">
        <v>1112</v>
      </c>
      <c r="I4621" t="s">
        <v>1108</v>
      </c>
      <c r="J4621" t="s">
        <v>13937</v>
      </c>
      <c r="K4621" t="s">
        <v>13938</v>
      </c>
      <c r="L4621" t="s">
        <v>21</v>
      </c>
      <c r="M4621" t="s">
        <v>19177</v>
      </c>
      <c r="N4621" t="s">
        <v>97</v>
      </c>
      <c r="O4621" t="s">
        <v>937</v>
      </c>
      <c r="P4621" t="s">
        <v>12</v>
      </c>
    </row>
    <row r="4622">
      <c r="A4622">
        <f>HYPERLINK("http://bombeiros.sp.gov.br/hidrantes/03individual/3655.html","3655")</f>
      </c>
      <c r="B4622" t="s">
        <v>842</v>
      </c>
      <c r="C4622" t="s">
        <v>945</v>
      </c>
      <c r="D4622" t="s">
        <v>13908</v>
      </c>
      <c r="E4622" t="s">
        <v>15</v>
      </c>
      <c r="F4622" t="s">
        <v>13939</v>
      </c>
      <c r="G4622" t="s">
        <v>18153</v>
      </c>
      <c r="H4622" t="s">
        <v>1112</v>
      </c>
      <c r="I4622" t="s">
        <v>1108</v>
      </c>
      <c r="J4622" t="s">
        <v>13940</v>
      </c>
      <c r="K4622" t="s">
        <v>13941</v>
      </c>
      <c r="L4622" t="s">
        <v>21</v>
      </c>
      <c r="M4622" t="s">
        <v>19177</v>
      </c>
      <c r="N4622" t="s">
        <v>97</v>
      </c>
      <c r="O4622" t="s">
        <v>937</v>
      </c>
      <c r="P4622" t="s">
        <v>12</v>
      </c>
    </row>
    <row r="4623">
      <c r="A4623">
        <f>HYPERLINK("http://bombeiros.sp.gov.br/hidrantes/03individual/3793.html","3793")</f>
      </c>
      <c r="B4623" t="s">
        <v>842</v>
      </c>
      <c r="C4623" t="s">
        <v>945</v>
      </c>
      <c r="D4623" t="s">
        <v>13908</v>
      </c>
      <c r="E4623" t="s">
        <v>15</v>
      </c>
      <c r="F4623" t="s">
        <v>13945</v>
      </c>
      <c r="G4623" t="s">
        <v>18066</v>
      </c>
      <c r="H4623" t="s">
        <v>1121</v>
      </c>
      <c r="I4623" t="s">
        <v>1117</v>
      </c>
      <c r="J4623" t="s">
        <v>13946</v>
      </c>
      <c r="K4623" t="s">
        <v>13947</v>
      </c>
      <c r="L4623" t="s">
        <v>21</v>
      </c>
      <c r="M4623" t="s">
        <v>19177</v>
      </c>
      <c r="N4623" t="s">
        <v>97</v>
      </c>
      <c r="O4623" t="s">
        <v>937</v>
      </c>
      <c r="P4623" t="s">
        <v>12</v>
      </c>
    </row>
    <row r="4624">
      <c r="A4624">
        <f>HYPERLINK("http://bombeiros.sp.gov.br/hidrantes/03individual/3800.html","3800")</f>
      </c>
      <c r="B4624" t="s">
        <v>842</v>
      </c>
      <c r="C4624" t="s">
        <v>945</v>
      </c>
      <c r="D4624" t="s">
        <v>13908</v>
      </c>
      <c r="E4624" t="s">
        <v>15</v>
      </c>
      <c r="F4624" t="s">
        <v>13948</v>
      </c>
      <c r="G4624" t="s">
        <v>18129</v>
      </c>
      <c r="H4624" t="s">
        <v>1112</v>
      </c>
      <c r="I4624" t="s">
        <v>1108</v>
      </c>
      <c r="J4624" t="s">
        <v>13949</v>
      </c>
      <c r="K4624" t="s">
        <v>13950</v>
      </c>
      <c r="L4624" t="s">
        <v>21</v>
      </c>
      <c r="M4624" t="s">
        <v>19177</v>
      </c>
      <c r="N4624" t="s">
        <v>97</v>
      </c>
      <c r="O4624" t="s">
        <v>937</v>
      </c>
      <c r="P4624" t="s">
        <v>12</v>
      </c>
    </row>
    <row r="4625">
      <c r="A4625">
        <f>HYPERLINK("http://bombeiros.sp.gov.br/hidrantes/03individual/3802.html","3802")</f>
      </c>
      <c r="B4625" t="s">
        <v>842</v>
      </c>
      <c r="C4625" t="s">
        <v>945</v>
      </c>
      <c r="D4625" t="s">
        <v>13908</v>
      </c>
      <c r="E4625" t="s">
        <v>15</v>
      </c>
      <c r="F4625" t="s">
        <v>13951</v>
      </c>
      <c r="G4625" t="s">
        <v>18129</v>
      </c>
      <c r="H4625" t="s">
        <v>1107</v>
      </c>
      <c r="I4625" t="s">
        <v>1108</v>
      </c>
      <c r="J4625" t="s">
        <v>13952</v>
      </c>
      <c r="K4625" t="s">
        <v>13953</v>
      </c>
      <c r="L4625" t="s">
        <v>21</v>
      </c>
      <c r="M4625" t="s">
        <v>19177</v>
      </c>
      <c r="N4625" t="s">
        <v>97</v>
      </c>
      <c r="O4625" t="s">
        <v>937</v>
      </c>
      <c r="P4625" t="s">
        <v>12</v>
      </c>
    </row>
    <row r="4626">
      <c r="A4626">
        <f>HYPERLINK("http://bombeiros.sp.gov.br/hidrantes/03individual/3807.html","3807")</f>
      </c>
      <c r="B4626" t="s">
        <v>842</v>
      </c>
      <c r="C4626" t="s">
        <v>945</v>
      </c>
      <c r="D4626" t="s">
        <v>13908</v>
      </c>
      <c r="E4626" t="s">
        <v>15</v>
      </c>
      <c r="F4626" t="s">
        <v>13954</v>
      </c>
      <c r="G4626" t="s">
        <v>18172</v>
      </c>
      <c r="H4626" t="s">
        <v>1112</v>
      </c>
      <c r="I4626" t="s">
        <v>1108</v>
      </c>
      <c r="J4626" t="s">
        <v>13955</v>
      </c>
      <c r="K4626" t="s">
        <v>13956</v>
      </c>
      <c r="L4626" t="s">
        <v>21</v>
      </c>
      <c r="M4626" t="s">
        <v>19177</v>
      </c>
      <c r="N4626" t="s">
        <v>97</v>
      </c>
      <c r="O4626" t="s">
        <v>937</v>
      </c>
      <c r="P4626" t="s">
        <v>12</v>
      </c>
    </row>
    <row r="4627">
      <c r="A4627">
        <f>HYPERLINK("http://bombeiros.sp.gov.br/hidrantes/03individual/3812.html","3812")</f>
      </c>
      <c r="B4627" t="s">
        <v>842</v>
      </c>
      <c r="C4627" t="s">
        <v>945</v>
      </c>
      <c r="D4627" t="s">
        <v>13908</v>
      </c>
      <c r="E4627" t="s">
        <v>15</v>
      </c>
      <c r="F4627" t="s">
        <v>13957</v>
      </c>
      <c r="G4627" t="s">
        <v>18200</v>
      </c>
      <c r="H4627" t="s">
        <v>1107</v>
      </c>
      <c r="I4627" t="s">
        <v>1108</v>
      </c>
      <c r="J4627" t="s">
        <v>13958</v>
      </c>
      <c r="K4627" t="s">
        <v>13959</v>
      </c>
      <c r="L4627" t="s">
        <v>21</v>
      </c>
      <c r="M4627" t="s">
        <v>19177</v>
      </c>
      <c r="N4627" t="s">
        <v>97</v>
      </c>
      <c r="O4627" t="s">
        <v>937</v>
      </c>
      <c r="P4627" t="s">
        <v>12</v>
      </c>
    </row>
    <row r="4628">
      <c r="A4628">
        <f>HYPERLINK("http://bombeiros.sp.gov.br/hidrantes/03individual/3931.html","3931")</f>
      </c>
      <c r="B4628" t="s">
        <v>842</v>
      </c>
      <c r="C4628" t="s">
        <v>945</v>
      </c>
      <c r="D4628" t="s">
        <v>13908</v>
      </c>
      <c r="E4628" t="s">
        <v>15</v>
      </c>
      <c r="F4628" t="s">
        <v>13960</v>
      </c>
      <c r="G4628" t="s">
        <v>18212</v>
      </c>
      <c r="H4628" t="s">
        <v>1121</v>
      </c>
      <c r="I4628" t="s">
        <v>1117</v>
      </c>
      <c r="J4628" t="s">
        <v>13961</v>
      </c>
      <c r="K4628" t="s">
        <v>13962</v>
      </c>
      <c r="L4628" t="s">
        <v>21</v>
      </c>
      <c r="M4628" t="s">
        <v>19177</v>
      </c>
      <c r="N4628" t="s">
        <v>97</v>
      </c>
      <c r="O4628" t="s">
        <v>937</v>
      </c>
      <c r="P4628" t="s">
        <v>12</v>
      </c>
    </row>
    <row r="4629">
      <c r="A4629">
        <f>HYPERLINK("http://bombeiros.sp.gov.br/hidrantes/03individual/4356.html","4356")</f>
      </c>
      <c r="B4629" t="s">
        <v>842</v>
      </c>
      <c r="C4629" t="s">
        <v>945</v>
      </c>
      <c r="D4629" t="s">
        <v>13908</v>
      </c>
      <c r="E4629" t="s">
        <v>15</v>
      </c>
      <c r="F4629" t="s">
        <v>13963</v>
      </c>
      <c r="G4629" t="s">
        <v>18150</v>
      </c>
      <c r="H4629" t="s">
        <v>1107</v>
      </c>
      <c r="I4629" t="s">
        <v>1108</v>
      </c>
      <c r="J4629" t="s">
        <v>13964</v>
      </c>
      <c r="K4629" t="s">
        <v>13965</v>
      </c>
      <c r="L4629" t="s">
        <v>21</v>
      </c>
      <c r="M4629" t="s">
        <v>19177</v>
      </c>
      <c r="N4629" t="s">
        <v>97</v>
      </c>
      <c r="O4629" t="s">
        <v>937</v>
      </c>
      <c r="P4629" t="s">
        <v>12</v>
      </c>
    </row>
    <row r="4630">
      <c r="A4630">
        <f>HYPERLINK("http://bombeiros.sp.gov.br/hidrantes/03individual/4359.html","4359")</f>
      </c>
      <c r="B4630" t="s">
        <v>842</v>
      </c>
      <c r="C4630" t="s">
        <v>945</v>
      </c>
      <c r="D4630" t="s">
        <v>13908</v>
      </c>
      <c r="E4630" t="s">
        <v>15</v>
      </c>
      <c r="F4630" t="s">
        <v>13966</v>
      </c>
      <c r="G4630" t="s">
        <v>18055</v>
      </c>
      <c r="H4630" t="s">
        <v>1112</v>
      </c>
      <c r="I4630" t="s">
        <v>1108</v>
      </c>
      <c r="J4630" t="s">
        <v>13967</v>
      </c>
      <c r="K4630" t="s">
        <v>13968</v>
      </c>
      <c r="L4630" t="s">
        <v>21</v>
      </c>
      <c r="M4630" t="s">
        <v>19177</v>
      </c>
      <c r="N4630" t="s">
        <v>97</v>
      </c>
      <c r="O4630" t="s">
        <v>937</v>
      </c>
      <c r="P4630" t="s">
        <v>12</v>
      </c>
    </row>
    <row r="4631">
      <c r="A4631">
        <f>HYPERLINK("http://bombeiros.sp.gov.br/hidrantes/03individual/4360.html","4360")</f>
      </c>
      <c r="B4631" t="s">
        <v>842</v>
      </c>
      <c r="C4631" t="s">
        <v>945</v>
      </c>
      <c r="D4631" t="s">
        <v>13908</v>
      </c>
      <c r="E4631" t="s">
        <v>15</v>
      </c>
      <c r="F4631" t="s">
        <v>13969</v>
      </c>
      <c r="G4631" t="s">
        <v>18130</v>
      </c>
      <c r="H4631" t="s">
        <v>1121</v>
      </c>
      <c r="I4631" t="s">
        <v>1117</v>
      </c>
      <c r="J4631" t="s">
        <v>13970</v>
      </c>
      <c r="K4631" t="s">
        <v>13971</v>
      </c>
      <c r="L4631" t="s">
        <v>21</v>
      </c>
      <c r="M4631" t="s">
        <v>19177</v>
      </c>
      <c r="N4631" t="s">
        <v>97</v>
      </c>
      <c r="O4631" t="s">
        <v>937</v>
      </c>
      <c r="P4631" t="s">
        <v>12</v>
      </c>
    </row>
    <row r="4632">
      <c r="A4632">
        <f>HYPERLINK("http://bombeiros.sp.gov.br/hidrantes/03individual/4363.html","4363")</f>
      </c>
      <c r="B4632" t="s">
        <v>842</v>
      </c>
      <c r="C4632" t="s">
        <v>945</v>
      </c>
      <c r="D4632" t="s">
        <v>13908</v>
      </c>
      <c r="E4632" t="s">
        <v>15</v>
      </c>
      <c r="F4632" t="s">
        <v>13972</v>
      </c>
      <c r="G4632" t="s">
        <v>18212</v>
      </c>
      <c r="H4632" t="s">
        <v>1112</v>
      </c>
      <c r="I4632" t="s">
        <v>1108</v>
      </c>
      <c r="J4632" t="s">
        <v>13973</v>
      </c>
      <c r="K4632" t="s">
        <v>13974</v>
      </c>
      <c r="L4632" t="s">
        <v>21</v>
      </c>
      <c r="M4632" t="s">
        <v>19177</v>
      </c>
      <c r="N4632" t="s">
        <v>97</v>
      </c>
      <c r="O4632" t="s">
        <v>937</v>
      </c>
      <c r="P4632" t="s">
        <v>12</v>
      </c>
    </row>
    <row r="4633">
      <c r="A4633">
        <f>HYPERLINK("http://bombeiros.sp.gov.br/hidrantes/03individual/4364.html","4364")</f>
      </c>
      <c r="B4633" t="s">
        <v>842</v>
      </c>
      <c r="C4633" t="s">
        <v>945</v>
      </c>
      <c r="D4633" t="s">
        <v>13908</v>
      </c>
      <c r="E4633" t="s">
        <v>15</v>
      </c>
      <c r="F4633" t="s">
        <v>13975</v>
      </c>
      <c r="G4633" t="s">
        <v>18055</v>
      </c>
      <c r="H4633" t="s">
        <v>1112</v>
      </c>
      <c r="I4633" t="s">
        <v>1108</v>
      </c>
      <c r="J4633" t="s">
        <v>13976</v>
      </c>
      <c r="K4633" t="s">
        <v>13977</v>
      </c>
      <c r="L4633" t="s">
        <v>21</v>
      </c>
      <c r="M4633" t="s">
        <v>19177</v>
      </c>
      <c r="N4633" t="s">
        <v>97</v>
      </c>
      <c r="O4633" t="s">
        <v>937</v>
      </c>
      <c r="P4633" t="s">
        <v>12</v>
      </c>
    </row>
    <row r="4634">
      <c r="A4634">
        <f>HYPERLINK("http://bombeiros.sp.gov.br/hidrantes/03individual/4366.html","4366")</f>
      </c>
      <c r="B4634" t="s">
        <v>842</v>
      </c>
      <c r="C4634" t="s">
        <v>945</v>
      </c>
      <c r="D4634" t="s">
        <v>13908</v>
      </c>
      <c r="E4634" t="s">
        <v>15</v>
      </c>
      <c r="F4634" t="s">
        <v>13978</v>
      </c>
      <c r="G4634" t="s">
        <v>18212</v>
      </c>
      <c r="H4634" t="s">
        <v>1112</v>
      </c>
      <c r="I4634" t="s">
        <v>1108</v>
      </c>
      <c r="J4634" t="s">
        <v>13979</v>
      </c>
      <c r="K4634" t="s">
        <v>13980</v>
      </c>
      <c r="L4634" t="s">
        <v>21</v>
      </c>
      <c r="M4634" t="s">
        <v>19177</v>
      </c>
      <c r="N4634" t="s">
        <v>97</v>
      </c>
      <c r="O4634" t="s">
        <v>937</v>
      </c>
      <c r="P4634" t="s">
        <v>12</v>
      </c>
    </row>
    <row r="4635">
      <c r="A4635">
        <f>HYPERLINK("http://bombeiros.sp.gov.br/hidrantes/03individual/4367.html","4367")</f>
      </c>
      <c r="B4635" t="s">
        <v>842</v>
      </c>
      <c r="C4635" t="s">
        <v>945</v>
      </c>
      <c r="D4635" t="s">
        <v>13908</v>
      </c>
      <c r="E4635" t="s">
        <v>15</v>
      </c>
      <c r="F4635" t="s">
        <v>13981</v>
      </c>
      <c r="G4635" t="s">
        <v>18055</v>
      </c>
      <c r="H4635" t="s">
        <v>1107</v>
      </c>
      <c r="I4635" t="s">
        <v>1108</v>
      </c>
      <c r="J4635" t="s">
        <v>13982</v>
      </c>
      <c r="K4635" t="s">
        <v>13983</v>
      </c>
      <c r="L4635" t="s">
        <v>21</v>
      </c>
      <c r="M4635" t="s">
        <v>19177</v>
      </c>
      <c r="N4635" t="s">
        <v>97</v>
      </c>
      <c r="O4635" t="s">
        <v>937</v>
      </c>
      <c r="P4635" t="s">
        <v>12</v>
      </c>
    </row>
    <row r="4636">
      <c r="A4636">
        <f>HYPERLINK("http://bombeiros.sp.gov.br/hidrantes/03individual/3674.html","3674")</f>
      </c>
      <c r="B4636" t="s">
        <v>842</v>
      </c>
      <c r="C4636" t="s">
        <v>945</v>
      </c>
      <c r="D4636" t="s">
        <v>13984</v>
      </c>
      <c r="E4636" t="s">
        <v>64</v>
      </c>
      <c r="F4636" t="s">
        <v>13985</v>
      </c>
      <c r="G4636" t="s">
        <v>18050</v>
      </c>
      <c r="H4636" t="s">
        <v>1112</v>
      </c>
      <c r="I4636" t="s">
        <v>1108</v>
      </c>
      <c r="J4636" t="s">
        <v>13986</v>
      </c>
      <c r="K4636" t="s">
        <v>13987</v>
      </c>
      <c r="L4636" t="s">
        <v>21</v>
      </c>
      <c r="M4636" t="s">
        <v>19177</v>
      </c>
      <c r="N4636" t="s">
        <v>97</v>
      </c>
      <c r="O4636" t="s">
        <v>937</v>
      </c>
      <c r="P4636" t="s">
        <v>12</v>
      </c>
    </row>
    <row r="4637">
      <c r="A4637">
        <f>HYPERLINK("http://bombeiros.sp.gov.br/hidrantes/03individual/3682.html","3682")</f>
      </c>
      <c r="B4637" t="s">
        <v>842</v>
      </c>
      <c r="C4637" t="s">
        <v>945</v>
      </c>
      <c r="D4637" t="s">
        <v>13984</v>
      </c>
      <c r="E4637" t="s">
        <v>64</v>
      </c>
      <c r="F4637" t="s">
        <v>13988</v>
      </c>
      <c r="G4637" t="s">
        <v>18174</v>
      </c>
      <c r="H4637" t="s">
        <v>1174</v>
      </c>
      <c r="I4637" t="s">
        <v>1117</v>
      </c>
      <c r="J4637" t="s">
        <v>13989</v>
      </c>
      <c r="K4637" t="s">
        <v>13990</v>
      </c>
      <c r="L4637" t="s">
        <v>21</v>
      </c>
      <c r="M4637" t="s">
        <v>19177</v>
      </c>
      <c r="N4637" t="s">
        <v>97</v>
      </c>
      <c r="O4637" t="s">
        <v>937</v>
      </c>
      <c r="P4637" t="s">
        <v>12</v>
      </c>
    </row>
    <row r="4638">
      <c r="A4638">
        <f>HYPERLINK("http://bombeiros.sp.gov.br/hidrantes/03individual/3686.html","3686")</f>
      </c>
      <c r="B4638" t="s">
        <v>842</v>
      </c>
      <c r="C4638" t="s">
        <v>945</v>
      </c>
      <c r="D4638" t="s">
        <v>13984</v>
      </c>
      <c r="E4638" t="s">
        <v>64</v>
      </c>
      <c r="F4638" t="s">
        <v>13991</v>
      </c>
      <c r="G4638" t="s">
        <v>18171</v>
      </c>
      <c r="H4638"/>
      <c r="I4638" t="s">
        <v>18</v>
      </c>
      <c r="J4638" t="s">
        <v>13992</v>
      </c>
      <c r="K4638" t="s">
        <v>13993</v>
      </c>
      <c r="L4638" t="s">
        <v>21</v>
      </c>
      <c r="M4638" t="s">
        <v>19177</v>
      </c>
      <c r="N4638" t="s">
        <v>97</v>
      </c>
      <c r="O4638" t="s">
        <v>937</v>
      </c>
      <c r="P4638" t="s">
        <v>12</v>
      </c>
    </row>
    <row r="4639">
      <c r="A4639">
        <f>HYPERLINK("http://bombeiros.sp.gov.br/hidrantes/03individual/3689.html","3689")</f>
      </c>
      <c r="B4639" t="s">
        <v>842</v>
      </c>
      <c r="C4639" t="s">
        <v>945</v>
      </c>
      <c r="D4639" t="s">
        <v>13984</v>
      </c>
      <c r="E4639" t="s">
        <v>64</v>
      </c>
      <c r="F4639" t="s">
        <v>13994</v>
      </c>
      <c r="G4639" t="s">
        <v>18174</v>
      </c>
      <c r="H4639" t="s">
        <v>1107</v>
      </c>
      <c r="I4639" t="s">
        <v>1108</v>
      </c>
      <c r="J4639" t="s">
        <v>13995</v>
      </c>
      <c r="K4639" t="s">
        <v>13996</v>
      </c>
      <c r="L4639" t="s">
        <v>21</v>
      </c>
      <c r="M4639" t="s">
        <v>19177</v>
      </c>
      <c r="N4639" t="s">
        <v>97</v>
      </c>
      <c r="O4639" t="s">
        <v>937</v>
      </c>
      <c r="P4639" t="s">
        <v>12</v>
      </c>
    </row>
    <row r="4640">
      <c r="A4640">
        <f>HYPERLINK("http://bombeiros.sp.gov.br/hidrantes/03individual/3691.html","3691")</f>
      </c>
      <c r="B4640" t="s">
        <v>842</v>
      </c>
      <c r="C4640" t="s">
        <v>945</v>
      </c>
      <c r="D4640" t="s">
        <v>13984</v>
      </c>
      <c r="E4640" t="s">
        <v>64</v>
      </c>
      <c r="F4640" t="s">
        <v>13997</v>
      </c>
      <c r="G4640" t="s">
        <v>18171</v>
      </c>
      <c r="H4640" t="s">
        <v>1107</v>
      </c>
      <c r="I4640" t="s">
        <v>1108</v>
      </c>
      <c r="J4640" t="s">
        <v>13998</v>
      </c>
      <c r="K4640" t="s">
        <v>13999</v>
      </c>
      <c r="L4640" t="s">
        <v>36</v>
      </c>
      <c r="M4640" t="s">
        <v>19177</v>
      </c>
      <c r="N4640" t="s">
        <v>97</v>
      </c>
      <c r="O4640" t="s">
        <v>937</v>
      </c>
      <c r="P4640" t="s">
        <v>12</v>
      </c>
    </row>
    <row r="4641">
      <c r="A4641">
        <f>HYPERLINK("http://bombeiros.sp.gov.br/hidrantes/03individual/480.html","480")</f>
      </c>
      <c r="B4641" t="s">
        <v>842</v>
      </c>
      <c r="C4641" t="s">
        <v>945</v>
      </c>
      <c r="D4641" t="s">
        <v>13984</v>
      </c>
      <c r="E4641" t="s">
        <v>15</v>
      </c>
      <c r="F4641" t="s">
        <v>14000</v>
      </c>
      <c r="G4641" t="s">
        <v>18217</v>
      </c>
      <c r="H4641" t="s">
        <v>1107</v>
      </c>
      <c r="I4641" t="s">
        <v>1108</v>
      </c>
      <c r="J4641" t="s">
        <v>14001</v>
      </c>
      <c r="K4641" t="s">
        <v>14002</v>
      </c>
      <c r="L4641" t="s">
        <v>21</v>
      </c>
      <c r="M4641" t="s">
        <v>19177</v>
      </c>
      <c r="N4641" t="s">
        <v>97</v>
      </c>
      <c r="O4641" t="s">
        <v>937</v>
      </c>
      <c r="P4641" t="s">
        <v>12</v>
      </c>
    </row>
    <row r="4642">
      <c r="A4642">
        <f>HYPERLINK("http://bombeiros.sp.gov.br/hidrantes/03individual/3666.html","3666")</f>
      </c>
      <c r="B4642" t="s">
        <v>842</v>
      </c>
      <c r="C4642" t="s">
        <v>945</v>
      </c>
      <c r="D4642" t="s">
        <v>13984</v>
      </c>
      <c r="E4642" t="s">
        <v>15</v>
      </c>
      <c r="F4642" t="s">
        <v>14003</v>
      </c>
      <c r="G4642" t="s">
        <v>18277</v>
      </c>
      <c r="H4642" t="s">
        <v>1112</v>
      </c>
      <c r="I4642" t="s">
        <v>1108</v>
      </c>
      <c r="J4642" t="s">
        <v>14004</v>
      </c>
      <c r="K4642" t="s">
        <v>14005</v>
      </c>
      <c r="L4642" t="s">
        <v>21</v>
      </c>
      <c r="M4642" t="s">
        <v>19177</v>
      </c>
      <c r="N4642" t="s">
        <v>97</v>
      </c>
      <c r="O4642" t="s">
        <v>937</v>
      </c>
      <c r="P4642" t="s">
        <v>12</v>
      </c>
    </row>
    <row r="4643">
      <c r="A4643">
        <f>HYPERLINK("http://bombeiros.sp.gov.br/hidrantes/03individual/3667.html","3667")</f>
      </c>
      <c r="B4643" t="s">
        <v>842</v>
      </c>
      <c r="C4643" t="s">
        <v>945</v>
      </c>
      <c r="D4643" t="s">
        <v>13984</v>
      </c>
      <c r="E4643" t="s">
        <v>15</v>
      </c>
      <c r="F4643" t="s">
        <v>14006</v>
      </c>
      <c r="G4643" t="s">
        <v>18160</v>
      </c>
      <c r="H4643" t="s">
        <v>1112</v>
      </c>
      <c r="I4643" t="s">
        <v>1108</v>
      </c>
      <c r="J4643" t="s">
        <v>14007</v>
      </c>
      <c r="K4643" t="s">
        <v>14008</v>
      </c>
      <c r="L4643" t="s">
        <v>21</v>
      </c>
      <c r="M4643" t="s">
        <v>19177</v>
      </c>
      <c r="N4643" t="s">
        <v>97</v>
      </c>
      <c r="O4643" t="s">
        <v>937</v>
      </c>
      <c r="P4643" t="s">
        <v>12</v>
      </c>
    </row>
    <row r="4644">
      <c r="A4644">
        <f>HYPERLINK("http://bombeiros.sp.gov.br/hidrantes/03individual/3672.html","3672")</f>
      </c>
      <c r="B4644" t="s">
        <v>842</v>
      </c>
      <c r="C4644" t="s">
        <v>945</v>
      </c>
      <c r="D4644" t="s">
        <v>13984</v>
      </c>
      <c r="E4644" t="s">
        <v>15</v>
      </c>
      <c r="F4644" t="s">
        <v>14009</v>
      </c>
      <c r="G4644" t="s">
        <v>18003</v>
      </c>
      <c r="H4644" t="s">
        <v>1112</v>
      </c>
      <c r="I4644" t="s">
        <v>1108</v>
      </c>
      <c r="J4644" t="s">
        <v>14010</v>
      </c>
      <c r="K4644" t="s">
        <v>14011</v>
      </c>
      <c r="L4644" t="s">
        <v>21</v>
      </c>
      <c r="M4644" t="s">
        <v>19177</v>
      </c>
      <c r="N4644" t="s">
        <v>97</v>
      </c>
      <c r="O4644" t="s">
        <v>937</v>
      </c>
      <c r="P4644" t="s">
        <v>12</v>
      </c>
    </row>
    <row r="4645">
      <c r="A4645">
        <f>HYPERLINK("http://bombeiros.sp.gov.br/hidrantes/03individual/2359.html","2359")</f>
      </c>
      <c r="B4645" t="s">
        <v>842</v>
      </c>
      <c r="C4645" t="s">
        <v>1024</v>
      </c>
      <c r="D4645" t="s">
        <v>14012</v>
      </c>
      <c r="E4645" t="s">
        <v>64</v>
      </c>
      <c r="F4645" t="s">
        <v>14013</v>
      </c>
      <c r="G4645" t="s">
        <v>18107</v>
      </c>
      <c r="H4645" t="s">
        <v>1112</v>
      </c>
      <c r="I4645" t="s">
        <v>1108</v>
      </c>
      <c r="J4645" t="s">
        <v>14014</v>
      </c>
      <c r="K4645" t="s">
        <v>14015</v>
      </c>
      <c r="L4645" t="s">
        <v>21</v>
      </c>
      <c r="M4645" t="s">
        <v>19177</v>
      </c>
      <c r="N4645" t="s">
        <v>1024</v>
      </c>
      <c r="O4645" t="s">
        <v>1024</v>
      </c>
      <c r="P4645" t="s">
        <v>842</v>
      </c>
    </row>
    <row r="4646">
      <c r="A4646">
        <f>HYPERLINK("http://bombeiros.sp.gov.br/hidrantes/03individual/2385.html","2385")</f>
      </c>
      <c r="B4646" t="s">
        <v>842</v>
      </c>
      <c r="C4646" t="s">
        <v>1024</v>
      </c>
      <c r="D4646" t="s">
        <v>14012</v>
      </c>
      <c r="E4646" t="s">
        <v>64</v>
      </c>
      <c r="F4646" t="s">
        <v>14016</v>
      </c>
      <c r="G4646" t="s">
        <v>18130</v>
      </c>
      <c r="H4646" t="s">
        <v>1112</v>
      </c>
      <c r="I4646" t="s">
        <v>1108</v>
      </c>
      <c r="J4646" t="s">
        <v>14017</v>
      </c>
      <c r="K4646" t="s">
        <v>14018</v>
      </c>
      <c r="L4646" t="s">
        <v>36</v>
      </c>
      <c r="M4646" t="s">
        <v>19177</v>
      </c>
      <c r="N4646" t="s">
        <v>1024</v>
      </c>
      <c r="O4646" t="s">
        <v>1024</v>
      </c>
      <c r="P4646" t="s">
        <v>842</v>
      </c>
    </row>
    <row r="4647">
      <c r="A4647">
        <f>HYPERLINK("http://bombeiros.sp.gov.br/hidrantes/03individual/403.html","403")</f>
      </c>
      <c r="B4647" t="s">
        <v>842</v>
      </c>
      <c r="C4647" t="s">
        <v>1024</v>
      </c>
      <c r="D4647" t="s">
        <v>14012</v>
      </c>
      <c r="E4647" t="s">
        <v>15</v>
      </c>
      <c r="F4647" t="s">
        <v>14019</v>
      </c>
      <c r="G4647" t="s">
        <v>18130</v>
      </c>
      <c r="H4647" t="s">
        <v>1112</v>
      </c>
      <c r="I4647" t="s">
        <v>1108</v>
      </c>
      <c r="J4647" t="s">
        <v>14020</v>
      </c>
      <c r="K4647" t="s">
        <v>14021</v>
      </c>
      <c r="L4647" t="s">
        <v>21</v>
      </c>
      <c r="M4647" t="s">
        <v>19177</v>
      </c>
      <c r="N4647" t="s">
        <v>1024</v>
      </c>
      <c r="O4647" t="s">
        <v>1024</v>
      </c>
      <c r="P4647" t="s">
        <v>842</v>
      </c>
    </row>
    <row r="4648">
      <c r="A4648">
        <f>HYPERLINK("http://bombeiros.sp.gov.br/hidrantes/03individual/2348.html","2348")</f>
      </c>
      <c r="B4648" t="s">
        <v>842</v>
      </c>
      <c r="C4648" t="s">
        <v>1024</v>
      </c>
      <c r="D4648" t="s">
        <v>14012</v>
      </c>
      <c r="E4648" t="s">
        <v>15</v>
      </c>
      <c r="F4648" t="s">
        <v>14022</v>
      </c>
      <c r="G4648" t="s">
        <v>18118</v>
      </c>
      <c r="H4648" t="s">
        <v>1121</v>
      </c>
      <c r="I4648" t="s">
        <v>1117</v>
      </c>
      <c r="J4648" t="s">
        <v>14023</v>
      </c>
      <c r="K4648" t="s">
        <v>14024</v>
      </c>
      <c r="L4648" t="s">
        <v>21</v>
      </c>
      <c r="M4648" t="s">
        <v>19177</v>
      </c>
      <c r="N4648" t="s">
        <v>1024</v>
      </c>
      <c r="O4648" t="s">
        <v>1024</v>
      </c>
      <c r="P4648" t="s">
        <v>842</v>
      </c>
    </row>
    <row r="4649">
      <c r="A4649">
        <f>HYPERLINK("http://bombeiros.sp.gov.br/hidrantes/03individual/2352.html","2352")</f>
      </c>
      <c r="B4649" t="s">
        <v>842</v>
      </c>
      <c r="C4649" t="s">
        <v>1024</v>
      </c>
      <c r="D4649" t="s">
        <v>14012</v>
      </c>
      <c r="E4649" t="s">
        <v>15</v>
      </c>
      <c r="F4649" t="s">
        <v>14025</v>
      </c>
      <c r="G4649" t="s">
        <v>18107</v>
      </c>
      <c r="H4649" t="s">
        <v>1112</v>
      </c>
      <c r="I4649" t="s">
        <v>1108</v>
      </c>
      <c r="J4649" t="s">
        <v>14026</v>
      </c>
      <c r="K4649" t="s">
        <v>14027</v>
      </c>
      <c r="L4649" t="s">
        <v>21</v>
      </c>
      <c r="M4649" t="s">
        <v>19177</v>
      </c>
      <c r="N4649" t="s">
        <v>1024</v>
      </c>
      <c r="O4649" t="s">
        <v>1024</v>
      </c>
      <c r="P4649" t="s">
        <v>842</v>
      </c>
    </row>
    <row r="4650">
      <c r="A4650">
        <f>HYPERLINK("http://bombeiros.sp.gov.br/hidrantes/03individual/2371.html","2371")</f>
      </c>
      <c r="B4650" t="s">
        <v>842</v>
      </c>
      <c r="C4650" t="s">
        <v>1024</v>
      </c>
      <c r="D4650" t="s">
        <v>14012</v>
      </c>
      <c r="E4650" t="s">
        <v>15</v>
      </c>
      <c r="F4650" t="s">
        <v>14028</v>
      </c>
      <c r="G4650" t="s">
        <v>18118</v>
      </c>
      <c r="H4650" t="s">
        <v>1107</v>
      </c>
      <c r="I4650" t="s">
        <v>1108</v>
      </c>
      <c r="J4650" t="s">
        <v>17189</v>
      </c>
      <c r="K4650" t="s">
        <v>17190</v>
      </c>
      <c r="L4650" t="s">
        <v>21</v>
      </c>
      <c r="M4650" t="s">
        <v>19177</v>
      </c>
      <c r="N4650" t="s">
        <v>1024</v>
      </c>
      <c r="O4650" t="s">
        <v>1024</v>
      </c>
      <c r="P4650" t="s">
        <v>842</v>
      </c>
    </row>
    <row r="4651">
      <c r="A4651">
        <f>HYPERLINK("http://bombeiros.sp.gov.br/hidrantes/03individual/2373.html","2373")</f>
      </c>
      <c r="B4651" t="s">
        <v>842</v>
      </c>
      <c r="C4651" t="s">
        <v>1024</v>
      </c>
      <c r="D4651" t="s">
        <v>14012</v>
      </c>
      <c r="E4651" t="s">
        <v>15</v>
      </c>
      <c r="F4651" t="s">
        <v>14031</v>
      </c>
      <c r="G4651" t="s">
        <v>18118</v>
      </c>
      <c r="H4651" t="s">
        <v>1107</v>
      </c>
      <c r="I4651" t="s">
        <v>1108</v>
      </c>
      <c r="J4651" t="s">
        <v>14032</v>
      </c>
      <c r="K4651" t="s">
        <v>14033</v>
      </c>
      <c r="L4651" t="s">
        <v>21</v>
      </c>
      <c r="M4651" t="s">
        <v>19177</v>
      </c>
      <c r="N4651" t="s">
        <v>1024</v>
      </c>
      <c r="O4651" t="s">
        <v>1024</v>
      </c>
      <c r="P4651" t="s">
        <v>842</v>
      </c>
    </row>
    <row r="4652">
      <c r="A4652">
        <f>HYPERLINK("http://bombeiros.sp.gov.br/hidrantes/03individual/2386.html","2386")</f>
      </c>
      <c r="B4652" t="s">
        <v>842</v>
      </c>
      <c r="C4652" t="s">
        <v>1024</v>
      </c>
      <c r="D4652" t="s">
        <v>14012</v>
      </c>
      <c r="E4652" t="s">
        <v>15</v>
      </c>
      <c r="F4652" t="s">
        <v>14034</v>
      </c>
      <c r="G4652" t="s">
        <v>18118</v>
      </c>
      <c r="H4652" t="s">
        <v>1107</v>
      </c>
      <c r="I4652" t="s">
        <v>1108</v>
      </c>
      <c r="J4652" t="s">
        <v>14035</v>
      </c>
      <c r="K4652" t="s">
        <v>14036</v>
      </c>
      <c r="L4652" t="s">
        <v>21</v>
      </c>
      <c r="M4652" t="s">
        <v>19177</v>
      </c>
      <c r="N4652" t="s">
        <v>1024</v>
      </c>
      <c r="O4652" t="s">
        <v>1024</v>
      </c>
      <c r="P4652" t="s">
        <v>842</v>
      </c>
    </row>
    <row r="4653">
      <c r="A4653">
        <f>HYPERLINK("http://bombeiros.sp.gov.br/hidrantes/03individual/2396.html","2396")</f>
      </c>
      <c r="B4653" t="s">
        <v>842</v>
      </c>
      <c r="C4653" t="s">
        <v>1024</v>
      </c>
      <c r="D4653" t="s">
        <v>14012</v>
      </c>
      <c r="E4653" t="s">
        <v>15</v>
      </c>
      <c r="F4653" t="s">
        <v>14037</v>
      </c>
      <c r="G4653" t="s">
        <v>18118</v>
      </c>
      <c r="H4653" t="s">
        <v>1112</v>
      </c>
      <c r="I4653" t="s">
        <v>1108</v>
      </c>
      <c r="J4653" t="s">
        <v>14038</v>
      </c>
      <c r="K4653" t="s">
        <v>14039</v>
      </c>
      <c r="L4653" t="s">
        <v>21</v>
      </c>
      <c r="M4653" t="s">
        <v>19177</v>
      </c>
      <c r="N4653" t="s">
        <v>1024</v>
      </c>
      <c r="O4653" t="s">
        <v>1024</v>
      </c>
      <c r="P4653" t="s">
        <v>842</v>
      </c>
    </row>
    <row r="4654">
      <c r="A4654">
        <f>HYPERLINK("http://bombeiros.sp.gov.br/hidrantes/03individual/2398.html","2398")</f>
      </c>
      <c r="B4654" t="s">
        <v>842</v>
      </c>
      <c r="C4654" t="s">
        <v>1024</v>
      </c>
      <c r="D4654" t="s">
        <v>14012</v>
      </c>
      <c r="E4654" t="s">
        <v>15</v>
      </c>
      <c r="F4654" t="s">
        <v>14040</v>
      </c>
      <c r="G4654" t="s">
        <v>18118</v>
      </c>
      <c r="H4654" t="s">
        <v>1107</v>
      </c>
      <c r="I4654" t="s">
        <v>1108</v>
      </c>
      <c r="J4654" t="s">
        <v>14041</v>
      </c>
      <c r="K4654" t="s">
        <v>14042</v>
      </c>
      <c r="L4654" t="s">
        <v>21</v>
      </c>
      <c r="M4654" t="s">
        <v>19177</v>
      </c>
      <c r="N4654" t="s">
        <v>1024</v>
      </c>
      <c r="O4654" t="s">
        <v>1024</v>
      </c>
      <c r="P4654" t="s">
        <v>842</v>
      </c>
    </row>
    <row r="4655">
      <c r="A4655">
        <f>HYPERLINK("http://bombeiros.sp.gov.br/hidrantes/03individual/3844.html","3844")</f>
      </c>
      <c r="B4655" t="s">
        <v>842</v>
      </c>
      <c r="C4655" t="s">
        <v>1024</v>
      </c>
      <c r="D4655" t="s">
        <v>14012</v>
      </c>
      <c r="E4655" t="s">
        <v>15</v>
      </c>
      <c r="F4655" t="s">
        <v>14043</v>
      </c>
      <c r="G4655" t="s">
        <v>18107</v>
      </c>
      <c r="H4655" t="s">
        <v>1112</v>
      </c>
      <c r="I4655" t="s">
        <v>1108</v>
      </c>
      <c r="J4655" t="s">
        <v>14044</v>
      </c>
      <c r="K4655" t="s">
        <v>14045</v>
      </c>
      <c r="L4655" t="s">
        <v>21</v>
      </c>
      <c r="M4655" t="s">
        <v>19177</v>
      </c>
      <c r="N4655" t="s">
        <v>1024</v>
      </c>
      <c r="O4655" t="s">
        <v>1024</v>
      </c>
      <c r="P4655" t="s">
        <v>842</v>
      </c>
    </row>
    <row r="4656">
      <c r="A4656">
        <f>HYPERLINK("http://bombeiros.sp.gov.br/hidrantes/03individual/3846.html","3846")</f>
      </c>
      <c r="B4656" t="s">
        <v>842</v>
      </c>
      <c r="C4656" t="s">
        <v>1024</v>
      </c>
      <c r="D4656" t="s">
        <v>14012</v>
      </c>
      <c r="E4656" t="s">
        <v>15</v>
      </c>
      <c r="F4656" t="s">
        <v>14046</v>
      </c>
      <c r="G4656" t="s">
        <v>18107</v>
      </c>
      <c r="H4656" t="s">
        <v>1112</v>
      </c>
      <c r="I4656" t="s">
        <v>1108</v>
      </c>
      <c r="J4656" t="s">
        <v>14047</v>
      </c>
      <c r="K4656" t="s">
        <v>14048</v>
      </c>
      <c r="L4656" t="s">
        <v>21</v>
      </c>
      <c r="M4656" t="s">
        <v>19177</v>
      </c>
      <c r="N4656" t="s">
        <v>1024</v>
      </c>
      <c r="O4656" t="s">
        <v>1024</v>
      </c>
      <c r="P4656" t="s">
        <v>842</v>
      </c>
    </row>
    <row r="4657">
      <c r="A4657">
        <f>HYPERLINK("http://bombeiros.sp.gov.br/hidrantes/03individual/6728.html","6728")</f>
      </c>
      <c r="B4657" t="s">
        <v>842</v>
      </c>
      <c r="C4657" t="s">
        <v>1024</v>
      </c>
      <c r="D4657" t="s">
        <v>14012</v>
      </c>
      <c r="E4657" t="s">
        <v>15</v>
      </c>
      <c r="F4657" t="s">
        <v>14049</v>
      </c>
      <c r="G4657" t="s">
        <v>18131</v>
      </c>
      <c r="H4657" t="s">
        <v>1112</v>
      </c>
      <c r="I4657" t="s">
        <v>1108</v>
      </c>
      <c r="J4657" t="s">
        <v>14050</v>
      </c>
      <c r="K4657" t="s">
        <v>14051</v>
      </c>
      <c r="L4657" t="s">
        <v>21</v>
      </c>
      <c r="M4657" t="s">
        <v>19177</v>
      </c>
      <c r="N4657" t="s">
        <v>1024</v>
      </c>
      <c r="O4657" t="s">
        <v>1024</v>
      </c>
      <c r="P4657" t="s">
        <v>842</v>
      </c>
    </row>
    <row r="4658">
      <c r="A4658">
        <f>HYPERLINK("http://bombeiros.sp.gov.br/hidrantes/03individual/6732.html","6732")</f>
      </c>
      <c r="B4658" t="s">
        <v>842</v>
      </c>
      <c r="C4658" t="s">
        <v>1024</v>
      </c>
      <c r="D4658" t="s">
        <v>14012</v>
      </c>
      <c r="E4658" t="s">
        <v>15</v>
      </c>
      <c r="F4658" t="s">
        <v>14052</v>
      </c>
      <c r="G4658" t="s">
        <v>18105</v>
      </c>
      <c r="H4658" t="s">
        <v>1112</v>
      </c>
      <c r="I4658" t="s">
        <v>1108</v>
      </c>
      <c r="J4658" t="s">
        <v>14053</v>
      </c>
      <c r="K4658" t="s">
        <v>14054</v>
      </c>
      <c r="L4658" t="s">
        <v>21</v>
      </c>
      <c r="M4658" t="s">
        <v>19177</v>
      </c>
      <c r="N4658" t="s">
        <v>1024</v>
      </c>
      <c r="O4658" t="s">
        <v>1024</v>
      </c>
      <c r="P4658" t="s">
        <v>842</v>
      </c>
    </row>
    <row r="4659">
      <c r="A4659">
        <f>HYPERLINK("http://bombeiros.sp.gov.br/hidrantes/03individual/6735.html","6735")</f>
      </c>
      <c r="B4659" t="s">
        <v>842</v>
      </c>
      <c r="C4659" t="s">
        <v>1024</v>
      </c>
      <c r="D4659" t="s">
        <v>14012</v>
      </c>
      <c r="E4659" t="s">
        <v>15</v>
      </c>
      <c r="F4659" t="s">
        <v>14055</v>
      </c>
      <c r="G4659" t="s">
        <v>18105</v>
      </c>
      <c r="H4659" t="s">
        <v>1112</v>
      </c>
      <c r="I4659" t="s">
        <v>1108</v>
      </c>
      <c r="J4659" t="s">
        <v>14056</v>
      </c>
      <c r="K4659" t="s">
        <v>14057</v>
      </c>
      <c r="L4659" t="s">
        <v>21</v>
      </c>
      <c r="M4659" t="s">
        <v>19177</v>
      </c>
      <c r="N4659" t="s">
        <v>1024</v>
      </c>
      <c r="O4659" t="s">
        <v>1024</v>
      </c>
      <c r="P4659" t="s">
        <v>842</v>
      </c>
    </row>
    <row r="4660">
      <c r="A4660">
        <f>HYPERLINK("http://bombeiros.sp.gov.br/hidrantes/03individual/16612.html","16612")</f>
      </c>
      <c r="B4660" t="s">
        <v>842</v>
      </c>
      <c r="C4660" t="s">
        <v>1024</v>
      </c>
      <c r="D4660" t="s">
        <v>14012</v>
      </c>
      <c r="E4660" t="s">
        <v>15</v>
      </c>
      <c r="F4660" t="s">
        <v>14058</v>
      </c>
      <c r="G4660" t="s">
        <v>18107</v>
      </c>
      <c r="H4660" t="s">
        <v>1107</v>
      </c>
      <c r="I4660" t="s">
        <v>1108</v>
      </c>
      <c r="J4660" t="s">
        <v>14059</v>
      </c>
      <c r="K4660" t="s">
        <v>14060</v>
      </c>
      <c r="L4660" t="s">
        <v>21</v>
      </c>
      <c r="M4660" t="s">
        <v>19177</v>
      </c>
      <c r="N4660" t="s">
        <v>1024</v>
      </c>
      <c r="O4660" t="s">
        <v>1024</v>
      </c>
      <c r="P4660" t="s">
        <v>842</v>
      </c>
    </row>
    <row r="4661">
      <c r="A4661">
        <f>HYPERLINK("http://bombeiros.sp.gov.br/hidrantes/03individual/17850.html","17850")</f>
      </c>
      <c r="B4661" t="s">
        <v>842</v>
      </c>
      <c r="C4661" t="s">
        <v>1024</v>
      </c>
      <c r="D4661" t="s">
        <v>14012</v>
      </c>
      <c r="E4661" t="s">
        <v>15</v>
      </c>
      <c r="F4661" t="s">
        <v>14061</v>
      </c>
      <c r="G4661" t="s">
        <v>18105</v>
      </c>
      <c r="H4661" t="s">
        <v>1112</v>
      </c>
      <c r="I4661" t="s">
        <v>1108</v>
      </c>
      <c r="J4661" t="s">
        <v>14062</v>
      </c>
      <c r="K4661" t="s">
        <v>14063</v>
      </c>
      <c r="L4661" t="s">
        <v>21</v>
      </c>
      <c r="M4661" t="s">
        <v>19177</v>
      </c>
      <c r="N4661" t="s">
        <v>1024</v>
      </c>
      <c r="O4661" t="s">
        <v>1024</v>
      </c>
      <c r="P4661" t="s">
        <v>842</v>
      </c>
    </row>
    <row r="4662">
      <c r="A4662">
        <f>HYPERLINK("http://bombeiros.sp.gov.br/hidrantes/03individual/25205.html","25205")</f>
      </c>
      <c r="B4662" t="s">
        <v>842</v>
      </c>
      <c r="C4662" t="s">
        <v>1024</v>
      </c>
      <c r="D4662" t="s">
        <v>14012</v>
      </c>
      <c r="E4662" t="s">
        <v>15</v>
      </c>
      <c r="F4662" t="s">
        <v>14064</v>
      </c>
      <c r="G4662" t="s">
        <v>18147</v>
      </c>
      <c r="H4662" t="s">
        <v>1112</v>
      </c>
      <c r="I4662" t="s">
        <v>1108</v>
      </c>
      <c r="J4662" t="s">
        <v>14065</v>
      </c>
      <c r="K4662" t="s">
        <v>14066</v>
      </c>
      <c r="L4662" t="s">
        <v>21</v>
      </c>
      <c r="M4662" t="s">
        <v>19177</v>
      </c>
      <c r="N4662" t="s">
        <v>1024</v>
      </c>
      <c r="O4662" t="s">
        <v>1024</v>
      </c>
      <c r="P4662" t="s">
        <v>842</v>
      </c>
    </row>
    <row r="4663">
      <c r="A4663">
        <f>HYPERLINK("http://bombeiros.sp.gov.br/hidrantes/03individual/2361.html","2361")</f>
      </c>
      <c r="B4663" t="s">
        <v>842</v>
      </c>
      <c r="C4663" t="s">
        <v>1024</v>
      </c>
      <c r="D4663" t="s">
        <v>1025</v>
      </c>
      <c r="E4663" t="s">
        <v>64</v>
      </c>
      <c r="F4663" t="s">
        <v>14067</v>
      </c>
      <c r="G4663" t="s">
        <v>18200</v>
      </c>
      <c r="H4663" t="s">
        <v>1112</v>
      </c>
      <c r="I4663" t="s">
        <v>1108</v>
      </c>
      <c r="J4663" t="s">
        <v>14068</v>
      </c>
      <c r="K4663" t="s">
        <v>14069</v>
      </c>
      <c r="L4663" t="s">
        <v>36</v>
      </c>
      <c r="M4663" t="s">
        <v>19177</v>
      </c>
      <c r="N4663" t="s">
        <v>1024</v>
      </c>
      <c r="O4663" t="s">
        <v>1024</v>
      </c>
      <c r="P4663" t="s">
        <v>842</v>
      </c>
    </row>
    <row r="4664">
      <c r="A4664">
        <f>HYPERLINK("http://bombeiros.sp.gov.br/hidrantes/03individual/3863.html","3863")</f>
      </c>
      <c r="B4664" t="s">
        <v>842</v>
      </c>
      <c r="C4664" t="s">
        <v>1024</v>
      </c>
      <c r="D4664" t="s">
        <v>1025</v>
      </c>
      <c r="E4664" t="s">
        <v>64</v>
      </c>
      <c r="F4664" t="s">
        <v>14070</v>
      </c>
      <c r="G4664" t="s">
        <v>18209</v>
      </c>
      <c r="H4664" t="s">
        <v>1112</v>
      </c>
      <c r="I4664" t="s">
        <v>1108</v>
      </c>
      <c r="J4664" t="s">
        <v>14071</v>
      </c>
      <c r="K4664" t="s">
        <v>14072</v>
      </c>
      <c r="L4664" t="s">
        <v>36</v>
      </c>
      <c r="M4664" t="s">
        <v>19177</v>
      </c>
      <c r="N4664" t="s">
        <v>1024</v>
      </c>
      <c r="O4664" t="s">
        <v>1024</v>
      </c>
      <c r="P4664" t="s">
        <v>842</v>
      </c>
    </row>
    <row r="4665">
      <c r="A4665">
        <f>HYPERLINK("http://bombeiros.sp.gov.br/hidrantes/03individual/4014.html","4014")</f>
      </c>
      <c r="B4665" t="s">
        <v>842</v>
      </c>
      <c r="C4665" t="s">
        <v>1024</v>
      </c>
      <c r="D4665" t="s">
        <v>1025</v>
      </c>
      <c r="E4665" t="s">
        <v>64</v>
      </c>
      <c r="F4665" t="s">
        <v>14073</v>
      </c>
      <c r="G4665" t="s">
        <v>18150</v>
      </c>
      <c r="H4665" t="s">
        <v>1112</v>
      </c>
      <c r="I4665" t="s">
        <v>1108</v>
      </c>
      <c r="J4665" t="s">
        <v>14074</v>
      </c>
      <c r="K4665" t="s">
        <v>14075</v>
      </c>
      <c r="L4665" t="s">
        <v>21</v>
      </c>
      <c r="M4665" t="s">
        <v>19177</v>
      </c>
      <c r="N4665" t="s">
        <v>1024</v>
      </c>
      <c r="O4665" t="s">
        <v>1024</v>
      </c>
      <c r="P4665" t="s">
        <v>842</v>
      </c>
    </row>
    <row r="4666">
      <c r="A4666">
        <f>HYPERLINK("http://bombeiros.sp.gov.br/hidrantes/03individual/4388.html","4388")</f>
      </c>
      <c r="B4666" t="s">
        <v>842</v>
      </c>
      <c r="C4666" t="s">
        <v>1024</v>
      </c>
      <c r="D4666" t="s">
        <v>1025</v>
      </c>
      <c r="E4666" t="s">
        <v>64</v>
      </c>
      <c r="F4666" t="s">
        <v>14076</v>
      </c>
      <c r="G4666" t="s">
        <v>18189</v>
      </c>
      <c r="H4666" t="s">
        <v>1112</v>
      </c>
      <c r="I4666" t="s">
        <v>1108</v>
      </c>
      <c r="J4666" t="s">
        <v>14077</v>
      </c>
      <c r="K4666" t="s">
        <v>14078</v>
      </c>
      <c r="L4666" t="s">
        <v>36</v>
      </c>
      <c r="M4666" t="s">
        <v>19177</v>
      </c>
      <c r="N4666" t="s">
        <v>1024</v>
      </c>
      <c r="O4666" t="s">
        <v>1024</v>
      </c>
      <c r="P4666" t="s">
        <v>842</v>
      </c>
    </row>
    <row r="4667">
      <c r="A4667">
        <f>HYPERLINK("http://bombeiros.sp.gov.br/hidrantes/03individual/6703.html","6703")</f>
      </c>
      <c r="B4667" t="s">
        <v>842</v>
      </c>
      <c r="C4667" t="s">
        <v>1024</v>
      </c>
      <c r="D4667" t="s">
        <v>1025</v>
      </c>
      <c r="E4667" t="s">
        <v>64</v>
      </c>
      <c r="F4667" t="s">
        <v>14079</v>
      </c>
      <c r="G4667" t="s">
        <v>18062</v>
      </c>
      <c r="H4667" t="s">
        <v>1107</v>
      </c>
      <c r="I4667" t="s">
        <v>1108</v>
      </c>
      <c r="J4667" t="s">
        <v>14080</v>
      </c>
      <c r="K4667" t="s">
        <v>14081</v>
      </c>
      <c r="L4667" t="s">
        <v>21</v>
      </c>
      <c r="M4667" t="s">
        <v>19177</v>
      </c>
      <c r="N4667" t="s">
        <v>1024</v>
      </c>
      <c r="O4667" t="s">
        <v>1024</v>
      </c>
      <c r="P4667" t="s">
        <v>842</v>
      </c>
    </row>
    <row r="4668">
      <c r="A4668">
        <f>HYPERLINK("http://bombeiros.sp.gov.br/hidrantes/03individual/6704.html","6704")</f>
      </c>
      <c r="B4668" t="s">
        <v>842</v>
      </c>
      <c r="C4668" t="s">
        <v>1024</v>
      </c>
      <c r="D4668" t="s">
        <v>1025</v>
      </c>
      <c r="E4668" t="s">
        <v>64</v>
      </c>
      <c r="F4668" t="s">
        <v>14082</v>
      </c>
      <c r="G4668" t="s">
        <v>18062</v>
      </c>
      <c r="H4668" t="s">
        <v>1121</v>
      </c>
      <c r="I4668" t="s">
        <v>1117</v>
      </c>
      <c r="J4668" t="s">
        <v>14083</v>
      </c>
      <c r="K4668" t="s">
        <v>14084</v>
      </c>
      <c r="L4668" t="s">
        <v>21</v>
      </c>
      <c r="M4668" t="s">
        <v>19177</v>
      </c>
      <c r="N4668" t="s">
        <v>1024</v>
      </c>
      <c r="O4668" t="s">
        <v>1024</v>
      </c>
      <c r="P4668" t="s">
        <v>842</v>
      </c>
    </row>
    <row r="4669">
      <c r="A4669">
        <f>HYPERLINK("http://bombeiros.sp.gov.br/hidrantes/03individual/6705.html","6705")</f>
      </c>
      <c r="B4669" t="s">
        <v>842</v>
      </c>
      <c r="C4669" t="s">
        <v>1024</v>
      </c>
      <c r="D4669" t="s">
        <v>1025</v>
      </c>
      <c r="E4669" t="s">
        <v>64</v>
      </c>
      <c r="F4669" t="s">
        <v>14085</v>
      </c>
      <c r="G4669" t="s">
        <v>18062</v>
      </c>
      <c r="H4669" t="s">
        <v>1107</v>
      </c>
      <c r="I4669" t="s">
        <v>1108</v>
      </c>
      <c r="J4669" t="s">
        <v>14086</v>
      </c>
      <c r="K4669" t="s">
        <v>14087</v>
      </c>
      <c r="L4669" t="s">
        <v>21</v>
      </c>
      <c r="M4669" t="s">
        <v>19177</v>
      </c>
      <c r="N4669" t="s">
        <v>1024</v>
      </c>
      <c r="O4669" t="s">
        <v>1024</v>
      </c>
      <c r="P4669" t="s">
        <v>842</v>
      </c>
    </row>
    <row r="4670">
      <c r="A4670">
        <f>HYPERLINK("http://bombeiros.sp.gov.br/hidrantes/03individual/27104.html","27104")</f>
      </c>
      <c r="B4670" t="s">
        <v>842</v>
      </c>
      <c r="C4670" t="s">
        <v>1024</v>
      </c>
      <c r="D4670" t="s">
        <v>1025</v>
      </c>
      <c r="E4670" t="s">
        <v>64</v>
      </c>
      <c r="F4670" t="s">
        <v>16772</v>
      </c>
      <c r="G4670" t="s">
        <v>18118</v>
      </c>
      <c r="H4670" t="s">
        <v>1112</v>
      </c>
      <c r="I4670" t="s">
        <v>1108</v>
      </c>
      <c r="J4670" t="s">
        <v>16773</v>
      </c>
      <c r="K4670" t="s">
        <v>16774</v>
      </c>
      <c r="L4670" t="s">
        <v>21</v>
      </c>
      <c r="M4670" t="s">
        <v>19177</v>
      </c>
      <c r="N4670" t="s">
        <v>1024</v>
      </c>
      <c r="O4670" t="s">
        <v>1024</v>
      </c>
      <c r="P4670" t="s">
        <v>842</v>
      </c>
    </row>
    <row r="4671">
      <c r="A4671">
        <f>HYPERLINK("http://bombeiros.sp.gov.br/hidrantes/03individual/27120.html","27120")</f>
      </c>
      <c r="B4671" t="s">
        <v>842</v>
      </c>
      <c r="C4671" t="s">
        <v>1024</v>
      </c>
      <c r="D4671" t="s">
        <v>1025</v>
      </c>
      <c r="E4671" t="s">
        <v>64</v>
      </c>
      <c r="F4671" t="s">
        <v>16793</v>
      </c>
      <c r="G4671" t="s">
        <v>18099</v>
      </c>
      <c r="H4671" t="s">
        <v>1112</v>
      </c>
      <c r="I4671" t="s">
        <v>1108</v>
      </c>
      <c r="J4671" t="s">
        <v>16794</v>
      </c>
      <c r="K4671" t="s">
        <v>16795</v>
      </c>
      <c r="L4671" t="s">
        <v>21</v>
      </c>
      <c r="M4671" t="s">
        <v>19177</v>
      </c>
      <c r="N4671" t="s">
        <v>1024</v>
      </c>
      <c r="O4671" t="s">
        <v>1024</v>
      </c>
      <c r="P4671" t="s">
        <v>842</v>
      </c>
    </row>
    <row r="4672">
      <c r="A4672">
        <f>HYPERLINK("http://bombeiros.sp.gov.br/hidrantes/03individual/28017.html","28017")</f>
      </c>
      <c r="B4672" t="s">
        <v>842</v>
      </c>
      <c r="C4672" t="s">
        <v>1024</v>
      </c>
      <c r="D4672" t="s">
        <v>1025</v>
      </c>
      <c r="E4672" t="s">
        <v>64</v>
      </c>
      <c r="F4672" t="s">
        <v>18391</v>
      </c>
      <c r="G4672" t="s">
        <v>18062</v>
      </c>
      <c r="H4672" t="s">
        <v>1112</v>
      </c>
      <c r="I4672" t="s">
        <v>1108</v>
      </c>
      <c r="J4672" t="s">
        <v>18392</v>
      </c>
      <c r="K4672" t="s">
        <v>18393</v>
      </c>
      <c r="L4672" t="s">
        <v>21</v>
      </c>
      <c r="M4672" t="s">
        <v>19177</v>
      </c>
      <c r="N4672" t="s">
        <v>1024</v>
      </c>
      <c r="O4672" t="s">
        <v>1024</v>
      </c>
      <c r="P4672" t="s">
        <v>842</v>
      </c>
    </row>
    <row r="4673">
      <c r="A4673">
        <f>HYPERLINK("http://bombeiros.sp.gov.br/hidrantes/03individual/28589.html","28589")</f>
      </c>
      <c r="B4673" t="s">
        <v>842</v>
      </c>
      <c r="C4673" t="s">
        <v>1024</v>
      </c>
      <c r="D4673" t="s">
        <v>1025</v>
      </c>
      <c r="E4673" t="s">
        <v>64</v>
      </c>
      <c r="F4673" t="s">
        <v>19046</v>
      </c>
      <c r="G4673"/>
      <c r="H4673"/>
      <c r="I4673" t="s">
        <v>1503</v>
      </c>
      <c r="J4673" t="s">
        <v>19047</v>
      </c>
      <c r="K4673" t="s">
        <v>19048</v>
      </c>
      <c r="L4673" t="s">
        <v>21</v>
      </c>
      <c r="M4673" t="s">
        <v>19177</v>
      </c>
      <c r="N4673" t="s">
        <v>1024</v>
      </c>
      <c r="O4673" t="s">
        <v>1024</v>
      </c>
      <c r="P4673" t="s">
        <v>842</v>
      </c>
    </row>
    <row r="4674">
      <c r="A4674">
        <f>HYPERLINK("http://bombeiros.sp.gov.br/hidrantes/03individual/2356.html","2356")</f>
      </c>
      <c r="B4674" t="s">
        <v>842</v>
      </c>
      <c r="C4674" t="s">
        <v>1024</v>
      </c>
      <c r="D4674" t="s">
        <v>1025</v>
      </c>
      <c r="E4674" t="s">
        <v>15</v>
      </c>
      <c r="F4674" t="s">
        <v>14088</v>
      </c>
      <c r="G4674" t="s">
        <v>18209</v>
      </c>
      <c r="H4674" t="s">
        <v>1112</v>
      </c>
      <c r="I4674" t="s">
        <v>1108</v>
      </c>
      <c r="J4674" t="s">
        <v>14089</v>
      </c>
      <c r="K4674" t="s">
        <v>14090</v>
      </c>
      <c r="L4674" t="s">
        <v>21</v>
      </c>
      <c r="M4674" t="s">
        <v>19177</v>
      </c>
      <c r="N4674" t="s">
        <v>1024</v>
      </c>
      <c r="O4674" t="s">
        <v>1024</v>
      </c>
      <c r="P4674" t="s">
        <v>842</v>
      </c>
    </row>
    <row r="4675">
      <c r="A4675">
        <f>HYPERLINK("http://bombeiros.sp.gov.br/hidrantes/03individual/3853.html","3853")</f>
      </c>
      <c r="B4675" t="s">
        <v>842</v>
      </c>
      <c r="C4675" t="s">
        <v>1024</v>
      </c>
      <c r="D4675" t="s">
        <v>1025</v>
      </c>
      <c r="E4675" t="s">
        <v>15</v>
      </c>
      <c r="F4675" t="s">
        <v>14091</v>
      </c>
      <c r="G4675" t="s">
        <v>18178</v>
      </c>
      <c r="H4675" t="s">
        <v>1112</v>
      </c>
      <c r="I4675" t="s">
        <v>1108</v>
      </c>
      <c r="J4675" t="s">
        <v>14092</v>
      </c>
      <c r="K4675" t="s">
        <v>14093</v>
      </c>
      <c r="L4675" t="s">
        <v>21</v>
      </c>
      <c r="M4675" t="s">
        <v>19177</v>
      </c>
      <c r="N4675" t="s">
        <v>1024</v>
      </c>
      <c r="O4675" t="s">
        <v>1024</v>
      </c>
      <c r="P4675" t="s">
        <v>842</v>
      </c>
    </row>
    <row r="4676">
      <c r="A4676">
        <f>HYPERLINK("http://bombeiros.sp.gov.br/hidrantes/03individual/3897.html","3897")</f>
      </c>
      <c r="B4676" t="s">
        <v>842</v>
      </c>
      <c r="C4676" t="s">
        <v>1024</v>
      </c>
      <c r="D4676" t="s">
        <v>1025</v>
      </c>
      <c r="E4676" t="s">
        <v>15</v>
      </c>
      <c r="F4676" t="s">
        <v>14094</v>
      </c>
      <c r="G4676" t="s">
        <v>18209</v>
      </c>
      <c r="H4676" t="s">
        <v>1112</v>
      </c>
      <c r="I4676" t="s">
        <v>1108</v>
      </c>
      <c r="J4676" t="s">
        <v>14095</v>
      </c>
      <c r="K4676" t="s">
        <v>14096</v>
      </c>
      <c r="L4676" t="s">
        <v>36</v>
      </c>
      <c r="M4676" t="s">
        <v>19177</v>
      </c>
      <c r="N4676" t="s">
        <v>1024</v>
      </c>
      <c r="O4676" t="s">
        <v>1024</v>
      </c>
      <c r="P4676" t="s">
        <v>842</v>
      </c>
    </row>
    <row r="4677">
      <c r="A4677">
        <f>HYPERLINK("http://bombeiros.sp.gov.br/hidrantes/03individual/3903.html","3903")</f>
      </c>
      <c r="B4677" t="s">
        <v>842</v>
      </c>
      <c r="C4677" t="s">
        <v>1024</v>
      </c>
      <c r="D4677" t="s">
        <v>1025</v>
      </c>
      <c r="E4677" t="s">
        <v>15</v>
      </c>
      <c r="F4677" t="s">
        <v>1026</v>
      </c>
      <c r="G4677" t="s">
        <v>18062</v>
      </c>
      <c r="H4677" t="s">
        <v>1107</v>
      </c>
      <c r="I4677" t="s">
        <v>1108</v>
      </c>
      <c r="J4677" t="s">
        <v>1027</v>
      </c>
      <c r="K4677" t="s">
        <v>1028</v>
      </c>
      <c r="L4677" t="s">
        <v>21</v>
      </c>
      <c r="M4677" t="s">
        <v>19177</v>
      </c>
      <c r="N4677" t="s">
        <v>1024</v>
      </c>
      <c r="O4677" t="s">
        <v>1024</v>
      </c>
      <c r="P4677" t="s">
        <v>842</v>
      </c>
    </row>
    <row r="4678">
      <c r="A4678">
        <f>HYPERLINK("http://bombeiros.sp.gov.br/hidrantes/03individual/4036.html","4036")</f>
      </c>
      <c r="B4678" t="s">
        <v>842</v>
      </c>
      <c r="C4678" t="s">
        <v>1024</v>
      </c>
      <c r="D4678" t="s">
        <v>1025</v>
      </c>
      <c r="E4678" t="s">
        <v>15</v>
      </c>
      <c r="F4678" t="s">
        <v>14097</v>
      </c>
      <c r="G4678" t="s">
        <v>18062</v>
      </c>
      <c r="H4678" t="s">
        <v>1112</v>
      </c>
      <c r="I4678" t="s">
        <v>1108</v>
      </c>
      <c r="J4678" t="s">
        <v>14098</v>
      </c>
      <c r="K4678" t="s">
        <v>14099</v>
      </c>
      <c r="L4678" t="s">
        <v>21</v>
      </c>
      <c r="M4678" t="s">
        <v>19177</v>
      </c>
      <c r="N4678" t="s">
        <v>1024</v>
      </c>
      <c r="O4678" t="s">
        <v>1024</v>
      </c>
      <c r="P4678" t="s">
        <v>842</v>
      </c>
    </row>
    <row r="4679">
      <c r="A4679">
        <f>HYPERLINK("http://bombeiros.sp.gov.br/hidrantes/03individual/4037.html","4037")</f>
      </c>
      <c r="B4679" t="s">
        <v>842</v>
      </c>
      <c r="C4679" t="s">
        <v>1024</v>
      </c>
      <c r="D4679" t="s">
        <v>1025</v>
      </c>
      <c r="E4679" t="s">
        <v>15</v>
      </c>
      <c r="F4679" t="s">
        <v>14100</v>
      </c>
      <c r="G4679" t="s">
        <v>18189</v>
      </c>
      <c r="H4679" t="s">
        <v>1112</v>
      </c>
      <c r="I4679" t="s">
        <v>1108</v>
      </c>
      <c r="J4679" t="s">
        <v>14101</v>
      </c>
      <c r="K4679" t="s">
        <v>14102</v>
      </c>
      <c r="L4679" t="s">
        <v>21</v>
      </c>
      <c r="M4679" t="s">
        <v>19177</v>
      </c>
      <c r="N4679" t="s">
        <v>1024</v>
      </c>
      <c r="O4679" t="s">
        <v>1024</v>
      </c>
      <c r="P4679" t="s">
        <v>842</v>
      </c>
    </row>
    <row r="4680">
      <c r="A4680">
        <f>HYPERLINK("http://bombeiros.sp.gov.br/hidrantes/03individual/4049.html","4049")</f>
      </c>
      <c r="B4680" t="s">
        <v>842</v>
      </c>
      <c r="C4680" t="s">
        <v>1024</v>
      </c>
      <c r="D4680" t="s">
        <v>1025</v>
      </c>
      <c r="E4680" t="s">
        <v>15</v>
      </c>
      <c r="F4680" t="s">
        <v>14103</v>
      </c>
      <c r="G4680" t="s">
        <v>18394</v>
      </c>
      <c r="H4680" t="s">
        <v>1112</v>
      </c>
      <c r="I4680" t="s">
        <v>1108</v>
      </c>
      <c r="J4680" t="s">
        <v>14104</v>
      </c>
      <c r="K4680" t="s">
        <v>14105</v>
      </c>
      <c r="L4680" t="s">
        <v>21</v>
      </c>
      <c r="M4680" t="s">
        <v>19177</v>
      </c>
      <c r="N4680" t="s">
        <v>1024</v>
      </c>
      <c r="O4680" t="s">
        <v>1024</v>
      </c>
      <c r="P4680" t="s">
        <v>842</v>
      </c>
    </row>
    <row r="4681">
      <c r="A4681">
        <f>HYPERLINK("http://bombeiros.sp.gov.br/hidrantes/03individual/4050.html","4050")</f>
      </c>
      <c r="B4681" t="s">
        <v>842</v>
      </c>
      <c r="C4681" t="s">
        <v>1024</v>
      </c>
      <c r="D4681" t="s">
        <v>1025</v>
      </c>
      <c r="E4681" t="s">
        <v>15</v>
      </c>
      <c r="F4681" t="s">
        <v>14106</v>
      </c>
      <c r="G4681" t="s">
        <v>18089</v>
      </c>
      <c r="H4681" t="s">
        <v>1112</v>
      </c>
      <c r="I4681" t="s">
        <v>1108</v>
      </c>
      <c r="J4681" t="s">
        <v>17185</v>
      </c>
      <c r="K4681" t="s">
        <v>17186</v>
      </c>
      <c r="L4681" t="s">
        <v>21</v>
      </c>
      <c r="M4681" t="s">
        <v>19177</v>
      </c>
      <c r="N4681" t="s">
        <v>1024</v>
      </c>
      <c r="O4681" t="s">
        <v>1024</v>
      </c>
      <c r="P4681" t="s">
        <v>842</v>
      </c>
    </row>
    <row r="4682">
      <c r="A4682">
        <f>HYPERLINK("http://bombeiros.sp.gov.br/hidrantes/03individual/4051.html","4051")</f>
      </c>
      <c r="B4682" t="s">
        <v>842</v>
      </c>
      <c r="C4682" t="s">
        <v>1024</v>
      </c>
      <c r="D4682" t="s">
        <v>1025</v>
      </c>
      <c r="E4682" t="s">
        <v>15</v>
      </c>
      <c r="F4682" t="s">
        <v>14109</v>
      </c>
      <c r="G4682" t="s">
        <v>18150</v>
      </c>
      <c r="H4682" t="s">
        <v>1112</v>
      </c>
      <c r="I4682" t="s">
        <v>1108</v>
      </c>
      <c r="J4682" t="s">
        <v>14110</v>
      </c>
      <c r="K4682" t="s">
        <v>14111</v>
      </c>
      <c r="L4682" t="s">
        <v>36</v>
      </c>
      <c r="M4682" t="s">
        <v>19177</v>
      </c>
      <c r="N4682" t="s">
        <v>1024</v>
      </c>
      <c r="O4682" t="s">
        <v>1024</v>
      </c>
      <c r="P4682" t="s">
        <v>842</v>
      </c>
    </row>
    <row r="4683">
      <c r="A4683">
        <f>HYPERLINK("http://bombeiros.sp.gov.br/hidrantes/03individual/4059.html","4059")</f>
      </c>
      <c r="B4683" t="s">
        <v>842</v>
      </c>
      <c r="C4683" t="s">
        <v>1024</v>
      </c>
      <c r="D4683" t="s">
        <v>1025</v>
      </c>
      <c r="E4683" t="s">
        <v>15</v>
      </c>
      <c r="F4683" t="s">
        <v>14112</v>
      </c>
      <c r="G4683" t="s">
        <v>18099</v>
      </c>
      <c r="H4683" t="s">
        <v>1112</v>
      </c>
      <c r="I4683" t="s">
        <v>1108</v>
      </c>
      <c r="J4683" t="s">
        <v>14113</v>
      </c>
      <c r="K4683" t="s">
        <v>14114</v>
      </c>
      <c r="L4683" t="s">
        <v>21</v>
      </c>
      <c r="M4683" t="s">
        <v>19177</v>
      </c>
      <c r="N4683" t="s">
        <v>1024</v>
      </c>
      <c r="O4683" t="s">
        <v>1024</v>
      </c>
      <c r="P4683" t="s">
        <v>842</v>
      </c>
    </row>
    <row r="4684">
      <c r="A4684">
        <f>HYPERLINK("http://bombeiros.sp.gov.br/hidrantes/03individual/4374.html","4374")</f>
      </c>
      <c r="B4684" t="s">
        <v>842</v>
      </c>
      <c r="C4684" t="s">
        <v>1024</v>
      </c>
      <c r="D4684" t="s">
        <v>1025</v>
      </c>
      <c r="E4684" t="s">
        <v>15</v>
      </c>
      <c r="F4684" t="s">
        <v>14118</v>
      </c>
      <c r="G4684" t="s">
        <v>18150</v>
      </c>
      <c r="H4684" t="s">
        <v>1107</v>
      </c>
      <c r="I4684" t="s">
        <v>1108</v>
      </c>
      <c r="J4684" t="s">
        <v>14119</v>
      </c>
      <c r="K4684" t="s">
        <v>14120</v>
      </c>
      <c r="L4684" t="s">
        <v>21</v>
      </c>
      <c r="M4684" t="s">
        <v>19177</v>
      </c>
      <c r="N4684" t="s">
        <v>1024</v>
      </c>
      <c r="O4684" t="s">
        <v>1024</v>
      </c>
      <c r="P4684" t="s">
        <v>842</v>
      </c>
    </row>
    <row r="4685">
      <c r="A4685">
        <f>HYPERLINK("http://bombeiros.sp.gov.br/hidrantes/03individual/4391.html","4391")</f>
      </c>
      <c r="B4685" t="s">
        <v>842</v>
      </c>
      <c r="C4685" t="s">
        <v>1024</v>
      </c>
      <c r="D4685" t="s">
        <v>1025</v>
      </c>
      <c r="E4685" t="s">
        <v>15</v>
      </c>
      <c r="F4685" t="s">
        <v>14121</v>
      </c>
      <c r="G4685" t="s">
        <v>18183</v>
      </c>
      <c r="H4685" t="s">
        <v>1107</v>
      </c>
      <c r="I4685" t="s">
        <v>1108</v>
      </c>
      <c r="J4685" t="s">
        <v>14122</v>
      </c>
      <c r="K4685" t="s">
        <v>14123</v>
      </c>
      <c r="L4685" t="s">
        <v>21</v>
      </c>
      <c r="M4685" t="s">
        <v>19177</v>
      </c>
      <c r="N4685" t="s">
        <v>1024</v>
      </c>
      <c r="O4685" t="s">
        <v>1024</v>
      </c>
      <c r="P4685" t="s">
        <v>842</v>
      </c>
    </row>
    <row r="4686">
      <c r="A4686">
        <f>HYPERLINK("http://bombeiros.sp.gov.br/hidrantes/03individual/4394.html","4394")</f>
      </c>
      <c r="B4686" t="s">
        <v>842</v>
      </c>
      <c r="C4686" t="s">
        <v>1024</v>
      </c>
      <c r="D4686" t="s">
        <v>1025</v>
      </c>
      <c r="E4686" t="s">
        <v>15</v>
      </c>
      <c r="F4686" t="s">
        <v>14124</v>
      </c>
      <c r="G4686" t="s">
        <v>18150</v>
      </c>
      <c r="H4686" t="s">
        <v>1112</v>
      </c>
      <c r="I4686" t="s">
        <v>1108</v>
      </c>
      <c r="J4686" t="s">
        <v>14125</v>
      </c>
      <c r="K4686" t="s">
        <v>14126</v>
      </c>
      <c r="L4686" t="s">
        <v>36</v>
      </c>
      <c r="M4686" t="s">
        <v>19177</v>
      </c>
      <c r="N4686" t="s">
        <v>1024</v>
      </c>
      <c r="O4686" t="s">
        <v>1024</v>
      </c>
      <c r="P4686" t="s">
        <v>842</v>
      </c>
    </row>
    <row r="4687">
      <c r="A4687">
        <f>HYPERLINK("http://bombeiros.sp.gov.br/hidrantes/03individual/4428.html","4428")</f>
      </c>
      <c r="B4687" t="s">
        <v>842</v>
      </c>
      <c r="C4687" t="s">
        <v>1024</v>
      </c>
      <c r="D4687" t="s">
        <v>1025</v>
      </c>
      <c r="E4687" t="s">
        <v>15</v>
      </c>
      <c r="F4687" t="s">
        <v>1033</v>
      </c>
      <c r="G4687" t="s">
        <v>18150</v>
      </c>
      <c r="H4687" t="s">
        <v>1112</v>
      </c>
      <c r="I4687" t="s">
        <v>1108</v>
      </c>
      <c r="J4687" t="s">
        <v>1035</v>
      </c>
      <c r="K4687" t="s">
        <v>1036</v>
      </c>
      <c r="L4687" t="s">
        <v>21</v>
      </c>
      <c r="M4687" t="s">
        <v>19177</v>
      </c>
      <c r="N4687" t="s">
        <v>1024</v>
      </c>
      <c r="O4687" t="s">
        <v>1024</v>
      </c>
      <c r="P4687" t="s">
        <v>842</v>
      </c>
    </row>
    <row r="4688">
      <c r="A4688">
        <f>HYPERLINK("http://bombeiros.sp.gov.br/hidrantes/03individual/6702.html","6702")</f>
      </c>
      <c r="B4688" t="s">
        <v>842</v>
      </c>
      <c r="C4688" t="s">
        <v>1024</v>
      </c>
      <c r="D4688" t="s">
        <v>1025</v>
      </c>
      <c r="E4688" t="s">
        <v>15</v>
      </c>
      <c r="F4688" t="s">
        <v>14127</v>
      </c>
      <c r="G4688" t="s">
        <v>18159</v>
      </c>
      <c r="H4688" t="s">
        <v>1107</v>
      </c>
      <c r="I4688" t="s">
        <v>1108</v>
      </c>
      <c r="J4688" t="s">
        <v>14128</v>
      </c>
      <c r="K4688" t="s">
        <v>14129</v>
      </c>
      <c r="L4688" t="s">
        <v>21</v>
      </c>
      <c r="M4688" t="s">
        <v>19177</v>
      </c>
      <c r="N4688" t="s">
        <v>1024</v>
      </c>
      <c r="O4688" t="s">
        <v>1024</v>
      </c>
      <c r="P4688" t="s">
        <v>842</v>
      </c>
    </row>
    <row r="4689">
      <c r="A4689">
        <f>HYPERLINK("http://bombeiros.sp.gov.br/hidrantes/03individual/6706.html","6706")</f>
      </c>
      <c r="B4689" t="s">
        <v>842</v>
      </c>
      <c r="C4689" t="s">
        <v>1024</v>
      </c>
      <c r="D4689" t="s">
        <v>1025</v>
      </c>
      <c r="E4689" t="s">
        <v>15</v>
      </c>
      <c r="F4689" t="s">
        <v>14130</v>
      </c>
      <c r="G4689" t="s">
        <v>18062</v>
      </c>
      <c r="H4689" t="s">
        <v>1107</v>
      </c>
      <c r="I4689" t="s">
        <v>1117</v>
      </c>
      <c r="J4689" t="s">
        <v>14131</v>
      </c>
      <c r="K4689" t="s">
        <v>14132</v>
      </c>
      <c r="L4689" t="s">
        <v>21</v>
      </c>
      <c r="M4689" t="s">
        <v>19177</v>
      </c>
      <c r="N4689" t="s">
        <v>1024</v>
      </c>
      <c r="O4689" t="s">
        <v>1024</v>
      </c>
      <c r="P4689" t="s">
        <v>842</v>
      </c>
    </row>
    <row r="4690">
      <c r="A4690">
        <f>HYPERLINK("http://bombeiros.sp.gov.br/hidrantes/03individual/6723.html","6723")</f>
      </c>
      <c r="B4690" t="s">
        <v>842</v>
      </c>
      <c r="C4690" t="s">
        <v>1024</v>
      </c>
      <c r="D4690" t="s">
        <v>1025</v>
      </c>
      <c r="E4690" t="s">
        <v>15</v>
      </c>
      <c r="F4690" t="s">
        <v>14136</v>
      </c>
      <c r="G4690" t="s">
        <v>18089</v>
      </c>
      <c r="H4690" t="s">
        <v>1107</v>
      </c>
      <c r="I4690" t="s">
        <v>1108</v>
      </c>
      <c r="J4690" t="s">
        <v>14137</v>
      </c>
      <c r="K4690" t="s">
        <v>14138</v>
      </c>
      <c r="L4690" t="s">
        <v>21</v>
      </c>
      <c r="M4690" t="s">
        <v>19177</v>
      </c>
      <c r="N4690" t="s">
        <v>1024</v>
      </c>
      <c r="O4690" t="s">
        <v>1024</v>
      </c>
      <c r="P4690" t="s">
        <v>842</v>
      </c>
    </row>
    <row r="4691">
      <c r="A4691">
        <f>HYPERLINK("http://bombeiros.sp.gov.br/hidrantes/03individual/6724.html","6724")</f>
      </c>
      <c r="B4691" t="s">
        <v>842</v>
      </c>
      <c r="C4691" t="s">
        <v>1024</v>
      </c>
      <c r="D4691" t="s">
        <v>1025</v>
      </c>
      <c r="E4691" t="s">
        <v>15</v>
      </c>
      <c r="F4691" t="s">
        <v>14139</v>
      </c>
      <c r="G4691" t="s">
        <v>18089</v>
      </c>
      <c r="H4691" t="s">
        <v>1107</v>
      </c>
      <c r="I4691" t="s">
        <v>1108</v>
      </c>
      <c r="J4691" t="s">
        <v>14140</v>
      </c>
      <c r="K4691" t="s">
        <v>14141</v>
      </c>
      <c r="L4691" t="s">
        <v>21</v>
      </c>
      <c r="M4691" t="s">
        <v>19177</v>
      </c>
      <c r="N4691" t="s">
        <v>1024</v>
      </c>
      <c r="O4691" t="s">
        <v>1024</v>
      </c>
      <c r="P4691" t="s">
        <v>842</v>
      </c>
    </row>
    <row r="4692">
      <c r="A4692">
        <f>HYPERLINK("http://bombeiros.sp.gov.br/hidrantes/03individual/6725.html","6725")</f>
      </c>
      <c r="B4692" t="s">
        <v>842</v>
      </c>
      <c r="C4692" t="s">
        <v>1024</v>
      </c>
      <c r="D4692" t="s">
        <v>1025</v>
      </c>
      <c r="E4692" t="s">
        <v>15</v>
      </c>
      <c r="F4692" t="s">
        <v>14142</v>
      </c>
      <c r="G4692" t="s">
        <v>17615</v>
      </c>
      <c r="H4692" t="s">
        <v>1107</v>
      </c>
      <c r="I4692" t="s">
        <v>1117</v>
      </c>
      <c r="J4692" t="s">
        <v>14143</v>
      </c>
      <c r="K4692" t="s">
        <v>14144</v>
      </c>
      <c r="L4692" t="s">
        <v>21</v>
      </c>
      <c r="M4692" t="s">
        <v>19177</v>
      </c>
      <c r="N4692" t="s">
        <v>1024</v>
      </c>
      <c r="O4692" t="s">
        <v>1024</v>
      </c>
      <c r="P4692" t="s">
        <v>842</v>
      </c>
    </row>
    <row r="4693">
      <c r="A4693">
        <f>HYPERLINK("http://bombeiros.sp.gov.br/hidrantes/03individual/16535.html","16535")</f>
      </c>
      <c r="B4693" t="s">
        <v>842</v>
      </c>
      <c r="C4693" t="s">
        <v>1024</v>
      </c>
      <c r="D4693" t="s">
        <v>1025</v>
      </c>
      <c r="E4693" t="s">
        <v>15</v>
      </c>
      <c r="F4693" t="s">
        <v>14145</v>
      </c>
      <c r="G4693" t="s">
        <v>18152</v>
      </c>
      <c r="H4693" t="s">
        <v>1112</v>
      </c>
      <c r="I4693" t="s">
        <v>1108</v>
      </c>
      <c r="J4693" t="s">
        <v>14146</v>
      </c>
      <c r="K4693" t="s">
        <v>14147</v>
      </c>
      <c r="L4693" t="s">
        <v>21</v>
      </c>
      <c r="M4693" t="s">
        <v>19177</v>
      </c>
      <c r="N4693" t="s">
        <v>1024</v>
      </c>
      <c r="O4693" t="s">
        <v>1024</v>
      </c>
      <c r="P4693" t="s">
        <v>842</v>
      </c>
    </row>
    <row r="4694">
      <c r="A4694">
        <f>HYPERLINK("http://bombeiros.sp.gov.br/hidrantes/03individual/16609.html","16609")</f>
      </c>
      <c r="B4694" t="s">
        <v>842</v>
      </c>
      <c r="C4694" t="s">
        <v>1024</v>
      </c>
      <c r="D4694" t="s">
        <v>1025</v>
      </c>
      <c r="E4694" t="s">
        <v>15</v>
      </c>
      <c r="F4694" t="s">
        <v>1043</v>
      </c>
      <c r="G4694" t="s">
        <v>18150</v>
      </c>
      <c r="H4694" t="s">
        <v>1112</v>
      </c>
      <c r="I4694" t="s">
        <v>1108</v>
      </c>
      <c r="J4694" t="s">
        <v>1044</v>
      </c>
      <c r="K4694" t="s">
        <v>1045</v>
      </c>
      <c r="L4694" t="s">
        <v>21</v>
      </c>
      <c r="M4694" t="s">
        <v>19177</v>
      </c>
      <c r="N4694" t="s">
        <v>1024</v>
      </c>
      <c r="O4694" t="s">
        <v>1024</v>
      </c>
      <c r="P4694" t="s">
        <v>842</v>
      </c>
    </row>
    <row r="4695">
      <c r="A4695">
        <f>HYPERLINK("http://bombeiros.sp.gov.br/hidrantes/03individual/16610.html","16610")</f>
      </c>
      <c r="B4695" t="s">
        <v>842</v>
      </c>
      <c r="C4695" t="s">
        <v>1024</v>
      </c>
      <c r="D4695" t="s">
        <v>1025</v>
      </c>
      <c r="E4695" t="s">
        <v>15</v>
      </c>
      <c r="F4695" t="s">
        <v>14148</v>
      </c>
      <c r="G4695" t="s">
        <v>18093</v>
      </c>
      <c r="H4695" t="s">
        <v>1112</v>
      </c>
      <c r="I4695" t="s">
        <v>1108</v>
      </c>
      <c r="J4695" t="s">
        <v>14149</v>
      </c>
      <c r="K4695" t="s">
        <v>14150</v>
      </c>
      <c r="L4695" t="s">
        <v>21</v>
      </c>
      <c r="M4695" t="s">
        <v>19177</v>
      </c>
      <c r="N4695" t="s">
        <v>1024</v>
      </c>
      <c r="O4695" t="s">
        <v>1024</v>
      </c>
      <c r="P4695" t="s">
        <v>842</v>
      </c>
    </row>
    <row r="4696">
      <c r="A4696">
        <f>HYPERLINK("http://bombeiros.sp.gov.br/hidrantes/03individual/16611.html","16611")</f>
      </c>
      <c r="B4696" t="s">
        <v>842</v>
      </c>
      <c r="C4696" t="s">
        <v>1024</v>
      </c>
      <c r="D4696" t="s">
        <v>1025</v>
      </c>
      <c r="E4696" t="s">
        <v>15</v>
      </c>
      <c r="F4696" t="s">
        <v>14151</v>
      </c>
      <c r="G4696" t="s">
        <v>18089</v>
      </c>
      <c r="H4696" t="s">
        <v>1107</v>
      </c>
      <c r="I4696" t="s">
        <v>1108</v>
      </c>
      <c r="J4696" t="s">
        <v>14152</v>
      </c>
      <c r="K4696" t="s">
        <v>14153</v>
      </c>
      <c r="L4696" t="s">
        <v>21</v>
      </c>
      <c r="M4696" t="s">
        <v>19177</v>
      </c>
      <c r="N4696" t="s">
        <v>1024</v>
      </c>
      <c r="O4696" t="s">
        <v>1024</v>
      </c>
      <c r="P4696" t="s">
        <v>842</v>
      </c>
    </row>
    <row r="4697">
      <c r="A4697">
        <f>HYPERLINK("http://bombeiros.sp.gov.br/hidrantes/03individual/17712.html","17712")</f>
      </c>
      <c r="B4697" t="s">
        <v>842</v>
      </c>
      <c r="C4697" t="s">
        <v>1024</v>
      </c>
      <c r="D4697" t="s">
        <v>1025</v>
      </c>
      <c r="E4697" t="s">
        <v>15</v>
      </c>
      <c r="F4697" t="s">
        <v>14154</v>
      </c>
      <c r="G4697" t="s">
        <v>18072</v>
      </c>
      <c r="H4697" t="s">
        <v>1174</v>
      </c>
      <c r="I4697" t="s">
        <v>1108</v>
      </c>
      <c r="J4697" t="s">
        <v>15984</v>
      </c>
      <c r="K4697" t="s">
        <v>15985</v>
      </c>
      <c r="L4697" t="s">
        <v>21</v>
      </c>
      <c r="M4697" t="s">
        <v>19177</v>
      </c>
      <c r="N4697" t="s">
        <v>1024</v>
      </c>
      <c r="O4697" t="s">
        <v>1024</v>
      </c>
      <c r="P4697" t="s">
        <v>842</v>
      </c>
    </row>
    <row r="4698">
      <c r="A4698">
        <f>HYPERLINK("http://bombeiros.sp.gov.br/hidrantes/03individual/26816.html","26816")</f>
      </c>
      <c r="B4698" t="s">
        <v>842</v>
      </c>
      <c r="C4698" t="s">
        <v>1024</v>
      </c>
      <c r="D4698" t="s">
        <v>1025</v>
      </c>
      <c r="E4698" t="s">
        <v>15</v>
      </c>
      <c r="F4698" t="s">
        <v>16065</v>
      </c>
      <c r="G4698" t="s">
        <v>18099</v>
      </c>
      <c r="H4698" t="s">
        <v>1112</v>
      </c>
      <c r="I4698" t="s">
        <v>1117</v>
      </c>
      <c r="J4698" t="s">
        <v>16066</v>
      </c>
      <c r="K4698" t="s">
        <v>16067</v>
      </c>
      <c r="L4698" t="s">
        <v>21</v>
      </c>
      <c r="M4698" t="s">
        <v>19177</v>
      </c>
      <c r="N4698" t="s">
        <v>1024</v>
      </c>
      <c r="O4698" t="s">
        <v>1024</v>
      </c>
      <c r="P4698" t="s">
        <v>842</v>
      </c>
    </row>
    <row r="4699">
      <c r="A4699">
        <f>HYPERLINK("http://bombeiros.sp.gov.br/hidrantes/03individual/26821.html","26821")</f>
      </c>
      <c r="B4699" t="s">
        <v>842</v>
      </c>
      <c r="C4699" t="s">
        <v>1024</v>
      </c>
      <c r="D4699" t="s">
        <v>1025</v>
      </c>
      <c r="E4699" t="s">
        <v>15</v>
      </c>
      <c r="F4699" t="s">
        <v>16094</v>
      </c>
      <c r="G4699" t="s">
        <v>18118</v>
      </c>
      <c r="H4699" t="s">
        <v>1112</v>
      </c>
      <c r="I4699" t="s">
        <v>1108</v>
      </c>
      <c r="J4699" t="s">
        <v>16095</v>
      </c>
      <c r="K4699" t="s">
        <v>16096</v>
      </c>
      <c r="L4699" t="s">
        <v>21</v>
      </c>
      <c r="M4699" t="s">
        <v>19177</v>
      </c>
      <c r="N4699" t="s">
        <v>1024</v>
      </c>
      <c r="O4699" t="s">
        <v>1024</v>
      </c>
      <c r="P4699" t="s">
        <v>842</v>
      </c>
    </row>
    <row r="4700">
      <c r="A4700">
        <f>HYPERLINK("http://bombeiros.sp.gov.br/hidrantes/03individual/27665.html","27665")</f>
      </c>
      <c r="B4700" t="s">
        <v>842</v>
      </c>
      <c r="C4700" t="s">
        <v>1024</v>
      </c>
      <c r="D4700" t="s">
        <v>1025</v>
      </c>
      <c r="E4700" t="s">
        <v>15</v>
      </c>
      <c r="F4700" t="s">
        <v>17572</v>
      </c>
      <c r="G4700" t="s">
        <v>18072</v>
      </c>
      <c r="H4700" t="s">
        <v>1112</v>
      </c>
      <c r="I4700" t="s">
        <v>1108</v>
      </c>
      <c r="J4700" t="s">
        <v>17787</v>
      </c>
      <c r="K4700" t="s">
        <v>17788</v>
      </c>
      <c r="L4700" t="s">
        <v>21</v>
      </c>
      <c r="M4700" t="s">
        <v>19177</v>
      </c>
      <c r="N4700" t="s">
        <v>1024</v>
      </c>
      <c r="O4700" t="s">
        <v>1024</v>
      </c>
      <c r="P4700" t="s">
        <v>842</v>
      </c>
    </row>
    <row r="4701">
      <c r="A4701">
        <f>HYPERLINK("http://bombeiros.sp.gov.br/hidrantes/03individual/3856.html","3856")</f>
      </c>
      <c r="B4701" t="s">
        <v>842</v>
      </c>
      <c r="C4701" t="s">
        <v>1024</v>
      </c>
      <c r="D4701" t="s">
        <v>1024</v>
      </c>
      <c r="E4701" t="s">
        <v>64</v>
      </c>
      <c r="F4701" t="s">
        <v>14157</v>
      </c>
      <c r="G4701" t="s">
        <v>18147</v>
      </c>
      <c r="H4701" t="s">
        <v>1112</v>
      </c>
      <c r="I4701" t="s">
        <v>1108</v>
      </c>
      <c r="J4701" t="s">
        <v>14158</v>
      </c>
      <c r="K4701" t="s">
        <v>14159</v>
      </c>
      <c r="L4701" t="s">
        <v>36</v>
      </c>
      <c r="M4701" t="s">
        <v>19177</v>
      </c>
      <c r="N4701" t="s">
        <v>1024</v>
      </c>
      <c r="O4701" t="s">
        <v>1024</v>
      </c>
      <c r="P4701" t="s">
        <v>842</v>
      </c>
    </row>
    <row r="4702">
      <c r="A4702">
        <f>HYPERLINK("http://bombeiros.sp.gov.br/hidrantes/03individual/119.html","119")</f>
      </c>
      <c r="B4702" t="s">
        <v>842</v>
      </c>
      <c r="C4702" t="s">
        <v>1024</v>
      </c>
      <c r="D4702" t="s">
        <v>1024</v>
      </c>
      <c r="E4702" t="s">
        <v>15</v>
      </c>
      <c r="F4702" t="s">
        <v>14160</v>
      </c>
      <c r="G4702" t="s">
        <v>18164</v>
      </c>
      <c r="H4702" t="s">
        <v>1112</v>
      </c>
      <c r="I4702" t="s">
        <v>1108</v>
      </c>
      <c r="J4702" t="s">
        <v>14161</v>
      </c>
      <c r="K4702" t="s">
        <v>14162</v>
      </c>
      <c r="L4702" t="s">
        <v>21</v>
      </c>
      <c r="M4702" t="s">
        <v>19177</v>
      </c>
      <c r="N4702" t="s">
        <v>1024</v>
      </c>
      <c r="O4702" t="s">
        <v>1024</v>
      </c>
      <c r="P4702" t="s">
        <v>842</v>
      </c>
    </row>
    <row r="4703">
      <c r="A4703">
        <f>HYPERLINK("http://bombeiros.sp.gov.br/hidrantes/03individual/3799.html","3799")</f>
      </c>
      <c r="B4703" t="s">
        <v>842</v>
      </c>
      <c r="C4703" t="s">
        <v>1024</v>
      </c>
      <c r="D4703" t="s">
        <v>1024</v>
      </c>
      <c r="E4703" t="s">
        <v>15</v>
      </c>
      <c r="F4703" t="s">
        <v>14163</v>
      </c>
      <c r="G4703" t="s">
        <v>18078</v>
      </c>
      <c r="H4703" t="s">
        <v>1107</v>
      </c>
      <c r="I4703" t="s">
        <v>1108</v>
      </c>
      <c r="J4703" t="s">
        <v>14164</v>
      </c>
      <c r="K4703" t="s">
        <v>14165</v>
      </c>
      <c r="L4703" t="s">
        <v>36</v>
      </c>
      <c r="M4703" t="s">
        <v>19177</v>
      </c>
      <c r="N4703" t="s">
        <v>1024</v>
      </c>
      <c r="O4703" t="s">
        <v>1024</v>
      </c>
      <c r="P4703" t="s">
        <v>842</v>
      </c>
    </row>
    <row r="4704">
      <c r="A4704">
        <f>HYPERLINK("http://bombeiros.sp.gov.br/hidrantes/03individual/3833.html","3833")</f>
      </c>
      <c r="B4704" t="s">
        <v>842</v>
      </c>
      <c r="C4704" t="s">
        <v>1024</v>
      </c>
      <c r="D4704" t="s">
        <v>1024</v>
      </c>
      <c r="E4704" t="s">
        <v>15</v>
      </c>
      <c r="F4704" t="s">
        <v>14166</v>
      </c>
      <c r="G4704" t="s">
        <v>18089</v>
      </c>
      <c r="H4704" t="s">
        <v>1107</v>
      </c>
      <c r="I4704" t="s">
        <v>1108</v>
      </c>
      <c r="J4704" t="s">
        <v>14167</v>
      </c>
      <c r="K4704" t="s">
        <v>14168</v>
      </c>
      <c r="L4704" t="s">
        <v>21</v>
      </c>
      <c r="M4704" t="s">
        <v>19177</v>
      </c>
      <c r="N4704" t="s">
        <v>1024</v>
      </c>
      <c r="O4704" t="s">
        <v>1024</v>
      </c>
      <c r="P4704" t="s">
        <v>842</v>
      </c>
    </row>
    <row r="4705">
      <c r="A4705">
        <f>HYPERLINK("http://bombeiros.sp.gov.br/hidrantes/03individual/3836.html","3836")</f>
      </c>
      <c r="B4705" t="s">
        <v>842</v>
      </c>
      <c r="C4705" t="s">
        <v>1024</v>
      </c>
      <c r="D4705" t="s">
        <v>1024</v>
      </c>
      <c r="E4705" t="s">
        <v>15</v>
      </c>
      <c r="F4705" t="s">
        <v>14169</v>
      </c>
      <c r="G4705" t="s">
        <v>18089</v>
      </c>
      <c r="H4705" t="s">
        <v>1112</v>
      </c>
      <c r="I4705" t="s">
        <v>1108</v>
      </c>
      <c r="J4705" t="s">
        <v>14170</v>
      </c>
      <c r="K4705" t="s">
        <v>14171</v>
      </c>
      <c r="L4705" t="s">
        <v>21</v>
      </c>
      <c r="M4705" t="s">
        <v>19177</v>
      </c>
      <c r="N4705" t="s">
        <v>1024</v>
      </c>
      <c r="O4705" t="s">
        <v>1024</v>
      </c>
      <c r="P4705" t="s">
        <v>842</v>
      </c>
    </row>
    <row r="4706">
      <c r="A4706">
        <f>HYPERLINK("http://bombeiros.sp.gov.br/hidrantes/03individual/3837.html","3837")</f>
      </c>
      <c r="B4706" t="s">
        <v>842</v>
      </c>
      <c r="C4706" t="s">
        <v>1024</v>
      </c>
      <c r="D4706" t="s">
        <v>1024</v>
      </c>
      <c r="E4706" t="s">
        <v>15</v>
      </c>
      <c r="F4706" t="s">
        <v>14172</v>
      </c>
      <c r="G4706" t="s">
        <v>17898</v>
      </c>
      <c r="H4706" t="s">
        <v>1174</v>
      </c>
      <c r="I4706" t="s">
        <v>1108</v>
      </c>
      <c r="J4706" t="s">
        <v>14173</v>
      </c>
      <c r="K4706" t="s">
        <v>14174</v>
      </c>
      <c r="L4706" t="s">
        <v>21</v>
      </c>
      <c r="M4706" t="s">
        <v>19177</v>
      </c>
      <c r="N4706" t="s">
        <v>1024</v>
      </c>
      <c r="O4706" t="s">
        <v>1024</v>
      </c>
      <c r="P4706" t="s">
        <v>842</v>
      </c>
    </row>
    <row r="4707">
      <c r="A4707">
        <f>HYPERLINK("http://bombeiros.sp.gov.br/hidrantes/03individual/4052.html","4052")</f>
      </c>
      <c r="B4707" t="s">
        <v>842</v>
      </c>
      <c r="C4707" t="s">
        <v>1024</v>
      </c>
      <c r="D4707" t="s">
        <v>1024</v>
      </c>
      <c r="E4707" t="s">
        <v>15</v>
      </c>
      <c r="F4707" t="s">
        <v>14175</v>
      </c>
      <c r="G4707" t="s">
        <v>18150</v>
      </c>
      <c r="H4707" t="s">
        <v>1112</v>
      </c>
      <c r="I4707" t="s">
        <v>1108</v>
      </c>
      <c r="J4707" t="s">
        <v>14176</v>
      </c>
      <c r="K4707" t="s">
        <v>14177</v>
      </c>
      <c r="L4707" t="s">
        <v>21</v>
      </c>
      <c r="M4707" t="s">
        <v>19177</v>
      </c>
      <c r="N4707" t="s">
        <v>1024</v>
      </c>
      <c r="O4707" t="s">
        <v>1024</v>
      </c>
      <c r="P4707" t="s">
        <v>842</v>
      </c>
    </row>
    <row r="4708">
      <c r="A4708">
        <f>HYPERLINK("http://bombeiros.sp.gov.br/hidrantes/03individual/4053.html","4053")</f>
      </c>
      <c r="B4708" t="s">
        <v>842</v>
      </c>
      <c r="C4708" t="s">
        <v>1024</v>
      </c>
      <c r="D4708" t="s">
        <v>1024</v>
      </c>
      <c r="E4708" t="s">
        <v>15</v>
      </c>
      <c r="F4708" t="s">
        <v>14178</v>
      </c>
      <c r="G4708" t="s">
        <v>18216</v>
      </c>
      <c r="H4708" t="s">
        <v>1112</v>
      </c>
      <c r="I4708" t="s">
        <v>1108</v>
      </c>
      <c r="J4708" t="s">
        <v>14179</v>
      </c>
      <c r="K4708" t="s">
        <v>14180</v>
      </c>
      <c r="L4708" t="s">
        <v>21</v>
      </c>
      <c r="M4708" t="s">
        <v>19177</v>
      </c>
      <c r="N4708" t="s">
        <v>1024</v>
      </c>
      <c r="O4708" t="s">
        <v>1024</v>
      </c>
      <c r="P4708" t="s">
        <v>842</v>
      </c>
    </row>
    <row r="4709">
      <c r="A4709">
        <f>HYPERLINK("http://bombeiros.sp.gov.br/hidrantes/03individual/4060.html","4060")</f>
      </c>
      <c r="B4709" t="s">
        <v>842</v>
      </c>
      <c r="C4709" t="s">
        <v>1024</v>
      </c>
      <c r="D4709" t="s">
        <v>1024</v>
      </c>
      <c r="E4709" t="s">
        <v>15</v>
      </c>
      <c r="F4709" t="s">
        <v>1046</v>
      </c>
      <c r="G4709" t="s">
        <v>18150</v>
      </c>
      <c r="H4709" t="s">
        <v>1112</v>
      </c>
      <c r="I4709" t="s">
        <v>1108</v>
      </c>
      <c r="J4709" t="s">
        <v>1047</v>
      </c>
      <c r="K4709" t="s">
        <v>1048</v>
      </c>
      <c r="L4709" t="s">
        <v>21</v>
      </c>
      <c r="M4709" t="s">
        <v>19177</v>
      </c>
      <c r="N4709" t="s">
        <v>1024</v>
      </c>
      <c r="O4709" t="s">
        <v>1024</v>
      </c>
      <c r="P4709" t="s">
        <v>842</v>
      </c>
    </row>
    <row r="4710">
      <c r="A4710">
        <f>HYPERLINK("http://bombeiros.sp.gov.br/hidrantes/03individual/4065.html","4065")</f>
      </c>
      <c r="B4710" t="s">
        <v>842</v>
      </c>
      <c r="C4710" t="s">
        <v>1024</v>
      </c>
      <c r="D4710" t="s">
        <v>1024</v>
      </c>
      <c r="E4710" t="s">
        <v>15</v>
      </c>
      <c r="F4710" t="s">
        <v>14181</v>
      </c>
      <c r="G4710" t="s">
        <v>18064</v>
      </c>
      <c r="H4710" t="s">
        <v>1174</v>
      </c>
      <c r="I4710" t="s">
        <v>1108</v>
      </c>
      <c r="J4710" t="s">
        <v>14182</v>
      </c>
      <c r="K4710" t="s">
        <v>14183</v>
      </c>
      <c r="L4710" t="s">
        <v>21</v>
      </c>
      <c r="M4710" t="s">
        <v>19177</v>
      </c>
      <c r="N4710" t="s">
        <v>1024</v>
      </c>
      <c r="O4710" t="s">
        <v>1024</v>
      </c>
      <c r="P4710" t="s">
        <v>842</v>
      </c>
    </row>
    <row r="4711">
      <c r="A4711">
        <f>HYPERLINK("http://bombeiros.sp.gov.br/hidrantes/03individual/4069.html","4069")</f>
      </c>
      <c r="B4711" t="s">
        <v>842</v>
      </c>
      <c r="C4711" t="s">
        <v>1024</v>
      </c>
      <c r="D4711" t="s">
        <v>1024</v>
      </c>
      <c r="E4711" t="s">
        <v>15</v>
      </c>
      <c r="F4711" t="s">
        <v>14184</v>
      </c>
      <c r="G4711" t="s">
        <v>18078</v>
      </c>
      <c r="H4711" t="s">
        <v>1107</v>
      </c>
      <c r="I4711" t="s">
        <v>1108</v>
      </c>
      <c r="J4711" t="s">
        <v>14185</v>
      </c>
      <c r="K4711" t="s">
        <v>14186</v>
      </c>
      <c r="L4711" t="s">
        <v>21</v>
      </c>
      <c r="M4711" t="s">
        <v>19177</v>
      </c>
      <c r="N4711" t="s">
        <v>1024</v>
      </c>
      <c r="O4711" t="s">
        <v>1024</v>
      </c>
      <c r="P4711" t="s">
        <v>842</v>
      </c>
    </row>
    <row r="4712">
      <c r="A4712">
        <f>HYPERLINK("http://bombeiros.sp.gov.br/hidrantes/03individual/4070.html","4070")</f>
      </c>
      <c r="B4712" t="s">
        <v>842</v>
      </c>
      <c r="C4712" t="s">
        <v>1024</v>
      </c>
      <c r="D4712" t="s">
        <v>1024</v>
      </c>
      <c r="E4712" t="s">
        <v>15</v>
      </c>
      <c r="F4712" t="s">
        <v>14187</v>
      </c>
      <c r="G4712" t="s">
        <v>18147</v>
      </c>
      <c r="H4712" t="s">
        <v>1112</v>
      </c>
      <c r="I4712" t="s">
        <v>1108</v>
      </c>
      <c r="J4712" t="s">
        <v>14188</v>
      </c>
      <c r="K4712" t="s">
        <v>14189</v>
      </c>
      <c r="L4712" t="s">
        <v>21</v>
      </c>
      <c r="M4712" t="s">
        <v>19177</v>
      </c>
      <c r="N4712" t="s">
        <v>1024</v>
      </c>
      <c r="O4712" t="s">
        <v>1024</v>
      </c>
      <c r="P4712" t="s">
        <v>842</v>
      </c>
    </row>
    <row r="4713">
      <c r="A4713">
        <f>HYPERLINK("http://bombeiros.sp.gov.br/hidrantes/03individual/4107.html","4107")</f>
      </c>
      <c r="B4713" t="s">
        <v>842</v>
      </c>
      <c r="C4713" t="s">
        <v>1024</v>
      </c>
      <c r="D4713" t="s">
        <v>1024</v>
      </c>
      <c r="E4713" t="s">
        <v>15</v>
      </c>
      <c r="F4713" t="s">
        <v>14190</v>
      </c>
      <c r="G4713" t="s">
        <v>18154</v>
      </c>
      <c r="H4713" t="s">
        <v>1112</v>
      </c>
      <c r="I4713" t="s">
        <v>1108</v>
      </c>
      <c r="J4713" t="s">
        <v>14191</v>
      </c>
      <c r="K4713" t="s">
        <v>14192</v>
      </c>
      <c r="L4713" t="s">
        <v>21</v>
      </c>
      <c r="M4713" t="s">
        <v>19177</v>
      </c>
      <c r="N4713" t="s">
        <v>1024</v>
      </c>
      <c r="O4713" t="s">
        <v>1024</v>
      </c>
      <c r="P4713" t="s">
        <v>842</v>
      </c>
    </row>
    <row r="4714">
      <c r="A4714">
        <f>HYPERLINK("http://bombeiros.sp.gov.br/hidrantes/03individual/6726.html","6726")</f>
      </c>
      <c r="B4714" t="s">
        <v>842</v>
      </c>
      <c r="C4714" t="s">
        <v>1024</v>
      </c>
      <c r="D4714" t="s">
        <v>1024</v>
      </c>
      <c r="E4714" t="s">
        <v>15</v>
      </c>
      <c r="F4714" t="s">
        <v>14193</v>
      </c>
      <c r="G4714" t="s">
        <v>18159</v>
      </c>
      <c r="H4714" t="s">
        <v>1174</v>
      </c>
      <c r="I4714" t="s">
        <v>1108</v>
      </c>
      <c r="J4714" t="s">
        <v>14194</v>
      </c>
      <c r="K4714" t="s">
        <v>14195</v>
      </c>
      <c r="L4714" t="s">
        <v>21</v>
      </c>
      <c r="M4714" t="s">
        <v>19177</v>
      </c>
      <c r="N4714" t="s">
        <v>1024</v>
      </c>
      <c r="O4714" t="s">
        <v>1024</v>
      </c>
      <c r="P4714" t="s">
        <v>842</v>
      </c>
    </row>
    <row r="4715">
      <c r="A4715">
        <f>HYPERLINK("http://bombeiros.sp.gov.br/hidrantes/03individual/6731.html","6731")</f>
      </c>
      <c r="B4715" t="s">
        <v>842</v>
      </c>
      <c r="C4715" t="s">
        <v>1024</v>
      </c>
      <c r="D4715" t="s">
        <v>1024</v>
      </c>
      <c r="E4715" t="s">
        <v>15</v>
      </c>
      <c r="F4715" t="s">
        <v>14196</v>
      </c>
      <c r="G4715" t="s">
        <v>18089</v>
      </c>
      <c r="H4715" t="s">
        <v>1121</v>
      </c>
      <c r="I4715" t="s">
        <v>1117</v>
      </c>
      <c r="J4715" t="s">
        <v>14197</v>
      </c>
      <c r="K4715" t="s">
        <v>14198</v>
      </c>
      <c r="L4715" t="s">
        <v>21</v>
      </c>
      <c r="M4715" t="s">
        <v>19177</v>
      </c>
      <c r="N4715" t="s">
        <v>1024</v>
      </c>
      <c r="O4715" t="s">
        <v>1024</v>
      </c>
      <c r="P4715" t="s">
        <v>842</v>
      </c>
    </row>
    <row r="4716">
      <c r="A4716">
        <f>HYPERLINK("http://bombeiros.sp.gov.br/hidrantes/03individual/16602.html","16602")</f>
      </c>
      <c r="B4716" t="s">
        <v>842</v>
      </c>
      <c r="C4716" t="s">
        <v>1024</v>
      </c>
      <c r="D4716" t="s">
        <v>1024</v>
      </c>
      <c r="E4716" t="s">
        <v>15</v>
      </c>
      <c r="F4716" t="s">
        <v>14199</v>
      </c>
      <c r="G4716" t="s">
        <v>18196</v>
      </c>
      <c r="H4716" t="s">
        <v>1107</v>
      </c>
      <c r="I4716" t="s">
        <v>1108</v>
      </c>
      <c r="J4716" t="s">
        <v>14200</v>
      </c>
      <c r="K4716" t="s">
        <v>14201</v>
      </c>
      <c r="L4716" t="s">
        <v>21</v>
      </c>
      <c r="M4716" t="s">
        <v>19177</v>
      </c>
      <c r="N4716" t="s">
        <v>1024</v>
      </c>
      <c r="O4716" t="s">
        <v>1024</v>
      </c>
      <c r="P4716" t="s">
        <v>842</v>
      </c>
    </row>
    <row r="4717">
      <c r="A4717">
        <f>HYPERLINK("http://bombeiros.sp.gov.br/hidrantes/03individual/16624.html","16624")</f>
      </c>
      <c r="B4717" t="s">
        <v>842</v>
      </c>
      <c r="C4717" t="s">
        <v>1024</v>
      </c>
      <c r="D4717" t="s">
        <v>1024</v>
      </c>
      <c r="E4717" t="s">
        <v>15</v>
      </c>
      <c r="F4717" t="s">
        <v>14202</v>
      </c>
      <c r="G4717" t="s">
        <v>18150</v>
      </c>
      <c r="H4717" t="s">
        <v>1112</v>
      </c>
      <c r="I4717" t="s">
        <v>1108</v>
      </c>
      <c r="J4717" t="s">
        <v>14203</v>
      </c>
      <c r="K4717" t="s">
        <v>14204</v>
      </c>
      <c r="L4717" t="s">
        <v>21</v>
      </c>
      <c r="M4717" t="s">
        <v>19177</v>
      </c>
      <c r="N4717" t="s">
        <v>1024</v>
      </c>
      <c r="O4717" t="s">
        <v>1024</v>
      </c>
      <c r="P4717" t="s">
        <v>842</v>
      </c>
    </row>
    <row r="4718">
      <c r="A4718">
        <f>HYPERLINK("http://bombeiros.sp.gov.br/hidrantes/03individual/16625.html","16625")</f>
      </c>
      <c r="B4718" t="s">
        <v>842</v>
      </c>
      <c r="C4718" t="s">
        <v>1024</v>
      </c>
      <c r="D4718" t="s">
        <v>1024</v>
      </c>
      <c r="E4718" t="s">
        <v>15</v>
      </c>
      <c r="F4718" t="s">
        <v>14205</v>
      </c>
      <c r="G4718" t="s">
        <v>18147</v>
      </c>
      <c r="H4718" t="s">
        <v>1107</v>
      </c>
      <c r="I4718" t="s">
        <v>1108</v>
      </c>
      <c r="J4718" t="s">
        <v>14206</v>
      </c>
      <c r="K4718" t="s">
        <v>14207</v>
      </c>
      <c r="L4718" t="s">
        <v>21</v>
      </c>
      <c r="M4718" t="s">
        <v>19177</v>
      </c>
      <c r="N4718" t="s">
        <v>1024</v>
      </c>
      <c r="O4718" t="s">
        <v>1024</v>
      </c>
      <c r="P4718" t="s">
        <v>842</v>
      </c>
    </row>
    <row r="4719">
      <c r="A4719">
        <f>HYPERLINK("http://bombeiros.sp.gov.br/hidrantes/03individual/17883.html","17883")</f>
      </c>
      <c r="B4719" t="s">
        <v>842</v>
      </c>
      <c r="C4719" t="s">
        <v>1024</v>
      </c>
      <c r="D4719" t="s">
        <v>1024</v>
      </c>
      <c r="E4719" t="s">
        <v>15</v>
      </c>
      <c r="F4719" t="s">
        <v>14208</v>
      </c>
      <c r="G4719" t="s">
        <v>18064</v>
      </c>
      <c r="H4719" t="s">
        <v>1174</v>
      </c>
      <c r="I4719" t="s">
        <v>1117</v>
      </c>
      <c r="J4719" t="s">
        <v>14209</v>
      </c>
      <c r="K4719" t="s">
        <v>14210</v>
      </c>
      <c r="L4719" t="s">
        <v>21</v>
      </c>
      <c r="M4719" t="s">
        <v>19177</v>
      </c>
      <c r="N4719" t="s">
        <v>1024</v>
      </c>
      <c r="O4719" t="s">
        <v>1024</v>
      </c>
      <c r="P4719" t="s">
        <v>842</v>
      </c>
    </row>
    <row r="4720">
      <c r="A4720">
        <f>HYPERLINK("http://bombeiros.sp.gov.br/hidrantes/03individual/17884.html","17884")</f>
      </c>
      <c r="B4720" t="s">
        <v>842</v>
      </c>
      <c r="C4720" t="s">
        <v>1024</v>
      </c>
      <c r="D4720" t="s">
        <v>1024</v>
      </c>
      <c r="E4720" t="s">
        <v>15</v>
      </c>
      <c r="F4720" t="s">
        <v>14211</v>
      </c>
      <c r="G4720" t="s">
        <v>18196</v>
      </c>
      <c r="H4720" t="s">
        <v>1112</v>
      </c>
      <c r="I4720" t="s">
        <v>1108</v>
      </c>
      <c r="J4720" t="s">
        <v>14212</v>
      </c>
      <c r="K4720" t="s">
        <v>14213</v>
      </c>
      <c r="L4720" t="s">
        <v>21</v>
      </c>
      <c r="M4720" t="s">
        <v>19177</v>
      </c>
      <c r="N4720" t="s">
        <v>1024</v>
      </c>
      <c r="O4720" t="s">
        <v>1024</v>
      </c>
      <c r="P4720" t="s">
        <v>842</v>
      </c>
    </row>
    <row r="4721">
      <c r="A4721">
        <f>HYPERLINK("http://bombeiros.sp.gov.br/hidrantes/03individual/28096.html","28096")</f>
      </c>
      <c r="B4721" t="s">
        <v>842</v>
      </c>
      <c r="C4721" t="s">
        <v>1024</v>
      </c>
      <c r="D4721" t="s">
        <v>1024</v>
      </c>
      <c r="E4721" t="s">
        <v>15</v>
      </c>
      <c r="F4721" t="s">
        <v>18395</v>
      </c>
      <c r="G4721" t="s">
        <v>18043</v>
      </c>
      <c r="H4721" t="s">
        <v>1107</v>
      </c>
      <c r="I4721" t="s">
        <v>1108</v>
      </c>
      <c r="J4721" t="s">
        <v>18396</v>
      </c>
      <c r="K4721" t="s">
        <v>18397</v>
      </c>
      <c r="L4721" t="s">
        <v>21</v>
      </c>
      <c r="M4721" t="s">
        <v>19177</v>
      </c>
      <c r="N4721" t="s">
        <v>1024</v>
      </c>
      <c r="O4721" t="s">
        <v>1024</v>
      </c>
      <c r="P4721" t="s">
        <v>842</v>
      </c>
    </row>
    <row r="4722">
      <c r="A4722">
        <f>HYPERLINK("http://bombeiros.sp.gov.br/hidrantes/03individual/4016.html","4016")</f>
      </c>
      <c r="B4722" t="s">
        <v>842</v>
      </c>
      <c r="C4722" t="s">
        <v>1024</v>
      </c>
      <c r="D4722" t="s">
        <v>1055</v>
      </c>
      <c r="E4722" t="s">
        <v>64</v>
      </c>
      <c r="F4722" t="s">
        <v>14214</v>
      </c>
      <c r="G4722" t="s">
        <v>18072</v>
      </c>
      <c r="H4722" t="s">
        <v>1112</v>
      </c>
      <c r="I4722" t="s">
        <v>1108</v>
      </c>
      <c r="J4722" t="s">
        <v>14215</v>
      </c>
      <c r="K4722" t="s">
        <v>14216</v>
      </c>
      <c r="L4722" t="s">
        <v>36</v>
      </c>
      <c r="M4722" t="s">
        <v>19177</v>
      </c>
      <c r="N4722" t="s">
        <v>1024</v>
      </c>
      <c r="O4722" t="s">
        <v>1024</v>
      </c>
      <c r="P4722" t="s">
        <v>842</v>
      </c>
    </row>
    <row r="4723">
      <c r="A4723">
        <f>HYPERLINK("http://bombeiros.sp.gov.br/hidrantes/03individual/4108.html","4108")</f>
      </c>
      <c r="B4723" t="s">
        <v>842</v>
      </c>
      <c r="C4723" t="s">
        <v>1024</v>
      </c>
      <c r="D4723" t="s">
        <v>1055</v>
      </c>
      <c r="E4723" t="s">
        <v>64</v>
      </c>
      <c r="F4723" t="s">
        <v>14217</v>
      </c>
      <c r="G4723" t="s">
        <v>18216</v>
      </c>
      <c r="H4723" t="s">
        <v>1112</v>
      </c>
      <c r="I4723" t="s">
        <v>1108</v>
      </c>
      <c r="J4723" t="s">
        <v>14218</v>
      </c>
      <c r="K4723" t="s">
        <v>14219</v>
      </c>
      <c r="L4723" t="s">
        <v>21</v>
      </c>
      <c r="M4723" t="s">
        <v>19177</v>
      </c>
      <c r="N4723" t="s">
        <v>1024</v>
      </c>
      <c r="O4723" t="s">
        <v>1024</v>
      </c>
      <c r="P4723" t="s">
        <v>842</v>
      </c>
    </row>
    <row r="4724">
      <c r="A4724">
        <f>HYPERLINK("http://bombeiros.sp.gov.br/hidrantes/03individual/10071.html","10071")</f>
      </c>
      <c r="B4724" t="s">
        <v>842</v>
      </c>
      <c r="C4724" t="s">
        <v>1024</v>
      </c>
      <c r="D4724" t="s">
        <v>1055</v>
      </c>
      <c r="E4724" t="s">
        <v>64</v>
      </c>
      <c r="F4724" t="s">
        <v>14220</v>
      </c>
      <c r="G4724" t="s">
        <v>18091</v>
      </c>
      <c r="H4724" t="s">
        <v>1112</v>
      </c>
      <c r="I4724" t="s">
        <v>1108</v>
      </c>
      <c r="J4724" t="s">
        <v>14221</v>
      </c>
      <c r="K4724" t="s">
        <v>14222</v>
      </c>
      <c r="L4724" t="s">
        <v>21</v>
      </c>
      <c r="M4724" t="s">
        <v>19177</v>
      </c>
      <c r="N4724" t="s">
        <v>1024</v>
      </c>
      <c r="O4724" t="s">
        <v>1024</v>
      </c>
      <c r="P4724" t="s">
        <v>842</v>
      </c>
    </row>
    <row r="4725">
      <c r="A4725">
        <f>HYPERLINK("http://bombeiros.sp.gov.br/hidrantes/03individual/26338.html","26338")</f>
      </c>
      <c r="B4725" t="s">
        <v>842</v>
      </c>
      <c r="C4725" t="s">
        <v>1024</v>
      </c>
      <c r="D4725" t="s">
        <v>1055</v>
      </c>
      <c r="E4725" t="s">
        <v>64</v>
      </c>
      <c r="F4725" t="s">
        <v>14223</v>
      </c>
      <c r="G4725" t="s">
        <v>18062</v>
      </c>
      <c r="H4725" t="s">
        <v>1112</v>
      </c>
      <c r="I4725" t="s">
        <v>1108</v>
      </c>
      <c r="J4725" t="s">
        <v>14224</v>
      </c>
      <c r="K4725" t="s">
        <v>14225</v>
      </c>
      <c r="L4725" t="s">
        <v>21</v>
      </c>
      <c r="M4725" t="s">
        <v>19177</v>
      </c>
      <c r="N4725" t="s">
        <v>1024</v>
      </c>
      <c r="O4725" t="s">
        <v>1024</v>
      </c>
      <c r="P4725" t="s">
        <v>842</v>
      </c>
    </row>
    <row r="4726">
      <c r="A4726">
        <f>HYPERLINK("http://bombeiros.sp.gov.br/hidrantes/03individual/4061.html","4061")</f>
      </c>
      <c r="B4726" t="s">
        <v>842</v>
      </c>
      <c r="C4726" t="s">
        <v>1024</v>
      </c>
      <c r="D4726" t="s">
        <v>1055</v>
      </c>
      <c r="E4726" t="s">
        <v>15</v>
      </c>
      <c r="F4726" t="s">
        <v>14226</v>
      </c>
      <c r="G4726" t="s">
        <v>18206</v>
      </c>
      <c r="H4726" t="s">
        <v>1112</v>
      </c>
      <c r="I4726" t="s">
        <v>1108</v>
      </c>
      <c r="J4726" t="s">
        <v>14227</v>
      </c>
      <c r="K4726" t="s">
        <v>14228</v>
      </c>
      <c r="L4726" t="s">
        <v>21</v>
      </c>
      <c r="M4726" t="s">
        <v>19177</v>
      </c>
      <c r="N4726" t="s">
        <v>1024</v>
      </c>
      <c r="O4726" t="s">
        <v>1024</v>
      </c>
      <c r="P4726" t="s">
        <v>842</v>
      </c>
    </row>
    <row r="4727">
      <c r="A4727">
        <f>HYPERLINK("http://bombeiros.sp.gov.br/hidrantes/03individual/4063.html","4063")</f>
      </c>
      <c r="B4727" t="s">
        <v>842</v>
      </c>
      <c r="C4727" t="s">
        <v>1024</v>
      </c>
      <c r="D4727" t="s">
        <v>1055</v>
      </c>
      <c r="E4727" t="s">
        <v>15</v>
      </c>
      <c r="F4727" t="s">
        <v>14229</v>
      </c>
      <c r="G4727" t="s">
        <v>18216</v>
      </c>
      <c r="H4727" t="s">
        <v>1107</v>
      </c>
      <c r="I4727" t="s">
        <v>1108</v>
      </c>
      <c r="J4727" t="s">
        <v>14230</v>
      </c>
      <c r="K4727" t="s">
        <v>14231</v>
      </c>
      <c r="L4727" t="s">
        <v>21</v>
      </c>
      <c r="M4727" t="s">
        <v>19177</v>
      </c>
      <c r="N4727" t="s">
        <v>1024</v>
      </c>
      <c r="O4727" t="s">
        <v>1024</v>
      </c>
      <c r="P4727" t="s">
        <v>842</v>
      </c>
    </row>
    <row r="4728">
      <c r="A4728">
        <f>HYPERLINK("http://bombeiros.sp.gov.br/hidrantes/03individual/4067.html","4067")</f>
      </c>
      <c r="B4728" t="s">
        <v>842</v>
      </c>
      <c r="C4728" t="s">
        <v>1024</v>
      </c>
      <c r="D4728" t="s">
        <v>1055</v>
      </c>
      <c r="E4728" t="s">
        <v>15</v>
      </c>
      <c r="F4728" t="s">
        <v>14232</v>
      </c>
      <c r="G4728" t="s">
        <v>18159</v>
      </c>
      <c r="H4728" t="s">
        <v>1107</v>
      </c>
      <c r="I4728" t="s">
        <v>1108</v>
      </c>
      <c r="J4728" t="s">
        <v>14233</v>
      </c>
      <c r="K4728" t="s">
        <v>14234</v>
      </c>
      <c r="L4728" t="s">
        <v>21</v>
      </c>
      <c r="M4728" t="s">
        <v>19177</v>
      </c>
      <c r="N4728" t="s">
        <v>1024</v>
      </c>
      <c r="O4728" t="s">
        <v>1024</v>
      </c>
      <c r="P4728" t="s">
        <v>842</v>
      </c>
    </row>
    <row r="4729">
      <c r="A4729">
        <f>HYPERLINK("http://bombeiros.sp.gov.br/hidrantes/03individual/4099.html","4099")</f>
      </c>
      <c r="B4729" t="s">
        <v>842</v>
      </c>
      <c r="C4729" t="s">
        <v>1024</v>
      </c>
      <c r="D4729" t="s">
        <v>1055</v>
      </c>
      <c r="E4729" t="s">
        <v>15</v>
      </c>
      <c r="F4729" t="s">
        <v>14235</v>
      </c>
      <c r="G4729" t="s">
        <v>18091</v>
      </c>
      <c r="H4729" t="s">
        <v>1107</v>
      </c>
      <c r="I4729" t="s">
        <v>1108</v>
      </c>
      <c r="J4729" t="s">
        <v>14236</v>
      </c>
      <c r="K4729" t="s">
        <v>14237</v>
      </c>
      <c r="L4729" t="s">
        <v>21</v>
      </c>
      <c r="M4729" t="s">
        <v>19177</v>
      </c>
      <c r="N4729" t="s">
        <v>1024</v>
      </c>
      <c r="O4729" t="s">
        <v>1024</v>
      </c>
      <c r="P4729" t="s">
        <v>842</v>
      </c>
    </row>
    <row r="4730">
      <c r="A4730">
        <f>HYPERLINK("http://bombeiros.sp.gov.br/hidrantes/03individual/4101.html","4101")</f>
      </c>
      <c r="B4730" t="s">
        <v>842</v>
      </c>
      <c r="C4730" t="s">
        <v>1024</v>
      </c>
      <c r="D4730" t="s">
        <v>1055</v>
      </c>
      <c r="E4730" t="s">
        <v>15</v>
      </c>
      <c r="F4730" t="s">
        <v>14238</v>
      </c>
      <c r="G4730" t="s">
        <v>18091</v>
      </c>
      <c r="H4730" t="s">
        <v>1107</v>
      </c>
      <c r="I4730" t="s">
        <v>1108</v>
      </c>
      <c r="J4730" t="s">
        <v>14239</v>
      </c>
      <c r="K4730" t="s">
        <v>14240</v>
      </c>
      <c r="L4730" t="s">
        <v>21</v>
      </c>
      <c r="M4730" t="s">
        <v>19177</v>
      </c>
      <c r="N4730" t="s">
        <v>1024</v>
      </c>
      <c r="O4730" t="s">
        <v>1024</v>
      </c>
      <c r="P4730" t="s">
        <v>842</v>
      </c>
    </row>
    <row r="4731">
      <c r="A4731">
        <f>HYPERLINK("http://bombeiros.sp.gov.br/hidrantes/03individual/4105.html","4105")</f>
      </c>
      <c r="B4731" t="s">
        <v>842</v>
      </c>
      <c r="C4731" t="s">
        <v>1024</v>
      </c>
      <c r="D4731" t="s">
        <v>1055</v>
      </c>
      <c r="E4731" t="s">
        <v>15</v>
      </c>
      <c r="F4731" t="s">
        <v>14241</v>
      </c>
      <c r="G4731" t="s">
        <v>18091</v>
      </c>
      <c r="H4731" t="s">
        <v>1174</v>
      </c>
      <c r="I4731" t="s">
        <v>1108</v>
      </c>
      <c r="J4731" t="s">
        <v>14242</v>
      </c>
      <c r="K4731" t="s">
        <v>14243</v>
      </c>
      <c r="L4731" t="s">
        <v>21</v>
      </c>
      <c r="M4731" t="s">
        <v>19177</v>
      </c>
      <c r="N4731" t="s">
        <v>1024</v>
      </c>
      <c r="O4731" t="s">
        <v>1024</v>
      </c>
      <c r="P4731" t="s">
        <v>842</v>
      </c>
    </row>
    <row r="4732">
      <c r="A4732">
        <f>HYPERLINK("http://bombeiros.sp.gov.br/hidrantes/03individual/10044.html","10044")</f>
      </c>
      <c r="B4732" t="s">
        <v>842</v>
      </c>
      <c r="C4732" t="s">
        <v>1024</v>
      </c>
      <c r="D4732" t="s">
        <v>1055</v>
      </c>
      <c r="E4732" t="s">
        <v>15</v>
      </c>
      <c r="F4732" t="s">
        <v>14244</v>
      </c>
      <c r="G4732" t="s">
        <v>18072</v>
      </c>
      <c r="H4732" t="s">
        <v>1107</v>
      </c>
      <c r="I4732" t="s">
        <v>1108</v>
      </c>
      <c r="J4732" t="s">
        <v>14245</v>
      </c>
      <c r="K4732" t="s">
        <v>14246</v>
      </c>
      <c r="L4732" t="s">
        <v>21</v>
      </c>
      <c r="M4732" t="s">
        <v>19177</v>
      </c>
      <c r="N4732" t="s">
        <v>1024</v>
      </c>
      <c r="O4732" t="s">
        <v>1024</v>
      </c>
      <c r="P4732" t="s">
        <v>842</v>
      </c>
    </row>
    <row r="4733">
      <c r="A4733">
        <f>HYPERLINK("http://bombeiros.sp.gov.br/hidrantes/03individual/10045.html","10045")</f>
      </c>
      <c r="B4733" t="s">
        <v>842</v>
      </c>
      <c r="C4733" t="s">
        <v>1024</v>
      </c>
      <c r="D4733" t="s">
        <v>1055</v>
      </c>
      <c r="E4733" t="s">
        <v>15</v>
      </c>
      <c r="F4733" t="s">
        <v>1059</v>
      </c>
      <c r="G4733" t="s">
        <v>18078</v>
      </c>
      <c r="H4733" t="s">
        <v>1174</v>
      </c>
      <c r="I4733" t="s">
        <v>1108</v>
      </c>
      <c r="J4733" t="s">
        <v>1060</v>
      </c>
      <c r="K4733" t="s">
        <v>1061</v>
      </c>
      <c r="L4733" t="s">
        <v>36</v>
      </c>
      <c r="M4733" t="s">
        <v>19177</v>
      </c>
      <c r="N4733" t="s">
        <v>1024</v>
      </c>
      <c r="O4733" t="s">
        <v>1024</v>
      </c>
      <c r="P4733" t="s">
        <v>842</v>
      </c>
    </row>
    <row r="4734">
      <c r="A4734">
        <f>HYPERLINK("http://bombeiros.sp.gov.br/hidrantes/03individual/3609.html","3609")</f>
      </c>
      <c r="B4734" t="s">
        <v>842</v>
      </c>
      <c r="C4734" t="s">
        <v>1065</v>
      </c>
      <c r="D4734" t="s">
        <v>1066</v>
      </c>
      <c r="E4734" t="s">
        <v>64</v>
      </c>
      <c r="F4734" t="s">
        <v>14247</v>
      </c>
      <c r="G4734" t="s">
        <v>18551</v>
      </c>
      <c r="H4734" t="s">
        <v>1112</v>
      </c>
      <c r="I4734" t="s">
        <v>1108</v>
      </c>
      <c r="J4734" t="s">
        <v>14248</v>
      </c>
      <c r="K4734" t="s">
        <v>14249</v>
      </c>
      <c r="L4734" t="s">
        <v>36</v>
      </c>
      <c r="M4734" t="s">
        <v>19177</v>
      </c>
      <c r="N4734" t="s">
        <v>714</v>
      </c>
      <c r="O4734" t="s">
        <v>10263</v>
      </c>
      <c r="P4734" t="s">
        <v>12</v>
      </c>
    </row>
    <row r="4735">
      <c r="A4735">
        <f>HYPERLINK("http://bombeiros.sp.gov.br/hidrantes/03individual/3611.html","3611")</f>
      </c>
      <c r="B4735" t="s">
        <v>842</v>
      </c>
      <c r="C4735" t="s">
        <v>1065</v>
      </c>
      <c r="D4735" t="s">
        <v>1066</v>
      </c>
      <c r="E4735" t="s">
        <v>64</v>
      </c>
      <c r="F4735" t="s">
        <v>14250</v>
      </c>
      <c r="G4735" t="s">
        <v>18551</v>
      </c>
      <c r="H4735" t="s">
        <v>1112</v>
      </c>
      <c r="I4735" t="s">
        <v>1108</v>
      </c>
      <c r="J4735" t="s">
        <v>14251</v>
      </c>
      <c r="K4735" t="s">
        <v>14252</v>
      </c>
      <c r="L4735" t="s">
        <v>36</v>
      </c>
      <c r="M4735" t="s">
        <v>19177</v>
      </c>
      <c r="N4735" t="s">
        <v>714</v>
      </c>
      <c r="O4735" t="s">
        <v>10263</v>
      </c>
      <c r="P4735" t="s">
        <v>12</v>
      </c>
    </row>
    <row r="4736">
      <c r="A4736">
        <f>HYPERLINK("http://bombeiros.sp.gov.br/hidrantes/03individual/3619.html","3619")</f>
      </c>
      <c r="B4736" t="s">
        <v>842</v>
      </c>
      <c r="C4736" t="s">
        <v>1065</v>
      </c>
      <c r="D4736" t="s">
        <v>1066</v>
      </c>
      <c r="E4736" t="s">
        <v>64</v>
      </c>
      <c r="F4736" t="s">
        <v>14253</v>
      </c>
      <c r="G4736" t="s">
        <v>18551</v>
      </c>
      <c r="H4736" t="s">
        <v>1112</v>
      </c>
      <c r="I4736" t="s">
        <v>1108</v>
      </c>
      <c r="J4736" t="s">
        <v>14254</v>
      </c>
      <c r="K4736" t="s">
        <v>14255</v>
      </c>
      <c r="L4736" t="s">
        <v>21</v>
      </c>
      <c r="M4736" t="s">
        <v>19177</v>
      </c>
      <c r="N4736" t="s">
        <v>714</v>
      </c>
      <c r="O4736" t="s">
        <v>10263</v>
      </c>
      <c r="P4736" t="s">
        <v>12</v>
      </c>
    </row>
    <row r="4737">
      <c r="A4737">
        <f>HYPERLINK("http://bombeiros.sp.gov.br/hidrantes/03individual/318.html","318")</f>
      </c>
      <c r="B4737" t="s">
        <v>842</v>
      </c>
      <c r="C4737" t="s">
        <v>1065</v>
      </c>
      <c r="D4737" t="s">
        <v>1066</v>
      </c>
      <c r="E4737" t="s">
        <v>15</v>
      </c>
      <c r="F4737" t="s">
        <v>14256</v>
      </c>
      <c r="G4737" t="s">
        <v>18049</v>
      </c>
      <c r="H4737" t="s">
        <v>1107</v>
      </c>
      <c r="I4737" t="s">
        <v>1108</v>
      </c>
      <c r="J4737" t="s">
        <v>14257</v>
      </c>
      <c r="K4737" t="s">
        <v>14258</v>
      </c>
      <c r="L4737" t="s">
        <v>21</v>
      </c>
      <c r="M4737" t="s">
        <v>19177</v>
      </c>
      <c r="N4737" t="s">
        <v>714</v>
      </c>
      <c r="O4737" t="s">
        <v>10263</v>
      </c>
      <c r="P4737" t="s">
        <v>12</v>
      </c>
    </row>
    <row r="4738">
      <c r="A4738">
        <f>HYPERLINK("http://bombeiros.sp.gov.br/hidrantes/03individual/373.html","373")</f>
      </c>
      <c r="B4738" t="s">
        <v>842</v>
      </c>
      <c r="C4738" t="s">
        <v>1065</v>
      </c>
      <c r="D4738" t="s">
        <v>1066</v>
      </c>
      <c r="E4738" t="s">
        <v>15</v>
      </c>
      <c r="F4738" t="s">
        <v>14259</v>
      </c>
      <c r="G4738" t="s">
        <v>18051</v>
      </c>
      <c r="H4738" t="s">
        <v>1112</v>
      </c>
      <c r="I4738" t="s">
        <v>1108</v>
      </c>
      <c r="J4738" t="s">
        <v>14260</v>
      </c>
      <c r="K4738" t="s">
        <v>14261</v>
      </c>
      <c r="L4738" t="s">
        <v>21</v>
      </c>
      <c r="M4738" t="s">
        <v>19177</v>
      </c>
      <c r="N4738" t="s">
        <v>714</v>
      </c>
      <c r="O4738" t="s">
        <v>10263</v>
      </c>
      <c r="P4738" t="s">
        <v>12</v>
      </c>
    </row>
    <row r="4739">
      <c r="A4739">
        <f>HYPERLINK("http://bombeiros.sp.gov.br/hidrantes/03individual/374.html","374")</f>
      </c>
      <c r="B4739" t="s">
        <v>842</v>
      </c>
      <c r="C4739" t="s">
        <v>1065</v>
      </c>
      <c r="D4739" t="s">
        <v>1066</v>
      </c>
      <c r="E4739" t="s">
        <v>15</v>
      </c>
      <c r="F4739" t="s">
        <v>14262</v>
      </c>
      <c r="G4739" t="s">
        <v>18051</v>
      </c>
      <c r="H4739" t="s">
        <v>1112</v>
      </c>
      <c r="I4739" t="s">
        <v>1108</v>
      </c>
      <c r="J4739" t="s">
        <v>14263</v>
      </c>
      <c r="K4739" t="s">
        <v>14264</v>
      </c>
      <c r="L4739" t="s">
        <v>21</v>
      </c>
      <c r="M4739" t="s">
        <v>19177</v>
      </c>
      <c r="N4739" t="s">
        <v>714</v>
      </c>
      <c r="O4739" t="s">
        <v>10263</v>
      </c>
      <c r="P4739" t="s">
        <v>12</v>
      </c>
    </row>
    <row r="4740">
      <c r="A4740">
        <f>HYPERLINK("http://bombeiros.sp.gov.br/hidrantes/03individual/375.html","375")</f>
      </c>
      <c r="B4740" t="s">
        <v>842</v>
      </c>
      <c r="C4740" t="s">
        <v>1065</v>
      </c>
      <c r="D4740" t="s">
        <v>1066</v>
      </c>
      <c r="E4740" t="s">
        <v>15</v>
      </c>
      <c r="F4740" t="s">
        <v>14265</v>
      </c>
      <c r="G4740" t="s">
        <v>18118</v>
      </c>
      <c r="H4740" t="s">
        <v>1107</v>
      </c>
      <c r="I4740" t="s">
        <v>1108</v>
      </c>
      <c r="J4740" t="s">
        <v>14266</v>
      </c>
      <c r="K4740" t="s">
        <v>14267</v>
      </c>
      <c r="L4740" t="s">
        <v>21</v>
      </c>
      <c r="M4740" t="s">
        <v>19177</v>
      </c>
      <c r="N4740" t="s">
        <v>714</v>
      </c>
      <c r="O4740" t="s">
        <v>10263</v>
      </c>
      <c r="P4740" t="s">
        <v>12</v>
      </c>
    </row>
    <row r="4741">
      <c r="A4741">
        <f>HYPERLINK("http://bombeiros.sp.gov.br/hidrantes/03individual/398.html","398")</f>
      </c>
      <c r="B4741" t="s">
        <v>842</v>
      </c>
      <c r="C4741" t="s">
        <v>1065</v>
      </c>
      <c r="D4741" t="s">
        <v>1066</v>
      </c>
      <c r="E4741" t="s">
        <v>15</v>
      </c>
      <c r="F4741" t="s">
        <v>14268</v>
      </c>
      <c r="G4741" t="s">
        <v>18398</v>
      </c>
      <c r="H4741" t="s">
        <v>1112</v>
      </c>
      <c r="I4741" t="s">
        <v>1108</v>
      </c>
      <c r="J4741" t="s">
        <v>14269</v>
      </c>
      <c r="K4741" t="s">
        <v>14270</v>
      </c>
      <c r="L4741" t="s">
        <v>21</v>
      </c>
      <c r="M4741" t="s">
        <v>19177</v>
      </c>
      <c r="N4741" t="s">
        <v>714</v>
      </c>
      <c r="O4741" t="s">
        <v>10263</v>
      </c>
      <c r="P4741" t="s">
        <v>12</v>
      </c>
    </row>
    <row r="4742">
      <c r="A4742">
        <f>HYPERLINK("http://bombeiros.sp.gov.br/hidrantes/03individual/418.html","418")</f>
      </c>
      <c r="B4742" t="s">
        <v>842</v>
      </c>
      <c r="C4742" t="s">
        <v>1065</v>
      </c>
      <c r="D4742" t="s">
        <v>1066</v>
      </c>
      <c r="E4742" t="s">
        <v>15</v>
      </c>
      <c r="F4742" t="s">
        <v>14271</v>
      </c>
      <c r="G4742" t="s">
        <v>18053</v>
      </c>
      <c r="H4742"/>
      <c r="I4742" t="s">
        <v>18</v>
      </c>
      <c r="J4742" t="s">
        <v>14272</v>
      </c>
      <c r="K4742" t="s">
        <v>14273</v>
      </c>
      <c r="L4742" t="s">
        <v>21</v>
      </c>
      <c r="M4742" t="s">
        <v>19177</v>
      </c>
      <c r="N4742" t="s">
        <v>714</v>
      </c>
      <c r="O4742" t="s">
        <v>10263</v>
      </c>
      <c r="P4742" t="s">
        <v>12</v>
      </c>
    </row>
    <row r="4743">
      <c r="A4743">
        <f>HYPERLINK("http://bombeiros.sp.gov.br/hidrantes/03individual/446.html","446")</f>
      </c>
      <c r="B4743" t="s">
        <v>842</v>
      </c>
      <c r="C4743" t="s">
        <v>1065</v>
      </c>
      <c r="D4743" t="s">
        <v>1066</v>
      </c>
      <c r="E4743" t="s">
        <v>15</v>
      </c>
      <c r="F4743" t="s">
        <v>14274</v>
      </c>
      <c r="G4743" t="s">
        <v>18053</v>
      </c>
      <c r="H4743" t="s">
        <v>1107</v>
      </c>
      <c r="I4743" t="s">
        <v>1108</v>
      </c>
      <c r="J4743" t="s">
        <v>14275</v>
      </c>
      <c r="K4743" t="s">
        <v>14276</v>
      </c>
      <c r="L4743" t="s">
        <v>21</v>
      </c>
      <c r="M4743" t="s">
        <v>19177</v>
      </c>
      <c r="N4743" t="s">
        <v>714</v>
      </c>
      <c r="O4743" t="s">
        <v>10263</v>
      </c>
      <c r="P4743" t="s">
        <v>12</v>
      </c>
    </row>
    <row r="4744">
      <c r="A4744">
        <f>HYPERLINK("http://bombeiros.sp.gov.br/hidrantes/03individual/448.html","448")</f>
      </c>
      <c r="B4744" t="s">
        <v>842</v>
      </c>
      <c r="C4744" t="s">
        <v>1065</v>
      </c>
      <c r="D4744" t="s">
        <v>1066</v>
      </c>
      <c r="E4744" t="s">
        <v>15</v>
      </c>
      <c r="F4744" t="s">
        <v>14277</v>
      </c>
      <c r="G4744" t="s">
        <v>18053</v>
      </c>
      <c r="H4744" t="s">
        <v>1107</v>
      </c>
      <c r="I4744" t="s">
        <v>1108</v>
      </c>
      <c r="J4744" t="s">
        <v>14278</v>
      </c>
      <c r="K4744" t="s">
        <v>14279</v>
      </c>
      <c r="L4744" t="s">
        <v>21</v>
      </c>
      <c r="M4744" t="s">
        <v>19177</v>
      </c>
      <c r="N4744" t="s">
        <v>714</v>
      </c>
      <c r="O4744" t="s">
        <v>10263</v>
      </c>
      <c r="P4744" t="s">
        <v>12</v>
      </c>
    </row>
    <row r="4745">
      <c r="A4745">
        <f>HYPERLINK("http://bombeiros.sp.gov.br/hidrantes/03individual/3948.html","3948")</f>
      </c>
      <c r="B4745" t="s">
        <v>842</v>
      </c>
      <c r="C4745" t="s">
        <v>1065</v>
      </c>
      <c r="D4745" t="s">
        <v>1066</v>
      </c>
      <c r="E4745" t="s">
        <v>15</v>
      </c>
      <c r="F4745" t="s">
        <v>14280</v>
      </c>
      <c r="G4745" t="s">
        <v>18118</v>
      </c>
      <c r="H4745" t="s">
        <v>1107</v>
      </c>
      <c r="I4745" t="s">
        <v>1108</v>
      </c>
      <c r="J4745" t="s">
        <v>14281</v>
      </c>
      <c r="K4745" t="s">
        <v>14282</v>
      </c>
      <c r="L4745" t="s">
        <v>21</v>
      </c>
      <c r="M4745" t="s">
        <v>19177</v>
      </c>
      <c r="N4745" t="s">
        <v>714</v>
      </c>
      <c r="O4745" t="s">
        <v>10263</v>
      </c>
      <c r="P4745" t="s">
        <v>12</v>
      </c>
    </row>
    <row r="4746">
      <c r="A4746">
        <f>HYPERLINK("http://bombeiros.sp.gov.br/hidrantes/03individual/3952.html","3952")</f>
      </c>
      <c r="B4746" t="s">
        <v>842</v>
      </c>
      <c r="C4746" t="s">
        <v>1065</v>
      </c>
      <c r="D4746" t="s">
        <v>1066</v>
      </c>
      <c r="E4746" t="s">
        <v>15</v>
      </c>
      <c r="F4746" t="s">
        <v>14283</v>
      </c>
      <c r="G4746" t="s">
        <v>18149</v>
      </c>
      <c r="H4746" t="s">
        <v>1112</v>
      </c>
      <c r="I4746" t="s">
        <v>1108</v>
      </c>
      <c r="J4746" t="s">
        <v>14284</v>
      </c>
      <c r="K4746" t="s">
        <v>14285</v>
      </c>
      <c r="L4746" t="s">
        <v>21</v>
      </c>
      <c r="M4746" t="s">
        <v>19177</v>
      </c>
      <c r="N4746" t="s">
        <v>714</v>
      </c>
      <c r="O4746" t="s">
        <v>10263</v>
      </c>
      <c r="P4746" t="s">
        <v>12</v>
      </c>
    </row>
    <row r="4747">
      <c r="A4747">
        <f>HYPERLINK("http://bombeiros.sp.gov.br/hidrantes/03individual/4011.html","4011")</f>
      </c>
      <c r="B4747" t="s">
        <v>842</v>
      </c>
      <c r="C4747" t="s">
        <v>1065</v>
      </c>
      <c r="D4747" t="s">
        <v>1066</v>
      </c>
      <c r="E4747" t="s">
        <v>15</v>
      </c>
      <c r="F4747" t="s">
        <v>14286</v>
      </c>
      <c r="G4747" t="s">
        <v>18398</v>
      </c>
      <c r="H4747" t="s">
        <v>1112</v>
      </c>
      <c r="I4747" t="s">
        <v>1108</v>
      </c>
      <c r="J4747" t="s">
        <v>14287</v>
      </c>
      <c r="K4747" t="s">
        <v>14288</v>
      </c>
      <c r="L4747" t="s">
        <v>21</v>
      </c>
      <c r="M4747" t="s">
        <v>19177</v>
      </c>
      <c r="N4747" t="s">
        <v>714</v>
      </c>
      <c r="O4747" t="s">
        <v>10263</v>
      </c>
      <c r="P4747" t="s">
        <v>12</v>
      </c>
    </row>
    <row r="4748">
      <c r="A4748">
        <f>HYPERLINK("http://bombeiros.sp.gov.br/hidrantes/03individual/10019.html","10019")</f>
      </c>
      <c r="B4748" t="s">
        <v>842</v>
      </c>
      <c r="C4748" t="s">
        <v>1065</v>
      </c>
      <c r="D4748" t="s">
        <v>1066</v>
      </c>
      <c r="E4748" t="s">
        <v>15</v>
      </c>
      <c r="F4748" t="s">
        <v>14289</v>
      </c>
      <c r="G4748" t="s">
        <v>18114</v>
      </c>
      <c r="H4748" t="s">
        <v>1112</v>
      </c>
      <c r="I4748" t="s">
        <v>1108</v>
      </c>
      <c r="J4748" t="s">
        <v>14290</v>
      </c>
      <c r="K4748" t="s">
        <v>14291</v>
      </c>
      <c r="L4748" t="s">
        <v>21</v>
      </c>
      <c r="M4748" t="s">
        <v>19177</v>
      </c>
      <c r="N4748" t="s">
        <v>714</v>
      </c>
      <c r="O4748" t="s">
        <v>10263</v>
      </c>
      <c r="P4748" t="s">
        <v>12</v>
      </c>
    </row>
    <row r="4749">
      <c r="A4749">
        <f>HYPERLINK("http://bombeiros.sp.gov.br/hidrantes/03individual/16574.html","16574")</f>
      </c>
      <c r="B4749" t="s">
        <v>842</v>
      </c>
      <c r="C4749" t="s">
        <v>1065</v>
      </c>
      <c r="D4749" t="s">
        <v>1066</v>
      </c>
      <c r="E4749" t="s">
        <v>15</v>
      </c>
      <c r="F4749" t="s">
        <v>14292</v>
      </c>
      <c r="G4749" t="s">
        <v>18060</v>
      </c>
      <c r="H4749" t="s">
        <v>1107</v>
      </c>
      <c r="I4749" t="s">
        <v>1108</v>
      </c>
      <c r="J4749" t="s">
        <v>14293</v>
      </c>
      <c r="K4749" t="s">
        <v>14294</v>
      </c>
      <c r="L4749" t="s">
        <v>21</v>
      </c>
      <c r="M4749" t="s">
        <v>19177</v>
      </c>
      <c r="N4749" t="s">
        <v>714</v>
      </c>
      <c r="O4749" t="s">
        <v>10263</v>
      </c>
      <c r="P4749" t="s">
        <v>12</v>
      </c>
    </row>
    <row r="4750">
      <c r="A4750">
        <f>HYPERLINK("http://bombeiros.sp.gov.br/hidrantes/03individual/26684.html","26684")</f>
      </c>
      <c r="B4750" t="s">
        <v>842</v>
      </c>
      <c r="C4750" t="s">
        <v>1065</v>
      </c>
      <c r="D4750" t="s">
        <v>1066</v>
      </c>
      <c r="E4750" t="s">
        <v>15</v>
      </c>
      <c r="F4750" t="s">
        <v>1067</v>
      </c>
      <c r="G4750" t="s">
        <v>18149</v>
      </c>
      <c r="H4750" t="s">
        <v>1121</v>
      </c>
      <c r="I4750" t="s">
        <v>1117</v>
      </c>
      <c r="J4750" t="s">
        <v>1069</v>
      </c>
      <c r="K4750" t="s">
        <v>1070</v>
      </c>
      <c r="L4750" t="s">
        <v>21</v>
      </c>
      <c r="M4750" t="s">
        <v>19177</v>
      </c>
      <c r="N4750" t="s">
        <v>714</v>
      </c>
      <c r="O4750" t="s">
        <v>10263</v>
      </c>
      <c r="P4750" t="s">
        <v>12</v>
      </c>
    </row>
    <row r="4751">
      <c r="A4751">
        <f>HYPERLINK("http://bombeiros.sp.gov.br/hidrantes/03individual/288.html","288")</f>
      </c>
      <c r="B4751" t="s">
        <v>842</v>
      </c>
      <c r="C4751" t="s">
        <v>1065</v>
      </c>
      <c r="D4751" t="s">
        <v>14295</v>
      </c>
      <c r="E4751" t="s">
        <v>64</v>
      </c>
      <c r="F4751" t="s">
        <v>14296</v>
      </c>
      <c r="G4751" t="s">
        <v>18181</v>
      </c>
      <c r="H4751" t="s">
        <v>1112</v>
      </c>
      <c r="I4751" t="s">
        <v>1108</v>
      </c>
      <c r="J4751" t="s">
        <v>17242</v>
      </c>
      <c r="K4751" t="s">
        <v>17243</v>
      </c>
      <c r="L4751" t="s">
        <v>36</v>
      </c>
      <c r="M4751" t="s">
        <v>19177</v>
      </c>
      <c r="N4751" t="s">
        <v>714</v>
      </c>
      <c r="O4751" t="s">
        <v>10263</v>
      </c>
      <c r="P4751" t="s">
        <v>12</v>
      </c>
    </row>
    <row r="4752">
      <c r="A4752">
        <f>HYPERLINK("http://bombeiros.sp.gov.br/hidrantes/03individual/316.html","316")</f>
      </c>
      <c r="B4752" t="s">
        <v>842</v>
      </c>
      <c r="C4752" t="s">
        <v>1065</v>
      </c>
      <c r="D4752" t="s">
        <v>14295</v>
      </c>
      <c r="E4752" t="s">
        <v>64</v>
      </c>
      <c r="F4752" t="s">
        <v>14299</v>
      </c>
      <c r="G4752" t="s">
        <v>18551</v>
      </c>
      <c r="H4752" t="s">
        <v>1112</v>
      </c>
      <c r="I4752" t="s">
        <v>1108</v>
      </c>
      <c r="J4752" t="s">
        <v>14300</v>
      </c>
      <c r="K4752" t="s">
        <v>14301</v>
      </c>
      <c r="L4752" t="s">
        <v>36</v>
      </c>
      <c r="M4752" t="s">
        <v>19177</v>
      </c>
      <c r="N4752" t="s">
        <v>714</v>
      </c>
      <c r="O4752" t="s">
        <v>10263</v>
      </c>
      <c r="P4752" t="s">
        <v>12</v>
      </c>
    </row>
    <row r="4753">
      <c r="A4753">
        <f>HYPERLINK("http://bombeiros.sp.gov.br/hidrantes/03individual/347.html","347")</f>
      </c>
      <c r="B4753" t="s">
        <v>842</v>
      </c>
      <c r="C4753" t="s">
        <v>1065</v>
      </c>
      <c r="D4753" t="s">
        <v>14295</v>
      </c>
      <c r="E4753" t="s">
        <v>64</v>
      </c>
      <c r="F4753" t="s">
        <v>14302</v>
      </c>
      <c r="G4753" t="s">
        <v>18181</v>
      </c>
      <c r="H4753" t="s">
        <v>1112</v>
      </c>
      <c r="I4753" t="s">
        <v>1108</v>
      </c>
      <c r="J4753" t="s">
        <v>14303</v>
      </c>
      <c r="K4753" t="s">
        <v>14304</v>
      </c>
      <c r="L4753" t="s">
        <v>36</v>
      </c>
      <c r="M4753" t="s">
        <v>19177</v>
      </c>
      <c r="N4753" t="s">
        <v>714</v>
      </c>
      <c r="O4753" t="s">
        <v>10263</v>
      </c>
      <c r="P4753" t="s">
        <v>12</v>
      </c>
    </row>
    <row r="4754">
      <c r="A4754">
        <f>HYPERLINK("http://bombeiros.sp.gov.br/hidrantes/03individual/3608.html","3608")</f>
      </c>
      <c r="B4754" t="s">
        <v>842</v>
      </c>
      <c r="C4754" t="s">
        <v>1065</v>
      </c>
      <c r="D4754" t="s">
        <v>14295</v>
      </c>
      <c r="E4754" t="s">
        <v>64</v>
      </c>
      <c r="F4754" t="s">
        <v>14305</v>
      </c>
      <c r="G4754" t="s">
        <v>18114</v>
      </c>
      <c r="H4754" t="s">
        <v>1112</v>
      </c>
      <c r="I4754" t="s">
        <v>1108</v>
      </c>
      <c r="J4754" t="s">
        <v>14306</v>
      </c>
      <c r="K4754" t="s">
        <v>14307</v>
      </c>
      <c r="L4754" t="s">
        <v>36</v>
      </c>
      <c r="M4754" t="s">
        <v>19177</v>
      </c>
      <c r="N4754" t="s">
        <v>714</v>
      </c>
      <c r="O4754" t="s">
        <v>10263</v>
      </c>
      <c r="P4754" t="s">
        <v>12</v>
      </c>
    </row>
    <row r="4755">
      <c r="A4755">
        <f>HYPERLINK("http://bombeiros.sp.gov.br/hidrantes/03individual/3616.html","3616")</f>
      </c>
      <c r="B4755" t="s">
        <v>842</v>
      </c>
      <c r="C4755" t="s">
        <v>1065</v>
      </c>
      <c r="D4755" t="s">
        <v>14295</v>
      </c>
      <c r="E4755" t="s">
        <v>64</v>
      </c>
      <c r="F4755" t="s">
        <v>14296</v>
      </c>
      <c r="G4755" t="s">
        <v>18181</v>
      </c>
      <c r="H4755" t="s">
        <v>1107</v>
      </c>
      <c r="I4755" t="s">
        <v>1108</v>
      </c>
      <c r="J4755" t="s">
        <v>17244</v>
      </c>
      <c r="K4755" t="s">
        <v>17245</v>
      </c>
      <c r="L4755" t="s">
        <v>21</v>
      </c>
      <c r="M4755" t="s">
        <v>19177</v>
      </c>
      <c r="N4755" t="s">
        <v>714</v>
      </c>
      <c r="O4755" t="s">
        <v>10263</v>
      </c>
      <c r="P4755" t="s">
        <v>12</v>
      </c>
    </row>
    <row r="4756">
      <c r="A4756">
        <f>HYPERLINK("http://bombeiros.sp.gov.br/hidrantes/03individual/294.html","294")</f>
      </c>
      <c r="B4756" t="s">
        <v>842</v>
      </c>
      <c r="C4756" t="s">
        <v>1065</v>
      </c>
      <c r="D4756" t="s">
        <v>14295</v>
      </c>
      <c r="E4756" t="s">
        <v>15</v>
      </c>
      <c r="F4756" t="s">
        <v>14310</v>
      </c>
      <c r="G4756" t="s">
        <v>18150</v>
      </c>
      <c r="H4756" t="s">
        <v>1107</v>
      </c>
      <c r="I4756" t="s">
        <v>1108</v>
      </c>
      <c r="J4756" t="s">
        <v>14311</v>
      </c>
      <c r="K4756" t="s">
        <v>14312</v>
      </c>
      <c r="L4756" t="s">
        <v>21</v>
      </c>
      <c r="M4756" t="s">
        <v>19177</v>
      </c>
      <c r="N4756" t="s">
        <v>714</v>
      </c>
      <c r="O4756" t="s">
        <v>10263</v>
      </c>
      <c r="P4756" t="s">
        <v>12</v>
      </c>
    </row>
    <row r="4757">
      <c r="A4757">
        <f>HYPERLINK("http://bombeiros.sp.gov.br/hidrantes/03individual/319.html","319")</f>
      </c>
      <c r="B4757" t="s">
        <v>842</v>
      </c>
      <c r="C4757" t="s">
        <v>1065</v>
      </c>
      <c r="D4757" t="s">
        <v>14295</v>
      </c>
      <c r="E4757" t="s">
        <v>15</v>
      </c>
      <c r="F4757" t="s">
        <v>14313</v>
      </c>
      <c r="G4757" t="s">
        <v>18109</v>
      </c>
      <c r="H4757" t="s">
        <v>1107</v>
      </c>
      <c r="I4757" t="s">
        <v>1108</v>
      </c>
      <c r="J4757" t="s">
        <v>14314</v>
      </c>
      <c r="K4757" t="s">
        <v>14315</v>
      </c>
      <c r="L4757" t="s">
        <v>21</v>
      </c>
      <c r="M4757" t="s">
        <v>19177</v>
      </c>
      <c r="N4757" t="s">
        <v>714</v>
      </c>
      <c r="O4757" t="s">
        <v>10263</v>
      </c>
      <c r="P4757" t="s">
        <v>12</v>
      </c>
    </row>
    <row r="4758">
      <c r="A4758">
        <f>HYPERLINK("http://bombeiros.sp.gov.br/hidrantes/03individual/414.html","414")</f>
      </c>
      <c r="B4758" t="s">
        <v>842</v>
      </c>
      <c r="C4758" t="s">
        <v>1065</v>
      </c>
      <c r="D4758" t="s">
        <v>14295</v>
      </c>
      <c r="E4758" t="s">
        <v>15</v>
      </c>
      <c r="F4758" t="s">
        <v>14316</v>
      </c>
      <c r="G4758" t="s">
        <v>18155</v>
      </c>
      <c r="H4758" t="s">
        <v>1112</v>
      </c>
      <c r="I4758" t="s">
        <v>1108</v>
      </c>
      <c r="J4758" t="s">
        <v>14317</v>
      </c>
      <c r="K4758" t="s">
        <v>14318</v>
      </c>
      <c r="L4758" t="s">
        <v>21</v>
      </c>
      <c r="M4758" t="s">
        <v>19177</v>
      </c>
      <c r="N4758" t="s">
        <v>714</v>
      </c>
      <c r="O4758" t="s">
        <v>10263</v>
      </c>
      <c r="P4758" t="s">
        <v>12</v>
      </c>
    </row>
    <row r="4759">
      <c r="A4759">
        <f>HYPERLINK("http://bombeiros.sp.gov.br/hidrantes/03individual/422.html","422")</f>
      </c>
      <c r="B4759" t="s">
        <v>842</v>
      </c>
      <c r="C4759" t="s">
        <v>1065</v>
      </c>
      <c r="D4759" t="s">
        <v>14295</v>
      </c>
      <c r="E4759" t="s">
        <v>15</v>
      </c>
      <c r="F4759" t="s">
        <v>14319</v>
      </c>
      <c r="G4759" t="s">
        <v>18394</v>
      </c>
      <c r="H4759" t="s">
        <v>1107</v>
      </c>
      <c r="I4759" t="s">
        <v>1108</v>
      </c>
      <c r="J4759" t="s">
        <v>14320</v>
      </c>
      <c r="K4759" t="s">
        <v>14321</v>
      </c>
      <c r="L4759" t="s">
        <v>21</v>
      </c>
      <c r="M4759" t="s">
        <v>19177</v>
      </c>
      <c r="N4759" t="s">
        <v>714</v>
      </c>
      <c r="O4759" t="s">
        <v>10263</v>
      </c>
      <c r="P4759" t="s">
        <v>12</v>
      </c>
    </row>
    <row r="4760">
      <c r="A4760">
        <f>HYPERLINK("http://bombeiros.sp.gov.br/hidrantes/03individual/492.html","492")</f>
      </c>
      <c r="B4760" t="s">
        <v>842</v>
      </c>
      <c r="C4760" t="s">
        <v>1065</v>
      </c>
      <c r="D4760" t="s">
        <v>14295</v>
      </c>
      <c r="E4760" t="s">
        <v>15</v>
      </c>
      <c r="F4760" t="s">
        <v>14322</v>
      </c>
      <c r="G4760" t="s">
        <v>18167</v>
      </c>
      <c r="H4760" t="s">
        <v>1112</v>
      </c>
      <c r="I4760" t="s">
        <v>1108</v>
      </c>
      <c r="J4760" t="s">
        <v>14323</v>
      </c>
      <c r="K4760" t="s">
        <v>14324</v>
      </c>
      <c r="L4760" t="s">
        <v>21</v>
      </c>
      <c r="M4760" t="s">
        <v>19177</v>
      </c>
      <c r="N4760" t="s">
        <v>714</v>
      </c>
      <c r="O4760" t="s">
        <v>10263</v>
      </c>
      <c r="P4760" t="s">
        <v>12</v>
      </c>
    </row>
    <row r="4761">
      <c r="A4761">
        <f>HYPERLINK("http://bombeiros.sp.gov.br/hidrantes/03individual/493.html","493")</f>
      </c>
      <c r="B4761" t="s">
        <v>842</v>
      </c>
      <c r="C4761" t="s">
        <v>1065</v>
      </c>
      <c r="D4761" t="s">
        <v>14295</v>
      </c>
      <c r="E4761" t="s">
        <v>15</v>
      </c>
      <c r="F4761" t="s">
        <v>14325</v>
      </c>
      <c r="G4761" t="s">
        <v>18063</v>
      </c>
      <c r="H4761" t="s">
        <v>1107</v>
      </c>
      <c r="I4761" t="s">
        <v>1108</v>
      </c>
      <c r="J4761" t="s">
        <v>14326</v>
      </c>
      <c r="K4761" t="s">
        <v>14327</v>
      </c>
      <c r="L4761" t="s">
        <v>21</v>
      </c>
      <c r="M4761" t="s">
        <v>19177</v>
      </c>
      <c r="N4761" t="s">
        <v>714</v>
      </c>
      <c r="O4761" t="s">
        <v>10263</v>
      </c>
      <c r="P4761" t="s">
        <v>12</v>
      </c>
    </row>
    <row r="4762">
      <c r="A4762">
        <f>HYPERLINK("http://bombeiros.sp.gov.br/hidrantes/03individual/2835.html","2835")</f>
      </c>
      <c r="B4762" t="s">
        <v>842</v>
      </c>
      <c r="C4762" t="s">
        <v>1065</v>
      </c>
      <c r="D4762" t="s">
        <v>14295</v>
      </c>
      <c r="E4762" t="s">
        <v>15</v>
      </c>
      <c r="F4762" t="s">
        <v>14328</v>
      </c>
      <c r="G4762" t="s">
        <v>18052</v>
      </c>
      <c r="H4762" t="s">
        <v>1112</v>
      </c>
      <c r="I4762" t="s">
        <v>1108</v>
      </c>
      <c r="J4762" t="s">
        <v>14329</v>
      </c>
      <c r="K4762" t="s">
        <v>14330</v>
      </c>
      <c r="L4762" t="s">
        <v>36</v>
      </c>
      <c r="M4762" t="s">
        <v>19177</v>
      </c>
      <c r="N4762" t="s">
        <v>714</v>
      </c>
      <c r="O4762" t="s">
        <v>10263</v>
      </c>
      <c r="P4762" t="s">
        <v>12</v>
      </c>
    </row>
    <row r="4763">
      <c r="A4763">
        <f>HYPERLINK("http://bombeiros.sp.gov.br/hidrantes/03individual/3613.html","3613")</f>
      </c>
      <c r="B4763" t="s">
        <v>842</v>
      </c>
      <c r="C4763" t="s">
        <v>1065</v>
      </c>
      <c r="D4763" t="s">
        <v>14295</v>
      </c>
      <c r="E4763" t="s">
        <v>15</v>
      </c>
      <c r="F4763" t="s">
        <v>14299</v>
      </c>
      <c r="G4763" t="s">
        <v>18049</v>
      </c>
      <c r="H4763" t="s">
        <v>1107</v>
      </c>
      <c r="I4763" t="s">
        <v>1108</v>
      </c>
      <c r="J4763" t="s">
        <v>14331</v>
      </c>
      <c r="K4763" t="s">
        <v>14332</v>
      </c>
      <c r="L4763" t="s">
        <v>21</v>
      </c>
      <c r="M4763" t="s">
        <v>19177</v>
      </c>
      <c r="N4763" t="s">
        <v>714</v>
      </c>
      <c r="O4763" t="s">
        <v>10263</v>
      </c>
      <c r="P4763" t="s">
        <v>12</v>
      </c>
    </row>
    <row r="4764">
      <c r="A4764">
        <f>HYPERLINK("http://bombeiros.sp.gov.br/hidrantes/03individual/3615.html","3615")</f>
      </c>
      <c r="B4764" t="s">
        <v>842</v>
      </c>
      <c r="C4764" t="s">
        <v>1065</v>
      </c>
      <c r="D4764" t="s">
        <v>14295</v>
      </c>
      <c r="E4764" t="s">
        <v>15</v>
      </c>
      <c r="F4764" t="s">
        <v>14296</v>
      </c>
      <c r="G4764" t="s">
        <v>18181</v>
      </c>
      <c r="H4764" t="s">
        <v>1112</v>
      </c>
      <c r="I4764" t="s">
        <v>1108</v>
      </c>
      <c r="J4764" t="s">
        <v>17246</v>
      </c>
      <c r="K4764" t="s">
        <v>17247</v>
      </c>
      <c r="L4764" t="s">
        <v>21</v>
      </c>
      <c r="M4764" t="s">
        <v>19177</v>
      </c>
      <c r="N4764" t="s">
        <v>714</v>
      </c>
      <c r="O4764" t="s">
        <v>10263</v>
      </c>
      <c r="P4764" t="s">
        <v>12</v>
      </c>
    </row>
    <row r="4765">
      <c r="A4765">
        <f>HYPERLINK("http://bombeiros.sp.gov.br/hidrantes/03individual/3617.html","3617")</f>
      </c>
      <c r="B4765" t="s">
        <v>842</v>
      </c>
      <c r="C4765" t="s">
        <v>1065</v>
      </c>
      <c r="D4765" t="s">
        <v>14295</v>
      </c>
      <c r="E4765" t="s">
        <v>15</v>
      </c>
      <c r="F4765" t="s">
        <v>14296</v>
      </c>
      <c r="G4765" t="s">
        <v>18181</v>
      </c>
      <c r="H4765" t="s">
        <v>1107</v>
      </c>
      <c r="I4765" t="s">
        <v>1108</v>
      </c>
      <c r="J4765" t="s">
        <v>17248</v>
      </c>
      <c r="K4765" t="s">
        <v>17249</v>
      </c>
      <c r="L4765" t="s">
        <v>21</v>
      </c>
      <c r="M4765" t="s">
        <v>19177</v>
      </c>
      <c r="N4765" t="s">
        <v>714</v>
      </c>
      <c r="O4765" t="s">
        <v>10263</v>
      </c>
      <c r="P4765" t="s">
        <v>12</v>
      </c>
    </row>
    <row r="4766">
      <c r="A4766">
        <f>HYPERLINK("http://bombeiros.sp.gov.br/hidrantes/03individual/3618.html","3618")</f>
      </c>
      <c r="B4766" t="s">
        <v>842</v>
      </c>
      <c r="C4766" t="s">
        <v>1065</v>
      </c>
      <c r="D4766" t="s">
        <v>14295</v>
      </c>
      <c r="E4766" t="s">
        <v>15</v>
      </c>
      <c r="F4766" t="s">
        <v>14302</v>
      </c>
      <c r="G4766" t="s">
        <v>18181</v>
      </c>
      <c r="H4766" t="s">
        <v>1112</v>
      </c>
      <c r="I4766" t="s">
        <v>1108</v>
      </c>
      <c r="J4766" t="s">
        <v>14338</v>
      </c>
      <c r="K4766" t="s">
        <v>14339</v>
      </c>
      <c r="L4766" t="s">
        <v>21</v>
      </c>
      <c r="M4766" t="s">
        <v>19177</v>
      </c>
      <c r="N4766" t="s">
        <v>714</v>
      </c>
      <c r="O4766" t="s">
        <v>10263</v>
      </c>
      <c r="P4766" t="s">
        <v>12</v>
      </c>
    </row>
    <row r="4767">
      <c r="A4767">
        <f>HYPERLINK("http://bombeiros.sp.gov.br/hidrantes/03individual/3957.html","3957")</f>
      </c>
      <c r="B4767" t="s">
        <v>842</v>
      </c>
      <c r="C4767" t="s">
        <v>1065</v>
      </c>
      <c r="D4767" t="s">
        <v>14295</v>
      </c>
      <c r="E4767" t="s">
        <v>15</v>
      </c>
      <c r="F4767" t="s">
        <v>14340</v>
      </c>
      <c r="G4767" t="s">
        <v>18114</v>
      </c>
      <c r="H4767" t="s">
        <v>1112</v>
      </c>
      <c r="I4767" t="s">
        <v>1108</v>
      </c>
      <c r="J4767" t="s">
        <v>14341</v>
      </c>
      <c r="K4767" t="s">
        <v>14342</v>
      </c>
      <c r="L4767" t="s">
        <v>21</v>
      </c>
      <c r="M4767" t="s">
        <v>19177</v>
      </c>
      <c r="N4767" t="s">
        <v>714</v>
      </c>
      <c r="O4767" t="s">
        <v>10263</v>
      </c>
      <c r="P4767" t="s">
        <v>12</v>
      </c>
    </row>
    <row r="4768">
      <c r="A4768">
        <f>HYPERLINK("http://bombeiros.sp.gov.br/hidrantes/03individual/3960.html","3960")</f>
      </c>
      <c r="B4768" t="s">
        <v>842</v>
      </c>
      <c r="C4768" t="s">
        <v>1065</v>
      </c>
      <c r="D4768" t="s">
        <v>14295</v>
      </c>
      <c r="E4768" t="s">
        <v>15</v>
      </c>
      <c r="F4768" t="s">
        <v>14343</v>
      </c>
      <c r="G4768" t="s">
        <v>18063</v>
      </c>
      <c r="H4768" t="s">
        <v>1107</v>
      </c>
      <c r="I4768" t="s">
        <v>1108</v>
      </c>
      <c r="J4768" t="s">
        <v>14344</v>
      </c>
      <c r="K4768" t="s">
        <v>14345</v>
      </c>
      <c r="L4768" t="s">
        <v>21</v>
      </c>
      <c r="M4768" t="s">
        <v>19177</v>
      </c>
      <c r="N4768" t="s">
        <v>714</v>
      </c>
      <c r="O4768" t="s">
        <v>10263</v>
      </c>
      <c r="P4768" t="s">
        <v>12</v>
      </c>
    </row>
    <row r="4769">
      <c r="A4769">
        <f>HYPERLINK("http://bombeiros.sp.gov.br/hidrantes/03individual/3962.html","3962")</f>
      </c>
      <c r="B4769" t="s">
        <v>842</v>
      </c>
      <c r="C4769" t="s">
        <v>1065</v>
      </c>
      <c r="D4769" t="s">
        <v>14295</v>
      </c>
      <c r="E4769" t="s">
        <v>15</v>
      </c>
      <c r="F4769" t="s">
        <v>14346</v>
      </c>
      <c r="G4769" t="s">
        <v>18114</v>
      </c>
      <c r="H4769" t="s">
        <v>1112</v>
      </c>
      <c r="I4769" t="s">
        <v>1108</v>
      </c>
      <c r="J4769" t="s">
        <v>14347</v>
      </c>
      <c r="K4769" t="s">
        <v>14348</v>
      </c>
      <c r="L4769" t="s">
        <v>21</v>
      </c>
      <c r="M4769" t="s">
        <v>19177</v>
      </c>
      <c r="N4769" t="s">
        <v>714</v>
      </c>
      <c r="O4769" t="s">
        <v>10263</v>
      </c>
      <c r="P4769" t="s">
        <v>12</v>
      </c>
    </row>
    <row r="4770">
      <c r="A4770">
        <f>HYPERLINK("http://bombeiros.sp.gov.br/hidrantes/03individual/3964.html","3964")</f>
      </c>
      <c r="B4770" t="s">
        <v>842</v>
      </c>
      <c r="C4770" t="s">
        <v>1065</v>
      </c>
      <c r="D4770" t="s">
        <v>14295</v>
      </c>
      <c r="E4770" t="s">
        <v>15</v>
      </c>
      <c r="F4770" t="s">
        <v>14349</v>
      </c>
      <c r="G4770" t="s">
        <v>18063</v>
      </c>
      <c r="H4770" t="s">
        <v>1107</v>
      </c>
      <c r="I4770" t="s">
        <v>1108</v>
      </c>
      <c r="J4770" t="s">
        <v>14350</v>
      </c>
      <c r="K4770" t="s">
        <v>14351</v>
      </c>
      <c r="L4770" t="s">
        <v>21</v>
      </c>
      <c r="M4770" t="s">
        <v>19177</v>
      </c>
      <c r="N4770" t="s">
        <v>714</v>
      </c>
      <c r="O4770" t="s">
        <v>10263</v>
      </c>
      <c r="P4770" t="s">
        <v>12</v>
      </c>
    </row>
    <row r="4771">
      <c r="A4771">
        <f>HYPERLINK("http://bombeiros.sp.gov.br/hidrantes/03individual/3967.html","3967")</f>
      </c>
      <c r="B4771" t="s">
        <v>842</v>
      </c>
      <c r="C4771" t="s">
        <v>1065</v>
      </c>
      <c r="D4771" t="s">
        <v>14295</v>
      </c>
      <c r="E4771" t="s">
        <v>15</v>
      </c>
      <c r="F4771" t="s">
        <v>14352</v>
      </c>
      <c r="G4771" t="s">
        <v>18272</v>
      </c>
      <c r="H4771" t="s">
        <v>1112</v>
      </c>
      <c r="I4771" t="s">
        <v>1108</v>
      </c>
      <c r="J4771" t="s">
        <v>14353</v>
      </c>
      <c r="K4771" t="s">
        <v>14354</v>
      </c>
      <c r="L4771" t="s">
        <v>21</v>
      </c>
      <c r="M4771" t="s">
        <v>19177</v>
      </c>
      <c r="N4771" t="s">
        <v>714</v>
      </c>
      <c r="O4771" t="s">
        <v>10263</v>
      </c>
      <c r="P4771" t="s">
        <v>12</v>
      </c>
    </row>
    <row r="4772">
      <c r="A4772">
        <f>HYPERLINK("http://bombeiros.sp.gov.br/hidrantes/03individual/3998.html","3998")</f>
      </c>
      <c r="B4772" t="s">
        <v>842</v>
      </c>
      <c r="C4772" t="s">
        <v>1065</v>
      </c>
      <c r="D4772" t="s">
        <v>14295</v>
      </c>
      <c r="E4772" t="s">
        <v>15</v>
      </c>
      <c r="F4772" t="s">
        <v>14355</v>
      </c>
      <c r="G4772" t="s">
        <v>18150</v>
      </c>
      <c r="H4772" t="s">
        <v>1107</v>
      </c>
      <c r="I4772" t="s">
        <v>1108</v>
      </c>
      <c r="J4772" t="s">
        <v>14356</v>
      </c>
      <c r="K4772" t="s">
        <v>14357</v>
      </c>
      <c r="L4772" t="s">
        <v>21</v>
      </c>
      <c r="M4772" t="s">
        <v>19177</v>
      </c>
      <c r="N4772" t="s">
        <v>714</v>
      </c>
      <c r="O4772" t="s">
        <v>10263</v>
      </c>
      <c r="P4772" t="s">
        <v>12</v>
      </c>
    </row>
    <row r="4773">
      <c r="A4773">
        <f>HYPERLINK("http://bombeiros.sp.gov.br/hidrantes/03individual/4008.html","4008")</f>
      </c>
      <c r="B4773" t="s">
        <v>842</v>
      </c>
      <c r="C4773" t="s">
        <v>1065</v>
      </c>
      <c r="D4773" t="s">
        <v>14295</v>
      </c>
      <c r="E4773" t="s">
        <v>15</v>
      </c>
      <c r="F4773" t="s">
        <v>14358</v>
      </c>
      <c r="G4773" t="s">
        <v>18167</v>
      </c>
      <c r="H4773" t="s">
        <v>1112</v>
      </c>
      <c r="I4773" t="s">
        <v>1108</v>
      </c>
      <c r="J4773" t="s">
        <v>14359</v>
      </c>
      <c r="K4773" t="s">
        <v>14360</v>
      </c>
      <c r="L4773" t="s">
        <v>21</v>
      </c>
      <c r="M4773" t="s">
        <v>19177</v>
      </c>
      <c r="N4773" t="s">
        <v>714</v>
      </c>
      <c r="O4773" t="s">
        <v>10263</v>
      </c>
      <c r="P4773" t="s">
        <v>12</v>
      </c>
    </row>
    <row r="4774">
      <c r="A4774">
        <f>HYPERLINK("http://bombeiros.sp.gov.br/hidrantes/03individual/4009.html","4009")</f>
      </c>
      <c r="B4774" t="s">
        <v>842</v>
      </c>
      <c r="C4774" t="s">
        <v>1065</v>
      </c>
      <c r="D4774" t="s">
        <v>14295</v>
      </c>
      <c r="E4774" t="s">
        <v>15</v>
      </c>
      <c r="F4774" t="s">
        <v>14361</v>
      </c>
      <c r="G4774" t="s">
        <v>18210</v>
      </c>
      <c r="H4774" t="s">
        <v>1112</v>
      </c>
      <c r="I4774" t="s">
        <v>1108</v>
      </c>
      <c r="J4774" t="s">
        <v>14362</v>
      </c>
      <c r="K4774" t="s">
        <v>14363</v>
      </c>
      <c r="L4774" t="s">
        <v>21</v>
      </c>
      <c r="M4774" t="s">
        <v>19177</v>
      </c>
      <c r="N4774" t="s">
        <v>714</v>
      </c>
      <c r="O4774" t="s">
        <v>10263</v>
      </c>
      <c r="P4774" t="s">
        <v>12</v>
      </c>
    </row>
    <row r="4775">
      <c r="A4775">
        <f>HYPERLINK("http://bombeiros.sp.gov.br/hidrantes/03individual/4010.html","4010")</f>
      </c>
      <c r="B4775" t="s">
        <v>842</v>
      </c>
      <c r="C4775" t="s">
        <v>1065</v>
      </c>
      <c r="D4775" t="s">
        <v>14295</v>
      </c>
      <c r="E4775" t="s">
        <v>15</v>
      </c>
      <c r="F4775" t="s">
        <v>14364</v>
      </c>
      <c r="G4775" t="s">
        <v>18210</v>
      </c>
      <c r="H4775" t="s">
        <v>1112</v>
      </c>
      <c r="I4775" t="s">
        <v>1108</v>
      </c>
      <c r="J4775" t="s">
        <v>14365</v>
      </c>
      <c r="K4775" t="s">
        <v>14366</v>
      </c>
      <c r="L4775" t="s">
        <v>36</v>
      </c>
      <c r="M4775" t="s">
        <v>19177</v>
      </c>
      <c r="N4775" t="s">
        <v>714</v>
      </c>
      <c r="O4775" t="s">
        <v>10263</v>
      </c>
      <c r="P4775" t="s">
        <v>12</v>
      </c>
    </row>
    <row r="4776">
      <c r="A4776">
        <f>HYPERLINK("http://bombeiros.sp.gov.br/hidrantes/03individual/4178.html","4178")</f>
      </c>
      <c r="B4776" t="s">
        <v>842</v>
      </c>
      <c r="C4776" t="s">
        <v>1065</v>
      </c>
      <c r="D4776" t="s">
        <v>14295</v>
      </c>
      <c r="E4776" t="s">
        <v>15</v>
      </c>
      <c r="F4776" t="s">
        <v>14367</v>
      </c>
      <c r="G4776" t="s">
        <v>18114</v>
      </c>
      <c r="H4776" t="s">
        <v>1112</v>
      </c>
      <c r="I4776" t="s">
        <v>1108</v>
      </c>
      <c r="J4776" t="s">
        <v>14368</v>
      </c>
      <c r="K4776" t="s">
        <v>14369</v>
      </c>
      <c r="L4776" t="s">
        <v>21</v>
      </c>
      <c r="M4776" t="s">
        <v>19177</v>
      </c>
      <c r="N4776" t="s">
        <v>714</v>
      </c>
      <c r="O4776" t="s">
        <v>10263</v>
      </c>
      <c r="P4776" t="s">
        <v>12</v>
      </c>
    </row>
    <row r="4777">
      <c r="A4777">
        <f>HYPERLINK("http://bombeiros.sp.gov.br/hidrantes/03individual/4386.html","4386")</f>
      </c>
      <c r="B4777" t="s">
        <v>842</v>
      </c>
      <c r="C4777" t="s">
        <v>1065</v>
      </c>
      <c r="D4777" t="s">
        <v>14295</v>
      </c>
      <c r="E4777" t="s">
        <v>15</v>
      </c>
      <c r="F4777" t="s">
        <v>14370</v>
      </c>
      <c r="G4777" t="s">
        <v>18150</v>
      </c>
      <c r="H4777" t="s">
        <v>1107</v>
      </c>
      <c r="I4777" t="s">
        <v>1108</v>
      </c>
      <c r="J4777" t="s">
        <v>14371</v>
      </c>
      <c r="K4777" t="s">
        <v>14372</v>
      </c>
      <c r="L4777" t="s">
        <v>36</v>
      </c>
      <c r="M4777" t="s">
        <v>19177</v>
      </c>
      <c r="N4777" t="s">
        <v>714</v>
      </c>
      <c r="O4777" t="s">
        <v>10263</v>
      </c>
      <c r="P4777" t="s">
        <v>12</v>
      </c>
    </row>
    <row r="4778">
      <c r="A4778">
        <f>HYPERLINK("http://bombeiros.sp.gov.br/hidrantes/03individual/4438.html","4438")</f>
      </c>
      <c r="B4778" t="s">
        <v>842</v>
      </c>
      <c r="C4778" t="s">
        <v>1065</v>
      </c>
      <c r="D4778" t="s">
        <v>14295</v>
      </c>
      <c r="E4778" t="s">
        <v>15</v>
      </c>
      <c r="F4778" t="s">
        <v>14373</v>
      </c>
      <c r="G4778" t="s">
        <v>18210</v>
      </c>
      <c r="H4778" t="s">
        <v>1112</v>
      </c>
      <c r="I4778" t="s">
        <v>1108</v>
      </c>
      <c r="J4778" t="s">
        <v>14374</v>
      </c>
      <c r="K4778" t="s">
        <v>14375</v>
      </c>
      <c r="L4778" t="s">
        <v>21</v>
      </c>
      <c r="M4778" t="s">
        <v>19177</v>
      </c>
      <c r="N4778" t="s">
        <v>714</v>
      </c>
      <c r="O4778" t="s">
        <v>10263</v>
      </c>
      <c r="P4778" t="s">
        <v>12</v>
      </c>
    </row>
    <row r="4779">
      <c r="A4779">
        <f>HYPERLINK("http://bombeiros.sp.gov.br/hidrantes/03individual/10018.html","10018")</f>
      </c>
      <c r="B4779" t="s">
        <v>842</v>
      </c>
      <c r="C4779" t="s">
        <v>1065</v>
      </c>
      <c r="D4779" t="s">
        <v>14295</v>
      </c>
      <c r="E4779" t="s">
        <v>15</v>
      </c>
      <c r="F4779" t="s">
        <v>14376</v>
      </c>
      <c r="G4779" t="s">
        <v>18166</v>
      </c>
      <c r="H4779" t="s">
        <v>1121</v>
      </c>
      <c r="I4779" t="s">
        <v>1117</v>
      </c>
      <c r="J4779" t="s">
        <v>14377</v>
      </c>
      <c r="K4779" t="s">
        <v>14378</v>
      </c>
      <c r="L4779" t="s">
        <v>21</v>
      </c>
      <c r="M4779" t="s">
        <v>19177</v>
      </c>
      <c r="N4779" t="s">
        <v>714</v>
      </c>
      <c r="O4779" t="s">
        <v>10263</v>
      </c>
      <c r="P4779" t="s">
        <v>12</v>
      </c>
    </row>
    <row r="4780">
      <c r="A4780">
        <f>HYPERLINK("http://bombeiros.sp.gov.br/hidrantes/03individual/16528.html","16528")</f>
      </c>
      <c r="B4780" t="s">
        <v>842</v>
      </c>
      <c r="C4780" t="s">
        <v>1065</v>
      </c>
      <c r="D4780" t="s">
        <v>14295</v>
      </c>
      <c r="E4780" t="s">
        <v>15</v>
      </c>
      <c r="F4780" t="s">
        <v>14379</v>
      </c>
      <c r="G4780" t="s">
        <v>18181</v>
      </c>
      <c r="H4780" t="s">
        <v>1112</v>
      </c>
      <c r="I4780" t="s">
        <v>1108</v>
      </c>
      <c r="J4780" t="s">
        <v>14380</v>
      </c>
      <c r="K4780" t="s">
        <v>14381</v>
      </c>
      <c r="L4780" t="s">
        <v>21</v>
      </c>
      <c r="M4780" t="s">
        <v>19177</v>
      </c>
      <c r="N4780" t="s">
        <v>714</v>
      </c>
      <c r="O4780" t="s">
        <v>10263</v>
      </c>
      <c r="P4780" t="s">
        <v>12</v>
      </c>
    </row>
    <row r="4781">
      <c r="A4781">
        <f>HYPERLINK("http://bombeiros.sp.gov.br/hidrantes/03individual/17681.html","17681")</f>
      </c>
      <c r="B4781" t="s">
        <v>842</v>
      </c>
      <c r="C4781" t="s">
        <v>1065</v>
      </c>
      <c r="D4781" t="s">
        <v>14295</v>
      </c>
      <c r="E4781" t="s">
        <v>15</v>
      </c>
      <c r="F4781" t="s">
        <v>14382</v>
      </c>
      <c r="G4781" t="s">
        <v>18114</v>
      </c>
      <c r="H4781" t="s">
        <v>1112</v>
      </c>
      <c r="I4781" t="s">
        <v>1108</v>
      </c>
      <c r="J4781" t="s">
        <v>14383</v>
      </c>
      <c r="K4781" t="s">
        <v>14384</v>
      </c>
      <c r="L4781" t="s">
        <v>21</v>
      </c>
      <c r="M4781" t="s">
        <v>19177</v>
      </c>
      <c r="N4781" t="s">
        <v>714</v>
      </c>
      <c r="O4781" t="s">
        <v>10263</v>
      </c>
      <c r="P4781" t="s">
        <v>12</v>
      </c>
    </row>
    <row r="4782">
      <c r="A4782">
        <f>HYPERLINK("http://bombeiros.sp.gov.br/hidrantes/03individual/330.html","330")</f>
      </c>
      <c r="B4782" t="s">
        <v>842</v>
      </c>
      <c r="C4782" t="s">
        <v>1065</v>
      </c>
      <c r="D4782" t="s">
        <v>14385</v>
      </c>
      <c r="E4782" t="s">
        <v>64</v>
      </c>
      <c r="F4782" t="s">
        <v>14386</v>
      </c>
      <c r="G4782" t="s">
        <v>18563</v>
      </c>
      <c r="H4782" t="s">
        <v>1112</v>
      </c>
      <c r="I4782" t="s">
        <v>1108</v>
      </c>
      <c r="J4782" t="s">
        <v>14387</v>
      </c>
      <c r="K4782" t="s">
        <v>14388</v>
      </c>
      <c r="L4782" t="s">
        <v>36</v>
      </c>
      <c r="M4782" t="s">
        <v>19177</v>
      </c>
      <c r="N4782" t="s">
        <v>714</v>
      </c>
      <c r="O4782" t="s">
        <v>10263</v>
      </c>
      <c r="P4782" t="s">
        <v>12</v>
      </c>
    </row>
    <row r="4783">
      <c r="A4783">
        <f>HYPERLINK("http://bombeiros.sp.gov.br/hidrantes/03individual/3940.html","3940")</f>
      </c>
      <c r="B4783" t="s">
        <v>842</v>
      </c>
      <c r="C4783" t="s">
        <v>1065</v>
      </c>
      <c r="D4783" t="s">
        <v>14385</v>
      </c>
      <c r="E4783" t="s">
        <v>64</v>
      </c>
      <c r="F4783" t="s">
        <v>14389</v>
      </c>
      <c r="G4783" t="s">
        <v>18563</v>
      </c>
      <c r="H4783" t="s">
        <v>1121</v>
      </c>
      <c r="I4783" t="s">
        <v>1117</v>
      </c>
      <c r="J4783" t="s">
        <v>14390</v>
      </c>
      <c r="K4783" t="s">
        <v>14391</v>
      </c>
      <c r="L4783" t="s">
        <v>36</v>
      </c>
      <c r="M4783" t="s">
        <v>19177</v>
      </c>
      <c r="N4783" t="s">
        <v>714</v>
      </c>
      <c r="O4783" t="s">
        <v>10263</v>
      </c>
      <c r="P4783" t="s">
        <v>12</v>
      </c>
    </row>
    <row r="4784">
      <c r="A4784">
        <f>HYPERLINK("http://bombeiros.sp.gov.br/hidrantes/03individual/3949.html","3949")</f>
      </c>
      <c r="B4784" t="s">
        <v>842</v>
      </c>
      <c r="C4784" t="s">
        <v>1065</v>
      </c>
      <c r="D4784" t="s">
        <v>14385</v>
      </c>
      <c r="E4784" t="s">
        <v>64</v>
      </c>
      <c r="F4784" t="s">
        <v>14392</v>
      </c>
      <c r="G4784" t="s">
        <v>18041</v>
      </c>
      <c r="H4784" t="s">
        <v>1112</v>
      </c>
      <c r="I4784" t="s">
        <v>1108</v>
      </c>
      <c r="J4784" t="s">
        <v>14393</v>
      </c>
      <c r="K4784" t="s">
        <v>14394</v>
      </c>
      <c r="L4784" t="s">
        <v>36</v>
      </c>
      <c r="M4784" t="s">
        <v>19177</v>
      </c>
      <c r="N4784" t="s">
        <v>1024</v>
      </c>
      <c r="O4784" t="s">
        <v>1024</v>
      </c>
      <c r="P4784" t="s">
        <v>842</v>
      </c>
    </row>
    <row r="4785">
      <c r="A4785">
        <f>HYPERLINK("http://bombeiros.sp.gov.br/hidrantes/03individual/3984.html","3984")</f>
      </c>
      <c r="B4785" t="s">
        <v>842</v>
      </c>
      <c r="C4785" t="s">
        <v>1065</v>
      </c>
      <c r="D4785" t="s">
        <v>14385</v>
      </c>
      <c r="E4785" t="s">
        <v>64</v>
      </c>
      <c r="F4785" t="s">
        <v>14395</v>
      </c>
      <c r="G4785" t="s">
        <v>18563</v>
      </c>
      <c r="H4785" t="s">
        <v>1112</v>
      </c>
      <c r="I4785" t="s">
        <v>1108</v>
      </c>
      <c r="J4785" t="s">
        <v>14396</v>
      </c>
      <c r="K4785" t="s">
        <v>14397</v>
      </c>
      <c r="L4785" t="s">
        <v>36</v>
      </c>
      <c r="M4785" t="s">
        <v>19177</v>
      </c>
      <c r="N4785" t="s">
        <v>714</v>
      </c>
      <c r="O4785" t="s">
        <v>10263</v>
      </c>
      <c r="P4785" t="s">
        <v>12</v>
      </c>
    </row>
    <row r="4786">
      <c r="A4786">
        <f>HYPERLINK("http://bombeiros.sp.gov.br/hidrantes/03individual/4003.html","4003")</f>
      </c>
      <c r="B4786" t="s">
        <v>842</v>
      </c>
      <c r="C4786" t="s">
        <v>1065</v>
      </c>
      <c r="D4786" t="s">
        <v>14385</v>
      </c>
      <c r="E4786" t="s">
        <v>64</v>
      </c>
      <c r="F4786" t="s">
        <v>14398</v>
      </c>
      <c r="G4786" t="s">
        <v>18563</v>
      </c>
      <c r="H4786" t="s">
        <v>1112</v>
      </c>
      <c r="I4786" t="s">
        <v>1108</v>
      </c>
      <c r="J4786" t="s">
        <v>14399</v>
      </c>
      <c r="K4786" t="s">
        <v>14400</v>
      </c>
      <c r="L4786" t="s">
        <v>36</v>
      </c>
      <c r="M4786" t="s">
        <v>19177</v>
      </c>
      <c r="N4786" t="s">
        <v>714</v>
      </c>
      <c r="O4786" t="s">
        <v>10263</v>
      </c>
      <c r="P4786" t="s">
        <v>12</v>
      </c>
    </row>
    <row r="4787">
      <c r="A4787">
        <f>HYPERLINK("http://bombeiros.sp.gov.br/hidrantes/03individual/309.html","309")</f>
      </c>
      <c r="B4787" t="s">
        <v>842</v>
      </c>
      <c r="C4787" t="s">
        <v>1065</v>
      </c>
      <c r="D4787" t="s">
        <v>14385</v>
      </c>
      <c r="E4787" t="s">
        <v>15</v>
      </c>
      <c r="F4787" t="s">
        <v>14401</v>
      </c>
      <c r="G4787" t="s">
        <v>18150</v>
      </c>
      <c r="H4787" t="s">
        <v>1107</v>
      </c>
      <c r="I4787" t="s">
        <v>1108</v>
      </c>
      <c r="J4787" t="s">
        <v>14402</v>
      </c>
      <c r="K4787" t="s">
        <v>14403</v>
      </c>
      <c r="L4787" t="s">
        <v>21</v>
      </c>
      <c r="M4787" t="s">
        <v>19177</v>
      </c>
      <c r="N4787" t="s">
        <v>714</v>
      </c>
      <c r="O4787" t="s">
        <v>10263</v>
      </c>
      <c r="P4787" t="s">
        <v>12</v>
      </c>
    </row>
    <row r="4788">
      <c r="A4788">
        <f>HYPERLINK("http://bombeiros.sp.gov.br/hidrantes/03individual/332.html","332")</f>
      </c>
      <c r="B4788" t="s">
        <v>842</v>
      </c>
      <c r="C4788" t="s">
        <v>1065</v>
      </c>
      <c r="D4788" t="s">
        <v>14385</v>
      </c>
      <c r="E4788" t="s">
        <v>15</v>
      </c>
      <c r="F4788" t="s">
        <v>14404</v>
      </c>
      <c r="G4788" t="s">
        <v>18145</v>
      </c>
      <c r="H4788" t="s">
        <v>1107</v>
      </c>
      <c r="I4788" t="s">
        <v>1108</v>
      </c>
      <c r="J4788" t="s">
        <v>14405</v>
      </c>
      <c r="K4788" t="s">
        <v>14406</v>
      </c>
      <c r="L4788" t="s">
        <v>21</v>
      </c>
      <c r="M4788" t="s">
        <v>19177</v>
      </c>
      <c r="N4788" t="s">
        <v>714</v>
      </c>
      <c r="O4788" t="s">
        <v>10263</v>
      </c>
      <c r="P4788" t="s">
        <v>12</v>
      </c>
    </row>
    <row r="4789">
      <c r="A4789">
        <f>HYPERLINK("http://bombeiros.sp.gov.br/hidrantes/03individual/355.html","355")</f>
      </c>
      <c r="B4789" t="s">
        <v>842</v>
      </c>
      <c r="C4789" t="s">
        <v>1065</v>
      </c>
      <c r="D4789" t="s">
        <v>14385</v>
      </c>
      <c r="E4789" t="s">
        <v>15</v>
      </c>
      <c r="F4789" t="s">
        <v>14407</v>
      </c>
      <c r="G4789" t="s">
        <v>18150</v>
      </c>
      <c r="H4789" t="s">
        <v>1107</v>
      </c>
      <c r="I4789" t="s">
        <v>1108</v>
      </c>
      <c r="J4789" t="s">
        <v>14408</v>
      </c>
      <c r="K4789" t="s">
        <v>14409</v>
      </c>
      <c r="L4789" t="s">
        <v>21</v>
      </c>
      <c r="M4789" t="s">
        <v>19177</v>
      </c>
      <c r="N4789" t="s">
        <v>714</v>
      </c>
      <c r="O4789" t="s">
        <v>10263</v>
      </c>
      <c r="P4789" t="s">
        <v>12</v>
      </c>
    </row>
    <row r="4790">
      <c r="A4790">
        <f>HYPERLINK("http://bombeiros.sp.gov.br/hidrantes/03individual/382.html","382")</f>
      </c>
      <c r="B4790" t="s">
        <v>842</v>
      </c>
      <c r="C4790" t="s">
        <v>1065</v>
      </c>
      <c r="D4790" t="s">
        <v>14385</v>
      </c>
      <c r="E4790" t="s">
        <v>15</v>
      </c>
      <c r="F4790" t="s">
        <v>14410</v>
      </c>
      <c r="G4790" t="s">
        <v>18083</v>
      </c>
      <c r="H4790" t="s">
        <v>1107</v>
      </c>
      <c r="I4790" t="s">
        <v>1108</v>
      </c>
      <c r="J4790" t="s">
        <v>14411</v>
      </c>
      <c r="K4790" t="s">
        <v>14412</v>
      </c>
      <c r="L4790" t="s">
        <v>21</v>
      </c>
      <c r="M4790" t="s">
        <v>19177</v>
      </c>
      <c r="N4790" t="s">
        <v>714</v>
      </c>
      <c r="O4790" t="s">
        <v>10263</v>
      </c>
      <c r="P4790" t="s">
        <v>12</v>
      </c>
    </row>
    <row r="4791">
      <c r="A4791">
        <f>HYPERLINK("http://bombeiros.sp.gov.br/hidrantes/03individual/384.html","384")</f>
      </c>
      <c r="B4791" t="s">
        <v>842</v>
      </c>
      <c r="C4791" t="s">
        <v>1065</v>
      </c>
      <c r="D4791" t="s">
        <v>14385</v>
      </c>
      <c r="E4791" t="s">
        <v>15</v>
      </c>
      <c r="F4791" t="s">
        <v>14413</v>
      </c>
      <c r="G4791" t="s">
        <v>18166</v>
      </c>
      <c r="H4791" t="s">
        <v>1107</v>
      </c>
      <c r="I4791" t="s">
        <v>1117</v>
      </c>
      <c r="J4791" t="s">
        <v>14414</v>
      </c>
      <c r="K4791" t="s">
        <v>14415</v>
      </c>
      <c r="L4791" t="s">
        <v>21</v>
      </c>
      <c r="M4791" t="s">
        <v>19177</v>
      </c>
      <c r="N4791" t="s">
        <v>714</v>
      </c>
      <c r="O4791" t="s">
        <v>10263</v>
      </c>
      <c r="P4791" t="s">
        <v>12</v>
      </c>
    </row>
    <row r="4792">
      <c r="A4792">
        <f>HYPERLINK("http://bombeiros.sp.gov.br/hidrantes/03individual/386.html","386")</f>
      </c>
      <c r="B4792" t="s">
        <v>842</v>
      </c>
      <c r="C4792" t="s">
        <v>1065</v>
      </c>
      <c r="D4792" t="s">
        <v>14385</v>
      </c>
      <c r="E4792" t="s">
        <v>15</v>
      </c>
      <c r="F4792" t="s">
        <v>14416</v>
      </c>
      <c r="G4792" t="s">
        <v>18063</v>
      </c>
      <c r="H4792" t="s">
        <v>1107</v>
      </c>
      <c r="I4792" t="s">
        <v>1108</v>
      </c>
      <c r="J4792" t="s">
        <v>14417</v>
      </c>
      <c r="K4792" t="s">
        <v>14418</v>
      </c>
      <c r="L4792" t="s">
        <v>21</v>
      </c>
      <c r="M4792" t="s">
        <v>19177</v>
      </c>
      <c r="N4792" t="s">
        <v>714</v>
      </c>
      <c r="O4792" t="s">
        <v>10263</v>
      </c>
      <c r="P4792" t="s">
        <v>12</v>
      </c>
    </row>
    <row r="4793">
      <c r="A4793">
        <f>HYPERLINK("http://bombeiros.sp.gov.br/hidrantes/03individual/432.html","432")</f>
      </c>
      <c r="B4793" t="s">
        <v>842</v>
      </c>
      <c r="C4793" t="s">
        <v>1065</v>
      </c>
      <c r="D4793" t="s">
        <v>14385</v>
      </c>
      <c r="E4793" t="s">
        <v>15</v>
      </c>
      <c r="F4793" t="s">
        <v>14419</v>
      </c>
      <c r="G4793" t="s">
        <v>18063</v>
      </c>
      <c r="H4793" t="s">
        <v>1107</v>
      </c>
      <c r="I4793" t="s">
        <v>1108</v>
      </c>
      <c r="J4793" t="s">
        <v>14420</v>
      </c>
      <c r="K4793" t="s">
        <v>14421</v>
      </c>
      <c r="L4793" t="s">
        <v>21</v>
      </c>
      <c r="M4793" t="s">
        <v>19177</v>
      </c>
      <c r="N4793" t="s">
        <v>714</v>
      </c>
      <c r="O4793" t="s">
        <v>10263</v>
      </c>
      <c r="P4793" t="s">
        <v>12</v>
      </c>
    </row>
    <row r="4794">
      <c r="A4794">
        <f>HYPERLINK("http://bombeiros.sp.gov.br/hidrantes/03individual/456.html","456")</f>
      </c>
      <c r="B4794" t="s">
        <v>842</v>
      </c>
      <c r="C4794" t="s">
        <v>1065</v>
      </c>
      <c r="D4794" t="s">
        <v>14385</v>
      </c>
      <c r="E4794" t="s">
        <v>15</v>
      </c>
      <c r="F4794" t="s">
        <v>14422</v>
      </c>
      <c r="G4794" t="s">
        <v>18169</v>
      </c>
      <c r="H4794" t="s">
        <v>1107</v>
      </c>
      <c r="I4794" t="s">
        <v>1108</v>
      </c>
      <c r="J4794" t="s">
        <v>14423</v>
      </c>
      <c r="K4794" t="s">
        <v>14424</v>
      </c>
      <c r="L4794" t="s">
        <v>21</v>
      </c>
      <c r="M4794" t="s">
        <v>19177</v>
      </c>
      <c r="N4794" t="s">
        <v>714</v>
      </c>
      <c r="O4794" t="s">
        <v>10263</v>
      </c>
      <c r="P4794" t="s">
        <v>12</v>
      </c>
    </row>
    <row r="4795">
      <c r="A4795">
        <f>HYPERLINK("http://bombeiros.sp.gov.br/hidrantes/03individual/476.html","476")</f>
      </c>
      <c r="B4795" t="s">
        <v>842</v>
      </c>
      <c r="C4795" t="s">
        <v>1065</v>
      </c>
      <c r="D4795" t="s">
        <v>14385</v>
      </c>
      <c r="E4795" t="s">
        <v>15</v>
      </c>
      <c r="F4795" t="s">
        <v>14425</v>
      </c>
      <c r="G4795" t="s">
        <v>18060</v>
      </c>
      <c r="H4795" t="s">
        <v>1107</v>
      </c>
      <c r="I4795" t="s">
        <v>1108</v>
      </c>
      <c r="J4795" t="s">
        <v>14426</v>
      </c>
      <c r="K4795" t="s">
        <v>14427</v>
      </c>
      <c r="L4795" t="s">
        <v>21</v>
      </c>
      <c r="M4795" t="s">
        <v>19177</v>
      </c>
      <c r="N4795" t="s">
        <v>714</v>
      </c>
      <c r="O4795" t="s">
        <v>10263</v>
      </c>
      <c r="P4795" t="s">
        <v>12</v>
      </c>
    </row>
    <row r="4796">
      <c r="A4796">
        <f>HYPERLINK("http://bombeiros.sp.gov.br/hidrantes/03individual/478.html","478")</f>
      </c>
      <c r="B4796" t="s">
        <v>842</v>
      </c>
      <c r="C4796" t="s">
        <v>1065</v>
      </c>
      <c r="D4796" t="s">
        <v>14385</v>
      </c>
      <c r="E4796" t="s">
        <v>15</v>
      </c>
      <c r="F4796" t="s">
        <v>14428</v>
      </c>
      <c r="G4796" t="s">
        <v>18123</v>
      </c>
      <c r="H4796" t="s">
        <v>1112</v>
      </c>
      <c r="I4796" t="s">
        <v>1108</v>
      </c>
      <c r="J4796" t="s">
        <v>14429</v>
      </c>
      <c r="K4796" t="s">
        <v>14430</v>
      </c>
      <c r="L4796" t="s">
        <v>21</v>
      </c>
      <c r="M4796" t="s">
        <v>19177</v>
      </c>
      <c r="N4796" t="s">
        <v>1024</v>
      </c>
      <c r="O4796" t="s">
        <v>1024</v>
      </c>
      <c r="P4796" t="s">
        <v>842</v>
      </c>
    </row>
    <row r="4797">
      <c r="A4797">
        <f>HYPERLINK("http://bombeiros.sp.gov.br/hidrantes/03individual/3703.html","3703")</f>
      </c>
      <c r="B4797" t="s">
        <v>842</v>
      </c>
      <c r="C4797" t="s">
        <v>1065</v>
      </c>
      <c r="D4797" t="s">
        <v>14385</v>
      </c>
      <c r="E4797" t="s">
        <v>15</v>
      </c>
      <c r="F4797" t="s">
        <v>14386</v>
      </c>
      <c r="G4797" t="s">
        <v>18060</v>
      </c>
      <c r="H4797" t="s">
        <v>1107</v>
      </c>
      <c r="I4797" t="s">
        <v>1108</v>
      </c>
      <c r="J4797" t="s">
        <v>14431</v>
      </c>
      <c r="K4797" t="s">
        <v>14432</v>
      </c>
      <c r="L4797" t="s">
        <v>21</v>
      </c>
      <c r="M4797" t="s">
        <v>19177</v>
      </c>
      <c r="N4797" t="s">
        <v>714</v>
      </c>
      <c r="O4797" t="s">
        <v>10263</v>
      </c>
      <c r="P4797" t="s">
        <v>12</v>
      </c>
    </row>
    <row r="4798">
      <c r="A4798">
        <f>HYPERLINK("http://bombeiros.sp.gov.br/hidrantes/03individual/3937.html","3937")</f>
      </c>
      <c r="B4798" t="s">
        <v>842</v>
      </c>
      <c r="C4798" t="s">
        <v>1065</v>
      </c>
      <c r="D4798" t="s">
        <v>14385</v>
      </c>
      <c r="E4798" t="s">
        <v>15</v>
      </c>
      <c r="F4798" t="s">
        <v>14433</v>
      </c>
      <c r="G4798" t="s">
        <v>18145</v>
      </c>
      <c r="H4798" t="s">
        <v>1107</v>
      </c>
      <c r="I4798" t="s">
        <v>1108</v>
      </c>
      <c r="J4798" t="s">
        <v>14434</v>
      </c>
      <c r="K4798" t="s">
        <v>14435</v>
      </c>
      <c r="L4798" t="s">
        <v>36</v>
      </c>
      <c r="M4798" t="s">
        <v>19177</v>
      </c>
      <c r="N4798" t="s">
        <v>714</v>
      </c>
      <c r="O4798" t="s">
        <v>10263</v>
      </c>
      <c r="P4798" t="s">
        <v>12</v>
      </c>
    </row>
    <row r="4799">
      <c r="A4799">
        <f>HYPERLINK("http://bombeiros.sp.gov.br/hidrantes/03individual/3951.html","3951")</f>
      </c>
      <c r="B4799" t="s">
        <v>842</v>
      </c>
      <c r="C4799" t="s">
        <v>1065</v>
      </c>
      <c r="D4799" t="s">
        <v>14385</v>
      </c>
      <c r="E4799" t="s">
        <v>15</v>
      </c>
      <c r="F4799" t="s">
        <v>14436</v>
      </c>
      <c r="G4799" t="s">
        <v>18041</v>
      </c>
      <c r="H4799" t="s">
        <v>1112</v>
      </c>
      <c r="I4799" t="s">
        <v>1108</v>
      </c>
      <c r="J4799" t="s">
        <v>14437</v>
      </c>
      <c r="K4799" t="s">
        <v>14438</v>
      </c>
      <c r="L4799" t="s">
        <v>36</v>
      </c>
      <c r="M4799" t="s">
        <v>19177</v>
      </c>
      <c r="N4799" t="s">
        <v>1024</v>
      </c>
      <c r="O4799" t="s">
        <v>1024</v>
      </c>
      <c r="P4799" t="s">
        <v>842</v>
      </c>
    </row>
    <row r="4800">
      <c r="A4800">
        <f>HYPERLINK("http://bombeiros.sp.gov.br/hidrantes/03individual/3973.html","3973")</f>
      </c>
      <c r="B4800" t="s">
        <v>842</v>
      </c>
      <c r="C4800" t="s">
        <v>1065</v>
      </c>
      <c r="D4800" t="s">
        <v>14385</v>
      </c>
      <c r="E4800" t="s">
        <v>15</v>
      </c>
      <c r="F4800" t="s">
        <v>14439</v>
      </c>
      <c r="G4800" t="s">
        <v>18169</v>
      </c>
      <c r="H4800" t="s">
        <v>1112</v>
      </c>
      <c r="I4800" t="s">
        <v>1108</v>
      </c>
      <c r="J4800" t="s">
        <v>14440</v>
      </c>
      <c r="K4800" t="s">
        <v>14441</v>
      </c>
      <c r="L4800" t="s">
        <v>21</v>
      </c>
      <c r="M4800" t="s">
        <v>19177</v>
      </c>
      <c r="N4800" t="s">
        <v>714</v>
      </c>
      <c r="O4800" t="s">
        <v>10263</v>
      </c>
      <c r="P4800" t="s">
        <v>12</v>
      </c>
    </row>
    <row r="4801">
      <c r="A4801">
        <f>HYPERLINK("http://bombeiros.sp.gov.br/hidrantes/03individual/3985.html","3985")</f>
      </c>
      <c r="B4801" t="s">
        <v>842</v>
      </c>
      <c r="C4801" t="s">
        <v>1065</v>
      </c>
      <c r="D4801" t="s">
        <v>14385</v>
      </c>
      <c r="E4801" t="s">
        <v>15</v>
      </c>
      <c r="F4801" t="s">
        <v>14442</v>
      </c>
      <c r="G4801" t="s">
        <v>18166</v>
      </c>
      <c r="H4801" t="s">
        <v>1121</v>
      </c>
      <c r="I4801" t="s">
        <v>1117</v>
      </c>
      <c r="J4801" t="s">
        <v>14443</v>
      </c>
      <c r="K4801" t="s">
        <v>14444</v>
      </c>
      <c r="L4801" t="s">
        <v>21</v>
      </c>
      <c r="M4801" t="s">
        <v>19177</v>
      </c>
      <c r="N4801" t="s">
        <v>714</v>
      </c>
      <c r="O4801" t="s">
        <v>10263</v>
      </c>
      <c r="P4801" t="s">
        <v>12</v>
      </c>
    </row>
    <row r="4802">
      <c r="A4802">
        <f>HYPERLINK("http://bombeiros.sp.gov.br/hidrantes/03individual/3986.html","3986")</f>
      </c>
      <c r="B4802" t="s">
        <v>842</v>
      </c>
      <c r="C4802" t="s">
        <v>1065</v>
      </c>
      <c r="D4802" t="s">
        <v>14385</v>
      </c>
      <c r="E4802" t="s">
        <v>15</v>
      </c>
      <c r="F4802" t="s">
        <v>14445</v>
      </c>
      <c r="G4802" t="s">
        <v>18563</v>
      </c>
      <c r="H4802" t="s">
        <v>1112</v>
      </c>
      <c r="I4802" t="s">
        <v>1108</v>
      </c>
      <c r="J4802" t="s">
        <v>14446</v>
      </c>
      <c r="K4802" t="s">
        <v>14447</v>
      </c>
      <c r="L4802" t="s">
        <v>21</v>
      </c>
      <c r="M4802" t="s">
        <v>19177</v>
      </c>
      <c r="N4802" t="s">
        <v>714</v>
      </c>
      <c r="O4802" t="s">
        <v>10263</v>
      </c>
      <c r="P4802" t="s">
        <v>12</v>
      </c>
    </row>
    <row r="4803">
      <c r="A4803">
        <f>HYPERLINK("http://bombeiros.sp.gov.br/hidrantes/03individual/3987.html","3987")</f>
      </c>
      <c r="B4803" t="s">
        <v>842</v>
      </c>
      <c r="C4803" t="s">
        <v>1065</v>
      </c>
      <c r="D4803" t="s">
        <v>14385</v>
      </c>
      <c r="E4803" t="s">
        <v>15</v>
      </c>
      <c r="F4803" t="s">
        <v>14448</v>
      </c>
      <c r="G4803" t="s">
        <v>18145</v>
      </c>
      <c r="H4803" t="s">
        <v>1107</v>
      </c>
      <c r="I4803" t="s">
        <v>1108</v>
      </c>
      <c r="J4803" t="s">
        <v>14449</v>
      </c>
      <c r="K4803" t="s">
        <v>14450</v>
      </c>
      <c r="L4803" t="s">
        <v>21</v>
      </c>
      <c r="M4803" t="s">
        <v>19177</v>
      </c>
      <c r="N4803" t="s">
        <v>714</v>
      </c>
      <c r="O4803" t="s">
        <v>10263</v>
      </c>
      <c r="P4803" t="s">
        <v>12</v>
      </c>
    </row>
    <row r="4804">
      <c r="A4804">
        <f>HYPERLINK("http://bombeiros.sp.gov.br/hidrantes/03individual/3999.html","3999")</f>
      </c>
      <c r="B4804" t="s">
        <v>842</v>
      </c>
      <c r="C4804" t="s">
        <v>1065</v>
      </c>
      <c r="D4804" t="s">
        <v>14385</v>
      </c>
      <c r="E4804" t="s">
        <v>15</v>
      </c>
      <c r="F4804" t="s">
        <v>14451</v>
      </c>
      <c r="G4804" t="s">
        <v>18169</v>
      </c>
      <c r="H4804" t="s">
        <v>1112</v>
      </c>
      <c r="I4804" t="s">
        <v>1108</v>
      </c>
      <c r="J4804" t="s">
        <v>14452</v>
      </c>
      <c r="K4804" t="s">
        <v>14453</v>
      </c>
      <c r="L4804" t="s">
        <v>21</v>
      </c>
      <c r="M4804" t="s">
        <v>19177</v>
      </c>
      <c r="N4804" t="s">
        <v>714</v>
      </c>
      <c r="O4804" t="s">
        <v>10263</v>
      </c>
      <c r="P4804" t="s">
        <v>12</v>
      </c>
    </row>
    <row r="4805">
      <c r="A4805">
        <f>HYPERLINK("http://bombeiros.sp.gov.br/hidrantes/03individual/4000.html","4000")</f>
      </c>
      <c r="B4805" t="s">
        <v>842</v>
      </c>
      <c r="C4805" t="s">
        <v>1065</v>
      </c>
      <c r="D4805" t="s">
        <v>14385</v>
      </c>
      <c r="E4805" t="s">
        <v>15</v>
      </c>
      <c r="F4805" t="s">
        <v>14454</v>
      </c>
      <c r="G4805" t="s">
        <v>18063</v>
      </c>
      <c r="H4805" t="s">
        <v>1107</v>
      </c>
      <c r="I4805" t="s">
        <v>1108</v>
      </c>
      <c r="J4805" t="s">
        <v>14455</v>
      </c>
      <c r="K4805" t="s">
        <v>14456</v>
      </c>
      <c r="L4805" t="s">
        <v>21</v>
      </c>
      <c r="M4805" t="s">
        <v>19177</v>
      </c>
      <c r="N4805" t="s">
        <v>714</v>
      </c>
      <c r="O4805" t="s">
        <v>10263</v>
      </c>
      <c r="P4805" t="s">
        <v>12</v>
      </c>
    </row>
    <row r="4806">
      <c r="A4806">
        <f>HYPERLINK("http://bombeiros.sp.gov.br/hidrantes/03individual/4001.html","4001")</f>
      </c>
      <c r="B4806" t="s">
        <v>842</v>
      </c>
      <c r="C4806" t="s">
        <v>1065</v>
      </c>
      <c r="D4806" t="s">
        <v>14385</v>
      </c>
      <c r="E4806" t="s">
        <v>15</v>
      </c>
      <c r="F4806" t="s">
        <v>14457</v>
      </c>
      <c r="G4806" t="s">
        <v>18145</v>
      </c>
      <c r="H4806" t="s">
        <v>1107</v>
      </c>
      <c r="I4806" t="s">
        <v>1108</v>
      </c>
      <c r="J4806" t="s">
        <v>14458</v>
      </c>
      <c r="K4806" t="s">
        <v>14459</v>
      </c>
      <c r="L4806" t="s">
        <v>21</v>
      </c>
      <c r="M4806" t="s">
        <v>19177</v>
      </c>
      <c r="N4806" t="s">
        <v>714</v>
      </c>
      <c r="O4806" t="s">
        <v>10263</v>
      </c>
      <c r="P4806" t="s">
        <v>12</v>
      </c>
    </row>
    <row r="4807">
      <c r="A4807">
        <f>HYPERLINK("http://bombeiros.sp.gov.br/hidrantes/03individual/4002.html","4002")</f>
      </c>
      <c r="B4807" t="s">
        <v>842</v>
      </c>
      <c r="C4807" t="s">
        <v>1065</v>
      </c>
      <c r="D4807" t="s">
        <v>14385</v>
      </c>
      <c r="E4807" t="s">
        <v>15</v>
      </c>
      <c r="F4807" t="s">
        <v>14460</v>
      </c>
      <c r="G4807" t="s">
        <v>18563</v>
      </c>
      <c r="H4807" t="s">
        <v>1112</v>
      </c>
      <c r="I4807" t="s">
        <v>1108</v>
      </c>
      <c r="J4807" t="s">
        <v>14461</v>
      </c>
      <c r="K4807" t="s">
        <v>14462</v>
      </c>
      <c r="L4807" t="s">
        <v>21</v>
      </c>
      <c r="M4807" t="s">
        <v>19177</v>
      </c>
      <c r="N4807" t="s">
        <v>714</v>
      </c>
      <c r="O4807" t="s">
        <v>10263</v>
      </c>
      <c r="P4807" t="s">
        <v>12</v>
      </c>
    </row>
    <row r="4808">
      <c r="A4808">
        <f>HYPERLINK("http://bombeiros.sp.gov.br/hidrantes/03individual/4004.html","4004")</f>
      </c>
      <c r="B4808" t="s">
        <v>842</v>
      </c>
      <c r="C4808" t="s">
        <v>1065</v>
      </c>
      <c r="D4808" t="s">
        <v>14385</v>
      </c>
      <c r="E4808" t="s">
        <v>15</v>
      </c>
      <c r="F4808" t="s">
        <v>14463</v>
      </c>
      <c r="G4808" t="s">
        <v>18063</v>
      </c>
      <c r="H4808" t="s">
        <v>1107</v>
      </c>
      <c r="I4808" t="s">
        <v>1108</v>
      </c>
      <c r="J4808" t="s">
        <v>14464</v>
      </c>
      <c r="K4808" t="s">
        <v>14465</v>
      </c>
      <c r="L4808" t="s">
        <v>21</v>
      </c>
      <c r="M4808" t="s">
        <v>19177</v>
      </c>
      <c r="N4808" t="s">
        <v>714</v>
      </c>
      <c r="O4808" t="s">
        <v>10263</v>
      </c>
      <c r="P4808" t="s">
        <v>12</v>
      </c>
    </row>
    <row r="4809">
      <c r="A4809">
        <f>HYPERLINK("http://bombeiros.sp.gov.br/hidrantes/03individual/4007.html","4007")</f>
      </c>
      <c r="B4809" t="s">
        <v>842</v>
      </c>
      <c r="C4809" t="s">
        <v>1065</v>
      </c>
      <c r="D4809" t="s">
        <v>14385</v>
      </c>
      <c r="E4809" t="s">
        <v>15</v>
      </c>
      <c r="F4809" t="s">
        <v>14466</v>
      </c>
      <c r="G4809" t="s">
        <v>18063</v>
      </c>
      <c r="H4809" t="s">
        <v>1107</v>
      </c>
      <c r="I4809" t="s">
        <v>1108</v>
      </c>
      <c r="J4809" t="s">
        <v>14467</v>
      </c>
      <c r="K4809" t="s">
        <v>14468</v>
      </c>
      <c r="L4809" t="s">
        <v>21</v>
      </c>
      <c r="M4809" t="s">
        <v>19177</v>
      </c>
      <c r="N4809" t="s">
        <v>714</v>
      </c>
      <c r="O4809" t="s">
        <v>10263</v>
      </c>
      <c r="P4809" t="s">
        <v>12</v>
      </c>
    </row>
    <row r="4810">
      <c r="A4810">
        <f>HYPERLINK("http://bombeiros.sp.gov.br/hidrantes/03individual/4381.html","4381")</f>
      </c>
      <c r="B4810" t="s">
        <v>842</v>
      </c>
      <c r="C4810" t="s">
        <v>1065</v>
      </c>
      <c r="D4810" t="s">
        <v>14385</v>
      </c>
      <c r="E4810" t="s">
        <v>15</v>
      </c>
      <c r="F4810" t="s">
        <v>14469</v>
      </c>
      <c r="G4810" t="s">
        <v>18060</v>
      </c>
      <c r="H4810" t="s">
        <v>1107</v>
      </c>
      <c r="I4810" t="s">
        <v>1108</v>
      </c>
      <c r="J4810" t="s">
        <v>14470</v>
      </c>
      <c r="K4810" t="s">
        <v>14471</v>
      </c>
      <c r="L4810" t="s">
        <v>21</v>
      </c>
      <c r="M4810" t="s">
        <v>19177</v>
      </c>
      <c r="N4810" t="s">
        <v>714</v>
      </c>
      <c r="O4810" t="s">
        <v>10263</v>
      </c>
      <c r="P4810" t="s">
        <v>12</v>
      </c>
    </row>
    <row r="4811">
      <c r="A4811">
        <f>HYPERLINK("http://bombeiros.sp.gov.br/hidrantes/03individual/4382.html","4382")</f>
      </c>
      <c r="B4811" t="s">
        <v>842</v>
      </c>
      <c r="C4811" t="s">
        <v>1065</v>
      </c>
      <c r="D4811" t="s">
        <v>14385</v>
      </c>
      <c r="E4811" t="s">
        <v>15</v>
      </c>
      <c r="F4811" t="s">
        <v>14472</v>
      </c>
      <c r="G4811" t="s">
        <v>18041</v>
      </c>
      <c r="H4811" t="s">
        <v>1112</v>
      </c>
      <c r="I4811" t="s">
        <v>1108</v>
      </c>
      <c r="J4811" t="s">
        <v>14473</v>
      </c>
      <c r="K4811" t="s">
        <v>14474</v>
      </c>
      <c r="L4811" t="s">
        <v>21</v>
      </c>
      <c r="M4811" t="s">
        <v>19177</v>
      </c>
      <c r="N4811" t="s">
        <v>1024</v>
      </c>
      <c r="O4811" t="s">
        <v>1024</v>
      </c>
      <c r="P4811" t="s">
        <v>842</v>
      </c>
    </row>
    <row r="4812">
      <c r="A4812">
        <f>HYPERLINK("http://bombeiros.sp.gov.br/hidrantes/03individual/10059.html","10059")</f>
      </c>
      <c r="B4812" t="s">
        <v>842</v>
      </c>
      <c r="C4812" t="s">
        <v>1065</v>
      </c>
      <c r="D4812" t="s">
        <v>14385</v>
      </c>
      <c r="E4812" t="s">
        <v>15</v>
      </c>
      <c r="F4812" t="s">
        <v>14475</v>
      </c>
      <c r="G4812" t="s">
        <v>18060</v>
      </c>
      <c r="H4812" t="s">
        <v>1107</v>
      </c>
      <c r="I4812" t="s">
        <v>1108</v>
      </c>
      <c r="J4812" t="s">
        <v>14476</v>
      </c>
      <c r="K4812" t="s">
        <v>14477</v>
      </c>
      <c r="L4812" t="s">
        <v>21</v>
      </c>
      <c r="M4812" t="s">
        <v>19177</v>
      </c>
      <c r="N4812" t="s">
        <v>714</v>
      </c>
      <c r="O4812" t="s">
        <v>10263</v>
      </c>
      <c r="P4812" t="s">
        <v>12</v>
      </c>
    </row>
    <row r="4813">
      <c r="A4813">
        <f>HYPERLINK("http://bombeiros.sp.gov.br/hidrantes/03individual/16605.html","16605")</f>
      </c>
      <c r="B4813" t="s">
        <v>842</v>
      </c>
      <c r="C4813" t="s">
        <v>1065</v>
      </c>
      <c r="D4813" t="s">
        <v>14385</v>
      </c>
      <c r="E4813" t="s">
        <v>15</v>
      </c>
      <c r="F4813" t="s">
        <v>14478</v>
      </c>
      <c r="G4813" t="s">
        <v>18169</v>
      </c>
      <c r="H4813" t="s">
        <v>1112</v>
      </c>
      <c r="I4813" t="s">
        <v>1108</v>
      </c>
      <c r="J4813" t="s">
        <v>14479</v>
      </c>
      <c r="K4813" t="s">
        <v>14480</v>
      </c>
      <c r="L4813" t="s">
        <v>21</v>
      </c>
      <c r="M4813" t="s">
        <v>19177</v>
      </c>
      <c r="N4813" t="s">
        <v>714</v>
      </c>
      <c r="O4813" t="s">
        <v>10263</v>
      </c>
      <c r="P4813" t="s">
        <v>12</v>
      </c>
    </row>
    <row r="4814">
      <c r="A4814">
        <f>HYPERLINK("http://bombeiros.sp.gov.br/hidrantes/03individual/16606.html","16606")</f>
      </c>
      <c r="B4814" t="s">
        <v>842</v>
      </c>
      <c r="C4814" t="s">
        <v>1065</v>
      </c>
      <c r="D4814" t="s">
        <v>14385</v>
      </c>
      <c r="E4814" t="s">
        <v>15</v>
      </c>
      <c r="F4814" t="s">
        <v>14445</v>
      </c>
      <c r="G4814" t="s">
        <v>18563</v>
      </c>
      <c r="H4814" t="s">
        <v>1121</v>
      </c>
      <c r="I4814" t="s">
        <v>1117</v>
      </c>
      <c r="J4814" t="s">
        <v>14481</v>
      </c>
      <c r="K4814" t="s">
        <v>14482</v>
      </c>
      <c r="L4814" t="s">
        <v>21</v>
      </c>
      <c r="M4814" t="s">
        <v>19177</v>
      </c>
      <c r="N4814" t="s">
        <v>714</v>
      </c>
      <c r="O4814" t="s">
        <v>10263</v>
      </c>
      <c r="P4814" t="s">
        <v>12</v>
      </c>
    </row>
    <row r="4815">
      <c r="A4815">
        <f>HYPERLINK("http://bombeiros.sp.gov.br/hidrantes/03individual/16607.html","16607")</f>
      </c>
      <c r="B4815" t="s">
        <v>842</v>
      </c>
      <c r="C4815" t="s">
        <v>1065</v>
      </c>
      <c r="D4815" t="s">
        <v>14385</v>
      </c>
      <c r="E4815" t="s">
        <v>15</v>
      </c>
      <c r="F4815" t="s">
        <v>14483</v>
      </c>
      <c r="G4815" t="s">
        <v>18083</v>
      </c>
      <c r="H4815" t="s">
        <v>1107</v>
      </c>
      <c r="I4815" t="s">
        <v>1108</v>
      </c>
      <c r="J4815" t="s">
        <v>14484</v>
      </c>
      <c r="K4815" t="s">
        <v>14485</v>
      </c>
      <c r="L4815" t="s">
        <v>21</v>
      </c>
      <c r="M4815" t="s">
        <v>19177</v>
      </c>
      <c r="N4815" t="s">
        <v>714</v>
      </c>
      <c r="O4815" t="s">
        <v>10263</v>
      </c>
      <c r="P4815" t="s">
        <v>12</v>
      </c>
    </row>
    <row r="4816">
      <c r="A4816">
        <f>HYPERLINK("http://bombeiros.sp.gov.br/hidrantes/03individual/17673.html","17673")</f>
      </c>
      <c r="B4816" t="s">
        <v>842</v>
      </c>
      <c r="C4816" t="s">
        <v>1065</v>
      </c>
      <c r="D4816" t="s">
        <v>14385</v>
      </c>
      <c r="E4816" t="s">
        <v>15</v>
      </c>
      <c r="F4816" t="s">
        <v>14486</v>
      </c>
      <c r="G4816" t="s">
        <v>18167</v>
      </c>
      <c r="H4816" t="s">
        <v>1112</v>
      </c>
      <c r="I4816" t="s">
        <v>1108</v>
      </c>
      <c r="J4816" t="s">
        <v>14487</v>
      </c>
      <c r="K4816" t="s">
        <v>14488</v>
      </c>
      <c r="L4816" t="s">
        <v>21</v>
      </c>
      <c r="M4816" t="s">
        <v>19177</v>
      </c>
      <c r="N4816" t="s">
        <v>1024</v>
      </c>
      <c r="O4816" t="s">
        <v>1024</v>
      </c>
      <c r="P4816" t="s">
        <v>842</v>
      </c>
    </row>
    <row r="4817">
      <c r="A4817">
        <f>HYPERLINK("http://bombeiros.sp.gov.br/hidrantes/03individual/26694.html","26694")</f>
      </c>
      <c r="B4817" t="s">
        <v>842</v>
      </c>
      <c r="C4817" t="s">
        <v>1065</v>
      </c>
      <c r="D4817" t="s">
        <v>14385</v>
      </c>
      <c r="E4817" t="s">
        <v>15</v>
      </c>
      <c r="F4817" t="s">
        <v>14489</v>
      </c>
      <c r="G4817" t="s">
        <v>18063</v>
      </c>
      <c r="H4817" t="s">
        <v>1107</v>
      </c>
      <c r="I4817" t="s">
        <v>1108</v>
      </c>
      <c r="J4817" t="s">
        <v>14490</v>
      </c>
      <c r="K4817" t="s">
        <v>14491</v>
      </c>
      <c r="L4817" t="s">
        <v>21</v>
      </c>
      <c r="M4817" t="s">
        <v>19177</v>
      </c>
      <c r="N4817" t="s">
        <v>714</v>
      </c>
      <c r="O4817" t="s">
        <v>10263</v>
      </c>
      <c r="P4817" t="s">
        <v>12</v>
      </c>
    </row>
    <row r="4818">
      <c r="A4818">
        <f>HYPERLINK("http://bombeiros.sp.gov.br/hidrantes/03individual/26822.html","26822")</f>
      </c>
      <c r="B4818" t="s">
        <v>842</v>
      </c>
      <c r="C4818" t="s">
        <v>1065</v>
      </c>
      <c r="D4818" t="s">
        <v>14385</v>
      </c>
      <c r="E4818" t="s">
        <v>15</v>
      </c>
      <c r="F4818" t="s">
        <v>16097</v>
      </c>
      <c r="G4818" t="s">
        <v>18063</v>
      </c>
      <c r="H4818" t="s">
        <v>1107</v>
      </c>
      <c r="I4818" t="s">
        <v>1108</v>
      </c>
      <c r="J4818" t="s">
        <v>16098</v>
      </c>
      <c r="K4818" t="s">
        <v>16099</v>
      </c>
      <c r="L4818" t="s">
        <v>21</v>
      </c>
      <c r="M4818" t="s">
        <v>19177</v>
      </c>
      <c r="N4818" t="s">
        <v>714</v>
      </c>
      <c r="O4818" t="s">
        <v>10263</v>
      </c>
      <c r="P4818" t="s">
        <v>12</v>
      </c>
    </row>
    <row r="4819">
      <c r="A4819">
        <f>HYPERLINK("http://bombeiros.sp.gov.br/hidrantes/03individual/27219.html","27219")</f>
      </c>
      <c r="B4819" t="s">
        <v>842</v>
      </c>
      <c r="C4819" t="s">
        <v>1065</v>
      </c>
      <c r="D4819" t="s">
        <v>14385</v>
      </c>
      <c r="E4819" t="s">
        <v>15</v>
      </c>
      <c r="F4819" t="s">
        <v>16979</v>
      </c>
      <c r="G4819" t="s">
        <v>18129</v>
      </c>
      <c r="H4819" t="s">
        <v>1121</v>
      </c>
      <c r="I4819" t="s">
        <v>1117</v>
      </c>
      <c r="J4819" t="s">
        <v>16980</v>
      </c>
      <c r="K4819" t="s">
        <v>16981</v>
      </c>
      <c r="L4819" t="s">
        <v>21</v>
      </c>
      <c r="M4819" t="s">
        <v>19177</v>
      </c>
      <c r="N4819" t="s">
        <v>714</v>
      </c>
      <c r="O4819" t="s">
        <v>10263</v>
      </c>
      <c r="P4819" t="s">
        <v>12</v>
      </c>
    </row>
    <row r="4820">
      <c r="A4820">
        <f>HYPERLINK("http://bombeiros.sp.gov.br/hidrantes/03individual/3605.html","3605")</f>
      </c>
      <c r="B4820" t="s">
        <v>842</v>
      </c>
      <c r="C4820" t="s">
        <v>1065</v>
      </c>
      <c r="D4820" t="s">
        <v>1065</v>
      </c>
      <c r="E4820" t="s">
        <v>64</v>
      </c>
      <c r="F4820" t="s">
        <v>14492</v>
      </c>
      <c r="G4820" t="s">
        <v>18049</v>
      </c>
      <c r="H4820" t="s">
        <v>1107</v>
      </c>
      <c r="I4820" t="s">
        <v>1108</v>
      </c>
      <c r="J4820" t="s">
        <v>14493</v>
      </c>
      <c r="K4820" t="s">
        <v>14494</v>
      </c>
      <c r="L4820" t="s">
        <v>36</v>
      </c>
      <c r="M4820" t="s">
        <v>19177</v>
      </c>
      <c r="N4820" t="s">
        <v>714</v>
      </c>
      <c r="O4820" t="s">
        <v>10263</v>
      </c>
      <c r="P4820" t="s">
        <v>12</v>
      </c>
    </row>
    <row r="4821">
      <c r="A4821">
        <f>HYPERLINK("http://bombeiros.sp.gov.br/hidrantes/03individual/3606.html","3606")</f>
      </c>
      <c r="B4821" t="s">
        <v>842</v>
      </c>
      <c r="C4821" t="s">
        <v>1065</v>
      </c>
      <c r="D4821" t="s">
        <v>1065</v>
      </c>
      <c r="E4821" t="s">
        <v>64</v>
      </c>
      <c r="F4821" t="s">
        <v>14495</v>
      </c>
      <c r="G4821" t="s">
        <v>18049</v>
      </c>
      <c r="H4821" t="s">
        <v>1107</v>
      </c>
      <c r="I4821" t="s">
        <v>1108</v>
      </c>
      <c r="J4821" t="s">
        <v>14496</v>
      </c>
      <c r="K4821" t="s">
        <v>14497</v>
      </c>
      <c r="L4821" t="s">
        <v>36</v>
      </c>
      <c r="M4821" t="s">
        <v>19177</v>
      </c>
      <c r="N4821" t="s">
        <v>714</v>
      </c>
      <c r="O4821" t="s">
        <v>10263</v>
      </c>
      <c r="P4821" t="s">
        <v>12</v>
      </c>
    </row>
    <row r="4822">
      <c r="A4822">
        <f>HYPERLINK("http://bombeiros.sp.gov.br/hidrantes/03individual/3865.html","3865")</f>
      </c>
      <c r="B4822" t="s">
        <v>842</v>
      </c>
      <c r="C4822" t="s">
        <v>1065</v>
      </c>
      <c r="D4822" t="s">
        <v>1065</v>
      </c>
      <c r="E4822" t="s">
        <v>64</v>
      </c>
      <c r="F4822" t="s">
        <v>14498</v>
      </c>
      <c r="G4822" t="s">
        <v>18049</v>
      </c>
      <c r="H4822" t="s">
        <v>1112</v>
      </c>
      <c r="I4822" t="s">
        <v>1108</v>
      </c>
      <c r="J4822" t="s">
        <v>18219</v>
      </c>
      <c r="K4822" t="s">
        <v>18220</v>
      </c>
      <c r="L4822" t="s">
        <v>36</v>
      </c>
      <c r="M4822" t="s">
        <v>19177</v>
      </c>
      <c r="N4822" t="s">
        <v>714</v>
      </c>
      <c r="O4822" t="s">
        <v>10263</v>
      </c>
      <c r="P4822" t="s">
        <v>12</v>
      </c>
    </row>
    <row r="4823">
      <c r="A4823">
        <f>HYPERLINK("http://bombeiros.sp.gov.br/hidrantes/03individual/3866.html","3866")</f>
      </c>
      <c r="B4823" t="s">
        <v>842</v>
      </c>
      <c r="C4823" t="s">
        <v>1065</v>
      </c>
      <c r="D4823" t="s">
        <v>1065</v>
      </c>
      <c r="E4823" t="s">
        <v>64</v>
      </c>
      <c r="F4823" t="s">
        <v>14501</v>
      </c>
      <c r="G4823" t="s">
        <v>18049</v>
      </c>
      <c r="H4823" t="s">
        <v>1112</v>
      </c>
      <c r="I4823" t="s">
        <v>1108</v>
      </c>
      <c r="J4823" t="s">
        <v>18399</v>
      </c>
      <c r="K4823" t="s">
        <v>18400</v>
      </c>
      <c r="L4823" t="s">
        <v>21</v>
      </c>
      <c r="M4823" t="s">
        <v>19177</v>
      </c>
      <c r="N4823" t="s">
        <v>714</v>
      </c>
      <c r="O4823" t="s">
        <v>10263</v>
      </c>
      <c r="P4823" t="s">
        <v>12</v>
      </c>
    </row>
    <row r="4824">
      <c r="A4824">
        <f>HYPERLINK("http://bombeiros.sp.gov.br/hidrantes/03individual/23055.html","23055")</f>
      </c>
      <c r="B4824" t="s">
        <v>842</v>
      </c>
      <c r="C4824" t="s">
        <v>1065</v>
      </c>
      <c r="D4824" t="s">
        <v>1065</v>
      </c>
      <c r="E4824" t="s">
        <v>64</v>
      </c>
      <c r="F4824" t="s">
        <v>14504</v>
      </c>
      <c r="G4824" t="s">
        <v>18551</v>
      </c>
      <c r="H4824" t="s">
        <v>1112</v>
      </c>
      <c r="I4824" t="s">
        <v>1108</v>
      </c>
      <c r="J4824" t="s">
        <v>14505</v>
      </c>
      <c r="K4824" t="s">
        <v>14506</v>
      </c>
      <c r="L4824" t="s">
        <v>21</v>
      </c>
      <c r="M4824" t="s">
        <v>19177</v>
      </c>
      <c r="N4824" t="s">
        <v>714</v>
      </c>
      <c r="O4824" t="s">
        <v>10263</v>
      </c>
      <c r="P4824" t="s">
        <v>12</v>
      </c>
    </row>
    <row r="4825">
      <c r="A4825">
        <f>HYPERLINK("http://bombeiros.sp.gov.br/hidrantes/03individual/322.html","322")</f>
      </c>
      <c r="B4825" t="s">
        <v>842</v>
      </c>
      <c r="C4825" t="s">
        <v>1065</v>
      </c>
      <c r="D4825" t="s">
        <v>1065</v>
      </c>
      <c r="E4825" t="s">
        <v>15</v>
      </c>
      <c r="F4825" t="s">
        <v>14507</v>
      </c>
      <c r="G4825" t="s">
        <v>18269</v>
      </c>
      <c r="H4825" t="s">
        <v>1112</v>
      </c>
      <c r="I4825" t="s">
        <v>1108</v>
      </c>
      <c r="J4825" t="s">
        <v>14508</v>
      </c>
      <c r="K4825" t="s">
        <v>14509</v>
      </c>
      <c r="L4825" t="s">
        <v>21</v>
      </c>
      <c r="M4825" t="s">
        <v>19177</v>
      </c>
      <c r="N4825" t="s">
        <v>714</v>
      </c>
      <c r="O4825" t="s">
        <v>10263</v>
      </c>
      <c r="P4825" t="s">
        <v>12</v>
      </c>
    </row>
    <row r="4826">
      <c r="A4826">
        <f>HYPERLINK("http://bombeiros.sp.gov.br/hidrantes/03individual/344.html","344")</f>
      </c>
      <c r="B4826" t="s">
        <v>842</v>
      </c>
      <c r="C4826" t="s">
        <v>1065</v>
      </c>
      <c r="D4826" t="s">
        <v>1065</v>
      </c>
      <c r="E4826" t="s">
        <v>15</v>
      </c>
      <c r="F4826" t="s">
        <v>14510</v>
      </c>
      <c r="G4826" t="s">
        <v>18118</v>
      </c>
      <c r="H4826" t="s">
        <v>1107</v>
      </c>
      <c r="I4826" t="s">
        <v>1108</v>
      </c>
      <c r="J4826" t="s">
        <v>14511</v>
      </c>
      <c r="K4826" t="s">
        <v>14512</v>
      </c>
      <c r="L4826" t="s">
        <v>21</v>
      </c>
      <c r="M4826" t="s">
        <v>19177</v>
      </c>
      <c r="N4826" t="s">
        <v>714</v>
      </c>
      <c r="O4826" t="s">
        <v>10263</v>
      </c>
      <c r="P4826" t="s">
        <v>12</v>
      </c>
    </row>
    <row r="4827">
      <c r="A4827">
        <f>HYPERLINK("http://bombeiros.sp.gov.br/hidrantes/03individual/369.html","369")</f>
      </c>
      <c r="B4827" t="s">
        <v>842</v>
      </c>
      <c r="C4827" t="s">
        <v>1065</v>
      </c>
      <c r="D4827" t="s">
        <v>1065</v>
      </c>
      <c r="E4827" t="s">
        <v>15</v>
      </c>
      <c r="F4827" t="s">
        <v>14513</v>
      </c>
      <c r="G4827" t="s">
        <v>18272</v>
      </c>
      <c r="H4827" t="s">
        <v>1112</v>
      </c>
      <c r="I4827" t="s">
        <v>1108</v>
      </c>
      <c r="J4827" t="s">
        <v>14514</v>
      </c>
      <c r="K4827" t="s">
        <v>14515</v>
      </c>
      <c r="L4827" t="s">
        <v>21</v>
      </c>
      <c r="M4827" t="s">
        <v>19177</v>
      </c>
      <c r="N4827" t="s">
        <v>714</v>
      </c>
      <c r="O4827" t="s">
        <v>10263</v>
      </c>
      <c r="P4827" t="s">
        <v>12</v>
      </c>
    </row>
    <row r="4828">
      <c r="A4828">
        <f>HYPERLINK("http://bombeiros.sp.gov.br/hidrantes/03individual/372.html","372")</f>
      </c>
      <c r="B4828" t="s">
        <v>842</v>
      </c>
      <c r="C4828" t="s">
        <v>1065</v>
      </c>
      <c r="D4828" t="s">
        <v>1065</v>
      </c>
      <c r="E4828" t="s">
        <v>15</v>
      </c>
      <c r="F4828" t="s">
        <v>14516</v>
      </c>
      <c r="G4828" t="s">
        <v>18118</v>
      </c>
      <c r="H4828" t="s">
        <v>1107</v>
      </c>
      <c r="I4828" t="s">
        <v>1108</v>
      </c>
      <c r="J4828" t="s">
        <v>14517</v>
      </c>
      <c r="K4828" t="s">
        <v>14518</v>
      </c>
      <c r="L4828" t="s">
        <v>21</v>
      </c>
      <c r="M4828" t="s">
        <v>19177</v>
      </c>
      <c r="N4828" t="s">
        <v>714</v>
      </c>
      <c r="O4828" t="s">
        <v>10263</v>
      </c>
      <c r="P4828" t="s">
        <v>12</v>
      </c>
    </row>
    <row r="4829">
      <c r="A4829">
        <f>HYPERLINK("http://bombeiros.sp.gov.br/hidrantes/03individual/379.html","379")</f>
      </c>
      <c r="B4829" t="s">
        <v>842</v>
      </c>
      <c r="C4829" t="s">
        <v>1065</v>
      </c>
      <c r="D4829" t="s">
        <v>1065</v>
      </c>
      <c r="E4829" t="s">
        <v>15</v>
      </c>
      <c r="F4829" t="s">
        <v>14519</v>
      </c>
      <c r="G4829" t="s">
        <v>18118</v>
      </c>
      <c r="H4829" t="s">
        <v>1107</v>
      </c>
      <c r="I4829" t="s">
        <v>1108</v>
      </c>
      <c r="J4829" t="s">
        <v>14521</v>
      </c>
      <c r="K4829" t="s">
        <v>14522</v>
      </c>
      <c r="L4829" t="s">
        <v>21</v>
      </c>
      <c r="M4829" t="s">
        <v>19177</v>
      </c>
      <c r="N4829" t="s">
        <v>714</v>
      </c>
      <c r="O4829" t="s">
        <v>10263</v>
      </c>
      <c r="P4829" t="s">
        <v>12</v>
      </c>
    </row>
    <row r="4830">
      <c r="A4830">
        <f>HYPERLINK("http://bombeiros.sp.gov.br/hidrantes/03individual/3859.html","3859")</f>
      </c>
      <c r="B4830" t="s">
        <v>842</v>
      </c>
      <c r="C4830" t="s">
        <v>1065</v>
      </c>
      <c r="D4830" t="s">
        <v>1065</v>
      </c>
      <c r="E4830" t="s">
        <v>15</v>
      </c>
      <c r="F4830" t="s">
        <v>14523</v>
      </c>
      <c r="G4830" t="s">
        <v>18118</v>
      </c>
      <c r="H4830" t="s">
        <v>1107</v>
      </c>
      <c r="I4830" t="s">
        <v>1108</v>
      </c>
      <c r="J4830" t="s">
        <v>14524</v>
      </c>
      <c r="K4830" t="s">
        <v>14525</v>
      </c>
      <c r="L4830" t="s">
        <v>21</v>
      </c>
      <c r="M4830" t="s">
        <v>19177</v>
      </c>
      <c r="N4830" t="s">
        <v>714</v>
      </c>
      <c r="O4830" t="s">
        <v>10263</v>
      </c>
      <c r="P4830" t="s">
        <v>12</v>
      </c>
    </row>
    <row r="4831">
      <c r="A4831">
        <f>HYPERLINK("http://bombeiros.sp.gov.br/hidrantes/03individual/3861.html","3861")</f>
      </c>
      <c r="B4831" t="s">
        <v>842</v>
      </c>
      <c r="C4831" t="s">
        <v>1065</v>
      </c>
      <c r="D4831" t="s">
        <v>1065</v>
      </c>
      <c r="E4831" t="s">
        <v>15</v>
      </c>
      <c r="F4831" t="s">
        <v>14526</v>
      </c>
      <c r="G4831" t="s">
        <v>18149</v>
      </c>
      <c r="H4831" t="s">
        <v>1112</v>
      </c>
      <c r="I4831" t="s">
        <v>1108</v>
      </c>
      <c r="J4831" t="s">
        <v>14527</v>
      </c>
      <c r="K4831" t="s">
        <v>14528</v>
      </c>
      <c r="L4831" t="s">
        <v>21</v>
      </c>
      <c r="M4831" t="s">
        <v>19177</v>
      </c>
      <c r="N4831" t="s">
        <v>714</v>
      </c>
      <c r="O4831" t="s">
        <v>10263</v>
      </c>
      <c r="P4831" t="s">
        <v>12</v>
      </c>
    </row>
    <row r="4832">
      <c r="A4832">
        <f>HYPERLINK("http://bombeiros.sp.gov.br/hidrantes/03individual/3864.html","3864")</f>
      </c>
      <c r="B4832" t="s">
        <v>842</v>
      </c>
      <c r="C4832" t="s">
        <v>1065</v>
      </c>
      <c r="D4832" t="s">
        <v>1065</v>
      </c>
      <c r="E4832" t="s">
        <v>15</v>
      </c>
      <c r="F4832" t="s">
        <v>14529</v>
      </c>
      <c r="G4832" t="s">
        <v>18149</v>
      </c>
      <c r="H4832" t="s">
        <v>1112</v>
      </c>
      <c r="I4832" t="s">
        <v>1108</v>
      </c>
      <c r="J4832" t="s">
        <v>14530</v>
      </c>
      <c r="K4832" t="s">
        <v>14531</v>
      </c>
      <c r="L4832" t="s">
        <v>21</v>
      </c>
      <c r="M4832" t="s">
        <v>19177</v>
      </c>
      <c r="N4832" t="s">
        <v>714</v>
      </c>
      <c r="O4832" t="s">
        <v>10263</v>
      </c>
      <c r="P4832" t="s">
        <v>12</v>
      </c>
    </row>
    <row r="4833">
      <c r="A4833">
        <f>HYPERLINK("http://bombeiros.sp.gov.br/hidrantes/03individual/3943.html","3943")</f>
      </c>
      <c r="B4833" t="s">
        <v>842</v>
      </c>
      <c r="C4833" t="s">
        <v>1065</v>
      </c>
      <c r="D4833" t="s">
        <v>1065</v>
      </c>
      <c r="E4833" t="s">
        <v>15</v>
      </c>
      <c r="F4833" t="s">
        <v>14532</v>
      </c>
      <c r="G4833" t="s">
        <v>18218</v>
      </c>
      <c r="H4833" t="s">
        <v>1112</v>
      </c>
      <c r="I4833" t="s">
        <v>1108</v>
      </c>
      <c r="J4833" t="s">
        <v>14533</v>
      </c>
      <c r="K4833" t="s">
        <v>14534</v>
      </c>
      <c r="L4833" t="s">
        <v>21</v>
      </c>
      <c r="M4833" t="s">
        <v>19177</v>
      </c>
      <c r="N4833" t="s">
        <v>714</v>
      </c>
      <c r="O4833" t="s">
        <v>10263</v>
      </c>
      <c r="P4833" t="s">
        <v>12</v>
      </c>
    </row>
    <row r="4834">
      <c r="A4834">
        <f>HYPERLINK("http://bombeiros.sp.gov.br/hidrantes/03individual/3958.html","3958")</f>
      </c>
      <c r="B4834" t="s">
        <v>842</v>
      </c>
      <c r="C4834" t="s">
        <v>1065</v>
      </c>
      <c r="D4834" t="s">
        <v>1065</v>
      </c>
      <c r="E4834" t="s">
        <v>15</v>
      </c>
      <c r="F4834" t="s">
        <v>14535</v>
      </c>
      <c r="G4834" t="s">
        <v>18166</v>
      </c>
      <c r="H4834" t="s">
        <v>1112</v>
      </c>
      <c r="I4834" t="s">
        <v>1108</v>
      </c>
      <c r="J4834" t="s">
        <v>14536</v>
      </c>
      <c r="K4834" t="s">
        <v>14537</v>
      </c>
      <c r="L4834" t="s">
        <v>21</v>
      </c>
      <c r="M4834" t="s">
        <v>19177</v>
      </c>
      <c r="N4834" t="s">
        <v>714</v>
      </c>
      <c r="O4834" t="s">
        <v>10263</v>
      </c>
      <c r="P4834" t="s">
        <v>12</v>
      </c>
    </row>
    <row r="4835">
      <c r="A4835">
        <f>HYPERLINK("http://bombeiros.sp.gov.br/hidrantes/03individual/3959.html","3959")</f>
      </c>
      <c r="B4835" t="s">
        <v>842</v>
      </c>
      <c r="C4835" t="s">
        <v>1065</v>
      </c>
      <c r="D4835" t="s">
        <v>1065</v>
      </c>
      <c r="E4835" t="s">
        <v>15</v>
      </c>
      <c r="F4835" t="s">
        <v>14538</v>
      </c>
      <c r="G4835" t="s">
        <v>18272</v>
      </c>
      <c r="H4835" t="s">
        <v>1112</v>
      </c>
      <c r="I4835" t="s">
        <v>1108</v>
      </c>
      <c r="J4835" t="s">
        <v>14539</v>
      </c>
      <c r="K4835" t="s">
        <v>14540</v>
      </c>
      <c r="L4835" t="s">
        <v>21</v>
      </c>
      <c r="M4835" t="s">
        <v>19177</v>
      </c>
      <c r="N4835" t="s">
        <v>714</v>
      </c>
      <c r="O4835" t="s">
        <v>10263</v>
      </c>
      <c r="P4835" t="s">
        <v>12</v>
      </c>
    </row>
    <row r="4836">
      <c r="A4836">
        <f>HYPERLINK("http://bombeiros.sp.gov.br/hidrantes/03individual/3961.html","3961")</f>
      </c>
      <c r="B4836" t="s">
        <v>842</v>
      </c>
      <c r="C4836" t="s">
        <v>1065</v>
      </c>
      <c r="D4836" t="s">
        <v>1065</v>
      </c>
      <c r="E4836" t="s">
        <v>15</v>
      </c>
      <c r="F4836" t="s">
        <v>14541</v>
      </c>
      <c r="G4836" t="s">
        <v>18149</v>
      </c>
      <c r="H4836" t="s">
        <v>1112</v>
      </c>
      <c r="I4836" t="s">
        <v>1108</v>
      </c>
      <c r="J4836" t="s">
        <v>14542</v>
      </c>
      <c r="K4836" t="s">
        <v>14543</v>
      </c>
      <c r="L4836" t="s">
        <v>21</v>
      </c>
      <c r="M4836" t="s">
        <v>19177</v>
      </c>
      <c r="N4836" t="s">
        <v>714</v>
      </c>
      <c r="O4836" t="s">
        <v>10263</v>
      </c>
      <c r="P4836" t="s">
        <v>12</v>
      </c>
    </row>
    <row r="4837">
      <c r="A4837">
        <f>HYPERLINK("http://bombeiros.sp.gov.br/hidrantes/03individual/3965.html","3965")</f>
      </c>
      <c r="B4837" t="s">
        <v>842</v>
      </c>
      <c r="C4837" t="s">
        <v>1065</v>
      </c>
      <c r="D4837" t="s">
        <v>1065</v>
      </c>
      <c r="E4837" t="s">
        <v>15</v>
      </c>
      <c r="F4837" t="s">
        <v>14544</v>
      </c>
      <c r="G4837" t="s">
        <v>18167</v>
      </c>
      <c r="H4837" t="s">
        <v>1112</v>
      </c>
      <c r="I4837" t="s">
        <v>1108</v>
      </c>
      <c r="J4837" t="s">
        <v>14545</v>
      </c>
      <c r="K4837" t="s">
        <v>14546</v>
      </c>
      <c r="L4837" t="s">
        <v>21</v>
      </c>
      <c r="M4837" t="s">
        <v>19177</v>
      </c>
      <c r="N4837" t="s">
        <v>714</v>
      </c>
      <c r="O4837" t="s">
        <v>10263</v>
      </c>
      <c r="P4837" t="s">
        <v>12</v>
      </c>
    </row>
    <row r="4838">
      <c r="A4838">
        <f>HYPERLINK("http://bombeiros.sp.gov.br/hidrantes/03individual/3969.html","3969")</f>
      </c>
      <c r="B4838" t="s">
        <v>842</v>
      </c>
      <c r="C4838" t="s">
        <v>1065</v>
      </c>
      <c r="D4838" t="s">
        <v>1065</v>
      </c>
      <c r="E4838" t="s">
        <v>15</v>
      </c>
      <c r="F4838" t="s">
        <v>14547</v>
      </c>
      <c r="G4838" t="s">
        <v>18149</v>
      </c>
      <c r="H4838" t="s">
        <v>1112</v>
      </c>
      <c r="I4838" t="s">
        <v>1108</v>
      </c>
      <c r="J4838" t="s">
        <v>14548</v>
      </c>
      <c r="K4838" t="s">
        <v>14549</v>
      </c>
      <c r="L4838" t="s">
        <v>21</v>
      </c>
      <c r="M4838" t="s">
        <v>19177</v>
      </c>
      <c r="N4838" t="s">
        <v>714</v>
      </c>
      <c r="O4838" t="s">
        <v>10263</v>
      </c>
      <c r="P4838" t="s">
        <v>12</v>
      </c>
    </row>
    <row r="4839">
      <c r="A4839">
        <f>HYPERLINK("http://bombeiros.sp.gov.br/hidrantes/03individual/4387.html","4387")</f>
      </c>
      <c r="B4839" t="s">
        <v>842</v>
      </c>
      <c r="C4839" t="s">
        <v>1065</v>
      </c>
      <c r="D4839" t="s">
        <v>1065</v>
      </c>
      <c r="E4839" t="s">
        <v>15</v>
      </c>
      <c r="F4839" t="s">
        <v>14550</v>
      </c>
      <c r="G4839" t="s">
        <v>18272</v>
      </c>
      <c r="H4839" t="s">
        <v>1112</v>
      </c>
      <c r="I4839" t="s">
        <v>1108</v>
      </c>
      <c r="J4839" t="s">
        <v>14551</v>
      </c>
      <c r="K4839" t="s">
        <v>14552</v>
      </c>
      <c r="L4839" t="s">
        <v>21</v>
      </c>
      <c r="M4839" t="s">
        <v>19177</v>
      </c>
      <c r="N4839" t="s">
        <v>714</v>
      </c>
      <c r="O4839" t="s">
        <v>10263</v>
      </c>
      <c r="P4839" t="s">
        <v>12</v>
      </c>
    </row>
    <row r="4840">
      <c r="A4840">
        <f>HYPERLINK("http://bombeiros.sp.gov.br/hidrantes/03individual/4413.html","4413")</f>
      </c>
      <c r="B4840" t="s">
        <v>842</v>
      </c>
      <c r="C4840" t="s">
        <v>1065</v>
      </c>
      <c r="D4840" t="s">
        <v>1065</v>
      </c>
      <c r="E4840" t="s">
        <v>15</v>
      </c>
      <c r="F4840" t="s">
        <v>14553</v>
      </c>
      <c r="G4840" t="s">
        <v>18149</v>
      </c>
      <c r="H4840" t="s">
        <v>1112</v>
      </c>
      <c r="I4840" t="s">
        <v>1108</v>
      </c>
      <c r="J4840" t="s">
        <v>14554</v>
      </c>
      <c r="K4840" t="s">
        <v>14555</v>
      </c>
      <c r="L4840" t="s">
        <v>21</v>
      </c>
      <c r="M4840" t="s">
        <v>19177</v>
      </c>
      <c r="N4840" t="s">
        <v>714</v>
      </c>
      <c r="O4840" t="s">
        <v>10263</v>
      </c>
      <c r="P4840" t="s">
        <v>12</v>
      </c>
    </row>
    <row r="4841">
      <c r="A4841">
        <f>HYPERLINK("http://bombeiros.sp.gov.br/hidrantes/03individual/26823.html","26823")</f>
      </c>
      <c r="B4841" t="s">
        <v>842</v>
      </c>
      <c r="C4841" t="s">
        <v>1065</v>
      </c>
      <c r="D4841" t="s">
        <v>1065</v>
      </c>
      <c r="E4841" t="s">
        <v>15</v>
      </c>
      <c r="F4841" t="s">
        <v>16100</v>
      </c>
      <c r="G4841" t="s">
        <v>18174</v>
      </c>
      <c r="H4841" t="s">
        <v>1107</v>
      </c>
      <c r="I4841" t="s">
        <v>1108</v>
      </c>
      <c r="J4841" t="s">
        <v>16101</v>
      </c>
      <c r="K4841" t="s">
        <v>16102</v>
      </c>
      <c r="L4841" t="s">
        <v>21</v>
      </c>
      <c r="M4841" t="s">
        <v>19177</v>
      </c>
      <c r="N4841" t="s">
        <v>714</v>
      </c>
      <c r="O4841" t="s">
        <v>10263</v>
      </c>
      <c r="P4841" t="s">
        <v>12</v>
      </c>
    </row>
    <row r="4842">
      <c r="A4842">
        <f>HYPERLINK("http://bombeiros.sp.gov.br/hidrantes/03individual/27207.html","27207")</f>
      </c>
      <c r="B4842" t="s">
        <v>842</v>
      </c>
      <c r="C4842" t="s">
        <v>1065</v>
      </c>
      <c r="D4842" t="s">
        <v>1065</v>
      </c>
      <c r="E4842" t="s">
        <v>15</v>
      </c>
      <c r="F4842" t="s">
        <v>16982</v>
      </c>
      <c r="G4842" t="s">
        <v>18214</v>
      </c>
      <c r="H4842" t="s">
        <v>1121</v>
      </c>
      <c r="I4842" t="s">
        <v>1117</v>
      </c>
      <c r="J4842" t="s">
        <v>16983</v>
      </c>
      <c r="K4842" t="s">
        <v>16984</v>
      </c>
      <c r="L4842" t="s">
        <v>21</v>
      </c>
      <c r="M4842" t="s">
        <v>19177</v>
      </c>
      <c r="N4842" t="s">
        <v>714</v>
      </c>
      <c r="O4842" t="s">
        <v>10263</v>
      </c>
      <c r="P4842" t="s">
        <v>12</v>
      </c>
    </row>
    <row r="4843">
      <c r="A4843">
        <f>HYPERLINK("http://bombeiros.sp.gov.br/hidrantes/03individual/4076.html","4076")</f>
      </c>
      <c r="B4843" t="s">
        <v>842</v>
      </c>
      <c r="C4843" t="s">
        <v>1071</v>
      </c>
      <c r="D4843" t="s">
        <v>1072</v>
      </c>
      <c r="E4843" t="s">
        <v>64</v>
      </c>
      <c r="F4843" t="s">
        <v>14556</v>
      </c>
      <c r="G4843" t="s">
        <v>18159</v>
      </c>
      <c r="H4843" t="s">
        <v>1112</v>
      </c>
      <c r="I4843" t="s">
        <v>1108</v>
      </c>
      <c r="J4843" t="s">
        <v>14558</v>
      </c>
      <c r="K4843" t="s">
        <v>14559</v>
      </c>
      <c r="L4843" t="s">
        <v>21</v>
      </c>
      <c r="M4843" t="s">
        <v>19177</v>
      </c>
      <c r="N4843" t="s">
        <v>16376</v>
      </c>
      <c r="O4843" t="s">
        <v>16376</v>
      </c>
      <c r="P4843" t="s">
        <v>842</v>
      </c>
    </row>
    <row r="4844">
      <c r="A4844">
        <f>HYPERLINK("http://bombeiros.sp.gov.br/hidrantes/03individual/4077.html","4077")</f>
      </c>
      <c r="B4844" t="s">
        <v>842</v>
      </c>
      <c r="C4844" t="s">
        <v>1071</v>
      </c>
      <c r="D4844" t="s">
        <v>1072</v>
      </c>
      <c r="E4844" t="s">
        <v>64</v>
      </c>
      <c r="F4844" t="s">
        <v>14560</v>
      </c>
      <c r="G4844" t="s">
        <v>18052</v>
      </c>
      <c r="H4844" t="s">
        <v>1121</v>
      </c>
      <c r="I4844" t="s">
        <v>1117</v>
      </c>
      <c r="J4844" t="s">
        <v>14561</v>
      </c>
      <c r="K4844" t="s">
        <v>14562</v>
      </c>
      <c r="L4844" t="s">
        <v>36</v>
      </c>
      <c r="M4844" t="s">
        <v>19177</v>
      </c>
      <c r="N4844" t="s">
        <v>16376</v>
      </c>
      <c r="O4844" t="s">
        <v>16376</v>
      </c>
      <c r="P4844" t="s">
        <v>842</v>
      </c>
    </row>
    <row r="4845">
      <c r="A4845">
        <f>HYPERLINK("http://bombeiros.sp.gov.br/hidrantes/03individual/4080.html","4080")</f>
      </c>
      <c r="B4845" t="s">
        <v>842</v>
      </c>
      <c r="C4845" t="s">
        <v>1071</v>
      </c>
      <c r="D4845" t="s">
        <v>1072</v>
      </c>
      <c r="E4845" t="s">
        <v>64</v>
      </c>
      <c r="F4845" t="s">
        <v>14563</v>
      </c>
      <c r="G4845" t="s">
        <v>18124</v>
      </c>
      <c r="H4845" t="s">
        <v>1112</v>
      </c>
      <c r="I4845" t="s">
        <v>1108</v>
      </c>
      <c r="J4845" t="s">
        <v>14564</v>
      </c>
      <c r="K4845" t="s">
        <v>14565</v>
      </c>
      <c r="L4845" t="s">
        <v>21</v>
      </c>
      <c r="M4845" t="s">
        <v>19177</v>
      </c>
      <c r="N4845" t="s">
        <v>16376</v>
      </c>
      <c r="O4845" t="s">
        <v>16376</v>
      </c>
      <c r="P4845" t="s">
        <v>842</v>
      </c>
    </row>
    <row r="4846">
      <c r="A4846">
        <f>HYPERLINK("http://bombeiros.sp.gov.br/hidrantes/03individual/4082.html","4082")</f>
      </c>
      <c r="B4846" t="s">
        <v>842</v>
      </c>
      <c r="C4846" t="s">
        <v>1071</v>
      </c>
      <c r="D4846" t="s">
        <v>1072</v>
      </c>
      <c r="E4846" t="s">
        <v>64</v>
      </c>
      <c r="F4846" t="s">
        <v>14566</v>
      </c>
      <c r="G4846" t="s">
        <v>18052</v>
      </c>
      <c r="H4846" t="s">
        <v>1107</v>
      </c>
      <c r="I4846" t="s">
        <v>1108</v>
      </c>
      <c r="J4846" t="s">
        <v>14567</v>
      </c>
      <c r="K4846" t="s">
        <v>14568</v>
      </c>
      <c r="L4846" t="s">
        <v>21</v>
      </c>
      <c r="M4846" t="s">
        <v>19177</v>
      </c>
      <c r="N4846" t="s">
        <v>16376</v>
      </c>
      <c r="O4846" t="s">
        <v>16376</v>
      </c>
      <c r="P4846" t="s">
        <v>842</v>
      </c>
    </row>
    <row r="4847">
      <c r="A4847">
        <f>HYPERLINK("http://bombeiros.sp.gov.br/hidrantes/03individual/4131.html","4131")</f>
      </c>
      <c r="B4847" t="s">
        <v>842</v>
      </c>
      <c r="C4847" t="s">
        <v>1071</v>
      </c>
      <c r="D4847" t="s">
        <v>1072</v>
      </c>
      <c r="E4847" t="s">
        <v>64</v>
      </c>
      <c r="F4847" t="s">
        <v>14569</v>
      </c>
      <c r="G4847" t="s">
        <v>18124</v>
      </c>
      <c r="H4847" t="s">
        <v>1112</v>
      </c>
      <c r="I4847" t="s">
        <v>1108</v>
      </c>
      <c r="J4847" t="s">
        <v>14570</v>
      </c>
      <c r="K4847" t="s">
        <v>14571</v>
      </c>
      <c r="L4847" t="s">
        <v>21</v>
      </c>
      <c r="M4847" t="s">
        <v>19177</v>
      </c>
      <c r="N4847" t="s">
        <v>16376</v>
      </c>
      <c r="O4847" t="s">
        <v>16376</v>
      </c>
      <c r="P4847" t="s">
        <v>842</v>
      </c>
    </row>
    <row r="4848">
      <c r="A4848">
        <f>HYPERLINK("http://bombeiros.sp.gov.br/hidrantes/03individual/26920.html","26920")</f>
      </c>
      <c r="B4848" t="s">
        <v>842</v>
      </c>
      <c r="C4848" t="s">
        <v>1071</v>
      </c>
      <c r="D4848" t="s">
        <v>1072</v>
      </c>
      <c r="E4848" t="s">
        <v>64</v>
      </c>
      <c r="F4848" t="s">
        <v>16401</v>
      </c>
      <c r="G4848" t="s">
        <v>18187</v>
      </c>
      <c r="H4848" t="s">
        <v>1121</v>
      </c>
      <c r="I4848" t="s">
        <v>1117</v>
      </c>
      <c r="J4848" t="s">
        <v>16402</v>
      </c>
      <c r="K4848" t="s">
        <v>16403</v>
      </c>
      <c r="L4848" t="s">
        <v>21</v>
      </c>
      <c r="M4848" t="s">
        <v>19177</v>
      </c>
      <c r="N4848" t="s">
        <v>16376</v>
      </c>
      <c r="O4848" t="s">
        <v>16376</v>
      </c>
      <c r="P4848" t="s">
        <v>842</v>
      </c>
    </row>
    <row r="4849">
      <c r="A4849">
        <f>HYPERLINK("http://bombeiros.sp.gov.br/hidrantes/03individual/26921.html","26921")</f>
      </c>
      <c r="B4849" t="s">
        <v>842</v>
      </c>
      <c r="C4849" t="s">
        <v>1071</v>
      </c>
      <c r="D4849" t="s">
        <v>1072</v>
      </c>
      <c r="E4849" t="s">
        <v>64</v>
      </c>
      <c r="F4849" t="s">
        <v>16404</v>
      </c>
      <c r="G4849" t="s">
        <v>18187</v>
      </c>
      <c r="H4849" t="s">
        <v>1112</v>
      </c>
      <c r="I4849" t="s">
        <v>1108</v>
      </c>
      <c r="J4849" t="s">
        <v>16405</v>
      </c>
      <c r="K4849" t="s">
        <v>16406</v>
      </c>
      <c r="L4849" t="s">
        <v>21</v>
      </c>
      <c r="M4849" t="s">
        <v>19177</v>
      </c>
      <c r="N4849" t="s">
        <v>16376</v>
      </c>
      <c r="O4849" t="s">
        <v>16376</v>
      </c>
      <c r="P4849" t="s">
        <v>842</v>
      </c>
    </row>
    <row r="4850">
      <c r="A4850">
        <f>HYPERLINK("http://bombeiros.sp.gov.br/hidrantes/03individual/2364.html","2364")</f>
      </c>
      <c r="B4850" t="s">
        <v>842</v>
      </c>
      <c r="C4850" t="s">
        <v>1071</v>
      </c>
      <c r="D4850" t="s">
        <v>1072</v>
      </c>
      <c r="E4850" t="s">
        <v>15</v>
      </c>
      <c r="F4850" t="s">
        <v>14572</v>
      </c>
      <c r="G4850" t="s">
        <v>18159</v>
      </c>
      <c r="H4850" t="s">
        <v>1112</v>
      </c>
      <c r="I4850" t="s">
        <v>1108</v>
      </c>
      <c r="J4850" t="s">
        <v>14573</v>
      </c>
      <c r="K4850" t="s">
        <v>14574</v>
      </c>
      <c r="L4850" t="s">
        <v>21</v>
      </c>
      <c r="M4850" t="s">
        <v>19177</v>
      </c>
      <c r="N4850" t="s">
        <v>16376</v>
      </c>
      <c r="O4850" t="s">
        <v>16376</v>
      </c>
      <c r="P4850" t="s">
        <v>842</v>
      </c>
    </row>
    <row r="4851">
      <c r="A4851">
        <f>HYPERLINK("http://bombeiros.sp.gov.br/hidrantes/03individual/4078.html","4078")</f>
      </c>
      <c r="B4851" t="s">
        <v>842</v>
      </c>
      <c r="C4851" t="s">
        <v>1071</v>
      </c>
      <c r="D4851" t="s">
        <v>1072</v>
      </c>
      <c r="E4851" t="s">
        <v>15</v>
      </c>
      <c r="F4851" t="s">
        <v>14575</v>
      </c>
      <c r="G4851" t="s">
        <v>18159</v>
      </c>
      <c r="H4851" t="s">
        <v>1112</v>
      </c>
      <c r="I4851" t="s">
        <v>1108</v>
      </c>
      <c r="J4851" t="s">
        <v>14576</v>
      </c>
      <c r="K4851" t="s">
        <v>14577</v>
      </c>
      <c r="L4851" t="s">
        <v>21</v>
      </c>
      <c r="M4851" t="s">
        <v>19177</v>
      </c>
      <c r="N4851" t="s">
        <v>16376</v>
      </c>
      <c r="O4851" t="s">
        <v>16376</v>
      </c>
      <c r="P4851" t="s">
        <v>842</v>
      </c>
    </row>
    <row r="4852">
      <c r="A4852">
        <f>HYPERLINK("http://bombeiros.sp.gov.br/hidrantes/03individual/4079.html","4079")</f>
      </c>
      <c r="B4852" t="s">
        <v>842</v>
      </c>
      <c r="C4852" t="s">
        <v>1071</v>
      </c>
      <c r="D4852" t="s">
        <v>1072</v>
      </c>
      <c r="E4852" t="s">
        <v>15</v>
      </c>
      <c r="F4852" t="s">
        <v>14578</v>
      </c>
      <c r="G4852" t="s">
        <v>18159</v>
      </c>
      <c r="H4852" t="s">
        <v>1112</v>
      </c>
      <c r="I4852" t="s">
        <v>1108</v>
      </c>
      <c r="J4852" t="s">
        <v>14579</v>
      </c>
      <c r="K4852" t="s">
        <v>14580</v>
      </c>
      <c r="L4852" t="s">
        <v>21</v>
      </c>
      <c r="M4852" t="s">
        <v>19177</v>
      </c>
      <c r="N4852" t="s">
        <v>16376</v>
      </c>
      <c r="O4852" t="s">
        <v>16376</v>
      </c>
      <c r="P4852" t="s">
        <v>842</v>
      </c>
    </row>
    <row r="4853">
      <c r="A4853">
        <f>HYPERLINK("http://bombeiros.sp.gov.br/hidrantes/03individual/4084.html","4084")</f>
      </c>
      <c r="B4853" t="s">
        <v>842</v>
      </c>
      <c r="C4853" t="s">
        <v>1071</v>
      </c>
      <c r="D4853" t="s">
        <v>1072</v>
      </c>
      <c r="E4853" t="s">
        <v>15</v>
      </c>
      <c r="F4853" t="s">
        <v>14581</v>
      </c>
      <c r="G4853" t="s">
        <v>18187</v>
      </c>
      <c r="H4853" t="s">
        <v>1107</v>
      </c>
      <c r="I4853" t="s">
        <v>1108</v>
      </c>
      <c r="J4853" t="s">
        <v>14582</v>
      </c>
      <c r="K4853" t="s">
        <v>14583</v>
      </c>
      <c r="L4853" t="s">
        <v>21</v>
      </c>
      <c r="M4853" t="s">
        <v>19177</v>
      </c>
      <c r="N4853" t="s">
        <v>16376</v>
      </c>
      <c r="O4853" t="s">
        <v>16376</v>
      </c>
      <c r="P4853" t="s">
        <v>842</v>
      </c>
    </row>
    <row r="4854">
      <c r="A4854">
        <f>HYPERLINK("http://bombeiros.sp.gov.br/hidrantes/03individual/4085.html","4085")</f>
      </c>
      <c r="B4854" t="s">
        <v>842</v>
      </c>
      <c r="C4854" t="s">
        <v>1071</v>
      </c>
      <c r="D4854" t="s">
        <v>1072</v>
      </c>
      <c r="E4854" t="s">
        <v>15</v>
      </c>
      <c r="F4854" t="s">
        <v>14584</v>
      </c>
      <c r="G4854" t="s">
        <v>18052</v>
      </c>
      <c r="H4854" t="s">
        <v>1112</v>
      </c>
      <c r="I4854" t="s">
        <v>1108</v>
      </c>
      <c r="J4854" t="s">
        <v>14585</v>
      </c>
      <c r="K4854" t="s">
        <v>14586</v>
      </c>
      <c r="L4854" t="s">
        <v>21</v>
      </c>
      <c r="M4854" t="s">
        <v>19177</v>
      </c>
      <c r="N4854" t="s">
        <v>16376</v>
      </c>
      <c r="O4854" t="s">
        <v>16376</v>
      </c>
      <c r="P4854" t="s">
        <v>842</v>
      </c>
    </row>
    <row r="4855">
      <c r="A4855">
        <f>HYPERLINK("http://bombeiros.sp.gov.br/hidrantes/03individual/4086.html","4086")</f>
      </c>
      <c r="B4855" t="s">
        <v>842</v>
      </c>
      <c r="C4855" t="s">
        <v>1071</v>
      </c>
      <c r="D4855" t="s">
        <v>1072</v>
      </c>
      <c r="E4855" t="s">
        <v>15</v>
      </c>
      <c r="F4855" t="s">
        <v>14587</v>
      </c>
      <c r="G4855" t="s">
        <v>18052</v>
      </c>
      <c r="H4855" t="s">
        <v>1112</v>
      </c>
      <c r="I4855" t="s">
        <v>1108</v>
      </c>
      <c r="J4855" t="s">
        <v>14588</v>
      </c>
      <c r="K4855" t="s">
        <v>14589</v>
      </c>
      <c r="L4855" t="s">
        <v>21</v>
      </c>
      <c r="M4855" t="s">
        <v>19177</v>
      </c>
      <c r="N4855" t="s">
        <v>16376</v>
      </c>
      <c r="O4855" t="s">
        <v>16376</v>
      </c>
      <c r="P4855" t="s">
        <v>842</v>
      </c>
    </row>
    <row r="4856">
      <c r="A4856">
        <f>HYPERLINK("http://bombeiros.sp.gov.br/hidrantes/03individual/4088.html","4088")</f>
      </c>
      <c r="B4856" t="s">
        <v>842</v>
      </c>
      <c r="C4856" t="s">
        <v>1071</v>
      </c>
      <c r="D4856" t="s">
        <v>1072</v>
      </c>
      <c r="E4856" t="s">
        <v>15</v>
      </c>
      <c r="F4856" t="s">
        <v>14590</v>
      </c>
      <c r="G4856" t="s">
        <v>18060</v>
      </c>
      <c r="H4856" t="s">
        <v>1107</v>
      </c>
      <c r="I4856" t="s">
        <v>1108</v>
      </c>
      <c r="J4856" t="s">
        <v>14591</v>
      </c>
      <c r="K4856" t="s">
        <v>14592</v>
      </c>
      <c r="L4856" t="s">
        <v>21</v>
      </c>
      <c r="M4856" t="s">
        <v>19177</v>
      </c>
      <c r="N4856" t="s">
        <v>16376</v>
      </c>
      <c r="O4856" t="s">
        <v>16376</v>
      </c>
      <c r="P4856" t="s">
        <v>842</v>
      </c>
    </row>
    <row r="4857">
      <c r="A4857">
        <f>HYPERLINK("http://bombeiros.sp.gov.br/hidrantes/03individual/6738.html","6738")</f>
      </c>
      <c r="B4857" t="s">
        <v>842</v>
      </c>
      <c r="C4857" t="s">
        <v>1071</v>
      </c>
      <c r="D4857" t="s">
        <v>1072</v>
      </c>
      <c r="E4857" t="s">
        <v>15</v>
      </c>
      <c r="F4857" t="s">
        <v>1079</v>
      </c>
      <c r="G4857" t="s">
        <v>18187</v>
      </c>
      <c r="H4857" t="s">
        <v>1107</v>
      </c>
      <c r="I4857" t="s">
        <v>1108</v>
      </c>
      <c r="J4857" t="s">
        <v>1081</v>
      </c>
      <c r="K4857" t="s">
        <v>1082</v>
      </c>
      <c r="L4857" t="s">
        <v>21</v>
      </c>
      <c r="M4857" t="s">
        <v>19177</v>
      </c>
      <c r="N4857" t="s">
        <v>16376</v>
      </c>
      <c r="O4857" t="s">
        <v>16376</v>
      </c>
      <c r="P4857" t="s">
        <v>842</v>
      </c>
    </row>
    <row r="4858">
      <c r="A4858">
        <f>HYPERLINK("http://bombeiros.sp.gov.br/hidrantes/03individual/4089.html","4089")</f>
      </c>
      <c r="B4858" t="s">
        <v>842</v>
      </c>
      <c r="C4858" t="s">
        <v>1071</v>
      </c>
      <c r="D4858" t="s">
        <v>1083</v>
      </c>
      <c r="E4858" t="s">
        <v>15</v>
      </c>
      <c r="F4858" t="s">
        <v>14593</v>
      </c>
      <c r="G4858" t="s">
        <v>18060</v>
      </c>
      <c r="H4858" t="s">
        <v>1112</v>
      </c>
      <c r="I4858" t="s">
        <v>1108</v>
      </c>
      <c r="J4858" t="s">
        <v>14594</v>
      </c>
      <c r="K4858" t="s">
        <v>14595</v>
      </c>
      <c r="L4858" t="s">
        <v>21</v>
      </c>
      <c r="M4858" t="s">
        <v>19177</v>
      </c>
      <c r="N4858" t="s">
        <v>16376</v>
      </c>
      <c r="O4858" t="s">
        <v>16376</v>
      </c>
      <c r="P4858" t="s">
        <v>842</v>
      </c>
    </row>
    <row r="4859">
      <c r="A4859">
        <f>HYPERLINK("http://bombeiros.sp.gov.br/hidrantes/03individual/4094.html","4094")</f>
      </c>
      <c r="B4859" t="s">
        <v>842</v>
      </c>
      <c r="C4859" t="s">
        <v>1071</v>
      </c>
      <c r="D4859" t="s">
        <v>1083</v>
      </c>
      <c r="E4859" t="s">
        <v>15</v>
      </c>
      <c r="F4859" t="s">
        <v>14596</v>
      </c>
      <c r="G4859" t="s">
        <v>18052</v>
      </c>
      <c r="H4859" t="s">
        <v>1112</v>
      </c>
      <c r="I4859" t="s">
        <v>1108</v>
      </c>
      <c r="J4859" t="s">
        <v>14597</v>
      </c>
      <c r="K4859" t="s">
        <v>14598</v>
      </c>
      <c r="L4859" t="s">
        <v>21</v>
      </c>
      <c r="M4859" t="s">
        <v>19177</v>
      </c>
      <c r="N4859" t="s">
        <v>16376</v>
      </c>
      <c r="O4859" t="s">
        <v>16376</v>
      </c>
      <c r="P4859" t="s">
        <v>842</v>
      </c>
    </row>
    <row r="4860">
      <c r="A4860">
        <f>HYPERLINK("http://bombeiros.sp.gov.br/hidrantes/03individual/4096.html","4096")</f>
      </c>
      <c r="B4860" t="s">
        <v>842</v>
      </c>
      <c r="C4860" t="s">
        <v>1071</v>
      </c>
      <c r="D4860" t="s">
        <v>1083</v>
      </c>
      <c r="E4860" t="s">
        <v>15</v>
      </c>
      <c r="F4860" t="s">
        <v>14599</v>
      </c>
      <c r="G4860" t="s">
        <v>18052</v>
      </c>
      <c r="H4860" t="s">
        <v>1112</v>
      </c>
      <c r="I4860" t="s">
        <v>1108</v>
      </c>
      <c r="J4860" t="s">
        <v>14600</v>
      </c>
      <c r="K4860" t="s">
        <v>14601</v>
      </c>
      <c r="L4860" t="s">
        <v>21</v>
      </c>
      <c r="M4860" t="s">
        <v>19177</v>
      </c>
      <c r="N4860" t="s">
        <v>16376</v>
      </c>
      <c r="O4860" t="s">
        <v>16376</v>
      </c>
      <c r="P4860" t="s">
        <v>842</v>
      </c>
    </row>
    <row r="4861">
      <c r="A4861">
        <f>HYPERLINK("http://bombeiros.sp.gov.br/hidrantes/03individual/17769.html","17769")</f>
      </c>
      <c r="B4861" t="s">
        <v>842</v>
      </c>
      <c r="C4861" t="s">
        <v>1071</v>
      </c>
      <c r="D4861" t="s">
        <v>1083</v>
      </c>
      <c r="E4861" t="s">
        <v>15</v>
      </c>
      <c r="F4861" t="s">
        <v>14605</v>
      </c>
      <c r="G4861" t="s">
        <v>18052</v>
      </c>
      <c r="H4861" t="s">
        <v>1174</v>
      </c>
      <c r="I4861" t="s">
        <v>1108</v>
      </c>
      <c r="J4861" t="s">
        <v>14606</v>
      </c>
      <c r="K4861" t="s">
        <v>14607</v>
      </c>
      <c r="L4861" t="s">
        <v>21</v>
      </c>
      <c r="M4861" t="s">
        <v>19177</v>
      </c>
      <c r="N4861" t="s">
        <v>16376</v>
      </c>
      <c r="O4861" t="s">
        <v>16376</v>
      </c>
      <c r="P4861" t="s">
        <v>842</v>
      </c>
    </row>
    <row r="4862">
      <c r="A4862">
        <f>HYPERLINK("http://bombeiros.sp.gov.br/hidrantes/03individual/26852.html","26852")</f>
      </c>
      <c r="B4862" t="s">
        <v>842</v>
      </c>
      <c r="C4862" t="s">
        <v>1071</v>
      </c>
      <c r="D4862" t="s">
        <v>1083</v>
      </c>
      <c r="E4862" t="s">
        <v>15</v>
      </c>
      <c r="F4862" t="s">
        <v>16209</v>
      </c>
      <c r="G4862" t="s">
        <v>18170</v>
      </c>
      <c r="H4862" t="s">
        <v>1112</v>
      </c>
      <c r="I4862" t="s">
        <v>1108</v>
      </c>
      <c r="J4862" t="s">
        <v>16210</v>
      </c>
      <c r="K4862" t="s">
        <v>16211</v>
      </c>
      <c r="L4862" t="s">
        <v>21</v>
      </c>
      <c r="M4862" t="s">
        <v>19177</v>
      </c>
      <c r="N4862" t="s">
        <v>16376</v>
      </c>
      <c r="O4862" t="s">
        <v>16376</v>
      </c>
      <c r="P4862" t="s">
        <v>842</v>
      </c>
    </row>
    <row r="4863">
      <c r="A4863">
        <f>HYPERLINK("http://bombeiros.sp.gov.br/hidrantes/03individual/4013.html","4013")</f>
      </c>
      <c r="B4863" t="s">
        <v>842</v>
      </c>
      <c r="C4863" t="s">
        <v>1097</v>
      </c>
      <c r="D4863" t="s">
        <v>14608</v>
      </c>
      <c r="E4863" t="s">
        <v>64</v>
      </c>
      <c r="F4863" t="s">
        <v>14609</v>
      </c>
      <c r="G4863" t="s">
        <v>18117</v>
      </c>
      <c r="H4863" t="s">
        <v>1112</v>
      </c>
      <c r="I4863" t="s">
        <v>1108</v>
      </c>
      <c r="J4863" t="s">
        <v>14610</v>
      </c>
      <c r="K4863" t="s">
        <v>14611</v>
      </c>
      <c r="L4863" t="s">
        <v>36</v>
      </c>
      <c r="M4863" t="s">
        <v>19177</v>
      </c>
      <c r="N4863" t="s">
        <v>848</v>
      </c>
      <c r="O4863" t="s">
        <v>640</v>
      </c>
      <c r="P4863" t="s">
        <v>623</v>
      </c>
    </row>
    <row r="4864">
      <c r="A4864">
        <f>HYPERLINK("http://bombeiros.sp.gov.br/hidrantes/03individual/4017.html","4017")</f>
      </c>
      <c r="B4864" t="s">
        <v>842</v>
      </c>
      <c r="C4864" t="s">
        <v>1097</v>
      </c>
      <c r="D4864" t="s">
        <v>14608</v>
      </c>
      <c r="E4864" t="s">
        <v>64</v>
      </c>
      <c r="F4864" t="s">
        <v>14612</v>
      </c>
      <c r="G4864" t="s">
        <v>18057</v>
      </c>
      <c r="H4864" t="s">
        <v>1121</v>
      </c>
      <c r="I4864" t="s">
        <v>1117</v>
      </c>
      <c r="J4864" t="s">
        <v>14613</v>
      </c>
      <c r="K4864" t="s">
        <v>14614</v>
      </c>
      <c r="L4864" t="s">
        <v>36</v>
      </c>
      <c r="M4864" t="s">
        <v>19177</v>
      </c>
      <c r="N4864" t="s">
        <v>848</v>
      </c>
      <c r="O4864" t="s">
        <v>640</v>
      </c>
      <c r="P4864" t="s">
        <v>623</v>
      </c>
    </row>
    <row r="4865">
      <c r="A4865">
        <f>HYPERLINK("http://bombeiros.sp.gov.br/hidrantes/03individual/4027.html","4027")</f>
      </c>
      <c r="B4865" t="s">
        <v>842</v>
      </c>
      <c r="C4865" t="s">
        <v>1097</v>
      </c>
      <c r="D4865" t="s">
        <v>14608</v>
      </c>
      <c r="E4865" t="s">
        <v>64</v>
      </c>
      <c r="F4865" t="s">
        <v>14615</v>
      </c>
      <c r="G4865" t="s">
        <v>18076</v>
      </c>
      <c r="H4865" t="s">
        <v>1107</v>
      </c>
      <c r="I4865" t="s">
        <v>1108</v>
      </c>
      <c r="J4865" t="s">
        <v>18221</v>
      </c>
      <c r="K4865" t="s">
        <v>17158</v>
      </c>
      <c r="L4865" t="s">
        <v>36</v>
      </c>
      <c r="M4865" t="s">
        <v>19177</v>
      </c>
      <c r="N4865" t="s">
        <v>848</v>
      </c>
      <c r="O4865" t="s">
        <v>640</v>
      </c>
      <c r="P4865" t="s">
        <v>623</v>
      </c>
    </row>
    <row r="4866">
      <c r="A4866">
        <f>HYPERLINK("http://bombeiros.sp.gov.br/hidrantes/03individual/23054.html","23054")</f>
      </c>
      <c r="B4866" t="s">
        <v>842</v>
      </c>
      <c r="C4866" t="s">
        <v>1097</v>
      </c>
      <c r="D4866" t="s">
        <v>14608</v>
      </c>
      <c r="E4866" t="s">
        <v>64</v>
      </c>
      <c r="F4866" t="s">
        <v>14618</v>
      </c>
      <c r="G4866" t="s">
        <v>18076</v>
      </c>
      <c r="H4866" t="s">
        <v>1112</v>
      </c>
      <c r="I4866" t="s">
        <v>1108</v>
      </c>
      <c r="J4866" t="s">
        <v>14619</v>
      </c>
      <c r="K4866" t="s">
        <v>14620</v>
      </c>
      <c r="L4866" t="s">
        <v>21</v>
      </c>
      <c r="M4866" t="s">
        <v>19177</v>
      </c>
      <c r="N4866" t="s">
        <v>848</v>
      </c>
      <c r="O4866" t="s">
        <v>640</v>
      </c>
      <c r="P4866" t="s">
        <v>623</v>
      </c>
    </row>
    <row r="4867">
      <c r="A4867">
        <f>HYPERLINK("http://bombeiros.sp.gov.br/hidrantes/03individual/25264.html","25264")</f>
      </c>
      <c r="B4867" t="s">
        <v>842</v>
      </c>
      <c r="C4867" t="s">
        <v>1097</v>
      </c>
      <c r="D4867" t="s">
        <v>14608</v>
      </c>
      <c r="E4867" t="s">
        <v>64</v>
      </c>
      <c r="F4867" t="s">
        <v>14621</v>
      </c>
      <c r="G4867" t="s">
        <v>18057</v>
      </c>
      <c r="H4867" t="s">
        <v>1121</v>
      </c>
      <c r="I4867" t="s">
        <v>1117</v>
      </c>
      <c r="J4867" t="s">
        <v>14622</v>
      </c>
      <c r="K4867" t="s">
        <v>14623</v>
      </c>
      <c r="L4867" t="s">
        <v>21</v>
      </c>
      <c r="M4867" t="s">
        <v>19177</v>
      </c>
      <c r="N4867" t="s">
        <v>848</v>
      </c>
      <c r="O4867" t="s">
        <v>640</v>
      </c>
      <c r="P4867" t="s">
        <v>623</v>
      </c>
    </row>
    <row r="4868">
      <c r="A4868">
        <f>HYPERLINK("http://bombeiros.sp.gov.br/hidrantes/03individual/28190.html","28190")</f>
      </c>
      <c r="B4868" t="s">
        <v>842</v>
      </c>
      <c r="C4868" t="s">
        <v>1097</v>
      </c>
      <c r="D4868" t="s">
        <v>14608</v>
      </c>
      <c r="E4868" t="s">
        <v>64</v>
      </c>
      <c r="F4868" t="s">
        <v>18401</v>
      </c>
      <c r="G4868"/>
      <c r="H4868"/>
      <c r="I4868" t="s">
        <v>1503</v>
      </c>
      <c r="J4868" t="s">
        <v>18402</v>
      </c>
      <c r="K4868" t="s">
        <v>18403</v>
      </c>
      <c r="L4868" t="s">
        <v>21</v>
      </c>
      <c r="M4868" t="s">
        <v>19177</v>
      </c>
      <c r="N4868" t="s">
        <v>848</v>
      </c>
      <c r="O4868" t="s">
        <v>640</v>
      </c>
      <c r="P4868" t="s">
        <v>623</v>
      </c>
    </row>
    <row r="4869">
      <c r="A4869">
        <f>HYPERLINK("http://bombeiros.sp.gov.br/hidrantes/03individual/26337.html","26337")</f>
      </c>
      <c r="B4869" t="s">
        <v>842</v>
      </c>
      <c r="C4869" t="s">
        <v>1097</v>
      </c>
      <c r="D4869" t="s">
        <v>1098</v>
      </c>
      <c r="E4869" t="s">
        <v>64</v>
      </c>
      <c r="F4869" t="s">
        <v>14624</v>
      </c>
      <c r="G4869" t="s">
        <v>18155</v>
      </c>
      <c r="H4869" t="s">
        <v>1121</v>
      </c>
      <c r="I4869" t="s">
        <v>1117</v>
      </c>
      <c r="J4869" t="s">
        <v>14625</v>
      </c>
      <c r="K4869" t="s">
        <v>14626</v>
      </c>
      <c r="L4869" t="s">
        <v>21</v>
      </c>
      <c r="M4869" t="s">
        <v>19177</v>
      </c>
      <c r="N4869" t="s">
        <v>848</v>
      </c>
      <c r="O4869" t="s">
        <v>640</v>
      </c>
      <c r="P4869" t="s">
        <v>623</v>
      </c>
    </row>
    <row r="4870">
      <c r="A4870">
        <f>HYPERLINK("http://bombeiros.sp.gov.br/hidrantes/03individual/27027.html","27027")</f>
      </c>
      <c r="B4870" t="s">
        <v>842</v>
      </c>
      <c r="C4870" t="s">
        <v>1097</v>
      </c>
      <c r="D4870" t="s">
        <v>1098</v>
      </c>
      <c r="E4870" t="s">
        <v>64</v>
      </c>
      <c r="F4870" t="s">
        <v>16633</v>
      </c>
      <c r="G4870" t="s">
        <v>18076</v>
      </c>
      <c r="H4870" t="s">
        <v>1121</v>
      </c>
      <c r="I4870" t="s">
        <v>1117</v>
      </c>
      <c r="J4870" t="s">
        <v>16634</v>
      </c>
      <c r="K4870" t="s">
        <v>16635</v>
      </c>
      <c r="L4870" t="s">
        <v>21</v>
      </c>
      <c r="M4870" t="s">
        <v>19177</v>
      </c>
      <c r="N4870" t="s">
        <v>848</v>
      </c>
      <c r="O4870" t="s">
        <v>640</v>
      </c>
      <c r="P4870" t="s">
        <v>623</v>
      </c>
    </row>
    <row r="4871">
      <c r="A4871">
        <f>HYPERLINK("http://bombeiros.sp.gov.br/hidrantes/03individual/27028.html","27028")</f>
      </c>
      <c r="B4871" t="s">
        <v>842</v>
      </c>
      <c r="C4871" t="s">
        <v>1097</v>
      </c>
      <c r="D4871" t="s">
        <v>1098</v>
      </c>
      <c r="E4871" t="s">
        <v>64</v>
      </c>
      <c r="F4871" t="s">
        <v>16636</v>
      </c>
      <c r="G4871" t="s">
        <v>18076</v>
      </c>
      <c r="H4871" t="s">
        <v>1112</v>
      </c>
      <c r="I4871" t="s">
        <v>1108</v>
      </c>
      <c r="J4871" t="s">
        <v>16637</v>
      </c>
      <c r="K4871" t="s">
        <v>16638</v>
      </c>
      <c r="L4871" t="s">
        <v>21</v>
      </c>
      <c r="M4871" t="s">
        <v>19177</v>
      </c>
      <c r="N4871" t="s">
        <v>848</v>
      </c>
      <c r="O4871" t="s">
        <v>640</v>
      </c>
      <c r="P4871" t="s">
        <v>623</v>
      </c>
    </row>
    <row r="4872">
      <c r="A4872">
        <f>HYPERLINK("http://bombeiros.sp.gov.br/hidrantes/03individual/28584.html","28584")</f>
      </c>
      <c r="B4872" t="s">
        <v>842</v>
      </c>
      <c r="C4872" t="s">
        <v>1097</v>
      </c>
      <c r="D4872" t="s">
        <v>1098</v>
      </c>
      <c r="E4872" t="s">
        <v>64</v>
      </c>
      <c r="F4872" t="s">
        <v>19037</v>
      </c>
      <c r="G4872"/>
      <c r="H4872"/>
      <c r="I4872" t="s">
        <v>1503</v>
      </c>
      <c r="J4872" t="s">
        <v>19038</v>
      </c>
      <c r="K4872" t="s">
        <v>19039</v>
      </c>
      <c r="L4872" t="s">
        <v>21</v>
      </c>
      <c r="M4872" t="s">
        <v>19177</v>
      </c>
      <c r="N4872" t="s">
        <v>16375</v>
      </c>
      <c r="O4872" t="s">
        <v>640</v>
      </c>
      <c r="P4872" t="s">
        <v>623</v>
      </c>
    </row>
    <row r="4873">
      <c r="A4873">
        <f>HYPERLINK("http://bombeiros.sp.gov.br/hidrantes/03individual/2304.html","2304")</f>
      </c>
      <c r="B4873" t="s">
        <v>842</v>
      </c>
      <c r="C4873" t="s">
        <v>1097</v>
      </c>
      <c r="D4873" t="s">
        <v>1098</v>
      </c>
      <c r="E4873" t="s">
        <v>15</v>
      </c>
      <c r="F4873" t="s">
        <v>1099</v>
      </c>
      <c r="G4873" t="s">
        <v>17873</v>
      </c>
      <c r="H4873" t="s">
        <v>1121</v>
      </c>
      <c r="I4873" t="s">
        <v>1117</v>
      </c>
      <c r="J4873" t="s">
        <v>1100</v>
      </c>
      <c r="K4873" t="s">
        <v>1101</v>
      </c>
      <c r="L4873" t="s">
        <v>21</v>
      </c>
      <c r="M4873" t="s">
        <v>19177</v>
      </c>
      <c r="N4873" t="s">
        <v>16375</v>
      </c>
      <c r="O4873" t="s">
        <v>640</v>
      </c>
      <c r="P4873" t="s">
        <v>623</v>
      </c>
    </row>
    <row r="4874">
      <c r="A4874">
        <f>HYPERLINK("http://bombeiros.sp.gov.br/hidrantes/03individual/6709.html","6709")</f>
      </c>
      <c r="B4874" t="s">
        <v>842</v>
      </c>
      <c r="C4874" t="s">
        <v>1097</v>
      </c>
      <c r="D4874" t="s">
        <v>1098</v>
      </c>
      <c r="E4874" t="s">
        <v>15</v>
      </c>
      <c r="F4874" t="s">
        <v>14630</v>
      </c>
      <c r="G4874" t="s">
        <v>18076</v>
      </c>
      <c r="H4874" t="s">
        <v>1121</v>
      </c>
      <c r="I4874" t="s">
        <v>1117</v>
      </c>
      <c r="J4874" t="s">
        <v>14631</v>
      </c>
      <c r="K4874" t="s">
        <v>14632</v>
      </c>
      <c r="L4874" t="s">
        <v>21</v>
      </c>
      <c r="M4874" t="s">
        <v>19177</v>
      </c>
      <c r="N4874" t="s">
        <v>16375</v>
      </c>
      <c r="O4874" t="s">
        <v>640</v>
      </c>
      <c r="P4874" t="s">
        <v>623</v>
      </c>
    </row>
    <row r="4875">
      <c r="A4875">
        <f>HYPERLINK("http://bombeiros.sp.gov.br/hidrantes/03individual/6710.html","6710")</f>
      </c>
      <c r="B4875" t="s">
        <v>842</v>
      </c>
      <c r="C4875" t="s">
        <v>1097</v>
      </c>
      <c r="D4875" t="s">
        <v>1098</v>
      </c>
      <c r="E4875" t="s">
        <v>15</v>
      </c>
      <c r="F4875" t="s">
        <v>14633</v>
      </c>
      <c r="G4875" t="s">
        <v>18076</v>
      </c>
      <c r="H4875" t="s">
        <v>1174</v>
      </c>
      <c r="I4875" t="s">
        <v>1117</v>
      </c>
      <c r="J4875" t="s">
        <v>14634</v>
      </c>
      <c r="K4875" t="s">
        <v>14635</v>
      </c>
      <c r="L4875" t="s">
        <v>21</v>
      </c>
      <c r="M4875" t="s">
        <v>19177</v>
      </c>
      <c r="N4875" t="s">
        <v>16375</v>
      </c>
      <c r="O4875" t="s">
        <v>640</v>
      </c>
      <c r="P4875" t="s">
        <v>623</v>
      </c>
    </row>
    <row r="4876">
      <c r="A4876">
        <f>HYPERLINK("http://bombeiros.sp.gov.br/hidrantes/03individual/26819.html","26819")</f>
      </c>
      <c r="B4876" t="s">
        <v>842</v>
      </c>
      <c r="C4876" t="s">
        <v>1097</v>
      </c>
      <c r="D4876" t="s">
        <v>1098</v>
      </c>
      <c r="E4876" t="s">
        <v>15</v>
      </c>
      <c r="F4876" t="s">
        <v>16088</v>
      </c>
      <c r="G4876" t="s">
        <v>18076</v>
      </c>
      <c r="H4876" t="s">
        <v>1121</v>
      </c>
      <c r="I4876" t="s">
        <v>1117</v>
      </c>
      <c r="J4876" t="s">
        <v>16089</v>
      </c>
      <c r="K4876" t="s">
        <v>16090</v>
      </c>
      <c r="L4876" t="s">
        <v>21</v>
      </c>
      <c r="M4876" t="s">
        <v>19177</v>
      </c>
      <c r="N4876" t="s">
        <v>848</v>
      </c>
      <c r="O4876" t="s">
        <v>640</v>
      </c>
      <c r="P4876" t="s">
        <v>623</v>
      </c>
    </row>
    <row r="4877">
      <c r="A4877">
        <f>HYPERLINK("http://bombeiros.sp.gov.br/hidrantes/03individual/4018.html","4018")</f>
      </c>
      <c r="B4877" t="s">
        <v>842</v>
      </c>
      <c r="C4877" t="s">
        <v>1097</v>
      </c>
      <c r="D4877" t="s">
        <v>1102</v>
      </c>
      <c r="E4877" t="s">
        <v>64</v>
      </c>
      <c r="F4877" t="s">
        <v>14636</v>
      </c>
      <c r="G4877" t="s">
        <v>17921</v>
      </c>
      <c r="H4877" t="s">
        <v>1112</v>
      </c>
      <c r="I4877" t="s">
        <v>1108</v>
      </c>
      <c r="J4877" t="s">
        <v>14637</v>
      </c>
      <c r="K4877" t="s">
        <v>14638</v>
      </c>
      <c r="L4877" t="s">
        <v>36</v>
      </c>
      <c r="M4877" t="s">
        <v>19177</v>
      </c>
      <c r="N4877" t="s">
        <v>848</v>
      </c>
      <c r="O4877" t="s">
        <v>640</v>
      </c>
      <c r="P4877" t="s">
        <v>623</v>
      </c>
    </row>
    <row r="4878">
      <c r="A4878">
        <f>HYPERLINK("http://bombeiros.sp.gov.br/hidrantes/03individual/4026.html","4026")</f>
      </c>
      <c r="B4878" t="s">
        <v>842</v>
      </c>
      <c r="C4878" t="s">
        <v>1097</v>
      </c>
      <c r="D4878" t="s">
        <v>1102</v>
      </c>
      <c r="E4878" t="s">
        <v>64</v>
      </c>
      <c r="F4878" t="s">
        <v>14639</v>
      </c>
      <c r="G4878" t="s">
        <v>18205</v>
      </c>
      <c r="H4878" t="s">
        <v>1112</v>
      </c>
      <c r="I4878" t="s">
        <v>1108</v>
      </c>
      <c r="J4878" t="s">
        <v>14640</v>
      </c>
      <c r="K4878" t="s">
        <v>14641</v>
      </c>
      <c r="L4878" t="s">
        <v>21</v>
      </c>
      <c r="M4878" t="s">
        <v>19177</v>
      </c>
      <c r="N4878" t="s">
        <v>848</v>
      </c>
      <c r="O4878" t="s">
        <v>640</v>
      </c>
      <c r="P4878" t="s">
        <v>623</v>
      </c>
    </row>
    <row r="4879">
      <c r="A4879">
        <f>HYPERLINK("http://bombeiros.sp.gov.br/hidrantes/03individual/27024.html","27024")</f>
      </c>
      <c r="B4879" t="s">
        <v>842</v>
      </c>
      <c r="C4879" t="s">
        <v>1097</v>
      </c>
      <c r="D4879" t="s">
        <v>1102</v>
      </c>
      <c r="E4879" t="s">
        <v>64</v>
      </c>
      <c r="F4879" t="s">
        <v>16639</v>
      </c>
      <c r="G4879" t="s">
        <v>18205</v>
      </c>
      <c r="H4879" t="s">
        <v>1112</v>
      </c>
      <c r="I4879" t="s">
        <v>1108</v>
      </c>
      <c r="J4879" t="s">
        <v>16640</v>
      </c>
      <c r="K4879" t="s">
        <v>16641</v>
      </c>
      <c r="L4879" t="s">
        <v>21</v>
      </c>
      <c r="M4879" t="s">
        <v>19177</v>
      </c>
      <c r="N4879" t="s">
        <v>848</v>
      </c>
      <c r="O4879" t="s">
        <v>640</v>
      </c>
      <c r="P4879" t="s">
        <v>623</v>
      </c>
    </row>
    <row r="4880">
      <c r="A4880">
        <f>HYPERLINK("http://bombeiros.sp.gov.br/hidrantes/03individual/27121.html","27121")</f>
      </c>
      <c r="B4880" t="s">
        <v>842</v>
      </c>
      <c r="C4880" t="s">
        <v>1097</v>
      </c>
      <c r="D4880" t="s">
        <v>1102</v>
      </c>
      <c r="E4880" t="s">
        <v>64</v>
      </c>
      <c r="F4880" t="s">
        <v>16796</v>
      </c>
      <c r="G4880" t="s">
        <v>18051</v>
      </c>
      <c r="H4880" t="s">
        <v>1112</v>
      </c>
      <c r="I4880" t="s">
        <v>1108</v>
      </c>
      <c r="J4880" t="s">
        <v>16797</v>
      </c>
      <c r="K4880" t="s">
        <v>16798</v>
      </c>
      <c r="L4880" t="s">
        <v>21</v>
      </c>
      <c r="M4880" t="s">
        <v>19177</v>
      </c>
      <c r="N4880" t="s">
        <v>848</v>
      </c>
      <c r="O4880" t="s">
        <v>640</v>
      </c>
      <c r="P4880" t="s">
        <v>623</v>
      </c>
    </row>
    <row r="4881">
      <c r="A4881">
        <f>HYPERLINK("http://bombeiros.sp.gov.br/hidrantes/03individual/27316.html","27316")</f>
      </c>
      <c r="B4881" t="s">
        <v>842</v>
      </c>
      <c r="C4881" t="s">
        <v>1097</v>
      </c>
      <c r="D4881" t="s">
        <v>1102</v>
      </c>
      <c r="E4881" t="s">
        <v>64</v>
      </c>
      <c r="F4881" t="s">
        <v>17115</v>
      </c>
      <c r="G4881" t="s">
        <v>18057</v>
      </c>
      <c r="H4881" t="s">
        <v>1112</v>
      </c>
      <c r="I4881" t="s">
        <v>1108</v>
      </c>
      <c r="J4881" t="s">
        <v>17116</v>
      </c>
      <c r="K4881" t="s">
        <v>17117</v>
      </c>
      <c r="L4881" t="s">
        <v>21</v>
      </c>
      <c r="M4881" t="s">
        <v>19177</v>
      </c>
      <c r="N4881" t="s">
        <v>848</v>
      </c>
      <c r="O4881" t="s">
        <v>640</v>
      </c>
      <c r="P4881" t="s">
        <v>623</v>
      </c>
    </row>
    <row r="4882">
      <c r="A4882">
        <f>HYPERLINK("http://bombeiros.sp.gov.br/hidrantes/03individual/28191.html","28191")</f>
      </c>
      <c r="B4882" t="s">
        <v>842</v>
      </c>
      <c r="C4882" t="s">
        <v>1097</v>
      </c>
      <c r="D4882" t="s">
        <v>1102</v>
      </c>
      <c r="E4882" t="s">
        <v>64</v>
      </c>
      <c r="F4882" t="s">
        <v>18404</v>
      </c>
      <c r="G4882"/>
      <c r="H4882"/>
      <c r="I4882" t="s">
        <v>1503</v>
      </c>
      <c r="J4882" t="s">
        <v>18405</v>
      </c>
      <c r="K4882" t="s">
        <v>18406</v>
      </c>
      <c r="L4882" t="s">
        <v>21</v>
      </c>
      <c r="M4882" t="s">
        <v>19177</v>
      </c>
      <c r="N4882" t="s">
        <v>848</v>
      </c>
      <c r="O4882" t="s">
        <v>640</v>
      </c>
      <c r="P4882" t="s">
        <v>623</v>
      </c>
    </row>
    <row r="4883">
      <c r="A4883">
        <f>HYPERLINK("http://bombeiros.sp.gov.br/hidrantes/03individual/26817.html","26817")</f>
      </c>
      <c r="B4883" t="s">
        <v>842</v>
      </c>
      <c r="C4883" t="s">
        <v>1097</v>
      </c>
      <c r="D4883" t="s">
        <v>1102</v>
      </c>
      <c r="E4883" t="s">
        <v>15</v>
      </c>
      <c r="F4883" t="s">
        <v>16068</v>
      </c>
      <c r="G4883" t="s">
        <v>18057</v>
      </c>
      <c r="H4883" t="s">
        <v>1112</v>
      </c>
      <c r="I4883" t="s">
        <v>1108</v>
      </c>
      <c r="J4883" t="s">
        <v>16069</v>
      </c>
      <c r="K4883" t="s">
        <v>16070</v>
      </c>
      <c r="L4883" t="s">
        <v>21</v>
      </c>
      <c r="M4883" t="s">
        <v>19177</v>
      </c>
      <c r="N4883" t="s">
        <v>848</v>
      </c>
      <c r="O4883" t="s">
        <v>640</v>
      </c>
      <c r="P4883" t="s">
        <v>623</v>
      </c>
    </row>
    <row r="4884">
      <c r="A4884">
        <f>HYPERLINK("http://bombeiros.sp.gov.br/hidrantes/03individual/27569.html","27569")</f>
      </c>
      <c r="B4884" t="s">
        <v>842</v>
      </c>
      <c r="C4884" t="s">
        <v>14642</v>
      </c>
      <c r="D4884" t="s">
        <v>14643</v>
      </c>
      <c r="E4884" t="s">
        <v>64</v>
      </c>
      <c r="F4884" t="s">
        <v>17441</v>
      </c>
      <c r="G4884" t="s">
        <v>18099</v>
      </c>
      <c r="H4884" t="s">
        <v>1107</v>
      </c>
      <c r="I4884" t="s">
        <v>1108</v>
      </c>
      <c r="J4884" t="s">
        <v>17442</v>
      </c>
      <c r="K4884" t="s">
        <v>17443</v>
      </c>
      <c r="L4884" t="s">
        <v>21</v>
      </c>
      <c r="M4884" t="s">
        <v>19177</v>
      </c>
      <c r="N4884" t="s">
        <v>714</v>
      </c>
      <c r="O4884" t="s">
        <v>10263</v>
      </c>
      <c r="P4884" t="s">
        <v>12</v>
      </c>
    </row>
    <row r="4885">
      <c r="A4885">
        <f>HYPERLINK("http://bombeiros.sp.gov.br/hidrantes/03individual/27664.html","27664")</f>
      </c>
      <c r="B4885" t="s">
        <v>842</v>
      </c>
      <c r="C4885" t="s">
        <v>14642</v>
      </c>
      <c r="D4885" t="s">
        <v>14643</v>
      </c>
      <c r="E4885" t="s">
        <v>64</v>
      </c>
      <c r="F4885" t="s">
        <v>17575</v>
      </c>
      <c r="G4885" t="s">
        <v>18099</v>
      </c>
      <c r="H4885" t="s">
        <v>1107</v>
      </c>
      <c r="I4885" t="s">
        <v>1108</v>
      </c>
      <c r="J4885" t="s">
        <v>17576</v>
      </c>
      <c r="K4885" t="s">
        <v>17577</v>
      </c>
      <c r="L4885" t="s">
        <v>21</v>
      </c>
      <c r="M4885" t="s">
        <v>19177</v>
      </c>
      <c r="N4885" t="s">
        <v>714</v>
      </c>
      <c r="O4885" t="s">
        <v>10263</v>
      </c>
      <c r="P4885" t="s">
        <v>12</v>
      </c>
    </row>
    <row r="4886">
      <c r="A4886">
        <f>HYPERLINK("http://bombeiros.sp.gov.br/hidrantes/03individual/290.html","290")</f>
      </c>
      <c r="B4886" t="s">
        <v>842</v>
      </c>
      <c r="C4886" t="s">
        <v>14642</v>
      </c>
      <c r="D4886" t="s">
        <v>14643</v>
      </c>
      <c r="E4886" t="s">
        <v>15</v>
      </c>
      <c r="F4886" t="s">
        <v>14644</v>
      </c>
      <c r="G4886" t="s">
        <v>18430</v>
      </c>
      <c r="H4886" t="s">
        <v>1112</v>
      </c>
      <c r="I4886" t="s">
        <v>1108</v>
      </c>
      <c r="J4886" t="s">
        <v>16044</v>
      </c>
      <c r="K4886" t="s">
        <v>16045</v>
      </c>
      <c r="L4886" t="s">
        <v>21</v>
      </c>
      <c r="M4886" t="s">
        <v>19177</v>
      </c>
      <c r="N4886" t="s">
        <v>714</v>
      </c>
      <c r="O4886" t="s">
        <v>10263</v>
      </c>
      <c r="P4886" t="s">
        <v>12</v>
      </c>
    </row>
    <row r="4887">
      <c r="A4887">
        <f>HYPERLINK("http://bombeiros.sp.gov.br/hidrantes/03individual/305.html","305")</f>
      </c>
      <c r="B4887" t="s">
        <v>842</v>
      </c>
      <c r="C4887" t="s">
        <v>14642</v>
      </c>
      <c r="D4887" t="s">
        <v>14643</v>
      </c>
      <c r="E4887" t="s">
        <v>15</v>
      </c>
      <c r="F4887" t="s">
        <v>14647</v>
      </c>
      <c r="G4887" t="s">
        <v>18269</v>
      </c>
      <c r="H4887" t="s">
        <v>1174</v>
      </c>
      <c r="I4887" t="s">
        <v>1108</v>
      </c>
      <c r="J4887" t="s">
        <v>14648</v>
      </c>
      <c r="K4887" t="s">
        <v>14649</v>
      </c>
      <c r="L4887" t="s">
        <v>21</v>
      </c>
      <c r="M4887" t="s">
        <v>19177</v>
      </c>
      <c r="N4887" t="s">
        <v>714</v>
      </c>
      <c r="O4887" t="s">
        <v>10263</v>
      </c>
      <c r="P4887" t="s">
        <v>12</v>
      </c>
    </row>
    <row r="4888">
      <c r="A4888">
        <f>HYPERLINK("http://bombeiros.sp.gov.br/hidrantes/03individual/320.html","320")</f>
      </c>
      <c r="B4888" t="s">
        <v>842</v>
      </c>
      <c r="C4888" t="s">
        <v>14642</v>
      </c>
      <c r="D4888" t="s">
        <v>14643</v>
      </c>
      <c r="E4888" t="s">
        <v>15</v>
      </c>
      <c r="F4888" t="s">
        <v>14650</v>
      </c>
      <c r="G4888" t="s">
        <v>18173</v>
      </c>
      <c r="H4888" t="s">
        <v>1107</v>
      </c>
      <c r="I4888" t="s">
        <v>1108</v>
      </c>
      <c r="J4888" t="s">
        <v>14651</v>
      </c>
      <c r="K4888" t="s">
        <v>14652</v>
      </c>
      <c r="L4888" t="s">
        <v>21</v>
      </c>
      <c r="M4888" t="s">
        <v>19177</v>
      </c>
      <c r="N4888" t="s">
        <v>714</v>
      </c>
      <c r="O4888" t="s">
        <v>10263</v>
      </c>
      <c r="P4888" t="s">
        <v>12</v>
      </c>
    </row>
    <row r="4889">
      <c r="A4889">
        <f>HYPERLINK("http://bombeiros.sp.gov.br/hidrantes/03individual/321.html","321")</f>
      </c>
      <c r="B4889" t="s">
        <v>842</v>
      </c>
      <c r="C4889" t="s">
        <v>14642</v>
      </c>
      <c r="D4889" t="s">
        <v>14643</v>
      </c>
      <c r="E4889" t="s">
        <v>15</v>
      </c>
      <c r="F4889" t="s">
        <v>14653</v>
      </c>
      <c r="G4889" t="s">
        <v>18430</v>
      </c>
      <c r="H4889" t="s">
        <v>1107</v>
      </c>
      <c r="I4889" t="s">
        <v>1108</v>
      </c>
      <c r="J4889" t="s">
        <v>14654</v>
      </c>
      <c r="K4889" t="s">
        <v>14655</v>
      </c>
      <c r="L4889" t="s">
        <v>21</v>
      </c>
      <c r="M4889" t="s">
        <v>19177</v>
      </c>
      <c r="N4889" t="s">
        <v>714</v>
      </c>
      <c r="O4889" t="s">
        <v>10263</v>
      </c>
      <c r="P4889" t="s">
        <v>12</v>
      </c>
    </row>
    <row r="4890">
      <c r="A4890">
        <f>HYPERLINK("http://bombeiros.sp.gov.br/hidrantes/03individual/397.html","397")</f>
      </c>
      <c r="B4890" t="s">
        <v>842</v>
      </c>
      <c r="C4890" t="s">
        <v>14642</v>
      </c>
      <c r="D4890" t="s">
        <v>14643</v>
      </c>
      <c r="E4890" t="s">
        <v>15</v>
      </c>
      <c r="F4890" t="s">
        <v>14656</v>
      </c>
      <c r="G4890" t="s">
        <v>18052</v>
      </c>
      <c r="H4890" t="s">
        <v>1112</v>
      </c>
      <c r="I4890" t="s">
        <v>1108</v>
      </c>
      <c r="J4890" t="s">
        <v>14657</v>
      </c>
      <c r="K4890" t="s">
        <v>14658</v>
      </c>
      <c r="L4890" t="s">
        <v>21</v>
      </c>
      <c r="M4890" t="s">
        <v>19177</v>
      </c>
      <c r="N4890" t="s">
        <v>714</v>
      </c>
      <c r="O4890" t="s">
        <v>10263</v>
      </c>
      <c r="P4890" t="s">
        <v>12</v>
      </c>
    </row>
    <row r="4891">
      <c r="A4891">
        <f>HYPERLINK("http://bombeiros.sp.gov.br/hidrantes/03individual/2251.html","2251")</f>
      </c>
      <c r="B4891" t="s">
        <v>842</v>
      </c>
      <c r="C4891" t="s">
        <v>14642</v>
      </c>
      <c r="D4891" t="s">
        <v>14643</v>
      </c>
      <c r="E4891" t="s">
        <v>15</v>
      </c>
      <c r="F4891" t="s">
        <v>14659</v>
      </c>
      <c r="G4891" t="s">
        <v>18099</v>
      </c>
      <c r="H4891" t="s">
        <v>1107</v>
      </c>
      <c r="I4891" t="s">
        <v>1108</v>
      </c>
      <c r="J4891" t="s">
        <v>14660</v>
      </c>
      <c r="K4891" t="s">
        <v>14661</v>
      </c>
      <c r="L4891" t="s">
        <v>21</v>
      </c>
      <c r="M4891" t="s">
        <v>19177</v>
      </c>
      <c r="N4891" t="s">
        <v>714</v>
      </c>
      <c r="O4891" t="s">
        <v>10263</v>
      </c>
      <c r="P4891" t="s">
        <v>12</v>
      </c>
    </row>
    <row r="4892">
      <c r="A4892">
        <f>HYPERLINK("http://bombeiros.sp.gov.br/hidrantes/03individual/2728.html","2728")</f>
      </c>
      <c r="B4892" t="s">
        <v>842</v>
      </c>
      <c r="C4892" t="s">
        <v>14642</v>
      </c>
      <c r="D4892" t="s">
        <v>14643</v>
      </c>
      <c r="E4892" t="s">
        <v>15</v>
      </c>
      <c r="F4892" t="s">
        <v>14662</v>
      </c>
      <c r="G4892" t="s">
        <v>18099</v>
      </c>
      <c r="H4892" t="s">
        <v>1107</v>
      </c>
      <c r="I4892" t="s">
        <v>1108</v>
      </c>
      <c r="J4892" t="s">
        <v>16020</v>
      </c>
      <c r="K4892" t="s">
        <v>16021</v>
      </c>
      <c r="L4892" t="s">
        <v>21</v>
      </c>
      <c r="M4892" t="s">
        <v>19177</v>
      </c>
      <c r="N4892" t="s">
        <v>714</v>
      </c>
      <c r="O4892" t="s">
        <v>10263</v>
      </c>
      <c r="P4892" t="s">
        <v>12</v>
      </c>
    </row>
    <row r="4893">
      <c r="A4893">
        <f>HYPERLINK("http://bombeiros.sp.gov.br/hidrantes/03individual/27209.html","27209")</f>
      </c>
      <c r="B4893" t="s">
        <v>842</v>
      </c>
      <c r="C4893" t="s">
        <v>14642</v>
      </c>
      <c r="D4893" t="s">
        <v>14643</v>
      </c>
      <c r="E4893" t="s">
        <v>15</v>
      </c>
      <c r="F4893" t="s">
        <v>16985</v>
      </c>
      <c r="G4893" t="s">
        <v>18052</v>
      </c>
      <c r="H4893" t="s">
        <v>1112</v>
      </c>
      <c r="I4893" t="s">
        <v>1108</v>
      </c>
      <c r="J4893" t="s">
        <v>16986</v>
      </c>
      <c r="K4893" t="s">
        <v>16987</v>
      </c>
      <c r="L4893" t="s">
        <v>21</v>
      </c>
      <c r="M4893" t="s">
        <v>19177</v>
      </c>
      <c r="N4893" t="s">
        <v>714</v>
      </c>
      <c r="O4893" t="s">
        <v>10263</v>
      </c>
      <c r="P4893" t="s">
        <v>12</v>
      </c>
    </row>
    <row r="4894">
      <c r="A4894">
        <f>HYPERLINK("http://bombeiros.sp.gov.br/hidrantes/03individual/60.html","60")</f>
      </c>
      <c r="B4894" t="s">
        <v>842</v>
      </c>
      <c r="C4894" t="s">
        <v>14642</v>
      </c>
      <c r="D4894" t="s">
        <v>14665</v>
      </c>
      <c r="E4894" t="s">
        <v>15</v>
      </c>
      <c r="F4894" t="s">
        <v>14666</v>
      </c>
      <c r="G4894" t="s">
        <v>18053</v>
      </c>
      <c r="H4894" t="s">
        <v>1112</v>
      </c>
      <c r="I4894" t="s">
        <v>1108</v>
      </c>
      <c r="J4894" t="s">
        <v>14667</v>
      </c>
      <c r="K4894" t="s">
        <v>14668</v>
      </c>
      <c r="L4894" t="s">
        <v>21</v>
      </c>
      <c r="M4894" t="s">
        <v>19177</v>
      </c>
      <c r="N4894" t="s">
        <v>714</v>
      </c>
      <c r="O4894" t="s">
        <v>10263</v>
      </c>
      <c r="P4894" t="s">
        <v>12</v>
      </c>
    </row>
    <row r="4895">
      <c r="A4895">
        <f>HYPERLINK("http://bombeiros.sp.gov.br/hidrantes/03individual/122.html","122")</f>
      </c>
      <c r="B4895" t="s">
        <v>842</v>
      </c>
      <c r="C4895" t="s">
        <v>14642</v>
      </c>
      <c r="D4895" t="s">
        <v>14665</v>
      </c>
      <c r="E4895" t="s">
        <v>15</v>
      </c>
      <c r="F4895" t="s">
        <v>14669</v>
      </c>
      <c r="G4895" t="s">
        <v>18145</v>
      </c>
      <c r="H4895" t="s">
        <v>1107</v>
      </c>
      <c r="I4895" t="s">
        <v>1108</v>
      </c>
      <c r="J4895" t="s">
        <v>14670</v>
      </c>
      <c r="K4895" t="s">
        <v>14671</v>
      </c>
      <c r="L4895" t="s">
        <v>21</v>
      </c>
      <c r="M4895" t="s">
        <v>19177</v>
      </c>
      <c r="N4895" t="s">
        <v>714</v>
      </c>
      <c r="O4895" t="s">
        <v>10263</v>
      </c>
      <c r="P4895" t="s">
        <v>12</v>
      </c>
    </row>
    <row r="4896">
      <c r="A4896">
        <f>HYPERLINK("http://bombeiros.sp.gov.br/hidrantes/03individual/419.html","419")</f>
      </c>
      <c r="B4896" t="s">
        <v>842</v>
      </c>
      <c r="C4896" t="s">
        <v>14642</v>
      </c>
      <c r="D4896" t="s">
        <v>14665</v>
      </c>
      <c r="E4896" t="s">
        <v>15</v>
      </c>
      <c r="F4896" t="s">
        <v>14672</v>
      </c>
      <c r="G4896" t="s">
        <v>18174</v>
      </c>
      <c r="H4896" t="s">
        <v>1107</v>
      </c>
      <c r="I4896" t="s">
        <v>1108</v>
      </c>
      <c r="J4896" t="s">
        <v>14673</v>
      </c>
      <c r="K4896" t="s">
        <v>14674</v>
      </c>
      <c r="L4896" t="s">
        <v>21</v>
      </c>
      <c r="M4896" t="s">
        <v>19177</v>
      </c>
      <c r="N4896" t="s">
        <v>714</v>
      </c>
      <c r="O4896" t="s">
        <v>10263</v>
      </c>
      <c r="P4896" t="s">
        <v>12</v>
      </c>
    </row>
    <row r="4897">
      <c r="A4897">
        <f>HYPERLINK("http://bombeiros.sp.gov.br/hidrantes/03individual/421.html","421")</f>
      </c>
      <c r="B4897" t="s">
        <v>842</v>
      </c>
      <c r="C4897" t="s">
        <v>14642</v>
      </c>
      <c r="D4897" t="s">
        <v>14665</v>
      </c>
      <c r="E4897" t="s">
        <v>15</v>
      </c>
      <c r="F4897" t="s">
        <v>14675</v>
      </c>
      <c r="G4897" t="s">
        <v>18384</v>
      </c>
      <c r="H4897" t="s">
        <v>1107</v>
      </c>
      <c r="I4897" t="s">
        <v>1108</v>
      </c>
      <c r="J4897" t="s">
        <v>14676</v>
      </c>
      <c r="K4897" t="s">
        <v>14677</v>
      </c>
      <c r="L4897" t="s">
        <v>21</v>
      </c>
      <c r="M4897" t="s">
        <v>19177</v>
      </c>
      <c r="N4897" t="s">
        <v>97</v>
      </c>
      <c r="O4897" t="s">
        <v>937</v>
      </c>
      <c r="P4897" t="s">
        <v>12</v>
      </c>
    </row>
    <row r="4898">
      <c r="A4898">
        <f>HYPERLINK("http://bombeiros.sp.gov.br/hidrantes/03individual/2016.html","2016")</f>
      </c>
      <c r="B4898" t="s">
        <v>842</v>
      </c>
      <c r="C4898" t="s">
        <v>14642</v>
      </c>
      <c r="D4898" t="s">
        <v>14665</v>
      </c>
      <c r="E4898" t="s">
        <v>15</v>
      </c>
      <c r="F4898" t="s">
        <v>14678</v>
      </c>
      <c r="G4898" t="s">
        <v>18099</v>
      </c>
      <c r="H4898" t="s">
        <v>1107</v>
      </c>
      <c r="I4898" t="s">
        <v>1108</v>
      </c>
      <c r="J4898" t="s">
        <v>14679</v>
      </c>
      <c r="K4898" t="s">
        <v>14680</v>
      </c>
      <c r="L4898" t="s">
        <v>21</v>
      </c>
      <c r="M4898" t="s">
        <v>19177</v>
      </c>
      <c r="N4898" t="s">
        <v>714</v>
      </c>
      <c r="O4898" t="s">
        <v>10263</v>
      </c>
      <c r="P4898" t="s">
        <v>12</v>
      </c>
    </row>
    <row r="4899">
      <c r="A4899">
        <f>HYPERLINK("http://bombeiros.sp.gov.br/hidrantes/03individual/2272.html","2272")</f>
      </c>
      <c r="B4899" t="s">
        <v>842</v>
      </c>
      <c r="C4899" t="s">
        <v>14642</v>
      </c>
      <c r="D4899" t="s">
        <v>14665</v>
      </c>
      <c r="E4899" t="s">
        <v>15</v>
      </c>
      <c r="F4899" t="s">
        <v>14681</v>
      </c>
      <c r="G4899" t="s">
        <v>18174</v>
      </c>
      <c r="H4899" t="s">
        <v>1107</v>
      </c>
      <c r="I4899" t="s">
        <v>1108</v>
      </c>
      <c r="J4899" t="s">
        <v>16046</v>
      </c>
      <c r="K4899" t="s">
        <v>16047</v>
      </c>
      <c r="L4899" t="s">
        <v>21</v>
      </c>
      <c r="M4899" t="s">
        <v>19177</v>
      </c>
      <c r="N4899" t="s">
        <v>97</v>
      </c>
      <c r="O4899" t="s">
        <v>937</v>
      </c>
      <c r="P4899" t="s">
        <v>12</v>
      </c>
    </row>
    <row r="4900">
      <c r="A4900">
        <f>HYPERLINK("http://bombeiros.sp.gov.br/hidrantes/03individual/17779.html","17779")</f>
      </c>
      <c r="B4900" t="s">
        <v>842</v>
      </c>
      <c r="C4900" t="s">
        <v>14642</v>
      </c>
      <c r="D4900" t="s">
        <v>14665</v>
      </c>
      <c r="E4900" t="s">
        <v>15</v>
      </c>
      <c r="F4900" t="s">
        <v>14684</v>
      </c>
      <c r="G4900" t="s">
        <v>18130</v>
      </c>
      <c r="H4900" t="s">
        <v>1112</v>
      </c>
      <c r="I4900" t="s">
        <v>1108</v>
      </c>
      <c r="J4900" t="s">
        <v>14685</v>
      </c>
      <c r="K4900" t="s">
        <v>14686</v>
      </c>
      <c r="L4900" t="s">
        <v>21</v>
      </c>
      <c r="M4900" t="s">
        <v>19177</v>
      </c>
      <c r="N4900" t="s">
        <v>714</v>
      </c>
      <c r="O4900" t="s">
        <v>10263</v>
      </c>
      <c r="P4900" t="s">
        <v>12</v>
      </c>
    </row>
    <row r="4901">
      <c r="A4901">
        <f>HYPERLINK("http://bombeiros.sp.gov.br/hidrantes/03individual/26891.html","26891")</f>
      </c>
      <c r="B4901" t="s">
        <v>842</v>
      </c>
      <c r="C4901" t="s">
        <v>14642</v>
      </c>
      <c r="D4901" t="s">
        <v>14665</v>
      </c>
      <c r="E4901" t="s">
        <v>15</v>
      </c>
      <c r="F4901" t="s">
        <v>16315</v>
      </c>
      <c r="G4901" t="s">
        <v>18173</v>
      </c>
      <c r="H4901" t="s">
        <v>1121</v>
      </c>
      <c r="I4901" t="s">
        <v>1117</v>
      </c>
      <c r="J4901" t="s">
        <v>16316</v>
      </c>
      <c r="K4901" t="s">
        <v>16317</v>
      </c>
      <c r="L4901" t="s">
        <v>21</v>
      </c>
      <c r="M4901" t="s">
        <v>19177</v>
      </c>
      <c r="N4901" t="s">
        <v>714</v>
      </c>
      <c r="O4901" t="s">
        <v>10263</v>
      </c>
      <c r="P4901" t="s">
        <v>12</v>
      </c>
    </row>
    <row r="4902">
      <c r="A4902">
        <f>HYPERLINK("http://bombeiros.sp.gov.br/hidrantes/03individual/2353.html","2353")</f>
      </c>
      <c r="B4902" t="s">
        <v>842</v>
      </c>
      <c r="C4902" t="s">
        <v>14642</v>
      </c>
      <c r="D4902" t="s">
        <v>14687</v>
      </c>
      <c r="E4902" t="s">
        <v>64</v>
      </c>
      <c r="F4902" t="s">
        <v>14688</v>
      </c>
      <c r="G4902" t="s">
        <v>18178</v>
      </c>
      <c r="H4902" t="s">
        <v>1112</v>
      </c>
      <c r="I4902" t="s">
        <v>1108</v>
      </c>
      <c r="J4902" t="s">
        <v>14689</v>
      </c>
      <c r="K4902" t="s">
        <v>14690</v>
      </c>
      <c r="L4902" t="s">
        <v>21</v>
      </c>
      <c r="M4902" t="s">
        <v>19177</v>
      </c>
      <c r="N4902" t="s">
        <v>714</v>
      </c>
      <c r="O4902" t="s">
        <v>10263</v>
      </c>
      <c r="P4902" t="s">
        <v>12</v>
      </c>
    </row>
    <row r="4903">
      <c r="A4903">
        <f>HYPERLINK("http://bombeiros.sp.gov.br/hidrantes/03individual/2953.html","2953")</f>
      </c>
      <c r="B4903" t="s">
        <v>842</v>
      </c>
      <c r="C4903" t="s">
        <v>14642</v>
      </c>
      <c r="D4903" t="s">
        <v>14687</v>
      </c>
      <c r="E4903" t="s">
        <v>64</v>
      </c>
      <c r="F4903" t="s">
        <v>14691</v>
      </c>
      <c r="G4903" t="s">
        <v>18062</v>
      </c>
      <c r="H4903" t="s">
        <v>1107</v>
      </c>
      <c r="I4903" t="s">
        <v>1108</v>
      </c>
      <c r="J4903" t="s">
        <v>14692</v>
      </c>
      <c r="K4903" t="s">
        <v>14693</v>
      </c>
      <c r="L4903" t="s">
        <v>21</v>
      </c>
      <c r="M4903" t="s">
        <v>19177</v>
      </c>
      <c r="N4903" t="s">
        <v>714</v>
      </c>
      <c r="O4903" t="s">
        <v>10263</v>
      </c>
      <c r="P4903" t="s">
        <v>12</v>
      </c>
    </row>
    <row r="4904">
      <c r="A4904">
        <f>HYPERLINK("http://bombeiros.sp.gov.br/hidrantes/03individual/16543.html","16543")</f>
      </c>
      <c r="B4904" t="s">
        <v>842</v>
      </c>
      <c r="C4904" t="s">
        <v>14642</v>
      </c>
      <c r="D4904" t="s">
        <v>14687</v>
      </c>
      <c r="E4904" t="s">
        <v>64</v>
      </c>
      <c r="F4904" t="s">
        <v>14694</v>
      </c>
      <c r="G4904" t="s">
        <v>18145</v>
      </c>
      <c r="H4904" t="s">
        <v>1107</v>
      </c>
      <c r="I4904" t="s">
        <v>1108</v>
      </c>
      <c r="J4904" t="s">
        <v>14695</v>
      </c>
      <c r="K4904" t="s">
        <v>14696</v>
      </c>
      <c r="L4904" t="s">
        <v>21</v>
      </c>
      <c r="M4904" t="s">
        <v>19177</v>
      </c>
      <c r="N4904" t="s">
        <v>714</v>
      </c>
      <c r="O4904" t="s">
        <v>10263</v>
      </c>
      <c r="P4904" t="s">
        <v>12</v>
      </c>
    </row>
    <row r="4905">
      <c r="A4905">
        <f>HYPERLINK("http://bombeiros.sp.gov.br/hidrantes/03individual/287.html","287")</f>
      </c>
      <c r="B4905" t="s">
        <v>842</v>
      </c>
      <c r="C4905" t="s">
        <v>14642</v>
      </c>
      <c r="D4905" t="s">
        <v>14687</v>
      </c>
      <c r="E4905" t="s">
        <v>15</v>
      </c>
      <c r="F4905" t="s">
        <v>14697</v>
      </c>
      <c r="G4905" t="s">
        <v>18062</v>
      </c>
      <c r="H4905" t="s">
        <v>1107</v>
      </c>
      <c r="I4905" t="s">
        <v>1108</v>
      </c>
      <c r="J4905" t="s">
        <v>16333</v>
      </c>
      <c r="K4905" t="s">
        <v>16334</v>
      </c>
      <c r="L4905" t="s">
        <v>21</v>
      </c>
      <c r="M4905" t="s">
        <v>19177</v>
      </c>
      <c r="N4905" t="s">
        <v>714</v>
      </c>
      <c r="O4905" t="s">
        <v>10263</v>
      </c>
      <c r="P4905" t="s">
        <v>12</v>
      </c>
    </row>
    <row r="4906">
      <c r="A4906">
        <f>HYPERLINK("http://bombeiros.sp.gov.br/hidrantes/03individual/292.html","292")</f>
      </c>
      <c r="B4906" t="s">
        <v>842</v>
      </c>
      <c r="C4906" t="s">
        <v>14642</v>
      </c>
      <c r="D4906" t="s">
        <v>14687</v>
      </c>
      <c r="E4906" t="s">
        <v>15</v>
      </c>
      <c r="F4906" t="s">
        <v>14700</v>
      </c>
      <c r="G4906" t="s">
        <v>17123</v>
      </c>
      <c r="H4906" t="s">
        <v>1121</v>
      </c>
      <c r="I4906" t="s">
        <v>1117</v>
      </c>
      <c r="J4906" t="s">
        <v>14701</v>
      </c>
      <c r="K4906" t="s">
        <v>14702</v>
      </c>
      <c r="L4906" t="s">
        <v>21</v>
      </c>
      <c r="M4906" t="s">
        <v>19177</v>
      </c>
      <c r="N4906" t="s">
        <v>714</v>
      </c>
      <c r="O4906" t="s">
        <v>10263</v>
      </c>
      <c r="P4906" t="s">
        <v>12</v>
      </c>
    </row>
    <row r="4907">
      <c r="A4907">
        <f>HYPERLINK("http://bombeiros.sp.gov.br/hidrantes/03individual/300.html","300")</f>
      </c>
      <c r="B4907" t="s">
        <v>842</v>
      </c>
      <c r="C4907" t="s">
        <v>14642</v>
      </c>
      <c r="D4907" t="s">
        <v>14687</v>
      </c>
      <c r="E4907" t="s">
        <v>15</v>
      </c>
      <c r="F4907" t="s">
        <v>14703</v>
      </c>
      <c r="G4907" t="s">
        <v>18062</v>
      </c>
      <c r="H4907" t="s">
        <v>1107</v>
      </c>
      <c r="I4907" t="s">
        <v>1108</v>
      </c>
      <c r="J4907" t="s">
        <v>14704</v>
      </c>
      <c r="K4907" t="s">
        <v>14705</v>
      </c>
      <c r="L4907" t="s">
        <v>21</v>
      </c>
      <c r="M4907" t="s">
        <v>19177</v>
      </c>
      <c r="N4907" t="s">
        <v>714</v>
      </c>
      <c r="O4907" t="s">
        <v>10263</v>
      </c>
      <c r="P4907" t="s">
        <v>12</v>
      </c>
    </row>
    <row r="4908">
      <c r="A4908">
        <f>HYPERLINK("http://bombeiros.sp.gov.br/hidrantes/03individual/302.html","302")</f>
      </c>
      <c r="B4908" t="s">
        <v>842</v>
      </c>
      <c r="C4908" t="s">
        <v>14642</v>
      </c>
      <c r="D4908" t="s">
        <v>14687</v>
      </c>
      <c r="E4908" t="s">
        <v>15</v>
      </c>
      <c r="F4908" t="s">
        <v>14706</v>
      </c>
      <c r="G4908" t="s">
        <v>18147</v>
      </c>
      <c r="H4908" t="s">
        <v>1107</v>
      </c>
      <c r="I4908" t="s">
        <v>1108</v>
      </c>
      <c r="J4908" t="s">
        <v>14707</v>
      </c>
      <c r="K4908" t="s">
        <v>14708</v>
      </c>
      <c r="L4908" t="s">
        <v>36</v>
      </c>
      <c r="M4908" t="s">
        <v>19177</v>
      </c>
      <c r="N4908" t="s">
        <v>714</v>
      </c>
      <c r="O4908" t="s">
        <v>10263</v>
      </c>
      <c r="P4908" t="s">
        <v>12</v>
      </c>
    </row>
    <row r="4909">
      <c r="A4909">
        <f>HYPERLINK("http://bombeiros.sp.gov.br/hidrantes/03individual/304.html","304")</f>
      </c>
      <c r="B4909" t="s">
        <v>842</v>
      </c>
      <c r="C4909" t="s">
        <v>14642</v>
      </c>
      <c r="D4909" t="s">
        <v>14687</v>
      </c>
      <c r="E4909" t="s">
        <v>15</v>
      </c>
      <c r="F4909" t="s">
        <v>14709</v>
      </c>
      <c r="G4909" t="s">
        <v>18065</v>
      </c>
      <c r="H4909" t="s">
        <v>1107</v>
      </c>
      <c r="I4909" t="s">
        <v>1108</v>
      </c>
      <c r="J4909" t="s">
        <v>14710</v>
      </c>
      <c r="K4909" t="s">
        <v>14711</v>
      </c>
      <c r="L4909" t="s">
        <v>21</v>
      </c>
      <c r="M4909" t="s">
        <v>19177</v>
      </c>
      <c r="N4909" t="s">
        <v>714</v>
      </c>
      <c r="O4909" t="s">
        <v>10263</v>
      </c>
      <c r="P4909" t="s">
        <v>12</v>
      </c>
    </row>
    <row r="4910">
      <c r="A4910">
        <f>HYPERLINK("http://bombeiros.sp.gov.br/hidrantes/03individual/345.html","345")</f>
      </c>
      <c r="B4910" t="s">
        <v>842</v>
      </c>
      <c r="C4910" t="s">
        <v>14642</v>
      </c>
      <c r="D4910" t="s">
        <v>14687</v>
      </c>
      <c r="E4910" t="s">
        <v>15</v>
      </c>
      <c r="F4910" t="s">
        <v>14712</v>
      </c>
      <c r="G4910" t="s">
        <v>18062</v>
      </c>
      <c r="H4910" t="s">
        <v>1107</v>
      </c>
      <c r="I4910" t="s">
        <v>1108</v>
      </c>
      <c r="J4910" t="s">
        <v>14713</v>
      </c>
      <c r="K4910" t="s">
        <v>14714</v>
      </c>
      <c r="L4910" t="s">
        <v>21</v>
      </c>
      <c r="M4910" t="s">
        <v>19177</v>
      </c>
      <c r="N4910" t="s">
        <v>714</v>
      </c>
      <c r="O4910" t="s">
        <v>10263</v>
      </c>
      <c r="P4910" t="s">
        <v>12</v>
      </c>
    </row>
    <row r="4911">
      <c r="A4911">
        <f>HYPERLINK("http://bombeiros.sp.gov.br/hidrantes/03individual/368.html","368")</f>
      </c>
      <c r="B4911" t="s">
        <v>842</v>
      </c>
      <c r="C4911" t="s">
        <v>14642</v>
      </c>
      <c r="D4911" t="s">
        <v>14687</v>
      </c>
      <c r="E4911" t="s">
        <v>15</v>
      </c>
      <c r="F4911" t="s">
        <v>14715</v>
      </c>
      <c r="G4911" t="s">
        <v>18063</v>
      </c>
      <c r="H4911" t="s">
        <v>1107</v>
      </c>
      <c r="I4911" t="s">
        <v>1108</v>
      </c>
      <c r="J4911" t="s">
        <v>14716</v>
      </c>
      <c r="K4911" t="s">
        <v>14717</v>
      </c>
      <c r="L4911" t="s">
        <v>21</v>
      </c>
      <c r="M4911" t="s">
        <v>19177</v>
      </c>
      <c r="N4911" t="s">
        <v>714</v>
      </c>
      <c r="O4911" t="s">
        <v>10263</v>
      </c>
      <c r="P4911" t="s">
        <v>12</v>
      </c>
    </row>
    <row r="4912">
      <c r="A4912">
        <f>HYPERLINK("http://bombeiros.sp.gov.br/hidrantes/03individual/449.html","449")</f>
      </c>
      <c r="B4912" t="s">
        <v>842</v>
      </c>
      <c r="C4912" t="s">
        <v>14642</v>
      </c>
      <c r="D4912" t="s">
        <v>14687</v>
      </c>
      <c r="E4912" t="s">
        <v>15</v>
      </c>
      <c r="F4912" t="s">
        <v>14718</v>
      </c>
      <c r="G4912" t="s">
        <v>17921</v>
      </c>
      <c r="H4912" t="s">
        <v>1112</v>
      </c>
      <c r="I4912" t="s">
        <v>1108</v>
      </c>
      <c r="J4912" t="s">
        <v>14719</v>
      </c>
      <c r="K4912" t="s">
        <v>14720</v>
      </c>
      <c r="L4912" t="s">
        <v>21</v>
      </c>
      <c r="M4912" t="s">
        <v>19177</v>
      </c>
      <c r="N4912" t="s">
        <v>714</v>
      </c>
      <c r="O4912" t="s">
        <v>10263</v>
      </c>
      <c r="P4912" t="s">
        <v>12</v>
      </c>
    </row>
    <row r="4913">
      <c r="A4913">
        <f>HYPERLINK("http://bombeiros.sp.gov.br/hidrantes/03individual/487.html","487")</f>
      </c>
      <c r="B4913" t="s">
        <v>842</v>
      </c>
      <c r="C4913" t="s">
        <v>14642</v>
      </c>
      <c r="D4913" t="s">
        <v>14687</v>
      </c>
      <c r="E4913" t="s">
        <v>15</v>
      </c>
      <c r="F4913" t="s">
        <v>14721</v>
      </c>
      <c r="G4913" t="s">
        <v>18063</v>
      </c>
      <c r="H4913" t="s">
        <v>1107</v>
      </c>
      <c r="I4913" t="s">
        <v>1108</v>
      </c>
      <c r="J4913" t="s">
        <v>14722</v>
      </c>
      <c r="K4913" t="s">
        <v>14723</v>
      </c>
      <c r="L4913" t="s">
        <v>21</v>
      </c>
      <c r="M4913" t="s">
        <v>19177</v>
      </c>
      <c r="N4913" t="s">
        <v>714</v>
      </c>
      <c r="O4913" t="s">
        <v>10263</v>
      </c>
      <c r="P4913" t="s">
        <v>12</v>
      </c>
    </row>
    <row r="4914">
      <c r="A4914">
        <f>HYPERLINK("http://bombeiros.sp.gov.br/hidrantes/03individual/2118.html","2118")</f>
      </c>
      <c r="B4914" t="s">
        <v>842</v>
      </c>
      <c r="C4914" t="s">
        <v>14642</v>
      </c>
      <c r="D4914" t="s">
        <v>14687</v>
      </c>
      <c r="E4914" t="s">
        <v>15</v>
      </c>
      <c r="F4914" t="s">
        <v>14724</v>
      </c>
      <c r="G4914" t="s">
        <v>18062</v>
      </c>
      <c r="H4914" t="s">
        <v>1107</v>
      </c>
      <c r="I4914" t="s">
        <v>1108</v>
      </c>
      <c r="J4914" t="s">
        <v>14725</v>
      </c>
      <c r="K4914" t="s">
        <v>14726</v>
      </c>
      <c r="L4914" t="s">
        <v>21</v>
      </c>
      <c r="M4914" t="s">
        <v>19177</v>
      </c>
      <c r="N4914" t="s">
        <v>714</v>
      </c>
      <c r="O4914" t="s">
        <v>10263</v>
      </c>
      <c r="P4914" t="s">
        <v>12</v>
      </c>
    </row>
    <row r="4915">
      <c r="A4915">
        <f>HYPERLINK("http://bombeiros.sp.gov.br/hidrantes/03individual/2254.html","2254")</f>
      </c>
      <c r="B4915" t="s">
        <v>842</v>
      </c>
      <c r="C4915" t="s">
        <v>14642</v>
      </c>
      <c r="D4915" t="s">
        <v>14687</v>
      </c>
      <c r="E4915" t="s">
        <v>15</v>
      </c>
      <c r="F4915" t="s">
        <v>14727</v>
      </c>
      <c r="G4915" t="s">
        <v>18099</v>
      </c>
      <c r="H4915" t="s">
        <v>1107</v>
      </c>
      <c r="I4915" t="s">
        <v>1108</v>
      </c>
      <c r="J4915" t="s">
        <v>14728</v>
      </c>
      <c r="K4915" t="s">
        <v>14729</v>
      </c>
      <c r="L4915" t="s">
        <v>21</v>
      </c>
      <c r="M4915" t="s">
        <v>19177</v>
      </c>
      <c r="N4915" t="s">
        <v>714</v>
      </c>
      <c r="O4915" t="s">
        <v>10263</v>
      </c>
      <c r="P4915" t="s">
        <v>12</v>
      </c>
    </row>
    <row r="4916">
      <c r="A4916">
        <f>HYPERLINK("http://bombeiros.sp.gov.br/hidrantes/03individual/2342.html","2342")</f>
      </c>
      <c r="B4916" t="s">
        <v>842</v>
      </c>
      <c r="C4916" t="s">
        <v>14642</v>
      </c>
      <c r="D4916" t="s">
        <v>14687</v>
      </c>
      <c r="E4916" t="s">
        <v>15</v>
      </c>
      <c r="F4916" t="s">
        <v>14730</v>
      </c>
      <c r="G4916" t="s">
        <v>18062</v>
      </c>
      <c r="H4916" t="s">
        <v>1107</v>
      </c>
      <c r="I4916" t="s">
        <v>1108</v>
      </c>
      <c r="J4916" t="s">
        <v>14731</v>
      </c>
      <c r="K4916" t="s">
        <v>14732</v>
      </c>
      <c r="L4916" t="s">
        <v>21</v>
      </c>
      <c r="M4916" t="s">
        <v>19177</v>
      </c>
      <c r="N4916" t="s">
        <v>714</v>
      </c>
      <c r="O4916" t="s">
        <v>10263</v>
      </c>
      <c r="P4916" t="s">
        <v>12</v>
      </c>
    </row>
    <row r="4917">
      <c r="A4917">
        <f>HYPERLINK("http://bombeiros.sp.gov.br/hidrantes/03individual/2351.html","2351")</f>
      </c>
      <c r="B4917" t="s">
        <v>842</v>
      </c>
      <c r="C4917" t="s">
        <v>14642</v>
      </c>
      <c r="D4917" t="s">
        <v>14687</v>
      </c>
      <c r="E4917" t="s">
        <v>15</v>
      </c>
      <c r="F4917" t="s">
        <v>14733</v>
      </c>
      <c r="G4917" t="s">
        <v>18062</v>
      </c>
      <c r="H4917" t="s">
        <v>1107</v>
      </c>
      <c r="I4917" t="s">
        <v>1108</v>
      </c>
      <c r="J4917" t="s">
        <v>14734</v>
      </c>
      <c r="K4917" t="s">
        <v>14735</v>
      </c>
      <c r="L4917" t="s">
        <v>21</v>
      </c>
      <c r="M4917" t="s">
        <v>19177</v>
      </c>
      <c r="N4917" t="s">
        <v>714</v>
      </c>
      <c r="O4917" t="s">
        <v>10263</v>
      </c>
      <c r="P4917" t="s">
        <v>12</v>
      </c>
    </row>
    <row r="4918">
      <c r="A4918">
        <f>HYPERLINK("http://bombeiros.sp.gov.br/hidrantes/03individual/2357.html","2357")</f>
      </c>
      <c r="B4918" t="s">
        <v>842</v>
      </c>
      <c r="C4918" t="s">
        <v>14642</v>
      </c>
      <c r="D4918" t="s">
        <v>14687</v>
      </c>
      <c r="E4918" t="s">
        <v>15</v>
      </c>
      <c r="F4918" t="s">
        <v>14736</v>
      </c>
      <c r="G4918" t="s">
        <v>18062</v>
      </c>
      <c r="H4918" t="s">
        <v>1107</v>
      </c>
      <c r="I4918" t="s">
        <v>1108</v>
      </c>
      <c r="J4918" t="s">
        <v>14737</v>
      </c>
      <c r="K4918" t="s">
        <v>14738</v>
      </c>
      <c r="L4918" t="s">
        <v>21</v>
      </c>
      <c r="M4918" t="s">
        <v>19177</v>
      </c>
      <c r="N4918" t="s">
        <v>714</v>
      </c>
      <c r="O4918" t="s">
        <v>10263</v>
      </c>
      <c r="P4918" t="s">
        <v>12</v>
      </c>
    </row>
    <row r="4919">
      <c r="A4919">
        <f>HYPERLINK("http://bombeiros.sp.gov.br/hidrantes/03individual/2360.html","2360")</f>
      </c>
      <c r="B4919" t="s">
        <v>842</v>
      </c>
      <c r="C4919" t="s">
        <v>14642</v>
      </c>
      <c r="D4919" t="s">
        <v>14687</v>
      </c>
      <c r="E4919" t="s">
        <v>15</v>
      </c>
      <c r="F4919" t="s">
        <v>14739</v>
      </c>
      <c r="G4919" t="s">
        <v>18062</v>
      </c>
      <c r="H4919" t="s">
        <v>1107</v>
      </c>
      <c r="I4919" t="s">
        <v>1108</v>
      </c>
      <c r="J4919" t="s">
        <v>14740</v>
      </c>
      <c r="K4919" t="s">
        <v>14741</v>
      </c>
      <c r="L4919" t="s">
        <v>21</v>
      </c>
      <c r="M4919" t="s">
        <v>19177</v>
      </c>
      <c r="N4919" t="s">
        <v>714</v>
      </c>
      <c r="O4919" t="s">
        <v>10263</v>
      </c>
      <c r="P4919" t="s">
        <v>12</v>
      </c>
    </row>
    <row r="4920">
      <c r="A4920">
        <f>HYPERLINK("http://bombeiros.sp.gov.br/hidrantes/03individual/2369.html","2369")</f>
      </c>
      <c r="B4920" t="s">
        <v>842</v>
      </c>
      <c r="C4920" t="s">
        <v>14642</v>
      </c>
      <c r="D4920" t="s">
        <v>14687</v>
      </c>
      <c r="E4920" t="s">
        <v>15</v>
      </c>
      <c r="F4920" t="s">
        <v>14742</v>
      </c>
      <c r="G4920" t="s">
        <v>18062</v>
      </c>
      <c r="H4920" t="s">
        <v>1107</v>
      </c>
      <c r="I4920" t="s">
        <v>1108</v>
      </c>
      <c r="J4920" t="s">
        <v>14743</v>
      </c>
      <c r="K4920" t="s">
        <v>14744</v>
      </c>
      <c r="L4920" t="s">
        <v>21</v>
      </c>
      <c r="M4920" t="s">
        <v>19177</v>
      </c>
      <c r="N4920" t="s">
        <v>714</v>
      </c>
      <c r="O4920" t="s">
        <v>10263</v>
      </c>
      <c r="P4920" t="s">
        <v>12</v>
      </c>
    </row>
    <row r="4921">
      <c r="A4921">
        <f>HYPERLINK("http://bombeiros.sp.gov.br/hidrantes/03individual/2955.html","2955")</f>
      </c>
      <c r="B4921" t="s">
        <v>842</v>
      </c>
      <c r="C4921" t="s">
        <v>14642</v>
      </c>
      <c r="D4921" t="s">
        <v>14687</v>
      </c>
      <c r="E4921" t="s">
        <v>15</v>
      </c>
      <c r="F4921" t="s">
        <v>14745</v>
      </c>
      <c r="G4921" t="s">
        <v>18147</v>
      </c>
      <c r="H4921" t="s">
        <v>1107</v>
      </c>
      <c r="I4921" t="s">
        <v>1108</v>
      </c>
      <c r="J4921" t="s">
        <v>16570</v>
      </c>
      <c r="K4921" t="s">
        <v>16571</v>
      </c>
      <c r="L4921" t="s">
        <v>21</v>
      </c>
      <c r="M4921" t="s">
        <v>19177</v>
      </c>
      <c r="N4921" t="s">
        <v>714</v>
      </c>
      <c r="O4921" t="s">
        <v>10263</v>
      </c>
      <c r="P4921" t="s">
        <v>12</v>
      </c>
    </row>
    <row r="4922">
      <c r="A4922">
        <f>HYPERLINK("http://bombeiros.sp.gov.br/hidrantes/03individual/10014.html","10014")</f>
      </c>
      <c r="B4922" t="s">
        <v>842</v>
      </c>
      <c r="C4922" t="s">
        <v>14642</v>
      </c>
      <c r="D4922" t="s">
        <v>14687</v>
      </c>
      <c r="E4922" t="s">
        <v>15</v>
      </c>
      <c r="F4922" t="s">
        <v>14751</v>
      </c>
      <c r="G4922" t="s">
        <v>18167</v>
      </c>
      <c r="H4922" t="s">
        <v>1112</v>
      </c>
      <c r="I4922" t="s">
        <v>1108</v>
      </c>
      <c r="J4922" t="s">
        <v>14752</v>
      </c>
      <c r="K4922" t="s">
        <v>14753</v>
      </c>
      <c r="L4922" t="s">
        <v>21</v>
      </c>
      <c r="M4922" t="s">
        <v>19177</v>
      </c>
      <c r="N4922" t="s">
        <v>714</v>
      </c>
      <c r="O4922" t="s">
        <v>10263</v>
      </c>
      <c r="P4922" t="s">
        <v>12</v>
      </c>
    </row>
    <row r="4923">
      <c r="A4923">
        <f>HYPERLINK("http://bombeiros.sp.gov.br/hidrantes/03individual/10016.html","10016")</f>
      </c>
      <c r="B4923" t="s">
        <v>842</v>
      </c>
      <c r="C4923" t="s">
        <v>14642</v>
      </c>
      <c r="D4923" t="s">
        <v>14687</v>
      </c>
      <c r="E4923" t="s">
        <v>15</v>
      </c>
      <c r="F4923" t="s">
        <v>14754</v>
      </c>
      <c r="G4923" t="s">
        <v>18178</v>
      </c>
      <c r="H4923" t="s">
        <v>1174</v>
      </c>
      <c r="I4923" t="s">
        <v>1108</v>
      </c>
      <c r="J4923" t="s">
        <v>14755</v>
      </c>
      <c r="K4923" t="s">
        <v>14756</v>
      </c>
      <c r="L4923" t="s">
        <v>21</v>
      </c>
      <c r="M4923" t="s">
        <v>19177</v>
      </c>
      <c r="N4923" t="s">
        <v>714</v>
      </c>
      <c r="O4923" t="s">
        <v>10263</v>
      </c>
      <c r="P4923" t="s">
        <v>12</v>
      </c>
    </row>
    <row r="4924">
      <c r="A4924">
        <f>HYPERLINK("http://bombeiros.sp.gov.br/hidrantes/03individual/16575.html","16575")</f>
      </c>
      <c r="B4924" t="s">
        <v>842</v>
      </c>
      <c r="C4924" t="s">
        <v>14642</v>
      </c>
      <c r="D4924" t="s">
        <v>14687</v>
      </c>
      <c r="E4924" t="s">
        <v>15</v>
      </c>
      <c r="F4924" t="s">
        <v>14757</v>
      </c>
      <c r="G4924" t="s">
        <v>18063</v>
      </c>
      <c r="H4924" t="s">
        <v>1107</v>
      </c>
      <c r="I4924" t="s">
        <v>1108</v>
      </c>
      <c r="J4924" t="s">
        <v>14758</v>
      </c>
      <c r="K4924" t="s">
        <v>14759</v>
      </c>
      <c r="L4924" t="s">
        <v>21</v>
      </c>
      <c r="M4924" t="s">
        <v>19177</v>
      </c>
      <c r="N4924" t="s">
        <v>714</v>
      </c>
      <c r="O4924" t="s">
        <v>10263</v>
      </c>
      <c r="P4924" t="s">
        <v>12</v>
      </c>
    </row>
    <row r="4925">
      <c r="A4925">
        <f>HYPERLINK("http://bombeiros.sp.gov.br/hidrantes/03individual/25200.html","25200")</f>
      </c>
      <c r="B4925" t="s">
        <v>842</v>
      </c>
      <c r="C4925" t="s">
        <v>14642</v>
      </c>
      <c r="D4925" t="s">
        <v>14687</v>
      </c>
      <c r="E4925" t="s">
        <v>15</v>
      </c>
      <c r="F4925" t="s">
        <v>14760</v>
      </c>
      <c r="G4925" t="s">
        <v>18394</v>
      </c>
      <c r="H4925" t="s">
        <v>1107</v>
      </c>
      <c r="I4925" t="s">
        <v>1108</v>
      </c>
      <c r="J4925" t="s">
        <v>14761</v>
      </c>
      <c r="K4925" t="s">
        <v>14762</v>
      </c>
      <c r="L4925" t="s">
        <v>21</v>
      </c>
      <c r="M4925" t="s">
        <v>19177</v>
      </c>
      <c r="N4925" t="s">
        <v>714</v>
      </c>
      <c r="O4925" t="s">
        <v>10263</v>
      </c>
      <c r="P4925" t="s">
        <v>12</v>
      </c>
    </row>
    <row r="4926">
      <c r="A4926">
        <f>HYPERLINK("http://bombeiros.sp.gov.br/hidrantes/03individual/67.html","67")</f>
      </c>
      <c r="B4926" t="s">
        <v>842</v>
      </c>
      <c r="C4926" t="s">
        <v>14642</v>
      </c>
      <c r="D4926" t="s">
        <v>14763</v>
      </c>
      <c r="E4926" t="s">
        <v>15</v>
      </c>
      <c r="F4926" t="s">
        <v>14764</v>
      </c>
      <c r="G4926" t="s">
        <v>18053</v>
      </c>
      <c r="H4926" t="s">
        <v>1112</v>
      </c>
      <c r="I4926" t="s">
        <v>1108</v>
      </c>
      <c r="J4926" t="s">
        <v>16117</v>
      </c>
      <c r="K4926" t="s">
        <v>16118</v>
      </c>
      <c r="L4926" t="s">
        <v>21</v>
      </c>
      <c r="M4926" t="s">
        <v>19177</v>
      </c>
      <c r="N4926" t="s">
        <v>97</v>
      </c>
      <c r="O4926" t="s">
        <v>937</v>
      </c>
      <c r="P4926" t="s">
        <v>12</v>
      </c>
    </row>
    <row r="4927">
      <c r="A4927">
        <f>HYPERLINK("http://bombeiros.sp.gov.br/hidrantes/03individual/115.html","115")</f>
      </c>
      <c r="B4927" t="s">
        <v>842</v>
      </c>
      <c r="C4927" t="s">
        <v>14642</v>
      </c>
      <c r="D4927" t="s">
        <v>14763</v>
      </c>
      <c r="E4927" t="s">
        <v>15</v>
      </c>
      <c r="F4927" t="s">
        <v>14767</v>
      </c>
      <c r="G4927" t="s">
        <v>18046</v>
      </c>
      <c r="H4927" t="s">
        <v>1112</v>
      </c>
      <c r="I4927" t="s">
        <v>1108</v>
      </c>
      <c r="J4927" t="s">
        <v>14768</v>
      </c>
      <c r="K4927" t="s">
        <v>14769</v>
      </c>
      <c r="L4927" t="s">
        <v>21</v>
      </c>
      <c r="M4927" t="s">
        <v>19177</v>
      </c>
      <c r="N4927" t="s">
        <v>97</v>
      </c>
      <c r="O4927" t="s">
        <v>937</v>
      </c>
      <c r="P4927" t="s">
        <v>12</v>
      </c>
    </row>
    <row r="4928">
      <c r="A4928">
        <f>HYPERLINK("http://bombeiros.sp.gov.br/hidrantes/03individual/2366.html","2366")</f>
      </c>
      <c r="B4928" t="s">
        <v>842</v>
      </c>
      <c r="C4928" t="s">
        <v>14642</v>
      </c>
      <c r="D4928" t="s">
        <v>14763</v>
      </c>
      <c r="E4928" t="s">
        <v>15</v>
      </c>
      <c r="F4928" t="s">
        <v>14770</v>
      </c>
      <c r="G4928" t="s">
        <v>18106</v>
      </c>
      <c r="H4928" t="s">
        <v>1107</v>
      </c>
      <c r="I4928" t="s">
        <v>1108</v>
      </c>
      <c r="J4928" t="s">
        <v>14771</v>
      </c>
      <c r="K4928" t="s">
        <v>14772</v>
      </c>
      <c r="L4928" t="s">
        <v>21</v>
      </c>
      <c r="M4928" t="s">
        <v>19177</v>
      </c>
      <c r="N4928" t="s">
        <v>97</v>
      </c>
      <c r="O4928" t="s">
        <v>937</v>
      </c>
      <c r="P4928" t="s">
        <v>12</v>
      </c>
    </row>
    <row r="4929">
      <c r="A4929">
        <f>HYPERLINK("http://bombeiros.sp.gov.br/hidrantes/03individual/4269.html","4269")</f>
      </c>
      <c r="B4929" t="s">
        <v>842</v>
      </c>
      <c r="C4929" t="s">
        <v>14642</v>
      </c>
      <c r="D4929" t="s">
        <v>14763</v>
      </c>
      <c r="E4929" t="s">
        <v>15</v>
      </c>
      <c r="F4929" t="s">
        <v>14773</v>
      </c>
      <c r="G4929" t="s">
        <v>18106</v>
      </c>
      <c r="H4929" t="s">
        <v>1107</v>
      </c>
      <c r="I4929" t="s">
        <v>1108</v>
      </c>
      <c r="J4929" t="s">
        <v>14774</v>
      </c>
      <c r="K4929" t="s">
        <v>14775</v>
      </c>
      <c r="L4929" t="s">
        <v>21</v>
      </c>
      <c r="M4929" t="s">
        <v>19177</v>
      </c>
      <c r="N4929" t="s">
        <v>97</v>
      </c>
      <c r="O4929" t="s">
        <v>937</v>
      </c>
      <c r="P4929" t="s">
        <v>12</v>
      </c>
    </row>
    <row r="4930">
      <c r="A4930">
        <f>HYPERLINK("http://bombeiros.sp.gov.br/hidrantes/03individual/2600.html","2600")</f>
      </c>
      <c r="B4930" t="s">
        <v>842</v>
      </c>
      <c r="C4930" t="s">
        <v>14642</v>
      </c>
      <c r="D4930" t="s">
        <v>14776</v>
      </c>
      <c r="E4930" t="s">
        <v>64</v>
      </c>
      <c r="F4930" t="s">
        <v>14777</v>
      </c>
      <c r="G4930" t="s">
        <v>18048</v>
      </c>
      <c r="H4930" t="s">
        <v>1107</v>
      </c>
      <c r="I4930" t="s">
        <v>1108</v>
      </c>
      <c r="J4930" t="s">
        <v>14778</v>
      </c>
      <c r="K4930" t="s">
        <v>14779</v>
      </c>
      <c r="L4930" t="s">
        <v>36</v>
      </c>
      <c r="M4930" t="s">
        <v>19177</v>
      </c>
      <c r="N4930" t="s">
        <v>714</v>
      </c>
      <c r="O4930" t="s">
        <v>10263</v>
      </c>
      <c r="P4930" t="s">
        <v>12</v>
      </c>
    </row>
    <row r="4931">
      <c r="A4931">
        <f>HYPERLINK("http://bombeiros.sp.gov.br/hidrantes/03individual/2604.html","2604")</f>
      </c>
      <c r="B4931" t="s">
        <v>842</v>
      </c>
      <c r="C4931" t="s">
        <v>14642</v>
      </c>
      <c r="D4931" t="s">
        <v>14776</v>
      </c>
      <c r="E4931" t="s">
        <v>64</v>
      </c>
      <c r="F4931" t="s">
        <v>14780</v>
      </c>
      <c r="G4931" t="s">
        <v>18167</v>
      </c>
      <c r="H4931" t="s">
        <v>1107</v>
      </c>
      <c r="I4931" t="s">
        <v>1108</v>
      </c>
      <c r="J4931" t="s">
        <v>14781</v>
      </c>
      <c r="K4931" t="s">
        <v>14782</v>
      </c>
      <c r="L4931" t="s">
        <v>21</v>
      </c>
      <c r="M4931" t="s">
        <v>19177</v>
      </c>
      <c r="N4931" t="s">
        <v>714</v>
      </c>
      <c r="O4931" t="s">
        <v>10263</v>
      </c>
      <c r="P4931" t="s">
        <v>12</v>
      </c>
    </row>
    <row r="4932">
      <c r="A4932">
        <f>HYPERLINK("http://bombeiros.sp.gov.br/hidrantes/03individual/2615.html","2615")</f>
      </c>
      <c r="B4932" t="s">
        <v>842</v>
      </c>
      <c r="C4932" t="s">
        <v>14642</v>
      </c>
      <c r="D4932" t="s">
        <v>14776</v>
      </c>
      <c r="E4932" t="s">
        <v>64</v>
      </c>
      <c r="F4932" t="s">
        <v>14783</v>
      </c>
      <c r="G4932" t="s">
        <v>18048</v>
      </c>
      <c r="H4932" t="s">
        <v>1107</v>
      </c>
      <c r="I4932" t="s">
        <v>1108</v>
      </c>
      <c r="J4932" t="s">
        <v>14784</v>
      </c>
      <c r="K4932" t="s">
        <v>14785</v>
      </c>
      <c r="L4932" t="s">
        <v>21</v>
      </c>
      <c r="M4932" t="s">
        <v>19177</v>
      </c>
      <c r="N4932" t="s">
        <v>714</v>
      </c>
      <c r="O4932" t="s">
        <v>10263</v>
      </c>
      <c r="P4932" t="s">
        <v>12</v>
      </c>
    </row>
    <row r="4933">
      <c r="A4933">
        <f>HYPERLINK("http://bombeiros.sp.gov.br/hidrantes/03individual/2720.html","2720")</f>
      </c>
      <c r="B4933" t="s">
        <v>842</v>
      </c>
      <c r="C4933" t="s">
        <v>14642</v>
      </c>
      <c r="D4933" t="s">
        <v>14776</v>
      </c>
      <c r="E4933" t="s">
        <v>64</v>
      </c>
      <c r="F4933" t="s">
        <v>1115</v>
      </c>
      <c r="G4933" t="s">
        <v>18048</v>
      </c>
      <c r="H4933" t="s">
        <v>1107</v>
      </c>
      <c r="I4933" t="s">
        <v>1108</v>
      </c>
      <c r="J4933" t="s">
        <v>14786</v>
      </c>
      <c r="K4933" t="s">
        <v>14787</v>
      </c>
      <c r="L4933" t="s">
        <v>36</v>
      </c>
      <c r="M4933" t="s">
        <v>19177</v>
      </c>
      <c r="N4933" t="s">
        <v>714</v>
      </c>
      <c r="O4933" t="s">
        <v>10263</v>
      </c>
      <c r="P4933" t="s">
        <v>12</v>
      </c>
    </row>
    <row r="4934">
      <c r="A4934">
        <f>HYPERLINK("http://bombeiros.sp.gov.br/hidrantes/03individual/41.html","41")</f>
      </c>
      <c r="B4934" t="s">
        <v>842</v>
      </c>
      <c r="C4934" t="s">
        <v>14642</v>
      </c>
      <c r="D4934" t="s">
        <v>14776</v>
      </c>
      <c r="E4934" t="s">
        <v>15</v>
      </c>
      <c r="F4934" t="s">
        <v>14788</v>
      </c>
      <c r="G4934" t="s">
        <v>18394</v>
      </c>
      <c r="H4934" t="s">
        <v>1107</v>
      </c>
      <c r="I4934" t="s">
        <v>1108</v>
      </c>
      <c r="J4934" t="s">
        <v>14789</v>
      </c>
      <c r="K4934" t="s">
        <v>14790</v>
      </c>
      <c r="L4934" t="s">
        <v>21</v>
      </c>
      <c r="M4934" t="s">
        <v>19177</v>
      </c>
      <c r="N4934" t="s">
        <v>714</v>
      </c>
      <c r="O4934" t="s">
        <v>10263</v>
      </c>
      <c r="P4934" t="s">
        <v>12</v>
      </c>
    </row>
    <row r="4935">
      <c r="A4935">
        <f>HYPERLINK("http://bombeiros.sp.gov.br/hidrantes/03individual/291.html","291")</f>
      </c>
      <c r="B4935" t="s">
        <v>842</v>
      </c>
      <c r="C4935" t="s">
        <v>14642</v>
      </c>
      <c r="D4935" t="s">
        <v>14776</v>
      </c>
      <c r="E4935" t="s">
        <v>15</v>
      </c>
      <c r="F4935" t="s">
        <v>14791</v>
      </c>
      <c r="G4935" t="s">
        <v>18167</v>
      </c>
      <c r="H4935" t="s">
        <v>1107</v>
      </c>
      <c r="I4935" t="s">
        <v>1108</v>
      </c>
      <c r="J4935" t="s">
        <v>14792</v>
      </c>
      <c r="K4935" t="s">
        <v>14793</v>
      </c>
      <c r="L4935" t="s">
        <v>21</v>
      </c>
      <c r="M4935" t="s">
        <v>19177</v>
      </c>
      <c r="N4935" t="s">
        <v>714</v>
      </c>
      <c r="O4935" t="s">
        <v>10263</v>
      </c>
      <c r="P4935" t="s">
        <v>12</v>
      </c>
    </row>
    <row r="4936">
      <c r="A4936">
        <f>HYPERLINK("http://bombeiros.sp.gov.br/hidrantes/03individual/336.html","336")</f>
      </c>
      <c r="B4936" t="s">
        <v>842</v>
      </c>
      <c r="C4936" t="s">
        <v>14642</v>
      </c>
      <c r="D4936" t="s">
        <v>14776</v>
      </c>
      <c r="E4936" t="s">
        <v>15</v>
      </c>
      <c r="F4936" t="s">
        <v>14794</v>
      </c>
      <c r="G4936" t="s">
        <v>18394</v>
      </c>
      <c r="H4936" t="s">
        <v>1107</v>
      </c>
      <c r="I4936" t="s">
        <v>1108</v>
      </c>
      <c r="J4936" t="s">
        <v>14795</v>
      </c>
      <c r="K4936" t="s">
        <v>14796</v>
      </c>
      <c r="L4936" t="s">
        <v>21</v>
      </c>
      <c r="M4936" t="s">
        <v>19177</v>
      </c>
      <c r="N4936" t="s">
        <v>714</v>
      </c>
      <c r="O4936" t="s">
        <v>10263</v>
      </c>
      <c r="P4936" t="s">
        <v>12</v>
      </c>
    </row>
    <row r="4937">
      <c r="A4937">
        <f>HYPERLINK("http://bombeiros.sp.gov.br/hidrantes/03individual/349.html","349")</f>
      </c>
      <c r="B4937" t="s">
        <v>842</v>
      </c>
      <c r="C4937" t="s">
        <v>14642</v>
      </c>
      <c r="D4937" t="s">
        <v>14776</v>
      </c>
      <c r="E4937" t="s">
        <v>15</v>
      </c>
      <c r="F4937" t="s">
        <v>14797</v>
      </c>
      <c r="G4937" t="s">
        <v>18048</v>
      </c>
      <c r="H4937" t="s">
        <v>1107</v>
      </c>
      <c r="I4937" t="s">
        <v>1108</v>
      </c>
      <c r="J4937" t="s">
        <v>14798</v>
      </c>
      <c r="K4937" t="s">
        <v>14799</v>
      </c>
      <c r="L4937" t="s">
        <v>21</v>
      </c>
      <c r="M4937" t="s">
        <v>19177</v>
      </c>
      <c r="N4937" t="s">
        <v>714</v>
      </c>
      <c r="O4937" t="s">
        <v>10263</v>
      </c>
      <c r="P4937" t="s">
        <v>12</v>
      </c>
    </row>
    <row r="4938">
      <c r="A4938">
        <f>HYPERLINK("http://bombeiros.sp.gov.br/hidrantes/03individual/350.html","350")</f>
      </c>
      <c r="B4938" t="s">
        <v>842</v>
      </c>
      <c r="C4938" t="s">
        <v>14642</v>
      </c>
      <c r="D4938" t="s">
        <v>14776</v>
      </c>
      <c r="E4938" t="s">
        <v>15</v>
      </c>
      <c r="F4938" t="s">
        <v>14800</v>
      </c>
      <c r="G4938" t="s">
        <v>18048</v>
      </c>
      <c r="H4938" t="s">
        <v>1121</v>
      </c>
      <c r="I4938" t="s">
        <v>1117</v>
      </c>
      <c r="J4938" t="s">
        <v>14801</v>
      </c>
      <c r="K4938" t="s">
        <v>14802</v>
      </c>
      <c r="L4938" t="s">
        <v>21</v>
      </c>
      <c r="M4938" t="s">
        <v>19177</v>
      </c>
      <c r="N4938" t="s">
        <v>714</v>
      </c>
      <c r="O4938" t="s">
        <v>10263</v>
      </c>
      <c r="P4938" t="s">
        <v>12</v>
      </c>
    </row>
    <row r="4939">
      <c r="A4939">
        <f>HYPERLINK("http://bombeiros.sp.gov.br/hidrantes/03individual/399.html","399")</f>
      </c>
      <c r="B4939" t="s">
        <v>842</v>
      </c>
      <c r="C4939" t="s">
        <v>14642</v>
      </c>
      <c r="D4939" t="s">
        <v>14776</v>
      </c>
      <c r="E4939" t="s">
        <v>15</v>
      </c>
      <c r="F4939" t="s">
        <v>14803</v>
      </c>
      <c r="G4939" t="s">
        <v>18048</v>
      </c>
      <c r="H4939" t="s">
        <v>1107</v>
      </c>
      <c r="I4939" t="s">
        <v>1108</v>
      </c>
      <c r="J4939" t="s">
        <v>14804</v>
      </c>
      <c r="K4939" t="s">
        <v>14805</v>
      </c>
      <c r="L4939" t="s">
        <v>21</v>
      </c>
      <c r="M4939" t="s">
        <v>19177</v>
      </c>
      <c r="N4939" t="s">
        <v>714</v>
      </c>
      <c r="O4939" t="s">
        <v>10263</v>
      </c>
      <c r="P4939" t="s">
        <v>12</v>
      </c>
    </row>
    <row r="4940">
      <c r="A4940">
        <f>HYPERLINK("http://bombeiros.sp.gov.br/hidrantes/03individual/420.html","420")</f>
      </c>
      <c r="B4940" t="s">
        <v>842</v>
      </c>
      <c r="C4940" t="s">
        <v>14642</v>
      </c>
      <c r="D4940" t="s">
        <v>14776</v>
      </c>
      <c r="E4940" t="s">
        <v>15</v>
      </c>
      <c r="F4940" t="s">
        <v>14806</v>
      </c>
      <c r="G4940" t="s">
        <v>18062</v>
      </c>
      <c r="H4940" t="s">
        <v>1107</v>
      </c>
      <c r="I4940" t="s">
        <v>1108</v>
      </c>
      <c r="J4940" t="s">
        <v>14807</v>
      </c>
      <c r="K4940" t="s">
        <v>14808</v>
      </c>
      <c r="L4940" t="s">
        <v>36</v>
      </c>
      <c r="M4940" t="s">
        <v>19177</v>
      </c>
      <c r="N4940" t="s">
        <v>714</v>
      </c>
      <c r="O4940" t="s">
        <v>10263</v>
      </c>
      <c r="P4940" t="s">
        <v>12</v>
      </c>
    </row>
    <row r="4941">
      <c r="A4941">
        <f>HYPERLINK("http://bombeiros.sp.gov.br/hidrantes/03individual/490.html","490")</f>
      </c>
      <c r="B4941" t="s">
        <v>842</v>
      </c>
      <c r="C4941" t="s">
        <v>14642</v>
      </c>
      <c r="D4941" t="s">
        <v>14776</v>
      </c>
      <c r="E4941" t="s">
        <v>15</v>
      </c>
      <c r="F4941" t="s">
        <v>14809</v>
      </c>
      <c r="G4941" t="s">
        <v>18077</v>
      </c>
      <c r="H4941" t="s">
        <v>1112</v>
      </c>
      <c r="I4941" t="s">
        <v>1108</v>
      </c>
      <c r="J4941" t="s">
        <v>14810</v>
      </c>
      <c r="K4941" t="s">
        <v>14811</v>
      </c>
      <c r="L4941" t="s">
        <v>21</v>
      </c>
      <c r="M4941" t="s">
        <v>19177</v>
      </c>
      <c r="N4941" t="s">
        <v>714</v>
      </c>
      <c r="O4941" t="s">
        <v>10263</v>
      </c>
      <c r="P4941" t="s">
        <v>12</v>
      </c>
    </row>
    <row r="4942">
      <c r="A4942">
        <f>HYPERLINK("http://bombeiros.sp.gov.br/hidrantes/03individual/2541.html","2541")</f>
      </c>
      <c r="B4942" t="s">
        <v>842</v>
      </c>
      <c r="C4942" t="s">
        <v>14642</v>
      </c>
      <c r="D4942" t="s">
        <v>14776</v>
      </c>
      <c r="E4942" t="s">
        <v>15</v>
      </c>
      <c r="F4942" t="s">
        <v>14812</v>
      </c>
      <c r="G4942" t="s">
        <v>1322</v>
      </c>
      <c r="H4942" t="s">
        <v>1121</v>
      </c>
      <c r="I4942" t="s">
        <v>1117</v>
      </c>
      <c r="J4942" t="s">
        <v>14813</v>
      </c>
      <c r="K4942" t="s">
        <v>14814</v>
      </c>
      <c r="L4942" t="s">
        <v>21</v>
      </c>
      <c r="M4942" t="s">
        <v>19177</v>
      </c>
      <c r="N4942" t="s">
        <v>714</v>
      </c>
      <c r="O4942" t="s">
        <v>10263</v>
      </c>
      <c r="P4942" t="s">
        <v>12</v>
      </c>
    </row>
    <row r="4943">
      <c r="A4943">
        <f>HYPERLINK("http://bombeiros.sp.gov.br/hidrantes/03individual/2552.html","2552")</f>
      </c>
      <c r="B4943" t="s">
        <v>842</v>
      </c>
      <c r="C4943" t="s">
        <v>14642</v>
      </c>
      <c r="D4943" t="s">
        <v>14776</v>
      </c>
      <c r="E4943" t="s">
        <v>15</v>
      </c>
      <c r="F4943" t="s">
        <v>14815</v>
      </c>
      <c r="G4943" t="s">
        <v>18077</v>
      </c>
      <c r="H4943" t="s">
        <v>1112</v>
      </c>
      <c r="I4943" t="s">
        <v>1108</v>
      </c>
      <c r="J4943" t="s">
        <v>14816</v>
      </c>
      <c r="K4943" t="s">
        <v>14817</v>
      </c>
      <c r="L4943" t="s">
        <v>21</v>
      </c>
      <c r="M4943" t="s">
        <v>19177</v>
      </c>
      <c r="N4943" t="s">
        <v>714</v>
      </c>
      <c r="O4943" t="s">
        <v>10263</v>
      </c>
      <c r="P4943" t="s">
        <v>12</v>
      </c>
    </row>
    <row r="4944">
      <c r="A4944">
        <f>HYPERLINK("http://bombeiros.sp.gov.br/hidrantes/03individual/2566.html","2566")</f>
      </c>
      <c r="B4944" t="s">
        <v>842</v>
      </c>
      <c r="C4944" t="s">
        <v>14642</v>
      </c>
      <c r="D4944" t="s">
        <v>14776</v>
      </c>
      <c r="E4944" t="s">
        <v>15</v>
      </c>
      <c r="F4944" t="s">
        <v>14818</v>
      </c>
      <c r="G4944" t="s">
        <v>18048</v>
      </c>
      <c r="H4944" t="s">
        <v>1107</v>
      </c>
      <c r="I4944" t="s">
        <v>1108</v>
      </c>
      <c r="J4944" t="s">
        <v>14819</v>
      </c>
      <c r="K4944" t="s">
        <v>14820</v>
      </c>
      <c r="L4944" t="s">
        <v>21</v>
      </c>
      <c r="M4944" t="s">
        <v>19177</v>
      </c>
      <c r="N4944" t="s">
        <v>714</v>
      </c>
      <c r="O4944" t="s">
        <v>10263</v>
      </c>
      <c r="P4944" t="s">
        <v>12</v>
      </c>
    </row>
    <row r="4945">
      <c r="A4945">
        <f>HYPERLINK("http://bombeiros.sp.gov.br/hidrantes/03individual/2572.html","2572")</f>
      </c>
      <c r="B4945" t="s">
        <v>842</v>
      </c>
      <c r="C4945" t="s">
        <v>14642</v>
      </c>
      <c r="D4945" t="s">
        <v>14776</v>
      </c>
      <c r="E4945" t="s">
        <v>15</v>
      </c>
      <c r="F4945" t="s">
        <v>14821</v>
      </c>
      <c r="G4945" t="s">
        <v>18077</v>
      </c>
      <c r="H4945" t="s">
        <v>1112</v>
      </c>
      <c r="I4945" t="s">
        <v>1108</v>
      </c>
      <c r="J4945" t="s">
        <v>14822</v>
      </c>
      <c r="K4945" t="s">
        <v>14823</v>
      </c>
      <c r="L4945" t="s">
        <v>21</v>
      </c>
      <c r="M4945" t="s">
        <v>19177</v>
      </c>
      <c r="N4945" t="s">
        <v>714</v>
      </c>
      <c r="O4945" t="s">
        <v>10263</v>
      </c>
      <c r="P4945" t="s">
        <v>12</v>
      </c>
    </row>
    <row r="4946">
      <c r="A4946">
        <f>HYPERLINK("http://bombeiros.sp.gov.br/hidrantes/03individual/2576.html","2576")</f>
      </c>
      <c r="B4946" t="s">
        <v>842</v>
      </c>
      <c r="C4946" t="s">
        <v>14642</v>
      </c>
      <c r="D4946" t="s">
        <v>14776</v>
      </c>
      <c r="E4946" t="s">
        <v>15</v>
      </c>
      <c r="F4946" t="s">
        <v>14824</v>
      </c>
      <c r="G4946" t="s">
        <v>18048</v>
      </c>
      <c r="H4946" t="s">
        <v>1107</v>
      </c>
      <c r="I4946" t="s">
        <v>1108</v>
      </c>
      <c r="J4946" t="s">
        <v>14825</v>
      </c>
      <c r="K4946" t="s">
        <v>14826</v>
      </c>
      <c r="L4946" t="s">
        <v>21</v>
      </c>
      <c r="M4946" t="s">
        <v>19177</v>
      </c>
      <c r="N4946" t="s">
        <v>714</v>
      </c>
      <c r="O4946" t="s">
        <v>10263</v>
      </c>
      <c r="P4946" t="s">
        <v>12</v>
      </c>
    </row>
    <row r="4947">
      <c r="A4947">
        <f>HYPERLINK("http://bombeiros.sp.gov.br/hidrantes/03individual/2619.html","2619")</f>
      </c>
      <c r="B4947" t="s">
        <v>842</v>
      </c>
      <c r="C4947" t="s">
        <v>14642</v>
      </c>
      <c r="D4947" t="s">
        <v>14776</v>
      </c>
      <c r="E4947" t="s">
        <v>15</v>
      </c>
      <c r="F4947" t="s">
        <v>14827</v>
      </c>
      <c r="G4947" t="s">
        <v>18066</v>
      </c>
      <c r="H4947" t="s">
        <v>1107</v>
      </c>
      <c r="I4947" t="s">
        <v>1108</v>
      </c>
      <c r="J4947" t="s">
        <v>14828</v>
      </c>
      <c r="K4947" t="s">
        <v>14829</v>
      </c>
      <c r="L4947" t="s">
        <v>21</v>
      </c>
      <c r="M4947" t="s">
        <v>19177</v>
      </c>
      <c r="N4947" t="s">
        <v>714</v>
      </c>
      <c r="O4947" t="s">
        <v>10263</v>
      </c>
      <c r="P4947" t="s">
        <v>12</v>
      </c>
    </row>
    <row r="4948">
      <c r="A4948">
        <f>HYPERLINK("http://bombeiros.sp.gov.br/hidrantes/03individual/2737.html","2737")</f>
      </c>
      <c r="B4948" t="s">
        <v>842</v>
      </c>
      <c r="C4948" t="s">
        <v>14642</v>
      </c>
      <c r="D4948" t="s">
        <v>14776</v>
      </c>
      <c r="E4948" t="s">
        <v>15</v>
      </c>
      <c r="F4948" t="s">
        <v>14830</v>
      </c>
      <c r="G4948" t="s">
        <v>18173</v>
      </c>
      <c r="H4948" t="s">
        <v>1107</v>
      </c>
      <c r="I4948" t="s">
        <v>1108</v>
      </c>
      <c r="J4948" t="s">
        <v>14831</v>
      </c>
      <c r="K4948" t="s">
        <v>14832</v>
      </c>
      <c r="L4948" t="s">
        <v>21</v>
      </c>
      <c r="M4948" t="s">
        <v>19177</v>
      </c>
      <c r="N4948" t="s">
        <v>714</v>
      </c>
      <c r="O4948" t="s">
        <v>10263</v>
      </c>
      <c r="P4948" t="s">
        <v>12</v>
      </c>
    </row>
    <row r="4949">
      <c r="A4949">
        <f>HYPERLINK("http://bombeiros.sp.gov.br/hidrantes/03individual/2253.html","2253")</f>
      </c>
      <c r="B4949" t="s">
        <v>842</v>
      </c>
      <c r="C4949" t="s">
        <v>14642</v>
      </c>
      <c r="D4949" t="s">
        <v>14833</v>
      </c>
      <c r="E4949" t="s">
        <v>64</v>
      </c>
      <c r="F4949" t="s">
        <v>14834</v>
      </c>
      <c r="G4949" t="s">
        <v>18099</v>
      </c>
      <c r="H4949" t="s">
        <v>1107</v>
      </c>
      <c r="I4949" t="s">
        <v>1108</v>
      </c>
      <c r="J4949" t="s">
        <v>14835</v>
      </c>
      <c r="K4949" t="s">
        <v>14836</v>
      </c>
      <c r="L4949" t="s">
        <v>36</v>
      </c>
      <c r="M4949" t="s">
        <v>19177</v>
      </c>
      <c r="N4949" t="s">
        <v>714</v>
      </c>
      <c r="O4949" t="s">
        <v>10263</v>
      </c>
      <c r="P4949" t="s">
        <v>12</v>
      </c>
    </row>
    <row r="4950">
      <c r="A4950">
        <f>HYPERLINK("http://bombeiros.sp.gov.br/hidrantes/03individual/2330.html","2330")</f>
      </c>
      <c r="B4950" t="s">
        <v>842</v>
      </c>
      <c r="C4950" t="s">
        <v>14642</v>
      </c>
      <c r="D4950" t="s">
        <v>14833</v>
      </c>
      <c r="E4950" t="s">
        <v>64</v>
      </c>
      <c r="F4950" t="s">
        <v>14837</v>
      </c>
      <c r="G4950" t="s">
        <v>18099</v>
      </c>
      <c r="H4950" t="s">
        <v>1107</v>
      </c>
      <c r="I4950" t="s">
        <v>1108</v>
      </c>
      <c r="J4950" t="s">
        <v>14838</v>
      </c>
      <c r="K4950" t="s">
        <v>14839</v>
      </c>
      <c r="L4950" t="s">
        <v>21</v>
      </c>
      <c r="M4950" t="s">
        <v>19177</v>
      </c>
      <c r="N4950" t="s">
        <v>714</v>
      </c>
      <c r="O4950" t="s">
        <v>10263</v>
      </c>
      <c r="P4950" t="s">
        <v>12</v>
      </c>
    </row>
    <row r="4951">
      <c r="A4951">
        <f>HYPERLINK("http://bombeiros.sp.gov.br/hidrantes/03individual/5603.html","5603")</f>
      </c>
      <c r="B4951" t="s">
        <v>842</v>
      </c>
      <c r="C4951" t="s">
        <v>14642</v>
      </c>
      <c r="D4951" t="s">
        <v>14833</v>
      </c>
      <c r="E4951" t="s">
        <v>64</v>
      </c>
      <c r="F4951" t="s">
        <v>14840</v>
      </c>
      <c r="G4951" t="s">
        <v>18099</v>
      </c>
      <c r="H4951" t="s">
        <v>1107</v>
      </c>
      <c r="I4951" t="s">
        <v>1108</v>
      </c>
      <c r="J4951" t="s">
        <v>14841</v>
      </c>
      <c r="K4951" t="s">
        <v>14842</v>
      </c>
      <c r="L4951" t="s">
        <v>36</v>
      </c>
      <c r="M4951" t="s">
        <v>19177</v>
      </c>
      <c r="N4951" t="s">
        <v>714</v>
      </c>
      <c r="O4951" t="s">
        <v>10263</v>
      </c>
      <c r="P4951" t="s">
        <v>12</v>
      </c>
    </row>
    <row r="4952">
      <c r="A4952">
        <f>HYPERLINK("http://bombeiros.sp.gov.br/hidrantes/03individual/293.html","293")</f>
      </c>
      <c r="B4952" t="s">
        <v>842</v>
      </c>
      <c r="C4952" t="s">
        <v>14642</v>
      </c>
      <c r="D4952" t="s">
        <v>14833</v>
      </c>
      <c r="E4952" t="s">
        <v>15</v>
      </c>
      <c r="F4952" t="s">
        <v>14843</v>
      </c>
      <c r="G4952" t="s">
        <v>18062</v>
      </c>
      <c r="H4952" t="s">
        <v>1112</v>
      </c>
      <c r="I4952" t="s">
        <v>1108</v>
      </c>
      <c r="J4952" t="s">
        <v>14844</v>
      </c>
      <c r="K4952" t="s">
        <v>14845</v>
      </c>
      <c r="L4952" t="s">
        <v>21</v>
      </c>
      <c r="M4952" t="s">
        <v>19177</v>
      </c>
      <c r="N4952" t="s">
        <v>714</v>
      </c>
      <c r="O4952" t="s">
        <v>10263</v>
      </c>
      <c r="P4952" t="s">
        <v>12</v>
      </c>
    </row>
    <row r="4953">
      <c r="A4953">
        <f>HYPERLINK("http://bombeiros.sp.gov.br/hidrantes/03individual/295.html","295")</f>
      </c>
      <c r="B4953" t="s">
        <v>842</v>
      </c>
      <c r="C4953" t="s">
        <v>14642</v>
      </c>
      <c r="D4953" t="s">
        <v>14833</v>
      </c>
      <c r="E4953" t="s">
        <v>15</v>
      </c>
      <c r="F4953" t="s">
        <v>14846</v>
      </c>
      <c r="G4953" t="s">
        <v>18062</v>
      </c>
      <c r="H4953" t="s">
        <v>1107</v>
      </c>
      <c r="I4953" t="s">
        <v>1108</v>
      </c>
      <c r="J4953" t="s">
        <v>14847</v>
      </c>
      <c r="K4953" t="s">
        <v>14848</v>
      </c>
      <c r="L4953" t="s">
        <v>21</v>
      </c>
      <c r="M4953" t="s">
        <v>19177</v>
      </c>
      <c r="N4953" t="s">
        <v>714</v>
      </c>
      <c r="O4953" t="s">
        <v>10263</v>
      </c>
      <c r="P4953" t="s">
        <v>12</v>
      </c>
    </row>
    <row r="4954">
      <c r="A4954">
        <f>HYPERLINK("http://bombeiros.sp.gov.br/hidrantes/03individual/306.html","306")</f>
      </c>
      <c r="B4954" t="s">
        <v>842</v>
      </c>
      <c r="C4954" t="s">
        <v>14642</v>
      </c>
      <c r="D4954" t="s">
        <v>14833</v>
      </c>
      <c r="E4954" t="s">
        <v>15</v>
      </c>
      <c r="F4954" t="s">
        <v>14849</v>
      </c>
      <c r="G4954" t="s">
        <v>18099</v>
      </c>
      <c r="H4954" t="s">
        <v>1121</v>
      </c>
      <c r="I4954" t="s">
        <v>1117</v>
      </c>
      <c r="J4954" t="s">
        <v>14850</v>
      </c>
      <c r="K4954" t="s">
        <v>14851</v>
      </c>
      <c r="L4954" t="s">
        <v>36</v>
      </c>
      <c r="M4954" t="s">
        <v>19177</v>
      </c>
      <c r="N4954" t="s">
        <v>714</v>
      </c>
      <c r="O4954" t="s">
        <v>10263</v>
      </c>
      <c r="P4954" t="s">
        <v>12</v>
      </c>
    </row>
    <row r="4955">
      <c r="A4955">
        <f>HYPERLINK("http://bombeiros.sp.gov.br/hidrantes/03individual/315.html","315")</f>
      </c>
      <c r="B4955" t="s">
        <v>842</v>
      </c>
      <c r="C4955" t="s">
        <v>14642</v>
      </c>
      <c r="D4955" t="s">
        <v>14833</v>
      </c>
      <c r="E4955" t="s">
        <v>15</v>
      </c>
      <c r="F4955" t="s">
        <v>14852</v>
      </c>
      <c r="G4955" t="s">
        <v>18099</v>
      </c>
      <c r="H4955" t="s">
        <v>1121</v>
      </c>
      <c r="I4955" t="s">
        <v>1117</v>
      </c>
      <c r="J4955" t="s">
        <v>14853</v>
      </c>
      <c r="K4955" t="s">
        <v>14854</v>
      </c>
      <c r="L4955" t="s">
        <v>21</v>
      </c>
      <c r="M4955" t="s">
        <v>19177</v>
      </c>
      <c r="N4955" t="s">
        <v>714</v>
      </c>
      <c r="O4955" t="s">
        <v>10263</v>
      </c>
      <c r="P4955" t="s">
        <v>12</v>
      </c>
    </row>
    <row r="4956">
      <c r="A4956">
        <f>HYPERLINK("http://bombeiros.sp.gov.br/hidrantes/03individual/324.html","324")</f>
      </c>
      <c r="B4956" t="s">
        <v>842</v>
      </c>
      <c r="C4956" t="s">
        <v>14642</v>
      </c>
      <c r="D4956" t="s">
        <v>14833</v>
      </c>
      <c r="E4956" t="s">
        <v>15</v>
      </c>
      <c r="F4956" t="s">
        <v>14855</v>
      </c>
      <c r="G4956" t="s">
        <v>18063</v>
      </c>
      <c r="H4956" t="s">
        <v>1107</v>
      </c>
      <c r="I4956" t="s">
        <v>1108</v>
      </c>
      <c r="J4956" t="s">
        <v>14856</v>
      </c>
      <c r="K4956" t="s">
        <v>14857</v>
      </c>
      <c r="L4956" t="s">
        <v>21</v>
      </c>
      <c r="M4956" t="s">
        <v>19177</v>
      </c>
      <c r="N4956" t="s">
        <v>714</v>
      </c>
      <c r="O4956" t="s">
        <v>10263</v>
      </c>
      <c r="P4956" t="s">
        <v>12</v>
      </c>
    </row>
    <row r="4957">
      <c r="A4957">
        <f>HYPERLINK("http://bombeiros.sp.gov.br/hidrantes/03individual/371.html","371")</f>
      </c>
      <c r="B4957" t="s">
        <v>842</v>
      </c>
      <c r="C4957" t="s">
        <v>14642</v>
      </c>
      <c r="D4957" t="s">
        <v>14833</v>
      </c>
      <c r="E4957" t="s">
        <v>15</v>
      </c>
      <c r="F4957" t="s">
        <v>14858</v>
      </c>
      <c r="G4957" t="s">
        <v>18062</v>
      </c>
      <c r="H4957" t="s">
        <v>1107</v>
      </c>
      <c r="I4957" t="s">
        <v>1108</v>
      </c>
      <c r="J4957" t="s">
        <v>14859</v>
      </c>
      <c r="K4957" t="s">
        <v>14860</v>
      </c>
      <c r="L4957" t="s">
        <v>21</v>
      </c>
      <c r="M4957" t="s">
        <v>19177</v>
      </c>
      <c r="N4957" t="s">
        <v>714</v>
      </c>
      <c r="O4957" t="s">
        <v>10263</v>
      </c>
      <c r="P4957" t="s">
        <v>12</v>
      </c>
    </row>
    <row r="4958">
      <c r="A4958">
        <f>HYPERLINK("http://bombeiros.sp.gov.br/hidrantes/03individual/417.html","417")</f>
      </c>
      <c r="B4958" t="s">
        <v>842</v>
      </c>
      <c r="C4958" t="s">
        <v>14642</v>
      </c>
      <c r="D4958" t="s">
        <v>14833</v>
      </c>
      <c r="E4958" t="s">
        <v>15</v>
      </c>
      <c r="F4958" t="s">
        <v>14861</v>
      </c>
      <c r="G4958" t="s">
        <v>18269</v>
      </c>
      <c r="H4958" t="s">
        <v>1112</v>
      </c>
      <c r="I4958" t="s">
        <v>1108</v>
      </c>
      <c r="J4958" t="s">
        <v>16897</v>
      </c>
      <c r="K4958" t="s">
        <v>16898</v>
      </c>
      <c r="L4958" t="s">
        <v>21</v>
      </c>
      <c r="M4958" t="s">
        <v>19177</v>
      </c>
      <c r="N4958" t="s">
        <v>714</v>
      </c>
      <c r="O4958" t="s">
        <v>10263</v>
      </c>
      <c r="P4958" t="s">
        <v>12</v>
      </c>
    </row>
    <row r="4959">
      <c r="A4959">
        <f>HYPERLINK("http://bombeiros.sp.gov.br/hidrantes/03individual/450.html","450")</f>
      </c>
      <c r="B4959" t="s">
        <v>842</v>
      </c>
      <c r="C4959" t="s">
        <v>14642</v>
      </c>
      <c r="D4959" t="s">
        <v>14833</v>
      </c>
      <c r="E4959" t="s">
        <v>15</v>
      </c>
      <c r="F4959" t="s">
        <v>14864</v>
      </c>
      <c r="G4959" t="s">
        <v>18174</v>
      </c>
      <c r="H4959" t="s">
        <v>1107</v>
      </c>
      <c r="I4959" t="s">
        <v>1108</v>
      </c>
      <c r="J4959" t="s">
        <v>14865</v>
      </c>
      <c r="K4959" t="s">
        <v>14866</v>
      </c>
      <c r="L4959" t="s">
        <v>21</v>
      </c>
      <c r="M4959" t="s">
        <v>19177</v>
      </c>
      <c r="N4959" t="s">
        <v>714</v>
      </c>
      <c r="O4959" t="s">
        <v>10263</v>
      </c>
      <c r="P4959" t="s">
        <v>12</v>
      </c>
    </row>
    <row r="4960">
      <c r="A4960">
        <f>HYPERLINK("http://bombeiros.sp.gov.br/hidrantes/03individual/451.html","451")</f>
      </c>
      <c r="B4960" t="s">
        <v>842</v>
      </c>
      <c r="C4960" t="s">
        <v>14642</v>
      </c>
      <c r="D4960" t="s">
        <v>14833</v>
      </c>
      <c r="E4960" t="s">
        <v>15</v>
      </c>
      <c r="F4960" t="s">
        <v>14867</v>
      </c>
      <c r="G4960" t="s">
        <v>18114</v>
      </c>
      <c r="H4960" t="s">
        <v>1107</v>
      </c>
      <c r="I4960" t="s">
        <v>1108</v>
      </c>
      <c r="J4960" t="s">
        <v>15858</v>
      </c>
      <c r="K4960" t="s">
        <v>15859</v>
      </c>
      <c r="L4960" t="s">
        <v>21</v>
      </c>
      <c r="M4960" t="s">
        <v>19177</v>
      </c>
      <c r="N4960" t="s">
        <v>714</v>
      </c>
      <c r="O4960" t="s">
        <v>10263</v>
      </c>
      <c r="P4960" t="s">
        <v>12</v>
      </c>
    </row>
    <row r="4961">
      <c r="A4961">
        <f>HYPERLINK("http://bombeiros.sp.gov.br/hidrantes/03individual/473.html","473")</f>
      </c>
      <c r="B4961" t="s">
        <v>842</v>
      </c>
      <c r="C4961" t="s">
        <v>14642</v>
      </c>
      <c r="D4961" t="s">
        <v>14833</v>
      </c>
      <c r="E4961" t="s">
        <v>15</v>
      </c>
      <c r="F4961" t="s">
        <v>14870</v>
      </c>
      <c r="G4961" t="s">
        <v>18114</v>
      </c>
      <c r="H4961" t="s">
        <v>1107</v>
      </c>
      <c r="I4961" t="s">
        <v>1108</v>
      </c>
      <c r="J4961" t="s">
        <v>14871</v>
      </c>
      <c r="K4961" t="s">
        <v>14872</v>
      </c>
      <c r="L4961" t="s">
        <v>21</v>
      </c>
      <c r="M4961" t="s">
        <v>19177</v>
      </c>
      <c r="N4961" t="s">
        <v>714</v>
      </c>
      <c r="O4961" t="s">
        <v>10263</v>
      </c>
      <c r="P4961" t="s">
        <v>12</v>
      </c>
    </row>
    <row r="4962">
      <c r="A4962">
        <f>HYPERLINK("http://bombeiros.sp.gov.br/hidrantes/03individual/2318.html","2318")</f>
      </c>
      <c r="B4962" t="s">
        <v>842</v>
      </c>
      <c r="C4962" t="s">
        <v>14642</v>
      </c>
      <c r="D4962" t="s">
        <v>14833</v>
      </c>
      <c r="E4962" t="s">
        <v>15</v>
      </c>
      <c r="F4962" t="s">
        <v>14873</v>
      </c>
      <c r="G4962" t="s">
        <v>18062</v>
      </c>
      <c r="H4962" t="s">
        <v>1107</v>
      </c>
      <c r="I4962" t="s">
        <v>1108</v>
      </c>
      <c r="J4962" t="s">
        <v>14874</v>
      </c>
      <c r="K4962" t="s">
        <v>14875</v>
      </c>
      <c r="L4962" t="s">
        <v>21</v>
      </c>
      <c r="M4962" t="s">
        <v>19177</v>
      </c>
      <c r="N4962" t="s">
        <v>714</v>
      </c>
      <c r="O4962" t="s">
        <v>10263</v>
      </c>
      <c r="P4962" t="s">
        <v>12</v>
      </c>
    </row>
    <row r="4963">
      <c r="A4963">
        <f>HYPERLINK("http://bombeiros.sp.gov.br/hidrantes/03individual/2322.html","2322")</f>
      </c>
      <c r="B4963" t="s">
        <v>842</v>
      </c>
      <c r="C4963" t="s">
        <v>14642</v>
      </c>
      <c r="D4963" t="s">
        <v>14833</v>
      </c>
      <c r="E4963" t="s">
        <v>15</v>
      </c>
      <c r="F4963" t="s">
        <v>14876</v>
      </c>
      <c r="G4963" t="s">
        <v>18066</v>
      </c>
      <c r="H4963" t="s">
        <v>1121</v>
      </c>
      <c r="I4963" t="s">
        <v>1117</v>
      </c>
      <c r="J4963" t="s">
        <v>14877</v>
      </c>
      <c r="K4963" t="s">
        <v>14878</v>
      </c>
      <c r="L4963" t="s">
        <v>21</v>
      </c>
      <c r="M4963" t="s">
        <v>19177</v>
      </c>
      <c r="N4963" t="s">
        <v>714</v>
      </c>
      <c r="O4963" t="s">
        <v>10263</v>
      </c>
      <c r="P4963" t="s">
        <v>12</v>
      </c>
    </row>
    <row r="4964">
      <c r="A4964">
        <f>HYPERLINK("http://bombeiros.sp.gov.br/hidrantes/03individual/2326.html","2326")</f>
      </c>
      <c r="B4964" t="s">
        <v>842</v>
      </c>
      <c r="C4964" t="s">
        <v>14642</v>
      </c>
      <c r="D4964" t="s">
        <v>14833</v>
      </c>
      <c r="E4964" t="s">
        <v>15</v>
      </c>
      <c r="F4964" t="s">
        <v>14879</v>
      </c>
      <c r="G4964" t="s">
        <v>18063</v>
      </c>
      <c r="H4964" t="s">
        <v>1107</v>
      </c>
      <c r="I4964" t="s">
        <v>1108</v>
      </c>
      <c r="J4964" t="s">
        <v>15940</v>
      </c>
      <c r="K4964" t="s">
        <v>15941</v>
      </c>
      <c r="L4964" t="s">
        <v>21</v>
      </c>
      <c r="M4964" t="s">
        <v>19177</v>
      </c>
      <c r="N4964" t="s">
        <v>714</v>
      </c>
      <c r="O4964" t="s">
        <v>10263</v>
      </c>
      <c r="P4964" t="s">
        <v>12</v>
      </c>
    </row>
    <row r="4965">
      <c r="A4965">
        <f>HYPERLINK("http://bombeiros.sp.gov.br/hidrantes/03individual/2339.html","2339")</f>
      </c>
      <c r="B4965" t="s">
        <v>842</v>
      </c>
      <c r="C4965" t="s">
        <v>14642</v>
      </c>
      <c r="D4965" t="s">
        <v>14833</v>
      </c>
      <c r="E4965" t="s">
        <v>15</v>
      </c>
      <c r="F4965" t="s">
        <v>14882</v>
      </c>
      <c r="G4965" t="s">
        <v>18063</v>
      </c>
      <c r="H4965" t="s">
        <v>1107</v>
      </c>
      <c r="I4965" t="s">
        <v>1108</v>
      </c>
      <c r="J4965" t="s">
        <v>14883</v>
      </c>
      <c r="K4965" t="s">
        <v>14884</v>
      </c>
      <c r="L4965" t="s">
        <v>21</v>
      </c>
      <c r="M4965" t="s">
        <v>19177</v>
      </c>
      <c r="N4965" t="s">
        <v>714</v>
      </c>
      <c r="O4965" t="s">
        <v>10263</v>
      </c>
      <c r="P4965" t="s">
        <v>12</v>
      </c>
    </row>
    <row r="4966">
      <c r="A4966">
        <f>HYPERLINK("http://bombeiros.sp.gov.br/hidrantes/03individual/10015.html","10015")</f>
      </c>
      <c r="B4966" t="s">
        <v>842</v>
      </c>
      <c r="C4966" t="s">
        <v>14642</v>
      </c>
      <c r="D4966" t="s">
        <v>14833</v>
      </c>
      <c r="E4966" t="s">
        <v>15</v>
      </c>
      <c r="F4966" t="s">
        <v>14885</v>
      </c>
      <c r="G4966" t="s">
        <v>18167</v>
      </c>
      <c r="H4966" t="s">
        <v>1107</v>
      </c>
      <c r="I4966" t="s">
        <v>1117</v>
      </c>
      <c r="J4966" t="s">
        <v>14886</v>
      </c>
      <c r="K4966" t="s">
        <v>14887</v>
      </c>
      <c r="L4966" t="s">
        <v>21</v>
      </c>
      <c r="M4966" t="s">
        <v>19177</v>
      </c>
      <c r="N4966" t="s">
        <v>714</v>
      </c>
      <c r="O4966" t="s">
        <v>10263</v>
      </c>
      <c r="P4966" t="s">
        <v>12</v>
      </c>
    </row>
    <row r="4967">
      <c r="A4967">
        <f>HYPERLINK("http://bombeiros.sp.gov.br/hidrantes/03individual/26809.html","26809")</f>
      </c>
      <c r="B4967" t="s">
        <v>842</v>
      </c>
      <c r="C4967" t="s">
        <v>14642</v>
      </c>
      <c r="D4967" t="s">
        <v>14833</v>
      </c>
      <c r="E4967" t="s">
        <v>15</v>
      </c>
      <c r="F4967" t="s">
        <v>15955</v>
      </c>
      <c r="G4967" t="s">
        <v>18062</v>
      </c>
      <c r="H4967" t="s">
        <v>1107</v>
      </c>
      <c r="I4967" t="s">
        <v>1108</v>
      </c>
      <c r="J4967" t="s">
        <v>15956</v>
      </c>
      <c r="K4967" t="s">
        <v>15957</v>
      </c>
      <c r="L4967" t="s">
        <v>21</v>
      </c>
      <c r="M4967" t="s">
        <v>19177</v>
      </c>
      <c r="N4967" t="s">
        <v>714</v>
      </c>
      <c r="O4967" t="s">
        <v>10263</v>
      </c>
      <c r="P4967" t="s">
        <v>12</v>
      </c>
    </row>
    <row r="4968">
      <c r="A4968">
        <f>HYPERLINK("http://bombeiros.sp.gov.br/hidrantes/03individual/1988.html","1988")</f>
      </c>
      <c r="B4968" t="s">
        <v>842</v>
      </c>
      <c r="C4968" t="s">
        <v>14642</v>
      </c>
      <c r="D4968" t="s">
        <v>14888</v>
      </c>
      <c r="E4968" t="s">
        <v>64</v>
      </c>
      <c r="F4968" t="s">
        <v>14889</v>
      </c>
      <c r="G4968" t="s">
        <v>18130</v>
      </c>
      <c r="H4968" t="s">
        <v>1112</v>
      </c>
      <c r="I4968" t="s">
        <v>1108</v>
      </c>
      <c r="J4968" t="s">
        <v>14890</v>
      </c>
      <c r="K4968" t="s">
        <v>14891</v>
      </c>
      <c r="L4968" t="s">
        <v>36</v>
      </c>
      <c r="M4968" t="s">
        <v>19177</v>
      </c>
      <c r="N4968" t="s">
        <v>714</v>
      </c>
      <c r="O4968" t="s">
        <v>10263</v>
      </c>
      <c r="P4968" t="s">
        <v>12</v>
      </c>
    </row>
    <row r="4969">
      <c r="A4969">
        <f>HYPERLINK("http://bombeiros.sp.gov.br/hidrantes/03individual/2007.html","2007")</f>
      </c>
      <c r="B4969" t="s">
        <v>842</v>
      </c>
      <c r="C4969" t="s">
        <v>14642</v>
      </c>
      <c r="D4969" t="s">
        <v>14888</v>
      </c>
      <c r="E4969" t="s">
        <v>64</v>
      </c>
      <c r="F4969" t="s">
        <v>14892</v>
      </c>
      <c r="G4969" t="s">
        <v>18545</v>
      </c>
      <c r="H4969" t="s">
        <v>1107</v>
      </c>
      <c r="I4969" t="s">
        <v>1108</v>
      </c>
      <c r="J4969" t="s">
        <v>14893</v>
      </c>
      <c r="K4969" t="s">
        <v>14894</v>
      </c>
      <c r="L4969" t="s">
        <v>36</v>
      </c>
      <c r="M4969" t="s">
        <v>19177</v>
      </c>
      <c r="N4969" t="s">
        <v>714</v>
      </c>
      <c r="O4969" t="s">
        <v>10263</v>
      </c>
      <c r="P4969" t="s">
        <v>12</v>
      </c>
    </row>
    <row r="4970">
      <c r="A4970">
        <f>HYPERLINK("http://bombeiros.sp.gov.br/hidrantes/03individual/2383.html","2383")</f>
      </c>
      <c r="B4970" t="s">
        <v>842</v>
      </c>
      <c r="C4970" t="s">
        <v>14642</v>
      </c>
      <c r="D4970" t="s">
        <v>14888</v>
      </c>
      <c r="E4970" t="s">
        <v>64</v>
      </c>
      <c r="F4970" t="s">
        <v>14895</v>
      </c>
      <c r="G4970" t="s">
        <v>18099</v>
      </c>
      <c r="H4970" t="s">
        <v>1107</v>
      </c>
      <c r="I4970" t="s">
        <v>1108</v>
      </c>
      <c r="J4970" t="s">
        <v>14896</v>
      </c>
      <c r="K4970" t="s">
        <v>14897</v>
      </c>
      <c r="L4970" t="s">
        <v>21</v>
      </c>
      <c r="M4970" t="s">
        <v>19177</v>
      </c>
      <c r="N4970" t="s">
        <v>714</v>
      </c>
      <c r="O4970" t="s">
        <v>10263</v>
      </c>
      <c r="P4970" t="s">
        <v>12</v>
      </c>
    </row>
    <row r="4971">
      <c r="A4971">
        <f>HYPERLINK("http://bombeiros.sp.gov.br/hidrantes/03individual/26487.html","26487")</f>
      </c>
      <c r="B4971" t="s">
        <v>842</v>
      </c>
      <c r="C4971" t="s">
        <v>14642</v>
      </c>
      <c r="D4971" t="s">
        <v>14888</v>
      </c>
      <c r="E4971" t="s">
        <v>64</v>
      </c>
      <c r="F4971" t="s">
        <v>14898</v>
      </c>
      <c r="G4971" t="s">
        <v>18398</v>
      </c>
      <c r="H4971" t="s">
        <v>1112</v>
      </c>
      <c r="I4971" t="s">
        <v>1108</v>
      </c>
      <c r="J4971" t="s">
        <v>14899</v>
      </c>
      <c r="K4971" t="s">
        <v>14900</v>
      </c>
      <c r="L4971" t="s">
        <v>21</v>
      </c>
      <c r="M4971" t="s">
        <v>19177</v>
      </c>
      <c r="N4971" t="s">
        <v>714</v>
      </c>
      <c r="O4971" t="s">
        <v>10263</v>
      </c>
      <c r="P4971" t="s">
        <v>12</v>
      </c>
    </row>
    <row r="4972">
      <c r="A4972">
        <f>HYPERLINK("http://bombeiros.sp.gov.br/hidrantes/03individual/27419.html","27419")</f>
      </c>
      <c r="B4972" t="s">
        <v>842</v>
      </c>
      <c r="C4972" t="s">
        <v>14642</v>
      </c>
      <c r="D4972" t="s">
        <v>14888</v>
      </c>
      <c r="E4972" t="s">
        <v>64</v>
      </c>
      <c r="F4972" t="s">
        <v>17384</v>
      </c>
      <c r="G4972" t="s">
        <v>18099</v>
      </c>
      <c r="H4972" t="s">
        <v>1121</v>
      </c>
      <c r="I4972" t="s">
        <v>1117</v>
      </c>
      <c r="J4972" t="s">
        <v>17385</v>
      </c>
      <c r="K4972" t="s">
        <v>17386</v>
      </c>
      <c r="L4972" t="s">
        <v>21</v>
      </c>
      <c r="M4972" t="s">
        <v>19177</v>
      </c>
      <c r="N4972" t="s">
        <v>714</v>
      </c>
      <c r="O4972" t="s">
        <v>10263</v>
      </c>
      <c r="P4972" t="s">
        <v>12</v>
      </c>
    </row>
    <row r="4973">
      <c r="A4973">
        <f>HYPERLINK("http://bombeiros.sp.gov.br/hidrantes/03individual/394.html","394")</f>
      </c>
      <c r="B4973" t="s">
        <v>842</v>
      </c>
      <c r="C4973" t="s">
        <v>14642</v>
      </c>
      <c r="D4973" t="s">
        <v>14888</v>
      </c>
      <c r="E4973" t="s">
        <v>15</v>
      </c>
      <c r="F4973" t="s">
        <v>14901</v>
      </c>
      <c r="G4973" t="s">
        <v>18073</v>
      </c>
      <c r="H4973" t="s">
        <v>1107</v>
      </c>
      <c r="I4973" t="s">
        <v>1108</v>
      </c>
      <c r="J4973" t="s">
        <v>14902</v>
      </c>
      <c r="K4973" t="s">
        <v>14903</v>
      </c>
      <c r="L4973" t="s">
        <v>21</v>
      </c>
      <c r="M4973" t="s">
        <v>19177</v>
      </c>
      <c r="N4973" t="s">
        <v>714</v>
      </c>
      <c r="O4973" t="s">
        <v>10263</v>
      </c>
      <c r="P4973" t="s">
        <v>12</v>
      </c>
    </row>
    <row r="4974">
      <c r="A4974">
        <f>HYPERLINK("http://bombeiros.sp.gov.br/hidrantes/03individual/2010.html","2010")</f>
      </c>
      <c r="B4974" t="s">
        <v>842</v>
      </c>
      <c r="C4974" t="s">
        <v>14642</v>
      </c>
      <c r="D4974" t="s">
        <v>14888</v>
      </c>
      <c r="E4974" t="s">
        <v>15</v>
      </c>
      <c r="F4974" t="s">
        <v>14904</v>
      </c>
      <c r="G4974" t="s">
        <v>18545</v>
      </c>
      <c r="H4974" t="s">
        <v>1107</v>
      </c>
      <c r="I4974" t="s">
        <v>1108</v>
      </c>
      <c r="J4974" t="s">
        <v>14905</v>
      </c>
      <c r="K4974" t="s">
        <v>14906</v>
      </c>
      <c r="L4974" t="s">
        <v>21</v>
      </c>
      <c r="M4974" t="s">
        <v>19177</v>
      </c>
      <c r="N4974" t="s">
        <v>714</v>
      </c>
      <c r="O4974" t="s">
        <v>10263</v>
      </c>
      <c r="P4974" t="s">
        <v>12</v>
      </c>
    </row>
    <row r="4975">
      <c r="A4975">
        <f>HYPERLINK("http://bombeiros.sp.gov.br/hidrantes/03individual/2012.html","2012")</f>
      </c>
      <c r="B4975" t="s">
        <v>842</v>
      </c>
      <c r="C4975" t="s">
        <v>14642</v>
      </c>
      <c r="D4975" t="s">
        <v>14888</v>
      </c>
      <c r="E4975" t="s">
        <v>15</v>
      </c>
      <c r="F4975" t="s">
        <v>14907</v>
      </c>
      <c r="G4975" t="s">
        <v>18545</v>
      </c>
      <c r="H4975" t="s">
        <v>1107</v>
      </c>
      <c r="I4975" t="s">
        <v>1108</v>
      </c>
      <c r="J4975" t="s">
        <v>14908</v>
      </c>
      <c r="K4975" t="s">
        <v>14909</v>
      </c>
      <c r="L4975" t="s">
        <v>21</v>
      </c>
      <c r="M4975" t="s">
        <v>19177</v>
      </c>
      <c r="N4975" t="s">
        <v>714</v>
      </c>
      <c r="O4975" t="s">
        <v>10263</v>
      </c>
      <c r="P4975" t="s">
        <v>12</v>
      </c>
    </row>
    <row r="4976">
      <c r="A4976">
        <f>HYPERLINK("http://bombeiros.sp.gov.br/hidrantes/03individual/2392.html","2392")</f>
      </c>
      <c r="B4976" t="s">
        <v>842</v>
      </c>
      <c r="C4976" t="s">
        <v>14642</v>
      </c>
      <c r="D4976" t="s">
        <v>14888</v>
      </c>
      <c r="E4976" t="s">
        <v>15</v>
      </c>
      <c r="F4976" t="s">
        <v>14910</v>
      </c>
      <c r="G4976" t="s">
        <v>18073</v>
      </c>
      <c r="H4976" t="s">
        <v>1107</v>
      </c>
      <c r="I4976" t="s">
        <v>1108</v>
      </c>
      <c r="J4976" t="s">
        <v>14911</v>
      </c>
      <c r="K4976" t="s">
        <v>14912</v>
      </c>
      <c r="L4976" t="s">
        <v>21</v>
      </c>
      <c r="M4976" t="s">
        <v>19177</v>
      </c>
      <c r="N4976" t="s">
        <v>714</v>
      </c>
      <c r="O4976" t="s">
        <v>10263</v>
      </c>
      <c r="P4976" t="s">
        <v>12</v>
      </c>
    </row>
    <row r="4977">
      <c r="A4977">
        <f>HYPERLINK("http://bombeiros.sp.gov.br/hidrantes/03individual/16573.html","16573")</f>
      </c>
      <c r="B4977" t="s">
        <v>842</v>
      </c>
      <c r="C4977" t="s">
        <v>14642</v>
      </c>
      <c r="D4977" t="s">
        <v>14888</v>
      </c>
      <c r="E4977" t="s">
        <v>15</v>
      </c>
      <c r="F4977" t="s">
        <v>14913</v>
      </c>
      <c r="G4977" t="s">
        <v>18130</v>
      </c>
      <c r="H4977" t="s">
        <v>1107</v>
      </c>
      <c r="I4977" t="s">
        <v>1108</v>
      </c>
      <c r="J4977" t="s">
        <v>14914</v>
      </c>
      <c r="K4977" t="s">
        <v>14915</v>
      </c>
      <c r="L4977" t="s">
        <v>21</v>
      </c>
      <c r="M4977" t="s">
        <v>19177</v>
      </c>
      <c r="N4977" t="s">
        <v>714</v>
      </c>
      <c r="O4977" t="s">
        <v>10263</v>
      </c>
      <c r="P4977" t="s">
        <v>12</v>
      </c>
    </row>
    <row r="4978">
      <c r="A4978">
        <f>HYPERLINK("http://bombeiros.sp.gov.br/hidrantes/03individual/28079.html","28079")</f>
      </c>
      <c r="B4978" t="s">
        <v>842</v>
      </c>
      <c r="C4978" t="s">
        <v>14642</v>
      </c>
      <c r="D4978" t="s">
        <v>14888</v>
      </c>
      <c r="E4978" t="s">
        <v>15</v>
      </c>
      <c r="F4978" t="s">
        <v>18175</v>
      </c>
      <c r="G4978" t="s">
        <v>18073</v>
      </c>
      <c r="H4978" t="s">
        <v>1121</v>
      </c>
      <c r="I4978" t="s">
        <v>1117</v>
      </c>
      <c r="J4978" t="s">
        <v>18176</v>
      </c>
      <c r="K4978" t="s">
        <v>18177</v>
      </c>
      <c r="L4978" t="s">
        <v>21</v>
      </c>
      <c r="M4978" t="s">
        <v>19177</v>
      </c>
      <c r="N4978" t="s">
        <v>714</v>
      </c>
      <c r="O4978" t="s">
        <v>10263</v>
      </c>
      <c r="P4978" t="s">
        <v>12</v>
      </c>
    </row>
    <row r="4979">
      <c r="A4979">
        <f>HYPERLINK("http://bombeiros.sp.gov.br/hidrantes/03individual/289.html","289")</f>
      </c>
      <c r="B4979" t="s">
        <v>842</v>
      </c>
      <c r="C4979" t="s">
        <v>14642</v>
      </c>
      <c r="D4979" t="s">
        <v>14916</v>
      </c>
      <c r="E4979" t="s">
        <v>64</v>
      </c>
      <c r="F4979" t="s">
        <v>14917</v>
      </c>
      <c r="G4979" t="s">
        <v>18147</v>
      </c>
      <c r="H4979" t="s">
        <v>1112</v>
      </c>
      <c r="I4979" t="s">
        <v>1108</v>
      </c>
      <c r="J4979" t="s">
        <v>16336</v>
      </c>
      <c r="K4979" t="s">
        <v>16337</v>
      </c>
      <c r="L4979" t="s">
        <v>21</v>
      </c>
      <c r="M4979" t="s">
        <v>19177</v>
      </c>
      <c r="N4979" t="s">
        <v>714</v>
      </c>
      <c r="O4979" t="s">
        <v>10263</v>
      </c>
      <c r="P4979" t="s">
        <v>12</v>
      </c>
    </row>
    <row r="4980">
      <c r="A4980">
        <f>HYPERLINK("http://bombeiros.sp.gov.br/hidrantes/03individual/2409.html","2409")</f>
      </c>
      <c r="B4980" t="s">
        <v>842</v>
      </c>
      <c r="C4980" t="s">
        <v>14642</v>
      </c>
      <c r="D4980" t="s">
        <v>14916</v>
      </c>
      <c r="E4980" t="s">
        <v>64</v>
      </c>
      <c r="F4980" t="s">
        <v>14920</v>
      </c>
      <c r="G4980" t="s">
        <v>18112</v>
      </c>
      <c r="H4980" t="s">
        <v>1112</v>
      </c>
      <c r="I4980" t="s">
        <v>1108</v>
      </c>
      <c r="J4980" t="s">
        <v>14921</v>
      </c>
      <c r="K4980" t="s">
        <v>14922</v>
      </c>
      <c r="L4980" t="s">
        <v>36</v>
      </c>
      <c r="M4980" t="s">
        <v>19177</v>
      </c>
      <c r="N4980" t="s">
        <v>714</v>
      </c>
      <c r="O4980" t="s">
        <v>10263</v>
      </c>
      <c r="P4980" t="s">
        <v>12</v>
      </c>
    </row>
    <row r="4981">
      <c r="A4981">
        <f>HYPERLINK("http://bombeiros.sp.gov.br/hidrantes/03individual/27669.html","27669")</f>
      </c>
      <c r="B4981" t="s">
        <v>842</v>
      </c>
      <c r="C4981" t="s">
        <v>14642</v>
      </c>
      <c r="D4981" t="s">
        <v>14916</v>
      </c>
      <c r="E4981" t="s">
        <v>64</v>
      </c>
      <c r="F4981" t="s">
        <v>17601</v>
      </c>
      <c r="G4981" t="s">
        <v>18147</v>
      </c>
      <c r="H4981" t="s">
        <v>1112</v>
      </c>
      <c r="I4981" t="s">
        <v>1108</v>
      </c>
      <c r="J4981" t="s">
        <v>17602</v>
      </c>
      <c r="K4981" t="s">
        <v>17603</v>
      </c>
      <c r="L4981" t="s">
        <v>21</v>
      </c>
      <c r="M4981" t="s">
        <v>19177</v>
      </c>
      <c r="N4981" t="s">
        <v>714</v>
      </c>
      <c r="O4981" t="s">
        <v>10263</v>
      </c>
      <c r="P4981" t="s">
        <v>12</v>
      </c>
    </row>
    <row r="4982">
      <c r="A4982">
        <f>HYPERLINK("http://bombeiros.sp.gov.br/hidrantes/03individual/301.html","301")</f>
      </c>
      <c r="B4982" t="s">
        <v>842</v>
      </c>
      <c r="C4982" t="s">
        <v>14642</v>
      </c>
      <c r="D4982" t="s">
        <v>14916</v>
      </c>
      <c r="E4982" t="s">
        <v>15</v>
      </c>
      <c r="F4982" t="s">
        <v>14923</v>
      </c>
      <c r="G4982" t="s">
        <v>18065</v>
      </c>
      <c r="H4982" t="s">
        <v>1112</v>
      </c>
      <c r="I4982" t="s">
        <v>1108</v>
      </c>
      <c r="J4982" t="s">
        <v>14924</v>
      </c>
      <c r="K4982" t="s">
        <v>14925</v>
      </c>
      <c r="L4982" t="s">
        <v>21</v>
      </c>
      <c r="M4982" t="s">
        <v>19177</v>
      </c>
      <c r="N4982" t="s">
        <v>714</v>
      </c>
      <c r="O4982" t="s">
        <v>10263</v>
      </c>
      <c r="P4982" t="s">
        <v>12</v>
      </c>
    </row>
    <row r="4983">
      <c r="A4983">
        <f>HYPERLINK("http://bombeiros.sp.gov.br/hidrantes/03individual/303.html","303")</f>
      </c>
      <c r="B4983" t="s">
        <v>842</v>
      </c>
      <c r="C4983" t="s">
        <v>14642</v>
      </c>
      <c r="D4983" t="s">
        <v>14916</v>
      </c>
      <c r="E4983" t="s">
        <v>15</v>
      </c>
      <c r="F4983" t="s">
        <v>14926</v>
      </c>
      <c r="G4983" t="s">
        <v>18052</v>
      </c>
      <c r="H4983" t="s">
        <v>1112</v>
      </c>
      <c r="I4983" t="s">
        <v>1108</v>
      </c>
      <c r="J4983" t="s">
        <v>14927</v>
      </c>
      <c r="K4983" t="s">
        <v>14928</v>
      </c>
      <c r="L4983" t="s">
        <v>36</v>
      </c>
      <c r="M4983" t="s">
        <v>19177</v>
      </c>
      <c r="N4983" t="s">
        <v>714</v>
      </c>
      <c r="O4983" t="s">
        <v>10263</v>
      </c>
      <c r="P4983" t="s">
        <v>12</v>
      </c>
    </row>
    <row r="4984">
      <c r="A4984">
        <f>HYPERLINK("http://bombeiros.sp.gov.br/hidrantes/03individual/370.html","370")</f>
      </c>
      <c r="B4984" t="s">
        <v>842</v>
      </c>
      <c r="C4984" t="s">
        <v>14642</v>
      </c>
      <c r="D4984" t="s">
        <v>14916</v>
      </c>
      <c r="E4984" t="s">
        <v>15</v>
      </c>
      <c r="F4984" t="s">
        <v>14929</v>
      </c>
      <c r="G4984" t="s">
        <v>18147</v>
      </c>
      <c r="H4984" t="s">
        <v>1107</v>
      </c>
      <c r="I4984" t="s">
        <v>1108</v>
      </c>
      <c r="J4984" t="s">
        <v>14930</v>
      </c>
      <c r="K4984" t="s">
        <v>14931</v>
      </c>
      <c r="L4984" t="s">
        <v>21</v>
      </c>
      <c r="M4984" t="s">
        <v>19177</v>
      </c>
      <c r="N4984" t="s">
        <v>714</v>
      </c>
      <c r="O4984" t="s">
        <v>10263</v>
      </c>
      <c r="P4984" t="s">
        <v>12</v>
      </c>
    </row>
    <row r="4985">
      <c r="A4985">
        <f>HYPERLINK("http://bombeiros.sp.gov.br/hidrantes/03individual/376.html","376")</f>
      </c>
      <c r="B4985" t="s">
        <v>842</v>
      </c>
      <c r="C4985" t="s">
        <v>14642</v>
      </c>
      <c r="D4985" t="s">
        <v>14916</v>
      </c>
      <c r="E4985" t="s">
        <v>15</v>
      </c>
      <c r="F4985" t="s">
        <v>14932</v>
      </c>
      <c r="G4985" t="s">
        <v>18052</v>
      </c>
      <c r="H4985" t="s">
        <v>1112</v>
      </c>
      <c r="I4985" t="s">
        <v>1108</v>
      </c>
      <c r="J4985" t="s">
        <v>14933</v>
      </c>
      <c r="K4985" t="s">
        <v>14934</v>
      </c>
      <c r="L4985" t="s">
        <v>36</v>
      </c>
      <c r="M4985" t="s">
        <v>19177</v>
      </c>
      <c r="N4985" t="s">
        <v>714</v>
      </c>
      <c r="O4985" t="s">
        <v>10263</v>
      </c>
      <c r="P4985" t="s">
        <v>12</v>
      </c>
    </row>
    <row r="4986">
      <c r="A4986">
        <f>HYPERLINK("http://bombeiros.sp.gov.br/hidrantes/03individual/416.html","416")</f>
      </c>
      <c r="B4986" t="s">
        <v>842</v>
      </c>
      <c r="C4986" t="s">
        <v>14642</v>
      </c>
      <c r="D4986" t="s">
        <v>14916</v>
      </c>
      <c r="E4986" t="s">
        <v>15</v>
      </c>
      <c r="F4986" t="s">
        <v>14935</v>
      </c>
      <c r="G4986" t="s">
        <v>18112</v>
      </c>
      <c r="H4986" t="s">
        <v>1112</v>
      </c>
      <c r="I4986" t="s">
        <v>1108</v>
      </c>
      <c r="J4986" t="s">
        <v>14937</v>
      </c>
      <c r="K4986" t="s">
        <v>14938</v>
      </c>
      <c r="L4986" t="s">
        <v>21</v>
      </c>
      <c r="M4986" t="s">
        <v>19177</v>
      </c>
      <c r="N4986" t="s">
        <v>714</v>
      </c>
      <c r="O4986" t="s">
        <v>10263</v>
      </c>
      <c r="P4986" t="s">
        <v>12</v>
      </c>
    </row>
    <row r="4987">
      <c r="A4987">
        <f>HYPERLINK("http://bombeiros.sp.gov.br/hidrantes/03individual/2307.html","2307")</f>
      </c>
      <c r="B4987" t="s">
        <v>842</v>
      </c>
      <c r="C4987" t="s">
        <v>14642</v>
      </c>
      <c r="D4987" t="s">
        <v>14916</v>
      </c>
      <c r="E4987" t="s">
        <v>15</v>
      </c>
      <c r="F4987" t="s">
        <v>14939</v>
      </c>
      <c r="G4987" t="s">
        <v>18062</v>
      </c>
      <c r="H4987" t="s">
        <v>1107</v>
      </c>
      <c r="I4987" t="s">
        <v>1108</v>
      </c>
      <c r="J4987" t="s">
        <v>14940</v>
      </c>
      <c r="K4987" t="s">
        <v>14941</v>
      </c>
      <c r="L4987" t="s">
        <v>36</v>
      </c>
      <c r="M4987" t="s">
        <v>19177</v>
      </c>
      <c r="N4987" t="s">
        <v>714</v>
      </c>
      <c r="O4987" t="s">
        <v>10263</v>
      </c>
      <c r="P4987" t="s">
        <v>12</v>
      </c>
    </row>
    <row r="4988">
      <c r="A4988">
        <f>HYPERLINK("http://bombeiros.sp.gov.br/hidrantes/03individual/2375.html","2375")</f>
      </c>
      <c r="B4988" t="s">
        <v>842</v>
      </c>
      <c r="C4988" t="s">
        <v>14642</v>
      </c>
      <c r="D4988" t="s">
        <v>14916</v>
      </c>
      <c r="E4988" t="s">
        <v>15</v>
      </c>
      <c r="F4988" t="s">
        <v>14942</v>
      </c>
      <c r="G4988" t="s">
        <v>18062</v>
      </c>
      <c r="H4988" t="s">
        <v>1107</v>
      </c>
      <c r="I4988" t="s">
        <v>1108</v>
      </c>
      <c r="J4988" t="s">
        <v>14943</v>
      </c>
      <c r="K4988" t="s">
        <v>14944</v>
      </c>
      <c r="L4988" t="s">
        <v>21</v>
      </c>
      <c r="M4988" t="s">
        <v>19177</v>
      </c>
      <c r="N4988" t="s">
        <v>714</v>
      </c>
      <c r="O4988" t="s">
        <v>10263</v>
      </c>
      <c r="P4988" t="s">
        <v>12</v>
      </c>
    </row>
    <row r="4989">
      <c r="A4989">
        <f>HYPERLINK("http://bombeiros.sp.gov.br/hidrantes/03individual/2379.html","2379")</f>
      </c>
      <c r="B4989" t="s">
        <v>842</v>
      </c>
      <c r="C4989" t="s">
        <v>14642</v>
      </c>
      <c r="D4989" t="s">
        <v>14916</v>
      </c>
      <c r="E4989" t="s">
        <v>15</v>
      </c>
      <c r="F4989" t="s">
        <v>14945</v>
      </c>
      <c r="G4989" t="s">
        <v>18147</v>
      </c>
      <c r="H4989" t="s">
        <v>1107</v>
      </c>
      <c r="I4989" t="s">
        <v>1108</v>
      </c>
      <c r="J4989" t="s">
        <v>14946</v>
      </c>
      <c r="K4989" t="s">
        <v>14947</v>
      </c>
      <c r="L4989" t="s">
        <v>21</v>
      </c>
      <c r="M4989" t="s">
        <v>19177</v>
      </c>
      <c r="N4989" t="s">
        <v>714</v>
      </c>
      <c r="O4989" t="s">
        <v>10263</v>
      </c>
      <c r="P4989" t="s">
        <v>12</v>
      </c>
    </row>
    <row r="4990">
      <c r="A4990">
        <f>HYPERLINK("http://bombeiros.sp.gov.br/hidrantes/03individual/2517.html","2517")</f>
      </c>
      <c r="B4990" t="s">
        <v>842</v>
      </c>
      <c r="C4990" t="s">
        <v>14642</v>
      </c>
      <c r="D4990" t="s">
        <v>14916</v>
      </c>
      <c r="E4990" t="s">
        <v>15</v>
      </c>
      <c r="F4990" t="s">
        <v>14948</v>
      </c>
      <c r="G4990" t="s">
        <v>18147</v>
      </c>
      <c r="H4990" t="s">
        <v>1107</v>
      </c>
      <c r="I4990" t="s">
        <v>1108</v>
      </c>
      <c r="J4990" t="s">
        <v>14949</v>
      </c>
      <c r="K4990" t="s">
        <v>14950</v>
      </c>
      <c r="L4990" t="s">
        <v>21</v>
      </c>
      <c r="M4990" t="s">
        <v>19177</v>
      </c>
      <c r="N4990" t="s">
        <v>714</v>
      </c>
      <c r="O4990" t="s">
        <v>10263</v>
      </c>
      <c r="P4990" t="s">
        <v>12</v>
      </c>
    </row>
    <row r="4991">
      <c r="A4991">
        <f>HYPERLINK("http://bombeiros.sp.gov.br/hidrantes/03individual/2258.html","2258")</f>
      </c>
      <c r="B4991" t="s">
        <v>842</v>
      </c>
      <c r="C4991" t="s">
        <v>14642</v>
      </c>
      <c r="D4991" t="s">
        <v>14642</v>
      </c>
      <c r="E4991" t="s">
        <v>64</v>
      </c>
      <c r="F4991" t="s">
        <v>14951</v>
      </c>
      <c r="G4991" t="s">
        <v>18173</v>
      </c>
      <c r="H4991" t="s">
        <v>1107</v>
      </c>
      <c r="I4991" t="s">
        <v>1108</v>
      </c>
      <c r="J4991" t="s">
        <v>14952</v>
      </c>
      <c r="K4991" t="s">
        <v>14953</v>
      </c>
      <c r="L4991" t="s">
        <v>21</v>
      </c>
      <c r="M4991" t="s">
        <v>19177</v>
      </c>
      <c r="N4991" t="s">
        <v>714</v>
      </c>
      <c r="O4991" t="s">
        <v>10263</v>
      </c>
      <c r="P4991" t="s">
        <v>12</v>
      </c>
    </row>
    <row r="4992">
      <c r="A4992">
        <f>HYPERLINK("http://bombeiros.sp.gov.br/hidrantes/03individual/2954.html","2954")</f>
      </c>
      <c r="B4992" t="s">
        <v>842</v>
      </c>
      <c r="C4992" t="s">
        <v>14642</v>
      </c>
      <c r="D4992" t="s">
        <v>14642</v>
      </c>
      <c r="E4992" t="s">
        <v>64</v>
      </c>
      <c r="F4992" t="s">
        <v>14954</v>
      </c>
      <c r="G4992" t="s">
        <v>18145</v>
      </c>
      <c r="H4992" t="s">
        <v>1107</v>
      </c>
      <c r="I4992" t="s">
        <v>1108</v>
      </c>
      <c r="J4992" t="s">
        <v>14955</v>
      </c>
      <c r="K4992" t="s">
        <v>14956</v>
      </c>
      <c r="L4992" t="s">
        <v>36</v>
      </c>
      <c r="M4992" t="s">
        <v>19177</v>
      </c>
      <c r="N4992" t="s">
        <v>714</v>
      </c>
      <c r="O4992" t="s">
        <v>10263</v>
      </c>
      <c r="P4992" t="s">
        <v>12</v>
      </c>
    </row>
    <row r="4993">
      <c r="A4993">
        <f>HYPERLINK("http://bombeiros.sp.gov.br/hidrantes/03individual/4430.html","4430")</f>
      </c>
      <c r="B4993" t="s">
        <v>842</v>
      </c>
      <c r="C4993" t="s">
        <v>14642</v>
      </c>
      <c r="D4993" t="s">
        <v>14642</v>
      </c>
      <c r="E4993" t="s">
        <v>64</v>
      </c>
      <c r="F4993" t="s">
        <v>14957</v>
      </c>
      <c r="G4993" t="s">
        <v>18053</v>
      </c>
      <c r="H4993" t="s">
        <v>1112</v>
      </c>
      <c r="I4993" t="s">
        <v>1108</v>
      </c>
      <c r="J4993" t="s">
        <v>14958</v>
      </c>
      <c r="K4993" t="s">
        <v>14959</v>
      </c>
      <c r="L4993" t="s">
        <v>21</v>
      </c>
      <c r="M4993" t="s">
        <v>19177</v>
      </c>
      <c r="N4993" t="s">
        <v>714</v>
      </c>
      <c r="O4993" t="s">
        <v>10263</v>
      </c>
      <c r="P4993" t="s">
        <v>12</v>
      </c>
    </row>
    <row r="4994">
      <c r="A4994">
        <f>HYPERLINK("http://bombeiros.sp.gov.br/hidrantes/03individual/5604.html","5604")</f>
      </c>
      <c r="B4994" t="s">
        <v>842</v>
      </c>
      <c r="C4994" t="s">
        <v>14642</v>
      </c>
      <c r="D4994" t="s">
        <v>14642</v>
      </c>
      <c r="E4994" t="s">
        <v>64</v>
      </c>
      <c r="F4994" t="s">
        <v>14960</v>
      </c>
      <c r="G4994" t="s">
        <v>18099</v>
      </c>
      <c r="H4994" t="s">
        <v>1107</v>
      </c>
      <c r="I4994" t="s">
        <v>1108</v>
      </c>
      <c r="J4994" t="s">
        <v>14961</v>
      </c>
      <c r="K4994" t="s">
        <v>14962</v>
      </c>
      <c r="L4994" t="s">
        <v>21</v>
      </c>
      <c r="M4994" t="s">
        <v>19177</v>
      </c>
      <c r="N4994" t="s">
        <v>714</v>
      </c>
      <c r="O4994" t="s">
        <v>10263</v>
      </c>
      <c r="P4994" t="s">
        <v>12</v>
      </c>
    </row>
    <row r="4995">
      <c r="A4995">
        <f>HYPERLINK("http://bombeiros.sp.gov.br/hidrantes/03individual/27527.html","27527")</f>
      </c>
      <c r="B4995" t="s">
        <v>842</v>
      </c>
      <c r="C4995" t="s">
        <v>14642</v>
      </c>
      <c r="D4995" t="s">
        <v>14642</v>
      </c>
      <c r="E4995" t="s">
        <v>64</v>
      </c>
      <c r="F4995" t="s">
        <v>17397</v>
      </c>
      <c r="G4995" t="s">
        <v>18099</v>
      </c>
      <c r="H4995" t="s">
        <v>1107</v>
      </c>
      <c r="I4995" t="s">
        <v>1108</v>
      </c>
      <c r="J4995" t="s">
        <v>17398</v>
      </c>
      <c r="K4995" t="s">
        <v>17399</v>
      </c>
      <c r="L4995" t="s">
        <v>21</v>
      </c>
      <c r="M4995" t="s">
        <v>19177</v>
      </c>
      <c r="N4995" t="s">
        <v>714</v>
      </c>
      <c r="O4995" t="s">
        <v>10263</v>
      </c>
      <c r="P4995" t="s">
        <v>12</v>
      </c>
    </row>
    <row r="4996">
      <c r="A4996">
        <f>HYPERLINK("http://bombeiros.sp.gov.br/hidrantes/03individual/142.html","142")</f>
      </c>
      <c r="B4996" t="s">
        <v>842</v>
      </c>
      <c r="C4996" t="s">
        <v>14642</v>
      </c>
      <c r="D4996" t="s">
        <v>14642</v>
      </c>
      <c r="E4996" t="s">
        <v>15</v>
      </c>
      <c r="F4996" t="s">
        <v>14963</v>
      </c>
      <c r="G4996" t="s">
        <v>18173</v>
      </c>
      <c r="H4996" t="s">
        <v>1107</v>
      </c>
      <c r="I4996" t="s">
        <v>1108</v>
      </c>
      <c r="J4996" t="s">
        <v>14964</v>
      </c>
      <c r="K4996" t="s">
        <v>14965</v>
      </c>
      <c r="L4996" t="s">
        <v>21</v>
      </c>
      <c r="M4996" t="s">
        <v>19177</v>
      </c>
      <c r="N4996" t="s">
        <v>714</v>
      </c>
      <c r="O4996" t="s">
        <v>10263</v>
      </c>
      <c r="P4996" t="s">
        <v>12</v>
      </c>
    </row>
    <row r="4997">
      <c r="A4997">
        <f>HYPERLINK("http://bombeiros.sp.gov.br/hidrantes/03individual/377.html","377")</f>
      </c>
      <c r="B4997" t="s">
        <v>842</v>
      </c>
      <c r="C4997" t="s">
        <v>14642</v>
      </c>
      <c r="D4997" t="s">
        <v>14642</v>
      </c>
      <c r="E4997" t="s">
        <v>15</v>
      </c>
      <c r="F4997" t="s">
        <v>14966</v>
      </c>
      <c r="G4997" t="s">
        <v>18173</v>
      </c>
      <c r="H4997" t="s">
        <v>1107</v>
      </c>
      <c r="I4997" t="s">
        <v>1108</v>
      </c>
      <c r="J4997" t="s">
        <v>14967</v>
      </c>
      <c r="K4997" t="s">
        <v>14968</v>
      </c>
      <c r="L4997" t="s">
        <v>21</v>
      </c>
      <c r="M4997" t="s">
        <v>19177</v>
      </c>
      <c r="N4997" t="s">
        <v>714</v>
      </c>
      <c r="O4997" t="s">
        <v>10263</v>
      </c>
      <c r="P4997" t="s">
        <v>12</v>
      </c>
    </row>
    <row r="4998">
      <c r="A4998">
        <f>HYPERLINK("http://bombeiros.sp.gov.br/hidrantes/03individual/2018.html","2018")</f>
      </c>
      <c r="B4998" t="s">
        <v>842</v>
      </c>
      <c r="C4998" t="s">
        <v>14642</v>
      </c>
      <c r="D4998" t="s">
        <v>14642</v>
      </c>
      <c r="E4998" t="s">
        <v>15</v>
      </c>
      <c r="F4998" t="s">
        <v>14969</v>
      </c>
      <c r="G4998" t="s">
        <v>18145</v>
      </c>
      <c r="H4998" t="s">
        <v>1107</v>
      </c>
      <c r="I4998" t="s">
        <v>1108</v>
      </c>
      <c r="J4998" t="s">
        <v>14970</v>
      </c>
      <c r="K4998" t="s">
        <v>14971</v>
      </c>
      <c r="L4998" t="s">
        <v>36</v>
      </c>
      <c r="M4998" t="s">
        <v>19177</v>
      </c>
      <c r="N4998" t="s">
        <v>714</v>
      </c>
      <c r="O4998" t="s">
        <v>10263</v>
      </c>
      <c r="P4998" t="s">
        <v>12</v>
      </c>
    </row>
    <row r="4999">
      <c r="A4999">
        <f>HYPERLINK("http://bombeiros.sp.gov.br/hidrantes/03individual/2256.html","2256")</f>
      </c>
      <c r="B4999" t="s">
        <v>842</v>
      </c>
      <c r="C4999" t="s">
        <v>14642</v>
      </c>
      <c r="D4999" t="s">
        <v>14642</v>
      </c>
      <c r="E4999" t="s">
        <v>15</v>
      </c>
      <c r="F4999" t="s">
        <v>14972</v>
      </c>
      <c r="G4999" t="s">
        <v>18099</v>
      </c>
      <c r="H4999" t="s">
        <v>1107</v>
      </c>
      <c r="I4999" t="s">
        <v>1108</v>
      </c>
      <c r="J4999" t="s">
        <v>14973</v>
      </c>
      <c r="K4999" t="s">
        <v>14974</v>
      </c>
      <c r="L4999" t="s">
        <v>21</v>
      </c>
      <c r="M4999" t="s">
        <v>19177</v>
      </c>
      <c r="N4999" t="s">
        <v>714</v>
      </c>
      <c r="O4999" t="s">
        <v>10263</v>
      </c>
      <c r="P4999" t="s">
        <v>12</v>
      </c>
    </row>
    <row r="5000">
      <c r="A5000">
        <f>HYPERLINK("http://bombeiros.sp.gov.br/hidrantes/03individual/2269.html","2269")</f>
      </c>
      <c r="B5000" t="s">
        <v>842</v>
      </c>
      <c r="C5000" t="s">
        <v>14642</v>
      </c>
      <c r="D5000" t="s">
        <v>14642</v>
      </c>
      <c r="E5000" t="s">
        <v>15</v>
      </c>
      <c r="F5000" t="s">
        <v>14978</v>
      </c>
      <c r="G5000" t="s">
        <v>18178</v>
      </c>
      <c r="H5000" t="s">
        <v>1107</v>
      </c>
      <c r="I5000" t="s">
        <v>1108</v>
      </c>
      <c r="J5000" t="s">
        <v>14979</v>
      </c>
      <c r="K5000" t="s">
        <v>14980</v>
      </c>
      <c r="L5000" t="s">
        <v>21</v>
      </c>
      <c r="M5000" t="s">
        <v>19177</v>
      </c>
      <c r="N5000" t="s">
        <v>714</v>
      </c>
      <c r="O5000" t="s">
        <v>10263</v>
      </c>
      <c r="P5000" t="s">
        <v>12</v>
      </c>
    </row>
  </sheetData>
</worksheet>
</file>

<file path=xl/worksheets/sheet52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32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5.7109375" customWidth="true"/>
    <col min="4" max="4" width="20.7109375" customWidth="true"/>
    <col min="5" max="5" width="20.7109375" customWidth="true"/>
    <col min="6" max="6" width="100.7109375" customWidth="true"/>
    <col min="7" max="7" width="12.7109375" customWidth="true"/>
    <col min="8" max="8" width="15.7109375" customWidth="true"/>
    <col min="9" max="9" width="20.7109375" customWidth="true"/>
    <col min="10" max="10" width="20.7109375" customWidth="true"/>
    <col min="11" max="11" width="20.7109375" customWidth="true"/>
    <col min="12" max="12" width="12.7109375" customWidth="true"/>
    <col min="13" max="13" width="12.7109375" customWidth="true"/>
    <col min="14" max="14" width="30.7109375" customWidth="true"/>
    <col min="15" max="15" width="30.7109375" customWidth="true"/>
    <col min="16" max="16" width="3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14981</v>
      </c>
      <c r="N1" t="s">
        <v>16370</v>
      </c>
      <c r="O1" t="s">
        <v>16371</v>
      </c>
      <c r="P1" t="s">
        <v>16372</v>
      </c>
    </row>
    <row r="2">
      <c r="A2">
        <f>HYPERLINK("http://bombeiros.sp.gov.br/hidrantes/03individual/683.html","683")</f>
      </c>
      <c r="B2" t="s">
        <v>12</v>
      </c>
      <c r="C2" t="s">
        <v>30</v>
      </c>
      <c r="D2" t="s">
        <v>30</v>
      </c>
      <c r="E2" t="s">
        <v>15</v>
      </c>
      <c r="F2" t="s">
        <v>1312</v>
      </c>
      <c r="G2" t="s">
        <v>18125</v>
      </c>
      <c r="H2"/>
      <c r="I2" t="s">
        <v>18</v>
      </c>
      <c r="J2" t="s">
        <v>1313</v>
      </c>
      <c r="K2" t="s">
        <v>1314</v>
      </c>
      <c r="L2" t="s">
        <v>21</v>
      </c>
      <c r="M2" t="s">
        <v>19177</v>
      </c>
      <c r="N2" t="s">
        <v>97</v>
      </c>
      <c r="O2" t="s">
        <v>937</v>
      </c>
      <c r="P2" t="s">
        <v>12</v>
      </c>
    </row>
    <row r="3">
      <c r="A3">
        <f>HYPERLINK("http://bombeiros.sp.gov.br/hidrantes/03individual/28073.html","28073")</f>
      </c>
      <c r="B3" t="s">
        <v>12</v>
      </c>
      <c r="C3" t="s">
        <v>37</v>
      </c>
      <c r="D3" t="s">
        <v>37</v>
      </c>
      <c r="E3" t="s">
        <v>15</v>
      </c>
      <c r="F3" t="s">
        <v>18222</v>
      </c>
      <c r="G3" t="s">
        <v>18050</v>
      </c>
      <c r="H3"/>
      <c r="I3" t="s">
        <v>18</v>
      </c>
      <c r="J3" t="s">
        <v>18223</v>
      </c>
      <c r="K3" t="s">
        <v>18224</v>
      </c>
      <c r="L3" t="s">
        <v>21</v>
      </c>
      <c r="M3" t="s">
        <v>19177</v>
      </c>
      <c r="N3" t="s">
        <v>97</v>
      </c>
      <c r="O3" t="s">
        <v>937</v>
      </c>
      <c r="P3" t="s">
        <v>12</v>
      </c>
    </row>
    <row r="4">
      <c r="A4">
        <f>HYPERLINK("http://bombeiros.sp.gov.br/hidrantes/03individual/209.html","209")</f>
      </c>
      <c r="B4" t="s">
        <v>12</v>
      </c>
      <c r="C4" t="s">
        <v>57</v>
      </c>
      <c r="D4" t="s">
        <v>1923</v>
      </c>
      <c r="E4" t="s">
        <v>15</v>
      </c>
      <c r="F4" t="s">
        <v>1936</v>
      </c>
      <c r="G4" t="s">
        <v>18052</v>
      </c>
      <c r="H4"/>
      <c r="I4" t="s">
        <v>18</v>
      </c>
      <c r="J4" t="s">
        <v>15990</v>
      </c>
      <c r="K4" t="s">
        <v>15991</v>
      </c>
      <c r="L4" t="s">
        <v>21</v>
      </c>
      <c r="M4" t="s">
        <v>19177</v>
      </c>
      <c r="N4" t="s">
        <v>97</v>
      </c>
      <c r="O4" t="s">
        <v>937</v>
      </c>
      <c r="P4" t="s">
        <v>12</v>
      </c>
    </row>
    <row r="5">
      <c r="A5">
        <f>HYPERLINK("http://bombeiros.sp.gov.br/hidrantes/03individual/7.html","7")</f>
      </c>
      <c r="B5" t="s">
        <v>12</v>
      </c>
      <c r="C5" t="s">
        <v>57</v>
      </c>
      <c r="D5" t="s">
        <v>58</v>
      </c>
      <c r="E5" t="s">
        <v>15</v>
      </c>
      <c r="F5" t="s">
        <v>59</v>
      </c>
      <c r="G5" t="s">
        <v>18061</v>
      </c>
      <c r="H5"/>
      <c r="I5" t="s">
        <v>18</v>
      </c>
      <c r="J5" t="s">
        <v>61</v>
      </c>
      <c r="K5" t="s">
        <v>62</v>
      </c>
      <c r="L5" t="s">
        <v>21</v>
      </c>
      <c r="M5" t="s">
        <v>19177</v>
      </c>
      <c r="N5" t="s">
        <v>97</v>
      </c>
      <c r="O5" t="s">
        <v>937</v>
      </c>
      <c r="P5" t="s">
        <v>12</v>
      </c>
    </row>
    <row r="6">
      <c r="A6">
        <f>HYPERLINK("http://bombeiros.sp.gov.br/hidrantes/03individual/27309.html","27309")</f>
      </c>
      <c r="B6" t="s">
        <v>12</v>
      </c>
      <c r="C6" t="s">
        <v>57</v>
      </c>
      <c r="D6" t="s">
        <v>58</v>
      </c>
      <c r="E6" t="s">
        <v>15</v>
      </c>
      <c r="F6" t="s">
        <v>17066</v>
      </c>
      <c r="G6" t="s">
        <v>18050</v>
      </c>
      <c r="H6"/>
      <c r="I6" t="s">
        <v>18</v>
      </c>
      <c r="J6" t="s">
        <v>17067</v>
      </c>
      <c r="K6" t="s">
        <v>17068</v>
      </c>
      <c r="L6" t="s">
        <v>21</v>
      </c>
      <c r="M6" t="s">
        <v>19177</v>
      </c>
      <c r="N6" t="s">
        <v>97</v>
      </c>
      <c r="O6" t="s">
        <v>937</v>
      </c>
      <c r="P6" t="s">
        <v>12</v>
      </c>
    </row>
    <row r="7">
      <c r="A7">
        <f>HYPERLINK("http://bombeiros.sp.gov.br/hidrantes/03individual/12.html","12")</f>
      </c>
      <c r="B7" t="s">
        <v>12</v>
      </c>
      <c r="C7" t="s">
        <v>57</v>
      </c>
      <c r="D7" t="s">
        <v>2036</v>
      </c>
      <c r="E7" t="s">
        <v>15</v>
      </c>
      <c r="F7" t="s">
        <v>2037</v>
      </c>
      <c r="G7" t="s">
        <v>18046</v>
      </c>
      <c r="H7"/>
      <c r="I7" t="s">
        <v>18</v>
      </c>
      <c r="J7" t="s">
        <v>2038</v>
      </c>
      <c r="K7" t="s">
        <v>2039</v>
      </c>
      <c r="L7" t="s">
        <v>21</v>
      </c>
      <c r="M7" t="s">
        <v>19177</v>
      </c>
      <c r="N7" t="s">
        <v>714</v>
      </c>
      <c r="O7" t="s">
        <v>10263</v>
      </c>
      <c r="P7" t="s">
        <v>12</v>
      </c>
    </row>
    <row r="8">
      <c r="A8">
        <f>HYPERLINK("http://bombeiros.sp.gov.br/hidrantes/03individual/233.html","233")</f>
      </c>
      <c r="B8" t="s">
        <v>12</v>
      </c>
      <c r="C8" t="s">
        <v>63</v>
      </c>
      <c r="D8" t="s">
        <v>63</v>
      </c>
      <c r="E8" t="s">
        <v>15</v>
      </c>
      <c r="F8" t="s">
        <v>69</v>
      </c>
      <c r="G8" t="s">
        <v>18065</v>
      </c>
      <c r="H8"/>
      <c r="I8" t="s">
        <v>18</v>
      </c>
      <c r="J8" t="s">
        <v>16012</v>
      </c>
      <c r="K8" t="s">
        <v>16013</v>
      </c>
      <c r="L8" t="s">
        <v>21</v>
      </c>
      <c r="M8" t="s">
        <v>19177</v>
      </c>
      <c r="N8" t="s">
        <v>97</v>
      </c>
      <c r="O8" t="s">
        <v>937</v>
      </c>
      <c r="P8" t="s">
        <v>12</v>
      </c>
    </row>
    <row r="9">
      <c r="A9">
        <f>HYPERLINK("http://bombeiros.sp.gov.br/hidrantes/03individual/641.html","641")</f>
      </c>
      <c r="B9" t="s">
        <v>12</v>
      </c>
      <c r="C9" t="s">
        <v>63</v>
      </c>
      <c r="D9" t="s">
        <v>63</v>
      </c>
      <c r="E9" t="s">
        <v>15</v>
      </c>
      <c r="F9" t="s">
        <v>2146</v>
      </c>
      <c r="G9" t="s">
        <v>18065</v>
      </c>
      <c r="H9"/>
      <c r="I9" t="s">
        <v>18</v>
      </c>
      <c r="J9" t="s">
        <v>2147</v>
      </c>
      <c r="K9" t="s">
        <v>2148</v>
      </c>
      <c r="L9" t="s">
        <v>36</v>
      </c>
      <c r="M9" t="s">
        <v>19177</v>
      </c>
      <c r="N9" t="s">
        <v>97</v>
      </c>
      <c r="O9" t="s">
        <v>937</v>
      </c>
      <c r="P9" t="s">
        <v>12</v>
      </c>
    </row>
    <row r="10">
      <c r="A10">
        <f>HYPERLINK("http://bombeiros.sp.gov.br/hidrantes/03individual/26633.html","26633")</f>
      </c>
      <c r="B10" t="s">
        <v>12</v>
      </c>
      <c r="C10" t="s">
        <v>63</v>
      </c>
      <c r="D10" t="s">
        <v>63</v>
      </c>
      <c r="E10" t="s">
        <v>15</v>
      </c>
      <c r="F10" t="s">
        <v>18747</v>
      </c>
      <c r="G10" t="s">
        <v>18484</v>
      </c>
      <c r="H10"/>
      <c r="I10" t="s">
        <v>18</v>
      </c>
      <c r="J10" t="s">
        <v>2225</v>
      </c>
      <c r="K10" t="s">
        <v>2226</v>
      </c>
      <c r="L10" t="s">
        <v>21</v>
      </c>
      <c r="M10" t="s">
        <v>19177</v>
      </c>
      <c r="N10" t="s">
        <v>97</v>
      </c>
      <c r="O10" t="s">
        <v>937</v>
      </c>
      <c r="P10" t="s">
        <v>12</v>
      </c>
    </row>
    <row r="11">
      <c r="A11">
        <f>HYPERLINK("http://bombeiros.sp.gov.br/hidrantes/03individual/528.html","528")</f>
      </c>
      <c r="B11" t="s">
        <v>12</v>
      </c>
      <c r="C11" t="s">
        <v>63</v>
      </c>
      <c r="D11" t="s">
        <v>77</v>
      </c>
      <c r="E11" t="s">
        <v>15</v>
      </c>
      <c r="F11" t="s">
        <v>2275</v>
      </c>
      <c r="G11" t="s">
        <v>18068</v>
      </c>
      <c r="H11"/>
      <c r="I11" t="s">
        <v>18</v>
      </c>
      <c r="J11" t="s">
        <v>2276</v>
      </c>
      <c r="K11" t="s">
        <v>2277</v>
      </c>
      <c r="L11" t="s">
        <v>21</v>
      </c>
      <c r="M11" t="s">
        <v>19177</v>
      </c>
      <c r="N11" t="s">
        <v>97</v>
      </c>
      <c r="O11" t="s">
        <v>937</v>
      </c>
      <c r="P11" t="s">
        <v>12</v>
      </c>
    </row>
    <row r="12">
      <c r="A12">
        <f>HYPERLINK("http://bombeiros.sp.gov.br/hidrantes/03individual/890.html","890")</f>
      </c>
      <c r="B12" t="s">
        <v>12</v>
      </c>
      <c r="C12" t="s">
        <v>63</v>
      </c>
      <c r="D12" t="s">
        <v>77</v>
      </c>
      <c r="E12" t="s">
        <v>15</v>
      </c>
      <c r="F12" t="s">
        <v>78</v>
      </c>
      <c r="G12" t="s">
        <v>18089</v>
      </c>
      <c r="H12"/>
      <c r="I12" t="s">
        <v>18</v>
      </c>
      <c r="J12" t="s">
        <v>80</v>
      </c>
      <c r="K12" t="s">
        <v>81</v>
      </c>
      <c r="L12" t="s">
        <v>21</v>
      </c>
      <c r="M12" t="s">
        <v>19177</v>
      </c>
      <c r="N12" t="s">
        <v>97</v>
      </c>
      <c r="O12" t="s">
        <v>937</v>
      </c>
      <c r="P12" t="s">
        <v>12</v>
      </c>
    </row>
    <row r="13">
      <c r="A13">
        <f>HYPERLINK("http://bombeiros.sp.gov.br/hidrantes/03individual/784.html","784")</f>
      </c>
      <c r="B13" t="s">
        <v>12</v>
      </c>
      <c r="C13" t="s">
        <v>92</v>
      </c>
      <c r="D13" t="s">
        <v>92</v>
      </c>
      <c r="E13" t="s">
        <v>15</v>
      </c>
      <c r="F13" t="s">
        <v>2620</v>
      </c>
      <c r="G13" t="s">
        <v>18089</v>
      </c>
      <c r="H13"/>
      <c r="I13" t="s">
        <v>18</v>
      </c>
      <c r="J13" t="s">
        <v>2621</v>
      </c>
      <c r="K13" t="s">
        <v>2622</v>
      </c>
      <c r="L13" t="s">
        <v>21</v>
      </c>
      <c r="M13" t="s">
        <v>19177</v>
      </c>
      <c r="N13" t="s">
        <v>97</v>
      </c>
      <c r="O13" t="s">
        <v>937</v>
      </c>
      <c r="P13" t="s">
        <v>12</v>
      </c>
    </row>
    <row r="14">
      <c r="A14">
        <f>HYPERLINK("http://bombeiros.sp.gov.br/hidrantes/03individual/2797.html","2797")</f>
      </c>
      <c r="B14" t="s">
        <v>12</v>
      </c>
      <c r="C14" t="s">
        <v>92</v>
      </c>
      <c r="D14" t="s">
        <v>92</v>
      </c>
      <c r="E14" t="s">
        <v>15</v>
      </c>
      <c r="F14" t="s">
        <v>2629</v>
      </c>
      <c r="G14" t="s">
        <v>18055</v>
      </c>
      <c r="H14"/>
      <c r="I14" t="s">
        <v>18</v>
      </c>
      <c r="J14" t="s">
        <v>2630</v>
      </c>
      <c r="K14" t="s">
        <v>2631</v>
      </c>
      <c r="L14" t="s">
        <v>21</v>
      </c>
      <c r="M14" t="s">
        <v>19177</v>
      </c>
      <c r="N14" t="s">
        <v>97</v>
      </c>
      <c r="O14" t="s">
        <v>937</v>
      </c>
      <c r="P14" t="s">
        <v>12</v>
      </c>
    </row>
    <row r="15">
      <c r="A15">
        <f>HYPERLINK("http://bombeiros.sp.gov.br/hidrantes/03individual/2818.html","2818")</f>
      </c>
      <c r="B15" t="s">
        <v>12</v>
      </c>
      <c r="C15" t="s">
        <v>97</v>
      </c>
      <c r="D15" t="s">
        <v>98</v>
      </c>
      <c r="E15" t="s">
        <v>64</v>
      </c>
      <c r="F15" t="s">
        <v>2687</v>
      </c>
      <c r="G15" t="s">
        <v>18073</v>
      </c>
      <c r="H15"/>
      <c r="I15" t="s">
        <v>18</v>
      </c>
      <c r="J15" t="s">
        <v>2688</v>
      </c>
      <c r="K15" t="s">
        <v>2689</v>
      </c>
      <c r="L15" t="s">
        <v>21</v>
      </c>
      <c r="M15" t="s">
        <v>19177</v>
      </c>
      <c r="N15" t="s">
        <v>97</v>
      </c>
      <c r="O15" t="s">
        <v>937</v>
      </c>
      <c r="P15" t="s">
        <v>12</v>
      </c>
    </row>
    <row r="16">
      <c r="A16">
        <f>HYPERLINK("http://bombeiros.sp.gov.br/hidrantes/03individual/640.html","640")</f>
      </c>
      <c r="B16" t="s">
        <v>12</v>
      </c>
      <c r="C16" t="s">
        <v>97</v>
      </c>
      <c r="D16" t="s">
        <v>98</v>
      </c>
      <c r="E16" t="s">
        <v>15</v>
      </c>
      <c r="F16" t="s">
        <v>2708</v>
      </c>
      <c r="G16" t="s">
        <v>18069</v>
      </c>
      <c r="H16"/>
      <c r="I16" t="s">
        <v>18</v>
      </c>
      <c r="J16" t="s">
        <v>2709</v>
      </c>
      <c r="K16" t="s">
        <v>2710</v>
      </c>
      <c r="L16" t="s">
        <v>21</v>
      </c>
      <c r="M16" t="s">
        <v>19177</v>
      </c>
      <c r="N16" t="s">
        <v>97</v>
      </c>
      <c r="O16" t="s">
        <v>937</v>
      </c>
      <c r="P16" t="s">
        <v>12</v>
      </c>
    </row>
    <row r="17">
      <c r="A17">
        <f>HYPERLINK("http://bombeiros.sp.gov.br/hidrantes/03individual/17719.html","17719")</f>
      </c>
      <c r="B17" t="s">
        <v>12</v>
      </c>
      <c r="C17" t="s">
        <v>97</v>
      </c>
      <c r="D17" t="s">
        <v>98</v>
      </c>
      <c r="E17" t="s">
        <v>15</v>
      </c>
      <c r="F17" t="s">
        <v>2741</v>
      </c>
      <c r="G17" t="s">
        <v>18165</v>
      </c>
      <c r="H17"/>
      <c r="I17" t="s">
        <v>18</v>
      </c>
      <c r="J17" t="s">
        <v>2742</v>
      </c>
      <c r="K17" t="s">
        <v>2743</v>
      </c>
      <c r="L17" t="s">
        <v>21</v>
      </c>
      <c r="M17" t="s">
        <v>19177</v>
      </c>
      <c r="N17" t="s">
        <v>97</v>
      </c>
      <c r="O17" t="s">
        <v>937</v>
      </c>
      <c r="P17" t="s">
        <v>12</v>
      </c>
    </row>
    <row r="18">
      <c r="A18">
        <f>HYPERLINK("http://bombeiros.sp.gov.br/hidrantes/03individual/26658.html","26658")</f>
      </c>
      <c r="B18" t="s">
        <v>12</v>
      </c>
      <c r="C18" t="s">
        <v>97</v>
      </c>
      <c r="D18" t="s">
        <v>102</v>
      </c>
      <c r="E18" t="s">
        <v>15</v>
      </c>
      <c r="F18" t="s">
        <v>103</v>
      </c>
      <c r="G18" t="s">
        <v>18188</v>
      </c>
      <c r="H18"/>
      <c r="I18" t="s">
        <v>18</v>
      </c>
      <c r="J18" t="s">
        <v>104</v>
      </c>
      <c r="K18" t="s">
        <v>105</v>
      </c>
      <c r="L18" t="s">
        <v>21</v>
      </c>
      <c r="M18" t="s">
        <v>19177</v>
      </c>
      <c r="N18" t="s">
        <v>97</v>
      </c>
      <c r="O18" t="s">
        <v>937</v>
      </c>
      <c r="P18" t="s">
        <v>12</v>
      </c>
    </row>
    <row r="19">
      <c r="A19">
        <f>HYPERLINK("http://bombeiros.sp.gov.br/hidrantes/03individual/2532.html","2532")</f>
      </c>
      <c r="B19" t="s">
        <v>12</v>
      </c>
      <c r="C19" t="s">
        <v>97</v>
      </c>
      <c r="D19" t="s">
        <v>97</v>
      </c>
      <c r="E19" t="s">
        <v>15</v>
      </c>
      <c r="F19" t="s">
        <v>2852</v>
      </c>
      <c r="G19" t="s">
        <v>18228</v>
      </c>
      <c r="H19"/>
      <c r="I19" t="s">
        <v>18</v>
      </c>
      <c r="J19" t="s">
        <v>2853</v>
      </c>
      <c r="K19" t="s">
        <v>2854</v>
      </c>
      <c r="L19" t="s">
        <v>21</v>
      </c>
      <c r="M19" t="s">
        <v>19177</v>
      </c>
      <c r="N19" t="s">
        <v>97</v>
      </c>
      <c r="O19" t="s">
        <v>937</v>
      </c>
      <c r="P19" t="s">
        <v>12</v>
      </c>
    </row>
    <row r="20">
      <c r="A20">
        <f>HYPERLINK("http://bombeiros.sp.gov.br/hidrantes/03individual/1697.html","1697")</f>
      </c>
      <c r="B20" t="s">
        <v>114</v>
      </c>
      <c r="C20" t="s">
        <v>115</v>
      </c>
      <c r="D20" t="s">
        <v>115</v>
      </c>
      <c r="E20" t="s">
        <v>15</v>
      </c>
      <c r="F20" t="s">
        <v>116</v>
      </c>
      <c r="G20" t="s">
        <v>18076</v>
      </c>
      <c r="H20"/>
      <c r="I20" t="s">
        <v>18</v>
      </c>
      <c r="J20" t="s">
        <v>118</v>
      </c>
      <c r="K20" t="s">
        <v>119</v>
      </c>
      <c r="L20" t="s">
        <v>21</v>
      </c>
      <c r="M20" t="s">
        <v>19177</v>
      </c>
      <c r="N20" t="s">
        <v>300</v>
      </c>
      <c r="O20" t="s">
        <v>16373</v>
      </c>
      <c r="P20" t="s">
        <v>12</v>
      </c>
    </row>
    <row r="21">
      <c r="A21">
        <f>HYPERLINK("http://bombeiros.sp.gov.br/hidrantes/03individual/1598.html","1598")</f>
      </c>
      <c r="B21" t="s">
        <v>114</v>
      </c>
      <c r="C21" t="s">
        <v>115</v>
      </c>
      <c r="D21" t="s">
        <v>120</v>
      </c>
      <c r="E21" t="s">
        <v>15</v>
      </c>
      <c r="F21" t="s">
        <v>121</v>
      </c>
      <c r="G21" t="s">
        <v>18042</v>
      </c>
      <c r="H21"/>
      <c r="I21" t="s">
        <v>18</v>
      </c>
      <c r="J21" t="s">
        <v>122</v>
      </c>
      <c r="K21" t="s">
        <v>123</v>
      </c>
      <c r="L21" t="s">
        <v>21</v>
      </c>
      <c r="M21" t="s">
        <v>19177</v>
      </c>
      <c r="N21" t="s">
        <v>300</v>
      </c>
      <c r="O21" t="s">
        <v>16373</v>
      </c>
      <c r="P21" t="s">
        <v>12</v>
      </c>
    </row>
    <row r="22">
      <c r="A22">
        <f>HYPERLINK("http://bombeiros.sp.gov.br/hidrantes/03individual/1788.html","1788")</f>
      </c>
      <c r="B22" t="s">
        <v>114</v>
      </c>
      <c r="C22" t="s">
        <v>124</v>
      </c>
      <c r="D22" t="s">
        <v>124</v>
      </c>
      <c r="E22" t="s">
        <v>15</v>
      </c>
      <c r="F22" t="s">
        <v>3068</v>
      </c>
      <c r="G22" t="s">
        <v>18074</v>
      </c>
      <c r="H22"/>
      <c r="I22" t="s">
        <v>18</v>
      </c>
      <c r="J22" t="s">
        <v>3069</v>
      </c>
      <c r="K22" t="s">
        <v>3070</v>
      </c>
      <c r="L22" t="s">
        <v>21</v>
      </c>
      <c r="M22" t="s">
        <v>19177</v>
      </c>
      <c r="N22" t="s">
        <v>300</v>
      </c>
      <c r="O22" t="s">
        <v>16373</v>
      </c>
      <c r="P22" t="s">
        <v>12</v>
      </c>
    </row>
    <row r="23">
      <c r="A23">
        <f>HYPERLINK("http://bombeiros.sp.gov.br/hidrantes/03individual/1937.html","1937")</f>
      </c>
      <c r="B23" t="s">
        <v>114</v>
      </c>
      <c r="C23" t="s">
        <v>129</v>
      </c>
      <c r="D23" t="s">
        <v>129</v>
      </c>
      <c r="E23" t="s">
        <v>15</v>
      </c>
      <c r="F23" t="s">
        <v>3177</v>
      </c>
      <c r="G23" t="s">
        <v>18555</v>
      </c>
      <c r="H23"/>
      <c r="I23" t="s">
        <v>18</v>
      </c>
      <c r="J23" t="s">
        <v>3178</v>
      </c>
      <c r="K23" t="s">
        <v>3179</v>
      </c>
      <c r="L23" t="s">
        <v>21</v>
      </c>
      <c r="M23" t="s">
        <v>19177</v>
      </c>
      <c r="N23" t="s">
        <v>16374</v>
      </c>
      <c r="O23" t="s">
        <v>272</v>
      </c>
      <c r="P23" t="s">
        <v>114</v>
      </c>
    </row>
    <row r="24">
      <c r="A24">
        <f>HYPERLINK("http://bombeiros.sp.gov.br/hidrantes/03individual/4169.html","4169")</f>
      </c>
      <c r="B24" t="s">
        <v>114</v>
      </c>
      <c r="C24" t="s">
        <v>129</v>
      </c>
      <c r="D24" t="s">
        <v>129</v>
      </c>
      <c r="E24" t="s">
        <v>15</v>
      </c>
      <c r="F24" t="s">
        <v>3204</v>
      </c>
      <c r="G24" t="s">
        <v>18488</v>
      </c>
      <c r="H24"/>
      <c r="I24" t="s">
        <v>18</v>
      </c>
      <c r="J24" t="s">
        <v>3205</v>
      </c>
      <c r="K24" t="s">
        <v>3206</v>
      </c>
      <c r="L24" t="s">
        <v>21</v>
      </c>
      <c r="M24" t="s">
        <v>19177</v>
      </c>
      <c r="N24" t="s">
        <v>16374</v>
      </c>
      <c r="O24" t="s">
        <v>272</v>
      </c>
      <c r="P24" t="s">
        <v>114</v>
      </c>
    </row>
    <row r="25">
      <c r="A25">
        <f>HYPERLINK("http://bombeiros.sp.gov.br/hidrantes/03individual/27169.html","27169")</f>
      </c>
      <c r="B25" t="s">
        <v>114</v>
      </c>
      <c r="C25" t="s">
        <v>144</v>
      </c>
      <c r="D25" t="s">
        <v>144</v>
      </c>
      <c r="E25" t="s">
        <v>64</v>
      </c>
      <c r="F25" t="s">
        <v>16866</v>
      </c>
      <c r="G25" t="s">
        <v>18046</v>
      </c>
      <c r="H25"/>
      <c r="I25" t="s">
        <v>18</v>
      </c>
      <c r="J25" t="s">
        <v>16867</v>
      </c>
      <c r="K25" t="s">
        <v>16868</v>
      </c>
      <c r="L25" t="s">
        <v>21</v>
      </c>
      <c r="M25" t="s">
        <v>19177</v>
      </c>
      <c r="N25" t="s">
        <v>300</v>
      </c>
      <c r="O25" t="s">
        <v>16373</v>
      </c>
      <c r="P25" t="s">
        <v>12</v>
      </c>
    </row>
    <row r="26">
      <c r="A26">
        <f>HYPERLINK("http://bombeiros.sp.gov.br/hidrantes/03individual/1442.html","1442")</f>
      </c>
      <c r="B26" t="s">
        <v>114</v>
      </c>
      <c r="C26" t="s">
        <v>144</v>
      </c>
      <c r="D26" t="s">
        <v>149</v>
      </c>
      <c r="E26" t="s">
        <v>15</v>
      </c>
      <c r="F26" t="s">
        <v>150</v>
      </c>
      <c r="G26" t="s">
        <v>18062</v>
      </c>
      <c r="H26"/>
      <c r="I26" t="s">
        <v>18</v>
      </c>
      <c r="J26" t="s">
        <v>152</v>
      </c>
      <c r="K26" t="s">
        <v>153</v>
      </c>
      <c r="L26" t="s">
        <v>21</v>
      </c>
      <c r="M26" t="s">
        <v>19177</v>
      </c>
      <c r="N26" t="s">
        <v>97</v>
      </c>
      <c r="O26" t="s">
        <v>937</v>
      </c>
      <c r="P26" t="s">
        <v>12</v>
      </c>
    </row>
    <row r="27">
      <c r="A27">
        <f>HYPERLINK("http://bombeiros.sp.gov.br/hidrantes/03individual/1447.html","1447")</f>
      </c>
      <c r="B27" t="s">
        <v>114</v>
      </c>
      <c r="C27" t="s">
        <v>144</v>
      </c>
      <c r="D27" t="s">
        <v>149</v>
      </c>
      <c r="E27" t="s">
        <v>15</v>
      </c>
      <c r="F27" t="s">
        <v>154</v>
      </c>
      <c r="G27" t="s">
        <v>18062</v>
      </c>
      <c r="H27"/>
      <c r="I27" t="s">
        <v>18</v>
      </c>
      <c r="J27" t="s">
        <v>156</v>
      </c>
      <c r="K27" t="s">
        <v>157</v>
      </c>
      <c r="L27" t="s">
        <v>21</v>
      </c>
      <c r="M27" t="s">
        <v>19177</v>
      </c>
      <c r="N27" t="s">
        <v>97</v>
      </c>
      <c r="O27" t="s">
        <v>937</v>
      </c>
      <c r="P27" t="s">
        <v>12</v>
      </c>
    </row>
    <row r="28">
      <c r="A28">
        <f>HYPERLINK("http://bombeiros.sp.gov.br/hidrantes/03individual/1594.html","1594")</f>
      </c>
      <c r="B28" t="s">
        <v>114</v>
      </c>
      <c r="C28" t="s">
        <v>144</v>
      </c>
      <c r="D28" t="s">
        <v>165</v>
      </c>
      <c r="E28" t="s">
        <v>15</v>
      </c>
      <c r="F28" t="s">
        <v>169</v>
      </c>
      <c r="G28" t="s">
        <v>18098</v>
      </c>
      <c r="H28"/>
      <c r="I28" t="s">
        <v>18</v>
      </c>
      <c r="J28" t="s">
        <v>170</v>
      </c>
      <c r="K28" t="s">
        <v>171</v>
      </c>
      <c r="L28" t="s">
        <v>21</v>
      </c>
      <c r="M28" t="s">
        <v>19177</v>
      </c>
      <c r="N28" t="s">
        <v>97</v>
      </c>
      <c r="O28" t="s">
        <v>937</v>
      </c>
      <c r="P28" t="s">
        <v>12</v>
      </c>
    </row>
    <row r="29">
      <c r="A29">
        <f>HYPERLINK("http://bombeiros.sp.gov.br/hidrantes/03individual/177.html","177")</f>
      </c>
      <c r="B29" t="s">
        <v>114</v>
      </c>
      <c r="C29" t="s">
        <v>172</v>
      </c>
      <c r="D29" t="s">
        <v>172</v>
      </c>
      <c r="E29" t="s">
        <v>64</v>
      </c>
      <c r="F29" t="s">
        <v>3490</v>
      </c>
      <c r="G29" t="s">
        <v>18145</v>
      </c>
      <c r="H29"/>
      <c r="I29" t="s">
        <v>18</v>
      </c>
      <c r="J29" t="s">
        <v>3491</v>
      </c>
      <c r="K29" t="s">
        <v>3492</v>
      </c>
      <c r="L29" t="s">
        <v>36</v>
      </c>
      <c r="M29" t="s">
        <v>19177</v>
      </c>
      <c r="N29" t="s">
        <v>97</v>
      </c>
      <c r="O29" t="s">
        <v>937</v>
      </c>
      <c r="P29" t="s">
        <v>12</v>
      </c>
    </row>
    <row r="30">
      <c r="A30">
        <f>HYPERLINK("http://bombeiros.sp.gov.br/hidrantes/03individual/255.html","255")</f>
      </c>
      <c r="B30" t="s">
        <v>114</v>
      </c>
      <c r="C30" t="s">
        <v>172</v>
      </c>
      <c r="D30" t="s">
        <v>173</v>
      </c>
      <c r="E30" t="s">
        <v>15</v>
      </c>
      <c r="F30" t="s">
        <v>3575</v>
      </c>
      <c r="G30" t="s">
        <v>18183</v>
      </c>
      <c r="H30"/>
      <c r="I30" t="s">
        <v>18</v>
      </c>
      <c r="J30" t="s">
        <v>3576</v>
      </c>
      <c r="K30" t="s">
        <v>3577</v>
      </c>
      <c r="L30" t="s">
        <v>21</v>
      </c>
      <c r="M30" t="s">
        <v>19177</v>
      </c>
      <c r="N30" t="s">
        <v>97</v>
      </c>
      <c r="O30" t="s">
        <v>937</v>
      </c>
      <c r="P30" t="s">
        <v>12</v>
      </c>
    </row>
    <row r="31">
      <c r="A31">
        <f>HYPERLINK("http://bombeiros.sp.gov.br/hidrantes/03individual/256.html","256")</f>
      </c>
      <c r="B31" t="s">
        <v>114</v>
      </c>
      <c r="C31" t="s">
        <v>172</v>
      </c>
      <c r="D31" t="s">
        <v>173</v>
      </c>
      <c r="E31" t="s">
        <v>15</v>
      </c>
      <c r="F31" t="s">
        <v>3578</v>
      </c>
      <c r="G31" t="s">
        <v>18183</v>
      </c>
      <c r="H31"/>
      <c r="I31" t="s">
        <v>18</v>
      </c>
      <c r="J31" t="s">
        <v>3579</v>
      </c>
      <c r="K31" t="s">
        <v>3580</v>
      </c>
      <c r="L31" t="s">
        <v>36</v>
      </c>
      <c r="M31" t="s">
        <v>19177</v>
      </c>
      <c r="N31" t="s">
        <v>97</v>
      </c>
      <c r="O31" t="s">
        <v>937</v>
      </c>
      <c r="P31" t="s">
        <v>12</v>
      </c>
    </row>
    <row r="32">
      <c r="A32">
        <f>HYPERLINK("http://bombeiros.sp.gov.br/hidrantes/03individual/2005.html","2005")</f>
      </c>
      <c r="B32" t="s">
        <v>114</v>
      </c>
      <c r="C32" t="s">
        <v>172</v>
      </c>
      <c r="D32" t="s">
        <v>186</v>
      </c>
      <c r="E32" t="s">
        <v>15</v>
      </c>
      <c r="F32" t="s">
        <v>187</v>
      </c>
      <c r="G32" t="s">
        <v>18048</v>
      </c>
      <c r="H32"/>
      <c r="I32" t="s">
        <v>18</v>
      </c>
      <c r="J32" t="s">
        <v>189</v>
      </c>
      <c r="K32" t="s">
        <v>190</v>
      </c>
      <c r="L32" t="s">
        <v>21</v>
      </c>
      <c r="M32" t="s">
        <v>19177</v>
      </c>
      <c r="N32" t="s">
        <v>97</v>
      </c>
      <c r="O32" t="s">
        <v>937</v>
      </c>
      <c r="P32" t="s">
        <v>12</v>
      </c>
    </row>
    <row r="33">
      <c r="A33">
        <f>HYPERLINK("http://bombeiros.sp.gov.br/hidrantes/03individual/215.html","215")</f>
      </c>
      <c r="B33" t="s">
        <v>114</v>
      </c>
      <c r="C33" t="s">
        <v>172</v>
      </c>
      <c r="D33" t="s">
        <v>191</v>
      </c>
      <c r="E33" t="s">
        <v>15</v>
      </c>
      <c r="F33" t="s">
        <v>3669</v>
      </c>
      <c r="G33" t="s">
        <v>18229</v>
      </c>
      <c r="H33"/>
      <c r="I33" t="s">
        <v>18</v>
      </c>
      <c r="J33" t="s">
        <v>3670</v>
      </c>
      <c r="K33" t="s">
        <v>3671</v>
      </c>
      <c r="L33" t="s">
        <v>21</v>
      </c>
      <c r="M33" t="s">
        <v>19177</v>
      </c>
      <c r="N33" t="s">
        <v>97</v>
      </c>
      <c r="O33" t="s">
        <v>937</v>
      </c>
      <c r="P33" t="s">
        <v>12</v>
      </c>
    </row>
    <row r="34">
      <c r="A34">
        <f>HYPERLINK("http://bombeiros.sp.gov.br/hidrantes/03individual/773.html","773")</f>
      </c>
      <c r="B34" t="s">
        <v>114</v>
      </c>
      <c r="C34" t="s">
        <v>172</v>
      </c>
      <c r="D34" t="s">
        <v>191</v>
      </c>
      <c r="E34" t="s">
        <v>15</v>
      </c>
      <c r="F34" t="s">
        <v>3684</v>
      </c>
      <c r="G34" t="s">
        <v>18050</v>
      </c>
      <c r="H34"/>
      <c r="I34" t="s">
        <v>18</v>
      </c>
      <c r="J34" t="s">
        <v>3685</v>
      </c>
      <c r="K34" t="s">
        <v>3686</v>
      </c>
      <c r="L34" t="s">
        <v>21</v>
      </c>
      <c r="M34" t="s">
        <v>19177</v>
      </c>
      <c r="N34" t="s">
        <v>97</v>
      </c>
      <c r="O34" t="s">
        <v>937</v>
      </c>
      <c r="P34" t="s">
        <v>12</v>
      </c>
    </row>
    <row r="35">
      <c r="A35">
        <f>HYPERLINK("http://bombeiros.sp.gov.br/hidrantes/03individual/26656.html","26656")</f>
      </c>
      <c r="B35" t="s">
        <v>114</v>
      </c>
      <c r="C35" t="s">
        <v>172</v>
      </c>
      <c r="D35" t="s">
        <v>191</v>
      </c>
      <c r="E35" t="s">
        <v>15</v>
      </c>
      <c r="F35" t="s">
        <v>192</v>
      </c>
      <c r="G35" t="s">
        <v>17934</v>
      </c>
      <c r="H35"/>
      <c r="I35" t="s">
        <v>18</v>
      </c>
      <c r="J35" t="s">
        <v>193</v>
      </c>
      <c r="K35" t="s">
        <v>194</v>
      </c>
      <c r="L35" t="s">
        <v>21</v>
      </c>
      <c r="M35" t="s">
        <v>19177</v>
      </c>
      <c r="N35" t="s">
        <v>97</v>
      </c>
      <c r="O35" t="s">
        <v>937</v>
      </c>
      <c r="P35" t="s">
        <v>12</v>
      </c>
    </row>
    <row r="36">
      <c r="A36">
        <f>HYPERLINK("http://bombeiros.sp.gov.br/hidrantes/03individual/10055.html","10055")</f>
      </c>
      <c r="B36" t="s">
        <v>114</v>
      </c>
      <c r="C36" t="s">
        <v>195</v>
      </c>
      <c r="D36" t="s">
        <v>206</v>
      </c>
      <c r="E36" t="s">
        <v>1507</v>
      </c>
      <c r="F36" t="s">
        <v>3765</v>
      </c>
      <c r="G36" t="s">
        <v>18143</v>
      </c>
      <c r="H36"/>
      <c r="I36" t="s">
        <v>18</v>
      </c>
      <c r="J36" t="s">
        <v>3766</v>
      </c>
      <c r="K36" t="s">
        <v>3767</v>
      </c>
      <c r="L36" t="s">
        <v>21</v>
      </c>
      <c r="M36" t="s">
        <v>19177</v>
      </c>
      <c r="N36" t="s">
        <v>309</v>
      </c>
      <c r="O36" t="s">
        <v>6029</v>
      </c>
      <c r="P36" t="s">
        <v>114</v>
      </c>
    </row>
    <row r="37">
      <c r="A37">
        <f>HYPERLINK("http://bombeiros.sp.gov.br/hidrantes/03individual/2965.html","2965")</f>
      </c>
      <c r="B37" t="s">
        <v>114</v>
      </c>
      <c r="C37" t="s">
        <v>195</v>
      </c>
      <c r="D37" t="s">
        <v>206</v>
      </c>
      <c r="E37" t="s">
        <v>15</v>
      </c>
      <c r="F37" t="s">
        <v>207</v>
      </c>
      <c r="G37" t="s">
        <v>18143</v>
      </c>
      <c r="H37"/>
      <c r="I37" t="s">
        <v>18</v>
      </c>
      <c r="J37" t="s">
        <v>208</v>
      </c>
      <c r="K37" t="s">
        <v>209</v>
      </c>
      <c r="L37" t="s">
        <v>21</v>
      </c>
      <c r="M37" t="s">
        <v>19177</v>
      </c>
      <c r="N37" t="s">
        <v>309</v>
      </c>
      <c r="O37" t="s">
        <v>6029</v>
      </c>
      <c r="P37" t="s">
        <v>114</v>
      </c>
    </row>
    <row r="38">
      <c r="A38">
        <f>HYPERLINK("http://bombeiros.sp.gov.br/hidrantes/03individual/1666.html","1666")</f>
      </c>
      <c r="B38" t="s">
        <v>114</v>
      </c>
      <c r="C38" t="s">
        <v>210</v>
      </c>
      <c r="D38" t="s">
        <v>211</v>
      </c>
      <c r="E38" t="s">
        <v>15</v>
      </c>
      <c r="F38" t="s">
        <v>215</v>
      </c>
      <c r="G38" t="s">
        <v>18061</v>
      </c>
      <c r="H38"/>
      <c r="I38" t="s">
        <v>18</v>
      </c>
      <c r="J38" t="s">
        <v>216</v>
      </c>
      <c r="K38" t="s">
        <v>217</v>
      </c>
      <c r="L38" t="s">
        <v>21</v>
      </c>
      <c r="M38" t="s">
        <v>19177</v>
      </c>
      <c r="N38" t="s">
        <v>300</v>
      </c>
      <c r="O38" t="s">
        <v>16373</v>
      </c>
      <c r="P38" t="s">
        <v>12</v>
      </c>
    </row>
    <row r="39">
      <c r="A39">
        <f>HYPERLINK("http://bombeiros.sp.gov.br/hidrantes/03individual/3275.html","3275")</f>
      </c>
      <c r="B39" t="s">
        <v>114</v>
      </c>
      <c r="C39" t="s">
        <v>210</v>
      </c>
      <c r="D39" t="s">
        <v>211</v>
      </c>
      <c r="E39" t="s">
        <v>15</v>
      </c>
      <c r="F39" t="s">
        <v>218</v>
      </c>
      <c r="G39" t="s">
        <v>18094</v>
      </c>
      <c r="H39"/>
      <c r="I39" t="s">
        <v>18</v>
      </c>
      <c r="J39" t="s">
        <v>220</v>
      </c>
      <c r="K39" t="s">
        <v>221</v>
      </c>
      <c r="L39" t="s">
        <v>21</v>
      </c>
      <c r="M39" t="s">
        <v>19177</v>
      </c>
      <c r="N39" t="s">
        <v>300</v>
      </c>
      <c r="O39" t="s">
        <v>16373</v>
      </c>
      <c r="P39" t="s">
        <v>12</v>
      </c>
    </row>
    <row r="40">
      <c r="A40">
        <f>HYPERLINK("http://bombeiros.sp.gov.br/hidrantes/03individual/3041.html","3041")</f>
      </c>
      <c r="B40" t="s">
        <v>114</v>
      </c>
      <c r="C40" t="s">
        <v>222</v>
      </c>
      <c r="D40" t="s">
        <v>223</v>
      </c>
      <c r="E40" t="s">
        <v>64</v>
      </c>
      <c r="F40" t="s">
        <v>224</v>
      </c>
      <c r="G40" t="s">
        <v>18533</v>
      </c>
      <c r="H40"/>
      <c r="I40" t="s">
        <v>18</v>
      </c>
      <c r="J40" t="s">
        <v>226</v>
      </c>
      <c r="K40" t="s">
        <v>227</v>
      </c>
      <c r="L40" t="s">
        <v>36</v>
      </c>
      <c r="M40" t="s">
        <v>19177</v>
      </c>
      <c r="N40" t="s">
        <v>16374</v>
      </c>
      <c r="O40" t="s">
        <v>272</v>
      </c>
      <c r="P40" t="s">
        <v>114</v>
      </c>
    </row>
    <row r="41">
      <c r="A41">
        <f>HYPERLINK("http://bombeiros.sp.gov.br/hidrantes/03individual/1873.html","1873")</f>
      </c>
      <c r="B41" t="s">
        <v>114</v>
      </c>
      <c r="C41" t="s">
        <v>222</v>
      </c>
      <c r="D41" t="s">
        <v>223</v>
      </c>
      <c r="E41" t="s">
        <v>15</v>
      </c>
      <c r="F41" t="s">
        <v>228</v>
      </c>
      <c r="G41" t="s">
        <v>18564</v>
      </c>
      <c r="H41"/>
      <c r="I41" t="s">
        <v>18</v>
      </c>
      <c r="J41" t="s">
        <v>229</v>
      </c>
      <c r="K41" t="s">
        <v>230</v>
      </c>
      <c r="L41" t="s">
        <v>21</v>
      </c>
      <c r="M41" t="s">
        <v>19177</v>
      </c>
      <c r="N41" t="s">
        <v>16374</v>
      </c>
      <c r="O41" t="s">
        <v>272</v>
      </c>
      <c r="P41" t="s">
        <v>114</v>
      </c>
    </row>
    <row r="42">
      <c r="A42">
        <f>HYPERLINK("http://bombeiros.sp.gov.br/hidrantes/03individual/4164.html","4164")</f>
      </c>
      <c r="B42" t="s">
        <v>114</v>
      </c>
      <c r="C42" t="s">
        <v>222</v>
      </c>
      <c r="D42" t="s">
        <v>223</v>
      </c>
      <c r="E42" t="s">
        <v>15</v>
      </c>
      <c r="F42" t="s">
        <v>4035</v>
      </c>
      <c r="G42" t="s">
        <v>18098</v>
      </c>
      <c r="H42"/>
      <c r="I42" t="s">
        <v>18</v>
      </c>
      <c r="J42" t="s">
        <v>4036</v>
      </c>
      <c r="K42" t="s">
        <v>4037</v>
      </c>
      <c r="L42" t="s">
        <v>21</v>
      </c>
      <c r="M42" t="s">
        <v>19177</v>
      </c>
      <c r="N42" t="s">
        <v>16374</v>
      </c>
      <c r="O42" t="s">
        <v>272</v>
      </c>
      <c r="P42" t="s">
        <v>114</v>
      </c>
    </row>
    <row r="43">
      <c r="A43">
        <f>HYPERLINK("http://bombeiros.sp.gov.br/hidrantes/03individual/2001.html","2001")</f>
      </c>
      <c r="B43" t="s">
        <v>114</v>
      </c>
      <c r="C43" t="s">
        <v>222</v>
      </c>
      <c r="D43" t="s">
        <v>238</v>
      </c>
      <c r="E43" t="s">
        <v>64</v>
      </c>
      <c r="F43" t="s">
        <v>239</v>
      </c>
      <c r="G43" t="s">
        <v>18539</v>
      </c>
      <c r="H43"/>
      <c r="I43" t="s">
        <v>18</v>
      </c>
      <c r="J43" t="s">
        <v>240</v>
      </c>
      <c r="K43" t="s">
        <v>241</v>
      </c>
      <c r="L43" t="s">
        <v>21</v>
      </c>
      <c r="M43" t="s">
        <v>19177</v>
      </c>
      <c r="N43" t="s">
        <v>272</v>
      </c>
      <c r="O43" t="s">
        <v>272</v>
      </c>
      <c r="P43" t="s">
        <v>114</v>
      </c>
    </row>
    <row r="44">
      <c r="A44">
        <f>HYPERLINK("http://bombeiros.sp.gov.br/hidrantes/03individual/852.html","852")</f>
      </c>
      <c r="B44" t="s">
        <v>114</v>
      </c>
      <c r="C44" t="s">
        <v>242</v>
      </c>
      <c r="D44" t="s">
        <v>242</v>
      </c>
      <c r="E44" t="s">
        <v>64</v>
      </c>
      <c r="F44" t="s">
        <v>243</v>
      </c>
      <c r="G44" t="s">
        <v>18043</v>
      </c>
      <c r="H44"/>
      <c r="I44" t="s">
        <v>18</v>
      </c>
      <c r="J44" t="s">
        <v>245</v>
      </c>
      <c r="K44" t="s">
        <v>246</v>
      </c>
      <c r="L44" t="s">
        <v>36</v>
      </c>
      <c r="M44" t="s">
        <v>19177</v>
      </c>
      <c r="N44" t="s">
        <v>272</v>
      </c>
      <c r="O44" t="s">
        <v>272</v>
      </c>
      <c r="P44" t="s">
        <v>114</v>
      </c>
    </row>
    <row r="45">
      <c r="A45">
        <f>HYPERLINK("http://bombeiros.sp.gov.br/hidrantes/03individual/3446.html","3446")</f>
      </c>
      <c r="B45" t="s">
        <v>114</v>
      </c>
      <c r="C45" t="s">
        <v>242</v>
      </c>
      <c r="D45" t="s">
        <v>242</v>
      </c>
      <c r="E45" t="s">
        <v>64</v>
      </c>
      <c r="F45" t="s">
        <v>4164</v>
      </c>
      <c r="G45" t="s">
        <v>18099</v>
      </c>
      <c r="H45"/>
      <c r="I45" t="s">
        <v>18</v>
      </c>
      <c r="J45" t="s">
        <v>4165</v>
      </c>
      <c r="K45" t="s">
        <v>4166</v>
      </c>
      <c r="L45" t="s">
        <v>21</v>
      </c>
      <c r="M45" t="s">
        <v>19177</v>
      </c>
      <c r="N45" t="s">
        <v>272</v>
      </c>
      <c r="O45" t="s">
        <v>272</v>
      </c>
      <c r="P45" t="s">
        <v>114</v>
      </c>
    </row>
    <row r="46">
      <c r="A46">
        <f>HYPERLINK("http://bombeiros.sp.gov.br/hidrantes/03individual/4312.html","4312")</f>
      </c>
      <c r="B46" t="s">
        <v>114</v>
      </c>
      <c r="C46" t="s">
        <v>242</v>
      </c>
      <c r="D46" t="s">
        <v>242</v>
      </c>
      <c r="E46" t="s">
        <v>64</v>
      </c>
      <c r="F46" t="s">
        <v>4182</v>
      </c>
      <c r="G46" t="s">
        <v>18105</v>
      </c>
      <c r="H46"/>
      <c r="I46" t="s">
        <v>18</v>
      </c>
      <c r="J46" t="s">
        <v>4183</v>
      </c>
      <c r="K46" t="s">
        <v>4184</v>
      </c>
      <c r="L46" t="s">
        <v>36</v>
      </c>
      <c r="M46" t="s">
        <v>19177</v>
      </c>
      <c r="N46" t="s">
        <v>272</v>
      </c>
      <c r="O46" t="s">
        <v>272</v>
      </c>
      <c r="P46" t="s">
        <v>114</v>
      </c>
    </row>
    <row r="47">
      <c r="A47">
        <f>HYPERLINK("http://bombeiros.sp.gov.br/hidrantes/03individual/17786.html","17786")</f>
      </c>
      <c r="B47" t="s">
        <v>114</v>
      </c>
      <c r="C47" t="s">
        <v>242</v>
      </c>
      <c r="D47" t="s">
        <v>242</v>
      </c>
      <c r="E47" t="s">
        <v>15</v>
      </c>
      <c r="F47" t="s">
        <v>4215</v>
      </c>
      <c r="G47" t="s">
        <v>18099</v>
      </c>
      <c r="H47"/>
      <c r="I47" t="s">
        <v>18</v>
      </c>
      <c r="J47" t="s">
        <v>4216</v>
      </c>
      <c r="K47" t="s">
        <v>4217</v>
      </c>
      <c r="L47" t="s">
        <v>21</v>
      </c>
      <c r="M47" t="s">
        <v>19177</v>
      </c>
      <c r="N47" t="s">
        <v>272</v>
      </c>
      <c r="O47" t="s">
        <v>272</v>
      </c>
      <c r="P47" t="s">
        <v>114</v>
      </c>
    </row>
    <row r="48">
      <c r="A48">
        <f>HYPERLINK("http://bombeiros.sp.gov.br/hidrantes/03individual/17873.html","17873")</f>
      </c>
      <c r="B48" t="s">
        <v>114</v>
      </c>
      <c r="C48" t="s">
        <v>242</v>
      </c>
      <c r="D48" t="s">
        <v>242</v>
      </c>
      <c r="E48" t="s">
        <v>15</v>
      </c>
      <c r="F48" t="s">
        <v>4218</v>
      </c>
      <c r="G48" t="s">
        <v>18055</v>
      </c>
      <c r="H48"/>
      <c r="I48" t="s">
        <v>18</v>
      </c>
      <c r="J48" t="s">
        <v>4219</v>
      </c>
      <c r="K48" t="s">
        <v>4220</v>
      </c>
      <c r="L48" t="s">
        <v>21</v>
      </c>
      <c r="M48" t="s">
        <v>19177</v>
      </c>
      <c r="N48" t="s">
        <v>272</v>
      </c>
      <c r="O48" t="s">
        <v>272</v>
      </c>
      <c r="P48" t="s">
        <v>114</v>
      </c>
    </row>
    <row r="49">
      <c r="A49">
        <f>HYPERLINK("http://bombeiros.sp.gov.br/hidrantes/03individual/28027.html","28027")</f>
      </c>
      <c r="B49" t="s">
        <v>114</v>
      </c>
      <c r="C49" t="s">
        <v>242</v>
      </c>
      <c r="D49" t="s">
        <v>242</v>
      </c>
      <c r="E49" t="s">
        <v>15</v>
      </c>
      <c r="F49" t="s">
        <v>18230</v>
      </c>
      <c r="G49" t="s">
        <v>18055</v>
      </c>
      <c r="H49"/>
      <c r="I49" t="s">
        <v>18</v>
      </c>
      <c r="J49" t="s">
        <v>18231</v>
      </c>
      <c r="K49" t="s">
        <v>18232</v>
      </c>
      <c r="L49" t="s">
        <v>21</v>
      </c>
      <c r="M49" t="s">
        <v>19177</v>
      </c>
      <c r="N49" t="s">
        <v>272</v>
      </c>
      <c r="O49" t="s">
        <v>272</v>
      </c>
      <c r="P49" t="s">
        <v>114</v>
      </c>
    </row>
    <row r="50">
      <c r="A50">
        <f>HYPERLINK("http://bombeiros.sp.gov.br/hidrantes/03individual/3907.html","3907")</f>
      </c>
      <c r="B50" t="s">
        <v>114</v>
      </c>
      <c r="C50" t="s">
        <v>255</v>
      </c>
      <c r="D50" t="s">
        <v>256</v>
      </c>
      <c r="E50" t="s">
        <v>64</v>
      </c>
      <c r="F50" t="s">
        <v>4435</v>
      </c>
      <c r="G50" t="s">
        <v>18097</v>
      </c>
      <c r="H50"/>
      <c r="I50" t="s">
        <v>18</v>
      </c>
      <c r="J50" t="s">
        <v>4436</v>
      </c>
      <c r="K50" t="s">
        <v>4437</v>
      </c>
      <c r="L50" t="s">
        <v>21</v>
      </c>
      <c r="M50" t="s">
        <v>19177</v>
      </c>
      <c r="N50" t="s">
        <v>337</v>
      </c>
      <c r="O50" t="s">
        <v>337</v>
      </c>
      <c r="P50" t="s">
        <v>12</v>
      </c>
    </row>
    <row r="51">
      <c r="A51">
        <f>HYPERLINK("http://bombeiros.sp.gov.br/hidrantes/03individual/2059.html","2059")</f>
      </c>
      <c r="B51" t="s">
        <v>114</v>
      </c>
      <c r="C51" t="s">
        <v>260</v>
      </c>
      <c r="D51" t="s">
        <v>261</v>
      </c>
      <c r="E51" t="s">
        <v>15</v>
      </c>
      <c r="F51" t="s">
        <v>262</v>
      </c>
      <c r="G51" t="s">
        <v>18553</v>
      </c>
      <c r="H51"/>
      <c r="I51" t="s">
        <v>18</v>
      </c>
      <c r="J51" t="s">
        <v>263</v>
      </c>
      <c r="K51" t="s">
        <v>264</v>
      </c>
      <c r="L51" t="s">
        <v>21</v>
      </c>
      <c r="M51" t="s">
        <v>19177</v>
      </c>
      <c r="N51" t="s">
        <v>6029</v>
      </c>
      <c r="O51" t="s">
        <v>6029</v>
      </c>
      <c r="P51" t="s">
        <v>114</v>
      </c>
    </row>
    <row r="52">
      <c r="A52">
        <f>HYPERLINK("http://bombeiros.sp.gov.br/hidrantes/03individual/2056.html","2056")</f>
      </c>
      <c r="B52" t="s">
        <v>114</v>
      </c>
      <c r="C52" t="s">
        <v>272</v>
      </c>
      <c r="D52" t="s">
        <v>272</v>
      </c>
      <c r="E52" t="s">
        <v>15</v>
      </c>
      <c r="F52" t="s">
        <v>273</v>
      </c>
      <c r="G52" t="s">
        <v>18483</v>
      </c>
      <c r="H52"/>
      <c r="I52" t="s">
        <v>18</v>
      </c>
      <c r="J52" t="s">
        <v>274</v>
      </c>
      <c r="K52" t="s">
        <v>275</v>
      </c>
      <c r="L52" t="s">
        <v>21</v>
      </c>
      <c r="M52" t="s">
        <v>19177</v>
      </c>
      <c r="N52" t="s">
        <v>272</v>
      </c>
      <c r="O52" t="s">
        <v>272</v>
      </c>
      <c r="P52" t="s">
        <v>114</v>
      </c>
    </row>
    <row r="53">
      <c r="A53">
        <f>HYPERLINK("http://bombeiros.sp.gov.br/hidrantes/03individual/2091.html","2091")</f>
      </c>
      <c r="B53" t="s">
        <v>114</v>
      </c>
      <c r="C53" t="s">
        <v>272</v>
      </c>
      <c r="D53" t="s">
        <v>272</v>
      </c>
      <c r="E53" t="s">
        <v>15</v>
      </c>
      <c r="F53" t="s">
        <v>4594</v>
      </c>
      <c r="G53" t="s">
        <v>18521</v>
      </c>
      <c r="H53"/>
      <c r="I53" t="s">
        <v>18</v>
      </c>
      <c r="J53" t="s">
        <v>4595</v>
      </c>
      <c r="K53" t="s">
        <v>4596</v>
      </c>
      <c r="L53" t="s">
        <v>21</v>
      </c>
      <c r="M53" t="s">
        <v>19177</v>
      </c>
      <c r="N53" t="s">
        <v>272</v>
      </c>
      <c r="O53" t="s">
        <v>272</v>
      </c>
      <c r="P53" t="s">
        <v>114</v>
      </c>
    </row>
    <row r="54">
      <c r="A54">
        <f>HYPERLINK("http://bombeiros.sp.gov.br/hidrantes/03individual/10056.html","10056")</f>
      </c>
      <c r="B54" t="s">
        <v>114</v>
      </c>
      <c r="C54" t="s">
        <v>4749</v>
      </c>
      <c r="D54" t="s">
        <v>4749</v>
      </c>
      <c r="E54" t="s">
        <v>1507</v>
      </c>
      <c r="F54" t="s">
        <v>4760</v>
      </c>
      <c r="G54" t="s">
        <v>18105</v>
      </c>
      <c r="H54"/>
      <c r="I54" t="s">
        <v>18</v>
      </c>
      <c r="J54" t="s">
        <v>19088</v>
      </c>
      <c r="K54" t="s">
        <v>19089</v>
      </c>
      <c r="L54" t="s">
        <v>21</v>
      </c>
      <c r="M54" t="s">
        <v>19177</v>
      </c>
      <c r="N54" t="s">
        <v>272</v>
      </c>
      <c r="O54" t="s">
        <v>272</v>
      </c>
      <c r="P54" t="s">
        <v>114</v>
      </c>
    </row>
    <row r="55">
      <c r="A55">
        <f>HYPERLINK("http://bombeiros.sp.gov.br/hidrantes/03individual/28028.html","28028")</f>
      </c>
      <c r="B55" t="s">
        <v>114</v>
      </c>
      <c r="C55" t="s">
        <v>4749</v>
      </c>
      <c r="D55" t="s">
        <v>4749</v>
      </c>
      <c r="E55" t="s">
        <v>15</v>
      </c>
      <c r="F55" t="s">
        <v>18233</v>
      </c>
      <c r="G55" t="s">
        <v>18094</v>
      </c>
      <c r="H55"/>
      <c r="I55" t="s">
        <v>18</v>
      </c>
      <c r="J55" t="s">
        <v>18234</v>
      </c>
      <c r="K55" t="s">
        <v>18235</v>
      </c>
      <c r="L55" t="s">
        <v>21</v>
      </c>
      <c r="M55" t="s">
        <v>19177</v>
      </c>
      <c r="N55" t="s">
        <v>272</v>
      </c>
      <c r="O55" t="s">
        <v>272</v>
      </c>
      <c r="P55" t="s">
        <v>114</v>
      </c>
    </row>
    <row r="56">
      <c r="A56">
        <f>HYPERLINK("http://bombeiros.sp.gov.br/hidrantes/03individual/1466.html","1466")</f>
      </c>
      <c r="B56" t="s">
        <v>114</v>
      </c>
      <c r="C56" t="s">
        <v>300</v>
      </c>
      <c r="D56" t="s">
        <v>300</v>
      </c>
      <c r="E56" t="s">
        <v>15</v>
      </c>
      <c r="F56" t="s">
        <v>4916</v>
      </c>
      <c r="G56" t="s">
        <v>18078</v>
      </c>
      <c r="H56"/>
      <c r="I56" t="s">
        <v>18</v>
      </c>
      <c r="J56" t="s">
        <v>4917</v>
      </c>
      <c r="K56" t="s">
        <v>4918</v>
      </c>
      <c r="L56" t="s">
        <v>21</v>
      </c>
      <c r="M56" t="s">
        <v>19177</v>
      </c>
      <c r="N56" t="s">
        <v>300</v>
      </c>
      <c r="O56" t="s">
        <v>16373</v>
      </c>
      <c r="P56" t="s">
        <v>12</v>
      </c>
    </row>
    <row r="57">
      <c r="A57">
        <f>HYPERLINK("http://bombeiros.sp.gov.br/hidrantes/03individual/27297.html","27297")</f>
      </c>
      <c r="B57" t="s">
        <v>114</v>
      </c>
      <c r="C57" t="s">
        <v>300</v>
      </c>
      <c r="D57" t="s">
        <v>4982</v>
      </c>
      <c r="E57" t="s">
        <v>15</v>
      </c>
      <c r="F57" t="s">
        <v>17075</v>
      </c>
      <c r="G57" t="s">
        <v>18133</v>
      </c>
      <c r="H57"/>
      <c r="I57" t="s">
        <v>18</v>
      </c>
      <c r="J57" t="s">
        <v>17076</v>
      </c>
      <c r="K57" t="s">
        <v>17077</v>
      </c>
      <c r="L57" t="s">
        <v>21</v>
      </c>
      <c r="M57" t="s">
        <v>19177</v>
      </c>
      <c r="N57" t="s">
        <v>300</v>
      </c>
      <c r="O57" t="s">
        <v>16373</v>
      </c>
      <c r="P57" t="s">
        <v>12</v>
      </c>
    </row>
    <row r="58">
      <c r="A58">
        <f>HYPERLINK("http://bombeiros.sp.gov.br/hidrantes/03individual/529.html","529")</f>
      </c>
      <c r="B58" t="s">
        <v>114</v>
      </c>
      <c r="C58" t="s">
        <v>304</v>
      </c>
      <c r="D58" t="s">
        <v>5087</v>
      </c>
      <c r="E58" t="s">
        <v>15</v>
      </c>
      <c r="F58" t="s">
        <v>5097</v>
      </c>
      <c r="G58" t="s">
        <v>18050</v>
      </c>
      <c r="H58"/>
      <c r="I58" t="s">
        <v>18</v>
      </c>
      <c r="J58" t="s">
        <v>5098</v>
      </c>
      <c r="K58" t="s">
        <v>5099</v>
      </c>
      <c r="L58" t="s">
        <v>21</v>
      </c>
      <c r="M58" t="s">
        <v>19177</v>
      </c>
      <c r="N58" t="s">
        <v>97</v>
      </c>
      <c r="O58" t="s">
        <v>937</v>
      </c>
      <c r="P58" t="s">
        <v>12</v>
      </c>
    </row>
    <row r="59">
      <c r="A59">
        <f>HYPERLINK("http://bombeiros.sp.gov.br/hidrantes/03individual/1331.html","1331")</f>
      </c>
      <c r="B59" t="s">
        <v>114</v>
      </c>
      <c r="C59" t="s">
        <v>309</v>
      </c>
      <c r="D59" t="s">
        <v>309</v>
      </c>
      <c r="E59" t="s">
        <v>64</v>
      </c>
      <c r="F59" t="s">
        <v>310</v>
      </c>
      <c r="G59" t="s">
        <v>18192</v>
      </c>
      <c r="H59"/>
      <c r="I59" t="s">
        <v>18</v>
      </c>
      <c r="J59" t="s">
        <v>312</v>
      </c>
      <c r="K59" t="s">
        <v>313</v>
      </c>
      <c r="L59" t="s">
        <v>36</v>
      </c>
      <c r="M59" t="s">
        <v>19177</v>
      </c>
      <c r="N59" t="s">
        <v>309</v>
      </c>
      <c r="O59" t="s">
        <v>6029</v>
      </c>
      <c r="P59" t="s">
        <v>114</v>
      </c>
    </row>
    <row r="60">
      <c r="A60">
        <f>HYPERLINK("http://bombeiros.sp.gov.br/hidrantes/03individual/3043.html","3043")</f>
      </c>
      <c r="B60" t="s">
        <v>114</v>
      </c>
      <c r="C60" t="s">
        <v>309</v>
      </c>
      <c r="D60" t="s">
        <v>314</v>
      </c>
      <c r="E60" t="s">
        <v>15</v>
      </c>
      <c r="F60" t="s">
        <v>5457</v>
      </c>
      <c r="G60" t="s">
        <v>18055</v>
      </c>
      <c r="H60"/>
      <c r="I60" t="s">
        <v>18</v>
      </c>
      <c r="J60" t="s">
        <v>5458</v>
      </c>
      <c r="K60" t="s">
        <v>5459</v>
      </c>
      <c r="L60" t="s">
        <v>21</v>
      </c>
      <c r="M60" t="s">
        <v>19177</v>
      </c>
      <c r="N60" t="s">
        <v>309</v>
      </c>
      <c r="O60" t="s">
        <v>6029</v>
      </c>
      <c r="P60" t="s">
        <v>114</v>
      </c>
    </row>
    <row r="61">
      <c r="A61">
        <f>HYPERLINK("http://bombeiros.sp.gov.br/hidrantes/03individual/1854.html","1854")</f>
      </c>
      <c r="B61" t="s">
        <v>114</v>
      </c>
      <c r="C61" t="s">
        <v>309</v>
      </c>
      <c r="D61" t="s">
        <v>5484</v>
      </c>
      <c r="E61" t="s">
        <v>15</v>
      </c>
      <c r="F61" t="s">
        <v>5521</v>
      </c>
      <c r="G61" t="s">
        <v>18057</v>
      </c>
      <c r="H61"/>
      <c r="I61" t="s">
        <v>18</v>
      </c>
      <c r="J61" t="s">
        <v>5522</v>
      </c>
      <c r="K61" t="s">
        <v>5523</v>
      </c>
      <c r="L61" t="s">
        <v>21</v>
      </c>
      <c r="M61" t="s">
        <v>19177</v>
      </c>
      <c r="N61" t="s">
        <v>16374</v>
      </c>
      <c r="O61" t="s">
        <v>272</v>
      </c>
      <c r="P61" t="s">
        <v>114</v>
      </c>
    </row>
    <row r="62">
      <c r="A62">
        <f>HYPERLINK("http://bombeiros.sp.gov.br/hidrantes/03individual/1921.html","1921")</f>
      </c>
      <c r="B62" t="s">
        <v>114</v>
      </c>
      <c r="C62" t="s">
        <v>318</v>
      </c>
      <c r="D62" t="s">
        <v>318</v>
      </c>
      <c r="E62" t="s">
        <v>15</v>
      </c>
      <c r="F62" t="s">
        <v>319</v>
      </c>
      <c r="G62" t="s">
        <v>18074</v>
      </c>
      <c r="H62"/>
      <c r="I62" t="s">
        <v>18</v>
      </c>
      <c r="J62" t="s">
        <v>320</v>
      </c>
      <c r="K62" t="s">
        <v>321</v>
      </c>
      <c r="L62" t="s">
        <v>21</v>
      </c>
      <c r="M62" t="s">
        <v>19177</v>
      </c>
      <c r="N62" t="s">
        <v>309</v>
      </c>
      <c r="O62" t="s">
        <v>6029</v>
      </c>
      <c r="P62" t="s">
        <v>114</v>
      </c>
    </row>
    <row r="63">
      <c r="A63">
        <f>HYPERLINK("http://bombeiros.sp.gov.br/hidrantes/03individual/3660.html","3660")</f>
      </c>
      <c r="B63" t="s">
        <v>114</v>
      </c>
      <c r="C63" t="s">
        <v>322</v>
      </c>
      <c r="D63" t="s">
        <v>323</v>
      </c>
      <c r="E63" t="s">
        <v>15</v>
      </c>
      <c r="F63" t="s">
        <v>330</v>
      </c>
      <c r="G63" t="s">
        <v>18089</v>
      </c>
      <c r="H63"/>
      <c r="I63" t="s">
        <v>18</v>
      </c>
      <c r="J63" t="s">
        <v>331</v>
      </c>
      <c r="K63" t="s">
        <v>332</v>
      </c>
      <c r="L63" t="s">
        <v>36</v>
      </c>
      <c r="M63" t="s">
        <v>19177</v>
      </c>
      <c r="N63" t="s">
        <v>300</v>
      </c>
      <c r="O63" t="s">
        <v>16373</v>
      </c>
      <c r="P63" t="s">
        <v>12</v>
      </c>
    </row>
    <row r="64">
      <c r="A64">
        <f>HYPERLINK("http://bombeiros.sp.gov.br/hidrantes/03individual/3064.html","3064")</f>
      </c>
      <c r="B64" t="s">
        <v>114</v>
      </c>
      <c r="C64" t="s">
        <v>322</v>
      </c>
      <c r="D64" t="s">
        <v>5775</v>
      </c>
      <c r="E64" t="s">
        <v>15</v>
      </c>
      <c r="F64" t="s">
        <v>5806</v>
      </c>
      <c r="G64" t="s">
        <v>18430</v>
      </c>
      <c r="H64"/>
      <c r="I64" t="s">
        <v>18</v>
      </c>
      <c r="J64" t="s">
        <v>5807</v>
      </c>
      <c r="K64" t="s">
        <v>5808</v>
      </c>
      <c r="L64" t="s">
        <v>21</v>
      </c>
      <c r="M64" t="s">
        <v>19177</v>
      </c>
      <c r="N64" t="s">
        <v>300</v>
      </c>
      <c r="O64" t="s">
        <v>16373</v>
      </c>
      <c r="P64" t="s">
        <v>12</v>
      </c>
    </row>
    <row r="65">
      <c r="A65">
        <f>HYPERLINK("http://bombeiros.sp.gov.br/hidrantes/03individual/3062.html","3062")</f>
      </c>
      <c r="B65" t="s">
        <v>114</v>
      </c>
      <c r="C65" t="s">
        <v>322</v>
      </c>
      <c r="D65" t="s">
        <v>333</v>
      </c>
      <c r="E65" t="s">
        <v>15</v>
      </c>
      <c r="F65" t="s">
        <v>334</v>
      </c>
      <c r="G65" t="s">
        <v>18062</v>
      </c>
      <c r="H65"/>
      <c r="I65" t="s">
        <v>18</v>
      </c>
      <c r="J65" t="s">
        <v>335</v>
      </c>
      <c r="K65" t="s">
        <v>336</v>
      </c>
      <c r="L65" t="s">
        <v>21</v>
      </c>
      <c r="M65" t="s">
        <v>19177</v>
      </c>
      <c r="N65" t="s">
        <v>300</v>
      </c>
      <c r="O65" t="s">
        <v>16373</v>
      </c>
      <c r="P65" t="s">
        <v>12</v>
      </c>
    </row>
    <row r="66">
      <c r="A66">
        <f>HYPERLINK("http://bombeiros.sp.gov.br/hidrantes/03individual/1982.html","1982")</f>
      </c>
      <c r="B66" t="s">
        <v>114</v>
      </c>
      <c r="C66" t="s">
        <v>337</v>
      </c>
      <c r="D66" t="s">
        <v>5839</v>
      </c>
      <c r="E66" t="s">
        <v>15</v>
      </c>
      <c r="F66" t="s">
        <v>5858</v>
      </c>
      <c r="G66" t="s">
        <v>18195</v>
      </c>
      <c r="H66"/>
      <c r="I66" t="s">
        <v>18</v>
      </c>
      <c r="J66" t="s">
        <v>5859</v>
      </c>
      <c r="K66" t="s">
        <v>5860</v>
      </c>
      <c r="L66" t="s">
        <v>21</v>
      </c>
      <c r="M66" t="s">
        <v>19177</v>
      </c>
      <c r="N66" t="s">
        <v>337</v>
      </c>
      <c r="O66" t="s">
        <v>337</v>
      </c>
      <c r="P66" t="s">
        <v>12</v>
      </c>
    </row>
    <row r="67">
      <c r="A67">
        <f>HYPERLINK("http://bombeiros.sp.gov.br/hidrantes/03individual/16653.html","16653")</f>
      </c>
      <c r="B67" t="s">
        <v>114</v>
      </c>
      <c r="C67" t="s">
        <v>337</v>
      </c>
      <c r="D67" t="s">
        <v>5839</v>
      </c>
      <c r="E67" t="s">
        <v>15</v>
      </c>
      <c r="F67" t="s">
        <v>5882</v>
      </c>
      <c r="G67" t="s">
        <v>18132</v>
      </c>
      <c r="H67"/>
      <c r="I67" t="s">
        <v>18</v>
      </c>
      <c r="J67" t="s">
        <v>5883</v>
      </c>
      <c r="K67" t="s">
        <v>5884</v>
      </c>
      <c r="L67" t="s">
        <v>21</v>
      </c>
      <c r="M67" t="s">
        <v>19177</v>
      </c>
      <c r="N67" t="s">
        <v>337</v>
      </c>
      <c r="O67" t="s">
        <v>337</v>
      </c>
      <c r="P67" t="s">
        <v>12</v>
      </c>
    </row>
    <row r="68">
      <c r="A68">
        <f>HYPERLINK("http://bombeiros.sp.gov.br/hidrantes/03individual/2040.html","2040")</f>
      </c>
      <c r="B68" t="s">
        <v>114</v>
      </c>
      <c r="C68" t="s">
        <v>337</v>
      </c>
      <c r="D68" t="s">
        <v>337</v>
      </c>
      <c r="E68" t="s">
        <v>15</v>
      </c>
      <c r="F68" t="s">
        <v>343</v>
      </c>
      <c r="G68" t="s">
        <v>18132</v>
      </c>
      <c r="H68"/>
      <c r="I68" t="s">
        <v>18</v>
      </c>
      <c r="J68" t="s">
        <v>345</v>
      </c>
      <c r="K68" t="s">
        <v>346</v>
      </c>
      <c r="L68" t="s">
        <v>21</v>
      </c>
      <c r="M68" t="s">
        <v>19177</v>
      </c>
      <c r="N68" t="s">
        <v>337</v>
      </c>
      <c r="O68" t="s">
        <v>337</v>
      </c>
      <c r="P68" t="s">
        <v>12</v>
      </c>
    </row>
    <row r="69">
      <c r="A69">
        <f>HYPERLINK("http://bombeiros.sp.gov.br/hidrantes/03individual/2034.html","2034")</f>
      </c>
      <c r="B69" t="s">
        <v>114</v>
      </c>
      <c r="C69" t="s">
        <v>347</v>
      </c>
      <c r="D69" t="s">
        <v>348</v>
      </c>
      <c r="E69" t="s">
        <v>15</v>
      </c>
      <c r="F69" t="s">
        <v>349</v>
      </c>
      <c r="G69" t="s">
        <v>18043</v>
      </c>
      <c r="H69"/>
      <c r="I69" t="s">
        <v>18</v>
      </c>
      <c r="J69" t="s">
        <v>350</v>
      </c>
      <c r="K69" t="s">
        <v>351</v>
      </c>
      <c r="L69" t="s">
        <v>21</v>
      </c>
      <c r="M69" t="s">
        <v>19177</v>
      </c>
      <c r="N69" t="s">
        <v>6029</v>
      </c>
      <c r="O69" t="s">
        <v>6029</v>
      </c>
      <c r="P69" t="s">
        <v>114</v>
      </c>
    </row>
    <row r="70">
      <c r="A70">
        <f>HYPERLINK("http://bombeiros.sp.gov.br/hidrantes/03individual/3440.html","3440")</f>
      </c>
      <c r="B70" t="s">
        <v>114</v>
      </c>
      <c r="C70" t="s">
        <v>347</v>
      </c>
      <c r="D70" t="s">
        <v>348</v>
      </c>
      <c r="E70" t="s">
        <v>15</v>
      </c>
      <c r="F70" t="s">
        <v>6005</v>
      </c>
      <c r="G70" t="s">
        <v>18092</v>
      </c>
      <c r="H70"/>
      <c r="I70" t="s">
        <v>18</v>
      </c>
      <c r="J70" t="s">
        <v>6006</v>
      </c>
      <c r="K70" t="s">
        <v>6007</v>
      </c>
      <c r="L70" t="s">
        <v>21</v>
      </c>
      <c r="M70" t="s">
        <v>19177</v>
      </c>
      <c r="N70" t="s">
        <v>6029</v>
      </c>
      <c r="O70" t="s">
        <v>6029</v>
      </c>
      <c r="P70" t="s">
        <v>114</v>
      </c>
    </row>
    <row r="71">
      <c r="A71">
        <f>HYPERLINK("http://bombeiros.sp.gov.br/hidrantes/03individual/4380.html","4380")</f>
      </c>
      <c r="B71" t="s">
        <v>114</v>
      </c>
      <c r="C71" t="s">
        <v>356</v>
      </c>
      <c r="D71" t="s">
        <v>357</v>
      </c>
      <c r="E71" t="s">
        <v>15</v>
      </c>
      <c r="F71" t="s">
        <v>358</v>
      </c>
      <c r="G71" t="s">
        <v>18074</v>
      </c>
      <c r="H71"/>
      <c r="I71" t="s">
        <v>18</v>
      </c>
      <c r="J71" t="s">
        <v>359</v>
      </c>
      <c r="K71" t="s">
        <v>360</v>
      </c>
      <c r="L71" t="s">
        <v>21</v>
      </c>
      <c r="M71" t="s">
        <v>19177</v>
      </c>
      <c r="N71" t="s">
        <v>337</v>
      </c>
      <c r="O71" t="s">
        <v>337</v>
      </c>
      <c r="P71" t="s">
        <v>12</v>
      </c>
    </row>
    <row r="72">
      <c r="A72">
        <f>HYPERLINK("http://bombeiros.sp.gov.br/hidrantes/03individual/3922.html","3922")</f>
      </c>
      <c r="B72" t="s">
        <v>114</v>
      </c>
      <c r="C72" t="s">
        <v>356</v>
      </c>
      <c r="D72" t="s">
        <v>361</v>
      </c>
      <c r="E72" t="s">
        <v>15</v>
      </c>
      <c r="F72" t="s">
        <v>362</v>
      </c>
      <c r="G72" t="s">
        <v>18063</v>
      </c>
      <c r="H72"/>
      <c r="I72" t="s">
        <v>18</v>
      </c>
      <c r="J72" t="s">
        <v>363</v>
      </c>
      <c r="K72" t="s">
        <v>364</v>
      </c>
      <c r="L72" t="s">
        <v>21</v>
      </c>
      <c r="M72" t="s">
        <v>19177</v>
      </c>
      <c r="N72" t="s">
        <v>337</v>
      </c>
      <c r="O72" t="s">
        <v>337</v>
      </c>
      <c r="P72" t="s">
        <v>12</v>
      </c>
    </row>
    <row r="73">
      <c r="A73">
        <f>HYPERLINK("http://bombeiros.sp.gov.br/hidrantes/03individual/3000.html","3000")</f>
      </c>
      <c r="B73" t="s">
        <v>114</v>
      </c>
      <c r="C73" t="s">
        <v>365</v>
      </c>
      <c r="D73" t="s">
        <v>366</v>
      </c>
      <c r="E73" t="s">
        <v>64</v>
      </c>
      <c r="F73" t="s">
        <v>6188</v>
      </c>
      <c r="G73" t="s">
        <v>18083</v>
      </c>
      <c r="H73"/>
      <c r="I73" t="s">
        <v>18</v>
      </c>
      <c r="J73" t="s">
        <v>6189</v>
      </c>
      <c r="K73" t="s">
        <v>6190</v>
      </c>
      <c r="L73" t="s">
        <v>21</v>
      </c>
      <c r="M73" t="s">
        <v>19177</v>
      </c>
      <c r="N73" t="s">
        <v>337</v>
      </c>
      <c r="O73" t="s">
        <v>337</v>
      </c>
      <c r="P73" t="s">
        <v>12</v>
      </c>
    </row>
    <row r="74">
      <c r="A74">
        <f>HYPERLINK("http://bombeiros.sp.gov.br/hidrantes/03individual/3148.html","3148")</f>
      </c>
      <c r="B74" t="s">
        <v>114</v>
      </c>
      <c r="C74" t="s">
        <v>374</v>
      </c>
      <c r="D74" t="s">
        <v>375</v>
      </c>
      <c r="E74" t="s">
        <v>15</v>
      </c>
      <c r="F74" t="s">
        <v>376</v>
      </c>
      <c r="G74" t="s">
        <v>18089</v>
      </c>
      <c r="H74"/>
      <c r="I74" t="s">
        <v>18</v>
      </c>
      <c r="J74" t="s">
        <v>378</v>
      </c>
      <c r="K74" t="s">
        <v>379</v>
      </c>
      <c r="L74" t="s">
        <v>21</v>
      </c>
      <c r="M74" t="s">
        <v>19177</v>
      </c>
      <c r="N74" t="s">
        <v>300</v>
      </c>
      <c r="O74" t="s">
        <v>16373</v>
      </c>
      <c r="P74" t="s">
        <v>12</v>
      </c>
    </row>
    <row r="75">
      <c r="A75">
        <f>HYPERLINK("http://bombeiros.sp.gov.br/hidrantes/03individual/1448.html","1448")</f>
      </c>
      <c r="B75" t="s">
        <v>114</v>
      </c>
      <c r="C75" t="s">
        <v>374</v>
      </c>
      <c r="D75" t="s">
        <v>380</v>
      </c>
      <c r="E75" t="s">
        <v>15</v>
      </c>
      <c r="F75" t="s">
        <v>381</v>
      </c>
      <c r="G75" t="s">
        <v>18098</v>
      </c>
      <c r="H75"/>
      <c r="I75" t="s">
        <v>18</v>
      </c>
      <c r="J75" t="s">
        <v>382</v>
      </c>
      <c r="K75" t="s">
        <v>383</v>
      </c>
      <c r="L75" t="s">
        <v>21</v>
      </c>
      <c r="M75" t="s">
        <v>19177</v>
      </c>
      <c r="N75" t="s">
        <v>300</v>
      </c>
      <c r="O75" t="s">
        <v>16373</v>
      </c>
      <c r="P75" t="s">
        <v>12</v>
      </c>
    </row>
    <row r="76">
      <c r="A76">
        <f>HYPERLINK("http://bombeiros.sp.gov.br/hidrantes/03individual/1449.html","1449")</f>
      </c>
      <c r="B76" t="s">
        <v>114</v>
      </c>
      <c r="C76" t="s">
        <v>374</v>
      </c>
      <c r="D76" t="s">
        <v>380</v>
      </c>
      <c r="E76" t="s">
        <v>15</v>
      </c>
      <c r="F76" t="s">
        <v>384</v>
      </c>
      <c r="G76" t="s">
        <v>18098</v>
      </c>
      <c r="H76"/>
      <c r="I76" t="s">
        <v>18</v>
      </c>
      <c r="J76" t="s">
        <v>386</v>
      </c>
      <c r="K76" t="s">
        <v>387</v>
      </c>
      <c r="L76" t="s">
        <v>21</v>
      </c>
      <c r="M76" t="s">
        <v>19177</v>
      </c>
      <c r="N76" t="s">
        <v>300</v>
      </c>
      <c r="O76" t="s">
        <v>16373</v>
      </c>
      <c r="P76" t="s">
        <v>12</v>
      </c>
    </row>
    <row r="77">
      <c r="A77">
        <f>HYPERLINK("http://bombeiros.sp.gov.br/hidrantes/03individual/3351.html","3351")</f>
      </c>
      <c r="B77" t="s">
        <v>114</v>
      </c>
      <c r="C77" t="s">
        <v>374</v>
      </c>
      <c r="D77" t="s">
        <v>380</v>
      </c>
      <c r="E77" t="s">
        <v>15</v>
      </c>
      <c r="F77" t="s">
        <v>6400</v>
      </c>
      <c r="G77" t="s">
        <v>18042</v>
      </c>
      <c r="H77"/>
      <c r="I77" t="s">
        <v>18</v>
      </c>
      <c r="J77" t="s">
        <v>6401</v>
      </c>
      <c r="K77" t="s">
        <v>6402</v>
      </c>
      <c r="L77" t="s">
        <v>21</v>
      </c>
      <c r="M77" t="s">
        <v>19177</v>
      </c>
      <c r="N77" t="s">
        <v>300</v>
      </c>
      <c r="O77" t="s">
        <v>16373</v>
      </c>
      <c r="P77" t="s">
        <v>12</v>
      </c>
    </row>
    <row r="78">
      <c r="A78">
        <f>HYPERLINK("http://bombeiros.sp.gov.br/hidrantes/03individual/1019.html","1019")</f>
      </c>
      <c r="B78" t="s">
        <v>114</v>
      </c>
      <c r="C78" t="s">
        <v>333</v>
      </c>
      <c r="D78" t="s">
        <v>407</v>
      </c>
      <c r="E78" t="s">
        <v>64</v>
      </c>
      <c r="F78" t="s">
        <v>6584</v>
      </c>
      <c r="G78" t="s">
        <v>18089</v>
      </c>
      <c r="H78"/>
      <c r="I78" t="s">
        <v>18</v>
      </c>
      <c r="J78" t="s">
        <v>16169</v>
      </c>
      <c r="K78" t="s">
        <v>16170</v>
      </c>
      <c r="L78" t="s">
        <v>21</v>
      </c>
      <c r="M78" t="s">
        <v>19177</v>
      </c>
      <c r="N78" t="s">
        <v>300</v>
      </c>
      <c r="O78" t="s">
        <v>16373</v>
      </c>
      <c r="P78" t="s">
        <v>12</v>
      </c>
    </row>
    <row r="79">
      <c r="A79">
        <f>HYPERLINK("http://bombeiros.sp.gov.br/hidrantes/03individual/3329.html","3329")</f>
      </c>
      <c r="B79" t="s">
        <v>114</v>
      </c>
      <c r="C79" t="s">
        <v>333</v>
      </c>
      <c r="D79" t="s">
        <v>407</v>
      </c>
      <c r="E79" t="s">
        <v>15</v>
      </c>
      <c r="F79" t="s">
        <v>414</v>
      </c>
      <c r="G79" t="s">
        <v>18075</v>
      </c>
      <c r="H79"/>
      <c r="I79" t="s">
        <v>18</v>
      </c>
      <c r="J79" t="s">
        <v>415</v>
      </c>
      <c r="K79" t="s">
        <v>416</v>
      </c>
      <c r="L79" t="s">
        <v>21</v>
      </c>
      <c r="M79" t="s">
        <v>19177</v>
      </c>
      <c r="N79" t="s">
        <v>300</v>
      </c>
      <c r="O79" t="s">
        <v>16373</v>
      </c>
      <c r="P79" t="s">
        <v>12</v>
      </c>
    </row>
    <row r="80">
      <c r="A80">
        <f>HYPERLINK("http://bombeiros.sp.gov.br/hidrantes/03individual/4307.html","4307")</f>
      </c>
      <c r="B80" t="s">
        <v>114</v>
      </c>
      <c r="C80" t="s">
        <v>333</v>
      </c>
      <c r="D80" t="s">
        <v>333</v>
      </c>
      <c r="E80" t="s">
        <v>15</v>
      </c>
      <c r="F80" t="s">
        <v>417</v>
      </c>
      <c r="G80" t="s">
        <v>18430</v>
      </c>
      <c r="H80"/>
      <c r="I80" t="s">
        <v>18</v>
      </c>
      <c r="J80" t="s">
        <v>419</v>
      </c>
      <c r="K80" t="s">
        <v>420</v>
      </c>
      <c r="L80" t="s">
        <v>21</v>
      </c>
      <c r="M80" t="s">
        <v>19177</v>
      </c>
      <c r="N80" t="s">
        <v>300</v>
      </c>
      <c r="O80" t="s">
        <v>16373</v>
      </c>
      <c r="P80" t="s">
        <v>12</v>
      </c>
    </row>
    <row r="81">
      <c r="A81">
        <f>HYPERLINK("http://bombeiros.sp.gov.br/hidrantes/03individual/1987.html","1987")</f>
      </c>
      <c r="B81" t="s">
        <v>114</v>
      </c>
      <c r="C81" t="s">
        <v>421</v>
      </c>
      <c r="D81" t="s">
        <v>421</v>
      </c>
      <c r="E81" t="s">
        <v>15</v>
      </c>
      <c r="F81" t="s">
        <v>429</v>
      </c>
      <c r="G81" t="s">
        <v>18069</v>
      </c>
      <c r="H81"/>
      <c r="I81" t="s">
        <v>18</v>
      </c>
      <c r="J81" t="s">
        <v>430</v>
      </c>
      <c r="K81" t="s">
        <v>431</v>
      </c>
      <c r="L81" t="s">
        <v>21</v>
      </c>
      <c r="M81" t="s">
        <v>19177</v>
      </c>
      <c r="N81" t="s">
        <v>6029</v>
      </c>
      <c r="O81" t="s">
        <v>6029</v>
      </c>
      <c r="P81" t="s">
        <v>114</v>
      </c>
    </row>
    <row r="82">
      <c r="A82">
        <f>HYPERLINK("http://bombeiros.sp.gov.br/hidrantes/03individual/4415.html","4415")</f>
      </c>
      <c r="B82" t="s">
        <v>114</v>
      </c>
      <c r="C82" t="s">
        <v>421</v>
      </c>
      <c r="D82" t="s">
        <v>421</v>
      </c>
      <c r="E82" t="s">
        <v>15</v>
      </c>
      <c r="F82" t="s">
        <v>432</v>
      </c>
      <c r="G82" t="s">
        <v>18099</v>
      </c>
      <c r="H82"/>
      <c r="I82" t="s">
        <v>18</v>
      </c>
      <c r="J82" t="s">
        <v>433</v>
      </c>
      <c r="K82" t="s">
        <v>434</v>
      </c>
      <c r="L82" t="s">
        <v>21</v>
      </c>
      <c r="M82" t="s">
        <v>19177</v>
      </c>
      <c r="N82" t="s">
        <v>6029</v>
      </c>
      <c r="O82" t="s">
        <v>6029</v>
      </c>
      <c r="P82" t="s">
        <v>114</v>
      </c>
    </row>
    <row r="83">
      <c r="A83">
        <f>HYPERLINK("http://bombeiros.sp.gov.br/hidrantes/03individual/3219.html","3219")</f>
      </c>
      <c r="B83" t="s">
        <v>114</v>
      </c>
      <c r="C83" t="s">
        <v>435</v>
      </c>
      <c r="D83" t="s">
        <v>6846</v>
      </c>
      <c r="E83" t="s">
        <v>15</v>
      </c>
      <c r="F83" t="s">
        <v>6907</v>
      </c>
      <c r="G83" t="s">
        <v>18217</v>
      </c>
      <c r="H83"/>
      <c r="I83" t="s">
        <v>18</v>
      </c>
      <c r="J83" t="s">
        <v>6908</v>
      </c>
      <c r="K83" t="s">
        <v>6909</v>
      </c>
      <c r="L83" t="s">
        <v>21</v>
      </c>
      <c r="M83" t="s">
        <v>19177</v>
      </c>
      <c r="N83" t="s">
        <v>16374</v>
      </c>
      <c r="O83" t="s">
        <v>272</v>
      </c>
      <c r="P83" t="s">
        <v>114</v>
      </c>
    </row>
    <row r="84">
      <c r="A84">
        <f>HYPERLINK("http://bombeiros.sp.gov.br/hidrantes/03individual/280.html","280")</f>
      </c>
      <c r="B84" t="s">
        <v>114</v>
      </c>
      <c r="C84" t="s">
        <v>440</v>
      </c>
      <c r="D84" t="s">
        <v>441</v>
      </c>
      <c r="E84" t="s">
        <v>15</v>
      </c>
      <c r="F84" t="s">
        <v>442</v>
      </c>
      <c r="G84" t="s">
        <v>18046</v>
      </c>
      <c r="H84"/>
      <c r="I84" t="s">
        <v>18</v>
      </c>
      <c r="J84" t="s">
        <v>443</v>
      </c>
      <c r="K84" t="s">
        <v>444</v>
      </c>
      <c r="L84" t="s">
        <v>21</v>
      </c>
      <c r="M84" t="s">
        <v>19177</v>
      </c>
      <c r="N84" t="s">
        <v>300</v>
      </c>
      <c r="O84" t="s">
        <v>16373</v>
      </c>
      <c r="P84" t="s">
        <v>12</v>
      </c>
    </row>
    <row r="85">
      <c r="A85">
        <f>HYPERLINK("http://bombeiros.sp.gov.br/hidrantes/03individual/16643.html","16643")</f>
      </c>
      <c r="B85" t="s">
        <v>114</v>
      </c>
      <c r="C85" t="s">
        <v>440</v>
      </c>
      <c r="D85" t="s">
        <v>441</v>
      </c>
      <c r="E85" t="s">
        <v>15</v>
      </c>
      <c r="F85" t="s">
        <v>445</v>
      </c>
      <c r="G85" t="s">
        <v>18130</v>
      </c>
      <c r="H85"/>
      <c r="I85" t="s">
        <v>18</v>
      </c>
      <c r="J85" t="s">
        <v>447</v>
      </c>
      <c r="K85" t="s">
        <v>448</v>
      </c>
      <c r="L85" t="s">
        <v>21</v>
      </c>
      <c r="M85" t="s">
        <v>19177</v>
      </c>
      <c r="N85" t="s">
        <v>300</v>
      </c>
      <c r="O85" t="s">
        <v>16373</v>
      </c>
      <c r="P85" t="s">
        <v>12</v>
      </c>
    </row>
    <row r="86">
      <c r="A86">
        <f>HYPERLINK("http://bombeiros.sp.gov.br/hidrantes/03individual/24148.html","24148")</f>
      </c>
      <c r="B86" t="s">
        <v>114</v>
      </c>
      <c r="C86" t="s">
        <v>440</v>
      </c>
      <c r="D86" t="s">
        <v>449</v>
      </c>
      <c r="E86" t="s">
        <v>15</v>
      </c>
      <c r="F86" t="s">
        <v>450</v>
      </c>
      <c r="G86" t="s">
        <v>18145</v>
      </c>
      <c r="H86"/>
      <c r="I86" t="s">
        <v>18</v>
      </c>
      <c r="J86" t="s">
        <v>452</v>
      </c>
      <c r="K86" t="s">
        <v>453</v>
      </c>
      <c r="L86" t="s">
        <v>21</v>
      </c>
      <c r="M86" t="s">
        <v>19177</v>
      </c>
      <c r="N86" t="s">
        <v>300</v>
      </c>
      <c r="O86" t="s">
        <v>16373</v>
      </c>
      <c r="P86" t="s">
        <v>12</v>
      </c>
    </row>
    <row r="87">
      <c r="A87">
        <f>HYPERLINK("http://bombeiros.sp.gov.br/hidrantes/03individual/3754.html","3754")</f>
      </c>
      <c r="B87" t="s">
        <v>454</v>
      </c>
      <c r="C87" t="s">
        <v>460</v>
      </c>
      <c r="D87" t="s">
        <v>460</v>
      </c>
      <c r="E87" t="s">
        <v>15</v>
      </c>
      <c r="F87" t="s">
        <v>7376</v>
      </c>
      <c r="G87" t="s">
        <v>18218</v>
      </c>
      <c r="H87"/>
      <c r="I87" t="s">
        <v>18</v>
      </c>
      <c r="J87" t="s">
        <v>7377</v>
      </c>
      <c r="K87" t="s">
        <v>7378</v>
      </c>
      <c r="L87" t="s">
        <v>21</v>
      </c>
      <c r="M87" t="s">
        <v>19177</v>
      </c>
      <c r="N87" t="s">
        <v>478</v>
      </c>
      <c r="O87" t="s">
        <v>478</v>
      </c>
      <c r="P87" t="s">
        <v>454</v>
      </c>
    </row>
    <row r="88">
      <c r="A88">
        <f>HYPERLINK("http://bombeiros.sp.gov.br/hidrantes/03individual/1186.html","1186")</f>
      </c>
      <c r="B88" t="s">
        <v>454</v>
      </c>
      <c r="C88" t="s">
        <v>460</v>
      </c>
      <c r="D88" t="s">
        <v>7398</v>
      </c>
      <c r="E88" t="s">
        <v>15</v>
      </c>
      <c r="F88" t="s">
        <v>7402</v>
      </c>
      <c r="G88" t="s">
        <v>18048</v>
      </c>
      <c r="H88"/>
      <c r="I88" t="s">
        <v>18</v>
      </c>
      <c r="J88" t="s">
        <v>7403</v>
      </c>
      <c r="K88" t="s">
        <v>7404</v>
      </c>
      <c r="L88" t="s">
        <v>21</v>
      </c>
      <c r="M88" t="s">
        <v>19177</v>
      </c>
      <c r="N88" t="s">
        <v>519</v>
      </c>
      <c r="O88" t="s">
        <v>519</v>
      </c>
      <c r="P88" t="s">
        <v>454</v>
      </c>
    </row>
    <row r="89">
      <c r="A89">
        <f>HYPERLINK("http://bombeiros.sp.gov.br/hidrantes/03individual/962.html","962")</f>
      </c>
      <c r="B89" t="s">
        <v>454</v>
      </c>
      <c r="C89" t="s">
        <v>465</v>
      </c>
      <c r="D89" t="s">
        <v>465</v>
      </c>
      <c r="E89" t="s">
        <v>15</v>
      </c>
      <c r="F89" t="s">
        <v>466</v>
      </c>
      <c r="G89" t="s">
        <v>18072</v>
      </c>
      <c r="H89"/>
      <c r="I89" t="s">
        <v>18</v>
      </c>
      <c r="J89" t="s">
        <v>467</v>
      </c>
      <c r="K89" t="s">
        <v>468</v>
      </c>
      <c r="L89" t="s">
        <v>21</v>
      </c>
      <c r="M89" t="s">
        <v>19177</v>
      </c>
      <c r="N89" t="s">
        <v>478</v>
      </c>
      <c r="O89" t="s">
        <v>478</v>
      </c>
      <c r="P89" t="s">
        <v>454</v>
      </c>
    </row>
    <row r="90">
      <c r="A90">
        <f>HYPERLINK("http://bombeiros.sp.gov.br/hidrantes/03individual/1438.html","1438")</f>
      </c>
      <c r="B90" t="s">
        <v>454</v>
      </c>
      <c r="C90" t="s">
        <v>478</v>
      </c>
      <c r="D90" t="s">
        <v>478</v>
      </c>
      <c r="E90" t="s">
        <v>15</v>
      </c>
      <c r="F90" t="s">
        <v>479</v>
      </c>
      <c r="G90" t="s">
        <v>18042</v>
      </c>
      <c r="H90"/>
      <c r="I90" t="s">
        <v>18</v>
      </c>
      <c r="J90" t="s">
        <v>481</v>
      </c>
      <c r="K90" t="s">
        <v>482</v>
      </c>
      <c r="L90" t="s">
        <v>21</v>
      </c>
      <c r="M90" t="s">
        <v>19177</v>
      </c>
      <c r="N90" t="s">
        <v>478</v>
      </c>
      <c r="O90" t="s">
        <v>478</v>
      </c>
      <c r="P90" t="s">
        <v>454</v>
      </c>
    </row>
    <row r="91">
      <c r="A91">
        <f>HYPERLINK("http://bombeiros.sp.gov.br/hidrantes/03individual/26792.html","26792")</f>
      </c>
      <c r="B91" t="s">
        <v>454</v>
      </c>
      <c r="C91" t="s">
        <v>478</v>
      </c>
      <c r="D91" t="s">
        <v>7708</v>
      </c>
      <c r="E91" t="s">
        <v>15</v>
      </c>
      <c r="F91" t="s">
        <v>15827</v>
      </c>
      <c r="G91" t="s">
        <v>18113</v>
      </c>
      <c r="H91"/>
      <c r="I91" t="s">
        <v>18</v>
      </c>
      <c r="J91" t="s">
        <v>15828</v>
      </c>
      <c r="K91" t="s">
        <v>15829</v>
      </c>
      <c r="L91" t="s">
        <v>21</v>
      </c>
      <c r="M91" t="s">
        <v>19177</v>
      </c>
      <c r="N91" t="s">
        <v>478</v>
      </c>
      <c r="O91" t="s">
        <v>478</v>
      </c>
      <c r="P91" t="s">
        <v>454</v>
      </c>
    </row>
    <row r="92">
      <c r="A92">
        <f>HYPERLINK("http://bombeiros.sp.gov.br/hidrantes/03individual/16596.html","16596")</f>
      </c>
      <c r="B92" t="s">
        <v>454</v>
      </c>
      <c r="C92" t="s">
        <v>478</v>
      </c>
      <c r="D92" t="s">
        <v>483</v>
      </c>
      <c r="E92" t="s">
        <v>64</v>
      </c>
      <c r="F92" t="s">
        <v>484</v>
      </c>
      <c r="G92" t="s">
        <v>18109</v>
      </c>
      <c r="H92"/>
      <c r="I92" t="s">
        <v>18</v>
      </c>
      <c r="J92" t="s">
        <v>485</v>
      </c>
      <c r="K92" t="s">
        <v>486</v>
      </c>
      <c r="L92" t="s">
        <v>21</v>
      </c>
      <c r="M92" t="s">
        <v>19177</v>
      </c>
      <c r="N92" t="s">
        <v>478</v>
      </c>
      <c r="O92" t="s">
        <v>478</v>
      </c>
      <c r="P92" t="s">
        <v>454</v>
      </c>
    </row>
    <row r="93">
      <c r="A93">
        <f>HYPERLINK("http://bombeiros.sp.gov.br/hidrantes/03individual/756.html","756")</f>
      </c>
      <c r="B93" t="s">
        <v>454</v>
      </c>
      <c r="C93" t="s">
        <v>490</v>
      </c>
      <c r="D93" t="s">
        <v>490</v>
      </c>
      <c r="E93" t="s">
        <v>15</v>
      </c>
      <c r="F93" t="s">
        <v>502</v>
      </c>
      <c r="G93" t="s">
        <v>18066</v>
      </c>
      <c r="H93"/>
      <c r="I93" t="s">
        <v>18</v>
      </c>
      <c r="J93" t="s">
        <v>504</v>
      </c>
      <c r="K93" t="s">
        <v>505</v>
      </c>
      <c r="L93" t="s">
        <v>21</v>
      </c>
      <c r="M93" t="s">
        <v>19177</v>
      </c>
      <c r="N93" t="s">
        <v>594</v>
      </c>
      <c r="O93" t="s">
        <v>531</v>
      </c>
      <c r="P93" t="s">
        <v>454</v>
      </c>
    </row>
    <row r="94">
      <c r="A94">
        <f>HYPERLINK("http://bombeiros.sp.gov.br/hidrantes/03individual/570.html","570")</f>
      </c>
      <c r="B94" t="s">
        <v>454</v>
      </c>
      <c r="C94" t="s">
        <v>490</v>
      </c>
      <c r="D94" t="s">
        <v>506</v>
      </c>
      <c r="E94" t="s">
        <v>15</v>
      </c>
      <c r="F94" t="s">
        <v>507</v>
      </c>
      <c r="G94" t="s">
        <v>18076</v>
      </c>
      <c r="H94"/>
      <c r="I94" t="s">
        <v>18</v>
      </c>
      <c r="J94" t="s">
        <v>508</v>
      </c>
      <c r="K94" t="s">
        <v>509</v>
      </c>
      <c r="L94" t="s">
        <v>21</v>
      </c>
      <c r="M94" t="s">
        <v>19177</v>
      </c>
      <c r="N94" t="s">
        <v>594</v>
      </c>
      <c r="O94" t="s">
        <v>531</v>
      </c>
      <c r="P94" t="s">
        <v>454</v>
      </c>
    </row>
    <row r="95">
      <c r="A95">
        <f>HYPERLINK("http://bombeiros.sp.gov.br/hidrantes/03individual/1009.html","1009")</f>
      </c>
      <c r="B95" t="s">
        <v>454</v>
      </c>
      <c r="C95" t="s">
        <v>8036</v>
      </c>
      <c r="D95" t="s">
        <v>8036</v>
      </c>
      <c r="E95" t="s">
        <v>15</v>
      </c>
      <c r="F95" t="s">
        <v>8068</v>
      </c>
      <c r="G95" t="s">
        <v>18072</v>
      </c>
      <c r="H95"/>
      <c r="I95" t="s">
        <v>18</v>
      </c>
      <c r="J95" t="s">
        <v>8069</v>
      </c>
      <c r="K95" t="s">
        <v>8070</v>
      </c>
      <c r="L95" t="s">
        <v>36</v>
      </c>
      <c r="M95" t="s">
        <v>19177</v>
      </c>
      <c r="N95" t="s">
        <v>531</v>
      </c>
      <c r="O95" t="s">
        <v>531</v>
      </c>
      <c r="P95" t="s">
        <v>454</v>
      </c>
    </row>
    <row r="96">
      <c r="A96">
        <f>HYPERLINK("http://bombeiros.sp.gov.br/hidrantes/03individual/3559.html","3559")</f>
      </c>
      <c r="B96" t="s">
        <v>454</v>
      </c>
      <c r="C96" t="s">
        <v>531</v>
      </c>
      <c r="D96" t="s">
        <v>549</v>
      </c>
      <c r="E96" t="s">
        <v>15</v>
      </c>
      <c r="F96" t="s">
        <v>550</v>
      </c>
      <c r="G96" t="s">
        <v>18184</v>
      </c>
      <c r="H96"/>
      <c r="I96" t="s">
        <v>18</v>
      </c>
      <c r="J96" t="s">
        <v>551</v>
      </c>
      <c r="K96" t="s">
        <v>552</v>
      </c>
      <c r="L96" t="s">
        <v>36</v>
      </c>
      <c r="M96" t="s">
        <v>19177</v>
      </c>
      <c r="N96" t="s">
        <v>531</v>
      </c>
      <c r="O96" t="s">
        <v>531</v>
      </c>
      <c r="P96" t="s">
        <v>454</v>
      </c>
    </row>
    <row r="97">
      <c r="A97">
        <f>HYPERLINK("http://bombeiros.sp.gov.br/hidrantes/03individual/879.html","879")</f>
      </c>
      <c r="B97" t="s">
        <v>454</v>
      </c>
      <c r="C97" t="s">
        <v>570</v>
      </c>
      <c r="D97" t="s">
        <v>581</v>
      </c>
      <c r="E97" t="s">
        <v>15</v>
      </c>
      <c r="F97" t="s">
        <v>585</v>
      </c>
      <c r="G97" t="s">
        <v>18125</v>
      </c>
      <c r="H97"/>
      <c r="I97" t="s">
        <v>18</v>
      </c>
      <c r="J97" t="s">
        <v>586</v>
      </c>
      <c r="K97" t="s">
        <v>587</v>
      </c>
      <c r="L97" t="s">
        <v>21</v>
      </c>
      <c r="M97" t="s">
        <v>19177</v>
      </c>
      <c r="N97" t="s">
        <v>531</v>
      </c>
      <c r="O97" t="s">
        <v>531</v>
      </c>
      <c r="P97" t="s">
        <v>454</v>
      </c>
    </row>
    <row r="98">
      <c r="A98">
        <f>HYPERLINK("http://bombeiros.sp.gov.br/hidrantes/03individual/828.html","828")</f>
      </c>
      <c r="B98" t="s">
        <v>454</v>
      </c>
      <c r="C98" t="s">
        <v>594</v>
      </c>
      <c r="D98" t="s">
        <v>600</v>
      </c>
      <c r="E98" t="s">
        <v>64</v>
      </c>
      <c r="F98" t="s">
        <v>601</v>
      </c>
      <c r="G98" t="s">
        <v>18051</v>
      </c>
      <c r="H98"/>
      <c r="I98" t="s">
        <v>18</v>
      </c>
      <c r="J98" t="s">
        <v>602</v>
      </c>
      <c r="K98" t="s">
        <v>603</v>
      </c>
      <c r="L98" t="s">
        <v>36</v>
      </c>
      <c r="M98" t="s">
        <v>19177</v>
      </c>
      <c r="N98" t="s">
        <v>594</v>
      </c>
      <c r="O98" t="s">
        <v>531</v>
      </c>
      <c r="P98" t="s">
        <v>454</v>
      </c>
    </row>
    <row r="99">
      <c r="A99">
        <f>HYPERLINK("http://bombeiros.sp.gov.br/hidrantes/03individual/3276.html","3276")</f>
      </c>
      <c r="B99" t="s">
        <v>454</v>
      </c>
      <c r="C99" t="s">
        <v>594</v>
      </c>
      <c r="D99" t="s">
        <v>600</v>
      </c>
      <c r="E99" t="s">
        <v>15</v>
      </c>
      <c r="F99" t="s">
        <v>9333</v>
      </c>
      <c r="G99" t="s">
        <v>18076</v>
      </c>
      <c r="H99"/>
      <c r="I99" t="s">
        <v>18</v>
      </c>
      <c r="J99" t="s">
        <v>9334</v>
      </c>
      <c r="K99" t="s">
        <v>9335</v>
      </c>
      <c r="L99" t="s">
        <v>21</v>
      </c>
      <c r="M99" t="s">
        <v>19177</v>
      </c>
      <c r="N99" t="s">
        <v>594</v>
      </c>
      <c r="O99" t="s">
        <v>531</v>
      </c>
      <c r="P99" t="s">
        <v>454</v>
      </c>
    </row>
    <row r="100">
      <c r="A100">
        <f>HYPERLINK("http://bombeiros.sp.gov.br/hidrantes/03individual/26298.html","26298")</f>
      </c>
      <c r="B100" t="s">
        <v>454</v>
      </c>
      <c r="C100" t="s">
        <v>594</v>
      </c>
      <c r="D100" t="s">
        <v>594</v>
      </c>
      <c r="E100" t="s">
        <v>64</v>
      </c>
      <c r="F100" t="s">
        <v>9364</v>
      </c>
      <c r="G100" t="s">
        <v>18484</v>
      </c>
      <c r="H100"/>
      <c r="I100" t="s">
        <v>18</v>
      </c>
      <c r="J100" t="s">
        <v>9365</v>
      </c>
      <c r="K100" t="s">
        <v>9366</v>
      </c>
      <c r="L100" t="s">
        <v>21</v>
      </c>
      <c r="M100" t="s">
        <v>19177</v>
      </c>
      <c r="N100" t="s">
        <v>594</v>
      </c>
      <c r="O100" t="s">
        <v>531</v>
      </c>
      <c r="P100" t="s">
        <v>454</v>
      </c>
    </row>
    <row r="101">
      <c r="A101">
        <f>HYPERLINK("http://bombeiros.sp.gov.br/hidrantes/03individual/753.html","753")</f>
      </c>
      <c r="B101" t="s">
        <v>454</v>
      </c>
      <c r="C101" t="s">
        <v>594</v>
      </c>
      <c r="D101" t="s">
        <v>594</v>
      </c>
      <c r="E101" t="s">
        <v>15</v>
      </c>
      <c r="F101" t="s">
        <v>9415</v>
      </c>
      <c r="G101" t="s">
        <v>18103</v>
      </c>
      <c r="H101"/>
      <c r="I101" t="s">
        <v>18</v>
      </c>
      <c r="J101" t="s">
        <v>15877</v>
      </c>
      <c r="K101" t="s">
        <v>15878</v>
      </c>
      <c r="L101" t="s">
        <v>21</v>
      </c>
      <c r="M101" t="s">
        <v>19177</v>
      </c>
      <c r="N101" t="s">
        <v>594</v>
      </c>
      <c r="O101" t="s">
        <v>531</v>
      </c>
      <c r="P101" t="s">
        <v>454</v>
      </c>
    </row>
    <row r="102">
      <c r="A102">
        <f>HYPERLINK("http://bombeiros.sp.gov.br/hidrantes/03individual/1041.html","1041")</f>
      </c>
      <c r="B102" t="s">
        <v>454</v>
      </c>
      <c r="C102" t="s">
        <v>594</v>
      </c>
      <c r="D102" t="s">
        <v>594</v>
      </c>
      <c r="E102" t="s">
        <v>15</v>
      </c>
      <c r="F102" t="s">
        <v>9427</v>
      </c>
      <c r="G102" t="s">
        <v>18484</v>
      </c>
      <c r="H102"/>
      <c r="I102" t="s">
        <v>18</v>
      </c>
      <c r="J102" t="s">
        <v>9428</v>
      </c>
      <c r="K102" t="s">
        <v>9429</v>
      </c>
      <c r="L102" t="s">
        <v>21</v>
      </c>
      <c r="M102" t="s">
        <v>19177</v>
      </c>
      <c r="N102" t="s">
        <v>594</v>
      </c>
      <c r="O102" t="s">
        <v>531</v>
      </c>
      <c r="P102" t="s">
        <v>454</v>
      </c>
    </row>
    <row r="103">
      <c r="A103">
        <f>HYPERLINK("http://bombeiros.sp.gov.br/hidrantes/03individual/3083.html","3083")</f>
      </c>
      <c r="B103" t="s">
        <v>454</v>
      </c>
      <c r="C103" t="s">
        <v>594</v>
      </c>
      <c r="D103" t="s">
        <v>594</v>
      </c>
      <c r="E103" t="s">
        <v>15</v>
      </c>
      <c r="F103" t="s">
        <v>9442</v>
      </c>
      <c r="G103" t="s">
        <v>18484</v>
      </c>
      <c r="H103"/>
      <c r="I103" t="s">
        <v>18</v>
      </c>
      <c r="J103" t="s">
        <v>9443</v>
      </c>
      <c r="K103" t="s">
        <v>9444</v>
      </c>
      <c r="L103" t="s">
        <v>21</v>
      </c>
      <c r="M103" t="s">
        <v>19177</v>
      </c>
      <c r="N103" t="s">
        <v>594</v>
      </c>
      <c r="O103" t="s">
        <v>531</v>
      </c>
      <c r="P103" t="s">
        <v>454</v>
      </c>
    </row>
    <row r="104">
      <c r="A104">
        <f>HYPERLINK("http://bombeiros.sp.gov.br/hidrantes/03individual/718.html","718")</f>
      </c>
      <c r="B104" t="s">
        <v>454</v>
      </c>
      <c r="C104" t="s">
        <v>611</v>
      </c>
      <c r="D104" t="s">
        <v>612</v>
      </c>
      <c r="E104" t="s">
        <v>15</v>
      </c>
      <c r="F104" t="s">
        <v>613</v>
      </c>
      <c r="G104" t="s">
        <v>18076</v>
      </c>
      <c r="H104"/>
      <c r="I104" t="s">
        <v>18</v>
      </c>
      <c r="J104" t="s">
        <v>614</v>
      </c>
      <c r="K104" t="s">
        <v>615</v>
      </c>
      <c r="L104" t="s">
        <v>21</v>
      </c>
      <c r="M104" t="s">
        <v>19177</v>
      </c>
      <c r="N104" t="s">
        <v>594</v>
      </c>
      <c r="O104" t="s">
        <v>531</v>
      </c>
      <c r="P104" t="s">
        <v>454</v>
      </c>
    </row>
    <row r="105">
      <c r="A105">
        <f>HYPERLINK("http://bombeiros.sp.gov.br/hidrantes/03individual/3505.html","3505")</f>
      </c>
      <c r="B105" t="s">
        <v>454</v>
      </c>
      <c r="C105" t="s">
        <v>611</v>
      </c>
      <c r="D105" t="s">
        <v>612</v>
      </c>
      <c r="E105" t="s">
        <v>15</v>
      </c>
      <c r="F105" t="s">
        <v>616</v>
      </c>
      <c r="G105" t="s">
        <v>18073</v>
      </c>
      <c r="H105"/>
      <c r="I105" t="s">
        <v>18</v>
      </c>
      <c r="J105" t="s">
        <v>618</v>
      </c>
      <c r="K105" t="s">
        <v>619</v>
      </c>
      <c r="L105" t="s">
        <v>21</v>
      </c>
      <c r="M105" t="s">
        <v>19177</v>
      </c>
      <c r="N105" t="s">
        <v>594</v>
      </c>
      <c r="O105" t="s">
        <v>531</v>
      </c>
      <c r="P105" t="s">
        <v>454</v>
      </c>
    </row>
    <row r="106">
      <c r="A106">
        <f>HYPERLINK("http://bombeiros.sp.gov.br/hidrantes/03individual/28083.html","28083")</f>
      </c>
      <c r="B106" t="s">
        <v>623</v>
      </c>
      <c r="C106" t="s">
        <v>630</v>
      </c>
      <c r="D106" t="s">
        <v>635</v>
      </c>
      <c r="E106" t="s">
        <v>15</v>
      </c>
      <c r="F106" t="s">
        <v>18236</v>
      </c>
      <c r="G106" t="s">
        <v>18172</v>
      </c>
      <c r="H106"/>
      <c r="I106" t="s">
        <v>18</v>
      </c>
      <c r="J106" t="s">
        <v>18237</v>
      </c>
      <c r="K106" t="s">
        <v>18238</v>
      </c>
      <c r="L106" t="s">
        <v>21</v>
      </c>
      <c r="M106" t="s">
        <v>19177</v>
      </c>
      <c r="N106" t="s">
        <v>714</v>
      </c>
      <c r="O106" t="s">
        <v>10263</v>
      </c>
      <c r="P106" t="s">
        <v>12</v>
      </c>
    </row>
    <row r="107">
      <c r="A107">
        <f>HYPERLINK("http://bombeiros.sp.gov.br/hidrantes/03individual/17858.html","17858")</f>
      </c>
      <c r="B107" t="s">
        <v>623</v>
      </c>
      <c r="C107" t="s">
        <v>640</v>
      </c>
      <c r="D107" t="s">
        <v>660</v>
      </c>
      <c r="E107" t="s">
        <v>15</v>
      </c>
      <c r="F107" t="s">
        <v>9868</v>
      </c>
      <c r="G107" t="s">
        <v>18099</v>
      </c>
      <c r="H107"/>
      <c r="I107" t="s">
        <v>18</v>
      </c>
      <c r="J107" t="s">
        <v>9869</v>
      </c>
      <c r="K107" t="s">
        <v>9870</v>
      </c>
      <c r="L107" t="s">
        <v>21</v>
      </c>
      <c r="M107" t="s">
        <v>19177</v>
      </c>
      <c r="N107" t="s">
        <v>16375</v>
      </c>
      <c r="O107" t="s">
        <v>640</v>
      </c>
      <c r="P107" t="s">
        <v>623</v>
      </c>
    </row>
    <row r="108">
      <c r="A108">
        <f>HYPERLINK("http://bombeiros.sp.gov.br/hidrantes/03individual/6711.html","6711")</f>
      </c>
      <c r="B108" t="s">
        <v>623</v>
      </c>
      <c r="C108" t="s">
        <v>674</v>
      </c>
      <c r="D108" t="s">
        <v>683</v>
      </c>
      <c r="E108" t="s">
        <v>15</v>
      </c>
      <c r="F108" t="s">
        <v>684</v>
      </c>
      <c r="G108" t="s">
        <v>18209</v>
      </c>
      <c r="H108"/>
      <c r="I108" t="s">
        <v>18</v>
      </c>
      <c r="J108" t="s">
        <v>685</v>
      </c>
      <c r="K108" t="s">
        <v>686</v>
      </c>
      <c r="L108" t="s">
        <v>21</v>
      </c>
      <c r="M108" t="s">
        <v>19177</v>
      </c>
      <c r="N108" t="s">
        <v>1024</v>
      </c>
      <c r="O108" t="s">
        <v>1024</v>
      </c>
      <c r="P108" t="s">
        <v>842</v>
      </c>
    </row>
    <row r="109">
      <c r="A109">
        <f>HYPERLINK("http://bombeiros.sp.gov.br/hidrantes/03individual/17812.html","17812")</f>
      </c>
      <c r="B109" t="s">
        <v>623</v>
      </c>
      <c r="C109" t="s">
        <v>696</v>
      </c>
      <c r="D109" t="s">
        <v>696</v>
      </c>
      <c r="E109" t="s">
        <v>15</v>
      </c>
      <c r="F109" t="s">
        <v>10161</v>
      </c>
      <c r="G109" t="s">
        <v>18132</v>
      </c>
      <c r="H109"/>
      <c r="I109" t="s">
        <v>18</v>
      </c>
      <c r="J109" t="s">
        <v>17723</v>
      </c>
      <c r="K109" t="s">
        <v>17724</v>
      </c>
      <c r="L109" t="s">
        <v>21</v>
      </c>
      <c r="M109" t="s">
        <v>19177</v>
      </c>
      <c r="N109" t="s">
        <v>16375</v>
      </c>
      <c r="O109" t="s">
        <v>640</v>
      </c>
      <c r="P109" t="s">
        <v>623</v>
      </c>
    </row>
    <row r="110">
      <c r="A110">
        <f>HYPERLINK("http://bombeiros.sp.gov.br/hidrantes/03individual/17813.html","17813")</f>
      </c>
      <c r="B110" t="s">
        <v>623</v>
      </c>
      <c r="C110" t="s">
        <v>696</v>
      </c>
      <c r="D110" t="s">
        <v>704</v>
      </c>
      <c r="E110" t="s">
        <v>15</v>
      </c>
      <c r="F110" t="s">
        <v>10191</v>
      </c>
      <c r="G110" t="s">
        <v>18143</v>
      </c>
      <c r="H110"/>
      <c r="I110" t="s">
        <v>18</v>
      </c>
      <c r="J110" t="s">
        <v>10192</v>
      </c>
      <c r="K110" t="s">
        <v>10193</v>
      </c>
      <c r="L110" t="s">
        <v>21</v>
      </c>
      <c r="M110" t="s">
        <v>19177</v>
      </c>
      <c r="N110" t="s">
        <v>16375</v>
      </c>
      <c r="O110" t="s">
        <v>640</v>
      </c>
      <c r="P110" t="s">
        <v>623</v>
      </c>
    </row>
    <row r="111">
      <c r="A111">
        <f>HYPERLINK("http://bombeiros.sp.gov.br/hidrantes/03individual/4268.html","4268")</f>
      </c>
      <c r="B111" t="s">
        <v>623</v>
      </c>
      <c r="C111" t="s">
        <v>709</v>
      </c>
      <c r="D111" t="s">
        <v>710</v>
      </c>
      <c r="E111" t="s">
        <v>15</v>
      </c>
      <c r="F111" t="s">
        <v>711</v>
      </c>
      <c r="G111" t="s">
        <v>18193</v>
      </c>
      <c r="H111"/>
      <c r="I111" t="s">
        <v>18</v>
      </c>
      <c r="J111" t="s">
        <v>712</v>
      </c>
      <c r="K111" t="s">
        <v>713</v>
      </c>
      <c r="L111" t="s">
        <v>21</v>
      </c>
      <c r="M111" t="s">
        <v>19177</v>
      </c>
      <c r="N111" t="s">
        <v>714</v>
      </c>
      <c r="O111" t="s">
        <v>10263</v>
      </c>
      <c r="P111" t="s">
        <v>12</v>
      </c>
    </row>
    <row r="112">
      <c r="A112">
        <f>HYPERLINK("http://bombeiros.sp.gov.br/hidrantes/03individual/1474.html","1474")</f>
      </c>
      <c r="B112" t="s">
        <v>623</v>
      </c>
      <c r="C112" t="s">
        <v>714</v>
      </c>
      <c r="D112" t="s">
        <v>714</v>
      </c>
      <c r="E112" t="s">
        <v>15</v>
      </c>
      <c r="F112" t="s">
        <v>722</v>
      </c>
      <c r="G112" t="s">
        <v>18151</v>
      </c>
      <c r="H112"/>
      <c r="I112" t="s">
        <v>18</v>
      </c>
      <c r="J112" t="s">
        <v>723</v>
      </c>
      <c r="K112" t="s">
        <v>724</v>
      </c>
      <c r="L112" t="s">
        <v>21</v>
      </c>
      <c r="M112" t="s">
        <v>19177</v>
      </c>
      <c r="N112" t="s">
        <v>714</v>
      </c>
      <c r="O112" t="s">
        <v>10263</v>
      </c>
      <c r="P112" t="s">
        <v>12</v>
      </c>
    </row>
    <row r="113">
      <c r="A113">
        <f>HYPERLINK("http://bombeiros.sp.gov.br/hidrantes/03individual/2324.html","2324")</f>
      </c>
      <c r="B113" t="s">
        <v>623</v>
      </c>
      <c r="C113" t="s">
        <v>742</v>
      </c>
      <c r="D113" t="s">
        <v>742</v>
      </c>
      <c r="E113" t="s">
        <v>15</v>
      </c>
      <c r="F113" t="s">
        <v>10907</v>
      </c>
      <c r="G113" t="s">
        <v>18012</v>
      </c>
      <c r="H113"/>
      <c r="I113" t="s">
        <v>18</v>
      </c>
      <c r="J113" t="s">
        <v>10908</v>
      </c>
      <c r="K113" t="s">
        <v>10909</v>
      </c>
      <c r="L113" t="s">
        <v>21</v>
      </c>
      <c r="M113" t="s">
        <v>19177</v>
      </c>
      <c r="N113" t="s">
        <v>16375</v>
      </c>
      <c r="O113" t="s">
        <v>640</v>
      </c>
      <c r="P113" t="s">
        <v>623</v>
      </c>
    </row>
    <row r="114">
      <c r="A114">
        <f>HYPERLINK("http://bombeiros.sp.gov.br/hidrantes/03individual/2401.html","2401")</f>
      </c>
      <c r="B114" t="s">
        <v>623</v>
      </c>
      <c r="C114" t="s">
        <v>777</v>
      </c>
      <c r="D114" t="s">
        <v>783</v>
      </c>
      <c r="E114" t="s">
        <v>15</v>
      </c>
      <c r="F114" t="s">
        <v>784</v>
      </c>
      <c r="G114" t="s">
        <v>18085</v>
      </c>
      <c r="H114"/>
      <c r="I114" t="s">
        <v>18</v>
      </c>
      <c r="J114" t="s">
        <v>785</v>
      </c>
      <c r="K114" t="s">
        <v>786</v>
      </c>
      <c r="L114" t="s">
        <v>21</v>
      </c>
      <c r="M114" t="s">
        <v>19177</v>
      </c>
      <c r="N114" t="s">
        <v>714</v>
      </c>
      <c r="O114" t="s">
        <v>10263</v>
      </c>
      <c r="P114" t="s">
        <v>12</v>
      </c>
    </row>
    <row r="115">
      <c r="A115">
        <f>HYPERLINK("http://bombeiros.sp.gov.br/hidrantes/03individual/17716.html","17716")</f>
      </c>
      <c r="B115" t="s">
        <v>623</v>
      </c>
      <c r="C115" t="s">
        <v>777</v>
      </c>
      <c r="D115" t="s">
        <v>793</v>
      </c>
      <c r="E115" t="s">
        <v>15</v>
      </c>
      <c r="F115" t="s">
        <v>794</v>
      </c>
      <c r="G115" t="s">
        <v>18085</v>
      </c>
      <c r="H115"/>
      <c r="I115" t="s">
        <v>18</v>
      </c>
      <c r="J115" t="s">
        <v>16647</v>
      </c>
      <c r="K115" t="s">
        <v>16648</v>
      </c>
      <c r="L115" t="s">
        <v>21</v>
      </c>
      <c r="M115" t="s">
        <v>19177</v>
      </c>
      <c r="N115" t="s">
        <v>714</v>
      </c>
      <c r="O115" t="s">
        <v>10263</v>
      </c>
      <c r="P115" t="s">
        <v>12</v>
      </c>
    </row>
    <row r="116">
      <c r="A116">
        <f>HYPERLINK("http://bombeiros.sp.gov.br/hidrantes/03individual/27810.html","27810")</f>
      </c>
      <c r="B116" t="s">
        <v>623</v>
      </c>
      <c r="C116" t="s">
        <v>797</v>
      </c>
      <c r="D116" t="s">
        <v>797</v>
      </c>
      <c r="E116" t="s">
        <v>64</v>
      </c>
      <c r="F116" t="s">
        <v>17802</v>
      </c>
      <c r="G116" t="s">
        <v>18063</v>
      </c>
      <c r="H116"/>
      <c r="I116" t="s">
        <v>18</v>
      </c>
      <c r="J116" t="s">
        <v>17803</v>
      </c>
      <c r="K116" t="s">
        <v>17804</v>
      </c>
      <c r="L116" t="s">
        <v>21</v>
      </c>
      <c r="M116" t="s">
        <v>19177</v>
      </c>
      <c r="N116" t="s">
        <v>16375</v>
      </c>
      <c r="O116" t="s">
        <v>640</v>
      </c>
      <c r="P116" t="s">
        <v>623</v>
      </c>
    </row>
    <row r="117">
      <c r="A117">
        <f>HYPERLINK("http://bombeiros.sp.gov.br/hidrantes/03individual/4232.html","4232")</f>
      </c>
      <c r="B117" t="s">
        <v>623</v>
      </c>
      <c r="C117" t="s">
        <v>802</v>
      </c>
      <c r="D117" t="s">
        <v>803</v>
      </c>
      <c r="E117" t="s">
        <v>15</v>
      </c>
      <c r="F117" t="s">
        <v>11443</v>
      </c>
      <c r="G117" t="s">
        <v>18063</v>
      </c>
      <c r="H117"/>
      <c r="I117" t="s">
        <v>18</v>
      </c>
      <c r="J117" t="s">
        <v>11444</v>
      </c>
      <c r="K117" t="s">
        <v>11445</v>
      </c>
      <c r="L117" t="s">
        <v>21</v>
      </c>
      <c r="M117" t="s">
        <v>19177</v>
      </c>
      <c r="N117" t="s">
        <v>16375</v>
      </c>
      <c r="O117" t="s">
        <v>640</v>
      </c>
      <c r="P117" t="s">
        <v>623</v>
      </c>
    </row>
    <row r="118">
      <c r="A118">
        <f>HYPERLINK("http://bombeiros.sp.gov.br/hidrantes/03individual/17766.html","17766")</f>
      </c>
      <c r="B118" t="s">
        <v>623</v>
      </c>
      <c r="C118" t="s">
        <v>802</v>
      </c>
      <c r="D118" t="s">
        <v>803</v>
      </c>
      <c r="E118" t="s">
        <v>15</v>
      </c>
      <c r="F118" t="s">
        <v>11446</v>
      </c>
      <c r="G118" t="s">
        <v>18143</v>
      </c>
      <c r="H118"/>
      <c r="I118" t="s">
        <v>18</v>
      </c>
      <c r="J118" t="s">
        <v>11447</v>
      </c>
      <c r="K118" t="s">
        <v>11448</v>
      </c>
      <c r="L118" t="s">
        <v>21</v>
      </c>
      <c r="M118" t="s">
        <v>19177</v>
      </c>
      <c r="N118" t="s">
        <v>16375</v>
      </c>
      <c r="O118" t="s">
        <v>640</v>
      </c>
      <c r="P118" t="s">
        <v>623</v>
      </c>
    </row>
    <row r="119">
      <c r="A119">
        <f>HYPERLINK("http://bombeiros.sp.gov.br/hidrantes/03individual/6756.html","6756")</f>
      </c>
      <c r="B119" t="s">
        <v>623</v>
      </c>
      <c r="C119" t="s">
        <v>821</v>
      </c>
      <c r="D119" t="s">
        <v>822</v>
      </c>
      <c r="E119" t="s">
        <v>64</v>
      </c>
      <c r="F119" t="s">
        <v>11554</v>
      </c>
      <c r="G119" t="s">
        <v>18146</v>
      </c>
      <c r="H119"/>
      <c r="I119" t="s">
        <v>18</v>
      </c>
      <c r="J119" t="s">
        <v>11555</v>
      </c>
      <c r="K119" t="s">
        <v>11556</v>
      </c>
      <c r="L119" t="s">
        <v>21</v>
      </c>
      <c r="M119" t="s">
        <v>19177</v>
      </c>
      <c r="N119" t="s">
        <v>714</v>
      </c>
      <c r="O119" t="s">
        <v>10263</v>
      </c>
      <c r="P119" t="s">
        <v>12</v>
      </c>
    </row>
    <row r="120">
      <c r="A120">
        <f>HYPERLINK("http://bombeiros.sp.gov.br/hidrantes/03individual/6765.html","6765")</f>
      </c>
      <c r="B120" t="s">
        <v>623</v>
      </c>
      <c r="C120" t="s">
        <v>821</v>
      </c>
      <c r="D120" t="s">
        <v>822</v>
      </c>
      <c r="E120" t="s">
        <v>64</v>
      </c>
      <c r="F120" t="s">
        <v>11580</v>
      </c>
      <c r="G120" t="s">
        <v>17934</v>
      </c>
      <c r="H120"/>
      <c r="I120" t="s">
        <v>18</v>
      </c>
      <c r="J120" t="s">
        <v>11581</v>
      </c>
      <c r="K120" t="s">
        <v>11582</v>
      </c>
      <c r="L120" t="s">
        <v>21</v>
      </c>
      <c r="M120" t="s">
        <v>19177</v>
      </c>
      <c r="N120" t="s">
        <v>714</v>
      </c>
      <c r="O120" t="s">
        <v>10263</v>
      </c>
      <c r="P120" t="s">
        <v>12</v>
      </c>
    </row>
    <row r="121">
      <c r="A121">
        <f>HYPERLINK("http://bombeiros.sp.gov.br/hidrantes/03individual/1252.html","1252")</f>
      </c>
      <c r="B121" t="s">
        <v>623</v>
      </c>
      <c r="C121" t="s">
        <v>821</v>
      </c>
      <c r="D121" t="s">
        <v>11631</v>
      </c>
      <c r="E121" t="s">
        <v>15</v>
      </c>
      <c r="F121" t="s">
        <v>11638</v>
      </c>
      <c r="G121" t="s">
        <v>18143</v>
      </c>
      <c r="H121"/>
      <c r="I121" t="s">
        <v>18</v>
      </c>
      <c r="J121" t="s">
        <v>11639</v>
      </c>
      <c r="K121" t="s">
        <v>11640</v>
      </c>
      <c r="L121" t="s">
        <v>21</v>
      </c>
      <c r="M121" t="s">
        <v>19177</v>
      </c>
      <c r="N121" t="s">
        <v>714</v>
      </c>
      <c r="O121" t="s">
        <v>10263</v>
      </c>
      <c r="P121" t="s">
        <v>12</v>
      </c>
    </row>
    <row r="122">
      <c r="A122">
        <f>HYPERLINK("http://bombeiros.sp.gov.br/hidrantes/03individual/16595.html","16595")</f>
      </c>
      <c r="B122" t="s">
        <v>623</v>
      </c>
      <c r="C122" t="s">
        <v>821</v>
      </c>
      <c r="D122" t="s">
        <v>821</v>
      </c>
      <c r="E122" t="s">
        <v>15</v>
      </c>
      <c r="F122" t="s">
        <v>11671</v>
      </c>
      <c r="G122" t="s">
        <v>18110</v>
      </c>
      <c r="H122"/>
      <c r="I122" t="s">
        <v>18</v>
      </c>
      <c r="J122" t="s">
        <v>11672</v>
      </c>
      <c r="K122" t="s">
        <v>11673</v>
      </c>
      <c r="L122" t="s">
        <v>21</v>
      </c>
      <c r="M122" t="s">
        <v>19177</v>
      </c>
      <c r="N122" t="s">
        <v>714</v>
      </c>
      <c r="O122" t="s">
        <v>10263</v>
      </c>
      <c r="P122" t="s">
        <v>12</v>
      </c>
    </row>
    <row r="123">
      <c r="A123">
        <f>HYPERLINK("http://bombeiros.sp.gov.br/hidrantes/03individual/17807.html","17807")</f>
      </c>
      <c r="B123" t="s">
        <v>623</v>
      </c>
      <c r="C123" t="s">
        <v>831</v>
      </c>
      <c r="D123" t="s">
        <v>11682</v>
      </c>
      <c r="E123" t="s">
        <v>15</v>
      </c>
      <c r="F123" t="s">
        <v>11701</v>
      </c>
      <c r="G123" t="s">
        <v>18143</v>
      </c>
      <c r="H123"/>
      <c r="I123" t="s">
        <v>18</v>
      </c>
      <c r="J123" t="s">
        <v>11702</v>
      </c>
      <c r="K123" t="s">
        <v>11703</v>
      </c>
      <c r="L123" t="s">
        <v>21</v>
      </c>
      <c r="M123" t="s">
        <v>19177</v>
      </c>
      <c r="N123" t="s">
        <v>16375</v>
      </c>
      <c r="O123" t="s">
        <v>640</v>
      </c>
      <c r="P123" t="s">
        <v>623</v>
      </c>
    </row>
    <row r="124">
      <c r="A124">
        <f>HYPERLINK("http://bombeiros.sp.gov.br/hidrantes/03individual/27244.html","27244")</f>
      </c>
      <c r="B124" t="s">
        <v>842</v>
      </c>
      <c r="C124" t="s">
        <v>11956</v>
      </c>
      <c r="D124" t="s">
        <v>11990</v>
      </c>
      <c r="E124" t="s">
        <v>15</v>
      </c>
      <c r="F124" t="s">
        <v>16999</v>
      </c>
      <c r="G124" t="s">
        <v>18119</v>
      </c>
      <c r="H124"/>
      <c r="I124" t="s">
        <v>18</v>
      </c>
      <c r="J124" t="s">
        <v>17000</v>
      </c>
      <c r="K124" t="s">
        <v>17001</v>
      </c>
      <c r="L124" t="s">
        <v>21</v>
      </c>
      <c r="M124" t="s">
        <v>19177</v>
      </c>
      <c r="N124" t="s">
        <v>1024</v>
      </c>
      <c r="O124" t="s">
        <v>1024</v>
      </c>
      <c r="P124" t="s">
        <v>842</v>
      </c>
    </row>
    <row r="125">
      <c r="A125">
        <f>HYPERLINK("http://bombeiros.sp.gov.br/hidrantes/03individual/2480.html","2480")</f>
      </c>
      <c r="B125" t="s">
        <v>842</v>
      </c>
      <c r="C125" t="s">
        <v>870</v>
      </c>
      <c r="D125" t="s">
        <v>871</v>
      </c>
      <c r="E125" t="s">
        <v>15</v>
      </c>
      <c r="F125" t="s">
        <v>882</v>
      </c>
      <c r="G125" t="s">
        <v>17580</v>
      </c>
      <c r="H125"/>
      <c r="I125" t="s">
        <v>18</v>
      </c>
      <c r="J125" t="s">
        <v>883</v>
      </c>
      <c r="K125" t="s">
        <v>884</v>
      </c>
      <c r="L125" t="s">
        <v>21</v>
      </c>
      <c r="M125" t="s">
        <v>19177</v>
      </c>
      <c r="N125" t="s">
        <v>1024</v>
      </c>
      <c r="O125" t="s">
        <v>1024</v>
      </c>
      <c r="P125" t="s">
        <v>842</v>
      </c>
    </row>
    <row r="126">
      <c r="A126">
        <f>HYPERLINK("http://bombeiros.sp.gov.br/hidrantes/03individual/3775.html","3775")</f>
      </c>
      <c r="B126" t="s">
        <v>842</v>
      </c>
      <c r="C126" t="s">
        <v>870</v>
      </c>
      <c r="D126" t="s">
        <v>871</v>
      </c>
      <c r="E126" t="s">
        <v>15</v>
      </c>
      <c r="F126" t="s">
        <v>888</v>
      </c>
      <c r="G126" t="s">
        <v>18182</v>
      </c>
      <c r="H126"/>
      <c r="I126" t="s">
        <v>18</v>
      </c>
      <c r="J126" t="s">
        <v>889</v>
      </c>
      <c r="K126" t="s">
        <v>890</v>
      </c>
      <c r="L126" t="s">
        <v>21</v>
      </c>
      <c r="M126" t="s">
        <v>19177</v>
      </c>
      <c r="N126" t="s">
        <v>1024</v>
      </c>
      <c r="O126" t="s">
        <v>1024</v>
      </c>
      <c r="P126" t="s">
        <v>842</v>
      </c>
    </row>
    <row r="127">
      <c r="A127">
        <f>HYPERLINK("http://bombeiros.sp.gov.br/hidrantes/03individual/6744.html","6744")</f>
      </c>
      <c r="B127" t="s">
        <v>842</v>
      </c>
      <c r="C127" t="s">
        <v>907</v>
      </c>
      <c r="D127" t="s">
        <v>907</v>
      </c>
      <c r="E127" t="s">
        <v>64</v>
      </c>
      <c r="F127" t="s">
        <v>924</v>
      </c>
      <c r="G127" t="s">
        <v>18213</v>
      </c>
      <c r="H127"/>
      <c r="I127" t="s">
        <v>18</v>
      </c>
      <c r="J127" t="s">
        <v>926</v>
      </c>
      <c r="K127" t="s">
        <v>927</v>
      </c>
      <c r="L127" t="s">
        <v>21</v>
      </c>
      <c r="M127" t="s">
        <v>19177</v>
      </c>
      <c r="N127" t="s">
        <v>16376</v>
      </c>
      <c r="O127" t="s">
        <v>16376</v>
      </c>
      <c r="P127" t="s">
        <v>842</v>
      </c>
    </row>
    <row r="128">
      <c r="A128">
        <f>HYPERLINK("http://bombeiros.sp.gov.br/hidrantes/03individual/3841.html","3841")</f>
      </c>
      <c r="B128" t="s">
        <v>842</v>
      </c>
      <c r="C128" t="s">
        <v>964</v>
      </c>
      <c r="D128" t="s">
        <v>965</v>
      </c>
      <c r="E128" t="s">
        <v>15</v>
      </c>
      <c r="F128" t="s">
        <v>13113</v>
      </c>
      <c r="G128" t="s">
        <v>18041</v>
      </c>
      <c r="H128"/>
      <c r="I128" t="s">
        <v>18</v>
      </c>
      <c r="J128" t="s">
        <v>13114</v>
      </c>
      <c r="K128" t="s">
        <v>13115</v>
      </c>
      <c r="L128" t="s">
        <v>21</v>
      </c>
      <c r="M128" t="s">
        <v>19177</v>
      </c>
      <c r="N128" t="s">
        <v>1024</v>
      </c>
      <c r="O128" t="s">
        <v>1024</v>
      </c>
      <c r="P128" t="s">
        <v>842</v>
      </c>
    </row>
    <row r="129">
      <c r="A129">
        <f>HYPERLINK("http://bombeiros.sp.gov.br/hidrantes/03individual/3738.html","3738")</f>
      </c>
      <c r="B129" t="s">
        <v>842</v>
      </c>
      <c r="C129" t="s">
        <v>964</v>
      </c>
      <c r="D129" t="s">
        <v>13292</v>
      </c>
      <c r="E129" t="s">
        <v>15</v>
      </c>
      <c r="F129" t="s">
        <v>13329</v>
      </c>
      <c r="G129" t="s">
        <v>18239</v>
      </c>
      <c r="H129"/>
      <c r="I129" t="s">
        <v>18</v>
      </c>
      <c r="J129" t="s">
        <v>13330</v>
      </c>
      <c r="K129" t="s">
        <v>13331</v>
      </c>
      <c r="L129" t="s">
        <v>21</v>
      </c>
      <c r="M129" t="s">
        <v>19177</v>
      </c>
      <c r="N129" t="s">
        <v>1024</v>
      </c>
      <c r="O129" t="s">
        <v>1024</v>
      </c>
      <c r="P129" t="s">
        <v>842</v>
      </c>
    </row>
    <row r="130">
      <c r="A130">
        <f>HYPERLINK("http://bombeiros.sp.gov.br/hidrantes/03individual/334.html","334")</f>
      </c>
      <c r="B130" t="s">
        <v>842</v>
      </c>
      <c r="C130" t="s">
        <v>945</v>
      </c>
      <c r="D130" t="s">
        <v>13908</v>
      </c>
      <c r="E130" t="s">
        <v>15</v>
      </c>
      <c r="F130" t="s">
        <v>13924</v>
      </c>
      <c r="G130" t="s">
        <v>17411</v>
      </c>
      <c r="H130"/>
      <c r="I130" t="s">
        <v>18</v>
      </c>
      <c r="J130" t="s">
        <v>13925</v>
      </c>
      <c r="K130" t="s">
        <v>13926</v>
      </c>
      <c r="L130" t="s">
        <v>21</v>
      </c>
      <c r="M130" t="s">
        <v>19177</v>
      </c>
      <c r="N130" t="s">
        <v>97</v>
      </c>
      <c r="O130" t="s">
        <v>937</v>
      </c>
      <c r="P130" t="s">
        <v>12</v>
      </c>
    </row>
    <row r="131">
      <c r="A131">
        <f>HYPERLINK("http://bombeiros.sp.gov.br/hidrantes/03individual/3686.html","3686")</f>
      </c>
      <c r="B131" t="s">
        <v>842</v>
      </c>
      <c r="C131" t="s">
        <v>945</v>
      </c>
      <c r="D131" t="s">
        <v>13984</v>
      </c>
      <c r="E131" t="s">
        <v>64</v>
      </c>
      <c r="F131" t="s">
        <v>13991</v>
      </c>
      <c r="G131" t="s">
        <v>18171</v>
      </c>
      <c r="H131"/>
      <c r="I131" t="s">
        <v>18</v>
      </c>
      <c r="J131" t="s">
        <v>13992</v>
      </c>
      <c r="K131" t="s">
        <v>13993</v>
      </c>
      <c r="L131" t="s">
        <v>21</v>
      </c>
      <c r="M131" t="s">
        <v>19177</v>
      </c>
      <c r="N131" t="s">
        <v>97</v>
      </c>
      <c r="O131" t="s">
        <v>937</v>
      </c>
      <c r="P131" t="s">
        <v>12</v>
      </c>
    </row>
    <row r="132">
      <c r="A132">
        <f>HYPERLINK("http://bombeiros.sp.gov.br/hidrantes/03individual/418.html","418")</f>
      </c>
      <c r="B132" t="s">
        <v>842</v>
      </c>
      <c r="C132" t="s">
        <v>1065</v>
      </c>
      <c r="D132" t="s">
        <v>1066</v>
      </c>
      <c r="E132" t="s">
        <v>15</v>
      </c>
      <c r="F132" t="s">
        <v>14271</v>
      </c>
      <c r="G132" t="s">
        <v>18053</v>
      </c>
      <c r="H132"/>
      <c r="I132" t="s">
        <v>18</v>
      </c>
      <c r="J132" t="s">
        <v>14272</v>
      </c>
      <c r="K132" t="s">
        <v>14273</v>
      </c>
      <c r="L132" t="s">
        <v>21</v>
      </c>
      <c r="M132" t="s">
        <v>19177</v>
      </c>
      <c r="N132" t="s">
        <v>714</v>
      </c>
      <c r="O132" t="s">
        <v>10263</v>
      </c>
      <c r="P132" t="s">
        <v>12</v>
      </c>
    </row>
  </sheetData>
</worksheet>
</file>

<file path=xl/worksheets/sheet52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83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5.7109375" customWidth="true"/>
    <col min="4" max="4" width="20.7109375" customWidth="true"/>
    <col min="5" max="5" width="20.7109375" customWidth="true"/>
    <col min="6" max="6" width="100.7109375" customWidth="true"/>
    <col min="7" max="7" width="12.7109375" customWidth="true"/>
    <col min="8" max="8" width="15.7109375" customWidth="true"/>
    <col min="9" max="9" width="20.7109375" customWidth="true"/>
    <col min="10" max="10" width="20.7109375" customWidth="true"/>
    <col min="11" max="11" width="20.7109375" customWidth="true"/>
    <col min="12" max="12" width="10.7109375" customWidth="true"/>
    <col min="13" max="13" width="12.7109375" customWidth="true"/>
    <col min="14" max="14" width="30.7109375" customWidth="true"/>
    <col min="15" max="15" width="30.7109375" customWidth="true"/>
    <col min="16" max="16" width="3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14981</v>
      </c>
      <c r="N1" t="s">
        <v>16370</v>
      </c>
      <c r="O1" t="s">
        <v>16371</v>
      </c>
      <c r="P1" t="s">
        <v>16372</v>
      </c>
    </row>
    <row r="2">
      <c r="A2">
        <f>HYPERLINK("http://bombeiros.sp.gov.br/hidrantes/03individual/146.html","146")</f>
      </c>
      <c r="B2" t="s">
        <v>12</v>
      </c>
      <c r="C2" t="s">
        <v>13</v>
      </c>
      <c r="D2" t="s">
        <v>13</v>
      </c>
      <c r="E2" t="s">
        <v>15</v>
      </c>
      <c r="F2" t="s">
        <v>1120</v>
      </c>
      <c r="G2" t="s">
        <v>18048</v>
      </c>
      <c r="H2" t="s">
        <v>1121</v>
      </c>
      <c r="I2" t="s">
        <v>1117</v>
      </c>
      <c r="J2" t="s">
        <v>1122</v>
      </c>
      <c r="K2" t="s">
        <v>1123</v>
      </c>
      <c r="L2" t="s">
        <v>21</v>
      </c>
      <c r="M2" t="s">
        <v>19177</v>
      </c>
      <c r="N2" t="s">
        <v>714</v>
      </c>
      <c r="O2" t="s">
        <v>10263</v>
      </c>
      <c r="P2" t="s">
        <v>12</v>
      </c>
    </row>
    <row r="3">
      <c r="A3">
        <f>HYPERLINK("http://bombeiros.sp.gov.br/hidrantes/03individual/2597.html","2597")</f>
      </c>
      <c r="B3" t="s">
        <v>12</v>
      </c>
      <c r="C3" t="s">
        <v>13</v>
      </c>
      <c r="D3" t="s">
        <v>13</v>
      </c>
      <c r="E3" t="s">
        <v>15</v>
      </c>
      <c r="F3" t="s">
        <v>1133</v>
      </c>
      <c r="G3" t="s">
        <v>18048</v>
      </c>
      <c r="H3" t="s">
        <v>1121</v>
      </c>
      <c r="I3" t="s">
        <v>1117</v>
      </c>
      <c r="J3" t="s">
        <v>1135</v>
      </c>
      <c r="K3" t="s">
        <v>1136</v>
      </c>
      <c r="L3" t="s">
        <v>21</v>
      </c>
      <c r="M3" t="s">
        <v>19177</v>
      </c>
      <c r="N3" t="s">
        <v>714</v>
      </c>
      <c r="O3" t="s">
        <v>10263</v>
      </c>
      <c r="P3" t="s">
        <v>12</v>
      </c>
    </row>
    <row r="4">
      <c r="A4">
        <f>HYPERLINK("http://bombeiros.sp.gov.br/hidrantes/03individual/2669.html","2669")</f>
      </c>
      <c r="B4" t="s">
        <v>12</v>
      </c>
      <c r="C4" t="s">
        <v>13</v>
      </c>
      <c r="D4" t="s">
        <v>13</v>
      </c>
      <c r="E4" t="s">
        <v>15</v>
      </c>
      <c r="F4" t="s">
        <v>1137</v>
      </c>
      <c r="G4" t="s">
        <v>18023</v>
      </c>
      <c r="H4" t="s">
        <v>1121</v>
      </c>
      <c r="I4" t="s">
        <v>1117</v>
      </c>
      <c r="J4" t="s">
        <v>1139</v>
      </c>
      <c r="K4" t="s">
        <v>1140</v>
      </c>
      <c r="L4" t="s">
        <v>21</v>
      </c>
      <c r="M4" t="s">
        <v>19177</v>
      </c>
      <c r="N4" t="s">
        <v>714</v>
      </c>
      <c r="O4" t="s">
        <v>10263</v>
      </c>
      <c r="P4" t="s">
        <v>12</v>
      </c>
    </row>
    <row r="5">
      <c r="A5">
        <f>HYPERLINK("http://bombeiros.sp.gov.br/hidrantes/03individual/17917.html","17917")</f>
      </c>
      <c r="B5" t="s">
        <v>12</v>
      </c>
      <c r="C5" t="s">
        <v>13</v>
      </c>
      <c r="D5" t="s">
        <v>13</v>
      </c>
      <c r="E5" t="s">
        <v>15</v>
      </c>
      <c r="F5" t="s">
        <v>1156</v>
      </c>
      <c r="G5" t="s">
        <v>18066</v>
      </c>
      <c r="H5" t="s">
        <v>1121</v>
      </c>
      <c r="I5" t="s">
        <v>1117</v>
      </c>
      <c r="J5" t="s">
        <v>1158</v>
      </c>
      <c r="K5" t="s">
        <v>1159</v>
      </c>
      <c r="L5" t="s">
        <v>21</v>
      </c>
      <c r="M5" t="s">
        <v>19177</v>
      </c>
      <c r="N5" t="s">
        <v>714</v>
      </c>
      <c r="O5" t="s">
        <v>10263</v>
      </c>
      <c r="P5" t="s">
        <v>12</v>
      </c>
    </row>
    <row r="6">
      <c r="A6">
        <f>HYPERLINK("http://bombeiros.sp.gov.br/hidrantes/03individual/204.html","204")</f>
      </c>
      <c r="B6" t="s">
        <v>12</v>
      </c>
      <c r="C6" t="s">
        <v>13</v>
      </c>
      <c r="D6" t="s">
        <v>14</v>
      </c>
      <c r="E6" t="s">
        <v>15</v>
      </c>
      <c r="F6" t="s">
        <v>1160</v>
      </c>
      <c r="G6" t="s">
        <v>18063</v>
      </c>
      <c r="H6" t="s">
        <v>1121</v>
      </c>
      <c r="I6" t="s">
        <v>1117</v>
      </c>
      <c r="J6" t="s">
        <v>1161</v>
      </c>
      <c r="K6" t="s">
        <v>1162</v>
      </c>
      <c r="L6" t="s">
        <v>21</v>
      </c>
      <c r="M6" t="s">
        <v>19177</v>
      </c>
      <c r="N6" t="s">
        <v>714</v>
      </c>
      <c r="O6" t="s">
        <v>10263</v>
      </c>
      <c r="P6" t="s">
        <v>12</v>
      </c>
    </row>
    <row r="7">
      <c r="A7">
        <f>HYPERLINK("http://bombeiros.sp.gov.br/hidrantes/03individual/2485.html","2485")</f>
      </c>
      <c r="B7" t="s">
        <v>12</v>
      </c>
      <c r="C7" t="s">
        <v>13</v>
      </c>
      <c r="D7" t="s">
        <v>1172</v>
      </c>
      <c r="E7" t="s">
        <v>64</v>
      </c>
      <c r="F7" t="s">
        <v>1177</v>
      </c>
      <c r="G7" t="s">
        <v>18124</v>
      </c>
      <c r="H7" t="s">
        <v>1121</v>
      </c>
      <c r="I7" t="s">
        <v>1117</v>
      </c>
      <c r="J7" t="s">
        <v>1179</v>
      </c>
      <c r="K7" t="s">
        <v>1180</v>
      </c>
      <c r="L7" t="s">
        <v>21</v>
      </c>
      <c r="M7" t="s">
        <v>19177</v>
      </c>
      <c r="N7" t="s">
        <v>714</v>
      </c>
      <c r="O7" t="s">
        <v>10263</v>
      </c>
      <c r="P7" t="s">
        <v>12</v>
      </c>
    </row>
    <row r="8">
      <c r="A8">
        <f>HYPERLINK("http://bombeiros.sp.gov.br/hidrantes/03individual/2747.html","2747")</f>
      </c>
      <c r="B8" t="s">
        <v>12</v>
      </c>
      <c r="C8" t="s">
        <v>13</v>
      </c>
      <c r="D8" t="s">
        <v>1172</v>
      </c>
      <c r="E8" t="s">
        <v>64</v>
      </c>
      <c r="F8" t="s">
        <v>1187</v>
      </c>
      <c r="G8" t="s">
        <v>18124</v>
      </c>
      <c r="H8" t="s">
        <v>1121</v>
      </c>
      <c r="I8" t="s">
        <v>1117</v>
      </c>
      <c r="J8" t="s">
        <v>1188</v>
      </c>
      <c r="K8" t="s">
        <v>1189</v>
      </c>
      <c r="L8" t="s">
        <v>36</v>
      </c>
      <c r="M8" t="s">
        <v>19177</v>
      </c>
      <c r="N8" t="s">
        <v>714</v>
      </c>
      <c r="O8" t="s">
        <v>10263</v>
      </c>
      <c r="P8" t="s">
        <v>12</v>
      </c>
    </row>
    <row r="9">
      <c r="A9">
        <f>HYPERLINK("http://bombeiros.sp.gov.br/hidrantes/03individual/2766.html","2766")</f>
      </c>
      <c r="B9" t="s">
        <v>12</v>
      </c>
      <c r="C9" t="s">
        <v>13</v>
      </c>
      <c r="D9" t="s">
        <v>1172</v>
      </c>
      <c r="E9" t="s">
        <v>64</v>
      </c>
      <c r="F9" t="s">
        <v>1193</v>
      </c>
      <c r="G9" t="s">
        <v>18066</v>
      </c>
      <c r="H9" t="s">
        <v>1121</v>
      </c>
      <c r="I9" t="s">
        <v>1117</v>
      </c>
      <c r="J9" t="s">
        <v>16643</v>
      </c>
      <c r="K9" t="s">
        <v>16644</v>
      </c>
      <c r="L9" t="s">
        <v>36</v>
      </c>
      <c r="M9" t="s">
        <v>19177</v>
      </c>
      <c r="N9" t="s">
        <v>714</v>
      </c>
      <c r="O9" t="s">
        <v>10263</v>
      </c>
      <c r="P9" t="s">
        <v>12</v>
      </c>
    </row>
    <row r="10">
      <c r="A10">
        <f>HYPERLINK("http://bombeiros.sp.gov.br/hidrantes/03individual/4284.html","4284")</f>
      </c>
      <c r="B10" t="s">
        <v>12</v>
      </c>
      <c r="C10" t="s">
        <v>13</v>
      </c>
      <c r="D10" t="s">
        <v>1172</v>
      </c>
      <c r="E10" t="s">
        <v>64</v>
      </c>
      <c r="F10" t="s">
        <v>1196</v>
      </c>
      <c r="G10" t="s">
        <v>18135</v>
      </c>
      <c r="H10" t="s">
        <v>1121</v>
      </c>
      <c r="I10" t="s">
        <v>1117</v>
      </c>
      <c r="J10" t="s">
        <v>1197</v>
      </c>
      <c r="K10" t="s">
        <v>1198</v>
      </c>
      <c r="L10" t="s">
        <v>36</v>
      </c>
      <c r="M10" t="s">
        <v>19177</v>
      </c>
      <c r="N10" t="s">
        <v>714</v>
      </c>
      <c r="O10" t="s">
        <v>10263</v>
      </c>
      <c r="P10" t="s">
        <v>12</v>
      </c>
    </row>
    <row r="11">
      <c r="A11">
        <f>HYPERLINK("http://bombeiros.sp.gov.br/hidrantes/03individual/96.html","96")</f>
      </c>
      <c r="B11" t="s">
        <v>12</v>
      </c>
      <c r="C11" t="s">
        <v>13</v>
      </c>
      <c r="D11" t="s">
        <v>1172</v>
      </c>
      <c r="E11" t="s">
        <v>15</v>
      </c>
      <c r="F11" t="s">
        <v>1199</v>
      </c>
      <c r="G11" t="s">
        <v>18042</v>
      </c>
      <c r="H11" t="s">
        <v>1121</v>
      </c>
      <c r="I11" t="s">
        <v>1117</v>
      </c>
      <c r="J11" t="s">
        <v>1200</v>
      </c>
      <c r="K11" t="s">
        <v>1201</v>
      </c>
      <c r="L11" t="s">
        <v>21</v>
      </c>
      <c r="M11" t="s">
        <v>19177</v>
      </c>
      <c r="N11" t="s">
        <v>714</v>
      </c>
      <c r="O11" t="s">
        <v>10263</v>
      </c>
      <c r="P11" t="s">
        <v>12</v>
      </c>
    </row>
    <row r="12">
      <c r="A12">
        <f>HYPERLINK("http://bombeiros.sp.gov.br/hidrantes/03individual/4280.html","4280")</f>
      </c>
      <c r="B12" t="s">
        <v>12</v>
      </c>
      <c r="C12" t="s">
        <v>13</v>
      </c>
      <c r="D12" t="s">
        <v>1172</v>
      </c>
      <c r="E12" t="s">
        <v>15</v>
      </c>
      <c r="F12" t="s">
        <v>1218</v>
      </c>
      <c r="G12" t="s">
        <v>18130</v>
      </c>
      <c r="H12" t="s">
        <v>1121</v>
      </c>
      <c r="I12" t="s">
        <v>1117</v>
      </c>
      <c r="J12" t="s">
        <v>1219</v>
      </c>
      <c r="K12" t="s">
        <v>1220</v>
      </c>
      <c r="L12" t="s">
        <v>21</v>
      </c>
      <c r="M12" t="s">
        <v>19177</v>
      </c>
      <c r="N12" t="s">
        <v>714</v>
      </c>
      <c r="O12" t="s">
        <v>10263</v>
      </c>
      <c r="P12" t="s">
        <v>12</v>
      </c>
    </row>
    <row r="13">
      <c r="A13">
        <f>HYPERLINK("http://bombeiros.sp.gov.br/hidrantes/03individual/17702.html","17702")</f>
      </c>
      <c r="B13" t="s">
        <v>12</v>
      </c>
      <c r="C13" t="s">
        <v>13</v>
      </c>
      <c r="D13" t="s">
        <v>1172</v>
      </c>
      <c r="E13" t="s">
        <v>15</v>
      </c>
      <c r="F13" t="s">
        <v>1221</v>
      </c>
      <c r="G13" t="s">
        <v>18152</v>
      </c>
      <c r="H13" t="s">
        <v>1121</v>
      </c>
      <c r="I13" t="s">
        <v>1117</v>
      </c>
      <c r="J13" t="s">
        <v>15934</v>
      </c>
      <c r="K13" t="s">
        <v>15935</v>
      </c>
      <c r="L13" t="s">
        <v>21</v>
      </c>
      <c r="M13" t="s">
        <v>19177</v>
      </c>
      <c r="N13" t="s">
        <v>714</v>
      </c>
      <c r="O13" t="s">
        <v>10263</v>
      </c>
      <c r="P13" t="s">
        <v>12</v>
      </c>
    </row>
    <row r="14">
      <c r="A14">
        <f>HYPERLINK("http://bombeiros.sp.gov.br/hidrantes/03individual/25214.html","25214")</f>
      </c>
      <c r="B14" t="s">
        <v>12</v>
      </c>
      <c r="C14" t="s">
        <v>13</v>
      </c>
      <c r="D14" t="s">
        <v>1172</v>
      </c>
      <c r="E14" t="s">
        <v>15</v>
      </c>
      <c r="F14" t="s">
        <v>1224</v>
      </c>
      <c r="G14" t="s">
        <v>18135</v>
      </c>
      <c r="H14" t="s">
        <v>1121</v>
      </c>
      <c r="I14" t="s">
        <v>1117</v>
      </c>
      <c r="J14" t="s">
        <v>1225</v>
      </c>
      <c r="K14" t="s">
        <v>1226</v>
      </c>
      <c r="L14" t="s">
        <v>21</v>
      </c>
      <c r="M14" t="s">
        <v>19177</v>
      </c>
      <c r="N14" t="s">
        <v>714</v>
      </c>
      <c r="O14" t="s">
        <v>10263</v>
      </c>
      <c r="P14" t="s">
        <v>12</v>
      </c>
    </row>
    <row r="15">
      <c r="A15">
        <f>HYPERLINK("http://bombeiros.sp.gov.br/hidrantes/03individual/2487.html","2487")</f>
      </c>
      <c r="B15" t="s">
        <v>12</v>
      </c>
      <c r="C15" t="s">
        <v>13</v>
      </c>
      <c r="D15" t="s">
        <v>25</v>
      </c>
      <c r="E15" t="s">
        <v>64</v>
      </c>
      <c r="F15" t="s">
        <v>1177</v>
      </c>
      <c r="G15" t="s">
        <v>18050</v>
      </c>
      <c r="H15" t="s">
        <v>1121</v>
      </c>
      <c r="I15" t="s">
        <v>1117</v>
      </c>
      <c r="J15" t="s">
        <v>1233</v>
      </c>
      <c r="K15" t="s">
        <v>1234</v>
      </c>
      <c r="L15" t="s">
        <v>36</v>
      </c>
      <c r="M15" t="s">
        <v>19177</v>
      </c>
      <c r="N15" t="s">
        <v>714</v>
      </c>
      <c r="O15" t="s">
        <v>10263</v>
      </c>
      <c r="P15" t="s">
        <v>12</v>
      </c>
    </row>
    <row r="16">
      <c r="A16">
        <f>HYPERLINK("http://bombeiros.sp.gov.br/hidrantes/03individual/2648.html","2648")</f>
      </c>
      <c r="B16" t="s">
        <v>12</v>
      </c>
      <c r="C16" t="s">
        <v>13</v>
      </c>
      <c r="D16" t="s">
        <v>25</v>
      </c>
      <c r="E16" t="s">
        <v>64</v>
      </c>
      <c r="F16" t="s">
        <v>1235</v>
      </c>
      <c r="G16" t="s">
        <v>18179</v>
      </c>
      <c r="H16" t="s">
        <v>1121</v>
      </c>
      <c r="I16" t="s">
        <v>1117</v>
      </c>
      <c r="J16" t="s">
        <v>1236</v>
      </c>
      <c r="K16" t="s">
        <v>1237</v>
      </c>
      <c r="L16" t="s">
        <v>36</v>
      </c>
      <c r="M16" t="s">
        <v>19177</v>
      </c>
      <c r="N16" t="s">
        <v>714</v>
      </c>
      <c r="O16" t="s">
        <v>10263</v>
      </c>
      <c r="P16" t="s">
        <v>12</v>
      </c>
    </row>
    <row r="17">
      <c r="A17">
        <f>HYPERLINK("http://bombeiros.sp.gov.br/hidrantes/03individual/4277.html","4277")</f>
      </c>
      <c r="B17" t="s">
        <v>12</v>
      </c>
      <c r="C17" t="s">
        <v>13</v>
      </c>
      <c r="D17" t="s">
        <v>25</v>
      </c>
      <c r="E17" t="s">
        <v>64</v>
      </c>
      <c r="F17" t="s">
        <v>1238</v>
      </c>
      <c r="G17" t="s">
        <v>18179</v>
      </c>
      <c r="H17" t="s">
        <v>1121</v>
      </c>
      <c r="I17" t="s">
        <v>1117</v>
      </c>
      <c r="J17" t="s">
        <v>1239</v>
      </c>
      <c r="K17" t="s">
        <v>1240</v>
      </c>
      <c r="L17" t="s">
        <v>36</v>
      </c>
      <c r="M17" t="s">
        <v>19177</v>
      </c>
      <c r="N17" t="s">
        <v>714</v>
      </c>
      <c r="O17" t="s">
        <v>10263</v>
      </c>
      <c r="P17" t="s">
        <v>12</v>
      </c>
    </row>
    <row r="18">
      <c r="A18">
        <f>HYPERLINK("http://bombeiros.sp.gov.br/hidrantes/03individual/2753.html","2753")</f>
      </c>
      <c r="B18" t="s">
        <v>12</v>
      </c>
      <c r="C18" t="s">
        <v>13</v>
      </c>
      <c r="D18" t="s">
        <v>1251</v>
      </c>
      <c r="E18" t="s">
        <v>15</v>
      </c>
      <c r="F18" t="s">
        <v>1277</v>
      </c>
      <c r="G18" t="s">
        <v>18066</v>
      </c>
      <c r="H18" t="s">
        <v>1121</v>
      </c>
      <c r="I18" t="s">
        <v>1117</v>
      </c>
      <c r="J18" t="s">
        <v>1278</v>
      </c>
      <c r="K18" t="s">
        <v>1279</v>
      </c>
      <c r="L18" t="s">
        <v>21</v>
      </c>
      <c r="M18" t="s">
        <v>19177</v>
      </c>
      <c r="N18" t="s">
        <v>714</v>
      </c>
      <c r="O18" t="s">
        <v>10263</v>
      </c>
      <c r="P18" t="s">
        <v>12</v>
      </c>
    </row>
    <row r="19">
      <c r="A19">
        <f>HYPERLINK("http://bombeiros.sp.gov.br/hidrantes/03individual/2815.html","2815")</f>
      </c>
      <c r="B19" t="s">
        <v>12</v>
      </c>
      <c r="C19" t="s">
        <v>30</v>
      </c>
      <c r="D19" t="s">
        <v>30</v>
      </c>
      <c r="E19" t="s">
        <v>64</v>
      </c>
      <c r="F19" t="s">
        <v>1294</v>
      </c>
      <c r="G19" t="s">
        <v>18083</v>
      </c>
      <c r="H19" t="s">
        <v>1121</v>
      </c>
      <c r="I19" t="s">
        <v>1117</v>
      </c>
      <c r="J19" t="s">
        <v>1296</v>
      </c>
      <c r="K19" t="s">
        <v>1297</v>
      </c>
      <c r="L19" t="s">
        <v>36</v>
      </c>
      <c r="M19" t="s">
        <v>19177</v>
      </c>
      <c r="N19" t="s">
        <v>97</v>
      </c>
      <c r="O19" t="s">
        <v>937</v>
      </c>
      <c r="P19" t="s">
        <v>12</v>
      </c>
    </row>
    <row r="20">
      <c r="A20">
        <f>HYPERLINK("http://bombeiros.sp.gov.br/hidrantes/03individual/795.html","795")</f>
      </c>
      <c r="B20" t="s">
        <v>12</v>
      </c>
      <c r="C20" t="s">
        <v>30</v>
      </c>
      <c r="D20" t="s">
        <v>31</v>
      </c>
      <c r="E20" t="s">
        <v>64</v>
      </c>
      <c r="F20" t="s">
        <v>1361</v>
      </c>
      <c r="G20" t="s">
        <v>18089</v>
      </c>
      <c r="H20" t="s">
        <v>1121</v>
      </c>
      <c r="I20" t="s">
        <v>1117</v>
      </c>
      <c r="J20" t="s">
        <v>1362</v>
      </c>
      <c r="K20" t="s">
        <v>1363</v>
      </c>
      <c r="L20" t="s">
        <v>21</v>
      </c>
      <c r="M20" t="s">
        <v>19177</v>
      </c>
      <c r="N20" t="s">
        <v>97</v>
      </c>
      <c r="O20" t="s">
        <v>937</v>
      </c>
      <c r="P20" t="s">
        <v>12</v>
      </c>
    </row>
    <row r="21">
      <c r="A21">
        <f>HYPERLINK("http://bombeiros.sp.gov.br/hidrantes/03individual/785.html","785")</f>
      </c>
      <c r="B21" t="s">
        <v>12</v>
      </c>
      <c r="C21" t="s">
        <v>30</v>
      </c>
      <c r="D21" t="s">
        <v>31</v>
      </c>
      <c r="E21" t="s">
        <v>15</v>
      </c>
      <c r="F21" t="s">
        <v>1436</v>
      </c>
      <c r="G21" t="s">
        <v>18089</v>
      </c>
      <c r="H21" t="s">
        <v>1121</v>
      </c>
      <c r="I21" t="s">
        <v>1117</v>
      </c>
      <c r="J21" t="s">
        <v>1437</v>
      </c>
      <c r="K21" t="s">
        <v>1438</v>
      </c>
      <c r="L21" t="s">
        <v>21</v>
      </c>
      <c r="M21" t="s">
        <v>19177</v>
      </c>
      <c r="N21" t="s">
        <v>97</v>
      </c>
      <c r="O21" t="s">
        <v>937</v>
      </c>
      <c r="P21" t="s">
        <v>12</v>
      </c>
    </row>
    <row r="22">
      <c r="A22">
        <f>HYPERLINK("http://bombeiros.sp.gov.br/hidrantes/03individual/888.html","888")</f>
      </c>
      <c r="B22" t="s">
        <v>12</v>
      </c>
      <c r="C22" t="s">
        <v>30</v>
      </c>
      <c r="D22" t="s">
        <v>31</v>
      </c>
      <c r="E22" t="s">
        <v>15</v>
      </c>
      <c r="F22" t="s">
        <v>1445</v>
      </c>
      <c r="G22" t="s">
        <v>18044</v>
      </c>
      <c r="H22" t="s">
        <v>1121</v>
      </c>
      <c r="I22" t="s">
        <v>1117</v>
      </c>
      <c r="J22" t="s">
        <v>1446</v>
      </c>
      <c r="K22" t="s">
        <v>1447</v>
      </c>
      <c r="L22" t="s">
        <v>21</v>
      </c>
      <c r="M22" t="s">
        <v>19177</v>
      </c>
      <c r="N22" t="s">
        <v>97</v>
      </c>
      <c r="O22" t="s">
        <v>937</v>
      </c>
      <c r="P22" t="s">
        <v>12</v>
      </c>
    </row>
    <row r="23">
      <c r="A23">
        <f>HYPERLINK("http://bombeiros.sp.gov.br/hidrantes/03individual/2054.html","2054")</f>
      </c>
      <c r="B23" t="s">
        <v>12</v>
      </c>
      <c r="C23" t="s">
        <v>30</v>
      </c>
      <c r="D23" t="s">
        <v>31</v>
      </c>
      <c r="E23" t="s">
        <v>15</v>
      </c>
      <c r="F23" t="s">
        <v>1454</v>
      </c>
      <c r="G23" t="s">
        <v>18072</v>
      </c>
      <c r="H23" t="s">
        <v>1121</v>
      </c>
      <c r="I23" t="s">
        <v>1117</v>
      </c>
      <c r="J23" t="s">
        <v>1455</v>
      </c>
      <c r="K23" t="s">
        <v>1456</v>
      </c>
      <c r="L23" t="s">
        <v>21</v>
      </c>
      <c r="M23" t="s">
        <v>19177</v>
      </c>
      <c r="N23" t="s">
        <v>97</v>
      </c>
      <c r="O23" t="s">
        <v>937</v>
      </c>
      <c r="P23" t="s">
        <v>12</v>
      </c>
    </row>
    <row r="24">
      <c r="A24">
        <f>HYPERLINK("http://bombeiros.sp.gov.br/hidrantes/03individual/2427.html","2427")</f>
      </c>
      <c r="B24" t="s">
        <v>12</v>
      </c>
      <c r="C24" t="s">
        <v>30</v>
      </c>
      <c r="D24" t="s">
        <v>31</v>
      </c>
      <c r="E24" t="s">
        <v>15</v>
      </c>
      <c r="F24" t="s">
        <v>1469</v>
      </c>
      <c r="G24" t="s">
        <v>18044</v>
      </c>
      <c r="H24" t="s">
        <v>1121</v>
      </c>
      <c r="I24" t="s">
        <v>1117</v>
      </c>
      <c r="J24" t="s">
        <v>1470</v>
      </c>
      <c r="K24" t="s">
        <v>1471</v>
      </c>
      <c r="L24" t="s">
        <v>21</v>
      </c>
      <c r="M24" t="s">
        <v>19177</v>
      </c>
      <c r="N24" t="s">
        <v>97</v>
      </c>
      <c r="O24" t="s">
        <v>937</v>
      </c>
      <c r="P24" t="s">
        <v>12</v>
      </c>
    </row>
    <row r="25">
      <c r="A25">
        <f>HYPERLINK("http://bombeiros.sp.gov.br/hidrantes/03individual/26753.html","26753")</f>
      </c>
      <c r="B25" t="s">
        <v>12</v>
      </c>
      <c r="C25" t="s">
        <v>30</v>
      </c>
      <c r="D25" t="s">
        <v>31</v>
      </c>
      <c r="E25" t="s">
        <v>15</v>
      </c>
      <c r="F25" t="s">
        <v>1502</v>
      </c>
      <c r="G25" t="s">
        <v>18057</v>
      </c>
      <c r="H25" t="s">
        <v>1121</v>
      </c>
      <c r="I25" t="s">
        <v>1117</v>
      </c>
      <c r="J25" t="s">
        <v>1504</v>
      </c>
      <c r="K25" t="s">
        <v>1505</v>
      </c>
      <c r="L25" t="s">
        <v>21</v>
      </c>
      <c r="M25" t="s">
        <v>19177</v>
      </c>
      <c r="N25" t="s">
        <v>97</v>
      </c>
      <c r="O25" t="s">
        <v>937</v>
      </c>
      <c r="P25" t="s">
        <v>12</v>
      </c>
    </row>
    <row r="26">
      <c r="A26">
        <f>HYPERLINK("http://bombeiros.sp.gov.br/hidrantes/03individual/70.html","70")</f>
      </c>
      <c r="B26" t="s">
        <v>12</v>
      </c>
      <c r="C26" t="s">
        <v>37</v>
      </c>
      <c r="D26" t="s">
        <v>37</v>
      </c>
      <c r="E26" t="s">
        <v>15</v>
      </c>
      <c r="F26" t="s">
        <v>1578</v>
      </c>
      <c r="G26" t="s">
        <v>18106</v>
      </c>
      <c r="H26" t="s">
        <v>1121</v>
      </c>
      <c r="I26" t="s">
        <v>1117</v>
      </c>
      <c r="J26" t="s">
        <v>1579</v>
      </c>
      <c r="K26" t="s">
        <v>1580</v>
      </c>
      <c r="L26" t="s">
        <v>21</v>
      </c>
      <c r="M26" t="s">
        <v>19177</v>
      </c>
      <c r="N26" t="s">
        <v>97</v>
      </c>
      <c r="O26" t="s">
        <v>937</v>
      </c>
      <c r="P26" t="s">
        <v>12</v>
      </c>
    </row>
    <row r="27">
      <c r="A27">
        <f>HYPERLINK("http://bombeiros.sp.gov.br/hidrantes/03individual/109.html","109")</f>
      </c>
      <c r="B27" t="s">
        <v>12</v>
      </c>
      <c r="C27" t="s">
        <v>37</v>
      </c>
      <c r="D27" t="s">
        <v>37</v>
      </c>
      <c r="E27" t="s">
        <v>15</v>
      </c>
      <c r="F27" t="s">
        <v>1584</v>
      </c>
      <c r="G27" t="s">
        <v>18106</v>
      </c>
      <c r="H27" t="s">
        <v>1121</v>
      </c>
      <c r="I27" t="s">
        <v>1117</v>
      </c>
      <c r="J27" t="s">
        <v>1585</v>
      </c>
      <c r="K27" t="s">
        <v>1586</v>
      </c>
      <c r="L27" t="s">
        <v>21</v>
      </c>
      <c r="M27" t="s">
        <v>19177</v>
      </c>
      <c r="N27" t="s">
        <v>97</v>
      </c>
      <c r="O27" t="s">
        <v>937</v>
      </c>
      <c r="P27" t="s">
        <v>12</v>
      </c>
    </row>
    <row r="28">
      <c r="A28">
        <f>HYPERLINK("http://bombeiros.sp.gov.br/hidrantes/03individual/2126.html","2126")</f>
      </c>
      <c r="B28" t="s">
        <v>12</v>
      </c>
      <c r="C28" t="s">
        <v>37</v>
      </c>
      <c r="D28" t="s">
        <v>37</v>
      </c>
      <c r="E28" t="s">
        <v>15</v>
      </c>
      <c r="F28" t="s">
        <v>1593</v>
      </c>
      <c r="G28" t="s">
        <v>18072</v>
      </c>
      <c r="H28" t="s">
        <v>1121</v>
      </c>
      <c r="I28" t="s">
        <v>1117</v>
      </c>
      <c r="J28" t="s">
        <v>1594</v>
      </c>
      <c r="K28" t="s">
        <v>1595</v>
      </c>
      <c r="L28" t="s">
        <v>21</v>
      </c>
      <c r="M28" t="s">
        <v>19177</v>
      </c>
      <c r="N28" t="s">
        <v>97</v>
      </c>
      <c r="O28" t="s">
        <v>937</v>
      </c>
      <c r="P28" t="s">
        <v>12</v>
      </c>
    </row>
    <row r="29">
      <c r="A29">
        <f>HYPERLINK("http://bombeiros.sp.gov.br/hidrantes/03individual/40.html","40")</f>
      </c>
      <c r="B29" t="s">
        <v>12</v>
      </c>
      <c r="C29" t="s">
        <v>37</v>
      </c>
      <c r="D29" t="s">
        <v>38</v>
      </c>
      <c r="E29" t="s">
        <v>64</v>
      </c>
      <c r="F29" t="s">
        <v>1611</v>
      </c>
      <c r="G29" t="s">
        <v>18076</v>
      </c>
      <c r="H29" t="s">
        <v>1121</v>
      </c>
      <c r="I29" t="s">
        <v>1117</v>
      </c>
      <c r="J29" t="s">
        <v>1612</v>
      </c>
      <c r="K29" t="s">
        <v>1613</v>
      </c>
      <c r="L29" t="s">
        <v>21</v>
      </c>
      <c r="M29" t="s">
        <v>19177</v>
      </c>
      <c r="N29" t="s">
        <v>97</v>
      </c>
      <c r="O29" t="s">
        <v>937</v>
      </c>
      <c r="P29" t="s">
        <v>12</v>
      </c>
    </row>
    <row r="30">
      <c r="A30">
        <f>HYPERLINK("http://bombeiros.sp.gov.br/hidrantes/03individual/139.html","139")</f>
      </c>
      <c r="B30" t="s">
        <v>12</v>
      </c>
      <c r="C30" t="s">
        <v>37</v>
      </c>
      <c r="D30" t="s">
        <v>38</v>
      </c>
      <c r="E30" t="s">
        <v>64</v>
      </c>
      <c r="F30" t="s">
        <v>1614</v>
      </c>
      <c r="G30" t="s">
        <v>18077</v>
      </c>
      <c r="H30" t="s">
        <v>1121</v>
      </c>
      <c r="I30" t="s">
        <v>1117</v>
      </c>
      <c r="J30" t="s">
        <v>15885</v>
      </c>
      <c r="K30" t="s">
        <v>15886</v>
      </c>
      <c r="L30" t="s">
        <v>36</v>
      </c>
      <c r="M30" t="s">
        <v>19177</v>
      </c>
      <c r="N30" t="s">
        <v>97</v>
      </c>
      <c r="O30" t="s">
        <v>937</v>
      </c>
      <c r="P30" t="s">
        <v>12</v>
      </c>
    </row>
    <row r="31">
      <c r="A31">
        <f>HYPERLINK("http://bombeiros.sp.gov.br/hidrantes/03individual/1659.html","1659")</f>
      </c>
      <c r="B31" t="s">
        <v>12</v>
      </c>
      <c r="C31" t="s">
        <v>37</v>
      </c>
      <c r="D31" t="s">
        <v>38</v>
      </c>
      <c r="E31" t="s">
        <v>64</v>
      </c>
      <c r="F31" t="s">
        <v>1617</v>
      </c>
      <c r="G31" t="s">
        <v>18049</v>
      </c>
      <c r="H31" t="s">
        <v>1121</v>
      </c>
      <c r="I31" t="s">
        <v>1117</v>
      </c>
      <c r="J31" t="s">
        <v>1618</v>
      </c>
      <c r="K31" t="s">
        <v>1619</v>
      </c>
      <c r="L31" t="s">
        <v>21</v>
      </c>
      <c r="M31" t="s">
        <v>19177</v>
      </c>
      <c r="N31" t="s">
        <v>97</v>
      </c>
      <c r="O31" t="s">
        <v>937</v>
      </c>
      <c r="P31" t="s">
        <v>12</v>
      </c>
    </row>
    <row r="32">
      <c r="A32">
        <f>HYPERLINK("http://bombeiros.sp.gov.br/hidrantes/03individual/1820.html","1820")</f>
      </c>
      <c r="B32" t="s">
        <v>12</v>
      </c>
      <c r="C32" t="s">
        <v>37</v>
      </c>
      <c r="D32" t="s">
        <v>38</v>
      </c>
      <c r="E32" t="s">
        <v>64</v>
      </c>
      <c r="F32" t="s">
        <v>1626</v>
      </c>
      <c r="G32" t="s">
        <v>18077</v>
      </c>
      <c r="H32" t="s">
        <v>1121</v>
      </c>
      <c r="I32" t="s">
        <v>1117</v>
      </c>
      <c r="J32" t="s">
        <v>1627</v>
      </c>
      <c r="K32" t="s">
        <v>1628</v>
      </c>
      <c r="L32" t="s">
        <v>21</v>
      </c>
      <c r="M32" t="s">
        <v>19177</v>
      </c>
      <c r="N32" t="s">
        <v>97</v>
      </c>
      <c r="O32" t="s">
        <v>937</v>
      </c>
      <c r="P32" t="s">
        <v>12</v>
      </c>
    </row>
    <row r="33">
      <c r="A33">
        <f>HYPERLINK("http://bombeiros.sp.gov.br/hidrantes/03individual/2119.html","2119")</f>
      </c>
      <c r="B33" t="s">
        <v>12</v>
      </c>
      <c r="C33" t="s">
        <v>37</v>
      </c>
      <c r="D33" t="s">
        <v>38</v>
      </c>
      <c r="E33" t="s">
        <v>64</v>
      </c>
      <c r="F33" t="s">
        <v>1632</v>
      </c>
      <c r="G33" t="s">
        <v>18073</v>
      </c>
      <c r="H33" t="s">
        <v>1121</v>
      </c>
      <c r="I33" t="s">
        <v>1117</v>
      </c>
      <c r="J33" t="s">
        <v>1633</v>
      </c>
      <c r="K33" t="s">
        <v>1634</v>
      </c>
      <c r="L33" t="s">
        <v>36</v>
      </c>
      <c r="M33" t="s">
        <v>19177</v>
      </c>
      <c r="N33" t="s">
        <v>97</v>
      </c>
      <c r="O33" t="s">
        <v>937</v>
      </c>
      <c r="P33" t="s">
        <v>12</v>
      </c>
    </row>
    <row r="34">
      <c r="A34">
        <f>HYPERLINK("http://bombeiros.sp.gov.br/hidrantes/03individual/2130.html","2130")</f>
      </c>
      <c r="B34" t="s">
        <v>12</v>
      </c>
      <c r="C34" t="s">
        <v>37</v>
      </c>
      <c r="D34" t="s">
        <v>38</v>
      </c>
      <c r="E34" t="s">
        <v>64</v>
      </c>
      <c r="F34" t="s">
        <v>1635</v>
      </c>
      <c r="G34" t="s">
        <v>18070</v>
      </c>
      <c r="H34" t="s">
        <v>1121</v>
      </c>
      <c r="I34" t="s">
        <v>1117</v>
      </c>
      <c r="J34" t="s">
        <v>1636</v>
      </c>
      <c r="K34" t="s">
        <v>1637</v>
      </c>
      <c r="L34" t="s">
        <v>36</v>
      </c>
      <c r="M34" t="s">
        <v>19177</v>
      </c>
      <c r="N34" t="s">
        <v>97</v>
      </c>
      <c r="O34" t="s">
        <v>937</v>
      </c>
      <c r="P34" t="s">
        <v>12</v>
      </c>
    </row>
    <row r="35">
      <c r="A35">
        <f>HYPERLINK("http://bombeiros.sp.gov.br/hidrantes/03individual/1655.html","1655")</f>
      </c>
      <c r="B35" t="s">
        <v>12</v>
      </c>
      <c r="C35" t="s">
        <v>37</v>
      </c>
      <c r="D35" t="s">
        <v>38</v>
      </c>
      <c r="E35" t="s">
        <v>15</v>
      </c>
      <c r="F35" t="s">
        <v>1647</v>
      </c>
      <c r="G35" t="s">
        <v>18049</v>
      </c>
      <c r="H35" t="s">
        <v>1121</v>
      </c>
      <c r="I35" t="s">
        <v>1117</v>
      </c>
      <c r="J35" t="s">
        <v>1648</v>
      </c>
      <c r="K35" t="s">
        <v>1649</v>
      </c>
      <c r="L35" t="s">
        <v>36</v>
      </c>
      <c r="M35" t="s">
        <v>19177</v>
      </c>
      <c r="N35" t="s">
        <v>97</v>
      </c>
      <c r="O35" t="s">
        <v>937</v>
      </c>
      <c r="P35" t="s">
        <v>12</v>
      </c>
    </row>
    <row r="36">
      <c r="A36">
        <f>HYPERLINK("http://bombeiros.sp.gov.br/hidrantes/03individual/1824.html","1824")</f>
      </c>
      <c r="B36" t="s">
        <v>12</v>
      </c>
      <c r="C36" t="s">
        <v>37</v>
      </c>
      <c r="D36" t="s">
        <v>38</v>
      </c>
      <c r="E36" t="s">
        <v>15</v>
      </c>
      <c r="F36" t="s">
        <v>39</v>
      </c>
      <c r="G36" t="s">
        <v>18050</v>
      </c>
      <c r="H36" t="s">
        <v>1121</v>
      </c>
      <c r="I36" t="s">
        <v>1117</v>
      </c>
      <c r="J36" t="s">
        <v>41</v>
      </c>
      <c r="K36" t="s">
        <v>42</v>
      </c>
      <c r="L36" t="s">
        <v>21</v>
      </c>
      <c r="M36" t="s">
        <v>19177</v>
      </c>
      <c r="N36" t="s">
        <v>97</v>
      </c>
      <c r="O36" t="s">
        <v>937</v>
      </c>
      <c r="P36" t="s">
        <v>12</v>
      </c>
    </row>
    <row r="37">
      <c r="A37">
        <f>HYPERLINK("http://bombeiros.sp.gov.br/hidrantes/03individual/1848.html","1848")</f>
      </c>
      <c r="B37" t="s">
        <v>12</v>
      </c>
      <c r="C37" t="s">
        <v>37</v>
      </c>
      <c r="D37" t="s">
        <v>38</v>
      </c>
      <c r="E37" t="s">
        <v>15</v>
      </c>
      <c r="F37" t="s">
        <v>1665</v>
      </c>
      <c r="G37" t="s">
        <v>18050</v>
      </c>
      <c r="H37" t="s">
        <v>1121</v>
      </c>
      <c r="I37" t="s">
        <v>1117</v>
      </c>
      <c r="J37" t="s">
        <v>1666</v>
      </c>
      <c r="K37" t="s">
        <v>1667</v>
      </c>
      <c r="L37" t="s">
        <v>21</v>
      </c>
      <c r="M37" t="s">
        <v>19177</v>
      </c>
      <c r="N37" t="s">
        <v>97</v>
      </c>
      <c r="O37" t="s">
        <v>937</v>
      </c>
      <c r="P37" t="s">
        <v>12</v>
      </c>
    </row>
    <row r="38">
      <c r="A38">
        <f>HYPERLINK("http://bombeiros.sp.gov.br/hidrantes/03individual/1880.html","1880")</f>
      </c>
      <c r="B38" t="s">
        <v>12</v>
      </c>
      <c r="C38" t="s">
        <v>37</v>
      </c>
      <c r="D38" t="s">
        <v>38</v>
      </c>
      <c r="E38" t="s">
        <v>15</v>
      </c>
      <c r="F38" t="s">
        <v>1674</v>
      </c>
      <c r="G38" t="s">
        <v>18051</v>
      </c>
      <c r="H38" t="s">
        <v>1121</v>
      </c>
      <c r="I38" t="s">
        <v>1108</v>
      </c>
      <c r="J38" t="s">
        <v>1675</v>
      </c>
      <c r="K38" t="s">
        <v>1676</v>
      </c>
      <c r="L38" t="s">
        <v>21</v>
      </c>
      <c r="M38" t="s">
        <v>19177</v>
      </c>
      <c r="N38" t="s">
        <v>97</v>
      </c>
      <c r="O38" t="s">
        <v>937</v>
      </c>
      <c r="P38" t="s">
        <v>12</v>
      </c>
    </row>
    <row r="39">
      <c r="A39">
        <f>HYPERLINK("http://bombeiros.sp.gov.br/hidrantes/03individual/17661.html","17661")</f>
      </c>
      <c r="B39" t="s">
        <v>12</v>
      </c>
      <c r="C39" t="s">
        <v>37</v>
      </c>
      <c r="D39" t="s">
        <v>38</v>
      </c>
      <c r="E39" t="s">
        <v>15</v>
      </c>
      <c r="F39" t="s">
        <v>1698</v>
      </c>
      <c r="G39" t="s">
        <v>18051</v>
      </c>
      <c r="H39" t="s">
        <v>1121</v>
      </c>
      <c r="I39" t="s">
        <v>1117</v>
      </c>
      <c r="J39" t="s">
        <v>1699</v>
      </c>
      <c r="K39" t="s">
        <v>1700</v>
      </c>
      <c r="L39" t="s">
        <v>21</v>
      </c>
      <c r="M39" t="s">
        <v>19177</v>
      </c>
      <c r="N39" t="s">
        <v>97</v>
      </c>
      <c r="O39" t="s">
        <v>937</v>
      </c>
      <c r="P39" t="s">
        <v>12</v>
      </c>
    </row>
    <row r="40">
      <c r="A40">
        <f>HYPERLINK("http://bombeiros.sp.gov.br/hidrantes/03individual/26657.html","26657")</f>
      </c>
      <c r="B40" t="s">
        <v>12</v>
      </c>
      <c r="C40" t="s">
        <v>37</v>
      </c>
      <c r="D40" t="s">
        <v>38</v>
      </c>
      <c r="E40" t="s">
        <v>15</v>
      </c>
      <c r="F40" t="s">
        <v>1701</v>
      </c>
      <c r="G40" t="s">
        <v>18050</v>
      </c>
      <c r="H40" t="s">
        <v>1121</v>
      </c>
      <c r="I40" t="s">
        <v>1117</v>
      </c>
      <c r="J40" t="s">
        <v>1702</v>
      </c>
      <c r="K40" t="s">
        <v>1703</v>
      </c>
      <c r="L40" t="s">
        <v>21</v>
      </c>
      <c r="M40" t="s">
        <v>19177</v>
      </c>
      <c r="N40" t="s">
        <v>97</v>
      </c>
      <c r="O40" t="s">
        <v>937</v>
      </c>
      <c r="P40" t="s">
        <v>12</v>
      </c>
    </row>
    <row r="41">
      <c r="A41">
        <f>HYPERLINK("http://bombeiros.sp.gov.br/hidrantes/03individual/27210.html","27210")</f>
      </c>
      <c r="B41" t="s">
        <v>12</v>
      </c>
      <c r="C41" t="s">
        <v>37</v>
      </c>
      <c r="D41" t="s">
        <v>38</v>
      </c>
      <c r="E41" t="s">
        <v>15</v>
      </c>
      <c r="F41" t="s">
        <v>16927</v>
      </c>
      <c r="G41" t="s">
        <v>18050</v>
      </c>
      <c r="H41" t="s">
        <v>1121</v>
      </c>
      <c r="I41" t="s">
        <v>1117</v>
      </c>
      <c r="J41" t="s">
        <v>16928</v>
      </c>
      <c r="K41" t="s">
        <v>16929</v>
      </c>
      <c r="L41" t="s">
        <v>21</v>
      </c>
      <c r="M41" t="s">
        <v>19177</v>
      </c>
      <c r="N41" t="s">
        <v>97</v>
      </c>
      <c r="O41" t="s">
        <v>937</v>
      </c>
      <c r="P41" t="s">
        <v>12</v>
      </c>
    </row>
    <row r="42">
      <c r="A42">
        <f>HYPERLINK("http://bombeiros.sp.gov.br/hidrantes/03individual/842.html","842")</f>
      </c>
      <c r="B42" t="s">
        <v>12</v>
      </c>
      <c r="C42" t="s">
        <v>47</v>
      </c>
      <c r="D42" t="s">
        <v>47</v>
      </c>
      <c r="E42" t="s">
        <v>64</v>
      </c>
      <c r="F42" t="s">
        <v>1704</v>
      </c>
      <c r="G42" t="s">
        <v>18179</v>
      </c>
      <c r="H42" t="s">
        <v>1121</v>
      </c>
      <c r="I42" t="s">
        <v>1117</v>
      </c>
      <c r="J42" t="s">
        <v>1705</v>
      </c>
      <c r="K42" t="s">
        <v>1706</v>
      </c>
      <c r="L42" t="s">
        <v>36</v>
      </c>
      <c r="M42" t="s">
        <v>19177</v>
      </c>
      <c r="N42" t="s">
        <v>714</v>
      </c>
      <c r="O42" t="s">
        <v>10263</v>
      </c>
      <c r="P42" t="s">
        <v>12</v>
      </c>
    </row>
    <row r="43">
      <c r="A43">
        <f>HYPERLINK("http://bombeiros.sp.gov.br/hidrantes/03individual/844.html","844")</f>
      </c>
      <c r="B43" t="s">
        <v>12</v>
      </c>
      <c r="C43" t="s">
        <v>47</v>
      </c>
      <c r="D43" t="s">
        <v>47</v>
      </c>
      <c r="E43" t="s">
        <v>64</v>
      </c>
      <c r="F43" t="s">
        <v>1707</v>
      </c>
      <c r="G43" t="s">
        <v>18179</v>
      </c>
      <c r="H43" t="s">
        <v>1121</v>
      </c>
      <c r="I43" t="s">
        <v>1117</v>
      </c>
      <c r="J43" t="s">
        <v>1708</v>
      </c>
      <c r="K43" t="s">
        <v>1709</v>
      </c>
      <c r="L43" t="s">
        <v>36</v>
      </c>
      <c r="M43" t="s">
        <v>19177</v>
      </c>
      <c r="N43" t="s">
        <v>714</v>
      </c>
      <c r="O43" t="s">
        <v>10263</v>
      </c>
      <c r="P43" t="s">
        <v>12</v>
      </c>
    </row>
    <row r="44">
      <c r="A44">
        <f>HYPERLINK("http://bombeiros.sp.gov.br/hidrantes/03individual/2299.html","2299")</f>
      </c>
      <c r="B44" t="s">
        <v>12</v>
      </c>
      <c r="C44" t="s">
        <v>47</v>
      </c>
      <c r="D44" t="s">
        <v>47</v>
      </c>
      <c r="E44" t="s">
        <v>15</v>
      </c>
      <c r="F44" t="s">
        <v>1737</v>
      </c>
      <c r="G44" t="s">
        <v>18130</v>
      </c>
      <c r="H44" t="s">
        <v>1121</v>
      </c>
      <c r="I44" t="s">
        <v>1117</v>
      </c>
      <c r="J44" t="s">
        <v>1740</v>
      </c>
      <c r="K44" t="s">
        <v>1741</v>
      </c>
      <c r="L44" t="s">
        <v>21</v>
      </c>
      <c r="M44" t="s">
        <v>19177</v>
      </c>
      <c r="N44" t="s">
        <v>714</v>
      </c>
      <c r="O44" t="s">
        <v>10263</v>
      </c>
      <c r="P44" t="s">
        <v>12</v>
      </c>
    </row>
    <row r="45">
      <c r="A45">
        <f>HYPERLINK("http://bombeiros.sp.gov.br/hidrantes/03individual/16581.html","16581")</f>
      </c>
      <c r="B45" t="s">
        <v>12</v>
      </c>
      <c r="C45" t="s">
        <v>47</v>
      </c>
      <c r="D45" t="s">
        <v>47</v>
      </c>
      <c r="E45" t="s">
        <v>15</v>
      </c>
      <c r="F45" t="s">
        <v>1760</v>
      </c>
      <c r="G45" t="s">
        <v>18053</v>
      </c>
      <c r="H45" t="s">
        <v>1121</v>
      </c>
      <c r="I45" t="s">
        <v>1117</v>
      </c>
      <c r="J45" t="s">
        <v>1761</v>
      </c>
      <c r="K45" t="s">
        <v>1762</v>
      </c>
      <c r="L45" t="s">
        <v>21</v>
      </c>
      <c r="M45" t="s">
        <v>19177</v>
      </c>
      <c r="N45" t="s">
        <v>714</v>
      </c>
      <c r="O45" t="s">
        <v>10263</v>
      </c>
      <c r="P45" t="s">
        <v>12</v>
      </c>
    </row>
    <row r="46">
      <c r="A46">
        <f>HYPERLINK("http://bombeiros.sp.gov.br/hidrantes/03individual/25222.html","25222")</f>
      </c>
      <c r="B46" t="s">
        <v>12</v>
      </c>
      <c r="C46" t="s">
        <v>47</v>
      </c>
      <c r="D46" t="s">
        <v>52</v>
      </c>
      <c r="E46" t="s">
        <v>15</v>
      </c>
      <c r="F46" t="s">
        <v>1785</v>
      </c>
      <c r="G46" t="s">
        <v>18054</v>
      </c>
      <c r="H46" t="s">
        <v>1121</v>
      </c>
      <c r="I46" t="s">
        <v>1117</v>
      </c>
      <c r="J46" t="s">
        <v>1786</v>
      </c>
      <c r="K46" t="s">
        <v>1787</v>
      </c>
      <c r="L46" t="s">
        <v>21</v>
      </c>
      <c r="M46" t="s">
        <v>19177</v>
      </c>
      <c r="N46" t="s">
        <v>714</v>
      </c>
      <c r="O46" t="s">
        <v>10263</v>
      </c>
      <c r="P46" t="s">
        <v>12</v>
      </c>
    </row>
    <row r="47">
      <c r="A47">
        <f>HYPERLINK("http://bombeiros.sp.gov.br/hidrantes/03individual/1936.html","1936")</f>
      </c>
      <c r="B47" t="s">
        <v>12</v>
      </c>
      <c r="C47" t="s">
        <v>47</v>
      </c>
      <c r="D47" t="s">
        <v>1788</v>
      </c>
      <c r="E47" t="s">
        <v>64</v>
      </c>
      <c r="F47" t="s">
        <v>1789</v>
      </c>
      <c r="G47" t="s">
        <v>18054</v>
      </c>
      <c r="H47" t="s">
        <v>1121</v>
      </c>
      <c r="I47" t="s">
        <v>1117</v>
      </c>
      <c r="J47" t="s">
        <v>1790</v>
      </c>
      <c r="K47" t="s">
        <v>1791</v>
      </c>
      <c r="L47" t="s">
        <v>21</v>
      </c>
      <c r="M47" t="s">
        <v>19177</v>
      </c>
      <c r="N47" t="s">
        <v>714</v>
      </c>
      <c r="O47" t="s">
        <v>10263</v>
      </c>
      <c r="P47" t="s">
        <v>12</v>
      </c>
    </row>
    <row r="48">
      <c r="A48">
        <f>HYPERLINK("http://bombeiros.sp.gov.br/hidrantes/03individual/1833.html","1833")</f>
      </c>
      <c r="B48" t="s">
        <v>12</v>
      </c>
      <c r="C48" t="s">
        <v>47</v>
      </c>
      <c r="D48" t="s">
        <v>1788</v>
      </c>
      <c r="E48" t="s">
        <v>15</v>
      </c>
      <c r="F48" t="s">
        <v>1804</v>
      </c>
      <c r="G48" t="s">
        <v>18056</v>
      </c>
      <c r="H48" t="s">
        <v>1121</v>
      </c>
      <c r="I48" t="s">
        <v>1117</v>
      </c>
      <c r="J48" t="s">
        <v>1805</v>
      </c>
      <c r="K48" t="s">
        <v>1806</v>
      </c>
      <c r="L48" t="s">
        <v>21</v>
      </c>
      <c r="M48" t="s">
        <v>19177</v>
      </c>
      <c r="N48" t="s">
        <v>714</v>
      </c>
      <c r="O48" t="s">
        <v>10263</v>
      </c>
      <c r="P48" t="s">
        <v>12</v>
      </c>
    </row>
    <row r="49">
      <c r="A49">
        <f>HYPERLINK("http://bombeiros.sp.gov.br/hidrantes/03individual/1891.html","1891")</f>
      </c>
      <c r="B49" t="s">
        <v>12</v>
      </c>
      <c r="C49" t="s">
        <v>47</v>
      </c>
      <c r="D49" t="s">
        <v>1788</v>
      </c>
      <c r="E49" t="s">
        <v>15</v>
      </c>
      <c r="F49" t="s">
        <v>1813</v>
      </c>
      <c r="G49" t="s">
        <v>18054</v>
      </c>
      <c r="H49" t="s">
        <v>1121</v>
      </c>
      <c r="I49" t="s">
        <v>1117</v>
      </c>
      <c r="J49" t="s">
        <v>1814</v>
      </c>
      <c r="K49" t="s">
        <v>1815</v>
      </c>
      <c r="L49" t="s">
        <v>21</v>
      </c>
      <c r="M49" t="s">
        <v>19177</v>
      </c>
      <c r="N49" t="s">
        <v>714</v>
      </c>
      <c r="O49" t="s">
        <v>10263</v>
      </c>
      <c r="P49" t="s">
        <v>12</v>
      </c>
    </row>
    <row r="50">
      <c r="A50">
        <f>HYPERLINK("http://bombeiros.sp.gov.br/hidrantes/03individual/1941.html","1941")</f>
      </c>
      <c r="B50" t="s">
        <v>12</v>
      </c>
      <c r="C50" t="s">
        <v>47</v>
      </c>
      <c r="D50" t="s">
        <v>1788</v>
      </c>
      <c r="E50" t="s">
        <v>15</v>
      </c>
      <c r="F50" t="s">
        <v>1827</v>
      </c>
      <c r="G50" t="s">
        <v>18054</v>
      </c>
      <c r="H50" t="s">
        <v>1121</v>
      </c>
      <c r="I50" t="s">
        <v>1117</v>
      </c>
      <c r="J50" t="s">
        <v>1828</v>
      </c>
      <c r="K50" t="s">
        <v>1829</v>
      </c>
      <c r="L50" t="s">
        <v>21</v>
      </c>
      <c r="M50" t="s">
        <v>19177</v>
      </c>
      <c r="N50" t="s">
        <v>714</v>
      </c>
      <c r="O50" t="s">
        <v>10263</v>
      </c>
      <c r="P50" t="s">
        <v>12</v>
      </c>
    </row>
    <row r="51">
      <c r="A51">
        <f>HYPERLINK("http://bombeiros.sp.gov.br/hidrantes/03individual/2676.html","2676")</f>
      </c>
      <c r="B51" t="s">
        <v>12</v>
      </c>
      <c r="C51" t="s">
        <v>47</v>
      </c>
      <c r="D51" t="s">
        <v>1788</v>
      </c>
      <c r="E51" t="s">
        <v>15</v>
      </c>
      <c r="F51" t="s">
        <v>1830</v>
      </c>
      <c r="G51" t="s">
        <v>18089</v>
      </c>
      <c r="H51" t="s">
        <v>1121</v>
      </c>
      <c r="I51" t="s">
        <v>1117</v>
      </c>
      <c r="J51" t="s">
        <v>1832</v>
      </c>
      <c r="K51" t="s">
        <v>1833</v>
      </c>
      <c r="L51" t="s">
        <v>21</v>
      </c>
      <c r="M51" t="s">
        <v>19177</v>
      </c>
      <c r="N51" t="s">
        <v>714</v>
      </c>
      <c r="O51" t="s">
        <v>10263</v>
      </c>
      <c r="P51" t="s">
        <v>12</v>
      </c>
    </row>
    <row r="52">
      <c r="A52">
        <f>HYPERLINK("http://bombeiros.sp.gov.br/hidrantes/03individual/26811.html","26811")</f>
      </c>
      <c r="B52" t="s">
        <v>12</v>
      </c>
      <c r="C52" t="s">
        <v>47</v>
      </c>
      <c r="D52" t="s">
        <v>1788</v>
      </c>
      <c r="E52" t="s">
        <v>15</v>
      </c>
      <c r="F52" t="s">
        <v>15945</v>
      </c>
      <c r="G52" t="s">
        <v>18054</v>
      </c>
      <c r="H52" t="s">
        <v>1121</v>
      </c>
      <c r="I52" t="s">
        <v>1117</v>
      </c>
      <c r="J52" t="s">
        <v>15946</v>
      </c>
      <c r="K52" t="s">
        <v>15947</v>
      </c>
      <c r="L52" t="s">
        <v>21</v>
      </c>
      <c r="M52" t="s">
        <v>19177</v>
      </c>
      <c r="N52" t="s">
        <v>714</v>
      </c>
      <c r="O52" t="s">
        <v>10263</v>
      </c>
      <c r="P52" t="s">
        <v>12</v>
      </c>
    </row>
    <row r="53">
      <c r="A53">
        <f>HYPERLINK("http://bombeiros.sp.gov.br/hidrantes/03individual/196.html","196")</f>
      </c>
      <c r="B53" t="s">
        <v>12</v>
      </c>
      <c r="C53" t="s">
        <v>47</v>
      </c>
      <c r="D53" t="s">
        <v>1860</v>
      </c>
      <c r="E53" t="s">
        <v>64</v>
      </c>
      <c r="F53" t="s">
        <v>1861</v>
      </c>
      <c r="G53" t="s">
        <v>18051</v>
      </c>
      <c r="H53" t="s">
        <v>1121</v>
      </c>
      <c r="I53" t="s">
        <v>1117</v>
      </c>
      <c r="J53" t="s">
        <v>1862</v>
      </c>
      <c r="K53" t="s">
        <v>1863</v>
      </c>
      <c r="L53" t="s">
        <v>36</v>
      </c>
      <c r="M53" t="s">
        <v>19177</v>
      </c>
      <c r="N53" t="s">
        <v>714</v>
      </c>
      <c r="O53" t="s">
        <v>10263</v>
      </c>
      <c r="P53" t="s">
        <v>12</v>
      </c>
    </row>
    <row r="54">
      <c r="A54">
        <f>HYPERLINK("http://bombeiros.sp.gov.br/hidrantes/03individual/27133.html","27133")</f>
      </c>
      <c r="B54" t="s">
        <v>12</v>
      </c>
      <c r="C54" t="s">
        <v>47</v>
      </c>
      <c r="D54" t="s">
        <v>1860</v>
      </c>
      <c r="E54" t="s">
        <v>64</v>
      </c>
      <c r="F54" t="s">
        <v>16811</v>
      </c>
      <c r="G54" t="s">
        <v>18054</v>
      </c>
      <c r="H54" t="s">
        <v>1121</v>
      </c>
      <c r="I54" t="s">
        <v>1117</v>
      </c>
      <c r="J54" t="s">
        <v>16812</v>
      </c>
      <c r="K54" t="s">
        <v>16813</v>
      </c>
      <c r="L54" t="s">
        <v>21</v>
      </c>
      <c r="M54" t="s">
        <v>19177</v>
      </c>
      <c r="N54" t="s">
        <v>714</v>
      </c>
      <c r="O54" t="s">
        <v>10263</v>
      </c>
      <c r="P54" t="s">
        <v>12</v>
      </c>
    </row>
    <row r="55">
      <c r="A55">
        <f>HYPERLINK("http://bombeiros.sp.gov.br/hidrantes/03individual/2776.html","2776")</f>
      </c>
      <c r="B55" t="s">
        <v>12</v>
      </c>
      <c r="C55" t="s">
        <v>47</v>
      </c>
      <c r="D55" t="s">
        <v>1860</v>
      </c>
      <c r="E55" t="s">
        <v>15</v>
      </c>
      <c r="F55" t="s">
        <v>1907</v>
      </c>
      <c r="G55" t="s">
        <v>18059</v>
      </c>
      <c r="H55" t="s">
        <v>1121</v>
      </c>
      <c r="I55" t="s">
        <v>1117</v>
      </c>
      <c r="J55" t="s">
        <v>1908</v>
      </c>
      <c r="K55" t="s">
        <v>1909</v>
      </c>
      <c r="L55" t="s">
        <v>21</v>
      </c>
      <c r="M55" t="s">
        <v>19177</v>
      </c>
      <c r="N55" t="s">
        <v>714</v>
      </c>
      <c r="O55" t="s">
        <v>10263</v>
      </c>
      <c r="P55" t="s">
        <v>12</v>
      </c>
    </row>
    <row r="56">
      <c r="A56">
        <f>HYPERLINK("http://bombeiros.sp.gov.br/hidrantes/03individual/5600.html","5600")</f>
      </c>
      <c r="B56" t="s">
        <v>12</v>
      </c>
      <c r="C56" t="s">
        <v>47</v>
      </c>
      <c r="D56" t="s">
        <v>1860</v>
      </c>
      <c r="E56" t="s">
        <v>15</v>
      </c>
      <c r="F56" t="s">
        <v>1914</v>
      </c>
      <c r="G56" t="s">
        <v>18169</v>
      </c>
      <c r="H56" t="s">
        <v>1121</v>
      </c>
      <c r="I56" t="s">
        <v>1117</v>
      </c>
      <c r="J56" t="s">
        <v>1915</v>
      </c>
      <c r="K56" t="s">
        <v>1916</v>
      </c>
      <c r="L56" t="s">
        <v>21</v>
      </c>
      <c r="M56" t="s">
        <v>19177</v>
      </c>
      <c r="N56" t="s">
        <v>714</v>
      </c>
      <c r="O56" t="s">
        <v>10263</v>
      </c>
      <c r="P56" t="s">
        <v>12</v>
      </c>
    </row>
    <row r="57">
      <c r="A57">
        <f>HYPERLINK("http://bombeiros.sp.gov.br/hidrantes/03individual/27226.html","27226")</f>
      </c>
      <c r="B57" t="s">
        <v>12</v>
      </c>
      <c r="C57" t="s">
        <v>47</v>
      </c>
      <c r="D57" t="s">
        <v>1860</v>
      </c>
      <c r="E57" t="s">
        <v>15</v>
      </c>
      <c r="F57" t="s">
        <v>16936</v>
      </c>
      <c r="G57" t="s">
        <v>18060</v>
      </c>
      <c r="H57" t="s">
        <v>1121</v>
      </c>
      <c r="I57" t="s">
        <v>1117</v>
      </c>
      <c r="J57" t="s">
        <v>16937</v>
      </c>
      <c r="K57" t="s">
        <v>16938</v>
      </c>
      <c r="L57" t="s">
        <v>21</v>
      </c>
      <c r="M57" t="s">
        <v>19177</v>
      </c>
      <c r="N57" t="s">
        <v>714</v>
      </c>
      <c r="O57" t="s">
        <v>10263</v>
      </c>
      <c r="P57" t="s">
        <v>12</v>
      </c>
    </row>
    <row r="58">
      <c r="A58">
        <f>HYPERLINK("http://bombeiros.sp.gov.br/hidrantes/03individual/208.html","208")</f>
      </c>
      <c r="B58" t="s">
        <v>12</v>
      </c>
      <c r="C58" t="s">
        <v>57</v>
      </c>
      <c r="D58" t="s">
        <v>1923</v>
      </c>
      <c r="E58" t="s">
        <v>15</v>
      </c>
      <c r="F58" t="s">
        <v>1933</v>
      </c>
      <c r="G58" t="s">
        <v>18061</v>
      </c>
      <c r="H58" t="s">
        <v>1121</v>
      </c>
      <c r="I58" t="s">
        <v>1117</v>
      </c>
      <c r="J58" t="s">
        <v>1934</v>
      </c>
      <c r="K58" t="s">
        <v>1935</v>
      </c>
      <c r="L58" t="s">
        <v>21</v>
      </c>
      <c r="M58" t="s">
        <v>19177</v>
      </c>
      <c r="N58" t="s">
        <v>714</v>
      </c>
      <c r="O58" t="s">
        <v>10263</v>
      </c>
      <c r="P58" t="s">
        <v>12</v>
      </c>
    </row>
    <row r="59">
      <c r="A59">
        <f>HYPERLINK("http://bombeiros.sp.gov.br/hidrantes/03individual/2397.html","2397")</f>
      </c>
      <c r="B59" t="s">
        <v>12</v>
      </c>
      <c r="C59" t="s">
        <v>57</v>
      </c>
      <c r="D59" t="s">
        <v>1923</v>
      </c>
      <c r="E59" t="s">
        <v>15</v>
      </c>
      <c r="F59" t="s">
        <v>1945</v>
      </c>
      <c r="G59" t="s">
        <v>18061</v>
      </c>
      <c r="H59" t="s">
        <v>1121</v>
      </c>
      <c r="I59" t="s">
        <v>1108</v>
      </c>
      <c r="J59" t="s">
        <v>1946</v>
      </c>
      <c r="K59" t="s">
        <v>1947</v>
      </c>
      <c r="L59" t="s">
        <v>21</v>
      </c>
      <c r="M59" t="s">
        <v>19177</v>
      </c>
      <c r="N59" t="s">
        <v>714</v>
      </c>
      <c r="O59" t="s">
        <v>10263</v>
      </c>
      <c r="P59" t="s">
        <v>12</v>
      </c>
    </row>
    <row r="60">
      <c r="A60">
        <f>HYPERLINK("http://bombeiros.sp.gov.br/hidrantes/03individual/26776.html","26776")</f>
      </c>
      <c r="B60" t="s">
        <v>12</v>
      </c>
      <c r="C60" t="s">
        <v>57</v>
      </c>
      <c r="D60" t="s">
        <v>1923</v>
      </c>
      <c r="E60" t="s">
        <v>15</v>
      </c>
      <c r="F60" t="s">
        <v>1951</v>
      </c>
      <c r="G60" t="s">
        <v>18061</v>
      </c>
      <c r="H60" t="s">
        <v>1121</v>
      </c>
      <c r="I60" t="s">
        <v>1117</v>
      </c>
      <c r="J60" t="s">
        <v>1952</v>
      </c>
      <c r="K60" t="s">
        <v>1953</v>
      </c>
      <c r="L60" t="s">
        <v>21</v>
      </c>
      <c r="M60" t="s">
        <v>19177</v>
      </c>
      <c r="N60" t="s">
        <v>714</v>
      </c>
      <c r="O60" t="s">
        <v>10263</v>
      </c>
      <c r="P60" t="s">
        <v>12</v>
      </c>
    </row>
    <row r="61">
      <c r="A61">
        <f>HYPERLINK("http://bombeiros.sp.gov.br/hidrantes/03individual/2683.html","2683")</f>
      </c>
      <c r="B61" t="s">
        <v>12</v>
      </c>
      <c r="C61" t="s">
        <v>57</v>
      </c>
      <c r="D61" t="s">
        <v>1954</v>
      </c>
      <c r="E61" t="s">
        <v>64</v>
      </c>
      <c r="F61" t="s">
        <v>1961</v>
      </c>
      <c r="G61" t="s">
        <v>18184</v>
      </c>
      <c r="H61" t="s">
        <v>1121</v>
      </c>
      <c r="I61" t="s">
        <v>1117</v>
      </c>
      <c r="J61" t="s">
        <v>1962</v>
      </c>
      <c r="K61" t="s">
        <v>1963</v>
      </c>
      <c r="L61" t="s">
        <v>21</v>
      </c>
      <c r="M61" t="s">
        <v>19177</v>
      </c>
      <c r="N61" t="s">
        <v>714</v>
      </c>
      <c r="O61" t="s">
        <v>10263</v>
      </c>
      <c r="P61" t="s">
        <v>12</v>
      </c>
    </row>
    <row r="62">
      <c r="A62">
        <f>HYPERLINK("http://bombeiros.sp.gov.br/hidrantes/03individual/26917.html","26917")</f>
      </c>
      <c r="B62" t="s">
        <v>12</v>
      </c>
      <c r="C62" t="s">
        <v>57</v>
      </c>
      <c r="D62" t="s">
        <v>1954</v>
      </c>
      <c r="E62" t="s">
        <v>64</v>
      </c>
      <c r="F62" t="s">
        <v>16397</v>
      </c>
      <c r="G62" t="s">
        <v>18184</v>
      </c>
      <c r="H62" t="s">
        <v>1121</v>
      </c>
      <c r="I62" t="s">
        <v>1117</v>
      </c>
      <c r="J62" t="s">
        <v>16398</v>
      </c>
      <c r="K62" t="s">
        <v>16399</v>
      </c>
      <c r="L62" t="s">
        <v>21</v>
      </c>
      <c r="M62" t="s">
        <v>19177</v>
      </c>
      <c r="N62" t="s">
        <v>714</v>
      </c>
      <c r="O62" t="s">
        <v>10263</v>
      </c>
      <c r="P62" t="s">
        <v>12</v>
      </c>
    </row>
    <row r="63">
      <c r="A63">
        <f>HYPERLINK("http://bombeiros.sp.gov.br/hidrantes/03individual/2574.html","2574")</f>
      </c>
      <c r="B63" t="s">
        <v>12</v>
      </c>
      <c r="C63" t="s">
        <v>57</v>
      </c>
      <c r="D63" t="s">
        <v>1954</v>
      </c>
      <c r="E63" t="s">
        <v>15</v>
      </c>
      <c r="F63" t="s">
        <v>1967</v>
      </c>
      <c r="G63" t="s">
        <v>18063</v>
      </c>
      <c r="H63" t="s">
        <v>1121</v>
      </c>
      <c r="I63" t="s">
        <v>1117</v>
      </c>
      <c r="J63" t="s">
        <v>1968</v>
      </c>
      <c r="K63" t="s">
        <v>1969</v>
      </c>
      <c r="L63" t="s">
        <v>21</v>
      </c>
      <c r="M63" t="s">
        <v>19177</v>
      </c>
      <c r="N63" t="s">
        <v>714</v>
      </c>
      <c r="O63" t="s">
        <v>10263</v>
      </c>
      <c r="P63" t="s">
        <v>12</v>
      </c>
    </row>
    <row r="64">
      <c r="A64">
        <f>HYPERLINK("http://bombeiros.sp.gov.br/hidrantes/03individual/27134.html","27134")</f>
      </c>
      <c r="B64" t="s">
        <v>12</v>
      </c>
      <c r="C64" t="s">
        <v>57</v>
      </c>
      <c r="D64" t="s">
        <v>58</v>
      </c>
      <c r="E64" t="s">
        <v>64</v>
      </c>
      <c r="F64" t="s">
        <v>16814</v>
      </c>
      <c r="G64" t="s">
        <v>18050</v>
      </c>
      <c r="H64" t="s">
        <v>1121</v>
      </c>
      <c r="I64" t="s">
        <v>1117</v>
      </c>
      <c r="J64" t="s">
        <v>16815</v>
      </c>
      <c r="K64" t="s">
        <v>16816</v>
      </c>
      <c r="L64" t="s">
        <v>21</v>
      </c>
      <c r="M64" t="s">
        <v>19177</v>
      </c>
      <c r="N64" t="s">
        <v>97</v>
      </c>
      <c r="O64" t="s">
        <v>937</v>
      </c>
      <c r="P64" t="s">
        <v>12</v>
      </c>
    </row>
    <row r="65">
      <c r="A65">
        <f>HYPERLINK("http://bombeiros.sp.gov.br/hidrantes/03individual/2476.html","2476")</f>
      </c>
      <c r="B65" t="s">
        <v>12</v>
      </c>
      <c r="C65" t="s">
        <v>57</v>
      </c>
      <c r="D65" t="s">
        <v>57</v>
      </c>
      <c r="E65" t="s">
        <v>64</v>
      </c>
      <c r="F65" t="s">
        <v>2000</v>
      </c>
      <c r="G65" t="s">
        <v>18063</v>
      </c>
      <c r="H65" t="s">
        <v>1121</v>
      </c>
      <c r="I65" t="s">
        <v>1117</v>
      </c>
      <c r="J65" t="s">
        <v>2001</v>
      </c>
      <c r="K65" t="s">
        <v>2002</v>
      </c>
      <c r="L65" t="s">
        <v>36</v>
      </c>
      <c r="M65" t="s">
        <v>19177</v>
      </c>
      <c r="N65" t="s">
        <v>714</v>
      </c>
      <c r="O65" t="s">
        <v>10263</v>
      </c>
      <c r="P65" t="s">
        <v>12</v>
      </c>
    </row>
    <row r="66">
      <c r="A66">
        <f>HYPERLINK("http://bombeiros.sp.gov.br/hidrantes/03individual/2488.html","2488")</f>
      </c>
      <c r="B66" t="s">
        <v>12</v>
      </c>
      <c r="C66" t="s">
        <v>57</v>
      </c>
      <c r="D66" t="s">
        <v>57</v>
      </c>
      <c r="E66" t="s">
        <v>64</v>
      </c>
      <c r="F66" t="s">
        <v>2003</v>
      </c>
      <c r="G66" t="s">
        <v>18184</v>
      </c>
      <c r="H66" t="s">
        <v>1121</v>
      </c>
      <c r="I66" t="s">
        <v>1117</v>
      </c>
      <c r="J66" t="s">
        <v>2004</v>
      </c>
      <c r="K66" t="s">
        <v>2005</v>
      </c>
      <c r="L66" t="s">
        <v>21</v>
      </c>
      <c r="M66" t="s">
        <v>19177</v>
      </c>
      <c r="N66" t="s">
        <v>97</v>
      </c>
      <c r="O66" t="s">
        <v>937</v>
      </c>
      <c r="P66" t="s">
        <v>12</v>
      </c>
    </row>
    <row r="67">
      <c r="A67">
        <f>HYPERLINK("http://bombeiros.sp.gov.br/hidrantes/03individual/2491.html","2491")</f>
      </c>
      <c r="B67" t="s">
        <v>12</v>
      </c>
      <c r="C67" t="s">
        <v>57</v>
      </c>
      <c r="D67" t="s">
        <v>57</v>
      </c>
      <c r="E67" t="s">
        <v>64</v>
      </c>
      <c r="F67" t="s">
        <v>2006</v>
      </c>
      <c r="G67" t="s">
        <v>18184</v>
      </c>
      <c r="H67" t="s">
        <v>1121</v>
      </c>
      <c r="I67" t="s">
        <v>1117</v>
      </c>
      <c r="J67" t="s">
        <v>2007</v>
      </c>
      <c r="K67" t="s">
        <v>2008</v>
      </c>
      <c r="L67" t="s">
        <v>36</v>
      </c>
      <c r="M67" t="s">
        <v>19177</v>
      </c>
      <c r="N67" t="s">
        <v>97</v>
      </c>
      <c r="O67" t="s">
        <v>937</v>
      </c>
      <c r="P67" t="s">
        <v>12</v>
      </c>
    </row>
    <row r="68">
      <c r="A68">
        <f>HYPERLINK("http://bombeiros.sp.gov.br/hidrantes/03individual/49.html","49")</f>
      </c>
      <c r="B68" t="s">
        <v>12</v>
      </c>
      <c r="C68" t="s">
        <v>57</v>
      </c>
      <c r="D68" t="s">
        <v>57</v>
      </c>
      <c r="E68" t="s">
        <v>15</v>
      </c>
      <c r="F68" t="s">
        <v>2018</v>
      </c>
      <c r="G68" t="s">
        <v>18063</v>
      </c>
      <c r="H68" t="s">
        <v>1121</v>
      </c>
      <c r="I68" t="s">
        <v>1117</v>
      </c>
      <c r="J68" t="s">
        <v>2019</v>
      </c>
      <c r="K68" t="s">
        <v>2020</v>
      </c>
      <c r="L68" t="s">
        <v>21</v>
      </c>
      <c r="M68" t="s">
        <v>19177</v>
      </c>
      <c r="N68" t="s">
        <v>714</v>
      </c>
      <c r="O68" t="s">
        <v>10263</v>
      </c>
      <c r="P68" t="s">
        <v>12</v>
      </c>
    </row>
    <row r="69">
      <c r="A69">
        <f>HYPERLINK("http://bombeiros.sp.gov.br/hidrantes/03individual/50.html","50")</f>
      </c>
      <c r="B69" t="s">
        <v>12</v>
      </c>
      <c r="C69" t="s">
        <v>57</v>
      </c>
      <c r="D69" t="s">
        <v>57</v>
      </c>
      <c r="E69" t="s">
        <v>15</v>
      </c>
      <c r="F69" t="s">
        <v>2021</v>
      </c>
      <c r="G69" t="s">
        <v>18063</v>
      </c>
      <c r="H69" t="s">
        <v>1121</v>
      </c>
      <c r="I69" t="s">
        <v>1117</v>
      </c>
      <c r="J69" t="s">
        <v>2022</v>
      </c>
      <c r="K69" t="s">
        <v>2023</v>
      </c>
      <c r="L69" t="s">
        <v>21</v>
      </c>
      <c r="M69" t="s">
        <v>19177</v>
      </c>
      <c r="N69" t="s">
        <v>97</v>
      </c>
      <c r="O69" t="s">
        <v>937</v>
      </c>
      <c r="P69" t="s">
        <v>12</v>
      </c>
    </row>
    <row r="70">
      <c r="A70">
        <f>HYPERLINK("http://bombeiros.sp.gov.br/hidrantes/03individual/55.html","55")</f>
      </c>
      <c r="B70" t="s">
        <v>12</v>
      </c>
      <c r="C70" t="s">
        <v>57</v>
      </c>
      <c r="D70" t="s">
        <v>2036</v>
      </c>
      <c r="E70" t="s">
        <v>15</v>
      </c>
      <c r="F70" t="s">
        <v>2043</v>
      </c>
      <c r="G70" t="s">
        <v>18074</v>
      </c>
      <c r="H70" t="s">
        <v>1121</v>
      </c>
      <c r="I70" t="s">
        <v>1117</v>
      </c>
      <c r="J70" t="s">
        <v>2044</v>
      </c>
      <c r="K70" t="s">
        <v>2045</v>
      </c>
      <c r="L70" t="s">
        <v>21</v>
      </c>
      <c r="M70" t="s">
        <v>19177</v>
      </c>
      <c r="N70" t="s">
        <v>714</v>
      </c>
      <c r="O70" t="s">
        <v>10263</v>
      </c>
      <c r="P70" t="s">
        <v>12</v>
      </c>
    </row>
    <row r="71">
      <c r="A71">
        <f>HYPERLINK("http://bombeiros.sp.gov.br/hidrantes/03individual/108.html","108")</f>
      </c>
      <c r="B71" t="s">
        <v>12</v>
      </c>
      <c r="C71" t="s">
        <v>57</v>
      </c>
      <c r="D71" t="s">
        <v>2036</v>
      </c>
      <c r="E71" t="s">
        <v>15</v>
      </c>
      <c r="F71" t="s">
        <v>2049</v>
      </c>
      <c r="G71" t="s">
        <v>18074</v>
      </c>
      <c r="H71" t="s">
        <v>1121</v>
      </c>
      <c r="I71" t="s">
        <v>1117</v>
      </c>
      <c r="J71" t="s">
        <v>2050</v>
      </c>
      <c r="K71" t="s">
        <v>2051</v>
      </c>
      <c r="L71" t="s">
        <v>21</v>
      </c>
      <c r="M71" t="s">
        <v>19177</v>
      </c>
      <c r="N71" t="s">
        <v>714</v>
      </c>
      <c r="O71" t="s">
        <v>10263</v>
      </c>
      <c r="P71" t="s">
        <v>12</v>
      </c>
    </row>
    <row r="72">
      <c r="A72">
        <f>HYPERLINK("http://bombeiros.sp.gov.br/hidrantes/03individual/2395.html","2395")</f>
      </c>
      <c r="B72" t="s">
        <v>12</v>
      </c>
      <c r="C72" t="s">
        <v>57</v>
      </c>
      <c r="D72" t="s">
        <v>2036</v>
      </c>
      <c r="E72" t="s">
        <v>15</v>
      </c>
      <c r="F72" t="s">
        <v>2055</v>
      </c>
      <c r="G72" t="s">
        <v>18074</v>
      </c>
      <c r="H72" t="s">
        <v>1121</v>
      </c>
      <c r="I72" t="s">
        <v>1117</v>
      </c>
      <c r="J72" t="s">
        <v>2056</v>
      </c>
      <c r="K72" t="s">
        <v>2057</v>
      </c>
      <c r="L72" t="s">
        <v>36</v>
      </c>
      <c r="M72" t="s">
        <v>19177</v>
      </c>
      <c r="N72" t="s">
        <v>714</v>
      </c>
      <c r="O72" t="s">
        <v>10263</v>
      </c>
      <c r="P72" t="s">
        <v>12</v>
      </c>
    </row>
    <row r="73">
      <c r="A73">
        <f>HYPERLINK("http://bombeiros.sp.gov.br/hidrantes/03individual/2777.html","2777")</f>
      </c>
      <c r="B73" t="s">
        <v>12</v>
      </c>
      <c r="C73" t="s">
        <v>63</v>
      </c>
      <c r="D73" t="s">
        <v>2064</v>
      </c>
      <c r="E73" t="s">
        <v>64</v>
      </c>
      <c r="F73" t="s">
        <v>2065</v>
      </c>
      <c r="G73" t="s">
        <v>18051</v>
      </c>
      <c r="H73" t="s">
        <v>1121</v>
      </c>
      <c r="I73" t="s">
        <v>1117</v>
      </c>
      <c r="J73" t="s">
        <v>2066</v>
      </c>
      <c r="K73" t="s">
        <v>2067</v>
      </c>
      <c r="L73" t="s">
        <v>36</v>
      </c>
      <c r="M73" t="s">
        <v>19177</v>
      </c>
      <c r="N73" t="s">
        <v>97</v>
      </c>
      <c r="O73" t="s">
        <v>937</v>
      </c>
      <c r="P73" t="s">
        <v>12</v>
      </c>
    </row>
    <row r="74">
      <c r="A74">
        <f>HYPERLINK("http://bombeiros.sp.gov.br/hidrantes/03individual/2789.html","2789")</f>
      </c>
      <c r="B74" t="s">
        <v>12</v>
      </c>
      <c r="C74" t="s">
        <v>63</v>
      </c>
      <c r="D74" t="s">
        <v>2064</v>
      </c>
      <c r="E74" t="s">
        <v>64</v>
      </c>
      <c r="F74" t="s">
        <v>2068</v>
      </c>
      <c r="G74" t="s">
        <v>18043</v>
      </c>
      <c r="H74" t="s">
        <v>1121</v>
      </c>
      <c r="I74" t="s">
        <v>1117</v>
      </c>
      <c r="J74" t="s">
        <v>2069</v>
      </c>
      <c r="K74" t="s">
        <v>2070</v>
      </c>
      <c r="L74" t="s">
        <v>36</v>
      </c>
      <c r="M74" t="s">
        <v>19177</v>
      </c>
      <c r="N74" t="s">
        <v>97</v>
      </c>
      <c r="O74" t="s">
        <v>937</v>
      </c>
      <c r="P74" t="s">
        <v>12</v>
      </c>
    </row>
    <row r="75">
      <c r="A75">
        <f>HYPERLINK("http://bombeiros.sp.gov.br/hidrantes/03individual/4175.html","4175")</f>
      </c>
      <c r="B75" t="s">
        <v>12</v>
      </c>
      <c r="C75" t="s">
        <v>63</v>
      </c>
      <c r="D75" t="s">
        <v>2064</v>
      </c>
      <c r="E75" t="s">
        <v>64</v>
      </c>
      <c r="F75" t="s">
        <v>2071</v>
      </c>
      <c r="G75" t="s">
        <v>18150</v>
      </c>
      <c r="H75" t="s">
        <v>1121</v>
      </c>
      <c r="I75" t="s">
        <v>1117</v>
      </c>
      <c r="J75" t="s">
        <v>2072</v>
      </c>
      <c r="K75" t="s">
        <v>2073</v>
      </c>
      <c r="L75" t="s">
        <v>21</v>
      </c>
      <c r="M75" t="s">
        <v>19177</v>
      </c>
      <c r="N75" t="s">
        <v>97</v>
      </c>
      <c r="O75" t="s">
        <v>937</v>
      </c>
      <c r="P75" t="s">
        <v>12</v>
      </c>
    </row>
    <row r="76">
      <c r="A76">
        <f>HYPERLINK("http://bombeiros.sp.gov.br/hidrantes/03individual/2632.html","2632")</f>
      </c>
      <c r="B76" t="s">
        <v>12</v>
      </c>
      <c r="C76" t="s">
        <v>63</v>
      </c>
      <c r="D76" t="s">
        <v>2064</v>
      </c>
      <c r="E76" t="s">
        <v>15</v>
      </c>
      <c r="F76" t="s">
        <v>2095</v>
      </c>
      <c r="G76" t="s">
        <v>18063</v>
      </c>
      <c r="H76" t="s">
        <v>1121</v>
      </c>
      <c r="I76" t="s">
        <v>1117</v>
      </c>
      <c r="J76" t="s">
        <v>16354</v>
      </c>
      <c r="K76" t="s">
        <v>16355</v>
      </c>
      <c r="L76" t="s">
        <v>36</v>
      </c>
      <c r="M76" t="s">
        <v>19177</v>
      </c>
      <c r="N76" t="s">
        <v>97</v>
      </c>
      <c r="O76" t="s">
        <v>937</v>
      </c>
      <c r="P76" t="s">
        <v>12</v>
      </c>
    </row>
    <row r="77">
      <c r="A77">
        <f>HYPERLINK("http://bombeiros.sp.gov.br/hidrantes/03individual/2770.html","2770")</f>
      </c>
      <c r="B77" t="s">
        <v>12</v>
      </c>
      <c r="C77" t="s">
        <v>63</v>
      </c>
      <c r="D77" t="s">
        <v>2064</v>
      </c>
      <c r="E77" t="s">
        <v>15</v>
      </c>
      <c r="F77" t="s">
        <v>2098</v>
      </c>
      <c r="G77" t="s">
        <v>18064</v>
      </c>
      <c r="H77" t="s">
        <v>1121</v>
      </c>
      <c r="I77" t="s">
        <v>1117</v>
      </c>
      <c r="J77" t="s">
        <v>2099</v>
      </c>
      <c r="K77" t="s">
        <v>2100</v>
      </c>
      <c r="L77" t="s">
        <v>21</v>
      </c>
      <c r="M77" t="s">
        <v>19177</v>
      </c>
      <c r="N77" t="s">
        <v>97</v>
      </c>
      <c r="O77" t="s">
        <v>937</v>
      </c>
      <c r="P77" t="s">
        <v>12</v>
      </c>
    </row>
    <row r="78">
      <c r="A78">
        <f>HYPERLINK("http://bombeiros.sp.gov.br/hidrantes/03individual/2790.html","2790")</f>
      </c>
      <c r="B78" t="s">
        <v>12</v>
      </c>
      <c r="C78" t="s">
        <v>63</v>
      </c>
      <c r="D78" t="s">
        <v>2064</v>
      </c>
      <c r="E78" t="s">
        <v>15</v>
      </c>
      <c r="F78" t="s">
        <v>2101</v>
      </c>
      <c r="G78" t="s">
        <v>18063</v>
      </c>
      <c r="H78" t="s">
        <v>1121</v>
      </c>
      <c r="I78" t="s">
        <v>1117</v>
      </c>
      <c r="J78" t="s">
        <v>2102</v>
      </c>
      <c r="K78" t="s">
        <v>2103</v>
      </c>
      <c r="L78" t="s">
        <v>36</v>
      </c>
      <c r="M78" t="s">
        <v>19177</v>
      </c>
      <c r="N78" t="s">
        <v>97</v>
      </c>
      <c r="O78" t="s">
        <v>937</v>
      </c>
      <c r="P78" t="s">
        <v>12</v>
      </c>
    </row>
    <row r="79">
      <c r="A79">
        <f>HYPERLINK("http://bombeiros.sp.gov.br/hidrantes/03individual/777.html","777")</f>
      </c>
      <c r="B79" t="s">
        <v>12</v>
      </c>
      <c r="C79" t="s">
        <v>63</v>
      </c>
      <c r="D79" t="s">
        <v>63</v>
      </c>
      <c r="E79" t="s">
        <v>64</v>
      </c>
      <c r="F79" t="s">
        <v>2113</v>
      </c>
      <c r="G79" t="s">
        <v>18064</v>
      </c>
      <c r="H79" t="s">
        <v>1121</v>
      </c>
      <c r="I79" t="s">
        <v>1117</v>
      </c>
      <c r="J79" t="s">
        <v>2114</v>
      </c>
      <c r="K79" t="s">
        <v>2115</v>
      </c>
      <c r="L79" t="s">
        <v>36</v>
      </c>
      <c r="M79" t="s">
        <v>19177</v>
      </c>
      <c r="N79" t="s">
        <v>97</v>
      </c>
      <c r="O79" t="s">
        <v>937</v>
      </c>
      <c r="P79" t="s">
        <v>12</v>
      </c>
    </row>
    <row r="80">
      <c r="A80">
        <f>HYPERLINK("http://bombeiros.sp.gov.br/hidrantes/03individual/2861.html","2861")</f>
      </c>
      <c r="B80" t="s">
        <v>12</v>
      </c>
      <c r="C80" t="s">
        <v>63</v>
      </c>
      <c r="D80" t="s">
        <v>63</v>
      </c>
      <c r="E80" t="s">
        <v>64</v>
      </c>
      <c r="F80" t="s">
        <v>2119</v>
      </c>
      <c r="G80" t="s">
        <v>18064</v>
      </c>
      <c r="H80" t="s">
        <v>1121</v>
      </c>
      <c r="I80" t="s">
        <v>1117</v>
      </c>
      <c r="J80" t="s">
        <v>2120</v>
      </c>
      <c r="K80" t="s">
        <v>2121</v>
      </c>
      <c r="L80" t="s">
        <v>36</v>
      </c>
      <c r="M80" t="s">
        <v>19177</v>
      </c>
      <c r="N80" t="s">
        <v>97</v>
      </c>
      <c r="O80" t="s">
        <v>937</v>
      </c>
      <c r="P80" t="s">
        <v>12</v>
      </c>
    </row>
    <row r="81">
      <c r="A81">
        <f>HYPERLINK("http://bombeiros.sp.gov.br/hidrantes/03individual/2938.html","2938")</f>
      </c>
      <c r="B81" t="s">
        <v>12</v>
      </c>
      <c r="C81" t="s">
        <v>63</v>
      </c>
      <c r="D81" t="s">
        <v>63</v>
      </c>
      <c r="E81" t="s">
        <v>64</v>
      </c>
      <c r="F81" t="s">
        <v>2122</v>
      </c>
      <c r="G81" t="s">
        <v>18484</v>
      </c>
      <c r="H81" t="s">
        <v>1121</v>
      </c>
      <c r="I81" t="s">
        <v>1117</v>
      </c>
      <c r="J81" t="s">
        <v>2123</v>
      </c>
      <c r="K81" t="s">
        <v>2124</v>
      </c>
      <c r="L81" t="s">
        <v>21</v>
      </c>
      <c r="M81" t="s">
        <v>19177</v>
      </c>
      <c r="N81" t="s">
        <v>97</v>
      </c>
      <c r="O81" t="s">
        <v>937</v>
      </c>
      <c r="P81" t="s">
        <v>12</v>
      </c>
    </row>
    <row r="82">
      <c r="A82">
        <f>HYPERLINK("http://bombeiros.sp.gov.br/hidrantes/03individual/4281.html","4281")</f>
      </c>
      <c r="B82" t="s">
        <v>12</v>
      </c>
      <c r="C82" t="s">
        <v>63</v>
      </c>
      <c r="D82" t="s">
        <v>63</v>
      </c>
      <c r="E82" t="s">
        <v>64</v>
      </c>
      <c r="F82" t="s">
        <v>2125</v>
      </c>
      <c r="G82" t="s">
        <v>18064</v>
      </c>
      <c r="H82" t="s">
        <v>1121</v>
      </c>
      <c r="I82" t="s">
        <v>1117</v>
      </c>
      <c r="J82" t="s">
        <v>16151</v>
      </c>
      <c r="K82" t="s">
        <v>16152</v>
      </c>
      <c r="L82" t="s">
        <v>36</v>
      </c>
      <c r="M82" t="s">
        <v>19177</v>
      </c>
      <c r="N82" t="s">
        <v>97</v>
      </c>
      <c r="O82" t="s">
        <v>937</v>
      </c>
      <c r="P82" t="s">
        <v>12</v>
      </c>
    </row>
    <row r="83">
      <c r="A83">
        <f>HYPERLINK("http://bombeiros.sp.gov.br/hidrantes/03individual/2883.html","2883")</f>
      </c>
      <c r="B83" t="s">
        <v>12</v>
      </c>
      <c r="C83" t="s">
        <v>63</v>
      </c>
      <c r="D83" t="s">
        <v>63</v>
      </c>
      <c r="E83" t="s">
        <v>15</v>
      </c>
      <c r="F83" t="s">
        <v>2170</v>
      </c>
      <c r="G83" t="s">
        <v>18484</v>
      </c>
      <c r="H83" t="s">
        <v>1121</v>
      </c>
      <c r="I83" t="s">
        <v>1117</v>
      </c>
      <c r="J83" t="s">
        <v>2171</v>
      </c>
      <c r="K83" t="s">
        <v>2172</v>
      </c>
      <c r="L83" t="s">
        <v>21</v>
      </c>
      <c r="M83" t="s">
        <v>19177</v>
      </c>
      <c r="N83" t="s">
        <v>97</v>
      </c>
      <c r="O83" t="s">
        <v>937</v>
      </c>
      <c r="P83" t="s">
        <v>12</v>
      </c>
    </row>
    <row r="84">
      <c r="A84">
        <f>HYPERLINK("http://bombeiros.sp.gov.br/hidrantes/03individual/5498.html","5498")</f>
      </c>
      <c r="B84" t="s">
        <v>12</v>
      </c>
      <c r="C84" t="s">
        <v>63</v>
      </c>
      <c r="D84" t="s">
        <v>63</v>
      </c>
      <c r="E84" t="s">
        <v>15</v>
      </c>
      <c r="F84" t="s">
        <v>2189</v>
      </c>
      <c r="G84" t="s">
        <v>18057</v>
      </c>
      <c r="H84" t="s">
        <v>1121</v>
      </c>
      <c r="I84" t="s">
        <v>1117</v>
      </c>
      <c r="J84" t="s">
        <v>2190</v>
      </c>
      <c r="K84" t="s">
        <v>2191</v>
      </c>
      <c r="L84" t="s">
        <v>36</v>
      </c>
      <c r="M84" t="s">
        <v>19177</v>
      </c>
      <c r="N84" t="s">
        <v>97</v>
      </c>
      <c r="O84" t="s">
        <v>937</v>
      </c>
      <c r="P84" t="s">
        <v>12</v>
      </c>
    </row>
    <row r="85">
      <c r="A85">
        <f>HYPERLINK("http://bombeiros.sp.gov.br/hidrantes/03individual/5635.html","5635")</f>
      </c>
      <c r="B85" t="s">
        <v>12</v>
      </c>
      <c r="C85" t="s">
        <v>63</v>
      </c>
      <c r="D85" t="s">
        <v>63</v>
      </c>
      <c r="E85" t="s">
        <v>15</v>
      </c>
      <c r="F85" t="s">
        <v>2192</v>
      </c>
      <c r="G85" t="s">
        <v>18066</v>
      </c>
      <c r="H85" t="s">
        <v>1121</v>
      </c>
      <c r="I85" t="s">
        <v>1117</v>
      </c>
      <c r="J85" t="s">
        <v>2193</v>
      </c>
      <c r="K85" t="s">
        <v>2194</v>
      </c>
      <c r="L85" t="s">
        <v>36</v>
      </c>
      <c r="M85" t="s">
        <v>19177</v>
      </c>
      <c r="N85" t="s">
        <v>97</v>
      </c>
      <c r="O85" t="s">
        <v>937</v>
      </c>
      <c r="P85" t="s">
        <v>12</v>
      </c>
    </row>
    <row r="86">
      <c r="A86">
        <f>HYPERLINK("http://bombeiros.sp.gov.br/hidrantes/03individual/26631.html","26631")</f>
      </c>
      <c r="B86" t="s">
        <v>12</v>
      </c>
      <c r="C86" t="s">
        <v>63</v>
      </c>
      <c r="D86" t="s">
        <v>63</v>
      </c>
      <c r="E86" t="s">
        <v>15</v>
      </c>
      <c r="F86" t="s">
        <v>2218</v>
      </c>
      <c r="G86" t="s">
        <v>18060</v>
      </c>
      <c r="H86" t="s">
        <v>1121</v>
      </c>
      <c r="I86" t="s">
        <v>1117</v>
      </c>
      <c r="J86" t="s">
        <v>2219</v>
      </c>
      <c r="K86" t="s">
        <v>2220</v>
      </c>
      <c r="L86" t="s">
        <v>21</v>
      </c>
      <c r="M86" t="s">
        <v>19177</v>
      </c>
      <c r="N86" t="s">
        <v>97</v>
      </c>
      <c r="O86" t="s">
        <v>937</v>
      </c>
      <c r="P86" t="s">
        <v>12</v>
      </c>
    </row>
    <row r="87">
      <c r="A87">
        <f>HYPERLINK("http://bombeiros.sp.gov.br/hidrantes/03individual/2829.html","2829")</f>
      </c>
      <c r="B87" t="s">
        <v>12</v>
      </c>
      <c r="C87" t="s">
        <v>63</v>
      </c>
      <c r="D87" t="s">
        <v>77</v>
      </c>
      <c r="E87" t="s">
        <v>64</v>
      </c>
      <c r="F87" t="s">
        <v>2236</v>
      </c>
      <c r="G87" t="s">
        <v>18072</v>
      </c>
      <c r="H87" t="s">
        <v>1121</v>
      </c>
      <c r="I87" t="s">
        <v>1117</v>
      </c>
      <c r="J87" t="s">
        <v>2237</v>
      </c>
      <c r="K87" t="s">
        <v>2238</v>
      </c>
      <c r="L87" t="s">
        <v>36</v>
      </c>
      <c r="M87" t="s">
        <v>19177</v>
      </c>
      <c r="N87" t="s">
        <v>97</v>
      </c>
      <c r="O87" t="s">
        <v>937</v>
      </c>
      <c r="P87" t="s">
        <v>12</v>
      </c>
    </row>
    <row r="88">
      <c r="A88">
        <f>HYPERLINK("http://bombeiros.sp.gov.br/hidrantes/03individual/2847.html","2847")</f>
      </c>
      <c r="B88" t="s">
        <v>12</v>
      </c>
      <c r="C88" t="s">
        <v>63</v>
      </c>
      <c r="D88" t="s">
        <v>77</v>
      </c>
      <c r="E88" t="s">
        <v>64</v>
      </c>
      <c r="F88" t="s">
        <v>2242</v>
      </c>
      <c r="G88" t="s">
        <v>18057</v>
      </c>
      <c r="H88" t="s">
        <v>1121</v>
      </c>
      <c r="I88" t="s">
        <v>1117</v>
      </c>
      <c r="J88" t="s">
        <v>2243</v>
      </c>
      <c r="K88" t="s">
        <v>2244</v>
      </c>
      <c r="L88" t="s">
        <v>36</v>
      </c>
      <c r="M88" t="s">
        <v>19177</v>
      </c>
      <c r="N88" t="s">
        <v>97</v>
      </c>
      <c r="O88" t="s">
        <v>937</v>
      </c>
      <c r="P88" t="s">
        <v>12</v>
      </c>
    </row>
    <row r="89">
      <c r="A89">
        <f>HYPERLINK("http://bombeiros.sp.gov.br/hidrantes/03individual/2848.html","2848")</f>
      </c>
      <c r="B89" t="s">
        <v>12</v>
      </c>
      <c r="C89" t="s">
        <v>63</v>
      </c>
      <c r="D89" t="s">
        <v>77</v>
      </c>
      <c r="E89" t="s">
        <v>64</v>
      </c>
      <c r="F89" t="s">
        <v>2245</v>
      </c>
      <c r="G89" t="s">
        <v>18057</v>
      </c>
      <c r="H89" t="s">
        <v>1121</v>
      </c>
      <c r="I89" t="s">
        <v>1117</v>
      </c>
      <c r="J89" t="s">
        <v>2246</v>
      </c>
      <c r="K89" t="s">
        <v>2247</v>
      </c>
      <c r="L89" t="s">
        <v>36</v>
      </c>
      <c r="M89" t="s">
        <v>19177</v>
      </c>
      <c r="N89" t="s">
        <v>97</v>
      </c>
      <c r="O89" t="s">
        <v>937</v>
      </c>
      <c r="P89" t="s">
        <v>12</v>
      </c>
    </row>
    <row r="90">
      <c r="A90">
        <f>HYPERLINK("http://bombeiros.sp.gov.br/hidrantes/03individual/2939.html","2939")</f>
      </c>
      <c r="B90" t="s">
        <v>12</v>
      </c>
      <c r="C90" t="s">
        <v>63</v>
      </c>
      <c r="D90" t="s">
        <v>77</v>
      </c>
      <c r="E90" t="s">
        <v>64</v>
      </c>
      <c r="F90" t="s">
        <v>2252</v>
      </c>
      <c r="G90" t="s">
        <v>18043</v>
      </c>
      <c r="H90" t="s">
        <v>1121</v>
      </c>
      <c r="I90" t="s">
        <v>1117</v>
      </c>
      <c r="J90" t="s">
        <v>16004</v>
      </c>
      <c r="K90" t="s">
        <v>16005</v>
      </c>
      <c r="L90" t="s">
        <v>36</v>
      </c>
      <c r="M90" t="s">
        <v>19177</v>
      </c>
      <c r="N90" t="s">
        <v>97</v>
      </c>
      <c r="O90" t="s">
        <v>937</v>
      </c>
      <c r="P90" t="s">
        <v>12</v>
      </c>
    </row>
    <row r="91">
      <c r="A91">
        <f>HYPERLINK("http://bombeiros.sp.gov.br/hidrantes/03individual/2941.html","2941")</f>
      </c>
      <c r="B91" t="s">
        <v>12</v>
      </c>
      <c r="C91" t="s">
        <v>63</v>
      </c>
      <c r="D91" t="s">
        <v>77</v>
      </c>
      <c r="E91" t="s">
        <v>64</v>
      </c>
      <c r="F91" t="s">
        <v>2255</v>
      </c>
      <c r="G91" t="s">
        <v>18067</v>
      </c>
      <c r="H91" t="s">
        <v>1121</v>
      </c>
      <c r="I91" t="s">
        <v>1117</v>
      </c>
      <c r="J91" t="s">
        <v>2256</v>
      </c>
      <c r="K91" t="s">
        <v>2257</v>
      </c>
      <c r="L91" t="s">
        <v>21</v>
      </c>
      <c r="M91" t="s">
        <v>19177</v>
      </c>
      <c r="N91" t="s">
        <v>97</v>
      </c>
      <c r="O91" t="s">
        <v>937</v>
      </c>
      <c r="P91" t="s">
        <v>12</v>
      </c>
    </row>
    <row r="92">
      <c r="A92">
        <f>HYPERLINK("http://bombeiros.sp.gov.br/hidrantes/03individual/2949.html","2949")</f>
      </c>
      <c r="B92" t="s">
        <v>12</v>
      </c>
      <c r="C92" t="s">
        <v>63</v>
      </c>
      <c r="D92" t="s">
        <v>77</v>
      </c>
      <c r="E92" t="s">
        <v>64</v>
      </c>
      <c r="F92" t="s">
        <v>2261</v>
      </c>
      <c r="G92" t="s">
        <v>18143</v>
      </c>
      <c r="H92" t="s">
        <v>1121</v>
      </c>
      <c r="I92" t="s">
        <v>1117</v>
      </c>
      <c r="J92" t="s">
        <v>15980</v>
      </c>
      <c r="K92" t="s">
        <v>15981</v>
      </c>
      <c r="L92" t="s">
        <v>36</v>
      </c>
      <c r="M92" t="s">
        <v>19177</v>
      </c>
      <c r="N92" t="s">
        <v>97</v>
      </c>
      <c r="O92" t="s">
        <v>937</v>
      </c>
      <c r="P92" t="s">
        <v>12</v>
      </c>
    </row>
    <row r="93">
      <c r="A93">
        <f>HYPERLINK("http://bombeiros.sp.gov.br/hidrantes/03individual/14991.html","14991")</f>
      </c>
      <c r="B93" t="s">
        <v>12</v>
      </c>
      <c r="C93" t="s">
        <v>63</v>
      </c>
      <c r="D93" t="s">
        <v>77</v>
      </c>
      <c r="E93" t="s">
        <v>64</v>
      </c>
      <c r="F93" t="s">
        <v>2265</v>
      </c>
      <c r="G93" t="s">
        <v>18057</v>
      </c>
      <c r="H93" t="s">
        <v>1121</v>
      </c>
      <c r="I93" t="s">
        <v>1117</v>
      </c>
      <c r="J93" t="s">
        <v>2266</v>
      </c>
      <c r="K93" t="s">
        <v>2267</v>
      </c>
      <c r="L93" t="s">
        <v>21</v>
      </c>
      <c r="M93" t="s">
        <v>19177</v>
      </c>
      <c r="N93" t="s">
        <v>97</v>
      </c>
      <c r="O93" t="s">
        <v>937</v>
      </c>
      <c r="P93" t="s">
        <v>12</v>
      </c>
    </row>
    <row r="94">
      <c r="A94">
        <f>HYPERLINK("http://bombeiros.sp.gov.br/hidrantes/03individual/26676.html","26676")</f>
      </c>
      <c r="B94" t="s">
        <v>12</v>
      </c>
      <c r="C94" t="s">
        <v>63</v>
      </c>
      <c r="D94" t="s">
        <v>77</v>
      </c>
      <c r="E94" t="s">
        <v>64</v>
      </c>
      <c r="F94" t="s">
        <v>2268</v>
      </c>
      <c r="G94" t="s">
        <v>18187</v>
      </c>
      <c r="H94" t="s">
        <v>1121</v>
      </c>
      <c r="I94" t="s">
        <v>1117</v>
      </c>
      <c r="J94" t="s">
        <v>2269</v>
      </c>
      <c r="K94" t="s">
        <v>2270</v>
      </c>
      <c r="L94" t="s">
        <v>21</v>
      </c>
      <c r="M94" t="s">
        <v>19177</v>
      </c>
      <c r="N94" t="s">
        <v>97</v>
      </c>
      <c r="O94" t="s">
        <v>937</v>
      </c>
      <c r="P94" t="s">
        <v>12</v>
      </c>
    </row>
    <row r="95">
      <c r="A95">
        <f>HYPERLINK("http://bombeiros.sp.gov.br/hidrantes/03individual/527.html","527")</f>
      </c>
      <c r="B95" t="s">
        <v>12</v>
      </c>
      <c r="C95" t="s">
        <v>63</v>
      </c>
      <c r="D95" t="s">
        <v>77</v>
      </c>
      <c r="E95" t="s">
        <v>15</v>
      </c>
      <c r="F95" t="s">
        <v>2271</v>
      </c>
      <c r="G95" t="s">
        <v>18068</v>
      </c>
      <c r="H95" t="s">
        <v>1121</v>
      </c>
      <c r="I95" t="s">
        <v>1117</v>
      </c>
      <c r="J95" t="s">
        <v>2273</v>
      </c>
      <c r="K95" t="s">
        <v>2274</v>
      </c>
      <c r="L95" t="s">
        <v>21</v>
      </c>
      <c r="M95" t="s">
        <v>19177</v>
      </c>
      <c r="N95" t="s">
        <v>97</v>
      </c>
      <c r="O95" t="s">
        <v>937</v>
      </c>
      <c r="P95" t="s">
        <v>12</v>
      </c>
    </row>
    <row r="96">
      <c r="A96">
        <f>HYPERLINK("http://bombeiros.sp.gov.br/hidrantes/03individual/2919.html","2919")</f>
      </c>
      <c r="B96" t="s">
        <v>12</v>
      </c>
      <c r="C96" t="s">
        <v>92</v>
      </c>
      <c r="D96" t="s">
        <v>2332</v>
      </c>
      <c r="E96" t="s">
        <v>64</v>
      </c>
      <c r="F96" t="s">
        <v>2339</v>
      </c>
      <c r="G96" t="s">
        <v>18057</v>
      </c>
      <c r="H96" t="s">
        <v>1121</v>
      </c>
      <c r="I96" t="s">
        <v>1117</v>
      </c>
      <c r="J96" t="s">
        <v>2341</v>
      </c>
      <c r="K96" t="s">
        <v>2342</v>
      </c>
      <c r="L96" t="s">
        <v>36</v>
      </c>
      <c r="M96" t="s">
        <v>19177</v>
      </c>
      <c r="N96" t="s">
        <v>97</v>
      </c>
      <c r="O96" t="s">
        <v>937</v>
      </c>
      <c r="P96" t="s">
        <v>12</v>
      </c>
    </row>
    <row r="97">
      <c r="A97">
        <f>HYPERLINK("http://bombeiros.sp.gov.br/hidrantes/03individual/2819.html","2819")</f>
      </c>
      <c r="B97" t="s">
        <v>12</v>
      </c>
      <c r="C97" t="s">
        <v>92</v>
      </c>
      <c r="D97" t="s">
        <v>2332</v>
      </c>
      <c r="E97" t="s">
        <v>15</v>
      </c>
      <c r="F97" t="s">
        <v>2423</v>
      </c>
      <c r="G97" t="s">
        <v>18055</v>
      </c>
      <c r="H97" t="s">
        <v>1121</v>
      </c>
      <c r="I97" t="s">
        <v>1117</v>
      </c>
      <c r="J97" t="s">
        <v>2424</v>
      </c>
      <c r="K97" t="s">
        <v>2425</v>
      </c>
      <c r="L97" t="s">
        <v>21</v>
      </c>
      <c r="M97" t="s">
        <v>19177</v>
      </c>
      <c r="N97" t="s">
        <v>97</v>
      </c>
      <c r="O97" t="s">
        <v>937</v>
      </c>
      <c r="P97" t="s">
        <v>12</v>
      </c>
    </row>
    <row r="98">
      <c r="A98">
        <f>HYPERLINK("http://bombeiros.sp.gov.br/hidrantes/03individual/2783.html","2783")</f>
      </c>
      <c r="B98" t="s">
        <v>12</v>
      </c>
      <c r="C98" t="s">
        <v>92</v>
      </c>
      <c r="D98" t="s">
        <v>2485</v>
      </c>
      <c r="E98" t="s">
        <v>64</v>
      </c>
      <c r="F98" t="s">
        <v>2486</v>
      </c>
      <c r="G98" t="s">
        <v>18048</v>
      </c>
      <c r="H98" t="s">
        <v>1121</v>
      </c>
      <c r="I98" t="s">
        <v>1117</v>
      </c>
      <c r="J98" t="s">
        <v>2487</v>
      </c>
      <c r="K98" t="s">
        <v>2488</v>
      </c>
      <c r="L98" t="s">
        <v>36</v>
      </c>
      <c r="M98" t="s">
        <v>19177</v>
      </c>
      <c r="N98" t="s">
        <v>97</v>
      </c>
      <c r="O98" t="s">
        <v>937</v>
      </c>
      <c r="P98" t="s">
        <v>12</v>
      </c>
    </row>
    <row r="99">
      <c r="A99">
        <f>HYPERLINK("http://bombeiros.sp.gov.br/hidrantes/03individual/625.html","625")</f>
      </c>
      <c r="B99" t="s">
        <v>12</v>
      </c>
      <c r="C99" t="s">
        <v>92</v>
      </c>
      <c r="D99" t="s">
        <v>2485</v>
      </c>
      <c r="E99" t="s">
        <v>15</v>
      </c>
      <c r="F99" t="s">
        <v>2498</v>
      </c>
      <c r="G99" t="s">
        <v>18068</v>
      </c>
      <c r="H99" t="s">
        <v>1121</v>
      </c>
      <c r="I99" t="s">
        <v>1117</v>
      </c>
      <c r="J99" t="s">
        <v>2499</v>
      </c>
      <c r="K99" t="s">
        <v>2500</v>
      </c>
      <c r="L99" t="s">
        <v>21</v>
      </c>
      <c r="M99" t="s">
        <v>19177</v>
      </c>
      <c r="N99" t="s">
        <v>97</v>
      </c>
      <c r="O99" t="s">
        <v>937</v>
      </c>
      <c r="P99" t="s">
        <v>12</v>
      </c>
    </row>
    <row r="100">
      <c r="A100">
        <f>HYPERLINK("http://bombeiros.sp.gov.br/hidrantes/03individual/626.html","626")</f>
      </c>
      <c r="B100" t="s">
        <v>12</v>
      </c>
      <c r="C100" t="s">
        <v>92</v>
      </c>
      <c r="D100" t="s">
        <v>2485</v>
      </c>
      <c r="E100" t="s">
        <v>15</v>
      </c>
      <c r="F100" t="s">
        <v>2501</v>
      </c>
      <c r="G100" t="s">
        <v>18050</v>
      </c>
      <c r="H100" t="s">
        <v>1121</v>
      </c>
      <c r="I100" t="s">
        <v>1117</v>
      </c>
      <c r="J100" t="s">
        <v>2502</v>
      </c>
      <c r="K100" t="s">
        <v>2503</v>
      </c>
      <c r="L100" t="s">
        <v>21</v>
      </c>
      <c r="M100" t="s">
        <v>19177</v>
      </c>
      <c r="N100" t="s">
        <v>97</v>
      </c>
      <c r="O100" t="s">
        <v>937</v>
      </c>
      <c r="P100" t="s">
        <v>12</v>
      </c>
    </row>
    <row r="101">
      <c r="A101">
        <f>HYPERLINK("http://bombeiros.sp.gov.br/hidrantes/03individual/2805.html","2805")</f>
      </c>
      <c r="B101" t="s">
        <v>12</v>
      </c>
      <c r="C101" t="s">
        <v>92</v>
      </c>
      <c r="D101" t="s">
        <v>92</v>
      </c>
      <c r="E101" t="s">
        <v>64</v>
      </c>
      <c r="F101" t="s">
        <v>2544</v>
      </c>
      <c r="G101" t="s">
        <v>18055</v>
      </c>
      <c r="H101" t="s">
        <v>1121</v>
      </c>
      <c r="I101" t="s">
        <v>1117</v>
      </c>
      <c r="J101" t="s">
        <v>2545</v>
      </c>
      <c r="K101" t="s">
        <v>2546</v>
      </c>
      <c r="L101" t="s">
        <v>36</v>
      </c>
      <c r="M101" t="s">
        <v>19177</v>
      </c>
      <c r="N101" t="s">
        <v>97</v>
      </c>
      <c r="O101" t="s">
        <v>937</v>
      </c>
      <c r="P101" t="s">
        <v>12</v>
      </c>
    </row>
    <row r="102">
      <c r="A102">
        <f>HYPERLINK("http://bombeiros.sp.gov.br/hidrantes/03individual/2810.html","2810")</f>
      </c>
      <c r="B102" t="s">
        <v>12</v>
      </c>
      <c r="C102" t="s">
        <v>92</v>
      </c>
      <c r="D102" t="s">
        <v>92</v>
      </c>
      <c r="E102" t="s">
        <v>64</v>
      </c>
      <c r="F102" t="s">
        <v>2547</v>
      </c>
      <c r="G102" t="s">
        <v>18055</v>
      </c>
      <c r="H102" t="s">
        <v>1121</v>
      </c>
      <c r="I102" t="s">
        <v>1117</v>
      </c>
      <c r="J102" t="s">
        <v>2548</v>
      </c>
      <c r="K102" t="s">
        <v>2549</v>
      </c>
      <c r="L102" t="s">
        <v>36</v>
      </c>
      <c r="M102" t="s">
        <v>19177</v>
      </c>
      <c r="N102" t="s">
        <v>97</v>
      </c>
      <c r="O102" t="s">
        <v>937</v>
      </c>
      <c r="P102" t="s">
        <v>12</v>
      </c>
    </row>
    <row r="103">
      <c r="A103">
        <f>HYPERLINK("http://bombeiros.sp.gov.br/hidrantes/03individual/2824.html","2824")</f>
      </c>
      <c r="B103" t="s">
        <v>12</v>
      </c>
      <c r="C103" t="s">
        <v>92</v>
      </c>
      <c r="D103" t="s">
        <v>92</v>
      </c>
      <c r="E103" t="s">
        <v>64</v>
      </c>
      <c r="F103" t="s">
        <v>2550</v>
      </c>
      <c r="G103" t="s">
        <v>18055</v>
      </c>
      <c r="H103" t="s">
        <v>1121</v>
      </c>
      <c r="I103" t="s">
        <v>1117</v>
      </c>
      <c r="J103" t="s">
        <v>2551</v>
      </c>
      <c r="K103" t="s">
        <v>2552</v>
      </c>
      <c r="L103" t="s">
        <v>36</v>
      </c>
      <c r="M103" t="s">
        <v>19177</v>
      </c>
      <c r="N103" t="s">
        <v>97</v>
      </c>
      <c r="O103" t="s">
        <v>937</v>
      </c>
      <c r="P103" t="s">
        <v>12</v>
      </c>
    </row>
    <row r="104">
      <c r="A104">
        <f>HYPERLINK("http://bombeiros.sp.gov.br/hidrantes/03individual/2895.html","2895")</f>
      </c>
      <c r="B104" t="s">
        <v>12</v>
      </c>
      <c r="C104" t="s">
        <v>92</v>
      </c>
      <c r="D104" t="s">
        <v>92</v>
      </c>
      <c r="E104" t="s">
        <v>64</v>
      </c>
      <c r="F104" t="s">
        <v>2556</v>
      </c>
      <c r="G104" t="s">
        <v>18180</v>
      </c>
      <c r="H104" t="s">
        <v>1121</v>
      </c>
      <c r="I104" t="s">
        <v>1117</v>
      </c>
      <c r="J104" t="s">
        <v>2557</v>
      </c>
      <c r="K104" t="s">
        <v>2558</v>
      </c>
      <c r="L104" t="s">
        <v>36</v>
      </c>
      <c r="M104" t="s">
        <v>19177</v>
      </c>
      <c r="N104" t="s">
        <v>97</v>
      </c>
      <c r="O104" t="s">
        <v>937</v>
      </c>
      <c r="P104" t="s">
        <v>12</v>
      </c>
    </row>
    <row r="105">
      <c r="A105">
        <f>HYPERLINK("http://bombeiros.sp.gov.br/hidrantes/03individual/2905.html","2905")</f>
      </c>
      <c r="B105" t="s">
        <v>12</v>
      </c>
      <c r="C105" t="s">
        <v>92</v>
      </c>
      <c r="D105" t="s">
        <v>92</v>
      </c>
      <c r="E105" t="s">
        <v>64</v>
      </c>
      <c r="F105" t="s">
        <v>2559</v>
      </c>
      <c r="G105" t="s">
        <v>18070</v>
      </c>
      <c r="H105" t="s">
        <v>1121</v>
      </c>
      <c r="I105" t="s">
        <v>1108</v>
      </c>
      <c r="J105" t="s">
        <v>2560</v>
      </c>
      <c r="K105" t="s">
        <v>2561</v>
      </c>
      <c r="L105" t="s">
        <v>36</v>
      </c>
      <c r="M105" t="s">
        <v>19177</v>
      </c>
      <c r="N105" t="s">
        <v>97</v>
      </c>
      <c r="O105" t="s">
        <v>937</v>
      </c>
      <c r="P105" t="s">
        <v>12</v>
      </c>
    </row>
    <row r="106">
      <c r="A106">
        <f>HYPERLINK("http://bombeiros.sp.gov.br/hidrantes/03individual/2912.html","2912")</f>
      </c>
      <c r="B106" t="s">
        <v>12</v>
      </c>
      <c r="C106" t="s">
        <v>92</v>
      </c>
      <c r="D106" t="s">
        <v>92</v>
      </c>
      <c r="E106" t="s">
        <v>64</v>
      </c>
      <c r="F106" t="s">
        <v>2562</v>
      </c>
      <c r="G106" t="s">
        <v>18070</v>
      </c>
      <c r="H106" t="s">
        <v>1121</v>
      </c>
      <c r="I106" t="s">
        <v>1117</v>
      </c>
      <c r="J106" t="s">
        <v>2563</v>
      </c>
      <c r="K106" t="s">
        <v>2564</v>
      </c>
      <c r="L106" t="s">
        <v>21</v>
      </c>
      <c r="M106" t="s">
        <v>19177</v>
      </c>
      <c r="N106" t="s">
        <v>97</v>
      </c>
      <c r="O106" t="s">
        <v>937</v>
      </c>
      <c r="P106" t="s">
        <v>12</v>
      </c>
    </row>
    <row r="107">
      <c r="A107">
        <f>HYPERLINK("http://bombeiros.sp.gov.br/hidrantes/03individual/2950.html","2950")</f>
      </c>
      <c r="B107" t="s">
        <v>12</v>
      </c>
      <c r="C107" t="s">
        <v>92</v>
      </c>
      <c r="D107" t="s">
        <v>92</v>
      </c>
      <c r="E107" t="s">
        <v>64</v>
      </c>
      <c r="F107" t="s">
        <v>2565</v>
      </c>
      <c r="G107" t="s">
        <v>18070</v>
      </c>
      <c r="H107" t="s">
        <v>1121</v>
      </c>
      <c r="I107" t="s">
        <v>1117</v>
      </c>
      <c r="J107" t="s">
        <v>2566</v>
      </c>
      <c r="K107" t="s">
        <v>2567</v>
      </c>
      <c r="L107" t="s">
        <v>36</v>
      </c>
      <c r="M107" t="s">
        <v>19177</v>
      </c>
      <c r="N107" t="s">
        <v>97</v>
      </c>
      <c r="O107" t="s">
        <v>937</v>
      </c>
      <c r="P107" t="s">
        <v>12</v>
      </c>
    </row>
    <row r="108">
      <c r="A108">
        <f>HYPERLINK("http://bombeiros.sp.gov.br/hidrantes/03individual/27420.html","27420")</f>
      </c>
      <c r="B108" t="s">
        <v>12</v>
      </c>
      <c r="C108" t="s">
        <v>92</v>
      </c>
      <c r="D108" t="s">
        <v>92</v>
      </c>
      <c r="E108" t="s">
        <v>64</v>
      </c>
      <c r="F108" t="s">
        <v>17310</v>
      </c>
      <c r="G108" t="s">
        <v>18070</v>
      </c>
      <c r="H108" t="s">
        <v>1121</v>
      </c>
      <c r="I108" t="s">
        <v>1108</v>
      </c>
      <c r="J108" t="s">
        <v>17311</v>
      </c>
      <c r="K108" t="s">
        <v>17312</v>
      </c>
      <c r="L108" t="s">
        <v>21</v>
      </c>
      <c r="M108" t="s">
        <v>19177</v>
      </c>
      <c r="N108" t="s">
        <v>97</v>
      </c>
      <c r="O108" t="s">
        <v>937</v>
      </c>
      <c r="P108" t="s">
        <v>12</v>
      </c>
    </row>
    <row r="109">
      <c r="A109">
        <f>HYPERLINK("http://bombeiros.sp.gov.br/hidrantes/03individual/688.html","688")</f>
      </c>
      <c r="B109" t="s">
        <v>12</v>
      </c>
      <c r="C109" t="s">
        <v>92</v>
      </c>
      <c r="D109" t="s">
        <v>92</v>
      </c>
      <c r="E109" t="s">
        <v>15</v>
      </c>
      <c r="F109" t="s">
        <v>2614</v>
      </c>
      <c r="G109" t="s">
        <v>18069</v>
      </c>
      <c r="H109" t="s">
        <v>1121</v>
      </c>
      <c r="I109" t="s">
        <v>1117</v>
      </c>
      <c r="J109" t="s">
        <v>2615</v>
      </c>
      <c r="K109" t="s">
        <v>2616</v>
      </c>
      <c r="L109" t="s">
        <v>21</v>
      </c>
      <c r="M109" t="s">
        <v>19177</v>
      </c>
      <c r="N109" t="s">
        <v>97</v>
      </c>
      <c r="O109" t="s">
        <v>937</v>
      </c>
      <c r="P109" t="s">
        <v>12</v>
      </c>
    </row>
    <row r="110">
      <c r="A110">
        <f>HYPERLINK("http://bombeiros.sp.gov.br/hidrantes/03individual/1578.html","1578")</f>
      </c>
      <c r="B110" t="s">
        <v>12</v>
      </c>
      <c r="C110" t="s">
        <v>92</v>
      </c>
      <c r="D110" t="s">
        <v>92</v>
      </c>
      <c r="E110" t="s">
        <v>15</v>
      </c>
      <c r="F110" t="s">
        <v>2626</v>
      </c>
      <c r="G110" t="s">
        <v>18089</v>
      </c>
      <c r="H110" t="s">
        <v>1121</v>
      </c>
      <c r="I110" t="s">
        <v>1117</v>
      </c>
      <c r="J110" t="s">
        <v>2627</v>
      </c>
      <c r="K110" t="s">
        <v>2628</v>
      </c>
      <c r="L110" t="s">
        <v>21</v>
      </c>
      <c r="M110" t="s">
        <v>19177</v>
      </c>
      <c r="N110" t="s">
        <v>97</v>
      </c>
      <c r="O110" t="s">
        <v>937</v>
      </c>
      <c r="P110" t="s">
        <v>12</v>
      </c>
    </row>
    <row r="111">
      <c r="A111">
        <f>HYPERLINK("http://bombeiros.sp.gov.br/hidrantes/03individual/2899.html","2899")</f>
      </c>
      <c r="B111" t="s">
        <v>12</v>
      </c>
      <c r="C111" t="s">
        <v>92</v>
      </c>
      <c r="D111" t="s">
        <v>92</v>
      </c>
      <c r="E111" t="s">
        <v>15</v>
      </c>
      <c r="F111" t="s">
        <v>2656</v>
      </c>
      <c r="G111" t="s">
        <v>18070</v>
      </c>
      <c r="H111" t="s">
        <v>1121</v>
      </c>
      <c r="I111" t="s">
        <v>1117</v>
      </c>
      <c r="J111" t="s">
        <v>2657</v>
      </c>
      <c r="K111" t="s">
        <v>2658</v>
      </c>
      <c r="L111" t="s">
        <v>21</v>
      </c>
      <c r="M111" t="s">
        <v>19177</v>
      </c>
      <c r="N111" t="s">
        <v>97</v>
      </c>
      <c r="O111" t="s">
        <v>937</v>
      </c>
      <c r="P111" t="s">
        <v>12</v>
      </c>
    </row>
    <row r="112">
      <c r="A112">
        <f>HYPERLINK("http://bombeiros.sp.gov.br/hidrantes/03individual/2588.html","2588")</f>
      </c>
      <c r="B112" t="s">
        <v>12</v>
      </c>
      <c r="C112" t="s">
        <v>97</v>
      </c>
      <c r="D112" t="s">
        <v>98</v>
      </c>
      <c r="E112" t="s">
        <v>64</v>
      </c>
      <c r="F112" t="s">
        <v>2681</v>
      </c>
      <c r="G112" t="s">
        <v>18050</v>
      </c>
      <c r="H112" t="s">
        <v>1121</v>
      </c>
      <c r="I112" t="s">
        <v>1117</v>
      </c>
      <c r="J112" t="s">
        <v>2682</v>
      </c>
      <c r="K112" t="s">
        <v>2683</v>
      </c>
      <c r="L112" t="s">
        <v>36</v>
      </c>
      <c r="M112" t="s">
        <v>19177</v>
      </c>
      <c r="N112" t="s">
        <v>97</v>
      </c>
      <c r="O112" t="s">
        <v>937</v>
      </c>
      <c r="P112" t="s">
        <v>12</v>
      </c>
    </row>
    <row r="113">
      <c r="A113">
        <f>HYPERLINK("http://bombeiros.sp.gov.br/hidrantes/03individual/2634.html","2634")</f>
      </c>
      <c r="B113" t="s">
        <v>12</v>
      </c>
      <c r="C113" t="s">
        <v>97</v>
      </c>
      <c r="D113" t="s">
        <v>98</v>
      </c>
      <c r="E113" t="s">
        <v>64</v>
      </c>
      <c r="F113" t="s">
        <v>2684</v>
      </c>
      <c r="G113" t="s">
        <v>18072</v>
      </c>
      <c r="H113" t="s">
        <v>1121</v>
      </c>
      <c r="I113" t="s">
        <v>1117</v>
      </c>
      <c r="J113" t="s">
        <v>16305</v>
      </c>
      <c r="K113" t="s">
        <v>16306</v>
      </c>
      <c r="L113" t="s">
        <v>36</v>
      </c>
      <c r="M113" t="s">
        <v>19177</v>
      </c>
      <c r="N113" t="s">
        <v>97</v>
      </c>
      <c r="O113" t="s">
        <v>937</v>
      </c>
      <c r="P113" t="s">
        <v>12</v>
      </c>
    </row>
    <row r="114">
      <c r="A114">
        <f>HYPERLINK("http://bombeiros.sp.gov.br/hidrantes/03individual/2948.html","2948")</f>
      </c>
      <c r="B114" t="s">
        <v>12</v>
      </c>
      <c r="C114" t="s">
        <v>97</v>
      </c>
      <c r="D114" t="s">
        <v>98</v>
      </c>
      <c r="E114" t="s">
        <v>64</v>
      </c>
      <c r="F114" t="s">
        <v>2690</v>
      </c>
      <c r="G114" t="s">
        <v>18043</v>
      </c>
      <c r="H114" t="s">
        <v>1121</v>
      </c>
      <c r="I114" t="s">
        <v>1117</v>
      </c>
      <c r="J114" t="s">
        <v>2691</v>
      </c>
      <c r="K114" t="s">
        <v>2692</v>
      </c>
      <c r="L114" t="s">
        <v>21</v>
      </c>
      <c r="M114" t="s">
        <v>19177</v>
      </c>
      <c r="N114" t="s">
        <v>97</v>
      </c>
      <c r="O114" t="s">
        <v>937</v>
      </c>
      <c r="P114" t="s">
        <v>12</v>
      </c>
    </row>
    <row r="115">
      <c r="A115">
        <f>HYPERLINK("http://bombeiros.sp.gov.br/hidrantes/03individual/2099.html","2099")</f>
      </c>
      <c r="B115" t="s">
        <v>12</v>
      </c>
      <c r="C115" t="s">
        <v>97</v>
      </c>
      <c r="D115" t="s">
        <v>98</v>
      </c>
      <c r="E115" t="s">
        <v>15</v>
      </c>
      <c r="F115" t="s">
        <v>2720</v>
      </c>
      <c r="G115" t="s">
        <v>18072</v>
      </c>
      <c r="H115" t="s">
        <v>1121</v>
      </c>
      <c r="I115" t="s">
        <v>1117</v>
      </c>
      <c r="J115" t="s">
        <v>2721</v>
      </c>
      <c r="K115" t="s">
        <v>2722</v>
      </c>
      <c r="L115" t="s">
        <v>21</v>
      </c>
      <c r="M115" t="s">
        <v>19177</v>
      </c>
      <c r="N115" t="s">
        <v>97</v>
      </c>
      <c r="O115" t="s">
        <v>937</v>
      </c>
      <c r="P115" t="s">
        <v>12</v>
      </c>
    </row>
    <row r="116">
      <c r="A116">
        <f>HYPERLINK("http://bombeiros.sp.gov.br/hidrantes/03individual/2580.html","2580")</f>
      </c>
      <c r="B116" t="s">
        <v>12</v>
      </c>
      <c r="C116" t="s">
        <v>97</v>
      </c>
      <c r="D116" t="s">
        <v>98</v>
      </c>
      <c r="E116" t="s">
        <v>15</v>
      </c>
      <c r="F116" t="s">
        <v>2726</v>
      </c>
      <c r="G116" t="s">
        <v>18050</v>
      </c>
      <c r="H116" t="s">
        <v>1121</v>
      </c>
      <c r="I116" t="s">
        <v>1117</v>
      </c>
      <c r="J116" t="s">
        <v>2727</v>
      </c>
      <c r="K116" t="s">
        <v>2728</v>
      </c>
      <c r="L116" t="s">
        <v>21</v>
      </c>
      <c r="M116" t="s">
        <v>19177</v>
      </c>
      <c r="N116" t="s">
        <v>97</v>
      </c>
      <c r="O116" t="s">
        <v>937</v>
      </c>
      <c r="P116" t="s">
        <v>12</v>
      </c>
    </row>
    <row r="117">
      <c r="A117">
        <f>HYPERLINK("http://bombeiros.sp.gov.br/hidrantes/03individual/28057.html","28057")</f>
      </c>
      <c r="B117" t="s">
        <v>12</v>
      </c>
      <c r="C117" t="s">
        <v>97</v>
      </c>
      <c r="D117" t="s">
        <v>98</v>
      </c>
      <c r="E117" t="s">
        <v>15</v>
      </c>
      <c r="F117" t="s">
        <v>18241</v>
      </c>
      <c r="G117" t="s">
        <v>18063</v>
      </c>
      <c r="H117" t="s">
        <v>1121</v>
      </c>
      <c r="I117" t="s">
        <v>1117</v>
      </c>
      <c r="J117" t="s">
        <v>18242</v>
      </c>
      <c r="K117" t="s">
        <v>18243</v>
      </c>
      <c r="L117" t="s">
        <v>21</v>
      </c>
      <c r="M117" t="s">
        <v>19177</v>
      </c>
      <c r="N117" t="s">
        <v>97</v>
      </c>
      <c r="O117" t="s">
        <v>937</v>
      </c>
      <c r="P117" t="s">
        <v>12</v>
      </c>
    </row>
    <row r="118">
      <c r="A118">
        <f>HYPERLINK("http://bombeiros.sp.gov.br/hidrantes/03individual/16.html","16")</f>
      </c>
      <c r="B118" t="s">
        <v>12</v>
      </c>
      <c r="C118" t="s">
        <v>97</v>
      </c>
      <c r="D118" t="s">
        <v>102</v>
      </c>
      <c r="E118" t="s">
        <v>15</v>
      </c>
      <c r="F118" t="s">
        <v>2756</v>
      </c>
      <c r="G118" t="s">
        <v>18053</v>
      </c>
      <c r="H118" t="s">
        <v>1121</v>
      </c>
      <c r="I118" t="s">
        <v>1117</v>
      </c>
      <c r="J118" t="s">
        <v>2757</v>
      </c>
      <c r="K118" t="s">
        <v>2758</v>
      </c>
      <c r="L118" t="s">
        <v>21</v>
      </c>
      <c r="M118" t="s">
        <v>19177</v>
      </c>
      <c r="N118" t="s">
        <v>97</v>
      </c>
      <c r="O118" t="s">
        <v>937</v>
      </c>
      <c r="P118" t="s">
        <v>12</v>
      </c>
    </row>
    <row r="119">
      <c r="A119">
        <f>HYPERLINK("http://bombeiros.sp.gov.br/hidrantes/03individual/18.html","18")</f>
      </c>
      <c r="B119" t="s">
        <v>12</v>
      </c>
      <c r="C119" t="s">
        <v>97</v>
      </c>
      <c r="D119" t="s">
        <v>102</v>
      </c>
      <c r="E119" t="s">
        <v>15</v>
      </c>
      <c r="F119" t="s">
        <v>2759</v>
      </c>
      <c r="G119" t="s">
        <v>18053</v>
      </c>
      <c r="H119" t="s">
        <v>1121</v>
      </c>
      <c r="I119" t="s">
        <v>1108</v>
      </c>
      <c r="J119" t="s">
        <v>2760</v>
      </c>
      <c r="K119" t="s">
        <v>2761</v>
      </c>
      <c r="L119" t="s">
        <v>21</v>
      </c>
      <c r="M119" t="s">
        <v>19177</v>
      </c>
      <c r="N119" t="s">
        <v>97</v>
      </c>
      <c r="O119" t="s">
        <v>937</v>
      </c>
      <c r="P119" t="s">
        <v>12</v>
      </c>
    </row>
    <row r="120">
      <c r="A120">
        <f>HYPERLINK("http://bombeiros.sp.gov.br/hidrantes/03individual/272.html","272")</f>
      </c>
      <c r="B120" t="s">
        <v>12</v>
      </c>
      <c r="C120" t="s">
        <v>97</v>
      </c>
      <c r="D120" t="s">
        <v>102</v>
      </c>
      <c r="E120" t="s">
        <v>15</v>
      </c>
      <c r="F120" t="s">
        <v>2765</v>
      </c>
      <c r="G120" t="s">
        <v>18189</v>
      </c>
      <c r="H120" t="s">
        <v>1121</v>
      </c>
      <c r="I120" t="s">
        <v>1108</v>
      </c>
      <c r="J120" t="s">
        <v>2766</v>
      </c>
      <c r="K120" t="s">
        <v>2767</v>
      </c>
      <c r="L120" t="s">
        <v>21</v>
      </c>
      <c r="M120" t="s">
        <v>19177</v>
      </c>
      <c r="N120" t="s">
        <v>97</v>
      </c>
      <c r="O120" t="s">
        <v>937</v>
      </c>
      <c r="P120" t="s">
        <v>12</v>
      </c>
    </row>
    <row r="121">
      <c r="A121">
        <f>HYPERLINK("http://bombeiros.sp.gov.br/hidrantes/03individual/2807.html","2807")</f>
      </c>
      <c r="B121" t="s">
        <v>12</v>
      </c>
      <c r="C121" t="s">
        <v>97</v>
      </c>
      <c r="D121" t="s">
        <v>102</v>
      </c>
      <c r="E121" t="s">
        <v>15</v>
      </c>
      <c r="F121" t="s">
        <v>2768</v>
      </c>
      <c r="G121" t="s">
        <v>18073</v>
      </c>
      <c r="H121" t="s">
        <v>1121</v>
      </c>
      <c r="I121" t="s">
        <v>1117</v>
      </c>
      <c r="J121" t="s">
        <v>2769</v>
      </c>
      <c r="K121" t="s">
        <v>2770</v>
      </c>
      <c r="L121" t="s">
        <v>21</v>
      </c>
      <c r="M121" t="s">
        <v>19177</v>
      </c>
      <c r="N121" t="s">
        <v>97</v>
      </c>
      <c r="O121" t="s">
        <v>937</v>
      </c>
      <c r="P121" t="s">
        <v>12</v>
      </c>
    </row>
    <row r="122">
      <c r="A122">
        <f>HYPERLINK("http://bombeiros.sp.gov.br/hidrantes/03individual/2935.html","2935")</f>
      </c>
      <c r="B122" t="s">
        <v>12</v>
      </c>
      <c r="C122" t="s">
        <v>97</v>
      </c>
      <c r="D122" t="s">
        <v>102</v>
      </c>
      <c r="E122" t="s">
        <v>15</v>
      </c>
      <c r="F122" t="s">
        <v>2771</v>
      </c>
      <c r="G122" t="s">
        <v>18053</v>
      </c>
      <c r="H122" t="s">
        <v>1121</v>
      </c>
      <c r="I122" t="s">
        <v>1117</v>
      </c>
      <c r="J122" t="s">
        <v>2772</v>
      </c>
      <c r="K122" t="s">
        <v>2773</v>
      </c>
      <c r="L122" t="s">
        <v>21</v>
      </c>
      <c r="M122" t="s">
        <v>19177</v>
      </c>
      <c r="N122" t="s">
        <v>97</v>
      </c>
      <c r="O122" t="s">
        <v>937</v>
      </c>
      <c r="P122" t="s">
        <v>12</v>
      </c>
    </row>
    <row r="123">
      <c r="A123">
        <f>HYPERLINK("http://bombeiros.sp.gov.br/hidrantes/03individual/6784.html","6784")</f>
      </c>
      <c r="B123" t="s">
        <v>12</v>
      </c>
      <c r="C123" t="s">
        <v>97</v>
      </c>
      <c r="D123" t="s">
        <v>102</v>
      </c>
      <c r="E123" t="s">
        <v>15</v>
      </c>
      <c r="F123" t="s">
        <v>2774</v>
      </c>
      <c r="G123" t="s">
        <v>18076</v>
      </c>
      <c r="H123" t="s">
        <v>1121</v>
      </c>
      <c r="I123" t="s">
        <v>1117</v>
      </c>
      <c r="J123" t="s">
        <v>2775</v>
      </c>
      <c r="K123" t="s">
        <v>2776</v>
      </c>
      <c r="L123" t="s">
        <v>36</v>
      </c>
      <c r="M123" t="s">
        <v>19177</v>
      </c>
      <c r="N123" t="s">
        <v>97</v>
      </c>
      <c r="O123" t="s">
        <v>937</v>
      </c>
      <c r="P123" t="s">
        <v>12</v>
      </c>
    </row>
    <row r="124">
      <c r="A124">
        <f>HYPERLINK("http://bombeiros.sp.gov.br/hidrantes/03individual/2475.html","2475")</f>
      </c>
      <c r="B124" t="s">
        <v>12</v>
      </c>
      <c r="C124" t="s">
        <v>97</v>
      </c>
      <c r="D124" t="s">
        <v>97</v>
      </c>
      <c r="E124" t="s">
        <v>64</v>
      </c>
      <c r="F124" t="s">
        <v>2804</v>
      </c>
      <c r="G124" t="s">
        <v>18050</v>
      </c>
      <c r="H124" t="s">
        <v>1121</v>
      </c>
      <c r="I124" t="s">
        <v>1117</v>
      </c>
      <c r="J124" t="s">
        <v>2805</v>
      </c>
      <c r="K124" t="s">
        <v>2806</v>
      </c>
      <c r="L124" t="s">
        <v>36</v>
      </c>
      <c r="M124" t="s">
        <v>19177</v>
      </c>
      <c r="N124" t="s">
        <v>97</v>
      </c>
      <c r="O124" t="s">
        <v>937</v>
      </c>
      <c r="P124" t="s">
        <v>12</v>
      </c>
    </row>
    <row r="125">
      <c r="A125">
        <f>HYPERLINK("http://bombeiros.sp.gov.br/hidrantes/03individual/2792.html","2792")</f>
      </c>
      <c r="B125" t="s">
        <v>12</v>
      </c>
      <c r="C125" t="s">
        <v>97</v>
      </c>
      <c r="D125" t="s">
        <v>97</v>
      </c>
      <c r="E125" t="s">
        <v>64</v>
      </c>
      <c r="F125" t="s">
        <v>2810</v>
      </c>
      <c r="G125" t="s">
        <v>18076</v>
      </c>
      <c r="H125" t="s">
        <v>1121</v>
      </c>
      <c r="I125" t="s">
        <v>1117</v>
      </c>
      <c r="J125" t="s">
        <v>2811</v>
      </c>
      <c r="K125" t="s">
        <v>2812</v>
      </c>
      <c r="L125" t="s">
        <v>21</v>
      </c>
      <c r="M125" t="s">
        <v>19177</v>
      </c>
      <c r="N125" t="s">
        <v>97</v>
      </c>
      <c r="O125" t="s">
        <v>937</v>
      </c>
      <c r="P125" t="s">
        <v>12</v>
      </c>
    </row>
    <row r="126">
      <c r="A126">
        <f>HYPERLINK("http://bombeiros.sp.gov.br/hidrantes/03individual/2957.html","2957")</f>
      </c>
      <c r="B126" t="s">
        <v>12</v>
      </c>
      <c r="C126" t="s">
        <v>97</v>
      </c>
      <c r="D126" t="s">
        <v>97</v>
      </c>
      <c r="E126" t="s">
        <v>64</v>
      </c>
      <c r="F126" t="s">
        <v>2813</v>
      </c>
      <c r="G126" t="s">
        <v>18043</v>
      </c>
      <c r="H126" t="s">
        <v>1121</v>
      </c>
      <c r="I126" t="s">
        <v>1117</v>
      </c>
      <c r="J126" t="s">
        <v>2814</v>
      </c>
      <c r="K126" t="s">
        <v>2815</v>
      </c>
      <c r="L126" t="s">
        <v>36</v>
      </c>
      <c r="M126" t="s">
        <v>19177</v>
      </c>
      <c r="N126" t="s">
        <v>97</v>
      </c>
      <c r="O126" t="s">
        <v>937</v>
      </c>
      <c r="P126" t="s">
        <v>12</v>
      </c>
    </row>
    <row r="127">
      <c r="A127">
        <f>HYPERLINK("http://bombeiros.sp.gov.br/hidrantes/03individual/129.html","129")</f>
      </c>
      <c r="B127" t="s">
        <v>12</v>
      </c>
      <c r="C127" t="s">
        <v>97</v>
      </c>
      <c r="D127" t="s">
        <v>97</v>
      </c>
      <c r="E127" t="s">
        <v>15</v>
      </c>
      <c r="F127" t="s">
        <v>2828</v>
      </c>
      <c r="G127" t="s">
        <v>18032</v>
      </c>
      <c r="H127" t="s">
        <v>1121</v>
      </c>
      <c r="I127" t="s">
        <v>1117</v>
      </c>
      <c r="J127" t="s">
        <v>2829</v>
      </c>
      <c r="K127" t="s">
        <v>2830</v>
      </c>
      <c r="L127" t="s">
        <v>21</v>
      </c>
      <c r="M127" t="s">
        <v>19177</v>
      </c>
      <c r="N127" t="s">
        <v>97</v>
      </c>
      <c r="O127" t="s">
        <v>937</v>
      </c>
      <c r="P127" t="s">
        <v>12</v>
      </c>
    </row>
    <row r="128">
      <c r="A128">
        <f>HYPERLINK("http://bombeiros.sp.gov.br/hidrantes/03individual/213.html","213")</f>
      </c>
      <c r="B128" t="s">
        <v>12</v>
      </c>
      <c r="C128" t="s">
        <v>97</v>
      </c>
      <c r="D128" t="s">
        <v>97</v>
      </c>
      <c r="E128" t="s">
        <v>15</v>
      </c>
      <c r="F128" t="s">
        <v>2840</v>
      </c>
      <c r="G128" t="s">
        <v>18043</v>
      </c>
      <c r="H128" t="s">
        <v>1121</v>
      </c>
      <c r="I128" t="s">
        <v>1117</v>
      </c>
      <c r="J128" t="s">
        <v>2841</v>
      </c>
      <c r="K128" t="s">
        <v>2842</v>
      </c>
      <c r="L128" t="s">
        <v>21</v>
      </c>
      <c r="M128" t="s">
        <v>19177</v>
      </c>
      <c r="N128" t="s">
        <v>97</v>
      </c>
      <c r="O128" t="s">
        <v>937</v>
      </c>
      <c r="P128" t="s">
        <v>12</v>
      </c>
    </row>
    <row r="129">
      <c r="A129">
        <f>HYPERLINK("http://bombeiros.sp.gov.br/hidrantes/03individual/2508.html","2508")</f>
      </c>
      <c r="B129" t="s">
        <v>12</v>
      </c>
      <c r="C129" t="s">
        <v>97</v>
      </c>
      <c r="D129" t="s">
        <v>97</v>
      </c>
      <c r="E129" t="s">
        <v>15</v>
      </c>
      <c r="F129" t="s">
        <v>2849</v>
      </c>
      <c r="G129" t="s">
        <v>18032</v>
      </c>
      <c r="H129" t="s">
        <v>1121</v>
      </c>
      <c r="I129" t="s">
        <v>1117</v>
      </c>
      <c r="J129" t="s">
        <v>2850</v>
      </c>
      <c r="K129" t="s">
        <v>2851</v>
      </c>
      <c r="L129" t="s">
        <v>21</v>
      </c>
      <c r="M129" t="s">
        <v>19177</v>
      </c>
      <c r="N129" t="s">
        <v>97</v>
      </c>
      <c r="O129" t="s">
        <v>937</v>
      </c>
      <c r="P129" t="s">
        <v>12</v>
      </c>
    </row>
    <row r="130">
      <c r="A130">
        <f>HYPERLINK("http://bombeiros.sp.gov.br/hidrantes/03individual/2791.html","2791")</f>
      </c>
      <c r="B130" t="s">
        <v>12</v>
      </c>
      <c r="C130" t="s">
        <v>97</v>
      </c>
      <c r="D130" t="s">
        <v>97</v>
      </c>
      <c r="E130" t="s">
        <v>15</v>
      </c>
      <c r="F130" t="s">
        <v>2859</v>
      </c>
      <c r="G130" t="s">
        <v>18076</v>
      </c>
      <c r="H130" t="s">
        <v>1121</v>
      </c>
      <c r="I130" t="s">
        <v>1117</v>
      </c>
      <c r="J130" t="s">
        <v>2860</v>
      </c>
      <c r="K130" t="s">
        <v>2861</v>
      </c>
      <c r="L130" t="s">
        <v>36</v>
      </c>
      <c r="M130" t="s">
        <v>19177</v>
      </c>
      <c r="N130" t="s">
        <v>97</v>
      </c>
      <c r="O130" t="s">
        <v>937</v>
      </c>
      <c r="P130" t="s">
        <v>12</v>
      </c>
    </row>
    <row r="131">
      <c r="A131">
        <f>HYPERLINK("http://bombeiros.sp.gov.br/hidrantes/03individual/5382.html","5382")</f>
      </c>
      <c r="B131" t="s">
        <v>12</v>
      </c>
      <c r="C131" t="s">
        <v>97</v>
      </c>
      <c r="D131" t="s">
        <v>97</v>
      </c>
      <c r="E131" t="s">
        <v>15</v>
      </c>
      <c r="F131" t="s">
        <v>2862</v>
      </c>
      <c r="G131" t="s">
        <v>18073</v>
      </c>
      <c r="H131" t="s">
        <v>1121</v>
      </c>
      <c r="I131" t="s">
        <v>1117</v>
      </c>
      <c r="J131" t="s">
        <v>2863</v>
      </c>
      <c r="K131" t="s">
        <v>2864</v>
      </c>
      <c r="L131" t="s">
        <v>21</v>
      </c>
      <c r="M131" t="s">
        <v>19177</v>
      </c>
      <c r="N131" t="s">
        <v>97</v>
      </c>
      <c r="O131" t="s">
        <v>937</v>
      </c>
      <c r="P131" t="s">
        <v>12</v>
      </c>
    </row>
    <row r="132">
      <c r="A132">
        <f>HYPERLINK("http://bombeiros.sp.gov.br/hidrantes/03individual/25203.html","25203")</f>
      </c>
      <c r="B132" t="s">
        <v>12</v>
      </c>
      <c r="C132" t="s">
        <v>97</v>
      </c>
      <c r="D132" t="s">
        <v>97</v>
      </c>
      <c r="E132" t="s">
        <v>15</v>
      </c>
      <c r="F132" t="s">
        <v>2865</v>
      </c>
      <c r="G132" t="s">
        <v>18032</v>
      </c>
      <c r="H132" t="s">
        <v>1121</v>
      </c>
      <c r="I132" t="s">
        <v>1117</v>
      </c>
      <c r="J132" t="s">
        <v>2866</v>
      </c>
      <c r="K132" t="s">
        <v>2867</v>
      </c>
      <c r="L132" t="s">
        <v>21</v>
      </c>
      <c r="M132" t="s">
        <v>19177</v>
      </c>
      <c r="N132" t="s">
        <v>97</v>
      </c>
      <c r="O132" t="s">
        <v>937</v>
      </c>
      <c r="P132" t="s">
        <v>12</v>
      </c>
    </row>
    <row r="133">
      <c r="A133">
        <f>HYPERLINK("http://bombeiros.sp.gov.br/hidrantes/03individual/1724.html","1724")</f>
      </c>
      <c r="B133" t="s">
        <v>114</v>
      </c>
      <c r="C133" t="s">
        <v>115</v>
      </c>
      <c r="D133" t="s">
        <v>115</v>
      </c>
      <c r="E133" t="s">
        <v>64</v>
      </c>
      <c r="F133" t="s">
        <v>2871</v>
      </c>
      <c r="G133" t="s">
        <v>18051</v>
      </c>
      <c r="H133" t="s">
        <v>1121</v>
      </c>
      <c r="I133" t="s">
        <v>1117</v>
      </c>
      <c r="J133" t="s">
        <v>2872</v>
      </c>
      <c r="K133" t="s">
        <v>2873</v>
      </c>
      <c r="L133" t="s">
        <v>21</v>
      </c>
      <c r="M133" t="s">
        <v>19177</v>
      </c>
      <c r="N133" t="s">
        <v>300</v>
      </c>
      <c r="O133" t="s">
        <v>16373</v>
      </c>
      <c r="P133" t="s">
        <v>12</v>
      </c>
    </row>
    <row r="134">
      <c r="A134">
        <f>HYPERLINK("http://bombeiros.sp.gov.br/hidrantes/03individual/3196.html","3196")</f>
      </c>
      <c r="B134" t="s">
        <v>114</v>
      </c>
      <c r="C134" t="s">
        <v>115</v>
      </c>
      <c r="D134" t="s">
        <v>115</v>
      </c>
      <c r="E134" t="s">
        <v>15</v>
      </c>
      <c r="F134" t="s">
        <v>2934</v>
      </c>
      <c r="G134" t="s">
        <v>18097</v>
      </c>
      <c r="H134" t="s">
        <v>1121</v>
      </c>
      <c r="I134" t="s">
        <v>1117</v>
      </c>
      <c r="J134" t="s">
        <v>2935</v>
      </c>
      <c r="K134" t="s">
        <v>2936</v>
      </c>
      <c r="L134" t="s">
        <v>21</v>
      </c>
      <c r="M134" t="s">
        <v>19177</v>
      </c>
      <c r="N134" t="s">
        <v>300</v>
      </c>
      <c r="O134" t="s">
        <v>16373</v>
      </c>
      <c r="P134" t="s">
        <v>12</v>
      </c>
    </row>
    <row r="135">
      <c r="A135">
        <f>HYPERLINK("http://bombeiros.sp.gov.br/hidrantes/03individual/3255.html","3255")</f>
      </c>
      <c r="B135" t="s">
        <v>114</v>
      </c>
      <c r="C135" t="s">
        <v>115</v>
      </c>
      <c r="D135" t="s">
        <v>115</v>
      </c>
      <c r="E135" t="s">
        <v>15</v>
      </c>
      <c r="F135" t="s">
        <v>2943</v>
      </c>
      <c r="G135" t="s">
        <v>18050</v>
      </c>
      <c r="H135" t="s">
        <v>1121</v>
      </c>
      <c r="I135" t="s">
        <v>1117</v>
      </c>
      <c r="J135" t="s">
        <v>15898</v>
      </c>
      <c r="K135" t="s">
        <v>15899</v>
      </c>
      <c r="L135" t="s">
        <v>21</v>
      </c>
      <c r="M135" t="s">
        <v>19177</v>
      </c>
      <c r="N135" t="s">
        <v>300</v>
      </c>
      <c r="O135" t="s">
        <v>16373</v>
      </c>
      <c r="P135" t="s">
        <v>12</v>
      </c>
    </row>
    <row r="136">
      <c r="A136">
        <f>HYPERLINK("http://bombeiros.sp.gov.br/hidrantes/03individual/1631.html","1631")</f>
      </c>
      <c r="B136" t="s">
        <v>114</v>
      </c>
      <c r="C136" t="s">
        <v>115</v>
      </c>
      <c r="D136" t="s">
        <v>2997</v>
      </c>
      <c r="E136" t="s">
        <v>15</v>
      </c>
      <c r="F136" t="s">
        <v>3010</v>
      </c>
      <c r="G136" t="s">
        <v>18143</v>
      </c>
      <c r="H136" t="s">
        <v>1121</v>
      </c>
      <c r="I136" t="s">
        <v>1117</v>
      </c>
      <c r="J136" t="s">
        <v>17453</v>
      </c>
      <c r="K136" t="s">
        <v>17454</v>
      </c>
      <c r="L136" t="s">
        <v>21</v>
      </c>
      <c r="M136" t="s">
        <v>19177</v>
      </c>
      <c r="N136" t="s">
        <v>300</v>
      </c>
      <c r="O136" t="s">
        <v>16373</v>
      </c>
      <c r="P136" t="s">
        <v>12</v>
      </c>
    </row>
    <row r="137">
      <c r="A137">
        <f>HYPERLINK("http://bombeiros.sp.gov.br/hidrantes/03individual/3103.html","3103")</f>
      </c>
      <c r="B137" t="s">
        <v>114</v>
      </c>
      <c r="C137" t="s">
        <v>115</v>
      </c>
      <c r="D137" t="s">
        <v>2997</v>
      </c>
      <c r="E137" t="s">
        <v>15</v>
      </c>
      <c r="F137" t="s">
        <v>3022</v>
      </c>
      <c r="G137" t="s">
        <v>18046</v>
      </c>
      <c r="H137" t="s">
        <v>1121</v>
      </c>
      <c r="I137" t="s">
        <v>1117</v>
      </c>
      <c r="J137" t="s">
        <v>3023</v>
      </c>
      <c r="K137" t="s">
        <v>3024</v>
      </c>
      <c r="L137" t="s">
        <v>21</v>
      </c>
      <c r="M137" t="s">
        <v>19177</v>
      </c>
      <c r="N137" t="s">
        <v>300</v>
      </c>
      <c r="O137" t="s">
        <v>16373</v>
      </c>
      <c r="P137" t="s">
        <v>12</v>
      </c>
    </row>
    <row r="138">
      <c r="A138">
        <f>HYPERLINK("http://bombeiros.sp.gov.br/hidrantes/03individual/3005.html","3005")</f>
      </c>
      <c r="B138" t="s">
        <v>114</v>
      </c>
      <c r="C138" t="s">
        <v>124</v>
      </c>
      <c r="D138" t="s">
        <v>124</v>
      </c>
      <c r="E138" t="s">
        <v>64</v>
      </c>
      <c r="F138" t="s">
        <v>3052</v>
      </c>
      <c r="G138" t="s">
        <v>18085</v>
      </c>
      <c r="H138" t="s">
        <v>1121</v>
      </c>
      <c r="I138" t="s">
        <v>1117</v>
      </c>
      <c r="J138" t="s">
        <v>3054</v>
      </c>
      <c r="K138" t="s">
        <v>3055</v>
      </c>
      <c r="L138" t="s">
        <v>36</v>
      </c>
      <c r="M138" t="s">
        <v>19177</v>
      </c>
      <c r="N138" t="s">
        <v>300</v>
      </c>
      <c r="O138" t="s">
        <v>16373</v>
      </c>
      <c r="P138" t="s">
        <v>12</v>
      </c>
    </row>
    <row r="139">
      <c r="A139">
        <f>HYPERLINK("http://bombeiros.sp.gov.br/hidrantes/03individual/27817.html","27817")</f>
      </c>
      <c r="B139" t="s">
        <v>114</v>
      </c>
      <c r="C139" t="s">
        <v>124</v>
      </c>
      <c r="D139" t="s">
        <v>124</v>
      </c>
      <c r="E139" t="s">
        <v>64</v>
      </c>
      <c r="F139" t="s">
        <v>17816</v>
      </c>
      <c r="G139" t="s">
        <v>18129</v>
      </c>
      <c r="H139" t="s">
        <v>1121</v>
      </c>
      <c r="I139" t="s">
        <v>1117</v>
      </c>
      <c r="J139" t="s">
        <v>17817</v>
      </c>
      <c r="K139" t="s">
        <v>17818</v>
      </c>
      <c r="L139" t="s">
        <v>21</v>
      </c>
      <c r="M139" t="s">
        <v>19177</v>
      </c>
      <c r="N139" t="s">
        <v>300</v>
      </c>
      <c r="O139" t="s">
        <v>16373</v>
      </c>
      <c r="P139" t="s">
        <v>12</v>
      </c>
    </row>
    <row r="140">
      <c r="A140">
        <f>HYPERLINK("http://bombeiros.sp.gov.br/hidrantes/03individual/1809.html","1809")</f>
      </c>
      <c r="B140" t="s">
        <v>114</v>
      </c>
      <c r="C140" t="s">
        <v>124</v>
      </c>
      <c r="D140" t="s">
        <v>124</v>
      </c>
      <c r="E140" t="s">
        <v>15</v>
      </c>
      <c r="F140" t="s">
        <v>3071</v>
      </c>
      <c r="G140" t="s">
        <v>18046</v>
      </c>
      <c r="H140" t="s">
        <v>1121</v>
      </c>
      <c r="I140" t="s">
        <v>1117</v>
      </c>
      <c r="J140" t="s">
        <v>3072</v>
      </c>
      <c r="K140" t="s">
        <v>3073</v>
      </c>
      <c r="L140" t="s">
        <v>21</v>
      </c>
      <c r="M140" t="s">
        <v>19177</v>
      </c>
      <c r="N140" t="s">
        <v>300</v>
      </c>
      <c r="O140" t="s">
        <v>16373</v>
      </c>
      <c r="P140" t="s">
        <v>12</v>
      </c>
    </row>
    <row r="141">
      <c r="A141">
        <f>HYPERLINK("http://bombeiros.sp.gov.br/hidrantes/03individual/1832.html","1832")</f>
      </c>
      <c r="B141" t="s">
        <v>114</v>
      </c>
      <c r="C141" t="s">
        <v>124</v>
      </c>
      <c r="D141" t="s">
        <v>124</v>
      </c>
      <c r="E141" t="s">
        <v>15</v>
      </c>
      <c r="F141" t="s">
        <v>3077</v>
      </c>
      <c r="G141" t="s">
        <v>18240</v>
      </c>
      <c r="H141" t="s">
        <v>1121</v>
      </c>
      <c r="I141" t="s">
        <v>1117</v>
      </c>
      <c r="J141" t="s">
        <v>3078</v>
      </c>
      <c r="K141" t="s">
        <v>3079</v>
      </c>
      <c r="L141" t="s">
        <v>21</v>
      </c>
      <c r="M141" t="s">
        <v>19177</v>
      </c>
      <c r="N141" t="s">
        <v>300</v>
      </c>
      <c r="O141" t="s">
        <v>16373</v>
      </c>
      <c r="P141" t="s">
        <v>12</v>
      </c>
    </row>
    <row r="142">
      <c r="A142">
        <f>HYPERLINK("http://bombeiros.sp.gov.br/hidrantes/03individual/2972.html","2972")</f>
      </c>
      <c r="B142" t="s">
        <v>114</v>
      </c>
      <c r="C142" t="s">
        <v>124</v>
      </c>
      <c r="D142" t="s">
        <v>124</v>
      </c>
      <c r="E142" t="s">
        <v>15</v>
      </c>
      <c r="F142" t="s">
        <v>3086</v>
      </c>
      <c r="G142" t="s">
        <v>18074</v>
      </c>
      <c r="H142" t="s">
        <v>1121</v>
      </c>
      <c r="I142" t="s">
        <v>1117</v>
      </c>
      <c r="J142" t="s">
        <v>3087</v>
      </c>
      <c r="K142" t="s">
        <v>3088</v>
      </c>
      <c r="L142" t="s">
        <v>21</v>
      </c>
      <c r="M142" t="s">
        <v>19177</v>
      </c>
      <c r="N142" t="s">
        <v>300</v>
      </c>
      <c r="O142" t="s">
        <v>16373</v>
      </c>
      <c r="P142" t="s">
        <v>12</v>
      </c>
    </row>
    <row r="143">
      <c r="A143">
        <f>HYPERLINK("http://bombeiros.sp.gov.br/hidrantes/03individual/3004.html","3004")</f>
      </c>
      <c r="B143" t="s">
        <v>114</v>
      </c>
      <c r="C143" t="s">
        <v>124</v>
      </c>
      <c r="D143" t="s">
        <v>124</v>
      </c>
      <c r="E143" t="s">
        <v>15</v>
      </c>
      <c r="F143" t="s">
        <v>3092</v>
      </c>
      <c r="G143" t="s">
        <v>18067</v>
      </c>
      <c r="H143" t="s">
        <v>1121</v>
      </c>
      <c r="I143" t="s">
        <v>1117</v>
      </c>
      <c r="J143" t="s">
        <v>3093</v>
      </c>
      <c r="K143" t="s">
        <v>3094</v>
      </c>
      <c r="L143" t="s">
        <v>21</v>
      </c>
      <c r="M143" t="s">
        <v>19177</v>
      </c>
      <c r="N143" t="s">
        <v>300</v>
      </c>
      <c r="O143" t="s">
        <v>16373</v>
      </c>
      <c r="P143" t="s">
        <v>12</v>
      </c>
    </row>
    <row r="144">
      <c r="A144">
        <f>HYPERLINK("http://bombeiros.sp.gov.br/hidrantes/03individual/3210.html","3210")</f>
      </c>
      <c r="B144" t="s">
        <v>114</v>
      </c>
      <c r="C144" t="s">
        <v>124</v>
      </c>
      <c r="D144" t="s">
        <v>124</v>
      </c>
      <c r="E144" t="s">
        <v>15</v>
      </c>
      <c r="F144" t="s">
        <v>125</v>
      </c>
      <c r="G144" t="s">
        <v>18549</v>
      </c>
      <c r="H144" t="s">
        <v>1121</v>
      </c>
      <c r="I144" t="s">
        <v>1117</v>
      </c>
      <c r="J144" t="s">
        <v>127</v>
      </c>
      <c r="K144" t="s">
        <v>128</v>
      </c>
      <c r="L144" t="s">
        <v>21</v>
      </c>
      <c r="M144" t="s">
        <v>19177</v>
      </c>
      <c r="N144" t="s">
        <v>300</v>
      </c>
      <c r="O144" t="s">
        <v>16373</v>
      </c>
      <c r="P144" t="s">
        <v>12</v>
      </c>
    </row>
    <row r="145">
      <c r="A145">
        <f>HYPERLINK("http://bombeiros.sp.gov.br/hidrantes/03individual/1882.html","1882")</f>
      </c>
      <c r="B145" t="s">
        <v>114</v>
      </c>
      <c r="C145" t="s">
        <v>124</v>
      </c>
      <c r="D145" t="s">
        <v>3107</v>
      </c>
      <c r="E145" t="s">
        <v>64</v>
      </c>
      <c r="F145" t="s">
        <v>3126</v>
      </c>
      <c r="G145" t="s">
        <v>18066</v>
      </c>
      <c r="H145" t="s">
        <v>1121</v>
      </c>
      <c r="I145" t="s">
        <v>1117</v>
      </c>
      <c r="J145" t="s">
        <v>3127</v>
      </c>
      <c r="K145" t="s">
        <v>3128</v>
      </c>
      <c r="L145" t="s">
        <v>36</v>
      </c>
      <c r="M145" t="s">
        <v>19177</v>
      </c>
      <c r="N145" t="s">
        <v>300</v>
      </c>
      <c r="O145" t="s">
        <v>16373</v>
      </c>
      <c r="P145" t="s">
        <v>12</v>
      </c>
    </row>
    <row r="146">
      <c r="A146">
        <f>HYPERLINK("http://bombeiros.sp.gov.br/hidrantes/03individual/2980.html","2980")</f>
      </c>
      <c r="B146" t="s">
        <v>114</v>
      </c>
      <c r="C146" t="s">
        <v>124</v>
      </c>
      <c r="D146" t="s">
        <v>3107</v>
      </c>
      <c r="E146" t="s">
        <v>64</v>
      </c>
      <c r="F146" t="s">
        <v>3129</v>
      </c>
      <c r="G146" t="s">
        <v>18195</v>
      </c>
      <c r="H146" t="s">
        <v>1121</v>
      </c>
      <c r="I146" t="s">
        <v>1117</v>
      </c>
      <c r="J146" t="s">
        <v>3130</v>
      </c>
      <c r="K146" t="s">
        <v>3131</v>
      </c>
      <c r="L146" t="s">
        <v>21</v>
      </c>
      <c r="M146" t="s">
        <v>19177</v>
      </c>
      <c r="N146" t="s">
        <v>300</v>
      </c>
      <c r="O146" t="s">
        <v>16373</v>
      </c>
      <c r="P146" t="s">
        <v>12</v>
      </c>
    </row>
    <row r="147">
      <c r="A147">
        <f>HYPERLINK("http://bombeiros.sp.gov.br/hidrantes/03individual/1036.html","1036")</f>
      </c>
      <c r="B147" t="s">
        <v>114</v>
      </c>
      <c r="C147" t="s">
        <v>129</v>
      </c>
      <c r="D147" t="s">
        <v>129</v>
      </c>
      <c r="E147" t="s">
        <v>64</v>
      </c>
      <c r="F147" t="s">
        <v>130</v>
      </c>
      <c r="G147" t="s">
        <v>18076</v>
      </c>
      <c r="H147" t="s">
        <v>1121</v>
      </c>
      <c r="I147" t="s">
        <v>1117</v>
      </c>
      <c r="J147" t="s">
        <v>132</v>
      </c>
      <c r="K147" t="s">
        <v>133</v>
      </c>
      <c r="L147" t="s">
        <v>21</v>
      </c>
      <c r="M147" t="s">
        <v>19177</v>
      </c>
      <c r="N147" t="s">
        <v>16374</v>
      </c>
      <c r="O147" t="s">
        <v>272</v>
      </c>
      <c r="P147" t="s">
        <v>114</v>
      </c>
    </row>
    <row r="148">
      <c r="A148">
        <f>HYPERLINK("http://bombeiros.sp.gov.br/hidrantes/03individual/4331.html","4331")</f>
      </c>
      <c r="B148" t="s">
        <v>114</v>
      </c>
      <c r="C148" t="s">
        <v>129</v>
      </c>
      <c r="D148" t="s">
        <v>129</v>
      </c>
      <c r="E148" t="s">
        <v>64</v>
      </c>
      <c r="F148" t="s">
        <v>3159</v>
      </c>
      <c r="G148" t="s">
        <v>18085</v>
      </c>
      <c r="H148" t="s">
        <v>1121</v>
      </c>
      <c r="I148" t="s">
        <v>1117</v>
      </c>
      <c r="J148" t="s">
        <v>3160</v>
      </c>
      <c r="K148" t="s">
        <v>3161</v>
      </c>
      <c r="L148" t="s">
        <v>21</v>
      </c>
      <c r="M148" t="s">
        <v>19177</v>
      </c>
      <c r="N148" t="s">
        <v>16374</v>
      </c>
      <c r="O148" t="s">
        <v>272</v>
      </c>
      <c r="P148" t="s">
        <v>114</v>
      </c>
    </row>
    <row r="149">
      <c r="A149">
        <f>HYPERLINK("http://bombeiros.sp.gov.br/hidrantes/03individual/1870.html","1870")</f>
      </c>
      <c r="B149" t="s">
        <v>114</v>
      </c>
      <c r="C149" t="s">
        <v>129</v>
      </c>
      <c r="D149" t="s">
        <v>129</v>
      </c>
      <c r="E149" t="s">
        <v>15</v>
      </c>
      <c r="F149" t="s">
        <v>3168</v>
      </c>
      <c r="G149" t="s">
        <v>18055</v>
      </c>
      <c r="H149" t="s">
        <v>1121</v>
      </c>
      <c r="I149" t="s">
        <v>1117</v>
      </c>
      <c r="J149" t="s">
        <v>3169</v>
      </c>
      <c r="K149" t="s">
        <v>3170</v>
      </c>
      <c r="L149" t="s">
        <v>21</v>
      </c>
      <c r="M149" t="s">
        <v>19177</v>
      </c>
      <c r="N149" t="s">
        <v>16374</v>
      </c>
      <c r="O149" t="s">
        <v>272</v>
      </c>
      <c r="P149" t="s">
        <v>114</v>
      </c>
    </row>
    <row r="150">
      <c r="A150">
        <f>HYPERLINK("http://bombeiros.sp.gov.br/hidrantes/03individual/3419.html","3419")</f>
      </c>
      <c r="B150" t="s">
        <v>114</v>
      </c>
      <c r="C150" t="s">
        <v>129</v>
      </c>
      <c r="D150" t="s">
        <v>129</v>
      </c>
      <c r="E150" t="s">
        <v>15</v>
      </c>
      <c r="F150" t="s">
        <v>3194</v>
      </c>
      <c r="G150" t="s">
        <v>18192</v>
      </c>
      <c r="H150" t="s">
        <v>1121</v>
      </c>
      <c r="I150" t="s">
        <v>1117</v>
      </c>
      <c r="J150" t="s">
        <v>3195</v>
      </c>
      <c r="K150" t="s">
        <v>3196</v>
      </c>
      <c r="L150" t="s">
        <v>21</v>
      </c>
      <c r="M150" t="s">
        <v>19177</v>
      </c>
      <c r="N150" t="s">
        <v>16374</v>
      </c>
      <c r="O150" t="s">
        <v>272</v>
      </c>
      <c r="P150" t="s">
        <v>114</v>
      </c>
    </row>
    <row r="151">
      <c r="A151">
        <f>HYPERLINK("http://bombeiros.sp.gov.br/hidrantes/03individual/26890.html","26890")</f>
      </c>
      <c r="B151" t="s">
        <v>114</v>
      </c>
      <c r="C151" t="s">
        <v>129</v>
      </c>
      <c r="D151" t="s">
        <v>129</v>
      </c>
      <c r="E151" t="s">
        <v>15</v>
      </c>
      <c r="F151" t="s">
        <v>16308</v>
      </c>
      <c r="G151" t="s">
        <v>18555</v>
      </c>
      <c r="H151" t="s">
        <v>1121</v>
      </c>
      <c r="I151" t="s">
        <v>1117</v>
      </c>
      <c r="J151" t="s">
        <v>16309</v>
      </c>
      <c r="K151" t="s">
        <v>16310</v>
      </c>
      <c r="L151" t="s">
        <v>21</v>
      </c>
      <c r="M151" t="s">
        <v>19177</v>
      </c>
      <c r="N151" t="s">
        <v>16374</v>
      </c>
      <c r="O151" t="s">
        <v>272</v>
      </c>
      <c r="P151" t="s">
        <v>114</v>
      </c>
    </row>
    <row r="152">
      <c r="A152">
        <f>HYPERLINK("http://bombeiros.sp.gov.br/hidrantes/03individual/3421.html","3421")</f>
      </c>
      <c r="B152" t="s">
        <v>114</v>
      </c>
      <c r="C152" t="s">
        <v>129</v>
      </c>
      <c r="D152" t="s">
        <v>3222</v>
      </c>
      <c r="E152" t="s">
        <v>64</v>
      </c>
      <c r="F152" t="s">
        <v>3229</v>
      </c>
      <c r="G152" t="s">
        <v>18065</v>
      </c>
      <c r="H152" t="s">
        <v>1121</v>
      </c>
      <c r="I152" t="s">
        <v>1117</v>
      </c>
      <c r="J152" t="s">
        <v>3230</v>
      </c>
      <c r="K152" t="s">
        <v>3231</v>
      </c>
      <c r="L152" t="s">
        <v>21</v>
      </c>
      <c r="M152" t="s">
        <v>19177</v>
      </c>
      <c r="N152" t="s">
        <v>16374</v>
      </c>
      <c r="O152" t="s">
        <v>272</v>
      </c>
      <c r="P152" t="s">
        <v>114</v>
      </c>
    </row>
    <row r="153">
      <c r="A153">
        <f>HYPERLINK("http://bombeiros.sp.gov.br/hidrantes/03individual/3462.html","3462")</f>
      </c>
      <c r="B153" t="s">
        <v>114</v>
      </c>
      <c r="C153" t="s">
        <v>129</v>
      </c>
      <c r="D153" t="s">
        <v>3222</v>
      </c>
      <c r="E153" t="s">
        <v>15</v>
      </c>
      <c r="F153" t="s">
        <v>3268</v>
      </c>
      <c r="G153" t="s">
        <v>18104</v>
      </c>
      <c r="H153" t="s">
        <v>1121</v>
      </c>
      <c r="I153" t="s">
        <v>1117</v>
      </c>
      <c r="J153" t="s">
        <v>3269</v>
      </c>
      <c r="K153" t="s">
        <v>3270</v>
      </c>
      <c r="L153" t="s">
        <v>21</v>
      </c>
      <c r="M153" t="s">
        <v>19177</v>
      </c>
      <c r="N153" t="s">
        <v>16374</v>
      </c>
      <c r="O153" t="s">
        <v>272</v>
      </c>
      <c r="P153" t="s">
        <v>114</v>
      </c>
    </row>
    <row r="154">
      <c r="A154">
        <f>HYPERLINK("http://bombeiros.sp.gov.br/hidrantes/03individual/1514.html","1514")</f>
      </c>
      <c r="B154" t="s">
        <v>114</v>
      </c>
      <c r="C154" t="s">
        <v>144</v>
      </c>
      <c r="D154" t="s">
        <v>149</v>
      </c>
      <c r="E154" t="s">
        <v>64</v>
      </c>
      <c r="F154" t="s">
        <v>3307</v>
      </c>
      <c r="G154" t="s">
        <v>18067</v>
      </c>
      <c r="H154" t="s">
        <v>1121</v>
      </c>
      <c r="I154" t="s">
        <v>1117</v>
      </c>
      <c r="J154" t="s">
        <v>3308</v>
      </c>
      <c r="K154" t="s">
        <v>3309</v>
      </c>
      <c r="L154" t="s">
        <v>36</v>
      </c>
      <c r="M154" t="s">
        <v>19177</v>
      </c>
      <c r="N154" t="s">
        <v>300</v>
      </c>
      <c r="O154" t="s">
        <v>16373</v>
      </c>
      <c r="P154" t="s">
        <v>12</v>
      </c>
    </row>
    <row r="155">
      <c r="A155">
        <f>HYPERLINK("http://bombeiros.sp.gov.br/hidrantes/03individual/1571.html","1571")</f>
      </c>
      <c r="B155" t="s">
        <v>114</v>
      </c>
      <c r="C155" t="s">
        <v>144</v>
      </c>
      <c r="D155" t="s">
        <v>149</v>
      </c>
      <c r="E155" t="s">
        <v>15</v>
      </c>
      <c r="F155" t="s">
        <v>3340</v>
      </c>
      <c r="G155" t="s">
        <v>18062</v>
      </c>
      <c r="H155" t="s">
        <v>1121</v>
      </c>
      <c r="I155" t="s">
        <v>1117</v>
      </c>
      <c r="J155" t="s">
        <v>3341</v>
      </c>
      <c r="K155" t="s">
        <v>3342</v>
      </c>
      <c r="L155" t="s">
        <v>21</v>
      </c>
      <c r="M155" t="s">
        <v>19177</v>
      </c>
      <c r="N155" t="s">
        <v>97</v>
      </c>
      <c r="O155" t="s">
        <v>937</v>
      </c>
      <c r="P155" t="s">
        <v>12</v>
      </c>
    </row>
    <row r="156">
      <c r="A156">
        <f>HYPERLINK("http://bombeiros.sp.gov.br/hidrantes/03individual/2976.html","2976")</f>
      </c>
      <c r="B156" t="s">
        <v>114</v>
      </c>
      <c r="C156" t="s">
        <v>144</v>
      </c>
      <c r="D156" t="s">
        <v>149</v>
      </c>
      <c r="E156" t="s">
        <v>15</v>
      </c>
      <c r="F156" t="s">
        <v>3373</v>
      </c>
      <c r="G156" t="s">
        <v>18062</v>
      </c>
      <c r="H156" t="s">
        <v>1121</v>
      </c>
      <c r="I156" t="s">
        <v>1117</v>
      </c>
      <c r="J156" t="s">
        <v>3374</v>
      </c>
      <c r="K156" t="s">
        <v>3375</v>
      </c>
      <c r="L156" t="s">
        <v>21</v>
      </c>
      <c r="M156" t="s">
        <v>19177</v>
      </c>
      <c r="N156" t="s">
        <v>300</v>
      </c>
      <c r="O156" t="s">
        <v>16373</v>
      </c>
      <c r="P156" t="s">
        <v>12</v>
      </c>
    </row>
    <row r="157">
      <c r="A157">
        <f>HYPERLINK("http://bombeiros.sp.gov.br/hidrantes/03individual/28222.html","28222")</f>
      </c>
      <c r="B157" t="s">
        <v>114</v>
      </c>
      <c r="C157" t="s">
        <v>144</v>
      </c>
      <c r="D157" t="s">
        <v>149</v>
      </c>
      <c r="E157" t="s">
        <v>15</v>
      </c>
      <c r="F157" t="s">
        <v>18244</v>
      </c>
      <c r="G157" t="s">
        <v>18067</v>
      </c>
      <c r="H157" t="s">
        <v>1121</v>
      </c>
      <c r="I157" t="s">
        <v>1117</v>
      </c>
      <c r="J157" t="s">
        <v>18245</v>
      </c>
      <c r="K157" t="s">
        <v>18246</v>
      </c>
      <c r="L157" t="s">
        <v>21</v>
      </c>
      <c r="M157" t="s">
        <v>19177</v>
      </c>
      <c r="N157" t="s">
        <v>300</v>
      </c>
      <c r="O157" t="s">
        <v>16373</v>
      </c>
      <c r="P157" t="s">
        <v>12</v>
      </c>
    </row>
    <row r="158">
      <c r="A158">
        <f>HYPERLINK("http://bombeiros.sp.gov.br/hidrantes/03individual/778.html","778")</f>
      </c>
      <c r="B158" t="s">
        <v>114</v>
      </c>
      <c r="C158" t="s">
        <v>144</v>
      </c>
      <c r="D158" t="s">
        <v>165</v>
      </c>
      <c r="E158" t="s">
        <v>15</v>
      </c>
      <c r="F158" t="s">
        <v>3404</v>
      </c>
      <c r="G158" t="s">
        <v>18062</v>
      </c>
      <c r="H158" t="s">
        <v>1121</v>
      </c>
      <c r="I158" t="s">
        <v>1117</v>
      </c>
      <c r="J158" t="s">
        <v>3405</v>
      </c>
      <c r="K158" t="s">
        <v>3406</v>
      </c>
      <c r="L158" t="s">
        <v>21</v>
      </c>
      <c r="M158" t="s">
        <v>19177</v>
      </c>
      <c r="N158" t="s">
        <v>97</v>
      </c>
      <c r="O158" t="s">
        <v>937</v>
      </c>
      <c r="P158" t="s">
        <v>12</v>
      </c>
    </row>
    <row r="159">
      <c r="A159">
        <f>HYPERLINK("http://bombeiros.sp.gov.br/hidrantes/03individual/998.html","998")</f>
      </c>
      <c r="B159" t="s">
        <v>114</v>
      </c>
      <c r="C159" t="s">
        <v>144</v>
      </c>
      <c r="D159" t="s">
        <v>165</v>
      </c>
      <c r="E159" t="s">
        <v>15</v>
      </c>
      <c r="F159" t="s">
        <v>3413</v>
      </c>
      <c r="G159" t="s">
        <v>18092</v>
      </c>
      <c r="H159" t="s">
        <v>1121</v>
      </c>
      <c r="I159" t="s">
        <v>1117</v>
      </c>
      <c r="J159" t="s">
        <v>3414</v>
      </c>
      <c r="K159" t="s">
        <v>3415</v>
      </c>
      <c r="L159" t="s">
        <v>21</v>
      </c>
      <c r="M159" t="s">
        <v>19177</v>
      </c>
      <c r="N159" t="s">
        <v>97</v>
      </c>
      <c r="O159" t="s">
        <v>937</v>
      </c>
      <c r="P159" t="s">
        <v>12</v>
      </c>
    </row>
    <row r="160">
      <c r="A160">
        <f>HYPERLINK("http://bombeiros.sp.gov.br/hidrantes/03individual/1355.html","1355")</f>
      </c>
      <c r="B160" t="s">
        <v>114</v>
      </c>
      <c r="C160" t="s">
        <v>144</v>
      </c>
      <c r="D160" t="s">
        <v>165</v>
      </c>
      <c r="E160" t="s">
        <v>15</v>
      </c>
      <c r="F160" t="s">
        <v>3425</v>
      </c>
      <c r="G160" t="s">
        <v>18078</v>
      </c>
      <c r="H160" t="s">
        <v>1121</v>
      </c>
      <c r="I160" t="s">
        <v>1117</v>
      </c>
      <c r="J160" t="s">
        <v>3426</v>
      </c>
      <c r="K160" t="s">
        <v>3427</v>
      </c>
      <c r="L160" t="s">
        <v>21</v>
      </c>
      <c r="M160" t="s">
        <v>19177</v>
      </c>
      <c r="N160" t="s">
        <v>97</v>
      </c>
      <c r="O160" t="s">
        <v>937</v>
      </c>
      <c r="P160" t="s">
        <v>12</v>
      </c>
    </row>
    <row r="161">
      <c r="A161">
        <f>HYPERLINK("http://bombeiros.sp.gov.br/hidrantes/03individual/1415.html","1415")</f>
      </c>
      <c r="B161" t="s">
        <v>114</v>
      </c>
      <c r="C161" t="s">
        <v>144</v>
      </c>
      <c r="D161" t="s">
        <v>165</v>
      </c>
      <c r="E161" t="s">
        <v>15</v>
      </c>
      <c r="F161" t="s">
        <v>3428</v>
      </c>
      <c r="G161" t="s">
        <v>18078</v>
      </c>
      <c r="H161" t="s">
        <v>1121</v>
      </c>
      <c r="I161" t="s">
        <v>1117</v>
      </c>
      <c r="J161" t="s">
        <v>3429</v>
      </c>
      <c r="K161" t="s">
        <v>3430</v>
      </c>
      <c r="L161" t="s">
        <v>21</v>
      </c>
      <c r="M161" t="s">
        <v>19177</v>
      </c>
      <c r="N161" t="s">
        <v>300</v>
      </c>
      <c r="O161" t="s">
        <v>16373</v>
      </c>
      <c r="P161" t="s">
        <v>12</v>
      </c>
    </row>
    <row r="162">
      <c r="A162">
        <f>HYPERLINK("http://bombeiros.sp.gov.br/hidrantes/03individual/1565.html","1565")</f>
      </c>
      <c r="B162" t="s">
        <v>114</v>
      </c>
      <c r="C162" t="s">
        <v>144</v>
      </c>
      <c r="D162" t="s">
        <v>165</v>
      </c>
      <c r="E162" t="s">
        <v>15</v>
      </c>
      <c r="F162" t="s">
        <v>3440</v>
      </c>
      <c r="G162" t="s">
        <v>18078</v>
      </c>
      <c r="H162" t="s">
        <v>1121</v>
      </c>
      <c r="I162" t="s">
        <v>1117</v>
      </c>
      <c r="J162" t="s">
        <v>3441</v>
      </c>
      <c r="K162" t="s">
        <v>3442</v>
      </c>
      <c r="L162" t="s">
        <v>21</v>
      </c>
      <c r="M162" t="s">
        <v>19177</v>
      </c>
      <c r="N162" t="s">
        <v>97</v>
      </c>
      <c r="O162" t="s">
        <v>937</v>
      </c>
      <c r="P162" t="s">
        <v>12</v>
      </c>
    </row>
    <row r="163">
      <c r="A163">
        <f>HYPERLINK("http://bombeiros.sp.gov.br/hidrantes/03individual/3308.html","3308")</f>
      </c>
      <c r="B163" t="s">
        <v>114</v>
      </c>
      <c r="C163" t="s">
        <v>144</v>
      </c>
      <c r="D163" t="s">
        <v>3467</v>
      </c>
      <c r="E163" t="s">
        <v>64</v>
      </c>
      <c r="F163" t="s">
        <v>3471</v>
      </c>
      <c r="G163" t="s">
        <v>18067</v>
      </c>
      <c r="H163" t="s">
        <v>1121</v>
      </c>
      <c r="I163" t="s">
        <v>1117</v>
      </c>
      <c r="J163" t="s">
        <v>3472</v>
      </c>
      <c r="K163" t="s">
        <v>3473</v>
      </c>
      <c r="L163" t="s">
        <v>36</v>
      </c>
      <c r="M163" t="s">
        <v>19177</v>
      </c>
      <c r="N163" t="s">
        <v>300</v>
      </c>
      <c r="O163" t="s">
        <v>16373</v>
      </c>
      <c r="P163" t="s">
        <v>12</v>
      </c>
    </row>
    <row r="164">
      <c r="A164">
        <f>HYPERLINK("http://bombeiros.sp.gov.br/hidrantes/03individual/3050.html","3050")</f>
      </c>
      <c r="B164" t="s">
        <v>114</v>
      </c>
      <c r="C164" t="s">
        <v>144</v>
      </c>
      <c r="D164" t="s">
        <v>3467</v>
      </c>
      <c r="E164" t="s">
        <v>15</v>
      </c>
      <c r="F164" t="s">
        <v>3477</v>
      </c>
      <c r="G164" t="s">
        <v>18067</v>
      </c>
      <c r="H164" t="s">
        <v>1121</v>
      </c>
      <c r="I164" t="s">
        <v>1117</v>
      </c>
      <c r="J164" t="s">
        <v>3478</v>
      </c>
      <c r="K164" t="s">
        <v>3479</v>
      </c>
      <c r="L164" t="s">
        <v>21</v>
      </c>
      <c r="M164" t="s">
        <v>19177</v>
      </c>
      <c r="N164" t="s">
        <v>300</v>
      </c>
      <c r="O164" t="s">
        <v>16373</v>
      </c>
      <c r="P164" t="s">
        <v>12</v>
      </c>
    </row>
    <row r="165">
      <c r="A165">
        <f>HYPERLINK("http://bombeiros.sp.gov.br/hidrantes/03individual/128.html","128")</f>
      </c>
      <c r="B165" t="s">
        <v>114</v>
      </c>
      <c r="C165" t="s">
        <v>172</v>
      </c>
      <c r="D165" t="s">
        <v>172</v>
      </c>
      <c r="E165" t="s">
        <v>64</v>
      </c>
      <c r="F165" t="s">
        <v>3486</v>
      </c>
      <c r="G165" t="s">
        <v>18157</v>
      </c>
      <c r="H165" t="s">
        <v>1121</v>
      </c>
      <c r="I165" t="s">
        <v>1117</v>
      </c>
      <c r="J165" t="s">
        <v>3488</v>
      </c>
      <c r="K165" t="s">
        <v>3489</v>
      </c>
      <c r="L165" t="s">
        <v>36</v>
      </c>
      <c r="M165" t="s">
        <v>19177</v>
      </c>
      <c r="N165" t="s">
        <v>97</v>
      </c>
      <c r="O165" t="s">
        <v>937</v>
      </c>
      <c r="P165" t="s">
        <v>12</v>
      </c>
    </row>
    <row r="166">
      <c r="A166">
        <f>HYPERLINK("http://bombeiros.sp.gov.br/hidrantes/03individual/1920.html","1920")</f>
      </c>
      <c r="B166" t="s">
        <v>114</v>
      </c>
      <c r="C166" t="s">
        <v>172</v>
      </c>
      <c r="D166" t="s">
        <v>172</v>
      </c>
      <c r="E166" t="s">
        <v>64</v>
      </c>
      <c r="F166" t="s">
        <v>3493</v>
      </c>
      <c r="G166" t="s">
        <v>18145</v>
      </c>
      <c r="H166" t="s">
        <v>1121</v>
      </c>
      <c r="I166" t="s">
        <v>1117</v>
      </c>
      <c r="J166" t="s">
        <v>3494</v>
      </c>
      <c r="K166" t="s">
        <v>3495</v>
      </c>
      <c r="L166" t="s">
        <v>21</v>
      </c>
      <c r="M166" t="s">
        <v>19177</v>
      </c>
      <c r="N166" t="s">
        <v>97</v>
      </c>
      <c r="O166" t="s">
        <v>937</v>
      </c>
      <c r="P166" t="s">
        <v>12</v>
      </c>
    </row>
    <row r="167">
      <c r="A167">
        <f>HYPERLINK("http://bombeiros.sp.gov.br/hidrantes/03individual/1948.html","1948")</f>
      </c>
      <c r="B167" t="s">
        <v>114</v>
      </c>
      <c r="C167" t="s">
        <v>172</v>
      </c>
      <c r="D167" t="s">
        <v>172</v>
      </c>
      <c r="E167" t="s">
        <v>64</v>
      </c>
      <c r="F167" t="s">
        <v>3496</v>
      </c>
      <c r="G167" t="s">
        <v>18145</v>
      </c>
      <c r="H167" t="s">
        <v>1121</v>
      </c>
      <c r="I167" t="s">
        <v>1117</v>
      </c>
      <c r="J167" t="s">
        <v>3497</v>
      </c>
      <c r="K167" t="s">
        <v>3498</v>
      </c>
      <c r="L167" t="s">
        <v>21</v>
      </c>
      <c r="M167" t="s">
        <v>19177</v>
      </c>
      <c r="N167" t="s">
        <v>97</v>
      </c>
      <c r="O167" t="s">
        <v>937</v>
      </c>
      <c r="P167" t="s">
        <v>12</v>
      </c>
    </row>
    <row r="168">
      <c r="A168">
        <f>HYPERLINK("http://bombeiros.sp.gov.br/hidrantes/03individual/2832.html","2832")</f>
      </c>
      <c r="B168" t="s">
        <v>114</v>
      </c>
      <c r="C168" t="s">
        <v>172</v>
      </c>
      <c r="D168" t="s">
        <v>172</v>
      </c>
      <c r="E168" t="s">
        <v>64</v>
      </c>
      <c r="F168" t="s">
        <v>3499</v>
      </c>
      <c r="G168" t="s">
        <v>18081</v>
      </c>
      <c r="H168" t="s">
        <v>1121</v>
      </c>
      <c r="I168" t="s">
        <v>1117</v>
      </c>
      <c r="J168" t="s">
        <v>3500</v>
      </c>
      <c r="K168" t="s">
        <v>3501</v>
      </c>
      <c r="L168" t="s">
        <v>21</v>
      </c>
      <c r="M168" t="s">
        <v>19177</v>
      </c>
      <c r="N168" t="s">
        <v>97</v>
      </c>
      <c r="O168" t="s">
        <v>937</v>
      </c>
      <c r="P168" t="s">
        <v>12</v>
      </c>
    </row>
    <row r="169">
      <c r="A169">
        <f>HYPERLINK("http://bombeiros.sp.gov.br/hidrantes/03individual/27308.html","27308")</f>
      </c>
      <c r="B169" t="s">
        <v>114</v>
      </c>
      <c r="C169" t="s">
        <v>172</v>
      </c>
      <c r="D169" t="s">
        <v>172</v>
      </c>
      <c r="E169" t="s">
        <v>64</v>
      </c>
      <c r="F169" t="s">
        <v>17069</v>
      </c>
      <c r="G169" t="s">
        <v>18145</v>
      </c>
      <c r="H169" t="s">
        <v>1121</v>
      </c>
      <c r="I169" t="s">
        <v>1117</v>
      </c>
      <c r="J169" t="s">
        <v>17070</v>
      </c>
      <c r="K169" t="s">
        <v>17071</v>
      </c>
      <c r="L169" t="s">
        <v>21</v>
      </c>
      <c r="M169" t="s">
        <v>19177</v>
      </c>
      <c r="N169" t="s">
        <v>97</v>
      </c>
      <c r="O169" t="s">
        <v>937</v>
      </c>
      <c r="P169" t="s">
        <v>12</v>
      </c>
    </row>
    <row r="170">
      <c r="A170">
        <f>HYPERLINK("http://bombeiros.sp.gov.br/hidrantes/03individual/65.html","65")</f>
      </c>
      <c r="B170" t="s">
        <v>114</v>
      </c>
      <c r="C170" t="s">
        <v>172</v>
      </c>
      <c r="D170" t="s">
        <v>172</v>
      </c>
      <c r="E170" t="s">
        <v>15</v>
      </c>
      <c r="F170" t="s">
        <v>3502</v>
      </c>
      <c r="G170" t="s">
        <v>18157</v>
      </c>
      <c r="H170" t="s">
        <v>1121</v>
      </c>
      <c r="I170" t="s">
        <v>1117</v>
      </c>
      <c r="J170" t="s">
        <v>3503</v>
      </c>
      <c r="K170" t="s">
        <v>3504</v>
      </c>
      <c r="L170" t="s">
        <v>21</v>
      </c>
      <c r="M170" t="s">
        <v>19177</v>
      </c>
      <c r="N170" t="s">
        <v>97</v>
      </c>
      <c r="O170" t="s">
        <v>937</v>
      </c>
      <c r="P170" t="s">
        <v>12</v>
      </c>
    </row>
    <row r="171">
      <c r="A171">
        <f>HYPERLINK("http://bombeiros.sp.gov.br/hidrantes/03individual/202.html","202")</f>
      </c>
      <c r="B171" t="s">
        <v>114</v>
      </c>
      <c r="C171" t="s">
        <v>172</v>
      </c>
      <c r="D171" t="s">
        <v>172</v>
      </c>
      <c r="E171" t="s">
        <v>15</v>
      </c>
      <c r="F171" t="s">
        <v>3514</v>
      </c>
      <c r="G171" t="s">
        <v>18079</v>
      </c>
      <c r="H171" t="s">
        <v>1121</v>
      </c>
      <c r="I171" t="s">
        <v>1117</v>
      </c>
      <c r="J171" t="s">
        <v>3515</v>
      </c>
      <c r="K171" t="s">
        <v>3516</v>
      </c>
      <c r="L171" t="s">
        <v>21</v>
      </c>
      <c r="M171" t="s">
        <v>19177</v>
      </c>
      <c r="N171" t="s">
        <v>97</v>
      </c>
      <c r="O171" t="s">
        <v>937</v>
      </c>
      <c r="P171" t="s">
        <v>12</v>
      </c>
    </row>
    <row r="172">
      <c r="A172">
        <f>HYPERLINK("http://bombeiros.sp.gov.br/hidrantes/03individual/1853.html","1853")</f>
      </c>
      <c r="B172" t="s">
        <v>114</v>
      </c>
      <c r="C172" t="s">
        <v>172</v>
      </c>
      <c r="D172" t="s">
        <v>172</v>
      </c>
      <c r="E172" t="s">
        <v>15</v>
      </c>
      <c r="F172" t="s">
        <v>3517</v>
      </c>
      <c r="G172" t="s">
        <v>18070</v>
      </c>
      <c r="H172" t="s">
        <v>1121</v>
      </c>
      <c r="I172" t="s">
        <v>1117</v>
      </c>
      <c r="J172" t="s">
        <v>3518</v>
      </c>
      <c r="K172" t="s">
        <v>3519</v>
      </c>
      <c r="L172" t="s">
        <v>21</v>
      </c>
      <c r="M172" t="s">
        <v>19177</v>
      </c>
      <c r="N172" t="s">
        <v>97</v>
      </c>
      <c r="O172" t="s">
        <v>937</v>
      </c>
      <c r="P172" t="s">
        <v>12</v>
      </c>
    </row>
    <row r="173">
      <c r="A173">
        <f>HYPERLINK("http://bombeiros.sp.gov.br/hidrantes/03individual/1869.html","1869")</f>
      </c>
      <c r="B173" t="s">
        <v>114</v>
      </c>
      <c r="C173" t="s">
        <v>172</v>
      </c>
      <c r="D173" t="s">
        <v>172</v>
      </c>
      <c r="E173" t="s">
        <v>15</v>
      </c>
      <c r="F173" t="s">
        <v>3520</v>
      </c>
      <c r="G173" t="s">
        <v>18070</v>
      </c>
      <c r="H173" t="s">
        <v>1121</v>
      </c>
      <c r="I173" t="s">
        <v>1117</v>
      </c>
      <c r="J173" t="s">
        <v>3521</v>
      </c>
      <c r="K173" t="s">
        <v>3522</v>
      </c>
      <c r="L173" t="s">
        <v>21</v>
      </c>
      <c r="M173" t="s">
        <v>19177</v>
      </c>
      <c r="N173" t="s">
        <v>97</v>
      </c>
      <c r="O173" t="s">
        <v>937</v>
      </c>
      <c r="P173" t="s">
        <v>12</v>
      </c>
    </row>
    <row r="174">
      <c r="A174">
        <f>HYPERLINK("http://bombeiros.sp.gov.br/hidrantes/03individual/1977.html","1977")</f>
      </c>
      <c r="B174" t="s">
        <v>114</v>
      </c>
      <c r="C174" t="s">
        <v>172</v>
      </c>
      <c r="D174" t="s">
        <v>172</v>
      </c>
      <c r="E174" t="s">
        <v>15</v>
      </c>
      <c r="F174" t="s">
        <v>3526</v>
      </c>
      <c r="G174" t="s">
        <v>18145</v>
      </c>
      <c r="H174" t="s">
        <v>1121</v>
      </c>
      <c r="I174" t="s">
        <v>1117</v>
      </c>
      <c r="J174" t="s">
        <v>3527</v>
      </c>
      <c r="K174" t="s">
        <v>3528</v>
      </c>
      <c r="L174" t="s">
        <v>21</v>
      </c>
      <c r="M174" t="s">
        <v>19177</v>
      </c>
      <c r="N174" t="s">
        <v>97</v>
      </c>
      <c r="O174" t="s">
        <v>937</v>
      </c>
      <c r="P174" t="s">
        <v>12</v>
      </c>
    </row>
    <row r="175">
      <c r="A175">
        <f>HYPERLINK("http://bombeiros.sp.gov.br/hidrantes/03individual/2137.html","2137")</f>
      </c>
      <c r="B175" t="s">
        <v>114</v>
      </c>
      <c r="C175" t="s">
        <v>172</v>
      </c>
      <c r="D175" t="s">
        <v>172</v>
      </c>
      <c r="E175" t="s">
        <v>15</v>
      </c>
      <c r="F175" t="s">
        <v>3535</v>
      </c>
      <c r="G175" t="s">
        <v>18079</v>
      </c>
      <c r="H175" t="s">
        <v>1121</v>
      </c>
      <c r="I175" t="s">
        <v>1117</v>
      </c>
      <c r="J175" t="s">
        <v>3536</v>
      </c>
      <c r="K175" t="s">
        <v>3537</v>
      </c>
      <c r="L175" t="s">
        <v>21</v>
      </c>
      <c r="M175" t="s">
        <v>19177</v>
      </c>
      <c r="N175" t="s">
        <v>97</v>
      </c>
      <c r="O175" t="s">
        <v>937</v>
      </c>
      <c r="P175" t="s">
        <v>12</v>
      </c>
    </row>
    <row r="176">
      <c r="A176">
        <f>HYPERLINK("http://bombeiros.sp.gov.br/hidrantes/03individual/2139.html","2139")</f>
      </c>
      <c r="B176" t="s">
        <v>114</v>
      </c>
      <c r="C176" t="s">
        <v>172</v>
      </c>
      <c r="D176" t="s">
        <v>172</v>
      </c>
      <c r="E176" t="s">
        <v>15</v>
      </c>
      <c r="F176" t="s">
        <v>3538</v>
      </c>
      <c r="G176" t="s">
        <v>18079</v>
      </c>
      <c r="H176" t="s">
        <v>1121</v>
      </c>
      <c r="I176" t="s">
        <v>1117</v>
      </c>
      <c r="J176" t="s">
        <v>3539</v>
      </c>
      <c r="K176" t="s">
        <v>3540</v>
      </c>
      <c r="L176" t="s">
        <v>21</v>
      </c>
      <c r="M176" t="s">
        <v>19177</v>
      </c>
      <c r="N176" t="s">
        <v>97</v>
      </c>
      <c r="O176" t="s">
        <v>937</v>
      </c>
      <c r="P176" t="s">
        <v>12</v>
      </c>
    </row>
    <row r="177">
      <c r="A177">
        <f>HYPERLINK("http://bombeiros.sp.gov.br/hidrantes/03individual/2823.html","2823")</f>
      </c>
      <c r="B177" t="s">
        <v>114</v>
      </c>
      <c r="C177" t="s">
        <v>172</v>
      </c>
      <c r="D177" t="s">
        <v>172</v>
      </c>
      <c r="E177" t="s">
        <v>15</v>
      </c>
      <c r="F177" t="s">
        <v>3541</v>
      </c>
      <c r="G177" t="s">
        <v>18173</v>
      </c>
      <c r="H177" t="s">
        <v>1121</v>
      </c>
      <c r="I177" t="s">
        <v>1117</v>
      </c>
      <c r="J177" t="s">
        <v>17622</v>
      </c>
      <c r="K177" t="s">
        <v>17623</v>
      </c>
      <c r="L177" t="s">
        <v>21</v>
      </c>
      <c r="M177" t="s">
        <v>19177</v>
      </c>
      <c r="N177" t="s">
        <v>97</v>
      </c>
      <c r="O177" t="s">
        <v>937</v>
      </c>
      <c r="P177" t="s">
        <v>12</v>
      </c>
    </row>
    <row r="178">
      <c r="A178">
        <f>HYPERLINK("http://bombeiros.sp.gov.br/hidrantes/03individual/2826.html","2826")</f>
      </c>
      <c r="B178" t="s">
        <v>114</v>
      </c>
      <c r="C178" t="s">
        <v>172</v>
      </c>
      <c r="D178" t="s">
        <v>172</v>
      </c>
      <c r="E178" t="s">
        <v>15</v>
      </c>
      <c r="F178" t="s">
        <v>3544</v>
      </c>
      <c r="G178" t="s">
        <v>18173</v>
      </c>
      <c r="H178" t="s">
        <v>1121</v>
      </c>
      <c r="I178" t="s">
        <v>1117</v>
      </c>
      <c r="J178" t="s">
        <v>3545</v>
      </c>
      <c r="K178" t="s">
        <v>3546</v>
      </c>
      <c r="L178" t="s">
        <v>21</v>
      </c>
      <c r="M178" t="s">
        <v>19177</v>
      </c>
      <c r="N178" t="s">
        <v>97</v>
      </c>
      <c r="O178" t="s">
        <v>937</v>
      </c>
      <c r="P178" t="s">
        <v>12</v>
      </c>
    </row>
    <row r="179">
      <c r="A179">
        <f>HYPERLINK("http://bombeiros.sp.gov.br/hidrantes/03individual/6783.html","6783")</f>
      </c>
      <c r="B179" t="s">
        <v>114</v>
      </c>
      <c r="C179" t="s">
        <v>172</v>
      </c>
      <c r="D179" t="s">
        <v>172</v>
      </c>
      <c r="E179" t="s">
        <v>15</v>
      </c>
      <c r="F179" t="s">
        <v>3550</v>
      </c>
      <c r="G179" t="s">
        <v>18081</v>
      </c>
      <c r="H179" t="s">
        <v>1121</v>
      </c>
      <c r="I179" t="s">
        <v>1117</v>
      </c>
      <c r="J179" t="s">
        <v>3551</v>
      </c>
      <c r="K179" t="s">
        <v>3552</v>
      </c>
      <c r="L179" t="s">
        <v>36</v>
      </c>
      <c r="M179" t="s">
        <v>19177</v>
      </c>
      <c r="N179" t="s">
        <v>97</v>
      </c>
      <c r="O179" t="s">
        <v>937</v>
      </c>
      <c r="P179" t="s">
        <v>12</v>
      </c>
    </row>
    <row r="180">
      <c r="A180">
        <f>HYPERLINK("http://bombeiros.sp.gov.br/hidrantes/03individual/17907.html","17907")</f>
      </c>
      <c r="B180" t="s">
        <v>114</v>
      </c>
      <c r="C180" t="s">
        <v>172</v>
      </c>
      <c r="D180" t="s">
        <v>172</v>
      </c>
      <c r="E180" t="s">
        <v>15</v>
      </c>
      <c r="F180" t="s">
        <v>3556</v>
      </c>
      <c r="G180" t="s">
        <v>18165</v>
      </c>
      <c r="H180" t="s">
        <v>1121</v>
      </c>
      <c r="I180" t="s">
        <v>1117</v>
      </c>
      <c r="J180" t="s">
        <v>3557</v>
      </c>
      <c r="K180" t="s">
        <v>3558</v>
      </c>
      <c r="L180" t="s">
        <v>21</v>
      </c>
      <c r="M180" t="s">
        <v>19177</v>
      </c>
      <c r="N180" t="s">
        <v>97</v>
      </c>
      <c r="O180" t="s">
        <v>937</v>
      </c>
      <c r="P180" t="s">
        <v>12</v>
      </c>
    </row>
    <row r="181">
      <c r="A181">
        <f>HYPERLINK("http://bombeiros.sp.gov.br/hidrantes/03individual/26838.html","26838")</f>
      </c>
      <c r="B181" t="s">
        <v>114</v>
      </c>
      <c r="C181" t="s">
        <v>172</v>
      </c>
      <c r="D181" t="s">
        <v>172</v>
      </c>
      <c r="E181" t="s">
        <v>15</v>
      </c>
      <c r="F181" t="s">
        <v>16123</v>
      </c>
      <c r="G181" t="s">
        <v>18145</v>
      </c>
      <c r="H181" t="s">
        <v>1121</v>
      </c>
      <c r="I181" t="s">
        <v>1117</v>
      </c>
      <c r="J181" t="s">
        <v>16124</v>
      </c>
      <c r="K181" t="s">
        <v>16125</v>
      </c>
      <c r="L181" t="s">
        <v>21</v>
      </c>
      <c r="M181" t="s">
        <v>19177</v>
      </c>
      <c r="N181" t="s">
        <v>97</v>
      </c>
      <c r="O181" t="s">
        <v>937</v>
      </c>
      <c r="P181" t="s">
        <v>12</v>
      </c>
    </row>
    <row r="182">
      <c r="A182">
        <f>HYPERLINK("http://bombeiros.sp.gov.br/hidrantes/03individual/27307.html","27307")</f>
      </c>
      <c r="B182" t="s">
        <v>114</v>
      </c>
      <c r="C182" t="s">
        <v>172</v>
      </c>
      <c r="D182" t="s">
        <v>172</v>
      </c>
      <c r="E182" t="s">
        <v>15</v>
      </c>
      <c r="F182" t="s">
        <v>17072</v>
      </c>
      <c r="G182" t="s">
        <v>18081</v>
      </c>
      <c r="H182" t="s">
        <v>1121</v>
      </c>
      <c r="I182" t="s">
        <v>1117</v>
      </c>
      <c r="J182" t="s">
        <v>17073</v>
      </c>
      <c r="K182" t="s">
        <v>17074</v>
      </c>
      <c r="L182" t="s">
        <v>21</v>
      </c>
      <c r="M182" t="s">
        <v>19177</v>
      </c>
      <c r="N182" t="s">
        <v>97</v>
      </c>
      <c r="O182" t="s">
        <v>937</v>
      </c>
      <c r="P182" t="s">
        <v>12</v>
      </c>
    </row>
    <row r="183">
      <c r="A183">
        <f>HYPERLINK("http://bombeiros.sp.gov.br/hidrantes/03individual/201.html","201")</f>
      </c>
      <c r="B183" t="s">
        <v>114</v>
      </c>
      <c r="C183" t="s">
        <v>172</v>
      </c>
      <c r="D183" t="s">
        <v>173</v>
      </c>
      <c r="E183" t="s">
        <v>64</v>
      </c>
      <c r="F183" t="s">
        <v>3559</v>
      </c>
      <c r="G183" t="s">
        <v>18151</v>
      </c>
      <c r="H183" t="s">
        <v>1121</v>
      </c>
      <c r="I183" t="s">
        <v>1117</v>
      </c>
      <c r="J183" t="s">
        <v>3560</v>
      </c>
      <c r="K183" t="s">
        <v>3561</v>
      </c>
      <c r="L183" t="s">
        <v>36</v>
      </c>
      <c r="M183" t="s">
        <v>19177</v>
      </c>
      <c r="N183" t="s">
        <v>97</v>
      </c>
      <c r="O183" t="s">
        <v>937</v>
      </c>
      <c r="P183" t="s">
        <v>12</v>
      </c>
    </row>
    <row r="184">
      <c r="A184">
        <f>HYPERLINK("http://bombeiros.sp.gov.br/hidrantes/03individual/269.html","269")</f>
      </c>
      <c r="B184" t="s">
        <v>114</v>
      </c>
      <c r="C184" t="s">
        <v>172</v>
      </c>
      <c r="D184" t="s">
        <v>173</v>
      </c>
      <c r="E184" t="s">
        <v>15</v>
      </c>
      <c r="F184" t="s">
        <v>178</v>
      </c>
      <c r="G184" t="s">
        <v>18165</v>
      </c>
      <c r="H184" t="s">
        <v>1121</v>
      </c>
      <c r="I184" t="s">
        <v>1117</v>
      </c>
      <c r="J184" t="s">
        <v>180</v>
      </c>
      <c r="K184" t="s">
        <v>181</v>
      </c>
      <c r="L184" t="s">
        <v>21</v>
      </c>
      <c r="M184" t="s">
        <v>19177</v>
      </c>
      <c r="N184" t="s">
        <v>97</v>
      </c>
      <c r="O184" t="s">
        <v>937</v>
      </c>
      <c r="P184" t="s">
        <v>12</v>
      </c>
    </row>
    <row r="185">
      <c r="A185">
        <f>HYPERLINK("http://bombeiros.sp.gov.br/hidrantes/03individual/1545.html","1545")</f>
      </c>
      <c r="B185" t="s">
        <v>114</v>
      </c>
      <c r="C185" t="s">
        <v>172</v>
      </c>
      <c r="D185" t="s">
        <v>173</v>
      </c>
      <c r="E185" t="s">
        <v>15</v>
      </c>
      <c r="F185" t="s">
        <v>3581</v>
      </c>
      <c r="G185" t="s">
        <v>17813</v>
      </c>
      <c r="H185" t="s">
        <v>1121</v>
      </c>
      <c r="I185" t="s">
        <v>1117</v>
      </c>
      <c r="J185" t="s">
        <v>3582</v>
      </c>
      <c r="K185" t="s">
        <v>3583</v>
      </c>
      <c r="L185" t="s">
        <v>21</v>
      </c>
      <c r="M185" t="s">
        <v>19177</v>
      </c>
      <c r="N185" t="s">
        <v>97</v>
      </c>
      <c r="O185" t="s">
        <v>937</v>
      </c>
      <c r="P185" t="s">
        <v>12</v>
      </c>
    </row>
    <row r="186">
      <c r="A186">
        <f>HYPERLINK("http://bombeiros.sp.gov.br/hidrantes/03individual/1550.html","1550")</f>
      </c>
      <c r="B186" t="s">
        <v>114</v>
      </c>
      <c r="C186" t="s">
        <v>172</v>
      </c>
      <c r="D186" t="s">
        <v>173</v>
      </c>
      <c r="E186" t="s">
        <v>15</v>
      </c>
      <c r="F186" t="s">
        <v>3584</v>
      </c>
      <c r="G186" t="s">
        <v>18183</v>
      </c>
      <c r="H186" t="s">
        <v>1121</v>
      </c>
      <c r="I186" t="s">
        <v>1117</v>
      </c>
      <c r="J186" t="s">
        <v>3585</v>
      </c>
      <c r="K186" t="s">
        <v>3586</v>
      </c>
      <c r="L186" t="s">
        <v>21</v>
      </c>
      <c r="M186" t="s">
        <v>19177</v>
      </c>
      <c r="N186" t="s">
        <v>97</v>
      </c>
      <c r="O186" t="s">
        <v>937</v>
      </c>
      <c r="P186" t="s">
        <v>12</v>
      </c>
    </row>
    <row r="187">
      <c r="A187">
        <f>HYPERLINK("http://bombeiros.sp.gov.br/hidrantes/03individual/1960.html","1960")</f>
      </c>
      <c r="B187" t="s">
        <v>114</v>
      </c>
      <c r="C187" t="s">
        <v>172</v>
      </c>
      <c r="D187" t="s">
        <v>173</v>
      </c>
      <c r="E187" t="s">
        <v>15</v>
      </c>
      <c r="F187" t="s">
        <v>15212</v>
      </c>
      <c r="G187" t="s">
        <v>18151</v>
      </c>
      <c r="H187" t="s">
        <v>1121</v>
      </c>
      <c r="I187" t="s">
        <v>1117</v>
      </c>
      <c r="J187" t="s">
        <v>15213</v>
      </c>
      <c r="K187" t="s">
        <v>15214</v>
      </c>
      <c r="L187" t="s">
        <v>21</v>
      </c>
      <c r="M187" t="s">
        <v>19177</v>
      </c>
      <c r="N187" t="s">
        <v>97</v>
      </c>
      <c r="O187" t="s">
        <v>937</v>
      </c>
      <c r="P187" t="s">
        <v>12</v>
      </c>
    </row>
    <row r="188">
      <c r="A188">
        <f>HYPERLINK("http://bombeiros.sp.gov.br/hidrantes/03individual/2085.html","2085")</f>
      </c>
      <c r="B188" t="s">
        <v>114</v>
      </c>
      <c r="C188" t="s">
        <v>172</v>
      </c>
      <c r="D188" t="s">
        <v>182</v>
      </c>
      <c r="E188" t="s">
        <v>64</v>
      </c>
      <c r="F188" t="s">
        <v>3593</v>
      </c>
      <c r="G188" t="s">
        <v>18063</v>
      </c>
      <c r="H188" t="s">
        <v>1121</v>
      </c>
      <c r="I188" t="s">
        <v>1117</v>
      </c>
      <c r="J188" t="s">
        <v>3594</v>
      </c>
      <c r="K188" t="s">
        <v>3595</v>
      </c>
      <c r="L188" t="s">
        <v>36</v>
      </c>
      <c r="M188" t="s">
        <v>19177</v>
      </c>
      <c r="N188" t="s">
        <v>97</v>
      </c>
      <c r="O188" t="s">
        <v>937</v>
      </c>
      <c r="P188" t="s">
        <v>12</v>
      </c>
    </row>
    <row r="189">
      <c r="A189">
        <f>HYPERLINK("http://bombeiros.sp.gov.br/hidrantes/03individual/2154.html","2154")</f>
      </c>
      <c r="B189" t="s">
        <v>114</v>
      </c>
      <c r="C189" t="s">
        <v>172</v>
      </c>
      <c r="D189" t="s">
        <v>182</v>
      </c>
      <c r="E189" t="s">
        <v>64</v>
      </c>
      <c r="F189" t="s">
        <v>3596</v>
      </c>
      <c r="G189" t="s">
        <v>17925</v>
      </c>
      <c r="H189" t="s">
        <v>1121</v>
      </c>
      <c r="I189" t="s">
        <v>1117</v>
      </c>
      <c r="J189" t="s">
        <v>3597</v>
      </c>
      <c r="K189" t="s">
        <v>3598</v>
      </c>
      <c r="L189" t="s">
        <v>36</v>
      </c>
      <c r="M189" t="s">
        <v>19177</v>
      </c>
      <c r="N189" t="s">
        <v>97</v>
      </c>
      <c r="O189" t="s">
        <v>937</v>
      </c>
      <c r="P189" t="s">
        <v>12</v>
      </c>
    </row>
    <row r="190">
      <c r="A190">
        <f>HYPERLINK("http://bombeiros.sp.gov.br/hidrantes/03individual/57.html","57")</f>
      </c>
      <c r="B190" t="s">
        <v>114</v>
      </c>
      <c r="C190" t="s">
        <v>172</v>
      </c>
      <c r="D190" t="s">
        <v>182</v>
      </c>
      <c r="E190" t="s">
        <v>15</v>
      </c>
      <c r="F190" t="s">
        <v>3599</v>
      </c>
      <c r="G190" t="s">
        <v>18080</v>
      </c>
      <c r="H190" t="s">
        <v>1121</v>
      </c>
      <c r="I190" t="s">
        <v>1117</v>
      </c>
      <c r="J190" t="s">
        <v>3600</v>
      </c>
      <c r="K190" t="s">
        <v>3601</v>
      </c>
      <c r="L190" t="s">
        <v>21</v>
      </c>
      <c r="M190" t="s">
        <v>19177</v>
      </c>
      <c r="N190" t="s">
        <v>97</v>
      </c>
      <c r="O190" t="s">
        <v>937</v>
      </c>
      <c r="P190" t="s">
        <v>12</v>
      </c>
    </row>
    <row r="191">
      <c r="A191">
        <f>HYPERLINK("http://bombeiros.sp.gov.br/hidrantes/03individual/112.html","112")</f>
      </c>
      <c r="B191" t="s">
        <v>114</v>
      </c>
      <c r="C191" t="s">
        <v>172</v>
      </c>
      <c r="D191" t="s">
        <v>182</v>
      </c>
      <c r="E191" t="s">
        <v>15</v>
      </c>
      <c r="F191" t="s">
        <v>3608</v>
      </c>
      <c r="G191" t="s">
        <v>18173</v>
      </c>
      <c r="H191" t="s">
        <v>1121</v>
      </c>
      <c r="I191" t="s">
        <v>1117</v>
      </c>
      <c r="J191" t="s">
        <v>3609</v>
      </c>
      <c r="K191" t="s">
        <v>3610</v>
      </c>
      <c r="L191" t="s">
        <v>21</v>
      </c>
      <c r="M191" t="s">
        <v>19177</v>
      </c>
      <c r="N191" t="s">
        <v>97</v>
      </c>
      <c r="O191" t="s">
        <v>937</v>
      </c>
      <c r="P191" t="s">
        <v>12</v>
      </c>
    </row>
    <row r="192">
      <c r="A192">
        <f>HYPERLINK("http://bombeiros.sp.gov.br/hidrantes/03individual/124.html","124")</f>
      </c>
      <c r="B192" t="s">
        <v>114</v>
      </c>
      <c r="C192" t="s">
        <v>172</v>
      </c>
      <c r="D192" t="s">
        <v>182</v>
      </c>
      <c r="E192" t="s">
        <v>15</v>
      </c>
      <c r="F192" t="s">
        <v>3611</v>
      </c>
      <c r="G192" t="s">
        <v>18045</v>
      </c>
      <c r="H192" t="s">
        <v>1121</v>
      </c>
      <c r="I192" t="s">
        <v>1117</v>
      </c>
      <c r="J192" t="s">
        <v>3612</v>
      </c>
      <c r="K192" t="s">
        <v>3613</v>
      </c>
      <c r="L192" t="s">
        <v>36</v>
      </c>
      <c r="M192" t="s">
        <v>19177</v>
      </c>
      <c r="N192" t="s">
        <v>97</v>
      </c>
      <c r="O192" t="s">
        <v>937</v>
      </c>
      <c r="P192" t="s">
        <v>12</v>
      </c>
    </row>
    <row r="193">
      <c r="A193">
        <f>HYPERLINK("http://bombeiros.sp.gov.br/hidrantes/03individual/132.html","132")</f>
      </c>
      <c r="B193" t="s">
        <v>114</v>
      </c>
      <c r="C193" t="s">
        <v>172</v>
      </c>
      <c r="D193" t="s">
        <v>182</v>
      </c>
      <c r="E193" t="s">
        <v>15</v>
      </c>
      <c r="F193" t="s">
        <v>3614</v>
      </c>
      <c r="G193" t="s">
        <v>18081</v>
      </c>
      <c r="H193" t="s">
        <v>1121</v>
      </c>
      <c r="I193" t="s">
        <v>1117</v>
      </c>
      <c r="J193" t="s">
        <v>3615</v>
      </c>
      <c r="K193" t="s">
        <v>3616</v>
      </c>
      <c r="L193" t="s">
        <v>21</v>
      </c>
      <c r="M193" t="s">
        <v>19177</v>
      </c>
      <c r="N193" t="s">
        <v>97</v>
      </c>
      <c r="O193" t="s">
        <v>937</v>
      </c>
      <c r="P193" t="s">
        <v>12</v>
      </c>
    </row>
    <row r="194">
      <c r="A194">
        <f>HYPERLINK("http://bombeiros.sp.gov.br/hidrantes/03individual/145.html","145")</f>
      </c>
      <c r="B194" t="s">
        <v>114</v>
      </c>
      <c r="C194" t="s">
        <v>172</v>
      </c>
      <c r="D194" t="s">
        <v>182</v>
      </c>
      <c r="E194" t="s">
        <v>15</v>
      </c>
      <c r="F194" t="s">
        <v>183</v>
      </c>
      <c r="G194" t="s">
        <v>18080</v>
      </c>
      <c r="H194" t="s">
        <v>1121</v>
      </c>
      <c r="I194" t="s">
        <v>1117</v>
      </c>
      <c r="J194" t="s">
        <v>184</v>
      </c>
      <c r="K194" t="s">
        <v>185</v>
      </c>
      <c r="L194" t="s">
        <v>21</v>
      </c>
      <c r="M194" t="s">
        <v>19177</v>
      </c>
      <c r="N194" t="s">
        <v>97</v>
      </c>
      <c r="O194" t="s">
        <v>937</v>
      </c>
      <c r="P194" t="s">
        <v>12</v>
      </c>
    </row>
    <row r="195">
      <c r="A195">
        <f>HYPERLINK("http://bombeiros.sp.gov.br/hidrantes/03individual/2065.html","2065")</f>
      </c>
      <c r="B195" t="s">
        <v>114</v>
      </c>
      <c r="C195" t="s">
        <v>172</v>
      </c>
      <c r="D195" t="s">
        <v>182</v>
      </c>
      <c r="E195" t="s">
        <v>15</v>
      </c>
      <c r="F195" t="s">
        <v>3623</v>
      </c>
      <c r="G195" t="s">
        <v>18080</v>
      </c>
      <c r="H195" t="s">
        <v>1121</v>
      </c>
      <c r="I195" t="s">
        <v>1117</v>
      </c>
      <c r="J195" t="s">
        <v>3624</v>
      </c>
      <c r="K195" t="s">
        <v>3625</v>
      </c>
      <c r="L195" t="s">
        <v>21</v>
      </c>
      <c r="M195" t="s">
        <v>19177</v>
      </c>
      <c r="N195" t="s">
        <v>97</v>
      </c>
      <c r="O195" t="s">
        <v>937</v>
      </c>
      <c r="P195" t="s">
        <v>12</v>
      </c>
    </row>
    <row r="196">
      <c r="A196">
        <f>HYPERLINK("http://bombeiros.sp.gov.br/hidrantes/03individual/1990.html","1990")</f>
      </c>
      <c r="B196" t="s">
        <v>114</v>
      </c>
      <c r="C196" t="s">
        <v>172</v>
      </c>
      <c r="D196" t="s">
        <v>191</v>
      </c>
      <c r="E196" t="s">
        <v>64</v>
      </c>
      <c r="F196" t="s">
        <v>3657</v>
      </c>
      <c r="G196" t="s">
        <v>18247</v>
      </c>
      <c r="H196" t="s">
        <v>1121</v>
      </c>
      <c r="I196" t="s">
        <v>1117</v>
      </c>
      <c r="J196" t="s">
        <v>3658</v>
      </c>
      <c r="K196" t="s">
        <v>3659</v>
      </c>
      <c r="L196" t="s">
        <v>21</v>
      </c>
      <c r="M196" t="s">
        <v>19177</v>
      </c>
      <c r="N196" t="s">
        <v>97</v>
      </c>
      <c r="O196" t="s">
        <v>937</v>
      </c>
      <c r="P196" t="s">
        <v>12</v>
      </c>
    </row>
    <row r="197">
      <c r="A197">
        <f>HYPERLINK("http://bombeiros.sp.gov.br/hidrantes/03individual/1958.html","1958")</f>
      </c>
      <c r="B197" t="s">
        <v>114</v>
      </c>
      <c r="C197" t="s">
        <v>172</v>
      </c>
      <c r="D197" t="s">
        <v>191</v>
      </c>
      <c r="E197" t="s">
        <v>15</v>
      </c>
      <c r="F197" t="s">
        <v>3699</v>
      </c>
      <c r="G197" t="s">
        <v>18083</v>
      </c>
      <c r="H197" t="s">
        <v>1121</v>
      </c>
      <c r="I197" t="s">
        <v>1117</v>
      </c>
      <c r="J197" t="s">
        <v>3700</v>
      </c>
      <c r="K197" t="s">
        <v>3701</v>
      </c>
      <c r="L197" t="s">
        <v>21</v>
      </c>
      <c r="M197" t="s">
        <v>19177</v>
      </c>
      <c r="N197" t="s">
        <v>97</v>
      </c>
      <c r="O197" t="s">
        <v>937</v>
      </c>
      <c r="P197" t="s">
        <v>12</v>
      </c>
    </row>
    <row r="198">
      <c r="A198">
        <f>HYPERLINK("http://bombeiros.sp.gov.br/hidrantes/03individual/2027.html","2027")</f>
      </c>
      <c r="B198" t="s">
        <v>114</v>
      </c>
      <c r="C198" t="s">
        <v>172</v>
      </c>
      <c r="D198" t="s">
        <v>191</v>
      </c>
      <c r="E198" t="s">
        <v>15</v>
      </c>
      <c r="F198" t="s">
        <v>3705</v>
      </c>
      <c r="G198" t="s">
        <v>18171</v>
      </c>
      <c r="H198" t="s">
        <v>1121</v>
      </c>
      <c r="I198" t="s">
        <v>1117</v>
      </c>
      <c r="J198" t="s">
        <v>3706</v>
      </c>
      <c r="K198" t="s">
        <v>3707</v>
      </c>
      <c r="L198" t="s">
        <v>21</v>
      </c>
      <c r="M198" t="s">
        <v>19177</v>
      </c>
      <c r="N198" t="s">
        <v>97</v>
      </c>
      <c r="O198" t="s">
        <v>937</v>
      </c>
      <c r="P198" t="s">
        <v>12</v>
      </c>
    </row>
    <row r="199">
      <c r="A199">
        <f>HYPERLINK("http://bombeiros.sp.gov.br/hidrantes/03individual/935.html","935")</f>
      </c>
      <c r="B199" t="s">
        <v>114</v>
      </c>
      <c r="C199" t="s">
        <v>195</v>
      </c>
      <c r="D199" t="s">
        <v>196</v>
      </c>
      <c r="E199" t="s">
        <v>64</v>
      </c>
      <c r="F199" t="s">
        <v>3717</v>
      </c>
      <c r="G199" t="s">
        <v>18084</v>
      </c>
      <c r="H199" t="s">
        <v>1121</v>
      </c>
      <c r="I199" t="s">
        <v>1117</v>
      </c>
      <c r="J199" t="s">
        <v>3718</v>
      </c>
      <c r="K199" t="s">
        <v>3719</v>
      </c>
      <c r="L199" t="s">
        <v>36</v>
      </c>
      <c r="M199" t="s">
        <v>19177</v>
      </c>
      <c r="N199" t="s">
        <v>309</v>
      </c>
      <c r="O199" t="s">
        <v>6029</v>
      </c>
      <c r="P199" t="s">
        <v>114</v>
      </c>
    </row>
    <row r="200">
      <c r="A200">
        <f>HYPERLINK("http://bombeiros.sp.gov.br/hidrantes/03individual/1383.html","1383")</f>
      </c>
      <c r="B200" t="s">
        <v>114</v>
      </c>
      <c r="C200" t="s">
        <v>195</v>
      </c>
      <c r="D200" t="s">
        <v>196</v>
      </c>
      <c r="E200" t="s">
        <v>15</v>
      </c>
      <c r="F200" t="s">
        <v>3738</v>
      </c>
      <c r="G200" t="s">
        <v>18067</v>
      </c>
      <c r="H200" t="s">
        <v>1121</v>
      </c>
      <c r="I200" t="s">
        <v>1117</v>
      </c>
      <c r="J200" t="s">
        <v>3739</v>
      </c>
      <c r="K200" t="s">
        <v>3740</v>
      </c>
      <c r="L200" t="s">
        <v>21</v>
      </c>
      <c r="M200" t="s">
        <v>19177</v>
      </c>
      <c r="N200" t="s">
        <v>309</v>
      </c>
      <c r="O200" t="s">
        <v>6029</v>
      </c>
      <c r="P200" t="s">
        <v>114</v>
      </c>
    </row>
    <row r="201">
      <c r="A201">
        <f>HYPERLINK("http://bombeiros.sp.gov.br/hidrantes/03individual/1535.html","1535")</f>
      </c>
      <c r="B201" t="s">
        <v>114</v>
      </c>
      <c r="C201" t="s">
        <v>195</v>
      </c>
      <c r="D201" t="s">
        <v>3787</v>
      </c>
      <c r="E201" t="s">
        <v>15</v>
      </c>
      <c r="F201" t="s">
        <v>3818</v>
      </c>
      <c r="G201" t="s">
        <v>18046</v>
      </c>
      <c r="H201" t="s">
        <v>1121</v>
      </c>
      <c r="I201" t="s">
        <v>1117</v>
      </c>
      <c r="J201" t="s">
        <v>3819</v>
      </c>
      <c r="K201" t="s">
        <v>3820</v>
      </c>
      <c r="L201" t="s">
        <v>21</v>
      </c>
      <c r="M201" t="s">
        <v>19177</v>
      </c>
      <c r="N201" t="s">
        <v>309</v>
      </c>
      <c r="O201" t="s">
        <v>6029</v>
      </c>
      <c r="P201" t="s">
        <v>114</v>
      </c>
    </row>
    <row r="202">
      <c r="A202">
        <f>HYPERLINK("http://bombeiros.sp.gov.br/hidrantes/03individual/3030.html","3030")</f>
      </c>
      <c r="B202" t="s">
        <v>114</v>
      </c>
      <c r="C202" t="s">
        <v>210</v>
      </c>
      <c r="D202" t="s">
        <v>211</v>
      </c>
      <c r="E202" t="s">
        <v>64</v>
      </c>
      <c r="F202" t="s">
        <v>3833</v>
      </c>
      <c r="G202" t="s">
        <v>18076</v>
      </c>
      <c r="H202" t="s">
        <v>1121</v>
      </c>
      <c r="I202" t="s">
        <v>1117</v>
      </c>
      <c r="J202" t="s">
        <v>3834</v>
      </c>
      <c r="K202" t="s">
        <v>3835</v>
      </c>
      <c r="L202" t="s">
        <v>36</v>
      </c>
      <c r="M202" t="s">
        <v>19177</v>
      </c>
      <c r="N202" t="s">
        <v>300</v>
      </c>
      <c r="O202" t="s">
        <v>16373</v>
      </c>
      <c r="P202" t="s">
        <v>12</v>
      </c>
    </row>
    <row r="203">
      <c r="A203">
        <f>HYPERLINK("http://bombeiros.sp.gov.br/hidrantes/03individual/1600.html","1600")</f>
      </c>
      <c r="B203" t="s">
        <v>114</v>
      </c>
      <c r="C203" t="s">
        <v>210</v>
      </c>
      <c r="D203" t="s">
        <v>211</v>
      </c>
      <c r="E203" t="s">
        <v>15</v>
      </c>
      <c r="F203" t="s">
        <v>3851</v>
      </c>
      <c r="G203" t="s">
        <v>18095</v>
      </c>
      <c r="H203" t="s">
        <v>1121</v>
      </c>
      <c r="I203" t="s">
        <v>1117</v>
      </c>
      <c r="J203" t="s">
        <v>3852</v>
      </c>
      <c r="K203" t="s">
        <v>3853</v>
      </c>
      <c r="L203" t="s">
        <v>21</v>
      </c>
      <c r="M203" t="s">
        <v>19177</v>
      </c>
      <c r="N203" t="s">
        <v>300</v>
      </c>
      <c r="O203" t="s">
        <v>16373</v>
      </c>
      <c r="P203" t="s">
        <v>12</v>
      </c>
    </row>
    <row r="204">
      <c r="A204">
        <f>HYPERLINK("http://bombeiros.sp.gov.br/hidrantes/03individual/1634.html","1634")</f>
      </c>
      <c r="B204" t="s">
        <v>114</v>
      </c>
      <c r="C204" t="s">
        <v>210</v>
      </c>
      <c r="D204" t="s">
        <v>211</v>
      </c>
      <c r="E204" t="s">
        <v>15</v>
      </c>
      <c r="F204" t="s">
        <v>3854</v>
      </c>
      <c r="G204" t="s">
        <v>18042</v>
      </c>
      <c r="H204" t="s">
        <v>1121</v>
      </c>
      <c r="I204" t="s">
        <v>1117</v>
      </c>
      <c r="J204" t="s">
        <v>3855</v>
      </c>
      <c r="K204" t="s">
        <v>3856</v>
      </c>
      <c r="L204" t="s">
        <v>21</v>
      </c>
      <c r="M204" t="s">
        <v>19177</v>
      </c>
      <c r="N204" t="s">
        <v>300</v>
      </c>
      <c r="O204" t="s">
        <v>16373</v>
      </c>
      <c r="P204" t="s">
        <v>12</v>
      </c>
    </row>
    <row r="205">
      <c r="A205">
        <f>HYPERLINK("http://bombeiros.sp.gov.br/hidrantes/03individual/1781.html","1781")</f>
      </c>
      <c r="B205" t="s">
        <v>114</v>
      </c>
      <c r="C205" t="s">
        <v>210</v>
      </c>
      <c r="D205" t="s">
        <v>211</v>
      </c>
      <c r="E205" t="s">
        <v>15</v>
      </c>
      <c r="F205" t="s">
        <v>3875</v>
      </c>
      <c r="G205" t="s">
        <v>18094</v>
      </c>
      <c r="H205" t="s">
        <v>1121</v>
      </c>
      <c r="I205" t="s">
        <v>1117</v>
      </c>
      <c r="J205" t="s">
        <v>3876</v>
      </c>
      <c r="K205" t="s">
        <v>3877</v>
      </c>
      <c r="L205" t="s">
        <v>21</v>
      </c>
      <c r="M205" t="s">
        <v>19177</v>
      </c>
      <c r="N205" t="s">
        <v>300</v>
      </c>
      <c r="O205" t="s">
        <v>16373</v>
      </c>
      <c r="P205" t="s">
        <v>12</v>
      </c>
    </row>
    <row r="206">
      <c r="A206">
        <f>HYPERLINK("http://bombeiros.sp.gov.br/hidrantes/03individual/1691.html","1691")</f>
      </c>
      <c r="B206" t="s">
        <v>114</v>
      </c>
      <c r="C206" t="s">
        <v>210</v>
      </c>
      <c r="D206" t="s">
        <v>3917</v>
      </c>
      <c r="E206" t="s">
        <v>15</v>
      </c>
      <c r="F206" t="s">
        <v>3945</v>
      </c>
      <c r="G206" t="s">
        <v>18149</v>
      </c>
      <c r="H206" t="s">
        <v>1121</v>
      </c>
      <c r="I206" t="s">
        <v>1117</v>
      </c>
      <c r="J206" t="s">
        <v>3946</v>
      </c>
      <c r="K206" t="s">
        <v>3947</v>
      </c>
      <c r="L206" t="s">
        <v>21</v>
      </c>
      <c r="M206" t="s">
        <v>19177</v>
      </c>
      <c r="N206" t="s">
        <v>300</v>
      </c>
      <c r="O206" t="s">
        <v>16373</v>
      </c>
      <c r="P206" t="s">
        <v>12</v>
      </c>
    </row>
    <row r="207">
      <c r="A207">
        <f>HYPERLINK("http://bombeiros.sp.gov.br/hidrantes/03individual/1737.html","1737")</f>
      </c>
      <c r="B207" t="s">
        <v>114</v>
      </c>
      <c r="C207" t="s">
        <v>210</v>
      </c>
      <c r="D207" t="s">
        <v>3917</v>
      </c>
      <c r="E207" t="s">
        <v>15</v>
      </c>
      <c r="F207" t="s">
        <v>3954</v>
      </c>
      <c r="G207" t="s">
        <v>18149</v>
      </c>
      <c r="H207" t="s">
        <v>1121</v>
      </c>
      <c r="I207" t="s">
        <v>1117</v>
      </c>
      <c r="J207" t="s">
        <v>3955</v>
      </c>
      <c r="K207" t="s">
        <v>3956</v>
      </c>
      <c r="L207" t="s">
        <v>21</v>
      </c>
      <c r="M207" t="s">
        <v>19177</v>
      </c>
      <c r="N207" t="s">
        <v>300</v>
      </c>
      <c r="O207" t="s">
        <v>16373</v>
      </c>
      <c r="P207" t="s">
        <v>12</v>
      </c>
    </row>
    <row r="208">
      <c r="A208">
        <f>HYPERLINK("http://bombeiros.sp.gov.br/hidrantes/03individual/3018.html","3018")</f>
      </c>
      <c r="B208" t="s">
        <v>114</v>
      </c>
      <c r="C208" t="s">
        <v>210</v>
      </c>
      <c r="D208" t="s">
        <v>3917</v>
      </c>
      <c r="E208" t="s">
        <v>15</v>
      </c>
      <c r="F208" t="s">
        <v>3969</v>
      </c>
      <c r="G208" t="s">
        <v>18075</v>
      </c>
      <c r="H208" t="s">
        <v>1121</v>
      </c>
      <c r="I208" t="s">
        <v>1117</v>
      </c>
      <c r="J208" t="s">
        <v>3970</v>
      </c>
      <c r="K208" t="s">
        <v>3971</v>
      </c>
      <c r="L208" t="s">
        <v>21</v>
      </c>
      <c r="M208" t="s">
        <v>19177</v>
      </c>
      <c r="N208" t="s">
        <v>300</v>
      </c>
      <c r="O208" t="s">
        <v>16373</v>
      </c>
      <c r="P208" t="s">
        <v>12</v>
      </c>
    </row>
    <row r="209">
      <c r="A209">
        <f>HYPERLINK("http://bombeiros.sp.gov.br/hidrantes/03individual/3022.html","3022")</f>
      </c>
      <c r="B209" t="s">
        <v>114</v>
      </c>
      <c r="C209" t="s">
        <v>210</v>
      </c>
      <c r="D209" t="s">
        <v>3917</v>
      </c>
      <c r="E209" t="s">
        <v>15</v>
      </c>
      <c r="F209" t="s">
        <v>3972</v>
      </c>
      <c r="G209" t="s">
        <v>18075</v>
      </c>
      <c r="H209" t="s">
        <v>1121</v>
      </c>
      <c r="I209" t="s">
        <v>1117</v>
      </c>
      <c r="J209" t="s">
        <v>3973</v>
      </c>
      <c r="K209" t="s">
        <v>3974</v>
      </c>
      <c r="L209" t="s">
        <v>21</v>
      </c>
      <c r="M209" t="s">
        <v>19177</v>
      </c>
      <c r="N209" t="s">
        <v>300</v>
      </c>
      <c r="O209" t="s">
        <v>16373</v>
      </c>
      <c r="P209" t="s">
        <v>12</v>
      </c>
    </row>
    <row r="210">
      <c r="A210">
        <f>HYPERLINK("http://bombeiros.sp.gov.br/hidrantes/03individual/3223.html","3223")</f>
      </c>
      <c r="B210" t="s">
        <v>114</v>
      </c>
      <c r="C210" t="s">
        <v>210</v>
      </c>
      <c r="D210" t="s">
        <v>3917</v>
      </c>
      <c r="E210" t="s">
        <v>15</v>
      </c>
      <c r="F210" t="s">
        <v>3987</v>
      </c>
      <c r="G210" t="s">
        <v>18076</v>
      </c>
      <c r="H210" t="s">
        <v>1121</v>
      </c>
      <c r="I210" t="s">
        <v>1117</v>
      </c>
      <c r="J210" t="s">
        <v>3988</v>
      </c>
      <c r="K210" t="s">
        <v>3989</v>
      </c>
      <c r="L210" t="s">
        <v>21</v>
      </c>
      <c r="M210" t="s">
        <v>19177</v>
      </c>
      <c r="N210" t="s">
        <v>300</v>
      </c>
      <c r="O210" t="s">
        <v>16373</v>
      </c>
      <c r="P210" t="s">
        <v>12</v>
      </c>
    </row>
    <row r="211">
      <c r="A211">
        <f>HYPERLINK("http://bombeiros.sp.gov.br/hidrantes/03individual/3288.html","3288")</f>
      </c>
      <c r="B211" t="s">
        <v>114</v>
      </c>
      <c r="C211" t="s">
        <v>210</v>
      </c>
      <c r="D211" t="s">
        <v>3917</v>
      </c>
      <c r="E211" t="s">
        <v>15</v>
      </c>
      <c r="F211" t="s">
        <v>3990</v>
      </c>
      <c r="G211" t="s">
        <v>18076</v>
      </c>
      <c r="H211" t="s">
        <v>1121</v>
      </c>
      <c r="I211" t="s">
        <v>1117</v>
      </c>
      <c r="J211" t="s">
        <v>3991</v>
      </c>
      <c r="K211" t="s">
        <v>3992</v>
      </c>
      <c r="L211" t="s">
        <v>21</v>
      </c>
      <c r="M211" t="s">
        <v>19177</v>
      </c>
      <c r="N211" t="s">
        <v>300</v>
      </c>
      <c r="O211" t="s">
        <v>16373</v>
      </c>
      <c r="P211" t="s">
        <v>12</v>
      </c>
    </row>
    <row r="212">
      <c r="A212">
        <f>HYPERLINK("http://bombeiros.sp.gov.br/hidrantes/03individual/3300.html","3300")</f>
      </c>
      <c r="B212" t="s">
        <v>114</v>
      </c>
      <c r="C212" t="s">
        <v>210</v>
      </c>
      <c r="D212" t="s">
        <v>3917</v>
      </c>
      <c r="E212" t="s">
        <v>15</v>
      </c>
      <c r="F212" t="s">
        <v>3993</v>
      </c>
      <c r="G212" t="s">
        <v>18117</v>
      </c>
      <c r="H212" t="s">
        <v>1121</v>
      </c>
      <c r="I212" t="s">
        <v>1117</v>
      </c>
      <c r="J212" t="s">
        <v>16802</v>
      </c>
      <c r="K212" t="s">
        <v>16803</v>
      </c>
      <c r="L212" t="s">
        <v>21</v>
      </c>
      <c r="M212" t="s">
        <v>19177</v>
      </c>
      <c r="N212" t="s">
        <v>300</v>
      </c>
      <c r="O212" t="s">
        <v>16373</v>
      </c>
      <c r="P212" t="s">
        <v>12</v>
      </c>
    </row>
    <row r="213">
      <c r="A213">
        <f>HYPERLINK("http://bombeiros.sp.gov.br/hidrantes/03individual/27260.html","27260")</f>
      </c>
      <c r="B213" t="s">
        <v>114</v>
      </c>
      <c r="C213" t="s">
        <v>210</v>
      </c>
      <c r="D213" t="s">
        <v>3917</v>
      </c>
      <c r="E213" t="s">
        <v>15</v>
      </c>
      <c r="F213" t="s">
        <v>17013</v>
      </c>
      <c r="G213" t="s">
        <v>18051</v>
      </c>
      <c r="H213" t="s">
        <v>1121</v>
      </c>
      <c r="I213" t="s">
        <v>1117</v>
      </c>
      <c r="J213" t="s">
        <v>17014</v>
      </c>
      <c r="K213" t="s">
        <v>17015</v>
      </c>
      <c r="L213" t="s">
        <v>21</v>
      </c>
      <c r="M213" t="s">
        <v>19177</v>
      </c>
      <c r="N213" t="s">
        <v>300</v>
      </c>
      <c r="O213" t="s">
        <v>16373</v>
      </c>
      <c r="P213" t="s">
        <v>12</v>
      </c>
    </row>
    <row r="214">
      <c r="A214">
        <f>HYPERLINK("http://bombeiros.sp.gov.br/hidrantes/03individual/27044.html","27044")</f>
      </c>
      <c r="B214" t="s">
        <v>114</v>
      </c>
      <c r="C214" t="s">
        <v>222</v>
      </c>
      <c r="D214" t="s">
        <v>223</v>
      </c>
      <c r="E214" t="s">
        <v>64</v>
      </c>
      <c r="F214" t="s">
        <v>16652</v>
      </c>
      <c r="G214" t="s">
        <v>18533</v>
      </c>
      <c r="H214" t="s">
        <v>1121</v>
      </c>
      <c r="I214" t="s">
        <v>1117</v>
      </c>
      <c r="J214" t="s">
        <v>16653</v>
      </c>
      <c r="K214" t="s">
        <v>16654</v>
      </c>
      <c r="L214" t="s">
        <v>21</v>
      </c>
      <c r="M214" t="s">
        <v>19177</v>
      </c>
      <c r="N214" t="s">
        <v>16374</v>
      </c>
      <c r="O214" t="s">
        <v>272</v>
      </c>
      <c r="P214" t="s">
        <v>114</v>
      </c>
    </row>
    <row r="215">
      <c r="A215">
        <f>HYPERLINK("http://bombeiros.sp.gov.br/hidrantes/03individual/1890.html","1890")</f>
      </c>
      <c r="B215" t="s">
        <v>114</v>
      </c>
      <c r="C215" t="s">
        <v>222</v>
      </c>
      <c r="D215" t="s">
        <v>223</v>
      </c>
      <c r="E215" t="s">
        <v>15</v>
      </c>
      <c r="F215" t="s">
        <v>4023</v>
      </c>
      <c r="G215" t="s">
        <v>18564</v>
      </c>
      <c r="H215" t="s">
        <v>1121</v>
      </c>
      <c r="I215" t="s">
        <v>1117</v>
      </c>
      <c r="J215" t="s">
        <v>4024</v>
      </c>
      <c r="K215" t="s">
        <v>4025</v>
      </c>
      <c r="L215" t="s">
        <v>21</v>
      </c>
      <c r="M215" t="s">
        <v>19177</v>
      </c>
      <c r="N215" t="s">
        <v>16374</v>
      </c>
      <c r="O215" t="s">
        <v>272</v>
      </c>
      <c r="P215" t="s">
        <v>114</v>
      </c>
    </row>
    <row r="216">
      <c r="A216">
        <f>HYPERLINK("http://bombeiros.sp.gov.br/hidrantes/03individual/1949.html","1949")</f>
      </c>
      <c r="B216" t="s">
        <v>114</v>
      </c>
      <c r="C216" t="s">
        <v>222</v>
      </c>
      <c r="D216" t="s">
        <v>223</v>
      </c>
      <c r="E216" t="s">
        <v>15</v>
      </c>
      <c r="F216" t="s">
        <v>231</v>
      </c>
      <c r="G216" t="s">
        <v>18042</v>
      </c>
      <c r="H216" t="s">
        <v>1121</v>
      </c>
      <c r="I216" t="s">
        <v>1117</v>
      </c>
      <c r="J216" t="s">
        <v>16840</v>
      </c>
      <c r="K216" t="s">
        <v>16841</v>
      </c>
      <c r="L216" t="s">
        <v>21</v>
      </c>
      <c r="M216" t="s">
        <v>19177</v>
      </c>
      <c r="N216" t="s">
        <v>16374</v>
      </c>
      <c r="O216" t="s">
        <v>272</v>
      </c>
      <c r="P216" t="s">
        <v>114</v>
      </c>
    </row>
    <row r="217">
      <c r="A217">
        <f>HYPERLINK("http://bombeiros.sp.gov.br/hidrantes/03individual/1957.html","1957")</f>
      </c>
      <c r="B217" t="s">
        <v>114</v>
      </c>
      <c r="C217" t="s">
        <v>222</v>
      </c>
      <c r="D217" t="s">
        <v>234</v>
      </c>
      <c r="E217" t="s">
        <v>15</v>
      </c>
      <c r="F217" t="s">
        <v>235</v>
      </c>
      <c r="G217" t="s">
        <v>18089</v>
      </c>
      <c r="H217" t="s">
        <v>1121</v>
      </c>
      <c r="I217" t="s">
        <v>1117</v>
      </c>
      <c r="J217" t="s">
        <v>236</v>
      </c>
      <c r="K217" t="s">
        <v>237</v>
      </c>
      <c r="L217" t="s">
        <v>21</v>
      </c>
      <c r="M217" t="s">
        <v>19177</v>
      </c>
      <c r="N217" t="s">
        <v>16374</v>
      </c>
      <c r="O217" t="s">
        <v>272</v>
      </c>
      <c r="P217" t="s">
        <v>114</v>
      </c>
    </row>
    <row r="218">
      <c r="A218">
        <f>HYPERLINK("http://bombeiros.sp.gov.br/hidrantes/03individual/3359.html","3359")</f>
      </c>
      <c r="B218" t="s">
        <v>114</v>
      </c>
      <c r="C218" t="s">
        <v>222</v>
      </c>
      <c r="D218" t="s">
        <v>238</v>
      </c>
      <c r="E218" t="s">
        <v>64</v>
      </c>
      <c r="F218" t="s">
        <v>4080</v>
      </c>
      <c r="G218" t="s">
        <v>18558</v>
      </c>
      <c r="H218" t="s">
        <v>1121</v>
      </c>
      <c r="I218" t="s">
        <v>1117</v>
      </c>
      <c r="J218" t="s">
        <v>4081</v>
      </c>
      <c r="K218" t="s">
        <v>4082</v>
      </c>
      <c r="L218" t="s">
        <v>36</v>
      </c>
      <c r="M218" t="s">
        <v>19177</v>
      </c>
      <c r="N218" t="s">
        <v>16374</v>
      </c>
      <c r="O218" t="s">
        <v>272</v>
      </c>
      <c r="P218" t="s">
        <v>114</v>
      </c>
    </row>
    <row r="219">
      <c r="A219">
        <f>HYPERLINK("http://bombeiros.sp.gov.br/hidrantes/03individual/3360.html","3360")</f>
      </c>
      <c r="B219" t="s">
        <v>114</v>
      </c>
      <c r="C219" t="s">
        <v>222</v>
      </c>
      <c r="D219" t="s">
        <v>238</v>
      </c>
      <c r="E219" t="s">
        <v>15</v>
      </c>
      <c r="F219" t="s">
        <v>4098</v>
      </c>
      <c r="G219" t="s">
        <v>18062</v>
      </c>
      <c r="H219" t="s">
        <v>1121</v>
      </c>
      <c r="I219" t="s">
        <v>1117</v>
      </c>
      <c r="J219" t="s">
        <v>4099</v>
      </c>
      <c r="K219" t="s">
        <v>4100</v>
      </c>
      <c r="L219" t="s">
        <v>21</v>
      </c>
      <c r="M219" t="s">
        <v>19177</v>
      </c>
      <c r="N219" t="s">
        <v>16374</v>
      </c>
      <c r="O219" t="s">
        <v>272</v>
      </c>
      <c r="P219" t="s">
        <v>114</v>
      </c>
    </row>
    <row r="220">
      <c r="A220">
        <f>HYPERLINK("http://bombeiros.sp.gov.br/hidrantes/03individual/850.html","850")</f>
      </c>
      <c r="B220" t="s">
        <v>114</v>
      </c>
      <c r="C220" t="s">
        <v>242</v>
      </c>
      <c r="D220" t="s">
        <v>242</v>
      </c>
      <c r="E220" t="s">
        <v>64</v>
      </c>
      <c r="F220" t="s">
        <v>4101</v>
      </c>
      <c r="G220" t="s">
        <v>18091</v>
      </c>
      <c r="H220" t="s">
        <v>1121</v>
      </c>
      <c r="I220" t="s">
        <v>1117</v>
      </c>
      <c r="J220" t="s">
        <v>4102</v>
      </c>
      <c r="K220" t="s">
        <v>4103</v>
      </c>
      <c r="L220" t="s">
        <v>21</v>
      </c>
      <c r="M220" t="s">
        <v>19177</v>
      </c>
      <c r="N220" t="s">
        <v>272</v>
      </c>
      <c r="O220" t="s">
        <v>272</v>
      </c>
      <c r="P220" t="s">
        <v>114</v>
      </c>
    </row>
    <row r="221">
      <c r="A221">
        <f>HYPERLINK("http://bombeiros.sp.gov.br/hidrantes/03individual/864.html","864")</f>
      </c>
      <c r="B221" t="s">
        <v>114</v>
      </c>
      <c r="C221" t="s">
        <v>242</v>
      </c>
      <c r="D221" t="s">
        <v>242</v>
      </c>
      <c r="E221" t="s">
        <v>64</v>
      </c>
      <c r="F221" t="s">
        <v>4119</v>
      </c>
      <c r="G221" t="s">
        <v>18043</v>
      </c>
      <c r="H221" t="s">
        <v>1121</v>
      </c>
      <c r="I221" t="s">
        <v>1117</v>
      </c>
      <c r="J221" t="s">
        <v>4120</v>
      </c>
      <c r="K221" t="s">
        <v>4121</v>
      </c>
      <c r="L221" t="s">
        <v>21</v>
      </c>
      <c r="M221" t="s">
        <v>19177</v>
      </c>
      <c r="N221" t="s">
        <v>272</v>
      </c>
      <c r="O221" t="s">
        <v>272</v>
      </c>
      <c r="P221" t="s">
        <v>114</v>
      </c>
    </row>
    <row r="222">
      <c r="A222">
        <f>HYPERLINK("http://bombeiros.sp.gov.br/hidrantes/03individual/897.html","897")</f>
      </c>
      <c r="B222" t="s">
        <v>114</v>
      </c>
      <c r="C222" t="s">
        <v>242</v>
      </c>
      <c r="D222" t="s">
        <v>242</v>
      </c>
      <c r="E222" t="s">
        <v>64</v>
      </c>
      <c r="F222" t="s">
        <v>4125</v>
      </c>
      <c r="G222" t="s">
        <v>18055</v>
      </c>
      <c r="H222" t="s">
        <v>1121</v>
      </c>
      <c r="I222" t="s">
        <v>1117</v>
      </c>
      <c r="J222" t="s">
        <v>4126</v>
      </c>
      <c r="K222" t="s">
        <v>4127</v>
      </c>
      <c r="L222" t="s">
        <v>21</v>
      </c>
      <c r="M222" t="s">
        <v>19177</v>
      </c>
      <c r="N222" t="s">
        <v>272</v>
      </c>
      <c r="O222" t="s">
        <v>272</v>
      </c>
      <c r="P222" t="s">
        <v>114</v>
      </c>
    </row>
    <row r="223">
      <c r="A223">
        <f>HYPERLINK("http://bombeiros.sp.gov.br/hidrantes/03individual/899.html","899")</f>
      </c>
      <c r="B223" t="s">
        <v>114</v>
      </c>
      <c r="C223" t="s">
        <v>242</v>
      </c>
      <c r="D223" t="s">
        <v>242</v>
      </c>
      <c r="E223" t="s">
        <v>64</v>
      </c>
      <c r="F223" t="s">
        <v>4128</v>
      </c>
      <c r="G223" t="s">
        <v>18105</v>
      </c>
      <c r="H223" t="s">
        <v>1121</v>
      </c>
      <c r="I223" t="s">
        <v>1117</v>
      </c>
      <c r="J223" t="s">
        <v>4129</v>
      </c>
      <c r="K223" t="s">
        <v>4130</v>
      </c>
      <c r="L223" t="s">
        <v>21</v>
      </c>
      <c r="M223" t="s">
        <v>19177</v>
      </c>
      <c r="N223" t="s">
        <v>272</v>
      </c>
      <c r="O223" t="s">
        <v>272</v>
      </c>
      <c r="P223" t="s">
        <v>114</v>
      </c>
    </row>
    <row r="224">
      <c r="A224">
        <f>HYPERLINK("http://bombeiros.sp.gov.br/hidrantes/03individual/927.html","927")</f>
      </c>
      <c r="B224" t="s">
        <v>114</v>
      </c>
      <c r="C224" t="s">
        <v>242</v>
      </c>
      <c r="D224" t="s">
        <v>242</v>
      </c>
      <c r="E224" t="s">
        <v>64</v>
      </c>
      <c r="F224" t="s">
        <v>4137</v>
      </c>
      <c r="G224" t="s">
        <v>18105</v>
      </c>
      <c r="H224" t="s">
        <v>1121</v>
      </c>
      <c r="I224" t="s">
        <v>1117</v>
      </c>
      <c r="J224" t="s">
        <v>4138</v>
      </c>
      <c r="K224" t="s">
        <v>4139</v>
      </c>
      <c r="L224" t="s">
        <v>36</v>
      </c>
      <c r="M224" t="s">
        <v>19177</v>
      </c>
      <c r="N224" t="s">
        <v>272</v>
      </c>
      <c r="O224" t="s">
        <v>272</v>
      </c>
      <c r="P224" t="s">
        <v>114</v>
      </c>
    </row>
    <row r="225">
      <c r="A225">
        <f>HYPERLINK("http://bombeiros.sp.gov.br/hidrantes/03individual/931.html","931")</f>
      </c>
      <c r="B225" t="s">
        <v>114</v>
      </c>
      <c r="C225" t="s">
        <v>242</v>
      </c>
      <c r="D225" t="s">
        <v>242</v>
      </c>
      <c r="E225" t="s">
        <v>64</v>
      </c>
      <c r="F225" t="s">
        <v>4140</v>
      </c>
      <c r="G225" t="s">
        <v>18105</v>
      </c>
      <c r="H225" t="s">
        <v>1121</v>
      </c>
      <c r="I225" t="s">
        <v>1117</v>
      </c>
      <c r="J225" t="s">
        <v>4141</v>
      </c>
      <c r="K225" t="s">
        <v>4142</v>
      </c>
      <c r="L225" t="s">
        <v>21</v>
      </c>
      <c r="M225" t="s">
        <v>19177</v>
      </c>
      <c r="N225" t="s">
        <v>272</v>
      </c>
      <c r="O225" t="s">
        <v>272</v>
      </c>
      <c r="P225" t="s">
        <v>114</v>
      </c>
    </row>
    <row r="226">
      <c r="A226">
        <f>HYPERLINK("http://bombeiros.sp.gov.br/hidrantes/03individual/933.html","933")</f>
      </c>
      <c r="B226" t="s">
        <v>114</v>
      </c>
      <c r="C226" t="s">
        <v>242</v>
      </c>
      <c r="D226" t="s">
        <v>242</v>
      </c>
      <c r="E226" t="s">
        <v>64</v>
      </c>
      <c r="F226" t="s">
        <v>4143</v>
      </c>
      <c r="G226" t="s">
        <v>18094</v>
      </c>
      <c r="H226" t="s">
        <v>1121</v>
      </c>
      <c r="I226" t="s">
        <v>1117</v>
      </c>
      <c r="J226" t="s">
        <v>4144</v>
      </c>
      <c r="K226" t="s">
        <v>4145</v>
      </c>
      <c r="L226" t="s">
        <v>36</v>
      </c>
      <c r="M226" t="s">
        <v>19177</v>
      </c>
      <c r="N226" t="s">
        <v>272</v>
      </c>
      <c r="O226" t="s">
        <v>272</v>
      </c>
      <c r="P226" t="s">
        <v>114</v>
      </c>
    </row>
    <row r="227">
      <c r="A227">
        <f>HYPERLINK("http://bombeiros.sp.gov.br/hidrantes/03individual/966.html","966")</f>
      </c>
      <c r="B227" t="s">
        <v>114</v>
      </c>
      <c r="C227" t="s">
        <v>242</v>
      </c>
      <c r="D227" t="s">
        <v>242</v>
      </c>
      <c r="E227" t="s">
        <v>64</v>
      </c>
      <c r="F227" t="s">
        <v>4149</v>
      </c>
      <c r="G227" t="s">
        <v>18099</v>
      </c>
      <c r="H227" t="s">
        <v>1121</v>
      </c>
      <c r="I227" t="s">
        <v>1117</v>
      </c>
      <c r="J227" t="s">
        <v>4150</v>
      </c>
      <c r="K227" t="s">
        <v>4151</v>
      </c>
      <c r="L227" t="s">
        <v>36</v>
      </c>
      <c r="M227" t="s">
        <v>19177</v>
      </c>
      <c r="N227" t="s">
        <v>272</v>
      </c>
      <c r="O227" t="s">
        <v>272</v>
      </c>
      <c r="P227" t="s">
        <v>114</v>
      </c>
    </row>
    <row r="228">
      <c r="A228">
        <f>HYPERLINK("http://bombeiros.sp.gov.br/hidrantes/03individual/992.html","992")</f>
      </c>
      <c r="B228" t="s">
        <v>114</v>
      </c>
      <c r="C228" t="s">
        <v>242</v>
      </c>
      <c r="D228" t="s">
        <v>242</v>
      </c>
      <c r="E228" t="s">
        <v>64</v>
      </c>
      <c r="F228" t="s">
        <v>4152</v>
      </c>
      <c r="G228" t="s">
        <v>18069</v>
      </c>
      <c r="H228" t="s">
        <v>1121</v>
      </c>
      <c r="I228" t="s">
        <v>1117</v>
      </c>
      <c r="J228" t="s">
        <v>4153</v>
      </c>
      <c r="K228" t="s">
        <v>4154</v>
      </c>
      <c r="L228" t="s">
        <v>21</v>
      </c>
      <c r="M228" t="s">
        <v>19177</v>
      </c>
      <c r="N228" t="s">
        <v>272</v>
      </c>
      <c r="O228" t="s">
        <v>272</v>
      </c>
      <c r="P228" t="s">
        <v>114</v>
      </c>
    </row>
    <row r="229">
      <c r="A229">
        <f>HYPERLINK("http://bombeiros.sp.gov.br/hidrantes/03individual/995.html","995")</f>
      </c>
      <c r="B229" t="s">
        <v>114</v>
      </c>
      <c r="C229" t="s">
        <v>242</v>
      </c>
      <c r="D229" t="s">
        <v>242</v>
      </c>
      <c r="E229" t="s">
        <v>64</v>
      </c>
      <c r="F229" t="s">
        <v>4155</v>
      </c>
      <c r="G229" t="s">
        <v>18090</v>
      </c>
      <c r="H229" t="s">
        <v>1121</v>
      </c>
      <c r="I229" t="s">
        <v>1117</v>
      </c>
      <c r="J229" t="s">
        <v>4156</v>
      </c>
      <c r="K229" t="s">
        <v>4157</v>
      </c>
      <c r="L229" t="s">
        <v>21</v>
      </c>
      <c r="M229" t="s">
        <v>19177</v>
      </c>
      <c r="N229" t="s">
        <v>272</v>
      </c>
      <c r="O229" t="s">
        <v>272</v>
      </c>
      <c r="P229" t="s">
        <v>114</v>
      </c>
    </row>
    <row r="230">
      <c r="A230">
        <f>HYPERLINK("http://bombeiros.sp.gov.br/hidrantes/03individual/1003.html","1003")</f>
      </c>
      <c r="B230" t="s">
        <v>114</v>
      </c>
      <c r="C230" t="s">
        <v>242</v>
      </c>
      <c r="D230" t="s">
        <v>242</v>
      </c>
      <c r="E230" t="s">
        <v>64</v>
      </c>
      <c r="F230" t="s">
        <v>4158</v>
      </c>
      <c r="G230" t="s">
        <v>18099</v>
      </c>
      <c r="H230" t="s">
        <v>1121</v>
      </c>
      <c r="I230" t="s">
        <v>1117</v>
      </c>
      <c r="J230" t="s">
        <v>4159</v>
      </c>
      <c r="K230" t="s">
        <v>4160</v>
      </c>
      <c r="L230" t="s">
        <v>21</v>
      </c>
      <c r="M230" t="s">
        <v>19177</v>
      </c>
      <c r="N230" t="s">
        <v>272</v>
      </c>
      <c r="O230" t="s">
        <v>272</v>
      </c>
      <c r="P230" t="s">
        <v>114</v>
      </c>
    </row>
    <row r="231">
      <c r="A231">
        <f>HYPERLINK("http://bombeiros.sp.gov.br/hidrantes/03individual/2011.html","2011")</f>
      </c>
      <c r="B231" t="s">
        <v>114</v>
      </c>
      <c r="C231" t="s">
        <v>242</v>
      </c>
      <c r="D231" t="s">
        <v>242</v>
      </c>
      <c r="E231" t="s">
        <v>64</v>
      </c>
      <c r="F231" t="s">
        <v>4161</v>
      </c>
      <c r="G231" t="s">
        <v>18069</v>
      </c>
      <c r="H231" t="s">
        <v>1121</v>
      </c>
      <c r="I231" t="s">
        <v>1117</v>
      </c>
      <c r="J231" t="s">
        <v>4162</v>
      </c>
      <c r="K231" t="s">
        <v>4163</v>
      </c>
      <c r="L231" t="s">
        <v>21</v>
      </c>
      <c r="M231" t="s">
        <v>19177</v>
      </c>
      <c r="N231" t="s">
        <v>272</v>
      </c>
      <c r="O231" t="s">
        <v>272</v>
      </c>
      <c r="P231" t="s">
        <v>114</v>
      </c>
    </row>
    <row r="232">
      <c r="A232">
        <f>HYPERLINK("http://bombeiros.sp.gov.br/hidrantes/03individual/3451.html","3451")</f>
      </c>
      <c r="B232" t="s">
        <v>114</v>
      </c>
      <c r="C232" t="s">
        <v>242</v>
      </c>
      <c r="D232" t="s">
        <v>242</v>
      </c>
      <c r="E232" t="s">
        <v>64</v>
      </c>
      <c r="F232" t="s">
        <v>4167</v>
      </c>
      <c r="G232" t="s">
        <v>18107</v>
      </c>
      <c r="H232" t="s">
        <v>1121</v>
      </c>
      <c r="I232" t="s">
        <v>1117</v>
      </c>
      <c r="J232" t="s">
        <v>4168</v>
      </c>
      <c r="K232" t="s">
        <v>4169</v>
      </c>
      <c r="L232" t="s">
        <v>21</v>
      </c>
      <c r="M232" t="s">
        <v>19177</v>
      </c>
      <c r="N232" t="s">
        <v>272</v>
      </c>
      <c r="O232" t="s">
        <v>272</v>
      </c>
      <c r="P232" t="s">
        <v>114</v>
      </c>
    </row>
    <row r="233">
      <c r="A233">
        <f>HYPERLINK("http://bombeiros.sp.gov.br/hidrantes/03individual/3466.html","3466")</f>
      </c>
      <c r="B233" t="s">
        <v>114</v>
      </c>
      <c r="C233" t="s">
        <v>242</v>
      </c>
      <c r="D233" t="s">
        <v>242</v>
      </c>
      <c r="E233" t="s">
        <v>64</v>
      </c>
      <c r="F233" t="s">
        <v>4170</v>
      </c>
      <c r="G233" t="s">
        <v>18105</v>
      </c>
      <c r="H233" t="s">
        <v>1121</v>
      </c>
      <c r="I233" t="s">
        <v>1117</v>
      </c>
      <c r="J233" t="s">
        <v>4171</v>
      </c>
      <c r="K233" t="s">
        <v>4172</v>
      </c>
      <c r="L233" t="s">
        <v>21</v>
      </c>
      <c r="M233" t="s">
        <v>19177</v>
      </c>
      <c r="N233" t="s">
        <v>272</v>
      </c>
      <c r="O233" t="s">
        <v>272</v>
      </c>
      <c r="P233" t="s">
        <v>114</v>
      </c>
    </row>
    <row r="234">
      <c r="A234">
        <f>HYPERLINK("http://bombeiros.sp.gov.br/hidrantes/03individual/3467.html","3467")</f>
      </c>
      <c r="B234" t="s">
        <v>114</v>
      </c>
      <c r="C234" t="s">
        <v>242</v>
      </c>
      <c r="D234" t="s">
        <v>242</v>
      </c>
      <c r="E234" t="s">
        <v>64</v>
      </c>
      <c r="F234" t="s">
        <v>4173</v>
      </c>
      <c r="G234" t="s">
        <v>18069</v>
      </c>
      <c r="H234" t="s">
        <v>1121</v>
      </c>
      <c r="I234" t="s">
        <v>1117</v>
      </c>
      <c r="J234" t="s">
        <v>4174</v>
      </c>
      <c r="K234" t="s">
        <v>4175</v>
      </c>
      <c r="L234" t="s">
        <v>36</v>
      </c>
      <c r="M234" t="s">
        <v>19177</v>
      </c>
      <c r="N234" t="s">
        <v>272</v>
      </c>
      <c r="O234" t="s">
        <v>272</v>
      </c>
      <c r="P234" t="s">
        <v>114</v>
      </c>
    </row>
    <row r="235">
      <c r="A235">
        <f>HYPERLINK("http://bombeiros.sp.gov.br/hidrantes/03individual/4223.html","4223")</f>
      </c>
      <c r="B235" t="s">
        <v>114</v>
      </c>
      <c r="C235" t="s">
        <v>242</v>
      </c>
      <c r="D235" t="s">
        <v>242</v>
      </c>
      <c r="E235" t="s">
        <v>64</v>
      </c>
      <c r="F235" t="s">
        <v>4179</v>
      </c>
      <c r="G235" t="s">
        <v>18099</v>
      </c>
      <c r="H235" t="s">
        <v>1121</v>
      </c>
      <c r="I235" t="s">
        <v>1117</v>
      </c>
      <c r="J235" t="s">
        <v>4180</v>
      </c>
      <c r="K235" t="s">
        <v>4181</v>
      </c>
      <c r="L235" t="s">
        <v>21</v>
      </c>
      <c r="M235" t="s">
        <v>19177</v>
      </c>
      <c r="N235" t="s">
        <v>272</v>
      </c>
      <c r="O235" t="s">
        <v>272</v>
      </c>
      <c r="P235" t="s">
        <v>114</v>
      </c>
    </row>
    <row r="236">
      <c r="A236">
        <f>HYPERLINK("http://bombeiros.sp.gov.br/hidrantes/03individual/4317.html","4317")</f>
      </c>
      <c r="B236" t="s">
        <v>114</v>
      </c>
      <c r="C236" t="s">
        <v>242</v>
      </c>
      <c r="D236" t="s">
        <v>242</v>
      </c>
      <c r="E236" t="s">
        <v>64</v>
      </c>
      <c r="F236" t="s">
        <v>4185</v>
      </c>
      <c r="G236" t="s">
        <v>18066</v>
      </c>
      <c r="H236" t="s">
        <v>1121</v>
      </c>
      <c r="I236" t="s">
        <v>1117</v>
      </c>
      <c r="J236" t="s">
        <v>4186</v>
      </c>
      <c r="K236" t="s">
        <v>4187</v>
      </c>
      <c r="L236" t="s">
        <v>21</v>
      </c>
      <c r="M236" t="s">
        <v>19177</v>
      </c>
      <c r="N236" t="s">
        <v>272</v>
      </c>
      <c r="O236" t="s">
        <v>272</v>
      </c>
      <c r="P236" t="s">
        <v>114</v>
      </c>
    </row>
    <row r="237">
      <c r="A237">
        <f>HYPERLINK("http://bombeiros.sp.gov.br/hidrantes/03individual/4431.html","4431")</f>
      </c>
      <c r="B237" t="s">
        <v>114</v>
      </c>
      <c r="C237" t="s">
        <v>242</v>
      </c>
      <c r="D237" t="s">
        <v>242</v>
      </c>
      <c r="E237" t="s">
        <v>64</v>
      </c>
      <c r="F237" t="s">
        <v>4188</v>
      </c>
      <c r="G237" t="s">
        <v>18043</v>
      </c>
      <c r="H237" t="s">
        <v>1121</v>
      </c>
      <c r="I237" t="s">
        <v>1117</v>
      </c>
      <c r="J237" t="s">
        <v>4189</v>
      </c>
      <c r="K237" t="s">
        <v>4190</v>
      </c>
      <c r="L237" t="s">
        <v>21</v>
      </c>
      <c r="M237" t="s">
        <v>19177</v>
      </c>
      <c r="N237" t="s">
        <v>272</v>
      </c>
      <c r="O237" t="s">
        <v>272</v>
      </c>
      <c r="P237" t="s">
        <v>114</v>
      </c>
    </row>
    <row r="238">
      <c r="A238">
        <f>HYPERLINK("http://bombeiros.sp.gov.br/hidrantes/03individual/4437.html","4437")</f>
      </c>
      <c r="B238" t="s">
        <v>114</v>
      </c>
      <c r="C238" t="s">
        <v>242</v>
      </c>
      <c r="D238" t="s">
        <v>242</v>
      </c>
      <c r="E238" t="s">
        <v>64</v>
      </c>
      <c r="F238" t="s">
        <v>4191</v>
      </c>
      <c r="G238" t="s">
        <v>18065</v>
      </c>
      <c r="H238" t="s">
        <v>1121</v>
      </c>
      <c r="I238" t="s">
        <v>1117</v>
      </c>
      <c r="J238" t="s">
        <v>4192</v>
      </c>
      <c r="K238" t="s">
        <v>4193</v>
      </c>
      <c r="L238" t="s">
        <v>21</v>
      </c>
      <c r="M238" t="s">
        <v>19177</v>
      </c>
      <c r="N238" t="s">
        <v>272</v>
      </c>
      <c r="O238" t="s">
        <v>272</v>
      </c>
      <c r="P238" t="s">
        <v>114</v>
      </c>
    </row>
    <row r="239">
      <c r="A239">
        <f>HYPERLINK("http://bombeiros.sp.gov.br/hidrantes/03individual/6779.html","6779")</f>
      </c>
      <c r="B239" t="s">
        <v>114</v>
      </c>
      <c r="C239" t="s">
        <v>242</v>
      </c>
      <c r="D239" t="s">
        <v>242</v>
      </c>
      <c r="E239" t="s">
        <v>64</v>
      </c>
      <c r="F239" t="s">
        <v>4194</v>
      </c>
      <c r="G239" t="s">
        <v>18099</v>
      </c>
      <c r="H239" t="s">
        <v>1121</v>
      </c>
      <c r="I239" t="s">
        <v>1117</v>
      </c>
      <c r="J239" t="s">
        <v>4195</v>
      </c>
      <c r="K239" t="s">
        <v>4196</v>
      </c>
      <c r="L239" t="s">
        <v>36</v>
      </c>
      <c r="M239" t="s">
        <v>19177</v>
      </c>
      <c r="N239" t="s">
        <v>272</v>
      </c>
      <c r="O239" t="s">
        <v>272</v>
      </c>
      <c r="P239" t="s">
        <v>114</v>
      </c>
    </row>
    <row r="240">
      <c r="A240">
        <f>HYPERLINK("http://bombeiros.sp.gov.br/hidrantes/03individual/17787.html","17787")</f>
      </c>
      <c r="B240" t="s">
        <v>114</v>
      </c>
      <c r="C240" t="s">
        <v>242</v>
      </c>
      <c r="D240" t="s">
        <v>242</v>
      </c>
      <c r="E240" t="s">
        <v>64</v>
      </c>
      <c r="F240" t="s">
        <v>4203</v>
      </c>
      <c r="G240" t="s">
        <v>18090</v>
      </c>
      <c r="H240" t="s">
        <v>1121</v>
      </c>
      <c r="I240" t="s">
        <v>1117</v>
      </c>
      <c r="J240" t="s">
        <v>4204</v>
      </c>
      <c r="K240" t="s">
        <v>4205</v>
      </c>
      <c r="L240" t="s">
        <v>21</v>
      </c>
      <c r="M240" t="s">
        <v>19177</v>
      </c>
      <c r="N240" t="s">
        <v>272</v>
      </c>
      <c r="O240" t="s">
        <v>272</v>
      </c>
      <c r="P240" t="s">
        <v>114</v>
      </c>
    </row>
    <row r="241">
      <c r="A241">
        <f>HYPERLINK("http://bombeiros.sp.gov.br/hidrantes/03individual/26872.html","26872")</f>
      </c>
      <c r="B241" t="s">
        <v>114</v>
      </c>
      <c r="C241" t="s">
        <v>242</v>
      </c>
      <c r="D241" t="s">
        <v>242</v>
      </c>
      <c r="E241" t="s">
        <v>64</v>
      </c>
      <c r="F241" t="s">
        <v>16275</v>
      </c>
      <c r="G241" t="s">
        <v>18099</v>
      </c>
      <c r="H241" t="s">
        <v>1121</v>
      </c>
      <c r="I241" t="s">
        <v>1117</v>
      </c>
      <c r="J241" t="s">
        <v>16276</v>
      </c>
      <c r="K241" t="s">
        <v>16277</v>
      </c>
      <c r="L241" t="s">
        <v>21</v>
      </c>
      <c r="M241" t="s">
        <v>19177</v>
      </c>
      <c r="N241" t="s">
        <v>272</v>
      </c>
      <c r="O241" t="s">
        <v>272</v>
      </c>
      <c r="P241" t="s">
        <v>114</v>
      </c>
    </row>
    <row r="242">
      <c r="A242">
        <f>HYPERLINK("http://bombeiros.sp.gov.br/hidrantes/03individual/27080.html","27080")</f>
      </c>
      <c r="B242" t="s">
        <v>114</v>
      </c>
      <c r="C242" t="s">
        <v>242</v>
      </c>
      <c r="D242" t="s">
        <v>242</v>
      </c>
      <c r="E242" t="s">
        <v>64</v>
      </c>
      <c r="F242" t="s">
        <v>16725</v>
      </c>
      <c r="G242" t="s">
        <v>18129</v>
      </c>
      <c r="H242" t="s">
        <v>1121</v>
      </c>
      <c r="I242" t="s">
        <v>1117</v>
      </c>
      <c r="J242" t="s">
        <v>16726</v>
      </c>
      <c r="K242" t="s">
        <v>16727</v>
      </c>
      <c r="L242" t="s">
        <v>21</v>
      </c>
      <c r="M242" t="s">
        <v>19177</v>
      </c>
      <c r="N242" t="s">
        <v>272</v>
      </c>
      <c r="O242" t="s">
        <v>272</v>
      </c>
      <c r="P242" t="s">
        <v>114</v>
      </c>
    </row>
    <row r="243">
      <c r="A243">
        <f>HYPERLINK("http://bombeiros.sp.gov.br/hidrantes/03individual/805.html","805")</f>
      </c>
      <c r="B243" t="s">
        <v>114</v>
      </c>
      <c r="C243" t="s">
        <v>242</v>
      </c>
      <c r="D243" t="s">
        <v>4225</v>
      </c>
      <c r="E243" t="s">
        <v>64</v>
      </c>
      <c r="F243" t="s">
        <v>4226</v>
      </c>
      <c r="G243" t="s">
        <v>18107</v>
      </c>
      <c r="H243" t="s">
        <v>1121</v>
      </c>
      <c r="I243" t="s">
        <v>1117</v>
      </c>
      <c r="J243" t="s">
        <v>4227</v>
      </c>
      <c r="K243" t="s">
        <v>4228</v>
      </c>
      <c r="L243" t="s">
        <v>36</v>
      </c>
      <c r="M243" t="s">
        <v>19177</v>
      </c>
      <c r="N243" t="s">
        <v>272</v>
      </c>
      <c r="O243" t="s">
        <v>272</v>
      </c>
      <c r="P243" t="s">
        <v>114</v>
      </c>
    </row>
    <row r="244">
      <c r="A244">
        <f>HYPERLINK("http://bombeiros.sp.gov.br/hidrantes/03individual/815.html","815")</f>
      </c>
      <c r="B244" t="s">
        <v>114</v>
      </c>
      <c r="C244" t="s">
        <v>242</v>
      </c>
      <c r="D244" t="s">
        <v>4225</v>
      </c>
      <c r="E244" t="s">
        <v>64</v>
      </c>
      <c r="F244" t="s">
        <v>4229</v>
      </c>
      <c r="G244" t="s">
        <v>18099</v>
      </c>
      <c r="H244" t="s">
        <v>1121</v>
      </c>
      <c r="I244" t="s">
        <v>1117</v>
      </c>
      <c r="J244" t="s">
        <v>4230</v>
      </c>
      <c r="K244" t="s">
        <v>4231</v>
      </c>
      <c r="L244" t="s">
        <v>36</v>
      </c>
      <c r="M244" t="s">
        <v>19177</v>
      </c>
      <c r="N244" t="s">
        <v>272</v>
      </c>
      <c r="O244" t="s">
        <v>272</v>
      </c>
      <c r="P244" t="s">
        <v>114</v>
      </c>
    </row>
    <row r="245">
      <c r="A245">
        <f>HYPERLINK("http://bombeiros.sp.gov.br/hidrantes/03individual/834.html","834")</f>
      </c>
      <c r="B245" t="s">
        <v>114</v>
      </c>
      <c r="C245" t="s">
        <v>242</v>
      </c>
      <c r="D245" t="s">
        <v>4225</v>
      </c>
      <c r="E245" t="s">
        <v>64</v>
      </c>
      <c r="F245" t="s">
        <v>4232</v>
      </c>
      <c r="G245" t="s">
        <v>18099</v>
      </c>
      <c r="H245" t="s">
        <v>1121</v>
      </c>
      <c r="I245" t="s">
        <v>1117</v>
      </c>
      <c r="J245" t="s">
        <v>4233</v>
      </c>
      <c r="K245" t="s">
        <v>4234</v>
      </c>
      <c r="L245" t="s">
        <v>21</v>
      </c>
      <c r="M245" t="s">
        <v>19177</v>
      </c>
      <c r="N245" t="s">
        <v>272</v>
      </c>
      <c r="O245" t="s">
        <v>272</v>
      </c>
      <c r="P245" t="s">
        <v>114</v>
      </c>
    </row>
    <row r="246">
      <c r="A246">
        <f>HYPERLINK("http://bombeiros.sp.gov.br/hidrantes/03individual/836.html","836")</f>
      </c>
      <c r="B246" t="s">
        <v>114</v>
      </c>
      <c r="C246" t="s">
        <v>242</v>
      </c>
      <c r="D246" t="s">
        <v>4225</v>
      </c>
      <c r="E246" t="s">
        <v>64</v>
      </c>
      <c r="F246" t="s">
        <v>4235</v>
      </c>
      <c r="G246" t="s">
        <v>18099</v>
      </c>
      <c r="H246" t="s">
        <v>1121</v>
      </c>
      <c r="I246" t="s">
        <v>1117</v>
      </c>
      <c r="J246" t="s">
        <v>4236</v>
      </c>
      <c r="K246" t="s">
        <v>4237</v>
      </c>
      <c r="L246" t="s">
        <v>36</v>
      </c>
      <c r="M246" t="s">
        <v>19177</v>
      </c>
      <c r="N246" t="s">
        <v>272</v>
      </c>
      <c r="O246" t="s">
        <v>272</v>
      </c>
      <c r="P246" t="s">
        <v>114</v>
      </c>
    </row>
    <row r="247">
      <c r="A247">
        <f>HYPERLINK("http://bombeiros.sp.gov.br/hidrantes/03individual/855.html","855")</f>
      </c>
      <c r="B247" t="s">
        <v>114</v>
      </c>
      <c r="C247" t="s">
        <v>242</v>
      </c>
      <c r="D247" t="s">
        <v>4225</v>
      </c>
      <c r="E247" t="s">
        <v>64</v>
      </c>
      <c r="F247" t="s">
        <v>4238</v>
      </c>
      <c r="G247" t="s">
        <v>18117</v>
      </c>
      <c r="H247" t="s">
        <v>1121</v>
      </c>
      <c r="I247" t="s">
        <v>1117</v>
      </c>
      <c r="J247" t="s">
        <v>4239</v>
      </c>
      <c r="K247" t="s">
        <v>4240</v>
      </c>
      <c r="L247" t="s">
        <v>21</v>
      </c>
      <c r="M247" t="s">
        <v>19177</v>
      </c>
      <c r="N247" t="s">
        <v>272</v>
      </c>
      <c r="O247" t="s">
        <v>272</v>
      </c>
      <c r="P247" t="s">
        <v>114</v>
      </c>
    </row>
    <row r="248">
      <c r="A248">
        <f>HYPERLINK("http://bombeiros.sp.gov.br/hidrantes/03individual/856.html","856")</f>
      </c>
      <c r="B248" t="s">
        <v>114</v>
      </c>
      <c r="C248" t="s">
        <v>242</v>
      </c>
      <c r="D248" t="s">
        <v>4225</v>
      </c>
      <c r="E248" t="s">
        <v>64</v>
      </c>
      <c r="F248" t="s">
        <v>4241</v>
      </c>
      <c r="G248" t="s">
        <v>18147</v>
      </c>
      <c r="H248" t="s">
        <v>1121</v>
      </c>
      <c r="I248" t="s">
        <v>1117</v>
      </c>
      <c r="J248" t="s">
        <v>4242</v>
      </c>
      <c r="K248" t="s">
        <v>4243</v>
      </c>
      <c r="L248" t="s">
        <v>21</v>
      </c>
      <c r="M248" t="s">
        <v>19177</v>
      </c>
      <c r="N248" t="s">
        <v>272</v>
      </c>
      <c r="O248" t="s">
        <v>272</v>
      </c>
      <c r="P248" t="s">
        <v>114</v>
      </c>
    </row>
    <row r="249">
      <c r="A249">
        <f>HYPERLINK("http://bombeiros.sp.gov.br/hidrantes/03individual/907.html","907")</f>
      </c>
      <c r="B249" t="s">
        <v>114</v>
      </c>
      <c r="C249" t="s">
        <v>242</v>
      </c>
      <c r="D249" t="s">
        <v>4225</v>
      </c>
      <c r="E249" t="s">
        <v>64</v>
      </c>
      <c r="F249" t="s">
        <v>4247</v>
      </c>
      <c r="G249" t="s">
        <v>18147</v>
      </c>
      <c r="H249" t="s">
        <v>1121</v>
      </c>
      <c r="I249" t="s">
        <v>1117</v>
      </c>
      <c r="J249" t="s">
        <v>4248</v>
      </c>
      <c r="K249" t="s">
        <v>4249</v>
      </c>
      <c r="L249" t="s">
        <v>36</v>
      </c>
      <c r="M249" t="s">
        <v>19177</v>
      </c>
      <c r="N249" t="s">
        <v>272</v>
      </c>
      <c r="O249" t="s">
        <v>272</v>
      </c>
      <c r="P249" t="s">
        <v>114</v>
      </c>
    </row>
    <row r="250">
      <c r="A250">
        <f>HYPERLINK("http://bombeiros.sp.gov.br/hidrantes/03individual/948.html","948")</f>
      </c>
      <c r="B250" t="s">
        <v>114</v>
      </c>
      <c r="C250" t="s">
        <v>242</v>
      </c>
      <c r="D250" t="s">
        <v>4225</v>
      </c>
      <c r="E250" t="s">
        <v>64</v>
      </c>
      <c r="F250" t="s">
        <v>4250</v>
      </c>
      <c r="G250" t="s">
        <v>18147</v>
      </c>
      <c r="H250" t="s">
        <v>1121</v>
      </c>
      <c r="I250" t="s">
        <v>1117</v>
      </c>
      <c r="J250" t="s">
        <v>4251</v>
      </c>
      <c r="K250" t="s">
        <v>4252</v>
      </c>
      <c r="L250" t="s">
        <v>36</v>
      </c>
      <c r="M250" t="s">
        <v>19177</v>
      </c>
      <c r="N250" t="s">
        <v>272</v>
      </c>
      <c r="O250" t="s">
        <v>272</v>
      </c>
      <c r="P250" t="s">
        <v>114</v>
      </c>
    </row>
    <row r="251">
      <c r="A251">
        <f>HYPERLINK("http://bombeiros.sp.gov.br/hidrantes/03individual/957.html","957")</f>
      </c>
      <c r="B251" t="s">
        <v>114</v>
      </c>
      <c r="C251" t="s">
        <v>242</v>
      </c>
      <c r="D251" t="s">
        <v>4225</v>
      </c>
      <c r="E251" t="s">
        <v>64</v>
      </c>
      <c r="F251" t="s">
        <v>4253</v>
      </c>
      <c r="G251" t="s">
        <v>18190</v>
      </c>
      <c r="H251" t="s">
        <v>1121</v>
      </c>
      <c r="I251" t="s">
        <v>1117</v>
      </c>
      <c r="J251" t="s">
        <v>4254</v>
      </c>
      <c r="K251" t="s">
        <v>4255</v>
      </c>
      <c r="L251" t="s">
        <v>36</v>
      </c>
      <c r="M251" t="s">
        <v>19177</v>
      </c>
      <c r="N251" t="s">
        <v>272</v>
      </c>
      <c r="O251" t="s">
        <v>272</v>
      </c>
      <c r="P251" t="s">
        <v>114</v>
      </c>
    </row>
    <row r="252">
      <c r="A252">
        <f>HYPERLINK("http://bombeiros.sp.gov.br/hidrantes/03individual/3843.html","3843")</f>
      </c>
      <c r="B252" t="s">
        <v>114</v>
      </c>
      <c r="C252" t="s">
        <v>242</v>
      </c>
      <c r="D252" t="s">
        <v>4225</v>
      </c>
      <c r="E252" t="s">
        <v>15</v>
      </c>
      <c r="F252" t="s">
        <v>4256</v>
      </c>
      <c r="G252" t="s">
        <v>18190</v>
      </c>
      <c r="H252" t="s">
        <v>1121</v>
      </c>
      <c r="I252" t="s">
        <v>1117</v>
      </c>
      <c r="J252" t="s">
        <v>4257</v>
      </c>
      <c r="K252" t="s">
        <v>4258</v>
      </c>
      <c r="L252" t="s">
        <v>21</v>
      </c>
      <c r="M252" t="s">
        <v>19177</v>
      </c>
      <c r="N252" t="s">
        <v>272</v>
      </c>
      <c r="O252" t="s">
        <v>272</v>
      </c>
      <c r="P252" t="s">
        <v>114</v>
      </c>
    </row>
    <row r="253">
      <c r="A253">
        <f>HYPERLINK("http://bombeiros.sp.gov.br/hidrantes/03individual/818.html","818")</f>
      </c>
      <c r="B253" t="s">
        <v>114</v>
      </c>
      <c r="C253" t="s">
        <v>251</v>
      </c>
      <c r="D253" t="s">
        <v>251</v>
      </c>
      <c r="E253" t="s">
        <v>64</v>
      </c>
      <c r="F253" t="s">
        <v>252</v>
      </c>
      <c r="G253" t="s">
        <v>18143</v>
      </c>
      <c r="H253" t="s">
        <v>1121</v>
      </c>
      <c r="I253" t="s">
        <v>1117</v>
      </c>
      <c r="J253" t="s">
        <v>253</v>
      </c>
      <c r="K253" t="s">
        <v>254</v>
      </c>
      <c r="L253" t="s">
        <v>21</v>
      </c>
      <c r="M253" t="s">
        <v>19177</v>
      </c>
      <c r="N253" t="s">
        <v>309</v>
      </c>
      <c r="O253" t="s">
        <v>6029</v>
      </c>
      <c r="P253" t="s">
        <v>114</v>
      </c>
    </row>
    <row r="254">
      <c r="A254">
        <f>HYPERLINK("http://bombeiros.sp.gov.br/hidrantes/03individual/5637.html","5637")</f>
      </c>
      <c r="B254" t="s">
        <v>114</v>
      </c>
      <c r="C254" t="s">
        <v>251</v>
      </c>
      <c r="D254" t="s">
        <v>251</v>
      </c>
      <c r="E254" t="s">
        <v>64</v>
      </c>
      <c r="F254" t="s">
        <v>4274</v>
      </c>
      <c r="G254" t="s">
        <v>18143</v>
      </c>
      <c r="H254" t="s">
        <v>1121</v>
      </c>
      <c r="I254" t="s">
        <v>1117</v>
      </c>
      <c r="J254" t="s">
        <v>4275</v>
      </c>
      <c r="K254" t="s">
        <v>4276</v>
      </c>
      <c r="L254" t="s">
        <v>21</v>
      </c>
      <c r="M254" t="s">
        <v>19177</v>
      </c>
      <c r="N254" t="s">
        <v>309</v>
      </c>
      <c r="O254" t="s">
        <v>6029</v>
      </c>
      <c r="P254" t="s">
        <v>114</v>
      </c>
    </row>
    <row r="255">
      <c r="A255">
        <f>HYPERLINK("http://bombeiros.sp.gov.br/hidrantes/03individual/1840.html","1840")</f>
      </c>
      <c r="B255" t="s">
        <v>114</v>
      </c>
      <c r="C255" t="s">
        <v>251</v>
      </c>
      <c r="D255" t="s">
        <v>4310</v>
      </c>
      <c r="E255" t="s">
        <v>15</v>
      </c>
      <c r="F255" t="s">
        <v>4323</v>
      </c>
      <c r="G255" t="s">
        <v>18042</v>
      </c>
      <c r="H255" t="s">
        <v>1121</v>
      </c>
      <c r="I255" t="s">
        <v>1117</v>
      </c>
      <c r="J255" t="s">
        <v>4324</v>
      </c>
      <c r="K255" t="s">
        <v>4325</v>
      </c>
      <c r="L255" t="s">
        <v>21</v>
      </c>
      <c r="M255" t="s">
        <v>19177</v>
      </c>
      <c r="N255" t="s">
        <v>6029</v>
      </c>
      <c r="O255" t="s">
        <v>6029</v>
      </c>
      <c r="P255" t="s">
        <v>114</v>
      </c>
    </row>
    <row r="256">
      <c r="A256">
        <f>HYPERLINK("http://bombeiros.sp.gov.br/hidrantes/03individual/27591.html","27591")</f>
      </c>
      <c r="B256" t="s">
        <v>114</v>
      </c>
      <c r="C256" t="s">
        <v>251</v>
      </c>
      <c r="D256" t="s">
        <v>4310</v>
      </c>
      <c r="E256" t="s">
        <v>15</v>
      </c>
      <c r="F256" t="s">
        <v>17476</v>
      </c>
      <c r="G256" t="s">
        <v>18084</v>
      </c>
      <c r="H256" t="s">
        <v>1121</v>
      </c>
      <c r="I256" t="s">
        <v>1117</v>
      </c>
      <c r="J256" t="s">
        <v>17477</v>
      </c>
      <c r="K256" t="s">
        <v>17478</v>
      </c>
      <c r="L256" t="s">
        <v>21</v>
      </c>
      <c r="M256" t="s">
        <v>19177</v>
      </c>
      <c r="N256" t="s">
        <v>6029</v>
      </c>
      <c r="O256" t="s">
        <v>6029</v>
      </c>
      <c r="P256" t="s">
        <v>114</v>
      </c>
    </row>
    <row r="257">
      <c r="A257">
        <f>HYPERLINK("http://bombeiros.sp.gov.br/hidrantes/03individual/3416.html","3416")</f>
      </c>
      <c r="B257" t="s">
        <v>114</v>
      </c>
      <c r="C257" t="s">
        <v>4356</v>
      </c>
      <c r="D257" t="s">
        <v>4356</v>
      </c>
      <c r="E257" t="s">
        <v>64</v>
      </c>
      <c r="F257" t="s">
        <v>4357</v>
      </c>
      <c r="G257" t="s">
        <v>18065</v>
      </c>
      <c r="H257" t="s">
        <v>1121</v>
      </c>
      <c r="I257" t="s">
        <v>1117</v>
      </c>
      <c r="J257" t="s">
        <v>4358</v>
      </c>
      <c r="K257" t="s">
        <v>4359</v>
      </c>
      <c r="L257" t="s">
        <v>21</v>
      </c>
      <c r="M257" t="s">
        <v>19177</v>
      </c>
      <c r="N257" t="s">
        <v>272</v>
      </c>
      <c r="O257" t="s">
        <v>272</v>
      </c>
      <c r="P257" t="s">
        <v>114</v>
      </c>
    </row>
    <row r="258">
      <c r="A258">
        <f>HYPERLINK("http://bombeiros.sp.gov.br/hidrantes/03individual/26814.html","26814")</f>
      </c>
      <c r="B258" t="s">
        <v>114</v>
      </c>
      <c r="C258" t="s">
        <v>4356</v>
      </c>
      <c r="D258" t="s">
        <v>4356</v>
      </c>
      <c r="E258" t="s">
        <v>64</v>
      </c>
      <c r="F258" t="s">
        <v>16056</v>
      </c>
      <c r="G258" t="s">
        <v>18065</v>
      </c>
      <c r="H258" t="s">
        <v>1121</v>
      </c>
      <c r="I258" t="s">
        <v>1117</v>
      </c>
      <c r="J258" t="s">
        <v>16057</v>
      </c>
      <c r="K258" t="s">
        <v>16058</v>
      </c>
      <c r="L258" t="s">
        <v>21</v>
      </c>
      <c r="M258" t="s">
        <v>19177</v>
      </c>
      <c r="N258" t="s">
        <v>272</v>
      </c>
      <c r="O258" t="s">
        <v>272</v>
      </c>
      <c r="P258" t="s">
        <v>114</v>
      </c>
    </row>
    <row r="259">
      <c r="A259">
        <f>HYPERLINK("http://bombeiros.sp.gov.br/hidrantes/03individual/858.html","858")</f>
      </c>
      <c r="B259" t="s">
        <v>114</v>
      </c>
      <c r="C259" t="s">
        <v>4356</v>
      </c>
      <c r="D259" t="s">
        <v>4385</v>
      </c>
      <c r="E259" t="s">
        <v>64</v>
      </c>
      <c r="F259" t="s">
        <v>4386</v>
      </c>
      <c r="G259" t="s">
        <v>18065</v>
      </c>
      <c r="H259" t="s">
        <v>1121</v>
      </c>
      <c r="I259" t="s">
        <v>1117</v>
      </c>
      <c r="J259" t="s">
        <v>4387</v>
      </c>
      <c r="K259" t="s">
        <v>4388</v>
      </c>
      <c r="L259" t="s">
        <v>36</v>
      </c>
      <c r="M259" t="s">
        <v>19177</v>
      </c>
      <c r="N259" t="s">
        <v>272</v>
      </c>
      <c r="O259" t="s">
        <v>272</v>
      </c>
      <c r="P259" t="s">
        <v>114</v>
      </c>
    </row>
    <row r="260">
      <c r="A260">
        <f>HYPERLINK("http://bombeiros.sp.gov.br/hidrantes/03individual/3456.html","3456")</f>
      </c>
      <c r="B260" t="s">
        <v>114</v>
      </c>
      <c r="C260" t="s">
        <v>4356</v>
      </c>
      <c r="D260" t="s">
        <v>4385</v>
      </c>
      <c r="E260" t="s">
        <v>64</v>
      </c>
      <c r="F260" t="s">
        <v>4389</v>
      </c>
      <c r="G260" t="s">
        <v>18048</v>
      </c>
      <c r="H260" t="s">
        <v>1121</v>
      </c>
      <c r="I260" t="s">
        <v>1117</v>
      </c>
      <c r="J260" t="s">
        <v>4390</v>
      </c>
      <c r="K260" t="s">
        <v>4391</v>
      </c>
      <c r="L260" t="s">
        <v>36</v>
      </c>
      <c r="M260" t="s">
        <v>19177</v>
      </c>
      <c r="N260" t="s">
        <v>272</v>
      </c>
      <c r="O260" t="s">
        <v>272</v>
      </c>
      <c r="P260" t="s">
        <v>114</v>
      </c>
    </row>
    <row r="261">
      <c r="A261">
        <f>HYPERLINK("http://bombeiros.sp.gov.br/hidrantes/03individual/15041.html","15041")</f>
      </c>
      <c r="B261" t="s">
        <v>114</v>
      </c>
      <c r="C261" t="s">
        <v>4356</v>
      </c>
      <c r="D261" t="s">
        <v>4385</v>
      </c>
      <c r="E261" t="s">
        <v>64</v>
      </c>
      <c r="F261" t="s">
        <v>4392</v>
      </c>
      <c r="G261" t="s">
        <v>18048</v>
      </c>
      <c r="H261" t="s">
        <v>1121</v>
      </c>
      <c r="I261" t="s">
        <v>1117</v>
      </c>
      <c r="J261" t="s">
        <v>4393</v>
      </c>
      <c r="K261" t="s">
        <v>4394</v>
      </c>
      <c r="L261" t="s">
        <v>21</v>
      </c>
      <c r="M261" t="s">
        <v>19177</v>
      </c>
      <c r="N261" t="s">
        <v>272</v>
      </c>
      <c r="O261" t="s">
        <v>272</v>
      </c>
      <c r="P261" t="s">
        <v>114</v>
      </c>
    </row>
    <row r="262">
      <c r="A262">
        <f>HYPERLINK("http://bombeiros.sp.gov.br/hidrantes/03individual/27078.html","27078")</f>
      </c>
      <c r="B262" t="s">
        <v>114</v>
      </c>
      <c r="C262" t="s">
        <v>4356</v>
      </c>
      <c r="D262" t="s">
        <v>4385</v>
      </c>
      <c r="E262" t="s">
        <v>64</v>
      </c>
      <c r="F262" t="s">
        <v>16728</v>
      </c>
      <c r="G262" t="s">
        <v>18065</v>
      </c>
      <c r="H262" t="s">
        <v>1121</v>
      </c>
      <c r="I262" t="s">
        <v>1108</v>
      </c>
      <c r="J262" t="s">
        <v>16729</v>
      </c>
      <c r="K262" t="s">
        <v>16730</v>
      </c>
      <c r="L262" t="s">
        <v>21</v>
      </c>
      <c r="M262" t="s">
        <v>19177</v>
      </c>
      <c r="N262" t="s">
        <v>272</v>
      </c>
      <c r="O262" t="s">
        <v>272</v>
      </c>
      <c r="P262" t="s">
        <v>114</v>
      </c>
    </row>
    <row r="263">
      <c r="A263">
        <f>HYPERLINK("http://bombeiros.sp.gov.br/hidrantes/03individual/27179.html","27179")</f>
      </c>
      <c r="B263" t="s">
        <v>114</v>
      </c>
      <c r="C263" t="s">
        <v>4356</v>
      </c>
      <c r="D263" t="s">
        <v>4385</v>
      </c>
      <c r="E263" t="s">
        <v>64</v>
      </c>
      <c r="F263" t="s">
        <v>16913</v>
      </c>
      <c r="G263" t="s">
        <v>18065</v>
      </c>
      <c r="H263" t="s">
        <v>1121</v>
      </c>
      <c r="I263" t="s">
        <v>1117</v>
      </c>
      <c r="J263" t="s">
        <v>16914</v>
      </c>
      <c r="K263" t="s">
        <v>16915</v>
      </c>
      <c r="L263" t="s">
        <v>21</v>
      </c>
      <c r="M263" t="s">
        <v>19177</v>
      </c>
      <c r="N263" t="s">
        <v>272</v>
      </c>
      <c r="O263" t="s">
        <v>272</v>
      </c>
      <c r="P263" t="s">
        <v>114</v>
      </c>
    </row>
    <row r="264">
      <c r="A264">
        <f>HYPERLINK("http://bombeiros.sp.gov.br/hidrantes/03individual/3819.html","3819")</f>
      </c>
      <c r="B264" t="s">
        <v>114</v>
      </c>
      <c r="C264" t="s">
        <v>255</v>
      </c>
      <c r="D264" t="s">
        <v>4413</v>
      </c>
      <c r="E264" t="s">
        <v>64</v>
      </c>
      <c r="F264" t="s">
        <v>4417</v>
      </c>
      <c r="G264" t="s">
        <v>18062</v>
      </c>
      <c r="H264" t="s">
        <v>1121</v>
      </c>
      <c r="I264" t="s">
        <v>1117</v>
      </c>
      <c r="J264" t="s">
        <v>4418</v>
      </c>
      <c r="K264" t="s">
        <v>4419</v>
      </c>
      <c r="L264" t="s">
        <v>36</v>
      </c>
      <c r="M264" t="s">
        <v>19177</v>
      </c>
      <c r="N264" t="s">
        <v>337</v>
      </c>
      <c r="O264" t="s">
        <v>337</v>
      </c>
      <c r="P264" t="s">
        <v>12</v>
      </c>
    </row>
    <row r="265">
      <c r="A265">
        <f>HYPERLINK("http://bombeiros.sp.gov.br/hidrantes/03individual/3820.html","3820")</f>
      </c>
      <c r="B265" t="s">
        <v>114</v>
      </c>
      <c r="C265" t="s">
        <v>255</v>
      </c>
      <c r="D265" t="s">
        <v>4413</v>
      </c>
      <c r="E265" t="s">
        <v>64</v>
      </c>
      <c r="F265" t="s">
        <v>4420</v>
      </c>
      <c r="G265" t="s">
        <v>18050</v>
      </c>
      <c r="H265" t="s">
        <v>1121</v>
      </c>
      <c r="I265" t="s">
        <v>1117</v>
      </c>
      <c r="J265" t="s">
        <v>4421</v>
      </c>
      <c r="K265" t="s">
        <v>4422</v>
      </c>
      <c r="L265" t="s">
        <v>36</v>
      </c>
      <c r="M265" t="s">
        <v>19177</v>
      </c>
      <c r="N265" t="s">
        <v>337</v>
      </c>
      <c r="O265" t="s">
        <v>337</v>
      </c>
      <c r="P265" t="s">
        <v>12</v>
      </c>
    </row>
    <row r="266">
      <c r="A266">
        <f>HYPERLINK("http://bombeiros.sp.gov.br/hidrantes/03individual/16561.html","16561")</f>
      </c>
      <c r="B266" t="s">
        <v>114</v>
      </c>
      <c r="C266" t="s">
        <v>255</v>
      </c>
      <c r="D266" t="s">
        <v>256</v>
      </c>
      <c r="E266" t="s">
        <v>64</v>
      </c>
      <c r="F266" t="s">
        <v>4438</v>
      </c>
      <c r="G266" t="s">
        <v>18050</v>
      </c>
      <c r="H266" t="s">
        <v>1121</v>
      </c>
      <c r="I266" t="s">
        <v>1117</v>
      </c>
      <c r="J266" t="s">
        <v>4439</v>
      </c>
      <c r="K266" t="s">
        <v>4440</v>
      </c>
      <c r="L266" t="s">
        <v>21</v>
      </c>
      <c r="M266" t="s">
        <v>19177</v>
      </c>
      <c r="N266" t="s">
        <v>337</v>
      </c>
      <c r="O266" t="s">
        <v>337</v>
      </c>
      <c r="P266" t="s">
        <v>12</v>
      </c>
    </row>
    <row r="267">
      <c r="A267">
        <f>HYPERLINK("http://bombeiros.sp.gov.br/hidrantes/03individual/3822.html","3822")</f>
      </c>
      <c r="B267" t="s">
        <v>114</v>
      </c>
      <c r="C267" t="s">
        <v>260</v>
      </c>
      <c r="D267" t="s">
        <v>261</v>
      </c>
      <c r="E267" t="s">
        <v>64</v>
      </c>
      <c r="F267" t="s">
        <v>4450</v>
      </c>
      <c r="G267" t="s">
        <v>18553</v>
      </c>
      <c r="H267" t="s">
        <v>1121</v>
      </c>
      <c r="I267" t="s">
        <v>1117</v>
      </c>
      <c r="J267" t="s">
        <v>4451</v>
      </c>
      <c r="K267" t="s">
        <v>4452</v>
      </c>
      <c r="L267" t="s">
        <v>36</v>
      </c>
      <c r="M267" t="s">
        <v>19177</v>
      </c>
      <c r="N267" t="s">
        <v>6029</v>
      </c>
      <c r="O267" t="s">
        <v>6029</v>
      </c>
      <c r="P267" t="s">
        <v>114</v>
      </c>
    </row>
    <row r="268">
      <c r="A268">
        <f>HYPERLINK("http://bombeiros.sp.gov.br/hidrantes/03individual/27149.html","27149")</f>
      </c>
      <c r="B268" t="s">
        <v>114</v>
      </c>
      <c r="C268" t="s">
        <v>260</v>
      </c>
      <c r="D268" t="s">
        <v>261</v>
      </c>
      <c r="E268" t="s">
        <v>64</v>
      </c>
      <c r="F268" t="s">
        <v>16845</v>
      </c>
      <c r="G268" t="s">
        <v>18134</v>
      </c>
      <c r="H268" t="s">
        <v>1121</v>
      </c>
      <c r="I268" t="s">
        <v>1117</v>
      </c>
      <c r="J268" t="s">
        <v>17730</v>
      </c>
      <c r="K268" t="s">
        <v>17731</v>
      </c>
      <c r="L268" t="s">
        <v>21</v>
      </c>
      <c r="M268" t="s">
        <v>19177</v>
      </c>
      <c r="N268" t="s">
        <v>6029</v>
      </c>
      <c r="O268" t="s">
        <v>6029</v>
      </c>
      <c r="P268" t="s">
        <v>114</v>
      </c>
    </row>
    <row r="269">
      <c r="A269">
        <f>HYPERLINK("http://bombeiros.sp.gov.br/hidrantes/03individual/27650.html","27650")</f>
      </c>
      <c r="B269" t="s">
        <v>114</v>
      </c>
      <c r="C269" t="s">
        <v>260</v>
      </c>
      <c r="D269" t="s">
        <v>261</v>
      </c>
      <c r="E269" t="s">
        <v>64</v>
      </c>
      <c r="F269" t="s">
        <v>17547</v>
      </c>
      <c r="G269" t="s">
        <v>18092</v>
      </c>
      <c r="H269" t="s">
        <v>1121</v>
      </c>
      <c r="I269" t="s">
        <v>1117</v>
      </c>
      <c r="J269" t="s">
        <v>17548</v>
      </c>
      <c r="K269" t="s">
        <v>17549</v>
      </c>
      <c r="L269" t="s">
        <v>21</v>
      </c>
      <c r="M269" t="s">
        <v>19177</v>
      </c>
      <c r="N269" t="s">
        <v>6029</v>
      </c>
      <c r="O269" t="s">
        <v>6029</v>
      </c>
      <c r="P269" t="s">
        <v>114</v>
      </c>
    </row>
    <row r="270">
      <c r="A270">
        <f>HYPERLINK("http://bombeiros.sp.gov.br/hidrantes/03individual/1975.html","1975")</f>
      </c>
      <c r="B270" t="s">
        <v>114</v>
      </c>
      <c r="C270" t="s">
        <v>260</v>
      </c>
      <c r="D270" t="s">
        <v>260</v>
      </c>
      <c r="E270" t="s">
        <v>15</v>
      </c>
      <c r="F270" t="s">
        <v>4498</v>
      </c>
      <c r="G270" t="s">
        <v>18545</v>
      </c>
      <c r="H270" t="s">
        <v>1121</v>
      </c>
      <c r="I270" t="s">
        <v>1117</v>
      </c>
      <c r="J270" t="s">
        <v>4499</v>
      </c>
      <c r="K270" t="s">
        <v>4500</v>
      </c>
      <c r="L270" t="s">
        <v>21</v>
      </c>
      <c r="M270" t="s">
        <v>19177</v>
      </c>
      <c r="N270" t="s">
        <v>6029</v>
      </c>
      <c r="O270" t="s">
        <v>6029</v>
      </c>
      <c r="P270" t="s">
        <v>114</v>
      </c>
    </row>
    <row r="271">
      <c r="A271">
        <f>HYPERLINK("http://bombeiros.sp.gov.br/hidrantes/03individual/2038.html","2038")</f>
      </c>
      <c r="B271" t="s">
        <v>114</v>
      </c>
      <c r="C271" t="s">
        <v>260</v>
      </c>
      <c r="D271" t="s">
        <v>265</v>
      </c>
      <c r="E271" t="s">
        <v>64</v>
      </c>
      <c r="F271" t="s">
        <v>4513</v>
      </c>
      <c r="G271" t="s">
        <v>18099</v>
      </c>
      <c r="H271" t="s">
        <v>1121</v>
      </c>
      <c r="I271" t="s">
        <v>1117</v>
      </c>
      <c r="J271" t="s">
        <v>4514</v>
      </c>
      <c r="K271" t="s">
        <v>4515</v>
      </c>
      <c r="L271" t="s">
        <v>36</v>
      </c>
      <c r="M271" t="s">
        <v>19177</v>
      </c>
      <c r="N271" t="s">
        <v>6029</v>
      </c>
      <c r="O271" t="s">
        <v>6029</v>
      </c>
      <c r="P271" t="s">
        <v>114</v>
      </c>
    </row>
    <row r="272">
      <c r="A272">
        <f>HYPERLINK("http://bombeiros.sp.gov.br/hidrantes/03individual/2094.html","2094")</f>
      </c>
      <c r="B272" t="s">
        <v>114</v>
      </c>
      <c r="C272" t="s">
        <v>260</v>
      </c>
      <c r="D272" t="s">
        <v>265</v>
      </c>
      <c r="E272" t="s">
        <v>15</v>
      </c>
      <c r="F272" t="s">
        <v>4534</v>
      </c>
      <c r="G272" t="s">
        <v>18115</v>
      </c>
      <c r="H272" t="s">
        <v>1121</v>
      </c>
      <c r="I272" t="s">
        <v>1117</v>
      </c>
      <c r="J272" t="s">
        <v>4535</v>
      </c>
      <c r="K272" t="s">
        <v>4536</v>
      </c>
      <c r="L272" t="s">
        <v>21</v>
      </c>
      <c r="M272" t="s">
        <v>19177</v>
      </c>
      <c r="N272" t="s">
        <v>6029</v>
      </c>
      <c r="O272" t="s">
        <v>6029</v>
      </c>
      <c r="P272" t="s">
        <v>114</v>
      </c>
    </row>
    <row r="273">
      <c r="A273">
        <f>HYPERLINK("http://bombeiros.sp.gov.br/hidrantes/03individual/5634.html","5634")</f>
      </c>
      <c r="B273" t="s">
        <v>114</v>
      </c>
      <c r="C273" t="s">
        <v>272</v>
      </c>
      <c r="D273" t="s">
        <v>4555</v>
      </c>
      <c r="E273" t="s">
        <v>15</v>
      </c>
      <c r="F273" t="s">
        <v>4568</v>
      </c>
      <c r="G273" t="s">
        <v>18085</v>
      </c>
      <c r="H273" t="s">
        <v>1121</v>
      </c>
      <c r="I273" t="s">
        <v>1117</v>
      </c>
      <c r="J273" t="s">
        <v>4569</v>
      </c>
      <c r="K273" t="s">
        <v>4570</v>
      </c>
      <c r="L273" t="s">
        <v>21</v>
      </c>
      <c r="M273" t="s">
        <v>19177</v>
      </c>
      <c r="N273" t="s">
        <v>309</v>
      </c>
      <c r="O273" t="s">
        <v>6029</v>
      </c>
      <c r="P273" t="s">
        <v>114</v>
      </c>
    </row>
    <row r="274">
      <c r="A274">
        <f>HYPERLINK("http://bombeiros.sp.gov.br/hidrantes/03individual/3381.html","3381")</f>
      </c>
      <c r="B274" t="s">
        <v>114</v>
      </c>
      <c r="C274" t="s">
        <v>272</v>
      </c>
      <c r="D274" t="s">
        <v>272</v>
      </c>
      <c r="E274" t="s">
        <v>64</v>
      </c>
      <c r="F274" t="s">
        <v>4584</v>
      </c>
      <c r="G274" t="s">
        <v>18483</v>
      </c>
      <c r="H274" t="s">
        <v>1121</v>
      </c>
      <c r="I274" t="s">
        <v>1117</v>
      </c>
      <c r="J274" t="s">
        <v>4586</v>
      </c>
      <c r="K274" t="s">
        <v>4587</v>
      </c>
      <c r="L274" t="s">
        <v>21</v>
      </c>
      <c r="M274" t="s">
        <v>19177</v>
      </c>
      <c r="N274" t="s">
        <v>272</v>
      </c>
      <c r="O274" t="s">
        <v>272</v>
      </c>
      <c r="P274" t="s">
        <v>114</v>
      </c>
    </row>
    <row r="275">
      <c r="A275">
        <f>HYPERLINK("http://bombeiros.sp.gov.br/hidrantes/03individual/2089.html","2089")</f>
      </c>
      <c r="B275" t="s">
        <v>114</v>
      </c>
      <c r="C275" t="s">
        <v>272</v>
      </c>
      <c r="D275" t="s">
        <v>272</v>
      </c>
      <c r="E275" t="s">
        <v>15</v>
      </c>
      <c r="F275" t="s">
        <v>4591</v>
      </c>
      <c r="G275" t="s">
        <v>18483</v>
      </c>
      <c r="H275" t="s">
        <v>1121</v>
      </c>
      <c r="I275" t="s">
        <v>1117</v>
      </c>
      <c r="J275" t="s">
        <v>4592</v>
      </c>
      <c r="K275" t="s">
        <v>4593</v>
      </c>
      <c r="L275" t="s">
        <v>21</v>
      </c>
      <c r="M275" t="s">
        <v>19177</v>
      </c>
      <c r="N275" t="s">
        <v>272</v>
      </c>
      <c r="O275" t="s">
        <v>272</v>
      </c>
      <c r="P275" t="s">
        <v>114</v>
      </c>
    </row>
    <row r="276">
      <c r="A276">
        <f>HYPERLINK("http://bombeiros.sp.gov.br/hidrantes/03individual/3373.html","3373")</f>
      </c>
      <c r="B276" t="s">
        <v>114</v>
      </c>
      <c r="C276" t="s">
        <v>272</v>
      </c>
      <c r="D276" t="s">
        <v>272</v>
      </c>
      <c r="E276" t="s">
        <v>15</v>
      </c>
      <c r="F276" t="s">
        <v>4600</v>
      </c>
      <c r="G276" t="s">
        <v>18483</v>
      </c>
      <c r="H276" t="s">
        <v>1121</v>
      </c>
      <c r="I276" t="s">
        <v>1117</v>
      </c>
      <c r="J276" t="s">
        <v>4601</v>
      </c>
      <c r="K276" t="s">
        <v>4602</v>
      </c>
      <c r="L276" t="s">
        <v>21</v>
      </c>
      <c r="M276" t="s">
        <v>19177</v>
      </c>
      <c r="N276" t="s">
        <v>272</v>
      </c>
      <c r="O276" t="s">
        <v>272</v>
      </c>
      <c r="P276" t="s">
        <v>114</v>
      </c>
    </row>
    <row r="277">
      <c r="A277">
        <f>HYPERLINK("http://bombeiros.sp.gov.br/hidrantes/03individual/3343.html","3343")</f>
      </c>
      <c r="B277" t="s">
        <v>114</v>
      </c>
      <c r="C277" t="s">
        <v>272</v>
      </c>
      <c r="D277" t="s">
        <v>279</v>
      </c>
      <c r="E277" t="s">
        <v>64</v>
      </c>
      <c r="F277" t="s">
        <v>4609</v>
      </c>
      <c r="G277" t="s">
        <v>18132</v>
      </c>
      <c r="H277" t="s">
        <v>1121</v>
      </c>
      <c r="I277" t="s">
        <v>1117</v>
      </c>
      <c r="J277" t="s">
        <v>4610</v>
      </c>
      <c r="K277" t="s">
        <v>4611</v>
      </c>
      <c r="L277" t="s">
        <v>21</v>
      </c>
      <c r="M277" t="s">
        <v>19177</v>
      </c>
      <c r="N277" t="s">
        <v>272</v>
      </c>
      <c r="O277" t="s">
        <v>272</v>
      </c>
      <c r="P277" t="s">
        <v>114</v>
      </c>
    </row>
    <row r="278">
      <c r="A278">
        <f>HYPERLINK("http://bombeiros.sp.gov.br/hidrantes/03individual/3347.html","3347")</f>
      </c>
      <c r="B278" t="s">
        <v>114</v>
      </c>
      <c r="C278" t="s">
        <v>272</v>
      </c>
      <c r="D278" t="s">
        <v>279</v>
      </c>
      <c r="E278" t="s">
        <v>64</v>
      </c>
      <c r="F278" t="s">
        <v>4612</v>
      </c>
      <c r="G278" t="s">
        <v>18051</v>
      </c>
      <c r="H278" t="s">
        <v>1121</v>
      </c>
      <c r="I278" t="s">
        <v>1117</v>
      </c>
      <c r="J278" t="s">
        <v>4613</v>
      </c>
      <c r="K278" t="s">
        <v>4614</v>
      </c>
      <c r="L278" t="s">
        <v>36</v>
      </c>
      <c r="M278" t="s">
        <v>19177</v>
      </c>
      <c r="N278" t="s">
        <v>272</v>
      </c>
      <c r="O278" t="s">
        <v>272</v>
      </c>
      <c r="P278" t="s">
        <v>114</v>
      </c>
    </row>
    <row r="279">
      <c r="A279">
        <f>HYPERLINK("http://bombeiros.sp.gov.br/hidrantes/03individual/3368.html","3368")</f>
      </c>
      <c r="B279" t="s">
        <v>114</v>
      </c>
      <c r="C279" t="s">
        <v>272</v>
      </c>
      <c r="D279" t="s">
        <v>279</v>
      </c>
      <c r="E279" t="s">
        <v>64</v>
      </c>
      <c r="F279" t="s">
        <v>4618</v>
      </c>
      <c r="G279" t="s">
        <v>18132</v>
      </c>
      <c r="H279" t="s">
        <v>1121</v>
      </c>
      <c r="I279" t="s">
        <v>1117</v>
      </c>
      <c r="J279" t="s">
        <v>4619</v>
      </c>
      <c r="K279" t="s">
        <v>4620</v>
      </c>
      <c r="L279" t="s">
        <v>36</v>
      </c>
      <c r="M279" t="s">
        <v>19177</v>
      </c>
      <c r="N279" t="s">
        <v>272</v>
      </c>
      <c r="O279" t="s">
        <v>272</v>
      </c>
      <c r="P279" t="s">
        <v>114</v>
      </c>
    </row>
    <row r="280">
      <c r="A280">
        <f>HYPERLINK("http://bombeiros.sp.gov.br/hidrantes/03individual/3344.html","3344")</f>
      </c>
      <c r="B280" t="s">
        <v>114</v>
      </c>
      <c r="C280" t="s">
        <v>272</v>
      </c>
      <c r="D280" t="s">
        <v>279</v>
      </c>
      <c r="E280" t="s">
        <v>15</v>
      </c>
      <c r="F280" t="s">
        <v>4627</v>
      </c>
      <c r="G280" t="s">
        <v>18051</v>
      </c>
      <c r="H280" t="s">
        <v>1121</v>
      </c>
      <c r="I280" t="s">
        <v>1117</v>
      </c>
      <c r="J280" t="s">
        <v>4628</v>
      </c>
      <c r="K280" t="s">
        <v>4629</v>
      </c>
      <c r="L280" t="s">
        <v>36</v>
      </c>
      <c r="M280" t="s">
        <v>19177</v>
      </c>
      <c r="N280" t="s">
        <v>272</v>
      </c>
      <c r="O280" t="s">
        <v>272</v>
      </c>
      <c r="P280" t="s">
        <v>114</v>
      </c>
    </row>
    <row r="281">
      <c r="A281">
        <f>HYPERLINK("http://bombeiros.sp.gov.br/hidrantes/03individual/4313.html","4313")</f>
      </c>
      <c r="B281" t="s">
        <v>114</v>
      </c>
      <c r="C281" t="s">
        <v>272</v>
      </c>
      <c r="D281" t="s">
        <v>279</v>
      </c>
      <c r="E281" t="s">
        <v>15</v>
      </c>
      <c r="F281" t="s">
        <v>4636</v>
      </c>
      <c r="G281" t="s">
        <v>18051</v>
      </c>
      <c r="H281" t="s">
        <v>1121</v>
      </c>
      <c r="I281" t="s">
        <v>1117</v>
      </c>
      <c r="J281" t="s">
        <v>4637</v>
      </c>
      <c r="K281" t="s">
        <v>4638</v>
      </c>
      <c r="L281" t="s">
        <v>21</v>
      </c>
      <c r="M281" t="s">
        <v>19177</v>
      </c>
      <c r="N281" t="s">
        <v>272</v>
      </c>
      <c r="O281" t="s">
        <v>272</v>
      </c>
      <c r="P281" t="s">
        <v>114</v>
      </c>
    </row>
    <row r="282">
      <c r="A282">
        <f>HYPERLINK("http://bombeiros.sp.gov.br/hidrantes/03individual/4314.html","4314")</f>
      </c>
      <c r="B282" t="s">
        <v>114</v>
      </c>
      <c r="C282" t="s">
        <v>272</v>
      </c>
      <c r="D282" t="s">
        <v>279</v>
      </c>
      <c r="E282" t="s">
        <v>15</v>
      </c>
      <c r="F282" t="s">
        <v>4639</v>
      </c>
      <c r="G282" t="s">
        <v>17949</v>
      </c>
      <c r="H282" t="s">
        <v>1121</v>
      </c>
      <c r="I282" t="s">
        <v>1117</v>
      </c>
      <c r="J282" t="s">
        <v>4640</v>
      </c>
      <c r="K282" t="s">
        <v>4641</v>
      </c>
      <c r="L282" t="s">
        <v>21</v>
      </c>
      <c r="M282" t="s">
        <v>19177</v>
      </c>
      <c r="N282" t="s">
        <v>272</v>
      </c>
      <c r="O282" t="s">
        <v>272</v>
      </c>
      <c r="P282" t="s">
        <v>114</v>
      </c>
    </row>
    <row r="283">
      <c r="A283">
        <f>HYPERLINK("http://bombeiros.sp.gov.br/hidrantes/03individual/5250.html","5250")</f>
      </c>
      <c r="B283" t="s">
        <v>114</v>
      </c>
      <c r="C283" t="s">
        <v>272</v>
      </c>
      <c r="D283" t="s">
        <v>279</v>
      </c>
      <c r="E283" t="s">
        <v>15</v>
      </c>
      <c r="F283" t="s">
        <v>4645</v>
      </c>
      <c r="G283" t="s">
        <v>18132</v>
      </c>
      <c r="H283" t="s">
        <v>1121</v>
      </c>
      <c r="I283" t="s">
        <v>1117</v>
      </c>
      <c r="J283" t="s">
        <v>4646</v>
      </c>
      <c r="K283" t="s">
        <v>4647</v>
      </c>
      <c r="L283" t="s">
        <v>21</v>
      </c>
      <c r="M283" t="s">
        <v>19177</v>
      </c>
      <c r="N283" t="s">
        <v>272</v>
      </c>
      <c r="O283" t="s">
        <v>272</v>
      </c>
      <c r="P283" t="s">
        <v>114</v>
      </c>
    </row>
    <row r="284">
      <c r="A284">
        <f>HYPERLINK("http://bombeiros.sp.gov.br/hidrantes/03individual/2006.html","2006")</f>
      </c>
      <c r="B284" t="s">
        <v>114</v>
      </c>
      <c r="C284" t="s">
        <v>272</v>
      </c>
      <c r="D284" t="s">
        <v>4658</v>
      </c>
      <c r="E284" t="s">
        <v>64</v>
      </c>
      <c r="F284" t="s">
        <v>4659</v>
      </c>
      <c r="G284" t="s">
        <v>18077</v>
      </c>
      <c r="H284" t="s">
        <v>1121</v>
      </c>
      <c r="I284" t="s">
        <v>1117</v>
      </c>
      <c r="J284" t="s">
        <v>4660</v>
      </c>
      <c r="K284" t="s">
        <v>4661</v>
      </c>
      <c r="L284" t="s">
        <v>36</v>
      </c>
      <c r="M284" t="s">
        <v>19177</v>
      </c>
      <c r="N284" t="s">
        <v>272</v>
      </c>
      <c r="O284" t="s">
        <v>272</v>
      </c>
      <c r="P284" t="s">
        <v>114</v>
      </c>
    </row>
    <row r="285">
      <c r="A285">
        <f>HYPERLINK("http://bombeiros.sp.gov.br/hidrantes/03individual/1953.html","1953")</f>
      </c>
      <c r="B285" t="s">
        <v>114</v>
      </c>
      <c r="C285" t="s">
        <v>272</v>
      </c>
      <c r="D285" t="s">
        <v>4658</v>
      </c>
      <c r="E285" t="s">
        <v>15</v>
      </c>
      <c r="F285" t="s">
        <v>4665</v>
      </c>
      <c r="G285" t="s">
        <v>18210</v>
      </c>
      <c r="H285" t="s">
        <v>1121</v>
      </c>
      <c r="I285" t="s">
        <v>1117</v>
      </c>
      <c r="J285" t="s">
        <v>4666</v>
      </c>
      <c r="K285" t="s">
        <v>4667</v>
      </c>
      <c r="L285" t="s">
        <v>21</v>
      </c>
      <c r="M285" t="s">
        <v>19177</v>
      </c>
      <c r="N285" t="s">
        <v>272</v>
      </c>
      <c r="O285" t="s">
        <v>272</v>
      </c>
      <c r="P285" t="s">
        <v>114</v>
      </c>
    </row>
    <row r="286">
      <c r="A286">
        <f>HYPERLINK("http://bombeiros.sp.gov.br/hidrantes/03individual/2026.html","2026")</f>
      </c>
      <c r="B286" t="s">
        <v>114</v>
      </c>
      <c r="C286" t="s">
        <v>272</v>
      </c>
      <c r="D286" t="s">
        <v>4658</v>
      </c>
      <c r="E286" t="s">
        <v>15</v>
      </c>
      <c r="F286" t="s">
        <v>4671</v>
      </c>
      <c r="G286" t="s">
        <v>18210</v>
      </c>
      <c r="H286" t="s">
        <v>1121</v>
      </c>
      <c r="I286" t="s">
        <v>1117</v>
      </c>
      <c r="J286" t="s">
        <v>17458</v>
      </c>
      <c r="K286" t="s">
        <v>17459</v>
      </c>
      <c r="L286" t="s">
        <v>21</v>
      </c>
      <c r="M286" t="s">
        <v>19177</v>
      </c>
      <c r="N286" t="s">
        <v>272</v>
      </c>
      <c r="O286" t="s">
        <v>272</v>
      </c>
      <c r="P286" t="s">
        <v>114</v>
      </c>
    </row>
    <row r="287">
      <c r="A287">
        <f>HYPERLINK("http://bombeiros.sp.gov.br/hidrantes/03individual/3380.html","3380")</f>
      </c>
      <c r="B287" t="s">
        <v>114</v>
      </c>
      <c r="C287" t="s">
        <v>272</v>
      </c>
      <c r="D287" t="s">
        <v>4658</v>
      </c>
      <c r="E287" t="s">
        <v>15</v>
      </c>
      <c r="F287" t="s">
        <v>4674</v>
      </c>
      <c r="G287" t="s">
        <v>18210</v>
      </c>
      <c r="H287" t="s">
        <v>1121</v>
      </c>
      <c r="I287" t="s">
        <v>1117</v>
      </c>
      <c r="J287" t="s">
        <v>4675</v>
      </c>
      <c r="K287" t="s">
        <v>4676</v>
      </c>
      <c r="L287" t="s">
        <v>21</v>
      </c>
      <c r="M287" t="s">
        <v>19177</v>
      </c>
      <c r="N287" t="s">
        <v>272</v>
      </c>
      <c r="O287" t="s">
        <v>272</v>
      </c>
      <c r="P287" t="s">
        <v>114</v>
      </c>
    </row>
    <row r="288">
      <c r="A288">
        <f>HYPERLINK("http://bombeiros.sp.gov.br/hidrantes/03individual/3384.html","3384")</f>
      </c>
      <c r="B288" t="s">
        <v>114</v>
      </c>
      <c r="C288" t="s">
        <v>272</v>
      </c>
      <c r="D288" t="s">
        <v>4658</v>
      </c>
      <c r="E288" t="s">
        <v>15</v>
      </c>
      <c r="F288" t="s">
        <v>4677</v>
      </c>
      <c r="G288" t="s">
        <v>18210</v>
      </c>
      <c r="H288" t="s">
        <v>1121</v>
      </c>
      <c r="I288" t="s">
        <v>1117</v>
      </c>
      <c r="J288" t="s">
        <v>4678</v>
      </c>
      <c r="K288" t="s">
        <v>4679</v>
      </c>
      <c r="L288" t="s">
        <v>21</v>
      </c>
      <c r="M288" t="s">
        <v>19177</v>
      </c>
      <c r="N288" t="s">
        <v>272</v>
      </c>
      <c r="O288" t="s">
        <v>272</v>
      </c>
      <c r="P288" t="s">
        <v>114</v>
      </c>
    </row>
    <row r="289">
      <c r="A289">
        <f>HYPERLINK("http://bombeiros.sp.gov.br/hidrantes/03individual/4321.html","4321")</f>
      </c>
      <c r="B289" t="s">
        <v>114</v>
      </c>
      <c r="C289" t="s">
        <v>272</v>
      </c>
      <c r="D289" t="s">
        <v>4658</v>
      </c>
      <c r="E289" t="s">
        <v>15</v>
      </c>
      <c r="F289" t="s">
        <v>4686</v>
      </c>
      <c r="G289" t="s">
        <v>18210</v>
      </c>
      <c r="H289" t="s">
        <v>1121</v>
      </c>
      <c r="I289" t="s">
        <v>1117</v>
      </c>
      <c r="J289" t="s">
        <v>4687</v>
      </c>
      <c r="K289" t="s">
        <v>4688</v>
      </c>
      <c r="L289" t="s">
        <v>21</v>
      </c>
      <c r="M289" t="s">
        <v>19177</v>
      </c>
      <c r="N289" t="s">
        <v>272</v>
      </c>
      <c r="O289" t="s">
        <v>272</v>
      </c>
      <c r="P289" t="s">
        <v>114</v>
      </c>
    </row>
    <row r="290">
      <c r="A290">
        <f>HYPERLINK("http://bombeiros.sp.gov.br/hidrantes/03individual/3422.html","3422")</f>
      </c>
      <c r="B290" t="s">
        <v>114</v>
      </c>
      <c r="C290" t="s">
        <v>272</v>
      </c>
      <c r="D290" t="s">
        <v>284</v>
      </c>
      <c r="E290" t="s">
        <v>64</v>
      </c>
      <c r="F290" t="s">
        <v>4689</v>
      </c>
      <c r="G290" t="s">
        <v>18093</v>
      </c>
      <c r="H290" t="s">
        <v>1121</v>
      </c>
      <c r="I290" t="s">
        <v>1117</v>
      </c>
      <c r="J290" t="s">
        <v>4690</v>
      </c>
      <c r="K290" t="s">
        <v>4691</v>
      </c>
      <c r="L290" t="s">
        <v>21</v>
      </c>
      <c r="M290" t="s">
        <v>19177</v>
      </c>
      <c r="N290" t="s">
        <v>272</v>
      </c>
      <c r="O290" t="s">
        <v>272</v>
      </c>
      <c r="P290" t="s">
        <v>114</v>
      </c>
    </row>
    <row r="291">
      <c r="A291">
        <f>HYPERLINK("http://bombeiros.sp.gov.br/hidrantes/03individual/3465.html","3465")</f>
      </c>
      <c r="B291" t="s">
        <v>114</v>
      </c>
      <c r="C291" t="s">
        <v>272</v>
      </c>
      <c r="D291" t="s">
        <v>284</v>
      </c>
      <c r="E291" t="s">
        <v>64</v>
      </c>
      <c r="F291" t="s">
        <v>4698</v>
      </c>
      <c r="G291" t="s">
        <v>18093</v>
      </c>
      <c r="H291" t="s">
        <v>1121</v>
      </c>
      <c r="I291" t="s">
        <v>1117</v>
      </c>
      <c r="J291" t="s">
        <v>4699</v>
      </c>
      <c r="K291" t="s">
        <v>4700</v>
      </c>
      <c r="L291" t="s">
        <v>21</v>
      </c>
      <c r="M291" t="s">
        <v>19177</v>
      </c>
      <c r="N291" t="s">
        <v>272</v>
      </c>
      <c r="O291" t="s">
        <v>272</v>
      </c>
      <c r="P291" t="s">
        <v>114</v>
      </c>
    </row>
    <row r="292">
      <c r="A292">
        <f>HYPERLINK("http://bombeiros.sp.gov.br/hidrantes/03individual/1879.html","1879")</f>
      </c>
      <c r="B292" t="s">
        <v>114</v>
      </c>
      <c r="C292" t="s">
        <v>272</v>
      </c>
      <c r="D292" t="s">
        <v>284</v>
      </c>
      <c r="E292" t="s">
        <v>15</v>
      </c>
      <c r="F292" t="s">
        <v>4701</v>
      </c>
      <c r="G292" t="s">
        <v>18065</v>
      </c>
      <c r="H292" t="s">
        <v>1121</v>
      </c>
      <c r="I292" t="s">
        <v>1117</v>
      </c>
      <c r="J292" t="s">
        <v>4702</v>
      </c>
      <c r="K292" t="s">
        <v>4703</v>
      </c>
      <c r="L292" t="s">
        <v>21</v>
      </c>
      <c r="M292" t="s">
        <v>19177</v>
      </c>
      <c r="N292" t="s">
        <v>309</v>
      </c>
      <c r="O292" t="s">
        <v>6029</v>
      </c>
      <c r="P292" t="s">
        <v>114</v>
      </c>
    </row>
    <row r="293">
      <c r="A293">
        <f>HYPERLINK("http://bombeiros.sp.gov.br/hidrantes/03individual/3444.html","3444")</f>
      </c>
      <c r="B293" t="s">
        <v>114</v>
      </c>
      <c r="C293" t="s">
        <v>272</v>
      </c>
      <c r="D293" t="s">
        <v>284</v>
      </c>
      <c r="E293" t="s">
        <v>15</v>
      </c>
      <c r="F293" t="s">
        <v>4707</v>
      </c>
      <c r="G293" t="s">
        <v>18093</v>
      </c>
      <c r="H293" t="s">
        <v>1121</v>
      </c>
      <c r="I293" t="s">
        <v>1117</v>
      </c>
      <c r="J293" t="s">
        <v>4708</v>
      </c>
      <c r="K293" t="s">
        <v>4709</v>
      </c>
      <c r="L293" t="s">
        <v>21</v>
      </c>
      <c r="M293" t="s">
        <v>19177</v>
      </c>
      <c r="N293" t="s">
        <v>272</v>
      </c>
      <c r="O293" t="s">
        <v>272</v>
      </c>
      <c r="P293" t="s">
        <v>114</v>
      </c>
    </row>
    <row r="294">
      <c r="A294">
        <f>HYPERLINK("http://bombeiros.sp.gov.br/hidrantes/03individual/2092.html","2092")</f>
      </c>
      <c r="B294" t="s">
        <v>114</v>
      </c>
      <c r="C294" t="s">
        <v>289</v>
      </c>
      <c r="D294" t="s">
        <v>289</v>
      </c>
      <c r="E294" t="s">
        <v>64</v>
      </c>
      <c r="F294" t="s">
        <v>4713</v>
      </c>
      <c r="G294" t="s">
        <v>18095</v>
      </c>
      <c r="H294" t="s">
        <v>1121</v>
      </c>
      <c r="I294" t="s">
        <v>1117</v>
      </c>
      <c r="J294" t="s">
        <v>4714</v>
      </c>
      <c r="K294" t="s">
        <v>4715</v>
      </c>
      <c r="L294" t="s">
        <v>21</v>
      </c>
      <c r="M294" t="s">
        <v>19177</v>
      </c>
      <c r="N294" t="s">
        <v>6029</v>
      </c>
      <c r="O294" t="s">
        <v>6029</v>
      </c>
      <c r="P294" t="s">
        <v>114</v>
      </c>
    </row>
    <row r="295">
      <c r="A295">
        <f>HYPERLINK("http://bombeiros.sp.gov.br/hidrantes/03individual/3552.html","3552")</f>
      </c>
      <c r="B295" t="s">
        <v>114</v>
      </c>
      <c r="C295" t="s">
        <v>289</v>
      </c>
      <c r="D295" t="s">
        <v>289</v>
      </c>
      <c r="E295" t="s">
        <v>15</v>
      </c>
      <c r="F295" t="s">
        <v>4734</v>
      </c>
      <c r="G295" t="s">
        <v>18094</v>
      </c>
      <c r="H295" t="s">
        <v>1121</v>
      </c>
      <c r="I295" t="s">
        <v>1117</v>
      </c>
      <c r="J295" t="s">
        <v>4735</v>
      </c>
      <c r="K295" t="s">
        <v>4736</v>
      </c>
      <c r="L295" t="s">
        <v>21</v>
      </c>
      <c r="M295" t="s">
        <v>19177</v>
      </c>
      <c r="N295" t="s">
        <v>6029</v>
      </c>
      <c r="O295" t="s">
        <v>6029</v>
      </c>
      <c r="P295" t="s">
        <v>114</v>
      </c>
    </row>
    <row r="296">
      <c r="A296">
        <f>HYPERLINK("http://bombeiros.sp.gov.br/hidrantes/03individual/4205.html","4205")</f>
      </c>
      <c r="B296" t="s">
        <v>114</v>
      </c>
      <c r="C296" t="s">
        <v>289</v>
      </c>
      <c r="D296" t="s">
        <v>289</v>
      </c>
      <c r="E296" t="s">
        <v>15</v>
      </c>
      <c r="F296" t="s">
        <v>4737</v>
      </c>
      <c r="G296" t="s">
        <v>18094</v>
      </c>
      <c r="H296" t="s">
        <v>1121</v>
      </c>
      <c r="I296" t="s">
        <v>1117</v>
      </c>
      <c r="J296" t="s">
        <v>4738</v>
      </c>
      <c r="K296" t="s">
        <v>4739</v>
      </c>
      <c r="L296" t="s">
        <v>21</v>
      </c>
      <c r="M296" t="s">
        <v>19177</v>
      </c>
      <c r="N296" t="s">
        <v>6029</v>
      </c>
      <c r="O296" t="s">
        <v>6029</v>
      </c>
      <c r="P296" t="s">
        <v>114</v>
      </c>
    </row>
    <row r="297">
      <c r="A297">
        <f>HYPERLINK("http://bombeiros.sp.gov.br/hidrantes/03individual/4207.html","4207")</f>
      </c>
      <c r="B297" t="s">
        <v>114</v>
      </c>
      <c r="C297" t="s">
        <v>289</v>
      </c>
      <c r="D297" t="s">
        <v>289</v>
      </c>
      <c r="E297" t="s">
        <v>15</v>
      </c>
      <c r="F297" t="s">
        <v>4740</v>
      </c>
      <c r="G297" t="s">
        <v>18094</v>
      </c>
      <c r="H297" t="s">
        <v>1121</v>
      </c>
      <c r="I297" t="s">
        <v>1117</v>
      </c>
      <c r="J297" t="s">
        <v>4741</v>
      </c>
      <c r="K297" t="s">
        <v>4742</v>
      </c>
      <c r="L297" t="s">
        <v>21</v>
      </c>
      <c r="M297" t="s">
        <v>19177</v>
      </c>
      <c r="N297" t="s">
        <v>6029</v>
      </c>
      <c r="O297" t="s">
        <v>6029</v>
      </c>
      <c r="P297" t="s">
        <v>114</v>
      </c>
    </row>
    <row r="298">
      <c r="A298">
        <f>HYPERLINK("http://bombeiros.sp.gov.br/hidrantes/03individual/17861.html","17861")</f>
      </c>
      <c r="B298" t="s">
        <v>114</v>
      </c>
      <c r="C298" t="s">
        <v>289</v>
      </c>
      <c r="D298" t="s">
        <v>289</v>
      </c>
      <c r="E298" t="s">
        <v>15</v>
      </c>
      <c r="F298" t="s">
        <v>4743</v>
      </c>
      <c r="G298" t="s">
        <v>18094</v>
      </c>
      <c r="H298" t="s">
        <v>1121</v>
      </c>
      <c r="I298" t="s">
        <v>1117</v>
      </c>
      <c r="J298" t="s">
        <v>4744</v>
      </c>
      <c r="K298" t="s">
        <v>4745</v>
      </c>
      <c r="L298" t="s">
        <v>21</v>
      </c>
      <c r="M298" t="s">
        <v>19177</v>
      </c>
      <c r="N298" t="s">
        <v>6029</v>
      </c>
      <c r="O298" t="s">
        <v>6029</v>
      </c>
      <c r="P298" t="s">
        <v>114</v>
      </c>
    </row>
    <row r="299">
      <c r="A299">
        <f>HYPERLINK("http://bombeiros.sp.gov.br/hidrantes/03individual/17862.html","17862")</f>
      </c>
      <c r="B299" t="s">
        <v>114</v>
      </c>
      <c r="C299" t="s">
        <v>289</v>
      </c>
      <c r="D299" t="s">
        <v>289</v>
      </c>
      <c r="E299" t="s">
        <v>15</v>
      </c>
      <c r="F299" t="s">
        <v>4746</v>
      </c>
      <c r="G299" t="s">
        <v>18094</v>
      </c>
      <c r="H299" t="s">
        <v>1121</v>
      </c>
      <c r="I299" t="s">
        <v>1117</v>
      </c>
      <c r="J299" t="s">
        <v>4747</v>
      </c>
      <c r="K299" t="s">
        <v>4748</v>
      </c>
      <c r="L299" t="s">
        <v>21</v>
      </c>
      <c r="M299" t="s">
        <v>19177</v>
      </c>
      <c r="N299" t="s">
        <v>6029</v>
      </c>
      <c r="O299" t="s">
        <v>6029</v>
      </c>
      <c r="P299" t="s">
        <v>114</v>
      </c>
    </row>
    <row r="300">
      <c r="A300">
        <f>HYPERLINK("http://bombeiros.sp.gov.br/hidrantes/03individual/27170.html","27170")</f>
      </c>
      <c r="B300" t="s">
        <v>114</v>
      </c>
      <c r="C300" t="s">
        <v>289</v>
      </c>
      <c r="D300" t="s">
        <v>290</v>
      </c>
      <c r="E300" t="s">
        <v>15</v>
      </c>
      <c r="F300" t="s">
        <v>291</v>
      </c>
      <c r="G300" t="s">
        <v>18095</v>
      </c>
      <c r="H300" t="s">
        <v>1121</v>
      </c>
      <c r="I300" t="s">
        <v>1117</v>
      </c>
      <c r="J300" t="s">
        <v>16889</v>
      </c>
      <c r="K300" t="s">
        <v>16890</v>
      </c>
      <c r="L300" t="s">
        <v>21</v>
      </c>
      <c r="M300" t="s">
        <v>19177</v>
      </c>
      <c r="N300" t="s">
        <v>6029</v>
      </c>
      <c r="O300" t="s">
        <v>6029</v>
      </c>
      <c r="P300" t="s">
        <v>114</v>
      </c>
    </row>
    <row r="301">
      <c r="A301">
        <f>HYPERLINK("http://bombeiros.sp.gov.br/hidrantes/03individual/27878.html","27878")</f>
      </c>
      <c r="B301" t="s">
        <v>114</v>
      </c>
      <c r="C301" t="s">
        <v>289</v>
      </c>
      <c r="D301" t="s">
        <v>290</v>
      </c>
      <c r="E301" t="s">
        <v>15</v>
      </c>
      <c r="F301" t="s">
        <v>17886</v>
      </c>
      <c r="G301" t="s">
        <v>18194</v>
      </c>
      <c r="H301" t="s">
        <v>1121</v>
      </c>
      <c r="I301" t="s">
        <v>1117</v>
      </c>
      <c r="J301" t="s">
        <v>17887</v>
      </c>
      <c r="K301" t="s">
        <v>17888</v>
      </c>
      <c r="L301" t="s">
        <v>21</v>
      </c>
      <c r="M301" t="s">
        <v>19177</v>
      </c>
      <c r="N301" t="s">
        <v>6029</v>
      </c>
      <c r="O301" t="s">
        <v>6029</v>
      </c>
      <c r="P301" t="s">
        <v>114</v>
      </c>
    </row>
    <row r="302">
      <c r="A302">
        <f>HYPERLINK("http://bombeiros.sp.gov.br/hidrantes/03individual/6781.html","6781")</f>
      </c>
      <c r="B302" t="s">
        <v>114</v>
      </c>
      <c r="C302" t="s">
        <v>4749</v>
      </c>
      <c r="D302" t="s">
        <v>4750</v>
      </c>
      <c r="E302" t="s">
        <v>64</v>
      </c>
      <c r="F302" t="s">
        <v>4757</v>
      </c>
      <c r="G302" t="s">
        <v>18050</v>
      </c>
      <c r="H302" t="s">
        <v>1121</v>
      </c>
      <c r="I302" t="s">
        <v>1117</v>
      </c>
      <c r="J302" t="s">
        <v>4758</v>
      </c>
      <c r="K302" t="s">
        <v>4759</v>
      </c>
      <c r="L302" t="s">
        <v>36</v>
      </c>
      <c r="M302" t="s">
        <v>19177</v>
      </c>
      <c r="N302" t="s">
        <v>272</v>
      </c>
      <c r="O302" t="s">
        <v>272</v>
      </c>
      <c r="P302" t="s">
        <v>114</v>
      </c>
    </row>
    <row r="303">
      <c r="A303">
        <f>HYPERLINK("http://bombeiros.sp.gov.br/hidrantes/03individual/27079.html","27079")</f>
      </c>
      <c r="B303" t="s">
        <v>114</v>
      </c>
      <c r="C303" t="s">
        <v>4749</v>
      </c>
      <c r="D303" t="s">
        <v>4750</v>
      </c>
      <c r="E303" t="s">
        <v>64</v>
      </c>
      <c r="F303" t="s">
        <v>16737</v>
      </c>
      <c r="G303" t="s">
        <v>18074</v>
      </c>
      <c r="H303" t="s">
        <v>1121</v>
      </c>
      <c r="I303" t="s">
        <v>1117</v>
      </c>
      <c r="J303" t="s">
        <v>16738</v>
      </c>
      <c r="K303" t="s">
        <v>16739</v>
      </c>
      <c r="L303" t="s">
        <v>21</v>
      </c>
      <c r="M303" t="s">
        <v>19177</v>
      </c>
      <c r="N303" t="s">
        <v>272</v>
      </c>
      <c r="O303" t="s">
        <v>272</v>
      </c>
      <c r="P303" t="s">
        <v>114</v>
      </c>
    </row>
    <row r="304">
      <c r="A304">
        <f>HYPERLINK("http://bombeiros.sp.gov.br/hidrantes/03individual/27156.html","27156")</f>
      </c>
      <c r="B304" t="s">
        <v>114</v>
      </c>
      <c r="C304" t="s">
        <v>4749</v>
      </c>
      <c r="D304" t="s">
        <v>4750</v>
      </c>
      <c r="E304" t="s">
        <v>64</v>
      </c>
      <c r="F304" t="s">
        <v>16852</v>
      </c>
      <c r="G304" t="s">
        <v>18074</v>
      </c>
      <c r="H304" t="s">
        <v>1121</v>
      </c>
      <c r="I304" t="s">
        <v>1117</v>
      </c>
      <c r="J304" t="s">
        <v>16853</v>
      </c>
      <c r="K304" t="s">
        <v>16854</v>
      </c>
      <c r="L304" t="s">
        <v>21</v>
      </c>
      <c r="M304" t="s">
        <v>19177</v>
      </c>
      <c r="N304" t="s">
        <v>272</v>
      </c>
      <c r="O304" t="s">
        <v>272</v>
      </c>
      <c r="P304" t="s">
        <v>114</v>
      </c>
    </row>
    <row r="305">
      <c r="A305">
        <f>HYPERLINK("http://bombeiros.sp.gov.br/hidrantes/03individual/27197.html","27197")</f>
      </c>
      <c r="B305" t="s">
        <v>114</v>
      </c>
      <c r="C305" t="s">
        <v>4749</v>
      </c>
      <c r="D305" t="s">
        <v>4750</v>
      </c>
      <c r="E305" t="s">
        <v>64</v>
      </c>
      <c r="F305" t="s">
        <v>16943</v>
      </c>
      <c r="G305" t="s">
        <v>18501</v>
      </c>
      <c r="H305" t="s">
        <v>1121</v>
      </c>
      <c r="I305" t="s">
        <v>1117</v>
      </c>
      <c r="J305" t="s">
        <v>16944</v>
      </c>
      <c r="K305" t="s">
        <v>16945</v>
      </c>
      <c r="L305" t="s">
        <v>21</v>
      </c>
      <c r="M305" t="s">
        <v>19177</v>
      </c>
      <c r="N305" t="s">
        <v>272</v>
      </c>
      <c r="O305" t="s">
        <v>272</v>
      </c>
      <c r="P305" t="s">
        <v>114</v>
      </c>
    </row>
    <row r="306">
      <c r="A306">
        <f>HYPERLINK("http://bombeiros.sp.gov.br/hidrantes/03individual/3357.html","3357")</f>
      </c>
      <c r="B306" t="s">
        <v>114</v>
      </c>
      <c r="C306" t="s">
        <v>4749</v>
      </c>
      <c r="D306" t="s">
        <v>4749</v>
      </c>
      <c r="E306" t="s">
        <v>64</v>
      </c>
      <c r="F306" t="s">
        <v>4763</v>
      </c>
      <c r="G306" t="s">
        <v>18085</v>
      </c>
      <c r="H306" t="s">
        <v>1121</v>
      </c>
      <c r="I306" t="s">
        <v>1117</v>
      </c>
      <c r="J306" t="s">
        <v>4764</v>
      </c>
      <c r="K306" t="s">
        <v>4765</v>
      </c>
      <c r="L306" t="s">
        <v>36</v>
      </c>
      <c r="M306" t="s">
        <v>19177</v>
      </c>
      <c r="N306" t="s">
        <v>272</v>
      </c>
      <c r="O306" t="s">
        <v>272</v>
      </c>
      <c r="P306" t="s">
        <v>114</v>
      </c>
    </row>
    <row r="307">
      <c r="A307">
        <f>HYPERLINK("http://bombeiros.sp.gov.br/hidrantes/03individual/3383.html","3383")</f>
      </c>
      <c r="B307" t="s">
        <v>114</v>
      </c>
      <c r="C307" t="s">
        <v>4749</v>
      </c>
      <c r="D307" t="s">
        <v>4749</v>
      </c>
      <c r="E307" t="s">
        <v>64</v>
      </c>
      <c r="F307" t="s">
        <v>4766</v>
      </c>
      <c r="G307" t="s">
        <v>18084</v>
      </c>
      <c r="H307" t="s">
        <v>1121</v>
      </c>
      <c r="I307" t="s">
        <v>1117</v>
      </c>
      <c r="J307" t="s">
        <v>4767</v>
      </c>
      <c r="K307" t="s">
        <v>4768</v>
      </c>
      <c r="L307" t="s">
        <v>36</v>
      </c>
      <c r="M307" t="s">
        <v>19177</v>
      </c>
      <c r="N307" t="s">
        <v>272</v>
      </c>
      <c r="O307" t="s">
        <v>272</v>
      </c>
      <c r="P307" t="s">
        <v>114</v>
      </c>
    </row>
    <row r="308">
      <c r="A308">
        <f>HYPERLINK("http://bombeiros.sp.gov.br/hidrantes/03individual/3385.html","3385")</f>
      </c>
      <c r="B308" t="s">
        <v>114</v>
      </c>
      <c r="C308" t="s">
        <v>4749</v>
      </c>
      <c r="D308" t="s">
        <v>4749</v>
      </c>
      <c r="E308" t="s">
        <v>64</v>
      </c>
      <c r="F308" t="s">
        <v>4769</v>
      </c>
      <c r="G308" t="s">
        <v>18105</v>
      </c>
      <c r="H308" t="s">
        <v>1121</v>
      </c>
      <c r="I308" t="s">
        <v>1117</v>
      </c>
      <c r="J308" t="s">
        <v>4770</v>
      </c>
      <c r="K308" t="s">
        <v>4771</v>
      </c>
      <c r="L308" t="s">
        <v>36</v>
      </c>
      <c r="M308" t="s">
        <v>19177</v>
      </c>
      <c r="N308" t="s">
        <v>272</v>
      </c>
      <c r="O308" t="s">
        <v>272</v>
      </c>
      <c r="P308" t="s">
        <v>114</v>
      </c>
    </row>
    <row r="309">
      <c r="A309">
        <f>HYPERLINK("http://bombeiros.sp.gov.br/hidrantes/03individual/3412.html","3412")</f>
      </c>
      <c r="B309" t="s">
        <v>114</v>
      </c>
      <c r="C309" t="s">
        <v>4749</v>
      </c>
      <c r="D309" t="s">
        <v>4749</v>
      </c>
      <c r="E309" t="s">
        <v>64</v>
      </c>
      <c r="F309" t="s">
        <v>4772</v>
      </c>
      <c r="G309" t="s">
        <v>18046</v>
      </c>
      <c r="H309" t="s">
        <v>1121</v>
      </c>
      <c r="I309" t="s">
        <v>1117</v>
      </c>
      <c r="J309" t="s">
        <v>4773</v>
      </c>
      <c r="K309" t="s">
        <v>4774</v>
      </c>
      <c r="L309" t="s">
        <v>36</v>
      </c>
      <c r="M309" t="s">
        <v>19177</v>
      </c>
      <c r="N309" t="s">
        <v>272</v>
      </c>
      <c r="O309" t="s">
        <v>272</v>
      </c>
      <c r="P309" t="s">
        <v>114</v>
      </c>
    </row>
    <row r="310">
      <c r="A310">
        <f>HYPERLINK("http://bombeiros.sp.gov.br/hidrantes/03individual/4316.html","4316")</f>
      </c>
      <c r="B310" t="s">
        <v>114</v>
      </c>
      <c r="C310" t="s">
        <v>4749</v>
      </c>
      <c r="D310" t="s">
        <v>4749</v>
      </c>
      <c r="E310" t="s">
        <v>64</v>
      </c>
      <c r="F310" t="s">
        <v>4784</v>
      </c>
      <c r="G310" t="s">
        <v>18085</v>
      </c>
      <c r="H310" t="s">
        <v>1121</v>
      </c>
      <c r="I310" t="s">
        <v>1117</v>
      </c>
      <c r="J310" t="s">
        <v>4785</v>
      </c>
      <c r="K310" t="s">
        <v>4786</v>
      </c>
      <c r="L310" t="s">
        <v>36</v>
      </c>
      <c r="M310" t="s">
        <v>19177</v>
      </c>
      <c r="N310" t="s">
        <v>272</v>
      </c>
      <c r="O310" t="s">
        <v>272</v>
      </c>
      <c r="P310" t="s">
        <v>114</v>
      </c>
    </row>
    <row r="311">
      <c r="A311">
        <f>HYPERLINK("http://bombeiros.sp.gov.br/hidrantes/03individual/4330.html","4330")</f>
      </c>
      <c r="B311" t="s">
        <v>114</v>
      </c>
      <c r="C311" t="s">
        <v>4749</v>
      </c>
      <c r="D311" t="s">
        <v>4749</v>
      </c>
      <c r="E311" t="s">
        <v>64</v>
      </c>
      <c r="F311" t="s">
        <v>4787</v>
      </c>
      <c r="G311" t="s">
        <v>18105</v>
      </c>
      <c r="H311" t="s">
        <v>1121</v>
      </c>
      <c r="I311" t="s">
        <v>1117</v>
      </c>
      <c r="J311" t="s">
        <v>4788</v>
      </c>
      <c r="K311" t="s">
        <v>4789</v>
      </c>
      <c r="L311" t="s">
        <v>21</v>
      </c>
      <c r="M311" t="s">
        <v>19177</v>
      </c>
      <c r="N311" t="s">
        <v>272</v>
      </c>
      <c r="O311" t="s">
        <v>272</v>
      </c>
      <c r="P311" t="s">
        <v>114</v>
      </c>
    </row>
    <row r="312">
      <c r="A312">
        <f>HYPERLINK("http://bombeiros.sp.gov.br/hidrantes/03individual/4198.html","4198")</f>
      </c>
      <c r="B312" t="s">
        <v>114</v>
      </c>
      <c r="C312" t="s">
        <v>4749</v>
      </c>
      <c r="D312" t="s">
        <v>4749</v>
      </c>
      <c r="E312" t="s">
        <v>15</v>
      </c>
      <c r="F312" t="s">
        <v>4809</v>
      </c>
      <c r="G312" t="s">
        <v>18084</v>
      </c>
      <c r="H312" t="s">
        <v>1121</v>
      </c>
      <c r="I312" t="s">
        <v>1117</v>
      </c>
      <c r="J312" t="s">
        <v>4810</v>
      </c>
      <c r="K312" t="s">
        <v>4811</v>
      </c>
      <c r="L312" t="s">
        <v>21</v>
      </c>
      <c r="M312" t="s">
        <v>19177</v>
      </c>
      <c r="N312" t="s">
        <v>272</v>
      </c>
      <c r="O312" t="s">
        <v>272</v>
      </c>
      <c r="P312" t="s">
        <v>114</v>
      </c>
    </row>
    <row r="313">
      <c r="A313">
        <f>HYPERLINK("http://bombeiros.sp.gov.br/hidrantes/03individual/4204.html","4204")</f>
      </c>
      <c r="B313" t="s">
        <v>114</v>
      </c>
      <c r="C313" t="s">
        <v>4749</v>
      </c>
      <c r="D313" t="s">
        <v>4749</v>
      </c>
      <c r="E313" t="s">
        <v>15</v>
      </c>
      <c r="F313" t="s">
        <v>4815</v>
      </c>
      <c r="G313" t="s">
        <v>18084</v>
      </c>
      <c r="H313" t="s">
        <v>1121</v>
      </c>
      <c r="I313" t="s">
        <v>1117</v>
      </c>
      <c r="J313" t="s">
        <v>4816</v>
      </c>
      <c r="K313" t="s">
        <v>4817</v>
      </c>
      <c r="L313" t="s">
        <v>21</v>
      </c>
      <c r="M313" t="s">
        <v>19177</v>
      </c>
      <c r="N313" t="s">
        <v>272</v>
      </c>
      <c r="O313" t="s">
        <v>272</v>
      </c>
      <c r="P313" t="s">
        <v>114</v>
      </c>
    </row>
    <row r="314">
      <c r="A314">
        <f>HYPERLINK("http://bombeiros.sp.gov.br/hidrantes/03individual/4322.html","4322")</f>
      </c>
      <c r="B314" t="s">
        <v>114</v>
      </c>
      <c r="C314" t="s">
        <v>4749</v>
      </c>
      <c r="D314" t="s">
        <v>4749</v>
      </c>
      <c r="E314" t="s">
        <v>15</v>
      </c>
      <c r="F314" t="s">
        <v>4818</v>
      </c>
      <c r="G314" t="s">
        <v>18084</v>
      </c>
      <c r="H314" t="s">
        <v>1121</v>
      </c>
      <c r="I314" t="s">
        <v>1117</v>
      </c>
      <c r="J314" t="s">
        <v>4819</v>
      </c>
      <c r="K314" t="s">
        <v>4820</v>
      </c>
      <c r="L314" t="s">
        <v>21</v>
      </c>
      <c r="M314" t="s">
        <v>19177</v>
      </c>
      <c r="N314" t="s">
        <v>272</v>
      </c>
      <c r="O314" t="s">
        <v>272</v>
      </c>
      <c r="P314" t="s">
        <v>114</v>
      </c>
    </row>
    <row r="315">
      <c r="A315">
        <f>HYPERLINK("http://bombeiros.sp.gov.br/hidrantes/03individual/3415.html","3415")</f>
      </c>
      <c r="B315" t="s">
        <v>114</v>
      </c>
      <c r="C315" t="s">
        <v>4824</v>
      </c>
      <c r="D315" t="s">
        <v>4824</v>
      </c>
      <c r="E315" t="s">
        <v>64</v>
      </c>
      <c r="F315" t="s">
        <v>4831</v>
      </c>
      <c r="G315" t="s">
        <v>18099</v>
      </c>
      <c r="H315" t="s">
        <v>1121</v>
      </c>
      <c r="I315" t="s">
        <v>1117</v>
      </c>
      <c r="J315" t="s">
        <v>4832</v>
      </c>
      <c r="K315" t="s">
        <v>4833</v>
      </c>
      <c r="L315" t="s">
        <v>21</v>
      </c>
      <c r="M315" t="s">
        <v>19177</v>
      </c>
      <c r="N315" t="s">
        <v>272</v>
      </c>
      <c r="O315" t="s">
        <v>272</v>
      </c>
      <c r="P315" t="s">
        <v>114</v>
      </c>
    </row>
    <row r="316">
      <c r="A316">
        <f>HYPERLINK("http://bombeiros.sp.gov.br/hidrantes/03individual/15082.html","15082")</f>
      </c>
      <c r="B316" t="s">
        <v>114</v>
      </c>
      <c r="C316" t="s">
        <v>4824</v>
      </c>
      <c r="D316" t="s">
        <v>4824</v>
      </c>
      <c r="E316" t="s">
        <v>64</v>
      </c>
      <c r="F316" t="s">
        <v>4837</v>
      </c>
      <c r="G316" t="s">
        <v>18099</v>
      </c>
      <c r="H316" t="s">
        <v>1121</v>
      </c>
      <c r="I316" t="s">
        <v>1117</v>
      </c>
      <c r="J316" t="s">
        <v>4838</v>
      </c>
      <c r="K316" t="s">
        <v>4839</v>
      </c>
      <c r="L316" t="s">
        <v>21</v>
      </c>
      <c r="M316" t="s">
        <v>19177</v>
      </c>
      <c r="N316" t="s">
        <v>272</v>
      </c>
      <c r="O316" t="s">
        <v>272</v>
      </c>
      <c r="P316" t="s">
        <v>114</v>
      </c>
    </row>
    <row r="317">
      <c r="A317">
        <f>HYPERLINK("http://bombeiros.sp.gov.br/hidrantes/03individual/4328.html","4328")</f>
      </c>
      <c r="B317" t="s">
        <v>114</v>
      </c>
      <c r="C317" t="s">
        <v>4824</v>
      </c>
      <c r="D317" t="s">
        <v>4824</v>
      </c>
      <c r="E317" t="s">
        <v>15</v>
      </c>
      <c r="F317" t="s">
        <v>4849</v>
      </c>
      <c r="G317" t="s">
        <v>18092</v>
      </c>
      <c r="H317" t="s">
        <v>1121</v>
      </c>
      <c r="I317" t="s">
        <v>1117</v>
      </c>
      <c r="J317" t="s">
        <v>4850</v>
      </c>
      <c r="K317" t="s">
        <v>4851</v>
      </c>
      <c r="L317" t="s">
        <v>21</v>
      </c>
      <c r="M317" t="s">
        <v>19177</v>
      </c>
      <c r="N317" t="s">
        <v>272</v>
      </c>
      <c r="O317" t="s">
        <v>272</v>
      </c>
      <c r="P317" t="s">
        <v>114</v>
      </c>
    </row>
    <row r="318">
      <c r="A318">
        <f>HYPERLINK("http://bombeiros.sp.gov.br/hidrantes/03individual/3202.html","3202")</f>
      </c>
      <c r="B318" t="s">
        <v>114</v>
      </c>
      <c r="C318" t="s">
        <v>300</v>
      </c>
      <c r="D318" t="s">
        <v>300</v>
      </c>
      <c r="E318" t="s">
        <v>15</v>
      </c>
      <c r="F318" t="s">
        <v>4970</v>
      </c>
      <c r="G318" t="s">
        <v>18143</v>
      </c>
      <c r="H318" t="s">
        <v>1121</v>
      </c>
      <c r="I318" t="s">
        <v>1117</v>
      </c>
      <c r="J318" t="s">
        <v>4971</v>
      </c>
      <c r="K318" t="s">
        <v>4972</v>
      </c>
      <c r="L318" t="s">
        <v>21</v>
      </c>
      <c r="M318" t="s">
        <v>19177</v>
      </c>
      <c r="N318" t="s">
        <v>300</v>
      </c>
      <c r="O318" t="s">
        <v>16373</v>
      </c>
      <c r="P318" t="s">
        <v>12</v>
      </c>
    </row>
    <row r="319">
      <c r="A319">
        <f>HYPERLINK("http://bombeiros.sp.gov.br/hidrantes/03individual/27212.html","27212")</f>
      </c>
      <c r="B319" t="s">
        <v>114</v>
      </c>
      <c r="C319" t="s">
        <v>300</v>
      </c>
      <c r="D319" t="s">
        <v>300</v>
      </c>
      <c r="E319" t="s">
        <v>15</v>
      </c>
      <c r="F319" t="s">
        <v>16946</v>
      </c>
      <c r="G319" t="s">
        <v>18089</v>
      </c>
      <c r="H319" t="s">
        <v>1121</v>
      </c>
      <c r="I319" t="s">
        <v>1117</v>
      </c>
      <c r="J319" t="s">
        <v>16947</v>
      </c>
      <c r="K319" t="s">
        <v>16948</v>
      </c>
      <c r="L319" t="s">
        <v>21</v>
      </c>
      <c r="M319" t="s">
        <v>19177</v>
      </c>
      <c r="N319" t="s">
        <v>300</v>
      </c>
      <c r="O319" t="s">
        <v>16373</v>
      </c>
      <c r="P319" t="s">
        <v>12</v>
      </c>
    </row>
    <row r="320">
      <c r="A320">
        <f>HYPERLINK("http://bombeiros.sp.gov.br/hidrantes/03individual/27413.html","27413")</f>
      </c>
      <c r="B320" t="s">
        <v>114</v>
      </c>
      <c r="C320" t="s">
        <v>300</v>
      </c>
      <c r="D320" t="s">
        <v>300</v>
      </c>
      <c r="E320" t="s">
        <v>15</v>
      </c>
      <c r="F320" t="s">
        <v>17319</v>
      </c>
      <c r="G320" t="s">
        <v>18055</v>
      </c>
      <c r="H320" t="s">
        <v>1121</v>
      </c>
      <c r="I320" t="s">
        <v>1117</v>
      </c>
      <c r="J320" t="s">
        <v>17320</v>
      </c>
      <c r="K320" t="s">
        <v>17321</v>
      </c>
      <c r="L320" t="s">
        <v>21</v>
      </c>
      <c r="M320" t="s">
        <v>19177</v>
      </c>
      <c r="N320" t="s">
        <v>300</v>
      </c>
      <c r="O320" t="s">
        <v>16373</v>
      </c>
      <c r="P320" t="s">
        <v>12</v>
      </c>
    </row>
    <row r="321">
      <c r="A321">
        <f>HYPERLINK("http://bombeiros.sp.gov.br/hidrantes/03individual/1526.html","1526")</f>
      </c>
      <c r="B321" t="s">
        <v>114</v>
      </c>
      <c r="C321" t="s">
        <v>300</v>
      </c>
      <c r="D321" t="s">
        <v>4982</v>
      </c>
      <c r="E321" t="s">
        <v>15</v>
      </c>
      <c r="F321" t="s">
        <v>5004</v>
      </c>
      <c r="G321" t="s">
        <v>18089</v>
      </c>
      <c r="H321" t="s">
        <v>1121</v>
      </c>
      <c r="I321" t="s">
        <v>1117</v>
      </c>
      <c r="J321" t="s">
        <v>5005</v>
      </c>
      <c r="K321" t="s">
        <v>5006</v>
      </c>
      <c r="L321" t="s">
        <v>21</v>
      </c>
      <c r="M321" t="s">
        <v>19177</v>
      </c>
      <c r="N321" t="s">
        <v>300</v>
      </c>
      <c r="O321" t="s">
        <v>16373</v>
      </c>
      <c r="P321" t="s">
        <v>12</v>
      </c>
    </row>
    <row r="322">
      <c r="A322">
        <f>HYPERLINK("http://bombeiros.sp.gov.br/hidrantes/03individual/27298.html","27298")</f>
      </c>
      <c r="B322" t="s">
        <v>114</v>
      </c>
      <c r="C322" t="s">
        <v>300</v>
      </c>
      <c r="D322" t="s">
        <v>4982</v>
      </c>
      <c r="E322" t="s">
        <v>15</v>
      </c>
      <c r="F322" t="s">
        <v>17078</v>
      </c>
      <c r="G322" t="s">
        <v>18251</v>
      </c>
      <c r="H322" t="s">
        <v>1121</v>
      </c>
      <c r="I322" t="s">
        <v>1117</v>
      </c>
      <c r="J322" t="s">
        <v>17079</v>
      </c>
      <c r="K322" t="s">
        <v>17080</v>
      </c>
      <c r="L322" t="s">
        <v>21</v>
      </c>
      <c r="M322" t="s">
        <v>19177</v>
      </c>
      <c r="N322" t="s">
        <v>300</v>
      </c>
      <c r="O322" t="s">
        <v>16373</v>
      </c>
      <c r="P322" t="s">
        <v>12</v>
      </c>
    </row>
    <row r="323">
      <c r="A323">
        <f>HYPERLINK("http://bombeiros.sp.gov.br/hidrantes/03individual/1356.html","1356")</f>
      </c>
      <c r="B323" t="s">
        <v>114</v>
      </c>
      <c r="C323" t="s">
        <v>304</v>
      </c>
      <c r="D323" t="s">
        <v>304</v>
      </c>
      <c r="E323" t="s">
        <v>64</v>
      </c>
      <c r="F323" t="s">
        <v>5103</v>
      </c>
      <c r="G323" t="s">
        <v>18078</v>
      </c>
      <c r="H323" t="s">
        <v>1121</v>
      </c>
      <c r="I323" t="s">
        <v>1117</v>
      </c>
      <c r="J323" t="s">
        <v>5104</v>
      </c>
      <c r="K323" t="s">
        <v>5105</v>
      </c>
      <c r="L323" t="s">
        <v>21</v>
      </c>
      <c r="M323" t="s">
        <v>19177</v>
      </c>
      <c r="N323" t="s">
        <v>97</v>
      </c>
      <c r="O323" t="s">
        <v>937</v>
      </c>
      <c r="P323" t="s">
        <v>12</v>
      </c>
    </row>
    <row r="324">
      <c r="A324">
        <f>HYPERLINK("http://bombeiros.sp.gov.br/hidrantes/03individual/2041.html","2041")</f>
      </c>
      <c r="B324" t="s">
        <v>114</v>
      </c>
      <c r="C324" t="s">
        <v>304</v>
      </c>
      <c r="D324" t="s">
        <v>304</v>
      </c>
      <c r="E324" t="s">
        <v>64</v>
      </c>
      <c r="F324" t="s">
        <v>5106</v>
      </c>
      <c r="G324" t="s">
        <v>18048</v>
      </c>
      <c r="H324" t="s">
        <v>1121</v>
      </c>
      <c r="I324" t="s">
        <v>1117</v>
      </c>
      <c r="J324" t="s">
        <v>5107</v>
      </c>
      <c r="K324" t="s">
        <v>5108</v>
      </c>
      <c r="L324" t="s">
        <v>21</v>
      </c>
      <c r="M324" t="s">
        <v>19177</v>
      </c>
      <c r="N324" t="s">
        <v>97</v>
      </c>
      <c r="O324" t="s">
        <v>937</v>
      </c>
      <c r="P324" t="s">
        <v>12</v>
      </c>
    </row>
    <row r="325">
      <c r="A325">
        <f>HYPERLINK("http://bombeiros.sp.gov.br/hidrantes/03individual/797.html","797")</f>
      </c>
      <c r="B325" t="s">
        <v>114</v>
      </c>
      <c r="C325" t="s">
        <v>304</v>
      </c>
      <c r="D325" t="s">
        <v>304</v>
      </c>
      <c r="E325" t="s">
        <v>15</v>
      </c>
      <c r="F325" t="s">
        <v>5172</v>
      </c>
      <c r="G325" t="s">
        <v>18048</v>
      </c>
      <c r="H325" t="s">
        <v>1121</v>
      </c>
      <c r="I325" t="s">
        <v>1117</v>
      </c>
      <c r="J325" t="s">
        <v>5173</v>
      </c>
      <c r="K325" t="s">
        <v>5174</v>
      </c>
      <c r="L325" t="s">
        <v>21</v>
      </c>
      <c r="M325" t="s">
        <v>19177</v>
      </c>
      <c r="N325" t="s">
        <v>97</v>
      </c>
      <c r="O325" t="s">
        <v>937</v>
      </c>
      <c r="P325" t="s">
        <v>12</v>
      </c>
    </row>
    <row r="326">
      <c r="A326">
        <f>HYPERLINK("http://bombeiros.sp.gov.br/hidrantes/03individual/2008.html","2008")</f>
      </c>
      <c r="B326" t="s">
        <v>114</v>
      </c>
      <c r="C326" t="s">
        <v>304</v>
      </c>
      <c r="D326" t="s">
        <v>304</v>
      </c>
      <c r="E326" t="s">
        <v>15</v>
      </c>
      <c r="F326" t="s">
        <v>5207</v>
      </c>
      <c r="G326" t="s">
        <v>18083</v>
      </c>
      <c r="H326" t="s">
        <v>1121</v>
      </c>
      <c r="I326" t="s">
        <v>1117</v>
      </c>
      <c r="J326" t="s">
        <v>5208</v>
      </c>
      <c r="K326" t="s">
        <v>5209</v>
      </c>
      <c r="L326" t="s">
        <v>36</v>
      </c>
      <c r="M326" t="s">
        <v>19177</v>
      </c>
      <c r="N326" t="s">
        <v>97</v>
      </c>
      <c r="O326" t="s">
        <v>937</v>
      </c>
      <c r="P326" t="s">
        <v>12</v>
      </c>
    </row>
    <row r="327">
      <c r="A327">
        <f>HYPERLINK("http://bombeiros.sp.gov.br/hidrantes/03individual/4410.html","4410")</f>
      </c>
      <c r="B327" t="s">
        <v>114</v>
      </c>
      <c r="C327" t="s">
        <v>5210</v>
      </c>
      <c r="D327" t="s">
        <v>5227</v>
      </c>
      <c r="E327" t="s">
        <v>15</v>
      </c>
      <c r="F327" t="s">
        <v>5243</v>
      </c>
      <c r="G327" t="s">
        <v>18518</v>
      </c>
      <c r="H327" t="s">
        <v>1121</v>
      </c>
      <c r="I327" t="s">
        <v>1117</v>
      </c>
      <c r="J327" t="s">
        <v>5244</v>
      </c>
      <c r="K327" t="s">
        <v>5245</v>
      </c>
      <c r="L327" t="s">
        <v>21</v>
      </c>
      <c r="M327" t="s">
        <v>19177</v>
      </c>
      <c r="N327" t="s">
        <v>16374</v>
      </c>
      <c r="O327" t="s">
        <v>272</v>
      </c>
      <c r="P327" t="s">
        <v>114</v>
      </c>
    </row>
    <row r="328">
      <c r="A328">
        <f>HYPERLINK("http://bombeiros.sp.gov.br/hidrantes/03individual/832.html","832")</f>
      </c>
      <c r="B328" t="s">
        <v>114</v>
      </c>
      <c r="C328" t="s">
        <v>309</v>
      </c>
      <c r="D328" t="s">
        <v>309</v>
      </c>
      <c r="E328" t="s">
        <v>64</v>
      </c>
      <c r="F328" t="s">
        <v>5249</v>
      </c>
      <c r="G328" t="s">
        <v>18082</v>
      </c>
      <c r="H328" t="s">
        <v>1121</v>
      </c>
      <c r="I328" t="s">
        <v>1117</v>
      </c>
      <c r="J328" t="s">
        <v>5250</v>
      </c>
      <c r="K328" t="s">
        <v>5251</v>
      </c>
      <c r="L328" t="s">
        <v>36</v>
      </c>
      <c r="M328" t="s">
        <v>19177</v>
      </c>
      <c r="N328" t="s">
        <v>309</v>
      </c>
      <c r="O328" t="s">
        <v>6029</v>
      </c>
      <c r="P328" t="s">
        <v>114</v>
      </c>
    </row>
    <row r="329">
      <c r="A329">
        <f>HYPERLINK("http://bombeiros.sp.gov.br/hidrantes/03individual/1365.html","1365")</f>
      </c>
      <c r="B329" t="s">
        <v>114</v>
      </c>
      <c r="C329" t="s">
        <v>309</v>
      </c>
      <c r="D329" t="s">
        <v>309</v>
      </c>
      <c r="E329" t="s">
        <v>64</v>
      </c>
      <c r="F329" t="s">
        <v>5267</v>
      </c>
      <c r="G329" t="s">
        <v>18097</v>
      </c>
      <c r="H329" t="s">
        <v>1121</v>
      </c>
      <c r="I329" t="s">
        <v>1117</v>
      </c>
      <c r="J329" t="s">
        <v>16515</v>
      </c>
      <c r="K329" t="s">
        <v>16516</v>
      </c>
      <c r="L329" t="s">
        <v>36</v>
      </c>
      <c r="M329" t="s">
        <v>19177</v>
      </c>
      <c r="N329" t="s">
        <v>309</v>
      </c>
      <c r="O329" t="s">
        <v>6029</v>
      </c>
      <c r="P329" t="s">
        <v>114</v>
      </c>
    </row>
    <row r="330">
      <c r="A330">
        <f>HYPERLINK("http://bombeiros.sp.gov.br/hidrantes/03individual/1054.html","1054")</f>
      </c>
      <c r="B330" t="s">
        <v>114</v>
      </c>
      <c r="C330" t="s">
        <v>309</v>
      </c>
      <c r="D330" t="s">
        <v>309</v>
      </c>
      <c r="E330" t="s">
        <v>15</v>
      </c>
      <c r="F330" t="s">
        <v>5273</v>
      </c>
      <c r="G330" t="s">
        <v>18096</v>
      </c>
      <c r="H330" t="s">
        <v>1121</v>
      </c>
      <c r="I330" t="s">
        <v>1117</v>
      </c>
      <c r="J330" t="s">
        <v>5274</v>
      </c>
      <c r="K330" t="s">
        <v>5275</v>
      </c>
      <c r="L330" t="s">
        <v>21</v>
      </c>
      <c r="M330" t="s">
        <v>19177</v>
      </c>
      <c r="N330" t="s">
        <v>309</v>
      </c>
      <c r="O330" t="s">
        <v>6029</v>
      </c>
      <c r="P330" t="s">
        <v>114</v>
      </c>
    </row>
    <row r="331">
      <c r="A331">
        <f>HYPERLINK("http://bombeiros.sp.gov.br/hidrantes/03individual/1398.html","1398")</f>
      </c>
      <c r="B331" t="s">
        <v>114</v>
      </c>
      <c r="C331" t="s">
        <v>309</v>
      </c>
      <c r="D331" t="s">
        <v>309</v>
      </c>
      <c r="E331" t="s">
        <v>15</v>
      </c>
      <c r="F331" t="s">
        <v>5291</v>
      </c>
      <c r="G331" t="s">
        <v>18194</v>
      </c>
      <c r="H331" t="s">
        <v>1121</v>
      </c>
      <c r="I331" t="s">
        <v>1117</v>
      </c>
      <c r="J331" t="s">
        <v>5292</v>
      </c>
      <c r="K331" t="s">
        <v>5293</v>
      </c>
      <c r="L331" t="s">
        <v>36</v>
      </c>
      <c r="M331" t="s">
        <v>19177</v>
      </c>
      <c r="N331" t="s">
        <v>309</v>
      </c>
      <c r="O331" t="s">
        <v>6029</v>
      </c>
      <c r="P331" t="s">
        <v>114</v>
      </c>
    </row>
    <row r="332">
      <c r="A332">
        <f>HYPERLINK("http://bombeiros.sp.gov.br/hidrantes/03individual/1416.html","1416")</f>
      </c>
      <c r="B332" t="s">
        <v>114</v>
      </c>
      <c r="C332" t="s">
        <v>309</v>
      </c>
      <c r="D332" t="s">
        <v>309</v>
      </c>
      <c r="E332" t="s">
        <v>15</v>
      </c>
      <c r="F332" t="s">
        <v>5306</v>
      </c>
      <c r="G332" t="s">
        <v>18193</v>
      </c>
      <c r="H332" t="s">
        <v>1121</v>
      </c>
      <c r="I332" t="s">
        <v>1117</v>
      </c>
      <c r="J332" t="s">
        <v>5307</v>
      </c>
      <c r="K332" t="s">
        <v>5308</v>
      </c>
      <c r="L332" t="s">
        <v>21</v>
      </c>
      <c r="M332" t="s">
        <v>19177</v>
      </c>
      <c r="N332" t="s">
        <v>309</v>
      </c>
      <c r="O332" t="s">
        <v>6029</v>
      </c>
      <c r="P332" t="s">
        <v>114</v>
      </c>
    </row>
    <row r="333">
      <c r="A333">
        <f>HYPERLINK("http://bombeiros.sp.gov.br/hidrantes/03individual/3019.html","3019")</f>
      </c>
      <c r="B333" t="s">
        <v>114</v>
      </c>
      <c r="C333" t="s">
        <v>309</v>
      </c>
      <c r="D333" t="s">
        <v>309</v>
      </c>
      <c r="E333" t="s">
        <v>15</v>
      </c>
      <c r="F333" t="s">
        <v>5312</v>
      </c>
      <c r="G333" t="s">
        <v>18096</v>
      </c>
      <c r="H333" t="s">
        <v>1121</v>
      </c>
      <c r="I333" t="s">
        <v>1117</v>
      </c>
      <c r="J333" t="s">
        <v>5313</v>
      </c>
      <c r="K333" t="s">
        <v>5314</v>
      </c>
      <c r="L333" t="s">
        <v>21</v>
      </c>
      <c r="M333" t="s">
        <v>19177</v>
      </c>
      <c r="N333" t="s">
        <v>309</v>
      </c>
      <c r="O333" t="s">
        <v>6029</v>
      </c>
      <c r="P333" t="s">
        <v>114</v>
      </c>
    </row>
    <row r="334">
      <c r="A334">
        <f>HYPERLINK("http://bombeiros.sp.gov.br/hidrantes/03individual/27572.html","27572")</f>
      </c>
      <c r="B334" t="s">
        <v>114</v>
      </c>
      <c r="C334" t="s">
        <v>309</v>
      </c>
      <c r="D334" t="s">
        <v>309</v>
      </c>
      <c r="E334" t="s">
        <v>15</v>
      </c>
      <c r="F334" t="s">
        <v>17445</v>
      </c>
      <c r="G334" t="s">
        <v>18096</v>
      </c>
      <c r="H334" t="s">
        <v>1121</v>
      </c>
      <c r="I334" t="s">
        <v>1117</v>
      </c>
      <c r="J334" t="s">
        <v>17446</v>
      </c>
      <c r="K334" t="s">
        <v>17447</v>
      </c>
      <c r="L334" t="s">
        <v>21</v>
      </c>
      <c r="M334" t="s">
        <v>19177</v>
      </c>
      <c r="N334" t="s">
        <v>309</v>
      </c>
      <c r="O334" t="s">
        <v>6029</v>
      </c>
      <c r="P334" t="s">
        <v>114</v>
      </c>
    </row>
    <row r="335">
      <c r="A335">
        <f>HYPERLINK("http://bombeiros.sp.gov.br/hidrantes/03individual/3157.html","3157")</f>
      </c>
      <c r="B335" t="s">
        <v>114</v>
      </c>
      <c r="C335" t="s">
        <v>309</v>
      </c>
      <c r="D335" t="s">
        <v>5342</v>
      </c>
      <c r="E335" t="s">
        <v>64</v>
      </c>
      <c r="F335" t="s">
        <v>5358</v>
      </c>
      <c r="G335" t="s">
        <v>18067</v>
      </c>
      <c r="H335" t="s">
        <v>1121</v>
      </c>
      <c r="I335" t="s">
        <v>1117</v>
      </c>
      <c r="J335" t="s">
        <v>5359</v>
      </c>
      <c r="K335" t="s">
        <v>5360</v>
      </c>
      <c r="L335" t="s">
        <v>36</v>
      </c>
      <c r="M335" t="s">
        <v>19177</v>
      </c>
      <c r="N335" t="s">
        <v>309</v>
      </c>
      <c r="O335" t="s">
        <v>6029</v>
      </c>
      <c r="P335" t="s">
        <v>114</v>
      </c>
    </row>
    <row r="336">
      <c r="A336">
        <f>HYPERLINK("http://bombeiros.sp.gov.br/hidrantes/03individual/1408.html","1408")</f>
      </c>
      <c r="B336" t="s">
        <v>114</v>
      </c>
      <c r="C336" t="s">
        <v>309</v>
      </c>
      <c r="D336" t="s">
        <v>5342</v>
      </c>
      <c r="E336" t="s">
        <v>15</v>
      </c>
      <c r="F336" t="s">
        <v>5367</v>
      </c>
      <c r="G336" t="s">
        <v>18097</v>
      </c>
      <c r="H336" t="s">
        <v>1121</v>
      </c>
      <c r="I336" t="s">
        <v>1117</v>
      </c>
      <c r="J336" t="s">
        <v>5368</v>
      </c>
      <c r="K336" t="s">
        <v>5369</v>
      </c>
      <c r="L336" t="s">
        <v>21</v>
      </c>
      <c r="M336" t="s">
        <v>19177</v>
      </c>
      <c r="N336" t="s">
        <v>309</v>
      </c>
      <c r="O336" t="s">
        <v>6029</v>
      </c>
      <c r="P336" t="s">
        <v>114</v>
      </c>
    </row>
    <row r="337">
      <c r="A337">
        <f>HYPERLINK("http://bombeiros.sp.gov.br/hidrantes/03individual/28122.html","28122")</f>
      </c>
      <c r="B337" t="s">
        <v>114</v>
      </c>
      <c r="C337" t="s">
        <v>309</v>
      </c>
      <c r="D337" t="s">
        <v>5342</v>
      </c>
      <c r="E337" t="s">
        <v>15</v>
      </c>
      <c r="F337" t="s">
        <v>18100</v>
      </c>
      <c r="G337" t="s">
        <v>18078</v>
      </c>
      <c r="H337" t="s">
        <v>1121</v>
      </c>
      <c r="I337" t="s">
        <v>1117</v>
      </c>
      <c r="J337" t="s">
        <v>18101</v>
      </c>
      <c r="K337" t="s">
        <v>18102</v>
      </c>
      <c r="L337" t="s">
        <v>21</v>
      </c>
      <c r="M337" t="s">
        <v>19177</v>
      </c>
      <c r="N337" t="s">
        <v>309</v>
      </c>
      <c r="O337" t="s">
        <v>6029</v>
      </c>
      <c r="P337" t="s">
        <v>114</v>
      </c>
    </row>
    <row r="338">
      <c r="A338">
        <f>HYPERLINK("http://bombeiros.sp.gov.br/hidrantes/03individual/1609.html","1609")</f>
      </c>
      <c r="B338" t="s">
        <v>114</v>
      </c>
      <c r="C338" t="s">
        <v>309</v>
      </c>
      <c r="D338" t="s">
        <v>314</v>
      </c>
      <c r="E338" t="s">
        <v>15</v>
      </c>
      <c r="F338" t="s">
        <v>5442</v>
      </c>
      <c r="G338" t="s">
        <v>18078</v>
      </c>
      <c r="H338" t="s">
        <v>1121</v>
      </c>
      <c r="I338" t="s">
        <v>1117</v>
      </c>
      <c r="J338" t="s">
        <v>5443</v>
      </c>
      <c r="K338" t="s">
        <v>5444</v>
      </c>
      <c r="L338" t="s">
        <v>21</v>
      </c>
      <c r="M338" t="s">
        <v>19177</v>
      </c>
      <c r="N338" t="s">
        <v>16374</v>
      </c>
      <c r="O338" t="s">
        <v>272</v>
      </c>
      <c r="P338" t="s">
        <v>114</v>
      </c>
    </row>
    <row r="339">
      <c r="A339">
        <f>HYPERLINK("http://bombeiros.sp.gov.br/hidrantes/03individual/1713.html","1713")</f>
      </c>
      <c r="B339" t="s">
        <v>114</v>
      </c>
      <c r="C339" t="s">
        <v>309</v>
      </c>
      <c r="D339" t="s">
        <v>314</v>
      </c>
      <c r="E339" t="s">
        <v>15</v>
      </c>
      <c r="F339" t="s">
        <v>5451</v>
      </c>
      <c r="G339" t="s">
        <v>18103</v>
      </c>
      <c r="H339" t="s">
        <v>1121</v>
      </c>
      <c r="I339" t="s">
        <v>1117</v>
      </c>
      <c r="J339" t="s">
        <v>5452</v>
      </c>
      <c r="K339" t="s">
        <v>5453</v>
      </c>
      <c r="L339" t="s">
        <v>21</v>
      </c>
      <c r="M339" t="s">
        <v>19177</v>
      </c>
      <c r="N339" t="s">
        <v>16374</v>
      </c>
      <c r="O339" t="s">
        <v>272</v>
      </c>
      <c r="P339" t="s">
        <v>114</v>
      </c>
    </row>
    <row r="340">
      <c r="A340">
        <f>HYPERLINK("http://bombeiros.sp.gov.br/hidrantes/03individual/1720.html","1720")</f>
      </c>
      <c r="B340" t="s">
        <v>114</v>
      </c>
      <c r="C340" t="s">
        <v>309</v>
      </c>
      <c r="D340" t="s">
        <v>314</v>
      </c>
      <c r="E340" t="s">
        <v>15</v>
      </c>
      <c r="F340" t="s">
        <v>5454</v>
      </c>
      <c r="G340" t="s">
        <v>18103</v>
      </c>
      <c r="H340" t="s">
        <v>1121</v>
      </c>
      <c r="I340" t="s">
        <v>1117</v>
      </c>
      <c r="J340" t="s">
        <v>5455</v>
      </c>
      <c r="K340" t="s">
        <v>5456</v>
      </c>
      <c r="L340" t="s">
        <v>21</v>
      </c>
      <c r="M340" t="s">
        <v>19177</v>
      </c>
      <c r="N340" t="s">
        <v>16374</v>
      </c>
      <c r="O340" t="s">
        <v>272</v>
      </c>
      <c r="P340" t="s">
        <v>114</v>
      </c>
    </row>
    <row r="341">
      <c r="A341">
        <f>HYPERLINK("http://bombeiros.sp.gov.br/hidrantes/03individual/3048.html","3048")</f>
      </c>
      <c r="B341" t="s">
        <v>114</v>
      </c>
      <c r="C341" t="s">
        <v>309</v>
      </c>
      <c r="D341" t="s">
        <v>314</v>
      </c>
      <c r="E341" t="s">
        <v>15</v>
      </c>
      <c r="F341" t="s">
        <v>5463</v>
      </c>
      <c r="G341" t="s">
        <v>18055</v>
      </c>
      <c r="H341" t="s">
        <v>1121</v>
      </c>
      <c r="I341" t="s">
        <v>1117</v>
      </c>
      <c r="J341" t="s">
        <v>5464</v>
      </c>
      <c r="K341" t="s">
        <v>5465</v>
      </c>
      <c r="L341" t="s">
        <v>21</v>
      </c>
      <c r="M341" t="s">
        <v>19177</v>
      </c>
      <c r="N341" t="s">
        <v>309</v>
      </c>
      <c r="O341" t="s">
        <v>6029</v>
      </c>
      <c r="P341" t="s">
        <v>114</v>
      </c>
    </row>
    <row r="342">
      <c r="A342">
        <f>HYPERLINK("http://bombeiros.sp.gov.br/hidrantes/03individual/3168.html","3168")</f>
      </c>
      <c r="B342" t="s">
        <v>114</v>
      </c>
      <c r="C342" t="s">
        <v>309</v>
      </c>
      <c r="D342" t="s">
        <v>314</v>
      </c>
      <c r="E342" t="s">
        <v>15</v>
      </c>
      <c r="F342" t="s">
        <v>5469</v>
      </c>
      <c r="G342" t="s">
        <v>18252</v>
      </c>
      <c r="H342" t="s">
        <v>1121</v>
      </c>
      <c r="I342" t="s">
        <v>1117</v>
      </c>
      <c r="J342" t="s">
        <v>5470</v>
      </c>
      <c r="K342" t="s">
        <v>5471</v>
      </c>
      <c r="L342" t="s">
        <v>21</v>
      </c>
      <c r="M342" t="s">
        <v>19177</v>
      </c>
      <c r="N342" t="s">
        <v>16374</v>
      </c>
      <c r="O342" t="s">
        <v>272</v>
      </c>
      <c r="P342" t="s">
        <v>114</v>
      </c>
    </row>
    <row r="343">
      <c r="A343">
        <f>HYPERLINK("http://bombeiros.sp.gov.br/hidrantes/03individual/3170.html","3170")</f>
      </c>
      <c r="B343" t="s">
        <v>114</v>
      </c>
      <c r="C343" t="s">
        <v>309</v>
      </c>
      <c r="D343" t="s">
        <v>314</v>
      </c>
      <c r="E343" t="s">
        <v>15</v>
      </c>
      <c r="F343" t="s">
        <v>5472</v>
      </c>
      <c r="G343" t="s">
        <v>18252</v>
      </c>
      <c r="H343" t="s">
        <v>1121</v>
      </c>
      <c r="I343" t="s">
        <v>1117</v>
      </c>
      <c r="J343" t="s">
        <v>5473</v>
      </c>
      <c r="K343" t="s">
        <v>5474</v>
      </c>
      <c r="L343" t="s">
        <v>21</v>
      </c>
      <c r="M343" t="s">
        <v>19177</v>
      </c>
      <c r="N343" t="s">
        <v>16374</v>
      </c>
      <c r="O343" t="s">
        <v>272</v>
      </c>
      <c r="P343" t="s">
        <v>114</v>
      </c>
    </row>
    <row r="344">
      <c r="A344">
        <f>HYPERLINK("http://bombeiros.sp.gov.br/hidrantes/03individual/26704.html","26704")</f>
      </c>
      <c r="B344" t="s">
        <v>114</v>
      </c>
      <c r="C344" t="s">
        <v>309</v>
      </c>
      <c r="D344" t="s">
        <v>314</v>
      </c>
      <c r="E344" t="s">
        <v>15</v>
      </c>
      <c r="F344" t="s">
        <v>5481</v>
      </c>
      <c r="G344" t="s">
        <v>18055</v>
      </c>
      <c r="H344" t="s">
        <v>1121</v>
      </c>
      <c r="I344" t="s">
        <v>1117</v>
      </c>
      <c r="J344" t="s">
        <v>5482</v>
      </c>
      <c r="K344" t="s">
        <v>5483</v>
      </c>
      <c r="L344" t="s">
        <v>21</v>
      </c>
      <c r="M344" t="s">
        <v>19177</v>
      </c>
      <c r="N344" t="s">
        <v>16374</v>
      </c>
      <c r="O344" t="s">
        <v>272</v>
      </c>
      <c r="P344" t="s">
        <v>114</v>
      </c>
    </row>
    <row r="345">
      <c r="A345">
        <f>HYPERLINK("http://bombeiros.sp.gov.br/hidrantes/03individual/28135.html","28135")</f>
      </c>
      <c r="B345" t="s">
        <v>114</v>
      </c>
      <c r="C345" t="s">
        <v>309</v>
      </c>
      <c r="D345" t="s">
        <v>5484</v>
      </c>
      <c r="E345" t="s">
        <v>64</v>
      </c>
      <c r="F345" t="s">
        <v>18253</v>
      </c>
      <c r="G345" t="s">
        <v>18103</v>
      </c>
      <c r="H345" t="s">
        <v>1121</v>
      </c>
      <c r="I345" t="s">
        <v>1117</v>
      </c>
      <c r="J345" t="s">
        <v>18254</v>
      </c>
      <c r="K345" t="s">
        <v>18255</v>
      </c>
      <c r="L345" t="s">
        <v>21</v>
      </c>
      <c r="M345" t="s">
        <v>19177</v>
      </c>
      <c r="N345" t="s">
        <v>16374</v>
      </c>
      <c r="O345" t="s">
        <v>272</v>
      </c>
      <c r="P345" t="s">
        <v>114</v>
      </c>
    </row>
    <row r="346">
      <c r="A346">
        <f>HYPERLINK("http://bombeiros.sp.gov.br/hidrantes/03individual/1703.html","1703")</f>
      </c>
      <c r="B346" t="s">
        <v>114</v>
      </c>
      <c r="C346" t="s">
        <v>309</v>
      </c>
      <c r="D346" t="s">
        <v>5484</v>
      </c>
      <c r="E346" t="s">
        <v>15</v>
      </c>
      <c r="F346" t="s">
        <v>5491</v>
      </c>
      <c r="G346" t="s">
        <v>18095</v>
      </c>
      <c r="H346" t="s">
        <v>1121</v>
      </c>
      <c r="I346" t="s">
        <v>1117</v>
      </c>
      <c r="J346" t="s">
        <v>5492</v>
      </c>
      <c r="K346" t="s">
        <v>5493</v>
      </c>
      <c r="L346" t="s">
        <v>21</v>
      </c>
      <c r="M346" t="s">
        <v>19177</v>
      </c>
      <c r="N346" t="s">
        <v>16374</v>
      </c>
      <c r="O346" t="s">
        <v>272</v>
      </c>
      <c r="P346" t="s">
        <v>114</v>
      </c>
    </row>
    <row r="347">
      <c r="A347">
        <f>HYPERLINK("http://bombeiros.sp.gov.br/hidrantes/03individual/1793.html","1793")</f>
      </c>
      <c r="B347" t="s">
        <v>114</v>
      </c>
      <c r="C347" t="s">
        <v>309</v>
      </c>
      <c r="D347" t="s">
        <v>5484</v>
      </c>
      <c r="E347" t="s">
        <v>15</v>
      </c>
      <c r="F347" t="s">
        <v>5515</v>
      </c>
      <c r="G347" t="s">
        <v>18057</v>
      </c>
      <c r="H347" t="s">
        <v>1121</v>
      </c>
      <c r="I347" t="s">
        <v>1117</v>
      </c>
      <c r="J347" t="s">
        <v>16167</v>
      </c>
      <c r="K347" t="s">
        <v>16168</v>
      </c>
      <c r="L347" t="s">
        <v>21</v>
      </c>
      <c r="M347" t="s">
        <v>19177</v>
      </c>
      <c r="N347" t="s">
        <v>16374</v>
      </c>
      <c r="O347" t="s">
        <v>272</v>
      </c>
      <c r="P347" t="s">
        <v>114</v>
      </c>
    </row>
    <row r="348">
      <c r="A348">
        <f>HYPERLINK("http://bombeiros.sp.gov.br/hidrantes/03individual/1852.html","1852")</f>
      </c>
      <c r="B348" t="s">
        <v>114</v>
      </c>
      <c r="C348" t="s">
        <v>309</v>
      </c>
      <c r="D348" t="s">
        <v>5484</v>
      </c>
      <c r="E348" t="s">
        <v>15</v>
      </c>
      <c r="F348" t="s">
        <v>5518</v>
      </c>
      <c r="G348" t="s">
        <v>18057</v>
      </c>
      <c r="H348" t="s">
        <v>1121</v>
      </c>
      <c r="I348" t="s">
        <v>1117</v>
      </c>
      <c r="J348" t="s">
        <v>5519</v>
      </c>
      <c r="K348" t="s">
        <v>5520</v>
      </c>
      <c r="L348" t="s">
        <v>21</v>
      </c>
      <c r="M348" t="s">
        <v>19177</v>
      </c>
      <c r="N348" t="s">
        <v>16374</v>
      </c>
      <c r="O348" t="s">
        <v>272</v>
      </c>
      <c r="P348" t="s">
        <v>114</v>
      </c>
    </row>
    <row r="349">
      <c r="A349">
        <f>HYPERLINK("http://bombeiros.sp.gov.br/hidrantes/03individual/1862.html","1862")</f>
      </c>
      <c r="B349" t="s">
        <v>114</v>
      </c>
      <c r="C349" t="s">
        <v>309</v>
      </c>
      <c r="D349" t="s">
        <v>5484</v>
      </c>
      <c r="E349" t="s">
        <v>15</v>
      </c>
      <c r="F349" t="s">
        <v>5524</v>
      </c>
      <c r="G349" t="s">
        <v>18057</v>
      </c>
      <c r="H349" t="s">
        <v>1121</v>
      </c>
      <c r="I349" t="s">
        <v>1117</v>
      </c>
      <c r="J349" t="s">
        <v>5525</v>
      </c>
      <c r="K349" t="s">
        <v>5526</v>
      </c>
      <c r="L349" t="s">
        <v>21</v>
      </c>
      <c r="M349" t="s">
        <v>19177</v>
      </c>
      <c r="N349" t="s">
        <v>16374</v>
      </c>
      <c r="O349" t="s">
        <v>272</v>
      </c>
      <c r="P349" t="s">
        <v>114</v>
      </c>
    </row>
    <row r="350">
      <c r="A350">
        <f>HYPERLINK("http://bombeiros.sp.gov.br/hidrantes/03individual/1795.html","1795")</f>
      </c>
      <c r="B350" t="s">
        <v>114</v>
      </c>
      <c r="C350" t="s">
        <v>318</v>
      </c>
      <c r="D350" t="s">
        <v>5542</v>
      </c>
      <c r="E350" t="s">
        <v>15</v>
      </c>
      <c r="F350" t="s">
        <v>5552</v>
      </c>
      <c r="G350" t="s">
        <v>18065</v>
      </c>
      <c r="H350" t="s">
        <v>1121</v>
      </c>
      <c r="I350" t="s">
        <v>1117</v>
      </c>
      <c r="J350" t="s">
        <v>5553</v>
      </c>
      <c r="K350" t="s">
        <v>5554</v>
      </c>
      <c r="L350" t="s">
        <v>21</v>
      </c>
      <c r="M350" t="s">
        <v>19177</v>
      </c>
      <c r="N350" t="s">
        <v>309</v>
      </c>
      <c r="O350" t="s">
        <v>6029</v>
      </c>
      <c r="P350" t="s">
        <v>114</v>
      </c>
    </row>
    <row r="351">
      <c r="A351">
        <f>HYPERLINK("http://bombeiros.sp.gov.br/hidrantes/03individual/1919.html","1919")</f>
      </c>
      <c r="B351" t="s">
        <v>114</v>
      </c>
      <c r="C351" t="s">
        <v>318</v>
      </c>
      <c r="D351" t="s">
        <v>318</v>
      </c>
      <c r="E351" t="s">
        <v>64</v>
      </c>
      <c r="F351" t="s">
        <v>5582</v>
      </c>
      <c r="G351" t="s">
        <v>18074</v>
      </c>
      <c r="H351" t="s">
        <v>1121</v>
      </c>
      <c r="I351" t="s">
        <v>1117</v>
      </c>
      <c r="J351" t="s">
        <v>5583</v>
      </c>
      <c r="K351" t="s">
        <v>5584</v>
      </c>
      <c r="L351" t="s">
        <v>36</v>
      </c>
      <c r="M351" t="s">
        <v>19177</v>
      </c>
      <c r="N351" t="s">
        <v>309</v>
      </c>
      <c r="O351" t="s">
        <v>6029</v>
      </c>
      <c r="P351" t="s">
        <v>114</v>
      </c>
    </row>
    <row r="352">
      <c r="A352">
        <f>HYPERLINK("http://bombeiros.sp.gov.br/hidrantes/03individual/1803.html","1803")</f>
      </c>
      <c r="B352" t="s">
        <v>114</v>
      </c>
      <c r="C352" t="s">
        <v>318</v>
      </c>
      <c r="D352" t="s">
        <v>318</v>
      </c>
      <c r="E352" t="s">
        <v>15</v>
      </c>
      <c r="F352" t="s">
        <v>5597</v>
      </c>
      <c r="G352" t="s">
        <v>18065</v>
      </c>
      <c r="H352" t="s">
        <v>1121</v>
      </c>
      <c r="I352" t="s">
        <v>1117</v>
      </c>
      <c r="J352" t="s">
        <v>5598</v>
      </c>
      <c r="K352" t="s">
        <v>5599</v>
      </c>
      <c r="L352" t="s">
        <v>21</v>
      </c>
      <c r="M352" t="s">
        <v>19177</v>
      </c>
      <c r="N352" t="s">
        <v>309</v>
      </c>
      <c r="O352" t="s">
        <v>6029</v>
      </c>
      <c r="P352" t="s">
        <v>114</v>
      </c>
    </row>
    <row r="353">
      <c r="A353">
        <f>HYPERLINK("http://bombeiros.sp.gov.br/hidrantes/03individual/26864.html","26864")</f>
      </c>
      <c r="B353" t="s">
        <v>114</v>
      </c>
      <c r="C353" t="s">
        <v>318</v>
      </c>
      <c r="D353" t="s">
        <v>318</v>
      </c>
      <c r="E353" t="s">
        <v>15</v>
      </c>
      <c r="F353" t="s">
        <v>16242</v>
      </c>
      <c r="G353" t="s">
        <v>18124</v>
      </c>
      <c r="H353" t="s">
        <v>1121</v>
      </c>
      <c r="I353" t="s">
        <v>1117</v>
      </c>
      <c r="J353" t="s">
        <v>16243</v>
      </c>
      <c r="K353" t="s">
        <v>16244</v>
      </c>
      <c r="L353" t="s">
        <v>21</v>
      </c>
      <c r="M353" t="s">
        <v>19177</v>
      </c>
      <c r="N353" t="s">
        <v>309</v>
      </c>
      <c r="O353" t="s">
        <v>6029</v>
      </c>
      <c r="P353" t="s">
        <v>114</v>
      </c>
    </row>
    <row r="354">
      <c r="A354">
        <f>HYPERLINK("http://bombeiros.sp.gov.br/hidrantes/03individual/3159.html","3159")</f>
      </c>
      <c r="B354" t="s">
        <v>114</v>
      </c>
      <c r="C354" t="s">
        <v>322</v>
      </c>
      <c r="D354" t="s">
        <v>5618</v>
      </c>
      <c r="E354" t="s">
        <v>64</v>
      </c>
      <c r="F354" t="s">
        <v>5631</v>
      </c>
      <c r="G354" t="s">
        <v>18050</v>
      </c>
      <c r="H354" t="s">
        <v>1121</v>
      </c>
      <c r="I354" t="s">
        <v>1117</v>
      </c>
      <c r="J354" t="s">
        <v>5632</v>
      </c>
      <c r="K354" t="s">
        <v>5633</v>
      </c>
      <c r="L354" t="s">
        <v>36</v>
      </c>
      <c r="M354" t="s">
        <v>19177</v>
      </c>
      <c r="N354" t="s">
        <v>300</v>
      </c>
      <c r="O354" t="s">
        <v>16373</v>
      </c>
      <c r="P354" t="s">
        <v>12</v>
      </c>
    </row>
    <row r="355">
      <c r="A355">
        <f>HYPERLINK("http://bombeiros.sp.gov.br/hidrantes/03individual/3098.html","3098")</f>
      </c>
      <c r="B355" t="s">
        <v>114</v>
      </c>
      <c r="C355" t="s">
        <v>322</v>
      </c>
      <c r="D355" t="s">
        <v>5618</v>
      </c>
      <c r="E355" t="s">
        <v>15</v>
      </c>
      <c r="F355" t="s">
        <v>5643</v>
      </c>
      <c r="G355" t="s">
        <v>18050</v>
      </c>
      <c r="H355" t="s">
        <v>1121</v>
      </c>
      <c r="I355" t="s">
        <v>1117</v>
      </c>
      <c r="J355" t="s">
        <v>5644</v>
      </c>
      <c r="K355" t="s">
        <v>5645</v>
      </c>
      <c r="L355" t="s">
        <v>21</v>
      </c>
      <c r="M355" t="s">
        <v>19177</v>
      </c>
      <c r="N355" t="s">
        <v>300</v>
      </c>
      <c r="O355" t="s">
        <v>16373</v>
      </c>
      <c r="P355" t="s">
        <v>12</v>
      </c>
    </row>
    <row r="356">
      <c r="A356">
        <f>HYPERLINK("http://bombeiros.sp.gov.br/hidrantes/03individual/1328.html","1328")</f>
      </c>
      <c r="B356" t="s">
        <v>114</v>
      </c>
      <c r="C356" t="s">
        <v>322</v>
      </c>
      <c r="D356" t="s">
        <v>323</v>
      </c>
      <c r="E356" t="s">
        <v>15</v>
      </c>
      <c r="F356" t="s">
        <v>324</v>
      </c>
      <c r="G356" t="s">
        <v>18050</v>
      </c>
      <c r="H356" t="s">
        <v>1121</v>
      </c>
      <c r="I356" t="s">
        <v>1117</v>
      </c>
      <c r="J356" t="s">
        <v>325</v>
      </c>
      <c r="K356" t="s">
        <v>326</v>
      </c>
      <c r="L356" t="s">
        <v>21</v>
      </c>
      <c r="M356" t="s">
        <v>19177</v>
      </c>
      <c r="N356" t="s">
        <v>300</v>
      </c>
      <c r="O356" t="s">
        <v>16373</v>
      </c>
      <c r="P356" t="s">
        <v>12</v>
      </c>
    </row>
    <row r="357">
      <c r="A357">
        <f>HYPERLINK("http://bombeiros.sp.gov.br/hidrantes/03individual/26488.html","26488")</f>
      </c>
      <c r="B357" t="s">
        <v>114</v>
      </c>
      <c r="C357" t="s">
        <v>337</v>
      </c>
      <c r="D357" t="s">
        <v>5839</v>
      </c>
      <c r="E357" t="s">
        <v>64</v>
      </c>
      <c r="F357" t="s">
        <v>5852</v>
      </c>
      <c r="G357" t="s">
        <v>18055</v>
      </c>
      <c r="H357" t="s">
        <v>1121</v>
      </c>
      <c r="I357" t="s">
        <v>1117</v>
      </c>
      <c r="J357" t="s">
        <v>5853</v>
      </c>
      <c r="K357" t="s">
        <v>5854</v>
      </c>
      <c r="L357" t="s">
        <v>21</v>
      </c>
      <c r="M357" t="s">
        <v>19177</v>
      </c>
      <c r="N357" t="s">
        <v>337</v>
      </c>
      <c r="O357" t="s">
        <v>337</v>
      </c>
      <c r="P357" t="s">
        <v>12</v>
      </c>
    </row>
    <row r="358">
      <c r="A358">
        <f>HYPERLINK("http://bombeiros.sp.gov.br/hidrantes/03individual/17731.html","17731")</f>
      </c>
      <c r="B358" t="s">
        <v>114</v>
      </c>
      <c r="C358" t="s">
        <v>337</v>
      </c>
      <c r="D358" t="s">
        <v>5839</v>
      </c>
      <c r="E358" t="s">
        <v>15</v>
      </c>
      <c r="F358" t="s">
        <v>5888</v>
      </c>
      <c r="G358" t="s">
        <v>18067</v>
      </c>
      <c r="H358" t="s">
        <v>1121</v>
      </c>
      <c r="I358" t="s">
        <v>1117</v>
      </c>
      <c r="J358" t="s">
        <v>5889</v>
      </c>
      <c r="K358" t="s">
        <v>5890</v>
      </c>
      <c r="L358" t="s">
        <v>21</v>
      </c>
      <c r="M358" t="s">
        <v>19177</v>
      </c>
      <c r="N358" t="s">
        <v>337</v>
      </c>
      <c r="O358" t="s">
        <v>337</v>
      </c>
      <c r="P358" t="s">
        <v>12</v>
      </c>
    </row>
    <row r="359">
      <c r="A359">
        <f>HYPERLINK("http://bombeiros.sp.gov.br/hidrantes/03individual/2106.html","2106")</f>
      </c>
      <c r="B359" t="s">
        <v>114</v>
      </c>
      <c r="C359" t="s">
        <v>337</v>
      </c>
      <c r="D359" t="s">
        <v>338</v>
      </c>
      <c r="E359" t="s">
        <v>64</v>
      </c>
      <c r="F359" t="s">
        <v>5894</v>
      </c>
      <c r="G359" t="s">
        <v>18072</v>
      </c>
      <c r="H359" t="s">
        <v>1121</v>
      </c>
      <c r="I359" t="s">
        <v>1117</v>
      </c>
      <c r="J359" t="s">
        <v>5895</v>
      </c>
      <c r="K359" t="s">
        <v>5896</v>
      </c>
      <c r="L359" t="s">
        <v>36</v>
      </c>
      <c r="M359" t="s">
        <v>19177</v>
      </c>
      <c r="N359" t="s">
        <v>337</v>
      </c>
      <c r="O359" t="s">
        <v>337</v>
      </c>
      <c r="P359" t="s">
        <v>12</v>
      </c>
    </row>
    <row r="360">
      <c r="A360">
        <f>HYPERLINK("http://bombeiros.sp.gov.br/hidrantes/03individual/2084.html","2084")</f>
      </c>
      <c r="B360" t="s">
        <v>114</v>
      </c>
      <c r="C360" t="s">
        <v>337</v>
      </c>
      <c r="D360" t="s">
        <v>338</v>
      </c>
      <c r="E360" t="s">
        <v>15</v>
      </c>
      <c r="F360" t="s">
        <v>5912</v>
      </c>
      <c r="G360" t="s">
        <v>18124</v>
      </c>
      <c r="H360" t="s">
        <v>1121</v>
      </c>
      <c r="I360" t="s">
        <v>1117</v>
      </c>
      <c r="J360" t="s">
        <v>5913</v>
      </c>
      <c r="K360" t="s">
        <v>5914</v>
      </c>
      <c r="L360" t="s">
        <v>21</v>
      </c>
      <c r="M360" t="s">
        <v>19177</v>
      </c>
      <c r="N360" t="s">
        <v>337</v>
      </c>
      <c r="O360" t="s">
        <v>337</v>
      </c>
      <c r="P360" t="s">
        <v>12</v>
      </c>
    </row>
    <row r="361">
      <c r="A361">
        <f>HYPERLINK("http://bombeiros.sp.gov.br/hidrantes/03individual/27135.html","27135")</f>
      </c>
      <c r="B361" t="s">
        <v>114</v>
      </c>
      <c r="C361" t="s">
        <v>337</v>
      </c>
      <c r="D361" t="s">
        <v>5933</v>
      </c>
      <c r="E361" t="s">
        <v>64</v>
      </c>
      <c r="F361" t="s">
        <v>16817</v>
      </c>
      <c r="G361" t="s">
        <v>18055</v>
      </c>
      <c r="H361" t="s">
        <v>1121</v>
      </c>
      <c r="I361" t="s">
        <v>1117</v>
      </c>
      <c r="J361" t="s">
        <v>16818</v>
      </c>
      <c r="K361" t="s">
        <v>16819</v>
      </c>
      <c r="L361" t="s">
        <v>21</v>
      </c>
      <c r="M361" t="s">
        <v>19177</v>
      </c>
      <c r="N361" t="s">
        <v>337</v>
      </c>
      <c r="O361" t="s">
        <v>337</v>
      </c>
      <c r="P361" t="s">
        <v>12</v>
      </c>
    </row>
    <row r="362">
      <c r="A362">
        <f>HYPERLINK("http://bombeiros.sp.gov.br/hidrantes/03individual/27136.html","27136")</f>
      </c>
      <c r="B362" t="s">
        <v>114</v>
      </c>
      <c r="C362" t="s">
        <v>337</v>
      </c>
      <c r="D362" t="s">
        <v>5933</v>
      </c>
      <c r="E362" t="s">
        <v>64</v>
      </c>
      <c r="F362" t="s">
        <v>16820</v>
      </c>
      <c r="G362" t="s">
        <v>18055</v>
      </c>
      <c r="H362" t="s">
        <v>1121</v>
      </c>
      <c r="I362" t="s">
        <v>1117</v>
      </c>
      <c r="J362" t="s">
        <v>16821</v>
      </c>
      <c r="K362" t="s">
        <v>16822</v>
      </c>
      <c r="L362" t="s">
        <v>21</v>
      </c>
      <c r="M362" t="s">
        <v>19177</v>
      </c>
      <c r="N362" t="s">
        <v>337</v>
      </c>
      <c r="O362" t="s">
        <v>337</v>
      </c>
      <c r="P362" t="s">
        <v>12</v>
      </c>
    </row>
    <row r="363">
      <c r="A363">
        <f>HYPERLINK("http://bombeiros.sp.gov.br/hidrantes/03individual/3341.html","3341")</f>
      </c>
      <c r="B363" t="s">
        <v>114</v>
      </c>
      <c r="C363" t="s">
        <v>337</v>
      </c>
      <c r="D363" t="s">
        <v>5933</v>
      </c>
      <c r="E363" t="s">
        <v>15</v>
      </c>
      <c r="F363" t="s">
        <v>5937</v>
      </c>
      <c r="G363" t="s">
        <v>18046</v>
      </c>
      <c r="H363" t="s">
        <v>1121</v>
      </c>
      <c r="I363" t="s">
        <v>1117</v>
      </c>
      <c r="J363" t="s">
        <v>5938</v>
      </c>
      <c r="K363" t="s">
        <v>5939</v>
      </c>
      <c r="L363" t="s">
        <v>21</v>
      </c>
      <c r="M363" t="s">
        <v>19177</v>
      </c>
      <c r="N363" t="s">
        <v>337</v>
      </c>
      <c r="O363" t="s">
        <v>337</v>
      </c>
      <c r="P363" t="s">
        <v>12</v>
      </c>
    </row>
    <row r="364">
      <c r="A364">
        <f>HYPERLINK("http://bombeiros.sp.gov.br/hidrantes/03individual/4311.html","4311")</f>
      </c>
      <c r="B364" t="s">
        <v>114</v>
      </c>
      <c r="C364" t="s">
        <v>337</v>
      </c>
      <c r="D364" t="s">
        <v>5933</v>
      </c>
      <c r="E364" t="s">
        <v>15</v>
      </c>
      <c r="F364" t="s">
        <v>5940</v>
      </c>
      <c r="G364" t="s">
        <v>18055</v>
      </c>
      <c r="H364" t="s">
        <v>1121</v>
      </c>
      <c r="I364" t="s">
        <v>1117</v>
      </c>
      <c r="J364" t="s">
        <v>5941</v>
      </c>
      <c r="K364" t="s">
        <v>5942</v>
      </c>
      <c r="L364" t="s">
        <v>21</v>
      </c>
      <c r="M364" t="s">
        <v>19177</v>
      </c>
      <c r="N364" t="s">
        <v>337</v>
      </c>
      <c r="O364" t="s">
        <v>337</v>
      </c>
      <c r="P364" t="s">
        <v>12</v>
      </c>
    </row>
    <row r="365">
      <c r="A365">
        <f>HYPERLINK("http://bombeiros.sp.gov.br/hidrantes/03individual/1952.html","1952")</f>
      </c>
      <c r="B365" t="s">
        <v>114</v>
      </c>
      <c r="C365" t="s">
        <v>337</v>
      </c>
      <c r="D365" t="s">
        <v>337</v>
      </c>
      <c r="E365" t="s">
        <v>64</v>
      </c>
      <c r="F365" t="s">
        <v>5953</v>
      </c>
      <c r="G365" t="s">
        <v>18145</v>
      </c>
      <c r="H365" t="s">
        <v>1121</v>
      </c>
      <c r="I365" t="s">
        <v>1117</v>
      </c>
      <c r="J365" t="s">
        <v>17302</v>
      </c>
      <c r="K365" t="s">
        <v>17303</v>
      </c>
      <c r="L365" t="s">
        <v>21</v>
      </c>
      <c r="M365" t="s">
        <v>19177</v>
      </c>
      <c r="N365" t="s">
        <v>337</v>
      </c>
      <c r="O365" t="s">
        <v>337</v>
      </c>
      <c r="P365" t="s">
        <v>12</v>
      </c>
    </row>
    <row r="366">
      <c r="A366">
        <f>HYPERLINK("http://bombeiros.sp.gov.br/hidrantes/03individual/986.html","986")</f>
      </c>
      <c r="B366" t="s">
        <v>114</v>
      </c>
      <c r="C366" t="s">
        <v>337</v>
      </c>
      <c r="D366" t="s">
        <v>337</v>
      </c>
      <c r="E366" t="s">
        <v>15</v>
      </c>
      <c r="F366" t="s">
        <v>5962</v>
      </c>
      <c r="G366" t="s">
        <v>18042</v>
      </c>
      <c r="H366" t="s">
        <v>1121</v>
      </c>
      <c r="I366" t="s">
        <v>1117</v>
      </c>
      <c r="J366" t="s">
        <v>5963</v>
      </c>
      <c r="K366" t="s">
        <v>5964</v>
      </c>
      <c r="L366" t="s">
        <v>21</v>
      </c>
      <c r="M366" t="s">
        <v>19177</v>
      </c>
      <c r="N366" t="s">
        <v>337</v>
      </c>
      <c r="O366" t="s">
        <v>337</v>
      </c>
      <c r="P366" t="s">
        <v>12</v>
      </c>
    </row>
    <row r="367">
      <c r="A367">
        <f>HYPERLINK("http://bombeiros.sp.gov.br/hidrantes/03individual/2042.html","2042")</f>
      </c>
      <c r="B367" t="s">
        <v>114</v>
      </c>
      <c r="C367" t="s">
        <v>337</v>
      </c>
      <c r="D367" t="s">
        <v>337</v>
      </c>
      <c r="E367" t="s">
        <v>15</v>
      </c>
      <c r="F367" t="s">
        <v>5965</v>
      </c>
      <c r="G367" t="s">
        <v>18132</v>
      </c>
      <c r="H367" t="s">
        <v>1121</v>
      </c>
      <c r="I367" t="s">
        <v>1117</v>
      </c>
      <c r="J367" t="s">
        <v>5966</v>
      </c>
      <c r="K367" t="s">
        <v>5967</v>
      </c>
      <c r="L367" t="s">
        <v>21</v>
      </c>
      <c r="M367" t="s">
        <v>19177</v>
      </c>
      <c r="N367" t="s">
        <v>337</v>
      </c>
      <c r="O367" t="s">
        <v>337</v>
      </c>
      <c r="P367" t="s">
        <v>12</v>
      </c>
    </row>
    <row r="368">
      <c r="A368">
        <f>HYPERLINK("http://bombeiros.sp.gov.br/hidrantes/03individual/4206.html","4206")</f>
      </c>
      <c r="B368" t="s">
        <v>114</v>
      </c>
      <c r="C368" t="s">
        <v>337</v>
      </c>
      <c r="D368" t="s">
        <v>337</v>
      </c>
      <c r="E368" t="s">
        <v>15</v>
      </c>
      <c r="F368" t="s">
        <v>5977</v>
      </c>
      <c r="G368" t="s">
        <v>18051</v>
      </c>
      <c r="H368" t="s">
        <v>1121</v>
      </c>
      <c r="I368" t="s">
        <v>1117</v>
      </c>
      <c r="J368" t="s">
        <v>5978</v>
      </c>
      <c r="K368" t="s">
        <v>5979</v>
      </c>
      <c r="L368" t="s">
        <v>36</v>
      </c>
      <c r="M368" t="s">
        <v>19177</v>
      </c>
      <c r="N368" t="s">
        <v>337</v>
      </c>
      <c r="O368" t="s">
        <v>337</v>
      </c>
      <c r="P368" t="s">
        <v>12</v>
      </c>
    </row>
    <row r="369">
      <c r="A369">
        <f>HYPERLINK("http://bombeiros.sp.gov.br/hidrantes/03individual/25235.html","25235")</f>
      </c>
      <c r="B369" t="s">
        <v>114</v>
      </c>
      <c r="C369" t="s">
        <v>347</v>
      </c>
      <c r="D369" t="s">
        <v>348</v>
      </c>
      <c r="E369" t="s">
        <v>64</v>
      </c>
      <c r="F369" t="s">
        <v>5990</v>
      </c>
      <c r="G369" t="s">
        <v>18105</v>
      </c>
      <c r="H369" t="s">
        <v>1121</v>
      </c>
      <c r="I369" t="s">
        <v>1117</v>
      </c>
      <c r="J369" t="s">
        <v>5991</v>
      </c>
      <c r="K369" t="s">
        <v>5992</v>
      </c>
      <c r="L369" t="s">
        <v>21</v>
      </c>
      <c r="M369" t="s">
        <v>19177</v>
      </c>
      <c r="N369" t="s">
        <v>6029</v>
      </c>
      <c r="O369" t="s">
        <v>6029</v>
      </c>
      <c r="P369" t="s">
        <v>114</v>
      </c>
    </row>
    <row r="370">
      <c r="A370">
        <f>HYPERLINK("http://bombeiros.sp.gov.br/hidrantes/03individual/17863.html","17863")</f>
      </c>
      <c r="B370" t="s">
        <v>114</v>
      </c>
      <c r="C370" t="s">
        <v>347</v>
      </c>
      <c r="D370" t="s">
        <v>348</v>
      </c>
      <c r="E370" t="s">
        <v>15</v>
      </c>
      <c r="F370" t="s">
        <v>6026</v>
      </c>
      <c r="G370" t="s">
        <v>18094</v>
      </c>
      <c r="H370" t="s">
        <v>1121</v>
      </c>
      <c r="I370" t="s">
        <v>1117</v>
      </c>
      <c r="J370" t="s">
        <v>6027</v>
      </c>
      <c r="K370" t="s">
        <v>6028</v>
      </c>
      <c r="L370" t="s">
        <v>21</v>
      </c>
      <c r="M370" t="s">
        <v>19177</v>
      </c>
      <c r="N370" t="s">
        <v>6029</v>
      </c>
      <c r="O370" t="s">
        <v>6029</v>
      </c>
      <c r="P370" t="s">
        <v>114</v>
      </c>
    </row>
    <row r="371">
      <c r="A371">
        <f>HYPERLINK("http://bombeiros.sp.gov.br/hidrantes/03individual/3447.html","3447")</f>
      </c>
      <c r="B371" t="s">
        <v>114</v>
      </c>
      <c r="C371" t="s">
        <v>347</v>
      </c>
      <c r="D371" t="s">
        <v>6029</v>
      </c>
      <c r="E371" t="s">
        <v>15</v>
      </c>
      <c r="F371" t="s">
        <v>6042</v>
      </c>
      <c r="G371" t="s">
        <v>18095</v>
      </c>
      <c r="H371" t="s">
        <v>1121</v>
      </c>
      <c r="I371" t="s">
        <v>1117</v>
      </c>
      <c r="J371" t="s">
        <v>6043</v>
      </c>
      <c r="K371" t="s">
        <v>6044</v>
      </c>
      <c r="L371" t="s">
        <v>21</v>
      </c>
      <c r="M371" t="s">
        <v>19177</v>
      </c>
      <c r="N371" t="s">
        <v>6029</v>
      </c>
      <c r="O371" t="s">
        <v>6029</v>
      </c>
      <c r="P371" t="s">
        <v>114</v>
      </c>
    </row>
    <row r="372">
      <c r="A372">
        <f>HYPERLINK("http://bombeiros.sp.gov.br/hidrantes/03individual/4329.html","4329")</f>
      </c>
      <c r="B372" t="s">
        <v>114</v>
      </c>
      <c r="C372" t="s">
        <v>347</v>
      </c>
      <c r="D372" t="s">
        <v>6063</v>
      </c>
      <c r="E372" t="s">
        <v>15</v>
      </c>
      <c r="F372" t="s">
        <v>6070</v>
      </c>
      <c r="G372" t="s">
        <v>18075</v>
      </c>
      <c r="H372" t="s">
        <v>1121</v>
      </c>
      <c r="I372" t="s">
        <v>1117</v>
      </c>
      <c r="J372" t="s">
        <v>6071</v>
      </c>
      <c r="K372" t="s">
        <v>6072</v>
      </c>
      <c r="L372" t="s">
        <v>21</v>
      </c>
      <c r="M372" t="s">
        <v>19177</v>
      </c>
      <c r="N372" t="s">
        <v>272</v>
      </c>
      <c r="O372" t="s">
        <v>272</v>
      </c>
      <c r="P372" t="s">
        <v>114</v>
      </c>
    </row>
    <row r="373">
      <c r="A373">
        <f>HYPERLINK("http://bombeiros.sp.gov.br/hidrantes/03individual/5642.html","5642")</f>
      </c>
      <c r="B373" t="s">
        <v>114</v>
      </c>
      <c r="C373" t="s">
        <v>356</v>
      </c>
      <c r="D373" t="s">
        <v>357</v>
      </c>
      <c r="E373" t="s">
        <v>15</v>
      </c>
      <c r="F373" t="s">
        <v>6103</v>
      </c>
      <c r="G373" t="s">
        <v>18074</v>
      </c>
      <c r="H373" t="s">
        <v>1121</v>
      </c>
      <c r="I373" t="s">
        <v>1117</v>
      </c>
      <c r="J373" t="s">
        <v>6104</v>
      </c>
      <c r="K373" t="s">
        <v>6105</v>
      </c>
      <c r="L373" t="s">
        <v>21</v>
      </c>
      <c r="M373" t="s">
        <v>19177</v>
      </c>
      <c r="N373" t="s">
        <v>337</v>
      </c>
      <c r="O373" t="s">
        <v>337</v>
      </c>
      <c r="P373" t="s">
        <v>12</v>
      </c>
    </row>
    <row r="374">
      <c r="A374">
        <f>HYPERLINK("http://bombeiros.sp.gov.br/hidrantes/03individual/5651.html","5651")</f>
      </c>
      <c r="B374" t="s">
        <v>114</v>
      </c>
      <c r="C374" t="s">
        <v>356</v>
      </c>
      <c r="D374" t="s">
        <v>361</v>
      </c>
      <c r="E374" t="s">
        <v>64</v>
      </c>
      <c r="F374" t="s">
        <v>6109</v>
      </c>
      <c r="G374" t="s">
        <v>18067</v>
      </c>
      <c r="H374" t="s">
        <v>1121</v>
      </c>
      <c r="I374" t="s">
        <v>1117</v>
      </c>
      <c r="J374" t="s">
        <v>6110</v>
      </c>
      <c r="K374" t="s">
        <v>6111</v>
      </c>
      <c r="L374" t="s">
        <v>21</v>
      </c>
      <c r="M374" t="s">
        <v>19177</v>
      </c>
      <c r="N374" t="s">
        <v>337</v>
      </c>
      <c r="O374" t="s">
        <v>337</v>
      </c>
      <c r="P374" t="s">
        <v>12</v>
      </c>
    </row>
    <row r="375">
      <c r="A375">
        <f>HYPERLINK("http://bombeiros.sp.gov.br/hidrantes/03individual/17782.html","17782")</f>
      </c>
      <c r="B375" t="s">
        <v>114</v>
      </c>
      <c r="C375" t="s">
        <v>356</v>
      </c>
      <c r="D375" t="s">
        <v>361</v>
      </c>
      <c r="E375" t="s">
        <v>15</v>
      </c>
      <c r="F375" t="s">
        <v>6133</v>
      </c>
      <c r="G375" t="s">
        <v>18067</v>
      </c>
      <c r="H375" t="s">
        <v>1121</v>
      </c>
      <c r="I375" t="s">
        <v>1117</v>
      </c>
      <c r="J375" t="s">
        <v>6134</v>
      </c>
      <c r="K375" t="s">
        <v>6135</v>
      </c>
      <c r="L375" t="s">
        <v>21</v>
      </c>
      <c r="M375" t="s">
        <v>19177</v>
      </c>
      <c r="N375" t="s">
        <v>337</v>
      </c>
      <c r="O375" t="s">
        <v>337</v>
      </c>
      <c r="P375" t="s">
        <v>12</v>
      </c>
    </row>
    <row r="376">
      <c r="A376">
        <f>HYPERLINK("http://bombeiros.sp.gov.br/hidrantes/03individual/3869.html","3869")</f>
      </c>
      <c r="B376" t="s">
        <v>114</v>
      </c>
      <c r="C376" t="s">
        <v>365</v>
      </c>
      <c r="D376" t="s">
        <v>6139</v>
      </c>
      <c r="E376" t="s">
        <v>64</v>
      </c>
      <c r="F376" t="s">
        <v>6143</v>
      </c>
      <c r="G376" t="s">
        <v>18098</v>
      </c>
      <c r="H376" t="s">
        <v>1121</v>
      </c>
      <c r="I376" t="s">
        <v>1117</v>
      </c>
      <c r="J376" t="s">
        <v>6144</v>
      </c>
      <c r="K376" t="s">
        <v>6145</v>
      </c>
      <c r="L376" t="s">
        <v>21</v>
      </c>
      <c r="M376" t="s">
        <v>19177</v>
      </c>
      <c r="N376" t="s">
        <v>337</v>
      </c>
      <c r="O376" t="s">
        <v>337</v>
      </c>
      <c r="P376" t="s">
        <v>12</v>
      </c>
    </row>
    <row r="377">
      <c r="A377">
        <f>HYPERLINK("http://bombeiros.sp.gov.br/hidrantes/03individual/3902.html","3902")</f>
      </c>
      <c r="B377" t="s">
        <v>114</v>
      </c>
      <c r="C377" t="s">
        <v>365</v>
      </c>
      <c r="D377" t="s">
        <v>6139</v>
      </c>
      <c r="E377" t="s">
        <v>64</v>
      </c>
      <c r="F377" t="s">
        <v>6146</v>
      </c>
      <c r="G377" t="s">
        <v>18051</v>
      </c>
      <c r="H377" t="s">
        <v>1121</v>
      </c>
      <c r="I377" t="s">
        <v>1117</v>
      </c>
      <c r="J377" t="s">
        <v>6147</v>
      </c>
      <c r="K377" t="s">
        <v>6148</v>
      </c>
      <c r="L377" t="s">
        <v>21</v>
      </c>
      <c r="M377" t="s">
        <v>19177</v>
      </c>
      <c r="N377" t="s">
        <v>337</v>
      </c>
      <c r="O377" t="s">
        <v>337</v>
      </c>
      <c r="P377" t="s">
        <v>12</v>
      </c>
    </row>
    <row r="378">
      <c r="A378">
        <f>HYPERLINK("http://bombeiros.sp.gov.br/hidrantes/03individual/10006.html","10006")</f>
      </c>
      <c r="B378" t="s">
        <v>114</v>
      </c>
      <c r="C378" t="s">
        <v>365</v>
      </c>
      <c r="D378" t="s">
        <v>6139</v>
      </c>
      <c r="E378" t="s">
        <v>15</v>
      </c>
      <c r="F378" t="s">
        <v>6170</v>
      </c>
      <c r="G378" t="s">
        <v>18050</v>
      </c>
      <c r="H378" t="s">
        <v>1121</v>
      </c>
      <c r="I378" t="s">
        <v>1117</v>
      </c>
      <c r="J378" t="s">
        <v>6171</v>
      </c>
      <c r="K378" t="s">
        <v>6172</v>
      </c>
      <c r="L378" t="s">
        <v>21</v>
      </c>
      <c r="M378" t="s">
        <v>19177</v>
      </c>
      <c r="N378" t="s">
        <v>337</v>
      </c>
      <c r="O378" t="s">
        <v>337</v>
      </c>
      <c r="P378" t="s">
        <v>12</v>
      </c>
    </row>
    <row r="379">
      <c r="A379">
        <f>HYPERLINK("http://bombeiros.sp.gov.br/hidrantes/03individual/4194.html","4194")</f>
      </c>
      <c r="B379" t="s">
        <v>114</v>
      </c>
      <c r="C379" t="s">
        <v>365</v>
      </c>
      <c r="D379" t="s">
        <v>370</v>
      </c>
      <c r="E379" t="s">
        <v>15</v>
      </c>
      <c r="F379" t="s">
        <v>371</v>
      </c>
      <c r="G379" t="s">
        <v>18074</v>
      </c>
      <c r="H379" t="s">
        <v>1121</v>
      </c>
      <c r="I379" t="s">
        <v>1117</v>
      </c>
      <c r="J379" t="s">
        <v>372</v>
      </c>
      <c r="K379" t="s">
        <v>373</v>
      </c>
      <c r="L379" t="s">
        <v>21</v>
      </c>
      <c r="M379" t="s">
        <v>19177</v>
      </c>
      <c r="N379" t="s">
        <v>337</v>
      </c>
      <c r="O379" t="s">
        <v>337</v>
      </c>
      <c r="P379" t="s">
        <v>12</v>
      </c>
    </row>
    <row r="380">
      <c r="A380">
        <f>HYPERLINK("http://bombeiros.sp.gov.br/hidrantes/03individual/826.html","826")</f>
      </c>
      <c r="B380" t="s">
        <v>114</v>
      </c>
      <c r="C380" t="s">
        <v>365</v>
      </c>
      <c r="D380" t="s">
        <v>6239</v>
      </c>
      <c r="E380" t="s">
        <v>64</v>
      </c>
      <c r="F380" t="s">
        <v>6249</v>
      </c>
      <c r="G380" t="s">
        <v>18069</v>
      </c>
      <c r="H380" t="s">
        <v>1121</v>
      </c>
      <c r="I380" t="s">
        <v>1117</v>
      </c>
      <c r="J380" t="s">
        <v>6250</v>
      </c>
      <c r="K380" t="s">
        <v>6251</v>
      </c>
      <c r="L380" t="s">
        <v>21</v>
      </c>
      <c r="M380" t="s">
        <v>19177</v>
      </c>
      <c r="N380" t="s">
        <v>337</v>
      </c>
      <c r="O380" t="s">
        <v>337</v>
      </c>
      <c r="P380" t="s">
        <v>12</v>
      </c>
    </row>
    <row r="381">
      <c r="A381">
        <f>HYPERLINK("http://bombeiros.sp.gov.br/hidrantes/03individual/838.html","838")</f>
      </c>
      <c r="B381" t="s">
        <v>114</v>
      </c>
      <c r="C381" t="s">
        <v>365</v>
      </c>
      <c r="D381" t="s">
        <v>6239</v>
      </c>
      <c r="E381" t="s">
        <v>64</v>
      </c>
      <c r="F381" t="s">
        <v>6252</v>
      </c>
      <c r="G381" t="s">
        <v>18124</v>
      </c>
      <c r="H381" t="s">
        <v>1121</v>
      </c>
      <c r="I381" t="s">
        <v>1117</v>
      </c>
      <c r="J381" t="s">
        <v>6253</v>
      </c>
      <c r="K381" t="s">
        <v>6254</v>
      </c>
      <c r="L381" t="s">
        <v>21</v>
      </c>
      <c r="M381" t="s">
        <v>19177</v>
      </c>
      <c r="N381" t="s">
        <v>337</v>
      </c>
      <c r="O381" t="s">
        <v>337</v>
      </c>
      <c r="P381" t="s">
        <v>12</v>
      </c>
    </row>
    <row r="382">
      <c r="A382">
        <f>HYPERLINK("http://bombeiros.sp.gov.br/hidrantes/03individual/26675.html","26675")</f>
      </c>
      <c r="B382" t="s">
        <v>114</v>
      </c>
      <c r="C382" t="s">
        <v>365</v>
      </c>
      <c r="D382" t="s">
        <v>6239</v>
      </c>
      <c r="E382" t="s">
        <v>15</v>
      </c>
      <c r="F382" t="s">
        <v>6294</v>
      </c>
      <c r="G382" t="s">
        <v>18075</v>
      </c>
      <c r="H382" t="s">
        <v>1121</v>
      </c>
      <c r="I382" t="s">
        <v>1117</v>
      </c>
      <c r="J382" t="s">
        <v>6295</v>
      </c>
      <c r="K382" t="s">
        <v>6296</v>
      </c>
      <c r="L382" t="s">
        <v>21</v>
      </c>
      <c r="M382" t="s">
        <v>19177</v>
      </c>
      <c r="N382" t="s">
        <v>337</v>
      </c>
      <c r="O382" t="s">
        <v>337</v>
      </c>
      <c r="P382" t="s">
        <v>12</v>
      </c>
    </row>
    <row r="383">
      <c r="A383">
        <f>HYPERLINK("http://bombeiros.sp.gov.br/hidrantes/03individual/27021.html","27021")</f>
      </c>
      <c r="B383" t="s">
        <v>114</v>
      </c>
      <c r="C383" t="s">
        <v>365</v>
      </c>
      <c r="D383" t="s">
        <v>6239</v>
      </c>
      <c r="E383" t="s">
        <v>15</v>
      </c>
      <c r="F383" t="s">
        <v>16594</v>
      </c>
      <c r="G383" t="s">
        <v>18045</v>
      </c>
      <c r="H383" t="s">
        <v>1121</v>
      </c>
      <c r="I383" t="s">
        <v>1117</v>
      </c>
      <c r="J383" t="s">
        <v>16595</v>
      </c>
      <c r="K383" t="s">
        <v>16596</v>
      </c>
      <c r="L383" t="s">
        <v>21</v>
      </c>
      <c r="M383" t="s">
        <v>19177</v>
      </c>
      <c r="N383" t="s">
        <v>337</v>
      </c>
      <c r="O383" t="s">
        <v>337</v>
      </c>
      <c r="P383" t="s">
        <v>12</v>
      </c>
    </row>
    <row r="384">
      <c r="A384">
        <f>HYPERLINK("http://bombeiros.sp.gov.br/hidrantes/03individual/4197.html","4197")</f>
      </c>
      <c r="B384" t="s">
        <v>114</v>
      </c>
      <c r="C384" t="s">
        <v>365</v>
      </c>
      <c r="D384" t="s">
        <v>6297</v>
      </c>
      <c r="E384" t="s">
        <v>64</v>
      </c>
      <c r="F384" t="s">
        <v>6298</v>
      </c>
      <c r="G384" t="s">
        <v>18066</v>
      </c>
      <c r="H384" t="s">
        <v>1121</v>
      </c>
      <c r="I384" t="s">
        <v>1117</v>
      </c>
      <c r="J384" t="s">
        <v>6299</v>
      </c>
      <c r="K384" t="s">
        <v>6300</v>
      </c>
      <c r="L384" t="s">
        <v>36</v>
      </c>
      <c r="M384" t="s">
        <v>19177</v>
      </c>
      <c r="N384" t="s">
        <v>337</v>
      </c>
      <c r="O384" t="s">
        <v>337</v>
      </c>
      <c r="P384" t="s">
        <v>12</v>
      </c>
    </row>
    <row r="385">
      <c r="A385">
        <f>HYPERLINK("http://bombeiros.sp.gov.br/hidrantes/03individual/1912.html","1912")</f>
      </c>
      <c r="B385" t="s">
        <v>114</v>
      </c>
      <c r="C385" t="s">
        <v>365</v>
      </c>
      <c r="D385" t="s">
        <v>6297</v>
      </c>
      <c r="E385" t="s">
        <v>15</v>
      </c>
      <c r="F385" t="s">
        <v>6301</v>
      </c>
      <c r="G385" t="s">
        <v>18045</v>
      </c>
      <c r="H385" t="s">
        <v>1121</v>
      </c>
      <c r="I385" t="s">
        <v>1117</v>
      </c>
      <c r="J385" t="s">
        <v>6302</v>
      </c>
      <c r="K385" t="s">
        <v>6303</v>
      </c>
      <c r="L385" t="s">
        <v>21</v>
      </c>
      <c r="M385" t="s">
        <v>19177</v>
      </c>
      <c r="N385" t="s">
        <v>337</v>
      </c>
      <c r="O385" t="s">
        <v>337</v>
      </c>
      <c r="P385" t="s">
        <v>12</v>
      </c>
    </row>
    <row r="386">
      <c r="A386">
        <f>HYPERLINK("http://bombeiros.sp.gov.br/hidrantes/03individual/3324.html","3324")</f>
      </c>
      <c r="B386" t="s">
        <v>114</v>
      </c>
      <c r="C386" t="s">
        <v>374</v>
      </c>
      <c r="D386" t="s">
        <v>375</v>
      </c>
      <c r="E386" t="s">
        <v>15</v>
      </c>
      <c r="F386" t="s">
        <v>6346</v>
      </c>
      <c r="G386" t="s">
        <v>18093</v>
      </c>
      <c r="H386" t="s">
        <v>1121</v>
      </c>
      <c r="I386" t="s">
        <v>1117</v>
      </c>
      <c r="J386" t="s">
        <v>6347</v>
      </c>
      <c r="K386" t="s">
        <v>6348</v>
      </c>
      <c r="L386" t="s">
        <v>21</v>
      </c>
      <c r="M386" t="s">
        <v>19177</v>
      </c>
      <c r="N386" t="s">
        <v>300</v>
      </c>
      <c r="O386" t="s">
        <v>16373</v>
      </c>
      <c r="P386" t="s">
        <v>12</v>
      </c>
    </row>
    <row r="387">
      <c r="A387">
        <f>HYPERLINK("http://bombeiros.sp.gov.br/hidrantes/03individual/1446.html","1446")</f>
      </c>
      <c r="B387" t="s">
        <v>114</v>
      </c>
      <c r="C387" t="s">
        <v>374</v>
      </c>
      <c r="D387" t="s">
        <v>380</v>
      </c>
      <c r="E387" t="s">
        <v>15</v>
      </c>
      <c r="F387" t="s">
        <v>6364</v>
      </c>
      <c r="G387" t="s">
        <v>18098</v>
      </c>
      <c r="H387" t="s">
        <v>1121</v>
      </c>
      <c r="I387" t="s">
        <v>1117</v>
      </c>
      <c r="J387" t="s">
        <v>6365</v>
      </c>
      <c r="K387" t="s">
        <v>6366</v>
      </c>
      <c r="L387" t="s">
        <v>21</v>
      </c>
      <c r="M387" t="s">
        <v>19177</v>
      </c>
      <c r="N387" t="s">
        <v>300</v>
      </c>
      <c r="O387" t="s">
        <v>16373</v>
      </c>
      <c r="P387" t="s">
        <v>12</v>
      </c>
    </row>
    <row r="388">
      <c r="A388">
        <f>HYPERLINK("http://bombeiros.sp.gov.br/hidrantes/03individual/3319.html","3319")</f>
      </c>
      <c r="B388" t="s">
        <v>114</v>
      </c>
      <c r="C388" t="s">
        <v>374</v>
      </c>
      <c r="D388" t="s">
        <v>380</v>
      </c>
      <c r="E388" t="s">
        <v>15</v>
      </c>
      <c r="F388" t="s">
        <v>6394</v>
      </c>
      <c r="G388" t="s">
        <v>18089</v>
      </c>
      <c r="H388" t="s">
        <v>1121</v>
      </c>
      <c r="I388" t="s">
        <v>1117</v>
      </c>
      <c r="J388" t="s">
        <v>6395</v>
      </c>
      <c r="K388" t="s">
        <v>6396</v>
      </c>
      <c r="L388" t="s">
        <v>21</v>
      </c>
      <c r="M388" t="s">
        <v>19177</v>
      </c>
      <c r="N388" t="s">
        <v>300</v>
      </c>
      <c r="O388" t="s">
        <v>16373</v>
      </c>
      <c r="P388" t="s">
        <v>12</v>
      </c>
    </row>
    <row r="389">
      <c r="A389">
        <f>HYPERLINK("http://bombeiros.sp.gov.br/hidrantes/03individual/3295.html","3295")</f>
      </c>
      <c r="B389" t="s">
        <v>114</v>
      </c>
      <c r="C389" t="s">
        <v>374</v>
      </c>
      <c r="D389" t="s">
        <v>395</v>
      </c>
      <c r="E389" t="s">
        <v>64</v>
      </c>
      <c r="F389" t="s">
        <v>6418</v>
      </c>
      <c r="G389" t="s">
        <v>18082</v>
      </c>
      <c r="H389" t="s">
        <v>1121</v>
      </c>
      <c r="I389" t="s">
        <v>1117</v>
      </c>
      <c r="J389" t="s">
        <v>17305</v>
      </c>
      <c r="K389" t="s">
        <v>17306</v>
      </c>
      <c r="L389" t="s">
        <v>21</v>
      </c>
      <c r="M389" t="s">
        <v>19177</v>
      </c>
      <c r="N389" t="s">
        <v>300</v>
      </c>
      <c r="O389" t="s">
        <v>16373</v>
      </c>
      <c r="P389" t="s">
        <v>12</v>
      </c>
    </row>
    <row r="390">
      <c r="A390">
        <f>HYPERLINK("http://bombeiros.sp.gov.br/hidrantes/03individual/27351.html","27351")</f>
      </c>
      <c r="B390" t="s">
        <v>114</v>
      </c>
      <c r="C390" t="s">
        <v>374</v>
      </c>
      <c r="D390" t="s">
        <v>395</v>
      </c>
      <c r="E390" t="s">
        <v>64</v>
      </c>
      <c r="F390" t="s">
        <v>6430</v>
      </c>
      <c r="G390" t="s">
        <v>18205</v>
      </c>
      <c r="H390" t="s">
        <v>1121</v>
      </c>
      <c r="I390" t="s">
        <v>1117</v>
      </c>
      <c r="J390" t="s">
        <v>17194</v>
      </c>
      <c r="K390" t="s">
        <v>17195</v>
      </c>
      <c r="L390" t="s">
        <v>21</v>
      </c>
      <c r="M390" t="s">
        <v>19177</v>
      </c>
      <c r="N390" t="s">
        <v>300</v>
      </c>
      <c r="O390" t="s">
        <v>16373</v>
      </c>
      <c r="P390" t="s">
        <v>12</v>
      </c>
    </row>
    <row r="391">
      <c r="A391">
        <f>HYPERLINK("http://bombeiros.sp.gov.br/hidrantes/03individual/1821.html","1821")</f>
      </c>
      <c r="B391" t="s">
        <v>114</v>
      </c>
      <c r="C391" t="s">
        <v>374</v>
      </c>
      <c r="D391" t="s">
        <v>395</v>
      </c>
      <c r="E391" t="s">
        <v>15</v>
      </c>
      <c r="F391" t="s">
        <v>6430</v>
      </c>
      <c r="G391" t="s">
        <v>18205</v>
      </c>
      <c r="H391" t="s">
        <v>1121</v>
      </c>
      <c r="I391" t="s">
        <v>1117</v>
      </c>
      <c r="J391" t="s">
        <v>6431</v>
      </c>
      <c r="K391" t="s">
        <v>6432</v>
      </c>
      <c r="L391" t="s">
        <v>21</v>
      </c>
      <c r="M391" t="s">
        <v>19177</v>
      </c>
      <c r="N391" t="s">
        <v>300</v>
      </c>
      <c r="O391" t="s">
        <v>16373</v>
      </c>
      <c r="P391" t="s">
        <v>12</v>
      </c>
    </row>
    <row r="392">
      <c r="A392">
        <f>HYPERLINK("http://bombeiros.sp.gov.br/hidrantes/03individual/1825.html","1825")</f>
      </c>
      <c r="B392" t="s">
        <v>114</v>
      </c>
      <c r="C392" t="s">
        <v>374</v>
      </c>
      <c r="D392" t="s">
        <v>395</v>
      </c>
      <c r="E392" t="s">
        <v>15</v>
      </c>
      <c r="F392" t="s">
        <v>6436</v>
      </c>
      <c r="G392" t="s">
        <v>18082</v>
      </c>
      <c r="H392" t="s">
        <v>1121</v>
      </c>
      <c r="I392" t="s">
        <v>1117</v>
      </c>
      <c r="J392" t="s">
        <v>6437</v>
      </c>
      <c r="K392" t="s">
        <v>6438</v>
      </c>
      <c r="L392" t="s">
        <v>21</v>
      </c>
      <c r="M392" t="s">
        <v>19177</v>
      </c>
      <c r="N392" t="s">
        <v>300</v>
      </c>
      <c r="O392" t="s">
        <v>16373</v>
      </c>
      <c r="P392" t="s">
        <v>12</v>
      </c>
    </row>
    <row r="393">
      <c r="A393">
        <f>HYPERLINK("http://bombeiros.sp.gov.br/hidrantes/03individual/1828.html","1828")</f>
      </c>
      <c r="B393" t="s">
        <v>114</v>
      </c>
      <c r="C393" t="s">
        <v>374</v>
      </c>
      <c r="D393" t="s">
        <v>395</v>
      </c>
      <c r="E393" t="s">
        <v>15</v>
      </c>
      <c r="F393" t="s">
        <v>6445</v>
      </c>
      <c r="G393" t="s">
        <v>18205</v>
      </c>
      <c r="H393" t="s">
        <v>1121</v>
      </c>
      <c r="I393" t="s">
        <v>1117</v>
      </c>
      <c r="J393" t="s">
        <v>6446</v>
      </c>
      <c r="K393" t="s">
        <v>6447</v>
      </c>
      <c r="L393" t="s">
        <v>21</v>
      </c>
      <c r="M393" t="s">
        <v>19177</v>
      </c>
      <c r="N393" t="s">
        <v>300</v>
      </c>
      <c r="O393" t="s">
        <v>16373</v>
      </c>
      <c r="P393" t="s">
        <v>12</v>
      </c>
    </row>
    <row r="394">
      <c r="A394">
        <f>HYPERLINK("http://bombeiros.sp.gov.br/hidrantes/03individual/3285.html","3285")</f>
      </c>
      <c r="B394" t="s">
        <v>114</v>
      </c>
      <c r="C394" t="s">
        <v>374</v>
      </c>
      <c r="D394" t="s">
        <v>395</v>
      </c>
      <c r="E394" t="s">
        <v>15</v>
      </c>
      <c r="F394" t="s">
        <v>6458</v>
      </c>
      <c r="G394" t="s">
        <v>18205</v>
      </c>
      <c r="H394" t="s">
        <v>1121</v>
      </c>
      <c r="I394" t="s">
        <v>1117</v>
      </c>
      <c r="J394" t="s">
        <v>6459</v>
      </c>
      <c r="K394" t="s">
        <v>6460</v>
      </c>
      <c r="L394" t="s">
        <v>21</v>
      </c>
      <c r="M394" t="s">
        <v>19177</v>
      </c>
      <c r="N394" t="s">
        <v>300</v>
      </c>
      <c r="O394" t="s">
        <v>16373</v>
      </c>
      <c r="P394" t="s">
        <v>12</v>
      </c>
    </row>
    <row r="395">
      <c r="A395">
        <f>HYPERLINK("http://bombeiros.sp.gov.br/hidrantes/03individual/1443.html","1443")</f>
      </c>
      <c r="B395" t="s">
        <v>114</v>
      </c>
      <c r="C395" t="s">
        <v>374</v>
      </c>
      <c r="D395" t="s">
        <v>374</v>
      </c>
      <c r="E395" t="s">
        <v>15</v>
      </c>
      <c r="F395" t="s">
        <v>6479</v>
      </c>
      <c r="G395" t="s">
        <v>18089</v>
      </c>
      <c r="H395" t="s">
        <v>1121</v>
      </c>
      <c r="I395" t="s">
        <v>1117</v>
      </c>
      <c r="J395" t="s">
        <v>6480</v>
      </c>
      <c r="K395" t="s">
        <v>6481</v>
      </c>
      <c r="L395" t="s">
        <v>21</v>
      </c>
      <c r="M395" t="s">
        <v>19177</v>
      </c>
      <c r="N395" t="s">
        <v>300</v>
      </c>
      <c r="O395" t="s">
        <v>16373</v>
      </c>
      <c r="P395" t="s">
        <v>12</v>
      </c>
    </row>
    <row r="396">
      <c r="A396">
        <f>HYPERLINK("http://bombeiros.sp.gov.br/hidrantes/03individual/3311.html","3311")</f>
      </c>
      <c r="B396" t="s">
        <v>114</v>
      </c>
      <c r="C396" t="s">
        <v>374</v>
      </c>
      <c r="D396" t="s">
        <v>374</v>
      </c>
      <c r="E396" t="s">
        <v>15</v>
      </c>
      <c r="F396" t="s">
        <v>6500</v>
      </c>
      <c r="G396" t="s">
        <v>18055</v>
      </c>
      <c r="H396" t="s">
        <v>1121</v>
      </c>
      <c r="I396" t="s">
        <v>1117</v>
      </c>
      <c r="J396" t="s">
        <v>6501</v>
      </c>
      <c r="K396" t="s">
        <v>6502</v>
      </c>
      <c r="L396" t="s">
        <v>21</v>
      </c>
      <c r="M396" t="s">
        <v>19177</v>
      </c>
      <c r="N396" t="s">
        <v>300</v>
      </c>
      <c r="O396" t="s">
        <v>16373</v>
      </c>
      <c r="P396" t="s">
        <v>12</v>
      </c>
    </row>
    <row r="397">
      <c r="A397">
        <f>HYPERLINK("http://bombeiros.sp.gov.br/hidrantes/03individual/26930.html","26930")</f>
      </c>
      <c r="B397" t="s">
        <v>114</v>
      </c>
      <c r="C397" t="s">
        <v>399</v>
      </c>
      <c r="D397" t="s">
        <v>400</v>
      </c>
      <c r="E397" t="s">
        <v>64</v>
      </c>
      <c r="F397" t="s">
        <v>16422</v>
      </c>
      <c r="G397" t="s">
        <v>18085</v>
      </c>
      <c r="H397" t="s">
        <v>1121</v>
      </c>
      <c r="I397" t="s">
        <v>1117</v>
      </c>
      <c r="J397" t="s">
        <v>16423</v>
      </c>
      <c r="K397" t="s">
        <v>16424</v>
      </c>
      <c r="L397" t="s">
        <v>21</v>
      </c>
      <c r="M397" t="s">
        <v>19177</v>
      </c>
      <c r="N397" t="s">
        <v>6029</v>
      </c>
      <c r="O397" t="s">
        <v>6029</v>
      </c>
      <c r="P397" t="s">
        <v>114</v>
      </c>
    </row>
    <row r="398">
      <c r="A398">
        <f>HYPERLINK("http://bombeiros.sp.gov.br/hidrantes/03individual/3365.html","3365")</f>
      </c>
      <c r="B398" t="s">
        <v>114</v>
      </c>
      <c r="C398" t="s">
        <v>399</v>
      </c>
      <c r="D398" t="s">
        <v>400</v>
      </c>
      <c r="E398" t="s">
        <v>15</v>
      </c>
      <c r="F398" t="s">
        <v>6518</v>
      </c>
      <c r="G398" t="s">
        <v>18069</v>
      </c>
      <c r="H398" t="s">
        <v>1121</v>
      </c>
      <c r="I398" t="s">
        <v>1117</v>
      </c>
      <c r="J398" t="s">
        <v>6519</v>
      </c>
      <c r="K398" t="s">
        <v>6520</v>
      </c>
      <c r="L398" t="s">
        <v>36</v>
      </c>
      <c r="M398" t="s">
        <v>19177</v>
      </c>
      <c r="N398" t="s">
        <v>6029</v>
      </c>
      <c r="O398" t="s">
        <v>6029</v>
      </c>
      <c r="P398" t="s">
        <v>114</v>
      </c>
    </row>
    <row r="399">
      <c r="A399">
        <f>HYPERLINK("http://bombeiros.sp.gov.br/hidrantes/03individual/3431.html","3431")</f>
      </c>
      <c r="B399" t="s">
        <v>114</v>
      </c>
      <c r="C399" t="s">
        <v>399</v>
      </c>
      <c r="D399" t="s">
        <v>400</v>
      </c>
      <c r="E399" t="s">
        <v>15</v>
      </c>
      <c r="F399" t="s">
        <v>401</v>
      </c>
      <c r="G399" t="s">
        <v>18115</v>
      </c>
      <c r="H399" t="s">
        <v>1121</v>
      </c>
      <c r="I399" t="s">
        <v>1117</v>
      </c>
      <c r="J399" t="s">
        <v>402</v>
      </c>
      <c r="K399" t="s">
        <v>403</v>
      </c>
      <c r="L399" t="s">
        <v>21</v>
      </c>
      <c r="M399" t="s">
        <v>19177</v>
      </c>
      <c r="N399" t="s">
        <v>272</v>
      </c>
      <c r="O399" t="s">
        <v>272</v>
      </c>
      <c r="P399" t="s">
        <v>114</v>
      </c>
    </row>
    <row r="400">
      <c r="A400">
        <f>HYPERLINK("http://bombeiros.sp.gov.br/hidrantes/03individual/3354.html","3354")</f>
      </c>
      <c r="B400" t="s">
        <v>114</v>
      </c>
      <c r="C400" t="s">
        <v>399</v>
      </c>
      <c r="D400" t="s">
        <v>399</v>
      </c>
      <c r="E400" t="s">
        <v>64</v>
      </c>
      <c r="F400" t="s">
        <v>6539</v>
      </c>
      <c r="G400" t="s">
        <v>18564</v>
      </c>
      <c r="H400" t="s">
        <v>1121</v>
      </c>
      <c r="I400" t="s">
        <v>1117</v>
      </c>
      <c r="J400" t="s">
        <v>6540</v>
      </c>
      <c r="K400" t="s">
        <v>6541</v>
      </c>
      <c r="L400" t="s">
        <v>21</v>
      </c>
      <c r="M400" t="s">
        <v>19177</v>
      </c>
      <c r="N400" t="s">
        <v>6029</v>
      </c>
      <c r="O400" t="s">
        <v>6029</v>
      </c>
      <c r="P400" t="s">
        <v>114</v>
      </c>
    </row>
    <row r="401">
      <c r="A401">
        <f>HYPERLINK("http://bombeiros.sp.gov.br/hidrantes/03individual/17794.html","17794")</f>
      </c>
      <c r="B401" t="s">
        <v>114</v>
      </c>
      <c r="C401" t="s">
        <v>399</v>
      </c>
      <c r="D401" t="s">
        <v>399</v>
      </c>
      <c r="E401" t="s">
        <v>15</v>
      </c>
      <c r="F401" t="s">
        <v>6575</v>
      </c>
      <c r="G401" t="s">
        <v>18092</v>
      </c>
      <c r="H401" t="s">
        <v>1121</v>
      </c>
      <c r="I401" t="s">
        <v>1117</v>
      </c>
      <c r="J401" t="s">
        <v>6576</v>
      </c>
      <c r="K401" t="s">
        <v>6577</v>
      </c>
      <c r="L401" t="s">
        <v>21</v>
      </c>
      <c r="M401" t="s">
        <v>19177</v>
      </c>
      <c r="N401" t="s">
        <v>6029</v>
      </c>
      <c r="O401" t="s">
        <v>6029</v>
      </c>
      <c r="P401" t="s">
        <v>114</v>
      </c>
    </row>
    <row r="402">
      <c r="A402">
        <f>HYPERLINK("http://bombeiros.sp.gov.br/hidrantes/03individual/26862.html","26862")</f>
      </c>
      <c r="B402" t="s">
        <v>114</v>
      </c>
      <c r="C402" t="s">
        <v>399</v>
      </c>
      <c r="D402" t="s">
        <v>399</v>
      </c>
      <c r="E402" t="s">
        <v>15</v>
      </c>
      <c r="F402" t="s">
        <v>16229</v>
      </c>
      <c r="G402" t="s">
        <v>18092</v>
      </c>
      <c r="H402" t="s">
        <v>1121</v>
      </c>
      <c r="I402" t="s">
        <v>1117</v>
      </c>
      <c r="J402" t="s">
        <v>16230</v>
      </c>
      <c r="K402" t="s">
        <v>16231</v>
      </c>
      <c r="L402" t="s">
        <v>21</v>
      </c>
      <c r="M402" t="s">
        <v>19177</v>
      </c>
      <c r="N402" t="s">
        <v>6029</v>
      </c>
      <c r="O402" t="s">
        <v>6029</v>
      </c>
      <c r="P402" t="s">
        <v>114</v>
      </c>
    </row>
    <row r="403">
      <c r="A403">
        <f>HYPERLINK("http://bombeiros.sp.gov.br/hidrantes/03individual/1021.html","1021")</f>
      </c>
      <c r="B403" t="s">
        <v>114</v>
      </c>
      <c r="C403" t="s">
        <v>333</v>
      </c>
      <c r="D403" t="s">
        <v>407</v>
      </c>
      <c r="E403" t="s">
        <v>64</v>
      </c>
      <c r="F403" t="s">
        <v>6587</v>
      </c>
      <c r="G403" t="s">
        <v>18089</v>
      </c>
      <c r="H403" t="s">
        <v>1121</v>
      </c>
      <c r="I403" t="s">
        <v>1117</v>
      </c>
      <c r="J403" t="s">
        <v>6588</v>
      </c>
      <c r="K403" t="s">
        <v>6589</v>
      </c>
      <c r="L403" t="s">
        <v>36</v>
      </c>
      <c r="M403" t="s">
        <v>19177</v>
      </c>
      <c r="N403" t="s">
        <v>300</v>
      </c>
      <c r="O403" t="s">
        <v>16373</v>
      </c>
      <c r="P403" t="s">
        <v>12</v>
      </c>
    </row>
    <row r="404">
      <c r="A404">
        <f>HYPERLINK("http://bombeiros.sp.gov.br/hidrantes/03individual/3327.html","3327")</f>
      </c>
      <c r="B404" t="s">
        <v>114</v>
      </c>
      <c r="C404" t="s">
        <v>333</v>
      </c>
      <c r="D404" t="s">
        <v>407</v>
      </c>
      <c r="E404" t="s">
        <v>64</v>
      </c>
      <c r="F404" t="s">
        <v>6602</v>
      </c>
      <c r="G404" t="s">
        <v>18130</v>
      </c>
      <c r="H404" t="s">
        <v>1121</v>
      </c>
      <c r="I404" t="s">
        <v>1117</v>
      </c>
      <c r="J404" t="s">
        <v>6603</v>
      </c>
      <c r="K404" t="s">
        <v>6604</v>
      </c>
      <c r="L404" t="s">
        <v>36</v>
      </c>
      <c r="M404" t="s">
        <v>19177</v>
      </c>
      <c r="N404" t="s">
        <v>300</v>
      </c>
      <c r="O404" t="s">
        <v>16373</v>
      </c>
      <c r="P404" t="s">
        <v>12</v>
      </c>
    </row>
    <row r="405">
      <c r="A405">
        <f>HYPERLINK("http://bombeiros.sp.gov.br/hidrantes/03individual/26433.html","26433")</f>
      </c>
      <c r="B405" t="s">
        <v>114</v>
      </c>
      <c r="C405" t="s">
        <v>333</v>
      </c>
      <c r="D405" t="s">
        <v>407</v>
      </c>
      <c r="E405" t="s">
        <v>64</v>
      </c>
      <c r="F405" t="s">
        <v>6615</v>
      </c>
      <c r="G405" t="s">
        <v>18074</v>
      </c>
      <c r="H405" t="s">
        <v>1121</v>
      </c>
      <c r="I405" t="s">
        <v>1117</v>
      </c>
      <c r="J405" t="s">
        <v>6618</v>
      </c>
      <c r="K405" t="s">
        <v>6619</v>
      </c>
      <c r="L405" t="s">
        <v>21</v>
      </c>
      <c r="M405" t="s">
        <v>19177</v>
      </c>
      <c r="N405" t="s">
        <v>300</v>
      </c>
      <c r="O405" t="s">
        <v>16373</v>
      </c>
      <c r="P405" t="s">
        <v>12</v>
      </c>
    </row>
    <row r="406">
      <c r="A406">
        <f>HYPERLINK("http://bombeiros.sp.gov.br/hidrantes/03individual/26436.html","26436")</f>
      </c>
      <c r="B406" t="s">
        <v>114</v>
      </c>
      <c r="C406" t="s">
        <v>333</v>
      </c>
      <c r="D406" t="s">
        <v>407</v>
      </c>
      <c r="E406" t="s">
        <v>64</v>
      </c>
      <c r="F406" t="s">
        <v>6624</v>
      </c>
      <c r="G406" t="s">
        <v>18074</v>
      </c>
      <c r="H406" t="s">
        <v>1121</v>
      </c>
      <c r="I406" t="s">
        <v>1117</v>
      </c>
      <c r="J406" t="s">
        <v>6625</v>
      </c>
      <c r="K406" t="s">
        <v>6626</v>
      </c>
      <c r="L406" t="s">
        <v>21</v>
      </c>
      <c r="M406" t="s">
        <v>19177</v>
      </c>
      <c r="N406" t="s">
        <v>300</v>
      </c>
      <c r="O406" t="s">
        <v>16373</v>
      </c>
      <c r="P406" t="s">
        <v>12</v>
      </c>
    </row>
    <row r="407">
      <c r="A407">
        <f>HYPERLINK("http://bombeiros.sp.gov.br/hidrantes/03individual/3107.html","3107")</f>
      </c>
      <c r="B407" t="s">
        <v>114</v>
      </c>
      <c r="C407" t="s">
        <v>333</v>
      </c>
      <c r="D407" t="s">
        <v>407</v>
      </c>
      <c r="E407" t="s">
        <v>15</v>
      </c>
      <c r="F407" t="s">
        <v>411</v>
      </c>
      <c r="G407" t="s">
        <v>18076</v>
      </c>
      <c r="H407" t="s">
        <v>1121</v>
      </c>
      <c r="I407" t="s">
        <v>1117</v>
      </c>
      <c r="J407" t="s">
        <v>412</v>
      </c>
      <c r="K407" t="s">
        <v>413</v>
      </c>
      <c r="L407" t="s">
        <v>21</v>
      </c>
      <c r="M407" t="s">
        <v>19177</v>
      </c>
      <c r="N407" t="s">
        <v>300</v>
      </c>
      <c r="O407" t="s">
        <v>16373</v>
      </c>
      <c r="P407" t="s">
        <v>12</v>
      </c>
    </row>
    <row r="408">
      <c r="A408">
        <f>HYPERLINK("http://bombeiros.sp.gov.br/hidrantes/03individual/4302.html","4302")</f>
      </c>
      <c r="B408" t="s">
        <v>114</v>
      </c>
      <c r="C408" t="s">
        <v>333</v>
      </c>
      <c r="D408" t="s">
        <v>407</v>
      </c>
      <c r="E408" t="s">
        <v>15</v>
      </c>
      <c r="F408" t="s">
        <v>6666</v>
      </c>
      <c r="G408" t="s">
        <v>18130</v>
      </c>
      <c r="H408" t="s">
        <v>1121</v>
      </c>
      <c r="I408" t="s">
        <v>1117</v>
      </c>
      <c r="J408" t="s">
        <v>6667</v>
      </c>
      <c r="K408" t="s">
        <v>6668</v>
      </c>
      <c r="L408" t="s">
        <v>21</v>
      </c>
      <c r="M408" t="s">
        <v>19177</v>
      </c>
      <c r="N408" t="s">
        <v>300</v>
      </c>
      <c r="O408" t="s">
        <v>16373</v>
      </c>
      <c r="P408" t="s">
        <v>12</v>
      </c>
    </row>
    <row r="409">
      <c r="A409">
        <f>HYPERLINK("http://bombeiros.sp.gov.br/hidrantes/03individual/3100.html","3100")</f>
      </c>
      <c r="B409" t="s">
        <v>114</v>
      </c>
      <c r="C409" t="s">
        <v>333</v>
      </c>
      <c r="D409" t="s">
        <v>333</v>
      </c>
      <c r="E409" t="s">
        <v>15</v>
      </c>
      <c r="F409" t="s">
        <v>6705</v>
      </c>
      <c r="G409" t="s">
        <v>18062</v>
      </c>
      <c r="H409" t="s">
        <v>1121</v>
      </c>
      <c r="I409" t="s">
        <v>1117</v>
      </c>
      <c r="J409" t="s">
        <v>6706</v>
      </c>
      <c r="K409" t="s">
        <v>6707</v>
      </c>
      <c r="L409" t="s">
        <v>21</v>
      </c>
      <c r="M409" t="s">
        <v>19177</v>
      </c>
      <c r="N409" t="s">
        <v>300</v>
      </c>
      <c r="O409" t="s">
        <v>16373</v>
      </c>
      <c r="P409" t="s">
        <v>12</v>
      </c>
    </row>
    <row r="410">
      <c r="A410">
        <f>HYPERLINK("http://bombeiros.sp.gov.br/hidrantes/03individual/3306.html","3306")</f>
      </c>
      <c r="B410" t="s">
        <v>114</v>
      </c>
      <c r="C410" t="s">
        <v>333</v>
      </c>
      <c r="D410" t="s">
        <v>333</v>
      </c>
      <c r="E410" t="s">
        <v>15</v>
      </c>
      <c r="F410" t="s">
        <v>6723</v>
      </c>
      <c r="G410" t="s">
        <v>18192</v>
      </c>
      <c r="H410" t="s">
        <v>1121</v>
      </c>
      <c r="I410" t="s">
        <v>1117</v>
      </c>
      <c r="J410" t="s">
        <v>6724</v>
      </c>
      <c r="K410" t="s">
        <v>6725</v>
      </c>
      <c r="L410" t="s">
        <v>21</v>
      </c>
      <c r="M410" t="s">
        <v>19177</v>
      </c>
      <c r="N410" t="s">
        <v>300</v>
      </c>
      <c r="O410" t="s">
        <v>16373</v>
      </c>
      <c r="P410" t="s">
        <v>12</v>
      </c>
    </row>
    <row r="411">
      <c r="A411">
        <f>HYPERLINK("http://bombeiros.sp.gov.br/hidrantes/03individual/3458.html","3458")</f>
      </c>
      <c r="B411" t="s">
        <v>114</v>
      </c>
      <c r="C411" t="s">
        <v>421</v>
      </c>
      <c r="D411" t="s">
        <v>6768</v>
      </c>
      <c r="E411" t="s">
        <v>64</v>
      </c>
      <c r="F411" t="s">
        <v>6769</v>
      </c>
      <c r="G411" t="s">
        <v>18097</v>
      </c>
      <c r="H411" t="s">
        <v>1121</v>
      </c>
      <c r="I411" t="s">
        <v>1117</v>
      </c>
      <c r="J411" t="s">
        <v>6770</v>
      </c>
      <c r="K411" t="s">
        <v>6771</v>
      </c>
      <c r="L411" t="s">
        <v>36</v>
      </c>
      <c r="M411" t="s">
        <v>19177</v>
      </c>
      <c r="N411" t="s">
        <v>272</v>
      </c>
      <c r="O411" t="s">
        <v>272</v>
      </c>
      <c r="P411" t="s">
        <v>114</v>
      </c>
    </row>
    <row r="412">
      <c r="A412">
        <f>HYPERLINK("http://bombeiros.sp.gov.br/hidrantes/03individual/17860.html","17860")</f>
      </c>
      <c r="B412" t="s">
        <v>114</v>
      </c>
      <c r="C412" t="s">
        <v>421</v>
      </c>
      <c r="D412" t="s">
        <v>6768</v>
      </c>
      <c r="E412" t="s">
        <v>64</v>
      </c>
      <c r="F412" t="s">
        <v>6772</v>
      </c>
      <c r="G412" t="s">
        <v>18097</v>
      </c>
      <c r="H412" t="s">
        <v>1121</v>
      </c>
      <c r="I412" t="s">
        <v>1117</v>
      </c>
      <c r="J412" t="s">
        <v>6773</v>
      </c>
      <c r="K412" t="s">
        <v>6774</v>
      </c>
      <c r="L412" t="s">
        <v>21</v>
      </c>
      <c r="M412" t="s">
        <v>19177</v>
      </c>
      <c r="N412" t="s">
        <v>6029</v>
      </c>
      <c r="O412" t="s">
        <v>6029</v>
      </c>
      <c r="P412" t="s">
        <v>114</v>
      </c>
    </row>
    <row r="413">
      <c r="A413">
        <f>HYPERLINK("http://bombeiros.sp.gov.br/hidrantes/03individual/4326.html","4326")</f>
      </c>
      <c r="B413" t="s">
        <v>114</v>
      </c>
      <c r="C413" t="s">
        <v>421</v>
      </c>
      <c r="D413" t="s">
        <v>6775</v>
      </c>
      <c r="E413" t="s">
        <v>64</v>
      </c>
      <c r="F413" t="s">
        <v>6782</v>
      </c>
      <c r="G413" t="s">
        <v>18117</v>
      </c>
      <c r="H413" t="s">
        <v>1121</v>
      </c>
      <c r="I413" t="s">
        <v>1117</v>
      </c>
      <c r="J413" t="s">
        <v>6783</v>
      </c>
      <c r="K413" t="s">
        <v>6784</v>
      </c>
      <c r="L413" t="s">
        <v>36</v>
      </c>
      <c r="M413" t="s">
        <v>19177</v>
      </c>
      <c r="N413" t="s">
        <v>309</v>
      </c>
      <c r="O413" t="s">
        <v>6029</v>
      </c>
      <c r="P413" t="s">
        <v>114</v>
      </c>
    </row>
    <row r="414">
      <c r="A414">
        <f>HYPERLINK("http://bombeiros.sp.gov.br/hidrantes/03individual/1896.html","1896")</f>
      </c>
      <c r="B414" t="s">
        <v>114</v>
      </c>
      <c r="C414" t="s">
        <v>421</v>
      </c>
      <c r="D414" t="s">
        <v>6775</v>
      </c>
      <c r="E414" t="s">
        <v>15</v>
      </c>
      <c r="F414" t="s">
        <v>6791</v>
      </c>
      <c r="G414" t="s">
        <v>18117</v>
      </c>
      <c r="H414" t="s">
        <v>1121</v>
      </c>
      <c r="I414" t="s">
        <v>1117</v>
      </c>
      <c r="J414" t="s">
        <v>6792</v>
      </c>
      <c r="K414" t="s">
        <v>6793</v>
      </c>
      <c r="L414" t="s">
        <v>21</v>
      </c>
      <c r="M414" t="s">
        <v>19177</v>
      </c>
      <c r="N414" t="s">
        <v>309</v>
      </c>
      <c r="O414" t="s">
        <v>6029</v>
      </c>
      <c r="P414" t="s">
        <v>114</v>
      </c>
    </row>
    <row r="415">
      <c r="A415">
        <f>HYPERLINK("http://bombeiros.sp.gov.br/hidrantes/03individual/820.html","820")</f>
      </c>
      <c r="B415" t="s">
        <v>114</v>
      </c>
      <c r="C415" t="s">
        <v>421</v>
      </c>
      <c r="D415" t="s">
        <v>422</v>
      </c>
      <c r="E415" t="s">
        <v>64</v>
      </c>
      <c r="F415" t="s">
        <v>6800</v>
      </c>
      <c r="G415" t="s">
        <v>18069</v>
      </c>
      <c r="H415" t="s">
        <v>1121</v>
      </c>
      <c r="I415" t="s">
        <v>1117</v>
      </c>
      <c r="J415" t="s">
        <v>6801</v>
      </c>
      <c r="K415" t="s">
        <v>6802</v>
      </c>
      <c r="L415" t="s">
        <v>21</v>
      </c>
      <c r="M415" t="s">
        <v>19177</v>
      </c>
      <c r="N415" t="s">
        <v>6029</v>
      </c>
      <c r="O415" t="s">
        <v>6029</v>
      </c>
      <c r="P415" t="s">
        <v>114</v>
      </c>
    </row>
    <row r="416">
      <c r="A416">
        <f>HYPERLINK("http://bombeiros.sp.gov.br/hidrantes/03individual/3523.html","3523")</f>
      </c>
      <c r="B416" t="s">
        <v>114</v>
      </c>
      <c r="C416" t="s">
        <v>421</v>
      </c>
      <c r="D416" t="s">
        <v>422</v>
      </c>
      <c r="E416" t="s">
        <v>15</v>
      </c>
      <c r="F416" t="s">
        <v>6809</v>
      </c>
      <c r="G416" t="s">
        <v>18099</v>
      </c>
      <c r="H416" t="s">
        <v>1121</v>
      </c>
      <c r="I416" t="s">
        <v>1117</v>
      </c>
      <c r="J416" t="s">
        <v>6810</v>
      </c>
      <c r="K416" t="s">
        <v>6811</v>
      </c>
      <c r="L416" t="s">
        <v>21</v>
      </c>
      <c r="M416" t="s">
        <v>19177</v>
      </c>
      <c r="N416" t="s">
        <v>6029</v>
      </c>
      <c r="O416" t="s">
        <v>6029</v>
      </c>
      <c r="P416" t="s">
        <v>114</v>
      </c>
    </row>
    <row r="417">
      <c r="A417">
        <f>HYPERLINK("http://bombeiros.sp.gov.br/hidrantes/03individual/3527.html","3527")</f>
      </c>
      <c r="B417" t="s">
        <v>114</v>
      </c>
      <c r="C417" t="s">
        <v>421</v>
      </c>
      <c r="D417" t="s">
        <v>422</v>
      </c>
      <c r="E417" t="s">
        <v>15</v>
      </c>
      <c r="F417" t="s">
        <v>6812</v>
      </c>
      <c r="G417" t="s">
        <v>18117</v>
      </c>
      <c r="H417" t="s">
        <v>1121</v>
      </c>
      <c r="I417" t="s">
        <v>1117</v>
      </c>
      <c r="J417" t="s">
        <v>6813</v>
      </c>
      <c r="K417" t="s">
        <v>6814</v>
      </c>
      <c r="L417" t="s">
        <v>21</v>
      </c>
      <c r="M417" t="s">
        <v>19177</v>
      </c>
      <c r="N417" t="s">
        <v>6029</v>
      </c>
      <c r="O417" t="s">
        <v>6029</v>
      </c>
      <c r="P417" t="s">
        <v>114</v>
      </c>
    </row>
    <row r="418">
      <c r="A418">
        <f>HYPERLINK("http://bombeiros.sp.gov.br/hidrantes/03individual/3515.html","3515")</f>
      </c>
      <c r="B418" t="s">
        <v>114</v>
      </c>
      <c r="C418" t="s">
        <v>421</v>
      </c>
      <c r="D418" t="s">
        <v>421</v>
      </c>
      <c r="E418" t="s">
        <v>64</v>
      </c>
      <c r="F418" t="s">
        <v>6834</v>
      </c>
      <c r="G418" t="s">
        <v>18085</v>
      </c>
      <c r="H418" t="s">
        <v>1121</v>
      </c>
      <c r="I418" t="s">
        <v>1117</v>
      </c>
      <c r="J418" t="s">
        <v>6835</v>
      </c>
      <c r="K418" t="s">
        <v>6836</v>
      </c>
      <c r="L418" t="s">
        <v>21</v>
      </c>
      <c r="M418" t="s">
        <v>19177</v>
      </c>
      <c r="N418" t="s">
        <v>6029</v>
      </c>
      <c r="O418" t="s">
        <v>6029</v>
      </c>
      <c r="P418" t="s">
        <v>114</v>
      </c>
    </row>
    <row r="419">
      <c r="A419">
        <f>HYPERLINK("http://bombeiros.sp.gov.br/hidrantes/03individual/1989.html","1989")</f>
      </c>
      <c r="B419" t="s">
        <v>114</v>
      </c>
      <c r="C419" t="s">
        <v>421</v>
      </c>
      <c r="D419" t="s">
        <v>421</v>
      </c>
      <c r="E419" t="s">
        <v>15</v>
      </c>
      <c r="F419" t="s">
        <v>6837</v>
      </c>
      <c r="G419" t="s">
        <v>18043</v>
      </c>
      <c r="H419" t="s">
        <v>1121</v>
      </c>
      <c r="I419" t="s">
        <v>1117</v>
      </c>
      <c r="J419" t="s">
        <v>6838</v>
      </c>
      <c r="K419" t="s">
        <v>6839</v>
      </c>
      <c r="L419" t="s">
        <v>21</v>
      </c>
      <c r="M419" t="s">
        <v>19177</v>
      </c>
      <c r="N419" t="s">
        <v>6029</v>
      </c>
      <c r="O419" t="s">
        <v>6029</v>
      </c>
      <c r="P419" t="s">
        <v>114</v>
      </c>
    </row>
    <row r="420">
      <c r="A420">
        <f>HYPERLINK("http://bombeiros.sp.gov.br/hidrantes/03individual/27076.html","27076")</f>
      </c>
      <c r="B420" t="s">
        <v>114</v>
      </c>
      <c r="C420" t="s">
        <v>435</v>
      </c>
      <c r="D420" t="s">
        <v>6846</v>
      </c>
      <c r="E420" t="s">
        <v>64</v>
      </c>
      <c r="F420" t="s">
        <v>16743</v>
      </c>
      <c r="G420" t="s">
        <v>18097</v>
      </c>
      <c r="H420" t="s">
        <v>1121</v>
      </c>
      <c r="I420" t="s">
        <v>1117</v>
      </c>
      <c r="J420" t="s">
        <v>16744</v>
      </c>
      <c r="K420" t="s">
        <v>16745</v>
      </c>
      <c r="L420" t="s">
        <v>21</v>
      </c>
      <c r="M420" t="s">
        <v>19177</v>
      </c>
      <c r="N420" t="s">
        <v>309</v>
      </c>
      <c r="O420" t="s">
        <v>6029</v>
      </c>
      <c r="P420" t="s">
        <v>114</v>
      </c>
    </row>
    <row r="421">
      <c r="A421">
        <f>HYPERLINK("http://bombeiros.sp.gov.br/hidrantes/03individual/1765.html","1765")</f>
      </c>
      <c r="B421" t="s">
        <v>114</v>
      </c>
      <c r="C421" t="s">
        <v>435</v>
      </c>
      <c r="D421" t="s">
        <v>6846</v>
      </c>
      <c r="E421" t="s">
        <v>15</v>
      </c>
      <c r="F421" t="s">
        <v>6892</v>
      </c>
      <c r="G421" t="s">
        <v>18050</v>
      </c>
      <c r="H421" t="s">
        <v>1121</v>
      </c>
      <c r="I421" t="s">
        <v>1117</v>
      </c>
      <c r="J421" t="s">
        <v>6893</v>
      </c>
      <c r="K421" t="s">
        <v>6894</v>
      </c>
      <c r="L421" t="s">
        <v>21</v>
      </c>
      <c r="M421" t="s">
        <v>19177</v>
      </c>
      <c r="N421" t="s">
        <v>16374</v>
      </c>
      <c r="O421" t="s">
        <v>272</v>
      </c>
      <c r="P421" t="s">
        <v>114</v>
      </c>
    </row>
    <row r="422">
      <c r="A422">
        <f>HYPERLINK("http://bombeiros.sp.gov.br/hidrantes/03individual/3061.html","3061")</f>
      </c>
      <c r="B422" t="s">
        <v>114</v>
      </c>
      <c r="C422" t="s">
        <v>435</v>
      </c>
      <c r="D422" t="s">
        <v>6846</v>
      </c>
      <c r="E422" t="s">
        <v>15</v>
      </c>
      <c r="F422" t="s">
        <v>6904</v>
      </c>
      <c r="G422" t="s">
        <v>18078</v>
      </c>
      <c r="H422" t="s">
        <v>1121</v>
      </c>
      <c r="I422" t="s">
        <v>1117</v>
      </c>
      <c r="J422" t="s">
        <v>6905</v>
      </c>
      <c r="K422" t="s">
        <v>6906</v>
      </c>
      <c r="L422" t="s">
        <v>21</v>
      </c>
      <c r="M422" t="s">
        <v>19177</v>
      </c>
      <c r="N422" t="s">
        <v>16374</v>
      </c>
      <c r="O422" t="s">
        <v>272</v>
      </c>
      <c r="P422" t="s">
        <v>114</v>
      </c>
    </row>
    <row r="423">
      <c r="A423">
        <f>HYPERLINK("http://bombeiros.sp.gov.br/hidrantes/03individual/3282.html","3282")</f>
      </c>
      <c r="B423" t="s">
        <v>114</v>
      </c>
      <c r="C423" t="s">
        <v>435</v>
      </c>
      <c r="D423" t="s">
        <v>6846</v>
      </c>
      <c r="E423" t="s">
        <v>15</v>
      </c>
      <c r="F423" t="s">
        <v>6931</v>
      </c>
      <c r="G423" t="s">
        <v>18192</v>
      </c>
      <c r="H423" t="s">
        <v>1121</v>
      </c>
      <c r="I423" t="s">
        <v>1117</v>
      </c>
      <c r="J423" t="s">
        <v>6932</v>
      </c>
      <c r="K423" t="s">
        <v>6933</v>
      </c>
      <c r="L423" t="s">
        <v>21</v>
      </c>
      <c r="M423" t="s">
        <v>19177</v>
      </c>
      <c r="N423" t="s">
        <v>16374</v>
      </c>
      <c r="O423" t="s">
        <v>272</v>
      </c>
      <c r="P423" t="s">
        <v>114</v>
      </c>
    </row>
    <row r="424">
      <c r="A424">
        <f>HYPERLINK("http://bombeiros.sp.gov.br/hidrantes/03individual/27655.html","27655")</f>
      </c>
      <c r="B424" t="s">
        <v>114</v>
      </c>
      <c r="C424" t="s">
        <v>435</v>
      </c>
      <c r="D424" t="s">
        <v>16145</v>
      </c>
      <c r="E424" t="s">
        <v>64</v>
      </c>
      <c r="F424" t="s">
        <v>17560</v>
      </c>
      <c r="G424" t="s">
        <v>18076</v>
      </c>
      <c r="H424" t="s">
        <v>1121</v>
      </c>
      <c r="I424" t="s">
        <v>1117</v>
      </c>
      <c r="J424" t="s">
        <v>17561</v>
      </c>
      <c r="K424" t="s">
        <v>17562</v>
      </c>
      <c r="L424" t="s">
        <v>21</v>
      </c>
      <c r="M424" t="s">
        <v>19177</v>
      </c>
      <c r="N424" t="s">
        <v>16374</v>
      </c>
      <c r="O424" t="s">
        <v>272</v>
      </c>
      <c r="P424" t="s">
        <v>114</v>
      </c>
    </row>
    <row r="425">
      <c r="A425">
        <f>HYPERLINK("http://bombeiros.sp.gov.br/hidrantes/03individual/1372.html","1372")</f>
      </c>
      <c r="B425" t="s">
        <v>114</v>
      </c>
      <c r="C425" t="s">
        <v>435</v>
      </c>
      <c r="D425" t="s">
        <v>16145</v>
      </c>
      <c r="E425" t="s">
        <v>15</v>
      </c>
      <c r="F425" t="s">
        <v>6940</v>
      </c>
      <c r="G425" t="s">
        <v>18076</v>
      </c>
      <c r="H425" t="s">
        <v>1121</v>
      </c>
      <c r="I425" t="s">
        <v>1117</v>
      </c>
      <c r="J425" t="s">
        <v>16052</v>
      </c>
      <c r="K425" t="s">
        <v>16053</v>
      </c>
      <c r="L425" t="s">
        <v>21</v>
      </c>
      <c r="M425" t="s">
        <v>19177</v>
      </c>
      <c r="N425" t="s">
        <v>309</v>
      </c>
      <c r="O425" t="s">
        <v>6029</v>
      </c>
      <c r="P425" t="s">
        <v>114</v>
      </c>
    </row>
    <row r="426">
      <c r="A426">
        <f>HYPERLINK("http://bombeiros.sp.gov.br/hidrantes/03individual/1484.html","1484")</f>
      </c>
      <c r="B426" t="s">
        <v>114</v>
      </c>
      <c r="C426" t="s">
        <v>435</v>
      </c>
      <c r="D426" t="s">
        <v>16145</v>
      </c>
      <c r="E426" t="s">
        <v>15</v>
      </c>
      <c r="F426" t="s">
        <v>6952</v>
      </c>
      <c r="G426" t="s">
        <v>18076</v>
      </c>
      <c r="H426" t="s">
        <v>1121</v>
      </c>
      <c r="I426" t="s">
        <v>1117</v>
      </c>
      <c r="J426" t="s">
        <v>15867</v>
      </c>
      <c r="K426" t="s">
        <v>15868</v>
      </c>
      <c r="L426" t="s">
        <v>21</v>
      </c>
      <c r="M426" t="s">
        <v>19177</v>
      </c>
      <c r="N426" t="s">
        <v>16374</v>
      </c>
      <c r="O426" t="s">
        <v>272</v>
      </c>
      <c r="P426" t="s">
        <v>114</v>
      </c>
    </row>
    <row r="427">
      <c r="A427">
        <f>HYPERLINK("http://bombeiros.sp.gov.br/hidrantes/03individual/1807.html","1807")</f>
      </c>
      <c r="B427" t="s">
        <v>114</v>
      </c>
      <c r="C427" t="s">
        <v>435</v>
      </c>
      <c r="D427" t="s">
        <v>16145</v>
      </c>
      <c r="E427" t="s">
        <v>15</v>
      </c>
      <c r="F427" t="s">
        <v>437</v>
      </c>
      <c r="G427" t="s">
        <v>18149</v>
      </c>
      <c r="H427" t="s">
        <v>1121</v>
      </c>
      <c r="I427" t="s">
        <v>1117</v>
      </c>
      <c r="J427" t="s">
        <v>438</v>
      </c>
      <c r="K427" t="s">
        <v>439</v>
      </c>
      <c r="L427" t="s">
        <v>21</v>
      </c>
      <c r="M427" t="s">
        <v>19177</v>
      </c>
      <c r="N427" t="s">
        <v>309</v>
      </c>
      <c r="O427" t="s">
        <v>6029</v>
      </c>
      <c r="P427" t="s">
        <v>114</v>
      </c>
    </row>
    <row r="428">
      <c r="A428">
        <f>HYPERLINK("http://bombeiros.sp.gov.br/hidrantes/03individual/3193.html","3193")</f>
      </c>
      <c r="B428" t="s">
        <v>114</v>
      </c>
      <c r="C428" t="s">
        <v>435</v>
      </c>
      <c r="D428" t="s">
        <v>16145</v>
      </c>
      <c r="E428" t="s">
        <v>15</v>
      </c>
      <c r="F428" t="s">
        <v>6979</v>
      </c>
      <c r="G428" t="s">
        <v>18094</v>
      </c>
      <c r="H428" t="s">
        <v>1121</v>
      </c>
      <c r="I428" t="s">
        <v>1117</v>
      </c>
      <c r="J428" t="s">
        <v>6980</v>
      </c>
      <c r="K428" t="s">
        <v>6981</v>
      </c>
      <c r="L428" t="s">
        <v>21</v>
      </c>
      <c r="M428" t="s">
        <v>19177</v>
      </c>
      <c r="N428" t="s">
        <v>309</v>
      </c>
      <c r="O428" t="s">
        <v>6029</v>
      </c>
      <c r="P428" t="s">
        <v>114</v>
      </c>
    </row>
    <row r="429">
      <c r="A429">
        <f>HYPERLINK("http://bombeiros.sp.gov.br/hidrantes/03individual/3197.html","3197")</f>
      </c>
      <c r="B429" t="s">
        <v>114</v>
      </c>
      <c r="C429" t="s">
        <v>435</v>
      </c>
      <c r="D429" t="s">
        <v>16145</v>
      </c>
      <c r="E429" t="s">
        <v>15</v>
      </c>
      <c r="F429" t="s">
        <v>6982</v>
      </c>
      <c r="G429" t="s">
        <v>18085</v>
      </c>
      <c r="H429" t="s">
        <v>1121</v>
      </c>
      <c r="I429" t="s">
        <v>1117</v>
      </c>
      <c r="J429" t="s">
        <v>6983</v>
      </c>
      <c r="K429" t="s">
        <v>6984</v>
      </c>
      <c r="L429" t="s">
        <v>21</v>
      </c>
      <c r="M429" t="s">
        <v>19177</v>
      </c>
      <c r="N429" t="s">
        <v>309</v>
      </c>
      <c r="O429" t="s">
        <v>6029</v>
      </c>
      <c r="P429" t="s">
        <v>114</v>
      </c>
    </row>
    <row r="430">
      <c r="A430">
        <f>HYPERLINK("http://bombeiros.sp.gov.br/hidrantes/03individual/3228.html","3228")</f>
      </c>
      <c r="B430" t="s">
        <v>114</v>
      </c>
      <c r="C430" t="s">
        <v>435</v>
      </c>
      <c r="D430" t="s">
        <v>16145</v>
      </c>
      <c r="E430" t="s">
        <v>15</v>
      </c>
      <c r="F430" t="s">
        <v>6994</v>
      </c>
      <c r="G430" t="s">
        <v>18149</v>
      </c>
      <c r="H430" t="s">
        <v>1121</v>
      </c>
      <c r="I430" t="s">
        <v>1117</v>
      </c>
      <c r="J430" t="s">
        <v>6995</v>
      </c>
      <c r="K430" t="s">
        <v>6996</v>
      </c>
      <c r="L430" t="s">
        <v>21</v>
      </c>
      <c r="M430" t="s">
        <v>19177</v>
      </c>
      <c r="N430" t="s">
        <v>16374</v>
      </c>
      <c r="O430" t="s">
        <v>272</v>
      </c>
      <c r="P430" t="s">
        <v>114</v>
      </c>
    </row>
    <row r="431">
      <c r="A431">
        <f>HYPERLINK("http://bombeiros.sp.gov.br/hidrantes/03individual/27045.html","27045")</f>
      </c>
      <c r="B431" t="s">
        <v>114</v>
      </c>
      <c r="C431" t="s">
        <v>435</v>
      </c>
      <c r="D431" t="s">
        <v>16145</v>
      </c>
      <c r="E431" t="s">
        <v>15</v>
      </c>
      <c r="F431" t="s">
        <v>16655</v>
      </c>
      <c r="G431" t="s">
        <v>18085</v>
      </c>
      <c r="H431" t="s">
        <v>1121</v>
      </c>
      <c r="I431" t="s">
        <v>1117</v>
      </c>
      <c r="J431" t="s">
        <v>16656</v>
      </c>
      <c r="K431" t="s">
        <v>16657</v>
      </c>
      <c r="L431" t="s">
        <v>21</v>
      </c>
      <c r="M431" t="s">
        <v>19177</v>
      </c>
      <c r="N431" t="s">
        <v>309</v>
      </c>
      <c r="O431" t="s">
        <v>6029</v>
      </c>
      <c r="P431" t="s">
        <v>114</v>
      </c>
    </row>
    <row r="432">
      <c r="A432">
        <f>HYPERLINK("http://bombeiros.sp.gov.br/hidrantes/03individual/1047.html","1047")</f>
      </c>
      <c r="B432" t="s">
        <v>114</v>
      </c>
      <c r="C432" t="s">
        <v>435</v>
      </c>
      <c r="D432" t="s">
        <v>435</v>
      </c>
      <c r="E432" t="s">
        <v>15</v>
      </c>
      <c r="F432" t="s">
        <v>7006</v>
      </c>
      <c r="G432" t="s">
        <v>18078</v>
      </c>
      <c r="H432" t="s">
        <v>1121</v>
      </c>
      <c r="I432" t="s">
        <v>1117</v>
      </c>
      <c r="J432" t="s">
        <v>7007</v>
      </c>
      <c r="K432" t="s">
        <v>7008</v>
      </c>
      <c r="L432" t="s">
        <v>21</v>
      </c>
      <c r="M432" t="s">
        <v>19177</v>
      </c>
      <c r="N432" t="s">
        <v>16374</v>
      </c>
      <c r="O432" t="s">
        <v>272</v>
      </c>
      <c r="P432" t="s">
        <v>114</v>
      </c>
    </row>
    <row r="433">
      <c r="A433">
        <f>HYPERLINK("http://bombeiros.sp.gov.br/hidrantes/03individual/1480.html","1480")</f>
      </c>
      <c r="B433" t="s">
        <v>114</v>
      </c>
      <c r="C433" t="s">
        <v>435</v>
      </c>
      <c r="D433" t="s">
        <v>435</v>
      </c>
      <c r="E433" t="s">
        <v>15</v>
      </c>
      <c r="F433" t="s">
        <v>7012</v>
      </c>
      <c r="G433" t="s">
        <v>18097</v>
      </c>
      <c r="H433" t="s">
        <v>1121</v>
      </c>
      <c r="I433" t="s">
        <v>1117</v>
      </c>
      <c r="J433" t="s">
        <v>7013</v>
      </c>
      <c r="K433" t="s">
        <v>7014</v>
      </c>
      <c r="L433" t="s">
        <v>21</v>
      </c>
      <c r="M433" t="s">
        <v>19177</v>
      </c>
      <c r="N433" t="s">
        <v>16374</v>
      </c>
      <c r="O433" t="s">
        <v>272</v>
      </c>
      <c r="P433" t="s">
        <v>114</v>
      </c>
    </row>
    <row r="434">
      <c r="A434">
        <f>HYPERLINK("http://bombeiros.sp.gov.br/hidrantes/03individual/1506.html","1506")</f>
      </c>
      <c r="B434" t="s">
        <v>114</v>
      </c>
      <c r="C434" t="s">
        <v>435</v>
      </c>
      <c r="D434" t="s">
        <v>435</v>
      </c>
      <c r="E434" t="s">
        <v>15</v>
      </c>
      <c r="F434" t="s">
        <v>7018</v>
      </c>
      <c r="G434" t="s">
        <v>18065</v>
      </c>
      <c r="H434" t="s">
        <v>1121</v>
      </c>
      <c r="I434" t="s">
        <v>1117</v>
      </c>
      <c r="J434" t="s">
        <v>7019</v>
      </c>
      <c r="K434" t="s">
        <v>7020</v>
      </c>
      <c r="L434" t="s">
        <v>21</v>
      </c>
      <c r="M434" t="s">
        <v>19177</v>
      </c>
      <c r="N434" t="s">
        <v>16374</v>
      </c>
      <c r="O434" t="s">
        <v>272</v>
      </c>
      <c r="P434" t="s">
        <v>114</v>
      </c>
    </row>
    <row r="435">
      <c r="A435">
        <f>HYPERLINK("http://bombeiros.sp.gov.br/hidrantes/03individual/1553.html","1553")</f>
      </c>
      <c r="B435" t="s">
        <v>114</v>
      </c>
      <c r="C435" t="s">
        <v>435</v>
      </c>
      <c r="D435" t="s">
        <v>435</v>
      </c>
      <c r="E435" t="s">
        <v>15</v>
      </c>
      <c r="F435" t="s">
        <v>7027</v>
      </c>
      <c r="G435" t="s">
        <v>18065</v>
      </c>
      <c r="H435" t="s">
        <v>1121</v>
      </c>
      <c r="I435" t="s">
        <v>1117</v>
      </c>
      <c r="J435" t="s">
        <v>7028</v>
      </c>
      <c r="K435" t="s">
        <v>7029</v>
      </c>
      <c r="L435" t="s">
        <v>21</v>
      </c>
      <c r="M435" t="s">
        <v>19177</v>
      </c>
      <c r="N435" t="s">
        <v>16374</v>
      </c>
      <c r="O435" t="s">
        <v>272</v>
      </c>
      <c r="P435" t="s">
        <v>114</v>
      </c>
    </row>
    <row r="436">
      <c r="A436">
        <f>HYPERLINK("http://bombeiros.sp.gov.br/hidrantes/03individual/1681.html","1681")</f>
      </c>
      <c r="B436" t="s">
        <v>114</v>
      </c>
      <c r="C436" t="s">
        <v>435</v>
      </c>
      <c r="D436" t="s">
        <v>435</v>
      </c>
      <c r="E436" t="s">
        <v>15</v>
      </c>
      <c r="F436" t="s">
        <v>7048</v>
      </c>
      <c r="G436" t="s">
        <v>18076</v>
      </c>
      <c r="H436" t="s">
        <v>1121</v>
      </c>
      <c r="I436" t="s">
        <v>1117</v>
      </c>
      <c r="J436" t="s">
        <v>7049</v>
      </c>
      <c r="K436" t="s">
        <v>7050</v>
      </c>
      <c r="L436" t="s">
        <v>21</v>
      </c>
      <c r="M436" t="s">
        <v>19177</v>
      </c>
      <c r="N436" t="s">
        <v>16374</v>
      </c>
      <c r="O436" t="s">
        <v>272</v>
      </c>
      <c r="P436" t="s">
        <v>114</v>
      </c>
    </row>
    <row r="437">
      <c r="A437">
        <f>HYPERLINK("http://bombeiros.sp.gov.br/hidrantes/03individual/3026.html","3026")</f>
      </c>
      <c r="B437" t="s">
        <v>114</v>
      </c>
      <c r="C437" t="s">
        <v>435</v>
      </c>
      <c r="D437" t="s">
        <v>435</v>
      </c>
      <c r="E437" t="s">
        <v>15</v>
      </c>
      <c r="F437" t="s">
        <v>7063</v>
      </c>
      <c r="G437" t="s">
        <v>18097</v>
      </c>
      <c r="H437" t="s">
        <v>1121</v>
      </c>
      <c r="I437" t="s">
        <v>1117</v>
      </c>
      <c r="J437" t="s">
        <v>7064</v>
      </c>
      <c r="K437" t="s">
        <v>7065</v>
      </c>
      <c r="L437" t="s">
        <v>21</v>
      </c>
      <c r="M437" t="s">
        <v>19177</v>
      </c>
      <c r="N437" t="s">
        <v>16374</v>
      </c>
      <c r="O437" t="s">
        <v>272</v>
      </c>
      <c r="P437" t="s">
        <v>114</v>
      </c>
    </row>
    <row r="438">
      <c r="A438">
        <f>HYPERLINK("http://bombeiros.sp.gov.br/hidrantes/03individual/3027.html","3027")</f>
      </c>
      <c r="B438" t="s">
        <v>114</v>
      </c>
      <c r="C438" t="s">
        <v>440</v>
      </c>
      <c r="D438" t="s">
        <v>441</v>
      </c>
      <c r="E438" t="s">
        <v>64</v>
      </c>
      <c r="F438" t="s">
        <v>7093</v>
      </c>
      <c r="G438" t="s">
        <v>18055</v>
      </c>
      <c r="H438" t="s">
        <v>1121</v>
      </c>
      <c r="I438" t="s">
        <v>1117</v>
      </c>
      <c r="J438" t="s">
        <v>7094</v>
      </c>
      <c r="K438" t="s">
        <v>7095</v>
      </c>
      <c r="L438" t="s">
        <v>36</v>
      </c>
      <c r="M438" t="s">
        <v>19177</v>
      </c>
      <c r="N438" t="s">
        <v>300</v>
      </c>
      <c r="O438" t="s">
        <v>16373</v>
      </c>
      <c r="P438" t="s">
        <v>12</v>
      </c>
    </row>
    <row r="439">
      <c r="A439">
        <f>HYPERLINK("http://bombeiros.sp.gov.br/hidrantes/03individual/166.html","166")</f>
      </c>
      <c r="B439" t="s">
        <v>114</v>
      </c>
      <c r="C439" t="s">
        <v>440</v>
      </c>
      <c r="D439" t="s">
        <v>441</v>
      </c>
      <c r="E439" t="s">
        <v>15</v>
      </c>
      <c r="F439" t="s">
        <v>7105</v>
      </c>
      <c r="G439" t="s">
        <v>18196</v>
      </c>
      <c r="H439" t="s">
        <v>1121</v>
      </c>
      <c r="I439" t="s">
        <v>1117</v>
      </c>
      <c r="J439" t="s">
        <v>7106</v>
      </c>
      <c r="K439" t="s">
        <v>7107</v>
      </c>
      <c r="L439" t="s">
        <v>21</v>
      </c>
      <c r="M439" t="s">
        <v>19177</v>
      </c>
      <c r="N439" t="s">
        <v>300</v>
      </c>
      <c r="O439" t="s">
        <v>16373</v>
      </c>
      <c r="P439" t="s">
        <v>12</v>
      </c>
    </row>
    <row r="440">
      <c r="A440">
        <f>HYPERLINK("http://bombeiros.sp.gov.br/hidrantes/03individual/172.html","172")</f>
      </c>
      <c r="B440" t="s">
        <v>114</v>
      </c>
      <c r="C440" t="s">
        <v>440</v>
      </c>
      <c r="D440" t="s">
        <v>441</v>
      </c>
      <c r="E440" t="s">
        <v>15</v>
      </c>
      <c r="F440" t="s">
        <v>7108</v>
      </c>
      <c r="G440" t="s">
        <v>18055</v>
      </c>
      <c r="H440" t="s">
        <v>1121</v>
      </c>
      <c r="I440" t="s">
        <v>1117</v>
      </c>
      <c r="J440" t="s">
        <v>7109</v>
      </c>
      <c r="K440" t="s">
        <v>7110</v>
      </c>
      <c r="L440" t="s">
        <v>21</v>
      </c>
      <c r="M440" t="s">
        <v>19177</v>
      </c>
      <c r="N440" t="s">
        <v>300</v>
      </c>
      <c r="O440" t="s">
        <v>16373</v>
      </c>
      <c r="P440" t="s">
        <v>12</v>
      </c>
    </row>
    <row r="441">
      <c r="A441">
        <f>HYPERLINK("http://bombeiros.sp.gov.br/hidrantes/03individual/3174.html","3174")</f>
      </c>
      <c r="B441" t="s">
        <v>114</v>
      </c>
      <c r="C441" t="s">
        <v>440</v>
      </c>
      <c r="D441" t="s">
        <v>441</v>
      </c>
      <c r="E441" t="s">
        <v>15</v>
      </c>
      <c r="F441" t="s">
        <v>7146</v>
      </c>
      <c r="G441" t="s">
        <v>18046</v>
      </c>
      <c r="H441" t="s">
        <v>1121</v>
      </c>
      <c r="I441" t="s">
        <v>1117</v>
      </c>
      <c r="J441" t="s">
        <v>7147</v>
      </c>
      <c r="K441" t="s">
        <v>7148</v>
      </c>
      <c r="L441" t="s">
        <v>21</v>
      </c>
      <c r="M441" t="s">
        <v>19177</v>
      </c>
      <c r="N441" t="s">
        <v>300</v>
      </c>
      <c r="O441" t="s">
        <v>16373</v>
      </c>
      <c r="P441" t="s">
        <v>12</v>
      </c>
    </row>
    <row r="442">
      <c r="A442">
        <f>HYPERLINK("http://bombeiros.sp.gov.br/hidrantes/03individual/4296.html","4296")</f>
      </c>
      <c r="B442" t="s">
        <v>114</v>
      </c>
      <c r="C442" t="s">
        <v>440</v>
      </c>
      <c r="D442" t="s">
        <v>441</v>
      </c>
      <c r="E442" t="s">
        <v>15</v>
      </c>
      <c r="F442" t="s">
        <v>7152</v>
      </c>
      <c r="G442" t="s">
        <v>18193</v>
      </c>
      <c r="H442" t="s">
        <v>1121</v>
      </c>
      <c r="I442" t="s">
        <v>1117</v>
      </c>
      <c r="J442" t="s">
        <v>7153</v>
      </c>
      <c r="K442" t="s">
        <v>7154</v>
      </c>
      <c r="L442" t="s">
        <v>21</v>
      </c>
      <c r="M442" t="s">
        <v>19177</v>
      </c>
      <c r="N442" t="s">
        <v>300</v>
      </c>
      <c r="O442" t="s">
        <v>16373</v>
      </c>
      <c r="P442" t="s">
        <v>12</v>
      </c>
    </row>
    <row r="443">
      <c r="A443">
        <f>HYPERLINK("http://bombeiros.sp.gov.br/hidrantes/03individual/867.html","867")</f>
      </c>
      <c r="B443" t="s">
        <v>114</v>
      </c>
      <c r="C443" t="s">
        <v>440</v>
      </c>
      <c r="D443" t="s">
        <v>7161</v>
      </c>
      <c r="E443" t="s">
        <v>64</v>
      </c>
      <c r="F443" t="s">
        <v>7166</v>
      </c>
      <c r="G443" t="s">
        <v>18155</v>
      </c>
      <c r="H443" t="s">
        <v>1121</v>
      </c>
      <c r="I443" t="s">
        <v>1117</v>
      </c>
      <c r="J443" t="s">
        <v>7167</v>
      </c>
      <c r="K443" t="s">
        <v>7168</v>
      </c>
      <c r="L443" t="s">
        <v>21</v>
      </c>
      <c r="M443" t="s">
        <v>19177</v>
      </c>
      <c r="N443" t="s">
        <v>300</v>
      </c>
      <c r="O443" t="s">
        <v>16373</v>
      </c>
      <c r="P443" t="s">
        <v>12</v>
      </c>
    </row>
    <row r="444">
      <c r="A444">
        <f>HYPERLINK("http://bombeiros.sp.gov.br/hidrantes/03individual/870.html","870")</f>
      </c>
      <c r="B444" t="s">
        <v>114</v>
      </c>
      <c r="C444" t="s">
        <v>440</v>
      </c>
      <c r="D444" t="s">
        <v>7161</v>
      </c>
      <c r="E444" t="s">
        <v>64</v>
      </c>
      <c r="F444" t="s">
        <v>7172</v>
      </c>
      <c r="G444" t="s">
        <v>18196</v>
      </c>
      <c r="H444" t="s">
        <v>1121</v>
      </c>
      <c r="I444" t="s">
        <v>1117</v>
      </c>
      <c r="J444" t="s">
        <v>7173</v>
      </c>
      <c r="K444" t="s">
        <v>7174</v>
      </c>
      <c r="L444" t="s">
        <v>36</v>
      </c>
      <c r="M444" t="s">
        <v>19177</v>
      </c>
      <c r="N444" t="s">
        <v>300</v>
      </c>
      <c r="O444" t="s">
        <v>16373</v>
      </c>
      <c r="P444" t="s">
        <v>12</v>
      </c>
    </row>
    <row r="445">
      <c r="A445">
        <f>HYPERLINK("http://bombeiros.sp.gov.br/hidrantes/03individual/871.html","871")</f>
      </c>
      <c r="B445" t="s">
        <v>114</v>
      </c>
      <c r="C445" t="s">
        <v>440</v>
      </c>
      <c r="D445" t="s">
        <v>7161</v>
      </c>
      <c r="E445" t="s">
        <v>64</v>
      </c>
      <c r="F445" t="s">
        <v>7175</v>
      </c>
      <c r="G445" t="s">
        <v>18147</v>
      </c>
      <c r="H445" t="s">
        <v>1121</v>
      </c>
      <c r="I445" t="s">
        <v>1117</v>
      </c>
      <c r="J445" t="s">
        <v>7176</v>
      </c>
      <c r="K445" t="s">
        <v>7177</v>
      </c>
      <c r="L445" t="s">
        <v>21</v>
      </c>
      <c r="M445" t="s">
        <v>19177</v>
      </c>
      <c r="N445" t="s">
        <v>97</v>
      </c>
      <c r="O445" t="s">
        <v>937</v>
      </c>
      <c r="P445" t="s">
        <v>12</v>
      </c>
    </row>
    <row r="446">
      <c r="A446">
        <f>HYPERLINK("http://bombeiros.sp.gov.br/hidrantes/03individual/103.html","103")</f>
      </c>
      <c r="B446" t="s">
        <v>114</v>
      </c>
      <c r="C446" t="s">
        <v>440</v>
      </c>
      <c r="D446" t="s">
        <v>449</v>
      </c>
      <c r="E446" t="s">
        <v>15</v>
      </c>
      <c r="F446" t="s">
        <v>7227</v>
      </c>
      <c r="G446" t="s">
        <v>18193</v>
      </c>
      <c r="H446" t="s">
        <v>1121</v>
      </c>
      <c r="I446" t="s">
        <v>1117</v>
      </c>
      <c r="J446" t="s">
        <v>7228</v>
      </c>
      <c r="K446" t="s">
        <v>7229</v>
      </c>
      <c r="L446" t="s">
        <v>21</v>
      </c>
      <c r="M446" t="s">
        <v>19177</v>
      </c>
      <c r="N446" t="s">
        <v>300</v>
      </c>
      <c r="O446" t="s">
        <v>16373</v>
      </c>
      <c r="P446" t="s">
        <v>12</v>
      </c>
    </row>
    <row r="447">
      <c r="A447">
        <f>HYPERLINK("http://bombeiros.sp.gov.br/hidrantes/03individual/104.html","104")</f>
      </c>
      <c r="B447" t="s">
        <v>114</v>
      </c>
      <c r="C447" t="s">
        <v>440</v>
      </c>
      <c r="D447" t="s">
        <v>449</v>
      </c>
      <c r="E447" t="s">
        <v>15</v>
      </c>
      <c r="F447" t="s">
        <v>7230</v>
      </c>
      <c r="G447" t="s">
        <v>18060</v>
      </c>
      <c r="H447" t="s">
        <v>1121</v>
      </c>
      <c r="I447" t="s">
        <v>1117</v>
      </c>
      <c r="J447" t="s">
        <v>7231</v>
      </c>
      <c r="K447" t="s">
        <v>7232</v>
      </c>
      <c r="L447" t="s">
        <v>21</v>
      </c>
      <c r="M447" t="s">
        <v>19177</v>
      </c>
      <c r="N447" t="s">
        <v>300</v>
      </c>
      <c r="O447" t="s">
        <v>16373</v>
      </c>
      <c r="P447" t="s">
        <v>12</v>
      </c>
    </row>
    <row r="448">
      <c r="A448">
        <f>HYPERLINK("http://bombeiros.sp.gov.br/hidrantes/03individual/120.html","120")</f>
      </c>
      <c r="B448" t="s">
        <v>114</v>
      </c>
      <c r="C448" t="s">
        <v>440</v>
      </c>
      <c r="D448" t="s">
        <v>449</v>
      </c>
      <c r="E448" t="s">
        <v>15</v>
      </c>
      <c r="F448" t="s">
        <v>7239</v>
      </c>
      <c r="G448" t="s">
        <v>18107</v>
      </c>
      <c r="H448" t="s">
        <v>1121</v>
      </c>
      <c r="I448" t="s">
        <v>1117</v>
      </c>
      <c r="J448" t="s">
        <v>16240</v>
      </c>
      <c r="K448" t="s">
        <v>16241</v>
      </c>
      <c r="L448" t="s">
        <v>21</v>
      </c>
      <c r="M448" t="s">
        <v>19177</v>
      </c>
      <c r="N448" t="s">
        <v>300</v>
      </c>
      <c r="O448" t="s">
        <v>16373</v>
      </c>
      <c r="P448" t="s">
        <v>12</v>
      </c>
    </row>
    <row r="449">
      <c r="A449">
        <f>HYPERLINK("http://bombeiros.sp.gov.br/hidrantes/03individual/165.html","165")</f>
      </c>
      <c r="B449" t="s">
        <v>114</v>
      </c>
      <c r="C449" t="s">
        <v>440</v>
      </c>
      <c r="D449" t="s">
        <v>449</v>
      </c>
      <c r="E449" t="s">
        <v>15</v>
      </c>
      <c r="F449" t="s">
        <v>7242</v>
      </c>
      <c r="G449" t="s">
        <v>18060</v>
      </c>
      <c r="H449" t="s">
        <v>1121</v>
      </c>
      <c r="I449" t="s">
        <v>1117</v>
      </c>
      <c r="J449" t="s">
        <v>7243</v>
      </c>
      <c r="K449" t="s">
        <v>7244</v>
      </c>
      <c r="L449" t="s">
        <v>21</v>
      </c>
      <c r="M449" t="s">
        <v>19177</v>
      </c>
      <c r="N449" t="s">
        <v>300</v>
      </c>
      <c r="O449" t="s">
        <v>16373</v>
      </c>
      <c r="P449" t="s">
        <v>12</v>
      </c>
    </row>
    <row r="450">
      <c r="A450">
        <f>HYPERLINK("http://bombeiros.sp.gov.br/hidrantes/03individual/173.html","173")</f>
      </c>
      <c r="B450" t="s">
        <v>114</v>
      </c>
      <c r="C450" t="s">
        <v>440</v>
      </c>
      <c r="D450" t="s">
        <v>449</v>
      </c>
      <c r="E450" t="s">
        <v>15</v>
      </c>
      <c r="F450" t="s">
        <v>7257</v>
      </c>
      <c r="G450" t="s">
        <v>18107</v>
      </c>
      <c r="H450" t="s">
        <v>1121</v>
      </c>
      <c r="I450" t="s">
        <v>1117</v>
      </c>
      <c r="J450" t="s">
        <v>7258</v>
      </c>
      <c r="K450" t="s">
        <v>7259</v>
      </c>
      <c r="L450" t="s">
        <v>21</v>
      </c>
      <c r="M450" t="s">
        <v>19177</v>
      </c>
      <c r="N450" t="s">
        <v>300</v>
      </c>
      <c r="O450" t="s">
        <v>16373</v>
      </c>
      <c r="P450" t="s">
        <v>12</v>
      </c>
    </row>
    <row r="451">
      <c r="A451">
        <f>HYPERLINK("http://bombeiros.sp.gov.br/hidrantes/03individual/174.html","174")</f>
      </c>
      <c r="B451" t="s">
        <v>114</v>
      </c>
      <c r="C451" t="s">
        <v>440</v>
      </c>
      <c r="D451" t="s">
        <v>449</v>
      </c>
      <c r="E451" t="s">
        <v>15</v>
      </c>
      <c r="F451" t="s">
        <v>7260</v>
      </c>
      <c r="G451" t="s">
        <v>18052</v>
      </c>
      <c r="H451" t="s">
        <v>1121</v>
      </c>
      <c r="I451" t="s">
        <v>1117</v>
      </c>
      <c r="J451" t="s">
        <v>7261</v>
      </c>
      <c r="K451" t="s">
        <v>7262</v>
      </c>
      <c r="L451" t="s">
        <v>21</v>
      </c>
      <c r="M451" t="s">
        <v>19177</v>
      </c>
      <c r="N451" t="s">
        <v>300</v>
      </c>
      <c r="O451" t="s">
        <v>16373</v>
      </c>
      <c r="P451" t="s">
        <v>12</v>
      </c>
    </row>
    <row r="452">
      <c r="A452">
        <f>HYPERLINK("http://bombeiros.sp.gov.br/hidrantes/03individual/242.html","242")</f>
      </c>
      <c r="B452" t="s">
        <v>114</v>
      </c>
      <c r="C452" t="s">
        <v>440</v>
      </c>
      <c r="D452" t="s">
        <v>449</v>
      </c>
      <c r="E452" t="s">
        <v>15</v>
      </c>
      <c r="F452" t="s">
        <v>7275</v>
      </c>
      <c r="G452" t="s">
        <v>18106</v>
      </c>
      <c r="H452" t="s">
        <v>1121</v>
      </c>
      <c r="I452" t="s">
        <v>1117</v>
      </c>
      <c r="J452" t="s">
        <v>7276</v>
      </c>
      <c r="K452" t="s">
        <v>7277</v>
      </c>
      <c r="L452" t="s">
        <v>21</v>
      </c>
      <c r="M452" t="s">
        <v>19177</v>
      </c>
      <c r="N452" t="s">
        <v>300</v>
      </c>
      <c r="O452" t="s">
        <v>16373</v>
      </c>
      <c r="P452" t="s">
        <v>12</v>
      </c>
    </row>
    <row r="453">
      <c r="A453">
        <f>HYPERLINK("http://bombeiros.sp.gov.br/hidrantes/03individual/3981.html","3981")</f>
      </c>
      <c r="B453" t="s">
        <v>454</v>
      </c>
      <c r="C453" t="s">
        <v>455</v>
      </c>
      <c r="D453" t="s">
        <v>456</v>
      </c>
      <c r="E453" t="s">
        <v>15</v>
      </c>
      <c r="F453" t="s">
        <v>457</v>
      </c>
      <c r="G453" t="s">
        <v>18072</v>
      </c>
      <c r="H453" t="s">
        <v>1121</v>
      </c>
      <c r="I453" t="s">
        <v>1117</v>
      </c>
      <c r="J453" t="s">
        <v>458</v>
      </c>
      <c r="K453" t="s">
        <v>459</v>
      </c>
      <c r="L453" t="s">
        <v>21</v>
      </c>
      <c r="M453" t="s">
        <v>19177</v>
      </c>
      <c r="N453" t="s">
        <v>519</v>
      </c>
      <c r="O453" t="s">
        <v>519</v>
      </c>
      <c r="P453" t="s">
        <v>454</v>
      </c>
    </row>
    <row r="454">
      <c r="A454">
        <f>HYPERLINK("http://bombeiros.sp.gov.br/hidrantes/03individual/5502.html","5502")</f>
      </c>
      <c r="B454" t="s">
        <v>454</v>
      </c>
      <c r="C454" t="s">
        <v>460</v>
      </c>
      <c r="D454" t="s">
        <v>460</v>
      </c>
      <c r="E454" t="s">
        <v>64</v>
      </c>
      <c r="F454" t="s">
        <v>7367</v>
      </c>
      <c r="G454" t="s">
        <v>18218</v>
      </c>
      <c r="H454" t="s">
        <v>1121</v>
      </c>
      <c r="I454" t="s">
        <v>1117</v>
      </c>
      <c r="J454" t="s">
        <v>7368</v>
      </c>
      <c r="K454" t="s">
        <v>7369</v>
      </c>
      <c r="L454" t="s">
        <v>21</v>
      </c>
      <c r="M454" t="s">
        <v>19177</v>
      </c>
      <c r="N454" t="s">
        <v>478</v>
      </c>
      <c r="O454" t="s">
        <v>478</v>
      </c>
      <c r="P454" t="s">
        <v>454</v>
      </c>
    </row>
    <row r="455">
      <c r="A455">
        <f>HYPERLINK("http://bombeiros.sp.gov.br/hidrantes/03individual/4056.html","4056")</f>
      </c>
      <c r="B455" t="s">
        <v>454</v>
      </c>
      <c r="C455" t="s">
        <v>460</v>
      </c>
      <c r="D455" t="s">
        <v>7382</v>
      </c>
      <c r="E455" t="s">
        <v>64</v>
      </c>
      <c r="F455" t="s">
        <v>7386</v>
      </c>
      <c r="G455" t="s">
        <v>18039</v>
      </c>
      <c r="H455" t="s">
        <v>1121</v>
      </c>
      <c r="I455" t="s">
        <v>1117</v>
      </c>
      <c r="J455" t="s">
        <v>7387</v>
      </c>
      <c r="K455" t="s">
        <v>7388</v>
      </c>
      <c r="L455" t="s">
        <v>21</v>
      </c>
      <c r="M455" t="s">
        <v>19177</v>
      </c>
      <c r="N455" t="s">
        <v>519</v>
      </c>
      <c r="O455" t="s">
        <v>519</v>
      </c>
      <c r="P455" t="s">
        <v>454</v>
      </c>
    </row>
    <row r="456">
      <c r="A456">
        <f>HYPERLINK("http://bombeiros.sp.gov.br/hidrantes/03individual/15065.html","15065")</f>
      </c>
      <c r="B456" t="s">
        <v>454</v>
      </c>
      <c r="C456" t="s">
        <v>460</v>
      </c>
      <c r="D456" t="s">
        <v>7382</v>
      </c>
      <c r="E456" t="s">
        <v>64</v>
      </c>
      <c r="F456" t="s">
        <v>7392</v>
      </c>
      <c r="G456" t="s">
        <v>18048</v>
      </c>
      <c r="H456" t="s">
        <v>1121</v>
      </c>
      <c r="I456" t="s">
        <v>1117</v>
      </c>
      <c r="J456" t="s">
        <v>7393</v>
      </c>
      <c r="K456" t="s">
        <v>7394</v>
      </c>
      <c r="L456" t="s">
        <v>21</v>
      </c>
      <c r="M456" t="s">
        <v>19177</v>
      </c>
      <c r="N456" t="s">
        <v>519</v>
      </c>
      <c r="O456" t="s">
        <v>519</v>
      </c>
      <c r="P456" t="s">
        <v>454</v>
      </c>
    </row>
    <row r="457">
      <c r="A457">
        <f>HYPERLINK("http://bombeiros.sp.gov.br/hidrantes/03individual/1213.html","1213")</f>
      </c>
      <c r="B457" t="s">
        <v>454</v>
      </c>
      <c r="C457" t="s">
        <v>460</v>
      </c>
      <c r="D457" t="s">
        <v>7382</v>
      </c>
      <c r="E457" t="s">
        <v>15</v>
      </c>
      <c r="F457" t="s">
        <v>7395</v>
      </c>
      <c r="G457" t="s">
        <v>18116</v>
      </c>
      <c r="H457" t="s">
        <v>1121</v>
      </c>
      <c r="I457" t="s">
        <v>1117</v>
      </c>
      <c r="J457" t="s">
        <v>7396</v>
      </c>
      <c r="K457" t="s">
        <v>7397</v>
      </c>
      <c r="L457" t="s">
        <v>21</v>
      </c>
      <c r="M457" t="s">
        <v>19177</v>
      </c>
      <c r="N457" t="s">
        <v>519</v>
      </c>
      <c r="O457" t="s">
        <v>519</v>
      </c>
      <c r="P457" t="s">
        <v>454</v>
      </c>
    </row>
    <row r="458">
      <c r="A458">
        <f>HYPERLINK("http://bombeiros.sp.gov.br/hidrantes/03individual/1319.html","1319")</f>
      </c>
      <c r="B458" t="s">
        <v>454</v>
      </c>
      <c r="C458" t="s">
        <v>460</v>
      </c>
      <c r="D458" t="s">
        <v>7398</v>
      </c>
      <c r="E458" t="s">
        <v>15</v>
      </c>
      <c r="F458" t="s">
        <v>7405</v>
      </c>
      <c r="G458" t="s">
        <v>18048</v>
      </c>
      <c r="H458" t="s">
        <v>1121</v>
      </c>
      <c r="I458" t="s">
        <v>1117</v>
      </c>
      <c r="J458" t="s">
        <v>17124</v>
      </c>
      <c r="K458" t="s">
        <v>17125</v>
      </c>
      <c r="L458" t="s">
        <v>21</v>
      </c>
      <c r="M458" t="s">
        <v>19177</v>
      </c>
      <c r="N458" t="s">
        <v>519</v>
      </c>
      <c r="O458" t="s">
        <v>519</v>
      </c>
      <c r="P458" t="s">
        <v>454</v>
      </c>
    </row>
    <row r="459">
      <c r="A459">
        <f>HYPERLINK("http://bombeiros.sp.gov.br/hidrantes/03individual/4055.html","4055")</f>
      </c>
      <c r="B459" t="s">
        <v>454</v>
      </c>
      <c r="C459" t="s">
        <v>460</v>
      </c>
      <c r="D459" t="s">
        <v>7398</v>
      </c>
      <c r="E459" t="s">
        <v>15</v>
      </c>
      <c r="F459" t="s">
        <v>7408</v>
      </c>
      <c r="G459" t="s">
        <v>18075</v>
      </c>
      <c r="H459" t="s">
        <v>1121</v>
      </c>
      <c r="I459" t="s">
        <v>1117</v>
      </c>
      <c r="J459" t="s">
        <v>7409</v>
      </c>
      <c r="K459" t="s">
        <v>7410</v>
      </c>
      <c r="L459" t="s">
        <v>21</v>
      </c>
      <c r="M459" t="s">
        <v>19177</v>
      </c>
      <c r="N459" t="s">
        <v>519</v>
      </c>
      <c r="O459" t="s">
        <v>519</v>
      </c>
      <c r="P459" t="s">
        <v>454</v>
      </c>
    </row>
    <row r="460">
      <c r="A460">
        <f>HYPERLINK("http://bombeiros.sp.gov.br/hidrantes/03individual/1104.html","1104")</f>
      </c>
      <c r="B460" t="s">
        <v>454</v>
      </c>
      <c r="C460" t="s">
        <v>465</v>
      </c>
      <c r="D460" t="s">
        <v>465</v>
      </c>
      <c r="E460" t="s">
        <v>64</v>
      </c>
      <c r="F460" t="s">
        <v>7411</v>
      </c>
      <c r="G460" t="s">
        <v>18053</v>
      </c>
      <c r="H460" t="s">
        <v>1121</v>
      </c>
      <c r="I460" t="s">
        <v>1117</v>
      </c>
      <c r="J460" t="s">
        <v>7412</v>
      </c>
      <c r="K460" t="s">
        <v>7413</v>
      </c>
      <c r="L460" t="s">
        <v>21</v>
      </c>
      <c r="M460" t="s">
        <v>19177</v>
      </c>
      <c r="N460" t="s">
        <v>478</v>
      </c>
      <c r="O460" t="s">
        <v>478</v>
      </c>
      <c r="P460" t="s">
        <v>454</v>
      </c>
    </row>
    <row r="461">
      <c r="A461">
        <f>HYPERLINK("http://bombeiros.sp.gov.br/hidrantes/03individual/1305.html","1305")</f>
      </c>
      <c r="B461" t="s">
        <v>454</v>
      </c>
      <c r="C461" t="s">
        <v>465</v>
      </c>
      <c r="D461" t="s">
        <v>465</v>
      </c>
      <c r="E461" t="s">
        <v>15</v>
      </c>
      <c r="F461" t="s">
        <v>7457</v>
      </c>
      <c r="G461" t="s">
        <v>18118</v>
      </c>
      <c r="H461" t="s">
        <v>1121</v>
      </c>
      <c r="I461" t="s">
        <v>1117</v>
      </c>
      <c r="J461" t="s">
        <v>7458</v>
      </c>
      <c r="K461" t="s">
        <v>7459</v>
      </c>
      <c r="L461" t="s">
        <v>21</v>
      </c>
      <c r="M461" t="s">
        <v>19177</v>
      </c>
      <c r="N461" t="s">
        <v>478</v>
      </c>
      <c r="O461" t="s">
        <v>478</v>
      </c>
      <c r="P461" t="s">
        <v>454</v>
      </c>
    </row>
    <row r="462">
      <c r="A462">
        <f>HYPERLINK("http://bombeiros.sp.gov.br/hidrantes/03individual/3788.html","3788")</f>
      </c>
      <c r="B462" t="s">
        <v>454</v>
      </c>
      <c r="C462" t="s">
        <v>465</v>
      </c>
      <c r="D462" t="s">
        <v>465</v>
      </c>
      <c r="E462" t="s">
        <v>15</v>
      </c>
      <c r="F462" t="s">
        <v>7463</v>
      </c>
      <c r="G462" t="s">
        <v>18119</v>
      </c>
      <c r="H462" t="s">
        <v>1121</v>
      </c>
      <c r="I462" t="s">
        <v>1117</v>
      </c>
      <c r="J462" t="s">
        <v>7464</v>
      </c>
      <c r="K462" t="s">
        <v>7465</v>
      </c>
      <c r="L462" t="s">
        <v>21</v>
      </c>
      <c r="M462" t="s">
        <v>19177</v>
      </c>
      <c r="N462" t="s">
        <v>478</v>
      </c>
      <c r="O462" t="s">
        <v>478</v>
      </c>
      <c r="P462" t="s">
        <v>454</v>
      </c>
    </row>
    <row r="463">
      <c r="A463">
        <f>HYPERLINK("http://bombeiros.sp.gov.br/hidrantes/03individual/15060.html","15060")</f>
      </c>
      <c r="B463" t="s">
        <v>454</v>
      </c>
      <c r="C463" t="s">
        <v>465</v>
      </c>
      <c r="D463" t="s">
        <v>7478</v>
      </c>
      <c r="E463" t="s">
        <v>64</v>
      </c>
      <c r="F463" t="s">
        <v>7488</v>
      </c>
      <c r="G463" t="s">
        <v>18119</v>
      </c>
      <c r="H463" t="s">
        <v>1121</v>
      </c>
      <c r="I463" t="s">
        <v>1117</v>
      </c>
      <c r="J463" t="s">
        <v>7489</v>
      </c>
      <c r="K463" t="s">
        <v>7490</v>
      </c>
      <c r="L463" t="s">
        <v>21</v>
      </c>
      <c r="M463" t="s">
        <v>19177</v>
      </c>
      <c r="N463" t="s">
        <v>478</v>
      </c>
      <c r="O463" t="s">
        <v>478</v>
      </c>
      <c r="P463" t="s">
        <v>454</v>
      </c>
    </row>
    <row r="464">
      <c r="A464">
        <f>HYPERLINK("http://bombeiros.sp.gov.br/hidrantes/03individual/3803.html","3803")</f>
      </c>
      <c r="B464" t="s">
        <v>454</v>
      </c>
      <c r="C464" t="s">
        <v>465</v>
      </c>
      <c r="D464" t="s">
        <v>7478</v>
      </c>
      <c r="E464" t="s">
        <v>15</v>
      </c>
      <c r="F464" t="s">
        <v>7500</v>
      </c>
      <c r="G464" t="s">
        <v>18173</v>
      </c>
      <c r="H464" t="s">
        <v>1121</v>
      </c>
      <c r="I464" t="s">
        <v>1117</v>
      </c>
      <c r="J464" t="s">
        <v>7501</v>
      </c>
      <c r="K464" t="s">
        <v>7502</v>
      </c>
      <c r="L464" t="s">
        <v>21</v>
      </c>
      <c r="M464" t="s">
        <v>19177</v>
      </c>
      <c r="N464" t="s">
        <v>478</v>
      </c>
      <c r="O464" t="s">
        <v>478</v>
      </c>
      <c r="P464" t="s">
        <v>454</v>
      </c>
    </row>
    <row r="465">
      <c r="A465">
        <f>HYPERLINK("http://bombeiros.sp.gov.br/hidrantes/03individual/916.html","916")</f>
      </c>
      <c r="B465" t="s">
        <v>454</v>
      </c>
      <c r="C465" t="s">
        <v>469</v>
      </c>
      <c r="D465" t="s">
        <v>469</v>
      </c>
      <c r="E465" t="s">
        <v>15</v>
      </c>
      <c r="F465" t="s">
        <v>7509</v>
      </c>
      <c r="G465" t="s">
        <v>18093</v>
      </c>
      <c r="H465" t="s">
        <v>1121</v>
      </c>
      <c r="I465" t="s">
        <v>1117</v>
      </c>
      <c r="J465" t="s">
        <v>7510</v>
      </c>
      <c r="K465" t="s">
        <v>7511</v>
      </c>
      <c r="L465" t="s">
        <v>21</v>
      </c>
      <c r="M465" t="s">
        <v>19177</v>
      </c>
      <c r="N465" t="s">
        <v>531</v>
      </c>
      <c r="O465" t="s">
        <v>531</v>
      </c>
      <c r="P465" t="s">
        <v>454</v>
      </c>
    </row>
    <row r="466">
      <c r="A466">
        <f>HYPERLINK("http://bombeiros.sp.gov.br/hidrantes/03individual/1105.html","1105")</f>
      </c>
      <c r="B466" t="s">
        <v>454</v>
      </c>
      <c r="C466" t="s">
        <v>469</v>
      </c>
      <c r="D466" t="s">
        <v>469</v>
      </c>
      <c r="E466" t="s">
        <v>15</v>
      </c>
      <c r="F466" t="s">
        <v>7518</v>
      </c>
      <c r="G466" t="s">
        <v>18256</v>
      </c>
      <c r="H466" t="s">
        <v>1121</v>
      </c>
      <c r="I466" t="s">
        <v>1117</v>
      </c>
      <c r="J466" t="s">
        <v>7519</v>
      </c>
      <c r="K466" t="s">
        <v>7520</v>
      </c>
      <c r="L466" t="s">
        <v>21</v>
      </c>
      <c r="M466" t="s">
        <v>19177</v>
      </c>
      <c r="N466" t="s">
        <v>531</v>
      </c>
      <c r="O466" t="s">
        <v>531</v>
      </c>
      <c r="P466" t="s">
        <v>454</v>
      </c>
    </row>
    <row r="467">
      <c r="A467">
        <f>HYPERLINK("http://bombeiros.sp.gov.br/hidrantes/03individual/1151.html","1151")</f>
      </c>
      <c r="B467" t="s">
        <v>454</v>
      </c>
      <c r="C467" t="s">
        <v>469</v>
      </c>
      <c r="D467" t="s">
        <v>469</v>
      </c>
      <c r="E467" t="s">
        <v>15</v>
      </c>
      <c r="F467" t="s">
        <v>7527</v>
      </c>
      <c r="G467" t="s">
        <v>18109</v>
      </c>
      <c r="H467" t="s">
        <v>1121</v>
      </c>
      <c r="I467" t="s">
        <v>1117</v>
      </c>
      <c r="J467" t="s">
        <v>7528</v>
      </c>
      <c r="K467" t="s">
        <v>7529</v>
      </c>
      <c r="L467" t="s">
        <v>21</v>
      </c>
      <c r="M467" t="s">
        <v>19177</v>
      </c>
      <c r="N467" t="s">
        <v>478</v>
      </c>
      <c r="O467" t="s">
        <v>478</v>
      </c>
      <c r="P467" t="s">
        <v>454</v>
      </c>
    </row>
    <row r="468">
      <c r="A468">
        <f>HYPERLINK("http://bombeiros.sp.gov.br/hidrantes/03individual/1196.html","1196")</f>
      </c>
      <c r="B468" t="s">
        <v>454</v>
      </c>
      <c r="C468" t="s">
        <v>469</v>
      </c>
      <c r="D468" t="s">
        <v>469</v>
      </c>
      <c r="E468" t="s">
        <v>15</v>
      </c>
      <c r="F468" t="s">
        <v>7533</v>
      </c>
      <c r="G468" t="s">
        <v>18108</v>
      </c>
      <c r="H468" t="s">
        <v>1121</v>
      </c>
      <c r="I468" t="s">
        <v>1117</v>
      </c>
      <c r="J468" t="s">
        <v>7534</v>
      </c>
      <c r="K468" t="s">
        <v>7535</v>
      </c>
      <c r="L468" t="s">
        <v>21</v>
      </c>
      <c r="M468" t="s">
        <v>19177</v>
      </c>
      <c r="N468" t="s">
        <v>478</v>
      </c>
      <c r="O468" t="s">
        <v>478</v>
      </c>
      <c r="P468" t="s">
        <v>454</v>
      </c>
    </row>
    <row r="469">
      <c r="A469">
        <f>HYPERLINK("http://bombeiros.sp.gov.br/hidrantes/03individual/1197.html","1197")</f>
      </c>
      <c r="B469" t="s">
        <v>454</v>
      </c>
      <c r="C469" t="s">
        <v>469</v>
      </c>
      <c r="D469" t="s">
        <v>469</v>
      </c>
      <c r="E469" t="s">
        <v>15</v>
      </c>
      <c r="F469" t="s">
        <v>7536</v>
      </c>
      <c r="G469" t="s">
        <v>18109</v>
      </c>
      <c r="H469" t="s">
        <v>1121</v>
      </c>
      <c r="I469" t="s">
        <v>1117</v>
      </c>
      <c r="J469" t="s">
        <v>7537</v>
      </c>
      <c r="K469" t="s">
        <v>7538</v>
      </c>
      <c r="L469" t="s">
        <v>21</v>
      </c>
      <c r="M469" t="s">
        <v>19177</v>
      </c>
      <c r="N469" t="s">
        <v>531</v>
      </c>
      <c r="O469" t="s">
        <v>531</v>
      </c>
      <c r="P469" t="s">
        <v>454</v>
      </c>
    </row>
    <row r="470">
      <c r="A470">
        <f>HYPERLINK("http://bombeiros.sp.gov.br/hidrantes/03individual/17657.html","17657")</f>
      </c>
      <c r="B470" t="s">
        <v>454</v>
      </c>
      <c r="C470" t="s">
        <v>469</v>
      </c>
      <c r="D470" t="s">
        <v>469</v>
      </c>
      <c r="E470" t="s">
        <v>15</v>
      </c>
      <c r="F470" t="s">
        <v>7557</v>
      </c>
      <c r="G470" t="s">
        <v>18068</v>
      </c>
      <c r="H470" t="s">
        <v>1121</v>
      </c>
      <c r="I470" t="s">
        <v>1117</v>
      </c>
      <c r="J470" t="s">
        <v>7558</v>
      </c>
      <c r="K470" t="s">
        <v>7559</v>
      </c>
      <c r="L470" t="s">
        <v>21</v>
      </c>
      <c r="M470" t="s">
        <v>19177</v>
      </c>
      <c r="N470" t="s">
        <v>531</v>
      </c>
      <c r="O470" t="s">
        <v>531</v>
      </c>
      <c r="P470" t="s">
        <v>454</v>
      </c>
    </row>
    <row r="471">
      <c r="A471">
        <f>HYPERLINK("http://bombeiros.sp.gov.br/hidrantes/03individual/17658.html","17658")</f>
      </c>
      <c r="B471" t="s">
        <v>454</v>
      </c>
      <c r="C471" t="s">
        <v>469</v>
      </c>
      <c r="D471" t="s">
        <v>469</v>
      </c>
      <c r="E471" t="s">
        <v>15</v>
      </c>
      <c r="F471" t="s">
        <v>7560</v>
      </c>
      <c r="G471" t="s">
        <v>18256</v>
      </c>
      <c r="H471" t="s">
        <v>1121</v>
      </c>
      <c r="I471" t="s">
        <v>1117</v>
      </c>
      <c r="J471" t="s">
        <v>7561</v>
      </c>
      <c r="K471" t="s">
        <v>7562</v>
      </c>
      <c r="L471" t="s">
        <v>21</v>
      </c>
      <c r="M471" t="s">
        <v>19177</v>
      </c>
      <c r="N471" t="s">
        <v>531</v>
      </c>
      <c r="O471" t="s">
        <v>531</v>
      </c>
      <c r="P471" t="s">
        <v>454</v>
      </c>
    </row>
    <row r="472">
      <c r="A472">
        <f>HYPERLINK("http://bombeiros.sp.gov.br/hidrantes/03individual/745.html","745")</f>
      </c>
      <c r="B472" t="s">
        <v>454</v>
      </c>
      <c r="C472" t="s">
        <v>469</v>
      </c>
      <c r="D472" t="s">
        <v>473</v>
      </c>
      <c r="E472" t="s">
        <v>64</v>
      </c>
      <c r="F472" t="s">
        <v>7566</v>
      </c>
      <c r="G472" t="s">
        <v>18200</v>
      </c>
      <c r="H472" t="s">
        <v>1121</v>
      </c>
      <c r="I472" t="s">
        <v>1117</v>
      </c>
      <c r="J472" t="s">
        <v>7567</v>
      </c>
      <c r="K472" t="s">
        <v>7568</v>
      </c>
      <c r="L472" t="s">
        <v>21</v>
      </c>
      <c r="M472" t="s">
        <v>19177</v>
      </c>
      <c r="N472" t="s">
        <v>531</v>
      </c>
      <c r="O472" t="s">
        <v>531</v>
      </c>
      <c r="P472" t="s">
        <v>454</v>
      </c>
    </row>
    <row r="473">
      <c r="A473">
        <f>HYPERLINK("http://bombeiros.sp.gov.br/hidrantes/03individual/1244.html","1244")</f>
      </c>
      <c r="B473" t="s">
        <v>454</v>
      </c>
      <c r="C473" t="s">
        <v>469</v>
      </c>
      <c r="D473" t="s">
        <v>473</v>
      </c>
      <c r="E473" t="s">
        <v>15</v>
      </c>
      <c r="F473" t="s">
        <v>7587</v>
      </c>
      <c r="G473" t="s">
        <v>18256</v>
      </c>
      <c r="H473" t="s">
        <v>1121</v>
      </c>
      <c r="I473" t="s">
        <v>1117</v>
      </c>
      <c r="J473" t="s">
        <v>17159</v>
      </c>
      <c r="K473" t="s">
        <v>17160</v>
      </c>
      <c r="L473" t="s">
        <v>21</v>
      </c>
      <c r="M473" t="s">
        <v>19177</v>
      </c>
      <c r="N473" t="s">
        <v>531</v>
      </c>
      <c r="O473" t="s">
        <v>531</v>
      </c>
      <c r="P473" t="s">
        <v>454</v>
      </c>
    </row>
    <row r="474">
      <c r="A474">
        <f>HYPERLINK("http://bombeiros.sp.gov.br/hidrantes/03individual/1248.html","1248")</f>
      </c>
      <c r="B474" t="s">
        <v>454</v>
      </c>
      <c r="C474" t="s">
        <v>469</v>
      </c>
      <c r="D474" t="s">
        <v>473</v>
      </c>
      <c r="E474" t="s">
        <v>15</v>
      </c>
      <c r="F474" t="s">
        <v>7590</v>
      </c>
      <c r="G474" t="s">
        <v>18180</v>
      </c>
      <c r="H474" t="s">
        <v>1121</v>
      </c>
      <c r="I474" t="s">
        <v>1117</v>
      </c>
      <c r="J474" t="s">
        <v>7591</v>
      </c>
      <c r="K474" t="s">
        <v>7592</v>
      </c>
      <c r="L474" t="s">
        <v>21</v>
      </c>
      <c r="M474" t="s">
        <v>19177</v>
      </c>
      <c r="N474" t="s">
        <v>478</v>
      </c>
      <c r="O474" t="s">
        <v>478</v>
      </c>
      <c r="P474" t="s">
        <v>454</v>
      </c>
    </row>
    <row r="475">
      <c r="A475">
        <f>HYPERLINK("http://bombeiros.sp.gov.br/hidrantes/03individual/3572.html","3572")</f>
      </c>
      <c r="B475" t="s">
        <v>454</v>
      </c>
      <c r="C475" t="s">
        <v>469</v>
      </c>
      <c r="D475" t="s">
        <v>473</v>
      </c>
      <c r="E475" t="s">
        <v>15</v>
      </c>
      <c r="F475" t="s">
        <v>7593</v>
      </c>
      <c r="G475" t="s">
        <v>18144</v>
      </c>
      <c r="H475" t="s">
        <v>1121</v>
      </c>
      <c r="I475" t="s">
        <v>1117</v>
      </c>
      <c r="J475" t="s">
        <v>7594</v>
      </c>
      <c r="K475" t="s">
        <v>7595</v>
      </c>
      <c r="L475" t="s">
        <v>21</v>
      </c>
      <c r="M475" t="s">
        <v>19177</v>
      </c>
      <c r="N475" t="s">
        <v>531</v>
      </c>
      <c r="O475" t="s">
        <v>531</v>
      </c>
      <c r="P475" t="s">
        <v>454</v>
      </c>
    </row>
    <row r="476">
      <c r="A476">
        <f>HYPERLINK("http://bombeiros.sp.gov.br/hidrantes/03individual/3883.html","3883")</f>
      </c>
      <c r="B476" t="s">
        <v>454</v>
      </c>
      <c r="C476" t="s">
        <v>469</v>
      </c>
      <c r="D476" t="s">
        <v>473</v>
      </c>
      <c r="E476" t="s">
        <v>15</v>
      </c>
      <c r="F476" t="s">
        <v>7596</v>
      </c>
      <c r="G476" t="s">
        <v>18180</v>
      </c>
      <c r="H476" t="s">
        <v>1121</v>
      </c>
      <c r="I476" t="s">
        <v>1117</v>
      </c>
      <c r="J476" t="s">
        <v>7597</v>
      </c>
      <c r="K476" t="s">
        <v>7598</v>
      </c>
      <c r="L476" t="s">
        <v>21</v>
      </c>
      <c r="M476" t="s">
        <v>19177</v>
      </c>
      <c r="N476" t="s">
        <v>478</v>
      </c>
      <c r="O476" t="s">
        <v>478</v>
      </c>
      <c r="P476" t="s">
        <v>454</v>
      </c>
    </row>
    <row r="477">
      <c r="A477">
        <f>HYPERLINK("http://bombeiros.sp.gov.br/hidrantes/03individual/10048.html","10048")</f>
      </c>
      <c r="B477" t="s">
        <v>454</v>
      </c>
      <c r="C477" t="s">
        <v>478</v>
      </c>
      <c r="D477" t="s">
        <v>478</v>
      </c>
      <c r="E477" t="s">
        <v>1507</v>
      </c>
      <c r="F477" t="s">
        <v>7617</v>
      </c>
      <c r="G477" t="s">
        <v>18113</v>
      </c>
      <c r="H477" t="s">
        <v>1121</v>
      </c>
      <c r="I477" t="s">
        <v>1117</v>
      </c>
      <c r="J477" t="s">
        <v>7618</v>
      </c>
      <c r="K477" t="s">
        <v>7619</v>
      </c>
      <c r="L477" t="s">
        <v>21</v>
      </c>
      <c r="M477" t="s">
        <v>19177</v>
      </c>
      <c r="N477" t="s">
        <v>478</v>
      </c>
      <c r="O477" t="s">
        <v>478</v>
      </c>
      <c r="P477" t="s">
        <v>454</v>
      </c>
    </row>
    <row r="478">
      <c r="A478">
        <f>HYPERLINK("http://bombeiros.sp.gov.br/hidrantes/03individual/1138.html","1138")</f>
      </c>
      <c r="B478" t="s">
        <v>454</v>
      </c>
      <c r="C478" t="s">
        <v>478</v>
      </c>
      <c r="D478" t="s">
        <v>478</v>
      </c>
      <c r="E478" t="s">
        <v>15</v>
      </c>
      <c r="F478" t="s">
        <v>7642</v>
      </c>
      <c r="G478" t="s">
        <v>18116</v>
      </c>
      <c r="H478" t="s">
        <v>1121</v>
      </c>
      <c r="I478" t="s">
        <v>1117</v>
      </c>
      <c r="J478" t="s">
        <v>7643</v>
      </c>
      <c r="K478" t="s">
        <v>7644</v>
      </c>
      <c r="L478" t="s">
        <v>21</v>
      </c>
      <c r="M478" t="s">
        <v>19177</v>
      </c>
      <c r="N478" t="s">
        <v>478</v>
      </c>
      <c r="O478" t="s">
        <v>478</v>
      </c>
      <c r="P478" t="s">
        <v>454</v>
      </c>
    </row>
    <row r="479">
      <c r="A479">
        <f>HYPERLINK("http://bombeiros.sp.gov.br/hidrantes/03individual/1457.html","1457")</f>
      </c>
      <c r="B479" t="s">
        <v>454</v>
      </c>
      <c r="C479" t="s">
        <v>478</v>
      </c>
      <c r="D479" t="s">
        <v>478</v>
      </c>
      <c r="E479" t="s">
        <v>15</v>
      </c>
      <c r="F479" t="s">
        <v>7675</v>
      </c>
      <c r="G479" t="s">
        <v>18218</v>
      </c>
      <c r="H479" t="s">
        <v>1121</v>
      </c>
      <c r="I479" t="s">
        <v>1117</v>
      </c>
      <c r="J479" t="s">
        <v>7676</v>
      </c>
      <c r="K479" t="s">
        <v>7677</v>
      </c>
      <c r="L479" t="s">
        <v>21</v>
      </c>
      <c r="M479" t="s">
        <v>19177</v>
      </c>
      <c r="N479" t="s">
        <v>478</v>
      </c>
      <c r="O479" t="s">
        <v>478</v>
      </c>
      <c r="P479" t="s">
        <v>454</v>
      </c>
    </row>
    <row r="480">
      <c r="A480">
        <f>HYPERLINK("http://bombeiros.sp.gov.br/hidrantes/03individual/3719.html","3719")</f>
      </c>
      <c r="B480" t="s">
        <v>454</v>
      </c>
      <c r="C480" t="s">
        <v>478</v>
      </c>
      <c r="D480" t="s">
        <v>478</v>
      </c>
      <c r="E480" t="s">
        <v>15</v>
      </c>
      <c r="F480" t="s">
        <v>7687</v>
      </c>
      <c r="G480" t="s">
        <v>18114</v>
      </c>
      <c r="H480" t="s">
        <v>1121</v>
      </c>
      <c r="I480" t="s">
        <v>1117</v>
      </c>
      <c r="J480" t="s">
        <v>7688</v>
      </c>
      <c r="K480" t="s">
        <v>7689</v>
      </c>
      <c r="L480" t="s">
        <v>21</v>
      </c>
      <c r="M480" t="s">
        <v>19177</v>
      </c>
      <c r="N480" t="s">
        <v>478</v>
      </c>
      <c r="O480" t="s">
        <v>478</v>
      </c>
      <c r="P480" t="s">
        <v>454</v>
      </c>
    </row>
    <row r="481">
      <c r="A481">
        <f>HYPERLINK("http://bombeiros.sp.gov.br/hidrantes/03individual/3722.html","3722")</f>
      </c>
      <c r="B481" t="s">
        <v>454</v>
      </c>
      <c r="C481" t="s">
        <v>478</v>
      </c>
      <c r="D481" t="s">
        <v>478</v>
      </c>
      <c r="E481" t="s">
        <v>15</v>
      </c>
      <c r="F481" t="s">
        <v>7693</v>
      </c>
      <c r="G481" t="s">
        <v>18116</v>
      </c>
      <c r="H481" t="s">
        <v>1121</v>
      </c>
      <c r="I481" t="s">
        <v>1117</v>
      </c>
      <c r="J481" t="s">
        <v>7694</v>
      </c>
      <c r="K481" t="s">
        <v>7695</v>
      </c>
      <c r="L481" t="s">
        <v>21</v>
      </c>
      <c r="M481" t="s">
        <v>19177</v>
      </c>
      <c r="N481" t="s">
        <v>478</v>
      </c>
      <c r="O481" t="s">
        <v>478</v>
      </c>
      <c r="P481" t="s">
        <v>454</v>
      </c>
    </row>
    <row r="482">
      <c r="A482">
        <f>HYPERLINK("http://bombeiros.sp.gov.br/hidrantes/03individual/3774.html","3774")</f>
      </c>
      <c r="B482" t="s">
        <v>454</v>
      </c>
      <c r="C482" t="s">
        <v>478</v>
      </c>
      <c r="D482" t="s">
        <v>7708</v>
      </c>
      <c r="E482" t="s">
        <v>15</v>
      </c>
      <c r="F482" t="s">
        <v>7730</v>
      </c>
      <c r="G482" t="s">
        <v>18218</v>
      </c>
      <c r="H482" t="s">
        <v>1121</v>
      </c>
      <c r="I482" t="s">
        <v>1117</v>
      </c>
      <c r="J482" t="s">
        <v>7731</v>
      </c>
      <c r="K482" t="s">
        <v>7732</v>
      </c>
      <c r="L482" t="s">
        <v>21</v>
      </c>
      <c r="M482" t="s">
        <v>19177</v>
      </c>
      <c r="N482" t="s">
        <v>478</v>
      </c>
      <c r="O482" t="s">
        <v>478</v>
      </c>
      <c r="P482" t="s">
        <v>454</v>
      </c>
    </row>
    <row r="483">
      <c r="A483">
        <f>HYPERLINK("http://bombeiros.sp.gov.br/hidrantes/03individual/4041.html","4041")</f>
      </c>
      <c r="B483" t="s">
        <v>454</v>
      </c>
      <c r="C483" t="s">
        <v>478</v>
      </c>
      <c r="D483" t="s">
        <v>483</v>
      </c>
      <c r="E483" t="s">
        <v>15</v>
      </c>
      <c r="F483" t="s">
        <v>7748</v>
      </c>
      <c r="G483" t="s">
        <v>18109</v>
      </c>
      <c r="H483" t="s">
        <v>1121</v>
      </c>
      <c r="I483" t="s">
        <v>1117</v>
      </c>
      <c r="J483" t="s">
        <v>7749</v>
      </c>
      <c r="K483" t="s">
        <v>7750</v>
      </c>
      <c r="L483" t="s">
        <v>21</v>
      </c>
      <c r="M483" t="s">
        <v>19177</v>
      </c>
      <c r="N483" t="s">
        <v>478</v>
      </c>
      <c r="O483" t="s">
        <v>478</v>
      </c>
      <c r="P483" t="s">
        <v>454</v>
      </c>
    </row>
    <row r="484">
      <c r="A484">
        <f>HYPERLINK("http://bombeiros.sp.gov.br/hidrantes/03individual/3584.html","3584")</f>
      </c>
      <c r="B484" t="s">
        <v>454</v>
      </c>
      <c r="C484" t="s">
        <v>490</v>
      </c>
      <c r="D484" t="s">
        <v>490</v>
      </c>
      <c r="E484" t="s">
        <v>64</v>
      </c>
      <c r="F484" t="s">
        <v>7775</v>
      </c>
      <c r="G484" t="s">
        <v>18066</v>
      </c>
      <c r="H484" t="s">
        <v>1121</v>
      </c>
      <c r="I484" t="s">
        <v>1117</v>
      </c>
      <c r="J484" t="s">
        <v>7776</v>
      </c>
      <c r="K484" t="s">
        <v>7777</v>
      </c>
      <c r="L484" t="s">
        <v>21</v>
      </c>
      <c r="M484" t="s">
        <v>19177</v>
      </c>
      <c r="N484" t="s">
        <v>594</v>
      </c>
      <c r="O484" t="s">
        <v>531</v>
      </c>
      <c r="P484" t="s">
        <v>454</v>
      </c>
    </row>
    <row r="485">
      <c r="A485">
        <f>HYPERLINK("http://bombeiros.sp.gov.br/hidrantes/03individual/597.html","597")</f>
      </c>
      <c r="B485" t="s">
        <v>454</v>
      </c>
      <c r="C485" t="s">
        <v>490</v>
      </c>
      <c r="D485" t="s">
        <v>490</v>
      </c>
      <c r="E485" t="s">
        <v>15</v>
      </c>
      <c r="F485" t="s">
        <v>499</v>
      </c>
      <c r="G485" t="s">
        <v>18057</v>
      </c>
      <c r="H485" t="s">
        <v>1121</v>
      </c>
      <c r="I485" t="s">
        <v>1117</v>
      </c>
      <c r="J485" t="s">
        <v>500</v>
      </c>
      <c r="K485" t="s">
        <v>501</v>
      </c>
      <c r="L485" t="s">
        <v>21</v>
      </c>
      <c r="M485" t="s">
        <v>19177</v>
      </c>
      <c r="N485" t="s">
        <v>594</v>
      </c>
      <c r="O485" t="s">
        <v>531</v>
      </c>
      <c r="P485" t="s">
        <v>454</v>
      </c>
    </row>
    <row r="486">
      <c r="A486">
        <f>HYPERLINK("http://bombeiros.sp.gov.br/hidrantes/03individual/731.html","731")</f>
      </c>
      <c r="B486" t="s">
        <v>454</v>
      </c>
      <c r="C486" t="s">
        <v>490</v>
      </c>
      <c r="D486" t="s">
        <v>490</v>
      </c>
      <c r="E486" t="s">
        <v>15</v>
      </c>
      <c r="F486" t="s">
        <v>7796</v>
      </c>
      <c r="G486" t="s">
        <v>18196</v>
      </c>
      <c r="H486" t="s">
        <v>1121</v>
      </c>
      <c r="I486" t="s">
        <v>1117</v>
      </c>
      <c r="J486" t="s">
        <v>7797</v>
      </c>
      <c r="K486" t="s">
        <v>7798</v>
      </c>
      <c r="L486" t="s">
        <v>21</v>
      </c>
      <c r="M486" t="s">
        <v>19177</v>
      </c>
      <c r="N486" t="s">
        <v>594</v>
      </c>
      <c r="O486" t="s">
        <v>531</v>
      </c>
      <c r="P486" t="s">
        <v>454</v>
      </c>
    </row>
    <row r="487">
      <c r="A487">
        <f>HYPERLINK("http://bombeiros.sp.gov.br/hidrantes/03individual/27323.html","27323")</f>
      </c>
      <c r="B487" t="s">
        <v>454</v>
      </c>
      <c r="C487" t="s">
        <v>510</v>
      </c>
      <c r="D487" t="s">
        <v>7847</v>
      </c>
      <c r="E487" t="s">
        <v>64</v>
      </c>
      <c r="F487" t="s">
        <v>17128</v>
      </c>
      <c r="G487" t="s">
        <v>18049</v>
      </c>
      <c r="H487" t="s">
        <v>1121</v>
      </c>
      <c r="I487" t="s">
        <v>1117</v>
      </c>
      <c r="J487" t="s">
        <v>17129</v>
      </c>
      <c r="K487" t="s">
        <v>17130</v>
      </c>
      <c r="L487" t="s">
        <v>21</v>
      </c>
      <c r="M487" t="s">
        <v>19177</v>
      </c>
      <c r="N487" t="s">
        <v>519</v>
      </c>
      <c r="O487" t="s">
        <v>519</v>
      </c>
      <c r="P487" t="s">
        <v>454</v>
      </c>
    </row>
    <row r="488">
      <c r="A488">
        <f>HYPERLINK("http://bombeiros.sp.gov.br/hidrantes/03individual/26944.html","26944")</f>
      </c>
      <c r="B488" t="s">
        <v>454</v>
      </c>
      <c r="C488" t="s">
        <v>510</v>
      </c>
      <c r="D488" t="s">
        <v>511</v>
      </c>
      <c r="E488" t="s">
        <v>64</v>
      </c>
      <c r="F488" t="s">
        <v>16446</v>
      </c>
      <c r="G488" t="s">
        <v>18146</v>
      </c>
      <c r="H488" t="s">
        <v>1121</v>
      </c>
      <c r="I488" t="s">
        <v>1117</v>
      </c>
      <c r="J488" t="s">
        <v>16447</v>
      </c>
      <c r="K488" t="s">
        <v>16448</v>
      </c>
      <c r="L488" t="s">
        <v>21</v>
      </c>
      <c r="M488" t="s">
        <v>19177</v>
      </c>
      <c r="N488" t="s">
        <v>519</v>
      </c>
      <c r="O488" t="s">
        <v>519</v>
      </c>
      <c r="P488" t="s">
        <v>454</v>
      </c>
    </row>
    <row r="489">
      <c r="A489">
        <f>HYPERLINK("http://bombeiros.sp.gov.br/hidrantes/03individual/1119.html","1119")</f>
      </c>
      <c r="B489" t="s">
        <v>454</v>
      </c>
      <c r="C489" t="s">
        <v>510</v>
      </c>
      <c r="D489" t="s">
        <v>511</v>
      </c>
      <c r="E489" t="s">
        <v>15</v>
      </c>
      <c r="F489" t="s">
        <v>7908</v>
      </c>
      <c r="G489" t="s">
        <v>18072</v>
      </c>
      <c r="H489" t="s">
        <v>1121</v>
      </c>
      <c r="I489" t="s">
        <v>1117</v>
      </c>
      <c r="J489" t="s">
        <v>7909</v>
      </c>
      <c r="K489" t="s">
        <v>7910</v>
      </c>
      <c r="L489" t="s">
        <v>21</v>
      </c>
      <c r="M489" t="s">
        <v>19177</v>
      </c>
      <c r="N489" t="s">
        <v>519</v>
      </c>
      <c r="O489" t="s">
        <v>519</v>
      </c>
      <c r="P489" t="s">
        <v>454</v>
      </c>
    </row>
    <row r="490">
      <c r="A490">
        <f>HYPERLINK("http://bombeiros.sp.gov.br/hidrantes/03individual/3978.html","3978")</f>
      </c>
      <c r="B490" t="s">
        <v>454</v>
      </c>
      <c r="C490" t="s">
        <v>510</v>
      </c>
      <c r="D490" t="s">
        <v>511</v>
      </c>
      <c r="E490" t="s">
        <v>15</v>
      </c>
      <c r="F490" t="s">
        <v>7914</v>
      </c>
      <c r="G490" t="s">
        <v>18115</v>
      </c>
      <c r="H490" t="s">
        <v>1121</v>
      </c>
      <c r="I490" t="s">
        <v>1117</v>
      </c>
      <c r="J490" t="s">
        <v>7915</v>
      </c>
      <c r="K490" t="s">
        <v>7916</v>
      </c>
      <c r="L490" t="s">
        <v>21</v>
      </c>
      <c r="M490" t="s">
        <v>19177</v>
      </c>
      <c r="N490" t="s">
        <v>519</v>
      </c>
      <c r="O490" t="s">
        <v>519</v>
      </c>
      <c r="P490" t="s">
        <v>454</v>
      </c>
    </row>
    <row r="491">
      <c r="A491">
        <f>HYPERLINK("http://bombeiros.sp.gov.br/hidrantes/03individual/3725.html","3725")</f>
      </c>
      <c r="B491" t="s">
        <v>454</v>
      </c>
      <c r="C491" t="s">
        <v>515</v>
      </c>
      <c r="D491" t="s">
        <v>7929</v>
      </c>
      <c r="E491" t="s">
        <v>15</v>
      </c>
      <c r="F491" t="s">
        <v>7954</v>
      </c>
      <c r="G491" t="s">
        <v>18110</v>
      </c>
      <c r="H491" t="s">
        <v>1121</v>
      </c>
      <c r="I491" t="s">
        <v>1117</v>
      </c>
      <c r="J491" t="s">
        <v>7955</v>
      </c>
      <c r="K491" t="s">
        <v>7956</v>
      </c>
      <c r="L491" t="s">
        <v>21</v>
      </c>
      <c r="M491" t="s">
        <v>19177</v>
      </c>
      <c r="N491" t="s">
        <v>478</v>
      </c>
      <c r="O491" t="s">
        <v>478</v>
      </c>
      <c r="P491" t="s">
        <v>454</v>
      </c>
    </row>
    <row r="492">
      <c r="A492">
        <f>HYPERLINK("http://bombeiros.sp.gov.br/hidrantes/03individual/1014.html","1014")</f>
      </c>
      <c r="B492" t="s">
        <v>454</v>
      </c>
      <c r="C492" t="s">
        <v>515</v>
      </c>
      <c r="D492" t="s">
        <v>515</v>
      </c>
      <c r="E492" t="s">
        <v>15</v>
      </c>
      <c r="F492" t="s">
        <v>7972</v>
      </c>
      <c r="G492" t="s">
        <v>18110</v>
      </c>
      <c r="H492" t="s">
        <v>1121</v>
      </c>
      <c r="I492" t="s">
        <v>1117</v>
      </c>
      <c r="J492" t="s">
        <v>7973</v>
      </c>
      <c r="K492" t="s">
        <v>7974</v>
      </c>
      <c r="L492" t="s">
        <v>21</v>
      </c>
      <c r="M492" t="s">
        <v>19177</v>
      </c>
      <c r="N492" t="s">
        <v>478</v>
      </c>
      <c r="O492" t="s">
        <v>478</v>
      </c>
      <c r="P492" t="s">
        <v>454</v>
      </c>
    </row>
    <row r="493">
      <c r="A493">
        <f>HYPERLINK("http://bombeiros.sp.gov.br/hidrantes/03individual/1189.html","1189")</f>
      </c>
      <c r="B493" t="s">
        <v>454</v>
      </c>
      <c r="C493" t="s">
        <v>515</v>
      </c>
      <c r="D493" t="s">
        <v>7975</v>
      </c>
      <c r="E493" t="s">
        <v>15</v>
      </c>
      <c r="F493" t="s">
        <v>7994</v>
      </c>
      <c r="G493" t="s">
        <v>18091</v>
      </c>
      <c r="H493" t="s">
        <v>1121</v>
      </c>
      <c r="I493" t="s">
        <v>1117</v>
      </c>
      <c r="J493" t="s">
        <v>7995</v>
      </c>
      <c r="K493" t="s">
        <v>7996</v>
      </c>
      <c r="L493" t="s">
        <v>21</v>
      </c>
      <c r="M493" t="s">
        <v>19177</v>
      </c>
      <c r="N493" t="s">
        <v>478</v>
      </c>
      <c r="O493" t="s">
        <v>478</v>
      </c>
      <c r="P493" t="s">
        <v>454</v>
      </c>
    </row>
    <row r="494">
      <c r="A494">
        <f>HYPERLINK("http://bombeiros.sp.gov.br/hidrantes/03individual/17749.html","17749")</f>
      </c>
      <c r="B494" t="s">
        <v>454</v>
      </c>
      <c r="C494" t="s">
        <v>515</v>
      </c>
      <c r="D494" t="s">
        <v>7975</v>
      </c>
      <c r="E494" t="s">
        <v>15</v>
      </c>
      <c r="F494" t="s">
        <v>8027</v>
      </c>
      <c r="G494" t="s">
        <v>18116</v>
      </c>
      <c r="H494" t="s">
        <v>1121</v>
      </c>
      <c r="I494" t="s">
        <v>1117</v>
      </c>
      <c r="J494" t="s">
        <v>8028</v>
      </c>
      <c r="K494" t="s">
        <v>8029</v>
      </c>
      <c r="L494" t="s">
        <v>21</v>
      </c>
      <c r="M494" t="s">
        <v>19177</v>
      </c>
      <c r="N494" t="s">
        <v>478</v>
      </c>
      <c r="O494" t="s">
        <v>478</v>
      </c>
      <c r="P494" t="s">
        <v>454</v>
      </c>
    </row>
    <row r="495">
      <c r="A495">
        <f>HYPERLINK("http://bombeiros.sp.gov.br/hidrantes/03individual/17821.html","17821")</f>
      </c>
      <c r="B495" t="s">
        <v>454</v>
      </c>
      <c r="C495" t="s">
        <v>515</v>
      </c>
      <c r="D495" t="s">
        <v>7975</v>
      </c>
      <c r="E495" t="s">
        <v>15</v>
      </c>
      <c r="F495" t="s">
        <v>8030</v>
      </c>
      <c r="G495" t="s">
        <v>18117</v>
      </c>
      <c r="H495" t="s">
        <v>1121</v>
      </c>
      <c r="I495" t="s">
        <v>1117</v>
      </c>
      <c r="J495" t="s">
        <v>8031</v>
      </c>
      <c r="K495" t="s">
        <v>8032</v>
      </c>
      <c r="L495" t="s">
        <v>21</v>
      </c>
      <c r="M495" t="s">
        <v>19177</v>
      </c>
      <c r="N495" t="s">
        <v>478</v>
      </c>
      <c r="O495" t="s">
        <v>478</v>
      </c>
      <c r="P495" t="s">
        <v>454</v>
      </c>
    </row>
    <row r="496">
      <c r="A496">
        <f>HYPERLINK("http://bombeiros.sp.gov.br/hidrantes/03individual/17882.html","17882")</f>
      </c>
      <c r="B496" t="s">
        <v>454</v>
      </c>
      <c r="C496" t="s">
        <v>515</v>
      </c>
      <c r="D496" t="s">
        <v>7975</v>
      </c>
      <c r="E496" t="s">
        <v>15</v>
      </c>
      <c r="F496" t="s">
        <v>8033</v>
      </c>
      <c r="G496" t="s">
        <v>18116</v>
      </c>
      <c r="H496" t="s">
        <v>1121</v>
      </c>
      <c r="I496" t="s">
        <v>1117</v>
      </c>
      <c r="J496" t="s">
        <v>8034</v>
      </c>
      <c r="K496" t="s">
        <v>8035</v>
      </c>
      <c r="L496" t="s">
        <v>21</v>
      </c>
      <c r="M496" t="s">
        <v>19177</v>
      </c>
      <c r="N496" t="s">
        <v>478</v>
      </c>
      <c r="O496" t="s">
        <v>478</v>
      </c>
      <c r="P496" t="s">
        <v>454</v>
      </c>
    </row>
    <row r="497">
      <c r="A497">
        <f>HYPERLINK("http://bombeiros.sp.gov.br/hidrantes/03individual/27110.html","27110")</f>
      </c>
      <c r="B497" t="s">
        <v>454</v>
      </c>
      <c r="C497" t="s">
        <v>515</v>
      </c>
      <c r="D497" t="s">
        <v>7975</v>
      </c>
      <c r="E497" t="s">
        <v>15</v>
      </c>
      <c r="F497" t="s">
        <v>19117</v>
      </c>
      <c r="G497" t="s">
        <v>18108</v>
      </c>
      <c r="H497" t="s">
        <v>1121</v>
      </c>
      <c r="I497" t="s">
        <v>1117</v>
      </c>
      <c r="J497" t="s">
        <v>16785</v>
      </c>
      <c r="K497" t="s">
        <v>16786</v>
      </c>
      <c r="L497" t="s">
        <v>21</v>
      </c>
      <c r="M497" t="s">
        <v>19177</v>
      </c>
      <c r="N497" t="s">
        <v>478</v>
      </c>
      <c r="O497" t="s">
        <v>478</v>
      </c>
      <c r="P497" t="s">
        <v>454</v>
      </c>
    </row>
    <row r="498">
      <c r="A498">
        <f>HYPERLINK("http://bombeiros.sp.gov.br/hidrantes/03individual/5560.html","5560")</f>
      </c>
      <c r="B498" t="s">
        <v>454</v>
      </c>
      <c r="C498" t="s">
        <v>8036</v>
      </c>
      <c r="D498" t="s">
        <v>8036</v>
      </c>
      <c r="E498" t="s">
        <v>64</v>
      </c>
      <c r="F498" t="s">
        <v>8056</v>
      </c>
      <c r="G498" t="s">
        <v>18062</v>
      </c>
      <c r="H498" t="s">
        <v>1121</v>
      </c>
      <c r="I498" t="s">
        <v>1117</v>
      </c>
      <c r="J498" t="s">
        <v>8057</v>
      </c>
      <c r="K498" t="s">
        <v>8058</v>
      </c>
      <c r="L498" t="s">
        <v>21</v>
      </c>
      <c r="M498" t="s">
        <v>19177</v>
      </c>
      <c r="N498" t="s">
        <v>478</v>
      </c>
      <c r="O498" t="s">
        <v>478</v>
      </c>
      <c r="P498" t="s">
        <v>454</v>
      </c>
    </row>
    <row r="499">
      <c r="A499">
        <f>HYPERLINK("http://bombeiros.sp.gov.br/hidrantes/03individual/3899.html","3899")</f>
      </c>
      <c r="B499" t="s">
        <v>454</v>
      </c>
      <c r="C499" t="s">
        <v>8036</v>
      </c>
      <c r="D499" t="s">
        <v>8036</v>
      </c>
      <c r="E499" t="s">
        <v>15</v>
      </c>
      <c r="F499" t="s">
        <v>8116</v>
      </c>
      <c r="G499" t="s">
        <v>18072</v>
      </c>
      <c r="H499" t="s">
        <v>1121</v>
      </c>
      <c r="I499" t="s">
        <v>1117</v>
      </c>
      <c r="J499" t="s">
        <v>8117</v>
      </c>
      <c r="K499" t="s">
        <v>8118</v>
      </c>
      <c r="L499" t="s">
        <v>21</v>
      </c>
      <c r="M499" t="s">
        <v>19177</v>
      </c>
      <c r="N499" t="s">
        <v>478</v>
      </c>
      <c r="O499" t="s">
        <v>478</v>
      </c>
      <c r="P499" t="s">
        <v>454</v>
      </c>
    </row>
    <row r="500">
      <c r="A500">
        <f>HYPERLINK("http://bombeiros.sp.gov.br/hidrantes/03individual/26783.html","26783")</f>
      </c>
      <c r="B500" t="s">
        <v>454</v>
      </c>
      <c r="C500" t="s">
        <v>8036</v>
      </c>
      <c r="D500" t="s">
        <v>8036</v>
      </c>
      <c r="E500" t="s">
        <v>15</v>
      </c>
      <c r="F500" t="s">
        <v>15799</v>
      </c>
      <c r="G500" t="s">
        <v>18119</v>
      </c>
      <c r="H500" t="s">
        <v>1121</v>
      </c>
      <c r="I500" t="s">
        <v>1117</v>
      </c>
      <c r="J500" t="s">
        <v>15800</v>
      </c>
      <c r="K500" t="s">
        <v>15801</v>
      </c>
      <c r="L500" t="s">
        <v>21</v>
      </c>
      <c r="M500" t="s">
        <v>19177</v>
      </c>
      <c r="N500" t="s">
        <v>478</v>
      </c>
      <c r="O500" t="s">
        <v>478</v>
      </c>
      <c r="P500" t="s">
        <v>454</v>
      </c>
    </row>
    <row r="501">
      <c r="A501">
        <f>HYPERLINK("http://bombeiros.sp.gov.br/hidrantes/03individual/28071.html","28071")</f>
      </c>
      <c r="B501" t="s">
        <v>454</v>
      </c>
      <c r="C501" t="s">
        <v>8036</v>
      </c>
      <c r="D501" t="s">
        <v>8036</v>
      </c>
      <c r="E501" t="s">
        <v>15</v>
      </c>
      <c r="F501" t="s">
        <v>18120</v>
      </c>
      <c r="G501" t="s">
        <v>18066</v>
      </c>
      <c r="H501" t="s">
        <v>1121</v>
      </c>
      <c r="I501" t="s">
        <v>1117</v>
      </c>
      <c r="J501" t="s">
        <v>18121</v>
      </c>
      <c r="K501" t="s">
        <v>18122</v>
      </c>
      <c r="L501" t="s">
        <v>21</v>
      </c>
      <c r="M501" t="s">
        <v>19177</v>
      </c>
      <c r="N501" t="s">
        <v>531</v>
      </c>
      <c r="O501" t="s">
        <v>531</v>
      </c>
      <c r="P501" t="s">
        <v>454</v>
      </c>
    </row>
    <row r="502">
      <c r="A502">
        <f>HYPERLINK("http://bombeiros.sp.gov.br/hidrantes/03individual/3945.html","3945")</f>
      </c>
      <c r="B502" t="s">
        <v>454</v>
      </c>
      <c r="C502" t="s">
        <v>8128</v>
      </c>
      <c r="D502" t="s">
        <v>8128</v>
      </c>
      <c r="E502" t="s">
        <v>64</v>
      </c>
      <c r="F502" t="s">
        <v>8129</v>
      </c>
      <c r="G502" t="s">
        <v>18169</v>
      </c>
      <c r="H502" t="s">
        <v>1121</v>
      </c>
      <c r="I502" t="s">
        <v>1117</v>
      </c>
      <c r="J502" t="s">
        <v>8130</v>
      </c>
      <c r="K502" t="s">
        <v>8131</v>
      </c>
      <c r="L502" t="s">
        <v>21</v>
      </c>
      <c r="M502" t="s">
        <v>19177</v>
      </c>
      <c r="N502" t="s">
        <v>519</v>
      </c>
      <c r="O502" t="s">
        <v>519</v>
      </c>
      <c r="P502" t="s">
        <v>454</v>
      </c>
    </row>
    <row r="503">
      <c r="A503">
        <f>HYPERLINK("http://bombeiros.sp.gov.br/hidrantes/03individual/26899.html","26899")</f>
      </c>
      <c r="B503" t="s">
        <v>454</v>
      </c>
      <c r="C503" t="s">
        <v>8128</v>
      </c>
      <c r="D503" t="s">
        <v>8128</v>
      </c>
      <c r="E503" t="s">
        <v>64</v>
      </c>
      <c r="F503" t="s">
        <v>16327</v>
      </c>
      <c r="G503" t="s">
        <v>18072</v>
      </c>
      <c r="H503" t="s">
        <v>1121</v>
      </c>
      <c r="I503" t="s">
        <v>1117</v>
      </c>
      <c r="J503" t="s">
        <v>16328</v>
      </c>
      <c r="K503" t="s">
        <v>16329</v>
      </c>
      <c r="L503" t="s">
        <v>21</v>
      </c>
      <c r="M503" t="s">
        <v>19177</v>
      </c>
      <c r="N503" t="s">
        <v>519</v>
      </c>
      <c r="O503" t="s">
        <v>519</v>
      </c>
      <c r="P503" t="s">
        <v>454</v>
      </c>
    </row>
    <row r="504">
      <c r="A504">
        <f>HYPERLINK("http://bombeiros.sp.gov.br/hidrantes/03individual/3963.html","3963")</f>
      </c>
      <c r="B504" t="s">
        <v>454</v>
      </c>
      <c r="C504" t="s">
        <v>8128</v>
      </c>
      <c r="D504" t="s">
        <v>8128</v>
      </c>
      <c r="E504" t="s">
        <v>15</v>
      </c>
      <c r="F504" t="s">
        <v>8150</v>
      </c>
      <c r="G504" t="s">
        <v>18072</v>
      </c>
      <c r="H504" t="s">
        <v>1121</v>
      </c>
      <c r="I504" t="s">
        <v>1117</v>
      </c>
      <c r="J504" t="s">
        <v>8151</v>
      </c>
      <c r="K504" t="s">
        <v>8152</v>
      </c>
      <c r="L504" t="s">
        <v>21</v>
      </c>
      <c r="M504" t="s">
        <v>19177</v>
      </c>
      <c r="N504" t="s">
        <v>519</v>
      </c>
      <c r="O504" t="s">
        <v>519</v>
      </c>
      <c r="P504" t="s">
        <v>454</v>
      </c>
    </row>
    <row r="505">
      <c r="A505">
        <f>HYPERLINK("http://bombeiros.sp.gov.br/hidrantes/03individual/1169.html","1169")</f>
      </c>
      <c r="B505" t="s">
        <v>454</v>
      </c>
      <c r="C505" t="s">
        <v>519</v>
      </c>
      <c r="D505" t="s">
        <v>519</v>
      </c>
      <c r="E505" t="s">
        <v>15</v>
      </c>
      <c r="F505" t="s">
        <v>8171</v>
      </c>
      <c r="G505" t="s">
        <v>18096</v>
      </c>
      <c r="H505" t="s">
        <v>1121</v>
      </c>
      <c r="I505" t="s">
        <v>1117</v>
      </c>
      <c r="J505" t="s">
        <v>8172</v>
      </c>
      <c r="K505" t="s">
        <v>8173</v>
      </c>
      <c r="L505" t="s">
        <v>21</v>
      </c>
      <c r="M505" t="s">
        <v>19177</v>
      </c>
      <c r="N505" t="s">
        <v>519</v>
      </c>
      <c r="O505" t="s">
        <v>519</v>
      </c>
      <c r="P505" t="s">
        <v>454</v>
      </c>
    </row>
    <row r="506">
      <c r="A506">
        <f>HYPERLINK("http://bombeiros.sp.gov.br/hidrantes/03individual/1256.html","1256")</f>
      </c>
      <c r="B506" t="s">
        <v>454</v>
      </c>
      <c r="C506" t="s">
        <v>519</v>
      </c>
      <c r="D506" t="s">
        <v>519</v>
      </c>
      <c r="E506" t="s">
        <v>15</v>
      </c>
      <c r="F506" t="s">
        <v>8174</v>
      </c>
      <c r="G506" t="s">
        <v>18048</v>
      </c>
      <c r="H506" t="s">
        <v>1121</v>
      </c>
      <c r="I506" t="s">
        <v>1117</v>
      </c>
      <c r="J506" t="s">
        <v>8175</v>
      </c>
      <c r="K506" t="s">
        <v>8176</v>
      </c>
      <c r="L506" t="s">
        <v>21</v>
      </c>
      <c r="M506" t="s">
        <v>19177</v>
      </c>
      <c r="N506" t="s">
        <v>478</v>
      </c>
      <c r="O506" t="s">
        <v>478</v>
      </c>
      <c r="P506" t="s">
        <v>454</v>
      </c>
    </row>
    <row r="507">
      <c r="A507">
        <f>HYPERLINK("http://bombeiros.sp.gov.br/hidrantes/03individual/1323.html","1323")</f>
      </c>
      <c r="B507" t="s">
        <v>454</v>
      </c>
      <c r="C507" t="s">
        <v>519</v>
      </c>
      <c r="D507" t="s">
        <v>519</v>
      </c>
      <c r="E507" t="s">
        <v>15</v>
      </c>
      <c r="F507" t="s">
        <v>520</v>
      </c>
      <c r="G507" t="s">
        <v>18048</v>
      </c>
      <c r="H507" t="s">
        <v>1121</v>
      </c>
      <c r="I507" t="s">
        <v>1117</v>
      </c>
      <c r="J507" t="s">
        <v>522</v>
      </c>
      <c r="K507" t="s">
        <v>523</v>
      </c>
      <c r="L507" t="s">
        <v>21</v>
      </c>
      <c r="M507" t="s">
        <v>19177</v>
      </c>
      <c r="N507" t="s">
        <v>478</v>
      </c>
      <c r="O507" t="s">
        <v>478</v>
      </c>
      <c r="P507" t="s">
        <v>454</v>
      </c>
    </row>
    <row r="508">
      <c r="A508">
        <f>HYPERLINK("http://bombeiros.sp.gov.br/hidrantes/03individual/17822.html","17822")</f>
      </c>
      <c r="B508" t="s">
        <v>454</v>
      </c>
      <c r="C508" t="s">
        <v>519</v>
      </c>
      <c r="D508" t="s">
        <v>519</v>
      </c>
      <c r="E508" t="s">
        <v>15</v>
      </c>
      <c r="F508" t="s">
        <v>524</v>
      </c>
      <c r="G508" t="s">
        <v>18048</v>
      </c>
      <c r="H508" t="s">
        <v>1121</v>
      </c>
      <c r="I508" t="s">
        <v>1117</v>
      </c>
      <c r="J508" t="s">
        <v>525</v>
      </c>
      <c r="K508" t="s">
        <v>526</v>
      </c>
      <c r="L508" t="s">
        <v>21</v>
      </c>
      <c r="M508" t="s">
        <v>19177</v>
      </c>
      <c r="N508" t="s">
        <v>478</v>
      </c>
      <c r="O508" t="s">
        <v>478</v>
      </c>
      <c r="P508" t="s">
        <v>454</v>
      </c>
    </row>
    <row r="509">
      <c r="A509">
        <f>HYPERLINK("http://bombeiros.sp.gov.br/hidrantes/03individual/972.html","972")</f>
      </c>
      <c r="B509" t="s">
        <v>454</v>
      </c>
      <c r="C509" t="s">
        <v>519</v>
      </c>
      <c r="D509" t="s">
        <v>527</v>
      </c>
      <c r="E509" t="s">
        <v>15</v>
      </c>
      <c r="F509" t="s">
        <v>8222</v>
      </c>
      <c r="G509" t="s">
        <v>18085</v>
      </c>
      <c r="H509" t="s">
        <v>1121</v>
      </c>
      <c r="I509" t="s">
        <v>1117</v>
      </c>
      <c r="J509" t="s">
        <v>8223</v>
      </c>
      <c r="K509" t="s">
        <v>8224</v>
      </c>
      <c r="L509" t="s">
        <v>21</v>
      </c>
      <c r="M509" t="s">
        <v>19177</v>
      </c>
      <c r="N509" t="s">
        <v>519</v>
      </c>
      <c r="O509" t="s">
        <v>519</v>
      </c>
      <c r="P509" t="s">
        <v>454</v>
      </c>
    </row>
    <row r="510">
      <c r="A510">
        <f>HYPERLINK("http://bombeiros.sp.gov.br/hidrantes/03individual/1204.html","1204")</f>
      </c>
      <c r="B510" t="s">
        <v>454</v>
      </c>
      <c r="C510" t="s">
        <v>519</v>
      </c>
      <c r="D510" t="s">
        <v>527</v>
      </c>
      <c r="E510" t="s">
        <v>15</v>
      </c>
      <c r="F510" t="s">
        <v>8255</v>
      </c>
      <c r="G510" t="s">
        <v>18080</v>
      </c>
      <c r="H510" t="s">
        <v>1121</v>
      </c>
      <c r="I510" t="s">
        <v>1117</v>
      </c>
      <c r="J510" t="s">
        <v>8256</v>
      </c>
      <c r="K510" t="s">
        <v>8257</v>
      </c>
      <c r="L510" t="s">
        <v>21</v>
      </c>
      <c r="M510" t="s">
        <v>19177</v>
      </c>
      <c r="N510" t="s">
        <v>519</v>
      </c>
      <c r="O510" t="s">
        <v>519</v>
      </c>
      <c r="P510" t="s">
        <v>454</v>
      </c>
    </row>
    <row r="511">
      <c r="A511">
        <f>HYPERLINK("http://bombeiros.sp.gov.br/hidrantes/03individual/5558.html","5558")</f>
      </c>
      <c r="B511" t="s">
        <v>454</v>
      </c>
      <c r="C511" t="s">
        <v>519</v>
      </c>
      <c r="D511" t="s">
        <v>527</v>
      </c>
      <c r="E511" t="s">
        <v>15</v>
      </c>
      <c r="F511" t="s">
        <v>8312</v>
      </c>
      <c r="G511" t="s">
        <v>18118</v>
      </c>
      <c r="H511" t="s">
        <v>1121</v>
      </c>
      <c r="I511" t="s">
        <v>1117</v>
      </c>
      <c r="J511" t="s">
        <v>8313</v>
      </c>
      <c r="K511" t="s">
        <v>8314</v>
      </c>
      <c r="L511" t="s">
        <v>21</v>
      </c>
      <c r="M511" t="s">
        <v>19177</v>
      </c>
      <c r="N511" t="s">
        <v>478</v>
      </c>
      <c r="O511" t="s">
        <v>478</v>
      </c>
      <c r="P511" t="s">
        <v>454</v>
      </c>
    </row>
    <row r="512">
      <c r="A512">
        <f>HYPERLINK("http://bombeiros.sp.gov.br/hidrantes/03individual/17823.html","17823")</f>
      </c>
      <c r="B512" t="s">
        <v>454</v>
      </c>
      <c r="C512" t="s">
        <v>519</v>
      </c>
      <c r="D512" t="s">
        <v>527</v>
      </c>
      <c r="E512" t="s">
        <v>15</v>
      </c>
      <c r="F512" t="s">
        <v>528</v>
      </c>
      <c r="G512" t="s">
        <v>18107</v>
      </c>
      <c r="H512" t="s">
        <v>1121</v>
      </c>
      <c r="I512" t="s">
        <v>1117</v>
      </c>
      <c r="J512" t="s">
        <v>529</v>
      </c>
      <c r="K512" t="s">
        <v>530</v>
      </c>
      <c r="L512" t="s">
        <v>21</v>
      </c>
      <c r="M512" t="s">
        <v>19177</v>
      </c>
      <c r="N512" t="s">
        <v>478</v>
      </c>
      <c r="O512" t="s">
        <v>478</v>
      </c>
      <c r="P512" t="s">
        <v>454</v>
      </c>
    </row>
    <row r="513">
      <c r="A513">
        <f>HYPERLINK("http://bombeiros.sp.gov.br/hidrantes/03individual/3568.html","3568")</f>
      </c>
      <c r="B513" t="s">
        <v>454</v>
      </c>
      <c r="C513" t="s">
        <v>531</v>
      </c>
      <c r="D513" t="s">
        <v>532</v>
      </c>
      <c r="E513" t="s">
        <v>64</v>
      </c>
      <c r="F513" t="s">
        <v>8330</v>
      </c>
      <c r="G513" t="s">
        <v>18200</v>
      </c>
      <c r="H513" t="s">
        <v>1121</v>
      </c>
      <c r="I513" t="s">
        <v>1117</v>
      </c>
      <c r="J513" t="s">
        <v>8331</v>
      </c>
      <c r="K513" t="s">
        <v>8332</v>
      </c>
      <c r="L513" t="s">
        <v>36</v>
      </c>
      <c r="M513" t="s">
        <v>19177</v>
      </c>
      <c r="N513" t="s">
        <v>531</v>
      </c>
      <c r="O513" t="s">
        <v>531</v>
      </c>
      <c r="P513" t="s">
        <v>454</v>
      </c>
    </row>
    <row r="514">
      <c r="A514">
        <f>HYPERLINK("http://bombeiros.sp.gov.br/hidrantes/03individual/677.html","677")</f>
      </c>
      <c r="B514" t="s">
        <v>454</v>
      </c>
      <c r="C514" t="s">
        <v>531</v>
      </c>
      <c r="D514" t="s">
        <v>532</v>
      </c>
      <c r="E514" t="s">
        <v>15</v>
      </c>
      <c r="F514" t="s">
        <v>8345</v>
      </c>
      <c r="G514" t="s">
        <v>18484</v>
      </c>
      <c r="H514" t="s">
        <v>1121</v>
      </c>
      <c r="I514" t="s">
        <v>1117</v>
      </c>
      <c r="J514" t="s">
        <v>8346</v>
      </c>
      <c r="K514" t="s">
        <v>8347</v>
      </c>
      <c r="L514" t="s">
        <v>21</v>
      </c>
      <c r="M514" t="s">
        <v>19177</v>
      </c>
      <c r="N514" t="s">
        <v>531</v>
      </c>
      <c r="O514" t="s">
        <v>531</v>
      </c>
      <c r="P514" t="s">
        <v>454</v>
      </c>
    </row>
    <row r="515">
      <c r="A515">
        <f>HYPERLINK("http://bombeiros.sp.gov.br/hidrantes/03individual/2238.html","2238")</f>
      </c>
      <c r="B515" t="s">
        <v>454</v>
      </c>
      <c r="C515" t="s">
        <v>531</v>
      </c>
      <c r="D515" t="s">
        <v>532</v>
      </c>
      <c r="E515" t="s">
        <v>15</v>
      </c>
      <c r="F515" t="s">
        <v>8366</v>
      </c>
      <c r="G515" t="s">
        <v>18484</v>
      </c>
      <c r="H515" t="s">
        <v>1121</v>
      </c>
      <c r="I515" t="s">
        <v>1117</v>
      </c>
      <c r="J515" t="s">
        <v>8367</v>
      </c>
      <c r="K515" t="s">
        <v>8368</v>
      </c>
      <c r="L515" t="s">
        <v>36</v>
      </c>
      <c r="M515" t="s">
        <v>19177</v>
      </c>
      <c r="N515" t="s">
        <v>531</v>
      </c>
      <c r="O515" t="s">
        <v>531</v>
      </c>
      <c r="P515" t="s">
        <v>454</v>
      </c>
    </row>
    <row r="516">
      <c r="A516">
        <f>HYPERLINK("http://bombeiros.sp.gov.br/hidrantes/03individual/3989.html","3989")</f>
      </c>
      <c r="B516" t="s">
        <v>454</v>
      </c>
      <c r="C516" t="s">
        <v>531</v>
      </c>
      <c r="D516" t="s">
        <v>532</v>
      </c>
      <c r="E516" t="s">
        <v>15</v>
      </c>
      <c r="F516" t="s">
        <v>537</v>
      </c>
      <c r="G516" t="s">
        <v>18125</v>
      </c>
      <c r="H516" t="s">
        <v>1121</v>
      </c>
      <c r="I516" t="s">
        <v>1117</v>
      </c>
      <c r="J516" t="s">
        <v>539</v>
      </c>
      <c r="K516" t="s">
        <v>540</v>
      </c>
      <c r="L516" t="s">
        <v>21</v>
      </c>
      <c r="M516" t="s">
        <v>19177</v>
      </c>
      <c r="N516" t="s">
        <v>531</v>
      </c>
      <c r="O516" t="s">
        <v>531</v>
      </c>
      <c r="P516" t="s">
        <v>454</v>
      </c>
    </row>
    <row r="517">
      <c r="A517">
        <f>HYPERLINK("http://bombeiros.sp.gov.br/hidrantes/03individual/5252.html","5252")</f>
      </c>
      <c r="B517" t="s">
        <v>454</v>
      </c>
      <c r="C517" t="s">
        <v>531</v>
      </c>
      <c r="D517" t="s">
        <v>532</v>
      </c>
      <c r="E517" t="s">
        <v>15</v>
      </c>
      <c r="F517" t="s">
        <v>541</v>
      </c>
      <c r="G517" t="s">
        <v>18124</v>
      </c>
      <c r="H517" t="s">
        <v>1121</v>
      </c>
      <c r="I517" t="s">
        <v>1117</v>
      </c>
      <c r="J517" t="s">
        <v>543</v>
      </c>
      <c r="K517" t="s">
        <v>544</v>
      </c>
      <c r="L517" t="s">
        <v>21</v>
      </c>
      <c r="M517" t="s">
        <v>19177</v>
      </c>
      <c r="N517" t="s">
        <v>531</v>
      </c>
      <c r="O517" t="s">
        <v>531</v>
      </c>
      <c r="P517" t="s">
        <v>454</v>
      </c>
    </row>
    <row r="518">
      <c r="A518">
        <f>HYPERLINK("http://bombeiros.sp.gov.br/hidrantes/03individual/532.html","532")</f>
      </c>
      <c r="B518" t="s">
        <v>454</v>
      </c>
      <c r="C518" t="s">
        <v>531</v>
      </c>
      <c r="D518" t="s">
        <v>549</v>
      </c>
      <c r="E518" t="s">
        <v>15</v>
      </c>
      <c r="F518" t="s">
        <v>8421</v>
      </c>
      <c r="G518" t="s">
        <v>18071</v>
      </c>
      <c r="H518" t="s">
        <v>1121</v>
      </c>
      <c r="I518" t="s">
        <v>1117</v>
      </c>
      <c r="J518" t="s">
        <v>8422</v>
      </c>
      <c r="K518" t="s">
        <v>8423</v>
      </c>
      <c r="L518" t="s">
        <v>21</v>
      </c>
      <c r="M518" t="s">
        <v>19177</v>
      </c>
      <c r="N518" t="s">
        <v>531</v>
      </c>
      <c r="O518" t="s">
        <v>531</v>
      </c>
      <c r="P518" t="s">
        <v>454</v>
      </c>
    </row>
    <row r="519">
      <c r="A519">
        <f>HYPERLINK("http://bombeiros.sp.gov.br/hidrantes/03individual/16564.html","16564")</f>
      </c>
      <c r="B519" t="s">
        <v>454</v>
      </c>
      <c r="C519" t="s">
        <v>531</v>
      </c>
      <c r="D519" t="s">
        <v>8466</v>
      </c>
      <c r="E519" t="s">
        <v>64</v>
      </c>
      <c r="F519" t="s">
        <v>8473</v>
      </c>
      <c r="G519" t="s">
        <v>18126</v>
      </c>
      <c r="H519" t="s">
        <v>1121</v>
      </c>
      <c r="I519" t="s">
        <v>1117</v>
      </c>
      <c r="J519" t="s">
        <v>8474</v>
      </c>
      <c r="K519" t="s">
        <v>8475</v>
      </c>
      <c r="L519" t="s">
        <v>21</v>
      </c>
      <c r="M519" t="s">
        <v>19177</v>
      </c>
      <c r="N519" t="s">
        <v>531</v>
      </c>
      <c r="O519" t="s">
        <v>531</v>
      </c>
      <c r="P519" t="s">
        <v>454</v>
      </c>
    </row>
    <row r="520">
      <c r="A520">
        <f>HYPERLINK("http://bombeiros.sp.gov.br/hidrantes/03individual/16565.html","16565")</f>
      </c>
      <c r="B520" t="s">
        <v>454</v>
      </c>
      <c r="C520" t="s">
        <v>531</v>
      </c>
      <c r="D520" t="s">
        <v>8466</v>
      </c>
      <c r="E520" t="s">
        <v>64</v>
      </c>
      <c r="F520" t="s">
        <v>8476</v>
      </c>
      <c r="G520" t="s">
        <v>18126</v>
      </c>
      <c r="H520" t="s">
        <v>1121</v>
      </c>
      <c r="I520" t="s">
        <v>1117</v>
      </c>
      <c r="J520" t="s">
        <v>8477</v>
      </c>
      <c r="K520" t="s">
        <v>8478</v>
      </c>
      <c r="L520" t="s">
        <v>21</v>
      </c>
      <c r="M520" t="s">
        <v>19177</v>
      </c>
      <c r="N520" t="s">
        <v>531</v>
      </c>
      <c r="O520" t="s">
        <v>531</v>
      </c>
      <c r="P520" t="s">
        <v>454</v>
      </c>
    </row>
    <row r="521">
      <c r="A521">
        <f>HYPERLINK("http://bombeiros.sp.gov.br/hidrantes/03individual/3576.html","3576")</f>
      </c>
      <c r="B521" t="s">
        <v>454</v>
      </c>
      <c r="C521" t="s">
        <v>531</v>
      </c>
      <c r="D521" t="s">
        <v>553</v>
      </c>
      <c r="E521" t="s">
        <v>64</v>
      </c>
      <c r="F521" t="s">
        <v>554</v>
      </c>
      <c r="G521" t="s">
        <v>18069</v>
      </c>
      <c r="H521" t="s">
        <v>1121</v>
      </c>
      <c r="I521" t="s">
        <v>1117</v>
      </c>
      <c r="J521" t="s">
        <v>555</v>
      </c>
      <c r="K521" t="s">
        <v>556</v>
      </c>
      <c r="L521" t="s">
        <v>21</v>
      </c>
      <c r="M521" t="s">
        <v>19177</v>
      </c>
      <c r="N521" t="s">
        <v>531</v>
      </c>
      <c r="O521" t="s">
        <v>531</v>
      </c>
      <c r="P521" t="s">
        <v>454</v>
      </c>
    </row>
    <row r="522">
      <c r="A522">
        <f>HYPERLINK("http://bombeiros.sp.gov.br/hidrantes/03individual/594.html","594")</f>
      </c>
      <c r="B522" t="s">
        <v>454</v>
      </c>
      <c r="C522" t="s">
        <v>531</v>
      </c>
      <c r="D522" t="s">
        <v>553</v>
      </c>
      <c r="E522" t="s">
        <v>15</v>
      </c>
      <c r="F522" t="s">
        <v>8500</v>
      </c>
      <c r="G522" t="s">
        <v>18200</v>
      </c>
      <c r="H522" t="s">
        <v>1121</v>
      </c>
      <c r="I522" t="s">
        <v>1117</v>
      </c>
      <c r="J522" t="s">
        <v>8501</v>
      </c>
      <c r="K522" t="s">
        <v>8502</v>
      </c>
      <c r="L522" t="s">
        <v>21</v>
      </c>
      <c r="M522" t="s">
        <v>19177</v>
      </c>
      <c r="N522" t="s">
        <v>531</v>
      </c>
      <c r="O522" t="s">
        <v>531</v>
      </c>
      <c r="P522" t="s">
        <v>454</v>
      </c>
    </row>
    <row r="523">
      <c r="A523">
        <f>HYPERLINK("http://bombeiros.sp.gov.br/hidrantes/03individual/2114.html","2114")</f>
      </c>
      <c r="B523" t="s">
        <v>454</v>
      </c>
      <c r="C523" t="s">
        <v>531</v>
      </c>
      <c r="D523" t="s">
        <v>8555</v>
      </c>
      <c r="E523" t="s">
        <v>64</v>
      </c>
      <c r="F523" t="s">
        <v>8559</v>
      </c>
      <c r="G523" t="s">
        <v>18043</v>
      </c>
      <c r="H523" t="s">
        <v>1121</v>
      </c>
      <c r="I523" t="s">
        <v>1117</v>
      </c>
      <c r="J523" t="s">
        <v>8560</v>
      </c>
      <c r="K523" t="s">
        <v>8561</v>
      </c>
      <c r="L523" t="s">
        <v>36</v>
      </c>
      <c r="M523" t="s">
        <v>19177</v>
      </c>
      <c r="N523" t="s">
        <v>531</v>
      </c>
      <c r="O523" t="s">
        <v>531</v>
      </c>
      <c r="P523" t="s">
        <v>454</v>
      </c>
    </row>
    <row r="524">
      <c r="A524">
        <f>HYPERLINK("http://bombeiros.sp.gov.br/hidrantes/03individual/2179.html","2179")</f>
      </c>
      <c r="B524" t="s">
        <v>454</v>
      </c>
      <c r="C524" t="s">
        <v>531</v>
      </c>
      <c r="D524" t="s">
        <v>8555</v>
      </c>
      <c r="E524" t="s">
        <v>64</v>
      </c>
      <c r="F524" t="s">
        <v>8562</v>
      </c>
      <c r="G524" t="s">
        <v>18043</v>
      </c>
      <c r="H524" t="s">
        <v>1121</v>
      </c>
      <c r="I524" t="s">
        <v>1117</v>
      </c>
      <c r="J524" t="s">
        <v>8563</v>
      </c>
      <c r="K524" t="s">
        <v>8564</v>
      </c>
      <c r="L524" t="s">
        <v>36</v>
      </c>
      <c r="M524" t="s">
        <v>19177</v>
      </c>
      <c r="N524" t="s">
        <v>531</v>
      </c>
      <c r="O524" t="s">
        <v>531</v>
      </c>
      <c r="P524" t="s">
        <v>454</v>
      </c>
    </row>
    <row r="525">
      <c r="A525">
        <f>HYPERLINK("http://bombeiros.sp.gov.br/hidrantes/03individual/26785.html","26785")</f>
      </c>
      <c r="B525" t="s">
        <v>454</v>
      </c>
      <c r="C525" t="s">
        <v>531</v>
      </c>
      <c r="D525" t="s">
        <v>8555</v>
      </c>
      <c r="E525" t="s">
        <v>15</v>
      </c>
      <c r="F525" t="s">
        <v>15803</v>
      </c>
      <c r="G525" t="s">
        <v>18485</v>
      </c>
      <c r="H525" t="s">
        <v>1121</v>
      </c>
      <c r="I525" t="s">
        <v>1117</v>
      </c>
      <c r="J525" t="s">
        <v>15804</v>
      </c>
      <c r="K525" t="s">
        <v>15805</v>
      </c>
      <c r="L525" t="s">
        <v>21</v>
      </c>
      <c r="M525" t="s">
        <v>19177</v>
      </c>
      <c r="N525" t="s">
        <v>531</v>
      </c>
      <c r="O525" t="s">
        <v>531</v>
      </c>
      <c r="P525" t="s">
        <v>454</v>
      </c>
    </row>
    <row r="526">
      <c r="A526">
        <f>HYPERLINK("http://bombeiros.sp.gov.br/hidrantes/03individual/2771.html","2771")</f>
      </c>
      <c r="B526" t="s">
        <v>454</v>
      </c>
      <c r="C526" t="s">
        <v>531</v>
      </c>
      <c r="D526" t="s">
        <v>8571</v>
      </c>
      <c r="E526" t="s">
        <v>64</v>
      </c>
      <c r="F526" t="s">
        <v>8578</v>
      </c>
      <c r="G526" t="s">
        <v>18043</v>
      </c>
      <c r="H526" t="s">
        <v>1121</v>
      </c>
      <c r="I526" t="s">
        <v>1117</v>
      </c>
      <c r="J526" t="s">
        <v>8579</v>
      </c>
      <c r="K526" t="s">
        <v>8580</v>
      </c>
      <c r="L526" t="s">
        <v>21</v>
      </c>
      <c r="M526" t="s">
        <v>19177</v>
      </c>
      <c r="N526" t="s">
        <v>531</v>
      </c>
      <c r="O526" t="s">
        <v>531</v>
      </c>
      <c r="P526" t="s">
        <v>454</v>
      </c>
    </row>
    <row r="527">
      <c r="A527">
        <f>HYPERLINK("http://bombeiros.sp.gov.br/hidrantes/03individual/5496.html","5496")</f>
      </c>
      <c r="B527" t="s">
        <v>454</v>
      </c>
      <c r="C527" t="s">
        <v>560</v>
      </c>
      <c r="D527" t="s">
        <v>8587</v>
      </c>
      <c r="E527" t="s">
        <v>64</v>
      </c>
      <c r="F527" t="s">
        <v>8600</v>
      </c>
      <c r="G527" t="s">
        <v>18204</v>
      </c>
      <c r="H527" t="s">
        <v>1121</v>
      </c>
      <c r="I527" t="s">
        <v>1117</v>
      </c>
      <c r="J527" t="s">
        <v>8601</v>
      </c>
      <c r="K527" t="s">
        <v>8602</v>
      </c>
      <c r="L527" t="s">
        <v>21</v>
      </c>
      <c r="M527" t="s">
        <v>19177</v>
      </c>
      <c r="N527" t="s">
        <v>519</v>
      </c>
      <c r="O527" t="s">
        <v>519</v>
      </c>
      <c r="P527" t="s">
        <v>454</v>
      </c>
    </row>
    <row r="528">
      <c r="A528">
        <f>HYPERLINK("http://bombeiros.sp.gov.br/hidrantes/03individual/1100.html","1100")</f>
      </c>
      <c r="B528" t="s">
        <v>454</v>
      </c>
      <c r="C528" t="s">
        <v>560</v>
      </c>
      <c r="D528" t="s">
        <v>8587</v>
      </c>
      <c r="E528" t="s">
        <v>15</v>
      </c>
      <c r="F528" t="s">
        <v>8609</v>
      </c>
      <c r="G528" t="s">
        <v>18204</v>
      </c>
      <c r="H528" t="s">
        <v>1121</v>
      </c>
      <c r="I528" t="s">
        <v>1117</v>
      </c>
      <c r="J528" t="s">
        <v>8610</v>
      </c>
      <c r="K528" t="s">
        <v>8611</v>
      </c>
      <c r="L528" t="s">
        <v>21</v>
      </c>
      <c r="M528" t="s">
        <v>19177</v>
      </c>
      <c r="N528" t="s">
        <v>519</v>
      </c>
      <c r="O528" t="s">
        <v>519</v>
      </c>
      <c r="P528" t="s">
        <v>454</v>
      </c>
    </row>
    <row r="529">
      <c r="A529">
        <f>HYPERLINK("http://bombeiros.sp.gov.br/hidrantes/03individual/1303.html","1303")</f>
      </c>
      <c r="B529" t="s">
        <v>454</v>
      </c>
      <c r="C529" t="s">
        <v>560</v>
      </c>
      <c r="D529" t="s">
        <v>560</v>
      </c>
      <c r="E529" t="s">
        <v>64</v>
      </c>
      <c r="F529" t="s">
        <v>8630</v>
      </c>
      <c r="G529" t="s">
        <v>18075</v>
      </c>
      <c r="H529" t="s">
        <v>1121</v>
      </c>
      <c r="I529" t="s">
        <v>1117</v>
      </c>
      <c r="J529" t="s">
        <v>8631</v>
      </c>
      <c r="K529" t="s">
        <v>8632</v>
      </c>
      <c r="L529" t="s">
        <v>36</v>
      </c>
      <c r="M529" t="s">
        <v>19177</v>
      </c>
      <c r="N529" t="s">
        <v>519</v>
      </c>
      <c r="O529" t="s">
        <v>519</v>
      </c>
      <c r="P529" t="s">
        <v>454</v>
      </c>
    </row>
    <row r="530">
      <c r="A530">
        <f>HYPERLINK("http://bombeiros.sp.gov.br/hidrantes/03individual/1314.html","1314")</f>
      </c>
      <c r="B530" t="s">
        <v>454</v>
      </c>
      <c r="C530" t="s">
        <v>560</v>
      </c>
      <c r="D530" t="s">
        <v>560</v>
      </c>
      <c r="E530" t="s">
        <v>64</v>
      </c>
      <c r="F530" t="s">
        <v>8633</v>
      </c>
      <c r="G530" t="s">
        <v>18119</v>
      </c>
      <c r="H530" t="s">
        <v>1121</v>
      </c>
      <c r="I530" t="s">
        <v>1117</v>
      </c>
      <c r="J530" t="s">
        <v>8634</v>
      </c>
      <c r="K530" t="s">
        <v>8635</v>
      </c>
      <c r="L530" t="s">
        <v>36</v>
      </c>
      <c r="M530" t="s">
        <v>19177</v>
      </c>
      <c r="N530" t="s">
        <v>519</v>
      </c>
      <c r="O530" t="s">
        <v>519</v>
      </c>
      <c r="P530" t="s">
        <v>454</v>
      </c>
    </row>
    <row r="531">
      <c r="A531">
        <f>HYPERLINK("http://bombeiros.sp.gov.br/hidrantes/03individual/3363.html","3363")</f>
      </c>
      <c r="B531" t="s">
        <v>454</v>
      </c>
      <c r="C531" t="s">
        <v>560</v>
      </c>
      <c r="D531" t="s">
        <v>560</v>
      </c>
      <c r="E531" t="s">
        <v>64</v>
      </c>
      <c r="F531" t="s">
        <v>8636</v>
      </c>
      <c r="G531" t="s">
        <v>18130</v>
      </c>
      <c r="H531" t="s">
        <v>1121</v>
      </c>
      <c r="I531" t="s">
        <v>1117</v>
      </c>
      <c r="J531" t="s">
        <v>8637</v>
      </c>
      <c r="K531" t="s">
        <v>8638</v>
      </c>
      <c r="L531" t="s">
        <v>36</v>
      </c>
      <c r="M531" t="s">
        <v>19177</v>
      </c>
      <c r="N531" t="s">
        <v>519</v>
      </c>
      <c r="O531" t="s">
        <v>519</v>
      </c>
      <c r="P531" t="s">
        <v>454</v>
      </c>
    </row>
    <row r="532">
      <c r="A532">
        <f>HYPERLINK("http://bombeiros.sp.gov.br/hidrantes/03individual/4095.html","4095")</f>
      </c>
      <c r="B532" t="s">
        <v>454</v>
      </c>
      <c r="C532" t="s">
        <v>560</v>
      </c>
      <c r="D532" t="s">
        <v>560</v>
      </c>
      <c r="E532" t="s">
        <v>64</v>
      </c>
      <c r="F532" t="s">
        <v>8639</v>
      </c>
      <c r="G532" t="s">
        <v>18149</v>
      </c>
      <c r="H532" t="s">
        <v>1121</v>
      </c>
      <c r="I532" t="s">
        <v>1117</v>
      </c>
      <c r="J532" t="s">
        <v>8640</v>
      </c>
      <c r="K532" t="s">
        <v>8641</v>
      </c>
      <c r="L532" t="s">
        <v>21</v>
      </c>
      <c r="M532" t="s">
        <v>19177</v>
      </c>
      <c r="N532" t="s">
        <v>519</v>
      </c>
      <c r="O532" t="s">
        <v>519</v>
      </c>
      <c r="P532" t="s">
        <v>454</v>
      </c>
    </row>
    <row r="533">
      <c r="A533">
        <f>HYPERLINK("http://bombeiros.sp.gov.br/hidrantes/03individual/1086.html","1086")</f>
      </c>
      <c r="B533" t="s">
        <v>454</v>
      </c>
      <c r="C533" t="s">
        <v>560</v>
      </c>
      <c r="D533" t="s">
        <v>560</v>
      </c>
      <c r="E533" t="s">
        <v>15</v>
      </c>
      <c r="F533" t="s">
        <v>8654</v>
      </c>
      <c r="G533" t="s">
        <v>18129</v>
      </c>
      <c r="H533" t="s">
        <v>1121</v>
      </c>
      <c r="I533" t="s">
        <v>1117</v>
      </c>
      <c r="J533" t="s">
        <v>8655</v>
      </c>
      <c r="K533" t="s">
        <v>8656</v>
      </c>
      <c r="L533" t="s">
        <v>21</v>
      </c>
      <c r="M533" t="s">
        <v>19177</v>
      </c>
      <c r="N533" t="s">
        <v>519</v>
      </c>
      <c r="O533" t="s">
        <v>519</v>
      </c>
      <c r="P533" t="s">
        <v>454</v>
      </c>
    </row>
    <row r="534">
      <c r="A534">
        <f>HYPERLINK("http://bombeiros.sp.gov.br/hidrantes/03individual/4103.html","4103")</f>
      </c>
      <c r="B534" t="s">
        <v>454</v>
      </c>
      <c r="C534" t="s">
        <v>560</v>
      </c>
      <c r="D534" t="s">
        <v>560</v>
      </c>
      <c r="E534" t="s">
        <v>15</v>
      </c>
      <c r="F534" t="s">
        <v>8706</v>
      </c>
      <c r="G534" t="s">
        <v>18165</v>
      </c>
      <c r="H534" t="s">
        <v>1121</v>
      </c>
      <c r="I534" t="s">
        <v>1117</v>
      </c>
      <c r="J534" t="s">
        <v>8707</v>
      </c>
      <c r="K534" t="s">
        <v>8708</v>
      </c>
      <c r="L534" t="s">
        <v>21</v>
      </c>
      <c r="M534" t="s">
        <v>19177</v>
      </c>
      <c r="N534" t="s">
        <v>519</v>
      </c>
      <c r="O534" t="s">
        <v>519</v>
      </c>
      <c r="P534" t="s">
        <v>454</v>
      </c>
    </row>
    <row r="535">
      <c r="A535">
        <f>HYPERLINK("http://bombeiros.sp.gov.br/hidrantes/03individual/17828.html","17828")</f>
      </c>
      <c r="B535" t="s">
        <v>454</v>
      </c>
      <c r="C535" t="s">
        <v>560</v>
      </c>
      <c r="D535" t="s">
        <v>560</v>
      </c>
      <c r="E535" t="s">
        <v>15</v>
      </c>
      <c r="F535" t="s">
        <v>8721</v>
      </c>
      <c r="G535" t="s">
        <v>18257</v>
      </c>
      <c r="H535" t="s">
        <v>1121</v>
      </c>
      <c r="I535" t="s">
        <v>1117</v>
      </c>
      <c r="J535" t="s">
        <v>8722</v>
      </c>
      <c r="K535" t="s">
        <v>8723</v>
      </c>
      <c r="L535" t="s">
        <v>21</v>
      </c>
      <c r="M535" t="s">
        <v>19177</v>
      </c>
      <c r="N535" t="s">
        <v>519</v>
      </c>
      <c r="O535" t="s">
        <v>519</v>
      </c>
      <c r="P535" t="s">
        <v>454</v>
      </c>
    </row>
    <row r="536">
      <c r="A536">
        <f>HYPERLINK("http://bombeiros.sp.gov.br/hidrantes/03individual/27265.html","27265")</f>
      </c>
      <c r="B536" t="s">
        <v>454</v>
      </c>
      <c r="C536" t="s">
        <v>560</v>
      </c>
      <c r="D536" t="s">
        <v>560</v>
      </c>
      <c r="E536" t="s">
        <v>15</v>
      </c>
      <c r="F536" t="s">
        <v>17028</v>
      </c>
      <c r="G536" t="s">
        <v>18131</v>
      </c>
      <c r="H536" t="s">
        <v>1121</v>
      </c>
      <c r="I536" t="s">
        <v>1117</v>
      </c>
      <c r="J536" t="s">
        <v>17029</v>
      </c>
      <c r="K536" t="s">
        <v>17030</v>
      </c>
      <c r="L536" t="s">
        <v>21</v>
      </c>
      <c r="M536" t="s">
        <v>19177</v>
      </c>
      <c r="N536" t="s">
        <v>519</v>
      </c>
      <c r="O536" t="s">
        <v>519</v>
      </c>
      <c r="P536" t="s">
        <v>454</v>
      </c>
    </row>
    <row r="537">
      <c r="A537">
        <f>HYPERLINK("http://bombeiros.sp.gov.br/hidrantes/03individual/27617.html","27617")</f>
      </c>
      <c r="B537" t="s">
        <v>454</v>
      </c>
      <c r="C537" t="s">
        <v>560</v>
      </c>
      <c r="D537" t="s">
        <v>560</v>
      </c>
      <c r="E537" t="s">
        <v>15</v>
      </c>
      <c r="F537" t="s">
        <v>17505</v>
      </c>
      <c r="G537" t="s">
        <v>18131</v>
      </c>
      <c r="H537" t="s">
        <v>1121</v>
      </c>
      <c r="I537" t="s">
        <v>1117</v>
      </c>
      <c r="J537" t="s">
        <v>17506</v>
      </c>
      <c r="K537" t="s">
        <v>17507</v>
      </c>
      <c r="L537" t="s">
        <v>21</v>
      </c>
      <c r="M537" t="s">
        <v>19177</v>
      </c>
      <c r="N537" t="s">
        <v>519</v>
      </c>
      <c r="O537" t="s">
        <v>519</v>
      </c>
      <c r="P537" t="s">
        <v>454</v>
      </c>
    </row>
    <row r="538">
      <c r="A538">
        <f>HYPERLINK("http://bombeiros.sp.gov.br/hidrantes/03individual/4417.html","4417")</f>
      </c>
      <c r="B538" t="s">
        <v>454</v>
      </c>
      <c r="C538" t="s">
        <v>565</v>
      </c>
      <c r="D538" t="s">
        <v>566</v>
      </c>
      <c r="E538" t="s">
        <v>15</v>
      </c>
      <c r="F538" t="s">
        <v>8768</v>
      </c>
      <c r="G538" t="s">
        <v>18076</v>
      </c>
      <c r="H538" t="s">
        <v>1121</v>
      </c>
      <c r="I538" t="s">
        <v>1117</v>
      </c>
      <c r="J538" t="s">
        <v>8769</v>
      </c>
      <c r="K538" t="s">
        <v>8770</v>
      </c>
      <c r="L538" t="s">
        <v>21</v>
      </c>
      <c r="M538" t="s">
        <v>19177</v>
      </c>
      <c r="N538" t="s">
        <v>531</v>
      </c>
      <c r="O538" t="s">
        <v>531</v>
      </c>
      <c r="P538" t="s">
        <v>454</v>
      </c>
    </row>
    <row r="539">
      <c r="A539">
        <f>HYPERLINK("http://bombeiros.sp.gov.br/hidrantes/03individual/17901.html","17901")</f>
      </c>
      <c r="B539" t="s">
        <v>454</v>
      </c>
      <c r="C539" t="s">
        <v>565</v>
      </c>
      <c r="D539" t="s">
        <v>8774</v>
      </c>
      <c r="E539" t="s">
        <v>15</v>
      </c>
      <c r="F539" t="s">
        <v>8781</v>
      </c>
      <c r="G539" t="s">
        <v>18067</v>
      </c>
      <c r="H539" t="s">
        <v>1121</v>
      </c>
      <c r="I539" t="s">
        <v>1117</v>
      </c>
      <c r="J539" t="s">
        <v>8782</v>
      </c>
      <c r="K539" t="s">
        <v>8783</v>
      </c>
      <c r="L539" t="s">
        <v>21</v>
      </c>
      <c r="M539" t="s">
        <v>19177</v>
      </c>
      <c r="N539" t="s">
        <v>478</v>
      </c>
      <c r="O539" t="s">
        <v>478</v>
      </c>
      <c r="P539" t="s">
        <v>454</v>
      </c>
    </row>
    <row r="540">
      <c r="A540">
        <f>HYPERLINK("http://bombeiros.sp.gov.br/hidrantes/03individual/517.html","517")</f>
      </c>
      <c r="B540" t="s">
        <v>454</v>
      </c>
      <c r="C540" t="s">
        <v>570</v>
      </c>
      <c r="D540" t="s">
        <v>571</v>
      </c>
      <c r="E540" t="s">
        <v>15</v>
      </c>
      <c r="F540" t="s">
        <v>8820</v>
      </c>
      <c r="G540" t="s">
        <v>18085</v>
      </c>
      <c r="H540" t="s">
        <v>1121</v>
      </c>
      <c r="I540" t="s">
        <v>1117</v>
      </c>
      <c r="J540" t="s">
        <v>16040</v>
      </c>
      <c r="K540" t="s">
        <v>16041</v>
      </c>
      <c r="L540" t="s">
        <v>21</v>
      </c>
      <c r="M540" t="s">
        <v>19177</v>
      </c>
      <c r="N540" t="s">
        <v>531</v>
      </c>
      <c r="O540" t="s">
        <v>531</v>
      </c>
      <c r="P540" t="s">
        <v>454</v>
      </c>
    </row>
    <row r="541">
      <c r="A541">
        <f>HYPERLINK("http://bombeiros.sp.gov.br/hidrantes/03individual/5506.html","5506")</f>
      </c>
      <c r="B541" t="s">
        <v>454</v>
      </c>
      <c r="C541" t="s">
        <v>570</v>
      </c>
      <c r="D541" t="s">
        <v>570</v>
      </c>
      <c r="E541" t="s">
        <v>64</v>
      </c>
      <c r="F541" t="s">
        <v>8892</v>
      </c>
      <c r="G541" t="s">
        <v>18119</v>
      </c>
      <c r="H541" t="s">
        <v>1121</v>
      </c>
      <c r="I541" t="s">
        <v>1117</v>
      </c>
      <c r="J541" t="s">
        <v>8893</v>
      </c>
      <c r="K541" t="s">
        <v>8894</v>
      </c>
      <c r="L541" t="s">
        <v>21</v>
      </c>
      <c r="M541" t="s">
        <v>19177</v>
      </c>
      <c r="N541" t="s">
        <v>531</v>
      </c>
      <c r="O541" t="s">
        <v>531</v>
      </c>
      <c r="P541" t="s">
        <v>454</v>
      </c>
    </row>
    <row r="542">
      <c r="A542">
        <f>HYPERLINK("http://bombeiros.sp.gov.br/hidrantes/03individual/5554.html","5554")</f>
      </c>
      <c r="B542" t="s">
        <v>454</v>
      </c>
      <c r="C542" t="s">
        <v>570</v>
      </c>
      <c r="D542" t="s">
        <v>570</v>
      </c>
      <c r="E542" t="s">
        <v>64</v>
      </c>
      <c r="F542" t="s">
        <v>8895</v>
      </c>
      <c r="G542" t="s">
        <v>18066</v>
      </c>
      <c r="H542" t="s">
        <v>1121</v>
      </c>
      <c r="I542" t="s">
        <v>1117</v>
      </c>
      <c r="J542" t="s">
        <v>8896</v>
      </c>
      <c r="K542" t="s">
        <v>8897</v>
      </c>
      <c r="L542" t="s">
        <v>21</v>
      </c>
      <c r="M542" t="s">
        <v>19177</v>
      </c>
      <c r="N542" t="s">
        <v>531</v>
      </c>
      <c r="O542" t="s">
        <v>531</v>
      </c>
      <c r="P542" t="s">
        <v>454</v>
      </c>
    </row>
    <row r="543">
      <c r="A543">
        <f>HYPERLINK("http://bombeiros.sp.gov.br/hidrantes/03individual/584.html","584")</f>
      </c>
      <c r="B543" t="s">
        <v>454</v>
      </c>
      <c r="C543" t="s">
        <v>570</v>
      </c>
      <c r="D543" t="s">
        <v>570</v>
      </c>
      <c r="E543" t="s">
        <v>15</v>
      </c>
      <c r="F543" t="s">
        <v>8898</v>
      </c>
      <c r="G543" t="s">
        <v>18043</v>
      </c>
      <c r="H543" t="s">
        <v>1121</v>
      </c>
      <c r="I543" t="s">
        <v>1117</v>
      </c>
      <c r="J543" t="s">
        <v>8899</v>
      </c>
      <c r="K543" t="s">
        <v>8900</v>
      </c>
      <c r="L543" t="s">
        <v>21</v>
      </c>
      <c r="M543" t="s">
        <v>19177</v>
      </c>
      <c r="N543" t="s">
        <v>531</v>
      </c>
      <c r="O543" t="s">
        <v>531</v>
      </c>
      <c r="P543" t="s">
        <v>454</v>
      </c>
    </row>
    <row r="544">
      <c r="A544">
        <f>HYPERLINK("http://bombeiros.sp.gov.br/hidrantes/03individual/27337.html","27337")</f>
      </c>
      <c r="B544" t="s">
        <v>454</v>
      </c>
      <c r="C544" t="s">
        <v>570</v>
      </c>
      <c r="D544" t="s">
        <v>570</v>
      </c>
      <c r="E544" t="s">
        <v>15</v>
      </c>
      <c r="F544" t="s">
        <v>17175</v>
      </c>
      <c r="G544" t="s">
        <v>18042</v>
      </c>
      <c r="H544" t="s">
        <v>1121</v>
      </c>
      <c r="I544" t="s">
        <v>1117</v>
      </c>
      <c r="J544" t="s">
        <v>17176</v>
      </c>
      <c r="K544" t="s">
        <v>17177</v>
      </c>
      <c r="L544" t="s">
        <v>21</v>
      </c>
      <c r="M544" t="s">
        <v>19177</v>
      </c>
      <c r="N544" t="s">
        <v>531</v>
      </c>
      <c r="O544" t="s">
        <v>531</v>
      </c>
      <c r="P544" t="s">
        <v>454</v>
      </c>
    </row>
    <row r="545">
      <c r="A545">
        <f>HYPERLINK("http://bombeiros.sp.gov.br/hidrantes/03individual/520.html","520")</f>
      </c>
      <c r="B545" t="s">
        <v>454</v>
      </c>
      <c r="C545" t="s">
        <v>570</v>
      </c>
      <c r="D545" t="s">
        <v>581</v>
      </c>
      <c r="E545" t="s">
        <v>15</v>
      </c>
      <c r="F545" t="s">
        <v>8946</v>
      </c>
      <c r="G545" t="s">
        <v>18132</v>
      </c>
      <c r="H545" t="s">
        <v>1121</v>
      </c>
      <c r="I545" t="s">
        <v>1117</v>
      </c>
      <c r="J545" t="s">
        <v>8947</v>
      </c>
      <c r="K545" t="s">
        <v>8948</v>
      </c>
      <c r="L545" t="s">
        <v>21</v>
      </c>
      <c r="M545" t="s">
        <v>19177</v>
      </c>
      <c r="N545" t="s">
        <v>531</v>
      </c>
      <c r="O545" t="s">
        <v>531</v>
      </c>
      <c r="P545" t="s">
        <v>454</v>
      </c>
    </row>
    <row r="546">
      <c r="A546">
        <f>HYPERLINK("http://bombeiros.sp.gov.br/hidrantes/03individual/620.html","620")</f>
      </c>
      <c r="B546" t="s">
        <v>454</v>
      </c>
      <c r="C546" t="s">
        <v>570</v>
      </c>
      <c r="D546" t="s">
        <v>581</v>
      </c>
      <c r="E546" t="s">
        <v>15</v>
      </c>
      <c r="F546" t="s">
        <v>8961</v>
      </c>
      <c r="G546" t="s">
        <v>18196</v>
      </c>
      <c r="H546" t="s">
        <v>1121</v>
      </c>
      <c r="I546" t="s">
        <v>1117</v>
      </c>
      <c r="J546" t="s">
        <v>8962</v>
      </c>
      <c r="K546" t="s">
        <v>8963</v>
      </c>
      <c r="L546" t="s">
        <v>21</v>
      </c>
      <c r="M546" t="s">
        <v>19177</v>
      </c>
      <c r="N546" t="s">
        <v>531</v>
      </c>
      <c r="O546" t="s">
        <v>531</v>
      </c>
      <c r="P546" t="s">
        <v>454</v>
      </c>
    </row>
    <row r="547">
      <c r="A547">
        <f>HYPERLINK("http://bombeiros.sp.gov.br/hidrantes/03individual/2871.html","2871")</f>
      </c>
      <c r="B547" t="s">
        <v>454</v>
      </c>
      <c r="C547" t="s">
        <v>588</v>
      </c>
      <c r="D547" t="s">
        <v>588</v>
      </c>
      <c r="E547" t="s">
        <v>64</v>
      </c>
      <c r="F547" t="s">
        <v>9008</v>
      </c>
      <c r="G547" t="s">
        <v>18484</v>
      </c>
      <c r="H547" t="s">
        <v>1121</v>
      </c>
      <c r="I547" t="s">
        <v>1117</v>
      </c>
      <c r="J547" t="s">
        <v>9009</v>
      </c>
      <c r="K547" t="s">
        <v>9010</v>
      </c>
      <c r="L547" t="s">
        <v>36</v>
      </c>
      <c r="M547" t="s">
        <v>19177</v>
      </c>
      <c r="N547" t="s">
        <v>594</v>
      </c>
      <c r="O547" t="s">
        <v>531</v>
      </c>
      <c r="P547" t="s">
        <v>454</v>
      </c>
    </row>
    <row r="548">
      <c r="A548">
        <f>HYPERLINK("http://bombeiros.sp.gov.br/hidrantes/03individual/27564.html","27564")</f>
      </c>
      <c r="B548" t="s">
        <v>454</v>
      </c>
      <c r="C548" t="s">
        <v>588</v>
      </c>
      <c r="D548" t="s">
        <v>588</v>
      </c>
      <c r="E548" t="s">
        <v>15</v>
      </c>
      <c r="F548" t="s">
        <v>17433</v>
      </c>
      <c r="G548" t="s">
        <v>18093</v>
      </c>
      <c r="H548" t="s">
        <v>1121</v>
      </c>
      <c r="I548" t="s">
        <v>1117</v>
      </c>
      <c r="J548" t="s">
        <v>17434</v>
      </c>
      <c r="K548" t="s">
        <v>17435</v>
      </c>
      <c r="L548" t="s">
        <v>21</v>
      </c>
      <c r="M548" t="s">
        <v>19177</v>
      </c>
      <c r="N548" t="s">
        <v>594</v>
      </c>
      <c r="O548" t="s">
        <v>531</v>
      </c>
      <c r="P548" t="s">
        <v>454</v>
      </c>
    </row>
    <row r="549">
      <c r="A549">
        <f>HYPERLINK("http://bombeiros.sp.gov.br/hidrantes/03individual/513.html","513")</f>
      </c>
      <c r="B549" t="s">
        <v>454</v>
      </c>
      <c r="C549" t="s">
        <v>588</v>
      </c>
      <c r="D549" t="s">
        <v>9017</v>
      </c>
      <c r="E549" t="s">
        <v>15</v>
      </c>
      <c r="F549" t="s">
        <v>9024</v>
      </c>
      <c r="G549" t="s">
        <v>18134</v>
      </c>
      <c r="H549" t="s">
        <v>1121</v>
      </c>
      <c r="I549" t="s">
        <v>1117</v>
      </c>
      <c r="J549" t="s">
        <v>9026</v>
      </c>
      <c r="K549" t="s">
        <v>9027</v>
      </c>
      <c r="L549" t="s">
        <v>21</v>
      </c>
      <c r="M549" t="s">
        <v>19177</v>
      </c>
      <c r="N549" t="s">
        <v>594</v>
      </c>
      <c r="O549" t="s">
        <v>531</v>
      </c>
      <c r="P549" t="s">
        <v>454</v>
      </c>
    </row>
    <row r="550">
      <c r="A550">
        <f>HYPERLINK("http://bombeiros.sp.gov.br/hidrantes/03individual/643.html","643")</f>
      </c>
      <c r="B550" t="s">
        <v>454</v>
      </c>
      <c r="C550" t="s">
        <v>588</v>
      </c>
      <c r="D550" t="s">
        <v>9017</v>
      </c>
      <c r="E550" t="s">
        <v>15</v>
      </c>
      <c r="F550" t="s">
        <v>9052</v>
      </c>
      <c r="G550" t="s">
        <v>18071</v>
      </c>
      <c r="H550" t="s">
        <v>1121</v>
      </c>
      <c r="I550" t="s">
        <v>1117</v>
      </c>
      <c r="J550" t="s">
        <v>9053</v>
      </c>
      <c r="K550" t="s">
        <v>9054</v>
      </c>
      <c r="L550" t="s">
        <v>21</v>
      </c>
      <c r="M550" t="s">
        <v>19177</v>
      </c>
      <c r="N550" t="s">
        <v>594</v>
      </c>
      <c r="O550" t="s">
        <v>531</v>
      </c>
      <c r="P550" t="s">
        <v>454</v>
      </c>
    </row>
    <row r="551">
      <c r="A551">
        <f>HYPERLINK("http://bombeiros.sp.gov.br/hidrantes/03individual/644.html","644")</f>
      </c>
      <c r="B551" t="s">
        <v>454</v>
      </c>
      <c r="C551" t="s">
        <v>588</v>
      </c>
      <c r="D551" t="s">
        <v>9017</v>
      </c>
      <c r="E551" t="s">
        <v>15</v>
      </c>
      <c r="F551" t="s">
        <v>9055</v>
      </c>
      <c r="G551" t="s">
        <v>18495</v>
      </c>
      <c r="H551" t="s">
        <v>1121</v>
      </c>
      <c r="I551" t="s">
        <v>1117</v>
      </c>
      <c r="J551" t="s">
        <v>16520</v>
      </c>
      <c r="K551" t="s">
        <v>16521</v>
      </c>
      <c r="L551" t="s">
        <v>21</v>
      </c>
      <c r="M551" t="s">
        <v>19177</v>
      </c>
      <c r="N551" t="s">
        <v>594</v>
      </c>
      <c r="O551" t="s">
        <v>531</v>
      </c>
      <c r="P551" t="s">
        <v>454</v>
      </c>
    </row>
    <row r="552">
      <c r="A552">
        <f>HYPERLINK("http://bombeiros.sp.gov.br/hidrantes/03individual/2989.html","2989")</f>
      </c>
      <c r="B552" t="s">
        <v>454</v>
      </c>
      <c r="C552" t="s">
        <v>588</v>
      </c>
      <c r="D552" t="s">
        <v>9017</v>
      </c>
      <c r="E552" t="s">
        <v>15</v>
      </c>
      <c r="F552" t="s">
        <v>9109</v>
      </c>
      <c r="G552" t="s">
        <v>18096</v>
      </c>
      <c r="H552" t="s">
        <v>1121</v>
      </c>
      <c r="I552" t="s">
        <v>1117</v>
      </c>
      <c r="J552" t="s">
        <v>9111</v>
      </c>
      <c r="K552" t="s">
        <v>9112</v>
      </c>
      <c r="L552" t="s">
        <v>36</v>
      </c>
      <c r="M552" t="s">
        <v>19177</v>
      </c>
      <c r="N552" t="s">
        <v>594</v>
      </c>
      <c r="O552" t="s">
        <v>531</v>
      </c>
      <c r="P552" t="s">
        <v>454</v>
      </c>
    </row>
    <row r="553">
      <c r="A553">
        <f>HYPERLINK("http://bombeiros.sp.gov.br/hidrantes/03individual/755.html","755")</f>
      </c>
      <c r="B553" t="s">
        <v>454</v>
      </c>
      <c r="C553" t="s">
        <v>594</v>
      </c>
      <c r="D553" t="s">
        <v>595</v>
      </c>
      <c r="E553" t="s">
        <v>15</v>
      </c>
      <c r="F553" t="s">
        <v>9177</v>
      </c>
      <c r="G553" t="s">
        <v>18135</v>
      </c>
      <c r="H553" t="s">
        <v>1121</v>
      </c>
      <c r="I553" t="s">
        <v>1117</v>
      </c>
      <c r="J553" t="s">
        <v>9178</v>
      </c>
      <c r="K553" t="s">
        <v>9179</v>
      </c>
      <c r="L553" t="s">
        <v>21</v>
      </c>
      <c r="M553" t="s">
        <v>19177</v>
      </c>
      <c r="N553" t="s">
        <v>594</v>
      </c>
      <c r="O553" t="s">
        <v>531</v>
      </c>
      <c r="P553" t="s">
        <v>454</v>
      </c>
    </row>
    <row r="554">
      <c r="A554">
        <f>HYPERLINK("http://bombeiros.sp.gov.br/hidrantes/03individual/848.html","848")</f>
      </c>
      <c r="B554" t="s">
        <v>454</v>
      </c>
      <c r="C554" t="s">
        <v>594</v>
      </c>
      <c r="D554" t="s">
        <v>595</v>
      </c>
      <c r="E554" t="s">
        <v>15</v>
      </c>
      <c r="F554" t="s">
        <v>9198</v>
      </c>
      <c r="G554" t="s">
        <v>18075</v>
      </c>
      <c r="H554" t="s">
        <v>1121</v>
      </c>
      <c r="I554" t="s">
        <v>1117</v>
      </c>
      <c r="J554" t="s">
        <v>9199</v>
      </c>
      <c r="K554" t="s">
        <v>9200</v>
      </c>
      <c r="L554" t="s">
        <v>21</v>
      </c>
      <c r="M554" t="s">
        <v>19177</v>
      </c>
      <c r="N554" t="s">
        <v>594</v>
      </c>
      <c r="O554" t="s">
        <v>531</v>
      </c>
      <c r="P554" t="s">
        <v>454</v>
      </c>
    </row>
    <row r="555">
      <c r="A555">
        <f>HYPERLINK("http://bombeiros.sp.gov.br/hidrantes/03individual/854.html","854")</f>
      </c>
      <c r="B555" t="s">
        <v>454</v>
      </c>
      <c r="C555" t="s">
        <v>594</v>
      </c>
      <c r="D555" t="s">
        <v>595</v>
      </c>
      <c r="E555" t="s">
        <v>15</v>
      </c>
      <c r="F555" t="s">
        <v>9204</v>
      </c>
      <c r="G555" t="s">
        <v>18067</v>
      </c>
      <c r="H555" t="s">
        <v>1121</v>
      </c>
      <c r="I555" t="s">
        <v>1117</v>
      </c>
      <c r="J555" t="s">
        <v>9205</v>
      </c>
      <c r="K555" t="s">
        <v>9206</v>
      </c>
      <c r="L555" t="s">
        <v>21</v>
      </c>
      <c r="M555" t="s">
        <v>19177</v>
      </c>
      <c r="N555" t="s">
        <v>594</v>
      </c>
      <c r="O555" t="s">
        <v>531</v>
      </c>
      <c r="P555" t="s">
        <v>454</v>
      </c>
    </row>
    <row r="556">
      <c r="A556">
        <f>HYPERLINK("http://bombeiros.sp.gov.br/hidrantes/03individual/2978.html","2978")</f>
      </c>
      <c r="B556" t="s">
        <v>454</v>
      </c>
      <c r="C556" t="s">
        <v>594</v>
      </c>
      <c r="D556" t="s">
        <v>595</v>
      </c>
      <c r="E556" t="s">
        <v>15</v>
      </c>
      <c r="F556" t="s">
        <v>9219</v>
      </c>
      <c r="G556" t="s">
        <v>18067</v>
      </c>
      <c r="H556" t="s">
        <v>1121</v>
      </c>
      <c r="I556" t="s">
        <v>1117</v>
      </c>
      <c r="J556" t="s">
        <v>9220</v>
      </c>
      <c r="K556" t="s">
        <v>9221</v>
      </c>
      <c r="L556" t="s">
        <v>21</v>
      </c>
      <c r="M556" t="s">
        <v>19177</v>
      </c>
      <c r="N556" t="s">
        <v>594</v>
      </c>
      <c r="O556" t="s">
        <v>531</v>
      </c>
      <c r="P556" t="s">
        <v>454</v>
      </c>
    </row>
    <row r="557">
      <c r="A557">
        <f>HYPERLINK("http://bombeiros.sp.gov.br/hidrantes/03individual/3198.html","3198")</f>
      </c>
      <c r="B557" t="s">
        <v>454</v>
      </c>
      <c r="C557" t="s">
        <v>594</v>
      </c>
      <c r="D557" t="s">
        <v>595</v>
      </c>
      <c r="E557" t="s">
        <v>15</v>
      </c>
      <c r="F557" t="s">
        <v>9234</v>
      </c>
      <c r="G557" t="s">
        <v>18074</v>
      </c>
      <c r="H557" t="s">
        <v>1121</v>
      </c>
      <c r="I557" t="s">
        <v>1117</v>
      </c>
      <c r="J557" t="s">
        <v>9235</v>
      </c>
      <c r="K557" t="s">
        <v>9236</v>
      </c>
      <c r="L557" t="s">
        <v>21</v>
      </c>
      <c r="M557" t="s">
        <v>19177</v>
      </c>
      <c r="N557" t="s">
        <v>594</v>
      </c>
      <c r="O557" t="s">
        <v>531</v>
      </c>
      <c r="P557" t="s">
        <v>454</v>
      </c>
    </row>
    <row r="558">
      <c r="A558">
        <f>HYPERLINK("http://bombeiros.sp.gov.br/hidrantes/03individual/17836.html","17836")</f>
      </c>
      <c r="B558" t="s">
        <v>454</v>
      </c>
      <c r="C558" t="s">
        <v>594</v>
      </c>
      <c r="D558" t="s">
        <v>595</v>
      </c>
      <c r="E558" t="s">
        <v>15</v>
      </c>
      <c r="F558" t="s">
        <v>9261</v>
      </c>
      <c r="G558" t="s">
        <v>18048</v>
      </c>
      <c r="H558" t="s">
        <v>1121</v>
      </c>
      <c r="I558" t="s">
        <v>1117</v>
      </c>
      <c r="J558" t="s">
        <v>9262</v>
      </c>
      <c r="K558" t="s">
        <v>9263</v>
      </c>
      <c r="L558" t="s">
        <v>21</v>
      </c>
      <c r="M558" t="s">
        <v>19177</v>
      </c>
      <c r="N558" t="s">
        <v>594</v>
      </c>
      <c r="O558" t="s">
        <v>531</v>
      </c>
      <c r="P558" t="s">
        <v>454</v>
      </c>
    </row>
    <row r="559">
      <c r="A559">
        <f>HYPERLINK("http://bombeiros.sp.gov.br/hidrantes/03individual/652.html","652")</f>
      </c>
      <c r="B559" t="s">
        <v>454</v>
      </c>
      <c r="C559" t="s">
        <v>594</v>
      </c>
      <c r="D559" t="s">
        <v>600</v>
      </c>
      <c r="E559" t="s">
        <v>15</v>
      </c>
      <c r="F559" t="s">
        <v>9282</v>
      </c>
      <c r="G559" t="s">
        <v>18076</v>
      </c>
      <c r="H559" t="s">
        <v>1121</v>
      </c>
      <c r="I559" t="s">
        <v>1117</v>
      </c>
      <c r="J559" t="s">
        <v>9283</v>
      </c>
      <c r="K559" t="s">
        <v>9284</v>
      </c>
      <c r="L559" t="s">
        <v>21</v>
      </c>
      <c r="M559" t="s">
        <v>19177</v>
      </c>
      <c r="N559" t="s">
        <v>594</v>
      </c>
      <c r="O559" t="s">
        <v>531</v>
      </c>
      <c r="P559" t="s">
        <v>454</v>
      </c>
    </row>
    <row r="560">
      <c r="A560">
        <f>HYPERLINK("http://bombeiros.sp.gov.br/hidrantes/03individual/922.html","922")</f>
      </c>
      <c r="B560" t="s">
        <v>454</v>
      </c>
      <c r="C560" t="s">
        <v>594</v>
      </c>
      <c r="D560" t="s">
        <v>600</v>
      </c>
      <c r="E560" t="s">
        <v>15</v>
      </c>
      <c r="F560" t="s">
        <v>9294</v>
      </c>
      <c r="G560" t="s">
        <v>18066</v>
      </c>
      <c r="H560" t="s">
        <v>1121</v>
      </c>
      <c r="I560" t="s">
        <v>1117</v>
      </c>
      <c r="J560" t="s">
        <v>9295</v>
      </c>
      <c r="K560" t="s">
        <v>9296</v>
      </c>
      <c r="L560" t="s">
        <v>21</v>
      </c>
      <c r="M560" t="s">
        <v>19177</v>
      </c>
      <c r="N560" t="s">
        <v>594</v>
      </c>
      <c r="O560" t="s">
        <v>531</v>
      </c>
      <c r="P560" t="s">
        <v>454</v>
      </c>
    </row>
    <row r="561">
      <c r="A561">
        <f>HYPERLINK("http://bombeiros.sp.gov.br/hidrantes/03individual/1039.html","1039")</f>
      </c>
      <c r="B561" t="s">
        <v>454</v>
      </c>
      <c r="C561" t="s">
        <v>594</v>
      </c>
      <c r="D561" t="s">
        <v>594</v>
      </c>
      <c r="E561" t="s">
        <v>64</v>
      </c>
      <c r="F561" t="s">
        <v>9346</v>
      </c>
      <c r="G561" t="s">
        <v>18483</v>
      </c>
      <c r="H561" t="s">
        <v>1121</v>
      </c>
      <c r="I561" t="s">
        <v>1117</v>
      </c>
      <c r="J561" t="s">
        <v>9347</v>
      </c>
      <c r="K561" t="s">
        <v>9348</v>
      </c>
      <c r="L561" t="s">
        <v>36</v>
      </c>
      <c r="M561" t="s">
        <v>19177</v>
      </c>
      <c r="N561" t="s">
        <v>594</v>
      </c>
      <c r="O561" t="s">
        <v>531</v>
      </c>
      <c r="P561" t="s">
        <v>454</v>
      </c>
    </row>
    <row r="562">
      <c r="A562">
        <f>HYPERLINK("http://bombeiros.sp.gov.br/hidrantes/03individual/1040.html","1040")</f>
      </c>
      <c r="B562" t="s">
        <v>454</v>
      </c>
      <c r="C562" t="s">
        <v>594</v>
      </c>
      <c r="D562" t="s">
        <v>594</v>
      </c>
      <c r="E562" t="s">
        <v>64</v>
      </c>
      <c r="F562" t="s">
        <v>9349</v>
      </c>
      <c r="G562" t="s">
        <v>18496</v>
      </c>
      <c r="H562" t="s">
        <v>1121</v>
      </c>
      <c r="I562" t="s">
        <v>1117</v>
      </c>
      <c r="J562" t="s">
        <v>9350</v>
      </c>
      <c r="K562" t="s">
        <v>16925</v>
      </c>
      <c r="L562" t="s">
        <v>36</v>
      </c>
      <c r="M562" t="s">
        <v>19177</v>
      </c>
      <c r="N562" t="s">
        <v>594</v>
      </c>
      <c r="O562" t="s">
        <v>531</v>
      </c>
      <c r="P562" t="s">
        <v>454</v>
      </c>
    </row>
    <row r="563">
      <c r="A563">
        <f>HYPERLINK("http://bombeiros.sp.gov.br/hidrantes/03individual/1042.html","1042")</f>
      </c>
      <c r="B563" t="s">
        <v>454</v>
      </c>
      <c r="C563" t="s">
        <v>594</v>
      </c>
      <c r="D563" t="s">
        <v>594</v>
      </c>
      <c r="E563" t="s">
        <v>64</v>
      </c>
      <c r="F563" t="s">
        <v>9352</v>
      </c>
      <c r="G563" t="s">
        <v>18483</v>
      </c>
      <c r="H563" t="s">
        <v>1121</v>
      </c>
      <c r="I563" t="s">
        <v>1117</v>
      </c>
      <c r="J563" t="s">
        <v>9353</v>
      </c>
      <c r="K563" t="s">
        <v>9354</v>
      </c>
      <c r="L563" t="s">
        <v>21</v>
      </c>
      <c r="M563" t="s">
        <v>19177</v>
      </c>
      <c r="N563" t="s">
        <v>594</v>
      </c>
      <c r="O563" t="s">
        <v>531</v>
      </c>
      <c r="P563" t="s">
        <v>454</v>
      </c>
    </row>
    <row r="564">
      <c r="A564">
        <f>HYPERLINK("http://bombeiros.sp.gov.br/hidrantes/03individual/3091.html","3091")</f>
      </c>
      <c r="B564" t="s">
        <v>454</v>
      </c>
      <c r="C564" t="s">
        <v>594</v>
      </c>
      <c r="D564" t="s">
        <v>594</v>
      </c>
      <c r="E564" t="s">
        <v>64</v>
      </c>
      <c r="F564" t="s">
        <v>9358</v>
      </c>
      <c r="G564" t="s">
        <v>18103</v>
      </c>
      <c r="H564" t="s">
        <v>1121</v>
      </c>
      <c r="I564" t="s">
        <v>1117</v>
      </c>
      <c r="J564" t="s">
        <v>9359</v>
      </c>
      <c r="K564" t="s">
        <v>9360</v>
      </c>
      <c r="L564" t="s">
        <v>21</v>
      </c>
      <c r="M564" t="s">
        <v>19177</v>
      </c>
      <c r="N564" t="s">
        <v>594</v>
      </c>
      <c r="O564" t="s">
        <v>531</v>
      </c>
      <c r="P564" t="s">
        <v>454</v>
      </c>
    </row>
    <row r="565">
      <c r="A565">
        <f>HYPERLINK("http://bombeiros.sp.gov.br/hidrantes/03individual/720.html","720")</f>
      </c>
      <c r="B565" t="s">
        <v>454</v>
      </c>
      <c r="C565" t="s">
        <v>594</v>
      </c>
      <c r="D565" t="s">
        <v>594</v>
      </c>
      <c r="E565" t="s">
        <v>15</v>
      </c>
      <c r="F565" t="s">
        <v>9406</v>
      </c>
      <c r="G565" t="s">
        <v>18070</v>
      </c>
      <c r="H565" t="s">
        <v>1121</v>
      </c>
      <c r="I565" t="s">
        <v>1117</v>
      </c>
      <c r="J565" t="s">
        <v>9407</v>
      </c>
      <c r="K565" t="s">
        <v>9408</v>
      </c>
      <c r="L565" t="s">
        <v>21</v>
      </c>
      <c r="M565" t="s">
        <v>19177</v>
      </c>
      <c r="N565" t="s">
        <v>594</v>
      </c>
      <c r="O565" t="s">
        <v>531</v>
      </c>
      <c r="P565" t="s">
        <v>454</v>
      </c>
    </row>
    <row r="566">
      <c r="A566">
        <f>HYPERLINK("http://bombeiros.sp.gov.br/hidrantes/03individual/3169.html","3169")</f>
      </c>
      <c r="B566" t="s">
        <v>454</v>
      </c>
      <c r="C566" t="s">
        <v>594</v>
      </c>
      <c r="D566" t="s">
        <v>594</v>
      </c>
      <c r="E566" t="s">
        <v>15</v>
      </c>
      <c r="F566" t="s">
        <v>9451</v>
      </c>
      <c r="G566" t="s">
        <v>18065</v>
      </c>
      <c r="H566" t="s">
        <v>1121</v>
      </c>
      <c r="I566" t="s">
        <v>1117</v>
      </c>
      <c r="J566" t="s">
        <v>9452</v>
      </c>
      <c r="K566" t="s">
        <v>9453</v>
      </c>
      <c r="L566" t="s">
        <v>21</v>
      </c>
      <c r="M566" t="s">
        <v>19177</v>
      </c>
      <c r="N566" t="s">
        <v>594</v>
      </c>
      <c r="O566" t="s">
        <v>531</v>
      </c>
      <c r="P566" t="s">
        <v>454</v>
      </c>
    </row>
    <row r="567">
      <c r="A567">
        <f>HYPERLINK("http://bombeiros.sp.gov.br/hidrantes/03individual/3173.html","3173")</f>
      </c>
      <c r="B567" t="s">
        <v>454</v>
      </c>
      <c r="C567" t="s">
        <v>594</v>
      </c>
      <c r="D567" t="s">
        <v>594</v>
      </c>
      <c r="E567" t="s">
        <v>15</v>
      </c>
      <c r="F567" t="s">
        <v>9454</v>
      </c>
      <c r="G567" t="s">
        <v>18484</v>
      </c>
      <c r="H567" t="s">
        <v>1121</v>
      </c>
      <c r="I567" t="s">
        <v>1117</v>
      </c>
      <c r="J567" t="s">
        <v>9455</v>
      </c>
      <c r="K567" t="s">
        <v>9456</v>
      </c>
      <c r="L567" t="s">
        <v>21</v>
      </c>
      <c r="M567" t="s">
        <v>19177</v>
      </c>
      <c r="N567" t="s">
        <v>594</v>
      </c>
      <c r="O567" t="s">
        <v>531</v>
      </c>
      <c r="P567" t="s">
        <v>454</v>
      </c>
    </row>
    <row r="568">
      <c r="A568">
        <f>HYPERLINK("http://bombeiros.sp.gov.br/hidrantes/03individual/541.html","541")</f>
      </c>
      <c r="B568" t="s">
        <v>454</v>
      </c>
      <c r="C568" t="s">
        <v>611</v>
      </c>
      <c r="D568" t="s">
        <v>612</v>
      </c>
      <c r="E568" t="s">
        <v>15</v>
      </c>
      <c r="F568" t="s">
        <v>9460</v>
      </c>
      <c r="G568" t="s">
        <v>18156</v>
      </c>
      <c r="H568" t="s">
        <v>1121</v>
      </c>
      <c r="I568" t="s">
        <v>1117</v>
      </c>
      <c r="J568" t="s">
        <v>9461</v>
      </c>
      <c r="K568" t="s">
        <v>9462</v>
      </c>
      <c r="L568" t="s">
        <v>21</v>
      </c>
      <c r="M568" t="s">
        <v>19177</v>
      </c>
      <c r="N568" t="s">
        <v>594</v>
      </c>
      <c r="O568" t="s">
        <v>531</v>
      </c>
      <c r="P568" t="s">
        <v>454</v>
      </c>
    </row>
    <row r="569">
      <c r="A569">
        <f>HYPERLINK("http://bombeiros.sp.gov.br/hidrantes/03individual/17838.html","17838")</f>
      </c>
      <c r="B569" t="s">
        <v>454</v>
      </c>
      <c r="C569" t="s">
        <v>611</v>
      </c>
      <c r="D569" t="s">
        <v>612</v>
      </c>
      <c r="E569" t="s">
        <v>15</v>
      </c>
      <c r="F569" t="s">
        <v>620</v>
      </c>
      <c r="G569" t="s">
        <v>18057</v>
      </c>
      <c r="H569" t="s">
        <v>1121</v>
      </c>
      <c r="I569" t="s">
        <v>1117</v>
      </c>
      <c r="J569" t="s">
        <v>621</v>
      </c>
      <c r="K569" t="s">
        <v>622</v>
      </c>
      <c r="L569" t="s">
        <v>21</v>
      </c>
      <c r="M569" t="s">
        <v>19177</v>
      </c>
      <c r="N569" t="s">
        <v>594</v>
      </c>
      <c r="O569" t="s">
        <v>531</v>
      </c>
      <c r="P569" t="s">
        <v>454</v>
      </c>
    </row>
    <row r="570">
      <c r="A570">
        <f>HYPERLINK("http://bombeiros.sp.gov.br/hidrantes/03individual/3481.html","3481")</f>
      </c>
      <c r="B570" t="s">
        <v>454</v>
      </c>
      <c r="C570" t="s">
        <v>611</v>
      </c>
      <c r="D570" t="s">
        <v>611</v>
      </c>
      <c r="E570" t="s">
        <v>64</v>
      </c>
      <c r="F570" t="s">
        <v>9506</v>
      </c>
      <c r="G570" t="s">
        <v>18471</v>
      </c>
      <c r="H570" t="s">
        <v>1121</v>
      </c>
      <c r="I570" t="s">
        <v>1117</v>
      </c>
      <c r="J570" t="s">
        <v>9507</v>
      </c>
      <c r="K570" t="s">
        <v>9508</v>
      </c>
      <c r="L570" t="s">
        <v>36</v>
      </c>
      <c r="M570" t="s">
        <v>19177</v>
      </c>
      <c r="N570" t="s">
        <v>594</v>
      </c>
      <c r="O570" t="s">
        <v>531</v>
      </c>
      <c r="P570" t="s">
        <v>454</v>
      </c>
    </row>
    <row r="571">
      <c r="A571">
        <f>HYPERLINK("http://bombeiros.sp.gov.br/hidrantes/03individual/596.html","596")</f>
      </c>
      <c r="B571" t="s">
        <v>454</v>
      </c>
      <c r="C571" t="s">
        <v>611</v>
      </c>
      <c r="D571" t="s">
        <v>611</v>
      </c>
      <c r="E571" t="s">
        <v>15</v>
      </c>
      <c r="F571" t="s">
        <v>9524</v>
      </c>
      <c r="G571" t="s">
        <v>18042</v>
      </c>
      <c r="H571" t="s">
        <v>1121</v>
      </c>
      <c r="I571" t="s">
        <v>1117</v>
      </c>
      <c r="J571" t="s">
        <v>9525</v>
      </c>
      <c r="K571" t="s">
        <v>9526</v>
      </c>
      <c r="L571" t="s">
        <v>21</v>
      </c>
      <c r="M571" t="s">
        <v>19177</v>
      </c>
      <c r="N571" t="s">
        <v>594</v>
      </c>
      <c r="O571" t="s">
        <v>531</v>
      </c>
      <c r="P571" t="s">
        <v>454</v>
      </c>
    </row>
    <row r="572">
      <c r="A572">
        <f>HYPERLINK("http://bombeiros.sp.gov.br/hidrantes/03individual/615.html","615")</f>
      </c>
      <c r="B572" t="s">
        <v>454</v>
      </c>
      <c r="C572" t="s">
        <v>611</v>
      </c>
      <c r="D572" t="s">
        <v>611</v>
      </c>
      <c r="E572" t="s">
        <v>15</v>
      </c>
      <c r="F572" t="s">
        <v>9527</v>
      </c>
      <c r="G572" t="s">
        <v>18067</v>
      </c>
      <c r="H572" t="s">
        <v>1121</v>
      </c>
      <c r="I572" t="s">
        <v>1117</v>
      </c>
      <c r="J572" t="s">
        <v>9528</v>
      </c>
      <c r="K572" t="s">
        <v>9529</v>
      </c>
      <c r="L572" t="s">
        <v>21</v>
      </c>
      <c r="M572" t="s">
        <v>19177</v>
      </c>
      <c r="N572" t="s">
        <v>594</v>
      </c>
      <c r="O572" t="s">
        <v>531</v>
      </c>
      <c r="P572" t="s">
        <v>454</v>
      </c>
    </row>
    <row r="573">
      <c r="A573">
        <f>HYPERLINK("http://bombeiros.sp.gov.br/hidrantes/03individual/736.html","736")</f>
      </c>
      <c r="B573" t="s">
        <v>454</v>
      </c>
      <c r="C573" t="s">
        <v>611</v>
      </c>
      <c r="D573" t="s">
        <v>611</v>
      </c>
      <c r="E573" t="s">
        <v>15</v>
      </c>
      <c r="F573" t="s">
        <v>9542</v>
      </c>
      <c r="G573" t="s">
        <v>18067</v>
      </c>
      <c r="H573" t="s">
        <v>1121</v>
      </c>
      <c r="I573" t="s">
        <v>1117</v>
      </c>
      <c r="J573" t="s">
        <v>9543</v>
      </c>
      <c r="K573" t="s">
        <v>9544</v>
      </c>
      <c r="L573" t="s">
        <v>21</v>
      </c>
      <c r="M573" t="s">
        <v>19177</v>
      </c>
      <c r="N573" t="s">
        <v>594</v>
      </c>
      <c r="O573" t="s">
        <v>531</v>
      </c>
      <c r="P573" t="s">
        <v>454</v>
      </c>
    </row>
    <row r="574">
      <c r="A574">
        <f>HYPERLINK("http://bombeiros.sp.gov.br/hidrantes/03individual/930.html","930")</f>
      </c>
      <c r="B574" t="s">
        <v>454</v>
      </c>
      <c r="C574" t="s">
        <v>611</v>
      </c>
      <c r="D574" t="s">
        <v>611</v>
      </c>
      <c r="E574" t="s">
        <v>15</v>
      </c>
      <c r="F574" t="s">
        <v>9551</v>
      </c>
      <c r="G574" t="s">
        <v>18067</v>
      </c>
      <c r="H574" t="s">
        <v>1121</v>
      </c>
      <c r="I574" t="s">
        <v>1117</v>
      </c>
      <c r="J574" t="s">
        <v>16207</v>
      </c>
      <c r="K574" t="s">
        <v>16208</v>
      </c>
      <c r="L574" t="s">
        <v>21</v>
      </c>
      <c r="M574" t="s">
        <v>19177</v>
      </c>
      <c r="N574" t="s">
        <v>594</v>
      </c>
      <c r="O574" t="s">
        <v>531</v>
      </c>
      <c r="P574" t="s">
        <v>454</v>
      </c>
    </row>
    <row r="575">
      <c r="A575">
        <f>HYPERLINK("http://bombeiros.sp.gov.br/hidrantes/03individual/3491.html","3491")</f>
      </c>
      <c r="B575" t="s">
        <v>454</v>
      </c>
      <c r="C575" t="s">
        <v>611</v>
      </c>
      <c r="D575" t="s">
        <v>611</v>
      </c>
      <c r="E575" t="s">
        <v>15</v>
      </c>
      <c r="F575" t="s">
        <v>9558</v>
      </c>
      <c r="G575" t="s">
        <v>18067</v>
      </c>
      <c r="H575" t="s">
        <v>1121</v>
      </c>
      <c r="I575" t="s">
        <v>1117</v>
      </c>
      <c r="J575" t="s">
        <v>9559</v>
      </c>
      <c r="K575" t="s">
        <v>9560</v>
      </c>
      <c r="L575" t="s">
        <v>21</v>
      </c>
      <c r="M575" t="s">
        <v>19177</v>
      </c>
      <c r="N575" t="s">
        <v>594</v>
      </c>
      <c r="O575" t="s">
        <v>531</v>
      </c>
      <c r="P575" t="s">
        <v>454</v>
      </c>
    </row>
    <row r="576">
      <c r="A576">
        <f>HYPERLINK("http://bombeiros.sp.gov.br/hidrantes/03individual/3492.html","3492")</f>
      </c>
      <c r="B576" t="s">
        <v>454</v>
      </c>
      <c r="C576" t="s">
        <v>611</v>
      </c>
      <c r="D576" t="s">
        <v>611</v>
      </c>
      <c r="E576" t="s">
        <v>15</v>
      </c>
      <c r="F576" t="s">
        <v>9561</v>
      </c>
      <c r="G576" t="s">
        <v>18471</v>
      </c>
      <c r="H576" t="s">
        <v>1121</v>
      </c>
      <c r="I576" t="s">
        <v>1117</v>
      </c>
      <c r="J576" t="s">
        <v>9562</v>
      </c>
      <c r="K576" t="s">
        <v>9563</v>
      </c>
      <c r="L576" t="s">
        <v>21</v>
      </c>
      <c r="M576" t="s">
        <v>19177</v>
      </c>
      <c r="N576" t="s">
        <v>594</v>
      </c>
      <c r="O576" t="s">
        <v>531</v>
      </c>
      <c r="P576" t="s">
        <v>454</v>
      </c>
    </row>
    <row r="577">
      <c r="A577">
        <f>HYPERLINK("http://bombeiros.sp.gov.br/hidrantes/03individual/902.html","902")</f>
      </c>
      <c r="B577" t="s">
        <v>623</v>
      </c>
      <c r="C577" t="s">
        <v>624</v>
      </c>
      <c r="D577" t="s">
        <v>624</v>
      </c>
      <c r="E577" t="s">
        <v>64</v>
      </c>
      <c r="F577" t="s">
        <v>9582</v>
      </c>
      <c r="G577" t="s">
        <v>18091</v>
      </c>
      <c r="H577" t="s">
        <v>1121</v>
      </c>
      <c r="I577" t="s">
        <v>1117</v>
      </c>
      <c r="J577" t="s">
        <v>9584</v>
      </c>
      <c r="K577" t="s">
        <v>9585</v>
      </c>
      <c r="L577" t="s">
        <v>36</v>
      </c>
      <c r="M577" t="s">
        <v>19177</v>
      </c>
      <c r="N577" t="s">
        <v>714</v>
      </c>
      <c r="O577" t="s">
        <v>10263</v>
      </c>
      <c r="P577" t="s">
        <v>12</v>
      </c>
    </row>
    <row r="578">
      <c r="A578">
        <f>HYPERLINK("http://bombeiros.sp.gov.br/hidrantes/03individual/1382.html","1382")</f>
      </c>
      <c r="B578" t="s">
        <v>623</v>
      </c>
      <c r="C578" t="s">
        <v>624</v>
      </c>
      <c r="D578" t="s">
        <v>624</v>
      </c>
      <c r="E578" t="s">
        <v>15</v>
      </c>
      <c r="F578" t="s">
        <v>9589</v>
      </c>
      <c r="G578" t="s">
        <v>18139</v>
      </c>
      <c r="H578" t="s">
        <v>1121</v>
      </c>
      <c r="I578" t="s">
        <v>1117</v>
      </c>
      <c r="J578" t="s">
        <v>9590</v>
      </c>
      <c r="K578" t="s">
        <v>9591</v>
      </c>
      <c r="L578" t="s">
        <v>21</v>
      </c>
      <c r="M578" t="s">
        <v>19177</v>
      </c>
      <c r="N578" t="s">
        <v>714</v>
      </c>
      <c r="O578" t="s">
        <v>10263</v>
      </c>
      <c r="P578" t="s">
        <v>12</v>
      </c>
    </row>
    <row r="579">
      <c r="A579">
        <f>HYPERLINK("http://bombeiros.sp.gov.br/hidrantes/03individual/1393.html","1393")</f>
      </c>
      <c r="B579" t="s">
        <v>623</v>
      </c>
      <c r="C579" t="s">
        <v>624</v>
      </c>
      <c r="D579" t="s">
        <v>624</v>
      </c>
      <c r="E579" t="s">
        <v>15</v>
      </c>
      <c r="F579" t="s">
        <v>9592</v>
      </c>
      <c r="G579" t="s">
        <v>18145</v>
      </c>
      <c r="H579" t="s">
        <v>1121</v>
      </c>
      <c r="I579" t="s">
        <v>1117</v>
      </c>
      <c r="J579" t="s">
        <v>9593</v>
      </c>
      <c r="K579" t="s">
        <v>9594</v>
      </c>
      <c r="L579" t="s">
        <v>21</v>
      </c>
      <c r="M579" t="s">
        <v>19177</v>
      </c>
      <c r="N579" t="s">
        <v>714</v>
      </c>
      <c r="O579" t="s">
        <v>10263</v>
      </c>
      <c r="P579" t="s">
        <v>12</v>
      </c>
    </row>
    <row r="580">
      <c r="A580">
        <f>HYPERLINK("http://bombeiros.sp.gov.br/hidrantes/03individual/4258.html","4258")</f>
      </c>
      <c r="B580" t="s">
        <v>623</v>
      </c>
      <c r="C580" t="s">
        <v>624</v>
      </c>
      <c r="D580" t="s">
        <v>624</v>
      </c>
      <c r="E580" t="s">
        <v>15</v>
      </c>
      <c r="F580" t="s">
        <v>9595</v>
      </c>
      <c r="G580" t="s">
        <v>18139</v>
      </c>
      <c r="H580" t="s">
        <v>1121</v>
      </c>
      <c r="I580" t="s">
        <v>1117</v>
      </c>
      <c r="J580" t="s">
        <v>9597</v>
      </c>
      <c r="K580" t="s">
        <v>9598</v>
      </c>
      <c r="L580" t="s">
        <v>21</v>
      </c>
      <c r="M580" t="s">
        <v>19177</v>
      </c>
      <c r="N580" t="s">
        <v>714</v>
      </c>
      <c r="O580" t="s">
        <v>10263</v>
      </c>
      <c r="P580" t="s">
        <v>12</v>
      </c>
    </row>
    <row r="581">
      <c r="A581">
        <f>HYPERLINK("http://bombeiros.sp.gov.br/hidrantes/03individual/1377.html","1377")</f>
      </c>
      <c r="B581" t="s">
        <v>623</v>
      </c>
      <c r="C581" t="s">
        <v>624</v>
      </c>
      <c r="D581" t="s">
        <v>9605</v>
      </c>
      <c r="E581" t="s">
        <v>64</v>
      </c>
      <c r="F581" t="s">
        <v>9610</v>
      </c>
      <c r="G581" t="s">
        <v>18143</v>
      </c>
      <c r="H581" t="s">
        <v>1121</v>
      </c>
      <c r="I581" t="s">
        <v>1117</v>
      </c>
      <c r="J581" t="s">
        <v>9611</v>
      </c>
      <c r="K581" t="s">
        <v>9612</v>
      </c>
      <c r="L581" t="s">
        <v>21</v>
      </c>
      <c r="M581" t="s">
        <v>19177</v>
      </c>
      <c r="N581" t="s">
        <v>714</v>
      </c>
      <c r="O581" t="s">
        <v>10263</v>
      </c>
      <c r="P581" t="s">
        <v>12</v>
      </c>
    </row>
    <row r="582">
      <c r="A582">
        <f>HYPERLINK("http://bombeiros.sp.gov.br/hidrantes/03individual/1280.html","1280")</f>
      </c>
      <c r="B582" t="s">
        <v>623</v>
      </c>
      <c r="C582" t="s">
        <v>624</v>
      </c>
      <c r="D582" t="s">
        <v>9605</v>
      </c>
      <c r="E582" t="s">
        <v>15</v>
      </c>
      <c r="F582" t="s">
        <v>9625</v>
      </c>
      <c r="G582" t="s">
        <v>18057</v>
      </c>
      <c r="H582" t="s">
        <v>1121</v>
      </c>
      <c r="I582" t="s">
        <v>1117</v>
      </c>
      <c r="J582" t="s">
        <v>9627</v>
      </c>
      <c r="K582" t="s">
        <v>9628</v>
      </c>
      <c r="L582" t="s">
        <v>21</v>
      </c>
      <c r="M582" t="s">
        <v>19177</v>
      </c>
      <c r="N582" t="s">
        <v>714</v>
      </c>
      <c r="O582" t="s">
        <v>10263</v>
      </c>
      <c r="P582" t="s">
        <v>12</v>
      </c>
    </row>
    <row r="583">
      <c r="A583">
        <f>HYPERLINK("http://bombeiros.sp.gov.br/hidrantes/03individual/27761.html","27761")</f>
      </c>
      <c r="B583" t="s">
        <v>623</v>
      </c>
      <c r="C583" t="s">
        <v>624</v>
      </c>
      <c r="D583" t="s">
        <v>9605</v>
      </c>
      <c r="E583" t="s">
        <v>15</v>
      </c>
      <c r="F583" t="s">
        <v>17732</v>
      </c>
      <c r="G583" t="s">
        <v>18085</v>
      </c>
      <c r="H583" t="s">
        <v>1121</v>
      </c>
      <c r="I583" t="s">
        <v>1117</v>
      </c>
      <c r="J583" t="s">
        <v>17733</v>
      </c>
      <c r="K583" t="s">
        <v>17734</v>
      </c>
      <c r="L583" t="s">
        <v>21</v>
      </c>
      <c r="M583" t="s">
        <v>19177</v>
      </c>
      <c r="N583" t="s">
        <v>714</v>
      </c>
      <c r="O583" t="s">
        <v>10263</v>
      </c>
      <c r="P583" t="s">
        <v>12</v>
      </c>
    </row>
    <row r="584">
      <c r="A584">
        <f>HYPERLINK("http://bombeiros.sp.gov.br/hidrantes/03individual/6679.html","6679")</f>
      </c>
      <c r="B584" t="s">
        <v>623</v>
      </c>
      <c r="C584" t="s">
        <v>624</v>
      </c>
      <c r="D584" t="s">
        <v>625</v>
      </c>
      <c r="E584" t="s">
        <v>15</v>
      </c>
      <c r="F584" t="s">
        <v>9674</v>
      </c>
      <c r="G584" t="s">
        <v>18143</v>
      </c>
      <c r="H584" t="s">
        <v>1121</v>
      </c>
      <c r="I584" t="s">
        <v>1117</v>
      </c>
      <c r="J584" t="s">
        <v>9675</v>
      </c>
      <c r="K584" t="s">
        <v>9676</v>
      </c>
      <c r="L584" t="s">
        <v>21</v>
      </c>
      <c r="M584" t="s">
        <v>19177</v>
      </c>
      <c r="N584" t="s">
        <v>714</v>
      </c>
      <c r="O584" t="s">
        <v>10263</v>
      </c>
      <c r="P584" t="s">
        <v>12</v>
      </c>
    </row>
    <row r="585">
      <c r="A585">
        <f>HYPERLINK("http://bombeiros.sp.gov.br/hidrantes/03individual/27618.html","27618")</f>
      </c>
      <c r="B585" t="s">
        <v>623</v>
      </c>
      <c r="C585" t="s">
        <v>624</v>
      </c>
      <c r="D585" t="s">
        <v>625</v>
      </c>
      <c r="E585" t="s">
        <v>15</v>
      </c>
      <c r="F585" t="s">
        <v>17508</v>
      </c>
      <c r="G585" t="s">
        <v>18115</v>
      </c>
      <c r="H585" t="s">
        <v>1121</v>
      </c>
      <c r="I585" t="s">
        <v>1117</v>
      </c>
      <c r="J585" t="s">
        <v>17509</v>
      </c>
      <c r="K585" t="s">
        <v>17510</v>
      </c>
      <c r="L585" t="s">
        <v>21</v>
      </c>
      <c r="M585" t="s">
        <v>19177</v>
      </c>
      <c r="N585" t="s">
        <v>714</v>
      </c>
      <c r="O585" t="s">
        <v>10263</v>
      </c>
      <c r="P585" t="s">
        <v>12</v>
      </c>
    </row>
    <row r="586">
      <c r="A586">
        <f>HYPERLINK("http://bombeiros.sp.gov.br/hidrantes/03individual/1647.html","1647")</f>
      </c>
      <c r="B586" t="s">
        <v>623</v>
      </c>
      <c r="C586" t="s">
        <v>630</v>
      </c>
      <c r="D586" t="s">
        <v>631</v>
      </c>
      <c r="E586" t="s">
        <v>15</v>
      </c>
      <c r="F586" t="s">
        <v>9704</v>
      </c>
      <c r="G586" t="s">
        <v>18067</v>
      </c>
      <c r="H586" t="s">
        <v>1121</v>
      </c>
      <c r="I586" t="s">
        <v>1117</v>
      </c>
      <c r="J586" t="s">
        <v>9705</v>
      </c>
      <c r="K586" t="s">
        <v>9706</v>
      </c>
      <c r="L586" t="s">
        <v>21</v>
      </c>
      <c r="M586" t="s">
        <v>19177</v>
      </c>
      <c r="N586" t="s">
        <v>714</v>
      </c>
      <c r="O586" t="s">
        <v>10263</v>
      </c>
      <c r="P586" t="s">
        <v>12</v>
      </c>
    </row>
    <row r="587">
      <c r="A587">
        <f>HYPERLINK("http://bombeiros.sp.gov.br/hidrantes/03individual/17685.html","17685")</f>
      </c>
      <c r="B587" t="s">
        <v>623</v>
      </c>
      <c r="C587" t="s">
        <v>630</v>
      </c>
      <c r="D587" t="s">
        <v>631</v>
      </c>
      <c r="E587" t="s">
        <v>15</v>
      </c>
      <c r="F587" t="s">
        <v>9716</v>
      </c>
      <c r="G587" t="s">
        <v>17921</v>
      </c>
      <c r="H587" t="s">
        <v>1121</v>
      </c>
      <c r="I587" t="s">
        <v>1117</v>
      </c>
      <c r="J587" t="s">
        <v>9717</v>
      </c>
      <c r="K587" t="s">
        <v>9718</v>
      </c>
      <c r="L587" t="s">
        <v>21</v>
      </c>
      <c r="M587" t="s">
        <v>19177</v>
      </c>
      <c r="N587" t="s">
        <v>714</v>
      </c>
      <c r="O587" t="s">
        <v>10263</v>
      </c>
      <c r="P587" t="s">
        <v>12</v>
      </c>
    </row>
    <row r="588">
      <c r="A588">
        <f>HYPERLINK("http://bombeiros.sp.gov.br/hidrantes/03individual/1146.html","1146")</f>
      </c>
      <c r="B588" t="s">
        <v>623</v>
      </c>
      <c r="C588" t="s">
        <v>630</v>
      </c>
      <c r="D588" t="s">
        <v>630</v>
      </c>
      <c r="E588" t="s">
        <v>15</v>
      </c>
      <c r="F588" t="s">
        <v>9731</v>
      </c>
      <c r="G588" t="s">
        <v>18067</v>
      </c>
      <c r="H588" t="s">
        <v>1121</v>
      </c>
      <c r="I588" t="s">
        <v>1117</v>
      </c>
      <c r="J588" t="s">
        <v>9732</v>
      </c>
      <c r="K588" t="s">
        <v>9733</v>
      </c>
      <c r="L588" t="s">
        <v>36</v>
      </c>
      <c r="M588" t="s">
        <v>19177</v>
      </c>
      <c r="N588" t="s">
        <v>714</v>
      </c>
      <c r="O588" t="s">
        <v>10263</v>
      </c>
      <c r="P588" t="s">
        <v>12</v>
      </c>
    </row>
    <row r="589">
      <c r="A589">
        <f>HYPERLINK("http://bombeiros.sp.gov.br/hidrantes/03individual/1198.html","1198")</f>
      </c>
      <c r="B589" t="s">
        <v>623</v>
      </c>
      <c r="C589" t="s">
        <v>630</v>
      </c>
      <c r="D589" t="s">
        <v>9734</v>
      </c>
      <c r="E589" t="s">
        <v>64</v>
      </c>
      <c r="F589" t="s">
        <v>9735</v>
      </c>
      <c r="G589" t="s">
        <v>18055</v>
      </c>
      <c r="H589" t="s">
        <v>1121</v>
      </c>
      <c r="I589" t="s">
        <v>1117</v>
      </c>
      <c r="J589" t="s">
        <v>9736</v>
      </c>
      <c r="K589" t="s">
        <v>9737</v>
      </c>
      <c r="L589" t="s">
        <v>21</v>
      </c>
      <c r="M589" t="s">
        <v>19177</v>
      </c>
      <c r="N589" t="s">
        <v>714</v>
      </c>
      <c r="O589" t="s">
        <v>10263</v>
      </c>
      <c r="P589" t="s">
        <v>12</v>
      </c>
    </row>
    <row r="590">
      <c r="A590">
        <f>HYPERLINK("http://bombeiros.sp.gov.br/hidrantes/03individual/27050.html","27050")</f>
      </c>
      <c r="B590" t="s">
        <v>623</v>
      </c>
      <c r="C590" t="s">
        <v>630</v>
      </c>
      <c r="D590" t="s">
        <v>635</v>
      </c>
      <c r="E590" t="s">
        <v>64</v>
      </c>
      <c r="F590" t="s">
        <v>16663</v>
      </c>
      <c r="G590" t="s">
        <v>18155</v>
      </c>
      <c r="H590" t="s">
        <v>1121</v>
      </c>
      <c r="I590" t="s">
        <v>1117</v>
      </c>
      <c r="J590" t="s">
        <v>16664</v>
      </c>
      <c r="K590" t="s">
        <v>16665</v>
      </c>
      <c r="L590" t="s">
        <v>21</v>
      </c>
      <c r="M590" t="s">
        <v>19177</v>
      </c>
      <c r="N590" t="s">
        <v>714</v>
      </c>
      <c r="O590" t="s">
        <v>10263</v>
      </c>
      <c r="P590" t="s">
        <v>12</v>
      </c>
    </row>
    <row r="591">
      <c r="A591">
        <f>HYPERLINK("http://bombeiros.sp.gov.br/hidrantes/03individual/17686.html","17686")</f>
      </c>
      <c r="B591" t="s">
        <v>623</v>
      </c>
      <c r="C591" t="s">
        <v>630</v>
      </c>
      <c r="D591" t="s">
        <v>635</v>
      </c>
      <c r="E591" t="s">
        <v>15</v>
      </c>
      <c r="F591" t="s">
        <v>9776</v>
      </c>
      <c r="G591" t="s">
        <v>17949</v>
      </c>
      <c r="H591" t="s">
        <v>1121</v>
      </c>
      <c r="I591" t="s">
        <v>1117</v>
      </c>
      <c r="J591" t="s">
        <v>9777</v>
      </c>
      <c r="K591" t="s">
        <v>9778</v>
      </c>
      <c r="L591" t="s">
        <v>21</v>
      </c>
      <c r="M591" t="s">
        <v>19177</v>
      </c>
      <c r="N591" t="s">
        <v>714</v>
      </c>
      <c r="O591" t="s">
        <v>10263</v>
      </c>
      <c r="P591" t="s">
        <v>12</v>
      </c>
    </row>
    <row r="592">
      <c r="A592">
        <f>HYPERLINK("http://bombeiros.sp.gov.br/hidrantes/03individual/2303.html","2303")</f>
      </c>
      <c r="B592" t="s">
        <v>623</v>
      </c>
      <c r="C592" t="s">
        <v>640</v>
      </c>
      <c r="D592" t="s">
        <v>640</v>
      </c>
      <c r="E592" t="s">
        <v>15</v>
      </c>
      <c r="F592" t="s">
        <v>9785</v>
      </c>
      <c r="G592" t="s">
        <v>18098</v>
      </c>
      <c r="H592" t="s">
        <v>1121</v>
      </c>
      <c r="I592" t="s">
        <v>1117</v>
      </c>
      <c r="J592" t="s">
        <v>9786</v>
      </c>
      <c r="K592" t="s">
        <v>9787</v>
      </c>
      <c r="L592" t="s">
        <v>21</v>
      </c>
      <c r="M592" t="s">
        <v>19177</v>
      </c>
      <c r="N592" t="s">
        <v>16375</v>
      </c>
      <c r="O592" t="s">
        <v>640</v>
      </c>
      <c r="P592" t="s">
        <v>623</v>
      </c>
    </row>
    <row r="593">
      <c r="A593">
        <f>HYPERLINK("http://bombeiros.sp.gov.br/hidrantes/03individual/2325.html","2325")</f>
      </c>
      <c r="B593" t="s">
        <v>623</v>
      </c>
      <c r="C593" t="s">
        <v>640</v>
      </c>
      <c r="D593" t="s">
        <v>640</v>
      </c>
      <c r="E593" t="s">
        <v>15</v>
      </c>
      <c r="F593" t="s">
        <v>9788</v>
      </c>
      <c r="G593" t="s">
        <v>18207</v>
      </c>
      <c r="H593" t="s">
        <v>1121</v>
      </c>
      <c r="I593" t="s">
        <v>1117</v>
      </c>
      <c r="J593" t="s">
        <v>9789</v>
      </c>
      <c r="K593" t="s">
        <v>9790</v>
      </c>
      <c r="L593" t="s">
        <v>21</v>
      </c>
      <c r="M593" t="s">
        <v>19177</v>
      </c>
      <c r="N593" t="s">
        <v>16375</v>
      </c>
      <c r="O593" t="s">
        <v>640</v>
      </c>
      <c r="P593" t="s">
        <v>623</v>
      </c>
    </row>
    <row r="594">
      <c r="A594">
        <f>HYPERLINK("http://bombeiros.sp.gov.br/hidrantes/03individual/25197.html","25197")</f>
      </c>
      <c r="B594" t="s">
        <v>623</v>
      </c>
      <c r="C594" t="s">
        <v>640</v>
      </c>
      <c r="D594" t="s">
        <v>652</v>
      </c>
      <c r="E594" t="s">
        <v>64</v>
      </c>
      <c r="F594" t="s">
        <v>9821</v>
      </c>
      <c r="G594" t="s">
        <v>18139</v>
      </c>
      <c r="H594" t="s">
        <v>1121</v>
      </c>
      <c r="I594" t="s">
        <v>1117</v>
      </c>
      <c r="J594" t="s">
        <v>9822</v>
      </c>
      <c r="K594" t="s">
        <v>9823</v>
      </c>
      <c r="L594" t="s">
        <v>21</v>
      </c>
      <c r="M594" t="s">
        <v>19177</v>
      </c>
      <c r="N594" t="s">
        <v>16375</v>
      </c>
      <c r="O594" t="s">
        <v>640</v>
      </c>
      <c r="P594" t="s">
        <v>623</v>
      </c>
    </row>
    <row r="595">
      <c r="A595">
        <f>HYPERLINK("http://bombeiros.sp.gov.br/hidrantes/03individual/28001.html","28001")</f>
      </c>
      <c r="B595" t="s">
        <v>623</v>
      </c>
      <c r="C595" t="s">
        <v>640</v>
      </c>
      <c r="D595" t="s">
        <v>652</v>
      </c>
      <c r="E595" t="s">
        <v>64</v>
      </c>
      <c r="F595" t="s">
        <v>18259</v>
      </c>
      <c r="G595" t="s">
        <v>18194</v>
      </c>
      <c r="H595" t="s">
        <v>1121</v>
      </c>
      <c r="I595" t="s">
        <v>1117</v>
      </c>
      <c r="J595" t="s">
        <v>18260</v>
      </c>
      <c r="K595" t="s">
        <v>18261</v>
      </c>
      <c r="L595" t="s">
        <v>21</v>
      </c>
      <c r="M595" t="s">
        <v>19177</v>
      </c>
      <c r="N595" t="s">
        <v>16375</v>
      </c>
      <c r="O595" t="s">
        <v>640</v>
      </c>
      <c r="P595" t="s">
        <v>623</v>
      </c>
    </row>
    <row r="596">
      <c r="A596">
        <f>HYPERLINK("http://bombeiros.sp.gov.br/hidrantes/03individual/27031.html","27031")</f>
      </c>
      <c r="B596" t="s">
        <v>623</v>
      </c>
      <c r="C596" t="s">
        <v>640</v>
      </c>
      <c r="D596" t="s">
        <v>660</v>
      </c>
      <c r="E596" t="s">
        <v>64</v>
      </c>
      <c r="F596" t="s">
        <v>16606</v>
      </c>
      <c r="G596" t="s">
        <v>17928</v>
      </c>
      <c r="H596" t="s">
        <v>1121</v>
      </c>
      <c r="I596" t="s">
        <v>1117</v>
      </c>
      <c r="J596" t="s">
        <v>16607</v>
      </c>
      <c r="K596" t="s">
        <v>16608</v>
      </c>
      <c r="L596" t="s">
        <v>21</v>
      </c>
      <c r="M596" t="s">
        <v>19177</v>
      </c>
      <c r="N596" t="s">
        <v>16375</v>
      </c>
      <c r="O596" t="s">
        <v>640</v>
      </c>
      <c r="P596" t="s">
        <v>623</v>
      </c>
    </row>
    <row r="597">
      <c r="A597">
        <f>HYPERLINK("http://bombeiros.sp.gov.br/hidrantes/03individual/1259.html","1259")</f>
      </c>
      <c r="B597" t="s">
        <v>623</v>
      </c>
      <c r="C597" t="s">
        <v>640</v>
      </c>
      <c r="D597" t="s">
        <v>669</v>
      </c>
      <c r="E597" t="s">
        <v>64</v>
      </c>
      <c r="F597" t="s">
        <v>9871</v>
      </c>
      <c r="G597" t="s">
        <v>18132</v>
      </c>
      <c r="H597" t="s">
        <v>1121</v>
      </c>
      <c r="I597" t="s">
        <v>1117</v>
      </c>
      <c r="J597" t="s">
        <v>9872</v>
      </c>
      <c r="K597" t="s">
        <v>9873</v>
      </c>
      <c r="L597" t="s">
        <v>36</v>
      </c>
      <c r="M597" t="s">
        <v>19177</v>
      </c>
      <c r="N597" t="s">
        <v>16375</v>
      </c>
      <c r="O597" t="s">
        <v>640</v>
      </c>
      <c r="P597" t="s">
        <v>623</v>
      </c>
    </row>
    <row r="598">
      <c r="A598">
        <f>HYPERLINK("http://bombeiros.sp.gov.br/hidrantes/03individual/4246.html","4246")</f>
      </c>
      <c r="B598" t="s">
        <v>623</v>
      </c>
      <c r="C598" t="s">
        <v>640</v>
      </c>
      <c r="D598" t="s">
        <v>669</v>
      </c>
      <c r="E598" t="s">
        <v>15</v>
      </c>
      <c r="F598" t="s">
        <v>9907</v>
      </c>
      <c r="G598" t="s">
        <v>18130</v>
      </c>
      <c r="H598" t="s">
        <v>1121</v>
      </c>
      <c r="I598" t="s">
        <v>1117</v>
      </c>
      <c r="J598" t="s">
        <v>9908</v>
      </c>
      <c r="K598" t="s">
        <v>9909</v>
      </c>
      <c r="L598" t="s">
        <v>21</v>
      </c>
      <c r="M598" t="s">
        <v>19177</v>
      </c>
      <c r="N598" t="s">
        <v>16375</v>
      </c>
      <c r="O598" t="s">
        <v>640</v>
      </c>
      <c r="P598" t="s">
        <v>623</v>
      </c>
    </row>
    <row r="599">
      <c r="A599">
        <f>HYPERLINK("http://bombeiros.sp.gov.br/hidrantes/03individual/1425.html","1425")</f>
      </c>
      <c r="B599" t="s">
        <v>623</v>
      </c>
      <c r="C599" t="s">
        <v>674</v>
      </c>
      <c r="D599" t="s">
        <v>675</v>
      </c>
      <c r="E599" t="s">
        <v>64</v>
      </c>
      <c r="F599" t="s">
        <v>9924</v>
      </c>
      <c r="G599" t="s">
        <v>17927</v>
      </c>
      <c r="H599" t="s">
        <v>1121</v>
      </c>
      <c r="I599" t="s">
        <v>1117</v>
      </c>
      <c r="J599" t="s">
        <v>15894</v>
      </c>
      <c r="K599" t="s">
        <v>15895</v>
      </c>
      <c r="L599" t="s">
        <v>21</v>
      </c>
      <c r="M599" t="s">
        <v>19177</v>
      </c>
      <c r="N599" t="s">
        <v>714</v>
      </c>
      <c r="O599" t="s">
        <v>10263</v>
      </c>
      <c r="P599" t="s">
        <v>12</v>
      </c>
    </row>
    <row r="600">
      <c r="A600">
        <f>HYPERLINK("http://bombeiros.sp.gov.br/hidrantes/03individual/4383.html","4383")</f>
      </c>
      <c r="B600" t="s">
        <v>623</v>
      </c>
      <c r="C600" t="s">
        <v>674</v>
      </c>
      <c r="D600" t="s">
        <v>675</v>
      </c>
      <c r="E600" t="s">
        <v>15</v>
      </c>
      <c r="F600" t="s">
        <v>676</v>
      </c>
      <c r="G600" t="s">
        <v>18146</v>
      </c>
      <c r="H600" t="s">
        <v>1121</v>
      </c>
      <c r="I600" t="s">
        <v>1117</v>
      </c>
      <c r="J600" t="s">
        <v>677</v>
      </c>
      <c r="K600" t="s">
        <v>678</v>
      </c>
      <c r="L600" t="s">
        <v>36</v>
      </c>
      <c r="M600" t="s">
        <v>19177</v>
      </c>
      <c r="N600" t="s">
        <v>1024</v>
      </c>
      <c r="O600" t="s">
        <v>1024</v>
      </c>
      <c r="P600" t="s">
        <v>842</v>
      </c>
    </row>
    <row r="601">
      <c r="A601">
        <f>HYPERLINK("http://bombeiros.sp.gov.br/hidrantes/03individual/3941.html","3941")</f>
      </c>
      <c r="B601" t="s">
        <v>623</v>
      </c>
      <c r="C601" t="s">
        <v>674</v>
      </c>
      <c r="D601" t="s">
        <v>9936</v>
      </c>
      <c r="E601" t="s">
        <v>15</v>
      </c>
      <c r="F601" t="s">
        <v>9944</v>
      </c>
      <c r="G601" t="s">
        <v>18147</v>
      </c>
      <c r="H601" t="s">
        <v>1121</v>
      </c>
      <c r="I601" t="s">
        <v>1117</v>
      </c>
      <c r="J601" t="s">
        <v>9945</v>
      </c>
      <c r="K601" t="s">
        <v>9946</v>
      </c>
      <c r="L601" t="s">
        <v>21</v>
      </c>
      <c r="M601" t="s">
        <v>19177</v>
      </c>
      <c r="N601" t="s">
        <v>1024</v>
      </c>
      <c r="O601" t="s">
        <v>1024</v>
      </c>
      <c r="P601" t="s">
        <v>842</v>
      </c>
    </row>
    <row r="602">
      <c r="A602">
        <f>HYPERLINK("http://bombeiros.sp.gov.br/hidrantes/03individual/4429.html","4429")</f>
      </c>
      <c r="B602" t="s">
        <v>623</v>
      </c>
      <c r="C602" t="s">
        <v>674</v>
      </c>
      <c r="D602" t="s">
        <v>9936</v>
      </c>
      <c r="E602" t="s">
        <v>15</v>
      </c>
      <c r="F602" t="s">
        <v>9977</v>
      </c>
      <c r="G602" t="s">
        <v>18147</v>
      </c>
      <c r="H602" t="s">
        <v>1121</v>
      </c>
      <c r="I602" t="s">
        <v>1117</v>
      </c>
      <c r="J602" t="s">
        <v>9978</v>
      </c>
      <c r="K602" t="s">
        <v>9979</v>
      </c>
      <c r="L602" t="s">
        <v>21</v>
      </c>
      <c r="M602" t="s">
        <v>19177</v>
      </c>
      <c r="N602" t="s">
        <v>1024</v>
      </c>
      <c r="O602" t="s">
        <v>1024</v>
      </c>
      <c r="P602" t="s">
        <v>842</v>
      </c>
    </row>
    <row r="603">
      <c r="A603">
        <f>HYPERLINK("http://bombeiros.sp.gov.br/hidrantes/03individual/1541.html","1541")</f>
      </c>
      <c r="B603" t="s">
        <v>623</v>
      </c>
      <c r="C603" t="s">
        <v>674</v>
      </c>
      <c r="D603" t="s">
        <v>9989</v>
      </c>
      <c r="E603" t="s">
        <v>64</v>
      </c>
      <c r="F603" t="s">
        <v>9990</v>
      </c>
      <c r="G603" t="s">
        <v>17960</v>
      </c>
      <c r="H603" t="s">
        <v>1121</v>
      </c>
      <c r="I603" t="s">
        <v>1117</v>
      </c>
      <c r="J603" t="s">
        <v>9991</v>
      </c>
      <c r="K603" t="s">
        <v>9992</v>
      </c>
      <c r="L603" t="s">
        <v>36</v>
      </c>
      <c r="M603" t="s">
        <v>19177</v>
      </c>
      <c r="N603" t="s">
        <v>714</v>
      </c>
      <c r="O603" t="s">
        <v>10263</v>
      </c>
      <c r="P603" t="s">
        <v>12</v>
      </c>
    </row>
    <row r="604">
      <c r="A604">
        <f>HYPERLINK("http://bombeiros.sp.gov.br/hidrantes/03individual/1568.html","1568")</f>
      </c>
      <c r="B604" t="s">
        <v>623</v>
      </c>
      <c r="C604" t="s">
        <v>674</v>
      </c>
      <c r="D604" t="s">
        <v>9989</v>
      </c>
      <c r="E604" t="s">
        <v>64</v>
      </c>
      <c r="F604" t="s">
        <v>9993</v>
      </c>
      <c r="G604" t="s">
        <v>17960</v>
      </c>
      <c r="H604" t="s">
        <v>1121</v>
      </c>
      <c r="I604" t="s">
        <v>1117</v>
      </c>
      <c r="J604" t="s">
        <v>9994</v>
      </c>
      <c r="K604" t="s">
        <v>9995</v>
      </c>
      <c r="L604" t="s">
        <v>21</v>
      </c>
      <c r="M604" t="s">
        <v>19177</v>
      </c>
      <c r="N604" t="s">
        <v>714</v>
      </c>
      <c r="O604" t="s">
        <v>10263</v>
      </c>
      <c r="P604" t="s">
        <v>12</v>
      </c>
    </row>
    <row r="605">
      <c r="A605">
        <f>HYPERLINK("http://bombeiros.sp.gov.br/hidrantes/03individual/1439.html","1439")</f>
      </c>
      <c r="B605" t="s">
        <v>623</v>
      </c>
      <c r="C605" t="s">
        <v>674</v>
      </c>
      <c r="D605" t="s">
        <v>9989</v>
      </c>
      <c r="E605" t="s">
        <v>15</v>
      </c>
      <c r="F605" t="s">
        <v>9996</v>
      </c>
      <c r="G605" t="s">
        <v>18148</v>
      </c>
      <c r="H605" t="s">
        <v>1121</v>
      </c>
      <c r="I605" t="s">
        <v>1117</v>
      </c>
      <c r="J605" t="s">
        <v>9997</v>
      </c>
      <c r="K605" t="s">
        <v>9998</v>
      </c>
      <c r="L605" t="s">
        <v>21</v>
      </c>
      <c r="M605" t="s">
        <v>19177</v>
      </c>
      <c r="N605" t="s">
        <v>714</v>
      </c>
      <c r="O605" t="s">
        <v>10263</v>
      </c>
      <c r="P605" t="s">
        <v>12</v>
      </c>
    </row>
    <row r="606">
      <c r="A606">
        <f>HYPERLINK("http://bombeiros.sp.gov.br/hidrantes/03individual/2176.html","2176")</f>
      </c>
      <c r="B606" t="s">
        <v>623</v>
      </c>
      <c r="C606" t="s">
        <v>674</v>
      </c>
      <c r="D606" t="s">
        <v>9989</v>
      </c>
      <c r="E606" t="s">
        <v>15</v>
      </c>
      <c r="F606" t="s">
        <v>10017</v>
      </c>
      <c r="G606" t="s">
        <v>17963</v>
      </c>
      <c r="H606" t="s">
        <v>1121</v>
      </c>
      <c r="I606" t="s">
        <v>1117</v>
      </c>
      <c r="J606" t="s">
        <v>10018</v>
      </c>
      <c r="K606" t="s">
        <v>10019</v>
      </c>
      <c r="L606" t="s">
        <v>21</v>
      </c>
      <c r="M606" t="s">
        <v>19177</v>
      </c>
      <c r="N606" t="s">
        <v>714</v>
      </c>
      <c r="O606" t="s">
        <v>10263</v>
      </c>
      <c r="P606" t="s">
        <v>12</v>
      </c>
    </row>
    <row r="607">
      <c r="A607">
        <f>HYPERLINK("http://bombeiros.sp.gov.br/hidrantes/03individual/5378.html","5378")</f>
      </c>
      <c r="B607" t="s">
        <v>623</v>
      </c>
      <c r="C607" t="s">
        <v>674</v>
      </c>
      <c r="D607" t="s">
        <v>9989</v>
      </c>
      <c r="E607" t="s">
        <v>15</v>
      </c>
      <c r="F607" t="s">
        <v>10020</v>
      </c>
      <c r="G607" t="s">
        <v>18148</v>
      </c>
      <c r="H607" t="s">
        <v>1121</v>
      </c>
      <c r="I607" t="s">
        <v>1117</v>
      </c>
      <c r="J607" t="s">
        <v>10022</v>
      </c>
      <c r="K607" t="s">
        <v>10023</v>
      </c>
      <c r="L607" t="s">
        <v>21</v>
      </c>
      <c r="M607" t="s">
        <v>19177</v>
      </c>
      <c r="N607" t="s">
        <v>714</v>
      </c>
      <c r="O607" t="s">
        <v>10263</v>
      </c>
      <c r="P607" t="s">
        <v>12</v>
      </c>
    </row>
    <row r="608">
      <c r="A608">
        <f>HYPERLINK("http://bombeiros.sp.gov.br/hidrantes/03individual/3992.html","3992")</f>
      </c>
      <c r="B608" t="s">
        <v>623</v>
      </c>
      <c r="C608" t="s">
        <v>674</v>
      </c>
      <c r="D608" t="s">
        <v>10030</v>
      </c>
      <c r="E608" t="s">
        <v>64</v>
      </c>
      <c r="F608" t="s">
        <v>10031</v>
      </c>
      <c r="G608" t="s">
        <v>18208</v>
      </c>
      <c r="H608" t="s">
        <v>1121</v>
      </c>
      <c r="I608" t="s">
        <v>1117</v>
      </c>
      <c r="J608" t="s">
        <v>10032</v>
      </c>
      <c r="K608" t="s">
        <v>10033</v>
      </c>
      <c r="L608" t="s">
        <v>36</v>
      </c>
      <c r="M608" t="s">
        <v>19177</v>
      </c>
      <c r="N608" t="s">
        <v>714</v>
      </c>
      <c r="O608" t="s">
        <v>10263</v>
      </c>
      <c r="P608" t="s">
        <v>12</v>
      </c>
    </row>
    <row r="609">
      <c r="A609">
        <f>HYPERLINK("http://bombeiros.sp.gov.br/hidrantes/03individual/1432.html","1432")</f>
      </c>
      <c r="B609" t="s">
        <v>623</v>
      </c>
      <c r="C609" t="s">
        <v>674</v>
      </c>
      <c r="D609" t="s">
        <v>10073</v>
      </c>
      <c r="E609" t="s">
        <v>64</v>
      </c>
      <c r="F609" t="s">
        <v>10074</v>
      </c>
      <c r="G609" t="s">
        <v>17927</v>
      </c>
      <c r="H609" t="s">
        <v>1121</v>
      </c>
      <c r="I609" t="s">
        <v>1117</v>
      </c>
      <c r="J609" t="s">
        <v>10075</v>
      </c>
      <c r="K609" t="s">
        <v>10076</v>
      </c>
      <c r="L609" t="s">
        <v>36</v>
      </c>
      <c r="M609" t="s">
        <v>19177</v>
      </c>
      <c r="N609" t="s">
        <v>714</v>
      </c>
      <c r="O609" t="s">
        <v>10263</v>
      </c>
      <c r="P609" t="s">
        <v>12</v>
      </c>
    </row>
    <row r="610">
      <c r="A610">
        <f>HYPERLINK("http://bombeiros.sp.gov.br/hidrantes/03individual/1459.html","1459")</f>
      </c>
      <c r="B610" t="s">
        <v>623</v>
      </c>
      <c r="C610" t="s">
        <v>674</v>
      </c>
      <c r="D610" t="s">
        <v>10073</v>
      </c>
      <c r="E610" t="s">
        <v>64</v>
      </c>
      <c r="F610" t="s">
        <v>10077</v>
      </c>
      <c r="G610" t="s">
        <v>17963</v>
      </c>
      <c r="H610" t="s">
        <v>1121</v>
      </c>
      <c r="I610" t="s">
        <v>1117</v>
      </c>
      <c r="J610" t="s">
        <v>10078</v>
      </c>
      <c r="K610" t="s">
        <v>10079</v>
      </c>
      <c r="L610" t="s">
        <v>21</v>
      </c>
      <c r="M610" t="s">
        <v>19177</v>
      </c>
      <c r="N610" t="s">
        <v>714</v>
      </c>
      <c r="O610" t="s">
        <v>10263</v>
      </c>
      <c r="P610" t="s">
        <v>12</v>
      </c>
    </row>
    <row r="611">
      <c r="A611">
        <f>HYPERLINK("http://bombeiros.sp.gov.br/hidrantes/03individual/1463.html","1463")</f>
      </c>
      <c r="B611" t="s">
        <v>623</v>
      </c>
      <c r="C611" t="s">
        <v>674</v>
      </c>
      <c r="D611" t="s">
        <v>10073</v>
      </c>
      <c r="E611" t="s">
        <v>15</v>
      </c>
      <c r="F611" t="s">
        <v>10086</v>
      </c>
      <c r="G611" t="s">
        <v>18148</v>
      </c>
      <c r="H611" t="s">
        <v>1121</v>
      </c>
      <c r="I611" t="s">
        <v>1117</v>
      </c>
      <c r="J611" t="s">
        <v>10087</v>
      </c>
      <c r="K611" t="s">
        <v>10088</v>
      </c>
      <c r="L611" t="s">
        <v>36</v>
      </c>
      <c r="M611" t="s">
        <v>19177</v>
      </c>
      <c r="N611" t="s">
        <v>714</v>
      </c>
      <c r="O611" t="s">
        <v>10263</v>
      </c>
      <c r="P611" t="s">
        <v>12</v>
      </c>
    </row>
    <row r="612">
      <c r="A612">
        <f>HYPERLINK("http://bombeiros.sp.gov.br/hidrantes/03individual/1481.html","1481")</f>
      </c>
      <c r="B612" t="s">
        <v>623</v>
      </c>
      <c r="C612" t="s">
        <v>674</v>
      </c>
      <c r="D612" t="s">
        <v>10073</v>
      </c>
      <c r="E612" t="s">
        <v>15</v>
      </c>
      <c r="F612" t="s">
        <v>10089</v>
      </c>
      <c r="G612" t="s">
        <v>18208</v>
      </c>
      <c r="H612" t="s">
        <v>1121</v>
      </c>
      <c r="I612" t="s">
        <v>1117</v>
      </c>
      <c r="J612" t="s">
        <v>10090</v>
      </c>
      <c r="K612" t="s">
        <v>10091</v>
      </c>
      <c r="L612" t="s">
        <v>21</v>
      </c>
      <c r="M612" t="s">
        <v>19177</v>
      </c>
      <c r="N612" t="s">
        <v>714</v>
      </c>
      <c r="O612" t="s">
        <v>10263</v>
      </c>
      <c r="P612" t="s">
        <v>12</v>
      </c>
    </row>
    <row r="613">
      <c r="A613">
        <f>HYPERLINK("http://bombeiros.sp.gov.br/hidrantes/03individual/3361.html","3361")</f>
      </c>
      <c r="B613" t="s">
        <v>623</v>
      </c>
      <c r="C613" t="s">
        <v>690</v>
      </c>
      <c r="D613" t="s">
        <v>691</v>
      </c>
      <c r="E613" t="s">
        <v>64</v>
      </c>
      <c r="F613" t="s">
        <v>10119</v>
      </c>
      <c r="G613" t="s">
        <v>18130</v>
      </c>
      <c r="H613" t="s">
        <v>1121</v>
      </c>
      <c r="I613" t="s">
        <v>1117</v>
      </c>
      <c r="J613" t="s">
        <v>10120</v>
      </c>
      <c r="K613" t="s">
        <v>10121</v>
      </c>
      <c r="L613" t="s">
        <v>21</v>
      </c>
      <c r="M613" t="s">
        <v>19177</v>
      </c>
      <c r="N613" t="s">
        <v>519</v>
      </c>
      <c r="O613" t="s">
        <v>519</v>
      </c>
      <c r="P613" t="s">
        <v>454</v>
      </c>
    </row>
    <row r="614">
      <c r="A614">
        <f>HYPERLINK("http://bombeiros.sp.gov.br/hidrantes/03individual/1167.html","1167")</f>
      </c>
      <c r="B614" t="s">
        <v>623</v>
      </c>
      <c r="C614" t="s">
        <v>690</v>
      </c>
      <c r="D614" t="s">
        <v>691</v>
      </c>
      <c r="E614" t="s">
        <v>15</v>
      </c>
      <c r="F614" t="s">
        <v>10131</v>
      </c>
      <c r="G614" t="s">
        <v>18206</v>
      </c>
      <c r="H614" t="s">
        <v>1121</v>
      </c>
      <c r="I614" t="s">
        <v>1117</v>
      </c>
      <c r="J614" t="s">
        <v>10132</v>
      </c>
      <c r="K614" t="s">
        <v>10133</v>
      </c>
      <c r="L614" t="s">
        <v>21</v>
      </c>
      <c r="M614" t="s">
        <v>19177</v>
      </c>
      <c r="N614" t="s">
        <v>519</v>
      </c>
      <c r="O614" t="s">
        <v>519</v>
      </c>
      <c r="P614" t="s">
        <v>454</v>
      </c>
    </row>
    <row r="615">
      <c r="A615">
        <f>HYPERLINK("http://bombeiros.sp.gov.br/hidrantes/03individual/1251.html","1251")</f>
      </c>
      <c r="B615" t="s">
        <v>623</v>
      </c>
      <c r="C615" t="s">
        <v>690</v>
      </c>
      <c r="D615" t="s">
        <v>691</v>
      </c>
      <c r="E615" t="s">
        <v>15</v>
      </c>
      <c r="F615" t="s">
        <v>10134</v>
      </c>
      <c r="G615" t="s">
        <v>18066</v>
      </c>
      <c r="H615" t="s">
        <v>1121</v>
      </c>
      <c r="I615" t="s">
        <v>1117</v>
      </c>
      <c r="J615" t="s">
        <v>10135</v>
      </c>
      <c r="K615" t="s">
        <v>10136</v>
      </c>
      <c r="L615" t="s">
        <v>21</v>
      </c>
      <c r="M615" t="s">
        <v>19177</v>
      </c>
      <c r="N615" t="s">
        <v>519</v>
      </c>
      <c r="O615" t="s">
        <v>519</v>
      </c>
      <c r="P615" t="s">
        <v>454</v>
      </c>
    </row>
    <row r="616">
      <c r="A616">
        <f>HYPERLINK("http://bombeiros.sp.gov.br/hidrantes/03individual/17886.html","17886")</f>
      </c>
      <c r="B616" t="s">
        <v>623</v>
      </c>
      <c r="C616" t="s">
        <v>690</v>
      </c>
      <c r="D616" t="s">
        <v>691</v>
      </c>
      <c r="E616" t="s">
        <v>15</v>
      </c>
      <c r="F616" t="s">
        <v>10143</v>
      </c>
      <c r="G616" t="s">
        <v>18046</v>
      </c>
      <c r="H616" t="s">
        <v>1121</v>
      </c>
      <c r="I616" t="s">
        <v>1117</v>
      </c>
      <c r="J616" t="s">
        <v>10144</v>
      </c>
      <c r="K616" t="s">
        <v>10145</v>
      </c>
      <c r="L616" t="s">
        <v>21</v>
      </c>
      <c r="M616" t="s">
        <v>19177</v>
      </c>
      <c r="N616" t="s">
        <v>519</v>
      </c>
      <c r="O616" t="s">
        <v>519</v>
      </c>
      <c r="P616" t="s">
        <v>454</v>
      </c>
    </row>
    <row r="617">
      <c r="A617">
        <f>HYPERLINK("http://bombeiros.sp.gov.br/hidrantes/03individual/895.html","895")</f>
      </c>
      <c r="B617" t="s">
        <v>623</v>
      </c>
      <c r="C617" t="s">
        <v>696</v>
      </c>
      <c r="D617" t="s">
        <v>696</v>
      </c>
      <c r="E617" t="s">
        <v>64</v>
      </c>
      <c r="F617" t="s">
        <v>10146</v>
      </c>
      <c r="G617" t="s">
        <v>18132</v>
      </c>
      <c r="H617" t="s">
        <v>1121</v>
      </c>
      <c r="I617" t="s">
        <v>1117</v>
      </c>
      <c r="J617" t="s">
        <v>10147</v>
      </c>
      <c r="K617" t="s">
        <v>10148</v>
      </c>
      <c r="L617" t="s">
        <v>36</v>
      </c>
      <c r="M617" t="s">
        <v>19177</v>
      </c>
      <c r="N617" t="s">
        <v>16375</v>
      </c>
      <c r="O617" t="s">
        <v>640</v>
      </c>
      <c r="P617" t="s">
        <v>623</v>
      </c>
    </row>
    <row r="618">
      <c r="A618">
        <f>HYPERLINK("http://bombeiros.sp.gov.br/hidrantes/03individual/16553.html","16553")</f>
      </c>
      <c r="B618" t="s">
        <v>623</v>
      </c>
      <c r="C618" t="s">
        <v>696</v>
      </c>
      <c r="D618" t="s">
        <v>696</v>
      </c>
      <c r="E618" t="s">
        <v>64</v>
      </c>
      <c r="F618" t="s">
        <v>697</v>
      </c>
      <c r="G618" t="s">
        <v>18132</v>
      </c>
      <c r="H618" t="s">
        <v>1121</v>
      </c>
      <c r="I618" t="s">
        <v>1117</v>
      </c>
      <c r="J618" t="s">
        <v>699</v>
      </c>
      <c r="K618" t="s">
        <v>700</v>
      </c>
      <c r="L618" t="s">
        <v>21</v>
      </c>
      <c r="M618" t="s">
        <v>19177</v>
      </c>
      <c r="N618" t="s">
        <v>16375</v>
      </c>
      <c r="O618" t="s">
        <v>640</v>
      </c>
      <c r="P618" t="s">
        <v>623</v>
      </c>
    </row>
    <row r="619">
      <c r="A619">
        <f>HYPERLINK("http://bombeiros.sp.gov.br/hidrantes/03individual/17810.html","17810")</f>
      </c>
      <c r="B619" t="s">
        <v>623</v>
      </c>
      <c r="C619" t="s">
        <v>696</v>
      </c>
      <c r="D619" t="s">
        <v>696</v>
      </c>
      <c r="E619" t="s">
        <v>15</v>
      </c>
      <c r="F619" t="s">
        <v>10158</v>
      </c>
      <c r="G619" t="s">
        <v>18132</v>
      </c>
      <c r="H619" t="s">
        <v>1121</v>
      </c>
      <c r="I619" t="s">
        <v>1117</v>
      </c>
      <c r="J619" t="s">
        <v>10159</v>
      </c>
      <c r="K619" t="s">
        <v>10160</v>
      </c>
      <c r="L619" t="s">
        <v>21</v>
      </c>
      <c r="M619" t="s">
        <v>19177</v>
      </c>
      <c r="N619" t="s">
        <v>16375</v>
      </c>
      <c r="O619" t="s">
        <v>640</v>
      </c>
      <c r="P619" t="s">
        <v>623</v>
      </c>
    </row>
    <row r="620">
      <c r="A620">
        <f>HYPERLINK("http://bombeiros.sp.gov.br/hidrantes/03individual/1219.html","1219")</f>
      </c>
      <c r="B620" t="s">
        <v>623</v>
      </c>
      <c r="C620" t="s">
        <v>696</v>
      </c>
      <c r="D620" t="s">
        <v>704</v>
      </c>
      <c r="E620" t="s">
        <v>64</v>
      </c>
      <c r="F620" t="s">
        <v>10167</v>
      </c>
      <c r="G620" t="s">
        <v>18132</v>
      </c>
      <c r="H620" t="s">
        <v>1121</v>
      </c>
      <c r="I620" t="s">
        <v>1117</v>
      </c>
      <c r="J620" t="s">
        <v>10168</v>
      </c>
      <c r="K620" t="s">
        <v>10169</v>
      </c>
      <c r="L620" t="s">
        <v>36</v>
      </c>
      <c r="M620" t="s">
        <v>19177</v>
      </c>
      <c r="N620" t="s">
        <v>16375</v>
      </c>
      <c r="O620" t="s">
        <v>640</v>
      </c>
      <c r="P620" t="s">
        <v>623</v>
      </c>
    </row>
    <row r="621">
      <c r="A621">
        <f>HYPERLINK("http://bombeiros.sp.gov.br/hidrantes/03individual/27052.html","27052")</f>
      </c>
      <c r="B621" t="s">
        <v>623</v>
      </c>
      <c r="C621" t="s">
        <v>696</v>
      </c>
      <c r="D621" t="s">
        <v>704</v>
      </c>
      <c r="E621" t="s">
        <v>64</v>
      </c>
      <c r="F621" t="s">
        <v>16666</v>
      </c>
      <c r="G621" t="s">
        <v>18143</v>
      </c>
      <c r="H621" t="s">
        <v>1121</v>
      </c>
      <c r="I621" t="s">
        <v>1117</v>
      </c>
      <c r="J621" t="s">
        <v>16667</v>
      </c>
      <c r="K621" t="s">
        <v>16668</v>
      </c>
      <c r="L621" t="s">
        <v>21</v>
      </c>
      <c r="M621" t="s">
        <v>19177</v>
      </c>
      <c r="N621" t="s">
        <v>16375</v>
      </c>
      <c r="O621" t="s">
        <v>640</v>
      </c>
      <c r="P621" t="s">
        <v>623</v>
      </c>
    </row>
    <row r="622">
      <c r="A622">
        <f>HYPERLINK("http://bombeiros.sp.gov.br/hidrantes/03individual/1211.html","1211")</f>
      </c>
      <c r="B622" t="s">
        <v>623</v>
      </c>
      <c r="C622" t="s">
        <v>696</v>
      </c>
      <c r="D622" t="s">
        <v>704</v>
      </c>
      <c r="E622" t="s">
        <v>15</v>
      </c>
      <c r="F622" t="s">
        <v>10176</v>
      </c>
      <c r="G622" t="s">
        <v>18132</v>
      </c>
      <c r="H622" t="s">
        <v>1121</v>
      </c>
      <c r="I622" t="s">
        <v>1117</v>
      </c>
      <c r="J622" t="s">
        <v>10177</v>
      </c>
      <c r="K622" t="s">
        <v>10178</v>
      </c>
      <c r="L622" t="s">
        <v>21</v>
      </c>
      <c r="M622" t="s">
        <v>19177</v>
      </c>
      <c r="N622" t="s">
        <v>16375</v>
      </c>
      <c r="O622" t="s">
        <v>640</v>
      </c>
      <c r="P622" t="s">
        <v>623</v>
      </c>
    </row>
    <row r="623">
      <c r="A623">
        <f>HYPERLINK("http://bombeiros.sp.gov.br/hidrantes/03individual/2639.html","2639")</f>
      </c>
      <c r="B623" t="s">
        <v>623</v>
      </c>
      <c r="C623" t="s">
        <v>709</v>
      </c>
      <c r="D623" t="s">
        <v>10197</v>
      </c>
      <c r="E623" t="s">
        <v>15</v>
      </c>
      <c r="F623" t="s">
        <v>10211</v>
      </c>
      <c r="G623" t="s">
        <v>18124</v>
      </c>
      <c r="H623" t="s">
        <v>1121</v>
      </c>
      <c r="I623" t="s">
        <v>1117</v>
      </c>
      <c r="J623" t="s">
        <v>10212</v>
      </c>
      <c r="K623" t="s">
        <v>10213</v>
      </c>
      <c r="L623" t="s">
        <v>21</v>
      </c>
      <c r="M623" t="s">
        <v>19177</v>
      </c>
      <c r="N623" t="s">
        <v>714</v>
      </c>
      <c r="O623" t="s">
        <v>10263</v>
      </c>
      <c r="P623" t="s">
        <v>12</v>
      </c>
    </row>
    <row r="624">
      <c r="A624">
        <f>HYPERLINK("http://bombeiros.sp.gov.br/hidrantes/03individual/1938.html","1938")</f>
      </c>
      <c r="B624" t="s">
        <v>623</v>
      </c>
      <c r="C624" t="s">
        <v>709</v>
      </c>
      <c r="D624" t="s">
        <v>10223</v>
      </c>
      <c r="E624" t="s">
        <v>64</v>
      </c>
      <c r="F624" t="s">
        <v>10227</v>
      </c>
      <c r="G624" t="s">
        <v>18075</v>
      </c>
      <c r="H624" t="s">
        <v>1121</v>
      </c>
      <c r="I624" t="s">
        <v>1117</v>
      </c>
      <c r="J624" t="s">
        <v>15852</v>
      </c>
      <c r="K624" t="s">
        <v>15853</v>
      </c>
      <c r="L624" t="s">
        <v>21</v>
      </c>
      <c r="M624" t="s">
        <v>19177</v>
      </c>
      <c r="N624" t="s">
        <v>714</v>
      </c>
      <c r="O624" t="s">
        <v>10263</v>
      </c>
      <c r="P624" t="s">
        <v>12</v>
      </c>
    </row>
    <row r="625">
      <c r="A625">
        <f>HYPERLINK("http://bombeiros.sp.gov.br/hidrantes/03individual/2733.html","2733")</f>
      </c>
      <c r="B625" t="s">
        <v>623</v>
      </c>
      <c r="C625" t="s">
        <v>709</v>
      </c>
      <c r="D625" t="s">
        <v>10223</v>
      </c>
      <c r="E625" t="s">
        <v>64</v>
      </c>
      <c r="F625" t="s">
        <v>10233</v>
      </c>
      <c r="G625" t="s">
        <v>18075</v>
      </c>
      <c r="H625" t="s">
        <v>1121</v>
      </c>
      <c r="I625" t="s">
        <v>1117</v>
      </c>
      <c r="J625" t="s">
        <v>10234</v>
      </c>
      <c r="K625" t="s">
        <v>10235</v>
      </c>
      <c r="L625" t="s">
        <v>36</v>
      </c>
      <c r="M625" t="s">
        <v>19177</v>
      </c>
      <c r="N625" t="s">
        <v>714</v>
      </c>
      <c r="O625" t="s">
        <v>10263</v>
      </c>
      <c r="P625" t="s">
        <v>12</v>
      </c>
    </row>
    <row r="626">
      <c r="A626">
        <f>HYPERLINK("http://bombeiros.sp.gov.br/hidrantes/03individual/4276.html","4276")</f>
      </c>
      <c r="B626" t="s">
        <v>623</v>
      </c>
      <c r="C626" t="s">
        <v>709</v>
      </c>
      <c r="D626" t="s">
        <v>10223</v>
      </c>
      <c r="E626" t="s">
        <v>64</v>
      </c>
      <c r="F626" t="s">
        <v>10236</v>
      </c>
      <c r="G626" t="s">
        <v>18050</v>
      </c>
      <c r="H626" t="s">
        <v>1121</v>
      </c>
      <c r="I626" t="s">
        <v>1117</v>
      </c>
      <c r="J626" t="s">
        <v>10237</v>
      </c>
      <c r="K626" t="s">
        <v>10238</v>
      </c>
      <c r="L626" t="s">
        <v>36</v>
      </c>
      <c r="M626" t="s">
        <v>19177</v>
      </c>
      <c r="N626" t="s">
        <v>714</v>
      </c>
      <c r="O626" t="s">
        <v>10263</v>
      </c>
      <c r="P626" t="s">
        <v>12</v>
      </c>
    </row>
    <row r="627">
      <c r="A627">
        <f>HYPERLINK("http://bombeiros.sp.gov.br/hidrantes/03individual/1940.html","1940")</f>
      </c>
      <c r="B627" t="s">
        <v>623</v>
      </c>
      <c r="C627" t="s">
        <v>709</v>
      </c>
      <c r="D627" t="s">
        <v>10223</v>
      </c>
      <c r="E627" t="s">
        <v>15</v>
      </c>
      <c r="F627" t="s">
        <v>10245</v>
      </c>
      <c r="G627" t="s">
        <v>18064</v>
      </c>
      <c r="H627" t="s">
        <v>1121</v>
      </c>
      <c r="I627" t="s">
        <v>1117</v>
      </c>
      <c r="J627" t="s">
        <v>10246</v>
      </c>
      <c r="K627" t="s">
        <v>10247</v>
      </c>
      <c r="L627" t="s">
        <v>21</v>
      </c>
      <c r="M627" t="s">
        <v>19177</v>
      </c>
      <c r="N627" t="s">
        <v>714</v>
      </c>
      <c r="O627" t="s">
        <v>10263</v>
      </c>
      <c r="P627" t="s">
        <v>12</v>
      </c>
    </row>
    <row r="628">
      <c r="A628">
        <f>HYPERLINK("http://bombeiros.sp.gov.br/hidrantes/03individual/2316.html","2316")</f>
      </c>
      <c r="B628" t="s">
        <v>623</v>
      </c>
      <c r="C628" t="s">
        <v>709</v>
      </c>
      <c r="D628" t="s">
        <v>10223</v>
      </c>
      <c r="E628" t="s">
        <v>15</v>
      </c>
      <c r="F628" t="s">
        <v>10248</v>
      </c>
      <c r="G628" t="s">
        <v>18075</v>
      </c>
      <c r="H628" t="s">
        <v>1121</v>
      </c>
      <c r="I628" t="s">
        <v>1117</v>
      </c>
      <c r="J628" t="s">
        <v>10249</v>
      </c>
      <c r="K628" t="s">
        <v>10250</v>
      </c>
      <c r="L628" t="s">
        <v>21</v>
      </c>
      <c r="M628" t="s">
        <v>19177</v>
      </c>
      <c r="N628" t="s">
        <v>714</v>
      </c>
      <c r="O628" t="s">
        <v>10263</v>
      </c>
      <c r="P628" t="s">
        <v>12</v>
      </c>
    </row>
    <row r="629">
      <c r="A629">
        <f>HYPERLINK("http://bombeiros.sp.gov.br/hidrantes/03individual/5639.html","5639")</f>
      </c>
      <c r="B629" t="s">
        <v>623</v>
      </c>
      <c r="C629" t="s">
        <v>709</v>
      </c>
      <c r="D629" t="s">
        <v>10223</v>
      </c>
      <c r="E629" t="s">
        <v>15</v>
      </c>
      <c r="F629" t="s">
        <v>10257</v>
      </c>
      <c r="G629" t="s">
        <v>18262</v>
      </c>
      <c r="H629" t="s">
        <v>1121</v>
      </c>
      <c r="I629" t="s">
        <v>1117</v>
      </c>
      <c r="J629" t="s">
        <v>10258</v>
      </c>
      <c r="K629" t="s">
        <v>10259</v>
      </c>
      <c r="L629" t="s">
        <v>21</v>
      </c>
      <c r="M629" t="s">
        <v>19177</v>
      </c>
      <c r="N629" t="s">
        <v>714</v>
      </c>
      <c r="O629" t="s">
        <v>10263</v>
      </c>
      <c r="P629" t="s">
        <v>12</v>
      </c>
    </row>
    <row r="630">
      <c r="A630">
        <f>HYPERLINK("http://bombeiros.sp.gov.br/hidrantes/03individual/17745.html","17745")</f>
      </c>
      <c r="B630" t="s">
        <v>623</v>
      </c>
      <c r="C630" t="s">
        <v>709</v>
      </c>
      <c r="D630" t="s">
        <v>10223</v>
      </c>
      <c r="E630" t="s">
        <v>15</v>
      </c>
      <c r="F630" t="s">
        <v>10260</v>
      </c>
      <c r="G630" t="s">
        <v>18075</v>
      </c>
      <c r="H630" t="s">
        <v>1121</v>
      </c>
      <c r="I630" t="s">
        <v>1117</v>
      </c>
      <c r="J630" t="s">
        <v>10261</v>
      </c>
      <c r="K630" t="s">
        <v>10262</v>
      </c>
      <c r="L630" t="s">
        <v>21</v>
      </c>
      <c r="M630" t="s">
        <v>19177</v>
      </c>
      <c r="N630" t="s">
        <v>714</v>
      </c>
      <c r="O630" t="s">
        <v>10263</v>
      </c>
      <c r="P630" t="s">
        <v>12</v>
      </c>
    </row>
    <row r="631">
      <c r="A631">
        <f>HYPERLINK("http://bombeiros.sp.gov.br/hidrantes/03individual/2095.html","2095")</f>
      </c>
      <c r="B631" t="s">
        <v>623</v>
      </c>
      <c r="C631" t="s">
        <v>709</v>
      </c>
      <c r="D631" t="s">
        <v>10263</v>
      </c>
      <c r="E631" t="s">
        <v>64</v>
      </c>
      <c r="F631" t="s">
        <v>10270</v>
      </c>
      <c r="G631" t="s">
        <v>18065</v>
      </c>
      <c r="H631" t="s">
        <v>1121</v>
      </c>
      <c r="I631" t="s">
        <v>1117</v>
      </c>
      <c r="J631" t="s">
        <v>10271</v>
      </c>
      <c r="K631" t="s">
        <v>10272</v>
      </c>
      <c r="L631" t="s">
        <v>36</v>
      </c>
      <c r="M631" t="s">
        <v>19177</v>
      </c>
      <c r="N631" t="s">
        <v>714</v>
      </c>
      <c r="O631" t="s">
        <v>10263</v>
      </c>
      <c r="P631" t="s">
        <v>12</v>
      </c>
    </row>
    <row r="632">
      <c r="A632">
        <f>HYPERLINK("http://bombeiros.sp.gov.br/hidrantes/03individual/2189.html","2189")</f>
      </c>
      <c r="B632" t="s">
        <v>623</v>
      </c>
      <c r="C632" t="s">
        <v>709</v>
      </c>
      <c r="D632" t="s">
        <v>10263</v>
      </c>
      <c r="E632" t="s">
        <v>64</v>
      </c>
      <c r="F632" t="s">
        <v>10273</v>
      </c>
      <c r="G632" t="s">
        <v>17924</v>
      </c>
      <c r="H632" t="s">
        <v>1121</v>
      </c>
      <c r="I632" t="s">
        <v>1117</v>
      </c>
      <c r="J632" t="s">
        <v>10274</v>
      </c>
      <c r="K632" t="s">
        <v>10275</v>
      </c>
      <c r="L632" t="s">
        <v>36</v>
      </c>
      <c r="M632" t="s">
        <v>19177</v>
      </c>
      <c r="N632" t="s">
        <v>714</v>
      </c>
      <c r="O632" t="s">
        <v>10263</v>
      </c>
      <c r="P632" t="s">
        <v>12</v>
      </c>
    </row>
    <row r="633">
      <c r="A633">
        <f>HYPERLINK("http://bombeiros.sp.gov.br/hidrantes/03individual/94.html","94")</f>
      </c>
      <c r="B633" t="s">
        <v>623</v>
      </c>
      <c r="C633" t="s">
        <v>709</v>
      </c>
      <c r="D633" t="s">
        <v>10263</v>
      </c>
      <c r="E633" t="s">
        <v>15</v>
      </c>
      <c r="F633" t="s">
        <v>10282</v>
      </c>
      <c r="G633" t="s">
        <v>18097</v>
      </c>
      <c r="H633" t="s">
        <v>1121</v>
      </c>
      <c r="I633" t="s">
        <v>1108</v>
      </c>
      <c r="J633" t="s">
        <v>10283</v>
      </c>
      <c r="K633" t="s">
        <v>10284</v>
      </c>
      <c r="L633" t="s">
        <v>36</v>
      </c>
      <c r="M633" t="s">
        <v>19177</v>
      </c>
      <c r="N633" t="s">
        <v>714</v>
      </c>
      <c r="O633" t="s">
        <v>10263</v>
      </c>
      <c r="P633" t="s">
        <v>12</v>
      </c>
    </row>
    <row r="634">
      <c r="A634">
        <f>HYPERLINK("http://bombeiros.sp.gov.br/hidrantes/03individual/1773.html","1773")</f>
      </c>
      <c r="B634" t="s">
        <v>623</v>
      </c>
      <c r="C634" t="s">
        <v>709</v>
      </c>
      <c r="D634" t="s">
        <v>10263</v>
      </c>
      <c r="E634" t="s">
        <v>15</v>
      </c>
      <c r="F634" t="s">
        <v>10285</v>
      </c>
      <c r="G634" t="s">
        <v>17945</v>
      </c>
      <c r="H634" t="s">
        <v>1121</v>
      </c>
      <c r="I634" t="s">
        <v>1117</v>
      </c>
      <c r="J634" t="s">
        <v>10286</v>
      </c>
      <c r="K634" t="s">
        <v>10287</v>
      </c>
      <c r="L634" t="s">
        <v>21</v>
      </c>
      <c r="M634" t="s">
        <v>19177</v>
      </c>
      <c r="N634" t="s">
        <v>714</v>
      </c>
      <c r="O634" t="s">
        <v>10263</v>
      </c>
      <c r="P634" t="s">
        <v>12</v>
      </c>
    </row>
    <row r="635">
      <c r="A635">
        <f>HYPERLINK("http://bombeiros.sp.gov.br/hidrantes/03individual/1842.html","1842")</f>
      </c>
      <c r="B635" t="s">
        <v>623</v>
      </c>
      <c r="C635" t="s">
        <v>709</v>
      </c>
      <c r="D635" t="s">
        <v>10263</v>
      </c>
      <c r="E635" t="s">
        <v>15</v>
      </c>
      <c r="F635" t="s">
        <v>10294</v>
      </c>
      <c r="G635" t="s">
        <v>18151</v>
      </c>
      <c r="H635" t="s">
        <v>1121</v>
      </c>
      <c r="I635" t="s">
        <v>1117</v>
      </c>
      <c r="J635" t="s">
        <v>17403</v>
      </c>
      <c r="K635" t="s">
        <v>17404</v>
      </c>
      <c r="L635" t="s">
        <v>21</v>
      </c>
      <c r="M635" t="s">
        <v>19177</v>
      </c>
      <c r="N635" t="s">
        <v>714</v>
      </c>
      <c r="O635" t="s">
        <v>10263</v>
      </c>
      <c r="P635" t="s">
        <v>12</v>
      </c>
    </row>
    <row r="636">
      <c r="A636">
        <f>HYPERLINK("http://bombeiros.sp.gov.br/hidrantes/03individual/27202.html","27202")</f>
      </c>
      <c r="B636" t="s">
        <v>623</v>
      </c>
      <c r="C636" t="s">
        <v>709</v>
      </c>
      <c r="D636" t="s">
        <v>10263</v>
      </c>
      <c r="E636" t="s">
        <v>15</v>
      </c>
      <c r="F636" t="s">
        <v>16959</v>
      </c>
      <c r="G636" t="s">
        <v>17924</v>
      </c>
      <c r="H636" t="s">
        <v>1121</v>
      </c>
      <c r="I636" t="s">
        <v>1117</v>
      </c>
      <c r="J636" t="s">
        <v>16960</v>
      </c>
      <c r="K636" t="s">
        <v>16961</v>
      </c>
      <c r="L636" t="s">
        <v>21</v>
      </c>
      <c r="M636" t="s">
        <v>19177</v>
      </c>
      <c r="N636" t="s">
        <v>714</v>
      </c>
      <c r="O636" t="s">
        <v>10263</v>
      </c>
      <c r="P636" t="s">
        <v>12</v>
      </c>
    </row>
    <row r="637">
      <c r="A637">
        <f>HYPERLINK("http://bombeiros.sp.gov.br/hidrantes/03individual/27724.html","27724")</f>
      </c>
      <c r="B637" t="s">
        <v>623</v>
      </c>
      <c r="C637" t="s">
        <v>709</v>
      </c>
      <c r="D637" t="s">
        <v>10263</v>
      </c>
      <c r="E637" t="s">
        <v>15</v>
      </c>
      <c r="F637" t="s">
        <v>17708</v>
      </c>
      <c r="G637" t="s">
        <v>18430</v>
      </c>
      <c r="H637" t="s">
        <v>1121</v>
      </c>
      <c r="I637" t="s">
        <v>1117</v>
      </c>
      <c r="J637" t="s">
        <v>17709</v>
      </c>
      <c r="K637" t="s">
        <v>17710</v>
      </c>
      <c r="L637" t="s">
        <v>21</v>
      </c>
      <c r="M637" t="s">
        <v>19177</v>
      </c>
      <c r="N637" t="s">
        <v>714</v>
      </c>
      <c r="O637" t="s">
        <v>10263</v>
      </c>
      <c r="P637" t="s">
        <v>12</v>
      </c>
    </row>
    <row r="638">
      <c r="A638">
        <f>HYPERLINK("http://bombeiros.sp.gov.br/hidrantes/03individual/2362.html","2362")</f>
      </c>
      <c r="B638" t="s">
        <v>623</v>
      </c>
      <c r="C638" t="s">
        <v>709</v>
      </c>
      <c r="D638" t="s">
        <v>710</v>
      </c>
      <c r="E638" t="s">
        <v>15</v>
      </c>
      <c r="F638" t="s">
        <v>10351</v>
      </c>
      <c r="G638" t="s">
        <v>18152</v>
      </c>
      <c r="H638" t="s">
        <v>1121</v>
      </c>
      <c r="I638" t="s">
        <v>1117</v>
      </c>
      <c r="J638" t="s">
        <v>10352</v>
      </c>
      <c r="K638" t="s">
        <v>10353</v>
      </c>
      <c r="L638" t="s">
        <v>21</v>
      </c>
      <c r="M638" t="s">
        <v>19177</v>
      </c>
      <c r="N638" t="s">
        <v>714</v>
      </c>
      <c r="O638" t="s">
        <v>10263</v>
      </c>
      <c r="P638" t="s">
        <v>12</v>
      </c>
    </row>
    <row r="639">
      <c r="A639">
        <f>HYPERLINK("http://bombeiros.sp.gov.br/hidrantes/03individual/138.html","138")</f>
      </c>
      <c r="B639" t="s">
        <v>623</v>
      </c>
      <c r="C639" t="s">
        <v>709</v>
      </c>
      <c r="D639" t="s">
        <v>10357</v>
      </c>
      <c r="E639" t="s">
        <v>15</v>
      </c>
      <c r="F639" t="s">
        <v>10367</v>
      </c>
      <c r="G639" t="s">
        <v>18160</v>
      </c>
      <c r="H639" t="s">
        <v>1121</v>
      </c>
      <c r="I639" t="s">
        <v>1117</v>
      </c>
      <c r="J639" t="s">
        <v>10368</v>
      </c>
      <c r="K639" t="s">
        <v>10369</v>
      </c>
      <c r="L639" t="s">
        <v>21</v>
      </c>
      <c r="M639" t="s">
        <v>19177</v>
      </c>
      <c r="N639" t="s">
        <v>714</v>
      </c>
      <c r="O639" t="s">
        <v>10263</v>
      </c>
      <c r="P639" t="s">
        <v>12</v>
      </c>
    </row>
    <row r="640">
      <c r="A640">
        <f>HYPERLINK("http://bombeiros.sp.gov.br/hidrantes/03individual/2367.html","2367")</f>
      </c>
      <c r="B640" t="s">
        <v>623</v>
      </c>
      <c r="C640" t="s">
        <v>709</v>
      </c>
      <c r="D640" t="s">
        <v>10370</v>
      </c>
      <c r="E640" t="s">
        <v>64</v>
      </c>
      <c r="F640" t="s">
        <v>1710</v>
      </c>
      <c r="G640" t="s">
        <v>18179</v>
      </c>
      <c r="H640" t="s">
        <v>1121</v>
      </c>
      <c r="I640" t="s">
        <v>1117</v>
      </c>
      <c r="J640" t="s">
        <v>16010</v>
      </c>
      <c r="K640" t="s">
        <v>16011</v>
      </c>
      <c r="L640" t="s">
        <v>36</v>
      </c>
      <c r="M640" t="s">
        <v>19177</v>
      </c>
      <c r="N640" t="s">
        <v>714</v>
      </c>
      <c r="O640" t="s">
        <v>10263</v>
      </c>
      <c r="P640" t="s">
        <v>12</v>
      </c>
    </row>
    <row r="641">
      <c r="A641">
        <f>HYPERLINK("http://bombeiros.sp.gov.br/hidrantes/03individual/2764.html","2764")</f>
      </c>
      <c r="B641" t="s">
        <v>623</v>
      </c>
      <c r="C641" t="s">
        <v>709</v>
      </c>
      <c r="D641" t="s">
        <v>10370</v>
      </c>
      <c r="E641" t="s">
        <v>64</v>
      </c>
      <c r="F641" t="s">
        <v>10379</v>
      </c>
      <c r="G641" t="s">
        <v>18154</v>
      </c>
      <c r="H641" t="s">
        <v>1121</v>
      </c>
      <c r="I641" t="s">
        <v>1117</v>
      </c>
      <c r="J641" t="s">
        <v>10380</v>
      </c>
      <c r="K641" t="s">
        <v>10381</v>
      </c>
      <c r="L641" t="s">
        <v>21</v>
      </c>
      <c r="M641" t="s">
        <v>19177</v>
      </c>
      <c r="N641" t="s">
        <v>714</v>
      </c>
      <c r="O641" t="s">
        <v>10263</v>
      </c>
      <c r="P641" t="s">
        <v>12</v>
      </c>
    </row>
    <row r="642">
      <c r="A642">
        <f>HYPERLINK("http://bombeiros.sp.gov.br/hidrantes/03individual/5.html","5")</f>
      </c>
      <c r="B642" t="s">
        <v>623</v>
      </c>
      <c r="C642" t="s">
        <v>709</v>
      </c>
      <c r="D642" t="s">
        <v>10370</v>
      </c>
      <c r="E642" t="s">
        <v>15</v>
      </c>
      <c r="F642" t="s">
        <v>10382</v>
      </c>
      <c r="G642" t="s">
        <v>18040</v>
      </c>
      <c r="H642" t="s">
        <v>1121</v>
      </c>
      <c r="I642" t="s">
        <v>1117</v>
      </c>
      <c r="J642" t="s">
        <v>10383</v>
      </c>
      <c r="K642" t="s">
        <v>10384</v>
      </c>
      <c r="L642" t="s">
        <v>21</v>
      </c>
      <c r="M642" t="s">
        <v>19177</v>
      </c>
      <c r="N642" t="s">
        <v>714</v>
      </c>
      <c r="O642" t="s">
        <v>10263</v>
      </c>
      <c r="P642" t="s">
        <v>12</v>
      </c>
    </row>
    <row r="643">
      <c r="A643">
        <f>HYPERLINK("http://bombeiros.sp.gov.br/hidrantes/03individual/88.html","88")</f>
      </c>
      <c r="B643" t="s">
        <v>623</v>
      </c>
      <c r="C643" t="s">
        <v>709</v>
      </c>
      <c r="D643" t="s">
        <v>10370</v>
      </c>
      <c r="E643" t="s">
        <v>15</v>
      </c>
      <c r="F643" t="s">
        <v>10388</v>
      </c>
      <c r="G643" t="s">
        <v>18153</v>
      </c>
      <c r="H643" t="s">
        <v>1121</v>
      </c>
      <c r="I643" t="s">
        <v>1117</v>
      </c>
      <c r="J643" t="s">
        <v>10389</v>
      </c>
      <c r="K643" t="s">
        <v>10390</v>
      </c>
      <c r="L643" t="s">
        <v>21</v>
      </c>
      <c r="M643" t="s">
        <v>19177</v>
      </c>
      <c r="N643" t="s">
        <v>714</v>
      </c>
      <c r="O643" t="s">
        <v>10263</v>
      </c>
      <c r="P643" t="s">
        <v>12</v>
      </c>
    </row>
    <row r="644">
      <c r="A644">
        <f>HYPERLINK("http://bombeiros.sp.gov.br/hidrantes/03individual/2662.html","2662")</f>
      </c>
      <c r="B644" t="s">
        <v>623</v>
      </c>
      <c r="C644" t="s">
        <v>709</v>
      </c>
      <c r="D644" t="s">
        <v>10370</v>
      </c>
      <c r="E644" t="s">
        <v>15</v>
      </c>
      <c r="F644" t="s">
        <v>10406</v>
      </c>
      <c r="G644" t="s">
        <v>18153</v>
      </c>
      <c r="H644" t="s">
        <v>1121</v>
      </c>
      <c r="I644" t="s">
        <v>1117</v>
      </c>
      <c r="J644" t="s">
        <v>10407</v>
      </c>
      <c r="K644" t="s">
        <v>10408</v>
      </c>
      <c r="L644" t="s">
        <v>21</v>
      </c>
      <c r="M644" t="s">
        <v>19177</v>
      </c>
      <c r="N644" t="s">
        <v>714</v>
      </c>
      <c r="O644" t="s">
        <v>10263</v>
      </c>
      <c r="P644" t="s">
        <v>12</v>
      </c>
    </row>
    <row r="645">
      <c r="A645">
        <f>HYPERLINK("http://bombeiros.sp.gov.br/hidrantes/03individual/4278.html","4278")</f>
      </c>
      <c r="B645" t="s">
        <v>623</v>
      </c>
      <c r="C645" t="s">
        <v>709</v>
      </c>
      <c r="D645" t="s">
        <v>10370</v>
      </c>
      <c r="E645" t="s">
        <v>15</v>
      </c>
      <c r="F645" t="s">
        <v>10415</v>
      </c>
      <c r="G645" t="s">
        <v>18124</v>
      </c>
      <c r="H645" t="s">
        <v>1121</v>
      </c>
      <c r="I645" t="s">
        <v>1117</v>
      </c>
      <c r="J645" t="s">
        <v>10416</v>
      </c>
      <c r="K645" t="s">
        <v>10417</v>
      </c>
      <c r="L645" t="s">
        <v>21</v>
      </c>
      <c r="M645" t="s">
        <v>19177</v>
      </c>
      <c r="N645" t="s">
        <v>714</v>
      </c>
      <c r="O645" t="s">
        <v>10263</v>
      </c>
      <c r="P645" t="s">
        <v>12</v>
      </c>
    </row>
    <row r="646">
      <c r="A646">
        <f>HYPERLINK("http://bombeiros.sp.gov.br/hidrantes/03individual/6672.html","6672")</f>
      </c>
      <c r="B646" t="s">
        <v>623</v>
      </c>
      <c r="C646" t="s">
        <v>714</v>
      </c>
      <c r="D646" t="s">
        <v>10418</v>
      </c>
      <c r="E646" t="s">
        <v>15</v>
      </c>
      <c r="F646" t="s">
        <v>10455</v>
      </c>
      <c r="G646" t="s">
        <v>17911</v>
      </c>
      <c r="H646" t="s">
        <v>1121</v>
      </c>
      <c r="I646" t="s">
        <v>1117</v>
      </c>
      <c r="J646" t="s">
        <v>10457</v>
      </c>
      <c r="K646" t="s">
        <v>10458</v>
      </c>
      <c r="L646" t="s">
        <v>21</v>
      </c>
      <c r="M646" t="s">
        <v>19177</v>
      </c>
      <c r="N646" t="s">
        <v>714</v>
      </c>
      <c r="O646" t="s">
        <v>10263</v>
      </c>
      <c r="P646" t="s">
        <v>12</v>
      </c>
    </row>
    <row r="647">
      <c r="A647">
        <f>HYPERLINK("http://bombeiros.sp.gov.br/hidrantes/03individual/1111.html","1111")</f>
      </c>
      <c r="B647" t="s">
        <v>623</v>
      </c>
      <c r="C647" t="s">
        <v>714</v>
      </c>
      <c r="D647" t="s">
        <v>714</v>
      </c>
      <c r="E647" t="s">
        <v>15</v>
      </c>
      <c r="F647" t="s">
        <v>10521</v>
      </c>
      <c r="G647" t="s">
        <v>18154</v>
      </c>
      <c r="H647" t="s">
        <v>1121</v>
      </c>
      <c r="I647" t="s">
        <v>1117</v>
      </c>
      <c r="J647" t="s">
        <v>10522</v>
      </c>
      <c r="K647" t="s">
        <v>10523</v>
      </c>
      <c r="L647" t="s">
        <v>21</v>
      </c>
      <c r="M647" t="s">
        <v>19177</v>
      </c>
      <c r="N647" t="s">
        <v>714</v>
      </c>
      <c r="O647" t="s">
        <v>10263</v>
      </c>
      <c r="P647" t="s">
        <v>12</v>
      </c>
    </row>
    <row r="648">
      <c r="A648">
        <f>HYPERLINK("http://bombeiros.sp.gov.br/hidrantes/03individual/1149.html","1149")</f>
      </c>
      <c r="B648" t="s">
        <v>623</v>
      </c>
      <c r="C648" t="s">
        <v>714</v>
      </c>
      <c r="D648" t="s">
        <v>714</v>
      </c>
      <c r="E648" t="s">
        <v>15</v>
      </c>
      <c r="F648" t="s">
        <v>719</v>
      </c>
      <c r="G648" t="s">
        <v>18107</v>
      </c>
      <c r="H648" t="s">
        <v>1121</v>
      </c>
      <c r="I648" t="s">
        <v>1117</v>
      </c>
      <c r="J648" t="s">
        <v>15906</v>
      </c>
      <c r="K648" t="s">
        <v>15907</v>
      </c>
      <c r="L648" t="s">
        <v>21</v>
      </c>
      <c r="M648" t="s">
        <v>19177</v>
      </c>
      <c r="N648" t="s">
        <v>714</v>
      </c>
      <c r="O648" t="s">
        <v>10263</v>
      </c>
      <c r="P648" t="s">
        <v>12</v>
      </c>
    </row>
    <row r="649">
      <c r="A649">
        <f>HYPERLINK("http://bombeiros.sp.gov.br/hidrantes/03individual/1101.html","1101")</f>
      </c>
      <c r="B649" t="s">
        <v>623</v>
      </c>
      <c r="C649" t="s">
        <v>714</v>
      </c>
      <c r="D649" t="s">
        <v>10655</v>
      </c>
      <c r="E649" t="s">
        <v>64</v>
      </c>
      <c r="F649" t="s">
        <v>10656</v>
      </c>
      <c r="G649" t="s">
        <v>17951</v>
      </c>
      <c r="H649" t="s">
        <v>1121</v>
      </c>
      <c r="I649" t="s">
        <v>1117</v>
      </c>
      <c r="J649" t="s">
        <v>10657</v>
      </c>
      <c r="K649" t="s">
        <v>10658</v>
      </c>
      <c r="L649" t="s">
        <v>21</v>
      </c>
      <c r="M649" t="s">
        <v>19177</v>
      </c>
      <c r="N649" t="s">
        <v>714</v>
      </c>
      <c r="O649" t="s">
        <v>10263</v>
      </c>
      <c r="P649" t="s">
        <v>12</v>
      </c>
    </row>
    <row r="650">
      <c r="A650">
        <f>HYPERLINK("http://bombeiros.sp.gov.br/hidrantes/03individual/1063.html","1063")</f>
      </c>
      <c r="B650" t="s">
        <v>623</v>
      </c>
      <c r="C650" t="s">
        <v>714</v>
      </c>
      <c r="D650" t="s">
        <v>10655</v>
      </c>
      <c r="E650" t="s">
        <v>15</v>
      </c>
      <c r="F650" t="s">
        <v>10671</v>
      </c>
      <c r="G650" t="s">
        <v>18156</v>
      </c>
      <c r="H650" t="s">
        <v>1121</v>
      </c>
      <c r="I650" t="s">
        <v>1117</v>
      </c>
      <c r="J650" t="s">
        <v>16018</v>
      </c>
      <c r="K650" t="s">
        <v>16019</v>
      </c>
      <c r="L650" t="s">
        <v>21</v>
      </c>
      <c r="M650" t="s">
        <v>19177</v>
      </c>
      <c r="N650" t="s">
        <v>714</v>
      </c>
      <c r="O650" t="s">
        <v>10263</v>
      </c>
      <c r="P650" t="s">
        <v>12</v>
      </c>
    </row>
    <row r="651">
      <c r="A651">
        <f>HYPERLINK("http://bombeiros.sp.gov.br/hidrantes/03individual/1068.html","1068")</f>
      </c>
      <c r="B651" t="s">
        <v>623</v>
      </c>
      <c r="C651" t="s">
        <v>714</v>
      </c>
      <c r="D651" t="s">
        <v>10655</v>
      </c>
      <c r="E651" t="s">
        <v>15</v>
      </c>
      <c r="F651" t="s">
        <v>10680</v>
      </c>
      <c r="G651" t="s">
        <v>18156</v>
      </c>
      <c r="H651" t="s">
        <v>1121</v>
      </c>
      <c r="I651" t="s">
        <v>1117</v>
      </c>
      <c r="J651" t="s">
        <v>10681</v>
      </c>
      <c r="K651" t="s">
        <v>10682</v>
      </c>
      <c r="L651" t="s">
        <v>21</v>
      </c>
      <c r="M651" t="s">
        <v>19177</v>
      </c>
      <c r="N651" t="s">
        <v>714</v>
      </c>
      <c r="O651" t="s">
        <v>10263</v>
      </c>
      <c r="P651" t="s">
        <v>12</v>
      </c>
    </row>
    <row r="652">
      <c r="A652">
        <f>HYPERLINK("http://bombeiros.sp.gov.br/hidrantes/03individual/2155.html","2155")</f>
      </c>
      <c r="B652" t="s">
        <v>623</v>
      </c>
      <c r="C652" t="s">
        <v>714</v>
      </c>
      <c r="D652" t="s">
        <v>737</v>
      </c>
      <c r="E652" t="s">
        <v>15</v>
      </c>
      <c r="F652" t="s">
        <v>10790</v>
      </c>
      <c r="G652" t="s">
        <v>17728</v>
      </c>
      <c r="H652" t="s">
        <v>1121</v>
      </c>
      <c r="I652" t="s">
        <v>1117</v>
      </c>
      <c r="J652" t="s">
        <v>10791</v>
      </c>
      <c r="K652" t="s">
        <v>10792</v>
      </c>
      <c r="L652" t="s">
        <v>21</v>
      </c>
      <c r="M652" t="s">
        <v>19177</v>
      </c>
      <c r="N652" t="s">
        <v>714</v>
      </c>
      <c r="O652" t="s">
        <v>10263</v>
      </c>
      <c r="P652" t="s">
        <v>12</v>
      </c>
    </row>
    <row r="653">
      <c r="A653">
        <f>HYPERLINK("http://bombeiros.sp.gov.br/hidrantes/03individual/16320.html","16320")</f>
      </c>
      <c r="B653" t="s">
        <v>623</v>
      </c>
      <c r="C653" t="s">
        <v>714</v>
      </c>
      <c r="D653" t="s">
        <v>737</v>
      </c>
      <c r="E653" t="s">
        <v>15</v>
      </c>
      <c r="F653" t="s">
        <v>10823</v>
      </c>
      <c r="G653" t="s">
        <v>17728</v>
      </c>
      <c r="H653" t="s">
        <v>1121</v>
      </c>
      <c r="I653" t="s">
        <v>1117</v>
      </c>
      <c r="J653" t="s">
        <v>10824</v>
      </c>
      <c r="K653" t="s">
        <v>10825</v>
      </c>
      <c r="L653" t="s">
        <v>21</v>
      </c>
      <c r="M653" t="s">
        <v>19177</v>
      </c>
      <c r="N653" t="s">
        <v>714</v>
      </c>
      <c r="O653" t="s">
        <v>10263</v>
      </c>
      <c r="P653" t="s">
        <v>12</v>
      </c>
    </row>
    <row r="654">
      <c r="A654">
        <f>HYPERLINK("http://bombeiros.sp.gov.br/hidrantes/03individual/16536.html","16536")</f>
      </c>
      <c r="B654" t="s">
        <v>623</v>
      </c>
      <c r="C654" t="s">
        <v>742</v>
      </c>
      <c r="D654" t="s">
        <v>743</v>
      </c>
      <c r="E654" t="s">
        <v>15</v>
      </c>
      <c r="F654" t="s">
        <v>10838</v>
      </c>
      <c r="G654" t="s">
        <v>18076</v>
      </c>
      <c r="H654" t="s">
        <v>1121</v>
      </c>
      <c r="I654" t="s">
        <v>1117</v>
      </c>
      <c r="J654" t="s">
        <v>10839</v>
      </c>
      <c r="K654" t="s">
        <v>10840</v>
      </c>
      <c r="L654" t="s">
        <v>21</v>
      </c>
      <c r="M654" t="s">
        <v>19177</v>
      </c>
      <c r="N654" t="s">
        <v>16375</v>
      </c>
      <c r="O654" t="s">
        <v>640</v>
      </c>
      <c r="P654" t="s">
        <v>623</v>
      </c>
    </row>
    <row r="655">
      <c r="A655">
        <f>HYPERLINK("http://bombeiros.sp.gov.br/hidrantes/03individual/17818.html","17818")</f>
      </c>
      <c r="B655" t="s">
        <v>623</v>
      </c>
      <c r="C655" t="s">
        <v>742</v>
      </c>
      <c r="D655" t="s">
        <v>743</v>
      </c>
      <c r="E655" t="s">
        <v>15</v>
      </c>
      <c r="F655" t="s">
        <v>10847</v>
      </c>
      <c r="G655" t="s">
        <v>18076</v>
      </c>
      <c r="H655" t="s">
        <v>1121</v>
      </c>
      <c r="I655" t="s">
        <v>1117</v>
      </c>
      <c r="J655" t="s">
        <v>10848</v>
      </c>
      <c r="K655" t="s">
        <v>10849</v>
      </c>
      <c r="L655" t="s">
        <v>21</v>
      </c>
      <c r="M655" t="s">
        <v>19177</v>
      </c>
      <c r="N655" t="s">
        <v>16375</v>
      </c>
      <c r="O655" t="s">
        <v>640</v>
      </c>
      <c r="P655" t="s">
        <v>623</v>
      </c>
    </row>
    <row r="656">
      <c r="A656">
        <f>HYPERLINK("http://bombeiros.sp.gov.br/hidrantes/03individual/25227.html","25227")</f>
      </c>
      <c r="B656" t="s">
        <v>623</v>
      </c>
      <c r="C656" t="s">
        <v>742</v>
      </c>
      <c r="D656" t="s">
        <v>743</v>
      </c>
      <c r="E656" t="s">
        <v>15</v>
      </c>
      <c r="F656" t="s">
        <v>748</v>
      </c>
      <c r="G656" t="s">
        <v>18078</v>
      </c>
      <c r="H656" t="s">
        <v>1121</v>
      </c>
      <c r="I656" t="s">
        <v>1117</v>
      </c>
      <c r="J656" t="s">
        <v>749</v>
      </c>
      <c r="K656" t="s">
        <v>750</v>
      </c>
      <c r="L656" t="s">
        <v>21</v>
      </c>
      <c r="M656" t="s">
        <v>19177</v>
      </c>
      <c r="N656" t="s">
        <v>16375</v>
      </c>
      <c r="O656" t="s">
        <v>640</v>
      </c>
      <c r="P656" t="s">
        <v>623</v>
      </c>
    </row>
    <row r="657">
      <c r="A657">
        <f>HYPERLINK("http://bombeiros.sp.gov.br/hidrantes/03individual/1401.html","1401")</f>
      </c>
      <c r="B657" t="s">
        <v>623</v>
      </c>
      <c r="C657" t="s">
        <v>742</v>
      </c>
      <c r="D657" t="s">
        <v>751</v>
      </c>
      <c r="E657" t="s">
        <v>15</v>
      </c>
      <c r="F657" t="s">
        <v>10859</v>
      </c>
      <c r="G657" t="s">
        <v>18034</v>
      </c>
      <c r="H657" t="s">
        <v>1121</v>
      </c>
      <c r="I657" t="s">
        <v>1117</v>
      </c>
      <c r="J657" t="s">
        <v>15902</v>
      </c>
      <c r="K657" t="s">
        <v>15903</v>
      </c>
      <c r="L657" t="s">
        <v>36</v>
      </c>
      <c r="M657" t="s">
        <v>19177</v>
      </c>
      <c r="N657" t="s">
        <v>16375</v>
      </c>
      <c r="O657" t="s">
        <v>640</v>
      </c>
      <c r="P657" t="s">
        <v>623</v>
      </c>
    </row>
    <row r="658">
      <c r="A658">
        <f>HYPERLINK("http://bombeiros.sp.gov.br/hidrantes/03individual/2301.html","2301")</f>
      </c>
      <c r="B658" t="s">
        <v>623</v>
      </c>
      <c r="C658" t="s">
        <v>742</v>
      </c>
      <c r="D658" t="s">
        <v>751</v>
      </c>
      <c r="E658" t="s">
        <v>15</v>
      </c>
      <c r="F658" t="s">
        <v>10874</v>
      </c>
      <c r="G658" t="s">
        <v>18076</v>
      </c>
      <c r="H658" t="s">
        <v>1121</v>
      </c>
      <c r="I658" t="s">
        <v>1117</v>
      </c>
      <c r="J658" t="s">
        <v>10875</v>
      </c>
      <c r="K658" t="s">
        <v>10876</v>
      </c>
      <c r="L658" t="s">
        <v>21</v>
      </c>
      <c r="M658" t="s">
        <v>19177</v>
      </c>
      <c r="N658" t="s">
        <v>16375</v>
      </c>
      <c r="O658" t="s">
        <v>640</v>
      </c>
      <c r="P658" t="s">
        <v>623</v>
      </c>
    </row>
    <row r="659">
      <c r="A659">
        <f>HYPERLINK("http://bombeiros.sp.gov.br/hidrantes/03individual/16562.html","16562")</f>
      </c>
      <c r="B659" t="s">
        <v>623</v>
      </c>
      <c r="C659" t="s">
        <v>742</v>
      </c>
      <c r="D659" t="s">
        <v>751</v>
      </c>
      <c r="E659" t="s">
        <v>15</v>
      </c>
      <c r="F659" t="s">
        <v>755</v>
      </c>
      <c r="G659" t="s">
        <v>18076</v>
      </c>
      <c r="H659" t="s">
        <v>1121</v>
      </c>
      <c r="I659" t="s">
        <v>1117</v>
      </c>
      <c r="J659" t="s">
        <v>756</v>
      </c>
      <c r="K659" t="s">
        <v>757</v>
      </c>
      <c r="L659" t="s">
        <v>21</v>
      </c>
      <c r="M659" t="s">
        <v>19177</v>
      </c>
      <c r="N659" t="s">
        <v>16375</v>
      </c>
      <c r="O659" t="s">
        <v>640</v>
      </c>
      <c r="P659" t="s">
        <v>623</v>
      </c>
    </row>
    <row r="660">
      <c r="A660">
        <f>HYPERLINK("http://bombeiros.sp.gov.br/hidrantes/03individual/1195.html","1195")</f>
      </c>
      <c r="B660" t="s">
        <v>623</v>
      </c>
      <c r="C660" t="s">
        <v>742</v>
      </c>
      <c r="D660" t="s">
        <v>742</v>
      </c>
      <c r="E660" t="s">
        <v>15</v>
      </c>
      <c r="F660" t="s">
        <v>10889</v>
      </c>
      <c r="G660" t="s">
        <v>18194</v>
      </c>
      <c r="H660" t="s">
        <v>1121</v>
      </c>
      <c r="I660" t="s">
        <v>1117</v>
      </c>
      <c r="J660" t="s">
        <v>10890</v>
      </c>
      <c r="K660" t="s">
        <v>10891</v>
      </c>
      <c r="L660" t="s">
        <v>21</v>
      </c>
      <c r="M660" t="s">
        <v>19177</v>
      </c>
      <c r="N660" t="s">
        <v>16375</v>
      </c>
      <c r="O660" t="s">
        <v>640</v>
      </c>
      <c r="P660" t="s">
        <v>623</v>
      </c>
    </row>
    <row r="661">
      <c r="A661">
        <f>HYPERLINK("http://bombeiros.sp.gov.br/hidrantes/03individual/1240.html","1240")</f>
      </c>
      <c r="B661" t="s">
        <v>623</v>
      </c>
      <c r="C661" t="s">
        <v>742</v>
      </c>
      <c r="D661" t="s">
        <v>742</v>
      </c>
      <c r="E661" t="s">
        <v>15</v>
      </c>
      <c r="F661" t="s">
        <v>10895</v>
      </c>
      <c r="G661" t="s">
        <v>18089</v>
      </c>
      <c r="H661" t="s">
        <v>1121</v>
      </c>
      <c r="I661" t="s">
        <v>1117</v>
      </c>
      <c r="J661" t="s">
        <v>10896</v>
      </c>
      <c r="K661" t="s">
        <v>10897</v>
      </c>
      <c r="L661" t="s">
        <v>21</v>
      </c>
      <c r="M661" t="s">
        <v>19177</v>
      </c>
      <c r="N661" t="s">
        <v>16375</v>
      </c>
      <c r="O661" t="s">
        <v>640</v>
      </c>
      <c r="P661" t="s">
        <v>623</v>
      </c>
    </row>
    <row r="662">
      <c r="A662">
        <f>HYPERLINK("http://bombeiros.sp.gov.br/hidrantes/03individual/16628.html","16628")</f>
      </c>
      <c r="B662" t="s">
        <v>623</v>
      </c>
      <c r="C662" t="s">
        <v>742</v>
      </c>
      <c r="D662" t="s">
        <v>742</v>
      </c>
      <c r="E662" t="s">
        <v>15</v>
      </c>
      <c r="F662" t="s">
        <v>10910</v>
      </c>
      <c r="G662" t="s">
        <v>18130</v>
      </c>
      <c r="H662" t="s">
        <v>1121</v>
      </c>
      <c r="I662" t="s">
        <v>1117</v>
      </c>
      <c r="J662" t="s">
        <v>10911</v>
      </c>
      <c r="K662" t="s">
        <v>10912</v>
      </c>
      <c r="L662" t="s">
        <v>21</v>
      </c>
      <c r="M662" t="s">
        <v>19177</v>
      </c>
      <c r="N662" t="s">
        <v>16375</v>
      </c>
      <c r="O662" t="s">
        <v>640</v>
      </c>
      <c r="P662" t="s">
        <v>623</v>
      </c>
    </row>
    <row r="663">
      <c r="A663">
        <f>HYPERLINK("http://bombeiros.sp.gov.br/hidrantes/03individual/2264.html","2264")</f>
      </c>
      <c r="B663" t="s">
        <v>623</v>
      </c>
      <c r="C663" t="s">
        <v>742</v>
      </c>
      <c r="D663" t="s">
        <v>765</v>
      </c>
      <c r="E663" t="s">
        <v>64</v>
      </c>
      <c r="F663" t="s">
        <v>10916</v>
      </c>
      <c r="G663" t="s">
        <v>17903</v>
      </c>
      <c r="H663" t="s">
        <v>1121</v>
      </c>
      <c r="I663" t="s">
        <v>1117</v>
      </c>
      <c r="J663" t="s">
        <v>10917</v>
      </c>
      <c r="K663" t="s">
        <v>10918</v>
      </c>
      <c r="L663" t="s">
        <v>36</v>
      </c>
      <c r="M663" t="s">
        <v>19177</v>
      </c>
      <c r="N663" t="s">
        <v>16375</v>
      </c>
      <c r="O663" t="s">
        <v>640</v>
      </c>
      <c r="P663" t="s">
        <v>623</v>
      </c>
    </row>
    <row r="664">
      <c r="A664">
        <f>HYPERLINK("http://bombeiros.sp.gov.br/hidrantes/03individual/15122.html","15122")</f>
      </c>
      <c r="B664" t="s">
        <v>623</v>
      </c>
      <c r="C664" t="s">
        <v>742</v>
      </c>
      <c r="D664" t="s">
        <v>765</v>
      </c>
      <c r="E664" t="s">
        <v>64</v>
      </c>
      <c r="F664" t="s">
        <v>10919</v>
      </c>
      <c r="G664" t="s">
        <v>18062</v>
      </c>
      <c r="H664" t="s">
        <v>1121</v>
      </c>
      <c r="I664" t="s">
        <v>1117</v>
      </c>
      <c r="J664" t="s">
        <v>10920</v>
      </c>
      <c r="K664" t="s">
        <v>10921</v>
      </c>
      <c r="L664" t="s">
        <v>21</v>
      </c>
      <c r="M664" t="s">
        <v>19177</v>
      </c>
      <c r="N664" t="s">
        <v>16375</v>
      </c>
      <c r="O664" t="s">
        <v>640</v>
      </c>
      <c r="P664" t="s">
        <v>623</v>
      </c>
    </row>
    <row r="665">
      <c r="A665">
        <f>HYPERLINK("http://bombeiros.sp.gov.br/hidrantes/03individual/252.html","252")</f>
      </c>
      <c r="B665" t="s">
        <v>623</v>
      </c>
      <c r="C665" t="s">
        <v>773</v>
      </c>
      <c r="D665" t="s">
        <v>10943</v>
      </c>
      <c r="E665" t="s">
        <v>64</v>
      </c>
      <c r="F665" t="s">
        <v>10944</v>
      </c>
      <c r="G665" t="s">
        <v>18114</v>
      </c>
      <c r="H665" t="s">
        <v>1121</v>
      </c>
      <c r="I665" t="s">
        <v>1117</v>
      </c>
      <c r="J665" t="s">
        <v>10945</v>
      </c>
      <c r="K665" t="s">
        <v>10946</v>
      </c>
      <c r="L665" t="s">
        <v>36</v>
      </c>
      <c r="M665" t="s">
        <v>19177</v>
      </c>
      <c r="N665" t="s">
        <v>714</v>
      </c>
      <c r="O665" t="s">
        <v>10263</v>
      </c>
      <c r="P665" t="s">
        <v>12</v>
      </c>
    </row>
    <row r="666">
      <c r="A666">
        <f>HYPERLINK("http://bombeiros.sp.gov.br/hidrantes/03individual/160.html","160")</f>
      </c>
      <c r="B666" t="s">
        <v>623</v>
      </c>
      <c r="C666" t="s">
        <v>773</v>
      </c>
      <c r="D666" t="s">
        <v>10943</v>
      </c>
      <c r="E666" t="s">
        <v>15</v>
      </c>
      <c r="F666" t="s">
        <v>10947</v>
      </c>
      <c r="G666" t="s">
        <v>18114</v>
      </c>
      <c r="H666" t="s">
        <v>1121</v>
      </c>
      <c r="I666" t="s">
        <v>1117</v>
      </c>
      <c r="J666" t="s">
        <v>10948</v>
      </c>
      <c r="K666" t="s">
        <v>10949</v>
      </c>
      <c r="L666" t="s">
        <v>21</v>
      </c>
      <c r="M666" t="s">
        <v>19177</v>
      </c>
      <c r="N666" t="s">
        <v>714</v>
      </c>
      <c r="O666" t="s">
        <v>10263</v>
      </c>
      <c r="P666" t="s">
        <v>12</v>
      </c>
    </row>
    <row r="667">
      <c r="A667">
        <f>HYPERLINK("http://bombeiros.sp.gov.br/hidrantes/03individual/1630.html","1630")</f>
      </c>
      <c r="B667" t="s">
        <v>623</v>
      </c>
      <c r="C667" t="s">
        <v>773</v>
      </c>
      <c r="D667" t="s">
        <v>773</v>
      </c>
      <c r="E667" t="s">
        <v>64</v>
      </c>
      <c r="F667" t="s">
        <v>10977</v>
      </c>
      <c r="G667" t="s">
        <v>18160</v>
      </c>
      <c r="H667" t="s">
        <v>1121</v>
      </c>
      <c r="I667" t="s">
        <v>1117</v>
      </c>
      <c r="J667" t="s">
        <v>10978</v>
      </c>
      <c r="K667" t="s">
        <v>10979</v>
      </c>
      <c r="L667" t="s">
        <v>36</v>
      </c>
      <c r="M667" t="s">
        <v>19177</v>
      </c>
      <c r="N667" t="s">
        <v>714</v>
      </c>
      <c r="O667" t="s">
        <v>10263</v>
      </c>
      <c r="P667" t="s">
        <v>12</v>
      </c>
    </row>
    <row r="668">
      <c r="A668">
        <f>HYPERLINK("http://bombeiros.sp.gov.br/hidrantes/03individual/2211.html","2211")</f>
      </c>
      <c r="B668" t="s">
        <v>623</v>
      </c>
      <c r="C668" t="s">
        <v>773</v>
      </c>
      <c r="D668" t="s">
        <v>773</v>
      </c>
      <c r="E668" t="s">
        <v>15</v>
      </c>
      <c r="F668" t="s">
        <v>10995</v>
      </c>
      <c r="G668" t="s">
        <v>18160</v>
      </c>
      <c r="H668" t="s">
        <v>1121</v>
      </c>
      <c r="I668" t="s">
        <v>1117</v>
      </c>
      <c r="J668" t="s">
        <v>10996</v>
      </c>
      <c r="K668" t="s">
        <v>10997</v>
      </c>
      <c r="L668" t="s">
        <v>21</v>
      </c>
      <c r="M668" t="s">
        <v>19177</v>
      </c>
      <c r="N668" t="s">
        <v>714</v>
      </c>
      <c r="O668" t="s">
        <v>10263</v>
      </c>
      <c r="P668" t="s">
        <v>12</v>
      </c>
    </row>
    <row r="669">
      <c r="A669">
        <f>HYPERLINK("http://bombeiros.sp.gov.br/hidrantes/03individual/2323.html","2323")</f>
      </c>
      <c r="B669" t="s">
        <v>623</v>
      </c>
      <c r="C669" t="s">
        <v>773</v>
      </c>
      <c r="D669" t="s">
        <v>773</v>
      </c>
      <c r="E669" t="s">
        <v>15</v>
      </c>
      <c r="F669" t="s">
        <v>11010</v>
      </c>
      <c r="G669" t="s">
        <v>18110</v>
      </c>
      <c r="H669" t="s">
        <v>1121</v>
      </c>
      <c r="I669" t="s">
        <v>1117</v>
      </c>
      <c r="J669" t="s">
        <v>11011</v>
      </c>
      <c r="K669" t="s">
        <v>11012</v>
      </c>
      <c r="L669" t="s">
        <v>21</v>
      </c>
      <c r="M669" t="s">
        <v>19177</v>
      </c>
      <c r="N669" t="s">
        <v>714</v>
      </c>
      <c r="O669" t="s">
        <v>10263</v>
      </c>
      <c r="P669" t="s">
        <v>12</v>
      </c>
    </row>
    <row r="670">
      <c r="A670">
        <f>HYPERLINK("http://bombeiros.sp.gov.br/hidrantes/03individual/16587.html","16587")</f>
      </c>
      <c r="B670" t="s">
        <v>623</v>
      </c>
      <c r="C670" t="s">
        <v>773</v>
      </c>
      <c r="D670" t="s">
        <v>773</v>
      </c>
      <c r="E670" t="s">
        <v>15</v>
      </c>
      <c r="F670" t="s">
        <v>11013</v>
      </c>
      <c r="G670" t="s">
        <v>18067</v>
      </c>
      <c r="H670" t="s">
        <v>1121</v>
      </c>
      <c r="I670" t="s">
        <v>1117</v>
      </c>
      <c r="J670" t="s">
        <v>11014</v>
      </c>
      <c r="K670" t="s">
        <v>11015</v>
      </c>
      <c r="L670" t="s">
        <v>21</v>
      </c>
      <c r="M670" t="s">
        <v>19177</v>
      </c>
      <c r="N670" t="s">
        <v>714</v>
      </c>
      <c r="O670" t="s">
        <v>10263</v>
      </c>
      <c r="P670" t="s">
        <v>12</v>
      </c>
    </row>
    <row r="671">
      <c r="A671">
        <f>HYPERLINK("http://bombeiros.sp.gov.br/hidrantes/03individual/53.html","53")</f>
      </c>
      <c r="B671" t="s">
        <v>623</v>
      </c>
      <c r="C671" t="s">
        <v>773</v>
      </c>
      <c r="D671" t="s">
        <v>11031</v>
      </c>
      <c r="E671" t="s">
        <v>15</v>
      </c>
      <c r="F671" t="s">
        <v>11038</v>
      </c>
      <c r="G671" t="s">
        <v>18155</v>
      </c>
      <c r="H671" t="s">
        <v>1121</v>
      </c>
      <c r="I671" t="s">
        <v>1117</v>
      </c>
      <c r="J671" t="s">
        <v>11039</v>
      </c>
      <c r="K671" t="s">
        <v>11040</v>
      </c>
      <c r="L671" t="s">
        <v>21</v>
      </c>
      <c r="M671" t="s">
        <v>19177</v>
      </c>
      <c r="N671" t="s">
        <v>714</v>
      </c>
      <c r="O671" t="s">
        <v>10263</v>
      </c>
      <c r="P671" t="s">
        <v>12</v>
      </c>
    </row>
    <row r="672">
      <c r="A672">
        <f>HYPERLINK("http://bombeiros.sp.gov.br/hidrantes/03individual/264.html","264")</f>
      </c>
      <c r="B672" t="s">
        <v>623</v>
      </c>
      <c r="C672" t="s">
        <v>773</v>
      </c>
      <c r="D672" t="s">
        <v>11031</v>
      </c>
      <c r="E672" t="s">
        <v>15</v>
      </c>
      <c r="F672" t="s">
        <v>11050</v>
      </c>
      <c r="G672" t="s">
        <v>18264</v>
      </c>
      <c r="H672" t="s">
        <v>1121</v>
      </c>
      <c r="I672" t="s">
        <v>1117</v>
      </c>
      <c r="J672" t="s">
        <v>11051</v>
      </c>
      <c r="K672" t="s">
        <v>11052</v>
      </c>
      <c r="L672" t="s">
        <v>21</v>
      </c>
      <c r="M672" t="s">
        <v>19177</v>
      </c>
      <c r="N672" t="s">
        <v>714</v>
      </c>
      <c r="O672" t="s">
        <v>10263</v>
      </c>
      <c r="P672" t="s">
        <v>12</v>
      </c>
    </row>
    <row r="673">
      <c r="A673">
        <f>HYPERLINK("http://bombeiros.sp.gov.br/hidrantes/03individual/2222.html","2222")</f>
      </c>
      <c r="B673" t="s">
        <v>623</v>
      </c>
      <c r="C673" t="s">
        <v>773</v>
      </c>
      <c r="D673" t="s">
        <v>11031</v>
      </c>
      <c r="E673" t="s">
        <v>15</v>
      </c>
      <c r="F673" t="s">
        <v>11059</v>
      </c>
      <c r="G673" t="s">
        <v>18114</v>
      </c>
      <c r="H673" t="s">
        <v>1121</v>
      </c>
      <c r="I673" t="s">
        <v>1117</v>
      </c>
      <c r="J673" t="s">
        <v>11060</v>
      </c>
      <c r="K673" t="s">
        <v>11061</v>
      </c>
      <c r="L673" t="s">
        <v>21</v>
      </c>
      <c r="M673" t="s">
        <v>19177</v>
      </c>
      <c r="N673" t="s">
        <v>714</v>
      </c>
      <c r="O673" t="s">
        <v>10263</v>
      </c>
      <c r="P673" t="s">
        <v>12</v>
      </c>
    </row>
    <row r="674">
      <c r="A674">
        <f>HYPERLINK("http://bombeiros.sp.gov.br/hidrantes/03individual/5641.html","5641")</f>
      </c>
      <c r="B674" t="s">
        <v>623</v>
      </c>
      <c r="C674" t="s">
        <v>773</v>
      </c>
      <c r="D674" t="s">
        <v>11124</v>
      </c>
      <c r="E674" t="s">
        <v>15</v>
      </c>
      <c r="F674" t="s">
        <v>11140</v>
      </c>
      <c r="G674" t="s">
        <v>18036</v>
      </c>
      <c r="H674" t="s">
        <v>1121</v>
      </c>
      <c r="I674" t="s">
        <v>1117</v>
      </c>
      <c r="J674" t="s">
        <v>11141</v>
      </c>
      <c r="K674" t="s">
        <v>11142</v>
      </c>
      <c r="L674" t="s">
        <v>21</v>
      </c>
      <c r="M674" t="s">
        <v>19177</v>
      </c>
      <c r="N674" t="s">
        <v>714</v>
      </c>
      <c r="O674" t="s">
        <v>10263</v>
      </c>
      <c r="P674" t="s">
        <v>12</v>
      </c>
    </row>
    <row r="675">
      <c r="A675">
        <f>HYPERLINK("http://bombeiros.sp.gov.br/hidrantes/03individual/1643.html","1643")</f>
      </c>
      <c r="B675" t="s">
        <v>623</v>
      </c>
      <c r="C675" t="s">
        <v>777</v>
      </c>
      <c r="D675" t="s">
        <v>778</v>
      </c>
      <c r="E675" t="s">
        <v>64</v>
      </c>
      <c r="F675" t="s">
        <v>11143</v>
      </c>
      <c r="G675" t="s">
        <v>18044</v>
      </c>
      <c r="H675" t="s">
        <v>1121</v>
      </c>
      <c r="I675" t="s">
        <v>1117</v>
      </c>
      <c r="J675" t="s">
        <v>11144</v>
      </c>
      <c r="K675" t="s">
        <v>11145</v>
      </c>
      <c r="L675" t="s">
        <v>36</v>
      </c>
      <c r="M675" t="s">
        <v>19177</v>
      </c>
      <c r="N675" t="s">
        <v>714</v>
      </c>
      <c r="O675" t="s">
        <v>10263</v>
      </c>
      <c r="P675" t="s">
        <v>12</v>
      </c>
    </row>
    <row r="676">
      <c r="A676">
        <f>HYPERLINK("http://bombeiros.sp.gov.br/hidrantes/03individual/1623.html","1623")</f>
      </c>
      <c r="B676" t="s">
        <v>623</v>
      </c>
      <c r="C676" t="s">
        <v>777</v>
      </c>
      <c r="D676" t="s">
        <v>778</v>
      </c>
      <c r="E676" t="s">
        <v>15</v>
      </c>
      <c r="F676" t="s">
        <v>11164</v>
      </c>
      <c r="G676" t="s">
        <v>17948</v>
      </c>
      <c r="H676" t="s">
        <v>1121</v>
      </c>
      <c r="I676" t="s">
        <v>1117</v>
      </c>
      <c r="J676" t="s">
        <v>11165</v>
      </c>
      <c r="K676" t="s">
        <v>11166</v>
      </c>
      <c r="L676" t="s">
        <v>21</v>
      </c>
      <c r="M676" t="s">
        <v>19177</v>
      </c>
      <c r="N676" t="s">
        <v>714</v>
      </c>
      <c r="O676" t="s">
        <v>10263</v>
      </c>
      <c r="P676" t="s">
        <v>12</v>
      </c>
    </row>
    <row r="677">
      <c r="A677">
        <f>HYPERLINK("http://bombeiros.sp.gov.br/hidrantes/03individual/1797.html","1797")</f>
      </c>
      <c r="B677" t="s">
        <v>623</v>
      </c>
      <c r="C677" t="s">
        <v>777</v>
      </c>
      <c r="D677" t="s">
        <v>778</v>
      </c>
      <c r="E677" t="s">
        <v>15</v>
      </c>
      <c r="F677" t="s">
        <v>11167</v>
      </c>
      <c r="G677" t="s">
        <v>17948</v>
      </c>
      <c r="H677" t="s">
        <v>1121</v>
      </c>
      <c r="I677" t="s">
        <v>1117</v>
      </c>
      <c r="J677" t="s">
        <v>11168</v>
      </c>
      <c r="K677" t="s">
        <v>11169</v>
      </c>
      <c r="L677" t="s">
        <v>21</v>
      </c>
      <c r="M677" t="s">
        <v>19177</v>
      </c>
      <c r="N677" t="s">
        <v>714</v>
      </c>
      <c r="O677" t="s">
        <v>10263</v>
      </c>
      <c r="P677" t="s">
        <v>12</v>
      </c>
    </row>
    <row r="678">
      <c r="A678">
        <f>HYPERLINK("http://bombeiros.sp.gov.br/hidrantes/03individual/5377.html","5377")</f>
      </c>
      <c r="B678" t="s">
        <v>623</v>
      </c>
      <c r="C678" t="s">
        <v>777</v>
      </c>
      <c r="D678" t="s">
        <v>778</v>
      </c>
      <c r="E678" t="s">
        <v>15</v>
      </c>
      <c r="F678" t="s">
        <v>11191</v>
      </c>
      <c r="G678" t="s">
        <v>18096</v>
      </c>
      <c r="H678" t="s">
        <v>1121</v>
      </c>
      <c r="I678" t="s">
        <v>1117</v>
      </c>
      <c r="J678" t="s">
        <v>16075</v>
      </c>
      <c r="K678" t="s">
        <v>16076</v>
      </c>
      <c r="L678" t="s">
        <v>21</v>
      </c>
      <c r="M678" t="s">
        <v>19177</v>
      </c>
      <c r="N678" t="s">
        <v>714</v>
      </c>
      <c r="O678" t="s">
        <v>10263</v>
      </c>
      <c r="P678" t="s">
        <v>12</v>
      </c>
    </row>
    <row r="679">
      <c r="A679">
        <f>HYPERLINK("http://bombeiros.sp.gov.br/hidrantes/03individual/1917.html","1917")</f>
      </c>
      <c r="B679" t="s">
        <v>623</v>
      </c>
      <c r="C679" t="s">
        <v>777</v>
      </c>
      <c r="D679" t="s">
        <v>783</v>
      </c>
      <c r="E679" t="s">
        <v>64</v>
      </c>
      <c r="F679" t="s">
        <v>11209</v>
      </c>
      <c r="G679" t="s">
        <v>18085</v>
      </c>
      <c r="H679" t="s">
        <v>1121</v>
      </c>
      <c r="I679" t="s">
        <v>1117</v>
      </c>
      <c r="J679" t="s">
        <v>11210</v>
      </c>
      <c r="K679" t="s">
        <v>11211</v>
      </c>
      <c r="L679" t="s">
        <v>36</v>
      </c>
      <c r="M679" t="s">
        <v>19177</v>
      </c>
      <c r="N679" t="s">
        <v>714</v>
      </c>
      <c r="O679" t="s">
        <v>10263</v>
      </c>
      <c r="P679" t="s">
        <v>12</v>
      </c>
    </row>
    <row r="680">
      <c r="A680">
        <f>HYPERLINK("http://bombeiros.sp.gov.br/hidrantes/03individual/2654.html","2654")</f>
      </c>
      <c r="B680" t="s">
        <v>623</v>
      </c>
      <c r="C680" t="s">
        <v>777</v>
      </c>
      <c r="D680" t="s">
        <v>783</v>
      </c>
      <c r="E680" t="s">
        <v>64</v>
      </c>
      <c r="F680" t="s">
        <v>11230</v>
      </c>
      <c r="G680" t="s">
        <v>18129</v>
      </c>
      <c r="H680" t="s">
        <v>1121</v>
      </c>
      <c r="I680" t="s">
        <v>1117</v>
      </c>
      <c r="J680" t="s">
        <v>11231</v>
      </c>
      <c r="K680" t="s">
        <v>11232</v>
      </c>
      <c r="L680" t="s">
        <v>36</v>
      </c>
      <c r="M680" t="s">
        <v>19177</v>
      </c>
      <c r="N680" t="s">
        <v>714</v>
      </c>
      <c r="O680" t="s">
        <v>10263</v>
      </c>
      <c r="P680" t="s">
        <v>12</v>
      </c>
    </row>
    <row r="681">
      <c r="A681">
        <f>HYPERLINK("http://bombeiros.sp.gov.br/hidrantes/03individual/27417.html","27417")</f>
      </c>
      <c r="B681" t="s">
        <v>623</v>
      </c>
      <c r="C681" t="s">
        <v>777</v>
      </c>
      <c r="D681" t="s">
        <v>783</v>
      </c>
      <c r="E681" t="s">
        <v>64</v>
      </c>
      <c r="F681" t="s">
        <v>17334</v>
      </c>
      <c r="G681" t="s">
        <v>18091</v>
      </c>
      <c r="H681" t="s">
        <v>1121</v>
      </c>
      <c r="I681" t="s">
        <v>1117</v>
      </c>
      <c r="J681" t="s">
        <v>17335</v>
      </c>
      <c r="K681" t="s">
        <v>17336</v>
      </c>
      <c r="L681" t="s">
        <v>21</v>
      </c>
      <c r="M681" t="s">
        <v>19177</v>
      </c>
      <c r="N681" t="s">
        <v>714</v>
      </c>
      <c r="O681" t="s">
        <v>10263</v>
      </c>
      <c r="P681" t="s">
        <v>12</v>
      </c>
    </row>
    <row r="682">
      <c r="A682">
        <f>HYPERLINK("http://bombeiros.sp.gov.br/hidrantes/03individual/1903.html","1903")</f>
      </c>
      <c r="B682" t="s">
        <v>623</v>
      </c>
      <c r="C682" t="s">
        <v>777</v>
      </c>
      <c r="D682" t="s">
        <v>783</v>
      </c>
      <c r="E682" t="s">
        <v>15</v>
      </c>
      <c r="F682" t="s">
        <v>11236</v>
      </c>
      <c r="G682" t="s">
        <v>18096</v>
      </c>
      <c r="H682" t="s">
        <v>1121</v>
      </c>
      <c r="I682" t="s">
        <v>1117</v>
      </c>
      <c r="J682" t="s">
        <v>11237</v>
      </c>
      <c r="K682" t="s">
        <v>11238</v>
      </c>
      <c r="L682" t="s">
        <v>21</v>
      </c>
      <c r="M682" t="s">
        <v>19177</v>
      </c>
      <c r="N682" t="s">
        <v>714</v>
      </c>
      <c r="O682" t="s">
        <v>10263</v>
      </c>
      <c r="P682" t="s">
        <v>12</v>
      </c>
    </row>
    <row r="683">
      <c r="A683">
        <f>HYPERLINK("http://bombeiros.sp.gov.br/hidrantes/03individual/2108.html","2108")</f>
      </c>
      <c r="B683" t="s">
        <v>623</v>
      </c>
      <c r="C683" t="s">
        <v>777</v>
      </c>
      <c r="D683" t="s">
        <v>783</v>
      </c>
      <c r="E683" t="s">
        <v>15</v>
      </c>
      <c r="F683" t="s">
        <v>11242</v>
      </c>
      <c r="G683" t="s">
        <v>18105</v>
      </c>
      <c r="H683" t="s">
        <v>1121</v>
      </c>
      <c r="I683" t="s">
        <v>1117</v>
      </c>
      <c r="J683" t="s">
        <v>16527</v>
      </c>
      <c r="K683" t="s">
        <v>16528</v>
      </c>
      <c r="L683" t="s">
        <v>21</v>
      </c>
      <c r="M683" t="s">
        <v>19177</v>
      </c>
      <c r="N683" t="s">
        <v>714</v>
      </c>
      <c r="O683" t="s">
        <v>10263</v>
      </c>
      <c r="P683" t="s">
        <v>12</v>
      </c>
    </row>
    <row r="684">
      <c r="A684">
        <f>HYPERLINK("http://bombeiros.sp.gov.br/hidrantes/03individual/2240.html","2240")</f>
      </c>
      <c r="B684" t="s">
        <v>623</v>
      </c>
      <c r="C684" t="s">
        <v>777</v>
      </c>
      <c r="D684" t="s">
        <v>783</v>
      </c>
      <c r="E684" t="s">
        <v>15</v>
      </c>
      <c r="F684" t="s">
        <v>11245</v>
      </c>
      <c r="G684" t="s">
        <v>18096</v>
      </c>
      <c r="H684" t="s">
        <v>1121</v>
      </c>
      <c r="I684" t="s">
        <v>1117</v>
      </c>
      <c r="J684" t="s">
        <v>11246</v>
      </c>
      <c r="K684" t="s">
        <v>11247</v>
      </c>
      <c r="L684" t="s">
        <v>21</v>
      </c>
      <c r="M684" t="s">
        <v>19177</v>
      </c>
      <c r="N684" t="s">
        <v>714</v>
      </c>
      <c r="O684" t="s">
        <v>10263</v>
      </c>
      <c r="P684" t="s">
        <v>12</v>
      </c>
    </row>
    <row r="685">
      <c r="A685">
        <f>HYPERLINK("http://bombeiros.sp.gov.br/hidrantes/03individual/1831.html","1831")</f>
      </c>
      <c r="B685" t="s">
        <v>623</v>
      </c>
      <c r="C685" t="s">
        <v>777</v>
      </c>
      <c r="D685" t="s">
        <v>10263</v>
      </c>
      <c r="E685" t="s">
        <v>15</v>
      </c>
      <c r="F685" t="s">
        <v>11269</v>
      </c>
      <c r="G685" t="s">
        <v>17948</v>
      </c>
      <c r="H685" t="s">
        <v>1121</v>
      </c>
      <c r="I685" t="s">
        <v>1117</v>
      </c>
      <c r="J685" t="s">
        <v>11270</v>
      </c>
      <c r="K685" t="s">
        <v>11271</v>
      </c>
      <c r="L685" t="s">
        <v>21</v>
      </c>
      <c r="M685" t="s">
        <v>19177</v>
      </c>
      <c r="N685" t="s">
        <v>714</v>
      </c>
      <c r="O685" t="s">
        <v>10263</v>
      </c>
      <c r="P685" t="s">
        <v>12</v>
      </c>
    </row>
    <row r="686">
      <c r="A686">
        <f>HYPERLINK("http://bombeiros.sp.gov.br/hidrantes/03individual/1886.html","1886")</f>
      </c>
      <c r="B686" t="s">
        <v>623</v>
      </c>
      <c r="C686" t="s">
        <v>777</v>
      </c>
      <c r="D686" t="s">
        <v>777</v>
      </c>
      <c r="E686" t="s">
        <v>15</v>
      </c>
      <c r="F686" t="s">
        <v>11296</v>
      </c>
      <c r="G686" t="s">
        <v>18105</v>
      </c>
      <c r="H686" t="s">
        <v>1121</v>
      </c>
      <c r="I686" t="s">
        <v>1117</v>
      </c>
      <c r="J686" t="s">
        <v>11298</v>
      </c>
      <c r="K686" t="s">
        <v>11299</v>
      </c>
      <c r="L686" t="s">
        <v>21</v>
      </c>
      <c r="M686" t="s">
        <v>19177</v>
      </c>
      <c r="N686" t="s">
        <v>714</v>
      </c>
      <c r="O686" t="s">
        <v>10263</v>
      </c>
      <c r="P686" t="s">
        <v>12</v>
      </c>
    </row>
    <row r="687">
      <c r="A687">
        <f>HYPERLINK("http://bombeiros.sp.gov.br/hidrantes/03individual/2160.html","2160")</f>
      </c>
      <c r="B687" t="s">
        <v>623</v>
      </c>
      <c r="C687" t="s">
        <v>777</v>
      </c>
      <c r="D687" t="s">
        <v>777</v>
      </c>
      <c r="E687" t="s">
        <v>15</v>
      </c>
      <c r="F687" t="s">
        <v>11303</v>
      </c>
      <c r="G687" t="s">
        <v>18129</v>
      </c>
      <c r="H687" t="s">
        <v>1121</v>
      </c>
      <c r="I687" t="s">
        <v>1117</v>
      </c>
      <c r="J687" t="s">
        <v>11304</v>
      </c>
      <c r="K687" t="s">
        <v>11305</v>
      </c>
      <c r="L687" t="s">
        <v>21</v>
      </c>
      <c r="M687" t="s">
        <v>19177</v>
      </c>
      <c r="N687" t="s">
        <v>714</v>
      </c>
      <c r="O687" t="s">
        <v>10263</v>
      </c>
      <c r="P687" t="s">
        <v>12</v>
      </c>
    </row>
    <row r="688">
      <c r="A688">
        <f>HYPERLINK("http://bombeiros.sp.gov.br/hidrantes/03individual/4242.html","4242")</f>
      </c>
      <c r="B688" t="s">
        <v>623</v>
      </c>
      <c r="C688" t="s">
        <v>777</v>
      </c>
      <c r="D688" t="s">
        <v>777</v>
      </c>
      <c r="E688" t="s">
        <v>15</v>
      </c>
      <c r="F688" t="s">
        <v>11306</v>
      </c>
      <c r="G688" t="s">
        <v>18107</v>
      </c>
      <c r="H688" t="s">
        <v>1121</v>
      </c>
      <c r="I688" t="s">
        <v>1117</v>
      </c>
      <c r="J688" t="s">
        <v>11307</v>
      </c>
      <c r="K688" t="s">
        <v>11308</v>
      </c>
      <c r="L688" t="s">
        <v>21</v>
      </c>
      <c r="M688" t="s">
        <v>19177</v>
      </c>
      <c r="N688" t="s">
        <v>714</v>
      </c>
      <c r="O688" t="s">
        <v>10263</v>
      </c>
      <c r="P688" t="s">
        <v>12</v>
      </c>
    </row>
    <row r="689">
      <c r="A689">
        <f>HYPERLINK("http://bombeiros.sp.gov.br/hidrantes/03individual/2152.html","2152")</f>
      </c>
      <c r="B689" t="s">
        <v>623</v>
      </c>
      <c r="C689" t="s">
        <v>777</v>
      </c>
      <c r="D689" t="s">
        <v>793</v>
      </c>
      <c r="E689" t="s">
        <v>15</v>
      </c>
      <c r="F689" t="s">
        <v>11324</v>
      </c>
      <c r="G689" t="s">
        <v>18115</v>
      </c>
      <c r="H689" t="s">
        <v>1121</v>
      </c>
      <c r="I689" t="s">
        <v>1117</v>
      </c>
      <c r="J689" t="s">
        <v>15891</v>
      </c>
      <c r="K689" t="s">
        <v>15892</v>
      </c>
      <c r="L689" t="s">
        <v>21</v>
      </c>
      <c r="M689" t="s">
        <v>19177</v>
      </c>
      <c r="N689" t="s">
        <v>714</v>
      </c>
      <c r="O689" t="s">
        <v>10263</v>
      </c>
      <c r="P689" t="s">
        <v>12</v>
      </c>
    </row>
    <row r="690">
      <c r="A690">
        <f>HYPERLINK("http://bombeiros.sp.gov.br/hidrantes/03individual/2229.html","2229")</f>
      </c>
      <c r="B690" t="s">
        <v>623</v>
      </c>
      <c r="C690" t="s">
        <v>777</v>
      </c>
      <c r="D690" t="s">
        <v>793</v>
      </c>
      <c r="E690" t="s">
        <v>15</v>
      </c>
      <c r="F690" t="s">
        <v>11330</v>
      </c>
      <c r="G690" t="s">
        <v>18085</v>
      </c>
      <c r="H690" t="s">
        <v>1121</v>
      </c>
      <c r="I690" t="s">
        <v>1117</v>
      </c>
      <c r="J690" t="s">
        <v>11331</v>
      </c>
      <c r="K690" t="s">
        <v>11332</v>
      </c>
      <c r="L690" t="s">
        <v>21</v>
      </c>
      <c r="M690" t="s">
        <v>19177</v>
      </c>
      <c r="N690" t="s">
        <v>714</v>
      </c>
      <c r="O690" t="s">
        <v>10263</v>
      </c>
      <c r="P690" t="s">
        <v>12</v>
      </c>
    </row>
    <row r="691">
      <c r="A691">
        <f>HYPERLINK("http://bombeiros.sp.gov.br/hidrantes/03individual/2286.html","2286")</f>
      </c>
      <c r="B691" t="s">
        <v>623</v>
      </c>
      <c r="C691" t="s">
        <v>777</v>
      </c>
      <c r="D691" t="s">
        <v>793</v>
      </c>
      <c r="E691" t="s">
        <v>15</v>
      </c>
      <c r="F691" t="s">
        <v>11339</v>
      </c>
      <c r="G691" t="s">
        <v>18115</v>
      </c>
      <c r="H691" t="s">
        <v>1121</v>
      </c>
      <c r="I691" t="s">
        <v>1117</v>
      </c>
      <c r="J691" t="s">
        <v>16556</v>
      </c>
      <c r="K691" t="s">
        <v>16557</v>
      </c>
      <c r="L691" t="s">
        <v>21</v>
      </c>
      <c r="M691" t="s">
        <v>19177</v>
      </c>
      <c r="N691" t="s">
        <v>714</v>
      </c>
      <c r="O691" t="s">
        <v>10263</v>
      </c>
      <c r="P691" t="s">
        <v>12</v>
      </c>
    </row>
    <row r="692">
      <c r="A692">
        <f>HYPERLINK("http://bombeiros.sp.gov.br/hidrantes/03individual/2685.html","2685")</f>
      </c>
      <c r="B692" t="s">
        <v>623</v>
      </c>
      <c r="C692" t="s">
        <v>777</v>
      </c>
      <c r="D692" t="s">
        <v>793</v>
      </c>
      <c r="E692" t="s">
        <v>15</v>
      </c>
      <c r="F692" t="s">
        <v>11342</v>
      </c>
      <c r="G692" t="s">
        <v>18085</v>
      </c>
      <c r="H692" t="s">
        <v>1121</v>
      </c>
      <c r="I692" t="s">
        <v>1117</v>
      </c>
      <c r="J692" t="s">
        <v>11343</v>
      </c>
      <c r="K692" t="s">
        <v>11344</v>
      </c>
      <c r="L692" t="s">
        <v>21</v>
      </c>
      <c r="M692" t="s">
        <v>19177</v>
      </c>
      <c r="N692" t="s">
        <v>714</v>
      </c>
      <c r="O692" t="s">
        <v>10263</v>
      </c>
      <c r="P692" t="s">
        <v>12</v>
      </c>
    </row>
    <row r="693">
      <c r="A693">
        <f>HYPERLINK("http://bombeiros.sp.gov.br/hidrantes/03individual/16576.html","16576")</f>
      </c>
      <c r="B693" t="s">
        <v>623</v>
      </c>
      <c r="C693" t="s">
        <v>777</v>
      </c>
      <c r="D693" t="s">
        <v>793</v>
      </c>
      <c r="E693" t="s">
        <v>15</v>
      </c>
      <c r="F693" t="s">
        <v>11360</v>
      </c>
      <c r="G693" t="s">
        <v>18143</v>
      </c>
      <c r="H693" t="s">
        <v>1121</v>
      </c>
      <c r="I693" t="s">
        <v>1117</v>
      </c>
      <c r="J693" t="s">
        <v>11361</v>
      </c>
      <c r="K693" t="s">
        <v>11362</v>
      </c>
      <c r="L693" t="s">
        <v>21</v>
      </c>
      <c r="M693" t="s">
        <v>19177</v>
      </c>
      <c r="N693" t="s">
        <v>714</v>
      </c>
      <c r="O693" t="s">
        <v>10263</v>
      </c>
      <c r="P693" t="s">
        <v>12</v>
      </c>
    </row>
    <row r="694">
      <c r="A694">
        <f>HYPERLINK("http://bombeiros.sp.gov.br/hidrantes/03individual/27301.html","27301")</f>
      </c>
      <c r="B694" t="s">
        <v>623</v>
      </c>
      <c r="C694" t="s">
        <v>777</v>
      </c>
      <c r="D694" t="s">
        <v>793</v>
      </c>
      <c r="E694" t="s">
        <v>15</v>
      </c>
      <c r="F694" t="s">
        <v>17093</v>
      </c>
      <c r="G694" t="s">
        <v>18129</v>
      </c>
      <c r="H694" t="s">
        <v>1121</v>
      </c>
      <c r="I694" t="s">
        <v>1117</v>
      </c>
      <c r="J694" t="s">
        <v>17094</v>
      </c>
      <c r="K694" t="s">
        <v>18265</v>
      </c>
      <c r="L694" t="s">
        <v>21</v>
      </c>
      <c r="M694" t="s">
        <v>19177</v>
      </c>
      <c r="N694" t="s">
        <v>714</v>
      </c>
      <c r="O694" t="s">
        <v>10263</v>
      </c>
      <c r="P694" t="s">
        <v>12</v>
      </c>
    </row>
    <row r="695">
      <c r="A695">
        <f>HYPERLINK("http://bombeiros.sp.gov.br/hidrantes/03individual/1165.html","1165")</f>
      </c>
      <c r="B695" t="s">
        <v>623</v>
      </c>
      <c r="C695" t="s">
        <v>797</v>
      </c>
      <c r="D695" t="s">
        <v>11375</v>
      </c>
      <c r="E695" t="s">
        <v>15</v>
      </c>
      <c r="F695" t="s">
        <v>11385</v>
      </c>
      <c r="G695" t="s">
        <v>17935</v>
      </c>
      <c r="H695" t="s">
        <v>1121</v>
      </c>
      <c r="I695" t="s">
        <v>1117</v>
      </c>
      <c r="J695" t="s">
        <v>11386</v>
      </c>
      <c r="K695" t="s">
        <v>11387</v>
      </c>
      <c r="L695" t="s">
        <v>21</v>
      </c>
      <c r="M695" t="s">
        <v>19177</v>
      </c>
      <c r="N695" t="s">
        <v>16375</v>
      </c>
      <c r="O695" t="s">
        <v>640</v>
      </c>
      <c r="P695" t="s">
        <v>623</v>
      </c>
    </row>
    <row r="696">
      <c r="A696">
        <f>HYPERLINK("http://bombeiros.sp.gov.br/hidrantes/03individual/1130.html","1130")</f>
      </c>
      <c r="B696" t="s">
        <v>623</v>
      </c>
      <c r="C696" t="s">
        <v>797</v>
      </c>
      <c r="D696" t="s">
        <v>11388</v>
      </c>
      <c r="E696" t="s">
        <v>64</v>
      </c>
      <c r="F696" t="s">
        <v>11392</v>
      </c>
      <c r="G696" t="s">
        <v>18084</v>
      </c>
      <c r="H696" t="s">
        <v>1121</v>
      </c>
      <c r="I696" t="s">
        <v>1117</v>
      </c>
      <c r="J696" t="s">
        <v>11393</v>
      </c>
      <c r="K696" t="s">
        <v>11394</v>
      </c>
      <c r="L696" t="s">
        <v>21</v>
      </c>
      <c r="M696" t="s">
        <v>19177</v>
      </c>
      <c r="N696" t="s">
        <v>16375</v>
      </c>
      <c r="O696" t="s">
        <v>640</v>
      </c>
      <c r="P696" t="s">
        <v>623</v>
      </c>
    </row>
    <row r="697">
      <c r="A697">
        <f>HYPERLINK("http://bombeiros.sp.gov.br/hidrantes/03individual/27322.html","27322")</f>
      </c>
      <c r="B697" t="s">
        <v>623</v>
      </c>
      <c r="C697" t="s">
        <v>797</v>
      </c>
      <c r="D697" t="s">
        <v>11388</v>
      </c>
      <c r="E697" t="s">
        <v>64</v>
      </c>
      <c r="F697" t="s">
        <v>17137</v>
      </c>
      <c r="G697" t="s">
        <v>18084</v>
      </c>
      <c r="H697" t="s">
        <v>1121</v>
      </c>
      <c r="I697" t="s">
        <v>1117</v>
      </c>
      <c r="J697" t="s">
        <v>17138</v>
      </c>
      <c r="K697" t="s">
        <v>17139</v>
      </c>
      <c r="L697" t="s">
        <v>21</v>
      </c>
      <c r="M697" t="s">
        <v>19177</v>
      </c>
      <c r="N697" t="s">
        <v>16375</v>
      </c>
      <c r="O697" t="s">
        <v>640</v>
      </c>
      <c r="P697" t="s">
        <v>623</v>
      </c>
    </row>
    <row r="698">
      <c r="A698">
        <f>HYPERLINK("http://bombeiros.sp.gov.br/hidrantes/03individual/6689.html","6689")</f>
      </c>
      <c r="B698" t="s">
        <v>623</v>
      </c>
      <c r="C698" t="s">
        <v>797</v>
      </c>
      <c r="D698" t="s">
        <v>11388</v>
      </c>
      <c r="E698" t="s">
        <v>15</v>
      </c>
      <c r="F698" t="s">
        <v>11401</v>
      </c>
      <c r="G698" t="s">
        <v>18084</v>
      </c>
      <c r="H698" t="s">
        <v>1121</v>
      </c>
      <c r="I698" t="s">
        <v>1117</v>
      </c>
      <c r="J698" t="s">
        <v>11402</v>
      </c>
      <c r="K698" t="s">
        <v>11403</v>
      </c>
      <c r="L698" t="s">
        <v>21</v>
      </c>
      <c r="M698" t="s">
        <v>19177</v>
      </c>
      <c r="N698" t="s">
        <v>16375</v>
      </c>
      <c r="O698" t="s">
        <v>640</v>
      </c>
      <c r="P698" t="s">
        <v>623</v>
      </c>
    </row>
    <row r="699">
      <c r="A699">
        <f>HYPERLINK("http://bombeiros.sp.gov.br/hidrantes/03individual/27809.html","27809")</f>
      </c>
      <c r="B699" t="s">
        <v>623</v>
      </c>
      <c r="C699" t="s">
        <v>797</v>
      </c>
      <c r="D699" t="s">
        <v>797</v>
      </c>
      <c r="E699" t="s">
        <v>64</v>
      </c>
      <c r="F699" t="s">
        <v>17799</v>
      </c>
      <c r="G699" t="s">
        <v>18063</v>
      </c>
      <c r="H699" t="s">
        <v>1121</v>
      </c>
      <c r="I699" t="s">
        <v>1117</v>
      </c>
      <c r="J699" t="s">
        <v>17800</v>
      </c>
      <c r="K699" t="s">
        <v>17801</v>
      </c>
      <c r="L699" t="s">
        <v>21</v>
      </c>
      <c r="M699" t="s">
        <v>19177</v>
      </c>
      <c r="N699" t="s">
        <v>16375</v>
      </c>
      <c r="O699" t="s">
        <v>640</v>
      </c>
      <c r="P699" t="s">
        <v>623</v>
      </c>
    </row>
    <row r="700">
      <c r="A700">
        <f>HYPERLINK("http://bombeiros.sp.gov.br/hidrantes/03individual/1106.html","1106")</f>
      </c>
      <c r="B700" t="s">
        <v>623</v>
      </c>
      <c r="C700" t="s">
        <v>797</v>
      </c>
      <c r="D700" t="s">
        <v>797</v>
      </c>
      <c r="E700" t="s">
        <v>15</v>
      </c>
      <c r="F700" t="s">
        <v>11413</v>
      </c>
      <c r="G700" t="s">
        <v>18084</v>
      </c>
      <c r="H700" t="s">
        <v>1121</v>
      </c>
      <c r="I700" t="s">
        <v>1108</v>
      </c>
      <c r="J700" t="s">
        <v>11414</v>
      </c>
      <c r="K700" t="s">
        <v>11415</v>
      </c>
      <c r="L700" t="s">
        <v>21</v>
      </c>
      <c r="M700" t="s">
        <v>19177</v>
      </c>
      <c r="N700" t="s">
        <v>16375</v>
      </c>
      <c r="O700" t="s">
        <v>640</v>
      </c>
      <c r="P700" t="s">
        <v>623</v>
      </c>
    </row>
    <row r="701">
      <c r="A701">
        <f>HYPERLINK("http://bombeiros.sp.gov.br/hidrantes/03individual/27054.html","27054")</f>
      </c>
      <c r="B701" t="s">
        <v>623</v>
      </c>
      <c r="C701" t="s">
        <v>802</v>
      </c>
      <c r="D701" t="s">
        <v>803</v>
      </c>
      <c r="E701" t="s">
        <v>64</v>
      </c>
      <c r="F701" t="s">
        <v>16672</v>
      </c>
      <c r="G701" t="s">
        <v>18062</v>
      </c>
      <c r="H701" t="s">
        <v>1121</v>
      </c>
      <c r="I701" t="s">
        <v>1117</v>
      </c>
      <c r="J701" t="s">
        <v>16673</v>
      </c>
      <c r="K701" t="s">
        <v>16674</v>
      </c>
      <c r="L701" t="s">
        <v>21</v>
      </c>
      <c r="M701" t="s">
        <v>19177</v>
      </c>
      <c r="N701" t="s">
        <v>16375</v>
      </c>
      <c r="O701" t="s">
        <v>640</v>
      </c>
      <c r="P701" t="s">
        <v>623</v>
      </c>
    </row>
    <row r="702">
      <c r="A702">
        <f>HYPERLINK("http://bombeiros.sp.gov.br/hidrantes/03individual/1234.html","1234")</f>
      </c>
      <c r="B702" t="s">
        <v>623</v>
      </c>
      <c r="C702" t="s">
        <v>802</v>
      </c>
      <c r="D702" t="s">
        <v>803</v>
      </c>
      <c r="E702" t="s">
        <v>15</v>
      </c>
      <c r="F702" t="s">
        <v>11428</v>
      </c>
      <c r="G702" t="s">
        <v>18062</v>
      </c>
      <c r="H702" t="s">
        <v>1121</v>
      </c>
      <c r="I702" t="s">
        <v>1117</v>
      </c>
      <c r="J702" t="s">
        <v>11429</v>
      </c>
      <c r="K702" t="s">
        <v>11430</v>
      </c>
      <c r="L702" t="s">
        <v>21</v>
      </c>
      <c r="M702" t="s">
        <v>19177</v>
      </c>
      <c r="N702" t="s">
        <v>16375</v>
      </c>
      <c r="O702" t="s">
        <v>640</v>
      </c>
      <c r="P702" t="s">
        <v>623</v>
      </c>
    </row>
    <row r="703">
      <c r="A703">
        <f>HYPERLINK("http://bombeiros.sp.gov.br/hidrantes/03individual/1245.html","1245")</f>
      </c>
      <c r="B703" t="s">
        <v>623</v>
      </c>
      <c r="C703" t="s">
        <v>802</v>
      </c>
      <c r="D703" t="s">
        <v>807</v>
      </c>
      <c r="E703" t="s">
        <v>15</v>
      </c>
      <c r="F703" t="s">
        <v>808</v>
      </c>
      <c r="G703" t="s">
        <v>18062</v>
      </c>
      <c r="H703" t="s">
        <v>1121</v>
      </c>
      <c r="I703" t="s">
        <v>1117</v>
      </c>
      <c r="J703" t="s">
        <v>809</v>
      </c>
      <c r="K703" t="s">
        <v>810</v>
      </c>
      <c r="L703" t="s">
        <v>21</v>
      </c>
      <c r="M703" t="s">
        <v>19177</v>
      </c>
      <c r="N703" t="s">
        <v>16375</v>
      </c>
      <c r="O703" t="s">
        <v>640</v>
      </c>
      <c r="P703" t="s">
        <v>623</v>
      </c>
    </row>
    <row r="704">
      <c r="A704">
        <f>HYPERLINK("http://bombeiros.sp.gov.br/hidrantes/03individual/17767.html","17767")</f>
      </c>
      <c r="B704" t="s">
        <v>623</v>
      </c>
      <c r="C704" t="s">
        <v>802</v>
      </c>
      <c r="D704" t="s">
        <v>807</v>
      </c>
      <c r="E704" t="s">
        <v>15</v>
      </c>
      <c r="F704" t="s">
        <v>11458</v>
      </c>
      <c r="G704" t="s">
        <v>18084</v>
      </c>
      <c r="H704" t="s">
        <v>1121</v>
      </c>
      <c r="I704" t="s">
        <v>1117</v>
      </c>
      <c r="J704" t="s">
        <v>11459</v>
      </c>
      <c r="K704" t="s">
        <v>11460</v>
      </c>
      <c r="L704" t="s">
        <v>21</v>
      </c>
      <c r="M704" t="s">
        <v>19177</v>
      </c>
      <c r="N704" t="s">
        <v>16375</v>
      </c>
      <c r="O704" t="s">
        <v>640</v>
      </c>
      <c r="P704" t="s">
        <v>623</v>
      </c>
    </row>
    <row r="705">
      <c r="A705">
        <f>HYPERLINK("http://bombeiros.sp.gov.br/hidrantes/03individual/17768.html","17768")</f>
      </c>
      <c r="B705" t="s">
        <v>623</v>
      </c>
      <c r="C705" t="s">
        <v>802</v>
      </c>
      <c r="D705" t="s">
        <v>807</v>
      </c>
      <c r="E705" t="s">
        <v>15</v>
      </c>
      <c r="F705" t="s">
        <v>11461</v>
      </c>
      <c r="G705" t="s">
        <v>18084</v>
      </c>
      <c r="H705" t="s">
        <v>1121</v>
      </c>
      <c r="I705" t="s">
        <v>1117</v>
      </c>
      <c r="J705" t="s">
        <v>11462</v>
      </c>
      <c r="K705" t="s">
        <v>11463</v>
      </c>
      <c r="L705" t="s">
        <v>21</v>
      </c>
      <c r="M705" t="s">
        <v>19177</v>
      </c>
      <c r="N705" t="s">
        <v>16375</v>
      </c>
      <c r="O705" t="s">
        <v>640</v>
      </c>
      <c r="P705" t="s">
        <v>623</v>
      </c>
    </row>
    <row r="706">
      <c r="A706">
        <f>HYPERLINK("http://bombeiros.sp.gov.br/hidrantes/03individual/28045.html","28045")</f>
      </c>
      <c r="B706" t="s">
        <v>623</v>
      </c>
      <c r="C706" t="s">
        <v>802</v>
      </c>
      <c r="D706" t="s">
        <v>807</v>
      </c>
      <c r="E706" t="s">
        <v>15</v>
      </c>
      <c r="F706" t="s">
        <v>18161</v>
      </c>
      <c r="G706" t="s">
        <v>18063</v>
      </c>
      <c r="H706" t="s">
        <v>1121</v>
      </c>
      <c r="I706" t="s">
        <v>1117</v>
      </c>
      <c r="J706" t="s">
        <v>18162</v>
      </c>
      <c r="K706" t="s">
        <v>18163</v>
      </c>
      <c r="L706" t="s">
        <v>21</v>
      </c>
      <c r="M706" t="s">
        <v>19177</v>
      </c>
      <c r="N706" t="s">
        <v>16375</v>
      </c>
      <c r="O706" t="s">
        <v>640</v>
      </c>
      <c r="P706" t="s">
        <v>623</v>
      </c>
    </row>
    <row r="707">
      <c r="A707">
        <f>HYPERLINK("http://bombeiros.sp.gov.br/hidrantes/03individual/4236.html","4236")</f>
      </c>
      <c r="B707" t="s">
        <v>623</v>
      </c>
      <c r="C707" t="s">
        <v>802</v>
      </c>
      <c r="D707" t="s">
        <v>802</v>
      </c>
      <c r="E707" t="s">
        <v>64</v>
      </c>
      <c r="F707" t="s">
        <v>11470</v>
      </c>
      <c r="G707" t="s">
        <v>17867</v>
      </c>
      <c r="H707" t="s">
        <v>1121</v>
      </c>
      <c r="I707" t="s">
        <v>1117</v>
      </c>
      <c r="J707" t="s">
        <v>19063</v>
      </c>
      <c r="K707" t="s">
        <v>19064</v>
      </c>
      <c r="L707" t="s">
        <v>21</v>
      </c>
      <c r="M707" t="s">
        <v>19177</v>
      </c>
      <c r="N707" t="s">
        <v>16375</v>
      </c>
      <c r="O707" t="s">
        <v>640</v>
      </c>
      <c r="P707" t="s">
        <v>623</v>
      </c>
    </row>
    <row r="708">
      <c r="A708">
        <f>HYPERLINK("http://bombeiros.sp.gov.br/hidrantes/03individual/4233.html","4233")</f>
      </c>
      <c r="B708" t="s">
        <v>623</v>
      </c>
      <c r="C708" t="s">
        <v>802</v>
      </c>
      <c r="D708" t="s">
        <v>802</v>
      </c>
      <c r="E708" t="s">
        <v>15</v>
      </c>
      <c r="F708" t="s">
        <v>11479</v>
      </c>
      <c r="G708" t="s">
        <v>17949</v>
      </c>
      <c r="H708" t="s">
        <v>1121</v>
      </c>
      <c r="I708" t="s">
        <v>1117</v>
      </c>
      <c r="J708" t="s">
        <v>11480</v>
      </c>
      <c r="K708" t="s">
        <v>11481</v>
      </c>
      <c r="L708" t="s">
        <v>21</v>
      </c>
      <c r="M708" t="s">
        <v>19177</v>
      </c>
      <c r="N708" t="s">
        <v>16375</v>
      </c>
      <c r="O708" t="s">
        <v>640</v>
      </c>
      <c r="P708" t="s">
        <v>623</v>
      </c>
    </row>
    <row r="709">
      <c r="A709">
        <f>HYPERLINK("http://bombeiros.sp.gov.br/hidrantes/03individual/17759.html","17759")</f>
      </c>
      <c r="B709" t="s">
        <v>623</v>
      </c>
      <c r="C709" t="s">
        <v>802</v>
      </c>
      <c r="D709" t="s">
        <v>802</v>
      </c>
      <c r="E709" t="s">
        <v>15</v>
      </c>
      <c r="F709" t="s">
        <v>11482</v>
      </c>
      <c r="G709" t="s">
        <v>18084</v>
      </c>
      <c r="H709" t="s">
        <v>1121</v>
      </c>
      <c r="I709" t="s">
        <v>1117</v>
      </c>
      <c r="J709" t="s">
        <v>11483</v>
      </c>
      <c r="K709" t="s">
        <v>11484</v>
      </c>
      <c r="L709" t="s">
        <v>21</v>
      </c>
      <c r="M709" t="s">
        <v>19177</v>
      </c>
      <c r="N709" t="s">
        <v>16375</v>
      </c>
      <c r="O709" t="s">
        <v>640</v>
      </c>
      <c r="P709" t="s">
        <v>623</v>
      </c>
    </row>
    <row r="710">
      <c r="A710">
        <f>HYPERLINK("http://bombeiros.sp.gov.br/hidrantes/03individual/24103.html","24103")</f>
      </c>
      <c r="B710" t="s">
        <v>623</v>
      </c>
      <c r="C710" t="s">
        <v>802</v>
      </c>
      <c r="D710" t="s">
        <v>802</v>
      </c>
      <c r="E710" t="s">
        <v>15</v>
      </c>
      <c r="F710" t="s">
        <v>11497</v>
      </c>
      <c r="G710" t="s">
        <v>18099</v>
      </c>
      <c r="H710" t="s">
        <v>1121</v>
      </c>
      <c r="I710" t="s">
        <v>1117</v>
      </c>
      <c r="J710" t="s">
        <v>11498</v>
      </c>
      <c r="K710" t="s">
        <v>11499</v>
      </c>
      <c r="L710" t="s">
        <v>21</v>
      </c>
      <c r="M710" t="s">
        <v>19177</v>
      </c>
      <c r="N710" t="s">
        <v>16375</v>
      </c>
      <c r="O710" t="s">
        <v>640</v>
      </c>
      <c r="P710" t="s">
        <v>623</v>
      </c>
    </row>
    <row r="711">
      <c r="A711">
        <f>HYPERLINK("http://bombeiros.sp.gov.br/hidrantes/03individual/28046.html","28046")</f>
      </c>
      <c r="B711" t="s">
        <v>623</v>
      </c>
      <c r="C711" t="s">
        <v>802</v>
      </c>
      <c r="D711" t="s">
        <v>802</v>
      </c>
      <c r="E711" t="s">
        <v>15</v>
      </c>
      <c r="F711" t="s">
        <v>18266</v>
      </c>
      <c r="G711" t="s">
        <v>18062</v>
      </c>
      <c r="H711" t="s">
        <v>1121</v>
      </c>
      <c r="I711" t="s">
        <v>1117</v>
      </c>
      <c r="J711" t="s">
        <v>18267</v>
      </c>
      <c r="K711" t="s">
        <v>18268</v>
      </c>
      <c r="L711" t="s">
        <v>21</v>
      </c>
      <c r="M711" t="s">
        <v>19177</v>
      </c>
      <c r="N711" t="s">
        <v>16375</v>
      </c>
      <c r="O711" t="s">
        <v>640</v>
      </c>
      <c r="P711" t="s">
        <v>623</v>
      </c>
    </row>
    <row r="712">
      <c r="A712">
        <f>HYPERLINK("http://bombeiros.sp.gov.br/hidrantes/03individual/27415.html","27415")</f>
      </c>
      <c r="B712" t="s">
        <v>623</v>
      </c>
      <c r="C712" t="s">
        <v>821</v>
      </c>
      <c r="D712" t="s">
        <v>822</v>
      </c>
      <c r="E712" t="s">
        <v>64</v>
      </c>
      <c r="F712" t="s">
        <v>17343</v>
      </c>
      <c r="G712" t="s">
        <v>18146</v>
      </c>
      <c r="H712" t="s">
        <v>1121</v>
      </c>
      <c r="I712" t="s">
        <v>1117</v>
      </c>
      <c r="J712" t="s">
        <v>17344</v>
      </c>
      <c r="K712" t="s">
        <v>17345</v>
      </c>
      <c r="L712" t="s">
        <v>21</v>
      </c>
      <c r="M712" t="s">
        <v>19177</v>
      </c>
      <c r="N712" t="s">
        <v>714</v>
      </c>
      <c r="O712" t="s">
        <v>10263</v>
      </c>
      <c r="P712" t="s">
        <v>12</v>
      </c>
    </row>
    <row r="713">
      <c r="A713">
        <f>HYPERLINK("http://bombeiros.sp.gov.br/hidrantes/03individual/6745.html","6745")</f>
      </c>
      <c r="B713" t="s">
        <v>623</v>
      </c>
      <c r="C713" t="s">
        <v>821</v>
      </c>
      <c r="D713" t="s">
        <v>822</v>
      </c>
      <c r="E713" t="s">
        <v>15</v>
      </c>
      <c r="F713" t="s">
        <v>11609</v>
      </c>
      <c r="G713" t="s">
        <v>18146</v>
      </c>
      <c r="H713" t="s">
        <v>1121</v>
      </c>
      <c r="I713" t="s">
        <v>1117</v>
      </c>
      <c r="J713" t="s">
        <v>11610</v>
      </c>
      <c r="K713" t="s">
        <v>11611</v>
      </c>
      <c r="L713" t="s">
        <v>21</v>
      </c>
      <c r="M713" t="s">
        <v>19177</v>
      </c>
      <c r="N713" t="s">
        <v>714</v>
      </c>
      <c r="O713" t="s">
        <v>10263</v>
      </c>
      <c r="P713" t="s">
        <v>12</v>
      </c>
    </row>
    <row r="714">
      <c r="A714">
        <f>HYPERLINK("http://bombeiros.sp.gov.br/hidrantes/03individual/1141.html","1141")</f>
      </c>
      <c r="B714" t="s">
        <v>623</v>
      </c>
      <c r="C714" t="s">
        <v>821</v>
      </c>
      <c r="D714" t="s">
        <v>821</v>
      </c>
      <c r="E714" t="s">
        <v>15</v>
      </c>
      <c r="F714" t="s">
        <v>11659</v>
      </c>
      <c r="G714" t="s">
        <v>18143</v>
      </c>
      <c r="H714" t="s">
        <v>1121</v>
      </c>
      <c r="I714" t="s">
        <v>1117</v>
      </c>
      <c r="J714" t="s">
        <v>11660</v>
      </c>
      <c r="K714" t="s">
        <v>11661</v>
      </c>
      <c r="L714" t="s">
        <v>21</v>
      </c>
      <c r="M714" t="s">
        <v>19177</v>
      </c>
      <c r="N714" t="s">
        <v>714</v>
      </c>
      <c r="O714" t="s">
        <v>10263</v>
      </c>
      <c r="P714" t="s">
        <v>12</v>
      </c>
    </row>
    <row r="715">
      <c r="A715">
        <f>HYPERLINK("http://bombeiros.sp.gov.br/hidrantes/03individual/1241.html","1241")</f>
      </c>
      <c r="B715" t="s">
        <v>623</v>
      </c>
      <c r="C715" t="s">
        <v>831</v>
      </c>
      <c r="D715" t="s">
        <v>11682</v>
      </c>
      <c r="E715" t="s">
        <v>64</v>
      </c>
      <c r="F715" t="s">
        <v>11683</v>
      </c>
      <c r="G715" t="s">
        <v>18143</v>
      </c>
      <c r="H715" t="s">
        <v>1121</v>
      </c>
      <c r="I715" t="s">
        <v>1117</v>
      </c>
      <c r="J715" t="s">
        <v>11684</v>
      </c>
      <c r="K715" t="s">
        <v>11685</v>
      </c>
      <c r="L715" t="s">
        <v>36</v>
      </c>
      <c r="M715" t="s">
        <v>19177</v>
      </c>
      <c r="N715" t="s">
        <v>16375</v>
      </c>
      <c r="O715" t="s">
        <v>640</v>
      </c>
      <c r="P715" t="s">
        <v>623</v>
      </c>
    </row>
    <row r="716">
      <c r="A716">
        <f>HYPERLINK("http://bombeiros.sp.gov.br/hidrantes/03individual/2165.html","2165")</f>
      </c>
      <c r="B716" t="s">
        <v>623</v>
      </c>
      <c r="C716" t="s">
        <v>831</v>
      </c>
      <c r="D716" t="s">
        <v>11707</v>
      </c>
      <c r="E716" t="s">
        <v>15</v>
      </c>
      <c r="F716" t="s">
        <v>11708</v>
      </c>
      <c r="G716" t="s">
        <v>18050</v>
      </c>
      <c r="H716" t="s">
        <v>1121</v>
      </c>
      <c r="I716" t="s">
        <v>1117</v>
      </c>
      <c r="J716" t="s">
        <v>11709</v>
      </c>
      <c r="K716" t="s">
        <v>11710</v>
      </c>
      <c r="L716" t="s">
        <v>21</v>
      </c>
      <c r="M716" t="s">
        <v>19177</v>
      </c>
      <c r="N716" t="s">
        <v>16375</v>
      </c>
      <c r="O716" t="s">
        <v>640</v>
      </c>
      <c r="P716" t="s">
        <v>623</v>
      </c>
    </row>
    <row r="717">
      <c r="A717">
        <f>HYPERLINK("http://bombeiros.sp.gov.br/hidrantes/03individual/4211.html","4211")</f>
      </c>
      <c r="B717" t="s">
        <v>623</v>
      </c>
      <c r="C717" t="s">
        <v>831</v>
      </c>
      <c r="D717" t="s">
        <v>11707</v>
      </c>
      <c r="E717" t="s">
        <v>15</v>
      </c>
      <c r="F717" t="s">
        <v>11714</v>
      </c>
      <c r="G717" t="s">
        <v>18050</v>
      </c>
      <c r="H717" t="s">
        <v>1121</v>
      </c>
      <c r="I717" t="s">
        <v>1117</v>
      </c>
      <c r="J717" t="s">
        <v>11715</v>
      </c>
      <c r="K717" t="s">
        <v>11716</v>
      </c>
      <c r="L717" t="s">
        <v>21</v>
      </c>
      <c r="M717" t="s">
        <v>19177</v>
      </c>
      <c r="N717" t="s">
        <v>16375</v>
      </c>
      <c r="O717" t="s">
        <v>640</v>
      </c>
      <c r="P717" t="s">
        <v>623</v>
      </c>
    </row>
    <row r="718">
      <c r="A718">
        <f>HYPERLINK("http://bombeiros.sp.gov.br/hidrantes/03individual/1379.html","1379")</f>
      </c>
      <c r="B718" t="s">
        <v>623</v>
      </c>
      <c r="C718" t="s">
        <v>831</v>
      </c>
      <c r="D718" t="s">
        <v>831</v>
      </c>
      <c r="E718" t="s">
        <v>64</v>
      </c>
      <c r="F718" t="s">
        <v>11720</v>
      </c>
      <c r="G718" t="s">
        <v>17867</v>
      </c>
      <c r="H718" t="s">
        <v>1121</v>
      </c>
      <c r="I718" t="s">
        <v>1117</v>
      </c>
      <c r="J718" t="s">
        <v>11721</v>
      </c>
      <c r="K718" t="s">
        <v>11722</v>
      </c>
      <c r="L718" t="s">
        <v>21</v>
      </c>
      <c r="M718" t="s">
        <v>19177</v>
      </c>
      <c r="N718" t="s">
        <v>16375</v>
      </c>
      <c r="O718" t="s">
        <v>640</v>
      </c>
      <c r="P718" t="s">
        <v>623</v>
      </c>
    </row>
    <row r="719">
      <c r="A719">
        <f>HYPERLINK("http://bombeiros.sp.gov.br/hidrantes/03individual/16360.html","16360")</f>
      </c>
      <c r="B719" t="s">
        <v>623</v>
      </c>
      <c r="C719" t="s">
        <v>831</v>
      </c>
      <c r="D719" t="s">
        <v>831</v>
      </c>
      <c r="E719" t="s">
        <v>64</v>
      </c>
      <c r="F719" t="s">
        <v>11723</v>
      </c>
      <c r="G719" t="s">
        <v>17860</v>
      </c>
      <c r="H719" t="s">
        <v>1121</v>
      </c>
      <c r="I719" t="s">
        <v>1117</v>
      </c>
      <c r="J719" t="s">
        <v>11724</v>
      </c>
      <c r="K719" t="s">
        <v>11725</v>
      </c>
      <c r="L719" t="s">
        <v>21</v>
      </c>
      <c r="M719" t="s">
        <v>19177</v>
      </c>
      <c r="N719" t="s">
        <v>16375</v>
      </c>
      <c r="O719" t="s">
        <v>640</v>
      </c>
      <c r="P719" t="s">
        <v>623</v>
      </c>
    </row>
    <row r="720">
      <c r="A720">
        <f>HYPERLINK("http://bombeiros.sp.gov.br/hidrantes/03individual/1228.html","1228")</f>
      </c>
      <c r="B720" t="s">
        <v>623</v>
      </c>
      <c r="C720" t="s">
        <v>831</v>
      </c>
      <c r="D720" t="s">
        <v>831</v>
      </c>
      <c r="E720" t="s">
        <v>15</v>
      </c>
      <c r="F720" t="s">
        <v>11726</v>
      </c>
      <c r="G720" t="s">
        <v>17867</v>
      </c>
      <c r="H720" t="s">
        <v>1121</v>
      </c>
      <c r="I720" t="s">
        <v>1117</v>
      </c>
      <c r="J720" t="s">
        <v>17373</v>
      </c>
      <c r="K720" t="s">
        <v>17374</v>
      </c>
      <c r="L720" t="s">
        <v>21</v>
      </c>
      <c r="M720" t="s">
        <v>19177</v>
      </c>
      <c r="N720" t="s">
        <v>16375</v>
      </c>
      <c r="O720" t="s">
        <v>640</v>
      </c>
      <c r="P720" t="s">
        <v>623</v>
      </c>
    </row>
    <row r="721">
      <c r="A721">
        <f>HYPERLINK("http://bombeiros.sp.gov.br/hidrantes/03individual/1330.html","1330")</f>
      </c>
      <c r="B721" t="s">
        <v>623</v>
      </c>
      <c r="C721" t="s">
        <v>831</v>
      </c>
      <c r="D721" t="s">
        <v>831</v>
      </c>
      <c r="E721" t="s">
        <v>15</v>
      </c>
      <c r="F721" t="s">
        <v>11732</v>
      </c>
      <c r="G721" t="s">
        <v>18051</v>
      </c>
      <c r="H721" t="s">
        <v>1121</v>
      </c>
      <c r="I721" t="s">
        <v>1117</v>
      </c>
      <c r="J721" t="s">
        <v>11733</v>
      </c>
      <c r="K721" t="s">
        <v>11734</v>
      </c>
      <c r="L721" t="s">
        <v>21</v>
      </c>
      <c r="M721" t="s">
        <v>19177</v>
      </c>
      <c r="N721" t="s">
        <v>16375</v>
      </c>
      <c r="O721" t="s">
        <v>640</v>
      </c>
      <c r="P721" t="s">
        <v>623</v>
      </c>
    </row>
    <row r="722">
      <c r="A722">
        <f>HYPERLINK("http://bombeiros.sp.gov.br/hidrantes/03individual/1388.html","1388")</f>
      </c>
      <c r="B722" t="s">
        <v>623</v>
      </c>
      <c r="C722" t="s">
        <v>831</v>
      </c>
      <c r="D722" t="s">
        <v>831</v>
      </c>
      <c r="E722" t="s">
        <v>15</v>
      </c>
      <c r="F722" t="s">
        <v>11738</v>
      </c>
      <c r="G722" t="s">
        <v>17944</v>
      </c>
      <c r="H722" t="s">
        <v>1121</v>
      </c>
      <c r="I722" t="s">
        <v>1117</v>
      </c>
      <c r="J722" t="s">
        <v>11739</v>
      </c>
      <c r="K722" t="s">
        <v>11740</v>
      </c>
      <c r="L722" t="s">
        <v>21</v>
      </c>
      <c r="M722" t="s">
        <v>19177</v>
      </c>
      <c r="N722" t="s">
        <v>16375</v>
      </c>
      <c r="O722" t="s">
        <v>640</v>
      </c>
      <c r="P722" t="s">
        <v>623</v>
      </c>
    </row>
    <row r="723">
      <c r="A723">
        <f>HYPERLINK("http://bombeiros.sp.gov.br/hidrantes/03individual/2127.html","2127")</f>
      </c>
      <c r="B723" t="s">
        <v>623</v>
      </c>
      <c r="C723" t="s">
        <v>831</v>
      </c>
      <c r="D723" t="s">
        <v>831</v>
      </c>
      <c r="E723" t="s">
        <v>15</v>
      </c>
      <c r="F723" t="s">
        <v>11745</v>
      </c>
      <c r="G723" t="s">
        <v>18046</v>
      </c>
      <c r="H723" t="s">
        <v>1121</v>
      </c>
      <c r="I723" t="s">
        <v>1117</v>
      </c>
      <c r="J723" t="s">
        <v>11746</v>
      </c>
      <c r="K723" t="s">
        <v>11747</v>
      </c>
      <c r="L723" t="s">
        <v>21</v>
      </c>
      <c r="M723" t="s">
        <v>19177</v>
      </c>
      <c r="N723" t="s">
        <v>16375</v>
      </c>
      <c r="O723" t="s">
        <v>640</v>
      </c>
      <c r="P723" t="s">
        <v>623</v>
      </c>
    </row>
    <row r="724">
      <c r="A724">
        <f>HYPERLINK("http://bombeiros.sp.gov.br/hidrantes/03individual/2210.html","2210")</f>
      </c>
      <c r="B724" t="s">
        <v>623</v>
      </c>
      <c r="C724" t="s">
        <v>831</v>
      </c>
      <c r="D724" t="s">
        <v>831</v>
      </c>
      <c r="E724" t="s">
        <v>15</v>
      </c>
      <c r="F724" t="s">
        <v>11760</v>
      </c>
      <c r="G724" t="s">
        <v>18050</v>
      </c>
      <c r="H724" t="s">
        <v>1121</v>
      </c>
      <c r="I724" t="s">
        <v>1117</v>
      </c>
      <c r="J724" t="s">
        <v>11761</v>
      </c>
      <c r="K724" t="s">
        <v>11762</v>
      </c>
      <c r="L724" t="s">
        <v>21</v>
      </c>
      <c r="M724" t="s">
        <v>19177</v>
      </c>
      <c r="N724" t="s">
        <v>16375</v>
      </c>
      <c r="O724" t="s">
        <v>640</v>
      </c>
      <c r="P724" t="s">
        <v>623</v>
      </c>
    </row>
    <row r="725">
      <c r="A725">
        <f>HYPERLINK("http://bombeiros.sp.gov.br/hidrantes/03individual/6690.html","6690")</f>
      </c>
      <c r="B725" t="s">
        <v>623</v>
      </c>
      <c r="C725" t="s">
        <v>831</v>
      </c>
      <c r="D725" t="s">
        <v>831</v>
      </c>
      <c r="E725" t="s">
        <v>15</v>
      </c>
      <c r="F725" t="s">
        <v>11769</v>
      </c>
      <c r="G725" t="s">
        <v>18051</v>
      </c>
      <c r="H725" t="s">
        <v>1121</v>
      </c>
      <c r="I725" t="s">
        <v>1117</v>
      </c>
      <c r="J725" t="s">
        <v>11770</v>
      </c>
      <c r="K725" t="s">
        <v>11771</v>
      </c>
      <c r="L725" t="s">
        <v>21</v>
      </c>
      <c r="M725" t="s">
        <v>19177</v>
      </c>
      <c r="N725" t="s">
        <v>16375</v>
      </c>
      <c r="O725" t="s">
        <v>640</v>
      </c>
      <c r="P725" t="s">
        <v>623</v>
      </c>
    </row>
    <row r="726">
      <c r="A726">
        <f>HYPERLINK("http://bombeiros.sp.gov.br/hidrantes/03individual/3918.html","3918")</f>
      </c>
      <c r="B726" t="s">
        <v>842</v>
      </c>
      <c r="C726" t="s">
        <v>11775</v>
      </c>
      <c r="D726" t="s">
        <v>11775</v>
      </c>
      <c r="E726" t="s">
        <v>64</v>
      </c>
      <c r="F726" t="s">
        <v>11776</v>
      </c>
      <c r="G726" t="s">
        <v>18164</v>
      </c>
      <c r="H726" t="s">
        <v>1121</v>
      </c>
      <c r="I726" t="s">
        <v>1117</v>
      </c>
      <c r="J726" t="s">
        <v>11777</v>
      </c>
      <c r="K726" t="s">
        <v>11778</v>
      </c>
      <c r="L726" t="s">
        <v>21</v>
      </c>
      <c r="M726" t="s">
        <v>19177</v>
      </c>
      <c r="N726" t="s">
        <v>1024</v>
      </c>
      <c r="O726" t="s">
        <v>1024</v>
      </c>
      <c r="P726" t="s">
        <v>842</v>
      </c>
    </row>
    <row r="727">
      <c r="A727">
        <f>HYPERLINK("http://bombeiros.sp.gov.br/hidrantes/03individual/2169.html","2169")</f>
      </c>
      <c r="B727" t="s">
        <v>842</v>
      </c>
      <c r="C727" t="s">
        <v>11775</v>
      </c>
      <c r="D727" t="s">
        <v>11775</v>
      </c>
      <c r="E727" t="s">
        <v>15</v>
      </c>
      <c r="F727" t="s">
        <v>11800</v>
      </c>
      <c r="G727" t="s">
        <v>18090</v>
      </c>
      <c r="H727" t="s">
        <v>1121</v>
      </c>
      <c r="I727" t="s">
        <v>1117</v>
      </c>
      <c r="J727" t="s">
        <v>11801</v>
      </c>
      <c r="K727" t="s">
        <v>11802</v>
      </c>
      <c r="L727" t="s">
        <v>21</v>
      </c>
      <c r="M727" t="s">
        <v>19177</v>
      </c>
      <c r="N727" t="s">
        <v>1024</v>
      </c>
      <c r="O727" t="s">
        <v>1024</v>
      </c>
      <c r="P727" t="s">
        <v>842</v>
      </c>
    </row>
    <row r="728">
      <c r="A728">
        <f>HYPERLINK("http://bombeiros.sp.gov.br/hidrantes/03individual/27205.html","27205")</f>
      </c>
      <c r="B728" t="s">
        <v>842</v>
      </c>
      <c r="C728" t="s">
        <v>11775</v>
      </c>
      <c r="D728" t="s">
        <v>11775</v>
      </c>
      <c r="E728" t="s">
        <v>15</v>
      </c>
      <c r="F728" t="s">
        <v>16962</v>
      </c>
      <c r="G728" t="s">
        <v>18090</v>
      </c>
      <c r="H728" t="s">
        <v>1121</v>
      </c>
      <c r="I728" t="s">
        <v>1117</v>
      </c>
      <c r="J728" t="s">
        <v>16963</v>
      </c>
      <c r="K728" t="s">
        <v>16964</v>
      </c>
      <c r="L728" t="s">
        <v>21</v>
      </c>
      <c r="M728" t="s">
        <v>19177</v>
      </c>
      <c r="N728" t="s">
        <v>1024</v>
      </c>
      <c r="O728" t="s">
        <v>1024</v>
      </c>
      <c r="P728" t="s">
        <v>842</v>
      </c>
    </row>
    <row r="729">
      <c r="A729">
        <f>HYPERLINK("http://bombeiros.sp.gov.br/hidrantes/03individual/3763.html","3763")</f>
      </c>
      <c r="B729" t="s">
        <v>842</v>
      </c>
      <c r="C729" t="s">
        <v>11775</v>
      </c>
      <c r="D729" t="s">
        <v>11822</v>
      </c>
      <c r="E729" t="s">
        <v>15</v>
      </c>
      <c r="F729" t="s">
        <v>11835</v>
      </c>
      <c r="G729" t="s">
        <v>18041</v>
      </c>
      <c r="H729" t="s">
        <v>1121</v>
      </c>
      <c r="I729" t="s">
        <v>1117</v>
      </c>
      <c r="J729" t="s">
        <v>11836</v>
      </c>
      <c r="K729" t="s">
        <v>11837</v>
      </c>
      <c r="L729" t="s">
        <v>36</v>
      </c>
      <c r="M729" t="s">
        <v>19177</v>
      </c>
      <c r="N729" t="s">
        <v>1024</v>
      </c>
      <c r="O729" t="s">
        <v>1024</v>
      </c>
      <c r="P729" t="s">
        <v>842</v>
      </c>
    </row>
    <row r="730">
      <c r="A730">
        <f>HYPERLINK("http://bombeiros.sp.gov.br/hidrantes/03individual/16608.html","16608")</f>
      </c>
      <c r="B730" t="s">
        <v>842</v>
      </c>
      <c r="C730" t="s">
        <v>11775</v>
      </c>
      <c r="D730" t="s">
        <v>11850</v>
      </c>
      <c r="E730" t="s">
        <v>64</v>
      </c>
      <c r="F730" t="s">
        <v>11851</v>
      </c>
      <c r="G730" t="s">
        <v>18200</v>
      </c>
      <c r="H730" t="s">
        <v>1121</v>
      </c>
      <c r="I730" t="s">
        <v>1117</v>
      </c>
      <c r="J730" t="s">
        <v>11852</v>
      </c>
      <c r="K730" t="s">
        <v>11853</v>
      </c>
      <c r="L730" t="s">
        <v>21</v>
      </c>
      <c r="M730" t="s">
        <v>19177</v>
      </c>
      <c r="N730" t="s">
        <v>1024</v>
      </c>
      <c r="O730" t="s">
        <v>1024</v>
      </c>
      <c r="P730" t="s">
        <v>842</v>
      </c>
    </row>
    <row r="731">
      <c r="A731">
        <f>HYPERLINK("http://bombeiros.sp.gov.br/hidrantes/03individual/3929.html","3929")</f>
      </c>
      <c r="B731" t="s">
        <v>842</v>
      </c>
      <c r="C731" t="s">
        <v>11775</v>
      </c>
      <c r="D731" t="s">
        <v>679</v>
      </c>
      <c r="E731" t="s">
        <v>64</v>
      </c>
      <c r="F731" t="s">
        <v>11902</v>
      </c>
      <c r="G731" t="s">
        <v>18093</v>
      </c>
      <c r="H731" t="s">
        <v>1121</v>
      </c>
      <c r="I731" t="s">
        <v>1117</v>
      </c>
      <c r="J731" t="s">
        <v>11903</v>
      </c>
      <c r="K731" t="s">
        <v>11904</v>
      </c>
      <c r="L731" t="s">
        <v>36</v>
      </c>
      <c r="M731" t="s">
        <v>19177</v>
      </c>
      <c r="N731" t="s">
        <v>1024</v>
      </c>
      <c r="O731" t="s">
        <v>1024</v>
      </c>
      <c r="P731" t="s">
        <v>842</v>
      </c>
    </row>
    <row r="732">
      <c r="A732">
        <f>HYPERLINK("http://bombeiros.sp.gov.br/hidrantes/03individual/3892.html","3892")</f>
      </c>
      <c r="B732" t="s">
        <v>842</v>
      </c>
      <c r="C732" t="s">
        <v>11775</v>
      </c>
      <c r="D732" t="s">
        <v>679</v>
      </c>
      <c r="E732" t="s">
        <v>15</v>
      </c>
      <c r="F732" t="s">
        <v>11932</v>
      </c>
      <c r="G732" t="s">
        <v>18164</v>
      </c>
      <c r="H732" t="s">
        <v>1121</v>
      </c>
      <c r="I732" t="s">
        <v>1117</v>
      </c>
      <c r="J732" t="s">
        <v>11933</v>
      </c>
      <c r="K732" t="s">
        <v>11934</v>
      </c>
      <c r="L732" t="s">
        <v>21</v>
      </c>
      <c r="M732" t="s">
        <v>19177</v>
      </c>
      <c r="N732" t="s">
        <v>1024</v>
      </c>
      <c r="O732" t="s">
        <v>1024</v>
      </c>
      <c r="P732" t="s">
        <v>842</v>
      </c>
    </row>
    <row r="733">
      <c r="A733">
        <f>HYPERLINK("http://bombeiros.sp.gov.br/hidrantes/03individual/3904.html","3904")</f>
      </c>
      <c r="B733" t="s">
        <v>842</v>
      </c>
      <c r="C733" t="s">
        <v>11775</v>
      </c>
      <c r="D733" t="s">
        <v>679</v>
      </c>
      <c r="E733" t="s">
        <v>15</v>
      </c>
      <c r="F733" t="s">
        <v>11935</v>
      </c>
      <c r="G733" t="s">
        <v>18089</v>
      </c>
      <c r="H733" t="s">
        <v>1121</v>
      </c>
      <c r="I733" t="s">
        <v>1117</v>
      </c>
      <c r="J733" t="s">
        <v>16218</v>
      </c>
      <c r="K733" t="s">
        <v>16219</v>
      </c>
      <c r="L733" t="s">
        <v>21</v>
      </c>
      <c r="M733" t="s">
        <v>19177</v>
      </c>
      <c r="N733" t="s">
        <v>1024</v>
      </c>
      <c r="O733" t="s">
        <v>1024</v>
      </c>
      <c r="P733" t="s">
        <v>842</v>
      </c>
    </row>
    <row r="734">
      <c r="A734">
        <f>HYPERLINK("http://bombeiros.sp.gov.br/hidrantes/03individual/27206.html","27206")</f>
      </c>
      <c r="B734" t="s">
        <v>842</v>
      </c>
      <c r="C734" t="s">
        <v>11775</v>
      </c>
      <c r="D734" t="s">
        <v>679</v>
      </c>
      <c r="E734" t="s">
        <v>15</v>
      </c>
      <c r="F734" t="s">
        <v>16965</v>
      </c>
      <c r="G734" t="s">
        <v>18214</v>
      </c>
      <c r="H734" t="s">
        <v>1121</v>
      </c>
      <c r="I734" t="s">
        <v>1117</v>
      </c>
      <c r="J734" t="s">
        <v>16966</v>
      </c>
      <c r="K734" t="s">
        <v>16967</v>
      </c>
      <c r="L734" t="s">
        <v>21</v>
      </c>
      <c r="M734" t="s">
        <v>19177</v>
      </c>
      <c r="N734" t="s">
        <v>1024</v>
      </c>
      <c r="O734" t="s">
        <v>1024</v>
      </c>
      <c r="P734" t="s">
        <v>842</v>
      </c>
    </row>
    <row r="735">
      <c r="A735">
        <f>HYPERLINK("http://bombeiros.sp.gov.br/hidrantes/03individual/17755.html","17755")</f>
      </c>
      <c r="B735" t="s">
        <v>842</v>
      </c>
      <c r="C735" t="s">
        <v>11956</v>
      </c>
      <c r="D735" t="s">
        <v>11956</v>
      </c>
      <c r="E735" t="s">
        <v>15</v>
      </c>
      <c r="F735" t="s">
        <v>11987</v>
      </c>
      <c r="G735" t="s">
        <v>18269</v>
      </c>
      <c r="H735" t="s">
        <v>1121</v>
      </c>
      <c r="I735" t="s">
        <v>1117</v>
      </c>
      <c r="J735" t="s">
        <v>11988</v>
      </c>
      <c r="K735" t="s">
        <v>11989</v>
      </c>
      <c r="L735" t="s">
        <v>21</v>
      </c>
      <c r="M735" t="s">
        <v>19177</v>
      </c>
      <c r="N735" t="s">
        <v>1024</v>
      </c>
      <c r="O735" t="s">
        <v>1024</v>
      </c>
      <c r="P735" t="s">
        <v>842</v>
      </c>
    </row>
    <row r="736">
      <c r="A736">
        <f>HYPERLINK("http://bombeiros.sp.gov.br/hidrantes/03individual/4354.html","4354")</f>
      </c>
      <c r="B736" t="s">
        <v>842</v>
      </c>
      <c r="C736" t="s">
        <v>11956</v>
      </c>
      <c r="D736" t="s">
        <v>11990</v>
      </c>
      <c r="E736" t="s">
        <v>64</v>
      </c>
      <c r="F736" t="s">
        <v>12009</v>
      </c>
      <c r="G736" t="s">
        <v>18078</v>
      </c>
      <c r="H736" t="s">
        <v>1121</v>
      </c>
      <c r="I736" t="s">
        <v>1117</v>
      </c>
      <c r="J736" t="s">
        <v>12010</v>
      </c>
      <c r="K736" t="s">
        <v>12011</v>
      </c>
      <c r="L736" t="s">
        <v>21</v>
      </c>
      <c r="M736" t="s">
        <v>19177</v>
      </c>
      <c r="N736" t="s">
        <v>1024</v>
      </c>
      <c r="O736" t="s">
        <v>1024</v>
      </c>
      <c r="P736" t="s">
        <v>842</v>
      </c>
    </row>
    <row r="737">
      <c r="A737">
        <f>HYPERLINK("http://bombeiros.sp.gov.br/hidrantes/03individual/26789.html","26789")</f>
      </c>
      <c r="B737" t="s">
        <v>842</v>
      </c>
      <c r="C737" t="s">
        <v>843</v>
      </c>
      <c r="D737" t="s">
        <v>12113</v>
      </c>
      <c r="E737" t="s">
        <v>15</v>
      </c>
      <c r="F737" t="s">
        <v>15815</v>
      </c>
      <c r="G737" t="s">
        <v>18211</v>
      </c>
      <c r="H737" t="s">
        <v>1121</v>
      </c>
      <c r="I737" t="s">
        <v>1117</v>
      </c>
      <c r="J737" t="s">
        <v>15816</v>
      </c>
      <c r="K737" t="s">
        <v>15817</v>
      </c>
      <c r="L737" t="s">
        <v>21</v>
      </c>
      <c r="M737" t="s">
        <v>19177</v>
      </c>
      <c r="N737" t="s">
        <v>848</v>
      </c>
      <c r="O737" t="s">
        <v>640</v>
      </c>
      <c r="P737" t="s">
        <v>623</v>
      </c>
    </row>
    <row r="738">
      <c r="A738">
        <f>HYPERLINK("http://bombeiros.sp.gov.br/hidrantes/03individual/4389.html","4389")</f>
      </c>
      <c r="B738" t="s">
        <v>842</v>
      </c>
      <c r="C738" t="s">
        <v>843</v>
      </c>
      <c r="D738" t="s">
        <v>844</v>
      </c>
      <c r="E738" t="s">
        <v>64</v>
      </c>
      <c r="F738" t="s">
        <v>12139</v>
      </c>
      <c r="G738" t="s">
        <v>18051</v>
      </c>
      <c r="H738" t="s">
        <v>1121</v>
      </c>
      <c r="I738" t="s">
        <v>1117</v>
      </c>
      <c r="J738" t="s">
        <v>12140</v>
      </c>
      <c r="K738" t="s">
        <v>12141</v>
      </c>
      <c r="L738" t="s">
        <v>36</v>
      </c>
      <c r="M738" t="s">
        <v>19177</v>
      </c>
      <c r="N738" t="s">
        <v>848</v>
      </c>
      <c r="O738" t="s">
        <v>640</v>
      </c>
      <c r="P738" t="s">
        <v>623</v>
      </c>
    </row>
    <row r="739">
      <c r="A739">
        <f>HYPERLINK("http://bombeiros.sp.gov.br/hidrantes/03individual/15057.html","15057")</f>
      </c>
      <c r="B739" t="s">
        <v>842</v>
      </c>
      <c r="C739" t="s">
        <v>843</v>
      </c>
      <c r="D739" t="s">
        <v>848</v>
      </c>
      <c r="E739" t="s">
        <v>64</v>
      </c>
      <c r="F739" t="s">
        <v>12154</v>
      </c>
      <c r="G739" t="s">
        <v>18051</v>
      </c>
      <c r="H739" t="s">
        <v>1121</v>
      </c>
      <c r="I739" t="s">
        <v>1117</v>
      </c>
      <c r="J739" t="s">
        <v>12155</v>
      </c>
      <c r="K739" t="s">
        <v>12156</v>
      </c>
      <c r="L739" t="s">
        <v>21</v>
      </c>
      <c r="M739" t="s">
        <v>19177</v>
      </c>
      <c r="N739" t="s">
        <v>848</v>
      </c>
      <c r="O739" t="s">
        <v>640</v>
      </c>
      <c r="P739" t="s">
        <v>623</v>
      </c>
    </row>
    <row r="740">
      <c r="A740">
        <f>HYPERLINK("http://bombeiros.sp.gov.br/hidrantes/03individual/17806.html","17806")</f>
      </c>
      <c r="B740" t="s">
        <v>842</v>
      </c>
      <c r="C740" t="s">
        <v>852</v>
      </c>
      <c r="D740" t="s">
        <v>853</v>
      </c>
      <c r="E740" t="s">
        <v>64</v>
      </c>
      <c r="F740" t="s">
        <v>12166</v>
      </c>
      <c r="G740" t="s">
        <v>17909</v>
      </c>
      <c r="H740" t="s">
        <v>1121</v>
      </c>
      <c r="I740" t="s">
        <v>1117</v>
      </c>
      <c r="J740" t="s">
        <v>12167</v>
      </c>
      <c r="K740" t="s">
        <v>12168</v>
      </c>
      <c r="L740" t="s">
        <v>21</v>
      </c>
      <c r="M740" t="s">
        <v>19177</v>
      </c>
      <c r="N740" t="s">
        <v>848</v>
      </c>
      <c r="O740" t="s">
        <v>640</v>
      </c>
      <c r="P740" t="s">
        <v>623</v>
      </c>
    </row>
    <row r="741">
      <c r="A741">
        <f>HYPERLINK("http://bombeiros.sp.gov.br/hidrantes/03individual/27245.html","27245")</f>
      </c>
      <c r="B741" t="s">
        <v>842</v>
      </c>
      <c r="C741" t="s">
        <v>852</v>
      </c>
      <c r="D741" t="s">
        <v>852</v>
      </c>
      <c r="E741" t="s">
        <v>64</v>
      </c>
      <c r="F741" t="s">
        <v>17002</v>
      </c>
      <c r="G741" t="s">
        <v>17915</v>
      </c>
      <c r="H741" t="s">
        <v>1121</v>
      </c>
      <c r="I741" t="s">
        <v>1117</v>
      </c>
      <c r="J741" t="s">
        <v>17003</v>
      </c>
      <c r="K741" t="s">
        <v>17004</v>
      </c>
      <c r="L741" t="s">
        <v>21</v>
      </c>
      <c r="M741" t="s">
        <v>19177</v>
      </c>
      <c r="N741" t="s">
        <v>848</v>
      </c>
      <c r="O741" t="s">
        <v>640</v>
      </c>
      <c r="P741" t="s">
        <v>623</v>
      </c>
    </row>
    <row r="742">
      <c r="A742">
        <f>HYPERLINK("http://bombeiros.sp.gov.br/hidrantes/03individual/4121.html","4121")</f>
      </c>
      <c r="B742" t="s">
        <v>842</v>
      </c>
      <c r="C742" t="s">
        <v>852</v>
      </c>
      <c r="D742" t="s">
        <v>866</v>
      </c>
      <c r="E742" t="s">
        <v>64</v>
      </c>
      <c r="F742" t="s">
        <v>12172</v>
      </c>
      <c r="G742" t="s">
        <v>18211</v>
      </c>
      <c r="H742" t="s">
        <v>1121</v>
      </c>
      <c r="I742" t="s">
        <v>1117</v>
      </c>
      <c r="J742" t="s">
        <v>12173</v>
      </c>
      <c r="K742" t="s">
        <v>12174</v>
      </c>
      <c r="L742" t="s">
        <v>36</v>
      </c>
      <c r="M742" t="s">
        <v>19177</v>
      </c>
      <c r="N742" t="s">
        <v>848</v>
      </c>
      <c r="O742" t="s">
        <v>640</v>
      </c>
      <c r="P742" t="s">
        <v>623</v>
      </c>
    </row>
    <row r="743">
      <c r="A743">
        <f>HYPERLINK("http://bombeiros.sp.gov.br/hidrantes/03individual/27105.html","27105")</f>
      </c>
      <c r="B743" t="s">
        <v>842</v>
      </c>
      <c r="C743" t="s">
        <v>852</v>
      </c>
      <c r="D743" t="s">
        <v>866</v>
      </c>
      <c r="E743" t="s">
        <v>64</v>
      </c>
      <c r="F743" t="s">
        <v>16769</v>
      </c>
      <c r="G743" t="s">
        <v>17909</v>
      </c>
      <c r="H743" t="s">
        <v>1121</v>
      </c>
      <c r="I743" t="s">
        <v>1117</v>
      </c>
      <c r="J743" t="s">
        <v>16770</v>
      </c>
      <c r="K743" t="s">
        <v>16771</v>
      </c>
      <c r="L743" t="s">
        <v>21</v>
      </c>
      <c r="M743" t="s">
        <v>19177</v>
      </c>
      <c r="N743" t="s">
        <v>848</v>
      </c>
      <c r="O743" t="s">
        <v>640</v>
      </c>
      <c r="P743" t="s">
        <v>623</v>
      </c>
    </row>
    <row r="744">
      <c r="A744">
        <f>HYPERLINK("http://bombeiros.sp.gov.br/hidrantes/03individual/27281.html","27281")</f>
      </c>
      <c r="B744" t="s">
        <v>842</v>
      </c>
      <c r="C744" t="s">
        <v>852</v>
      </c>
      <c r="D744" t="s">
        <v>866</v>
      </c>
      <c r="E744" t="s">
        <v>64</v>
      </c>
      <c r="F744" t="s">
        <v>17035</v>
      </c>
      <c r="G744" t="s">
        <v>17909</v>
      </c>
      <c r="H744" t="s">
        <v>1121</v>
      </c>
      <c r="I744" t="s">
        <v>1117</v>
      </c>
      <c r="J744" t="s">
        <v>17036</v>
      </c>
      <c r="K744" t="s">
        <v>17037</v>
      </c>
      <c r="L744" t="s">
        <v>21</v>
      </c>
      <c r="M744" t="s">
        <v>19177</v>
      </c>
      <c r="N744" t="s">
        <v>848</v>
      </c>
      <c r="O744" t="s">
        <v>640</v>
      </c>
      <c r="P744" t="s">
        <v>623</v>
      </c>
    </row>
    <row r="745">
      <c r="A745">
        <f>HYPERLINK("http://bombeiros.sp.gov.br/hidrantes/03individual/313.html","313")</f>
      </c>
      <c r="B745" t="s">
        <v>842</v>
      </c>
      <c r="C745" t="s">
        <v>870</v>
      </c>
      <c r="D745" t="s">
        <v>871</v>
      </c>
      <c r="E745" t="s">
        <v>15</v>
      </c>
      <c r="F745" t="s">
        <v>12187</v>
      </c>
      <c r="G745" t="s">
        <v>18182</v>
      </c>
      <c r="H745" t="s">
        <v>1121</v>
      </c>
      <c r="I745" t="s">
        <v>1117</v>
      </c>
      <c r="J745" t="s">
        <v>12188</v>
      </c>
      <c r="K745" t="s">
        <v>12189</v>
      </c>
      <c r="L745" t="s">
        <v>21</v>
      </c>
      <c r="M745" t="s">
        <v>19177</v>
      </c>
      <c r="N745" t="s">
        <v>1024</v>
      </c>
      <c r="O745" t="s">
        <v>1024</v>
      </c>
      <c r="P745" t="s">
        <v>842</v>
      </c>
    </row>
    <row r="746">
      <c r="A746">
        <f>HYPERLINK("http://bombeiros.sp.gov.br/hidrantes/03individual/17669.html","17669")</f>
      </c>
      <c r="B746" t="s">
        <v>842</v>
      </c>
      <c r="C746" t="s">
        <v>870</v>
      </c>
      <c r="D746" t="s">
        <v>871</v>
      </c>
      <c r="E746" t="s">
        <v>15</v>
      </c>
      <c r="F746" t="s">
        <v>12238</v>
      </c>
      <c r="G746" t="s">
        <v>17627</v>
      </c>
      <c r="H746" t="s">
        <v>1121</v>
      </c>
      <c r="I746" t="s">
        <v>1117</v>
      </c>
      <c r="J746" t="s">
        <v>12239</v>
      </c>
      <c r="K746" t="s">
        <v>12240</v>
      </c>
      <c r="L746" t="s">
        <v>21</v>
      </c>
      <c r="M746" t="s">
        <v>19177</v>
      </c>
      <c r="N746" t="s">
        <v>1024</v>
      </c>
      <c r="O746" t="s">
        <v>1024</v>
      </c>
      <c r="P746" t="s">
        <v>842</v>
      </c>
    </row>
    <row r="747">
      <c r="A747">
        <f>HYPERLINK("http://bombeiros.sp.gov.br/hidrantes/03individual/17849.html","17849")</f>
      </c>
      <c r="B747" t="s">
        <v>842</v>
      </c>
      <c r="C747" t="s">
        <v>870</v>
      </c>
      <c r="D747" t="s">
        <v>871</v>
      </c>
      <c r="E747" t="s">
        <v>15</v>
      </c>
      <c r="F747" t="s">
        <v>12250</v>
      </c>
      <c r="G747" t="s">
        <v>17627</v>
      </c>
      <c r="H747" t="s">
        <v>1121</v>
      </c>
      <c r="I747" t="s">
        <v>1117</v>
      </c>
      <c r="J747" t="s">
        <v>12251</v>
      </c>
      <c r="K747" t="s">
        <v>12252</v>
      </c>
      <c r="L747" t="s">
        <v>21</v>
      </c>
      <c r="M747" t="s">
        <v>19177</v>
      </c>
      <c r="N747" t="s">
        <v>1024</v>
      </c>
      <c r="O747" t="s">
        <v>1024</v>
      </c>
      <c r="P747" t="s">
        <v>842</v>
      </c>
    </row>
    <row r="748">
      <c r="A748">
        <f>HYPERLINK("http://bombeiros.sp.gov.br/hidrantes/03individual/3762.html","3762")</f>
      </c>
      <c r="B748" t="s">
        <v>842</v>
      </c>
      <c r="C748" t="s">
        <v>870</v>
      </c>
      <c r="D748" t="s">
        <v>12260</v>
      </c>
      <c r="E748" t="s">
        <v>15</v>
      </c>
      <c r="F748" t="s">
        <v>12279</v>
      </c>
      <c r="G748" t="s">
        <v>18518</v>
      </c>
      <c r="H748" t="s">
        <v>1121</v>
      </c>
      <c r="I748" t="s">
        <v>1117</v>
      </c>
      <c r="J748" t="s">
        <v>12280</v>
      </c>
      <c r="K748" t="s">
        <v>12281</v>
      </c>
      <c r="L748" t="s">
        <v>21</v>
      </c>
      <c r="M748" t="s">
        <v>19177</v>
      </c>
      <c r="N748" t="s">
        <v>1024</v>
      </c>
      <c r="O748" t="s">
        <v>1024</v>
      </c>
      <c r="P748" t="s">
        <v>842</v>
      </c>
    </row>
    <row r="749">
      <c r="A749">
        <f>HYPERLINK("http://bombeiros.sp.gov.br/hidrantes/03individual/6740.html","6740")</f>
      </c>
      <c r="B749" t="s">
        <v>842</v>
      </c>
      <c r="C749" t="s">
        <v>894</v>
      </c>
      <c r="D749" t="s">
        <v>12344</v>
      </c>
      <c r="E749" t="s">
        <v>15</v>
      </c>
      <c r="F749" t="s">
        <v>12363</v>
      </c>
      <c r="G749" t="s">
        <v>18154</v>
      </c>
      <c r="H749" t="s">
        <v>1121</v>
      </c>
      <c r="I749" t="s">
        <v>1117</v>
      </c>
      <c r="J749" t="s">
        <v>12364</v>
      </c>
      <c r="K749" t="s">
        <v>12365</v>
      </c>
      <c r="L749" t="s">
        <v>21</v>
      </c>
      <c r="M749" t="s">
        <v>19177</v>
      </c>
      <c r="N749" t="s">
        <v>16376</v>
      </c>
      <c r="O749" t="s">
        <v>16376</v>
      </c>
      <c r="P749" t="s">
        <v>842</v>
      </c>
    </row>
    <row r="750">
      <c r="A750">
        <f>HYPERLINK("http://bombeiros.sp.gov.br/hidrantes/03individual/27064.html","27064")</f>
      </c>
      <c r="B750" t="s">
        <v>842</v>
      </c>
      <c r="C750" t="s">
        <v>894</v>
      </c>
      <c r="D750" t="s">
        <v>899</v>
      </c>
      <c r="E750" t="s">
        <v>64</v>
      </c>
      <c r="F750" t="s">
        <v>16968</v>
      </c>
      <c r="G750" t="s">
        <v>18052</v>
      </c>
      <c r="H750" t="s">
        <v>1121</v>
      </c>
      <c r="I750" t="s">
        <v>1117</v>
      </c>
      <c r="J750" t="s">
        <v>16697</v>
      </c>
      <c r="K750" t="s">
        <v>16698</v>
      </c>
      <c r="L750" t="s">
        <v>21</v>
      </c>
      <c r="M750" t="s">
        <v>19177</v>
      </c>
      <c r="N750" t="s">
        <v>16376</v>
      </c>
      <c r="O750" t="s">
        <v>16376</v>
      </c>
      <c r="P750" t="s">
        <v>842</v>
      </c>
    </row>
    <row r="751">
      <c r="A751">
        <f>HYPERLINK("http://bombeiros.sp.gov.br/hidrantes/03individual/4117.html","4117")</f>
      </c>
      <c r="B751" t="s">
        <v>842</v>
      </c>
      <c r="C751" t="s">
        <v>894</v>
      </c>
      <c r="D751" t="s">
        <v>899</v>
      </c>
      <c r="E751" t="s">
        <v>15</v>
      </c>
      <c r="F751" t="s">
        <v>12387</v>
      </c>
      <c r="G751" t="s">
        <v>18056</v>
      </c>
      <c r="H751" t="s">
        <v>1121</v>
      </c>
      <c r="I751" t="s">
        <v>1117</v>
      </c>
      <c r="J751" t="s">
        <v>12388</v>
      </c>
      <c r="K751" t="s">
        <v>12389</v>
      </c>
      <c r="L751" t="s">
        <v>21</v>
      </c>
      <c r="M751" t="s">
        <v>19177</v>
      </c>
      <c r="N751" t="s">
        <v>16376</v>
      </c>
      <c r="O751" t="s">
        <v>16376</v>
      </c>
      <c r="P751" t="s">
        <v>842</v>
      </c>
    </row>
    <row r="752">
      <c r="A752">
        <f>HYPERLINK("http://bombeiros.sp.gov.br/hidrantes/03individual/4220.html","4220")</f>
      </c>
      <c r="B752" t="s">
        <v>842</v>
      </c>
      <c r="C752" t="s">
        <v>894</v>
      </c>
      <c r="D752" t="s">
        <v>899</v>
      </c>
      <c r="E752" t="s">
        <v>15</v>
      </c>
      <c r="F752" t="s">
        <v>12393</v>
      </c>
      <c r="G752" t="s">
        <v>18049</v>
      </c>
      <c r="H752" t="s">
        <v>1121</v>
      </c>
      <c r="I752" t="s">
        <v>1117</v>
      </c>
      <c r="J752" t="s">
        <v>12394</v>
      </c>
      <c r="K752" t="s">
        <v>12395</v>
      </c>
      <c r="L752" t="s">
        <v>21</v>
      </c>
      <c r="M752" t="s">
        <v>19177</v>
      </c>
      <c r="N752" t="s">
        <v>16376</v>
      </c>
      <c r="O752" t="s">
        <v>16376</v>
      </c>
      <c r="P752" t="s">
        <v>842</v>
      </c>
    </row>
    <row r="753">
      <c r="A753">
        <f>HYPERLINK("http://bombeiros.sp.gov.br/hidrantes/03individual/4115.html","4115")</f>
      </c>
      <c r="B753" t="s">
        <v>842</v>
      </c>
      <c r="C753" t="s">
        <v>894</v>
      </c>
      <c r="D753" t="s">
        <v>903</v>
      </c>
      <c r="E753" t="s">
        <v>64</v>
      </c>
      <c r="F753" t="s">
        <v>12402</v>
      </c>
      <c r="G753" t="s">
        <v>18055</v>
      </c>
      <c r="H753" t="s">
        <v>1121</v>
      </c>
      <c r="I753" t="s">
        <v>1117</v>
      </c>
      <c r="J753" t="s">
        <v>12403</v>
      </c>
      <c r="K753" t="s">
        <v>12404</v>
      </c>
      <c r="L753" t="s">
        <v>36</v>
      </c>
      <c r="M753" t="s">
        <v>19177</v>
      </c>
      <c r="N753" t="s">
        <v>16376</v>
      </c>
      <c r="O753" t="s">
        <v>16376</v>
      </c>
      <c r="P753" t="s">
        <v>842</v>
      </c>
    </row>
    <row r="754">
      <c r="A754">
        <f>HYPERLINK("http://bombeiros.sp.gov.br/hidrantes/03individual/2499.html","2499")</f>
      </c>
      <c r="B754" t="s">
        <v>842</v>
      </c>
      <c r="C754" t="s">
        <v>894</v>
      </c>
      <c r="D754" t="s">
        <v>903</v>
      </c>
      <c r="E754" t="s">
        <v>15</v>
      </c>
      <c r="F754" t="s">
        <v>12414</v>
      </c>
      <c r="G754" t="s">
        <v>18049</v>
      </c>
      <c r="H754" t="s">
        <v>1121</v>
      </c>
      <c r="I754" t="s">
        <v>1117</v>
      </c>
      <c r="J754" t="s">
        <v>12415</v>
      </c>
      <c r="K754" t="s">
        <v>12416</v>
      </c>
      <c r="L754" t="s">
        <v>21</v>
      </c>
      <c r="M754" t="s">
        <v>19177</v>
      </c>
      <c r="N754" t="s">
        <v>16376</v>
      </c>
      <c r="O754" t="s">
        <v>16376</v>
      </c>
      <c r="P754" t="s">
        <v>842</v>
      </c>
    </row>
    <row r="755">
      <c r="A755">
        <f>HYPERLINK("http://bombeiros.sp.gov.br/hidrantes/03individual/3602.html","3602")</f>
      </c>
      <c r="B755" t="s">
        <v>842</v>
      </c>
      <c r="C755" t="s">
        <v>12426</v>
      </c>
      <c r="D755" t="s">
        <v>12427</v>
      </c>
      <c r="E755" t="s">
        <v>64</v>
      </c>
      <c r="F755" t="s">
        <v>12428</v>
      </c>
      <c r="G755" t="s">
        <v>18212</v>
      </c>
      <c r="H755" t="s">
        <v>1121</v>
      </c>
      <c r="I755" t="s">
        <v>1117</v>
      </c>
      <c r="J755" t="s">
        <v>12429</v>
      </c>
      <c r="K755" t="s">
        <v>12430</v>
      </c>
      <c r="L755" t="s">
        <v>36</v>
      </c>
      <c r="M755" t="s">
        <v>19177</v>
      </c>
      <c r="N755" t="s">
        <v>97</v>
      </c>
      <c r="O755" t="s">
        <v>937</v>
      </c>
      <c r="P755" t="s">
        <v>12</v>
      </c>
    </row>
    <row r="756">
      <c r="A756">
        <f>HYPERLINK("http://bombeiros.sp.gov.br/hidrantes/03individual/3804.html","3804")</f>
      </c>
      <c r="B756" t="s">
        <v>842</v>
      </c>
      <c r="C756" t="s">
        <v>12426</v>
      </c>
      <c r="D756" t="s">
        <v>12427</v>
      </c>
      <c r="E756" t="s">
        <v>15</v>
      </c>
      <c r="F756" t="s">
        <v>12455</v>
      </c>
      <c r="G756" t="s">
        <v>18130</v>
      </c>
      <c r="H756" t="s">
        <v>1121</v>
      </c>
      <c r="I756" t="s">
        <v>1117</v>
      </c>
      <c r="J756" t="s">
        <v>12456</v>
      </c>
      <c r="K756" t="s">
        <v>12457</v>
      </c>
      <c r="L756" t="s">
        <v>21</v>
      </c>
      <c r="M756" t="s">
        <v>19177</v>
      </c>
      <c r="N756" t="s">
        <v>97</v>
      </c>
      <c r="O756" t="s">
        <v>937</v>
      </c>
      <c r="P756" t="s">
        <v>12</v>
      </c>
    </row>
    <row r="757">
      <c r="A757">
        <f>HYPERLINK("http://bombeiros.sp.gov.br/hidrantes/03individual/10031.html","10031")</f>
      </c>
      <c r="B757" t="s">
        <v>842</v>
      </c>
      <c r="C757" t="s">
        <v>12426</v>
      </c>
      <c r="D757" t="s">
        <v>12427</v>
      </c>
      <c r="E757" t="s">
        <v>15</v>
      </c>
      <c r="F757" t="s">
        <v>12473</v>
      </c>
      <c r="G757" t="s">
        <v>18055</v>
      </c>
      <c r="H757" t="s">
        <v>1121</v>
      </c>
      <c r="I757" t="s">
        <v>1117</v>
      </c>
      <c r="J757" t="s">
        <v>12474</v>
      </c>
      <c r="K757" t="s">
        <v>12475</v>
      </c>
      <c r="L757" t="s">
        <v>21</v>
      </c>
      <c r="M757" t="s">
        <v>19177</v>
      </c>
      <c r="N757" t="s">
        <v>97</v>
      </c>
      <c r="O757" t="s">
        <v>937</v>
      </c>
      <c r="P757" t="s">
        <v>12</v>
      </c>
    </row>
    <row r="758">
      <c r="A758">
        <f>HYPERLINK("http://bombeiros.sp.gov.br/hidrantes/03individual/17667.html","17667")</f>
      </c>
      <c r="B758" t="s">
        <v>842</v>
      </c>
      <c r="C758" t="s">
        <v>12426</v>
      </c>
      <c r="D758" t="s">
        <v>12427</v>
      </c>
      <c r="E758" t="s">
        <v>15</v>
      </c>
      <c r="F758" t="s">
        <v>12482</v>
      </c>
      <c r="G758" t="s">
        <v>18214</v>
      </c>
      <c r="H758" t="s">
        <v>1121</v>
      </c>
      <c r="I758" t="s">
        <v>1117</v>
      </c>
      <c r="J758" t="s">
        <v>12483</v>
      </c>
      <c r="K758" t="s">
        <v>12484</v>
      </c>
      <c r="L758" t="s">
        <v>21</v>
      </c>
      <c r="M758" t="s">
        <v>19177</v>
      </c>
      <c r="N758" t="s">
        <v>97</v>
      </c>
      <c r="O758" t="s">
        <v>937</v>
      </c>
      <c r="P758" t="s">
        <v>12</v>
      </c>
    </row>
    <row r="759">
      <c r="A759">
        <f>HYPERLINK("http://bombeiros.sp.gov.br/hidrantes/03individual/3603.html","3603")</f>
      </c>
      <c r="B759" t="s">
        <v>842</v>
      </c>
      <c r="C759" t="s">
        <v>12426</v>
      </c>
      <c r="D759" t="s">
        <v>12485</v>
      </c>
      <c r="E759" t="s">
        <v>64</v>
      </c>
      <c r="F759" t="s">
        <v>12489</v>
      </c>
      <c r="G759" t="s">
        <v>18149</v>
      </c>
      <c r="H759" t="s">
        <v>1121</v>
      </c>
      <c r="I759" t="s">
        <v>1117</v>
      </c>
      <c r="J759" t="s">
        <v>12490</v>
      </c>
      <c r="K759" t="s">
        <v>12491</v>
      </c>
      <c r="L759" t="s">
        <v>36</v>
      </c>
      <c r="M759" t="s">
        <v>19177</v>
      </c>
      <c r="N759" t="s">
        <v>97</v>
      </c>
      <c r="O759" t="s">
        <v>937</v>
      </c>
      <c r="P759" t="s">
        <v>12</v>
      </c>
    </row>
    <row r="760">
      <c r="A760">
        <f>HYPERLINK("http://bombeiros.sp.gov.br/hidrantes/03individual/27454.html","27454")</f>
      </c>
      <c r="B760" t="s">
        <v>842</v>
      </c>
      <c r="C760" t="s">
        <v>12426</v>
      </c>
      <c r="D760" t="s">
        <v>12485</v>
      </c>
      <c r="E760" t="s">
        <v>64</v>
      </c>
      <c r="F760" t="s">
        <v>17375</v>
      </c>
      <c r="G760" t="s">
        <v>18214</v>
      </c>
      <c r="H760" t="s">
        <v>1121</v>
      </c>
      <c r="I760" t="s">
        <v>1117</v>
      </c>
      <c r="J760" t="s">
        <v>17376</v>
      </c>
      <c r="K760" t="s">
        <v>17377</v>
      </c>
      <c r="L760" t="s">
        <v>21</v>
      </c>
      <c r="M760" t="s">
        <v>19177</v>
      </c>
      <c r="N760" t="s">
        <v>97</v>
      </c>
      <c r="O760" t="s">
        <v>937</v>
      </c>
      <c r="P760" t="s">
        <v>12</v>
      </c>
    </row>
    <row r="761">
      <c r="A761">
        <f>HYPERLINK("http://bombeiros.sp.gov.br/hidrantes/03individual/447.html","447")</f>
      </c>
      <c r="B761" t="s">
        <v>842</v>
      </c>
      <c r="C761" t="s">
        <v>12426</v>
      </c>
      <c r="D761" t="s">
        <v>12485</v>
      </c>
      <c r="E761" t="s">
        <v>15</v>
      </c>
      <c r="F761" t="s">
        <v>12492</v>
      </c>
      <c r="G761" t="s">
        <v>18270</v>
      </c>
      <c r="H761" t="s">
        <v>1121</v>
      </c>
      <c r="I761" t="s">
        <v>1117</v>
      </c>
      <c r="J761" t="s">
        <v>12493</v>
      </c>
      <c r="K761" t="s">
        <v>12494</v>
      </c>
      <c r="L761" t="s">
        <v>21</v>
      </c>
      <c r="M761" t="s">
        <v>19177</v>
      </c>
      <c r="N761" t="s">
        <v>97</v>
      </c>
      <c r="O761" t="s">
        <v>937</v>
      </c>
      <c r="P761" t="s">
        <v>12</v>
      </c>
    </row>
    <row r="762">
      <c r="A762">
        <f>HYPERLINK("http://bombeiros.sp.gov.br/hidrantes/03individual/3906.html","3906")</f>
      </c>
      <c r="B762" t="s">
        <v>842</v>
      </c>
      <c r="C762" t="s">
        <v>12426</v>
      </c>
      <c r="D762" t="s">
        <v>12544</v>
      </c>
      <c r="E762" t="s">
        <v>15</v>
      </c>
      <c r="F762" t="s">
        <v>12569</v>
      </c>
      <c r="G762" t="s">
        <v>18264</v>
      </c>
      <c r="H762" t="s">
        <v>1121</v>
      </c>
      <c r="I762" t="s">
        <v>1117</v>
      </c>
      <c r="J762" t="s">
        <v>12570</v>
      </c>
      <c r="K762" t="s">
        <v>12571</v>
      </c>
      <c r="L762" t="s">
        <v>21</v>
      </c>
      <c r="M762" t="s">
        <v>19177</v>
      </c>
      <c r="N762" t="s">
        <v>97</v>
      </c>
      <c r="O762" t="s">
        <v>937</v>
      </c>
      <c r="P762" t="s">
        <v>12</v>
      </c>
    </row>
    <row r="763">
      <c r="A763">
        <f>HYPERLINK("http://bombeiros.sp.gov.br/hidrantes/03individual/17666.html","17666")</f>
      </c>
      <c r="B763" t="s">
        <v>842</v>
      </c>
      <c r="C763" t="s">
        <v>12426</v>
      </c>
      <c r="D763" t="s">
        <v>12544</v>
      </c>
      <c r="E763" t="s">
        <v>15</v>
      </c>
      <c r="F763" t="s">
        <v>12575</v>
      </c>
      <c r="G763" t="s">
        <v>18167</v>
      </c>
      <c r="H763" t="s">
        <v>1121</v>
      </c>
      <c r="I763" t="s">
        <v>1117</v>
      </c>
      <c r="J763" t="s">
        <v>12576</v>
      </c>
      <c r="K763" t="s">
        <v>12577</v>
      </c>
      <c r="L763" t="s">
        <v>21</v>
      </c>
      <c r="M763" t="s">
        <v>19177</v>
      </c>
      <c r="N763" t="s">
        <v>97</v>
      </c>
      <c r="O763" t="s">
        <v>937</v>
      </c>
      <c r="P763" t="s">
        <v>12</v>
      </c>
    </row>
    <row r="764">
      <c r="A764">
        <f>HYPERLINK("http://bombeiros.sp.gov.br/hidrantes/03individual/486.html","486")</f>
      </c>
      <c r="B764" t="s">
        <v>842</v>
      </c>
      <c r="C764" t="s">
        <v>12426</v>
      </c>
      <c r="D764" t="s">
        <v>12584</v>
      </c>
      <c r="E764" t="s">
        <v>64</v>
      </c>
      <c r="F764" t="s">
        <v>12588</v>
      </c>
      <c r="G764" t="s">
        <v>18167</v>
      </c>
      <c r="H764" t="s">
        <v>1121</v>
      </c>
      <c r="I764" t="s">
        <v>1117</v>
      </c>
      <c r="J764" t="s">
        <v>12589</v>
      </c>
      <c r="K764" t="s">
        <v>12590</v>
      </c>
      <c r="L764" t="s">
        <v>21</v>
      </c>
      <c r="M764" t="s">
        <v>19177</v>
      </c>
      <c r="N764" t="s">
        <v>97</v>
      </c>
      <c r="O764" t="s">
        <v>937</v>
      </c>
      <c r="P764" t="s">
        <v>12</v>
      </c>
    </row>
    <row r="765">
      <c r="A765">
        <f>HYPERLINK("http://bombeiros.sp.gov.br/hidrantes/03individual/2490.html","2490")</f>
      </c>
      <c r="B765" t="s">
        <v>842</v>
      </c>
      <c r="C765" t="s">
        <v>907</v>
      </c>
      <c r="D765" t="s">
        <v>920</v>
      </c>
      <c r="E765" t="s">
        <v>15</v>
      </c>
      <c r="F765" t="s">
        <v>12658</v>
      </c>
      <c r="G765" t="s">
        <v>18055</v>
      </c>
      <c r="H765" t="s">
        <v>1121</v>
      </c>
      <c r="I765" t="s">
        <v>1117</v>
      </c>
      <c r="J765" t="s">
        <v>12659</v>
      </c>
      <c r="K765" t="s">
        <v>12660</v>
      </c>
      <c r="L765" t="s">
        <v>21</v>
      </c>
      <c r="M765" t="s">
        <v>19177</v>
      </c>
      <c r="N765" t="s">
        <v>16376</v>
      </c>
      <c r="O765" t="s">
        <v>16376</v>
      </c>
      <c r="P765" t="s">
        <v>842</v>
      </c>
    </row>
    <row r="766">
      <c r="A766">
        <f>HYPERLINK("http://bombeiros.sp.gov.br/hidrantes/03individual/17677.html","17677")</f>
      </c>
      <c r="B766" t="s">
        <v>842</v>
      </c>
      <c r="C766" t="s">
        <v>937</v>
      </c>
      <c r="D766" t="s">
        <v>938</v>
      </c>
      <c r="E766" t="s">
        <v>15</v>
      </c>
      <c r="F766" t="s">
        <v>12748</v>
      </c>
      <c r="G766" t="s">
        <v>18085</v>
      </c>
      <c r="H766" t="s">
        <v>1121</v>
      </c>
      <c r="I766" t="s">
        <v>1117</v>
      </c>
      <c r="J766" t="s">
        <v>12749</v>
      </c>
      <c r="K766" t="s">
        <v>12750</v>
      </c>
      <c r="L766" t="s">
        <v>21</v>
      </c>
      <c r="M766" t="s">
        <v>19177</v>
      </c>
      <c r="N766" t="s">
        <v>97</v>
      </c>
      <c r="O766" t="s">
        <v>937</v>
      </c>
      <c r="P766" t="s">
        <v>12</v>
      </c>
    </row>
    <row r="767">
      <c r="A767">
        <f>HYPERLINK("http://bombeiros.sp.gov.br/hidrantes/03individual/1872.html","1872")</f>
      </c>
      <c r="B767" t="s">
        <v>842</v>
      </c>
      <c r="C767" t="s">
        <v>937</v>
      </c>
      <c r="D767" t="s">
        <v>937</v>
      </c>
      <c r="E767" t="s">
        <v>15</v>
      </c>
      <c r="F767" t="s">
        <v>12799</v>
      </c>
      <c r="G767" t="s">
        <v>18115</v>
      </c>
      <c r="H767" t="s">
        <v>1121</v>
      </c>
      <c r="I767" t="s">
        <v>1117</v>
      </c>
      <c r="J767" t="s">
        <v>12800</v>
      </c>
      <c r="K767" t="s">
        <v>12801</v>
      </c>
      <c r="L767" t="s">
        <v>21</v>
      </c>
      <c r="M767" t="s">
        <v>19177</v>
      </c>
      <c r="N767" t="s">
        <v>97</v>
      </c>
      <c r="O767" t="s">
        <v>937</v>
      </c>
      <c r="P767" t="s">
        <v>12</v>
      </c>
    </row>
    <row r="768">
      <c r="A768">
        <f>HYPERLINK("http://bombeiros.sp.gov.br/hidrantes/03individual/2996.html","2996")</f>
      </c>
      <c r="B768" t="s">
        <v>842</v>
      </c>
      <c r="C768" t="s">
        <v>937</v>
      </c>
      <c r="D768" t="s">
        <v>12838</v>
      </c>
      <c r="E768" t="s">
        <v>64</v>
      </c>
      <c r="F768" t="s">
        <v>12839</v>
      </c>
      <c r="G768" t="s">
        <v>18130</v>
      </c>
      <c r="H768" t="s">
        <v>1121</v>
      </c>
      <c r="I768" t="s">
        <v>1117</v>
      </c>
      <c r="J768" t="s">
        <v>12840</v>
      </c>
      <c r="K768" t="s">
        <v>12841</v>
      </c>
      <c r="L768" t="s">
        <v>21</v>
      </c>
      <c r="M768" t="s">
        <v>19177</v>
      </c>
      <c r="N768" t="s">
        <v>97</v>
      </c>
      <c r="O768" t="s">
        <v>937</v>
      </c>
      <c r="P768" t="s">
        <v>12</v>
      </c>
    </row>
    <row r="769">
      <c r="A769">
        <f>HYPERLINK("http://bombeiros.sp.gov.br/hidrantes/03individual/3695.html","3695")</f>
      </c>
      <c r="B769" t="s">
        <v>842</v>
      </c>
      <c r="C769" t="s">
        <v>937</v>
      </c>
      <c r="D769" t="s">
        <v>12838</v>
      </c>
      <c r="E769" t="s">
        <v>64</v>
      </c>
      <c r="F769" t="s">
        <v>12848</v>
      </c>
      <c r="G769" t="s">
        <v>18155</v>
      </c>
      <c r="H769" t="s">
        <v>1121</v>
      </c>
      <c r="I769" t="s">
        <v>1117</v>
      </c>
      <c r="J769" t="s">
        <v>12849</v>
      </c>
      <c r="K769" t="s">
        <v>12850</v>
      </c>
      <c r="L769" t="s">
        <v>21</v>
      </c>
      <c r="M769" t="s">
        <v>19177</v>
      </c>
      <c r="N769" t="s">
        <v>97</v>
      </c>
      <c r="O769" t="s">
        <v>937</v>
      </c>
      <c r="P769" t="s">
        <v>12</v>
      </c>
    </row>
    <row r="770">
      <c r="A770">
        <f>HYPERLINK("http://bombeiros.sp.gov.br/hidrantes/03individual/3696.html","3696")</f>
      </c>
      <c r="B770" t="s">
        <v>842</v>
      </c>
      <c r="C770" t="s">
        <v>937</v>
      </c>
      <c r="D770" t="s">
        <v>12838</v>
      </c>
      <c r="E770" t="s">
        <v>64</v>
      </c>
      <c r="F770" t="s">
        <v>12851</v>
      </c>
      <c r="G770" t="s">
        <v>18110</v>
      </c>
      <c r="H770" t="s">
        <v>1121</v>
      </c>
      <c r="I770" t="s">
        <v>1117</v>
      </c>
      <c r="J770" t="s">
        <v>12852</v>
      </c>
      <c r="K770" t="s">
        <v>12853</v>
      </c>
      <c r="L770" t="s">
        <v>21</v>
      </c>
      <c r="M770" t="s">
        <v>19177</v>
      </c>
      <c r="N770" t="s">
        <v>97</v>
      </c>
      <c r="O770" t="s">
        <v>937</v>
      </c>
      <c r="P770" t="s">
        <v>12</v>
      </c>
    </row>
    <row r="771">
      <c r="A771">
        <f>HYPERLINK("http://bombeiros.sp.gov.br/hidrantes/03individual/3708.html","3708")</f>
      </c>
      <c r="B771" t="s">
        <v>842</v>
      </c>
      <c r="C771" t="s">
        <v>937</v>
      </c>
      <c r="D771" t="s">
        <v>12838</v>
      </c>
      <c r="E771" t="s">
        <v>64</v>
      </c>
      <c r="F771" t="s">
        <v>18271</v>
      </c>
      <c r="G771" t="s">
        <v>18269</v>
      </c>
      <c r="H771" t="s">
        <v>1121</v>
      </c>
      <c r="I771" t="s">
        <v>1117</v>
      </c>
      <c r="J771" t="s">
        <v>12855</v>
      </c>
      <c r="K771" t="s">
        <v>12856</v>
      </c>
      <c r="L771" t="s">
        <v>21</v>
      </c>
      <c r="M771" t="s">
        <v>19177</v>
      </c>
      <c r="N771" t="s">
        <v>97</v>
      </c>
      <c r="O771" t="s">
        <v>937</v>
      </c>
      <c r="P771" t="s">
        <v>12</v>
      </c>
    </row>
    <row r="772">
      <c r="A772">
        <f>HYPERLINK("http://bombeiros.sp.gov.br/hidrantes/03individual/82.html","82")</f>
      </c>
      <c r="B772" t="s">
        <v>842</v>
      </c>
      <c r="C772" t="s">
        <v>937</v>
      </c>
      <c r="D772" t="s">
        <v>12838</v>
      </c>
      <c r="E772" t="s">
        <v>15</v>
      </c>
      <c r="F772" t="s">
        <v>12866</v>
      </c>
      <c r="G772" t="s">
        <v>18066</v>
      </c>
      <c r="H772" t="s">
        <v>1121</v>
      </c>
      <c r="I772" t="s">
        <v>1117</v>
      </c>
      <c r="J772" t="s">
        <v>12867</v>
      </c>
      <c r="K772" t="s">
        <v>12868</v>
      </c>
      <c r="L772" t="s">
        <v>21</v>
      </c>
      <c r="M772" t="s">
        <v>19177</v>
      </c>
      <c r="N772" t="s">
        <v>97</v>
      </c>
      <c r="O772" t="s">
        <v>937</v>
      </c>
      <c r="P772" t="s">
        <v>12</v>
      </c>
    </row>
    <row r="773">
      <c r="A773">
        <f>HYPERLINK("http://bombeiros.sp.gov.br/hidrantes/03individual/3055.html","3055")</f>
      </c>
      <c r="B773" t="s">
        <v>842</v>
      </c>
      <c r="C773" t="s">
        <v>937</v>
      </c>
      <c r="D773" t="s">
        <v>12838</v>
      </c>
      <c r="E773" t="s">
        <v>15</v>
      </c>
      <c r="F773" t="s">
        <v>12878</v>
      </c>
      <c r="G773" t="s">
        <v>18130</v>
      </c>
      <c r="H773" t="s">
        <v>1121</v>
      </c>
      <c r="I773" t="s">
        <v>1117</v>
      </c>
      <c r="J773" t="s">
        <v>16562</v>
      </c>
      <c r="K773" t="s">
        <v>16563</v>
      </c>
      <c r="L773" t="s">
        <v>21</v>
      </c>
      <c r="M773" t="s">
        <v>19177</v>
      </c>
      <c r="N773" t="s">
        <v>97</v>
      </c>
      <c r="O773" t="s">
        <v>937</v>
      </c>
      <c r="P773" t="s">
        <v>12</v>
      </c>
    </row>
    <row r="774">
      <c r="A774">
        <f>HYPERLINK("http://bombeiros.sp.gov.br/hidrantes/03individual/3693.html","3693")</f>
      </c>
      <c r="B774" t="s">
        <v>842</v>
      </c>
      <c r="C774" t="s">
        <v>937</v>
      </c>
      <c r="D774" t="s">
        <v>12838</v>
      </c>
      <c r="E774" t="s">
        <v>15</v>
      </c>
      <c r="F774" t="s">
        <v>12887</v>
      </c>
      <c r="G774" t="s">
        <v>18080</v>
      </c>
      <c r="H774" t="s">
        <v>1121</v>
      </c>
      <c r="I774" t="s">
        <v>1117</v>
      </c>
      <c r="J774" t="s">
        <v>12888</v>
      </c>
      <c r="K774" t="s">
        <v>12889</v>
      </c>
      <c r="L774" t="s">
        <v>21</v>
      </c>
      <c r="M774" t="s">
        <v>19177</v>
      </c>
      <c r="N774" t="s">
        <v>97</v>
      </c>
      <c r="O774" t="s">
        <v>937</v>
      </c>
      <c r="P774" t="s">
        <v>12</v>
      </c>
    </row>
    <row r="775">
      <c r="A775">
        <f>HYPERLINK("http://bombeiros.sp.gov.br/hidrantes/03individual/3699.html","3699")</f>
      </c>
      <c r="B775" t="s">
        <v>842</v>
      </c>
      <c r="C775" t="s">
        <v>937</v>
      </c>
      <c r="D775" t="s">
        <v>12838</v>
      </c>
      <c r="E775" t="s">
        <v>15</v>
      </c>
      <c r="F775" t="s">
        <v>12890</v>
      </c>
      <c r="G775" t="s">
        <v>18130</v>
      </c>
      <c r="H775" t="s">
        <v>1121</v>
      </c>
      <c r="I775" t="s">
        <v>1117</v>
      </c>
      <c r="J775" t="s">
        <v>12891</v>
      </c>
      <c r="K775" t="s">
        <v>12892</v>
      </c>
      <c r="L775" t="s">
        <v>21</v>
      </c>
      <c r="M775" t="s">
        <v>19177</v>
      </c>
      <c r="N775" t="s">
        <v>97</v>
      </c>
      <c r="O775" t="s">
        <v>937</v>
      </c>
      <c r="P775" t="s">
        <v>12</v>
      </c>
    </row>
    <row r="776">
      <c r="A776">
        <f>HYPERLINK("http://bombeiros.sp.gov.br/hidrantes/03individual/2983.html","2983")</f>
      </c>
      <c r="B776" t="s">
        <v>842</v>
      </c>
      <c r="C776" t="s">
        <v>937</v>
      </c>
      <c r="D776" t="s">
        <v>950</v>
      </c>
      <c r="E776" t="s">
        <v>64</v>
      </c>
      <c r="F776" t="s">
        <v>12911</v>
      </c>
      <c r="G776" t="s">
        <v>18066</v>
      </c>
      <c r="H776" t="s">
        <v>1121</v>
      </c>
      <c r="I776" t="s">
        <v>1117</v>
      </c>
      <c r="J776" t="s">
        <v>12912</v>
      </c>
      <c r="K776" t="s">
        <v>12913</v>
      </c>
      <c r="L776" t="s">
        <v>21</v>
      </c>
      <c r="M776" t="s">
        <v>19177</v>
      </c>
      <c r="N776" t="s">
        <v>97</v>
      </c>
      <c r="O776" t="s">
        <v>937</v>
      </c>
      <c r="P776" t="s">
        <v>12</v>
      </c>
    </row>
    <row r="777">
      <c r="A777">
        <f>HYPERLINK("http://bombeiros.sp.gov.br/hidrantes/03individual/190.html","190")</f>
      </c>
      <c r="B777" t="s">
        <v>842</v>
      </c>
      <c r="C777" t="s">
        <v>937</v>
      </c>
      <c r="D777" t="s">
        <v>950</v>
      </c>
      <c r="E777" t="s">
        <v>15</v>
      </c>
      <c r="F777" t="s">
        <v>951</v>
      </c>
      <c r="G777" t="s">
        <v>18050</v>
      </c>
      <c r="H777" t="s">
        <v>1121</v>
      </c>
      <c r="I777" t="s">
        <v>1117</v>
      </c>
      <c r="J777" t="s">
        <v>952</v>
      </c>
      <c r="K777" t="s">
        <v>953</v>
      </c>
      <c r="L777" t="s">
        <v>21</v>
      </c>
      <c r="M777" t="s">
        <v>19177</v>
      </c>
      <c r="N777" t="s">
        <v>97</v>
      </c>
      <c r="O777" t="s">
        <v>937</v>
      </c>
      <c r="P777" t="s">
        <v>12</v>
      </c>
    </row>
    <row r="778">
      <c r="A778">
        <f>HYPERLINK("http://bombeiros.sp.gov.br/hidrantes/03individual/1767.html","1767")</f>
      </c>
      <c r="B778" t="s">
        <v>842</v>
      </c>
      <c r="C778" t="s">
        <v>937</v>
      </c>
      <c r="D778" t="s">
        <v>950</v>
      </c>
      <c r="E778" t="s">
        <v>15</v>
      </c>
      <c r="F778" t="s">
        <v>12917</v>
      </c>
      <c r="G778" t="s">
        <v>18050</v>
      </c>
      <c r="H778" t="s">
        <v>1121</v>
      </c>
      <c r="I778" t="s">
        <v>1117</v>
      </c>
      <c r="J778" t="s">
        <v>12918</v>
      </c>
      <c r="K778" t="s">
        <v>12919</v>
      </c>
      <c r="L778" t="s">
        <v>21</v>
      </c>
      <c r="M778" t="s">
        <v>19177</v>
      </c>
      <c r="N778" t="s">
        <v>97</v>
      </c>
      <c r="O778" t="s">
        <v>937</v>
      </c>
      <c r="P778" t="s">
        <v>12</v>
      </c>
    </row>
    <row r="779">
      <c r="A779">
        <f>HYPERLINK("http://bombeiros.sp.gov.br/hidrantes/03individual/1769.html","1769")</f>
      </c>
      <c r="B779" t="s">
        <v>842</v>
      </c>
      <c r="C779" t="s">
        <v>937</v>
      </c>
      <c r="D779" t="s">
        <v>950</v>
      </c>
      <c r="E779" t="s">
        <v>15</v>
      </c>
      <c r="F779" t="s">
        <v>12920</v>
      </c>
      <c r="G779" t="s">
        <v>18056</v>
      </c>
      <c r="H779" t="s">
        <v>1121</v>
      </c>
      <c r="I779" t="s">
        <v>1117</v>
      </c>
      <c r="J779" t="s">
        <v>12921</v>
      </c>
      <c r="K779" t="s">
        <v>12922</v>
      </c>
      <c r="L779" t="s">
        <v>21</v>
      </c>
      <c r="M779" t="s">
        <v>19177</v>
      </c>
      <c r="N779" t="s">
        <v>97</v>
      </c>
      <c r="O779" t="s">
        <v>937</v>
      </c>
      <c r="P779" t="s">
        <v>12</v>
      </c>
    </row>
    <row r="780">
      <c r="A780">
        <f>HYPERLINK("http://bombeiros.sp.gov.br/hidrantes/03individual/1782.html","1782")</f>
      </c>
      <c r="B780" t="s">
        <v>842</v>
      </c>
      <c r="C780" t="s">
        <v>937</v>
      </c>
      <c r="D780" t="s">
        <v>950</v>
      </c>
      <c r="E780" t="s">
        <v>15</v>
      </c>
      <c r="F780" t="s">
        <v>12923</v>
      </c>
      <c r="G780" t="s">
        <v>18066</v>
      </c>
      <c r="H780" t="s">
        <v>1121</v>
      </c>
      <c r="I780" t="s">
        <v>1117</v>
      </c>
      <c r="J780" t="s">
        <v>12924</v>
      </c>
      <c r="K780" t="s">
        <v>12925</v>
      </c>
      <c r="L780" t="s">
        <v>21</v>
      </c>
      <c r="M780" t="s">
        <v>19177</v>
      </c>
      <c r="N780" t="s">
        <v>300</v>
      </c>
      <c r="O780" t="s">
        <v>16373</v>
      </c>
      <c r="P780" t="s">
        <v>12</v>
      </c>
    </row>
    <row r="781">
      <c r="A781">
        <f>HYPERLINK("http://bombeiros.sp.gov.br/hidrantes/03individual/3014.html","3014")</f>
      </c>
      <c r="B781" t="s">
        <v>842</v>
      </c>
      <c r="C781" t="s">
        <v>937</v>
      </c>
      <c r="D781" t="s">
        <v>950</v>
      </c>
      <c r="E781" t="s">
        <v>15</v>
      </c>
      <c r="F781" t="s">
        <v>12944</v>
      </c>
      <c r="G781" t="s">
        <v>18080</v>
      </c>
      <c r="H781" t="s">
        <v>1121</v>
      </c>
      <c r="I781" t="s">
        <v>1117</v>
      </c>
      <c r="J781" t="s">
        <v>12945</v>
      </c>
      <c r="K781" t="s">
        <v>12946</v>
      </c>
      <c r="L781" t="s">
        <v>21</v>
      </c>
      <c r="M781" t="s">
        <v>19177</v>
      </c>
      <c r="N781" t="s">
        <v>97</v>
      </c>
      <c r="O781" t="s">
        <v>937</v>
      </c>
      <c r="P781" t="s">
        <v>12</v>
      </c>
    </row>
    <row r="782">
      <c r="A782">
        <f>HYPERLINK("http://bombeiros.sp.gov.br/hidrantes/03individual/3024.html","3024")</f>
      </c>
      <c r="B782" t="s">
        <v>842</v>
      </c>
      <c r="C782" t="s">
        <v>937</v>
      </c>
      <c r="D782" t="s">
        <v>950</v>
      </c>
      <c r="E782" t="s">
        <v>15</v>
      </c>
      <c r="F782" t="s">
        <v>12947</v>
      </c>
      <c r="G782" t="s">
        <v>18066</v>
      </c>
      <c r="H782" t="s">
        <v>1121</v>
      </c>
      <c r="I782" t="s">
        <v>1117</v>
      </c>
      <c r="J782" t="s">
        <v>12948</v>
      </c>
      <c r="K782" t="s">
        <v>12949</v>
      </c>
      <c r="L782" t="s">
        <v>21</v>
      </c>
      <c r="M782" t="s">
        <v>19177</v>
      </c>
      <c r="N782" t="s">
        <v>97</v>
      </c>
      <c r="O782" t="s">
        <v>937</v>
      </c>
      <c r="P782" t="s">
        <v>12</v>
      </c>
    </row>
    <row r="783">
      <c r="A783">
        <f>HYPERLINK("http://bombeiros.sp.gov.br/hidrantes/03individual/10012.html","10012")</f>
      </c>
      <c r="B783" t="s">
        <v>842</v>
      </c>
      <c r="C783" t="s">
        <v>937</v>
      </c>
      <c r="D783" t="s">
        <v>950</v>
      </c>
      <c r="E783" t="s">
        <v>15</v>
      </c>
      <c r="F783" t="s">
        <v>12950</v>
      </c>
      <c r="G783" t="s">
        <v>18066</v>
      </c>
      <c r="H783" t="s">
        <v>1121</v>
      </c>
      <c r="I783" t="s">
        <v>1117</v>
      </c>
      <c r="J783" t="s">
        <v>12951</v>
      </c>
      <c r="K783" t="s">
        <v>12952</v>
      </c>
      <c r="L783" t="s">
        <v>21</v>
      </c>
      <c r="M783" t="s">
        <v>19177</v>
      </c>
      <c r="N783" t="s">
        <v>300</v>
      </c>
      <c r="O783" t="s">
        <v>16373</v>
      </c>
      <c r="P783" t="s">
        <v>12</v>
      </c>
    </row>
    <row r="784">
      <c r="A784">
        <f>HYPERLINK("http://bombeiros.sp.gov.br/hidrantes/03individual/16469.html","16469")</f>
      </c>
      <c r="B784" t="s">
        <v>842</v>
      </c>
      <c r="C784" t="s">
        <v>937</v>
      </c>
      <c r="D784" t="s">
        <v>950</v>
      </c>
      <c r="E784" t="s">
        <v>15</v>
      </c>
      <c r="F784" t="s">
        <v>16335</v>
      </c>
      <c r="G784" t="s">
        <v>18046</v>
      </c>
      <c r="H784" t="s">
        <v>1121</v>
      </c>
      <c r="I784" t="s">
        <v>1117</v>
      </c>
      <c r="J784" t="s">
        <v>15657</v>
      </c>
      <c r="K784" t="s">
        <v>15658</v>
      </c>
      <c r="L784" t="s">
        <v>21</v>
      </c>
      <c r="M784" t="s">
        <v>19177</v>
      </c>
      <c r="N784" t="s">
        <v>300</v>
      </c>
      <c r="O784" t="s">
        <v>16373</v>
      </c>
      <c r="P784" t="s">
        <v>12</v>
      </c>
    </row>
    <row r="785">
      <c r="A785">
        <f>HYPERLINK("http://bombeiros.sp.gov.br/hidrantes/03individual/150.html","150")</f>
      </c>
      <c r="B785" t="s">
        <v>842</v>
      </c>
      <c r="C785" t="s">
        <v>937</v>
      </c>
      <c r="D785" t="s">
        <v>12965</v>
      </c>
      <c r="E785" t="s">
        <v>15</v>
      </c>
      <c r="F785" t="s">
        <v>12981</v>
      </c>
      <c r="G785" t="s">
        <v>18169</v>
      </c>
      <c r="H785" t="s">
        <v>1121</v>
      </c>
      <c r="I785" t="s">
        <v>1117</v>
      </c>
      <c r="J785" t="s">
        <v>12982</v>
      </c>
      <c r="K785" t="s">
        <v>12983</v>
      </c>
      <c r="L785" t="s">
        <v>21</v>
      </c>
      <c r="M785" t="s">
        <v>19177</v>
      </c>
      <c r="N785" t="s">
        <v>97</v>
      </c>
      <c r="O785" t="s">
        <v>937</v>
      </c>
      <c r="P785" t="s">
        <v>12</v>
      </c>
    </row>
    <row r="786">
      <c r="A786">
        <f>HYPERLINK("http://bombeiros.sp.gov.br/hidrantes/03individual/218.html","218")</f>
      </c>
      <c r="B786" t="s">
        <v>842</v>
      </c>
      <c r="C786" t="s">
        <v>937</v>
      </c>
      <c r="D786" t="s">
        <v>12965</v>
      </c>
      <c r="E786" t="s">
        <v>15</v>
      </c>
      <c r="F786" t="s">
        <v>12987</v>
      </c>
      <c r="G786" t="s">
        <v>18056</v>
      </c>
      <c r="H786" t="s">
        <v>1121</v>
      </c>
      <c r="I786" t="s">
        <v>1117</v>
      </c>
      <c r="J786" t="s">
        <v>12988</v>
      </c>
      <c r="K786" t="s">
        <v>12989</v>
      </c>
      <c r="L786" t="s">
        <v>21</v>
      </c>
      <c r="M786" t="s">
        <v>19177</v>
      </c>
      <c r="N786" t="s">
        <v>97</v>
      </c>
      <c r="O786" t="s">
        <v>937</v>
      </c>
      <c r="P786" t="s">
        <v>12</v>
      </c>
    </row>
    <row r="787">
      <c r="A787">
        <f>HYPERLINK("http://bombeiros.sp.gov.br/hidrantes/03individual/188.html","188")</f>
      </c>
      <c r="B787" t="s">
        <v>842</v>
      </c>
      <c r="C787" t="s">
        <v>937</v>
      </c>
      <c r="D787" t="s">
        <v>960</v>
      </c>
      <c r="E787" t="s">
        <v>15</v>
      </c>
      <c r="F787" t="s">
        <v>13026</v>
      </c>
      <c r="G787" t="s">
        <v>18085</v>
      </c>
      <c r="H787" t="s">
        <v>1121</v>
      </c>
      <c r="I787" t="s">
        <v>1117</v>
      </c>
      <c r="J787" t="s">
        <v>13027</v>
      </c>
      <c r="K787" t="s">
        <v>13028</v>
      </c>
      <c r="L787" t="s">
        <v>21</v>
      </c>
      <c r="M787" t="s">
        <v>19177</v>
      </c>
      <c r="N787" t="s">
        <v>97</v>
      </c>
      <c r="O787" t="s">
        <v>937</v>
      </c>
      <c r="P787" t="s">
        <v>12</v>
      </c>
    </row>
    <row r="788">
      <c r="A788">
        <f>HYPERLINK("http://bombeiros.sp.gov.br/hidrantes/03individual/4176.html","4176")</f>
      </c>
      <c r="B788" t="s">
        <v>842</v>
      </c>
      <c r="C788" t="s">
        <v>937</v>
      </c>
      <c r="D788" t="s">
        <v>960</v>
      </c>
      <c r="E788" t="s">
        <v>15</v>
      </c>
      <c r="F788" t="s">
        <v>13071</v>
      </c>
      <c r="G788" t="s">
        <v>18047</v>
      </c>
      <c r="H788" t="s">
        <v>1121</v>
      </c>
      <c r="I788" t="s">
        <v>1117</v>
      </c>
      <c r="J788" t="s">
        <v>13072</v>
      </c>
      <c r="K788" t="s">
        <v>13073</v>
      </c>
      <c r="L788" t="s">
        <v>21</v>
      </c>
      <c r="M788" t="s">
        <v>19177</v>
      </c>
      <c r="N788" t="s">
        <v>97</v>
      </c>
      <c r="O788" t="s">
        <v>937</v>
      </c>
      <c r="P788" t="s">
        <v>12</v>
      </c>
    </row>
    <row r="789">
      <c r="A789">
        <f>HYPERLINK("http://bombeiros.sp.gov.br/hidrantes/03individual/26807.html","26807")</f>
      </c>
      <c r="B789" t="s">
        <v>842</v>
      </c>
      <c r="C789" t="s">
        <v>937</v>
      </c>
      <c r="D789" t="s">
        <v>960</v>
      </c>
      <c r="E789" t="s">
        <v>15</v>
      </c>
      <c r="F789" t="s">
        <v>15927</v>
      </c>
      <c r="G789" t="s">
        <v>18172</v>
      </c>
      <c r="H789" t="s">
        <v>1121</v>
      </c>
      <c r="I789" t="s">
        <v>1117</v>
      </c>
      <c r="J789" t="s">
        <v>15928</v>
      </c>
      <c r="K789" t="s">
        <v>15929</v>
      </c>
      <c r="L789" t="s">
        <v>21</v>
      </c>
      <c r="M789" t="s">
        <v>19177</v>
      </c>
      <c r="N789" t="s">
        <v>97</v>
      </c>
      <c r="O789" t="s">
        <v>937</v>
      </c>
      <c r="P789" t="s">
        <v>12</v>
      </c>
    </row>
    <row r="790">
      <c r="A790">
        <f>HYPERLINK("http://bombeiros.sp.gov.br/hidrantes/03individual/341.html","341")</f>
      </c>
      <c r="B790" t="s">
        <v>842</v>
      </c>
      <c r="C790" t="s">
        <v>964</v>
      </c>
      <c r="D790" t="s">
        <v>965</v>
      </c>
      <c r="E790" t="s">
        <v>15</v>
      </c>
      <c r="F790" t="s">
        <v>13083</v>
      </c>
      <c r="G790" t="s">
        <v>18145</v>
      </c>
      <c r="H790" t="s">
        <v>1121</v>
      </c>
      <c r="I790" t="s">
        <v>1117</v>
      </c>
      <c r="J790" t="s">
        <v>13084</v>
      </c>
      <c r="K790" t="s">
        <v>13085</v>
      </c>
      <c r="L790" t="s">
        <v>36</v>
      </c>
      <c r="M790" t="s">
        <v>19177</v>
      </c>
      <c r="N790" t="s">
        <v>1024</v>
      </c>
      <c r="O790" t="s">
        <v>1024</v>
      </c>
      <c r="P790" t="s">
        <v>842</v>
      </c>
    </row>
    <row r="791">
      <c r="A791">
        <f>HYPERLINK("http://bombeiros.sp.gov.br/hidrantes/03individual/467.html","467")</f>
      </c>
      <c r="B791" t="s">
        <v>842</v>
      </c>
      <c r="C791" t="s">
        <v>964</v>
      </c>
      <c r="D791" t="s">
        <v>965</v>
      </c>
      <c r="E791" t="s">
        <v>15</v>
      </c>
      <c r="F791" t="s">
        <v>13098</v>
      </c>
      <c r="G791" t="s">
        <v>18042</v>
      </c>
      <c r="H791" t="s">
        <v>1121</v>
      </c>
      <c r="I791" t="s">
        <v>1117</v>
      </c>
      <c r="J791" t="s">
        <v>13099</v>
      </c>
      <c r="K791" t="s">
        <v>13100</v>
      </c>
      <c r="L791" t="s">
        <v>21</v>
      </c>
      <c r="M791" t="s">
        <v>19177</v>
      </c>
      <c r="N791" t="s">
        <v>1024</v>
      </c>
      <c r="O791" t="s">
        <v>1024</v>
      </c>
      <c r="P791" t="s">
        <v>842</v>
      </c>
    </row>
    <row r="792">
      <c r="A792">
        <f>HYPERLINK("http://bombeiros.sp.gov.br/hidrantes/03individual/3840.html","3840")</f>
      </c>
      <c r="B792" t="s">
        <v>842</v>
      </c>
      <c r="C792" t="s">
        <v>964</v>
      </c>
      <c r="D792" t="s">
        <v>965</v>
      </c>
      <c r="E792" t="s">
        <v>15</v>
      </c>
      <c r="F792" t="s">
        <v>13110</v>
      </c>
      <c r="G792" t="s">
        <v>18042</v>
      </c>
      <c r="H792" t="s">
        <v>1121</v>
      </c>
      <c r="I792" t="s">
        <v>1117</v>
      </c>
      <c r="J792" t="s">
        <v>13111</v>
      </c>
      <c r="K792" t="s">
        <v>13112</v>
      </c>
      <c r="L792" t="s">
        <v>21</v>
      </c>
      <c r="M792" t="s">
        <v>19177</v>
      </c>
      <c r="N792" t="s">
        <v>1024</v>
      </c>
      <c r="O792" t="s">
        <v>1024</v>
      </c>
      <c r="P792" t="s">
        <v>842</v>
      </c>
    </row>
    <row r="793">
      <c r="A793">
        <f>HYPERLINK("http://bombeiros.sp.gov.br/hidrantes/03individual/4373.html","4373")</f>
      </c>
      <c r="B793" t="s">
        <v>842</v>
      </c>
      <c r="C793" t="s">
        <v>964</v>
      </c>
      <c r="D793" t="s">
        <v>964</v>
      </c>
      <c r="E793" t="s">
        <v>64</v>
      </c>
      <c r="F793" t="s">
        <v>13144</v>
      </c>
      <c r="G793" t="s">
        <v>18145</v>
      </c>
      <c r="H793" t="s">
        <v>1121</v>
      </c>
      <c r="I793" t="s">
        <v>1117</v>
      </c>
      <c r="J793" t="s">
        <v>13145</v>
      </c>
      <c r="K793" t="s">
        <v>13146</v>
      </c>
      <c r="L793" t="s">
        <v>36</v>
      </c>
      <c r="M793" t="s">
        <v>19177</v>
      </c>
      <c r="N793" t="s">
        <v>1024</v>
      </c>
      <c r="O793" t="s">
        <v>1024</v>
      </c>
      <c r="P793" t="s">
        <v>842</v>
      </c>
    </row>
    <row r="794">
      <c r="A794">
        <f>HYPERLINK("http://bombeiros.sp.gov.br/hidrantes/03individual/3773.html","3773")</f>
      </c>
      <c r="B794" t="s">
        <v>842</v>
      </c>
      <c r="C794" t="s">
        <v>964</v>
      </c>
      <c r="D794" t="s">
        <v>13219</v>
      </c>
      <c r="E794" t="s">
        <v>64</v>
      </c>
      <c r="F794" t="s">
        <v>13223</v>
      </c>
      <c r="G794" t="s">
        <v>18089</v>
      </c>
      <c r="H794" t="s">
        <v>1121</v>
      </c>
      <c r="I794" t="s">
        <v>1117</v>
      </c>
      <c r="J794" t="s">
        <v>13224</v>
      </c>
      <c r="K794" t="s">
        <v>13225</v>
      </c>
      <c r="L794" t="s">
        <v>21</v>
      </c>
      <c r="M794" t="s">
        <v>19177</v>
      </c>
      <c r="N794" t="s">
        <v>1024</v>
      </c>
      <c r="O794" t="s">
        <v>1024</v>
      </c>
      <c r="P794" t="s">
        <v>842</v>
      </c>
    </row>
    <row r="795">
      <c r="A795">
        <f>HYPERLINK("http://bombeiros.sp.gov.br/hidrantes/03individual/16622.html","16622")</f>
      </c>
      <c r="B795" t="s">
        <v>842</v>
      </c>
      <c r="C795" t="s">
        <v>964</v>
      </c>
      <c r="D795" t="s">
        <v>13219</v>
      </c>
      <c r="E795" t="s">
        <v>15</v>
      </c>
      <c r="F795" t="s">
        <v>13280</v>
      </c>
      <c r="G795" t="s">
        <v>18123</v>
      </c>
      <c r="H795" t="s">
        <v>1121</v>
      </c>
      <c r="I795" t="s">
        <v>1117</v>
      </c>
      <c r="J795" t="s">
        <v>13281</v>
      </c>
      <c r="K795" t="s">
        <v>13282</v>
      </c>
      <c r="L795" t="s">
        <v>21</v>
      </c>
      <c r="M795" t="s">
        <v>19177</v>
      </c>
      <c r="N795" t="s">
        <v>1024</v>
      </c>
      <c r="O795" t="s">
        <v>1024</v>
      </c>
      <c r="P795" t="s">
        <v>842</v>
      </c>
    </row>
    <row r="796">
      <c r="A796">
        <f>HYPERLINK("http://bombeiros.sp.gov.br/hidrantes/03individual/496.html","496")</f>
      </c>
      <c r="B796" t="s">
        <v>842</v>
      </c>
      <c r="C796" t="s">
        <v>964</v>
      </c>
      <c r="D796" t="s">
        <v>13292</v>
      </c>
      <c r="E796" t="s">
        <v>15</v>
      </c>
      <c r="F796" t="s">
        <v>13323</v>
      </c>
      <c r="G796" t="s">
        <v>18531</v>
      </c>
      <c r="H796" t="s">
        <v>1121</v>
      </c>
      <c r="I796" t="s">
        <v>1108</v>
      </c>
      <c r="J796" t="s">
        <v>17405</v>
      </c>
      <c r="K796" t="s">
        <v>17406</v>
      </c>
      <c r="L796" t="s">
        <v>21</v>
      </c>
      <c r="M796" t="s">
        <v>19177</v>
      </c>
      <c r="N796" t="s">
        <v>1024</v>
      </c>
      <c r="O796" t="s">
        <v>1024</v>
      </c>
      <c r="P796" t="s">
        <v>842</v>
      </c>
    </row>
    <row r="797">
      <c r="A797">
        <f>HYPERLINK("http://bombeiros.sp.gov.br/hidrantes/03individual/17803.html","17803")</f>
      </c>
      <c r="B797" t="s">
        <v>842</v>
      </c>
      <c r="C797" t="s">
        <v>975</v>
      </c>
      <c r="D797" t="s">
        <v>13362</v>
      </c>
      <c r="E797" t="s">
        <v>64</v>
      </c>
      <c r="F797" t="s">
        <v>13363</v>
      </c>
      <c r="G797" t="s">
        <v>17909</v>
      </c>
      <c r="H797" t="s">
        <v>1121</v>
      </c>
      <c r="I797" t="s">
        <v>1117</v>
      </c>
      <c r="J797" t="s">
        <v>13364</v>
      </c>
      <c r="K797" t="s">
        <v>13365</v>
      </c>
      <c r="L797" t="s">
        <v>21</v>
      </c>
      <c r="M797" t="s">
        <v>19177</v>
      </c>
      <c r="N797" t="s">
        <v>843</v>
      </c>
      <c r="O797" t="s">
        <v>987</v>
      </c>
      <c r="P797" t="s">
        <v>842</v>
      </c>
    </row>
    <row r="798">
      <c r="A798">
        <f>HYPERLINK("http://bombeiros.sp.gov.br/hidrantes/03individual/26913.html","26913")</f>
      </c>
      <c r="B798" t="s">
        <v>842</v>
      </c>
      <c r="C798" t="s">
        <v>975</v>
      </c>
      <c r="D798" t="s">
        <v>16384</v>
      </c>
      <c r="E798" t="s">
        <v>15</v>
      </c>
      <c r="F798" t="s">
        <v>16385</v>
      </c>
      <c r="G798" t="s">
        <v>17909</v>
      </c>
      <c r="H798" t="s">
        <v>1121</v>
      </c>
      <c r="I798" t="s">
        <v>1117</v>
      </c>
      <c r="J798" t="s">
        <v>16386</v>
      </c>
      <c r="K798" t="s">
        <v>16387</v>
      </c>
      <c r="L798" t="s">
        <v>21</v>
      </c>
      <c r="M798" t="s">
        <v>19177</v>
      </c>
      <c r="N798" t="s">
        <v>843</v>
      </c>
      <c r="O798" t="s">
        <v>987</v>
      </c>
      <c r="P798" t="s">
        <v>842</v>
      </c>
    </row>
    <row r="799">
      <c r="A799">
        <f>HYPERLINK("http://bombeiros.sp.gov.br/hidrantes/03individual/4134.html","4134")</f>
      </c>
      <c r="B799" t="s">
        <v>842</v>
      </c>
      <c r="C799" t="s">
        <v>979</v>
      </c>
      <c r="D799" t="s">
        <v>980</v>
      </c>
      <c r="E799" t="s">
        <v>64</v>
      </c>
      <c r="F799" t="s">
        <v>13382</v>
      </c>
      <c r="G799" t="s">
        <v>17921</v>
      </c>
      <c r="H799" t="s">
        <v>1121</v>
      </c>
      <c r="I799" t="s">
        <v>1117</v>
      </c>
      <c r="J799" t="s">
        <v>13383</v>
      </c>
      <c r="K799" t="s">
        <v>13384</v>
      </c>
      <c r="L799" t="s">
        <v>36</v>
      </c>
      <c r="M799" t="s">
        <v>19177</v>
      </c>
      <c r="N799" t="s">
        <v>843</v>
      </c>
      <c r="O799" t="s">
        <v>987</v>
      </c>
      <c r="P799" t="s">
        <v>842</v>
      </c>
    </row>
    <row r="800">
      <c r="A800">
        <f>HYPERLINK("http://bombeiros.sp.gov.br/hidrantes/03individual/2459.html","2459")</f>
      </c>
      <c r="B800" t="s">
        <v>842</v>
      </c>
      <c r="C800" t="s">
        <v>979</v>
      </c>
      <c r="D800" t="s">
        <v>980</v>
      </c>
      <c r="E800" t="s">
        <v>15</v>
      </c>
      <c r="F800" t="s">
        <v>13400</v>
      </c>
      <c r="G800" t="s">
        <v>17921</v>
      </c>
      <c r="H800" t="s">
        <v>1121</v>
      </c>
      <c r="I800" t="s">
        <v>1117</v>
      </c>
      <c r="J800" t="s">
        <v>13401</v>
      </c>
      <c r="K800" t="s">
        <v>13402</v>
      </c>
      <c r="L800" t="s">
        <v>21</v>
      </c>
      <c r="M800" t="s">
        <v>19177</v>
      </c>
      <c r="N800" t="s">
        <v>843</v>
      </c>
      <c r="O800" t="s">
        <v>987</v>
      </c>
      <c r="P800" t="s">
        <v>842</v>
      </c>
    </row>
    <row r="801">
      <c r="A801">
        <f>HYPERLINK("http://bombeiros.sp.gov.br/hidrantes/03individual/4402.html","4402")</f>
      </c>
      <c r="B801" t="s">
        <v>842</v>
      </c>
      <c r="C801" t="s">
        <v>979</v>
      </c>
      <c r="D801" t="s">
        <v>987</v>
      </c>
      <c r="E801" t="s">
        <v>64</v>
      </c>
      <c r="F801" t="s">
        <v>13412</v>
      </c>
      <c r="G801" t="s">
        <v>17911</v>
      </c>
      <c r="H801" t="s">
        <v>1121</v>
      </c>
      <c r="I801" t="s">
        <v>1117</v>
      </c>
      <c r="J801" t="s">
        <v>13413</v>
      </c>
      <c r="K801" t="s">
        <v>13414</v>
      </c>
      <c r="L801" t="s">
        <v>36</v>
      </c>
      <c r="M801" t="s">
        <v>19177</v>
      </c>
      <c r="N801" t="s">
        <v>843</v>
      </c>
      <c r="O801" t="s">
        <v>987</v>
      </c>
      <c r="P801" t="s">
        <v>842</v>
      </c>
    </row>
    <row r="802">
      <c r="A802">
        <f>HYPERLINK("http://bombeiros.sp.gov.br/hidrantes/03individual/2347.html","2347")</f>
      </c>
      <c r="B802" t="s">
        <v>842</v>
      </c>
      <c r="C802" t="s">
        <v>979</v>
      </c>
      <c r="D802" t="s">
        <v>987</v>
      </c>
      <c r="E802" t="s">
        <v>15</v>
      </c>
      <c r="F802" t="s">
        <v>988</v>
      </c>
      <c r="G802" t="s">
        <v>17911</v>
      </c>
      <c r="H802" t="s">
        <v>1121</v>
      </c>
      <c r="I802" t="s">
        <v>1117</v>
      </c>
      <c r="J802" t="s">
        <v>990</v>
      </c>
      <c r="K802" t="s">
        <v>991</v>
      </c>
      <c r="L802" t="s">
        <v>21</v>
      </c>
      <c r="M802" t="s">
        <v>19177</v>
      </c>
      <c r="N802" t="s">
        <v>843</v>
      </c>
      <c r="O802" t="s">
        <v>987</v>
      </c>
      <c r="P802" t="s">
        <v>842</v>
      </c>
    </row>
    <row r="803">
      <c r="A803">
        <f>HYPERLINK("http://bombeiros.sp.gov.br/hidrantes/03individual/4405.html","4405")</f>
      </c>
      <c r="B803" t="s">
        <v>842</v>
      </c>
      <c r="C803" t="s">
        <v>979</v>
      </c>
      <c r="D803" t="s">
        <v>987</v>
      </c>
      <c r="E803" t="s">
        <v>15</v>
      </c>
      <c r="F803" t="s">
        <v>13418</v>
      </c>
      <c r="G803" t="s">
        <v>17911</v>
      </c>
      <c r="H803" t="s">
        <v>1121</v>
      </c>
      <c r="I803" t="s">
        <v>1117</v>
      </c>
      <c r="J803" t="s">
        <v>13419</v>
      </c>
      <c r="K803" t="s">
        <v>13420</v>
      </c>
      <c r="L803" t="s">
        <v>21</v>
      </c>
      <c r="M803" t="s">
        <v>19177</v>
      </c>
      <c r="N803" t="s">
        <v>843</v>
      </c>
      <c r="O803" t="s">
        <v>987</v>
      </c>
      <c r="P803" t="s">
        <v>842</v>
      </c>
    </row>
    <row r="804">
      <c r="A804">
        <f>HYPERLINK("http://bombeiros.sp.gov.br/hidrantes/03individual/27404.html","27404")</f>
      </c>
      <c r="B804" t="s">
        <v>842</v>
      </c>
      <c r="C804" t="s">
        <v>979</v>
      </c>
      <c r="D804" t="s">
        <v>979</v>
      </c>
      <c r="E804" t="s">
        <v>64</v>
      </c>
      <c r="F804" t="s">
        <v>17378</v>
      </c>
      <c r="G804" t="s">
        <v>17921</v>
      </c>
      <c r="H804" t="s">
        <v>1121</v>
      </c>
      <c r="I804" t="s">
        <v>1117</v>
      </c>
      <c r="J804" t="s">
        <v>17379</v>
      </c>
      <c r="K804" t="s">
        <v>17380</v>
      </c>
      <c r="L804" t="s">
        <v>21</v>
      </c>
      <c r="M804" t="s">
        <v>19177</v>
      </c>
      <c r="N804" t="s">
        <v>848</v>
      </c>
      <c r="O804" t="s">
        <v>640</v>
      </c>
      <c r="P804" t="s">
        <v>623</v>
      </c>
    </row>
    <row r="805">
      <c r="A805">
        <f>HYPERLINK("http://bombeiros.sp.gov.br/hidrantes/03individual/2502.html","2502")</f>
      </c>
      <c r="B805" t="s">
        <v>842</v>
      </c>
      <c r="C805" t="s">
        <v>979</v>
      </c>
      <c r="D805" t="s">
        <v>979</v>
      </c>
      <c r="E805" t="s">
        <v>15</v>
      </c>
      <c r="F805" t="s">
        <v>13430</v>
      </c>
      <c r="G805" t="s">
        <v>18211</v>
      </c>
      <c r="H805" t="s">
        <v>1121</v>
      </c>
      <c r="I805" t="s">
        <v>1117</v>
      </c>
      <c r="J805" t="s">
        <v>13431</v>
      </c>
      <c r="K805" t="s">
        <v>13432</v>
      </c>
      <c r="L805" t="s">
        <v>21</v>
      </c>
      <c r="M805" t="s">
        <v>19177</v>
      </c>
      <c r="N805" t="s">
        <v>843</v>
      </c>
      <c r="O805" t="s">
        <v>987</v>
      </c>
      <c r="P805" t="s">
        <v>842</v>
      </c>
    </row>
    <row r="806">
      <c r="A806">
        <f>HYPERLINK("http://bombeiros.sp.gov.br/hidrantes/03individual/4109.html","4109")</f>
      </c>
      <c r="B806" t="s">
        <v>842</v>
      </c>
      <c r="C806" t="s">
        <v>979</v>
      </c>
      <c r="D806" t="s">
        <v>979</v>
      </c>
      <c r="E806" t="s">
        <v>15</v>
      </c>
      <c r="F806" t="s">
        <v>13440</v>
      </c>
      <c r="G806" t="s">
        <v>18211</v>
      </c>
      <c r="H806" t="s">
        <v>1121</v>
      </c>
      <c r="I806" t="s">
        <v>1117</v>
      </c>
      <c r="J806" t="s">
        <v>13441</v>
      </c>
      <c r="K806" t="s">
        <v>13442</v>
      </c>
      <c r="L806" t="s">
        <v>21</v>
      </c>
      <c r="M806" t="s">
        <v>19177</v>
      </c>
      <c r="N806" t="s">
        <v>848</v>
      </c>
      <c r="O806" t="s">
        <v>640</v>
      </c>
      <c r="P806" t="s">
        <v>623</v>
      </c>
    </row>
    <row r="807">
      <c r="A807">
        <f>HYPERLINK("http://bombeiros.sp.gov.br/hidrantes/03individual/4111.html","4111")</f>
      </c>
      <c r="B807" t="s">
        <v>842</v>
      </c>
      <c r="C807" t="s">
        <v>979</v>
      </c>
      <c r="D807" t="s">
        <v>979</v>
      </c>
      <c r="E807" t="s">
        <v>15</v>
      </c>
      <c r="F807" t="s">
        <v>13443</v>
      </c>
      <c r="G807" t="s">
        <v>17921</v>
      </c>
      <c r="H807" t="s">
        <v>1121</v>
      </c>
      <c r="I807" t="s">
        <v>1117</v>
      </c>
      <c r="J807" t="s">
        <v>13444</v>
      </c>
      <c r="K807" t="s">
        <v>13445</v>
      </c>
      <c r="L807" t="s">
        <v>21</v>
      </c>
      <c r="M807" t="s">
        <v>19177</v>
      </c>
      <c r="N807" t="s">
        <v>843</v>
      </c>
      <c r="O807" t="s">
        <v>987</v>
      </c>
      <c r="P807" t="s">
        <v>842</v>
      </c>
    </row>
    <row r="808">
      <c r="A808">
        <f>HYPERLINK("http://bombeiros.sp.gov.br/hidrantes/03individual/3783.html","3783")</f>
      </c>
      <c r="B808" t="s">
        <v>842</v>
      </c>
      <c r="C808" t="s">
        <v>996</v>
      </c>
      <c r="D808" t="s">
        <v>13449</v>
      </c>
      <c r="E808" t="s">
        <v>64</v>
      </c>
      <c r="F808" t="s">
        <v>13456</v>
      </c>
      <c r="G808" t="s">
        <v>18544</v>
      </c>
      <c r="H808" t="s">
        <v>1121</v>
      </c>
      <c r="I808" t="s">
        <v>1117</v>
      </c>
      <c r="J808" t="s">
        <v>13457</v>
      </c>
      <c r="K808" t="s">
        <v>13458</v>
      </c>
      <c r="L808" t="s">
        <v>36</v>
      </c>
      <c r="M808" t="s">
        <v>19177</v>
      </c>
      <c r="N808" t="s">
        <v>714</v>
      </c>
      <c r="O808" t="s">
        <v>10263</v>
      </c>
      <c r="P808" t="s">
        <v>12</v>
      </c>
    </row>
    <row r="809">
      <c r="A809">
        <f>HYPERLINK("http://bombeiros.sp.gov.br/hidrantes/03individual/14930.html","14930")</f>
      </c>
      <c r="B809" t="s">
        <v>842</v>
      </c>
      <c r="C809" t="s">
        <v>996</v>
      </c>
      <c r="D809" t="s">
        <v>13449</v>
      </c>
      <c r="E809" t="s">
        <v>64</v>
      </c>
      <c r="F809" t="s">
        <v>13463</v>
      </c>
      <c r="G809" t="s">
        <v>18131</v>
      </c>
      <c r="H809" t="s">
        <v>1121</v>
      </c>
      <c r="I809" t="s">
        <v>1117</v>
      </c>
      <c r="J809" t="s">
        <v>13464</v>
      </c>
      <c r="K809" t="s">
        <v>13465</v>
      </c>
      <c r="L809" t="s">
        <v>21</v>
      </c>
      <c r="M809" t="s">
        <v>19177</v>
      </c>
      <c r="N809" t="s">
        <v>714</v>
      </c>
      <c r="O809" t="s">
        <v>10263</v>
      </c>
      <c r="P809" t="s">
        <v>12</v>
      </c>
    </row>
    <row r="810">
      <c r="A810">
        <f>HYPERLINK("http://bombeiros.sp.gov.br/hidrantes/03individual/27286.html","27286")</f>
      </c>
      <c r="B810" t="s">
        <v>842</v>
      </c>
      <c r="C810" t="s">
        <v>996</v>
      </c>
      <c r="D810" t="s">
        <v>997</v>
      </c>
      <c r="E810" t="s">
        <v>64</v>
      </c>
      <c r="F810" t="s">
        <v>17054</v>
      </c>
      <c r="G810" t="s">
        <v>18167</v>
      </c>
      <c r="H810" t="s">
        <v>1121</v>
      </c>
      <c r="I810" t="s">
        <v>1117</v>
      </c>
      <c r="J810" t="s">
        <v>17055</v>
      </c>
      <c r="K810" t="s">
        <v>17056</v>
      </c>
      <c r="L810" t="s">
        <v>21</v>
      </c>
      <c r="M810" t="s">
        <v>19177</v>
      </c>
      <c r="N810" t="s">
        <v>714</v>
      </c>
      <c r="O810" t="s">
        <v>10263</v>
      </c>
      <c r="P810" t="s">
        <v>12</v>
      </c>
    </row>
    <row r="811">
      <c r="A811">
        <f>HYPERLINK("http://bombeiros.sp.gov.br/hidrantes/03individual/27288.html","27288")</f>
      </c>
      <c r="B811" t="s">
        <v>842</v>
      </c>
      <c r="C811" t="s">
        <v>996</v>
      </c>
      <c r="D811" t="s">
        <v>997</v>
      </c>
      <c r="E811" t="s">
        <v>15</v>
      </c>
      <c r="F811" t="s">
        <v>17060</v>
      </c>
      <c r="G811" t="s">
        <v>18178</v>
      </c>
      <c r="H811" t="s">
        <v>1121</v>
      </c>
      <c r="I811" t="s">
        <v>1117</v>
      </c>
      <c r="J811" t="s">
        <v>17061</v>
      </c>
      <c r="K811" t="s">
        <v>17062</v>
      </c>
      <c r="L811" t="s">
        <v>21</v>
      </c>
      <c r="M811" t="s">
        <v>19177</v>
      </c>
      <c r="N811" t="s">
        <v>714</v>
      </c>
      <c r="O811" t="s">
        <v>10263</v>
      </c>
      <c r="P811" t="s">
        <v>12</v>
      </c>
    </row>
    <row r="812">
      <c r="A812">
        <f>HYPERLINK("http://bombeiros.sp.gov.br/hidrantes/03individual/434.html","434")</f>
      </c>
      <c r="B812" t="s">
        <v>842</v>
      </c>
      <c r="C812" t="s">
        <v>996</v>
      </c>
      <c r="D812" t="s">
        <v>996</v>
      </c>
      <c r="E812" t="s">
        <v>15</v>
      </c>
      <c r="F812" t="s">
        <v>13523</v>
      </c>
      <c r="G812" t="s">
        <v>18563</v>
      </c>
      <c r="H812" t="s">
        <v>1121</v>
      </c>
      <c r="I812" t="s">
        <v>1117</v>
      </c>
      <c r="J812" t="s">
        <v>13524</v>
      </c>
      <c r="K812" t="s">
        <v>13525</v>
      </c>
      <c r="L812" t="s">
        <v>21</v>
      </c>
      <c r="M812" t="s">
        <v>19177</v>
      </c>
      <c r="N812" t="s">
        <v>714</v>
      </c>
      <c r="O812" t="s">
        <v>10263</v>
      </c>
      <c r="P812" t="s">
        <v>12</v>
      </c>
    </row>
    <row r="813">
      <c r="A813">
        <f>HYPERLINK("http://bombeiros.sp.gov.br/hidrantes/03individual/3990.html","3990")</f>
      </c>
      <c r="B813" t="s">
        <v>842</v>
      </c>
      <c r="C813" t="s">
        <v>996</v>
      </c>
      <c r="D813" t="s">
        <v>996</v>
      </c>
      <c r="E813" t="s">
        <v>15</v>
      </c>
      <c r="F813" t="s">
        <v>13535</v>
      </c>
      <c r="G813" t="s">
        <v>17925</v>
      </c>
      <c r="H813" t="s">
        <v>1121</v>
      </c>
      <c r="I813" t="s">
        <v>1117</v>
      </c>
      <c r="J813" t="s">
        <v>13536</v>
      </c>
      <c r="K813" t="s">
        <v>13537</v>
      </c>
      <c r="L813" t="s">
        <v>21</v>
      </c>
      <c r="M813" t="s">
        <v>19177</v>
      </c>
      <c r="N813" t="s">
        <v>714</v>
      </c>
      <c r="O813" t="s">
        <v>10263</v>
      </c>
      <c r="P813" t="s">
        <v>12</v>
      </c>
    </row>
    <row r="814">
      <c r="A814">
        <f>HYPERLINK("http://bombeiros.sp.gov.br/hidrantes/03individual/3994.html","3994")</f>
      </c>
      <c r="B814" t="s">
        <v>842</v>
      </c>
      <c r="C814" t="s">
        <v>996</v>
      </c>
      <c r="D814" t="s">
        <v>996</v>
      </c>
      <c r="E814" t="s">
        <v>15</v>
      </c>
      <c r="F814" t="s">
        <v>13538</v>
      </c>
      <c r="G814" t="s">
        <v>18208</v>
      </c>
      <c r="H814" t="s">
        <v>1121</v>
      </c>
      <c r="I814" t="s">
        <v>1117</v>
      </c>
      <c r="J814" t="s">
        <v>13539</v>
      </c>
      <c r="K814" t="s">
        <v>13540</v>
      </c>
      <c r="L814" t="s">
        <v>21</v>
      </c>
      <c r="M814" t="s">
        <v>19177</v>
      </c>
      <c r="N814" t="s">
        <v>714</v>
      </c>
      <c r="O814" t="s">
        <v>10263</v>
      </c>
      <c r="P814" t="s">
        <v>12</v>
      </c>
    </row>
    <row r="815">
      <c r="A815">
        <f>HYPERLINK("http://bombeiros.sp.gov.br/hidrantes/03individual/4006.html","4006")</f>
      </c>
      <c r="B815" t="s">
        <v>842</v>
      </c>
      <c r="C815" t="s">
        <v>996</v>
      </c>
      <c r="D815" t="s">
        <v>996</v>
      </c>
      <c r="E815" t="s">
        <v>15</v>
      </c>
      <c r="F815" t="s">
        <v>13544</v>
      </c>
      <c r="G815" t="s">
        <v>18563</v>
      </c>
      <c r="H815" t="s">
        <v>1121</v>
      </c>
      <c r="I815" t="s">
        <v>1117</v>
      </c>
      <c r="J815" t="s">
        <v>13545</v>
      </c>
      <c r="K815" t="s">
        <v>13546</v>
      </c>
      <c r="L815" t="s">
        <v>36</v>
      </c>
      <c r="M815" t="s">
        <v>19177</v>
      </c>
      <c r="N815" t="s">
        <v>714</v>
      </c>
      <c r="O815" t="s">
        <v>10263</v>
      </c>
      <c r="P815" t="s">
        <v>12</v>
      </c>
    </row>
    <row r="816">
      <c r="A816">
        <f>HYPERLINK("http://bombeiros.sp.gov.br/hidrantes/03individual/1698.html","1698")</f>
      </c>
      <c r="B816" t="s">
        <v>842</v>
      </c>
      <c r="C816" t="s">
        <v>996</v>
      </c>
      <c r="D816" t="s">
        <v>1002</v>
      </c>
      <c r="E816" t="s">
        <v>15</v>
      </c>
      <c r="F816" t="s">
        <v>13559</v>
      </c>
      <c r="G816" t="s">
        <v>17921</v>
      </c>
      <c r="H816" t="s">
        <v>1121</v>
      </c>
      <c r="I816" t="s">
        <v>1117</v>
      </c>
      <c r="J816" t="s">
        <v>13560</v>
      </c>
      <c r="K816" t="s">
        <v>13561</v>
      </c>
      <c r="L816" t="s">
        <v>21</v>
      </c>
      <c r="M816" t="s">
        <v>19177</v>
      </c>
      <c r="N816" t="s">
        <v>714</v>
      </c>
      <c r="O816" t="s">
        <v>10263</v>
      </c>
      <c r="P816" t="s">
        <v>12</v>
      </c>
    </row>
    <row r="817">
      <c r="A817">
        <f>HYPERLINK("http://bombeiros.sp.gov.br/hidrantes/03individual/1704.html","1704")</f>
      </c>
      <c r="B817" t="s">
        <v>842</v>
      </c>
      <c r="C817" t="s">
        <v>996</v>
      </c>
      <c r="D817" t="s">
        <v>1002</v>
      </c>
      <c r="E817" t="s">
        <v>15</v>
      </c>
      <c r="F817" t="s">
        <v>13562</v>
      </c>
      <c r="G817" t="s">
        <v>17921</v>
      </c>
      <c r="H817" t="s">
        <v>1121</v>
      </c>
      <c r="I817" t="s">
        <v>1117</v>
      </c>
      <c r="J817" t="s">
        <v>13565</v>
      </c>
      <c r="K817" t="s">
        <v>13566</v>
      </c>
      <c r="L817" t="s">
        <v>21</v>
      </c>
      <c r="M817" t="s">
        <v>19177</v>
      </c>
      <c r="N817" t="s">
        <v>714</v>
      </c>
      <c r="O817" t="s">
        <v>10263</v>
      </c>
      <c r="P817" t="s">
        <v>12</v>
      </c>
    </row>
    <row r="818">
      <c r="A818">
        <f>HYPERLINK("http://bombeiros.sp.gov.br/hidrantes/03individual/1705.html","1705")</f>
      </c>
      <c r="B818" t="s">
        <v>842</v>
      </c>
      <c r="C818" t="s">
        <v>996</v>
      </c>
      <c r="D818" t="s">
        <v>1002</v>
      </c>
      <c r="E818" t="s">
        <v>15</v>
      </c>
      <c r="F818" t="s">
        <v>13567</v>
      </c>
      <c r="G818" t="s">
        <v>17921</v>
      </c>
      <c r="H818" t="s">
        <v>1121</v>
      </c>
      <c r="I818" t="s">
        <v>1117</v>
      </c>
      <c r="J818" t="s">
        <v>13568</v>
      </c>
      <c r="K818" t="s">
        <v>13569</v>
      </c>
      <c r="L818" t="s">
        <v>21</v>
      </c>
      <c r="M818" t="s">
        <v>19177</v>
      </c>
      <c r="N818" t="s">
        <v>714</v>
      </c>
      <c r="O818" t="s">
        <v>10263</v>
      </c>
      <c r="P818" t="s">
        <v>12</v>
      </c>
    </row>
    <row r="819">
      <c r="A819">
        <f>HYPERLINK("http://bombeiros.sp.gov.br/hidrantes/03individual/1708.html","1708")</f>
      </c>
      <c r="B819" t="s">
        <v>842</v>
      </c>
      <c r="C819" t="s">
        <v>996</v>
      </c>
      <c r="D819" t="s">
        <v>1002</v>
      </c>
      <c r="E819" t="s">
        <v>15</v>
      </c>
      <c r="F819" t="s">
        <v>1003</v>
      </c>
      <c r="G819" t="s">
        <v>17921</v>
      </c>
      <c r="H819" t="s">
        <v>1121</v>
      </c>
      <c r="I819" t="s">
        <v>1117</v>
      </c>
      <c r="J819" t="s">
        <v>1004</v>
      </c>
      <c r="K819" t="s">
        <v>1005</v>
      </c>
      <c r="L819" t="s">
        <v>21</v>
      </c>
      <c r="M819" t="s">
        <v>19177</v>
      </c>
      <c r="N819" t="s">
        <v>714</v>
      </c>
      <c r="O819" t="s">
        <v>10263</v>
      </c>
      <c r="P819" t="s">
        <v>12</v>
      </c>
    </row>
    <row r="820">
      <c r="A820">
        <f>HYPERLINK("http://bombeiros.sp.gov.br/hidrantes/03individual/1763.html","1763")</f>
      </c>
      <c r="B820" t="s">
        <v>842</v>
      </c>
      <c r="C820" t="s">
        <v>996</v>
      </c>
      <c r="D820" t="s">
        <v>1002</v>
      </c>
      <c r="E820" t="s">
        <v>15</v>
      </c>
      <c r="F820" t="s">
        <v>13573</v>
      </c>
      <c r="G820" t="s">
        <v>17924</v>
      </c>
      <c r="H820" t="s">
        <v>1121</v>
      </c>
      <c r="I820" t="s">
        <v>1117</v>
      </c>
      <c r="J820" t="s">
        <v>13574</v>
      </c>
      <c r="K820" t="s">
        <v>13575</v>
      </c>
      <c r="L820" t="s">
        <v>21</v>
      </c>
      <c r="M820" t="s">
        <v>19177</v>
      </c>
      <c r="N820" t="s">
        <v>714</v>
      </c>
      <c r="O820" t="s">
        <v>10263</v>
      </c>
      <c r="P820" t="s">
        <v>12</v>
      </c>
    </row>
    <row r="821">
      <c r="A821">
        <f>HYPERLINK("http://bombeiros.sp.gov.br/hidrantes/03individual/6693.html","6693")</f>
      </c>
      <c r="B821" t="s">
        <v>842</v>
      </c>
      <c r="C821" t="s">
        <v>996</v>
      </c>
      <c r="D821" t="s">
        <v>1002</v>
      </c>
      <c r="E821" t="s">
        <v>15</v>
      </c>
      <c r="F821" t="s">
        <v>13597</v>
      </c>
      <c r="G821" t="s">
        <v>17921</v>
      </c>
      <c r="H821" t="s">
        <v>1121</v>
      </c>
      <c r="I821" t="s">
        <v>1117</v>
      </c>
      <c r="J821" t="s">
        <v>13598</v>
      </c>
      <c r="K821" t="s">
        <v>13599</v>
      </c>
      <c r="L821" t="s">
        <v>21</v>
      </c>
      <c r="M821" t="s">
        <v>19177</v>
      </c>
      <c r="N821" t="s">
        <v>714</v>
      </c>
      <c r="O821" t="s">
        <v>10263</v>
      </c>
      <c r="P821" t="s">
        <v>12</v>
      </c>
    </row>
    <row r="822">
      <c r="A822">
        <f>HYPERLINK("http://bombeiros.sp.gov.br/hidrantes/03individual/6696.html","6696")</f>
      </c>
      <c r="B822" t="s">
        <v>842</v>
      </c>
      <c r="C822" t="s">
        <v>996</v>
      </c>
      <c r="D822" t="s">
        <v>1002</v>
      </c>
      <c r="E822" t="s">
        <v>15</v>
      </c>
      <c r="F822" t="s">
        <v>13606</v>
      </c>
      <c r="G822" t="s">
        <v>17921</v>
      </c>
      <c r="H822" t="s">
        <v>1121</v>
      </c>
      <c r="I822" t="s">
        <v>1117</v>
      </c>
      <c r="J822" t="s">
        <v>13607</v>
      </c>
      <c r="K822" t="s">
        <v>13608</v>
      </c>
      <c r="L822" t="s">
        <v>21</v>
      </c>
      <c r="M822" t="s">
        <v>19177</v>
      </c>
      <c r="N822" t="s">
        <v>714</v>
      </c>
      <c r="O822" t="s">
        <v>10263</v>
      </c>
      <c r="P822" t="s">
        <v>12</v>
      </c>
    </row>
    <row r="823">
      <c r="A823">
        <f>HYPERLINK("http://bombeiros.sp.gov.br/hidrantes/03individual/6697.html","6697")</f>
      </c>
      <c r="B823" t="s">
        <v>842</v>
      </c>
      <c r="C823" t="s">
        <v>996</v>
      </c>
      <c r="D823" t="s">
        <v>1002</v>
      </c>
      <c r="E823" t="s">
        <v>15</v>
      </c>
      <c r="F823" t="s">
        <v>13609</v>
      </c>
      <c r="G823" t="s">
        <v>17921</v>
      </c>
      <c r="H823" t="s">
        <v>1121</v>
      </c>
      <c r="I823" t="s">
        <v>1117</v>
      </c>
      <c r="J823" t="s">
        <v>13610</v>
      </c>
      <c r="K823" t="s">
        <v>13611</v>
      </c>
      <c r="L823" t="s">
        <v>21</v>
      </c>
      <c r="M823" t="s">
        <v>19177</v>
      </c>
      <c r="N823" t="s">
        <v>714</v>
      </c>
      <c r="O823" t="s">
        <v>10263</v>
      </c>
      <c r="P823" t="s">
        <v>12</v>
      </c>
    </row>
    <row r="824">
      <c r="A824">
        <f>HYPERLINK("http://bombeiros.sp.gov.br/hidrantes/03individual/2214.html","2214")</f>
      </c>
      <c r="B824" t="s">
        <v>842</v>
      </c>
      <c r="C824" t="s">
        <v>996</v>
      </c>
      <c r="D824" t="s">
        <v>13630</v>
      </c>
      <c r="E824" t="s">
        <v>15</v>
      </c>
      <c r="F824" t="s">
        <v>13640</v>
      </c>
      <c r="G824" t="s">
        <v>18131</v>
      </c>
      <c r="H824" t="s">
        <v>1121</v>
      </c>
      <c r="I824" t="s">
        <v>1117</v>
      </c>
      <c r="J824" t="s">
        <v>13641</v>
      </c>
      <c r="K824" t="s">
        <v>13642</v>
      </c>
      <c r="L824" t="s">
        <v>21</v>
      </c>
      <c r="M824" t="s">
        <v>19177</v>
      </c>
      <c r="N824" t="s">
        <v>714</v>
      </c>
      <c r="O824" t="s">
        <v>10263</v>
      </c>
      <c r="P824" t="s">
        <v>12</v>
      </c>
    </row>
    <row r="825">
      <c r="A825">
        <f>HYPERLINK("http://bombeiros.sp.gov.br/hidrantes/03individual/2227.html","2227")</f>
      </c>
      <c r="B825" t="s">
        <v>842</v>
      </c>
      <c r="C825" t="s">
        <v>996</v>
      </c>
      <c r="D825" t="s">
        <v>13630</v>
      </c>
      <c r="E825" t="s">
        <v>15</v>
      </c>
      <c r="F825" t="s">
        <v>13643</v>
      </c>
      <c r="G825" t="s">
        <v>18208</v>
      </c>
      <c r="H825" t="s">
        <v>1121</v>
      </c>
      <c r="I825" t="s">
        <v>1117</v>
      </c>
      <c r="J825" t="s">
        <v>13644</v>
      </c>
      <c r="K825" t="s">
        <v>13645</v>
      </c>
      <c r="L825" t="s">
        <v>21</v>
      </c>
      <c r="M825" t="s">
        <v>19177</v>
      </c>
      <c r="N825" t="s">
        <v>714</v>
      </c>
      <c r="O825" t="s">
        <v>10263</v>
      </c>
      <c r="P825" t="s">
        <v>12</v>
      </c>
    </row>
    <row r="826">
      <c r="A826">
        <f>HYPERLINK("http://bombeiros.sp.gov.br/hidrantes/03individual/1726.html","1726")</f>
      </c>
      <c r="B826" t="s">
        <v>842</v>
      </c>
      <c r="C826" t="s">
        <v>996</v>
      </c>
      <c r="D826" t="s">
        <v>13655</v>
      </c>
      <c r="E826" t="s">
        <v>64</v>
      </c>
      <c r="F826" t="s">
        <v>13659</v>
      </c>
      <c r="G826" t="s">
        <v>18131</v>
      </c>
      <c r="H826" t="s">
        <v>1121</v>
      </c>
      <c r="I826" t="s">
        <v>1117</v>
      </c>
      <c r="J826" t="s">
        <v>13660</v>
      </c>
      <c r="K826" t="s">
        <v>13661</v>
      </c>
      <c r="L826" t="s">
        <v>36</v>
      </c>
      <c r="M826" t="s">
        <v>19177</v>
      </c>
      <c r="N826" t="s">
        <v>714</v>
      </c>
      <c r="O826" t="s">
        <v>10263</v>
      </c>
      <c r="P826" t="s">
        <v>12</v>
      </c>
    </row>
    <row r="827">
      <c r="A827">
        <f>HYPERLINK("http://bombeiros.sp.gov.br/hidrantes/03individual/1736.html","1736")</f>
      </c>
      <c r="B827" t="s">
        <v>842</v>
      </c>
      <c r="C827" t="s">
        <v>996</v>
      </c>
      <c r="D827" t="s">
        <v>13655</v>
      </c>
      <c r="E827" t="s">
        <v>15</v>
      </c>
      <c r="F827" t="s">
        <v>13662</v>
      </c>
      <c r="G827" t="s">
        <v>17939</v>
      </c>
      <c r="H827" t="s">
        <v>1121</v>
      </c>
      <c r="I827" t="s">
        <v>1117</v>
      </c>
      <c r="J827" t="s">
        <v>13663</v>
      </c>
      <c r="K827" t="s">
        <v>13664</v>
      </c>
      <c r="L827" t="s">
        <v>21</v>
      </c>
      <c r="M827" t="s">
        <v>19177</v>
      </c>
      <c r="N827" t="s">
        <v>714</v>
      </c>
      <c r="O827" t="s">
        <v>10263</v>
      </c>
      <c r="P827" t="s">
        <v>12</v>
      </c>
    </row>
    <row r="828">
      <c r="A828">
        <f>HYPERLINK("http://bombeiros.sp.gov.br/hidrantes/03individual/27200.html","27200")</f>
      </c>
      <c r="B828" t="s">
        <v>842</v>
      </c>
      <c r="C828" t="s">
        <v>996</v>
      </c>
      <c r="D828" t="s">
        <v>13655</v>
      </c>
      <c r="E828" t="s">
        <v>15</v>
      </c>
      <c r="F828" t="s">
        <v>16969</v>
      </c>
      <c r="G828" t="s">
        <v>17945</v>
      </c>
      <c r="H828" t="s">
        <v>1121</v>
      </c>
      <c r="I828" t="s">
        <v>1117</v>
      </c>
      <c r="J828" t="s">
        <v>16970</v>
      </c>
      <c r="K828" t="s">
        <v>16971</v>
      </c>
      <c r="L828" t="s">
        <v>21</v>
      </c>
      <c r="M828" t="s">
        <v>19177</v>
      </c>
      <c r="N828" t="s">
        <v>714</v>
      </c>
      <c r="O828" t="s">
        <v>10263</v>
      </c>
      <c r="P828" t="s">
        <v>12</v>
      </c>
    </row>
    <row r="829">
      <c r="A829">
        <f>HYPERLINK("http://bombeiros.sp.gov.br/hidrantes/03individual/27211.html","27211")</f>
      </c>
      <c r="B829" t="s">
        <v>842</v>
      </c>
      <c r="C829" t="s">
        <v>996</v>
      </c>
      <c r="D829" t="s">
        <v>13655</v>
      </c>
      <c r="E829" t="s">
        <v>15</v>
      </c>
      <c r="F829" t="s">
        <v>16975</v>
      </c>
      <c r="G829" t="s">
        <v>17945</v>
      </c>
      <c r="H829" t="s">
        <v>1121</v>
      </c>
      <c r="I829" t="s">
        <v>1117</v>
      </c>
      <c r="J829" t="s">
        <v>16976</v>
      </c>
      <c r="K829" t="s">
        <v>16977</v>
      </c>
      <c r="L829" t="s">
        <v>21</v>
      </c>
      <c r="M829" t="s">
        <v>19177</v>
      </c>
      <c r="N829" t="s">
        <v>714</v>
      </c>
      <c r="O829" t="s">
        <v>10263</v>
      </c>
      <c r="P829" t="s">
        <v>12</v>
      </c>
    </row>
    <row r="830">
      <c r="A830">
        <f>HYPERLINK("http://bombeiros.sp.gov.br/hidrantes/03individual/27335.html","27335")</f>
      </c>
      <c r="B830" t="s">
        <v>842</v>
      </c>
      <c r="C830" t="s">
        <v>13671</v>
      </c>
      <c r="D830" t="s">
        <v>13671</v>
      </c>
      <c r="E830" t="s">
        <v>64</v>
      </c>
      <c r="F830" t="s">
        <v>17169</v>
      </c>
      <c r="G830" t="s">
        <v>18272</v>
      </c>
      <c r="H830" t="s">
        <v>1121</v>
      </c>
      <c r="I830" t="s">
        <v>1117</v>
      </c>
      <c r="J830" t="s">
        <v>17170</v>
      </c>
      <c r="K830" t="s">
        <v>17171</v>
      </c>
      <c r="L830" t="s">
        <v>21</v>
      </c>
      <c r="M830" t="s">
        <v>19177</v>
      </c>
      <c r="N830" t="s">
        <v>16376</v>
      </c>
      <c r="O830" t="s">
        <v>16376</v>
      </c>
      <c r="P830" t="s">
        <v>842</v>
      </c>
    </row>
    <row r="831">
      <c r="A831">
        <f>HYPERLINK("http://bombeiros.sp.gov.br/hidrantes/03individual/27336.html","27336")</f>
      </c>
      <c r="B831" t="s">
        <v>842</v>
      </c>
      <c r="C831" t="s">
        <v>13671</v>
      </c>
      <c r="D831" t="s">
        <v>13671</v>
      </c>
      <c r="E831" t="s">
        <v>64</v>
      </c>
      <c r="F831" t="s">
        <v>17172</v>
      </c>
      <c r="G831" t="s">
        <v>18050</v>
      </c>
      <c r="H831" t="s">
        <v>1121</v>
      </c>
      <c r="I831" t="s">
        <v>1117</v>
      </c>
      <c r="J831" t="s">
        <v>17173</v>
      </c>
      <c r="K831" t="s">
        <v>17174</v>
      </c>
      <c r="L831" t="s">
        <v>21</v>
      </c>
      <c r="M831" t="s">
        <v>19177</v>
      </c>
      <c r="N831" t="s">
        <v>16376</v>
      </c>
      <c r="O831" t="s">
        <v>16376</v>
      </c>
      <c r="P831" t="s">
        <v>842</v>
      </c>
    </row>
    <row r="832">
      <c r="A832">
        <f>HYPERLINK("http://bombeiros.sp.gov.br/hidrantes/03individual/28280.html","28280")</f>
      </c>
      <c r="B832" t="s">
        <v>842</v>
      </c>
      <c r="C832" t="s">
        <v>13671</v>
      </c>
      <c r="D832" t="s">
        <v>13671</v>
      </c>
      <c r="E832" t="s">
        <v>64</v>
      </c>
      <c r="F832" t="s">
        <v>18489</v>
      </c>
      <c r="G832" t="s">
        <v>18534</v>
      </c>
      <c r="H832" t="s">
        <v>1121</v>
      </c>
      <c r="I832" t="s">
        <v>1117</v>
      </c>
      <c r="J832" t="s">
        <v>18490</v>
      </c>
      <c r="K832" t="s">
        <v>18491</v>
      </c>
      <c r="L832" t="s">
        <v>21</v>
      </c>
      <c r="M832" t="s">
        <v>19177</v>
      </c>
      <c r="N832" t="s">
        <v>16376</v>
      </c>
      <c r="O832" t="s">
        <v>16376</v>
      </c>
      <c r="P832" t="s">
        <v>842</v>
      </c>
    </row>
    <row r="833">
      <c r="A833">
        <f>HYPERLINK("http://bombeiros.sp.gov.br/hidrantes/03individual/17840.html","17840")</f>
      </c>
      <c r="B833" t="s">
        <v>842</v>
      </c>
      <c r="C833" t="s">
        <v>1006</v>
      </c>
      <c r="D833" t="s">
        <v>1006</v>
      </c>
      <c r="E833" t="s">
        <v>15</v>
      </c>
      <c r="F833" t="s">
        <v>13733</v>
      </c>
      <c r="G833" t="s">
        <v>17650</v>
      </c>
      <c r="H833" t="s">
        <v>1121</v>
      </c>
      <c r="I833" t="s">
        <v>1117</v>
      </c>
      <c r="J833" t="s">
        <v>13734</v>
      </c>
      <c r="K833" t="s">
        <v>13735</v>
      </c>
      <c r="L833" t="s">
        <v>21</v>
      </c>
      <c r="M833" t="s">
        <v>19177</v>
      </c>
      <c r="N833" t="s">
        <v>1024</v>
      </c>
      <c r="O833" t="s">
        <v>1024</v>
      </c>
      <c r="P833" t="s">
        <v>842</v>
      </c>
    </row>
    <row r="834">
      <c r="A834">
        <f>HYPERLINK("http://bombeiros.sp.gov.br/hidrantes/03individual/26870.html","26870")</f>
      </c>
      <c r="B834" t="s">
        <v>842</v>
      </c>
      <c r="C834" t="s">
        <v>1006</v>
      </c>
      <c r="D834" t="s">
        <v>1006</v>
      </c>
      <c r="E834" t="s">
        <v>15</v>
      </c>
      <c r="F834" t="s">
        <v>16251</v>
      </c>
      <c r="G834" t="s">
        <v>18273</v>
      </c>
      <c r="H834" t="s">
        <v>1121</v>
      </c>
      <c r="I834" t="s">
        <v>1108</v>
      </c>
      <c r="J834" t="s">
        <v>16252</v>
      </c>
      <c r="K834" t="s">
        <v>16253</v>
      </c>
      <c r="L834" t="s">
        <v>21</v>
      </c>
      <c r="M834" t="s">
        <v>19177</v>
      </c>
      <c r="N834" t="s">
        <v>1024</v>
      </c>
      <c r="O834" t="s">
        <v>1024</v>
      </c>
      <c r="P834" t="s">
        <v>842</v>
      </c>
    </row>
    <row r="835">
      <c r="A835">
        <f>HYPERLINK("http://bombeiros.sp.gov.br/hidrantes/03individual/3595.html","3595")</f>
      </c>
      <c r="B835" t="s">
        <v>842</v>
      </c>
      <c r="C835" t="s">
        <v>945</v>
      </c>
      <c r="D835" t="s">
        <v>1016</v>
      </c>
      <c r="E835" t="s">
        <v>64</v>
      </c>
      <c r="F835" t="s">
        <v>13742</v>
      </c>
      <c r="G835" t="s">
        <v>18173</v>
      </c>
      <c r="H835" t="s">
        <v>1121</v>
      </c>
      <c r="I835" t="s">
        <v>1117</v>
      </c>
      <c r="J835" t="s">
        <v>13743</v>
      </c>
      <c r="K835" t="s">
        <v>13744</v>
      </c>
      <c r="L835" t="s">
        <v>21</v>
      </c>
      <c r="M835" t="s">
        <v>19177</v>
      </c>
      <c r="N835" t="s">
        <v>97</v>
      </c>
      <c r="O835" t="s">
        <v>937</v>
      </c>
      <c r="P835" t="s">
        <v>12</v>
      </c>
    </row>
    <row r="836">
      <c r="A836">
        <f>HYPERLINK("http://bombeiros.sp.gov.br/hidrantes/03individual/3622.html","3622")</f>
      </c>
      <c r="B836" t="s">
        <v>842</v>
      </c>
      <c r="C836" t="s">
        <v>945</v>
      </c>
      <c r="D836" t="s">
        <v>1016</v>
      </c>
      <c r="E836" t="s">
        <v>64</v>
      </c>
      <c r="F836" t="s">
        <v>13748</v>
      </c>
      <c r="G836" t="s">
        <v>18174</v>
      </c>
      <c r="H836" t="s">
        <v>1121</v>
      </c>
      <c r="I836" t="s">
        <v>1117</v>
      </c>
      <c r="J836" t="s">
        <v>13749</v>
      </c>
      <c r="K836" t="s">
        <v>13750</v>
      </c>
      <c r="L836" t="s">
        <v>21</v>
      </c>
      <c r="M836" t="s">
        <v>19177</v>
      </c>
      <c r="N836" t="s">
        <v>97</v>
      </c>
      <c r="O836" t="s">
        <v>937</v>
      </c>
      <c r="P836" t="s">
        <v>12</v>
      </c>
    </row>
    <row r="837">
      <c r="A837">
        <f>HYPERLINK("http://bombeiros.sp.gov.br/hidrantes/03individual/338.html","338")</f>
      </c>
      <c r="B837" t="s">
        <v>842</v>
      </c>
      <c r="C837" t="s">
        <v>945</v>
      </c>
      <c r="D837" t="s">
        <v>1016</v>
      </c>
      <c r="E837" t="s">
        <v>15</v>
      </c>
      <c r="F837" t="s">
        <v>13751</v>
      </c>
      <c r="G837" t="s">
        <v>18215</v>
      </c>
      <c r="H837" t="s">
        <v>1121</v>
      </c>
      <c r="I837" t="s">
        <v>1117</v>
      </c>
      <c r="J837" t="s">
        <v>13752</v>
      </c>
      <c r="K837" t="s">
        <v>13753</v>
      </c>
      <c r="L837" t="s">
        <v>21</v>
      </c>
      <c r="M837" t="s">
        <v>19177</v>
      </c>
      <c r="N837" t="s">
        <v>97</v>
      </c>
      <c r="O837" t="s">
        <v>937</v>
      </c>
      <c r="P837" t="s">
        <v>12</v>
      </c>
    </row>
    <row r="838">
      <c r="A838">
        <f>HYPERLINK("http://bombeiros.sp.gov.br/hidrantes/03individual/3614.html","3614")</f>
      </c>
      <c r="B838" t="s">
        <v>842</v>
      </c>
      <c r="C838" t="s">
        <v>945</v>
      </c>
      <c r="D838" t="s">
        <v>1016</v>
      </c>
      <c r="E838" t="s">
        <v>15</v>
      </c>
      <c r="F838" t="s">
        <v>13765</v>
      </c>
      <c r="G838" t="s">
        <v>18129</v>
      </c>
      <c r="H838" t="s">
        <v>1121</v>
      </c>
      <c r="I838" t="s">
        <v>1117</v>
      </c>
      <c r="J838" t="s">
        <v>13766</v>
      </c>
      <c r="K838" t="s">
        <v>13767</v>
      </c>
      <c r="L838" t="s">
        <v>21</v>
      </c>
      <c r="M838" t="s">
        <v>19177</v>
      </c>
      <c r="N838" t="s">
        <v>97</v>
      </c>
      <c r="O838" t="s">
        <v>937</v>
      </c>
      <c r="P838" t="s">
        <v>12</v>
      </c>
    </row>
    <row r="839">
      <c r="A839">
        <f>HYPERLINK("http://bombeiros.sp.gov.br/hidrantes/03individual/4179.html","4179")</f>
      </c>
      <c r="B839" t="s">
        <v>842</v>
      </c>
      <c r="C839" t="s">
        <v>945</v>
      </c>
      <c r="D839" t="s">
        <v>1016</v>
      </c>
      <c r="E839" t="s">
        <v>15</v>
      </c>
      <c r="F839" t="s">
        <v>13768</v>
      </c>
      <c r="G839" t="s">
        <v>18066</v>
      </c>
      <c r="H839" t="s">
        <v>1121</v>
      </c>
      <c r="I839" t="s">
        <v>1117</v>
      </c>
      <c r="J839" t="s">
        <v>13769</v>
      </c>
      <c r="K839" t="s">
        <v>13770</v>
      </c>
      <c r="L839" t="s">
        <v>21</v>
      </c>
      <c r="M839" t="s">
        <v>19177</v>
      </c>
      <c r="N839" t="s">
        <v>97</v>
      </c>
      <c r="O839" t="s">
        <v>937</v>
      </c>
      <c r="P839" t="s">
        <v>12</v>
      </c>
    </row>
    <row r="840">
      <c r="A840">
        <f>HYPERLINK("http://bombeiros.sp.gov.br/hidrantes/03individual/27227.html","27227")</f>
      </c>
      <c r="B840" t="s">
        <v>842</v>
      </c>
      <c r="C840" t="s">
        <v>945</v>
      </c>
      <c r="D840" t="s">
        <v>1016</v>
      </c>
      <c r="E840" t="s">
        <v>15</v>
      </c>
      <c r="F840" t="s">
        <v>16989</v>
      </c>
      <c r="G840" t="s">
        <v>18173</v>
      </c>
      <c r="H840" t="s">
        <v>1121</v>
      </c>
      <c r="I840" t="s">
        <v>1117</v>
      </c>
      <c r="J840" t="s">
        <v>16990</v>
      </c>
      <c r="K840" t="s">
        <v>16991</v>
      </c>
      <c r="L840" t="s">
        <v>21</v>
      </c>
      <c r="M840" t="s">
        <v>19177</v>
      </c>
      <c r="N840" t="s">
        <v>97</v>
      </c>
      <c r="O840" t="s">
        <v>937</v>
      </c>
      <c r="P840" t="s">
        <v>12</v>
      </c>
    </row>
    <row r="841">
      <c r="A841">
        <f>HYPERLINK("http://bombeiros.sp.gov.br/hidrantes/03individual/3661.html","3661")</f>
      </c>
      <c r="B841" t="s">
        <v>842</v>
      </c>
      <c r="C841" t="s">
        <v>945</v>
      </c>
      <c r="D841" t="s">
        <v>13774</v>
      </c>
      <c r="E841" t="s">
        <v>64</v>
      </c>
      <c r="F841" t="s">
        <v>13785</v>
      </c>
      <c r="G841" t="s">
        <v>18216</v>
      </c>
      <c r="H841" t="s">
        <v>1121</v>
      </c>
      <c r="I841" t="s">
        <v>1117</v>
      </c>
      <c r="J841" t="s">
        <v>13786</v>
      </c>
      <c r="K841" t="s">
        <v>13787</v>
      </c>
      <c r="L841" t="s">
        <v>36</v>
      </c>
      <c r="M841" t="s">
        <v>19177</v>
      </c>
      <c r="N841" t="s">
        <v>97</v>
      </c>
      <c r="O841" t="s">
        <v>937</v>
      </c>
      <c r="P841" t="s">
        <v>12</v>
      </c>
    </row>
    <row r="842">
      <c r="A842">
        <f>HYPERLINK("http://bombeiros.sp.gov.br/hidrantes/03individual/3679.html","3679")</f>
      </c>
      <c r="B842" t="s">
        <v>842</v>
      </c>
      <c r="C842" t="s">
        <v>945</v>
      </c>
      <c r="D842" t="s">
        <v>13774</v>
      </c>
      <c r="E842" t="s">
        <v>64</v>
      </c>
      <c r="F842" t="s">
        <v>13791</v>
      </c>
      <c r="G842" t="s">
        <v>18216</v>
      </c>
      <c r="H842" t="s">
        <v>1121</v>
      </c>
      <c r="I842" t="s">
        <v>1117</v>
      </c>
      <c r="J842" t="s">
        <v>13792</v>
      </c>
      <c r="K842" t="s">
        <v>13793</v>
      </c>
      <c r="L842" t="s">
        <v>36</v>
      </c>
      <c r="M842" t="s">
        <v>19177</v>
      </c>
      <c r="N842" t="s">
        <v>97</v>
      </c>
      <c r="O842" t="s">
        <v>937</v>
      </c>
      <c r="P842" t="s">
        <v>12</v>
      </c>
    </row>
    <row r="843">
      <c r="A843">
        <f>HYPERLINK("http://bombeiros.sp.gov.br/hidrantes/03individual/3925.html","3925")</f>
      </c>
      <c r="B843" t="s">
        <v>842</v>
      </c>
      <c r="C843" t="s">
        <v>945</v>
      </c>
      <c r="D843" t="s">
        <v>13774</v>
      </c>
      <c r="E843" t="s">
        <v>64</v>
      </c>
      <c r="F843" t="s">
        <v>13803</v>
      </c>
      <c r="G843" t="s">
        <v>18073</v>
      </c>
      <c r="H843" t="s">
        <v>1121</v>
      </c>
      <c r="I843" t="s">
        <v>1117</v>
      </c>
      <c r="J843" t="s">
        <v>13804</v>
      </c>
      <c r="K843" t="s">
        <v>13805</v>
      </c>
      <c r="L843" t="s">
        <v>36</v>
      </c>
      <c r="M843" t="s">
        <v>19177</v>
      </c>
      <c r="N843" t="s">
        <v>97</v>
      </c>
      <c r="O843" t="s">
        <v>937</v>
      </c>
      <c r="P843" t="s">
        <v>12</v>
      </c>
    </row>
    <row r="844">
      <c r="A844">
        <f>HYPERLINK("http://bombeiros.sp.gov.br/hidrantes/03individual/357.html","357")</f>
      </c>
      <c r="B844" t="s">
        <v>842</v>
      </c>
      <c r="C844" t="s">
        <v>945</v>
      </c>
      <c r="D844" t="s">
        <v>13774</v>
      </c>
      <c r="E844" t="s">
        <v>15</v>
      </c>
      <c r="F844" t="s">
        <v>13812</v>
      </c>
      <c r="G844" t="s">
        <v>18216</v>
      </c>
      <c r="H844" t="s">
        <v>1121</v>
      </c>
      <c r="I844" t="s">
        <v>1117</v>
      </c>
      <c r="J844" t="s">
        <v>13813</v>
      </c>
      <c r="K844" t="s">
        <v>13814</v>
      </c>
      <c r="L844" t="s">
        <v>21</v>
      </c>
      <c r="M844" t="s">
        <v>19177</v>
      </c>
      <c r="N844" t="s">
        <v>97</v>
      </c>
      <c r="O844" t="s">
        <v>937</v>
      </c>
      <c r="P844" t="s">
        <v>12</v>
      </c>
    </row>
    <row r="845">
      <c r="A845">
        <f>HYPERLINK("http://bombeiros.sp.gov.br/hidrantes/03individual/406.html","406")</f>
      </c>
      <c r="B845" t="s">
        <v>842</v>
      </c>
      <c r="C845" t="s">
        <v>945</v>
      </c>
      <c r="D845" t="s">
        <v>13774</v>
      </c>
      <c r="E845" t="s">
        <v>15</v>
      </c>
      <c r="F845" t="s">
        <v>13824</v>
      </c>
      <c r="G845" t="s">
        <v>17961</v>
      </c>
      <c r="H845" t="s">
        <v>1121</v>
      </c>
      <c r="I845" t="s">
        <v>1117</v>
      </c>
      <c r="J845" t="s">
        <v>13825</v>
      </c>
      <c r="K845" t="s">
        <v>13826</v>
      </c>
      <c r="L845" t="s">
        <v>21</v>
      </c>
      <c r="M845" t="s">
        <v>19177</v>
      </c>
      <c r="N845" t="s">
        <v>97</v>
      </c>
      <c r="O845" t="s">
        <v>937</v>
      </c>
      <c r="P845" t="s">
        <v>12</v>
      </c>
    </row>
    <row r="846">
      <c r="A846">
        <f>HYPERLINK("http://bombeiros.sp.gov.br/hidrantes/03individual/3644.html","3644")</f>
      </c>
      <c r="B846" t="s">
        <v>842</v>
      </c>
      <c r="C846" t="s">
        <v>945</v>
      </c>
      <c r="D846" t="s">
        <v>13774</v>
      </c>
      <c r="E846" t="s">
        <v>15</v>
      </c>
      <c r="F846" t="s">
        <v>13833</v>
      </c>
      <c r="G846" t="s">
        <v>18217</v>
      </c>
      <c r="H846" t="s">
        <v>1121</v>
      </c>
      <c r="I846" t="s">
        <v>1117</v>
      </c>
      <c r="J846" t="s">
        <v>13834</v>
      </c>
      <c r="K846" t="s">
        <v>13835</v>
      </c>
      <c r="L846" t="s">
        <v>21</v>
      </c>
      <c r="M846" t="s">
        <v>19177</v>
      </c>
      <c r="N846" t="s">
        <v>97</v>
      </c>
      <c r="O846" t="s">
        <v>937</v>
      </c>
      <c r="P846" t="s">
        <v>12</v>
      </c>
    </row>
    <row r="847">
      <c r="A847">
        <f>HYPERLINK("http://bombeiros.sp.gov.br/hidrantes/03individual/3816.html","3816")</f>
      </c>
      <c r="B847" t="s">
        <v>842</v>
      </c>
      <c r="C847" t="s">
        <v>945</v>
      </c>
      <c r="D847" t="s">
        <v>13774</v>
      </c>
      <c r="E847" t="s">
        <v>15</v>
      </c>
      <c r="F847" t="s">
        <v>13845</v>
      </c>
      <c r="G847" t="s">
        <v>18115</v>
      </c>
      <c r="H847" t="s">
        <v>1121</v>
      </c>
      <c r="I847" t="s">
        <v>1117</v>
      </c>
      <c r="J847" t="s">
        <v>13846</v>
      </c>
      <c r="K847" t="s">
        <v>13847</v>
      </c>
      <c r="L847" t="s">
        <v>21</v>
      </c>
      <c r="M847" t="s">
        <v>19177</v>
      </c>
      <c r="N847" t="s">
        <v>97</v>
      </c>
      <c r="O847" t="s">
        <v>937</v>
      </c>
      <c r="P847" t="s">
        <v>12</v>
      </c>
    </row>
    <row r="848">
      <c r="A848">
        <f>HYPERLINK("http://bombeiros.sp.gov.br/hidrantes/03individual/3621.html","3621")</f>
      </c>
      <c r="B848" t="s">
        <v>842</v>
      </c>
      <c r="C848" t="s">
        <v>945</v>
      </c>
      <c r="D848" t="s">
        <v>1020</v>
      </c>
      <c r="E848" t="s">
        <v>64</v>
      </c>
      <c r="F848" t="s">
        <v>13863</v>
      </c>
      <c r="G848" t="s">
        <v>18118</v>
      </c>
      <c r="H848" t="s">
        <v>1121</v>
      </c>
      <c r="I848" t="s">
        <v>1117</v>
      </c>
      <c r="J848" t="s">
        <v>13864</v>
      </c>
      <c r="K848" t="s">
        <v>13865</v>
      </c>
      <c r="L848" t="s">
        <v>36</v>
      </c>
      <c r="M848" t="s">
        <v>19177</v>
      </c>
      <c r="N848" t="s">
        <v>97</v>
      </c>
      <c r="O848" t="s">
        <v>937</v>
      </c>
      <c r="P848" t="s">
        <v>12</v>
      </c>
    </row>
    <row r="849">
      <c r="A849">
        <f>HYPERLINK("http://bombeiros.sp.gov.br/hidrantes/03individual/10029.html","10029")</f>
      </c>
      <c r="B849" t="s">
        <v>842</v>
      </c>
      <c r="C849" t="s">
        <v>945</v>
      </c>
      <c r="D849" t="s">
        <v>1020</v>
      </c>
      <c r="E849" t="s">
        <v>64</v>
      </c>
      <c r="F849" t="s">
        <v>13872</v>
      </c>
      <c r="G849" t="s">
        <v>18174</v>
      </c>
      <c r="H849" t="s">
        <v>1121</v>
      </c>
      <c r="I849" t="s">
        <v>1117</v>
      </c>
      <c r="J849" t="s">
        <v>13873</v>
      </c>
      <c r="K849" t="s">
        <v>13874</v>
      </c>
      <c r="L849" t="s">
        <v>21</v>
      </c>
      <c r="M849" t="s">
        <v>19177</v>
      </c>
      <c r="N849" t="s">
        <v>97</v>
      </c>
      <c r="O849" t="s">
        <v>937</v>
      </c>
      <c r="P849" t="s">
        <v>12</v>
      </c>
    </row>
    <row r="850">
      <c r="A850">
        <f>HYPERLINK("http://bombeiros.sp.gov.br/hidrantes/03individual/3652.html","3652")</f>
      </c>
      <c r="B850" t="s">
        <v>842</v>
      </c>
      <c r="C850" t="s">
        <v>945</v>
      </c>
      <c r="D850" t="s">
        <v>1020</v>
      </c>
      <c r="E850" t="s">
        <v>15</v>
      </c>
      <c r="F850" t="s">
        <v>13896</v>
      </c>
      <c r="G850" t="s">
        <v>18050</v>
      </c>
      <c r="H850" t="s">
        <v>1121</v>
      </c>
      <c r="I850" t="s">
        <v>1117</v>
      </c>
      <c r="J850" t="s">
        <v>13897</v>
      </c>
      <c r="K850" t="s">
        <v>13898</v>
      </c>
      <c r="L850" t="s">
        <v>21</v>
      </c>
      <c r="M850" t="s">
        <v>19177</v>
      </c>
      <c r="N850" t="s">
        <v>97</v>
      </c>
      <c r="O850" t="s">
        <v>937</v>
      </c>
      <c r="P850" t="s">
        <v>12</v>
      </c>
    </row>
    <row r="851">
      <c r="A851">
        <f>HYPERLINK("http://bombeiros.sp.gov.br/hidrantes/03individual/479.html","479")</f>
      </c>
      <c r="B851" t="s">
        <v>842</v>
      </c>
      <c r="C851" t="s">
        <v>945</v>
      </c>
      <c r="D851" t="s">
        <v>13908</v>
      </c>
      <c r="E851" t="s">
        <v>64</v>
      </c>
      <c r="F851" t="s">
        <v>13909</v>
      </c>
      <c r="G851" t="s">
        <v>18150</v>
      </c>
      <c r="H851" t="s">
        <v>1121</v>
      </c>
      <c r="I851" t="s">
        <v>1117</v>
      </c>
      <c r="J851" t="s">
        <v>13910</v>
      </c>
      <c r="K851" t="s">
        <v>13911</v>
      </c>
      <c r="L851" t="s">
        <v>21</v>
      </c>
      <c r="M851" t="s">
        <v>19177</v>
      </c>
      <c r="N851" t="s">
        <v>97</v>
      </c>
      <c r="O851" t="s">
        <v>937</v>
      </c>
      <c r="P851" t="s">
        <v>12</v>
      </c>
    </row>
    <row r="852">
      <c r="A852">
        <f>HYPERLINK("http://bombeiros.sp.gov.br/hidrantes/03individual/27060.html","27060")</f>
      </c>
      <c r="B852" t="s">
        <v>842</v>
      </c>
      <c r="C852" t="s">
        <v>945</v>
      </c>
      <c r="D852" t="s">
        <v>13908</v>
      </c>
      <c r="E852" t="s">
        <v>64</v>
      </c>
      <c r="F852" t="s">
        <v>16702</v>
      </c>
      <c r="G852" t="s">
        <v>18173</v>
      </c>
      <c r="H852" t="s">
        <v>1121</v>
      </c>
      <c r="I852" t="s">
        <v>1117</v>
      </c>
      <c r="J852" t="s">
        <v>16703</v>
      </c>
      <c r="K852" t="s">
        <v>16704</v>
      </c>
      <c r="L852" t="s">
        <v>21</v>
      </c>
      <c r="M852" t="s">
        <v>19177</v>
      </c>
      <c r="N852" t="s">
        <v>97</v>
      </c>
      <c r="O852" t="s">
        <v>937</v>
      </c>
      <c r="P852" t="s">
        <v>12</v>
      </c>
    </row>
    <row r="853">
      <c r="A853">
        <f>HYPERLINK("http://bombeiros.sp.gov.br/hidrantes/03individual/3793.html","3793")</f>
      </c>
      <c r="B853" t="s">
        <v>842</v>
      </c>
      <c r="C853" t="s">
        <v>945</v>
      </c>
      <c r="D853" t="s">
        <v>13908</v>
      </c>
      <c r="E853" t="s">
        <v>15</v>
      </c>
      <c r="F853" t="s">
        <v>13945</v>
      </c>
      <c r="G853" t="s">
        <v>18066</v>
      </c>
      <c r="H853" t="s">
        <v>1121</v>
      </c>
      <c r="I853" t="s">
        <v>1117</v>
      </c>
      <c r="J853" t="s">
        <v>13946</v>
      </c>
      <c r="K853" t="s">
        <v>13947</v>
      </c>
      <c r="L853" t="s">
        <v>21</v>
      </c>
      <c r="M853" t="s">
        <v>19177</v>
      </c>
      <c r="N853" t="s">
        <v>97</v>
      </c>
      <c r="O853" t="s">
        <v>937</v>
      </c>
      <c r="P853" t="s">
        <v>12</v>
      </c>
    </row>
    <row r="854">
      <c r="A854">
        <f>HYPERLINK("http://bombeiros.sp.gov.br/hidrantes/03individual/3931.html","3931")</f>
      </c>
      <c r="B854" t="s">
        <v>842</v>
      </c>
      <c r="C854" t="s">
        <v>945</v>
      </c>
      <c r="D854" t="s">
        <v>13908</v>
      </c>
      <c r="E854" t="s">
        <v>15</v>
      </c>
      <c r="F854" t="s">
        <v>13960</v>
      </c>
      <c r="G854" t="s">
        <v>18212</v>
      </c>
      <c r="H854" t="s">
        <v>1121</v>
      </c>
      <c r="I854" t="s">
        <v>1117</v>
      </c>
      <c r="J854" t="s">
        <v>13961</v>
      </c>
      <c r="K854" t="s">
        <v>13962</v>
      </c>
      <c r="L854" t="s">
        <v>21</v>
      </c>
      <c r="M854" t="s">
        <v>19177</v>
      </c>
      <c r="N854" t="s">
        <v>97</v>
      </c>
      <c r="O854" t="s">
        <v>937</v>
      </c>
      <c r="P854" t="s">
        <v>12</v>
      </c>
    </row>
    <row r="855">
      <c r="A855">
        <f>HYPERLINK("http://bombeiros.sp.gov.br/hidrantes/03individual/4360.html","4360")</f>
      </c>
      <c r="B855" t="s">
        <v>842</v>
      </c>
      <c r="C855" t="s">
        <v>945</v>
      </c>
      <c r="D855" t="s">
        <v>13908</v>
      </c>
      <c r="E855" t="s">
        <v>15</v>
      </c>
      <c r="F855" t="s">
        <v>13969</v>
      </c>
      <c r="G855" t="s">
        <v>18130</v>
      </c>
      <c r="H855" t="s">
        <v>1121</v>
      </c>
      <c r="I855" t="s">
        <v>1117</v>
      </c>
      <c r="J855" t="s">
        <v>13970</v>
      </c>
      <c r="K855" t="s">
        <v>13971</v>
      </c>
      <c r="L855" t="s">
        <v>21</v>
      </c>
      <c r="M855" t="s">
        <v>19177</v>
      </c>
      <c r="N855" t="s">
        <v>97</v>
      </c>
      <c r="O855" t="s">
        <v>937</v>
      </c>
      <c r="P855" t="s">
        <v>12</v>
      </c>
    </row>
    <row r="856">
      <c r="A856">
        <f>HYPERLINK("http://bombeiros.sp.gov.br/hidrantes/03individual/2348.html","2348")</f>
      </c>
      <c r="B856" t="s">
        <v>842</v>
      </c>
      <c r="C856" t="s">
        <v>1024</v>
      </c>
      <c r="D856" t="s">
        <v>14012</v>
      </c>
      <c r="E856" t="s">
        <v>15</v>
      </c>
      <c r="F856" t="s">
        <v>14022</v>
      </c>
      <c r="G856" t="s">
        <v>18118</v>
      </c>
      <c r="H856" t="s">
        <v>1121</v>
      </c>
      <c r="I856" t="s">
        <v>1117</v>
      </c>
      <c r="J856" t="s">
        <v>14023</v>
      </c>
      <c r="K856" t="s">
        <v>14024</v>
      </c>
      <c r="L856" t="s">
        <v>21</v>
      </c>
      <c r="M856" t="s">
        <v>19177</v>
      </c>
      <c r="N856" t="s">
        <v>1024</v>
      </c>
      <c r="O856" t="s">
        <v>1024</v>
      </c>
      <c r="P856" t="s">
        <v>842</v>
      </c>
    </row>
    <row r="857">
      <c r="A857">
        <f>HYPERLINK("http://bombeiros.sp.gov.br/hidrantes/03individual/6704.html","6704")</f>
      </c>
      <c r="B857" t="s">
        <v>842</v>
      </c>
      <c r="C857" t="s">
        <v>1024</v>
      </c>
      <c r="D857" t="s">
        <v>1025</v>
      </c>
      <c r="E857" t="s">
        <v>64</v>
      </c>
      <c r="F857" t="s">
        <v>14082</v>
      </c>
      <c r="G857" t="s">
        <v>18062</v>
      </c>
      <c r="H857" t="s">
        <v>1121</v>
      </c>
      <c r="I857" t="s">
        <v>1117</v>
      </c>
      <c r="J857" t="s">
        <v>14083</v>
      </c>
      <c r="K857" t="s">
        <v>14084</v>
      </c>
      <c r="L857" t="s">
        <v>21</v>
      </c>
      <c r="M857" t="s">
        <v>19177</v>
      </c>
      <c r="N857" t="s">
        <v>1024</v>
      </c>
      <c r="O857" t="s">
        <v>1024</v>
      </c>
      <c r="P857" t="s">
        <v>842</v>
      </c>
    </row>
    <row r="858">
      <c r="A858">
        <f>HYPERLINK("http://bombeiros.sp.gov.br/hidrantes/03individual/6731.html","6731")</f>
      </c>
      <c r="B858" t="s">
        <v>842</v>
      </c>
      <c r="C858" t="s">
        <v>1024</v>
      </c>
      <c r="D858" t="s">
        <v>1024</v>
      </c>
      <c r="E858" t="s">
        <v>15</v>
      </c>
      <c r="F858" t="s">
        <v>14196</v>
      </c>
      <c r="G858" t="s">
        <v>18089</v>
      </c>
      <c r="H858" t="s">
        <v>1121</v>
      </c>
      <c r="I858" t="s">
        <v>1117</v>
      </c>
      <c r="J858" t="s">
        <v>14197</v>
      </c>
      <c r="K858" t="s">
        <v>14198</v>
      </c>
      <c r="L858" t="s">
        <v>21</v>
      </c>
      <c r="M858" t="s">
        <v>19177</v>
      </c>
      <c r="N858" t="s">
        <v>1024</v>
      </c>
      <c r="O858" t="s">
        <v>1024</v>
      </c>
      <c r="P858" t="s">
        <v>842</v>
      </c>
    </row>
    <row r="859">
      <c r="A859">
        <f>HYPERLINK("http://bombeiros.sp.gov.br/hidrantes/03individual/26684.html","26684")</f>
      </c>
      <c r="B859" t="s">
        <v>842</v>
      </c>
      <c r="C859" t="s">
        <v>1065</v>
      </c>
      <c r="D859" t="s">
        <v>1066</v>
      </c>
      <c r="E859" t="s">
        <v>15</v>
      </c>
      <c r="F859" t="s">
        <v>1067</v>
      </c>
      <c r="G859" t="s">
        <v>18149</v>
      </c>
      <c r="H859" t="s">
        <v>1121</v>
      </c>
      <c r="I859" t="s">
        <v>1117</v>
      </c>
      <c r="J859" t="s">
        <v>1069</v>
      </c>
      <c r="K859" t="s">
        <v>1070</v>
      </c>
      <c r="L859" t="s">
        <v>21</v>
      </c>
      <c r="M859" t="s">
        <v>19177</v>
      </c>
      <c r="N859" t="s">
        <v>714</v>
      </c>
      <c r="O859" t="s">
        <v>10263</v>
      </c>
      <c r="P859" t="s">
        <v>12</v>
      </c>
    </row>
    <row r="860">
      <c r="A860">
        <f>HYPERLINK("http://bombeiros.sp.gov.br/hidrantes/03individual/10018.html","10018")</f>
      </c>
      <c r="B860" t="s">
        <v>842</v>
      </c>
      <c r="C860" t="s">
        <v>1065</v>
      </c>
      <c r="D860" t="s">
        <v>14295</v>
      </c>
      <c r="E860" t="s">
        <v>15</v>
      </c>
      <c r="F860" t="s">
        <v>14376</v>
      </c>
      <c r="G860" t="s">
        <v>18166</v>
      </c>
      <c r="H860" t="s">
        <v>1121</v>
      </c>
      <c r="I860" t="s">
        <v>1117</v>
      </c>
      <c r="J860" t="s">
        <v>14377</v>
      </c>
      <c r="K860" t="s">
        <v>14378</v>
      </c>
      <c r="L860" t="s">
        <v>21</v>
      </c>
      <c r="M860" t="s">
        <v>19177</v>
      </c>
      <c r="N860" t="s">
        <v>714</v>
      </c>
      <c r="O860" t="s">
        <v>10263</v>
      </c>
      <c r="P860" t="s">
        <v>12</v>
      </c>
    </row>
    <row r="861">
      <c r="A861">
        <f>HYPERLINK("http://bombeiros.sp.gov.br/hidrantes/03individual/3940.html","3940")</f>
      </c>
      <c r="B861" t="s">
        <v>842</v>
      </c>
      <c r="C861" t="s">
        <v>1065</v>
      </c>
      <c r="D861" t="s">
        <v>14385</v>
      </c>
      <c r="E861" t="s">
        <v>64</v>
      </c>
      <c r="F861" t="s">
        <v>14389</v>
      </c>
      <c r="G861" t="s">
        <v>18563</v>
      </c>
      <c r="H861" t="s">
        <v>1121</v>
      </c>
      <c r="I861" t="s">
        <v>1117</v>
      </c>
      <c r="J861" t="s">
        <v>14390</v>
      </c>
      <c r="K861" t="s">
        <v>14391</v>
      </c>
      <c r="L861" t="s">
        <v>36</v>
      </c>
      <c r="M861" t="s">
        <v>19177</v>
      </c>
      <c r="N861" t="s">
        <v>714</v>
      </c>
      <c r="O861" t="s">
        <v>10263</v>
      </c>
      <c r="P861" t="s">
        <v>12</v>
      </c>
    </row>
    <row r="862">
      <c r="A862">
        <f>HYPERLINK("http://bombeiros.sp.gov.br/hidrantes/03individual/3985.html","3985")</f>
      </c>
      <c r="B862" t="s">
        <v>842</v>
      </c>
      <c r="C862" t="s">
        <v>1065</v>
      </c>
      <c r="D862" t="s">
        <v>14385</v>
      </c>
      <c r="E862" t="s">
        <v>15</v>
      </c>
      <c r="F862" t="s">
        <v>14442</v>
      </c>
      <c r="G862" t="s">
        <v>18166</v>
      </c>
      <c r="H862" t="s">
        <v>1121</v>
      </c>
      <c r="I862" t="s">
        <v>1117</v>
      </c>
      <c r="J862" t="s">
        <v>14443</v>
      </c>
      <c r="K862" t="s">
        <v>14444</v>
      </c>
      <c r="L862" t="s">
        <v>21</v>
      </c>
      <c r="M862" t="s">
        <v>19177</v>
      </c>
      <c r="N862" t="s">
        <v>714</v>
      </c>
      <c r="O862" t="s">
        <v>10263</v>
      </c>
      <c r="P862" t="s">
        <v>12</v>
      </c>
    </row>
    <row r="863">
      <c r="A863">
        <f>HYPERLINK("http://bombeiros.sp.gov.br/hidrantes/03individual/16606.html","16606")</f>
      </c>
      <c r="B863" t="s">
        <v>842</v>
      </c>
      <c r="C863" t="s">
        <v>1065</v>
      </c>
      <c r="D863" t="s">
        <v>14385</v>
      </c>
      <c r="E863" t="s">
        <v>15</v>
      </c>
      <c r="F863" t="s">
        <v>14445</v>
      </c>
      <c r="G863" t="s">
        <v>18563</v>
      </c>
      <c r="H863" t="s">
        <v>1121</v>
      </c>
      <c r="I863" t="s">
        <v>1117</v>
      </c>
      <c r="J863" t="s">
        <v>14481</v>
      </c>
      <c r="K863" t="s">
        <v>14482</v>
      </c>
      <c r="L863" t="s">
        <v>21</v>
      </c>
      <c r="M863" t="s">
        <v>19177</v>
      </c>
      <c r="N863" t="s">
        <v>714</v>
      </c>
      <c r="O863" t="s">
        <v>10263</v>
      </c>
      <c r="P863" t="s">
        <v>12</v>
      </c>
    </row>
    <row r="864">
      <c r="A864">
        <f>HYPERLINK("http://bombeiros.sp.gov.br/hidrantes/03individual/27219.html","27219")</f>
      </c>
      <c r="B864" t="s">
        <v>842</v>
      </c>
      <c r="C864" t="s">
        <v>1065</v>
      </c>
      <c r="D864" t="s">
        <v>14385</v>
      </c>
      <c r="E864" t="s">
        <v>15</v>
      </c>
      <c r="F864" t="s">
        <v>16979</v>
      </c>
      <c r="G864" t="s">
        <v>18129</v>
      </c>
      <c r="H864" t="s">
        <v>1121</v>
      </c>
      <c r="I864" t="s">
        <v>1117</v>
      </c>
      <c r="J864" t="s">
        <v>16980</v>
      </c>
      <c r="K864" t="s">
        <v>16981</v>
      </c>
      <c r="L864" t="s">
        <v>21</v>
      </c>
      <c r="M864" t="s">
        <v>19177</v>
      </c>
      <c r="N864" t="s">
        <v>714</v>
      </c>
      <c r="O864" t="s">
        <v>10263</v>
      </c>
      <c r="P864" t="s">
        <v>12</v>
      </c>
    </row>
    <row r="865">
      <c r="A865">
        <f>HYPERLINK("http://bombeiros.sp.gov.br/hidrantes/03individual/27207.html","27207")</f>
      </c>
      <c r="B865" t="s">
        <v>842</v>
      </c>
      <c r="C865" t="s">
        <v>1065</v>
      </c>
      <c r="D865" t="s">
        <v>1065</v>
      </c>
      <c r="E865" t="s">
        <v>15</v>
      </c>
      <c r="F865" t="s">
        <v>16982</v>
      </c>
      <c r="G865" t="s">
        <v>18214</v>
      </c>
      <c r="H865" t="s">
        <v>1121</v>
      </c>
      <c r="I865" t="s">
        <v>1117</v>
      </c>
      <c r="J865" t="s">
        <v>16983</v>
      </c>
      <c r="K865" t="s">
        <v>16984</v>
      </c>
      <c r="L865" t="s">
        <v>21</v>
      </c>
      <c r="M865" t="s">
        <v>19177</v>
      </c>
      <c r="N865" t="s">
        <v>714</v>
      </c>
      <c r="O865" t="s">
        <v>10263</v>
      </c>
      <c r="P865" t="s">
        <v>12</v>
      </c>
    </row>
    <row r="866">
      <c r="A866">
        <f>HYPERLINK("http://bombeiros.sp.gov.br/hidrantes/03individual/4077.html","4077")</f>
      </c>
      <c r="B866" t="s">
        <v>842</v>
      </c>
      <c r="C866" t="s">
        <v>1071</v>
      </c>
      <c r="D866" t="s">
        <v>1072</v>
      </c>
      <c r="E866" t="s">
        <v>64</v>
      </c>
      <c r="F866" t="s">
        <v>14560</v>
      </c>
      <c r="G866" t="s">
        <v>18052</v>
      </c>
      <c r="H866" t="s">
        <v>1121</v>
      </c>
      <c r="I866" t="s">
        <v>1117</v>
      </c>
      <c r="J866" t="s">
        <v>14561</v>
      </c>
      <c r="K866" t="s">
        <v>14562</v>
      </c>
      <c r="L866" t="s">
        <v>36</v>
      </c>
      <c r="M866" t="s">
        <v>19177</v>
      </c>
      <c r="N866" t="s">
        <v>16376</v>
      </c>
      <c r="O866" t="s">
        <v>16376</v>
      </c>
      <c r="P866" t="s">
        <v>842</v>
      </c>
    </row>
    <row r="867">
      <c r="A867">
        <f>HYPERLINK("http://bombeiros.sp.gov.br/hidrantes/03individual/26920.html","26920")</f>
      </c>
      <c r="B867" t="s">
        <v>842</v>
      </c>
      <c r="C867" t="s">
        <v>1071</v>
      </c>
      <c r="D867" t="s">
        <v>1072</v>
      </c>
      <c r="E867" t="s">
        <v>64</v>
      </c>
      <c r="F867" t="s">
        <v>16401</v>
      </c>
      <c r="G867" t="s">
        <v>18187</v>
      </c>
      <c r="H867" t="s">
        <v>1121</v>
      </c>
      <c r="I867" t="s">
        <v>1117</v>
      </c>
      <c r="J867" t="s">
        <v>16402</v>
      </c>
      <c r="K867" t="s">
        <v>16403</v>
      </c>
      <c r="L867" t="s">
        <v>21</v>
      </c>
      <c r="M867" t="s">
        <v>19177</v>
      </c>
      <c r="N867" t="s">
        <v>16376</v>
      </c>
      <c r="O867" t="s">
        <v>16376</v>
      </c>
      <c r="P867" t="s">
        <v>842</v>
      </c>
    </row>
    <row r="868">
      <c r="A868">
        <f>HYPERLINK("http://bombeiros.sp.gov.br/hidrantes/03individual/4017.html","4017")</f>
      </c>
      <c r="B868" t="s">
        <v>842</v>
      </c>
      <c r="C868" t="s">
        <v>1097</v>
      </c>
      <c r="D868" t="s">
        <v>14608</v>
      </c>
      <c r="E868" t="s">
        <v>64</v>
      </c>
      <c r="F868" t="s">
        <v>14612</v>
      </c>
      <c r="G868" t="s">
        <v>18057</v>
      </c>
      <c r="H868" t="s">
        <v>1121</v>
      </c>
      <c r="I868" t="s">
        <v>1117</v>
      </c>
      <c r="J868" t="s">
        <v>14613</v>
      </c>
      <c r="K868" t="s">
        <v>14614</v>
      </c>
      <c r="L868" t="s">
        <v>36</v>
      </c>
      <c r="M868" t="s">
        <v>19177</v>
      </c>
      <c r="N868" t="s">
        <v>848</v>
      </c>
      <c r="O868" t="s">
        <v>640</v>
      </c>
      <c r="P868" t="s">
        <v>623</v>
      </c>
    </row>
    <row r="869">
      <c r="A869">
        <f>HYPERLINK("http://bombeiros.sp.gov.br/hidrantes/03individual/25264.html","25264")</f>
      </c>
      <c r="B869" t="s">
        <v>842</v>
      </c>
      <c r="C869" t="s">
        <v>1097</v>
      </c>
      <c r="D869" t="s">
        <v>14608</v>
      </c>
      <c r="E869" t="s">
        <v>64</v>
      </c>
      <c r="F869" t="s">
        <v>14621</v>
      </c>
      <c r="G869" t="s">
        <v>18057</v>
      </c>
      <c r="H869" t="s">
        <v>1121</v>
      </c>
      <c r="I869" t="s">
        <v>1117</v>
      </c>
      <c r="J869" t="s">
        <v>14622</v>
      </c>
      <c r="K869" t="s">
        <v>14623</v>
      </c>
      <c r="L869" t="s">
        <v>21</v>
      </c>
      <c r="M869" t="s">
        <v>19177</v>
      </c>
      <c r="N869" t="s">
        <v>848</v>
      </c>
      <c r="O869" t="s">
        <v>640</v>
      </c>
      <c r="P869" t="s">
        <v>623</v>
      </c>
    </row>
    <row r="870">
      <c r="A870">
        <f>HYPERLINK("http://bombeiros.sp.gov.br/hidrantes/03individual/26337.html","26337")</f>
      </c>
      <c r="B870" t="s">
        <v>842</v>
      </c>
      <c r="C870" t="s">
        <v>1097</v>
      </c>
      <c r="D870" t="s">
        <v>1098</v>
      </c>
      <c r="E870" t="s">
        <v>64</v>
      </c>
      <c r="F870" t="s">
        <v>14624</v>
      </c>
      <c r="G870" t="s">
        <v>18155</v>
      </c>
      <c r="H870" t="s">
        <v>1121</v>
      </c>
      <c r="I870" t="s">
        <v>1117</v>
      </c>
      <c r="J870" t="s">
        <v>14625</v>
      </c>
      <c r="K870" t="s">
        <v>14626</v>
      </c>
      <c r="L870" t="s">
        <v>21</v>
      </c>
      <c r="M870" t="s">
        <v>19177</v>
      </c>
      <c r="N870" t="s">
        <v>848</v>
      </c>
      <c r="O870" t="s">
        <v>640</v>
      </c>
      <c r="P870" t="s">
        <v>623</v>
      </c>
    </row>
    <row r="871">
      <c r="A871">
        <f>HYPERLINK("http://bombeiros.sp.gov.br/hidrantes/03individual/27027.html","27027")</f>
      </c>
      <c r="B871" t="s">
        <v>842</v>
      </c>
      <c r="C871" t="s">
        <v>1097</v>
      </c>
      <c r="D871" t="s">
        <v>1098</v>
      </c>
      <c r="E871" t="s">
        <v>64</v>
      </c>
      <c r="F871" t="s">
        <v>16633</v>
      </c>
      <c r="G871" t="s">
        <v>18076</v>
      </c>
      <c r="H871" t="s">
        <v>1121</v>
      </c>
      <c r="I871" t="s">
        <v>1117</v>
      </c>
      <c r="J871" t="s">
        <v>16634</v>
      </c>
      <c r="K871" t="s">
        <v>16635</v>
      </c>
      <c r="L871" t="s">
        <v>21</v>
      </c>
      <c r="M871" t="s">
        <v>19177</v>
      </c>
      <c r="N871" t="s">
        <v>848</v>
      </c>
      <c r="O871" t="s">
        <v>640</v>
      </c>
      <c r="P871" t="s">
        <v>623</v>
      </c>
    </row>
    <row r="872">
      <c r="A872">
        <f>HYPERLINK("http://bombeiros.sp.gov.br/hidrantes/03individual/2304.html","2304")</f>
      </c>
      <c r="B872" t="s">
        <v>842</v>
      </c>
      <c r="C872" t="s">
        <v>1097</v>
      </c>
      <c r="D872" t="s">
        <v>1098</v>
      </c>
      <c r="E872" t="s">
        <v>15</v>
      </c>
      <c r="F872" t="s">
        <v>1099</v>
      </c>
      <c r="G872" t="s">
        <v>17873</v>
      </c>
      <c r="H872" t="s">
        <v>1121</v>
      </c>
      <c r="I872" t="s">
        <v>1117</v>
      </c>
      <c r="J872" t="s">
        <v>1100</v>
      </c>
      <c r="K872" t="s">
        <v>1101</v>
      </c>
      <c r="L872" t="s">
        <v>21</v>
      </c>
      <c r="M872" t="s">
        <v>19177</v>
      </c>
      <c r="N872" t="s">
        <v>16375</v>
      </c>
      <c r="O872" t="s">
        <v>640</v>
      </c>
      <c r="P872" t="s">
        <v>623</v>
      </c>
    </row>
    <row r="873">
      <c r="A873">
        <f>HYPERLINK("http://bombeiros.sp.gov.br/hidrantes/03individual/6709.html","6709")</f>
      </c>
      <c r="B873" t="s">
        <v>842</v>
      </c>
      <c r="C873" t="s">
        <v>1097</v>
      </c>
      <c r="D873" t="s">
        <v>1098</v>
      </c>
      <c r="E873" t="s">
        <v>15</v>
      </c>
      <c r="F873" t="s">
        <v>14630</v>
      </c>
      <c r="G873" t="s">
        <v>18076</v>
      </c>
      <c r="H873" t="s">
        <v>1121</v>
      </c>
      <c r="I873" t="s">
        <v>1117</v>
      </c>
      <c r="J873" t="s">
        <v>14631</v>
      </c>
      <c r="K873" t="s">
        <v>14632</v>
      </c>
      <c r="L873" t="s">
        <v>21</v>
      </c>
      <c r="M873" t="s">
        <v>19177</v>
      </c>
      <c r="N873" t="s">
        <v>16375</v>
      </c>
      <c r="O873" t="s">
        <v>640</v>
      </c>
      <c r="P873" t="s">
        <v>623</v>
      </c>
    </row>
    <row r="874">
      <c r="A874">
        <f>HYPERLINK("http://bombeiros.sp.gov.br/hidrantes/03individual/26819.html","26819")</f>
      </c>
      <c r="B874" t="s">
        <v>842</v>
      </c>
      <c r="C874" t="s">
        <v>1097</v>
      </c>
      <c r="D874" t="s">
        <v>1098</v>
      </c>
      <c r="E874" t="s">
        <v>15</v>
      </c>
      <c r="F874" t="s">
        <v>16088</v>
      </c>
      <c r="G874" t="s">
        <v>18076</v>
      </c>
      <c r="H874" t="s">
        <v>1121</v>
      </c>
      <c r="I874" t="s">
        <v>1117</v>
      </c>
      <c r="J874" t="s">
        <v>16089</v>
      </c>
      <c r="K874" t="s">
        <v>16090</v>
      </c>
      <c r="L874" t="s">
        <v>21</v>
      </c>
      <c r="M874" t="s">
        <v>19177</v>
      </c>
      <c r="N874" t="s">
        <v>848</v>
      </c>
      <c r="O874" t="s">
        <v>640</v>
      </c>
      <c r="P874" t="s">
        <v>623</v>
      </c>
    </row>
    <row r="875">
      <c r="A875">
        <f>HYPERLINK("http://bombeiros.sp.gov.br/hidrantes/03individual/26891.html","26891")</f>
      </c>
      <c r="B875" t="s">
        <v>842</v>
      </c>
      <c r="C875" t="s">
        <v>14642</v>
      </c>
      <c r="D875" t="s">
        <v>14665</v>
      </c>
      <c r="E875" t="s">
        <v>15</v>
      </c>
      <c r="F875" t="s">
        <v>16315</v>
      </c>
      <c r="G875" t="s">
        <v>18173</v>
      </c>
      <c r="H875" t="s">
        <v>1121</v>
      </c>
      <c r="I875" t="s">
        <v>1117</v>
      </c>
      <c r="J875" t="s">
        <v>16316</v>
      </c>
      <c r="K875" t="s">
        <v>16317</v>
      </c>
      <c r="L875" t="s">
        <v>21</v>
      </c>
      <c r="M875" t="s">
        <v>19177</v>
      </c>
      <c r="N875" t="s">
        <v>714</v>
      </c>
      <c r="O875" t="s">
        <v>10263</v>
      </c>
      <c r="P875" t="s">
        <v>12</v>
      </c>
    </row>
    <row r="876">
      <c r="A876">
        <f>HYPERLINK("http://bombeiros.sp.gov.br/hidrantes/03individual/292.html","292")</f>
      </c>
      <c r="B876" t="s">
        <v>842</v>
      </c>
      <c r="C876" t="s">
        <v>14642</v>
      </c>
      <c r="D876" t="s">
        <v>14687</v>
      </c>
      <c r="E876" t="s">
        <v>15</v>
      </c>
      <c r="F876" t="s">
        <v>14700</v>
      </c>
      <c r="G876" t="s">
        <v>17123</v>
      </c>
      <c r="H876" t="s">
        <v>1121</v>
      </c>
      <c r="I876" t="s">
        <v>1117</v>
      </c>
      <c r="J876" t="s">
        <v>14701</v>
      </c>
      <c r="K876" t="s">
        <v>14702</v>
      </c>
      <c r="L876" t="s">
        <v>21</v>
      </c>
      <c r="M876" t="s">
        <v>19177</v>
      </c>
      <c r="N876" t="s">
        <v>714</v>
      </c>
      <c r="O876" t="s">
        <v>10263</v>
      </c>
      <c r="P876" t="s">
        <v>12</v>
      </c>
    </row>
    <row r="877">
      <c r="A877">
        <f>HYPERLINK("http://bombeiros.sp.gov.br/hidrantes/03individual/350.html","350")</f>
      </c>
      <c r="B877" t="s">
        <v>842</v>
      </c>
      <c r="C877" t="s">
        <v>14642</v>
      </c>
      <c r="D877" t="s">
        <v>14776</v>
      </c>
      <c r="E877" t="s">
        <v>15</v>
      </c>
      <c r="F877" t="s">
        <v>14800</v>
      </c>
      <c r="G877" t="s">
        <v>18048</v>
      </c>
      <c r="H877" t="s">
        <v>1121</v>
      </c>
      <c r="I877" t="s">
        <v>1117</v>
      </c>
      <c r="J877" t="s">
        <v>14801</v>
      </c>
      <c r="K877" t="s">
        <v>14802</v>
      </c>
      <c r="L877" t="s">
        <v>21</v>
      </c>
      <c r="M877" t="s">
        <v>19177</v>
      </c>
      <c r="N877" t="s">
        <v>714</v>
      </c>
      <c r="O877" t="s">
        <v>10263</v>
      </c>
      <c r="P877" t="s">
        <v>12</v>
      </c>
    </row>
    <row r="878">
      <c r="A878">
        <f>HYPERLINK("http://bombeiros.sp.gov.br/hidrantes/03individual/2541.html","2541")</f>
      </c>
      <c r="B878" t="s">
        <v>842</v>
      </c>
      <c r="C878" t="s">
        <v>14642</v>
      </c>
      <c r="D878" t="s">
        <v>14776</v>
      </c>
      <c r="E878" t="s">
        <v>15</v>
      </c>
      <c r="F878" t="s">
        <v>14812</v>
      </c>
      <c r="G878" t="s">
        <v>1322</v>
      </c>
      <c r="H878" t="s">
        <v>1121</v>
      </c>
      <c r="I878" t="s">
        <v>1117</v>
      </c>
      <c r="J878" t="s">
        <v>14813</v>
      </c>
      <c r="K878" t="s">
        <v>14814</v>
      </c>
      <c r="L878" t="s">
        <v>21</v>
      </c>
      <c r="M878" t="s">
        <v>19177</v>
      </c>
      <c r="N878" t="s">
        <v>714</v>
      </c>
      <c r="O878" t="s">
        <v>10263</v>
      </c>
      <c r="P878" t="s">
        <v>12</v>
      </c>
    </row>
    <row r="879">
      <c r="A879">
        <f>HYPERLINK("http://bombeiros.sp.gov.br/hidrantes/03individual/306.html","306")</f>
      </c>
      <c r="B879" t="s">
        <v>842</v>
      </c>
      <c r="C879" t="s">
        <v>14642</v>
      </c>
      <c r="D879" t="s">
        <v>14833</v>
      </c>
      <c r="E879" t="s">
        <v>15</v>
      </c>
      <c r="F879" t="s">
        <v>14849</v>
      </c>
      <c r="G879" t="s">
        <v>18099</v>
      </c>
      <c r="H879" t="s">
        <v>1121</v>
      </c>
      <c r="I879" t="s">
        <v>1117</v>
      </c>
      <c r="J879" t="s">
        <v>14850</v>
      </c>
      <c r="K879" t="s">
        <v>14851</v>
      </c>
      <c r="L879" t="s">
        <v>36</v>
      </c>
      <c r="M879" t="s">
        <v>19177</v>
      </c>
      <c r="N879" t="s">
        <v>714</v>
      </c>
      <c r="O879" t="s">
        <v>10263</v>
      </c>
      <c r="P879" t="s">
        <v>12</v>
      </c>
    </row>
    <row r="880">
      <c r="A880">
        <f>HYPERLINK("http://bombeiros.sp.gov.br/hidrantes/03individual/315.html","315")</f>
      </c>
      <c r="B880" t="s">
        <v>842</v>
      </c>
      <c r="C880" t="s">
        <v>14642</v>
      </c>
      <c r="D880" t="s">
        <v>14833</v>
      </c>
      <c r="E880" t="s">
        <v>15</v>
      </c>
      <c r="F880" t="s">
        <v>14852</v>
      </c>
      <c r="G880" t="s">
        <v>18099</v>
      </c>
      <c r="H880" t="s">
        <v>1121</v>
      </c>
      <c r="I880" t="s">
        <v>1117</v>
      </c>
      <c r="J880" t="s">
        <v>14853</v>
      </c>
      <c r="K880" t="s">
        <v>14854</v>
      </c>
      <c r="L880" t="s">
        <v>21</v>
      </c>
      <c r="M880" t="s">
        <v>19177</v>
      </c>
      <c r="N880" t="s">
        <v>714</v>
      </c>
      <c r="O880" t="s">
        <v>10263</v>
      </c>
      <c r="P880" t="s">
        <v>12</v>
      </c>
    </row>
    <row r="881">
      <c r="A881">
        <f>HYPERLINK("http://bombeiros.sp.gov.br/hidrantes/03individual/2322.html","2322")</f>
      </c>
      <c r="B881" t="s">
        <v>842</v>
      </c>
      <c r="C881" t="s">
        <v>14642</v>
      </c>
      <c r="D881" t="s">
        <v>14833</v>
      </c>
      <c r="E881" t="s">
        <v>15</v>
      </c>
      <c r="F881" t="s">
        <v>14876</v>
      </c>
      <c r="G881" t="s">
        <v>18066</v>
      </c>
      <c r="H881" t="s">
        <v>1121</v>
      </c>
      <c r="I881" t="s">
        <v>1117</v>
      </c>
      <c r="J881" t="s">
        <v>14877</v>
      </c>
      <c r="K881" t="s">
        <v>14878</v>
      </c>
      <c r="L881" t="s">
        <v>21</v>
      </c>
      <c r="M881" t="s">
        <v>19177</v>
      </c>
      <c r="N881" t="s">
        <v>714</v>
      </c>
      <c r="O881" t="s">
        <v>10263</v>
      </c>
      <c r="P881" t="s">
        <v>12</v>
      </c>
    </row>
    <row r="882">
      <c r="A882">
        <f>HYPERLINK("http://bombeiros.sp.gov.br/hidrantes/03individual/27419.html","27419")</f>
      </c>
      <c r="B882" t="s">
        <v>842</v>
      </c>
      <c r="C882" t="s">
        <v>14642</v>
      </c>
      <c r="D882" t="s">
        <v>14888</v>
      </c>
      <c r="E882" t="s">
        <v>64</v>
      </c>
      <c r="F882" t="s">
        <v>17384</v>
      </c>
      <c r="G882" t="s">
        <v>18099</v>
      </c>
      <c r="H882" t="s">
        <v>1121</v>
      </c>
      <c r="I882" t="s">
        <v>1117</v>
      </c>
      <c r="J882" t="s">
        <v>17385</v>
      </c>
      <c r="K882" t="s">
        <v>17386</v>
      </c>
      <c r="L882" t="s">
        <v>21</v>
      </c>
      <c r="M882" t="s">
        <v>19177</v>
      </c>
      <c r="N882" t="s">
        <v>714</v>
      </c>
      <c r="O882" t="s">
        <v>10263</v>
      </c>
      <c r="P882" t="s">
        <v>12</v>
      </c>
    </row>
    <row r="883">
      <c r="A883">
        <f>HYPERLINK("http://bombeiros.sp.gov.br/hidrantes/03individual/28079.html","28079")</f>
      </c>
      <c r="B883" t="s">
        <v>842</v>
      </c>
      <c r="C883" t="s">
        <v>14642</v>
      </c>
      <c r="D883" t="s">
        <v>14888</v>
      </c>
      <c r="E883" t="s">
        <v>15</v>
      </c>
      <c r="F883" t="s">
        <v>18175</v>
      </c>
      <c r="G883" t="s">
        <v>18073</v>
      </c>
      <c r="H883" t="s">
        <v>1121</v>
      </c>
      <c r="I883" t="s">
        <v>1117</v>
      </c>
      <c r="J883" t="s">
        <v>18176</v>
      </c>
      <c r="K883" t="s">
        <v>18177</v>
      </c>
      <c r="L883" t="s">
        <v>21</v>
      </c>
      <c r="M883" t="s">
        <v>19177</v>
      </c>
      <c r="N883" t="s">
        <v>714</v>
      </c>
      <c r="O883" t="s">
        <v>10263</v>
      </c>
      <c r="P883" t="s">
        <v>12</v>
      </c>
    </row>
  </sheetData>
</worksheet>
</file>

<file path=xl/worksheets/sheet52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5.7109375" customWidth="true"/>
    <col min="4" max="4" width="20.7109375" customWidth="true"/>
    <col min="5" max="5" width="20.7109375" customWidth="true"/>
    <col min="6" max="6" width="100.7109375" customWidth="true"/>
    <col min="7" max="7" width="12.7109375" customWidth="true"/>
    <col min="8" max="8" width="15.7109375" customWidth="true"/>
    <col min="9" max="9" width="20.7109375" customWidth="true"/>
    <col min="10" max="10" width="20.7109375" customWidth="true"/>
    <col min="11" max="11" width="20.7109375" customWidth="true"/>
    <col min="12" max="12" width="10.7109375" customWidth="true"/>
    <col min="13" max="13" width="12.7109375" customWidth="true"/>
    <col min="14" max="14" width="30.7109375" customWidth="true"/>
    <col min="15" max="15" width="30.7109375" customWidth="true"/>
    <col min="16" max="16" width="3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14981</v>
      </c>
      <c r="N1" t="s">
        <v>16370</v>
      </c>
      <c r="O1" t="s">
        <v>16371</v>
      </c>
      <c r="P1" t="s">
        <v>16372</v>
      </c>
    </row>
    <row r="2">
      <c r="A2">
        <f>HYPERLINK("http://bombeiros.sp.gov.br/hidrantes/03individual/2747.html","2747")</f>
      </c>
      <c r="B2" t="s">
        <v>12</v>
      </c>
      <c r="C2" t="s">
        <v>13</v>
      </c>
      <c r="D2" t="s">
        <v>1172</v>
      </c>
      <c r="E2" t="s">
        <v>64</v>
      </c>
      <c r="F2" t="s">
        <v>1187</v>
      </c>
      <c r="G2" t="s">
        <v>18124</v>
      </c>
      <c r="H2" t="s">
        <v>1121</v>
      </c>
      <c r="I2" t="s">
        <v>1117</v>
      </c>
      <c r="J2" t="s">
        <v>1188</v>
      </c>
      <c r="K2" t="s">
        <v>1189</v>
      </c>
      <c r="L2" t="s">
        <v>36</v>
      </c>
      <c r="M2" t="s">
        <v>19177</v>
      </c>
      <c r="N2" t="s">
        <v>714</v>
      </c>
      <c r="O2" t="s">
        <v>10263</v>
      </c>
      <c r="P2" t="s">
        <v>12</v>
      </c>
    </row>
    <row r="3">
      <c r="A3">
        <f>HYPERLINK("http://bombeiros.sp.gov.br/hidrantes/03individual/1820.html","1820")</f>
      </c>
      <c r="B3" t="s">
        <v>12</v>
      </c>
      <c r="C3" t="s">
        <v>37</v>
      </c>
      <c r="D3" t="s">
        <v>38</v>
      </c>
      <c r="E3" t="s">
        <v>64</v>
      </c>
      <c r="F3" t="s">
        <v>1626</v>
      </c>
      <c r="G3" t="s">
        <v>18077</v>
      </c>
      <c r="H3" t="s">
        <v>1121</v>
      </c>
      <c r="I3" t="s">
        <v>1117</v>
      </c>
      <c r="J3" t="s">
        <v>1627</v>
      </c>
      <c r="K3" t="s">
        <v>1628</v>
      </c>
      <c r="L3" t="s">
        <v>21</v>
      </c>
      <c r="M3" t="s">
        <v>19177</v>
      </c>
      <c r="N3" t="s">
        <v>97</v>
      </c>
      <c r="O3" t="s">
        <v>937</v>
      </c>
      <c r="P3" t="s">
        <v>12</v>
      </c>
    </row>
    <row r="4">
      <c r="A4">
        <f>HYPERLINK("http://bombeiros.sp.gov.br/hidrantes/03individual/844.html","844")</f>
      </c>
      <c r="B4" t="s">
        <v>12</v>
      </c>
      <c r="C4" t="s">
        <v>47</v>
      </c>
      <c r="D4" t="s">
        <v>47</v>
      </c>
      <c r="E4" t="s">
        <v>64</v>
      </c>
      <c r="F4" t="s">
        <v>1707</v>
      </c>
      <c r="G4" t="s">
        <v>18179</v>
      </c>
      <c r="H4" t="s">
        <v>1121</v>
      </c>
      <c r="I4" t="s">
        <v>1117</v>
      </c>
      <c r="J4" t="s">
        <v>1708</v>
      </c>
      <c r="K4" t="s">
        <v>1709</v>
      </c>
      <c r="L4" t="s">
        <v>36</v>
      </c>
      <c r="M4" t="s">
        <v>19177</v>
      </c>
      <c r="N4" t="s">
        <v>714</v>
      </c>
      <c r="O4" t="s">
        <v>10263</v>
      </c>
      <c r="P4" t="s">
        <v>12</v>
      </c>
    </row>
    <row r="5">
      <c r="A5">
        <f>HYPERLINK("http://bombeiros.sp.gov.br/hidrantes/03individual/2777.html","2777")</f>
      </c>
      <c r="B5" t="s">
        <v>12</v>
      </c>
      <c r="C5" t="s">
        <v>63</v>
      </c>
      <c r="D5" t="s">
        <v>2064</v>
      </c>
      <c r="E5" t="s">
        <v>64</v>
      </c>
      <c r="F5" t="s">
        <v>2065</v>
      </c>
      <c r="G5" t="s">
        <v>18051</v>
      </c>
      <c r="H5" t="s">
        <v>1121</v>
      </c>
      <c r="I5" t="s">
        <v>1117</v>
      </c>
      <c r="J5" t="s">
        <v>2066</v>
      </c>
      <c r="K5" t="s">
        <v>2067</v>
      </c>
      <c r="L5" t="s">
        <v>36</v>
      </c>
      <c r="M5" t="s">
        <v>19177</v>
      </c>
      <c r="N5" t="s">
        <v>97</v>
      </c>
      <c r="O5" t="s">
        <v>937</v>
      </c>
      <c r="P5" t="s">
        <v>12</v>
      </c>
    </row>
    <row r="6">
      <c r="A6">
        <f>HYPERLINK("http://bombeiros.sp.gov.br/hidrantes/03individual/777.html","777")</f>
      </c>
      <c r="B6" t="s">
        <v>12</v>
      </c>
      <c r="C6" t="s">
        <v>63</v>
      </c>
      <c r="D6" t="s">
        <v>63</v>
      </c>
      <c r="E6" t="s">
        <v>64</v>
      </c>
      <c r="F6" t="s">
        <v>2113</v>
      </c>
      <c r="G6" t="s">
        <v>18064</v>
      </c>
      <c r="H6" t="s">
        <v>1121</v>
      </c>
      <c r="I6" t="s">
        <v>1117</v>
      </c>
      <c r="J6" t="s">
        <v>2114</v>
      </c>
      <c r="K6" t="s">
        <v>2115</v>
      </c>
      <c r="L6" t="s">
        <v>36</v>
      </c>
      <c r="M6" t="s">
        <v>19177</v>
      </c>
      <c r="N6" t="s">
        <v>97</v>
      </c>
      <c r="O6" t="s">
        <v>937</v>
      </c>
      <c r="P6" t="s">
        <v>12</v>
      </c>
    </row>
    <row r="7">
      <c r="A7">
        <f>HYPERLINK("http://bombeiros.sp.gov.br/hidrantes/03individual/2938.html","2938")</f>
      </c>
      <c r="B7" t="s">
        <v>12</v>
      </c>
      <c r="C7" t="s">
        <v>63</v>
      </c>
      <c r="D7" t="s">
        <v>63</v>
      </c>
      <c r="E7" t="s">
        <v>64</v>
      </c>
      <c r="F7" t="s">
        <v>2122</v>
      </c>
      <c r="G7" t="s">
        <v>18484</v>
      </c>
      <c r="H7" t="s">
        <v>1121</v>
      </c>
      <c r="I7" t="s">
        <v>1117</v>
      </c>
      <c r="J7" t="s">
        <v>2123</v>
      </c>
      <c r="K7" t="s">
        <v>2124</v>
      </c>
      <c r="L7" t="s">
        <v>21</v>
      </c>
      <c r="M7" t="s">
        <v>19177</v>
      </c>
      <c r="N7" t="s">
        <v>97</v>
      </c>
      <c r="O7" t="s">
        <v>937</v>
      </c>
      <c r="P7" t="s">
        <v>12</v>
      </c>
    </row>
    <row r="8">
      <c r="A8">
        <f>HYPERLINK("http://bombeiros.sp.gov.br/hidrantes/03individual/2829.html","2829")</f>
      </c>
      <c r="B8" t="s">
        <v>12</v>
      </c>
      <c r="C8" t="s">
        <v>63</v>
      </c>
      <c r="D8" t="s">
        <v>77</v>
      </c>
      <c r="E8" t="s">
        <v>64</v>
      </c>
      <c r="F8" t="s">
        <v>2236</v>
      </c>
      <c r="G8" t="s">
        <v>18072</v>
      </c>
      <c r="H8" t="s">
        <v>1121</v>
      </c>
      <c r="I8" t="s">
        <v>1117</v>
      </c>
      <c r="J8" t="s">
        <v>2237</v>
      </c>
      <c r="K8" t="s">
        <v>2238</v>
      </c>
      <c r="L8" t="s">
        <v>36</v>
      </c>
      <c r="M8" t="s">
        <v>19177</v>
      </c>
      <c r="N8" t="s">
        <v>97</v>
      </c>
      <c r="O8" t="s">
        <v>937</v>
      </c>
      <c r="P8" t="s">
        <v>12</v>
      </c>
    </row>
    <row r="9">
      <c r="A9">
        <f>HYPERLINK("http://bombeiros.sp.gov.br/hidrantes/03individual/2949.html","2949")</f>
      </c>
      <c r="B9" t="s">
        <v>12</v>
      </c>
      <c r="C9" t="s">
        <v>63</v>
      </c>
      <c r="D9" t="s">
        <v>77</v>
      </c>
      <c r="E9" t="s">
        <v>64</v>
      </c>
      <c r="F9" t="s">
        <v>2261</v>
      </c>
      <c r="G9" t="s">
        <v>18143</v>
      </c>
      <c r="H9" t="s">
        <v>1121</v>
      </c>
      <c r="I9" t="s">
        <v>1117</v>
      </c>
      <c r="J9" t="s">
        <v>15980</v>
      </c>
      <c r="K9" t="s">
        <v>15981</v>
      </c>
      <c r="L9" t="s">
        <v>36</v>
      </c>
      <c r="M9" t="s">
        <v>19177</v>
      </c>
      <c r="N9" t="s">
        <v>97</v>
      </c>
      <c r="O9" t="s">
        <v>937</v>
      </c>
      <c r="P9" t="s">
        <v>12</v>
      </c>
    </row>
    <row r="10">
      <c r="A10">
        <f>HYPERLINK("http://bombeiros.sp.gov.br/hidrantes/03individual/26676.html","26676")</f>
      </c>
      <c r="B10" t="s">
        <v>12</v>
      </c>
      <c r="C10" t="s">
        <v>63</v>
      </c>
      <c r="D10" t="s">
        <v>77</v>
      </c>
      <c r="E10" t="s">
        <v>64</v>
      </c>
      <c r="F10" t="s">
        <v>2268</v>
      </c>
      <c r="G10" t="s">
        <v>18187</v>
      </c>
      <c r="H10" t="s">
        <v>1121</v>
      </c>
      <c r="I10" t="s">
        <v>1117</v>
      </c>
      <c r="J10" t="s">
        <v>2269</v>
      </c>
      <c r="K10" t="s">
        <v>2270</v>
      </c>
      <c r="L10" t="s">
        <v>21</v>
      </c>
      <c r="M10" t="s">
        <v>19177</v>
      </c>
      <c r="N10" t="s">
        <v>97</v>
      </c>
      <c r="O10" t="s">
        <v>937</v>
      </c>
      <c r="P10" t="s">
        <v>12</v>
      </c>
    </row>
    <row r="11">
      <c r="A11">
        <f>HYPERLINK("http://bombeiros.sp.gov.br/hidrantes/03individual/2824.html","2824")</f>
      </c>
      <c r="B11" t="s">
        <v>12</v>
      </c>
      <c r="C11" t="s">
        <v>92</v>
      </c>
      <c r="D11" t="s">
        <v>92</v>
      </c>
      <c r="E11" t="s">
        <v>64</v>
      </c>
      <c r="F11" t="s">
        <v>2550</v>
      </c>
      <c r="G11" t="s">
        <v>18055</v>
      </c>
      <c r="H11" t="s">
        <v>1121</v>
      </c>
      <c r="I11" t="s">
        <v>1117</v>
      </c>
      <c r="J11" t="s">
        <v>2551</v>
      </c>
      <c r="K11" t="s">
        <v>2552</v>
      </c>
      <c r="L11" t="s">
        <v>36</v>
      </c>
      <c r="M11" t="s">
        <v>19177</v>
      </c>
      <c r="N11" t="s">
        <v>97</v>
      </c>
      <c r="O11" t="s">
        <v>937</v>
      </c>
      <c r="P11" t="s">
        <v>12</v>
      </c>
    </row>
    <row r="12">
      <c r="A12">
        <f>HYPERLINK("http://bombeiros.sp.gov.br/hidrantes/03individual/27420.html","27420")</f>
      </c>
      <c r="B12" t="s">
        <v>12</v>
      </c>
      <c r="C12" t="s">
        <v>92</v>
      </c>
      <c r="D12" t="s">
        <v>92</v>
      </c>
      <c r="E12" t="s">
        <v>64</v>
      </c>
      <c r="F12" t="s">
        <v>17310</v>
      </c>
      <c r="G12" t="s">
        <v>18070</v>
      </c>
      <c r="H12" t="s">
        <v>1121</v>
      </c>
      <c r="I12" t="s">
        <v>1108</v>
      </c>
      <c r="J12" t="s">
        <v>17311</v>
      </c>
      <c r="K12" t="s">
        <v>17312</v>
      </c>
      <c r="L12" t="s">
        <v>21</v>
      </c>
      <c r="M12" t="s">
        <v>19177</v>
      </c>
      <c r="N12" t="s">
        <v>97</v>
      </c>
      <c r="O12" t="s">
        <v>937</v>
      </c>
      <c r="P12" t="s">
        <v>12</v>
      </c>
    </row>
    <row r="13">
      <c r="A13">
        <f>HYPERLINK("http://bombeiros.sp.gov.br/hidrantes/03individual/2588.html","2588")</f>
      </c>
      <c r="B13" t="s">
        <v>12</v>
      </c>
      <c r="C13" t="s">
        <v>97</v>
      </c>
      <c r="D13" t="s">
        <v>98</v>
      </c>
      <c r="E13" t="s">
        <v>64</v>
      </c>
      <c r="F13" t="s">
        <v>2681</v>
      </c>
      <c r="G13" t="s">
        <v>18050</v>
      </c>
      <c r="H13" t="s">
        <v>1121</v>
      </c>
      <c r="I13" t="s">
        <v>1117</v>
      </c>
      <c r="J13" t="s">
        <v>2682</v>
      </c>
      <c r="K13" t="s">
        <v>2683</v>
      </c>
      <c r="L13" t="s">
        <v>36</v>
      </c>
      <c r="M13" t="s">
        <v>19177</v>
      </c>
      <c r="N13" t="s">
        <v>97</v>
      </c>
      <c r="O13" t="s">
        <v>937</v>
      </c>
      <c r="P13" t="s">
        <v>12</v>
      </c>
    </row>
    <row r="14">
      <c r="A14">
        <f>HYPERLINK("http://bombeiros.sp.gov.br/hidrantes/03individual/2634.html","2634")</f>
      </c>
      <c r="B14" t="s">
        <v>12</v>
      </c>
      <c r="C14" t="s">
        <v>97</v>
      </c>
      <c r="D14" t="s">
        <v>98</v>
      </c>
      <c r="E14" t="s">
        <v>64</v>
      </c>
      <c r="F14" t="s">
        <v>2684</v>
      </c>
      <c r="G14" t="s">
        <v>18072</v>
      </c>
      <c r="H14" t="s">
        <v>1121</v>
      </c>
      <c r="I14" t="s">
        <v>1117</v>
      </c>
      <c r="J14" t="s">
        <v>16305</v>
      </c>
      <c r="K14" t="s">
        <v>16306</v>
      </c>
      <c r="L14" t="s">
        <v>36</v>
      </c>
      <c r="M14" t="s">
        <v>19177</v>
      </c>
      <c r="N14" t="s">
        <v>97</v>
      </c>
      <c r="O14" t="s">
        <v>937</v>
      </c>
      <c r="P14" t="s">
        <v>12</v>
      </c>
    </row>
    <row r="15">
      <c r="A15">
        <f>HYPERLINK("http://bombeiros.sp.gov.br/hidrantes/03individual/4432.html","4432")</f>
      </c>
      <c r="B15" t="s">
        <v>12</v>
      </c>
      <c r="C15" t="s">
        <v>97</v>
      </c>
      <c r="D15" t="s">
        <v>102</v>
      </c>
      <c r="E15" t="s">
        <v>64</v>
      </c>
      <c r="F15" t="s">
        <v>2753</v>
      </c>
      <c r="G15" t="s">
        <v>18184</v>
      </c>
      <c r="H15" t="s">
        <v>1112</v>
      </c>
      <c r="I15" t="s">
        <v>1108</v>
      </c>
      <c r="J15" t="s">
        <v>2754</v>
      </c>
      <c r="K15" t="s">
        <v>2755</v>
      </c>
      <c r="L15" t="s">
        <v>36</v>
      </c>
      <c r="M15" t="s">
        <v>19177</v>
      </c>
      <c r="N15" t="s">
        <v>97</v>
      </c>
      <c r="O15" t="s">
        <v>937</v>
      </c>
      <c r="P15" t="s">
        <v>12</v>
      </c>
    </row>
    <row r="16">
      <c r="A16">
        <f>HYPERLINK("http://bombeiros.sp.gov.br/hidrantes/03individual/1920.html","1920")</f>
      </c>
      <c r="B16" t="s">
        <v>114</v>
      </c>
      <c r="C16" t="s">
        <v>172</v>
      </c>
      <c r="D16" t="s">
        <v>172</v>
      </c>
      <c r="E16" t="s">
        <v>64</v>
      </c>
      <c r="F16" t="s">
        <v>3493</v>
      </c>
      <c r="G16" t="s">
        <v>18145</v>
      </c>
      <c r="H16" t="s">
        <v>1121</v>
      </c>
      <c r="I16" t="s">
        <v>1117</v>
      </c>
      <c r="J16" t="s">
        <v>3494</v>
      </c>
      <c r="K16" t="s">
        <v>3495</v>
      </c>
      <c r="L16" t="s">
        <v>21</v>
      </c>
      <c r="M16" t="s">
        <v>19177</v>
      </c>
      <c r="N16" t="s">
        <v>97</v>
      </c>
      <c r="O16" t="s">
        <v>937</v>
      </c>
      <c r="P16" t="s">
        <v>12</v>
      </c>
    </row>
    <row r="17">
      <c r="A17">
        <f>HYPERLINK("http://bombeiros.sp.gov.br/hidrantes/03individual/6783.html","6783")</f>
      </c>
      <c r="B17" t="s">
        <v>114</v>
      </c>
      <c r="C17" t="s">
        <v>172</v>
      </c>
      <c r="D17" t="s">
        <v>172</v>
      </c>
      <c r="E17" t="s">
        <v>15</v>
      </c>
      <c r="F17" t="s">
        <v>3550</v>
      </c>
      <c r="G17" t="s">
        <v>18081</v>
      </c>
      <c r="H17" t="s">
        <v>1121</v>
      </c>
      <c r="I17" t="s">
        <v>1117</v>
      </c>
      <c r="J17" t="s">
        <v>3551</v>
      </c>
      <c r="K17" t="s">
        <v>3552</v>
      </c>
      <c r="L17" t="s">
        <v>36</v>
      </c>
      <c r="M17" t="s">
        <v>19177</v>
      </c>
      <c r="N17" t="s">
        <v>97</v>
      </c>
      <c r="O17" t="s">
        <v>937</v>
      </c>
      <c r="P17" t="s">
        <v>12</v>
      </c>
    </row>
    <row r="18">
      <c r="A18">
        <f>HYPERLINK("http://bombeiros.sp.gov.br/hidrantes/03individual/2154.html","2154")</f>
      </c>
      <c r="B18" t="s">
        <v>114</v>
      </c>
      <c r="C18" t="s">
        <v>172</v>
      </c>
      <c r="D18" t="s">
        <v>182</v>
      </c>
      <c r="E18" t="s">
        <v>64</v>
      </c>
      <c r="F18" t="s">
        <v>3596</v>
      </c>
      <c r="G18" t="s">
        <v>17925</v>
      </c>
      <c r="H18" t="s">
        <v>1121</v>
      </c>
      <c r="I18" t="s">
        <v>1117</v>
      </c>
      <c r="J18" t="s">
        <v>3597</v>
      </c>
      <c r="K18" t="s">
        <v>3598</v>
      </c>
      <c r="L18" t="s">
        <v>36</v>
      </c>
      <c r="M18" t="s">
        <v>19177</v>
      </c>
      <c r="N18" t="s">
        <v>97</v>
      </c>
      <c r="O18" t="s">
        <v>937</v>
      </c>
      <c r="P18" t="s">
        <v>12</v>
      </c>
    </row>
    <row r="19">
      <c r="A19">
        <f>HYPERLINK("http://bombeiros.sp.gov.br/hidrantes/03individual/27044.html","27044")</f>
      </c>
      <c r="B19" t="s">
        <v>114</v>
      </c>
      <c r="C19" t="s">
        <v>222</v>
      </c>
      <c r="D19" t="s">
        <v>223</v>
      </c>
      <c r="E19" t="s">
        <v>64</v>
      </c>
      <c r="F19" t="s">
        <v>16652</v>
      </c>
      <c r="G19" t="s">
        <v>18533</v>
      </c>
      <c r="H19" t="s">
        <v>1121</v>
      </c>
      <c r="I19" t="s">
        <v>1117</v>
      </c>
      <c r="J19" t="s">
        <v>16653</v>
      </c>
      <c r="K19" t="s">
        <v>16654</v>
      </c>
      <c r="L19" t="s">
        <v>21</v>
      </c>
      <c r="M19" t="s">
        <v>19177</v>
      </c>
      <c r="N19" t="s">
        <v>16374</v>
      </c>
      <c r="O19" t="s">
        <v>272</v>
      </c>
      <c r="P19" t="s">
        <v>114</v>
      </c>
    </row>
    <row r="20">
      <c r="A20">
        <f>HYPERLINK("http://bombeiros.sp.gov.br/hidrantes/03individual/3451.html","3451")</f>
      </c>
      <c r="B20" t="s">
        <v>114</v>
      </c>
      <c r="C20" t="s">
        <v>242</v>
      </c>
      <c r="D20" t="s">
        <v>242</v>
      </c>
      <c r="E20" t="s">
        <v>64</v>
      </c>
      <c r="F20" t="s">
        <v>4167</v>
      </c>
      <c r="G20" t="s">
        <v>18107</v>
      </c>
      <c r="H20" t="s">
        <v>1121</v>
      </c>
      <c r="I20" t="s">
        <v>1117</v>
      </c>
      <c r="J20" t="s">
        <v>4168</v>
      </c>
      <c r="K20" t="s">
        <v>4169</v>
      </c>
      <c r="L20" t="s">
        <v>21</v>
      </c>
      <c r="M20" t="s">
        <v>19177</v>
      </c>
      <c r="N20" t="s">
        <v>272</v>
      </c>
      <c r="O20" t="s">
        <v>272</v>
      </c>
      <c r="P20" t="s">
        <v>114</v>
      </c>
    </row>
    <row r="21">
      <c r="A21">
        <f>HYPERLINK("http://bombeiros.sp.gov.br/hidrantes/03individual/3466.html","3466")</f>
      </c>
      <c r="B21" t="s">
        <v>114</v>
      </c>
      <c r="C21" t="s">
        <v>242</v>
      </c>
      <c r="D21" t="s">
        <v>242</v>
      </c>
      <c r="E21" t="s">
        <v>64</v>
      </c>
      <c r="F21" t="s">
        <v>4170</v>
      </c>
      <c r="G21" t="s">
        <v>18105</v>
      </c>
      <c r="H21" t="s">
        <v>1121</v>
      </c>
      <c r="I21" t="s">
        <v>1117</v>
      </c>
      <c r="J21" t="s">
        <v>4171</v>
      </c>
      <c r="K21" t="s">
        <v>4172</v>
      </c>
      <c r="L21" t="s">
        <v>21</v>
      </c>
      <c r="M21" t="s">
        <v>19177</v>
      </c>
      <c r="N21" t="s">
        <v>272</v>
      </c>
      <c r="O21" t="s">
        <v>272</v>
      </c>
      <c r="P21" t="s">
        <v>114</v>
      </c>
    </row>
    <row r="22">
      <c r="A22">
        <f>HYPERLINK("http://bombeiros.sp.gov.br/hidrantes/03individual/17787.html","17787")</f>
      </c>
      <c r="B22" t="s">
        <v>114</v>
      </c>
      <c r="C22" t="s">
        <v>242</v>
      </c>
      <c r="D22" t="s">
        <v>242</v>
      </c>
      <c r="E22" t="s">
        <v>64</v>
      </c>
      <c r="F22" t="s">
        <v>4203</v>
      </c>
      <c r="G22" t="s">
        <v>18090</v>
      </c>
      <c r="H22" t="s">
        <v>1121</v>
      </c>
      <c r="I22" t="s">
        <v>1117</v>
      </c>
      <c r="J22" t="s">
        <v>4204</v>
      </c>
      <c r="K22" t="s">
        <v>4205</v>
      </c>
      <c r="L22" t="s">
        <v>21</v>
      </c>
      <c r="M22" t="s">
        <v>19177</v>
      </c>
      <c r="N22" t="s">
        <v>272</v>
      </c>
      <c r="O22" t="s">
        <v>272</v>
      </c>
      <c r="P22" t="s">
        <v>114</v>
      </c>
    </row>
    <row r="23">
      <c r="A23">
        <f>HYPERLINK("http://bombeiros.sp.gov.br/hidrantes/03individual/27080.html","27080")</f>
      </c>
      <c r="B23" t="s">
        <v>114</v>
      </c>
      <c r="C23" t="s">
        <v>242</v>
      </c>
      <c r="D23" t="s">
        <v>242</v>
      </c>
      <c r="E23" t="s">
        <v>64</v>
      </c>
      <c r="F23" t="s">
        <v>16725</v>
      </c>
      <c r="G23" t="s">
        <v>18129</v>
      </c>
      <c r="H23" t="s">
        <v>1121</v>
      </c>
      <c r="I23" t="s">
        <v>1117</v>
      </c>
      <c r="J23" t="s">
        <v>16726</v>
      </c>
      <c r="K23" t="s">
        <v>16727</v>
      </c>
      <c r="L23" t="s">
        <v>21</v>
      </c>
      <c r="M23" t="s">
        <v>19177</v>
      </c>
      <c r="N23" t="s">
        <v>272</v>
      </c>
      <c r="O23" t="s">
        <v>272</v>
      </c>
      <c r="P23" t="s">
        <v>114</v>
      </c>
    </row>
    <row r="24">
      <c r="A24">
        <f>HYPERLINK("http://bombeiros.sp.gov.br/hidrantes/03individual/815.html","815")</f>
      </c>
      <c r="B24" t="s">
        <v>114</v>
      </c>
      <c r="C24" t="s">
        <v>242</v>
      </c>
      <c r="D24" t="s">
        <v>4225</v>
      </c>
      <c r="E24" t="s">
        <v>64</v>
      </c>
      <c r="F24" t="s">
        <v>4229</v>
      </c>
      <c r="G24" t="s">
        <v>18099</v>
      </c>
      <c r="H24" t="s">
        <v>1121</v>
      </c>
      <c r="I24" t="s">
        <v>1117</v>
      </c>
      <c r="J24" t="s">
        <v>4230</v>
      </c>
      <c r="K24" t="s">
        <v>4231</v>
      </c>
      <c r="L24" t="s">
        <v>36</v>
      </c>
      <c r="M24" t="s">
        <v>19177</v>
      </c>
      <c r="N24" t="s">
        <v>272</v>
      </c>
      <c r="O24" t="s">
        <v>272</v>
      </c>
      <c r="P24" t="s">
        <v>114</v>
      </c>
    </row>
    <row r="25">
      <c r="A25">
        <f>HYPERLINK("http://bombeiros.sp.gov.br/hidrantes/03individual/836.html","836")</f>
      </c>
      <c r="B25" t="s">
        <v>114</v>
      </c>
      <c r="C25" t="s">
        <v>242</v>
      </c>
      <c r="D25" t="s">
        <v>4225</v>
      </c>
      <c r="E25" t="s">
        <v>64</v>
      </c>
      <c r="F25" t="s">
        <v>4235</v>
      </c>
      <c r="G25" t="s">
        <v>18099</v>
      </c>
      <c r="H25" t="s">
        <v>1121</v>
      </c>
      <c r="I25" t="s">
        <v>1117</v>
      </c>
      <c r="J25" t="s">
        <v>4236</v>
      </c>
      <c r="K25" t="s">
        <v>4237</v>
      </c>
      <c r="L25" t="s">
        <v>36</v>
      </c>
      <c r="M25" t="s">
        <v>19177</v>
      </c>
      <c r="N25" t="s">
        <v>272</v>
      </c>
      <c r="O25" t="s">
        <v>272</v>
      </c>
      <c r="P25" t="s">
        <v>114</v>
      </c>
    </row>
    <row r="26">
      <c r="A26">
        <f>HYPERLINK("http://bombeiros.sp.gov.br/hidrantes/03individual/856.html","856")</f>
      </c>
      <c r="B26" t="s">
        <v>114</v>
      </c>
      <c r="C26" t="s">
        <v>242</v>
      </c>
      <c r="D26" t="s">
        <v>4225</v>
      </c>
      <c r="E26" t="s">
        <v>64</v>
      </c>
      <c r="F26" t="s">
        <v>4241</v>
      </c>
      <c r="G26" t="s">
        <v>18147</v>
      </c>
      <c r="H26" t="s">
        <v>1121</v>
      </c>
      <c r="I26" t="s">
        <v>1117</v>
      </c>
      <c r="J26" t="s">
        <v>4242</v>
      </c>
      <c r="K26" t="s">
        <v>4243</v>
      </c>
      <c r="L26" t="s">
        <v>21</v>
      </c>
      <c r="M26" t="s">
        <v>19177</v>
      </c>
      <c r="N26" t="s">
        <v>272</v>
      </c>
      <c r="O26" t="s">
        <v>272</v>
      </c>
      <c r="P26" t="s">
        <v>114</v>
      </c>
    </row>
    <row r="27">
      <c r="A27">
        <f>HYPERLINK("http://bombeiros.sp.gov.br/hidrantes/03individual/818.html","818")</f>
      </c>
      <c r="B27" t="s">
        <v>114</v>
      </c>
      <c r="C27" t="s">
        <v>251</v>
      </c>
      <c r="D27" t="s">
        <v>251</v>
      </c>
      <c r="E27" t="s">
        <v>64</v>
      </c>
      <c r="F27" t="s">
        <v>252</v>
      </c>
      <c r="G27" t="s">
        <v>18143</v>
      </c>
      <c r="H27" t="s">
        <v>1121</v>
      </c>
      <c r="I27" t="s">
        <v>1117</v>
      </c>
      <c r="J27" t="s">
        <v>253</v>
      </c>
      <c r="K27" t="s">
        <v>254</v>
      </c>
      <c r="L27" t="s">
        <v>21</v>
      </c>
      <c r="M27" t="s">
        <v>19177</v>
      </c>
      <c r="N27" t="s">
        <v>309</v>
      </c>
      <c r="O27" t="s">
        <v>6029</v>
      </c>
      <c r="P27" t="s">
        <v>114</v>
      </c>
    </row>
    <row r="28">
      <c r="A28">
        <f>HYPERLINK("http://bombeiros.sp.gov.br/hidrantes/03individual/858.html","858")</f>
      </c>
      <c r="B28" t="s">
        <v>114</v>
      </c>
      <c r="C28" t="s">
        <v>4356</v>
      </c>
      <c r="D28" t="s">
        <v>4385</v>
      </c>
      <c r="E28" t="s">
        <v>64</v>
      </c>
      <c r="F28" t="s">
        <v>4386</v>
      </c>
      <c r="G28" t="s">
        <v>18065</v>
      </c>
      <c r="H28" t="s">
        <v>1121</v>
      </c>
      <c r="I28" t="s">
        <v>1117</v>
      </c>
      <c r="J28" t="s">
        <v>4387</v>
      </c>
      <c r="K28" t="s">
        <v>4388</v>
      </c>
      <c r="L28" t="s">
        <v>36</v>
      </c>
      <c r="M28" t="s">
        <v>19177</v>
      </c>
      <c r="N28" t="s">
        <v>272</v>
      </c>
      <c r="O28" t="s">
        <v>272</v>
      </c>
      <c r="P28" t="s">
        <v>114</v>
      </c>
    </row>
    <row r="29">
      <c r="A29">
        <f>HYPERLINK("http://bombeiros.sp.gov.br/hidrantes/03individual/27650.html","27650")</f>
      </c>
      <c r="B29" t="s">
        <v>114</v>
      </c>
      <c r="C29" t="s">
        <v>260</v>
      </c>
      <c r="D29" t="s">
        <v>261</v>
      </c>
      <c r="E29" t="s">
        <v>64</v>
      </c>
      <c r="F29" t="s">
        <v>17547</v>
      </c>
      <c r="G29" t="s">
        <v>18092</v>
      </c>
      <c r="H29" t="s">
        <v>1121</v>
      </c>
      <c r="I29" t="s">
        <v>1117</v>
      </c>
      <c r="J29" t="s">
        <v>17548</v>
      </c>
      <c r="K29" t="s">
        <v>17549</v>
      </c>
      <c r="L29" t="s">
        <v>21</v>
      </c>
      <c r="M29" t="s">
        <v>19177</v>
      </c>
      <c r="N29" t="s">
        <v>6029</v>
      </c>
      <c r="O29" t="s">
        <v>6029</v>
      </c>
      <c r="P29" t="s">
        <v>114</v>
      </c>
    </row>
    <row r="30">
      <c r="A30">
        <f>HYPERLINK("http://bombeiros.sp.gov.br/hidrantes/03individual/27079.html","27079")</f>
      </c>
      <c r="B30" t="s">
        <v>114</v>
      </c>
      <c r="C30" t="s">
        <v>4749</v>
      </c>
      <c r="D30" t="s">
        <v>4750</v>
      </c>
      <c r="E30" t="s">
        <v>64</v>
      </c>
      <c r="F30" t="s">
        <v>16737</v>
      </c>
      <c r="G30" t="s">
        <v>18074</v>
      </c>
      <c r="H30" t="s">
        <v>1121</v>
      </c>
      <c r="I30" t="s">
        <v>1117</v>
      </c>
      <c r="J30" t="s">
        <v>16738</v>
      </c>
      <c r="K30" t="s">
        <v>16739</v>
      </c>
      <c r="L30" t="s">
        <v>21</v>
      </c>
      <c r="M30" t="s">
        <v>19177</v>
      </c>
      <c r="N30" t="s">
        <v>272</v>
      </c>
      <c r="O30" t="s">
        <v>272</v>
      </c>
      <c r="P30" t="s">
        <v>114</v>
      </c>
    </row>
    <row r="31">
      <c r="A31">
        <f>HYPERLINK("http://bombeiros.sp.gov.br/hidrantes/03individual/15082.html","15082")</f>
      </c>
      <c r="B31" t="s">
        <v>114</v>
      </c>
      <c r="C31" t="s">
        <v>4824</v>
      </c>
      <c r="D31" t="s">
        <v>4824</v>
      </c>
      <c r="E31" t="s">
        <v>64</v>
      </c>
      <c r="F31" t="s">
        <v>4837</v>
      </c>
      <c r="G31" t="s">
        <v>18099</v>
      </c>
      <c r="H31" t="s">
        <v>1121</v>
      </c>
      <c r="I31" t="s">
        <v>1117</v>
      </c>
      <c r="J31" t="s">
        <v>4838</v>
      </c>
      <c r="K31" t="s">
        <v>4839</v>
      </c>
      <c r="L31" t="s">
        <v>21</v>
      </c>
      <c r="M31" t="s">
        <v>19177</v>
      </c>
      <c r="N31" t="s">
        <v>272</v>
      </c>
      <c r="O31" t="s">
        <v>272</v>
      </c>
      <c r="P31" t="s">
        <v>114</v>
      </c>
    </row>
    <row r="32">
      <c r="A32">
        <f>HYPERLINK("http://bombeiros.sp.gov.br/hidrantes/03individual/28135.html","28135")</f>
      </c>
      <c r="B32" t="s">
        <v>114</v>
      </c>
      <c r="C32" t="s">
        <v>309</v>
      </c>
      <c r="D32" t="s">
        <v>5484</v>
      </c>
      <c r="E32" t="s">
        <v>64</v>
      </c>
      <c r="F32" t="s">
        <v>18253</v>
      </c>
      <c r="G32" t="s">
        <v>18103</v>
      </c>
      <c r="H32" t="s">
        <v>1121</v>
      </c>
      <c r="I32" t="s">
        <v>1117</v>
      </c>
      <c r="J32" t="s">
        <v>18254</v>
      </c>
      <c r="K32" t="s">
        <v>18255</v>
      </c>
      <c r="L32" t="s">
        <v>21</v>
      </c>
      <c r="M32" t="s">
        <v>19177</v>
      </c>
      <c r="N32" t="s">
        <v>16374</v>
      </c>
      <c r="O32" t="s">
        <v>272</v>
      </c>
      <c r="P32" t="s">
        <v>114</v>
      </c>
    </row>
    <row r="33">
      <c r="A33">
        <f>HYPERLINK("http://bombeiros.sp.gov.br/hidrantes/03individual/3159.html","3159")</f>
      </c>
      <c r="B33" t="s">
        <v>114</v>
      </c>
      <c r="C33" t="s">
        <v>322</v>
      </c>
      <c r="D33" t="s">
        <v>5618</v>
      </c>
      <c r="E33" t="s">
        <v>64</v>
      </c>
      <c r="F33" t="s">
        <v>5631</v>
      </c>
      <c r="G33" t="s">
        <v>18050</v>
      </c>
      <c r="H33" t="s">
        <v>1121</v>
      </c>
      <c r="I33" t="s">
        <v>1117</v>
      </c>
      <c r="J33" t="s">
        <v>5632</v>
      </c>
      <c r="K33" t="s">
        <v>5633</v>
      </c>
      <c r="L33" t="s">
        <v>36</v>
      </c>
      <c r="M33" t="s">
        <v>19177</v>
      </c>
      <c r="N33" t="s">
        <v>300</v>
      </c>
      <c r="O33" t="s">
        <v>16373</v>
      </c>
      <c r="P33" t="s">
        <v>12</v>
      </c>
    </row>
    <row r="34">
      <c r="A34">
        <f>HYPERLINK("http://bombeiros.sp.gov.br/hidrantes/03individual/25235.html","25235")</f>
      </c>
      <c r="B34" t="s">
        <v>114</v>
      </c>
      <c r="C34" t="s">
        <v>347</v>
      </c>
      <c r="D34" t="s">
        <v>348</v>
      </c>
      <c r="E34" t="s">
        <v>64</v>
      </c>
      <c r="F34" t="s">
        <v>5990</v>
      </c>
      <c r="G34" t="s">
        <v>18105</v>
      </c>
      <c r="H34" t="s">
        <v>1121</v>
      </c>
      <c r="I34" t="s">
        <v>1117</v>
      </c>
      <c r="J34" t="s">
        <v>5991</v>
      </c>
      <c r="K34" t="s">
        <v>5992</v>
      </c>
      <c r="L34" t="s">
        <v>21</v>
      </c>
      <c r="M34" t="s">
        <v>19177</v>
      </c>
      <c r="N34" t="s">
        <v>6029</v>
      </c>
      <c r="O34" t="s">
        <v>6029</v>
      </c>
      <c r="P34" t="s">
        <v>114</v>
      </c>
    </row>
    <row r="35">
      <c r="A35">
        <f>HYPERLINK("http://bombeiros.sp.gov.br/hidrantes/03individual/3869.html","3869")</f>
      </c>
      <c r="B35" t="s">
        <v>114</v>
      </c>
      <c r="C35" t="s">
        <v>365</v>
      </c>
      <c r="D35" t="s">
        <v>6139</v>
      </c>
      <c r="E35" t="s">
        <v>64</v>
      </c>
      <c r="F35" t="s">
        <v>6143</v>
      </c>
      <c r="G35" t="s">
        <v>18098</v>
      </c>
      <c r="H35" t="s">
        <v>1121</v>
      </c>
      <c r="I35" t="s">
        <v>1117</v>
      </c>
      <c r="J35" t="s">
        <v>6144</v>
      </c>
      <c r="K35" t="s">
        <v>6145</v>
      </c>
      <c r="L35" t="s">
        <v>21</v>
      </c>
      <c r="M35" t="s">
        <v>19177</v>
      </c>
      <c r="N35" t="s">
        <v>337</v>
      </c>
      <c r="O35" t="s">
        <v>337</v>
      </c>
      <c r="P35" t="s">
        <v>12</v>
      </c>
    </row>
    <row r="36">
      <c r="A36">
        <f>HYPERLINK("http://bombeiros.sp.gov.br/hidrantes/03individual/4197.html","4197")</f>
      </c>
      <c r="B36" t="s">
        <v>114</v>
      </c>
      <c r="C36" t="s">
        <v>365</v>
      </c>
      <c r="D36" t="s">
        <v>6297</v>
      </c>
      <c r="E36" t="s">
        <v>64</v>
      </c>
      <c r="F36" t="s">
        <v>6298</v>
      </c>
      <c r="G36" t="s">
        <v>18066</v>
      </c>
      <c r="H36" t="s">
        <v>1121</v>
      </c>
      <c r="I36" t="s">
        <v>1117</v>
      </c>
      <c r="J36" t="s">
        <v>6299</v>
      </c>
      <c r="K36" t="s">
        <v>6300</v>
      </c>
      <c r="L36" t="s">
        <v>36</v>
      </c>
      <c r="M36" t="s">
        <v>19177</v>
      </c>
      <c r="N36" t="s">
        <v>337</v>
      </c>
      <c r="O36" t="s">
        <v>337</v>
      </c>
      <c r="P36" t="s">
        <v>12</v>
      </c>
    </row>
    <row r="37">
      <c r="A37">
        <f>HYPERLINK("http://bombeiros.sp.gov.br/hidrantes/03individual/1904.html","1904")</f>
      </c>
      <c r="B37" t="s">
        <v>114</v>
      </c>
      <c r="C37" t="s">
        <v>399</v>
      </c>
      <c r="D37" t="s">
        <v>399</v>
      </c>
      <c r="E37" t="s">
        <v>15</v>
      </c>
      <c r="F37" t="s">
        <v>6557</v>
      </c>
      <c r="G37" t="s">
        <v>18563</v>
      </c>
      <c r="H37" t="s">
        <v>1112</v>
      </c>
      <c r="I37" t="s">
        <v>1108</v>
      </c>
      <c r="J37" t="s">
        <v>6558</v>
      </c>
      <c r="K37" t="s">
        <v>6559</v>
      </c>
      <c r="L37" t="s">
        <v>21</v>
      </c>
      <c r="M37" t="s">
        <v>19177</v>
      </c>
      <c r="N37" t="s">
        <v>6029</v>
      </c>
      <c r="O37" t="s">
        <v>6029</v>
      </c>
      <c r="P37" t="s">
        <v>114</v>
      </c>
    </row>
    <row r="38">
      <c r="A38">
        <f>HYPERLINK("http://bombeiros.sp.gov.br/hidrantes/03individual/26433.html","26433")</f>
      </c>
      <c r="B38" t="s">
        <v>114</v>
      </c>
      <c r="C38" t="s">
        <v>333</v>
      </c>
      <c r="D38" t="s">
        <v>407</v>
      </c>
      <c r="E38" t="s">
        <v>64</v>
      </c>
      <c r="F38" t="s">
        <v>6615</v>
      </c>
      <c r="G38" t="s">
        <v>18074</v>
      </c>
      <c r="H38" t="s">
        <v>1121</v>
      </c>
      <c r="I38" t="s">
        <v>1117</v>
      </c>
      <c r="J38" t="s">
        <v>6618</v>
      </c>
      <c r="K38" t="s">
        <v>6619</v>
      </c>
      <c r="L38" t="s">
        <v>21</v>
      </c>
      <c r="M38" t="s">
        <v>19177</v>
      </c>
      <c r="N38" t="s">
        <v>300</v>
      </c>
      <c r="O38" t="s">
        <v>16373</v>
      </c>
      <c r="P38" t="s">
        <v>12</v>
      </c>
    </row>
    <row r="39">
      <c r="A39">
        <f>HYPERLINK("http://bombeiros.sp.gov.br/hidrantes/03individual/820.html","820")</f>
      </c>
      <c r="B39" t="s">
        <v>114</v>
      </c>
      <c r="C39" t="s">
        <v>421</v>
      </c>
      <c r="D39" t="s">
        <v>422</v>
      </c>
      <c r="E39" t="s">
        <v>64</v>
      </c>
      <c r="F39" t="s">
        <v>6800</v>
      </c>
      <c r="G39" t="s">
        <v>18069</v>
      </c>
      <c r="H39" t="s">
        <v>1121</v>
      </c>
      <c r="I39" t="s">
        <v>1117</v>
      </c>
      <c r="J39" t="s">
        <v>6801</v>
      </c>
      <c r="K39" t="s">
        <v>6802</v>
      </c>
      <c r="L39" t="s">
        <v>21</v>
      </c>
      <c r="M39" t="s">
        <v>19177</v>
      </c>
      <c r="N39" t="s">
        <v>6029</v>
      </c>
      <c r="O39" t="s">
        <v>6029</v>
      </c>
      <c r="P39" t="s">
        <v>114</v>
      </c>
    </row>
    <row r="40">
      <c r="A40">
        <f>HYPERLINK("http://bombeiros.sp.gov.br/hidrantes/03individual/27655.html","27655")</f>
      </c>
      <c r="B40" t="s">
        <v>114</v>
      </c>
      <c r="C40" t="s">
        <v>435</v>
      </c>
      <c r="D40" t="s">
        <v>16145</v>
      </c>
      <c r="E40" t="s">
        <v>64</v>
      </c>
      <c r="F40" t="s">
        <v>17560</v>
      </c>
      <c r="G40" t="s">
        <v>18076</v>
      </c>
      <c r="H40" t="s">
        <v>1121</v>
      </c>
      <c r="I40" t="s">
        <v>1117</v>
      </c>
      <c r="J40" t="s">
        <v>17561</v>
      </c>
      <c r="K40" t="s">
        <v>17562</v>
      </c>
      <c r="L40" t="s">
        <v>21</v>
      </c>
      <c r="M40" t="s">
        <v>19177</v>
      </c>
      <c r="N40" t="s">
        <v>16374</v>
      </c>
      <c r="O40" t="s">
        <v>272</v>
      </c>
      <c r="P40" t="s">
        <v>114</v>
      </c>
    </row>
    <row r="41">
      <c r="A41">
        <f>HYPERLINK("http://bombeiros.sp.gov.br/hidrantes/03individual/3633.html","3633")</f>
      </c>
      <c r="B41" t="s">
        <v>114</v>
      </c>
      <c r="C41" t="s">
        <v>440</v>
      </c>
      <c r="D41" t="s">
        <v>323</v>
      </c>
      <c r="E41" t="s">
        <v>64</v>
      </c>
      <c r="F41" t="s">
        <v>7158</v>
      </c>
      <c r="G41" t="s">
        <v>18150</v>
      </c>
      <c r="H41" t="s">
        <v>1174</v>
      </c>
      <c r="I41" t="s">
        <v>1117</v>
      </c>
      <c r="J41" t="s">
        <v>7159</v>
      </c>
      <c r="K41" t="s">
        <v>7160</v>
      </c>
      <c r="L41" t="s">
        <v>21</v>
      </c>
      <c r="M41" t="s">
        <v>19177</v>
      </c>
      <c r="N41" t="s">
        <v>300</v>
      </c>
      <c r="O41" t="s">
        <v>16373</v>
      </c>
      <c r="P41" t="s">
        <v>12</v>
      </c>
    </row>
    <row r="42">
      <c r="A42">
        <f>HYPERLINK("http://bombeiros.sp.gov.br/hidrantes/03individual/878.html","878")</f>
      </c>
      <c r="B42" t="s">
        <v>114</v>
      </c>
      <c r="C42" t="s">
        <v>440</v>
      </c>
      <c r="D42" t="s">
        <v>449</v>
      </c>
      <c r="E42" t="s">
        <v>64</v>
      </c>
      <c r="F42" t="s">
        <v>7197</v>
      </c>
      <c r="G42" t="s">
        <v>18056</v>
      </c>
      <c r="H42" t="s">
        <v>1112</v>
      </c>
      <c r="I42" t="s">
        <v>1108</v>
      </c>
      <c r="J42" t="s">
        <v>7198</v>
      </c>
      <c r="K42" t="s">
        <v>7199</v>
      </c>
      <c r="L42" t="s">
        <v>36</v>
      </c>
      <c r="M42" t="s">
        <v>19177</v>
      </c>
      <c r="N42" t="s">
        <v>300</v>
      </c>
      <c r="O42" t="s">
        <v>16373</v>
      </c>
      <c r="P42" t="s">
        <v>12</v>
      </c>
    </row>
    <row r="43">
      <c r="A43">
        <f>HYPERLINK("http://bombeiros.sp.gov.br/hidrantes/03individual/745.html","745")</f>
      </c>
      <c r="B43" t="s">
        <v>454</v>
      </c>
      <c r="C43" t="s">
        <v>469</v>
      </c>
      <c r="D43" t="s">
        <v>473</v>
      </c>
      <c r="E43" t="s">
        <v>64</v>
      </c>
      <c r="F43" t="s">
        <v>7566</v>
      </c>
      <c r="G43" t="s">
        <v>18200</v>
      </c>
      <c r="H43" t="s">
        <v>1121</v>
      </c>
      <c r="I43" t="s">
        <v>1117</v>
      </c>
      <c r="J43" t="s">
        <v>7567</v>
      </c>
      <c r="K43" t="s">
        <v>7568</v>
      </c>
      <c r="L43" t="s">
        <v>21</v>
      </c>
      <c r="M43" t="s">
        <v>19177</v>
      </c>
      <c r="N43" t="s">
        <v>531</v>
      </c>
      <c r="O43" t="s">
        <v>531</v>
      </c>
      <c r="P43" t="s">
        <v>454</v>
      </c>
    </row>
    <row r="44">
      <c r="A44">
        <f>HYPERLINK("http://bombeiros.sp.gov.br/hidrantes/03individual/3945.html","3945")</f>
      </c>
      <c r="B44" t="s">
        <v>454</v>
      </c>
      <c r="C44" t="s">
        <v>8128</v>
      </c>
      <c r="D44" t="s">
        <v>8128</v>
      </c>
      <c r="E44" t="s">
        <v>64</v>
      </c>
      <c r="F44" t="s">
        <v>8129</v>
      </c>
      <c r="G44" t="s">
        <v>18169</v>
      </c>
      <c r="H44" t="s">
        <v>1121</v>
      </c>
      <c r="I44" t="s">
        <v>1117</v>
      </c>
      <c r="J44" t="s">
        <v>8130</v>
      </c>
      <c r="K44" t="s">
        <v>8131</v>
      </c>
      <c r="L44" t="s">
        <v>21</v>
      </c>
      <c r="M44" t="s">
        <v>19177</v>
      </c>
      <c r="N44" t="s">
        <v>519</v>
      </c>
      <c r="O44" t="s">
        <v>519</v>
      </c>
      <c r="P44" t="s">
        <v>454</v>
      </c>
    </row>
    <row r="45">
      <c r="A45">
        <f>HYPERLINK("http://bombeiros.sp.gov.br/hidrantes/03individual/974.html","974")</f>
      </c>
      <c r="B45" t="s">
        <v>454</v>
      </c>
      <c r="C45" t="s">
        <v>560</v>
      </c>
      <c r="D45" t="s">
        <v>8587</v>
      </c>
      <c r="E45" t="s">
        <v>64</v>
      </c>
      <c r="F45" t="s">
        <v>8588</v>
      </c>
      <c r="G45" t="s">
        <v>18190</v>
      </c>
      <c r="H45" t="s">
        <v>1112</v>
      </c>
      <c r="I45" t="s">
        <v>1108</v>
      </c>
      <c r="J45" t="s">
        <v>8589</v>
      </c>
      <c r="K45" t="s">
        <v>8590</v>
      </c>
      <c r="L45" t="s">
        <v>21</v>
      </c>
      <c r="M45" t="s">
        <v>19177</v>
      </c>
      <c r="N45" t="s">
        <v>519</v>
      </c>
      <c r="O45" t="s">
        <v>519</v>
      </c>
      <c r="P45" t="s">
        <v>454</v>
      </c>
    </row>
    <row r="46">
      <c r="A46">
        <f>HYPERLINK("http://bombeiros.sp.gov.br/hidrantes/03individual/5496.html","5496")</f>
      </c>
      <c r="B46" t="s">
        <v>454</v>
      </c>
      <c r="C46" t="s">
        <v>560</v>
      </c>
      <c r="D46" t="s">
        <v>8587</v>
      </c>
      <c r="E46" t="s">
        <v>64</v>
      </c>
      <c r="F46" t="s">
        <v>8600</v>
      </c>
      <c r="G46" t="s">
        <v>18204</v>
      </c>
      <c r="H46" t="s">
        <v>1121</v>
      </c>
      <c r="I46" t="s">
        <v>1117</v>
      </c>
      <c r="J46" t="s">
        <v>8601</v>
      </c>
      <c r="K46" t="s">
        <v>8602</v>
      </c>
      <c r="L46" t="s">
        <v>21</v>
      </c>
      <c r="M46" t="s">
        <v>19177</v>
      </c>
      <c r="N46" t="s">
        <v>519</v>
      </c>
      <c r="O46" t="s">
        <v>519</v>
      </c>
      <c r="P46" t="s">
        <v>454</v>
      </c>
    </row>
    <row r="47">
      <c r="A47">
        <f>HYPERLINK("http://bombeiros.sp.gov.br/hidrantes/03individual/3363.html","3363")</f>
      </c>
      <c r="B47" t="s">
        <v>454</v>
      </c>
      <c r="C47" t="s">
        <v>560</v>
      </c>
      <c r="D47" t="s">
        <v>560</v>
      </c>
      <c r="E47" t="s">
        <v>64</v>
      </c>
      <c r="F47" t="s">
        <v>8636</v>
      </c>
      <c r="G47" t="s">
        <v>18130</v>
      </c>
      <c r="H47" t="s">
        <v>1121</v>
      </c>
      <c r="I47" t="s">
        <v>1117</v>
      </c>
      <c r="J47" t="s">
        <v>8637</v>
      </c>
      <c r="K47" t="s">
        <v>8638</v>
      </c>
      <c r="L47" t="s">
        <v>36</v>
      </c>
      <c r="M47" t="s">
        <v>19177</v>
      </c>
      <c r="N47" t="s">
        <v>519</v>
      </c>
      <c r="O47" t="s">
        <v>519</v>
      </c>
      <c r="P47" t="s">
        <v>454</v>
      </c>
    </row>
    <row r="48">
      <c r="A48">
        <f>HYPERLINK("http://bombeiros.sp.gov.br/hidrantes/03individual/5554.html","5554")</f>
      </c>
      <c r="B48" t="s">
        <v>454</v>
      </c>
      <c r="C48" t="s">
        <v>570</v>
      </c>
      <c r="D48" t="s">
        <v>570</v>
      </c>
      <c r="E48" t="s">
        <v>64</v>
      </c>
      <c r="F48" t="s">
        <v>8895</v>
      </c>
      <c r="G48" t="s">
        <v>18066</v>
      </c>
      <c r="H48" t="s">
        <v>1121</v>
      </c>
      <c r="I48" t="s">
        <v>1117</v>
      </c>
      <c r="J48" t="s">
        <v>8896</v>
      </c>
      <c r="K48" t="s">
        <v>8897</v>
      </c>
      <c r="L48" t="s">
        <v>21</v>
      </c>
      <c r="M48" t="s">
        <v>19177</v>
      </c>
      <c r="N48" t="s">
        <v>531</v>
      </c>
      <c r="O48" t="s">
        <v>531</v>
      </c>
      <c r="P48" t="s">
        <v>454</v>
      </c>
    </row>
    <row r="49">
      <c r="A49">
        <f>HYPERLINK("http://bombeiros.sp.gov.br/hidrantes/03individual/25197.html","25197")</f>
      </c>
      <c r="B49" t="s">
        <v>623</v>
      </c>
      <c r="C49" t="s">
        <v>640</v>
      </c>
      <c r="D49" t="s">
        <v>652</v>
      </c>
      <c r="E49" t="s">
        <v>64</v>
      </c>
      <c r="F49" t="s">
        <v>9821</v>
      </c>
      <c r="G49" t="s">
        <v>18139</v>
      </c>
      <c r="H49" t="s">
        <v>1121</v>
      </c>
      <c r="I49" t="s">
        <v>1117</v>
      </c>
      <c r="J49" t="s">
        <v>9822</v>
      </c>
      <c r="K49" t="s">
        <v>9823</v>
      </c>
      <c r="L49" t="s">
        <v>21</v>
      </c>
      <c r="M49" t="s">
        <v>19177</v>
      </c>
      <c r="N49" t="s">
        <v>16375</v>
      </c>
      <c r="O49" t="s">
        <v>640</v>
      </c>
      <c r="P49" t="s">
        <v>623</v>
      </c>
    </row>
    <row r="50">
      <c r="A50">
        <f>HYPERLINK("http://bombeiros.sp.gov.br/hidrantes/03individual/28001.html","28001")</f>
      </c>
      <c r="B50" t="s">
        <v>623</v>
      </c>
      <c r="C50" t="s">
        <v>640</v>
      </c>
      <c r="D50" t="s">
        <v>652</v>
      </c>
      <c r="E50" t="s">
        <v>64</v>
      </c>
      <c r="F50" t="s">
        <v>18259</v>
      </c>
      <c r="G50" t="s">
        <v>18194</v>
      </c>
      <c r="H50" t="s">
        <v>1121</v>
      </c>
      <c r="I50" t="s">
        <v>1117</v>
      </c>
      <c r="J50" t="s">
        <v>18260</v>
      </c>
      <c r="K50" t="s">
        <v>18261</v>
      </c>
      <c r="L50" t="s">
        <v>21</v>
      </c>
      <c r="M50" t="s">
        <v>19177</v>
      </c>
      <c r="N50" t="s">
        <v>16375</v>
      </c>
      <c r="O50" t="s">
        <v>640</v>
      </c>
      <c r="P50" t="s">
        <v>623</v>
      </c>
    </row>
    <row r="51">
      <c r="A51">
        <f>HYPERLINK("http://bombeiros.sp.gov.br/hidrantes/03individual/27031.html","27031")</f>
      </c>
      <c r="B51" t="s">
        <v>623</v>
      </c>
      <c r="C51" t="s">
        <v>640</v>
      </c>
      <c r="D51" t="s">
        <v>660</v>
      </c>
      <c r="E51" t="s">
        <v>64</v>
      </c>
      <c r="F51" t="s">
        <v>16606</v>
      </c>
      <c r="G51" t="s">
        <v>17928</v>
      </c>
      <c r="H51" t="s">
        <v>1121</v>
      </c>
      <c r="I51" t="s">
        <v>1117</v>
      </c>
      <c r="J51" t="s">
        <v>16607</v>
      </c>
      <c r="K51" t="s">
        <v>16608</v>
      </c>
      <c r="L51" t="s">
        <v>21</v>
      </c>
      <c r="M51" t="s">
        <v>19177</v>
      </c>
      <c r="N51" t="s">
        <v>16375</v>
      </c>
      <c r="O51" t="s">
        <v>640</v>
      </c>
      <c r="P51" t="s">
        <v>623</v>
      </c>
    </row>
    <row r="52">
      <c r="A52">
        <f>HYPERLINK("http://bombeiros.sp.gov.br/hidrantes/03individual/3361.html","3361")</f>
      </c>
      <c r="B52" t="s">
        <v>623</v>
      </c>
      <c r="C52" t="s">
        <v>690</v>
      </c>
      <c r="D52" t="s">
        <v>691</v>
      </c>
      <c r="E52" t="s">
        <v>64</v>
      </c>
      <c r="F52" t="s">
        <v>10119</v>
      </c>
      <c r="G52" t="s">
        <v>18130</v>
      </c>
      <c r="H52" t="s">
        <v>1121</v>
      </c>
      <c r="I52" t="s">
        <v>1117</v>
      </c>
      <c r="J52" t="s">
        <v>10120</v>
      </c>
      <c r="K52" t="s">
        <v>10121</v>
      </c>
      <c r="L52" t="s">
        <v>21</v>
      </c>
      <c r="M52" t="s">
        <v>19177</v>
      </c>
      <c r="N52" t="s">
        <v>519</v>
      </c>
      <c r="O52" t="s">
        <v>519</v>
      </c>
      <c r="P52" t="s">
        <v>454</v>
      </c>
    </row>
    <row r="53">
      <c r="A53">
        <f>HYPERLINK("http://bombeiros.sp.gov.br/hidrantes/03individual/895.html","895")</f>
      </c>
      <c r="B53" t="s">
        <v>623</v>
      </c>
      <c r="C53" t="s">
        <v>696</v>
      </c>
      <c r="D53" t="s">
        <v>696</v>
      </c>
      <c r="E53" t="s">
        <v>64</v>
      </c>
      <c r="F53" t="s">
        <v>10146</v>
      </c>
      <c r="G53" t="s">
        <v>18132</v>
      </c>
      <c r="H53" t="s">
        <v>1121</v>
      </c>
      <c r="I53" t="s">
        <v>1117</v>
      </c>
      <c r="J53" t="s">
        <v>10147</v>
      </c>
      <c r="K53" t="s">
        <v>10148</v>
      </c>
      <c r="L53" t="s">
        <v>36</v>
      </c>
      <c r="M53" t="s">
        <v>19177</v>
      </c>
      <c r="N53" t="s">
        <v>16375</v>
      </c>
      <c r="O53" t="s">
        <v>640</v>
      </c>
      <c r="P53" t="s">
        <v>623</v>
      </c>
    </row>
    <row r="54">
      <c r="A54">
        <f>HYPERLINK("http://bombeiros.sp.gov.br/hidrantes/03individual/16553.html","16553")</f>
      </c>
      <c r="B54" t="s">
        <v>623</v>
      </c>
      <c r="C54" t="s">
        <v>696</v>
      </c>
      <c r="D54" t="s">
        <v>696</v>
      </c>
      <c r="E54" t="s">
        <v>64</v>
      </c>
      <c r="F54" t="s">
        <v>697</v>
      </c>
      <c r="G54" t="s">
        <v>18132</v>
      </c>
      <c r="H54" t="s">
        <v>1121</v>
      </c>
      <c r="I54" t="s">
        <v>1117</v>
      </c>
      <c r="J54" t="s">
        <v>699</v>
      </c>
      <c r="K54" t="s">
        <v>700</v>
      </c>
      <c r="L54" t="s">
        <v>21</v>
      </c>
      <c r="M54" t="s">
        <v>19177</v>
      </c>
      <c r="N54" t="s">
        <v>16375</v>
      </c>
      <c r="O54" t="s">
        <v>640</v>
      </c>
      <c r="P54" t="s">
        <v>623</v>
      </c>
    </row>
    <row r="55">
      <c r="A55">
        <f>HYPERLINK("http://bombeiros.sp.gov.br/hidrantes/03individual/27052.html","27052")</f>
      </c>
      <c r="B55" t="s">
        <v>623</v>
      </c>
      <c r="C55" t="s">
        <v>696</v>
      </c>
      <c r="D55" t="s">
        <v>704</v>
      </c>
      <c r="E55" t="s">
        <v>64</v>
      </c>
      <c r="F55" t="s">
        <v>16666</v>
      </c>
      <c r="G55" t="s">
        <v>18143</v>
      </c>
      <c r="H55" t="s">
        <v>1121</v>
      </c>
      <c r="I55" t="s">
        <v>1117</v>
      </c>
      <c r="J55" t="s">
        <v>16667</v>
      </c>
      <c r="K55" t="s">
        <v>16668</v>
      </c>
      <c r="L55" t="s">
        <v>21</v>
      </c>
      <c r="M55" t="s">
        <v>19177</v>
      </c>
      <c r="N55" t="s">
        <v>16375</v>
      </c>
      <c r="O55" t="s">
        <v>640</v>
      </c>
      <c r="P55" t="s">
        <v>623</v>
      </c>
    </row>
    <row r="56">
      <c r="A56">
        <f>HYPERLINK("http://bombeiros.sp.gov.br/hidrantes/03individual/1938.html","1938")</f>
      </c>
      <c r="B56" t="s">
        <v>623</v>
      </c>
      <c r="C56" t="s">
        <v>709</v>
      </c>
      <c r="D56" t="s">
        <v>10223</v>
      </c>
      <c r="E56" t="s">
        <v>64</v>
      </c>
      <c r="F56" t="s">
        <v>10227</v>
      </c>
      <c r="G56" t="s">
        <v>18075</v>
      </c>
      <c r="H56" t="s">
        <v>1121</v>
      </c>
      <c r="I56" t="s">
        <v>1117</v>
      </c>
      <c r="J56" t="s">
        <v>15852</v>
      </c>
      <c r="K56" t="s">
        <v>15853</v>
      </c>
      <c r="L56" t="s">
        <v>21</v>
      </c>
      <c r="M56" t="s">
        <v>19177</v>
      </c>
      <c r="N56" t="s">
        <v>714</v>
      </c>
      <c r="O56" t="s">
        <v>10263</v>
      </c>
      <c r="P56" t="s">
        <v>12</v>
      </c>
    </row>
    <row r="57">
      <c r="A57">
        <f>HYPERLINK("http://bombeiros.sp.gov.br/hidrantes/03individual/4276.html","4276")</f>
      </c>
      <c r="B57" t="s">
        <v>623</v>
      </c>
      <c r="C57" t="s">
        <v>709</v>
      </c>
      <c r="D57" t="s">
        <v>10223</v>
      </c>
      <c r="E57" t="s">
        <v>64</v>
      </c>
      <c r="F57" t="s">
        <v>10236</v>
      </c>
      <c r="G57" t="s">
        <v>18050</v>
      </c>
      <c r="H57" t="s">
        <v>1121</v>
      </c>
      <c r="I57" t="s">
        <v>1117</v>
      </c>
      <c r="J57" t="s">
        <v>10237</v>
      </c>
      <c r="K57" t="s">
        <v>10238</v>
      </c>
      <c r="L57" t="s">
        <v>36</v>
      </c>
      <c r="M57" t="s">
        <v>19177</v>
      </c>
      <c r="N57" t="s">
        <v>714</v>
      </c>
      <c r="O57" t="s">
        <v>10263</v>
      </c>
      <c r="P57" t="s">
        <v>12</v>
      </c>
    </row>
    <row r="58">
      <c r="A58">
        <f>HYPERLINK("http://bombeiros.sp.gov.br/hidrantes/03individual/2095.html","2095")</f>
      </c>
      <c r="B58" t="s">
        <v>623</v>
      </c>
      <c r="C58" t="s">
        <v>709</v>
      </c>
      <c r="D58" t="s">
        <v>10263</v>
      </c>
      <c r="E58" t="s">
        <v>64</v>
      </c>
      <c r="F58" t="s">
        <v>10270</v>
      </c>
      <c r="G58" t="s">
        <v>18065</v>
      </c>
      <c r="H58" t="s">
        <v>1121</v>
      </c>
      <c r="I58" t="s">
        <v>1117</v>
      </c>
      <c r="J58" t="s">
        <v>10271</v>
      </c>
      <c r="K58" t="s">
        <v>10272</v>
      </c>
      <c r="L58" t="s">
        <v>36</v>
      </c>
      <c r="M58" t="s">
        <v>19177</v>
      </c>
      <c r="N58" t="s">
        <v>714</v>
      </c>
      <c r="O58" t="s">
        <v>10263</v>
      </c>
      <c r="P58" t="s">
        <v>12</v>
      </c>
    </row>
    <row r="59">
      <c r="A59">
        <f>HYPERLINK("http://bombeiros.sp.gov.br/hidrantes/03individual/1630.html","1630")</f>
      </c>
      <c r="B59" t="s">
        <v>623</v>
      </c>
      <c r="C59" t="s">
        <v>773</v>
      </c>
      <c r="D59" t="s">
        <v>773</v>
      </c>
      <c r="E59" t="s">
        <v>64</v>
      </c>
      <c r="F59" t="s">
        <v>10977</v>
      </c>
      <c r="G59" t="s">
        <v>18160</v>
      </c>
      <c r="H59" t="s">
        <v>1121</v>
      </c>
      <c r="I59" t="s">
        <v>1117</v>
      </c>
      <c r="J59" t="s">
        <v>10978</v>
      </c>
      <c r="K59" t="s">
        <v>10979</v>
      </c>
      <c r="L59" t="s">
        <v>36</v>
      </c>
      <c r="M59" t="s">
        <v>19177</v>
      </c>
      <c r="N59" t="s">
        <v>714</v>
      </c>
      <c r="O59" t="s">
        <v>10263</v>
      </c>
      <c r="P59" t="s">
        <v>12</v>
      </c>
    </row>
    <row r="60">
      <c r="A60">
        <f>HYPERLINK("http://bombeiros.sp.gov.br/hidrantes/03individual/27449.html","27449")</f>
      </c>
      <c r="B60" t="s">
        <v>623</v>
      </c>
      <c r="C60" t="s">
        <v>821</v>
      </c>
      <c r="D60" t="s">
        <v>822</v>
      </c>
      <c r="E60" t="s">
        <v>64</v>
      </c>
      <c r="F60" t="s">
        <v>17364</v>
      </c>
      <c r="G60" t="s">
        <v>18146</v>
      </c>
      <c r="H60" t="s">
        <v>1112</v>
      </c>
      <c r="I60" t="s">
        <v>1108</v>
      </c>
      <c r="J60" t="s">
        <v>17365</v>
      </c>
      <c r="K60" t="s">
        <v>17366</v>
      </c>
      <c r="L60" t="s">
        <v>21</v>
      </c>
      <c r="M60" t="s">
        <v>19177</v>
      </c>
      <c r="N60" t="s">
        <v>714</v>
      </c>
      <c r="O60" t="s">
        <v>10263</v>
      </c>
      <c r="P60" t="s">
        <v>12</v>
      </c>
    </row>
    <row r="61">
      <c r="A61">
        <f>HYPERLINK("http://bombeiros.sp.gov.br/hidrantes/03individual/4389.html","4389")</f>
      </c>
      <c r="B61" t="s">
        <v>842</v>
      </c>
      <c r="C61" t="s">
        <v>843</v>
      </c>
      <c r="D61" t="s">
        <v>844</v>
      </c>
      <c r="E61" t="s">
        <v>64</v>
      </c>
      <c r="F61" t="s">
        <v>12139</v>
      </c>
      <c r="G61" t="s">
        <v>18051</v>
      </c>
      <c r="H61" t="s">
        <v>1121</v>
      </c>
      <c r="I61" t="s">
        <v>1117</v>
      </c>
      <c r="J61" t="s">
        <v>12140</v>
      </c>
      <c r="K61" t="s">
        <v>12141</v>
      </c>
      <c r="L61" t="s">
        <v>36</v>
      </c>
      <c r="M61" t="s">
        <v>19177</v>
      </c>
      <c r="N61" t="s">
        <v>848</v>
      </c>
      <c r="O61" t="s">
        <v>640</v>
      </c>
      <c r="P61" t="s">
        <v>623</v>
      </c>
    </row>
    <row r="62">
      <c r="A62">
        <f>HYPERLINK("http://bombeiros.sp.gov.br/hidrantes/03individual/486.html","486")</f>
      </c>
      <c r="B62" t="s">
        <v>842</v>
      </c>
      <c r="C62" t="s">
        <v>12426</v>
      </c>
      <c r="D62" t="s">
        <v>12584</v>
      </c>
      <c r="E62" t="s">
        <v>64</v>
      </c>
      <c r="F62" t="s">
        <v>12588</v>
      </c>
      <c r="G62" t="s">
        <v>18167</v>
      </c>
      <c r="H62" t="s">
        <v>1121</v>
      </c>
      <c r="I62" t="s">
        <v>1117</v>
      </c>
      <c r="J62" t="s">
        <v>12589</v>
      </c>
      <c r="K62" t="s">
        <v>12590</v>
      </c>
      <c r="L62" t="s">
        <v>21</v>
      </c>
      <c r="M62" t="s">
        <v>19177</v>
      </c>
      <c r="N62" t="s">
        <v>97</v>
      </c>
      <c r="O62" t="s">
        <v>937</v>
      </c>
      <c r="P62" t="s">
        <v>12</v>
      </c>
    </row>
    <row r="63">
      <c r="A63">
        <f>HYPERLINK("http://bombeiros.sp.gov.br/hidrantes/03individual/1835.html","1835")</f>
      </c>
      <c r="B63" t="s">
        <v>842</v>
      </c>
      <c r="C63" t="s">
        <v>937</v>
      </c>
      <c r="D63" t="s">
        <v>937</v>
      </c>
      <c r="E63" t="s">
        <v>64</v>
      </c>
      <c r="F63" t="s">
        <v>12751</v>
      </c>
      <c r="G63" t="s">
        <v>18068</v>
      </c>
      <c r="H63" t="s">
        <v>1107</v>
      </c>
      <c r="I63" t="s">
        <v>1108</v>
      </c>
      <c r="J63" t="s">
        <v>12752</v>
      </c>
      <c r="K63" t="s">
        <v>12753</v>
      </c>
      <c r="L63" t="s">
        <v>36</v>
      </c>
      <c r="M63" t="s">
        <v>19177</v>
      </c>
      <c r="N63" t="s">
        <v>97</v>
      </c>
      <c r="O63" t="s">
        <v>937</v>
      </c>
      <c r="P63" t="s">
        <v>12</v>
      </c>
    </row>
    <row r="64">
      <c r="A64">
        <f>HYPERLINK("http://bombeiros.sp.gov.br/hidrantes/03individual/3696.html","3696")</f>
      </c>
      <c r="B64" t="s">
        <v>842</v>
      </c>
      <c r="C64" t="s">
        <v>937</v>
      </c>
      <c r="D64" t="s">
        <v>12838</v>
      </c>
      <c r="E64" t="s">
        <v>64</v>
      </c>
      <c r="F64" t="s">
        <v>12851</v>
      </c>
      <c r="G64" t="s">
        <v>18110</v>
      </c>
      <c r="H64" t="s">
        <v>1121</v>
      </c>
      <c r="I64" t="s">
        <v>1117</v>
      </c>
      <c r="J64" t="s">
        <v>12852</v>
      </c>
      <c r="K64" t="s">
        <v>12853</v>
      </c>
      <c r="L64" t="s">
        <v>21</v>
      </c>
      <c r="M64" t="s">
        <v>19177</v>
      </c>
      <c r="N64" t="s">
        <v>97</v>
      </c>
      <c r="O64" t="s">
        <v>937</v>
      </c>
      <c r="P64" t="s">
        <v>12</v>
      </c>
    </row>
    <row r="65">
      <c r="A65">
        <f>HYPERLINK("http://bombeiros.sp.gov.br/hidrantes/03individual/14930.html","14930")</f>
      </c>
      <c r="B65" t="s">
        <v>842</v>
      </c>
      <c r="C65" t="s">
        <v>996</v>
      </c>
      <c r="D65" t="s">
        <v>13449</v>
      </c>
      <c r="E65" t="s">
        <v>64</v>
      </c>
      <c r="F65" t="s">
        <v>13463</v>
      </c>
      <c r="G65" t="s">
        <v>18131</v>
      </c>
      <c r="H65" t="s">
        <v>1121</v>
      </c>
      <c r="I65" t="s">
        <v>1117</v>
      </c>
      <c r="J65" t="s">
        <v>13464</v>
      </c>
      <c r="K65" t="s">
        <v>13465</v>
      </c>
      <c r="L65" t="s">
        <v>21</v>
      </c>
      <c r="M65" t="s">
        <v>19177</v>
      </c>
      <c r="N65" t="s">
        <v>714</v>
      </c>
      <c r="O65" t="s">
        <v>10263</v>
      </c>
      <c r="P65" t="s">
        <v>12</v>
      </c>
    </row>
    <row r="66">
      <c r="A66">
        <f>HYPERLINK("http://bombeiros.sp.gov.br/hidrantes/03individual/27335.html","27335")</f>
      </c>
      <c r="B66" t="s">
        <v>842</v>
      </c>
      <c r="C66" t="s">
        <v>13671</v>
      </c>
      <c r="D66" t="s">
        <v>13671</v>
      </c>
      <c r="E66" t="s">
        <v>64</v>
      </c>
      <c r="F66" t="s">
        <v>17169</v>
      </c>
      <c r="G66" t="s">
        <v>18272</v>
      </c>
      <c r="H66" t="s">
        <v>1121</v>
      </c>
      <c r="I66" t="s">
        <v>1117</v>
      </c>
      <c r="J66" t="s">
        <v>17170</v>
      </c>
      <c r="K66" t="s">
        <v>17171</v>
      </c>
      <c r="L66" t="s">
        <v>21</v>
      </c>
      <c r="M66" t="s">
        <v>19177</v>
      </c>
      <c r="N66" t="s">
        <v>16376</v>
      </c>
      <c r="O66" t="s">
        <v>16376</v>
      </c>
      <c r="P66" t="s">
        <v>842</v>
      </c>
    </row>
    <row r="67">
      <c r="A67">
        <f>HYPERLINK("http://bombeiros.sp.gov.br/hidrantes/03individual/27060.html","27060")</f>
      </c>
      <c r="B67" t="s">
        <v>842</v>
      </c>
      <c r="C67" t="s">
        <v>945</v>
      </c>
      <c r="D67" t="s">
        <v>13908</v>
      </c>
      <c r="E67" t="s">
        <v>64</v>
      </c>
      <c r="F67" t="s">
        <v>16702</v>
      </c>
      <c r="G67" t="s">
        <v>18173</v>
      </c>
      <c r="H67" t="s">
        <v>1121</v>
      </c>
      <c r="I67" t="s">
        <v>1117</v>
      </c>
      <c r="J67" t="s">
        <v>16703</v>
      </c>
      <c r="K67" t="s">
        <v>16704</v>
      </c>
      <c r="L67" t="s">
        <v>21</v>
      </c>
      <c r="M67" t="s">
        <v>19177</v>
      </c>
      <c r="N67" t="s">
        <v>97</v>
      </c>
      <c r="O67" t="s">
        <v>937</v>
      </c>
      <c r="P67" t="s">
        <v>12</v>
      </c>
    </row>
    <row r="68">
      <c r="A68">
        <f>HYPERLINK("http://bombeiros.sp.gov.br/hidrantes/03individual/26920.html","26920")</f>
      </c>
      <c r="B68" t="s">
        <v>842</v>
      </c>
      <c r="C68" t="s">
        <v>1071</v>
      </c>
      <c r="D68" t="s">
        <v>1072</v>
      </c>
      <c r="E68" t="s">
        <v>64</v>
      </c>
      <c r="F68" t="s">
        <v>16401</v>
      </c>
      <c r="G68" t="s">
        <v>18187</v>
      </c>
      <c r="H68" t="s">
        <v>1121</v>
      </c>
      <c r="I68" t="s">
        <v>1117</v>
      </c>
      <c r="J68" t="s">
        <v>16402</v>
      </c>
      <c r="K68" t="s">
        <v>16403</v>
      </c>
      <c r="L68" t="s">
        <v>21</v>
      </c>
      <c r="M68" t="s">
        <v>19177</v>
      </c>
      <c r="N68" t="s">
        <v>16376</v>
      </c>
      <c r="O68" t="s">
        <v>16376</v>
      </c>
      <c r="P68" t="s">
        <v>842</v>
      </c>
    </row>
  </sheetData>
</worksheet>
</file>

<file path=xl/worksheets/sheet52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29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5.7109375" customWidth="true"/>
    <col min="4" max="4" width="20.7109375" customWidth="true"/>
    <col min="5" max="5" width="20.7109375" customWidth="true"/>
    <col min="6" max="6" width="100.7109375" customWidth="true"/>
    <col min="7" max="7" width="12.7109375" customWidth="true"/>
    <col min="8" max="8" width="15.7109375" customWidth="true"/>
    <col min="9" max="9" width="20.7109375" customWidth="true"/>
    <col min="10" max="10" width="20.7109375" customWidth="true"/>
    <col min="11" max="11" width="20.7109375" customWidth="true"/>
    <col min="12" max="12" width="10.7109375" customWidth="true"/>
    <col min="13" max="13" width="12.7109375" customWidth="true"/>
    <col min="14" max="14" width="30.7109375" customWidth="true"/>
    <col min="15" max="15" width="30.7109375" customWidth="true"/>
    <col min="16" max="16" width="3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14981</v>
      </c>
      <c r="N1" t="s">
        <v>16370</v>
      </c>
      <c r="O1" t="s">
        <v>16371</v>
      </c>
      <c r="P1" t="s">
        <v>16372</v>
      </c>
    </row>
    <row r="2">
      <c r="A2">
        <f>HYPERLINK("http://bombeiros.sp.gov.br/hidrantes/03individual/4274.html","4274")</f>
      </c>
      <c r="B2" t="s">
        <v>12</v>
      </c>
      <c r="C2" t="s">
        <v>13</v>
      </c>
      <c r="D2" t="s">
        <v>13</v>
      </c>
      <c r="E2" t="s">
        <v>15</v>
      </c>
      <c r="F2" t="s">
        <v>16988</v>
      </c>
      <c r="G2" t="s">
        <v>14985</v>
      </c>
      <c r="H2"/>
      <c r="I2" t="s">
        <v>1117</v>
      </c>
      <c r="J2" t="s">
        <v>14986</v>
      </c>
      <c r="K2" t="s">
        <v>14987</v>
      </c>
      <c r="L2" t="s">
        <v>21</v>
      </c>
      <c r="M2" t="s">
        <v>19177</v>
      </c>
      <c r="N2" t="s">
        <v>714</v>
      </c>
      <c r="O2" t="s">
        <v>10263</v>
      </c>
      <c r="P2" t="s">
        <v>12</v>
      </c>
    </row>
    <row r="3">
      <c r="A3">
        <f>HYPERLINK("http://bombeiros.sp.gov.br/hidrantes/03individual/26697.html","26697")</f>
      </c>
      <c r="B3" t="s">
        <v>12</v>
      </c>
      <c r="C3" t="s">
        <v>13</v>
      </c>
      <c r="D3" t="s">
        <v>13</v>
      </c>
      <c r="E3" t="s">
        <v>15</v>
      </c>
      <c r="F3" t="s">
        <v>14988</v>
      </c>
      <c r="G3"/>
      <c r="H3"/>
      <c r="I3" t="s">
        <v>1503</v>
      </c>
      <c r="J3" t="s">
        <v>14989</v>
      </c>
      <c r="K3" t="s">
        <v>14990</v>
      </c>
      <c r="L3" t="s">
        <v>21</v>
      </c>
      <c r="M3" t="s">
        <v>19177</v>
      </c>
      <c r="N3" t="s">
        <v>714</v>
      </c>
      <c r="O3" t="s">
        <v>10263</v>
      </c>
      <c r="P3" t="s">
        <v>12</v>
      </c>
    </row>
    <row r="4">
      <c r="A4">
        <f>HYPERLINK("http://bombeiros.sp.gov.br/hidrantes/03individual/42.html","42")</f>
      </c>
      <c r="B4" t="s">
        <v>12</v>
      </c>
      <c r="C4" t="s">
        <v>13</v>
      </c>
      <c r="D4" t="s">
        <v>14</v>
      </c>
      <c r="E4" t="s">
        <v>15</v>
      </c>
      <c r="F4" t="s">
        <v>14991</v>
      </c>
      <c r="G4" t="s">
        <v>14992</v>
      </c>
      <c r="H4"/>
      <c r="I4" t="s">
        <v>1117</v>
      </c>
      <c r="J4" t="s">
        <v>14993</v>
      </c>
      <c r="K4" t="s">
        <v>14994</v>
      </c>
      <c r="L4" t="s">
        <v>36</v>
      </c>
      <c r="M4" t="s">
        <v>19177</v>
      </c>
      <c r="N4" t="s">
        <v>714</v>
      </c>
      <c r="O4" t="s">
        <v>10263</v>
      </c>
      <c r="P4" t="s">
        <v>12</v>
      </c>
    </row>
    <row r="5">
      <c r="A5">
        <f>HYPERLINK("http://bombeiros.sp.gov.br/hidrantes/03individual/147.html","147")</f>
      </c>
      <c r="B5" t="s">
        <v>12</v>
      </c>
      <c r="C5" t="s">
        <v>13</v>
      </c>
      <c r="D5" t="s">
        <v>14</v>
      </c>
      <c r="E5" t="s">
        <v>15</v>
      </c>
      <c r="F5" t="s">
        <v>14995</v>
      </c>
      <c r="G5" t="s">
        <v>14992</v>
      </c>
      <c r="H5"/>
      <c r="I5" t="s">
        <v>1117</v>
      </c>
      <c r="J5" t="s">
        <v>14996</v>
      </c>
      <c r="K5" t="s">
        <v>14997</v>
      </c>
      <c r="L5" t="s">
        <v>21</v>
      </c>
      <c r="M5" t="s">
        <v>19177</v>
      </c>
      <c r="N5" t="s">
        <v>714</v>
      </c>
      <c r="O5" t="s">
        <v>10263</v>
      </c>
      <c r="P5" t="s">
        <v>12</v>
      </c>
    </row>
    <row r="6">
      <c r="A6">
        <f>HYPERLINK("http://bombeiros.sp.gov.br/hidrantes/03individual/246.html","246")</f>
      </c>
      <c r="B6" t="s">
        <v>12</v>
      </c>
      <c r="C6" t="s">
        <v>13</v>
      </c>
      <c r="D6" t="s">
        <v>14</v>
      </c>
      <c r="E6" t="s">
        <v>15</v>
      </c>
      <c r="F6" t="s">
        <v>14998</v>
      </c>
      <c r="G6" t="s">
        <v>14992</v>
      </c>
      <c r="H6"/>
      <c r="I6" t="s">
        <v>1117</v>
      </c>
      <c r="J6" t="s">
        <v>14999</v>
      </c>
      <c r="K6" t="s">
        <v>15000</v>
      </c>
      <c r="L6" t="s">
        <v>21</v>
      </c>
      <c r="M6" t="s">
        <v>19177</v>
      </c>
      <c r="N6" t="s">
        <v>714</v>
      </c>
      <c r="O6" t="s">
        <v>10263</v>
      </c>
      <c r="P6" t="s">
        <v>12</v>
      </c>
    </row>
    <row r="7">
      <c r="A7">
        <f>HYPERLINK("http://bombeiros.sp.gov.br/hidrantes/03individual/2608.html","2608")</f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18048</v>
      </c>
      <c r="H7"/>
      <c r="I7" t="s">
        <v>18</v>
      </c>
      <c r="J7" t="s">
        <v>23</v>
      </c>
      <c r="K7" t="s">
        <v>24</v>
      </c>
      <c r="L7" t="s">
        <v>21</v>
      </c>
      <c r="M7" t="s">
        <v>19177</v>
      </c>
      <c r="N7" t="s">
        <v>714</v>
      </c>
      <c r="O7" t="s">
        <v>10263</v>
      </c>
      <c r="P7" t="s">
        <v>12</v>
      </c>
    </row>
    <row r="8">
      <c r="A8">
        <f>HYPERLINK("http://bombeiros.sp.gov.br/hidrantes/03individual/2772.html","2772")</f>
      </c>
      <c r="B8" t="s">
        <v>12</v>
      </c>
      <c r="C8" t="s">
        <v>13</v>
      </c>
      <c r="D8" t="s">
        <v>1172</v>
      </c>
      <c r="E8" t="s">
        <v>15</v>
      </c>
      <c r="F8" t="s">
        <v>15001</v>
      </c>
      <c r="G8" t="s">
        <v>14985</v>
      </c>
      <c r="H8"/>
      <c r="I8" t="s">
        <v>1117</v>
      </c>
      <c r="J8" t="s">
        <v>15002</v>
      </c>
      <c r="K8" t="s">
        <v>15003</v>
      </c>
      <c r="L8" t="s">
        <v>21</v>
      </c>
      <c r="M8" t="s">
        <v>19177</v>
      </c>
      <c r="N8" t="s">
        <v>714</v>
      </c>
      <c r="O8" t="s">
        <v>10263</v>
      </c>
      <c r="P8" t="s">
        <v>12</v>
      </c>
    </row>
    <row r="9">
      <c r="A9">
        <f>HYPERLINK("http://bombeiros.sp.gov.br/hidrantes/03individual/2773.html","2773")</f>
      </c>
      <c r="B9" t="s">
        <v>12</v>
      </c>
      <c r="C9" t="s">
        <v>13</v>
      </c>
      <c r="D9" t="s">
        <v>1172</v>
      </c>
      <c r="E9" t="s">
        <v>15</v>
      </c>
      <c r="F9" t="s">
        <v>15004</v>
      </c>
      <c r="G9" t="s">
        <v>14985</v>
      </c>
      <c r="H9"/>
      <c r="I9" t="s">
        <v>1117</v>
      </c>
      <c r="J9" t="s">
        <v>15005</v>
      </c>
      <c r="K9" t="s">
        <v>15006</v>
      </c>
      <c r="L9" t="s">
        <v>21</v>
      </c>
      <c r="M9" t="s">
        <v>19177</v>
      </c>
      <c r="N9" t="s">
        <v>714</v>
      </c>
      <c r="O9" t="s">
        <v>10263</v>
      </c>
      <c r="P9" t="s">
        <v>12</v>
      </c>
    </row>
    <row r="10">
      <c r="A10">
        <f>HYPERLINK("http://bombeiros.sp.gov.br/hidrantes/03individual/27132.html","27132")</f>
      </c>
      <c r="B10" t="s">
        <v>12</v>
      </c>
      <c r="C10" t="s">
        <v>13</v>
      </c>
      <c r="D10" t="s">
        <v>1172</v>
      </c>
      <c r="E10" t="s">
        <v>15</v>
      </c>
      <c r="F10" t="s">
        <v>16808</v>
      </c>
      <c r="G10" t="s">
        <v>17491</v>
      </c>
      <c r="H10" t="s">
        <v>1121</v>
      </c>
      <c r="I10" t="s">
        <v>1117</v>
      </c>
      <c r="J10" t="s">
        <v>16809</v>
      </c>
      <c r="K10" t="s">
        <v>16810</v>
      </c>
      <c r="L10" t="s">
        <v>21</v>
      </c>
      <c r="M10" t="s">
        <v>19177</v>
      </c>
      <c r="N10" t="s">
        <v>714</v>
      </c>
      <c r="O10" t="s">
        <v>10263</v>
      </c>
      <c r="P10" t="s">
        <v>12</v>
      </c>
    </row>
    <row r="11">
      <c r="A11">
        <f>HYPERLINK("http://bombeiros.sp.gov.br/hidrantes/03individual/2660.html","2660")</f>
      </c>
      <c r="B11" t="s">
        <v>12</v>
      </c>
      <c r="C11" t="s">
        <v>13</v>
      </c>
      <c r="D11" t="s">
        <v>25</v>
      </c>
      <c r="E11" t="s">
        <v>15</v>
      </c>
      <c r="F11" t="s">
        <v>26</v>
      </c>
      <c r="G11" t="s">
        <v>18240</v>
      </c>
      <c r="H11" t="s">
        <v>1121</v>
      </c>
      <c r="I11" t="s">
        <v>1117</v>
      </c>
      <c r="J11" t="s">
        <v>28</v>
      </c>
      <c r="K11" t="s">
        <v>29</v>
      </c>
      <c r="L11" t="s">
        <v>21</v>
      </c>
      <c r="M11" t="s">
        <v>19177</v>
      </c>
      <c r="N11" t="s">
        <v>714</v>
      </c>
      <c r="O11" t="s">
        <v>10263</v>
      </c>
      <c r="P11" t="s">
        <v>12</v>
      </c>
    </row>
    <row r="12">
      <c r="A12">
        <f>HYPERLINK("http://bombeiros.sp.gov.br/hidrantes/03individual/193.html","193")</f>
      </c>
      <c r="B12" t="s">
        <v>12</v>
      </c>
      <c r="C12" t="s">
        <v>13</v>
      </c>
      <c r="D12" t="s">
        <v>1251</v>
      </c>
      <c r="E12" t="s">
        <v>15</v>
      </c>
      <c r="F12" t="s">
        <v>15007</v>
      </c>
      <c r="G12" t="s">
        <v>1034</v>
      </c>
      <c r="H12"/>
      <c r="I12" t="s">
        <v>18</v>
      </c>
      <c r="J12" t="s">
        <v>15008</v>
      </c>
      <c r="K12" t="s">
        <v>15009</v>
      </c>
      <c r="L12" t="s">
        <v>21</v>
      </c>
      <c r="M12" t="s">
        <v>19177</v>
      </c>
      <c r="N12" t="s">
        <v>714</v>
      </c>
      <c r="O12" t="s">
        <v>10263</v>
      </c>
      <c r="P12" t="s">
        <v>12</v>
      </c>
    </row>
    <row r="13">
      <c r="A13">
        <f>HYPERLINK("http://bombeiros.sp.gov.br/hidrantes/03individual/2755.html","2755")</f>
      </c>
      <c r="B13" t="s">
        <v>12</v>
      </c>
      <c r="C13" t="s">
        <v>13</v>
      </c>
      <c r="D13" t="s">
        <v>1251</v>
      </c>
      <c r="E13" t="s">
        <v>15</v>
      </c>
      <c r="F13" t="s">
        <v>1280</v>
      </c>
      <c r="G13" t="s">
        <v>18023</v>
      </c>
      <c r="H13" t="s">
        <v>1121</v>
      </c>
      <c r="I13" t="s">
        <v>1117</v>
      </c>
      <c r="J13" t="s">
        <v>1281</v>
      </c>
      <c r="K13" t="s">
        <v>1282</v>
      </c>
      <c r="L13" t="s">
        <v>21</v>
      </c>
      <c r="M13" t="s">
        <v>19177</v>
      </c>
      <c r="N13" t="s">
        <v>714</v>
      </c>
      <c r="O13" t="s">
        <v>10263</v>
      </c>
      <c r="P13" t="s">
        <v>12</v>
      </c>
    </row>
    <row r="14">
      <c r="A14">
        <f>HYPERLINK("http://bombeiros.sp.gov.br/hidrantes/03individual/5645.html","5645")</f>
      </c>
      <c r="B14" t="s">
        <v>12</v>
      </c>
      <c r="C14" t="s">
        <v>13</v>
      </c>
      <c r="D14" t="s">
        <v>1251</v>
      </c>
      <c r="E14" t="s">
        <v>15</v>
      </c>
      <c r="F14" t="s">
        <v>1283</v>
      </c>
      <c r="G14" t="s">
        <v>17252</v>
      </c>
      <c r="H14"/>
      <c r="I14" t="s">
        <v>18</v>
      </c>
      <c r="J14" t="s">
        <v>1284</v>
      </c>
      <c r="K14" t="s">
        <v>1285</v>
      </c>
      <c r="L14" t="s">
        <v>21</v>
      </c>
      <c r="M14" t="s">
        <v>19177</v>
      </c>
      <c r="N14" t="s">
        <v>714</v>
      </c>
      <c r="O14" t="s">
        <v>10263</v>
      </c>
      <c r="P14" t="s">
        <v>12</v>
      </c>
    </row>
    <row r="15">
      <c r="A15">
        <f>HYPERLINK("http://bombeiros.sp.gov.br/hidrantes/03individual/2798.html","2798")</f>
      </c>
      <c r="B15" t="s">
        <v>12</v>
      </c>
      <c r="C15" t="s">
        <v>30</v>
      </c>
      <c r="D15" t="s">
        <v>30</v>
      </c>
      <c r="E15" t="s">
        <v>15</v>
      </c>
      <c r="F15" t="s">
        <v>15010</v>
      </c>
      <c r="G15" t="s">
        <v>15011</v>
      </c>
      <c r="H15"/>
      <c r="I15" t="s">
        <v>1117</v>
      </c>
      <c r="J15" t="s">
        <v>15012</v>
      </c>
      <c r="K15" t="s">
        <v>15013</v>
      </c>
      <c r="L15" t="s">
        <v>21</v>
      </c>
      <c r="M15" t="s">
        <v>19177</v>
      </c>
      <c r="N15" t="s">
        <v>97</v>
      </c>
      <c r="O15" t="s">
        <v>937</v>
      </c>
      <c r="P15" t="s">
        <v>12</v>
      </c>
    </row>
    <row r="16">
      <c r="A16">
        <f>HYPERLINK("http://bombeiros.sp.gov.br/hidrantes/03individual/26629.html","26629")</f>
      </c>
      <c r="B16" t="s">
        <v>12</v>
      </c>
      <c r="C16" t="s">
        <v>30</v>
      </c>
      <c r="D16" t="s">
        <v>30</v>
      </c>
      <c r="E16" t="s">
        <v>15</v>
      </c>
      <c r="F16" t="s">
        <v>15014</v>
      </c>
      <c r="G16"/>
      <c r="H16"/>
      <c r="I16" t="s">
        <v>1503</v>
      </c>
      <c r="J16" t="s">
        <v>15015</v>
      </c>
      <c r="K16" t="s">
        <v>15016</v>
      </c>
      <c r="L16" t="s">
        <v>21</v>
      </c>
      <c r="M16" t="s">
        <v>19177</v>
      </c>
      <c r="N16" t="s">
        <v>97</v>
      </c>
      <c r="O16" t="s">
        <v>937</v>
      </c>
      <c r="P16" t="s">
        <v>12</v>
      </c>
    </row>
    <row r="17">
      <c r="A17">
        <f>HYPERLINK("http://bombeiros.sp.gov.br/hidrantes/03individual/2425.html","2425")</f>
      </c>
      <c r="B17" t="s">
        <v>12</v>
      </c>
      <c r="C17" t="s">
        <v>30</v>
      </c>
      <c r="D17" t="s">
        <v>31</v>
      </c>
      <c r="E17" t="s">
        <v>64</v>
      </c>
      <c r="F17" t="s">
        <v>15017</v>
      </c>
      <c r="G17" t="s">
        <v>15018</v>
      </c>
      <c r="H17"/>
      <c r="I17" t="s">
        <v>1117</v>
      </c>
      <c r="J17" t="s">
        <v>15019</v>
      </c>
      <c r="K17" t="s">
        <v>15020</v>
      </c>
      <c r="L17" t="s">
        <v>36</v>
      </c>
      <c r="M17" t="s">
        <v>19177</v>
      </c>
      <c r="N17" t="s">
        <v>97</v>
      </c>
      <c r="O17" t="s">
        <v>937</v>
      </c>
      <c r="P17" t="s">
        <v>12</v>
      </c>
    </row>
    <row r="18">
      <c r="A18">
        <f>HYPERLINK("http://bombeiros.sp.gov.br/hidrantes/03individual/700.html","700")</f>
      </c>
      <c r="B18" t="s">
        <v>12</v>
      </c>
      <c r="C18" t="s">
        <v>30</v>
      </c>
      <c r="D18" t="s">
        <v>31</v>
      </c>
      <c r="E18" t="s">
        <v>15</v>
      </c>
      <c r="F18" t="s">
        <v>1421</v>
      </c>
      <c r="G18" t="s">
        <v>18047</v>
      </c>
      <c r="H18"/>
      <c r="I18" t="s">
        <v>18</v>
      </c>
      <c r="J18" t="s">
        <v>1422</v>
      </c>
      <c r="K18" t="s">
        <v>1423</v>
      </c>
      <c r="L18" t="s">
        <v>21</v>
      </c>
      <c r="M18" t="s">
        <v>19177</v>
      </c>
      <c r="N18" t="s">
        <v>97</v>
      </c>
      <c r="O18" t="s">
        <v>937</v>
      </c>
      <c r="P18" t="s">
        <v>12</v>
      </c>
    </row>
    <row r="19">
      <c r="A19">
        <f>HYPERLINK("http://bombeiros.sp.gov.br/hidrantes/03individual/2419.html","2419")</f>
      </c>
      <c r="B19" t="s">
        <v>12</v>
      </c>
      <c r="C19" t="s">
        <v>30</v>
      </c>
      <c r="D19" t="s">
        <v>31</v>
      </c>
      <c r="E19" t="s">
        <v>15</v>
      </c>
      <c r="F19" t="s">
        <v>1463</v>
      </c>
      <c r="G19" t="s">
        <v>18183</v>
      </c>
      <c r="H19" t="s">
        <v>1121</v>
      </c>
      <c r="I19" t="s">
        <v>1117</v>
      </c>
      <c r="J19" t="s">
        <v>1464</v>
      </c>
      <c r="K19" t="s">
        <v>1465</v>
      </c>
      <c r="L19" t="s">
        <v>21</v>
      </c>
      <c r="M19" t="s">
        <v>19177</v>
      </c>
      <c r="N19" t="s">
        <v>97</v>
      </c>
      <c r="O19" t="s">
        <v>937</v>
      </c>
      <c r="P19" t="s">
        <v>12</v>
      </c>
    </row>
    <row r="20">
      <c r="A20">
        <f>HYPERLINK("http://bombeiros.sp.gov.br/hidrantes/03individual/26713.html","26713")</f>
      </c>
      <c r="B20" t="s">
        <v>12</v>
      </c>
      <c r="C20" t="s">
        <v>30</v>
      </c>
      <c r="D20" t="s">
        <v>31</v>
      </c>
      <c r="E20" t="s">
        <v>15</v>
      </c>
      <c r="F20" t="s">
        <v>1499</v>
      </c>
      <c r="G20" t="s">
        <v>18043</v>
      </c>
      <c r="H20" t="s">
        <v>1107</v>
      </c>
      <c r="I20" t="s">
        <v>1108</v>
      </c>
      <c r="J20" t="s">
        <v>1500</v>
      </c>
      <c r="K20" t="s">
        <v>1501</v>
      </c>
      <c r="L20" t="s">
        <v>21</v>
      </c>
      <c r="M20" t="s">
        <v>19177</v>
      </c>
      <c r="N20" t="s">
        <v>97</v>
      </c>
      <c r="O20" t="s">
        <v>937</v>
      </c>
      <c r="P20" t="s">
        <v>12</v>
      </c>
    </row>
    <row r="21">
      <c r="A21">
        <f>HYPERLINK("http://bombeiros.sp.gov.br/hidrantes/03individual/4425.html","4425")</f>
      </c>
      <c r="B21" t="s">
        <v>12</v>
      </c>
      <c r="C21" t="s">
        <v>30</v>
      </c>
      <c r="D21" t="s">
        <v>1506</v>
      </c>
      <c r="E21" t="s">
        <v>1507</v>
      </c>
      <c r="F21" t="s">
        <v>1508</v>
      </c>
      <c r="G21" t="s">
        <v>1509</v>
      </c>
      <c r="H21" t="s">
        <v>1121</v>
      </c>
      <c r="I21" t="s">
        <v>1117</v>
      </c>
      <c r="J21" t="s">
        <v>1510</v>
      </c>
      <c r="K21" t="s">
        <v>1511</v>
      </c>
      <c r="L21" t="s">
        <v>21</v>
      </c>
      <c r="M21" t="s">
        <v>19177</v>
      </c>
      <c r="N21" t="s">
        <v>97</v>
      </c>
      <c r="O21" t="s">
        <v>937</v>
      </c>
      <c r="P21" t="s">
        <v>12</v>
      </c>
    </row>
    <row r="22">
      <c r="A22">
        <f>HYPERLINK("http://bombeiros.sp.gov.br/hidrantes/03individual/16563.html","16563")</f>
      </c>
      <c r="B22" t="s">
        <v>12</v>
      </c>
      <c r="C22" t="s">
        <v>30</v>
      </c>
      <c r="D22" t="s">
        <v>1506</v>
      </c>
      <c r="E22" t="s">
        <v>64</v>
      </c>
      <c r="F22" t="s">
        <v>15021</v>
      </c>
      <c r="G22"/>
      <c r="H22"/>
      <c r="I22" t="s">
        <v>1503</v>
      </c>
      <c r="J22" t="s">
        <v>15022</v>
      </c>
      <c r="K22" t="s">
        <v>15023</v>
      </c>
      <c r="L22" t="s">
        <v>21</v>
      </c>
      <c r="M22" t="s">
        <v>19177</v>
      </c>
      <c r="N22" t="s">
        <v>97</v>
      </c>
      <c r="O22" t="s">
        <v>937</v>
      </c>
      <c r="P22" t="s">
        <v>12</v>
      </c>
    </row>
    <row r="23">
      <c r="A23">
        <f>HYPERLINK("http://bombeiros.sp.gov.br/hidrantes/03individual/2886.html","2886")</f>
      </c>
      <c r="B23" t="s">
        <v>12</v>
      </c>
      <c r="C23" t="s">
        <v>30</v>
      </c>
      <c r="D23" t="s">
        <v>1506</v>
      </c>
      <c r="E23" t="s">
        <v>15</v>
      </c>
      <c r="F23" t="s">
        <v>1540</v>
      </c>
      <c r="G23" t="s">
        <v>18075</v>
      </c>
      <c r="H23" t="s">
        <v>1121</v>
      </c>
      <c r="I23" t="s">
        <v>1117</v>
      </c>
      <c r="J23" t="s">
        <v>1541</v>
      </c>
      <c r="K23" t="s">
        <v>1542</v>
      </c>
      <c r="L23" t="s">
        <v>21</v>
      </c>
      <c r="M23" t="s">
        <v>19177</v>
      </c>
      <c r="N23" t="s">
        <v>97</v>
      </c>
      <c r="O23" t="s">
        <v>937</v>
      </c>
      <c r="P23" t="s">
        <v>12</v>
      </c>
    </row>
    <row r="24">
      <c r="A24">
        <f>HYPERLINK("http://bombeiros.sp.gov.br/hidrantes/03individual/26630.html","26630")</f>
      </c>
      <c r="B24" t="s">
        <v>12</v>
      </c>
      <c r="C24" t="s">
        <v>30</v>
      </c>
      <c r="D24" t="s">
        <v>1506</v>
      </c>
      <c r="E24" t="s">
        <v>15</v>
      </c>
      <c r="F24" t="s">
        <v>15024</v>
      </c>
      <c r="G24"/>
      <c r="H24"/>
      <c r="I24" t="s">
        <v>1503</v>
      </c>
      <c r="J24" t="s">
        <v>15025</v>
      </c>
      <c r="K24" t="s">
        <v>15026</v>
      </c>
      <c r="L24" t="s">
        <v>21</v>
      </c>
      <c r="M24" t="s">
        <v>19177</v>
      </c>
      <c r="N24" t="s">
        <v>97</v>
      </c>
      <c r="O24" t="s">
        <v>937</v>
      </c>
      <c r="P24" t="s">
        <v>12</v>
      </c>
    </row>
    <row r="25">
      <c r="A25">
        <f>HYPERLINK("http://bombeiros.sp.gov.br/hidrantes/03individual/211.html","211")</f>
      </c>
      <c r="B25" t="s">
        <v>12</v>
      </c>
      <c r="C25" t="s">
        <v>37</v>
      </c>
      <c r="D25" t="s">
        <v>38</v>
      </c>
      <c r="E25" t="s">
        <v>64</v>
      </c>
      <c r="F25" t="s">
        <v>15027</v>
      </c>
      <c r="G25" t="s">
        <v>15018</v>
      </c>
      <c r="H25"/>
      <c r="I25" t="s">
        <v>1117</v>
      </c>
      <c r="J25" t="s">
        <v>15028</v>
      </c>
      <c r="K25" t="s">
        <v>15029</v>
      </c>
      <c r="L25" t="s">
        <v>36</v>
      </c>
      <c r="M25" t="s">
        <v>19177</v>
      </c>
      <c r="N25" t="s">
        <v>97</v>
      </c>
      <c r="O25" t="s">
        <v>937</v>
      </c>
      <c r="P25" t="s">
        <v>12</v>
      </c>
    </row>
    <row r="26">
      <c r="A26">
        <f>HYPERLINK("http://bombeiros.sp.gov.br/hidrantes/03individual/27163.html","27163")</f>
      </c>
      <c r="B26" t="s">
        <v>12</v>
      </c>
      <c r="C26" t="s">
        <v>37</v>
      </c>
      <c r="D26" t="s">
        <v>38</v>
      </c>
      <c r="E26" t="s">
        <v>15</v>
      </c>
      <c r="F26" t="s">
        <v>16886</v>
      </c>
      <c r="G26"/>
      <c r="H26"/>
      <c r="I26" t="s">
        <v>1503</v>
      </c>
      <c r="J26" t="s">
        <v>16887</v>
      </c>
      <c r="K26" t="s">
        <v>16888</v>
      </c>
      <c r="L26" t="s">
        <v>21</v>
      </c>
      <c r="M26" t="s">
        <v>19177</v>
      </c>
      <c r="N26" t="s">
        <v>97</v>
      </c>
      <c r="O26" t="s">
        <v>937</v>
      </c>
      <c r="P26" t="s">
        <v>12</v>
      </c>
    </row>
    <row r="27">
      <c r="A27">
        <f>HYPERLINK("http://bombeiros.sp.gov.br/hidrantes/03individual/2539.html","2539")</f>
      </c>
      <c r="B27" t="s">
        <v>12</v>
      </c>
      <c r="C27" t="s">
        <v>47</v>
      </c>
      <c r="D27" t="s">
        <v>47</v>
      </c>
      <c r="E27" t="s">
        <v>15</v>
      </c>
      <c r="F27" t="s">
        <v>1751</v>
      </c>
      <c r="G27" t="s">
        <v>17537</v>
      </c>
      <c r="H27"/>
      <c r="I27" t="s">
        <v>18</v>
      </c>
      <c r="J27" t="s">
        <v>1752</v>
      </c>
      <c r="K27" t="s">
        <v>1753</v>
      </c>
      <c r="L27" t="s">
        <v>21</v>
      </c>
      <c r="M27" t="s">
        <v>19177</v>
      </c>
      <c r="N27" t="s">
        <v>714</v>
      </c>
      <c r="O27" t="s">
        <v>10263</v>
      </c>
      <c r="P27" t="s">
        <v>12</v>
      </c>
    </row>
    <row r="28">
      <c r="A28">
        <f>HYPERLINK("http://bombeiros.sp.gov.br/hidrantes/03individual/16541.html","16541")</f>
      </c>
      <c r="B28" t="s">
        <v>12</v>
      </c>
      <c r="C28" t="s">
        <v>47</v>
      </c>
      <c r="D28" t="s">
        <v>47</v>
      </c>
      <c r="E28" t="s">
        <v>15</v>
      </c>
      <c r="F28" t="s">
        <v>15030</v>
      </c>
      <c r="G28"/>
      <c r="H28"/>
      <c r="I28" t="s">
        <v>1503</v>
      </c>
      <c r="J28" t="s">
        <v>15031</v>
      </c>
      <c r="K28" t="s">
        <v>15032</v>
      </c>
      <c r="L28" t="s">
        <v>21</v>
      </c>
      <c r="M28" t="s">
        <v>19177</v>
      </c>
      <c r="N28" t="s">
        <v>714</v>
      </c>
      <c r="O28" t="s">
        <v>10263</v>
      </c>
      <c r="P28" t="s">
        <v>12</v>
      </c>
    </row>
    <row r="29">
      <c r="A29">
        <f>HYPERLINK("http://bombeiros.sp.gov.br/hidrantes/03individual/16637.html","16637")</f>
      </c>
      <c r="B29" t="s">
        <v>12</v>
      </c>
      <c r="C29" t="s">
        <v>47</v>
      </c>
      <c r="D29" t="s">
        <v>47</v>
      </c>
      <c r="E29" t="s">
        <v>15</v>
      </c>
      <c r="F29" t="s">
        <v>48</v>
      </c>
      <c r="G29" t="s">
        <v>17537</v>
      </c>
      <c r="H29"/>
      <c r="I29" t="s">
        <v>18</v>
      </c>
      <c r="J29" t="s">
        <v>50</v>
      </c>
      <c r="K29" t="s">
        <v>51</v>
      </c>
      <c r="L29" t="s">
        <v>21</v>
      </c>
      <c r="M29" t="s">
        <v>19177</v>
      </c>
      <c r="N29" t="s">
        <v>714</v>
      </c>
      <c r="O29" t="s">
        <v>10263</v>
      </c>
      <c r="P29" t="s">
        <v>12</v>
      </c>
    </row>
    <row r="30">
      <c r="A30">
        <f>HYPERLINK("http://bombeiros.sp.gov.br/hidrantes/03individual/25221.html","25221")</f>
      </c>
      <c r="B30" t="s">
        <v>12</v>
      </c>
      <c r="C30" t="s">
        <v>47</v>
      </c>
      <c r="D30" t="s">
        <v>52</v>
      </c>
      <c r="E30" t="s">
        <v>15</v>
      </c>
      <c r="F30" t="s">
        <v>53</v>
      </c>
      <c r="G30" t="s">
        <v>18054</v>
      </c>
      <c r="H30" t="s">
        <v>1121</v>
      </c>
      <c r="I30" t="s">
        <v>1117</v>
      </c>
      <c r="J30" t="s">
        <v>55</v>
      </c>
      <c r="K30" t="s">
        <v>56</v>
      </c>
      <c r="L30" t="s">
        <v>21</v>
      </c>
      <c r="M30" t="s">
        <v>19177</v>
      </c>
      <c r="N30" t="s">
        <v>714</v>
      </c>
      <c r="O30" t="s">
        <v>10263</v>
      </c>
      <c r="P30" t="s">
        <v>12</v>
      </c>
    </row>
    <row r="31">
      <c r="A31">
        <f>HYPERLINK("http://bombeiros.sp.gov.br/hidrantes/03individual/91.html","91")</f>
      </c>
      <c r="B31" t="s">
        <v>12</v>
      </c>
      <c r="C31" t="s">
        <v>47</v>
      </c>
      <c r="D31" t="s">
        <v>1788</v>
      </c>
      <c r="E31" t="s">
        <v>15</v>
      </c>
      <c r="F31" t="s">
        <v>15033</v>
      </c>
      <c r="G31" t="s">
        <v>15034</v>
      </c>
      <c r="H31"/>
      <c r="I31" t="s">
        <v>1117</v>
      </c>
      <c r="J31" t="s">
        <v>15035</v>
      </c>
      <c r="K31" t="s">
        <v>15036</v>
      </c>
      <c r="L31" t="s">
        <v>21</v>
      </c>
      <c r="M31" t="s">
        <v>19177</v>
      </c>
      <c r="N31" t="s">
        <v>714</v>
      </c>
      <c r="O31" t="s">
        <v>10263</v>
      </c>
      <c r="P31" t="s">
        <v>12</v>
      </c>
    </row>
    <row r="32">
      <c r="A32">
        <f>HYPERLINK("http://bombeiros.sp.gov.br/hidrantes/03individual/157.html","157")</f>
      </c>
      <c r="B32" t="s">
        <v>12</v>
      </c>
      <c r="C32" t="s">
        <v>47</v>
      </c>
      <c r="D32" t="s">
        <v>1788</v>
      </c>
      <c r="E32" t="s">
        <v>15</v>
      </c>
      <c r="F32" t="s">
        <v>15037</v>
      </c>
      <c r="G32" t="s">
        <v>15038</v>
      </c>
      <c r="H32"/>
      <c r="I32" t="s">
        <v>1117</v>
      </c>
      <c r="J32" t="s">
        <v>15039</v>
      </c>
      <c r="K32" t="s">
        <v>15040</v>
      </c>
      <c r="L32" t="s">
        <v>21</v>
      </c>
      <c r="M32" t="s">
        <v>19177</v>
      </c>
      <c r="N32" t="s">
        <v>714</v>
      </c>
      <c r="O32" t="s">
        <v>10263</v>
      </c>
      <c r="P32" t="s">
        <v>12</v>
      </c>
    </row>
    <row r="33">
      <c r="A33">
        <f>HYPERLINK("http://bombeiros.sp.gov.br/hidrantes/03individual/1621.html","1621")</f>
      </c>
      <c r="B33" t="s">
        <v>12</v>
      </c>
      <c r="C33" t="s">
        <v>47</v>
      </c>
      <c r="D33" t="s">
        <v>1788</v>
      </c>
      <c r="E33" t="s">
        <v>15</v>
      </c>
      <c r="F33" t="s">
        <v>15041</v>
      </c>
      <c r="G33" t="s">
        <v>15034</v>
      </c>
      <c r="H33"/>
      <c r="I33" t="s">
        <v>1117</v>
      </c>
      <c r="J33" t="s">
        <v>15042</v>
      </c>
      <c r="K33" t="s">
        <v>15043</v>
      </c>
      <c r="L33" t="s">
        <v>21</v>
      </c>
      <c r="M33" t="s">
        <v>19177</v>
      </c>
      <c r="N33" t="s">
        <v>714</v>
      </c>
      <c r="O33" t="s">
        <v>10263</v>
      </c>
      <c r="P33" t="s">
        <v>12</v>
      </c>
    </row>
    <row r="34">
      <c r="A34">
        <f>HYPERLINK("http://bombeiros.sp.gov.br/hidrantes/03individual/16582.html","16582")</f>
      </c>
      <c r="B34" t="s">
        <v>12</v>
      </c>
      <c r="C34" t="s">
        <v>47</v>
      </c>
      <c r="D34" t="s">
        <v>1788</v>
      </c>
      <c r="E34" t="s">
        <v>15</v>
      </c>
      <c r="F34" t="s">
        <v>1837</v>
      </c>
      <c r="G34" t="s">
        <v>627</v>
      </c>
      <c r="H34" t="s">
        <v>1121</v>
      </c>
      <c r="I34" t="s">
        <v>1117</v>
      </c>
      <c r="J34" t="s">
        <v>15972</v>
      </c>
      <c r="K34" t="s">
        <v>15973</v>
      </c>
      <c r="L34" t="s">
        <v>21</v>
      </c>
      <c r="M34" t="s">
        <v>19177</v>
      </c>
      <c r="N34" t="s">
        <v>714</v>
      </c>
      <c r="O34" t="s">
        <v>10263</v>
      </c>
      <c r="P34" t="s">
        <v>12</v>
      </c>
    </row>
    <row r="35">
      <c r="A35">
        <f>HYPERLINK("http://bombeiros.sp.gov.br/hidrantes/03individual/2774.html","2774")</f>
      </c>
      <c r="B35" t="s">
        <v>12</v>
      </c>
      <c r="C35" t="s">
        <v>47</v>
      </c>
      <c r="D35" t="s">
        <v>1860</v>
      </c>
      <c r="E35" t="s">
        <v>15</v>
      </c>
      <c r="F35" t="s">
        <v>15044</v>
      </c>
      <c r="G35" t="s">
        <v>15034</v>
      </c>
      <c r="H35"/>
      <c r="I35" t="s">
        <v>1117</v>
      </c>
      <c r="J35" t="s">
        <v>15045</v>
      </c>
      <c r="K35" t="s">
        <v>15046</v>
      </c>
      <c r="L35" t="s">
        <v>36</v>
      </c>
      <c r="M35" t="s">
        <v>19177</v>
      </c>
      <c r="N35" t="s">
        <v>714</v>
      </c>
      <c r="O35" t="s">
        <v>10263</v>
      </c>
      <c r="P35" t="s">
        <v>12</v>
      </c>
    </row>
    <row r="36">
      <c r="A36">
        <f>HYPERLINK("http://bombeiros.sp.gov.br/hidrantes/03individual/2779.html","2779")</f>
      </c>
      <c r="B36" t="s">
        <v>12</v>
      </c>
      <c r="C36" t="s">
        <v>47</v>
      </c>
      <c r="D36" t="s">
        <v>1860</v>
      </c>
      <c r="E36" t="s">
        <v>15</v>
      </c>
      <c r="F36" t="s">
        <v>15047</v>
      </c>
      <c r="G36" t="s">
        <v>15038</v>
      </c>
      <c r="H36"/>
      <c r="I36" t="s">
        <v>1117</v>
      </c>
      <c r="J36" t="s">
        <v>15048</v>
      </c>
      <c r="K36" t="s">
        <v>15049</v>
      </c>
      <c r="L36" t="s">
        <v>21</v>
      </c>
      <c r="M36" t="s">
        <v>19177</v>
      </c>
      <c r="N36" t="s">
        <v>97</v>
      </c>
      <c r="O36" t="s">
        <v>937</v>
      </c>
      <c r="P36" t="s">
        <v>12</v>
      </c>
    </row>
    <row r="37">
      <c r="A37">
        <f>HYPERLINK("http://bombeiros.sp.gov.br/hidrantes/03individual/2981.html","2981")</f>
      </c>
      <c r="B37" t="s">
        <v>12</v>
      </c>
      <c r="C37" t="s">
        <v>47</v>
      </c>
      <c r="D37" t="s">
        <v>1860</v>
      </c>
      <c r="E37" t="s">
        <v>15</v>
      </c>
      <c r="F37" t="s">
        <v>15050</v>
      </c>
      <c r="G37" t="s">
        <v>306</v>
      </c>
      <c r="H37"/>
      <c r="I37" t="s">
        <v>18</v>
      </c>
      <c r="J37" t="s">
        <v>15051</v>
      </c>
      <c r="K37" t="s">
        <v>15052</v>
      </c>
      <c r="L37" t="s">
        <v>21</v>
      </c>
      <c r="M37" t="s">
        <v>19177</v>
      </c>
      <c r="N37" t="s">
        <v>714</v>
      </c>
      <c r="O37" t="s">
        <v>10263</v>
      </c>
      <c r="P37" t="s">
        <v>12</v>
      </c>
    </row>
    <row r="38">
      <c r="A38">
        <f>HYPERLINK("http://bombeiros.sp.gov.br/hidrantes/03individual/17770.html","17770")</f>
      </c>
      <c r="B38" t="s">
        <v>12</v>
      </c>
      <c r="C38" t="s">
        <v>47</v>
      </c>
      <c r="D38" t="s">
        <v>1860</v>
      </c>
      <c r="E38" t="s">
        <v>15</v>
      </c>
      <c r="F38" t="s">
        <v>1920</v>
      </c>
      <c r="G38" t="s">
        <v>17537</v>
      </c>
      <c r="H38"/>
      <c r="I38" t="s">
        <v>18</v>
      </c>
      <c r="J38" t="s">
        <v>1921</v>
      </c>
      <c r="K38" t="s">
        <v>1922</v>
      </c>
      <c r="L38" t="s">
        <v>21</v>
      </c>
      <c r="M38" t="s">
        <v>19177</v>
      </c>
      <c r="N38" t="s">
        <v>97</v>
      </c>
      <c r="O38" t="s">
        <v>937</v>
      </c>
      <c r="P38" t="s">
        <v>12</v>
      </c>
    </row>
    <row r="39">
      <c r="A39">
        <f>HYPERLINK("http://bombeiros.sp.gov.br/hidrantes/03individual/26634.html","26634")</f>
      </c>
      <c r="B39" t="s">
        <v>12</v>
      </c>
      <c r="C39" t="s">
        <v>47</v>
      </c>
      <c r="D39" t="s">
        <v>1860</v>
      </c>
      <c r="E39" t="s">
        <v>15</v>
      </c>
      <c r="F39" t="s">
        <v>15053</v>
      </c>
      <c r="G39"/>
      <c r="H39"/>
      <c r="I39" t="s">
        <v>1503</v>
      </c>
      <c r="J39" t="s">
        <v>15054</v>
      </c>
      <c r="K39" t="s">
        <v>15055</v>
      </c>
      <c r="L39" t="s">
        <v>21</v>
      </c>
      <c r="M39" t="s">
        <v>19177</v>
      </c>
      <c r="N39" t="s">
        <v>714</v>
      </c>
      <c r="O39" t="s">
        <v>10263</v>
      </c>
      <c r="P39" t="s">
        <v>12</v>
      </c>
    </row>
    <row r="40">
      <c r="A40">
        <f>HYPERLINK("http://bombeiros.sp.gov.br/hidrantes/03individual/2079.html","2079")</f>
      </c>
      <c r="B40" t="s">
        <v>12</v>
      </c>
      <c r="C40" t="s">
        <v>57</v>
      </c>
      <c r="D40" t="s">
        <v>37</v>
      </c>
      <c r="E40" t="s">
        <v>15</v>
      </c>
      <c r="F40" t="s">
        <v>15056</v>
      </c>
      <c r="G40" t="s">
        <v>15057</v>
      </c>
      <c r="H40" t="s">
        <v>1121</v>
      </c>
      <c r="I40" t="s">
        <v>1117</v>
      </c>
      <c r="J40" t="s">
        <v>15058</v>
      </c>
      <c r="K40" t="s">
        <v>15059</v>
      </c>
      <c r="L40" t="s">
        <v>21</v>
      </c>
      <c r="M40" t="s">
        <v>19177</v>
      </c>
      <c r="N40" t="s">
        <v>97</v>
      </c>
      <c r="O40" t="s">
        <v>937</v>
      </c>
      <c r="P40" t="s">
        <v>12</v>
      </c>
    </row>
    <row r="41">
      <c r="A41">
        <f>HYPERLINK("http://bombeiros.sp.gov.br/hidrantes/03individual/75.html","75")</f>
      </c>
      <c r="B41" t="s">
        <v>12</v>
      </c>
      <c r="C41" t="s">
        <v>57</v>
      </c>
      <c r="D41" t="s">
        <v>57</v>
      </c>
      <c r="E41" t="s">
        <v>64</v>
      </c>
      <c r="F41" t="s">
        <v>2012</v>
      </c>
      <c r="G41" t="s">
        <v>2272</v>
      </c>
      <c r="H41"/>
      <c r="I41" t="s">
        <v>18</v>
      </c>
      <c r="J41" t="s">
        <v>15060</v>
      </c>
      <c r="K41" t="s">
        <v>15061</v>
      </c>
      <c r="L41" t="s">
        <v>36</v>
      </c>
      <c r="M41" t="s">
        <v>19177</v>
      </c>
      <c r="N41" t="s">
        <v>97</v>
      </c>
      <c r="O41" t="s">
        <v>937</v>
      </c>
      <c r="P41" t="s">
        <v>12</v>
      </c>
    </row>
    <row r="42">
      <c r="A42">
        <f>HYPERLINK("http://bombeiros.sp.gov.br/hidrantes/03individual/2467.html","2467")</f>
      </c>
      <c r="B42" t="s">
        <v>12</v>
      </c>
      <c r="C42" t="s">
        <v>57</v>
      </c>
      <c r="D42" t="s">
        <v>57</v>
      </c>
      <c r="E42" t="s">
        <v>15</v>
      </c>
      <c r="F42" t="s">
        <v>15062</v>
      </c>
      <c r="G42" t="s">
        <v>17868</v>
      </c>
      <c r="H42" t="s">
        <v>1121</v>
      </c>
      <c r="I42" t="s">
        <v>1117</v>
      </c>
      <c r="J42" t="s">
        <v>15063</v>
      </c>
      <c r="K42" t="s">
        <v>15064</v>
      </c>
      <c r="L42" t="s">
        <v>36</v>
      </c>
      <c r="M42" t="s">
        <v>19177</v>
      </c>
      <c r="N42" t="s">
        <v>714</v>
      </c>
      <c r="O42" t="s">
        <v>10263</v>
      </c>
      <c r="P42" t="s">
        <v>12</v>
      </c>
    </row>
    <row r="43">
      <c r="A43">
        <f>HYPERLINK("http://bombeiros.sp.gov.br/hidrantes/03individual/2547.html","2547")</f>
      </c>
      <c r="B43" t="s">
        <v>12</v>
      </c>
      <c r="C43" t="s">
        <v>57</v>
      </c>
      <c r="D43" t="s">
        <v>57</v>
      </c>
      <c r="E43" t="s">
        <v>15</v>
      </c>
      <c r="F43" t="s">
        <v>2024</v>
      </c>
      <c r="G43" t="s">
        <v>18053</v>
      </c>
      <c r="H43" t="s">
        <v>1121</v>
      </c>
      <c r="I43" t="s">
        <v>1117</v>
      </c>
      <c r="J43" t="s">
        <v>2026</v>
      </c>
      <c r="K43" t="s">
        <v>2027</v>
      </c>
      <c r="L43" t="s">
        <v>21</v>
      </c>
      <c r="M43" t="s">
        <v>19177</v>
      </c>
      <c r="N43" t="s">
        <v>97</v>
      </c>
      <c r="O43" t="s">
        <v>937</v>
      </c>
      <c r="P43" t="s">
        <v>12</v>
      </c>
    </row>
    <row r="44">
      <c r="A44">
        <f>HYPERLINK("http://bombeiros.sp.gov.br/hidrantes/03individual/511.html","511")</f>
      </c>
      <c r="B44" t="s">
        <v>12</v>
      </c>
      <c r="C44" t="s">
        <v>63</v>
      </c>
      <c r="D44" t="s">
        <v>63</v>
      </c>
      <c r="E44" t="s">
        <v>64</v>
      </c>
      <c r="F44" t="s">
        <v>65</v>
      </c>
      <c r="G44" t="s">
        <v>18065</v>
      </c>
      <c r="H44"/>
      <c r="I44" t="s">
        <v>18</v>
      </c>
      <c r="J44" t="s">
        <v>67</v>
      </c>
      <c r="K44" t="s">
        <v>68</v>
      </c>
      <c r="L44" t="s">
        <v>36</v>
      </c>
      <c r="M44" t="s">
        <v>19177</v>
      </c>
      <c r="N44" t="s">
        <v>97</v>
      </c>
      <c r="O44" t="s">
        <v>937</v>
      </c>
      <c r="P44" t="s">
        <v>12</v>
      </c>
    </row>
    <row r="45">
      <c r="A45">
        <f>HYPERLINK("http://bombeiros.sp.gov.br/hidrantes/03individual/2952.html","2952")</f>
      </c>
      <c r="B45" t="s">
        <v>12</v>
      </c>
      <c r="C45" t="s">
        <v>63</v>
      </c>
      <c r="D45" t="s">
        <v>63</v>
      </c>
      <c r="E45" t="s">
        <v>64</v>
      </c>
      <c r="F45" t="s">
        <v>15065</v>
      </c>
      <c r="G45" t="s">
        <v>306</v>
      </c>
      <c r="H45"/>
      <c r="I45" t="s">
        <v>18</v>
      </c>
      <c r="J45" t="s">
        <v>15066</v>
      </c>
      <c r="K45" t="s">
        <v>15067</v>
      </c>
      <c r="L45" t="s">
        <v>21</v>
      </c>
      <c r="M45" t="s">
        <v>19177</v>
      </c>
      <c r="N45" t="s">
        <v>97</v>
      </c>
      <c r="O45" t="s">
        <v>937</v>
      </c>
      <c r="P45" t="s">
        <v>12</v>
      </c>
    </row>
    <row r="46">
      <c r="A46">
        <f>HYPERLINK("http://bombeiros.sp.gov.br/hidrantes/03individual/277.html","277")</f>
      </c>
      <c r="B46" t="s">
        <v>12</v>
      </c>
      <c r="C46" t="s">
        <v>63</v>
      </c>
      <c r="D46" t="s">
        <v>63</v>
      </c>
      <c r="E46" t="s">
        <v>15</v>
      </c>
      <c r="F46" t="s">
        <v>2131</v>
      </c>
      <c r="G46" t="s">
        <v>18065</v>
      </c>
      <c r="H46"/>
      <c r="I46" t="s">
        <v>18</v>
      </c>
      <c r="J46" t="s">
        <v>2132</v>
      </c>
      <c r="K46" t="s">
        <v>2133</v>
      </c>
      <c r="L46" t="s">
        <v>21</v>
      </c>
      <c r="M46" t="s">
        <v>19177</v>
      </c>
      <c r="N46" t="s">
        <v>97</v>
      </c>
      <c r="O46" t="s">
        <v>937</v>
      </c>
      <c r="P46" t="s">
        <v>12</v>
      </c>
    </row>
    <row r="47">
      <c r="A47">
        <f>HYPERLINK("http://bombeiros.sp.gov.br/hidrantes/03individual/510.html","510")</f>
      </c>
      <c r="B47" t="s">
        <v>12</v>
      </c>
      <c r="C47" t="s">
        <v>63</v>
      </c>
      <c r="D47" t="s">
        <v>63</v>
      </c>
      <c r="E47" t="s">
        <v>15</v>
      </c>
      <c r="F47" t="s">
        <v>2143</v>
      </c>
      <c r="G47" t="s">
        <v>18097</v>
      </c>
      <c r="H47" t="s">
        <v>1121</v>
      </c>
      <c r="I47" t="s">
        <v>1117</v>
      </c>
      <c r="J47" t="s">
        <v>2144</v>
      </c>
      <c r="K47" t="s">
        <v>2145</v>
      </c>
      <c r="L47" t="s">
        <v>21</v>
      </c>
      <c r="M47" t="s">
        <v>19177</v>
      </c>
      <c r="N47" t="s">
        <v>97</v>
      </c>
      <c r="O47" t="s">
        <v>937</v>
      </c>
      <c r="P47" t="s">
        <v>12</v>
      </c>
    </row>
    <row r="48">
      <c r="A48">
        <f>HYPERLINK("http://bombeiros.sp.gov.br/hidrantes/03individual/735.html","735")</f>
      </c>
      <c r="B48" t="s">
        <v>12</v>
      </c>
      <c r="C48" t="s">
        <v>63</v>
      </c>
      <c r="D48" t="s">
        <v>63</v>
      </c>
      <c r="E48" t="s">
        <v>15</v>
      </c>
      <c r="F48" t="s">
        <v>15068</v>
      </c>
      <c r="G48" t="s">
        <v>15069</v>
      </c>
      <c r="H48"/>
      <c r="I48" t="s">
        <v>1117</v>
      </c>
      <c r="J48" t="s">
        <v>15070</v>
      </c>
      <c r="K48" t="s">
        <v>15071</v>
      </c>
      <c r="L48" t="s">
        <v>21</v>
      </c>
      <c r="M48" t="s">
        <v>19177</v>
      </c>
      <c r="N48" t="s">
        <v>97</v>
      </c>
      <c r="O48" t="s">
        <v>937</v>
      </c>
      <c r="P48" t="s">
        <v>12</v>
      </c>
    </row>
    <row r="49">
      <c r="A49">
        <f>HYPERLINK("http://bombeiros.sp.gov.br/hidrantes/03individual/2859.html","2859")</f>
      </c>
      <c r="B49" t="s">
        <v>12</v>
      </c>
      <c r="C49" t="s">
        <v>63</v>
      </c>
      <c r="D49" t="s">
        <v>63</v>
      </c>
      <c r="E49" t="s">
        <v>15</v>
      </c>
      <c r="F49" t="s">
        <v>73</v>
      </c>
      <c r="G49" t="s">
        <v>18484</v>
      </c>
      <c r="H49"/>
      <c r="I49" t="s">
        <v>18</v>
      </c>
      <c r="J49" t="s">
        <v>16014</v>
      </c>
      <c r="K49" t="s">
        <v>16015</v>
      </c>
      <c r="L49" t="s">
        <v>21</v>
      </c>
      <c r="M49" t="s">
        <v>19177</v>
      </c>
      <c r="N49" t="s">
        <v>97</v>
      </c>
      <c r="O49" t="s">
        <v>937</v>
      </c>
      <c r="P49" t="s">
        <v>12</v>
      </c>
    </row>
    <row r="50">
      <c r="A50">
        <f>HYPERLINK("http://bombeiros.sp.gov.br/hidrantes/03individual/2868.html","2868")</f>
      </c>
      <c r="B50" t="s">
        <v>12</v>
      </c>
      <c r="C50" t="s">
        <v>63</v>
      </c>
      <c r="D50" t="s">
        <v>63</v>
      </c>
      <c r="E50" t="s">
        <v>15</v>
      </c>
      <c r="F50" t="s">
        <v>15072</v>
      </c>
      <c r="G50" t="s">
        <v>15034</v>
      </c>
      <c r="H50"/>
      <c r="I50" t="s">
        <v>1117</v>
      </c>
      <c r="J50" t="s">
        <v>15073</v>
      </c>
      <c r="K50" t="s">
        <v>15074</v>
      </c>
      <c r="L50" t="s">
        <v>21</v>
      </c>
      <c r="M50" t="s">
        <v>19177</v>
      </c>
      <c r="N50" t="s">
        <v>97</v>
      </c>
      <c r="O50" t="s">
        <v>937</v>
      </c>
      <c r="P50" t="s">
        <v>12</v>
      </c>
    </row>
    <row r="51">
      <c r="A51">
        <f>HYPERLINK("http://bombeiros.sp.gov.br/hidrantes/03individual/2933.html","2933")</f>
      </c>
      <c r="B51" t="s">
        <v>12</v>
      </c>
      <c r="C51" t="s">
        <v>63</v>
      </c>
      <c r="D51" t="s">
        <v>63</v>
      </c>
      <c r="E51" t="s">
        <v>15</v>
      </c>
      <c r="F51" t="s">
        <v>2179</v>
      </c>
      <c r="G51" t="s">
        <v>18043</v>
      </c>
      <c r="H51" t="s">
        <v>1121</v>
      </c>
      <c r="I51" t="s">
        <v>1117</v>
      </c>
      <c r="J51" t="s">
        <v>2181</v>
      </c>
      <c r="K51" t="s">
        <v>2182</v>
      </c>
      <c r="L51" t="s">
        <v>36</v>
      </c>
      <c r="M51" t="s">
        <v>19177</v>
      </c>
      <c r="N51" t="s">
        <v>97</v>
      </c>
      <c r="O51" t="s">
        <v>937</v>
      </c>
      <c r="P51" t="s">
        <v>12</v>
      </c>
    </row>
    <row r="52">
      <c r="A52">
        <f>HYPERLINK("http://bombeiros.sp.gov.br/hidrantes/03individual/16647.html","16647")</f>
      </c>
      <c r="B52" t="s">
        <v>12</v>
      </c>
      <c r="C52" t="s">
        <v>63</v>
      </c>
      <c r="D52" t="s">
        <v>63</v>
      </c>
      <c r="E52" t="s">
        <v>15</v>
      </c>
      <c r="F52" t="s">
        <v>2199</v>
      </c>
      <c r="G52" t="s">
        <v>18057</v>
      </c>
      <c r="H52" t="s">
        <v>1121</v>
      </c>
      <c r="I52" t="s">
        <v>1117</v>
      </c>
      <c r="J52" t="s">
        <v>2201</v>
      </c>
      <c r="K52" t="s">
        <v>2202</v>
      </c>
      <c r="L52" t="s">
        <v>21</v>
      </c>
      <c r="M52" t="s">
        <v>19177</v>
      </c>
      <c r="N52" t="s">
        <v>97</v>
      </c>
      <c r="O52" t="s">
        <v>937</v>
      </c>
      <c r="P52" t="s">
        <v>12</v>
      </c>
    </row>
    <row r="53">
      <c r="A53">
        <f>HYPERLINK("http://bombeiros.sp.gov.br/hidrantes/03individual/26619.html","26619")</f>
      </c>
      <c r="B53" t="s">
        <v>12</v>
      </c>
      <c r="C53" t="s">
        <v>63</v>
      </c>
      <c r="D53" t="s">
        <v>63</v>
      </c>
      <c r="E53" t="s">
        <v>15</v>
      </c>
      <c r="F53" t="s">
        <v>15075</v>
      </c>
      <c r="G53"/>
      <c r="H53"/>
      <c r="I53" t="s">
        <v>1503</v>
      </c>
      <c r="J53" t="s">
        <v>15076</v>
      </c>
      <c r="K53" t="s">
        <v>15077</v>
      </c>
      <c r="L53" t="s">
        <v>21</v>
      </c>
      <c r="M53" t="s">
        <v>19177</v>
      </c>
      <c r="N53" t="s">
        <v>97</v>
      </c>
      <c r="O53" t="s">
        <v>937</v>
      </c>
      <c r="P53" t="s">
        <v>12</v>
      </c>
    </row>
    <row r="54">
      <c r="A54">
        <f>HYPERLINK("http://bombeiros.sp.gov.br/hidrantes/03individual/26859.html","26859")</f>
      </c>
      <c r="B54" t="s">
        <v>12</v>
      </c>
      <c r="C54" t="s">
        <v>63</v>
      </c>
      <c r="D54" t="s">
        <v>63</v>
      </c>
      <c r="E54" t="s">
        <v>15</v>
      </c>
      <c r="F54" t="s">
        <v>16220</v>
      </c>
      <c r="G54" t="s">
        <v>17500</v>
      </c>
      <c r="H54"/>
      <c r="I54" t="s">
        <v>18</v>
      </c>
      <c r="J54" t="s">
        <v>16221</v>
      </c>
      <c r="K54" t="s">
        <v>16222</v>
      </c>
      <c r="L54" t="s">
        <v>21</v>
      </c>
      <c r="M54" t="s">
        <v>19177</v>
      </c>
      <c r="N54" t="s">
        <v>97</v>
      </c>
      <c r="O54" t="s">
        <v>937</v>
      </c>
      <c r="P54" t="s">
        <v>12</v>
      </c>
    </row>
    <row r="55">
      <c r="A55">
        <f>HYPERLINK("http://bombeiros.sp.gov.br/hidrantes/03individual/28053.html","28053")</f>
      </c>
      <c r="B55" t="s">
        <v>12</v>
      </c>
      <c r="C55" t="s">
        <v>63</v>
      </c>
      <c r="D55" t="s">
        <v>63</v>
      </c>
      <c r="E55" t="s">
        <v>15</v>
      </c>
      <c r="F55" t="s">
        <v>18225</v>
      </c>
      <c r="G55" t="s">
        <v>18066</v>
      </c>
      <c r="H55"/>
      <c r="I55" t="s">
        <v>18</v>
      </c>
      <c r="J55" t="s">
        <v>18226</v>
      </c>
      <c r="K55" t="s">
        <v>18227</v>
      </c>
      <c r="L55" t="s">
        <v>21</v>
      </c>
      <c r="M55" t="s">
        <v>19177</v>
      </c>
      <c r="N55" t="s">
        <v>97</v>
      </c>
      <c r="O55" t="s">
        <v>937</v>
      </c>
      <c r="P55" t="s">
        <v>12</v>
      </c>
    </row>
    <row r="56">
      <c r="A56">
        <f>HYPERLINK("http://bombeiros.sp.gov.br/hidrantes/03individual/27386.html","27386")</f>
      </c>
      <c r="B56" t="s">
        <v>12</v>
      </c>
      <c r="C56" t="s">
        <v>63</v>
      </c>
      <c r="D56" t="s">
        <v>77</v>
      </c>
      <c r="E56" t="s">
        <v>64</v>
      </c>
      <c r="F56" t="s">
        <v>16834</v>
      </c>
      <c r="G56"/>
      <c r="H56"/>
      <c r="I56" t="s">
        <v>1503</v>
      </c>
      <c r="J56" t="s">
        <v>17220</v>
      </c>
      <c r="K56" t="s">
        <v>17221</v>
      </c>
      <c r="L56" t="s">
        <v>21</v>
      </c>
      <c r="M56" t="s">
        <v>19177</v>
      </c>
      <c r="N56" t="s">
        <v>97</v>
      </c>
      <c r="O56" t="s">
        <v>937</v>
      </c>
      <c r="P56" t="s">
        <v>12</v>
      </c>
    </row>
    <row r="57">
      <c r="A57">
        <f>HYPERLINK("http://bombeiros.sp.gov.br/hidrantes/03individual/2843.html","2843")</f>
      </c>
      <c r="B57" t="s">
        <v>12</v>
      </c>
      <c r="C57" t="s">
        <v>63</v>
      </c>
      <c r="D57" t="s">
        <v>77</v>
      </c>
      <c r="E57" t="s">
        <v>15</v>
      </c>
      <c r="F57" t="s">
        <v>15078</v>
      </c>
      <c r="G57" t="s">
        <v>15011</v>
      </c>
      <c r="H57"/>
      <c r="I57" t="s">
        <v>1117</v>
      </c>
      <c r="J57" t="s">
        <v>15079</v>
      </c>
      <c r="K57" t="s">
        <v>15080</v>
      </c>
      <c r="L57" t="s">
        <v>21</v>
      </c>
      <c r="M57" t="s">
        <v>19177</v>
      </c>
      <c r="N57" t="s">
        <v>97</v>
      </c>
      <c r="O57" t="s">
        <v>937</v>
      </c>
      <c r="P57" t="s">
        <v>12</v>
      </c>
    </row>
    <row r="58">
      <c r="A58">
        <f>HYPERLINK("http://bombeiros.sp.gov.br/hidrantes/03individual/2863.html","2863")</f>
      </c>
      <c r="B58" t="s">
        <v>12</v>
      </c>
      <c r="C58" t="s">
        <v>63</v>
      </c>
      <c r="D58" t="s">
        <v>77</v>
      </c>
      <c r="E58" t="s">
        <v>15</v>
      </c>
      <c r="F58" t="s">
        <v>2305</v>
      </c>
      <c r="G58" t="s">
        <v>18143</v>
      </c>
      <c r="H58"/>
      <c r="I58" t="s">
        <v>18</v>
      </c>
      <c r="J58" t="s">
        <v>2306</v>
      </c>
      <c r="K58" t="s">
        <v>2307</v>
      </c>
      <c r="L58" t="s">
        <v>21</v>
      </c>
      <c r="M58" t="s">
        <v>19177</v>
      </c>
      <c r="N58" t="s">
        <v>97</v>
      </c>
      <c r="O58" t="s">
        <v>937</v>
      </c>
      <c r="P58" t="s">
        <v>12</v>
      </c>
    </row>
    <row r="59">
      <c r="A59">
        <f>HYPERLINK("http://bombeiros.sp.gov.br/hidrantes/03individual/2864.html","2864")</f>
      </c>
      <c r="B59" t="s">
        <v>12</v>
      </c>
      <c r="C59" t="s">
        <v>63</v>
      </c>
      <c r="D59" t="s">
        <v>77</v>
      </c>
      <c r="E59" t="s">
        <v>15</v>
      </c>
      <c r="F59" t="s">
        <v>2308</v>
      </c>
      <c r="G59" t="s">
        <v>18057</v>
      </c>
      <c r="H59" t="s">
        <v>1121</v>
      </c>
      <c r="I59" t="s">
        <v>1117</v>
      </c>
      <c r="J59" t="s">
        <v>2309</v>
      </c>
      <c r="K59" t="s">
        <v>2310</v>
      </c>
      <c r="L59" t="s">
        <v>21</v>
      </c>
      <c r="M59" t="s">
        <v>19177</v>
      </c>
      <c r="N59" t="s">
        <v>97</v>
      </c>
      <c r="O59" t="s">
        <v>937</v>
      </c>
      <c r="P59" t="s">
        <v>12</v>
      </c>
    </row>
    <row r="60">
      <c r="A60">
        <f>HYPERLINK("http://bombeiros.sp.gov.br/hidrantes/03individual/2909.html","2909")</f>
      </c>
      <c r="B60" t="s">
        <v>12</v>
      </c>
      <c r="C60" t="s">
        <v>63</v>
      </c>
      <c r="D60" t="s">
        <v>77</v>
      </c>
      <c r="E60" t="s">
        <v>15</v>
      </c>
      <c r="F60" t="s">
        <v>85</v>
      </c>
      <c r="G60" t="s">
        <v>18046</v>
      </c>
      <c r="H60"/>
      <c r="I60" t="s">
        <v>18</v>
      </c>
      <c r="J60" t="s">
        <v>86</v>
      </c>
      <c r="K60" t="s">
        <v>87</v>
      </c>
      <c r="L60" t="s">
        <v>21</v>
      </c>
      <c r="M60" t="s">
        <v>19177</v>
      </c>
      <c r="N60" t="s">
        <v>97</v>
      </c>
      <c r="O60" t="s">
        <v>937</v>
      </c>
      <c r="P60" t="s">
        <v>12</v>
      </c>
    </row>
    <row r="61">
      <c r="A61">
        <f>HYPERLINK("http://bombeiros.sp.gov.br/hidrantes/03individual/2934.html","2934")</f>
      </c>
      <c r="B61" t="s">
        <v>12</v>
      </c>
      <c r="C61" t="s">
        <v>63</v>
      </c>
      <c r="D61" t="s">
        <v>77</v>
      </c>
      <c r="E61" t="s">
        <v>15</v>
      </c>
      <c r="F61" t="s">
        <v>88</v>
      </c>
      <c r="G61" t="s">
        <v>18067</v>
      </c>
      <c r="H61" t="s">
        <v>1121</v>
      </c>
      <c r="I61" t="s">
        <v>1117</v>
      </c>
      <c r="J61" t="s">
        <v>90</v>
      </c>
      <c r="K61" t="s">
        <v>91</v>
      </c>
      <c r="L61" t="s">
        <v>21</v>
      </c>
      <c r="M61" t="s">
        <v>19177</v>
      </c>
      <c r="N61" t="s">
        <v>97</v>
      </c>
      <c r="O61" t="s">
        <v>937</v>
      </c>
      <c r="P61" t="s">
        <v>12</v>
      </c>
    </row>
    <row r="62">
      <c r="A62">
        <f>HYPERLINK("http://bombeiros.sp.gov.br/hidrantes/03individual/5499.html","5499")</f>
      </c>
      <c r="B62" t="s">
        <v>12</v>
      </c>
      <c r="C62" t="s">
        <v>63</v>
      </c>
      <c r="D62" t="s">
        <v>77</v>
      </c>
      <c r="E62" t="s">
        <v>15</v>
      </c>
      <c r="F62" t="s">
        <v>15081</v>
      </c>
      <c r="G62" t="s">
        <v>1299</v>
      </c>
      <c r="H62"/>
      <c r="I62" t="s">
        <v>18</v>
      </c>
      <c r="J62" t="s">
        <v>15082</v>
      </c>
      <c r="K62" t="s">
        <v>15083</v>
      </c>
      <c r="L62" t="s">
        <v>21</v>
      </c>
      <c r="M62" t="s">
        <v>19177</v>
      </c>
      <c r="N62" t="s">
        <v>97</v>
      </c>
      <c r="O62" t="s">
        <v>937</v>
      </c>
      <c r="P62" t="s">
        <v>12</v>
      </c>
    </row>
    <row r="63">
      <c r="A63">
        <f>HYPERLINK("http://bombeiros.sp.gov.br/hidrantes/03individual/26617.html","26617")</f>
      </c>
      <c r="B63" t="s">
        <v>12</v>
      </c>
      <c r="C63" t="s">
        <v>63</v>
      </c>
      <c r="D63" t="s">
        <v>77</v>
      </c>
      <c r="E63" t="s">
        <v>15</v>
      </c>
      <c r="F63" t="s">
        <v>15084</v>
      </c>
      <c r="G63"/>
      <c r="H63"/>
      <c r="I63" t="s">
        <v>1503</v>
      </c>
      <c r="J63" t="s">
        <v>15085</v>
      </c>
      <c r="K63" t="s">
        <v>15086</v>
      </c>
      <c r="L63" t="s">
        <v>21</v>
      </c>
      <c r="M63" t="s">
        <v>19177</v>
      </c>
      <c r="N63" t="s">
        <v>97</v>
      </c>
      <c r="O63" t="s">
        <v>937</v>
      </c>
      <c r="P63" t="s">
        <v>12</v>
      </c>
    </row>
    <row r="64">
      <c r="A64">
        <f>HYPERLINK("http://bombeiros.sp.gov.br/hidrantes/03individual/2759.html","2759")</f>
      </c>
      <c r="B64" t="s">
        <v>12</v>
      </c>
      <c r="C64" t="s">
        <v>92</v>
      </c>
      <c r="D64" t="s">
        <v>2332</v>
      </c>
      <c r="E64" t="s">
        <v>15</v>
      </c>
      <c r="F64" t="s">
        <v>15087</v>
      </c>
      <c r="G64" t="s">
        <v>15011</v>
      </c>
      <c r="H64"/>
      <c r="I64" t="s">
        <v>1117</v>
      </c>
      <c r="J64" t="s">
        <v>15088</v>
      </c>
      <c r="K64" t="s">
        <v>15089</v>
      </c>
      <c r="L64" t="s">
        <v>21</v>
      </c>
      <c r="M64" t="s">
        <v>19177</v>
      </c>
      <c r="N64" t="s">
        <v>714</v>
      </c>
      <c r="O64" t="s">
        <v>10263</v>
      </c>
      <c r="P64" t="s">
        <v>12</v>
      </c>
    </row>
    <row r="65">
      <c r="A65">
        <f>HYPERLINK("http://bombeiros.sp.gov.br/hidrantes/03individual/2763.html","2763")</f>
      </c>
      <c r="B65" t="s">
        <v>12</v>
      </c>
      <c r="C65" t="s">
        <v>92</v>
      </c>
      <c r="D65" t="s">
        <v>2332</v>
      </c>
      <c r="E65" t="s">
        <v>15</v>
      </c>
      <c r="F65" t="s">
        <v>15090</v>
      </c>
      <c r="G65" t="s">
        <v>15011</v>
      </c>
      <c r="H65"/>
      <c r="I65" t="s">
        <v>1117</v>
      </c>
      <c r="J65" t="s">
        <v>15091</v>
      </c>
      <c r="K65" t="s">
        <v>15092</v>
      </c>
      <c r="L65" t="s">
        <v>21</v>
      </c>
      <c r="M65" t="s">
        <v>19177</v>
      </c>
      <c r="N65" t="s">
        <v>714</v>
      </c>
      <c r="O65" t="s">
        <v>10263</v>
      </c>
      <c r="P65" t="s">
        <v>12</v>
      </c>
    </row>
    <row r="66">
      <c r="A66">
        <f>HYPERLINK("http://bombeiros.sp.gov.br/hidrantes/03individual/2913.html","2913")</f>
      </c>
      <c r="B66" t="s">
        <v>12</v>
      </c>
      <c r="C66" t="s">
        <v>92</v>
      </c>
      <c r="D66" t="s">
        <v>2332</v>
      </c>
      <c r="E66" t="s">
        <v>15</v>
      </c>
      <c r="F66" t="s">
        <v>2333</v>
      </c>
      <c r="G66" t="s">
        <v>18046</v>
      </c>
      <c r="H66"/>
      <c r="I66" t="s">
        <v>18</v>
      </c>
      <c r="J66" t="s">
        <v>2468</v>
      </c>
      <c r="K66" t="s">
        <v>2469</v>
      </c>
      <c r="L66" t="s">
        <v>21</v>
      </c>
      <c r="M66" t="s">
        <v>19177</v>
      </c>
      <c r="N66" t="s">
        <v>97</v>
      </c>
      <c r="O66" t="s">
        <v>937</v>
      </c>
      <c r="P66" t="s">
        <v>12</v>
      </c>
    </row>
    <row r="67">
      <c r="A67">
        <f>HYPERLINK("http://bombeiros.sp.gov.br/hidrantes/03individual/28031.html","28031")</f>
      </c>
      <c r="B67" t="s">
        <v>12</v>
      </c>
      <c r="C67" t="s">
        <v>92</v>
      </c>
      <c r="D67" t="s">
        <v>2332</v>
      </c>
      <c r="E67" t="s">
        <v>15</v>
      </c>
      <c r="F67" t="s">
        <v>18407</v>
      </c>
      <c r="G67"/>
      <c r="H67"/>
      <c r="I67" t="s">
        <v>1503</v>
      </c>
      <c r="J67" t="s">
        <v>18408</v>
      </c>
      <c r="K67" t="s">
        <v>18409</v>
      </c>
      <c r="L67" t="s">
        <v>21</v>
      </c>
      <c r="M67" t="s">
        <v>19177</v>
      </c>
      <c r="N67" t="s">
        <v>714</v>
      </c>
      <c r="O67" t="s">
        <v>10263</v>
      </c>
      <c r="P67" t="s">
        <v>12</v>
      </c>
    </row>
    <row r="68">
      <c r="A68">
        <f>HYPERLINK("http://bombeiros.sp.gov.br/hidrantes/03individual/2787.html","2787")</f>
      </c>
      <c r="B68" t="s">
        <v>12</v>
      </c>
      <c r="C68" t="s">
        <v>92</v>
      </c>
      <c r="D68" t="s">
        <v>2485</v>
      </c>
      <c r="E68" t="s">
        <v>64</v>
      </c>
      <c r="F68" t="s">
        <v>15093</v>
      </c>
      <c r="G68" t="s">
        <v>15018</v>
      </c>
      <c r="H68"/>
      <c r="I68" t="s">
        <v>1117</v>
      </c>
      <c r="J68" t="s">
        <v>15094</v>
      </c>
      <c r="K68" t="s">
        <v>15095</v>
      </c>
      <c r="L68" t="s">
        <v>21</v>
      </c>
      <c r="M68" t="s">
        <v>19177</v>
      </c>
      <c r="N68" t="s">
        <v>97</v>
      </c>
      <c r="O68" t="s">
        <v>937</v>
      </c>
      <c r="P68" t="s">
        <v>12</v>
      </c>
    </row>
    <row r="69">
      <c r="A69">
        <f>HYPERLINK("http://bombeiros.sp.gov.br/hidrantes/03individual/28132.html","28132")</f>
      </c>
      <c r="B69" t="s">
        <v>12</v>
      </c>
      <c r="C69" t="s">
        <v>92</v>
      </c>
      <c r="D69" t="s">
        <v>2485</v>
      </c>
      <c r="E69" t="s">
        <v>15</v>
      </c>
      <c r="F69" t="s">
        <v>18410</v>
      </c>
      <c r="G69"/>
      <c r="H69"/>
      <c r="I69" t="s">
        <v>1503</v>
      </c>
      <c r="J69" t="s">
        <v>18411</v>
      </c>
      <c r="K69" t="s">
        <v>18412</v>
      </c>
      <c r="L69" t="s">
        <v>21</v>
      </c>
      <c r="M69" t="s">
        <v>19177</v>
      </c>
      <c r="N69" t="s">
        <v>97</v>
      </c>
      <c r="O69" t="s">
        <v>937</v>
      </c>
      <c r="P69" t="s">
        <v>12</v>
      </c>
    </row>
    <row r="70">
      <c r="A70">
        <f>HYPERLINK("http://bombeiros.sp.gov.br/hidrantes/03individual/2850.html","2850")</f>
      </c>
      <c r="B70" t="s">
        <v>12</v>
      </c>
      <c r="C70" t="s">
        <v>92</v>
      </c>
      <c r="D70" t="s">
        <v>92</v>
      </c>
      <c r="E70" t="s">
        <v>64</v>
      </c>
      <c r="F70" t="s">
        <v>15096</v>
      </c>
      <c r="G70" t="s">
        <v>15011</v>
      </c>
      <c r="H70"/>
      <c r="I70" t="s">
        <v>1117</v>
      </c>
      <c r="J70" t="s">
        <v>15097</v>
      </c>
      <c r="K70" t="s">
        <v>15098</v>
      </c>
      <c r="L70" t="s">
        <v>21</v>
      </c>
      <c r="M70" t="s">
        <v>19177</v>
      </c>
      <c r="N70" t="s">
        <v>97</v>
      </c>
      <c r="O70" t="s">
        <v>937</v>
      </c>
      <c r="P70" t="s">
        <v>12</v>
      </c>
    </row>
    <row r="71">
      <c r="A71">
        <f>HYPERLINK("http://bombeiros.sp.gov.br/hidrantes/03individual/499.html","499")</f>
      </c>
      <c r="B71" t="s">
        <v>12</v>
      </c>
      <c r="C71" t="s">
        <v>92</v>
      </c>
      <c r="D71" t="s">
        <v>92</v>
      </c>
      <c r="E71" t="s">
        <v>15</v>
      </c>
      <c r="F71" t="s">
        <v>15099</v>
      </c>
      <c r="G71" t="s">
        <v>15100</v>
      </c>
      <c r="H71"/>
      <c r="I71" t="s">
        <v>1117</v>
      </c>
      <c r="J71" t="s">
        <v>15101</v>
      </c>
      <c r="K71" t="s">
        <v>15102</v>
      </c>
      <c r="L71" t="s">
        <v>21</v>
      </c>
      <c r="M71" t="s">
        <v>19177</v>
      </c>
      <c r="N71" t="s">
        <v>97</v>
      </c>
      <c r="O71" t="s">
        <v>937</v>
      </c>
      <c r="P71" t="s">
        <v>12</v>
      </c>
    </row>
    <row r="72">
      <c r="A72">
        <f>HYPERLINK("http://bombeiros.sp.gov.br/hidrantes/03individual/503.html","503")</f>
      </c>
      <c r="B72" t="s">
        <v>12</v>
      </c>
      <c r="C72" t="s">
        <v>92</v>
      </c>
      <c r="D72" t="s">
        <v>92</v>
      </c>
      <c r="E72" t="s">
        <v>15</v>
      </c>
      <c r="F72" t="s">
        <v>15103</v>
      </c>
      <c r="G72" t="s">
        <v>15100</v>
      </c>
      <c r="H72"/>
      <c r="I72" t="s">
        <v>1117</v>
      </c>
      <c r="J72" t="s">
        <v>15104</v>
      </c>
      <c r="K72" t="s">
        <v>15105</v>
      </c>
      <c r="L72" t="s">
        <v>21</v>
      </c>
      <c r="M72" t="s">
        <v>19177</v>
      </c>
      <c r="N72" t="s">
        <v>97</v>
      </c>
      <c r="O72" t="s">
        <v>937</v>
      </c>
      <c r="P72" t="s">
        <v>12</v>
      </c>
    </row>
    <row r="73">
      <c r="A73">
        <f>HYPERLINK("http://bombeiros.sp.gov.br/hidrantes/03individual/554.html","554")</f>
      </c>
      <c r="B73" t="s">
        <v>12</v>
      </c>
      <c r="C73" t="s">
        <v>92</v>
      </c>
      <c r="D73" t="s">
        <v>92</v>
      </c>
      <c r="E73" t="s">
        <v>15</v>
      </c>
      <c r="F73" t="s">
        <v>93</v>
      </c>
      <c r="G73" t="s">
        <v>18069</v>
      </c>
      <c r="H73" t="s">
        <v>1121</v>
      </c>
      <c r="I73" t="s">
        <v>1117</v>
      </c>
      <c r="J73" t="s">
        <v>16016</v>
      </c>
      <c r="K73" t="s">
        <v>16017</v>
      </c>
      <c r="L73" t="s">
        <v>21</v>
      </c>
      <c r="M73" t="s">
        <v>19177</v>
      </c>
      <c r="N73" t="s">
        <v>97</v>
      </c>
      <c r="O73" t="s">
        <v>937</v>
      </c>
      <c r="P73" t="s">
        <v>12</v>
      </c>
    </row>
    <row r="74">
      <c r="A74">
        <f>HYPERLINK("http://bombeiros.sp.gov.br/hidrantes/03individual/783.html","783")</f>
      </c>
      <c r="B74" t="s">
        <v>12</v>
      </c>
      <c r="C74" t="s">
        <v>92</v>
      </c>
      <c r="D74" t="s">
        <v>92</v>
      </c>
      <c r="E74" t="s">
        <v>15</v>
      </c>
      <c r="F74" t="s">
        <v>15106</v>
      </c>
      <c r="G74" t="s">
        <v>15069</v>
      </c>
      <c r="H74"/>
      <c r="I74" t="s">
        <v>1117</v>
      </c>
      <c r="J74" t="s">
        <v>15107</v>
      </c>
      <c r="K74" t="s">
        <v>15108</v>
      </c>
      <c r="L74" t="s">
        <v>21</v>
      </c>
      <c r="M74" t="s">
        <v>19177</v>
      </c>
      <c r="N74" t="s">
        <v>97</v>
      </c>
      <c r="O74" t="s">
        <v>937</v>
      </c>
      <c r="P74" t="s">
        <v>12</v>
      </c>
    </row>
    <row r="75">
      <c r="A75">
        <f>HYPERLINK("http://bombeiros.sp.gov.br/hidrantes/03individual/2890.html","2890")</f>
      </c>
      <c r="B75" t="s">
        <v>12</v>
      </c>
      <c r="C75" t="s">
        <v>92</v>
      </c>
      <c r="D75" t="s">
        <v>92</v>
      </c>
      <c r="E75" t="s">
        <v>15</v>
      </c>
      <c r="F75" t="s">
        <v>15109</v>
      </c>
      <c r="G75" t="s">
        <v>15034</v>
      </c>
      <c r="H75"/>
      <c r="I75" t="s">
        <v>1117</v>
      </c>
      <c r="J75" t="s">
        <v>15110</v>
      </c>
      <c r="K75" t="s">
        <v>15111</v>
      </c>
      <c r="L75" t="s">
        <v>21</v>
      </c>
      <c r="M75" t="s">
        <v>19177</v>
      </c>
      <c r="N75" t="s">
        <v>97</v>
      </c>
      <c r="O75" t="s">
        <v>937</v>
      </c>
      <c r="P75" t="s">
        <v>12</v>
      </c>
    </row>
    <row r="76">
      <c r="A76">
        <f>HYPERLINK("http://bombeiros.sp.gov.br/hidrantes/03individual/16470.html","16470")</f>
      </c>
      <c r="B76" t="s">
        <v>12</v>
      </c>
      <c r="C76" t="s">
        <v>92</v>
      </c>
      <c r="D76" t="s">
        <v>92</v>
      </c>
      <c r="E76" t="s">
        <v>15</v>
      </c>
      <c r="F76" t="s">
        <v>15112</v>
      </c>
      <c r="G76" t="s">
        <v>15113</v>
      </c>
      <c r="H76"/>
      <c r="I76" t="s">
        <v>18</v>
      </c>
      <c r="J76" t="s">
        <v>15114</v>
      </c>
      <c r="K76" t="s">
        <v>15115</v>
      </c>
      <c r="L76" t="s">
        <v>21</v>
      </c>
      <c r="M76" t="s">
        <v>19177</v>
      </c>
      <c r="N76" t="s">
        <v>97</v>
      </c>
      <c r="O76" t="s">
        <v>937</v>
      </c>
      <c r="P76" t="s">
        <v>12</v>
      </c>
    </row>
    <row r="77">
      <c r="A77">
        <f>HYPERLINK("http://bombeiros.sp.gov.br/hidrantes/03individual/17905.html","17905")</f>
      </c>
      <c r="B77" t="s">
        <v>12</v>
      </c>
      <c r="C77" t="s">
        <v>92</v>
      </c>
      <c r="D77" t="s">
        <v>92</v>
      </c>
      <c r="E77" t="s">
        <v>15</v>
      </c>
      <c r="F77" t="s">
        <v>2668</v>
      </c>
      <c r="G77" t="s">
        <v>18070</v>
      </c>
      <c r="H77" t="s">
        <v>1121</v>
      </c>
      <c r="I77" t="s">
        <v>1117</v>
      </c>
      <c r="J77" t="s">
        <v>2669</v>
      </c>
      <c r="K77" t="s">
        <v>2670</v>
      </c>
      <c r="L77" t="s">
        <v>21</v>
      </c>
      <c r="M77" t="s">
        <v>19177</v>
      </c>
      <c r="N77" t="s">
        <v>97</v>
      </c>
      <c r="O77" t="s">
        <v>937</v>
      </c>
      <c r="P77" t="s">
        <v>12</v>
      </c>
    </row>
    <row r="78">
      <c r="A78">
        <f>HYPERLINK("http://bombeiros.sp.gov.br/hidrantes/03individual/25220.html","25220")</f>
      </c>
      <c r="B78" t="s">
        <v>12</v>
      </c>
      <c r="C78" t="s">
        <v>92</v>
      </c>
      <c r="D78" t="s">
        <v>92</v>
      </c>
      <c r="E78" t="s">
        <v>15</v>
      </c>
      <c r="F78" t="s">
        <v>2671</v>
      </c>
      <c r="G78" t="s">
        <v>18071</v>
      </c>
      <c r="H78" t="s">
        <v>1121</v>
      </c>
      <c r="I78" t="s">
        <v>1117</v>
      </c>
      <c r="J78" t="s">
        <v>2673</v>
      </c>
      <c r="K78" t="s">
        <v>2674</v>
      </c>
      <c r="L78" t="s">
        <v>21</v>
      </c>
      <c r="M78" t="s">
        <v>19177</v>
      </c>
      <c r="N78" t="s">
        <v>97</v>
      </c>
      <c r="O78" t="s">
        <v>937</v>
      </c>
      <c r="P78" t="s">
        <v>12</v>
      </c>
    </row>
    <row r="79">
      <c r="A79">
        <f>HYPERLINK("http://bombeiros.sp.gov.br/hidrantes/03individual/26754.html","26754")</f>
      </c>
      <c r="B79" t="s">
        <v>12</v>
      </c>
      <c r="C79" t="s">
        <v>92</v>
      </c>
      <c r="D79" t="s">
        <v>92</v>
      </c>
      <c r="E79" t="s">
        <v>15</v>
      </c>
      <c r="F79" t="s">
        <v>15116</v>
      </c>
      <c r="G79"/>
      <c r="H79"/>
      <c r="I79" t="s">
        <v>1503</v>
      </c>
      <c r="J79" t="s">
        <v>15117</v>
      </c>
      <c r="K79" t="s">
        <v>15118</v>
      </c>
      <c r="L79" t="s">
        <v>21</v>
      </c>
      <c r="M79" t="s">
        <v>19177</v>
      </c>
      <c r="N79" t="s">
        <v>97</v>
      </c>
      <c r="O79" t="s">
        <v>937</v>
      </c>
      <c r="P79" t="s">
        <v>12</v>
      </c>
    </row>
    <row r="80">
      <c r="A80">
        <f>HYPERLINK("http://bombeiros.sp.gov.br/hidrantes/03individual/26883.html","26883")</f>
      </c>
      <c r="B80" t="s">
        <v>12</v>
      </c>
      <c r="C80" t="s">
        <v>92</v>
      </c>
      <c r="D80" t="s">
        <v>92</v>
      </c>
      <c r="E80" t="s">
        <v>15</v>
      </c>
      <c r="F80" t="s">
        <v>16284</v>
      </c>
      <c r="G80"/>
      <c r="H80"/>
      <c r="I80" t="s">
        <v>1503</v>
      </c>
      <c r="J80" t="s">
        <v>16285</v>
      </c>
      <c r="K80" t="s">
        <v>16286</v>
      </c>
      <c r="L80" t="s">
        <v>21</v>
      </c>
      <c r="M80" t="s">
        <v>19177</v>
      </c>
      <c r="N80" t="s">
        <v>97</v>
      </c>
      <c r="O80" t="s">
        <v>937</v>
      </c>
      <c r="P80" t="s">
        <v>12</v>
      </c>
    </row>
    <row r="81">
      <c r="A81">
        <f>HYPERLINK("http://bombeiros.sp.gov.br/hidrantes/03individual/1.html","1")</f>
      </c>
      <c r="B81" t="s">
        <v>12</v>
      </c>
      <c r="C81" t="s">
        <v>97</v>
      </c>
      <c r="D81" t="s">
        <v>98</v>
      </c>
      <c r="E81" t="s">
        <v>15</v>
      </c>
      <c r="F81" t="s">
        <v>2693</v>
      </c>
      <c r="G81" t="s">
        <v>18050</v>
      </c>
      <c r="H81" t="s">
        <v>1121</v>
      </c>
      <c r="I81" t="s">
        <v>1117</v>
      </c>
      <c r="J81" t="s">
        <v>2694</v>
      </c>
      <c r="K81" t="s">
        <v>2695</v>
      </c>
      <c r="L81" t="s">
        <v>21</v>
      </c>
      <c r="M81" t="s">
        <v>19177</v>
      </c>
      <c r="N81" t="s">
        <v>97</v>
      </c>
      <c r="O81" t="s">
        <v>937</v>
      </c>
      <c r="P81" t="s">
        <v>12</v>
      </c>
    </row>
    <row r="82">
      <c r="A82">
        <f>HYPERLINK("http://bombeiros.sp.gov.br/hidrantes/03individual/775.html","775")</f>
      </c>
      <c r="B82" t="s">
        <v>12</v>
      </c>
      <c r="C82" t="s">
        <v>97</v>
      </c>
      <c r="D82" t="s">
        <v>98</v>
      </c>
      <c r="E82" t="s">
        <v>15</v>
      </c>
      <c r="F82" t="s">
        <v>99</v>
      </c>
      <c r="G82" t="s">
        <v>18047</v>
      </c>
      <c r="H82"/>
      <c r="I82" t="s">
        <v>18</v>
      </c>
      <c r="J82" t="s">
        <v>100</v>
      </c>
      <c r="K82" t="s">
        <v>101</v>
      </c>
      <c r="L82" t="s">
        <v>21</v>
      </c>
      <c r="M82" t="s">
        <v>19177</v>
      </c>
      <c r="N82" t="s">
        <v>97</v>
      </c>
      <c r="O82" t="s">
        <v>937</v>
      </c>
      <c r="P82" t="s">
        <v>12</v>
      </c>
    </row>
    <row r="83">
      <c r="A83">
        <f>HYPERLINK("http://bombeiros.sp.gov.br/hidrantes/03individual/28056.html","28056")</f>
      </c>
      <c r="B83" t="s">
        <v>12</v>
      </c>
      <c r="C83" t="s">
        <v>97</v>
      </c>
      <c r="D83" t="s">
        <v>98</v>
      </c>
      <c r="E83" t="s">
        <v>15</v>
      </c>
      <c r="F83" t="s">
        <v>18413</v>
      </c>
      <c r="G83"/>
      <c r="H83"/>
      <c r="I83" t="s">
        <v>1503</v>
      </c>
      <c r="J83" t="s">
        <v>18414</v>
      </c>
      <c r="K83" t="s">
        <v>18415</v>
      </c>
      <c r="L83" t="s">
        <v>21</v>
      </c>
      <c r="M83" t="s">
        <v>19177</v>
      </c>
      <c r="N83" t="s">
        <v>97</v>
      </c>
      <c r="O83" t="s">
        <v>937</v>
      </c>
      <c r="P83" t="s">
        <v>12</v>
      </c>
    </row>
    <row r="84">
      <c r="A84">
        <f>HYPERLINK("http://bombeiros.sp.gov.br/hidrantes/03individual/257.html","257")</f>
      </c>
      <c r="B84" t="s">
        <v>12</v>
      </c>
      <c r="C84" t="s">
        <v>97</v>
      </c>
      <c r="D84" t="s">
        <v>102</v>
      </c>
      <c r="E84" t="s">
        <v>15</v>
      </c>
      <c r="F84" t="s">
        <v>2762</v>
      </c>
      <c r="G84" t="s">
        <v>18188</v>
      </c>
      <c r="H84"/>
      <c r="I84" t="s">
        <v>18</v>
      </c>
      <c r="J84" t="s">
        <v>2763</v>
      </c>
      <c r="K84" t="s">
        <v>2764</v>
      </c>
      <c r="L84" t="s">
        <v>21</v>
      </c>
      <c r="M84" t="s">
        <v>19177</v>
      </c>
      <c r="N84" t="s">
        <v>97</v>
      </c>
      <c r="O84" t="s">
        <v>937</v>
      </c>
      <c r="P84" t="s">
        <v>12</v>
      </c>
    </row>
    <row r="85">
      <c r="A85">
        <f>HYPERLINK("http://bombeiros.sp.gov.br/hidrantes/03individual/2528.html","2528")</f>
      </c>
      <c r="B85" t="s">
        <v>12</v>
      </c>
      <c r="C85" t="s">
        <v>97</v>
      </c>
      <c r="D85" t="s">
        <v>102</v>
      </c>
      <c r="E85" t="s">
        <v>15</v>
      </c>
      <c r="F85" t="s">
        <v>15119</v>
      </c>
      <c r="G85" t="s">
        <v>14992</v>
      </c>
      <c r="H85"/>
      <c r="I85" t="s">
        <v>1117</v>
      </c>
      <c r="J85" t="s">
        <v>15120</v>
      </c>
      <c r="K85" t="s">
        <v>15121</v>
      </c>
      <c r="L85" t="s">
        <v>21</v>
      </c>
      <c r="M85" t="s">
        <v>19177</v>
      </c>
      <c r="N85" t="s">
        <v>97</v>
      </c>
      <c r="O85" t="s">
        <v>937</v>
      </c>
      <c r="P85" t="s">
        <v>12</v>
      </c>
    </row>
    <row r="86">
      <c r="A86">
        <f>HYPERLINK("http://bombeiros.sp.gov.br/hidrantes/03individual/2809.html","2809")</f>
      </c>
      <c r="B86" t="s">
        <v>12</v>
      </c>
      <c r="C86" t="s">
        <v>97</v>
      </c>
      <c r="D86" t="s">
        <v>102</v>
      </c>
      <c r="E86" t="s">
        <v>15</v>
      </c>
      <c r="F86" t="s">
        <v>15122</v>
      </c>
      <c r="G86" t="s">
        <v>8977</v>
      </c>
      <c r="H86"/>
      <c r="I86" t="s">
        <v>18</v>
      </c>
      <c r="J86" t="s">
        <v>15123</v>
      </c>
      <c r="K86" t="s">
        <v>15124</v>
      </c>
      <c r="L86" t="s">
        <v>21</v>
      </c>
      <c r="M86" t="s">
        <v>19177</v>
      </c>
      <c r="N86" t="s">
        <v>97</v>
      </c>
      <c r="O86" t="s">
        <v>937</v>
      </c>
      <c r="P86" t="s">
        <v>12</v>
      </c>
    </row>
    <row r="87">
      <c r="A87">
        <f>HYPERLINK("http://bombeiros.sp.gov.br/hidrantes/03individual/259.html","259")</f>
      </c>
      <c r="B87" t="s">
        <v>12</v>
      </c>
      <c r="C87" t="s">
        <v>97</v>
      </c>
      <c r="D87" t="s">
        <v>97</v>
      </c>
      <c r="E87" t="s">
        <v>64</v>
      </c>
      <c r="F87" t="s">
        <v>15125</v>
      </c>
      <c r="G87" t="s">
        <v>15018</v>
      </c>
      <c r="H87"/>
      <c r="I87" t="s">
        <v>1117</v>
      </c>
      <c r="J87" t="s">
        <v>15126</v>
      </c>
      <c r="K87" t="s">
        <v>15127</v>
      </c>
      <c r="L87" t="s">
        <v>36</v>
      </c>
      <c r="M87" t="s">
        <v>19177</v>
      </c>
      <c r="N87" t="s">
        <v>97</v>
      </c>
      <c r="O87" t="s">
        <v>937</v>
      </c>
      <c r="P87" t="s">
        <v>12</v>
      </c>
    </row>
    <row r="88">
      <c r="A88">
        <f>HYPERLINK("http://bombeiros.sp.gov.br/hidrantes/03individual/113.html","113")</f>
      </c>
      <c r="B88" t="s">
        <v>12</v>
      </c>
      <c r="C88" t="s">
        <v>97</v>
      </c>
      <c r="D88" t="s">
        <v>97</v>
      </c>
      <c r="E88" t="s">
        <v>15</v>
      </c>
      <c r="F88" t="s">
        <v>110</v>
      </c>
      <c r="G88" t="s">
        <v>18150</v>
      </c>
      <c r="H88"/>
      <c r="I88" t="s">
        <v>18</v>
      </c>
      <c r="J88" t="s">
        <v>112</v>
      </c>
      <c r="K88" t="s">
        <v>113</v>
      </c>
      <c r="L88" t="s">
        <v>36</v>
      </c>
      <c r="M88" t="s">
        <v>19177</v>
      </c>
      <c r="N88" t="s">
        <v>97</v>
      </c>
      <c r="O88" t="s">
        <v>937</v>
      </c>
      <c r="P88" t="s">
        <v>12</v>
      </c>
    </row>
    <row r="89">
      <c r="A89">
        <f>HYPERLINK("http://bombeiros.sp.gov.br/hidrantes/03individual/125.html","125")</f>
      </c>
      <c r="B89" t="s">
        <v>12</v>
      </c>
      <c r="C89" t="s">
        <v>97</v>
      </c>
      <c r="D89" t="s">
        <v>97</v>
      </c>
      <c r="E89" t="s">
        <v>15</v>
      </c>
      <c r="F89" t="s">
        <v>15128</v>
      </c>
      <c r="G89" t="s">
        <v>8977</v>
      </c>
      <c r="H89"/>
      <c r="I89" t="s">
        <v>18</v>
      </c>
      <c r="J89" t="s">
        <v>15129</v>
      </c>
      <c r="K89" t="s">
        <v>15130</v>
      </c>
      <c r="L89" t="s">
        <v>21</v>
      </c>
      <c r="M89" t="s">
        <v>19177</v>
      </c>
      <c r="N89" t="s">
        <v>97</v>
      </c>
      <c r="O89" t="s">
        <v>937</v>
      </c>
      <c r="P89" t="s">
        <v>12</v>
      </c>
    </row>
    <row r="90">
      <c r="A90">
        <f>HYPERLINK("http://bombeiros.sp.gov.br/hidrantes/03individual/130.html","130")</f>
      </c>
      <c r="B90" t="s">
        <v>12</v>
      </c>
      <c r="C90" t="s">
        <v>97</v>
      </c>
      <c r="D90" t="s">
        <v>97</v>
      </c>
      <c r="E90" t="s">
        <v>15</v>
      </c>
      <c r="F90" t="s">
        <v>15131</v>
      </c>
      <c r="G90" t="s">
        <v>15132</v>
      </c>
      <c r="H90"/>
      <c r="I90" t="s">
        <v>1117</v>
      </c>
      <c r="J90" t="s">
        <v>15133</v>
      </c>
      <c r="K90" t="s">
        <v>15134</v>
      </c>
      <c r="L90" t="s">
        <v>21</v>
      </c>
      <c r="M90" t="s">
        <v>19177</v>
      </c>
      <c r="N90" t="s">
        <v>97</v>
      </c>
      <c r="O90" t="s">
        <v>937</v>
      </c>
      <c r="P90" t="s">
        <v>12</v>
      </c>
    </row>
    <row r="91">
      <c r="A91">
        <f>HYPERLINK("http://bombeiros.sp.gov.br/hidrantes/03individual/2446.html","2446")</f>
      </c>
      <c r="B91" t="s">
        <v>12</v>
      </c>
      <c r="C91" t="s">
        <v>97</v>
      </c>
      <c r="D91" t="s">
        <v>97</v>
      </c>
      <c r="E91" t="s">
        <v>15</v>
      </c>
      <c r="F91" t="s">
        <v>15135</v>
      </c>
      <c r="G91" t="s">
        <v>8977</v>
      </c>
      <c r="H91"/>
      <c r="I91" t="s">
        <v>18</v>
      </c>
      <c r="J91" t="s">
        <v>15136</v>
      </c>
      <c r="K91" t="s">
        <v>15137</v>
      </c>
      <c r="L91" t="s">
        <v>36</v>
      </c>
      <c r="M91" t="s">
        <v>19177</v>
      </c>
      <c r="N91" t="s">
        <v>97</v>
      </c>
      <c r="O91" t="s">
        <v>937</v>
      </c>
      <c r="P91" t="s">
        <v>12</v>
      </c>
    </row>
    <row r="92">
      <c r="A92">
        <f>HYPERLINK("http://bombeiros.sp.gov.br/hidrantes/03individual/2468.html","2468")</f>
      </c>
      <c r="B92" t="s">
        <v>12</v>
      </c>
      <c r="C92" t="s">
        <v>97</v>
      </c>
      <c r="D92" t="s">
        <v>97</v>
      </c>
      <c r="E92" t="s">
        <v>15</v>
      </c>
      <c r="F92" t="s">
        <v>15141</v>
      </c>
      <c r="G92" t="s">
        <v>15132</v>
      </c>
      <c r="H92"/>
      <c r="I92" t="s">
        <v>1117</v>
      </c>
      <c r="J92" t="s">
        <v>15142</v>
      </c>
      <c r="K92" t="s">
        <v>15143</v>
      </c>
      <c r="L92" t="s">
        <v>36</v>
      </c>
      <c r="M92" t="s">
        <v>19177</v>
      </c>
      <c r="N92" t="s">
        <v>97</v>
      </c>
      <c r="O92" t="s">
        <v>937</v>
      </c>
      <c r="P92" t="s">
        <v>12</v>
      </c>
    </row>
    <row r="93">
      <c r="A93">
        <f>HYPERLINK("http://bombeiros.sp.gov.br/hidrantes/03individual/2534.html","2534")</f>
      </c>
      <c r="B93" t="s">
        <v>12</v>
      </c>
      <c r="C93" t="s">
        <v>97</v>
      </c>
      <c r="D93" t="s">
        <v>97</v>
      </c>
      <c r="E93" t="s">
        <v>15</v>
      </c>
      <c r="F93" t="s">
        <v>15144</v>
      </c>
      <c r="G93" t="s">
        <v>8977</v>
      </c>
      <c r="H93"/>
      <c r="I93" t="s">
        <v>18</v>
      </c>
      <c r="J93" t="s">
        <v>15145</v>
      </c>
      <c r="K93" t="s">
        <v>15146</v>
      </c>
      <c r="L93" t="s">
        <v>36</v>
      </c>
      <c r="M93" t="s">
        <v>19177</v>
      </c>
      <c r="N93" t="s">
        <v>97</v>
      </c>
      <c r="O93" t="s">
        <v>937</v>
      </c>
      <c r="P93" t="s">
        <v>12</v>
      </c>
    </row>
    <row r="94">
      <c r="A94">
        <f>HYPERLINK("http://bombeiros.sp.gov.br/hidrantes/03individual/2796.html","2796")</f>
      </c>
      <c r="B94" t="s">
        <v>12</v>
      </c>
      <c r="C94" t="s">
        <v>97</v>
      </c>
      <c r="D94" t="s">
        <v>97</v>
      </c>
      <c r="E94" t="s">
        <v>15</v>
      </c>
      <c r="F94" t="s">
        <v>15147</v>
      </c>
      <c r="G94" t="s">
        <v>14992</v>
      </c>
      <c r="H94"/>
      <c r="I94" t="s">
        <v>1117</v>
      </c>
      <c r="J94" t="s">
        <v>15148</v>
      </c>
      <c r="K94" t="s">
        <v>15149</v>
      </c>
      <c r="L94" t="s">
        <v>21</v>
      </c>
      <c r="M94" t="s">
        <v>19177</v>
      </c>
      <c r="N94" t="s">
        <v>97</v>
      </c>
      <c r="O94" t="s">
        <v>937</v>
      </c>
      <c r="P94" t="s">
        <v>12</v>
      </c>
    </row>
    <row r="95">
      <c r="A95">
        <f>HYPERLINK("http://bombeiros.sp.gov.br/hidrantes/03individual/2987.html","2987")</f>
      </c>
      <c r="B95" t="s">
        <v>12</v>
      </c>
      <c r="C95" t="s">
        <v>97</v>
      </c>
      <c r="D95" t="s">
        <v>97</v>
      </c>
      <c r="E95" t="s">
        <v>15</v>
      </c>
      <c r="F95" t="s">
        <v>15150</v>
      </c>
      <c r="G95" t="s">
        <v>15132</v>
      </c>
      <c r="H95"/>
      <c r="I95" t="s">
        <v>1117</v>
      </c>
      <c r="J95" t="s">
        <v>15151</v>
      </c>
      <c r="K95" t="s">
        <v>15152</v>
      </c>
      <c r="L95" t="s">
        <v>36</v>
      </c>
      <c r="M95" t="s">
        <v>19177</v>
      </c>
      <c r="N95" t="s">
        <v>97</v>
      </c>
      <c r="O95" t="s">
        <v>937</v>
      </c>
      <c r="P95" t="s">
        <v>12</v>
      </c>
    </row>
    <row r="96">
      <c r="A96">
        <f>HYPERLINK("http://bombeiros.sp.gov.br/hidrantes/03individual/1740.html","1740")</f>
      </c>
      <c r="B96" t="s">
        <v>114</v>
      </c>
      <c r="C96" t="s">
        <v>115</v>
      </c>
      <c r="D96" t="s">
        <v>115</v>
      </c>
      <c r="E96" t="s">
        <v>15</v>
      </c>
      <c r="F96" t="s">
        <v>15153</v>
      </c>
      <c r="G96" t="s">
        <v>15132</v>
      </c>
      <c r="H96"/>
      <c r="I96" t="s">
        <v>1117</v>
      </c>
      <c r="J96" t="s">
        <v>15154</v>
      </c>
      <c r="K96" t="s">
        <v>15155</v>
      </c>
      <c r="L96" t="s">
        <v>21</v>
      </c>
      <c r="M96" t="s">
        <v>19177</v>
      </c>
      <c r="N96" t="s">
        <v>300</v>
      </c>
      <c r="O96" t="s">
        <v>16373</v>
      </c>
      <c r="P96" t="s">
        <v>12</v>
      </c>
    </row>
    <row r="97">
      <c r="A97">
        <f>HYPERLINK("http://bombeiros.sp.gov.br/hidrantes/03individual/3252.html","3252")</f>
      </c>
      <c r="B97" t="s">
        <v>114</v>
      </c>
      <c r="C97" t="s">
        <v>115</v>
      </c>
      <c r="D97" t="s">
        <v>115</v>
      </c>
      <c r="E97" t="s">
        <v>15</v>
      </c>
      <c r="F97" t="s">
        <v>15156</v>
      </c>
      <c r="G97" t="s">
        <v>15157</v>
      </c>
      <c r="H97"/>
      <c r="I97" t="s">
        <v>1117</v>
      </c>
      <c r="J97" t="s">
        <v>15158</v>
      </c>
      <c r="K97" t="s">
        <v>15159</v>
      </c>
      <c r="L97" t="s">
        <v>21</v>
      </c>
      <c r="M97" t="s">
        <v>19177</v>
      </c>
      <c r="N97" t="s">
        <v>300</v>
      </c>
      <c r="O97" t="s">
        <v>16373</v>
      </c>
      <c r="P97" t="s">
        <v>12</v>
      </c>
    </row>
    <row r="98">
      <c r="A98">
        <f>HYPERLINK("http://bombeiros.sp.gov.br/hidrantes/03individual/26835.html","26835")</f>
      </c>
      <c r="B98" t="s">
        <v>114</v>
      </c>
      <c r="C98" t="s">
        <v>124</v>
      </c>
      <c r="D98" t="s">
        <v>124</v>
      </c>
      <c r="E98" t="s">
        <v>64</v>
      </c>
      <c r="F98" t="s">
        <v>16128</v>
      </c>
      <c r="G98"/>
      <c r="H98"/>
      <c r="I98" t="s">
        <v>1503</v>
      </c>
      <c r="J98" t="s">
        <v>16129</v>
      </c>
      <c r="K98" t="s">
        <v>16130</v>
      </c>
      <c r="L98" t="s">
        <v>21</v>
      </c>
      <c r="M98" t="s">
        <v>19177</v>
      </c>
      <c r="N98" t="s">
        <v>300</v>
      </c>
      <c r="O98" t="s">
        <v>16373</v>
      </c>
      <c r="P98" t="s">
        <v>12</v>
      </c>
    </row>
    <row r="99">
      <c r="A99">
        <f>HYPERLINK("http://bombeiros.sp.gov.br/hidrantes/03individual/1790.html","1790")</f>
      </c>
      <c r="B99" t="s">
        <v>114</v>
      </c>
      <c r="C99" t="s">
        <v>124</v>
      </c>
      <c r="D99" t="s">
        <v>124</v>
      </c>
      <c r="E99" t="s">
        <v>15</v>
      </c>
      <c r="F99" t="s">
        <v>15160</v>
      </c>
      <c r="G99" t="s">
        <v>15161</v>
      </c>
      <c r="H99"/>
      <c r="I99" t="s">
        <v>1117</v>
      </c>
      <c r="J99" t="s">
        <v>15162</v>
      </c>
      <c r="K99" t="s">
        <v>15163</v>
      </c>
      <c r="L99" t="s">
        <v>21</v>
      </c>
      <c r="M99" t="s">
        <v>19177</v>
      </c>
      <c r="N99" t="s">
        <v>300</v>
      </c>
      <c r="O99" t="s">
        <v>16373</v>
      </c>
      <c r="P99" t="s">
        <v>12</v>
      </c>
    </row>
    <row r="100">
      <c r="A100">
        <f>HYPERLINK("http://bombeiros.sp.gov.br/hidrantes/03individual/4288.html","4288")</f>
      </c>
      <c r="B100" t="s">
        <v>114</v>
      </c>
      <c r="C100" t="s">
        <v>124</v>
      </c>
      <c r="D100" t="s">
        <v>124</v>
      </c>
      <c r="E100" t="s">
        <v>15</v>
      </c>
      <c r="F100" t="s">
        <v>3104</v>
      </c>
      <c r="G100"/>
      <c r="H100"/>
      <c r="I100" t="s">
        <v>1503</v>
      </c>
      <c r="J100" t="s">
        <v>3105</v>
      </c>
      <c r="K100" t="s">
        <v>3106</v>
      </c>
      <c r="L100" t="s">
        <v>21</v>
      </c>
      <c r="M100" t="s">
        <v>19177</v>
      </c>
      <c r="N100" t="s">
        <v>300</v>
      </c>
      <c r="O100" t="s">
        <v>16373</v>
      </c>
      <c r="P100" t="s">
        <v>12</v>
      </c>
    </row>
    <row r="101">
      <c r="A101">
        <f>HYPERLINK("http://bombeiros.sp.gov.br/hidrantes/03individual/26836.html","26836")</f>
      </c>
      <c r="B101" t="s">
        <v>114</v>
      </c>
      <c r="C101" t="s">
        <v>124</v>
      </c>
      <c r="D101" t="s">
        <v>124</v>
      </c>
      <c r="E101" t="s">
        <v>15</v>
      </c>
      <c r="F101" t="s">
        <v>16131</v>
      </c>
      <c r="G101"/>
      <c r="H101"/>
      <c r="I101" t="s">
        <v>1503</v>
      </c>
      <c r="J101" t="s">
        <v>16132</v>
      </c>
      <c r="K101" t="s">
        <v>16133</v>
      </c>
      <c r="L101" t="s">
        <v>21</v>
      </c>
      <c r="M101" t="s">
        <v>19177</v>
      </c>
      <c r="N101" t="s">
        <v>300</v>
      </c>
      <c r="O101" t="s">
        <v>16373</v>
      </c>
      <c r="P101" t="s">
        <v>12</v>
      </c>
    </row>
    <row r="102">
      <c r="A102">
        <f>HYPERLINK("http://bombeiros.sp.gov.br/hidrantes/03individual/2968.html","2968")</f>
      </c>
      <c r="B102" t="s">
        <v>114</v>
      </c>
      <c r="C102" t="s">
        <v>124</v>
      </c>
      <c r="D102" t="s">
        <v>3107</v>
      </c>
      <c r="E102" t="s">
        <v>15</v>
      </c>
      <c r="F102" t="s">
        <v>15164</v>
      </c>
      <c r="G102" t="s">
        <v>15165</v>
      </c>
      <c r="H102"/>
      <c r="I102" t="s">
        <v>1117</v>
      </c>
      <c r="J102" t="s">
        <v>15166</v>
      </c>
      <c r="K102" t="s">
        <v>15167</v>
      </c>
      <c r="L102" t="s">
        <v>21</v>
      </c>
      <c r="M102" t="s">
        <v>19177</v>
      </c>
      <c r="N102" t="s">
        <v>337</v>
      </c>
      <c r="O102" t="s">
        <v>337</v>
      </c>
      <c r="P102" t="s">
        <v>12</v>
      </c>
    </row>
    <row r="103">
      <c r="A103">
        <f>HYPERLINK("http://bombeiros.sp.gov.br/hidrantes/03individual/4325.html","4325")</f>
      </c>
      <c r="B103" t="s">
        <v>114</v>
      </c>
      <c r="C103" t="s">
        <v>129</v>
      </c>
      <c r="D103" t="s">
        <v>129</v>
      </c>
      <c r="E103" t="s">
        <v>64</v>
      </c>
      <c r="F103" t="s">
        <v>134</v>
      </c>
      <c r="G103" t="s">
        <v>17470</v>
      </c>
      <c r="H103"/>
      <c r="I103" t="s">
        <v>18</v>
      </c>
      <c r="J103" t="s">
        <v>136</v>
      </c>
      <c r="K103" t="s">
        <v>137</v>
      </c>
      <c r="L103" t="s">
        <v>36</v>
      </c>
      <c r="M103" t="s">
        <v>19177</v>
      </c>
      <c r="N103" t="s">
        <v>16374</v>
      </c>
      <c r="O103" t="s">
        <v>272</v>
      </c>
      <c r="P103" t="s">
        <v>114</v>
      </c>
    </row>
    <row r="104">
      <c r="A104">
        <f>HYPERLINK("http://bombeiros.sp.gov.br/hidrantes/03individual/6782.html","6782")</f>
      </c>
      <c r="B104" t="s">
        <v>114</v>
      </c>
      <c r="C104" t="s">
        <v>129</v>
      </c>
      <c r="D104" t="s">
        <v>129</v>
      </c>
      <c r="E104" t="s">
        <v>64</v>
      </c>
      <c r="F104" t="s">
        <v>15168</v>
      </c>
      <c r="G104"/>
      <c r="H104"/>
      <c r="I104" t="s">
        <v>1503</v>
      </c>
      <c r="J104" t="s">
        <v>15169</v>
      </c>
      <c r="K104" t="s">
        <v>15170</v>
      </c>
      <c r="L104" t="s">
        <v>36</v>
      </c>
      <c r="M104" t="s">
        <v>19177</v>
      </c>
      <c r="N104" t="s">
        <v>16374</v>
      </c>
      <c r="O104" t="s">
        <v>272</v>
      </c>
      <c r="P104" t="s">
        <v>114</v>
      </c>
    </row>
    <row r="105">
      <c r="A105">
        <f>HYPERLINK("http://bombeiros.sp.gov.br/hidrantes/03individual/1866.html","1866")</f>
      </c>
      <c r="B105" t="s">
        <v>114</v>
      </c>
      <c r="C105" t="s">
        <v>129</v>
      </c>
      <c r="D105" t="s">
        <v>129</v>
      </c>
      <c r="E105" t="s">
        <v>15</v>
      </c>
      <c r="F105" t="s">
        <v>15171</v>
      </c>
      <c r="G105" t="s">
        <v>15172</v>
      </c>
      <c r="H105"/>
      <c r="I105" t="s">
        <v>1117</v>
      </c>
      <c r="J105" t="s">
        <v>15173</v>
      </c>
      <c r="K105" t="s">
        <v>15174</v>
      </c>
      <c r="L105" t="s">
        <v>21</v>
      </c>
      <c r="M105" t="s">
        <v>19177</v>
      </c>
      <c r="N105" t="s">
        <v>16374</v>
      </c>
      <c r="O105" t="s">
        <v>272</v>
      </c>
      <c r="P105" t="s">
        <v>114</v>
      </c>
    </row>
    <row r="106">
      <c r="A106">
        <f>HYPERLINK("http://bombeiros.sp.gov.br/hidrantes/03individual/3277.html","3277")</f>
      </c>
      <c r="B106" t="s">
        <v>114</v>
      </c>
      <c r="C106" t="s">
        <v>129</v>
      </c>
      <c r="D106" t="s">
        <v>129</v>
      </c>
      <c r="E106" t="s">
        <v>15</v>
      </c>
      <c r="F106" t="s">
        <v>138</v>
      </c>
      <c r="G106" t="s">
        <v>18076</v>
      </c>
      <c r="H106"/>
      <c r="I106" t="s">
        <v>18</v>
      </c>
      <c r="J106" t="s">
        <v>139</v>
      </c>
      <c r="K106" t="s">
        <v>140</v>
      </c>
      <c r="L106" t="s">
        <v>21</v>
      </c>
      <c r="M106" t="s">
        <v>19177</v>
      </c>
      <c r="N106" t="s">
        <v>16374</v>
      </c>
      <c r="O106" t="s">
        <v>272</v>
      </c>
      <c r="P106" t="s">
        <v>114</v>
      </c>
    </row>
    <row r="107">
      <c r="A107">
        <f>HYPERLINK("http://bombeiros.sp.gov.br/hidrantes/03individual/3394.html","3394")</f>
      </c>
      <c r="B107" t="s">
        <v>114</v>
      </c>
      <c r="C107" t="s">
        <v>129</v>
      </c>
      <c r="D107" t="s">
        <v>129</v>
      </c>
      <c r="E107" t="s">
        <v>15</v>
      </c>
      <c r="F107" t="s">
        <v>15175</v>
      </c>
      <c r="G107" t="s">
        <v>15176</v>
      </c>
      <c r="H107"/>
      <c r="I107" t="s">
        <v>1117</v>
      </c>
      <c r="J107" t="s">
        <v>15177</v>
      </c>
      <c r="K107" t="s">
        <v>15178</v>
      </c>
      <c r="L107" t="s">
        <v>21</v>
      </c>
      <c r="M107" t="s">
        <v>19177</v>
      </c>
      <c r="N107" t="s">
        <v>16374</v>
      </c>
      <c r="O107" t="s">
        <v>272</v>
      </c>
      <c r="P107" t="s">
        <v>114</v>
      </c>
    </row>
    <row r="108">
      <c r="A108">
        <f>HYPERLINK("http://bombeiros.sp.gov.br/hidrantes/03individual/17801.html","17801")</f>
      </c>
      <c r="B108" t="s">
        <v>114</v>
      </c>
      <c r="C108" t="s">
        <v>129</v>
      </c>
      <c r="D108" t="s">
        <v>129</v>
      </c>
      <c r="E108" t="s">
        <v>15</v>
      </c>
      <c r="F108" t="s">
        <v>141</v>
      </c>
      <c r="G108" t="s">
        <v>18488</v>
      </c>
      <c r="H108" t="s">
        <v>1121</v>
      </c>
      <c r="I108" t="s">
        <v>1117</v>
      </c>
      <c r="J108" t="s">
        <v>142</v>
      </c>
      <c r="K108" t="s">
        <v>143</v>
      </c>
      <c r="L108" t="s">
        <v>21</v>
      </c>
      <c r="M108" t="s">
        <v>19177</v>
      </c>
      <c r="N108" t="s">
        <v>16374</v>
      </c>
      <c r="O108" t="s">
        <v>272</v>
      </c>
      <c r="P108" t="s">
        <v>114</v>
      </c>
    </row>
    <row r="109">
      <c r="A109">
        <f>HYPERLINK("http://bombeiros.sp.gov.br/hidrantes/03individual/5627.html","5627")</f>
      </c>
      <c r="B109" t="s">
        <v>114</v>
      </c>
      <c r="C109" t="s">
        <v>144</v>
      </c>
      <c r="D109" t="s">
        <v>144</v>
      </c>
      <c r="E109" t="s">
        <v>64</v>
      </c>
      <c r="F109" t="s">
        <v>145</v>
      </c>
      <c r="G109" t="s">
        <v>16561</v>
      </c>
      <c r="H109"/>
      <c r="I109" t="s">
        <v>18</v>
      </c>
      <c r="J109" t="s">
        <v>147</v>
      </c>
      <c r="K109" t="s">
        <v>148</v>
      </c>
      <c r="L109" t="s">
        <v>21</v>
      </c>
      <c r="M109" t="s">
        <v>19177</v>
      </c>
      <c r="N109" t="s">
        <v>300</v>
      </c>
      <c r="O109" t="s">
        <v>16373</v>
      </c>
      <c r="P109" t="s">
        <v>12</v>
      </c>
    </row>
    <row r="110">
      <c r="A110">
        <f>HYPERLINK("http://bombeiros.sp.gov.br/hidrantes/03individual/1516.html","1516")</f>
      </c>
      <c r="B110" t="s">
        <v>114</v>
      </c>
      <c r="C110" t="s">
        <v>144</v>
      </c>
      <c r="D110" t="s">
        <v>149</v>
      </c>
      <c r="E110" t="s">
        <v>15</v>
      </c>
      <c r="F110" t="s">
        <v>15179</v>
      </c>
      <c r="G110" t="s">
        <v>15034</v>
      </c>
      <c r="H110"/>
      <c r="I110" t="s">
        <v>1117</v>
      </c>
      <c r="J110" t="s">
        <v>15180</v>
      </c>
      <c r="K110" t="s">
        <v>15181</v>
      </c>
      <c r="L110" t="s">
        <v>21</v>
      </c>
      <c r="M110" t="s">
        <v>19177</v>
      </c>
      <c r="N110" t="s">
        <v>97</v>
      </c>
      <c r="O110" t="s">
        <v>937</v>
      </c>
      <c r="P110" t="s">
        <v>12</v>
      </c>
    </row>
    <row r="111">
      <c r="A111">
        <f>HYPERLINK("http://bombeiros.sp.gov.br/hidrantes/03individual/1518.html","1518")</f>
      </c>
      <c r="B111" t="s">
        <v>114</v>
      </c>
      <c r="C111" t="s">
        <v>144</v>
      </c>
      <c r="D111" t="s">
        <v>149</v>
      </c>
      <c r="E111" t="s">
        <v>15</v>
      </c>
      <c r="F111" t="s">
        <v>15182</v>
      </c>
      <c r="G111" t="s">
        <v>15038</v>
      </c>
      <c r="H111"/>
      <c r="I111" t="s">
        <v>1117</v>
      </c>
      <c r="J111" t="s">
        <v>15183</v>
      </c>
      <c r="K111" t="s">
        <v>15184</v>
      </c>
      <c r="L111" t="s">
        <v>21</v>
      </c>
      <c r="M111" t="s">
        <v>19177</v>
      </c>
      <c r="N111" t="s">
        <v>300</v>
      </c>
      <c r="O111" t="s">
        <v>16373</v>
      </c>
      <c r="P111" t="s">
        <v>12</v>
      </c>
    </row>
    <row r="112">
      <c r="A112">
        <f>HYPERLINK("http://bombeiros.sp.gov.br/hidrantes/03individual/1561.html","1561")</f>
      </c>
      <c r="B112" t="s">
        <v>114</v>
      </c>
      <c r="C112" t="s">
        <v>144</v>
      </c>
      <c r="D112" t="s">
        <v>149</v>
      </c>
      <c r="E112" t="s">
        <v>15</v>
      </c>
      <c r="F112" t="s">
        <v>15185</v>
      </c>
      <c r="G112" t="s">
        <v>9110</v>
      </c>
      <c r="H112"/>
      <c r="I112" t="s">
        <v>1117</v>
      </c>
      <c r="J112" t="s">
        <v>15186</v>
      </c>
      <c r="K112" t="s">
        <v>15187</v>
      </c>
      <c r="L112" t="s">
        <v>21</v>
      </c>
      <c r="M112" t="s">
        <v>19177</v>
      </c>
      <c r="N112" t="s">
        <v>97</v>
      </c>
      <c r="O112" t="s">
        <v>937</v>
      </c>
      <c r="P112" t="s">
        <v>12</v>
      </c>
    </row>
    <row r="113">
      <c r="A113">
        <f>HYPERLINK("http://bombeiros.sp.gov.br/hidrantes/03individual/3320.html","3320")</f>
      </c>
      <c r="B113" t="s">
        <v>114</v>
      </c>
      <c r="C113" t="s">
        <v>144</v>
      </c>
      <c r="D113" t="s">
        <v>149</v>
      </c>
      <c r="E113" t="s">
        <v>15</v>
      </c>
      <c r="F113" t="s">
        <v>15188</v>
      </c>
      <c r="G113" t="s">
        <v>9110</v>
      </c>
      <c r="H113"/>
      <c r="I113" t="s">
        <v>1117</v>
      </c>
      <c r="J113" t="s">
        <v>15189</v>
      </c>
      <c r="K113" t="s">
        <v>15190</v>
      </c>
      <c r="L113" t="s">
        <v>21</v>
      </c>
      <c r="M113" t="s">
        <v>19177</v>
      </c>
      <c r="N113" t="s">
        <v>300</v>
      </c>
      <c r="O113" t="s">
        <v>16373</v>
      </c>
      <c r="P113" t="s">
        <v>12</v>
      </c>
    </row>
    <row r="114">
      <c r="A114">
        <f>HYPERLINK("http://bombeiros.sp.gov.br/hidrantes/03individual/26655.html","26655")</f>
      </c>
      <c r="B114" t="s">
        <v>114</v>
      </c>
      <c r="C114" t="s">
        <v>144</v>
      </c>
      <c r="D114" t="s">
        <v>149</v>
      </c>
      <c r="E114" t="s">
        <v>15</v>
      </c>
      <c r="F114" t="s">
        <v>15191</v>
      </c>
      <c r="G114"/>
      <c r="H114"/>
      <c r="I114" t="s">
        <v>1503</v>
      </c>
      <c r="J114" t="s">
        <v>15192</v>
      </c>
      <c r="K114" t="s">
        <v>15193</v>
      </c>
      <c r="L114" t="s">
        <v>21</v>
      </c>
      <c r="M114" t="s">
        <v>19177</v>
      </c>
      <c r="N114" t="s">
        <v>300</v>
      </c>
      <c r="O114" t="s">
        <v>16373</v>
      </c>
      <c r="P114" t="s">
        <v>12</v>
      </c>
    </row>
    <row r="115">
      <c r="A115">
        <f>HYPERLINK("http://bombeiros.sp.gov.br/hidrantes/03individual/1346.html","1346")</f>
      </c>
      <c r="B115" t="s">
        <v>114</v>
      </c>
      <c r="C115" t="s">
        <v>144</v>
      </c>
      <c r="D115" t="s">
        <v>165</v>
      </c>
      <c r="E115" t="s">
        <v>15</v>
      </c>
      <c r="F115" t="s">
        <v>166</v>
      </c>
      <c r="G115" t="s">
        <v>155</v>
      </c>
      <c r="H115"/>
      <c r="I115" t="s">
        <v>18</v>
      </c>
      <c r="J115" t="s">
        <v>167</v>
      </c>
      <c r="K115" t="s">
        <v>168</v>
      </c>
      <c r="L115" t="s">
        <v>21</v>
      </c>
      <c r="M115" t="s">
        <v>19177</v>
      </c>
      <c r="N115" t="s">
        <v>97</v>
      </c>
      <c r="O115" t="s">
        <v>937</v>
      </c>
      <c r="P115" t="s">
        <v>12</v>
      </c>
    </row>
    <row r="116">
      <c r="A116">
        <f>HYPERLINK("http://bombeiros.sp.gov.br/hidrantes/03individual/1592.html","1592")</f>
      </c>
      <c r="B116" t="s">
        <v>114</v>
      </c>
      <c r="C116" t="s">
        <v>144</v>
      </c>
      <c r="D116" t="s">
        <v>165</v>
      </c>
      <c r="E116" t="s">
        <v>15</v>
      </c>
      <c r="F116" t="s">
        <v>3452</v>
      </c>
      <c r="G116" t="s">
        <v>18026</v>
      </c>
      <c r="H116" t="s">
        <v>1121</v>
      </c>
      <c r="I116" t="s">
        <v>1117</v>
      </c>
      <c r="J116" t="s">
        <v>3453</v>
      </c>
      <c r="K116" t="s">
        <v>3454</v>
      </c>
      <c r="L116" t="s">
        <v>21</v>
      </c>
      <c r="M116" t="s">
        <v>19177</v>
      </c>
      <c r="N116" t="s">
        <v>97</v>
      </c>
      <c r="O116" t="s">
        <v>937</v>
      </c>
      <c r="P116" t="s">
        <v>12</v>
      </c>
    </row>
    <row r="117">
      <c r="A117">
        <f>HYPERLINK("http://bombeiros.sp.gov.br/hidrantes/03individual/26808.html","26808")</f>
      </c>
      <c r="B117" t="s">
        <v>114</v>
      </c>
      <c r="C117" t="s">
        <v>144</v>
      </c>
      <c r="D117" t="s">
        <v>165</v>
      </c>
      <c r="E117" t="s">
        <v>15</v>
      </c>
      <c r="F117" t="s">
        <v>15930</v>
      </c>
      <c r="G117"/>
      <c r="H117"/>
      <c r="I117" t="s">
        <v>1503</v>
      </c>
      <c r="J117" t="s">
        <v>15931</v>
      </c>
      <c r="K117" t="s">
        <v>15932</v>
      </c>
      <c r="L117" t="s">
        <v>21</v>
      </c>
      <c r="M117" t="s">
        <v>19177</v>
      </c>
      <c r="N117" t="s">
        <v>300</v>
      </c>
      <c r="O117" t="s">
        <v>16373</v>
      </c>
      <c r="P117" t="s">
        <v>12</v>
      </c>
    </row>
    <row r="118">
      <c r="A118">
        <f>HYPERLINK("http://bombeiros.sp.gov.br/hidrantes/03individual/73.html","73")</f>
      </c>
      <c r="B118" t="s">
        <v>114</v>
      </c>
      <c r="C118" t="s">
        <v>172</v>
      </c>
      <c r="D118" t="s">
        <v>172</v>
      </c>
      <c r="E118" t="s">
        <v>15</v>
      </c>
      <c r="F118" t="s">
        <v>3505</v>
      </c>
      <c r="G118" t="s">
        <v>18173</v>
      </c>
      <c r="H118" t="s">
        <v>1121</v>
      </c>
      <c r="I118" t="s">
        <v>1117</v>
      </c>
      <c r="J118" t="s">
        <v>3506</v>
      </c>
      <c r="K118" t="s">
        <v>3507</v>
      </c>
      <c r="L118" t="s">
        <v>21</v>
      </c>
      <c r="M118" t="s">
        <v>19177</v>
      </c>
      <c r="N118" t="s">
        <v>97</v>
      </c>
      <c r="O118" t="s">
        <v>937</v>
      </c>
      <c r="P118" t="s">
        <v>12</v>
      </c>
    </row>
    <row r="119">
      <c r="A119">
        <f>HYPERLINK("http://bombeiros.sp.gov.br/hidrantes/03individual/123.html","123")</f>
      </c>
      <c r="B119" t="s">
        <v>114</v>
      </c>
      <c r="C119" t="s">
        <v>172</v>
      </c>
      <c r="D119" t="s">
        <v>172</v>
      </c>
      <c r="E119" t="s">
        <v>15</v>
      </c>
      <c r="F119" t="s">
        <v>15194</v>
      </c>
      <c r="G119" t="s">
        <v>15157</v>
      </c>
      <c r="H119"/>
      <c r="I119" t="s">
        <v>1117</v>
      </c>
      <c r="J119" t="s">
        <v>15195</v>
      </c>
      <c r="K119" t="s">
        <v>15196</v>
      </c>
      <c r="L119" t="s">
        <v>21</v>
      </c>
      <c r="M119" t="s">
        <v>19177</v>
      </c>
      <c r="N119" t="s">
        <v>97</v>
      </c>
      <c r="O119" t="s">
        <v>937</v>
      </c>
      <c r="P119" t="s">
        <v>12</v>
      </c>
    </row>
    <row r="120">
      <c r="A120">
        <f>HYPERLINK("http://bombeiros.sp.gov.br/hidrantes/03individual/182.html","182")</f>
      </c>
      <c r="B120" t="s">
        <v>114</v>
      </c>
      <c r="C120" t="s">
        <v>172</v>
      </c>
      <c r="D120" t="s">
        <v>172</v>
      </c>
      <c r="E120" t="s">
        <v>15</v>
      </c>
      <c r="F120" t="s">
        <v>15197</v>
      </c>
      <c r="G120" t="s">
        <v>15157</v>
      </c>
      <c r="H120"/>
      <c r="I120" t="s">
        <v>1117</v>
      </c>
      <c r="J120" t="s">
        <v>15198</v>
      </c>
      <c r="K120" t="s">
        <v>15199</v>
      </c>
      <c r="L120" t="s">
        <v>21</v>
      </c>
      <c r="M120" t="s">
        <v>19177</v>
      </c>
      <c r="N120" t="s">
        <v>97</v>
      </c>
      <c r="O120" t="s">
        <v>937</v>
      </c>
      <c r="P120" t="s">
        <v>12</v>
      </c>
    </row>
    <row r="121">
      <c r="A121">
        <f>HYPERLINK("http://bombeiros.sp.gov.br/hidrantes/03individual/1855.html","1855")</f>
      </c>
      <c r="B121" t="s">
        <v>114</v>
      </c>
      <c r="C121" t="s">
        <v>172</v>
      </c>
      <c r="D121" t="s">
        <v>172</v>
      </c>
      <c r="E121" t="s">
        <v>15</v>
      </c>
      <c r="F121" t="s">
        <v>15200</v>
      </c>
      <c r="G121" t="s">
        <v>15172</v>
      </c>
      <c r="H121"/>
      <c r="I121" t="s">
        <v>1117</v>
      </c>
      <c r="J121" t="s">
        <v>15201</v>
      </c>
      <c r="K121" t="s">
        <v>15202</v>
      </c>
      <c r="L121" t="s">
        <v>21</v>
      </c>
      <c r="M121" t="s">
        <v>19177</v>
      </c>
      <c r="N121" t="s">
        <v>97</v>
      </c>
      <c r="O121" t="s">
        <v>937</v>
      </c>
      <c r="P121" t="s">
        <v>12</v>
      </c>
    </row>
    <row r="122">
      <c r="A122">
        <f>HYPERLINK("http://bombeiros.sp.gov.br/hidrantes/03individual/1909.html","1909")</f>
      </c>
      <c r="B122" t="s">
        <v>114</v>
      </c>
      <c r="C122" t="s">
        <v>172</v>
      </c>
      <c r="D122" t="s">
        <v>172</v>
      </c>
      <c r="E122" t="s">
        <v>15</v>
      </c>
      <c r="F122" t="s">
        <v>15203</v>
      </c>
      <c r="G122" t="s">
        <v>15157</v>
      </c>
      <c r="H122"/>
      <c r="I122" t="s">
        <v>1117</v>
      </c>
      <c r="J122" t="s">
        <v>15204</v>
      </c>
      <c r="K122" t="s">
        <v>15205</v>
      </c>
      <c r="L122" t="s">
        <v>21</v>
      </c>
      <c r="M122" t="s">
        <v>19177</v>
      </c>
      <c r="N122" t="s">
        <v>97</v>
      </c>
      <c r="O122" t="s">
        <v>937</v>
      </c>
      <c r="P122" t="s">
        <v>12</v>
      </c>
    </row>
    <row r="123">
      <c r="A123">
        <f>HYPERLINK("http://bombeiros.sp.gov.br/hidrantes/03individual/2856.html","2856")</f>
      </c>
      <c r="B123" t="s">
        <v>114</v>
      </c>
      <c r="C123" t="s">
        <v>172</v>
      </c>
      <c r="D123" t="s">
        <v>172</v>
      </c>
      <c r="E123" t="s">
        <v>15</v>
      </c>
      <c r="F123" t="s">
        <v>15206</v>
      </c>
      <c r="G123" t="s">
        <v>1384</v>
      </c>
      <c r="H123"/>
      <c r="I123" t="s">
        <v>18</v>
      </c>
      <c r="J123" t="s">
        <v>15207</v>
      </c>
      <c r="K123" t="s">
        <v>15208</v>
      </c>
      <c r="L123" t="s">
        <v>21</v>
      </c>
      <c r="M123" t="s">
        <v>19177</v>
      </c>
      <c r="N123" t="s">
        <v>97</v>
      </c>
      <c r="O123" t="s">
        <v>937</v>
      </c>
      <c r="P123" t="s">
        <v>12</v>
      </c>
    </row>
    <row r="124">
      <c r="A124">
        <f>HYPERLINK("http://bombeiros.sp.gov.br/hidrantes/03individual/258.html","258")</f>
      </c>
      <c r="B124" t="s">
        <v>114</v>
      </c>
      <c r="C124" t="s">
        <v>172</v>
      </c>
      <c r="D124" t="s">
        <v>173</v>
      </c>
      <c r="E124" t="s">
        <v>64</v>
      </c>
      <c r="F124" t="s">
        <v>174</v>
      </c>
      <c r="G124" t="s">
        <v>18165</v>
      </c>
      <c r="H124"/>
      <c r="I124" t="s">
        <v>18</v>
      </c>
      <c r="J124" t="s">
        <v>176</v>
      </c>
      <c r="K124" t="s">
        <v>177</v>
      </c>
      <c r="L124" t="s">
        <v>36</v>
      </c>
      <c r="M124" t="s">
        <v>19177</v>
      </c>
      <c r="N124" t="s">
        <v>97</v>
      </c>
      <c r="O124" t="s">
        <v>937</v>
      </c>
      <c r="P124" t="s">
        <v>12</v>
      </c>
    </row>
    <row r="125">
      <c r="A125">
        <f>HYPERLINK("http://bombeiros.sp.gov.br/hidrantes/03individual/254.html","254")</f>
      </c>
      <c r="B125" t="s">
        <v>114</v>
      </c>
      <c r="C125" t="s">
        <v>172</v>
      </c>
      <c r="D125" t="s">
        <v>173</v>
      </c>
      <c r="E125" t="s">
        <v>15</v>
      </c>
      <c r="F125" t="s">
        <v>15209</v>
      </c>
      <c r="G125" t="s">
        <v>15157</v>
      </c>
      <c r="H125"/>
      <c r="I125" t="s">
        <v>1117</v>
      </c>
      <c r="J125" t="s">
        <v>15210</v>
      </c>
      <c r="K125" t="s">
        <v>15211</v>
      </c>
      <c r="L125" t="s">
        <v>36</v>
      </c>
      <c r="M125" t="s">
        <v>19177</v>
      </c>
      <c r="N125" t="s">
        <v>97</v>
      </c>
      <c r="O125" t="s">
        <v>937</v>
      </c>
      <c r="P125" t="s">
        <v>12</v>
      </c>
    </row>
    <row r="126">
      <c r="A126">
        <f>HYPERLINK("http://bombeiros.sp.gov.br/hidrantes/03individual/1962.html","1962")</f>
      </c>
      <c r="B126" t="s">
        <v>114</v>
      </c>
      <c r="C126" t="s">
        <v>172</v>
      </c>
      <c r="D126" t="s">
        <v>173</v>
      </c>
      <c r="E126" t="s">
        <v>15</v>
      </c>
      <c r="F126" t="s">
        <v>15215</v>
      </c>
      <c r="G126" t="s">
        <v>1534</v>
      </c>
      <c r="H126"/>
      <c r="I126" t="s">
        <v>18</v>
      </c>
      <c r="J126" t="s">
        <v>15216</v>
      </c>
      <c r="K126" t="s">
        <v>15217</v>
      </c>
      <c r="L126" t="s">
        <v>21</v>
      </c>
      <c r="M126" t="s">
        <v>19177</v>
      </c>
      <c r="N126" t="s">
        <v>97</v>
      </c>
      <c r="O126" t="s">
        <v>937</v>
      </c>
      <c r="P126" t="s">
        <v>12</v>
      </c>
    </row>
    <row r="127">
      <c r="A127">
        <f>HYPERLINK("http://bombeiros.sp.gov.br/hidrantes/03individual/1970.html","1970")</f>
      </c>
      <c r="B127" t="s">
        <v>114</v>
      </c>
      <c r="C127" t="s">
        <v>172</v>
      </c>
      <c r="D127" t="s">
        <v>173</v>
      </c>
      <c r="E127" t="s">
        <v>15</v>
      </c>
      <c r="F127" t="s">
        <v>15218</v>
      </c>
      <c r="G127" t="s">
        <v>1534</v>
      </c>
      <c r="H127"/>
      <c r="I127" t="s">
        <v>18</v>
      </c>
      <c r="J127" t="s">
        <v>15219</v>
      </c>
      <c r="K127" t="s">
        <v>15220</v>
      </c>
      <c r="L127" t="s">
        <v>21</v>
      </c>
      <c r="M127" t="s">
        <v>19177</v>
      </c>
      <c r="N127" t="s">
        <v>97</v>
      </c>
      <c r="O127" t="s">
        <v>937</v>
      </c>
      <c r="P127" t="s">
        <v>12</v>
      </c>
    </row>
    <row r="128">
      <c r="A128">
        <f>HYPERLINK("http://bombeiros.sp.gov.br/hidrantes/03individual/16600.html","16600")</f>
      </c>
      <c r="B128" t="s">
        <v>114</v>
      </c>
      <c r="C128" t="s">
        <v>172</v>
      </c>
      <c r="D128" t="s">
        <v>173</v>
      </c>
      <c r="E128" t="s">
        <v>15</v>
      </c>
      <c r="F128" t="s">
        <v>15221</v>
      </c>
      <c r="G128"/>
      <c r="H128"/>
      <c r="I128" t="s">
        <v>1503</v>
      </c>
      <c r="J128" t="s">
        <v>15222</v>
      </c>
      <c r="K128" t="s">
        <v>15223</v>
      </c>
      <c r="L128" t="s">
        <v>21</v>
      </c>
      <c r="M128" t="s">
        <v>19177</v>
      </c>
      <c r="N128" t="s">
        <v>97</v>
      </c>
      <c r="O128" t="s">
        <v>937</v>
      </c>
      <c r="P128" t="s">
        <v>12</v>
      </c>
    </row>
    <row r="129">
      <c r="A129">
        <f>HYPERLINK("http://bombeiros.sp.gov.br/hidrantes/03individual/58.html","58")</f>
      </c>
      <c r="B129" t="s">
        <v>114</v>
      </c>
      <c r="C129" t="s">
        <v>172</v>
      </c>
      <c r="D129" t="s">
        <v>182</v>
      </c>
      <c r="E129" t="s">
        <v>15</v>
      </c>
      <c r="F129" t="s">
        <v>15224</v>
      </c>
      <c r="G129" t="s">
        <v>1534</v>
      </c>
      <c r="H129"/>
      <c r="I129" t="s">
        <v>18</v>
      </c>
      <c r="J129" t="s">
        <v>15225</v>
      </c>
      <c r="K129" t="s">
        <v>15226</v>
      </c>
      <c r="L129" t="s">
        <v>21</v>
      </c>
      <c r="M129" t="s">
        <v>19177</v>
      </c>
      <c r="N129" t="s">
        <v>97</v>
      </c>
      <c r="O129" t="s">
        <v>937</v>
      </c>
      <c r="P129" t="s">
        <v>12</v>
      </c>
    </row>
    <row r="130">
      <c r="A130">
        <f>HYPERLINK("http://bombeiros.sp.gov.br/hidrantes/03individual/59.html","59")</f>
      </c>
      <c r="B130" t="s">
        <v>114</v>
      </c>
      <c r="C130" t="s">
        <v>172</v>
      </c>
      <c r="D130" t="s">
        <v>182</v>
      </c>
      <c r="E130" t="s">
        <v>15</v>
      </c>
      <c r="F130" t="s">
        <v>15227</v>
      </c>
      <c r="G130" t="s">
        <v>15157</v>
      </c>
      <c r="H130"/>
      <c r="I130" t="s">
        <v>1117</v>
      </c>
      <c r="J130" t="s">
        <v>15228</v>
      </c>
      <c r="K130" t="s">
        <v>15229</v>
      </c>
      <c r="L130" t="s">
        <v>21</v>
      </c>
      <c r="M130" t="s">
        <v>19177</v>
      </c>
      <c r="N130" t="s">
        <v>97</v>
      </c>
      <c r="O130" t="s">
        <v>937</v>
      </c>
      <c r="P130" t="s">
        <v>12</v>
      </c>
    </row>
    <row r="131">
      <c r="A131">
        <f>HYPERLINK("http://bombeiros.sp.gov.br/hidrantes/03individual/76.html","76")</f>
      </c>
      <c r="B131" t="s">
        <v>114</v>
      </c>
      <c r="C131" t="s">
        <v>172</v>
      </c>
      <c r="D131" t="s">
        <v>182</v>
      </c>
      <c r="E131" t="s">
        <v>15</v>
      </c>
      <c r="F131" t="s">
        <v>15230</v>
      </c>
      <c r="G131" t="s">
        <v>15132</v>
      </c>
      <c r="H131"/>
      <c r="I131" t="s">
        <v>1117</v>
      </c>
      <c r="J131" t="s">
        <v>15231</v>
      </c>
      <c r="K131" t="s">
        <v>15232</v>
      </c>
      <c r="L131" t="s">
        <v>21</v>
      </c>
      <c r="M131" t="s">
        <v>19177</v>
      </c>
      <c r="N131" t="s">
        <v>97</v>
      </c>
      <c r="O131" t="s">
        <v>937</v>
      </c>
      <c r="P131" t="s">
        <v>12</v>
      </c>
    </row>
    <row r="132">
      <c r="A132">
        <f>HYPERLINK("http://bombeiros.sp.gov.br/hidrantes/03individual/133.html","133")</f>
      </c>
      <c r="B132" t="s">
        <v>114</v>
      </c>
      <c r="C132" t="s">
        <v>172</v>
      </c>
      <c r="D132" t="s">
        <v>182</v>
      </c>
      <c r="E132" t="s">
        <v>15</v>
      </c>
      <c r="F132" t="s">
        <v>15233</v>
      </c>
      <c r="G132" t="s">
        <v>15132</v>
      </c>
      <c r="H132"/>
      <c r="I132" t="s">
        <v>1117</v>
      </c>
      <c r="J132" t="s">
        <v>15234</v>
      </c>
      <c r="K132" t="s">
        <v>15235</v>
      </c>
      <c r="L132" t="s">
        <v>21</v>
      </c>
      <c r="M132" t="s">
        <v>19177</v>
      </c>
      <c r="N132" t="s">
        <v>97</v>
      </c>
      <c r="O132" t="s">
        <v>937</v>
      </c>
      <c r="P132" t="s">
        <v>12</v>
      </c>
    </row>
    <row r="133">
      <c r="A133">
        <f>HYPERLINK("http://bombeiros.sp.gov.br/hidrantes/03individual/134.html","134")</f>
      </c>
      <c r="B133" t="s">
        <v>114</v>
      </c>
      <c r="C133" t="s">
        <v>172</v>
      </c>
      <c r="D133" t="s">
        <v>182</v>
      </c>
      <c r="E133" t="s">
        <v>15</v>
      </c>
      <c r="F133" t="s">
        <v>15236</v>
      </c>
      <c r="G133" t="s">
        <v>15132</v>
      </c>
      <c r="H133"/>
      <c r="I133" t="s">
        <v>1117</v>
      </c>
      <c r="J133" t="s">
        <v>15237</v>
      </c>
      <c r="K133" t="s">
        <v>15238</v>
      </c>
      <c r="L133" t="s">
        <v>21</v>
      </c>
      <c r="M133" t="s">
        <v>19177</v>
      </c>
      <c r="N133" t="s">
        <v>97</v>
      </c>
      <c r="O133" t="s">
        <v>937</v>
      </c>
      <c r="P133" t="s">
        <v>12</v>
      </c>
    </row>
    <row r="134">
      <c r="A134">
        <f>HYPERLINK("http://bombeiros.sp.gov.br/hidrantes/03individual/2840.html","2840")</f>
      </c>
      <c r="B134" t="s">
        <v>114</v>
      </c>
      <c r="C134" t="s">
        <v>172</v>
      </c>
      <c r="D134" t="s">
        <v>182</v>
      </c>
      <c r="E134" t="s">
        <v>15</v>
      </c>
      <c r="F134" t="s">
        <v>15239</v>
      </c>
      <c r="G134" t="s">
        <v>15157</v>
      </c>
      <c r="H134"/>
      <c r="I134" t="s">
        <v>1117</v>
      </c>
      <c r="J134" t="s">
        <v>15240</v>
      </c>
      <c r="K134" t="s">
        <v>15241</v>
      </c>
      <c r="L134" t="s">
        <v>21</v>
      </c>
      <c r="M134" t="s">
        <v>19177</v>
      </c>
      <c r="N134" t="s">
        <v>97</v>
      </c>
      <c r="O134" t="s">
        <v>937</v>
      </c>
      <c r="P134" t="s">
        <v>12</v>
      </c>
    </row>
    <row r="135">
      <c r="A135">
        <f>HYPERLINK("http://bombeiros.sp.gov.br/hidrantes/03individual/2894.html","2894")</f>
      </c>
      <c r="B135" t="s">
        <v>114</v>
      </c>
      <c r="C135" t="s">
        <v>172</v>
      </c>
      <c r="D135" t="s">
        <v>182</v>
      </c>
      <c r="E135" t="s">
        <v>15</v>
      </c>
      <c r="F135" t="s">
        <v>15242</v>
      </c>
      <c r="G135" t="s">
        <v>15132</v>
      </c>
      <c r="H135"/>
      <c r="I135" t="s">
        <v>1117</v>
      </c>
      <c r="J135" t="s">
        <v>15243</v>
      </c>
      <c r="K135" t="s">
        <v>15244</v>
      </c>
      <c r="L135" t="s">
        <v>21</v>
      </c>
      <c r="M135" t="s">
        <v>19177</v>
      </c>
      <c r="N135" t="s">
        <v>97</v>
      </c>
      <c r="O135" t="s">
        <v>937</v>
      </c>
      <c r="P135" t="s">
        <v>12</v>
      </c>
    </row>
    <row r="136">
      <c r="A136">
        <f>HYPERLINK("http://bombeiros.sp.gov.br/hidrantes/03individual/26752.html","26752")</f>
      </c>
      <c r="B136" t="s">
        <v>114</v>
      </c>
      <c r="C136" t="s">
        <v>172</v>
      </c>
      <c r="D136" t="s">
        <v>182</v>
      </c>
      <c r="E136" t="s">
        <v>15</v>
      </c>
      <c r="F136" t="s">
        <v>15245</v>
      </c>
      <c r="G136"/>
      <c r="H136"/>
      <c r="I136" t="s">
        <v>1503</v>
      </c>
      <c r="J136" t="s">
        <v>15246</v>
      </c>
      <c r="K136" t="s">
        <v>15247</v>
      </c>
      <c r="L136" t="s">
        <v>21</v>
      </c>
      <c r="M136" t="s">
        <v>19177</v>
      </c>
      <c r="N136" t="s">
        <v>97</v>
      </c>
      <c r="O136" t="s">
        <v>937</v>
      </c>
      <c r="P136" t="s">
        <v>12</v>
      </c>
    </row>
    <row r="137">
      <c r="A137">
        <f>HYPERLINK("http://bombeiros.sp.gov.br/hidrantes/03individual/16629.html","16629")</f>
      </c>
      <c r="B137" t="s">
        <v>114</v>
      </c>
      <c r="C137" t="s">
        <v>172</v>
      </c>
      <c r="D137" t="s">
        <v>186</v>
      </c>
      <c r="E137" t="s">
        <v>15</v>
      </c>
      <c r="F137" t="s">
        <v>15248</v>
      </c>
      <c r="G137"/>
      <c r="H137"/>
      <c r="I137" t="s">
        <v>1503</v>
      </c>
      <c r="J137" t="s">
        <v>15249</v>
      </c>
      <c r="K137" t="s">
        <v>15250</v>
      </c>
      <c r="L137" t="s">
        <v>21</v>
      </c>
      <c r="M137" t="s">
        <v>19177</v>
      </c>
      <c r="N137" t="s">
        <v>97</v>
      </c>
      <c r="O137" t="s">
        <v>937</v>
      </c>
      <c r="P137" t="s">
        <v>12</v>
      </c>
    </row>
    <row r="138">
      <c r="A138">
        <f>HYPERLINK("http://bombeiros.sp.gov.br/hidrantes/03individual/17715.html","17715")</f>
      </c>
      <c r="B138" t="s">
        <v>114</v>
      </c>
      <c r="C138" t="s">
        <v>172</v>
      </c>
      <c r="D138" t="s">
        <v>186</v>
      </c>
      <c r="E138" t="s">
        <v>15</v>
      </c>
      <c r="F138" t="s">
        <v>3654</v>
      </c>
      <c r="G138" t="s">
        <v>18082</v>
      </c>
      <c r="H138"/>
      <c r="I138" t="s">
        <v>18</v>
      </c>
      <c r="J138" t="s">
        <v>3655</v>
      </c>
      <c r="K138" t="s">
        <v>3656</v>
      </c>
      <c r="L138" t="s">
        <v>21</v>
      </c>
      <c r="M138" t="s">
        <v>19177</v>
      </c>
      <c r="N138" t="s">
        <v>97</v>
      </c>
      <c r="O138" t="s">
        <v>937</v>
      </c>
      <c r="P138" t="s">
        <v>12</v>
      </c>
    </row>
    <row r="139">
      <c r="A139">
        <f>HYPERLINK("http://bombeiros.sp.gov.br/hidrantes/03individual/178.html","178")</f>
      </c>
      <c r="B139" t="s">
        <v>114</v>
      </c>
      <c r="C139" t="s">
        <v>172</v>
      </c>
      <c r="D139" t="s">
        <v>191</v>
      </c>
      <c r="E139" t="s">
        <v>15</v>
      </c>
      <c r="F139" t="s">
        <v>15251</v>
      </c>
      <c r="G139" t="s">
        <v>15157</v>
      </c>
      <c r="H139"/>
      <c r="I139" t="s">
        <v>1117</v>
      </c>
      <c r="J139" t="s">
        <v>15252</v>
      </c>
      <c r="K139" t="s">
        <v>15253</v>
      </c>
      <c r="L139" t="s">
        <v>21</v>
      </c>
      <c r="M139" t="s">
        <v>19177</v>
      </c>
      <c r="N139" t="s">
        <v>97</v>
      </c>
      <c r="O139" t="s">
        <v>937</v>
      </c>
      <c r="P139" t="s">
        <v>12</v>
      </c>
    </row>
    <row r="140">
      <c r="A140">
        <f>HYPERLINK("http://bombeiros.sp.gov.br/hidrantes/03individual/694.html","694")</f>
      </c>
      <c r="B140" t="s">
        <v>114</v>
      </c>
      <c r="C140" t="s">
        <v>172</v>
      </c>
      <c r="D140" t="s">
        <v>191</v>
      </c>
      <c r="E140" t="s">
        <v>15</v>
      </c>
      <c r="F140" t="s">
        <v>3681</v>
      </c>
      <c r="G140" t="s">
        <v>18050</v>
      </c>
      <c r="H140"/>
      <c r="I140" t="s">
        <v>18</v>
      </c>
      <c r="J140" t="s">
        <v>3682</v>
      </c>
      <c r="K140" t="s">
        <v>3683</v>
      </c>
      <c r="L140" t="s">
        <v>21</v>
      </c>
      <c r="M140" t="s">
        <v>19177</v>
      </c>
      <c r="N140" t="s">
        <v>97</v>
      </c>
      <c r="O140" t="s">
        <v>937</v>
      </c>
      <c r="P140" t="s">
        <v>12</v>
      </c>
    </row>
    <row r="141">
      <c r="A141">
        <f>HYPERLINK("http://bombeiros.sp.gov.br/hidrantes/03individual/26885.html","26885")</f>
      </c>
      <c r="B141" t="s">
        <v>114</v>
      </c>
      <c r="C141" t="s">
        <v>172</v>
      </c>
      <c r="D141" t="s">
        <v>191</v>
      </c>
      <c r="E141" t="s">
        <v>15</v>
      </c>
      <c r="F141" t="s">
        <v>16287</v>
      </c>
      <c r="G141"/>
      <c r="H141"/>
      <c r="I141" t="s">
        <v>1503</v>
      </c>
      <c r="J141" t="s">
        <v>16288</v>
      </c>
      <c r="K141" t="s">
        <v>16289</v>
      </c>
      <c r="L141" t="s">
        <v>21</v>
      </c>
      <c r="M141" t="s">
        <v>19177</v>
      </c>
      <c r="N141" t="s">
        <v>97</v>
      </c>
      <c r="O141" t="s">
        <v>937</v>
      </c>
      <c r="P141" t="s">
        <v>12</v>
      </c>
    </row>
    <row r="142">
      <c r="A142">
        <f>HYPERLINK("http://bombeiros.sp.gov.br/hidrantes/03individual/1435.html","1435")</f>
      </c>
      <c r="B142" t="s">
        <v>114</v>
      </c>
      <c r="C142" t="s">
        <v>195</v>
      </c>
      <c r="D142" t="s">
        <v>196</v>
      </c>
      <c r="E142" t="s">
        <v>15</v>
      </c>
      <c r="F142" t="s">
        <v>15254</v>
      </c>
      <c r="G142" t="s">
        <v>15255</v>
      </c>
      <c r="H142"/>
      <c r="I142" t="s">
        <v>1117</v>
      </c>
      <c r="J142" t="s">
        <v>15256</v>
      </c>
      <c r="K142" t="s">
        <v>15257</v>
      </c>
      <c r="L142" t="s">
        <v>21</v>
      </c>
      <c r="M142" t="s">
        <v>19177</v>
      </c>
      <c r="N142" t="s">
        <v>309</v>
      </c>
      <c r="O142" t="s">
        <v>6029</v>
      </c>
      <c r="P142" t="s">
        <v>114</v>
      </c>
    </row>
    <row r="143">
      <c r="A143">
        <f>HYPERLINK("http://bombeiros.sp.gov.br/hidrantes/03individual/3334.html","3334")</f>
      </c>
      <c r="B143" t="s">
        <v>114</v>
      </c>
      <c r="C143" t="s">
        <v>195</v>
      </c>
      <c r="D143" t="s">
        <v>196</v>
      </c>
      <c r="E143" t="s">
        <v>15</v>
      </c>
      <c r="F143" t="s">
        <v>15258</v>
      </c>
      <c r="G143" t="s">
        <v>15259</v>
      </c>
      <c r="H143"/>
      <c r="I143" t="s">
        <v>1117</v>
      </c>
      <c r="J143" t="s">
        <v>15260</v>
      </c>
      <c r="K143" t="s">
        <v>15261</v>
      </c>
      <c r="L143" t="s">
        <v>21</v>
      </c>
      <c r="M143" t="s">
        <v>19177</v>
      </c>
      <c r="N143" t="s">
        <v>309</v>
      </c>
      <c r="O143" t="s">
        <v>6029</v>
      </c>
      <c r="P143" t="s">
        <v>114</v>
      </c>
    </row>
    <row r="144">
      <c r="A144">
        <f>HYPERLINK("http://bombeiros.sp.gov.br/hidrantes/03individual/2967.html","2967")</f>
      </c>
      <c r="B144" t="s">
        <v>114</v>
      </c>
      <c r="C144" t="s">
        <v>195</v>
      </c>
      <c r="D144" t="s">
        <v>206</v>
      </c>
      <c r="E144" t="s">
        <v>15</v>
      </c>
      <c r="F144" t="s">
        <v>15262</v>
      </c>
      <c r="G144" t="s">
        <v>15259</v>
      </c>
      <c r="H144"/>
      <c r="I144" t="s">
        <v>1117</v>
      </c>
      <c r="J144" t="s">
        <v>15263</v>
      </c>
      <c r="K144" t="s">
        <v>15264</v>
      </c>
      <c r="L144" t="s">
        <v>36</v>
      </c>
      <c r="M144" t="s">
        <v>19177</v>
      </c>
      <c r="N144" t="s">
        <v>309</v>
      </c>
      <c r="O144" t="s">
        <v>6029</v>
      </c>
      <c r="P144" t="s">
        <v>114</v>
      </c>
    </row>
    <row r="145">
      <c r="A145">
        <f>HYPERLINK("http://bombeiros.sp.gov.br/hidrantes/03individual/3096.html","3096")</f>
      </c>
      <c r="B145" t="s">
        <v>114</v>
      </c>
      <c r="C145" t="s">
        <v>210</v>
      </c>
      <c r="D145" t="s">
        <v>211</v>
      </c>
      <c r="E145" t="s">
        <v>15</v>
      </c>
      <c r="F145" t="s">
        <v>15265</v>
      </c>
      <c r="G145" t="s">
        <v>15011</v>
      </c>
      <c r="H145"/>
      <c r="I145" t="s">
        <v>1117</v>
      </c>
      <c r="J145" t="s">
        <v>15266</v>
      </c>
      <c r="K145" t="s">
        <v>15267</v>
      </c>
      <c r="L145" t="s">
        <v>21</v>
      </c>
      <c r="M145" t="s">
        <v>19177</v>
      </c>
      <c r="N145" t="s">
        <v>300</v>
      </c>
      <c r="O145" t="s">
        <v>16373</v>
      </c>
      <c r="P145" t="s">
        <v>12</v>
      </c>
    </row>
    <row r="146">
      <c r="A146">
        <f>HYPERLINK("http://bombeiros.sp.gov.br/hidrantes/03individual/26824.html","26824")</f>
      </c>
      <c r="B146" t="s">
        <v>114</v>
      </c>
      <c r="C146" t="s">
        <v>210</v>
      </c>
      <c r="D146" t="s">
        <v>3917</v>
      </c>
      <c r="E146" t="s">
        <v>15</v>
      </c>
      <c r="F146" t="s">
        <v>16103</v>
      </c>
      <c r="G146"/>
      <c r="H146"/>
      <c r="I146" t="s">
        <v>1503</v>
      </c>
      <c r="J146" t="s">
        <v>16104</v>
      </c>
      <c r="K146" t="s">
        <v>16105</v>
      </c>
      <c r="L146" t="s">
        <v>21</v>
      </c>
      <c r="M146" t="s">
        <v>19177</v>
      </c>
      <c r="N146" t="s">
        <v>300</v>
      </c>
      <c r="O146" t="s">
        <v>16373</v>
      </c>
      <c r="P146" t="s">
        <v>12</v>
      </c>
    </row>
    <row r="147">
      <c r="A147">
        <f>HYPERLINK("http://bombeiros.sp.gov.br/hidrantes/03individual/2015.html","2015")</f>
      </c>
      <c r="B147" t="s">
        <v>114</v>
      </c>
      <c r="C147" t="s">
        <v>222</v>
      </c>
      <c r="D147" t="s">
        <v>238</v>
      </c>
      <c r="E147" t="s">
        <v>15</v>
      </c>
      <c r="F147" t="s">
        <v>15268</v>
      </c>
      <c r="G147" t="s">
        <v>15269</v>
      </c>
      <c r="H147"/>
      <c r="I147" t="s">
        <v>1117</v>
      </c>
      <c r="J147" t="s">
        <v>15270</v>
      </c>
      <c r="K147" t="s">
        <v>15271</v>
      </c>
      <c r="L147" t="s">
        <v>21</v>
      </c>
      <c r="M147" t="s">
        <v>19177</v>
      </c>
      <c r="N147" t="s">
        <v>16374</v>
      </c>
      <c r="O147" t="s">
        <v>272</v>
      </c>
      <c r="P147" t="s">
        <v>114</v>
      </c>
    </row>
    <row r="148">
      <c r="A148">
        <f>HYPERLINK("http://bombeiros.sp.gov.br/hidrantes/03individual/26866.html","26866")</f>
      </c>
      <c r="B148" t="s">
        <v>114</v>
      </c>
      <c r="C148" t="s">
        <v>222</v>
      </c>
      <c r="D148" t="s">
        <v>238</v>
      </c>
      <c r="E148" t="s">
        <v>15</v>
      </c>
      <c r="F148" t="s">
        <v>16254</v>
      </c>
      <c r="G148"/>
      <c r="H148"/>
      <c r="I148" t="s">
        <v>1503</v>
      </c>
      <c r="J148" t="s">
        <v>16255</v>
      </c>
      <c r="K148" t="s">
        <v>16256</v>
      </c>
      <c r="L148" t="s">
        <v>21</v>
      </c>
      <c r="M148" t="s">
        <v>19177</v>
      </c>
      <c r="N148" t="s">
        <v>16374</v>
      </c>
      <c r="O148" t="s">
        <v>272</v>
      </c>
      <c r="P148" t="s">
        <v>114</v>
      </c>
    </row>
    <row r="149">
      <c r="A149">
        <f>HYPERLINK("http://bombeiros.sp.gov.br/hidrantes/03individual/26867.html","26867")</f>
      </c>
      <c r="B149" t="s">
        <v>114</v>
      </c>
      <c r="C149" t="s">
        <v>222</v>
      </c>
      <c r="D149" t="s">
        <v>238</v>
      </c>
      <c r="E149" t="s">
        <v>15</v>
      </c>
      <c r="F149" t="s">
        <v>16257</v>
      </c>
      <c r="G149"/>
      <c r="H149"/>
      <c r="I149" t="s">
        <v>1503</v>
      </c>
      <c r="J149" t="s">
        <v>16258</v>
      </c>
      <c r="K149" t="s">
        <v>16259</v>
      </c>
      <c r="L149" t="s">
        <v>21</v>
      </c>
      <c r="M149" t="s">
        <v>19177</v>
      </c>
      <c r="N149" t="s">
        <v>16374</v>
      </c>
      <c r="O149" t="s">
        <v>272</v>
      </c>
      <c r="P149" t="s">
        <v>114</v>
      </c>
    </row>
    <row r="150">
      <c r="A150">
        <f>HYPERLINK("http://bombeiros.sp.gov.br/hidrantes/03individual/3340.html","3340")</f>
      </c>
      <c r="B150" t="s">
        <v>114</v>
      </c>
      <c r="C150" t="s">
        <v>242</v>
      </c>
      <c r="D150" t="s">
        <v>242</v>
      </c>
      <c r="E150" t="s">
        <v>64</v>
      </c>
      <c r="F150" t="s">
        <v>247</v>
      </c>
      <c r="G150" t="s">
        <v>17266</v>
      </c>
      <c r="H150"/>
      <c r="I150" t="s">
        <v>18</v>
      </c>
      <c r="J150" t="s">
        <v>249</v>
      </c>
      <c r="K150" t="s">
        <v>250</v>
      </c>
      <c r="L150" t="s">
        <v>21</v>
      </c>
      <c r="M150" t="s">
        <v>19177</v>
      </c>
      <c r="N150" t="s">
        <v>272</v>
      </c>
      <c r="O150" t="s">
        <v>272</v>
      </c>
      <c r="P150" t="s">
        <v>114</v>
      </c>
    </row>
    <row r="151">
      <c r="A151">
        <f>HYPERLINK("http://bombeiros.sp.gov.br/hidrantes/03individual/3454.html","3454")</f>
      </c>
      <c r="B151" t="s">
        <v>114</v>
      </c>
      <c r="C151" t="s">
        <v>242</v>
      </c>
      <c r="D151" t="s">
        <v>242</v>
      </c>
      <c r="E151" t="s">
        <v>64</v>
      </c>
      <c r="F151" t="s">
        <v>15272</v>
      </c>
      <c r="G151" t="s">
        <v>15273</v>
      </c>
      <c r="H151"/>
      <c r="I151" t="s">
        <v>1117</v>
      </c>
      <c r="J151" t="s">
        <v>15274</v>
      </c>
      <c r="K151" t="s">
        <v>15275</v>
      </c>
      <c r="L151" t="s">
        <v>36</v>
      </c>
      <c r="M151" t="s">
        <v>19177</v>
      </c>
      <c r="N151" t="s">
        <v>272</v>
      </c>
      <c r="O151" t="s">
        <v>272</v>
      </c>
      <c r="P151" t="s">
        <v>114</v>
      </c>
    </row>
    <row r="152">
      <c r="A152">
        <f>HYPERLINK("http://bombeiros.sp.gov.br/hidrantes/03individual/3468.html","3468")</f>
      </c>
      <c r="B152" t="s">
        <v>114</v>
      </c>
      <c r="C152" t="s">
        <v>242</v>
      </c>
      <c r="D152" t="s">
        <v>242</v>
      </c>
      <c r="E152" t="s">
        <v>64</v>
      </c>
      <c r="F152" t="s">
        <v>15276</v>
      </c>
      <c r="G152" t="s">
        <v>15273</v>
      </c>
      <c r="H152"/>
      <c r="I152" t="s">
        <v>1117</v>
      </c>
      <c r="J152" t="s">
        <v>15277</v>
      </c>
      <c r="K152" t="s">
        <v>15278</v>
      </c>
      <c r="L152" t="s">
        <v>21</v>
      </c>
      <c r="M152" t="s">
        <v>19177</v>
      </c>
      <c r="N152" t="s">
        <v>272</v>
      </c>
      <c r="O152" t="s">
        <v>272</v>
      </c>
      <c r="P152" t="s">
        <v>114</v>
      </c>
    </row>
    <row r="153">
      <c r="A153">
        <f>HYPERLINK("http://bombeiros.sp.gov.br/hidrantes/03individual/954.html","954")</f>
      </c>
      <c r="B153" t="s">
        <v>114</v>
      </c>
      <c r="C153" t="s">
        <v>242</v>
      </c>
      <c r="D153" t="s">
        <v>4225</v>
      </c>
      <c r="E153" t="s">
        <v>64</v>
      </c>
      <c r="F153" t="s">
        <v>15279</v>
      </c>
      <c r="G153" t="s">
        <v>15273</v>
      </c>
      <c r="H153"/>
      <c r="I153" t="s">
        <v>1117</v>
      </c>
      <c r="J153" t="s">
        <v>15280</v>
      </c>
      <c r="K153" t="s">
        <v>15281</v>
      </c>
      <c r="L153" t="s">
        <v>21</v>
      </c>
      <c r="M153" t="s">
        <v>19177</v>
      </c>
      <c r="N153" t="s">
        <v>272</v>
      </c>
      <c r="O153" t="s">
        <v>272</v>
      </c>
      <c r="P153" t="s">
        <v>114</v>
      </c>
    </row>
    <row r="154">
      <c r="A154">
        <f>HYPERLINK("http://bombeiros.sp.gov.br/hidrantes/03individual/1838.html","1838")</f>
      </c>
      <c r="B154" t="s">
        <v>114</v>
      </c>
      <c r="C154" t="s">
        <v>251</v>
      </c>
      <c r="D154" t="s">
        <v>4310</v>
      </c>
      <c r="E154" t="s">
        <v>15</v>
      </c>
      <c r="F154" t="s">
        <v>15282</v>
      </c>
      <c r="G154" t="s">
        <v>15283</v>
      </c>
      <c r="H154"/>
      <c r="I154" t="s">
        <v>1117</v>
      </c>
      <c r="J154" t="s">
        <v>15284</v>
      </c>
      <c r="K154" t="s">
        <v>15285</v>
      </c>
      <c r="L154" t="s">
        <v>21</v>
      </c>
      <c r="M154" t="s">
        <v>19177</v>
      </c>
      <c r="N154" t="s">
        <v>309</v>
      </c>
      <c r="O154" t="s">
        <v>6029</v>
      </c>
      <c r="P154" t="s">
        <v>114</v>
      </c>
    </row>
    <row r="155">
      <c r="A155">
        <f>HYPERLINK("http://bombeiros.sp.gov.br/hidrantes/03individual/17784.html","17784")</f>
      </c>
      <c r="B155" t="s">
        <v>114</v>
      </c>
      <c r="C155" t="s">
        <v>255</v>
      </c>
      <c r="D155" t="s">
        <v>256</v>
      </c>
      <c r="E155" t="s">
        <v>15</v>
      </c>
      <c r="F155" t="s">
        <v>257</v>
      </c>
      <c r="G155" t="s">
        <v>17287</v>
      </c>
      <c r="H155"/>
      <c r="I155" t="s">
        <v>18</v>
      </c>
      <c r="J155" t="s">
        <v>258</v>
      </c>
      <c r="K155" t="s">
        <v>259</v>
      </c>
      <c r="L155" t="s">
        <v>21</v>
      </c>
      <c r="M155" t="s">
        <v>19177</v>
      </c>
      <c r="N155" t="s">
        <v>337</v>
      </c>
      <c r="O155" t="s">
        <v>337</v>
      </c>
      <c r="P155" t="s">
        <v>12</v>
      </c>
    </row>
    <row r="156">
      <c r="A156">
        <f>HYPERLINK("http://bombeiros.sp.gov.br/hidrantes/03individual/4352.html","4352")</f>
      </c>
      <c r="B156" t="s">
        <v>114</v>
      </c>
      <c r="C156" t="s">
        <v>260</v>
      </c>
      <c r="D156" t="s">
        <v>261</v>
      </c>
      <c r="E156" t="s">
        <v>15</v>
      </c>
      <c r="F156" t="s">
        <v>4471</v>
      </c>
      <c r="G156" t="s">
        <v>15269</v>
      </c>
      <c r="H156"/>
      <c r="I156" t="s">
        <v>1117</v>
      </c>
      <c r="J156" t="s">
        <v>15286</v>
      </c>
      <c r="K156" t="s">
        <v>15287</v>
      </c>
      <c r="L156" t="s">
        <v>21</v>
      </c>
      <c r="M156" t="s">
        <v>19177</v>
      </c>
      <c r="N156" t="s">
        <v>6029</v>
      </c>
      <c r="O156" t="s">
        <v>6029</v>
      </c>
      <c r="P156" t="s">
        <v>114</v>
      </c>
    </row>
    <row r="157">
      <c r="A157">
        <f>HYPERLINK("http://bombeiros.sp.gov.br/hidrantes/03individual/3716.html","3716")</f>
      </c>
      <c r="B157" t="s">
        <v>114</v>
      </c>
      <c r="C157" t="s">
        <v>260</v>
      </c>
      <c r="D157" t="s">
        <v>265</v>
      </c>
      <c r="E157" t="s">
        <v>15</v>
      </c>
      <c r="F157" t="s">
        <v>266</v>
      </c>
      <c r="G157" t="s">
        <v>18085</v>
      </c>
      <c r="H157"/>
      <c r="I157" t="s">
        <v>18</v>
      </c>
      <c r="J157" t="s">
        <v>267</v>
      </c>
      <c r="K157" t="s">
        <v>268</v>
      </c>
      <c r="L157" t="s">
        <v>21</v>
      </c>
      <c r="M157" t="s">
        <v>19177</v>
      </c>
      <c r="N157" t="s">
        <v>6029</v>
      </c>
      <c r="O157" t="s">
        <v>6029</v>
      </c>
      <c r="P157" t="s">
        <v>114</v>
      </c>
    </row>
    <row r="158">
      <c r="A158">
        <f>HYPERLINK("http://bombeiros.sp.gov.br/hidrantes/03individual/17887.html","17887")</f>
      </c>
      <c r="B158" t="s">
        <v>114</v>
      </c>
      <c r="C158" t="s">
        <v>260</v>
      </c>
      <c r="D158" t="s">
        <v>265</v>
      </c>
      <c r="E158" t="s">
        <v>15</v>
      </c>
      <c r="F158" t="s">
        <v>15288</v>
      </c>
      <c r="G158"/>
      <c r="H158"/>
      <c r="I158" t="s">
        <v>1503</v>
      </c>
      <c r="J158" t="s">
        <v>15289</v>
      </c>
      <c r="K158" t="s">
        <v>15290</v>
      </c>
      <c r="L158" t="s">
        <v>21</v>
      </c>
      <c r="M158" t="s">
        <v>19177</v>
      </c>
      <c r="N158" t="s">
        <v>6029</v>
      </c>
      <c r="O158" t="s">
        <v>6029</v>
      </c>
      <c r="P158" t="s">
        <v>114</v>
      </c>
    </row>
    <row r="159">
      <c r="A159">
        <f>HYPERLINK("http://bombeiros.sp.gov.br/hidrantes/03individual/3438.html","3438")</f>
      </c>
      <c r="B159" t="s">
        <v>114</v>
      </c>
      <c r="C159" t="s">
        <v>272</v>
      </c>
      <c r="D159" t="s">
        <v>4555</v>
      </c>
      <c r="E159" t="s">
        <v>15</v>
      </c>
      <c r="F159" t="s">
        <v>15291</v>
      </c>
      <c r="G159" t="s">
        <v>15011</v>
      </c>
      <c r="H159"/>
      <c r="I159" t="s">
        <v>1117</v>
      </c>
      <c r="J159" t="s">
        <v>15292</v>
      </c>
      <c r="K159" t="s">
        <v>15293</v>
      </c>
      <c r="L159" t="s">
        <v>21</v>
      </c>
      <c r="M159" t="s">
        <v>19177</v>
      </c>
      <c r="N159" t="s">
        <v>272</v>
      </c>
      <c r="O159" t="s">
        <v>272</v>
      </c>
      <c r="P159" t="s">
        <v>114</v>
      </c>
    </row>
    <row r="160">
      <c r="A160">
        <f>HYPERLINK("http://bombeiros.sp.gov.br/hidrantes/03individual/10046.html","10046")</f>
      </c>
      <c r="B160" t="s">
        <v>114</v>
      </c>
      <c r="C160" t="s">
        <v>272</v>
      </c>
      <c r="D160" t="s">
        <v>279</v>
      </c>
      <c r="E160" t="s">
        <v>64</v>
      </c>
      <c r="F160" t="s">
        <v>15294</v>
      </c>
      <c r="G160" t="s">
        <v>15295</v>
      </c>
      <c r="H160"/>
      <c r="I160" t="s">
        <v>18</v>
      </c>
      <c r="J160" t="s">
        <v>15296</v>
      </c>
      <c r="K160" t="s">
        <v>15297</v>
      </c>
      <c r="L160" t="s">
        <v>36</v>
      </c>
      <c r="M160" t="s">
        <v>19177</v>
      </c>
      <c r="N160" t="s">
        <v>272</v>
      </c>
      <c r="O160" t="s">
        <v>272</v>
      </c>
      <c r="P160" t="s">
        <v>114</v>
      </c>
    </row>
    <row r="161">
      <c r="A161">
        <f>HYPERLINK("http://bombeiros.sp.gov.br/hidrantes/03individual/1908.html","1908")</f>
      </c>
      <c r="B161" t="s">
        <v>114</v>
      </c>
      <c r="C161" t="s">
        <v>272</v>
      </c>
      <c r="D161" t="s">
        <v>279</v>
      </c>
      <c r="E161" t="s">
        <v>15</v>
      </c>
      <c r="F161" t="s">
        <v>280</v>
      </c>
      <c r="G161" t="s">
        <v>281</v>
      </c>
      <c r="H161"/>
      <c r="I161" t="s">
        <v>18</v>
      </c>
      <c r="J161" t="s">
        <v>282</v>
      </c>
      <c r="K161" t="s">
        <v>283</v>
      </c>
      <c r="L161" t="s">
        <v>21</v>
      </c>
      <c r="M161" t="s">
        <v>19177</v>
      </c>
      <c r="N161" t="s">
        <v>272</v>
      </c>
      <c r="O161" t="s">
        <v>272</v>
      </c>
      <c r="P161" t="s">
        <v>114</v>
      </c>
    </row>
    <row r="162">
      <c r="A162">
        <f>HYPERLINK("http://bombeiros.sp.gov.br/hidrantes/03individual/26868.html","26868")</f>
      </c>
      <c r="B162" t="s">
        <v>114</v>
      </c>
      <c r="C162" t="s">
        <v>272</v>
      </c>
      <c r="D162" t="s">
        <v>279</v>
      </c>
      <c r="E162" t="s">
        <v>15</v>
      </c>
      <c r="F162" t="s">
        <v>16260</v>
      </c>
      <c r="G162"/>
      <c r="H162"/>
      <c r="I162" t="s">
        <v>1503</v>
      </c>
      <c r="J162" t="s">
        <v>16261</v>
      </c>
      <c r="K162" t="s">
        <v>16262</v>
      </c>
      <c r="L162" t="s">
        <v>21</v>
      </c>
      <c r="M162" t="s">
        <v>19177</v>
      </c>
      <c r="N162" t="s">
        <v>272</v>
      </c>
      <c r="O162" t="s">
        <v>272</v>
      </c>
      <c r="P162" t="s">
        <v>114</v>
      </c>
    </row>
    <row r="163">
      <c r="A163">
        <f>HYPERLINK("http://bombeiros.sp.gov.br/hidrantes/03individual/3430.html","3430")</f>
      </c>
      <c r="B163" t="s">
        <v>114</v>
      </c>
      <c r="C163" t="s">
        <v>272</v>
      </c>
      <c r="D163" t="s">
        <v>4648</v>
      </c>
      <c r="E163" t="s">
        <v>15</v>
      </c>
      <c r="F163" t="s">
        <v>15298</v>
      </c>
      <c r="G163" t="s">
        <v>15011</v>
      </c>
      <c r="H163"/>
      <c r="I163" t="s">
        <v>1117</v>
      </c>
      <c r="J163" t="s">
        <v>15299</v>
      </c>
      <c r="K163" t="s">
        <v>15300</v>
      </c>
      <c r="L163" t="s">
        <v>21</v>
      </c>
      <c r="M163" t="s">
        <v>19177</v>
      </c>
      <c r="N163" t="s">
        <v>272</v>
      </c>
      <c r="O163" t="s">
        <v>272</v>
      </c>
      <c r="P163" t="s">
        <v>114</v>
      </c>
    </row>
    <row r="164">
      <c r="A164">
        <f>HYPERLINK("http://bombeiros.sp.gov.br/hidrantes/03individual/3461.html","3461")</f>
      </c>
      <c r="B164" t="s">
        <v>114</v>
      </c>
      <c r="C164" t="s">
        <v>272</v>
      </c>
      <c r="D164" t="s">
        <v>4648</v>
      </c>
      <c r="E164" t="s">
        <v>15</v>
      </c>
      <c r="F164" t="s">
        <v>15301</v>
      </c>
      <c r="G164" t="s">
        <v>15011</v>
      </c>
      <c r="H164"/>
      <c r="I164" t="s">
        <v>1117</v>
      </c>
      <c r="J164" t="s">
        <v>15302</v>
      </c>
      <c r="K164" t="s">
        <v>15303</v>
      </c>
      <c r="L164" t="s">
        <v>21</v>
      </c>
      <c r="M164" t="s">
        <v>19177</v>
      </c>
      <c r="N164" t="s">
        <v>272</v>
      </c>
      <c r="O164" t="s">
        <v>272</v>
      </c>
      <c r="P164" t="s">
        <v>114</v>
      </c>
    </row>
    <row r="165">
      <c r="A165">
        <f>HYPERLINK("http://bombeiros.sp.gov.br/hidrantes/03individual/3426.html","3426")</f>
      </c>
      <c r="B165" t="s">
        <v>114</v>
      </c>
      <c r="C165" t="s">
        <v>272</v>
      </c>
      <c r="D165" t="s">
        <v>284</v>
      </c>
      <c r="E165" t="s">
        <v>15</v>
      </c>
      <c r="F165" t="s">
        <v>285</v>
      </c>
      <c r="G165" t="s">
        <v>17913</v>
      </c>
      <c r="H165"/>
      <c r="I165" t="s">
        <v>18</v>
      </c>
      <c r="J165" t="s">
        <v>287</v>
      </c>
      <c r="K165" t="s">
        <v>288</v>
      </c>
      <c r="L165" t="s">
        <v>21</v>
      </c>
      <c r="M165" t="s">
        <v>19177</v>
      </c>
      <c r="N165" t="s">
        <v>272</v>
      </c>
      <c r="O165" t="s">
        <v>272</v>
      </c>
      <c r="P165" t="s">
        <v>114</v>
      </c>
    </row>
    <row r="166">
      <c r="A166">
        <f>HYPERLINK("http://bombeiros.sp.gov.br/hidrantes/03individual/2098.html","2098")</f>
      </c>
      <c r="B166" t="s">
        <v>114</v>
      </c>
      <c r="C166" t="s">
        <v>289</v>
      </c>
      <c r="D166" t="s">
        <v>289</v>
      </c>
      <c r="E166" t="s">
        <v>15</v>
      </c>
      <c r="F166" t="s">
        <v>15304</v>
      </c>
      <c r="G166" t="s">
        <v>15269</v>
      </c>
      <c r="H166"/>
      <c r="I166" t="s">
        <v>1117</v>
      </c>
      <c r="J166" t="s">
        <v>15305</v>
      </c>
      <c r="K166" t="s">
        <v>15306</v>
      </c>
      <c r="L166" t="s">
        <v>21</v>
      </c>
      <c r="M166" t="s">
        <v>19177</v>
      </c>
      <c r="N166" t="s">
        <v>6029</v>
      </c>
      <c r="O166" t="s">
        <v>6029</v>
      </c>
      <c r="P166" t="s">
        <v>114</v>
      </c>
    </row>
    <row r="167">
      <c r="A167">
        <f>HYPERLINK("http://bombeiros.sp.gov.br/hidrantes/03individual/3560.html","3560")</f>
      </c>
      <c r="B167" t="s">
        <v>114</v>
      </c>
      <c r="C167" t="s">
        <v>289</v>
      </c>
      <c r="D167" t="s">
        <v>289</v>
      </c>
      <c r="E167" t="s">
        <v>15</v>
      </c>
      <c r="F167" t="s">
        <v>15307</v>
      </c>
      <c r="G167" t="s">
        <v>15161</v>
      </c>
      <c r="H167"/>
      <c r="I167" t="s">
        <v>1117</v>
      </c>
      <c r="J167" t="s">
        <v>15308</v>
      </c>
      <c r="K167" t="s">
        <v>15309</v>
      </c>
      <c r="L167" t="s">
        <v>21</v>
      </c>
      <c r="M167" t="s">
        <v>19177</v>
      </c>
      <c r="N167" t="s">
        <v>6029</v>
      </c>
      <c r="O167" t="s">
        <v>6029</v>
      </c>
      <c r="P167" t="s">
        <v>114</v>
      </c>
    </row>
    <row r="168">
      <c r="A168">
        <f>HYPERLINK("http://bombeiros.sp.gov.br/hidrantes/03individual/2058.html","2058")</f>
      </c>
      <c r="B168" t="s">
        <v>114</v>
      </c>
      <c r="C168" t="s">
        <v>289</v>
      </c>
      <c r="D168" t="s">
        <v>290</v>
      </c>
      <c r="E168" t="s">
        <v>15</v>
      </c>
      <c r="F168" t="s">
        <v>291</v>
      </c>
      <c r="G168" t="s">
        <v>18134</v>
      </c>
      <c r="H168"/>
      <c r="I168" t="s">
        <v>18</v>
      </c>
      <c r="J168" t="s">
        <v>16540</v>
      </c>
      <c r="K168" t="s">
        <v>16541</v>
      </c>
      <c r="L168" t="s">
        <v>21</v>
      </c>
      <c r="M168" t="s">
        <v>19177</v>
      </c>
      <c r="N168" t="s">
        <v>6029</v>
      </c>
      <c r="O168" t="s">
        <v>6029</v>
      </c>
      <c r="P168" t="s">
        <v>114</v>
      </c>
    </row>
    <row r="169">
      <c r="A169">
        <f>HYPERLINK("http://bombeiros.sp.gov.br/hidrantes/03individual/17898.html","17898")</f>
      </c>
      <c r="B169" t="s">
        <v>114</v>
      </c>
      <c r="C169" t="s">
        <v>289</v>
      </c>
      <c r="D169" t="s">
        <v>290</v>
      </c>
      <c r="E169" t="s">
        <v>15</v>
      </c>
      <c r="F169" t="s">
        <v>297</v>
      </c>
      <c r="G169" t="s">
        <v>17529</v>
      </c>
      <c r="H169"/>
      <c r="I169" t="s">
        <v>18</v>
      </c>
      <c r="J169" t="s">
        <v>298</v>
      </c>
      <c r="K169" t="s">
        <v>299</v>
      </c>
      <c r="L169" t="s">
        <v>21</v>
      </c>
      <c r="M169" t="s">
        <v>19177</v>
      </c>
      <c r="N169" t="s">
        <v>6029</v>
      </c>
      <c r="O169" t="s">
        <v>6029</v>
      </c>
      <c r="P169" t="s">
        <v>114</v>
      </c>
    </row>
    <row r="170">
      <c r="A170">
        <f>HYPERLINK("http://bombeiros.sp.gov.br/hidrantes/03individual/3377.html","3377")</f>
      </c>
      <c r="B170" t="s">
        <v>114</v>
      </c>
      <c r="C170" t="s">
        <v>4749</v>
      </c>
      <c r="D170" t="s">
        <v>4750</v>
      </c>
      <c r="E170" t="s">
        <v>64</v>
      </c>
      <c r="F170" t="s">
        <v>15310</v>
      </c>
      <c r="G170" t="s">
        <v>15311</v>
      </c>
      <c r="H170"/>
      <c r="I170" t="s">
        <v>1117</v>
      </c>
      <c r="J170" t="s">
        <v>15312</v>
      </c>
      <c r="K170" t="s">
        <v>15313</v>
      </c>
      <c r="L170" t="s">
        <v>21</v>
      </c>
      <c r="M170" t="s">
        <v>19177</v>
      </c>
      <c r="N170" t="s">
        <v>272</v>
      </c>
      <c r="O170" t="s">
        <v>272</v>
      </c>
      <c r="P170" t="s">
        <v>114</v>
      </c>
    </row>
    <row r="171">
      <c r="A171">
        <f>HYPERLINK("http://bombeiros.sp.gov.br/hidrantes/03individual/1996.html","1996")</f>
      </c>
      <c r="B171" t="s">
        <v>114</v>
      </c>
      <c r="C171" t="s">
        <v>4749</v>
      </c>
      <c r="D171" t="s">
        <v>4749</v>
      </c>
      <c r="E171" t="s">
        <v>15</v>
      </c>
      <c r="F171" t="s">
        <v>15314</v>
      </c>
      <c r="G171" t="s">
        <v>15100</v>
      </c>
      <c r="H171"/>
      <c r="I171" t="s">
        <v>1117</v>
      </c>
      <c r="J171" t="s">
        <v>15315</v>
      </c>
      <c r="K171" t="s">
        <v>15316</v>
      </c>
      <c r="L171" t="s">
        <v>21</v>
      </c>
      <c r="M171" t="s">
        <v>19177</v>
      </c>
      <c r="N171" t="s">
        <v>272</v>
      </c>
      <c r="O171" t="s">
        <v>272</v>
      </c>
      <c r="P171" t="s">
        <v>114</v>
      </c>
    </row>
    <row r="172">
      <c r="A172">
        <f>HYPERLINK("http://bombeiros.sp.gov.br/hidrantes/03individual/28185.html","28185")</f>
      </c>
      <c r="B172" t="s">
        <v>114</v>
      </c>
      <c r="C172" t="s">
        <v>4749</v>
      </c>
      <c r="D172" t="s">
        <v>4749</v>
      </c>
      <c r="E172" t="s">
        <v>15</v>
      </c>
      <c r="F172" t="s">
        <v>18248</v>
      </c>
      <c r="G172" t="s">
        <v>18082</v>
      </c>
      <c r="H172" t="s">
        <v>1121</v>
      </c>
      <c r="I172" t="s">
        <v>1117</v>
      </c>
      <c r="J172" t="s">
        <v>18249</v>
      </c>
      <c r="K172" t="s">
        <v>18250</v>
      </c>
      <c r="L172" t="s">
        <v>21</v>
      </c>
      <c r="M172" t="s">
        <v>19177</v>
      </c>
      <c r="N172" t="s">
        <v>272</v>
      </c>
      <c r="O172" t="s">
        <v>272</v>
      </c>
      <c r="P172" t="s">
        <v>114</v>
      </c>
    </row>
    <row r="173">
      <c r="A173">
        <f>HYPERLINK("http://bombeiros.sp.gov.br/hidrantes/03individual/3410.html","3410")</f>
      </c>
      <c r="B173" t="s">
        <v>114</v>
      </c>
      <c r="C173" t="s">
        <v>4824</v>
      </c>
      <c r="D173" t="s">
        <v>15317</v>
      </c>
      <c r="E173" t="s">
        <v>64</v>
      </c>
      <c r="F173" t="s">
        <v>15318</v>
      </c>
      <c r="G173" t="s">
        <v>15311</v>
      </c>
      <c r="H173"/>
      <c r="I173" t="s">
        <v>1117</v>
      </c>
      <c r="J173" t="s">
        <v>15319</v>
      </c>
      <c r="K173" t="s">
        <v>15320</v>
      </c>
      <c r="L173" t="s">
        <v>21</v>
      </c>
      <c r="M173" t="s">
        <v>19177</v>
      </c>
      <c r="N173" t="s">
        <v>272</v>
      </c>
      <c r="O173" t="s">
        <v>272</v>
      </c>
      <c r="P173" t="s">
        <v>114</v>
      </c>
    </row>
    <row r="174">
      <c r="A174">
        <f>HYPERLINK("http://bombeiros.sp.gov.br/hidrantes/03individual/3370.html","3370")</f>
      </c>
      <c r="B174" t="s">
        <v>114</v>
      </c>
      <c r="C174" t="s">
        <v>4824</v>
      </c>
      <c r="D174" t="s">
        <v>15317</v>
      </c>
      <c r="E174" t="s">
        <v>15</v>
      </c>
      <c r="F174" t="s">
        <v>15321</v>
      </c>
      <c r="G174" t="s">
        <v>15100</v>
      </c>
      <c r="H174"/>
      <c r="I174" t="s">
        <v>1117</v>
      </c>
      <c r="J174" t="s">
        <v>15322</v>
      </c>
      <c r="K174" t="s">
        <v>15323</v>
      </c>
      <c r="L174" t="s">
        <v>21</v>
      </c>
      <c r="M174" t="s">
        <v>19177</v>
      </c>
      <c r="N174" t="s">
        <v>272</v>
      </c>
      <c r="O174" t="s">
        <v>272</v>
      </c>
      <c r="P174" t="s">
        <v>114</v>
      </c>
    </row>
    <row r="175">
      <c r="A175">
        <f>HYPERLINK("http://bombeiros.sp.gov.br/hidrantes/03individual/3049.html","3049")</f>
      </c>
      <c r="B175" t="s">
        <v>114</v>
      </c>
      <c r="C175" t="s">
        <v>300</v>
      </c>
      <c r="D175" t="s">
        <v>4852</v>
      </c>
      <c r="E175" t="s">
        <v>64</v>
      </c>
      <c r="F175" t="s">
        <v>15324</v>
      </c>
      <c r="G175" t="s">
        <v>14985</v>
      </c>
      <c r="H175"/>
      <c r="I175" t="s">
        <v>1117</v>
      </c>
      <c r="J175" t="s">
        <v>15325</v>
      </c>
      <c r="K175" t="s">
        <v>15326</v>
      </c>
      <c r="L175" t="s">
        <v>21</v>
      </c>
      <c r="M175" t="s">
        <v>19177</v>
      </c>
      <c r="N175" t="s">
        <v>300</v>
      </c>
      <c r="O175" t="s">
        <v>16373</v>
      </c>
      <c r="P175" t="s">
        <v>12</v>
      </c>
    </row>
    <row r="176">
      <c r="A176">
        <f>HYPERLINK("http://bombeiros.sp.gov.br/hidrantes/03individual/16644.html","16644")</f>
      </c>
      <c r="B176" t="s">
        <v>114</v>
      </c>
      <c r="C176" t="s">
        <v>300</v>
      </c>
      <c r="D176" t="s">
        <v>4852</v>
      </c>
      <c r="E176" t="s">
        <v>15</v>
      </c>
      <c r="F176" t="s">
        <v>15327</v>
      </c>
      <c r="G176"/>
      <c r="H176"/>
      <c r="I176" t="s">
        <v>1503</v>
      </c>
      <c r="J176" t="s">
        <v>15328</v>
      </c>
      <c r="K176" t="s">
        <v>15329</v>
      </c>
      <c r="L176" t="s">
        <v>21</v>
      </c>
      <c r="M176" t="s">
        <v>19177</v>
      </c>
      <c r="N176" t="s">
        <v>300</v>
      </c>
      <c r="O176" t="s">
        <v>16373</v>
      </c>
      <c r="P176" t="s">
        <v>12</v>
      </c>
    </row>
    <row r="177">
      <c r="A177">
        <f>HYPERLINK("http://bombeiros.sp.gov.br/hidrantes/03individual/16449.html","16449")</f>
      </c>
      <c r="B177" t="s">
        <v>114</v>
      </c>
      <c r="C177" t="s">
        <v>300</v>
      </c>
      <c r="D177" t="s">
        <v>300</v>
      </c>
      <c r="E177" t="s">
        <v>64</v>
      </c>
      <c r="F177" t="s">
        <v>15330</v>
      </c>
      <c r="G177" t="s">
        <v>15331</v>
      </c>
      <c r="H177"/>
      <c r="I177" t="s">
        <v>18</v>
      </c>
      <c r="J177" t="s">
        <v>15332</v>
      </c>
      <c r="K177" t="s">
        <v>15333</v>
      </c>
      <c r="L177" t="s">
        <v>21</v>
      </c>
      <c r="M177" t="s">
        <v>19177</v>
      </c>
      <c r="N177" t="s">
        <v>300</v>
      </c>
      <c r="O177" t="s">
        <v>16373</v>
      </c>
      <c r="P177" t="s">
        <v>12</v>
      </c>
    </row>
    <row r="178">
      <c r="A178">
        <f>HYPERLINK("http://bombeiros.sp.gov.br/hidrantes/03individual/4411.html","4411")</f>
      </c>
      <c r="B178" t="s">
        <v>114</v>
      </c>
      <c r="C178" t="s">
        <v>300</v>
      </c>
      <c r="D178" t="s">
        <v>300</v>
      </c>
      <c r="E178" t="s">
        <v>15</v>
      </c>
      <c r="F178" t="s">
        <v>15334</v>
      </c>
      <c r="G178" t="s">
        <v>15038</v>
      </c>
      <c r="H178"/>
      <c r="I178" t="s">
        <v>1117</v>
      </c>
      <c r="J178" t="s">
        <v>15335</v>
      </c>
      <c r="K178" t="s">
        <v>15336</v>
      </c>
      <c r="L178" t="s">
        <v>21</v>
      </c>
      <c r="M178" t="s">
        <v>19177</v>
      </c>
      <c r="N178" t="s">
        <v>300</v>
      </c>
      <c r="O178" t="s">
        <v>16373</v>
      </c>
      <c r="P178" t="s">
        <v>12</v>
      </c>
    </row>
    <row r="179">
      <c r="A179">
        <f>HYPERLINK("http://bombeiros.sp.gov.br/hidrantes/03individual/2014.html","2014")</f>
      </c>
      <c r="B179" t="s">
        <v>114</v>
      </c>
      <c r="C179" t="s">
        <v>304</v>
      </c>
      <c r="D179" t="s">
        <v>5064</v>
      </c>
      <c r="E179" t="s">
        <v>15</v>
      </c>
      <c r="F179" t="s">
        <v>15337</v>
      </c>
      <c r="G179" t="s">
        <v>15259</v>
      </c>
      <c r="H179"/>
      <c r="I179" t="s">
        <v>1117</v>
      </c>
      <c r="J179" t="s">
        <v>15338</v>
      </c>
      <c r="K179" t="s">
        <v>15339</v>
      </c>
      <c r="L179" t="s">
        <v>21</v>
      </c>
      <c r="M179" t="s">
        <v>19177</v>
      </c>
      <c r="N179" t="s">
        <v>97</v>
      </c>
      <c r="O179" t="s">
        <v>937</v>
      </c>
      <c r="P179" t="s">
        <v>12</v>
      </c>
    </row>
    <row r="180">
      <c r="A180">
        <f>HYPERLINK("http://bombeiros.sp.gov.br/hidrantes/03individual/2025.html","2025")</f>
      </c>
      <c r="B180" t="s">
        <v>114</v>
      </c>
      <c r="C180" t="s">
        <v>304</v>
      </c>
      <c r="D180" t="s">
        <v>5064</v>
      </c>
      <c r="E180" t="s">
        <v>15</v>
      </c>
      <c r="F180" t="s">
        <v>15340</v>
      </c>
      <c r="G180" t="s">
        <v>15034</v>
      </c>
      <c r="H180"/>
      <c r="I180" t="s">
        <v>1117</v>
      </c>
      <c r="J180" t="s">
        <v>15341</v>
      </c>
      <c r="K180" t="s">
        <v>15342</v>
      </c>
      <c r="L180" t="s">
        <v>21</v>
      </c>
      <c r="M180" t="s">
        <v>19177</v>
      </c>
      <c r="N180" t="s">
        <v>97</v>
      </c>
      <c r="O180" t="s">
        <v>937</v>
      </c>
      <c r="P180" t="s">
        <v>12</v>
      </c>
    </row>
    <row r="181">
      <c r="A181">
        <f>HYPERLINK("http://bombeiros.sp.gov.br/hidrantes/03individual/17776.html","17776")</f>
      </c>
      <c r="B181" t="s">
        <v>114</v>
      </c>
      <c r="C181" t="s">
        <v>304</v>
      </c>
      <c r="D181" t="s">
        <v>5064</v>
      </c>
      <c r="E181" t="s">
        <v>15</v>
      </c>
      <c r="F181" t="s">
        <v>15343</v>
      </c>
      <c r="G181"/>
      <c r="H181"/>
      <c r="I181" t="s">
        <v>1503</v>
      </c>
      <c r="J181" t="s">
        <v>15344</v>
      </c>
      <c r="K181" t="s">
        <v>15345</v>
      </c>
      <c r="L181" t="s">
        <v>21</v>
      </c>
      <c r="M181" t="s">
        <v>19177</v>
      </c>
      <c r="N181" t="s">
        <v>97</v>
      </c>
      <c r="O181" t="s">
        <v>937</v>
      </c>
      <c r="P181" t="s">
        <v>12</v>
      </c>
    </row>
    <row r="182">
      <c r="A182">
        <f>HYPERLINK("http://bombeiros.sp.gov.br/hidrantes/03individual/607.html","607")</f>
      </c>
      <c r="B182" t="s">
        <v>114</v>
      </c>
      <c r="C182" t="s">
        <v>304</v>
      </c>
      <c r="D182" t="s">
        <v>304</v>
      </c>
      <c r="E182" t="s">
        <v>15</v>
      </c>
      <c r="F182" t="s">
        <v>305</v>
      </c>
      <c r="G182" t="s">
        <v>18069</v>
      </c>
      <c r="H182"/>
      <c r="I182" t="s">
        <v>18</v>
      </c>
      <c r="J182" t="s">
        <v>307</v>
      </c>
      <c r="K182" t="s">
        <v>308</v>
      </c>
      <c r="L182" t="s">
        <v>21</v>
      </c>
      <c r="M182" t="s">
        <v>19177</v>
      </c>
      <c r="N182" t="s">
        <v>97</v>
      </c>
      <c r="O182" t="s">
        <v>937</v>
      </c>
      <c r="P182" t="s">
        <v>12</v>
      </c>
    </row>
    <row r="183">
      <c r="A183">
        <f>HYPERLINK("http://bombeiros.sp.gov.br/hidrantes/03individual/612.html","612")</f>
      </c>
      <c r="B183" t="s">
        <v>114</v>
      </c>
      <c r="C183" t="s">
        <v>304</v>
      </c>
      <c r="D183" t="s">
        <v>304</v>
      </c>
      <c r="E183" t="s">
        <v>15</v>
      </c>
      <c r="F183" t="s">
        <v>5125</v>
      </c>
      <c r="G183" t="s">
        <v>18069</v>
      </c>
      <c r="H183"/>
      <c r="I183" t="s">
        <v>18</v>
      </c>
      <c r="J183" t="s">
        <v>5126</v>
      </c>
      <c r="K183" t="s">
        <v>5127</v>
      </c>
      <c r="L183" t="s">
        <v>21</v>
      </c>
      <c r="M183" t="s">
        <v>19177</v>
      </c>
      <c r="N183" t="s">
        <v>97</v>
      </c>
      <c r="O183" t="s">
        <v>937</v>
      </c>
      <c r="P183" t="s">
        <v>12</v>
      </c>
    </row>
    <row r="184">
      <c r="A184">
        <f>HYPERLINK("http://bombeiros.sp.gov.br/hidrantes/03individual/742.html","742")</f>
      </c>
      <c r="B184" t="s">
        <v>114</v>
      </c>
      <c r="C184" t="s">
        <v>304</v>
      </c>
      <c r="D184" t="s">
        <v>304</v>
      </c>
      <c r="E184" t="s">
        <v>15</v>
      </c>
      <c r="F184" t="s">
        <v>5154</v>
      </c>
      <c r="G184" t="s">
        <v>18069</v>
      </c>
      <c r="H184"/>
      <c r="I184" t="s">
        <v>18</v>
      </c>
      <c r="J184" t="s">
        <v>5155</v>
      </c>
      <c r="K184" t="s">
        <v>5156</v>
      </c>
      <c r="L184" t="s">
        <v>21</v>
      </c>
      <c r="M184" t="s">
        <v>19177</v>
      </c>
      <c r="N184" t="s">
        <v>97</v>
      </c>
      <c r="O184" t="s">
        <v>937</v>
      </c>
      <c r="P184" t="s">
        <v>12</v>
      </c>
    </row>
    <row r="185">
      <c r="A185">
        <f>HYPERLINK("http://bombeiros.sp.gov.br/hidrantes/03individual/781.html","781")</f>
      </c>
      <c r="B185" t="s">
        <v>114</v>
      </c>
      <c r="C185" t="s">
        <v>304</v>
      </c>
      <c r="D185" t="s">
        <v>304</v>
      </c>
      <c r="E185" t="s">
        <v>15</v>
      </c>
      <c r="F185" t="s">
        <v>15346</v>
      </c>
      <c r="G185" t="s">
        <v>15069</v>
      </c>
      <c r="H185"/>
      <c r="I185" t="s">
        <v>1117</v>
      </c>
      <c r="J185" t="s">
        <v>15347</v>
      </c>
      <c r="K185" t="s">
        <v>15348</v>
      </c>
      <c r="L185" t="s">
        <v>36</v>
      </c>
      <c r="M185" t="s">
        <v>19177</v>
      </c>
      <c r="N185" t="s">
        <v>97</v>
      </c>
      <c r="O185" t="s">
        <v>937</v>
      </c>
      <c r="P185" t="s">
        <v>12</v>
      </c>
    </row>
    <row r="186">
      <c r="A186">
        <f>HYPERLINK("http://bombeiros.sp.gov.br/hidrantes/03individual/2002.html","2002")</f>
      </c>
      <c r="B186" t="s">
        <v>114</v>
      </c>
      <c r="C186" t="s">
        <v>304</v>
      </c>
      <c r="D186" t="s">
        <v>304</v>
      </c>
      <c r="E186" t="s">
        <v>15</v>
      </c>
      <c r="F186" t="s">
        <v>15349</v>
      </c>
      <c r="G186" t="s">
        <v>15034</v>
      </c>
      <c r="H186"/>
      <c r="I186" t="s">
        <v>1117</v>
      </c>
      <c r="J186" t="s">
        <v>15350</v>
      </c>
      <c r="K186" t="s">
        <v>15351</v>
      </c>
      <c r="L186" t="s">
        <v>21</v>
      </c>
      <c r="M186" t="s">
        <v>19177</v>
      </c>
      <c r="N186" t="s">
        <v>97</v>
      </c>
      <c r="O186" t="s">
        <v>937</v>
      </c>
      <c r="P186" t="s">
        <v>12</v>
      </c>
    </row>
    <row r="187">
      <c r="A187">
        <f>HYPERLINK("http://bombeiros.sp.gov.br/hidrantes/03individual/16630.html","16630")</f>
      </c>
      <c r="B187" t="s">
        <v>114</v>
      </c>
      <c r="C187" t="s">
        <v>304</v>
      </c>
      <c r="D187" t="s">
        <v>304</v>
      </c>
      <c r="E187" t="s">
        <v>15</v>
      </c>
      <c r="F187" t="s">
        <v>15352</v>
      </c>
      <c r="G187"/>
      <c r="H187"/>
      <c r="I187" t="s">
        <v>1503</v>
      </c>
      <c r="J187" t="s">
        <v>15353</v>
      </c>
      <c r="K187" t="s">
        <v>15354</v>
      </c>
      <c r="L187" t="s">
        <v>21</v>
      </c>
      <c r="M187" t="s">
        <v>19177</v>
      </c>
      <c r="N187" t="s">
        <v>97</v>
      </c>
      <c r="O187" t="s">
        <v>937</v>
      </c>
      <c r="P187" t="s">
        <v>12</v>
      </c>
    </row>
    <row r="188">
      <c r="A188">
        <f>HYPERLINK("http://bombeiros.sp.gov.br/hidrantes/03individual/16631.html","16631")</f>
      </c>
      <c r="B188" t="s">
        <v>114</v>
      </c>
      <c r="C188" t="s">
        <v>304</v>
      </c>
      <c r="D188" t="s">
        <v>304</v>
      </c>
      <c r="E188" t="s">
        <v>15</v>
      </c>
      <c r="F188" t="s">
        <v>15355</v>
      </c>
      <c r="G188"/>
      <c r="H188"/>
      <c r="I188" t="s">
        <v>1503</v>
      </c>
      <c r="J188" t="s">
        <v>15356</v>
      </c>
      <c r="K188" t="s">
        <v>15357</v>
      </c>
      <c r="L188" t="s">
        <v>21</v>
      </c>
      <c r="M188" t="s">
        <v>19177</v>
      </c>
      <c r="N188" t="s">
        <v>97</v>
      </c>
      <c r="O188" t="s">
        <v>937</v>
      </c>
      <c r="P188" t="s">
        <v>12</v>
      </c>
    </row>
    <row r="189">
      <c r="A189">
        <f>HYPERLINK("http://bombeiros.sp.gov.br/hidrantes/03individual/26884.html","26884")</f>
      </c>
      <c r="B189" t="s">
        <v>114</v>
      </c>
      <c r="C189" t="s">
        <v>304</v>
      </c>
      <c r="D189" t="s">
        <v>304</v>
      </c>
      <c r="E189" t="s">
        <v>15</v>
      </c>
      <c r="F189" t="s">
        <v>16290</v>
      </c>
      <c r="G189"/>
      <c r="H189"/>
      <c r="I189" t="s">
        <v>1503</v>
      </c>
      <c r="J189" t="s">
        <v>16291</v>
      </c>
      <c r="K189" t="s">
        <v>16292</v>
      </c>
      <c r="L189" t="s">
        <v>21</v>
      </c>
      <c r="M189" t="s">
        <v>19177</v>
      </c>
      <c r="N189" t="s">
        <v>97</v>
      </c>
      <c r="O189" t="s">
        <v>937</v>
      </c>
      <c r="P189" t="s">
        <v>12</v>
      </c>
    </row>
    <row r="190">
      <c r="A190">
        <f>HYPERLINK("http://bombeiros.sp.gov.br/hidrantes/03individual/28123.html","28123")</f>
      </c>
      <c r="B190" t="s">
        <v>114</v>
      </c>
      <c r="C190" t="s">
        <v>304</v>
      </c>
      <c r="D190" t="s">
        <v>304</v>
      </c>
      <c r="E190" t="s">
        <v>15</v>
      </c>
      <c r="F190" t="s">
        <v>18289</v>
      </c>
      <c r="G190" t="s">
        <v>18045</v>
      </c>
      <c r="H190" t="s">
        <v>1107</v>
      </c>
      <c r="I190" t="s">
        <v>1108</v>
      </c>
      <c r="J190" t="s">
        <v>18290</v>
      </c>
      <c r="K190" t="s">
        <v>18291</v>
      </c>
      <c r="L190" t="s">
        <v>21</v>
      </c>
      <c r="M190" t="s">
        <v>19177</v>
      </c>
      <c r="N190" t="s">
        <v>97</v>
      </c>
      <c r="O190" t="s">
        <v>937</v>
      </c>
      <c r="P190" t="s">
        <v>12</v>
      </c>
    </row>
    <row r="191">
      <c r="A191">
        <f>HYPERLINK("http://bombeiros.sp.gov.br/hidrantes/03individual/26851.html","26851")</f>
      </c>
      <c r="B191" t="s">
        <v>114</v>
      </c>
      <c r="C191" t="s">
        <v>309</v>
      </c>
      <c r="D191" t="s">
        <v>309</v>
      </c>
      <c r="E191" t="s">
        <v>15</v>
      </c>
      <c r="F191" t="s">
        <v>16195</v>
      </c>
      <c r="G191"/>
      <c r="H191"/>
      <c r="I191" t="s">
        <v>1503</v>
      </c>
      <c r="J191" t="s">
        <v>16196</v>
      </c>
      <c r="K191" t="s">
        <v>16197</v>
      </c>
      <c r="L191" t="s">
        <v>21</v>
      </c>
      <c r="M191" t="s">
        <v>19177</v>
      </c>
      <c r="N191" t="s">
        <v>309</v>
      </c>
      <c r="O191" t="s">
        <v>6029</v>
      </c>
      <c r="P191" t="s">
        <v>114</v>
      </c>
    </row>
    <row r="192">
      <c r="A192">
        <f>HYPERLINK("http://bombeiros.sp.gov.br/hidrantes/03individual/2991.html","2991")</f>
      </c>
      <c r="B192" t="s">
        <v>114</v>
      </c>
      <c r="C192" t="s">
        <v>309</v>
      </c>
      <c r="D192" t="s">
        <v>5342</v>
      </c>
      <c r="E192" t="s">
        <v>15</v>
      </c>
      <c r="F192" t="s">
        <v>15358</v>
      </c>
      <c r="G192" t="s">
        <v>15259</v>
      </c>
      <c r="H192"/>
      <c r="I192" t="s">
        <v>1117</v>
      </c>
      <c r="J192" t="s">
        <v>15359</v>
      </c>
      <c r="K192" t="s">
        <v>15360</v>
      </c>
      <c r="L192" t="s">
        <v>21</v>
      </c>
      <c r="M192" t="s">
        <v>19177</v>
      </c>
      <c r="N192" t="s">
        <v>309</v>
      </c>
      <c r="O192" t="s">
        <v>6029</v>
      </c>
      <c r="P192" t="s">
        <v>114</v>
      </c>
    </row>
    <row r="193">
      <c r="A193">
        <f>HYPERLINK("http://bombeiros.sp.gov.br/hidrantes/03individual/2993.html","2993")</f>
      </c>
      <c r="B193" t="s">
        <v>114</v>
      </c>
      <c r="C193" t="s">
        <v>309</v>
      </c>
      <c r="D193" t="s">
        <v>5342</v>
      </c>
      <c r="E193" t="s">
        <v>15</v>
      </c>
      <c r="F193" t="s">
        <v>15361</v>
      </c>
      <c r="G193" t="s">
        <v>521</v>
      </c>
      <c r="H193"/>
      <c r="I193" t="s">
        <v>18</v>
      </c>
      <c r="J193" t="s">
        <v>15362</v>
      </c>
      <c r="K193" t="s">
        <v>15363</v>
      </c>
      <c r="L193" t="s">
        <v>21</v>
      </c>
      <c r="M193" t="s">
        <v>19177</v>
      </c>
      <c r="N193" t="s">
        <v>309</v>
      </c>
      <c r="O193" t="s">
        <v>6029</v>
      </c>
      <c r="P193" t="s">
        <v>114</v>
      </c>
    </row>
    <row r="194">
      <c r="A194">
        <f>HYPERLINK("http://bombeiros.sp.gov.br/hidrantes/03individual/16567.html","16567")</f>
      </c>
      <c r="B194" t="s">
        <v>114</v>
      </c>
      <c r="C194" t="s">
        <v>309</v>
      </c>
      <c r="D194" t="s">
        <v>5342</v>
      </c>
      <c r="E194" t="s">
        <v>15</v>
      </c>
      <c r="F194" t="s">
        <v>15364</v>
      </c>
      <c r="G194"/>
      <c r="H194"/>
      <c r="I194" t="s">
        <v>1503</v>
      </c>
      <c r="J194" t="s">
        <v>15365</v>
      </c>
      <c r="K194" t="s">
        <v>15366</v>
      </c>
      <c r="L194" t="s">
        <v>21</v>
      </c>
      <c r="M194" t="s">
        <v>19177</v>
      </c>
      <c r="N194" t="s">
        <v>309</v>
      </c>
      <c r="O194" t="s">
        <v>6029</v>
      </c>
      <c r="P194" t="s">
        <v>114</v>
      </c>
    </row>
    <row r="195">
      <c r="A195">
        <f>HYPERLINK("http://bombeiros.sp.gov.br/hidrantes/03individual/1602.html","1602")</f>
      </c>
      <c r="B195" t="s">
        <v>114</v>
      </c>
      <c r="C195" t="s">
        <v>309</v>
      </c>
      <c r="D195" t="s">
        <v>314</v>
      </c>
      <c r="E195" t="s">
        <v>15</v>
      </c>
      <c r="F195" t="s">
        <v>315</v>
      </c>
      <c r="G195" t="s">
        <v>18103</v>
      </c>
      <c r="H195"/>
      <c r="I195" t="s">
        <v>18</v>
      </c>
      <c r="J195" t="s">
        <v>316</v>
      </c>
      <c r="K195" t="s">
        <v>317</v>
      </c>
      <c r="L195" t="s">
        <v>21</v>
      </c>
      <c r="M195" t="s">
        <v>19177</v>
      </c>
      <c r="N195" t="s">
        <v>16374</v>
      </c>
      <c r="O195" t="s">
        <v>272</v>
      </c>
      <c r="P195" t="s">
        <v>114</v>
      </c>
    </row>
    <row r="196">
      <c r="A196">
        <f>HYPERLINK("http://bombeiros.sp.gov.br/hidrantes/03individual/1683.html","1683")</f>
      </c>
      <c r="B196" t="s">
        <v>114</v>
      </c>
      <c r="C196" t="s">
        <v>309</v>
      </c>
      <c r="D196" t="s">
        <v>314</v>
      </c>
      <c r="E196" t="s">
        <v>15</v>
      </c>
      <c r="F196" t="s">
        <v>5448</v>
      </c>
      <c r="G196" t="s">
        <v>18103</v>
      </c>
      <c r="H196" t="s">
        <v>1121</v>
      </c>
      <c r="I196" t="s">
        <v>1117</v>
      </c>
      <c r="J196" t="s">
        <v>5449</v>
      </c>
      <c r="K196" t="s">
        <v>5450</v>
      </c>
      <c r="L196" t="s">
        <v>21</v>
      </c>
      <c r="M196" t="s">
        <v>19177</v>
      </c>
      <c r="N196" t="s">
        <v>16374</v>
      </c>
      <c r="O196" t="s">
        <v>272</v>
      </c>
      <c r="P196" t="s">
        <v>114</v>
      </c>
    </row>
    <row r="197">
      <c r="A197">
        <f>HYPERLINK("http://bombeiros.sp.gov.br/hidrantes/03individual/3250.html","3250")</f>
      </c>
      <c r="B197" t="s">
        <v>114</v>
      </c>
      <c r="C197" t="s">
        <v>309</v>
      </c>
      <c r="D197" t="s">
        <v>5484</v>
      </c>
      <c r="E197" t="s">
        <v>15</v>
      </c>
      <c r="F197" t="s">
        <v>5478</v>
      </c>
      <c r="G197" t="s">
        <v>18103</v>
      </c>
      <c r="H197" t="s">
        <v>1121</v>
      </c>
      <c r="I197" t="s">
        <v>1117</v>
      </c>
      <c r="J197" t="s">
        <v>17274</v>
      </c>
      <c r="K197" t="s">
        <v>17275</v>
      </c>
      <c r="L197" t="s">
        <v>21</v>
      </c>
      <c r="M197" t="s">
        <v>19177</v>
      </c>
      <c r="N197" t="s">
        <v>16374</v>
      </c>
      <c r="O197" t="s">
        <v>272</v>
      </c>
      <c r="P197" t="s">
        <v>114</v>
      </c>
    </row>
    <row r="198">
      <c r="A198">
        <f>HYPERLINK("http://bombeiros.sp.gov.br/hidrantes/03individual/3455.html","3455")</f>
      </c>
      <c r="B198" t="s">
        <v>114</v>
      </c>
      <c r="C198" t="s">
        <v>309</v>
      </c>
      <c r="D198" t="s">
        <v>5484</v>
      </c>
      <c r="E198" t="s">
        <v>15</v>
      </c>
      <c r="F198" t="s">
        <v>5536</v>
      </c>
      <c r="G198" t="s">
        <v>18103</v>
      </c>
      <c r="H198" t="s">
        <v>1121</v>
      </c>
      <c r="I198" t="s">
        <v>1117</v>
      </c>
      <c r="J198" t="s">
        <v>5537</v>
      </c>
      <c r="K198" t="s">
        <v>5538</v>
      </c>
      <c r="L198" t="s">
        <v>21</v>
      </c>
      <c r="M198" t="s">
        <v>19177</v>
      </c>
      <c r="N198" t="s">
        <v>16374</v>
      </c>
      <c r="O198" t="s">
        <v>272</v>
      </c>
      <c r="P198" t="s">
        <v>114</v>
      </c>
    </row>
    <row r="199">
      <c r="A199">
        <f>HYPERLINK("http://bombeiros.sp.gov.br/hidrantes/03individual/16568.html","16568")</f>
      </c>
      <c r="B199" t="s">
        <v>114</v>
      </c>
      <c r="C199" t="s">
        <v>309</v>
      </c>
      <c r="D199" t="s">
        <v>5484</v>
      </c>
      <c r="E199" t="s">
        <v>15</v>
      </c>
      <c r="F199" t="s">
        <v>15367</v>
      </c>
      <c r="G199"/>
      <c r="H199"/>
      <c r="I199" t="s">
        <v>1503</v>
      </c>
      <c r="J199" t="s">
        <v>15368</v>
      </c>
      <c r="K199" t="s">
        <v>15369</v>
      </c>
      <c r="L199" t="s">
        <v>21</v>
      </c>
      <c r="M199" t="s">
        <v>19177</v>
      </c>
      <c r="N199" t="s">
        <v>16374</v>
      </c>
      <c r="O199" t="s">
        <v>272</v>
      </c>
      <c r="P199" t="s">
        <v>114</v>
      </c>
    </row>
    <row r="200">
      <c r="A200">
        <f>HYPERLINK("http://bombeiros.sp.gov.br/hidrantes/03individual/1792.html","1792")</f>
      </c>
      <c r="B200" t="s">
        <v>114</v>
      </c>
      <c r="C200" t="s">
        <v>318</v>
      </c>
      <c r="D200" t="s">
        <v>5542</v>
      </c>
      <c r="E200" t="s">
        <v>15</v>
      </c>
      <c r="F200" t="s">
        <v>15370</v>
      </c>
      <c r="G200" t="s">
        <v>15283</v>
      </c>
      <c r="H200"/>
      <c r="I200" t="s">
        <v>1117</v>
      </c>
      <c r="J200" t="s">
        <v>15371</v>
      </c>
      <c r="K200" t="s">
        <v>15372</v>
      </c>
      <c r="L200" t="s">
        <v>21</v>
      </c>
      <c r="M200" t="s">
        <v>19177</v>
      </c>
      <c r="N200" t="s">
        <v>309</v>
      </c>
      <c r="O200" t="s">
        <v>6029</v>
      </c>
      <c r="P200" t="s">
        <v>114</v>
      </c>
    </row>
    <row r="201">
      <c r="A201">
        <f>HYPERLINK("http://bombeiros.sp.gov.br/hidrantes/03individual/4191.html","4191")</f>
      </c>
      <c r="B201" t="s">
        <v>114</v>
      </c>
      <c r="C201" t="s">
        <v>318</v>
      </c>
      <c r="D201" t="s">
        <v>5542</v>
      </c>
      <c r="E201" t="s">
        <v>15</v>
      </c>
      <c r="F201" t="s">
        <v>15373</v>
      </c>
      <c r="G201" t="s">
        <v>15374</v>
      </c>
      <c r="H201" t="s">
        <v>1112</v>
      </c>
      <c r="I201" t="s">
        <v>1108</v>
      </c>
      <c r="J201" t="s">
        <v>15375</v>
      </c>
      <c r="K201" t="s">
        <v>15376</v>
      </c>
      <c r="L201" t="s">
        <v>21</v>
      </c>
      <c r="M201" t="s">
        <v>19177</v>
      </c>
      <c r="N201" t="s">
        <v>309</v>
      </c>
      <c r="O201" t="s">
        <v>6029</v>
      </c>
      <c r="P201" t="s">
        <v>114</v>
      </c>
    </row>
    <row r="202">
      <c r="A202">
        <f>HYPERLINK("http://bombeiros.sp.gov.br/hidrantes/03individual/1537.html","1537")</f>
      </c>
      <c r="B202" t="s">
        <v>114</v>
      </c>
      <c r="C202" t="s">
        <v>318</v>
      </c>
      <c r="D202" t="s">
        <v>251</v>
      </c>
      <c r="E202" t="s">
        <v>15</v>
      </c>
      <c r="F202" t="s">
        <v>15377</v>
      </c>
      <c r="G202" t="s">
        <v>15283</v>
      </c>
      <c r="H202"/>
      <c r="I202" t="s">
        <v>1117</v>
      </c>
      <c r="J202" t="s">
        <v>15378</v>
      </c>
      <c r="K202" t="s">
        <v>15379</v>
      </c>
      <c r="L202" t="s">
        <v>21</v>
      </c>
      <c r="M202" t="s">
        <v>19177</v>
      </c>
      <c r="N202" t="s">
        <v>309</v>
      </c>
      <c r="O202" t="s">
        <v>6029</v>
      </c>
      <c r="P202" t="s">
        <v>114</v>
      </c>
    </row>
    <row r="203">
      <c r="A203">
        <f>HYPERLINK("http://bombeiros.sp.gov.br/hidrantes/03individual/1768.html","1768")</f>
      </c>
      <c r="B203" t="s">
        <v>114</v>
      </c>
      <c r="C203" t="s">
        <v>318</v>
      </c>
      <c r="D203" t="s">
        <v>318</v>
      </c>
      <c r="E203" t="s">
        <v>15</v>
      </c>
      <c r="F203" t="s">
        <v>15380</v>
      </c>
      <c r="G203" t="s">
        <v>15172</v>
      </c>
      <c r="H203"/>
      <c r="I203" t="s">
        <v>1117</v>
      </c>
      <c r="J203" t="s">
        <v>15381</v>
      </c>
      <c r="K203" t="s">
        <v>15382</v>
      </c>
      <c r="L203" t="s">
        <v>21</v>
      </c>
      <c r="M203" t="s">
        <v>19177</v>
      </c>
      <c r="N203" t="s">
        <v>309</v>
      </c>
      <c r="O203" t="s">
        <v>6029</v>
      </c>
      <c r="P203" t="s">
        <v>114</v>
      </c>
    </row>
    <row r="204">
      <c r="A204">
        <f>HYPERLINK("http://bombeiros.sp.gov.br/hidrantes/03individual/1618.html","1618")</f>
      </c>
      <c r="B204" t="s">
        <v>114</v>
      </c>
      <c r="C204" t="s">
        <v>322</v>
      </c>
      <c r="D204" t="s">
        <v>323</v>
      </c>
      <c r="E204" t="s">
        <v>15</v>
      </c>
      <c r="F204" t="s">
        <v>327</v>
      </c>
      <c r="G204" t="s">
        <v>18083</v>
      </c>
      <c r="H204"/>
      <c r="I204" t="s">
        <v>18</v>
      </c>
      <c r="J204" t="s">
        <v>328</v>
      </c>
      <c r="K204" t="s">
        <v>329</v>
      </c>
      <c r="L204" t="s">
        <v>21</v>
      </c>
      <c r="M204" t="s">
        <v>19177</v>
      </c>
      <c r="N204" t="s">
        <v>337</v>
      </c>
      <c r="O204" t="s">
        <v>337</v>
      </c>
      <c r="P204" t="s">
        <v>12</v>
      </c>
    </row>
    <row r="205">
      <c r="A205">
        <f>HYPERLINK("http://bombeiros.sp.gov.br/hidrantes/03individual/3669.html","3669")</f>
      </c>
      <c r="B205" t="s">
        <v>114</v>
      </c>
      <c r="C205" t="s">
        <v>322</v>
      </c>
      <c r="D205" t="s">
        <v>323</v>
      </c>
      <c r="E205" t="s">
        <v>15</v>
      </c>
      <c r="F205" t="s">
        <v>15383</v>
      </c>
      <c r="G205" t="s">
        <v>15165</v>
      </c>
      <c r="H205"/>
      <c r="I205" t="s">
        <v>1117</v>
      </c>
      <c r="J205" t="s">
        <v>15384</v>
      </c>
      <c r="K205" t="s">
        <v>15385</v>
      </c>
      <c r="L205" t="s">
        <v>21</v>
      </c>
      <c r="M205" t="s">
        <v>19177</v>
      </c>
      <c r="N205" t="s">
        <v>300</v>
      </c>
      <c r="O205" t="s">
        <v>16373</v>
      </c>
      <c r="P205" t="s">
        <v>12</v>
      </c>
    </row>
    <row r="206">
      <c r="A206">
        <f>HYPERLINK("http://bombeiros.sp.gov.br/hidrantes/03individual/3271.html","3271")</f>
      </c>
      <c r="B206" t="s">
        <v>114</v>
      </c>
      <c r="C206" t="s">
        <v>322</v>
      </c>
      <c r="D206" t="s">
        <v>5775</v>
      </c>
      <c r="E206" t="s">
        <v>15</v>
      </c>
      <c r="F206" t="s">
        <v>15386</v>
      </c>
      <c r="G206" t="s">
        <v>15157</v>
      </c>
      <c r="H206"/>
      <c r="I206" t="s">
        <v>1117</v>
      </c>
      <c r="J206" t="s">
        <v>15387</v>
      </c>
      <c r="K206" t="s">
        <v>15388</v>
      </c>
      <c r="L206" t="s">
        <v>21</v>
      </c>
      <c r="M206" t="s">
        <v>19177</v>
      </c>
      <c r="N206" t="s">
        <v>300</v>
      </c>
      <c r="O206" t="s">
        <v>16373</v>
      </c>
      <c r="P206" t="s">
        <v>12</v>
      </c>
    </row>
    <row r="207">
      <c r="A207">
        <f>HYPERLINK("http://bombeiros.sp.gov.br/hidrantes/03individual/978.html","978")</f>
      </c>
      <c r="B207" t="s">
        <v>114</v>
      </c>
      <c r="C207" t="s">
        <v>337</v>
      </c>
      <c r="D207" t="s">
        <v>5839</v>
      </c>
      <c r="E207" t="s">
        <v>64</v>
      </c>
      <c r="F207" t="s">
        <v>5843</v>
      </c>
      <c r="G207" t="s">
        <v>18095</v>
      </c>
      <c r="H207" t="s">
        <v>1121</v>
      </c>
      <c r="I207" t="s">
        <v>1117</v>
      </c>
      <c r="J207" t="s">
        <v>5844</v>
      </c>
      <c r="K207" t="s">
        <v>5845</v>
      </c>
      <c r="L207" t="s">
        <v>21</v>
      </c>
      <c r="M207" t="s">
        <v>19177</v>
      </c>
      <c r="N207" t="s">
        <v>337</v>
      </c>
      <c r="O207" t="s">
        <v>337</v>
      </c>
      <c r="P207" t="s">
        <v>12</v>
      </c>
    </row>
    <row r="208">
      <c r="A208">
        <f>HYPERLINK("http://bombeiros.sp.gov.br/hidrantes/03individual/980.html","980")</f>
      </c>
      <c r="B208" t="s">
        <v>114</v>
      </c>
      <c r="C208" t="s">
        <v>337</v>
      </c>
      <c r="D208" t="s">
        <v>5839</v>
      </c>
      <c r="E208" t="s">
        <v>64</v>
      </c>
      <c r="F208" t="s">
        <v>15389</v>
      </c>
      <c r="G208" t="s">
        <v>15390</v>
      </c>
      <c r="H208"/>
      <c r="I208" t="s">
        <v>18</v>
      </c>
      <c r="J208" t="s">
        <v>15391</v>
      </c>
      <c r="K208" t="s">
        <v>15392</v>
      </c>
      <c r="L208" t="s">
        <v>36</v>
      </c>
      <c r="M208" t="s">
        <v>19177</v>
      </c>
      <c r="N208" t="s">
        <v>337</v>
      </c>
      <c r="O208" t="s">
        <v>337</v>
      </c>
      <c r="P208" t="s">
        <v>12</v>
      </c>
    </row>
    <row r="209">
      <c r="A209">
        <f>HYPERLINK("http://bombeiros.sp.gov.br/hidrantes/03individual/1981.html","1981")</f>
      </c>
      <c r="B209" t="s">
        <v>114</v>
      </c>
      <c r="C209" t="s">
        <v>337</v>
      </c>
      <c r="D209" t="s">
        <v>5839</v>
      </c>
      <c r="E209" t="s">
        <v>15</v>
      </c>
      <c r="F209" t="s">
        <v>15393</v>
      </c>
      <c r="G209" t="s">
        <v>15069</v>
      </c>
      <c r="H209"/>
      <c r="I209" t="s">
        <v>1117</v>
      </c>
      <c r="J209" t="s">
        <v>15394</v>
      </c>
      <c r="K209" t="s">
        <v>15395</v>
      </c>
      <c r="L209" t="s">
        <v>21</v>
      </c>
      <c r="M209" t="s">
        <v>19177</v>
      </c>
      <c r="N209" t="s">
        <v>337</v>
      </c>
      <c r="O209" t="s">
        <v>337</v>
      </c>
      <c r="P209" t="s">
        <v>12</v>
      </c>
    </row>
    <row r="210">
      <c r="A210">
        <f>HYPERLINK("http://bombeiros.sp.gov.br/hidrantes/03individual/26846.html","26846")</f>
      </c>
      <c r="B210" t="s">
        <v>114</v>
      </c>
      <c r="C210" t="s">
        <v>337</v>
      </c>
      <c r="D210" t="s">
        <v>5839</v>
      </c>
      <c r="E210" t="s">
        <v>15</v>
      </c>
      <c r="F210" t="s">
        <v>16183</v>
      </c>
      <c r="G210"/>
      <c r="H210"/>
      <c r="I210" t="s">
        <v>1503</v>
      </c>
      <c r="J210" t="s">
        <v>16184</v>
      </c>
      <c r="K210" t="s">
        <v>16185</v>
      </c>
      <c r="L210" t="s">
        <v>21</v>
      </c>
      <c r="M210" t="s">
        <v>19177</v>
      </c>
      <c r="N210" t="s">
        <v>337</v>
      </c>
      <c r="O210" t="s">
        <v>337</v>
      </c>
      <c r="P210" t="s">
        <v>12</v>
      </c>
    </row>
    <row r="211">
      <c r="A211">
        <f>HYPERLINK("http://bombeiros.sp.gov.br/hidrantes/03individual/3437.html","3437")</f>
      </c>
      <c r="B211" t="s">
        <v>114</v>
      </c>
      <c r="C211" t="s">
        <v>347</v>
      </c>
      <c r="D211" t="s">
        <v>348</v>
      </c>
      <c r="E211" t="s">
        <v>15</v>
      </c>
      <c r="F211" t="s">
        <v>15396</v>
      </c>
      <c r="G211" t="s">
        <v>15161</v>
      </c>
      <c r="H211"/>
      <c r="I211" t="s">
        <v>1117</v>
      </c>
      <c r="J211" t="s">
        <v>15397</v>
      </c>
      <c r="K211" t="s">
        <v>15398</v>
      </c>
      <c r="L211" t="s">
        <v>21</v>
      </c>
      <c r="M211" t="s">
        <v>19177</v>
      </c>
      <c r="N211" t="s">
        <v>6029</v>
      </c>
      <c r="O211" t="s">
        <v>6029</v>
      </c>
      <c r="P211" t="s">
        <v>114</v>
      </c>
    </row>
    <row r="212">
      <c r="A212">
        <f>HYPERLINK("http://bombeiros.sp.gov.br/hidrantes/03individual/2043.html","2043")</f>
      </c>
      <c r="B212" t="s">
        <v>114</v>
      </c>
      <c r="C212" t="s">
        <v>356</v>
      </c>
      <c r="D212" t="s">
        <v>361</v>
      </c>
      <c r="E212" t="s">
        <v>15</v>
      </c>
      <c r="F212" t="s">
        <v>15399</v>
      </c>
      <c r="G212" t="s">
        <v>15176</v>
      </c>
      <c r="H212"/>
      <c r="I212" t="s">
        <v>1117</v>
      </c>
      <c r="J212" t="s">
        <v>15400</v>
      </c>
      <c r="K212" t="s">
        <v>15401</v>
      </c>
      <c r="L212" t="s">
        <v>21</v>
      </c>
      <c r="M212" t="s">
        <v>19177</v>
      </c>
      <c r="N212" t="s">
        <v>337</v>
      </c>
      <c r="O212" t="s">
        <v>337</v>
      </c>
      <c r="P212" t="s">
        <v>12</v>
      </c>
    </row>
    <row r="213">
      <c r="A213">
        <f>HYPERLINK("http://bombeiros.sp.gov.br/hidrantes/03individual/3870.html","3870")</f>
      </c>
      <c r="B213" t="s">
        <v>114</v>
      </c>
      <c r="C213" t="s">
        <v>356</v>
      </c>
      <c r="D213" t="s">
        <v>361</v>
      </c>
      <c r="E213" t="s">
        <v>15</v>
      </c>
      <c r="F213" t="s">
        <v>15402</v>
      </c>
      <c r="G213" t="s">
        <v>15403</v>
      </c>
      <c r="H213"/>
      <c r="I213" t="s">
        <v>1117</v>
      </c>
      <c r="J213" t="s">
        <v>15404</v>
      </c>
      <c r="K213" t="s">
        <v>15405</v>
      </c>
      <c r="L213" t="s">
        <v>21</v>
      </c>
      <c r="M213" t="s">
        <v>19177</v>
      </c>
      <c r="N213" t="s">
        <v>337</v>
      </c>
      <c r="O213" t="s">
        <v>337</v>
      </c>
      <c r="P213" t="s">
        <v>12</v>
      </c>
    </row>
    <row r="214">
      <c r="A214">
        <f>HYPERLINK("http://bombeiros.sp.gov.br/hidrantes/03individual/3080.html","3080")</f>
      </c>
      <c r="B214" t="s">
        <v>114</v>
      </c>
      <c r="C214" t="s">
        <v>365</v>
      </c>
      <c r="D214" t="s">
        <v>366</v>
      </c>
      <c r="E214" t="s">
        <v>15</v>
      </c>
      <c r="F214" t="s">
        <v>367</v>
      </c>
      <c r="G214" t="s">
        <v>18083</v>
      </c>
      <c r="H214"/>
      <c r="I214" t="s">
        <v>18</v>
      </c>
      <c r="J214" t="s">
        <v>368</v>
      </c>
      <c r="K214" t="s">
        <v>369</v>
      </c>
      <c r="L214" t="s">
        <v>21</v>
      </c>
      <c r="M214" t="s">
        <v>19177</v>
      </c>
      <c r="N214" t="s">
        <v>300</v>
      </c>
      <c r="O214" t="s">
        <v>16373</v>
      </c>
      <c r="P214" t="s">
        <v>12</v>
      </c>
    </row>
    <row r="215">
      <c r="A215">
        <f>HYPERLINK("http://bombeiros.sp.gov.br/hidrantes/03individual/3094.html","3094")</f>
      </c>
      <c r="B215" t="s">
        <v>114</v>
      </c>
      <c r="C215" t="s">
        <v>365</v>
      </c>
      <c r="D215" t="s">
        <v>366</v>
      </c>
      <c r="E215" t="s">
        <v>15</v>
      </c>
      <c r="F215" t="s">
        <v>15406</v>
      </c>
      <c r="G215" t="s">
        <v>15403</v>
      </c>
      <c r="H215"/>
      <c r="I215" t="s">
        <v>1117</v>
      </c>
      <c r="J215" t="s">
        <v>15407</v>
      </c>
      <c r="K215" t="s">
        <v>15408</v>
      </c>
      <c r="L215" t="s">
        <v>21</v>
      </c>
      <c r="M215" t="s">
        <v>19177</v>
      </c>
      <c r="N215" t="s">
        <v>337</v>
      </c>
      <c r="O215" t="s">
        <v>337</v>
      </c>
      <c r="P215" t="s">
        <v>12</v>
      </c>
    </row>
    <row r="216">
      <c r="A216">
        <f>HYPERLINK("http://bombeiros.sp.gov.br/hidrantes/03individual/3721.html","3721")</f>
      </c>
      <c r="B216" t="s">
        <v>114</v>
      </c>
      <c r="C216" t="s">
        <v>365</v>
      </c>
      <c r="D216" t="s">
        <v>6297</v>
      </c>
      <c r="E216" t="s">
        <v>64</v>
      </c>
      <c r="F216" t="s">
        <v>15409</v>
      </c>
      <c r="G216" t="s">
        <v>15403</v>
      </c>
      <c r="H216"/>
      <c r="I216" t="s">
        <v>1117</v>
      </c>
      <c r="J216" t="s">
        <v>15410</v>
      </c>
      <c r="K216" t="s">
        <v>15411</v>
      </c>
      <c r="L216" t="s">
        <v>21</v>
      </c>
      <c r="M216" t="s">
        <v>19177</v>
      </c>
      <c r="N216" t="s">
        <v>337</v>
      </c>
      <c r="O216" t="s">
        <v>337</v>
      </c>
      <c r="P216" t="s">
        <v>12</v>
      </c>
    </row>
    <row r="217">
      <c r="A217">
        <f>HYPERLINK("http://bombeiros.sp.gov.br/hidrantes/03individual/1700.html","1700")</f>
      </c>
      <c r="B217" t="s">
        <v>114</v>
      </c>
      <c r="C217" t="s">
        <v>374</v>
      </c>
      <c r="D217" t="s">
        <v>375</v>
      </c>
      <c r="E217" t="s">
        <v>15</v>
      </c>
      <c r="F217" t="s">
        <v>15412</v>
      </c>
      <c r="G217" t="s">
        <v>9110</v>
      </c>
      <c r="H217"/>
      <c r="I217" t="s">
        <v>1117</v>
      </c>
      <c r="J217" t="s">
        <v>15413</v>
      </c>
      <c r="K217" t="s">
        <v>15414</v>
      </c>
      <c r="L217" t="s">
        <v>36</v>
      </c>
      <c r="M217" t="s">
        <v>19177</v>
      </c>
      <c r="N217" t="s">
        <v>300</v>
      </c>
      <c r="O217" t="s">
        <v>16373</v>
      </c>
      <c r="P217" t="s">
        <v>12</v>
      </c>
    </row>
    <row r="218">
      <c r="A218">
        <f>HYPERLINK("http://bombeiros.sp.gov.br/hidrantes/03individual/3281.html","3281")</f>
      </c>
      <c r="B218" t="s">
        <v>114</v>
      </c>
      <c r="C218" t="s">
        <v>374</v>
      </c>
      <c r="D218" t="s">
        <v>380</v>
      </c>
      <c r="E218" t="s">
        <v>64</v>
      </c>
      <c r="F218" t="s">
        <v>6355</v>
      </c>
      <c r="G218" t="s">
        <v>18062</v>
      </c>
      <c r="H218" t="s">
        <v>1112</v>
      </c>
      <c r="I218" t="s">
        <v>1108</v>
      </c>
      <c r="J218" t="s">
        <v>6356</v>
      </c>
      <c r="K218" t="s">
        <v>6357</v>
      </c>
      <c r="L218" t="s">
        <v>21</v>
      </c>
      <c r="M218" t="s">
        <v>19177</v>
      </c>
      <c r="N218" t="s">
        <v>300</v>
      </c>
      <c r="O218" t="s">
        <v>16373</v>
      </c>
      <c r="P218" t="s">
        <v>12</v>
      </c>
    </row>
    <row r="219">
      <c r="A219">
        <f>HYPERLINK("http://bombeiros.sp.gov.br/hidrantes/03individual/1499.html","1499")</f>
      </c>
      <c r="B219" t="s">
        <v>114</v>
      </c>
      <c r="C219" t="s">
        <v>374</v>
      </c>
      <c r="D219" t="s">
        <v>380</v>
      </c>
      <c r="E219" t="s">
        <v>15</v>
      </c>
      <c r="F219" t="s">
        <v>15415</v>
      </c>
      <c r="G219" t="s">
        <v>15416</v>
      </c>
      <c r="H219"/>
      <c r="I219" t="s">
        <v>1117</v>
      </c>
      <c r="J219" t="s">
        <v>15417</v>
      </c>
      <c r="K219" t="s">
        <v>15418</v>
      </c>
      <c r="L219" t="s">
        <v>21</v>
      </c>
      <c r="M219" t="s">
        <v>19177</v>
      </c>
      <c r="N219" t="s">
        <v>300</v>
      </c>
      <c r="O219" t="s">
        <v>16373</v>
      </c>
      <c r="P219" t="s">
        <v>12</v>
      </c>
    </row>
    <row r="220">
      <c r="A220">
        <f>HYPERLINK("http://bombeiros.sp.gov.br/hidrantes/03individual/26886.html","26886")</f>
      </c>
      <c r="B220" t="s">
        <v>114</v>
      </c>
      <c r="C220" t="s">
        <v>374</v>
      </c>
      <c r="D220" t="s">
        <v>395</v>
      </c>
      <c r="E220" t="s">
        <v>15</v>
      </c>
      <c r="F220" t="s">
        <v>16293</v>
      </c>
      <c r="G220"/>
      <c r="H220"/>
      <c r="I220" t="s">
        <v>1503</v>
      </c>
      <c r="J220" t="s">
        <v>16294</v>
      </c>
      <c r="K220" t="s">
        <v>16295</v>
      </c>
      <c r="L220" t="s">
        <v>21</v>
      </c>
      <c r="M220" t="s">
        <v>19177</v>
      </c>
      <c r="N220" t="s">
        <v>300</v>
      </c>
      <c r="O220" t="s">
        <v>16373</v>
      </c>
      <c r="P220" t="s">
        <v>12</v>
      </c>
    </row>
    <row r="221">
      <c r="A221">
        <f>HYPERLINK("http://bombeiros.sp.gov.br/hidrantes/03individual/16589.html","16589")</f>
      </c>
      <c r="B221" t="s">
        <v>114</v>
      </c>
      <c r="C221" t="s">
        <v>374</v>
      </c>
      <c r="D221" t="s">
        <v>374</v>
      </c>
      <c r="E221" t="s">
        <v>15</v>
      </c>
      <c r="F221" t="s">
        <v>15419</v>
      </c>
      <c r="G221"/>
      <c r="H221"/>
      <c r="I221" t="s">
        <v>1503</v>
      </c>
      <c r="J221" t="s">
        <v>15420</v>
      </c>
      <c r="K221" t="s">
        <v>15421</v>
      </c>
      <c r="L221" t="s">
        <v>21</v>
      </c>
      <c r="M221" t="s">
        <v>19177</v>
      </c>
      <c r="N221" t="s">
        <v>300</v>
      </c>
      <c r="O221" t="s">
        <v>16373</v>
      </c>
      <c r="P221" t="s">
        <v>12</v>
      </c>
    </row>
    <row r="222">
      <c r="A222">
        <f>HYPERLINK("http://bombeiros.sp.gov.br/hidrantes/03individual/26988.html","26988")</f>
      </c>
      <c r="B222" t="s">
        <v>114</v>
      </c>
      <c r="C222" t="s">
        <v>374</v>
      </c>
      <c r="D222" t="s">
        <v>374</v>
      </c>
      <c r="E222" t="s">
        <v>15</v>
      </c>
      <c r="F222" t="s">
        <v>16558</v>
      </c>
      <c r="G222"/>
      <c r="H222"/>
      <c r="I222" t="s">
        <v>1503</v>
      </c>
      <c r="J222" t="s">
        <v>16559</v>
      </c>
      <c r="K222" t="s">
        <v>16560</v>
      </c>
      <c r="L222" t="s">
        <v>21</v>
      </c>
      <c r="M222" t="s">
        <v>19177</v>
      </c>
      <c r="N222" t="s">
        <v>300</v>
      </c>
      <c r="O222" t="s">
        <v>16373</v>
      </c>
      <c r="P222" t="s">
        <v>12</v>
      </c>
    </row>
    <row r="223">
      <c r="A223">
        <f>HYPERLINK("http://bombeiros.sp.gov.br/hidrantes/03individual/3374.html","3374")</f>
      </c>
      <c r="B223" t="s">
        <v>114</v>
      </c>
      <c r="C223" t="s">
        <v>399</v>
      </c>
      <c r="D223" t="s">
        <v>400</v>
      </c>
      <c r="E223" t="s">
        <v>15</v>
      </c>
      <c r="F223" t="s">
        <v>15422</v>
      </c>
      <c r="G223" t="s">
        <v>15161</v>
      </c>
      <c r="H223"/>
      <c r="I223" t="s">
        <v>1117</v>
      </c>
      <c r="J223" t="s">
        <v>15423</v>
      </c>
      <c r="K223" t="s">
        <v>15424</v>
      </c>
      <c r="L223" t="s">
        <v>21</v>
      </c>
      <c r="M223" t="s">
        <v>19177</v>
      </c>
      <c r="N223" t="s">
        <v>6029</v>
      </c>
      <c r="O223" t="s">
        <v>6029</v>
      </c>
      <c r="P223" t="s">
        <v>114</v>
      </c>
    </row>
    <row r="224">
      <c r="A224">
        <f>HYPERLINK("http://bombeiros.sp.gov.br/hidrantes/03individual/1926.html","1926")</f>
      </c>
      <c r="B224" t="s">
        <v>114</v>
      </c>
      <c r="C224" t="s">
        <v>399</v>
      </c>
      <c r="D224" t="s">
        <v>399</v>
      </c>
      <c r="E224" t="s">
        <v>15</v>
      </c>
      <c r="F224" t="s">
        <v>404</v>
      </c>
      <c r="G224" t="s">
        <v>17666</v>
      </c>
      <c r="H224"/>
      <c r="I224" t="s">
        <v>18</v>
      </c>
      <c r="J224" t="s">
        <v>405</v>
      </c>
      <c r="K224" t="s">
        <v>406</v>
      </c>
      <c r="L224" t="s">
        <v>21</v>
      </c>
      <c r="M224" t="s">
        <v>19177</v>
      </c>
      <c r="N224" t="s">
        <v>6029</v>
      </c>
      <c r="O224" t="s">
        <v>6029</v>
      </c>
      <c r="P224" t="s">
        <v>114</v>
      </c>
    </row>
    <row r="225">
      <c r="A225">
        <f>HYPERLINK("http://bombeiros.sp.gov.br/hidrantes/03individual/26863.html","26863")</f>
      </c>
      <c r="B225" t="s">
        <v>114</v>
      </c>
      <c r="C225" t="s">
        <v>399</v>
      </c>
      <c r="D225" t="s">
        <v>399</v>
      </c>
      <c r="E225" t="s">
        <v>15</v>
      </c>
      <c r="F225" t="s">
        <v>16236</v>
      </c>
      <c r="G225"/>
      <c r="H225"/>
      <c r="I225" t="s">
        <v>1503</v>
      </c>
      <c r="J225" t="s">
        <v>16237</v>
      </c>
      <c r="K225" t="s">
        <v>16238</v>
      </c>
      <c r="L225" t="s">
        <v>21</v>
      </c>
      <c r="M225" t="s">
        <v>19177</v>
      </c>
      <c r="N225" t="s">
        <v>6029</v>
      </c>
      <c r="O225" t="s">
        <v>6029</v>
      </c>
      <c r="P225" t="s">
        <v>114</v>
      </c>
    </row>
    <row r="226">
      <c r="A226">
        <f>HYPERLINK("http://bombeiros.sp.gov.br/hidrantes/03individual/3296.html","3296")</f>
      </c>
      <c r="B226" t="s">
        <v>114</v>
      </c>
      <c r="C226" t="s">
        <v>333</v>
      </c>
      <c r="D226" t="s">
        <v>407</v>
      </c>
      <c r="E226" t="s">
        <v>15</v>
      </c>
      <c r="F226" t="s">
        <v>15425</v>
      </c>
      <c r="G226" t="s">
        <v>15132</v>
      </c>
      <c r="H226"/>
      <c r="I226" t="s">
        <v>1117</v>
      </c>
      <c r="J226" t="s">
        <v>15426</v>
      </c>
      <c r="K226" t="s">
        <v>15427</v>
      </c>
      <c r="L226" t="s">
        <v>21</v>
      </c>
      <c r="M226" t="s">
        <v>19177</v>
      </c>
      <c r="N226" t="s">
        <v>300</v>
      </c>
      <c r="O226" t="s">
        <v>16373</v>
      </c>
      <c r="P226" t="s">
        <v>12</v>
      </c>
    </row>
    <row r="227">
      <c r="A227">
        <f>HYPERLINK("http://bombeiros.sp.gov.br/hidrantes/03individual/1560.html","1560")</f>
      </c>
      <c r="B227" t="s">
        <v>114</v>
      </c>
      <c r="C227" t="s">
        <v>333</v>
      </c>
      <c r="D227" t="s">
        <v>333</v>
      </c>
      <c r="E227" t="s">
        <v>15</v>
      </c>
      <c r="F227" t="s">
        <v>15428</v>
      </c>
      <c r="G227" t="s">
        <v>15069</v>
      </c>
      <c r="H227"/>
      <c r="I227" t="s">
        <v>1117</v>
      </c>
      <c r="J227" t="s">
        <v>15429</v>
      </c>
      <c r="K227" t="s">
        <v>15430</v>
      </c>
      <c r="L227" t="s">
        <v>21</v>
      </c>
      <c r="M227" t="s">
        <v>19177</v>
      </c>
      <c r="N227" t="s">
        <v>300</v>
      </c>
      <c r="O227" t="s">
        <v>16373</v>
      </c>
      <c r="P227" t="s">
        <v>12</v>
      </c>
    </row>
    <row r="228">
      <c r="A228">
        <f>HYPERLINK("http://bombeiros.sp.gov.br/hidrantes/03individual/3099.html","3099")</f>
      </c>
      <c r="B228" t="s">
        <v>114</v>
      </c>
      <c r="C228" t="s">
        <v>333</v>
      </c>
      <c r="D228" t="s">
        <v>333</v>
      </c>
      <c r="E228" t="s">
        <v>15</v>
      </c>
      <c r="F228" t="s">
        <v>15431</v>
      </c>
      <c r="G228" t="s">
        <v>15165</v>
      </c>
      <c r="H228"/>
      <c r="I228" t="s">
        <v>1117</v>
      </c>
      <c r="J228" t="s">
        <v>15432</v>
      </c>
      <c r="K228" t="s">
        <v>15433</v>
      </c>
      <c r="L228" t="s">
        <v>21</v>
      </c>
      <c r="M228" t="s">
        <v>19177</v>
      </c>
      <c r="N228" t="s">
        <v>300</v>
      </c>
      <c r="O228" t="s">
        <v>16373</v>
      </c>
      <c r="P228" t="s">
        <v>12</v>
      </c>
    </row>
    <row r="229">
      <c r="A229">
        <f>HYPERLINK("http://bombeiros.sp.gov.br/hidrantes/03individual/3266.html","3266")</f>
      </c>
      <c r="B229" t="s">
        <v>114</v>
      </c>
      <c r="C229" t="s">
        <v>333</v>
      </c>
      <c r="D229" t="s">
        <v>333</v>
      </c>
      <c r="E229" t="s">
        <v>15</v>
      </c>
      <c r="F229" t="s">
        <v>15434</v>
      </c>
      <c r="G229" t="s">
        <v>15132</v>
      </c>
      <c r="H229"/>
      <c r="I229" t="s">
        <v>1117</v>
      </c>
      <c r="J229" t="s">
        <v>15435</v>
      </c>
      <c r="K229" t="s">
        <v>15436</v>
      </c>
      <c r="L229" t="s">
        <v>21</v>
      </c>
      <c r="M229" t="s">
        <v>19177</v>
      </c>
      <c r="N229" t="s">
        <v>300</v>
      </c>
      <c r="O229" t="s">
        <v>16373</v>
      </c>
      <c r="P229" t="s">
        <v>12</v>
      </c>
    </row>
    <row r="230">
      <c r="A230">
        <f>HYPERLINK("http://bombeiros.sp.gov.br/hidrantes/03individual/3445.html","3445")</f>
      </c>
      <c r="B230" t="s">
        <v>114</v>
      </c>
      <c r="C230" t="s">
        <v>421</v>
      </c>
      <c r="D230" t="s">
        <v>6775</v>
      </c>
      <c r="E230" t="s">
        <v>15</v>
      </c>
      <c r="F230" t="s">
        <v>15437</v>
      </c>
      <c r="G230" t="s">
        <v>15283</v>
      </c>
      <c r="H230"/>
      <c r="I230" t="s">
        <v>1117</v>
      </c>
      <c r="J230" t="s">
        <v>15438</v>
      </c>
      <c r="K230" t="s">
        <v>15439</v>
      </c>
      <c r="L230" t="s">
        <v>21</v>
      </c>
      <c r="M230" t="s">
        <v>19177</v>
      </c>
      <c r="N230" t="s">
        <v>272</v>
      </c>
      <c r="O230" t="s">
        <v>272</v>
      </c>
      <c r="P230" t="s">
        <v>114</v>
      </c>
    </row>
    <row r="231">
      <c r="A231">
        <f>HYPERLINK("http://bombeiros.sp.gov.br/hidrantes/03individual/3472.html","3472")</f>
      </c>
      <c r="B231" t="s">
        <v>114</v>
      </c>
      <c r="C231" t="s">
        <v>421</v>
      </c>
      <c r="D231" t="s">
        <v>422</v>
      </c>
      <c r="E231" t="s">
        <v>15</v>
      </c>
      <c r="F231" t="s">
        <v>423</v>
      </c>
      <c r="G231" t="s">
        <v>18099</v>
      </c>
      <c r="H231"/>
      <c r="I231" t="s">
        <v>18</v>
      </c>
      <c r="J231" t="s">
        <v>424</v>
      </c>
      <c r="K231" t="s">
        <v>425</v>
      </c>
      <c r="L231" t="s">
        <v>21</v>
      </c>
      <c r="M231" t="s">
        <v>19177</v>
      </c>
      <c r="N231" t="s">
        <v>6029</v>
      </c>
      <c r="O231" t="s">
        <v>6029</v>
      </c>
      <c r="P231" t="s">
        <v>114</v>
      </c>
    </row>
    <row r="232">
      <c r="A232">
        <f>HYPERLINK("http://bombeiros.sp.gov.br/hidrantes/03individual/17792.html","17792")</f>
      </c>
      <c r="B232" t="s">
        <v>114</v>
      </c>
      <c r="C232" t="s">
        <v>421</v>
      </c>
      <c r="D232" t="s">
        <v>422</v>
      </c>
      <c r="E232" t="s">
        <v>15</v>
      </c>
      <c r="F232" t="s">
        <v>426</v>
      </c>
      <c r="G232" t="s">
        <v>17264</v>
      </c>
      <c r="H232"/>
      <c r="I232" t="s">
        <v>18</v>
      </c>
      <c r="J232" t="s">
        <v>427</v>
      </c>
      <c r="K232" t="s">
        <v>428</v>
      </c>
      <c r="L232" t="s">
        <v>21</v>
      </c>
      <c r="M232" t="s">
        <v>19177</v>
      </c>
      <c r="N232" t="s">
        <v>6029</v>
      </c>
      <c r="O232" t="s">
        <v>6029</v>
      </c>
      <c r="P232" t="s">
        <v>114</v>
      </c>
    </row>
    <row r="233">
      <c r="A233">
        <f>HYPERLINK("http://bombeiros.sp.gov.br/hidrantes/03individual/3267.html","3267")</f>
      </c>
      <c r="B233" t="s">
        <v>114</v>
      </c>
      <c r="C233" t="s">
        <v>435</v>
      </c>
      <c r="D233" t="s">
        <v>6846</v>
      </c>
      <c r="E233" t="s">
        <v>64</v>
      </c>
      <c r="F233" t="s">
        <v>15440</v>
      </c>
      <c r="G233" t="s">
        <v>15441</v>
      </c>
      <c r="H233"/>
      <c r="I233" t="s">
        <v>18</v>
      </c>
      <c r="J233" t="s">
        <v>15442</v>
      </c>
      <c r="K233" t="s">
        <v>15443</v>
      </c>
      <c r="L233" t="s">
        <v>21</v>
      </c>
      <c r="M233" t="s">
        <v>19177</v>
      </c>
      <c r="N233" t="s">
        <v>16374</v>
      </c>
      <c r="O233" t="s">
        <v>272</v>
      </c>
      <c r="P233" t="s">
        <v>114</v>
      </c>
    </row>
    <row r="234">
      <c r="A234">
        <f>HYPERLINK("http://bombeiros.sp.gov.br/hidrantes/03individual/1774.html","1774")</f>
      </c>
      <c r="B234" t="s">
        <v>114</v>
      </c>
      <c r="C234" t="s">
        <v>435</v>
      </c>
      <c r="D234" t="s">
        <v>6846</v>
      </c>
      <c r="E234" t="s">
        <v>15</v>
      </c>
      <c r="F234" t="s">
        <v>15444</v>
      </c>
      <c r="G234" t="s">
        <v>15255</v>
      </c>
      <c r="H234"/>
      <c r="I234" t="s">
        <v>1117</v>
      </c>
      <c r="J234" t="s">
        <v>15445</v>
      </c>
      <c r="K234" t="s">
        <v>15446</v>
      </c>
      <c r="L234" t="s">
        <v>21</v>
      </c>
      <c r="M234" t="s">
        <v>19177</v>
      </c>
      <c r="N234" t="s">
        <v>16374</v>
      </c>
      <c r="O234" t="s">
        <v>272</v>
      </c>
      <c r="P234" t="s">
        <v>114</v>
      </c>
    </row>
    <row r="235">
      <c r="A235">
        <f>HYPERLINK("http://bombeiros.sp.gov.br/hidrantes/03individual/1616.html","1616")</f>
      </c>
      <c r="B235" t="s">
        <v>114</v>
      </c>
      <c r="C235" t="s">
        <v>435</v>
      </c>
      <c r="D235" t="s">
        <v>435</v>
      </c>
      <c r="E235" t="s">
        <v>15</v>
      </c>
      <c r="F235" t="s">
        <v>15447</v>
      </c>
      <c r="G235" t="s">
        <v>15172</v>
      </c>
      <c r="H235"/>
      <c r="I235" t="s">
        <v>1117</v>
      </c>
      <c r="J235" t="s">
        <v>15448</v>
      </c>
      <c r="K235" t="s">
        <v>15449</v>
      </c>
      <c r="L235" t="s">
        <v>21</v>
      </c>
      <c r="M235" t="s">
        <v>19177</v>
      </c>
      <c r="N235" t="s">
        <v>16374</v>
      </c>
      <c r="O235" t="s">
        <v>272</v>
      </c>
      <c r="P235" t="s">
        <v>114</v>
      </c>
    </row>
    <row r="236">
      <c r="A236">
        <f>HYPERLINK("http://bombeiros.sp.gov.br/hidrantes/03individual/3033.html","3033")</f>
      </c>
      <c r="B236" t="s">
        <v>114</v>
      </c>
      <c r="C236" t="s">
        <v>440</v>
      </c>
      <c r="D236" t="s">
        <v>441</v>
      </c>
      <c r="E236" t="s">
        <v>15</v>
      </c>
      <c r="F236" t="s">
        <v>15450</v>
      </c>
      <c r="G236" t="s">
        <v>15132</v>
      </c>
      <c r="H236"/>
      <c r="I236" t="s">
        <v>1117</v>
      </c>
      <c r="J236" t="s">
        <v>15451</v>
      </c>
      <c r="K236" t="s">
        <v>15452</v>
      </c>
      <c r="L236" t="s">
        <v>21</v>
      </c>
      <c r="M236" t="s">
        <v>19177</v>
      </c>
      <c r="N236" t="s">
        <v>300</v>
      </c>
      <c r="O236" t="s">
        <v>16373</v>
      </c>
      <c r="P236" t="s">
        <v>12</v>
      </c>
    </row>
    <row r="237">
      <c r="A237">
        <f>HYPERLINK("http://bombeiros.sp.gov.br/hidrantes/03individual/3592.html","3592")</f>
      </c>
      <c r="B237" t="s">
        <v>114</v>
      </c>
      <c r="C237" t="s">
        <v>440</v>
      </c>
      <c r="D237" t="s">
        <v>449</v>
      </c>
      <c r="E237" t="s">
        <v>15</v>
      </c>
      <c r="F237" t="s">
        <v>15453</v>
      </c>
      <c r="G237" t="s">
        <v>15069</v>
      </c>
      <c r="H237"/>
      <c r="I237" t="s">
        <v>1117</v>
      </c>
      <c r="J237" t="s">
        <v>15454</v>
      </c>
      <c r="K237" t="s">
        <v>15455</v>
      </c>
      <c r="L237" t="s">
        <v>21</v>
      </c>
      <c r="M237" t="s">
        <v>19177</v>
      </c>
      <c r="N237" t="s">
        <v>300</v>
      </c>
      <c r="O237" t="s">
        <v>16373</v>
      </c>
      <c r="P237" t="s">
        <v>12</v>
      </c>
    </row>
    <row r="238">
      <c r="A238">
        <f>HYPERLINK("http://bombeiros.sp.gov.br/hidrantes/03individual/4172.html","4172")</f>
      </c>
      <c r="B238" t="s">
        <v>114</v>
      </c>
      <c r="C238" t="s">
        <v>440</v>
      </c>
      <c r="D238" t="s">
        <v>449</v>
      </c>
      <c r="E238" t="s">
        <v>15</v>
      </c>
      <c r="F238" t="s">
        <v>7337</v>
      </c>
      <c r="G238" t="s">
        <v>18193</v>
      </c>
      <c r="H238" t="s">
        <v>1121</v>
      </c>
      <c r="I238" t="s">
        <v>1117</v>
      </c>
      <c r="J238" t="s">
        <v>7338</v>
      </c>
      <c r="K238" t="s">
        <v>7339</v>
      </c>
      <c r="L238" t="s">
        <v>21</v>
      </c>
      <c r="M238" t="s">
        <v>19177</v>
      </c>
      <c r="N238" t="s">
        <v>300</v>
      </c>
      <c r="O238" t="s">
        <v>16373</v>
      </c>
      <c r="P238" t="s">
        <v>12</v>
      </c>
    </row>
    <row r="239">
      <c r="A239">
        <f>HYPERLINK("http://bombeiros.sp.gov.br/hidrantes/03individual/10025.html","10025")</f>
      </c>
      <c r="B239" t="s">
        <v>114</v>
      </c>
      <c r="C239" t="s">
        <v>440</v>
      </c>
      <c r="D239" t="s">
        <v>449</v>
      </c>
      <c r="E239" t="s">
        <v>15</v>
      </c>
      <c r="F239" t="s">
        <v>15456</v>
      </c>
      <c r="G239" t="s">
        <v>947</v>
      </c>
      <c r="H239" t="s">
        <v>1174</v>
      </c>
      <c r="I239" t="s">
        <v>1117</v>
      </c>
      <c r="J239" t="s">
        <v>15457</v>
      </c>
      <c r="K239" t="s">
        <v>15458</v>
      </c>
      <c r="L239" t="s">
        <v>21</v>
      </c>
      <c r="M239" t="s">
        <v>19177</v>
      </c>
      <c r="N239" t="s">
        <v>300</v>
      </c>
      <c r="O239" t="s">
        <v>16373</v>
      </c>
      <c r="P239" t="s">
        <v>12</v>
      </c>
    </row>
    <row r="240">
      <c r="A240">
        <f>HYPERLINK("http://bombeiros.sp.gov.br/hidrantes/03individual/17833.html","17833")</f>
      </c>
      <c r="B240" t="s">
        <v>454</v>
      </c>
      <c r="C240" t="s">
        <v>460</v>
      </c>
      <c r="D240" t="s">
        <v>460</v>
      </c>
      <c r="E240" t="s">
        <v>15</v>
      </c>
      <c r="F240" t="s">
        <v>461</v>
      </c>
      <c r="G240" t="s">
        <v>462</v>
      </c>
      <c r="H240"/>
      <c r="I240" t="s">
        <v>18</v>
      </c>
      <c r="J240" t="s">
        <v>463</v>
      </c>
      <c r="K240" t="s">
        <v>464</v>
      </c>
      <c r="L240" t="s">
        <v>21</v>
      </c>
      <c r="M240" t="s">
        <v>19177</v>
      </c>
      <c r="N240" t="s">
        <v>478</v>
      </c>
      <c r="O240" t="s">
        <v>478</v>
      </c>
      <c r="P240" t="s">
        <v>454</v>
      </c>
    </row>
    <row r="241">
      <c r="A241">
        <f>HYPERLINK("http://bombeiros.sp.gov.br/hidrantes/03individual/27388.html","27388")</f>
      </c>
      <c r="B241" t="s">
        <v>454</v>
      </c>
      <c r="C241" t="s">
        <v>460</v>
      </c>
      <c r="D241" t="s">
        <v>460</v>
      </c>
      <c r="E241" t="s">
        <v>15</v>
      </c>
      <c r="F241" t="s">
        <v>17229</v>
      </c>
      <c r="G241" t="s">
        <v>17907</v>
      </c>
      <c r="H241" t="s">
        <v>1121</v>
      </c>
      <c r="I241" t="s">
        <v>1117</v>
      </c>
      <c r="J241" t="s">
        <v>17230</v>
      </c>
      <c r="K241" t="s">
        <v>17231</v>
      </c>
      <c r="L241" t="s">
        <v>21</v>
      </c>
      <c r="M241" t="s">
        <v>19177</v>
      </c>
      <c r="N241" t="s">
        <v>478</v>
      </c>
      <c r="O241" t="s">
        <v>478</v>
      </c>
      <c r="P241" t="s">
        <v>454</v>
      </c>
    </row>
    <row r="242">
      <c r="A242">
        <f>HYPERLINK("http://bombeiros.sp.gov.br/hidrantes/03individual/3493.html","3493")</f>
      </c>
      <c r="B242" t="s">
        <v>454</v>
      </c>
      <c r="C242" t="s">
        <v>460</v>
      </c>
      <c r="D242" t="s">
        <v>7382</v>
      </c>
      <c r="E242" t="s">
        <v>64</v>
      </c>
      <c r="F242" t="s">
        <v>15459</v>
      </c>
      <c r="G242" t="s">
        <v>15018</v>
      </c>
      <c r="H242"/>
      <c r="I242" t="s">
        <v>1117</v>
      </c>
      <c r="J242" t="s">
        <v>15460</v>
      </c>
      <c r="K242" t="s">
        <v>15461</v>
      </c>
      <c r="L242" t="s">
        <v>21</v>
      </c>
      <c r="M242" t="s">
        <v>19177</v>
      </c>
      <c r="N242" t="s">
        <v>478</v>
      </c>
      <c r="O242" t="s">
        <v>478</v>
      </c>
      <c r="P242" t="s">
        <v>454</v>
      </c>
    </row>
    <row r="243">
      <c r="A243">
        <f>HYPERLINK("http://bombeiros.sp.gov.br/hidrantes/03individual/1052.html","1052")</f>
      </c>
      <c r="B243" t="s">
        <v>454</v>
      </c>
      <c r="C243" t="s">
        <v>465</v>
      </c>
      <c r="D243" t="s">
        <v>465</v>
      </c>
      <c r="E243" t="s">
        <v>15</v>
      </c>
      <c r="F243" t="s">
        <v>15462</v>
      </c>
      <c r="G243" t="s">
        <v>15403</v>
      </c>
      <c r="H243"/>
      <c r="I243" t="s">
        <v>1117</v>
      </c>
      <c r="J243" t="s">
        <v>15463</v>
      </c>
      <c r="K243" t="s">
        <v>15464</v>
      </c>
      <c r="L243" t="s">
        <v>21</v>
      </c>
      <c r="M243" t="s">
        <v>19177</v>
      </c>
      <c r="N243" t="s">
        <v>478</v>
      </c>
      <c r="O243" t="s">
        <v>478</v>
      </c>
      <c r="P243" t="s">
        <v>454</v>
      </c>
    </row>
    <row r="244">
      <c r="A244">
        <f>HYPERLINK("http://bombeiros.sp.gov.br/hidrantes/03individual/17916.html","17916")</f>
      </c>
      <c r="B244" t="s">
        <v>454</v>
      </c>
      <c r="C244" t="s">
        <v>469</v>
      </c>
      <c r="D244" t="s">
        <v>469</v>
      </c>
      <c r="E244" t="s">
        <v>15</v>
      </c>
      <c r="F244" t="s">
        <v>470</v>
      </c>
      <c r="G244" t="s">
        <v>17953</v>
      </c>
      <c r="H244"/>
      <c r="I244" t="s">
        <v>18</v>
      </c>
      <c r="J244" t="s">
        <v>471</v>
      </c>
      <c r="K244" t="s">
        <v>472</v>
      </c>
      <c r="L244" t="s">
        <v>21</v>
      </c>
      <c r="M244" t="s">
        <v>19177</v>
      </c>
      <c r="N244" t="s">
        <v>478</v>
      </c>
      <c r="O244" t="s">
        <v>478</v>
      </c>
      <c r="P244" t="s">
        <v>454</v>
      </c>
    </row>
    <row r="245">
      <c r="A245">
        <f>HYPERLINK("http://bombeiros.sp.gov.br/hidrantes/03individual/24121.html","24121")</f>
      </c>
      <c r="B245" t="s">
        <v>454</v>
      </c>
      <c r="C245" t="s">
        <v>469</v>
      </c>
      <c r="D245" t="s">
        <v>469</v>
      </c>
      <c r="E245" t="s">
        <v>15</v>
      </c>
      <c r="F245" t="s">
        <v>7563</v>
      </c>
      <c r="G245" t="s">
        <v>18109</v>
      </c>
      <c r="H245" t="s">
        <v>1121</v>
      </c>
      <c r="I245" t="s">
        <v>1117</v>
      </c>
      <c r="J245" t="s">
        <v>7564</v>
      </c>
      <c r="K245" t="s">
        <v>7565</v>
      </c>
      <c r="L245" t="s">
        <v>21</v>
      </c>
      <c r="M245" t="s">
        <v>19177</v>
      </c>
      <c r="N245" t="s">
        <v>478</v>
      </c>
      <c r="O245" t="s">
        <v>478</v>
      </c>
      <c r="P245" t="s">
        <v>454</v>
      </c>
    </row>
    <row r="246">
      <c r="A246">
        <f>HYPERLINK("http://bombeiros.sp.gov.br/hidrantes/03individual/27107.html","27107")</f>
      </c>
      <c r="B246" t="s">
        <v>454</v>
      </c>
      <c r="C246" t="s">
        <v>469</v>
      </c>
      <c r="D246" t="s">
        <v>469</v>
      </c>
      <c r="E246" t="s">
        <v>15</v>
      </c>
      <c r="F246" t="s">
        <v>16776</v>
      </c>
      <c r="G246" t="s">
        <v>18091</v>
      </c>
      <c r="H246" t="s">
        <v>1121</v>
      </c>
      <c r="I246" t="s">
        <v>1117</v>
      </c>
      <c r="J246" t="s">
        <v>16777</v>
      </c>
      <c r="K246" t="s">
        <v>16778</v>
      </c>
      <c r="L246" t="s">
        <v>21</v>
      </c>
      <c r="M246" t="s">
        <v>19177</v>
      </c>
      <c r="N246" t="s">
        <v>478</v>
      </c>
      <c r="O246" t="s">
        <v>478</v>
      </c>
      <c r="P246" t="s">
        <v>454</v>
      </c>
    </row>
    <row r="247">
      <c r="A247">
        <f>HYPERLINK("http://bombeiros.sp.gov.br/hidrantes/03individual/27108.html","27108")</f>
      </c>
      <c r="B247" t="s">
        <v>454</v>
      </c>
      <c r="C247" t="s">
        <v>469</v>
      </c>
      <c r="D247" t="s">
        <v>469</v>
      </c>
      <c r="E247" t="s">
        <v>15</v>
      </c>
      <c r="F247" t="s">
        <v>16779</v>
      </c>
      <c r="G247" t="s">
        <v>18110</v>
      </c>
      <c r="H247" t="s">
        <v>1121</v>
      </c>
      <c r="I247" t="s">
        <v>1117</v>
      </c>
      <c r="J247" t="s">
        <v>16780</v>
      </c>
      <c r="K247" t="s">
        <v>16781</v>
      </c>
      <c r="L247" t="s">
        <v>21</v>
      </c>
      <c r="M247" t="s">
        <v>19177</v>
      </c>
      <c r="N247" t="s">
        <v>478</v>
      </c>
      <c r="O247" t="s">
        <v>478</v>
      </c>
      <c r="P247" t="s">
        <v>454</v>
      </c>
    </row>
    <row r="248">
      <c r="A248">
        <f>HYPERLINK("http://bombeiros.sp.gov.br/hidrantes/03individual/27109.html","27109")</f>
      </c>
      <c r="B248" t="s">
        <v>454</v>
      </c>
      <c r="C248" t="s">
        <v>469</v>
      </c>
      <c r="D248" t="s">
        <v>469</v>
      </c>
      <c r="E248" t="s">
        <v>15</v>
      </c>
      <c r="F248" t="s">
        <v>16782</v>
      </c>
      <c r="G248" t="s">
        <v>18110</v>
      </c>
      <c r="H248" t="s">
        <v>1121</v>
      </c>
      <c r="I248" t="s">
        <v>1117</v>
      </c>
      <c r="J248" t="s">
        <v>16783</v>
      </c>
      <c r="K248" t="s">
        <v>16784</v>
      </c>
      <c r="L248" t="s">
        <v>21</v>
      </c>
      <c r="M248" t="s">
        <v>19177</v>
      </c>
      <c r="N248" t="s">
        <v>478</v>
      </c>
      <c r="O248" t="s">
        <v>478</v>
      </c>
      <c r="P248" t="s">
        <v>454</v>
      </c>
    </row>
    <row r="249">
      <c r="A249">
        <f>HYPERLINK("http://bombeiros.sp.gov.br/hidrantes/03individual/27165.html","27165")</f>
      </c>
      <c r="B249" t="s">
        <v>454</v>
      </c>
      <c r="C249" t="s">
        <v>469</v>
      </c>
      <c r="D249" t="s">
        <v>469</v>
      </c>
      <c r="E249" t="s">
        <v>15</v>
      </c>
      <c r="F249" t="s">
        <v>16872</v>
      </c>
      <c r="G249" t="s">
        <v>18091</v>
      </c>
      <c r="H249" t="s">
        <v>1121</v>
      </c>
      <c r="I249" t="s">
        <v>1117</v>
      </c>
      <c r="J249" t="s">
        <v>16873</v>
      </c>
      <c r="K249" t="s">
        <v>16874</v>
      </c>
      <c r="L249" t="s">
        <v>21</v>
      </c>
      <c r="M249" t="s">
        <v>19177</v>
      </c>
      <c r="N249" t="s">
        <v>478</v>
      </c>
      <c r="O249" t="s">
        <v>478</v>
      </c>
      <c r="P249" t="s">
        <v>454</v>
      </c>
    </row>
    <row r="250">
      <c r="A250">
        <f>HYPERLINK("http://bombeiros.sp.gov.br/hidrantes/03individual/27166.html","27166")</f>
      </c>
      <c r="B250" t="s">
        <v>454</v>
      </c>
      <c r="C250" t="s">
        <v>469</v>
      </c>
      <c r="D250" t="s">
        <v>469</v>
      </c>
      <c r="E250" t="s">
        <v>15</v>
      </c>
      <c r="F250" t="s">
        <v>16875</v>
      </c>
      <c r="G250" t="s">
        <v>18091</v>
      </c>
      <c r="H250" t="s">
        <v>1121</v>
      </c>
      <c r="I250" t="s">
        <v>1117</v>
      </c>
      <c r="J250" t="s">
        <v>16876</v>
      </c>
      <c r="K250" t="s">
        <v>16877</v>
      </c>
      <c r="L250" t="s">
        <v>21</v>
      </c>
      <c r="M250" t="s">
        <v>19177</v>
      </c>
      <c r="N250" t="s">
        <v>478</v>
      </c>
      <c r="O250" t="s">
        <v>478</v>
      </c>
      <c r="P250" t="s">
        <v>454</v>
      </c>
    </row>
    <row r="251">
      <c r="A251">
        <f>HYPERLINK("http://bombeiros.sp.gov.br/hidrantes/03individual/1233.html","1233")</f>
      </c>
      <c r="B251" t="s">
        <v>454</v>
      </c>
      <c r="C251" t="s">
        <v>469</v>
      </c>
      <c r="D251" t="s">
        <v>473</v>
      </c>
      <c r="E251" t="s">
        <v>15</v>
      </c>
      <c r="F251" t="s">
        <v>15465</v>
      </c>
      <c r="G251" t="s">
        <v>15165</v>
      </c>
      <c r="H251"/>
      <c r="I251" t="s">
        <v>1117</v>
      </c>
      <c r="J251" t="s">
        <v>15466</v>
      </c>
      <c r="K251" t="s">
        <v>15467</v>
      </c>
      <c r="L251" t="s">
        <v>21</v>
      </c>
      <c r="M251" t="s">
        <v>19177</v>
      </c>
      <c r="N251" t="s">
        <v>478</v>
      </c>
      <c r="O251" t="s">
        <v>478</v>
      </c>
      <c r="P251" t="s">
        <v>454</v>
      </c>
    </row>
    <row r="252">
      <c r="A252">
        <f>HYPERLINK("http://bombeiros.sp.gov.br/hidrantes/03individual/27586.html","27586")</f>
      </c>
      <c r="B252" t="s">
        <v>454</v>
      </c>
      <c r="C252" t="s">
        <v>469</v>
      </c>
      <c r="D252" t="s">
        <v>473</v>
      </c>
      <c r="E252" t="s">
        <v>15</v>
      </c>
      <c r="F252" t="s">
        <v>17471</v>
      </c>
      <c r="G252" t="s">
        <v>18068</v>
      </c>
      <c r="H252" t="s">
        <v>1121</v>
      </c>
      <c r="I252" t="s">
        <v>1117</v>
      </c>
      <c r="J252" t="s">
        <v>17472</v>
      </c>
      <c r="K252" t="s">
        <v>17473</v>
      </c>
      <c r="L252" t="s">
        <v>21</v>
      </c>
      <c r="M252" t="s">
        <v>19177</v>
      </c>
      <c r="N252" t="s">
        <v>478</v>
      </c>
      <c r="O252" t="s">
        <v>478</v>
      </c>
      <c r="P252" t="s">
        <v>454</v>
      </c>
    </row>
    <row r="253">
      <c r="A253">
        <f>HYPERLINK("http://bombeiros.sp.gov.br/hidrantes/03individual/942.html","942")</f>
      </c>
      <c r="B253" t="s">
        <v>454</v>
      </c>
      <c r="C253" t="s">
        <v>478</v>
      </c>
      <c r="D253" t="s">
        <v>478</v>
      </c>
      <c r="E253" t="s">
        <v>64</v>
      </c>
      <c r="F253" t="s">
        <v>7620</v>
      </c>
      <c r="G253" t="s">
        <v>18113</v>
      </c>
      <c r="H253"/>
      <c r="I253" t="s">
        <v>18</v>
      </c>
      <c r="J253" t="s">
        <v>18685</v>
      </c>
      <c r="K253" t="s">
        <v>18686</v>
      </c>
      <c r="L253" t="s">
        <v>36</v>
      </c>
      <c r="M253" t="s">
        <v>19177</v>
      </c>
      <c r="N253" t="s">
        <v>478</v>
      </c>
      <c r="O253" t="s">
        <v>478</v>
      </c>
      <c r="P253" t="s">
        <v>454</v>
      </c>
    </row>
    <row r="254">
      <c r="A254">
        <f>HYPERLINK("http://bombeiros.sp.gov.br/hidrantes/03individual/1074.html","1074")</f>
      </c>
      <c r="B254" t="s">
        <v>454</v>
      </c>
      <c r="C254" t="s">
        <v>478</v>
      </c>
      <c r="D254" t="s">
        <v>478</v>
      </c>
      <c r="E254" t="s">
        <v>64</v>
      </c>
      <c r="F254" t="s">
        <v>15468</v>
      </c>
      <c r="G254"/>
      <c r="H254"/>
      <c r="I254" t="s">
        <v>1503</v>
      </c>
      <c r="J254" t="s">
        <v>15469</v>
      </c>
      <c r="K254" t="s">
        <v>15470</v>
      </c>
      <c r="L254" t="s">
        <v>36</v>
      </c>
      <c r="M254" t="s">
        <v>19177</v>
      </c>
      <c r="N254" t="s">
        <v>478</v>
      </c>
      <c r="O254" t="s">
        <v>478</v>
      </c>
      <c r="P254" t="s">
        <v>454</v>
      </c>
    </row>
    <row r="255">
      <c r="A255">
        <f>HYPERLINK("http://bombeiros.sp.gov.br/hidrantes/03individual/26620.html","26620")</f>
      </c>
      <c r="B255" t="s">
        <v>454</v>
      </c>
      <c r="C255" t="s">
        <v>478</v>
      </c>
      <c r="D255" t="s">
        <v>478</v>
      </c>
      <c r="E255" t="s">
        <v>15</v>
      </c>
      <c r="F255" t="s">
        <v>15471</v>
      </c>
      <c r="G255"/>
      <c r="H255"/>
      <c r="I255" t="s">
        <v>1503</v>
      </c>
      <c r="J255" t="s">
        <v>15472</v>
      </c>
      <c r="K255" t="s">
        <v>15473</v>
      </c>
      <c r="L255" t="s">
        <v>21</v>
      </c>
      <c r="M255" t="s">
        <v>19177</v>
      </c>
      <c r="N255" t="s">
        <v>478</v>
      </c>
      <c r="O255" t="s">
        <v>478</v>
      </c>
      <c r="P255" t="s">
        <v>454</v>
      </c>
    </row>
    <row r="256">
      <c r="A256">
        <f>HYPERLINK("http://bombeiros.sp.gov.br/hidrantes/03individual/1166.html","1166")</f>
      </c>
      <c r="B256" t="s">
        <v>454</v>
      </c>
      <c r="C256" t="s">
        <v>478</v>
      </c>
      <c r="D256" t="s">
        <v>483</v>
      </c>
      <c r="E256" t="s">
        <v>15</v>
      </c>
      <c r="F256" t="s">
        <v>487</v>
      </c>
      <c r="G256" t="s">
        <v>18118</v>
      </c>
      <c r="H256" t="s">
        <v>1121</v>
      </c>
      <c r="I256" t="s">
        <v>1117</v>
      </c>
      <c r="J256" t="s">
        <v>488</v>
      </c>
      <c r="K256" t="s">
        <v>489</v>
      </c>
      <c r="L256" t="s">
        <v>21</v>
      </c>
      <c r="M256" t="s">
        <v>19177</v>
      </c>
      <c r="N256" t="s">
        <v>478</v>
      </c>
      <c r="O256" t="s">
        <v>478</v>
      </c>
      <c r="P256" t="s">
        <v>454</v>
      </c>
    </row>
    <row r="257">
      <c r="A257">
        <f>HYPERLINK("http://bombeiros.sp.gov.br/hidrantes/03individual/26628.html","26628")</f>
      </c>
      <c r="B257" t="s">
        <v>454</v>
      </c>
      <c r="C257" t="s">
        <v>478</v>
      </c>
      <c r="D257" t="s">
        <v>483</v>
      </c>
      <c r="E257" t="s">
        <v>15</v>
      </c>
      <c r="F257" t="s">
        <v>15474</v>
      </c>
      <c r="G257"/>
      <c r="H257"/>
      <c r="I257" t="s">
        <v>1503</v>
      </c>
      <c r="J257" t="s">
        <v>15475</v>
      </c>
      <c r="K257" t="s">
        <v>15476</v>
      </c>
      <c r="L257" t="s">
        <v>21</v>
      </c>
      <c r="M257" t="s">
        <v>19177</v>
      </c>
      <c r="N257" t="s">
        <v>478</v>
      </c>
      <c r="O257" t="s">
        <v>478</v>
      </c>
      <c r="P257" t="s">
        <v>454</v>
      </c>
    </row>
    <row r="258">
      <c r="A258">
        <f>HYPERLINK("http://bombeiros.sp.gov.br/hidrantes/03individual/3588.html","3588")</f>
      </c>
      <c r="B258" t="s">
        <v>454</v>
      </c>
      <c r="C258" t="s">
        <v>490</v>
      </c>
      <c r="D258" t="s">
        <v>491</v>
      </c>
      <c r="E258" t="s">
        <v>64</v>
      </c>
      <c r="F258" t="s">
        <v>492</v>
      </c>
      <c r="G258" t="s">
        <v>18076</v>
      </c>
      <c r="H258"/>
      <c r="I258" t="s">
        <v>18</v>
      </c>
      <c r="J258" t="s">
        <v>494</v>
      </c>
      <c r="K258" t="s">
        <v>495</v>
      </c>
      <c r="L258" t="s">
        <v>21</v>
      </c>
      <c r="M258" t="s">
        <v>19177</v>
      </c>
      <c r="N258" t="s">
        <v>531</v>
      </c>
      <c r="O258" t="s">
        <v>531</v>
      </c>
      <c r="P258" t="s">
        <v>454</v>
      </c>
    </row>
    <row r="259">
      <c r="A259">
        <f>HYPERLINK("http://bombeiros.sp.gov.br/hidrantes/03individual/3585.html","3585")</f>
      </c>
      <c r="B259" t="s">
        <v>454</v>
      </c>
      <c r="C259" t="s">
        <v>490</v>
      </c>
      <c r="D259" t="s">
        <v>490</v>
      </c>
      <c r="E259" t="s">
        <v>15</v>
      </c>
      <c r="F259" t="s">
        <v>7775</v>
      </c>
      <c r="G259" t="s">
        <v>15069</v>
      </c>
      <c r="H259"/>
      <c r="I259" t="s">
        <v>1117</v>
      </c>
      <c r="J259" t="s">
        <v>15477</v>
      </c>
      <c r="K259" t="s">
        <v>15478</v>
      </c>
      <c r="L259" t="s">
        <v>21</v>
      </c>
      <c r="M259" t="s">
        <v>19177</v>
      </c>
      <c r="N259" t="s">
        <v>594</v>
      </c>
      <c r="O259" t="s">
        <v>531</v>
      </c>
      <c r="P259" t="s">
        <v>454</v>
      </c>
    </row>
    <row r="260">
      <c r="A260">
        <f>HYPERLINK("http://bombeiros.sp.gov.br/hidrantes/03individual/762.html","762")</f>
      </c>
      <c r="B260" t="s">
        <v>454</v>
      </c>
      <c r="C260" t="s">
        <v>490</v>
      </c>
      <c r="D260" t="s">
        <v>506</v>
      </c>
      <c r="E260" t="s">
        <v>15</v>
      </c>
      <c r="F260" t="s">
        <v>15479</v>
      </c>
      <c r="G260" t="s">
        <v>15172</v>
      </c>
      <c r="H260"/>
      <c r="I260" t="s">
        <v>1117</v>
      </c>
      <c r="J260" t="s">
        <v>15480</v>
      </c>
      <c r="K260" t="s">
        <v>15481</v>
      </c>
      <c r="L260" t="s">
        <v>21</v>
      </c>
      <c r="M260" t="s">
        <v>19177</v>
      </c>
      <c r="N260" t="s">
        <v>594</v>
      </c>
      <c r="O260" t="s">
        <v>531</v>
      </c>
      <c r="P260" t="s">
        <v>454</v>
      </c>
    </row>
    <row r="261">
      <c r="A261">
        <f>HYPERLINK("http://bombeiros.sp.gov.br/hidrantes/03individual/3982.html","3982")</f>
      </c>
      <c r="B261" t="s">
        <v>454</v>
      </c>
      <c r="C261" t="s">
        <v>510</v>
      </c>
      <c r="D261" t="s">
        <v>7847</v>
      </c>
      <c r="E261" t="s">
        <v>64</v>
      </c>
      <c r="F261" t="s">
        <v>15482</v>
      </c>
      <c r="G261" t="s">
        <v>15273</v>
      </c>
      <c r="H261"/>
      <c r="I261" t="s">
        <v>1117</v>
      </c>
      <c r="J261" t="s">
        <v>15483</v>
      </c>
      <c r="K261" t="s">
        <v>15484</v>
      </c>
      <c r="L261" t="s">
        <v>21</v>
      </c>
      <c r="M261" t="s">
        <v>19177</v>
      </c>
      <c r="N261" t="s">
        <v>519</v>
      </c>
      <c r="O261" t="s">
        <v>519</v>
      </c>
      <c r="P261" t="s">
        <v>454</v>
      </c>
    </row>
    <row r="262">
      <c r="A262">
        <f>HYPERLINK("http://bombeiros.sp.gov.br/hidrantes/03individual/17772.html","17772")</f>
      </c>
      <c r="B262" t="s">
        <v>454</v>
      </c>
      <c r="C262" t="s">
        <v>515</v>
      </c>
      <c r="D262" t="s">
        <v>7929</v>
      </c>
      <c r="E262" t="s">
        <v>15</v>
      </c>
      <c r="F262" t="s">
        <v>7969</v>
      </c>
      <c r="G262" t="s">
        <v>18080</v>
      </c>
      <c r="H262"/>
      <c r="I262" t="s">
        <v>18</v>
      </c>
      <c r="J262" t="s">
        <v>7970</v>
      </c>
      <c r="K262" t="s">
        <v>7971</v>
      </c>
      <c r="L262" t="s">
        <v>21</v>
      </c>
      <c r="M262" t="s">
        <v>19177</v>
      </c>
      <c r="N262" t="s">
        <v>478</v>
      </c>
      <c r="O262" t="s">
        <v>478</v>
      </c>
      <c r="P262" t="s">
        <v>454</v>
      </c>
    </row>
    <row r="263">
      <c r="A263">
        <f>HYPERLINK("http://bombeiros.sp.gov.br/hidrantes/03individual/955.html","955")</f>
      </c>
      <c r="B263" t="s">
        <v>454</v>
      </c>
      <c r="C263" t="s">
        <v>515</v>
      </c>
      <c r="D263" t="s">
        <v>515</v>
      </c>
      <c r="E263" t="s">
        <v>15</v>
      </c>
      <c r="F263" t="s">
        <v>15485</v>
      </c>
      <c r="G263" t="s">
        <v>15259</v>
      </c>
      <c r="H263"/>
      <c r="I263" t="s">
        <v>1117</v>
      </c>
      <c r="J263" t="s">
        <v>15486</v>
      </c>
      <c r="K263" t="s">
        <v>15487</v>
      </c>
      <c r="L263" t="s">
        <v>21</v>
      </c>
      <c r="M263" t="s">
        <v>19177</v>
      </c>
      <c r="N263" t="s">
        <v>478</v>
      </c>
      <c r="O263" t="s">
        <v>478</v>
      </c>
      <c r="P263" t="s">
        <v>454</v>
      </c>
    </row>
    <row r="264">
      <c r="A264">
        <f>HYPERLINK("http://bombeiros.sp.gov.br/hidrantes/03individual/1694.html","1694")</f>
      </c>
      <c r="B264" t="s">
        <v>454</v>
      </c>
      <c r="C264" t="s">
        <v>515</v>
      </c>
      <c r="D264" t="s">
        <v>515</v>
      </c>
      <c r="E264" t="s">
        <v>15</v>
      </c>
      <c r="F264" t="s">
        <v>516</v>
      </c>
      <c r="G264" t="s">
        <v>17957</v>
      </c>
      <c r="H264"/>
      <c r="I264" t="s">
        <v>18</v>
      </c>
      <c r="J264" t="s">
        <v>517</v>
      </c>
      <c r="K264" t="s">
        <v>518</v>
      </c>
      <c r="L264" t="s">
        <v>21</v>
      </c>
      <c r="M264" t="s">
        <v>19177</v>
      </c>
      <c r="N264" t="s">
        <v>478</v>
      </c>
      <c r="O264" t="s">
        <v>478</v>
      </c>
      <c r="P264" t="s">
        <v>454</v>
      </c>
    </row>
    <row r="265">
      <c r="A265">
        <f>HYPERLINK("http://bombeiros.sp.gov.br/hidrantes/03individual/27065.html","27065")</f>
      </c>
      <c r="B265" t="s">
        <v>454</v>
      </c>
      <c r="C265" t="s">
        <v>515</v>
      </c>
      <c r="D265" t="s">
        <v>515</v>
      </c>
      <c r="E265" t="s">
        <v>15</v>
      </c>
      <c r="F265" t="s">
        <v>16746</v>
      </c>
      <c r="G265" t="s">
        <v>18091</v>
      </c>
      <c r="H265" t="s">
        <v>1121</v>
      </c>
      <c r="I265" t="s">
        <v>1117</v>
      </c>
      <c r="J265" t="s">
        <v>16747</v>
      </c>
      <c r="K265" t="s">
        <v>16748</v>
      </c>
      <c r="L265" t="s">
        <v>21</v>
      </c>
      <c r="M265" t="s">
        <v>19177</v>
      </c>
      <c r="N265" t="s">
        <v>478</v>
      </c>
      <c r="O265" t="s">
        <v>478</v>
      </c>
      <c r="P265" t="s">
        <v>454</v>
      </c>
    </row>
    <row r="266">
      <c r="A266">
        <f>HYPERLINK("http://bombeiros.sp.gov.br/hidrantes/03individual/997.html","997")</f>
      </c>
      <c r="B266" t="s">
        <v>454</v>
      </c>
      <c r="C266" t="s">
        <v>515</v>
      </c>
      <c r="D266" t="s">
        <v>7975</v>
      </c>
      <c r="E266" t="s">
        <v>15</v>
      </c>
      <c r="F266" t="s">
        <v>15488</v>
      </c>
      <c r="G266" t="s">
        <v>15403</v>
      </c>
      <c r="H266"/>
      <c r="I266" t="s">
        <v>1117</v>
      </c>
      <c r="J266" t="s">
        <v>15489</v>
      </c>
      <c r="K266" t="s">
        <v>15490</v>
      </c>
      <c r="L266" t="s">
        <v>21</v>
      </c>
      <c r="M266" t="s">
        <v>19177</v>
      </c>
      <c r="N266" t="s">
        <v>478</v>
      </c>
      <c r="O266" t="s">
        <v>478</v>
      </c>
      <c r="P266" t="s">
        <v>454</v>
      </c>
    </row>
    <row r="267">
      <c r="A267">
        <f>HYPERLINK("http://bombeiros.sp.gov.br/hidrantes/03individual/1153.html","1153")</f>
      </c>
      <c r="B267" t="s">
        <v>454</v>
      </c>
      <c r="C267" t="s">
        <v>515</v>
      </c>
      <c r="D267" t="s">
        <v>7975</v>
      </c>
      <c r="E267" t="s">
        <v>15</v>
      </c>
      <c r="F267" t="s">
        <v>15491</v>
      </c>
      <c r="G267" t="s">
        <v>15259</v>
      </c>
      <c r="H267"/>
      <c r="I267" t="s">
        <v>1117</v>
      </c>
      <c r="J267" t="s">
        <v>15492</v>
      </c>
      <c r="K267" t="s">
        <v>15493</v>
      </c>
      <c r="L267" t="s">
        <v>21</v>
      </c>
      <c r="M267" t="s">
        <v>19177</v>
      </c>
      <c r="N267" t="s">
        <v>478</v>
      </c>
      <c r="O267" t="s">
        <v>478</v>
      </c>
      <c r="P267" t="s">
        <v>454</v>
      </c>
    </row>
    <row r="268">
      <c r="A268">
        <f>HYPERLINK("http://bombeiros.sp.gov.br/hidrantes/03individual/3604.html","3604")</f>
      </c>
      <c r="B268" t="s">
        <v>454</v>
      </c>
      <c r="C268" t="s">
        <v>8036</v>
      </c>
      <c r="D268" t="s">
        <v>8036</v>
      </c>
      <c r="E268" t="s">
        <v>15</v>
      </c>
      <c r="F268" t="s">
        <v>15494</v>
      </c>
      <c r="G268" t="s">
        <v>9110</v>
      </c>
      <c r="H268"/>
      <c r="I268" t="s">
        <v>1117</v>
      </c>
      <c r="J268" t="s">
        <v>15495</v>
      </c>
      <c r="K268" t="s">
        <v>15496</v>
      </c>
      <c r="L268" t="s">
        <v>21</v>
      </c>
      <c r="M268" t="s">
        <v>19177</v>
      </c>
      <c r="N268" t="s">
        <v>478</v>
      </c>
      <c r="O268" t="s">
        <v>478</v>
      </c>
      <c r="P268" t="s">
        <v>454</v>
      </c>
    </row>
    <row r="269">
      <c r="A269">
        <f>HYPERLINK("http://bombeiros.sp.gov.br/hidrantes/03individual/26906.html","26906")</f>
      </c>
      <c r="B269" t="s">
        <v>454</v>
      </c>
      <c r="C269" t="s">
        <v>8036</v>
      </c>
      <c r="D269" t="s">
        <v>8036</v>
      </c>
      <c r="E269" t="s">
        <v>15</v>
      </c>
      <c r="F269" t="s">
        <v>16360</v>
      </c>
      <c r="G269"/>
      <c r="H269"/>
      <c r="I269" t="s">
        <v>1503</v>
      </c>
      <c r="J269" t="s">
        <v>16361</v>
      </c>
      <c r="K269" t="s">
        <v>16362</v>
      </c>
      <c r="L269" t="s">
        <v>21</v>
      </c>
      <c r="M269" t="s">
        <v>19177</v>
      </c>
      <c r="N269" t="s">
        <v>478</v>
      </c>
      <c r="O269" t="s">
        <v>478</v>
      </c>
      <c r="P269" t="s">
        <v>454</v>
      </c>
    </row>
    <row r="270">
      <c r="A270">
        <f>HYPERLINK("http://bombeiros.sp.gov.br/hidrantes/03individual/27295.html","27295")</f>
      </c>
      <c r="B270" t="s">
        <v>454</v>
      </c>
      <c r="C270" t="s">
        <v>8036</v>
      </c>
      <c r="D270" t="s">
        <v>8036</v>
      </c>
      <c r="E270" t="s">
        <v>15</v>
      </c>
      <c r="F270" t="s">
        <v>17090</v>
      </c>
      <c r="G270" t="s">
        <v>18072</v>
      </c>
      <c r="H270"/>
      <c r="I270" t="s">
        <v>18</v>
      </c>
      <c r="J270" t="s">
        <v>17091</v>
      </c>
      <c r="K270" t="s">
        <v>17092</v>
      </c>
      <c r="L270" t="s">
        <v>21</v>
      </c>
      <c r="M270" t="s">
        <v>19177</v>
      </c>
      <c r="N270" t="s">
        <v>478</v>
      </c>
      <c r="O270" t="s">
        <v>478</v>
      </c>
      <c r="P270" t="s">
        <v>454</v>
      </c>
    </row>
    <row r="271">
      <c r="A271">
        <f>HYPERLINK("http://bombeiros.sp.gov.br/hidrantes/03individual/1188.html","1188")</f>
      </c>
      <c r="B271" t="s">
        <v>454</v>
      </c>
      <c r="C271" t="s">
        <v>8128</v>
      </c>
      <c r="D271" t="s">
        <v>8128</v>
      </c>
      <c r="E271" t="s">
        <v>64</v>
      </c>
      <c r="F271" t="s">
        <v>15497</v>
      </c>
      <c r="G271" t="s">
        <v>15018</v>
      </c>
      <c r="H271"/>
      <c r="I271" t="s">
        <v>1117</v>
      </c>
      <c r="J271" t="s">
        <v>15498</v>
      </c>
      <c r="K271" t="s">
        <v>15499</v>
      </c>
      <c r="L271" t="s">
        <v>21</v>
      </c>
      <c r="M271" t="s">
        <v>19177</v>
      </c>
      <c r="N271" t="s">
        <v>519</v>
      </c>
      <c r="O271" t="s">
        <v>519</v>
      </c>
      <c r="P271" t="s">
        <v>454</v>
      </c>
    </row>
    <row r="272">
      <c r="A272">
        <f>HYPERLINK("http://bombeiros.sp.gov.br/hidrantes/03individual/4184.html","4184")</f>
      </c>
      <c r="B272" t="s">
        <v>454</v>
      </c>
      <c r="C272" t="s">
        <v>8128</v>
      </c>
      <c r="D272" t="s">
        <v>8128</v>
      </c>
      <c r="E272" t="s">
        <v>15</v>
      </c>
      <c r="F272" t="s">
        <v>15500</v>
      </c>
      <c r="G272" t="s">
        <v>15273</v>
      </c>
      <c r="H272"/>
      <c r="I272" t="s">
        <v>1117</v>
      </c>
      <c r="J272" t="s">
        <v>15501</v>
      </c>
      <c r="K272" t="s">
        <v>15502</v>
      </c>
      <c r="L272" t="s">
        <v>21</v>
      </c>
      <c r="M272" t="s">
        <v>19177</v>
      </c>
      <c r="N272" t="s">
        <v>519</v>
      </c>
      <c r="O272" t="s">
        <v>519</v>
      </c>
      <c r="P272" t="s">
        <v>454</v>
      </c>
    </row>
    <row r="273">
      <c r="A273">
        <f>HYPERLINK("http://bombeiros.sp.gov.br/hidrantes/03individual/27253.html","27253")</f>
      </c>
      <c r="B273" t="s">
        <v>454</v>
      </c>
      <c r="C273" t="s">
        <v>8128</v>
      </c>
      <c r="D273" t="s">
        <v>8128</v>
      </c>
      <c r="E273" t="s">
        <v>15</v>
      </c>
      <c r="F273" t="s">
        <v>17006</v>
      </c>
      <c r="G273" t="s">
        <v>17163</v>
      </c>
      <c r="H273" t="s">
        <v>1121</v>
      </c>
      <c r="I273" t="s">
        <v>1117</v>
      </c>
      <c r="J273" t="s">
        <v>17007</v>
      </c>
      <c r="K273" t="s">
        <v>17008</v>
      </c>
      <c r="L273" t="s">
        <v>21</v>
      </c>
      <c r="M273" t="s">
        <v>19177</v>
      </c>
      <c r="N273" t="s">
        <v>519</v>
      </c>
      <c r="O273" t="s">
        <v>519</v>
      </c>
      <c r="P273" t="s">
        <v>454</v>
      </c>
    </row>
    <row r="274">
      <c r="A274">
        <f>HYPERLINK("http://bombeiros.sp.gov.br/hidrantes/03individual/1038.html","1038")</f>
      </c>
      <c r="B274" t="s">
        <v>454</v>
      </c>
      <c r="C274" t="s">
        <v>519</v>
      </c>
      <c r="D274" t="s">
        <v>527</v>
      </c>
      <c r="E274" t="s">
        <v>15</v>
      </c>
      <c r="F274" t="s">
        <v>8231</v>
      </c>
      <c r="G274" t="s">
        <v>18107</v>
      </c>
      <c r="H274" t="s">
        <v>1121</v>
      </c>
      <c r="I274" t="s">
        <v>1117</v>
      </c>
      <c r="J274" t="s">
        <v>19052</v>
      </c>
      <c r="K274" t="s">
        <v>19053</v>
      </c>
      <c r="L274" t="s">
        <v>21</v>
      </c>
      <c r="M274" t="s">
        <v>19177</v>
      </c>
      <c r="N274" t="s">
        <v>478</v>
      </c>
      <c r="O274" t="s">
        <v>478</v>
      </c>
      <c r="P274" t="s">
        <v>454</v>
      </c>
    </row>
    <row r="275">
      <c r="A275">
        <f>HYPERLINK("http://bombeiros.sp.gov.br/hidrantes/03individual/1260.html","1260")</f>
      </c>
      <c r="B275" t="s">
        <v>454</v>
      </c>
      <c r="C275" t="s">
        <v>519</v>
      </c>
      <c r="D275" t="s">
        <v>527</v>
      </c>
      <c r="E275" t="s">
        <v>15</v>
      </c>
      <c r="F275" t="s">
        <v>15503</v>
      </c>
      <c r="G275" t="s">
        <v>15165</v>
      </c>
      <c r="H275"/>
      <c r="I275" t="s">
        <v>1117</v>
      </c>
      <c r="J275" t="s">
        <v>15504</v>
      </c>
      <c r="K275" t="s">
        <v>15505</v>
      </c>
      <c r="L275" t="s">
        <v>21</v>
      </c>
      <c r="M275" t="s">
        <v>19177</v>
      </c>
      <c r="N275" t="s">
        <v>519</v>
      </c>
      <c r="O275" t="s">
        <v>519</v>
      </c>
      <c r="P275" t="s">
        <v>454</v>
      </c>
    </row>
    <row r="276">
      <c r="A276">
        <f>HYPERLINK("http://bombeiros.sp.gov.br/hidrantes/03individual/4028.html","4028")</f>
      </c>
      <c r="B276" t="s">
        <v>454</v>
      </c>
      <c r="C276" t="s">
        <v>519</v>
      </c>
      <c r="D276" t="s">
        <v>527</v>
      </c>
      <c r="E276" t="s">
        <v>15</v>
      </c>
      <c r="F276" t="s">
        <v>8273</v>
      </c>
      <c r="G276" t="s">
        <v>18107</v>
      </c>
      <c r="H276" t="s">
        <v>1121</v>
      </c>
      <c r="I276" t="s">
        <v>1117</v>
      </c>
      <c r="J276" t="s">
        <v>8274</v>
      </c>
      <c r="K276" t="s">
        <v>8275</v>
      </c>
      <c r="L276" t="s">
        <v>21</v>
      </c>
      <c r="M276" t="s">
        <v>19177</v>
      </c>
      <c r="N276" t="s">
        <v>478</v>
      </c>
      <c r="O276" t="s">
        <v>478</v>
      </c>
      <c r="P276" t="s">
        <v>454</v>
      </c>
    </row>
    <row r="277">
      <c r="A277">
        <f>HYPERLINK("http://bombeiros.sp.gov.br/hidrantes/03individual/4040.html","4040")</f>
      </c>
      <c r="B277" t="s">
        <v>454</v>
      </c>
      <c r="C277" t="s">
        <v>519</v>
      </c>
      <c r="D277" t="s">
        <v>527</v>
      </c>
      <c r="E277" t="s">
        <v>15</v>
      </c>
      <c r="F277" t="s">
        <v>8279</v>
      </c>
      <c r="G277" t="s">
        <v>18089</v>
      </c>
      <c r="H277" t="s">
        <v>1121</v>
      </c>
      <c r="I277" t="s">
        <v>1117</v>
      </c>
      <c r="J277" t="s">
        <v>8280</v>
      </c>
      <c r="K277" t="s">
        <v>8281</v>
      </c>
      <c r="L277" t="s">
        <v>21</v>
      </c>
      <c r="M277" t="s">
        <v>19177</v>
      </c>
      <c r="N277" t="s">
        <v>478</v>
      </c>
      <c r="O277" t="s">
        <v>478</v>
      </c>
      <c r="P277" t="s">
        <v>454</v>
      </c>
    </row>
    <row r="278">
      <c r="A278">
        <f>HYPERLINK("http://bombeiros.sp.gov.br/hidrantes/03individual/4083.html","4083")</f>
      </c>
      <c r="B278" t="s">
        <v>454</v>
      </c>
      <c r="C278" t="s">
        <v>519</v>
      </c>
      <c r="D278" t="s">
        <v>527</v>
      </c>
      <c r="E278" t="s">
        <v>15</v>
      </c>
      <c r="F278" t="s">
        <v>15506</v>
      </c>
      <c r="G278" t="s">
        <v>15165</v>
      </c>
      <c r="H278"/>
      <c r="I278" t="s">
        <v>1117</v>
      </c>
      <c r="J278" t="s">
        <v>15507</v>
      </c>
      <c r="K278" t="s">
        <v>15508</v>
      </c>
      <c r="L278" t="s">
        <v>21</v>
      </c>
      <c r="M278" t="s">
        <v>19177</v>
      </c>
      <c r="N278" t="s">
        <v>519</v>
      </c>
      <c r="O278" t="s">
        <v>519</v>
      </c>
      <c r="P278" t="s">
        <v>454</v>
      </c>
    </row>
    <row r="279">
      <c r="A279">
        <f>HYPERLINK("http://bombeiros.sp.gov.br/hidrantes/03individual/24153.html","24153")</f>
      </c>
      <c r="B279" t="s">
        <v>454</v>
      </c>
      <c r="C279" t="s">
        <v>531</v>
      </c>
      <c r="D279" t="s">
        <v>532</v>
      </c>
      <c r="E279" t="s">
        <v>15</v>
      </c>
      <c r="F279" t="s">
        <v>545</v>
      </c>
      <c r="G279" t="s">
        <v>18043</v>
      </c>
      <c r="H279"/>
      <c r="I279" t="s">
        <v>18</v>
      </c>
      <c r="J279" t="s">
        <v>547</v>
      </c>
      <c r="K279" t="s">
        <v>548</v>
      </c>
      <c r="L279" t="s">
        <v>21</v>
      </c>
      <c r="M279" t="s">
        <v>19177</v>
      </c>
      <c r="N279" t="s">
        <v>531</v>
      </c>
      <c r="O279" t="s">
        <v>531</v>
      </c>
      <c r="P279" t="s">
        <v>454</v>
      </c>
    </row>
    <row r="280">
      <c r="A280">
        <f>HYPERLINK("http://bombeiros.sp.gov.br/hidrantes/03individual/2610.html","2610")</f>
      </c>
      <c r="B280" t="s">
        <v>454</v>
      </c>
      <c r="C280" t="s">
        <v>531</v>
      </c>
      <c r="D280" t="s">
        <v>8378</v>
      </c>
      <c r="E280" t="s">
        <v>15</v>
      </c>
      <c r="F280" t="s">
        <v>15509</v>
      </c>
      <c r="G280" t="s">
        <v>15283</v>
      </c>
      <c r="H280"/>
      <c r="I280" t="s">
        <v>1117</v>
      </c>
      <c r="J280" t="s">
        <v>15510</v>
      </c>
      <c r="K280" t="s">
        <v>15511</v>
      </c>
      <c r="L280" t="s">
        <v>36</v>
      </c>
      <c r="M280" t="s">
        <v>19177</v>
      </c>
      <c r="N280" t="s">
        <v>531</v>
      </c>
      <c r="O280" t="s">
        <v>531</v>
      </c>
      <c r="P280" t="s">
        <v>454</v>
      </c>
    </row>
    <row r="281">
      <c r="A281">
        <f>HYPERLINK("http://bombeiros.sp.gov.br/hidrantes/03individual/26826.html","26826")</f>
      </c>
      <c r="B281" t="s">
        <v>454</v>
      </c>
      <c r="C281" t="s">
        <v>531</v>
      </c>
      <c r="D281" t="s">
        <v>8378</v>
      </c>
      <c r="E281" t="s">
        <v>15</v>
      </c>
      <c r="F281" t="s">
        <v>16106</v>
      </c>
      <c r="G281"/>
      <c r="H281"/>
      <c r="I281" t="s">
        <v>1503</v>
      </c>
      <c r="J281" t="s">
        <v>16107</v>
      </c>
      <c r="K281" t="s">
        <v>16108</v>
      </c>
      <c r="L281" t="s">
        <v>21</v>
      </c>
      <c r="M281" t="s">
        <v>19177</v>
      </c>
      <c r="N281" t="s">
        <v>531</v>
      </c>
      <c r="O281" t="s">
        <v>531</v>
      </c>
      <c r="P281" t="s">
        <v>454</v>
      </c>
    </row>
    <row r="282">
      <c r="A282">
        <f>HYPERLINK("http://bombeiros.sp.gov.br/hidrantes/03individual/26827.html","26827")</f>
      </c>
      <c r="B282" t="s">
        <v>454</v>
      </c>
      <c r="C282" t="s">
        <v>531</v>
      </c>
      <c r="D282" t="s">
        <v>8378</v>
      </c>
      <c r="E282" t="s">
        <v>15</v>
      </c>
      <c r="F282" t="s">
        <v>16109</v>
      </c>
      <c r="G282"/>
      <c r="H282"/>
      <c r="I282" t="s">
        <v>1503</v>
      </c>
      <c r="J282" t="s">
        <v>16110</v>
      </c>
      <c r="K282" t="s">
        <v>16111</v>
      </c>
      <c r="L282" t="s">
        <v>21</v>
      </c>
      <c r="M282" t="s">
        <v>19177</v>
      </c>
      <c r="N282" t="s">
        <v>531</v>
      </c>
      <c r="O282" t="s">
        <v>531</v>
      </c>
      <c r="P282" t="s">
        <v>454</v>
      </c>
    </row>
    <row r="283">
      <c r="A283">
        <f>HYPERLINK("http://bombeiros.sp.gov.br/hidrantes/03individual/26828.html","26828")</f>
      </c>
      <c r="B283" t="s">
        <v>454</v>
      </c>
      <c r="C283" t="s">
        <v>531</v>
      </c>
      <c r="D283" t="s">
        <v>8378</v>
      </c>
      <c r="E283" t="s">
        <v>15</v>
      </c>
      <c r="F283" t="s">
        <v>16112</v>
      </c>
      <c r="G283"/>
      <c r="H283"/>
      <c r="I283" t="s">
        <v>1503</v>
      </c>
      <c r="J283" t="s">
        <v>16113</v>
      </c>
      <c r="K283" t="s">
        <v>16114</v>
      </c>
      <c r="L283" t="s">
        <v>21</v>
      </c>
      <c r="M283" t="s">
        <v>19177</v>
      </c>
      <c r="N283" t="s">
        <v>531</v>
      </c>
      <c r="O283" t="s">
        <v>531</v>
      </c>
      <c r="P283" t="s">
        <v>454</v>
      </c>
    </row>
    <row r="284">
      <c r="A284">
        <f>HYPERLINK("http://bombeiros.sp.gov.br/hidrantes/03individual/26909.html","26909")</f>
      </c>
      <c r="B284" t="s">
        <v>454</v>
      </c>
      <c r="C284" t="s">
        <v>531</v>
      </c>
      <c r="D284" t="s">
        <v>549</v>
      </c>
      <c r="E284"/>
      <c r="F284" t="s">
        <v>16364</v>
      </c>
      <c r="G284" t="s">
        <v>18043</v>
      </c>
      <c r="H284"/>
      <c r="I284" t="s">
        <v>18</v>
      </c>
      <c r="J284" t="s">
        <v>16365</v>
      </c>
      <c r="K284" t="s">
        <v>16366</v>
      </c>
      <c r="L284" t="s">
        <v>21</v>
      </c>
      <c r="M284" t="s">
        <v>19177</v>
      </c>
      <c r="N284" t="s">
        <v>531</v>
      </c>
      <c r="O284" t="s">
        <v>531</v>
      </c>
      <c r="P284" t="s">
        <v>454</v>
      </c>
    </row>
    <row r="285">
      <c r="A285">
        <f>HYPERLINK("http://bombeiros.sp.gov.br/hidrantes/03individual/3561.html","3561")</f>
      </c>
      <c r="B285" t="s">
        <v>454</v>
      </c>
      <c r="C285" t="s">
        <v>531</v>
      </c>
      <c r="D285" t="s">
        <v>549</v>
      </c>
      <c r="E285" t="s">
        <v>64</v>
      </c>
      <c r="F285" t="s">
        <v>15512</v>
      </c>
      <c r="G285" t="s">
        <v>15513</v>
      </c>
      <c r="H285"/>
      <c r="I285" t="s">
        <v>1117</v>
      </c>
      <c r="J285" t="s">
        <v>15514</v>
      </c>
      <c r="K285" t="s">
        <v>15515</v>
      </c>
      <c r="L285" t="s">
        <v>36</v>
      </c>
      <c r="M285" t="s">
        <v>19177</v>
      </c>
      <c r="N285" t="s">
        <v>531</v>
      </c>
      <c r="O285" t="s">
        <v>531</v>
      </c>
      <c r="P285" t="s">
        <v>454</v>
      </c>
    </row>
    <row r="286">
      <c r="A286">
        <f>HYPERLINK("http://bombeiros.sp.gov.br/hidrantes/03individual/9999.html","9999")</f>
      </c>
      <c r="B286" t="s">
        <v>454</v>
      </c>
      <c r="C286" t="s">
        <v>531</v>
      </c>
      <c r="D286" t="s">
        <v>531</v>
      </c>
      <c r="E286" t="s">
        <v>15</v>
      </c>
      <c r="F286" t="s">
        <v>15516</v>
      </c>
      <c r="G286" t="s">
        <v>15517</v>
      </c>
      <c r="H286"/>
      <c r="I286" t="s">
        <v>18</v>
      </c>
      <c r="J286" t="s">
        <v>15518</v>
      </c>
      <c r="K286" t="s">
        <v>15519</v>
      </c>
      <c r="L286" t="s">
        <v>36</v>
      </c>
      <c r="M286" t="s">
        <v>19177</v>
      </c>
      <c r="N286" t="s">
        <v>531</v>
      </c>
      <c r="O286" t="s">
        <v>531</v>
      </c>
      <c r="P286" t="s">
        <v>454</v>
      </c>
    </row>
    <row r="287">
      <c r="A287">
        <f>HYPERLINK("http://bombeiros.sp.gov.br/hidrantes/03individual/979.html","979")</f>
      </c>
      <c r="B287" t="s">
        <v>454</v>
      </c>
      <c r="C287" t="s">
        <v>560</v>
      </c>
      <c r="D287" t="s">
        <v>8587</v>
      </c>
      <c r="E287" t="s">
        <v>15</v>
      </c>
      <c r="F287" t="s">
        <v>15520</v>
      </c>
      <c r="G287" t="s">
        <v>15100</v>
      </c>
      <c r="H287"/>
      <c r="I287" t="s">
        <v>1117</v>
      </c>
      <c r="J287" t="s">
        <v>15521</v>
      </c>
      <c r="K287" t="s">
        <v>15522</v>
      </c>
      <c r="L287" t="s">
        <v>21</v>
      </c>
      <c r="M287" t="s">
        <v>19177</v>
      </c>
      <c r="N287" t="s">
        <v>519</v>
      </c>
      <c r="O287" t="s">
        <v>519</v>
      </c>
      <c r="P287" t="s">
        <v>454</v>
      </c>
    </row>
    <row r="288">
      <c r="A288">
        <f>HYPERLINK("http://bombeiros.sp.gov.br/hidrantes/03individual/4092.html","4092")</f>
      </c>
      <c r="B288" t="s">
        <v>454</v>
      </c>
      <c r="C288" t="s">
        <v>560</v>
      </c>
      <c r="D288" t="s">
        <v>560</v>
      </c>
      <c r="E288" t="s">
        <v>15</v>
      </c>
      <c r="F288" t="s">
        <v>8700</v>
      </c>
      <c r="G288" t="s">
        <v>18130</v>
      </c>
      <c r="H288" t="s">
        <v>1121</v>
      </c>
      <c r="I288" t="s">
        <v>1117</v>
      </c>
      <c r="J288" t="s">
        <v>8701</v>
      </c>
      <c r="K288" t="s">
        <v>8702</v>
      </c>
      <c r="L288" t="s">
        <v>36</v>
      </c>
      <c r="M288" t="s">
        <v>19177</v>
      </c>
      <c r="N288" t="s">
        <v>519</v>
      </c>
      <c r="O288" t="s">
        <v>519</v>
      </c>
      <c r="P288" t="s">
        <v>454</v>
      </c>
    </row>
    <row r="289">
      <c r="A289">
        <f>HYPERLINK("http://bombeiros.sp.gov.br/hidrantes/03individual/17832.html","17832")</f>
      </c>
      <c r="B289" t="s">
        <v>454</v>
      </c>
      <c r="C289" t="s">
        <v>560</v>
      </c>
      <c r="D289" t="s">
        <v>560</v>
      </c>
      <c r="E289" t="s">
        <v>15</v>
      </c>
      <c r="F289" t="s">
        <v>561</v>
      </c>
      <c r="G289" t="s">
        <v>18257</v>
      </c>
      <c r="H289" t="s">
        <v>1121</v>
      </c>
      <c r="I289" t="s">
        <v>1117</v>
      </c>
      <c r="J289" t="s">
        <v>563</v>
      </c>
      <c r="K289" t="s">
        <v>564</v>
      </c>
      <c r="L289" t="s">
        <v>21</v>
      </c>
      <c r="M289" t="s">
        <v>19177</v>
      </c>
      <c r="N289" t="s">
        <v>519</v>
      </c>
      <c r="O289" t="s">
        <v>519</v>
      </c>
      <c r="P289" t="s">
        <v>454</v>
      </c>
    </row>
    <row r="290">
      <c r="A290">
        <f>HYPERLINK("http://bombeiros.sp.gov.br/hidrantes/03individual/3519.html","3519")</f>
      </c>
      <c r="B290" t="s">
        <v>454</v>
      </c>
      <c r="C290" t="s">
        <v>565</v>
      </c>
      <c r="D290" t="s">
        <v>566</v>
      </c>
      <c r="E290" t="s">
        <v>64</v>
      </c>
      <c r="F290" t="s">
        <v>15523</v>
      </c>
      <c r="G290" t="s">
        <v>15273</v>
      </c>
      <c r="H290"/>
      <c r="I290" t="s">
        <v>1117</v>
      </c>
      <c r="J290" t="s">
        <v>15524</v>
      </c>
      <c r="K290" t="s">
        <v>15525</v>
      </c>
      <c r="L290" t="s">
        <v>36</v>
      </c>
      <c r="M290" t="s">
        <v>19177</v>
      </c>
      <c r="N290" t="s">
        <v>531</v>
      </c>
      <c r="O290" t="s">
        <v>531</v>
      </c>
      <c r="P290" t="s">
        <v>454</v>
      </c>
    </row>
    <row r="291">
      <c r="A291">
        <f>HYPERLINK("http://bombeiros.sp.gov.br/hidrantes/03individual/1076.html","1076")</f>
      </c>
      <c r="B291" t="s">
        <v>454</v>
      </c>
      <c r="C291" t="s">
        <v>565</v>
      </c>
      <c r="D291" t="s">
        <v>8774</v>
      </c>
      <c r="E291" t="s">
        <v>15</v>
      </c>
      <c r="F291" t="s">
        <v>15526</v>
      </c>
      <c r="G291" t="s">
        <v>15259</v>
      </c>
      <c r="H291"/>
      <c r="I291" t="s">
        <v>1117</v>
      </c>
      <c r="J291" t="s">
        <v>15527</v>
      </c>
      <c r="K291" t="s">
        <v>15528</v>
      </c>
      <c r="L291" t="s">
        <v>21</v>
      </c>
      <c r="M291" t="s">
        <v>19177</v>
      </c>
      <c r="N291" t="s">
        <v>531</v>
      </c>
      <c r="O291" t="s">
        <v>531</v>
      </c>
      <c r="P291" t="s">
        <v>454</v>
      </c>
    </row>
    <row r="292">
      <c r="A292">
        <f>HYPERLINK("http://bombeiros.sp.gov.br/hidrantes/03individual/1279.html","1279")</f>
      </c>
      <c r="B292" t="s">
        <v>454</v>
      </c>
      <c r="C292" t="s">
        <v>565</v>
      </c>
      <c r="D292" t="s">
        <v>8774</v>
      </c>
      <c r="E292" t="s">
        <v>15</v>
      </c>
      <c r="F292" t="s">
        <v>15529</v>
      </c>
      <c r="G292" t="s">
        <v>15259</v>
      </c>
      <c r="H292"/>
      <c r="I292" t="s">
        <v>1117</v>
      </c>
      <c r="J292" t="s">
        <v>15530</v>
      </c>
      <c r="K292" t="s">
        <v>15531</v>
      </c>
      <c r="L292" t="s">
        <v>21</v>
      </c>
      <c r="M292" t="s">
        <v>19177</v>
      </c>
      <c r="N292" t="s">
        <v>531</v>
      </c>
      <c r="O292" t="s">
        <v>531</v>
      </c>
      <c r="P292" t="s">
        <v>454</v>
      </c>
    </row>
    <row r="293">
      <c r="A293">
        <f>HYPERLINK("http://bombeiros.sp.gov.br/hidrantes/03individual/3591.html","3591")</f>
      </c>
      <c r="B293" t="s">
        <v>454</v>
      </c>
      <c r="C293" t="s">
        <v>565</v>
      </c>
      <c r="D293" t="s">
        <v>565</v>
      </c>
      <c r="E293" t="s">
        <v>64</v>
      </c>
      <c r="F293" t="s">
        <v>15532</v>
      </c>
      <c r="G293" t="s">
        <v>15533</v>
      </c>
      <c r="H293"/>
      <c r="I293" t="s">
        <v>18</v>
      </c>
      <c r="J293" t="s">
        <v>15534</v>
      </c>
      <c r="K293" t="s">
        <v>15535</v>
      </c>
      <c r="L293" t="s">
        <v>36</v>
      </c>
      <c r="M293" t="s">
        <v>19177</v>
      </c>
      <c r="N293" t="s">
        <v>531</v>
      </c>
      <c r="O293" t="s">
        <v>531</v>
      </c>
      <c r="P293" t="s">
        <v>454</v>
      </c>
    </row>
    <row r="294">
      <c r="A294">
        <f>HYPERLINK("http://bombeiros.sp.gov.br/hidrantes/03individual/1184.html","1184")</f>
      </c>
      <c r="B294" t="s">
        <v>454</v>
      </c>
      <c r="C294" t="s">
        <v>565</v>
      </c>
      <c r="D294" t="s">
        <v>565</v>
      </c>
      <c r="E294" t="s">
        <v>15</v>
      </c>
      <c r="F294" t="s">
        <v>8793</v>
      </c>
      <c r="G294" t="s">
        <v>17259</v>
      </c>
      <c r="H294"/>
      <c r="I294" t="s">
        <v>18</v>
      </c>
      <c r="J294" t="s">
        <v>8794</v>
      </c>
      <c r="K294" t="s">
        <v>8795</v>
      </c>
      <c r="L294" t="s">
        <v>21</v>
      </c>
      <c r="M294" t="s">
        <v>19177</v>
      </c>
      <c r="N294" t="s">
        <v>478</v>
      </c>
      <c r="O294" t="s">
        <v>478</v>
      </c>
      <c r="P294" t="s">
        <v>454</v>
      </c>
    </row>
    <row r="295">
      <c r="A295">
        <f>HYPERLINK("http://bombeiros.sp.gov.br/hidrantes/03individual/4439.html","4439")</f>
      </c>
      <c r="B295" t="s">
        <v>454</v>
      </c>
      <c r="C295" t="s">
        <v>570</v>
      </c>
      <c r="D295" t="s">
        <v>571</v>
      </c>
      <c r="E295" t="s">
        <v>15</v>
      </c>
      <c r="F295" t="s">
        <v>8862</v>
      </c>
      <c r="G295" t="s">
        <v>17906</v>
      </c>
      <c r="H295" t="s">
        <v>1121</v>
      </c>
      <c r="I295" t="s">
        <v>1108</v>
      </c>
      <c r="J295" t="s">
        <v>8863</v>
      </c>
      <c r="K295" t="s">
        <v>8864</v>
      </c>
      <c r="L295" t="s">
        <v>21</v>
      </c>
      <c r="M295" t="s">
        <v>19177</v>
      </c>
      <c r="N295" t="s">
        <v>531</v>
      </c>
      <c r="O295" t="s">
        <v>531</v>
      </c>
      <c r="P295" t="s">
        <v>454</v>
      </c>
    </row>
    <row r="296">
      <c r="A296">
        <f>HYPERLINK("http://bombeiros.sp.gov.br/hidrantes/03individual/28140.html","28140")</f>
      </c>
      <c r="B296" t="s">
        <v>454</v>
      </c>
      <c r="C296" t="s">
        <v>570</v>
      </c>
      <c r="D296" t="s">
        <v>571</v>
      </c>
      <c r="E296" t="s">
        <v>15</v>
      </c>
      <c r="F296" t="s">
        <v>18416</v>
      </c>
      <c r="G296"/>
      <c r="H296"/>
      <c r="I296" t="s">
        <v>1503</v>
      </c>
      <c r="J296" t="s">
        <v>18417</v>
      </c>
      <c r="K296" t="s">
        <v>18418</v>
      </c>
      <c r="L296" t="s">
        <v>21</v>
      </c>
      <c r="M296" t="s">
        <v>19177</v>
      </c>
      <c r="N296" t="s">
        <v>531</v>
      </c>
      <c r="O296" t="s">
        <v>531</v>
      </c>
      <c r="P296" t="s">
        <v>454</v>
      </c>
    </row>
    <row r="297">
      <c r="A297">
        <f>HYPERLINK("http://bombeiros.sp.gov.br/hidrantes/03individual/3530.html","3530")</f>
      </c>
      <c r="B297" t="s">
        <v>454</v>
      </c>
      <c r="C297" t="s">
        <v>570</v>
      </c>
      <c r="D297" t="s">
        <v>570</v>
      </c>
      <c r="E297" t="s">
        <v>15</v>
      </c>
      <c r="F297" t="s">
        <v>15536</v>
      </c>
      <c r="G297" t="s">
        <v>9110</v>
      </c>
      <c r="H297"/>
      <c r="I297" t="s">
        <v>1117</v>
      </c>
      <c r="J297" t="s">
        <v>15537</v>
      </c>
      <c r="K297" t="s">
        <v>15538</v>
      </c>
      <c r="L297" t="s">
        <v>36</v>
      </c>
      <c r="M297" t="s">
        <v>19177</v>
      </c>
      <c r="N297" t="s">
        <v>531</v>
      </c>
      <c r="O297" t="s">
        <v>531</v>
      </c>
      <c r="P297" t="s">
        <v>454</v>
      </c>
    </row>
    <row r="298">
      <c r="A298">
        <f>HYPERLINK("http://bombeiros.sp.gov.br/hidrantes/03individual/728.html","728")</f>
      </c>
      <c r="B298" t="s">
        <v>454</v>
      </c>
      <c r="C298" t="s">
        <v>570</v>
      </c>
      <c r="D298" t="s">
        <v>581</v>
      </c>
      <c r="E298" t="s">
        <v>15</v>
      </c>
      <c r="F298" t="s">
        <v>582</v>
      </c>
      <c r="G298" t="s">
        <v>17906</v>
      </c>
      <c r="H298" t="s">
        <v>1121</v>
      </c>
      <c r="I298" t="s">
        <v>1117</v>
      </c>
      <c r="J298" t="s">
        <v>583</v>
      </c>
      <c r="K298" t="s">
        <v>584</v>
      </c>
      <c r="L298" t="s">
        <v>21</v>
      </c>
      <c r="M298" t="s">
        <v>19177</v>
      </c>
      <c r="N298" t="s">
        <v>531</v>
      </c>
      <c r="O298" t="s">
        <v>531</v>
      </c>
      <c r="P298" t="s">
        <v>454</v>
      </c>
    </row>
    <row r="299">
      <c r="A299">
        <f>HYPERLINK("http://bombeiros.sp.gov.br/hidrantes/03individual/26627.html","26627")</f>
      </c>
      <c r="B299" t="s">
        <v>454</v>
      </c>
      <c r="C299" t="s">
        <v>570</v>
      </c>
      <c r="D299" t="s">
        <v>581</v>
      </c>
      <c r="E299" t="s">
        <v>15</v>
      </c>
      <c r="F299" t="s">
        <v>15539</v>
      </c>
      <c r="G299"/>
      <c r="H299"/>
      <c r="I299" t="s">
        <v>1503</v>
      </c>
      <c r="J299" t="s">
        <v>15540</v>
      </c>
      <c r="K299" t="s">
        <v>15541</v>
      </c>
      <c r="L299" t="s">
        <v>21</v>
      </c>
      <c r="M299" t="s">
        <v>19177</v>
      </c>
      <c r="N299" t="s">
        <v>531</v>
      </c>
      <c r="O299" t="s">
        <v>531</v>
      </c>
      <c r="P299" t="s">
        <v>454</v>
      </c>
    </row>
    <row r="300">
      <c r="A300">
        <f>HYPERLINK("http://bombeiros.sp.gov.br/hidrantes/03individual/2891.html","2891")</f>
      </c>
      <c r="B300" t="s">
        <v>454</v>
      </c>
      <c r="C300" t="s">
        <v>588</v>
      </c>
      <c r="D300" t="s">
        <v>9017</v>
      </c>
      <c r="E300" t="s">
        <v>15</v>
      </c>
      <c r="F300" t="s">
        <v>15542</v>
      </c>
      <c r="G300" t="s">
        <v>15034</v>
      </c>
      <c r="H300"/>
      <c r="I300" t="s">
        <v>1117</v>
      </c>
      <c r="J300" t="s">
        <v>15543</v>
      </c>
      <c r="K300" t="s">
        <v>15544</v>
      </c>
      <c r="L300" t="s">
        <v>21</v>
      </c>
      <c r="M300" t="s">
        <v>19177</v>
      </c>
      <c r="N300" t="s">
        <v>594</v>
      </c>
      <c r="O300" t="s">
        <v>531</v>
      </c>
      <c r="P300" t="s">
        <v>454</v>
      </c>
    </row>
    <row r="301">
      <c r="A301">
        <f>HYPERLINK("http://bombeiros.sp.gov.br/hidrantes/03individual/25206.html","25206")</f>
      </c>
      <c r="B301" t="s">
        <v>454</v>
      </c>
      <c r="C301" t="s">
        <v>588</v>
      </c>
      <c r="D301" t="s">
        <v>9017</v>
      </c>
      <c r="E301" t="s">
        <v>15</v>
      </c>
      <c r="F301" t="s">
        <v>15545</v>
      </c>
      <c r="G301" t="s">
        <v>15546</v>
      </c>
      <c r="H301" t="s">
        <v>1121</v>
      </c>
      <c r="I301" t="s">
        <v>1117</v>
      </c>
      <c r="J301" t="s">
        <v>15547</v>
      </c>
      <c r="K301" t="s">
        <v>15548</v>
      </c>
      <c r="L301" t="s">
        <v>21</v>
      </c>
      <c r="M301" t="s">
        <v>19177</v>
      </c>
      <c r="N301" t="s">
        <v>531</v>
      </c>
      <c r="O301" t="s">
        <v>531</v>
      </c>
      <c r="P301" t="s">
        <v>454</v>
      </c>
    </row>
    <row r="302">
      <c r="A302">
        <f>HYPERLINK("http://bombeiros.sp.gov.br/hidrantes/03individual/518.html","518")</f>
      </c>
      <c r="B302" t="s">
        <v>454</v>
      </c>
      <c r="C302" t="s">
        <v>594</v>
      </c>
      <c r="D302" t="s">
        <v>595</v>
      </c>
      <c r="E302" t="s">
        <v>15</v>
      </c>
      <c r="F302" t="s">
        <v>15549</v>
      </c>
      <c r="G302" t="s">
        <v>15172</v>
      </c>
      <c r="H302"/>
      <c r="I302" t="s">
        <v>1117</v>
      </c>
      <c r="J302" t="s">
        <v>15550</v>
      </c>
      <c r="K302" t="s">
        <v>15551</v>
      </c>
      <c r="L302" t="s">
        <v>21</v>
      </c>
      <c r="M302" t="s">
        <v>19177</v>
      </c>
      <c r="N302" t="s">
        <v>594</v>
      </c>
      <c r="O302" t="s">
        <v>531</v>
      </c>
      <c r="P302" t="s">
        <v>454</v>
      </c>
    </row>
    <row r="303">
      <c r="A303">
        <f>HYPERLINK("http://bombeiros.sp.gov.br/hidrantes/03individual/28382.html","28382")</f>
      </c>
      <c r="B303" t="s">
        <v>454</v>
      </c>
      <c r="C303" t="s">
        <v>594</v>
      </c>
      <c r="D303" t="s">
        <v>595</v>
      </c>
      <c r="E303" t="s">
        <v>15</v>
      </c>
      <c r="F303" t="s">
        <v>18662</v>
      </c>
      <c r="G303"/>
      <c r="H303"/>
      <c r="I303" t="s">
        <v>1503</v>
      </c>
      <c r="J303" t="s">
        <v>18663</v>
      </c>
      <c r="K303" t="s">
        <v>18664</v>
      </c>
      <c r="L303" t="s">
        <v>21</v>
      </c>
      <c r="M303" t="s">
        <v>19177</v>
      </c>
      <c r="N303" t="s">
        <v>594</v>
      </c>
      <c r="O303" t="s">
        <v>531</v>
      </c>
      <c r="P303" t="s">
        <v>454</v>
      </c>
    </row>
    <row r="304">
      <c r="A304">
        <f>HYPERLINK("http://bombeiros.sp.gov.br/hidrantes/03individual/26804.html","26804")</f>
      </c>
      <c r="B304" t="s">
        <v>454</v>
      </c>
      <c r="C304" t="s">
        <v>594</v>
      </c>
      <c r="D304" t="s">
        <v>600</v>
      </c>
      <c r="E304" t="s">
        <v>15</v>
      </c>
      <c r="F304" t="s">
        <v>15918</v>
      </c>
      <c r="G304"/>
      <c r="H304"/>
      <c r="I304" t="s">
        <v>1503</v>
      </c>
      <c r="J304" t="s">
        <v>15919</v>
      </c>
      <c r="K304" t="s">
        <v>15920</v>
      </c>
      <c r="L304" t="s">
        <v>21</v>
      </c>
      <c r="M304" t="s">
        <v>19177</v>
      </c>
      <c r="N304" t="s">
        <v>594</v>
      </c>
      <c r="O304" t="s">
        <v>531</v>
      </c>
      <c r="P304" t="s">
        <v>454</v>
      </c>
    </row>
    <row r="305">
      <c r="A305">
        <f>HYPERLINK("http://bombeiros.sp.gov.br/hidrantes/03individual/651.html","651")</f>
      </c>
      <c r="B305" t="s">
        <v>454</v>
      </c>
      <c r="C305" t="s">
        <v>594</v>
      </c>
      <c r="D305" t="s">
        <v>594</v>
      </c>
      <c r="E305" t="s">
        <v>15</v>
      </c>
      <c r="F305" t="s">
        <v>9397</v>
      </c>
      <c r="G305" t="s">
        <v>17692</v>
      </c>
      <c r="H305"/>
      <c r="I305" t="s">
        <v>18</v>
      </c>
      <c r="J305" t="s">
        <v>9398</v>
      </c>
      <c r="K305" t="s">
        <v>9399</v>
      </c>
      <c r="L305" t="s">
        <v>21</v>
      </c>
      <c r="M305" t="s">
        <v>19177</v>
      </c>
      <c r="N305" t="s">
        <v>594</v>
      </c>
      <c r="O305" t="s">
        <v>531</v>
      </c>
      <c r="P305" t="s">
        <v>454</v>
      </c>
    </row>
    <row r="306">
      <c r="A306">
        <f>HYPERLINK("http://bombeiros.sp.gov.br/hidrantes/03individual/759.html","759")</f>
      </c>
      <c r="B306" t="s">
        <v>454</v>
      </c>
      <c r="C306" t="s">
        <v>594</v>
      </c>
      <c r="D306" t="s">
        <v>594</v>
      </c>
      <c r="E306" t="s">
        <v>15</v>
      </c>
      <c r="F306" t="s">
        <v>15552</v>
      </c>
      <c r="G306" t="s">
        <v>15255</v>
      </c>
      <c r="H306"/>
      <c r="I306" t="s">
        <v>1117</v>
      </c>
      <c r="J306" t="s">
        <v>15553</v>
      </c>
      <c r="K306" t="s">
        <v>15554</v>
      </c>
      <c r="L306" t="s">
        <v>21</v>
      </c>
      <c r="M306" t="s">
        <v>19177</v>
      </c>
      <c r="N306" t="s">
        <v>594</v>
      </c>
      <c r="O306" t="s">
        <v>531</v>
      </c>
      <c r="P306" t="s">
        <v>454</v>
      </c>
    </row>
    <row r="307">
      <c r="A307">
        <f>HYPERLINK("http://bombeiros.sp.gov.br/hidrantes/03individual/840.html","840")</f>
      </c>
      <c r="B307" t="s">
        <v>454</v>
      </c>
      <c r="C307" t="s">
        <v>611</v>
      </c>
      <c r="D307" t="s">
        <v>612</v>
      </c>
      <c r="E307" t="s">
        <v>15</v>
      </c>
      <c r="F307" t="s">
        <v>15555</v>
      </c>
      <c r="G307" t="s">
        <v>15172</v>
      </c>
      <c r="H307"/>
      <c r="I307" t="s">
        <v>1117</v>
      </c>
      <c r="J307" t="s">
        <v>15556</v>
      </c>
      <c r="K307" t="s">
        <v>15557</v>
      </c>
      <c r="L307" t="s">
        <v>21</v>
      </c>
      <c r="M307" t="s">
        <v>19177</v>
      </c>
      <c r="N307" t="s">
        <v>594</v>
      </c>
      <c r="O307" t="s">
        <v>531</v>
      </c>
      <c r="P307" t="s">
        <v>454</v>
      </c>
    </row>
    <row r="308">
      <c r="A308">
        <f>HYPERLINK("http://bombeiros.sp.gov.br/hidrantes/03individual/28094.html","28094")</f>
      </c>
      <c r="B308" t="s">
        <v>454</v>
      </c>
      <c r="C308" t="s">
        <v>611</v>
      </c>
      <c r="D308" t="s">
        <v>612</v>
      </c>
      <c r="E308" t="s">
        <v>15</v>
      </c>
      <c r="F308" t="s">
        <v>18419</v>
      </c>
      <c r="G308"/>
      <c r="H308"/>
      <c r="I308" t="s">
        <v>1503</v>
      </c>
      <c r="J308" t="s">
        <v>18420</v>
      </c>
      <c r="K308" t="s">
        <v>18421</v>
      </c>
      <c r="L308" t="s">
        <v>21</v>
      </c>
      <c r="M308" t="s">
        <v>19177</v>
      </c>
      <c r="N308" t="s">
        <v>594</v>
      </c>
      <c r="O308" t="s">
        <v>531</v>
      </c>
      <c r="P308" t="s">
        <v>454</v>
      </c>
    </row>
    <row r="309">
      <c r="A309">
        <f>HYPERLINK("http://bombeiros.sp.gov.br/hidrantes/03individual/1386.html","1386")</f>
      </c>
      <c r="B309" t="s">
        <v>623</v>
      </c>
      <c r="C309" t="s">
        <v>624</v>
      </c>
      <c r="D309" t="s">
        <v>625</v>
      </c>
      <c r="E309" t="s">
        <v>15</v>
      </c>
      <c r="F309" t="s">
        <v>9647</v>
      </c>
      <c r="G309" t="s">
        <v>17536</v>
      </c>
      <c r="H309"/>
      <c r="I309" t="s">
        <v>18</v>
      </c>
      <c r="J309" t="s">
        <v>9648</v>
      </c>
      <c r="K309" t="s">
        <v>9649</v>
      </c>
      <c r="L309" t="s">
        <v>21</v>
      </c>
      <c r="M309" t="s">
        <v>19177</v>
      </c>
      <c r="N309" t="s">
        <v>714</v>
      </c>
      <c r="O309" t="s">
        <v>10263</v>
      </c>
      <c r="P309" t="s">
        <v>12</v>
      </c>
    </row>
    <row r="310">
      <c r="A310">
        <f>HYPERLINK("http://bombeiros.sp.gov.br/hidrantes/03individual/23036.html","23036")</f>
      </c>
      <c r="B310" t="s">
        <v>623</v>
      </c>
      <c r="C310" t="s">
        <v>624</v>
      </c>
      <c r="D310" t="s">
        <v>625</v>
      </c>
      <c r="E310" t="s">
        <v>15</v>
      </c>
      <c r="F310" t="s">
        <v>626</v>
      </c>
      <c r="G310" t="s">
        <v>18147</v>
      </c>
      <c r="H310" t="s">
        <v>1121</v>
      </c>
      <c r="I310" t="s">
        <v>1117</v>
      </c>
      <c r="J310" t="s">
        <v>17590</v>
      </c>
      <c r="K310" t="s">
        <v>17591</v>
      </c>
      <c r="L310" t="s">
        <v>21</v>
      </c>
      <c r="M310" t="s">
        <v>19177</v>
      </c>
      <c r="N310" t="s">
        <v>714</v>
      </c>
      <c r="O310" t="s">
        <v>10263</v>
      </c>
      <c r="P310" t="s">
        <v>12</v>
      </c>
    </row>
    <row r="311">
      <c r="A311">
        <f>HYPERLINK("http://bombeiros.sp.gov.br/hidrantes/03individual/26837.html","26837")</f>
      </c>
      <c r="B311" t="s">
        <v>623</v>
      </c>
      <c r="C311" t="s">
        <v>624</v>
      </c>
      <c r="D311" t="s">
        <v>625</v>
      </c>
      <c r="E311" t="s">
        <v>15</v>
      </c>
      <c r="F311" t="s">
        <v>16134</v>
      </c>
      <c r="G311"/>
      <c r="H311"/>
      <c r="I311" t="s">
        <v>1503</v>
      </c>
      <c r="J311" t="s">
        <v>16135</v>
      </c>
      <c r="K311" t="s">
        <v>16136</v>
      </c>
      <c r="L311" t="s">
        <v>21</v>
      </c>
      <c r="M311" t="s">
        <v>19177</v>
      </c>
      <c r="N311" t="s">
        <v>714</v>
      </c>
      <c r="O311" t="s">
        <v>10263</v>
      </c>
      <c r="P311" t="s">
        <v>12</v>
      </c>
    </row>
    <row r="312">
      <c r="A312">
        <f>HYPERLINK("http://bombeiros.sp.gov.br/hidrantes/03individual/28035.html","28035")</f>
      </c>
      <c r="B312" t="s">
        <v>623</v>
      </c>
      <c r="C312" t="s">
        <v>624</v>
      </c>
      <c r="D312" t="s">
        <v>625</v>
      </c>
      <c r="E312" t="s">
        <v>15</v>
      </c>
      <c r="F312" t="s">
        <v>18422</v>
      </c>
      <c r="G312"/>
      <c r="H312"/>
      <c r="I312" t="s">
        <v>1503</v>
      </c>
      <c r="J312" t="s">
        <v>18423</v>
      </c>
      <c r="K312" t="s">
        <v>18424</v>
      </c>
      <c r="L312" t="s">
        <v>21</v>
      </c>
      <c r="M312" t="s">
        <v>19177</v>
      </c>
      <c r="N312" t="s">
        <v>714</v>
      </c>
      <c r="O312" t="s">
        <v>10263</v>
      </c>
      <c r="P312" t="s">
        <v>12</v>
      </c>
    </row>
    <row r="313">
      <c r="A313">
        <f>HYPERLINK("http://bombeiros.sp.gov.br/hidrantes/03individual/958.html","958")</f>
      </c>
      <c r="B313" t="s">
        <v>623</v>
      </c>
      <c r="C313" t="s">
        <v>630</v>
      </c>
      <c r="D313" t="s">
        <v>631</v>
      </c>
      <c r="E313" t="s">
        <v>15</v>
      </c>
      <c r="F313" t="s">
        <v>632</v>
      </c>
      <c r="G313" t="s">
        <v>18067</v>
      </c>
      <c r="H313"/>
      <c r="I313" t="s">
        <v>18</v>
      </c>
      <c r="J313" t="s">
        <v>633</v>
      </c>
      <c r="K313" t="s">
        <v>634</v>
      </c>
      <c r="L313" t="s">
        <v>21</v>
      </c>
      <c r="M313" t="s">
        <v>19177</v>
      </c>
      <c r="N313" t="s">
        <v>714</v>
      </c>
      <c r="O313" t="s">
        <v>10263</v>
      </c>
      <c r="P313" t="s">
        <v>12</v>
      </c>
    </row>
    <row r="314">
      <c r="A314">
        <f>HYPERLINK("http://bombeiros.sp.gov.br/hidrantes/03individual/1232.html","1232")</f>
      </c>
      <c r="B314" t="s">
        <v>623</v>
      </c>
      <c r="C314" t="s">
        <v>630</v>
      </c>
      <c r="D314" t="s">
        <v>631</v>
      </c>
      <c r="E314" t="s">
        <v>15</v>
      </c>
      <c r="F314" t="s">
        <v>15558</v>
      </c>
      <c r="G314" t="s">
        <v>15165</v>
      </c>
      <c r="H314"/>
      <c r="I314" t="s">
        <v>1117</v>
      </c>
      <c r="J314" t="s">
        <v>15559</v>
      </c>
      <c r="K314" t="s">
        <v>15560</v>
      </c>
      <c r="L314" t="s">
        <v>21</v>
      </c>
      <c r="M314" t="s">
        <v>19177</v>
      </c>
      <c r="N314" t="s">
        <v>714</v>
      </c>
      <c r="O314" t="s">
        <v>10263</v>
      </c>
      <c r="P314" t="s">
        <v>12</v>
      </c>
    </row>
    <row r="315">
      <c r="A315">
        <f>HYPERLINK("http://bombeiros.sp.gov.br/hidrantes/03individual/1677.html","1677")</f>
      </c>
      <c r="B315" t="s">
        <v>623</v>
      </c>
      <c r="C315" t="s">
        <v>630</v>
      </c>
      <c r="D315" t="s">
        <v>631</v>
      </c>
      <c r="E315" t="s">
        <v>15</v>
      </c>
      <c r="F315" t="s">
        <v>9710</v>
      </c>
      <c r="G315" t="s">
        <v>18067</v>
      </c>
      <c r="H315" t="s">
        <v>1121</v>
      </c>
      <c r="I315" t="s">
        <v>1117</v>
      </c>
      <c r="J315" t="s">
        <v>9711</v>
      </c>
      <c r="K315" t="s">
        <v>9712</v>
      </c>
      <c r="L315" t="s">
        <v>21</v>
      </c>
      <c r="M315" t="s">
        <v>19177</v>
      </c>
      <c r="N315" t="s">
        <v>714</v>
      </c>
      <c r="O315" t="s">
        <v>10263</v>
      </c>
      <c r="P315" t="s">
        <v>12</v>
      </c>
    </row>
    <row r="316">
      <c r="A316">
        <f>HYPERLINK("http://bombeiros.sp.gov.br/hidrantes/03individual/2200.html","2200")</f>
      </c>
      <c r="B316" t="s">
        <v>623</v>
      </c>
      <c r="C316" t="s">
        <v>630</v>
      </c>
      <c r="D316" t="s">
        <v>9734</v>
      </c>
      <c r="E316" t="s">
        <v>15</v>
      </c>
      <c r="F316" t="s">
        <v>9756</v>
      </c>
      <c r="G316" t="s">
        <v>18211</v>
      </c>
      <c r="H316" t="s">
        <v>1121</v>
      </c>
      <c r="I316" t="s">
        <v>1117</v>
      </c>
      <c r="J316" t="s">
        <v>9757</v>
      </c>
      <c r="K316" t="s">
        <v>9758</v>
      </c>
      <c r="L316" t="s">
        <v>21</v>
      </c>
      <c r="M316" t="s">
        <v>19177</v>
      </c>
      <c r="N316" t="s">
        <v>714</v>
      </c>
      <c r="O316" t="s">
        <v>10263</v>
      </c>
      <c r="P316" t="s">
        <v>12</v>
      </c>
    </row>
    <row r="317">
      <c r="A317">
        <f>HYPERLINK("http://bombeiros.sp.gov.br/hidrantes/03individual/26278.html","26278")</f>
      </c>
      <c r="B317" t="s">
        <v>623</v>
      </c>
      <c r="C317" t="s">
        <v>630</v>
      </c>
      <c r="D317" t="s">
        <v>635</v>
      </c>
      <c r="E317" t="s">
        <v>64</v>
      </c>
      <c r="F317" t="s">
        <v>15561</v>
      </c>
      <c r="G317"/>
      <c r="H317"/>
      <c r="I317" t="s">
        <v>1503</v>
      </c>
      <c r="J317" t="s">
        <v>15562</v>
      </c>
      <c r="K317" t="s">
        <v>15563</v>
      </c>
      <c r="L317" t="s">
        <v>21</v>
      </c>
      <c r="M317" t="s">
        <v>19177</v>
      </c>
      <c r="N317" t="s">
        <v>714</v>
      </c>
      <c r="O317" t="s">
        <v>10263</v>
      </c>
      <c r="P317" t="s">
        <v>12</v>
      </c>
    </row>
    <row r="318">
      <c r="A318">
        <f>HYPERLINK("http://bombeiros.sp.gov.br/hidrantes/03individual/17656.html","17656")</f>
      </c>
      <c r="B318" t="s">
        <v>623</v>
      </c>
      <c r="C318" t="s">
        <v>630</v>
      </c>
      <c r="D318" t="s">
        <v>635</v>
      </c>
      <c r="E318" t="s">
        <v>15</v>
      </c>
      <c r="F318" t="s">
        <v>636</v>
      </c>
      <c r="G318" t="s">
        <v>16461</v>
      </c>
      <c r="H318"/>
      <c r="I318" t="s">
        <v>18</v>
      </c>
      <c r="J318" t="s">
        <v>638</v>
      </c>
      <c r="K318" t="s">
        <v>639</v>
      </c>
      <c r="L318" t="s">
        <v>21</v>
      </c>
      <c r="M318" t="s">
        <v>19177</v>
      </c>
      <c r="N318" t="s">
        <v>714</v>
      </c>
      <c r="O318" t="s">
        <v>10263</v>
      </c>
      <c r="P318" t="s">
        <v>12</v>
      </c>
    </row>
    <row r="319">
      <c r="A319">
        <f>HYPERLINK("http://bombeiros.sp.gov.br/hidrantes/03individual/1284.html","1284")</f>
      </c>
      <c r="B319" t="s">
        <v>623</v>
      </c>
      <c r="C319" t="s">
        <v>640</v>
      </c>
      <c r="D319" t="s">
        <v>640</v>
      </c>
      <c r="E319" t="s">
        <v>15</v>
      </c>
      <c r="F319" t="s">
        <v>641</v>
      </c>
      <c r="G319" t="s">
        <v>17855</v>
      </c>
      <c r="H319"/>
      <c r="I319" t="s">
        <v>18</v>
      </c>
      <c r="J319" t="s">
        <v>643</v>
      </c>
      <c r="K319" t="s">
        <v>644</v>
      </c>
      <c r="L319" t="s">
        <v>21</v>
      </c>
      <c r="M319" t="s">
        <v>19177</v>
      </c>
      <c r="N319" t="s">
        <v>16375</v>
      </c>
      <c r="O319" t="s">
        <v>640</v>
      </c>
      <c r="P319" t="s">
        <v>623</v>
      </c>
    </row>
    <row r="320">
      <c r="A320">
        <f>HYPERLINK("http://bombeiros.sp.gov.br/hidrantes/03individual/1339.html","1339")</f>
      </c>
      <c r="B320" t="s">
        <v>623</v>
      </c>
      <c r="C320" t="s">
        <v>640</v>
      </c>
      <c r="D320" t="s">
        <v>640</v>
      </c>
      <c r="E320" t="s">
        <v>15</v>
      </c>
      <c r="F320" t="s">
        <v>645</v>
      </c>
      <c r="G320" t="s">
        <v>17589</v>
      </c>
      <c r="H320"/>
      <c r="I320" t="s">
        <v>18</v>
      </c>
      <c r="J320" t="s">
        <v>646</v>
      </c>
      <c r="K320" t="s">
        <v>647</v>
      </c>
      <c r="L320" t="s">
        <v>21</v>
      </c>
      <c r="M320" t="s">
        <v>19177</v>
      </c>
      <c r="N320" t="s">
        <v>16375</v>
      </c>
      <c r="O320" t="s">
        <v>640</v>
      </c>
      <c r="P320" t="s">
        <v>623</v>
      </c>
    </row>
    <row r="321">
      <c r="A321">
        <f>HYPERLINK("http://bombeiros.sp.gov.br/hidrantes/03individual/2257.html","2257")</f>
      </c>
      <c r="B321" t="s">
        <v>623</v>
      </c>
      <c r="C321" t="s">
        <v>640</v>
      </c>
      <c r="D321" t="s">
        <v>640</v>
      </c>
      <c r="E321" t="s">
        <v>15</v>
      </c>
      <c r="F321" t="s">
        <v>17719</v>
      </c>
      <c r="G321" t="s">
        <v>17847</v>
      </c>
      <c r="H321"/>
      <c r="I321" t="s">
        <v>18</v>
      </c>
      <c r="J321" t="s">
        <v>650</v>
      </c>
      <c r="K321" t="s">
        <v>651</v>
      </c>
      <c r="L321" t="s">
        <v>21</v>
      </c>
      <c r="M321" t="s">
        <v>19177</v>
      </c>
      <c r="N321" t="s">
        <v>16375</v>
      </c>
      <c r="O321" t="s">
        <v>640</v>
      </c>
      <c r="P321" t="s">
        <v>623</v>
      </c>
    </row>
    <row r="322">
      <c r="A322">
        <f>HYPERLINK("http://bombeiros.sp.gov.br/hidrantes/03individual/1291.html","1291")</f>
      </c>
      <c r="B322" t="s">
        <v>623</v>
      </c>
      <c r="C322" t="s">
        <v>640</v>
      </c>
      <c r="D322" t="s">
        <v>652</v>
      </c>
      <c r="E322" t="s">
        <v>64</v>
      </c>
      <c r="F322" t="s">
        <v>653</v>
      </c>
      <c r="G322" t="s">
        <v>16572</v>
      </c>
      <c r="H322"/>
      <c r="I322" t="s">
        <v>18</v>
      </c>
      <c r="J322" t="s">
        <v>655</v>
      </c>
      <c r="K322" t="s">
        <v>656</v>
      </c>
      <c r="L322" t="s">
        <v>21</v>
      </c>
      <c r="M322" t="s">
        <v>19177</v>
      </c>
      <c r="N322" t="s">
        <v>16375</v>
      </c>
      <c r="O322" t="s">
        <v>640</v>
      </c>
      <c r="P322" t="s">
        <v>623</v>
      </c>
    </row>
    <row r="323">
      <c r="A323">
        <f>HYPERLINK("http://bombeiros.sp.gov.br/hidrantes/03individual/4440.html","4440")</f>
      </c>
      <c r="B323" t="s">
        <v>623</v>
      </c>
      <c r="C323" t="s">
        <v>640</v>
      </c>
      <c r="D323" t="s">
        <v>652</v>
      </c>
      <c r="E323" t="s">
        <v>64</v>
      </c>
      <c r="F323" t="s">
        <v>657</v>
      </c>
      <c r="G323" t="s">
        <v>17729</v>
      </c>
      <c r="H323"/>
      <c r="I323" t="s">
        <v>18</v>
      </c>
      <c r="J323" t="s">
        <v>658</v>
      </c>
      <c r="K323" t="s">
        <v>659</v>
      </c>
      <c r="L323" t="s">
        <v>21</v>
      </c>
      <c r="M323" t="s">
        <v>19177</v>
      </c>
      <c r="N323" t="s">
        <v>16375</v>
      </c>
      <c r="O323" t="s">
        <v>640</v>
      </c>
      <c r="P323" t="s">
        <v>623</v>
      </c>
    </row>
    <row r="324">
      <c r="A324">
        <f>HYPERLINK("http://bombeiros.sp.gov.br/hidrantes/03individual/2113.html","2113")</f>
      </c>
      <c r="B324" t="s">
        <v>623</v>
      </c>
      <c r="C324" t="s">
        <v>640</v>
      </c>
      <c r="D324" t="s">
        <v>660</v>
      </c>
      <c r="E324" t="s">
        <v>15</v>
      </c>
      <c r="F324" t="s">
        <v>661</v>
      </c>
      <c r="G324" t="s">
        <v>662</v>
      </c>
      <c r="H324"/>
      <c r="I324" t="s">
        <v>18</v>
      </c>
      <c r="J324" t="s">
        <v>663</v>
      </c>
      <c r="K324" t="s">
        <v>664</v>
      </c>
      <c r="L324" t="s">
        <v>21</v>
      </c>
      <c r="M324" t="s">
        <v>19177</v>
      </c>
      <c r="N324" t="s">
        <v>16375</v>
      </c>
      <c r="O324" t="s">
        <v>640</v>
      </c>
      <c r="P324" t="s">
        <v>623</v>
      </c>
    </row>
    <row r="325">
      <c r="A325">
        <f>HYPERLINK("http://bombeiros.sp.gov.br/hidrantes/03individual/17888.html","17888")</f>
      </c>
      <c r="B325" t="s">
        <v>623</v>
      </c>
      <c r="C325" t="s">
        <v>640</v>
      </c>
      <c r="D325" t="s">
        <v>660</v>
      </c>
      <c r="E325" t="s">
        <v>15</v>
      </c>
      <c r="F325" t="s">
        <v>665</v>
      </c>
      <c r="G325" t="s">
        <v>17855</v>
      </c>
      <c r="H325" t="s">
        <v>1121</v>
      </c>
      <c r="I325" t="s">
        <v>1117</v>
      </c>
      <c r="J325" t="s">
        <v>667</v>
      </c>
      <c r="K325" t="s">
        <v>668</v>
      </c>
      <c r="L325" t="s">
        <v>21</v>
      </c>
      <c r="M325" t="s">
        <v>19177</v>
      </c>
      <c r="N325" t="s">
        <v>16375</v>
      </c>
      <c r="O325" t="s">
        <v>640</v>
      </c>
      <c r="P325" t="s">
        <v>623</v>
      </c>
    </row>
    <row r="326">
      <c r="A326">
        <f>HYPERLINK("http://bombeiros.sp.gov.br/hidrantes/03individual/2235.html","2235")</f>
      </c>
      <c r="B326" t="s">
        <v>623</v>
      </c>
      <c r="C326" t="s">
        <v>640</v>
      </c>
      <c r="D326" t="s">
        <v>669</v>
      </c>
      <c r="E326" t="s">
        <v>15</v>
      </c>
      <c r="F326" t="s">
        <v>670</v>
      </c>
      <c r="G326" t="s">
        <v>17721</v>
      </c>
      <c r="H326"/>
      <c r="I326" t="s">
        <v>18</v>
      </c>
      <c r="J326" t="s">
        <v>672</v>
      </c>
      <c r="K326" t="s">
        <v>673</v>
      </c>
      <c r="L326" t="s">
        <v>21</v>
      </c>
      <c r="M326" t="s">
        <v>19177</v>
      </c>
      <c r="N326" t="s">
        <v>16375</v>
      </c>
      <c r="O326" t="s">
        <v>640</v>
      </c>
      <c r="P326" t="s">
        <v>623</v>
      </c>
    </row>
    <row r="327">
      <c r="A327">
        <f>HYPERLINK("http://bombeiros.sp.gov.br/hidrantes/03individual/4241.html","4241")</f>
      </c>
      <c r="B327" t="s">
        <v>623</v>
      </c>
      <c r="C327" t="s">
        <v>640</v>
      </c>
      <c r="D327" t="s">
        <v>669</v>
      </c>
      <c r="E327" t="s">
        <v>15</v>
      </c>
      <c r="F327" t="s">
        <v>9904</v>
      </c>
      <c r="G327" t="s">
        <v>17721</v>
      </c>
      <c r="H327"/>
      <c r="I327" t="s">
        <v>18</v>
      </c>
      <c r="J327" t="s">
        <v>9905</v>
      </c>
      <c r="K327" t="s">
        <v>9906</v>
      </c>
      <c r="L327" t="s">
        <v>21</v>
      </c>
      <c r="M327" t="s">
        <v>19177</v>
      </c>
      <c r="N327" t="s">
        <v>16375</v>
      </c>
      <c r="O327" t="s">
        <v>640</v>
      </c>
      <c r="P327" t="s">
        <v>623</v>
      </c>
    </row>
    <row r="328">
      <c r="A328">
        <f>HYPERLINK("http://bombeiros.sp.gov.br/hidrantes/03individual/28383.html","28383")</f>
      </c>
      <c r="B328" t="s">
        <v>623</v>
      </c>
      <c r="C328" t="s">
        <v>640</v>
      </c>
      <c r="D328" t="s">
        <v>669</v>
      </c>
      <c r="E328" t="s">
        <v>15</v>
      </c>
      <c r="F328" t="s">
        <v>18665</v>
      </c>
      <c r="G328"/>
      <c r="H328"/>
      <c r="I328" t="s">
        <v>1503</v>
      </c>
      <c r="J328" t="s">
        <v>18666</v>
      </c>
      <c r="K328" t="s">
        <v>18667</v>
      </c>
      <c r="L328" t="s">
        <v>21</v>
      </c>
      <c r="M328" t="s">
        <v>19177</v>
      </c>
      <c r="N328" t="s">
        <v>16375</v>
      </c>
      <c r="O328" t="s">
        <v>640</v>
      </c>
      <c r="P328" t="s">
        <v>623</v>
      </c>
    </row>
    <row r="329">
      <c r="A329">
        <f>HYPERLINK("http://bombeiros.sp.gov.br/hidrantes/03individual/6698.html","6698")</f>
      </c>
      <c r="B329" t="s">
        <v>623</v>
      </c>
      <c r="C329" t="s">
        <v>674</v>
      </c>
      <c r="D329" t="s">
        <v>9936</v>
      </c>
      <c r="E329" t="s">
        <v>15</v>
      </c>
      <c r="F329" t="s">
        <v>9980</v>
      </c>
      <c r="G329" t="s">
        <v>17209</v>
      </c>
      <c r="H329" t="s">
        <v>1121</v>
      </c>
      <c r="I329" t="s">
        <v>1117</v>
      </c>
      <c r="J329" t="s">
        <v>9981</v>
      </c>
      <c r="K329" t="s">
        <v>9982</v>
      </c>
      <c r="L329" t="s">
        <v>36</v>
      </c>
      <c r="M329" t="s">
        <v>19177</v>
      </c>
      <c r="N329" t="s">
        <v>1024</v>
      </c>
      <c r="O329" t="s">
        <v>1024</v>
      </c>
      <c r="P329" t="s">
        <v>842</v>
      </c>
    </row>
    <row r="330">
      <c r="A330">
        <f>HYPERLINK("http://bombeiros.sp.gov.br/hidrantes/03individual/6714.html","6714")</f>
      </c>
      <c r="B330" t="s">
        <v>623</v>
      </c>
      <c r="C330" t="s">
        <v>674</v>
      </c>
      <c r="D330" t="s">
        <v>679</v>
      </c>
      <c r="E330" t="s">
        <v>15</v>
      </c>
      <c r="F330" t="s">
        <v>17619</v>
      </c>
      <c r="G330" t="s">
        <v>17209</v>
      </c>
      <c r="H330"/>
      <c r="I330" t="s">
        <v>18</v>
      </c>
      <c r="J330" t="s">
        <v>681</v>
      </c>
      <c r="K330" t="s">
        <v>682</v>
      </c>
      <c r="L330" t="s">
        <v>21</v>
      </c>
      <c r="M330" t="s">
        <v>19177</v>
      </c>
      <c r="N330" t="s">
        <v>1024</v>
      </c>
      <c r="O330" t="s">
        <v>1024</v>
      </c>
      <c r="P330" t="s">
        <v>842</v>
      </c>
    </row>
    <row r="331">
      <c r="A331">
        <f>HYPERLINK("http://bombeiros.sp.gov.br/hidrantes/03individual/6715.html","6715")</f>
      </c>
      <c r="B331" t="s">
        <v>623</v>
      </c>
      <c r="C331" t="s">
        <v>674</v>
      </c>
      <c r="D331" t="s">
        <v>683</v>
      </c>
      <c r="E331" t="s">
        <v>15</v>
      </c>
      <c r="F331" t="s">
        <v>687</v>
      </c>
      <c r="G331" t="s">
        <v>18209</v>
      </c>
      <c r="H331" t="s">
        <v>1121</v>
      </c>
      <c r="I331" t="s">
        <v>1117</v>
      </c>
      <c r="J331" t="s">
        <v>688</v>
      </c>
      <c r="K331" t="s">
        <v>689</v>
      </c>
      <c r="L331" t="s">
        <v>21</v>
      </c>
      <c r="M331" t="s">
        <v>19177</v>
      </c>
      <c r="N331" t="s">
        <v>1024</v>
      </c>
      <c r="O331" t="s">
        <v>1024</v>
      </c>
      <c r="P331" t="s">
        <v>842</v>
      </c>
    </row>
    <row r="332">
      <c r="A332">
        <f>HYPERLINK("http://bombeiros.sp.gov.br/hidrantes/03individual/17885.html","17885")</f>
      </c>
      <c r="B332" t="s">
        <v>623</v>
      </c>
      <c r="C332" t="s">
        <v>690</v>
      </c>
      <c r="D332" t="s">
        <v>691</v>
      </c>
      <c r="E332" t="s">
        <v>15</v>
      </c>
      <c r="F332" t="s">
        <v>692</v>
      </c>
      <c r="G332" t="s">
        <v>18046</v>
      </c>
      <c r="H332" t="s">
        <v>1121</v>
      </c>
      <c r="I332" t="s">
        <v>1117</v>
      </c>
      <c r="J332" t="s">
        <v>694</v>
      </c>
      <c r="K332" t="s">
        <v>695</v>
      </c>
      <c r="L332" t="s">
        <v>21</v>
      </c>
      <c r="M332" t="s">
        <v>19177</v>
      </c>
      <c r="N332" t="s">
        <v>519</v>
      </c>
      <c r="O332" t="s">
        <v>519</v>
      </c>
      <c r="P332" t="s">
        <v>454</v>
      </c>
    </row>
    <row r="333">
      <c r="A333">
        <f>HYPERLINK("http://bombeiros.sp.gov.br/hidrantes/03individual/27325.html","27325")</f>
      </c>
      <c r="B333" t="s">
        <v>623</v>
      </c>
      <c r="C333" t="s">
        <v>696</v>
      </c>
      <c r="D333" t="s">
        <v>696</v>
      </c>
      <c r="E333" t="s">
        <v>64</v>
      </c>
      <c r="F333" t="s">
        <v>17150</v>
      </c>
      <c r="G333"/>
      <c r="H333"/>
      <c r="I333" t="s">
        <v>1503</v>
      </c>
      <c r="J333" t="s">
        <v>17151</v>
      </c>
      <c r="K333" t="s">
        <v>17152</v>
      </c>
      <c r="L333" t="s">
        <v>21</v>
      </c>
      <c r="M333" t="s">
        <v>19177</v>
      </c>
      <c r="N333" t="s">
        <v>16375</v>
      </c>
      <c r="O333" t="s">
        <v>640</v>
      </c>
      <c r="P333" t="s">
        <v>623</v>
      </c>
    </row>
    <row r="334">
      <c r="A334">
        <f>HYPERLINK("http://bombeiros.sp.gov.br/hidrantes/03individual/1207.html","1207")</f>
      </c>
      <c r="B334" t="s">
        <v>623</v>
      </c>
      <c r="C334" t="s">
        <v>696</v>
      </c>
      <c r="D334" t="s">
        <v>696</v>
      </c>
      <c r="E334" t="s">
        <v>15</v>
      </c>
      <c r="F334" t="s">
        <v>701</v>
      </c>
      <c r="G334" t="s">
        <v>17694</v>
      </c>
      <c r="H334"/>
      <c r="I334" t="s">
        <v>18</v>
      </c>
      <c r="J334" t="s">
        <v>702</v>
      </c>
      <c r="K334" t="s">
        <v>703</v>
      </c>
      <c r="L334" t="s">
        <v>21</v>
      </c>
      <c r="M334" t="s">
        <v>19177</v>
      </c>
      <c r="N334" t="s">
        <v>16375</v>
      </c>
      <c r="O334" t="s">
        <v>640</v>
      </c>
      <c r="P334" t="s">
        <v>623</v>
      </c>
    </row>
    <row r="335">
      <c r="A335">
        <f>HYPERLINK("http://bombeiros.sp.gov.br/hidrantes/03individual/17811.html","17811")</f>
      </c>
      <c r="B335" t="s">
        <v>623</v>
      </c>
      <c r="C335" t="s">
        <v>696</v>
      </c>
      <c r="D335" t="s">
        <v>696</v>
      </c>
      <c r="E335" t="s">
        <v>15</v>
      </c>
      <c r="F335" t="s">
        <v>15564</v>
      </c>
      <c r="G335"/>
      <c r="H335"/>
      <c r="I335" t="s">
        <v>1503</v>
      </c>
      <c r="J335" t="s">
        <v>15565</v>
      </c>
      <c r="K335" t="s">
        <v>15566</v>
      </c>
      <c r="L335" t="s">
        <v>21</v>
      </c>
      <c r="M335" t="s">
        <v>19177</v>
      </c>
      <c r="N335" t="s">
        <v>16375</v>
      </c>
      <c r="O335" t="s">
        <v>640</v>
      </c>
      <c r="P335" t="s">
        <v>623</v>
      </c>
    </row>
    <row r="336">
      <c r="A336">
        <f>HYPERLINK("http://bombeiros.sp.gov.br/hidrantes/03individual/4254.html","4254")</f>
      </c>
      <c r="B336" t="s">
        <v>623</v>
      </c>
      <c r="C336" t="s">
        <v>696</v>
      </c>
      <c r="D336" t="s">
        <v>704</v>
      </c>
      <c r="E336" t="s">
        <v>15</v>
      </c>
      <c r="F336" t="s">
        <v>10185</v>
      </c>
      <c r="G336" t="s">
        <v>17694</v>
      </c>
      <c r="H336"/>
      <c r="I336" t="s">
        <v>18</v>
      </c>
      <c r="J336" t="s">
        <v>10186</v>
      </c>
      <c r="K336" t="s">
        <v>10187</v>
      </c>
      <c r="L336" t="s">
        <v>21</v>
      </c>
      <c r="M336" t="s">
        <v>19177</v>
      </c>
      <c r="N336" t="s">
        <v>16375</v>
      </c>
      <c r="O336" t="s">
        <v>640</v>
      </c>
      <c r="P336" t="s">
        <v>623</v>
      </c>
    </row>
    <row r="337">
      <c r="A337">
        <f>HYPERLINK("http://bombeiros.sp.gov.br/hidrantes/03individual/25229.html","25229")</f>
      </c>
      <c r="B337" t="s">
        <v>623</v>
      </c>
      <c r="C337" t="s">
        <v>696</v>
      </c>
      <c r="D337" t="s">
        <v>704</v>
      </c>
      <c r="E337" t="s">
        <v>15</v>
      </c>
      <c r="F337" t="s">
        <v>705</v>
      </c>
      <c r="G337" t="s">
        <v>17694</v>
      </c>
      <c r="H337"/>
      <c r="I337" t="s">
        <v>18</v>
      </c>
      <c r="J337" t="s">
        <v>707</v>
      </c>
      <c r="K337" t="s">
        <v>708</v>
      </c>
      <c r="L337" t="s">
        <v>21</v>
      </c>
      <c r="M337" t="s">
        <v>19177</v>
      </c>
      <c r="N337" t="s">
        <v>16375</v>
      </c>
      <c r="O337" t="s">
        <v>640</v>
      </c>
      <c r="P337" t="s">
        <v>623</v>
      </c>
    </row>
    <row r="338">
      <c r="A338">
        <f>HYPERLINK("http://bombeiros.sp.gov.br/hidrantes/03individual/16382.html","16382")</f>
      </c>
      <c r="B338" t="s">
        <v>623</v>
      </c>
      <c r="C338" t="s">
        <v>709</v>
      </c>
      <c r="D338" t="s">
        <v>10197</v>
      </c>
      <c r="E338" t="s">
        <v>15</v>
      </c>
      <c r="F338" t="s">
        <v>10217</v>
      </c>
      <c r="G338" t="s">
        <v>16429</v>
      </c>
      <c r="H338" t="s">
        <v>1121</v>
      </c>
      <c r="I338" t="s">
        <v>1117</v>
      </c>
      <c r="J338" t="s">
        <v>10218</v>
      </c>
      <c r="K338" t="s">
        <v>10219</v>
      </c>
      <c r="L338" t="s">
        <v>21</v>
      </c>
      <c r="M338" t="s">
        <v>19177</v>
      </c>
      <c r="N338" t="s">
        <v>714</v>
      </c>
      <c r="O338" t="s">
        <v>10263</v>
      </c>
      <c r="P338" t="s">
        <v>12</v>
      </c>
    </row>
    <row r="339">
      <c r="A339">
        <f>HYPERLINK("http://bombeiros.sp.gov.br/hidrantes/03individual/16540.html","16540")</f>
      </c>
      <c r="B339" t="s">
        <v>623</v>
      </c>
      <c r="C339" t="s">
        <v>709</v>
      </c>
      <c r="D339" t="s">
        <v>10223</v>
      </c>
      <c r="E339" t="s">
        <v>15</v>
      </c>
      <c r="F339" t="s">
        <v>15567</v>
      </c>
      <c r="G339"/>
      <c r="H339"/>
      <c r="I339" t="s">
        <v>1503</v>
      </c>
      <c r="J339" t="s">
        <v>15568</v>
      </c>
      <c r="K339" t="s">
        <v>15569</v>
      </c>
      <c r="L339" t="s">
        <v>21</v>
      </c>
      <c r="M339" t="s">
        <v>19177</v>
      </c>
      <c r="N339" t="s">
        <v>714</v>
      </c>
      <c r="O339" t="s">
        <v>10263</v>
      </c>
      <c r="P339" t="s">
        <v>12</v>
      </c>
    </row>
    <row r="340">
      <c r="A340">
        <f>HYPERLINK("http://bombeiros.sp.gov.br/hidrantes/03individual/26842.html","26842")</f>
      </c>
      <c r="B340" t="s">
        <v>623</v>
      </c>
      <c r="C340" t="s">
        <v>709</v>
      </c>
      <c r="D340" t="s">
        <v>10223</v>
      </c>
      <c r="E340" t="s">
        <v>15</v>
      </c>
      <c r="F340" t="s">
        <v>16155</v>
      </c>
      <c r="G340" t="s">
        <v>18123</v>
      </c>
      <c r="H340"/>
      <c r="I340" t="s">
        <v>18</v>
      </c>
      <c r="J340" t="s">
        <v>16156</v>
      </c>
      <c r="K340" t="s">
        <v>16157</v>
      </c>
      <c r="L340" t="s">
        <v>21</v>
      </c>
      <c r="M340" t="s">
        <v>19177</v>
      </c>
      <c r="N340" t="s">
        <v>714</v>
      </c>
      <c r="O340" t="s">
        <v>10263</v>
      </c>
      <c r="P340" t="s">
        <v>12</v>
      </c>
    </row>
    <row r="341">
      <c r="A341">
        <f>HYPERLINK("http://bombeiros.sp.gov.br/hidrantes/03individual/26888.html","26888")</f>
      </c>
      <c r="B341" t="s">
        <v>623</v>
      </c>
      <c r="C341" t="s">
        <v>709</v>
      </c>
      <c r="D341" t="s">
        <v>10263</v>
      </c>
      <c r="E341" t="s">
        <v>15</v>
      </c>
      <c r="F341" t="s">
        <v>16297</v>
      </c>
      <c r="G341" t="s">
        <v>18151</v>
      </c>
      <c r="H341" t="s">
        <v>1121</v>
      </c>
      <c r="I341" t="s">
        <v>1117</v>
      </c>
      <c r="J341" t="s">
        <v>16298</v>
      </c>
      <c r="K341" t="s">
        <v>16299</v>
      </c>
      <c r="L341" t="s">
        <v>21</v>
      </c>
      <c r="M341" t="s">
        <v>19177</v>
      </c>
      <c r="N341" t="s">
        <v>714</v>
      </c>
      <c r="O341" t="s">
        <v>10263</v>
      </c>
      <c r="P341" t="s">
        <v>12</v>
      </c>
    </row>
    <row r="342">
      <c r="A342">
        <f>HYPERLINK("http://bombeiros.sp.gov.br/hidrantes/03individual/2292.html","2292")</f>
      </c>
      <c r="B342" t="s">
        <v>623</v>
      </c>
      <c r="C342" t="s">
        <v>709</v>
      </c>
      <c r="D342" t="s">
        <v>710</v>
      </c>
      <c r="E342" t="s">
        <v>15</v>
      </c>
      <c r="F342" t="s">
        <v>15570</v>
      </c>
      <c r="G342" t="s">
        <v>1178</v>
      </c>
      <c r="H342" t="s">
        <v>1107</v>
      </c>
      <c r="I342" t="s">
        <v>1108</v>
      </c>
      <c r="J342" t="s">
        <v>15571</v>
      </c>
      <c r="K342" t="s">
        <v>15572</v>
      </c>
      <c r="L342" t="s">
        <v>21</v>
      </c>
      <c r="M342" t="s">
        <v>19177</v>
      </c>
      <c r="N342" t="s">
        <v>714</v>
      </c>
      <c r="O342" t="s">
        <v>10263</v>
      </c>
      <c r="P342" t="s">
        <v>12</v>
      </c>
    </row>
    <row r="343">
      <c r="A343">
        <f>HYPERLINK("http://bombeiros.sp.gov.br/hidrantes/03individual/2294.html","2294")</f>
      </c>
      <c r="B343" t="s">
        <v>623</v>
      </c>
      <c r="C343" t="s">
        <v>709</v>
      </c>
      <c r="D343" t="s">
        <v>710</v>
      </c>
      <c r="E343" t="s">
        <v>15</v>
      </c>
      <c r="F343" t="s">
        <v>10336</v>
      </c>
      <c r="G343" t="s">
        <v>18118</v>
      </c>
      <c r="H343" t="s">
        <v>1112</v>
      </c>
      <c r="I343" t="s">
        <v>1108</v>
      </c>
      <c r="J343" t="s">
        <v>10337</v>
      </c>
      <c r="K343" t="s">
        <v>10338</v>
      </c>
      <c r="L343" t="s">
        <v>21</v>
      </c>
      <c r="M343" t="s">
        <v>19177</v>
      </c>
      <c r="N343" t="s">
        <v>714</v>
      </c>
      <c r="O343" t="s">
        <v>10263</v>
      </c>
      <c r="P343" t="s">
        <v>12</v>
      </c>
    </row>
    <row r="344">
      <c r="A344">
        <f>HYPERLINK("http://bombeiros.sp.gov.br/hidrantes/03individual/2296.html","2296")</f>
      </c>
      <c r="B344" t="s">
        <v>623</v>
      </c>
      <c r="C344" t="s">
        <v>709</v>
      </c>
      <c r="D344" t="s">
        <v>710</v>
      </c>
      <c r="E344" t="s">
        <v>15</v>
      </c>
      <c r="F344" t="s">
        <v>15573</v>
      </c>
      <c r="G344" t="s">
        <v>15038</v>
      </c>
      <c r="H344"/>
      <c r="I344" t="s">
        <v>1117</v>
      </c>
      <c r="J344" t="s">
        <v>15574</v>
      </c>
      <c r="K344" t="s">
        <v>15575</v>
      </c>
      <c r="L344" t="s">
        <v>21</v>
      </c>
      <c r="M344" t="s">
        <v>19177</v>
      </c>
      <c r="N344" t="s">
        <v>714</v>
      </c>
      <c r="O344" t="s">
        <v>10263</v>
      </c>
      <c r="P344" t="s">
        <v>12</v>
      </c>
    </row>
    <row r="345">
      <c r="A345">
        <f>HYPERLINK("http://bombeiros.sp.gov.br/hidrantes/03individual/98.html","98")</f>
      </c>
      <c r="B345" t="s">
        <v>623</v>
      </c>
      <c r="C345" t="s">
        <v>709</v>
      </c>
      <c r="D345" t="s">
        <v>10357</v>
      </c>
      <c r="E345" t="s">
        <v>15</v>
      </c>
      <c r="F345" t="s">
        <v>15576</v>
      </c>
      <c r="G345" t="s">
        <v>14985</v>
      </c>
      <c r="H345"/>
      <c r="I345" t="s">
        <v>1117</v>
      </c>
      <c r="J345" t="s">
        <v>15577</v>
      </c>
      <c r="K345" t="s">
        <v>15578</v>
      </c>
      <c r="L345" t="s">
        <v>21</v>
      </c>
      <c r="M345" t="s">
        <v>19177</v>
      </c>
      <c r="N345" t="s">
        <v>714</v>
      </c>
      <c r="O345" t="s">
        <v>10263</v>
      </c>
      <c r="P345" t="s">
        <v>12</v>
      </c>
    </row>
    <row r="346">
      <c r="A346">
        <f>HYPERLINK("http://bombeiros.sp.gov.br/hidrantes/03individual/16638.html","16638")</f>
      </c>
      <c r="B346" t="s">
        <v>623</v>
      </c>
      <c r="C346" t="s">
        <v>709</v>
      </c>
      <c r="D346" t="s">
        <v>10357</v>
      </c>
      <c r="E346" t="s">
        <v>15</v>
      </c>
      <c r="F346" t="s">
        <v>15579</v>
      </c>
      <c r="G346"/>
      <c r="H346"/>
      <c r="I346" t="s">
        <v>1503</v>
      </c>
      <c r="J346" t="s">
        <v>15580</v>
      </c>
      <c r="K346" t="s">
        <v>15581</v>
      </c>
      <c r="L346" t="s">
        <v>21</v>
      </c>
      <c r="M346" t="s">
        <v>19177</v>
      </c>
      <c r="N346" t="s">
        <v>714</v>
      </c>
      <c r="O346" t="s">
        <v>10263</v>
      </c>
      <c r="P346" t="s">
        <v>12</v>
      </c>
    </row>
    <row r="347">
      <c r="A347">
        <f>HYPERLINK("http://bombeiros.sp.gov.br/hidrantes/03individual/2651.html","2651")</f>
      </c>
      <c r="B347" t="s">
        <v>623</v>
      </c>
      <c r="C347" t="s">
        <v>709</v>
      </c>
      <c r="D347" t="s">
        <v>10370</v>
      </c>
      <c r="E347" t="s">
        <v>15</v>
      </c>
      <c r="F347" t="s">
        <v>15582</v>
      </c>
      <c r="G347" t="s">
        <v>15038</v>
      </c>
      <c r="H347"/>
      <c r="I347" t="s">
        <v>1117</v>
      </c>
      <c r="J347" t="s">
        <v>15583</v>
      </c>
      <c r="K347" t="s">
        <v>15584</v>
      </c>
      <c r="L347" t="s">
        <v>21</v>
      </c>
      <c r="M347" t="s">
        <v>19177</v>
      </c>
      <c r="N347" t="s">
        <v>714</v>
      </c>
      <c r="O347" t="s">
        <v>10263</v>
      </c>
      <c r="P347" t="s">
        <v>12</v>
      </c>
    </row>
    <row r="348">
      <c r="A348">
        <f>HYPERLINK("http://bombeiros.sp.gov.br/hidrantes/03individual/1128.html","1128")</f>
      </c>
      <c r="B348" t="s">
        <v>623</v>
      </c>
      <c r="C348" t="s">
        <v>714</v>
      </c>
      <c r="D348" t="s">
        <v>714</v>
      </c>
      <c r="E348" t="s">
        <v>15</v>
      </c>
      <c r="F348" t="s">
        <v>715</v>
      </c>
      <c r="G348" t="s">
        <v>74</v>
      </c>
      <c r="H348" t="s">
        <v>1121</v>
      </c>
      <c r="I348" t="s">
        <v>1117</v>
      </c>
      <c r="J348" t="s">
        <v>16137</v>
      </c>
      <c r="K348" t="s">
        <v>16138</v>
      </c>
      <c r="L348" t="s">
        <v>21</v>
      </c>
      <c r="M348" t="s">
        <v>19177</v>
      </c>
      <c r="N348" t="s">
        <v>714</v>
      </c>
      <c r="O348" t="s">
        <v>10263</v>
      </c>
      <c r="P348" t="s">
        <v>12</v>
      </c>
    </row>
    <row r="349">
      <c r="A349">
        <f>HYPERLINK("http://bombeiros.sp.gov.br/hidrantes/03individual/1525.html","1525")</f>
      </c>
      <c r="B349" t="s">
        <v>623</v>
      </c>
      <c r="C349" t="s">
        <v>714</v>
      </c>
      <c r="D349" t="s">
        <v>714</v>
      </c>
      <c r="E349" t="s">
        <v>15</v>
      </c>
      <c r="F349" t="s">
        <v>725</v>
      </c>
      <c r="G349" t="s">
        <v>17553</v>
      </c>
      <c r="H349"/>
      <c r="I349" t="s">
        <v>18</v>
      </c>
      <c r="J349" t="s">
        <v>726</v>
      </c>
      <c r="K349" t="s">
        <v>727</v>
      </c>
      <c r="L349" t="s">
        <v>21</v>
      </c>
      <c r="M349" t="s">
        <v>19177</v>
      </c>
      <c r="N349" t="s">
        <v>714</v>
      </c>
      <c r="O349" t="s">
        <v>10263</v>
      </c>
      <c r="P349" t="s">
        <v>12</v>
      </c>
    </row>
    <row r="350">
      <c r="A350">
        <f>HYPERLINK("http://bombeiros.sp.gov.br/hidrantes/03individual/26843.html","26843")</f>
      </c>
      <c r="B350" t="s">
        <v>623</v>
      </c>
      <c r="C350" t="s">
        <v>714</v>
      </c>
      <c r="D350" t="s">
        <v>714</v>
      </c>
      <c r="E350" t="s">
        <v>15</v>
      </c>
      <c r="F350" t="s">
        <v>16158</v>
      </c>
      <c r="G350"/>
      <c r="H350"/>
      <c r="I350" t="s">
        <v>1503</v>
      </c>
      <c r="J350" t="s">
        <v>16159</v>
      </c>
      <c r="K350" t="s">
        <v>16160</v>
      </c>
      <c r="L350" t="s">
        <v>21</v>
      </c>
      <c r="M350" t="s">
        <v>19177</v>
      </c>
      <c r="N350" t="s">
        <v>714</v>
      </c>
      <c r="O350" t="s">
        <v>10263</v>
      </c>
      <c r="P350" t="s">
        <v>12</v>
      </c>
    </row>
    <row r="351">
      <c r="A351">
        <f>HYPERLINK("http://bombeiros.sp.gov.br/hidrantes/03individual/1083.html","1083")</f>
      </c>
      <c r="B351" t="s">
        <v>623</v>
      </c>
      <c r="C351" t="s">
        <v>714</v>
      </c>
      <c r="D351" t="s">
        <v>732</v>
      </c>
      <c r="E351" t="s">
        <v>15</v>
      </c>
      <c r="F351" t="s">
        <v>15585</v>
      </c>
      <c r="G351" t="s">
        <v>15176</v>
      </c>
      <c r="H351"/>
      <c r="I351" t="s">
        <v>1117</v>
      </c>
      <c r="J351" t="s">
        <v>15586</v>
      </c>
      <c r="K351" t="s">
        <v>15587</v>
      </c>
      <c r="L351" t="s">
        <v>21</v>
      </c>
      <c r="M351" t="s">
        <v>19177</v>
      </c>
      <c r="N351" t="s">
        <v>714</v>
      </c>
      <c r="O351" t="s">
        <v>10263</v>
      </c>
      <c r="P351" t="s">
        <v>12</v>
      </c>
    </row>
    <row r="352">
      <c r="A352">
        <f>HYPERLINK("http://bombeiros.sp.gov.br/hidrantes/03individual/1312.html","1312")</f>
      </c>
      <c r="B352" t="s">
        <v>623</v>
      </c>
      <c r="C352" t="s">
        <v>714</v>
      </c>
      <c r="D352" t="s">
        <v>732</v>
      </c>
      <c r="E352" t="s">
        <v>15</v>
      </c>
      <c r="F352" t="s">
        <v>733</v>
      </c>
      <c r="G352" t="s">
        <v>17585</v>
      </c>
      <c r="H352"/>
      <c r="I352" t="s">
        <v>18</v>
      </c>
      <c r="J352" t="s">
        <v>735</v>
      </c>
      <c r="K352" t="s">
        <v>736</v>
      </c>
      <c r="L352" t="s">
        <v>21</v>
      </c>
      <c r="M352" t="s">
        <v>19177</v>
      </c>
      <c r="N352" t="s">
        <v>714</v>
      </c>
      <c r="O352" t="s">
        <v>10263</v>
      </c>
      <c r="P352" t="s">
        <v>12</v>
      </c>
    </row>
    <row r="353">
      <c r="A353">
        <f>HYPERLINK("http://bombeiros.sp.gov.br/hidrantes/03individual/2156.html","2156")</f>
      </c>
      <c r="B353" t="s">
        <v>623</v>
      </c>
      <c r="C353" t="s">
        <v>714</v>
      </c>
      <c r="D353" t="s">
        <v>737</v>
      </c>
      <c r="E353" t="s">
        <v>15</v>
      </c>
      <c r="F353" t="s">
        <v>738</v>
      </c>
      <c r="G353" t="s">
        <v>17588</v>
      </c>
      <c r="H353"/>
      <c r="I353" t="s">
        <v>18</v>
      </c>
      <c r="J353" t="s">
        <v>740</v>
      </c>
      <c r="K353" t="s">
        <v>741</v>
      </c>
      <c r="L353" t="s">
        <v>21</v>
      </c>
      <c r="M353" t="s">
        <v>19177</v>
      </c>
      <c r="N353" t="s">
        <v>714</v>
      </c>
      <c r="O353" t="s">
        <v>10263</v>
      </c>
      <c r="P353" t="s">
        <v>12</v>
      </c>
    </row>
    <row r="354">
      <c r="A354">
        <f>HYPERLINK("http://bombeiros.sp.gov.br/hidrantes/03individual/6692.html","6692")</f>
      </c>
      <c r="B354" t="s">
        <v>623</v>
      </c>
      <c r="C354" t="s">
        <v>742</v>
      </c>
      <c r="D354" t="s">
        <v>743</v>
      </c>
      <c r="E354" t="s">
        <v>15</v>
      </c>
      <c r="F354" t="s">
        <v>744</v>
      </c>
      <c r="G354" t="s">
        <v>17809</v>
      </c>
      <c r="H354" t="s">
        <v>1121</v>
      </c>
      <c r="I354" t="s">
        <v>1117</v>
      </c>
      <c r="J354" t="s">
        <v>746</v>
      </c>
      <c r="K354" t="s">
        <v>747</v>
      </c>
      <c r="L354" t="s">
        <v>21</v>
      </c>
      <c r="M354" t="s">
        <v>19177</v>
      </c>
      <c r="N354" t="s">
        <v>16375</v>
      </c>
      <c r="O354" t="s">
        <v>640</v>
      </c>
      <c r="P354" t="s">
        <v>623</v>
      </c>
    </row>
    <row r="355">
      <c r="A355">
        <f>HYPERLINK("http://bombeiros.sp.gov.br/hidrantes/03individual/2295.html","2295")</f>
      </c>
      <c r="B355" t="s">
        <v>623</v>
      </c>
      <c r="C355" t="s">
        <v>742</v>
      </c>
      <c r="D355" t="s">
        <v>751</v>
      </c>
      <c r="E355" t="s">
        <v>15</v>
      </c>
      <c r="F355" t="s">
        <v>10871</v>
      </c>
      <c r="G355" t="s">
        <v>17290</v>
      </c>
      <c r="H355"/>
      <c r="I355" t="s">
        <v>18</v>
      </c>
      <c r="J355" t="s">
        <v>10872</v>
      </c>
      <c r="K355" t="s">
        <v>10873</v>
      </c>
      <c r="L355" t="s">
        <v>21</v>
      </c>
      <c r="M355" t="s">
        <v>19177</v>
      </c>
      <c r="N355" t="s">
        <v>16375</v>
      </c>
      <c r="O355" t="s">
        <v>640</v>
      </c>
      <c r="P355" t="s">
        <v>623</v>
      </c>
    </row>
    <row r="356">
      <c r="A356">
        <f>HYPERLINK("http://bombeiros.sp.gov.br/hidrantes/03individual/1231.html","1231")</f>
      </c>
      <c r="B356" t="s">
        <v>623</v>
      </c>
      <c r="C356" t="s">
        <v>742</v>
      </c>
      <c r="D356" t="s">
        <v>742</v>
      </c>
      <c r="E356" t="s">
        <v>15</v>
      </c>
      <c r="F356" t="s">
        <v>758</v>
      </c>
      <c r="G356" t="s">
        <v>16705</v>
      </c>
      <c r="H356"/>
      <c r="I356" t="s">
        <v>18</v>
      </c>
      <c r="J356" t="s">
        <v>760</v>
      </c>
      <c r="K356" t="s">
        <v>761</v>
      </c>
      <c r="L356" t="s">
        <v>21</v>
      </c>
      <c r="M356" t="s">
        <v>19177</v>
      </c>
      <c r="N356" t="s">
        <v>16375</v>
      </c>
      <c r="O356" t="s">
        <v>640</v>
      </c>
      <c r="P356" t="s">
        <v>623</v>
      </c>
    </row>
    <row r="357">
      <c r="A357">
        <f>HYPERLINK("http://bombeiros.sp.gov.br/hidrantes/03individual/2273.html","2273")</f>
      </c>
      <c r="B357" t="s">
        <v>623</v>
      </c>
      <c r="C357" t="s">
        <v>742</v>
      </c>
      <c r="D357" t="s">
        <v>742</v>
      </c>
      <c r="E357" t="s">
        <v>15</v>
      </c>
      <c r="F357" t="s">
        <v>762</v>
      </c>
      <c r="G357" t="s">
        <v>17722</v>
      </c>
      <c r="H357" t="s">
        <v>1121</v>
      </c>
      <c r="I357" t="s">
        <v>1117</v>
      </c>
      <c r="J357" t="s">
        <v>763</v>
      </c>
      <c r="K357" t="s">
        <v>764</v>
      </c>
      <c r="L357" t="s">
        <v>21</v>
      </c>
      <c r="M357" t="s">
        <v>19177</v>
      </c>
      <c r="N357" t="s">
        <v>16375</v>
      </c>
      <c r="O357" t="s">
        <v>640</v>
      </c>
      <c r="P357" t="s">
        <v>623</v>
      </c>
    </row>
    <row r="358">
      <c r="A358">
        <f>HYPERLINK("http://bombeiros.sp.gov.br/hidrantes/03individual/4031.html","4031")</f>
      </c>
      <c r="B358" t="s">
        <v>623</v>
      </c>
      <c r="C358" t="s">
        <v>742</v>
      </c>
      <c r="D358" t="s">
        <v>765</v>
      </c>
      <c r="E358" t="s">
        <v>15</v>
      </c>
      <c r="F358" t="s">
        <v>766</v>
      </c>
      <c r="G358" t="s">
        <v>17571</v>
      </c>
      <c r="H358"/>
      <c r="I358" t="s">
        <v>18</v>
      </c>
      <c r="J358" t="s">
        <v>768</v>
      </c>
      <c r="K358" t="s">
        <v>769</v>
      </c>
      <c r="L358" t="s">
        <v>21</v>
      </c>
      <c r="M358" t="s">
        <v>19177</v>
      </c>
      <c r="N358" t="s">
        <v>16375</v>
      </c>
      <c r="O358" t="s">
        <v>640</v>
      </c>
      <c r="P358" t="s">
        <v>623</v>
      </c>
    </row>
    <row r="359">
      <c r="A359">
        <f>HYPERLINK("http://bombeiros.sp.gov.br/hidrantes/03individual/4167.html","4167")</f>
      </c>
      <c r="B359" t="s">
        <v>623</v>
      </c>
      <c r="C359" t="s">
        <v>742</v>
      </c>
      <c r="D359" t="s">
        <v>765</v>
      </c>
      <c r="E359" t="s">
        <v>15</v>
      </c>
      <c r="F359" t="s">
        <v>770</v>
      </c>
      <c r="G359" t="s">
        <v>17694</v>
      </c>
      <c r="H359" t="s">
        <v>1107</v>
      </c>
      <c r="I359" t="s">
        <v>1108</v>
      </c>
      <c r="J359" t="s">
        <v>771</v>
      </c>
      <c r="K359" t="s">
        <v>772</v>
      </c>
      <c r="L359" t="s">
        <v>21</v>
      </c>
      <c r="M359" t="s">
        <v>19177</v>
      </c>
      <c r="N359" t="s">
        <v>16375</v>
      </c>
      <c r="O359" t="s">
        <v>640</v>
      </c>
      <c r="P359" t="s">
        <v>623</v>
      </c>
    </row>
    <row r="360">
      <c r="A360">
        <f>HYPERLINK("http://bombeiros.sp.gov.br/hidrantes/03individual/16627.html","16627")</f>
      </c>
      <c r="B360" t="s">
        <v>623</v>
      </c>
      <c r="C360" t="s">
        <v>742</v>
      </c>
      <c r="D360" t="s">
        <v>765</v>
      </c>
      <c r="E360" t="s">
        <v>15</v>
      </c>
      <c r="F360" t="s">
        <v>10940</v>
      </c>
      <c r="G360" t="s">
        <v>17153</v>
      </c>
      <c r="H360"/>
      <c r="I360" t="s">
        <v>18</v>
      </c>
      <c r="J360" t="s">
        <v>10941</v>
      </c>
      <c r="K360" t="s">
        <v>10942</v>
      </c>
      <c r="L360" t="s">
        <v>21</v>
      </c>
      <c r="M360" t="s">
        <v>19177</v>
      </c>
      <c r="N360" t="s">
        <v>16375</v>
      </c>
      <c r="O360" t="s">
        <v>640</v>
      </c>
      <c r="P360" t="s">
        <v>623</v>
      </c>
    </row>
    <row r="361">
      <c r="A361">
        <f>HYPERLINK("http://bombeiros.sp.gov.br/hidrantes/03individual/26818.html","26818")</f>
      </c>
      <c r="B361" t="s">
        <v>623</v>
      </c>
      <c r="C361" t="s">
        <v>742</v>
      </c>
      <c r="D361" t="s">
        <v>765</v>
      </c>
      <c r="E361" t="s">
        <v>15</v>
      </c>
      <c r="F361" t="s">
        <v>16071</v>
      </c>
      <c r="G361"/>
      <c r="H361"/>
      <c r="I361" t="s">
        <v>1503</v>
      </c>
      <c r="J361" t="s">
        <v>16072</v>
      </c>
      <c r="K361" t="s">
        <v>16073</v>
      </c>
      <c r="L361" t="s">
        <v>21</v>
      </c>
      <c r="M361" t="s">
        <v>19177</v>
      </c>
      <c r="N361" t="s">
        <v>16375</v>
      </c>
      <c r="O361" t="s">
        <v>640</v>
      </c>
      <c r="P361" t="s">
        <v>623</v>
      </c>
    </row>
    <row r="362">
      <c r="A362">
        <f>HYPERLINK("http://bombeiros.sp.gov.br/hidrantes/03individual/1639.html","1639")</f>
      </c>
      <c r="B362" t="s">
        <v>623</v>
      </c>
      <c r="C362" t="s">
        <v>773</v>
      </c>
      <c r="D362" t="s">
        <v>10943</v>
      </c>
      <c r="E362" t="s">
        <v>15</v>
      </c>
      <c r="F362" t="s">
        <v>15588</v>
      </c>
      <c r="G362" t="s">
        <v>9110</v>
      </c>
      <c r="H362"/>
      <c r="I362" t="s">
        <v>1117</v>
      </c>
      <c r="J362" t="s">
        <v>15589</v>
      </c>
      <c r="K362" t="s">
        <v>15590</v>
      </c>
      <c r="L362" t="s">
        <v>21</v>
      </c>
      <c r="M362" t="s">
        <v>19177</v>
      </c>
      <c r="N362" t="s">
        <v>714</v>
      </c>
      <c r="O362" t="s">
        <v>10263</v>
      </c>
      <c r="P362" t="s">
        <v>12</v>
      </c>
    </row>
    <row r="363">
      <c r="A363">
        <f>HYPERLINK("http://bombeiros.sp.gov.br/hidrantes/03individual/1787.html","1787")</f>
      </c>
      <c r="B363" t="s">
        <v>623</v>
      </c>
      <c r="C363" t="s">
        <v>773</v>
      </c>
      <c r="D363" t="s">
        <v>10943</v>
      </c>
      <c r="E363" t="s">
        <v>15</v>
      </c>
      <c r="F363" t="s">
        <v>15591</v>
      </c>
      <c r="G363" t="s">
        <v>9110</v>
      </c>
      <c r="H363"/>
      <c r="I363" t="s">
        <v>1117</v>
      </c>
      <c r="J363" t="s">
        <v>15592</v>
      </c>
      <c r="K363" t="s">
        <v>15593</v>
      </c>
      <c r="L363" t="s">
        <v>21</v>
      </c>
      <c r="M363" t="s">
        <v>19177</v>
      </c>
      <c r="N363" t="s">
        <v>714</v>
      </c>
      <c r="O363" t="s">
        <v>10263</v>
      </c>
      <c r="P363" t="s">
        <v>12</v>
      </c>
    </row>
    <row r="364">
      <c r="A364">
        <f>HYPERLINK("http://bombeiros.sp.gov.br/hidrantes/03individual/2213.html","2213")</f>
      </c>
      <c r="B364" t="s">
        <v>623</v>
      </c>
      <c r="C364" t="s">
        <v>773</v>
      </c>
      <c r="D364" t="s">
        <v>773</v>
      </c>
      <c r="E364" t="s">
        <v>64</v>
      </c>
      <c r="F364" t="s">
        <v>774</v>
      </c>
      <c r="G364" t="s">
        <v>17595</v>
      </c>
      <c r="H364"/>
      <c r="I364" t="s">
        <v>18</v>
      </c>
      <c r="J364" t="s">
        <v>775</v>
      </c>
      <c r="K364" t="s">
        <v>776</v>
      </c>
      <c r="L364" t="s">
        <v>36</v>
      </c>
      <c r="M364" t="s">
        <v>19177</v>
      </c>
      <c r="N364" t="s">
        <v>714</v>
      </c>
      <c r="O364" t="s">
        <v>10263</v>
      </c>
      <c r="P364" t="s">
        <v>12</v>
      </c>
    </row>
    <row r="365">
      <c r="A365">
        <f>HYPERLINK("http://bombeiros.sp.gov.br/hidrantes/03individual/2713.html","2713")</f>
      </c>
      <c r="B365" t="s">
        <v>623</v>
      </c>
      <c r="C365" t="s">
        <v>773</v>
      </c>
      <c r="D365" t="s">
        <v>11031</v>
      </c>
      <c r="E365" t="s">
        <v>15</v>
      </c>
      <c r="F365" t="s">
        <v>15594</v>
      </c>
      <c r="G365" t="s">
        <v>9110</v>
      </c>
      <c r="H365"/>
      <c r="I365" t="s">
        <v>1117</v>
      </c>
      <c r="J365" t="s">
        <v>15595</v>
      </c>
      <c r="K365" t="s">
        <v>15596</v>
      </c>
      <c r="L365" t="s">
        <v>21</v>
      </c>
      <c r="M365" t="s">
        <v>19177</v>
      </c>
      <c r="N365" t="s">
        <v>714</v>
      </c>
      <c r="O365" t="s">
        <v>10263</v>
      </c>
      <c r="P365" t="s">
        <v>12</v>
      </c>
    </row>
    <row r="366">
      <c r="A366">
        <f>HYPERLINK("http://bombeiros.sp.gov.br/hidrantes/03individual/1662.html","1662")</f>
      </c>
      <c r="B366" t="s">
        <v>623</v>
      </c>
      <c r="C366" t="s">
        <v>777</v>
      </c>
      <c r="D366" t="s">
        <v>778</v>
      </c>
      <c r="E366" t="s">
        <v>64</v>
      </c>
      <c r="F366" t="s">
        <v>15597</v>
      </c>
      <c r="G366"/>
      <c r="H366"/>
      <c r="I366" t="s">
        <v>1503</v>
      </c>
      <c r="J366" t="s">
        <v>15598</v>
      </c>
      <c r="K366" t="s">
        <v>15599</v>
      </c>
      <c r="L366" t="s">
        <v>36</v>
      </c>
      <c r="M366" t="s">
        <v>19177</v>
      </c>
      <c r="N366" t="s">
        <v>714</v>
      </c>
      <c r="O366" t="s">
        <v>10263</v>
      </c>
      <c r="P366" t="s">
        <v>12</v>
      </c>
    </row>
    <row r="367">
      <c r="A367">
        <f>HYPERLINK("http://bombeiros.sp.gov.br/hidrantes/03individual/1688.html","1688")</f>
      </c>
      <c r="B367" t="s">
        <v>623</v>
      </c>
      <c r="C367" t="s">
        <v>777</v>
      </c>
      <c r="D367" t="s">
        <v>778</v>
      </c>
      <c r="E367" t="s">
        <v>64</v>
      </c>
      <c r="F367" t="s">
        <v>779</v>
      </c>
      <c r="G367" t="s">
        <v>17765</v>
      </c>
      <c r="H367"/>
      <c r="I367" t="s">
        <v>18</v>
      </c>
      <c r="J367" t="s">
        <v>781</v>
      </c>
      <c r="K367" t="s">
        <v>782</v>
      </c>
      <c r="L367" t="s">
        <v>36</v>
      </c>
      <c r="M367" t="s">
        <v>19177</v>
      </c>
      <c r="N367" t="s">
        <v>714</v>
      </c>
      <c r="O367" t="s">
        <v>10263</v>
      </c>
      <c r="P367" t="s">
        <v>12</v>
      </c>
    </row>
    <row r="368">
      <c r="A368">
        <f>HYPERLINK("http://bombeiros.sp.gov.br/hidrantes/03individual/2496.html","2496")</f>
      </c>
      <c r="B368" t="s">
        <v>623</v>
      </c>
      <c r="C368" t="s">
        <v>777</v>
      </c>
      <c r="D368" t="s">
        <v>783</v>
      </c>
      <c r="E368" t="s">
        <v>15</v>
      </c>
      <c r="F368" t="s">
        <v>787</v>
      </c>
      <c r="G368" t="s">
        <v>18085</v>
      </c>
      <c r="H368"/>
      <c r="I368" t="s">
        <v>18</v>
      </c>
      <c r="J368" t="s">
        <v>788</v>
      </c>
      <c r="K368" t="s">
        <v>789</v>
      </c>
      <c r="L368" t="s">
        <v>21</v>
      </c>
      <c r="M368" t="s">
        <v>19177</v>
      </c>
      <c r="N368" t="s">
        <v>714</v>
      </c>
      <c r="O368" t="s">
        <v>10263</v>
      </c>
      <c r="P368" t="s">
        <v>12</v>
      </c>
    </row>
    <row r="369">
      <c r="A369">
        <f>HYPERLINK("http://bombeiros.sp.gov.br/hidrantes/03individual/4265.html","4265")</f>
      </c>
      <c r="B369" t="s">
        <v>623</v>
      </c>
      <c r="C369" t="s">
        <v>777</v>
      </c>
      <c r="D369" t="s">
        <v>783</v>
      </c>
      <c r="E369" t="s">
        <v>15</v>
      </c>
      <c r="F369" t="s">
        <v>11266</v>
      </c>
      <c r="G369" t="s">
        <v>18085</v>
      </c>
      <c r="H369" t="s">
        <v>1174</v>
      </c>
      <c r="I369" t="s">
        <v>1108</v>
      </c>
      <c r="J369" t="s">
        <v>11267</v>
      </c>
      <c r="K369" t="s">
        <v>11268</v>
      </c>
      <c r="L369" t="s">
        <v>21</v>
      </c>
      <c r="M369" t="s">
        <v>19177</v>
      </c>
      <c r="N369" t="s">
        <v>714</v>
      </c>
      <c r="O369" t="s">
        <v>10263</v>
      </c>
      <c r="P369" t="s">
        <v>12</v>
      </c>
    </row>
    <row r="370">
      <c r="A370">
        <f>HYPERLINK("http://bombeiros.sp.gov.br/hidrantes/03individual/4426.html","4426")</f>
      </c>
      <c r="B370" t="s">
        <v>623</v>
      </c>
      <c r="C370" t="s">
        <v>777</v>
      </c>
      <c r="D370" t="s">
        <v>777</v>
      </c>
      <c r="E370" t="s">
        <v>1507</v>
      </c>
      <c r="F370" t="s">
        <v>15600</v>
      </c>
      <c r="G370" t="s">
        <v>10440</v>
      </c>
      <c r="H370" t="s">
        <v>1121</v>
      </c>
      <c r="I370" t="s">
        <v>1117</v>
      </c>
      <c r="J370" t="s">
        <v>15601</v>
      </c>
      <c r="K370" t="s">
        <v>15602</v>
      </c>
      <c r="L370" t="s">
        <v>21</v>
      </c>
      <c r="M370" t="s">
        <v>19177</v>
      </c>
      <c r="N370" t="s">
        <v>714</v>
      </c>
      <c r="O370" t="s">
        <v>10263</v>
      </c>
      <c r="P370" t="s">
        <v>12</v>
      </c>
    </row>
    <row r="371">
      <c r="A371">
        <f>HYPERLINK("http://bombeiros.sp.gov.br/hidrantes/03individual/2159.html","2159")</f>
      </c>
      <c r="B371" t="s">
        <v>623</v>
      </c>
      <c r="C371" t="s">
        <v>777</v>
      </c>
      <c r="D371" t="s">
        <v>777</v>
      </c>
      <c r="E371" t="s">
        <v>64</v>
      </c>
      <c r="F371" t="s">
        <v>790</v>
      </c>
      <c r="G371" t="s">
        <v>18085</v>
      </c>
      <c r="H371" t="s">
        <v>1112</v>
      </c>
      <c r="I371" t="s">
        <v>1108</v>
      </c>
      <c r="J371" t="s">
        <v>791</v>
      </c>
      <c r="K371" t="s">
        <v>792</v>
      </c>
      <c r="L371" t="s">
        <v>21</v>
      </c>
      <c r="M371" t="s">
        <v>19177</v>
      </c>
      <c r="N371" t="s">
        <v>714</v>
      </c>
      <c r="O371" t="s">
        <v>10263</v>
      </c>
      <c r="P371" t="s">
        <v>12</v>
      </c>
    </row>
    <row r="372">
      <c r="A372">
        <f>HYPERLINK("http://bombeiros.sp.gov.br/hidrantes/03individual/2143.html","2143")</f>
      </c>
      <c r="B372" t="s">
        <v>623</v>
      </c>
      <c r="C372" t="s">
        <v>777</v>
      </c>
      <c r="D372" t="s">
        <v>777</v>
      </c>
      <c r="E372" t="s">
        <v>15</v>
      </c>
      <c r="F372" t="s">
        <v>11300</v>
      </c>
      <c r="G372" t="s">
        <v>18057</v>
      </c>
      <c r="H372" t="s">
        <v>1107</v>
      </c>
      <c r="I372" t="s">
        <v>1108</v>
      </c>
      <c r="J372" t="s">
        <v>11301</v>
      </c>
      <c r="K372" t="s">
        <v>11302</v>
      </c>
      <c r="L372" t="s">
        <v>21</v>
      </c>
      <c r="M372" t="s">
        <v>19177</v>
      </c>
      <c r="N372" t="s">
        <v>714</v>
      </c>
      <c r="O372" t="s">
        <v>10263</v>
      </c>
      <c r="P372" t="s">
        <v>12</v>
      </c>
    </row>
    <row r="373">
      <c r="A373">
        <f>HYPERLINK("http://bombeiros.sp.gov.br/hidrantes/03individual/17754.html","17754")</f>
      </c>
      <c r="B373" t="s">
        <v>623</v>
      </c>
      <c r="C373" t="s">
        <v>777</v>
      </c>
      <c r="D373" t="s">
        <v>777</v>
      </c>
      <c r="E373" t="s">
        <v>15</v>
      </c>
      <c r="F373" t="s">
        <v>15603</v>
      </c>
      <c r="G373"/>
      <c r="H373"/>
      <c r="I373" t="s">
        <v>1503</v>
      </c>
      <c r="J373" t="s">
        <v>15604</v>
      </c>
      <c r="K373" t="s">
        <v>15605</v>
      </c>
      <c r="L373" t="s">
        <v>21</v>
      </c>
      <c r="M373" t="s">
        <v>19177</v>
      </c>
      <c r="N373" t="s">
        <v>714</v>
      </c>
      <c r="O373" t="s">
        <v>10263</v>
      </c>
      <c r="P373" t="s">
        <v>12</v>
      </c>
    </row>
    <row r="374">
      <c r="A374">
        <f>HYPERLINK("http://bombeiros.sp.gov.br/hidrantes/03individual/27396.html","27396")</f>
      </c>
      <c r="B374" t="s">
        <v>623</v>
      </c>
      <c r="C374" t="s">
        <v>777</v>
      </c>
      <c r="D374" t="s">
        <v>793</v>
      </c>
      <c r="E374" t="s">
        <v>15</v>
      </c>
      <c r="F374" t="s">
        <v>17299</v>
      </c>
      <c r="G374" t="s">
        <v>17656</v>
      </c>
      <c r="H374"/>
      <c r="I374" t="s">
        <v>18</v>
      </c>
      <c r="J374" t="s">
        <v>17300</v>
      </c>
      <c r="K374" t="s">
        <v>17301</v>
      </c>
      <c r="L374" t="s">
        <v>21</v>
      </c>
      <c r="M374" t="s">
        <v>19177</v>
      </c>
      <c r="N374" t="s">
        <v>714</v>
      </c>
      <c r="O374" t="s">
        <v>10263</v>
      </c>
      <c r="P374" t="s">
        <v>12</v>
      </c>
    </row>
    <row r="375">
      <c r="A375">
        <f>HYPERLINK("http://bombeiros.sp.gov.br/hidrantes/03individual/4208.html","4208")</f>
      </c>
      <c r="B375" t="s">
        <v>623</v>
      </c>
      <c r="C375" t="s">
        <v>797</v>
      </c>
      <c r="D375" t="s">
        <v>797</v>
      </c>
      <c r="E375" t="s">
        <v>15</v>
      </c>
      <c r="F375" t="s">
        <v>798</v>
      </c>
      <c r="G375" t="s">
        <v>17722</v>
      </c>
      <c r="H375"/>
      <c r="I375" t="s">
        <v>18</v>
      </c>
      <c r="J375" t="s">
        <v>800</v>
      </c>
      <c r="K375" t="s">
        <v>801</v>
      </c>
      <c r="L375" t="s">
        <v>21</v>
      </c>
      <c r="M375" t="s">
        <v>19177</v>
      </c>
      <c r="N375" t="s">
        <v>16377</v>
      </c>
      <c r="O375" t="s">
        <v>16377</v>
      </c>
      <c r="P375" t="s">
        <v>623</v>
      </c>
    </row>
    <row r="376">
      <c r="A376">
        <f>HYPERLINK("http://bombeiros.sp.gov.br/hidrantes/03individual/1237.html","1237")</f>
      </c>
      <c r="B376" t="s">
        <v>623</v>
      </c>
      <c r="C376" t="s">
        <v>802</v>
      </c>
      <c r="D376" t="s">
        <v>803</v>
      </c>
      <c r="E376" t="s">
        <v>15</v>
      </c>
      <c r="F376" t="s">
        <v>11431</v>
      </c>
      <c r="G376" t="s">
        <v>17870</v>
      </c>
      <c r="H376" t="s">
        <v>1121</v>
      </c>
      <c r="I376" t="s">
        <v>1117</v>
      </c>
      <c r="J376" t="s">
        <v>11432</v>
      </c>
      <c r="K376" t="s">
        <v>11433</v>
      </c>
      <c r="L376" t="s">
        <v>21</v>
      </c>
      <c r="M376" t="s">
        <v>19177</v>
      </c>
      <c r="N376" t="s">
        <v>16375</v>
      </c>
      <c r="O376" t="s">
        <v>640</v>
      </c>
      <c r="P376" t="s">
        <v>623</v>
      </c>
    </row>
    <row r="377">
      <c r="A377">
        <f>HYPERLINK("http://bombeiros.sp.gov.br/hidrantes/03individual/5355.html","5355")</f>
      </c>
      <c r="B377" t="s">
        <v>623</v>
      </c>
      <c r="C377" t="s">
        <v>802</v>
      </c>
      <c r="D377" t="s">
        <v>803</v>
      </c>
      <c r="E377" t="s">
        <v>15</v>
      </c>
      <c r="F377" t="s">
        <v>15606</v>
      </c>
      <c r="G377" t="s">
        <v>15607</v>
      </c>
      <c r="H377" t="s">
        <v>1121</v>
      </c>
      <c r="I377" t="s">
        <v>1117</v>
      </c>
      <c r="J377" t="s">
        <v>15608</v>
      </c>
      <c r="K377" t="s">
        <v>15609</v>
      </c>
      <c r="L377" t="s">
        <v>21</v>
      </c>
      <c r="M377" t="s">
        <v>19177</v>
      </c>
      <c r="N377" t="s">
        <v>16377</v>
      </c>
      <c r="O377"/>
      <c r="P377" t="s">
        <v>623</v>
      </c>
    </row>
    <row r="378">
      <c r="A378">
        <f>HYPERLINK("http://bombeiros.sp.gov.br/hidrantes/03individual/25224.html","25224")</f>
      </c>
      <c r="B378" t="s">
        <v>623</v>
      </c>
      <c r="C378" t="s">
        <v>802</v>
      </c>
      <c r="D378" t="s">
        <v>803</v>
      </c>
      <c r="E378" t="s">
        <v>15</v>
      </c>
      <c r="F378" t="s">
        <v>804</v>
      </c>
      <c r="G378" t="s">
        <v>340</v>
      </c>
      <c r="H378"/>
      <c r="I378" t="s">
        <v>18</v>
      </c>
      <c r="J378" t="s">
        <v>805</v>
      </c>
      <c r="K378" t="s">
        <v>806</v>
      </c>
      <c r="L378" t="s">
        <v>21</v>
      </c>
      <c r="M378" t="s">
        <v>19177</v>
      </c>
      <c r="N378" t="s">
        <v>16375</v>
      </c>
      <c r="O378" t="s">
        <v>640</v>
      </c>
      <c r="P378" t="s">
        <v>623</v>
      </c>
    </row>
    <row r="379">
      <c r="A379">
        <f>HYPERLINK("http://bombeiros.sp.gov.br/hidrantes/03individual/1247.html","1247")</f>
      </c>
      <c r="B379" t="s">
        <v>623</v>
      </c>
      <c r="C379" t="s">
        <v>802</v>
      </c>
      <c r="D379" t="s">
        <v>802</v>
      </c>
      <c r="E379" t="s">
        <v>15</v>
      </c>
      <c r="F379" t="s">
        <v>815</v>
      </c>
      <c r="G379" t="s">
        <v>17834</v>
      </c>
      <c r="H379"/>
      <c r="I379" t="s">
        <v>18</v>
      </c>
      <c r="J379" t="s">
        <v>816</v>
      </c>
      <c r="K379" t="s">
        <v>817</v>
      </c>
      <c r="L379" t="s">
        <v>21</v>
      </c>
      <c r="M379" t="s">
        <v>19177</v>
      </c>
      <c r="N379" t="s">
        <v>16375</v>
      </c>
      <c r="O379" t="s">
        <v>640</v>
      </c>
      <c r="P379" t="s">
        <v>623</v>
      </c>
    </row>
    <row r="380">
      <c r="A380">
        <f>HYPERLINK("http://bombeiros.sp.gov.br/hidrantes/03individual/17815.html","17815")</f>
      </c>
      <c r="B380" t="s">
        <v>623</v>
      </c>
      <c r="C380" t="s">
        <v>802</v>
      </c>
      <c r="D380" t="s">
        <v>802</v>
      </c>
      <c r="E380" t="s">
        <v>15</v>
      </c>
      <c r="F380" t="s">
        <v>818</v>
      </c>
      <c r="G380" t="s">
        <v>17870</v>
      </c>
      <c r="H380"/>
      <c r="I380" t="s">
        <v>18</v>
      </c>
      <c r="J380" t="s">
        <v>819</v>
      </c>
      <c r="K380" t="s">
        <v>820</v>
      </c>
      <c r="L380" t="s">
        <v>21</v>
      </c>
      <c r="M380" t="s">
        <v>19177</v>
      </c>
      <c r="N380" t="s">
        <v>16375</v>
      </c>
      <c r="O380" t="s">
        <v>640</v>
      </c>
      <c r="P380" t="s">
        <v>623</v>
      </c>
    </row>
    <row r="381">
      <c r="A381">
        <f>HYPERLINK("http://bombeiros.sp.gov.br/hidrantes/03individual/6759.html","6759")</f>
      </c>
      <c r="B381" t="s">
        <v>623</v>
      </c>
      <c r="C381" t="s">
        <v>821</v>
      </c>
      <c r="D381" t="s">
        <v>822</v>
      </c>
      <c r="E381" t="s">
        <v>64</v>
      </c>
      <c r="F381" t="s">
        <v>11562</v>
      </c>
      <c r="G381" t="s">
        <v>17203</v>
      </c>
      <c r="H381"/>
      <c r="I381" t="s">
        <v>18</v>
      </c>
      <c r="J381" t="s">
        <v>11563</v>
      </c>
      <c r="K381" t="s">
        <v>11564</v>
      </c>
      <c r="L381" t="s">
        <v>21</v>
      </c>
      <c r="M381" t="s">
        <v>19177</v>
      </c>
      <c r="N381" t="s">
        <v>714</v>
      </c>
      <c r="O381" t="s">
        <v>10263</v>
      </c>
      <c r="P381" t="s">
        <v>12</v>
      </c>
    </row>
    <row r="382">
      <c r="A382">
        <f>HYPERLINK("http://bombeiros.sp.gov.br/hidrantes/03individual/6763.html","6763")</f>
      </c>
      <c r="B382" t="s">
        <v>623</v>
      </c>
      <c r="C382" t="s">
        <v>821</v>
      </c>
      <c r="D382" t="s">
        <v>822</v>
      </c>
      <c r="E382" t="s">
        <v>64</v>
      </c>
      <c r="F382" t="s">
        <v>11574</v>
      </c>
      <c r="G382" t="s">
        <v>17570</v>
      </c>
      <c r="H382"/>
      <c r="I382" t="s">
        <v>18</v>
      </c>
      <c r="J382" t="s">
        <v>11575</v>
      </c>
      <c r="K382" t="s">
        <v>11576</v>
      </c>
      <c r="L382" t="s">
        <v>21</v>
      </c>
      <c r="M382" t="s">
        <v>19177</v>
      </c>
      <c r="N382" t="s">
        <v>714</v>
      </c>
      <c r="O382" t="s">
        <v>10263</v>
      </c>
      <c r="P382" t="s">
        <v>12</v>
      </c>
    </row>
    <row r="383">
      <c r="A383">
        <f>HYPERLINK("http://bombeiros.sp.gov.br/hidrantes/03individual/6773.html","6773")</f>
      </c>
      <c r="B383" t="s">
        <v>623</v>
      </c>
      <c r="C383" t="s">
        <v>821</v>
      </c>
      <c r="D383" t="s">
        <v>822</v>
      </c>
      <c r="E383" t="s">
        <v>64</v>
      </c>
      <c r="F383" t="s">
        <v>823</v>
      </c>
      <c r="G383" t="s">
        <v>17565</v>
      </c>
      <c r="H383"/>
      <c r="I383" t="s">
        <v>18</v>
      </c>
      <c r="J383" t="s">
        <v>825</v>
      </c>
      <c r="K383" t="s">
        <v>826</v>
      </c>
      <c r="L383" t="s">
        <v>21</v>
      </c>
      <c r="M383" t="s">
        <v>19177</v>
      </c>
      <c r="N383" t="s">
        <v>714</v>
      </c>
      <c r="O383" t="s">
        <v>10263</v>
      </c>
      <c r="P383" t="s">
        <v>12</v>
      </c>
    </row>
    <row r="384">
      <c r="A384">
        <f>HYPERLINK("http://bombeiros.sp.gov.br/hidrantes/03individual/26751.html","26751")</f>
      </c>
      <c r="B384" t="s">
        <v>623</v>
      </c>
      <c r="C384" t="s">
        <v>821</v>
      </c>
      <c r="D384" t="s">
        <v>822</v>
      </c>
      <c r="E384" t="s">
        <v>64</v>
      </c>
      <c r="F384" t="s">
        <v>11606</v>
      </c>
      <c r="G384" t="s">
        <v>17565</v>
      </c>
      <c r="H384"/>
      <c r="I384" t="s">
        <v>18</v>
      </c>
      <c r="J384" t="s">
        <v>11607</v>
      </c>
      <c r="K384" t="s">
        <v>11608</v>
      </c>
      <c r="L384" t="s">
        <v>21</v>
      </c>
      <c r="M384" t="s">
        <v>19177</v>
      </c>
      <c r="N384" t="s">
        <v>714</v>
      </c>
      <c r="O384" t="s">
        <v>10263</v>
      </c>
      <c r="P384" t="s">
        <v>12</v>
      </c>
    </row>
    <row r="385">
      <c r="A385">
        <f>HYPERLINK("http://bombeiros.sp.gov.br/hidrantes/03individual/27446.html","27446")</f>
      </c>
      <c r="B385" t="s">
        <v>623</v>
      </c>
      <c r="C385" t="s">
        <v>821</v>
      </c>
      <c r="D385" t="s">
        <v>822</v>
      </c>
      <c r="E385" t="s">
        <v>64</v>
      </c>
      <c r="F385" t="s">
        <v>17355</v>
      </c>
      <c r="G385" t="s">
        <v>17431</v>
      </c>
      <c r="H385"/>
      <c r="I385" t="s">
        <v>18</v>
      </c>
      <c r="J385" t="s">
        <v>17356</v>
      </c>
      <c r="K385" t="s">
        <v>18425</v>
      </c>
      <c r="L385" t="s">
        <v>21</v>
      </c>
      <c r="M385" t="s">
        <v>19177</v>
      </c>
      <c r="N385" t="s">
        <v>714</v>
      </c>
      <c r="O385" t="s">
        <v>10263</v>
      </c>
      <c r="P385" t="s">
        <v>12</v>
      </c>
    </row>
    <row r="386">
      <c r="A386">
        <f>HYPERLINK("http://bombeiros.sp.gov.br/hidrantes/03individual/2148.html","2148")</f>
      </c>
      <c r="B386" t="s">
        <v>623</v>
      </c>
      <c r="C386" t="s">
        <v>831</v>
      </c>
      <c r="D386" t="s">
        <v>832</v>
      </c>
      <c r="E386" t="s">
        <v>15</v>
      </c>
      <c r="F386" t="s">
        <v>833</v>
      </c>
      <c r="G386" t="s">
        <v>17867</v>
      </c>
      <c r="H386" t="s">
        <v>1121</v>
      </c>
      <c r="I386" t="s">
        <v>1117</v>
      </c>
      <c r="J386" t="s">
        <v>834</v>
      </c>
      <c r="K386" t="s">
        <v>835</v>
      </c>
      <c r="L386" t="s">
        <v>21</v>
      </c>
      <c r="M386" t="s">
        <v>19177</v>
      </c>
      <c r="N386" t="s">
        <v>848</v>
      </c>
      <c r="O386" t="s">
        <v>640</v>
      </c>
      <c r="P386" t="s">
        <v>623</v>
      </c>
    </row>
    <row r="387">
      <c r="A387">
        <f>HYPERLINK("http://bombeiros.sp.gov.br/hidrantes/03individual/4029.html","4029")</f>
      </c>
      <c r="B387" t="s">
        <v>623</v>
      </c>
      <c r="C387" t="s">
        <v>831</v>
      </c>
      <c r="D387" t="s">
        <v>11682</v>
      </c>
      <c r="E387" t="s">
        <v>15</v>
      </c>
      <c r="F387" t="s">
        <v>11695</v>
      </c>
      <c r="G387" t="s">
        <v>16758</v>
      </c>
      <c r="H387"/>
      <c r="I387" t="s">
        <v>18</v>
      </c>
      <c r="J387" t="s">
        <v>11696</v>
      </c>
      <c r="K387" t="s">
        <v>11697</v>
      </c>
      <c r="L387" t="s">
        <v>21</v>
      </c>
      <c r="M387" t="s">
        <v>19177</v>
      </c>
      <c r="N387" t="s">
        <v>16375</v>
      </c>
      <c r="O387" t="s">
        <v>640</v>
      </c>
      <c r="P387" t="s">
        <v>623</v>
      </c>
    </row>
    <row r="388">
      <c r="A388">
        <f>HYPERLINK("http://bombeiros.sp.gov.br/hidrantes/03individual/1327.html","1327")</f>
      </c>
      <c r="B388" t="s">
        <v>623</v>
      </c>
      <c r="C388" t="s">
        <v>831</v>
      </c>
      <c r="D388" t="s">
        <v>831</v>
      </c>
      <c r="E388" t="s">
        <v>15</v>
      </c>
      <c r="F388" t="s">
        <v>836</v>
      </c>
      <c r="G388" t="s">
        <v>17786</v>
      </c>
      <c r="H388"/>
      <c r="I388" t="s">
        <v>18</v>
      </c>
      <c r="J388" t="s">
        <v>837</v>
      </c>
      <c r="K388" t="s">
        <v>838</v>
      </c>
      <c r="L388" t="s">
        <v>21</v>
      </c>
      <c r="M388" t="s">
        <v>19177</v>
      </c>
      <c r="N388" t="s">
        <v>16375</v>
      </c>
      <c r="O388" t="s">
        <v>640</v>
      </c>
      <c r="P388" t="s">
        <v>623</v>
      </c>
    </row>
    <row r="389">
      <c r="A389">
        <f>HYPERLINK("http://bombeiros.sp.gov.br/hidrantes/03individual/2163.html","2163")</f>
      </c>
      <c r="B389" t="s">
        <v>623</v>
      </c>
      <c r="C389" t="s">
        <v>831</v>
      </c>
      <c r="D389" t="s">
        <v>831</v>
      </c>
      <c r="E389" t="s">
        <v>15</v>
      </c>
      <c r="F389" t="s">
        <v>839</v>
      </c>
      <c r="G389" t="s">
        <v>17193</v>
      </c>
      <c r="H389"/>
      <c r="I389" t="s">
        <v>18</v>
      </c>
      <c r="J389" t="s">
        <v>840</v>
      </c>
      <c r="K389" t="s">
        <v>841</v>
      </c>
      <c r="L389" t="s">
        <v>21</v>
      </c>
      <c r="M389" t="s">
        <v>19177</v>
      </c>
      <c r="N389" t="s">
        <v>16375</v>
      </c>
      <c r="O389" t="s">
        <v>640</v>
      </c>
      <c r="P389" t="s">
        <v>623</v>
      </c>
    </row>
    <row r="390">
      <c r="A390">
        <f>HYPERLINK("http://bombeiros.sp.gov.br/hidrantes/03individual/2185.html","2185")</f>
      </c>
      <c r="B390" t="s">
        <v>623</v>
      </c>
      <c r="C390" t="s">
        <v>831</v>
      </c>
      <c r="D390" t="s">
        <v>831</v>
      </c>
      <c r="E390" t="s">
        <v>15</v>
      </c>
      <c r="F390" t="s">
        <v>11751</v>
      </c>
      <c r="G390" t="s">
        <v>17198</v>
      </c>
      <c r="H390"/>
      <c r="I390" t="s">
        <v>18</v>
      </c>
      <c r="J390" t="s">
        <v>11752</v>
      </c>
      <c r="K390" t="s">
        <v>11753</v>
      </c>
      <c r="L390" t="s">
        <v>21</v>
      </c>
      <c r="M390" t="s">
        <v>19177</v>
      </c>
      <c r="N390" t="s">
        <v>16375</v>
      </c>
      <c r="O390" t="s">
        <v>640</v>
      </c>
      <c r="P390" t="s">
        <v>623</v>
      </c>
    </row>
    <row r="391">
      <c r="A391">
        <f>HYPERLINK("http://bombeiros.sp.gov.br/hidrantes/03individual/3919.html","3919")</f>
      </c>
      <c r="B391" t="s">
        <v>842</v>
      </c>
      <c r="C391" t="s">
        <v>11775</v>
      </c>
      <c r="D391" t="s">
        <v>11775</v>
      </c>
      <c r="E391" t="s">
        <v>15</v>
      </c>
      <c r="F391" t="s">
        <v>11803</v>
      </c>
      <c r="G391" t="s">
        <v>17546</v>
      </c>
      <c r="H391" t="s">
        <v>1121</v>
      </c>
      <c r="I391" t="s">
        <v>1117</v>
      </c>
      <c r="J391" t="s">
        <v>11804</v>
      </c>
      <c r="K391" t="s">
        <v>11805</v>
      </c>
      <c r="L391" t="s">
        <v>21</v>
      </c>
      <c r="M391" t="s">
        <v>19177</v>
      </c>
      <c r="N391" t="s">
        <v>1024</v>
      </c>
      <c r="O391" t="s">
        <v>1024</v>
      </c>
      <c r="P391" t="s">
        <v>842</v>
      </c>
    </row>
    <row r="392">
      <c r="A392">
        <f>HYPERLINK("http://bombeiros.sp.gov.br/hidrantes/03individual/3887.html","3887")</f>
      </c>
      <c r="B392" t="s">
        <v>842</v>
      </c>
      <c r="C392" t="s">
        <v>11775</v>
      </c>
      <c r="D392" t="s">
        <v>11822</v>
      </c>
      <c r="E392" t="s">
        <v>15</v>
      </c>
      <c r="F392" t="s">
        <v>15610</v>
      </c>
      <c r="G392" t="s">
        <v>15176</v>
      </c>
      <c r="H392"/>
      <c r="I392" t="s">
        <v>1117</v>
      </c>
      <c r="J392" t="s">
        <v>15611</v>
      </c>
      <c r="K392" t="s">
        <v>15612</v>
      </c>
      <c r="L392" t="s">
        <v>21</v>
      </c>
      <c r="M392" t="s">
        <v>19177</v>
      </c>
      <c r="N392" t="s">
        <v>1024</v>
      </c>
      <c r="O392" t="s">
        <v>1024</v>
      </c>
      <c r="P392" t="s">
        <v>842</v>
      </c>
    </row>
    <row r="393">
      <c r="A393">
        <f>HYPERLINK("http://bombeiros.sp.gov.br/hidrantes/03individual/28051.html","28051")</f>
      </c>
      <c r="B393" t="s">
        <v>842</v>
      </c>
      <c r="C393" t="s">
        <v>11775</v>
      </c>
      <c r="D393" t="s">
        <v>11822</v>
      </c>
      <c r="E393" t="s">
        <v>15</v>
      </c>
      <c r="F393" t="s">
        <v>18426</v>
      </c>
      <c r="G393"/>
      <c r="H393"/>
      <c r="I393" t="s">
        <v>1503</v>
      </c>
      <c r="J393" t="s">
        <v>18427</v>
      </c>
      <c r="K393" t="s">
        <v>18428</v>
      </c>
      <c r="L393" t="s">
        <v>21</v>
      </c>
      <c r="M393" t="s">
        <v>19177</v>
      </c>
      <c r="N393" t="s">
        <v>1024</v>
      </c>
      <c r="O393" t="s">
        <v>1024</v>
      </c>
      <c r="P393" t="s">
        <v>842</v>
      </c>
    </row>
    <row r="394">
      <c r="A394">
        <f>HYPERLINK("http://bombeiros.sp.gov.br/hidrantes/03individual/390.html","390")</f>
      </c>
      <c r="B394" t="s">
        <v>842</v>
      </c>
      <c r="C394" t="s">
        <v>11775</v>
      </c>
      <c r="D394" t="s">
        <v>11850</v>
      </c>
      <c r="E394" t="s">
        <v>15</v>
      </c>
      <c r="F394" t="s">
        <v>15613</v>
      </c>
      <c r="G394" t="s">
        <v>15269</v>
      </c>
      <c r="H394"/>
      <c r="I394" t="s">
        <v>1117</v>
      </c>
      <c r="J394" t="s">
        <v>15614</v>
      </c>
      <c r="K394" t="s">
        <v>15615</v>
      </c>
      <c r="L394" t="s">
        <v>21</v>
      </c>
      <c r="M394" t="s">
        <v>19177</v>
      </c>
      <c r="N394" t="s">
        <v>1024</v>
      </c>
      <c r="O394" t="s">
        <v>1024</v>
      </c>
      <c r="P394" t="s">
        <v>842</v>
      </c>
    </row>
    <row r="395">
      <c r="A395">
        <f>HYPERLINK("http://bombeiros.sp.gov.br/hidrantes/03individual/4022.html","4022")</f>
      </c>
      <c r="B395" t="s">
        <v>842</v>
      </c>
      <c r="C395" t="s">
        <v>843</v>
      </c>
      <c r="D395" t="s">
        <v>12120</v>
      </c>
      <c r="E395" t="s">
        <v>64</v>
      </c>
      <c r="F395" t="s">
        <v>15616</v>
      </c>
      <c r="G395" t="s">
        <v>799</v>
      </c>
      <c r="H395" t="s">
        <v>1121</v>
      </c>
      <c r="I395" t="s">
        <v>1117</v>
      </c>
      <c r="J395" t="s">
        <v>15617</v>
      </c>
      <c r="K395" t="s">
        <v>15618</v>
      </c>
      <c r="L395" t="s">
        <v>21</v>
      </c>
      <c r="M395" t="s">
        <v>19177</v>
      </c>
      <c r="N395" t="s">
        <v>848</v>
      </c>
      <c r="O395" t="s">
        <v>640</v>
      </c>
      <c r="P395" t="s">
        <v>623</v>
      </c>
    </row>
    <row r="396">
      <c r="A396">
        <f>HYPERLINK("http://bombeiros.sp.gov.br/hidrantes/03individual/4023.html","4023")</f>
      </c>
      <c r="B396" t="s">
        <v>842</v>
      </c>
      <c r="C396" t="s">
        <v>843</v>
      </c>
      <c r="D396" t="s">
        <v>12120</v>
      </c>
      <c r="E396" t="s">
        <v>64</v>
      </c>
      <c r="F396" t="s">
        <v>15616</v>
      </c>
      <c r="G396" t="s">
        <v>15018</v>
      </c>
      <c r="H396"/>
      <c r="I396" t="s">
        <v>1117</v>
      </c>
      <c r="J396" t="s">
        <v>15619</v>
      </c>
      <c r="K396" t="s">
        <v>15620</v>
      </c>
      <c r="L396" t="s">
        <v>21</v>
      </c>
      <c r="M396" t="s">
        <v>19177</v>
      </c>
      <c r="N396" t="s">
        <v>848</v>
      </c>
      <c r="O396" t="s">
        <v>640</v>
      </c>
      <c r="P396" t="s">
        <v>623</v>
      </c>
    </row>
    <row r="397">
      <c r="A397">
        <f>HYPERLINK("http://bombeiros.sp.gov.br/hidrantes/03individual/4112.html","4112")</f>
      </c>
      <c r="B397" t="s">
        <v>842</v>
      </c>
      <c r="C397" t="s">
        <v>843</v>
      </c>
      <c r="D397" t="s">
        <v>844</v>
      </c>
      <c r="E397" t="s">
        <v>64</v>
      </c>
      <c r="F397" t="s">
        <v>845</v>
      </c>
      <c r="G397" t="s">
        <v>17915</v>
      </c>
      <c r="H397"/>
      <c r="I397" t="s">
        <v>18</v>
      </c>
      <c r="J397" t="s">
        <v>846</v>
      </c>
      <c r="K397" t="s">
        <v>847</v>
      </c>
      <c r="L397" t="s">
        <v>36</v>
      </c>
      <c r="M397" t="s">
        <v>19177</v>
      </c>
      <c r="N397" t="s">
        <v>848</v>
      </c>
      <c r="O397" t="s">
        <v>640</v>
      </c>
      <c r="P397" t="s">
        <v>623</v>
      </c>
    </row>
    <row r="398">
      <c r="A398">
        <f>HYPERLINK("http://bombeiros.sp.gov.br/hidrantes/03individual/2368.html","2368")</f>
      </c>
      <c r="B398" t="s">
        <v>842</v>
      </c>
      <c r="C398" t="s">
        <v>843</v>
      </c>
      <c r="D398" t="s">
        <v>844</v>
      </c>
      <c r="E398" t="s">
        <v>15</v>
      </c>
      <c r="F398" t="s">
        <v>15621</v>
      </c>
      <c r="G398" t="s">
        <v>799</v>
      </c>
      <c r="H398"/>
      <c r="I398" t="s">
        <v>18</v>
      </c>
      <c r="J398" t="s">
        <v>15622</v>
      </c>
      <c r="K398" t="s">
        <v>15623</v>
      </c>
      <c r="L398" t="s">
        <v>21</v>
      </c>
      <c r="M398" t="s">
        <v>19177</v>
      </c>
      <c r="N398" t="s">
        <v>848</v>
      </c>
      <c r="O398" t="s">
        <v>640</v>
      </c>
      <c r="P398" t="s">
        <v>623</v>
      </c>
    </row>
    <row r="399">
      <c r="A399">
        <f>HYPERLINK("http://bombeiros.sp.gov.br/hidrantes/03individual/4422.html","4422")</f>
      </c>
      <c r="B399" t="s">
        <v>842</v>
      </c>
      <c r="C399" t="s">
        <v>843</v>
      </c>
      <c r="D399" t="s">
        <v>848</v>
      </c>
      <c r="E399" t="s">
        <v>1507</v>
      </c>
      <c r="F399" t="s">
        <v>15624</v>
      </c>
      <c r="G399" t="s">
        <v>15255</v>
      </c>
      <c r="H399"/>
      <c r="I399" t="s">
        <v>1117</v>
      </c>
      <c r="J399" t="s">
        <v>15625</v>
      </c>
      <c r="K399" t="s">
        <v>15626</v>
      </c>
      <c r="L399" t="s">
        <v>21</v>
      </c>
      <c r="M399" t="s">
        <v>19177</v>
      </c>
      <c r="N399" t="s">
        <v>848</v>
      </c>
      <c r="O399" t="s">
        <v>640</v>
      </c>
      <c r="P399" t="s">
        <v>623</v>
      </c>
    </row>
    <row r="400">
      <c r="A400">
        <f>HYPERLINK("http://bombeiros.sp.gov.br/hidrantes/03individual/6699.html","6699")</f>
      </c>
      <c r="B400" t="s">
        <v>842</v>
      </c>
      <c r="C400" t="s">
        <v>843</v>
      </c>
      <c r="D400" t="s">
        <v>848</v>
      </c>
      <c r="E400" t="s">
        <v>15</v>
      </c>
      <c r="F400" t="s">
        <v>849</v>
      </c>
      <c r="G400" t="s">
        <v>17915</v>
      </c>
      <c r="H400"/>
      <c r="I400" t="s">
        <v>18</v>
      </c>
      <c r="J400" t="s">
        <v>850</v>
      </c>
      <c r="K400" t="s">
        <v>851</v>
      </c>
      <c r="L400" t="s">
        <v>21</v>
      </c>
      <c r="M400" t="s">
        <v>19177</v>
      </c>
      <c r="N400" t="s">
        <v>848</v>
      </c>
      <c r="O400" t="s">
        <v>640</v>
      </c>
      <c r="P400" t="s">
        <v>623</v>
      </c>
    </row>
    <row r="401">
      <c r="A401">
        <f>HYPERLINK("http://bombeiros.sp.gov.br/hidrantes/03individual/4124.html","4124")</f>
      </c>
      <c r="B401" t="s">
        <v>842</v>
      </c>
      <c r="C401" t="s">
        <v>852</v>
      </c>
      <c r="D401" t="s">
        <v>853</v>
      </c>
      <c r="E401" t="s">
        <v>64</v>
      </c>
      <c r="F401" t="s">
        <v>854</v>
      </c>
      <c r="G401" t="s">
        <v>17909</v>
      </c>
      <c r="H401"/>
      <c r="I401" t="s">
        <v>18</v>
      </c>
      <c r="J401" t="s">
        <v>856</v>
      </c>
      <c r="K401" t="s">
        <v>857</v>
      </c>
      <c r="L401" t="s">
        <v>36</v>
      </c>
      <c r="M401" t="s">
        <v>19177</v>
      </c>
      <c r="N401" t="s">
        <v>848</v>
      </c>
      <c r="O401" t="s">
        <v>640</v>
      </c>
      <c r="P401" t="s">
        <v>623</v>
      </c>
    </row>
    <row r="402">
      <c r="A402">
        <f>HYPERLINK("http://bombeiros.sp.gov.br/hidrantes/03individual/4154.html","4154")</f>
      </c>
      <c r="B402" t="s">
        <v>842</v>
      </c>
      <c r="C402" t="s">
        <v>852</v>
      </c>
      <c r="D402" t="s">
        <v>853</v>
      </c>
      <c r="E402" t="s">
        <v>15</v>
      </c>
      <c r="F402" t="s">
        <v>858</v>
      </c>
      <c r="G402" t="s">
        <v>17908</v>
      </c>
      <c r="H402"/>
      <c r="I402" t="s">
        <v>18</v>
      </c>
      <c r="J402" t="s">
        <v>860</v>
      </c>
      <c r="K402" t="s">
        <v>861</v>
      </c>
      <c r="L402" t="s">
        <v>21</v>
      </c>
      <c r="M402" t="s">
        <v>19177</v>
      </c>
      <c r="N402" t="s">
        <v>843</v>
      </c>
      <c r="O402" t="s">
        <v>987</v>
      </c>
      <c r="P402" t="s">
        <v>842</v>
      </c>
    </row>
    <row r="403">
      <c r="A403">
        <f>HYPERLINK("http://bombeiros.sp.gov.br/hidrantes/03individual/4408.html","4408")</f>
      </c>
      <c r="B403" t="s">
        <v>842</v>
      </c>
      <c r="C403" t="s">
        <v>852</v>
      </c>
      <c r="D403" t="s">
        <v>15627</v>
      </c>
      <c r="E403" t="s">
        <v>15</v>
      </c>
      <c r="F403" t="s">
        <v>15628</v>
      </c>
      <c r="G403" t="s">
        <v>15629</v>
      </c>
      <c r="H403"/>
      <c r="I403" t="s">
        <v>18</v>
      </c>
      <c r="J403" t="s">
        <v>15630</v>
      </c>
      <c r="K403" t="s">
        <v>15631</v>
      </c>
      <c r="L403" t="s">
        <v>21</v>
      </c>
      <c r="M403" t="s">
        <v>19177</v>
      </c>
      <c r="N403" t="s">
        <v>843</v>
      </c>
      <c r="O403" t="s">
        <v>987</v>
      </c>
      <c r="P403" t="s">
        <v>842</v>
      </c>
    </row>
    <row r="404">
      <c r="A404">
        <f>HYPERLINK("http://bombeiros.sp.gov.br/hidrantes/03individual/4122.html","4122")</f>
      </c>
      <c r="B404" t="s">
        <v>842</v>
      </c>
      <c r="C404" t="s">
        <v>852</v>
      </c>
      <c r="D404" t="s">
        <v>866</v>
      </c>
      <c r="E404" t="s">
        <v>64</v>
      </c>
      <c r="F404" t="s">
        <v>867</v>
      </c>
      <c r="G404" t="s">
        <v>17909</v>
      </c>
      <c r="H404"/>
      <c r="I404" t="s">
        <v>18</v>
      </c>
      <c r="J404" t="s">
        <v>868</v>
      </c>
      <c r="K404" t="s">
        <v>869</v>
      </c>
      <c r="L404" t="s">
        <v>36</v>
      </c>
      <c r="M404" t="s">
        <v>19177</v>
      </c>
      <c r="N404" t="s">
        <v>848</v>
      </c>
      <c r="O404" t="s">
        <v>640</v>
      </c>
      <c r="P404" t="s">
        <v>623</v>
      </c>
    </row>
    <row r="405">
      <c r="A405">
        <f>HYPERLINK("http://bombeiros.sp.gov.br/hidrantes/03individual/4136.html","4136")</f>
      </c>
      <c r="B405" t="s">
        <v>842</v>
      </c>
      <c r="C405" t="s">
        <v>852</v>
      </c>
      <c r="D405" t="s">
        <v>866</v>
      </c>
      <c r="E405" t="s">
        <v>64</v>
      </c>
      <c r="F405" t="s">
        <v>15632</v>
      </c>
      <c r="G405" t="s">
        <v>15273</v>
      </c>
      <c r="H405"/>
      <c r="I405" t="s">
        <v>1117</v>
      </c>
      <c r="J405" t="s">
        <v>15633</v>
      </c>
      <c r="K405" t="s">
        <v>15634</v>
      </c>
      <c r="L405" t="s">
        <v>36</v>
      </c>
      <c r="M405" t="s">
        <v>19177</v>
      </c>
      <c r="N405" t="s">
        <v>848</v>
      </c>
      <c r="O405" t="s">
        <v>640</v>
      </c>
      <c r="P405" t="s">
        <v>623</v>
      </c>
    </row>
    <row r="406">
      <c r="A406">
        <f>HYPERLINK("http://bombeiros.sp.gov.br/hidrantes/03individual/2410.html","2410")</f>
      </c>
      <c r="B406" t="s">
        <v>842</v>
      </c>
      <c r="C406" t="s">
        <v>870</v>
      </c>
      <c r="D406" t="s">
        <v>871</v>
      </c>
      <c r="E406" t="s">
        <v>15</v>
      </c>
      <c r="F406" t="s">
        <v>872</v>
      </c>
      <c r="G406" t="s">
        <v>18143</v>
      </c>
      <c r="H406" t="s">
        <v>1121</v>
      </c>
      <c r="I406" t="s">
        <v>1117</v>
      </c>
      <c r="J406" t="s">
        <v>874</v>
      </c>
      <c r="K406" t="s">
        <v>875</v>
      </c>
      <c r="L406" t="s">
        <v>21</v>
      </c>
      <c r="M406" t="s">
        <v>19177</v>
      </c>
      <c r="N406" t="s">
        <v>1024</v>
      </c>
      <c r="O406" t="s">
        <v>1024</v>
      </c>
      <c r="P406" t="s">
        <v>842</v>
      </c>
    </row>
    <row r="407">
      <c r="A407">
        <f>HYPERLINK("http://bombeiros.sp.gov.br/hidrantes/03individual/17844.html","17844")</f>
      </c>
      <c r="B407" t="s">
        <v>842</v>
      </c>
      <c r="C407" t="s">
        <v>870</v>
      </c>
      <c r="D407" t="s">
        <v>871</v>
      </c>
      <c r="E407" t="s">
        <v>15</v>
      </c>
      <c r="F407" t="s">
        <v>15635</v>
      </c>
      <c r="G407"/>
      <c r="H407"/>
      <c r="I407" t="s">
        <v>1503</v>
      </c>
      <c r="J407" t="s">
        <v>15636</v>
      </c>
      <c r="K407" t="s">
        <v>15637</v>
      </c>
      <c r="L407" t="s">
        <v>21</v>
      </c>
      <c r="M407" t="s">
        <v>19177</v>
      </c>
      <c r="N407" t="s">
        <v>1024</v>
      </c>
      <c r="O407" t="s">
        <v>1024</v>
      </c>
      <c r="P407" t="s">
        <v>842</v>
      </c>
    </row>
    <row r="408">
      <c r="A408">
        <f>HYPERLINK("http://bombeiros.sp.gov.br/hidrantes/03individual/26844.html","26844")</f>
      </c>
      <c r="B408" t="s">
        <v>842</v>
      </c>
      <c r="C408" t="s">
        <v>870</v>
      </c>
      <c r="D408" t="s">
        <v>12260</v>
      </c>
      <c r="E408" t="s">
        <v>15</v>
      </c>
      <c r="F408" t="s">
        <v>16172</v>
      </c>
      <c r="G408"/>
      <c r="H408"/>
      <c r="I408" t="s">
        <v>1503</v>
      </c>
      <c r="J408" t="s">
        <v>16173</v>
      </c>
      <c r="K408" t="s">
        <v>16174</v>
      </c>
      <c r="L408" t="s">
        <v>21</v>
      </c>
      <c r="M408" t="s">
        <v>19177</v>
      </c>
      <c r="N408" t="s">
        <v>1024</v>
      </c>
      <c r="O408" t="s">
        <v>1024</v>
      </c>
      <c r="P408" t="s">
        <v>842</v>
      </c>
    </row>
    <row r="409">
      <c r="A409">
        <f>HYPERLINK("http://bombeiros.sp.gov.br/hidrantes/03individual/4128.html","4128")</f>
      </c>
      <c r="B409" t="s">
        <v>842</v>
      </c>
      <c r="C409" t="s">
        <v>894</v>
      </c>
      <c r="D409" t="s">
        <v>895</v>
      </c>
      <c r="E409" t="s">
        <v>64</v>
      </c>
      <c r="F409" t="s">
        <v>15638</v>
      </c>
      <c r="G409" t="s">
        <v>15018</v>
      </c>
      <c r="H409"/>
      <c r="I409" t="s">
        <v>1117</v>
      </c>
      <c r="J409" t="s">
        <v>15639</v>
      </c>
      <c r="K409" t="s">
        <v>15640</v>
      </c>
      <c r="L409" t="s">
        <v>36</v>
      </c>
      <c r="M409" t="s">
        <v>19177</v>
      </c>
      <c r="N409" t="s">
        <v>16376</v>
      </c>
      <c r="O409" t="s">
        <v>16376</v>
      </c>
      <c r="P409" t="s">
        <v>842</v>
      </c>
    </row>
    <row r="410">
      <c r="A410">
        <f>HYPERLINK("http://bombeiros.sp.gov.br/hidrantes/03individual/4142.html","4142")</f>
      </c>
      <c r="B410" t="s">
        <v>842</v>
      </c>
      <c r="C410" t="s">
        <v>894</v>
      </c>
      <c r="D410" t="s">
        <v>895</v>
      </c>
      <c r="E410" t="s">
        <v>15</v>
      </c>
      <c r="F410" t="s">
        <v>896</v>
      </c>
      <c r="G410" t="s">
        <v>17529</v>
      </c>
      <c r="H410"/>
      <c r="I410" t="s">
        <v>18</v>
      </c>
      <c r="J410" t="s">
        <v>897</v>
      </c>
      <c r="K410" t="s">
        <v>898</v>
      </c>
      <c r="L410" t="s">
        <v>36</v>
      </c>
      <c r="M410" t="s">
        <v>19177</v>
      </c>
      <c r="N410" t="s">
        <v>16376</v>
      </c>
      <c r="O410" t="s">
        <v>16376</v>
      </c>
      <c r="P410" t="s">
        <v>842</v>
      </c>
    </row>
    <row r="411">
      <c r="A411">
        <f>HYPERLINK("http://bombeiros.sp.gov.br/hidrantes/03individual/4139.html","4139")</f>
      </c>
      <c r="B411" t="s">
        <v>842</v>
      </c>
      <c r="C411" t="s">
        <v>894</v>
      </c>
      <c r="D411" t="s">
        <v>899</v>
      </c>
      <c r="E411" t="s">
        <v>15</v>
      </c>
      <c r="F411" t="s">
        <v>900</v>
      </c>
      <c r="G411" t="s">
        <v>17542</v>
      </c>
      <c r="H411"/>
      <c r="I411" t="s">
        <v>18</v>
      </c>
      <c r="J411" t="s">
        <v>901</v>
      </c>
      <c r="K411" t="s">
        <v>902</v>
      </c>
      <c r="L411" t="s">
        <v>21</v>
      </c>
      <c r="M411" t="s">
        <v>19177</v>
      </c>
      <c r="N411" t="s">
        <v>16376</v>
      </c>
      <c r="O411" t="s">
        <v>16376</v>
      </c>
      <c r="P411" t="s">
        <v>842</v>
      </c>
    </row>
    <row r="412">
      <c r="A412">
        <f>HYPERLINK("http://bombeiros.sp.gov.br/hidrantes/03individual/17709.html","17709")</f>
      </c>
      <c r="B412" t="s">
        <v>842</v>
      </c>
      <c r="C412" t="s">
        <v>894</v>
      </c>
      <c r="D412" t="s">
        <v>899</v>
      </c>
      <c r="E412" t="s">
        <v>15</v>
      </c>
      <c r="F412" t="s">
        <v>12396</v>
      </c>
      <c r="G412" t="s">
        <v>18049</v>
      </c>
      <c r="H412" t="s">
        <v>1107</v>
      </c>
      <c r="I412" t="s">
        <v>1108</v>
      </c>
      <c r="J412" t="s">
        <v>12397</v>
      </c>
      <c r="K412" t="s">
        <v>12398</v>
      </c>
      <c r="L412" t="s">
        <v>21</v>
      </c>
      <c r="M412" t="s">
        <v>19177</v>
      </c>
      <c r="N412" t="s">
        <v>16376</v>
      </c>
      <c r="O412" t="s">
        <v>16376</v>
      </c>
      <c r="P412" t="s">
        <v>842</v>
      </c>
    </row>
    <row r="413">
      <c r="A413">
        <f>HYPERLINK("http://bombeiros.sp.gov.br/hidrantes/03individual/2449.html","2449")</f>
      </c>
      <c r="B413" t="s">
        <v>842</v>
      </c>
      <c r="C413" t="s">
        <v>894</v>
      </c>
      <c r="D413" t="s">
        <v>903</v>
      </c>
      <c r="E413" t="s">
        <v>15</v>
      </c>
      <c r="F413" t="s">
        <v>15641</v>
      </c>
      <c r="G413" t="s">
        <v>15311</v>
      </c>
      <c r="H413"/>
      <c r="I413" t="s">
        <v>1117</v>
      </c>
      <c r="J413" t="s">
        <v>15642</v>
      </c>
      <c r="K413" t="s">
        <v>15643</v>
      </c>
      <c r="L413" t="s">
        <v>21</v>
      </c>
      <c r="M413" t="s">
        <v>19177</v>
      </c>
      <c r="N413" t="s">
        <v>16376</v>
      </c>
      <c r="O413" t="s">
        <v>16376</v>
      </c>
      <c r="P413" t="s">
        <v>842</v>
      </c>
    </row>
    <row r="414">
      <c r="A414">
        <f>HYPERLINK("http://bombeiros.sp.gov.br/hidrantes/03individual/2497.html","2497")</f>
      </c>
      <c r="B414" t="s">
        <v>842</v>
      </c>
      <c r="C414" t="s">
        <v>894</v>
      </c>
      <c r="D414" t="s">
        <v>903</v>
      </c>
      <c r="E414" t="s">
        <v>15</v>
      </c>
      <c r="F414" t="s">
        <v>12411</v>
      </c>
      <c r="G414" t="s">
        <v>18049</v>
      </c>
      <c r="H414"/>
      <c r="I414" t="s">
        <v>18</v>
      </c>
      <c r="J414" t="s">
        <v>12412</v>
      </c>
      <c r="K414" t="s">
        <v>12413</v>
      </c>
      <c r="L414" t="s">
        <v>21</v>
      </c>
      <c r="M414" t="s">
        <v>19177</v>
      </c>
      <c r="N414" t="s">
        <v>16376</v>
      </c>
      <c r="O414" t="s">
        <v>16376</v>
      </c>
      <c r="P414" t="s">
        <v>842</v>
      </c>
    </row>
    <row r="415">
      <c r="A415">
        <f>HYPERLINK("http://bombeiros.sp.gov.br/hidrantes/03individual/4221.html","4221")</f>
      </c>
      <c r="B415" t="s">
        <v>842</v>
      </c>
      <c r="C415" t="s">
        <v>894</v>
      </c>
      <c r="D415" t="s">
        <v>903</v>
      </c>
      <c r="E415" t="s">
        <v>15</v>
      </c>
      <c r="F415" t="s">
        <v>904</v>
      </c>
      <c r="G415" t="s">
        <v>18049</v>
      </c>
      <c r="H415"/>
      <c r="I415" t="s">
        <v>18</v>
      </c>
      <c r="J415" t="s">
        <v>905</v>
      </c>
      <c r="K415" t="s">
        <v>906</v>
      </c>
      <c r="L415" t="s">
        <v>21</v>
      </c>
      <c r="M415" t="s">
        <v>19177</v>
      </c>
      <c r="N415" t="s">
        <v>16376</v>
      </c>
      <c r="O415" t="s">
        <v>16376</v>
      </c>
      <c r="P415" t="s">
        <v>842</v>
      </c>
    </row>
    <row r="416">
      <c r="A416">
        <f>HYPERLINK("http://bombeiros.sp.gov.br/hidrantes/03individual/26845.html","26845")</f>
      </c>
      <c r="B416" t="s">
        <v>842</v>
      </c>
      <c r="C416" t="s">
        <v>12426</v>
      </c>
      <c r="D416" t="s">
        <v>12427</v>
      </c>
      <c r="E416" t="s">
        <v>15</v>
      </c>
      <c r="F416" t="s">
        <v>16177</v>
      </c>
      <c r="G416"/>
      <c r="H416"/>
      <c r="I416" t="s">
        <v>1503</v>
      </c>
      <c r="J416" t="s">
        <v>16178</v>
      </c>
      <c r="K416" t="s">
        <v>16179</v>
      </c>
      <c r="L416" t="s">
        <v>21</v>
      </c>
      <c r="M416" t="s">
        <v>19177</v>
      </c>
      <c r="N416" t="s">
        <v>97</v>
      </c>
      <c r="O416" t="s">
        <v>937</v>
      </c>
      <c r="P416" t="s">
        <v>12</v>
      </c>
    </row>
    <row r="417">
      <c r="A417">
        <f>HYPERLINK("http://bombeiros.sp.gov.br/hidrantes/03individual/15059.html","15059")</f>
      </c>
      <c r="B417" t="s">
        <v>842</v>
      </c>
      <c r="C417" t="s">
        <v>12426</v>
      </c>
      <c r="D417" t="s">
        <v>12544</v>
      </c>
      <c r="E417" t="s">
        <v>64</v>
      </c>
      <c r="F417" t="s">
        <v>15644</v>
      </c>
      <c r="G417"/>
      <c r="H417"/>
      <c r="I417" t="s">
        <v>1503</v>
      </c>
      <c r="J417" t="s">
        <v>15645</v>
      </c>
      <c r="K417" t="s">
        <v>15646</v>
      </c>
      <c r="L417" t="s">
        <v>21</v>
      </c>
      <c r="M417" t="s">
        <v>19177</v>
      </c>
      <c r="N417" t="s">
        <v>97</v>
      </c>
      <c r="O417" t="s">
        <v>937</v>
      </c>
      <c r="P417" t="s">
        <v>12</v>
      </c>
    </row>
    <row r="418">
      <c r="A418">
        <f>HYPERLINK("http://bombeiros.sp.gov.br/hidrantes/03individual/3806.html","3806")</f>
      </c>
      <c r="B418" t="s">
        <v>842</v>
      </c>
      <c r="C418" t="s">
        <v>12426</v>
      </c>
      <c r="D418" t="s">
        <v>12544</v>
      </c>
      <c r="E418" t="s">
        <v>15</v>
      </c>
      <c r="F418" t="s">
        <v>12560</v>
      </c>
      <c r="G418" t="s">
        <v>18166</v>
      </c>
      <c r="H418" t="s">
        <v>1121</v>
      </c>
      <c r="I418" t="s">
        <v>1117</v>
      </c>
      <c r="J418" t="s">
        <v>12561</v>
      </c>
      <c r="K418" t="s">
        <v>12562</v>
      </c>
      <c r="L418" t="s">
        <v>21</v>
      </c>
      <c r="M418" t="s">
        <v>19177</v>
      </c>
      <c r="N418" t="s">
        <v>97</v>
      </c>
      <c r="O418" t="s">
        <v>937</v>
      </c>
      <c r="P418" t="s">
        <v>12</v>
      </c>
    </row>
    <row r="419">
      <c r="A419">
        <f>HYPERLINK("http://bombeiros.sp.gov.br/hidrantes/03individual/17680.html","17680")</f>
      </c>
      <c r="B419" t="s">
        <v>842</v>
      </c>
      <c r="C419" t="s">
        <v>12426</v>
      </c>
      <c r="D419" t="s">
        <v>12544</v>
      </c>
      <c r="E419" t="s">
        <v>15</v>
      </c>
      <c r="F419" t="s">
        <v>15647</v>
      </c>
      <c r="G419"/>
      <c r="H419"/>
      <c r="I419" t="s">
        <v>1503</v>
      </c>
      <c r="J419" t="s">
        <v>15648</v>
      </c>
      <c r="K419" t="s">
        <v>15649</v>
      </c>
      <c r="L419" t="s">
        <v>21</v>
      </c>
      <c r="M419" t="s">
        <v>19177</v>
      </c>
      <c r="N419" t="s">
        <v>97</v>
      </c>
      <c r="O419" t="s">
        <v>937</v>
      </c>
      <c r="P419" t="s">
        <v>12</v>
      </c>
    </row>
    <row r="420">
      <c r="A420">
        <f>HYPERLINK("http://bombeiros.sp.gov.br/hidrantes/03individual/26772.html","26772")</f>
      </c>
      <c r="B420" t="s">
        <v>842</v>
      </c>
      <c r="C420" t="s">
        <v>12426</v>
      </c>
      <c r="D420" t="s">
        <v>12544</v>
      </c>
      <c r="E420" t="s">
        <v>15</v>
      </c>
      <c r="F420" t="s">
        <v>12578</v>
      </c>
      <c r="G420" t="s">
        <v>18166</v>
      </c>
      <c r="H420" t="s">
        <v>1121</v>
      </c>
      <c r="I420" t="s">
        <v>1117</v>
      </c>
      <c r="J420" t="s">
        <v>12579</v>
      </c>
      <c r="K420" t="s">
        <v>12580</v>
      </c>
      <c r="L420" t="s">
        <v>21</v>
      </c>
      <c r="M420" t="s">
        <v>19177</v>
      </c>
      <c r="N420" t="s">
        <v>97</v>
      </c>
      <c r="O420" t="s">
        <v>937</v>
      </c>
      <c r="P420" t="s">
        <v>12</v>
      </c>
    </row>
    <row r="421">
      <c r="A421">
        <f>HYPERLINK("http://bombeiros.sp.gov.br/hidrantes/03individual/16639.html","16639")</f>
      </c>
      <c r="B421" t="s">
        <v>842</v>
      </c>
      <c r="C421" t="s">
        <v>12426</v>
      </c>
      <c r="D421" t="s">
        <v>12584</v>
      </c>
      <c r="E421" t="s">
        <v>15</v>
      </c>
      <c r="F421" t="s">
        <v>15650</v>
      </c>
      <c r="G421"/>
      <c r="H421"/>
      <c r="I421" t="s">
        <v>1503</v>
      </c>
      <c r="J421" t="s">
        <v>15651</v>
      </c>
      <c r="K421" t="s">
        <v>15652</v>
      </c>
      <c r="L421" t="s">
        <v>21</v>
      </c>
      <c r="M421" t="s">
        <v>19177</v>
      </c>
      <c r="N421" t="s">
        <v>97</v>
      </c>
      <c r="O421" t="s">
        <v>937</v>
      </c>
      <c r="P421" t="s">
        <v>12</v>
      </c>
    </row>
    <row r="422">
      <c r="A422">
        <f>HYPERLINK("http://bombeiros.sp.gov.br/hidrantes/03individual/2406.html","2406")</f>
      </c>
      <c r="B422" t="s">
        <v>842</v>
      </c>
      <c r="C422" t="s">
        <v>907</v>
      </c>
      <c r="D422" t="s">
        <v>908</v>
      </c>
      <c r="E422" t="s">
        <v>15</v>
      </c>
      <c r="F422" t="s">
        <v>15653</v>
      </c>
      <c r="G422" t="s">
        <v>15311</v>
      </c>
      <c r="H422"/>
      <c r="I422" t="s">
        <v>1117</v>
      </c>
      <c r="J422" t="s">
        <v>15654</v>
      </c>
      <c r="K422" t="s">
        <v>15655</v>
      </c>
      <c r="L422" t="s">
        <v>21</v>
      </c>
      <c r="M422" t="s">
        <v>19177</v>
      </c>
      <c r="N422" t="s">
        <v>16376</v>
      </c>
      <c r="O422" t="s">
        <v>16376</v>
      </c>
      <c r="P422" t="s">
        <v>842</v>
      </c>
    </row>
    <row r="423">
      <c r="A423">
        <f>HYPERLINK("http://bombeiros.sp.gov.br/hidrantes/03individual/2454.html","2454")</f>
      </c>
      <c r="B423" t="s">
        <v>842</v>
      </c>
      <c r="C423" t="s">
        <v>907</v>
      </c>
      <c r="D423" t="s">
        <v>908</v>
      </c>
      <c r="E423" t="s">
        <v>15</v>
      </c>
      <c r="F423" t="s">
        <v>909</v>
      </c>
      <c r="G423" t="s">
        <v>18055</v>
      </c>
      <c r="H423"/>
      <c r="I423" t="s">
        <v>18</v>
      </c>
      <c r="J423" t="s">
        <v>911</v>
      </c>
      <c r="K423" t="s">
        <v>912</v>
      </c>
      <c r="L423" t="s">
        <v>21</v>
      </c>
      <c r="M423" t="s">
        <v>19177</v>
      </c>
      <c r="N423" t="s">
        <v>16376</v>
      </c>
      <c r="O423" t="s">
        <v>16376</v>
      </c>
      <c r="P423" t="s">
        <v>842</v>
      </c>
    </row>
    <row r="424">
      <c r="A424">
        <f>HYPERLINK("http://bombeiros.sp.gov.br/hidrantes/03individual/4126.html","4126")</f>
      </c>
      <c r="B424" t="s">
        <v>842</v>
      </c>
      <c r="C424" t="s">
        <v>907</v>
      </c>
      <c r="D424" t="s">
        <v>908</v>
      </c>
      <c r="E424" t="s">
        <v>15</v>
      </c>
      <c r="F424" t="s">
        <v>913</v>
      </c>
      <c r="G424" t="s">
        <v>18213</v>
      </c>
      <c r="H424"/>
      <c r="I424" t="s">
        <v>18</v>
      </c>
      <c r="J424" t="s">
        <v>914</v>
      </c>
      <c r="K424" t="s">
        <v>915</v>
      </c>
      <c r="L424" t="s">
        <v>21</v>
      </c>
      <c r="M424" t="s">
        <v>19177</v>
      </c>
      <c r="N424" t="s">
        <v>16376</v>
      </c>
      <c r="O424" t="s">
        <v>16376</v>
      </c>
      <c r="P424" t="s">
        <v>842</v>
      </c>
    </row>
    <row r="425">
      <c r="A425">
        <f>HYPERLINK("http://bombeiros.sp.gov.br/hidrantes/03individual/4141.html","4141")</f>
      </c>
      <c r="B425" t="s">
        <v>842</v>
      </c>
      <c r="C425" t="s">
        <v>907</v>
      </c>
      <c r="D425" t="s">
        <v>908</v>
      </c>
      <c r="E425" t="s">
        <v>15</v>
      </c>
      <c r="F425" t="s">
        <v>916</v>
      </c>
      <c r="G425" t="s">
        <v>17583</v>
      </c>
      <c r="H425" t="s">
        <v>1121</v>
      </c>
      <c r="I425" t="s">
        <v>1117</v>
      </c>
      <c r="J425" t="s">
        <v>918</v>
      </c>
      <c r="K425" t="s">
        <v>919</v>
      </c>
      <c r="L425" t="s">
        <v>21</v>
      </c>
      <c r="M425" t="s">
        <v>19177</v>
      </c>
      <c r="N425" t="s">
        <v>16376</v>
      </c>
      <c r="O425" t="s">
        <v>16376</v>
      </c>
      <c r="P425" t="s">
        <v>842</v>
      </c>
    </row>
    <row r="426">
      <c r="A426">
        <f>HYPERLINK("http://bombeiros.sp.gov.br/hidrantes/03individual/17893.html","17893")</f>
      </c>
      <c r="B426" t="s">
        <v>842</v>
      </c>
      <c r="C426" t="s">
        <v>907</v>
      </c>
      <c r="D426" t="s">
        <v>920</v>
      </c>
      <c r="E426" t="s">
        <v>15</v>
      </c>
      <c r="F426" t="s">
        <v>921</v>
      </c>
      <c r="G426" t="s">
        <v>17553</v>
      </c>
      <c r="H426"/>
      <c r="I426" t="s">
        <v>18</v>
      </c>
      <c r="J426" t="s">
        <v>922</v>
      </c>
      <c r="K426" t="s">
        <v>923</v>
      </c>
      <c r="L426" t="s">
        <v>21</v>
      </c>
      <c r="M426" t="s">
        <v>19177</v>
      </c>
      <c r="N426" t="s">
        <v>16376</v>
      </c>
      <c r="O426" t="s">
        <v>16376</v>
      </c>
      <c r="P426" t="s">
        <v>842</v>
      </c>
    </row>
    <row r="427">
      <c r="A427">
        <f>HYPERLINK("http://bombeiros.sp.gov.br/hidrantes/03individual/2451.html","2451")</f>
      </c>
      <c r="B427" t="s">
        <v>842</v>
      </c>
      <c r="C427" t="s">
        <v>907</v>
      </c>
      <c r="D427" t="s">
        <v>907</v>
      </c>
      <c r="E427" t="s">
        <v>15</v>
      </c>
      <c r="F427" t="s">
        <v>928</v>
      </c>
      <c r="G427" t="s">
        <v>18055</v>
      </c>
      <c r="H427"/>
      <c r="I427" t="s">
        <v>18</v>
      </c>
      <c r="J427" t="s">
        <v>930</v>
      </c>
      <c r="K427" t="s">
        <v>931</v>
      </c>
      <c r="L427" t="s">
        <v>21</v>
      </c>
      <c r="M427" t="s">
        <v>19177</v>
      </c>
      <c r="N427" t="s">
        <v>16376</v>
      </c>
      <c r="O427" t="s">
        <v>16376</v>
      </c>
      <c r="P427" t="s">
        <v>842</v>
      </c>
    </row>
    <row r="428">
      <c r="A428">
        <f>HYPERLINK("http://bombeiros.sp.gov.br/hidrantes/03individual/23026.html","23026")</f>
      </c>
      <c r="B428" t="s">
        <v>842</v>
      </c>
      <c r="C428" t="s">
        <v>907</v>
      </c>
      <c r="D428" t="s">
        <v>932</v>
      </c>
      <c r="E428" t="s">
        <v>64</v>
      </c>
      <c r="F428" t="s">
        <v>12703</v>
      </c>
      <c r="G428" t="s">
        <v>17907</v>
      </c>
      <c r="H428"/>
      <c r="I428" t="s">
        <v>18</v>
      </c>
      <c r="J428" t="s">
        <v>12704</v>
      </c>
      <c r="K428" t="s">
        <v>12705</v>
      </c>
      <c r="L428" t="s">
        <v>21</v>
      </c>
      <c r="M428" t="s">
        <v>19177</v>
      </c>
      <c r="N428" t="s">
        <v>16376</v>
      </c>
      <c r="O428" t="s">
        <v>16376</v>
      </c>
      <c r="P428" t="s">
        <v>842</v>
      </c>
    </row>
    <row r="429">
      <c r="A429">
        <f>HYPERLINK("http://bombeiros.sp.gov.br/hidrantes/03individual/4135.html","4135")</f>
      </c>
      <c r="B429" t="s">
        <v>842</v>
      </c>
      <c r="C429" t="s">
        <v>907</v>
      </c>
      <c r="D429" t="s">
        <v>932</v>
      </c>
      <c r="E429" t="s">
        <v>15</v>
      </c>
      <c r="F429" t="s">
        <v>933</v>
      </c>
      <c r="G429" t="s">
        <v>18080</v>
      </c>
      <c r="H429"/>
      <c r="I429" t="s">
        <v>18</v>
      </c>
      <c r="J429" t="s">
        <v>935</v>
      </c>
      <c r="K429" t="s">
        <v>936</v>
      </c>
      <c r="L429" t="s">
        <v>21</v>
      </c>
      <c r="M429" t="s">
        <v>19177</v>
      </c>
      <c r="N429" t="s">
        <v>16376</v>
      </c>
      <c r="O429" t="s">
        <v>16376</v>
      </c>
      <c r="P429" t="s">
        <v>842</v>
      </c>
    </row>
    <row r="430">
      <c r="A430">
        <f>HYPERLINK("http://bombeiros.sp.gov.br/hidrantes/03individual/4137.html","4137")</f>
      </c>
      <c r="B430" t="s">
        <v>842</v>
      </c>
      <c r="C430" t="s">
        <v>907</v>
      </c>
      <c r="D430" t="s">
        <v>932</v>
      </c>
      <c r="E430" t="s">
        <v>15</v>
      </c>
      <c r="F430" t="s">
        <v>12706</v>
      </c>
      <c r="G430" t="s">
        <v>18080</v>
      </c>
      <c r="H430"/>
      <c r="I430" t="s">
        <v>18</v>
      </c>
      <c r="J430" t="s">
        <v>16463</v>
      </c>
      <c r="K430" t="s">
        <v>16464</v>
      </c>
      <c r="L430" t="s">
        <v>21</v>
      </c>
      <c r="M430" t="s">
        <v>19177</v>
      </c>
      <c r="N430" t="s">
        <v>16376</v>
      </c>
      <c r="O430" t="s">
        <v>16376</v>
      </c>
      <c r="P430" t="s">
        <v>842</v>
      </c>
    </row>
    <row r="431">
      <c r="A431">
        <f>HYPERLINK("http://bombeiros.sp.gov.br/hidrantes/03individual/16640.html","16640")</f>
      </c>
      <c r="B431" t="s">
        <v>842</v>
      </c>
      <c r="C431" t="s">
        <v>937</v>
      </c>
      <c r="D431" t="s">
        <v>938</v>
      </c>
      <c r="E431" t="s">
        <v>15</v>
      </c>
      <c r="F431" t="s">
        <v>12745</v>
      </c>
      <c r="G431" t="s">
        <v>18027</v>
      </c>
      <c r="H431" t="s">
        <v>1121</v>
      </c>
      <c r="I431" t="s">
        <v>1117</v>
      </c>
      <c r="J431" t="s">
        <v>12746</v>
      </c>
      <c r="K431" t="s">
        <v>12747</v>
      </c>
      <c r="L431" t="s">
        <v>21</v>
      </c>
      <c r="M431" t="s">
        <v>19177</v>
      </c>
      <c r="N431" t="s">
        <v>97</v>
      </c>
      <c r="O431" t="s">
        <v>937</v>
      </c>
      <c r="P431" t="s">
        <v>12</v>
      </c>
    </row>
    <row r="432">
      <c r="A432">
        <f>HYPERLINK("http://bombeiros.sp.gov.br/hidrantes/03individual/26830.html","26830")</f>
      </c>
      <c r="B432" t="s">
        <v>842</v>
      </c>
      <c r="C432" t="s">
        <v>937</v>
      </c>
      <c r="D432" t="s">
        <v>12838</v>
      </c>
      <c r="E432" t="s">
        <v>15</v>
      </c>
      <c r="F432" t="s">
        <v>16139</v>
      </c>
      <c r="G432"/>
      <c r="H432"/>
      <c r="I432" t="s">
        <v>1503</v>
      </c>
      <c r="J432" t="s">
        <v>16140</v>
      </c>
      <c r="K432" t="s">
        <v>16141</v>
      </c>
      <c r="L432" t="s">
        <v>21</v>
      </c>
      <c r="M432" t="s">
        <v>19177</v>
      </c>
      <c r="N432" t="s">
        <v>97</v>
      </c>
      <c r="O432" t="s">
        <v>937</v>
      </c>
      <c r="P432" t="s">
        <v>12</v>
      </c>
    </row>
    <row r="433">
      <c r="A433">
        <f>HYPERLINK("http://bombeiros.sp.gov.br/hidrantes/03individual/2977.html","2977")</f>
      </c>
      <c r="B433" t="s">
        <v>842</v>
      </c>
      <c r="C433" t="s">
        <v>937</v>
      </c>
      <c r="D433" t="s">
        <v>950</v>
      </c>
      <c r="E433" t="s">
        <v>15</v>
      </c>
      <c r="F433" t="s">
        <v>954</v>
      </c>
      <c r="G433" t="s">
        <v>18166</v>
      </c>
      <c r="H433"/>
      <c r="I433" t="s">
        <v>18</v>
      </c>
      <c r="J433" t="s">
        <v>955</v>
      </c>
      <c r="K433" t="s">
        <v>956</v>
      </c>
      <c r="L433" t="s">
        <v>21</v>
      </c>
      <c r="M433" t="s">
        <v>19177</v>
      </c>
      <c r="N433" t="s">
        <v>300</v>
      </c>
      <c r="O433" t="s">
        <v>16373</v>
      </c>
      <c r="P433" t="s">
        <v>12</v>
      </c>
    </row>
    <row r="434">
      <c r="A434">
        <f>HYPERLINK("http://bombeiros.sp.gov.br/hidrantes/03individual/27762.html","27762")</f>
      </c>
      <c r="B434" t="s">
        <v>842</v>
      </c>
      <c r="C434" t="s">
        <v>937</v>
      </c>
      <c r="D434" t="s">
        <v>950</v>
      </c>
      <c r="E434" t="s">
        <v>15</v>
      </c>
      <c r="F434" t="s">
        <v>17735</v>
      </c>
      <c r="G434" t="s">
        <v>18273</v>
      </c>
      <c r="H434" t="s">
        <v>1112</v>
      </c>
      <c r="I434" t="s">
        <v>1108</v>
      </c>
      <c r="J434" t="s">
        <v>17736</v>
      </c>
      <c r="K434" t="s">
        <v>17737</v>
      </c>
      <c r="L434" t="s">
        <v>21</v>
      </c>
      <c r="M434" t="s">
        <v>19177</v>
      </c>
      <c r="N434" t="s">
        <v>97</v>
      </c>
      <c r="O434" t="s">
        <v>937</v>
      </c>
      <c r="P434" t="s">
        <v>12</v>
      </c>
    </row>
    <row r="435">
      <c r="A435">
        <f>HYPERLINK("http://bombeiros.sp.gov.br/hidrantes/03individual/156.html","156")</f>
      </c>
      <c r="B435" t="s">
        <v>842</v>
      </c>
      <c r="C435" t="s">
        <v>937</v>
      </c>
      <c r="D435" t="s">
        <v>12965</v>
      </c>
      <c r="E435" t="s">
        <v>15</v>
      </c>
      <c r="F435" t="s">
        <v>15659</v>
      </c>
      <c r="G435" t="s">
        <v>2362</v>
      </c>
      <c r="H435"/>
      <c r="I435" t="s">
        <v>18</v>
      </c>
      <c r="J435" t="s">
        <v>15660</v>
      </c>
      <c r="K435" t="s">
        <v>15661</v>
      </c>
      <c r="L435" t="s">
        <v>21</v>
      </c>
      <c r="M435" t="s">
        <v>19177</v>
      </c>
      <c r="N435" t="s">
        <v>97</v>
      </c>
      <c r="O435" t="s">
        <v>937</v>
      </c>
      <c r="P435" t="s">
        <v>12</v>
      </c>
    </row>
    <row r="436">
      <c r="A436">
        <f>HYPERLINK("http://bombeiros.sp.gov.br/hidrantes/03individual/244.html","244")</f>
      </c>
      <c r="B436" t="s">
        <v>842</v>
      </c>
      <c r="C436" t="s">
        <v>937</v>
      </c>
      <c r="D436" t="s">
        <v>12965</v>
      </c>
      <c r="E436" t="s">
        <v>15</v>
      </c>
      <c r="F436" t="s">
        <v>15662</v>
      </c>
      <c r="G436" t="s">
        <v>15663</v>
      </c>
      <c r="H436"/>
      <c r="I436" t="s">
        <v>18</v>
      </c>
      <c r="J436" t="s">
        <v>15664</v>
      </c>
      <c r="K436" t="s">
        <v>15665</v>
      </c>
      <c r="L436" t="s">
        <v>21</v>
      </c>
      <c r="M436" t="s">
        <v>19177</v>
      </c>
      <c r="N436" t="s">
        <v>97</v>
      </c>
      <c r="O436" t="s">
        <v>937</v>
      </c>
      <c r="P436" t="s">
        <v>12</v>
      </c>
    </row>
    <row r="437">
      <c r="A437">
        <f>HYPERLINK("http://bombeiros.sp.gov.br/hidrantes/03individual/1775.html","1775")</f>
      </c>
      <c r="B437" t="s">
        <v>842</v>
      </c>
      <c r="C437" t="s">
        <v>937</v>
      </c>
      <c r="D437" t="s">
        <v>12965</v>
      </c>
      <c r="E437" t="s">
        <v>15</v>
      </c>
      <c r="F437" t="s">
        <v>15666</v>
      </c>
      <c r="G437" t="s">
        <v>15663</v>
      </c>
      <c r="H437"/>
      <c r="I437" t="s">
        <v>18</v>
      </c>
      <c r="J437" t="s">
        <v>15667</v>
      </c>
      <c r="K437" t="s">
        <v>15668</v>
      </c>
      <c r="L437" t="s">
        <v>21</v>
      </c>
      <c r="M437" t="s">
        <v>19177</v>
      </c>
      <c r="N437" t="s">
        <v>97</v>
      </c>
      <c r="O437" t="s">
        <v>937</v>
      </c>
      <c r="P437" t="s">
        <v>12</v>
      </c>
    </row>
    <row r="438">
      <c r="A438">
        <f>HYPERLINK("http://bombeiros.sp.gov.br/hidrantes/03individual/5605.html","5605")</f>
      </c>
      <c r="B438" t="s">
        <v>842</v>
      </c>
      <c r="C438" t="s">
        <v>937</v>
      </c>
      <c r="D438" t="s">
        <v>960</v>
      </c>
      <c r="E438" t="s">
        <v>64</v>
      </c>
      <c r="F438" t="s">
        <v>15669</v>
      </c>
      <c r="G438" t="s">
        <v>15670</v>
      </c>
      <c r="H438" t="s">
        <v>1121</v>
      </c>
      <c r="I438" t="s">
        <v>1117</v>
      </c>
      <c r="J438" t="s">
        <v>15671</v>
      </c>
      <c r="K438" t="s">
        <v>15672</v>
      </c>
      <c r="L438" t="s">
        <v>21</v>
      </c>
      <c r="M438" t="s">
        <v>19177</v>
      </c>
      <c r="N438" t="s">
        <v>97</v>
      </c>
      <c r="O438" t="s">
        <v>937</v>
      </c>
      <c r="P438" t="s">
        <v>12</v>
      </c>
    </row>
    <row r="439">
      <c r="A439">
        <f>HYPERLINK("http://bombeiros.sp.gov.br/hidrantes/03individual/5606.html","5606")</f>
      </c>
      <c r="B439" t="s">
        <v>842</v>
      </c>
      <c r="C439" t="s">
        <v>937</v>
      </c>
      <c r="D439" t="s">
        <v>960</v>
      </c>
      <c r="E439" t="s">
        <v>64</v>
      </c>
      <c r="F439" t="s">
        <v>15669</v>
      </c>
      <c r="G439" t="s">
        <v>1782</v>
      </c>
      <c r="H439" t="s">
        <v>1121</v>
      </c>
      <c r="I439" t="s">
        <v>1117</v>
      </c>
      <c r="J439" t="s">
        <v>15673</v>
      </c>
      <c r="K439" t="s">
        <v>15674</v>
      </c>
      <c r="L439" t="s">
        <v>21</v>
      </c>
      <c r="M439" t="s">
        <v>19177</v>
      </c>
      <c r="N439" t="s">
        <v>97</v>
      </c>
      <c r="O439" t="s">
        <v>937</v>
      </c>
      <c r="P439" t="s">
        <v>12</v>
      </c>
    </row>
    <row r="440">
      <c r="A440">
        <f>HYPERLINK("http://bombeiros.sp.gov.br/hidrantes/03individual/2033.html","2033")</f>
      </c>
      <c r="B440" t="s">
        <v>842</v>
      </c>
      <c r="C440" t="s">
        <v>937</v>
      </c>
      <c r="D440" t="s">
        <v>960</v>
      </c>
      <c r="E440" t="s">
        <v>15</v>
      </c>
      <c r="F440" t="s">
        <v>961</v>
      </c>
      <c r="G440" t="s">
        <v>17518</v>
      </c>
      <c r="H440"/>
      <c r="I440" t="s">
        <v>18</v>
      </c>
      <c r="J440" t="s">
        <v>962</v>
      </c>
      <c r="K440" t="s">
        <v>963</v>
      </c>
      <c r="L440" t="s">
        <v>36</v>
      </c>
      <c r="M440" t="s">
        <v>19177</v>
      </c>
      <c r="N440" t="s">
        <v>97</v>
      </c>
      <c r="O440" t="s">
        <v>937</v>
      </c>
      <c r="P440" t="s">
        <v>12</v>
      </c>
    </row>
    <row r="441">
      <c r="A441">
        <f>HYPERLINK("http://bombeiros.sp.gov.br/hidrantes/03individual/3838.html","3838")</f>
      </c>
      <c r="B441" t="s">
        <v>842</v>
      </c>
      <c r="C441" t="s">
        <v>964</v>
      </c>
      <c r="D441" t="s">
        <v>965</v>
      </c>
      <c r="E441" t="s">
        <v>15</v>
      </c>
      <c r="F441" t="s">
        <v>15675</v>
      </c>
      <c r="G441" t="s">
        <v>15273</v>
      </c>
      <c r="H441"/>
      <c r="I441" t="s">
        <v>1117</v>
      </c>
      <c r="J441" t="s">
        <v>15676</v>
      </c>
      <c r="K441" t="s">
        <v>15677</v>
      </c>
      <c r="L441" t="s">
        <v>21</v>
      </c>
      <c r="M441" t="s">
        <v>19177</v>
      </c>
      <c r="N441" t="s">
        <v>1024</v>
      </c>
      <c r="O441" t="s">
        <v>1024</v>
      </c>
      <c r="P441" t="s">
        <v>842</v>
      </c>
    </row>
    <row r="442">
      <c r="A442">
        <f>HYPERLINK("http://bombeiros.sp.gov.br/hidrantes/03individual/17668.html","17668")</f>
      </c>
      <c r="B442" t="s">
        <v>842</v>
      </c>
      <c r="C442" t="s">
        <v>964</v>
      </c>
      <c r="D442" t="s">
        <v>965</v>
      </c>
      <c r="E442" t="s">
        <v>15</v>
      </c>
      <c r="F442" t="s">
        <v>15678</v>
      </c>
      <c r="G442" t="s">
        <v>1178</v>
      </c>
      <c r="H442" t="s">
        <v>1174</v>
      </c>
      <c r="I442" t="s">
        <v>1117</v>
      </c>
      <c r="J442" t="s">
        <v>15679</v>
      </c>
      <c r="K442" t="s">
        <v>15680</v>
      </c>
      <c r="L442" t="s">
        <v>21</v>
      </c>
      <c r="M442" t="s">
        <v>19177</v>
      </c>
      <c r="N442" t="s">
        <v>1024</v>
      </c>
      <c r="O442" t="s">
        <v>1024</v>
      </c>
      <c r="P442" t="s">
        <v>842</v>
      </c>
    </row>
    <row r="443">
      <c r="A443">
        <f>HYPERLINK("http://bombeiros.sp.gov.br/hidrantes/03individual/27552.html","27552")</f>
      </c>
      <c r="B443" t="s">
        <v>842</v>
      </c>
      <c r="C443" t="s">
        <v>964</v>
      </c>
      <c r="D443" t="s">
        <v>964</v>
      </c>
      <c r="E443" t="s">
        <v>64</v>
      </c>
      <c r="F443" t="s">
        <v>17423</v>
      </c>
      <c r="G443" t="s">
        <v>475</v>
      </c>
      <c r="H443" t="s">
        <v>1121</v>
      </c>
      <c r="I443" t="s">
        <v>1117</v>
      </c>
      <c r="J443" t="s">
        <v>17424</v>
      </c>
      <c r="K443" t="s">
        <v>17425</v>
      </c>
      <c r="L443" t="s">
        <v>21</v>
      </c>
      <c r="M443" t="s">
        <v>19177</v>
      </c>
      <c r="N443" t="s">
        <v>1024</v>
      </c>
      <c r="O443" t="s">
        <v>1024</v>
      </c>
      <c r="P443" t="s">
        <v>842</v>
      </c>
    </row>
    <row r="444">
      <c r="A444">
        <f>HYPERLINK("http://bombeiros.sp.gov.br/hidrantes/03individual/362.html","362")</f>
      </c>
      <c r="B444" t="s">
        <v>842</v>
      </c>
      <c r="C444" t="s">
        <v>964</v>
      </c>
      <c r="D444" t="s">
        <v>964</v>
      </c>
      <c r="E444" t="s">
        <v>15</v>
      </c>
      <c r="F444" t="s">
        <v>13156</v>
      </c>
      <c r="G444" t="s">
        <v>17899</v>
      </c>
      <c r="H444"/>
      <c r="I444" t="s">
        <v>18</v>
      </c>
      <c r="J444" t="s">
        <v>13157</v>
      </c>
      <c r="K444" t="s">
        <v>13158</v>
      </c>
      <c r="L444" t="s">
        <v>36</v>
      </c>
      <c r="M444" t="s">
        <v>19177</v>
      </c>
      <c r="N444" t="s">
        <v>1024</v>
      </c>
      <c r="O444" t="s">
        <v>1024</v>
      </c>
      <c r="P444" t="s">
        <v>842</v>
      </c>
    </row>
    <row r="445">
      <c r="A445">
        <f>HYPERLINK("http://bombeiros.sp.gov.br/hidrantes/03individual/3768.html","3768")</f>
      </c>
      <c r="B445" t="s">
        <v>842</v>
      </c>
      <c r="C445" t="s">
        <v>964</v>
      </c>
      <c r="D445" t="s">
        <v>964</v>
      </c>
      <c r="E445" t="s">
        <v>15</v>
      </c>
      <c r="F445" t="s">
        <v>972</v>
      </c>
      <c r="G445" t="s">
        <v>18094</v>
      </c>
      <c r="H445"/>
      <c r="I445" t="s">
        <v>18</v>
      </c>
      <c r="J445" t="s">
        <v>973</v>
      </c>
      <c r="K445" t="s">
        <v>974</v>
      </c>
      <c r="L445" t="s">
        <v>21</v>
      </c>
      <c r="M445" t="s">
        <v>19177</v>
      </c>
      <c r="N445" t="s">
        <v>1024</v>
      </c>
      <c r="O445" t="s">
        <v>1024</v>
      </c>
      <c r="P445" t="s">
        <v>842</v>
      </c>
    </row>
    <row r="446">
      <c r="A446">
        <f>HYPERLINK("http://bombeiros.sp.gov.br/hidrantes/03individual/3835.html","3835")</f>
      </c>
      <c r="B446" t="s">
        <v>842</v>
      </c>
      <c r="C446" t="s">
        <v>964</v>
      </c>
      <c r="D446" t="s">
        <v>964</v>
      </c>
      <c r="E446" t="s">
        <v>15</v>
      </c>
      <c r="F446" t="s">
        <v>13174</v>
      </c>
      <c r="G446" t="s">
        <v>18145</v>
      </c>
      <c r="H446"/>
      <c r="I446" t="s">
        <v>18</v>
      </c>
      <c r="J446" t="s">
        <v>13175</v>
      </c>
      <c r="K446" t="s">
        <v>13176</v>
      </c>
      <c r="L446" t="s">
        <v>21</v>
      </c>
      <c r="M446" t="s">
        <v>19177</v>
      </c>
      <c r="N446" t="s">
        <v>1024</v>
      </c>
      <c r="O446" t="s">
        <v>1024</v>
      </c>
      <c r="P446" t="s">
        <v>842</v>
      </c>
    </row>
    <row r="447">
      <c r="A447">
        <f>HYPERLINK("http://bombeiros.sp.gov.br/hidrantes/03individual/3938.html","3938")</f>
      </c>
      <c r="B447" t="s">
        <v>842</v>
      </c>
      <c r="C447" t="s">
        <v>964</v>
      </c>
      <c r="D447" t="s">
        <v>964</v>
      </c>
      <c r="E447" t="s">
        <v>15</v>
      </c>
      <c r="F447" t="s">
        <v>13195</v>
      </c>
      <c r="G447" t="s">
        <v>17882</v>
      </c>
      <c r="H447" t="s">
        <v>1107</v>
      </c>
      <c r="I447" t="s">
        <v>1108</v>
      </c>
      <c r="J447" t="s">
        <v>13196</v>
      </c>
      <c r="K447" t="s">
        <v>13197</v>
      </c>
      <c r="L447" t="s">
        <v>21</v>
      </c>
      <c r="M447" t="s">
        <v>19177</v>
      </c>
      <c r="N447" t="s">
        <v>1024</v>
      </c>
      <c r="O447" t="s">
        <v>1024</v>
      </c>
      <c r="P447" t="s">
        <v>842</v>
      </c>
    </row>
    <row r="448">
      <c r="A448">
        <f>HYPERLINK("http://bombeiros.sp.gov.br/hidrantes/03individual/5649.html","5649")</f>
      </c>
      <c r="B448" t="s">
        <v>842</v>
      </c>
      <c r="C448" t="s">
        <v>964</v>
      </c>
      <c r="D448" t="s">
        <v>964</v>
      </c>
      <c r="E448" t="s">
        <v>15</v>
      </c>
      <c r="F448" t="s">
        <v>13207</v>
      </c>
      <c r="G448" t="s">
        <v>17786</v>
      </c>
      <c r="H448"/>
      <c r="I448" t="s">
        <v>18</v>
      </c>
      <c r="J448" t="s">
        <v>13208</v>
      </c>
      <c r="K448" t="s">
        <v>13209</v>
      </c>
      <c r="L448" t="s">
        <v>21</v>
      </c>
      <c r="M448" t="s">
        <v>19177</v>
      </c>
      <c r="N448" t="s">
        <v>1024</v>
      </c>
      <c r="O448" t="s">
        <v>1024</v>
      </c>
      <c r="P448" t="s">
        <v>842</v>
      </c>
    </row>
    <row r="449">
      <c r="A449">
        <f>HYPERLINK("http://bombeiros.sp.gov.br/hidrantes/03individual/10007.html","10007")</f>
      </c>
      <c r="B449" t="s">
        <v>842</v>
      </c>
      <c r="C449" t="s">
        <v>964</v>
      </c>
      <c r="D449" t="s">
        <v>964</v>
      </c>
      <c r="E449" t="s">
        <v>15</v>
      </c>
      <c r="F449" t="s">
        <v>13210</v>
      </c>
      <c r="G449" t="s">
        <v>17663</v>
      </c>
      <c r="H449" t="s">
        <v>1121</v>
      </c>
      <c r="I449" t="s">
        <v>1117</v>
      </c>
      <c r="J449" t="s">
        <v>13211</v>
      </c>
      <c r="K449" t="s">
        <v>13212</v>
      </c>
      <c r="L449" t="s">
        <v>21</v>
      </c>
      <c r="M449" t="s">
        <v>19177</v>
      </c>
      <c r="N449" t="s">
        <v>1024</v>
      </c>
      <c r="O449" t="s">
        <v>1024</v>
      </c>
      <c r="P449" t="s">
        <v>842</v>
      </c>
    </row>
    <row r="450">
      <c r="A450">
        <f>HYPERLINK("http://bombeiros.sp.gov.br/hidrantes/03individual/343.html","343")</f>
      </c>
      <c r="B450" t="s">
        <v>842</v>
      </c>
      <c r="C450" t="s">
        <v>964</v>
      </c>
      <c r="D450" t="s">
        <v>13219</v>
      </c>
      <c r="E450" t="s">
        <v>15</v>
      </c>
      <c r="F450" t="s">
        <v>15681</v>
      </c>
      <c r="G450" t="s">
        <v>15273</v>
      </c>
      <c r="H450"/>
      <c r="I450" t="s">
        <v>1117</v>
      </c>
      <c r="J450" t="s">
        <v>15682</v>
      </c>
      <c r="K450" t="s">
        <v>15683</v>
      </c>
      <c r="L450" t="s">
        <v>21</v>
      </c>
      <c r="M450" t="s">
        <v>19177</v>
      </c>
      <c r="N450" t="s">
        <v>1024</v>
      </c>
      <c r="O450" t="s">
        <v>1024</v>
      </c>
      <c r="P450" t="s">
        <v>842</v>
      </c>
    </row>
    <row r="451">
      <c r="A451">
        <f>HYPERLINK("http://bombeiros.sp.gov.br/hidrantes/03individual/27793.html","27793")</f>
      </c>
      <c r="B451" t="s">
        <v>842</v>
      </c>
      <c r="C451" t="s">
        <v>964</v>
      </c>
      <c r="D451" t="s">
        <v>13292</v>
      </c>
      <c r="E451" t="s">
        <v>15</v>
      </c>
      <c r="F451" t="s">
        <v>17772</v>
      </c>
      <c r="G451" t="s">
        <v>17613</v>
      </c>
      <c r="H451" t="s">
        <v>1112</v>
      </c>
      <c r="I451" t="s">
        <v>1108</v>
      </c>
      <c r="J451" t="s">
        <v>17773</v>
      </c>
      <c r="K451" t="s">
        <v>17774</v>
      </c>
      <c r="L451" t="s">
        <v>21</v>
      </c>
      <c r="M451" t="s">
        <v>19177</v>
      </c>
      <c r="N451" t="s">
        <v>1024</v>
      </c>
      <c r="O451" t="s">
        <v>1024</v>
      </c>
      <c r="P451" t="s">
        <v>842</v>
      </c>
    </row>
    <row r="452">
      <c r="A452">
        <f>HYPERLINK("http://bombeiros.sp.gov.br/hidrantes/03individual/2436.html","2436")</f>
      </c>
      <c r="B452" t="s">
        <v>842</v>
      </c>
      <c r="C452" t="s">
        <v>975</v>
      </c>
      <c r="D452" t="s">
        <v>975</v>
      </c>
      <c r="E452" t="s">
        <v>15</v>
      </c>
      <c r="F452" t="s">
        <v>976</v>
      </c>
      <c r="G452" t="s">
        <v>17912</v>
      </c>
      <c r="H452"/>
      <c r="I452" t="s">
        <v>18</v>
      </c>
      <c r="J452" t="s">
        <v>977</v>
      </c>
      <c r="K452" t="s">
        <v>978</v>
      </c>
      <c r="L452" t="s">
        <v>21</v>
      </c>
      <c r="M452" t="s">
        <v>19177</v>
      </c>
      <c r="N452" t="s">
        <v>843</v>
      </c>
      <c r="O452" t="s">
        <v>987</v>
      </c>
      <c r="P452" t="s">
        <v>842</v>
      </c>
    </row>
    <row r="453">
      <c r="A453">
        <f>HYPERLINK("http://bombeiros.sp.gov.br/hidrantes/03individual/4145.html","4145")</f>
      </c>
      <c r="B453" t="s">
        <v>842</v>
      </c>
      <c r="C453" t="s">
        <v>975</v>
      </c>
      <c r="D453" t="s">
        <v>975</v>
      </c>
      <c r="E453" t="s">
        <v>15</v>
      </c>
      <c r="F453" t="s">
        <v>15684</v>
      </c>
      <c r="G453" t="s">
        <v>15255</v>
      </c>
      <c r="H453"/>
      <c r="I453" t="s">
        <v>1117</v>
      </c>
      <c r="J453" t="s">
        <v>15685</v>
      </c>
      <c r="K453" t="s">
        <v>15686</v>
      </c>
      <c r="L453" t="s">
        <v>36</v>
      </c>
      <c r="M453" t="s">
        <v>19177</v>
      </c>
      <c r="N453" t="s">
        <v>843</v>
      </c>
      <c r="O453" t="s">
        <v>987</v>
      </c>
      <c r="P453" t="s">
        <v>842</v>
      </c>
    </row>
    <row r="454">
      <c r="A454">
        <f>HYPERLINK("http://bombeiros.sp.gov.br/hidrantes/03individual/16650.html","16650")</f>
      </c>
      <c r="B454" t="s">
        <v>842</v>
      </c>
      <c r="C454" t="s">
        <v>979</v>
      </c>
      <c r="D454" t="s">
        <v>980</v>
      </c>
      <c r="E454" t="s">
        <v>64</v>
      </c>
      <c r="F454" t="s">
        <v>13388</v>
      </c>
      <c r="G454" t="s">
        <v>17921</v>
      </c>
      <c r="H454" t="s">
        <v>1174</v>
      </c>
      <c r="I454" t="s">
        <v>1117</v>
      </c>
      <c r="J454" t="s">
        <v>13389</v>
      </c>
      <c r="K454" t="s">
        <v>13390</v>
      </c>
      <c r="L454" t="s">
        <v>21</v>
      </c>
      <c r="M454" t="s">
        <v>19177</v>
      </c>
      <c r="N454" t="s">
        <v>843</v>
      </c>
      <c r="O454" t="s">
        <v>987</v>
      </c>
      <c r="P454" t="s">
        <v>842</v>
      </c>
    </row>
    <row r="455">
      <c r="A455">
        <f>HYPERLINK("http://bombeiros.sp.gov.br/hidrantes/03individual/2438.html","2438")</f>
      </c>
      <c r="B455" t="s">
        <v>842</v>
      </c>
      <c r="C455" t="s">
        <v>979</v>
      </c>
      <c r="D455" t="s">
        <v>980</v>
      </c>
      <c r="E455" t="s">
        <v>15</v>
      </c>
      <c r="F455" t="s">
        <v>13397</v>
      </c>
      <c r="G455" t="s">
        <v>17912</v>
      </c>
      <c r="H455"/>
      <c r="I455" t="s">
        <v>18</v>
      </c>
      <c r="J455" t="s">
        <v>13398</v>
      </c>
      <c r="K455" t="s">
        <v>13399</v>
      </c>
      <c r="L455" t="s">
        <v>21</v>
      </c>
      <c r="M455" t="s">
        <v>19177</v>
      </c>
      <c r="N455" t="s">
        <v>843</v>
      </c>
      <c r="O455" t="s">
        <v>987</v>
      </c>
      <c r="P455" t="s">
        <v>842</v>
      </c>
    </row>
    <row r="456">
      <c r="A456">
        <f>HYPERLINK("http://bombeiros.sp.gov.br/hidrantes/03individual/4132.html","4132")</f>
      </c>
      <c r="B456" t="s">
        <v>842</v>
      </c>
      <c r="C456" t="s">
        <v>979</v>
      </c>
      <c r="D456" t="s">
        <v>980</v>
      </c>
      <c r="E456" t="s">
        <v>15</v>
      </c>
      <c r="F456" t="s">
        <v>15687</v>
      </c>
      <c r="G456" t="s">
        <v>15255</v>
      </c>
      <c r="H456"/>
      <c r="I456" t="s">
        <v>1117</v>
      </c>
      <c r="J456" t="s">
        <v>15688</v>
      </c>
      <c r="K456" t="s">
        <v>15689</v>
      </c>
      <c r="L456" t="s">
        <v>36</v>
      </c>
      <c r="M456" t="s">
        <v>19177</v>
      </c>
      <c r="N456" t="s">
        <v>843</v>
      </c>
      <c r="O456" t="s">
        <v>987</v>
      </c>
      <c r="P456" t="s">
        <v>842</v>
      </c>
    </row>
    <row r="457">
      <c r="A457">
        <f>HYPERLINK("http://bombeiros.sp.gov.br/hidrantes/03individual/4149.html","4149")</f>
      </c>
      <c r="B457" t="s">
        <v>842</v>
      </c>
      <c r="C457" t="s">
        <v>979</v>
      </c>
      <c r="D457" t="s">
        <v>980</v>
      </c>
      <c r="E457" t="s">
        <v>15</v>
      </c>
      <c r="F457" t="s">
        <v>981</v>
      </c>
      <c r="G457" t="s">
        <v>18055</v>
      </c>
      <c r="H457"/>
      <c r="I457" t="s">
        <v>18</v>
      </c>
      <c r="J457" t="s">
        <v>982</v>
      </c>
      <c r="K457" t="s">
        <v>983</v>
      </c>
      <c r="L457" t="s">
        <v>21</v>
      </c>
      <c r="M457" t="s">
        <v>19177</v>
      </c>
      <c r="N457" t="s">
        <v>843</v>
      </c>
      <c r="O457" t="s">
        <v>987</v>
      </c>
      <c r="P457" t="s">
        <v>842</v>
      </c>
    </row>
    <row r="458">
      <c r="A458">
        <f>HYPERLINK("http://bombeiros.sp.gov.br/hidrantes/03individual/16651.html","16651")</f>
      </c>
      <c r="B458" t="s">
        <v>842</v>
      </c>
      <c r="C458" t="s">
        <v>979</v>
      </c>
      <c r="D458" t="s">
        <v>980</v>
      </c>
      <c r="E458" t="s">
        <v>15</v>
      </c>
      <c r="F458" t="s">
        <v>984</v>
      </c>
      <c r="G458" t="s">
        <v>17790</v>
      </c>
      <c r="H458" t="s">
        <v>1112</v>
      </c>
      <c r="I458" t="s">
        <v>1108</v>
      </c>
      <c r="J458" t="s">
        <v>17191</v>
      </c>
      <c r="K458" t="s">
        <v>17192</v>
      </c>
      <c r="L458" t="s">
        <v>21</v>
      </c>
      <c r="M458" t="s">
        <v>19177</v>
      </c>
      <c r="N458" t="s">
        <v>843</v>
      </c>
      <c r="O458" t="s">
        <v>987</v>
      </c>
      <c r="P458" t="s">
        <v>842</v>
      </c>
    </row>
    <row r="459">
      <c r="A459">
        <f>HYPERLINK("http://bombeiros.sp.gov.br/hidrantes/03individual/4403.html","4403")</f>
      </c>
      <c r="B459" t="s">
        <v>842</v>
      </c>
      <c r="C459" t="s">
        <v>979</v>
      </c>
      <c r="D459" t="s">
        <v>987</v>
      </c>
      <c r="E459" t="s">
        <v>15</v>
      </c>
      <c r="F459" t="s">
        <v>992</v>
      </c>
      <c r="G459" t="s">
        <v>17911</v>
      </c>
      <c r="H459"/>
      <c r="I459" t="s">
        <v>18</v>
      </c>
      <c r="J459" t="s">
        <v>994</v>
      </c>
      <c r="K459" t="s">
        <v>995</v>
      </c>
      <c r="L459" t="s">
        <v>21</v>
      </c>
      <c r="M459" t="s">
        <v>19177</v>
      </c>
      <c r="N459" t="s">
        <v>843</v>
      </c>
      <c r="O459" t="s">
        <v>987</v>
      </c>
      <c r="P459" t="s">
        <v>842</v>
      </c>
    </row>
    <row r="460">
      <c r="A460">
        <f>HYPERLINK("http://bombeiros.sp.gov.br/hidrantes/03individual/4406.html","4406")</f>
      </c>
      <c r="B460" t="s">
        <v>842</v>
      </c>
      <c r="C460" t="s">
        <v>979</v>
      </c>
      <c r="D460" t="s">
        <v>987</v>
      </c>
      <c r="E460" t="s">
        <v>15</v>
      </c>
      <c r="F460" t="s">
        <v>13421</v>
      </c>
      <c r="G460" t="s">
        <v>17911</v>
      </c>
      <c r="H460"/>
      <c r="I460" t="s">
        <v>18</v>
      </c>
      <c r="J460" t="s">
        <v>13422</v>
      </c>
      <c r="K460" t="s">
        <v>13423</v>
      </c>
      <c r="L460" t="s">
        <v>21</v>
      </c>
      <c r="M460" t="s">
        <v>19177</v>
      </c>
      <c r="N460" t="s">
        <v>843</v>
      </c>
      <c r="O460" t="s">
        <v>987</v>
      </c>
      <c r="P460" t="s">
        <v>842</v>
      </c>
    </row>
    <row r="461">
      <c r="A461">
        <f>HYPERLINK("http://bombeiros.sp.gov.br/hidrantes/03individual/26912.html","26912")</f>
      </c>
      <c r="B461" t="s">
        <v>842</v>
      </c>
      <c r="C461" t="s">
        <v>979</v>
      </c>
      <c r="D461" t="s">
        <v>987</v>
      </c>
      <c r="E461" t="s">
        <v>15</v>
      </c>
      <c r="F461" t="s">
        <v>16388</v>
      </c>
      <c r="G461" t="s">
        <v>17911</v>
      </c>
      <c r="H461"/>
      <c r="I461" t="s">
        <v>18</v>
      </c>
      <c r="J461" t="s">
        <v>16389</v>
      </c>
      <c r="K461" t="s">
        <v>16390</v>
      </c>
      <c r="L461" t="s">
        <v>21</v>
      </c>
      <c r="M461" t="s">
        <v>19177</v>
      </c>
      <c r="N461" t="s">
        <v>843</v>
      </c>
      <c r="O461" t="s">
        <v>987</v>
      </c>
      <c r="P461" t="s">
        <v>842</v>
      </c>
    </row>
    <row r="462">
      <c r="A462">
        <f>HYPERLINK("http://bombeiros.sp.gov.br/hidrantes/03individual/28052.html","28052")</f>
      </c>
      <c r="B462" t="s">
        <v>842</v>
      </c>
      <c r="C462" t="s">
        <v>979</v>
      </c>
      <c r="D462" t="s">
        <v>979</v>
      </c>
      <c r="E462" t="s">
        <v>15</v>
      </c>
      <c r="F462" t="s">
        <v>18388</v>
      </c>
      <c r="G462"/>
      <c r="H462"/>
      <c r="I462" t="s">
        <v>1503</v>
      </c>
      <c r="J462" t="s">
        <v>18389</v>
      </c>
      <c r="K462" t="s">
        <v>18390</v>
      </c>
      <c r="L462" t="s">
        <v>21</v>
      </c>
      <c r="M462" t="s">
        <v>19177</v>
      </c>
      <c r="N462" t="s">
        <v>843</v>
      </c>
      <c r="O462" t="s">
        <v>987</v>
      </c>
      <c r="P462" t="s">
        <v>842</v>
      </c>
    </row>
    <row r="463">
      <c r="A463">
        <f>HYPERLINK("http://bombeiros.sp.gov.br/hidrantes/03individual/16603.html","16603")</f>
      </c>
      <c r="B463" t="s">
        <v>842</v>
      </c>
      <c r="C463" t="s">
        <v>996</v>
      </c>
      <c r="D463" t="s">
        <v>13449</v>
      </c>
      <c r="E463" t="s">
        <v>15</v>
      </c>
      <c r="F463" t="s">
        <v>15690</v>
      </c>
      <c r="G463"/>
      <c r="H463"/>
      <c r="I463" t="s">
        <v>1503</v>
      </c>
      <c r="J463" t="s">
        <v>15691</v>
      </c>
      <c r="K463" t="s">
        <v>15692</v>
      </c>
      <c r="L463" t="s">
        <v>21</v>
      </c>
      <c r="M463" t="s">
        <v>19177</v>
      </c>
      <c r="N463" t="s">
        <v>714</v>
      </c>
      <c r="O463" t="s">
        <v>10263</v>
      </c>
      <c r="P463" t="s">
        <v>12</v>
      </c>
    </row>
    <row r="464">
      <c r="A464">
        <f>HYPERLINK("http://bombeiros.sp.gov.br/hidrantes/03individual/16571.html","16571")</f>
      </c>
      <c r="B464" t="s">
        <v>842</v>
      </c>
      <c r="C464" t="s">
        <v>996</v>
      </c>
      <c r="D464" t="s">
        <v>997</v>
      </c>
      <c r="E464" t="s">
        <v>15</v>
      </c>
      <c r="F464" t="s">
        <v>998</v>
      </c>
      <c r="G464" t="s">
        <v>17611</v>
      </c>
      <c r="H464"/>
      <c r="I464" t="s">
        <v>18</v>
      </c>
      <c r="J464" t="s">
        <v>1000</v>
      </c>
      <c r="K464" t="s">
        <v>1001</v>
      </c>
      <c r="L464" t="s">
        <v>21</v>
      </c>
      <c r="M464" t="s">
        <v>19177</v>
      </c>
      <c r="N464" t="s">
        <v>714</v>
      </c>
      <c r="O464" t="s">
        <v>10263</v>
      </c>
      <c r="P464" t="s">
        <v>12</v>
      </c>
    </row>
    <row r="465">
      <c r="A465">
        <f>HYPERLINK("http://bombeiros.sp.gov.br/hidrantes/03individual/3997.html","3997")</f>
      </c>
      <c r="B465" t="s">
        <v>842</v>
      </c>
      <c r="C465" t="s">
        <v>996</v>
      </c>
      <c r="D465" t="s">
        <v>996</v>
      </c>
      <c r="E465" t="s">
        <v>15</v>
      </c>
      <c r="F465" t="s">
        <v>15693</v>
      </c>
      <c r="G465" t="s">
        <v>9110</v>
      </c>
      <c r="H465"/>
      <c r="I465" t="s">
        <v>1117</v>
      </c>
      <c r="J465" t="s">
        <v>15694</v>
      </c>
      <c r="K465" t="s">
        <v>15695</v>
      </c>
      <c r="L465" t="s">
        <v>21</v>
      </c>
      <c r="M465" t="s">
        <v>19177</v>
      </c>
      <c r="N465" t="s">
        <v>714</v>
      </c>
      <c r="O465" t="s">
        <v>10263</v>
      </c>
      <c r="P465" t="s">
        <v>12</v>
      </c>
    </row>
    <row r="466">
      <c r="A466">
        <f>HYPERLINK("http://bombeiros.sp.gov.br/hidrantes/03individual/2198.html","2198")</f>
      </c>
      <c r="B466" t="s">
        <v>842</v>
      </c>
      <c r="C466" t="s">
        <v>996</v>
      </c>
      <c r="D466" t="s">
        <v>1002</v>
      </c>
      <c r="E466" t="s">
        <v>15</v>
      </c>
      <c r="F466" t="s">
        <v>15696</v>
      </c>
      <c r="G466" t="s">
        <v>9110</v>
      </c>
      <c r="H466"/>
      <c r="I466" t="s">
        <v>1117</v>
      </c>
      <c r="J466" t="s">
        <v>15697</v>
      </c>
      <c r="K466" t="s">
        <v>15698</v>
      </c>
      <c r="L466" t="s">
        <v>21</v>
      </c>
      <c r="M466" t="s">
        <v>19177</v>
      </c>
      <c r="N466" t="s">
        <v>714</v>
      </c>
      <c r="O466" t="s">
        <v>10263</v>
      </c>
      <c r="P466" t="s">
        <v>12</v>
      </c>
    </row>
    <row r="467">
      <c r="A467">
        <f>HYPERLINK("http://bombeiros.sp.gov.br/hidrantes/03individual/2226.html","2226")</f>
      </c>
      <c r="B467" t="s">
        <v>842</v>
      </c>
      <c r="C467" t="s">
        <v>996</v>
      </c>
      <c r="D467" t="s">
        <v>1002</v>
      </c>
      <c r="E467" t="s">
        <v>15</v>
      </c>
      <c r="F467" t="s">
        <v>15699</v>
      </c>
      <c r="G467" t="s">
        <v>9110</v>
      </c>
      <c r="H467"/>
      <c r="I467" t="s">
        <v>1117</v>
      </c>
      <c r="J467" t="s">
        <v>15700</v>
      </c>
      <c r="K467" t="s">
        <v>15701</v>
      </c>
      <c r="L467" t="s">
        <v>21</v>
      </c>
      <c r="M467" t="s">
        <v>19177</v>
      </c>
      <c r="N467" t="s">
        <v>714</v>
      </c>
      <c r="O467" t="s">
        <v>10263</v>
      </c>
      <c r="P467" t="s">
        <v>12</v>
      </c>
    </row>
    <row r="468">
      <c r="A468">
        <f>HYPERLINK("http://bombeiros.sp.gov.br/hidrantes/03individual/5379.html","5379")</f>
      </c>
      <c r="B468" t="s">
        <v>842</v>
      </c>
      <c r="C468" t="s">
        <v>996</v>
      </c>
      <c r="D468" t="s">
        <v>1002</v>
      </c>
      <c r="E468" t="s">
        <v>15</v>
      </c>
      <c r="F468" t="s">
        <v>13594</v>
      </c>
      <c r="G468" t="s">
        <v>18173</v>
      </c>
      <c r="H468" t="s">
        <v>1107</v>
      </c>
      <c r="I468" t="s">
        <v>1108</v>
      </c>
      <c r="J468" t="s">
        <v>13595</v>
      </c>
      <c r="K468" t="s">
        <v>13596</v>
      </c>
      <c r="L468" t="s">
        <v>21</v>
      </c>
      <c r="M468" t="s">
        <v>19177</v>
      </c>
      <c r="N468" t="s">
        <v>714</v>
      </c>
      <c r="O468" t="s">
        <v>10263</v>
      </c>
      <c r="P468" t="s">
        <v>12</v>
      </c>
    </row>
    <row r="469">
      <c r="A469">
        <f>HYPERLINK("http://bombeiros.sp.gov.br/hidrantes/03individual/4123.html","4123")</f>
      </c>
      <c r="B469" t="s">
        <v>842</v>
      </c>
      <c r="C469" t="s">
        <v>13671</v>
      </c>
      <c r="D469" t="s">
        <v>13671</v>
      </c>
      <c r="E469" t="s">
        <v>64</v>
      </c>
      <c r="F469" t="s">
        <v>15702</v>
      </c>
      <c r="G469" t="s">
        <v>15018</v>
      </c>
      <c r="H469"/>
      <c r="I469" t="s">
        <v>1117</v>
      </c>
      <c r="J469" t="s">
        <v>15703</v>
      </c>
      <c r="K469" t="s">
        <v>15704</v>
      </c>
      <c r="L469" t="s">
        <v>36</v>
      </c>
      <c r="M469" t="s">
        <v>19177</v>
      </c>
      <c r="N469" t="s">
        <v>16376</v>
      </c>
      <c r="O469" t="s">
        <v>16376</v>
      </c>
      <c r="P469" t="s">
        <v>842</v>
      </c>
    </row>
    <row r="470">
      <c r="A470">
        <f>HYPERLINK("http://bombeiros.sp.gov.br/hidrantes/03individual/2482.html","2482")</f>
      </c>
      <c r="B470" t="s">
        <v>842</v>
      </c>
      <c r="C470" t="s">
        <v>1006</v>
      </c>
      <c r="D470" t="s">
        <v>1007</v>
      </c>
      <c r="E470" t="s">
        <v>15</v>
      </c>
      <c r="F470" t="s">
        <v>1008</v>
      </c>
      <c r="G470" t="s">
        <v>17611</v>
      </c>
      <c r="H470"/>
      <c r="I470" t="s">
        <v>18</v>
      </c>
      <c r="J470" t="s">
        <v>1010</v>
      </c>
      <c r="K470" t="s">
        <v>1011</v>
      </c>
      <c r="L470" t="s">
        <v>21</v>
      </c>
      <c r="M470" t="s">
        <v>19177</v>
      </c>
      <c r="N470" t="s">
        <v>1024</v>
      </c>
      <c r="O470" t="s">
        <v>1024</v>
      </c>
      <c r="P470" t="s">
        <v>842</v>
      </c>
    </row>
    <row r="471">
      <c r="A471">
        <f>HYPERLINK("http://bombeiros.sp.gov.br/hidrantes/03individual/441.html","441")</f>
      </c>
      <c r="B471" t="s">
        <v>842</v>
      </c>
      <c r="C471" t="s">
        <v>1006</v>
      </c>
      <c r="D471" t="s">
        <v>1006</v>
      </c>
      <c r="E471" t="s">
        <v>15</v>
      </c>
      <c r="F471" t="s">
        <v>13724</v>
      </c>
      <c r="G471" t="s">
        <v>1013</v>
      </c>
      <c r="H471" t="s">
        <v>1121</v>
      </c>
      <c r="I471" t="s">
        <v>1117</v>
      </c>
      <c r="J471" t="s">
        <v>13725</v>
      </c>
      <c r="K471" t="s">
        <v>13726</v>
      </c>
      <c r="L471" t="s">
        <v>21</v>
      </c>
      <c r="M471" t="s">
        <v>19177</v>
      </c>
      <c r="N471" t="s">
        <v>1024</v>
      </c>
      <c r="O471" t="s">
        <v>1024</v>
      </c>
      <c r="P471" t="s">
        <v>842</v>
      </c>
    </row>
    <row r="472">
      <c r="A472">
        <f>HYPERLINK("http://bombeiros.sp.gov.br/hidrantes/03individual/310.html","310")</f>
      </c>
      <c r="B472" t="s">
        <v>842</v>
      </c>
      <c r="C472" t="s">
        <v>945</v>
      </c>
      <c r="D472" t="s">
        <v>1016</v>
      </c>
      <c r="E472" t="s">
        <v>15</v>
      </c>
      <c r="F472" t="s">
        <v>1017</v>
      </c>
      <c r="G472" t="s">
        <v>17641</v>
      </c>
      <c r="H472"/>
      <c r="I472" t="s">
        <v>18</v>
      </c>
      <c r="J472" t="s">
        <v>1018</v>
      </c>
      <c r="K472" t="s">
        <v>1019</v>
      </c>
      <c r="L472" t="s">
        <v>21</v>
      </c>
      <c r="M472" t="s">
        <v>19177</v>
      </c>
      <c r="N472" t="s">
        <v>97</v>
      </c>
      <c r="O472" t="s">
        <v>937</v>
      </c>
      <c r="P472" t="s">
        <v>12</v>
      </c>
    </row>
    <row r="473">
      <c r="A473">
        <f>HYPERLINK("http://bombeiros.sp.gov.br/hidrantes/03individual/340.html","340")</f>
      </c>
      <c r="B473" t="s">
        <v>842</v>
      </c>
      <c r="C473" t="s">
        <v>945</v>
      </c>
      <c r="D473" t="s">
        <v>13774</v>
      </c>
      <c r="E473" t="s">
        <v>15</v>
      </c>
      <c r="F473" t="s">
        <v>15708</v>
      </c>
      <c r="G473" t="s">
        <v>15403</v>
      </c>
      <c r="H473"/>
      <c r="I473" t="s">
        <v>1117</v>
      </c>
      <c r="J473" t="s">
        <v>15709</v>
      </c>
      <c r="K473" t="s">
        <v>15710</v>
      </c>
      <c r="L473" t="s">
        <v>21</v>
      </c>
      <c r="M473" t="s">
        <v>19177</v>
      </c>
      <c r="N473" t="s">
        <v>97</v>
      </c>
      <c r="O473" t="s">
        <v>937</v>
      </c>
      <c r="P473" t="s">
        <v>12</v>
      </c>
    </row>
    <row r="474">
      <c r="A474">
        <f>HYPERLINK("http://bombeiros.sp.gov.br/hidrantes/03individual/3632.html","3632")</f>
      </c>
      <c r="B474" t="s">
        <v>842</v>
      </c>
      <c r="C474" t="s">
        <v>945</v>
      </c>
      <c r="D474" t="s">
        <v>1020</v>
      </c>
      <c r="E474" t="s">
        <v>15</v>
      </c>
      <c r="F474" t="s">
        <v>13887</v>
      </c>
      <c r="G474" t="s">
        <v>18118</v>
      </c>
      <c r="H474" t="s">
        <v>1121</v>
      </c>
      <c r="I474" t="s">
        <v>1117</v>
      </c>
      <c r="J474" t="s">
        <v>13888</v>
      </c>
      <c r="K474" t="s">
        <v>13889</v>
      </c>
      <c r="L474" t="s">
        <v>21</v>
      </c>
      <c r="M474" t="s">
        <v>19177</v>
      </c>
      <c r="N474" t="s">
        <v>97</v>
      </c>
      <c r="O474" t="s">
        <v>937</v>
      </c>
      <c r="P474" t="s">
        <v>12</v>
      </c>
    </row>
    <row r="475">
      <c r="A475">
        <f>HYPERLINK("http://bombeiros.sp.gov.br/hidrantes/03individual/3635.html","3635")</f>
      </c>
      <c r="B475" t="s">
        <v>842</v>
      </c>
      <c r="C475" t="s">
        <v>945</v>
      </c>
      <c r="D475" t="s">
        <v>1020</v>
      </c>
      <c r="E475" t="s">
        <v>15</v>
      </c>
      <c r="F475" t="s">
        <v>15711</v>
      </c>
      <c r="G475" t="s">
        <v>15513</v>
      </c>
      <c r="H475"/>
      <c r="I475" t="s">
        <v>1117</v>
      </c>
      <c r="J475" t="s">
        <v>15712</v>
      </c>
      <c r="K475" t="s">
        <v>15713</v>
      </c>
      <c r="L475" t="s">
        <v>21</v>
      </c>
      <c r="M475" t="s">
        <v>19177</v>
      </c>
      <c r="N475" t="s">
        <v>97</v>
      </c>
      <c r="O475" t="s">
        <v>937</v>
      </c>
      <c r="P475" t="s">
        <v>12</v>
      </c>
    </row>
    <row r="476">
      <c r="A476">
        <f>HYPERLINK("http://bombeiros.sp.gov.br/hidrantes/03individual/3645.html","3645")</f>
      </c>
      <c r="B476" t="s">
        <v>842</v>
      </c>
      <c r="C476" t="s">
        <v>945</v>
      </c>
      <c r="D476" t="s">
        <v>1020</v>
      </c>
      <c r="E476" t="s">
        <v>15</v>
      </c>
      <c r="F476" t="s">
        <v>15714</v>
      </c>
      <c r="G476" t="s">
        <v>15513</v>
      </c>
      <c r="H476"/>
      <c r="I476" t="s">
        <v>1117</v>
      </c>
      <c r="J476" t="s">
        <v>15715</v>
      </c>
      <c r="K476" t="s">
        <v>15716</v>
      </c>
      <c r="L476" t="s">
        <v>21</v>
      </c>
      <c r="M476" t="s">
        <v>19177</v>
      </c>
      <c r="N476" t="s">
        <v>97</v>
      </c>
      <c r="O476" t="s">
        <v>937</v>
      </c>
      <c r="P476" t="s">
        <v>12</v>
      </c>
    </row>
    <row r="477">
      <c r="A477">
        <f>HYPERLINK("http://bombeiros.sp.gov.br/hidrantes/03individual/3647.html","3647")</f>
      </c>
      <c r="B477" t="s">
        <v>842</v>
      </c>
      <c r="C477" t="s">
        <v>945</v>
      </c>
      <c r="D477" t="s">
        <v>1020</v>
      </c>
      <c r="E477" t="s">
        <v>15</v>
      </c>
      <c r="F477" t="s">
        <v>15717</v>
      </c>
      <c r="G477" t="s">
        <v>15513</v>
      </c>
      <c r="H477"/>
      <c r="I477" t="s">
        <v>1117</v>
      </c>
      <c r="J477" t="s">
        <v>15718</v>
      </c>
      <c r="K477" t="s">
        <v>15719</v>
      </c>
      <c r="L477" t="s">
        <v>21</v>
      </c>
      <c r="M477" t="s">
        <v>19177</v>
      </c>
      <c r="N477" t="s">
        <v>97</v>
      </c>
      <c r="O477" t="s">
        <v>937</v>
      </c>
      <c r="P477" t="s">
        <v>12</v>
      </c>
    </row>
    <row r="478">
      <c r="A478">
        <f>HYPERLINK("http://bombeiros.sp.gov.br/hidrantes/03individual/10027.html","10027")</f>
      </c>
      <c r="B478" t="s">
        <v>842</v>
      </c>
      <c r="C478" t="s">
        <v>945</v>
      </c>
      <c r="D478" t="s">
        <v>1020</v>
      </c>
      <c r="E478" t="s">
        <v>15</v>
      </c>
      <c r="F478" t="s">
        <v>18854</v>
      </c>
      <c r="G478" t="s">
        <v>18174</v>
      </c>
      <c r="H478" t="s">
        <v>1121</v>
      </c>
      <c r="I478" t="s">
        <v>1117</v>
      </c>
      <c r="J478" t="s">
        <v>1022</v>
      </c>
      <c r="K478" t="s">
        <v>1023</v>
      </c>
      <c r="L478" t="s">
        <v>21</v>
      </c>
      <c r="M478" t="s">
        <v>19177</v>
      </c>
      <c r="N478" t="s">
        <v>97</v>
      </c>
      <c r="O478" t="s">
        <v>937</v>
      </c>
      <c r="P478" t="s">
        <v>12</v>
      </c>
    </row>
    <row r="479">
      <c r="A479">
        <f>HYPERLINK("http://bombeiros.sp.gov.br/hidrantes/03individual/3712.html","3712")</f>
      </c>
      <c r="B479" t="s">
        <v>842</v>
      </c>
      <c r="C479" t="s">
        <v>945</v>
      </c>
      <c r="D479" t="s">
        <v>13908</v>
      </c>
      <c r="E479" t="s">
        <v>15</v>
      </c>
      <c r="F479" t="s">
        <v>13942</v>
      </c>
      <c r="G479" t="s">
        <v>18129</v>
      </c>
      <c r="H479" t="s">
        <v>1121</v>
      </c>
      <c r="I479" t="s">
        <v>1117</v>
      </c>
      <c r="J479" t="s">
        <v>13943</v>
      </c>
      <c r="K479" t="s">
        <v>13944</v>
      </c>
      <c r="L479" t="s">
        <v>21</v>
      </c>
      <c r="M479" t="s">
        <v>19177</v>
      </c>
      <c r="N479" t="s">
        <v>97</v>
      </c>
      <c r="O479" t="s">
        <v>937</v>
      </c>
      <c r="P479" t="s">
        <v>12</v>
      </c>
    </row>
    <row r="480">
      <c r="A480">
        <f>HYPERLINK("http://bombeiros.sp.gov.br/hidrantes/03individual/3855.html","3855")</f>
      </c>
      <c r="B480" t="s">
        <v>842</v>
      </c>
      <c r="C480" t="s">
        <v>1024</v>
      </c>
      <c r="D480" t="s">
        <v>14012</v>
      </c>
      <c r="E480" t="s">
        <v>15</v>
      </c>
      <c r="F480" t="s">
        <v>15720</v>
      </c>
      <c r="G480" t="s">
        <v>15165</v>
      </c>
      <c r="H480"/>
      <c r="I480" t="s">
        <v>1117</v>
      </c>
      <c r="J480" t="s">
        <v>15721</v>
      </c>
      <c r="K480" t="s">
        <v>15722</v>
      </c>
      <c r="L480" t="s">
        <v>36</v>
      </c>
      <c r="M480" t="s">
        <v>19177</v>
      </c>
      <c r="N480" t="s">
        <v>1024</v>
      </c>
      <c r="O480" t="s">
        <v>1024</v>
      </c>
      <c r="P480" t="s">
        <v>842</v>
      </c>
    </row>
    <row r="481">
      <c r="A481">
        <f>HYPERLINK("http://bombeiros.sp.gov.br/hidrantes/03individual/16613.html","16613")</f>
      </c>
      <c r="B481" t="s">
        <v>842</v>
      </c>
      <c r="C481" t="s">
        <v>1024</v>
      </c>
      <c r="D481" t="s">
        <v>14012</v>
      </c>
      <c r="E481" t="s">
        <v>15</v>
      </c>
      <c r="F481" t="s">
        <v>15723</v>
      </c>
      <c r="G481"/>
      <c r="H481"/>
      <c r="I481" t="s">
        <v>1503</v>
      </c>
      <c r="J481" t="s">
        <v>15724</v>
      </c>
      <c r="K481" t="s">
        <v>15725</v>
      </c>
      <c r="L481" t="s">
        <v>21</v>
      </c>
      <c r="M481" t="s">
        <v>19177</v>
      </c>
      <c r="N481" t="s">
        <v>1024</v>
      </c>
      <c r="O481" t="s">
        <v>1024</v>
      </c>
      <c r="P481" t="s">
        <v>842</v>
      </c>
    </row>
    <row r="482">
      <c r="A482">
        <f>HYPERLINK("http://bombeiros.sp.gov.br/hidrantes/03individual/4015.html","4015")</f>
      </c>
      <c r="B482" t="s">
        <v>842</v>
      </c>
      <c r="C482" t="s">
        <v>1024</v>
      </c>
      <c r="D482" t="s">
        <v>1025</v>
      </c>
      <c r="E482" t="s">
        <v>64</v>
      </c>
      <c r="F482" t="s">
        <v>15726</v>
      </c>
      <c r="G482" t="s">
        <v>15727</v>
      </c>
      <c r="H482"/>
      <c r="I482" t="s">
        <v>1117</v>
      </c>
      <c r="J482" t="s">
        <v>15728</v>
      </c>
      <c r="K482" t="s">
        <v>15729</v>
      </c>
      <c r="L482" t="s">
        <v>36</v>
      </c>
      <c r="M482" t="s">
        <v>19177</v>
      </c>
      <c r="N482" t="s">
        <v>1024</v>
      </c>
      <c r="O482" t="s">
        <v>1024</v>
      </c>
      <c r="P482" t="s">
        <v>842</v>
      </c>
    </row>
    <row r="483">
      <c r="A483">
        <f>HYPERLINK("http://bombeiros.sp.gov.br/hidrantes/03individual/4058.html","4058")</f>
      </c>
      <c r="B483" t="s">
        <v>842</v>
      </c>
      <c r="C483" t="s">
        <v>1024</v>
      </c>
      <c r="D483" t="s">
        <v>1025</v>
      </c>
      <c r="E483" t="s">
        <v>15</v>
      </c>
      <c r="F483" t="s">
        <v>1029</v>
      </c>
      <c r="G483" t="s">
        <v>18150</v>
      </c>
      <c r="H483" t="s">
        <v>1121</v>
      </c>
      <c r="I483" t="s">
        <v>1117</v>
      </c>
      <c r="J483" t="s">
        <v>1031</v>
      </c>
      <c r="K483" t="s">
        <v>1032</v>
      </c>
      <c r="L483" t="s">
        <v>21</v>
      </c>
      <c r="M483" t="s">
        <v>19177</v>
      </c>
      <c r="N483" t="s">
        <v>1024</v>
      </c>
      <c r="O483" t="s">
        <v>1024</v>
      </c>
      <c r="P483" t="s">
        <v>842</v>
      </c>
    </row>
    <row r="484">
      <c r="A484">
        <f>HYPERLINK("http://bombeiros.sp.gov.br/hidrantes/03individual/4215.html","4215")</f>
      </c>
      <c r="B484" t="s">
        <v>842</v>
      </c>
      <c r="C484" t="s">
        <v>1024</v>
      </c>
      <c r="D484" t="s">
        <v>1025</v>
      </c>
      <c r="E484" t="s">
        <v>15</v>
      </c>
      <c r="F484" t="s">
        <v>14115</v>
      </c>
      <c r="G484" t="s">
        <v>18209</v>
      </c>
      <c r="H484"/>
      <c r="I484" t="s">
        <v>18</v>
      </c>
      <c r="J484" t="s">
        <v>14116</v>
      </c>
      <c r="K484" t="s">
        <v>14117</v>
      </c>
      <c r="L484" t="s">
        <v>21</v>
      </c>
      <c r="M484" t="s">
        <v>19177</v>
      </c>
      <c r="N484" t="s">
        <v>1024</v>
      </c>
      <c r="O484" t="s">
        <v>1024</v>
      </c>
      <c r="P484" t="s">
        <v>842</v>
      </c>
    </row>
    <row r="485">
      <c r="A485">
        <f>HYPERLINK("http://bombeiros.sp.gov.br/hidrantes/03individual/6712.html","6712")</f>
      </c>
      <c r="B485" t="s">
        <v>842</v>
      </c>
      <c r="C485" t="s">
        <v>1024</v>
      </c>
      <c r="D485" t="s">
        <v>1025</v>
      </c>
      <c r="E485" t="s">
        <v>15</v>
      </c>
      <c r="F485" t="s">
        <v>14133</v>
      </c>
      <c r="G485" t="s">
        <v>16341</v>
      </c>
      <c r="H485"/>
      <c r="I485" t="s">
        <v>18</v>
      </c>
      <c r="J485" t="s">
        <v>14134</v>
      </c>
      <c r="K485" t="s">
        <v>14135</v>
      </c>
      <c r="L485" t="s">
        <v>21</v>
      </c>
      <c r="M485" t="s">
        <v>19177</v>
      </c>
      <c r="N485" t="s">
        <v>1024</v>
      </c>
      <c r="O485" t="s">
        <v>1024</v>
      </c>
      <c r="P485" t="s">
        <v>842</v>
      </c>
    </row>
    <row r="486">
      <c r="A486">
        <f>HYPERLINK("http://bombeiros.sp.gov.br/hidrantes/03individual/6713.html","6713")</f>
      </c>
      <c r="B486" t="s">
        <v>842</v>
      </c>
      <c r="C486" t="s">
        <v>1024</v>
      </c>
      <c r="D486" t="s">
        <v>1025</v>
      </c>
      <c r="E486" t="s">
        <v>15</v>
      </c>
      <c r="F486" t="s">
        <v>1037</v>
      </c>
      <c r="G486" t="s">
        <v>74</v>
      </c>
      <c r="H486"/>
      <c r="I486" t="s">
        <v>18</v>
      </c>
      <c r="J486" t="s">
        <v>1038</v>
      </c>
      <c r="K486" t="s">
        <v>1039</v>
      </c>
      <c r="L486" t="s">
        <v>21</v>
      </c>
      <c r="M486" t="s">
        <v>19177</v>
      </c>
      <c r="N486" t="s">
        <v>1024</v>
      </c>
      <c r="O486" t="s">
        <v>1024</v>
      </c>
      <c r="P486" t="s">
        <v>842</v>
      </c>
    </row>
    <row r="487">
      <c r="A487">
        <f>HYPERLINK("http://bombeiros.sp.gov.br/hidrantes/03individual/6789.html","6789")</f>
      </c>
      <c r="B487" t="s">
        <v>842</v>
      </c>
      <c r="C487" t="s">
        <v>1024</v>
      </c>
      <c r="D487" t="s">
        <v>1025</v>
      </c>
      <c r="E487" t="s">
        <v>15</v>
      </c>
      <c r="F487" t="s">
        <v>1040</v>
      </c>
      <c r="G487" t="s">
        <v>17167</v>
      </c>
      <c r="H487" t="s">
        <v>1107</v>
      </c>
      <c r="I487" t="s">
        <v>1108</v>
      </c>
      <c r="J487" t="s">
        <v>1041</v>
      </c>
      <c r="K487" t="s">
        <v>1042</v>
      </c>
      <c r="L487" t="s">
        <v>21</v>
      </c>
      <c r="M487" t="s">
        <v>19177</v>
      </c>
      <c r="N487" t="s">
        <v>1024</v>
      </c>
      <c r="O487" t="s">
        <v>1024</v>
      </c>
      <c r="P487" t="s">
        <v>842</v>
      </c>
    </row>
    <row r="488">
      <c r="A488">
        <f>HYPERLINK("http://bombeiros.sp.gov.br/hidrantes/03individual/4066.html","4066")</f>
      </c>
      <c r="B488" t="s">
        <v>842</v>
      </c>
      <c r="C488" t="s">
        <v>1024</v>
      </c>
      <c r="D488" t="s">
        <v>1024</v>
      </c>
      <c r="E488" t="s">
        <v>15</v>
      </c>
      <c r="F488" t="s">
        <v>1049</v>
      </c>
      <c r="G488" t="s">
        <v>17882</v>
      </c>
      <c r="H488"/>
      <c r="I488" t="s">
        <v>18</v>
      </c>
      <c r="J488" t="s">
        <v>1050</v>
      </c>
      <c r="K488" t="s">
        <v>1051</v>
      </c>
      <c r="L488" t="s">
        <v>36</v>
      </c>
      <c r="M488" t="s">
        <v>19177</v>
      </c>
      <c r="N488" t="s">
        <v>1024</v>
      </c>
      <c r="O488" t="s">
        <v>1024</v>
      </c>
      <c r="P488" t="s">
        <v>842</v>
      </c>
    </row>
    <row r="489">
      <c r="A489">
        <f>HYPERLINK("http://bombeiros.sp.gov.br/hidrantes/03individual/4106.html","4106")</f>
      </c>
      <c r="B489" t="s">
        <v>842</v>
      </c>
      <c r="C489" t="s">
        <v>1024</v>
      </c>
      <c r="D489" t="s">
        <v>1024</v>
      </c>
      <c r="E489" t="s">
        <v>15</v>
      </c>
      <c r="F489" t="s">
        <v>1052</v>
      </c>
      <c r="G489" t="s">
        <v>17202</v>
      </c>
      <c r="H489"/>
      <c r="I489" t="s">
        <v>18</v>
      </c>
      <c r="J489" t="s">
        <v>1053</v>
      </c>
      <c r="K489" t="s">
        <v>1054</v>
      </c>
      <c r="L489" t="s">
        <v>21</v>
      </c>
      <c r="M489" t="s">
        <v>19177</v>
      </c>
      <c r="N489" t="s">
        <v>1024</v>
      </c>
      <c r="O489" t="s">
        <v>1024</v>
      </c>
      <c r="P489" t="s">
        <v>842</v>
      </c>
    </row>
    <row r="490">
      <c r="A490">
        <f>HYPERLINK("http://bombeiros.sp.gov.br/hidrantes/03individual/4097.html","4097")</f>
      </c>
      <c r="B490" t="s">
        <v>842</v>
      </c>
      <c r="C490" t="s">
        <v>1024</v>
      </c>
      <c r="D490" t="s">
        <v>1055</v>
      </c>
      <c r="E490" t="s">
        <v>15</v>
      </c>
      <c r="F490" t="s">
        <v>1056</v>
      </c>
      <c r="G490" t="s">
        <v>18091</v>
      </c>
      <c r="H490" t="s">
        <v>1121</v>
      </c>
      <c r="I490" t="s">
        <v>1117</v>
      </c>
      <c r="J490" t="s">
        <v>1057</v>
      </c>
      <c r="K490" t="s">
        <v>1058</v>
      </c>
      <c r="L490" t="s">
        <v>21</v>
      </c>
      <c r="M490" t="s">
        <v>19177</v>
      </c>
      <c r="N490" t="s">
        <v>1024</v>
      </c>
      <c r="O490" t="s">
        <v>1024</v>
      </c>
      <c r="P490" t="s">
        <v>842</v>
      </c>
    </row>
    <row r="491">
      <c r="A491">
        <f>HYPERLINK("http://bombeiros.sp.gov.br/hidrantes/03individual/16542.html","16542")</f>
      </c>
      <c r="B491" t="s">
        <v>842</v>
      </c>
      <c r="C491" t="s">
        <v>1024</v>
      </c>
      <c r="D491" t="s">
        <v>1055</v>
      </c>
      <c r="E491" t="s">
        <v>15</v>
      </c>
      <c r="F491" t="s">
        <v>1062</v>
      </c>
      <c r="G491" t="s">
        <v>16799</v>
      </c>
      <c r="H491" t="s">
        <v>1121</v>
      </c>
      <c r="I491" t="s">
        <v>1117</v>
      </c>
      <c r="J491" t="s">
        <v>1063</v>
      </c>
      <c r="K491" t="s">
        <v>1064</v>
      </c>
      <c r="L491" t="s">
        <v>21</v>
      </c>
      <c r="M491" t="s">
        <v>19177</v>
      </c>
      <c r="N491" t="s">
        <v>1024</v>
      </c>
      <c r="O491" t="s">
        <v>1024</v>
      </c>
      <c r="P491" t="s">
        <v>842</v>
      </c>
    </row>
    <row r="492">
      <c r="A492">
        <f>HYPERLINK("http://bombeiros.sp.gov.br/hidrantes/03individual/317.html","317")</f>
      </c>
      <c r="B492" t="s">
        <v>842</v>
      </c>
      <c r="C492" t="s">
        <v>1065</v>
      </c>
      <c r="D492" t="s">
        <v>1066</v>
      </c>
      <c r="E492" t="s">
        <v>15</v>
      </c>
      <c r="F492" t="s">
        <v>15730</v>
      </c>
      <c r="G492" t="s">
        <v>15011</v>
      </c>
      <c r="H492"/>
      <c r="I492" t="s">
        <v>1117</v>
      </c>
      <c r="J492" t="s">
        <v>15731</v>
      </c>
      <c r="K492" t="s">
        <v>15732</v>
      </c>
      <c r="L492" t="s">
        <v>21</v>
      </c>
      <c r="M492" t="s">
        <v>19177</v>
      </c>
      <c r="N492" t="s">
        <v>714</v>
      </c>
      <c r="O492" t="s">
        <v>10263</v>
      </c>
      <c r="P492" t="s">
        <v>12</v>
      </c>
    </row>
    <row r="493">
      <c r="A493">
        <f>HYPERLINK("http://bombeiros.sp.gov.br/hidrantes/03individual/3612.html","3612")</f>
      </c>
      <c r="B493" t="s">
        <v>842</v>
      </c>
      <c r="C493" t="s">
        <v>1065</v>
      </c>
      <c r="D493" t="s">
        <v>1066</v>
      </c>
      <c r="E493" t="s">
        <v>15</v>
      </c>
      <c r="F493" t="s">
        <v>15733</v>
      </c>
      <c r="G493" t="s">
        <v>15011</v>
      </c>
      <c r="H493"/>
      <c r="I493" t="s">
        <v>1117</v>
      </c>
      <c r="J493" t="s">
        <v>15734</v>
      </c>
      <c r="K493" t="s">
        <v>15735</v>
      </c>
      <c r="L493" t="s">
        <v>21</v>
      </c>
      <c r="M493" t="s">
        <v>19177</v>
      </c>
      <c r="N493" t="s">
        <v>714</v>
      </c>
      <c r="O493" t="s">
        <v>10263</v>
      </c>
      <c r="P493" t="s">
        <v>12</v>
      </c>
    </row>
    <row r="494">
      <c r="A494">
        <f>HYPERLINK("http://bombeiros.sp.gov.br/hidrantes/03individual/17700.html","17700")</f>
      </c>
      <c r="B494" t="s">
        <v>842</v>
      </c>
      <c r="C494" t="s">
        <v>1065</v>
      </c>
      <c r="D494" t="s">
        <v>1066</v>
      </c>
      <c r="E494" t="s">
        <v>15</v>
      </c>
      <c r="F494" t="s">
        <v>15736</v>
      </c>
      <c r="G494"/>
      <c r="H494"/>
      <c r="I494" t="s">
        <v>1503</v>
      </c>
      <c r="J494" t="s">
        <v>15737</v>
      </c>
      <c r="K494" t="s">
        <v>15738</v>
      </c>
      <c r="L494" t="s">
        <v>21</v>
      </c>
      <c r="M494" t="s">
        <v>19177</v>
      </c>
      <c r="N494" t="s">
        <v>714</v>
      </c>
      <c r="O494" t="s">
        <v>10263</v>
      </c>
      <c r="P494" t="s">
        <v>12</v>
      </c>
    </row>
    <row r="495">
      <c r="A495">
        <f>HYPERLINK("http://bombeiros.sp.gov.br/hidrantes/03individual/354.html","354")</f>
      </c>
      <c r="B495" t="s">
        <v>842</v>
      </c>
      <c r="C495" t="s">
        <v>1065</v>
      </c>
      <c r="D495" t="s">
        <v>14385</v>
      </c>
      <c r="E495" t="s">
        <v>15</v>
      </c>
      <c r="F495" t="s">
        <v>15739</v>
      </c>
      <c r="G495" t="s">
        <v>15011</v>
      </c>
      <c r="H495"/>
      <c r="I495" t="s">
        <v>1117</v>
      </c>
      <c r="J495" t="s">
        <v>15740</v>
      </c>
      <c r="K495" t="s">
        <v>15741</v>
      </c>
      <c r="L495" t="s">
        <v>21</v>
      </c>
      <c r="M495" t="s">
        <v>19177</v>
      </c>
      <c r="N495" t="s">
        <v>714</v>
      </c>
      <c r="O495" t="s">
        <v>10263</v>
      </c>
      <c r="P495" t="s">
        <v>12</v>
      </c>
    </row>
    <row r="496">
      <c r="A496">
        <f>HYPERLINK("http://bombeiros.sp.gov.br/hidrantes/03individual/17672.html","17672")</f>
      </c>
      <c r="B496" t="s">
        <v>842</v>
      </c>
      <c r="C496" t="s">
        <v>1065</v>
      </c>
      <c r="D496" t="s">
        <v>14385</v>
      </c>
      <c r="E496" t="s">
        <v>15</v>
      </c>
      <c r="F496" t="s">
        <v>15742</v>
      </c>
      <c r="G496" t="s">
        <v>1306</v>
      </c>
      <c r="H496"/>
      <c r="I496" t="s">
        <v>18</v>
      </c>
      <c r="J496" t="s">
        <v>15743</v>
      </c>
      <c r="K496" t="s">
        <v>15744</v>
      </c>
      <c r="L496" t="s">
        <v>21</v>
      </c>
      <c r="M496" t="s">
        <v>19177</v>
      </c>
      <c r="N496" t="s">
        <v>1024</v>
      </c>
      <c r="O496" t="s">
        <v>1024</v>
      </c>
      <c r="P496" t="s">
        <v>842</v>
      </c>
    </row>
    <row r="497">
      <c r="A497">
        <f>HYPERLINK("http://bombeiros.sp.gov.br/hidrantes/03individual/3860.html","3860")</f>
      </c>
      <c r="B497" t="s">
        <v>842</v>
      </c>
      <c r="C497" t="s">
        <v>1065</v>
      </c>
      <c r="D497" t="s">
        <v>1065</v>
      </c>
      <c r="E497" t="s">
        <v>15</v>
      </c>
      <c r="F497" t="s">
        <v>15745</v>
      </c>
      <c r="G497" t="s">
        <v>15011</v>
      </c>
      <c r="H497"/>
      <c r="I497" t="s">
        <v>1117</v>
      </c>
      <c r="J497" t="s">
        <v>15746</v>
      </c>
      <c r="K497" t="s">
        <v>15747</v>
      </c>
      <c r="L497" t="s">
        <v>21</v>
      </c>
      <c r="M497" t="s">
        <v>19177</v>
      </c>
      <c r="N497" t="s">
        <v>714</v>
      </c>
      <c r="O497" t="s">
        <v>10263</v>
      </c>
      <c r="P497" t="s">
        <v>12</v>
      </c>
    </row>
    <row r="498">
      <c r="A498">
        <f>HYPERLINK("http://bombeiros.sp.gov.br/hidrantes/03individual/26799.html","26799")</f>
      </c>
      <c r="B498" t="s">
        <v>842</v>
      </c>
      <c r="C498" t="s">
        <v>1065</v>
      </c>
      <c r="D498" t="s">
        <v>1065</v>
      </c>
      <c r="E498" t="s">
        <v>15</v>
      </c>
      <c r="F498" t="s">
        <v>15845</v>
      </c>
      <c r="G498"/>
      <c r="H498"/>
      <c r="I498" t="s">
        <v>1503</v>
      </c>
      <c r="J498" t="s">
        <v>15846</v>
      </c>
      <c r="K498" t="s">
        <v>15847</v>
      </c>
      <c r="L498" t="s">
        <v>21</v>
      </c>
      <c r="M498" t="s">
        <v>19177</v>
      </c>
      <c r="N498" t="s">
        <v>714</v>
      </c>
      <c r="O498" t="s">
        <v>10263</v>
      </c>
      <c r="P498" t="s">
        <v>12</v>
      </c>
    </row>
    <row r="499">
      <c r="A499">
        <f>HYPERLINK("http://bombeiros.sp.gov.br/hidrantes/03individual/2402.html","2402")</f>
      </c>
      <c r="B499" t="s">
        <v>842</v>
      </c>
      <c r="C499" t="s">
        <v>1071</v>
      </c>
      <c r="D499" t="s">
        <v>1072</v>
      </c>
      <c r="E499" t="s">
        <v>15</v>
      </c>
      <c r="F499" t="s">
        <v>15748</v>
      </c>
      <c r="G499" t="s">
        <v>15311</v>
      </c>
      <c r="H499"/>
      <c r="I499" t="s">
        <v>1117</v>
      </c>
      <c r="J499" t="s">
        <v>15749</v>
      </c>
      <c r="K499" t="s">
        <v>15750</v>
      </c>
      <c r="L499" t="s">
        <v>21</v>
      </c>
      <c r="M499" t="s">
        <v>19177</v>
      </c>
      <c r="N499" t="s">
        <v>16376</v>
      </c>
      <c r="O499" t="s">
        <v>16376</v>
      </c>
      <c r="P499" t="s">
        <v>842</v>
      </c>
    </row>
    <row r="500">
      <c r="A500">
        <f>HYPERLINK("http://bombeiros.sp.gov.br/hidrantes/03individual/4087.html","4087")</f>
      </c>
      <c r="B500" t="s">
        <v>842</v>
      </c>
      <c r="C500" t="s">
        <v>1071</v>
      </c>
      <c r="D500" t="s">
        <v>1072</v>
      </c>
      <c r="E500" t="s">
        <v>15</v>
      </c>
      <c r="F500" t="s">
        <v>1073</v>
      </c>
      <c r="G500" t="s">
        <v>17925</v>
      </c>
      <c r="H500"/>
      <c r="I500" t="s">
        <v>18</v>
      </c>
      <c r="J500" t="s">
        <v>15958</v>
      </c>
      <c r="K500" t="s">
        <v>15959</v>
      </c>
      <c r="L500" t="s">
        <v>21</v>
      </c>
      <c r="M500" t="s">
        <v>19177</v>
      </c>
      <c r="N500" t="s">
        <v>16376</v>
      </c>
      <c r="O500" t="s">
        <v>16376</v>
      </c>
      <c r="P500" t="s">
        <v>842</v>
      </c>
    </row>
    <row r="501">
      <c r="A501">
        <f>HYPERLINK("http://bombeiros.sp.gov.br/hidrantes/03individual/4397.html","4397")</f>
      </c>
      <c r="B501" t="s">
        <v>842</v>
      </c>
      <c r="C501" t="s">
        <v>1071</v>
      </c>
      <c r="D501" t="s">
        <v>1072</v>
      </c>
      <c r="E501" t="s">
        <v>15</v>
      </c>
      <c r="F501" t="s">
        <v>1076</v>
      </c>
      <c r="G501" t="s">
        <v>18187</v>
      </c>
      <c r="H501"/>
      <c r="I501" t="s">
        <v>18</v>
      </c>
      <c r="J501" t="s">
        <v>1077</v>
      </c>
      <c r="K501" t="s">
        <v>1078</v>
      </c>
      <c r="L501" t="s">
        <v>21</v>
      </c>
      <c r="M501" t="s">
        <v>19177</v>
      </c>
      <c r="N501" t="s">
        <v>16376</v>
      </c>
      <c r="O501" t="s">
        <v>16376</v>
      </c>
      <c r="P501" t="s">
        <v>842</v>
      </c>
    </row>
    <row r="502">
      <c r="A502">
        <f>HYPERLINK("http://bombeiros.sp.gov.br/hidrantes/03individual/17693.html","17693")</f>
      </c>
      <c r="B502" t="s">
        <v>842</v>
      </c>
      <c r="C502" t="s">
        <v>1071</v>
      </c>
      <c r="D502" t="s">
        <v>1072</v>
      </c>
      <c r="E502" t="s">
        <v>15</v>
      </c>
      <c r="F502" t="s">
        <v>15751</v>
      </c>
      <c r="G502"/>
      <c r="H502"/>
      <c r="I502" t="s">
        <v>1503</v>
      </c>
      <c r="J502" t="s">
        <v>15752</v>
      </c>
      <c r="K502" t="s">
        <v>15753</v>
      </c>
      <c r="L502" t="s">
        <v>21</v>
      </c>
      <c r="M502" t="s">
        <v>19177</v>
      </c>
      <c r="N502" t="s">
        <v>16376</v>
      </c>
      <c r="O502" t="s">
        <v>16376</v>
      </c>
      <c r="P502" t="s">
        <v>842</v>
      </c>
    </row>
    <row r="503">
      <c r="A503">
        <f>HYPERLINK("http://bombeiros.sp.gov.br/hidrantes/03individual/4074.html","4074")</f>
      </c>
      <c r="B503" t="s">
        <v>842</v>
      </c>
      <c r="C503" t="s">
        <v>1071</v>
      </c>
      <c r="D503" t="s">
        <v>1083</v>
      </c>
      <c r="E503" t="s">
        <v>15</v>
      </c>
      <c r="F503" t="s">
        <v>1084</v>
      </c>
      <c r="G503" t="s">
        <v>18194</v>
      </c>
      <c r="H503"/>
      <c r="I503" t="s">
        <v>18</v>
      </c>
      <c r="J503" t="s">
        <v>1086</v>
      </c>
      <c r="K503" t="s">
        <v>1087</v>
      </c>
      <c r="L503" t="s">
        <v>21</v>
      </c>
      <c r="M503" t="s">
        <v>19177</v>
      </c>
      <c r="N503" t="s">
        <v>16376</v>
      </c>
      <c r="O503" t="s">
        <v>16376</v>
      </c>
      <c r="P503" t="s">
        <v>842</v>
      </c>
    </row>
    <row r="504">
      <c r="A504">
        <f>HYPERLINK("http://bombeiros.sp.gov.br/hidrantes/03individual/4093.html","4093")</f>
      </c>
      <c r="B504" t="s">
        <v>842</v>
      </c>
      <c r="C504" t="s">
        <v>1071</v>
      </c>
      <c r="D504" t="s">
        <v>1083</v>
      </c>
      <c r="E504" t="s">
        <v>15</v>
      </c>
      <c r="F504" t="s">
        <v>1088</v>
      </c>
      <c r="G504" t="s">
        <v>18052</v>
      </c>
      <c r="H504" t="s">
        <v>1121</v>
      </c>
      <c r="I504" t="s">
        <v>1117</v>
      </c>
      <c r="J504" t="s">
        <v>1089</v>
      </c>
      <c r="K504" t="s">
        <v>1090</v>
      </c>
      <c r="L504" t="s">
        <v>21</v>
      </c>
      <c r="M504" t="s">
        <v>19177</v>
      </c>
      <c r="N504" t="s">
        <v>16376</v>
      </c>
      <c r="O504" t="s">
        <v>16376</v>
      </c>
      <c r="P504" t="s">
        <v>842</v>
      </c>
    </row>
    <row r="505">
      <c r="A505">
        <f>HYPERLINK("http://bombeiros.sp.gov.br/hidrantes/03individual/4395.html","4395")</f>
      </c>
      <c r="B505" t="s">
        <v>842</v>
      </c>
      <c r="C505" t="s">
        <v>1071</v>
      </c>
      <c r="D505" t="s">
        <v>1083</v>
      </c>
      <c r="E505" t="s">
        <v>15</v>
      </c>
      <c r="F505" t="s">
        <v>1091</v>
      </c>
      <c r="G505" t="s">
        <v>18199</v>
      </c>
      <c r="H505"/>
      <c r="I505" t="s">
        <v>18</v>
      </c>
      <c r="J505" t="s">
        <v>1092</v>
      </c>
      <c r="K505" t="s">
        <v>1093</v>
      </c>
      <c r="L505" t="s">
        <v>21</v>
      </c>
      <c r="M505" t="s">
        <v>19177</v>
      </c>
      <c r="N505" t="s">
        <v>16376</v>
      </c>
      <c r="O505" t="s">
        <v>16376</v>
      </c>
      <c r="P505" t="s">
        <v>842</v>
      </c>
    </row>
    <row r="506">
      <c r="A506">
        <f>HYPERLINK("http://bombeiros.sp.gov.br/hidrantes/03individual/4398.html","4398")</f>
      </c>
      <c r="B506" t="s">
        <v>842</v>
      </c>
      <c r="C506" t="s">
        <v>1071</v>
      </c>
      <c r="D506" t="s">
        <v>1083</v>
      </c>
      <c r="E506" t="s">
        <v>15</v>
      </c>
      <c r="F506" t="s">
        <v>1094</v>
      </c>
      <c r="G506" t="s">
        <v>18052</v>
      </c>
      <c r="H506"/>
      <c r="I506" t="s">
        <v>18</v>
      </c>
      <c r="J506" t="s">
        <v>1095</v>
      </c>
      <c r="K506" t="s">
        <v>1096</v>
      </c>
      <c r="L506" t="s">
        <v>21</v>
      </c>
      <c r="M506" t="s">
        <v>19177</v>
      </c>
      <c r="N506" t="s">
        <v>16376</v>
      </c>
      <c r="O506" t="s">
        <v>16376</v>
      </c>
      <c r="P506" t="s">
        <v>842</v>
      </c>
    </row>
    <row r="507">
      <c r="A507">
        <f>HYPERLINK("http://bombeiros.sp.gov.br/hidrantes/03individual/16601.html","16601")</f>
      </c>
      <c r="B507" t="s">
        <v>842</v>
      </c>
      <c r="C507" t="s">
        <v>1071</v>
      </c>
      <c r="D507" t="s">
        <v>1083</v>
      </c>
      <c r="E507" t="s">
        <v>15</v>
      </c>
      <c r="F507" t="s">
        <v>14602</v>
      </c>
      <c r="G507" t="s">
        <v>18170</v>
      </c>
      <c r="H507"/>
      <c r="I507" t="s">
        <v>18</v>
      </c>
      <c r="J507" t="s">
        <v>14603</v>
      </c>
      <c r="K507" t="s">
        <v>14604</v>
      </c>
      <c r="L507" t="s">
        <v>21</v>
      </c>
      <c r="M507" t="s">
        <v>19177</v>
      </c>
      <c r="N507" t="s">
        <v>16376</v>
      </c>
      <c r="O507" t="s">
        <v>16376</v>
      </c>
      <c r="P507" t="s">
        <v>842</v>
      </c>
    </row>
    <row r="508">
      <c r="A508">
        <f>HYPERLINK("http://bombeiros.sp.gov.br/hidrantes/03individual/26853.html","26853")</f>
      </c>
      <c r="B508" t="s">
        <v>842</v>
      </c>
      <c r="C508" t="s">
        <v>1071</v>
      </c>
      <c r="D508" t="s">
        <v>1083</v>
      </c>
      <c r="E508" t="s">
        <v>15</v>
      </c>
      <c r="F508" t="s">
        <v>16212</v>
      </c>
      <c r="G508" t="s">
        <v>18060</v>
      </c>
      <c r="H508"/>
      <c r="I508" t="s">
        <v>18</v>
      </c>
      <c r="J508" t="s">
        <v>16213</v>
      </c>
      <c r="K508" t="s">
        <v>16214</v>
      </c>
      <c r="L508" t="s">
        <v>21</v>
      </c>
      <c r="M508" t="s">
        <v>19177</v>
      </c>
      <c r="N508" t="s">
        <v>16376</v>
      </c>
      <c r="O508" t="s">
        <v>16376</v>
      </c>
      <c r="P508" t="s">
        <v>842</v>
      </c>
    </row>
    <row r="509">
      <c r="A509">
        <f>HYPERLINK("http://bombeiros.sp.gov.br/hidrantes/03individual/6707.html","6707")</f>
      </c>
      <c r="B509" t="s">
        <v>842</v>
      </c>
      <c r="C509" t="s">
        <v>1097</v>
      </c>
      <c r="D509" t="s">
        <v>1098</v>
      </c>
      <c r="E509" t="s">
        <v>15</v>
      </c>
      <c r="F509" t="s">
        <v>14627</v>
      </c>
      <c r="G509" t="s">
        <v>16829</v>
      </c>
      <c r="H509"/>
      <c r="I509" t="s">
        <v>18</v>
      </c>
      <c r="J509" t="s">
        <v>14628</v>
      </c>
      <c r="K509" t="s">
        <v>14629</v>
      </c>
      <c r="L509" t="s">
        <v>21</v>
      </c>
      <c r="M509" t="s">
        <v>19177</v>
      </c>
      <c r="N509" t="s">
        <v>16375</v>
      </c>
      <c r="O509" t="s">
        <v>640</v>
      </c>
      <c r="P509" t="s">
        <v>623</v>
      </c>
    </row>
    <row r="510">
      <c r="A510">
        <f>HYPERLINK("http://bombeiros.sp.gov.br/hidrantes/03individual/4390.html","4390")</f>
      </c>
      <c r="B510" t="s">
        <v>842</v>
      </c>
      <c r="C510" t="s">
        <v>1097</v>
      </c>
      <c r="D510" t="s">
        <v>1102</v>
      </c>
      <c r="E510" t="s">
        <v>64</v>
      </c>
      <c r="F510" t="s">
        <v>1103</v>
      </c>
      <c r="G510" t="s">
        <v>17283</v>
      </c>
      <c r="H510"/>
      <c r="I510" t="s">
        <v>18</v>
      </c>
      <c r="J510" t="s">
        <v>1104</v>
      </c>
      <c r="K510" t="s">
        <v>1105</v>
      </c>
      <c r="L510" t="s">
        <v>21</v>
      </c>
      <c r="M510" t="s">
        <v>19177</v>
      </c>
      <c r="N510" t="s">
        <v>848</v>
      </c>
      <c r="O510" t="s">
        <v>640</v>
      </c>
      <c r="P510" t="s">
        <v>623</v>
      </c>
    </row>
    <row r="511">
      <c r="A511">
        <f>HYPERLINK("http://bombeiros.sp.gov.br/hidrantes/03individual/26903.html","26903")</f>
      </c>
      <c r="B511" t="s">
        <v>842</v>
      </c>
      <c r="C511" t="s">
        <v>1097</v>
      </c>
      <c r="D511" t="s">
        <v>1102</v>
      </c>
      <c r="E511" t="s">
        <v>15</v>
      </c>
      <c r="F511" t="s">
        <v>16343</v>
      </c>
      <c r="G511"/>
      <c r="H511"/>
      <c r="I511" t="s">
        <v>1503</v>
      </c>
      <c r="J511" t="s">
        <v>16344</v>
      </c>
      <c r="K511" t="s">
        <v>16345</v>
      </c>
      <c r="L511" t="s">
        <v>21</v>
      </c>
      <c r="M511" t="s">
        <v>19177</v>
      </c>
      <c r="N511" t="s">
        <v>848</v>
      </c>
      <c r="O511" t="s">
        <v>640</v>
      </c>
      <c r="P511" t="s">
        <v>623</v>
      </c>
    </row>
    <row r="512">
      <c r="A512">
        <f>HYPERLINK("http://bombeiros.sp.gov.br/hidrantes/03individual/2249.html","2249")</f>
      </c>
      <c r="B512" t="s">
        <v>842</v>
      </c>
      <c r="C512" t="s">
        <v>14642</v>
      </c>
      <c r="D512" t="s">
        <v>14643</v>
      </c>
      <c r="E512" t="s">
        <v>15</v>
      </c>
      <c r="F512" t="s">
        <v>15754</v>
      </c>
      <c r="G512" t="s">
        <v>15755</v>
      </c>
      <c r="H512"/>
      <c r="I512" t="s">
        <v>1117</v>
      </c>
      <c r="J512" t="s">
        <v>15756</v>
      </c>
      <c r="K512" t="s">
        <v>15757</v>
      </c>
      <c r="L512" t="s">
        <v>21</v>
      </c>
      <c r="M512" t="s">
        <v>19177</v>
      </c>
      <c r="N512" t="s">
        <v>714</v>
      </c>
      <c r="O512" t="s">
        <v>10263</v>
      </c>
      <c r="P512" t="s">
        <v>12</v>
      </c>
    </row>
    <row r="513">
      <c r="A513">
        <f>HYPERLINK("http://bombeiros.sp.gov.br/hidrantes/03individual/348.html","348")</f>
      </c>
      <c r="B513" t="s">
        <v>842</v>
      </c>
      <c r="C513" t="s">
        <v>14642</v>
      </c>
      <c r="D513" t="s">
        <v>14665</v>
      </c>
      <c r="E513" t="s">
        <v>15</v>
      </c>
      <c r="F513" t="s">
        <v>15758</v>
      </c>
      <c r="G513" t="s">
        <v>15416</v>
      </c>
      <c r="H513"/>
      <c r="I513" t="s">
        <v>1117</v>
      </c>
      <c r="J513" t="s">
        <v>15759</v>
      </c>
      <c r="K513" t="s">
        <v>15760</v>
      </c>
      <c r="L513" t="s">
        <v>21</v>
      </c>
      <c r="M513" t="s">
        <v>19177</v>
      </c>
      <c r="N513" t="s">
        <v>714</v>
      </c>
      <c r="O513" t="s">
        <v>10263</v>
      </c>
      <c r="P513" t="s">
        <v>12</v>
      </c>
    </row>
    <row r="514">
      <c r="A514">
        <f>HYPERLINK("http://bombeiros.sp.gov.br/hidrantes/03individual/17701.html","17701")</f>
      </c>
      <c r="B514" t="s">
        <v>842</v>
      </c>
      <c r="C514" t="s">
        <v>14642</v>
      </c>
      <c r="D514" t="s">
        <v>14665</v>
      </c>
      <c r="E514" t="s">
        <v>15</v>
      </c>
      <c r="F514" t="s">
        <v>15761</v>
      </c>
      <c r="G514"/>
      <c r="H514"/>
      <c r="I514" t="s">
        <v>1503</v>
      </c>
      <c r="J514" t="s">
        <v>15762</v>
      </c>
      <c r="K514" t="s">
        <v>15763</v>
      </c>
      <c r="L514" t="s">
        <v>21</v>
      </c>
      <c r="M514" t="s">
        <v>19177</v>
      </c>
      <c r="N514" t="s">
        <v>714</v>
      </c>
      <c r="O514" t="s">
        <v>10263</v>
      </c>
      <c r="P514" t="s">
        <v>12</v>
      </c>
    </row>
    <row r="515">
      <c r="A515">
        <f>HYPERLINK("http://bombeiros.sp.gov.br/hidrantes/03individual/5648.html","5648")</f>
      </c>
      <c r="B515" t="s">
        <v>842</v>
      </c>
      <c r="C515" t="s">
        <v>14642</v>
      </c>
      <c r="D515" t="s">
        <v>14687</v>
      </c>
      <c r="E515" t="s">
        <v>15</v>
      </c>
      <c r="F515" t="s">
        <v>14748</v>
      </c>
      <c r="G515" t="s">
        <v>162</v>
      </c>
      <c r="H515" t="s">
        <v>1121</v>
      </c>
      <c r="I515" t="s">
        <v>1117</v>
      </c>
      <c r="J515" t="s">
        <v>14749</v>
      </c>
      <c r="K515" t="s">
        <v>14750</v>
      </c>
      <c r="L515" t="s">
        <v>21</v>
      </c>
      <c r="M515" t="s">
        <v>19177</v>
      </c>
      <c r="N515" t="s">
        <v>714</v>
      </c>
      <c r="O515" t="s">
        <v>10263</v>
      </c>
      <c r="P515" t="s">
        <v>12</v>
      </c>
    </row>
    <row r="516">
      <c r="A516">
        <f>HYPERLINK("http://bombeiros.sp.gov.br/hidrantes/03individual/16580.html","16580")</f>
      </c>
      <c r="B516" t="s">
        <v>842</v>
      </c>
      <c r="C516" t="s">
        <v>14642</v>
      </c>
      <c r="D516" t="s">
        <v>14687</v>
      </c>
      <c r="E516" t="s">
        <v>15</v>
      </c>
      <c r="F516" t="s">
        <v>15764</v>
      </c>
      <c r="G516"/>
      <c r="H516"/>
      <c r="I516" t="s">
        <v>1503</v>
      </c>
      <c r="J516" t="s">
        <v>15765</v>
      </c>
      <c r="K516" t="s">
        <v>15766</v>
      </c>
      <c r="L516" t="s">
        <v>21</v>
      </c>
      <c r="M516" t="s">
        <v>19177</v>
      </c>
      <c r="N516" t="s">
        <v>714</v>
      </c>
      <c r="O516" t="s">
        <v>10263</v>
      </c>
      <c r="P516" t="s">
        <v>12</v>
      </c>
    </row>
    <row r="517">
      <c r="A517">
        <f>HYPERLINK("http://bombeiros.sp.gov.br/hidrantes/03individual/26685.html","26685")</f>
      </c>
      <c r="B517" t="s">
        <v>842</v>
      </c>
      <c r="C517" t="s">
        <v>14642</v>
      </c>
      <c r="D517" t="s">
        <v>14687</v>
      </c>
      <c r="E517" t="s">
        <v>15</v>
      </c>
      <c r="F517" t="s">
        <v>15767</v>
      </c>
      <c r="G517"/>
      <c r="H517"/>
      <c r="I517" t="s">
        <v>1503</v>
      </c>
      <c r="J517" t="s">
        <v>15768</v>
      </c>
      <c r="K517" t="s">
        <v>15769</v>
      </c>
      <c r="L517" t="s">
        <v>21</v>
      </c>
      <c r="M517" t="s">
        <v>19177</v>
      </c>
      <c r="N517" t="s">
        <v>714</v>
      </c>
      <c r="O517" t="s">
        <v>10263</v>
      </c>
      <c r="P517" t="s">
        <v>12</v>
      </c>
    </row>
    <row r="518">
      <c r="A518">
        <f>HYPERLINK("http://bombeiros.sp.gov.br/hidrantes/03individual/2372.html","2372")</f>
      </c>
      <c r="B518" t="s">
        <v>842</v>
      </c>
      <c r="C518" t="s">
        <v>14642</v>
      </c>
      <c r="D518" t="s">
        <v>14763</v>
      </c>
      <c r="E518" t="s">
        <v>15</v>
      </c>
      <c r="F518" t="s">
        <v>15770</v>
      </c>
      <c r="G518" t="s">
        <v>15172</v>
      </c>
      <c r="H518"/>
      <c r="I518" t="s">
        <v>1117</v>
      </c>
      <c r="J518" t="s">
        <v>15771</v>
      </c>
      <c r="K518" t="s">
        <v>15772</v>
      </c>
      <c r="L518" t="s">
        <v>21</v>
      </c>
      <c r="M518" t="s">
        <v>19177</v>
      </c>
      <c r="N518" t="s">
        <v>97</v>
      </c>
      <c r="O518" t="s">
        <v>937</v>
      </c>
      <c r="P518" t="s">
        <v>12</v>
      </c>
    </row>
    <row r="519">
      <c r="A519">
        <f>HYPERLINK("http://bombeiros.sp.gov.br/hidrantes/03individual/26696.html","26696")</f>
      </c>
      <c r="B519" t="s">
        <v>842</v>
      </c>
      <c r="C519" t="s">
        <v>14642</v>
      </c>
      <c r="D519" t="s">
        <v>14763</v>
      </c>
      <c r="E519" t="s">
        <v>15</v>
      </c>
      <c r="F519" t="s">
        <v>15773</v>
      </c>
      <c r="G519"/>
      <c r="H519"/>
      <c r="I519" t="s">
        <v>1503</v>
      </c>
      <c r="J519" t="s">
        <v>15774</v>
      </c>
      <c r="K519" t="s">
        <v>15775</v>
      </c>
      <c r="L519" t="s">
        <v>21</v>
      </c>
      <c r="M519" t="s">
        <v>19177</v>
      </c>
      <c r="N519" t="s">
        <v>97</v>
      </c>
      <c r="O519" t="s">
        <v>937</v>
      </c>
      <c r="P519" t="s">
        <v>12</v>
      </c>
    </row>
    <row r="520">
      <c r="A520">
        <f>HYPERLINK("http://bombeiros.sp.gov.br/hidrantes/03individual/181.html","181")</f>
      </c>
      <c r="B520" t="s">
        <v>842</v>
      </c>
      <c r="C520" t="s">
        <v>14642</v>
      </c>
      <c r="D520" t="s">
        <v>14776</v>
      </c>
      <c r="E520" t="s">
        <v>15</v>
      </c>
      <c r="F520" t="s">
        <v>15776</v>
      </c>
      <c r="G520" t="s">
        <v>15416</v>
      </c>
      <c r="H520"/>
      <c r="I520" t="s">
        <v>1117</v>
      </c>
      <c r="J520" t="s">
        <v>15777</v>
      </c>
      <c r="K520" t="s">
        <v>15778</v>
      </c>
      <c r="L520" t="s">
        <v>36</v>
      </c>
      <c r="M520" t="s">
        <v>19177</v>
      </c>
      <c r="N520" t="s">
        <v>714</v>
      </c>
      <c r="O520" t="s">
        <v>10263</v>
      </c>
      <c r="P520" t="s">
        <v>12</v>
      </c>
    </row>
    <row r="521">
      <c r="A521">
        <f>HYPERLINK("http://bombeiros.sp.gov.br/hidrantes/03individual/26795.html","26795")</f>
      </c>
      <c r="B521" t="s">
        <v>842</v>
      </c>
      <c r="C521" t="s">
        <v>14642</v>
      </c>
      <c r="D521" t="s">
        <v>14776</v>
      </c>
      <c r="E521" t="s">
        <v>15</v>
      </c>
      <c r="F521" t="s">
        <v>15836</v>
      </c>
      <c r="G521"/>
      <c r="H521"/>
      <c r="I521" t="s">
        <v>1503</v>
      </c>
      <c r="J521" t="s">
        <v>15837</v>
      </c>
      <c r="K521" t="s">
        <v>15838</v>
      </c>
      <c r="L521" t="s">
        <v>21</v>
      </c>
      <c r="M521" t="s">
        <v>19177</v>
      </c>
      <c r="N521" t="s">
        <v>714</v>
      </c>
      <c r="O521" t="s">
        <v>10263</v>
      </c>
      <c r="P521" t="s">
        <v>12</v>
      </c>
    </row>
    <row r="522">
      <c r="A522">
        <f>HYPERLINK("http://bombeiros.sp.gov.br/hidrantes/03individual/2158.html","2158")</f>
      </c>
      <c r="B522" t="s">
        <v>842</v>
      </c>
      <c r="C522" t="s">
        <v>14642</v>
      </c>
      <c r="D522" t="s">
        <v>14833</v>
      </c>
      <c r="E522" t="s">
        <v>15</v>
      </c>
      <c r="F522" t="s">
        <v>15779</v>
      </c>
      <c r="G522" t="s">
        <v>15755</v>
      </c>
      <c r="H522"/>
      <c r="I522" t="s">
        <v>1117</v>
      </c>
      <c r="J522" t="s">
        <v>15780</v>
      </c>
      <c r="K522" t="s">
        <v>15781</v>
      </c>
      <c r="L522" t="s">
        <v>21</v>
      </c>
      <c r="M522" t="s">
        <v>19177</v>
      </c>
      <c r="N522" t="s">
        <v>714</v>
      </c>
      <c r="O522" t="s">
        <v>10263</v>
      </c>
      <c r="P522" t="s">
        <v>12</v>
      </c>
    </row>
    <row r="523">
      <c r="A523">
        <f>HYPERLINK("http://bombeiros.sp.gov.br/hidrantes/03individual/323.html","323")</f>
      </c>
      <c r="B523" t="s">
        <v>842</v>
      </c>
      <c r="C523" t="s">
        <v>14642</v>
      </c>
      <c r="D523" t="s">
        <v>14888</v>
      </c>
      <c r="E523" t="s">
        <v>15</v>
      </c>
      <c r="F523" t="s">
        <v>15782</v>
      </c>
      <c r="G523" t="s">
        <v>15755</v>
      </c>
      <c r="H523"/>
      <c r="I523" t="s">
        <v>1117</v>
      </c>
      <c r="J523" t="s">
        <v>15783</v>
      </c>
      <c r="K523" t="s">
        <v>15784</v>
      </c>
      <c r="L523" t="s">
        <v>21</v>
      </c>
      <c r="M523" t="s">
        <v>19177</v>
      </c>
      <c r="N523" t="s">
        <v>714</v>
      </c>
      <c r="O523" t="s">
        <v>10263</v>
      </c>
      <c r="P523" t="s">
        <v>12</v>
      </c>
    </row>
    <row r="524">
      <c r="A524">
        <f>HYPERLINK("http://bombeiros.sp.gov.br/hidrantes/03individual/346.html","346")</f>
      </c>
      <c r="B524" t="s">
        <v>842</v>
      </c>
      <c r="C524" t="s">
        <v>14642</v>
      </c>
      <c r="D524" t="s">
        <v>14888</v>
      </c>
      <c r="E524" t="s">
        <v>15</v>
      </c>
      <c r="F524" t="s">
        <v>15785</v>
      </c>
      <c r="G524" t="s">
        <v>15416</v>
      </c>
      <c r="H524"/>
      <c r="I524" t="s">
        <v>1117</v>
      </c>
      <c r="J524" t="s">
        <v>15786</v>
      </c>
      <c r="K524" t="s">
        <v>15787</v>
      </c>
      <c r="L524" t="s">
        <v>21</v>
      </c>
      <c r="M524" t="s">
        <v>19177</v>
      </c>
      <c r="N524" t="s">
        <v>714</v>
      </c>
      <c r="O524" t="s">
        <v>10263</v>
      </c>
      <c r="P524" t="s">
        <v>12</v>
      </c>
    </row>
    <row r="525">
      <c r="A525">
        <f>HYPERLINK("http://bombeiros.sp.gov.br/hidrantes/03individual/16572.html","16572")</f>
      </c>
      <c r="B525" t="s">
        <v>842</v>
      </c>
      <c r="C525" t="s">
        <v>14642</v>
      </c>
      <c r="D525" t="s">
        <v>14888</v>
      </c>
      <c r="E525" t="s">
        <v>15</v>
      </c>
      <c r="F525" t="s">
        <v>15788</v>
      </c>
      <c r="G525"/>
      <c r="H525"/>
      <c r="I525" t="s">
        <v>1503</v>
      </c>
      <c r="J525" t="s">
        <v>15789</v>
      </c>
      <c r="K525" t="s">
        <v>15790</v>
      </c>
      <c r="L525" t="s">
        <v>21</v>
      </c>
      <c r="M525" t="s">
        <v>19177</v>
      </c>
      <c r="N525" t="s">
        <v>714</v>
      </c>
      <c r="O525" t="s">
        <v>10263</v>
      </c>
      <c r="P525" t="s">
        <v>12</v>
      </c>
    </row>
    <row r="526">
      <c r="A526">
        <f>HYPERLINK("http://bombeiros.sp.gov.br/hidrantes/03individual/2514.html","2514")</f>
      </c>
      <c r="B526" t="s">
        <v>842</v>
      </c>
      <c r="C526" t="s">
        <v>14642</v>
      </c>
      <c r="D526" t="s">
        <v>14916</v>
      </c>
      <c r="E526" t="s">
        <v>15</v>
      </c>
      <c r="F526" t="s">
        <v>15791</v>
      </c>
      <c r="G526" t="s">
        <v>15755</v>
      </c>
      <c r="H526"/>
      <c r="I526" t="s">
        <v>1117</v>
      </c>
      <c r="J526" t="s">
        <v>15792</v>
      </c>
      <c r="K526" t="s">
        <v>15793</v>
      </c>
      <c r="L526" t="s">
        <v>21</v>
      </c>
      <c r="M526" t="s">
        <v>19177</v>
      </c>
      <c r="N526" t="s">
        <v>714</v>
      </c>
      <c r="O526" t="s">
        <v>10263</v>
      </c>
      <c r="P526" t="s">
        <v>12</v>
      </c>
    </row>
    <row r="527">
      <c r="A527">
        <f>HYPERLINK("http://bombeiros.sp.gov.br/hidrantes/03individual/378.html","378")</f>
      </c>
      <c r="B527" t="s">
        <v>842</v>
      </c>
      <c r="C527" t="s">
        <v>14642</v>
      </c>
      <c r="D527" t="s">
        <v>14642</v>
      </c>
      <c r="E527" t="s">
        <v>15</v>
      </c>
      <c r="F527" t="s">
        <v>15794</v>
      </c>
      <c r="G527" t="s">
        <v>15755</v>
      </c>
      <c r="H527"/>
      <c r="I527" t="s">
        <v>1117</v>
      </c>
      <c r="J527" t="s">
        <v>15795</v>
      </c>
      <c r="K527" t="s">
        <v>15796</v>
      </c>
      <c r="L527" t="s">
        <v>21</v>
      </c>
      <c r="M527" t="s">
        <v>19177</v>
      </c>
      <c r="N527" t="s">
        <v>714</v>
      </c>
      <c r="O527" t="s">
        <v>10263</v>
      </c>
      <c r="P527" t="s">
        <v>12</v>
      </c>
    </row>
    <row r="528">
      <c r="A528">
        <f>HYPERLINK("http://bombeiros.sp.gov.br/hidrantes/03individual/2267.html","2267")</f>
      </c>
      <c r="B528" t="s">
        <v>842</v>
      </c>
      <c r="C528" t="s">
        <v>14642</v>
      </c>
      <c r="D528" t="s">
        <v>14642</v>
      </c>
      <c r="E528" t="s">
        <v>15</v>
      </c>
      <c r="F528" t="s">
        <v>14975</v>
      </c>
      <c r="G528" t="s">
        <v>17432</v>
      </c>
      <c r="H528" t="s">
        <v>1121</v>
      </c>
      <c r="I528" t="s">
        <v>1117</v>
      </c>
      <c r="J528" t="s">
        <v>14976</v>
      </c>
      <c r="K528" t="s">
        <v>14977</v>
      </c>
      <c r="L528" t="s">
        <v>21</v>
      </c>
      <c r="M528" t="s">
        <v>19177</v>
      </c>
      <c r="N528" t="s">
        <v>714</v>
      </c>
      <c r="O528" t="s">
        <v>10263</v>
      </c>
      <c r="P528" t="s">
        <v>12</v>
      </c>
    </row>
    <row r="529">
      <c r="A529">
        <f>HYPERLINK("http://bombeiros.sp.gov.br/hidrantes/03individual/27822.html","27822")</f>
      </c>
      <c r="B529" t="s">
        <v>842</v>
      </c>
      <c r="C529" t="s">
        <v>14642</v>
      </c>
      <c r="D529" t="s">
        <v>14642</v>
      </c>
      <c r="E529" t="s">
        <v>15</v>
      </c>
      <c r="F529" t="s">
        <v>17824</v>
      </c>
      <c r="G529" t="s">
        <v>18099</v>
      </c>
      <c r="H529" t="s">
        <v>1121</v>
      </c>
      <c r="I529" t="s">
        <v>1117</v>
      </c>
      <c r="J529" t="s">
        <v>17825</v>
      </c>
      <c r="K529" t="s">
        <v>17826</v>
      </c>
      <c r="L529" t="s">
        <v>21</v>
      </c>
      <c r="M529" t="s">
        <v>19177</v>
      </c>
      <c r="N529" t="s">
        <v>714</v>
      </c>
      <c r="O529" t="s">
        <v>10263</v>
      </c>
      <c r="P529" t="s">
        <v>12</v>
      </c>
    </row>
  </sheetData>
</worksheet>
</file>